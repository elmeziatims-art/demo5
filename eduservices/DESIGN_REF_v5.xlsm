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A64D89F8-53C1-4CBD-9073-A1539C8C08D7}" xr6:coauthVersionLast="47" xr6:coauthVersionMax="47" xr10:uidLastSave="{00000000-0000-0000-0000-000000000000}"/>
  <bookViews>
    <workbookView xWindow="-98" yWindow="-98" windowWidth="21795" windowHeight="12975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ALLOC" sheetId="14" r:id="rId4"/>
    <sheet name="Socle" sheetId="4" r:id="rId5"/>
    <sheet name="Campagne" sheetId="5" r:id="rId6"/>
    <sheet name="Moteur" sheetId="7" r:id="rId7"/>
    <sheet name="Compta" sheetId="8" r:id="rId8"/>
    <sheet name="PNL" sheetId="9" r:id="rId9"/>
    <sheet name="Allocation" sheetId="12" r:id="rId10"/>
    <sheet name="_CALC_MOTEUR" sheetId="15" r:id="rId11"/>
    <sheet name="_CALC_PNL" sheetId="16" r:id="rId12"/>
    <sheet name="_CALC_ALLOC" sheetId="17" r:id="rId13"/>
    <sheet name="00_Cartographie" sheetId="18" r:id="rId14"/>
  </sheets>
  <definedNames>
    <definedName name="ALLOC_BRAND_CAMP">ALLOC!$C$8</definedName>
    <definedName name="ALLOC_CAMP_CLASS">ALLOC!$C$9</definedName>
    <definedName name="ALLOC_GRP_BRAND">ALLOC!$C$6</definedName>
    <definedName name="ALLOC_GRP_MARQUE">ALLOC!$C$7</definedName>
    <definedName name="BUD_REF_CAP">PIL!$K$15:$K$28</definedName>
    <definedName name="HYP_ACQ_BUD_V01">cad!$C$23</definedName>
    <definedName name="HYP_ACQ_BUD_V02">cad!$D$23</definedName>
    <definedName name="HYP_ACQ_BUD_V03">cad!$E$23</definedName>
    <definedName name="HYP_BRAND_BUD_V01">cad!$C$24</definedName>
    <definedName name="HYP_BRAND_BUD_V02">cad!$D$24</definedName>
    <definedName name="HYP_BRAND_BUD_V03">cad!$E$24</definedName>
    <definedName name="HYP_CAP_RETENU">PIL!$J$15:$J$28</definedName>
    <definedName name="HYP_CONV_ADM_V01">cad!$C$27</definedName>
    <definedName name="HYP_CONV_ADM_V02">cad!$D$27</definedName>
    <definedName name="HYP_CONV_ADM_V03">cad!$E$27</definedName>
    <definedName name="HYP_CONV_LEAD_V01">cad!$C$26</definedName>
    <definedName name="HYP_CONV_LEAD_V02">cad!$D$26</definedName>
    <definedName name="HYP_CONV_LEAD_V03">cad!$E$26</definedName>
    <definedName name="HYP_FEE_V01">cad!$C$39</definedName>
    <definedName name="HYP_FEE_V02">cad!$D$39</definedName>
    <definedName name="HYP_FEE_V03">cad!$E$39</definedName>
    <definedName name="HYP_FTE_PERM_V01">cad!$C$34</definedName>
    <definedName name="HYP_FTE_PERM_V02">cad!$D$34</definedName>
    <definedName name="HYP_FTE_PERM_V03">cad!$E$34</definedName>
    <definedName name="HYP_INFL_EXT_V01">cad!$C$32</definedName>
    <definedName name="HYP_INFL_EXT_V02">cad!$D$32</definedName>
    <definedName name="HYP_INFL_EXT_V03">cad!$E$32</definedName>
    <definedName name="HYP_PASSAGE_V01">cad!$C$28</definedName>
    <definedName name="HYP_PASSAGE_V02">cad!$D$28</definedName>
    <definedName name="HYP_PASSAGE_V03">cad!$E$28</definedName>
    <definedName name="HYP_PRICE_COEF_IPAC">cad!$J$14</definedName>
    <definedName name="HYP_PRICE_COEF_ISCOM">cad!$J$13</definedName>
    <definedName name="HYP_PRICE_COEF_MBWAY">cad!$J$12</definedName>
    <definedName name="HYP_PRICE_COEF_PIGIER">cad!$J$15</definedName>
    <definedName name="HYP_PRICE_COEF_TUNON">cad!$J$16</definedName>
    <definedName name="HYP_PRICE_V01">cad!$C$25</definedName>
    <definedName name="HYP_PRICE_V02">cad!$D$25</definedName>
    <definedName name="HYP_PRICE_V03">cad!$E$25</definedName>
    <definedName name="HYP_PRODUCTIVITY_V01">cad!$C$35</definedName>
    <definedName name="HYP_PRODUCTIVITY_V02">cad!$D$35</definedName>
    <definedName name="HYP_PRODUCTIVITY_V03">cad!$E$35</definedName>
    <definedName name="HYP_SALARY_V01">cad!$C$33</definedName>
    <definedName name="HYP_SALARY_V02">cad!$D$33</definedName>
    <definedName name="HYP_SALARY_V03">cad!$E$33</definedName>
    <definedName name="HYP_STRUCT_COST_V01">cad!$C$36</definedName>
    <definedName name="HYP_STRUCT_COST_V02">cad!$D$36</definedName>
    <definedName name="HYP_STRUCT_COST_V03">cad!$E$36</definedName>
    <definedName name="SCENARIO_ACTIF">cad!$C$5</definedName>
    <definedName name="SCENARIO_CODE">cad!$P$1</definedName>
    <definedName name="TEC_EBITDA">cad!$F$6</definedName>
    <definedName name="TEC_PL">cad!$F$5</definedName>
  </definedNames>
  <calcPr calcId="0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4" i="3" l="1"/>
  <c r="B10" i="2"/>
  <c r="B7" i="2"/>
  <c r="C21" i="3"/>
  <c r="E21" i="3"/>
  <c r="D21" i="3"/>
  <c r="B9" i="2"/>
  <c r="B6" i="2"/>
  <c r="B5" i="2"/>
  <c r="B4" i="2"/>
  <c r="B3" i="2"/>
  <c r="B2" i="2"/>
  <c r="B1" i="2"/>
  <c r="AR2000" i="17"/>
  <c r="AQ2000" i="17"/>
  <c r="AP2000" i="17"/>
  <c r="I2000" i="17"/>
  <c r="H2000" i="17"/>
  <c r="G2000" i="17"/>
  <c r="F2000" i="17"/>
  <c r="E2000" i="17"/>
  <c r="D2000" i="17"/>
  <c r="C2000" i="17"/>
  <c r="B2000" i="17"/>
  <c r="A2000" i="17"/>
  <c r="I1999" i="17"/>
  <c r="H1999" i="17"/>
  <c r="G1999" i="17"/>
  <c r="F1999" i="17"/>
  <c r="E1999" i="17"/>
  <c r="D1999" i="17"/>
  <c r="C1999" i="17"/>
  <c r="B1999" i="17"/>
  <c r="A1999" i="17"/>
  <c r="I1998" i="17"/>
  <c r="H1998" i="17"/>
  <c r="G1998" i="17"/>
  <c r="F1998" i="17"/>
  <c r="E1998" i="17"/>
  <c r="D1998" i="17"/>
  <c r="C1998" i="17"/>
  <c r="B1998" i="17"/>
  <c r="A1998" i="17"/>
  <c r="I1997" i="17"/>
  <c r="H1997" i="17"/>
  <c r="G1997" i="17"/>
  <c r="F1997" i="17"/>
  <c r="E1997" i="17"/>
  <c r="D1997" i="17"/>
  <c r="C1997" i="17"/>
  <c r="B1997" i="17"/>
  <c r="A1997" i="17"/>
  <c r="AK1996" i="17"/>
  <c r="AD1996" i="17"/>
  <c r="AA1996" i="17"/>
  <c r="Z1996" i="17"/>
  <c r="I1996" i="17"/>
  <c r="H1996" i="17"/>
  <c r="G1996" i="17"/>
  <c r="F1996" i="17"/>
  <c r="E1996" i="17"/>
  <c r="D1996" i="17"/>
  <c r="C1996" i="17"/>
  <c r="B1996" i="17"/>
  <c r="A1996" i="17"/>
  <c r="AJ1995" i="17"/>
  <c r="AI1995" i="17"/>
  <c r="AH1995" i="17"/>
  <c r="AA1995" i="17"/>
  <c r="O1995" i="17"/>
  <c r="I1995" i="17"/>
  <c r="H1995" i="17"/>
  <c r="G1995" i="17"/>
  <c r="F1995" i="17"/>
  <c r="E1995" i="17"/>
  <c r="D1995" i="17"/>
  <c r="C1995" i="17"/>
  <c r="B1995" i="17"/>
  <c r="A1995" i="17"/>
  <c r="V1995" i="17" s="1"/>
  <c r="AC1994" i="17"/>
  <c r="I1994" i="17"/>
  <c r="H1994" i="17"/>
  <c r="G1994" i="17"/>
  <c r="F1994" i="17"/>
  <c r="E1994" i="17"/>
  <c r="D1994" i="17"/>
  <c r="C1994" i="17"/>
  <c r="B1994" i="17"/>
  <c r="A1994" i="17"/>
  <c r="AP1994" i="17" s="1"/>
  <c r="I1993" i="17"/>
  <c r="H1993" i="17"/>
  <c r="G1993" i="17"/>
  <c r="F1993" i="17"/>
  <c r="E1993" i="17"/>
  <c r="D1993" i="17"/>
  <c r="C1993" i="17"/>
  <c r="B1993" i="17"/>
  <c r="A1993" i="17"/>
  <c r="AD1993" i="17" s="1"/>
  <c r="I1992" i="17"/>
  <c r="H1992" i="17"/>
  <c r="G1992" i="17"/>
  <c r="F1992" i="17"/>
  <c r="E1992" i="17"/>
  <c r="D1992" i="17"/>
  <c r="C1992" i="17"/>
  <c r="B1992" i="17"/>
  <c r="A1992" i="17"/>
  <c r="Q1991" i="17"/>
  <c r="I1991" i="17"/>
  <c r="H1991" i="17"/>
  <c r="G1991" i="17"/>
  <c r="F1991" i="17"/>
  <c r="E1991" i="17"/>
  <c r="D1991" i="17"/>
  <c r="C1991" i="17"/>
  <c r="B1991" i="17"/>
  <c r="A1991" i="17"/>
  <c r="AF1990" i="17"/>
  <c r="AA1990" i="17"/>
  <c r="Z1990" i="17"/>
  <c r="X1990" i="17"/>
  <c r="P1990" i="17"/>
  <c r="I1990" i="17"/>
  <c r="H1990" i="17"/>
  <c r="G1990" i="17"/>
  <c r="F1990" i="17"/>
  <c r="E1990" i="17"/>
  <c r="D1990" i="17"/>
  <c r="C1990" i="17"/>
  <c r="B1990" i="17"/>
  <c r="A1990" i="17"/>
  <c r="AE1990" i="17" s="1"/>
  <c r="I1989" i="17"/>
  <c r="H1989" i="17"/>
  <c r="G1989" i="17"/>
  <c r="F1989" i="17"/>
  <c r="E1989" i="17"/>
  <c r="D1989" i="17"/>
  <c r="C1989" i="17"/>
  <c r="B1989" i="17"/>
  <c r="A1989" i="17"/>
  <c r="Z1988" i="17"/>
  <c r="I1988" i="17"/>
  <c r="H1988" i="17"/>
  <c r="G1988" i="17"/>
  <c r="F1988" i="17"/>
  <c r="E1988" i="17"/>
  <c r="D1988" i="17"/>
  <c r="C1988" i="17"/>
  <c r="B1988" i="17"/>
  <c r="A1988" i="17"/>
  <c r="I1987" i="17"/>
  <c r="H1987" i="17"/>
  <c r="G1987" i="17"/>
  <c r="F1987" i="17"/>
  <c r="E1987" i="17"/>
  <c r="D1987" i="17"/>
  <c r="C1987" i="17"/>
  <c r="B1987" i="17"/>
  <c r="A1987" i="17"/>
  <c r="AQ1986" i="17"/>
  <c r="AP1986" i="17"/>
  <c r="AN1986" i="17"/>
  <c r="AM1986" i="17"/>
  <c r="AL1986" i="17"/>
  <c r="AH1986" i="17"/>
  <c r="AE1986" i="17"/>
  <c r="AD1986" i="17"/>
  <c r="AC1986" i="17"/>
  <c r="Z1986" i="17"/>
  <c r="X1986" i="17"/>
  <c r="W1986" i="17"/>
  <c r="T1986" i="17"/>
  <c r="P1986" i="17"/>
  <c r="O1986" i="17"/>
  <c r="N1986" i="17"/>
  <c r="M1986" i="17"/>
  <c r="L1986" i="17"/>
  <c r="K1986" i="17"/>
  <c r="I1986" i="17"/>
  <c r="H1986" i="17"/>
  <c r="G1986" i="17"/>
  <c r="F1986" i="17"/>
  <c r="E1986" i="17"/>
  <c r="D1986" i="17"/>
  <c r="C1986" i="17"/>
  <c r="B1986" i="17"/>
  <c r="A1986" i="17"/>
  <c r="AO1986" i="17" s="1"/>
  <c r="I1985" i="17"/>
  <c r="H1985" i="17"/>
  <c r="G1985" i="17"/>
  <c r="F1985" i="17"/>
  <c r="E1985" i="17"/>
  <c r="D1985" i="17"/>
  <c r="C1985" i="17"/>
  <c r="B1985" i="17"/>
  <c r="A1985" i="17"/>
  <c r="AD1984" i="17"/>
  <c r="AA1984" i="17"/>
  <c r="Z1984" i="17"/>
  <c r="O1984" i="17"/>
  <c r="I1984" i="17"/>
  <c r="H1984" i="17"/>
  <c r="G1984" i="17"/>
  <c r="F1984" i="17"/>
  <c r="E1984" i="17"/>
  <c r="D1984" i="17"/>
  <c r="C1984" i="17"/>
  <c r="B1984" i="17"/>
  <c r="A1984" i="17"/>
  <c r="AE1984" i="17" s="1"/>
  <c r="I1983" i="17"/>
  <c r="H1983" i="17"/>
  <c r="G1983" i="17"/>
  <c r="F1983" i="17"/>
  <c r="E1983" i="17"/>
  <c r="D1983" i="17"/>
  <c r="C1983" i="17"/>
  <c r="B1983" i="17"/>
  <c r="A1983" i="17"/>
  <c r="I1982" i="17"/>
  <c r="H1982" i="17"/>
  <c r="G1982" i="17"/>
  <c r="F1982" i="17"/>
  <c r="E1982" i="17"/>
  <c r="D1982" i="17"/>
  <c r="C1982" i="17"/>
  <c r="B1982" i="17"/>
  <c r="A1982" i="17"/>
  <c r="I1981" i="17"/>
  <c r="H1981" i="17"/>
  <c r="G1981" i="17"/>
  <c r="F1981" i="17"/>
  <c r="E1981" i="17"/>
  <c r="D1981" i="17"/>
  <c r="C1981" i="17"/>
  <c r="B1981" i="17"/>
  <c r="A1981" i="17"/>
  <c r="AP1980" i="17"/>
  <c r="AN1980" i="17"/>
  <c r="AK1980" i="17"/>
  <c r="AI1980" i="17"/>
  <c r="AH1980" i="17"/>
  <c r="AD1980" i="17"/>
  <c r="AC1980" i="17"/>
  <c r="Z1980" i="17"/>
  <c r="X1980" i="17"/>
  <c r="V1980" i="17"/>
  <c r="S1980" i="17"/>
  <c r="O1980" i="17"/>
  <c r="N1980" i="17"/>
  <c r="M1980" i="17"/>
  <c r="L1980" i="17"/>
  <c r="K1980" i="17"/>
  <c r="I1980" i="17"/>
  <c r="H1980" i="17"/>
  <c r="G1980" i="17"/>
  <c r="F1980" i="17"/>
  <c r="E1980" i="17"/>
  <c r="D1980" i="17"/>
  <c r="C1980" i="17"/>
  <c r="B1980" i="17"/>
  <c r="A1980" i="17"/>
  <c r="AM1980" i="17" s="1"/>
  <c r="AG1979" i="17"/>
  <c r="I1979" i="17"/>
  <c r="H1979" i="17"/>
  <c r="G1979" i="17"/>
  <c r="F1979" i="17"/>
  <c r="E1979" i="17"/>
  <c r="D1979" i="17"/>
  <c r="C1979" i="17"/>
  <c r="B1979" i="17"/>
  <c r="A1979" i="17"/>
  <c r="AP1979" i="17" s="1"/>
  <c r="I1978" i="17"/>
  <c r="H1978" i="17"/>
  <c r="G1978" i="17"/>
  <c r="F1978" i="17"/>
  <c r="E1978" i="17"/>
  <c r="D1978" i="17"/>
  <c r="C1978" i="17"/>
  <c r="B1978" i="17"/>
  <c r="A1978" i="17"/>
  <c r="I1977" i="17"/>
  <c r="H1977" i="17"/>
  <c r="G1977" i="17"/>
  <c r="F1977" i="17"/>
  <c r="E1977" i="17"/>
  <c r="D1977" i="17"/>
  <c r="C1977" i="17"/>
  <c r="B1977" i="17"/>
  <c r="A1977" i="17"/>
  <c r="AE1976" i="17"/>
  <c r="Y1976" i="17"/>
  <c r="M1976" i="17"/>
  <c r="K1976" i="17"/>
  <c r="I1976" i="17"/>
  <c r="H1976" i="17"/>
  <c r="G1976" i="17"/>
  <c r="F1976" i="17"/>
  <c r="E1976" i="17"/>
  <c r="D1976" i="17"/>
  <c r="C1976" i="17"/>
  <c r="B1976" i="17"/>
  <c r="A1976" i="17"/>
  <c r="AL1975" i="17"/>
  <c r="AG1975" i="17"/>
  <c r="N1975" i="17"/>
  <c r="I1975" i="17"/>
  <c r="H1975" i="17"/>
  <c r="G1975" i="17"/>
  <c r="F1975" i="17"/>
  <c r="E1975" i="17"/>
  <c r="D1975" i="17"/>
  <c r="C1975" i="17"/>
  <c r="B1975" i="17"/>
  <c r="A1975" i="17"/>
  <c r="AQ1975" i="17" s="1"/>
  <c r="AG1974" i="17"/>
  <c r="Z1974" i="17"/>
  <c r="I1974" i="17"/>
  <c r="H1974" i="17"/>
  <c r="G1974" i="17"/>
  <c r="F1974" i="17"/>
  <c r="E1974" i="17"/>
  <c r="D1974" i="17"/>
  <c r="C1974" i="17"/>
  <c r="B1974" i="17"/>
  <c r="A1974" i="17"/>
  <c r="I1973" i="17"/>
  <c r="H1973" i="17"/>
  <c r="G1973" i="17"/>
  <c r="F1973" i="17"/>
  <c r="E1973" i="17"/>
  <c r="D1973" i="17"/>
  <c r="C1973" i="17"/>
  <c r="B1973" i="17"/>
  <c r="A1973" i="17"/>
  <c r="AP1973" i="17" s="1"/>
  <c r="I1972" i="17"/>
  <c r="H1972" i="17"/>
  <c r="G1972" i="17"/>
  <c r="F1972" i="17"/>
  <c r="E1972" i="17"/>
  <c r="D1972" i="17"/>
  <c r="C1972" i="17"/>
  <c r="B1972" i="17"/>
  <c r="A1972" i="17"/>
  <c r="I1971" i="17"/>
  <c r="H1971" i="17"/>
  <c r="G1971" i="17"/>
  <c r="F1971" i="17"/>
  <c r="E1971" i="17"/>
  <c r="D1971" i="17"/>
  <c r="C1971" i="17"/>
  <c r="B1971" i="17"/>
  <c r="A1971" i="17"/>
  <c r="R1970" i="17"/>
  <c r="I1970" i="17"/>
  <c r="H1970" i="17"/>
  <c r="G1970" i="17"/>
  <c r="F1970" i="17"/>
  <c r="E1970" i="17"/>
  <c r="D1970" i="17"/>
  <c r="C1970" i="17"/>
  <c r="B1970" i="17"/>
  <c r="A1970" i="17"/>
  <c r="I1969" i="17"/>
  <c r="H1969" i="17"/>
  <c r="G1969" i="17"/>
  <c r="F1969" i="17"/>
  <c r="E1969" i="17"/>
  <c r="D1969" i="17"/>
  <c r="C1969" i="17"/>
  <c r="B1969" i="17"/>
  <c r="A1969" i="17"/>
  <c r="P1968" i="17"/>
  <c r="I1968" i="17"/>
  <c r="H1968" i="17"/>
  <c r="G1968" i="17"/>
  <c r="F1968" i="17"/>
  <c r="E1968" i="17"/>
  <c r="D1968" i="17"/>
  <c r="C1968" i="17"/>
  <c r="B1968" i="17"/>
  <c r="A1968" i="17"/>
  <c r="AM1967" i="17"/>
  <c r="AL1967" i="17"/>
  <c r="AK1967" i="17"/>
  <c r="AI1967" i="17"/>
  <c r="AC1967" i="17"/>
  <c r="Y1967" i="17"/>
  <c r="S1967" i="17"/>
  <c r="R1967" i="17"/>
  <c r="Q1967" i="17"/>
  <c r="O1967" i="17"/>
  <c r="K1967" i="17"/>
  <c r="I1967" i="17"/>
  <c r="H1967" i="17"/>
  <c r="G1967" i="17"/>
  <c r="F1967" i="17"/>
  <c r="E1967" i="17"/>
  <c r="D1967" i="17"/>
  <c r="C1967" i="17"/>
  <c r="B1967" i="17"/>
  <c r="A1967" i="17"/>
  <c r="AD1967" i="17" s="1"/>
  <c r="AP1966" i="17"/>
  <c r="AM1966" i="17"/>
  <c r="AC1966" i="17"/>
  <c r="AA1966" i="17"/>
  <c r="P1966" i="17"/>
  <c r="J1966" i="17"/>
  <c r="I1966" i="17"/>
  <c r="H1966" i="17"/>
  <c r="G1966" i="17"/>
  <c r="F1966" i="17"/>
  <c r="E1966" i="17"/>
  <c r="D1966" i="17"/>
  <c r="C1966" i="17"/>
  <c r="B1966" i="17"/>
  <c r="A1966" i="17"/>
  <c r="Q1966" i="17" s="1"/>
  <c r="I1965" i="17"/>
  <c r="H1965" i="17"/>
  <c r="G1965" i="17"/>
  <c r="F1965" i="17"/>
  <c r="E1965" i="17"/>
  <c r="D1965" i="17"/>
  <c r="C1965" i="17"/>
  <c r="B1965" i="17"/>
  <c r="A1965" i="17"/>
  <c r="I1964" i="17"/>
  <c r="H1964" i="17"/>
  <c r="G1964" i="17"/>
  <c r="F1964" i="17"/>
  <c r="E1964" i="17"/>
  <c r="D1964" i="17"/>
  <c r="C1964" i="17"/>
  <c r="B1964" i="17"/>
  <c r="A1964" i="17"/>
  <c r="I1963" i="17"/>
  <c r="H1963" i="17"/>
  <c r="G1963" i="17"/>
  <c r="F1963" i="17"/>
  <c r="E1963" i="17"/>
  <c r="D1963" i="17"/>
  <c r="C1963" i="17"/>
  <c r="B1963" i="17"/>
  <c r="A1963" i="17"/>
  <c r="W1962" i="17"/>
  <c r="I1962" i="17"/>
  <c r="H1962" i="17"/>
  <c r="G1962" i="17"/>
  <c r="F1962" i="17"/>
  <c r="E1962" i="17"/>
  <c r="D1962" i="17"/>
  <c r="C1962" i="17"/>
  <c r="B1962" i="17"/>
  <c r="A1962" i="17"/>
  <c r="I1961" i="17"/>
  <c r="H1961" i="17"/>
  <c r="G1961" i="17"/>
  <c r="F1961" i="17"/>
  <c r="E1961" i="17"/>
  <c r="D1961" i="17"/>
  <c r="C1961" i="17"/>
  <c r="B1961" i="17"/>
  <c r="A1961" i="17"/>
  <c r="I1960" i="17"/>
  <c r="H1960" i="17"/>
  <c r="G1960" i="17"/>
  <c r="F1960" i="17"/>
  <c r="E1960" i="17"/>
  <c r="D1960" i="17"/>
  <c r="C1960" i="17"/>
  <c r="B1960" i="17"/>
  <c r="A1960" i="17"/>
  <c r="N1960" i="17" s="1"/>
  <c r="I1959" i="17"/>
  <c r="H1959" i="17"/>
  <c r="G1959" i="17"/>
  <c r="F1959" i="17"/>
  <c r="E1959" i="17"/>
  <c r="D1959" i="17"/>
  <c r="C1959" i="17"/>
  <c r="B1959" i="17"/>
  <c r="A1959" i="17"/>
  <c r="AH1959" i="17" s="1"/>
  <c r="AH1958" i="17"/>
  <c r="Z1958" i="17"/>
  <c r="Y1958" i="17"/>
  <c r="N1958" i="17"/>
  <c r="I1958" i="17"/>
  <c r="H1958" i="17"/>
  <c r="G1958" i="17"/>
  <c r="F1958" i="17"/>
  <c r="E1958" i="17"/>
  <c r="D1958" i="17"/>
  <c r="C1958" i="17"/>
  <c r="B1958" i="17"/>
  <c r="A1958" i="17"/>
  <c r="X1958" i="17" s="1"/>
  <c r="AG1957" i="17"/>
  <c r="AE1957" i="17"/>
  <c r="O1957" i="17"/>
  <c r="K1957" i="17"/>
  <c r="I1957" i="17"/>
  <c r="H1957" i="17"/>
  <c r="G1957" i="17"/>
  <c r="F1957" i="17"/>
  <c r="E1957" i="17"/>
  <c r="D1957" i="17"/>
  <c r="C1957" i="17"/>
  <c r="B1957" i="17"/>
  <c r="A1957" i="17"/>
  <c r="I1956" i="17"/>
  <c r="H1956" i="17"/>
  <c r="G1956" i="17"/>
  <c r="F1956" i="17"/>
  <c r="E1956" i="17"/>
  <c r="D1956" i="17"/>
  <c r="C1956" i="17"/>
  <c r="B1956" i="17"/>
  <c r="A1956" i="17"/>
  <c r="AA1956" i="17" s="1"/>
  <c r="I1955" i="17"/>
  <c r="H1955" i="17"/>
  <c r="G1955" i="17"/>
  <c r="F1955" i="17"/>
  <c r="E1955" i="17"/>
  <c r="D1955" i="17"/>
  <c r="C1955" i="17"/>
  <c r="B1955" i="17"/>
  <c r="A1955" i="17"/>
  <c r="AD1954" i="17"/>
  <c r="I1954" i="17"/>
  <c r="H1954" i="17"/>
  <c r="G1954" i="17"/>
  <c r="F1954" i="17"/>
  <c r="E1954" i="17"/>
  <c r="D1954" i="17"/>
  <c r="C1954" i="17"/>
  <c r="B1954" i="17"/>
  <c r="A1954" i="17"/>
  <c r="I1953" i="17"/>
  <c r="H1953" i="17"/>
  <c r="G1953" i="17"/>
  <c r="F1953" i="17"/>
  <c r="E1953" i="17"/>
  <c r="D1953" i="17"/>
  <c r="C1953" i="17"/>
  <c r="B1953" i="17"/>
  <c r="A1953" i="17"/>
  <c r="I1952" i="17"/>
  <c r="H1952" i="17"/>
  <c r="G1952" i="17"/>
  <c r="F1952" i="17"/>
  <c r="E1952" i="17"/>
  <c r="D1952" i="17"/>
  <c r="C1952" i="17"/>
  <c r="B1952" i="17"/>
  <c r="A1952" i="17"/>
  <c r="AD1951" i="17"/>
  <c r="I1951" i="17"/>
  <c r="H1951" i="17"/>
  <c r="G1951" i="17"/>
  <c r="F1951" i="17"/>
  <c r="E1951" i="17"/>
  <c r="D1951" i="17"/>
  <c r="C1951" i="17"/>
  <c r="B1951" i="17"/>
  <c r="A1951" i="17"/>
  <c r="AC1951" i="17" s="1"/>
  <c r="AL1950" i="17"/>
  <c r="AK1950" i="17"/>
  <c r="AJ1950" i="17"/>
  <c r="AE1950" i="17"/>
  <c r="I1950" i="17"/>
  <c r="H1950" i="17"/>
  <c r="G1950" i="17"/>
  <c r="F1950" i="17"/>
  <c r="E1950" i="17"/>
  <c r="D1950" i="17"/>
  <c r="C1950" i="17"/>
  <c r="B1950" i="17"/>
  <c r="A1950" i="17"/>
  <c r="U1950" i="17" s="1"/>
  <c r="I1949" i="17"/>
  <c r="H1949" i="17"/>
  <c r="G1949" i="17"/>
  <c r="F1949" i="17"/>
  <c r="E1949" i="17"/>
  <c r="D1949" i="17"/>
  <c r="C1949" i="17"/>
  <c r="B1949" i="17"/>
  <c r="A1949" i="17"/>
  <c r="S1949" i="17" s="1"/>
  <c r="O1948" i="17"/>
  <c r="I1948" i="17"/>
  <c r="H1948" i="17"/>
  <c r="G1948" i="17"/>
  <c r="F1948" i="17"/>
  <c r="E1948" i="17"/>
  <c r="D1948" i="17"/>
  <c r="C1948" i="17"/>
  <c r="B1948" i="17"/>
  <c r="A1948" i="17"/>
  <c r="AN1947" i="17"/>
  <c r="AM1947" i="17"/>
  <c r="AJ1947" i="17"/>
  <c r="Z1947" i="17"/>
  <c r="Y1947" i="17"/>
  <c r="W1947" i="17"/>
  <c r="I1947" i="17"/>
  <c r="H1947" i="17"/>
  <c r="G1947" i="17"/>
  <c r="F1947" i="17"/>
  <c r="E1947" i="17"/>
  <c r="D1947" i="17"/>
  <c r="C1947" i="17"/>
  <c r="B1947" i="17"/>
  <c r="A1947" i="17"/>
  <c r="AN1946" i="17"/>
  <c r="AM1946" i="17"/>
  <c r="AD1946" i="17"/>
  <c r="I1946" i="17"/>
  <c r="H1946" i="17"/>
  <c r="G1946" i="17"/>
  <c r="F1946" i="17"/>
  <c r="E1946" i="17"/>
  <c r="D1946" i="17"/>
  <c r="C1946" i="17"/>
  <c r="B1946" i="17"/>
  <c r="A1946" i="17"/>
  <c r="AM1945" i="17"/>
  <c r="W1945" i="17"/>
  <c r="T1945" i="17"/>
  <c r="Q1945" i="17"/>
  <c r="P1945" i="17"/>
  <c r="I1945" i="17"/>
  <c r="H1945" i="17"/>
  <c r="G1945" i="17"/>
  <c r="F1945" i="17"/>
  <c r="E1945" i="17"/>
  <c r="D1945" i="17"/>
  <c r="C1945" i="17"/>
  <c r="B1945" i="17"/>
  <c r="A1945" i="17"/>
  <c r="AP1945" i="17" s="1"/>
  <c r="I1944" i="17"/>
  <c r="H1944" i="17"/>
  <c r="G1944" i="17"/>
  <c r="F1944" i="17"/>
  <c r="E1944" i="17"/>
  <c r="D1944" i="17"/>
  <c r="C1944" i="17"/>
  <c r="B1944" i="17"/>
  <c r="A1944" i="17"/>
  <c r="AJ1943" i="17"/>
  <c r="AE1943" i="17"/>
  <c r="Y1943" i="17"/>
  <c r="X1943" i="17"/>
  <c r="P1943" i="17"/>
  <c r="I1943" i="17"/>
  <c r="H1943" i="17"/>
  <c r="G1943" i="17"/>
  <c r="F1943" i="17"/>
  <c r="E1943" i="17"/>
  <c r="D1943" i="17"/>
  <c r="C1943" i="17"/>
  <c r="B1943" i="17"/>
  <c r="A1943" i="17"/>
  <c r="AQ1943" i="17" s="1"/>
  <c r="I1942" i="17"/>
  <c r="H1942" i="17"/>
  <c r="G1942" i="17"/>
  <c r="F1942" i="17"/>
  <c r="E1942" i="17"/>
  <c r="D1942" i="17"/>
  <c r="C1942" i="17"/>
  <c r="B1942" i="17"/>
  <c r="A1942" i="17"/>
  <c r="AP1941" i="17"/>
  <c r="AO1941" i="17"/>
  <c r="I1941" i="17"/>
  <c r="H1941" i="17"/>
  <c r="G1941" i="17"/>
  <c r="F1941" i="17"/>
  <c r="E1941" i="17"/>
  <c r="D1941" i="17"/>
  <c r="C1941" i="17"/>
  <c r="B1941" i="17"/>
  <c r="A1941" i="17"/>
  <c r="AN1941" i="17" s="1"/>
  <c r="AQ1940" i="17"/>
  <c r="V1940" i="17"/>
  <c r="N1940" i="17"/>
  <c r="M1940" i="17"/>
  <c r="K1940" i="17"/>
  <c r="I1940" i="17"/>
  <c r="H1940" i="17"/>
  <c r="G1940" i="17"/>
  <c r="F1940" i="17"/>
  <c r="E1940" i="17"/>
  <c r="D1940" i="17"/>
  <c r="C1940" i="17"/>
  <c r="B1940" i="17"/>
  <c r="A1940" i="17"/>
  <c r="R1939" i="17"/>
  <c r="Q1939" i="17"/>
  <c r="I1939" i="17"/>
  <c r="H1939" i="17"/>
  <c r="G1939" i="17"/>
  <c r="F1939" i="17"/>
  <c r="E1939" i="17"/>
  <c r="D1939" i="17"/>
  <c r="C1939" i="17"/>
  <c r="B1939" i="17"/>
  <c r="A1939" i="17"/>
  <c r="AL1938" i="17"/>
  <c r="AK1938" i="17"/>
  <c r="AI1938" i="17"/>
  <c r="AF1938" i="17"/>
  <c r="I1938" i="17"/>
  <c r="H1938" i="17"/>
  <c r="G1938" i="17"/>
  <c r="F1938" i="17"/>
  <c r="E1938" i="17"/>
  <c r="D1938" i="17"/>
  <c r="C1938" i="17"/>
  <c r="B1938" i="17"/>
  <c r="A1938" i="17"/>
  <c r="I1937" i="17"/>
  <c r="H1937" i="17"/>
  <c r="G1937" i="17"/>
  <c r="F1937" i="17"/>
  <c r="E1937" i="17"/>
  <c r="D1937" i="17"/>
  <c r="C1937" i="17"/>
  <c r="B1937" i="17"/>
  <c r="A1937" i="17"/>
  <c r="S1937" i="17" s="1"/>
  <c r="AK1936" i="17"/>
  <c r="U1936" i="17"/>
  <c r="I1936" i="17"/>
  <c r="H1936" i="17"/>
  <c r="G1936" i="17"/>
  <c r="F1936" i="17"/>
  <c r="E1936" i="17"/>
  <c r="D1936" i="17"/>
  <c r="C1936" i="17"/>
  <c r="B1936" i="17"/>
  <c r="A1936" i="17"/>
  <c r="AB1935" i="17"/>
  <c r="I1935" i="17"/>
  <c r="H1935" i="17"/>
  <c r="G1935" i="17"/>
  <c r="F1935" i="17"/>
  <c r="E1935" i="17"/>
  <c r="D1935" i="17"/>
  <c r="C1935" i="17"/>
  <c r="B1935" i="17"/>
  <c r="A1935" i="17"/>
  <c r="AL1934" i="17"/>
  <c r="AE1934" i="17"/>
  <c r="X1934" i="17"/>
  <c r="W1934" i="17"/>
  <c r="N1934" i="17"/>
  <c r="M1934" i="17"/>
  <c r="L1934" i="17"/>
  <c r="I1934" i="17"/>
  <c r="H1934" i="17"/>
  <c r="G1934" i="17"/>
  <c r="F1934" i="17"/>
  <c r="E1934" i="17"/>
  <c r="D1934" i="17"/>
  <c r="C1934" i="17"/>
  <c r="B1934" i="17"/>
  <c r="A1934" i="17"/>
  <c r="V1934" i="17" s="1"/>
  <c r="I1933" i="17"/>
  <c r="H1933" i="17"/>
  <c r="G1933" i="17"/>
  <c r="F1933" i="17"/>
  <c r="E1933" i="17"/>
  <c r="D1933" i="17"/>
  <c r="C1933" i="17"/>
  <c r="B1933" i="17"/>
  <c r="A1933" i="17"/>
  <c r="I1932" i="17"/>
  <c r="H1932" i="17"/>
  <c r="G1932" i="17"/>
  <c r="F1932" i="17"/>
  <c r="E1932" i="17"/>
  <c r="D1932" i="17"/>
  <c r="C1932" i="17"/>
  <c r="B1932" i="17"/>
  <c r="A1932" i="17"/>
  <c r="K1932" i="17" s="1"/>
  <c r="AQ1931" i="17"/>
  <c r="AF1931" i="17"/>
  <c r="AB1931" i="17"/>
  <c r="AA1931" i="17"/>
  <c r="Z1931" i="17"/>
  <c r="O1931" i="17"/>
  <c r="K1931" i="17"/>
  <c r="I1931" i="17"/>
  <c r="H1931" i="17"/>
  <c r="G1931" i="17"/>
  <c r="F1931" i="17"/>
  <c r="E1931" i="17"/>
  <c r="D1931" i="17"/>
  <c r="C1931" i="17"/>
  <c r="B1931" i="17"/>
  <c r="A1931" i="17"/>
  <c r="T1931" i="17" s="1"/>
  <c r="AQ1930" i="17"/>
  <c r="AK1930" i="17"/>
  <c r="AE1930" i="17"/>
  <c r="T1930" i="17"/>
  <c r="S1930" i="17"/>
  <c r="N1930" i="17"/>
  <c r="M1930" i="17"/>
  <c r="L1930" i="17"/>
  <c r="I1930" i="17"/>
  <c r="H1930" i="17"/>
  <c r="G1930" i="17"/>
  <c r="F1930" i="17"/>
  <c r="E1930" i="17"/>
  <c r="D1930" i="17"/>
  <c r="C1930" i="17"/>
  <c r="B1930" i="17"/>
  <c r="A1930" i="17"/>
  <c r="I1929" i="17"/>
  <c r="H1929" i="17"/>
  <c r="G1929" i="17"/>
  <c r="F1929" i="17"/>
  <c r="E1929" i="17"/>
  <c r="D1929" i="17"/>
  <c r="C1929" i="17"/>
  <c r="B1929" i="17"/>
  <c r="A1929" i="17"/>
  <c r="AR1929" i="17" s="1"/>
  <c r="I1928" i="17"/>
  <c r="H1928" i="17"/>
  <c r="G1928" i="17"/>
  <c r="F1928" i="17"/>
  <c r="E1928" i="17"/>
  <c r="D1928" i="17"/>
  <c r="C1928" i="17"/>
  <c r="B1928" i="17"/>
  <c r="A1928" i="17"/>
  <c r="AF1928" i="17" s="1"/>
  <c r="I1927" i="17"/>
  <c r="H1927" i="17"/>
  <c r="G1927" i="17"/>
  <c r="F1927" i="17"/>
  <c r="E1927" i="17"/>
  <c r="D1927" i="17"/>
  <c r="C1927" i="17"/>
  <c r="B1927" i="17"/>
  <c r="A1927" i="17"/>
  <c r="I1926" i="17"/>
  <c r="H1926" i="17"/>
  <c r="G1926" i="17"/>
  <c r="F1926" i="17"/>
  <c r="E1926" i="17"/>
  <c r="D1926" i="17"/>
  <c r="C1926" i="17"/>
  <c r="B1926" i="17"/>
  <c r="A1926" i="17"/>
  <c r="T1926" i="17" s="1"/>
  <c r="I1925" i="17"/>
  <c r="H1925" i="17"/>
  <c r="G1925" i="17"/>
  <c r="F1925" i="17"/>
  <c r="E1925" i="17"/>
  <c r="D1925" i="17"/>
  <c r="C1925" i="17"/>
  <c r="B1925" i="17"/>
  <c r="A1925" i="17"/>
  <c r="AA1925" i="17" s="1"/>
  <c r="I1924" i="17"/>
  <c r="H1924" i="17"/>
  <c r="G1924" i="17"/>
  <c r="F1924" i="17"/>
  <c r="E1924" i="17"/>
  <c r="D1924" i="17"/>
  <c r="C1924" i="17"/>
  <c r="B1924" i="17"/>
  <c r="A1924" i="17"/>
  <c r="W1923" i="17"/>
  <c r="I1923" i="17"/>
  <c r="H1923" i="17"/>
  <c r="G1923" i="17"/>
  <c r="F1923" i="17"/>
  <c r="E1923" i="17"/>
  <c r="D1923" i="17"/>
  <c r="C1923" i="17"/>
  <c r="B1923" i="17"/>
  <c r="A1923" i="17"/>
  <c r="AR1922" i="17"/>
  <c r="AN1922" i="17"/>
  <c r="AB1922" i="17"/>
  <c r="AA1922" i="17"/>
  <c r="X1922" i="17"/>
  <c r="S1922" i="17"/>
  <c r="I1922" i="17"/>
  <c r="H1922" i="17"/>
  <c r="G1922" i="17"/>
  <c r="F1922" i="17"/>
  <c r="E1922" i="17"/>
  <c r="D1922" i="17"/>
  <c r="C1922" i="17"/>
  <c r="B1922" i="17"/>
  <c r="A1922" i="17"/>
  <c r="I1921" i="17"/>
  <c r="H1921" i="17"/>
  <c r="G1921" i="17"/>
  <c r="F1921" i="17"/>
  <c r="E1921" i="17"/>
  <c r="D1921" i="17"/>
  <c r="C1921" i="17"/>
  <c r="B1921" i="17"/>
  <c r="A1921" i="17"/>
  <c r="AQ1921" i="17" s="1"/>
  <c r="I1920" i="17"/>
  <c r="H1920" i="17"/>
  <c r="G1920" i="17"/>
  <c r="F1920" i="17"/>
  <c r="E1920" i="17"/>
  <c r="D1920" i="17"/>
  <c r="C1920" i="17"/>
  <c r="B1920" i="17"/>
  <c r="A1920" i="17"/>
  <c r="AQ1920" i="17" s="1"/>
  <c r="I1919" i="17"/>
  <c r="H1919" i="17"/>
  <c r="G1919" i="17"/>
  <c r="F1919" i="17"/>
  <c r="E1919" i="17"/>
  <c r="D1919" i="17"/>
  <c r="C1919" i="17"/>
  <c r="B1919" i="17"/>
  <c r="A1919" i="17"/>
  <c r="I1918" i="17"/>
  <c r="H1918" i="17"/>
  <c r="G1918" i="17"/>
  <c r="F1918" i="17"/>
  <c r="E1918" i="17"/>
  <c r="D1918" i="17"/>
  <c r="C1918" i="17"/>
  <c r="B1918" i="17"/>
  <c r="A1918" i="17"/>
  <c r="I1917" i="17"/>
  <c r="H1917" i="17"/>
  <c r="G1917" i="17"/>
  <c r="F1917" i="17"/>
  <c r="E1917" i="17"/>
  <c r="D1917" i="17"/>
  <c r="C1917" i="17"/>
  <c r="B1917" i="17"/>
  <c r="A1917" i="17"/>
  <c r="I1916" i="17"/>
  <c r="H1916" i="17"/>
  <c r="G1916" i="17"/>
  <c r="F1916" i="17"/>
  <c r="E1916" i="17"/>
  <c r="D1916" i="17"/>
  <c r="C1916" i="17"/>
  <c r="B1916" i="17"/>
  <c r="A1916" i="17"/>
  <c r="I1915" i="17"/>
  <c r="H1915" i="17"/>
  <c r="G1915" i="17"/>
  <c r="F1915" i="17"/>
  <c r="E1915" i="17"/>
  <c r="D1915" i="17"/>
  <c r="C1915" i="17"/>
  <c r="B1915" i="17"/>
  <c r="A1915" i="17"/>
  <c r="AL1914" i="17"/>
  <c r="AI1914" i="17"/>
  <c r="Y1914" i="17"/>
  <c r="V1914" i="17"/>
  <c r="I1914" i="17"/>
  <c r="H1914" i="17"/>
  <c r="G1914" i="17"/>
  <c r="F1914" i="17"/>
  <c r="E1914" i="17"/>
  <c r="D1914" i="17"/>
  <c r="C1914" i="17"/>
  <c r="B1914" i="17"/>
  <c r="A1914" i="17"/>
  <c r="AM1913" i="17"/>
  <c r="AD1913" i="17"/>
  <c r="AC1913" i="17"/>
  <c r="AB1913" i="17"/>
  <c r="AA1913" i="17"/>
  <c r="L1913" i="17"/>
  <c r="K1913" i="17"/>
  <c r="I1913" i="17"/>
  <c r="H1913" i="17"/>
  <c r="G1913" i="17"/>
  <c r="F1913" i="17"/>
  <c r="E1913" i="17"/>
  <c r="D1913" i="17"/>
  <c r="C1913" i="17"/>
  <c r="B1913" i="17"/>
  <c r="A1913" i="17"/>
  <c r="AO1912" i="17"/>
  <c r="AD1912" i="17"/>
  <c r="I1912" i="17"/>
  <c r="H1912" i="17"/>
  <c r="G1912" i="17"/>
  <c r="F1912" i="17"/>
  <c r="E1912" i="17"/>
  <c r="D1912" i="17"/>
  <c r="C1912" i="17"/>
  <c r="B1912" i="17"/>
  <c r="A1912" i="17"/>
  <c r="AA1912" i="17" s="1"/>
  <c r="I1911" i="17"/>
  <c r="H1911" i="17"/>
  <c r="G1911" i="17"/>
  <c r="F1911" i="17"/>
  <c r="E1911" i="17"/>
  <c r="D1911" i="17"/>
  <c r="C1911" i="17"/>
  <c r="B1911" i="17"/>
  <c r="A1911" i="17"/>
  <c r="AP1910" i="17"/>
  <c r="Q1910" i="17"/>
  <c r="P1910" i="17"/>
  <c r="I1910" i="17"/>
  <c r="H1910" i="17"/>
  <c r="G1910" i="17"/>
  <c r="F1910" i="17"/>
  <c r="E1910" i="17"/>
  <c r="D1910" i="17"/>
  <c r="C1910" i="17"/>
  <c r="B1910" i="17"/>
  <c r="A1910" i="17"/>
  <c r="I1909" i="17"/>
  <c r="H1909" i="17"/>
  <c r="G1909" i="17"/>
  <c r="F1909" i="17"/>
  <c r="E1909" i="17"/>
  <c r="D1909" i="17"/>
  <c r="C1909" i="17"/>
  <c r="B1909" i="17"/>
  <c r="A1909" i="17"/>
  <c r="I1908" i="17"/>
  <c r="H1908" i="17"/>
  <c r="G1908" i="17"/>
  <c r="F1908" i="17"/>
  <c r="E1908" i="17"/>
  <c r="D1908" i="17"/>
  <c r="C1908" i="17"/>
  <c r="B1908" i="17"/>
  <c r="A1908" i="17"/>
  <c r="V1907" i="17"/>
  <c r="I1907" i="17"/>
  <c r="H1907" i="17"/>
  <c r="G1907" i="17"/>
  <c r="F1907" i="17"/>
  <c r="E1907" i="17"/>
  <c r="D1907" i="17"/>
  <c r="C1907" i="17"/>
  <c r="B1907" i="17"/>
  <c r="A1907" i="17"/>
  <c r="W1907" i="17" s="1"/>
  <c r="I1906" i="17"/>
  <c r="H1906" i="17"/>
  <c r="G1906" i="17"/>
  <c r="F1906" i="17"/>
  <c r="E1906" i="17"/>
  <c r="D1906" i="17"/>
  <c r="C1906" i="17"/>
  <c r="B1906" i="17"/>
  <c r="A1906" i="17"/>
  <c r="I1905" i="17"/>
  <c r="H1905" i="17"/>
  <c r="G1905" i="17"/>
  <c r="F1905" i="17"/>
  <c r="E1905" i="17"/>
  <c r="D1905" i="17"/>
  <c r="C1905" i="17"/>
  <c r="B1905" i="17"/>
  <c r="A1905" i="17"/>
  <c r="O1904" i="17"/>
  <c r="N1904" i="17"/>
  <c r="I1904" i="17"/>
  <c r="H1904" i="17"/>
  <c r="G1904" i="17"/>
  <c r="F1904" i="17"/>
  <c r="E1904" i="17"/>
  <c r="D1904" i="17"/>
  <c r="C1904" i="17"/>
  <c r="B1904" i="17"/>
  <c r="A1904" i="17"/>
  <c r="I1903" i="17"/>
  <c r="H1903" i="17"/>
  <c r="G1903" i="17"/>
  <c r="F1903" i="17"/>
  <c r="E1903" i="17"/>
  <c r="D1903" i="17"/>
  <c r="C1903" i="17"/>
  <c r="B1903" i="17"/>
  <c r="A1903" i="17"/>
  <c r="AA1902" i="17"/>
  <c r="S1902" i="17"/>
  <c r="Q1902" i="17"/>
  <c r="I1902" i="17"/>
  <c r="H1902" i="17"/>
  <c r="G1902" i="17"/>
  <c r="F1902" i="17"/>
  <c r="E1902" i="17"/>
  <c r="D1902" i="17"/>
  <c r="C1902" i="17"/>
  <c r="B1902" i="17"/>
  <c r="A1902" i="17"/>
  <c r="I1901" i="17"/>
  <c r="H1901" i="17"/>
  <c r="G1901" i="17"/>
  <c r="F1901" i="17"/>
  <c r="E1901" i="17"/>
  <c r="D1901" i="17"/>
  <c r="C1901" i="17"/>
  <c r="B1901" i="17"/>
  <c r="A1901" i="17"/>
  <c r="AJ1901" i="17" s="1"/>
  <c r="I1900" i="17"/>
  <c r="H1900" i="17"/>
  <c r="G1900" i="17"/>
  <c r="F1900" i="17"/>
  <c r="E1900" i="17"/>
  <c r="D1900" i="17"/>
  <c r="C1900" i="17"/>
  <c r="B1900" i="17"/>
  <c r="A1900" i="17"/>
  <c r="AJ1899" i="17"/>
  <c r="AE1899" i="17"/>
  <c r="AB1899" i="17"/>
  <c r="W1899" i="17"/>
  <c r="I1899" i="17"/>
  <c r="H1899" i="17"/>
  <c r="G1899" i="17"/>
  <c r="F1899" i="17"/>
  <c r="E1899" i="17"/>
  <c r="D1899" i="17"/>
  <c r="C1899" i="17"/>
  <c r="B1899" i="17"/>
  <c r="A1899" i="17"/>
  <c r="I1898" i="17"/>
  <c r="H1898" i="17"/>
  <c r="G1898" i="17"/>
  <c r="F1898" i="17"/>
  <c r="E1898" i="17"/>
  <c r="D1898" i="17"/>
  <c r="C1898" i="17"/>
  <c r="B1898" i="17"/>
  <c r="A1898" i="17"/>
  <c r="I1897" i="17"/>
  <c r="H1897" i="17"/>
  <c r="G1897" i="17"/>
  <c r="F1897" i="17"/>
  <c r="E1897" i="17"/>
  <c r="D1897" i="17"/>
  <c r="C1897" i="17"/>
  <c r="B1897" i="17"/>
  <c r="A1897" i="17"/>
  <c r="I1896" i="17"/>
  <c r="H1896" i="17"/>
  <c r="G1896" i="17"/>
  <c r="F1896" i="17"/>
  <c r="E1896" i="17"/>
  <c r="D1896" i="17"/>
  <c r="C1896" i="17"/>
  <c r="B1896" i="17"/>
  <c r="A1896" i="17"/>
  <c r="AA1896" i="17" s="1"/>
  <c r="AL1895" i="17"/>
  <c r="S1895" i="17"/>
  <c r="L1895" i="17"/>
  <c r="I1895" i="17"/>
  <c r="H1895" i="17"/>
  <c r="G1895" i="17"/>
  <c r="F1895" i="17"/>
  <c r="E1895" i="17"/>
  <c r="D1895" i="17"/>
  <c r="C1895" i="17"/>
  <c r="B1895" i="17"/>
  <c r="A1895" i="17"/>
  <c r="AG1894" i="17"/>
  <c r="I1894" i="17"/>
  <c r="H1894" i="17"/>
  <c r="G1894" i="17"/>
  <c r="F1894" i="17"/>
  <c r="E1894" i="17"/>
  <c r="D1894" i="17"/>
  <c r="C1894" i="17"/>
  <c r="B1894" i="17"/>
  <c r="A1894" i="17"/>
  <c r="AC1894" i="17" s="1"/>
  <c r="AM1893" i="17"/>
  <c r="I1893" i="17"/>
  <c r="H1893" i="17"/>
  <c r="G1893" i="17"/>
  <c r="F1893" i="17"/>
  <c r="E1893" i="17"/>
  <c r="D1893" i="17"/>
  <c r="C1893" i="17"/>
  <c r="B1893" i="17"/>
  <c r="A1893" i="17"/>
  <c r="AF1892" i="17"/>
  <c r="I1892" i="17"/>
  <c r="H1892" i="17"/>
  <c r="G1892" i="17"/>
  <c r="F1892" i="17"/>
  <c r="E1892" i="17"/>
  <c r="D1892" i="17"/>
  <c r="C1892" i="17"/>
  <c r="B1892" i="17"/>
  <c r="A1892" i="17"/>
  <c r="I1891" i="17"/>
  <c r="H1891" i="17"/>
  <c r="G1891" i="17"/>
  <c r="F1891" i="17"/>
  <c r="E1891" i="17"/>
  <c r="D1891" i="17"/>
  <c r="C1891" i="17"/>
  <c r="B1891" i="17"/>
  <c r="A1891" i="17"/>
  <c r="I1890" i="17"/>
  <c r="H1890" i="17"/>
  <c r="G1890" i="17"/>
  <c r="F1890" i="17"/>
  <c r="E1890" i="17"/>
  <c r="D1890" i="17"/>
  <c r="C1890" i="17"/>
  <c r="B1890" i="17"/>
  <c r="A1890" i="17"/>
  <c r="AR1889" i="17"/>
  <c r="AA1889" i="17"/>
  <c r="K1889" i="17"/>
  <c r="I1889" i="17"/>
  <c r="H1889" i="17"/>
  <c r="G1889" i="17"/>
  <c r="F1889" i="17"/>
  <c r="E1889" i="17"/>
  <c r="D1889" i="17"/>
  <c r="C1889" i="17"/>
  <c r="B1889" i="17"/>
  <c r="A1889" i="17"/>
  <c r="V1888" i="17"/>
  <c r="I1888" i="17"/>
  <c r="H1888" i="17"/>
  <c r="G1888" i="17"/>
  <c r="F1888" i="17"/>
  <c r="E1888" i="17"/>
  <c r="D1888" i="17"/>
  <c r="C1888" i="17"/>
  <c r="B1888" i="17"/>
  <c r="A1888" i="17"/>
  <c r="AK1888" i="17" s="1"/>
  <c r="I1887" i="17"/>
  <c r="H1887" i="17"/>
  <c r="G1887" i="17"/>
  <c r="F1887" i="17"/>
  <c r="E1887" i="17"/>
  <c r="D1887" i="17"/>
  <c r="C1887" i="17"/>
  <c r="B1887" i="17"/>
  <c r="A1887" i="17"/>
  <c r="AC1886" i="17"/>
  <c r="I1886" i="17"/>
  <c r="H1886" i="17"/>
  <c r="G1886" i="17"/>
  <c r="F1886" i="17"/>
  <c r="E1886" i="17"/>
  <c r="D1886" i="17"/>
  <c r="C1886" i="17"/>
  <c r="B1886" i="17"/>
  <c r="A1886" i="17"/>
  <c r="T1885" i="17"/>
  <c r="S1885" i="17"/>
  <c r="R1885" i="17"/>
  <c r="I1885" i="17"/>
  <c r="H1885" i="17"/>
  <c r="G1885" i="17"/>
  <c r="F1885" i="17"/>
  <c r="E1885" i="17"/>
  <c r="D1885" i="17"/>
  <c r="C1885" i="17"/>
  <c r="B1885" i="17"/>
  <c r="A1885" i="17"/>
  <c r="Q1885" i="17" s="1"/>
  <c r="I1884" i="17"/>
  <c r="H1884" i="17"/>
  <c r="G1884" i="17"/>
  <c r="F1884" i="17"/>
  <c r="E1884" i="17"/>
  <c r="D1884" i="17"/>
  <c r="C1884" i="17"/>
  <c r="B1884" i="17"/>
  <c r="A1884" i="17"/>
  <c r="I1883" i="17"/>
  <c r="H1883" i="17"/>
  <c r="G1883" i="17"/>
  <c r="F1883" i="17"/>
  <c r="E1883" i="17"/>
  <c r="D1883" i="17"/>
  <c r="C1883" i="17"/>
  <c r="B1883" i="17"/>
  <c r="A1883" i="17"/>
  <c r="AE1882" i="17"/>
  <c r="Q1882" i="17"/>
  <c r="I1882" i="17"/>
  <c r="H1882" i="17"/>
  <c r="G1882" i="17"/>
  <c r="F1882" i="17"/>
  <c r="E1882" i="17"/>
  <c r="D1882" i="17"/>
  <c r="C1882" i="17"/>
  <c r="B1882" i="17"/>
  <c r="A1882" i="17"/>
  <c r="AG1881" i="17"/>
  <c r="I1881" i="17"/>
  <c r="H1881" i="17"/>
  <c r="G1881" i="17"/>
  <c r="F1881" i="17"/>
  <c r="E1881" i="17"/>
  <c r="D1881" i="17"/>
  <c r="C1881" i="17"/>
  <c r="B1881" i="17"/>
  <c r="A1881" i="17"/>
  <c r="N1881" i="17" s="1"/>
  <c r="I1880" i="17"/>
  <c r="H1880" i="17"/>
  <c r="G1880" i="17"/>
  <c r="F1880" i="17"/>
  <c r="E1880" i="17"/>
  <c r="D1880" i="17"/>
  <c r="C1880" i="17"/>
  <c r="B1880" i="17"/>
  <c r="A1880" i="17"/>
  <c r="AG1880" i="17" s="1"/>
  <c r="AP1879" i="17"/>
  <c r="AL1879" i="17"/>
  <c r="AI1879" i="17"/>
  <c r="Y1879" i="17"/>
  <c r="U1879" i="17"/>
  <c r="S1879" i="17"/>
  <c r="O1879" i="17"/>
  <c r="K1879" i="17"/>
  <c r="I1879" i="17"/>
  <c r="H1879" i="17"/>
  <c r="G1879" i="17"/>
  <c r="F1879" i="17"/>
  <c r="E1879" i="17"/>
  <c r="D1879" i="17"/>
  <c r="C1879" i="17"/>
  <c r="B1879" i="17"/>
  <c r="A1879" i="17"/>
  <c r="AO1879" i="17" s="1"/>
  <c r="AH1878" i="17"/>
  <c r="I1878" i="17"/>
  <c r="H1878" i="17"/>
  <c r="G1878" i="17"/>
  <c r="F1878" i="17"/>
  <c r="E1878" i="17"/>
  <c r="D1878" i="17"/>
  <c r="C1878" i="17"/>
  <c r="B1878" i="17"/>
  <c r="A1878" i="17"/>
  <c r="I1877" i="17"/>
  <c r="H1877" i="17"/>
  <c r="G1877" i="17"/>
  <c r="F1877" i="17"/>
  <c r="E1877" i="17"/>
  <c r="D1877" i="17"/>
  <c r="C1877" i="17"/>
  <c r="B1877" i="17"/>
  <c r="A1877" i="17"/>
  <c r="L1877" i="17" s="1"/>
  <c r="I1876" i="17"/>
  <c r="H1876" i="17"/>
  <c r="G1876" i="17"/>
  <c r="F1876" i="17"/>
  <c r="E1876" i="17"/>
  <c r="D1876" i="17"/>
  <c r="C1876" i="17"/>
  <c r="B1876" i="17"/>
  <c r="A1876" i="17"/>
  <c r="V1876" i="17" s="1"/>
  <c r="I1875" i="17"/>
  <c r="H1875" i="17"/>
  <c r="G1875" i="17"/>
  <c r="F1875" i="17"/>
  <c r="E1875" i="17"/>
  <c r="D1875" i="17"/>
  <c r="C1875" i="17"/>
  <c r="B1875" i="17"/>
  <c r="A1875" i="17"/>
  <c r="AC1875" i="17" s="1"/>
  <c r="Q1874" i="17"/>
  <c r="I1874" i="17"/>
  <c r="H1874" i="17"/>
  <c r="G1874" i="17"/>
  <c r="F1874" i="17"/>
  <c r="E1874" i="17"/>
  <c r="D1874" i="17"/>
  <c r="C1874" i="17"/>
  <c r="B1874" i="17"/>
  <c r="A1874" i="17"/>
  <c r="AJ1873" i="17"/>
  <c r="V1873" i="17"/>
  <c r="U1873" i="17"/>
  <c r="I1873" i="17"/>
  <c r="H1873" i="17"/>
  <c r="G1873" i="17"/>
  <c r="F1873" i="17"/>
  <c r="E1873" i="17"/>
  <c r="D1873" i="17"/>
  <c r="C1873" i="17"/>
  <c r="B1873" i="17"/>
  <c r="A1873" i="17"/>
  <c r="I1872" i="17"/>
  <c r="H1872" i="17"/>
  <c r="G1872" i="17"/>
  <c r="F1872" i="17"/>
  <c r="E1872" i="17"/>
  <c r="D1872" i="17"/>
  <c r="C1872" i="17"/>
  <c r="B1872" i="17"/>
  <c r="A1872" i="17"/>
  <c r="AM1872" i="17" s="1"/>
  <c r="I1871" i="17"/>
  <c r="H1871" i="17"/>
  <c r="G1871" i="17"/>
  <c r="F1871" i="17"/>
  <c r="E1871" i="17"/>
  <c r="D1871" i="17"/>
  <c r="C1871" i="17"/>
  <c r="B1871" i="17"/>
  <c r="A1871" i="17"/>
  <c r="I1870" i="17"/>
  <c r="H1870" i="17"/>
  <c r="G1870" i="17"/>
  <c r="F1870" i="17"/>
  <c r="E1870" i="17"/>
  <c r="D1870" i="17"/>
  <c r="C1870" i="17"/>
  <c r="B1870" i="17"/>
  <c r="A1870" i="17"/>
  <c r="AR1869" i="17"/>
  <c r="AH1869" i="17"/>
  <c r="P1869" i="17"/>
  <c r="I1869" i="17"/>
  <c r="H1869" i="17"/>
  <c r="G1869" i="17"/>
  <c r="F1869" i="17"/>
  <c r="E1869" i="17"/>
  <c r="D1869" i="17"/>
  <c r="C1869" i="17"/>
  <c r="B1869" i="17"/>
  <c r="A1869" i="17"/>
  <c r="AP1868" i="17"/>
  <c r="AL1868" i="17"/>
  <c r="AH1868" i="17"/>
  <c r="AF1868" i="17"/>
  <c r="AD1868" i="17"/>
  <c r="AB1868" i="17"/>
  <c r="X1868" i="17"/>
  <c r="W1868" i="17"/>
  <c r="R1868" i="17"/>
  <c r="O1868" i="17"/>
  <c r="N1868" i="17"/>
  <c r="L1868" i="17"/>
  <c r="K1868" i="17"/>
  <c r="J1868" i="17"/>
  <c r="I1868" i="17"/>
  <c r="H1868" i="17"/>
  <c r="G1868" i="17"/>
  <c r="F1868" i="17"/>
  <c r="E1868" i="17"/>
  <c r="D1868" i="17"/>
  <c r="C1868" i="17"/>
  <c r="B1868" i="17"/>
  <c r="A1868" i="17"/>
  <c r="AJ1868" i="17" s="1"/>
  <c r="I1867" i="17"/>
  <c r="H1867" i="17"/>
  <c r="G1867" i="17"/>
  <c r="F1867" i="17"/>
  <c r="E1867" i="17"/>
  <c r="D1867" i="17"/>
  <c r="C1867" i="17"/>
  <c r="B1867" i="17"/>
  <c r="A1867" i="17"/>
  <c r="AM1866" i="17"/>
  <c r="AF1866" i="17"/>
  <c r="U1866" i="17"/>
  <c r="T1866" i="17"/>
  <c r="O1866" i="17"/>
  <c r="J1866" i="17"/>
  <c r="I1866" i="17"/>
  <c r="H1866" i="17"/>
  <c r="G1866" i="17"/>
  <c r="F1866" i="17"/>
  <c r="E1866" i="17"/>
  <c r="D1866" i="17"/>
  <c r="C1866" i="17"/>
  <c r="B1866" i="17"/>
  <c r="A1866" i="17"/>
  <c r="W1866" i="17" s="1"/>
  <c r="AR1865" i="17"/>
  <c r="AQ1865" i="17"/>
  <c r="AF1865" i="17"/>
  <c r="AA1865" i="17"/>
  <c r="Y1865" i="17"/>
  <c r="R1865" i="17"/>
  <c r="Q1865" i="17"/>
  <c r="P1865" i="17"/>
  <c r="O1865" i="17"/>
  <c r="I1865" i="17"/>
  <c r="H1865" i="17"/>
  <c r="G1865" i="17"/>
  <c r="F1865" i="17"/>
  <c r="E1865" i="17"/>
  <c r="D1865" i="17"/>
  <c r="C1865" i="17"/>
  <c r="B1865" i="17"/>
  <c r="A1865" i="17"/>
  <c r="AP1865" i="17" s="1"/>
  <c r="W1864" i="17"/>
  <c r="V1864" i="17"/>
  <c r="T1864" i="17"/>
  <c r="J1864" i="17"/>
  <c r="I1864" i="17"/>
  <c r="H1864" i="17"/>
  <c r="G1864" i="17"/>
  <c r="F1864" i="17"/>
  <c r="E1864" i="17"/>
  <c r="D1864" i="17"/>
  <c r="C1864" i="17"/>
  <c r="B1864" i="17"/>
  <c r="A1864" i="17"/>
  <c r="I1863" i="17"/>
  <c r="H1863" i="17"/>
  <c r="G1863" i="17"/>
  <c r="F1863" i="17"/>
  <c r="E1863" i="17"/>
  <c r="D1863" i="17"/>
  <c r="C1863" i="17"/>
  <c r="B1863" i="17"/>
  <c r="A1863" i="17"/>
  <c r="P1863" i="17" s="1"/>
  <c r="AF1862" i="17"/>
  <c r="AE1862" i="17"/>
  <c r="AD1862" i="17"/>
  <c r="U1862" i="17"/>
  <c r="J1862" i="17"/>
  <c r="I1862" i="17"/>
  <c r="H1862" i="17"/>
  <c r="G1862" i="17"/>
  <c r="F1862" i="17"/>
  <c r="E1862" i="17"/>
  <c r="D1862" i="17"/>
  <c r="C1862" i="17"/>
  <c r="B1862" i="17"/>
  <c r="A1862" i="17"/>
  <c r="I1861" i="17"/>
  <c r="H1861" i="17"/>
  <c r="G1861" i="17"/>
  <c r="F1861" i="17"/>
  <c r="E1861" i="17"/>
  <c r="D1861" i="17"/>
  <c r="C1861" i="17"/>
  <c r="B1861" i="17"/>
  <c r="A1861" i="17"/>
  <c r="V1860" i="17"/>
  <c r="I1860" i="17"/>
  <c r="H1860" i="17"/>
  <c r="G1860" i="17"/>
  <c r="F1860" i="17"/>
  <c r="E1860" i="17"/>
  <c r="D1860" i="17"/>
  <c r="C1860" i="17"/>
  <c r="B1860" i="17"/>
  <c r="A1860" i="17"/>
  <c r="AE1859" i="17"/>
  <c r="I1859" i="17"/>
  <c r="H1859" i="17"/>
  <c r="G1859" i="17"/>
  <c r="F1859" i="17"/>
  <c r="E1859" i="17"/>
  <c r="D1859" i="17"/>
  <c r="C1859" i="17"/>
  <c r="B1859" i="17"/>
  <c r="A1859" i="17"/>
  <c r="AB1859" i="17" s="1"/>
  <c r="I1858" i="17"/>
  <c r="H1858" i="17"/>
  <c r="G1858" i="17"/>
  <c r="F1858" i="17"/>
  <c r="E1858" i="17"/>
  <c r="D1858" i="17"/>
  <c r="C1858" i="17"/>
  <c r="B1858" i="17"/>
  <c r="A1858" i="17"/>
  <c r="I1857" i="17"/>
  <c r="H1857" i="17"/>
  <c r="G1857" i="17"/>
  <c r="F1857" i="17"/>
  <c r="E1857" i="17"/>
  <c r="D1857" i="17"/>
  <c r="C1857" i="17"/>
  <c r="B1857" i="17"/>
  <c r="A1857" i="17"/>
  <c r="AQ1856" i="17"/>
  <c r="T1856" i="17"/>
  <c r="P1856" i="17"/>
  <c r="O1856" i="17"/>
  <c r="I1856" i="17"/>
  <c r="H1856" i="17"/>
  <c r="G1856" i="17"/>
  <c r="F1856" i="17"/>
  <c r="E1856" i="17"/>
  <c r="D1856" i="17"/>
  <c r="C1856" i="17"/>
  <c r="B1856" i="17"/>
  <c r="A1856" i="17"/>
  <c r="AN1855" i="17"/>
  <c r="Z1855" i="17"/>
  <c r="I1855" i="17"/>
  <c r="H1855" i="17"/>
  <c r="G1855" i="17"/>
  <c r="F1855" i="17"/>
  <c r="E1855" i="17"/>
  <c r="D1855" i="17"/>
  <c r="C1855" i="17"/>
  <c r="B1855" i="17"/>
  <c r="A1855" i="17"/>
  <c r="I1854" i="17"/>
  <c r="H1854" i="17"/>
  <c r="G1854" i="17"/>
  <c r="F1854" i="17"/>
  <c r="E1854" i="17"/>
  <c r="D1854" i="17"/>
  <c r="C1854" i="17"/>
  <c r="B1854" i="17"/>
  <c r="A1854" i="17"/>
  <c r="I1853" i="17"/>
  <c r="H1853" i="17"/>
  <c r="G1853" i="17"/>
  <c r="F1853" i="17"/>
  <c r="E1853" i="17"/>
  <c r="D1853" i="17"/>
  <c r="C1853" i="17"/>
  <c r="B1853" i="17"/>
  <c r="A1853" i="17"/>
  <c r="AG1853" i="17" s="1"/>
  <c r="AK1852" i="17"/>
  <c r="I1852" i="17"/>
  <c r="H1852" i="17"/>
  <c r="G1852" i="17"/>
  <c r="F1852" i="17"/>
  <c r="E1852" i="17"/>
  <c r="D1852" i="17"/>
  <c r="C1852" i="17"/>
  <c r="B1852" i="17"/>
  <c r="A1852" i="17"/>
  <c r="I1851" i="17"/>
  <c r="H1851" i="17"/>
  <c r="G1851" i="17"/>
  <c r="F1851" i="17"/>
  <c r="E1851" i="17"/>
  <c r="D1851" i="17"/>
  <c r="C1851" i="17"/>
  <c r="B1851" i="17"/>
  <c r="A1851" i="17"/>
  <c r="I1850" i="17"/>
  <c r="H1850" i="17"/>
  <c r="G1850" i="17"/>
  <c r="F1850" i="17"/>
  <c r="E1850" i="17"/>
  <c r="D1850" i="17"/>
  <c r="C1850" i="17"/>
  <c r="B1850" i="17"/>
  <c r="A1850" i="17"/>
  <c r="AQ1849" i="17"/>
  <c r="AE1849" i="17"/>
  <c r="X1849" i="17"/>
  <c r="W1849" i="17"/>
  <c r="K1849" i="17"/>
  <c r="I1849" i="17"/>
  <c r="H1849" i="17"/>
  <c r="G1849" i="17"/>
  <c r="F1849" i="17"/>
  <c r="E1849" i="17"/>
  <c r="D1849" i="17"/>
  <c r="C1849" i="17"/>
  <c r="B1849" i="17"/>
  <c r="A1849" i="17"/>
  <c r="AJ1848" i="17"/>
  <c r="AI1848" i="17"/>
  <c r="AD1848" i="17"/>
  <c r="AB1848" i="17"/>
  <c r="V1848" i="17"/>
  <c r="S1848" i="17"/>
  <c r="M1848" i="17"/>
  <c r="I1848" i="17"/>
  <c r="H1848" i="17"/>
  <c r="G1848" i="17"/>
  <c r="F1848" i="17"/>
  <c r="E1848" i="17"/>
  <c r="D1848" i="17"/>
  <c r="C1848" i="17"/>
  <c r="B1848" i="17"/>
  <c r="A1848" i="17"/>
  <c r="I1847" i="17"/>
  <c r="H1847" i="17"/>
  <c r="G1847" i="17"/>
  <c r="F1847" i="17"/>
  <c r="E1847" i="17"/>
  <c r="D1847" i="17"/>
  <c r="C1847" i="17"/>
  <c r="B1847" i="17"/>
  <c r="A1847" i="17"/>
  <c r="AL1846" i="17"/>
  <c r="AF1846" i="17"/>
  <c r="AA1846" i="17"/>
  <c r="S1846" i="17"/>
  <c r="O1846" i="17"/>
  <c r="N1846" i="17"/>
  <c r="I1846" i="17"/>
  <c r="H1846" i="17"/>
  <c r="G1846" i="17"/>
  <c r="F1846" i="17"/>
  <c r="E1846" i="17"/>
  <c r="D1846" i="17"/>
  <c r="C1846" i="17"/>
  <c r="B1846" i="17"/>
  <c r="A1846" i="17"/>
  <c r="T1845" i="17"/>
  <c r="I1845" i="17"/>
  <c r="H1845" i="17"/>
  <c r="G1845" i="17"/>
  <c r="F1845" i="17"/>
  <c r="E1845" i="17"/>
  <c r="D1845" i="17"/>
  <c r="C1845" i="17"/>
  <c r="B1845" i="17"/>
  <c r="A1845" i="17"/>
  <c r="O1845" i="17" s="1"/>
  <c r="AL1844" i="17"/>
  <c r="AJ1844" i="17"/>
  <c r="P1844" i="17"/>
  <c r="O1844" i="17"/>
  <c r="M1844" i="17"/>
  <c r="I1844" i="17"/>
  <c r="H1844" i="17"/>
  <c r="G1844" i="17"/>
  <c r="F1844" i="17"/>
  <c r="E1844" i="17"/>
  <c r="D1844" i="17"/>
  <c r="C1844" i="17"/>
  <c r="B1844" i="17"/>
  <c r="A1844" i="17"/>
  <c r="I1843" i="17"/>
  <c r="H1843" i="17"/>
  <c r="G1843" i="17"/>
  <c r="F1843" i="17"/>
  <c r="E1843" i="17"/>
  <c r="D1843" i="17"/>
  <c r="C1843" i="17"/>
  <c r="B1843" i="17"/>
  <c r="A1843" i="17"/>
  <c r="I1842" i="17"/>
  <c r="H1842" i="17"/>
  <c r="G1842" i="17"/>
  <c r="F1842" i="17"/>
  <c r="E1842" i="17"/>
  <c r="D1842" i="17"/>
  <c r="C1842" i="17"/>
  <c r="B1842" i="17"/>
  <c r="A1842" i="17"/>
  <c r="I1841" i="17"/>
  <c r="H1841" i="17"/>
  <c r="G1841" i="17"/>
  <c r="F1841" i="17"/>
  <c r="E1841" i="17"/>
  <c r="D1841" i="17"/>
  <c r="C1841" i="17"/>
  <c r="B1841" i="17"/>
  <c r="A1841" i="17"/>
  <c r="AR1840" i="17"/>
  <c r="AQ1840" i="17"/>
  <c r="AM1840" i="17"/>
  <c r="AL1840" i="17"/>
  <c r="AC1840" i="17"/>
  <c r="AB1840" i="17"/>
  <c r="X1840" i="17"/>
  <c r="T1840" i="17"/>
  <c r="S1840" i="17"/>
  <c r="P1840" i="17"/>
  <c r="L1840" i="17"/>
  <c r="I1840" i="17"/>
  <c r="H1840" i="17"/>
  <c r="G1840" i="17"/>
  <c r="F1840" i="17"/>
  <c r="E1840" i="17"/>
  <c r="D1840" i="17"/>
  <c r="C1840" i="17"/>
  <c r="B1840" i="17"/>
  <c r="A1840" i="17"/>
  <c r="AF1839" i="17"/>
  <c r="T1839" i="17"/>
  <c r="Q1839" i="17"/>
  <c r="L1839" i="17"/>
  <c r="I1839" i="17"/>
  <c r="H1839" i="17"/>
  <c r="G1839" i="17"/>
  <c r="F1839" i="17"/>
  <c r="E1839" i="17"/>
  <c r="D1839" i="17"/>
  <c r="C1839" i="17"/>
  <c r="B1839" i="17"/>
  <c r="A1839" i="17"/>
  <c r="K1839" i="17" s="1"/>
  <c r="I1838" i="17"/>
  <c r="H1838" i="17"/>
  <c r="G1838" i="17"/>
  <c r="F1838" i="17"/>
  <c r="E1838" i="17"/>
  <c r="D1838" i="17"/>
  <c r="C1838" i="17"/>
  <c r="B1838" i="17"/>
  <c r="A1838" i="17"/>
  <c r="V1838" i="17" s="1"/>
  <c r="I1837" i="17"/>
  <c r="H1837" i="17"/>
  <c r="G1837" i="17"/>
  <c r="F1837" i="17"/>
  <c r="E1837" i="17"/>
  <c r="D1837" i="17"/>
  <c r="C1837" i="17"/>
  <c r="B1837" i="17"/>
  <c r="A1837" i="17"/>
  <c r="I1836" i="17"/>
  <c r="H1836" i="17"/>
  <c r="G1836" i="17"/>
  <c r="F1836" i="17"/>
  <c r="E1836" i="17"/>
  <c r="D1836" i="17"/>
  <c r="C1836" i="17"/>
  <c r="B1836" i="17"/>
  <c r="A1836" i="17"/>
  <c r="I1835" i="17"/>
  <c r="H1835" i="17"/>
  <c r="G1835" i="17"/>
  <c r="F1835" i="17"/>
  <c r="E1835" i="17"/>
  <c r="D1835" i="17"/>
  <c r="C1835" i="17"/>
  <c r="B1835" i="17"/>
  <c r="A1835" i="17"/>
  <c r="AQ1834" i="17"/>
  <c r="AN1834" i="17"/>
  <c r="X1834" i="17"/>
  <c r="U1834" i="17"/>
  <c r="M1834" i="17"/>
  <c r="K1834" i="17"/>
  <c r="I1834" i="17"/>
  <c r="H1834" i="17"/>
  <c r="G1834" i="17"/>
  <c r="F1834" i="17"/>
  <c r="E1834" i="17"/>
  <c r="D1834" i="17"/>
  <c r="C1834" i="17"/>
  <c r="B1834" i="17"/>
  <c r="A1834" i="17"/>
  <c r="I1833" i="17"/>
  <c r="H1833" i="17"/>
  <c r="G1833" i="17"/>
  <c r="F1833" i="17"/>
  <c r="E1833" i="17"/>
  <c r="D1833" i="17"/>
  <c r="C1833" i="17"/>
  <c r="B1833" i="17"/>
  <c r="A1833" i="17"/>
  <c r="AF1833" i="17" s="1"/>
  <c r="I1832" i="17"/>
  <c r="H1832" i="17"/>
  <c r="G1832" i="17"/>
  <c r="F1832" i="17"/>
  <c r="E1832" i="17"/>
  <c r="D1832" i="17"/>
  <c r="C1832" i="17"/>
  <c r="B1832" i="17"/>
  <c r="A1832" i="17"/>
  <c r="S1832" i="17" s="1"/>
  <c r="AG1831" i="17"/>
  <c r="AD1831" i="17"/>
  <c r="AB1831" i="17"/>
  <c r="W1831" i="17"/>
  <c r="V1831" i="17"/>
  <c r="L1831" i="17"/>
  <c r="I1831" i="17"/>
  <c r="H1831" i="17"/>
  <c r="G1831" i="17"/>
  <c r="F1831" i="17"/>
  <c r="E1831" i="17"/>
  <c r="D1831" i="17"/>
  <c r="C1831" i="17"/>
  <c r="B1831" i="17"/>
  <c r="A1831" i="17"/>
  <c r="K1831" i="17" s="1"/>
  <c r="AO1830" i="17"/>
  <c r="AB1830" i="17"/>
  <c r="Z1830" i="17"/>
  <c r="I1830" i="17"/>
  <c r="H1830" i="17"/>
  <c r="G1830" i="17"/>
  <c r="F1830" i="17"/>
  <c r="E1830" i="17"/>
  <c r="D1830" i="17"/>
  <c r="C1830" i="17"/>
  <c r="B1830" i="17"/>
  <c r="A1830" i="17"/>
  <c r="AP1830" i="17" s="1"/>
  <c r="AR1829" i="17"/>
  <c r="AD1829" i="17"/>
  <c r="I1829" i="17"/>
  <c r="H1829" i="17"/>
  <c r="G1829" i="17"/>
  <c r="F1829" i="17"/>
  <c r="E1829" i="17"/>
  <c r="D1829" i="17"/>
  <c r="C1829" i="17"/>
  <c r="B1829" i="17"/>
  <c r="A1829" i="17"/>
  <c r="I1828" i="17"/>
  <c r="H1828" i="17"/>
  <c r="G1828" i="17"/>
  <c r="F1828" i="17"/>
  <c r="E1828" i="17"/>
  <c r="D1828" i="17"/>
  <c r="C1828" i="17"/>
  <c r="B1828" i="17"/>
  <c r="A1828" i="17"/>
  <c r="AB1828" i="17" s="1"/>
  <c r="AQ1827" i="17"/>
  <c r="AN1827" i="17"/>
  <c r="AJ1827" i="17"/>
  <c r="AE1827" i="17"/>
  <c r="AB1827" i="17"/>
  <c r="AA1827" i="17"/>
  <c r="X1827" i="17"/>
  <c r="P1827" i="17"/>
  <c r="O1827" i="17"/>
  <c r="L1827" i="17"/>
  <c r="K1827" i="17"/>
  <c r="I1827" i="17"/>
  <c r="H1827" i="17"/>
  <c r="G1827" i="17"/>
  <c r="F1827" i="17"/>
  <c r="E1827" i="17"/>
  <c r="D1827" i="17"/>
  <c r="C1827" i="17"/>
  <c r="B1827" i="17"/>
  <c r="A1827" i="17"/>
  <c r="AR1826" i="17"/>
  <c r="AQ1826" i="17"/>
  <c r="AJ1826" i="17"/>
  <c r="AI1826" i="17"/>
  <c r="AB1826" i="17"/>
  <c r="W1826" i="17"/>
  <c r="T1826" i="17"/>
  <c r="Q1826" i="17"/>
  <c r="P1826" i="17"/>
  <c r="L1826" i="17"/>
  <c r="K1826" i="17"/>
  <c r="I1826" i="17"/>
  <c r="H1826" i="17"/>
  <c r="G1826" i="17"/>
  <c r="F1826" i="17"/>
  <c r="E1826" i="17"/>
  <c r="D1826" i="17"/>
  <c r="C1826" i="17"/>
  <c r="B1826" i="17"/>
  <c r="A1826" i="17"/>
  <c r="AA1826" i="17" s="1"/>
  <c r="AK1825" i="17"/>
  <c r="AA1825" i="17"/>
  <c r="X1825" i="17"/>
  <c r="W1825" i="17"/>
  <c r="V1825" i="17"/>
  <c r="I1825" i="17"/>
  <c r="H1825" i="17"/>
  <c r="G1825" i="17"/>
  <c r="F1825" i="17"/>
  <c r="E1825" i="17"/>
  <c r="D1825" i="17"/>
  <c r="C1825" i="17"/>
  <c r="B1825" i="17"/>
  <c r="A1825" i="17"/>
  <c r="AL1825" i="17" s="1"/>
  <c r="Z1824" i="17"/>
  <c r="X1824" i="17"/>
  <c r="Q1824" i="17"/>
  <c r="O1824" i="17"/>
  <c r="L1824" i="17"/>
  <c r="I1824" i="17"/>
  <c r="H1824" i="17"/>
  <c r="G1824" i="17"/>
  <c r="F1824" i="17"/>
  <c r="E1824" i="17"/>
  <c r="D1824" i="17"/>
  <c r="C1824" i="17"/>
  <c r="B1824" i="17"/>
  <c r="A1824" i="17"/>
  <c r="U1823" i="17"/>
  <c r="I1823" i="17"/>
  <c r="H1823" i="17"/>
  <c r="G1823" i="17"/>
  <c r="F1823" i="17"/>
  <c r="E1823" i="17"/>
  <c r="D1823" i="17"/>
  <c r="C1823" i="17"/>
  <c r="B1823" i="17"/>
  <c r="A1823" i="17"/>
  <c r="I1822" i="17"/>
  <c r="H1822" i="17"/>
  <c r="G1822" i="17"/>
  <c r="F1822" i="17"/>
  <c r="E1822" i="17"/>
  <c r="D1822" i="17"/>
  <c r="C1822" i="17"/>
  <c r="B1822" i="17"/>
  <c r="A1822" i="17"/>
  <c r="AF1822" i="17" s="1"/>
  <c r="I1821" i="17"/>
  <c r="H1821" i="17"/>
  <c r="G1821" i="17"/>
  <c r="F1821" i="17"/>
  <c r="E1821" i="17"/>
  <c r="D1821" i="17"/>
  <c r="C1821" i="17"/>
  <c r="B1821" i="17"/>
  <c r="A1821" i="17"/>
  <c r="I1820" i="17"/>
  <c r="H1820" i="17"/>
  <c r="G1820" i="17"/>
  <c r="F1820" i="17"/>
  <c r="E1820" i="17"/>
  <c r="D1820" i="17"/>
  <c r="C1820" i="17"/>
  <c r="B1820" i="17"/>
  <c r="A1820" i="17"/>
  <c r="K1820" i="17" s="1"/>
  <c r="AR1819" i="17"/>
  <c r="AM1819" i="17"/>
  <c r="AJ1819" i="17"/>
  <c r="AI1819" i="17"/>
  <c r="AF1819" i="17"/>
  <c r="AD1819" i="17"/>
  <c r="AC1819" i="17"/>
  <c r="V1819" i="17"/>
  <c r="T1819" i="17"/>
  <c r="S1819" i="17"/>
  <c r="P1819" i="17"/>
  <c r="O1819" i="17"/>
  <c r="N1819" i="17"/>
  <c r="L1819" i="17"/>
  <c r="I1819" i="17"/>
  <c r="H1819" i="17"/>
  <c r="G1819" i="17"/>
  <c r="F1819" i="17"/>
  <c r="E1819" i="17"/>
  <c r="D1819" i="17"/>
  <c r="C1819" i="17"/>
  <c r="B1819" i="17"/>
  <c r="A1819" i="17"/>
  <c r="AN1819" i="17" s="1"/>
  <c r="I1818" i="17"/>
  <c r="H1818" i="17"/>
  <c r="G1818" i="17"/>
  <c r="F1818" i="17"/>
  <c r="E1818" i="17"/>
  <c r="D1818" i="17"/>
  <c r="C1818" i="17"/>
  <c r="B1818" i="17"/>
  <c r="A1818" i="17"/>
  <c r="AI1817" i="17"/>
  <c r="AF1817" i="17"/>
  <c r="AC1817" i="17"/>
  <c r="V1817" i="17"/>
  <c r="O1817" i="17"/>
  <c r="N1817" i="17"/>
  <c r="I1817" i="17"/>
  <c r="H1817" i="17"/>
  <c r="G1817" i="17"/>
  <c r="F1817" i="17"/>
  <c r="E1817" i="17"/>
  <c r="D1817" i="17"/>
  <c r="C1817" i="17"/>
  <c r="B1817" i="17"/>
  <c r="A1817" i="17"/>
  <c r="I1816" i="17"/>
  <c r="H1816" i="17"/>
  <c r="G1816" i="17"/>
  <c r="F1816" i="17"/>
  <c r="E1816" i="17"/>
  <c r="D1816" i="17"/>
  <c r="C1816" i="17"/>
  <c r="B1816" i="17"/>
  <c r="A1816" i="17"/>
  <c r="AL1815" i="17"/>
  <c r="S1815" i="17"/>
  <c r="P1815" i="17"/>
  <c r="I1815" i="17"/>
  <c r="H1815" i="17"/>
  <c r="G1815" i="17"/>
  <c r="F1815" i="17"/>
  <c r="E1815" i="17"/>
  <c r="D1815" i="17"/>
  <c r="C1815" i="17"/>
  <c r="B1815" i="17"/>
  <c r="A1815" i="17"/>
  <c r="I1814" i="17"/>
  <c r="H1814" i="17"/>
  <c r="G1814" i="17"/>
  <c r="F1814" i="17"/>
  <c r="E1814" i="17"/>
  <c r="D1814" i="17"/>
  <c r="C1814" i="17"/>
  <c r="B1814" i="17"/>
  <c r="A1814" i="17"/>
  <c r="AQ1813" i="17"/>
  <c r="AM1813" i="17"/>
  <c r="AL1813" i="17"/>
  <c r="AJ1813" i="17"/>
  <c r="AD1813" i="17"/>
  <c r="AC1813" i="17"/>
  <c r="AB1813" i="17"/>
  <c r="AA1813" i="17"/>
  <c r="T1813" i="17"/>
  <c r="S1813" i="17"/>
  <c r="P1813" i="17"/>
  <c r="O1813" i="17"/>
  <c r="N1813" i="17"/>
  <c r="M1813" i="17"/>
  <c r="K1813" i="17"/>
  <c r="I1813" i="17"/>
  <c r="H1813" i="17"/>
  <c r="G1813" i="17"/>
  <c r="F1813" i="17"/>
  <c r="E1813" i="17"/>
  <c r="D1813" i="17"/>
  <c r="C1813" i="17"/>
  <c r="B1813" i="17"/>
  <c r="A1813" i="17"/>
  <c r="I1812" i="17"/>
  <c r="H1812" i="17"/>
  <c r="G1812" i="17"/>
  <c r="F1812" i="17"/>
  <c r="E1812" i="17"/>
  <c r="D1812" i="17"/>
  <c r="C1812" i="17"/>
  <c r="B1812" i="17"/>
  <c r="A1812" i="17"/>
  <c r="O1812" i="17" s="1"/>
  <c r="AD1811" i="17"/>
  <c r="AC1811" i="17"/>
  <c r="V1811" i="17"/>
  <c r="U1811" i="17"/>
  <c r="I1811" i="17"/>
  <c r="H1811" i="17"/>
  <c r="G1811" i="17"/>
  <c r="F1811" i="17"/>
  <c r="E1811" i="17"/>
  <c r="D1811" i="17"/>
  <c r="C1811" i="17"/>
  <c r="B1811" i="17"/>
  <c r="A1811" i="17"/>
  <c r="J1810" i="17"/>
  <c r="I1810" i="17"/>
  <c r="H1810" i="17"/>
  <c r="G1810" i="17"/>
  <c r="F1810" i="17"/>
  <c r="E1810" i="17"/>
  <c r="D1810" i="17"/>
  <c r="C1810" i="17"/>
  <c r="B1810" i="17"/>
  <c r="A1810" i="17"/>
  <c r="AJ1809" i="17"/>
  <c r="AI1809" i="17"/>
  <c r="AC1809" i="17"/>
  <c r="W1809" i="17"/>
  <c r="V1809" i="17"/>
  <c r="P1809" i="17"/>
  <c r="I1809" i="17"/>
  <c r="H1809" i="17"/>
  <c r="G1809" i="17"/>
  <c r="F1809" i="17"/>
  <c r="E1809" i="17"/>
  <c r="D1809" i="17"/>
  <c r="C1809" i="17"/>
  <c r="B1809" i="17"/>
  <c r="A1809" i="17"/>
  <c r="AR1808" i="17"/>
  <c r="AP1808" i="17"/>
  <c r="AG1808" i="17"/>
  <c r="W1808" i="17"/>
  <c r="Q1808" i="17"/>
  <c r="P1808" i="17"/>
  <c r="I1808" i="17"/>
  <c r="H1808" i="17"/>
  <c r="G1808" i="17"/>
  <c r="F1808" i="17"/>
  <c r="E1808" i="17"/>
  <c r="D1808" i="17"/>
  <c r="C1808" i="17"/>
  <c r="B1808" i="17"/>
  <c r="A1808" i="17"/>
  <c r="I1807" i="17"/>
  <c r="H1807" i="17"/>
  <c r="G1807" i="17"/>
  <c r="F1807" i="17"/>
  <c r="E1807" i="17"/>
  <c r="D1807" i="17"/>
  <c r="C1807" i="17"/>
  <c r="B1807" i="17"/>
  <c r="A1807" i="17"/>
  <c r="T1806" i="17"/>
  <c r="I1806" i="17"/>
  <c r="H1806" i="17"/>
  <c r="G1806" i="17"/>
  <c r="F1806" i="17"/>
  <c r="E1806" i="17"/>
  <c r="D1806" i="17"/>
  <c r="C1806" i="17"/>
  <c r="B1806" i="17"/>
  <c r="A1806" i="17"/>
  <c r="AQ1806" i="17" s="1"/>
  <c r="I1805" i="17"/>
  <c r="H1805" i="17"/>
  <c r="G1805" i="17"/>
  <c r="F1805" i="17"/>
  <c r="E1805" i="17"/>
  <c r="D1805" i="17"/>
  <c r="C1805" i="17"/>
  <c r="B1805" i="17"/>
  <c r="A1805" i="17"/>
  <c r="I1804" i="17"/>
  <c r="H1804" i="17"/>
  <c r="G1804" i="17"/>
  <c r="F1804" i="17"/>
  <c r="E1804" i="17"/>
  <c r="D1804" i="17"/>
  <c r="C1804" i="17"/>
  <c r="B1804" i="17"/>
  <c r="A1804" i="17"/>
  <c r="AQ1803" i="17"/>
  <c r="AE1803" i="17"/>
  <c r="X1803" i="17"/>
  <c r="I1803" i="17"/>
  <c r="H1803" i="17"/>
  <c r="G1803" i="17"/>
  <c r="F1803" i="17"/>
  <c r="E1803" i="17"/>
  <c r="D1803" i="17"/>
  <c r="C1803" i="17"/>
  <c r="B1803" i="17"/>
  <c r="A1803" i="17"/>
  <c r="I1802" i="17"/>
  <c r="H1802" i="17"/>
  <c r="G1802" i="17"/>
  <c r="F1802" i="17"/>
  <c r="E1802" i="17"/>
  <c r="D1802" i="17"/>
  <c r="C1802" i="17"/>
  <c r="B1802" i="17"/>
  <c r="A1802" i="17"/>
  <c r="AQ1801" i="17"/>
  <c r="AN1801" i="17"/>
  <c r="AC1801" i="17"/>
  <c r="V1801" i="17"/>
  <c r="U1801" i="17"/>
  <c r="S1801" i="17"/>
  <c r="P1801" i="17"/>
  <c r="O1801" i="17"/>
  <c r="I1801" i="17"/>
  <c r="H1801" i="17"/>
  <c r="G1801" i="17"/>
  <c r="F1801" i="17"/>
  <c r="E1801" i="17"/>
  <c r="D1801" i="17"/>
  <c r="C1801" i="17"/>
  <c r="B1801" i="17"/>
  <c r="A1801" i="17"/>
  <c r="AF1801" i="17" s="1"/>
  <c r="I1800" i="17"/>
  <c r="H1800" i="17"/>
  <c r="G1800" i="17"/>
  <c r="F1800" i="17"/>
  <c r="E1800" i="17"/>
  <c r="D1800" i="17"/>
  <c r="C1800" i="17"/>
  <c r="B1800" i="17"/>
  <c r="A1800" i="17"/>
  <c r="K1800" i="17" s="1"/>
  <c r="I1799" i="17"/>
  <c r="H1799" i="17"/>
  <c r="G1799" i="17"/>
  <c r="F1799" i="17"/>
  <c r="E1799" i="17"/>
  <c r="D1799" i="17"/>
  <c r="C1799" i="17"/>
  <c r="B1799" i="17"/>
  <c r="A1799" i="17"/>
  <c r="Y1798" i="17"/>
  <c r="I1798" i="17"/>
  <c r="H1798" i="17"/>
  <c r="G1798" i="17"/>
  <c r="F1798" i="17"/>
  <c r="E1798" i="17"/>
  <c r="D1798" i="17"/>
  <c r="C1798" i="17"/>
  <c r="B1798" i="17"/>
  <c r="A1798" i="17"/>
  <c r="AI1798" i="17" s="1"/>
  <c r="AM1797" i="17"/>
  <c r="AK1797" i="17"/>
  <c r="AE1797" i="17"/>
  <c r="X1797" i="17"/>
  <c r="V1797" i="17"/>
  <c r="U1797" i="17"/>
  <c r="S1797" i="17"/>
  <c r="P1797" i="17"/>
  <c r="I1797" i="17"/>
  <c r="H1797" i="17"/>
  <c r="G1797" i="17"/>
  <c r="F1797" i="17"/>
  <c r="E1797" i="17"/>
  <c r="D1797" i="17"/>
  <c r="C1797" i="17"/>
  <c r="B1797" i="17"/>
  <c r="A1797" i="17"/>
  <c r="AL1797" i="17" s="1"/>
  <c r="I1796" i="17"/>
  <c r="H1796" i="17"/>
  <c r="G1796" i="17"/>
  <c r="F1796" i="17"/>
  <c r="E1796" i="17"/>
  <c r="D1796" i="17"/>
  <c r="C1796" i="17"/>
  <c r="B1796" i="17"/>
  <c r="A1796" i="17"/>
  <c r="AK1795" i="17"/>
  <c r="I1795" i="17"/>
  <c r="H1795" i="17"/>
  <c r="G1795" i="17"/>
  <c r="F1795" i="17"/>
  <c r="E1795" i="17"/>
  <c r="D1795" i="17"/>
  <c r="C1795" i="17"/>
  <c r="B1795" i="17"/>
  <c r="A1795" i="17"/>
  <c r="AQ1794" i="17"/>
  <c r="AM1794" i="17"/>
  <c r="AJ1794" i="17"/>
  <c r="AI1794" i="17"/>
  <c r="AH1794" i="17"/>
  <c r="X1794" i="17"/>
  <c r="W1794" i="17"/>
  <c r="R1794" i="17"/>
  <c r="Q1794" i="17"/>
  <c r="O1794" i="17"/>
  <c r="L1794" i="17"/>
  <c r="I1794" i="17"/>
  <c r="H1794" i="17"/>
  <c r="G1794" i="17"/>
  <c r="F1794" i="17"/>
  <c r="E1794" i="17"/>
  <c r="D1794" i="17"/>
  <c r="C1794" i="17"/>
  <c r="B1794" i="17"/>
  <c r="A1794" i="17"/>
  <c r="AF1794" i="17" s="1"/>
  <c r="AR1793" i="17"/>
  <c r="AK1793" i="17"/>
  <c r="AB1793" i="17"/>
  <c r="AA1793" i="17"/>
  <c r="V1793" i="17"/>
  <c r="U1793" i="17"/>
  <c r="I1793" i="17"/>
  <c r="H1793" i="17"/>
  <c r="G1793" i="17"/>
  <c r="F1793" i="17"/>
  <c r="E1793" i="17"/>
  <c r="D1793" i="17"/>
  <c r="C1793" i="17"/>
  <c r="B1793" i="17"/>
  <c r="A1793" i="17"/>
  <c r="AF1793" i="17" s="1"/>
  <c r="AH1792" i="17"/>
  <c r="I1792" i="17"/>
  <c r="H1792" i="17"/>
  <c r="G1792" i="17"/>
  <c r="F1792" i="17"/>
  <c r="E1792" i="17"/>
  <c r="D1792" i="17"/>
  <c r="C1792" i="17"/>
  <c r="B1792" i="17"/>
  <c r="A1792" i="17"/>
  <c r="AP1792" i="17" s="1"/>
  <c r="I1791" i="17"/>
  <c r="H1791" i="17"/>
  <c r="G1791" i="17"/>
  <c r="F1791" i="17"/>
  <c r="E1791" i="17"/>
  <c r="D1791" i="17"/>
  <c r="C1791" i="17"/>
  <c r="B1791" i="17"/>
  <c r="A1791" i="17"/>
  <c r="I1790" i="17"/>
  <c r="H1790" i="17"/>
  <c r="G1790" i="17"/>
  <c r="F1790" i="17"/>
  <c r="E1790" i="17"/>
  <c r="D1790" i="17"/>
  <c r="C1790" i="17"/>
  <c r="B1790" i="17"/>
  <c r="A1790" i="17"/>
  <c r="K1790" i="17" s="1"/>
  <c r="AN1789" i="17"/>
  <c r="AD1789" i="17"/>
  <c r="N1789" i="17"/>
  <c r="I1789" i="17"/>
  <c r="H1789" i="17"/>
  <c r="G1789" i="17"/>
  <c r="F1789" i="17"/>
  <c r="E1789" i="17"/>
  <c r="D1789" i="17"/>
  <c r="C1789" i="17"/>
  <c r="B1789" i="17"/>
  <c r="A1789" i="17"/>
  <c r="I1788" i="17"/>
  <c r="H1788" i="17"/>
  <c r="G1788" i="17"/>
  <c r="F1788" i="17"/>
  <c r="E1788" i="17"/>
  <c r="D1788" i="17"/>
  <c r="C1788" i="17"/>
  <c r="B1788" i="17"/>
  <c r="A1788" i="17"/>
  <c r="AQ1788" i="17" s="1"/>
  <c r="I1787" i="17"/>
  <c r="H1787" i="17"/>
  <c r="G1787" i="17"/>
  <c r="F1787" i="17"/>
  <c r="E1787" i="17"/>
  <c r="D1787" i="17"/>
  <c r="C1787" i="17"/>
  <c r="B1787" i="17"/>
  <c r="A1787" i="17"/>
  <c r="I1786" i="17"/>
  <c r="H1786" i="17"/>
  <c r="G1786" i="17"/>
  <c r="F1786" i="17"/>
  <c r="E1786" i="17"/>
  <c r="D1786" i="17"/>
  <c r="C1786" i="17"/>
  <c r="B1786" i="17"/>
  <c r="A1786" i="17"/>
  <c r="I1785" i="17"/>
  <c r="H1785" i="17"/>
  <c r="G1785" i="17"/>
  <c r="F1785" i="17"/>
  <c r="E1785" i="17"/>
  <c r="D1785" i="17"/>
  <c r="C1785" i="17"/>
  <c r="B1785" i="17"/>
  <c r="A1785" i="17"/>
  <c r="AQ1784" i="17"/>
  <c r="AG1784" i="17"/>
  <c r="AB1784" i="17"/>
  <c r="AA1784" i="17"/>
  <c r="T1784" i="17"/>
  <c r="S1784" i="17"/>
  <c r="R1784" i="17"/>
  <c r="Q1784" i="17"/>
  <c r="I1784" i="17"/>
  <c r="H1784" i="17"/>
  <c r="G1784" i="17"/>
  <c r="F1784" i="17"/>
  <c r="E1784" i="17"/>
  <c r="D1784" i="17"/>
  <c r="C1784" i="17"/>
  <c r="B1784" i="17"/>
  <c r="A1784" i="17"/>
  <c r="AP1784" i="17" s="1"/>
  <c r="AQ1783" i="17"/>
  <c r="AL1783" i="17"/>
  <c r="AK1783" i="17"/>
  <c r="AC1783" i="17"/>
  <c r="AB1783" i="17"/>
  <c r="AA1783" i="17"/>
  <c r="I1783" i="17"/>
  <c r="H1783" i="17"/>
  <c r="G1783" i="17"/>
  <c r="F1783" i="17"/>
  <c r="E1783" i="17"/>
  <c r="D1783" i="17"/>
  <c r="C1783" i="17"/>
  <c r="B1783" i="17"/>
  <c r="A1783" i="17"/>
  <c r="AF1782" i="17"/>
  <c r="AE1782" i="17"/>
  <c r="R1782" i="17"/>
  <c r="P1782" i="17"/>
  <c r="O1782" i="17"/>
  <c r="J1782" i="17"/>
  <c r="I1782" i="17"/>
  <c r="H1782" i="17"/>
  <c r="G1782" i="17"/>
  <c r="F1782" i="17"/>
  <c r="E1782" i="17"/>
  <c r="D1782" i="17"/>
  <c r="C1782" i="17"/>
  <c r="B1782" i="17"/>
  <c r="A1782" i="17"/>
  <c r="AP1782" i="17" s="1"/>
  <c r="AI1781" i="17"/>
  <c r="AA1781" i="17"/>
  <c r="T1781" i="17"/>
  <c r="O1781" i="17"/>
  <c r="K1781" i="17"/>
  <c r="I1781" i="17"/>
  <c r="H1781" i="17"/>
  <c r="G1781" i="17"/>
  <c r="F1781" i="17"/>
  <c r="E1781" i="17"/>
  <c r="D1781" i="17"/>
  <c r="C1781" i="17"/>
  <c r="B1781" i="17"/>
  <c r="A1781" i="17"/>
  <c r="AB1780" i="17"/>
  <c r="I1780" i="17"/>
  <c r="H1780" i="17"/>
  <c r="G1780" i="17"/>
  <c r="F1780" i="17"/>
  <c r="E1780" i="17"/>
  <c r="D1780" i="17"/>
  <c r="C1780" i="17"/>
  <c r="B1780" i="17"/>
  <c r="A1780" i="17"/>
  <c r="AH1780" i="17" s="1"/>
  <c r="I1779" i="17"/>
  <c r="H1779" i="17"/>
  <c r="G1779" i="17"/>
  <c r="F1779" i="17"/>
  <c r="E1779" i="17"/>
  <c r="D1779" i="17"/>
  <c r="C1779" i="17"/>
  <c r="B1779" i="17"/>
  <c r="A1779" i="17"/>
  <c r="L1779" i="17" s="1"/>
  <c r="AQ1778" i="17"/>
  <c r="AM1778" i="17"/>
  <c r="AG1778" i="17"/>
  <c r="Q1778" i="17"/>
  <c r="P1778" i="17"/>
  <c r="O1778" i="17"/>
  <c r="L1778" i="17"/>
  <c r="I1778" i="17"/>
  <c r="H1778" i="17"/>
  <c r="G1778" i="17"/>
  <c r="F1778" i="17"/>
  <c r="E1778" i="17"/>
  <c r="D1778" i="17"/>
  <c r="C1778" i="17"/>
  <c r="B1778" i="17"/>
  <c r="A1778" i="17"/>
  <c r="AI1777" i="17"/>
  <c r="T1777" i="17"/>
  <c r="S1777" i="17"/>
  <c r="M1777" i="17"/>
  <c r="I1777" i="17"/>
  <c r="H1777" i="17"/>
  <c r="G1777" i="17"/>
  <c r="F1777" i="17"/>
  <c r="E1777" i="17"/>
  <c r="D1777" i="17"/>
  <c r="C1777" i="17"/>
  <c r="B1777" i="17"/>
  <c r="A1777" i="17"/>
  <c r="I1776" i="17"/>
  <c r="H1776" i="17"/>
  <c r="G1776" i="17"/>
  <c r="F1776" i="17"/>
  <c r="E1776" i="17"/>
  <c r="D1776" i="17"/>
  <c r="C1776" i="17"/>
  <c r="B1776" i="17"/>
  <c r="A1776" i="17"/>
  <c r="AR1775" i="17"/>
  <c r="AN1775" i="17"/>
  <c r="I1775" i="17"/>
  <c r="H1775" i="17"/>
  <c r="G1775" i="17"/>
  <c r="F1775" i="17"/>
  <c r="E1775" i="17"/>
  <c r="D1775" i="17"/>
  <c r="C1775" i="17"/>
  <c r="B1775" i="17"/>
  <c r="A1775" i="17"/>
  <c r="AP1774" i="17"/>
  <c r="Z1774" i="17"/>
  <c r="I1774" i="17"/>
  <c r="H1774" i="17"/>
  <c r="G1774" i="17"/>
  <c r="F1774" i="17"/>
  <c r="E1774" i="17"/>
  <c r="D1774" i="17"/>
  <c r="C1774" i="17"/>
  <c r="B1774" i="17"/>
  <c r="A1774" i="17"/>
  <c r="I1773" i="17"/>
  <c r="H1773" i="17"/>
  <c r="G1773" i="17"/>
  <c r="F1773" i="17"/>
  <c r="E1773" i="17"/>
  <c r="D1773" i="17"/>
  <c r="C1773" i="17"/>
  <c r="B1773" i="17"/>
  <c r="A1773" i="17"/>
  <c r="I1772" i="17"/>
  <c r="H1772" i="17"/>
  <c r="G1772" i="17"/>
  <c r="F1772" i="17"/>
  <c r="E1772" i="17"/>
  <c r="D1772" i="17"/>
  <c r="C1772" i="17"/>
  <c r="B1772" i="17"/>
  <c r="A1772" i="17"/>
  <c r="AM1771" i="17"/>
  <c r="AL1771" i="17"/>
  <c r="AJ1771" i="17"/>
  <c r="W1771" i="17"/>
  <c r="I1771" i="17"/>
  <c r="H1771" i="17"/>
  <c r="G1771" i="17"/>
  <c r="F1771" i="17"/>
  <c r="E1771" i="17"/>
  <c r="D1771" i="17"/>
  <c r="C1771" i="17"/>
  <c r="B1771" i="17"/>
  <c r="A1771" i="17"/>
  <c r="AF1771" i="17" s="1"/>
  <c r="I1770" i="17"/>
  <c r="H1770" i="17"/>
  <c r="G1770" i="17"/>
  <c r="F1770" i="17"/>
  <c r="E1770" i="17"/>
  <c r="D1770" i="17"/>
  <c r="C1770" i="17"/>
  <c r="B1770" i="17"/>
  <c r="A1770" i="17"/>
  <c r="AM1769" i="17"/>
  <c r="AI1769" i="17"/>
  <c r="AE1769" i="17"/>
  <c r="AB1769" i="17"/>
  <c r="AA1769" i="17"/>
  <c r="I1769" i="17"/>
  <c r="H1769" i="17"/>
  <c r="G1769" i="17"/>
  <c r="F1769" i="17"/>
  <c r="E1769" i="17"/>
  <c r="D1769" i="17"/>
  <c r="C1769" i="17"/>
  <c r="B1769" i="17"/>
  <c r="A1769" i="17"/>
  <c r="U1769" i="17" s="1"/>
  <c r="AQ1768" i="17"/>
  <c r="AM1768" i="17"/>
  <c r="AB1768" i="17"/>
  <c r="AA1768" i="17"/>
  <c r="Q1768" i="17"/>
  <c r="K1768" i="17"/>
  <c r="I1768" i="17"/>
  <c r="H1768" i="17"/>
  <c r="G1768" i="17"/>
  <c r="F1768" i="17"/>
  <c r="E1768" i="17"/>
  <c r="D1768" i="17"/>
  <c r="C1768" i="17"/>
  <c r="B1768" i="17"/>
  <c r="A1768" i="17"/>
  <c r="AP1768" i="17" s="1"/>
  <c r="I1767" i="17"/>
  <c r="H1767" i="17"/>
  <c r="G1767" i="17"/>
  <c r="F1767" i="17"/>
  <c r="E1767" i="17"/>
  <c r="D1767" i="17"/>
  <c r="C1767" i="17"/>
  <c r="B1767" i="17"/>
  <c r="A1767" i="17"/>
  <c r="M1767" i="17" s="1"/>
  <c r="I1766" i="17"/>
  <c r="H1766" i="17"/>
  <c r="G1766" i="17"/>
  <c r="F1766" i="17"/>
  <c r="E1766" i="17"/>
  <c r="D1766" i="17"/>
  <c r="C1766" i="17"/>
  <c r="B1766" i="17"/>
  <c r="A1766" i="17"/>
  <c r="I1765" i="17"/>
  <c r="H1765" i="17"/>
  <c r="G1765" i="17"/>
  <c r="F1765" i="17"/>
  <c r="E1765" i="17"/>
  <c r="D1765" i="17"/>
  <c r="C1765" i="17"/>
  <c r="B1765" i="17"/>
  <c r="A1765" i="17"/>
  <c r="I1764" i="17"/>
  <c r="H1764" i="17"/>
  <c r="G1764" i="17"/>
  <c r="F1764" i="17"/>
  <c r="E1764" i="17"/>
  <c r="D1764" i="17"/>
  <c r="C1764" i="17"/>
  <c r="B1764" i="17"/>
  <c r="A1764" i="17"/>
  <c r="I1763" i="17"/>
  <c r="H1763" i="17"/>
  <c r="G1763" i="17"/>
  <c r="F1763" i="17"/>
  <c r="E1763" i="17"/>
  <c r="D1763" i="17"/>
  <c r="C1763" i="17"/>
  <c r="B1763" i="17"/>
  <c r="A1763" i="17"/>
  <c r="AR1762" i="17"/>
  <c r="AP1762" i="17"/>
  <c r="Z1762" i="17"/>
  <c r="P1762" i="17"/>
  <c r="I1762" i="17"/>
  <c r="H1762" i="17"/>
  <c r="G1762" i="17"/>
  <c r="F1762" i="17"/>
  <c r="E1762" i="17"/>
  <c r="D1762" i="17"/>
  <c r="C1762" i="17"/>
  <c r="B1762" i="17"/>
  <c r="A1762" i="17"/>
  <c r="AR1761" i="17"/>
  <c r="AQ1761" i="17"/>
  <c r="AN1761" i="17"/>
  <c r="AM1761" i="17"/>
  <c r="AE1761" i="17"/>
  <c r="AD1761" i="17"/>
  <c r="AC1761" i="17"/>
  <c r="AA1761" i="17"/>
  <c r="W1761" i="17"/>
  <c r="P1761" i="17"/>
  <c r="O1761" i="17"/>
  <c r="M1761" i="17"/>
  <c r="L1761" i="17"/>
  <c r="K1761" i="17"/>
  <c r="I1761" i="17"/>
  <c r="H1761" i="17"/>
  <c r="G1761" i="17"/>
  <c r="F1761" i="17"/>
  <c r="E1761" i="17"/>
  <c r="D1761" i="17"/>
  <c r="C1761" i="17"/>
  <c r="B1761" i="17"/>
  <c r="A1761" i="17"/>
  <c r="I1760" i="17"/>
  <c r="H1760" i="17"/>
  <c r="G1760" i="17"/>
  <c r="F1760" i="17"/>
  <c r="E1760" i="17"/>
  <c r="D1760" i="17"/>
  <c r="C1760" i="17"/>
  <c r="B1760" i="17"/>
  <c r="A1760" i="17"/>
  <c r="AN1759" i="17"/>
  <c r="AD1759" i="17"/>
  <c r="W1759" i="17"/>
  <c r="U1759" i="17"/>
  <c r="T1759" i="17"/>
  <c r="S1759" i="17"/>
  <c r="P1759" i="17"/>
  <c r="I1759" i="17"/>
  <c r="H1759" i="17"/>
  <c r="G1759" i="17"/>
  <c r="F1759" i="17"/>
  <c r="E1759" i="17"/>
  <c r="D1759" i="17"/>
  <c r="C1759" i="17"/>
  <c r="B1759" i="17"/>
  <c r="A1759" i="17"/>
  <c r="AF1759" i="17" s="1"/>
  <c r="I1758" i="17"/>
  <c r="H1758" i="17"/>
  <c r="G1758" i="17"/>
  <c r="F1758" i="17"/>
  <c r="E1758" i="17"/>
  <c r="D1758" i="17"/>
  <c r="C1758" i="17"/>
  <c r="B1758" i="17"/>
  <c r="A1758" i="17"/>
  <c r="AQ1757" i="17"/>
  <c r="R1757" i="17"/>
  <c r="I1757" i="17"/>
  <c r="H1757" i="17"/>
  <c r="G1757" i="17"/>
  <c r="F1757" i="17"/>
  <c r="E1757" i="17"/>
  <c r="D1757" i="17"/>
  <c r="C1757" i="17"/>
  <c r="B1757" i="17"/>
  <c r="A1757" i="17"/>
  <c r="I1756" i="17"/>
  <c r="H1756" i="17"/>
  <c r="G1756" i="17"/>
  <c r="F1756" i="17"/>
  <c r="E1756" i="17"/>
  <c r="D1756" i="17"/>
  <c r="C1756" i="17"/>
  <c r="B1756" i="17"/>
  <c r="A1756" i="17"/>
  <c r="I1755" i="17"/>
  <c r="H1755" i="17"/>
  <c r="G1755" i="17"/>
  <c r="F1755" i="17"/>
  <c r="E1755" i="17"/>
  <c r="D1755" i="17"/>
  <c r="C1755" i="17"/>
  <c r="B1755" i="17"/>
  <c r="A1755" i="17"/>
  <c r="I1754" i="17"/>
  <c r="H1754" i="17"/>
  <c r="G1754" i="17"/>
  <c r="F1754" i="17"/>
  <c r="E1754" i="17"/>
  <c r="D1754" i="17"/>
  <c r="C1754" i="17"/>
  <c r="B1754" i="17"/>
  <c r="A1754" i="17"/>
  <c r="AK1753" i="17"/>
  <c r="AJ1753" i="17"/>
  <c r="AE1753" i="17"/>
  <c r="W1753" i="17"/>
  <c r="V1753" i="17"/>
  <c r="U1753" i="17"/>
  <c r="I1753" i="17"/>
  <c r="H1753" i="17"/>
  <c r="G1753" i="17"/>
  <c r="F1753" i="17"/>
  <c r="E1753" i="17"/>
  <c r="D1753" i="17"/>
  <c r="C1753" i="17"/>
  <c r="B1753" i="17"/>
  <c r="A1753" i="17"/>
  <c r="I1752" i="17"/>
  <c r="H1752" i="17"/>
  <c r="G1752" i="17"/>
  <c r="F1752" i="17"/>
  <c r="E1752" i="17"/>
  <c r="D1752" i="17"/>
  <c r="C1752" i="17"/>
  <c r="B1752" i="17"/>
  <c r="A1752" i="17"/>
  <c r="AQ1752" i="17" s="1"/>
  <c r="AC1751" i="17"/>
  <c r="AA1751" i="17"/>
  <c r="X1751" i="17"/>
  <c r="I1751" i="17"/>
  <c r="H1751" i="17"/>
  <c r="G1751" i="17"/>
  <c r="F1751" i="17"/>
  <c r="E1751" i="17"/>
  <c r="D1751" i="17"/>
  <c r="C1751" i="17"/>
  <c r="B1751" i="17"/>
  <c r="A1751" i="17"/>
  <c r="I1750" i="17"/>
  <c r="H1750" i="17"/>
  <c r="G1750" i="17"/>
  <c r="F1750" i="17"/>
  <c r="E1750" i="17"/>
  <c r="D1750" i="17"/>
  <c r="C1750" i="17"/>
  <c r="B1750" i="17"/>
  <c r="A1750" i="17"/>
  <c r="AK1749" i="17"/>
  <c r="AJ1749" i="17"/>
  <c r="AE1749" i="17"/>
  <c r="O1749" i="17"/>
  <c r="I1749" i="17"/>
  <c r="H1749" i="17"/>
  <c r="G1749" i="17"/>
  <c r="F1749" i="17"/>
  <c r="E1749" i="17"/>
  <c r="D1749" i="17"/>
  <c r="C1749" i="17"/>
  <c r="B1749" i="17"/>
  <c r="A1749" i="17"/>
  <c r="I1748" i="17"/>
  <c r="H1748" i="17"/>
  <c r="G1748" i="17"/>
  <c r="F1748" i="17"/>
  <c r="E1748" i="17"/>
  <c r="D1748" i="17"/>
  <c r="C1748" i="17"/>
  <c r="B1748" i="17"/>
  <c r="A1748" i="17"/>
  <c r="AO1748" i="17" s="1"/>
  <c r="AR1747" i="17"/>
  <c r="AQ1747" i="17"/>
  <c r="AM1747" i="17"/>
  <c r="AL1747" i="17"/>
  <c r="AK1747" i="17"/>
  <c r="AE1747" i="17"/>
  <c r="AC1747" i="17"/>
  <c r="AB1747" i="17"/>
  <c r="AA1747" i="17"/>
  <c r="X1747" i="17"/>
  <c r="W1747" i="17"/>
  <c r="P1747" i="17"/>
  <c r="O1747" i="17"/>
  <c r="N1747" i="17"/>
  <c r="M1747" i="17"/>
  <c r="L1747" i="17"/>
  <c r="K1747" i="17"/>
  <c r="I1747" i="17"/>
  <c r="H1747" i="17"/>
  <c r="G1747" i="17"/>
  <c r="F1747" i="17"/>
  <c r="E1747" i="17"/>
  <c r="D1747" i="17"/>
  <c r="C1747" i="17"/>
  <c r="B1747" i="17"/>
  <c r="A1747" i="17"/>
  <c r="AP1747" i="17" s="1"/>
  <c r="J1746" i="17"/>
  <c r="I1746" i="17"/>
  <c r="H1746" i="17"/>
  <c r="G1746" i="17"/>
  <c r="F1746" i="17"/>
  <c r="E1746" i="17"/>
  <c r="D1746" i="17"/>
  <c r="C1746" i="17"/>
  <c r="B1746" i="17"/>
  <c r="A1746" i="17"/>
  <c r="AB1746" i="17" s="1"/>
  <c r="I1745" i="17"/>
  <c r="H1745" i="17"/>
  <c r="G1745" i="17"/>
  <c r="F1745" i="17"/>
  <c r="E1745" i="17"/>
  <c r="D1745" i="17"/>
  <c r="C1745" i="17"/>
  <c r="B1745" i="17"/>
  <c r="A1745" i="17"/>
  <c r="AN1744" i="17"/>
  <c r="AA1744" i="17"/>
  <c r="K1744" i="17"/>
  <c r="I1744" i="17"/>
  <c r="H1744" i="17"/>
  <c r="G1744" i="17"/>
  <c r="F1744" i="17"/>
  <c r="E1744" i="17"/>
  <c r="D1744" i="17"/>
  <c r="C1744" i="17"/>
  <c r="B1744" i="17"/>
  <c r="A1744" i="17"/>
  <c r="J1744" i="17" s="1"/>
  <c r="V1743" i="17"/>
  <c r="I1743" i="17"/>
  <c r="H1743" i="17"/>
  <c r="G1743" i="17"/>
  <c r="F1743" i="17"/>
  <c r="E1743" i="17"/>
  <c r="D1743" i="17"/>
  <c r="C1743" i="17"/>
  <c r="B1743" i="17"/>
  <c r="A1743" i="17"/>
  <c r="P1743" i="17" s="1"/>
  <c r="I1742" i="17"/>
  <c r="H1742" i="17"/>
  <c r="G1742" i="17"/>
  <c r="F1742" i="17"/>
  <c r="E1742" i="17"/>
  <c r="D1742" i="17"/>
  <c r="C1742" i="17"/>
  <c r="B1742" i="17"/>
  <c r="A1742" i="17"/>
  <c r="AN1741" i="17"/>
  <c r="U1741" i="17"/>
  <c r="T1741" i="17"/>
  <c r="O1741" i="17"/>
  <c r="I1741" i="17"/>
  <c r="H1741" i="17"/>
  <c r="G1741" i="17"/>
  <c r="F1741" i="17"/>
  <c r="E1741" i="17"/>
  <c r="D1741" i="17"/>
  <c r="C1741" i="17"/>
  <c r="B1741" i="17"/>
  <c r="A1741" i="17"/>
  <c r="I1740" i="17"/>
  <c r="H1740" i="17"/>
  <c r="G1740" i="17"/>
  <c r="F1740" i="17"/>
  <c r="E1740" i="17"/>
  <c r="D1740" i="17"/>
  <c r="C1740" i="17"/>
  <c r="B1740" i="17"/>
  <c r="A1740" i="17"/>
  <c r="S1740" i="17" s="1"/>
  <c r="AQ1739" i="17"/>
  <c r="AM1739" i="17"/>
  <c r="AL1739" i="17"/>
  <c r="AJ1739" i="17"/>
  <c r="AE1739" i="17"/>
  <c r="AC1739" i="17"/>
  <c r="V1739" i="17"/>
  <c r="P1739" i="17"/>
  <c r="O1739" i="17"/>
  <c r="N1739" i="17"/>
  <c r="L1739" i="17"/>
  <c r="K1739" i="17"/>
  <c r="I1739" i="17"/>
  <c r="H1739" i="17"/>
  <c r="G1739" i="17"/>
  <c r="F1739" i="17"/>
  <c r="E1739" i="17"/>
  <c r="D1739" i="17"/>
  <c r="C1739" i="17"/>
  <c r="B1739" i="17"/>
  <c r="A1739" i="17"/>
  <c r="AB1739" i="17" s="1"/>
  <c r="L1738" i="17"/>
  <c r="I1738" i="17"/>
  <c r="H1738" i="17"/>
  <c r="G1738" i="17"/>
  <c r="F1738" i="17"/>
  <c r="E1738" i="17"/>
  <c r="D1738" i="17"/>
  <c r="C1738" i="17"/>
  <c r="B1738" i="17"/>
  <c r="A1738" i="17"/>
  <c r="X1738" i="17" s="1"/>
  <c r="I1737" i="17"/>
  <c r="H1737" i="17"/>
  <c r="G1737" i="17"/>
  <c r="F1737" i="17"/>
  <c r="E1737" i="17"/>
  <c r="D1737" i="17"/>
  <c r="C1737" i="17"/>
  <c r="B1737" i="17"/>
  <c r="A1737" i="17"/>
  <c r="L1736" i="17"/>
  <c r="I1736" i="17"/>
  <c r="H1736" i="17"/>
  <c r="G1736" i="17"/>
  <c r="F1736" i="17"/>
  <c r="E1736" i="17"/>
  <c r="D1736" i="17"/>
  <c r="C1736" i="17"/>
  <c r="B1736" i="17"/>
  <c r="A1736" i="17"/>
  <c r="I1735" i="17"/>
  <c r="H1735" i="17"/>
  <c r="G1735" i="17"/>
  <c r="F1735" i="17"/>
  <c r="E1735" i="17"/>
  <c r="D1735" i="17"/>
  <c r="C1735" i="17"/>
  <c r="B1735" i="17"/>
  <c r="A1735" i="17"/>
  <c r="AQ1734" i="17"/>
  <c r="AP1734" i="17"/>
  <c r="AJ1734" i="17"/>
  <c r="I1734" i="17"/>
  <c r="H1734" i="17"/>
  <c r="G1734" i="17"/>
  <c r="F1734" i="17"/>
  <c r="E1734" i="17"/>
  <c r="D1734" i="17"/>
  <c r="C1734" i="17"/>
  <c r="B1734" i="17"/>
  <c r="A1734" i="17"/>
  <c r="L1734" i="17" s="1"/>
  <c r="AJ1733" i="17"/>
  <c r="AF1733" i="17"/>
  <c r="I1733" i="17"/>
  <c r="H1733" i="17"/>
  <c r="G1733" i="17"/>
  <c r="F1733" i="17"/>
  <c r="E1733" i="17"/>
  <c r="D1733" i="17"/>
  <c r="C1733" i="17"/>
  <c r="B1733" i="17"/>
  <c r="A1733" i="17"/>
  <c r="AF1732" i="17"/>
  <c r="O1732" i="17"/>
  <c r="I1732" i="17"/>
  <c r="H1732" i="17"/>
  <c r="G1732" i="17"/>
  <c r="F1732" i="17"/>
  <c r="E1732" i="17"/>
  <c r="D1732" i="17"/>
  <c r="C1732" i="17"/>
  <c r="B1732" i="17"/>
  <c r="A1732" i="17"/>
  <c r="AP1732" i="17" s="1"/>
  <c r="AL1731" i="17"/>
  <c r="AI1731" i="17"/>
  <c r="AA1731" i="17"/>
  <c r="P1731" i="17"/>
  <c r="O1731" i="17"/>
  <c r="N1731" i="17"/>
  <c r="M1731" i="17"/>
  <c r="K1731" i="17"/>
  <c r="I1731" i="17"/>
  <c r="H1731" i="17"/>
  <c r="G1731" i="17"/>
  <c r="F1731" i="17"/>
  <c r="E1731" i="17"/>
  <c r="D1731" i="17"/>
  <c r="C1731" i="17"/>
  <c r="B1731" i="17"/>
  <c r="A1731" i="17"/>
  <c r="AE1731" i="17" s="1"/>
  <c r="I1730" i="17"/>
  <c r="H1730" i="17"/>
  <c r="G1730" i="17"/>
  <c r="F1730" i="17"/>
  <c r="E1730" i="17"/>
  <c r="D1730" i="17"/>
  <c r="C1730" i="17"/>
  <c r="B1730" i="17"/>
  <c r="A1730" i="17"/>
  <c r="S1730" i="17" s="1"/>
  <c r="I1729" i="17"/>
  <c r="H1729" i="17"/>
  <c r="G1729" i="17"/>
  <c r="F1729" i="17"/>
  <c r="E1729" i="17"/>
  <c r="D1729" i="17"/>
  <c r="C1729" i="17"/>
  <c r="B1729" i="17"/>
  <c r="A1729" i="17"/>
  <c r="I1728" i="17"/>
  <c r="H1728" i="17"/>
  <c r="G1728" i="17"/>
  <c r="F1728" i="17"/>
  <c r="E1728" i="17"/>
  <c r="D1728" i="17"/>
  <c r="C1728" i="17"/>
  <c r="B1728" i="17"/>
  <c r="A1728" i="17"/>
  <c r="I1727" i="17"/>
  <c r="H1727" i="17"/>
  <c r="G1727" i="17"/>
  <c r="F1727" i="17"/>
  <c r="E1727" i="17"/>
  <c r="D1727" i="17"/>
  <c r="C1727" i="17"/>
  <c r="B1727" i="17"/>
  <c r="A1727" i="17"/>
  <c r="P1726" i="17"/>
  <c r="I1726" i="17"/>
  <c r="H1726" i="17"/>
  <c r="G1726" i="17"/>
  <c r="F1726" i="17"/>
  <c r="E1726" i="17"/>
  <c r="D1726" i="17"/>
  <c r="C1726" i="17"/>
  <c r="B1726" i="17"/>
  <c r="A1726" i="17"/>
  <c r="I1725" i="17"/>
  <c r="H1725" i="17"/>
  <c r="G1725" i="17"/>
  <c r="F1725" i="17"/>
  <c r="E1725" i="17"/>
  <c r="D1725" i="17"/>
  <c r="C1725" i="17"/>
  <c r="B1725" i="17"/>
  <c r="A1725" i="17"/>
  <c r="AJ1724" i="17"/>
  <c r="AI1724" i="17"/>
  <c r="AE1724" i="17"/>
  <c r="AB1724" i="17"/>
  <c r="AA1724" i="17"/>
  <c r="I1724" i="17"/>
  <c r="H1724" i="17"/>
  <c r="G1724" i="17"/>
  <c r="F1724" i="17"/>
  <c r="E1724" i="17"/>
  <c r="D1724" i="17"/>
  <c r="C1724" i="17"/>
  <c r="B1724" i="17"/>
  <c r="A1724" i="17"/>
  <c r="O1724" i="17" s="1"/>
  <c r="AL1723" i="17"/>
  <c r="AK1723" i="17"/>
  <c r="AJ1723" i="17"/>
  <c r="V1723" i="17"/>
  <c r="P1723" i="17"/>
  <c r="O1723" i="17"/>
  <c r="N1723" i="17"/>
  <c r="I1723" i="17"/>
  <c r="H1723" i="17"/>
  <c r="G1723" i="17"/>
  <c r="F1723" i="17"/>
  <c r="E1723" i="17"/>
  <c r="D1723" i="17"/>
  <c r="C1723" i="17"/>
  <c r="B1723" i="17"/>
  <c r="A1723" i="17"/>
  <c r="I1722" i="17"/>
  <c r="H1722" i="17"/>
  <c r="G1722" i="17"/>
  <c r="F1722" i="17"/>
  <c r="E1722" i="17"/>
  <c r="D1722" i="17"/>
  <c r="C1722" i="17"/>
  <c r="B1722" i="17"/>
  <c r="A1722" i="17"/>
  <c r="AA1721" i="17"/>
  <c r="I1721" i="17"/>
  <c r="H1721" i="17"/>
  <c r="G1721" i="17"/>
  <c r="F1721" i="17"/>
  <c r="E1721" i="17"/>
  <c r="D1721" i="17"/>
  <c r="C1721" i="17"/>
  <c r="B1721" i="17"/>
  <c r="A1721" i="17"/>
  <c r="I1720" i="17"/>
  <c r="H1720" i="17"/>
  <c r="G1720" i="17"/>
  <c r="F1720" i="17"/>
  <c r="E1720" i="17"/>
  <c r="D1720" i="17"/>
  <c r="C1720" i="17"/>
  <c r="B1720" i="17"/>
  <c r="A1720" i="17"/>
  <c r="J1720" i="17" s="1"/>
  <c r="I1719" i="17"/>
  <c r="H1719" i="17"/>
  <c r="G1719" i="17"/>
  <c r="F1719" i="17"/>
  <c r="E1719" i="17"/>
  <c r="D1719" i="17"/>
  <c r="C1719" i="17"/>
  <c r="B1719" i="17"/>
  <c r="A1719" i="17"/>
  <c r="I1718" i="17"/>
  <c r="H1718" i="17"/>
  <c r="G1718" i="17"/>
  <c r="F1718" i="17"/>
  <c r="E1718" i="17"/>
  <c r="D1718" i="17"/>
  <c r="C1718" i="17"/>
  <c r="B1718" i="17"/>
  <c r="A1718" i="17"/>
  <c r="AG1718" i="17" s="1"/>
  <c r="AD1717" i="17"/>
  <c r="AC1717" i="17"/>
  <c r="S1717" i="17"/>
  <c r="I1717" i="17"/>
  <c r="H1717" i="17"/>
  <c r="G1717" i="17"/>
  <c r="F1717" i="17"/>
  <c r="E1717" i="17"/>
  <c r="D1717" i="17"/>
  <c r="C1717" i="17"/>
  <c r="B1717" i="17"/>
  <c r="A1717" i="17"/>
  <c r="L1717" i="17" s="1"/>
  <c r="I1716" i="17"/>
  <c r="H1716" i="17"/>
  <c r="G1716" i="17"/>
  <c r="F1716" i="17"/>
  <c r="E1716" i="17"/>
  <c r="D1716" i="17"/>
  <c r="C1716" i="17"/>
  <c r="B1716" i="17"/>
  <c r="A1716" i="17"/>
  <c r="I1715" i="17"/>
  <c r="H1715" i="17"/>
  <c r="G1715" i="17"/>
  <c r="F1715" i="17"/>
  <c r="E1715" i="17"/>
  <c r="D1715" i="17"/>
  <c r="C1715" i="17"/>
  <c r="B1715" i="17"/>
  <c r="A1715" i="17"/>
  <c r="I1714" i="17"/>
  <c r="H1714" i="17"/>
  <c r="G1714" i="17"/>
  <c r="F1714" i="17"/>
  <c r="E1714" i="17"/>
  <c r="D1714" i="17"/>
  <c r="C1714" i="17"/>
  <c r="B1714" i="17"/>
  <c r="A1714" i="17"/>
  <c r="AR1713" i="17"/>
  <c r="AP1713" i="17"/>
  <c r="AN1713" i="17"/>
  <c r="AI1713" i="17"/>
  <c r="AE1713" i="17"/>
  <c r="AD1713" i="17"/>
  <c r="AC1713" i="17"/>
  <c r="AB1713" i="17"/>
  <c r="Z1713" i="17"/>
  <c r="S1713" i="17"/>
  <c r="P1713" i="17"/>
  <c r="O1713" i="17"/>
  <c r="N1713" i="17"/>
  <c r="M1713" i="17"/>
  <c r="K1713" i="17"/>
  <c r="I1713" i="17"/>
  <c r="H1713" i="17"/>
  <c r="G1713" i="17"/>
  <c r="F1713" i="17"/>
  <c r="E1713" i="17"/>
  <c r="D1713" i="17"/>
  <c r="C1713" i="17"/>
  <c r="B1713" i="17"/>
  <c r="A1713" i="17"/>
  <c r="AM1713" i="17" s="1"/>
  <c r="AA1712" i="17"/>
  <c r="Y1712" i="17"/>
  <c r="I1712" i="17"/>
  <c r="H1712" i="17"/>
  <c r="G1712" i="17"/>
  <c r="F1712" i="17"/>
  <c r="E1712" i="17"/>
  <c r="D1712" i="17"/>
  <c r="C1712" i="17"/>
  <c r="B1712" i="17"/>
  <c r="A1712" i="17"/>
  <c r="I1711" i="17"/>
  <c r="H1711" i="17"/>
  <c r="G1711" i="17"/>
  <c r="F1711" i="17"/>
  <c r="E1711" i="17"/>
  <c r="D1711" i="17"/>
  <c r="C1711" i="17"/>
  <c r="B1711" i="17"/>
  <c r="A1711" i="17"/>
  <c r="AM1710" i="17"/>
  <c r="AD1710" i="17"/>
  <c r="Z1710" i="17"/>
  <c r="P1710" i="17"/>
  <c r="I1710" i="17"/>
  <c r="H1710" i="17"/>
  <c r="G1710" i="17"/>
  <c r="F1710" i="17"/>
  <c r="E1710" i="17"/>
  <c r="D1710" i="17"/>
  <c r="C1710" i="17"/>
  <c r="B1710" i="17"/>
  <c r="A1710" i="17"/>
  <c r="AH1709" i="17"/>
  <c r="AC1709" i="17"/>
  <c r="AB1709" i="17"/>
  <c r="W1709" i="17"/>
  <c r="U1709" i="17"/>
  <c r="P1709" i="17"/>
  <c r="K1709" i="17"/>
  <c r="I1709" i="17"/>
  <c r="H1709" i="17"/>
  <c r="G1709" i="17"/>
  <c r="F1709" i="17"/>
  <c r="E1709" i="17"/>
  <c r="D1709" i="17"/>
  <c r="C1709" i="17"/>
  <c r="B1709" i="17"/>
  <c r="A1709" i="17"/>
  <c r="I1708" i="17"/>
  <c r="H1708" i="17"/>
  <c r="G1708" i="17"/>
  <c r="F1708" i="17"/>
  <c r="E1708" i="17"/>
  <c r="D1708" i="17"/>
  <c r="C1708" i="17"/>
  <c r="B1708" i="17"/>
  <c r="A1708" i="17"/>
  <c r="AR1707" i="17"/>
  <c r="AI1707" i="17"/>
  <c r="AH1707" i="17"/>
  <c r="AF1707" i="17"/>
  <c r="AB1707" i="17"/>
  <c r="Z1707" i="17"/>
  <c r="R1707" i="17"/>
  <c r="P1707" i="17"/>
  <c r="N1707" i="17"/>
  <c r="L1707" i="17"/>
  <c r="K1707" i="17"/>
  <c r="I1707" i="17"/>
  <c r="H1707" i="17"/>
  <c r="G1707" i="17"/>
  <c r="F1707" i="17"/>
  <c r="E1707" i="17"/>
  <c r="D1707" i="17"/>
  <c r="C1707" i="17"/>
  <c r="B1707" i="17"/>
  <c r="A1707" i="17"/>
  <c r="I1706" i="17"/>
  <c r="H1706" i="17"/>
  <c r="G1706" i="17"/>
  <c r="F1706" i="17"/>
  <c r="E1706" i="17"/>
  <c r="D1706" i="17"/>
  <c r="C1706" i="17"/>
  <c r="B1706" i="17"/>
  <c r="A1706" i="17"/>
  <c r="I1705" i="17"/>
  <c r="H1705" i="17"/>
  <c r="G1705" i="17"/>
  <c r="F1705" i="17"/>
  <c r="E1705" i="17"/>
  <c r="D1705" i="17"/>
  <c r="C1705" i="17"/>
  <c r="B1705" i="17"/>
  <c r="A1705" i="17"/>
  <c r="K1705" i="17" s="1"/>
  <c r="AP1704" i="17"/>
  <c r="Q1704" i="17"/>
  <c r="I1704" i="17"/>
  <c r="H1704" i="17"/>
  <c r="G1704" i="17"/>
  <c r="F1704" i="17"/>
  <c r="E1704" i="17"/>
  <c r="D1704" i="17"/>
  <c r="C1704" i="17"/>
  <c r="B1704" i="17"/>
  <c r="A1704" i="17"/>
  <c r="I1703" i="17"/>
  <c r="H1703" i="17"/>
  <c r="G1703" i="17"/>
  <c r="F1703" i="17"/>
  <c r="E1703" i="17"/>
  <c r="D1703" i="17"/>
  <c r="C1703" i="17"/>
  <c r="B1703" i="17"/>
  <c r="A1703" i="17"/>
  <c r="W1703" i="17" s="1"/>
  <c r="I1702" i="17"/>
  <c r="H1702" i="17"/>
  <c r="G1702" i="17"/>
  <c r="F1702" i="17"/>
  <c r="E1702" i="17"/>
  <c r="D1702" i="17"/>
  <c r="C1702" i="17"/>
  <c r="B1702" i="17"/>
  <c r="A1702" i="17"/>
  <c r="AQ1701" i="17"/>
  <c r="AA1701" i="17"/>
  <c r="I1701" i="17"/>
  <c r="H1701" i="17"/>
  <c r="G1701" i="17"/>
  <c r="F1701" i="17"/>
  <c r="E1701" i="17"/>
  <c r="D1701" i="17"/>
  <c r="C1701" i="17"/>
  <c r="B1701" i="17"/>
  <c r="A1701" i="17"/>
  <c r="M1701" i="17" s="1"/>
  <c r="AE1700" i="17"/>
  <c r="I1700" i="17"/>
  <c r="H1700" i="17"/>
  <c r="G1700" i="17"/>
  <c r="F1700" i="17"/>
  <c r="E1700" i="17"/>
  <c r="D1700" i="17"/>
  <c r="C1700" i="17"/>
  <c r="B1700" i="17"/>
  <c r="A1700" i="17"/>
  <c r="AD1700" i="17" s="1"/>
  <c r="I1699" i="17"/>
  <c r="H1699" i="17"/>
  <c r="G1699" i="17"/>
  <c r="F1699" i="17"/>
  <c r="E1699" i="17"/>
  <c r="D1699" i="17"/>
  <c r="C1699" i="17"/>
  <c r="B1699" i="17"/>
  <c r="A1699" i="17"/>
  <c r="AI1699" i="17" s="1"/>
  <c r="AA1698" i="17"/>
  <c r="I1698" i="17"/>
  <c r="H1698" i="17"/>
  <c r="G1698" i="17"/>
  <c r="F1698" i="17"/>
  <c r="E1698" i="17"/>
  <c r="D1698" i="17"/>
  <c r="C1698" i="17"/>
  <c r="B1698" i="17"/>
  <c r="A1698" i="17"/>
  <c r="R1698" i="17" s="1"/>
  <c r="AF1697" i="17"/>
  <c r="AC1697" i="17"/>
  <c r="U1697" i="17"/>
  <c r="S1697" i="17"/>
  <c r="P1697" i="17"/>
  <c r="O1697" i="17"/>
  <c r="I1697" i="17"/>
  <c r="H1697" i="17"/>
  <c r="G1697" i="17"/>
  <c r="F1697" i="17"/>
  <c r="E1697" i="17"/>
  <c r="D1697" i="17"/>
  <c r="C1697" i="17"/>
  <c r="B1697" i="17"/>
  <c r="A1697" i="17"/>
  <c r="AP1697" i="17" s="1"/>
  <c r="AM1696" i="17"/>
  <c r="AL1696" i="17"/>
  <c r="AI1696" i="17"/>
  <c r="I1696" i="17"/>
  <c r="H1696" i="17"/>
  <c r="G1696" i="17"/>
  <c r="F1696" i="17"/>
  <c r="E1696" i="17"/>
  <c r="D1696" i="17"/>
  <c r="C1696" i="17"/>
  <c r="B1696" i="17"/>
  <c r="A1696" i="17"/>
  <c r="I1695" i="17"/>
  <c r="H1695" i="17"/>
  <c r="G1695" i="17"/>
  <c r="F1695" i="17"/>
  <c r="E1695" i="17"/>
  <c r="D1695" i="17"/>
  <c r="C1695" i="17"/>
  <c r="B1695" i="17"/>
  <c r="A1695" i="17"/>
  <c r="I1694" i="17"/>
  <c r="H1694" i="17"/>
  <c r="G1694" i="17"/>
  <c r="F1694" i="17"/>
  <c r="E1694" i="17"/>
  <c r="D1694" i="17"/>
  <c r="C1694" i="17"/>
  <c r="B1694" i="17"/>
  <c r="A1694" i="17"/>
  <c r="AP1693" i="17"/>
  <c r="AB1693" i="17"/>
  <c r="AA1693" i="17"/>
  <c r="W1693" i="17"/>
  <c r="R1693" i="17"/>
  <c r="L1693" i="17"/>
  <c r="I1693" i="17"/>
  <c r="H1693" i="17"/>
  <c r="G1693" i="17"/>
  <c r="F1693" i="17"/>
  <c r="E1693" i="17"/>
  <c r="D1693" i="17"/>
  <c r="C1693" i="17"/>
  <c r="B1693" i="17"/>
  <c r="A1693" i="17"/>
  <c r="AQ1692" i="17"/>
  <c r="AG1692" i="17"/>
  <c r="I1692" i="17"/>
  <c r="H1692" i="17"/>
  <c r="G1692" i="17"/>
  <c r="F1692" i="17"/>
  <c r="E1692" i="17"/>
  <c r="D1692" i="17"/>
  <c r="C1692" i="17"/>
  <c r="B1692" i="17"/>
  <c r="A1692" i="17"/>
  <c r="AI1692" i="17" s="1"/>
  <c r="AE1691" i="17"/>
  <c r="I1691" i="17"/>
  <c r="H1691" i="17"/>
  <c r="G1691" i="17"/>
  <c r="F1691" i="17"/>
  <c r="E1691" i="17"/>
  <c r="D1691" i="17"/>
  <c r="C1691" i="17"/>
  <c r="B1691" i="17"/>
  <c r="A1691" i="17"/>
  <c r="V1690" i="17"/>
  <c r="O1690" i="17"/>
  <c r="I1690" i="17"/>
  <c r="H1690" i="17"/>
  <c r="G1690" i="17"/>
  <c r="F1690" i="17"/>
  <c r="E1690" i="17"/>
  <c r="D1690" i="17"/>
  <c r="C1690" i="17"/>
  <c r="B1690" i="17"/>
  <c r="A1690" i="17"/>
  <c r="AP1689" i="17"/>
  <c r="AK1689" i="17"/>
  <c r="AH1689" i="17"/>
  <c r="AF1689" i="17"/>
  <c r="AE1689" i="17"/>
  <c r="AD1689" i="17"/>
  <c r="U1689" i="17"/>
  <c r="S1689" i="17"/>
  <c r="R1689" i="17"/>
  <c r="O1689" i="17"/>
  <c r="M1689" i="17"/>
  <c r="L1689" i="17"/>
  <c r="I1689" i="17"/>
  <c r="H1689" i="17"/>
  <c r="G1689" i="17"/>
  <c r="F1689" i="17"/>
  <c r="E1689" i="17"/>
  <c r="D1689" i="17"/>
  <c r="C1689" i="17"/>
  <c r="B1689" i="17"/>
  <c r="A1689" i="17"/>
  <c r="AM1689" i="17" s="1"/>
  <c r="AQ1688" i="17"/>
  <c r="R1688" i="17"/>
  <c r="I1688" i="17"/>
  <c r="H1688" i="17"/>
  <c r="G1688" i="17"/>
  <c r="F1688" i="17"/>
  <c r="E1688" i="17"/>
  <c r="D1688" i="17"/>
  <c r="C1688" i="17"/>
  <c r="B1688" i="17"/>
  <c r="A1688" i="17"/>
  <c r="I1687" i="17"/>
  <c r="H1687" i="17"/>
  <c r="G1687" i="17"/>
  <c r="F1687" i="17"/>
  <c r="E1687" i="17"/>
  <c r="D1687" i="17"/>
  <c r="C1687" i="17"/>
  <c r="B1687" i="17"/>
  <c r="A1687" i="17"/>
  <c r="I1686" i="17"/>
  <c r="H1686" i="17"/>
  <c r="G1686" i="17"/>
  <c r="F1686" i="17"/>
  <c r="E1686" i="17"/>
  <c r="D1686" i="17"/>
  <c r="C1686" i="17"/>
  <c r="B1686" i="17"/>
  <c r="A1686" i="17"/>
  <c r="AL1686" i="17" s="1"/>
  <c r="AR1685" i="17"/>
  <c r="AL1685" i="17"/>
  <c r="AK1685" i="17"/>
  <c r="W1685" i="17"/>
  <c r="I1685" i="17"/>
  <c r="H1685" i="17"/>
  <c r="G1685" i="17"/>
  <c r="F1685" i="17"/>
  <c r="E1685" i="17"/>
  <c r="D1685" i="17"/>
  <c r="C1685" i="17"/>
  <c r="B1685" i="17"/>
  <c r="A1685" i="17"/>
  <c r="AL1684" i="17"/>
  <c r="AI1684" i="17"/>
  <c r="Z1684" i="17"/>
  <c r="I1684" i="17"/>
  <c r="H1684" i="17"/>
  <c r="G1684" i="17"/>
  <c r="F1684" i="17"/>
  <c r="E1684" i="17"/>
  <c r="D1684" i="17"/>
  <c r="C1684" i="17"/>
  <c r="B1684" i="17"/>
  <c r="A1684" i="17"/>
  <c r="AD1683" i="17"/>
  <c r="N1683" i="17"/>
  <c r="I1683" i="17"/>
  <c r="H1683" i="17"/>
  <c r="G1683" i="17"/>
  <c r="F1683" i="17"/>
  <c r="E1683" i="17"/>
  <c r="D1683" i="17"/>
  <c r="C1683" i="17"/>
  <c r="B1683" i="17"/>
  <c r="A1683" i="17"/>
  <c r="AN1682" i="17"/>
  <c r="AE1682" i="17"/>
  <c r="AD1682" i="17"/>
  <c r="Z1682" i="17"/>
  <c r="I1682" i="17"/>
  <c r="H1682" i="17"/>
  <c r="G1682" i="17"/>
  <c r="F1682" i="17"/>
  <c r="E1682" i="17"/>
  <c r="D1682" i="17"/>
  <c r="C1682" i="17"/>
  <c r="B1682" i="17"/>
  <c r="A1682" i="17"/>
  <c r="AH1682" i="17" s="1"/>
  <c r="AM1681" i="17"/>
  <c r="I1681" i="17"/>
  <c r="H1681" i="17"/>
  <c r="G1681" i="17"/>
  <c r="F1681" i="17"/>
  <c r="E1681" i="17"/>
  <c r="D1681" i="17"/>
  <c r="C1681" i="17"/>
  <c r="B1681" i="17"/>
  <c r="A1681" i="17"/>
  <c r="I1680" i="17"/>
  <c r="H1680" i="17"/>
  <c r="G1680" i="17"/>
  <c r="F1680" i="17"/>
  <c r="E1680" i="17"/>
  <c r="D1680" i="17"/>
  <c r="C1680" i="17"/>
  <c r="B1680" i="17"/>
  <c r="A1680" i="17"/>
  <c r="I1679" i="17"/>
  <c r="H1679" i="17"/>
  <c r="G1679" i="17"/>
  <c r="F1679" i="17"/>
  <c r="E1679" i="17"/>
  <c r="D1679" i="17"/>
  <c r="C1679" i="17"/>
  <c r="B1679" i="17"/>
  <c r="A1679" i="17"/>
  <c r="AM1678" i="17"/>
  <c r="AI1678" i="17"/>
  <c r="I1678" i="17"/>
  <c r="H1678" i="17"/>
  <c r="G1678" i="17"/>
  <c r="F1678" i="17"/>
  <c r="E1678" i="17"/>
  <c r="D1678" i="17"/>
  <c r="C1678" i="17"/>
  <c r="B1678" i="17"/>
  <c r="A1678" i="17"/>
  <c r="J1678" i="17" s="1"/>
  <c r="I1677" i="17"/>
  <c r="H1677" i="17"/>
  <c r="G1677" i="17"/>
  <c r="F1677" i="17"/>
  <c r="E1677" i="17"/>
  <c r="D1677" i="17"/>
  <c r="C1677" i="17"/>
  <c r="B1677" i="17"/>
  <c r="A1677" i="17"/>
  <c r="AE1676" i="17"/>
  <c r="I1676" i="17"/>
  <c r="H1676" i="17"/>
  <c r="G1676" i="17"/>
  <c r="F1676" i="17"/>
  <c r="E1676" i="17"/>
  <c r="D1676" i="17"/>
  <c r="C1676" i="17"/>
  <c r="B1676" i="17"/>
  <c r="A1676" i="17"/>
  <c r="AH1676" i="17" s="1"/>
  <c r="I1675" i="17"/>
  <c r="H1675" i="17"/>
  <c r="G1675" i="17"/>
  <c r="F1675" i="17"/>
  <c r="E1675" i="17"/>
  <c r="D1675" i="17"/>
  <c r="C1675" i="17"/>
  <c r="B1675" i="17"/>
  <c r="A1675" i="17"/>
  <c r="I1674" i="17"/>
  <c r="H1674" i="17"/>
  <c r="G1674" i="17"/>
  <c r="F1674" i="17"/>
  <c r="E1674" i="17"/>
  <c r="D1674" i="17"/>
  <c r="C1674" i="17"/>
  <c r="B1674" i="17"/>
  <c r="A1674" i="17"/>
  <c r="AL1673" i="17"/>
  <c r="AK1673" i="17"/>
  <c r="W1673" i="17"/>
  <c r="K1673" i="17"/>
  <c r="I1673" i="17"/>
  <c r="H1673" i="17"/>
  <c r="G1673" i="17"/>
  <c r="F1673" i="17"/>
  <c r="E1673" i="17"/>
  <c r="D1673" i="17"/>
  <c r="C1673" i="17"/>
  <c r="B1673" i="17"/>
  <c r="A1673" i="17"/>
  <c r="J1673" i="17" s="1"/>
  <c r="AQ1672" i="17"/>
  <c r="I1672" i="17"/>
  <c r="H1672" i="17"/>
  <c r="G1672" i="17"/>
  <c r="F1672" i="17"/>
  <c r="E1672" i="17"/>
  <c r="D1672" i="17"/>
  <c r="C1672" i="17"/>
  <c r="B1672" i="17"/>
  <c r="A1672" i="17"/>
  <c r="AG1672" i="17" s="1"/>
  <c r="AM1671" i="17"/>
  <c r="V1671" i="17"/>
  <c r="I1671" i="17"/>
  <c r="H1671" i="17"/>
  <c r="G1671" i="17"/>
  <c r="F1671" i="17"/>
  <c r="E1671" i="17"/>
  <c r="D1671" i="17"/>
  <c r="C1671" i="17"/>
  <c r="B1671" i="17"/>
  <c r="A1671" i="17"/>
  <c r="I1670" i="17"/>
  <c r="H1670" i="17"/>
  <c r="G1670" i="17"/>
  <c r="F1670" i="17"/>
  <c r="E1670" i="17"/>
  <c r="D1670" i="17"/>
  <c r="C1670" i="17"/>
  <c r="B1670" i="17"/>
  <c r="A1670" i="17"/>
  <c r="AB1669" i="17"/>
  <c r="AA1669" i="17"/>
  <c r="I1669" i="17"/>
  <c r="H1669" i="17"/>
  <c r="G1669" i="17"/>
  <c r="F1669" i="17"/>
  <c r="E1669" i="17"/>
  <c r="D1669" i="17"/>
  <c r="C1669" i="17"/>
  <c r="B1669" i="17"/>
  <c r="A1669" i="17"/>
  <c r="I1668" i="17"/>
  <c r="H1668" i="17"/>
  <c r="G1668" i="17"/>
  <c r="F1668" i="17"/>
  <c r="E1668" i="17"/>
  <c r="D1668" i="17"/>
  <c r="C1668" i="17"/>
  <c r="B1668" i="17"/>
  <c r="A1668" i="17"/>
  <c r="AM1667" i="17"/>
  <c r="AH1667" i="17"/>
  <c r="I1667" i="17"/>
  <c r="H1667" i="17"/>
  <c r="G1667" i="17"/>
  <c r="F1667" i="17"/>
  <c r="E1667" i="17"/>
  <c r="D1667" i="17"/>
  <c r="C1667" i="17"/>
  <c r="B1667" i="17"/>
  <c r="A1667" i="17"/>
  <c r="N1667" i="17" s="1"/>
  <c r="AO1666" i="17"/>
  <c r="AN1666" i="17"/>
  <c r="AI1666" i="17"/>
  <c r="S1666" i="17"/>
  <c r="P1666" i="17"/>
  <c r="O1666" i="17"/>
  <c r="I1666" i="17"/>
  <c r="H1666" i="17"/>
  <c r="G1666" i="17"/>
  <c r="F1666" i="17"/>
  <c r="E1666" i="17"/>
  <c r="D1666" i="17"/>
  <c r="C1666" i="17"/>
  <c r="B1666" i="17"/>
  <c r="A1666" i="17"/>
  <c r="I1665" i="17"/>
  <c r="H1665" i="17"/>
  <c r="G1665" i="17"/>
  <c r="F1665" i="17"/>
  <c r="E1665" i="17"/>
  <c r="D1665" i="17"/>
  <c r="C1665" i="17"/>
  <c r="B1665" i="17"/>
  <c r="A1665" i="17"/>
  <c r="K1665" i="17" s="1"/>
  <c r="AP1664" i="17"/>
  <c r="I1664" i="17"/>
  <c r="H1664" i="17"/>
  <c r="G1664" i="17"/>
  <c r="F1664" i="17"/>
  <c r="E1664" i="17"/>
  <c r="D1664" i="17"/>
  <c r="C1664" i="17"/>
  <c r="B1664" i="17"/>
  <c r="A1664" i="17"/>
  <c r="AH1664" i="17" s="1"/>
  <c r="I1663" i="17"/>
  <c r="H1663" i="17"/>
  <c r="G1663" i="17"/>
  <c r="F1663" i="17"/>
  <c r="E1663" i="17"/>
  <c r="D1663" i="17"/>
  <c r="C1663" i="17"/>
  <c r="B1663" i="17"/>
  <c r="A1663" i="17"/>
  <c r="I1662" i="17"/>
  <c r="H1662" i="17"/>
  <c r="G1662" i="17"/>
  <c r="F1662" i="17"/>
  <c r="E1662" i="17"/>
  <c r="D1662" i="17"/>
  <c r="C1662" i="17"/>
  <c r="B1662" i="17"/>
  <c r="A1662" i="17"/>
  <c r="AP1661" i="17"/>
  <c r="I1661" i="17"/>
  <c r="H1661" i="17"/>
  <c r="G1661" i="17"/>
  <c r="F1661" i="17"/>
  <c r="E1661" i="17"/>
  <c r="D1661" i="17"/>
  <c r="C1661" i="17"/>
  <c r="B1661" i="17"/>
  <c r="A1661" i="17"/>
  <c r="I1660" i="17"/>
  <c r="H1660" i="17"/>
  <c r="G1660" i="17"/>
  <c r="F1660" i="17"/>
  <c r="E1660" i="17"/>
  <c r="D1660" i="17"/>
  <c r="C1660" i="17"/>
  <c r="B1660" i="17"/>
  <c r="A1660" i="17"/>
  <c r="X1660" i="17" s="1"/>
  <c r="I1659" i="17"/>
  <c r="H1659" i="17"/>
  <c r="G1659" i="17"/>
  <c r="F1659" i="17"/>
  <c r="E1659" i="17"/>
  <c r="D1659" i="17"/>
  <c r="C1659" i="17"/>
  <c r="B1659" i="17"/>
  <c r="A1659" i="17"/>
  <c r="I1658" i="17"/>
  <c r="H1658" i="17"/>
  <c r="G1658" i="17"/>
  <c r="F1658" i="17"/>
  <c r="E1658" i="17"/>
  <c r="D1658" i="17"/>
  <c r="C1658" i="17"/>
  <c r="B1658" i="17"/>
  <c r="A1658" i="17"/>
  <c r="AD1658" i="17" s="1"/>
  <c r="I1657" i="17"/>
  <c r="H1657" i="17"/>
  <c r="G1657" i="17"/>
  <c r="F1657" i="17"/>
  <c r="E1657" i="17"/>
  <c r="D1657" i="17"/>
  <c r="C1657" i="17"/>
  <c r="B1657" i="17"/>
  <c r="A1657" i="17"/>
  <c r="AO1656" i="17"/>
  <c r="S1656" i="17"/>
  <c r="I1656" i="17"/>
  <c r="H1656" i="17"/>
  <c r="G1656" i="17"/>
  <c r="F1656" i="17"/>
  <c r="E1656" i="17"/>
  <c r="D1656" i="17"/>
  <c r="C1656" i="17"/>
  <c r="B1656" i="17"/>
  <c r="A1656" i="17"/>
  <c r="AF1656" i="17" s="1"/>
  <c r="AR1655" i="17"/>
  <c r="AJ1655" i="17"/>
  <c r="AI1655" i="17"/>
  <c r="AB1655" i="17"/>
  <c r="U1655" i="17"/>
  <c r="T1655" i="17"/>
  <c r="R1655" i="17"/>
  <c r="N1655" i="17"/>
  <c r="M1655" i="17"/>
  <c r="I1655" i="17"/>
  <c r="H1655" i="17"/>
  <c r="G1655" i="17"/>
  <c r="F1655" i="17"/>
  <c r="E1655" i="17"/>
  <c r="D1655" i="17"/>
  <c r="C1655" i="17"/>
  <c r="B1655" i="17"/>
  <c r="A1655" i="17"/>
  <c r="AC1655" i="17" s="1"/>
  <c r="AO1654" i="17"/>
  <c r="AN1654" i="17"/>
  <c r="AF1654" i="17"/>
  <c r="AD1654" i="17"/>
  <c r="V1654" i="17"/>
  <c r="I1654" i="17"/>
  <c r="H1654" i="17"/>
  <c r="G1654" i="17"/>
  <c r="F1654" i="17"/>
  <c r="E1654" i="17"/>
  <c r="D1654" i="17"/>
  <c r="C1654" i="17"/>
  <c r="B1654" i="17"/>
  <c r="A1654" i="17"/>
  <c r="AQ1653" i="17"/>
  <c r="AP1653" i="17"/>
  <c r="AL1653" i="17"/>
  <c r="AH1653" i="17"/>
  <c r="AB1653" i="17"/>
  <c r="I1653" i="17"/>
  <c r="H1653" i="17"/>
  <c r="G1653" i="17"/>
  <c r="F1653" i="17"/>
  <c r="E1653" i="17"/>
  <c r="D1653" i="17"/>
  <c r="C1653" i="17"/>
  <c r="B1653" i="17"/>
  <c r="A1653" i="17"/>
  <c r="I1652" i="17"/>
  <c r="H1652" i="17"/>
  <c r="G1652" i="17"/>
  <c r="F1652" i="17"/>
  <c r="E1652" i="17"/>
  <c r="D1652" i="17"/>
  <c r="C1652" i="17"/>
  <c r="B1652" i="17"/>
  <c r="A1652" i="17"/>
  <c r="AQ1651" i="17"/>
  <c r="AL1651" i="17"/>
  <c r="AK1651" i="17"/>
  <c r="K1651" i="17"/>
  <c r="I1651" i="17"/>
  <c r="H1651" i="17"/>
  <c r="G1651" i="17"/>
  <c r="F1651" i="17"/>
  <c r="E1651" i="17"/>
  <c r="D1651" i="17"/>
  <c r="C1651" i="17"/>
  <c r="B1651" i="17"/>
  <c r="A1651" i="17"/>
  <c r="I1650" i="17"/>
  <c r="H1650" i="17"/>
  <c r="G1650" i="17"/>
  <c r="F1650" i="17"/>
  <c r="E1650" i="17"/>
  <c r="D1650" i="17"/>
  <c r="C1650" i="17"/>
  <c r="B1650" i="17"/>
  <c r="A1650" i="17"/>
  <c r="L1649" i="17"/>
  <c r="I1649" i="17"/>
  <c r="H1649" i="17"/>
  <c r="G1649" i="17"/>
  <c r="F1649" i="17"/>
  <c r="E1649" i="17"/>
  <c r="D1649" i="17"/>
  <c r="C1649" i="17"/>
  <c r="B1649" i="17"/>
  <c r="A1649" i="17"/>
  <c r="I1648" i="17"/>
  <c r="H1648" i="17"/>
  <c r="G1648" i="17"/>
  <c r="F1648" i="17"/>
  <c r="E1648" i="17"/>
  <c r="D1648" i="17"/>
  <c r="C1648" i="17"/>
  <c r="B1648" i="17"/>
  <c r="A1648" i="17"/>
  <c r="I1647" i="17"/>
  <c r="H1647" i="17"/>
  <c r="G1647" i="17"/>
  <c r="F1647" i="17"/>
  <c r="E1647" i="17"/>
  <c r="D1647" i="17"/>
  <c r="C1647" i="17"/>
  <c r="B1647" i="17"/>
  <c r="A1647" i="17"/>
  <c r="AP1646" i="17"/>
  <c r="AF1646" i="17"/>
  <c r="Y1646" i="17"/>
  <c r="X1646" i="17"/>
  <c r="W1646" i="17"/>
  <c r="O1646" i="17"/>
  <c r="N1646" i="17"/>
  <c r="I1646" i="17"/>
  <c r="H1646" i="17"/>
  <c r="G1646" i="17"/>
  <c r="F1646" i="17"/>
  <c r="E1646" i="17"/>
  <c r="D1646" i="17"/>
  <c r="C1646" i="17"/>
  <c r="B1646" i="17"/>
  <c r="A1646" i="17"/>
  <c r="I1645" i="17"/>
  <c r="H1645" i="17"/>
  <c r="G1645" i="17"/>
  <c r="F1645" i="17"/>
  <c r="E1645" i="17"/>
  <c r="D1645" i="17"/>
  <c r="C1645" i="17"/>
  <c r="B1645" i="17"/>
  <c r="A1645" i="17"/>
  <c r="I1644" i="17"/>
  <c r="H1644" i="17"/>
  <c r="G1644" i="17"/>
  <c r="F1644" i="17"/>
  <c r="E1644" i="17"/>
  <c r="D1644" i="17"/>
  <c r="C1644" i="17"/>
  <c r="B1644" i="17"/>
  <c r="A1644" i="17"/>
  <c r="AR1643" i="17"/>
  <c r="AQ1643" i="17"/>
  <c r="AP1643" i="17"/>
  <c r="AH1643" i="17"/>
  <c r="AE1643" i="17"/>
  <c r="AD1643" i="17"/>
  <c r="AB1643" i="17"/>
  <c r="AA1643" i="17"/>
  <c r="Z1643" i="17"/>
  <c r="R1643" i="17"/>
  <c r="O1643" i="17"/>
  <c r="N1643" i="17"/>
  <c r="M1643" i="17"/>
  <c r="K1643" i="17"/>
  <c r="J1643" i="17"/>
  <c r="I1643" i="17"/>
  <c r="H1643" i="17"/>
  <c r="G1643" i="17"/>
  <c r="F1643" i="17"/>
  <c r="E1643" i="17"/>
  <c r="D1643" i="17"/>
  <c r="C1643" i="17"/>
  <c r="B1643" i="17"/>
  <c r="A1643" i="17"/>
  <c r="AL1643" i="17" s="1"/>
  <c r="I1642" i="17"/>
  <c r="H1642" i="17"/>
  <c r="G1642" i="17"/>
  <c r="F1642" i="17"/>
  <c r="E1642" i="17"/>
  <c r="D1642" i="17"/>
  <c r="C1642" i="17"/>
  <c r="B1642" i="17"/>
  <c r="A1642" i="17"/>
  <c r="AR1641" i="17"/>
  <c r="AL1641" i="17"/>
  <c r="AH1641" i="17"/>
  <c r="T1641" i="17"/>
  <c r="R1641" i="17"/>
  <c r="O1641" i="17"/>
  <c r="L1641" i="17"/>
  <c r="J1641" i="17"/>
  <c r="I1641" i="17"/>
  <c r="H1641" i="17"/>
  <c r="G1641" i="17"/>
  <c r="F1641" i="17"/>
  <c r="E1641" i="17"/>
  <c r="D1641" i="17"/>
  <c r="C1641" i="17"/>
  <c r="B1641" i="17"/>
  <c r="A1641" i="17"/>
  <c r="I1640" i="17"/>
  <c r="H1640" i="17"/>
  <c r="G1640" i="17"/>
  <c r="F1640" i="17"/>
  <c r="E1640" i="17"/>
  <c r="D1640" i="17"/>
  <c r="C1640" i="17"/>
  <c r="B1640" i="17"/>
  <c r="A1640" i="17"/>
  <c r="AR1639" i="17"/>
  <c r="AP1639" i="17"/>
  <c r="AB1639" i="17"/>
  <c r="AA1639" i="17"/>
  <c r="Z1639" i="17"/>
  <c r="I1639" i="17"/>
  <c r="H1639" i="17"/>
  <c r="G1639" i="17"/>
  <c r="F1639" i="17"/>
  <c r="E1639" i="17"/>
  <c r="D1639" i="17"/>
  <c r="C1639" i="17"/>
  <c r="B1639" i="17"/>
  <c r="A1639" i="17"/>
  <c r="I1638" i="17"/>
  <c r="H1638" i="17"/>
  <c r="G1638" i="17"/>
  <c r="F1638" i="17"/>
  <c r="E1638" i="17"/>
  <c r="D1638" i="17"/>
  <c r="C1638" i="17"/>
  <c r="B1638" i="17"/>
  <c r="A1638" i="17"/>
  <c r="Z1638" i="17" s="1"/>
  <c r="I1637" i="17"/>
  <c r="H1637" i="17"/>
  <c r="G1637" i="17"/>
  <c r="F1637" i="17"/>
  <c r="E1637" i="17"/>
  <c r="D1637" i="17"/>
  <c r="C1637" i="17"/>
  <c r="B1637" i="17"/>
  <c r="A1637" i="17"/>
  <c r="V1637" i="17" s="1"/>
  <c r="I1636" i="17"/>
  <c r="H1636" i="17"/>
  <c r="G1636" i="17"/>
  <c r="F1636" i="17"/>
  <c r="E1636" i="17"/>
  <c r="D1636" i="17"/>
  <c r="C1636" i="17"/>
  <c r="B1636" i="17"/>
  <c r="A1636" i="17"/>
  <c r="AP1635" i="17"/>
  <c r="AC1635" i="17"/>
  <c r="I1635" i="17"/>
  <c r="H1635" i="17"/>
  <c r="G1635" i="17"/>
  <c r="F1635" i="17"/>
  <c r="E1635" i="17"/>
  <c r="D1635" i="17"/>
  <c r="C1635" i="17"/>
  <c r="B1635" i="17"/>
  <c r="A1635" i="17"/>
  <c r="AM1635" i="17" s="1"/>
  <c r="AN1634" i="17"/>
  <c r="AD1634" i="17"/>
  <c r="AA1634" i="17"/>
  <c r="R1634" i="17"/>
  <c r="Q1634" i="17"/>
  <c r="P1634" i="17"/>
  <c r="I1634" i="17"/>
  <c r="H1634" i="17"/>
  <c r="G1634" i="17"/>
  <c r="F1634" i="17"/>
  <c r="E1634" i="17"/>
  <c r="D1634" i="17"/>
  <c r="C1634" i="17"/>
  <c r="B1634" i="17"/>
  <c r="A1634" i="17"/>
  <c r="Z1634" i="17" s="1"/>
  <c r="AM1633" i="17"/>
  <c r="AA1633" i="17"/>
  <c r="Z1633" i="17"/>
  <c r="I1633" i="17"/>
  <c r="H1633" i="17"/>
  <c r="G1633" i="17"/>
  <c r="F1633" i="17"/>
  <c r="E1633" i="17"/>
  <c r="D1633" i="17"/>
  <c r="C1633" i="17"/>
  <c r="B1633" i="17"/>
  <c r="A1633" i="17"/>
  <c r="I1632" i="17"/>
  <c r="H1632" i="17"/>
  <c r="G1632" i="17"/>
  <c r="F1632" i="17"/>
  <c r="E1632" i="17"/>
  <c r="D1632" i="17"/>
  <c r="C1632" i="17"/>
  <c r="B1632" i="17"/>
  <c r="A1632" i="17"/>
  <c r="AQ1631" i="17"/>
  <c r="AJ1631" i="17"/>
  <c r="AB1631" i="17"/>
  <c r="N1631" i="17"/>
  <c r="I1631" i="17"/>
  <c r="H1631" i="17"/>
  <c r="G1631" i="17"/>
  <c r="F1631" i="17"/>
  <c r="E1631" i="17"/>
  <c r="D1631" i="17"/>
  <c r="C1631" i="17"/>
  <c r="B1631" i="17"/>
  <c r="A1631" i="17"/>
  <c r="I1630" i="17"/>
  <c r="H1630" i="17"/>
  <c r="G1630" i="17"/>
  <c r="F1630" i="17"/>
  <c r="E1630" i="17"/>
  <c r="D1630" i="17"/>
  <c r="C1630" i="17"/>
  <c r="B1630" i="17"/>
  <c r="A1630" i="17"/>
  <c r="AK1629" i="17"/>
  <c r="U1629" i="17"/>
  <c r="T1629" i="17"/>
  <c r="K1629" i="17"/>
  <c r="I1629" i="17"/>
  <c r="H1629" i="17"/>
  <c r="G1629" i="17"/>
  <c r="F1629" i="17"/>
  <c r="E1629" i="17"/>
  <c r="D1629" i="17"/>
  <c r="C1629" i="17"/>
  <c r="B1629" i="17"/>
  <c r="A1629" i="17"/>
  <c r="AO1628" i="17"/>
  <c r="AL1628" i="17"/>
  <c r="I1628" i="17"/>
  <c r="H1628" i="17"/>
  <c r="G1628" i="17"/>
  <c r="F1628" i="17"/>
  <c r="E1628" i="17"/>
  <c r="D1628" i="17"/>
  <c r="C1628" i="17"/>
  <c r="B1628" i="17"/>
  <c r="A1628" i="17"/>
  <c r="X1628" i="17" s="1"/>
  <c r="AR1627" i="17"/>
  <c r="AQ1627" i="17"/>
  <c r="AK1627" i="17"/>
  <c r="AI1627" i="17"/>
  <c r="AH1627" i="17"/>
  <c r="AE1627" i="17"/>
  <c r="U1627" i="17"/>
  <c r="T1627" i="17"/>
  <c r="R1627" i="17"/>
  <c r="O1627" i="17"/>
  <c r="N1627" i="17"/>
  <c r="J1627" i="17"/>
  <c r="I1627" i="17"/>
  <c r="H1627" i="17"/>
  <c r="G1627" i="17"/>
  <c r="F1627" i="17"/>
  <c r="E1627" i="17"/>
  <c r="D1627" i="17"/>
  <c r="C1627" i="17"/>
  <c r="B1627" i="17"/>
  <c r="A1627" i="17"/>
  <c r="AD1627" i="17" s="1"/>
  <c r="I1626" i="17"/>
  <c r="H1626" i="17"/>
  <c r="G1626" i="17"/>
  <c r="F1626" i="17"/>
  <c r="E1626" i="17"/>
  <c r="D1626" i="17"/>
  <c r="C1626" i="17"/>
  <c r="B1626" i="17"/>
  <c r="A1626" i="17"/>
  <c r="I1625" i="17"/>
  <c r="H1625" i="17"/>
  <c r="G1625" i="17"/>
  <c r="F1625" i="17"/>
  <c r="E1625" i="17"/>
  <c r="D1625" i="17"/>
  <c r="C1625" i="17"/>
  <c r="B1625" i="17"/>
  <c r="A1625" i="17"/>
  <c r="AQ1624" i="17"/>
  <c r="AP1624" i="17"/>
  <c r="AE1624" i="17"/>
  <c r="AA1624" i="17"/>
  <c r="X1624" i="17"/>
  <c r="I1624" i="17"/>
  <c r="H1624" i="17"/>
  <c r="G1624" i="17"/>
  <c r="F1624" i="17"/>
  <c r="E1624" i="17"/>
  <c r="D1624" i="17"/>
  <c r="C1624" i="17"/>
  <c r="B1624" i="17"/>
  <c r="A1624" i="17"/>
  <c r="N1624" i="17" s="1"/>
  <c r="AK1623" i="17"/>
  <c r="AC1623" i="17"/>
  <c r="AB1623" i="17"/>
  <c r="W1623" i="17"/>
  <c r="V1623" i="17"/>
  <c r="U1623" i="17"/>
  <c r="I1623" i="17"/>
  <c r="H1623" i="17"/>
  <c r="G1623" i="17"/>
  <c r="F1623" i="17"/>
  <c r="E1623" i="17"/>
  <c r="D1623" i="17"/>
  <c r="C1623" i="17"/>
  <c r="B1623" i="17"/>
  <c r="A1623" i="17"/>
  <c r="AR1623" i="17" s="1"/>
  <c r="I1622" i="17"/>
  <c r="H1622" i="17"/>
  <c r="G1622" i="17"/>
  <c r="F1622" i="17"/>
  <c r="E1622" i="17"/>
  <c r="D1622" i="17"/>
  <c r="C1622" i="17"/>
  <c r="B1622" i="17"/>
  <c r="A1622" i="17"/>
  <c r="I1621" i="17"/>
  <c r="H1621" i="17"/>
  <c r="G1621" i="17"/>
  <c r="F1621" i="17"/>
  <c r="E1621" i="17"/>
  <c r="D1621" i="17"/>
  <c r="C1621" i="17"/>
  <c r="B1621" i="17"/>
  <c r="A1621" i="17"/>
  <c r="AQ1621" i="17" s="1"/>
  <c r="AP1620" i="17"/>
  <c r="I1620" i="17"/>
  <c r="H1620" i="17"/>
  <c r="G1620" i="17"/>
  <c r="F1620" i="17"/>
  <c r="E1620" i="17"/>
  <c r="D1620" i="17"/>
  <c r="C1620" i="17"/>
  <c r="B1620" i="17"/>
  <c r="A1620" i="17"/>
  <c r="AR1619" i="17"/>
  <c r="AL1619" i="17"/>
  <c r="AI1619" i="17"/>
  <c r="AH1619" i="17"/>
  <c r="AD1619" i="17"/>
  <c r="W1619" i="17"/>
  <c r="T1619" i="17"/>
  <c r="R1619" i="17"/>
  <c r="O1619" i="17"/>
  <c r="M1619" i="17"/>
  <c r="L1619" i="17"/>
  <c r="I1619" i="17"/>
  <c r="H1619" i="17"/>
  <c r="G1619" i="17"/>
  <c r="F1619" i="17"/>
  <c r="E1619" i="17"/>
  <c r="D1619" i="17"/>
  <c r="C1619" i="17"/>
  <c r="B1619" i="17"/>
  <c r="A1619" i="17"/>
  <c r="AB1619" i="17" s="1"/>
  <c r="AE1618" i="17"/>
  <c r="AD1618" i="17"/>
  <c r="J1618" i="17"/>
  <c r="I1618" i="17"/>
  <c r="H1618" i="17"/>
  <c r="G1618" i="17"/>
  <c r="F1618" i="17"/>
  <c r="E1618" i="17"/>
  <c r="D1618" i="17"/>
  <c r="C1618" i="17"/>
  <c r="B1618" i="17"/>
  <c r="A1618" i="17"/>
  <c r="AR1617" i="17"/>
  <c r="AH1617" i="17"/>
  <c r="I1617" i="17"/>
  <c r="H1617" i="17"/>
  <c r="G1617" i="17"/>
  <c r="F1617" i="17"/>
  <c r="E1617" i="17"/>
  <c r="D1617" i="17"/>
  <c r="C1617" i="17"/>
  <c r="B1617" i="17"/>
  <c r="A1617" i="17"/>
  <c r="AN1616" i="17"/>
  <c r="AJ1616" i="17"/>
  <c r="AA1616" i="17"/>
  <c r="Z1616" i="17"/>
  <c r="X1616" i="17"/>
  <c r="U1616" i="17"/>
  <c r="I1616" i="17"/>
  <c r="H1616" i="17"/>
  <c r="G1616" i="17"/>
  <c r="F1616" i="17"/>
  <c r="E1616" i="17"/>
  <c r="D1616" i="17"/>
  <c r="C1616" i="17"/>
  <c r="B1616" i="17"/>
  <c r="A1616" i="17"/>
  <c r="AM1615" i="17"/>
  <c r="I1615" i="17"/>
  <c r="H1615" i="17"/>
  <c r="G1615" i="17"/>
  <c r="F1615" i="17"/>
  <c r="E1615" i="17"/>
  <c r="D1615" i="17"/>
  <c r="C1615" i="17"/>
  <c r="B1615" i="17"/>
  <c r="A1615" i="17"/>
  <c r="AK1614" i="17"/>
  <c r="AC1614" i="17"/>
  <c r="I1614" i="17"/>
  <c r="H1614" i="17"/>
  <c r="G1614" i="17"/>
  <c r="F1614" i="17"/>
  <c r="E1614" i="17"/>
  <c r="D1614" i="17"/>
  <c r="C1614" i="17"/>
  <c r="B1614" i="17"/>
  <c r="A1614" i="17"/>
  <c r="I1613" i="17"/>
  <c r="H1613" i="17"/>
  <c r="G1613" i="17"/>
  <c r="F1613" i="17"/>
  <c r="E1613" i="17"/>
  <c r="D1613" i="17"/>
  <c r="C1613" i="17"/>
  <c r="B1613" i="17"/>
  <c r="A1613" i="17"/>
  <c r="AL1612" i="17"/>
  <c r="AH1612" i="17"/>
  <c r="AF1612" i="17"/>
  <c r="AE1612" i="17"/>
  <c r="W1612" i="17"/>
  <c r="I1612" i="17"/>
  <c r="H1612" i="17"/>
  <c r="G1612" i="17"/>
  <c r="F1612" i="17"/>
  <c r="E1612" i="17"/>
  <c r="D1612" i="17"/>
  <c r="C1612" i="17"/>
  <c r="B1612" i="17"/>
  <c r="A1612" i="17"/>
  <c r="I1611" i="17"/>
  <c r="H1611" i="17"/>
  <c r="G1611" i="17"/>
  <c r="F1611" i="17"/>
  <c r="E1611" i="17"/>
  <c r="D1611" i="17"/>
  <c r="C1611" i="17"/>
  <c r="B1611" i="17"/>
  <c r="A1611" i="17"/>
  <c r="AJ1610" i="17"/>
  <c r="AH1610" i="17"/>
  <c r="I1610" i="17"/>
  <c r="H1610" i="17"/>
  <c r="G1610" i="17"/>
  <c r="F1610" i="17"/>
  <c r="E1610" i="17"/>
  <c r="D1610" i="17"/>
  <c r="C1610" i="17"/>
  <c r="B1610" i="17"/>
  <c r="A1610" i="17"/>
  <c r="AR1609" i="17"/>
  <c r="I1609" i="17"/>
  <c r="H1609" i="17"/>
  <c r="G1609" i="17"/>
  <c r="F1609" i="17"/>
  <c r="E1609" i="17"/>
  <c r="D1609" i="17"/>
  <c r="C1609" i="17"/>
  <c r="B1609" i="17"/>
  <c r="A1609" i="17"/>
  <c r="AH1609" i="17" s="1"/>
  <c r="I1608" i="17"/>
  <c r="H1608" i="17"/>
  <c r="G1608" i="17"/>
  <c r="F1608" i="17"/>
  <c r="E1608" i="17"/>
  <c r="D1608" i="17"/>
  <c r="C1608" i="17"/>
  <c r="B1608" i="17"/>
  <c r="A1608" i="17"/>
  <c r="I1607" i="17"/>
  <c r="H1607" i="17"/>
  <c r="G1607" i="17"/>
  <c r="F1607" i="17"/>
  <c r="E1607" i="17"/>
  <c r="D1607" i="17"/>
  <c r="C1607" i="17"/>
  <c r="B1607" i="17"/>
  <c r="A1607" i="17"/>
  <c r="I1606" i="17"/>
  <c r="H1606" i="17"/>
  <c r="G1606" i="17"/>
  <c r="F1606" i="17"/>
  <c r="E1606" i="17"/>
  <c r="D1606" i="17"/>
  <c r="C1606" i="17"/>
  <c r="B1606" i="17"/>
  <c r="A1606" i="17"/>
  <c r="Z1605" i="17"/>
  <c r="Y1605" i="17"/>
  <c r="X1605" i="17"/>
  <c r="W1605" i="17"/>
  <c r="L1605" i="17"/>
  <c r="K1605" i="17"/>
  <c r="I1605" i="17"/>
  <c r="H1605" i="17"/>
  <c r="G1605" i="17"/>
  <c r="F1605" i="17"/>
  <c r="E1605" i="17"/>
  <c r="D1605" i="17"/>
  <c r="C1605" i="17"/>
  <c r="B1605" i="17"/>
  <c r="A1605" i="17"/>
  <c r="AP1605" i="17" s="1"/>
  <c r="I1604" i="17"/>
  <c r="H1604" i="17"/>
  <c r="G1604" i="17"/>
  <c r="F1604" i="17"/>
  <c r="E1604" i="17"/>
  <c r="D1604" i="17"/>
  <c r="C1604" i="17"/>
  <c r="B1604" i="17"/>
  <c r="A1604" i="17"/>
  <c r="AQ1604" i="17" s="1"/>
  <c r="I1603" i="17"/>
  <c r="H1603" i="17"/>
  <c r="G1603" i="17"/>
  <c r="F1603" i="17"/>
  <c r="E1603" i="17"/>
  <c r="D1603" i="17"/>
  <c r="C1603" i="17"/>
  <c r="B1603" i="17"/>
  <c r="A1603" i="17"/>
  <c r="I1602" i="17"/>
  <c r="H1602" i="17"/>
  <c r="G1602" i="17"/>
  <c r="F1602" i="17"/>
  <c r="E1602" i="17"/>
  <c r="D1602" i="17"/>
  <c r="C1602" i="17"/>
  <c r="B1602" i="17"/>
  <c r="A1602" i="17"/>
  <c r="K1602" i="17" s="1"/>
  <c r="AO1601" i="17"/>
  <c r="AF1601" i="17"/>
  <c r="AE1601" i="17"/>
  <c r="I1601" i="17"/>
  <c r="H1601" i="17"/>
  <c r="G1601" i="17"/>
  <c r="F1601" i="17"/>
  <c r="E1601" i="17"/>
  <c r="D1601" i="17"/>
  <c r="C1601" i="17"/>
  <c r="B1601" i="17"/>
  <c r="A1601" i="17"/>
  <c r="Z1601" i="17" s="1"/>
  <c r="AQ1600" i="17"/>
  <c r="AL1600" i="17"/>
  <c r="AK1600" i="17"/>
  <c r="AJ1600" i="17"/>
  <c r="AI1600" i="17"/>
  <c r="AH1600" i="17"/>
  <c r="V1600" i="17"/>
  <c r="U1600" i="17"/>
  <c r="R1600" i="17"/>
  <c r="M1600" i="17"/>
  <c r="L1600" i="17"/>
  <c r="K1600" i="17"/>
  <c r="I1600" i="17"/>
  <c r="H1600" i="17"/>
  <c r="G1600" i="17"/>
  <c r="F1600" i="17"/>
  <c r="E1600" i="17"/>
  <c r="D1600" i="17"/>
  <c r="C1600" i="17"/>
  <c r="B1600" i="17"/>
  <c r="A1600" i="17"/>
  <c r="AA1600" i="17" s="1"/>
  <c r="I1599" i="17"/>
  <c r="H1599" i="17"/>
  <c r="G1599" i="17"/>
  <c r="F1599" i="17"/>
  <c r="E1599" i="17"/>
  <c r="D1599" i="17"/>
  <c r="C1599" i="17"/>
  <c r="B1599" i="17"/>
  <c r="A1599" i="17"/>
  <c r="I1598" i="17"/>
  <c r="H1598" i="17"/>
  <c r="G1598" i="17"/>
  <c r="F1598" i="17"/>
  <c r="E1598" i="17"/>
  <c r="D1598" i="17"/>
  <c r="C1598" i="17"/>
  <c r="B1598" i="17"/>
  <c r="A1598" i="17"/>
  <c r="I1597" i="17"/>
  <c r="H1597" i="17"/>
  <c r="G1597" i="17"/>
  <c r="F1597" i="17"/>
  <c r="E1597" i="17"/>
  <c r="D1597" i="17"/>
  <c r="C1597" i="17"/>
  <c r="B1597" i="17"/>
  <c r="A1597" i="17"/>
  <c r="P1597" i="17" s="1"/>
  <c r="AF1596" i="17"/>
  <c r="AC1596" i="17"/>
  <c r="AB1596" i="17"/>
  <c r="I1596" i="17"/>
  <c r="H1596" i="17"/>
  <c r="G1596" i="17"/>
  <c r="F1596" i="17"/>
  <c r="E1596" i="17"/>
  <c r="D1596" i="17"/>
  <c r="C1596" i="17"/>
  <c r="B1596" i="17"/>
  <c r="A1596" i="17"/>
  <c r="V1596" i="17" s="1"/>
  <c r="AA1595" i="17"/>
  <c r="Z1595" i="17"/>
  <c r="Q1595" i="17"/>
  <c r="P1595" i="17"/>
  <c r="I1595" i="17"/>
  <c r="H1595" i="17"/>
  <c r="G1595" i="17"/>
  <c r="F1595" i="17"/>
  <c r="E1595" i="17"/>
  <c r="D1595" i="17"/>
  <c r="C1595" i="17"/>
  <c r="B1595" i="17"/>
  <c r="A1595" i="17"/>
  <c r="I1594" i="17"/>
  <c r="H1594" i="17"/>
  <c r="G1594" i="17"/>
  <c r="F1594" i="17"/>
  <c r="E1594" i="17"/>
  <c r="D1594" i="17"/>
  <c r="C1594" i="17"/>
  <c r="B1594" i="17"/>
  <c r="A1594" i="17"/>
  <c r="I1593" i="17"/>
  <c r="H1593" i="17"/>
  <c r="G1593" i="17"/>
  <c r="F1593" i="17"/>
  <c r="E1593" i="17"/>
  <c r="D1593" i="17"/>
  <c r="C1593" i="17"/>
  <c r="B1593" i="17"/>
  <c r="A1593" i="17"/>
  <c r="AP1592" i="17"/>
  <c r="AL1592" i="17"/>
  <c r="AK1592" i="17"/>
  <c r="AF1592" i="17"/>
  <c r="AE1592" i="17"/>
  <c r="M1592" i="17"/>
  <c r="I1592" i="17"/>
  <c r="H1592" i="17"/>
  <c r="G1592" i="17"/>
  <c r="F1592" i="17"/>
  <c r="E1592" i="17"/>
  <c r="D1592" i="17"/>
  <c r="C1592" i="17"/>
  <c r="B1592" i="17"/>
  <c r="A1592" i="17"/>
  <c r="AN1591" i="17"/>
  <c r="AJ1591" i="17"/>
  <c r="AI1591" i="17"/>
  <c r="R1591" i="17"/>
  <c r="Q1591" i="17"/>
  <c r="P1591" i="17"/>
  <c r="I1591" i="17"/>
  <c r="H1591" i="17"/>
  <c r="G1591" i="17"/>
  <c r="F1591" i="17"/>
  <c r="E1591" i="17"/>
  <c r="D1591" i="17"/>
  <c r="C1591" i="17"/>
  <c r="B1591" i="17"/>
  <c r="A1591" i="17"/>
  <c r="I1590" i="17"/>
  <c r="H1590" i="17"/>
  <c r="G1590" i="17"/>
  <c r="F1590" i="17"/>
  <c r="E1590" i="17"/>
  <c r="D1590" i="17"/>
  <c r="C1590" i="17"/>
  <c r="B1590" i="17"/>
  <c r="A1590" i="17"/>
  <c r="AJ1589" i="17"/>
  <c r="AH1589" i="17"/>
  <c r="W1589" i="17"/>
  <c r="J1589" i="17"/>
  <c r="I1589" i="17"/>
  <c r="H1589" i="17"/>
  <c r="G1589" i="17"/>
  <c r="F1589" i="17"/>
  <c r="E1589" i="17"/>
  <c r="D1589" i="17"/>
  <c r="C1589" i="17"/>
  <c r="B1589" i="17"/>
  <c r="A1589" i="17"/>
  <c r="AM1588" i="17"/>
  <c r="AL1588" i="17"/>
  <c r="X1588" i="17"/>
  <c r="W1588" i="17"/>
  <c r="V1588" i="17"/>
  <c r="I1588" i="17"/>
  <c r="H1588" i="17"/>
  <c r="G1588" i="17"/>
  <c r="F1588" i="17"/>
  <c r="E1588" i="17"/>
  <c r="D1588" i="17"/>
  <c r="C1588" i="17"/>
  <c r="B1588" i="17"/>
  <c r="A1588" i="17"/>
  <c r="I1587" i="17"/>
  <c r="H1587" i="17"/>
  <c r="G1587" i="17"/>
  <c r="F1587" i="17"/>
  <c r="E1587" i="17"/>
  <c r="D1587" i="17"/>
  <c r="C1587" i="17"/>
  <c r="B1587" i="17"/>
  <c r="A1587" i="17"/>
  <c r="I1586" i="17"/>
  <c r="H1586" i="17"/>
  <c r="G1586" i="17"/>
  <c r="F1586" i="17"/>
  <c r="E1586" i="17"/>
  <c r="D1586" i="17"/>
  <c r="C1586" i="17"/>
  <c r="B1586" i="17"/>
  <c r="A1586" i="17"/>
  <c r="I1585" i="17"/>
  <c r="H1585" i="17"/>
  <c r="G1585" i="17"/>
  <c r="F1585" i="17"/>
  <c r="E1585" i="17"/>
  <c r="D1585" i="17"/>
  <c r="C1585" i="17"/>
  <c r="B1585" i="17"/>
  <c r="A1585" i="17"/>
  <c r="I1584" i="17"/>
  <c r="H1584" i="17"/>
  <c r="G1584" i="17"/>
  <c r="F1584" i="17"/>
  <c r="E1584" i="17"/>
  <c r="D1584" i="17"/>
  <c r="C1584" i="17"/>
  <c r="B1584" i="17"/>
  <c r="A1584" i="17"/>
  <c r="AM1584" i="17" s="1"/>
  <c r="AJ1583" i="17"/>
  <c r="AA1583" i="17"/>
  <c r="I1583" i="17"/>
  <c r="H1583" i="17"/>
  <c r="G1583" i="17"/>
  <c r="F1583" i="17"/>
  <c r="E1583" i="17"/>
  <c r="D1583" i="17"/>
  <c r="C1583" i="17"/>
  <c r="B1583" i="17"/>
  <c r="A1583" i="17"/>
  <c r="T1582" i="17"/>
  <c r="I1582" i="17"/>
  <c r="H1582" i="17"/>
  <c r="G1582" i="17"/>
  <c r="F1582" i="17"/>
  <c r="E1582" i="17"/>
  <c r="D1582" i="17"/>
  <c r="C1582" i="17"/>
  <c r="B1582" i="17"/>
  <c r="A1582" i="17"/>
  <c r="I1581" i="17"/>
  <c r="H1581" i="17"/>
  <c r="G1581" i="17"/>
  <c r="F1581" i="17"/>
  <c r="E1581" i="17"/>
  <c r="D1581" i="17"/>
  <c r="C1581" i="17"/>
  <c r="B1581" i="17"/>
  <c r="A1581" i="17"/>
  <c r="AH1581" i="17" s="1"/>
  <c r="I1580" i="17"/>
  <c r="H1580" i="17"/>
  <c r="G1580" i="17"/>
  <c r="F1580" i="17"/>
  <c r="E1580" i="17"/>
  <c r="D1580" i="17"/>
  <c r="C1580" i="17"/>
  <c r="B1580" i="17"/>
  <c r="A1580" i="17"/>
  <c r="AP1579" i="17"/>
  <c r="Z1579" i="17"/>
  <c r="I1579" i="17"/>
  <c r="H1579" i="17"/>
  <c r="G1579" i="17"/>
  <c r="F1579" i="17"/>
  <c r="E1579" i="17"/>
  <c r="D1579" i="17"/>
  <c r="C1579" i="17"/>
  <c r="B1579" i="17"/>
  <c r="A1579" i="17"/>
  <c r="AH1578" i="17"/>
  <c r="Z1578" i="17"/>
  <c r="I1578" i="17"/>
  <c r="H1578" i="17"/>
  <c r="G1578" i="17"/>
  <c r="F1578" i="17"/>
  <c r="E1578" i="17"/>
  <c r="D1578" i="17"/>
  <c r="C1578" i="17"/>
  <c r="B1578" i="17"/>
  <c r="A1578" i="17"/>
  <c r="AI1577" i="17"/>
  <c r="AH1577" i="17"/>
  <c r="T1577" i="17"/>
  <c r="P1577" i="17"/>
  <c r="I1577" i="17"/>
  <c r="H1577" i="17"/>
  <c r="G1577" i="17"/>
  <c r="F1577" i="17"/>
  <c r="E1577" i="17"/>
  <c r="D1577" i="17"/>
  <c r="C1577" i="17"/>
  <c r="B1577" i="17"/>
  <c r="A1577" i="17"/>
  <c r="AJ1577" i="17" s="1"/>
  <c r="I1576" i="17"/>
  <c r="H1576" i="17"/>
  <c r="G1576" i="17"/>
  <c r="F1576" i="17"/>
  <c r="E1576" i="17"/>
  <c r="D1576" i="17"/>
  <c r="C1576" i="17"/>
  <c r="B1576" i="17"/>
  <c r="A1576" i="17"/>
  <c r="AP1575" i="17"/>
  <c r="S1575" i="17"/>
  <c r="R1575" i="17"/>
  <c r="I1575" i="17"/>
  <c r="H1575" i="17"/>
  <c r="G1575" i="17"/>
  <c r="F1575" i="17"/>
  <c r="E1575" i="17"/>
  <c r="D1575" i="17"/>
  <c r="C1575" i="17"/>
  <c r="B1575" i="17"/>
  <c r="A1575" i="17"/>
  <c r="I1574" i="17"/>
  <c r="H1574" i="17"/>
  <c r="G1574" i="17"/>
  <c r="F1574" i="17"/>
  <c r="E1574" i="17"/>
  <c r="D1574" i="17"/>
  <c r="C1574" i="17"/>
  <c r="B1574" i="17"/>
  <c r="A1574" i="17"/>
  <c r="I1573" i="17"/>
  <c r="H1573" i="17"/>
  <c r="G1573" i="17"/>
  <c r="F1573" i="17"/>
  <c r="E1573" i="17"/>
  <c r="D1573" i="17"/>
  <c r="C1573" i="17"/>
  <c r="B1573" i="17"/>
  <c r="A1573" i="17"/>
  <c r="AE1573" i="17" s="1"/>
  <c r="AJ1572" i="17"/>
  <c r="AH1572" i="17"/>
  <c r="R1572" i="17"/>
  <c r="J1572" i="17"/>
  <c r="I1572" i="17"/>
  <c r="H1572" i="17"/>
  <c r="G1572" i="17"/>
  <c r="F1572" i="17"/>
  <c r="E1572" i="17"/>
  <c r="D1572" i="17"/>
  <c r="C1572" i="17"/>
  <c r="B1572" i="17"/>
  <c r="A1572" i="17"/>
  <c r="I1571" i="17"/>
  <c r="H1571" i="17"/>
  <c r="G1571" i="17"/>
  <c r="F1571" i="17"/>
  <c r="E1571" i="17"/>
  <c r="D1571" i="17"/>
  <c r="C1571" i="17"/>
  <c r="B1571" i="17"/>
  <c r="A1571" i="17"/>
  <c r="AR1570" i="17"/>
  <c r="AQ1570" i="17"/>
  <c r="I1570" i="17"/>
  <c r="H1570" i="17"/>
  <c r="G1570" i="17"/>
  <c r="F1570" i="17"/>
  <c r="E1570" i="17"/>
  <c r="D1570" i="17"/>
  <c r="C1570" i="17"/>
  <c r="B1570" i="17"/>
  <c r="A1570" i="17"/>
  <c r="Z1569" i="17"/>
  <c r="I1569" i="17"/>
  <c r="H1569" i="17"/>
  <c r="G1569" i="17"/>
  <c r="F1569" i="17"/>
  <c r="E1569" i="17"/>
  <c r="D1569" i="17"/>
  <c r="C1569" i="17"/>
  <c r="B1569" i="17"/>
  <c r="A1569" i="17"/>
  <c r="AR1568" i="17"/>
  <c r="AQ1568" i="17"/>
  <c r="AH1568" i="17"/>
  <c r="AA1568" i="17"/>
  <c r="Z1568" i="17"/>
  <c r="X1568" i="17"/>
  <c r="O1568" i="17"/>
  <c r="N1568" i="17"/>
  <c r="L1568" i="17"/>
  <c r="I1568" i="17"/>
  <c r="H1568" i="17"/>
  <c r="G1568" i="17"/>
  <c r="F1568" i="17"/>
  <c r="E1568" i="17"/>
  <c r="D1568" i="17"/>
  <c r="C1568" i="17"/>
  <c r="B1568" i="17"/>
  <c r="A1568" i="17"/>
  <c r="I1567" i="17"/>
  <c r="H1567" i="17"/>
  <c r="G1567" i="17"/>
  <c r="F1567" i="17"/>
  <c r="E1567" i="17"/>
  <c r="D1567" i="17"/>
  <c r="C1567" i="17"/>
  <c r="B1567" i="17"/>
  <c r="A1567" i="17"/>
  <c r="I1566" i="17"/>
  <c r="H1566" i="17"/>
  <c r="G1566" i="17"/>
  <c r="F1566" i="17"/>
  <c r="E1566" i="17"/>
  <c r="D1566" i="17"/>
  <c r="C1566" i="17"/>
  <c r="B1566" i="17"/>
  <c r="A1566" i="17"/>
  <c r="I1565" i="17"/>
  <c r="H1565" i="17"/>
  <c r="G1565" i="17"/>
  <c r="F1565" i="17"/>
  <c r="E1565" i="17"/>
  <c r="D1565" i="17"/>
  <c r="C1565" i="17"/>
  <c r="B1565" i="17"/>
  <c r="A1565" i="17"/>
  <c r="AP1564" i="17"/>
  <c r="I1564" i="17"/>
  <c r="H1564" i="17"/>
  <c r="G1564" i="17"/>
  <c r="F1564" i="17"/>
  <c r="E1564" i="17"/>
  <c r="D1564" i="17"/>
  <c r="C1564" i="17"/>
  <c r="B1564" i="17"/>
  <c r="A1564" i="17"/>
  <c r="AM1563" i="17"/>
  <c r="AJ1563" i="17"/>
  <c r="I1563" i="17"/>
  <c r="H1563" i="17"/>
  <c r="G1563" i="17"/>
  <c r="F1563" i="17"/>
  <c r="E1563" i="17"/>
  <c r="D1563" i="17"/>
  <c r="C1563" i="17"/>
  <c r="B1563" i="17"/>
  <c r="A1563" i="17"/>
  <c r="J1563" i="17" s="1"/>
  <c r="AR1562" i="17"/>
  <c r="AM1562" i="17"/>
  <c r="I1562" i="17"/>
  <c r="H1562" i="17"/>
  <c r="G1562" i="17"/>
  <c r="F1562" i="17"/>
  <c r="E1562" i="17"/>
  <c r="D1562" i="17"/>
  <c r="C1562" i="17"/>
  <c r="B1562" i="17"/>
  <c r="A1562" i="17"/>
  <c r="I1561" i="17"/>
  <c r="H1561" i="17"/>
  <c r="G1561" i="17"/>
  <c r="F1561" i="17"/>
  <c r="E1561" i="17"/>
  <c r="D1561" i="17"/>
  <c r="C1561" i="17"/>
  <c r="B1561" i="17"/>
  <c r="A1561" i="17"/>
  <c r="I1560" i="17"/>
  <c r="H1560" i="17"/>
  <c r="G1560" i="17"/>
  <c r="F1560" i="17"/>
  <c r="E1560" i="17"/>
  <c r="D1560" i="17"/>
  <c r="C1560" i="17"/>
  <c r="B1560" i="17"/>
  <c r="A1560" i="17"/>
  <c r="AJ1559" i="17"/>
  <c r="I1559" i="17"/>
  <c r="H1559" i="17"/>
  <c r="G1559" i="17"/>
  <c r="F1559" i="17"/>
  <c r="E1559" i="17"/>
  <c r="D1559" i="17"/>
  <c r="C1559" i="17"/>
  <c r="B1559" i="17"/>
  <c r="A1559" i="17"/>
  <c r="AN1559" i="17" s="1"/>
  <c r="AH1558" i="17"/>
  <c r="I1558" i="17"/>
  <c r="H1558" i="17"/>
  <c r="G1558" i="17"/>
  <c r="F1558" i="17"/>
  <c r="E1558" i="17"/>
  <c r="D1558" i="17"/>
  <c r="C1558" i="17"/>
  <c r="B1558" i="17"/>
  <c r="A1558" i="17"/>
  <c r="AO1557" i="17"/>
  <c r="AE1557" i="17"/>
  <c r="X1557" i="17"/>
  <c r="I1557" i="17"/>
  <c r="H1557" i="17"/>
  <c r="G1557" i="17"/>
  <c r="F1557" i="17"/>
  <c r="E1557" i="17"/>
  <c r="D1557" i="17"/>
  <c r="C1557" i="17"/>
  <c r="B1557" i="17"/>
  <c r="A1557" i="17"/>
  <c r="I1556" i="17"/>
  <c r="H1556" i="17"/>
  <c r="G1556" i="17"/>
  <c r="F1556" i="17"/>
  <c r="E1556" i="17"/>
  <c r="D1556" i="17"/>
  <c r="C1556" i="17"/>
  <c r="B1556" i="17"/>
  <c r="A1556" i="17"/>
  <c r="I1555" i="17"/>
  <c r="H1555" i="17"/>
  <c r="G1555" i="17"/>
  <c r="F1555" i="17"/>
  <c r="E1555" i="17"/>
  <c r="D1555" i="17"/>
  <c r="C1555" i="17"/>
  <c r="B1555" i="17"/>
  <c r="A1555" i="17"/>
  <c r="I1554" i="17"/>
  <c r="H1554" i="17"/>
  <c r="G1554" i="17"/>
  <c r="F1554" i="17"/>
  <c r="E1554" i="17"/>
  <c r="D1554" i="17"/>
  <c r="C1554" i="17"/>
  <c r="B1554" i="17"/>
  <c r="A1554" i="17"/>
  <c r="T1554" i="17" s="1"/>
  <c r="J1553" i="17"/>
  <c r="I1553" i="17"/>
  <c r="H1553" i="17"/>
  <c r="G1553" i="17"/>
  <c r="F1553" i="17"/>
  <c r="E1553" i="17"/>
  <c r="D1553" i="17"/>
  <c r="C1553" i="17"/>
  <c r="B1553" i="17"/>
  <c r="A1553" i="17"/>
  <c r="I1552" i="17"/>
  <c r="H1552" i="17"/>
  <c r="G1552" i="17"/>
  <c r="F1552" i="17"/>
  <c r="E1552" i="17"/>
  <c r="D1552" i="17"/>
  <c r="C1552" i="17"/>
  <c r="B1552" i="17"/>
  <c r="A1552" i="17"/>
  <c r="I1551" i="17"/>
  <c r="H1551" i="17"/>
  <c r="G1551" i="17"/>
  <c r="F1551" i="17"/>
  <c r="E1551" i="17"/>
  <c r="D1551" i="17"/>
  <c r="C1551" i="17"/>
  <c r="B1551" i="17"/>
  <c r="A1551" i="17"/>
  <c r="I1550" i="17"/>
  <c r="H1550" i="17"/>
  <c r="G1550" i="17"/>
  <c r="F1550" i="17"/>
  <c r="E1550" i="17"/>
  <c r="D1550" i="17"/>
  <c r="C1550" i="17"/>
  <c r="B1550" i="17"/>
  <c r="A1550" i="17"/>
  <c r="AE1550" i="17" s="1"/>
  <c r="I1549" i="17"/>
  <c r="H1549" i="17"/>
  <c r="G1549" i="17"/>
  <c r="F1549" i="17"/>
  <c r="E1549" i="17"/>
  <c r="D1549" i="17"/>
  <c r="C1549" i="17"/>
  <c r="B1549" i="17"/>
  <c r="A1549" i="17"/>
  <c r="Z1548" i="17"/>
  <c r="X1548" i="17"/>
  <c r="L1548" i="17"/>
  <c r="J1548" i="17"/>
  <c r="I1548" i="17"/>
  <c r="H1548" i="17"/>
  <c r="G1548" i="17"/>
  <c r="F1548" i="17"/>
  <c r="E1548" i="17"/>
  <c r="D1548" i="17"/>
  <c r="C1548" i="17"/>
  <c r="B1548" i="17"/>
  <c r="A1548" i="17"/>
  <c r="I1547" i="17"/>
  <c r="H1547" i="17"/>
  <c r="G1547" i="17"/>
  <c r="F1547" i="17"/>
  <c r="E1547" i="17"/>
  <c r="D1547" i="17"/>
  <c r="C1547" i="17"/>
  <c r="B1547" i="17"/>
  <c r="A1547" i="17"/>
  <c r="AM1547" i="17" s="1"/>
  <c r="AH1546" i="17"/>
  <c r="X1546" i="17"/>
  <c r="W1546" i="17"/>
  <c r="J1546" i="17"/>
  <c r="I1546" i="17"/>
  <c r="H1546" i="17"/>
  <c r="G1546" i="17"/>
  <c r="F1546" i="17"/>
  <c r="E1546" i="17"/>
  <c r="D1546" i="17"/>
  <c r="C1546" i="17"/>
  <c r="B1546" i="17"/>
  <c r="A1546" i="17"/>
  <c r="I1545" i="17"/>
  <c r="H1545" i="17"/>
  <c r="G1545" i="17"/>
  <c r="F1545" i="17"/>
  <c r="E1545" i="17"/>
  <c r="D1545" i="17"/>
  <c r="C1545" i="17"/>
  <c r="B1545" i="17"/>
  <c r="A1545" i="17"/>
  <c r="I1544" i="17"/>
  <c r="H1544" i="17"/>
  <c r="G1544" i="17"/>
  <c r="F1544" i="17"/>
  <c r="E1544" i="17"/>
  <c r="D1544" i="17"/>
  <c r="C1544" i="17"/>
  <c r="B1544" i="17"/>
  <c r="A1544" i="17"/>
  <c r="AN1543" i="17"/>
  <c r="AJ1543" i="17"/>
  <c r="AA1543" i="17"/>
  <c r="S1543" i="17"/>
  <c r="R1543" i="17"/>
  <c r="I1543" i="17"/>
  <c r="H1543" i="17"/>
  <c r="G1543" i="17"/>
  <c r="F1543" i="17"/>
  <c r="E1543" i="17"/>
  <c r="D1543" i="17"/>
  <c r="C1543" i="17"/>
  <c r="B1543" i="17"/>
  <c r="A1543" i="17"/>
  <c r="AQ1542" i="17"/>
  <c r="AL1542" i="17"/>
  <c r="AK1542" i="17"/>
  <c r="AI1542" i="17"/>
  <c r="AA1542" i="17"/>
  <c r="K1542" i="17"/>
  <c r="I1542" i="17"/>
  <c r="H1542" i="17"/>
  <c r="G1542" i="17"/>
  <c r="F1542" i="17"/>
  <c r="E1542" i="17"/>
  <c r="D1542" i="17"/>
  <c r="C1542" i="17"/>
  <c r="B1542" i="17"/>
  <c r="A1542" i="17"/>
  <c r="I1541" i="17"/>
  <c r="H1541" i="17"/>
  <c r="G1541" i="17"/>
  <c r="F1541" i="17"/>
  <c r="E1541" i="17"/>
  <c r="D1541" i="17"/>
  <c r="C1541" i="17"/>
  <c r="B1541" i="17"/>
  <c r="A1541" i="17"/>
  <c r="AL1540" i="17"/>
  <c r="I1540" i="17"/>
  <c r="H1540" i="17"/>
  <c r="G1540" i="17"/>
  <c r="F1540" i="17"/>
  <c r="E1540" i="17"/>
  <c r="D1540" i="17"/>
  <c r="C1540" i="17"/>
  <c r="B1540" i="17"/>
  <c r="A1540" i="17"/>
  <c r="I1539" i="17"/>
  <c r="H1539" i="17"/>
  <c r="G1539" i="17"/>
  <c r="F1539" i="17"/>
  <c r="E1539" i="17"/>
  <c r="D1539" i="17"/>
  <c r="C1539" i="17"/>
  <c r="B1539" i="17"/>
  <c r="A1539" i="17"/>
  <c r="I1538" i="17"/>
  <c r="H1538" i="17"/>
  <c r="G1538" i="17"/>
  <c r="F1538" i="17"/>
  <c r="E1538" i="17"/>
  <c r="D1538" i="17"/>
  <c r="C1538" i="17"/>
  <c r="B1538" i="17"/>
  <c r="A1538" i="17"/>
  <c r="P1538" i="17" s="1"/>
  <c r="AO1537" i="17"/>
  <c r="AJ1537" i="17"/>
  <c r="AH1537" i="17"/>
  <c r="AE1537" i="17"/>
  <c r="T1537" i="17"/>
  <c r="I1537" i="17"/>
  <c r="H1537" i="17"/>
  <c r="G1537" i="17"/>
  <c r="F1537" i="17"/>
  <c r="E1537" i="17"/>
  <c r="D1537" i="17"/>
  <c r="C1537" i="17"/>
  <c r="B1537" i="17"/>
  <c r="A1537" i="17"/>
  <c r="AQ1536" i="17"/>
  <c r="AM1536" i="17"/>
  <c r="AF1536" i="17"/>
  <c r="AE1536" i="17"/>
  <c r="AB1536" i="17"/>
  <c r="R1536" i="17"/>
  <c r="P1536" i="17"/>
  <c r="O1536" i="17"/>
  <c r="J1536" i="17"/>
  <c r="I1536" i="17"/>
  <c r="H1536" i="17"/>
  <c r="G1536" i="17"/>
  <c r="F1536" i="17"/>
  <c r="E1536" i="17"/>
  <c r="D1536" i="17"/>
  <c r="C1536" i="17"/>
  <c r="B1536" i="17"/>
  <c r="A1536" i="17"/>
  <c r="I1535" i="17"/>
  <c r="H1535" i="17"/>
  <c r="G1535" i="17"/>
  <c r="F1535" i="17"/>
  <c r="E1535" i="17"/>
  <c r="D1535" i="17"/>
  <c r="C1535" i="17"/>
  <c r="B1535" i="17"/>
  <c r="A1535" i="17"/>
  <c r="AK1534" i="17"/>
  <c r="AD1534" i="17"/>
  <c r="Z1534" i="17"/>
  <c r="X1534" i="17"/>
  <c r="T1534" i="17"/>
  <c r="I1534" i="17"/>
  <c r="H1534" i="17"/>
  <c r="G1534" i="17"/>
  <c r="F1534" i="17"/>
  <c r="E1534" i="17"/>
  <c r="D1534" i="17"/>
  <c r="C1534" i="17"/>
  <c r="B1534" i="17"/>
  <c r="A1534" i="17"/>
  <c r="I1533" i="17"/>
  <c r="H1533" i="17"/>
  <c r="G1533" i="17"/>
  <c r="F1533" i="17"/>
  <c r="E1533" i="17"/>
  <c r="D1533" i="17"/>
  <c r="C1533" i="17"/>
  <c r="B1533" i="17"/>
  <c r="A1533" i="17"/>
  <c r="AP1532" i="17"/>
  <c r="AH1532" i="17"/>
  <c r="AE1532" i="17"/>
  <c r="AD1532" i="17"/>
  <c r="V1532" i="17"/>
  <c r="I1532" i="17"/>
  <c r="H1532" i="17"/>
  <c r="G1532" i="17"/>
  <c r="F1532" i="17"/>
  <c r="E1532" i="17"/>
  <c r="D1532" i="17"/>
  <c r="C1532" i="17"/>
  <c r="B1532" i="17"/>
  <c r="A1532" i="17"/>
  <c r="I1531" i="17"/>
  <c r="H1531" i="17"/>
  <c r="G1531" i="17"/>
  <c r="F1531" i="17"/>
  <c r="E1531" i="17"/>
  <c r="D1531" i="17"/>
  <c r="C1531" i="17"/>
  <c r="B1531" i="17"/>
  <c r="A1531" i="17"/>
  <c r="AP1531" i="17" s="1"/>
  <c r="AR1530" i="17"/>
  <c r="AQ1530" i="17"/>
  <c r="AP1530" i="17"/>
  <c r="AN1530" i="17"/>
  <c r="AI1530" i="17"/>
  <c r="AF1530" i="17"/>
  <c r="AE1530" i="17"/>
  <c r="AD1530" i="17"/>
  <c r="AC1530" i="17"/>
  <c r="X1530" i="17"/>
  <c r="W1530" i="17"/>
  <c r="T1530" i="17"/>
  <c r="S1530" i="17"/>
  <c r="N1530" i="17"/>
  <c r="M1530" i="17"/>
  <c r="L1530" i="17"/>
  <c r="K1530" i="17"/>
  <c r="J1530" i="17"/>
  <c r="I1530" i="17"/>
  <c r="H1530" i="17"/>
  <c r="G1530" i="17"/>
  <c r="F1530" i="17"/>
  <c r="E1530" i="17"/>
  <c r="D1530" i="17"/>
  <c r="C1530" i="17"/>
  <c r="B1530" i="17"/>
  <c r="A1530" i="17"/>
  <c r="AM1530" i="17" s="1"/>
  <c r="I1529" i="17"/>
  <c r="H1529" i="17"/>
  <c r="G1529" i="17"/>
  <c r="F1529" i="17"/>
  <c r="E1529" i="17"/>
  <c r="D1529" i="17"/>
  <c r="C1529" i="17"/>
  <c r="B1529" i="17"/>
  <c r="A1529" i="17"/>
  <c r="I1528" i="17"/>
  <c r="H1528" i="17"/>
  <c r="G1528" i="17"/>
  <c r="F1528" i="17"/>
  <c r="E1528" i="17"/>
  <c r="D1528" i="17"/>
  <c r="C1528" i="17"/>
  <c r="B1528" i="17"/>
  <c r="A1528" i="17"/>
  <c r="I1527" i="17"/>
  <c r="H1527" i="17"/>
  <c r="G1527" i="17"/>
  <c r="F1527" i="17"/>
  <c r="E1527" i="17"/>
  <c r="D1527" i="17"/>
  <c r="C1527" i="17"/>
  <c r="B1527" i="17"/>
  <c r="A1527" i="17"/>
  <c r="AN1526" i="17"/>
  <c r="AM1526" i="17"/>
  <c r="AH1526" i="17"/>
  <c r="X1526" i="17"/>
  <c r="V1526" i="17"/>
  <c r="U1526" i="17"/>
  <c r="T1526" i="17"/>
  <c r="M1526" i="17"/>
  <c r="L1526" i="17"/>
  <c r="I1526" i="17"/>
  <c r="H1526" i="17"/>
  <c r="G1526" i="17"/>
  <c r="F1526" i="17"/>
  <c r="E1526" i="17"/>
  <c r="D1526" i="17"/>
  <c r="C1526" i="17"/>
  <c r="B1526" i="17"/>
  <c r="A1526" i="17"/>
  <c r="I1525" i="17"/>
  <c r="H1525" i="17"/>
  <c r="G1525" i="17"/>
  <c r="F1525" i="17"/>
  <c r="E1525" i="17"/>
  <c r="D1525" i="17"/>
  <c r="C1525" i="17"/>
  <c r="B1525" i="17"/>
  <c r="A1525" i="17"/>
  <c r="AK1524" i="17"/>
  <c r="I1524" i="17"/>
  <c r="H1524" i="17"/>
  <c r="G1524" i="17"/>
  <c r="F1524" i="17"/>
  <c r="E1524" i="17"/>
  <c r="D1524" i="17"/>
  <c r="C1524" i="17"/>
  <c r="B1524" i="17"/>
  <c r="A1524" i="17"/>
  <c r="AM1523" i="17"/>
  <c r="AE1523" i="17"/>
  <c r="T1523" i="17"/>
  <c r="S1523" i="17"/>
  <c r="R1523" i="17"/>
  <c r="I1523" i="17"/>
  <c r="H1523" i="17"/>
  <c r="G1523" i="17"/>
  <c r="F1523" i="17"/>
  <c r="E1523" i="17"/>
  <c r="D1523" i="17"/>
  <c r="C1523" i="17"/>
  <c r="B1523" i="17"/>
  <c r="A1523" i="17"/>
  <c r="AL1522" i="17"/>
  <c r="AK1522" i="17"/>
  <c r="AJ1522" i="17"/>
  <c r="AD1522" i="17"/>
  <c r="AC1522" i="17"/>
  <c r="R1522" i="17"/>
  <c r="I1522" i="17"/>
  <c r="H1522" i="17"/>
  <c r="G1522" i="17"/>
  <c r="F1522" i="17"/>
  <c r="E1522" i="17"/>
  <c r="D1522" i="17"/>
  <c r="C1522" i="17"/>
  <c r="B1522" i="17"/>
  <c r="A1522" i="17"/>
  <c r="AP1521" i="17"/>
  <c r="AO1521" i="17"/>
  <c r="AJ1521" i="17"/>
  <c r="I1521" i="17"/>
  <c r="H1521" i="17"/>
  <c r="G1521" i="17"/>
  <c r="F1521" i="17"/>
  <c r="E1521" i="17"/>
  <c r="D1521" i="17"/>
  <c r="C1521" i="17"/>
  <c r="B1521" i="17"/>
  <c r="A1521" i="17"/>
  <c r="AB1520" i="17"/>
  <c r="AA1520" i="17"/>
  <c r="Z1520" i="17"/>
  <c r="I1520" i="17"/>
  <c r="H1520" i="17"/>
  <c r="G1520" i="17"/>
  <c r="F1520" i="17"/>
  <c r="E1520" i="17"/>
  <c r="D1520" i="17"/>
  <c r="C1520" i="17"/>
  <c r="B1520" i="17"/>
  <c r="A1520" i="17"/>
  <c r="AJ1519" i="17"/>
  <c r="AA1519" i="17"/>
  <c r="Z1519" i="17"/>
  <c r="I1519" i="17"/>
  <c r="H1519" i="17"/>
  <c r="G1519" i="17"/>
  <c r="F1519" i="17"/>
  <c r="E1519" i="17"/>
  <c r="D1519" i="17"/>
  <c r="C1519" i="17"/>
  <c r="B1519" i="17"/>
  <c r="A1519" i="17"/>
  <c r="I1518" i="17"/>
  <c r="H1518" i="17"/>
  <c r="G1518" i="17"/>
  <c r="F1518" i="17"/>
  <c r="E1518" i="17"/>
  <c r="D1518" i="17"/>
  <c r="C1518" i="17"/>
  <c r="B1518" i="17"/>
  <c r="A1518" i="17"/>
  <c r="I1517" i="17"/>
  <c r="H1517" i="17"/>
  <c r="G1517" i="17"/>
  <c r="F1517" i="17"/>
  <c r="E1517" i="17"/>
  <c r="D1517" i="17"/>
  <c r="C1517" i="17"/>
  <c r="B1517" i="17"/>
  <c r="A1517" i="17"/>
  <c r="AP1517" i="17" s="1"/>
  <c r="AE1516" i="17"/>
  <c r="AD1516" i="17"/>
  <c r="U1516" i="17"/>
  <c r="T1516" i="17"/>
  <c r="S1516" i="17"/>
  <c r="K1516" i="17"/>
  <c r="I1516" i="17"/>
  <c r="H1516" i="17"/>
  <c r="G1516" i="17"/>
  <c r="F1516" i="17"/>
  <c r="E1516" i="17"/>
  <c r="D1516" i="17"/>
  <c r="C1516" i="17"/>
  <c r="B1516" i="17"/>
  <c r="A1516" i="17"/>
  <c r="AI1516" i="17" s="1"/>
  <c r="I1515" i="17"/>
  <c r="H1515" i="17"/>
  <c r="G1515" i="17"/>
  <c r="F1515" i="17"/>
  <c r="E1515" i="17"/>
  <c r="D1515" i="17"/>
  <c r="C1515" i="17"/>
  <c r="B1515" i="17"/>
  <c r="A1515" i="17"/>
  <c r="AN1515" i="17" s="1"/>
  <c r="I1514" i="17"/>
  <c r="H1514" i="17"/>
  <c r="G1514" i="17"/>
  <c r="F1514" i="17"/>
  <c r="E1514" i="17"/>
  <c r="D1514" i="17"/>
  <c r="C1514" i="17"/>
  <c r="B1514" i="17"/>
  <c r="A1514" i="17"/>
  <c r="K1514" i="17" s="1"/>
  <c r="AJ1513" i="17"/>
  <c r="X1513" i="17"/>
  <c r="I1513" i="17"/>
  <c r="H1513" i="17"/>
  <c r="G1513" i="17"/>
  <c r="F1513" i="17"/>
  <c r="E1513" i="17"/>
  <c r="D1513" i="17"/>
  <c r="C1513" i="17"/>
  <c r="B1513" i="17"/>
  <c r="A1513" i="17"/>
  <c r="AQ1512" i="17"/>
  <c r="AD1512" i="17"/>
  <c r="AC1512" i="17"/>
  <c r="S1512" i="17"/>
  <c r="P1512" i="17"/>
  <c r="O1512" i="17"/>
  <c r="I1512" i="17"/>
  <c r="H1512" i="17"/>
  <c r="G1512" i="17"/>
  <c r="F1512" i="17"/>
  <c r="E1512" i="17"/>
  <c r="D1512" i="17"/>
  <c r="C1512" i="17"/>
  <c r="B1512" i="17"/>
  <c r="A1512" i="17"/>
  <c r="I1511" i="17"/>
  <c r="H1511" i="17"/>
  <c r="G1511" i="17"/>
  <c r="F1511" i="17"/>
  <c r="E1511" i="17"/>
  <c r="D1511" i="17"/>
  <c r="C1511" i="17"/>
  <c r="B1511" i="17"/>
  <c r="A1511" i="17"/>
  <c r="I1510" i="17"/>
  <c r="H1510" i="17"/>
  <c r="G1510" i="17"/>
  <c r="F1510" i="17"/>
  <c r="E1510" i="17"/>
  <c r="D1510" i="17"/>
  <c r="C1510" i="17"/>
  <c r="B1510" i="17"/>
  <c r="A1510" i="17"/>
  <c r="I1509" i="17"/>
  <c r="H1509" i="17"/>
  <c r="G1509" i="17"/>
  <c r="F1509" i="17"/>
  <c r="E1509" i="17"/>
  <c r="D1509" i="17"/>
  <c r="C1509" i="17"/>
  <c r="B1509" i="17"/>
  <c r="A1509" i="17"/>
  <c r="AP1508" i="17"/>
  <c r="AN1508" i="17"/>
  <c r="AB1508" i="17"/>
  <c r="AA1508" i="17"/>
  <c r="X1508" i="17"/>
  <c r="I1508" i="17"/>
  <c r="H1508" i="17"/>
  <c r="G1508" i="17"/>
  <c r="F1508" i="17"/>
  <c r="E1508" i="17"/>
  <c r="D1508" i="17"/>
  <c r="C1508" i="17"/>
  <c r="B1508" i="17"/>
  <c r="A1508" i="17"/>
  <c r="I1507" i="17"/>
  <c r="H1507" i="17"/>
  <c r="G1507" i="17"/>
  <c r="F1507" i="17"/>
  <c r="E1507" i="17"/>
  <c r="D1507" i="17"/>
  <c r="C1507" i="17"/>
  <c r="B1507" i="17"/>
  <c r="A1507" i="17"/>
  <c r="AP1506" i="17"/>
  <c r="AE1506" i="17"/>
  <c r="S1506" i="17"/>
  <c r="I1506" i="17"/>
  <c r="H1506" i="17"/>
  <c r="G1506" i="17"/>
  <c r="F1506" i="17"/>
  <c r="E1506" i="17"/>
  <c r="D1506" i="17"/>
  <c r="C1506" i="17"/>
  <c r="B1506" i="17"/>
  <c r="A1506" i="17"/>
  <c r="AJ1505" i="17"/>
  <c r="AH1505" i="17"/>
  <c r="AG1505" i="17"/>
  <c r="Z1505" i="17"/>
  <c r="I1505" i="17"/>
  <c r="H1505" i="17"/>
  <c r="G1505" i="17"/>
  <c r="F1505" i="17"/>
  <c r="E1505" i="17"/>
  <c r="D1505" i="17"/>
  <c r="C1505" i="17"/>
  <c r="B1505" i="17"/>
  <c r="A1505" i="17"/>
  <c r="I1504" i="17"/>
  <c r="H1504" i="17"/>
  <c r="G1504" i="17"/>
  <c r="F1504" i="17"/>
  <c r="E1504" i="17"/>
  <c r="D1504" i="17"/>
  <c r="C1504" i="17"/>
  <c r="B1504" i="17"/>
  <c r="A1504" i="17"/>
  <c r="AF1503" i="17"/>
  <c r="I1503" i="17"/>
  <c r="H1503" i="17"/>
  <c r="G1503" i="17"/>
  <c r="F1503" i="17"/>
  <c r="E1503" i="17"/>
  <c r="D1503" i="17"/>
  <c r="C1503" i="17"/>
  <c r="B1503" i="17"/>
  <c r="A1503" i="17"/>
  <c r="I1502" i="17"/>
  <c r="H1502" i="17"/>
  <c r="G1502" i="17"/>
  <c r="F1502" i="17"/>
  <c r="E1502" i="17"/>
  <c r="D1502" i="17"/>
  <c r="C1502" i="17"/>
  <c r="B1502" i="17"/>
  <c r="A1502" i="17"/>
  <c r="S1501" i="17"/>
  <c r="P1501" i="17"/>
  <c r="I1501" i="17"/>
  <c r="H1501" i="17"/>
  <c r="G1501" i="17"/>
  <c r="F1501" i="17"/>
  <c r="E1501" i="17"/>
  <c r="D1501" i="17"/>
  <c r="C1501" i="17"/>
  <c r="B1501" i="17"/>
  <c r="A1501" i="17"/>
  <c r="AN1500" i="17"/>
  <c r="AK1500" i="17"/>
  <c r="AA1500" i="17"/>
  <c r="Z1500" i="17"/>
  <c r="V1500" i="17"/>
  <c r="I1500" i="17"/>
  <c r="H1500" i="17"/>
  <c r="G1500" i="17"/>
  <c r="F1500" i="17"/>
  <c r="E1500" i="17"/>
  <c r="D1500" i="17"/>
  <c r="C1500" i="17"/>
  <c r="B1500" i="17"/>
  <c r="A1500" i="17"/>
  <c r="I1499" i="17"/>
  <c r="H1499" i="17"/>
  <c r="G1499" i="17"/>
  <c r="F1499" i="17"/>
  <c r="E1499" i="17"/>
  <c r="D1499" i="17"/>
  <c r="C1499" i="17"/>
  <c r="B1499" i="17"/>
  <c r="A1499" i="17"/>
  <c r="AH1498" i="17"/>
  <c r="AF1498" i="17"/>
  <c r="AE1498" i="17"/>
  <c r="AC1498" i="17"/>
  <c r="I1498" i="17"/>
  <c r="H1498" i="17"/>
  <c r="G1498" i="17"/>
  <c r="F1498" i="17"/>
  <c r="E1498" i="17"/>
  <c r="D1498" i="17"/>
  <c r="C1498" i="17"/>
  <c r="B1498" i="17"/>
  <c r="A1498" i="17"/>
  <c r="I1497" i="17"/>
  <c r="H1497" i="17"/>
  <c r="G1497" i="17"/>
  <c r="F1497" i="17"/>
  <c r="E1497" i="17"/>
  <c r="D1497" i="17"/>
  <c r="C1497" i="17"/>
  <c r="B1497" i="17"/>
  <c r="A1497" i="17"/>
  <c r="AK1496" i="17"/>
  <c r="AJ1496" i="17"/>
  <c r="AF1496" i="17"/>
  <c r="T1496" i="17"/>
  <c r="S1496" i="17"/>
  <c r="I1496" i="17"/>
  <c r="H1496" i="17"/>
  <c r="G1496" i="17"/>
  <c r="F1496" i="17"/>
  <c r="E1496" i="17"/>
  <c r="D1496" i="17"/>
  <c r="C1496" i="17"/>
  <c r="B1496" i="17"/>
  <c r="A1496" i="17"/>
  <c r="AP1495" i="17"/>
  <c r="R1495" i="17"/>
  <c r="Q1495" i="17"/>
  <c r="P1495" i="17"/>
  <c r="I1495" i="17"/>
  <c r="H1495" i="17"/>
  <c r="G1495" i="17"/>
  <c r="F1495" i="17"/>
  <c r="E1495" i="17"/>
  <c r="D1495" i="17"/>
  <c r="C1495" i="17"/>
  <c r="B1495" i="17"/>
  <c r="A1495" i="17"/>
  <c r="AE1494" i="17"/>
  <c r="AD1494" i="17"/>
  <c r="V1494" i="17"/>
  <c r="U1494" i="17"/>
  <c r="T1494" i="17"/>
  <c r="I1494" i="17"/>
  <c r="H1494" i="17"/>
  <c r="G1494" i="17"/>
  <c r="F1494" i="17"/>
  <c r="E1494" i="17"/>
  <c r="D1494" i="17"/>
  <c r="C1494" i="17"/>
  <c r="B1494" i="17"/>
  <c r="A1494" i="17"/>
  <c r="I1493" i="17"/>
  <c r="H1493" i="17"/>
  <c r="G1493" i="17"/>
  <c r="F1493" i="17"/>
  <c r="E1493" i="17"/>
  <c r="D1493" i="17"/>
  <c r="C1493" i="17"/>
  <c r="B1493" i="17"/>
  <c r="A1493" i="17"/>
  <c r="K1493" i="17" s="1"/>
  <c r="I1492" i="17"/>
  <c r="H1492" i="17"/>
  <c r="G1492" i="17"/>
  <c r="F1492" i="17"/>
  <c r="E1492" i="17"/>
  <c r="D1492" i="17"/>
  <c r="C1492" i="17"/>
  <c r="B1492" i="17"/>
  <c r="A1492" i="17"/>
  <c r="U1492" i="17" s="1"/>
  <c r="AF1491" i="17"/>
  <c r="I1491" i="17"/>
  <c r="H1491" i="17"/>
  <c r="G1491" i="17"/>
  <c r="F1491" i="17"/>
  <c r="E1491" i="17"/>
  <c r="D1491" i="17"/>
  <c r="C1491" i="17"/>
  <c r="B1491" i="17"/>
  <c r="A1491" i="17"/>
  <c r="AN1490" i="17"/>
  <c r="R1490" i="17"/>
  <c r="I1490" i="17"/>
  <c r="H1490" i="17"/>
  <c r="G1490" i="17"/>
  <c r="F1490" i="17"/>
  <c r="E1490" i="17"/>
  <c r="D1490" i="17"/>
  <c r="C1490" i="17"/>
  <c r="B1490" i="17"/>
  <c r="A1490" i="17"/>
  <c r="I1489" i="17"/>
  <c r="H1489" i="17"/>
  <c r="G1489" i="17"/>
  <c r="F1489" i="17"/>
  <c r="E1489" i="17"/>
  <c r="D1489" i="17"/>
  <c r="C1489" i="17"/>
  <c r="B1489" i="17"/>
  <c r="A1489" i="17"/>
  <c r="AF1489" i="17" s="1"/>
  <c r="AM1488" i="17"/>
  <c r="AL1488" i="17"/>
  <c r="AD1488" i="17"/>
  <c r="AC1488" i="17"/>
  <c r="R1488" i="17"/>
  <c r="P1488" i="17"/>
  <c r="O1488" i="17"/>
  <c r="L1488" i="17"/>
  <c r="I1488" i="17"/>
  <c r="H1488" i="17"/>
  <c r="G1488" i="17"/>
  <c r="F1488" i="17"/>
  <c r="E1488" i="17"/>
  <c r="D1488" i="17"/>
  <c r="C1488" i="17"/>
  <c r="B1488" i="17"/>
  <c r="A1488" i="17"/>
  <c r="AE1488" i="17" s="1"/>
  <c r="I1487" i="17"/>
  <c r="H1487" i="17"/>
  <c r="G1487" i="17"/>
  <c r="F1487" i="17"/>
  <c r="E1487" i="17"/>
  <c r="D1487" i="17"/>
  <c r="C1487" i="17"/>
  <c r="B1487" i="17"/>
  <c r="A1487" i="17"/>
  <c r="I1486" i="17"/>
  <c r="H1486" i="17"/>
  <c r="G1486" i="17"/>
  <c r="F1486" i="17"/>
  <c r="E1486" i="17"/>
  <c r="D1486" i="17"/>
  <c r="C1486" i="17"/>
  <c r="B1486" i="17"/>
  <c r="A1486" i="17"/>
  <c r="I1485" i="17"/>
  <c r="H1485" i="17"/>
  <c r="G1485" i="17"/>
  <c r="F1485" i="17"/>
  <c r="E1485" i="17"/>
  <c r="D1485" i="17"/>
  <c r="C1485" i="17"/>
  <c r="B1485" i="17"/>
  <c r="A1485" i="17"/>
  <c r="AR1484" i="17"/>
  <c r="AK1484" i="17"/>
  <c r="AJ1484" i="17"/>
  <c r="AI1484" i="17"/>
  <c r="AE1484" i="17"/>
  <c r="AB1484" i="17"/>
  <c r="AA1484" i="17"/>
  <c r="W1484" i="17"/>
  <c r="R1484" i="17"/>
  <c r="P1484" i="17"/>
  <c r="O1484" i="17"/>
  <c r="N1484" i="17"/>
  <c r="M1484" i="17"/>
  <c r="I1484" i="17"/>
  <c r="H1484" i="17"/>
  <c r="G1484" i="17"/>
  <c r="F1484" i="17"/>
  <c r="E1484" i="17"/>
  <c r="D1484" i="17"/>
  <c r="C1484" i="17"/>
  <c r="B1484" i="17"/>
  <c r="A1484" i="17"/>
  <c r="AH1484" i="17" s="1"/>
  <c r="I1483" i="17"/>
  <c r="H1483" i="17"/>
  <c r="G1483" i="17"/>
  <c r="F1483" i="17"/>
  <c r="E1483" i="17"/>
  <c r="D1483" i="17"/>
  <c r="C1483" i="17"/>
  <c r="B1483" i="17"/>
  <c r="A1483" i="17"/>
  <c r="AQ1482" i="17"/>
  <c r="AK1482" i="17"/>
  <c r="I1482" i="17"/>
  <c r="H1482" i="17"/>
  <c r="G1482" i="17"/>
  <c r="F1482" i="17"/>
  <c r="E1482" i="17"/>
  <c r="D1482" i="17"/>
  <c r="C1482" i="17"/>
  <c r="B1482" i="17"/>
  <c r="A1482" i="17"/>
  <c r="AJ1482" i="17" s="1"/>
  <c r="I1481" i="17"/>
  <c r="H1481" i="17"/>
  <c r="G1481" i="17"/>
  <c r="F1481" i="17"/>
  <c r="E1481" i="17"/>
  <c r="D1481" i="17"/>
  <c r="C1481" i="17"/>
  <c r="B1481" i="17"/>
  <c r="A1481" i="17"/>
  <c r="AJ1480" i="17"/>
  <c r="I1480" i="17"/>
  <c r="H1480" i="17"/>
  <c r="G1480" i="17"/>
  <c r="F1480" i="17"/>
  <c r="E1480" i="17"/>
  <c r="D1480" i="17"/>
  <c r="C1480" i="17"/>
  <c r="B1480" i="17"/>
  <c r="A1480" i="17"/>
  <c r="X1480" i="17" s="1"/>
  <c r="I1479" i="17"/>
  <c r="H1479" i="17"/>
  <c r="G1479" i="17"/>
  <c r="F1479" i="17"/>
  <c r="E1479" i="17"/>
  <c r="D1479" i="17"/>
  <c r="C1479" i="17"/>
  <c r="B1479" i="17"/>
  <c r="A1479" i="17"/>
  <c r="I1478" i="17"/>
  <c r="H1478" i="17"/>
  <c r="G1478" i="17"/>
  <c r="F1478" i="17"/>
  <c r="E1478" i="17"/>
  <c r="D1478" i="17"/>
  <c r="C1478" i="17"/>
  <c r="B1478" i="17"/>
  <c r="A1478" i="17"/>
  <c r="AQ1477" i="17"/>
  <c r="W1477" i="17"/>
  <c r="S1477" i="17"/>
  <c r="P1477" i="17"/>
  <c r="I1477" i="17"/>
  <c r="H1477" i="17"/>
  <c r="G1477" i="17"/>
  <c r="F1477" i="17"/>
  <c r="E1477" i="17"/>
  <c r="D1477" i="17"/>
  <c r="C1477" i="17"/>
  <c r="B1477" i="17"/>
  <c r="A1477" i="17"/>
  <c r="I1476" i="17"/>
  <c r="H1476" i="17"/>
  <c r="G1476" i="17"/>
  <c r="F1476" i="17"/>
  <c r="E1476" i="17"/>
  <c r="D1476" i="17"/>
  <c r="C1476" i="17"/>
  <c r="B1476" i="17"/>
  <c r="A1476" i="17"/>
  <c r="I1475" i="17"/>
  <c r="H1475" i="17"/>
  <c r="G1475" i="17"/>
  <c r="F1475" i="17"/>
  <c r="E1475" i="17"/>
  <c r="D1475" i="17"/>
  <c r="C1475" i="17"/>
  <c r="B1475" i="17"/>
  <c r="A1475" i="17"/>
  <c r="I1474" i="17"/>
  <c r="H1474" i="17"/>
  <c r="G1474" i="17"/>
  <c r="F1474" i="17"/>
  <c r="E1474" i="17"/>
  <c r="D1474" i="17"/>
  <c r="C1474" i="17"/>
  <c r="B1474" i="17"/>
  <c r="A1474" i="17"/>
  <c r="AH1473" i="17"/>
  <c r="AA1473" i="17"/>
  <c r="K1473" i="17"/>
  <c r="I1473" i="17"/>
  <c r="H1473" i="17"/>
  <c r="G1473" i="17"/>
  <c r="F1473" i="17"/>
  <c r="E1473" i="17"/>
  <c r="D1473" i="17"/>
  <c r="C1473" i="17"/>
  <c r="B1473" i="17"/>
  <c r="A1473" i="17"/>
  <c r="M1472" i="17"/>
  <c r="I1472" i="17"/>
  <c r="H1472" i="17"/>
  <c r="G1472" i="17"/>
  <c r="F1472" i="17"/>
  <c r="E1472" i="17"/>
  <c r="D1472" i="17"/>
  <c r="C1472" i="17"/>
  <c r="B1472" i="17"/>
  <c r="A1472" i="17"/>
  <c r="I1471" i="17"/>
  <c r="H1471" i="17"/>
  <c r="G1471" i="17"/>
  <c r="F1471" i="17"/>
  <c r="E1471" i="17"/>
  <c r="D1471" i="17"/>
  <c r="C1471" i="17"/>
  <c r="B1471" i="17"/>
  <c r="A1471" i="17"/>
  <c r="AO1471" i="17" s="1"/>
  <c r="AM1470" i="17"/>
  <c r="V1470" i="17"/>
  <c r="U1470" i="17"/>
  <c r="O1470" i="17"/>
  <c r="N1470" i="17"/>
  <c r="L1470" i="17"/>
  <c r="I1470" i="17"/>
  <c r="H1470" i="17"/>
  <c r="G1470" i="17"/>
  <c r="F1470" i="17"/>
  <c r="E1470" i="17"/>
  <c r="D1470" i="17"/>
  <c r="C1470" i="17"/>
  <c r="B1470" i="17"/>
  <c r="A1470" i="17"/>
  <c r="AN1470" i="17" s="1"/>
  <c r="I1469" i="17"/>
  <c r="H1469" i="17"/>
  <c r="G1469" i="17"/>
  <c r="F1469" i="17"/>
  <c r="E1469" i="17"/>
  <c r="D1469" i="17"/>
  <c r="C1469" i="17"/>
  <c r="B1469" i="17"/>
  <c r="A1469" i="17"/>
  <c r="AA1469" i="17" s="1"/>
  <c r="I1468" i="17"/>
  <c r="H1468" i="17"/>
  <c r="G1468" i="17"/>
  <c r="F1468" i="17"/>
  <c r="E1468" i="17"/>
  <c r="D1468" i="17"/>
  <c r="C1468" i="17"/>
  <c r="B1468" i="17"/>
  <c r="A1468" i="17"/>
  <c r="V1468" i="17" s="1"/>
  <c r="I1467" i="17"/>
  <c r="H1467" i="17"/>
  <c r="G1467" i="17"/>
  <c r="F1467" i="17"/>
  <c r="E1467" i="17"/>
  <c r="D1467" i="17"/>
  <c r="C1467" i="17"/>
  <c r="B1467" i="17"/>
  <c r="A1467" i="17"/>
  <c r="R1467" i="17" s="1"/>
  <c r="AR1466" i="17"/>
  <c r="AQ1466" i="17"/>
  <c r="AK1466" i="17"/>
  <c r="AI1466" i="17"/>
  <c r="X1466" i="17"/>
  <c r="U1466" i="17"/>
  <c r="T1466" i="17"/>
  <c r="P1466" i="17"/>
  <c r="O1466" i="17"/>
  <c r="K1466" i="17"/>
  <c r="I1466" i="17"/>
  <c r="H1466" i="17"/>
  <c r="G1466" i="17"/>
  <c r="F1466" i="17"/>
  <c r="E1466" i="17"/>
  <c r="D1466" i="17"/>
  <c r="C1466" i="17"/>
  <c r="B1466" i="17"/>
  <c r="A1466" i="17"/>
  <c r="AB1466" i="17" s="1"/>
  <c r="I1465" i="17"/>
  <c r="H1465" i="17"/>
  <c r="G1465" i="17"/>
  <c r="F1465" i="17"/>
  <c r="E1465" i="17"/>
  <c r="D1465" i="17"/>
  <c r="C1465" i="17"/>
  <c r="B1465" i="17"/>
  <c r="A1465" i="17"/>
  <c r="I1464" i="17"/>
  <c r="H1464" i="17"/>
  <c r="G1464" i="17"/>
  <c r="F1464" i="17"/>
  <c r="E1464" i="17"/>
  <c r="D1464" i="17"/>
  <c r="C1464" i="17"/>
  <c r="B1464" i="17"/>
  <c r="A1464" i="17"/>
  <c r="I1463" i="17"/>
  <c r="H1463" i="17"/>
  <c r="G1463" i="17"/>
  <c r="F1463" i="17"/>
  <c r="E1463" i="17"/>
  <c r="D1463" i="17"/>
  <c r="C1463" i="17"/>
  <c r="B1463" i="17"/>
  <c r="A1463" i="17"/>
  <c r="I1462" i="17"/>
  <c r="H1462" i="17"/>
  <c r="G1462" i="17"/>
  <c r="F1462" i="17"/>
  <c r="E1462" i="17"/>
  <c r="D1462" i="17"/>
  <c r="C1462" i="17"/>
  <c r="B1462" i="17"/>
  <c r="A1462" i="17"/>
  <c r="T1461" i="17"/>
  <c r="I1461" i="17"/>
  <c r="H1461" i="17"/>
  <c r="G1461" i="17"/>
  <c r="F1461" i="17"/>
  <c r="E1461" i="17"/>
  <c r="D1461" i="17"/>
  <c r="C1461" i="17"/>
  <c r="B1461" i="17"/>
  <c r="A1461" i="17"/>
  <c r="AR1460" i="17"/>
  <c r="AQ1460" i="17"/>
  <c r="AK1460" i="17"/>
  <c r="AJ1460" i="17"/>
  <c r="AI1460" i="17"/>
  <c r="W1460" i="17"/>
  <c r="V1460" i="17"/>
  <c r="S1460" i="17"/>
  <c r="P1460" i="17"/>
  <c r="O1460" i="17"/>
  <c r="I1460" i="17"/>
  <c r="H1460" i="17"/>
  <c r="G1460" i="17"/>
  <c r="F1460" i="17"/>
  <c r="E1460" i="17"/>
  <c r="D1460" i="17"/>
  <c r="C1460" i="17"/>
  <c r="B1460" i="17"/>
  <c r="A1460" i="17"/>
  <c r="I1459" i="17"/>
  <c r="H1459" i="17"/>
  <c r="G1459" i="17"/>
  <c r="F1459" i="17"/>
  <c r="E1459" i="17"/>
  <c r="D1459" i="17"/>
  <c r="C1459" i="17"/>
  <c r="B1459" i="17"/>
  <c r="A1459" i="17"/>
  <c r="AR1458" i="17"/>
  <c r="L1458" i="17"/>
  <c r="K1458" i="17"/>
  <c r="I1458" i="17"/>
  <c r="H1458" i="17"/>
  <c r="G1458" i="17"/>
  <c r="F1458" i="17"/>
  <c r="E1458" i="17"/>
  <c r="D1458" i="17"/>
  <c r="C1458" i="17"/>
  <c r="B1458" i="17"/>
  <c r="A1458" i="17"/>
  <c r="I1457" i="17"/>
  <c r="H1457" i="17"/>
  <c r="G1457" i="17"/>
  <c r="F1457" i="17"/>
  <c r="E1457" i="17"/>
  <c r="D1457" i="17"/>
  <c r="C1457" i="17"/>
  <c r="B1457" i="17"/>
  <c r="A1457" i="17"/>
  <c r="AR1457" i="17" s="1"/>
  <c r="AR1456" i="17"/>
  <c r="AQ1456" i="17"/>
  <c r="AN1456" i="17"/>
  <c r="M1456" i="17"/>
  <c r="K1456" i="17"/>
  <c r="I1456" i="17"/>
  <c r="H1456" i="17"/>
  <c r="G1456" i="17"/>
  <c r="F1456" i="17"/>
  <c r="E1456" i="17"/>
  <c r="D1456" i="17"/>
  <c r="C1456" i="17"/>
  <c r="B1456" i="17"/>
  <c r="A1456" i="17"/>
  <c r="I1455" i="17"/>
  <c r="H1455" i="17"/>
  <c r="G1455" i="17"/>
  <c r="F1455" i="17"/>
  <c r="E1455" i="17"/>
  <c r="D1455" i="17"/>
  <c r="C1455" i="17"/>
  <c r="B1455" i="17"/>
  <c r="A1455" i="17"/>
  <c r="AM1454" i="17"/>
  <c r="AL1454" i="17"/>
  <c r="I1454" i="17"/>
  <c r="H1454" i="17"/>
  <c r="G1454" i="17"/>
  <c r="F1454" i="17"/>
  <c r="E1454" i="17"/>
  <c r="D1454" i="17"/>
  <c r="C1454" i="17"/>
  <c r="B1454" i="17"/>
  <c r="A1454" i="17"/>
  <c r="I1453" i="17"/>
  <c r="H1453" i="17"/>
  <c r="G1453" i="17"/>
  <c r="F1453" i="17"/>
  <c r="E1453" i="17"/>
  <c r="D1453" i="17"/>
  <c r="C1453" i="17"/>
  <c r="B1453" i="17"/>
  <c r="A1453" i="17"/>
  <c r="AR1452" i="17"/>
  <c r="AQ1452" i="17"/>
  <c r="AL1452" i="17"/>
  <c r="AI1452" i="17"/>
  <c r="AH1452" i="17"/>
  <c r="AF1452" i="17"/>
  <c r="AE1452" i="17"/>
  <c r="Z1452" i="17"/>
  <c r="X1452" i="17"/>
  <c r="W1452" i="17"/>
  <c r="U1452" i="17"/>
  <c r="T1452" i="17"/>
  <c r="N1452" i="17"/>
  <c r="M1452" i="17"/>
  <c r="L1452" i="17"/>
  <c r="K1452" i="17"/>
  <c r="J1452" i="17"/>
  <c r="I1452" i="17"/>
  <c r="H1452" i="17"/>
  <c r="G1452" i="17"/>
  <c r="F1452" i="17"/>
  <c r="E1452" i="17"/>
  <c r="D1452" i="17"/>
  <c r="C1452" i="17"/>
  <c r="B1452" i="17"/>
  <c r="A1452" i="17"/>
  <c r="AH1451" i="17"/>
  <c r="AF1451" i="17"/>
  <c r="Z1451" i="17"/>
  <c r="P1451" i="17"/>
  <c r="O1451" i="17"/>
  <c r="L1451" i="17"/>
  <c r="I1451" i="17"/>
  <c r="H1451" i="17"/>
  <c r="G1451" i="17"/>
  <c r="F1451" i="17"/>
  <c r="E1451" i="17"/>
  <c r="D1451" i="17"/>
  <c r="C1451" i="17"/>
  <c r="B1451" i="17"/>
  <c r="A1451" i="17"/>
  <c r="AR1451" i="17" s="1"/>
  <c r="I1450" i="17"/>
  <c r="H1450" i="17"/>
  <c r="G1450" i="17"/>
  <c r="F1450" i="17"/>
  <c r="E1450" i="17"/>
  <c r="D1450" i="17"/>
  <c r="C1450" i="17"/>
  <c r="B1450" i="17"/>
  <c r="A1450" i="17"/>
  <c r="AA1449" i="17"/>
  <c r="I1449" i="17"/>
  <c r="H1449" i="17"/>
  <c r="G1449" i="17"/>
  <c r="F1449" i="17"/>
  <c r="E1449" i="17"/>
  <c r="D1449" i="17"/>
  <c r="C1449" i="17"/>
  <c r="B1449" i="17"/>
  <c r="A1449" i="17"/>
  <c r="AP1449" i="17" s="1"/>
  <c r="I1448" i="17"/>
  <c r="H1448" i="17"/>
  <c r="G1448" i="17"/>
  <c r="F1448" i="17"/>
  <c r="E1448" i="17"/>
  <c r="D1448" i="17"/>
  <c r="C1448" i="17"/>
  <c r="B1448" i="17"/>
  <c r="A1448" i="17"/>
  <c r="AH1448" i="17" s="1"/>
  <c r="I1447" i="17"/>
  <c r="H1447" i="17"/>
  <c r="G1447" i="17"/>
  <c r="F1447" i="17"/>
  <c r="E1447" i="17"/>
  <c r="D1447" i="17"/>
  <c r="C1447" i="17"/>
  <c r="B1447" i="17"/>
  <c r="A1447" i="17"/>
  <c r="I1446" i="17"/>
  <c r="H1446" i="17"/>
  <c r="G1446" i="17"/>
  <c r="F1446" i="17"/>
  <c r="E1446" i="17"/>
  <c r="D1446" i="17"/>
  <c r="C1446" i="17"/>
  <c r="B1446" i="17"/>
  <c r="A1446" i="17"/>
  <c r="AP1445" i="17"/>
  <c r="I1445" i="17"/>
  <c r="H1445" i="17"/>
  <c r="G1445" i="17"/>
  <c r="F1445" i="17"/>
  <c r="E1445" i="17"/>
  <c r="D1445" i="17"/>
  <c r="C1445" i="17"/>
  <c r="B1445" i="17"/>
  <c r="A1445" i="17"/>
  <c r="AA1445" i="17" s="1"/>
  <c r="I1444" i="17"/>
  <c r="H1444" i="17"/>
  <c r="G1444" i="17"/>
  <c r="F1444" i="17"/>
  <c r="E1444" i="17"/>
  <c r="D1444" i="17"/>
  <c r="C1444" i="17"/>
  <c r="B1444" i="17"/>
  <c r="A1444" i="17"/>
  <c r="I1443" i="17"/>
  <c r="H1443" i="17"/>
  <c r="G1443" i="17"/>
  <c r="F1443" i="17"/>
  <c r="E1443" i="17"/>
  <c r="D1443" i="17"/>
  <c r="C1443" i="17"/>
  <c r="B1443" i="17"/>
  <c r="A1443" i="17"/>
  <c r="AA1442" i="17"/>
  <c r="X1442" i="17"/>
  <c r="S1442" i="17"/>
  <c r="I1442" i="17"/>
  <c r="H1442" i="17"/>
  <c r="G1442" i="17"/>
  <c r="F1442" i="17"/>
  <c r="E1442" i="17"/>
  <c r="D1442" i="17"/>
  <c r="C1442" i="17"/>
  <c r="B1442" i="17"/>
  <c r="A1442" i="17"/>
  <c r="I1441" i="17"/>
  <c r="H1441" i="17"/>
  <c r="G1441" i="17"/>
  <c r="F1441" i="17"/>
  <c r="E1441" i="17"/>
  <c r="D1441" i="17"/>
  <c r="C1441" i="17"/>
  <c r="B1441" i="17"/>
  <c r="A1441" i="17"/>
  <c r="I1440" i="17"/>
  <c r="H1440" i="17"/>
  <c r="G1440" i="17"/>
  <c r="F1440" i="17"/>
  <c r="E1440" i="17"/>
  <c r="D1440" i="17"/>
  <c r="C1440" i="17"/>
  <c r="B1440" i="17"/>
  <c r="A1440" i="17"/>
  <c r="I1439" i="17"/>
  <c r="H1439" i="17"/>
  <c r="G1439" i="17"/>
  <c r="F1439" i="17"/>
  <c r="E1439" i="17"/>
  <c r="D1439" i="17"/>
  <c r="C1439" i="17"/>
  <c r="B1439" i="17"/>
  <c r="A1439" i="17"/>
  <c r="I1438" i="17"/>
  <c r="H1438" i="17"/>
  <c r="G1438" i="17"/>
  <c r="F1438" i="17"/>
  <c r="E1438" i="17"/>
  <c r="D1438" i="17"/>
  <c r="C1438" i="17"/>
  <c r="B1438" i="17"/>
  <c r="A1438" i="17"/>
  <c r="AR1437" i="17"/>
  <c r="AJ1437" i="17"/>
  <c r="AA1437" i="17"/>
  <c r="X1437" i="17"/>
  <c r="I1437" i="17"/>
  <c r="H1437" i="17"/>
  <c r="G1437" i="17"/>
  <c r="F1437" i="17"/>
  <c r="E1437" i="17"/>
  <c r="D1437" i="17"/>
  <c r="C1437" i="17"/>
  <c r="B1437" i="17"/>
  <c r="A1437" i="17"/>
  <c r="AI1436" i="17"/>
  <c r="AC1436" i="17"/>
  <c r="AB1436" i="17"/>
  <c r="T1436" i="17"/>
  <c r="M1436" i="17"/>
  <c r="I1436" i="17"/>
  <c r="H1436" i="17"/>
  <c r="G1436" i="17"/>
  <c r="F1436" i="17"/>
  <c r="E1436" i="17"/>
  <c r="D1436" i="17"/>
  <c r="C1436" i="17"/>
  <c r="B1436" i="17"/>
  <c r="A1436" i="17"/>
  <c r="I1435" i="17"/>
  <c r="H1435" i="17"/>
  <c r="G1435" i="17"/>
  <c r="F1435" i="17"/>
  <c r="E1435" i="17"/>
  <c r="D1435" i="17"/>
  <c r="C1435" i="17"/>
  <c r="B1435" i="17"/>
  <c r="A1435" i="17"/>
  <c r="AQ1434" i="17"/>
  <c r="V1434" i="17"/>
  <c r="N1434" i="17"/>
  <c r="I1434" i="17"/>
  <c r="H1434" i="17"/>
  <c r="G1434" i="17"/>
  <c r="F1434" i="17"/>
  <c r="E1434" i="17"/>
  <c r="D1434" i="17"/>
  <c r="C1434" i="17"/>
  <c r="B1434" i="17"/>
  <c r="A1434" i="17"/>
  <c r="AH1433" i="17"/>
  <c r="AB1433" i="17"/>
  <c r="I1433" i="17"/>
  <c r="H1433" i="17"/>
  <c r="G1433" i="17"/>
  <c r="F1433" i="17"/>
  <c r="E1433" i="17"/>
  <c r="D1433" i="17"/>
  <c r="C1433" i="17"/>
  <c r="B1433" i="17"/>
  <c r="A1433" i="17"/>
  <c r="Y1433" i="17" s="1"/>
  <c r="I1432" i="17"/>
  <c r="H1432" i="17"/>
  <c r="G1432" i="17"/>
  <c r="F1432" i="17"/>
  <c r="E1432" i="17"/>
  <c r="D1432" i="17"/>
  <c r="C1432" i="17"/>
  <c r="B1432" i="17"/>
  <c r="A1432" i="17"/>
  <c r="O1432" i="17" s="1"/>
  <c r="K1431" i="17"/>
  <c r="I1431" i="17"/>
  <c r="H1431" i="17"/>
  <c r="G1431" i="17"/>
  <c r="F1431" i="17"/>
  <c r="E1431" i="17"/>
  <c r="D1431" i="17"/>
  <c r="C1431" i="17"/>
  <c r="B1431" i="17"/>
  <c r="A1431" i="17"/>
  <c r="AM1430" i="17"/>
  <c r="AL1430" i="17"/>
  <c r="AK1430" i="17"/>
  <c r="AI1430" i="17"/>
  <c r="AC1430" i="17"/>
  <c r="AB1430" i="17"/>
  <c r="AA1430" i="17"/>
  <c r="W1430" i="17"/>
  <c r="V1430" i="17"/>
  <c r="O1430" i="17"/>
  <c r="N1430" i="17"/>
  <c r="M1430" i="17"/>
  <c r="L1430" i="17"/>
  <c r="K1430" i="17"/>
  <c r="I1430" i="17"/>
  <c r="H1430" i="17"/>
  <c r="G1430" i="17"/>
  <c r="F1430" i="17"/>
  <c r="E1430" i="17"/>
  <c r="D1430" i="17"/>
  <c r="C1430" i="17"/>
  <c r="B1430" i="17"/>
  <c r="A1430" i="17"/>
  <c r="I1429" i="17"/>
  <c r="H1429" i="17"/>
  <c r="G1429" i="17"/>
  <c r="F1429" i="17"/>
  <c r="E1429" i="17"/>
  <c r="D1429" i="17"/>
  <c r="C1429" i="17"/>
  <c r="B1429" i="17"/>
  <c r="A1429" i="17"/>
  <c r="I1428" i="17"/>
  <c r="H1428" i="17"/>
  <c r="G1428" i="17"/>
  <c r="F1428" i="17"/>
  <c r="E1428" i="17"/>
  <c r="D1428" i="17"/>
  <c r="C1428" i="17"/>
  <c r="B1428" i="17"/>
  <c r="A1428" i="17"/>
  <c r="I1427" i="17"/>
  <c r="H1427" i="17"/>
  <c r="G1427" i="17"/>
  <c r="F1427" i="17"/>
  <c r="E1427" i="17"/>
  <c r="D1427" i="17"/>
  <c r="C1427" i="17"/>
  <c r="B1427" i="17"/>
  <c r="A1427" i="17"/>
  <c r="I1426" i="17"/>
  <c r="H1426" i="17"/>
  <c r="G1426" i="17"/>
  <c r="F1426" i="17"/>
  <c r="E1426" i="17"/>
  <c r="D1426" i="17"/>
  <c r="C1426" i="17"/>
  <c r="B1426" i="17"/>
  <c r="A1426" i="17"/>
  <c r="AM1426" i="17" s="1"/>
  <c r="I1425" i="17"/>
  <c r="H1425" i="17"/>
  <c r="G1425" i="17"/>
  <c r="F1425" i="17"/>
  <c r="E1425" i="17"/>
  <c r="D1425" i="17"/>
  <c r="C1425" i="17"/>
  <c r="B1425" i="17"/>
  <c r="A1425" i="17"/>
  <c r="AM1425" i="17" s="1"/>
  <c r="AD1424" i="17"/>
  <c r="AB1424" i="17"/>
  <c r="AA1424" i="17"/>
  <c r="I1424" i="17"/>
  <c r="H1424" i="17"/>
  <c r="G1424" i="17"/>
  <c r="F1424" i="17"/>
  <c r="E1424" i="17"/>
  <c r="D1424" i="17"/>
  <c r="C1424" i="17"/>
  <c r="B1424" i="17"/>
  <c r="A1424" i="17"/>
  <c r="AA1423" i="17"/>
  <c r="L1423" i="17"/>
  <c r="I1423" i="17"/>
  <c r="H1423" i="17"/>
  <c r="G1423" i="17"/>
  <c r="F1423" i="17"/>
  <c r="E1423" i="17"/>
  <c r="D1423" i="17"/>
  <c r="C1423" i="17"/>
  <c r="B1423" i="17"/>
  <c r="A1423" i="17"/>
  <c r="AP1423" i="17" s="1"/>
  <c r="AE1422" i="17"/>
  <c r="AC1422" i="17"/>
  <c r="X1422" i="17"/>
  <c r="O1422" i="17"/>
  <c r="N1422" i="17"/>
  <c r="L1422" i="17"/>
  <c r="I1422" i="17"/>
  <c r="H1422" i="17"/>
  <c r="G1422" i="17"/>
  <c r="F1422" i="17"/>
  <c r="E1422" i="17"/>
  <c r="D1422" i="17"/>
  <c r="C1422" i="17"/>
  <c r="B1422" i="17"/>
  <c r="A1422" i="17"/>
  <c r="AR1422" i="17" s="1"/>
  <c r="AA1421" i="17"/>
  <c r="I1421" i="17"/>
  <c r="H1421" i="17"/>
  <c r="G1421" i="17"/>
  <c r="F1421" i="17"/>
  <c r="E1421" i="17"/>
  <c r="D1421" i="17"/>
  <c r="C1421" i="17"/>
  <c r="B1421" i="17"/>
  <c r="A1421" i="17"/>
  <c r="AF1421" i="17" s="1"/>
  <c r="I1420" i="17"/>
  <c r="H1420" i="17"/>
  <c r="G1420" i="17"/>
  <c r="F1420" i="17"/>
  <c r="E1420" i="17"/>
  <c r="D1420" i="17"/>
  <c r="C1420" i="17"/>
  <c r="B1420" i="17"/>
  <c r="A1420" i="17"/>
  <c r="AI1419" i="17"/>
  <c r="AG1419" i="17"/>
  <c r="K1419" i="17"/>
  <c r="I1419" i="17"/>
  <c r="H1419" i="17"/>
  <c r="G1419" i="17"/>
  <c r="F1419" i="17"/>
  <c r="E1419" i="17"/>
  <c r="D1419" i="17"/>
  <c r="C1419" i="17"/>
  <c r="B1419" i="17"/>
  <c r="A1419" i="17"/>
  <c r="I1418" i="17"/>
  <c r="H1418" i="17"/>
  <c r="G1418" i="17"/>
  <c r="F1418" i="17"/>
  <c r="E1418" i="17"/>
  <c r="D1418" i="17"/>
  <c r="C1418" i="17"/>
  <c r="B1418" i="17"/>
  <c r="A1418" i="17"/>
  <c r="I1417" i="17"/>
  <c r="H1417" i="17"/>
  <c r="G1417" i="17"/>
  <c r="F1417" i="17"/>
  <c r="E1417" i="17"/>
  <c r="D1417" i="17"/>
  <c r="C1417" i="17"/>
  <c r="B1417" i="17"/>
  <c r="A1417" i="17"/>
  <c r="AR1416" i="17"/>
  <c r="AM1416" i="17"/>
  <c r="AL1416" i="17"/>
  <c r="AB1416" i="17"/>
  <c r="V1416" i="17"/>
  <c r="U1416" i="17"/>
  <c r="S1416" i="17"/>
  <c r="P1416" i="17"/>
  <c r="K1416" i="17"/>
  <c r="I1416" i="17"/>
  <c r="H1416" i="17"/>
  <c r="G1416" i="17"/>
  <c r="F1416" i="17"/>
  <c r="E1416" i="17"/>
  <c r="D1416" i="17"/>
  <c r="C1416" i="17"/>
  <c r="B1416" i="17"/>
  <c r="A1416" i="17"/>
  <c r="AC1416" i="17" s="1"/>
  <c r="I1415" i="17"/>
  <c r="H1415" i="17"/>
  <c r="G1415" i="17"/>
  <c r="F1415" i="17"/>
  <c r="E1415" i="17"/>
  <c r="D1415" i="17"/>
  <c r="C1415" i="17"/>
  <c r="B1415" i="17"/>
  <c r="A1415" i="17"/>
  <c r="Y1415" i="17" s="1"/>
  <c r="AJ1414" i="17"/>
  <c r="I1414" i="17"/>
  <c r="H1414" i="17"/>
  <c r="G1414" i="17"/>
  <c r="F1414" i="17"/>
  <c r="E1414" i="17"/>
  <c r="D1414" i="17"/>
  <c r="C1414" i="17"/>
  <c r="B1414" i="17"/>
  <c r="A1414" i="17"/>
  <c r="I1413" i="17"/>
  <c r="H1413" i="17"/>
  <c r="G1413" i="17"/>
  <c r="F1413" i="17"/>
  <c r="E1413" i="17"/>
  <c r="D1413" i="17"/>
  <c r="C1413" i="17"/>
  <c r="B1413" i="17"/>
  <c r="A1413" i="17"/>
  <c r="W1413" i="17" s="1"/>
  <c r="N1412" i="17"/>
  <c r="I1412" i="17"/>
  <c r="H1412" i="17"/>
  <c r="G1412" i="17"/>
  <c r="F1412" i="17"/>
  <c r="E1412" i="17"/>
  <c r="D1412" i="17"/>
  <c r="C1412" i="17"/>
  <c r="B1412" i="17"/>
  <c r="A1412" i="17"/>
  <c r="Q1411" i="17"/>
  <c r="L1411" i="17"/>
  <c r="K1411" i="17"/>
  <c r="I1411" i="17"/>
  <c r="H1411" i="17"/>
  <c r="G1411" i="17"/>
  <c r="F1411" i="17"/>
  <c r="E1411" i="17"/>
  <c r="D1411" i="17"/>
  <c r="C1411" i="17"/>
  <c r="B1411" i="17"/>
  <c r="A1411" i="17"/>
  <c r="I1410" i="17"/>
  <c r="H1410" i="17"/>
  <c r="G1410" i="17"/>
  <c r="F1410" i="17"/>
  <c r="E1410" i="17"/>
  <c r="D1410" i="17"/>
  <c r="C1410" i="17"/>
  <c r="B1410" i="17"/>
  <c r="A1410" i="17"/>
  <c r="AP1409" i="17"/>
  <c r="AJ1409" i="17"/>
  <c r="AF1409" i="17"/>
  <c r="X1409" i="17"/>
  <c r="W1409" i="17"/>
  <c r="T1409" i="17"/>
  <c r="Q1409" i="17"/>
  <c r="L1409" i="17"/>
  <c r="I1409" i="17"/>
  <c r="H1409" i="17"/>
  <c r="G1409" i="17"/>
  <c r="F1409" i="17"/>
  <c r="E1409" i="17"/>
  <c r="D1409" i="17"/>
  <c r="C1409" i="17"/>
  <c r="B1409" i="17"/>
  <c r="A1409" i="17"/>
  <c r="AI1409" i="17" s="1"/>
  <c r="I1408" i="17"/>
  <c r="H1408" i="17"/>
  <c r="G1408" i="17"/>
  <c r="F1408" i="17"/>
  <c r="E1408" i="17"/>
  <c r="D1408" i="17"/>
  <c r="C1408" i="17"/>
  <c r="B1408" i="17"/>
  <c r="A1408" i="17"/>
  <c r="X1408" i="17" s="1"/>
  <c r="I1407" i="17"/>
  <c r="H1407" i="17"/>
  <c r="G1407" i="17"/>
  <c r="F1407" i="17"/>
  <c r="E1407" i="17"/>
  <c r="D1407" i="17"/>
  <c r="C1407" i="17"/>
  <c r="B1407" i="17"/>
  <c r="A1407" i="17"/>
  <c r="AN1406" i="17"/>
  <c r="AL1406" i="17"/>
  <c r="AK1406" i="17"/>
  <c r="AC1406" i="17"/>
  <c r="Z1406" i="17"/>
  <c r="X1406" i="17"/>
  <c r="S1406" i="17"/>
  <c r="R1406" i="17"/>
  <c r="P1406" i="17"/>
  <c r="O1406" i="17"/>
  <c r="I1406" i="17"/>
  <c r="H1406" i="17"/>
  <c r="G1406" i="17"/>
  <c r="F1406" i="17"/>
  <c r="E1406" i="17"/>
  <c r="D1406" i="17"/>
  <c r="C1406" i="17"/>
  <c r="B1406" i="17"/>
  <c r="A1406" i="17"/>
  <c r="AJ1406" i="17" s="1"/>
  <c r="I1405" i="17"/>
  <c r="H1405" i="17"/>
  <c r="G1405" i="17"/>
  <c r="F1405" i="17"/>
  <c r="E1405" i="17"/>
  <c r="D1405" i="17"/>
  <c r="C1405" i="17"/>
  <c r="B1405" i="17"/>
  <c r="A1405" i="17"/>
  <c r="I1404" i="17"/>
  <c r="H1404" i="17"/>
  <c r="G1404" i="17"/>
  <c r="F1404" i="17"/>
  <c r="E1404" i="17"/>
  <c r="D1404" i="17"/>
  <c r="C1404" i="17"/>
  <c r="B1404" i="17"/>
  <c r="A1404" i="17"/>
  <c r="AH1403" i="17"/>
  <c r="AF1403" i="17"/>
  <c r="Q1403" i="17"/>
  <c r="P1403" i="17"/>
  <c r="I1403" i="17"/>
  <c r="H1403" i="17"/>
  <c r="G1403" i="17"/>
  <c r="F1403" i="17"/>
  <c r="E1403" i="17"/>
  <c r="D1403" i="17"/>
  <c r="C1403" i="17"/>
  <c r="B1403" i="17"/>
  <c r="A1403" i="17"/>
  <c r="I1402" i="17"/>
  <c r="H1402" i="17"/>
  <c r="G1402" i="17"/>
  <c r="F1402" i="17"/>
  <c r="E1402" i="17"/>
  <c r="D1402" i="17"/>
  <c r="C1402" i="17"/>
  <c r="B1402" i="17"/>
  <c r="A1402" i="17"/>
  <c r="N1402" i="17" s="1"/>
  <c r="I1401" i="17"/>
  <c r="H1401" i="17"/>
  <c r="G1401" i="17"/>
  <c r="F1401" i="17"/>
  <c r="E1401" i="17"/>
  <c r="D1401" i="17"/>
  <c r="C1401" i="17"/>
  <c r="B1401" i="17"/>
  <c r="A1401" i="17"/>
  <c r="AM1400" i="17"/>
  <c r="AK1400" i="17"/>
  <c r="AJ1400" i="17"/>
  <c r="AF1400" i="17"/>
  <c r="V1400" i="17"/>
  <c r="U1400" i="17"/>
  <c r="T1400" i="17"/>
  <c r="S1400" i="17"/>
  <c r="L1400" i="17"/>
  <c r="K1400" i="17"/>
  <c r="I1400" i="17"/>
  <c r="H1400" i="17"/>
  <c r="G1400" i="17"/>
  <c r="F1400" i="17"/>
  <c r="E1400" i="17"/>
  <c r="D1400" i="17"/>
  <c r="C1400" i="17"/>
  <c r="B1400" i="17"/>
  <c r="A1400" i="17"/>
  <c r="AE1400" i="17" s="1"/>
  <c r="I1399" i="17"/>
  <c r="H1399" i="17"/>
  <c r="G1399" i="17"/>
  <c r="F1399" i="17"/>
  <c r="E1399" i="17"/>
  <c r="D1399" i="17"/>
  <c r="C1399" i="17"/>
  <c r="B1399" i="17"/>
  <c r="A1399" i="17"/>
  <c r="AQ1398" i="17"/>
  <c r="I1398" i="17"/>
  <c r="H1398" i="17"/>
  <c r="G1398" i="17"/>
  <c r="F1398" i="17"/>
  <c r="E1398" i="17"/>
  <c r="D1398" i="17"/>
  <c r="C1398" i="17"/>
  <c r="B1398" i="17"/>
  <c r="A1398" i="17"/>
  <c r="AK1398" i="17" s="1"/>
  <c r="AB1397" i="17"/>
  <c r="Y1397" i="17"/>
  <c r="I1397" i="17"/>
  <c r="H1397" i="17"/>
  <c r="G1397" i="17"/>
  <c r="F1397" i="17"/>
  <c r="E1397" i="17"/>
  <c r="D1397" i="17"/>
  <c r="C1397" i="17"/>
  <c r="B1397" i="17"/>
  <c r="A1397" i="17"/>
  <c r="I1396" i="17"/>
  <c r="H1396" i="17"/>
  <c r="G1396" i="17"/>
  <c r="F1396" i="17"/>
  <c r="E1396" i="17"/>
  <c r="D1396" i="17"/>
  <c r="C1396" i="17"/>
  <c r="B1396" i="17"/>
  <c r="A1396" i="17"/>
  <c r="AP1395" i="17"/>
  <c r="AG1395" i="17"/>
  <c r="AA1395" i="17"/>
  <c r="X1395" i="17"/>
  <c r="T1395" i="17"/>
  <c r="R1395" i="17"/>
  <c r="I1395" i="17"/>
  <c r="H1395" i="17"/>
  <c r="G1395" i="17"/>
  <c r="F1395" i="17"/>
  <c r="E1395" i="17"/>
  <c r="D1395" i="17"/>
  <c r="C1395" i="17"/>
  <c r="B1395" i="17"/>
  <c r="A1395" i="17"/>
  <c r="AO1395" i="17" s="1"/>
  <c r="AR1394" i="17"/>
  <c r="AN1394" i="17"/>
  <c r="AC1394" i="17"/>
  <c r="X1394" i="17"/>
  <c r="W1394" i="17"/>
  <c r="T1394" i="17"/>
  <c r="I1394" i="17"/>
  <c r="H1394" i="17"/>
  <c r="G1394" i="17"/>
  <c r="F1394" i="17"/>
  <c r="E1394" i="17"/>
  <c r="D1394" i="17"/>
  <c r="C1394" i="17"/>
  <c r="B1394" i="17"/>
  <c r="A1394" i="17"/>
  <c r="O1394" i="17" s="1"/>
  <c r="X1393" i="17"/>
  <c r="I1393" i="17"/>
  <c r="H1393" i="17"/>
  <c r="G1393" i="17"/>
  <c r="F1393" i="17"/>
  <c r="E1393" i="17"/>
  <c r="D1393" i="17"/>
  <c r="C1393" i="17"/>
  <c r="B1393" i="17"/>
  <c r="A1393" i="17"/>
  <c r="I1392" i="17"/>
  <c r="H1392" i="17"/>
  <c r="G1392" i="17"/>
  <c r="F1392" i="17"/>
  <c r="E1392" i="17"/>
  <c r="D1392" i="17"/>
  <c r="C1392" i="17"/>
  <c r="B1392" i="17"/>
  <c r="A1392" i="17"/>
  <c r="L1392" i="17" s="1"/>
  <c r="I1391" i="17"/>
  <c r="H1391" i="17"/>
  <c r="G1391" i="17"/>
  <c r="F1391" i="17"/>
  <c r="E1391" i="17"/>
  <c r="D1391" i="17"/>
  <c r="C1391" i="17"/>
  <c r="B1391" i="17"/>
  <c r="A1391" i="17"/>
  <c r="AH1391" i="17" s="1"/>
  <c r="I1390" i="17"/>
  <c r="H1390" i="17"/>
  <c r="G1390" i="17"/>
  <c r="F1390" i="17"/>
  <c r="E1390" i="17"/>
  <c r="D1390" i="17"/>
  <c r="C1390" i="17"/>
  <c r="B1390" i="17"/>
  <c r="A1390" i="17"/>
  <c r="K1389" i="17"/>
  <c r="I1389" i="17"/>
  <c r="H1389" i="17"/>
  <c r="G1389" i="17"/>
  <c r="F1389" i="17"/>
  <c r="E1389" i="17"/>
  <c r="D1389" i="17"/>
  <c r="C1389" i="17"/>
  <c r="B1389" i="17"/>
  <c r="A1389" i="17"/>
  <c r="AK1388" i="17"/>
  <c r="AB1388" i="17"/>
  <c r="I1388" i="17"/>
  <c r="H1388" i="17"/>
  <c r="G1388" i="17"/>
  <c r="F1388" i="17"/>
  <c r="E1388" i="17"/>
  <c r="D1388" i="17"/>
  <c r="C1388" i="17"/>
  <c r="B1388" i="17"/>
  <c r="A1388" i="17"/>
  <c r="AF1388" i="17" s="1"/>
  <c r="I1387" i="17"/>
  <c r="H1387" i="17"/>
  <c r="G1387" i="17"/>
  <c r="F1387" i="17"/>
  <c r="E1387" i="17"/>
  <c r="D1387" i="17"/>
  <c r="C1387" i="17"/>
  <c r="B1387" i="17"/>
  <c r="A1387" i="17"/>
  <c r="I1386" i="17"/>
  <c r="H1386" i="17"/>
  <c r="G1386" i="17"/>
  <c r="F1386" i="17"/>
  <c r="E1386" i="17"/>
  <c r="D1386" i="17"/>
  <c r="C1386" i="17"/>
  <c r="B1386" i="17"/>
  <c r="A1386" i="17"/>
  <c r="I1385" i="17"/>
  <c r="H1385" i="17"/>
  <c r="G1385" i="17"/>
  <c r="F1385" i="17"/>
  <c r="E1385" i="17"/>
  <c r="D1385" i="17"/>
  <c r="C1385" i="17"/>
  <c r="B1385" i="17"/>
  <c r="A1385" i="17"/>
  <c r="AR1384" i="17"/>
  <c r="AK1384" i="17"/>
  <c r="AJ1384" i="17"/>
  <c r="AC1384" i="17"/>
  <c r="X1384" i="17"/>
  <c r="V1384" i="17"/>
  <c r="U1384" i="17"/>
  <c r="S1384" i="17"/>
  <c r="L1384" i="17"/>
  <c r="K1384" i="17"/>
  <c r="I1384" i="17"/>
  <c r="H1384" i="17"/>
  <c r="G1384" i="17"/>
  <c r="F1384" i="17"/>
  <c r="E1384" i="17"/>
  <c r="D1384" i="17"/>
  <c r="C1384" i="17"/>
  <c r="B1384" i="17"/>
  <c r="A1384" i="17"/>
  <c r="AP1383" i="17"/>
  <c r="I1383" i="17"/>
  <c r="H1383" i="17"/>
  <c r="G1383" i="17"/>
  <c r="F1383" i="17"/>
  <c r="E1383" i="17"/>
  <c r="D1383" i="17"/>
  <c r="C1383" i="17"/>
  <c r="B1383" i="17"/>
  <c r="A1383" i="17"/>
  <c r="I1382" i="17"/>
  <c r="H1382" i="17"/>
  <c r="G1382" i="17"/>
  <c r="F1382" i="17"/>
  <c r="E1382" i="17"/>
  <c r="D1382" i="17"/>
  <c r="C1382" i="17"/>
  <c r="B1382" i="17"/>
  <c r="A1382" i="17"/>
  <c r="L1381" i="17"/>
  <c r="I1381" i="17"/>
  <c r="H1381" i="17"/>
  <c r="G1381" i="17"/>
  <c r="F1381" i="17"/>
  <c r="E1381" i="17"/>
  <c r="D1381" i="17"/>
  <c r="C1381" i="17"/>
  <c r="B1381" i="17"/>
  <c r="A1381" i="17"/>
  <c r="I1380" i="17"/>
  <c r="H1380" i="17"/>
  <c r="G1380" i="17"/>
  <c r="F1380" i="17"/>
  <c r="E1380" i="17"/>
  <c r="D1380" i="17"/>
  <c r="C1380" i="17"/>
  <c r="B1380" i="17"/>
  <c r="A1380" i="17"/>
  <c r="AH1379" i="17"/>
  <c r="I1379" i="17"/>
  <c r="H1379" i="17"/>
  <c r="G1379" i="17"/>
  <c r="F1379" i="17"/>
  <c r="E1379" i="17"/>
  <c r="D1379" i="17"/>
  <c r="C1379" i="17"/>
  <c r="B1379" i="17"/>
  <c r="A1379" i="17"/>
  <c r="I1378" i="17"/>
  <c r="H1378" i="17"/>
  <c r="G1378" i="17"/>
  <c r="F1378" i="17"/>
  <c r="E1378" i="17"/>
  <c r="D1378" i="17"/>
  <c r="C1378" i="17"/>
  <c r="B1378" i="17"/>
  <c r="A1378" i="17"/>
  <c r="I1377" i="17"/>
  <c r="H1377" i="17"/>
  <c r="G1377" i="17"/>
  <c r="F1377" i="17"/>
  <c r="E1377" i="17"/>
  <c r="D1377" i="17"/>
  <c r="C1377" i="17"/>
  <c r="B1377" i="17"/>
  <c r="A1377" i="17"/>
  <c r="AQ1376" i="17"/>
  <c r="AM1376" i="17"/>
  <c r="AL1376" i="17"/>
  <c r="AK1376" i="17"/>
  <c r="X1376" i="17"/>
  <c r="W1376" i="17"/>
  <c r="V1376" i="17"/>
  <c r="P1376" i="17"/>
  <c r="M1376" i="17"/>
  <c r="I1376" i="17"/>
  <c r="H1376" i="17"/>
  <c r="G1376" i="17"/>
  <c r="F1376" i="17"/>
  <c r="E1376" i="17"/>
  <c r="D1376" i="17"/>
  <c r="C1376" i="17"/>
  <c r="B1376" i="17"/>
  <c r="A1376" i="17"/>
  <c r="I1375" i="17"/>
  <c r="H1375" i="17"/>
  <c r="G1375" i="17"/>
  <c r="F1375" i="17"/>
  <c r="E1375" i="17"/>
  <c r="D1375" i="17"/>
  <c r="C1375" i="17"/>
  <c r="B1375" i="17"/>
  <c r="A1375" i="17"/>
  <c r="X1375" i="17" s="1"/>
  <c r="I1374" i="17"/>
  <c r="H1374" i="17"/>
  <c r="G1374" i="17"/>
  <c r="F1374" i="17"/>
  <c r="E1374" i="17"/>
  <c r="D1374" i="17"/>
  <c r="C1374" i="17"/>
  <c r="B1374" i="17"/>
  <c r="A1374" i="17"/>
  <c r="T1373" i="17"/>
  <c r="I1373" i="17"/>
  <c r="H1373" i="17"/>
  <c r="G1373" i="17"/>
  <c r="F1373" i="17"/>
  <c r="E1373" i="17"/>
  <c r="D1373" i="17"/>
  <c r="C1373" i="17"/>
  <c r="B1373" i="17"/>
  <c r="A1373" i="17"/>
  <c r="Z1373" i="17" s="1"/>
  <c r="I1372" i="17"/>
  <c r="H1372" i="17"/>
  <c r="G1372" i="17"/>
  <c r="F1372" i="17"/>
  <c r="E1372" i="17"/>
  <c r="D1372" i="17"/>
  <c r="C1372" i="17"/>
  <c r="B1372" i="17"/>
  <c r="A1372" i="17"/>
  <c r="I1371" i="17"/>
  <c r="H1371" i="17"/>
  <c r="G1371" i="17"/>
  <c r="F1371" i="17"/>
  <c r="E1371" i="17"/>
  <c r="D1371" i="17"/>
  <c r="C1371" i="17"/>
  <c r="B1371" i="17"/>
  <c r="A1371" i="17"/>
  <c r="I1370" i="17"/>
  <c r="H1370" i="17"/>
  <c r="G1370" i="17"/>
  <c r="F1370" i="17"/>
  <c r="E1370" i="17"/>
  <c r="D1370" i="17"/>
  <c r="C1370" i="17"/>
  <c r="B1370" i="17"/>
  <c r="A1370" i="17"/>
  <c r="AR1369" i="17"/>
  <c r="AH1369" i="17"/>
  <c r="AA1369" i="17"/>
  <c r="I1369" i="17"/>
  <c r="H1369" i="17"/>
  <c r="G1369" i="17"/>
  <c r="F1369" i="17"/>
  <c r="E1369" i="17"/>
  <c r="D1369" i="17"/>
  <c r="C1369" i="17"/>
  <c r="B1369" i="17"/>
  <c r="A1369" i="17"/>
  <c r="I1368" i="17"/>
  <c r="H1368" i="17"/>
  <c r="G1368" i="17"/>
  <c r="F1368" i="17"/>
  <c r="E1368" i="17"/>
  <c r="D1368" i="17"/>
  <c r="C1368" i="17"/>
  <c r="B1368" i="17"/>
  <c r="A1368" i="17"/>
  <c r="P1368" i="17" s="1"/>
  <c r="I1367" i="17"/>
  <c r="H1367" i="17"/>
  <c r="G1367" i="17"/>
  <c r="F1367" i="17"/>
  <c r="E1367" i="17"/>
  <c r="D1367" i="17"/>
  <c r="C1367" i="17"/>
  <c r="B1367" i="17"/>
  <c r="A1367" i="17"/>
  <c r="I1366" i="17"/>
  <c r="H1366" i="17"/>
  <c r="G1366" i="17"/>
  <c r="F1366" i="17"/>
  <c r="E1366" i="17"/>
  <c r="D1366" i="17"/>
  <c r="C1366" i="17"/>
  <c r="B1366" i="17"/>
  <c r="A1366" i="17"/>
  <c r="T1366" i="17" s="1"/>
  <c r="I1365" i="17"/>
  <c r="H1365" i="17"/>
  <c r="G1365" i="17"/>
  <c r="F1365" i="17"/>
  <c r="E1365" i="17"/>
  <c r="D1365" i="17"/>
  <c r="C1365" i="17"/>
  <c r="B1365" i="17"/>
  <c r="A1365" i="17"/>
  <c r="X1364" i="17"/>
  <c r="W1364" i="17"/>
  <c r="V1364" i="17"/>
  <c r="O1364" i="17"/>
  <c r="L1364" i="17"/>
  <c r="I1364" i="17"/>
  <c r="H1364" i="17"/>
  <c r="G1364" i="17"/>
  <c r="F1364" i="17"/>
  <c r="E1364" i="17"/>
  <c r="D1364" i="17"/>
  <c r="C1364" i="17"/>
  <c r="B1364" i="17"/>
  <c r="A1364" i="17"/>
  <c r="I1363" i="17"/>
  <c r="H1363" i="17"/>
  <c r="G1363" i="17"/>
  <c r="F1363" i="17"/>
  <c r="E1363" i="17"/>
  <c r="D1363" i="17"/>
  <c r="C1363" i="17"/>
  <c r="B1363" i="17"/>
  <c r="A1363" i="17"/>
  <c r="AJ1362" i="17"/>
  <c r="AF1362" i="17"/>
  <c r="I1362" i="17"/>
  <c r="H1362" i="17"/>
  <c r="G1362" i="17"/>
  <c r="F1362" i="17"/>
  <c r="E1362" i="17"/>
  <c r="D1362" i="17"/>
  <c r="C1362" i="17"/>
  <c r="B1362" i="17"/>
  <c r="A1362" i="17"/>
  <c r="AK1362" i="17" s="1"/>
  <c r="AP1361" i="17"/>
  <c r="AA1361" i="17"/>
  <c r="I1361" i="17"/>
  <c r="H1361" i="17"/>
  <c r="G1361" i="17"/>
  <c r="F1361" i="17"/>
  <c r="E1361" i="17"/>
  <c r="D1361" i="17"/>
  <c r="C1361" i="17"/>
  <c r="B1361" i="17"/>
  <c r="A1361" i="17"/>
  <c r="I1360" i="17"/>
  <c r="H1360" i="17"/>
  <c r="G1360" i="17"/>
  <c r="F1360" i="17"/>
  <c r="E1360" i="17"/>
  <c r="D1360" i="17"/>
  <c r="C1360" i="17"/>
  <c r="B1360" i="17"/>
  <c r="A1360" i="17"/>
  <c r="X1359" i="17"/>
  <c r="I1359" i="17"/>
  <c r="H1359" i="17"/>
  <c r="G1359" i="17"/>
  <c r="F1359" i="17"/>
  <c r="E1359" i="17"/>
  <c r="D1359" i="17"/>
  <c r="C1359" i="17"/>
  <c r="B1359" i="17"/>
  <c r="A1359" i="17"/>
  <c r="I1358" i="17"/>
  <c r="H1358" i="17"/>
  <c r="G1358" i="17"/>
  <c r="F1358" i="17"/>
  <c r="E1358" i="17"/>
  <c r="D1358" i="17"/>
  <c r="C1358" i="17"/>
  <c r="B1358" i="17"/>
  <c r="A1358" i="17"/>
  <c r="I1357" i="17"/>
  <c r="H1357" i="17"/>
  <c r="G1357" i="17"/>
  <c r="F1357" i="17"/>
  <c r="E1357" i="17"/>
  <c r="D1357" i="17"/>
  <c r="C1357" i="17"/>
  <c r="B1357" i="17"/>
  <c r="A1357" i="17"/>
  <c r="AK1357" i="17" s="1"/>
  <c r="AL1356" i="17"/>
  <c r="AB1356" i="17"/>
  <c r="I1356" i="17"/>
  <c r="H1356" i="17"/>
  <c r="G1356" i="17"/>
  <c r="F1356" i="17"/>
  <c r="E1356" i="17"/>
  <c r="D1356" i="17"/>
  <c r="C1356" i="17"/>
  <c r="B1356" i="17"/>
  <c r="A1356" i="17"/>
  <c r="AR1356" i="17" s="1"/>
  <c r="I1355" i="17"/>
  <c r="H1355" i="17"/>
  <c r="G1355" i="17"/>
  <c r="F1355" i="17"/>
  <c r="E1355" i="17"/>
  <c r="D1355" i="17"/>
  <c r="C1355" i="17"/>
  <c r="B1355" i="17"/>
  <c r="A1355" i="17"/>
  <c r="I1354" i="17"/>
  <c r="H1354" i="17"/>
  <c r="G1354" i="17"/>
  <c r="F1354" i="17"/>
  <c r="E1354" i="17"/>
  <c r="D1354" i="17"/>
  <c r="C1354" i="17"/>
  <c r="B1354" i="17"/>
  <c r="A1354" i="17"/>
  <c r="I1353" i="17"/>
  <c r="H1353" i="17"/>
  <c r="G1353" i="17"/>
  <c r="F1353" i="17"/>
  <c r="E1353" i="17"/>
  <c r="D1353" i="17"/>
  <c r="C1353" i="17"/>
  <c r="B1353" i="17"/>
  <c r="A1353" i="17"/>
  <c r="W1353" i="17" s="1"/>
  <c r="AR1352" i="17"/>
  <c r="I1352" i="17"/>
  <c r="H1352" i="17"/>
  <c r="G1352" i="17"/>
  <c r="F1352" i="17"/>
  <c r="E1352" i="17"/>
  <c r="D1352" i="17"/>
  <c r="C1352" i="17"/>
  <c r="B1352" i="17"/>
  <c r="A1352" i="17"/>
  <c r="I1351" i="17"/>
  <c r="H1351" i="17"/>
  <c r="G1351" i="17"/>
  <c r="F1351" i="17"/>
  <c r="E1351" i="17"/>
  <c r="D1351" i="17"/>
  <c r="C1351" i="17"/>
  <c r="B1351" i="17"/>
  <c r="A1351" i="17"/>
  <c r="AQ1350" i="17"/>
  <c r="AJ1350" i="17"/>
  <c r="I1350" i="17"/>
  <c r="H1350" i="17"/>
  <c r="G1350" i="17"/>
  <c r="F1350" i="17"/>
  <c r="E1350" i="17"/>
  <c r="D1350" i="17"/>
  <c r="C1350" i="17"/>
  <c r="B1350" i="17"/>
  <c r="A1350" i="17"/>
  <c r="I1349" i="17"/>
  <c r="H1349" i="17"/>
  <c r="G1349" i="17"/>
  <c r="F1349" i="17"/>
  <c r="E1349" i="17"/>
  <c r="D1349" i="17"/>
  <c r="C1349" i="17"/>
  <c r="B1349" i="17"/>
  <c r="A1349" i="17"/>
  <c r="AP1349" i="17" s="1"/>
  <c r="I1348" i="17"/>
  <c r="H1348" i="17"/>
  <c r="G1348" i="17"/>
  <c r="F1348" i="17"/>
  <c r="E1348" i="17"/>
  <c r="D1348" i="17"/>
  <c r="C1348" i="17"/>
  <c r="B1348" i="17"/>
  <c r="A1348" i="17"/>
  <c r="AD1348" i="17" s="1"/>
  <c r="AP1347" i="17"/>
  <c r="AF1347" i="17"/>
  <c r="O1347" i="17"/>
  <c r="J1347" i="17"/>
  <c r="I1347" i="17"/>
  <c r="H1347" i="17"/>
  <c r="G1347" i="17"/>
  <c r="F1347" i="17"/>
  <c r="E1347" i="17"/>
  <c r="D1347" i="17"/>
  <c r="C1347" i="17"/>
  <c r="B1347" i="17"/>
  <c r="A1347" i="17"/>
  <c r="I1346" i="17"/>
  <c r="H1346" i="17"/>
  <c r="G1346" i="17"/>
  <c r="F1346" i="17"/>
  <c r="E1346" i="17"/>
  <c r="D1346" i="17"/>
  <c r="C1346" i="17"/>
  <c r="B1346" i="17"/>
  <c r="A1346" i="17"/>
  <c r="AP1345" i="17"/>
  <c r="AO1345" i="17"/>
  <c r="I1345" i="17"/>
  <c r="H1345" i="17"/>
  <c r="G1345" i="17"/>
  <c r="F1345" i="17"/>
  <c r="E1345" i="17"/>
  <c r="D1345" i="17"/>
  <c r="C1345" i="17"/>
  <c r="B1345" i="17"/>
  <c r="A1345" i="17"/>
  <c r="J1345" i="17" s="1"/>
  <c r="I1344" i="17"/>
  <c r="H1344" i="17"/>
  <c r="G1344" i="17"/>
  <c r="F1344" i="17"/>
  <c r="E1344" i="17"/>
  <c r="D1344" i="17"/>
  <c r="C1344" i="17"/>
  <c r="B1344" i="17"/>
  <c r="A1344" i="17"/>
  <c r="AK1344" i="17" s="1"/>
  <c r="I1343" i="17"/>
  <c r="H1343" i="17"/>
  <c r="G1343" i="17"/>
  <c r="F1343" i="17"/>
  <c r="E1343" i="17"/>
  <c r="D1343" i="17"/>
  <c r="C1343" i="17"/>
  <c r="B1343" i="17"/>
  <c r="A1343" i="17"/>
  <c r="I1342" i="17"/>
  <c r="H1342" i="17"/>
  <c r="G1342" i="17"/>
  <c r="F1342" i="17"/>
  <c r="E1342" i="17"/>
  <c r="D1342" i="17"/>
  <c r="C1342" i="17"/>
  <c r="B1342" i="17"/>
  <c r="A1342" i="17"/>
  <c r="I1341" i="17"/>
  <c r="H1341" i="17"/>
  <c r="G1341" i="17"/>
  <c r="F1341" i="17"/>
  <c r="E1341" i="17"/>
  <c r="D1341" i="17"/>
  <c r="C1341" i="17"/>
  <c r="B1341" i="17"/>
  <c r="A1341" i="17"/>
  <c r="X1341" i="17" s="1"/>
  <c r="I1340" i="17"/>
  <c r="H1340" i="17"/>
  <c r="G1340" i="17"/>
  <c r="F1340" i="17"/>
  <c r="E1340" i="17"/>
  <c r="D1340" i="17"/>
  <c r="C1340" i="17"/>
  <c r="B1340" i="17"/>
  <c r="A1340" i="17"/>
  <c r="I1339" i="17"/>
  <c r="H1339" i="17"/>
  <c r="G1339" i="17"/>
  <c r="F1339" i="17"/>
  <c r="E1339" i="17"/>
  <c r="D1339" i="17"/>
  <c r="C1339" i="17"/>
  <c r="B1339" i="17"/>
  <c r="A1339" i="17"/>
  <c r="AL1339" i="17" s="1"/>
  <c r="I1338" i="17"/>
  <c r="H1338" i="17"/>
  <c r="G1338" i="17"/>
  <c r="F1338" i="17"/>
  <c r="E1338" i="17"/>
  <c r="D1338" i="17"/>
  <c r="C1338" i="17"/>
  <c r="B1338" i="17"/>
  <c r="A1338" i="17"/>
  <c r="AM1337" i="17"/>
  <c r="AG1337" i="17"/>
  <c r="I1337" i="17"/>
  <c r="H1337" i="17"/>
  <c r="G1337" i="17"/>
  <c r="F1337" i="17"/>
  <c r="E1337" i="17"/>
  <c r="D1337" i="17"/>
  <c r="C1337" i="17"/>
  <c r="B1337" i="17"/>
  <c r="A1337" i="17"/>
  <c r="AK1336" i="17"/>
  <c r="AJ1336" i="17"/>
  <c r="AB1336" i="17"/>
  <c r="Z1336" i="17"/>
  <c r="Q1336" i="17"/>
  <c r="L1336" i="17"/>
  <c r="K1336" i="17"/>
  <c r="I1336" i="17"/>
  <c r="H1336" i="17"/>
  <c r="G1336" i="17"/>
  <c r="F1336" i="17"/>
  <c r="E1336" i="17"/>
  <c r="D1336" i="17"/>
  <c r="C1336" i="17"/>
  <c r="B1336" i="17"/>
  <c r="A1336" i="17"/>
  <c r="AQ1336" i="17" s="1"/>
  <c r="I1335" i="17"/>
  <c r="H1335" i="17"/>
  <c r="G1335" i="17"/>
  <c r="F1335" i="17"/>
  <c r="E1335" i="17"/>
  <c r="D1335" i="17"/>
  <c r="C1335" i="17"/>
  <c r="B1335" i="17"/>
  <c r="A1335" i="17"/>
  <c r="I1334" i="17"/>
  <c r="H1334" i="17"/>
  <c r="G1334" i="17"/>
  <c r="F1334" i="17"/>
  <c r="E1334" i="17"/>
  <c r="D1334" i="17"/>
  <c r="C1334" i="17"/>
  <c r="B1334" i="17"/>
  <c r="A1334" i="17"/>
  <c r="K1334" i="17" s="1"/>
  <c r="I1333" i="17"/>
  <c r="H1333" i="17"/>
  <c r="G1333" i="17"/>
  <c r="F1333" i="17"/>
  <c r="E1333" i="17"/>
  <c r="D1333" i="17"/>
  <c r="C1333" i="17"/>
  <c r="B1333" i="17"/>
  <c r="A1333" i="17"/>
  <c r="I1332" i="17"/>
  <c r="H1332" i="17"/>
  <c r="G1332" i="17"/>
  <c r="F1332" i="17"/>
  <c r="E1332" i="17"/>
  <c r="D1332" i="17"/>
  <c r="C1332" i="17"/>
  <c r="B1332" i="17"/>
  <c r="A1332" i="17"/>
  <c r="I1331" i="17"/>
  <c r="H1331" i="17"/>
  <c r="G1331" i="17"/>
  <c r="F1331" i="17"/>
  <c r="E1331" i="17"/>
  <c r="D1331" i="17"/>
  <c r="C1331" i="17"/>
  <c r="B1331" i="17"/>
  <c r="A1331" i="17"/>
  <c r="I1330" i="17"/>
  <c r="H1330" i="17"/>
  <c r="G1330" i="17"/>
  <c r="F1330" i="17"/>
  <c r="E1330" i="17"/>
  <c r="D1330" i="17"/>
  <c r="C1330" i="17"/>
  <c r="B1330" i="17"/>
  <c r="A1330" i="17"/>
  <c r="R1330" i="17" s="1"/>
  <c r="AP1329" i="17"/>
  <c r="I1329" i="17"/>
  <c r="H1329" i="17"/>
  <c r="G1329" i="17"/>
  <c r="F1329" i="17"/>
  <c r="E1329" i="17"/>
  <c r="D1329" i="17"/>
  <c r="C1329" i="17"/>
  <c r="B1329" i="17"/>
  <c r="A1329" i="17"/>
  <c r="X1329" i="17" s="1"/>
  <c r="AQ1328" i="17"/>
  <c r="AJ1328" i="17"/>
  <c r="AB1328" i="17"/>
  <c r="Y1328" i="17"/>
  <c r="V1328" i="17"/>
  <c r="J1328" i="17"/>
  <c r="I1328" i="17"/>
  <c r="H1328" i="17"/>
  <c r="G1328" i="17"/>
  <c r="F1328" i="17"/>
  <c r="E1328" i="17"/>
  <c r="D1328" i="17"/>
  <c r="C1328" i="17"/>
  <c r="B1328" i="17"/>
  <c r="A1328" i="17"/>
  <c r="AR1328" i="17" s="1"/>
  <c r="I1327" i="17"/>
  <c r="H1327" i="17"/>
  <c r="G1327" i="17"/>
  <c r="F1327" i="17"/>
  <c r="E1327" i="17"/>
  <c r="D1327" i="17"/>
  <c r="C1327" i="17"/>
  <c r="B1327" i="17"/>
  <c r="A1327" i="17"/>
  <c r="I1326" i="17"/>
  <c r="H1326" i="17"/>
  <c r="G1326" i="17"/>
  <c r="F1326" i="17"/>
  <c r="E1326" i="17"/>
  <c r="D1326" i="17"/>
  <c r="C1326" i="17"/>
  <c r="B1326" i="17"/>
  <c r="A1326" i="17"/>
  <c r="I1325" i="17"/>
  <c r="H1325" i="17"/>
  <c r="G1325" i="17"/>
  <c r="F1325" i="17"/>
  <c r="E1325" i="17"/>
  <c r="D1325" i="17"/>
  <c r="C1325" i="17"/>
  <c r="B1325" i="17"/>
  <c r="A1325" i="17"/>
  <c r="I1324" i="17"/>
  <c r="H1324" i="17"/>
  <c r="G1324" i="17"/>
  <c r="F1324" i="17"/>
  <c r="E1324" i="17"/>
  <c r="D1324" i="17"/>
  <c r="C1324" i="17"/>
  <c r="B1324" i="17"/>
  <c r="A1324" i="17"/>
  <c r="X1323" i="17"/>
  <c r="I1323" i="17"/>
  <c r="H1323" i="17"/>
  <c r="G1323" i="17"/>
  <c r="F1323" i="17"/>
  <c r="E1323" i="17"/>
  <c r="D1323" i="17"/>
  <c r="C1323" i="17"/>
  <c r="B1323" i="17"/>
  <c r="A1323" i="17"/>
  <c r="AO1322" i="17"/>
  <c r="AK1322" i="17"/>
  <c r="AC1322" i="17"/>
  <c r="N1322" i="17"/>
  <c r="I1322" i="17"/>
  <c r="H1322" i="17"/>
  <c r="G1322" i="17"/>
  <c r="F1322" i="17"/>
  <c r="E1322" i="17"/>
  <c r="D1322" i="17"/>
  <c r="C1322" i="17"/>
  <c r="B1322" i="17"/>
  <c r="A1322" i="17"/>
  <c r="I1321" i="17"/>
  <c r="H1321" i="17"/>
  <c r="G1321" i="17"/>
  <c r="F1321" i="17"/>
  <c r="E1321" i="17"/>
  <c r="D1321" i="17"/>
  <c r="C1321" i="17"/>
  <c r="B1321" i="17"/>
  <c r="A1321" i="17"/>
  <c r="V1321" i="17" s="1"/>
  <c r="I1320" i="17"/>
  <c r="H1320" i="17"/>
  <c r="G1320" i="17"/>
  <c r="F1320" i="17"/>
  <c r="E1320" i="17"/>
  <c r="D1320" i="17"/>
  <c r="C1320" i="17"/>
  <c r="B1320" i="17"/>
  <c r="A1320" i="17"/>
  <c r="I1319" i="17"/>
  <c r="H1319" i="17"/>
  <c r="G1319" i="17"/>
  <c r="F1319" i="17"/>
  <c r="E1319" i="17"/>
  <c r="D1319" i="17"/>
  <c r="C1319" i="17"/>
  <c r="B1319" i="17"/>
  <c r="A1319" i="17"/>
  <c r="I1318" i="17"/>
  <c r="H1318" i="17"/>
  <c r="G1318" i="17"/>
  <c r="F1318" i="17"/>
  <c r="E1318" i="17"/>
  <c r="D1318" i="17"/>
  <c r="C1318" i="17"/>
  <c r="B1318" i="17"/>
  <c r="A1318" i="17"/>
  <c r="Y1318" i="17" s="1"/>
  <c r="P1317" i="17"/>
  <c r="I1317" i="17"/>
  <c r="H1317" i="17"/>
  <c r="G1317" i="17"/>
  <c r="F1317" i="17"/>
  <c r="E1317" i="17"/>
  <c r="D1317" i="17"/>
  <c r="C1317" i="17"/>
  <c r="B1317" i="17"/>
  <c r="A1317" i="17"/>
  <c r="I1316" i="17"/>
  <c r="H1316" i="17"/>
  <c r="G1316" i="17"/>
  <c r="F1316" i="17"/>
  <c r="E1316" i="17"/>
  <c r="D1316" i="17"/>
  <c r="C1316" i="17"/>
  <c r="B1316" i="17"/>
  <c r="A1316" i="17"/>
  <c r="I1315" i="17"/>
  <c r="H1315" i="17"/>
  <c r="G1315" i="17"/>
  <c r="F1315" i="17"/>
  <c r="E1315" i="17"/>
  <c r="D1315" i="17"/>
  <c r="C1315" i="17"/>
  <c r="B1315" i="17"/>
  <c r="A1315" i="17"/>
  <c r="I1314" i="17"/>
  <c r="H1314" i="17"/>
  <c r="G1314" i="17"/>
  <c r="F1314" i="17"/>
  <c r="E1314" i="17"/>
  <c r="D1314" i="17"/>
  <c r="C1314" i="17"/>
  <c r="B1314" i="17"/>
  <c r="A1314" i="17"/>
  <c r="AF1313" i="17"/>
  <c r="W1313" i="17"/>
  <c r="I1313" i="17"/>
  <c r="H1313" i="17"/>
  <c r="G1313" i="17"/>
  <c r="F1313" i="17"/>
  <c r="E1313" i="17"/>
  <c r="D1313" i="17"/>
  <c r="C1313" i="17"/>
  <c r="B1313" i="17"/>
  <c r="A1313" i="17"/>
  <c r="I1312" i="17"/>
  <c r="H1312" i="17"/>
  <c r="G1312" i="17"/>
  <c r="F1312" i="17"/>
  <c r="E1312" i="17"/>
  <c r="D1312" i="17"/>
  <c r="C1312" i="17"/>
  <c r="B1312" i="17"/>
  <c r="A1312" i="17"/>
  <c r="AI1312" i="17" s="1"/>
  <c r="AO1311" i="17"/>
  <c r="AN1311" i="17"/>
  <c r="AL1311" i="17"/>
  <c r="AF1311" i="17"/>
  <c r="U1311" i="17"/>
  <c r="I1311" i="17"/>
  <c r="H1311" i="17"/>
  <c r="G1311" i="17"/>
  <c r="F1311" i="17"/>
  <c r="E1311" i="17"/>
  <c r="D1311" i="17"/>
  <c r="C1311" i="17"/>
  <c r="B1311" i="17"/>
  <c r="A1311" i="17"/>
  <c r="O1311" i="17" s="1"/>
  <c r="I1310" i="17"/>
  <c r="H1310" i="17"/>
  <c r="G1310" i="17"/>
  <c r="F1310" i="17"/>
  <c r="E1310" i="17"/>
  <c r="D1310" i="17"/>
  <c r="C1310" i="17"/>
  <c r="B1310" i="17"/>
  <c r="A1310" i="17"/>
  <c r="V1309" i="17"/>
  <c r="I1309" i="17"/>
  <c r="H1309" i="17"/>
  <c r="G1309" i="17"/>
  <c r="F1309" i="17"/>
  <c r="E1309" i="17"/>
  <c r="D1309" i="17"/>
  <c r="C1309" i="17"/>
  <c r="B1309" i="17"/>
  <c r="A1309" i="17"/>
  <c r="I1308" i="17"/>
  <c r="H1308" i="17"/>
  <c r="G1308" i="17"/>
  <c r="F1308" i="17"/>
  <c r="E1308" i="17"/>
  <c r="D1308" i="17"/>
  <c r="C1308" i="17"/>
  <c r="B1308" i="17"/>
  <c r="A1308" i="17"/>
  <c r="Q1308" i="17" s="1"/>
  <c r="AH1307" i="17"/>
  <c r="I1307" i="17"/>
  <c r="H1307" i="17"/>
  <c r="G1307" i="17"/>
  <c r="F1307" i="17"/>
  <c r="E1307" i="17"/>
  <c r="D1307" i="17"/>
  <c r="C1307" i="17"/>
  <c r="B1307" i="17"/>
  <c r="A1307" i="17"/>
  <c r="AG1307" i="17" s="1"/>
  <c r="AA1306" i="17"/>
  <c r="R1306" i="17"/>
  <c r="N1306" i="17"/>
  <c r="I1306" i="17"/>
  <c r="H1306" i="17"/>
  <c r="G1306" i="17"/>
  <c r="F1306" i="17"/>
  <c r="E1306" i="17"/>
  <c r="D1306" i="17"/>
  <c r="C1306" i="17"/>
  <c r="B1306" i="17"/>
  <c r="A1306" i="17"/>
  <c r="I1305" i="17"/>
  <c r="H1305" i="17"/>
  <c r="G1305" i="17"/>
  <c r="F1305" i="17"/>
  <c r="E1305" i="17"/>
  <c r="D1305" i="17"/>
  <c r="C1305" i="17"/>
  <c r="B1305" i="17"/>
  <c r="A1305" i="17"/>
  <c r="I1304" i="17"/>
  <c r="H1304" i="17"/>
  <c r="G1304" i="17"/>
  <c r="F1304" i="17"/>
  <c r="E1304" i="17"/>
  <c r="D1304" i="17"/>
  <c r="C1304" i="17"/>
  <c r="B1304" i="17"/>
  <c r="A1304" i="17"/>
  <c r="I1303" i="17"/>
  <c r="H1303" i="17"/>
  <c r="G1303" i="17"/>
  <c r="F1303" i="17"/>
  <c r="E1303" i="17"/>
  <c r="D1303" i="17"/>
  <c r="C1303" i="17"/>
  <c r="B1303" i="17"/>
  <c r="A1303" i="17"/>
  <c r="AP1302" i="17"/>
  <c r="AI1302" i="17"/>
  <c r="M1302" i="17"/>
  <c r="I1302" i="17"/>
  <c r="H1302" i="17"/>
  <c r="G1302" i="17"/>
  <c r="F1302" i="17"/>
  <c r="E1302" i="17"/>
  <c r="D1302" i="17"/>
  <c r="C1302" i="17"/>
  <c r="B1302" i="17"/>
  <c r="A1302" i="17"/>
  <c r="AD1301" i="17"/>
  <c r="I1301" i="17"/>
  <c r="H1301" i="17"/>
  <c r="G1301" i="17"/>
  <c r="F1301" i="17"/>
  <c r="E1301" i="17"/>
  <c r="D1301" i="17"/>
  <c r="C1301" i="17"/>
  <c r="B1301" i="17"/>
  <c r="A1301" i="17"/>
  <c r="AR1300" i="17"/>
  <c r="T1300" i="17"/>
  <c r="S1300" i="17"/>
  <c r="R1300" i="17"/>
  <c r="Q1300" i="17"/>
  <c r="I1300" i="17"/>
  <c r="H1300" i="17"/>
  <c r="G1300" i="17"/>
  <c r="F1300" i="17"/>
  <c r="E1300" i="17"/>
  <c r="D1300" i="17"/>
  <c r="C1300" i="17"/>
  <c r="B1300" i="17"/>
  <c r="A1300" i="17"/>
  <c r="I1299" i="17"/>
  <c r="H1299" i="17"/>
  <c r="G1299" i="17"/>
  <c r="F1299" i="17"/>
  <c r="E1299" i="17"/>
  <c r="D1299" i="17"/>
  <c r="C1299" i="17"/>
  <c r="B1299" i="17"/>
  <c r="A1299" i="17"/>
  <c r="I1298" i="17"/>
  <c r="H1298" i="17"/>
  <c r="G1298" i="17"/>
  <c r="F1298" i="17"/>
  <c r="E1298" i="17"/>
  <c r="D1298" i="17"/>
  <c r="C1298" i="17"/>
  <c r="B1298" i="17"/>
  <c r="A1298" i="17"/>
  <c r="I1297" i="17"/>
  <c r="H1297" i="17"/>
  <c r="G1297" i="17"/>
  <c r="F1297" i="17"/>
  <c r="E1297" i="17"/>
  <c r="D1297" i="17"/>
  <c r="C1297" i="17"/>
  <c r="B1297" i="17"/>
  <c r="A1297" i="17"/>
  <c r="AP1296" i="17"/>
  <c r="AJ1296" i="17"/>
  <c r="AI1296" i="17"/>
  <c r="AB1296" i="17"/>
  <c r="U1296" i="17"/>
  <c r="R1296" i="17"/>
  <c r="Q1296" i="17"/>
  <c r="N1296" i="17"/>
  <c r="L1296" i="17"/>
  <c r="I1296" i="17"/>
  <c r="H1296" i="17"/>
  <c r="G1296" i="17"/>
  <c r="F1296" i="17"/>
  <c r="E1296" i="17"/>
  <c r="D1296" i="17"/>
  <c r="C1296" i="17"/>
  <c r="B1296" i="17"/>
  <c r="A1296" i="17"/>
  <c r="AR1296" i="17" s="1"/>
  <c r="I1295" i="17"/>
  <c r="H1295" i="17"/>
  <c r="G1295" i="17"/>
  <c r="F1295" i="17"/>
  <c r="E1295" i="17"/>
  <c r="D1295" i="17"/>
  <c r="C1295" i="17"/>
  <c r="B1295" i="17"/>
  <c r="A1295" i="17"/>
  <c r="R1295" i="17" s="1"/>
  <c r="I1294" i="17"/>
  <c r="H1294" i="17"/>
  <c r="G1294" i="17"/>
  <c r="F1294" i="17"/>
  <c r="E1294" i="17"/>
  <c r="D1294" i="17"/>
  <c r="C1294" i="17"/>
  <c r="B1294" i="17"/>
  <c r="A1294" i="17"/>
  <c r="AN1293" i="17"/>
  <c r="AG1293" i="17"/>
  <c r="Q1293" i="17"/>
  <c r="P1293" i="17"/>
  <c r="O1293" i="17"/>
  <c r="N1293" i="17"/>
  <c r="I1293" i="17"/>
  <c r="H1293" i="17"/>
  <c r="G1293" i="17"/>
  <c r="F1293" i="17"/>
  <c r="E1293" i="17"/>
  <c r="D1293" i="17"/>
  <c r="C1293" i="17"/>
  <c r="B1293" i="17"/>
  <c r="A1293" i="17"/>
  <c r="AP1293" i="17" s="1"/>
  <c r="I1292" i="17"/>
  <c r="H1292" i="17"/>
  <c r="G1292" i="17"/>
  <c r="F1292" i="17"/>
  <c r="E1292" i="17"/>
  <c r="D1292" i="17"/>
  <c r="C1292" i="17"/>
  <c r="B1292" i="17"/>
  <c r="A1292" i="17"/>
  <c r="I1291" i="17"/>
  <c r="H1291" i="17"/>
  <c r="G1291" i="17"/>
  <c r="F1291" i="17"/>
  <c r="E1291" i="17"/>
  <c r="D1291" i="17"/>
  <c r="C1291" i="17"/>
  <c r="B1291" i="17"/>
  <c r="A1291" i="17"/>
  <c r="J1291" i="17" s="1"/>
  <c r="I1290" i="17"/>
  <c r="H1290" i="17"/>
  <c r="G1290" i="17"/>
  <c r="F1290" i="17"/>
  <c r="E1290" i="17"/>
  <c r="D1290" i="17"/>
  <c r="C1290" i="17"/>
  <c r="B1290" i="17"/>
  <c r="A1290" i="17"/>
  <c r="I1289" i="17"/>
  <c r="H1289" i="17"/>
  <c r="G1289" i="17"/>
  <c r="F1289" i="17"/>
  <c r="E1289" i="17"/>
  <c r="D1289" i="17"/>
  <c r="C1289" i="17"/>
  <c r="B1289" i="17"/>
  <c r="A1289" i="17"/>
  <c r="AM1289" i="17" s="1"/>
  <c r="AR1288" i="17"/>
  <c r="AQ1288" i="17"/>
  <c r="AG1288" i="17"/>
  <c r="J1288" i="17"/>
  <c r="I1288" i="17"/>
  <c r="H1288" i="17"/>
  <c r="G1288" i="17"/>
  <c r="F1288" i="17"/>
  <c r="E1288" i="17"/>
  <c r="D1288" i="17"/>
  <c r="C1288" i="17"/>
  <c r="B1288" i="17"/>
  <c r="A1288" i="17"/>
  <c r="AD1287" i="17"/>
  <c r="AC1287" i="17"/>
  <c r="Q1287" i="17"/>
  <c r="I1287" i="17"/>
  <c r="H1287" i="17"/>
  <c r="G1287" i="17"/>
  <c r="F1287" i="17"/>
  <c r="E1287" i="17"/>
  <c r="D1287" i="17"/>
  <c r="C1287" i="17"/>
  <c r="B1287" i="17"/>
  <c r="A1287" i="17"/>
  <c r="I1286" i="17"/>
  <c r="H1286" i="17"/>
  <c r="G1286" i="17"/>
  <c r="F1286" i="17"/>
  <c r="E1286" i="17"/>
  <c r="D1286" i="17"/>
  <c r="C1286" i="17"/>
  <c r="B1286" i="17"/>
  <c r="A1286" i="17"/>
  <c r="M1286" i="17" s="1"/>
  <c r="AM1285" i="17"/>
  <c r="AL1285" i="17"/>
  <c r="I1285" i="17"/>
  <c r="H1285" i="17"/>
  <c r="G1285" i="17"/>
  <c r="F1285" i="17"/>
  <c r="E1285" i="17"/>
  <c r="D1285" i="17"/>
  <c r="C1285" i="17"/>
  <c r="B1285" i="17"/>
  <c r="A1285" i="17"/>
  <c r="I1284" i="17"/>
  <c r="H1284" i="17"/>
  <c r="G1284" i="17"/>
  <c r="F1284" i="17"/>
  <c r="E1284" i="17"/>
  <c r="D1284" i="17"/>
  <c r="C1284" i="17"/>
  <c r="B1284" i="17"/>
  <c r="A1284" i="17"/>
  <c r="I1283" i="17"/>
  <c r="H1283" i="17"/>
  <c r="G1283" i="17"/>
  <c r="F1283" i="17"/>
  <c r="E1283" i="17"/>
  <c r="D1283" i="17"/>
  <c r="C1283" i="17"/>
  <c r="B1283" i="17"/>
  <c r="A1283" i="17"/>
  <c r="X1283" i="17" s="1"/>
  <c r="I1282" i="17"/>
  <c r="H1282" i="17"/>
  <c r="G1282" i="17"/>
  <c r="F1282" i="17"/>
  <c r="E1282" i="17"/>
  <c r="D1282" i="17"/>
  <c r="C1282" i="17"/>
  <c r="B1282" i="17"/>
  <c r="A1282" i="17"/>
  <c r="X1281" i="17"/>
  <c r="W1281" i="17"/>
  <c r="R1281" i="17"/>
  <c r="M1281" i="17"/>
  <c r="I1281" i="17"/>
  <c r="H1281" i="17"/>
  <c r="G1281" i="17"/>
  <c r="F1281" i="17"/>
  <c r="E1281" i="17"/>
  <c r="D1281" i="17"/>
  <c r="C1281" i="17"/>
  <c r="B1281" i="17"/>
  <c r="A1281" i="17"/>
  <c r="AR1280" i="17"/>
  <c r="I1280" i="17"/>
  <c r="H1280" i="17"/>
  <c r="G1280" i="17"/>
  <c r="F1280" i="17"/>
  <c r="E1280" i="17"/>
  <c r="D1280" i="17"/>
  <c r="C1280" i="17"/>
  <c r="B1280" i="17"/>
  <c r="A1280" i="17"/>
  <c r="AQ1280" i="17" s="1"/>
  <c r="I1279" i="17"/>
  <c r="H1279" i="17"/>
  <c r="G1279" i="17"/>
  <c r="F1279" i="17"/>
  <c r="E1279" i="17"/>
  <c r="D1279" i="17"/>
  <c r="C1279" i="17"/>
  <c r="B1279" i="17"/>
  <c r="A1279" i="17"/>
  <c r="Z1279" i="17" s="1"/>
  <c r="AR1278" i="17"/>
  <c r="AC1278" i="17"/>
  <c r="Z1278" i="17"/>
  <c r="T1278" i="17"/>
  <c r="I1278" i="17"/>
  <c r="H1278" i="17"/>
  <c r="G1278" i="17"/>
  <c r="F1278" i="17"/>
  <c r="E1278" i="17"/>
  <c r="D1278" i="17"/>
  <c r="C1278" i="17"/>
  <c r="B1278" i="17"/>
  <c r="A1278" i="17"/>
  <c r="I1277" i="17"/>
  <c r="H1277" i="17"/>
  <c r="G1277" i="17"/>
  <c r="F1277" i="17"/>
  <c r="E1277" i="17"/>
  <c r="D1277" i="17"/>
  <c r="C1277" i="17"/>
  <c r="B1277" i="17"/>
  <c r="A1277" i="17"/>
  <c r="I1276" i="17"/>
  <c r="H1276" i="17"/>
  <c r="G1276" i="17"/>
  <c r="F1276" i="17"/>
  <c r="E1276" i="17"/>
  <c r="D1276" i="17"/>
  <c r="C1276" i="17"/>
  <c r="B1276" i="17"/>
  <c r="A1276" i="17"/>
  <c r="I1275" i="17"/>
  <c r="H1275" i="17"/>
  <c r="G1275" i="17"/>
  <c r="F1275" i="17"/>
  <c r="E1275" i="17"/>
  <c r="D1275" i="17"/>
  <c r="C1275" i="17"/>
  <c r="B1275" i="17"/>
  <c r="A1275" i="17"/>
  <c r="V1275" i="17" s="1"/>
  <c r="I1274" i="17"/>
  <c r="H1274" i="17"/>
  <c r="G1274" i="17"/>
  <c r="F1274" i="17"/>
  <c r="E1274" i="17"/>
  <c r="D1274" i="17"/>
  <c r="C1274" i="17"/>
  <c r="B1274" i="17"/>
  <c r="A1274" i="17"/>
  <c r="Y1274" i="17" s="1"/>
  <c r="W1273" i="17"/>
  <c r="U1273" i="17"/>
  <c r="R1273" i="17"/>
  <c r="I1273" i="17"/>
  <c r="H1273" i="17"/>
  <c r="G1273" i="17"/>
  <c r="F1273" i="17"/>
  <c r="E1273" i="17"/>
  <c r="D1273" i="17"/>
  <c r="C1273" i="17"/>
  <c r="B1273" i="17"/>
  <c r="A1273" i="17"/>
  <c r="I1272" i="17"/>
  <c r="H1272" i="17"/>
  <c r="G1272" i="17"/>
  <c r="F1272" i="17"/>
  <c r="E1272" i="17"/>
  <c r="D1272" i="17"/>
  <c r="C1272" i="17"/>
  <c r="B1272" i="17"/>
  <c r="A1272" i="17"/>
  <c r="AP1271" i="17"/>
  <c r="AO1271" i="17"/>
  <c r="AC1271" i="17"/>
  <c r="Z1271" i="17"/>
  <c r="U1271" i="17"/>
  <c r="O1271" i="17"/>
  <c r="I1271" i="17"/>
  <c r="H1271" i="17"/>
  <c r="G1271" i="17"/>
  <c r="F1271" i="17"/>
  <c r="E1271" i="17"/>
  <c r="D1271" i="17"/>
  <c r="C1271" i="17"/>
  <c r="B1271" i="17"/>
  <c r="A1271" i="17"/>
  <c r="I1270" i="17"/>
  <c r="H1270" i="17"/>
  <c r="G1270" i="17"/>
  <c r="F1270" i="17"/>
  <c r="E1270" i="17"/>
  <c r="D1270" i="17"/>
  <c r="C1270" i="17"/>
  <c r="B1270" i="17"/>
  <c r="A1270" i="17"/>
  <c r="I1269" i="17"/>
  <c r="H1269" i="17"/>
  <c r="G1269" i="17"/>
  <c r="F1269" i="17"/>
  <c r="E1269" i="17"/>
  <c r="D1269" i="17"/>
  <c r="C1269" i="17"/>
  <c r="B1269" i="17"/>
  <c r="A1269" i="17"/>
  <c r="J1269" i="17" s="1"/>
  <c r="AQ1268" i="17"/>
  <c r="AL1268" i="17"/>
  <c r="I1268" i="17"/>
  <c r="H1268" i="17"/>
  <c r="G1268" i="17"/>
  <c r="F1268" i="17"/>
  <c r="E1268" i="17"/>
  <c r="D1268" i="17"/>
  <c r="C1268" i="17"/>
  <c r="B1268" i="17"/>
  <c r="A1268" i="17"/>
  <c r="I1267" i="17"/>
  <c r="H1267" i="17"/>
  <c r="G1267" i="17"/>
  <c r="F1267" i="17"/>
  <c r="E1267" i="17"/>
  <c r="D1267" i="17"/>
  <c r="C1267" i="17"/>
  <c r="B1267" i="17"/>
  <c r="A1267" i="17"/>
  <c r="AO1267" i="17" s="1"/>
  <c r="I1266" i="17"/>
  <c r="H1266" i="17"/>
  <c r="G1266" i="17"/>
  <c r="F1266" i="17"/>
  <c r="E1266" i="17"/>
  <c r="D1266" i="17"/>
  <c r="C1266" i="17"/>
  <c r="B1266" i="17"/>
  <c r="A1266" i="17"/>
  <c r="I1265" i="17"/>
  <c r="H1265" i="17"/>
  <c r="G1265" i="17"/>
  <c r="F1265" i="17"/>
  <c r="E1265" i="17"/>
  <c r="D1265" i="17"/>
  <c r="C1265" i="17"/>
  <c r="B1265" i="17"/>
  <c r="A1265" i="17"/>
  <c r="I1264" i="17"/>
  <c r="H1264" i="17"/>
  <c r="G1264" i="17"/>
  <c r="F1264" i="17"/>
  <c r="E1264" i="17"/>
  <c r="D1264" i="17"/>
  <c r="C1264" i="17"/>
  <c r="B1264" i="17"/>
  <c r="A1264" i="17"/>
  <c r="I1263" i="17"/>
  <c r="H1263" i="17"/>
  <c r="G1263" i="17"/>
  <c r="F1263" i="17"/>
  <c r="E1263" i="17"/>
  <c r="D1263" i="17"/>
  <c r="C1263" i="17"/>
  <c r="B1263" i="17"/>
  <c r="A1263" i="17"/>
  <c r="Y1263" i="17" s="1"/>
  <c r="I1262" i="17"/>
  <c r="H1262" i="17"/>
  <c r="G1262" i="17"/>
  <c r="F1262" i="17"/>
  <c r="E1262" i="17"/>
  <c r="D1262" i="17"/>
  <c r="C1262" i="17"/>
  <c r="B1262" i="17"/>
  <c r="A1262" i="17"/>
  <c r="I1261" i="17"/>
  <c r="H1261" i="17"/>
  <c r="G1261" i="17"/>
  <c r="F1261" i="17"/>
  <c r="E1261" i="17"/>
  <c r="D1261" i="17"/>
  <c r="C1261" i="17"/>
  <c r="B1261" i="17"/>
  <c r="A1261" i="17"/>
  <c r="AH1261" i="17" s="1"/>
  <c r="AP1260" i="17"/>
  <c r="I1260" i="17"/>
  <c r="H1260" i="17"/>
  <c r="G1260" i="17"/>
  <c r="F1260" i="17"/>
  <c r="E1260" i="17"/>
  <c r="D1260" i="17"/>
  <c r="C1260" i="17"/>
  <c r="B1260" i="17"/>
  <c r="A1260" i="17"/>
  <c r="I1259" i="17"/>
  <c r="H1259" i="17"/>
  <c r="G1259" i="17"/>
  <c r="F1259" i="17"/>
  <c r="E1259" i="17"/>
  <c r="D1259" i="17"/>
  <c r="C1259" i="17"/>
  <c r="B1259" i="17"/>
  <c r="A1259" i="17"/>
  <c r="I1258" i="17"/>
  <c r="H1258" i="17"/>
  <c r="G1258" i="17"/>
  <c r="F1258" i="17"/>
  <c r="E1258" i="17"/>
  <c r="D1258" i="17"/>
  <c r="C1258" i="17"/>
  <c r="B1258" i="17"/>
  <c r="A1258" i="17"/>
  <c r="I1257" i="17"/>
  <c r="H1257" i="17"/>
  <c r="G1257" i="17"/>
  <c r="F1257" i="17"/>
  <c r="E1257" i="17"/>
  <c r="D1257" i="17"/>
  <c r="C1257" i="17"/>
  <c r="B1257" i="17"/>
  <c r="A1257" i="17"/>
  <c r="AH1257" i="17" s="1"/>
  <c r="AD1256" i="17"/>
  <c r="AB1256" i="17"/>
  <c r="U1256" i="17"/>
  <c r="T1256" i="17"/>
  <c r="R1256" i="17"/>
  <c r="K1256" i="17"/>
  <c r="I1256" i="17"/>
  <c r="H1256" i="17"/>
  <c r="G1256" i="17"/>
  <c r="F1256" i="17"/>
  <c r="E1256" i="17"/>
  <c r="D1256" i="17"/>
  <c r="C1256" i="17"/>
  <c r="B1256" i="17"/>
  <c r="A1256" i="17"/>
  <c r="AR1256" i="17" s="1"/>
  <c r="AD1255" i="17"/>
  <c r="I1255" i="17"/>
  <c r="H1255" i="17"/>
  <c r="G1255" i="17"/>
  <c r="F1255" i="17"/>
  <c r="E1255" i="17"/>
  <c r="D1255" i="17"/>
  <c r="C1255" i="17"/>
  <c r="B1255" i="17"/>
  <c r="A1255" i="17"/>
  <c r="I1254" i="17"/>
  <c r="H1254" i="17"/>
  <c r="G1254" i="17"/>
  <c r="F1254" i="17"/>
  <c r="E1254" i="17"/>
  <c r="D1254" i="17"/>
  <c r="C1254" i="17"/>
  <c r="B1254" i="17"/>
  <c r="A1254" i="17"/>
  <c r="AP1253" i="17"/>
  <c r="Z1253" i="17"/>
  <c r="Y1253" i="17"/>
  <c r="W1253" i="17"/>
  <c r="P1253" i="17"/>
  <c r="O1253" i="17"/>
  <c r="N1253" i="17"/>
  <c r="I1253" i="17"/>
  <c r="H1253" i="17"/>
  <c r="G1253" i="17"/>
  <c r="F1253" i="17"/>
  <c r="E1253" i="17"/>
  <c r="D1253" i="17"/>
  <c r="C1253" i="17"/>
  <c r="B1253" i="17"/>
  <c r="A1253" i="17"/>
  <c r="AM1253" i="17" s="1"/>
  <c r="I1252" i="17"/>
  <c r="H1252" i="17"/>
  <c r="G1252" i="17"/>
  <c r="F1252" i="17"/>
  <c r="E1252" i="17"/>
  <c r="D1252" i="17"/>
  <c r="C1252" i="17"/>
  <c r="B1252" i="17"/>
  <c r="A1252" i="17"/>
  <c r="I1251" i="17"/>
  <c r="H1251" i="17"/>
  <c r="G1251" i="17"/>
  <c r="F1251" i="17"/>
  <c r="E1251" i="17"/>
  <c r="D1251" i="17"/>
  <c r="C1251" i="17"/>
  <c r="B1251" i="17"/>
  <c r="A1251" i="17"/>
  <c r="AF1251" i="17" s="1"/>
  <c r="I1250" i="17"/>
  <c r="H1250" i="17"/>
  <c r="G1250" i="17"/>
  <c r="F1250" i="17"/>
  <c r="E1250" i="17"/>
  <c r="D1250" i="17"/>
  <c r="C1250" i="17"/>
  <c r="B1250" i="17"/>
  <c r="A1250" i="17"/>
  <c r="AP1249" i="17"/>
  <c r="AE1249" i="17"/>
  <c r="AD1249" i="17"/>
  <c r="X1249" i="17"/>
  <c r="W1249" i="17"/>
  <c r="I1249" i="17"/>
  <c r="H1249" i="17"/>
  <c r="G1249" i="17"/>
  <c r="F1249" i="17"/>
  <c r="E1249" i="17"/>
  <c r="D1249" i="17"/>
  <c r="C1249" i="17"/>
  <c r="B1249" i="17"/>
  <c r="A1249" i="17"/>
  <c r="AR1248" i="17"/>
  <c r="AQ1248" i="17"/>
  <c r="AB1248" i="17"/>
  <c r="I1248" i="17"/>
  <c r="H1248" i="17"/>
  <c r="G1248" i="17"/>
  <c r="F1248" i="17"/>
  <c r="E1248" i="17"/>
  <c r="D1248" i="17"/>
  <c r="C1248" i="17"/>
  <c r="B1248" i="17"/>
  <c r="A1248" i="17"/>
  <c r="AA1248" i="17" s="1"/>
  <c r="I1247" i="17"/>
  <c r="H1247" i="17"/>
  <c r="G1247" i="17"/>
  <c r="F1247" i="17"/>
  <c r="E1247" i="17"/>
  <c r="D1247" i="17"/>
  <c r="C1247" i="17"/>
  <c r="B1247" i="17"/>
  <c r="A1247" i="17"/>
  <c r="I1246" i="17"/>
  <c r="H1246" i="17"/>
  <c r="G1246" i="17"/>
  <c r="F1246" i="17"/>
  <c r="E1246" i="17"/>
  <c r="D1246" i="17"/>
  <c r="C1246" i="17"/>
  <c r="B1246" i="17"/>
  <c r="A1246" i="17"/>
  <c r="O1245" i="17"/>
  <c r="I1245" i="17"/>
  <c r="H1245" i="17"/>
  <c r="G1245" i="17"/>
  <c r="F1245" i="17"/>
  <c r="E1245" i="17"/>
  <c r="D1245" i="17"/>
  <c r="C1245" i="17"/>
  <c r="B1245" i="17"/>
  <c r="A1245" i="17"/>
  <c r="I1244" i="17"/>
  <c r="H1244" i="17"/>
  <c r="G1244" i="17"/>
  <c r="F1244" i="17"/>
  <c r="E1244" i="17"/>
  <c r="D1244" i="17"/>
  <c r="C1244" i="17"/>
  <c r="B1244" i="17"/>
  <c r="A1244" i="17"/>
  <c r="AH1243" i="17"/>
  <c r="I1243" i="17"/>
  <c r="H1243" i="17"/>
  <c r="G1243" i="17"/>
  <c r="F1243" i="17"/>
  <c r="E1243" i="17"/>
  <c r="D1243" i="17"/>
  <c r="C1243" i="17"/>
  <c r="B1243" i="17"/>
  <c r="A1243" i="17"/>
  <c r="I1242" i="17"/>
  <c r="H1242" i="17"/>
  <c r="G1242" i="17"/>
  <c r="F1242" i="17"/>
  <c r="E1242" i="17"/>
  <c r="D1242" i="17"/>
  <c r="C1242" i="17"/>
  <c r="B1242" i="17"/>
  <c r="A1242" i="17"/>
  <c r="I1241" i="17"/>
  <c r="H1241" i="17"/>
  <c r="G1241" i="17"/>
  <c r="F1241" i="17"/>
  <c r="E1241" i="17"/>
  <c r="D1241" i="17"/>
  <c r="C1241" i="17"/>
  <c r="B1241" i="17"/>
  <c r="A1241" i="17"/>
  <c r="I1240" i="17"/>
  <c r="H1240" i="17"/>
  <c r="G1240" i="17"/>
  <c r="F1240" i="17"/>
  <c r="E1240" i="17"/>
  <c r="D1240" i="17"/>
  <c r="C1240" i="17"/>
  <c r="B1240" i="17"/>
  <c r="A1240" i="17"/>
  <c r="AD1239" i="17"/>
  <c r="V1239" i="17"/>
  <c r="U1239" i="17"/>
  <c r="J1239" i="17"/>
  <c r="I1239" i="17"/>
  <c r="H1239" i="17"/>
  <c r="G1239" i="17"/>
  <c r="F1239" i="17"/>
  <c r="E1239" i="17"/>
  <c r="D1239" i="17"/>
  <c r="C1239" i="17"/>
  <c r="B1239" i="17"/>
  <c r="A1239" i="17"/>
  <c r="AH1238" i="17"/>
  <c r="T1238" i="17"/>
  <c r="I1238" i="17"/>
  <c r="H1238" i="17"/>
  <c r="G1238" i="17"/>
  <c r="F1238" i="17"/>
  <c r="E1238" i="17"/>
  <c r="D1238" i="17"/>
  <c r="C1238" i="17"/>
  <c r="B1238" i="17"/>
  <c r="A1238" i="17"/>
  <c r="I1237" i="17"/>
  <c r="H1237" i="17"/>
  <c r="G1237" i="17"/>
  <c r="F1237" i="17"/>
  <c r="E1237" i="17"/>
  <c r="D1237" i="17"/>
  <c r="C1237" i="17"/>
  <c r="B1237" i="17"/>
  <c r="A1237" i="17"/>
  <c r="N1237" i="17" s="1"/>
  <c r="AL1236" i="17"/>
  <c r="R1236" i="17"/>
  <c r="I1236" i="17"/>
  <c r="H1236" i="17"/>
  <c r="G1236" i="17"/>
  <c r="F1236" i="17"/>
  <c r="E1236" i="17"/>
  <c r="D1236" i="17"/>
  <c r="C1236" i="17"/>
  <c r="B1236" i="17"/>
  <c r="A1236" i="17"/>
  <c r="AK1235" i="17"/>
  <c r="AE1235" i="17"/>
  <c r="Z1235" i="17"/>
  <c r="I1235" i="17"/>
  <c r="H1235" i="17"/>
  <c r="G1235" i="17"/>
  <c r="F1235" i="17"/>
  <c r="E1235" i="17"/>
  <c r="D1235" i="17"/>
  <c r="C1235" i="17"/>
  <c r="B1235" i="17"/>
  <c r="A1235" i="17"/>
  <c r="I1234" i="17"/>
  <c r="H1234" i="17"/>
  <c r="G1234" i="17"/>
  <c r="F1234" i="17"/>
  <c r="E1234" i="17"/>
  <c r="D1234" i="17"/>
  <c r="C1234" i="17"/>
  <c r="B1234" i="17"/>
  <c r="A1234" i="17"/>
  <c r="I1233" i="17"/>
  <c r="H1233" i="17"/>
  <c r="G1233" i="17"/>
  <c r="F1233" i="17"/>
  <c r="E1233" i="17"/>
  <c r="D1233" i="17"/>
  <c r="C1233" i="17"/>
  <c r="B1233" i="17"/>
  <c r="A1233" i="17"/>
  <c r="AR1232" i="17"/>
  <c r="AK1232" i="17"/>
  <c r="AH1232" i="17"/>
  <c r="AB1232" i="17"/>
  <c r="I1232" i="17"/>
  <c r="H1232" i="17"/>
  <c r="G1232" i="17"/>
  <c r="F1232" i="17"/>
  <c r="E1232" i="17"/>
  <c r="D1232" i="17"/>
  <c r="C1232" i="17"/>
  <c r="B1232" i="17"/>
  <c r="A1232" i="17"/>
  <c r="I1231" i="17"/>
  <c r="H1231" i="17"/>
  <c r="G1231" i="17"/>
  <c r="F1231" i="17"/>
  <c r="E1231" i="17"/>
  <c r="D1231" i="17"/>
  <c r="C1231" i="17"/>
  <c r="B1231" i="17"/>
  <c r="A1231" i="17"/>
  <c r="I1230" i="17"/>
  <c r="H1230" i="17"/>
  <c r="G1230" i="17"/>
  <c r="F1230" i="17"/>
  <c r="E1230" i="17"/>
  <c r="D1230" i="17"/>
  <c r="C1230" i="17"/>
  <c r="B1230" i="17"/>
  <c r="A1230" i="17"/>
  <c r="I1229" i="17"/>
  <c r="H1229" i="17"/>
  <c r="G1229" i="17"/>
  <c r="F1229" i="17"/>
  <c r="E1229" i="17"/>
  <c r="D1229" i="17"/>
  <c r="C1229" i="17"/>
  <c r="B1229" i="17"/>
  <c r="A1229" i="17"/>
  <c r="N1229" i="17" s="1"/>
  <c r="I1228" i="17"/>
  <c r="H1228" i="17"/>
  <c r="G1228" i="17"/>
  <c r="F1228" i="17"/>
  <c r="E1228" i="17"/>
  <c r="D1228" i="17"/>
  <c r="C1228" i="17"/>
  <c r="B1228" i="17"/>
  <c r="A1228" i="17"/>
  <c r="I1227" i="17"/>
  <c r="H1227" i="17"/>
  <c r="G1227" i="17"/>
  <c r="F1227" i="17"/>
  <c r="E1227" i="17"/>
  <c r="D1227" i="17"/>
  <c r="C1227" i="17"/>
  <c r="B1227" i="17"/>
  <c r="A1227" i="17"/>
  <c r="J1227" i="17" s="1"/>
  <c r="I1226" i="17"/>
  <c r="H1226" i="17"/>
  <c r="G1226" i="17"/>
  <c r="F1226" i="17"/>
  <c r="E1226" i="17"/>
  <c r="D1226" i="17"/>
  <c r="C1226" i="17"/>
  <c r="B1226" i="17"/>
  <c r="A1226" i="17"/>
  <c r="I1225" i="17"/>
  <c r="H1225" i="17"/>
  <c r="G1225" i="17"/>
  <c r="F1225" i="17"/>
  <c r="E1225" i="17"/>
  <c r="D1225" i="17"/>
  <c r="C1225" i="17"/>
  <c r="B1225" i="17"/>
  <c r="A1225" i="17"/>
  <c r="I1224" i="17"/>
  <c r="H1224" i="17"/>
  <c r="G1224" i="17"/>
  <c r="F1224" i="17"/>
  <c r="E1224" i="17"/>
  <c r="D1224" i="17"/>
  <c r="C1224" i="17"/>
  <c r="B1224" i="17"/>
  <c r="A1224" i="17"/>
  <c r="AO1223" i="17"/>
  <c r="AN1223" i="17"/>
  <c r="AK1223" i="17"/>
  <c r="AF1223" i="17"/>
  <c r="R1223" i="17"/>
  <c r="I1223" i="17"/>
  <c r="H1223" i="17"/>
  <c r="G1223" i="17"/>
  <c r="F1223" i="17"/>
  <c r="E1223" i="17"/>
  <c r="D1223" i="17"/>
  <c r="C1223" i="17"/>
  <c r="B1223" i="17"/>
  <c r="A1223" i="17"/>
  <c r="P1223" i="17" s="1"/>
  <c r="I1222" i="17"/>
  <c r="H1222" i="17"/>
  <c r="G1222" i="17"/>
  <c r="F1222" i="17"/>
  <c r="E1222" i="17"/>
  <c r="D1222" i="17"/>
  <c r="C1222" i="17"/>
  <c r="B1222" i="17"/>
  <c r="A1222" i="17"/>
  <c r="AH1222" i="17" s="1"/>
  <c r="AN1221" i="17"/>
  <c r="AC1221" i="17"/>
  <c r="Y1221" i="17"/>
  <c r="X1221" i="17"/>
  <c r="I1221" i="17"/>
  <c r="H1221" i="17"/>
  <c r="G1221" i="17"/>
  <c r="F1221" i="17"/>
  <c r="E1221" i="17"/>
  <c r="D1221" i="17"/>
  <c r="C1221" i="17"/>
  <c r="B1221" i="17"/>
  <c r="A1221" i="17"/>
  <c r="I1220" i="17"/>
  <c r="H1220" i="17"/>
  <c r="G1220" i="17"/>
  <c r="F1220" i="17"/>
  <c r="E1220" i="17"/>
  <c r="D1220" i="17"/>
  <c r="C1220" i="17"/>
  <c r="B1220" i="17"/>
  <c r="A1220" i="17"/>
  <c r="I1219" i="17"/>
  <c r="H1219" i="17"/>
  <c r="G1219" i="17"/>
  <c r="F1219" i="17"/>
  <c r="E1219" i="17"/>
  <c r="D1219" i="17"/>
  <c r="C1219" i="17"/>
  <c r="B1219" i="17"/>
  <c r="A1219" i="17"/>
  <c r="AL1218" i="17"/>
  <c r="AI1218" i="17"/>
  <c r="AD1218" i="17"/>
  <c r="I1218" i="17"/>
  <c r="H1218" i="17"/>
  <c r="G1218" i="17"/>
  <c r="F1218" i="17"/>
  <c r="E1218" i="17"/>
  <c r="D1218" i="17"/>
  <c r="C1218" i="17"/>
  <c r="B1218" i="17"/>
  <c r="A1218" i="17"/>
  <c r="AC1218" i="17" s="1"/>
  <c r="I1217" i="17"/>
  <c r="H1217" i="17"/>
  <c r="G1217" i="17"/>
  <c r="F1217" i="17"/>
  <c r="E1217" i="17"/>
  <c r="D1217" i="17"/>
  <c r="C1217" i="17"/>
  <c r="B1217" i="17"/>
  <c r="A1217" i="17"/>
  <c r="AR1216" i="17"/>
  <c r="AK1216" i="17"/>
  <c r="I1216" i="17"/>
  <c r="H1216" i="17"/>
  <c r="G1216" i="17"/>
  <c r="F1216" i="17"/>
  <c r="E1216" i="17"/>
  <c r="D1216" i="17"/>
  <c r="C1216" i="17"/>
  <c r="B1216" i="17"/>
  <c r="A1216" i="17"/>
  <c r="I1215" i="17"/>
  <c r="H1215" i="17"/>
  <c r="G1215" i="17"/>
  <c r="F1215" i="17"/>
  <c r="E1215" i="17"/>
  <c r="D1215" i="17"/>
  <c r="C1215" i="17"/>
  <c r="B1215" i="17"/>
  <c r="A1215" i="17"/>
  <c r="J1215" i="17" s="1"/>
  <c r="AC1214" i="17"/>
  <c r="U1214" i="17"/>
  <c r="M1214" i="17"/>
  <c r="I1214" i="17"/>
  <c r="H1214" i="17"/>
  <c r="G1214" i="17"/>
  <c r="F1214" i="17"/>
  <c r="E1214" i="17"/>
  <c r="D1214" i="17"/>
  <c r="C1214" i="17"/>
  <c r="B1214" i="17"/>
  <c r="A1214" i="17"/>
  <c r="L1214" i="17" s="1"/>
  <c r="AP1213" i="17"/>
  <c r="AD1213" i="17"/>
  <c r="AC1213" i="17"/>
  <c r="Q1213" i="17"/>
  <c r="P1213" i="17"/>
  <c r="O1213" i="17"/>
  <c r="I1213" i="17"/>
  <c r="H1213" i="17"/>
  <c r="G1213" i="17"/>
  <c r="F1213" i="17"/>
  <c r="E1213" i="17"/>
  <c r="D1213" i="17"/>
  <c r="C1213" i="17"/>
  <c r="B1213" i="17"/>
  <c r="A1213" i="17"/>
  <c r="I1212" i="17"/>
  <c r="H1212" i="17"/>
  <c r="G1212" i="17"/>
  <c r="F1212" i="17"/>
  <c r="E1212" i="17"/>
  <c r="D1212" i="17"/>
  <c r="C1212" i="17"/>
  <c r="B1212" i="17"/>
  <c r="A1212" i="17"/>
  <c r="I1211" i="17"/>
  <c r="H1211" i="17"/>
  <c r="G1211" i="17"/>
  <c r="F1211" i="17"/>
  <c r="E1211" i="17"/>
  <c r="D1211" i="17"/>
  <c r="C1211" i="17"/>
  <c r="B1211" i="17"/>
  <c r="A1211" i="17"/>
  <c r="I1210" i="17"/>
  <c r="H1210" i="17"/>
  <c r="G1210" i="17"/>
  <c r="F1210" i="17"/>
  <c r="E1210" i="17"/>
  <c r="D1210" i="17"/>
  <c r="C1210" i="17"/>
  <c r="B1210" i="17"/>
  <c r="A1210" i="17"/>
  <c r="Z1210" i="17" s="1"/>
  <c r="I1209" i="17"/>
  <c r="H1209" i="17"/>
  <c r="G1209" i="17"/>
  <c r="F1209" i="17"/>
  <c r="E1209" i="17"/>
  <c r="D1209" i="17"/>
  <c r="C1209" i="17"/>
  <c r="B1209" i="17"/>
  <c r="A1209" i="17"/>
  <c r="I1208" i="17"/>
  <c r="H1208" i="17"/>
  <c r="G1208" i="17"/>
  <c r="F1208" i="17"/>
  <c r="E1208" i="17"/>
  <c r="D1208" i="17"/>
  <c r="C1208" i="17"/>
  <c r="B1208" i="17"/>
  <c r="A1208" i="17"/>
  <c r="AP1207" i="17"/>
  <c r="AO1207" i="17"/>
  <c r="AN1207" i="17"/>
  <c r="AF1207" i="17"/>
  <c r="V1207" i="17"/>
  <c r="U1207" i="17"/>
  <c r="R1207" i="17"/>
  <c r="Q1207" i="17"/>
  <c r="P1207" i="17"/>
  <c r="I1207" i="17"/>
  <c r="H1207" i="17"/>
  <c r="G1207" i="17"/>
  <c r="F1207" i="17"/>
  <c r="E1207" i="17"/>
  <c r="D1207" i="17"/>
  <c r="C1207" i="17"/>
  <c r="B1207" i="17"/>
  <c r="A1207" i="17"/>
  <c r="AE1207" i="17" s="1"/>
  <c r="I1206" i="17"/>
  <c r="H1206" i="17"/>
  <c r="G1206" i="17"/>
  <c r="F1206" i="17"/>
  <c r="E1206" i="17"/>
  <c r="D1206" i="17"/>
  <c r="C1206" i="17"/>
  <c r="B1206" i="17"/>
  <c r="A1206" i="17"/>
  <c r="I1205" i="17"/>
  <c r="H1205" i="17"/>
  <c r="G1205" i="17"/>
  <c r="F1205" i="17"/>
  <c r="E1205" i="17"/>
  <c r="D1205" i="17"/>
  <c r="C1205" i="17"/>
  <c r="B1205" i="17"/>
  <c r="A1205" i="17"/>
  <c r="P1205" i="17" s="1"/>
  <c r="I1204" i="17"/>
  <c r="H1204" i="17"/>
  <c r="G1204" i="17"/>
  <c r="F1204" i="17"/>
  <c r="E1204" i="17"/>
  <c r="D1204" i="17"/>
  <c r="C1204" i="17"/>
  <c r="B1204" i="17"/>
  <c r="A1204" i="17"/>
  <c r="U1204" i="17" s="1"/>
  <c r="I1203" i="17"/>
  <c r="H1203" i="17"/>
  <c r="G1203" i="17"/>
  <c r="F1203" i="17"/>
  <c r="E1203" i="17"/>
  <c r="D1203" i="17"/>
  <c r="C1203" i="17"/>
  <c r="B1203" i="17"/>
  <c r="A1203" i="17"/>
  <c r="I1202" i="17"/>
  <c r="H1202" i="17"/>
  <c r="G1202" i="17"/>
  <c r="F1202" i="17"/>
  <c r="E1202" i="17"/>
  <c r="D1202" i="17"/>
  <c r="C1202" i="17"/>
  <c r="B1202" i="17"/>
  <c r="A1202" i="17"/>
  <c r="I1201" i="17"/>
  <c r="H1201" i="17"/>
  <c r="G1201" i="17"/>
  <c r="F1201" i="17"/>
  <c r="E1201" i="17"/>
  <c r="D1201" i="17"/>
  <c r="C1201" i="17"/>
  <c r="B1201" i="17"/>
  <c r="A1201" i="17"/>
  <c r="T1200" i="17"/>
  <c r="I1200" i="17"/>
  <c r="H1200" i="17"/>
  <c r="G1200" i="17"/>
  <c r="F1200" i="17"/>
  <c r="E1200" i="17"/>
  <c r="D1200" i="17"/>
  <c r="C1200" i="17"/>
  <c r="B1200" i="17"/>
  <c r="A1200" i="17"/>
  <c r="U1200" i="17" s="1"/>
  <c r="AO1199" i="17"/>
  <c r="Y1199" i="17"/>
  <c r="V1199" i="17"/>
  <c r="I1199" i="17"/>
  <c r="H1199" i="17"/>
  <c r="G1199" i="17"/>
  <c r="F1199" i="17"/>
  <c r="E1199" i="17"/>
  <c r="D1199" i="17"/>
  <c r="C1199" i="17"/>
  <c r="B1199" i="17"/>
  <c r="A1199" i="17"/>
  <c r="U1199" i="17" s="1"/>
  <c r="I1198" i="17"/>
  <c r="H1198" i="17"/>
  <c r="G1198" i="17"/>
  <c r="F1198" i="17"/>
  <c r="E1198" i="17"/>
  <c r="D1198" i="17"/>
  <c r="C1198" i="17"/>
  <c r="B1198" i="17"/>
  <c r="A1198" i="17"/>
  <c r="AC1198" i="17" s="1"/>
  <c r="AN1197" i="17"/>
  <c r="AM1197" i="17"/>
  <c r="AL1197" i="17"/>
  <c r="I1197" i="17"/>
  <c r="H1197" i="17"/>
  <c r="G1197" i="17"/>
  <c r="F1197" i="17"/>
  <c r="E1197" i="17"/>
  <c r="D1197" i="17"/>
  <c r="C1197" i="17"/>
  <c r="B1197" i="17"/>
  <c r="A1197" i="17"/>
  <c r="I1196" i="17"/>
  <c r="H1196" i="17"/>
  <c r="G1196" i="17"/>
  <c r="F1196" i="17"/>
  <c r="E1196" i="17"/>
  <c r="D1196" i="17"/>
  <c r="C1196" i="17"/>
  <c r="B1196" i="17"/>
  <c r="A1196" i="17"/>
  <c r="I1195" i="17"/>
  <c r="H1195" i="17"/>
  <c r="G1195" i="17"/>
  <c r="F1195" i="17"/>
  <c r="E1195" i="17"/>
  <c r="D1195" i="17"/>
  <c r="C1195" i="17"/>
  <c r="B1195" i="17"/>
  <c r="A1195" i="17"/>
  <c r="AP1194" i="17"/>
  <c r="AO1194" i="17"/>
  <c r="AD1194" i="17"/>
  <c r="I1194" i="17"/>
  <c r="H1194" i="17"/>
  <c r="G1194" i="17"/>
  <c r="F1194" i="17"/>
  <c r="E1194" i="17"/>
  <c r="D1194" i="17"/>
  <c r="C1194" i="17"/>
  <c r="B1194" i="17"/>
  <c r="A1194" i="17"/>
  <c r="I1193" i="17"/>
  <c r="H1193" i="17"/>
  <c r="G1193" i="17"/>
  <c r="F1193" i="17"/>
  <c r="E1193" i="17"/>
  <c r="D1193" i="17"/>
  <c r="C1193" i="17"/>
  <c r="B1193" i="17"/>
  <c r="A1193" i="17"/>
  <c r="AG1193" i="17" s="1"/>
  <c r="AQ1192" i="17"/>
  <c r="AP1192" i="17"/>
  <c r="Y1192" i="17"/>
  <c r="V1192" i="17"/>
  <c r="T1192" i="17"/>
  <c r="I1192" i="17"/>
  <c r="H1192" i="17"/>
  <c r="G1192" i="17"/>
  <c r="F1192" i="17"/>
  <c r="E1192" i="17"/>
  <c r="D1192" i="17"/>
  <c r="C1192" i="17"/>
  <c r="B1192" i="17"/>
  <c r="A1192" i="17"/>
  <c r="I1191" i="17"/>
  <c r="H1191" i="17"/>
  <c r="G1191" i="17"/>
  <c r="F1191" i="17"/>
  <c r="E1191" i="17"/>
  <c r="D1191" i="17"/>
  <c r="C1191" i="17"/>
  <c r="B1191" i="17"/>
  <c r="A1191" i="17"/>
  <c r="I1190" i="17"/>
  <c r="H1190" i="17"/>
  <c r="G1190" i="17"/>
  <c r="F1190" i="17"/>
  <c r="E1190" i="17"/>
  <c r="D1190" i="17"/>
  <c r="C1190" i="17"/>
  <c r="B1190" i="17"/>
  <c r="A1190" i="17"/>
  <c r="I1189" i="17"/>
  <c r="H1189" i="17"/>
  <c r="G1189" i="17"/>
  <c r="F1189" i="17"/>
  <c r="E1189" i="17"/>
  <c r="D1189" i="17"/>
  <c r="C1189" i="17"/>
  <c r="B1189" i="17"/>
  <c r="A1189" i="17"/>
  <c r="AM1189" i="17" s="1"/>
  <c r="I1188" i="17"/>
  <c r="H1188" i="17"/>
  <c r="G1188" i="17"/>
  <c r="F1188" i="17"/>
  <c r="E1188" i="17"/>
  <c r="D1188" i="17"/>
  <c r="C1188" i="17"/>
  <c r="B1188" i="17"/>
  <c r="A1188" i="17"/>
  <c r="AQ1188" i="17" s="1"/>
  <c r="I1187" i="17"/>
  <c r="H1187" i="17"/>
  <c r="G1187" i="17"/>
  <c r="F1187" i="17"/>
  <c r="E1187" i="17"/>
  <c r="D1187" i="17"/>
  <c r="C1187" i="17"/>
  <c r="B1187" i="17"/>
  <c r="A1187" i="17"/>
  <c r="AL1187" i="17" s="1"/>
  <c r="I1186" i="17"/>
  <c r="H1186" i="17"/>
  <c r="G1186" i="17"/>
  <c r="F1186" i="17"/>
  <c r="E1186" i="17"/>
  <c r="D1186" i="17"/>
  <c r="C1186" i="17"/>
  <c r="B1186" i="17"/>
  <c r="A1186" i="17"/>
  <c r="I1185" i="17"/>
  <c r="H1185" i="17"/>
  <c r="G1185" i="17"/>
  <c r="F1185" i="17"/>
  <c r="E1185" i="17"/>
  <c r="D1185" i="17"/>
  <c r="C1185" i="17"/>
  <c r="B1185" i="17"/>
  <c r="A1185" i="17"/>
  <c r="AR1184" i="17"/>
  <c r="AQ1184" i="17"/>
  <c r="AA1184" i="17"/>
  <c r="Z1184" i="17"/>
  <c r="Y1184" i="17"/>
  <c r="I1184" i="17"/>
  <c r="H1184" i="17"/>
  <c r="G1184" i="17"/>
  <c r="F1184" i="17"/>
  <c r="E1184" i="17"/>
  <c r="D1184" i="17"/>
  <c r="C1184" i="17"/>
  <c r="B1184" i="17"/>
  <c r="A1184" i="17"/>
  <c r="I1183" i="17"/>
  <c r="H1183" i="17"/>
  <c r="G1183" i="17"/>
  <c r="F1183" i="17"/>
  <c r="E1183" i="17"/>
  <c r="D1183" i="17"/>
  <c r="C1183" i="17"/>
  <c r="B1183" i="17"/>
  <c r="A1183" i="17"/>
  <c r="AM1183" i="17" s="1"/>
  <c r="U1182" i="17"/>
  <c r="I1182" i="17"/>
  <c r="H1182" i="17"/>
  <c r="G1182" i="17"/>
  <c r="F1182" i="17"/>
  <c r="E1182" i="17"/>
  <c r="D1182" i="17"/>
  <c r="C1182" i="17"/>
  <c r="B1182" i="17"/>
  <c r="A1182" i="17"/>
  <c r="V1182" i="17" s="1"/>
  <c r="I1181" i="17"/>
  <c r="H1181" i="17"/>
  <c r="G1181" i="17"/>
  <c r="F1181" i="17"/>
  <c r="E1181" i="17"/>
  <c r="D1181" i="17"/>
  <c r="C1181" i="17"/>
  <c r="B1181" i="17"/>
  <c r="A1181" i="17"/>
  <c r="AJ1180" i="17"/>
  <c r="K1180" i="17"/>
  <c r="I1180" i="17"/>
  <c r="H1180" i="17"/>
  <c r="G1180" i="17"/>
  <c r="F1180" i="17"/>
  <c r="E1180" i="17"/>
  <c r="D1180" i="17"/>
  <c r="C1180" i="17"/>
  <c r="B1180" i="17"/>
  <c r="A1180" i="17"/>
  <c r="I1179" i="17"/>
  <c r="H1179" i="17"/>
  <c r="G1179" i="17"/>
  <c r="F1179" i="17"/>
  <c r="E1179" i="17"/>
  <c r="D1179" i="17"/>
  <c r="C1179" i="17"/>
  <c r="B1179" i="17"/>
  <c r="A1179" i="17"/>
  <c r="I1178" i="17"/>
  <c r="H1178" i="17"/>
  <c r="G1178" i="17"/>
  <c r="F1178" i="17"/>
  <c r="E1178" i="17"/>
  <c r="D1178" i="17"/>
  <c r="C1178" i="17"/>
  <c r="B1178" i="17"/>
  <c r="A1178" i="17"/>
  <c r="AM1177" i="17"/>
  <c r="W1177" i="17"/>
  <c r="V1177" i="17"/>
  <c r="R1177" i="17"/>
  <c r="I1177" i="17"/>
  <c r="H1177" i="17"/>
  <c r="G1177" i="17"/>
  <c r="F1177" i="17"/>
  <c r="E1177" i="17"/>
  <c r="D1177" i="17"/>
  <c r="C1177" i="17"/>
  <c r="B1177" i="17"/>
  <c r="A1177" i="17"/>
  <c r="I1176" i="17"/>
  <c r="H1176" i="17"/>
  <c r="G1176" i="17"/>
  <c r="F1176" i="17"/>
  <c r="E1176" i="17"/>
  <c r="D1176" i="17"/>
  <c r="C1176" i="17"/>
  <c r="B1176" i="17"/>
  <c r="A1176" i="17"/>
  <c r="I1175" i="17"/>
  <c r="H1175" i="17"/>
  <c r="G1175" i="17"/>
  <c r="F1175" i="17"/>
  <c r="E1175" i="17"/>
  <c r="D1175" i="17"/>
  <c r="C1175" i="17"/>
  <c r="B1175" i="17"/>
  <c r="A1175" i="17"/>
  <c r="AP1175" i="17" s="1"/>
  <c r="Y1174" i="17"/>
  <c r="I1174" i="17"/>
  <c r="H1174" i="17"/>
  <c r="G1174" i="17"/>
  <c r="F1174" i="17"/>
  <c r="E1174" i="17"/>
  <c r="D1174" i="17"/>
  <c r="C1174" i="17"/>
  <c r="B1174" i="17"/>
  <c r="A1174" i="17"/>
  <c r="AR1174" i="17" s="1"/>
  <c r="AP1173" i="17"/>
  <c r="AO1173" i="17"/>
  <c r="AL1173" i="17"/>
  <c r="V1173" i="17"/>
  <c r="U1173" i="17"/>
  <c r="R1173" i="17"/>
  <c r="Q1173" i="17"/>
  <c r="P1173" i="17"/>
  <c r="M1173" i="17"/>
  <c r="I1173" i="17"/>
  <c r="H1173" i="17"/>
  <c r="G1173" i="17"/>
  <c r="F1173" i="17"/>
  <c r="E1173" i="17"/>
  <c r="D1173" i="17"/>
  <c r="C1173" i="17"/>
  <c r="B1173" i="17"/>
  <c r="A1173" i="17"/>
  <c r="AD1173" i="17" s="1"/>
  <c r="I1172" i="17"/>
  <c r="H1172" i="17"/>
  <c r="G1172" i="17"/>
  <c r="F1172" i="17"/>
  <c r="E1172" i="17"/>
  <c r="D1172" i="17"/>
  <c r="C1172" i="17"/>
  <c r="B1172" i="17"/>
  <c r="A1172" i="17"/>
  <c r="I1171" i="17"/>
  <c r="H1171" i="17"/>
  <c r="G1171" i="17"/>
  <c r="F1171" i="17"/>
  <c r="E1171" i="17"/>
  <c r="D1171" i="17"/>
  <c r="C1171" i="17"/>
  <c r="B1171" i="17"/>
  <c r="A1171" i="17"/>
  <c r="I1170" i="17"/>
  <c r="H1170" i="17"/>
  <c r="G1170" i="17"/>
  <c r="F1170" i="17"/>
  <c r="E1170" i="17"/>
  <c r="D1170" i="17"/>
  <c r="C1170" i="17"/>
  <c r="B1170" i="17"/>
  <c r="A1170" i="17"/>
  <c r="J1170" i="17" s="1"/>
  <c r="AL1169" i="17"/>
  <c r="AH1169" i="17"/>
  <c r="AC1169" i="17"/>
  <c r="R1169" i="17"/>
  <c r="Q1169" i="17"/>
  <c r="P1169" i="17"/>
  <c r="I1169" i="17"/>
  <c r="H1169" i="17"/>
  <c r="G1169" i="17"/>
  <c r="F1169" i="17"/>
  <c r="E1169" i="17"/>
  <c r="D1169" i="17"/>
  <c r="C1169" i="17"/>
  <c r="B1169" i="17"/>
  <c r="A1169" i="17"/>
  <c r="AP1169" i="17" s="1"/>
  <c r="I1168" i="17"/>
  <c r="H1168" i="17"/>
  <c r="G1168" i="17"/>
  <c r="F1168" i="17"/>
  <c r="E1168" i="17"/>
  <c r="D1168" i="17"/>
  <c r="C1168" i="17"/>
  <c r="B1168" i="17"/>
  <c r="A1168" i="17"/>
  <c r="I1167" i="17"/>
  <c r="H1167" i="17"/>
  <c r="G1167" i="17"/>
  <c r="F1167" i="17"/>
  <c r="E1167" i="17"/>
  <c r="D1167" i="17"/>
  <c r="C1167" i="17"/>
  <c r="B1167" i="17"/>
  <c r="A1167" i="17"/>
  <c r="AK1167" i="17" s="1"/>
  <c r="I1166" i="17"/>
  <c r="H1166" i="17"/>
  <c r="G1166" i="17"/>
  <c r="F1166" i="17"/>
  <c r="E1166" i="17"/>
  <c r="D1166" i="17"/>
  <c r="C1166" i="17"/>
  <c r="B1166" i="17"/>
  <c r="A1166" i="17"/>
  <c r="I1165" i="17"/>
  <c r="H1165" i="17"/>
  <c r="G1165" i="17"/>
  <c r="F1165" i="17"/>
  <c r="E1165" i="17"/>
  <c r="D1165" i="17"/>
  <c r="C1165" i="17"/>
  <c r="B1165" i="17"/>
  <c r="A1165" i="17"/>
  <c r="I1164" i="17"/>
  <c r="H1164" i="17"/>
  <c r="G1164" i="17"/>
  <c r="F1164" i="17"/>
  <c r="E1164" i="17"/>
  <c r="D1164" i="17"/>
  <c r="C1164" i="17"/>
  <c r="B1164" i="17"/>
  <c r="A1164" i="17"/>
  <c r="AG1164" i="17" s="1"/>
  <c r="I1163" i="17"/>
  <c r="H1163" i="17"/>
  <c r="G1163" i="17"/>
  <c r="F1163" i="17"/>
  <c r="E1163" i="17"/>
  <c r="D1163" i="17"/>
  <c r="C1163" i="17"/>
  <c r="B1163" i="17"/>
  <c r="A1163" i="17"/>
  <c r="I1162" i="17"/>
  <c r="H1162" i="17"/>
  <c r="G1162" i="17"/>
  <c r="F1162" i="17"/>
  <c r="E1162" i="17"/>
  <c r="D1162" i="17"/>
  <c r="C1162" i="17"/>
  <c r="B1162" i="17"/>
  <c r="A1162" i="17"/>
  <c r="V1161" i="17"/>
  <c r="I1161" i="17"/>
  <c r="H1161" i="17"/>
  <c r="G1161" i="17"/>
  <c r="F1161" i="17"/>
  <c r="E1161" i="17"/>
  <c r="D1161" i="17"/>
  <c r="C1161" i="17"/>
  <c r="B1161" i="17"/>
  <c r="A1161" i="17"/>
  <c r="AB1160" i="17"/>
  <c r="S1160" i="17"/>
  <c r="Q1160" i="17"/>
  <c r="I1160" i="17"/>
  <c r="H1160" i="17"/>
  <c r="G1160" i="17"/>
  <c r="F1160" i="17"/>
  <c r="E1160" i="17"/>
  <c r="D1160" i="17"/>
  <c r="C1160" i="17"/>
  <c r="B1160" i="17"/>
  <c r="A1160" i="17"/>
  <c r="I1159" i="17"/>
  <c r="H1159" i="17"/>
  <c r="G1159" i="17"/>
  <c r="F1159" i="17"/>
  <c r="E1159" i="17"/>
  <c r="D1159" i="17"/>
  <c r="C1159" i="17"/>
  <c r="B1159" i="17"/>
  <c r="A1159" i="17"/>
  <c r="I1158" i="17"/>
  <c r="H1158" i="17"/>
  <c r="G1158" i="17"/>
  <c r="F1158" i="17"/>
  <c r="E1158" i="17"/>
  <c r="D1158" i="17"/>
  <c r="C1158" i="17"/>
  <c r="B1158" i="17"/>
  <c r="A1158" i="17"/>
  <c r="AL1157" i="17"/>
  <c r="AC1157" i="17"/>
  <c r="Z1157" i="17"/>
  <c r="I1157" i="17"/>
  <c r="H1157" i="17"/>
  <c r="G1157" i="17"/>
  <c r="F1157" i="17"/>
  <c r="E1157" i="17"/>
  <c r="D1157" i="17"/>
  <c r="C1157" i="17"/>
  <c r="B1157" i="17"/>
  <c r="A1157" i="17"/>
  <c r="AP1157" i="17" s="1"/>
  <c r="I1156" i="17"/>
  <c r="H1156" i="17"/>
  <c r="G1156" i="17"/>
  <c r="F1156" i="17"/>
  <c r="E1156" i="17"/>
  <c r="D1156" i="17"/>
  <c r="C1156" i="17"/>
  <c r="B1156" i="17"/>
  <c r="A1156" i="17"/>
  <c r="I1155" i="17"/>
  <c r="H1155" i="17"/>
  <c r="G1155" i="17"/>
  <c r="F1155" i="17"/>
  <c r="E1155" i="17"/>
  <c r="D1155" i="17"/>
  <c r="C1155" i="17"/>
  <c r="B1155" i="17"/>
  <c r="A1155" i="17"/>
  <c r="AD1155" i="17" s="1"/>
  <c r="I1154" i="17"/>
  <c r="H1154" i="17"/>
  <c r="G1154" i="17"/>
  <c r="F1154" i="17"/>
  <c r="E1154" i="17"/>
  <c r="D1154" i="17"/>
  <c r="C1154" i="17"/>
  <c r="B1154" i="17"/>
  <c r="A1154" i="17"/>
  <c r="AM1153" i="17"/>
  <c r="AL1153" i="17"/>
  <c r="AD1153" i="17"/>
  <c r="X1153" i="17"/>
  <c r="V1153" i="17"/>
  <c r="R1153" i="17"/>
  <c r="Q1153" i="17"/>
  <c r="O1153" i="17"/>
  <c r="I1153" i="17"/>
  <c r="H1153" i="17"/>
  <c r="G1153" i="17"/>
  <c r="F1153" i="17"/>
  <c r="E1153" i="17"/>
  <c r="D1153" i="17"/>
  <c r="C1153" i="17"/>
  <c r="B1153" i="17"/>
  <c r="A1153" i="17"/>
  <c r="AH1153" i="17" s="1"/>
  <c r="AL1152" i="17"/>
  <c r="AJ1152" i="17"/>
  <c r="Z1152" i="17"/>
  <c r="U1152" i="17"/>
  <c r="Q1152" i="17"/>
  <c r="J1152" i="17"/>
  <c r="I1152" i="17"/>
  <c r="H1152" i="17"/>
  <c r="G1152" i="17"/>
  <c r="F1152" i="17"/>
  <c r="E1152" i="17"/>
  <c r="D1152" i="17"/>
  <c r="C1152" i="17"/>
  <c r="B1152" i="17"/>
  <c r="A1152" i="17"/>
  <c r="AN1151" i="17"/>
  <c r="W1151" i="17"/>
  <c r="I1151" i="17"/>
  <c r="H1151" i="17"/>
  <c r="G1151" i="17"/>
  <c r="F1151" i="17"/>
  <c r="E1151" i="17"/>
  <c r="D1151" i="17"/>
  <c r="C1151" i="17"/>
  <c r="B1151" i="17"/>
  <c r="A1151" i="17"/>
  <c r="AO1151" i="17" s="1"/>
  <c r="AK1150" i="17"/>
  <c r="AJ1150" i="17"/>
  <c r="AI1150" i="17"/>
  <c r="I1150" i="17"/>
  <c r="H1150" i="17"/>
  <c r="G1150" i="17"/>
  <c r="F1150" i="17"/>
  <c r="E1150" i="17"/>
  <c r="D1150" i="17"/>
  <c r="C1150" i="17"/>
  <c r="B1150" i="17"/>
  <c r="A1150" i="17"/>
  <c r="R1150" i="17" s="1"/>
  <c r="I1149" i="17"/>
  <c r="H1149" i="17"/>
  <c r="G1149" i="17"/>
  <c r="F1149" i="17"/>
  <c r="E1149" i="17"/>
  <c r="D1149" i="17"/>
  <c r="C1149" i="17"/>
  <c r="B1149" i="17"/>
  <c r="A1149" i="17"/>
  <c r="I1148" i="17"/>
  <c r="H1148" i="17"/>
  <c r="G1148" i="17"/>
  <c r="F1148" i="17"/>
  <c r="E1148" i="17"/>
  <c r="D1148" i="17"/>
  <c r="C1148" i="17"/>
  <c r="B1148" i="17"/>
  <c r="A1148" i="17"/>
  <c r="AL1147" i="17"/>
  <c r="AK1147" i="17"/>
  <c r="U1147" i="17"/>
  <c r="R1147" i="17"/>
  <c r="I1147" i="17"/>
  <c r="H1147" i="17"/>
  <c r="G1147" i="17"/>
  <c r="F1147" i="17"/>
  <c r="E1147" i="17"/>
  <c r="D1147" i="17"/>
  <c r="C1147" i="17"/>
  <c r="B1147" i="17"/>
  <c r="A1147" i="17"/>
  <c r="AM1147" i="17" s="1"/>
  <c r="AG1146" i="17"/>
  <c r="AB1146" i="17"/>
  <c r="R1146" i="17"/>
  <c r="I1146" i="17"/>
  <c r="H1146" i="17"/>
  <c r="G1146" i="17"/>
  <c r="F1146" i="17"/>
  <c r="E1146" i="17"/>
  <c r="D1146" i="17"/>
  <c r="C1146" i="17"/>
  <c r="B1146" i="17"/>
  <c r="A1146" i="17"/>
  <c r="I1145" i="17"/>
  <c r="H1145" i="17"/>
  <c r="G1145" i="17"/>
  <c r="F1145" i="17"/>
  <c r="E1145" i="17"/>
  <c r="D1145" i="17"/>
  <c r="C1145" i="17"/>
  <c r="B1145" i="17"/>
  <c r="A1145" i="17"/>
  <c r="I1144" i="17"/>
  <c r="H1144" i="17"/>
  <c r="G1144" i="17"/>
  <c r="F1144" i="17"/>
  <c r="E1144" i="17"/>
  <c r="D1144" i="17"/>
  <c r="C1144" i="17"/>
  <c r="B1144" i="17"/>
  <c r="A1144" i="17"/>
  <c r="I1143" i="17"/>
  <c r="H1143" i="17"/>
  <c r="G1143" i="17"/>
  <c r="F1143" i="17"/>
  <c r="E1143" i="17"/>
  <c r="D1143" i="17"/>
  <c r="C1143" i="17"/>
  <c r="B1143" i="17"/>
  <c r="A1143" i="17"/>
  <c r="I1142" i="17"/>
  <c r="H1142" i="17"/>
  <c r="G1142" i="17"/>
  <c r="F1142" i="17"/>
  <c r="E1142" i="17"/>
  <c r="D1142" i="17"/>
  <c r="C1142" i="17"/>
  <c r="B1142" i="17"/>
  <c r="A1142" i="17"/>
  <c r="AE1141" i="17"/>
  <c r="M1141" i="17"/>
  <c r="I1141" i="17"/>
  <c r="H1141" i="17"/>
  <c r="G1141" i="17"/>
  <c r="F1141" i="17"/>
  <c r="E1141" i="17"/>
  <c r="D1141" i="17"/>
  <c r="C1141" i="17"/>
  <c r="B1141" i="17"/>
  <c r="A1141" i="17"/>
  <c r="I1140" i="17"/>
  <c r="H1140" i="17"/>
  <c r="G1140" i="17"/>
  <c r="F1140" i="17"/>
  <c r="E1140" i="17"/>
  <c r="D1140" i="17"/>
  <c r="C1140" i="17"/>
  <c r="B1140" i="17"/>
  <c r="A1140" i="17"/>
  <c r="AG1140" i="17" s="1"/>
  <c r="I1139" i="17"/>
  <c r="H1139" i="17"/>
  <c r="G1139" i="17"/>
  <c r="F1139" i="17"/>
  <c r="E1139" i="17"/>
  <c r="D1139" i="17"/>
  <c r="C1139" i="17"/>
  <c r="B1139" i="17"/>
  <c r="A1139" i="17"/>
  <c r="I1138" i="17"/>
  <c r="H1138" i="17"/>
  <c r="G1138" i="17"/>
  <c r="F1138" i="17"/>
  <c r="E1138" i="17"/>
  <c r="D1138" i="17"/>
  <c r="C1138" i="17"/>
  <c r="B1138" i="17"/>
  <c r="A1138" i="17"/>
  <c r="M1138" i="17" s="1"/>
  <c r="I1137" i="17"/>
  <c r="H1137" i="17"/>
  <c r="G1137" i="17"/>
  <c r="F1137" i="17"/>
  <c r="E1137" i="17"/>
  <c r="D1137" i="17"/>
  <c r="C1137" i="17"/>
  <c r="B1137" i="17"/>
  <c r="A1137" i="17"/>
  <c r="AP1136" i="17"/>
  <c r="AB1136" i="17"/>
  <c r="AA1136" i="17"/>
  <c r="I1136" i="17"/>
  <c r="H1136" i="17"/>
  <c r="G1136" i="17"/>
  <c r="F1136" i="17"/>
  <c r="E1136" i="17"/>
  <c r="D1136" i="17"/>
  <c r="C1136" i="17"/>
  <c r="B1136" i="17"/>
  <c r="A1136" i="17"/>
  <c r="I1135" i="17"/>
  <c r="H1135" i="17"/>
  <c r="G1135" i="17"/>
  <c r="F1135" i="17"/>
  <c r="E1135" i="17"/>
  <c r="D1135" i="17"/>
  <c r="C1135" i="17"/>
  <c r="B1135" i="17"/>
  <c r="A1135" i="17"/>
  <c r="AE1135" i="17" s="1"/>
  <c r="I1134" i="17"/>
  <c r="H1134" i="17"/>
  <c r="G1134" i="17"/>
  <c r="F1134" i="17"/>
  <c r="E1134" i="17"/>
  <c r="D1134" i="17"/>
  <c r="C1134" i="17"/>
  <c r="B1134" i="17"/>
  <c r="A1134" i="17"/>
  <c r="AG1133" i="17"/>
  <c r="AF1133" i="17"/>
  <c r="W1133" i="17"/>
  <c r="I1133" i="17"/>
  <c r="H1133" i="17"/>
  <c r="G1133" i="17"/>
  <c r="F1133" i="17"/>
  <c r="E1133" i="17"/>
  <c r="D1133" i="17"/>
  <c r="C1133" i="17"/>
  <c r="B1133" i="17"/>
  <c r="A1133" i="17"/>
  <c r="AP1132" i="17"/>
  <c r="AL1132" i="17"/>
  <c r="AA1132" i="17"/>
  <c r="U1132" i="17"/>
  <c r="Q1132" i="17"/>
  <c r="I1132" i="17"/>
  <c r="H1132" i="17"/>
  <c r="G1132" i="17"/>
  <c r="F1132" i="17"/>
  <c r="E1132" i="17"/>
  <c r="D1132" i="17"/>
  <c r="C1132" i="17"/>
  <c r="B1132" i="17"/>
  <c r="A1132" i="17"/>
  <c r="K1132" i="17" s="1"/>
  <c r="I1131" i="17"/>
  <c r="H1131" i="17"/>
  <c r="G1131" i="17"/>
  <c r="F1131" i="17"/>
  <c r="E1131" i="17"/>
  <c r="D1131" i="17"/>
  <c r="C1131" i="17"/>
  <c r="B1131" i="17"/>
  <c r="A1131" i="17"/>
  <c r="I1130" i="17"/>
  <c r="H1130" i="17"/>
  <c r="G1130" i="17"/>
  <c r="F1130" i="17"/>
  <c r="E1130" i="17"/>
  <c r="D1130" i="17"/>
  <c r="C1130" i="17"/>
  <c r="B1130" i="17"/>
  <c r="A1130" i="17"/>
  <c r="AO1130" i="17" s="1"/>
  <c r="I1129" i="17"/>
  <c r="H1129" i="17"/>
  <c r="G1129" i="17"/>
  <c r="F1129" i="17"/>
  <c r="E1129" i="17"/>
  <c r="D1129" i="17"/>
  <c r="C1129" i="17"/>
  <c r="B1129" i="17"/>
  <c r="A1129" i="17"/>
  <c r="Q1128" i="17"/>
  <c r="N1128" i="17"/>
  <c r="K1128" i="17"/>
  <c r="I1128" i="17"/>
  <c r="H1128" i="17"/>
  <c r="G1128" i="17"/>
  <c r="F1128" i="17"/>
  <c r="E1128" i="17"/>
  <c r="D1128" i="17"/>
  <c r="C1128" i="17"/>
  <c r="B1128" i="17"/>
  <c r="A1128" i="17"/>
  <c r="I1127" i="17"/>
  <c r="H1127" i="17"/>
  <c r="G1127" i="17"/>
  <c r="F1127" i="17"/>
  <c r="E1127" i="17"/>
  <c r="D1127" i="17"/>
  <c r="C1127" i="17"/>
  <c r="B1127" i="17"/>
  <c r="A1127" i="17"/>
  <c r="M1127" i="17" s="1"/>
  <c r="I1126" i="17"/>
  <c r="H1126" i="17"/>
  <c r="G1126" i="17"/>
  <c r="F1126" i="17"/>
  <c r="E1126" i="17"/>
  <c r="D1126" i="17"/>
  <c r="C1126" i="17"/>
  <c r="B1126" i="17"/>
  <c r="A1126" i="17"/>
  <c r="I1125" i="17"/>
  <c r="H1125" i="17"/>
  <c r="G1125" i="17"/>
  <c r="F1125" i="17"/>
  <c r="E1125" i="17"/>
  <c r="D1125" i="17"/>
  <c r="C1125" i="17"/>
  <c r="B1125" i="17"/>
  <c r="A1125" i="17"/>
  <c r="AL1125" i="17" s="1"/>
  <c r="AP1124" i="17"/>
  <c r="AI1124" i="17"/>
  <c r="Y1124" i="17"/>
  <c r="V1124" i="17"/>
  <c r="L1124" i="17"/>
  <c r="K1124" i="17"/>
  <c r="I1124" i="17"/>
  <c r="H1124" i="17"/>
  <c r="G1124" i="17"/>
  <c r="F1124" i="17"/>
  <c r="E1124" i="17"/>
  <c r="D1124" i="17"/>
  <c r="C1124" i="17"/>
  <c r="B1124" i="17"/>
  <c r="A1124" i="17"/>
  <c r="I1123" i="17"/>
  <c r="H1123" i="17"/>
  <c r="G1123" i="17"/>
  <c r="F1123" i="17"/>
  <c r="E1123" i="17"/>
  <c r="D1123" i="17"/>
  <c r="C1123" i="17"/>
  <c r="B1123" i="17"/>
  <c r="A1123" i="17"/>
  <c r="AE1123" i="17" s="1"/>
  <c r="I1122" i="17"/>
  <c r="H1122" i="17"/>
  <c r="G1122" i="17"/>
  <c r="F1122" i="17"/>
  <c r="E1122" i="17"/>
  <c r="D1122" i="17"/>
  <c r="C1122" i="17"/>
  <c r="B1122" i="17"/>
  <c r="A1122" i="17"/>
  <c r="AB1122" i="17" s="1"/>
  <c r="AN1121" i="17"/>
  <c r="AM1121" i="17"/>
  <c r="AH1121" i="17"/>
  <c r="R1121" i="17"/>
  <c r="Q1121" i="17"/>
  <c r="I1121" i="17"/>
  <c r="H1121" i="17"/>
  <c r="G1121" i="17"/>
  <c r="F1121" i="17"/>
  <c r="E1121" i="17"/>
  <c r="D1121" i="17"/>
  <c r="C1121" i="17"/>
  <c r="B1121" i="17"/>
  <c r="A1121" i="17"/>
  <c r="I1120" i="17"/>
  <c r="H1120" i="17"/>
  <c r="G1120" i="17"/>
  <c r="F1120" i="17"/>
  <c r="E1120" i="17"/>
  <c r="D1120" i="17"/>
  <c r="C1120" i="17"/>
  <c r="B1120" i="17"/>
  <c r="A1120" i="17"/>
  <c r="AG1120" i="17" s="1"/>
  <c r="I1119" i="17"/>
  <c r="H1119" i="17"/>
  <c r="G1119" i="17"/>
  <c r="F1119" i="17"/>
  <c r="E1119" i="17"/>
  <c r="D1119" i="17"/>
  <c r="C1119" i="17"/>
  <c r="B1119" i="17"/>
  <c r="A1119" i="17"/>
  <c r="AP1119" i="17" s="1"/>
  <c r="I1118" i="17"/>
  <c r="H1118" i="17"/>
  <c r="G1118" i="17"/>
  <c r="F1118" i="17"/>
  <c r="E1118" i="17"/>
  <c r="D1118" i="17"/>
  <c r="C1118" i="17"/>
  <c r="B1118" i="17"/>
  <c r="A1118" i="17"/>
  <c r="AO1117" i="17"/>
  <c r="AN1117" i="17"/>
  <c r="I1117" i="17"/>
  <c r="H1117" i="17"/>
  <c r="G1117" i="17"/>
  <c r="F1117" i="17"/>
  <c r="E1117" i="17"/>
  <c r="D1117" i="17"/>
  <c r="C1117" i="17"/>
  <c r="B1117" i="17"/>
  <c r="A1117" i="17"/>
  <c r="AD1117" i="17" s="1"/>
  <c r="I1116" i="17"/>
  <c r="H1116" i="17"/>
  <c r="G1116" i="17"/>
  <c r="F1116" i="17"/>
  <c r="E1116" i="17"/>
  <c r="D1116" i="17"/>
  <c r="C1116" i="17"/>
  <c r="B1116" i="17"/>
  <c r="A1116" i="17"/>
  <c r="Y1115" i="17"/>
  <c r="R1115" i="17"/>
  <c r="I1115" i="17"/>
  <c r="H1115" i="17"/>
  <c r="G1115" i="17"/>
  <c r="F1115" i="17"/>
  <c r="E1115" i="17"/>
  <c r="D1115" i="17"/>
  <c r="C1115" i="17"/>
  <c r="B1115" i="17"/>
  <c r="A1115" i="17"/>
  <c r="I1114" i="17"/>
  <c r="H1114" i="17"/>
  <c r="G1114" i="17"/>
  <c r="F1114" i="17"/>
  <c r="E1114" i="17"/>
  <c r="D1114" i="17"/>
  <c r="C1114" i="17"/>
  <c r="B1114" i="17"/>
  <c r="A1114" i="17"/>
  <c r="AQ1114" i="17" s="1"/>
  <c r="AM1113" i="17"/>
  <c r="AC1113" i="17"/>
  <c r="Z1113" i="17"/>
  <c r="Y1113" i="17"/>
  <c r="P1113" i="17"/>
  <c r="O1113" i="17"/>
  <c r="N1113" i="17"/>
  <c r="I1113" i="17"/>
  <c r="H1113" i="17"/>
  <c r="G1113" i="17"/>
  <c r="F1113" i="17"/>
  <c r="E1113" i="17"/>
  <c r="D1113" i="17"/>
  <c r="C1113" i="17"/>
  <c r="B1113" i="17"/>
  <c r="A1113" i="17"/>
  <c r="AN1113" i="17" s="1"/>
  <c r="I1112" i="17"/>
  <c r="H1112" i="17"/>
  <c r="G1112" i="17"/>
  <c r="F1112" i="17"/>
  <c r="E1112" i="17"/>
  <c r="D1112" i="17"/>
  <c r="C1112" i="17"/>
  <c r="B1112" i="17"/>
  <c r="A1112" i="17"/>
  <c r="U1111" i="17"/>
  <c r="I1111" i="17"/>
  <c r="H1111" i="17"/>
  <c r="G1111" i="17"/>
  <c r="F1111" i="17"/>
  <c r="E1111" i="17"/>
  <c r="D1111" i="17"/>
  <c r="C1111" i="17"/>
  <c r="B1111" i="17"/>
  <c r="A1111" i="17"/>
  <c r="AR1110" i="17"/>
  <c r="I1110" i="17"/>
  <c r="H1110" i="17"/>
  <c r="G1110" i="17"/>
  <c r="F1110" i="17"/>
  <c r="E1110" i="17"/>
  <c r="D1110" i="17"/>
  <c r="C1110" i="17"/>
  <c r="B1110" i="17"/>
  <c r="A1110" i="17"/>
  <c r="AK1110" i="17" s="1"/>
  <c r="I1109" i="17"/>
  <c r="H1109" i="17"/>
  <c r="G1109" i="17"/>
  <c r="F1109" i="17"/>
  <c r="E1109" i="17"/>
  <c r="D1109" i="17"/>
  <c r="C1109" i="17"/>
  <c r="B1109" i="17"/>
  <c r="A1109" i="17"/>
  <c r="I1108" i="17"/>
  <c r="H1108" i="17"/>
  <c r="G1108" i="17"/>
  <c r="F1108" i="17"/>
  <c r="E1108" i="17"/>
  <c r="D1108" i="17"/>
  <c r="C1108" i="17"/>
  <c r="B1108" i="17"/>
  <c r="A1108" i="17"/>
  <c r="L1108" i="17" s="1"/>
  <c r="AN1107" i="17"/>
  <c r="AM1107" i="17"/>
  <c r="Y1107" i="17"/>
  <c r="U1107" i="17"/>
  <c r="P1107" i="17"/>
  <c r="O1107" i="17"/>
  <c r="I1107" i="17"/>
  <c r="H1107" i="17"/>
  <c r="G1107" i="17"/>
  <c r="F1107" i="17"/>
  <c r="E1107" i="17"/>
  <c r="D1107" i="17"/>
  <c r="C1107" i="17"/>
  <c r="B1107" i="17"/>
  <c r="A1107" i="17"/>
  <c r="V1106" i="17"/>
  <c r="M1106" i="17"/>
  <c r="I1106" i="17"/>
  <c r="H1106" i="17"/>
  <c r="G1106" i="17"/>
  <c r="F1106" i="17"/>
  <c r="E1106" i="17"/>
  <c r="D1106" i="17"/>
  <c r="C1106" i="17"/>
  <c r="B1106" i="17"/>
  <c r="A1106" i="17"/>
  <c r="AQ1106" i="17" s="1"/>
  <c r="AF1105" i="17"/>
  <c r="AC1105" i="17"/>
  <c r="I1105" i="17"/>
  <c r="H1105" i="17"/>
  <c r="G1105" i="17"/>
  <c r="F1105" i="17"/>
  <c r="E1105" i="17"/>
  <c r="D1105" i="17"/>
  <c r="C1105" i="17"/>
  <c r="B1105" i="17"/>
  <c r="A1105" i="17"/>
  <c r="Z1105" i="17" s="1"/>
  <c r="AO1104" i="17"/>
  <c r="AK1104" i="17"/>
  <c r="U1104" i="17"/>
  <c r="N1104" i="17"/>
  <c r="K1104" i="17"/>
  <c r="J1104" i="17"/>
  <c r="I1104" i="17"/>
  <c r="H1104" i="17"/>
  <c r="G1104" i="17"/>
  <c r="F1104" i="17"/>
  <c r="E1104" i="17"/>
  <c r="D1104" i="17"/>
  <c r="C1104" i="17"/>
  <c r="B1104" i="17"/>
  <c r="A1104" i="17"/>
  <c r="I1103" i="17"/>
  <c r="H1103" i="17"/>
  <c r="G1103" i="17"/>
  <c r="F1103" i="17"/>
  <c r="E1103" i="17"/>
  <c r="D1103" i="17"/>
  <c r="C1103" i="17"/>
  <c r="B1103" i="17"/>
  <c r="A1103" i="17"/>
  <c r="I1102" i="17"/>
  <c r="H1102" i="17"/>
  <c r="G1102" i="17"/>
  <c r="F1102" i="17"/>
  <c r="E1102" i="17"/>
  <c r="D1102" i="17"/>
  <c r="C1102" i="17"/>
  <c r="B1102" i="17"/>
  <c r="A1102" i="17"/>
  <c r="AE1101" i="17"/>
  <c r="Z1101" i="17"/>
  <c r="W1101" i="17"/>
  <c r="V1101" i="17"/>
  <c r="Q1101" i="17"/>
  <c r="I1101" i="17"/>
  <c r="H1101" i="17"/>
  <c r="G1101" i="17"/>
  <c r="F1101" i="17"/>
  <c r="E1101" i="17"/>
  <c r="D1101" i="17"/>
  <c r="C1101" i="17"/>
  <c r="B1101" i="17"/>
  <c r="A1101" i="17"/>
  <c r="AF1101" i="17" s="1"/>
  <c r="I1100" i="17"/>
  <c r="H1100" i="17"/>
  <c r="G1100" i="17"/>
  <c r="F1100" i="17"/>
  <c r="E1100" i="17"/>
  <c r="D1100" i="17"/>
  <c r="C1100" i="17"/>
  <c r="B1100" i="17"/>
  <c r="A1100" i="17"/>
  <c r="T1100" i="17" s="1"/>
  <c r="AD1099" i="17"/>
  <c r="AC1099" i="17"/>
  <c r="I1099" i="17"/>
  <c r="H1099" i="17"/>
  <c r="G1099" i="17"/>
  <c r="F1099" i="17"/>
  <c r="E1099" i="17"/>
  <c r="D1099" i="17"/>
  <c r="C1099" i="17"/>
  <c r="B1099" i="17"/>
  <c r="A1099" i="17"/>
  <c r="N1099" i="17" s="1"/>
  <c r="I1098" i="17"/>
  <c r="H1098" i="17"/>
  <c r="G1098" i="17"/>
  <c r="F1098" i="17"/>
  <c r="E1098" i="17"/>
  <c r="D1098" i="17"/>
  <c r="C1098" i="17"/>
  <c r="B1098" i="17"/>
  <c r="A1098" i="17"/>
  <c r="AM1097" i="17"/>
  <c r="I1097" i="17"/>
  <c r="H1097" i="17"/>
  <c r="G1097" i="17"/>
  <c r="F1097" i="17"/>
  <c r="E1097" i="17"/>
  <c r="D1097" i="17"/>
  <c r="C1097" i="17"/>
  <c r="B1097" i="17"/>
  <c r="A1097" i="17"/>
  <c r="AH1097" i="17" s="1"/>
  <c r="AP1096" i="17"/>
  <c r="AG1096" i="17"/>
  <c r="AC1096" i="17"/>
  <c r="T1096" i="17"/>
  <c r="Q1096" i="17"/>
  <c r="N1096" i="17"/>
  <c r="I1096" i="17"/>
  <c r="H1096" i="17"/>
  <c r="G1096" i="17"/>
  <c r="F1096" i="17"/>
  <c r="E1096" i="17"/>
  <c r="D1096" i="17"/>
  <c r="C1096" i="17"/>
  <c r="B1096" i="17"/>
  <c r="A1096" i="17"/>
  <c r="K1096" i="17" s="1"/>
  <c r="I1095" i="17"/>
  <c r="H1095" i="17"/>
  <c r="G1095" i="17"/>
  <c r="F1095" i="17"/>
  <c r="E1095" i="17"/>
  <c r="D1095" i="17"/>
  <c r="C1095" i="17"/>
  <c r="B1095" i="17"/>
  <c r="A1095" i="17"/>
  <c r="I1094" i="17"/>
  <c r="H1094" i="17"/>
  <c r="G1094" i="17"/>
  <c r="F1094" i="17"/>
  <c r="E1094" i="17"/>
  <c r="D1094" i="17"/>
  <c r="C1094" i="17"/>
  <c r="B1094" i="17"/>
  <c r="A1094" i="17"/>
  <c r="I1093" i="17"/>
  <c r="H1093" i="17"/>
  <c r="G1093" i="17"/>
  <c r="F1093" i="17"/>
  <c r="E1093" i="17"/>
  <c r="D1093" i="17"/>
  <c r="C1093" i="17"/>
  <c r="B1093" i="17"/>
  <c r="A1093" i="17"/>
  <c r="V1093" i="17" s="1"/>
  <c r="I1092" i="17"/>
  <c r="H1092" i="17"/>
  <c r="G1092" i="17"/>
  <c r="F1092" i="17"/>
  <c r="E1092" i="17"/>
  <c r="D1092" i="17"/>
  <c r="C1092" i="17"/>
  <c r="B1092" i="17"/>
  <c r="A1092" i="17"/>
  <c r="Y1092" i="17" s="1"/>
  <c r="Q1091" i="17"/>
  <c r="I1091" i="17"/>
  <c r="H1091" i="17"/>
  <c r="G1091" i="17"/>
  <c r="F1091" i="17"/>
  <c r="E1091" i="17"/>
  <c r="D1091" i="17"/>
  <c r="C1091" i="17"/>
  <c r="B1091" i="17"/>
  <c r="A1091" i="17"/>
  <c r="I1090" i="17"/>
  <c r="H1090" i="17"/>
  <c r="G1090" i="17"/>
  <c r="F1090" i="17"/>
  <c r="E1090" i="17"/>
  <c r="D1090" i="17"/>
  <c r="C1090" i="17"/>
  <c r="B1090" i="17"/>
  <c r="A1090" i="17"/>
  <c r="I1089" i="17"/>
  <c r="H1089" i="17"/>
  <c r="G1089" i="17"/>
  <c r="F1089" i="17"/>
  <c r="E1089" i="17"/>
  <c r="D1089" i="17"/>
  <c r="C1089" i="17"/>
  <c r="B1089" i="17"/>
  <c r="A1089" i="17"/>
  <c r="I1088" i="17"/>
  <c r="H1088" i="17"/>
  <c r="G1088" i="17"/>
  <c r="F1088" i="17"/>
  <c r="E1088" i="17"/>
  <c r="D1088" i="17"/>
  <c r="C1088" i="17"/>
  <c r="B1088" i="17"/>
  <c r="A1088" i="17"/>
  <c r="R1088" i="17" s="1"/>
  <c r="AP1087" i="17"/>
  <c r="AE1087" i="17"/>
  <c r="I1087" i="17"/>
  <c r="H1087" i="17"/>
  <c r="G1087" i="17"/>
  <c r="F1087" i="17"/>
  <c r="E1087" i="17"/>
  <c r="D1087" i="17"/>
  <c r="C1087" i="17"/>
  <c r="B1087" i="17"/>
  <c r="A1087" i="17"/>
  <c r="I1086" i="17"/>
  <c r="H1086" i="17"/>
  <c r="G1086" i="17"/>
  <c r="F1086" i="17"/>
  <c r="E1086" i="17"/>
  <c r="D1086" i="17"/>
  <c r="C1086" i="17"/>
  <c r="B1086" i="17"/>
  <c r="A1086" i="17"/>
  <c r="AC1086" i="17" s="1"/>
  <c r="I1085" i="17"/>
  <c r="H1085" i="17"/>
  <c r="G1085" i="17"/>
  <c r="F1085" i="17"/>
  <c r="E1085" i="17"/>
  <c r="D1085" i="17"/>
  <c r="C1085" i="17"/>
  <c r="B1085" i="17"/>
  <c r="A1085" i="17"/>
  <c r="AR1084" i="17"/>
  <c r="AQ1084" i="17"/>
  <c r="AA1084" i="17"/>
  <c r="Z1084" i="17"/>
  <c r="Y1084" i="17"/>
  <c r="R1084" i="17"/>
  <c r="N1084" i="17"/>
  <c r="K1084" i="17"/>
  <c r="J1084" i="17"/>
  <c r="I1084" i="17"/>
  <c r="H1084" i="17"/>
  <c r="G1084" i="17"/>
  <c r="F1084" i="17"/>
  <c r="E1084" i="17"/>
  <c r="D1084" i="17"/>
  <c r="C1084" i="17"/>
  <c r="B1084" i="17"/>
  <c r="A1084" i="17"/>
  <c r="AK1084" i="17" s="1"/>
  <c r="I1083" i="17"/>
  <c r="H1083" i="17"/>
  <c r="G1083" i="17"/>
  <c r="F1083" i="17"/>
  <c r="E1083" i="17"/>
  <c r="D1083" i="17"/>
  <c r="C1083" i="17"/>
  <c r="B1083" i="17"/>
  <c r="A1083" i="17"/>
  <c r="I1082" i="17"/>
  <c r="H1082" i="17"/>
  <c r="G1082" i="17"/>
  <c r="F1082" i="17"/>
  <c r="E1082" i="17"/>
  <c r="D1082" i="17"/>
  <c r="C1082" i="17"/>
  <c r="B1082" i="17"/>
  <c r="A1082" i="17"/>
  <c r="R1082" i="17" s="1"/>
  <c r="I1081" i="17"/>
  <c r="H1081" i="17"/>
  <c r="G1081" i="17"/>
  <c r="F1081" i="17"/>
  <c r="E1081" i="17"/>
  <c r="D1081" i="17"/>
  <c r="C1081" i="17"/>
  <c r="B1081" i="17"/>
  <c r="A1081" i="17"/>
  <c r="I1080" i="17"/>
  <c r="H1080" i="17"/>
  <c r="G1080" i="17"/>
  <c r="F1080" i="17"/>
  <c r="E1080" i="17"/>
  <c r="D1080" i="17"/>
  <c r="C1080" i="17"/>
  <c r="B1080" i="17"/>
  <c r="A1080" i="17"/>
  <c r="AJ1080" i="17" s="1"/>
  <c r="I1079" i="17"/>
  <c r="H1079" i="17"/>
  <c r="G1079" i="17"/>
  <c r="F1079" i="17"/>
  <c r="E1079" i="17"/>
  <c r="D1079" i="17"/>
  <c r="C1079" i="17"/>
  <c r="B1079" i="17"/>
  <c r="A1079" i="17"/>
  <c r="Y1078" i="17"/>
  <c r="I1078" i="17"/>
  <c r="H1078" i="17"/>
  <c r="G1078" i="17"/>
  <c r="F1078" i="17"/>
  <c r="E1078" i="17"/>
  <c r="D1078" i="17"/>
  <c r="C1078" i="17"/>
  <c r="B1078" i="17"/>
  <c r="A1078" i="17"/>
  <c r="N1078" i="17" s="1"/>
  <c r="I1077" i="17"/>
  <c r="H1077" i="17"/>
  <c r="G1077" i="17"/>
  <c r="F1077" i="17"/>
  <c r="E1077" i="17"/>
  <c r="D1077" i="17"/>
  <c r="C1077" i="17"/>
  <c r="B1077" i="17"/>
  <c r="A1077" i="17"/>
  <c r="AP1077" i="17" s="1"/>
  <c r="I1076" i="17"/>
  <c r="H1076" i="17"/>
  <c r="G1076" i="17"/>
  <c r="F1076" i="17"/>
  <c r="E1076" i="17"/>
  <c r="D1076" i="17"/>
  <c r="C1076" i="17"/>
  <c r="B1076" i="17"/>
  <c r="A1076" i="17"/>
  <c r="I1075" i="17"/>
  <c r="H1075" i="17"/>
  <c r="G1075" i="17"/>
  <c r="F1075" i="17"/>
  <c r="E1075" i="17"/>
  <c r="D1075" i="17"/>
  <c r="C1075" i="17"/>
  <c r="B1075" i="17"/>
  <c r="A1075" i="17"/>
  <c r="Y1075" i="17" s="1"/>
  <c r="I1074" i="17"/>
  <c r="H1074" i="17"/>
  <c r="G1074" i="17"/>
  <c r="F1074" i="17"/>
  <c r="E1074" i="17"/>
  <c r="D1074" i="17"/>
  <c r="C1074" i="17"/>
  <c r="B1074" i="17"/>
  <c r="A1074" i="17"/>
  <c r="AM1073" i="17"/>
  <c r="AC1073" i="17"/>
  <c r="Z1073" i="17"/>
  <c r="V1073" i="17"/>
  <c r="R1073" i="17"/>
  <c r="Q1073" i="17"/>
  <c r="I1073" i="17"/>
  <c r="H1073" i="17"/>
  <c r="G1073" i="17"/>
  <c r="F1073" i="17"/>
  <c r="E1073" i="17"/>
  <c r="D1073" i="17"/>
  <c r="C1073" i="17"/>
  <c r="B1073" i="17"/>
  <c r="A1073" i="17"/>
  <c r="AP1073" i="17" s="1"/>
  <c r="AB1072" i="17"/>
  <c r="I1072" i="17"/>
  <c r="H1072" i="17"/>
  <c r="G1072" i="17"/>
  <c r="F1072" i="17"/>
  <c r="E1072" i="17"/>
  <c r="D1072" i="17"/>
  <c r="C1072" i="17"/>
  <c r="B1072" i="17"/>
  <c r="A1072" i="17"/>
  <c r="AA1072" i="17" s="1"/>
  <c r="I1071" i="17"/>
  <c r="H1071" i="17"/>
  <c r="G1071" i="17"/>
  <c r="F1071" i="17"/>
  <c r="E1071" i="17"/>
  <c r="D1071" i="17"/>
  <c r="C1071" i="17"/>
  <c r="B1071" i="17"/>
  <c r="A1071" i="17"/>
  <c r="AO1070" i="17"/>
  <c r="AA1070" i="17"/>
  <c r="Y1070" i="17"/>
  <c r="R1070" i="17"/>
  <c r="I1070" i="17"/>
  <c r="H1070" i="17"/>
  <c r="G1070" i="17"/>
  <c r="F1070" i="17"/>
  <c r="E1070" i="17"/>
  <c r="D1070" i="17"/>
  <c r="C1070" i="17"/>
  <c r="B1070" i="17"/>
  <c r="A1070" i="17"/>
  <c r="I1069" i="17"/>
  <c r="H1069" i="17"/>
  <c r="G1069" i="17"/>
  <c r="F1069" i="17"/>
  <c r="E1069" i="17"/>
  <c r="D1069" i="17"/>
  <c r="C1069" i="17"/>
  <c r="B1069" i="17"/>
  <c r="A1069" i="17"/>
  <c r="I1068" i="17"/>
  <c r="H1068" i="17"/>
  <c r="G1068" i="17"/>
  <c r="F1068" i="17"/>
  <c r="E1068" i="17"/>
  <c r="D1068" i="17"/>
  <c r="C1068" i="17"/>
  <c r="B1068" i="17"/>
  <c r="A1068" i="17"/>
  <c r="AN1067" i="17"/>
  <c r="AM1067" i="17"/>
  <c r="I1067" i="17"/>
  <c r="H1067" i="17"/>
  <c r="G1067" i="17"/>
  <c r="F1067" i="17"/>
  <c r="E1067" i="17"/>
  <c r="D1067" i="17"/>
  <c r="C1067" i="17"/>
  <c r="B1067" i="17"/>
  <c r="A1067" i="17"/>
  <c r="AH1066" i="17"/>
  <c r="AG1066" i="17"/>
  <c r="AB1066" i="17"/>
  <c r="L1066" i="17"/>
  <c r="K1066" i="17"/>
  <c r="I1066" i="17"/>
  <c r="H1066" i="17"/>
  <c r="G1066" i="17"/>
  <c r="F1066" i="17"/>
  <c r="E1066" i="17"/>
  <c r="D1066" i="17"/>
  <c r="C1066" i="17"/>
  <c r="B1066" i="17"/>
  <c r="A1066" i="17"/>
  <c r="I1065" i="17"/>
  <c r="H1065" i="17"/>
  <c r="G1065" i="17"/>
  <c r="F1065" i="17"/>
  <c r="E1065" i="17"/>
  <c r="D1065" i="17"/>
  <c r="C1065" i="17"/>
  <c r="B1065" i="17"/>
  <c r="A1065" i="17"/>
  <c r="I1064" i="17"/>
  <c r="H1064" i="17"/>
  <c r="G1064" i="17"/>
  <c r="F1064" i="17"/>
  <c r="E1064" i="17"/>
  <c r="D1064" i="17"/>
  <c r="C1064" i="17"/>
  <c r="B1064" i="17"/>
  <c r="A1064" i="17"/>
  <c r="N1064" i="17" s="1"/>
  <c r="I1063" i="17"/>
  <c r="H1063" i="17"/>
  <c r="G1063" i="17"/>
  <c r="F1063" i="17"/>
  <c r="E1063" i="17"/>
  <c r="D1063" i="17"/>
  <c r="C1063" i="17"/>
  <c r="B1063" i="17"/>
  <c r="A1063" i="17"/>
  <c r="V1063" i="17" s="1"/>
  <c r="I1062" i="17"/>
  <c r="H1062" i="17"/>
  <c r="G1062" i="17"/>
  <c r="F1062" i="17"/>
  <c r="E1062" i="17"/>
  <c r="D1062" i="17"/>
  <c r="C1062" i="17"/>
  <c r="B1062" i="17"/>
  <c r="A1062" i="17"/>
  <c r="AO1062" i="17" s="1"/>
  <c r="I1061" i="17"/>
  <c r="H1061" i="17"/>
  <c r="G1061" i="17"/>
  <c r="F1061" i="17"/>
  <c r="E1061" i="17"/>
  <c r="D1061" i="17"/>
  <c r="C1061" i="17"/>
  <c r="B1061" i="17"/>
  <c r="A1061" i="17"/>
  <c r="AL1061" i="17" s="1"/>
  <c r="AR1060" i="17"/>
  <c r="Y1060" i="17"/>
  <c r="I1060" i="17"/>
  <c r="H1060" i="17"/>
  <c r="G1060" i="17"/>
  <c r="F1060" i="17"/>
  <c r="E1060" i="17"/>
  <c r="D1060" i="17"/>
  <c r="C1060" i="17"/>
  <c r="B1060" i="17"/>
  <c r="A1060" i="17"/>
  <c r="I1059" i="17"/>
  <c r="H1059" i="17"/>
  <c r="G1059" i="17"/>
  <c r="F1059" i="17"/>
  <c r="E1059" i="17"/>
  <c r="D1059" i="17"/>
  <c r="C1059" i="17"/>
  <c r="B1059" i="17"/>
  <c r="A1059" i="17"/>
  <c r="P1059" i="17" s="1"/>
  <c r="I1058" i="17"/>
  <c r="H1058" i="17"/>
  <c r="G1058" i="17"/>
  <c r="F1058" i="17"/>
  <c r="E1058" i="17"/>
  <c r="D1058" i="17"/>
  <c r="C1058" i="17"/>
  <c r="B1058" i="17"/>
  <c r="A1058" i="17"/>
  <c r="Z1057" i="17"/>
  <c r="Q1057" i="17"/>
  <c r="P1057" i="17"/>
  <c r="O1057" i="17"/>
  <c r="I1057" i="17"/>
  <c r="H1057" i="17"/>
  <c r="G1057" i="17"/>
  <c r="F1057" i="17"/>
  <c r="E1057" i="17"/>
  <c r="D1057" i="17"/>
  <c r="C1057" i="17"/>
  <c r="B1057" i="17"/>
  <c r="A1057" i="17"/>
  <c r="I1056" i="17"/>
  <c r="H1056" i="17"/>
  <c r="G1056" i="17"/>
  <c r="F1056" i="17"/>
  <c r="E1056" i="17"/>
  <c r="D1056" i="17"/>
  <c r="C1056" i="17"/>
  <c r="B1056" i="17"/>
  <c r="A1056" i="17"/>
  <c r="I1055" i="17"/>
  <c r="H1055" i="17"/>
  <c r="G1055" i="17"/>
  <c r="F1055" i="17"/>
  <c r="E1055" i="17"/>
  <c r="D1055" i="17"/>
  <c r="C1055" i="17"/>
  <c r="B1055" i="17"/>
  <c r="A1055" i="17"/>
  <c r="AP1055" i="17" s="1"/>
  <c r="I1054" i="17"/>
  <c r="H1054" i="17"/>
  <c r="G1054" i="17"/>
  <c r="F1054" i="17"/>
  <c r="E1054" i="17"/>
  <c r="D1054" i="17"/>
  <c r="C1054" i="17"/>
  <c r="B1054" i="17"/>
  <c r="A1054" i="17"/>
  <c r="Z1054" i="17" s="1"/>
  <c r="I1053" i="17"/>
  <c r="H1053" i="17"/>
  <c r="G1053" i="17"/>
  <c r="F1053" i="17"/>
  <c r="E1053" i="17"/>
  <c r="D1053" i="17"/>
  <c r="C1053" i="17"/>
  <c r="B1053" i="17"/>
  <c r="A1053" i="17"/>
  <c r="N1052" i="17"/>
  <c r="K1052" i="17"/>
  <c r="J1052" i="17"/>
  <c r="I1052" i="17"/>
  <c r="H1052" i="17"/>
  <c r="G1052" i="17"/>
  <c r="F1052" i="17"/>
  <c r="E1052" i="17"/>
  <c r="D1052" i="17"/>
  <c r="C1052" i="17"/>
  <c r="B1052" i="17"/>
  <c r="A1052" i="17"/>
  <c r="I1051" i="17"/>
  <c r="H1051" i="17"/>
  <c r="G1051" i="17"/>
  <c r="F1051" i="17"/>
  <c r="E1051" i="17"/>
  <c r="D1051" i="17"/>
  <c r="C1051" i="17"/>
  <c r="B1051" i="17"/>
  <c r="A1051" i="17"/>
  <c r="I1050" i="17"/>
  <c r="H1050" i="17"/>
  <c r="G1050" i="17"/>
  <c r="F1050" i="17"/>
  <c r="E1050" i="17"/>
  <c r="D1050" i="17"/>
  <c r="C1050" i="17"/>
  <c r="B1050" i="17"/>
  <c r="A1050" i="17"/>
  <c r="AL1049" i="17"/>
  <c r="AK1049" i="17"/>
  <c r="AC1049" i="17"/>
  <c r="M1049" i="17"/>
  <c r="I1049" i="17"/>
  <c r="H1049" i="17"/>
  <c r="G1049" i="17"/>
  <c r="F1049" i="17"/>
  <c r="E1049" i="17"/>
  <c r="D1049" i="17"/>
  <c r="C1049" i="17"/>
  <c r="B1049" i="17"/>
  <c r="A1049" i="17"/>
  <c r="I1048" i="17"/>
  <c r="H1048" i="17"/>
  <c r="G1048" i="17"/>
  <c r="F1048" i="17"/>
  <c r="E1048" i="17"/>
  <c r="D1048" i="17"/>
  <c r="C1048" i="17"/>
  <c r="B1048" i="17"/>
  <c r="A1048" i="17"/>
  <c r="AP1047" i="17"/>
  <c r="AO1047" i="17"/>
  <c r="V1047" i="17"/>
  <c r="U1047" i="17"/>
  <c r="R1047" i="17"/>
  <c r="I1047" i="17"/>
  <c r="H1047" i="17"/>
  <c r="G1047" i="17"/>
  <c r="F1047" i="17"/>
  <c r="E1047" i="17"/>
  <c r="D1047" i="17"/>
  <c r="C1047" i="17"/>
  <c r="B1047" i="17"/>
  <c r="A1047" i="17"/>
  <c r="AR1046" i="17"/>
  <c r="AJ1046" i="17"/>
  <c r="Z1046" i="17"/>
  <c r="S1046" i="17"/>
  <c r="N1046" i="17"/>
  <c r="M1046" i="17"/>
  <c r="L1046" i="17"/>
  <c r="I1046" i="17"/>
  <c r="H1046" i="17"/>
  <c r="G1046" i="17"/>
  <c r="F1046" i="17"/>
  <c r="E1046" i="17"/>
  <c r="D1046" i="17"/>
  <c r="C1046" i="17"/>
  <c r="B1046" i="17"/>
  <c r="A1046" i="17"/>
  <c r="AO1046" i="17" s="1"/>
  <c r="AE1045" i="17"/>
  <c r="AD1045" i="17"/>
  <c r="V1045" i="17"/>
  <c r="U1045" i="17"/>
  <c r="R1045" i="17"/>
  <c r="P1045" i="17"/>
  <c r="I1045" i="17"/>
  <c r="H1045" i="17"/>
  <c r="G1045" i="17"/>
  <c r="F1045" i="17"/>
  <c r="E1045" i="17"/>
  <c r="D1045" i="17"/>
  <c r="C1045" i="17"/>
  <c r="B1045" i="17"/>
  <c r="A1045" i="17"/>
  <c r="AO1045" i="17" s="1"/>
  <c r="AL1044" i="17"/>
  <c r="AJ1044" i="17"/>
  <c r="Z1044" i="17"/>
  <c r="Y1044" i="17"/>
  <c r="V1044" i="17"/>
  <c r="M1044" i="17"/>
  <c r="I1044" i="17"/>
  <c r="H1044" i="17"/>
  <c r="G1044" i="17"/>
  <c r="F1044" i="17"/>
  <c r="E1044" i="17"/>
  <c r="D1044" i="17"/>
  <c r="C1044" i="17"/>
  <c r="B1044" i="17"/>
  <c r="A1044" i="17"/>
  <c r="AP1044" i="17" s="1"/>
  <c r="AK1043" i="17"/>
  <c r="AD1043" i="17"/>
  <c r="U1043" i="17"/>
  <c r="P1043" i="17"/>
  <c r="O1043" i="17"/>
  <c r="I1043" i="17"/>
  <c r="H1043" i="17"/>
  <c r="G1043" i="17"/>
  <c r="F1043" i="17"/>
  <c r="E1043" i="17"/>
  <c r="D1043" i="17"/>
  <c r="C1043" i="17"/>
  <c r="B1043" i="17"/>
  <c r="A1043" i="17"/>
  <c r="I1042" i="17"/>
  <c r="H1042" i="17"/>
  <c r="G1042" i="17"/>
  <c r="F1042" i="17"/>
  <c r="E1042" i="17"/>
  <c r="D1042" i="17"/>
  <c r="C1042" i="17"/>
  <c r="B1042" i="17"/>
  <c r="A1042" i="17"/>
  <c r="I1041" i="17"/>
  <c r="H1041" i="17"/>
  <c r="G1041" i="17"/>
  <c r="F1041" i="17"/>
  <c r="E1041" i="17"/>
  <c r="D1041" i="17"/>
  <c r="C1041" i="17"/>
  <c r="B1041" i="17"/>
  <c r="A1041" i="17"/>
  <c r="I1040" i="17"/>
  <c r="H1040" i="17"/>
  <c r="G1040" i="17"/>
  <c r="F1040" i="17"/>
  <c r="E1040" i="17"/>
  <c r="D1040" i="17"/>
  <c r="C1040" i="17"/>
  <c r="B1040" i="17"/>
  <c r="A1040" i="17"/>
  <c r="AR1040" i="17" s="1"/>
  <c r="AN1039" i="17"/>
  <c r="W1039" i="17"/>
  <c r="I1039" i="17"/>
  <c r="H1039" i="17"/>
  <c r="G1039" i="17"/>
  <c r="F1039" i="17"/>
  <c r="E1039" i="17"/>
  <c r="D1039" i="17"/>
  <c r="C1039" i="17"/>
  <c r="B1039" i="17"/>
  <c r="A1039" i="17"/>
  <c r="I1038" i="17"/>
  <c r="H1038" i="17"/>
  <c r="G1038" i="17"/>
  <c r="F1038" i="17"/>
  <c r="E1038" i="17"/>
  <c r="D1038" i="17"/>
  <c r="C1038" i="17"/>
  <c r="B1038" i="17"/>
  <c r="A1038" i="17"/>
  <c r="AL1037" i="17"/>
  <c r="AE1037" i="17"/>
  <c r="Z1037" i="17"/>
  <c r="Y1037" i="17"/>
  <c r="V1037" i="17"/>
  <c r="I1037" i="17"/>
  <c r="H1037" i="17"/>
  <c r="G1037" i="17"/>
  <c r="F1037" i="17"/>
  <c r="E1037" i="17"/>
  <c r="D1037" i="17"/>
  <c r="C1037" i="17"/>
  <c r="B1037" i="17"/>
  <c r="A1037" i="17"/>
  <c r="I1036" i="17"/>
  <c r="H1036" i="17"/>
  <c r="G1036" i="17"/>
  <c r="F1036" i="17"/>
  <c r="E1036" i="17"/>
  <c r="D1036" i="17"/>
  <c r="C1036" i="17"/>
  <c r="B1036" i="17"/>
  <c r="A1036" i="17"/>
  <c r="AQ1036" i="17" s="1"/>
  <c r="AG1035" i="17"/>
  <c r="I1035" i="17"/>
  <c r="H1035" i="17"/>
  <c r="G1035" i="17"/>
  <c r="F1035" i="17"/>
  <c r="E1035" i="17"/>
  <c r="D1035" i="17"/>
  <c r="C1035" i="17"/>
  <c r="B1035" i="17"/>
  <c r="A1035" i="17"/>
  <c r="AF1035" i="17" s="1"/>
  <c r="AG1034" i="17"/>
  <c r="I1034" i="17"/>
  <c r="H1034" i="17"/>
  <c r="G1034" i="17"/>
  <c r="F1034" i="17"/>
  <c r="E1034" i="17"/>
  <c r="D1034" i="17"/>
  <c r="C1034" i="17"/>
  <c r="B1034" i="17"/>
  <c r="A1034" i="17"/>
  <c r="I1033" i="17"/>
  <c r="H1033" i="17"/>
  <c r="G1033" i="17"/>
  <c r="F1033" i="17"/>
  <c r="E1033" i="17"/>
  <c r="D1033" i="17"/>
  <c r="C1033" i="17"/>
  <c r="B1033" i="17"/>
  <c r="A1033" i="17"/>
  <c r="M1032" i="17"/>
  <c r="K1032" i="17"/>
  <c r="I1032" i="17"/>
  <c r="H1032" i="17"/>
  <c r="G1032" i="17"/>
  <c r="F1032" i="17"/>
  <c r="E1032" i="17"/>
  <c r="D1032" i="17"/>
  <c r="C1032" i="17"/>
  <c r="B1032" i="17"/>
  <c r="A1032" i="17"/>
  <c r="AH1031" i="17"/>
  <c r="I1031" i="17"/>
  <c r="H1031" i="17"/>
  <c r="G1031" i="17"/>
  <c r="F1031" i="17"/>
  <c r="E1031" i="17"/>
  <c r="D1031" i="17"/>
  <c r="C1031" i="17"/>
  <c r="B1031" i="17"/>
  <c r="A1031" i="17"/>
  <c r="AJ1031" i="17" s="1"/>
  <c r="I1030" i="17"/>
  <c r="H1030" i="17"/>
  <c r="G1030" i="17"/>
  <c r="F1030" i="17"/>
  <c r="E1030" i="17"/>
  <c r="D1030" i="17"/>
  <c r="C1030" i="17"/>
  <c r="B1030" i="17"/>
  <c r="A1030" i="17"/>
  <c r="U1030" i="17" s="1"/>
  <c r="I1029" i="17"/>
  <c r="H1029" i="17"/>
  <c r="G1029" i="17"/>
  <c r="F1029" i="17"/>
  <c r="E1029" i="17"/>
  <c r="D1029" i="17"/>
  <c r="C1029" i="17"/>
  <c r="B1029" i="17"/>
  <c r="A1029" i="17"/>
  <c r="I1028" i="17"/>
  <c r="H1028" i="17"/>
  <c r="G1028" i="17"/>
  <c r="F1028" i="17"/>
  <c r="E1028" i="17"/>
  <c r="D1028" i="17"/>
  <c r="C1028" i="17"/>
  <c r="B1028" i="17"/>
  <c r="A1028" i="17"/>
  <c r="I1027" i="17"/>
  <c r="H1027" i="17"/>
  <c r="G1027" i="17"/>
  <c r="F1027" i="17"/>
  <c r="E1027" i="17"/>
  <c r="D1027" i="17"/>
  <c r="C1027" i="17"/>
  <c r="B1027" i="17"/>
  <c r="A1027" i="17"/>
  <c r="Q1027" i="17" s="1"/>
  <c r="I1026" i="17"/>
  <c r="H1026" i="17"/>
  <c r="G1026" i="17"/>
  <c r="F1026" i="17"/>
  <c r="E1026" i="17"/>
  <c r="D1026" i="17"/>
  <c r="C1026" i="17"/>
  <c r="B1026" i="17"/>
  <c r="A1026" i="17"/>
  <c r="I1025" i="17"/>
  <c r="H1025" i="17"/>
  <c r="G1025" i="17"/>
  <c r="F1025" i="17"/>
  <c r="E1025" i="17"/>
  <c r="D1025" i="17"/>
  <c r="C1025" i="17"/>
  <c r="B1025" i="17"/>
  <c r="A1025" i="17"/>
  <c r="AN1025" i="17" s="1"/>
  <c r="AD1024" i="17"/>
  <c r="AA1024" i="17"/>
  <c r="I1024" i="17"/>
  <c r="H1024" i="17"/>
  <c r="G1024" i="17"/>
  <c r="F1024" i="17"/>
  <c r="E1024" i="17"/>
  <c r="D1024" i="17"/>
  <c r="C1024" i="17"/>
  <c r="B1024" i="17"/>
  <c r="A1024" i="17"/>
  <c r="I1023" i="17"/>
  <c r="H1023" i="17"/>
  <c r="G1023" i="17"/>
  <c r="F1023" i="17"/>
  <c r="E1023" i="17"/>
  <c r="D1023" i="17"/>
  <c r="C1023" i="17"/>
  <c r="B1023" i="17"/>
  <c r="A1023" i="17"/>
  <c r="AN1022" i="17"/>
  <c r="AL1022" i="17"/>
  <c r="X1022" i="17"/>
  <c r="M1022" i="17"/>
  <c r="I1022" i="17"/>
  <c r="H1022" i="17"/>
  <c r="G1022" i="17"/>
  <c r="F1022" i="17"/>
  <c r="E1022" i="17"/>
  <c r="D1022" i="17"/>
  <c r="C1022" i="17"/>
  <c r="B1022" i="17"/>
  <c r="A1022" i="17"/>
  <c r="AO1021" i="17"/>
  <c r="AN1021" i="17"/>
  <c r="AM1021" i="17"/>
  <c r="AG1021" i="17"/>
  <c r="AE1021" i="17"/>
  <c r="AD1021" i="17"/>
  <c r="X1021" i="17"/>
  <c r="T1021" i="17"/>
  <c r="Q1021" i="17"/>
  <c r="P1021" i="17"/>
  <c r="N1021" i="17"/>
  <c r="M1021" i="17"/>
  <c r="I1021" i="17"/>
  <c r="H1021" i="17"/>
  <c r="G1021" i="17"/>
  <c r="F1021" i="17"/>
  <c r="E1021" i="17"/>
  <c r="D1021" i="17"/>
  <c r="C1021" i="17"/>
  <c r="B1021" i="17"/>
  <c r="A1021" i="17"/>
  <c r="AL1021" i="17" s="1"/>
  <c r="AR1020" i="17"/>
  <c r="AQ1020" i="17"/>
  <c r="AO1020" i="17"/>
  <c r="AN1020" i="17"/>
  <c r="AL1020" i="17"/>
  <c r="AI1020" i="17"/>
  <c r="Y1020" i="17"/>
  <c r="T1020" i="17"/>
  <c r="S1020" i="17"/>
  <c r="N1020" i="17"/>
  <c r="M1020" i="17"/>
  <c r="L1020" i="17"/>
  <c r="I1020" i="17"/>
  <c r="H1020" i="17"/>
  <c r="G1020" i="17"/>
  <c r="F1020" i="17"/>
  <c r="E1020" i="17"/>
  <c r="D1020" i="17"/>
  <c r="C1020" i="17"/>
  <c r="B1020" i="17"/>
  <c r="A1020" i="17"/>
  <c r="AC1020" i="17" s="1"/>
  <c r="I1019" i="17"/>
  <c r="H1019" i="17"/>
  <c r="G1019" i="17"/>
  <c r="F1019" i="17"/>
  <c r="E1019" i="17"/>
  <c r="D1019" i="17"/>
  <c r="C1019" i="17"/>
  <c r="B1019" i="17"/>
  <c r="A1019" i="17"/>
  <c r="AF1019" i="17" s="1"/>
  <c r="AN1018" i="17"/>
  <c r="AB1018" i="17"/>
  <c r="T1018" i="17"/>
  <c r="S1018" i="17"/>
  <c r="N1018" i="17"/>
  <c r="K1018" i="17"/>
  <c r="I1018" i="17"/>
  <c r="H1018" i="17"/>
  <c r="G1018" i="17"/>
  <c r="F1018" i="17"/>
  <c r="E1018" i="17"/>
  <c r="D1018" i="17"/>
  <c r="C1018" i="17"/>
  <c r="B1018" i="17"/>
  <c r="A1018" i="17"/>
  <c r="I1017" i="17"/>
  <c r="H1017" i="17"/>
  <c r="G1017" i="17"/>
  <c r="F1017" i="17"/>
  <c r="E1017" i="17"/>
  <c r="D1017" i="17"/>
  <c r="C1017" i="17"/>
  <c r="B1017" i="17"/>
  <c r="A1017" i="17"/>
  <c r="I1016" i="17"/>
  <c r="H1016" i="17"/>
  <c r="G1016" i="17"/>
  <c r="F1016" i="17"/>
  <c r="E1016" i="17"/>
  <c r="D1016" i="17"/>
  <c r="C1016" i="17"/>
  <c r="B1016" i="17"/>
  <c r="A1016" i="17"/>
  <c r="I1015" i="17"/>
  <c r="H1015" i="17"/>
  <c r="G1015" i="17"/>
  <c r="F1015" i="17"/>
  <c r="E1015" i="17"/>
  <c r="D1015" i="17"/>
  <c r="C1015" i="17"/>
  <c r="B1015" i="17"/>
  <c r="A1015" i="17"/>
  <c r="I1014" i="17"/>
  <c r="H1014" i="17"/>
  <c r="G1014" i="17"/>
  <c r="F1014" i="17"/>
  <c r="E1014" i="17"/>
  <c r="D1014" i="17"/>
  <c r="C1014" i="17"/>
  <c r="B1014" i="17"/>
  <c r="A1014" i="17"/>
  <c r="I1013" i="17"/>
  <c r="H1013" i="17"/>
  <c r="G1013" i="17"/>
  <c r="F1013" i="17"/>
  <c r="E1013" i="17"/>
  <c r="D1013" i="17"/>
  <c r="C1013" i="17"/>
  <c r="B1013" i="17"/>
  <c r="A1013" i="17"/>
  <c r="AL1012" i="17"/>
  <c r="AJ1012" i="17"/>
  <c r="Y1012" i="17"/>
  <c r="S1012" i="17"/>
  <c r="Q1012" i="17"/>
  <c r="P1012" i="17"/>
  <c r="I1012" i="17"/>
  <c r="H1012" i="17"/>
  <c r="G1012" i="17"/>
  <c r="F1012" i="17"/>
  <c r="E1012" i="17"/>
  <c r="D1012" i="17"/>
  <c r="C1012" i="17"/>
  <c r="B1012" i="17"/>
  <c r="A1012" i="17"/>
  <c r="AP1012" i="17" s="1"/>
  <c r="AF1011" i="17"/>
  <c r="Z1011" i="17"/>
  <c r="Y1011" i="17"/>
  <c r="T1011" i="17"/>
  <c r="Q1011" i="17"/>
  <c r="P1011" i="17"/>
  <c r="I1011" i="17"/>
  <c r="H1011" i="17"/>
  <c r="G1011" i="17"/>
  <c r="F1011" i="17"/>
  <c r="E1011" i="17"/>
  <c r="D1011" i="17"/>
  <c r="C1011" i="17"/>
  <c r="B1011" i="17"/>
  <c r="A1011" i="17"/>
  <c r="AP1011" i="17" s="1"/>
  <c r="AI1010" i="17"/>
  <c r="I1010" i="17"/>
  <c r="H1010" i="17"/>
  <c r="G1010" i="17"/>
  <c r="F1010" i="17"/>
  <c r="E1010" i="17"/>
  <c r="D1010" i="17"/>
  <c r="C1010" i="17"/>
  <c r="B1010" i="17"/>
  <c r="A1010" i="17"/>
  <c r="X1009" i="17"/>
  <c r="I1009" i="17"/>
  <c r="H1009" i="17"/>
  <c r="G1009" i="17"/>
  <c r="F1009" i="17"/>
  <c r="E1009" i="17"/>
  <c r="D1009" i="17"/>
  <c r="C1009" i="17"/>
  <c r="B1009" i="17"/>
  <c r="A1009" i="17"/>
  <c r="I1008" i="17"/>
  <c r="H1008" i="17"/>
  <c r="G1008" i="17"/>
  <c r="F1008" i="17"/>
  <c r="E1008" i="17"/>
  <c r="D1008" i="17"/>
  <c r="C1008" i="17"/>
  <c r="B1008" i="17"/>
  <c r="A1008" i="17"/>
  <c r="AO1007" i="17"/>
  <c r="AN1007" i="17"/>
  <c r="AM1007" i="17"/>
  <c r="P1007" i="17"/>
  <c r="O1007" i="17"/>
  <c r="I1007" i="17"/>
  <c r="H1007" i="17"/>
  <c r="G1007" i="17"/>
  <c r="F1007" i="17"/>
  <c r="E1007" i="17"/>
  <c r="D1007" i="17"/>
  <c r="C1007" i="17"/>
  <c r="B1007" i="17"/>
  <c r="A1007" i="17"/>
  <c r="L1007" i="17" s="1"/>
  <c r="AL1006" i="17"/>
  <c r="AF1006" i="17"/>
  <c r="Z1006" i="17"/>
  <c r="Y1006" i="17"/>
  <c r="X1006" i="17"/>
  <c r="T1006" i="17"/>
  <c r="I1006" i="17"/>
  <c r="H1006" i="17"/>
  <c r="G1006" i="17"/>
  <c r="F1006" i="17"/>
  <c r="E1006" i="17"/>
  <c r="D1006" i="17"/>
  <c r="C1006" i="17"/>
  <c r="B1006" i="17"/>
  <c r="A1006" i="17"/>
  <c r="Q1006" i="17" s="1"/>
  <c r="V1005" i="17"/>
  <c r="P1005" i="17"/>
  <c r="I1005" i="17"/>
  <c r="H1005" i="17"/>
  <c r="G1005" i="17"/>
  <c r="F1005" i="17"/>
  <c r="E1005" i="17"/>
  <c r="D1005" i="17"/>
  <c r="C1005" i="17"/>
  <c r="B1005" i="17"/>
  <c r="A1005" i="17"/>
  <c r="AK1004" i="17"/>
  <c r="AI1004" i="17"/>
  <c r="AH1004" i="17"/>
  <c r="V1004" i="17"/>
  <c r="M1004" i="17"/>
  <c r="L1004" i="17"/>
  <c r="K1004" i="17"/>
  <c r="I1004" i="17"/>
  <c r="H1004" i="17"/>
  <c r="G1004" i="17"/>
  <c r="F1004" i="17"/>
  <c r="E1004" i="17"/>
  <c r="D1004" i="17"/>
  <c r="C1004" i="17"/>
  <c r="B1004" i="17"/>
  <c r="A1004" i="17"/>
  <c r="I1003" i="17"/>
  <c r="H1003" i="17"/>
  <c r="G1003" i="17"/>
  <c r="F1003" i="17"/>
  <c r="E1003" i="17"/>
  <c r="D1003" i="17"/>
  <c r="C1003" i="17"/>
  <c r="B1003" i="17"/>
  <c r="A1003" i="17"/>
  <c r="I1002" i="17"/>
  <c r="H1002" i="17"/>
  <c r="G1002" i="17"/>
  <c r="F1002" i="17"/>
  <c r="E1002" i="17"/>
  <c r="D1002" i="17"/>
  <c r="C1002" i="17"/>
  <c r="B1002" i="17"/>
  <c r="A1002" i="17"/>
  <c r="I1001" i="17"/>
  <c r="H1001" i="17"/>
  <c r="G1001" i="17"/>
  <c r="F1001" i="17"/>
  <c r="E1001" i="17"/>
  <c r="D1001" i="17"/>
  <c r="C1001" i="17"/>
  <c r="B1001" i="17"/>
  <c r="A1001" i="17"/>
  <c r="I1000" i="17"/>
  <c r="H1000" i="17"/>
  <c r="G1000" i="17"/>
  <c r="F1000" i="17"/>
  <c r="E1000" i="17"/>
  <c r="D1000" i="17"/>
  <c r="C1000" i="17"/>
  <c r="B1000" i="17"/>
  <c r="A1000" i="17"/>
  <c r="AN999" i="17"/>
  <c r="AK999" i="17"/>
  <c r="AC999" i="17"/>
  <c r="I999" i="17"/>
  <c r="H999" i="17"/>
  <c r="G999" i="17"/>
  <c r="F999" i="17"/>
  <c r="E999" i="17"/>
  <c r="D999" i="17"/>
  <c r="C999" i="17"/>
  <c r="B999" i="17"/>
  <c r="A999" i="17"/>
  <c r="M999" i="17" s="1"/>
  <c r="I998" i="17"/>
  <c r="H998" i="17"/>
  <c r="G998" i="17"/>
  <c r="F998" i="17"/>
  <c r="E998" i="17"/>
  <c r="D998" i="17"/>
  <c r="C998" i="17"/>
  <c r="B998" i="17"/>
  <c r="A998" i="17"/>
  <c r="L998" i="17" s="1"/>
  <c r="I997" i="17"/>
  <c r="H997" i="17"/>
  <c r="G997" i="17"/>
  <c r="F997" i="17"/>
  <c r="E997" i="17"/>
  <c r="D997" i="17"/>
  <c r="C997" i="17"/>
  <c r="B997" i="17"/>
  <c r="A997" i="17"/>
  <c r="I996" i="17"/>
  <c r="H996" i="17"/>
  <c r="G996" i="17"/>
  <c r="F996" i="17"/>
  <c r="E996" i="17"/>
  <c r="D996" i="17"/>
  <c r="C996" i="17"/>
  <c r="B996" i="17"/>
  <c r="A996" i="17"/>
  <c r="AL996" i="17" s="1"/>
  <c r="I995" i="17"/>
  <c r="H995" i="17"/>
  <c r="G995" i="17"/>
  <c r="F995" i="17"/>
  <c r="E995" i="17"/>
  <c r="D995" i="17"/>
  <c r="C995" i="17"/>
  <c r="B995" i="17"/>
  <c r="A995" i="17"/>
  <c r="AH995" i="17" s="1"/>
  <c r="I994" i="17"/>
  <c r="H994" i="17"/>
  <c r="G994" i="17"/>
  <c r="F994" i="17"/>
  <c r="E994" i="17"/>
  <c r="D994" i="17"/>
  <c r="C994" i="17"/>
  <c r="B994" i="17"/>
  <c r="A994" i="17"/>
  <c r="AR994" i="17" s="1"/>
  <c r="I993" i="17"/>
  <c r="H993" i="17"/>
  <c r="G993" i="17"/>
  <c r="F993" i="17"/>
  <c r="E993" i="17"/>
  <c r="D993" i="17"/>
  <c r="C993" i="17"/>
  <c r="B993" i="17"/>
  <c r="A993" i="17"/>
  <c r="AG993" i="17" s="1"/>
  <c r="I992" i="17"/>
  <c r="H992" i="17"/>
  <c r="G992" i="17"/>
  <c r="F992" i="17"/>
  <c r="E992" i="17"/>
  <c r="D992" i="17"/>
  <c r="C992" i="17"/>
  <c r="B992" i="17"/>
  <c r="A992" i="17"/>
  <c r="AP991" i="17"/>
  <c r="AN991" i="17"/>
  <c r="AG991" i="17"/>
  <c r="Y991" i="17"/>
  <c r="P991" i="17"/>
  <c r="I991" i="17"/>
  <c r="H991" i="17"/>
  <c r="G991" i="17"/>
  <c r="F991" i="17"/>
  <c r="E991" i="17"/>
  <c r="D991" i="17"/>
  <c r="C991" i="17"/>
  <c r="B991" i="17"/>
  <c r="A991" i="17"/>
  <c r="O991" i="17" s="1"/>
  <c r="AR990" i="17"/>
  <c r="AQ990" i="17"/>
  <c r="AN990" i="17"/>
  <c r="AH990" i="17"/>
  <c r="AG990" i="17"/>
  <c r="AF990" i="17"/>
  <c r="U990" i="17"/>
  <c r="T990" i="17"/>
  <c r="Q990" i="17"/>
  <c r="P990" i="17"/>
  <c r="N990" i="17"/>
  <c r="M990" i="17"/>
  <c r="I990" i="17"/>
  <c r="H990" i="17"/>
  <c r="G990" i="17"/>
  <c r="F990" i="17"/>
  <c r="E990" i="17"/>
  <c r="D990" i="17"/>
  <c r="C990" i="17"/>
  <c r="B990" i="17"/>
  <c r="A990" i="17"/>
  <c r="AP990" i="17" s="1"/>
  <c r="M989" i="17"/>
  <c r="I989" i="17"/>
  <c r="H989" i="17"/>
  <c r="G989" i="17"/>
  <c r="F989" i="17"/>
  <c r="E989" i="17"/>
  <c r="D989" i="17"/>
  <c r="C989" i="17"/>
  <c r="B989" i="17"/>
  <c r="A989" i="17"/>
  <c r="I988" i="17"/>
  <c r="H988" i="17"/>
  <c r="G988" i="17"/>
  <c r="F988" i="17"/>
  <c r="E988" i="17"/>
  <c r="D988" i="17"/>
  <c r="C988" i="17"/>
  <c r="B988" i="17"/>
  <c r="A988" i="17"/>
  <c r="I987" i="17"/>
  <c r="H987" i="17"/>
  <c r="G987" i="17"/>
  <c r="F987" i="17"/>
  <c r="E987" i="17"/>
  <c r="D987" i="17"/>
  <c r="C987" i="17"/>
  <c r="B987" i="17"/>
  <c r="A987" i="17"/>
  <c r="AD986" i="17"/>
  <c r="I986" i="17"/>
  <c r="H986" i="17"/>
  <c r="G986" i="17"/>
  <c r="F986" i="17"/>
  <c r="E986" i="17"/>
  <c r="D986" i="17"/>
  <c r="C986" i="17"/>
  <c r="B986" i="17"/>
  <c r="A986" i="17"/>
  <c r="I985" i="17"/>
  <c r="H985" i="17"/>
  <c r="G985" i="17"/>
  <c r="F985" i="17"/>
  <c r="E985" i="17"/>
  <c r="D985" i="17"/>
  <c r="C985" i="17"/>
  <c r="B985" i="17"/>
  <c r="A985" i="17"/>
  <c r="W985" i="17" s="1"/>
  <c r="I984" i="17"/>
  <c r="H984" i="17"/>
  <c r="G984" i="17"/>
  <c r="F984" i="17"/>
  <c r="E984" i="17"/>
  <c r="D984" i="17"/>
  <c r="C984" i="17"/>
  <c r="B984" i="17"/>
  <c r="A984" i="17"/>
  <c r="S984" i="17" s="1"/>
  <c r="I983" i="17"/>
  <c r="H983" i="17"/>
  <c r="G983" i="17"/>
  <c r="F983" i="17"/>
  <c r="E983" i="17"/>
  <c r="D983" i="17"/>
  <c r="C983" i="17"/>
  <c r="B983" i="17"/>
  <c r="A983" i="17"/>
  <c r="AH982" i="17"/>
  <c r="Y982" i="17"/>
  <c r="I982" i="17"/>
  <c r="H982" i="17"/>
  <c r="G982" i="17"/>
  <c r="F982" i="17"/>
  <c r="E982" i="17"/>
  <c r="D982" i="17"/>
  <c r="C982" i="17"/>
  <c r="B982" i="17"/>
  <c r="A982" i="17"/>
  <c r="AC981" i="17"/>
  <c r="U981" i="17"/>
  <c r="T981" i="17"/>
  <c r="R981" i="17"/>
  <c r="J981" i="17"/>
  <c r="I981" i="17"/>
  <c r="H981" i="17"/>
  <c r="G981" i="17"/>
  <c r="F981" i="17"/>
  <c r="E981" i="17"/>
  <c r="D981" i="17"/>
  <c r="C981" i="17"/>
  <c r="B981" i="17"/>
  <c r="A981" i="17"/>
  <c r="I980" i="17"/>
  <c r="H980" i="17"/>
  <c r="G980" i="17"/>
  <c r="F980" i="17"/>
  <c r="E980" i="17"/>
  <c r="D980" i="17"/>
  <c r="C980" i="17"/>
  <c r="B980" i="17"/>
  <c r="A980" i="17"/>
  <c r="I979" i="17"/>
  <c r="H979" i="17"/>
  <c r="G979" i="17"/>
  <c r="F979" i="17"/>
  <c r="E979" i="17"/>
  <c r="D979" i="17"/>
  <c r="C979" i="17"/>
  <c r="B979" i="17"/>
  <c r="A979" i="17"/>
  <c r="AL979" i="17" s="1"/>
  <c r="AR978" i="17"/>
  <c r="AQ978" i="17"/>
  <c r="AG978" i="17"/>
  <c r="AB978" i="17"/>
  <c r="AA978" i="17"/>
  <c r="Q978" i="17"/>
  <c r="I978" i="17"/>
  <c r="H978" i="17"/>
  <c r="G978" i="17"/>
  <c r="F978" i="17"/>
  <c r="E978" i="17"/>
  <c r="D978" i="17"/>
  <c r="C978" i="17"/>
  <c r="B978" i="17"/>
  <c r="A978" i="17"/>
  <c r="N978" i="17" s="1"/>
  <c r="I977" i="17"/>
  <c r="H977" i="17"/>
  <c r="G977" i="17"/>
  <c r="F977" i="17"/>
  <c r="E977" i="17"/>
  <c r="D977" i="17"/>
  <c r="C977" i="17"/>
  <c r="B977" i="17"/>
  <c r="A977" i="17"/>
  <c r="AP977" i="17" s="1"/>
  <c r="I976" i="17"/>
  <c r="H976" i="17"/>
  <c r="G976" i="17"/>
  <c r="F976" i="17"/>
  <c r="E976" i="17"/>
  <c r="D976" i="17"/>
  <c r="C976" i="17"/>
  <c r="B976" i="17"/>
  <c r="A976" i="17"/>
  <c r="I975" i="17"/>
  <c r="H975" i="17"/>
  <c r="G975" i="17"/>
  <c r="F975" i="17"/>
  <c r="E975" i="17"/>
  <c r="D975" i="17"/>
  <c r="C975" i="17"/>
  <c r="B975" i="17"/>
  <c r="A975" i="17"/>
  <c r="I974" i="17"/>
  <c r="H974" i="17"/>
  <c r="G974" i="17"/>
  <c r="F974" i="17"/>
  <c r="E974" i="17"/>
  <c r="D974" i="17"/>
  <c r="C974" i="17"/>
  <c r="B974" i="17"/>
  <c r="A974" i="17"/>
  <c r="AM973" i="17"/>
  <c r="I973" i="17"/>
  <c r="H973" i="17"/>
  <c r="G973" i="17"/>
  <c r="F973" i="17"/>
  <c r="E973" i="17"/>
  <c r="D973" i="17"/>
  <c r="C973" i="17"/>
  <c r="B973" i="17"/>
  <c r="A973" i="17"/>
  <c r="I972" i="17"/>
  <c r="H972" i="17"/>
  <c r="G972" i="17"/>
  <c r="F972" i="17"/>
  <c r="E972" i="17"/>
  <c r="D972" i="17"/>
  <c r="C972" i="17"/>
  <c r="B972" i="17"/>
  <c r="A972" i="17"/>
  <c r="AF971" i="17"/>
  <c r="AE971" i="17"/>
  <c r="AD971" i="17"/>
  <c r="R971" i="17"/>
  <c r="I971" i="17"/>
  <c r="H971" i="17"/>
  <c r="G971" i="17"/>
  <c r="F971" i="17"/>
  <c r="E971" i="17"/>
  <c r="D971" i="17"/>
  <c r="C971" i="17"/>
  <c r="B971" i="17"/>
  <c r="A971" i="17"/>
  <c r="I970" i="17"/>
  <c r="H970" i="17"/>
  <c r="G970" i="17"/>
  <c r="F970" i="17"/>
  <c r="E970" i="17"/>
  <c r="D970" i="17"/>
  <c r="C970" i="17"/>
  <c r="B970" i="17"/>
  <c r="A970" i="17"/>
  <c r="I969" i="17"/>
  <c r="H969" i="17"/>
  <c r="G969" i="17"/>
  <c r="F969" i="17"/>
  <c r="E969" i="17"/>
  <c r="D969" i="17"/>
  <c r="C969" i="17"/>
  <c r="B969" i="17"/>
  <c r="A969" i="17"/>
  <c r="M969" i="17" s="1"/>
  <c r="I968" i="17"/>
  <c r="H968" i="17"/>
  <c r="G968" i="17"/>
  <c r="F968" i="17"/>
  <c r="E968" i="17"/>
  <c r="D968" i="17"/>
  <c r="C968" i="17"/>
  <c r="B968" i="17"/>
  <c r="A968" i="17"/>
  <c r="I967" i="17"/>
  <c r="H967" i="17"/>
  <c r="G967" i="17"/>
  <c r="F967" i="17"/>
  <c r="E967" i="17"/>
  <c r="D967" i="17"/>
  <c r="C967" i="17"/>
  <c r="B967" i="17"/>
  <c r="A967" i="17"/>
  <c r="I966" i="17"/>
  <c r="H966" i="17"/>
  <c r="G966" i="17"/>
  <c r="F966" i="17"/>
  <c r="E966" i="17"/>
  <c r="D966" i="17"/>
  <c r="C966" i="17"/>
  <c r="B966" i="17"/>
  <c r="A966" i="17"/>
  <c r="AB966" i="17" s="1"/>
  <c r="I965" i="17"/>
  <c r="H965" i="17"/>
  <c r="G965" i="17"/>
  <c r="F965" i="17"/>
  <c r="E965" i="17"/>
  <c r="D965" i="17"/>
  <c r="C965" i="17"/>
  <c r="B965" i="17"/>
  <c r="A965" i="17"/>
  <c r="X965" i="17" s="1"/>
  <c r="AR964" i="17"/>
  <c r="AA964" i="17"/>
  <c r="Z964" i="17"/>
  <c r="Y964" i="17"/>
  <c r="S964" i="17"/>
  <c r="I964" i="17"/>
  <c r="H964" i="17"/>
  <c r="G964" i="17"/>
  <c r="F964" i="17"/>
  <c r="E964" i="17"/>
  <c r="D964" i="17"/>
  <c r="C964" i="17"/>
  <c r="B964" i="17"/>
  <c r="A964" i="17"/>
  <c r="Y963" i="17"/>
  <c r="O963" i="17"/>
  <c r="I963" i="17"/>
  <c r="H963" i="17"/>
  <c r="G963" i="17"/>
  <c r="F963" i="17"/>
  <c r="E963" i="17"/>
  <c r="D963" i="17"/>
  <c r="C963" i="17"/>
  <c r="B963" i="17"/>
  <c r="A963" i="17"/>
  <c r="I962" i="17"/>
  <c r="H962" i="17"/>
  <c r="G962" i="17"/>
  <c r="F962" i="17"/>
  <c r="E962" i="17"/>
  <c r="D962" i="17"/>
  <c r="C962" i="17"/>
  <c r="B962" i="17"/>
  <c r="A962" i="17"/>
  <c r="AK961" i="17"/>
  <c r="AH961" i="17"/>
  <c r="I961" i="17"/>
  <c r="H961" i="17"/>
  <c r="G961" i="17"/>
  <c r="F961" i="17"/>
  <c r="E961" i="17"/>
  <c r="D961" i="17"/>
  <c r="C961" i="17"/>
  <c r="B961" i="17"/>
  <c r="A961" i="17"/>
  <c r="AG961" i="17" s="1"/>
  <c r="AO960" i="17"/>
  <c r="AG960" i="17"/>
  <c r="Y960" i="17"/>
  <c r="X960" i="17"/>
  <c r="U960" i="17"/>
  <c r="P960" i="17"/>
  <c r="I960" i="17"/>
  <c r="H960" i="17"/>
  <c r="G960" i="17"/>
  <c r="F960" i="17"/>
  <c r="E960" i="17"/>
  <c r="D960" i="17"/>
  <c r="C960" i="17"/>
  <c r="B960" i="17"/>
  <c r="A960" i="17"/>
  <c r="V960" i="17" s="1"/>
  <c r="I959" i="17"/>
  <c r="H959" i="17"/>
  <c r="G959" i="17"/>
  <c r="F959" i="17"/>
  <c r="E959" i="17"/>
  <c r="D959" i="17"/>
  <c r="C959" i="17"/>
  <c r="B959" i="17"/>
  <c r="A959" i="17"/>
  <c r="AH958" i="17"/>
  <c r="U958" i="17"/>
  <c r="T958" i="17"/>
  <c r="I958" i="17"/>
  <c r="H958" i="17"/>
  <c r="G958" i="17"/>
  <c r="F958" i="17"/>
  <c r="E958" i="17"/>
  <c r="D958" i="17"/>
  <c r="C958" i="17"/>
  <c r="B958" i="17"/>
  <c r="A958" i="17"/>
  <c r="AR958" i="17" s="1"/>
  <c r="I957" i="17"/>
  <c r="H957" i="17"/>
  <c r="G957" i="17"/>
  <c r="F957" i="17"/>
  <c r="E957" i="17"/>
  <c r="D957" i="17"/>
  <c r="C957" i="17"/>
  <c r="B957" i="17"/>
  <c r="A957" i="17"/>
  <c r="AN957" i="17" s="1"/>
  <c r="I956" i="17"/>
  <c r="H956" i="17"/>
  <c r="G956" i="17"/>
  <c r="F956" i="17"/>
  <c r="E956" i="17"/>
  <c r="D956" i="17"/>
  <c r="C956" i="17"/>
  <c r="B956" i="17"/>
  <c r="A956" i="17"/>
  <c r="AD955" i="17"/>
  <c r="X955" i="17"/>
  <c r="V955" i="17"/>
  <c r="I955" i="17"/>
  <c r="H955" i="17"/>
  <c r="G955" i="17"/>
  <c r="F955" i="17"/>
  <c r="E955" i="17"/>
  <c r="D955" i="17"/>
  <c r="C955" i="17"/>
  <c r="B955" i="17"/>
  <c r="A955" i="17"/>
  <c r="AP954" i="17"/>
  <c r="AG954" i="17"/>
  <c r="I954" i="17"/>
  <c r="H954" i="17"/>
  <c r="G954" i="17"/>
  <c r="F954" i="17"/>
  <c r="E954" i="17"/>
  <c r="D954" i="17"/>
  <c r="C954" i="17"/>
  <c r="B954" i="17"/>
  <c r="A954" i="17"/>
  <c r="L954" i="17" s="1"/>
  <c r="I953" i="17"/>
  <c r="H953" i="17"/>
  <c r="G953" i="17"/>
  <c r="F953" i="17"/>
  <c r="E953" i="17"/>
  <c r="D953" i="17"/>
  <c r="C953" i="17"/>
  <c r="B953" i="17"/>
  <c r="A953" i="17"/>
  <c r="I952" i="17"/>
  <c r="H952" i="17"/>
  <c r="G952" i="17"/>
  <c r="F952" i="17"/>
  <c r="E952" i="17"/>
  <c r="D952" i="17"/>
  <c r="C952" i="17"/>
  <c r="B952" i="17"/>
  <c r="A952" i="17"/>
  <c r="I951" i="17"/>
  <c r="H951" i="17"/>
  <c r="G951" i="17"/>
  <c r="F951" i="17"/>
  <c r="E951" i="17"/>
  <c r="D951" i="17"/>
  <c r="C951" i="17"/>
  <c r="B951" i="17"/>
  <c r="A951" i="17"/>
  <c r="AL951" i="17" s="1"/>
  <c r="Z950" i="17"/>
  <c r="I950" i="17"/>
  <c r="H950" i="17"/>
  <c r="G950" i="17"/>
  <c r="F950" i="17"/>
  <c r="E950" i="17"/>
  <c r="D950" i="17"/>
  <c r="C950" i="17"/>
  <c r="B950" i="17"/>
  <c r="A950" i="17"/>
  <c r="AH949" i="17"/>
  <c r="I949" i="17"/>
  <c r="H949" i="17"/>
  <c r="G949" i="17"/>
  <c r="F949" i="17"/>
  <c r="E949" i="17"/>
  <c r="D949" i="17"/>
  <c r="C949" i="17"/>
  <c r="B949" i="17"/>
  <c r="A949" i="17"/>
  <c r="I948" i="17"/>
  <c r="H948" i="17"/>
  <c r="G948" i="17"/>
  <c r="F948" i="17"/>
  <c r="E948" i="17"/>
  <c r="D948" i="17"/>
  <c r="C948" i="17"/>
  <c r="B948" i="17"/>
  <c r="A948" i="17"/>
  <c r="AJ948" i="17" s="1"/>
  <c r="I947" i="17"/>
  <c r="H947" i="17"/>
  <c r="G947" i="17"/>
  <c r="F947" i="17"/>
  <c r="E947" i="17"/>
  <c r="D947" i="17"/>
  <c r="C947" i="17"/>
  <c r="B947" i="17"/>
  <c r="A947" i="17"/>
  <c r="I946" i="17"/>
  <c r="H946" i="17"/>
  <c r="G946" i="17"/>
  <c r="F946" i="17"/>
  <c r="E946" i="17"/>
  <c r="D946" i="17"/>
  <c r="C946" i="17"/>
  <c r="B946" i="17"/>
  <c r="A946" i="17"/>
  <c r="AR946" i="17" s="1"/>
  <c r="I945" i="17"/>
  <c r="H945" i="17"/>
  <c r="G945" i="17"/>
  <c r="F945" i="17"/>
  <c r="E945" i="17"/>
  <c r="D945" i="17"/>
  <c r="C945" i="17"/>
  <c r="B945" i="17"/>
  <c r="A945" i="17"/>
  <c r="I944" i="17"/>
  <c r="H944" i="17"/>
  <c r="G944" i="17"/>
  <c r="F944" i="17"/>
  <c r="E944" i="17"/>
  <c r="D944" i="17"/>
  <c r="C944" i="17"/>
  <c r="B944" i="17"/>
  <c r="A944" i="17"/>
  <c r="AR943" i="17"/>
  <c r="AP943" i="17"/>
  <c r="AO943" i="17"/>
  <c r="AJ943" i="17"/>
  <c r="AG943" i="17"/>
  <c r="Z943" i="17"/>
  <c r="V943" i="17"/>
  <c r="U943" i="17"/>
  <c r="Q943" i="17"/>
  <c r="P943" i="17"/>
  <c r="O943" i="17"/>
  <c r="I943" i="17"/>
  <c r="H943" i="17"/>
  <c r="G943" i="17"/>
  <c r="F943" i="17"/>
  <c r="E943" i="17"/>
  <c r="D943" i="17"/>
  <c r="C943" i="17"/>
  <c r="B943" i="17"/>
  <c r="A943" i="17"/>
  <c r="AD943" i="17" s="1"/>
  <c r="I942" i="17"/>
  <c r="H942" i="17"/>
  <c r="G942" i="17"/>
  <c r="F942" i="17"/>
  <c r="E942" i="17"/>
  <c r="D942" i="17"/>
  <c r="C942" i="17"/>
  <c r="B942" i="17"/>
  <c r="A942" i="17"/>
  <c r="K942" i="17" s="1"/>
  <c r="AN941" i="17"/>
  <c r="AC941" i="17"/>
  <c r="Y941" i="17"/>
  <c r="T941" i="17"/>
  <c r="N941" i="17"/>
  <c r="M941" i="17"/>
  <c r="I941" i="17"/>
  <c r="H941" i="17"/>
  <c r="G941" i="17"/>
  <c r="F941" i="17"/>
  <c r="E941" i="17"/>
  <c r="D941" i="17"/>
  <c r="C941" i="17"/>
  <c r="B941" i="17"/>
  <c r="A941" i="17"/>
  <c r="AI940" i="17"/>
  <c r="Z940" i="17"/>
  <c r="Y940" i="17"/>
  <c r="X940" i="17"/>
  <c r="S940" i="17"/>
  <c r="I940" i="17"/>
  <c r="H940" i="17"/>
  <c r="G940" i="17"/>
  <c r="F940" i="17"/>
  <c r="E940" i="17"/>
  <c r="D940" i="17"/>
  <c r="C940" i="17"/>
  <c r="B940" i="17"/>
  <c r="A940" i="17"/>
  <c r="I939" i="17"/>
  <c r="H939" i="17"/>
  <c r="G939" i="17"/>
  <c r="F939" i="17"/>
  <c r="E939" i="17"/>
  <c r="D939" i="17"/>
  <c r="C939" i="17"/>
  <c r="B939" i="17"/>
  <c r="A939" i="17"/>
  <c r="J939" i="17" s="1"/>
  <c r="I938" i="17"/>
  <c r="H938" i="17"/>
  <c r="G938" i="17"/>
  <c r="F938" i="17"/>
  <c r="E938" i="17"/>
  <c r="D938" i="17"/>
  <c r="C938" i="17"/>
  <c r="B938" i="17"/>
  <c r="A938" i="17"/>
  <c r="I937" i="17"/>
  <c r="H937" i="17"/>
  <c r="G937" i="17"/>
  <c r="F937" i="17"/>
  <c r="E937" i="17"/>
  <c r="D937" i="17"/>
  <c r="C937" i="17"/>
  <c r="B937" i="17"/>
  <c r="A937" i="17"/>
  <c r="AD937" i="17" s="1"/>
  <c r="AJ936" i="17"/>
  <c r="R936" i="17"/>
  <c r="K936" i="17"/>
  <c r="J936" i="17"/>
  <c r="I936" i="17"/>
  <c r="H936" i="17"/>
  <c r="G936" i="17"/>
  <c r="F936" i="17"/>
  <c r="E936" i="17"/>
  <c r="D936" i="17"/>
  <c r="C936" i="17"/>
  <c r="B936" i="17"/>
  <c r="A936" i="17"/>
  <c r="I935" i="17"/>
  <c r="H935" i="17"/>
  <c r="G935" i="17"/>
  <c r="F935" i="17"/>
  <c r="E935" i="17"/>
  <c r="D935" i="17"/>
  <c r="C935" i="17"/>
  <c r="B935" i="17"/>
  <c r="A935" i="17"/>
  <c r="AJ935" i="17" s="1"/>
  <c r="AR934" i="17"/>
  <c r="I934" i="17"/>
  <c r="H934" i="17"/>
  <c r="G934" i="17"/>
  <c r="F934" i="17"/>
  <c r="E934" i="17"/>
  <c r="D934" i="17"/>
  <c r="C934" i="17"/>
  <c r="B934" i="17"/>
  <c r="A934" i="17"/>
  <c r="AQ934" i="17" s="1"/>
  <c r="AR933" i="17"/>
  <c r="AM933" i="17"/>
  <c r="AG933" i="17"/>
  <c r="I933" i="17"/>
  <c r="H933" i="17"/>
  <c r="G933" i="17"/>
  <c r="F933" i="17"/>
  <c r="E933" i="17"/>
  <c r="D933" i="17"/>
  <c r="C933" i="17"/>
  <c r="B933" i="17"/>
  <c r="A933" i="17"/>
  <c r="AD933" i="17" s="1"/>
  <c r="I932" i="17"/>
  <c r="H932" i="17"/>
  <c r="G932" i="17"/>
  <c r="F932" i="17"/>
  <c r="E932" i="17"/>
  <c r="D932" i="17"/>
  <c r="C932" i="17"/>
  <c r="B932" i="17"/>
  <c r="A932" i="17"/>
  <c r="AL931" i="17"/>
  <c r="AK931" i="17"/>
  <c r="AG931" i="17"/>
  <c r="Z931" i="17"/>
  <c r="I931" i="17"/>
  <c r="H931" i="17"/>
  <c r="G931" i="17"/>
  <c r="F931" i="17"/>
  <c r="E931" i="17"/>
  <c r="D931" i="17"/>
  <c r="C931" i="17"/>
  <c r="B931" i="17"/>
  <c r="A931" i="17"/>
  <c r="AR930" i="17"/>
  <c r="AQ930" i="17"/>
  <c r="AO930" i="17"/>
  <c r="AG930" i="17"/>
  <c r="Z930" i="17"/>
  <c r="I930" i="17"/>
  <c r="H930" i="17"/>
  <c r="G930" i="17"/>
  <c r="F930" i="17"/>
  <c r="E930" i="17"/>
  <c r="D930" i="17"/>
  <c r="C930" i="17"/>
  <c r="B930" i="17"/>
  <c r="A930" i="17"/>
  <c r="I929" i="17"/>
  <c r="H929" i="17"/>
  <c r="G929" i="17"/>
  <c r="F929" i="17"/>
  <c r="E929" i="17"/>
  <c r="D929" i="17"/>
  <c r="C929" i="17"/>
  <c r="B929" i="17"/>
  <c r="A929" i="17"/>
  <c r="I928" i="17"/>
  <c r="H928" i="17"/>
  <c r="G928" i="17"/>
  <c r="F928" i="17"/>
  <c r="E928" i="17"/>
  <c r="D928" i="17"/>
  <c r="C928" i="17"/>
  <c r="B928" i="17"/>
  <c r="A928" i="17"/>
  <c r="I927" i="17"/>
  <c r="H927" i="17"/>
  <c r="G927" i="17"/>
  <c r="F927" i="17"/>
  <c r="E927" i="17"/>
  <c r="D927" i="17"/>
  <c r="C927" i="17"/>
  <c r="B927" i="17"/>
  <c r="A927" i="17"/>
  <c r="AG927" i="17" s="1"/>
  <c r="I926" i="17"/>
  <c r="H926" i="17"/>
  <c r="G926" i="17"/>
  <c r="F926" i="17"/>
  <c r="E926" i="17"/>
  <c r="D926" i="17"/>
  <c r="C926" i="17"/>
  <c r="B926" i="17"/>
  <c r="A926" i="17"/>
  <c r="AR926" i="17" s="1"/>
  <c r="AP925" i="17"/>
  <c r="AM925" i="17"/>
  <c r="AF925" i="17"/>
  <c r="AE925" i="17"/>
  <c r="AC925" i="17"/>
  <c r="Q925" i="17"/>
  <c r="O925" i="17"/>
  <c r="N925" i="17"/>
  <c r="J925" i="17"/>
  <c r="I925" i="17"/>
  <c r="H925" i="17"/>
  <c r="G925" i="17"/>
  <c r="F925" i="17"/>
  <c r="E925" i="17"/>
  <c r="D925" i="17"/>
  <c r="C925" i="17"/>
  <c r="B925" i="17"/>
  <c r="A925" i="17"/>
  <c r="X924" i="17"/>
  <c r="U924" i="17"/>
  <c r="T924" i="17"/>
  <c r="I924" i="17"/>
  <c r="H924" i="17"/>
  <c r="G924" i="17"/>
  <c r="F924" i="17"/>
  <c r="E924" i="17"/>
  <c r="D924" i="17"/>
  <c r="C924" i="17"/>
  <c r="B924" i="17"/>
  <c r="A924" i="17"/>
  <c r="AM923" i="17"/>
  <c r="I923" i="17"/>
  <c r="H923" i="17"/>
  <c r="G923" i="17"/>
  <c r="F923" i="17"/>
  <c r="E923" i="17"/>
  <c r="D923" i="17"/>
  <c r="C923" i="17"/>
  <c r="B923" i="17"/>
  <c r="A923" i="17"/>
  <c r="AB923" i="17" s="1"/>
  <c r="I922" i="17"/>
  <c r="H922" i="17"/>
  <c r="G922" i="17"/>
  <c r="F922" i="17"/>
  <c r="E922" i="17"/>
  <c r="D922" i="17"/>
  <c r="C922" i="17"/>
  <c r="B922" i="17"/>
  <c r="A922" i="17"/>
  <c r="I921" i="17"/>
  <c r="H921" i="17"/>
  <c r="G921" i="17"/>
  <c r="F921" i="17"/>
  <c r="E921" i="17"/>
  <c r="D921" i="17"/>
  <c r="C921" i="17"/>
  <c r="B921" i="17"/>
  <c r="A921" i="17"/>
  <c r="R921" i="17" s="1"/>
  <c r="AK920" i="17"/>
  <c r="AC920" i="17"/>
  <c r="K920" i="17"/>
  <c r="I920" i="17"/>
  <c r="H920" i="17"/>
  <c r="G920" i="17"/>
  <c r="F920" i="17"/>
  <c r="E920" i="17"/>
  <c r="D920" i="17"/>
  <c r="C920" i="17"/>
  <c r="B920" i="17"/>
  <c r="A920" i="17"/>
  <c r="AK919" i="17"/>
  <c r="AE919" i="17"/>
  <c r="AD919" i="17"/>
  <c r="V919" i="17"/>
  <c r="I919" i="17"/>
  <c r="H919" i="17"/>
  <c r="G919" i="17"/>
  <c r="F919" i="17"/>
  <c r="E919" i="17"/>
  <c r="D919" i="17"/>
  <c r="C919" i="17"/>
  <c r="B919" i="17"/>
  <c r="A919" i="17"/>
  <c r="R919" i="17" s="1"/>
  <c r="I918" i="17"/>
  <c r="H918" i="17"/>
  <c r="G918" i="17"/>
  <c r="F918" i="17"/>
  <c r="E918" i="17"/>
  <c r="D918" i="17"/>
  <c r="C918" i="17"/>
  <c r="B918" i="17"/>
  <c r="A918" i="17"/>
  <c r="I917" i="17"/>
  <c r="H917" i="17"/>
  <c r="G917" i="17"/>
  <c r="F917" i="17"/>
  <c r="E917" i="17"/>
  <c r="D917" i="17"/>
  <c r="C917" i="17"/>
  <c r="B917" i="17"/>
  <c r="A917" i="17"/>
  <c r="I916" i="17"/>
  <c r="H916" i="17"/>
  <c r="G916" i="17"/>
  <c r="F916" i="17"/>
  <c r="E916" i="17"/>
  <c r="D916" i="17"/>
  <c r="C916" i="17"/>
  <c r="B916" i="17"/>
  <c r="A916" i="17"/>
  <c r="I915" i="17"/>
  <c r="H915" i="17"/>
  <c r="G915" i="17"/>
  <c r="F915" i="17"/>
  <c r="E915" i="17"/>
  <c r="D915" i="17"/>
  <c r="C915" i="17"/>
  <c r="B915" i="17"/>
  <c r="A915" i="17"/>
  <c r="Y915" i="17" s="1"/>
  <c r="AO914" i="17"/>
  <c r="V914" i="17"/>
  <c r="M914" i="17"/>
  <c r="I914" i="17"/>
  <c r="H914" i="17"/>
  <c r="G914" i="17"/>
  <c r="F914" i="17"/>
  <c r="E914" i="17"/>
  <c r="D914" i="17"/>
  <c r="C914" i="17"/>
  <c r="B914" i="17"/>
  <c r="A914" i="17"/>
  <c r="I913" i="17"/>
  <c r="H913" i="17"/>
  <c r="G913" i="17"/>
  <c r="F913" i="17"/>
  <c r="E913" i="17"/>
  <c r="D913" i="17"/>
  <c r="C913" i="17"/>
  <c r="B913" i="17"/>
  <c r="A913" i="17"/>
  <c r="AG913" i="17" s="1"/>
  <c r="I912" i="17"/>
  <c r="H912" i="17"/>
  <c r="G912" i="17"/>
  <c r="F912" i="17"/>
  <c r="E912" i="17"/>
  <c r="D912" i="17"/>
  <c r="C912" i="17"/>
  <c r="B912" i="17"/>
  <c r="A912" i="17"/>
  <c r="V911" i="17"/>
  <c r="I911" i="17"/>
  <c r="H911" i="17"/>
  <c r="G911" i="17"/>
  <c r="F911" i="17"/>
  <c r="E911" i="17"/>
  <c r="D911" i="17"/>
  <c r="C911" i="17"/>
  <c r="B911" i="17"/>
  <c r="A911" i="17"/>
  <c r="Y911" i="17" s="1"/>
  <c r="I910" i="17"/>
  <c r="H910" i="17"/>
  <c r="G910" i="17"/>
  <c r="F910" i="17"/>
  <c r="E910" i="17"/>
  <c r="D910" i="17"/>
  <c r="C910" i="17"/>
  <c r="B910" i="17"/>
  <c r="A910" i="17"/>
  <c r="AL909" i="17"/>
  <c r="Y909" i="17"/>
  <c r="I909" i="17"/>
  <c r="H909" i="17"/>
  <c r="G909" i="17"/>
  <c r="F909" i="17"/>
  <c r="E909" i="17"/>
  <c r="D909" i="17"/>
  <c r="C909" i="17"/>
  <c r="B909" i="17"/>
  <c r="A909" i="17"/>
  <c r="L909" i="17" s="1"/>
  <c r="Q908" i="17"/>
  <c r="N908" i="17"/>
  <c r="M908" i="17"/>
  <c r="I908" i="17"/>
  <c r="H908" i="17"/>
  <c r="G908" i="17"/>
  <c r="F908" i="17"/>
  <c r="E908" i="17"/>
  <c r="D908" i="17"/>
  <c r="C908" i="17"/>
  <c r="B908" i="17"/>
  <c r="A908" i="17"/>
  <c r="I907" i="17"/>
  <c r="H907" i="17"/>
  <c r="G907" i="17"/>
  <c r="F907" i="17"/>
  <c r="E907" i="17"/>
  <c r="D907" i="17"/>
  <c r="C907" i="17"/>
  <c r="B907" i="17"/>
  <c r="A907" i="17"/>
  <c r="I906" i="17"/>
  <c r="H906" i="17"/>
  <c r="G906" i="17"/>
  <c r="F906" i="17"/>
  <c r="E906" i="17"/>
  <c r="D906" i="17"/>
  <c r="C906" i="17"/>
  <c r="B906" i="17"/>
  <c r="A906" i="17"/>
  <c r="I905" i="17"/>
  <c r="H905" i="17"/>
  <c r="G905" i="17"/>
  <c r="F905" i="17"/>
  <c r="E905" i="17"/>
  <c r="D905" i="17"/>
  <c r="C905" i="17"/>
  <c r="B905" i="17"/>
  <c r="A905" i="17"/>
  <c r="I904" i="17"/>
  <c r="H904" i="17"/>
  <c r="G904" i="17"/>
  <c r="F904" i="17"/>
  <c r="E904" i="17"/>
  <c r="D904" i="17"/>
  <c r="C904" i="17"/>
  <c r="B904" i="17"/>
  <c r="A904" i="17"/>
  <c r="AL903" i="17"/>
  <c r="AE903" i="17"/>
  <c r="I903" i="17"/>
  <c r="H903" i="17"/>
  <c r="G903" i="17"/>
  <c r="F903" i="17"/>
  <c r="E903" i="17"/>
  <c r="D903" i="17"/>
  <c r="C903" i="17"/>
  <c r="B903" i="17"/>
  <c r="A903" i="17"/>
  <c r="AR902" i="17"/>
  <c r="AQ902" i="17"/>
  <c r="AK902" i="17"/>
  <c r="U902" i="17"/>
  <c r="J902" i="17"/>
  <c r="I902" i="17"/>
  <c r="H902" i="17"/>
  <c r="G902" i="17"/>
  <c r="F902" i="17"/>
  <c r="E902" i="17"/>
  <c r="D902" i="17"/>
  <c r="C902" i="17"/>
  <c r="B902" i="17"/>
  <c r="A902" i="17"/>
  <c r="I901" i="17"/>
  <c r="H901" i="17"/>
  <c r="G901" i="17"/>
  <c r="F901" i="17"/>
  <c r="E901" i="17"/>
  <c r="D901" i="17"/>
  <c r="C901" i="17"/>
  <c r="B901" i="17"/>
  <c r="A901" i="17"/>
  <c r="AK901" i="17" s="1"/>
  <c r="AR900" i="17"/>
  <c r="AC900" i="17"/>
  <c r="I900" i="17"/>
  <c r="H900" i="17"/>
  <c r="G900" i="17"/>
  <c r="F900" i="17"/>
  <c r="E900" i="17"/>
  <c r="D900" i="17"/>
  <c r="C900" i="17"/>
  <c r="B900" i="17"/>
  <c r="A900" i="17"/>
  <c r="AB900" i="17" s="1"/>
  <c r="AR899" i="17"/>
  <c r="AH899" i="17"/>
  <c r="AC899" i="17"/>
  <c r="AB899" i="17"/>
  <c r="T899" i="17"/>
  <c r="R899" i="17"/>
  <c r="I899" i="17"/>
  <c r="H899" i="17"/>
  <c r="G899" i="17"/>
  <c r="F899" i="17"/>
  <c r="E899" i="17"/>
  <c r="D899" i="17"/>
  <c r="C899" i="17"/>
  <c r="B899" i="17"/>
  <c r="A899" i="17"/>
  <c r="P899" i="17" s="1"/>
  <c r="I898" i="17"/>
  <c r="H898" i="17"/>
  <c r="G898" i="17"/>
  <c r="F898" i="17"/>
  <c r="E898" i="17"/>
  <c r="D898" i="17"/>
  <c r="C898" i="17"/>
  <c r="B898" i="17"/>
  <c r="A898" i="17"/>
  <c r="AO898" i="17" s="1"/>
  <c r="AP897" i="17"/>
  <c r="AG897" i="17"/>
  <c r="W897" i="17"/>
  <c r="V897" i="17"/>
  <c r="I897" i="17"/>
  <c r="H897" i="17"/>
  <c r="G897" i="17"/>
  <c r="F897" i="17"/>
  <c r="E897" i="17"/>
  <c r="D897" i="17"/>
  <c r="C897" i="17"/>
  <c r="B897" i="17"/>
  <c r="A897" i="17"/>
  <c r="AO896" i="17"/>
  <c r="I896" i="17"/>
  <c r="H896" i="17"/>
  <c r="G896" i="17"/>
  <c r="F896" i="17"/>
  <c r="E896" i="17"/>
  <c r="D896" i="17"/>
  <c r="C896" i="17"/>
  <c r="B896" i="17"/>
  <c r="A896" i="17"/>
  <c r="AP896" i="17" s="1"/>
  <c r="I895" i="17"/>
  <c r="H895" i="17"/>
  <c r="G895" i="17"/>
  <c r="F895" i="17"/>
  <c r="E895" i="17"/>
  <c r="D895" i="17"/>
  <c r="C895" i="17"/>
  <c r="B895" i="17"/>
  <c r="A895" i="17"/>
  <c r="AN894" i="17"/>
  <c r="AL894" i="17"/>
  <c r="Z894" i="17"/>
  <c r="V894" i="17"/>
  <c r="U894" i="17"/>
  <c r="N894" i="17"/>
  <c r="M894" i="17"/>
  <c r="L894" i="17"/>
  <c r="I894" i="17"/>
  <c r="H894" i="17"/>
  <c r="G894" i="17"/>
  <c r="F894" i="17"/>
  <c r="E894" i="17"/>
  <c r="D894" i="17"/>
  <c r="C894" i="17"/>
  <c r="B894" i="17"/>
  <c r="A894" i="17"/>
  <c r="AP894" i="17" s="1"/>
  <c r="AJ893" i="17"/>
  <c r="AG893" i="17"/>
  <c r="AF893" i="17"/>
  <c r="W893" i="17"/>
  <c r="V893" i="17"/>
  <c r="O893" i="17"/>
  <c r="I893" i="17"/>
  <c r="H893" i="17"/>
  <c r="G893" i="17"/>
  <c r="F893" i="17"/>
  <c r="E893" i="17"/>
  <c r="D893" i="17"/>
  <c r="C893" i="17"/>
  <c r="B893" i="17"/>
  <c r="A893" i="17"/>
  <c r="I892" i="17"/>
  <c r="H892" i="17"/>
  <c r="G892" i="17"/>
  <c r="F892" i="17"/>
  <c r="E892" i="17"/>
  <c r="D892" i="17"/>
  <c r="C892" i="17"/>
  <c r="B892" i="17"/>
  <c r="A892" i="17"/>
  <c r="AF891" i="17"/>
  <c r="AE891" i="17"/>
  <c r="AD891" i="17"/>
  <c r="AC891" i="17"/>
  <c r="U891" i="17"/>
  <c r="I891" i="17"/>
  <c r="H891" i="17"/>
  <c r="G891" i="17"/>
  <c r="F891" i="17"/>
  <c r="E891" i="17"/>
  <c r="D891" i="17"/>
  <c r="C891" i="17"/>
  <c r="B891" i="17"/>
  <c r="A891" i="17"/>
  <c r="I890" i="17"/>
  <c r="H890" i="17"/>
  <c r="G890" i="17"/>
  <c r="F890" i="17"/>
  <c r="E890" i="17"/>
  <c r="D890" i="17"/>
  <c r="C890" i="17"/>
  <c r="B890" i="17"/>
  <c r="A890" i="17"/>
  <c r="AO889" i="17"/>
  <c r="AB889" i="17"/>
  <c r="U889" i="17"/>
  <c r="I889" i="17"/>
  <c r="H889" i="17"/>
  <c r="G889" i="17"/>
  <c r="F889" i="17"/>
  <c r="E889" i="17"/>
  <c r="D889" i="17"/>
  <c r="C889" i="17"/>
  <c r="B889" i="17"/>
  <c r="A889" i="17"/>
  <c r="I888" i="17"/>
  <c r="H888" i="17"/>
  <c r="G888" i="17"/>
  <c r="F888" i="17"/>
  <c r="E888" i="17"/>
  <c r="D888" i="17"/>
  <c r="C888" i="17"/>
  <c r="B888" i="17"/>
  <c r="A888" i="17"/>
  <c r="I887" i="17"/>
  <c r="H887" i="17"/>
  <c r="G887" i="17"/>
  <c r="F887" i="17"/>
  <c r="E887" i="17"/>
  <c r="D887" i="17"/>
  <c r="C887" i="17"/>
  <c r="B887" i="17"/>
  <c r="A887" i="17"/>
  <c r="AR886" i="17"/>
  <c r="P886" i="17"/>
  <c r="I886" i="17"/>
  <c r="H886" i="17"/>
  <c r="G886" i="17"/>
  <c r="F886" i="17"/>
  <c r="E886" i="17"/>
  <c r="D886" i="17"/>
  <c r="C886" i="17"/>
  <c r="B886" i="17"/>
  <c r="A886" i="17"/>
  <c r="I885" i="17"/>
  <c r="H885" i="17"/>
  <c r="G885" i="17"/>
  <c r="F885" i="17"/>
  <c r="E885" i="17"/>
  <c r="D885" i="17"/>
  <c r="C885" i="17"/>
  <c r="B885" i="17"/>
  <c r="A885" i="17"/>
  <c r="I884" i="17"/>
  <c r="H884" i="17"/>
  <c r="G884" i="17"/>
  <c r="F884" i="17"/>
  <c r="E884" i="17"/>
  <c r="D884" i="17"/>
  <c r="C884" i="17"/>
  <c r="B884" i="17"/>
  <c r="A884" i="17"/>
  <c r="Q884" i="17" s="1"/>
  <c r="AR883" i="17"/>
  <c r="I883" i="17"/>
  <c r="H883" i="17"/>
  <c r="G883" i="17"/>
  <c r="F883" i="17"/>
  <c r="E883" i="17"/>
  <c r="D883" i="17"/>
  <c r="C883" i="17"/>
  <c r="B883" i="17"/>
  <c r="A883" i="17"/>
  <c r="P883" i="17" s="1"/>
  <c r="AR882" i="17"/>
  <c r="AA882" i="17"/>
  <c r="X882" i="17"/>
  <c r="Q882" i="17"/>
  <c r="P882" i="17"/>
  <c r="N882" i="17"/>
  <c r="I882" i="17"/>
  <c r="H882" i="17"/>
  <c r="G882" i="17"/>
  <c r="F882" i="17"/>
  <c r="E882" i="17"/>
  <c r="D882" i="17"/>
  <c r="C882" i="17"/>
  <c r="B882" i="17"/>
  <c r="A882" i="17"/>
  <c r="I881" i="17"/>
  <c r="H881" i="17"/>
  <c r="G881" i="17"/>
  <c r="F881" i="17"/>
  <c r="E881" i="17"/>
  <c r="D881" i="17"/>
  <c r="C881" i="17"/>
  <c r="B881" i="17"/>
  <c r="A881" i="17"/>
  <c r="I880" i="17"/>
  <c r="H880" i="17"/>
  <c r="G880" i="17"/>
  <c r="F880" i="17"/>
  <c r="E880" i="17"/>
  <c r="D880" i="17"/>
  <c r="C880" i="17"/>
  <c r="B880" i="17"/>
  <c r="A880" i="17"/>
  <c r="AP879" i="17"/>
  <c r="AO879" i="17"/>
  <c r="AH879" i="17"/>
  <c r="AG879" i="17"/>
  <c r="I879" i="17"/>
  <c r="H879" i="17"/>
  <c r="G879" i="17"/>
  <c r="F879" i="17"/>
  <c r="E879" i="17"/>
  <c r="D879" i="17"/>
  <c r="C879" i="17"/>
  <c r="B879" i="17"/>
  <c r="A879" i="17"/>
  <c r="I878" i="17"/>
  <c r="H878" i="17"/>
  <c r="G878" i="17"/>
  <c r="F878" i="17"/>
  <c r="E878" i="17"/>
  <c r="D878" i="17"/>
  <c r="C878" i="17"/>
  <c r="B878" i="17"/>
  <c r="A878" i="17"/>
  <c r="AL878" i="17" s="1"/>
  <c r="I877" i="17"/>
  <c r="H877" i="17"/>
  <c r="G877" i="17"/>
  <c r="F877" i="17"/>
  <c r="E877" i="17"/>
  <c r="D877" i="17"/>
  <c r="C877" i="17"/>
  <c r="B877" i="17"/>
  <c r="A877" i="17"/>
  <c r="I876" i="17"/>
  <c r="H876" i="17"/>
  <c r="G876" i="17"/>
  <c r="F876" i="17"/>
  <c r="E876" i="17"/>
  <c r="D876" i="17"/>
  <c r="C876" i="17"/>
  <c r="B876" i="17"/>
  <c r="A876" i="17"/>
  <c r="AC876" i="17" s="1"/>
  <c r="I875" i="17"/>
  <c r="H875" i="17"/>
  <c r="G875" i="17"/>
  <c r="F875" i="17"/>
  <c r="E875" i="17"/>
  <c r="D875" i="17"/>
  <c r="C875" i="17"/>
  <c r="B875" i="17"/>
  <c r="A875" i="17"/>
  <c r="AP874" i="17"/>
  <c r="I874" i="17"/>
  <c r="H874" i="17"/>
  <c r="G874" i="17"/>
  <c r="F874" i="17"/>
  <c r="E874" i="17"/>
  <c r="D874" i="17"/>
  <c r="C874" i="17"/>
  <c r="B874" i="17"/>
  <c r="A874" i="17"/>
  <c r="AA874" i="17" s="1"/>
  <c r="I873" i="17"/>
  <c r="H873" i="17"/>
  <c r="G873" i="17"/>
  <c r="F873" i="17"/>
  <c r="E873" i="17"/>
  <c r="D873" i="17"/>
  <c r="C873" i="17"/>
  <c r="B873" i="17"/>
  <c r="A873" i="17"/>
  <c r="AI872" i="17"/>
  <c r="AC872" i="17"/>
  <c r="I872" i="17"/>
  <c r="H872" i="17"/>
  <c r="G872" i="17"/>
  <c r="F872" i="17"/>
  <c r="E872" i="17"/>
  <c r="D872" i="17"/>
  <c r="C872" i="17"/>
  <c r="B872" i="17"/>
  <c r="A872" i="17"/>
  <c r="AN871" i="17"/>
  <c r="AJ871" i="17"/>
  <c r="AH871" i="17"/>
  <c r="Q871" i="17"/>
  <c r="M871" i="17"/>
  <c r="I871" i="17"/>
  <c r="H871" i="17"/>
  <c r="G871" i="17"/>
  <c r="F871" i="17"/>
  <c r="E871" i="17"/>
  <c r="D871" i="17"/>
  <c r="C871" i="17"/>
  <c r="B871" i="17"/>
  <c r="A871" i="17"/>
  <c r="I870" i="17"/>
  <c r="H870" i="17"/>
  <c r="G870" i="17"/>
  <c r="F870" i="17"/>
  <c r="E870" i="17"/>
  <c r="D870" i="17"/>
  <c r="C870" i="17"/>
  <c r="B870" i="17"/>
  <c r="A870" i="17"/>
  <c r="Y869" i="17"/>
  <c r="I869" i="17"/>
  <c r="H869" i="17"/>
  <c r="G869" i="17"/>
  <c r="F869" i="17"/>
  <c r="E869" i="17"/>
  <c r="D869" i="17"/>
  <c r="C869" i="17"/>
  <c r="B869" i="17"/>
  <c r="A869" i="17"/>
  <c r="AR868" i="17"/>
  <c r="AL868" i="17"/>
  <c r="Y868" i="17"/>
  <c r="I868" i="17"/>
  <c r="H868" i="17"/>
  <c r="G868" i="17"/>
  <c r="F868" i="17"/>
  <c r="E868" i="17"/>
  <c r="D868" i="17"/>
  <c r="C868" i="17"/>
  <c r="B868" i="17"/>
  <c r="A868" i="17"/>
  <c r="I867" i="17"/>
  <c r="H867" i="17"/>
  <c r="G867" i="17"/>
  <c r="F867" i="17"/>
  <c r="E867" i="17"/>
  <c r="D867" i="17"/>
  <c r="C867" i="17"/>
  <c r="B867" i="17"/>
  <c r="A867" i="17"/>
  <c r="AR866" i="17"/>
  <c r="AJ866" i="17"/>
  <c r="AH866" i="17"/>
  <c r="Z866" i="17"/>
  <c r="I866" i="17"/>
  <c r="H866" i="17"/>
  <c r="G866" i="17"/>
  <c r="F866" i="17"/>
  <c r="E866" i="17"/>
  <c r="D866" i="17"/>
  <c r="C866" i="17"/>
  <c r="B866" i="17"/>
  <c r="A866" i="17"/>
  <c r="I865" i="17"/>
  <c r="H865" i="17"/>
  <c r="G865" i="17"/>
  <c r="F865" i="17"/>
  <c r="E865" i="17"/>
  <c r="D865" i="17"/>
  <c r="C865" i="17"/>
  <c r="B865" i="17"/>
  <c r="A865" i="17"/>
  <c r="AH865" i="17" s="1"/>
  <c r="AP864" i="17"/>
  <c r="I864" i="17"/>
  <c r="H864" i="17"/>
  <c r="G864" i="17"/>
  <c r="F864" i="17"/>
  <c r="E864" i="17"/>
  <c r="D864" i="17"/>
  <c r="C864" i="17"/>
  <c r="B864" i="17"/>
  <c r="A864" i="17"/>
  <c r="AG863" i="17"/>
  <c r="I863" i="17"/>
  <c r="H863" i="17"/>
  <c r="G863" i="17"/>
  <c r="F863" i="17"/>
  <c r="E863" i="17"/>
  <c r="D863" i="17"/>
  <c r="C863" i="17"/>
  <c r="B863" i="17"/>
  <c r="A863" i="17"/>
  <c r="AE863" i="17" s="1"/>
  <c r="AR862" i="17"/>
  <c r="AP862" i="17"/>
  <c r="AN862" i="17"/>
  <c r="AH862" i="17"/>
  <c r="AG862" i="17"/>
  <c r="AF862" i="17"/>
  <c r="AD862" i="17"/>
  <c r="AC862" i="17"/>
  <c r="U862" i="17"/>
  <c r="T862" i="17"/>
  <c r="Q862" i="17"/>
  <c r="P862" i="17"/>
  <c r="N862" i="17"/>
  <c r="L862" i="17"/>
  <c r="K862" i="17"/>
  <c r="I862" i="17"/>
  <c r="H862" i="17"/>
  <c r="G862" i="17"/>
  <c r="F862" i="17"/>
  <c r="E862" i="17"/>
  <c r="D862" i="17"/>
  <c r="C862" i="17"/>
  <c r="B862" i="17"/>
  <c r="A862" i="17"/>
  <c r="AO862" i="17" s="1"/>
  <c r="AN861" i="17"/>
  <c r="AL861" i="17"/>
  <c r="AJ861" i="17"/>
  <c r="AH861" i="17"/>
  <c r="O861" i="17"/>
  <c r="N861" i="17"/>
  <c r="L861" i="17"/>
  <c r="I861" i="17"/>
  <c r="H861" i="17"/>
  <c r="G861" i="17"/>
  <c r="F861" i="17"/>
  <c r="E861" i="17"/>
  <c r="D861" i="17"/>
  <c r="C861" i="17"/>
  <c r="B861" i="17"/>
  <c r="A861" i="17"/>
  <c r="I860" i="17"/>
  <c r="H860" i="17"/>
  <c r="G860" i="17"/>
  <c r="F860" i="17"/>
  <c r="E860" i="17"/>
  <c r="D860" i="17"/>
  <c r="C860" i="17"/>
  <c r="B860" i="17"/>
  <c r="A860" i="17"/>
  <c r="I859" i="17"/>
  <c r="H859" i="17"/>
  <c r="G859" i="17"/>
  <c r="F859" i="17"/>
  <c r="E859" i="17"/>
  <c r="D859" i="17"/>
  <c r="C859" i="17"/>
  <c r="B859" i="17"/>
  <c r="A859" i="17"/>
  <c r="AB859" i="17" s="1"/>
  <c r="I858" i="17"/>
  <c r="H858" i="17"/>
  <c r="G858" i="17"/>
  <c r="F858" i="17"/>
  <c r="E858" i="17"/>
  <c r="D858" i="17"/>
  <c r="C858" i="17"/>
  <c r="B858" i="17"/>
  <c r="A858" i="17"/>
  <c r="AG858" i="17" s="1"/>
  <c r="I857" i="17"/>
  <c r="H857" i="17"/>
  <c r="G857" i="17"/>
  <c r="F857" i="17"/>
  <c r="E857" i="17"/>
  <c r="D857" i="17"/>
  <c r="C857" i="17"/>
  <c r="B857" i="17"/>
  <c r="A857" i="17"/>
  <c r="AF857" i="17" s="1"/>
  <c r="I856" i="17"/>
  <c r="H856" i="17"/>
  <c r="G856" i="17"/>
  <c r="F856" i="17"/>
  <c r="E856" i="17"/>
  <c r="D856" i="17"/>
  <c r="C856" i="17"/>
  <c r="B856" i="17"/>
  <c r="A856" i="17"/>
  <c r="AR855" i="17"/>
  <c r="I855" i="17"/>
  <c r="H855" i="17"/>
  <c r="G855" i="17"/>
  <c r="F855" i="17"/>
  <c r="E855" i="17"/>
  <c r="D855" i="17"/>
  <c r="C855" i="17"/>
  <c r="B855" i="17"/>
  <c r="A855" i="17"/>
  <c r="S854" i="17"/>
  <c r="I854" i="17"/>
  <c r="H854" i="17"/>
  <c r="G854" i="17"/>
  <c r="F854" i="17"/>
  <c r="E854" i="17"/>
  <c r="D854" i="17"/>
  <c r="C854" i="17"/>
  <c r="B854" i="17"/>
  <c r="A854" i="17"/>
  <c r="I853" i="17"/>
  <c r="H853" i="17"/>
  <c r="G853" i="17"/>
  <c r="F853" i="17"/>
  <c r="E853" i="17"/>
  <c r="D853" i="17"/>
  <c r="C853" i="17"/>
  <c r="B853" i="17"/>
  <c r="A853" i="17"/>
  <c r="I852" i="17"/>
  <c r="H852" i="17"/>
  <c r="G852" i="17"/>
  <c r="F852" i="17"/>
  <c r="E852" i="17"/>
  <c r="D852" i="17"/>
  <c r="C852" i="17"/>
  <c r="B852" i="17"/>
  <c r="A852" i="17"/>
  <c r="AP852" i="17" s="1"/>
  <c r="I851" i="17"/>
  <c r="H851" i="17"/>
  <c r="G851" i="17"/>
  <c r="F851" i="17"/>
  <c r="E851" i="17"/>
  <c r="D851" i="17"/>
  <c r="C851" i="17"/>
  <c r="B851" i="17"/>
  <c r="A851" i="17"/>
  <c r="I850" i="17"/>
  <c r="H850" i="17"/>
  <c r="G850" i="17"/>
  <c r="F850" i="17"/>
  <c r="E850" i="17"/>
  <c r="D850" i="17"/>
  <c r="C850" i="17"/>
  <c r="B850" i="17"/>
  <c r="A850" i="17"/>
  <c r="N850" i="17" s="1"/>
  <c r="AO849" i="17"/>
  <c r="AG849" i="17"/>
  <c r="AF849" i="17"/>
  <c r="I849" i="17"/>
  <c r="H849" i="17"/>
  <c r="G849" i="17"/>
  <c r="F849" i="17"/>
  <c r="E849" i="17"/>
  <c r="D849" i="17"/>
  <c r="C849" i="17"/>
  <c r="B849" i="17"/>
  <c r="A849" i="17"/>
  <c r="AB849" i="17" s="1"/>
  <c r="I848" i="17"/>
  <c r="H848" i="17"/>
  <c r="G848" i="17"/>
  <c r="F848" i="17"/>
  <c r="E848" i="17"/>
  <c r="D848" i="17"/>
  <c r="C848" i="17"/>
  <c r="B848" i="17"/>
  <c r="A848" i="17"/>
  <c r="Q847" i="17"/>
  <c r="O847" i="17"/>
  <c r="I847" i="17"/>
  <c r="H847" i="17"/>
  <c r="G847" i="17"/>
  <c r="F847" i="17"/>
  <c r="E847" i="17"/>
  <c r="D847" i="17"/>
  <c r="C847" i="17"/>
  <c r="B847" i="17"/>
  <c r="A847" i="17"/>
  <c r="AJ847" i="17" s="1"/>
  <c r="AQ846" i="17"/>
  <c r="AO846" i="17"/>
  <c r="AF846" i="17"/>
  <c r="Z846" i="17"/>
  <c r="Y846" i="17"/>
  <c r="X846" i="17"/>
  <c r="I846" i="17"/>
  <c r="H846" i="17"/>
  <c r="G846" i="17"/>
  <c r="F846" i="17"/>
  <c r="E846" i="17"/>
  <c r="D846" i="17"/>
  <c r="C846" i="17"/>
  <c r="B846" i="17"/>
  <c r="A846" i="17"/>
  <c r="AR845" i="17"/>
  <c r="AM845" i="17"/>
  <c r="AJ845" i="17"/>
  <c r="AH845" i="17"/>
  <c r="AC845" i="17"/>
  <c r="W845" i="17"/>
  <c r="T845" i="17"/>
  <c r="Q845" i="17"/>
  <c r="P845" i="17"/>
  <c r="O845" i="17"/>
  <c r="I845" i="17"/>
  <c r="H845" i="17"/>
  <c r="G845" i="17"/>
  <c r="F845" i="17"/>
  <c r="E845" i="17"/>
  <c r="D845" i="17"/>
  <c r="C845" i="17"/>
  <c r="B845" i="17"/>
  <c r="A845" i="17"/>
  <c r="AE845" i="17" s="1"/>
  <c r="I844" i="17"/>
  <c r="H844" i="17"/>
  <c r="G844" i="17"/>
  <c r="F844" i="17"/>
  <c r="E844" i="17"/>
  <c r="D844" i="17"/>
  <c r="C844" i="17"/>
  <c r="B844" i="17"/>
  <c r="A844" i="17"/>
  <c r="I843" i="17"/>
  <c r="H843" i="17"/>
  <c r="G843" i="17"/>
  <c r="F843" i="17"/>
  <c r="E843" i="17"/>
  <c r="D843" i="17"/>
  <c r="C843" i="17"/>
  <c r="B843" i="17"/>
  <c r="A843" i="17"/>
  <c r="J843" i="17" s="1"/>
  <c r="AP842" i="17"/>
  <c r="AB842" i="17"/>
  <c r="U842" i="17"/>
  <c r="I842" i="17"/>
  <c r="H842" i="17"/>
  <c r="G842" i="17"/>
  <c r="F842" i="17"/>
  <c r="E842" i="17"/>
  <c r="D842" i="17"/>
  <c r="C842" i="17"/>
  <c r="B842" i="17"/>
  <c r="A842" i="17"/>
  <c r="I841" i="17"/>
  <c r="H841" i="17"/>
  <c r="G841" i="17"/>
  <c r="F841" i="17"/>
  <c r="E841" i="17"/>
  <c r="D841" i="17"/>
  <c r="C841" i="17"/>
  <c r="B841" i="17"/>
  <c r="A841" i="17"/>
  <c r="AN841" i="17" s="1"/>
  <c r="I840" i="17"/>
  <c r="H840" i="17"/>
  <c r="G840" i="17"/>
  <c r="F840" i="17"/>
  <c r="E840" i="17"/>
  <c r="D840" i="17"/>
  <c r="C840" i="17"/>
  <c r="B840" i="17"/>
  <c r="A840" i="17"/>
  <c r="I839" i="17"/>
  <c r="H839" i="17"/>
  <c r="G839" i="17"/>
  <c r="F839" i="17"/>
  <c r="E839" i="17"/>
  <c r="D839" i="17"/>
  <c r="C839" i="17"/>
  <c r="B839" i="17"/>
  <c r="A839" i="17"/>
  <c r="AB839" i="17" s="1"/>
  <c r="I838" i="17"/>
  <c r="H838" i="17"/>
  <c r="G838" i="17"/>
  <c r="F838" i="17"/>
  <c r="E838" i="17"/>
  <c r="D838" i="17"/>
  <c r="C838" i="17"/>
  <c r="B838" i="17"/>
  <c r="A838" i="17"/>
  <c r="AJ838" i="17" s="1"/>
  <c r="I837" i="17"/>
  <c r="H837" i="17"/>
  <c r="G837" i="17"/>
  <c r="F837" i="17"/>
  <c r="E837" i="17"/>
  <c r="D837" i="17"/>
  <c r="C837" i="17"/>
  <c r="B837" i="17"/>
  <c r="A837" i="17"/>
  <c r="AD837" i="17" s="1"/>
  <c r="I836" i="17"/>
  <c r="H836" i="17"/>
  <c r="G836" i="17"/>
  <c r="F836" i="17"/>
  <c r="E836" i="17"/>
  <c r="D836" i="17"/>
  <c r="C836" i="17"/>
  <c r="B836" i="17"/>
  <c r="A836" i="17"/>
  <c r="I835" i="17"/>
  <c r="H835" i="17"/>
  <c r="G835" i="17"/>
  <c r="F835" i="17"/>
  <c r="E835" i="17"/>
  <c r="D835" i="17"/>
  <c r="C835" i="17"/>
  <c r="B835" i="17"/>
  <c r="A835" i="17"/>
  <c r="Z834" i="17"/>
  <c r="P834" i="17"/>
  <c r="I834" i="17"/>
  <c r="H834" i="17"/>
  <c r="G834" i="17"/>
  <c r="F834" i="17"/>
  <c r="E834" i="17"/>
  <c r="D834" i="17"/>
  <c r="C834" i="17"/>
  <c r="B834" i="17"/>
  <c r="A834" i="17"/>
  <c r="I833" i="17"/>
  <c r="H833" i="17"/>
  <c r="G833" i="17"/>
  <c r="F833" i="17"/>
  <c r="E833" i="17"/>
  <c r="D833" i="17"/>
  <c r="C833" i="17"/>
  <c r="B833" i="17"/>
  <c r="A833" i="17"/>
  <c r="AI832" i="17"/>
  <c r="AH832" i="17"/>
  <c r="I832" i="17"/>
  <c r="H832" i="17"/>
  <c r="G832" i="17"/>
  <c r="F832" i="17"/>
  <c r="E832" i="17"/>
  <c r="D832" i="17"/>
  <c r="C832" i="17"/>
  <c r="B832" i="17"/>
  <c r="A832" i="17"/>
  <c r="AN831" i="17"/>
  <c r="AM831" i="17"/>
  <c r="AJ831" i="17"/>
  <c r="P831" i="17"/>
  <c r="O831" i="17"/>
  <c r="I831" i="17"/>
  <c r="H831" i="17"/>
  <c r="G831" i="17"/>
  <c r="F831" i="17"/>
  <c r="E831" i="17"/>
  <c r="D831" i="17"/>
  <c r="C831" i="17"/>
  <c r="B831" i="17"/>
  <c r="A831" i="17"/>
  <c r="AE831" i="17" s="1"/>
  <c r="I830" i="17"/>
  <c r="H830" i="17"/>
  <c r="G830" i="17"/>
  <c r="F830" i="17"/>
  <c r="E830" i="17"/>
  <c r="D830" i="17"/>
  <c r="C830" i="17"/>
  <c r="B830" i="17"/>
  <c r="A830" i="17"/>
  <c r="AI830" i="17" s="1"/>
  <c r="I829" i="17"/>
  <c r="H829" i="17"/>
  <c r="G829" i="17"/>
  <c r="F829" i="17"/>
  <c r="E829" i="17"/>
  <c r="D829" i="17"/>
  <c r="C829" i="17"/>
  <c r="B829" i="17"/>
  <c r="A829" i="17"/>
  <c r="I828" i="17"/>
  <c r="H828" i="17"/>
  <c r="G828" i="17"/>
  <c r="F828" i="17"/>
  <c r="E828" i="17"/>
  <c r="D828" i="17"/>
  <c r="C828" i="17"/>
  <c r="B828" i="17"/>
  <c r="A828" i="17"/>
  <c r="AI828" i="17" s="1"/>
  <c r="AP827" i="17"/>
  <c r="AC827" i="17"/>
  <c r="O827" i="17"/>
  <c r="L827" i="17"/>
  <c r="J827" i="17"/>
  <c r="I827" i="17"/>
  <c r="H827" i="17"/>
  <c r="G827" i="17"/>
  <c r="F827" i="17"/>
  <c r="E827" i="17"/>
  <c r="D827" i="17"/>
  <c r="C827" i="17"/>
  <c r="B827" i="17"/>
  <c r="A827" i="17"/>
  <c r="I826" i="17"/>
  <c r="H826" i="17"/>
  <c r="G826" i="17"/>
  <c r="F826" i="17"/>
  <c r="E826" i="17"/>
  <c r="D826" i="17"/>
  <c r="C826" i="17"/>
  <c r="B826" i="17"/>
  <c r="A826" i="17"/>
  <c r="I825" i="17"/>
  <c r="H825" i="17"/>
  <c r="G825" i="17"/>
  <c r="F825" i="17"/>
  <c r="E825" i="17"/>
  <c r="D825" i="17"/>
  <c r="C825" i="17"/>
  <c r="B825" i="17"/>
  <c r="A825" i="17"/>
  <c r="AJ824" i="17"/>
  <c r="I824" i="17"/>
  <c r="H824" i="17"/>
  <c r="G824" i="17"/>
  <c r="F824" i="17"/>
  <c r="E824" i="17"/>
  <c r="D824" i="17"/>
  <c r="C824" i="17"/>
  <c r="B824" i="17"/>
  <c r="A824" i="17"/>
  <c r="I823" i="17"/>
  <c r="H823" i="17"/>
  <c r="G823" i="17"/>
  <c r="F823" i="17"/>
  <c r="E823" i="17"/>
  <c r="D823" i="17"/>
  <c r="C823" i="17"/>
  <c r="B823" i="17"/>
  <c r="A823" i="17"/>
  <c r="AJ822" i="17"/>
  <c r="AI822" i="17"/>
  <c r="AA822" i="17"/>
  <c r="P822" i="17"/>
  <c r="L822" i="17"/>
  <c r="I822" i="17"/>
  <c r="H822" i="17"/>
  <c r="G822" i="17"/>
  <c r="F822" i="17"/>
  <c r="E822" i="17"/>
  <c r="D822" i="17"/>
  <c r="C822" i="17"/>
  <c r="B822" i="17"/>
  <c r="A822" i="17"/>
  <c r="I821" i="17"/>
  <c r="H821" i="17"/>
  <c r="G821" i="17"/>
  <c r="F821" i="17"/>
  <c r="E821" i="17"/>
  <c r="D821" i="17"/>
  <c r="C821" i="17"/>
  <c r="B821" i="17"/>
  <c r="A821" i="17"/>
  <c r="Y820" i="17"/>
  <c r="X820" i="17"/>
  <c r="T820" i="17"/>
  <c r="I820" i="17"/>
  <c r="H820" i="17"/>
  <c r="G820" i="17"/>
  <c r="F820" i="17"/>
  <c r="E820" i="17"/>
  <c r="D820" i="17"/>
  <c r="C820" i="17"/>
  <c r="B820" i="17"/>
  <c r="A820" i="17"/>
  <c r="I819" i="17"/>
  <c r="H819" i="17"/>
  <c r="G819" i="17"/>
  <c r="F819" i="17"/>
  <c r="E819" i="17"/>
  <c r="D819" i="17"/>
  <c r="C819" i="17"/>
  <c r="B819" i="17"/>
  <c r="A819" i="17"/>
  <c r="I818" i="17"/>
  <c r="H818" i="17"/>
  <c r="G818" i="17"/>
  <c r="F818" i="17"/>
  <c r="E818" i="17"/>
  <c r="D818" i="17"/>
  <c r="C818" i="17"/>
  <c r="B818" i="17"/>
  <c r="A818" i="17"/>
  <c r="AF818" i="17" s="1"/>
  <c r="R817" i="17"/>
  <c r="P817" i="17"/>
  <c r="I817" i="17"/>
  <c r="H817" i="17"/>
  <c r="G817" i="17"/>
  <c r="F817" i="17"/>
  <c r="E817" i="17"/>
  <c r="D817" i="17"/>
  <c r="C817" i="17"/>
  <c r="B817" i="17"/>
  <c r="A817" i="17"/>
  <c r="AJ817" i="17" s="1"/>
  <c r="AH816" i="17"/>
  <c r="AG816" i="17"/>
  <c r="I816" i="17"/>
  <c r="H816" i="17"/>
  <c r="G816" i="17"/>
  <c r="F816" i="17"/>
  <c r="E816" i="17"/>
  <c r="D816" i="17"/>
  <c r="C816" i="17"/>
  <c r="B816" i="17"/>
  <c r="A816" i="17"/>
  <c r="I815" i="17"/>
  <c r="H815" i="17"/>
  <c r="G815" i="17"/>
  <c r="F815" i="17"/>
  <c r="E815" i="17"/>
  <c r="D815" i="17"/>
  <c r="C815" i="17"/>
  <c r="B815" i="17"/>
  <c r="A815" i="17"/>
  <c r="I814" i="17"/>
  <c r="H814" i="17"/>
  <c r="G814" i="17"/>
  <c r="F814" i="17"/>
  <c r="E814" i="17"/>
  <c r="D814" i="17"/>
  <c r="C814" i="17"/>
  <c r="B814" i="17"/>
  <c r="A814" i="17"/>
  <c r="AH814" i="17" s="1"/>
  <c r="I813" i="17"/>
  <c r="H813" i="17"/>
  <c r="G813" i="17"/>
  <c r="F813" i="17"/>
  <c r="E813" i="17"/>
  <c r="D813" i="17"/>
  <c r="C813" i="17"/>
  <c r="B813" i="17"/>
  <c r="A813" i="17"/>
  <c r="AL812" i="17"/>
  <c r="AH812" i="17"/>
  <c r="AD812" i="17"/>
  <c r="Y812" i="17"/>
  <c r="M812" i="17"/>
  <c r="K812" i="17"/>
  <c r="I812" i="17"/>
  <c r="H812" i="17"/>
  <c r="G812" i="17"/>
  <c r="F812" i="17"/>
  <c r="E812" i="17"/>
  <c r="D812" i="17"/>
  <c r="C812" i="17"/>
  <c r="B812" i="17"/>
  <c r="A812" i="17"/>
  <c r="AP811" i="17"/>
  <c r="AO811" i="17"/>
  <c r="X811" i="17"/>
  <c r="W811" i="17"/>
  <c r="V811" i="17"/>
  <c r="U811" i="17"/>
  <c r="M811" i="17"/>
  <c r="L811" i="17"/>
  <c r="J811" i="17"/>
  <c r="I811" i="17"/>
  <c r="H811" i="17"/>
  <c r="G811" i="17"/>
  <c r="F811" i="17"/>
  <c r="E811" i="17"/>
  <c r="D811" i="17"/>
  <c r="C811" i="17"/>
  <c r="B811" i="17"/>
  <c r="A811" i="17"/>
  <c r="AE811" i="17" s="1"/>
  <c r="I810" i="17"/>
  <c r="H810" i="17"/>
  <c r="G810" i="17"/>
  <c r="F810" i="17"/>
  <c r="E810" i="17"/>
  <c r="D810" i="17"/>
  <c r="C810" i="17"/>
  <c r="B810" i="17"/>
  <c r="A810" i="17"/>
  <c r="AG810" i="17" s="1"/>
  <c r="I809" i="17"/>
  <c r="H809" i="17"/>
  <c r="G809" i="17"/>
  <c r="F809" i="17"/>
  <c r="E809" i="17"/>
  <c r="D809" i="17"/>
  <c r="C809" i="17"/>
  <c r="B809" i="17"/>
  <c r="A809" i="17"/>
  <c r="AK809" i="17" s="1"/>
  <c r="I808" i="17"/>
  <c r="H808" i="17"/>
  <c r="G808" i="17"/>
  <c r="F808" i="17"/>
  <c r="E808" i="17"/>
  <c r="D808" i="17"/>
  <c r="C808" i="17"/>
  <c r="B808" i="17"/>
  <c r="A808" i="17"/>
  <c r="I807" i="17"/>
  <c r="H807" i="17"/>
  <c r="G807" i="17"/>
  <c r="F807" i="17"/>
  <c r="E807" i="17"/>
  <c r="D807" i="17"/>
  <c r="C807" i="17"/>
  <c r="B807" i="17"/>
  <c r="A807" i="17"/>
  <c r="I806" i="17"/>
  <c r="H806" i="17"/>
  <c r="G806" i="17"/>
  <c r="F806" i="17"/>
  <c r="E806" i="17"/>
  <c r="D806" i="17"/>
  <c r="C806" i="17"/>
  <c r="B806" i="17"/>
  <c r="A806" i="17"/>
  <c r="I805" i="17"/>
  <c r="H805" i="17"/>
  <c r="G805" i="17"/>
  <c r="F805" i="17"/>
  <c r="E805" i="17"/>
  <c r="D805" i="17"/>
  <c r="C805" i="17"/>
  <c r="B805" i="17"/>
  <c r="A805" i="17"/>
  <c r="I804" i="17"/>
  <c r="H804" i="17"/>
  <c r="G804" i="17"/>
  <c r="F804" i="17"/>
  <c r="E804" i="17"/>
  <c r="D804" i="17"/>
  <c r="C804" i="17"/>
  <c r="B804" i="17"/>
  <c r="A804" i="17"/>
  <c r="AR803" i="17"/>
  <c r="AF803" i="17"/>
  <c r="AC803" i="17"/>
  <c r="Y803" i="17"/>
  <c r="T803" i="17"/>
  <c r="R803" i="17"/>
  <c r="O803" i="17"/>
  <c r="I803" i="17"/>
  <c r="H803" i="17"/>
  <c r="G803" i="17"/>
  <c r="F803" i="17"/>
  <c r="E803" i="17"/>
  <c r="D803" i="17"/>
  <c r="C803" i="17"/>
  <c r="B803" i="17"/>
  <c r="A803" i="17"/>
  <c r="AQ802" i="17"/>
  <c r="AB802" i="17"/>
  <c r="R802" i="17"/>
  <c r="Q802" i="17"/>
  <c r="I802" i="17"/>
  <c r="H802" i="17"/>
  <c r="G802" i="17"/>
  <c r="F802" i="17"/>
  <c r="E802" i="17"/>
  <c r="D802" i="17"/>
  <c r="C802" i="17"/>
  <c r="B802" i="17"/>
  <c r="A802" i="17"/>
  <c r="I801" i="17"/>
  <c r="H801" i="17"/>
  <c r="G801" i="17"/>
  <c r="F801" i="17"/>
  <c r="E801" i="17"/>
  <c r="D801" i="17"/>
  <c r="C801" i="17"/>
  <c r="B801" i="17"/>
  <c r="A801" i="17"/>
  <c r="I800" i="17"/>
  <c r="H800" i="17"/>
  <c r="G800" i="17"/>
  <c r="F800" i="17"/>
  <c r="E800" i="17"/>
  <c r="D800" i="17"/>
  <c r="C800" i="17"/>
  <c r="B800" i="17"/>
  <c r="A800" i="17"/>
  <c r="I799" i="17"/>
  <c r="H799" i="17"/>
  <c r="G799" i="17"/>
  <c r="F799" i="17"/>
  <c r="E799" i="17"/>
  <c r="D799" i="17"/>
  <c r="C799" i="17"/>
  <c r="B799" i="17"/>
  <c r="A799" i="17"/>
  <c r="W799" i="17" s="1"/>
  <c r="AR798" i="17"/>
  <c r="AO798" i="17"/>
  <c r="AG798" i="17"/>
  <c r="K798" i="17"/>
  <c r="I798" i="17"/>
  <c r="H798" i="17"/>
  <c r="G798" i="17"/>
  <c r="F798" i="17"/>
  <c r="E798" i="17"/>
  <c r="D798" i="17"/>
  <c r="C798" i="17"/>
  <c r="B798" i="17"/>
  <c r="A798" i="17"/>
  <c r="AL797" i="17"/>
  <c r="AE797" i="17"/>
  <c r="T797" i="17"/>
  <c r="Q797" i="17"/>
  <c r="L797" i="17"/>
  <c r="I797" i="17"/>
  <c r="H797" i="17"/>
  <c r="G797" i="17"/>
  <c r="F797" i="17"/>
  <c r="E797" i="17"/>
  <c r="D797" i="17"/>
  <c r="C797" i="17"/>
  <c r="B797" i="17"/>
  <c r="A797" i="17"/>
  <c r="AP797" i="17" s="1"/>
  <c r="AR796" i="17"/>
  <c r="AQ796" i="17"/>
  <c r="AP796" i="17"/>
  <c r="AL796" i="17"/>
  <c r="AI796" i="17"/>
  <c r="AG796" i="17"/>
  <c r="AF796" i="17"/>
  <c r="AD796" i="17"/>
  <c r="Z796" i="17"/>
  <c r="Y796" i="17"/>
  <c r="X796" i="17"/>
  <c r="T796" i="17"/>
  <c r="Q796" i="17"/>
  <c r="N796" i="17"/>
  <c r="M796" i="17"/>
  <c r="L796" i="17"/>
  <c r="K796" i="17"/>
  <c r="J796" i="17"/>
  <c r="I796" i="17"/>
  <c r="H796" i="17"/>
  <c r="G796" i="17"/>
  <c r="F796" i="17"/>
  <c r="E796" i="17"/>
  <c r="D796" i="17"/>
  <c r="C796" i="17"/>
  <c r="B796" i="17"/>
  <c r="A796" i="17"/>
  <c r="AK796" i="17" s="1"/>
  <c r="I795" i="17"/>
  <c r="H795" i="17"/>
  <c r="G795" i="17"/>
  <c r="F795" i="17"/>
  <c r="E795" i="17"/>
  <c r="D795" i="17"/>
  <c r="C795" i="17"/>
  <c r="B795" i="17"/>
  <c r="A795" i="17"/>
  <c r="I794" i="17"/>
  <c r="H794" i="17"/>
  <c r="G794" i="17"/>
  <c r="F794" i="17"/>
  <c r="E794" i="17"/>
  <c r="D794" i="17"/>
  <c r="C794" i="17"/>
  <c r="B794" i="17"/>
  <c r="A794" i="17"/>
  <c r="W793" i="17"/>
  <c r="T793" i="17"/>
  <c r="R793" i="17"/>
  <c r="I793" i="17"/>
  <c r="H793" i="17"/>
  <c r="G793" i="17"/>
  <c r="F793" i="17"/>
  <c r="E793" i="17"/>
  <c r="D793" i="17"/>
  <c r="C793" i="17"/>
  <c r="B793" i="17"/>
  <c r="A793" i="17"/>
  <c r="AL792" i="17"/>
  <c r="AK792" i="17"/>
  <c r="AC792" i="17"/>
  <c r="Z792" i="17"/>
  <c r="V792" i="17"/>
  <c r="M792" i="17"/>
  <c r="I792" i="17"/>
  <c r="H792" i="17"/>
  <c r="G792" i="17"/>
  <c r="F792" i="17"/>
  <c r="E792" i="17"/>
  <c r="D792" i="17"/>
  <c r="C792" i="17"/>
  <c r="B792" i="17"/>
  <c r="A792" i="17"/>
  <c r="R791" i="17"/>
  <c r="Q791" i="17"/>
  <c r="I791" i="17"/>
  <c r="H791" i="17"/>
  <c r="G791" i="17"/>
  <c r="F791" i="17"/>
  <c r="E791" i="17"/>
  <c r="D791" i="17"/>
  <c r="C791" i="17"/>
  <c r="B791" i="17"/>
  <c r="A791" i="17"/>
  <c r="I790" i="17"/>
  <c r="H790" i="17"/>
  <c r="G790" i="17"/>
  <c r="F790" i="17"/>
  <c r="E790" i="17"/>
  <c r="D790" i="17"/>
  <c r="C790" i="17"/>
  <c r="B790" i="17"/>
  <c r="A790" i="17"/>
  <c r="AC789" i="17"/>
  <c r="AB789" i="17"/>
  <c r="Z789" i="17"/>
  <c r="U789" i="17"/>
  <c r="P789" i="17"/>
  <c r="I789" i="17"/>
  <c r="H789" i="17"/>
  <c r="G789" i="17"/>
  <c r="F789" i="17"/>
  <c r="E789" i="17"/>
  <c r="D789" i="17"/>
  <c r="C789" i="17"/>
  <c r="B789" i="17"/>
  <c r="A789" i="17"/>
  <c r="AH789" i="17" s="1"/>
  <c r="AJ788" i="17"/>
  <c r="AH788" i="17"/>
  <c r="T788" i="17"/>
  <c r="I788" i="17"/>
  <c r="H788" i="17"/>
  <c r="G788" i="17"/>
  <c r="F788" i="17"/>
  <c r="E788" i="17"/>
  <c r="D788" i="17"/>
  <c r="C788" i="17"/>
  <c r="B788" i="17"/>
  <c r="A788" i="17"/>
  <c r="Z787" i="17"/>
  <c r="I787" i="17"/>
  <c r="H787" i="17"/>
  <c r="G787" i="17"/>
  <c r="F787" i="17"/>
  <c r="E787" i="17"/>
  <c r="D787" i="17"/>
  <c r="C787" i="17"/>
  <c r="B787" i="17"/>
  <c r="A787" i="17"/>
  <c r="I786" i="17"/>
  <c r="H786" i="17"/>
  <c r="G786" i="17"/>
  <c r="F786" i="17"/>
  <c r="E786" i="17"/>
  <c r="D786" i="17"/>
  <c r="C786" i="17"/>
  <c r="B786" i="17"/>
  <c r="A786" i="17"/>
  <c r="I785" i="17"/>
  <c r="H785" i="17"/>
  <c r="G785" i="17"/>
  <c r="F785" i="17"/>
  <c r="E785" i="17"/>
  <c r="D785" i="17"/>
  <c r="C785" i="17"/>
  <c r="B785" i="17"/>
  <c r="A785" i="17"/>
  <c r="M785" i="17" s="1"/>
  <c r="AR784" i="17"/>
  <c r="I784" i="17"/>
  <c r="H784" i="17"/>
  <c r="G784" i="17"/>
  <c r="F784" i="17"/>
  <c r="E784" i="17"/>
  <c r="D784" i="17"/>
  <c r="C784" i="17"/>
  <c r="B784" i="17"/>
  <c r="A784" i="17"/>
  <c r="N784" i="17" s="1"/>
  <c r="AR783" i="17"/>
  <c r="AM783" i="17"/>
  <c r="I783" i="17"/>
  <c r="H783" i="17"/>
  <c r="G783" i="17"/>
  <c r="F783" i="17"/>
  <c r="E783" i="17"/>
  <c r="D783" i="17"/>
  <c r="C783" i="17"/>
  <c r="B783" i="17"/>
  <c r="A783" i="17"/>
  <c r="AD783" i="17" s="1"/>
  <c r="Q782" i="17"/>
  <c r="I782" i="17"/>
  <c r="H782" i="17"/>
  <c r="G782" i="17"/>
  <c r="F782" i="17"/>
  <c r="E782" i="17"/>
  <c r="D782" i="17"/>
  <c r="C782" i="17"/>
  <c r="B782" i="17"/>
  <c r="A782" i="17"/>
  <c r="I781" i="17"/>
  <c r="H781" i="17"/>
  <c r="G781" i="17"/>
  <c r="F781" i="17"/>
  <c r="E781" i="17"/>
  <c r="D781" i="17"/>
  <c r="C781" i="17"/>
  <c r="B781" i="17"/>
  <c r="A781" i="17"/>
  <c r="AQ780" i="17"/>
  <c r="AM780" i="17"/>
  <c r="V780" i="17"/>
  <c r="S780" i="17"/>
  <c r="R780" i="17"/>
  <c r="I780" i="17"/>
  <c r="H780" i="17"/>
  <c r="G780" i="17"/>
  <c r="F780" i="17"/>
  <c r="E780" i="17"/>
  <c r="D780" i="17"/>
  <c r="C780" i="17"/>
  <c r="B780" i="17"/>
  <c r="A780" i="17"/>
  <c r="W780" i="17" s="1"/>
  <c r="AM779" i="17"/>
  <c r="AL779" i="17"/>
  <c r="W779" i="17"/>
  <c r="M779" i="17"/>
  <c r="I779" i="17"/>
  <c r="H779" i="17"/>
  <c r="G779" i="17"/>
  <c r="F779" i="17"/>
  <c r="E779" i="17"/>
  <c r="D779" i="17"/>
  <c r="C779" i="17"/>
  <c r="B779" i="17"/>
  <c r="A779" i="17"/>
  <c r="AD778" i="17"/>
  <c r="Z778" i="17"/>
  <c r="I778" i="17"/>
  <c r="H778" i="17"/>
  <c r="G778" i="17"/>
  <c r="F778" i="17"/>
  <c r="E778" i="17"/>
  <c r="D778" i="17"/>
  <c r="C778" i="17"/>
  <c r="B778" i="17"/>
  <c r="A778" i="17"/>
  <c r="AP777" i="17"/>
  <c r="AD777" i="17"/>
  <c r="AC777" i="17"/>
  <c r="U777" i="17"/>
  <c r="T777" i="17"/>
  <c r="R777" i="17"/>
  <c r="P777" i="17"/>
  <c r="I777" i="17"/>
  <c r="H777" i="17"/>
  <c r="G777" i="17"/>
  <c r="F777" i="17"/>
  <c r="E777" i="17"/>
  <c r="D777" i="17"/>
  <c r="C777" i="17"/>
  <c r="B777" i="17"/>
  <c r="A777" i="17"/>
  <c r="AE777" i="17" s="1"/>
  <c r="AL776" i="17"/>
  <c r="AI776" i="17"/>
  <c r="S776" i="17"/>
  <c r="I776" i="17"/>
  <c r="H776" i="17"/>
  <c r="G776" i="17"/>
  <c r="F776" i="17"/>
  <c r="E776" i="17"/>
  <c r="D776" i="17"/>
  <c r="C776" i="17"/>
  <c r="B776" i="17"/>
  <c r="A776" i="17"/>
  <c r="AH775" i="17"/>
  <c r="AE775" i="17"/>
  <c r="Z775" i="17"/>
  <c r="X775" i="17"/>
  <c r="I775" i="17"/>
  <c r="H775" i="17"/>
  <c r="G775" i="17"/>
  <c r="F775" i="17"/>
  <c r="E775" i="17"/>
  <c r="D775" i="17"/>
  <c r="C775" i="17"/>
  <c r="B775" i="17"/>
  <c r="A775" i="17"/>
  <c r="I774" i="17"/>
  <c r="H774" i="17"/>
  <c r="G774" i="17"/>
  <c r="F774" i="17"/>
  <c r="E774" i="17"/>
  <c r="D774" i="17"/>
  <c r="C774" i="17"/>
  <c r="B774" i="17"/>
  <c r="A774" i="17"/>
  <c r="I773" i="17"/>
  <c r="H773" i="17"/>
  <c r="G773" i="17"/>
  <c r="F773" i="17"/>
  <c r="E773" i="17"/>
  <c r="D773" i="17"/>
  <c r="C773" i="17"/>
  <c r="B773" i="17"/>
  <c r="A773" i="17"/>
  <c r="Y772" i="17"/>
  <c r="I772" i="17"/>
  <c r="H772" i="17"/>
  <c r="G772" i="17"/>
  <c r="F772" i="17"/>
  <c r="E772" i="17"/>
  <c r="D772" i="17"/>
  <c r="C772" i="17"/>
  <c r="B772" i="17"/>
  <c r="A772" i="17"/>
  <c r="AP771" i="17"/>
  <c r="AN771" i="17"/>
  <c r="AL771" i="17"/>
  <c r="AK771" i="17"/>
  <c r="AJ771" i="17"/>
  <c r="AF771" i="17"/>
  <c r="AD771" i="17"/>
  <c r="AB771" i="17"/>
  <c r="AA771" i="17"/>
  <c r="Z771" i="17"/>
  <c r="W771" i="17"/>
  <c r="V771" i="17"/>
  <c r="R771" i="17"/>
  <c r="P771" i="17"/>
  <c r="N771" i="17"/>
  <c r="M771" i="17"/>
  <c r="L771" i="17"/>
  <c r="K771" i="17"/>
  <c r="J771" i="17"/>
  <c r="I771" i="17"/>
  <c r="H771" i="17"/>
  <c r="G771" i="17"/>
  <c r="F771" i="17"/>
  <c r="E771" i="17"/>
  <c r="D771" i="17"/>
  <c r="C771" i="17"/>
  <c r="B771" i="17"/>
  <c r="A771" i="17"/>
  <c r="AR771" i="17" s="1"/>
  <c r="I770" i="17"/>
  <c r="H770" i="17"/>
  <c r="G770" i="17"/>
  <c r="F770" i="17"/>
  <c r="E770" i="17"/>
  <c r="D770" i="17"/>
  <c r="C770" i="17"/>
  <c r="B770" i="17"/>
  <c r="A770" i="17"/>
  <c r="AG770" i="17" s="1"/>
  <c r="AR769" i="17"/>
  <c r="O769" i="17"/>
  <c r="N769" i="17"/>
  <c r="I769" i="17"/>
  <c r="H769" i="17"/>
  <c r="G769" i="17"/>
  <c r="F769" i="17"/>
  <c r="E769" i="17"/>
  <c r="D769" i="17"/>
  <c r="C769" i="17"/>
  <c r="B769" i="17"/>
  <c r="A769" i="17"/>
  <c r="I768" i="17"/>
  <c r="H768" i="17"/>
  <c r="G768" i="17"/>
  <c r="F768" i="17"/>
  <c r="E768" i="17"/>
  <c r="D768" i="17"/>
  <c r="C768" i="17"/>
  <c r="B768" i="17"/>
  <c r="A768" i="17"/>
  <c r="Z767" i="17"/>
  <c r="U767" i="17"/>
  <c r="I767" i="17"/>
  <c r="H767" i="17"/>
  <c r="G767" i="17"/>
  <c r="F767" i="17"/>
  <c r="E767" i="17"/>
  <c r="D767" i="17"/>
  <c r="C767" i="17"/>
  <c r="B767" i="17"/>
  <c r="A767" i="17"/>
  <c r="T767" i="17" s="1"/>
  <c r="AO766" i="17"/>
  <c r="I766" i="17"/>
  <c r="H766" i="17"/>
  <c r="G766" i="17"/>
  <c r="F766" i="17"/>
  <c r="E766" i="17"/>
  <c r="D766" i="17"/>
  <c r="C766" i="17"/>
  <c r="B766" i="17"/>
  <c r="A766" i="17"/>
  <c r="AP765" i="17"/>
  <c r="R765" i="17"/>
  <c r="N765" i="17"/>
  <c r="L765" i="17"/>
  <c r="I765" i="17"/>
  <c r="H765" i="17"/>
  <c r="G765" i="17"/>
  <c r="F765" i="17"/>
  <c r="E765" i="17"/>
  <c r="D765" i="17"/>
  <c r="C765" i="17"/>
  <c r="B765" i="17"/>
  <c r="A765" i="17"/>
  <c r="I764" i="17"/>
  <c r="H764" i="17"/>
  <c r="G764" i="17"/>
  <c r="F764" i="17"/>
  <c r="E764" i="17"/>
  <c r="D764" i="17"/>
  <c r="C764" i="17"/>
  <c r="B764" i="17"/>
  <c r="A764" i="17"/>
  <c r="AN763" i="17"/>
  <c r="AM763" i="17"/>
  <c r="AL763" i="17"/>
  <c r="AJ763" i="17"/>
  <c r="AD763" i="17"/>
  <c r="AC763" i="17"/>
  <c r="X763" i="17"/>
  <c r="T763" i="17"/>
  <c r="S763" i="17"/>
  <c r="O763" i="17"/>
  <c r="N763" i="17"/>
  <c r="M763" i="17"/>
  <c r="J763" i="17"/>
  <c r="I763" i="17"/>
  <c r="H763" i="17"/>
  <c r="G763" i="17"/>
  <c r="F763" i="17"/>
  <c r="E763" i="17"/>
  <c r="D763" i="17"/>
  <c r="C763" i="17"/>
  <c r="B763" i="17"/>
  <c r="A763" i="17"/>
  <c r="AB763" i="17" s="1"/>
  <c r="AN762" i="17"/>
  <c r="AL762" i="17"/>
  <c r="AH762" i="17"/>
  <c r="AG762" i="17"/>
  <c r="AD762" i="17"/>
  <c r="AA762" i="17"/>
  <c r="V762" i="17"/>
  <c r="Q762" i="17"/>
  <c r="P762" i="17"/>
  <c r="O762" i="17"/>
  <c r="N762" i="17"/>
  <c r="K762" i="17"/>
  <c r="I762" i="17"/>
  <c r="H762" i="17"/>
  <c r="G762" i="17"/>
  <c r="F762" i="17"/>
  <c r="E762" i="17"/>
  <c r="D762" i="17"/>
  <c r="C762" i="17"/>
  <c r="B762" i="17"/>
  <c r="A762" i="17"/>
  <c r="AM762" i="17" s="1"/>
  <c r="I761" i="17"/>
  <c r="H761" i="17"/>
  <c r="G761" i="17"/>
  <c r="F761" i="17"/>
  <c r="E761" i="17"/>
  <c r="D761" i="17"/>
  <c r="C761" i="17"/>
  <c r="B761" i="17"/>
  <c r="A761" i="17"/>
  <c r="AL761" i="17" s="1"/>
  <c r="AO760" i="17"/>
  <c r="AN760" i="17"/>
  <c r="AL760" i="17"/>
  <c r="I760" i="17"/>
  <c r="H760" i="17"/>
  <c r="G760" i="17"/>
  <c r="F760" i="17"/>
  <c r="E760" i="17"/>
  <c r="D760" i="17"/>
  <c r="C760" i="17"/>
  <c r="B760" i="17"/>
  <c r="A760" i="17"/>
  <c r="AK759" i="17"/>
  <c r="AJ759" i="17"/>
  <c r="AH759" i="17"/>
  <c r="W759" i="17"/>
  <c r="R759" i="17"/>
  <c r="I759" i="17"/>
  <c r="H759" i="17"/>
  <c r="G759" i="17"/>
  <c r="F759" i="17"/>
  <c r="E759" i="17"/>
  <c r="D759" i="17"/>
  <c r="C759" i="17"/>
  <c r="B759" i="17"/>
  <c r="A759" i="17"/>
  <c r="I758" i="17"/>
  <c r="H758" i="17"/>
  <c r="G758" i="17"/>
  <c r="F758" i="17"/>
  <c r="E758" i="17"/>
  <c r="D758" i="17"/>
  <c r="C758" i="17"/>
  <c r="B758" i="17"/>
  <c r="A758" i="17"/>
  <c r="AA757" i="17"/>
  <c r="Z757" i="17"/>
  <c r="I757" i="17"/>
  <c r="H757" i="17"/>
  <c r="G757" i="17"/>
  <c r="F757" i="17"/>
  <c r="E757" i="17"/>
  <c r="D757" i="17"/>
  <c r="C757" i="17"/>
  <c r="B757" i="17"/>
  <c r="A757" i="17"/>
  <c r="I756" i="17"/>
  <c r="H756" i="17"/>
  <c r="G756" i="17"/>
  <c r="F756" i="17"/>
  <c r="E756" i="17"/>
  <c r="D756" i="17"/>
  <c r="C756" i="17"/>
  <c r="B756" i="17"/>
  <c r="A756" i="17"/>
  <c r="AL756" i="17" s="1"/>
  <c r="AA755" i="17"/>
  <c r="I755" i="17"/>
  <c r="H755" i="17"/>
  <c r="G755" i="17"/>
  <c r="F755" i="17"/>
  <c r="E755" i="17"/>
  <c r="D755" i="17"/>
  <c r="C755" i="17"/>
  <c r="B755" i="17"/>
  <c r="A755" i="17"/>
  <c r="I754" i="17"/>
  <c r="H754" i="17"/>
  <c r="G754" i="17"/>
  <c r="F754" i="17"/>
  <c r="E754" i="17"/>
  <c r="D754" i="17"/>
  <c r="C754" i="17"/>
  <c r="B754" i="17"/>
  <c r="A754" i="17"/>
  <c r="J754" i="17" s="1"/>
  <c r="AP753" i="17"/>
  <c r="AE753" i="17"/>
  <c r="AC753" i="17"/>
  <c r="I753" i="17"/>
  <c r="H753" i="17"/>
  <c r="G753" i="17"/>
  <c r="F753" i="17"/>
  <c r="E753" i="17"/>
  <c r="D753" i="17"/>
  <c r="C753" i="17"/>
  <c r="B753" i="17"/>
  <c r="A753" i="17"/>
  <c r="I752" i="17"/>
  <c r="H752" i="17"/>
  <c r="G752" i="17"/>
  <c r="F752" i="17"/>
  <c r="E752" i="17"/>
  <c r="D752" i="17"/>
  <c r="C752" i="17"/>
  <c r="B752" i="17"/>
  <c r="A752" i="17"/>
  <c r="AQ751" i="17"/>
  <c r="V751" i="17"/>
  <c r="U751" i="17"/>
  <c r="S751" i="17"/>
  <c r="I751" i="17"/>
  <c r="H751" i="17"/>
  <c r="G751" i="17"/>
  <c r="F751" i="17"/>
  <c r="E751" i="17"/>
  <c r="D751" i="17"/>
  <c r="C751" i="17"/>
  <c r="B751" i="17"/>
  <c r="A751" i="17"/>
  <c r="I750" i="17"/>
  <c r="H750" i="17"/>
  <c r="G750" i="17"/>
  <c r="F750" i="17"/>
  <c r="E750" i="17"/>
  <c r="D750" i="17"/>
  <c r="C750" i="17"/>
  <c r="B750" i="17"/>
  <c r="A750" i="17"/>
  <c r="I749" i="17"/>
  <c r="H749" i="17"/>
  <c r="G749" i="17"/>
  <c r="F749" i="17"/>
  <c r="E749" i="17"/>
  <c r="D749" i="17"/>
  <c r="C749" i="17"/>
  <c r="B749" i="17"/>
  <c r="A749" i="17"/>
  <c r="AK749" i="17" s="1"/>
  <c r="I748" i="17"/>
  <c r="H748" i="17"/>
  <c r="G748" i="17"/>
  <c r="F748" i="17"/>
  <c r="E748" i="17"/>
  <c r="D748" i="17"/>
  <c r="C748" i="17"/>
  <c r="B748" i="17"/>
  <c r="A748" i="17"/>
  <c r="AR747" i="17"/>
  <c r="AQ747" i="17"/>
  <c r="AA747" i="17"/>
  <c r="Z747" i="17"/>
  <c r="I747" i="17"/>
  <c r="H747" i="17"/>
  <c r="G747" i="17"/>
  <c r="F747" i="17"/>
  <c r="E747" i="17"/>
  <c r="D747" i="17"/>
  <c r="C747" i="17"/>
  <c r="B747" i="17"/>
  <c r="A747" i="17"/>
  <c r="AP746" i="17"/>
  <c r="AI746" i="17"/>
  <c r="AD746" i="17"/>
  <c r="AA746" i="17"/>
  <c r="I746" i="17"/>
  <c r="H746" i="17"/>
  <c r="G746" i="17"/>
  <c r="F746" i="17"/>
  <c r="E746" i="17"/>
  <c r="D746" i="17"/>
  <c r="C746" i="17"/>
  <c r="B746" i="17"/>
  <c r="A746" i="17"/>
  <c r="Y746" i="17" s="1"/>
  <c r="AJ745" i="17"/>
  <c r="I745" i="17"/>
  <c r="H745" i="17"/>
  <c r="G745" i="17"/>
  <c r="F745" i="17"/>
  <c r="E745" i="17"/>
  <c r="D745" i="17"/>
  <c r="C745" i="17"/>
  <c r="B745" i="17"/>
  <c r="A745" i="17"/>
  <c r="AI745" i="17" s="1"/>
  <c r="I744" i="17"/>
  <c r="H744" i="17"/>
  <c r="G744" i="17"/>
  <c r="F744" i="17"/>
  <c r="E744" i="17"/>
  <c r="D744" i="17"/>
  <c r="C744" i="17"/>
  <c r="B744" i="17"/>
  <c r="A744" i="17"/>
  <c r="R744" i="17" s="1"/>
  <c r="I743" i="17"/>
  <c r="H743" i="17"/>
  <c r="G743" i="17"/>
  <c r="F743" i="17"/>
  <c r="E743" i="17"/>
  <c r="D743" i="17"/>
  <c r="C743" i="17"/>
  <c r="B743" i="17"/>
  <c r="A743" i="17"/>
  <c r="I742" i="17"/>
  <c r="H742" i="17"/>
  <c r="G742" i="17"/>
  <c r="F742" i="17"/>
  <c r="E742" i="17"/>
  <c r="D742" i="17"/>
  <c r="C742" i="17"/>
  <c r="B742" i="17"/>
  <c r="A742" i="17"/>
  <c r="I741" i="17"/>
  <c r="H741" i="17"/>
  <c r="G741" i="17"/>
  <c r="F741" i="17"/>
  <c r="E741" i="17"/>
  <c r="D741" i="17"/>
  <c r="C741" i="17"/>
  <c r="B741" i="17"/>
  <c r="A741" i="17"/>
  <c r="I740" i="17"/>
  <c r="H740" i="17"/>
  <c r="G740" i="17"/>
  <c r="F740" i="17"/>
  <c r="E740" i="17"/>
  <c r="D740" i="17"/>
  <c r="C740" i="17"/>
  <c r="B740" i="17"/>
  <c r="A740" i="17"/>
  <c r="AP739" i="17"/>
  <c r="V739" i="17"/>
  <c r="U739" i="17"/>
  <c r="O739" i="17"/>
  <c r="N739" i="17"/>
  <c r="I739" i="17"/>
  <c r="H739" i="17"/>
  <c r="G739" i="17"/>
  <c r="F739" i="17"/>
  <c r="E739" i="17"/>
  <c r="D739" i="17"/>
  <c r="C739" i="17"/>
  <c r="B739" i="17"/>
  <c r="A739" i="17"/>
  <c r="I738" i="17"/>
  <c r="H738" i="17"/>
  <c r="G738" i="17"/>
  <c r="F738" i="17"/>
  <c r="E738" i="17"/>
  <c r="D738" i="17"/>
  <c r="C738" i="17"/>
  <c r="B738" i="17"/>
  <c r="A738" i="17"/>
  <c r="AM738" i="17" s="1"/>
  <c r="P737" i="17"/>
  <c r="I737" i="17"/>
  <c r="H737" i="17"/>
  <c r="G737" i="17"/>
  <c r="F737" i="17"/>
  <c r="E737" i="17"/>
  <c r="D737" i="17"/>
  <c r="C737" i="17"/>
  <c r="B737" i="17"/>
  <c r="A737" i="17"/>
  <c r="I736" i="17"/>
  <c r="H736" i="17"/>
  <c r="G736" i="17"/>
  <c r="F736" i="17"/>
  <c r="E736" i="17"/>
  <c r="D736" i="17"/>
  <c r="C736" i="17"/>
  <c r="B736" i="17"/>
  <c r="A736" i="17"/>
  <c r="J736" i="17" s="1"/>
  <c r="AQ735" i="17"/>
  <c r="AL735" i="17"/>
  <c r="W735" i="17"/>
  <c r="V735" i="17"/>
  <c r="L735" i="17"/>
  <c r="K735" i="17"/>
  <c r="I735" i="17"/>
  <c r="H735" i="17"/>
  <c r="G735" i="17"/>
  <c r="F735" i="17"/>
  <c r="E735" i="17"/>
  <c r="D735" i="17"/>
  <c r="C735" i="17"/>
  <c r="B735" i="17"/>
  <c r="A735" i="17"/>
  <c r="I734" i="17"/>
  <c r="H734" i="17"/>
  <c r="G734" i="17"/>
  <c r="F734" i="17"/>
  <c r="E734" i="17"/>
  <c r="D734" i="17"/>
  <c r="C734" i="17"/>
  <c r="B734" i="17"/>
  <c r="A734" i="17"/>
  <c r="I733" i="17"/>
  <c r="H733" i="17"/>
  <c r="G733" i="17"/>
  <c r="F733" i="17"/>
  <c r="E733" i="17"/>
  <c r="D733" i="17"/>
  <c r="C733" i="17"/>
  <c r="B733" i="17"/>
  <c r="A733" i="17"/>
  <c r="I732" i="17"/>
  <c r="H732" i="17"/>
  <c r="G732" i="17"/>
  <c r="F732" i="17"/>
  <c r="E732" i="17"/>
  <c r="D732" i="17"/>
  <c r="C732" i="17"/>
  <c r="B732" i="17"/>
  <c r="A732" i="17"/>
  <c r="AQ731" i="17"/>
  <c r="AH731" i="17"/>
  <c r="T731" i="17"/>
  <c r="O731" i="17"/>
  <c r="I731" i="17"/>
  <c r="H731" i="17"/>
  <c r="G731" i="17"/>
  <c r="F731" i="17"/>
  <c r="E731" i="17"/>
  <c r="D731" i="17"/>
  <c r="C731" i="17"/>
  <c r="B731" i="17"/>
  <c r="A731" i="17"/>
  <c r="I730" i="17"/>
  <c r="H730" i="17"/>
  <c r="G730" i="17"/>
  <c r="F730" i="17"/>
  <c r="E730" i="17"/>
  <c r="D730" i="17"/>
  <c r="C730" i="17"/>
  <c r="B730" i="17"/>
  <c r="A730" i="17"/>
  <c r="Y730" i="17" s="1"/>
  <c r="AQ729" i="17"/>
  <c r="AP729" i="17"/>
  <c r="AL729" i="17"/>
  <c r="AK729" i="17"/>
  <c r="X729" i="17"/>
  <c r="W729" i="17"/>
  <c r="V729" i="17"/>
  <c r="N729" i="17"/>
  <c r="M729" i="17"/>
  <c r="L729" i="17"/>
  <c r="I729" i="17"/>
  <c r="H729" i="17"/>
  <c r="G729" i="17"/>
  <c r="F729" i="17"/>
  <c r="E729" i="17"/>
  <c r="D729" i="17"/>
  <c r="C729" i="17"/>
  <c r="B729" i="17"/>
  <c r="A729" i="17"/>
  <c r="AE729" i="17" s="1"/>
  <c r="I728" i="17"/>
  <c r="H728" i="17"/>
  <c r="G728" i="17"/>
  <c r="F728" i="17"/>
  <c r="E728" i="17"/>
  <c r="D728" i="17"/>
  <c r="C728" i="17"/>
  <c r="B728" i="17"/>
  <c r="A728" i="17"/>
  <c r="AM728" i="17" s="1"/>
  <c r="AK727" i="17"/>
  <c r="AJ727" i="17"/>
  <c r="AB727" i="17"/>
  <c r="I727" i="17"/>
  <c r="H727" i="17"/>
  <c r="G727" i="17"/>
  <c r="F727" i="17"/>
  <c r="E727" i="17"/>
  <c r="D727" i="17"/>
  <c r="C727" i="17"/>
  <c r="B727" i="17"/>
  <c r="A727" i="17"/>
  <c r="I726" i="17"/>
  <c r="H726" i="17"/>
  <c r="G726" i="17"/>
  <c r="F726" i="17"/>
  <c r="E726" i="17"/>
  <c r="D726" i="17"/>
  <c r="C726" i="17"/>
  <c r="B726" i="17"/>
  <c r="A726" i="17"/>
  <c r="N725" i="17"/>
  <c r="I725" i="17"/>
  <c r="H725" i="17"/>
  <c r="G725" i="17"/>
  <c r="F725" i="17"/>
  <c r="E725" i="17"/>
  <c r="D725" i="17"/>
  <c r="C725" i="17"/>
  <c r="B725" i="17"/>
  <c r="A725" i="17"/>
  <c r="AD724" i="17"/>
  <c r="K724" i="17"/>
  <c r="I724" i="17"/>
  <c r="H724" i="17"/>
  <c r="G724" i="17"/>
  <c r="F724" i="17"/>
  <c r="E724" i="17"/>
  <c r="D724" i="17"/>
  <c r="C724" i="17"/>
  <c r="B724" i="17"/>
  <c r="A724" i="17"/>
  <c r="I723" i="17"/>
  <c r="H723" i="17"/>
  <c r="G723" i="17"/>
  <c r="F723" i="17"/>
  <c r="E723" i="17"/>
  <c r="D723" i="17"/>
  <c r="C723" i="17"/>
  <c r="B723" i="17"/>
  <c r="A723" i="17"/>
  <c r="AB723" i="17" s="1"/>
  <c r="I722" i="17"/>
  <c r="H722" i="17"/>
  <c r="G722" i="17"/>
  <c r="F722" i="17"/>
  <c r="E722" i="17"/>
  <c r="D722" i="17"/>
  <c r="C722" i="17"/>
  <c r="B722" i="17"/>
  <c r="A722" i="17"/>
  <c r="AQ722" i="17" s="1"/>
  <c r="Z721" i="17"/>
  <c r="M721" i="17"/>
  <c r="I721" i="17"/>
  <c r="H721" i="17"/>
  <c r="G721" i="17"/>
  <c r="F721" i="17"/>
  <c r="E721" i="17"/>
  <c r="D721" i="17"/>
  <c r="C721" i="17"/>
  <c r="B721" i="17"/>
  <c r="A721" i="17"/>
  <c r="AQ720" i="17"/>
  <c r="AG720" i="17"/>
  <c r="I720" i="17"/>
  <c r="H720" i="17"/>
  <c r="G720" i="17"/>
  <c r="F720" i="17"/>
  <c r="E720" i="17"/>
  <c r="D720" i="17"/>
  <c r="C720" i="17"/>
  <c r="B720" i="17"/>
  <c r="A720" i="17"/>
  <c r="AD719" i="17"/>
  <c r="AC719" i="17"/>
  <c r="U719" i="17"/>
  <c r="T719" i="17"/>
  <c r="I719" i="17"/>
  <c r="H719" i="17"/>
  <c r="G719" i="17"/>
  <c r="F719" i="17"/>
  <c r="E719" i="17"/>
  <c r="D719" i="17"/>
  <c r="C719" i="17"/>
  <c r="B719" i="17"/>
  <c r="A719" i="17"/>
  <c r="I718" i="17"/>
  <c r="H718" i="17"/>
  <c r="G718" i="17"/>
  <c r="F718" i="17"/>
  <c r="E718" i="17"/>
  <c r="D718" i="17"/>
  <c r="C718" i="17"/>
  <c r="B718" i="17"/>
  <c r="A718" i="17"/>
  <c r="AL717" i="17"/>
  <c r="AI717" i="17"/>
  <c r="AF717" i="17"/>
  <c r="AE717" i="17"/>
  <c r="Z717" i="17"/>
  <c r="T717" i="17"/>
  <c r="S717" i="17"/>
  <c r="N717" i="17"/>
  <c r="L717" i="17"/>
  <c r="K717" i="17"/>
  <c r="J717" i="17"/>
  <c r="I717" i="17"/>
  <c r="H717" i="17"/>
  <c r="G717" i="17"/>
  <c r="F717" i="17"/>
  <c r="E717" i="17"/>
  <c r="D717" i="17"/>
  <c r="C717" i="17"/>
  <c r="B717" i="17"/>
  <c r="A717" i="17"/>
  <c r="AP717" i="17" s="1"/>
  <c r="I716" i="17"/>
  <c r="H716" i="17"/>
  <c r="G716" i="17"/>
  <c r="F716" i="17"/>
  <c r="E716" i="17"/>
  <c r="D716" i="17"/>
  <c r="C716" i="17"/>
  <c r="B716" i="17"/>
  <c r="A716" i="17"/>
  <c r="AH716" i="17" s="1"/>
  <c r="AL715" i="17"/>
  <c r="I715" i="17"/>
  <c r="H715" i="17"/>
  <c r="G715" i="17"/>
  <c r="F715" i="17"/>
  <c r="E715" i="17"/>
  <c r="D715" i="17"/>
  <c r="C715" i="17"/>
  <c r="B715" i="17"/>
  <c r="A715" i="17"/>
  <c r="AI715" i="17" s="1"/>
  <c r="I714" i="17"/>
  <c r="H714" i="17"/>
  <c r="G714" i="17"/>
  <c r="F714" i="17"/>
  <c r="E714" i="17"/>
  <c r="D714" i="17"/>
  <c r="C714" i="17"/>
  <c r="B714" i="17"/>
  <c r="A714" i="17"/>
  <c r="I713" i="17"/>
  <c r="H713" i="17"/>
  <c r="G713" i="17"/>
  <c r="F713" i="17"/>
  <c r="E713" i="17"/>
  <c r="D713" i="17"/>
  <c r="C713" i="17"/>
  <c r="B713" i="17"/>
  <c r="A713" i="17"/>
  <c r="I712" i="17"/>
  <c r="H712" i="17"/>
  <c r="G712" i="17"/>
  <c r="F712" i="17"/>
  <c r="E712" i="17"/>
  <c r="D712" i="17"/>
  <c r="C712" i="17"/>
  <c r="B712" i="17"/>
  <c r="A712" i="17"/>
  <c r="AR711" i="17"/>
  <c r="AN711" i="17"/>
  <c r="AC711" i="17"/>
  <c r="AB711" i="17"/>
  <c r="V711" i="17"/>
  <c r="S711" i="17"/>
  <c r="R711" i="17"/>
  <c r="P711" i="17"/>
  <c r="I711" i="17"/>
  <c r="H711" i="17"/>
  <c r="G711" i="17"/>
  <c r="F711" i="17"/>
  <c r="E711" i="17"/>
  <c r="D711" i="17"/>
  <c r="C711" i="17"/>
  <c r="B711" i="17"/>
  <c r="A711" i="17"/>
  <c r="I710" i="17"/>
  <c r="H710" i="17"/>
  <c r="G710" i="17"/>
  <c r="F710" i="17"/>
  <c r="E710" i="17"/>
  <c r="D710" i="17"/>
  <c r="C710" i="17"/>
  <c r="B710" i="17"/>
  <c r="A710" i="17"/>
  <c r="W709" i="17"/>
  <c r="I709" i="17"/>
  <c r="H709" i="17"/>
  <c r="G709" i="17"/>
  <c r="F709" i="17"/>
  <c r="E709" i="17"/>
  <c r="D709" i="17"/>
  <c r="C709" i="17"/>
  <c r="B709" i="17"/>
  <c r="A709" i="17"/>
  <c r="I708" i="17"/>
  <c r="H708" i="17"/>
  <c r="G708" i="17"/>
  <c r="F708" i="17"/>
  <c r="E708" i="17"/>
  <c r="D708" i="17"/>
  <c r="C708" i="17"/>
  <c r="B708" i="17"/>
  <c r="A708" i="17"/>
  <c r="I707" i="17"/>
  <c r="H707" i="17"/>
  <c r="G707" i="17"/>
  <c r="F707" i="17"/>
  <c r="E707" i="17"/>
  <c r="D707" i="17"/>
  <c r="C707" i="17"/>
  <c r="B707" i="17"/>
  <c r="A707" i="17"/>
  <c r="I706" i="17"/>
  <c r="H706" i="17"/>
  <c r="G706" i="17"/>
  <c r="F706" i="17"/>
  <c r="E706" i="17"/>
  <c r="D706" i="17"/>
  <c r="C706" i="17"/>
  <c r="B706" i="17"/>
  <c r="A706" i="17"/>
  <c r="Q706" i="17" s="1"/>
  <c r="AD705" i="17"/>
  <c r="AC705" i="17"/>
  <c r="AB705" i="17"/>
  <c r="K705" i="17"/>
  <c r="J705" i="17"/>
  <c r="I705" i="17"/>
  <c r="H705" i="17"/>
  <c r="G705" i="17"/>
  <c r="F705" i="17"/>
  <c r="E705" i="17"/>
  <c r="D705" i="17"/>
  <c r="C705" i="17"/>
  <c r="B705" i="17"/>
  <c r="A705" i="17"/>
  <c r="AL705" i="17" s="1"/>
  <c r="I704" i="17"/>
  <c r="H704" i="17"/>
  <c r="G704" i="17"/>
  <c r="F704" i="17"/>
  <c r="E704" i="17"/>
  <c r="D704" i="17"/>
  <c r="C704" i="17"/>
  <c r="B704" i="17"/>
  <c r="A704" i="17"/>
  <c r="I703" i="17"/>
  <c r="H703" i="17"/>
  <c r="G703" i="17"/>
  <c r="F703" i="17"/>
  <c r="E703" i="17"/>
  <c r="D703" i="17"/>
  <c r="C703" i="17"/>
  <c r="B703" i="17"/>
  <c r="A703" i="17"/>
  <c r="AN702" i="17"/>
  <c r="I702" i="17"/>
  <c r="H702" i="17"/>
  <c r="G702" i="17"/>
  <c r="F702" i="17"/>
  <c r="E702" i="17"/>
  <c r="D702" i="17"/>
  <c r="C702" i="17"/>
  <c r="B702" i="17"/>
  <c r="A702" i="17"/>
  <c r="AR701" i="17"/>
  <c r="AM701" i="17"/>
  <c r="AJ701" i="17"/>
  <c r="AI701" i="17"/>
  <c r="AF701" i="17"/>
  <c r="Z701" i="17"/>
  <c r="S701" i="17"/>
  <c r="R701" i="17"/>
  <c r="P701" i="17"/>
  <c r="N701" i="17"/>
  <c r="M701" i="17"/>
  <c r="I701" i="17"/>
  <c r="H701" i="17"/>
  <c r="G701" i="17"/>
  <c r="F701" i="17"/>
  <c r="E701" i="17"/>
  <c r="D701" i="17"/>
  <c r="C701" i="17"/>
  <c r="B701" i="17"/>
  <c r="A701" i="17"/>
  <c r="AC701" i="17" s="1"/>
  <c r="I700" i="17"/>
  <c r="H700" i="17"/>
  <c r="G700" i="17"/>
  <c r="F700" i="17"/>
  <c r="E700" i="17"/>
  <c r="D700" i="17"/>
  <c r="C700" i="17"/>
  <c r="B700" i="17"/>
  <c r="A700" i="17"/>
  <c r="I699" i="17"/>
  <c r="H699" i="17"/>
  <c r="G699" i="17"/>
  <c r="F699" i="17"/>
  <c r="E699" i="17"/>
  <c r="D699" i="17"/>
  <c r="C699" i="17"/>
  <c r="B699" i="17"/>
  <c r="A699" i="17"/>
  <c r="R699" i="17" s="1"/>
  <c r="AP698" i="17"/>
  <c r="AH698" i="17"/>
  <c r="AD698" i="17"/>
  <c r="X698" i="17"/>
  <c r="N698" i="17"/>
  <c r="I698" i="17"/>
  <c r="H698" i="17"/>
  <c r="G698" i="17"/>
  <c r="F698" i="17"/>
  <c r="E698" i="17"/>
  <c r="D698" i="17"/>
  <c r="C698" i="17"/>
  <c r="B698" i="17"/>
  <c r="A698" i="17"/>
  <c r="AB697" i="17"/>
  <c r="T697" i="17"/>
  <c r="S697" i="17"/>
  <c r="I697" i="17"/>
  <c r="H697" i="17"/>
  <c r="G697" i="17"/>
  <c r="F697" i="17"/>
  <c r="E697" i="17"/>
  <c r="D697" i="17"/>
  <c r="C697" i="17"/>
  <c r="B697" i="17"/>
  <c r="A697" i="17"/>
  <c r="I696" i="17"/>
  <c r="H696" i="17"/>
  <c r="G696" i="17"/>
  <c r="F696" i="17"/>
  <c r="E696" i="17"/>
  <c r="D696" i="17"/>
  <c r="C696" i="17"/>
  <c r="B696" i="17"/>
  <c r="A696" i="17"/>
  <c r="T695" i="17"/>
  <c r="I695" i="17"/>
  <c r="H695" i="17"/>
  <c r="G695" i="17"/>
  <c r="F695" i="17"/>
  <c r="E695" i="17"/>
  <c r="D695" i="17"/>
  <c r="C695" i="17"/>
  <c r="B695" i="17"/>
  <c r="A695" i="17"/>
  <c r="I694" i="17"/>
  <c r="H694" i="17"/>
  <c r="G694" i="17"/>
  <c r="F694" i="17"/>
  <c r="E694" i="17"/>
  <c r="D694" i="17"/>
  <c r="C694" i="17"/>
  <c r="B694" i="17"/>
  <c r="A694" i="17"/>
  <c r="S694" i="17" s="1"/>
  <c r="AR693" i="17"/>
  <c r="AM693" i="17"/>
  <c r="AI693" i="17"/>
  <c r="I693" i="17"/>
  <c r="H693" i="17"/>
  <c r="G693" i="17"/>
  <c r="F693" i="17"/>
  <c r="E693" i="17"/>
  <c r="D693" i="17"/>
  <c r="C693" i="17"/>
  <c r="B693" i="17"/>
  <c r="A693" i="17"/>
  <c r="AM692" i="17"/>
  <c r="AI692" i="17"/>
  <c r="AA692" i="17"/>
  <c r="Z692" i="17"/>
  <c r="X692" i="17"/>
  <c r="I692" i="17"/>
  <c r="H692" i="17"/>
  <c r="G692" i="17"/>
  <c r="F692" i="17"/>
  <c r="E692" i="17"/>
  <c r="D692" i="17"/>
  <c r="C692" i="17"/>
  <c r="B692" i="17"/>
  <c r="A692" i="17"/>
  <c r="AN691" i="17"/>
  <c r="AL691" i="17"/>
  <c r="AJ691" i="17"/>
  <c r="AE691" i="17"/>
  <c r="AD691" i="17"/>
  <c r="AC691" i="17"/>
  <c r="T691" i="17"/>
  <c r="S691" i="17"/>
  <c r="R691" i="17"/>
  <c r="P691" i="17"/>
  <c r="N691" i="17"/>
  <c r="K691" i="17"/>
  <c r="I691" i="17"/>
  <c r="H691" i="17"/>
  <c r="G691" i="17"/>
  <c r="F691" i="17"/>
  <c r="E691" i="17"/>
  <c r="D691" i="17"/>
  <c r="C691" i="17"/>
  <c r="B691" i="17"/>
  <c r="A691" i="17"/>
  <c r="AM691" i="17" s="1"/>
  <c r="AN690" i="17"/>
  <c r="AM690" i="17"/>
  <c r="AE690" i="17"/>
  <c r="I690" i="17"/>
  <c r="H690" i="17"/>
  <c r="G690" i="17"/>
  <c r="F690" i="17"/>
  <c r="E690" i="17"/>
  <c r="D690" i="17"/>
  <c r="C690" i="17"/>
  <c r="B690" i="17"/>
  <c r="A690" i="17"/>
  <c r="AD690" i="17" s="1"/>
  <c r="AF689" i="17"/>
  <c r="AC689" i="17"/>
  <c r="X689" i="17"/>
  <c r="L689" i="17"/>
  <c r="I689" i="17"/>
  <c r="H689" i="17"/>
  <c r="G689" i="17"/>
  <c r="F689" i="17"/>
  <c r="E689" i="17"/>
  <c r="D689" i="17"/>
  <c r="C689" i="17"/>
  <c r="B689" i="17"/>
  <c r="A689" i="17"/>
  <c r="AG688" i="17"/>
  <c r="O688" i="17"/>
  <c r="I688" i="17"/>
  <c r="H688" i="17"/>
  <c r="G688" i="17"/>
  <c r="F688" i="17"/>
  <c r="E688" i="17"/>
  <c r="D688" i="17"/>
  <c r="C688" i="17"/>
  <c r="B688" i="17"/>
  <c r="A688" i="17"/>
  <c r="AB687" i="17"/>
  <c r="L687" i="17"/>
  <c r="I687" i="17"/>
  <c r="H687" i="17"/>
  <c r="G687" i="17"/>
  <c r="F687" i="17"/>
  <c r="E687" i="17"/>
  <c r="D687" i="17"/>
  <c r="C687" i="17"/>
  <c r="B687" i="17"/>
  <c r="A687" i="17"/>
  <c r="AN686" i="17"/>
  <c r="AM686" i="17"/>
  <c r="X686" i="17"/>
  <c r="I686" i="17"/>
  <c r="H686" i="17"/>
  <c r="G686" i="17"/>
  <c r="F686" i="17"/>
  <c r="E686" i="17"/>
  <c r="D686" i="17"/>
  <c r="C686" i="17"/>
  <c r="B686" i="17"/>
  <c r="A686" i="17"/>
  <c r="AR685" i="17"/>
  <c r="AP685" i="17"/>
  <c r="AK685" i="17"/>
  <c r="AI685" i="17"/>
  <c r="I685" i="17"/>
  <c r="H685" i="17"/>
  <c r="G685" i="17"/>
  <c r="F685" i="17"/>
  <c r="E685" i="17"/>
  <c r="D685" i="17"/>
  <c r="C685" i="17"/>
  <c r="B685" i="17"/>
  <c r="A685" i="17"/>
  <c r="I684" i="17"/>
  <c r="H684" i="17"/>
  <c r="G684" i="17"/>
  <c r="F684" i="17"/>
  <c r="E684" i="17"/>
  <c r="D684" i="17"/>
  <c r="C684" i="17"/>
  <c r="B684" i="17"/>
  <c r="A684" i="17"/>
  <c r="AE684" i="17" s="1"/>
  <c r="I683" i="17"/>
  <c r="H683" i="17"/>
  <c r="G683" i="17"/>
  <c r="F683" i="17"/>
  <c r="E683" i="17"/>
  <c r="D683" i="17"/>
  <c r="C683" i="17"/>
  <c r="B683" i="17"/>
  <c r="A683" i="17"/>
  <c r="AL682" i="17"/>
  <c r="I682" i="17"/>
  <c r="H682" i="17"/>
  <c r="G682" i="17"/>
  <c r="F682" i="17"/>
  <c r="E682" i="17"/>
  <c r="D682" i="17"/>
  <c r="C682" i="17"/>
  <c r="B682" i="17"/>
  <c r="A682" i="17"/>
  <c r="AP681" i="17"/>
  <c r="AL681" i="17"/>
  <c r="AK681" i="17"/>
  <c r="AB681" i="17"/>
  <c r="AA681" i="17"/>
  <c r="U681" i="17"/>
  <c r="R681" i="17"/>
  <c r="M681" i="17"/>
  <c r="L681" i="17"/>
  <c r="K681" i="17"/>
  <c r="I681" i="17"/>
  <c r="H681" i="17"/>
  <c r="G681" i="17"/>
  <c r="F681" i="17"/>
  <c r="E681" i="17"/>
  <c r="D681" i="17"/>
  <c r="C681" i="17"/>
  <c r="B681" i="17"/>
  <c r="A681" i="17"/>
  <c r="I680" i="17"/>
  <c r="H680" i="17"/>
  <c r="G680" i="17"/>
  <c r="F680" i="17"/>
  <c r="E680" i="17"/>
  <c r="D680" i="17"/>
  <c r="C680" i="17"/>
  <c r="B680" i="17"/>
  <c r="A680" i="17"/>
  <c r="AR679" i="17"/>
  <c r="I679" i="17"/>
  <c r="H679" i="17"/>
  <c r="G679" i="17"/>
  <c r="F679" i="17"/>
  <c r="E679" i="17"/>
  <c r="D679" i="17"/>
  <c r="C679" i="17"/>
  <c r="B679" i="17"/>
  <c r="A679" i="17"/>
  <c r="AF679" i="17" s="1"/>
  <c r="S678" i="17"/>
  <c r="I678" i="17"/>
  <c r="H678" i="17"/>
  <c r="G678" i="17"/>
  <c r="F678" i="17"/>
  <c r="E678" i="17"/>
  <c r="D678" i="17"/>
  <c r="C678" i="17"/>
  <c r="B678" i="17"/>
  <c r="A678" i="17"/>
  <c r="AD678" i="17" s="1"/>
  <c r="I677" i="17"/>
  <c r="H677" i="17"/>
  <c r="G677" i="17"/>
  <c r="F677" i="17"/>
  <c r="E677" i="17"/>
  <c r="D677" i="17"/>
  <c r="C677" i="17"/>
  <c r="B677" i="17"/>
  <c r="A677" i="17"/>
  <c r="AQ676" i="17"/>
  <c r="AM676" i="17"/>
  <c r="AI676" i="17"/>
  <c r="AH676" i="17"/>
  <c r="P676" i="17"/>
  <c r="K676" i="17"/>
  <c r="I676" i="17"/>
  <c r="H676" i="17"/>
  <c r="G676" i="17"/>
  <c r="F676" i="17"/>
  <c r="E676" i="17"/>
  <c r="D676" i="17"/>
  <c r="C676" i="17"/>
  <c r="B676" i="17"/>
  <c r="A676" i="17"/>
  <c r="AR675" i="17"/>
  <c r="AM675" i="17"/>
  <c r="AH675" i="17"/>
  <c r="AF675" i="17"/>
  <c r="AC675" i="17"/>
  <c r="AB675" i="17"/>
  <c r="S675" i="17"/>
  <c r="P675" i="17"/>
  <c r="O675" i="17"/>
  <c r="M675" i="17"/>
  <c r="L675" i="17"/>
  <c r="I675" i="17"/>
  <c r="H675" i="17"/>
  <c r="G675" i="17"/>
  <c r="F675" i="17"/>
  <c r="E675" i="17"/>
  <c r="D675" i="17"/>
  <c r="C675" i="17"/>
  <c r="B675" i="17"/>
  <c r="A675" i="17"/>
  <c r="AP674" i="17"/>
  <c r="AM674" i="17"/>
  <c r="AL674" i="17"/>
  <c r="AA674" i="17"/>
  <c r="W674" i="17"/>
  <c r="I674" i="17"/>
  <c r="H674" i="17"/>
  <c r="G674" i="17"/>
  <c r="F674" i="17"/>
  <c r="E674" i="17"/>
  <c r="D674" i="17"/>
  <c r="C674" i="17"/>
  <c r="B674" i="17"/>
  <c r="A674" i="17"/>
  <c r="V674" i="17" s="1"/>
  <c r="AR673" i="17"/>
  <c r="AH673" i="17"/>
  <c r="AF673" i="17"/>
  <c r="U673" i="17"/>
  <c r="T673" i="17"/>
  <c r="P673" i="17"/>
  <c r="I673" i="17"/>
  <c r="H673" i="17"/>
  <c r="G673" i="17"/>
  <c r="F673" i="17"/>
  <c r="E673" i="17"/>
  <c r="D673" i="17"/>
  <c r="C673" i="17"/>
  <c r="B673" i="17"/>
  <c r="A673" i="17"/>
  <c r="AP673" i="17" s="1"/>
  <c r="I672" i="17"/>
  <c r="H672" i="17"/>
  <c r="G672" i="17"/>
  <c r="F672" i="17"/>
  <c r="E672" i="17"/>
  <c r="D672" i="17"/>
  <c r="C672" i="17"/>
  <c r="B672" i="17"/>
  <c r="A672" i="17"/>
  <c r="I671" i="17"/>
  <c r="H671" i="17"/>
  <c r="G671" i="17"/>
  <c r="F671" i="17"/>
  <c r="E671" i="17"/>
  <c r="D671" i="17"/>
  <c r="C671" i="17"/>
  <c r="B671" i="17"/>
  <c r="A671" i="17"/>
  <c r="AE671" i="17" s="1"/>
  <c r="I670" i="17"/>
  <c r="H670" i="17"/>
  <c r="G670" i="17"/>
  <c r="F670" i="17"/>
  <c r="E670" i="17"/>
  <c r="D670" i="17"/>
  <c r="C670" i="17"/>
  <c r="B670" i="17"/>
  <c r="A670" i="17"/>
  <c r="I669" i="17"/>
  <c r="H669" i="17"/>
  <c r="G669" i="17"/>
  <c r="F669" i="17"/>
  <c r="E669" i="17"/>
  <c r="D669" i="17"/>
  <c r="C669" i="17"/>
  <c r="B669" i="17"/>
  <c r="A669" i="17"/>
  <c r="I668" i="17"/>
  <c r="H668" i="17"/>
  <c r="G668" i="17"/>
  <c r="F668" i="17"/>
  <c r="E668" i="17"/>
  <c r="D668" i="17"/>
  <c r="C668" i="17"/>
  <c r="B668" i="17"/>
  <c r="A668" i="17"/>
  <c r="R668" i="17" s="1"/>
  <c r="AR667" i="17"/>
  <c r="AK667" i="17"/>
  <c r="AI667" i="17"/>
  <c r="AH667" i="17"/>
  <c r="AF667" i="17"/>
  <c r="AB667" i="17"/>
  <c r="AA667" i="17"/>
  <c r="V667" i="17"/>
  <c r="R667" i="17"/>
  <c r="P667" i="17"/>
  <c r="O667" i="17"/>
  <c r="N667" i="17"/>
  <c r="M667" i="17"/>
  <c r="I667" i="17"/>
  <c r="H667" i="17"/>
  <c r="G667" i="17"/>
  <c r="F667" i="17"/>
  <c r="E667" i="17"/>
  <c r="D667" i="17"/>
  <c r="C667" i="17"/>
  <c r="B667" i="17"/>
  <c r="A667" i="17"/>
  <c r="AJ667" i="17" s="1"/>
  <c r="I666" i="17"/>
  <c r="H666" i="17"/>
  <c r="G666" i="17"/>
  <c r="F666" i="17"/>
  <c r="E666" i="17"/>
  <c r="D666" i="17"/>
  <c r="C666" i="17"/>
  <c r="B666" i="17"/>
  <c r="A666" i="17"/>
  <c r="AR665" i="17"/>
  <c r="AN665" i="17"/>
  <c r="AA665" i="17"/>
  <c r="Z665" i="17"/>
  <c r="X665" i="17"/>
  <c r="W665" i="17"/>
  <c r="O665" i="17"/>
  <c r="N665" i="17"/>
  <c r="I665" i="17"/>
  <c r="H665" i="17"/>
  <c r="G665" i="17"/>
  <c r="F665" i="17"/>
  <c r="E665" i="17"/>
  <c r="D665" i="17"/>
  <c r="C665" i="17"/>
  <c r="B665" i="17"/>
  <c r="A665" i="17"/>
  <c r="AJ665" i="17" s="1"/>
  <c r="I664" i="17"/>
  <c r="H664" i="17"/>
  <c r="G664" i="17"/>
  <c r="F664" i="17"/>
  <c r="E664" i="17"/>
  <c r="D664" i="17"/>
  <c r="C664" i="17"/>
  <c r="B664" i="17"/>
  <c r="A664" i="17"/>
  <c r="AF663" i="17"/>
  <c r="AD663" i="17"/>
  <c r="AC663" i="17"/>
  <c r="M663" i="17"/>
  <c r="L663" i="17"/>
  <c r="I663" i="17"/>
  <c r="H663" i="17"/>
  <c r="G663" i="17"/>
  <c r="F663" i="17"/>
  <c r="E663" i="17"/>
  <c r="D663" i="17"/>
  <c r="C663" i="17"/>
  <c r="B663" i="17"/>
  <c r="A663" i="17"/>
  <c r="AQ663" i="17" s="1"/>
  <c r="W662" i="17"/>
  <c r="I662" i="17"/>
  <c r="H662" i="17"/>
  <c r="G662" i="17"/>
  <c r="F662" i="17"/>
  <c r="E662" i="17"/>
  <c r="D662" i="17"/>
  <c r="C662" i="17"/>
  <c r="B662" i="17"/>
  <c r="A662" i="17"/>
  <c r="AQ661" i="17"/>
  <c r="AM661" i="17"/>
  <c r="AK661" i="17"/>
  <c r="AJ661" i="17"/>
  <c r="X661" i="17"/>
  <c r="W661" i="17"/>
  <c r="V661" i="17"/>
  <c r="R661" i="17"/>
  <c r="M661" i="17"/>
  <c r="L661" i="17"/>
  <c r="I661" i="17"/>
  <c r="H661" i="17"/>
  <c r="G661" i="17"/>
  <c r="F661" i="17"/>
  <c r="E661" i="17"/>
  <c r="D661" i="17"/>
  <c r="C661" i="17"/>
  <c r="B661" i="17"/>
  <c r="A661" i="17"/>
  <c r="AI661" i="17" s="1"/>
  <c r="I660" i="17"/>
  <c r="H660" i="17"/>
  <c r="G660" i="17"/>
  <c r="F660" i="17"/>
  <c r="E660" i="17"/>
  <c r="D660" i="17"/>
  <c r="C660" i="17"/>
  <c r="B660" i="17"/>
  <c r="A660" i="17"/>
  <c r="I659" i="17"/>
  <c r="H659" i="17"/>
  <c r="G659" i="17"/>
  <c r="F659" i="17"/>
  <c r="E659" i="17"/>
  <c r="D659" i="17"/>
  <c r="C659" i="17"/>
  <c r="B659" i="17"/>
  <c r="A659" i="17"/>
  <c r="AR659" i="17" s="1"/>
  <c r="I658" i="17"/>
  <c r="H658" i="17"/>
  <c r="G658" i="17"/>
  <c r="F658" i="17"/>
  <c r="E658" i="17"/>
  <c r="D658" i="17"/>
  <c r="C658" i="17"/>
  <c r="B658" i="17"/>
  <c r="A658" i="17"/>
  <c r="AG658" i="17" s="1"/>
  <c r="AQ657" i="17"/>
  <c r="AP657" i="17"/>
  <c r="AL657" i="17"/>
  <c r="AD657" i="17"/>
  <c r="I657" i="17"/>
  <c r="H657" i="17"/>
  <c r="G657" i="17"/>
  <c r="F657" i="17"/>
  <c r="E657" i="17"/>
  <c r="D657" i="17"/>
  <c r="C657" i="17"/>
  <c r="B657" i="17"/>
  <c r="A657" i="17"/>
  <c r="I656" i="17"/>
  <c r="H656" i="17"/>
  <c r="G656" i="17"/>
  <c r="F656" i="17"/>
  <c r="E656" i="17"/>
  <c r="D656" i="17"/>
  <c r="C656" i="17"/>
  <c r="B656" i="17"/>
  <c r="A656" i="17"/>
  <c r="I655" i="17"/>
  <c r="H655" i="17"/>
  <c r="G655" i="17"/>
  <c r="F655" i="17"/>
  <c r="E655" i="17"/>
  <c r="D655" i="17"/>
  <c r="C655" i="17"/>
  <c r="B655" i="17"/>
  <c r="A655" i="17"/>
  <c r="AH654" i="17"/>
  <c r="AA654" i="17"/>
  <c r="Z654" i="17"/>
  <c r="Y654" i="17"/>
  <c r="I654" i="17"/>
  <c r="H654" i="17"/>
  <c r="G654" i="17"/>
  <c r="F654" i="17"/>
  <c r="E654" i="17"/>
  <c r="D654" i="17"/>
  <c r="C654" i="17"/>
  <c r="B654" i="17"/>
  <c r="A654" i="17"/>
  <c r="X654" i="17" s="1"/>
  <c r="AM653" i="17"/>
  <c r="AL653" i="17"/>
  <c r="AI653" i="17"/>
  <c r="S653" i="17"/>
  <c r="I653" i="17"/>
  <c r="H653" i="17"/>
  <c r="G653" i="17"/>
  <c r="F653" i="17"/>
  <c r="E653" i="17"/>
  <c r="D653" i="17"/>
  <c r="C653" i="17"/>
  <c r="B653" i="17"/>
  <c r="A653" i="17"/>
  <c r="I652" i="17"/>
  <c r="H652" i="17"/>
  <c r="G652" i="17"/>
  <c r="F652" i="17"/>
  <c r="E652" i="17"/>
  <c r="D652" i="17"/>
  <c r="C652" i="17"/>
  <c r="B652" i="17"/>
  <c r="A652" i="17"/>
  <c r="AP651" i="17"/>
  <c r="AN651" i="17"/>
  <c r="AJ651" i="17"/>
  <c r="AI651" i="17"/>
  <c r="AF651" i="17"/>
  <c r="AD651" i="17"/>
  <c r="AB651" i="17"/>
  <c r="V651" i="17"/>
  <c r="U651" i="17"/>
  <c r="R651" i="17"/>
  <c r="P651" i="17"/>
  <c r="N651" i="17"/>
  <c r="M651" i="17"/>
  <c r="J651" i="17"/>
  <c r="I651" i="17"/>
  <c r="H651" i="17"/>
  <c r="G651" i="17"/>
  <c r="F651" i="17"/>
  <c r="E651" i="17"/>
  <c r="D651" i="17"/>
  <c r="C651" i="17"/>
  <c r="B651" i="17"/>
  <c r="A651" i="17"/>
  <c r="AG650" i="17"/>
  <c r="J650" i="17"/>
  <c r="I650" i="17"/>
  <c r="H650" i="17"/>
  <c r="G650" i="17"/>
  <c r="F650" i="17"/>
  <c r="E650" i="17"/>
  <c r="D650" i="17"/>
  <c r="C650" i="17"/>
  <c r="B650" i="17"/>
  <c r="A650" i="17"/>
  <c r="AA649" i="17"/>
  <c r="W649" i="17"/>
  <c r="R649" i="17"/>
  <c r="I649" i="17"/>
  <c r="H649" i="17"/>
  <c r="G649" i="17"/>
  <c r="F649" i="17"/>
  <c r="E649" i="17"/>
  <c r="D649" i="17"/>
  <c r="C649" i="17"/>
  <c r="B649" i="17"/>
  <c r="A649" i="17"/>
  <c r="I648" i="17"/>
  <c r="H648" i="17"/>
  <c r="G648" i="17"/>
  <c r="F648" i="17"/>
  <c r="E648" i="17"/>
  <c r="D648" i="17"/>
  <c r="C648" i="17"/>
  <c r="B648" i="17"/>
  <c r="A648" i="17"/>
  <c r="J648" i="17" s="1"/>
  <c r="I647" i="17"/>
  <c r="H647" i="17"/>
  <c r="G647" i="17"/>
  <c r="F647" i="17"/>
  <c r="E647" i="17"/>
  <c r="D647" i="17"/>
  <c r="C647" i="17"/>
  <c r="B647" i="17"/>
  <c r="A647" i="17"/>
  <c r="AN646" i="17"/>
  <c r="AI646" i="17"/>
  <c r="AF646" i="17"/>
  <c r="I646" i="17"/>
  <c r="H646" i="17"/>
  <c r="G646" i="17"/>
  <c r="F646" i="17"/>
  <c r="E646" i="17"/>
  <c r="D646" i="17"/>
  <c r="C646" i="17"/>
  <c r="B646" i="17"/>
  <c r="A646" i="17"/>
  <c r="I645" i="17"/>
  <c r="H645" i="17"/>
  <c r="G645" i="17"/>
  <c r="F645" i="17"/>
  <c r="E645" i="17"/>
  <c r="D645" i="17"/>
  <c r="C645" i="17"/>
  <c r="B645" i="17"/>
  <c r="A645" i="17"/>
  <c r="Z645" i="17" s="1"/>
  <c r="AI644" i="17"/>
  <c r="P644" i="17"/>
  <c r="O644" i="17"/>
  <c r="N644" i="17"/>
  <c r="I644" i="17"/>
  <c r="H644" i="17"/>
  <c r="G644" i="17"/>
  <c r="F644" i="17"/>
  <c r="E644" i="17"/>
  <c r="D644" i="17"/>
  <c r="C644" i="17"/>
  <c r="B644" i="17"/>
  <c r="A644" i="17"/>
  <c r="AD644" i="17" s="1"/>
  <c r="AM643" i="17"/>
  <c r="AL643" i="17"/>
  <c r="AK643" i="17"/>
  <c r="AI643" i="17"/>
  <c r="AF643" i="17"/>
  <c r="AB643" i="17"/>
  <c r="Z643" i="17"/>
  <c r="V643" i="17"/>
  <c r="U643" i="17"/>
  <c r="S643" i="17"/>
  <c r="N643" i="17"/>
  <c r="L643" i="17"/>
  <c r="K643" i="17"/>
  <c r="J643" i="17"/>
  <c r="I643" i="17"/>
  <c r="H643" i="17"/>
  <c r="G643" i="17"/>
  <c r="F643" i="17"/>
  <c r="E643" i="17"/>
  <c r="D643" i="17"/>
  <c r="C643" i="17"/>
  <c r="B643" i="17"/>
  <c r="A643" i="17"/>
  <c r="I642" i="17"/>
  <c r="H642" i="17"/>
  <c r="G642" i="17"/>
  <c r="F642" i="17"/>
  <c r="E642" i="17"/>
  <c r="D642" i="17"/>
  <c r="C642" i="17"/>
  <c r="B642" i="17"/>
  <c r="A642" i="17"/>
  <c r="I641" i="17"/>
  <c r="H641" i="17"/>
  <c r="G641" i="17"/>
  <c r="F641" i="17"/>
  <c r="E641" i="17"/>
  <c r="D641" i="17"/>
  <c r="C641" i="17"/>
  <c r="B641" i="17"/>
  <c r="A641" i="17"/>
  <c r="I640" i="17"/>
  <c r="H640" i="17"/>
  <c r="G640" i="17"/>
  <c r="F640" i="17"/>
  <c r="E640" i="17"/>
  <c r="D640" i="17"/>
  <c r="C640" i="17"/>
  <c r="B640" i="17"/>
  <c r="A640" i="17"/>
  <c r="AP640" i="17" s="1"/>
  <c r="AK639" i="17"/>
  <c r="AJ639" i="17"/>
  <c r="AI639" i="17"/>
  <c r="AB639" i="17"/>
  <c r="W639" i="17"/>
  <c r="V639" i="17"/>
  <c r="R639" i="17"/>
  <c r="P639" i="17"/>
  <c r="O639" i="17"/>
  <c r="I639" i="17"/>
  <c r="H639" i="17"/>
  <c r="G639" i="17"/>
  <c r="F639" i="17"/>
  <c r="E639" i="17"/>
  <c r="D639" i="17"/>
  <c r="C639" i="17"/>
  <c r="B639" i="17"/>
  <c r="A639" i="17"/>
  <c r="AH639" i="17" s="1"/>
  <c r="I638" i="17"/>
  <c r="H638" i="17"/>
  <c r="G638" i="17"/>
  <c r="F638" i="17"/>
  <c r="E638" i="17"/>
  <c r="D638" i="17"/>
  <c r="C638" i="17"/>
  <c r="B638" i="17"/>
  <c r="A638" i="17"/>
  <c r="I637" i="17"/>
  <c r="H637" i="17"/>
  <c r="G637" i="17"/>
  <c r="F637" i="17"/>
  <c r="E637" i="17"/>
  <c r="D637" i="17"/>
  <c r="C637" i="17"/>
  <c r="B637" i="17"/>
  <c r="A637" i="17"/>
  <c r="I636" i="17"/>
  <c r="H636" i="17"/>
  <c r="G636" i="17"/>
  <c r="F636" i="17"/>
  <c r="E636" i="17"/>
  <c r="D636" i="17"/>
  <c r="C636" i="17"/>
  <c r="B636" i="17"/>
  <c r="A636" i="17"/>
  <c r="AQ636" i="17" s="1"/>
  <c r="I635" i="17"/>
  <c r="H635" i="17"/>
  <c r="G635" i="17"/>
  <c r="F635" i="17"/>
  <c r="E635" i="17"/>
  <c r="D635" i="17"/>
  <c r="C635" i="17"/>
  <c r="B635" i="17"/>
  <c r="A635" i="17"/>
  <c r="AB635" i="17" s="1"/>
  <c r="AD634" i="17"/>
  <c r="X634" i="17"/>
  <c r="I634" i="17"/>
  <c r="H634" i="17"/>
  <c r="G634" i="17"/>
  <c r="F634" i="17"/>
  <c r="E634" i="17"/>
  <c r="D634" i="17"/>
  <c r="C634" i="17"/>
  <c r="B634" i="17"/>
  <c r="A634" i="17"/>
  <c r="I633" i="17"/>
  <c r="H633" i="17"/>
  <c r="G633" i="17"/>
  <c r="F633" i="17"/>
  <c r="E633" i="17"/>
  <c r="D633" i="17"/>
  <c r="C633" i="17"/>
  <c r="B633" i="17"/>
  <c r="A633" i="17"/>
  <c r="I632" i="17"/>
  <c r="H632" i="17"/>
  <c r="G632" i="17"/>
  <c r="F632" i="17"/>
  <c r="E632" i="17"/>
  <c r="D632" i="17"/>
  <c r="C632" i="17"/>
  <c r="B632" i="17"/>
  <c r="A632" i="17"/>
  <c r="O632" i="17" s="1"/>
  <c r="AP631" i="17"/>
  <c r="I631" i="17"/>
  <c r="H631" i="17"/>
  <c r="G631" i="17"/>
  <c r="F631" i="17"/>
  <c r="E631" i="17"/>
  <c r="D631" i="17"/>
  <c r="C631" i="17"/>
  <c r="B631" i="17"/>
  <c r="A631" i="17"/>
  <c r="AQ630" i="17"/>
  <c r="I630" i="17"/>
  <c r="H630" i="17"/>
  <c r="G630" i="17"/>
  <c r="F630" i="17"/>
  <c r="E630" i="17"/>
  <c r="D630" i="17"/>
  <c r="C630" i="17"/>
  <c r="B630" i="17"/>
  <c r="A630" i="17"/>
  <c r="I629" i="17"/>
  <c r="H629" i="17"/>
  <c r="G629" i="17"/>
  <c r="F629" i="17"/>
  <c r="E629" i="17"/>
  <c r="D629" i="17"/>
  <c r="C629" i="17"/>
  <c r="B629" i="17"/>
  <c r="A629" i="17"/>
  <c r="I628" i="17"/>
  <c r="H628" i="17"/>
  <c r="G628" i="17"/>
  <c r="F628" i="17"/>
  <c r="E628" i="17"/>
  <c r="D628" i="17"/>
  <c r="C628" i="17"/>
  <c r="B628" i="17"/>
  <c r="A628" i="17"/>
  <c r="K628" i="17" s="1"/>
  <c r="AQ627" i="17"/>
  <c r="AH627" i="17"/>
  <c r="AE627" i="17"/>
  <c r="AC627" i="17"/>
  <c r="S627" i="17"/>
  <c r="N627" i="17"/>
  <c r="I627" i="17"/>
  <c r="H627" i="17"/>
  <c r="G627" i="17"/>
  <c r="F627" i="17"/>
  <c r="E627" i="17"/>
  <c r="D627" i="17"/>
  <c r="C627" i="17"/>
  <c r="B627" i="17"/>
  <c r="A627" i="17"/>
  <c r="I626" i="17"/>
  <c r="H626" i="17"/>
  <c r="G626" i="17"/>
  <c r="F626" i="17"/>
  <c r="E626" i="17"/>
  <c r="D626" i="17"/>
  <c r="C626" i="17"/>
  <c r="B626" i="17"/>
  <c r="A626" i="17"/>
  <c r="I625" i="17"/>
  <c r="H625" i="17"/>
  <c r="G625" i="17"/>
  <c r="F625" i="17"/>
  <c r="E625" i="17"/>
  <c r="D625" i="17"/>
  <c r="C625" i="17"/>
  <c r="B625" i="17"/>
  <c r="A625" i="17"/>
  <c r="I624" i="17"/>
  <c r="H624" i="17"/>
  <c r="G624" i="17"/>
  <c r="F624" i="17"/>
  <c r="E624" i="17"/>
  <c r="D624" i="17"/>
  <c r="C624" i="17"/>
  <c r="B624" i="17"/>
  <c r="A624" i="17"/>
  <c r="AR623" i="17"/>
  <c r="AQ623" i="17"/>
  <c r="AL623" i="17"/>
  <c r="AD623" i="17"/>
  <c r="V623" i="17"/>
  <c r="I623" i="17"/>
  <c r="H623" i="17"/>
  <c r="G623" i="17"/>
  <c r="F623" i="17"/>
  <c r="E623" i="17"/>
  <c r="D623" i="17"/>
  <c r="C623" i="17"/>
  <c r="B623" i="17"/>
  <c r="A623" i="17"/>
  <c r="I622" i="17"/>
  <c r="H622" i="17"/>
  <c r="G622" i="17"/>
  <c r="F622" i="17"/>
  <c r="E622" i="17"/>
  <c r="D622" i="17"/>
  <c r="C622" i="17"/>
  <c r="B622" i="17"/>
  <c r="A622" i="17"/>
  <c r="I621" i="17"/>
  <c r="H621" i="17"/>
  <c r="G621" i="17"/>
  <c r="F621" i="17"/>
  <c r="E621" i="17"/>
  <c r="D621" i="17"/>
  <c r="C621" i="17"/>
  <c r="B621" i="17"/>
  <c r="A621" i="17"/>
  <c r="AA621" i="17" s="1"/>
  <c r="AA620" i="17"/>
  <c r="I620" i="17"/>
  <c r="H620" i="17"/>
  <c r="G620" i="17"/>
  <c r="F620" i="17"/>
  <c r="E620" i="17"/>
  <c r="D620" i="17"/>
  <c r="C620" i="17"/>
  <c r="B620" i="17"/>
  <c r="A620" i="17"/>
  <c r="I619" i="17"/>
  <c r="H619" i="17"/>
  <c r="G619" i="17"/>
  <c r="F619" i="17"/>
  <c r="E619" i="17"/>
  <c r="D619" i="17"/>
  <c r="C619" i="17"/>
  <c r="B619" i="17"/>
  <c r="A619" i="17"/>
  <c r="I618" i="17"/>
  <c r="H618" i="17"/>
  <c r="G618" i="17"/>
  <c r="F618" i="17"/>
  <c r="E618" i="17"/>
  <c r="D618" i="17"/>
  <c r="C618" i="17"/>
  <c r="B618" i="17"/>
  <c r="A618" i="17"/>
  <c r="AH617" i="17"/>
  <c r="I617" i="17"/>
  <c r="H617" i="17"/>
  <c r="G617" i="17"/>
  <c r="F617" i="17"/>
  <c r="E617" i="17"/>
  <c r="D617" i="17"/>
  <c r="C617" i="17"/>
  <c r="B617" i="17"/>
  <c r="A617" i="17"/>
  <c r="I616" i="17"/>
  <c r="H616" i="17"/>
  <c r="G616" i="17"/>
  <c r="F616" i="17"/>
  <c r="E616" i="17"/>
  <c r="D616" i="17"/>
  <c r="C616" i="17"/>
  <c r="B616" i="17"/>
  <c r="A616" i="17"/>
  <c r="P616" i="17" s="1"/>
  <c r="AM615" i="17"/>
  <c r="AK615" i="17"/>
  <c r="AH615" i="17"/>
  <c r="AF615" i="17"/>
  <c r="AE615" i="17"/>
  <c r="AB615" i="17"/>
  <c r="U615" i="17"/>
  <c r="R615" i="17"/>
  <c r="P615" i="17"/>
  <c r="O615" i="17"/>
  <c r="N615" i="17"/>
  <c r="J615" i="17"/>
  <c r="I615" i="17"/>
  <c r="H615" i="17"/>
  <c r="G615" i="17"/>
  <c r="F615" i="17"/>
  <c r="E615" i="17"/>
  <c r="D615" i="17"/>
  <c r="C615" i="17"/>
  <c r="B615" i="17"/>
  <c r="A615" i="17"/>
  <c r="AR615" i="17" s="1"/>
  <c r="I614" i="17"/>
  <c r="H614" i="17"/>
  <c r="G614" i="17"/>
  <c r="F614" i="17"/>
  <c r="E614" i="17"/>
  <c r="D614" i="17"/>
  <c r="C614" i="17"/>
  <c r="B614" i="17"/>
  <c r="A614" i="17"/>
  <c r="AQ613" i="17"/>
  <c r="AP613" i="17"/>
  <c r="AD613" i="17"/>
  <c r="I613" i="17"/>
  <c r="H613" i="17"/>
  <c r="G613" i="17"/>
  <c r="F613" i="17"/>
  <c r="E613" i="17"/>
  <c r="D613" i="17"/>
  <c r="C613" i="17"/>
  <c r="B613" i="17"/>
  <c r="A613" i="17"/>
  <c r="I612" i="17"/>
  <c r="H612" i="17"/>
  <c r="G612" i="17"/>
  <c r="F612" i="17"/>
  <c r="E612" i="17"/>
  <c r="D612" i="17"/>
  <c r="C612" i="17"/>
  <c r="B612" i="17"/>
  <c r="A612" i="17"/>
  <c r="AL611" i="17"/>
  <c r="AK611" i="17"/>
  <c r="AJ611" i="17"/>
  <c r="AF611" i="17"/>
  <c r="AD611" i="17"/>
  <c r="AB611" i="17"/>
  <c r="T611" i="17"/>
  <c r="R611" i="17"/>
  <c r="P611" i="17"/>
  <c r="O611" i="17"/>
  <c r="N611" i="17"/>
  <c r="L611" i="17"/>
  <c r="I611" i="17"/>
  <c r="H611" i="17"/>
  <c r="G611" i="17"/>
  <c r="F611" i="17"/>
  <c r="E611" i="17"/>
  <c r="D611" i="17"/>
  <c r="C611" i="17"/>
  <c r="B611" i="17"/>
  <c r="A611" i="17"/>
  <c r="AR611" i="17" s="1"/>
  <c r="I610" i="17"/>
  <c r="H610" i="17"/>
  <c r="G610" i="17"/>
  <c r="F610" i="17"/>
  <c r="E610" i="17"/>
  <c r="D610" i="17"/>
  <c r="C610" i="17"/>
  <c r="B610" i="17"/>
  <c r="A610" i="17"/>
  <c r="I609" i="17"/>
  <c r="H609" i="17"/>
  <c r="G609" i="17"/>
  <c r="F609" i="17"/>
  <c r="E609" i="17"/>
  <c r="D609" i="17"/>
  <c r="C609" i="17"/>
  <c r="B609" i="17"/>
  <c r="A609" i="17"/>
  <c r="I608" i="17"/>
  <c r="H608" i="17"/>
  <c r="G608" i="17"/>
  <c r="F608" i="17"/>
  <c r="E608" i="17"/>
  <c r="D608" i="17"/>
  <c r="C608" i="17"/>
  <c r="B608" i="17"/>
  <c r="A608" i="17"/>
  <c r="AF607" i="17"/>
  <c r="AE607" i="17"/>
  <c r="AB607" i="17"/>
  <c r="U607" i="17"/>
  <c r="I607" i="17"/>
  <c r="H607" i="17"/>
  <c r="G607" i="17"/>
  <c r="F607" i="17"/>
  <c r="E607" i="17"/>
  <c r="D607" i="17"/>
  <c r="C607" i="17"/>
  <c r="B607" i="17"/>
  <c r="A607" i="17"/>
  <c r="I606" i="17"/>
  <c r="H606" i="17"/>
  <c r="G606" i="17"/>
  <c r="F606" i="17"/>
  <c r="E606" i="17"/>
  <c r="D606" i="17"/>
  <c r="C606" i="17"/>
  <c r="B606" i="17"/>
  <c r="A606" i="17"/>
  <c r="AP605" i="17"/>
  <c r="AL605" i="17"/>
  <c r="I605" i="17"/>
  <c r="H605" i="17"/>
  <c r="G605" i="17"/>
  <c r="F605" i="17"/>
  <c r="E605" i="17"/>
  <c r="D605" i="17"/>
  <c r="C605" i="17"/>
  <c r="B605" i="17"/>
  <c r="A605" i="17"/>
  <c r="AQ605" i="17" s="1"/>
  <c r="I604" i="17"/>
  <c r="H604" i="17"/>
  <c r="G604" i="17"/>
  <c r="F604" i="17"/>
  <c r="E604" i="17"/>
  <c r="D604" i="17"/>
  <c r="C604" i="17"/>
  <c r="B604" i="17"/>
  <c r="A604" i="17"/>
  <c r="I603" i="17"/>
  <c r="H603" i="17"/>
  <c r="G603" i="17"/>
  <c r="F603" i="17"/>
  <c r="E603" i="17"/>
  <c r="D603" i="17"/>
  <c r="C603" i="17"/>
  <c r="B603" i="17"/>
  <c r="A603" i="17"/>
  <c r="I602" i="17"/>
  <c r="H602" i="17"/>
  <c r="G602" i="17"/>
  <c r="F602" i="17"/>
  <c r="E602" i="17"/>
  <c r="D602" i="17"/>
  <c r="C602" i="17"/>
  <c r="B602" i="17"/>
  <c r="A602" i="17"/>
  <c r="I601" i="17"/>
  <c r="H601" i="17"/>
  <c r="G601" i="17"/>
  <c r="F601" i="17"/>
  <c r="E601" i="17"/>
  <c r="D601" i="17"/>
  <c r="C601" i="17"/>
  <c r="B601" i="17"/>
  <c r="A601" i="17"/>
  <c r="AN600" i="17"/>
  <c r="AJ600" i="17"/>
  <c r="AG600" i="17"/>
  <c r="I600" i="17"/>
  <c r="H600" i="17"/>
  <c r="G600" i="17"/>
  <c r="F600" i="17"/>
  <c r="E600" i="17"/>
  <c r="D600" i="17"/>
  <c r="C600" i="17"/>
  <c r="B600" i="17"/>
  <c r="A600" i="17"/>
  <c r="AH599" i="17"/>
  <c r="I599" i="17"/>
  <c r="H599" i="17"/>
  <c r="G599" i="17"/>
  <c r="F599" i="17"/>
  <c r="E599" i="17"/>
  <c r="D599" i="17"/>
  <c r="C599" i="17"/>
  <c r="B599" i="17"/>
  <c r="A599" i="17"/>
  <c r="V599" i="17" s="1"/>
  <c r="I598" i="17"/>
  <c r="H598" i="17"/>
  <c r="G598" i="17"/>
  <c r="F598" i="17"/>
  <c r="E598" i="17"/>
  <c r="D598" i="17"/>
  <c r="C598" i="17"/>
  <c r="B598" i="17"/>
  <c r="A598" i="17"/>
  <c r="N598" i="17" s="1"/>
  <c r="I597" i="17"/>
  <c r="H597" i="17"/>
  <c r="G597" i="17"/>
  <c r="F597" i="17"/>
  <c r="E597" i="17"/>
  <c r="D597" i="17"/>
  <c r="C597" i="17"/>
  <c r="B597" i="17"/>
  <c r="A597" i="17"/>
  <c r="AD597" i="17" s="1"/>
  <c r="I596" i="17"/>
  <c r="H596" i="17"/>
  <c r="G596" i="17"/>
  <c r="F596" i="17"/>
  <c r="E596" i="17"/>
  <c r="D596" i="17"/>
  <c r="C596" i="17"/>
  <c r="B596" i="17"/>
  <c r="A596" i="17"/>
  <c r="Y596" i="17" s="1"/>
  <c r="I595" i="17"/>
  <c r="H595" i="17"/>
  <c r="G595" i="17"/>
  <c r="F595" i="17"/>
  <c r="E595" i="17"/>
  <c r="D595" i="17"/>
  <c r="C595" i="17"/>
  <c r="B595" i="17"/>
  <c r="A595" i="17"/>
  <c r="T595" i="17" s="1"/>
  <c r="W594" i="17"/>
  <c r="R594" i="17"/>
  <c r="Q594" i="17"/>
  <c r="P594" i="17"/>
  <c r="O594" i="17"/>
  <c r="I594" i="17"/>
  <c r="H594" i="17"/>
  <c r="G594" i="17"/>
  <c r="F594" i="17"/>
  <c r="E594" i="17"/>
  <c r="D594" i="17"/>
  <c r="C594" i="17"/>
  <c r="B594" i="17"/>
  <c r="A594" i="17"/>
  <c r="AR594" i="17" s="1"/>
  <c r="AI593" i="17"/>
  <c r="AF593" i="17"/>
  <c r="W593" i="17"/>
  <c r="T593" i="17"/>
  <c r="M593" i="17"/>
  <c r="L593" i="17"/>
  <c r="I593" i="17"/>
  <c r="H593" i="17"/>
  <c r="G593" i="17"/>
  <c r="F593" i="17"/>
  <c r="E593" i="17"/>
  <c r="D593" i="17"/>
  <c r="C593" i="17"/>
  <c r="B593" i="17"/>
  <c r="A593" i="17"/>
  <c r="AN593" i="17" s="1"/>
  <c r="AG592" i="17"/>
  <c r="I592" i="17"/>
  <c r="H592" i="17"/>
  <c r="G592" i="17"/>
  <c r="F592" i="17"/>
  <c r="E592" i="17"/>
  <c r="D592" i="17"/>
  <c r="C592" i="17"/>
  <c r="B592" i="17"/>
  <c r="A592" i="17"/>
  <c r="AQ592" i="17" s="1"/>
  <c r="AM591" i="17"/>
  <c r="AL591" i="17"/>
  <c r="AF591" i="17"/>
  <c r="AC591" i="17"/>
  <c r="AB591" i="17"/>
  <c r="M591" i="17"/>
  <c r="I591" i="17"/>
  <c r="H591" i="17"/>
  <c r="G591" i="17"/>
  <c r="F591" i="17"/>
  <c r="E591" i="17"/>
  <c r="D591" i="17"/>
  <c r="C591" i="17"/>
  <c r="B591" i="17"/>
  <c r="A591" i="17"/>
  <c r="AP590" i="17"/>
  <c r="I590" i="17"/>
  <c r="H590" i="17"/>
  <c r="G590" i="17"/>
  <c r="F590" i="17"/>
  <c r="E590" i="17"/>
  <c r="D590" i="17"/>
  <c r="C590" i="17"/>
  <c r="B590" i="17"/>
  <c r="A590" i="17"/>
  <c r="AQ590" i="17" s="1"/>
  <c r="AN589" i="17"/>
  <c r="AE589" i="17"/>
  <c r="AD589" i="17"/>
  <c r="AC589" i="17"/>
  <c r="M589" i="17"/>
  <c r="L589" i="17"/>
  <c r="I589" i="17"/>
  <c r="H589" i="17"/>
  <c r="G589" i="17"/>
  <c r="F589" i="17"/>
  <c r="E589" i="17"/>
  <c r="D589" i="17"/>
  <c r="C589" i="17"/>
  <c r="B589" i="17"/>
  <c r="A589" i="17"/>
  <c r="I588" i="17"/>
  <c r="H588" i="17"/>
  <c r="G588" i="17"/>
  <c r="F588" i="17"/>
  <c r="E588" i="17"/>
  <c r="D588" i="17"/>
  <c r="C588" i="17"/>
  <c r="B588" i="17"/>
  <c r="A588" i="17"/>
  <c r="AO588" i="17" s="1"/>
  <c r="I587" i="17"/>
  <c r="H587" i="17"/>
  <c r="G587" i="17"/>
  <c r="F587" i="17"/>
  <c r="E587" i="17"/>
  <c r="D587" i="17"/>
  <c r="C587" i="17"/>
  <c r="B587" i="17"/>
  <c r="A587" i="17"/>
  <c r="AM587" i="17" s="1"/>
  <c r="I586" i="17"/>
  <c r="H586" i="17"/>
  <c r="G586" i="17"/>
  <c r="F586" i="17"/>
  <c r="E586" i="17"/>
  <c r="D586" i="17"/>
  <c r="C586" i="17"/>
  <c r="B586" i="17"/>
  <c r="A586" i="17"/>
  <c r="AL585" i="17"/>
  <c r="AF585" i="17"/>
  <c r="I585" i="17"/>
  <c r="H585" i="17"/>
  <c r="G585" i="17"/>
  <c r="F585" i="17"/>
  <c r="E585" i="17"/>
  <c r="D585" i="17"/>
  <c r="C585" i="17"/>
  <c r="B585" i="17"/>
  <c r="A585" i="17"/>
  <c r="I584" i="17"/>
  <c r="H584" i="17"/>
  <c r="G584" i="17"/>
  <c r="F584" i="17"/>
  <c r="E584" i="17"/>
  <c r="D584" i="17"/>
  <c r="C584" i="17"/>
  <c r="B584" i="17"/>
  <c r="A584" i="17"/>
  <c r="I583" i="17"/>
  <c r="H583" i="17"/>
  <c r="G583" i="17"/>
  <c r="F583" i="17"/>
  <c r="E583" i="17"/>
  <c r="D583" i="17"/>
  <c r="C583" i="17"/>
  <c r="B583" i="17"/>
  <c r="A583" i="17"/>
  <c r="I582" i="17"/>
  <c r="H582" i="17"/>
  <c r="G582" i="17"/>
  <c r="F582" i="17"/>
  <c r="E582" i="17"/>
  <c r="D582" i="17"/>
  <c r="C582" i="17"/>
  <c r="B582" i="17"/>
  <c r="A582" i="17"/>
  <c r="AM581" i="17"/>
  <c r="AF581" i="17"/>
  <c r="AE581" i="17"/>
  <c r="I581" i="17"/>
  <c r="H581" i="17"/>
  <c r="G581" i="17"/>
  <c r="F581" i="17"/>
  <c r="E581" i="17"/>
  <c r="D581" i="17"/>
  <c r="C581" i="17"/>
  <c r="B581" i="17"/>
  <c r="A581" i="17"/>
  <c r="Y580" i="17"/>
  <c r="X580" i="17"/>
  <c r="R580" i="17"/>
  <c r="Q580" i="17"/>
  <c r="I580" i="17"/>
  <c r="H580" i="17"/>
  <c r="G580" i="17"/>
  <c r="F580" i="17"/>
  <c r="E580" i="17"/>
  <c r="D580" i="17"/>
  <c r="C580" i="17"/>
  <c r="B580" i="17"/>
  <c r="A580" i="17"/>
  <c r="I579" i="17"/>
  <c r="H579" i="17"/>
  <c r="G579" i="17"/>
  <c r="F579" i="17"/>
  <c r="E579" i="17"/>
  <c r="D579" i="17"/>
  <c r="C579" i="17"/>
  <c r="B579" i="17"/>
  <c r="A579" i="17"/>
  <c r="I578" i="17"/>
  <c r="H578" i="17"/>
  <c r="G578" i="17"/>
  <c r="F578" i="17"/>
  <c r="E578" i="17"/>
  <c r="D578" i="17"/>
  <c r="C578" i="17"/>
  <c r="B578" i="17"/>
  <c r="A578" i="17"/>
  <c r="AN577" i="17"/>
  <c r="AM577" i="17"/>
  <c r="I577" i="17"/>
  <c r="H577" i="17"/>
  <c r="G577" i="17"/>
  <c r="F577" i="17"/>
  <c r="E577" i="17"/>
  <c r="D577" i="17"/>
  <c r="C577" i="17"/>
  <c r="B577" i="17"/>
  <c r="A577" i="17"/>
  <c r="AE577" i="17" s="1"/>
  <c r="AQ576" i="17"/>
  <c r="I576" i="17"/>
  <c r="H576" i="17"/>
  <c r="G576" i="17"/>
  <c r="F576" i="17"/>
  <c r="E576" i="17"/>
  <c r="D576" i="17"/>
  <c r="C576" i="17"/>
  <c r="B576" i="17"/>
  <c r="A576" i="17"/>
  <c r="AP576" i="17" s="1"/>
  <c r="I575" i="17"/>
  <c r="H575" i="17"/>
  <c r="G575" i="17"/>
  <c r="F575" i="17"/>
  <c r="E575" i="17"/>
  <c r="D575" i="17"/>
  <c r="C575" i="17"/>
  <c r="B575" i="17"/>
  <c r="A575" i="17"/>
  <c r="I574" i="17"/>
  <c r="H574" i="17"/>
  <c r="G574" i="17"/>
  <c r="F574" i="17"/>
  <c r="E574" i="17"/>
  <c r="D574" i="17"/>
  <c r="C574" i="17"/>
  <c r="B574" i="17"/>
  <c r="A574" i="17"/>
  <c r="I573" i="17"/>
  <c r="H573" i="17"/>
  <c r="G573" i="17"/>
  <c r="F573" i="17"/>
  <c r="E573" i="17"/>
  <c r="D573" i="17"/>
  <c r="C573" i="17"/>
  <c r="B573" i="17"/>
  <c r="A573" i="17"/>
  <c r="I572" i="17"/>
  <c r="H572" i="17"/>
  <c r="G572" i="17"/>
  <c r="F572" i="17"/>
  <c r="E572" i="17"/>
  <c r="D572" i="17"/>
  <c r="C572" i="17"/>
  <c r="B572" i="17"/>
  <c r="A572" i="17"/>
  <c r="I571" i="17"/>
  <c r="H571" i="17"/>
  <c r="G571" i="17"/>
  <c r="F571" i="17"/>
  <c r="E571" i="17"/>
  <c r="D571" i="17"/>
  <c r="C571" i="17"/>
  <c r="B571" i="17"/>
  <c r="A571" i="17"/>
  <c r="AP570" i="17"/>
  <c r="I570" i="17"/>
  <c r="H570" i="17"/>
  <c r="G570" i="17"/>
  <c r="F570" i="17"/>
  <c r="E570" i="17"/>
  <c r="D570" i="17"/>
  <c r="C570" i="17"/>
  <c r="B570" i="17"/>
  <c r="A570" i="17"/>
  <c r="K570" i="17" s="1"/>
  <c r="I569" i="17"/>
  <c r="H569" i="17"/>
  <c r="G569" i="17"/>
  <c r="F569" i="17"/>
  <c r="E569" i="17"/>
  <c r="D569" i="17"/>
  <c r="C569" i="17"/>
  <c r="B569" i="17"/>
  <c r="A569" i="17"/>
  <c r="I568" i="17"/>
  <c r="H568" i="17"/>
  <c r="G568" i="17"/>
  <c r="F568" i="17"/>
  <c r="E568" i="17"/>
  <c r="D568" i="17"/>
  <c r="C568" i="17"/>
  <c r="B568" i="17"/>
  <c r="A568" i="17"/>
  <c r="AM568" i="17" s="1"/>
  <c r="I567" i="17"/>
  <c r="H567" i="17"/>
  <c r="G567" i="17"/>
  <c r="F567" i="17"/>
  <c r="E567" i="17"/>
  <c r="D567" i="17"/>
  <c r="C567" i="17"/>
  <c r="B567" i="17"/>
  <c r="A567" i="17"/>
  <c r="I566" i="17"/>
  <c r="H566" i="17"/>
  <c r="G566" i="17"/>
  <c r="F566" i="17"/>
  <c r="E566" i="17"/>
  <c r="D566" i="17"/>
  <c r="C566" i="17"/>
  <c r="B566" i="17"/>
  <c r="A566" i="17"/>
  <c r="U565" i="17"/>
  <c r="I565" i="17"/>
  <c r="H565" i="17"/>
  <c r="G565" i="17"/>
  <c r="F565" i="17"/>
  <c r="E565" i="17"/>
  <c r="D565" i="17"/>
  <c r="C565" i="17"/>
  <c r="B565" i="17"/>
  <c r="A565" i="17"/>
  <c r="I564" i="17"/>
  <c r="H564" i="17"/>
  <c r="G564" i="17"/>
  <c r="F564" i="17"/>
  <c r="E564" i="17"/>
  <c r="D564" i="17"/>
  <c r="C564" i="17"/>
  <c r="B564" i="17"/>
  <c r="A564" i="17"/>
  <c r="AB564" i="17" s="1"/>
  <c r="AL563" i="17"/>
  <c r="AA563" i="17"/>
  <c r="X563" i="17"/>
  <c r="W563" i="17"/>
  <c r="V563" i="17"/>
  <c r="M563" i="17"/>
  <c r="L563" i="17"/>
  <c r="I563" i="17"/>
  <c r="H563" i="17"/>
  <c r="G563" i="17"/>
  <c r="F563" i="17"/>
  <c r="E563" i="17"/>
  <c r="D563" i="17"/>
  <c r="C563" i="17"/>
  <c r="B563" i="17"/>
  <c r="A563" i="17"/>
  <c r="AM563" i="17" s="1"/>
  <c r="AN562" i="17"/>
  <c r="AA562" i="17"/>
  <c r="Z562" i="17"/>
  <c r="Y562" i="17"/>
  <c r="X562" i="17"/>
  <c r="W562" i="17"/>
  <c r="I562" i="17"/>
  <c r="H562" i="17"/>
  <c r="G562" i="17"/>
  <c r="F562" i="17"/>
  <c r="E562" i="17"/>
  <c r="D562" i="17"/>
  <c r="C562" i="17"/>
  <c r="B562" i="17"/>
  <c r="A562" i="17"/>
  <c r="AQ562" i="17" s="1"/>
  <c r="AR561" i="17"/>
  <c r="AQ561" i="17"/>
  <c r="AM561" i="17"/>
  <c r="AJ561" i="17"/>
  <c r="AA561" i="17"/>
  <c r="X561" i="17"/>
  <c r="W561" i="17"/>
  <c r="N561" i="17"/>
  <c r="M561" i="17"/>
  <c r="L561" i="17"/>
  <c r="I561" i="17"/>
  <c r="H561" i="17"/>
  <c r="G561" i="17"/>
  <c r="F561" i="17"/>
  <c r="E561" i="17"/>
  <c r="D561" i="17"/>
  <c r="C561" i="17"/>
  <c r="B561" i="17"/>
  <c r="A561" i="17"/>
  <c r="AM560" i="17"/>
  <c r="Z560" i="17"/>
  <c r="Y560" i="17"/>
  <c r="X560" i="17"/>
  <c r="R560" i="17"/>
  <c r="Q560" i="17"/>
  <c r="I560" i="17"/>
  <c r="H560" i="17"/>
  <c r="G560" i="17"/>
  <c r="F560" i="17"/>
  <c r="E560" i="17"/>
  <c r="D560" i="17"/>
  <c r="C560" i="17"/>
  <c r="B560" i="17"/>
  <c r="A560" i="17"/>
  <c r="AP560" i="17" s="1"/>
  <c r="AL559" i="17"/>
  <c r="I559" i="17"/>
  <c r="H559" i="17"/>
  <c r="G559" i="17"/>
  <c r="F559" i="17"/>
  <c r="E559" i="17"/>
  <c r="D559" i="17"/>
  <c r="C559" i="17"/>
  <c r="B559" i="17"/>
  <c r="A559" i="17"/>
  <c r="I558" i="17"/>
  <c r="H558" i="17"/>
  <c r="G558" i="17"/>
  <c r="F558" i="17"/>
  <c r="E558" i="17"/>
  <c r="D558" i="17"/>
  <c r="C558" i="17"/>
  <c r="B558" i="17"/>
  <c r="A558" i="17"/>
  <c r="AQ558" i="17" s="1"/>
  <c r="AC557" i="17"/>
  <c r="AB557" i="17"/>
  <c r="O557" i="17"/>
  <c r="N557" i="17"/>
  <c r="M557" i="17"/>
  <c r="I557" i="17"/>
  <c r="H557" i="17"/>
  <c r="G557" i="17"/>
  <c r="F557" i="17"/>
  <c r="E557" i="17"/>
  <c r="D557" i="17"/>
  <c r="C557" i="17"/>
  <c r="B557" i="17"/>
  <c r="A557" i="17"/>
  <c r="I556" i="17"/>
  <c r="H556" i="17"/>
  <c r="G556" i="17"/>
  <c r="F556" i="17"/>
  <c r="E556" i="17"/>
  <c r="D556" i="17"/>
  <c r="C556" i="17"/>
  <c r="B556" i="17"/>
  <c r="A556" i="17"/>
  <c r="AK555" i="17"/>
  <c r="AJ555" i="17"/>
  <c r="AI555" i="17"/>
  <c r="AF555" i="17"/>
  <c r="AE555" i="17"/>
  <c r="AA555" i="17"/>
  <c r="U555" i="17"/>
  <c r="S555" i="17"/>
  <c r="N555" i="17"/>
  <c r="M555" i="17"/>
  <c r="L555" i="17"/>
  <c r="K555" i="17"/>
  <c r="I555" i="17"/>
  <c r="H555" i="17"/>
  <c r="G555" i="17"/>
  <c r="F555" i="17"/>
  <c r="E555" i="17"/>
  <c r="D555" i="17"/>
  <c r="C555" i="17"/>
  <c r="B555" i="17"/>
  <c r="A555" i="17"/>
  <c r="X555" i="17" s="1"/>
  <c r="I554" i="17"/>
  <c r="H554" i="17"/>
  <c r="G554" i="17"/>
  <c r="F554" i="17"/>
  <c r="E554" i="17"/>
  <c r="D554" i="17"/>
  <c r="C554" i="17"/>
  <c r="B554" i="17"/>
  <c r="A554" i="17"/>
  <c r="I553" i="17"/>
  <c r="H553" i="17"/>
  <c r="G553" i="17"/>
  <c r="F553" i="17"/>
  <c r="E553" i="17"/>
  <c r="D553" i="17"/>
  <c r="C553" i="17"/>
  <c r="B553" i="17"/>
  <c r="A553" i="17"/>
  <c r="I552" i="17"/>
  <c r="H552" i="17"/>
  <c r="G552" i="17"/>
  <c r="F552" i="17"/>
  <c r="E552" i="17"/>
  <c r="D552" i="17"/>
  <c r="C552" i="17"/>
  <c r="B552" i="17"/>
  <c r="A552" i="17"/>
  <c r="AJ552" i="17" s="1"/>
  <c r="AM551" i="17"/>
  <c r="I551" i="17"/>
  <c r="H551" i="17"/>
  <c r="G551" i="17"/>
  <c r="F551" i="17"/>
  <c r="E551" i="17"/>
  <c r="D551" i="17"/>
  <c r="C551" i="17"/>
  <c r="B551" i="17"/>
  <c r="A551" i="17"/>
  <c r="I550" i="17"/>
  <c r="H550" i="17"/>
  <c r="G550" i="17"/>
  <c r="F550" i="17"/>
  <c r="E550" i="17"/>
  <c r="D550" i="17"/>
  <c r="C550" i="17"/>
  <c r="B550" i="17"/>
  <c r="A550" i="17"/>
  <c r="AO550" i="17" s="1"/>
  <c r="I549" i="17"/>
  <c r="H549" i="17"/>
  <c r="G549" i="17"/>
  <c r="F549" i="17"/>
  <c r="E549" i="17"/>
  <c r="D549" i="17"/>
  <c r="C549" i="17"/>
  <c r="B549" i="17"/>
  <c r="A549" i="17"/>
  <c r="I548" i="17"/>
  <c r="H548" i="17"/>
  <c r="G548" i="17"/>
  <c r="F548" i="17"/>
  <c r="E548" i="17"/>
  <c r="D548" i="17"/>
  <c r="C548" i="17"/>
  <c r="B548" i="17"/>
  <c r="A548" i="17"/>
  <c r="I547" i="17"/>
  <c r="H547" i="17"/>
  <c r="G547" i="17"/>
  <c r="F547" i="17"/>
  <c r="E547" i="17"/>
  <c r="D547" i="17"/>
  <c r="C547" i="17"/>
  <c r="B547" i="17"/>
  <c r="A547" i="17"/>
  <c r="AQ547" i="17" s="1"/>
  <c r="I546" i="17"/>
  <c r="H546" i="17"/>
  <c r="G546" i="17"/>
  <c r="F546" i="17"/>
  <c r="E546" i="17"/>
  <c r="D546" i="17"/>
  <c r="C546" i="17"/>
  <c r="B546" i="17"/>
  <c r="A546" i="17"/>
  <c r="I545" i="17"/>
  <c r="H545" i="17"/>
  <c r="G545" i="17"/>
  <c r="F545" i="17"/>
  <c r="E545" i="17"/>
  <c r="D545" i="17"/>
  <c r="C545" i="17"/>
  <c r="B545" i="17"/>
  <c r="A545" i="17"/>
  <c r="AI544" i="17"/>
  <c r="I544" i="17"/>
  <c r="H544" i="17"/>
  <c r="G544" i="17"/>
  <c r="F544" i="17"/>
  <c r="E544" i="17"/>
  <c r="D544" i="17"/>
  <c r="C544" i="17"/>
  <c r="B544" i="17"/>
  <c r="A544" i="17"/>
  <c r="I543" i="17"/>
  <c r="H543" i="17"/>
  <c r="G543" i="17"/>
  <c r="F543" i="17"/>
  <c r="E543" i="17"/>
  <c r="D543" i="17"/>
  <c r="C543" i="17"/>
  <c r="B543" i="17"/>
  <c r="A543" i="17"/>
  <c r="I542" i="17"/>
  <c r="H542" i="17"/>
  <c r="G542" i="17"/>
  <c r="F542" i="17"/>
  <c r="E542" i="17"/>
  <c r="D542" i="17"/>
  <c r="C542" i="17"/>
  <c r="B542" i="17"/>
  <c r="A542" i="17"/>
  <c r="I541" i="17"/>
  <c r="H541" i="17"/>
  <c r="G541" i="17"/>
  <c r="F541" i="17"/>
  <c r="E541" i="17"/>
  <c r="D541" i="17"/>
  <c r="C541" i="17"/>
  <c r="B541" i="17"/>
  <c r="A541" i="17"/>
  <c r="I540" i="17"/>
  <c r="H540" i="17"/>
  <c r="G540" i="17"/>
  <c r="F540" i="17"/>
  <c r="E540" i="17"/>
  <c r="D540" i="17"/>
  <c r="C540" i="17"/>
  <c r="B540" i="17"/>
  <c r="A540" i="17"/>
  <c r="L540" i="17" s="1"/>
  <c r="I539" i="17"/>
  <c r="H539" i="17"/>
  <c r="G539" i="17"/>
  <c r="F539" i="17"/>
  <c r="E539" i="17"/>
  <c r="D539" i="17"/>
  <c r="C539" i="17"/>
  <c r="B539" i="17"/>
  <c r="A539" i="17"/>
  <c r="I538" i="17"/>
  <c r="H538" i="17"/>
  <c r="G538" i="17"/>
  <c r="F538" i="17"/>
  <c r="E538" i="17"/>
  <c r="D538" i="17"/>
  <c r="C538" i="17"/>
  <c r="B538" i="17"/>
  <c r="A538" i="17"/>
  <c r="I537" i="17"/>
  <c r="H537" i="17"/>
  <c r="G537" i="17"/>
  <c r="F537" i="17"/>
  <c r="E537" i="17"/>
  <c r="D537" i="17"/>
  <c r="C537" i="17"/>
  <c r="B537" i="17"/>
  <c r="A537" i="17"/>
  <c r="I536" i="17"/>
  <c r="H536" i="17"/>
  <c r="G536" i="17"/>
  <c r="F536" i="17"/>
  <c r="E536" i="17"/>
  <c r="D536" i="17"/>
  <c r="C536" i="17"/>
  <c r="B536" i="17"/>
  <c r="A536" i="17"/>
  <c r="AN535" i="17"/>
  <c r="AE535" i="17"/>
  <c r="I535" i="17"/>
  <c r="H535" i="17"/>
  <c r="G535" i="17"/>
  <c r="F535" i="17"/>
  <c r="E535" i="17"/>
  <c r="D535" i="17"/>
  <c r="C535" i="17"/>
  <c r="B535" i="17"/>
  <c r="A535" i="17"/>
  <c r="I534" i="17"/>
  <c r="H534" i="17"/>
  <c r="G534" i="17"/>
  <c r="F534" i="17"/>
  <c r="E534" i="17"/>
  <c r="D534" i="17"/>
  <c r="C534" i="17"/>
  <c r="B534" i="17"/>
  <c r="A534" i="17"/>
  <c r="P534" i="17" s="1"/>
  <c r="AN533" i="17"/>
  <c r="AC533" i="17"/>
  <c r="AB533" i="17"/>
  <c r="AA533" i="17"/>
  <c r="T533" i="17"/>
  <c r="S533" i="17"/>
  <c r="P533" i="17"/>
  <c r="M533" i="17"/>
  <c r="I533" i="17"/>
  <c r="H533" i="17"/>
  <c r="G533" i="17"/>
  <c r="F533" i="17"/>
  <c r="E533" i="17"/>
  <c r="D533" i="17"/>
  <c r="C533" i="17"/>
  <c r="B533" i="17"/>
  <c r="A533" i="17"/>
  <c r="AM533" i="17" s="1"/>
  <c r="I532" i="17"/>
  <c r="H532" i="17"/>
  <c r="G532" i="17"/>
  <c r="F532" i="17"/>
  <c r="E532" i="17"/>
  <c r="D532" i="17"/>
  <c r="C532" i="17"/>
  <c r="B532" i="17"/>
  <c r="A532" i="17"/>
  <c r="AM532" i="17" s="1"/>
  <c r="AC531" i="17"/>
  <c r="V531" i="17"/>
  <c r="U531" i="17"/>
  <c r="I531" i="17"/>
  <c r="H531" i="17"/>
  <c r="G531" i="17"/>
  <c r="F531" i="17"/>
  <c r="E531" i="17"/>
  <c r="D531" i="17"/>
  <c r="C531" i="17"/>
  <c r="B531" i="17"/>
  <c r="A531" i="17"/>
  <c r="X530" i="17"/>
  <c r="W530" i="17"/>
  <c r="R530" i="17"/>
  <c r="I530" i="17"/>
  <c r="H530" i="17"/>
  <c r="G530" i="17"/>
  <c r="F530" i="17"/>
  <c r="E530" i="17"/>
  <c r="D530" i="17"/>
  <c r="C530" i="17"/>
  <c r="B530" i="17"/>
  <c r="A530" i="17"/>
  <c r="AM529" i="17"/>
  <c r="I529" i="17"/>
  <c r="H529" i="17"/>
  <c r="G529" i="17"/>
  <c r="F529" i="17"/>
  <c r="E529" i="17"/>
  <c r="D529" i="17"/>
  <c r="C529" i="17"/>
  <c r="B529" i="17"/>
  <c r="A529" i="17"/>
  <c r="AH528" i="17"/>
  <c r="W528" i="17"/>
  <c r="I528" i="17"/>
  <c r="H528" i="17"/>
  <c r="G528" i="17"/>
  <c r="F528" i="17"/>
  <c r="E528" i="17"/>
  <c r="D528" i="17"/>
  <c r="C528" i="17"/>
  <c r="B528" i="17"/>
  <c r="A528" i="17"/>
  <c r="AR528" i="17" s="1"/>
  <c r="M527" i="17"/>
  <c r="I527" i="17"/>
  <c r="H527" i="17"/>
  <c r="G527" i="17"/>
  <c r="F527" i="17"/>
  <c r="E527" i="17"/>
  <c r="D527" i="17"/>
  <c r="C527" i="17"/>
  <c r="B527" i="17"/>
  <c r="A527" i="17"/>
  <c r="I526" i="17"/>
  <c r="H526" i="17"/>
  <c r="G526" i="17"/>
  <c r="F526" i="17"/>
  <c r="E526" i="17"/>
  <c r="D526" i="17"/>
  <c r="C526" i="17"/>
  <c r="B526" i="17"/>
  <c r="A526" i="17"/>
  <c r="AR525" i="17"/>
  <c r="AQ525" i="17"/>
  <c r="AN525" i="17"/>
  <c r="X525" i="17"/>
  <c r="W525" i="17"/>
  <c r="T525" i="17"/>
  <c r="S525" i="17"/>
  <c r="N525" i="17"/>
  <c r="K525" i="17"/>
  <c r="I525" i="17"/>
  <c r="H525" i="17"/>
  <c r="G525" i="17"/>
  <c r="F525" i="17"/>
  <c r="E525" i="17"/>
  <c r="D525" i="17"/>
  <c r="C525" i="17"/>
  <c r="B525" i="17"/>
  <c r="A525" i="17"/>
  <c r="AM525" i="17" s="1"/>
  <c r="AF524" i="17"/>
  <c r="W524" i="17"/>
  <c r="I524" i="17"/>
  <c r="H524" i="17"/>
  <c r="G524" i="17"/>
  <c r="F524" i="17"/>
  <c r="E524" i="17"/>
  <c r="D524" i="17"/>
  <c r="C524" i="17"/>
  <c r="B524" i="17"/>
  <c r="A524" i="17"/>
  <c r="AG524" i="17" s="1"/>
  <c r="I523" i="17"/>
  <c r="H523" i="17"/>
  <c r="G523" i="17"/>
  <c r="F523" i="17"/>
  <c r="E523" i="17"/>
  <c r="D523" i="17"/>
  <c r="C523" i="17"/>
  <c r="B523" i="17"/>
  <c r="A523" i="17"/>
  <c r="AP522" i="17"/>
  <c r="AG522" i="17"/>
  <c r="K522" i="17"/>
  <c r="I522" i="17"/>
  <c r="H522" i="17"/>
  <c r="G522" i="17"/>
  <c r="F522" i="17"/>
  <c r="E522" i="17"/>
  <c r="D522" i="17"/>
  <c r="C522" i="17"/>
  <c r="B522" i="17"/>
  <c r="A522" i="17"/>
  <c r="AK521" i="17"/>
  <c r="AJ521" i="17"/>
  <c r="AC521" i="17"/>
  <c r="X521" i="17"/>
  <c r="U521" i="17"/>
  <c r="T521" i="17"/>
  <c r="K521" i="17"/>
  <c r="I521" i="17"/>
  <c r="H521" i="17"/>
  <c r="G521" i="17"/>
  <c r="F521" i="17"/>
  <c r="E521" i="17"/>
  <c r="D521" i="17"/>
  <c r="C521" i="17"/>
  <c r="B521" i="17"/>
  <c r="A521" i="17"/>
  <c r="I520" i="17"/>
  <c r="H520" i="17"/>
  <c r="G520" i="17"/>
  <c r="F520" i="17"/>
  <c r="E520" i="17"/>
  <c r="D520" i="17"/>
  <c r="C520" i="17"/>
  <c r="B520" i="17"/>
  <c r="A520" i="17"/>
  <c r="AN519" i="17"/>
  <c r="AL519" i="17"/>
  <c r="AK519" i="17"/>
  <c r="AA519" i="17"/>
  <c r="X519" i="17"/>
  <c r="S519" i="17"/>
  <c r="I519" i="17"/>
  <c r="H519" i="17"/>
  <c r="G519" i="17"/>
  <c r="F519" i="17"/>
  <c r="E519" i="17"/>
  <c r="D519" i="17"/>
  <c r="C519" i="17"/>
  <c r="B519" i="17"/>
  <c r="A519" i="17"/>
  <c r="AA518" i="17"/>
  <c r="Z518" i="17"/>
  <c r="I518" i="17"/>
  <c r="H518" i="17"/>
  <c r="G518" i="17"/>
  <c r="F518" i="17"/>
  <c r="E518" i="17"/>
  <c r="D518" i="17"/>
  <c r="C518" i="17"/>
  <c r="B518" i="17"/>
  <c r="A518" i="17"/>
  <c r="P518" i="17" s="1"/>
  <c r="AQ517" i="17"/>
  <c r="AL517" i="17"/>
  <c r="I517" i="17"/>
  <c r="H517" i="17"/>
  <c r="G517" i="17"/>
  <c r="F517" i="17"/>
  <c r="E517" i="17"/>
  <c r="D517" i="17"/>
  <c r="C517" i="17"/>
  <c r="B517" i="17"/>
  <c r="A517" i="17"/>
  <c r="I516" i="17"/>
  <c r="H516" i="17"/>
  <c r="G516" i="17"/>
  <c r="F516" i="17"/>
  <c r="E516" i="17"/>
  <c r="D516" i="17"/>
  <c r="C516" i="17"/>
  <c r="B516" i="17"/>
  <c r="A516" i="17"/>
  <c r="AR515" i="17"/>
  <c r="AL515" i="17"/>
  <c r="AK515" i="17"/>
  <c r="AJ515" i="17"/>
  <c r="AE515" i="17"/>
  <c r="AC515" i="17"/>
  <c r="AB515" i="17"/>
  <c r="W515" i="17"/>
  <c r="S515" i="17"/>
  <c r="P515" i="17"/>
  <c r="O515" i="17"/>
  <c r="N515" i="17"/>
  <c r="M515" i="17"/>
  <c r="I515" i="17"/>
  <c r="H515" i="17"/>
  <c r="G515" i="17"/>
  <c r="F515" i="17"/>
  <c r="E515" i="17"/>
  <c r="D515" i="17"/>
  <c r="C515" i="17"/>
  <c r="B515" i="17"/>
  <c r="A515" i="17"/>
  <c r="AP515" i="17" s="1"/>
  <c r="AM514" i="17"/>
  <c r="AH514" i="17"/>
  <c r="AA514" i="17"/>
  <c r="K514" i="17"/>
  <c r="I514" i="17"/>
  <c r="H514" i="17"/>
  <c r="G514" i="17"/>
  <c r="F514" i="17"/>
  <c r="E514" i="17"/>
  <c r="D514" i="17"/>
  <c r="C514" i="17"/>
  <c r="B514" i="17"/>
  <c r="A514" i="17"/>
  <c r="AK513" i="17"/>
  <c r="AF513" i="17"/>
  <c r="AE513" i="17"/>
  <c r="V513" i="17"/>
  <c r="U513" i="17"/>
  <c r="S513" i="17"/>
  <c r="N513" i="17"/>
  <c r="I513" i="17"/>
  <c r="H513" i="17"/>
  <c r="G513" i="17"/>
  <c r="F513" i="17"/>
  <c r="E513" i="17"/>
  <c r="D513" i="17"/>
  <c r="C513" i="17"/>
  <c r="B513" i="17"/>
  <c r="A513" i="17"/>
  <c r="AJ513" i="17" s="1"/>
  <c r="I512" i="17"/>
  <c r="H512" i="17"/>
  <c r="G512" i="17"/>
  <c r="F512" i="17"/>
  <c r="E512" i="17"/>
  <c r="D512" i="17"/>
  <c r="C512" i="17"/>
  <c r="B512" i="17"/>
  <c r="A512" i="17"/>
  <c r="I511" i="17"/>
  <c r="H511" i="17"/>
  <c r="G511" i="17"/>
  <c r="F511" i="17"/>
  <c r="E511" i="17"/>
  <c r="D511" i="17"/>
  <c r="C511" i="17"/>
  <c r="B511" i="17"/>
  <c r="A511" i="17"/>
  <c r="AL511" i="17" s="1"/>
  <c r="I510" i="17"/>
  <c r="H510" i="17"/>
  <c r="G510" i="17"/>
  <c r="F510" i="17"/>
  <c r="E510" i="17"/>
  <c r="D510" i="17"/>
  <c r="C510" i="17"/>
  <c r="B510" i="17"/>
  <c r="A510" i="17"/>
  <c r="AQ510" i="17" s="1"/>
  <c r="I509" i="17"/>
  <c r="H509" i="17"/>
  <c r="G509" i="17"/>
  <c r="F509" i="17"/>
  <c r="E509" i="17"/>
  <c r="D509" i="17"/>
  <c r="C509" i="17"/>
  <c r="B509" i="17"/>
  <c r="A509" i="17"/>
  <c r="I508" i="17"/>
  <c r="H508" i="17"/>
  <c r="G508" i="17"/>
  <c r="F508" i="17"/>
  <c r="E508" i="17"/>
  <c r="D508" i="17"/>
  <c r="C508" i="17"/>
  <c r="B508" i="17"/>
  <c r="A508" i="17"/>
  <c r="L508" i="17" s="1"/>
  <c r="W507" i="17"/>
  <c r="I507" i="17"/>
  <c r="H507" i="17"/>
  <c r="G507" i="17"/>
  <c r="F507" i="17"/>
  <c r="E507" i="17"/>
  <c r="D507" i="17"/>
  <c r="C507" i="17"/>
  <c r="B507" i="17"/>
  <c r="A507" i="17"/>
  <c r="I506" i="17"/>
  <c r="H506" i="17"/>
  <c r="G506" i="17"/>
  <c r="F506" i="17"/>
  <c r="E506" i="17"/>
  <c r="D506" i="17"/>
  <c r="C506" i="17"/>
  <c r="B506" i="17"/>
  <c r="A506" i="17"/>
  <c r="AG506" i="17" s="1"/>
  <c r="AF505" i="17"/>
  <c r="AE505" i="17"/>
  <c r="W505" i="17"/>
  <c r="V505" i="17"/>
  <c r="I505" i="17"/>
  <c r="H505" i="17"/>
  <c r="G505" i="17"/>
  <c r="F505" i="17"/>
  <c r="E505" i="17"/>
  <c r="D505" i="17"/>
  <c r="C505" i="17"/>
  <c r="B505" i="17"/>
  <c r="A505" i="17"/>
  <c r="AR505" i="17" s="1"/>
  <c r="AJ504" i="17"/>
  <c r="AA504" i="17"/>
  <c r="Z504" i="17"/>
  <c r="T504" i="17"/>
  <c r="I504" i="17"/>
  <c r="H504" i="17"/>
  <c r="G504" i="17"/>
  <c r="F504" i="17"/>
  <c r="E504" i="17"/>
  <c r="D504" i="17"/>
  <c r="C504" i="17"/>
  <c r="B504" i="17"/>
  <c r="A504" i="17"/>
  <c r="I503" i="17"/>
  <c r="H503" i="17"/>
  <c r="G503" i="17"/>
  <c r="F503" i="17"/>
  <c r="E503" i="17"/>
  <c r="D503" i="17"/>
  <c r="C503" i="17"/>
  <c r="B503" i="17"/>
  <c r="A503" i="17"/>
  <c r="I502" i="17"/>
  <c r="H502" i="17"/>
  <c r="G502" i="17"/>
  <c r="F502" i="17"/>
  <c r="E502" i="17"/>
  <c r="D502" i="17"/>
  <c r="C502" i="17"/>
  <c r="B502" i="17"/>
  <c r="A502" i="17"/>
  <c r="AI502" i="17" s="1"/>
  <c r="I501" i="17"/>
  <c r="H501" i="17"/>
  <c r="G501" i="17"/>
  <c r="F501" i="17"/>
  <c r="E501" i="17"/>
  <c r="D501" i="17"/>
  <c r="C501" i="17"/>
  <c r="B501" i="17"/>
  <c r="A501" i="17"/>
  <c r="AJ500" i="17"/>
  <c r="AB500" i="17"/>
  <c r="AA500" i="17"/>
  <c r="I500" i="17"/>
  <c r="H500" i="17"/>
  <c r="G500" i="17"/>
  <c r="F500" i="17"/>
  <c r="E500" i="17"/>
  <c r="D500" i="17"/>
  <c r="C500" i="17"/>
  <c r="B500" i="17"/>
  <c r="A500" i="17"/>
  <c r="Y500" i="17" s="1"/>
  <c r="AN499" i="17"/>
  <c r="AD499" i="17"/>
  <c r="W499" i="17"/>
  <c r="T499" i="17"/>
  <c r="O499" i="17"/>
  <c r="N499" i="17"/>
  <c r="I499" i="17"/>
  <c r="H499" i="17"/>
  <c r="G499" i="17"/>
  <c r="F499" i="17"/>
  <c r="E499" i="17"/>
  <c r="D499" i="17"/>
  <c r="C499" i="17"/>
  <c r="B499" i="17"/>
  <c r="A499" i="17"/>
  <c r="AE499" i="17" s="1"/>
  <c r="AI498" i="17"/>
  <c r="AG498" i="17"/>
  <c r="Z498" i="17"/>
  <c r="W498" i="17"/>
  <c r="L498" i="17"/>
  <c r="I498" i="17"/>
  <c r="H498" i="17"/>
  <c r="G498" i="17"/>
  <c r="F498" i="17"/>
  <c r="E498" i="17"/>
  <c r="D498" i="17"/>
  <c r="C498" i="17"/>
  <c r="B498" i="17"/>
  <c r="A498" i="17"/>
  <c r="AJ498" i="17" s="1"/>
  <c r="AN497" i="17"/>
  <c r="V497" i="17"/>
  <c r="U497" i="17"/>
  <c r="I497" i="17"/>
  <c r="H497" i="17"/>
  <c r="G497" i="17"/>
  <c r="F497" i="17"/>
  <c r="E497" i="17"/>
  <c r="D497" i="17"/>
  <c r="C497" i="17"/>
  <c r="B497" i="17"/>
  <c r="A497" i="17"/>
  <c r="AJ496" i="17"/>
  <c r="I496" i="17"/>
  <c r="H496" i="17"/>
  <c r="G496" i="17"/>
  <c r="F496" i="17"/>
  <c r="E496" i="17"/>
  <c r="D496" i="17"/>
  <c r="C496" i="17"/>
  <c r="B496" i="17"/>
  <c r="A496" i="17"/>
  <c r="Z496" i="17" s="1"/>
  <c r="I495" i="17"/>
  <c r="H495" i="17"/>
  <c r="G495" i="17"/>
  <c r="F495" i="17"/>
  <c r="E495" i="17"/>
  <c r="D495" i="17"/>
  <c r="C495" i="17"/>
  <c r="B495" i="17"/>
  <c r="A495" i="17"/>
  <c r="I494" i="17"/>
  <c r="H494" i="17"/>
  <c r="G494" i="17"/>
  <c r="F494" i="17"/>
  <c r="E494" i="17"/>
  <c r="D494" i="17"/>
  <c r="C494" i="17"/>
  <c r="B494" i="17"/>
  <c r="A494" i="17"/>
  <c r="AO494" i="17" s="1"/>
  <c r="I493" i="17"/>
  <c r="H493" i="17"/>
  <c r="G493" i="17"/>
  <c r="F493" i="17"/>
  <c r="E493" i="17"/>
  <c r="D493" i="17"/>
  <c r="C493" i="17"/>
  <c r="B493" i="17"/>
  <c r="A493" i="17"/>
  <c r="AB493" i="17" s="1"/>
  <c r="L492" i="17"/>
  <c r="I492" i="17"/>
  <c r="H492" i="17"/>
  <c r="G492" i="17"/>
  <c r="F492" i="17"/>
  <c r="E492" i="17"/>
  <c r="D492" i="17"/>
  <c r="C492" i="17"/>
  <c r="B492" i="17"/>
  <c r="A492" i="17"/>
  <c r="AK491" i="17"/>
  <c r="AF491" i="17"/>
  <c r="AB491" i="17"/>
  <c r="V491" i="17"/>
  <c r="U491" i="17"/>
  <c r="O491" i="17"/>
  <c r="N491" i="17"/>
  <c r="I491" i="17"/>
  <c r="H491" i="17"/>
  <c r="G491" i="17"/>
  <c r="F491" i="17"/>
  <c r="E491" i="17"/>
  <c r="D491" i="17"/>
  <c r="C491" i="17"/>
  <c r="B491" i="17"/>
  <c r="A491" i="17"/>
  <c r="AM491" i="17" s="1"/>
  <c r="I490" i="17"/>
  <c r="H490" i="17"/>
  <c r="G490" i="17"/>
  <c r="F490" i="17"/>
  <c r="E490" i="17"/>
  <c r="D490" i="17"/>
  <c r="C490" i="17"/>
  <c r="B490" i="17"/>
  <c r="A490" i="17"/>
  <c r="AF490" i="17" s="1"/>
  <c r="I489" i="17"/>
  <c r="H489" i="17"/>
  <c r="G489" i="17"/>
  <c r="F489" i="17"/>
  <c r="E489" i="17"/>
  <c r="D489" i="17"/>
  <c r="C489" i="17"/>
  <c r="B489" i="17"/>
  <c r="A489" i="17"/>
  <c r="AP488" i="17"/>
  <c r="I488" i="17"/>
  <c r="H488" i="17"/>
  <c r="G488" i="17"/>
  <c r="F488" i="17"/>
  <c r="E488" i="17"/>
  <c r="D488" i="17"/>
  <c r="C488" i="17"/>
  <c r="B488" i="17"/>
  <c r="A488" i="17"/>
  <c r="AJ488" i="17" s="1"/>
  <c r="AI487" i="17"/>
  <c r="I487" i="17"/>
  <c r="H487" i="17"/>
  <c r="G487" i="17"/>
  <c r="F487" i="17"/>
  <c r="E487" i="17"/>
  <c r="D487" i="17"/>
  <c r="C487" i="17"/>
  <c r="B487" i="17"/>
  <c r="A487" i="17"/>
  <c r="I486" i="17"/>
  <c r="H486" i="17"/>
  <c r="G486" i="17"/>
  <c r="F486" i="17"/>
  <c r="E486" i="17"/>
  <c r="D486" i="17"/>
  <c r="C486" i="17"/>
  <c r="B486" i="17"/>
  <c r="A486" i="17"/>
  <c r="Q486" i="17" s="1"/>
  <c r="X485" i="17"/>
  <c r="W485" i="17"/>
  <c r="T485" i="17"/>
  <c r="I485" i="17"/>
  <c r="H485" i="17"/>
  <c r="G485" i="17"/>
  <c r="F485" i="17"/>
  <c r="E485" i="17"/>
  <c r="D485" i="17"/>
  <c r="C485" i="17"/>
  <c r="B485" i="17"/>
  <c r="A485" i="17"/>
  <c r="X484" i="17"/>
  <c r="R484" i="17"/>
  <c r="I484" i="17"/>
  <c r="H484" i="17"/>
  <c r="G484" i="17"/>
  <c r="F484" i="17"/>
  <c r="E484" i="17"/>
  <c r="D484" i="17"/>
  <c r="C484" i="17"/>
  <c r="B484" i="17"/>
  <c r="A484" i="17"/>
  <c r="I483" i="17"/>
  <c r="H483" i="17"/>
  <c r="G483" i="17"/>
  <c r="F483" i="17"/>
  <c r="E483" i="17"/>
  <c r="D483" i="17"/>
  <c r="C483" i="17"/>
  <c r="B483" i="17"/>
  <c r="A483" i="17"/>
  <c r="W483" i="17" s="1"/>
  <c r="I482" i="17"/>
  <c r="H482" i="17"/>
  <c r="G482" i="17"/>
  <c r="F482" i="17"/>
  <c r="E482" i="17"/>
  <c r="D482" i="17"/>
  <c r="C482" i="17"/>
  <c r="B482" i="17"/>
  <c r="A482" i="17"/>
  <c r="I481" i="17"/>
  <c r="H481" i="17"/>
  <c r="G481" i="17"/>
  <c r="F481" i="17"/>
  <c r="E481" i="17"/>
  <c r="D481" i="17"/>
  <c r="C481" i="17"/>
  <c r="B481" i="17"/>
  <c r="A481" i="17"/>
  <c r="M481" i="17" s="1"/>
  <c r="I480" i="17"/>
  <c r="H480" i="17"/>
  <c r="G480" i="17"/>
  <c r="F480" i="17"/>
  <c r="E480" i="17"/>
  <c r="D480" i="17"/>
  <c r="C480" i="17"/>
  <c r="B480" i="17"/>
  <c r="A480" i="17"/>
  <c r="Z480" i="17" s="1"/>
  <c r="AN479" i="17"/>
  <c r="AM479" i="17"/>
  <c r="AJ479" i="17"/>
  <c r="AI479" i="17"/>
  <c r="AD479" i="17"/>
  <c r="AA479" i="17"/>
  <c r="T479" i="17"/>
  <c r="S479" i="17"/>
  <c r="P479" i="17"/>
  <c r="O479" i="17"/>
  <c r="N479" i="17"/>
  <c r="M479" i="17"/>
  <c r="I479" i="17"/>
  <c r="H479" i="17"/>
  <c r="G479" i="17"/>
  <c r="F479" i="17"/>
  <c r="E479" i="17"/>
  <c r="D479" i="17"/>
  <c r="C479" i="17"/>
  <c r="B479" i="17"/>
  <c r="A479" i="17"/>
  <c r="AK479" i="17" s="1"/>
  <c r="I478" i="17"/>
  <c r="H478" i="17"/>
  <c r="G478" i="17"/>
  <c r="F478" i="17"/>
  <c r="E478" i="17"/>
  <c r="D478" i="17"/>
  <c r="C478" i="17"/>
  <c r="B478" i="17"/>
  <c r="A478" i="17"/>
  <c r="AN477" i="17"/>
  <c r="AM477" i="17"/>
  <c r="AJ477" i="17"/>
  <c r="AC477" i="17"/>
  <c r="AB477" i="17"/>
  <c r="P477" i="17"/>
  <c r="I477" i="17"/>
  <c r="H477" i="17"/>
  <c r="G477" i="17"/>
  <c r="F477" i="17"/>
  <c r="E477" i="17"/>
  <c r="D477" i="17"/>
  <c r="C477" i="17"/>
  <c r="B477" i="17"/>
  <c r="A477" i="17"/>
  <c r="I476" i="17"/>
  <c r="H476" i="17"/>
  <c r="G476" i="17"/>
  <c r="F476" i="17"/>
  <c r="E476" i="17"/>
  <c r="D476" i="17"/>
  <c r="C476" i="17"/>
  <c r="B476" i="17"/>
  <c r="A476" i="17"/>
  <c r="AH476" i="17" s="1"/>
  <c r="AM475" i="17"/>
  <c r="AC475" i="17"/>
  <c r="AB475" i="17"/>
  <c r="AA475" i="17"/>
  <c r="N475" i="17"/>
  <c r="I475" i="17"/>
  <c r="H475" i="17"/>
  <c r="G475" i="17"/>
  <c r="F475" i="17"/>
  <c r="E475" i="17"/>
  <c r="D475" i="17"/>
  <c r="C475" i="17"/>
  <c r="B475" i="17"/>
  <c r="A475" i="17"/>
  <c r="AQ475" i="17" s="1"/>
  <c r="I474" i="17"/>
  <c r="H474" i="17"/>
  <c r="G474" i="17"/>
  <c r="F474" i="17"/>
  <c r="E474" i="17"/>
  <c r="D474" i="17"/>
  <c r="C474" i="17"/>
  <c r="B474" i="17"/>
  <c r="A474" i="17"/>
  <c r="AP474" i="17" s="1"/>
  <c r="I473" i="17"/>
  <c r="H473" i="17"/>
  <c r="G473" i="17"/>
  <c r="F473" i="17"/>
  <c r="E473" i="17"/>
  <c r="D473" i="17"/>
  <c r="C473" i="17"/>
  <c r="B473" i="17"/>
  <c r="A473" i="17"/>
  <c r="AF473" i="17" s="1"/>
  <c r="I472" i="17"/>
  <c r="H472" i="17"/>
  <c r="G472" i="17"/>
  <c r="F472" i="17"/>
  <c r="E472" i="17"/>
  <c r="D472" i="17"/>
  <c r="C472" i="17"/>
  <c r="B472" i="17"/>
  <c r="A472" i="17"/>
  <c r="AO472" i="17" s="1"/>
  <c r="I471" i="17"/>
  <c r="H471" i="17"/>
  <c r="G471" i="17"/>
  <c r="F471" i="17"/>
  <c r="E471" i="17"/>
  <c r="D471" i="17"/>
  <c r="C471" i="17"/>
  <c r="B471" i="17"/>
  <c r="A471" i="17"/>
  <c r="AD471" i="17" s="1"/>
  <c r="I470" i="17"/>
  <c r="H470" i="17"/>
  <c r="G470" i="17"/>
  <c r="F470" i="17"/>
  <c r="E470" i="17"/>
  <c r="D470" i="17"/>
  <c r="C470" i="17"/>
  <c r="B470" i="17"/>
  <c r="A470" i="17"/>
  <c r="I469" i="17"/>
  <c r="H469" i="17"/>
  <c r="G469" i="17"/>
  <c r="F469" i="17"/>
  <c r="E469" i="17"/>
  <c r="D469" i="17"/>
  <c r="C469" i="17"/>
  <c r="B469" i="17"/>
  <c r="A469" i="17"/>
  <c r="AR468" i="17"/>
  <c r="AN468" i="17"/>
  <c r="R468" i="17"/>
  <c r="I468" i="17"/>
  <c r="H468" i="17"/>
  <c r="G468" i="17"/>
  <c r="F468" i="17"/>
  <c r="E468" i="17"/>
  <c r="D468" i="17"/>
  <c r="C468" i="17"/>
  <c r="B468" i="17"/>
  <c r="A468" i="17"/>
  <c r="I467" i="17"/>
  <c r="H467" i="17"/>
  <c r="G467" i="17"/>
  <c r="F467" i="17"/>
  <c r="E467" i="17"/>
  <c r="D467" i="17"/>
  <c r="C467" i="17"/>
  <c r="B467" i="17"/>
  <c r="A467" i="17"/>
  <c r="K467" i="17" s="1"/>
  <c r="Z466" i="17"/>
  <c r="I466" i="17"/>
  <c r="H466" i="17"/>
  <c r="G466" i="17"/>
  <c r="F466" i="17"/>
  <c r="E466" i="17"/>
  <c r="D466" i="17"/>
  <c r="C466" i="17"/>
  <c r="B466" i="17"/>
  <c r="A466" i="17"/>
  <c r="W465" i="17"/>
  <c r="V465" i="17"/>
  <c r="U465" i="17"/>
  <c r="T465" i="17"/>
  <c r="I465" i="17"/>
  <c r="H465" i="17"/>
  <c r="G465" i="17"/>
  <c r="F465" i="17"/>
  <c r="E465" i="17"/>
  <c r="D465" i="17"/>
  <c r="C465" i="17"/>
  <c r="B465" i="17"/>
  <c r="A465" i="17"/>
  <c r="AJ464" i="17"/>
  <c r="AH464" i="17"/>
  <c r="L464" i="17"/>
  <c r="I464" i="17"/>
  <c r="H464" i="17"/>
  <c r="G464" i="17"/>
  <c r="F464" i="17"/>
  <c r="E464" i="17"/>
  <c r="D464" i="17"/>
  <c r="C464" i="17"/>
  <c r="B464" i="17"/>
  <c r="A464" i="17"/>
  <c r="I463" i="17"/>
  <c r="H463" i="17"/>
  <c r="G463" i="17"/>
  <c r="F463" i="17"/>
  <c r="E463" i="17"/>
  <c r="D463" i="17"/>
  <c r="C463" i="17"/>
  <c r="B463" i="17"/>
  <c r="A463" i="17"/>
  <c r="AB463" i="17" s="1"/>
  <c r="I462" i="17"/>
  <c r="H462" i="17"/>
  <c r="G462" i="17"/>
  <c r="F462" i="17"/>
  <c r="E462" i="17"/>
  <c r="D462" i="17"/>
  <c r="C462" i="17"/>
  <c r="B462" i="17"/>
  <c r="A462" i="17"/>
  <c r="AF461" i="17"/>
  <c r="I461" i="17"/>
  <c r="H461" i="17"/>
  <c r="G461" i="17"/>
  <c r="F461" i="17"/>
  <c r="E461" i="17"/>
  <c r="D461" i="17"/>
  <c r="C461" i="17"/>
  <c r="B461" i="17"/>
  <c r="A461" i="17"/>
  <c r="I460" i="17"/>
  <c r="H460" i="17"/>
  <c r="G460" i="17"/>
  <c r="F460" i="17"/>
  <c r="E460" i="17"/>
  <c r="D460" i="17"/>
  <c r="C460" i="17"/>
  <c r="B460" i="17"/>
  <c r="A460" i="17"/>
  <c r="AF460" i="17" s="1"/>
  <c r="I459" i="17"/>
  <c r="H459" i="17"/>
  <c r="G459" i="17"/>
  <c r="F459" i="17"/>
  <c r="E459" i="17"/>
  <c r="D459" i="17"/>
  <c r="C459" i="17"/>
  <c r="B459" i="17"/>
  <c r="A459" i="17"/>
  <c r="R458" i="17"/>
  <c r="I458" i="17"/>
  <c r="H458" i="17"/>
  <c r="G458" i="17"/>
  <c r="F458" i="17"/>
  <c r="E458" i="17"/>
  <c r="D458" i="17"/>
  <c r="C458" i="17"/>
  <c r="B458" i="17"/>
  <c r="A458" i="17"/>
  <c r="AA458" i="17" s="1"/>
  <c r="AC457" i="17"/>
  <c r="AA457" i="17"/>
  <c r="I457" i="17"/>
  <c r="H457" i="17"/>
  <c r="G457" i="17"/>
  <c r="F457" i="17"/>
  <c r="E457" i="17"/>
  <c r="D457" i="17"/>
  <c r="C457" i="17"/>
  <c r="B457" i="17"/>
  <c r="A457" i="17"/>
  <c r="I456" i="17"/>
  <c r="H456" i="17"/>
  <c r="G456" i="17"/>
  <c r="F456" i="17"/>
  <c r="E456" i="17"/>
  <c r="D456" i="17"/>
  <c r="C456" i="17"/>
  <c r="B456" i="17"/>
  <c r="A456" i="17"/>
  <c r="AQ455" i="17"/>
  <c r="AN455" i="17"/>
  <c r="AM455" i="17"/>
  <c r="AF455" i="17"/>
  <c r="AD455" i="17"/>
  <c r="W455" i="17"/>
  <c r="T455" i="17"/>
  <c r="S455" i="17"/>
  <c r="P455" i="17"/>
  <c r="M455" i="17"/>
  <c r="L455" i="17"/>
  <c r="I455" i="17"/>
  <c r="H455" i="17"/>
  <c r="G455" i="17"/>
  <c r="F455" i="17"/>
  <c r="E455" i="17"/>
  <c r="D455" i="17"/>
  <c r="C455" i="17"/>
  <c r="B455" i="17"/>
  <c r="A455" i="17"/>
  <c r="AI455" i="17" s="1"/>
  <c r="I454" i="17"/>
  <c r="H454" i="17"/>
  <c r="G454" i="17"/>
  <c r="F454" i="17"/>
  <c r="E454" i="17"/>
  <c r="D454" i="17"/>
  <c r="C454" i="17"/>
  <c r="B454" i="17"/>
  <c r="A454" i="17"/>
  <c r="I453" i="17"/>
  <c r="H453" i="17"/>
  <c r="G453" i="17"/>
  <c r="F453" i="17"/>
  <c r="E453" i="17"/>
  <c r="D453" i="17"/>
  <c r="C453" i="17"/>
  <c r="B453" i="17"/>
  <c r="A453" i="17"/>
  <c r="I452" i="17"/>
  <c r="H452" i="17"/>
  <c r="G452" i="17"/>
  <c r="F452" i="17"/>
  <c r="E452" i="17"/>
  <c r="D452" i="17"/>
  <c r="C452" i="17"/>
  <c r="B452" i="17"/>
  <c r="A452" i="17"/>
  <c r="I451" i="17"/>
  <c r="H451" i="17"/>
  <c r="G451" i="17"/>
  <c r="F451" i="17"/>
  <c r="E451" i="17"/>
  <c r="D451" i="17"/>
  <c r="C451" i="17"/>
  <c r="B451" i="17"/>
  <c r="A451" i="17"/>
  <c r="AC451" i="17" s="1"/>
  <c r="I450" i="17"/>
  <c r="H450" i="17"/>
  <c r="G450" i="17"/>
  <c r="F450" i="17"/>
  <c r="E450" i="17"/>
  <c r="D450" i="17"/>
  <c r="C450" i="17"/>
  <c r="B450" i="17"/>
  <c r="A450" i="17"/>
  <c r="R450" i="17" s="1"/>
  <c r="I449" i="17"/>
  <c r="H449" i="17"/>
  <c r="G449" i="17"/>
  <c r="F449" i="17"/>
  <c r="E449" i="17"/>
  <c r="D449" i="17"/>
  <c r="C449" i="17"/>
  <c r="B449" i="17"/>
  <c r="A449" i="17"/>
  <c r="AL449" i="17" s="1"/>
  <c r="AR448" i="17"/>
  <c r="AQ448" i="17"/>
  <c r="AM448" i="17"/>
  <c r="AF448" i="17"/>
  <c r="X448" i="17"/>
  <c r="W448" i="17"/>
  <c r="O448" i="17"/>
  <c r="L448" i="17"/>
  <c r="K448" i="17"/>
  <c r="J448" i="17"/>
  <c r="I448" i="17"/>
  <c r="H448" i="17"/>
  <c r="G448" i="17"/>
  <c r="F448" i="17"/>
  <c r="E448" i="17"/>
  <c r="D448" i="17"/>
  <c r="C448" i="17"/>
  <c r="B448" i="17"/>
  <c r="A448" i="17"/>
  <c r="Y448" i="17" s="1"/>
  <c r="AK447" i="17"/>
  <c r="W447" i="17"/>
  <c r="P447" i="17"/>
  <c r="M447" i="17"/>
  <c r="L447" i="17"/>
  <c r="I447" i="17"/>
  <c r="H447" i="17"/>
  <c r="G447" i="17"/>
  <c r="F447" i="17"/>
  <c r="E447" i="17"/>
  <c r="D447" i="17"/>
  <c r="C447" i="17"/>
  <c r="B447" i="17"/>
  <c r="A447" i="17"/>
  <c r="AL447" i="17" s="1"/>
  <c r="I446" i="17"/>
  <c r="H446" i="17"/>
  <c r="G446" i="17"/>
  <c r="F446" i="17"/>
  <c r="E446" i="17"/>
  <c r="D446" i="17"/>
  <c r="C446" i="17"/>
  <c r="B446" i="17"/>
  <c r="A446" i="17"/>
  <c r="I445" i="17"/>
  <c r="H445" i="17"/>
  <c r="G445" i="17"/>
  <c r="F445" i="17"/>
  <c r="E445" i="17"/>
  <c r="D445" i="17"/>
  <c r="C445" i="17"/>
  <c r="B445" i="17"/>
  <c r="A445" i="17"/>
  <c r="AO444" i="17"/>
  <c r="R444" i="17"/>
  <c r="L444" i="17"/>
  <c r="I444" i="17"/>
  <c r="H444" i="17"/>
  <c r="G444" i="17"/>
  <c r="F444" i="17"/>
  <c r="E444" i="17"/>
  <c r="D444" i="17"/>
  <c r="C444" i="17"/>
  <c r="B444" i="17"/>
  <c r="A444" i="17"/>
  <c r="AD443" i="17"/>
  <c r="AC443" i="17"/>
  <c r="X443" i="17"/>
  <c r="O443" i="17"/>
  <c r="N443" i="17"/>
  <c r="K443" i="17"/>
  <c r="I443" i="17"/>
  <c r="H443" i="17"/>
  <c r="G443" i="17"/>
  <c r="F443" i="17"/>
  <c r="E443" i="17"/>
  <c r="D443" i="17"/>
  <c r="C443" i="17"/>
  <c r="B443" i="17"/>
  <c r="A443" i="17"/>
  <c r="AM443" i="17" s="1"/>
  <c r="I442" i="17"/>
  <c r="H442" i="17"/>
  <c r="G442" i="17"/>
  <c r="F442" i="17"/>
  <c r="E442" i="17"/>
  <c r="D442" i="17"/>
  <c r="C442" i="17"/>
  <c r="B442" i="17"/>
  <c r="A442" i="17"/>
  <c r="K442" i="17" s="1"/>
  <c r="AK441" i="17"/>
  <c r="W441" i="17"/>
  <c r="P441" i="17"/>
  <c r="O441" i="17"/>
  <c r="N441" i="17"/>
  <c r="I441" i="17"/>
  <c r="H441" i="17"/>
  <c r="G441" i="17"/>
  <c r="F441" i="17"/>
  <c r="E441" i="17"/>
  <c r="D441" i="17"/>
  <c r="C441" i="17"/>
  <c r="B441" i="17"/>
  <c r="A441" i="17"/>
  <c r="AR441" i="17" s="1"/>
  <c r="I440" i="17"/>
  <c r="H440" i="17"/>
  <c r="G440" i="17"/>
  <c r="F440" i="17"/>
  <c r="E440" i="17"/>
  <c r="D440" i="17"/>
  <c r="C440" i="17"/>
  <c r="B440" i="17"/>
  <c r="A440" i="17"/>
  <c r="AE439" i="17"/>
  <c r="AD439" i="17"/>
  <c r="W439" i="17"/>
  <c r="U439" i="17"/>
  <c r="P439" i="17"/>
  <c r="I439" i="17"/>
  <c r="H439" i="17"/>
  <c r="G439" i="17"/>
  <c r="F439" i="17"/>
  <c r="E439" i="17"/>
  <c r="D439" i="17"/>
  <c r="C439" i="17"/>
  <c r="B439" i="17"/>
  <c r="A439" i="17"/>
  <c r="AM439" i="17" s="1"/>
  <c r="I438" i="17"/>
  <c r="H438" i="17"/>
  <c r="G438" i="17"/>
  <c r="F438" i="17"/>
  <c r="E438" i="17"/>
  <c r="D438" i="17"/>
  <c r="C438" i="17"/>
  <c r="B438" i="17"/>
  <c r="A438" i="17"/>
  <c r="AB438" i="17" s="1"/>
  <c r="AC437" i="17"/>
  <c r="I437" i="17"/>
  <c r="H437" i="17"/>
  <c r="G437" i="17"/>
  <c r="F437" i="17"/>
  <c r="E437" i="17"/>
  <c r="D437" i="17"/>
  <c r="C437" i="17"/>
  <c r="B437" i="17"/>
  <c r="A437" i="17"/>
  <c r="AJ436" i="17"/>
  <c r="I436" i="17"/>
  <c r="H436" i="17"/>
  <c r="G436" i="17"/>
  <c r="F436" i="17"/>
  <c r="E436" i="17"/>
  <c r="D436" i="17"/>
  <c r="C436" i="17"/>
  <c r="B436" i="17"/>
  <c r="A436" i="17"/>
  <c r="AI436" i="17" s="1"/>
  <c r="AM435" i="17"/>
  <c r="I435" i="17"/>
  <c r="H435" i="17"/>
  <c r="G435" i="17"/>
  <c r="F435" i="17"/>
  <c r="E435" i="17"/>
  <c r="D435" i="17"/>
  <c r="C435" i="17"/>
  <c r="B435" i="17"/>
  <c r="A435" i="17"/>
  <c r="I434" i="17"/>
  <c r="H434" i="17"/>
  <c r="G434" i="17"/>
  <c r="F434" i="17"/>
  <c r="E434" i="17"/>
  <c r="D434" i="17"/>
  <c r="C434" i="17"/>
  <c r="B434" i="17"/>
  <c r="A434" i="17"/>
  <c r="K434" i="17" s="1"/>
  <c r="I433" i="17"/>
  <c r="H433" i="17"/>
  <c r="G433" i="17"/>
  <c r="F433" i="17"/>
  <c r="E433" i="17"/>
  <c r="D433" i="17"/>
  <c r="C433" i="17"/>
  <c r="B433" i="17"/>
  <c r="A433" i="17"/>
  <c r="I432" i="17"/>
  <c r="H432" i="17"/>
  <c r="G432" i="17"/>
  <c r="F432" i="17"/>
  <c r="E432" i="17"/>
  <c r="D432" i="17"/>
  <c r="C432" i="17"/>
  <c r="B432" i="17"/>
  <c r="A432" i="17"/>
  <c r="AK431" i="17"/>
  <c r="X431" i="17"/>
  <c r="I431" i="17"/>
  <c r="H431" i="17"/>
  <c r="G431" i="17"/>
  <c r="F431" i="17"/>
  <c r="E431" i="17"/>
  <c r="D431" i="17"/>
  <c r="C431" i="17"/>
  <c r="B431" i="17"/>
  <c r="A431" i="17"/>
  <c r="AL431" i="17" s="1"/>
  <c r="I430" i="17"/>
  <c r="H430" i="17"/>
  <c r="G430" i="17"/>
  <c r="F430" i="17"/>
  <c r="E430" i="17"/>
  <c r="D430" i="17"/>
  <c r="C430" i="17"/>
  <c r="B430" i="17"/>
  <c r="A430" i="17"/>
  <c r="I429" i="17"/>
  <c r="H429" i="17"/>
  <c r="G429" i="17"/>
  <c r="F429" i="17"/>
  <c r="E429" i="17"/>
  <c r="D429" i="17"/>
  <c r="C429" i="17"/>
  <c r="B429" i="17"/>
  <c r="A429" i="17"/>
  <c r="I428" i="17"/>
  <c r="H428" i="17"/>
  <c r="G428" i="17"/>
  <c r="F428" i="17"/>
  <c r="E428" i="17"/>
  <c r="D428" i="17"/>
  <c r="C428" i="17"/>
  <c r="B428" i="17"/>
  <c r="A428" i="17"/>
  <c r="AB427" i="17"/>
  <c r="AA427" i="17"/>
  <c r="W427" i="17"/>
  <c r="T427" i="17"/>
  <c r="M427" i="17"/>
  <c r="I427" i="17"/>
  <c r="H427" i="17"/>
  <c r="G427" i="17"/>
  <c r="F427" i="17"/>
  <c r="E427" i="17"/>
  <c r="D427" i="17"/>
  <c r="C427" i="17"/>
  <c r="B427" i="17"/>
  <c r="A427" i="17"/>
  <c r="AK427" i="17" s="1"/>
  <c r="I426" i="17"/>
  <c r="H426" i="17"/>
  <c r="G426" i="17"/>
  <c r="F426" i="17"/>
  <c r="E426" i="17"/>
  <c r="D426" i="17"/>
  <c r="C426" i="17"/>
  <c r="B426" i="17"/>
  <c r="A426" i="17"/>
  <c r="AG426" i="17" s="1"/>
  <c r="I425" i="17"/>
  <c r="H425" i="17"/>
  <c r="G425" i="17"/>
  <c r="F425" i="17"/>
  <c r="E425" i="17"/>
  <c r="D425" i="17"/>
  <c r="C425" i="17"/>
  <c r="B425" i="17"/>
  <c r="A425" i="17"/>
  <c r="I424" i="17"/>
  <c r="H424" i="17"/>
  <c r="G424" i="17"/>
  <c r="F424" i="17"/>
  <c r="E424" i="17"/>
  <c r="D424" i="17"/>
  <c r="C424" i="17"/>
  <c r="B424" i="17"/>
  <c r="A424" i="17"/>
  <c r="AP424" i="17" s="1"/>
  <c r="I423" i="17"/>
  <c r="H423" i="17"/>
  <c r="G423" i="17"/>
  <c r="F423" i="17"/>
  <c r="E423" i="17"/>
  <c r="D423" i="17"/>
  <c r="C423" i="17"/>
  <c r="B423" i="17"/>
  <c r="A423" i="17"/>
  <c r="AO422" i="17"/>
  <c r="I422" i="17"/>
  <c r="H422" i="17"/>
  <c r="G422" i="17"/>
  <c r="F422" i="17"/>
  <c r="E422" i="17"/>
  <c r="D422" i="17"/>
  <c r="C422" i="17"/>
  <c r="B422" i="17"/>
  <c r="A422" i="17"/>
  <c r="AN421" i="17"/>
  <c r="AK421" i="17"/>
  <c r="U421" i="17"/>
  <c r="T421" i="17"/>
  <c r="S421" i="17"/>
  <c r="N421" i="17"/>
  <c r="K421" i="17"/>
  <c r="I421" i="17"/>
  <c r="H421" i="17"/>
  <c r="G421" i="17"/>
  <c r="F421" i="17"/>
  <c r="E421" i="17"/>
  <c r="D421" i="17"/>
  <c r="C421" i="17"/>
  <c r="B421" i="17"/>
  <c r="A421" i="17"/>
  <c r="I420" i="17"/>
  <c r="H420" i="17"/>
  <c r="G420" i="17"/>
  <c r="F420" i="17"/>
  <c r="E420" i="17"/>
  <c r="D420" i="17"/>
  <c r="C420" i="17"/>
  <c r="B420" i="17"/>
  <c r="A420" i="17"/>
  <c r="AJ419" i="17"/>
  <c r="AE419" i="17"/>
  <c r="I419" i="17"/>
  <c r="H419" i="17"/>
  <c r="G419" i="17"/>
  <c r="F419" i="17"/>
  <c r="E419" i="17"/>
  <c r="D419" i="17"/>
  <c r="C419" i="17"/>
  <c r="B419" i="17"/>
  <c r="A419" i="17"/>
  <c r="I418" i="17"/>
  <c r="H418" i="17"/>
  <c r="G418" i="17"/>
  <c r="F418" i="17"/>
  <c r="E418" i="17"/>
  <c r="D418" i="17"/>
  <c r="C418" i="17"/>
  <c r="B418" i="17"/>
  <c r="A418" i="17"/>
  <c r="X418" i="17" s="1"/>
  <c r="AQ417" i="17"/>
  <c r="I417" i="17"/>
  <c r="H417" i="17"/>
  <c r="G417" i="17"/>
  <c r="F417" i="17"/>
  <c r="E417" i="17"/>
  <c r="D417" i="17"/>
  <c r="C417" i="17"/>
  <c r="B417" i="17"/>
  <c r="A417" i="17"/>
  <c r="O417" i="17" s="1"/>
  <c r="AQ416" i="17"/>
  <c r="AH416" i="17"/>
  <c r="X416" i="17"/>
  <c r="Q416" i="17"/>
  <c r="P416" i="17"/>
  <c r="I416" i="17"/>
  <c r="H416" i="17"/>
  <c r="G416" i="17"/>
  <c r="F416" i="17"/>
  <c r="E416" i="17"/>
  <c r="D416" i="17"/>
  <c r="C416" i="17"/>
  <c r="B416" i="17"/>
  <c r="A416" i="17"/>
  <c r="AQ415" i="17"/>
  <c r="AN415" i="17"/>
  <c r="AK415" i="17"/>
  <c r="I415" i="17"/>
  <c r="H415" i="17"/>
  <c r="G415" i="17"/>
  <c r="F415" i="17"/>
  <c r="E415" i="17"/>
  <c r="D415" i="17"/>
  <c r="C415" i="17"/>
  <c r="B415" i="17"/>
  <c r="A415" i="17"/>
  <c r="S415" i="17" s="1"/>
  <c r="I414" i="17"/>
  <c r="H414" i="17"/>
  <c r="G414" i="17"/>
  <c r="F414" i="17"/>
  <c r="E414" i="17"/>
  <c r="D414" i="17"/>
  <c r="C414" i="17"/>
  <c r="B414" i="17"/>
  <c r="A414" i="17"/>
  <c r="AE413" i="17"/>
  <c r="X413" i="17"/>
  <c r="W413" i="17"/>
  <c r="I413" i="17"/>
  <c r="H413" i="17"/>
  <c r="G413" i="17"/>
  <c r="F413" i="17"/>
  <c r="E413" i="17"/>
  <c r="D413" i="17"/>
  <c r="C413" i="17"/>
  <c r="B413" i="17"/>
  <c r="A413" i="17"/>
  <c r="K413" i="17" s="1"/>
  <c r="I412" i="17"/>
  <c r="H412" i="17"/>
  <c r="G412" i="17"/>
  <c r="F412" i="17"/>
  <c r="E412" i="17"/>
  <c r="D412" i="17"/>
  <c r="C412" i="17"/>
  <c r="B412" i="17"/>
  <c r="A412" i="17"/>
  <c r="AE411" i="17"/>
  <c r="AD411" i="17"/>
  <c r="AB411" i="17"/>
  <c r="S411" i="17"/>
  <c r="P411" i="17"/>
  <c r="I411" i="17"/>
  <c r="H411" i="17"/>
  <c r="G411" i="17"/>
  <c r="F411" i="17"/>
  <c r="E411" i="17"/>
  <c r="D411" i="17"/>
  <c r="C411" i="17"/>
  <c r="B411" i="17"/>
  <c r="A411" i="17"/>
  <c r="I410" i="17"/>
  <c r="H410" i="17"/>
  <c r="G410" i="17"/>
  <c r="F410" i="17"/>
  <c r="E410" i="17"/>
  <c r="D410" i="17"/>
  <c r="C410" i="17"/>
  <c r="B410" i="17"/>
  <c r="A410" i="17"/>
  <c r="AQ410" i="17" s="1"/>
  <c r="AA409" i="17"/>
  <c r="X409" i="17"/>
  <c r="I409" i="17"/>
  <c r="H409" i="17"/>
  <c r="G409" i="17"/>
  <c r="F409" i="17"/>
  <c r="E409" i="17"/>
  <c r="D409" i="17"/>
  <c r="C409" i="17"/>
  <c r="B409" i="17"/>
  <c r="A409" i="17"/>
  <c r="I408" i="17"/>
  <c r="H408" i="17"/>
  <c r="G408" i="17"/>
  <c r="F408" i="17"/>
  <c r="E408" i="17"/>
  <c r="D408" i="17"/>
  <c r="C408" i="17"/>
  <c r="B408" i="17"/>
  <c r="A408" i="17"/>
  <c r="I407" i="17"/>
  <c r="H407" i="17"/>
  <c r="G407" i="17"/>
  <c r="F407" i="17"/>
  <c r="E407" i="17"/>
  <c r="D407" i="17"/>
  <c r="C407" i="17"/>
  <c r="B407" i="17"/>
  <c r="A407" i="17"/>
  <c r="AB407" i="17" s="1"/>
  <c r="I406" i="17"/>
  <c r="H406" i="17"/>
  <c r="G406" i="17"/>
  <c r="F406" i="17"/>
  <c r="E406" i="17"/>
  <c r="D406" i="17"/>
  <c r="C406" i="17"/>
  <c r="B406" i="17"/>
  <c r="A406" i="17"/>
  <c r="AB406" i="17" s="1"/>
  <c r="AM405" i="17"/>
  <c r="AJ405" i="17"/>
  <c r="AD405" i="17"/>
  <c r="W405" i="17"/>
  <c r="V405" i="17"/>
  <c r="U405" i="17"/>
  <c r="I405" i="17"/>
  <c r="H405" i="17"/>
  <c r="G405" i="17"/>
  <c r="F405" i="17"/>
  <c r="E405" i="17"/>
  <c r="D405" i="17"/>
  <c r="C405" i="17"/>
  <c r="B405" i="17"/>
  <c r="A405" i="17"/>
  <c r="AB404" i="17"/>
  <c r="AA404" i="17"/>
  <c r="Z404" i="17"/>
  <c r="R404" i="17"/>
  <c r="I404" i="17"/>
  <c r="H404" i="17"/>
  <c r="G404" i="17"/>
  <c r="F404" i="17"/>
  <c r="E404" i="17"/>
  <c r="D404" i="17"/>
  <c r="C404" i="17"/>
  <c r="B404" i="17"/>
  <c r="A404" i="17"/>
  <c r="AH404" i="17" s="1"/>
  <c r="AD403" i="17"/>
  <c r="P403" i="17"/>
  <c r="I403" i="17"/>
  <c r="H403" i="17"/>
  <c r="G403" i="17"/>
  <c r="F403" i="17"/>
  <c r="E403" i="17"/>
  <c r="D403" i="17"/>
  <c r="C403" i="17"/>
  <c r="B403" i="17"/>
  <c r="A403" i="17"/>
  <c r="I402" i="17"/>
  <c r="H402" i="17"/>
  <c r="G402" i="17"/>
  <c r="F402" i="17"/>
  <c r="E402" i="17"/>
  <c r="D402" i="17"/>
  <c r="C402" i="17"/>
  <c r="B402" i="17"/>
  <c r="A402" i="17"/>
  <c r="AC401" i="17"/>
  <c r="X401" i="17"/>
  <c r="I401" i="17"/>
  <c r="H401" i="17"/>
  <c r="G401" i="17"/>
  <c r="F401" i="17"/>
  <c r="E401" i="17"/>
  <c r="D401" i="17"/>
  <c r="C401" i="17"/>
  <c r="B401" i="17"/>
  <c r="A401" i="17"/>
  <c r="AR400" i="17"/>
  <c r="AA400" i="17"/>
  <c r="I400" i="17"/>
  <c r="H400" i="17"/>
  <c r="G400" i="17"/>
  <c r="F400" i="17"/>
  <c r="E400" i="17"/>
  <c r="D400" i="17"/>
  <c r="C400" i="17"/>
  <c r="B400" i="17"/>
  <c r="A400" i="17"/>
  <c r="AI399" i="17"/>
  <c r="V399" i="17"/>
  <c r="U399" i="17"/>
  <c r="T399" i="17"/>
  <c r="S399" i="17"/>
  <c r="N399" i="17"/>
  <c r="I399" i="17"/>
  <c r="H399" i="17"/>
  <c r="G399" i="17"/>
  <c r="F399" i="17"/>
  <c r="E399" i="17"/>
  <c r="D399" i="17"/>
  <c r="C399" i="17"/>
  <c r="B399" i="17"/>
  <c r="A399" i="17"/>
  <c r="AJ399" i="17" s="1"/>
  <c r="I398" i="17"/>
  <c r="H398" i="17"/>
  <c r="G398" i="17"/>
  <c r="F398" i="17"/>
  <c r="E398" i="17"/>
  <c r="D398" i="17"/>
  <c r="C398" i="17"/>
  <c r="B398" i="17"/>
  <c r="A398" i="17"/>
  <c r="S398" i="17" s="1"/>
  <c r="I397" i="17"/>
  <c r="H397" i="17"/>
  <c r="G397" i="17"/>
  <c r="F397" i="17"/>
  <c r="E397" i="17"/>
  <c r="D397" i="17"/>
  <c r="C397" i="17"/>
  <c r="B397" i="17"/>
  <c r="A397" i="17"/>
  <c r="M397" i="17" s="1"/>
  <c r="I396" i="17"/>
  <c r="H396" i="17"/>
  <c r="G396" i="17"/>
  <c r="F396" i="17"/>
  <c r="E396" i="17"/>
  <c r="D396" i="17"/>
  <c r="C396" i="17"/>
  <c r="B396" i="17"/>
  <c r="A396" i="17"/>
  <c r="AO396" i="17" s="1"/>
  <c r="I395" i="17"/>
  <c r="H395" i="17"/>
  <c r="G395" i="17"/>
  <c r="F395" i="17"/>
  <c r="E395" i="17"/>
  <c r="D395" i="17"/>
  <c r="C395" i="17"/>
  <c r="B395" i="17"/>
  <c r="A395" i="17"/>
  <c r="I394" i="17"/>
  <c r="H394" i="17"/>
  <c r="G394" i="17"/>
  <c r="F394" i="17"/>
  <c r="E394" i="17"/>
  <c r="D394" i="17"/>
  <c r="C394" i="17"/>
  <c r="B394" i="17"/>
  <c r="A394" i="17"/>
  <c r="I393" i="17"/>
  <c r="H393" i="17"/>
  <c r="G393" i="17"/>
  <c r="F393" i="17"/>
  <c r="E393" i="17"/>
  <c r="D393" i="17"/>
  <c r="C393" i="17"/>
  <c r="B393" i="17"/>
  <c r="A393" i="17"/>
  <c r="I392" i="17"/>
  <c r="H392" i="17"/>
  <c r="G392" i="17"/>
  <c r="F392" i="17"/>
  <c r="E392" i="17"/>
  <c r="D392" i="17"/>
  <c r="C392" i="17"/>
  <c r="B392" i="17"/>
  <c r="A392" i="17"/>
  <c r="AF391" i="17"/>
  <c r="I391" i="17"/>
  <c r="H391" i="17"/>
  <c r="G391" i="17"/>
  <c r="F391" i="17"/>
  <c r="E391" i="17"/>
  <c r="D391" i="17"/>
  <c r="C391" i="17"/>
  <c r="B391" i="17"/>
  <c r="A391" i="17"/>
  <c r="AI391" i="17" s="1"/>
  <c r="AP390" i="17"/>
  <c r="T390" i="17"/>
  <c r="I390" i="17"/>
  <c r="H390" i="17"/>
  <c r="G390" i="17"/>
  <c r="F390" i="17"/>
  <c r="E390" i="17"/>
  <c r="D390" i="17"/>
  <c r="C390" i="17"/>
  <c r="B390" i="17"/>
  <c r="A390" i="17"/>
  <c r="AQ390" i="17" s="1"/>
  <c r="I389" i="17"/>
  <c r="H389" i="17"/>
  <c r="G389" i="17"/>
  <c r="F389" i="17"/>
  <c r="E389" i="17"/>
  <c r="D389" i="17"/>
  <c r="C389" i="17"/>
  <c r="B389" i="17"/>
  <c r="A389" i="17"/>
  <c r="U389" i="17" s="1"/>
  <c r="I388" i="17"/>
  <c r="H388" i="17"/>
  <c r="G388" i="17"/>
  <c r="F388" i="17"/>
  <c r="E388" i="17"/>
  <c r="D388" i="17"/>
  <c r="C388" i="17"/>
  <c r="B388" i="17"/>
  <c r="A388" i="17"/>
  <c r="P388" i="17" s="1"/>
  <c r="AE387" i="17"/>
  <c r="AD387" i="17"/>
  <c r="AC387" i="17"/>
  <c r="U387" i="17"/>
  <c r="I387" i="17"/>
  <c r="H387" i="17"/>
  <c r="G387" i="17"/>
  <c r="F387" i="17"/>
  <c r="E387" i="17"/>
  <c r="D387" i="17"/>
  <c r="C387" i="17"/>
  <c r="B387" i="17"/>
  <c r="A387" i="17"/>
  <c r="R387" i="17" s="1"/>
  <c r="I386" i="17"/>
  <c r="H386" i="17"/>
  <c r="G386" i="17"/>
  <c r="F386" i="17"/>
  <c r="E386" i="17"/>
  <c r="D386" i="17"/>
  <c r="C386" i="17"/>
  <c r="B386" i="17"/>
  <c r="A386" i="17"/>
  <c r="I385" i="17"/>
  <c r="H385" i="17"/>
  <c r="G385" i="17"/>
  <c r="F385" i="17"/>
  <c r="E385" i="17"/>
  <c r="D385" i="17"/>
  <c r="C385" i="17"/>
  <c r="B385" i="17"/>
  <c r="A385" i="17"/>
  <c r="I384" i="17"/>
  <c r="H384" i="17"/>
  <c r="G384" i="17"/>
  <c r="F384" i="17"/>
  <c r="E384" i="17"/>
  <c r="D384" i="17"/>
  <c r="C384" i="17"/>
  <c r="B384" i="17"/>
  <c r="A384" i="17"/>
  <c r="AI384" i="17" s="1"/>
  <c r="AR383" i="17"/>
  <c r="Z383" i="17"/>
  <c r="I383" i="17"/>
  <c r="H383" i="17"/>
  <c r="G383" i="17"/>
  <c r="F383" i="17"/>
  <c r="E383" i="17"/>
  <c r="D383" i="17"/>
  <c r="C383" i="17"/>
  <c r="B383" i="17"/>
  <c r="A383" i="17"/>
  <c r="I382" i="17"/>
  <c r="H382" i="17"/>
  <c r="G382" i="17"/>
  <c r="F382" i="17"/>
  <c r="E382" i="17"/>
  <c r="D382" i="17"/>
  <c r="C382" i="17"/>
  <c r="B382" i="17"/>
  <c r="A382" i="17"/>
  <c r="I381" i="17"/>
  <c r="H381" i="17"/>
  <c r="G381" i="17"/>
  <c r="F381" i="17"/>
  <c r="E381" i="17"/>
  <c r="D381" i="17"/>
  <c r="C381" i="17"/>
  <c r="B381" i="17"/>
  <c r="A381" i="17"/>
  <c r="I380" i="17"/>
  <c r="H380" i="17"/>
  <c r="G380" i="17"/>
  <c r="F380" i="17"/>
  <c r="E380" i="17"/>
  <c r="D380" i="17"/>
  <c r="C380" i="17"/>
  <c r="B380" i="17"/>
  <c r="A380" i="17"/>
  <c r="AR379" i="17"/>
  <c r="AF379" i="17"/>
  <c r="M379" i="17"/>
  <c r="I379" i="17"/>
  <c r="H379" i="17"/>
  <c r="G379" i="17"/>
  <c r="F379" i="17"/>
  <c r="E379" i="17"/>
  <c r="D379" i="17"/>
  <c r="C379" i="17"/>
  <c r="B379" i="17"/>
  <c r="A379" i="17"/>
  <c r="I378" i="17"/>
  <c r="H378" i="17"/>
  <c r="G378" i="17"/>
  <c r="F378" i="17"/>
  <c r="E378" i="17"/>
  <c r="D378" i="17"/>
  <c r="C378" i="17"/>
  <c r="B378" i="17"/>
  <c r="A378" i="17"/>
  <c r="J378" i="17" s="1"/>
  <c r="I377" i="17"/>
  <c r="H377" i="17"/>
  <c r="G377" i="17"/>
  <c r="F377" i="17"/>
  <c r="E377" i="17"/>
  <c r="D377" i="17"/>
  <c r="C377" i="17"/>
  <c r="B377" i="17"/>
  <c r="A377" i="17"/>
  <c r="AF377" i="17" s="1"/>
  <c r="I376" i="17"/>
  <c r="H376" i="17"/>
  <c r="G376" i="17"/>
  <c r="F376" i="17"/>
  <c r="E376" i="17"/>
  <c r="D376" i="17"/>
  <c r="C376" i="17"/>
  <c r="B376" i="17"/>
  <c r="A376" i="17"/>
  <c r="AO376" i="17" s="1"/>
  <c r="I375" i="17"/>
  <c r="H375" i="17"/>
  <c r="G375" i="17"/>
  <c r="F375" i="17"/>
  <c r="E375" i="17"/>
  <c r="D375" i="17"/>
  <c r="C375" i="17"/>
  <c r="B375" i="17"/>
  <c r="A375" i="17"/>
  <c r="S375" i="17" s="1"/>
  <c r="I374" i="17"/>
  <c r="H374" i="17"/>
  <c r="G374" i="17"/>
  <c r="F374" i="17"/>
  <c r="E374" i="17"/>
  <c r="D374" i="17"/>
  <c r="C374" i="17"/>
  <c r="B374" i="17"/>
  <c r="A374" i="17"/>
  <c r="AR374" i="17" s="1"/>
  <c r="AQ373" i="17"/>
  <c r="AP373" i="17"/>
  <c r="AN373" i="17"/>
  <c r="X373" i="17"/>
  <c r="P373" i="17"/>
  <c r="O373" i="17"/>
  <c r="I373" i="17"/>
  <c r="H373" i="17"/>
  <c r="G373" i="17"/>
  <c r="F373" i="17"/>
  <c r="E373" i="17"/>
  <c r="D373" i="17"/>
  <c r="C373" i="17"/>
  <c r="B373" i="17"/>
  <c r="A373" i="17"/>
  <c r="Z372" i="17"/>
  <c r="I372" i="17"/>
  <c r="H372" i="17"/>
  <c r="G372" i="17"/>
  <c r="F372" i="17"/>
  <c r="E372" i="17"/>
  <c r="D372" i="17"/>
  <c r="C372" i="17"/>
  <c r="B372" i="17"/>
  <c r="A372" i="17"/>
  <c r="AR371" i="17"/>
  <c r="AQ371" i="17"/>
  <c r="AI371" i="17"/>
  <c r="AH371" i="17"/>
  <c r="AF371" i="17"/>
  <c r="AE371" i="17"/>
  <c r="AD371" i="17"/>
  <c r="X371" i="17"/>
  <c r="U371" i="17"/>
  <c r="T371" i="17"/>
  <c r="P371" i="17"/>
  <c r="M371" i="17"/>
  <c r="L371" i="17"/>
  <c r="K371" i="17"/>
  <c r="I371" i="17"/>
  <c r="H371" i="17"/>
  <c r="G371" i="17"/>
  <c r="F371" i="17"/>
  <c r="E371" i="17"/>
  <c r="D371" i="17"/>
  <c r="C371" i="17"/>
  <c r="B371" i="17"/>
  <c r="A371" i="17"/>
  <c r="I370" i="17"/>
  <c r="H370" i="17"/>
  <c r="G370" i="17"/>
  <c r="F370" i="17"/>
  <c r="E370" i="17"/>
  <c r="D370" i="17"/>
  <c r="C370" i="17"/>
  <c r="B370" i="17"/>
  <c r="A370" i="17"/>
  <c r="X370" i="17" s="1"/>
  <c r="AI369" i="17"/>
  <c r="W369" i="17"/>
  <c r="V369" i="17"/>
  <c r="S369" i="17"/>
  <c r="I369" i="17"/>
  <c r="H369" i="17"/>
  <c r="G369" i="17"/>
  <c r="F369" i="17"/>
  <c r="E369" i="17"/>
  <c r="D369" i="17"/>
  <c r="C369" i="17"/>
  <c r="B369" i="17"/>
  <c r="A369" i="17"/>
  <c r="I368" i="17"/>
  <c r="H368" i="17"/>
  <c r="G368" i="17"/>
  <c r="F368" i="17"/>
  <c r="E368" i="17"/>
  <c r="D368" i="17"/>
  <c r="C368" i="17"/>
  <c r="B368" i="17"/>
  <c r="A368" i="17"/>
  <c r="AO368" i="17" s="1"/>
  <c r="N367" i="17"/>
  <c r="M367" i="17"/>
  <c r="L367" i="17"/>
  <c r="I367" i="17"/>
  <c r="H367" i="17"/>
  <c r="G367" i="17"/>
  <c r="F367" i="17"/>
  <c r="E367" i="17"/>
  <c r="D367" i="17"/>
  <c r="C367" i="17"/>
  <c r="B367" i="17"/>
  <c r="A367" i="17"/>
  <c r="I366" i="17"/>
  <c r="H366" i="17"/>
  <c r="G366" i="17"/>
  <c r="F366" i="17"/>
  <c r="E366" i="17"/>
  <c r="D366" i="17"/>
  <c r="C366" i="17"/>
  <c r="B366" i="17"/>
  <c r="A366" i="17"/>
  <c r="AJ365" i="17"/>
  <c r="AD365" i="17"/>
  <c r="AC365" i="17"/>
  <c r="U365" i="17"/>
  <c r="R365" i="17"/>
  <c r="L365" i="17"/>
  <c r="K365" i="17"/>
  <c r="I365" i="17"/>
  <c r="H365" i="17"/>
  <c r="G365" i="17"/>
  <c r="F365" i="17"/>
  <c r="E365" i="17"/>
  <c r="D365" i="17"/>
  <c r="C365" i="17"/>
  <c r="B365" i="17"/>
  <c r="A365" i="17"/>
  <c r="I364" i="17"/>
  <c r="H364" i="17"/>
  <c r="G364" i="17"/>
  <c r="F364" i="17"/>
  <c r="E364" i="17"/>
  <c r="D364" i="17"/>
  <c r="C364" i="17"/>
  <c r="B364" i="17"/>
  <c r="A364" i="17"/>
  <c r="AP363" i="17"/>
  <c r="AN363" i="17"/>
  <c r="AM363" i="17"/>
  <c r="AL363" i="17"/>
  <c r="V363" i="17"/>
  <c r="S363" i="17"/>
  <c r="P363" i="17"/>
  <c r="M363" i="17"/>
  <c r="L363" i="17"/>
  <c r="I363" i="17"/>
  <c r="H363" i="17"/>
  <c r="G363" i="17"/>
  <c r="F363" i="17"/>
  <c r="E363" i="17"/>
  <c r="D363" i="17"/>
  <c r="C363" i="17"/>
  <c r="B363" i="17"/>
  <c r="A363" i="17"/>
  <c r="AD363" i="17" s="1"/>
  <c r="I362" i="17"/>
  <c r="H362" i="17"/>
  <c r="G362" i="17"/>
  <c r="F362" i="17"/>
  <c r="E362" i="17"/>
  <c r="D362" i="17"/>
  <c r="C362" i="17"/>
  <c r="B362" i="17"/>
  <c r="A362" i="17"/>
  <c r="AF362" i="17" s="1"/>
  <c r="I361" i="17"/>
  <c r="H361" i="17"/>
  <c r="G361" i="17"/>
  <c r="F361" i="17"/>
  <c r="E361" i="17"/>
  <c r="D361" i="17"/>
  <c r="C361" i="17"/>
  <c r="B361" i="17"/>
  <c r="A361" i="17"/>
  <c r="AP361" i="17" s="1"/>
  <c r="I360" i="17"/>
  <c r="H360" i="17"/>
  <c r="G360" i="17"/>
  <c r="F360" i="17"/>
  <c r="E360" i="17"/>
  <c r="D360" i="17"/>
  <c r="C360" i="17"/>
  <c r="B360" i="17"/>
  <c r="A360" i="17"/>
  <c r="I359" i="17"/>
  <c r="H359" i="17"/>
  <c r="G359" i="17"/>
  <c r="F359" i="17"/>
  <c r="E359" i="17"/>
  <c r="D359" i="17"/>
  <c r="C359" i="17"/>
  <c r="B359" i="17"/>
  <c r="A359" i="17"/>
  <c r="AR359" i="17" s="1"/>
  <c r="I358" i="17"/>
  <c r="H358" i="17"/>
  <c r="G358" i="17"/>
  <c r="F358" i="17"/>
  <c r="E358" i="17"/>
  <c r="D358" i="17"/>
  <c r="C358" i="17"/>
  <c r="B358" i="17"/>
  <c r="A358" i="17"/>
  <c r="P357" i="17"/>
  <c r="I357" i="17"/>
  <c r="H357" i="17"/>
  <c r="G357" i="17"/>
  <c r="F357" i="17"/>
  <c r="E357" i="17"/>
  <c r="D357" i="17"/>
  <c r="C357" i="17"/>
  <c r="B357" i="17"/>
  <c r="A357" i="17"/>
  <c r="V357" i="17" s="1"/>
  <c r="I356" i="17"/>
  <c r="H356" i="17"/>
  <c r="G356" i="17"/>
  <c r="F356" i="17"/>
  <c r="E356" i="17"/>
  <c r="D356" i="17"/>
  <c r="C356" i="17"/>
  <c r="B356" i="17"/>
  <c r="A356" i="17"/>
  <c r="AB356" i="17" s="1"/>
  <c r="I355" i="17"/>
  <c r="H355" i="17"/>
  <c r="G355" i="17"/>
  <c r="F355" i="17"/>
  <c r="E355" i="17"/>
  <c r="D355" i="17"/>
  <c r="C355" i="17"/>
  <c r="B355" i="17"/>
  <c r="A355" i="17"/>
  <c r="AH355" i="17" s="1"/>
  <c r="AG354" i="17"/>
  <c r="I354" i="17"/>
  <c r="H354" i="17"/>
  <c r="G354" i="17"/>
  <c r="F354" i="17"/>
  <c r="E354" i="17"/>
  <c r="D354" i="17"/>
  <c r="C354" i="17"/>
  <c r="B354" i="17"/>
  <c r="A354" i="17"/>
  <c r="W354" i="17" s="1"/>
  <c r="I353" i="17"/>
  <c r="H353" i="17"/>
  <c r="G353" i="17"/>
  <c r="F353" i="17"/>
  <c r="E353" i="17"/>
  <c r="D353" i="17"/>
  <c r="C353" i="17"/>
  <c r="B353" i="17"/>
  <c r="A353" i="17"/>
  <c r="J353" i="17" s="1"/>
  <c r="I352" i="17"/>
  <c r="H352" i="17"/>
  <c r="G352" i="17"/>
  <c r="F352" i="17"/>
  <c r="E352" i="17"/>
  <c r="D352" i="17"/>
  <c r="C352" i="17"/>
  <c r="B352" i="17"/>
  <c r="A352" i="17"/>
  <c r="O352" i="17" s="1"/>
  <c r="I351" i="17"/>
  <c r="H351" i="17"/>
  <c r="G351" i="17"/>
  <c r="F351" i="17"/>
  <c r="E351" i="17"/>
  <c r="D351" i="17"/>
  <c r="C351" i="17"/>
  <c r="B351" i="17"/>
  <c r="A351" i="17"/>
  <c r="I350" i="17"/>
  <c r="H350" i="17"/>
  <c r="G350" i="17"/>
  <c r="F350" i="17"/>
  <c r="E350" i="17"/>
  <c r="D350" i="17"/>
  <c r="C350" i="17"/>
  <c r="B350" i="17"/>
  <c r="A350" i="17"/>
  <c r="O350" i="17" s="1"/>
  <c r="AI349" i="17"/>
  <c r="I349" i="17"/>
  <c r="H349" i="17"/>
  <c r="G349" i="17"/>
  <c r="F349" i="17"/>
  <c r="E349" i="17"/>
  <c r="D349" i="17"/>
  <c r="C349" i="17"/>
  <c r="B349" i="17"/>
  <c r="A349" i="17"/>
  <c r="I348" i="17"/>
  <c r="H348" i="17"/>
  <c r="G348" i="17"/>
  <c r="F348" i="17"/>
  <c r="E348" i="17"/>
  <c r="D348" i="17"/>
  <c r="C348" i="17"/>
  <c r="B348" i="17"/>
  <c r="A348" i="17"/>
  <c r="AL347" i="17"/>
  <c r="AD347" i="17"/>
  <c r="AC347" i="17"/>
  <c r="AB347" i="17"/>
  <c r="AA347" i="17"/>
  <c r="L347" i="17"/>
  <c r="K347" i="17"/>
  <c r="I347" i="17"/>
  <c r="H347" i="17"/>
  <c r="G347" i="17"/>
  <c r="F347" i="17"/>
  <c r="E347" i="17"/>
  <c r="D347" i="17"/>
  <c r="C347" i="17"/>
  <c r="B347" i="17"/>
  <c r="A347" i="17"/>
  <c r="I346" i="17"/>
  <c r="H346" i="17"/>
  <c r="G346" i="17"/>
  <c r="F346" i="17"/>
  <c r="E346" i="17"/>
  <c r="D346" i="17"/>
  <c r="C346" i="17"/>
  <c r="B346" i="17"/>
  <c r="A346" i="17"/>
  <c r="I345" i="17"/>
  <c r="H345" i="17"/>
  <c r="G345" i="17"/>
  <c r="F345" i="17"/>
  <c r="E345" i="17"/>
  <c r="D345" i="17"/>
  <c r="C345" i="17"/>
  <c r="B345" i="17"/>
  <c r="A345" i="17"/>
  <c r="I344" i="17"/>
  <c r="H344" i="17"/>
  <c r="G344" i="17"/>
  <c r="F344" i="17"/>
  <c r="E344" i="17"/>
  <c r="D344" i="17"/>
  <c r="C344" i="17"/>
  <c r="B344" i="17"/>
  <c r="A344" i="17"/>
  <c r="AP343" i="17"/>
  <c r="Z343" i="17"/>
  <c r="X343" i="17"/>
  <c r="I343" i="17"/>
  <c r="H343" i="17"/>
  <c r="G343" i="17"/>
  <c r="F343" i="17"/>
  <c r="E343" i="17"/>
  <c r="D343" i="17"/>
  <c r="C343" i="17"/>
  <c r="B343" i="17"/>
  <c r="A343" i="17"/>
  <c r="I342" i="17"/>
  <c r="H342" i="17"/>
  <c r="G342" i="17"/>
  <c r="F342" i="17"/>
  <c r="E342" i="17"/>
  <c r="D342" i="17"/>
  <c r="C342" i="17"/>
  <c r="B342" i="17"/>
  <c r="A342" i="17"/>
  <c r="AR341" i="17"/>
  <c r="AQ341" i="17"/>
  <c r="AP341" i="17"/>
  <c r="AL341" i="17"/>
  <c r="AK341" i="17"/>
  <c r="AF341" i="17"/>
  <c r="AE341" i="17"/>
  <c r="AB341" i="17"/>
  <c r="Z341" i="17"/>
  <c r="X341" i="17"/>
  <c r="W341" i="17"/>
  <c r="P341" i="17"/>
  <c r="O341" i="17"/>
  <c r="N341" i="17"/>
  <c r="M341" i="17"/>
  <c r="L341" i="17"/>
  <c r="K341" i="17"/>
  <c r="I341" i="17"/>
  <c r="H341" i="17"/>
  <c r="G341" i="17"/>
  <c r="F341" i="17"/>
  <c r="E341" i="17"/>
  <c r="D341" i="17"/>
  <c r="C341" i="17"/>
  <c r="B341" i="17"/>
  <c r="A341" i="17"/>
  <c r="AO341" i="17" s="1"/>
  <c r="I340" i="17"/>
  <c r="H340" i="17"/>
  <c r="G340" i="17"/>
  <c r="F340" i="17"/>
  <c r="E340" i="17"/>
  <c r="D340" i="17"/>
  <c r="C340" i="17"/>
  <c r="B340" i="17"/>
  <c r="A340" i="17"/>
  <c r="AH339" i="17"/>
  <c r="AD339" i="17"/>
  <c r="U339" i="17"/>
  <c r="T339" i="17"/>
  <c r="I339" i="17"/>
  <c r="H339" i="17"/>
  <c r="G339" i="17"/>
  <c r="F339" i="17"/>
  <c r="E339" i="17"/>
  <c r="D339" i="17"/>
  <c r="C339" i="17"/>
  <c r="B339" i="17"/>
  <c r="A339" i="17"/>
  <c r="I338" i="17"/>
  <c r="H338" i="17"/>
  <c r="G338" i="17"/>
  <c r="F338" i="17"/>
  <c r="E338" i="17"/>
  <c r="D338" i="17"/>
  <c r="C338" i="17"/>
  <c r="B338" i="17"/>
  <c r="A338" i="17"/>
  <c r="AI338" i="17" s="1"/>
  <c r="I337" i="17"/>
  <c r="H337" i="17"/>
  <c r="G337" i="17"/>
  <c r="F337" i="17"/>
  <c r="E337" i="17"/>
  <c r="D337" i="17"/>
  <c r="C337" i="17"/>
  <c r="B337" i="17"/>
  <c r="A337" i="17"/>
  <c r="AN337" i="17" s="1"/>
  <c r="AO336" i="17"/>
  <c r="AN336" i="17"/>
  <c r="AH336" i="17"/>
  <c r="AG336" i="17"/>
  <c r="AF336" i="17"/>
  <c r="I336" i="17"/>
  <c r="H336" i="17"/>
  <c r="G336" i="17"/>
  <c r="F336" i="17"/>
  <c r="E336" i="17"/>
  <c r="D336" i="17"/>
  <c r="C336" i="17"/>
  <c r="B336" i="17"/>
  <c r="A336" i="17"/>
  <c r="AQ335" i="17"/>
  <c r="AM335" i="17"/>
  <c r="AL335" i="17"/>
  <c r="AJ335" i="17"/>
  <c r="I335" i="17"/>
  <c r="H335" i="17"/>
  <c r="G335" i="17"/>
  <c r="F335" i="17"/>
  <c r="E335" i="17"/>
  <c r="D335" i="17"/>
  <c r="C335" i="17"/>
  <c r="B335" i="17"/>
  <c r="A335" i="17"/>
  <c r="AQ334" i="17"/>
  <c r="AA334" i="17"/>
  <c r="R334" i="17"/>
  <c r="Q334" i="17"/>
  <c r="K334" i="17"/>
  <c r="I334" i="17"/>
  <c r="H334" i="17"/>
  <c r="G334" i="17"/>
  <c r="F334" i="17"/>
  <c r="E334" i="17"/>
  <c r="D334" i="17"/>
  <c r="C334" i="17"/>
  <c r="B334" i="17"/>
  <c r="A334" i="17"/>
  <c r="AA333" i="17"/>
  <c r="P333" i="17"/>
  <c r="I333" i="17"/>
  <c r="H333" i="17"/>
  <c r="G333" i="17"/>
  <c r="F333" i="17"/>
  <c r="E333" i="17"/>
  <c r="D333" i="17"/>
  <c r="C333" i="17"/>
  <c r="B333" i="17"/>
  <c r="A333" i="17"/>
  <c r="I332" i="17"/>
  <c r="H332" i="17"/>
  <c r="G332" i="17"/>
  <c r="F332" i="17"/>
  <c r="E332" i="17"/>
  <c r="D332" i="17"/>
  <c r="C332" i="17"/>
  <c r="B332" i="17"/>
  <c r="A332" i="17"/>
  <c r="S332" i="17" s="1"/>
  <c r="I331" i="17"/>
  <c r="H331" i="17"/>
  <c r="G331" i="17"/>
  <c r="F331" i="17"/>
  <c r="E331" i="17"/>
  <c r="D331" i="17"/>
  <c r="C331" i="17"/>
  <c r="B331" i="17"/>
  <c r="A331" i="17"/>
  <c r="I330" i="17"/>
  <c r="H330" i="17"/>
  <c r="G330" i="17"/>
  <c r="F330" i="17"/>
  <c r="E330" i="17"/>
  <c r="D330" i="17"/>
  <c r="C330" i="17"/>
  <c r="B330" i="17"/>
  <c r="A330" i="17"/>
  <c r="AI330" i="17" s="1"/>
  <c r="AL329" i="17"/>
  <c r="I329" i="17"/>
  <c r="H329" i="17"/>
  <c r="G329" i="17"/>
  <c r="F329" i="17"/>
  <c r="E329" i="17"/>
  <c r="D329" i="17"/>
  <c r="C329" i="17"/>
  <c r="B329" i="17"/>
  <c r="A329" i="17"/>
  <c r="I328" i="17"/>
  <c r="H328" i="17"/>
  <c r="G328" i="17"/>
  <c r="F328" i="17"/>
  <c r="E328" i="17"/>
  <c r="D328" i="17"/>
  <c r="C328" i="17"/>
  <c r="B328" i="17"/>
  <c r="A328" i="17"/>
  <c r="AJ328" i="17" s="1"/>
  <c r="AE327" i="17"/>
  <c r="AD327" i="17"/>
  <c r="I327" i="17"/>
  <c r="H327" i="17"/>
  <c r="G327" i="17"/>
  <c r="F327" i="17"/>
  <c r="E327" i="17"/>
  <c r="D327" i="17"/>
  <c r="C327" i="17"/>
  <c r="B327" i="17"/>
  <c r="A327" i="17"/>
  <c r="AC327" i="17" s="1"/>
  <c r="AM326" i="17"/>
  <c r="W326" i="17"/>
  <c r="I326" i="17"/>
  <c r="H326" i="17"/>
  <c r="G326" i="17"/>
  <c r="F326" i="17"/>
  <c r="E326" i="17"/>
  <c r="D326" i="17"/>
  <c r="C326" i="17"/>
  <c r="B326" i="17"/>
  <c r="A326" i="17"/>
  <c r="Q326" i="17" s="1"/>
  <c r="U325" i="17"/>
  <c r="T325" i="17"/>
  <c r="I325" i="17"/>
  <c r="H325" i="17"/>
  <c r="G325" i="17"/>
  <c r="F325" i="17"/>
  <c r="E325" i="17"/>
  <c r="D325" i="17"/>
  <c r="C325" i="17"/>
  <c r="B325" i="17"/>
  <c r="A325" i="17"/>
  <c r="I324" i="17"/>
  <c r="H324" i="17"/>
  <c r="G324" i="17"/>
  <c r="F324" i="17"/>
  <c r="E324" i="17"/>
  <c r="D324" i="17"/>
  <c r="C324" i="17"/>
  <c r="B324" i="17"/>
  <c r="A324" i="17"/>
  <c r="I323" i="17"/>
  <c r="H323" i="17"/>
  <c r="G323" i="17"/>
  <c r="F323" i="17"/>
  <c r="E323" i="17"/>
  <c r="D323" i="17"/>
  <c r="C323" i="17"/>
  <c r="B323" i="17"/>
  <c r="A323" i="17"/>
  <c r="AD323" i="17" s="1"/>
  <c r="I322" i="17"/>
  <c r="H322" i="17"/>
  <c r="G322" i="17"/>
  <c r="F322" i="17"/>
  <c r="E322" i="17"/>
  <c r="D322" i="17"/>
  <c r="C322" i="17"/>
  <c r="B322" i="17"/>
  <c r="A322" i="17"/>
  <c r="AJ321" i="17"/>
  <c r="AB321" i="17"/>
  <c r="W321" i="17"/>
  <c r="V321" i="17"/>
  <c r="M321" i="17"/>
  <c r="L321" i="17"/>
  <c r="I321" i="17"/>
  <c r="H321" i="17"/>
  <c r="G321" i="17"/>
  <c r="F321" i="17"/>
  <c r="E321" i="17"/>
  <c r="D321" i="17"/>
  <c r="C321" i="17"/>
  <c r="B321" i="17"/>
  <c r="A321" i="17"/>
  <c r="AC321" i="17" s="1"/>
  <c r="AO320" i="17"/>
  <c r="I320" i="17"/>
  <c r="H320" i="17"/>
  <c r="G320" i="17"/>
  <c r="F320" i="17"/>
  <c r="E320" i="17"/>
  <c r="D320" i="17"/>
  <c r="C320" i="17"/>
  <c r="B320" i="17"/>
  <c r="A320" i="17"/>
  <c r="AN320" i="17" s="1"/>
  <c r="I319" i="17"/>
  <c r="H319" i="17"/>
  <c r="G319" i="17"/>
  <c r="F319" i="17"/>
  <c r="E319" i="17"/>
  <c r="D319" i="17"/>
  <c r="C319" i="17"/>
  <c r="B319" i="17"/>
  <c r="A319" i="17"/>
  <c r="I318" i="17"/>
  <c r="H318" i="17"/>
  <c r="G318" i="17"/>
  <c r="F318" i="17"/>
  <c r="E318" i="17"/>
  <c r="D318" i="17"/>
  <c r="C318" i="17"/>
  <c r="B318" i="17"/>
  <c r="A318" i="17"/>
  <c r="I317" i="17"/>
  <c r="H317" i="17"/>
  <c r="G317" i="17"/>
  <c r="F317" i="17"/>
  <c r="E317" i="17"/>
  <c r="D317" i="17"/>
  <c r="C317" i="17"/>
  <c r="B317" i="17"/>
  <c r="A317" i="17"/>
  <c r="AP316" i="17"/>
  <c r="I316" i="17"/>
  <c r="H316" i="17"/>
  <c r="G316" i="17"/>
  <c r="F316" i="17"/>
  <c r="E316" i="17"/>
  <c r="D316" i="17"/>
  <c r="C316" i="17"/>
  <c r="B316" i="17"/>
  <c r="A316" i="17"/>
  <c r="AO316" i="17" s="1"/>
  <c r="I315" i="17"/>
  <c r="H315" i="17"/>
  <c r="G315" i="17"/>
  <c r="F315" i="17"/>
  <c r="E315" i="17"/>
  <c r="D315" i="17"/>
  <c r="C315" i="17"/>
  <c r="B315" i="17"/>
  <c r="A315" i="17"/>
  <c r="AK315" i="17" s="1"/>
  <c r="I314" i="17"/>
  <c r="H314" i="17"/>
  <c r="G314" i="17"/>
  <c r="F314" i="17"/>
  <c r="E314" i="17"/>
  <c r="D314" i="17"/>
  <c r="C314" i="17"/>
  <c r="B314" i="17"/>
  <c r="A314" i="17"/>
  <c r="AB314" i="17" s="1"/>
  <c r="I313" i="17"/>
  <c r="H313" i="17"/>
  <c r="G313" i="17"/>
  <c r="F313" i="17"/>
  <c r="E313" i="17"/>
  <c r="D313" i="17"/>
  <c r="C313" i="17"/>
  <c r="B313" i="17"/>
  <c r="A313" i="17"/>
  <c r="AQ313" i="17" s="1"/>
  <c r="I312" i="17"/>
  <c r="H312" i="17"/>
  <c r="G312" i="17"/>
  <c r="F312" i="17"/>
  <c r="E312" i="17"/>
  <c r="D312" i="17"/>
  <c r="C312" i="17"/>
  <c r="B312" i="17"/>
  <c r="A312" i="17"/>
  <c r="I311" i="17"/>
  <c r="H311" i="17"/>
  <c r="G311" i="17"/>
  <c r="F311" i="17"/>
  <c r="E311" i="17"/>
  <c r="D311" i="17"/>
  <c r="C311" i="17"/>
  <c r="B311" i="17"/>
  <c r="A311" i="17"/>
  <c r="AN311" i="17" s="1"/>
  <c r="I310" i="17"/>
  <c r="H310" i="17"/>
  <c r="G310" i="17"/>
  <c r="F310" i="17"/>
  <c r="E310" i="17"/>
  <c r="D310" i="17"/>
  <c r="C310" i="17"/>
  <c r="B310" i="17"/>
  <c r="A310" i="17"/>
  <c r="AQ310" i="17" s="1"/>
  <c r="AC309" i="17"/>
  <c r="AB309" i="17"/>
  <c r="W309" i="17"/>
  <c r="P309" i="17"/>
  <c r="O309" i="17"/>
  <c r="N309" i="17"/>
  <c r="I309" i="17"/>
  <c r="H309" i="17"/>
  <c r="G309" i="17"/>
  <c r="F309" i="17"/>
  <c r="E309" i="17"/>
  <c r="D309" i="17"/>
  <c r="C309" i="17"/>
  <c r="B309" i="17"/>
  <c r="A309" i="17"/>
  <c r="AD309" i="17" s="1"/>
  <c r="I308" i="17"/>
  <c r="H308" i="17"/>
  <c r="G308" i="17"/>
  <c r="F308" i="17"/>
  <c r="E308" i="17"/>
  <c r="D308" i="17"/>
  <c r="C308" i="17"/>
  <c r="B308" i="17"/>
  <c r="A308" i="17"/>
  <c r="Z308" i="17" s="1"/>
  <c r="AI307" i="17"/>
  <c r="AF307" i="17"/>
  <c r="AE307" i="17"/>
  <c r="AD307" i="17"/>
  <c r="N307" i="17"/>
  <c r="M307" i="17"/>
  <c r="I307" i="17"/>
  <c r="H307" i="17"/>
  <c r="G307" i="17"/>
  <c r="F307" i="17"/>
  <c r="E307" i="17"/>
  <c r="D307" i="17"/>
  <c r="C307" i="17"/>
  <c r="B307" i="17"/>
  <c r="A307" i="17"/>
  <c r="L307" i="17" s="1"/>
  <c r="I306" i="17"/>
  <c r="H306" i="17"/>
  <c r="G306" i="17"/>
  <c r="F306" i="17"/>
  <c r="E306" i="17"/>
  <c r="D306" i="17"/>
  <c r="C306" i="17"/>
  <c r="B306" i="17"/>
  <c r="A306" i="17"/>
  <c r="I305" i="17"/>
  <c r="H305" i="17"/>
  <c r="G305" i="17"/>
  <c r="F305" i="17"/>
  <c r="E305" i="17"/>
  <c r="D305" i="17"/>
  <c r="C305" i="17"/>
  <c r="B305" i="17"/>
  <c r="A305" i="17"/>
  <c r="AN304" i="17"/>
  <c r="AF304" i="17"/>
  <c r="W304" i="17"/>
  <c r="T304" i="17"/>
  <c r="L304" i="17"/>
  <c r="I304" i="17"/>
  <c r="H304" i="17"/>
  <c r="G304" i="17"/>
  <c r="F304" i="17"/>
  <c r="E304" i="17"/>
  <c r="D304" i="17"/>
  <c r="C304" i="17"/>
  <c r="B304" i="17"/>
  <c r="A304" i="17"/>
  <c r="I303" i="17"/>
  <c r="H303" i="17"/>
  <c r="G303" i="17"/>
  <c r="F303" i="17"/>
  <c r="E303" i="17"/>
  <c r="D303" i="17"/>
  <c r="C303" i="17"/>
  <c r="B303" i="17"/>
  <c r="A303" i="17"/>
  <c r="I302" i="17"/>
  <c r="H302" i="17"/>
  <c r="G302" i="17"/>
  <c r="F302" i="17"/>
  <c r="E302" i="17"/>
  <c r="D302" i="17"/>
  <c r="C302" i="17"/>
  <c r="B302" i="17"/>
  <c r="A302" i="17"/>
  <c r="I301" i="17"/>
  <c r="H301" i="17"/>
  <c r="G301" i="17"/>
  <c r="F301" i="17"/>
  <c r="E301" i="17"/>
  <c r="D301" i="17"/>
  <c r="C301" i="17"/>
  <c r="B301" i="17"/>
  <c r="A301" i="17"/>
  <c r="AC301" i="17" s="1"/>
  <c r="I300" i="17"/>
  <c r="H300" i="17"/>
  <c r="G300" i="17"/>
  <c r="F300" i="17"/>
  <c r="E300" i="17"/>
  <c r="D300" i="17"/>
  <c r="C300" i="17"/>
  <c r="B300" i="17"/>
  <c r="A300" i="17"/>
  <c r="AP300" i="17" s="1"/>
  <c r="I299" i="17"/>
  <c r="H299" i="17"/>
  <c r="G299" i="17"/>
  <c r="F299" i="17"/>
  <c r="E299" i="17"/>
  <c r="D299" i="17"/>
  <c r="C299" i="17"/>
  <c r="B299" i="17"/>
  <c r="A299" i="17"/>
  <c r="I298" i="17"/>
  <c r="H298" i="17"/>
  <c r="G298" i="17"/>
  <c r="F298" i="17"/>
  <c r="E298" i="17"/>
  <c r="D298" i="17"/>
  <c r="C298" i="17"/>
  <c r="B298" i="17"/>
  <c r="A298" i="17"/>
  <c r="AE298" i="17" s="1"/>
  <c r="I297" i="17"/>
  <c r="H297" i="17"/>
  <c r="G297" i="17"/>
  <c r="F297" i="17"/>
  <c r="E297" i="17"/>
  <c r="D297" i="17"/>
  <c r="C297" i="17"/>
  <c r="B297" i="17"/>
  <c r="A297" i="17"/>
  <c r="AI296" i="17"/>
  <c r="AA296" i="17"/>
  <c r="X296" i="17"/>
  <c r="R296" i="17"/>
  <c r="Q296" i="17"/>
  <c r="P296" i="17"/>
  <c r="I296" i="17"/>
  <c r="H296" i="17"/>
  <c r="G296" i="17"/>
  <c r="F296" i="17"/>
  <c r="E296" i="17"/>
  <c r="D296" i="17"/>
  <c r="C296" i="17"/>
  <c r="B296" i="17"/>
  <c r="A296" i="17"/>
  <c r="AR296" i="17" s="1"/>
  <c r="I295" i="17"/>
  <c r="H295" i="17"/>
  <c r="G295" i="17"/>
  <c r="F295" i="17"/>
  <c r="E295" i="17"/>
  <c r="D295" i="17"/>
  <c r="C295" i="17"/>
  <c r="B295" i="17"/>
  <c r="A295" i="17"/>
  <c r="AM294" i="17"/>
  <c r="AH294" i="17"/>
  <c r="AG294" i="17"/>
  <c r="I294" i="17"/>
  <c r="H294" i="17"/>
  <c r="G294" i="17"/>
  <c r="F294" i="17"/>
  <c r="E294" i="17"/>
  <c r="D294" i="17"/>
  <c r="C294" i="17"/>
  <c r="B294" i="17"/>
  <c r="A294" i="17"/>
  <c r="I293" i="17"/>
  <c r="H293" i="17"/>
  <c r="G293" i="17"/>
  <c r="F293" i="17"/>
  <c r="E293" i="17"/>
  <c r="D293" i="17"/>
  <c r="C293" i="17"/>
  <c r="B293" i="17"/>
  <c r="A293" i="17"/>
  <c r="I292" i="17"/>
  <c r="H292" i="17"/>
  <c r="G292" i="17"/>
  <c r="F292" i="17"/>
  <c r="E292" i="17"/>
  <c r="D292" i="17"/>
  <c r="C292" i="17"/>
  <c r="B292" i="17"/>
  <c r="A292" i="17"/>
  <c r="AB292" i="17" s="1"/>
  <c r="I291" i="17"/>
  <c r="H291" i="17"/>
  <c r="G291" i="17"/>
  <c r="F291" i="17"/>
  <c r="E291" i="17"/>
  <c r="D291" i="17"/>
  <c r="C291" i="17"/>
  <c r="B291" i="17"/>
  <c r="A291" i="17"/>
  <c r="AE291" i="17" s="1"/>
  <c r="I290" i="17"/>
  <c r="H290" i="17"/>
  <c r="G290" i="17"/>
  <c r="F290" i="17"/>
  <c r="E290" i="17"/>
  <c r="D290" i="17"/>
  <c r="C290" i="17"/>
  <c r="B290" i="17"/>
  <c r="A290" i="17"/>
  <c r="Y290" i="17" s="1"/>
  <c r="I289" i="17"/>
  <c r="H289" i="17"/>
  <c r="G289" i="17"/>
  <c r="F289" i="17"/>
  <c r="E289" i="17"/>
  <c r="D289" i="17"/>
  <c r="C289" i="17"/>
  <c r="B289" i="17"/>
  <c r="A289" i="17"/>
  <c r="I288" i="17"/>
  <c r="H288" i="17"/>
  <c r="G288" i="17"/>
  <c r="F288" i="17"/>
  <c r="E288" i="17"/>
  <c r="D288" i="17"/>
  <c r="C288" i="17"/>
  <c r="B288" i="17"/>
  <c r="A288" i="17"/>
  <c r="AC287" i="17"/>
  <c r="I287" i="17"/>
  <c r="H287" i="17"/>
  <c r="G287" i="17"/>
  <c r="F287" i="17"/>
  <c r="E287" i="17"/>
  <c r="D287" i="17"/>
  <c r="C287" i="17"/>
  <c r="B287" i="17"/>
  <c r="A287" i="17"/>
  <c r="AA287" i="17" s="1"/>
  <c r="I286" i="17"/>
  <c r="H286" i="17"/>
  <c r="G286" i="17"/>
  <c r="F286" i="17"/>
  <c r="E286" i="17"/>
  <c r="D286" i="17"/>
  <c r="C286" i="17"/>
  <c r="B286" i="17"/>
  <c r="A286" i="17"/>
  <c r="Q286" i="17" s="1"/>
  <c r="I285" i="17"/>
  <c r="H285" i="17"/>
  <c r="G285" i="17"/>
  <c r="F285" i="17"/>
  <c r="E285" i="17"/>
  <c r="D285" i="17"/>
  <c r="C285" i="17"/>
  <c r="B285" i="17"/>
  <c r="A285" i="17"/>
  <c r="P285" i="17" s="1"/>
  <c r="I284" i="17"/>
  <c r="H284" i="17"/>
  <c r="G284" i="17"/>
  <c r="F284" i="17"/>
  <c r="E284" i="17"/>
  <c r="D284" i="17"/>
  <c r="C284" i="17"/>
  <c r="B284" i="17"/>
  <c r="A284" i="17"/>
  <c r="I283" i="17"/>
  <c r="H283" i="17"/>
  <c r="G283" i="17"/>
  <c r="F283" i="17"/>
  <c r="E283" i="17"/>
  <c r="D283" i="17"/>
  <c r="C283" i="17"/>
  <c r="B283" i="17"/>
  <c r="A283" i="17"/>
  <c r="I282" i="17"/>
  <c r="H282" i="17"/>
  <c r="G282" i="17"/>
  <c r="F282" i="17"/>
  <c r="E282" i="17"/>
  <c r="D282" i="17"/>
  <c r="C282" i="17"/>
  <c r="B282" i="17"/>
  <c r="A282" i="17"/>
  <c r="I281" i="17"/>
  <c r="H281" i="17"/>
  <c r="G281" i="17"/>
  <c r="F281" i="17"/>
  <c r="E281" i="17"/>
  <c r="D281" i="17"/>
  <c r="C281" i="17"/>
  <c r="B281" i="17"/>
  <c r="A281" i="17"/>
  <c r="R280" i="17"/>
  <c r="I280" i="17"/>
  <c r="H280" i="17"/>
  <c r="G280" i="17"/>
  <c r="F280" i="17"/>
  <c r="E280" i="17"/>
  <c r="D280" i="17"/>
  <c r="C280" i="17"/>
  <c r="B280" i="17"/>
  <c r="A280" i="17"/>
  <c r="Q280" i="17" s="1"/>
  <c r="I279" i="17"/>
  <c r="H279" i="17"/>
  <c r="G279" i="17"/>
  <c r="F279" i="17"/>
  <c r="E279" i="17"/>
  <c r="D279" i="17"/>
  <c r="C279" i="17"/>
  <c r="B279" i="17"/>
  <c r="A279" i="17"/>
  <c r="AR279" i="17" s="1"/>
  <c r="AI278" i="17"/>
  <c r="I278" i="17"/>
  <c r="H278" i="17"/>
  <c r="G278" i="17"/>
  <c r="F278" i="17"/>
  <c r="E278" i="17"/>
  <c r="D278" i="17"/>
  <c r="C278" i="17"/>
  <c r="B278" i="17"/>
  <c r="A278" i="17"/>
  <c r="AQ277" i="17"/>
  <c r="AN277" i="17"/>
  <c r="AM277" i="17"/>
  <c r="W277" i="17"/>
  <c r="V277" i="17"/>
  <c r="I277" i="17"/>
  <c r="H277" i="17"/>
  <c r="G277" i="17"/>
  <c r="F277" i="17"/>
  <c r="E277" i="17"/>
  <c r="D277" i="17"/>
  <c r="C277" i="17"/>
  <c r="B277" i="17"/>
  <c r="A277" i="17"/>
  <c r="S277" i="17" s="1"/>
  <c r="AJ276" i="17"/>
  <c r="AI276" i="17"/>
  <c r="AF276" i="17"/>
  <c r="X276" i="17"/>
  <c r="W276" i="17"/>
  <c r="T276" i="17"/>
  <c r="I276" i="17"/>
  <c r="H276" i="17"/>
  <c r="G276" i="17"/>
  <c r="F276" i="17"/>
  <c r="E276" i="17"/>
  <c r="D276" i="17"/>
  <c r="C276" i="17"/>
  <c r="B276" i="17"/>
  <c r="A276" i="17"/>
  <c r="V275" i="17"/>
  <c r="M275" i="17"/>
  <c r="I275" i="17"/>
  <c r="H275" i="17"/>
  <c r="G275" i="17"/>
  <c r="F275" i="17"/>
  <c r="E275" i="17"/>
  <c r="D275" i="17"/>
  <c r="C275" i="17"/>
  <c r="B275" i="17"/>
  <c r="A275" i="17"/>
  <c r="I274" i="17"/>
  <c r="H274" i="17"/>
  <c r="G274" i="17"/>
  <c r="F274" i="17"/>
  <c r="E274" i="17"/>
  <c r="D274" i="17"/>
  <c r="C274" i="17"/>
  <c r="B274" i="17"/>
  <c r="A274" i="17"/>
  <c r="T274" i="17" s="1"/>
  <c r="I273" i="17"/>
  <c r="H273" i="17"/>
  <c r="G273" i="17"/>
  <c r="F273" i="17"/>
  <c r="E273" i="17"/>
  <c r="D273" i="17"/>
  <c r="C273" i="17"/>
  <c r="B273" i="17"/>
  <c r="A273" i="17"/>
  <c r="AF272" i="17"/>
  <c r="W272" i="17"/>
  <c r="I272" i="17"/>
  <c r="H272" i="17"/>
  <c r="G272" i="17"/>
  <c r="F272" i="17"/>
  <c r="E272" i="17"/>
  <c r="D272" i="17"/>
  <c r="C272" i="17"/>
  <c r="B272" i="17"/>
  <c r="A272" i="17"/>
  <c r="AQ271" i="17"/>
  <c r="AN271" i="17"/>
  <c r="AM271" i="17"/>
  <c r="AA271" i="17"/>
  <c r="U271" i="17"/>
  <c r="P271" i="17"/>
  <c r="O271" i="17"/>
  <c r="N271" i="17"/>
  <c r="K271" i="17"/>
  <c r="I271" i="17"/>
  <c r="H271" i="17"/>
  <c r="G271" i="17"/>
  <c r="F271" i="17"/>
  <c r="E271" i="17"/>
  <c r="D271" i="17"/>
  <c r="C271" i="17"/>
  <c r="B271" i="17"/>
  <c r="A271" i="17"/>
  <c r="AB271" i="17" s="1"/>
  <c r="I270" i="17"/>
  <c r="H270" i="17"/>
  <c r="G270" i="17"/>
  <c r="F270" i="17"/>
  <c r="E270" i="17"/>
  <c r="D270" i="17"/>
  <c r="C270" i="17"/>
  <c r="B270" i="17"/>
  <c r="A270" i="17"/>
  <c r="AN269" i="17"/>
  <c r="I269" i="17"/>
  <c r="H269" i="17"/>
  <c r="G269" i="17"/>
  <c r="F269" i="17"/>
  <c r="E269" i="17"/>
  <c r="D269" i="17"/>
  <c r="C269" i="17"/>
  <c r="B269" i="17"/>
  <c r="A269" i="17"/>
  <c r="I268" i="17"/>
  <c r="H268" i="17"/>
  <c r="G268" i="17"/>
  <c r="F268" i="17"/>
  <c r="E268" i="17"/>
  <c r="D268" i="17"/>
  <c r="C268" i="17"/>
  <c r="B268" i="17"/>
  <c r="A268" i="17"/>
  <c r="AJ267" i="17"/>
  <c r="I267" i="17"/>
  <c r="H267" i="17"/>
  <c r="G267" i="17"/>
  <c r="F267" i="17"/>
  <c r="E267" i="17"/>
  <c r="D267" i="17"/>
  <c r="C267" i="17"/>
  <c r="B267" i="17"/>
  <c r="A267" i="17"/>
  <c r="O267" i="17" s="1"/>
  <c r="I266" i="17"/>
  <c r="H266" i="17"/>
  <c r="G266" i="17"/>
  <c r="F266" i="17"/>
  <c r="E266" i="17"/>
  <c r="D266" i="17"/>
  <c r="C266" i="17"/>
  <c r="B266" i="17"/>
  <c r="A266" i="17"/>
  <c r="AR265" i="17"/>
  <c r="AM265" i="17"/>
  <c r="AJ265" i="17"/>
  <c r="AI265" i="17"/>
  <c r="AF265" i="17"/>
  <c r="AA265" i="17"/>
  <c r="V265" i="17"/>
  <c r="S265" i="17"/>
  <c r="P265" i="17"/>
  <c r="O265" i="17"/>
  <c r="N265" i="17"/>
  <c r="I265" i="17"/>
  <c r="H265" i="17"/>
  <c r="G265" i="17"/>
  <c r="F265" i="17"/>
  <c r="E265" i="17"/>
  <c r="D265" i="17"/>
  <c r="C265" i="17"/>
  <c r="B265" i="17"/>
  <c r="A265" i="17"/>
  <c r="AP265" i="17" s="1"/>
  <c r="I264" i="17"/>
  <c r="H264" i="17"/>
  <c r="G264" i="17"/>
  <c r="F264" i="17"/>
  <c r="E264" i="17"/>
  <c r="D264" i="17"/>
  <c r="C264" i="17"/>
  <c r="B264" i="17"/>
  <c r="A264" i="17"/>
  <c r="Q264" i="17" s="1"/>
  <c r="AR263" i="17"/>
  <c r="AQ263" i="17"/>
  <c r="V263" i="17"/>
  <c r="U263" i="17"/>
  <c r="I263" i="17"/>
  <c r="H263" i="17"/>
  <c r="G263" i="17"/>
  <c r="F263" i="17"/>
  <c r="E263" i="17"/>
  <c r="D263" i="17"/>
  <c r="C263" i="17"/>
  <c r="B263" i="17"/>
  <c r="A263" i="17"/>
  <c r="T263" i="17" s="1"/>
  <c r="AR262" i="17"/>
  <c r="AQ262" i="17"/>
  <c r="AH262" i="17"/>
  <c r="I262" i="17"/>
  <c r="H262" i="17"/>
  <c r="G262" i="17"/>
  <c r="F262" i="17"/>
  <c r="E262" i="17"/>
  <c r="D262" i="17"/>
  <c r="C262" i="17"/>
  <c r="B262" i="17"/>
  <c r="A262" i="17"/>
  <c r="AQ261" i="17"/>
  <c r="AN261" i="17"/>
  <c r="AM261" i="17"/>
  <c r="AL261" i="17"/>
  <c r="AI261" i="17"/>
  <c r="V261" i="17"/>
  <c r="U261" i="17"/>
  <c r="P261" i="17"/>
  <c r="M261" i="17"/>
  <c r="L261" i="17"/>
  <c r="K261" i="17"/>
  <c r="I261" i="17"/>
  <c r="H261" i="17"/>
  <c r="G261" i="17"/>
  <c r="F261" i="17"/>
  <c r="E261" i="17"/>
  <c r="D261" i="17"/>
  <c r="C261" i="17"/>
  <c r="B261" i="17"/>
  <c r="A261" i="17"/>
  <c r="AC261" i="17" s="1"/>
  <c r="O260" i="17"/>
  <c r="I260" i="17"/>
  <c r="H260" i="17"/>
  <c r="G260" i="17"/>
  <c r="F260" i="17"/>
  <c r="E260" i="17"/>
  <c r="D260" i="17"/>
  <c r="C260" i="17"/>
  <c r="B260" i="17"/>
  <c r="A260" i="17"/>
  <c r="P259" i="17"/>
  <c r="I259" i="17"/>
  <c r="H259" i="17"/>
  <c r="G259" i="17"/>
  <c r="F259" i="17"/>
  <c r="E259" i="17"/>
  <c r="D259" i="17"/>
  <c r="C259" i="17"/>
  <c r="B259" i="17"/>
  <c r="A259" i="17"/>
  <c r="AP258" i="17"/>
  <c r="AO258" i="17"/>
  <c r="AI258" i="17"/>
  <c r="W258" i="17"/>
  <c r="T258" i="17"/>
  <c r="I258" i="17"/>
  <c r="H258" i="17"/>
  <c r="G258" i="17"/>
  <c r="F258" i="17"/>
  <c r="E258" i="17"/>
  <c r="D258" i="17"/>
  <c r="C258" i="17"/>
  <c r="B258" i="17"/>
  <c r="A258" i="17"/>
  <c r="J258" i="17" s="1"/>
  <c r="AJ257" i="17"/>
  <c r="AE257" i="17"/>
  <c r="AB257" i="17"/>
  <c r="AA257" i="17"/>
  <c r="U257" i="17"/>
  <c r="K257" i="17"/>
  <c r="I257" i="17"/>
  <c r="H257" i="17"/>
  <c r="G257" i="17"/>
  <c r="F257" i="17"/>
  <c r="E257" i="17"/>
  <c r="D257" i="17"/>
  <c r="C257" i="17"/>
  <c r="B257" i="17"/>
  <c r="A257" i="17"/>
  <c r="AQ257" i="17" s="1"/>
  <c r="I256" i="17"/>
  <c r="H256" i="17"/>
  <c r="G256" i="17"/>
  <c r="F256" i="17"/>
  <c r="E256" i="17"/>
  <c r="D256" i="17"/>
  <c r="C256" i="17"/>
  <c r="B256" i="17"/>
  <c r="A256" i="17"/>
  <c r="AR255" i="17"/>
  <c r="AM255" i="17"/>
  <c r="AC255" i="17"/>
  <c r="X255" i="17"/>
  <c r="W255" i="17"/>
  <c r="V255" i="17"/>
  <c r="M255" i="17"/>
  <c r="L255" i="17"/>
  <c r="I255" i="17"/>
  <c r="H255" i="17"/>
  <c r="G255" i="17"/>
  <c r="F255" i="17"/>
  <c r="E255" i="17"/>
  <c r="D255" i="17"/>
  <c r="C255" i="17"/>
  <c r="B255" i="17"/>
  <c r="A255" i="17"/>
  <c r="AB255" i="17" s="1"/>
  <c r="AG254" i="17"/>
  <c r="I254" i="17"/>
  <c r="H254" i="17"/>
  <c r="G254" i="17"/>
  <c r="F254" i="17"/>
  <c r="E254" i="17"/>
  <c r="D254" i="17"/>
  <c r="C254" i="17"/>
  <c r="B254" i="17"/>
  <c r="A254" i="17"/>
  <c r="AM253" i="17"/>
  <c r="I253" i="17"/>
  <c r="H253" i="17"/>
  <c r="G253" i="17"/>
  <c r="F253" i="17"/>
  <c r="E253" i="17"/>
  <c r="D253" i="17"/>
  <c r="C253" i="17"/>
  <c r="B253" i="17"/>
  <c r="A253" i="17"/>
  <c r="AK253" i="17" s="1"/>
  <c r="I252" i="17"/>
  <c r="H252" i="17"/>
  <c r="G252" i="17"/>
  <c r="F252" i="17"/>
  <c r="E252" i="17"/>
  <c r="D252" i="17"/>
  <c r="C252" i="17"/>
  <c r="B252" i="17"/>
  <c r="A252" i="17"/>
  <c r="I251" i="17"/>
  <c r="H251" i="17"/>
  <c r="G251" i="17"/>
  <c r="F251" i="17"/>
  <c r="E251" i="17"/>
  <c r="D251" i="17"/>
  <c r="C251" i="17"/>
  <c r="B251" i="17"/>
  <c r="A251" i="17"/>
  <c r="AD251" i="17" s="1"/>
  <c r="Z250" i="17"/>
  <c r="I250" i="17"/>
  <c r="H250" i="17"/>
  <c r="G250" i="17"/>
  <c r="F250" i="17"/>
  <c r="E250" i="17"/>
  <c r="D250" i="17"/>
  <c r="C250" i="17"/>
  <c r="B250" i="17"/>
  <c r="A250" i="17"/>
  <c r="AL249" i="17"/>
  <c r="AK249" i="17"/>
  <c r="AJ249" i="17"/>
  <c r="AA249" i="17"/>
  <c r="V249" i="17"/>
  <c r="U249" i="17"/>
  <c r="P249" i="17"/>
  <c r="M249" i="17"/>
  <c r="L249" i="17"/>
  <c r="I249" i="17"/>
  <c r="H249" i="17"/>
  <c r="G249" i="17"/>
  <c r="F249" i="17"/>
  <c r="E249" i="17"/>
  <c r="D249" i="17"/>
  <c r="C249" i="17"/>
  <c r="B249" i="17"/>
  <c r="A249" i="17"/>
  <c r="AQ249" i="17" s="1"/>
  <c r="I248" i="17"/>
  <c r="H248" i="17"/>
  <c r="G248" i="17"/>
  <c r="F248" i="17"/>
  <c r="E248" i="17"/>
  <c r="D248" i="17"/>
  <c r="C248" i="17"/>
  <c r="B248" i="17"/>
  <c r="A248" i="17"/>
  <c r="I247" i="17"/>
  <c r="H247" i="17"/>
  <c r="G247" i="17"/>
  <c r="F247" i="17"/>
  <c r="E247" i="17"/>
  <c r="D247" i="17"/>
  <c r="C247" i="17"/>
  <c r="B247" i="17"/>
  <c r="A247" i="17"/>
  <c r="O247" i="17" s="1"/>
  <c r="I246" i="17"/>
  <c r="H246" i="17"/>
  <c r="G246" i="17"/>
  <c r="F246" i="17"/>
  <c r="E246" i="17"/>
  <c r="D246" i="17"/>
  <c r="C246" i="17"/>
  <c r="B246" i="17"/>
  <c r="A246" i="17"/>
  <c r="AM245" i="17"/>
  <c r="AA245" i="17"/>
  <c r="I245" i="17"/>
  <c r="H245" i="17"/>
  <c r="G245" i="17"/>
  <c r="F245" i="17"/>
  <c r="E245" i="17"/>
  <c r="D245" i="17"/>
  <c r="C245" i="17"/>
  <c r="B245" i="17"/>
  <c r="A245" i="17"/>
  <c r="I244" i="17"/>
  <c r="H244" i="17"/>
  <c r="G244" i="17"/>
  <c r="F244" i="17"/>
  <c r="E244" i="17"/>
  <c r="D244" i="17"/>
  <c r="C244" i="17"/>
  <c r="B244" i="17"/>
  <c r="A244" i="17"/>
  <c r="AR243" i="17"/>
  <c r="AQ243" i="17"/>
  <c r="AI243" i="17"/>
  <c r="AF243" i="17"/>
  <c r="AE243" i="17"/>
  <c r="AB243" i="17"/>
  <c r="AA243" i="17"/>
  <c r="X243" i="17"/>
  <c r="P243" i="17"/>
  <c r="O243" i="17"/>
  <c r="N243" i="17"/>
  <c r="M243" i="17"/>
  <c r="L243" i="17"/>
  <c r="K243" i="17"/>
  <c r="I243" i="17"/>
  <c r="H243" i="17"/>
  <c r="G243" i="17"/>
  <c r="F243" i="17"/>
  <c r="E243" i="17"/>
  <c r="D243" i="17"/>
  <c r="C243" i="17"/>
  <c r="B243" i="17"/>
  <c r="A243" i="17"/>
  <c r="AP243" i="17" s="1"/>
  <c r="I242" i="17"/>
  <c r="H242" i="17"/>
  <c r="G242" i="17"/>
  <c r="F242" i="17"/>
  <c r="E242" i="17"/>
  <c r="D242" i="17"/>
  <c r="C242" i="17"/>
  <c r="B242" i="17"/>
  <c r="A242" i="17"/>
  <c r="I241" i="17"/>
  <c r="H241" i="17"/>
  <c r="G241" i="17"/>
  <c r="F241" i="17"/>
  <c r="E241" i="17"/>
  <c r="D241" i="17"/>
  <c r="C241" i="17"/>
  <c r="B241" i="17"/>
  <c r="A241" i="17"/>
  <c r="I240" i="17"/>
  <c r="H240" i="17"/>
  <c r="G240" i="17"/>
  <c r="F240" i="17"/>
  <c r="E240" i="17"/>
  <c r="D240" i="17"/>
  <c r="C240" i="17"/>
  <c r="B240" i="17"/>
  <c r="A240" i="17"/>
  <c r="AN239" i="17"/>
  <c r="AK239" i="17"/>
  <c r="I239" i="17"/>
  <c r="H239" i="17"/>
  <c r="G239" i="17"/>
  <c r="F239" i="17"/>
  <c r="E239" i="17"/>
  <c r="D239" i="17"/>
  <c r="C239" i="17"/>
  <c r="B239" i="17"/>
  <c r="A239" i="17"/>
  <c r="I238" i="17"/>
  <c r="H238" i="17"/>
  <c r="G238" i="17"/>
  <c r="F238" i="17"/>
  <c r="E238" i="17"/>
  <c r="D238" i="17"/>
  <c r="C238" i="17"/>
  <c r="B238" i="17"/>
  <c r="A238" i="17"/>
  <c r="AN238" i="17" s="1"/>
  <c r="AR237" i="17"/>
  <c r="AM237" i="17"/>
  <c r="AL237" i="17"/>
  <c r="AJ237" i="17"/>
  <c r="AC237" i="17"/>
  <c r="V237" i="17"/>
  <c r="S237" i="17"/>
  <c r="N237" i="17"/>
  <c r="M237" i="17"/>
  <c r="L237" i="17"/>
  <c r="I237" i="17"/>
  <c r="H237" i="17"/>
  <c r="G237" i="17"/>
  <c r="F237" i="17"/>
  <c r="E237" i="17"/>
  <c r="D237" i="17"/>
  <c r="C237" i="17"/>
  <c r="B237" i="17"/>
  <c r="A237" i="17"/>
  <c r="AA237" i="17" s="1"/>
  <c r="AJ236" i="17"/>
  <c r="AI236" i="17"/>
  <c r="I236" i="17"/>
  <c r="H236" i="17"/>
  <c r="G236" i="17"/>
  <c r="F236" i="17"/>
  <c r="E236" i="17"/>
  <c r="D236" i="17"/>
  <c r="C236" i="17"/>
  <c r="B236" i="17"/>
  <c r="A236" i="17"/>
  <c r="AM236" i="17" s="1"/>
  <c r="AE235" i="17"/>
  <c r="AD235" i="17"/>
  <c r="AC235" i="17"/>
  <c r="I235" i="17"/>
  <c r="H235" i="17"/>
  <c r="G235" i="17"/>
  <c r="F235" i="17"/>
  <c r="E235" i="17"/>
  <c r="D235" i="17"/>
  <c r="C235" i="17"/>
  <c r="B235" i="17"/>
  <c r="A235" i="17"/>
  <c r="AN235" i="17" s="1"/>
  <c r="W234" i="17"/>
  <c r="R234" i="17"/>
  <c r="Q234" i="17"/>
  <c r="P234" i="17"/>
  <c r="I234" i="17"/>
  <c r="H234" i="17"/>
  <c r="G234" i="17"/>
  <c r="F234" i="17"/>
  <c r="E234" i="17"/>
  <c r="D234" i="17"/>
  <c r="C234" i="17"/>
  <c r="B234" i="17"/>
  <c r="A234" i="17"/>
  <c r="W233" i="17"/>
  <c r="I233" i="17"/>
  <c r="H233" i="17"/>
  <c r="G233" i="17"/>
  <c r="F233" i="17"/>
  <c r="E233" i="17"/>
  <c r="D233" i="17"/>
  <c r="C233" i="17"/>
  <c r="B233" i="17"/>
  <c r="A233" i="17"/>
  <c r="AF232" i="17"/>
  <c r="Z232" i="17"/>
  <c r="Y232" i="17"/>
  <c r="T232" i="17"/>
  <c r="I232" i="17"/>
  <c r="H232" i="17"/>
  <c r="G232" i="17"/>
  <c r="F232" i="17"/>
  <c r="E232" i="17"/>
  <c r="D232" i="17"/>
  <c r="C232" i="17"/>
  <c r="B232" i="17"/>
  <c r="A232" i="17"/>
  <c r="R232" i="17" s="1"/>
  <c r="I231" i="17"/>
  <c r="H231" i="17"/>
  <c r="G231" i="17"/>
  <c r="F231" i="17"/>
  <c r="E231" i="17"/>
  <c r="D231" i="17"/>
  <c r="C231" i="17"/>
  <c r="B231" i="17"/>
  <c r="A231" i="17"/>
  <c r="I230" i="17"/>
  <c r="H230" i="17"/>
  <c r="G230" i="17"/>
  <c r="F230" i="17"/>
  <c r="E230" i="17"/>
  <c r="D230" i="17"/>
  <c r="C230" i="17"/>
  <c r="B230" i="17"/>
  <c r="A230" i="17"/>
  <c r="X229" i="17"/>
  <c r="W229" i="17"/>
  <c r="V229" i="17"/>
  <c r="S229" i="17"/>
  <c r="P229" i="17"/>
  <c r="I229" i="17"/>
  <c r="H229" i="17"/>
  <c r="G229" i="17"/>
  <c r="F229" i="17"/>
  <c r="E229" i="17"/>
  <c r="D229" i="17"/>
  <c r="C229" i="17"/>
  <c r="B229" i="17"/>
  <c r="A229" i="17"/>
  <c r="AM229" i="17" s="1"/>
  <c r="I228" i="17"/>
  <c r="H228" i="17"/>
  <c r="G228" i="17"/>
  <c r="F228" i="17"/>
  <c r="E228" i="17"/>
  <c r="D228" i="17"/>
  <c r="C228" i="17"/>
  <c r="B228" i="17"/>
  <c r="A228" i="17"/>
  <c r="AF227" i="17"/>
  <c r="AE227" i="17"/>
  <c r="U227" i="17"/>
  <c r="P227" i="17"/>
  <c r="M227" i="17"/>
  <c r="L227" i="17"/>
  <c r="I227" i="17"/>
  <c r="H227" i="17"/>
  <c r="G227" i="17"/>
  <c r="F227" i="17"/>
  <c r="E227" i="17"/>
  <c r="D227" i="17"/>
  <c r="C227" i="17"/>
  <c r="B227" i="17"/>
  <c r="A227" i="17"/>
  <c r="AQ227" i="17" s="1"/>
  <c r="I226" i="17"/>
  <c r="H226" i="17"/>
  <c r="G226" i="17"/>
  <c r="F226" i="17"/>
  <c r="E226" i="17"/>
  <c r="D226" i="17"/>
  <c r="C226" i="17"/>
  <c r="B226" i="17"/>
  <c r="A226" i="17"/>
  <c r="AJ225" i="17"/>
  <c r="X225" i="17"/>
  <c r="I225" i="17"/>
  <c r="H225" i="17"/>
  <c r="G225" i="17"/>
  <c r="F225" i="17"/>
  <c r="E225" i="17"/>
  <c r="D225" i="17"/>
  <c r="C225" i="17"/>
  <c r="B225" i="17"/>
  <c r="A225" i="17"/>
  <c r="AK225" i="17" s="1"/>
  <c r="I224" i="17"/>
  <c r="H224" i="17"/>
  <c r="G224" i="17"/>
  <c r="F224" i="17"/>
  <c r="E224" i="17"/>
  <c r="D224" i="17"/>
  <c r="C224" i="17"/>
  <c r="B224" i="17"/>
  <c r="A224" i="17"/>
  <c r="AJ224" i="17" s="1"/>
  <c r="T223" i="17"/>
  <c r="I223" i="17"/>
  <c r="H223" i="17"/>
  <c r="G223" i="17"/>
  <c r="F223" i="17"/>
  <c r="E223" i="17"/>
  <c r="D223" i="17"/>
  <c r="C223" i="17"/>
  <c r="B223" i="17"/>
  <c r="A223" i="17"/>
  <c r="I222" i="17"/>
  <c r="H222" i="17"/>
  <c r="G222" i="17"/>
  <c r="F222" i="17"/>
  <c r="E222" i="17"/>
  <c r="D222" i="17"/>
  <c r="C222" i="17"/>
  <c r="B222" i="17"/>
  <c r="A222" i="17"/>
  <c r="AN222" i="17" s="1"/>
  <c r="X221" i="17"/>
  <c r="I221" i="17"/>
  <c r="H221" i="17"/>
  <c r="G221" i="17"/>
  <c r="F221" i="17"/>
  <c r="E221" i="17"/>
  <c r="D221" i="17"/>
  <c r="C221" i="17"/>
  <c r="B221" i="17"/>
  <c r="A221" i="17"/>
  <c r="AI220" i="17"/>
  <c r="AH220" i="17"/>
  <c r="AB220" i="17"/>
  <c r="I220" i="17"/>
  <c r="H220" i="17"/>
  <c r="G220" i="17"/>
  <c r="F220" i="17"/>
  <c r="E220" i="17"/>
  <c r="D220" i="17"/>
  <c r="C220" i="17"/>
  <c r="B220" i="17"/>
  <c r="A220" i="17"/>
  <c r="Y220" i="17" s="1"/>
  <c r="AJ219" i="17"/>
  <c r="AC219" i="17"/>
  <c r="X219" i="17"/>
  <c r="U219" i="17"/>
  <c r="T219" i="17"/>
  <c r="S219" i="17"/>
  <c r="I219" i="17"/>
  <c r="H219" i="17"/>
  <c r="G219" i="17"/>
  <c r="F219" i="17"/>
  <c r="E219" i="17"/>
  <c r="D219" i="17"/>
  <c r="C219" i="17"/>
  <c r="B219" i="17"/>
  <c r="A219" i="17"/>
  <c r="AK219" i="17" s="1"/>
  <c r="I218" i="17"/>
  <c r="H218" i="17"/>
  <c r="G218" i="17"/>
  <c r="F218" i="17"/>
  <c r="E218" i="17"/>
  <c r="D218" i="17"/>
  <c r="C218" i="17"/>
  <c r="B218" i="17"/>
  <c r="A218" i="17"/>
  <c r="AQ217" i="17"/>
  <c r="AN217" i="17"/>
  <c r="I217" i="17"/>
  <c r="H217" i="17"/>
  <c r="G217" i="17"/>
  <c r="F217" i="17"/>
  <c r="E217" i="17"/>
  <c r="D217" i="17"/>
  <c r="C217" i="17"/>
  <c r="B217" i="17"/>
  <c r="A217" i="17"/>
  <c r="I216" i="17"/>
  <c r="H216" i="17"/>
  <c r="G216" i="17"/>
  <c r="F216" i="17"/>
  <c r="E216" i="17"/>
  <c r="D216" i="17"/>
  <c r="C216" i="17"/>
  <c r="B216" i="17"/>
  <c r="A216" i="17"/>
  <c r="AE215" i="17"/>
  <c r="AD215" i="17"/>
  <c r="AA215" i="17"/>
  <c r="X215" i="17"/>
  <c r="U215" i="17"/>
  <c r="I215" i="17"/>
  <c r="H215" i="17"/>
  <c r="G215" i="17"/>
  <c r="F215" i="17"/>
  <c r="E215" i="17"/>
  <c r="D215" i="17"/>
  <c r="C215" i="17"/>
  <c r="B215" i="17"/>
  <c r="A215" i="17"/>
  <c r="I214" i="17"/>
  <c r="H214" i="17"/>
  <c r="G214" i="17"/>
  <c r="F214" i="17"/>
  <c r="E214" i="17"/>
  <c r="D214" i="17"/>
  <c r="C214" i="17"/>
  <c r="B214" i="17"/>
  <c r="A214" i="17"/>
  <c r="AK213" i="17"/>
  <c r="AJ213" i="17"/>
  <c r="AE213" i="17"/>
  <c r="O213" i="17"/>
  <c r="N213" i="17"/>
  <c r="M213" i="17"/>
  <c r="I213" i="17"/>
  <c r="H213" i="17"/>
  <c r="G213" i="17"/>
  <c r="F213" i="17"/>
  <c r="E213" i="17"/>
  <c r="D213" i="17"/>
  <c r="C213" i="17"/>
  <c r="B213" i="17"/>
  <c r="A213" i="17"/>
  <c r="AN213" i="17" s="1"/>
  <c r="I212" i="17"/>
  <c r="H212" i="17"/>
  <c r="G212" i="17"/>
  <c r="F212" i="17"/>
  <c r="E212" i="17"/>
  <c r="D212" i="17"/>
  <c r="C212" i="17"/>
  <c r="B212" i="17"/>
  <c r="A212" i="17"/>
  <c r="W212" i="17" s="1"/>
  <c r="AR211" i="17"/>
  <c r="I211" i="17"/>
  <c r="H211" i="17"/>
  <c r="G211" i="17"/>
  <c r="F211" i="17"/>
  <c r="E211" i="17"/>
  <c r="D211" i="17"/>
  <c r="C211" i="17"/>
  <c r="B211" i="17"/>
  <c r="A211" i="17"/>
  <c r="I210" i="17"/>
  <c r="H210" i="17"/>
  <c r="G210" i="17"/>
  <c r="F210" i="17"/>
  <c r="E210" i="17"/>
  <c r="D210" i="17"/>
  <c r="C210" i="17"/>
  <c r="B210" i="17"/>
  <c r="A210" i="17"/>
  <c r="AM209" i="17"/>
  <c r="AL209" i="17"/>
  <c r="AK209" i="17"/>
  <c r="AB209" i="17"/>
  <c r="W209" i="17"/>
  <c r="P209" i="17"/>
  <c r="O209" i="17"/>
  <c r="N209" i="17"/>
  <c r="M209" i="17"/>
  <c r="I209" i="17"/>
  <c r="H209" i="17"/>
  <c r="G209" i="17"/>
  <c r="F209" i="17"/>
  <c r="E209" i="17"/>
  <c r="D209" i="17"/>
  <c r="C209" i="17"/>
  <c r="B209" i="17"/>
  <c r="A209" i="17"/>
  <c r="AR209" i="17" s="1"/>
  <c r="I208" i="17"/>
  <c r="H208" i="17"/>
  <c r="G208" i="17"/>
  <c r="F208" i="17"/>
  <c r="E208" i="17"/>
  <c r="D208" i="17"/>
  <c r="C208" i="17"/>
  <c r="B208" i="17"/>
  <c r="A208" i="17"/>
  <c r="AQ207" i="17"/>
  <c r="AL207" i="17"/>
  <c r="AK207" i="17"/>
  <c r="AJ207" i="17"/>
  <c r="AI207" i="17"/>
  <c r="W207" i="17"/>
  <c r="V207" i="17"/>
  <c r="U207" i="17"/>
  <c r="P207" i="17"/>
  <c r="M207" i="17"/>
  <c r="L207" i="17"/>
  <c r="I207" i="17"/>
  <c r="H207" i="17"/>
  <c r="G207" i="17"/>
  <c r="F207" i="17"/>
  <c r="E207" i="17"/>
  <c r="D207" i="17"/>
  <c r="C207" i="17"/>
  <c r="B207" i="17"/>
  <c r="A207" i="17"/>
  <c r="AF207" i="17" s="1"/>
  <c r="I206" i="17"/>
  <c r="H206" i="17"/>
  <c r="G206" i="17"/>
  <c r="F206" i="17"/>
  <c r="E206" i="17"/>
  <c r="D206" i="17"/>
  <c r="C206" i="17"/>
  <c r="B206" i="17"/>
  <c r="A206" i="17"/>
  <c r="AJ206" i="17" s="1"/>
  <c r="AQ205" i="17"/>
  <c r="AL205" i="17"/>
  <c r="AI205" i="17"/>
  <c r="AF205" i="17"/>
  <c r="AA205" i="17"/>
  <c r="O205" i="17"/>
  <c r="I205" i="17"/>
  <c r="H205" i="17"/>
  <c r="G205" i="17"/>
  <c r="F205" i="17"/>
  <c r="E205" i="17"/>
  <c r="D205" i="17"/>
  <c r="C205" i="17"/>
  <c r="B205" i="17"/>
  <c r="A205" i="17"/>
  <c r="AN204" i="17"/>
  <c r="AM204" i="17"/>
  <c r="O204" i="17"/>
  <c r="I204" i="17"/>
  <c r="H204" i="17"/>
  <c r="G204" i="17"/>
  <c r="F204" i="17"/>
  <c r="E204" i="17"/>
  <c r="D204" i="17"/>
  <c r="C204" i="17"/>
  <c r="B204" i="17"/>
  <c r="A204" i="17"/>
  <c r="AK203" i="17"/>
  <c r="AF203" i="17"/>
  <c r="I203" i="17"/>
  <c r="H203" i="17"/>
  <c r="G203" i="17"/>
  <c r="F203" i="17"/>
  <c r="E203" i="17"/>
  <c r="D203" i="17"/>
  <c r="C203" i="17"/>
  <c r="B203" i="17"/>
  <c r="A203" i="17"/>
  <c r="AR202" i="17"/>
  <c r="AI202" i="17"/>
  <c r="AH202" i="17"/>
  <c r="AB202" i="17"/>
  <c r="Q202" i="17"/>
  <c r="I202" i="17"/>
  <c r="H202" i="17"/>
  <c r="G202" i="17"/>
  <c r="F202" i="17"/>
  <c r="E202" i="17"/>
  <c r="D202" i="17"/>
  <c r="C202" i="17"/>
  <c r="B202" i="17"/>
  <c r="A202" i="17"/>
  <c r="AQ201" i="17"/>
  <c r="V201" i="17"/>
  <c r="U201" i="17"/>
  <c r="P201" i="17"/>
  <c r="I201" i="17"/>
  <c r="H201" i="17"/>
  <c r="G201" i="17"/>
  <c r="F201" i="17"/>
  <c r="E201" i="17"/>
  <c r="D201" i="17"/>
  <c r="C201" i="17"/>
  <c r="B201" i="17"/>
  <c r="A201" i="17"/>
  <c r="Q200" i="17"/>
  <c r="I200" i="17"/>
  <c r="H200" i="17"/>
  <c r="G200" i="17"/>
  <c r="F200" i="17"/>
  <c r="E200" i="17"/>
  <c r="D200" i="17"/>
  <c r="C200" i="17"/>
  <c r="B200" i="17"/>
  <c r="A200" i="17"/>
  <c r="AR199" i="17"/>
  <c r="AQ199" i="17"/>
  <c r="AJ199" i="17"/>
  <c r="AI199" i="17"/>
  <c r="AA199" i="17"/>
  <c r="V199" i="17"/>
  <c r="U199" i="17"/>
  <c r="P199" i="17"/>
  <c r="O199" i="17"/>
  <c r="N199" i="17"/>
  <c r="I199" i="17"/>
  <c r="H199" i="17"/>
  <c r="G199" i="17"/>
  <c r="F199" i="17"/>
  <c r="E199" i="17"/>
  <c r="D199" i="17"/>
  <c r="C199" i="17"/>
  <c r="B199" i="17"/>
  <c r="A199" i="17"/>
  <c r="AF199" i="17" s="1"/>
  <c r="AQ198" i="17"/>
  <c r="AG198" i="17"/>
  <c r="AF198" i="17"/>
  <c r="AE198" i="17"/>
  <c r="Y198" i="17"/>
  <c r="J198" i="17"/>
  <c r="I198" i="17"/>
  <c r="H198" i="17"/>
  <c r="G198" i="17"/>
  <c r="F198" i="17"/>
  <c r="E198" i="17"/>
  <c r="D198" i="17"/>
  <c r="C198" i="17"/>
  <c r="B198" i="17"/>
  <c r="A198" i="17"/>
  <c r="AQ197" i="17"/>
  <c r="AF197" i="17"/>
  <c r="AE197" i="17"/>
  <c r="X197" i="17"/>
  <c r="W197" i="17"/>
  <c r="U197" i="17"/>
  <c r="K197" i="17"/>
  <c r="I197" i="17"/>
  <c r="H197" i="17"/>
  <c r="G197" i="17"/>
  <c r="F197" i="17"/>
  <c r="E197" i="17"/>
  <c r="D197" i="17"/>
  <c r="C197" i="17"/>
  <c r="B197" i="17"/>
  <c r="A197" i="17"/>
  <c r="I196" i="17"/>
  <c r="H196" i="17"/>
  <c r="G196" i="17"/>
  <c r="F196" i="17"/>
  <c r="E196" i="17"/>
  <c r="D196" i="17"/>
  <c r="C196" i="17"/>
  <c r="B196" i="17"/>
  <c r="A196" i="17"/>
  <c r="AL195" i="17"/>
  <c r="AB195" i="17"/>
  <c r="AA195" i="17"/>
  <c r="I195" i="17"/>
  <c r="H195" i="17"/>
  <c r="G195" i="17"/>
  <c r="F195" i="17"/>
  <c r="E195" i="17"/>
  <c r="D195" i="17"/>
  <c r="C195" i="17"/>
  <c r="B195" i="17"/>
  <c r="A195" i="17"/>
  <c r="AM195" i="17" s="1"/>
  <c r="AA194" i="17"/>
  <c r="R194" i="17"/>
  <c r="I194" i="17"/>
  <c r="H194" i="17"/>
  <c r="G194" i="17"/>
  <c r="F194" i="17"/>
  <c r="E194" i="17"/>
  <c r="D194" i="17"/>
  <c r="C194" i="17"/>
  <c r="B194" i="17"/>
  <c r="A194" i="17"/>
  <c r="AN193" i="17"/>
  <c r="AK193" i="17"/>
  <c r="I193" i="17"/>
  <c r="H193" i="17"/>
  <c r="G193" i="17"/>
  <c r="F193" i="17"/>
  <c r="E193" i="17"/>
  <c r="D193" i="17"/>
  <c r="C193" i="17"/>
  <c r="B193" i="17"/>
  <c r="A193" i="17"/>
  <c r="I192" i="17"/>
  <c r="H192" i="17"/>
  <c r="G192" i="17"/>
  <c r="F192" i="17"/>
  <c r="E192" i="17"/>
  <c r="D192" i="17"/>
  <c r="C192" i="17"/>
  <c r="B192" i="17"/>
  <c r="A192" i="17"/>
  <c r="AA192" i="17" s="1"/>
  <c r="I191" i="17"/>
  <c r="H191" i="17"/>
  <c r="G191" i="17"/>
  <c r="F191" i="17"/>
  <c r="E191" i="17"/>
  <c r="D191" i="17"/>
  <c r="C191" i="17"/>
  <c r="B191" i="17"/>
  <c r="A191" i="17"/>
  <c r="I190" i="17"/>
  <c r="H190" i="17"/>
  <c r="G190" i="17"/>
  <c r="F190" i="17"/>
  <c r="E190" i="17"/>
  <c r="D190" i="17"/>
  <c r="C190" i="17"/>
  <c r="B190" i="17"/>
  <c r="A190" i="17"/>
  <c r="I189" i="17"/>
  <c r="H189" i="17"/>
  <c r="G189" i="17"/>
  <c r="F189" i="17"/>
  <c r="E189" i="17"/>
  <c r="D189" i="17"/>
  <c r="C189" i="17"/>
  <c r="B189" i="17"/>
  <c r="A189" i="17"/>
  <c r="AR188" i="17"/>
  <c r="I188" i="17"/>
  <c r="H188" i="17"/>
  <c r="G188" i="17"/>
  <c r="F188" i="17"/>
  <c r="E188" i="17"/>
  <c r="D188" i="17"/>
  <c r="C188" i="17"/>
  <c r="B188" i="17"/>
  <c r="A188" i="17"/>
  <c r="L188" i="17" s="1"/>
  <c r="I187" i="17"/>
  <c r="H187" i="17"/>
  <c r="G187" i="17"/>
  <c r="F187" i="17"/>
  <c r="E187" i="17"/>
  <c r="D187" i="17"/>
  <c r="C187" i="17"/>
  <c r="B187" i="17"/>
  <c r="A187" i="17"/>
  <c r="AR186" i="17"/>
  <c r="AQ186" i="17"/>
  <c r="I186" i="17"/>
  <c r="H186" i="17"/>
  <c r="G186" i="17"/>
  <c r="F186" i="17"/>
  <c r="E186" i="17"/>
  <c r="D186" i="17"/>
  <c r="C186" i="17"/>
  <c r="B186" i="17"/>
  <c r="A186" i="17"/>
  <c r="P186" i="17" s="1"/>
  <c r="AK185" i="17"/>
  <c r="AD185" i="17"/>
  <c r="I185" i="17"/>
  <c r="H185" i="17"/>
  <c r="G185" i="17"/>
  <c r="F185" i="17"/>
  <c r="E185" i="17"/>
  <c r="D185" i="17"/>
  <c r="C185" i="17"/>
  <c r="B185" i="17"/>
  <c r="A185" i="17"/>
  <c r="T184" i="17"/>
  <c r="R184" i="17"/>
  <c r="O184" i="17"/>
  <c r="I184" i="17"/>
  <c r="H184" i="17"/>
  <c r="G184" i="17"/>
  <c r="F184" i="17"/>
  <c r="E184" i="17"/>
  <c r="D184" i="17"/>
  <c r="C184" i="17"/>
  <c r="B184" i="17"/>
  <c r="A184" i="17"/>
  <c r="I183" i="17"/>
  <c r="H183" i="17"/>
  <c r="G183" i="17"/>
  <c r="F183" i="17"/>
  <c r="E183" i="17"/>
  <c r="D183" i="17"/>
  <c r="C183" i="17"/>
  <c r="B183" i="17"/>
  <c r="A183" i="17"/>
  <c r="I182" i="17"/>
  <c r="H182" i="17"/>
  <c r="G182" i="17"/>
  <c r="F182" i="17"/>
  <c r="E182" i="17"/>
  <c r="D182" i="17"/>
  <c r="C182" i="17"/>
  <c r="B182" i="17"/>
  <c r="A182" i="17"/>
  <c r="I181" i="17"/>
  <c r="H181" i="17"/>
  <c r="G181" i="17"/>
  <c r="F181" i="17"/>
  <c r="E181" i="17"/>
  <c r="D181" i="17"/>
  <c r="C181" i="17"/>
  <c r="B181" i="17"/>
  <c r="A181" i="17"/>
  <c r="V181" i="17" s="1"/>
  <c r="AR180" i="17"/>
  <c r="AE180" i="17"/>
  <c r="AB180" i="17"/>
  <c r="X180" i="17"/>
  <c r="W180" i="17"/>
  <c r="L180" i="17"/>
  <c r="I180" i="17"/>
  <c r="H180" i="17"/>
  <c r="G180" i="17"/>
  <c r="F180" i="17"/>
  <c r="E180" i="17"/>
  <c r="D180" i="17"/>
  <c r="C180" i="17"/>
  <c r="B180" i="17"/>
  <c r="A180" i="17"/>
  <c r="AQ180" i="17" s="1"/>
  <c r="AN179" i="17"/>
  <c r="AM179" i="17"/>
  <c r="AB179" i="17"/>
  <c r="AA179" i="17"/>
  <c r="U179" i="17"/>
  <c r="T179" i="17"/>
  <c r="I179" i="17"/>
  <c r="H179" i="17"/>
  <c r="G179" i="17"/>
  <c r="F179" i="17"/>
  <c r="E179" i="17"/>
  <c r="D179" i="17"/>
  <c r="C179" i="17"/>
  <c r="B179" i="17"/>
  <c r="A179" i="17"/>
  <c r="AJ179" i="17" s="1"/>
  <c r="I178" i="17"/>
  <c r="H178" i="17"/>
  <c r="G178" i="17"/>
  <c r="F178" i="17"/>
  <c r="E178" i="17"/>
  <c r="D178" i="17"/>
  <c r="C178" i="17"/>
  <c r="B178" i="17"/>
  <c r="A178" i="17"/>
  <c r="AL177" i="17"/>
  <c r="AK177" i="17"/>
  <c r="AI177" i="17"/>
  <c r="AB177" i="17"/>
  <c r="W177" i="17"/>
  <c r="U177" i="17"/>
  <c r="P177" i="17"/>
  <c r="O177" i="17"/>
  <c r="N177" i="17"/>
  <c r="M177" i="17"/>
  <c r="I177" i="17"/>
  <c r="H177" i="17"/>
  <c r="G177" i="17"/>
  <c r="F177" i="17"/>
  <c r="E177" i="17"/>
  <c r="D177" i="17"/>
  <c r="C177" i="17"/>
  <c r="B177" i="17"/>
  <c r="A177" i="17"/>
  <c r="AE176" i="17"/>
  <c r="J176" i="17"/>
  <c r="I176" i="17"/>
  <c r="H176" i="17"/>
  <c r="G176" i="17"/>
  <c r="F176" i="17"/>
  <c r="E176" i="17"/>
  <c r="D176" i="17"/>
  <c r="C176" i="17"/>
  <c r="B176" i="17"/>
  <c r="A176" i="17"/>
  <c r="AF176" i="17" s="1"/>
  <c r="I175" i="17"/>
  <c r="H175" i="17"/>
  <c r="G175" i="17"/>
  <c r="F175" i="17"/>
  <c r="E175" i="17"/>
  <c r="D175" i="17"/>
  <c r="C175" i="17"/>
  <c r="B175" i="17"/>
  <c r="A175" i="17"/>
  <c r="I174" i="17"/>
  <c r="H174" i="17"/>
  <c r="G174" i="17"/>
  <c r="F174" i="17"/>
  <c r="E174" i="17"/>
  <c r="D174" i="17"/>
  <c r="C174" i="17"/>
  <c r="B174" i="17"/>
  <c r="A174" i="17"/>
  <c r="I173" i="17"/>
  <c r="H173" i="17"/>
  <c r="G173" i="17"/>
  <c r="F173" i="17"/>
  <c r="E173" i="17"/>
  <c r="D173" i="17"/>
  <c r="C173" i="17"/>
  <c r="B173" i="17"/>
  <c r="A173" i="17"/>
  <c r="V173" i="17" s="1"/>
  <c r="I172" i="17"/>
  <c r="H172" i="17"/>
  <c r="G172" i="17"/>
  <c r="F172" i="17"/>
  <c r="E172" i="17"/>
  <c r="D172" i="17"/>
  <c r="C172" i="17"/>
  <c r="B172" i="17"/>
  <c r="A172" i="17"/>
  <c r="I171" i="17"/>
  <c r="H171" i="17"/>
  <c r="G171" i="17"/>
  <c r="F171" i="17"/>
  <c r="E171" i="17"/>
  <c r="D171" i="17"/>
  <c r="C171" i="17"/>
  <c r="B171" i="17"/>
  <c r="A171" i="17"/>
  <c r="T171" i="17" s="1"/>
  <c r="I170" i="17"/>
  <c r="H170" i="17"/>
  <c r="G170" i="17"/>
  <c r="F170" i="17"/>
  <c r="E170" i="17"/>
  <c r="D170" i="17"/>
  <c r="C170" i="17"/>
  <c r="B170" i="17"/>
  <c r="A170" i="17"/>
  <c r="Z170" i="17" s="1"/>
  <c r="I169" i="17"/>
  <c r="H169" i="17"/>
  <c r="G169" i="17"/>
  <c r="F169" i="17"/>
  <c r="E169" i="17"/>
  <c r="D169" i="17"/>
  <c r="C169" i="17"/>
  <c r="B169" i="17"/>
  <c r="A169" i="17"/>
  <c r="AB169" i="17" s="1"/>
  <c r="I168" i="17"/>
  <c r="H168" i="17"/>
  <c r="G168" i="17"/>
  <c r="F168" i="17"/>
  <c r="E168" i="17"/>
  <c r="D168" i="17"/>
  <c r="C168" i="17"/>
  <c r="B168" i="17"/>
  <c r="A168" i="17"/>
  <c r="T168" i="17" s="1"/>
  <c r="I167" i="17"/>
  <c r="H167" i="17"/>
  <c r="G167" i="17"/>
  <c r="F167" i="17"/>
  <c r="E167" i="17"/>
  <c r="D167" i="17"/>
  <c r="C167" i="17"/>
  <c r="B167" i="17"/>
  <c r="A167" i="17"/>
  <c r="I166" i="17"/>
  <c r="H166" i="17"/>
  <c r="G166" i="17"/>
  <c r="F166" i="17"/>
  <c r="E166" i="17"/>
  <c r="D166" i="17"/>
  <c r="C166" i="17"/>
  <c r="B166" i="17"/>
  <c r="A166" i="17"/>
  <c r="Y166" i="17" s="1"/>
  <c r="I165" i="17"/>
  <c r="H165" i="17"/>
  <c r="G165" i="17"/>
  <c r="F165" i="17"/>
  <c r="E165" i="17"/>
  <c r="D165" i="17"/>
  <c r="C165" i="17"/>
  <c r="B165" i="17"/>
  <c r="A165" i="17"/>
  <c r="M165" i="17" s="1"/>
  <c r="I164" i="17"/>
  <c r="H164" i="17"/>
  <c r="G164" i="17"/>
  <c r="F164" i="17"/>
  <c r="E164" i="17"/>
  <c r="D164" i="17"/>
  <c r="C164" i="17"/>
  <c r="B164" i="17"/>
  <c r="A164" i="17"/>
  <c r="AB164" i="17" s="1"/>
  <c r="I163" i="17"/>
  <c r="H163" i="17"/>
  <c r="G163" i="17"/>
  <c r="F163" i="17"/>
  <c r="E163" i="17"/>
  <c r="D163" i="17"/>
  <c r="C163" i="17"/>
  <c r="B163" i="17"/>
  <c r="A163" i="17"/>
  <c r="I162" i="17"/>
  <c r="H162" i="17"/>
  <c r="G162" i="17"/>
  <c r="F162" i="17"/>
  <c r="E162" i="17"/>
  <c r="D162" i="17"/>
  <c r="C162" i="17"/>
  <c r="B162" i="17"/>
  <c r="A162" i="17"/>
  <c r="AO162" i="17" s="1"/>
  <c r="I161" i="17"/>
  <c r="H161" i="17"/>
  <c r="G161" i="17"/>
  <c r="F161" i="17"/>
  <c r="E161" i="17"/>
  <c r="D161" i="17"/>
  <c r="C161" i="17"/>
  <c r="B161" i="17"/>
  <c r="A161" i="17"/>
  <c r="AB161" i="17" s="1"/>
  <c r="I160" i="17"/>
  <c r="H160" i="17"/>
  <c r="G160" i="17"/>
  <c r="F160" i="17"/>
  <c r="E160" i="17"/>
  <c r="D160" i="17"/>
  <c r="C160" i="17"/>
  <c r="B160" i="17"/>
  <c r="A160" i="17"/>
  <c r="S160" i="17" s="1"/>
  <c r="I159" i="17"/>
  <c r="H159" i="17"/>
  <c r="G159" i="17"/>
  <c r="F159" i="17"/>
  <c r="E159" i="17"/>
  <c r="D159" i="17"/>
  <c r="C159" i="17"/>
  <c r="B159" i="17"/>
  <c r="A159" i="17"/>
  <c r="X159" i="17" s="1"/>
  <c r="I158" i="17"/>
  <c r="H158" i="17"/>
  <c r="G158" i="17"/>
  <c r="F158" i="17"/>
  <c r="E158" i="17"/>
  <c r="D158" i="17"/>
  <c r="C158" i="17"/>
  <c r="B158" i="17"/>
  <c r="A158" i="17"/>
  <c r="I157" i="17"/>
  <c r="H157" i="17"/>
  <c r="G157" i="17"/>
  <c r="F157" i="17"/>
  <c r="E157" i="17"/>
  <c r="D157" i="17"/>
  <c r="C157" i="17"/>
  <c r="B157" i="17"/>
  <c r="A157" i="17"/>
  <c r="W157" i="17" s="1"/>
  <c r="I156" i="17"/>
  <c r="H156" i="17"/>
  <c r="G156" i="17"/>
  <c r="F156" i="17"/>
  <c r="E156" i="17"/>
  <c r="D156" i="17"/>
  <c r="C156" i="17"/>
  <c r="B156" i="17"/>
  <c r="A156" i="17"/>
  <c r="I155" i="17"/>
  <c r="H155" i="17"/>
  <c r="G155" i="17"/>
  <c r="F155" i="17"/>
  <c r="E155" i="17"/>
  <c r="D155" i="17"/>
  <c r="C155" i="17"/>
  <c r="B155" i="17"/>
  <c r="A155" i="17"/>
  <c r="I154" i="17"/>
  <c r="H154" i="17"/>
  <c r="G154" i="17"/>
  <c r="F154" i="17"/>
  <c r="E154" i="17"/>
  <c r="D154" i="17"/>
  <c r="C154" i="17"/>
  <c r="B154" i="17"/>
  <c r="A154" i="17"/>
  <c r="L154" i="17" s="1"/>
  <c r="I153" i="17"/>
  <c r="H153" i="17"/>
  <c r="G153" i="17"/>
  <c r="F153" i="17"/>
  <c r="E153" i="17"/>
  <c r="D153" i="17"/>
  <c r="C153" i="17"/>
  <c r="B153" i="17"/>
  <c r="A153" i="17"/>
  <c r="I152" i="17"/>
  <c r="H152" i="17"/>
  <c r="G152" i="17"/>
  <c r="F152" i="17"/>
  <c r="E152" i="17"/>
  <c r="D152" i="17"/>
  <c r="C152" i="17"/>
  <c r="B152" i="17"/>
  <c r="A152" i="17"/>
  <c r="I151" i="17"/>
  <c r="H151" i="17"/>
  <c r="G151" i="17"/>
  <c r="F151" i="17"/>
  <c r="E151" i="17"/>
  <c r="D151" i="17"/>
  <c r="C151" i="17"/>
  <c r="B151" i="17"/>
  <c r="A151" i="17"/>
  <c r="I150" i="17"/>
  <c r="H150" i="17"/>
  <c r="G150" i="17"/>
  <c r="F150" i="17"/>
  <c r="E150" i="17"/>
  <c r="D150" i="17"/>
  <c r="C150" i="17"/>
  <c r="B150" i="17"/>
  <c r="A150" i="17"/>
  <c r="AO150" i="17" s="1"/>
  <c r="I149" i="17"/>
  <c r="H149" i="17"/>
  <c r="G149" i="17"/>
  <c r="F149" i="17"/>
  <c r="E149" i="17"/>
  <c r="D149" i="17"/>
  <c r="C149" i="17"/>
  <c r="B149" i="17"/>
  <c r="A149" i="17"/>
  <c r="T149" i="17" s="1"/>
  <c r="I148" i="17"/>
  <c r="H148" i="17"/>
  <c r="G148" i="17"/>
  <c r="F148" i="17"/>
  <c r="E148" i="17"/>
  <c r="D148" i="17"/>
  <c r="C148" i="17"/>
  <c r="B148" i="17"/>
  <c r="A148" i="17"/>
  <c r="AB147" i="17"/>
  <c r="I147" i="17"/>
  <c r="H147" i="17"/>
  <c r="G147" i="17"/>
  <c r="F147" i="17"/>
  <c r="E147" i="17"/>
  <c r="D147" i="17"/>
  <c r="C147" i="17"/>
  <c r="B147" i="17"/>
  <c r="A147" i="17"/>
  <c r="V147" i="17" s="1"/>
  <c r="I146" i="17"/>
  <c r="H146" i="17"/>
  <c r="G146" i="17"/>
  <c r="F146" i="17"/>
  <c r="E146" i="17"/>
  <c r="D146" i="17"/>
  <c r="C146" i="17"/>
  <c r="B146" i="17"/>
  <c r="A146" i="17"/>
  <c r="V145" i="17"/>
  <c r="U145" i="17"/>
  <c r="T145" i="17"/>
  <c r="I145" i="17"/>
  <c r="H145" i="17"/>
  <c r="G145" i="17"/>
  <c r="F145" i="17"/>
  <c r="E145" i="17"/>
  <c r="D145" i="17"/>
  <c r="C145" i="17"/>
  <c r="S145" i="17" s="1"/>
  <c r="B145" i="17"/>
  <c r="A145" i="17"/>
  <c r="I144" i="17"/>
  <c r="H144" i="17"/>
  <c r="G144" i="17"/>
  <c r="F144" i="17"/>
  <c r="E144" i="17"/>
  <c r="D144" i="17"/>
  <c r="C144" i="17"/>
  <c r="B144" i="17"/>
  <c r="A144" i="17"/>
  <c r="Q144" i="17" s="1"/>
  <c r="I143" i="17"/>
  <c r="H143" i="17"/>
  <c r="G143" i="17"/>
  <c r="F143" i="17"/>
  <c r="E143" i="17"/>
  <c r="D143" i="17"/>
  <c r="C143" i="17"/>
  <c r="B143" i="17"/>
  <c r="A143" i="17"/>
  <c r="I142" i="17"/>
  <c r="H142" i="17"/>
  <c r="G142" i="17"/>
  <c r="F142" i="17"/>
  <c r="E142" i="17"/>
  <c r="D142" i="17"/>
  <c r="C142" i="17"/>
  <c r="B142" i="17"/>
  <c r="A142" i="17"/>
  <c r="AO142" i="17" s="1"/>
  <c r="I141" i="17"/>
  <c r="H141" i="17"/>
  <c r="G141" i="17"/>
  <c r="F141" i="17"/>
  <c r="E141" i="17"/>
  <c r="D141" i="17"/>
  <c r="C141" i="17"/>
  <c r="B141" i="17"/>
  <c r="A141" i="17"/>
  <c r="I140" i="17"/>
  <c r="H140" i="17"/>
  <c r="G140" i="17"/>
  <c r="F140" i="17"/>
  <c r="E140" i="17"/>
  <c r="D140" i="17"/>
  <c r="C140" i="17"/>
  <c r="B140" i="17"/>
  <c r="A140" i="17"/>
  <c r="Y140" i="17" s="1"/>
  <c r="I139" i="17"/>
  <c r="H139" i="17"/>
  <c r="G139" i="17"/>
  <c r="F139" i="17"/>
  <c r="E139" i="17"/>
  <c r="D139" i="17"/>
  <c r="C139" i="17"/>
  <c r="B139" i="17"/>
  <c r="A139" i="17"/>
  <c r="X139" i="17" s="1"/>
  <c r="I138" i="17"/>
  <c r="H138" i="17"/>
  <c r="G138" i="17"/>
  <c r="F138" i="17"/>
  <c r="E138" i="17"/>
  <c r="D138" i="17"/>
  <c r="C138" i="17"/>
  <c r="B138" i="17"/>
  <c r="A138" i="17"/>
  <c r="I137" i="17"/>
  <c r="H137" i="17"/>
  <c r="G137" i="17"/>
  <c r="F137" i="17"/>
  <c r="E137" i="17"/>
  <c r="D137" i="17"/>
  <c r="C137" i="17"/>
  <c r="B137" i="17"/>
  <c r="A137" i="17"/>
  <c r="I136" i="17"/>
  <c r="H136" i="17"/>
  <c r="G136" i="17"/>
  <c r="F136" i="17"/>
  <c r="E136" i="17"/>
  <c r="D136" i="17"/>
  <c r="C136" i="17"/>
  <c r="B136" i="17"/>
  <c r="A136" i="17"/>
  <c r="I135" i="17"/>
  <c r="H135" i="17"/>
  <c r="G135" i="17"/>
  <c r="F135" i="17"/>
  <c r="E135" i="17"/>
  <c r="D135" i="17"/>
  <c r="C135" i="17"/>
  <c r="B135" i="17"/>
  <c r="A135" i="17"/>
  <c r="I134" i="17"/>
  <c r="H134" i="17"/>
  <c r="G134" i="17"/>
  <c r="F134" i="17"/>
  <c r="E134" i="17"/>
  <c r="D134" i="17"/>
  <c r="C134" i="17"/>
  <c r="B134" i="17"/>
  <c r="A134" i="17"/>
  <c r="T134" i="17" s="1"/>
  <c r="I133" i="17"/>
  <c r="H133" i="17"/>
  <c r="G133" i="17"/>
  <c r="F133" i="17"/>
  <c r="E133" i="17"/>
  <c r="D133" i="17"/>
  <c r="C133" i="17"/>
  <c r="B133" i="17"/>
  <c r="A133" i="17"/>
  <c r="I132" i="17"/>
  <c r="H132" i="17"/>
  <c r="G132" i="17"/>
  <c r="F132" i="17"/>
  <c r="E132" i="17"/>
  <c r="D132" i="17"/>
  <c r="C132" i="17"/>
  <c r="B132" i="17"/>
  <c r="A132" i="17"/>
  <c r="R132" i="17" s="1"/>
  <c r="AB131" i="17"/>
  <c r="AA131" i="17"/>
  <c r="I131" i="17"/>
  <c r="H131" i="17"/>
  <c r="G131" i="17"/>
  <c r="F131" i="17"/>
  <c r="E131" i="17"/>
  <c r="D131" i="17"/>
  <c r="C131" i="17"/>
  <c r="B131" i="17"/>
  <c r="A131" i="17"/>
  <c r="U131" i="17" s="1"/>
  <c r="I130" i="17"/>
  <c r="H130" i="17"/>
  <c r="G130" i="17"/>
  <c r="F130" i="17"/>
  <c r="E130" i="17"/>
  <c r="D130" i="17"/>
  <c r="C130" i="17"/>
  <c r="B130" i="17"/>
  <c r="A130" i="17"/>
  <c r="T130" i="17" s="1"/>
  <c r="I129" i="17"/>
  <c r="H129" i="17"/>
  <c r="G129" i="17"/>
  <c r="F129" i="17"/>
  <c r="E129" i="17"/>
  <c r="D129" i="17"/>
  <c r="C129" i="17"/>
  <c r="B129" i="17"/>
  <c r="A129" i="17"/>
  <c r="X129" i="17" s="1"/>
  <c r="I128" i="17"/>
  <c r="H128" i="17"/>
  <c r="G128" i="17"/>
  <c r="F128" i="17"/>
  <c r="E128" i="17"/>
  <c r="D128" i="17"/>
  <c r="C128" i="17"/>
  <c r="B128" i="17"/>
  <c r="A128" i="17"/>
  <c r="I127" i="17"/>
  <c r="H127" i="17"/>
  <c r="G127" i="17"/>
  <c r="F127" i="17"/>
  <c r="E127" i="17"/>
  <c r="D127" i="17"/>
  <c r="C127" i="17"/>
  <c r="B127" i="17"/>
  <c r="A127" i="17"/>
  <c r="K127" i="17" s="1"/>
  <c r="I126" i="17"/>
  <c r="H126" i="17"/>
  <c r="G126" i="17"/>
  <c r="F126" i="17"/>
  <c r="E126" i="17"/>
  <c r="D126" i="17"/>
  <c r="C126" i="17"/>
  <c r="B126" i="17"/>
  <c r="A126" i="17"/>
  <c r="I125" i="17"/>
  <c r="H125" i="17"/>
  <c r="G125" i="17"/>
  <c r="F125" i="17"/>
  <c r="E125" i="17"/>
  <c r="D125" i="17"/>
  <c r="C125" i="17"/>
  <c r="B125" i="17"/>
  <c r="A125" i="17"/>
  <c r="I124" i="17"/>
  <c r="H124" i="17"/>
  <c r="G124" i="17"/>
  <c r="F124" i="17"/>
  <c r="E124" i="17"/>
  <c r="D124" i="17"/>
  <c r="C124" i="17"/>
  <c r="B124" i="17"/>
  <c r="A124" i="17"/>
  <c r="I123" i="17"/>
  <c r="H123" i="17"/>
  <c r="G123" i="17"/>
  <c r="F123" i="17"/>
  <c r="E123" i="17"/>
  <c r="D123" i="17"/>
  <c r="C123" i="17"/>
  <c r="B123" i="17"/>
  <c r="A123" i="17"/>
  <c r="AB123" i="17" s="1"/>
  <c r="I122" i="17"/>
  <c r="H122" i="17"/>
  <c r="G122" i="17"/>
  <c r="F122" i="17"/>
  <c r="E122" i="17"/>
  <c r="D122" i="17"/>
  <c r="C122" i="17"/>
  <c r="B122" i="17"/>
  <c r="A122" i="17"/>
  <c r="I121" i="17"/>
  <c r="H121" i="17"/>
  <c r="G121" i="17"/>
  <c r="F121" i="17"/>
  <c r="E121" i="17"/>
  <c r="D121" i="17"/>
  <c r="C121" i="17"/>
  <c r="B121" i="17"/>
  <c r="A121" i="17"/>
  <c r="AB121" i="17" s="1"/>
  <c r="I120" i="17"/>
  <c r="H120" i="17"/>
  <c r="G120" i="17"/>
  <c r="F120" i="17"/>
  <c r="E120" i="17"/>
  <c r="D120" i="17"/>
  <c r="C120" i="17"/>
  <c r="B120" i="17"/>
  <c r="A120" i="17"/>
  <c r="AB120" i="17" s="1"/>
  <c r="I119" i="17"/>
  <c r="H119" i="17"/>
  <c r="G119" i="17"/>
  <c r="F119" i="17"/>
  <c r="E119" i="17"/>
  <c r="D119" i="17"/>
  <c r="C119" i="17"/>
  <c r="B119" i="17"/>
  <c r="A119" i="17"/>
  <c r="AB119" i="17" s="1"/>
  <c r="I118" i="17"/>
  <c r="H118" i="17"/>
  <c r="G118" i="17"/>
  <c r="F118" i="17"/>
  <c r="E118" i="17"/>
  <c r="D118" i="17"/>
  <c r="C118" i="17"/>
  <c r="B118" i="17"/>
  <c r="A118" i="17"/>
  <c r="I117" i="17"/>
  <c r="H117" i="17"/>
  <c r="G117" i="17"/>
  <c r="F117" i="17"/>
  <c r="E117" i="17"/>
  <c r="D117" i="17"/>
  <c r="C117" i="17"/>
  <c r="B117" i="17"/>
  <c r="A117" i="17"/>
  <c r="I116" i="17"/>
  <c r="H116" i="17"/>
  <c r="G116" i="17"/>
  <c r="F116" i="17"/>
  <c r="E116" i="17"/>
  <c r="D116" i="17"/>
  <c r="C116" i="17"/>
  <c r="B116" i="17"/>
  <c r="A116" i="17"/>
  <c r="AO116" i="17" s="1"/>
  <c r="I115" i="17"/>
  <c r="H115" i="17"/>
  <c r="G115" i="17"/>
  <c r="F115" i="17"/>
  <c r="E115" i="17"/>
  <c r="D115" i="17"/>
  <c r="C115" i="17"/>
  <c r="B115" i="17"/>
  <c r="A115" i="17"/>
  <c r="V115" i="17" s="1"/>
  <c r="I114" i="17"/>
  <c r="H114" i="17"/>
  <c r="G114" i="17"/>
  <c r="F114" i="17"/>
  <c r="E114" i="17"/>
  <c r="D114" i="17"/>
  <c r="C114" i="17"/>
  <c r="B114" i="17"/>
  <c r="A114" i="17"/>
  <c r="AO114" i="17" s="1"/>
  <c r="I113" i="17"/>
  <c r="H113" i="17"/>
  <c r="G113" i="17"/>
  <c r="F113" i="17"/>
  <c r="E113" i="17"/>
  <c r="D113" i="17"/>
  <c r="C113" i="17"/>
  <c r="B113" i="17"/>
  <c r="A113" i="17"/>
  <c r="AA113" i="17" s="1"/>
  <c r="I112" i="17"/>
  <c r="H112" i="17"/>
  <c r="G112" i="17"/>
  <c r="F112" i="17"/>
  <c r="E112" i="17"/>
  <c r="D112" i="17"/>
  <c r="C112" i="17"/>
  <c r="B112" i="17"/>
  <c r="A112" i="17"/>
  <c r="I111" i="17"/>
  <c r="H111" i="17"/>
  <c r="G111" i="17"/>
  <c r="F111" i="17"/>
  <c r="E111" i="17"/>
  <c r="D111" i="17"/>
  <c r="C111" i="17"/>
  <c r="B111" i="17"/>
  <c r="A111" i="17"/>
  <c r="I110" i="17"/>
  <c r="H110" i="17"/>
  <c r="G110" i="17"/>
  <c r="F110" i="17"/>
  <c r="E110" i="17"/>
  <c r="D110" i="17"/>
  <c r="C110" i="17"/>
  <c r="B110" i="17"/>
  <c r="A110" i="17"/>
  <c r="I109" i="17"/>
  <c r="H109" i="17"/>
  <c r="G109" i="17"/>
  <c r="F109" i="17"/>
  <c r="E109" i="17"/>
  <c r="D109" i="17"/>
  <c r="C109" i="17"/>
  <c r="B109" i="17"/>
  <c r="A109" i="17"/>
  <c r="AA109" i="17" s="1"/>
  <c r="I108" i="17"/>
  <c r="H108" i="17"/>
  <c r="G108" i="17"/>
  <c r="F108" i="17"/>
  <c r="E108" i="17"/>
  <c r="D108" i="17"/>
  <c r="C108" i="17"/>
  <c r="B108" i="17"/>
  <c r="A108" i="17"/>
  <c r="AB108" i="17" s="1"/>
  <c r="I107" i="17"/>
  <c r="H107" i="17"/>
  <c r="G107" i="17"/>
  <c r="F107" i="17"/>
  <c r="E107" i="17"/>
  <c r="D107" i="17"/>
  <c r="C107" i="17"/>
  <c r="B107" i="17"/>
  <c r="A107" i="17"/>
  <c r="AA107" i="17" s="1"/>
  <c r="I106" i="17"/>
  <c r="H106" i="17"/>
  <c r="G106" i="17"/>
  <c r="F106" i="17"/>
  <c r="E106" i="17"/>
  <c r="D106" i="17"/>
  <c r="C106" i="17"/>
  <c r="B106" i="17"/>
  <c r="A106" i="17"/>
  <c r="I105" i="17"/>
  <c r="H105" i="17"/>
  <c r="G105" i="17"/>
  <c r="F105" i="17"/>
  <c r="E105" i="17"/>
  <c r="D105" i="17"/>
  <c r="C105" i="17"/>
  <c r="B105" i="17"/>
  <c r="A105" i="17"/>
  <c r="I104" i="17"/>
  <c r="H104" i="17"/>
  <c r="G104" i="17"/>
  <c r="F104" i="17"/>
  <c r="E104" i="17"/>
  <c r="D104" i="17"/>
  <c r="C104" i="17"/>
  <c r="B104" i="17"/>
  <c r="A104" i="17"/>
  <c r="AB104" i="17" s="1"/>
  <c r="I103" i="17"/>
  <c r="H103" i="17"/>
  <c r="G103" i="17"/>
  <c r="F103" i="17"/>
  <c r="E103" i="17"/>
  <c r="D103" i="17"/>
  <c r="C103" i="17"/>
  <c r="B103" i="17"/>
  <c r="A103" i="17"/>
  <c r="M103" i="17" s="1"/>
  <c r="I102" i="17"/>
  <c r="H102" i="17"/>
  <c r="G102" i="17"/>
  <c r="F102" i="17"/>
  <c r="E102" i="17"/>
  <c r="D102" i="17"/>
  <c r="C102" i="17"/>
  <c r="B102" i="17"/>
  <c r="A102" i="17"/>
  <c r="I101" i="17"/>
  <c r="H101" i="17"/>
  <c r="G101" i="17"/>
  <c r="F101" i="17"/>
  <c r="E101" i="17"/>
  <c r="D101" i="17"/>
  <c r="C101" i="17"/>
  <c r="B101" i="17"/>
  <c r="A101" i="17"/>
  <c r="I100" i="17"/>
  <c r="H100" i="17"/>
  <c r="G100" i="17"/>
  <c r="F100" i="17"/>
  <c r="E100" i="17"/>
  <c r="D100" i="17"/>
  <c r="C100" i="17"/>
  <c r="B100" i="17"/>
  <c r="A100" i="17"/>
  <c r="I99" i="17"/>
  <c r="H99" i="17"/>
  <c r="G99" i="17"/>
  <c r="F99" i="17"/>
  <c r="E99" i="17"/>
  <c r="D99" i="17"/>
  <c r="C99" i="17"/>
  <c r="B99" i="17"/>
  <c r="A99" i="17"/>
  <c r="V99" i="17" s="1"/>
  <c r="I98" i="17"/>
  <c r="H98" i="17"/>
  <c r="G98" i="17"/>
  <c r="F98" i="17"/>
  <c r="E98" i="17"/>
  <c r="D98" i="17"/>
  <c r="C98" i="17"/>
  <c r="B98" i="17"/>
  <c r="A98" i="17"/>
  <c r="I97" i="17"/>
  <c r="H97" i="17"/>
  <c r="G97" i="17"/>
  <c r="F97" i="17"/>
  <c r="E97" i="17"/>
  <c r="D97" i="17"/>
  <c r="C97" i="17"/>
  <c r="B97" i="17"/>
  <c r="A97" i="17"/>
  <c r="X97" i="17" s="1"/>
  <c r="I96" i="17"/>
  <c r="H96" i="17"/>
  <c r="G96" i="17"/>
  <c r="F96" i="17"/>
  <c r="E96" i="17"/>
  <c r="D96" i="17"/>
  <c r="C96" i="17"/>
  <c r="B96" i="17"/>
  <c r="A96" i="17"/>
  <c r="I95" i="17"/>
  <c r="H95" i="17"/>
  <c r="G95" i="17"/>
  <c r="F95" i="17"/>
  <c r="E95" i="17"/>
  <c r="D95" i="17"/>
  <c r="C95" i="17"/>
  <c r="B95" i="17"/>
  <c r="A95" i="17"/>
  <c r="M95" i="17" s="1"/>
  <c r="I94" i="17"/>
  <c r="H94" i="17"/>
  <c r="G94" i="17"/>
  <c r="F94" i="17"/>
  <c r="E94" i="17"/>
  <c r="D94" i="17"/>
  <c r="C94" i="17"/>
  <c r="B94" i="17"/>
  <c r="A94" i="17"/>
  <c r="Q94" i="17" s="1"/>
  <c r="T93" i="17"/>
  <c r="N93" i="17"/>
  <c r="I93" i="17"/>
  <c r="H93" i="17"/>
  <c r="G93" i="17"/>
  <c r="F93" i="17"/>
  <c r="E93" i="17"/>
  <c r="D93" i="17"/>
  <c r="C93" i="17"/>
  <c r="S93" i="17" s="1"/>
  <c r="B93" i="17"/>
  <c r="A93" i="17"/>
  <c r="I92" i="17"/>
  <c r="H92" i="17"/>
  <c r="G92" i="17"/>
  <c r="F92" i="17"/>
  <c r="E92" i="17"/>
  <c r="D92" i="17"/>
  <c r="C92" i="17"/>
  <c r="B92" i="17"/>
  <c r="A92" i="17"/>
  <c r="I91" i="17"/>
  <c r="H91" i="17"/>
  <c r="G91" i="17"/>
  <c r="F91" i="17"/>
  <c r="E91" i="17"/>
  <c r="D91" i="17"/>
  <c r="C91" i="17"/>
  <c r="B91" i="17"/>
  <c r="A91" i="17"/>
  <c r="AB91" i="17" s="1"/>
  <c r="I90" i="17"/>
  <c r="H90" i="17"/>
  <c r="G90" i="17"/>
  <c r="F90" i="17"/>
  <c r="E90" i="17"/>
  <c r="D90" i="17"/>
  <c r="C90" i="17"/>
  <c r="B90" i="17"/>
  <c r="A90" i="17"/>
  <c r="Y90" i="17" s="1"/>
  <c r="I89" i="17"/>
  <c r="H89" i="17"/>
  <c r="G89" i="17"/>
  <c r="F89" i="17"/>
  <c r="E89" i="17"/>
  <c r="D89" i="17"/>
  <c r="C89" i="17"/>
  <c r="B89" i="17"/>
  <c r="A89" i="17"/>
  <c r="V89" i="17" s="1"/>
  <c r="I88" i="17"/>
  <c r="H88" i="17"/>
  <c r="G88" i="17"/>
  <c r="F88" i="17"/>
  <c r="E88" i="17"/>
  <c r="D88" i="17"/>
  <c r="C88" i="17"/>
  <c r="B88" i="17"/>
  <c r="A88" i="17"/>
  <c r="AB88" i="17" s="1"/>
  <c r="I87" i="17"/>
  <c r="H87" i="17"/>
  <c r="G87" i="17"/>
  <c r="F87" i="17"/>
  <c r="E87" i="17"/>
  <c r="D87" i="17"/>
  <c r="C87" i="17"/>
  <c r="B87" i="17"/>
  <c r="A87" i="17"/>
  <c r="I86" i="17"/>
  <c r="H86" i="17"/>
  <c r="G86" i="17"/>
  <c r="F86" i="17"/>
  <c r="E86" i="17"/>
  <c r="D86" i="17"/>
  <c r="C86" i="17"/>
  <c r="B86" i="17"/>
  <c r="A86" i="17"/>
  <c r="X86" i="17" s="1"/>
  <c r="I85" i="17"/>
  <c r="H85" i="17"/>
  <c r="G85" i="17"/>
  <c r="F85" i="17"/>
  <c r="E85" i="17"/>
  <c r="D85" i="17"/>
  <c r="C85" i="17"/>
  <c r="B85" i="17"/>
  <c r="A85" i="17"/>
  <c r="M85" i="17" s="1"/>
  <c r="I84" i="17"/>
  <c r="H84" i="17"/>
  <c r="G84" i="17"/>
  <c r="F84" i="17"/>
  <c r="E84" i="17"/>
  <c r="D84" i="17"/>
  <c r="C84" i="17"/>
  <c r="B84" i="17"/>
  <c r="A84" i="17"/>
  <c r="T84" i="17" s="1"/>
  <c r="I83" i="17"/>
  <c r="H83" i="17"/>
  <c r="G83" i="17"/>
  <c r="F83" i="17"/>
  <c r="E83" i="17"/>
  <c r="D83" i="17"/>
  <c r="C83" i="17"/>
  <c r="B83" i="17"/>
  <c r="A83" i="17"/>
  <c r="AB83" i="17" s="1"/>
  <c r="I82" i="17"/>
  <c r="H82" i="17"/>
  <c r="G82" i="17"/>
  <c r="F82" i="17"/>
  <c r="E82" i="17"/>
  <c r="D82" i="17"/>
  <c r="C82" i="17"/>
  <c r="B82" i="17"/>
  <c r="A82" i="17"/>
  <c r="AO82" i="17" s="1"/>
  <c r="I81" i="17"/>
  <c r="H81" i="17"/>
  <c r="G81" i="17"/>
  <c r="F81" i="17"/>
  <c r="E81" i="17"/>
  <c r="D81" i="17"/>
  <c r="C81" i="17"/>
  <c r="B81" i="17"/>
  <c r="A81" i="17"/>
  <c r="I80" i="17"/>
  <c r="H80" i="17"/>
  <c r="G80" i="17"/>
  <c r="F80" i="17"/>
  <c r="E80" i="17"/>
  <c r="D80" i="17"/>
  <c r="C80" i="17"/>
  <c r="B80" i="17"/>
  <c r="A80" i="17"/>
  <c r="AO80" i="17" s="1"/>
  <c r="I79" i="17"/>
  <c r="H79" i="17"/>
  <c r="G79" i="17"/>
  <c r="F79" i="17"/>
  <c r="E79" i="17"/>
  <c r="D79" i="17"/>
  <c r="C79" i="17"/>
  <c r="B79" i="17"/>
  <c r="A79" i="17"/>
  <c r="I78" i="17"/>
  <c r="H78" i="17"/>
  <c r="G78" i="17"/>
  <c r="F78" i="17"/>
  <c r="E78" i="17"/>
  <c r="D78" i="17"/>
  <c r="C78" i="17"/>
  <c r="B78" i="17"/>
  <c r="A78" i="17"/>
  <c r="S78" i="17" s="1"/>
  <c r="I77" i="17"/>
  <c r="H77" i="17"/>
  <c r="G77" i="17"/>
  <c r="F77" i="17"/>
  <c r="E77" i="17"/>
  <c r="D77" i="17"/>
  <c r="C77" i="17"/>
  <c r="B77" i="17"/>
  <c r="A77" i="17"/>
  <c r="I76" i="17"/>
  <c r="H76" i="17"/>
  <c r="G76" i="17"/>
  <c r="F76" i="17"/>
  <c r="E76" i="17"/>
  <c r="D76" i="17"/>
  <c r="C76" i="17"/>
  <c r="B76" i="17"/>
  <c r="A76" i="17"/>
  <c r="X76" i="17" s="1"/>
  <c r="I75" i="17"/>
  <c r="H75" i="17"/>
  <c r="G75" i="17"/>
  <c r="F75" i="17"/>
  <c r="E75" i="17"/>
  <c r="D75" i="17"/>
  <c r="C75" i="17"/>
  <c r="B75" i="17"/>
  <c r="A75" i="17"/>
  <c r="N75" i="17" s="1"/>
  <c r="I74" i="17"/>
  <c r="H74" i="17"/>
  <c r="G74" i="17"/>
  <c r="F74" i="17"/>
  <c r="E74" i="17"/>
  <c r="D74" i="17"/>
  <c r="C74" i="17"/>
  <c r="B74" i="17"/>
  <c r="A74" i="17"/>
  <c r="I73" i="17"/>
  <c r="H73" i="17"/>
  <c r="G73" i="17"/>
  <c r="F73" i="17"/>
  <c r="E73" i="17"/>
  <c r="D73" i="17"/>
  <c r="C73" i="17"/>
  <c r="B73" i="17"/>
  <c r="A73" i="17"/>
  <c r="I72" i="17"/>
  <c r="H72" i="17"/>
  <c r="G72" i="17"/>
  <c r="F72" i="17"/>
  <c r="E72" i="17"/>
  <c r="D72" i="17"/>
  <c r="C72" i="17"/>
  <c r="B72" i="17"/>
  <c r="A72" i="17"/>
  <c r="T72" i="17" s="1"/>
  <c r="I71" i="17"/>
  <c r="H71" i="17"/>
  <c r="G71" i="17"/>
  <c r="F71" i="17"/>
  <c r="E71" i="17"/>
  <c r="D71" i="17"/>
  <c r="C71" i="17"/>
  <c r="B71" i="17"/>
  <c r="A71" i="17"/>
  <c r="I70" i="17"/>
  <c r="H70" i="17"/>
  <c r="G70" i="17"/>
  <c r="F70" i="17"/>
  <c r="E70" i="17"/>
  <c r="D70" i="17"/>
  <c r="C70" i="17"/>
  <c r="B70" i="17"/>
  <c r="A70" i="17"/>
  <c r="I69" i="17"/>
  <c r="H69" i="17"/>
  <c r="G69" i="17"/>
  <c r="F69" i="17"/>
  <c r="E69" i="17"/>
  <c r="D69" i="17"/>
  <c r="C69" i="17"/>
  <c r="B69" i="17"/>
  <c r="A69" i="17"/>
  <c r="X69" i="17" s="1"/>
  <c r="I68" i="17"/>
  <c r="H68" i="17"/>
  <c r="G68" i="17"/>
  <c r="F68" i="17"/>
  <c r="E68" i="17"/>
  <c r="D68" i="17"/>
  <c r="C68" i="17"/>
  <c r="B68" i="17"/>
  <c r="A68" i="17"/>
  <c r="I67" i="17"/>
  <c r="H67" i="17"/>
  <c r="G67" i="17"/>
  <c r="F67" i="17"/>
  <c r="E67" i="17"/>
  <c r="D67" i="17"/>
  <c r="C67" i="17"/>
  <c r="B67" i="17"/>
  <c r="A67" i="17"/>
  <c r="AA67" i="17" s="1"/>
  <c r="I66" i="17"/>
  <c r="H66" i="17"/>
  <c r="G66" i="17"/>
  <c r="F66" i="17"/>
  <c r="E66" i="17"/>
  <c r="D66" i="17"/>
  <c r="C66" i="17"/>
  <c r="B66" i="17"/>
  <c r="A66" i="17"/>
  <c r="AO66" i="17" s="1"/>
  <c r="I65" i="17"/>
  <c r="H65" i="17"/>
  <c r="G65" i="17"/>
  <c r="F65" i="17"/>
  <c r="E65" i="17"/>
  <c r="D65" i="17"/>
  <c r="C65" i="17"/>
  <c r="B65" i="17"/>
  <c r="A65" i="17"/>
  <c r="I64" i="17"/>
  <c r="H64" i="17"/>
  <c r="G64" i="17"/>
  <c r="F64" i="17"/>
  <c r="E64" i="17"/>
  <c r="D64" i="17"/>
  <c r="C64" i="17"/>
  <c r="B64" i="17"/>
  <c r="A64" i="17"/>
  <c r="AB64" i="17" s="1"/>
  <c r="I63" i="17"/>
  <c r="H63" i="17"/>
  <c r="G63" i="17"/>
  <c r="F63" i="17"/>
  <c r="E63" i="17"/>
  <c r="D63" i="17"/>
  <c r="C63" i="17"/>
  <c r="B63" i="17"/>
  <c r="A63" i="17"/>
  <c r="AB63" i="17" s="1"/>
  <c r="I62" i="17"/>
  <c r="H62" i="17"/>
  <c r="G62" i="17"/>
  <c r="F62" i="17"/>
  <c r="E62" i="17"/>
  <c r="D62" i="17"/>
  <c r="C62" i="17"/>
  <c r="B62" i="17"/>
  <c r="A62" i="17"/>
  <c r="AO62" i="17" s="1"/>
  <c r="I61" i="17"/>
  <c r="H61" i="17"/>
  <c r="G61" i="17"/>
  <c r="F61" i="17"/>
  <c r="E61" i="17"/>
  <c r="D61" i="17"/>
  <c r="C61" i="17"/>
  <c r="B61" i="17"/>
  <c r="A61" i="17"/>
  <c r="X61" i="17" s="1"/>
  <c r="I60" i="17"/>
  <c r="H60" i="17"/>
  <c r="G60" i="17"/>
  <c r="F60" i="17"/>
  <c r="E60" i="17"/>
  <c r="D60" i="17"/>
  <c r="C60" i="17"/>
  <c r="B60" i="17"/>
  <c r="A60" i="17"/>
  <c r="AB60" i="17" s="1"/>
  <c r="I59" i="17"/>
  <c r="H59" i="17"/>
  <c r="G59" i="17"/>
  <c r="F59" i="17"/>
  <c r="E59" i="17"/>
  <c r="D59" i="17"/>
  <c r="C59" i="17"/>
  <c r="B59" i="17"/>
  <c r="A59" i="17"/>
  <c r="AB59" i="17" s="1"/>
  <c r="I58" i="17"/>
  <c r="H58" i="17"/>
  <c r="G58" i="17"/>
  <c r="F58" i="17"/>
  <c r="E58" i="17"/>
  <c r="D58" i="17"/>
  <c r="C58" i="17"/>
  <c r="B58" i="17"/>
  <c r="A58" i="17"/>
  <c r="I57" i="17"/>
  <c r="H57" i="17"/>
  <c r="G57" i="17"/>
  <c r="F57" i="17"/>
  <c r="E57" i="17"/>
  <c r="D57" i="17"/>
  <c r="C57" i="17"/>
  <c r="B57" i="17"/>
  <c r="A57" i="17"/>
  <c r="V57" i="17" s="1"/>
  <c r="I56" i="17"/>
  <c r="H56" i="17"/>
  <c r="G56" i="17"/>
  <c r="F56" i="17"/>
  <c r="E56" i="17"/>
  <c r="D56" i="17"/>
  <c r="C56" i="17"/>
  <c r="B56" i="17"/>
  <c r="A56" i="17"/>
  <c r="I55" i="17"/>
  <c r="H55" i="17"/>
  <c r="G55" i="17"/>
  <c r="F55" i="17"/>
  <c r="E55" i="17"/>
  <c r="D55" i="17"/>
  <c r="C55" i="17"/>
  <c r="B55" i="17"/>
  <c r="A55" i="17"/>
  <c r="AB55" i="17" s="1"/>
  <c r="I54" i="17"/>
  <c r="H54" i="17"/>
  <c r="G54" i="17"/>
  <c r="F54" i="17"/>
  <c r="E54" i="17"/>
  <c r="D54" i="17"/>
  <c r="C54" i="17"/>
  <c r="B54" i="17"/>
  <c r="A54" i="17"/>
  <c r="AO54" i="17" s="1"/>
  <c r="I53" i="17"/>
  <c r="H53" i="17"/>
  <c r="G53" i="17"/>
  <c r="F53" i="17"/>
  <c r="E53" i="17"/>
  <c r="D53" i="17"/>
  <c r="C53" i="17"/>
  <c r="B53" i="17"/>
  <c r="A53" i="17"/>
  <c r="I52" i="17"/>
  <c r="H52" i="17"/>
  <c r="G52" i="17"/>
  <c r="F52" i="17"/>
  <c r="E52" i="17"/>
  <c r="D52" i="17"/>
  <c r="C52" i="17"/>
  <c r="B52" i="17"/>
  <c r="A52" i="17"/>
  <c r="AB52" i="17" s="1"/>
  <c r="I51" i="17"/>
  <c r="H51" i="17"/>
  <c r="G51" i="17"/>
  <c r="F51" i="17"/>
  <c r="E51" i="17"/>
  <c r="D51" i="17"/>
  <c r="C51" i="17"/>
  <c r="B51" i="17"/>
  <c r="A51" i="17"/>
  <c r="W51" i="17" s="1"/>
  <c r="I50" i="17"/>
  <c r="H50" i="17"/>
  <c r="G50" i="17"/>
  <c r="F50" i="17"/>
  <c r="E50" i="17"/>
  <c r="D50" i="17"/>
  <c r="C50" i="17"/>
  <c r="B50" i="17"/>
  <c r="A50" i="17"/>
  <c r="I49" i="17"/>
  <c r="H49" i="17"/>
  <c r="G49" i="17"/>
  <c r="F49" i="17"/>
  <c r="E49" i="17"/>
  <c r="D49" i="17"/>
  <c r="C49" i="17"/>
  <c r="B49" i="17"/>
  <c r="A49" i="17"/>
  <c r="T49" i="17" s="1"/>
  <c r="I48" i="17"/>
  <c r="H48" i="17"/>
  <c r="G48" i="17"/>
  <c r="F48" i="17"/>
  <c r="E48" i="17"/>
  <c r="D48" i="17"/>
  <c r="C48" i="17"/>
  <c r="B48" i="17"/>
  <c r="A48" i="17"/>
  <c r="I47" i="17"/>
  <c r="H47" i="17"/>
  <c r="G47" i="17"/>
  <c r="F47" i="17"/>
  <c r="E47" i="17"/>
  <c r="D47" i="17"/>
  <c r="C47" i="17"/>
  <c r="B47" i="17"/>
  <c r="A47" i="17"/>
  <c r="U47" i="17" s="1"/>
  <c r="I46" i="17"/>
  <c r="H46" i="17"/>
  <c r="G46" i="17"/>
  <c r="F46" i="17"/>
  <c r="E46" i="17"/>
  <c r="D46" i="17"/>
  <c r="C46" i="17"/>
  <c r="B46" i="17"/>
  <c r="A46" i="17"/>
  <c r="AO46" i="17" s="1"/>
  <c r="I45" i="17"/>
  <c r="H45" i="17"/>
  <c r="G45" i="17"/>
  <c r="F45" i="17"/>
  <c r="E45" i="17"/>
  <c r="D45" i="17"/>
  <c r="C45" i="17"/>
  <c r="B45" i="17"/>
  <c r="A45" i="17"/>
  <c r="I44" i="17"/>
  <c r="H44" i="17"/>
  <c r="G44" i="17"/>
  <c r="F44" i="17"/>
  <c r="E44" i="17"/>
  <c r="D44" i="17"/>
  <c r="C44" i="17"/>
  <c r="B44" i="17"/>
  <c r="A44" i="17"/>
  <c r="I43" i="17"/>
  <c r="H43" i="17"/>
  <c r="G43" i="17"/>
  <c r="F43" i="17"/>
  <c r="E43" i="17"/>
  <c r="D43" i="17"/>
  <c r="C43" i="17"/>
  <c r="B43" i="17"/>
  <c r="A43" i="17"/>
  <c r="L43" i="17" s="1"/>
  <c r="I42" i="17"/>
  <c r="H42" i="17"/>
  <c r="G42" i="17"/>
  <c r="F42" i="17"/>
  <c r="E42" i="17"/>
  <c r="D42" i="17"/>
  <c r="C42" i="17"/>
  <c r="B42" i="17"/>
  <c r="A42" i="17"/>
  <c r="I41" i="17"/>
  <c r="H41" i="17"/>
  <c r="G41" i="17"/>
  <c r="F41" i="17"/>
  <c r="E41" i="17"/>
  <c r="D41" i="17"/>
  <c r="C41" i="17"/>
  <c r="B41" i="17"/>
  <c r="A41" i="17"/>
  <c r="V41" i="17" s="1"/>
  <c r="I40" i="17"/>
  <c r="H40" i="17"/>
  <c r="G40" i="17"/>
  <c r="F40" i="17"/>
  <c r="E40" i="17"/>
  <c r="D40" i="17"/>
  <c r="C40" i="17"/>
  <c r="B40" i="17"/>
  <c r="A40" i="17"/>
  <c r="Z40" i="17" s="1"/>
  <c r="I39" i="17"/>
  <c r="H39" i="17"/>
  <c r="G39" i="17"/>
  <c r="F39" i="17"/>
  <c r="E39" i="17"/>
  <c r="D39" i="17"/>
  <c r="C39" i="17"/>
  <c r="B39" i="17"/>
  <c r="A39" i="17"/>
  <c r="I38" i="17"/>
  <c r="H38" i="17"/>
  <c r="G38" i="17"/>
  <c r="F38" i="17"/>
  <c r="E38" i="17"/>
  <c r="D38" i="17"/>
  <c r="C38" i="17"/>
  <c r="B38" i="17"/>
  <c r="A38" i="17"/>
  <c r="I37" i="17"/>
  <c r="H37" i="17"/>
  <c r="G37" i="17"/>
  <c r="F37" i="17"/>
  <c r="E37" i="17"/>
  <c r="D37" i="17"/>
  <c r="C37" i="17"/>
  <c r="B37" i="17"/>
  <c r="A37" i="17"/>
  <c r="I36" i="17"/>
  <c r="H36" i="17"/>
  <c r="G36" i="17"/>
  <c r="F36" i="17"/>
  <c r="E36" i="17"/>
  <c r="D36" i="17"/>
  <c r="C36" i="17"/>
  <c r="B36" i="17"/>
  <c r="A36" i="17"/>
  <c r="L36" i="17" s="1"/>
  <c r="I35" i="17"/>
  <c r="H35" i="17"/>
  <c r="G35" i="17"/>
  <c r="F35" i="17"/>
  <c r="E35" i="17"/>
  <c r="D35" i="17"/>
  <c r="C35" i="17"/>
  <c r="B35" i="17"/>
  <c r="A35" i="17"/>
  <c r="X35" i="17" s="1"/>
  <c r="I34" i="17"/>
  <c r="H34" i="17"/>
  <c r="G34" i="17"/>
  <c r="F34" i="17"/>
  <c r="E34" i="17"/>
  <c r="D34" i="17"/>
  <c r="C34" i="17"/>
  <c r="B34" i="17"/>
  <c r="A34" i="17"/>
  <c r="AO34" i="17" s="1"/>
  <c r="I33" i="17"/>
  <c r="H33" i="17"/>
  <c r="G33" i="17"/>
  <c r="F33" i="17"/>
  <c r="E33" i="17"/>
  <c r="D33" i="17"/>
  <c r="C33" i="17"/>
  <c r="B33" i="17"/>
  <c r="A33" i="17"/>
  <c r="I32" i="17"/>
  <c r="H32" i="17"/>
  <c r="G32" i="17"/>
  <c r="F32" i="17"/>
  <c r="E32" i="17"/>
  <c r="D32" i="17"/>
  <c r="C32" i="17"/>
  <c r="B32" i="17"/>
  <c r="A32" i="17"/>
  <c r="AA31" i="17"/>
  <c r="I31" i="17"/>
  <c r="H31" i="17"/>
  <c r="G31" i="17"/>
  <c r="F31" i="17"/>
  <c r="E31" i="17"/>
  <c r="D31" i="17"/>
  <c r="C31" i="17"/>
  <c r="B31" i="17"/>
  <c r="A31" i="17"/>
  <c r="X31" i="17" s="1"/>
  <c r="I30" i="17"/>
  <c r="H30" i="17"/>
  <c r="G30" i="17"/>
  <c r="F30" i="17"/>
  <c r="E30" i="17"/>
  <c r="D30" i="17"/>
  <c r="C30" i="17"/>
  <c r="B30" i="17"/>
  <c r="A30" i="17"/>
  <c r="AB29" i="17"/>
  <c r="I29" i="17"/>
  <c r="H29" i="17"/>
  <c r="G29" i="17"/>
  <c r="F29" i="17"/>
  <c r="E29" i="17"/>
  <c r="D29" i="17"/>
  <c r="C29" i="17"/>
  <c r="B29" i="17"/>
  <c r="A29" i="17"/>
  <c r="I28" i="17"/>
  <c r="H28" i="17"/>
  <c r="G28" i="17"/>
  <c r="F28" i="17"/>
  <c r="E28" i="17"/>
  <c r="D28" i="17"/>
  <c r="C28" i="17"/>
  <c r="B28" i="17"/>
  <c r="A28" i="17"/>
  <c r="Z28" i="17" s="1"/>
  <c r="I27" i="17"/>
  <c r="H27" i="17"/>
  <c r="G27" i="17"/>
  <c r="F27" i="17"/>
  <c r="E27" i="17"/>
  <c r="D27" i="17"/>
  <c r="C27" i="17"/>
  <c r="B27" i="17"/>
  <c r="A27" i="17"/>
  <c r="V27" i="17" s="1"/>
  <c r="I26" i="17"/>
  <c r="H26" i="17"/>
  <c r="G26" i="17"/>
  <c r="F26" i="17"/>
  <c r="E26" i="17"/>
  <c r="D26" i="17"/>
  <c r="C26" i="17"/>
  <c r="B26" i="17"/>
  <c r="A26" i="17"/>
  <c r="I25" i="17"/>
  <c r="H25" i="17"/>
  <c r="G25" i="17"/>
  <c r="F25" i="17"/>
  <c r="E25" i="17"/>
  <c r="D25" i="17"/>
  <c r="C25" i="17"/>
  <c r="B25" i="17"/>
  <c r="A25" i="17"/>
  <c r="T25" i="17" s="1"/>
  <c r="I24" i="17"/>
  <c r="H24" i="17"/>
  <c r="G24" i="17"/>
  <c r="F24" i="17"/>
  <c r="E24" i="17"/>
  <c r="D24" i="17"/>
  <c r="C24" i="17"/>
  <c r="B24" i="17"/>
  <c r="A24" i="17"/>
  <c r="I23" i="17"/>
  <c r="H23" i="17"/>
  <c r="G23" i="17"/>
  <c r="F23" i="17"/>
  <c r="E23" i="17"/>
  <c r="D23" i="17"/>
  <c r="C23" i="17"/>
  <c r="B23" i="17"/>
  <c r="A23" i="17"/>
  <c r="AB23" i="17" s="1"/>
  <c r="I22" i="17"/>
  <c r="H22" i="17"/>
  <c r="G22" i="17"/>
  <c r="F22" i="17"/>
  <c r="E22" i="17"/>
  <c r="D22" i="17"/>
  <c r="C22" i="17"/>
  <c r="B22" i="17"/>
  <c r="A22" i="17"/>
  <c r="X21" i="17"/>
  <c r="W21" i="17"/>
  <c r="V21" i="17"/>
  <c r="I21" i="17"/>
  <c r="H21" i="17"/>
  <c r="G21" i="17"/>
  <c r="F21" i="17"/>
  <c r="E21" i="17"/>
  <c r="D21" i="17"/>
  <c r="C21" i="17"/>
  <c r="B21" i="17"/>
  <c r="A21" i="17"/>
  <c r="U21" i="17" s="1"/>
  <c r="I20" i="17"/>
  <c r="H20" i="17"/>
  <c r="G20" i="17"/>
  <c r="F20" i="17"/>
  <c r="E20" i="17"/>
  <c r="D20" i="17"/>
  <c r="C20" i="17"/>
  <c r="B20" i="17"/>
  <c r="A20" i="17"/>
  <c r="AB20" i="17" s="1"/>
  <c r="I19" i="17"/>
  <c r="H19" i="17"/>
  <c r="G19" i="17"/>
  <c r="F19" i="17"/>
  <c r="E19" i="17"/>
  <c r="D19" i="17"/>
  <c r="C19" i="17"/>
  <c r="B19" i="17"/>
  <c r="A19" i="17"/>
  <c r="I18" i="17"/>
  <c r="H18" i="17"/>
  <c r="G18" i="17"/>
  <c r="F18" i="17"/>
  <c r="E18" i="17"/>
  <c r="D18" i="17"/>
  <c r="C18" i="17"/>
  <c r="B18" i="17"/>
  <c r="A18" i="17"/>
  <c r="I17" i="17"/>
  <c r="H17" i="17"/>
  <c r="G17" i="17"/>
  <c r="F17" i="17"/>
  <c r="E17" i="17"/>
  <c r="D17" i="17"/>
  <c r="C17" i="17"/>
  <c r="B17" i="17"/>
  <c r="A17" i="17"/>
  <c r="I16" i="17"/>
  <c r="H16" i="17"/>
  <c r="G16" i="17"/>
  <c r="F16" i="17"/>
  <c r="E16" i="17"/>
  <c r="D16" i="17"/>
  <c r="C16" i="17"/>
  <c r="B16" i="17"/>
  <c r="A16" i="17"/>
  <c r="I15" i="17"/>
  <c r="H15" i="17"/>
  <c r="G15" i="17"/>
  <c r="F15" i="17"/>
  <c r="E15" i="17"/>
  <c r="D15" i="17"/>
  <c r="C15" i="17"/>
  <c r="B15" i="17"/>
  <c r="A15" i="17"/>
  <c r="I14" i="17"/>
  <c r="H14" i="17"/>
  <c r="G14" i="17"/>
  <c r="F14" i="17"/>
  <c r="E14" i="17"/>
  <c r="D14" i="17"/>
  <c r="C14" i="17"/>
  <c r="B14" i="17"/>
  <c r="A14" i="17"/>
  <c r="I13" i="17"/>
  <c r="H13" i="17"/>
  <c r="G13" i="17"/>
  <c r="F13" i="17"/>
  <c r="E13" i="17"/>
  <c r="D13" i="17"/>
  <c r="C13" i="17"/>
  <c r="B13" i="17"/>
  <c r="A13" i="17"/>
  <c r="I12" i="17"/>
  <c r="H12" i="17"/>
  <c r="G12" i="17"/>
  <c r="F12" i="17"/>
  <c r="E12" i="17"/>
  <c r="D12" i="17"/>
  <c r="C12" i="17"/>
  <c r="B12" i="17"/>
  <c r="A12" i="17"/>
  <c r="AB12" i="17" s="1"/>
  <c r="I11" i="17"/>
  <c r="H11" i="17"/>
  <c r="G11" i="17"/>
  <c r="F11" i="17"/>
  <c r="E11" i="17"/>
  <c r="D11" i="17"/>
  <c r="C11" i="17"/>
  <c r="B11" i="17"/>
  <c r="A11" i="17"/>
  <c r="T11" i="17" s="1"/>
  <c r="I10" i="17"/>
  <c r="H10" i="17"/>
  <c r="G10" i="17"/>
  <c r="F10" i="17"/>
  <c r="E10" i="17"/>
  <c r="D10" i="17"/>
  <c r="C10" i="17"/>
  <c r="B10" i="17"/>
  <c r="A10" i="17"/>
  <c r="Y10" i="17" s="1"/>
  <c r="AB9" i="17"/>
  <c r="I9" i="17"/>
  <c r="H9" i="17"/>
  <c r="G9" i="17"/>
  <c r="F9" i="17"/>
  <c r="E9" i="17"/>
  <c r="D9" i="17"/>
  <c r="C9" i="17"/>
  <c r="B9" i="17"/>
  <c r="A9" i="17"/>
  <c r="L9" i="17" s="1"/>
  <c r="I8" i="17"/>
  <c r="H8" i="17"/>
  <c r="G8" i="17"/>
  <c r="F8" i="17"/>
  <c r="E8" i="17"/>
  <c r="D8" i="17"/>
  <c r="C8" i="17"/>
  <c r="B8" i="17"/>
  <c r="A8" i="17"/>
  <c r="AB8" i="17" s="1"/>
  <c r="I7" i="17"/>
  <c r="H7" i="17"/>
  <c r="G7" i="17"/>
  <c r="F7" i="17"/>
  <c r="E7" i="17"/>
  <c r="D7" i="17"/>
  <c r="C7" i="17"/>
  <c r="B7" i="17"/>
  <c r="A7" i="17"/>
  <c r="I6" i="17"/>
  <c r="H6" i="17"/>
  <c r="G6" i="17"/>
  <c r="F6" i="17"/>
  <c r="E6" i="17"/>
  <c r="D6" i="17"/>
  <c r="C6" i="17"/>
  <c r="B6" i="17"/>
  <c r="A6" i="17"/>
  <c r="AO6" i="17" s="1"/>
  <c r="I5" i="17"/>
  <c r="H5" i="17"/>
  <c r="G5" i="17"/>
  <c r="F5" i="17"/>
  <c r="E5" i="17"/>
  <c r="D5" i="17"/>
  <c r="C5" i="17"/>
  <c r="B5" i="17"/>
  <c r="A5" i="17"/>
  <c r="I4" i="17"/>
  <c r="H4" i="17"/>
  <c r="G4" i="17"/>
  <c r="F4" i="17"/>
  <c r="E4" i="17"/>
  <c r="D4" i="17"/>
  <c r="C4" i="17"/>
  <c r="B4" i="17"/>
  <c r="A4" i="17"/>
  <c r="I3" i="17"/>
  <c r="H3" i="17"/>
  <c r="G3" i="17"/>
  <c r="F3" i="17"/>
  <c r="E3" i="17"/>
  <c r="D3" i="17"/>
  <c r="C3" i="17"/>
  <c r="B3" i="17"/>
  <c r="A3" i="17"/>
  <c r="AB3" i="17" s="1"/>
  <c r="I2" i="17"/>
  <c r="H2" i="17"/>
  <c r="G2" i="17"/>
  <c r="F2" i="17"/>
  <c r="E2" i="17"/>
  <c r="D2" i="17"/>
  <c r="C2" i="17"/>
  <c r="B2" i="17"/>
  <c r="A2" i="17"/>
  <c r="AO2" i="17" s="1"/>
  <c r="D6000" i="16"/>
  <c r="C6000" i="16"/>
  <c r="B6000" i="16"/>
  <c r="A6000" i="16"/>
  <c r="L5999" i="16"/>
  <c r="K5999" i="16"/>
  <c r="E5999" i="16"/>
  <c r="D5999" i="16"/>
  <c r="C5999" i="16"/>
  <c r="B5999" i="16"/>
  <c r="A5999" i="16"/>
  <c r="M5999" i="16" s="1"/>
  <c r="P5998" i="16"/>
  <c r="O5998" i="16"/>
  <c r="N5998" i="16"/>
  <c r="M5998" i="16"/>
  <c r="L5998" i="16"/>
  <c r="K5998" i="16"/>
  <c r="G5998" i="16"/>
  <c r="F5998" i="16"/>
  <c r="E5998" i="16"/>
  <c r="D5998" i="16"/>
  <c r="C5998" i="16"/>
  <c r="B5998" i="16"/>
  <c r="A5998" i="16"/>
  <c r="T5998" i="16" s="1"/>
  <c r="M5997" i="16"/>
  <c r="L5997" i="16"/>
  <c r="H5997" i="16"/>
  <c r="E5997" i="16"/>
  <c r="D5997" i="16"/>
  <c r="C5997" i="16"/>
  <c r="B5997" i="16"/>
  <c r="A5997" i="16"/>
  <c r="T5996" i="16"/>
  <c r="P5996" i="16"/>
  <c r="H5996" i="16"/>
  <c r="G5996" i="16"/>
  <c r="F5996" i="16"/>
  <c r="E5996" i="16"/>
  <c r="D5996" i="16"/>
  <c r="C5996" i="16"/>
  <c r="B5996" i="16"/>
  <c r="A5996" i="16"/>
  <c r="O5996" i="16" s="1"/>
  <c r="T5995" i="16"/>
  <c r="P5995" i="16"/>
  <c r="D5995" i="16"/>
  <c r="C5995" i="16"/>
  <c r="B5995" i="16"/>
  <c r="A5995" i="16"/>
  <c r="I5994" i="16"/>
  <c r="H5994" i="16"/>
  <c r="F5994" i="16"/>
  <c r="D5994" i="16"/>
  <c r="C5994" i="16"/>
  <c r="B5994" i="16"/>
  <c r="A5994" i="16"/>
  <c r="K5994" i="16" s="1"/>
  <c r="K5993" i="16"/>
  <c r="J5993" i="16"/>
  <c r="D5993" i="16"/>
  <c r="C5993" i="16"/>
  <c r="B5993" i="16"/>
  <c r="A5993" i="16"/>
  <c r="O5993" i="16" s="1"/>
  <c r="D5992" i="16"/>
  <c r="C5992" i="16"/>
  <c r="B5992" i="16"/>
  <c r="A5992" i="16"/>
  <c r="D5991" i="16"/>
  <c r="C5991" i="16"/>
  <c r="B5991" i="16"/>
  <c r="A5991" i="16"/>
  <c r="P5990" i="16"/>
  <c r="O5990" i="16"/>
  <c r="N5990" i="16"/>
  <c r="M5990" i="16"/>
  <c r="L5990" i="16"/>
  <c r="K5990" i="16"/>
  <c r="H5990" i="16"/>
  <c r="G5990" i="16"/>
  <c r="F5990" i="16"/>
  <c r="E5990" i="16"/>
  <c r="D5990" i="16"/>
  <c r="C5990" i="16"/>
  <c r="B5990" i="16"/>
  <c r="A5990" i="16"/>
  <c r="T5990" i="16" s="1"/>
  <c r="O5989" i="16"/>
  <c r="N5989" i="16"/>
  <c r="E5989" i="16"/>
  <c r="D5989" i="16"/>
  <c r="C5989" i="16"/>
  <c r="B5989" i="16"/>
  <c r="A5989" i="16"/>
  <c r="P5989" i="16" s="1"/>
  <c r="G5988" i="16"/>
  <c r="F5988" i="16"/>
  <c r="E5988" i="16"/>
  <c r="D5988" i="16"/>
  <c r="C5988" i="16"/>
  <c r="B5988" i="16"/>
  <c r="A5988" i="16"/>
  <c r="H5988" i="16" s="1"/>
  <c r="D5987" i="16"/>
  <c r="C5987" i="16"/>
  <c r="B5987" i="16"/>
  <c r="A5987" i="16"/>
  <c r="T5986" i="16"/>
  <c r="P5986" i="16"/>
  <c r="O5986" i="16"/>
  <c r="N5986" i="16"/>
  <c r="I5986" i="16"/>
  <c r="H5986" i="16"/>
  <c r="G5986" i="16"/>
  <c r="F5986" i="16"/>
  <c r="D5986" i="16"/>
  <c r="C5986" i="16"/>
  <c r="B5986" i="16"/>
  <c r="A5986" i="16"/>
  <c r="K5986" i="16" s="1"/>
  <c r="L5985" i="16"/>
  <c r="K5985" i="16"/>
  <c r="J5985" i="16"/>
  <c r="I5985" i="16"/>
  <c r="D5985" i="16"/>
  <c r="C5985" i="16"/>
  <c r="B5985" i="16"/>
  <c r="A5985" i="16"/>
  <c r="T5984" i="16"/>
  <c r="P5984" i="16"/>
  <c r="J5984" i="16"/>
  <c r="I5984" i="16"/>
  <c r="D5984" i="16"/>
  <c r="C5984" i="16"/>
  <c r="B5984" i="16"/>
  <c r="A5984" i="16"/>
  <c r="T5983" i="16"/>
  <c r="N5983" i="16"/>
  <c r="D5983" i="16"/>
  <c r="C5983" i="16"/>
  <c r="B5983" i="16"/>
  <c r="A5983" i="16"/>
  <c r="E5983" i="16" s="1"/>
  <c r="P5982" i="16"/>
  <c r="O5982" i="16"/>
  <c r="N5982" i="16"/>
  <c r="M5982" i="16"/>
  <c r="L5982" i="16"/>
  <c r="K5982" i="16"/>
  <c r="H5982" i="16"/>
  <c r="G5982" i="16"/>
  <c r="F5982" i="16"/>
  <c r="E5982" i="16"/>
  <c r="D5982" i="16"/>
  <c r="C5982" i="16"/>
  <c r="B5982" i="16"/>
  <c r="A5982" i="16"/>
  <c r="T5982" i="16" s="1"/>
  <c r="D5981" i="16"/>
  <c r="C5981" i="16"/>
  <c r="B5981" i="16"/>
  <c r="A5981" i="16"/>
  <c r="T5980" i="16"/>
  <c r="O5980" i="16"/>
  <c r="H5980" i="16"/>
  <c r="F5980" i="16"/>
  <c r="E5980" i="16"/>
  <c r="D5980" i="16"/>
  <c r="C5980" i="16"/>
  <c r="B5980" i="16"/>
  <c r="A5980" i="16"/>
  <c r="G5980" i="16" s="1"/>
  <c r="D5979" i="16"/>
  <c r="C5979" i="16"/>
  <c r="B5979" i="16"/>
  <c r="A5979" i="16"/>
  <c r="T5978" i="16"/>
  <c r="P5978" i="16"/>
  <c r="K5978" i="16"/>
  <c r="I5978" i="16"/>
  <c r="H5978" i="16"/>
  <c r="F5978" i="16"/>
  <c r="D5978" i="16"/>
  <c r="C5978" i="16"/>
  <c r="B5978" i="16"/>
  <c r="A5978" i="16"/>
  <c r="D5977" i="16"/>
  <c r="C5977" i="16"/>
  <c r="B5977" i="16"/>
  <c r="A5977" i="16"/>
  <c r="P5976" i="16"/>
  <c r="I5976" i="16"/>
  <c r="H5976" i="16"/>
  <c r="E5976" i="16"/>
  <c r="D5976" i="16"/>
  <c r="C5976" i="16"/>
  <c r="B5976" i="16"/>
  <c r="A5976" i="16"/>
  <c r="J5976" i="16" s="1"/>
  <c r="D5975" i="16"/>
  <c r="C5975" i="16"/>
  <c r="B5975" i="16"/>
  <c r="A5975" i="16"/>
  <c r="P5974" i="16"/>
  <c r="O5974" i="16"/>
  <c r="N5974" i="16"/>
  <c r="M5974" i="16"/>
  <c r="L5974" i="16"/>
  <c r="K5974" i="16"/>
  <c r="H5974" i="16"/>
  <c r="G5974" i="16"/>
  <c r="F5974" i="16"/>
  <c r="E5974" i="16"/>
  <c r="D5974" i="16"/>
  <c r="C5974" i="16"/>
  <c r="B5974" i="16"/>
  <c r="A5974" i="16"/>
  <c r="T5974" i="16" s="1"/>
  <c r="P5973" i="16"/>
  <c r="O5973" i="16"/>
  <c r="N5973" i="16"/>
  <c r="M5973" i="16"/>
  <c r="K5973" i="16"/>
  <c r="H5973" i="16"/>
  <c r="F5973" i="16"/>
  <c r="E5973" i="16"/>
  <c r="D5973" i="16"/>
  <c r="C5973" i="16"/>
  <c r="B5973" i="16"/>
  <c r="A5973" i="16"/>
  <c r="D5972" i="16"/>
  <c r="C5972" i="16"/>
  <c r="B5972" i="16"/>
  <c r="A5972" i="16"/>
  <c r="O5971" i="16"/>
  <c r="H5971" i="16"/>
  <c r="G5971" i="16"/>
  <c r="F5971" i="16"/>
  <c r="E5971" i="16"/>
  <c r="D5971" i="16"/>
  <c r="C5971" i="16"/>
  <c r="B5971" i="16"/>
  <c r="A5971" i="16"/>
  <c r="N5970" i="16"/>
  <c r="K5970" i="16"/>
  <c r="G5970" i="16"/>
  <c r="F5970" i="16"/>
  <c r="D5970" i="16"/>
  <c r="C5970" i="16"/>
  <c r="B5970" i="16"/>
  <c r="A5970" i="16"/>
  <c r="J5969" i="16"/>
  <c r="D5969" i="16"/>
  <c r="C5969" i="16"/>
  <c r="B5969" i="16"/>
  <c r="A5969" i="16"/>
  <c r="T5968" i="16"/>
  <c r="J5968" i="16"/>
  <c r="I5968" i="16"/>
  <c r="H5968" i="16"/>
  <c r="E5968" i="16"/>
  <c r="D5968" i="16"/>
  <c r="C5968" i="16"/>
  <c r="B5968" i="16"/>
  <c r="A5968" i="16"/>
  <c r="P5968" i="16" s="1"/>
  <c r="D5967" i="16"/>
  <c r="C5967" i="16"/>
  <c r="B5967" i="16"/>
  <c r="A5967" i="16"/>
  <c r="H5966" i="16"/>
  <c r="D5966" i="16"/>
  <c r="C5966" i="16"/>
  <c r="B5966" i="16"/>
  <c r="A5966" i="16"/>
  <c r="P5965" i="16"/>
  <c r="N5965" i="16"/>
  <c r="D5965" i="16"/>
  <c r="C5965" i="16"/>
  <c r="B5965" i="16"/>
  <c r="A5965" i="16"/>
  <c r="P5964" i="16"/>
  <c r="D5964" i="16"/>
  <c r="C5964" i="16"/>
  <c r="B5964" i="16"/>
  <c r="A5964" i="16"/>
  <c r="T5963" i="16"/>
  <c r="P5963" i="16"/>
  <c r="O5963" i="16"/>
  <c r="H5963" i="16"/>
  <c r="G5963" i="16"/>
  <c r="F5963" i="16"/>
  <c r="E5963" i="16"/>
  <c r="D5963" i="16"/>
  <c r="C5963" i="16"/>
  <c r="B5963" i="16"/>
  <c r="A5963" i="16"/>
  <c r="N5963" i="16" s="1"/>
  <c r="O5962" i="16"/>
  <c r="K5962" i="16"/>
  <c r="I5962" i="16"/>
  <c r="H5962" i="16"/>
  <c r="F5962" i="16"/>
  <c r="D5962" i="16"/>
  <c r="C5962" i="16"/>
  <c r="B5962" i="16"/>
  <c r="A5962" i="16"/>
  <c r="L5961" i="16"/>
  <c r="J5961" i="16"/>
  <c r="D5961" i="16"/>
  <c r="C5961" i="16"/>
  <c r="B5961" i="16"/>
  <c r="A5961" i="16"/>
  <c r="J5960" i="16"/>
  <c r="H5960" i="16"/>
  <c r="E5960" i="16"/>
  <c r="D5960" i="16"/>
  <c r="C5960" i="16"/>
  <c r="B5960" i="16"/>
  <c r="A5960" i="16"/>
  <c r="I5960" i="16" s="1"/>
  <c r="D5959" i="16"/>
  <c r="C5959" i="16"/>
  <c r="B5959" i="16"/>
  <c r="A5959" i="16"/>
  <c r="P5958" i="16"/>
  <c r="N5958" i="16"/>
  <c r="H5958" i="16"/>
  <c r="G5958" i="16"/>
  <c r="F5958" i="16"/>
  <c r="D5958" i="16"/>
  <c r="C5958" i="16"/>
  <c r="B5958" i="16"/>
  <c r="A5958" i="16"/>
  <c r="J5958" i="16" s="1"/>
  <c r="N5957" i="16"/>
  <c r="L5957" i="16"/>
  <c r="K5957" i="16"/>
  <c r="G5957" i="16"/>
  <c r="D5957" i="16"/>
  <c r="C5957" i="16"/>
  <c r="B5957" i="16"/>
  <c r="A5957" i="16"/>
  <c r="D5956" i="16"/>
  <c r="C5956" i="16"/>
  <c r="B5956" i="16"/>
  <c r="A5956" i="16"/>
  <c r="D5955" i="16"/>
  <c r="C5955" i="16"/>
  <c r="B5955" i="16"/>
  <c r="A5955" i="16"/>
  <c r="T5954" i="16"/>
  <c r="P5954" i="16"/>
  <c r="N5954" i="16"/>
  <c r="K5954" i="16"/>
  <c r="G5954" i="16"/>
  <c r="F5954" i="16"/>
  <c r="D5954" i="16"/>
  <c r="C5954" i="16"/>
  <c r="B5954" i="16"/>
  <c r="A5954" i="16"/>
  <c r="D5953" i="16"/>
  <c r="C5953" i="16"/>
  <c r="B5953" i="16"/>
  <c r="A5953" i="16"/>
  <c r="T5952" i="16"/>
  <c r="P5952" i="16"/>
  <c r="D5952" i="16"/>
  <c r="C5952" i="16"/>
  <c r="B5952" i="16"/>
  <c r="A5952" i="16"/>
  <c r="D5951" i="16"/>
  <c r="C5951" i="16"/>
  <c r="B5951" i="16"/>
  <c r="A5951" i="16"/>
  <c r="M5950" i="16"/>
  <c r="K5950" i="16"/>
  <c r="J5950" i="16"/>
  <c r="D5950" i="16"/>
  <c r="C5950" i="16"/>
  <c r="B5950" i="16"/>
  <c r="A5950" i="16"/>
  <c r="N5950" i="16" s="1"/>
  <c r="P5949" i="16"/>
  <c r="O5949" i="16"/>
  <c r="N5949" i="16"/>
  <c r="M5949" i="16"/>
  <c r="L5949" i="16"/>
  <c r="H5949" i="16"/>
  <c r="G5949" i="16"/>
  <c r="F5949" i="16"/>
  <c r="E5949" i="16"/>
  <c r="D5949" i="16"/>
  <c r="C5949" i="16"/>
  <c r="B5949" i="16"/>
  <c r="A5949" i="16"/>
  <c r="J5949" i="16" s="1"/>
  <c r="O5948" i="16"/>
  <c r="I5948" i="16"/>
  <c r="H5948" i="16"/>
  <c r="G5948" i="16"/>
  <c r="D5948" i="16"/>
  <c r="C5948" i="16"/>
  <c r="B5948" i="16"/>
  <c r="A5948" i="16"/>
  <c r="D5947" i="16"/>
  <c r="C5947" i="16"/>
  <c r="B5947" i="16"/>
  <c r="A5947" i="16"/>
  <c r="P5946" i="16"/>
  <c r="I5946" i="16"/>
  <c r="H5946" i="16"/>
  <c r="G5946" i="16"/>
  <c r="D5946" i="16"/>
  <c r="C5946" i="16"/>
  <c r="B5946" i="16"/>
  <c r="A5946" i="16"/>
  <c r="K5946" i="16" s="1"/>
  <c r="L5945" i="16"/>
  <c r="D5945" i="16"/>
  <c r="C5945" i="16"/>
  <c r="B5945" i="16"/>
  <c r="A5945" i="16"/>
  <c r="O5945" i="16" s="1"/>
  <c r="P5944" i="16"/>
  <c r="J5944" i="16"/>
  <c r="I5944" i="16"/>
  <c r="H5944" i="16"/>
  <c r="D5944" i="16"/>
  <c r="C5944" i="16"/>
  <c r="B5944" i="16"/>
  <c r="A5944" i="16"/>
  <c r="E5944" i="16" s="1"/>
  <c r="T5943" i="16"/>
  <c r="M5943" i="16"/>
  <c r="L5943" i="16"/>
  <c r="E5943" i="16"/>
  <c r="D5943" i="16"/>
  <c r="C5943" i="16"/>
  <c r="B5943" i="16"/>
  <c r="A5943" i="16"/>
  <c r="K5943" i="16" s="1"/>
  <c r="L5942" i="16"/>
  <c r="K5942" i="16"/>
  <c r="J5942" i="16"/>
  <c r="H5942" i="16"/>
  <c r="D5942" i="16"/>
  <c r="C5942" i="16"/>
  <c r="B5942" i="16"/>
  <c r="A5942" i="16"/>
  <c r="P5941" i="16"/>
  <c r="O5941" i="16"/>
  <c r="L5941" i="16"/>
  <c r="H5941" i="16"/>
  <c r="G5941" i="16"/>
  <c r="F5941" i="16"/>
  <c r="E5941" i="16"/>
  <c r="D5941" i="16"/>
  <c r="C5941" i="16"/>
  <c r="B5941" i="16"/>
  <c r="A5941" i="16"/>
  <c r="I5940" i="16"/>
  <c r="H5940" i="16"/>
  <c r="G5940" i="16"/>
  <c r="F5940" i="16"/>
  <c r="D5940" i="16"/>
  <c r="C5940" i="16"/>
  <c r="B5940" i="16"/>
  <c r="A5940" i="16"/>
  <c r="D5939" i="16"/>
  <c r="C5939" i="16"/>
  <c r="B5939" i="16"/>
  <c r="A5939" i="16"/>
  <c r="T5938" i="16"/>
  <c r="O5938" i="16"/>
  <c r="H5938" i="16"/>
  <c r="G5938" i="16"/>
  <c r="F5938" i="16"/>
  <c r="D5938" i="16"/>
  <c r="C5938" i="16"/>
  <c r="B5938" i="16"/>
  <c r="A5938" i="16"/>
  <c r="P5938" i="16" s="1"/>
  <c r="D5937" i="16"/>
  <c r="C5937" i="16"/>
  <c r="B5937" i="16"/>
  <c r="A5937" i="16"/>
  <c r="I5936" i="16"/>
  <c r="H5936" i="16"/>
  <c r="E5936" i="16"/>
  <c r="D5936" i="16"/>
  <c r="C5936" i="16"/>
  <c r="B5936" i="16"/>
  <c r="A5936" i="16"/>
  <c r="T5936" i="16" s="1"/>
  <c r="L5935" i="16"/>
  <c r="K5935" i="16"/>
  <c r="E5935" i="16"/>
  <c r="D5935" i="16"/>
  <c r="C5935" i="16"/>
  <c r="B5935" i="16"/>
  <c r="A5935" i="16"/>
  <c r="M5935" i="16" s="1"/>
  <c r="D5934" i="16"/>
  <c r="C5934" i="16"/>
  <c r="B5934" i="16"/>
  <c r="A5934" i="16"/>
  <c r="P5933" i="16"/>
  <c r="D5933" i="16"/>
  <c r="C5933" i="16"/>
  <c r="B5933" i="16"/>
  <c r="A5933" i="16"/>
  <c r="P5932" i="16"/>
  <c r="D5932" i="16"/>
  <c r="C5932" i="16"/>
  <c r="B5932" i="16"/>
  <c r="A5932" i="16"/>
  <c r="T5931" i="16"/>
  <c r="P5931" i="16"/>
  <c r="N5931" i="16"/>
  <c r="F5931" i="16"/>
  <c r="E5931" i="16"/>
  <c r="D5931" i="16"/>
  <c r="C5931" i="16"/>
  <c r="B5931" i="16"/>
  <c r="A5931" i="16"/>
  <c r="G5931" i="16" s="1"/>
  <c r="I5930" i="16"/>
  <c r="H5930" i="16"/>
  <c r="G5930" i="16"/>
  <c r="D5930" i="16"/>
  <c r="C5930" i="16"/>
  <c r="B5930" i="16"/>
  <c r="A5930" i="16"/>
  <c r="K5930" i="16" s="1"/>
  <c r="O5929" i="16"/>
  <c r="D5929" i="16"/>
  <c r="C5929" i="16"/>
  <c r="B5929" i="16"/>
  <c r="A5929" i="16"/>
  <c r="D5928" i="16"/>
  <c r="C5928" i="16"/>
  <c r="B5928" i="16"/>
  <c r="A5928" i="16"/>
  <c r="T5927" i="16"/>
  <c r="D5927" i="16"/>
  <c r="C5927" i="16"/>
  <c r="B5927" i="16"/>
  <c r="A5927" i="16"/>
  <c r="P5926" i="16"/>
  <c r="O5926" i="16"/>
  <c r="N5926" i="16"/>
  <c r="M5926" i="16"/>
  <c r="G5926" i="16"/>
  <c r="F5926" i="16"/>
  <c r="E5926" i="16"/>
  <c r="D5926" i="16"/>
  <c r="C5926" i="16"/>
  <c r="B5926" i="16"/>
  <c r="A5926" i="16"/>
  <c r="H5926" i="16" s="1"/>
  <c r="K5925" i="16"/>
  <c r="I5925" i="16"/>
  <c r="H5925" i="16"/>
  <c r="D5925" i="16"/>
  <c r="C5925" i="16"/>
  <c r="B5925" i="16"/>
  <c r="A5925" i="16"/>
  <c r="L5925" i="16" s="1"/>
  <c r="D5924" i="16"/>
  <c r="C5924" i="16"/>
  <c r="B5924" i="16"/>
  <c r="A5924" i="16"/>
  <c r="D5923" i="16"/>
  <c r="C5923" i="16"/>
  <c r="B5923" i="16"/>
  <c r="A5923" i="16"/>
  <c r="D5922" i="16"/>
  <c r="C5922" i="16"/>
  <c r="B5922" i="16"/>
  <c r="A5922" i="16"/>
  <c r="T5922" i="16" s="1"/>
  <c r="J5921" i="16"/>
  <c r="H5921" i="16"/>
  <c r="G5921" i="16"/>
  <c r="D5921" i="16"/>
  <c r="C5921" i="16"/>
  <c r="B5921" i="16"/>
  <c r="A5921" i="16"/>
  <c r="T5921" i="16" s="1"/>
  <c r="D5920" i="16"/>
  <c r="C5920" i="16"/>
  <c r="B5920" i="16"/>
  <c r="A5920" i="16"/>
  <c r="O5919" i="16"/>
  <c r="G5919" i="16"/>
  <c r="F5919" i="16"/>
  <c r="E5919" i="16"/>
  <c r="D5919" i="16"/>
  <c r="C5919" i="16"/>
  <c r="B5919" i="16"/>
  <c r="A5919" i="16"/>
  <c r="T5919" i="16" s="1"/>
  <c r="M5918" i="16"/>
  <c r="K5918" i="16"/>
  <c r="J5918" i="16"/>
  <c r="E5918" i="16"/>
  <c r="D5918" i="16"/>
  <c r="C5918" i="16"/>
  <c r="B5918" i="16"/>
  <c r="A5918" i="16"/>
  <c r="T5917" i="16"/>
  <c r="P5917" i="16"/>
  <c r="O5917" i="16"/>
  <c r="N5917" i="16"/>
  <c r="M5917" i="16"/>
  <c r="H5917" i="16"/>
  <c r="G5917" i="16"/>
  <c r="F5917" i="16"/>
  <c r="E5917" i="16"/>
  <c r="D5917" i="16"/>
  <c r="C5917" i="16"/>
  <c r="B5917" i="16"/>
  <c r="A5917" i="16"/>
  <c r="J5917" i="16" s="1"/>
  <c r="T5916" i="16"/>
  <c r="P5916" i="16"/>
  <c r="O5916" i="16"/>
  <c r="H5916" i="16"/>
  <c r="F5916" i="16"/>
  <c r="E5916" i="16"/>
  <c r="D5916" i="16"/>
  <c r="C5916" i="16"/>
  <c r="B5916" i="16"/>
  <c r="A5916" i="16"/>
  <c r="L5916" i="16" s="1"/>
  <c r="N5915" i="16"/>
  <c r="M5915" i="16"/>
  <c r="K5915" i="16"/>
  <c r="H5915" i="16"/>
  <c r="D5915" i="16"/>
  <c r="C5915" i="16"/>
  <c r="B5915" i="16"/>
  <c r="A5915" i="16"/>
  <c r="T5914" i="16"/>
  <c r="P5914" i="16"/>
  <c r="L5914" i="16"/>
  <c r="I5914" i="16"/>
  <c r="H5914" i="16"/>
  <c r="G5914" i="16"/>
  <c r="F5914" i="16"/>
  <c r="D5914" i="16"/>
  <c r="C5914" i="16"/>
  <c r="B5914" i="16"/>
  <c r="A5914" i="16"/>
  <c r="N5914" i="16" s="1"/>
  <c r="M5913" i="16"/>
  <c r="D5913" i="16"/>
  <c r="C5913" i="16"/>
  <c r="B5913" i="16"/>
  <c r="A5913" i="16"/>
  <c r="D5912" i="16"/>
  <c r="C5912" i="16"/>
  <c r="B5912" i="16"/>
  <c r="A5912" i="16"/>
  <c r="M5912" i="16" s="1"/>
  <c r="D5911" i="16"/>
  <c r="C5911" i="16"/>
  <c r="B5911" i="16"/>
  <c r="A5911" i="16"/>
  <c r="L5910" i="16"/>
  <c r="K5910" i="16"/>
  <c r="J5910" i="16"/>
  <c r="G5910" i="16"/>
  <c r="D5910" i="16"/>
  <c r="C5910" i="16"/>
  <c r="B5910" i="16"/>
  <c r="A5910" i="16"/>
  <c r="P5909" i="16"/>
  <c r="H5909" i="16"/>
  <c r="G5909" i="16"/>
  <c r="F5909" i="16"/>
  <c r="D5909" i="16"/>
  <c r="C5909" i="16"/>
  <c r="B5909" i="16"/>
  <c r="A5909" i="16"/>
  <c r="I5909" i="16" s="1"/>
  <c r="D5908" i="16"/>
  <c r="C5908" i="16"/>
  <c r="B5908" i="16"/>
  <c r="A5908" i="16"/>
  <c r="P5907" i="16"/>
  <c r="H5907" i="16"/>
  <c r="F5907" i="16"/>
  <c r="D5907" i="16"/>
  <c r="C5907" i="16"/>
  <c r="B5907" i="16"/>
  <c r="A5907" i="16"/>
  <c r="T5907" i="16" s="1"/>
  <c r="D5906" i="16"/>
  <c r="C5906" i="16"/>
  <c r="B5906" i="16"/>
  <c r="A5906" i="16"/>
  <c r="P5906" i="16" s="1"/>
  <c r="T5905" i="16"/>
  <c r="I5905" i="16"/>
  <c r="G5905" i="16"/>
  <c r="E5905" i="16"/>
  <c r="D5905" i="16"/>
  <c r="C5905" i="16"/>
  <c r="B5905" i="16"/>
  <c r="A5905" i="16"/>
  <c r="H5905" i="16" s="1"/>
  <c r="M5904" i="16"/>
  <c r="L5904" i="16"/>
  <c r="I5904" i="16"/>
  <c r="H5904" i="16"/>
  <c r="D5904" i="16"/>
  <c r="C5904" i="16"/>
  <c r="B5904" i="16"/>
  <c r="A5904" i="16"/>
  <c r="T5903" i="16"/>
  <c r="O5903" i="16"/>
  <c r="M5903" i="16"/>
  <c r="I5903" i="16"/>
  <c r="G5903" i="16"/>
  <c r="F5903" i="16"/>
  <c r="E5903" i="16"/>
  <c r="D5903" i="16"/>
  <c r="C5903" i="16"/>
  <c r="B5903" i="16"/>
  <c r="A5903" i="16"/>
  <c r="L5903" i="16" s="1"/>
  <c r="P5902" i="16"/>
  <c r="O5902" i="16"/>
  <c r="N5902" i="16"/>
  <c r="M5902" i="16"/>
  <c r="L5902" i="16"/>
  <c r="K5902" i="16"/>
  <c r="H5902" i="16"/>
  <c r="G5902" i="16"/>
  <c r="F5902" i="16"/>
  <c r="E5902" i="16"/>
  <c r="D5902" i="16"/>
  <c r="C5902" i="16"/>
  <c r="B5902" i="16"/>
  <c r="A5902" i="16"/>
  <c r="T5902" i="16" s="1"/>
  <c r="L5901" i="16"/>
  <c r="D5901" i="16"/>
  <c r="C5901" i="16"/>
  <c r="B5901" i="16"/>
  <c r="A5901" i="16"/>
  <c r="D5900" i="16"/>
  <c r="C5900" i="16"/>
  <c r="B5900" i="16"/>
  <c r="A5900" i="16"/>
  <c r="J5899" i="16"/>
  <c r="I5899" i="16"/>
  <c r="E5899" i="16"/>
  <c r="D5899" i="16"/>
  <c r="C5899" i="16"/>
  <c r="B5899" i="16"/>
  <c r="A5899" i="16"/>
  <c r="K5899" i="16" s="1"/>
  <c r="L5898" i="16"/>
  <c r="K5898" i="16"/>
  <c r="J5898" i="16"/>
  <c r="I5898" i="16"/>
  <c r="D5898" i="16"/>
  <c r="C5898" i="16"/>
  <c r="B5898" i="16"/>
  <c r="A5898" i="16"/>
  <c r="T5897" i="16"/>
  <c r="I5897" i="16"/>
  <c r="D5897" i="16"/>
  <c r="C5897" i="16"/>
  <c r="B5897" i="16"/>
  <c r="A5897" i="16"/>
  <c r="D5896" i="16"/>
  <c r="C5896" i="16"/>
  <c r="B5896" i="16"/>
  <c r="A5896" i="16"/>
  <c r="F5896" i="16" s="1"/>
  <c r="D5895" i="16"/>
  <c r="C5895" i="16"/>
  <c r="B5895" i="16"/>
  <c r="A5895" i="16"/>
  <c r="N5894" i="16"/>
  <c r="M5894" i="16"/>
  <c r="H5894" i="16"/>
  <c r="F5894" i="16"/>
  <c r="D5894" i="16"/>
  <c r="C5894" i="16"/>
  <c r="B5894" i="16"/>
  <c r="A5894" i="16"/>
  <c r="I5893" i="16"/>
  <c r="H5893" i="16"/>
  <c r="D5893" i="16"/>
  <c r="C5893" i="16"/>
  <c r="B5893" i="16"/>
  <c r="A5893" i="16"/>
  <c r="N5893" i="16" s="1"/>
  <c r="P5892" i="16"/>
  <c r="I5892" i="16"/>
  <c r="H5892" i="16"/>
  <c r="G5892" i="16"/>
  <c r="D5892" i="16"/>
  <c r="C5892" i="16"/>
  <c r="B5892" i="16"/>
  <c r="A5892" i="16"/>
  <c r="J5892" i="16" s="1"/>
  <c r="L5891" i="16"/>
  <c r="K5891" i="16"/>
  <c r="J5891" i="16"/>
  <c r="I5891" i="16"/>
  <c r="D5891" i="16"/>
  <c r="C5891" i="16"/>
  <c r="B5891" i="16"/>
  <c r="A5891" i="16"/>
  <c r="T5890" i="16"/>
  <c r="M5890" i="16"/>
  <c r="L5890" i="16"/>
  <c r="E5890" i="16"/>
  <c r="D5890" i="16"/>
  <c r="C5890" i="16"/>
  <c r="B5890" i="16"/>
  <c r="A5890" i="16"/>
  <c r="P5889" i="16"/>
  <c r="O5889" i="16"/>
  <c r="N5889" i="16"/>
  <c r="M5889" i="16"/>
  <c r="K5889" i="16"/>
  <c r="H5889" i="16"/>
  <c r="G5889" i="16"/>
  <c r="F5889" i="16"/>
  <c r="E5889" i="16"/>
  <c r="D5889" i="16"/>
  <c r="C5889" i="16"/>
  <c r="B5889" i="16"/>
  <c r="A5889" i="16"/>
  <c r="P5888" i="16"/>
  <c r="O5888" i="16"/>
  <c r="N5888" i="16"/>
  <c r="M5888" i="16"/>
  <c r="L5888" i="16"/>
  <c r="H5888" i="16"/>
  <c r="G5888" i="16"/>
  <c r="F5888" i="16"/>
  <c r="E5888" i="16"/>
  <c r="D5888" i="16"/>
  <c r="C5888" i="16"/>
  <c r="B5888" i="16"/>
  <c r="A5888" i="16"/>
  <c r="J5888" i="16" s="1"/>
  <c r="P5887" i="16"/>
  <c r="O5887" i="16"/>
  <c r="H5887" i="16"/>
  <c r="G5887" i="16"/>
  <c r="E5887" i="16"/>
  <c r="D5887" i="16"/>
  <c r="C5887" i="16"/>
  <c r="B5887" i="16"/>
  <c r="A5887" i="16"/>
  <c r="L5887" i="16" s="1"/>
  <c r="O5886" i="16"/>
  <c r="D5886" i="16"/>
  <c r="C5886" i="16"/>
  <c r="B5886" i="16"/>
  <c r="A5886" i="16"/>
  <c r="D5885" i="16"/>
  <c r="C5885" i="16"/>
  <c r="B5885" i="16"/>
  <c r="A5885" i="16"/>
  <c r="T5884" i="16"/>
  <c r="P5884" i="16"/>
  <c r="D5884" i="16"/>
  <c r="C5884" i="16"/>
  <c r="B5884" i="16"/>
  <c r="A5884" i="16"/>
  <c r="K5883" i="16"/>
  <c r="D5883" i="16"/>
  <c r="C5883" i="16"/>
  <c r="B5883" i="16"/>
  <c r="A5883" i="16"/>
  <c r="D5882" i="16"/>
  <c r="C5882" i="16"/>
  <c r="B5882" i="16"/>
  <c r="A5882" i="16"/>
  <c r="P5881" i="16"/>
  <c r="O5881" i="16"/>
  <c r="N5881" i="16"/>
  <c r="K5881" i="16"/>
  <c r="H5881" i="16"/>
  <c r="G5881" i="16"/>
  <c r="F5881" i="16"/>
  <c r="E5881" i="16"/>
  <c r="D5881" i="16"/>
  <c r="C5881" i="16"/>
  <c r="B5881" i="16"/>
  <c r="A5881" i="16"/>
  <c r="D5880" i="16"/>
  <c r="C5880" i="16"/>
  <c r="B5880" i="16"/>
  <c r="A5880" i="16"/>
  <c r="D5879" i="16"/>
  <c r="C5879" i="16"/>
  <c r="B5879" i="16"/>
  <c r="A5879" i="16"/>
  <c r="O5878" i="16"/>
  <c r="M5878" i="16"/>
  <c r="D5878" i="16"/>
  <c r="C5878" i="16"/>
  <c r="B5878" i="16"/>
  <c r="A5878" i="16"/>
  <c r="N5878" i="16" s="1"/>
  <c r="J5877" i="16"/>
  <c r="D5877" i="16"/>
  <c r="C5877" i="16"/>
  <c r="B5877" i="16"/>
  <c r="A5877" i="16"/>
  <c r="D5876" i="16"/>
  <c r="C5876" i="16"/>
  <c r="B5876" i="16"/>
  <c r="A5876" i="16"/>
  <c r="T5875" i="16"/>
  <c r="P5875" i="16"/>
  <c r="D5875" i="16"/>
  <c r="C5875" i="16"/>
  <c r="B5875" i="16"/>
  <c r="A5875" i="16"/>
  <c r="D5874" i="16"/>
  <c r="C5874" i="16"/>
  <c r="B5874" i="16"/>
  <c r="A5874" i="16"/>
  <c r="P5873" i="16"/>
  <c r="O5873" i="16"/>
  <c r="H5873" i="16"/>
  <c r="G5873" i="16"/>
  <c r="F5873" i="16"/>
  <c r="E5873" i="16"/>
  <c r="D5873" i="16"/>
  <c r="C5873" i="16"/>
  <c r="B5873" i="16"/>
  <c r="A5873" i="16"/>
  <c r="P5872" i="16"/>
  <c r="O5872" i="16"/>
  <c r="N5872" i="16"/>
  <c r="M5872" i="16"/>
  <c r="H5872" i="16"/>
  <c r="G5872" i="16"/>
  <c r="F5872" i="16"/>
  <c r="E5872" i="16"/>
  <c r="D5872" i="16"/>
  <c r="C5872" i="16"/>
  <c r="B5872" i="16"/>
  <c r="A5872" i="16"/>
  <c r="N5871" i="16"/>
  <c r="M5871" i="16"/>
  <c r="D5871" i="16"/>
  <c r="C5871" i="16"/>
  <c r="B5871" i="16"/>
  <c r="A5871" i="16"/>
  <c r="N5870" i="16"/>
  <c r="D5870" i="16"/>
  <c r="C5870" i="16"/>
  <c r="B5870" i="16"/>
  <c r="A5870" i="16"/>
  <c r="M5870" i="16" s="1"/>
  <c r="T5869" i="16"/>
  <c r="P5869" i="16"/>
  <c r="O5869" i="16"/>
  <c r="I5869" i="16"/>
  <c r="H5869" i="16"/>
  <c r="G5869" i="16"/>
  <c r="F5869" i="16"/>
  <c r="D5869" i="16"/>
  <c r="C5869" i="16"/>
  <c r="B5869" i="16"/>
  <c r="A5869" i="16"/>
  <c r="N5869" i="16" s="1"/>
  <c r="P5868" i="16"/>
  <c r="O5868" i="16"/>
  <c r="K5868" i="16"/>
  <c r="J5868" i="16"/>
  <c r="D5868" i="16"/>
  <c r="C5868" i="16"/>
  <c r="B5868" i="16"/>
  <c r="A5868" i="16"/>
  <c r="T5867" i="16"/>
  <c r="J5867" i="16"/>
  <c r="I5867" i="16"/>
  <c r="H5867" i="16"/>
  <c r="D5867" i="16"/>
  <c r="C5867" i="16"/>
  <c r="B5867" i="16"/>
  <c r="A5867" i="16"/>
  <c r="K5867" i="16" s="1"/>
  <c r="M5866" i="16"/>
  <c r="L5866" i="16"/>
  <c r="K5866" i="16"/>
  <c r="J5866" i="16"/>
  <c r="D5866" i="16"/>
  <c r="C5866" i="16"/>
  <c r="B5866" i="16"/>
  <c r="A5866" i="16"/>
  <c r="P5865" i="16"/>
  <c r="O5865" i="16"/>
  <c r="N5865" i="16"/>
  <c r="J5865" i="16"/>
  <c r="G5865" i="16"/>
  <c r="F5865" i="16"/>
  <c r="E5865" i="16"/>
  <c r="D5865" i="16"/>
  <c r="C5865" i="16"/>
  <c r="B5865" i="16"/>
  <c r="A5865" i="16"/>
  <c r="N5864" i="16"/>
  <c r="M5864" i="16"/>
  <c r="L5864" i="16"/>
  <c r="K5864" i="16"/>
  <c r="D5864" i="16"/>
  <c r="C5864" i="16"/>
  <c r="B5864" i="16"/>
  <c r="A5864" i="16"/>
  <c r="P5863" i="16"/>
  <c r="H5863" i="16"/>
  <c r="G5863" i="16"/>
  <c r="F5863" i="16"/>
  <c r="E5863" i="16"/>
  <c r="D5863" i="16"/>
  <c r="C5863" i="16"/>
  <c r="B5863" i="16"/>
  <c r="A5863" i="16"/>
  <c r="T5862" i="16"/>
  <c r="G5862" i="16"/>
  <c r="F5862" i="16"/>
  <c r="D5862" i="16"/>
  <c r="C5862" i="16"/>
  <c r="B5862" i="16"/>
  <c r="A5862" i="16"/>
  <c r="I5862" i="16" s="1"/>
  <c r="P5861" i="16"/>
  <c r="O5861" i="16"/>
  <c r="H5861" i="16"/>
  <c r="D5861" i="16"/>
  <c r="C5861" i="16"/>
  <c r="B5861" i="16"/>
  <c r="A5861" i="16"/>
  <c r="P5860" i="16"/>
  <c r="O5860" i="16"/>
  <c r="D5860" i="16"/>
  <c r="C5860" i="16"/>
  <c r="B5860" i="16"/>
  <c r="A5860" i="16"/>
  <c r="D5859" i="16"/>
  <c r="C5859" i="16"/>
  <c r="B5859" i="16"/>
  <c r="A5859" i="16"/>
  <c r="D5858" i="16"/>
  <c r="C5858" i="16"/>
  <c r="B5858" i="16"/>
  <c r="A5858" i="16"/>
  <c r="K5857" i="16"/>
  <c r="J5857" i="16"/>
  <c r="G5857" i="16"/>
  <c r="D5857" i="16"/>
  <c r="C5857" i="16"/>
  <c r="B5857" i="16"/>
  <c r="A5857" i="16"/>
  <c r="L5857" i="16" s="1"/>
  <c r="O5856" i="16"/>
  <c r="N5856" i="16"/>
  <c r="K5856" i="16"/>
  <c r="H5856" i="16"/>
  <c r="G5856" i="16"/>
  <c r="E5856" i="16"/>
  <c r="D5856" i="16"/>
  <c r="C5856" i="16"/>
  <c r="B5856" i="16"/>
  <c r="A5856" i="16"/>
  <c r="O5855" i="16"/>
  <c r="M5855" i="16"/>
  <c r="L5855" i="16"/>
  <c r="H5855" i="16"/>
  <c r="D5855" i="16"/>
  <c r="C5855" i="16"/>
  <c r="B5855" i="16"/>
  <c r="A5855" i="16"/>
  <c r="T5854" i="16"/>
  <c r="H5854" i="16"/>
  <c r="D5854" i="16"/>
  <c r="C5854" i="16"/>
  <c r="B5854" i="16"/>
  <c r="A5854" i="16"/>
  <c r="T5853" i="16"/>
  <c r="O5853" i="16"/>
  <c r="N5853" i="16"/>
  <c r="G5853" i="16"/>
  <c r="F5853" i="16"/>
  <c r="D5853" i="16"/>
  <c r="C5853" i="16"/>
  <c r="B5853" i="16"/>
  <c r="A5853" i="16"/>
  <c r="D5852" i="16"/>
  <c r="C5852" i="16"/>
  <c r="B5852" i="16"/>
  <c r="A5852" i="16"/>
  <c r="D5851" i="16"/>
  <c r="C5851" i="16"/>
  <c r="B5851" i="16"/>
  <c r="A5851" i="16"/>
  <c r="M5850" i="16"/>
  <c r="K5850" i="16"/>
  <c r="J5850" i="16"/>
  <c r="I5850" i="16"/>
  <c r="D5850" i="16"/>
  <c r="C5850" i="16"/>
  <c r="B5850" i="16"/>
  <c r="A5850" i="16"/>
  <c r="P5849" i="16"/>
  <c r="O5849" i="16"/>
  <c r="N5849" i="16"/>
  <c r="M5849" i="16"/>
  <c r="H5849" i="16"/>
  <c r="G5849" i="16"/>
  <c r="F5849" i="16"/>
  <c r="E5849" i="16"/>
  <c r="D5849" i="16"/>
  <c r="C5849" i="16"/>
  <c r="B5849" i="16"/>
  <c r="A5849" i="16"/>
  <c r="M5848" i="16"/>
  <c r="L5848" i="16"/>
  <c r="K5848" i="16"/>
  <c r="D5848" i="16"/>
  <c r="C5848" i="16"/>
  <c r="B5848" i="16"/>
  <c r="A5848" i="16"/>
  <c r="N5848" i="16" s="1"/>
  <c r="O5847" i="16"/>
  <c r="L5847" i="16"/>
  <c r="H5847" i="16"/>
  <c r="G5847" i="16"/>
  <c r="F5847" i="16"/>
  <c r="D5847" i="16"/>
  <c r="C5847" i="16"/>
  <c r="B5847" i="16"/>
  <c r="A5847" i="16"/>
  <c r="O5846" i="16"/>
  <c r="M5846" i="16"/>
  <c r="H5846" i="16"/>
  <c r="G5846" i="16"/>
  <c r="D5846" i="16"/>
  <c r="C5846" i="16"/>
  <c r="B5846" i="16"/>
  <c r="A5846" i="16"/>
  <c r="T5845" i="16"/>
  <c r="O5845" i="16"/>
  <c r="D5845" i="16"/>
  <c r="C5845" i="16"/>
  <c r="B5845" i="16"/>
  <c r="A5845" i="16"/>
  <c r="D5844" i="16"/>
  <c r="C5844" i="16"/>
  <c r="B5844" i="16"/>
  <c r="A5844" i="16"/>
  <c r="T5843" i="16"/>
  <c r="D5843" i="16"/>
  <c r="C5843" i="16"/>
  <c r="B5843" i="16"/>
  <c r="A5843" i="16"/>
  <c r="D5842" i="16"/>
  <c r="C5842" i="16"/>
  <c r="B5842" i="16"/>
  <c r="A5842" i="16"/>
  <c r="P5841" i="16"/>
  <c r="J5841" i="16"/>
  <c r="H5841" i="16"/>
  <c r="G5841" i="16"/>
  <c r="F5841" i="16"/>
  <c r="D5841" i="16"/>
  <c r="C5841" i="16"/>
  <c r="B5841" i="16"/>
  <c r="A5841" i="16"/>
  <c r="P5840" i="16"/>
  <c r="O5840" i="16"/>
  <c r="N5840" i="16"/>
  <c r="K5840" i="16"/>
  <c r="G5840" i="16"/>
  <c r="F5840" i="16"/>
  <c r="E5840" i="16"/>
  <c r="D5840" i="16"/>
  <c r="C5840" i="16"/>
  <c r="B5840" i="16"/>
  <c r="A5840" i="16"/>
  <c r="D5839" i="16"/>
  <c r="C5839" i="16"/>
  <c r="B5839" i="16"/>
  <c r="A5839" i="16"/>
  <c r="T5838" i="16"/>
  <c r="D5838" i="16"/>
  <c r="C5838" i="16"/>
  <c r="B5838" i="16"/>
  <c r="A5838" i="16"/>
  <c r="I5837" i="16"/>
  <c r="D5837" i="16"/>
  <c r="C5837" i="16"/>
  <c r="B5837" i="16"/>
  <c r="A5837" i="16"/>
  <c r="T5836" i="16"/>
  <c r="P5836" i="16"/>
  <c r="J5836" i="16"/>
  <c r="I5836" i="16"/>
  <c r="H5836" i="16"/>
  <c r="G5836" i="16"/>
  <c r="D5836" i="16"/>
  <c r="C5836" i="16"/>
  <c r="B5836" i="16"/>
  <c r="A5836" i="16"/>
  <c r="O5836" i="16" s="1"/>
  <c r="D5835" i="16"/>
  <c r="C5835" i="16"/>
  <c r="B5835" i="16"/>
  <c r="A5835" i="16"/>
  <c r="T5834" i="16"/>
  <c r="M5834" i="16"/>
  <c r="K5834" i="16"/>
  <c r="E5834" i="16"/>
  <c r="D5834" i="16"/>
  <c r="C5834" i="16"/>
  <c r="B5834" i="16"/>
  <c r="A5834" i="16"/>
  <c r="L5833" i="16"/>
  <c r="K5833" i="16"/>
  <c r="J5833" i="16"/>
  <c r="D5833" i="16"/>
  <c r="C5833" i="16"/>
  <c r="B5833" i="16"/>
  <c r="A5833" i="16"/>
  <c r="M5833" i="16" s="1"/>
  <c r="H5832" i="16"/>
  <c r="G5832" i="16"/>
  <c r="F5832" i="16"/>
  <c r="E5832" i="16"/>
  <c r="D5832" i="16"/>
  <c r="C5832" i="16"/>
  <c r="B5832" i="16"/>
  <c r="A5832" i="16"/>
  <c r="P5831" i="16"/>
  <c r="E5831" i="16"/>
  <c r="D5831" i="16"/>
  <c r="C5831" i="16"/>
  <c r="B5831" i="16"/>
  <c r="A5831" i="16"/>
  <c r="M5830" i="16"/>
  <c r="H5830" i="16"/>
  <c r="F5830" i="16"/>
  <c r="E5830" i="16"/>
  <c r="D5830" i="16"/>
  <c r="C5830" i="16"/>
  <c r="B5830" i="16"/>
  <c r="A5830" i="16"/>
  <c r="O5829" i="16"/>
  <c r="N5829" i="16"/>
  <c r="J5829" i="16"/>
  <c r="D5829" i="16"/>
  <c r="C5829" i="16"/>
  <c r="B5829" i="16"/>
  <c r="A5829" i="16"/>
  <c r="P5828" i="16"/>
  <c r="I5828" i="16"/>
  <c r="H5828" i="16"/>
  <c r="G5828" i="16"/>
  <c r="D5828" i="16"/>
  <c r="C5828" i="16"/>
  <c r="B5828" i="16"/>
  <c r="A5828" i="16"/>
  <c r="J5828" i="16" s="1"/>
  <c r="P5827" i="16"/>
  <c r="L5827" i="16"/>
  <c r="D5827" i="16"/>
  <c r="C5827" i="16"/>
  <c r="B5827" i="16"/>
  <c r="A5827" i="16"/>
  <c r="D5826" i="16"/>
  <c r="C5826" i="16"/>
  <c r="B5826" i="16"/>
  <c r="A5826" i="16"/>
  <c r="T5826" i="16" s="1"/>
  <c r="P5825" i="16"/>
  <c r="N5825" i="16"/>
  <c r="J5825" i="16"/>
  <c r="H5825" i="16"/>
  <c r="G5825" i="16"/>
  <c r="E5825" i="16"/>
  <c r="D5825" i="16"/>
  <c r="C5825" i="16"/>
  <c r="B5825" i="16"/>
  <c r="A5825" i="16"/>
  <c r="P5824" i="16"/>
  <c r="L5824" i="16"/>
  <c r="K5824" i="16"/>
  <c r="E5824" i="16"/>
  <c r="D5824" i="16"/>
  <c r="C5824" i="16"/>
  <c r="B5824" i="16"/>
  <c r="A5824" i="16"/>
  <c r="M5824" i="16" s="1"/>
  <c r="P5823" i="16"/>
  <c r="O5823" i="16"/>
  <c r="N5823" i="16"/>
  <c r="M5823" i="16"/>
  <c r="H5823" i="16"/>
  <c r="G5823" i="16"/>
  <c r="F5823" i="16"/>
  <c r="E5823" i="16"/>
  <c r="D5823" i="16"/>
  <c r="C5823" i="16"/>
  <c r="B5823" i="16"/>
  <c r="A5823" i="16"/>
  <c r="K5823" i="16" s="1"/>
  <c r="N5822" i="16"/>
  <c r="M5822" i="16"/>
  <c r="I5822" i="16"/>
  <c r="E5822" i="16"/>
  <c r="D5822" i="16"/>
  <c r="C5822" i="16"/>
  <c r="B5822" i="16"/>
  <c r="A5822" i="16"/>
  <c r="I5821" i="16"/>
  <c r="H5821" i="16"/>
  <c r="G5821" i="16"/>
  <c r="D5821" i="16"/>
  <c r="C5821" i="16"/>
  <c r="B5821" i="16"/>
  <c r="A5821" i="16"/>
  <c r="J5821" i="16" s="1"/>
  <c r="D5820" i="16"/>
  <c r="C5820" i="16"/>
  <c r="B5820" i="16"/>
  <c r="A5820" i="16"/>
  <c r="L5819" i="16"/>
  <c r="K5819" i="16"/>
  <c r="D5819" i="16"/>
  <c r="C5819" i="16"/>
  <c r="B5819" i="16"/>
  <c r="A5819" i="16"/>
  <c r="D5818" i="16"/>
  <c r="C5818" i="16"/>
  <c r="B5818" i="16"/>
  <c r="A5818" i="16"/>
  <c r="T5818" i="16" s="1"/>
  <c r="P5817" i="16"/>
  <c r="O5817" i="16"/>
  <c r="H5817" i="16"/>
  <c r="G5817" i="16"/>
  <c r="F5817" i="16"/>
  <c r="E5817" i="16"/>
  <c r="D5817" i="16"/>
  <c r="C5817" i="16"/>
  <c r="B5817" i="16"/>
  <c r="A5817" i="16"/>
  <c r="P5816" i="16"/>
  <c r="O5816" i="16"/>
  <c r="N5816" i="16"/>
  <c r="M5816" i="16"/>
  <c r="G5816" i="16"/>
  <c r="F5816" i="16"/>
  <c r="E5816" i="16"/>
  <c r="D5816" i="16"/>
  <c r="C5816" i="16"/>
  <c r="B5816" i="16"/>
  <c r="A5816" i="16"/>
  <c r="H5816" i="16" s="1"/>
  <c r="D5815" i="16"/>
  <c r="C5815" i="16"/>
  <c r="B5815" i="16"/>
  <c r="A5815" i="16"/>
  <c r="N5814" i="16"/>
  <c r="I5814" i="16"/>
  <c r="D5814" i="16"/>
  <c r="C5814" i="16"/>
  <c r="B5814" i="16"/>
  <c r="A5814" i="16"/>
  <c r="H5813" i="16"/>
  <c r="F5813" i="16"/>
  <c r="D5813" i="16"/>
  <c r="C5813" i="16"/>
  <c r="B5813" i="16"/>
  <c r="A5813" i="16"/>
  <c r="D5812" i="16"/>
  <c r="C5812" i="16"/>
  <c r="B5812" i="16"/>
  <c r="A5812" i="16"/>
  <c r="K5811" i="16"/>
  <c r="I5811" i="16"/>
  <c r="H5811" i="16"/>
  <c r="D5811" i="16"/>
  <c r="C5811" i="16"/>
  <c r="B5811" i="16"/>
  <c r="A5811" i="16"/>
  <c r="J5811" i="16" s="1"/>
  <c r="D5810" i="16"/>
  <c r="C5810" i="16"/>
  <c r="B5810" i="16"/>
  <c r="A5810" i="16"/>
  <c r="O5809" i="16"/>
  <c r="H5809" i="16"/>
  <c r="G5809" i="16"/>
  <c r="D5809" i="16"/>
  <c r="C5809" i="16"/>
  <c r="B5809" i="16"/>
  <c r="A5809" i="16"/>
  <c r="J5809" i="16" s="1"/>
  <c r="P5808" i="16"/>
  <c r="O5808" i="16"/>
  <c r="N5808" i="16"/>
  <c r="M5808" i="16"/>
  <c r="G5808" i="16"/>
  <c r="F5808" i="16"/>
  <c r="E5808" i="16"/>
  <c r="D5808" i="16"/>
  <c r="C5808" i="16"/>
  <c r="B5808" i="16"/>
  <c r="A5808" i="16"/>
  <c r="H5808" i="16" s="1"/>
  <c r="M5807" i="16"/>
  <c r="L5807" i="16"/>
  <c r="H5807" i="16"/>
  <c r="F5807" i="16"/>
  <c r="D5807" i="16"/>
  <c r="C5807" i="16"/>
  <c r="B5807" i="16"/>
  <c r="A5807" i="16"/>
  <c r="M5806" i="16"/>
  <c r="H5806" i="16"/>
  <c r="G5806" i="16"/>
  <c r="D5806" i="16"/>
  <c r="C5806" i="16"/>
  <c r="B5806" i="16"/>
  <c r="A5806" i="16"/>
  <c r="I5806" i="16" s="1"/>
  <c r="O5805" i="16"/>
  <c r="N5805" i="16"/>
  <c r="I5805" i="16"/>
  <c r="D5805" i="16"/>
  <c r="C5805" i="16"/>
  <c r="B5805" i="16"/>
  <c r="A5805" i="16"/>
  <c r="T5805" i="16" s="1"/>
  <c r="D5804" i="16"/>
  <c r="C5804" i="16"/>
  <c r="B5804" i="16"/>
  <c r="A5804" i="16"/>
  <c r="T5803" i="16"/>
  <c r="I5803" i="16"/>
  <c r="H5803" i="16"/>
  <c r="D5803" i="16"/>
  <c r="C5803" i="16"/>
  <c r="B5803" i="16"/>
  <c r="A5803" i="16"/>
  <c r="D5802" i="16"/>
  <c r="C5802" i="16"/>
  <c r="B5802" i="16"/>
  <c r="A5802" i="16"/>
  <c r="P5801" i="16"/>
  <c r="J5801" i="16"/>
  <c r="H5801" i="16"/>
  <c r="G5801" i="16"/>
  <c r="F5801" i="16"/>
  <c r="D5801" i="16"/>
  <c r="C5801" i="16"/>
  <c r="B5801" i="16"/>
  <c r="A5801" i="16"/>
  <c r="P5800" i="16"/>
  <c r="O5800" i="16"/>
  <c r="N5800" i="16"/>
  <c r="H5800" i="16"/>
  <c r="G5800" i="16"/>
  <c r="F5800" i="16"/>
  <c r="E5800" i="16"/>
  <c r="D5800" i="16"/>
  <c r="C5800" i="16"/>
  <c r="B5800" i="16"/>
  <c r="A5800" i="16"/>
  <c r="O5799" i="16"/>
  <c r="N5799" i="16"/>
  <c r="M5799" i="16"/>
  <c r="D5799" i="16"/>
  <c r="C5799" i="16"/>
  <c r="B5799" i="16"/>
  <c r="A5799" i="16"/>
  <c r="M5798" i="16"/>
  <c r="H5798" i="16"/>
  <c r="D5798" i="16"/>
  <c r="C5798" i="16"/>
  <c r="B5798" i="16"/>
  <c r="A5798" i="16"/>
  <c r="T5797" i="16"/>
  <c r="O5797" i="16"/>
  <c r="H5797" i="16"/>
  <c r="G5797" i="16"/>
  <c r="F5797" i="16"/>
  <c r="D5797" i="16"/>
  <c r="C5797" i="16"/>
  <c r="B5797" i="16"/>
  <c r="A5797" i="16"/>
  <c r="I5797" i="16" s="1"/>
  <c r="P5796" i="16"/>
  <c r="I5796" i="16"/>
  <c r="D5796" i="16"/>
  <c r="C5796" i="16"/>
  <c r="B5796" i="16"/>
  <c r="A5796" i="16"/>
  <c r="T5795" i="16"/>
  <c r="K5795" i="16"/>
  <c r="I5795" i="16"/>
  <c r="H5795" i="16"/>
  <c r="D5795" i="16"/>
  <c r="C5795" i="16"/>
  <c r="B5795" i="16"/>
  <c r="A5795" i="16"/>
  <c r="J5794" i="16"/>
  <c r="I5794" i="16"/>
  <c r="E5794" i="16"/>
  <c r="D5794" i="16"/>
  <c r="C5794" i="16"/>
  <c r="B5794" i="16"/>
  <c r="A5794" i="16"/>
  <c r="K5794" i="16" s="1"/>
  <c r="M5793" i="16"/>
  <c r="L5793" i="16"/>
  <c r="K5793" i="16"/>
  <c r="E5793" i="16"/>
  <c r="D5793" i="16"/>
  <c r="C5793" i="16"/>
  <c r="B5793" i="16"/>
  <c r="A5793" i="16"/>
  <c r="L5792" i="16"/>
  <c r="K5792" i="16"/>
  <c r="H5792" i="16"/>
  <c r="G5792" i="16"/>
  <c r="D5792" i="16"/>
  <c r="C5792" i="16"/>
  <c r="B5792" i="16"/>
  <c r="A5792" i="16"/>
  <c r="N5791" i="16"/>
  <c r="D5791" i="16"/>
  <c r="C5791" i="16"/>
  <c r="B5791" i="16"/>
  <c r="A5791" i="16"/>
  <c r="H5790" i="16"/>
  <c r="D5790" i="16"/>
  <c r="C5790" i="16"/>
  <c r="B5790" i="16"/>
  <c r="A5790" i="16"/>
  <c r="N5789" i="16"/>
  <c r="I5789" i="16"/>
  <c r="G5789" i="16"/>
  <c r="D5789" i="16"/>
  <c r="C5789" i="16"/>
  <c r="B5789" i="16"/>
  <c r="A5789" i="16"/>
  <c r="O5789" i="16" s="1"/>
  <c r="K5788" i="16"/>
  <c r="J5788" i="16"/>
  <c r="I5788" i="16"/>
  <c r="D5788" i="16"/>
  <c r="C5788" i="16"/>
  <c r="B5788" i="16"/>
  <c r="A5788" i="16"/>
  <c r="H5788" i="16" s="1"/>
  <c r="D5787" i="16"/>
  <c r="C5787" i="16"/>
  <c r="B5787" i="16"/>
  <c r="A5787" i="16"/>
  <c r="M5786" i="16"/>
  <c r="K5786" i="16"/>
  <c r="I5786" i="16"/>
  <c r="E5786" i="16"/>
  <c r="D5786" i="16"/>
  <c r="C5786" i="16"/>
  <c r="B5786" i="16"/>
  <c r="A5786" i="16"/>
  <c r="J5786" i="16" s="1"/>
  <c r="D5785" i="16"/>
  <c r="C5785" i="16"/>
  <c r="B5785" i="16"/>
  <c r="A5785" i="16"/>
  <c r="P5784" i="16"/>
  <c r="O5784" i="16"/>
  <c r="L5784" i="16"/>
  <c r="H5784" i="16"/>
  <c r="G5784" i="16"/>
  <c r="F5784" i="16"/>
  <c r="E5784" i="16"/>
  <c r="D5784" i="16"/>
  <c r="C5784" i="16"/>
  <c r="B5784" i="16"/>
  <c r="A5784" i="16"/>
  <c r="P5783" i="16"/>
  <c r="O5783" i="16"/>
  <c r="N5783" i="16"/>
  <c r="M5783" i="16"/>
  <c r="H5783" i="16"/>
  <c r="G5783" i="16"/>
  <c r="F5783" i="16"/>
  <c r="E5783" i="16"/>
  <c r="D5783" i="16"/>
  <c r="C5783" i="16"/>
  <c r="B5783" i="16"/>
  <c r="A5783" i="16"/>
  <c r="K5783" i="16" s="1"/>
  <c r="T5782" i="16"/>
  <c r="O5782" i="16"/>
  <c r="M5782" i="16"/>
  <c r="H5782" i="16"/>
  <c r="G5782" i="16"/>
  <c r="E5782" i="16"/>
  <c r="D5782" i="16"/>
  <c r="C5782" i="16"/>
  <c r="B5782" i="16"/>
  <c r="A5782" i="16"/>
  <c r="F5782" i="16" s="1"/>
  <c r="D5781" i="16"/>
  <c r="C5781" i="16"/>
  <c r="B5781" i="16"/>
  <c r="A5781" i="16"/>
  <c r="N5781" i="16" s="1"/>
  <c r="D5780" i="16"/>
  <c r="C5780" i="16"/>
  <c r="B5780" i="16"/>
  <c r="A5780" i="16"/>
  <c r="T5779" i="16"/>
  <c r="D5779" i="16"/>
  <c r="C5779" i="16"/>
  <c r="B5779" i="16"/>
  <c r="A5779" i="16"/>
  <c r="T5778" i="16"/>
  <c r="J5778" i="16"/>
  <c r="I5778" i="16"/>
  <c r="E5778" i="16"/>
  <c r="D5778" i="16"/>
  <c r="C5778" i="16"/>
  <c r="B5778" i="16"/>
  <c r="A5778" i="16"/>
  <c r="K5778" i="16" s="1"/>
  <c r="N5777" i="16"/>
  <c r="M5777" i="16"/>
  <c r="D5777" i="16"/>
  <c r="C5777" i="16"/>
  <c r="B5777" i="16"/>
  <c r="A5777" i="16"/>
  <c r="P5776" i="16"/>
  <c r="O5776" i="16"/>
  <c r="N5776" i="16"/>
  <c r="M5776" i="16"/>
  <c r="L5776" i="16"/>
  <c r="H5776" i="16"/>
  <c r="G5776" i="16"/>
  <c r="F5776" i="16"/>
  <c r="E5776" i="16"/>
  <c r="D5776" i="16"/>
  <c r="C5776" i="16"/>
  <c r="B5776" i="16"/>
  <c r="A5776" i="16"/>
  <c r="J5776" i="16" s="1"/>
  <c r="D5775" i="16"/>
  <c r="C5775" i="16"/>
  <c r="B5775" i="16"/>
  <c r="A5775" i="16"/>
  <c r="T5774" i="16"/>
  <c r="P5774" i="16"/>
  <c r="N5774" i="16"/>
  <c r="G5774" i="16"/>
  <c r="F5774" i="16"/>
  <c r="E5774" i="16"/>
  <c r="D5774" i="16"/>
  <c r="C5774" i="16"/>
  <c r="B5774" i="16"/>
  <c r="A5774" i="16"/>
  <c r="H5774" i="16" s="1"/>
  <c r="D5773" i="16"/>
  <c r="C5773" i="16"/>
  <c r="B5773" i="16"/>
  <c r="A5773" i="16"/>
  <c r="T5772" i="16"/>
  <c r="P5772" i="16"/>
  <c r="G5772" i="16"/>
  <c r="D5772" i="16"/>
  <c r="C5772" i="16"/>
  <c r="B5772" i="16"/>
  <c r="A5772" i="16"/>
  <c r="D5771" i="16"/>
  <c r="C5771" i="16"/>
  <c r="B5771" i="16"/>
  <c r="A5771" i="16"/>
  <c r="T5770" i="16"/>
  <c r="D5770" i="16"/>
  <c r="C5770" i="16"/>
  <c r="B5770" i="16"/>
  <c r="A5770" i="16"/>
  <c r="P5769" i="16"/>
  <c r="N5769" i="16"/>
  <c r="M5769" i="16"/>
  <c r="H5769" i="16"/>
  <c r="G5769" i="16"/>
  <c r="E5769" i="16"/>
  <c r="D5769" i="16"/>
  <c r="C5769" i="16"/>
  <c r="B5769" i="16"/>
  <c r="A5769" i="16"/>
  <c r="J5769" i="16" s="1"/>
  <c r="O5768" i="16"/>
  <c r="D5768" i="16"/>
  <c r="C5768" i="16"/>
  <c r="B5768" i="16"/>
  <c r="A5768" i="16"/>
  <c r="P5767" i="16"/>
  <c r="O5767" i="16"/>
  <c r="N5767" i="16"/>
  <c r="M5767" i="16"/>
  <c r="H5767" i="16"/>
  <c r="G5767" i="16"/>
  <c r="F5767" i="16"/>
  <c r="E5767" i="16"/>
  <c r="D5767" i="16"/>
  <c r="C5767" i="16"/>
  <c r="B5767" i="16"/>
  <c r="A5767" i="16"/>
  <c r="K5767" i="16" s="1"/>
  <c r="T5766" i="16"/>
  <c r="P5766" i="16"/>
  <c r="O5766" i="16"/>
  <c r="N5766" i="16"/>
  <c r="D5766" i="16"/>
  <c r="C5766" i="16"/>
  <c r="B5766" i="16"/>
  <c r="A5766" i="16"/>
  <c r="I5765" i="16"/>
  <c r="H5765" i="16"/>
  <c r="D5765" i="16"/>
  <c r="C5765" i="16"/>
  <c r="B5765" i="16"/>
  <c r="A5765" i="16"/>
  <c r="N5765" i="16" s="1"/>
  <c r="T5764" i="16"/>
  <c r="P5764" i="16"/>
  <c r="I5764" i="16"/>
  <c r="H5764" i="16"/>
  <c r="D5764" i="16"/>
  <c r="C5764" i="16"/>
  <c r="B5764" i="16"/>
  <c r="A5764" i="16"/>
  <c r="L5763" i="16"/>
  <c r="K5763" i="16"/>
  <c r="J5763" i="16"/>
  <c r="D5763" i="16"/>
  <c r="C5763" i="16"/>
  <c r="B5763" i="16"/>
  <c r="A5763" i="16"/>
  <c r="I5763" i="16" s="1"/>
  <c r="T5762" i="16"/>
  <c r="M5762" i="16"/>
  <c r="L5762" i="16"/>
  <c r="D5762" i="16"/>
  <c r="C5762" i="16"/>
  <c r="B5762" i="16"/>
  <c r="A5762" i="16"/>
  <c r="E5762" i="16" s="1"/>
  <c r="P5761" i="16"/>
  <c r="O5761" i="16"/>
  <c r="N5761" i="16"/>
  <c r="M5761" i="16"/>
  <c r="H5761" i="16"/>
  <c r="G5761" i="16"/>
  <c r="F5761" i="16"/>
  <c r="E5761" i="16"/>
  <c r="D5761" i="16"/>
  <c r="C5761" i="16"/>
  <c r="B5761" i="16"/>
  <c r="A5761" i="16"/>
  <c r="P5760" i="16"/>
  <c r="O5760" i="16"/>
  <c r="N5760" i="16"/>
  <c r="M5760" i="16"/>
  <c r="L5760" i="16"/>
  <c r="H5760" i="16"/>
  <c r="G5760" i="16"/>
  <c r="F5760" i="16"/>
  <c r="E5760" i="16"/>
  <c r="D5760" i="16"/>
  <c r="C5760" i="16"/>
  <c r="B5760" i="16"/>
  <c r="A5760" i="16"/>
  <c r="J5760" i="16" s="1"/>
  <c r="L5759" i="16"/>
  <c r="H5759" i="16"/>
  <c r="G5759" i="16"/>
  <c r="E5759" i="16"/>
  <c r="D5759" i="16"/>
  <c r="C5759" i="16"/>
  <c r="B5759" i="16"/>
  <c r="A5759" i="16"/>
  <c r="N5758" i="16"/>
  <c r="D5758" i="16"/>
  <c r="C5758" i="16"/>
  <c r="B5758" i="16"/>
  <c r="A5758" i="16"/>
  <c r="D5757" i="16"/>
  <c r="C5757" i="16"/>
  <c r="B5757" i="16"/>
  <c r="A5757" i="16"/>
  <c r="T5756" i="16"/>
  <c r="O5756" i="16"/>
  <c r="J5756" i="16"/>
  <c r="H5756" i="16"/>
  <c r="G5756" i="16"/>
  <c r="D5756" i="16"/>
  <c r="C5756" i="16"/>
  <c r="B5756" i="16"/>
  <c r="A5756" i="16"/>
  <c r="I5756" i="16" s="1"/>
  <c r="K5755" i="16"/>
  <c r="J5755" i="16"/>
  <c r="I5755" i="16"/>
  <c r="H5755" i="16"/>
  <c r="D5755" i="16"/>
  <c r="C5755" i="16"/>
  <c r="B5755" i="16"/>
  <c r="A5755" i="16"/>
  <c r="T5754" i="16"/>
  <c r="M5754" i="16"/>
  <c r="L5754" i="16"/>
  <c r="K5754" i="16"/>
  <c r="D5754" i="16"/>
  <c r="C5754" i="16"/>
  <c r="B5754" i="16"/>
  <c r="A5754" i="16"/>
  <c r="E5753" i="16"/>
  <c r="D5753" i="16"/>
  <c r="C5753" i="16"/>
  <c r="B5753" i="16"/>
  <c r="A5753" i="16"/>
  <c r="M5752" i="16"/>
  <c r="L5752" i="16"/>
  <c r="E5752" i="16"/>
  <c r="D5752" i="16"/>
  <c r="C5752" i="16"/>
  <c r="B5752" i="16"/>
  <c r="A5752" i="16"/>
  <c r="N5752" i="16" s="1"/>
  <c r="H5751" i="16"/>
  <c r="G5751" i="16"/>
  <c r="F5751" i="16"/>
  <c r="E5751" i="16"/>
  <c r="D5751" i="16"/>
  <c r="C5751" i="16"/>
  <c r="B5751" i="16"/>
  <c r="A5751" i="16"/>
  <c r="O5750" i="16"/>
  <c r="N5750" i="16"/>
  <c r="M5750" i="16"/>
  <c r="D5750" i="16"/>
  <c r="C5750" i="16"/>
  <c r="B5750" i="16"/>
  <c r="A5750" i="16"/>
  <c r="D5749" i="16"/>
  <c r="C5749" i="16"/>
  <c r="B5749" i="16"/>
  <c r="A5749" i="16"/>
  <c r="K5748" i="16"/>
  <c r="D5748" i="16"/>
  <c r="C5748" i="16"/>
  <c r="B5748" i="16"/>
  <c r="A5748" i="16"/>
  <c r="T5747" i="16"/>
  <c r="P5747" i="16"/>
  <c r="K5747" i="16"/>
  <c r="D5747" i="16"/>
  <c r="C5747" i="16"/>
  <c r="B5747" i="16"/>
  <c r="A5747" i="16"/>
  <c r="D5746" i="16"/>
  <c r="C5746" i="16"/>
  <c r="B5746" i="16"/>
  <c r="A5746" i="16"/>
  <c r="P5745" i="16"/>
  <c r="O5745" i="16"/>
  <c r="M5745" i="16"/>
  <c r="H5745" i="16"/>
  <c r="G5745" i="16"/>
  <c r="F5745" i="16"/>
  <c r="D5745" i="16"/>
  <c r="C5745" i="16"/>
  <c r="B5745" i="16"/>
  <c r="A5745" i="16"/>
  <c r="J5745" i="16" s="1"/>
  <c r="N5744" i="16"/>
  <c r="L5744" i="16"/>
  <c r="K5744" i="16"/>
  <c r="H5744" i="16"/>
  <c r="D5744" i="16"/>
  <c r="C5744" i="16"/>
  <c r="B5744" i="16"/>
  <c r="A5744" i="16"/>
  <c r="P5743" i="16"/>
  <c r="L5743" i="16"/>
  <c r="G5743" i="16"/>
  <c r="F5743" i="16"/>
  <c r="E5743" i="16"/>
  <c r="D5743" i="16"/>
  <c r="C5743" i="16"/>
  <c r="B5743" i="16"/>
  <c r="A5743" i="16"/>
  <c r="M5742" i="16"/>
  <c r="D5742" i="16"/>
  <c r="C5742" i="16"/>
  <c r="B5742" i="16"/>
  <c r="A5742" i="16"/>
  <c r="N5742" i="16" s="1"/>
  <c r="I5741" i="16"/>
  <c r="H5741" i="16"/>
  <c r="G5741" i="16"/>
  <c r="F5741" i="16"/>
  <c r="D5741" i="16"/>
  <c r="C5741" i="16"/>
  <c r="B5741" i="16"/>
  <c r="A5741" i="16"/>
  <c r="O5741" i="16" s="1"/>
  <c r="T5740" i="16"/>
  <c r="P5740" i="16"/>
  <c r="O5740" i="16"/>
  <c r="D5740" i="16"/>
  <c r="C5740" i="16"/>
  <c r="B5740" i="16"/>
  <c r="A5740" i="16"/>
  <c r="T5739" i="16"/>
  <c r="J5739" i="16"/>
  <c r="I5739" i="16"/>
  <c r="H5739" i="16"/>
  <c r="D5739" i="16"/>
  <c r="C5739" i="16"/>
  <c r="B5739" i="16"/>
  <c r="A5739" i="16"/>
  <c r="K5739" i="16" s="1"/>
  <c r="D5738" i="16"/>
  <c r="C5738" i="16"/>
  <c r="B5738" i="16"/>
  <c r="A5738" i="16"/>
  <c r="P5737" i="16"/>
  <c r="D5737" i="16"/>
  <c r="C5737" i="16"/>
  <c r="B5737" i="16"/>
  <c r="A5737" i="16"/>
  <c r="P5736" i="16"/>
  <c r="O5736" i="16"/>
  <c r="N5736" i="16"/>
  <c r="M5736" i="16"/>
  <c r="G5736" i="16"/>
  <c r="F5736" i="16"/>
  <c r="E5736" i="16"/>
  <c r="D5736" i="16"/>
  <c r="C5736" i="16"/>
  <c r="B5736" i="16"/>
  <c r="A5736" i="16"/>
  <c r="H5736" i="16" s="1"/>
  <c r="M5735" i="16"/>
  <c r="L5735" i="16"/>
  <c r="H5735" i="16"/>
  <c r="F5735" i="16"/>
  <c r="D5735" i="16"/>
  <c r="C5735" i="16"/>
  <c r="B5735" i="16"/>
  <c r="A5735" i="16"/>
  <c r="T5734" i="16"/>
  <c r="F5734" i="16"/>
  <c r="D5734" i="16"/>
  <c r="C5734" i="16"/>
  <c r="B5734" i="16"/>
  <c r="A5734" i="16"/>
  <c r="H5733" i="16"/>
  <c r="G5733" i="16"/>
  <c r="F5733" i="16"/>
  <c r="D5733" i="16"/>
  <c r="C5733" i="16"/>
  <c r="B5733" i="16"/>
  <c r="A5733" i="16"/>
  <c r="P5733" i="16" s="1"/>
  <c r="J5732" i="16"/>
  <c r="I5732" i="16"/>
  <c r="D5732" i="16"/>
  <c r="C5732" i="16"/>
  <c r="B5732" i="16"/>
  <c r="A5732" i="16"/>
  <c r="K5731" i="16"/>
  <c r="I5731" i="16"/>
  <c r="H5731" i="16"/>
  <c r="D5731" i="16"/>
  <c r="C5731" i="16"/>
  <c r="B5731" i="16"/>
  <c r="A5731" i="16"/>
  <c r="T5731" i="16" s="1"/>
  <c r="J5730" i="16"/>
  <c r="D5730" i="16"/>
  <c r="C5730" i="16"/>
  <c r="B5730" i="16"/>
  <c r="A5730" i="16"/>
  <c r="K5729" i="16"/>
  <c r="H5729" i="16"/>
  <c r="G5729" i="16"/>
  <c r="D5729" i="16"/>
  <c r="C5729" i="16"/>
  <c r="B5729" i="16"/>
  <c r="A5729" i="16"/>
  <c r="J5729" i="16" s="1"/>
  <c r="P5728" i="16"/>
  <c r="O5728" i="16"/>
  <c r="M5728" i="16"/>
  <c r="H5728" i="16"/>
  <c r="G5728" i="16"/>
  <c r="F5728" i="16"/>
  <c r="E5728" i="16"/>
  <c r="D5728" i="16"/>
  <c r="C5728" i="16"/>
  <c r="B5728" i="16"/>
  <c r="A5728" i="16"/>
  <c r="P5727" i="16"/>
  <c r="O5727" i="16"/>
  <c r="N5727" i="16"/>
  <c r="M5727" i="16"/>
  <c r="H5727" i="16"/>
  <c r="G5727" i="16"/>
  <c r="F5727" i="16"/>
  <c r="E5727" i="16"/>
  <c r="D5727" i="16"/>
  <c r="C5727" i="16"/>
  <c r="B5727" i="16"/>
  <c r="A5727" i="16"/>
  <c r="K5727" i="16" s="1"/>
  <c r="T5726" i="16"/>
  <c r="H5726" i="16"/>
  <c r="D5726" i="16"/>
  <c r="C5726" i="16"/>
  <c r="B5726" i="16"/>
  <c r="A5726" i="16"/>
  <c r="T5725" i="16"/>
  <c r="I5725" i="16"/>
  <c r="G5725" i="16"/>
  <c r="D5725" i="16"/>
  <c r="C5725" i="16"/>
  <c r="B5725" i="16"/>
  <c r="A5725" i="16"/>
  <c r="O5725" i="16" s="1"/>
  <c r="D5724" i="16"/>
  <c r="C5724" i="16"/>
  <c r="B5724" i="16"/>
  <c r="A5724" i="16"/>
  <c r="T5723" i="16"/>
  <c r="D5723" i="16"/>
  <c r="C5723" i="16"/>
  <c r="B5723" i="16"/>
  <c r="A5723" i="16"/>
  <c r="M5722" i="16"/>
  <c r="J5722" i="16"/>
  <c r="I5722" i="16"/>
  <c r="E5722" i="16"/>
  <c r="D5722" i="16"/>
  <c r="C5722" i="16"/>
  <c r="B5722" i="16"/>
  <c r="A5722" i="16"/>
  <c r="K5722" i="16" s="1"/>
  <c r="M5721" i="16"/>
  <c r="L5721" i="16"/>
  <c r="K5721" i="16"/>
  <c r="E5721" i="16"/>
  <c r="D5721" i="16"/>
  <c r="C5721" i="16"/>
  <c r="B5721" i="16"/>
  <c r="A5721" i="16"/>
  <c r="L5720" i="16"/>
  <c r="K5720" i="16"/>
  <c r="D5720" i="16"/>
  <c r="C5720" i="16"/>
  <c r="B5720" i="16"/>
  <c r="A5720" i="16"/>
  <c r="D5719" i="16"/>
  <c r="C5719" i="16"/>
  <c r="B5719" i="16"/>
  <c r="A5719" i="16"/>
  <c r="N5718" i="16"/>
  <c r="D5718" i="16"/>
  <c r="C5718" i="16"/>
  <c r="B5718" i="16"/>
  <c r="A5718" i="16"/>
  <c r="T5717" i="16"/>
  <c r="N5717" i="16"/>
  <c r="D5717" i="16"/>
  <c r="C5717" i="16"/>
  <c r="B5717" i="16"/>
  <c r="A5717" i="16"/>
  <c r="I5716" i="16"/>
  <c r="H5716" i="16"/>
  <c r="G5716" i="16"/>
  <c r="D5716" i="16"/>
  <c r="C5716" i="16"/>
  <c r="B5716" i="16"/>
  <c r="A5716" i="16"/>
  <c r="J5716" i="16" s="1"/>
  <c r="P5715" i="16"/>
  <c r="L5715" i="16"/>
  <c r="K5715" i="16"/>
  <c r="D5715" i="16"/>
  <c r="C5715" i="16"/>
  <c r="B5715" i="16"/>
  <c r="A5715" i="16"/>
  <c r="T5715" i="16" s="1"/>
  <c r="I5714" i="16"/>
  <c r="E5714" i="16"/>
  <c r="D5714" i="16"/>
  <c r="C5714" i="16"/>
  <c r="B5714" i="16"/>
  <c r="A5714" i="16"/>
  <c r="J5714" i="16" s="1"/>
  <c r="L5713" i="16"/>
  <c r="K5713" i="16"/>
  <c r="J5713" i="16"/>
  <c r="H5713" i="16"/>
  <c r="D5713" i="16"/>
  <c r="C5713" i="16"/>
  <c r="B5713" i="16"/>
  <c r="A5713" i="16"/>
  <c r="P5712" i="16"/>
  <c r="N5712" i="16"/>
  <c r="M5712" i="16"/>
  <c r="K5712" i="16"/>
  <c r="H5712" i="16"/>
  <c r="G5712" i="16"/>
  <c r="F5712" i="16"/>
  <c r="D5712" i="16"/>
  <c r="C5712" i="16"/>
  <c r="B5712" i="16"/>
  <c r="A5712" i="16"/>
  <c r="O5711" i="16"/>
  <c r="N5711" i="16"/>
  <c r="D5711" i="16"/>
  <c r="C5711" i="16"/>
  <c r="B5711" i="16"/>
  <c r="A5711" i="16"/>
  <c r="D5710" i="16"/>
  <c r="C5710" i="16"/>
  <c r="B5710" i="16"/>
  <c r="A5710" i="16"/>
  <c r="D5709" i="16"/>
  <c r="C5709" i="16"/>
  <c r="B5709" i="16"/>
  <c r="A5709" i="16"/>
  <c r="T5708" i="16"/>
  <c r="P5708" i="16"/>
  <c r="G5708" i="16"/>
  <c r="D5708" i="16"/>
  <c r="C5708" i="16"/>
  <c r="B5708" i="16"/>
  <c r="A5708" i="16"/>
  <c r="D5707" i="16"/>
  <c r="C5707" i="16"/>
  <c r="B5707" i="16"/>
  <c r="A5707" i="16"/>
  <c r="T5706" i="16"/>
  <c r="D5706" i="16"/>
  <c r="C5706" i="16"/>
  <c r="B5706" i="16"/>
  <c r="A5706" i="16"/>
  <c r="J5705" i="16"/>
  <c r="H5705" i="16"/>
  <c r="G5705" i="16"/>
  <c r="E5705" i="16"/>
  <c r="D5705" i="16"/>
  <c r="C5705" i="16"/>
  <c r="B5705" i="16"/>
  <c r="A5705" i="16"/>
  <c r="P5704" i="16"/>
  <c r="O5704" i="16"/>
  <c r="M5704" i="16"/>
  <c r="L5704" i="16"/>
  <c r="F5704" i="16"/>
  <c r="E5704" i="16"/>
  <c r="D5704" i="16"/>
  <c r="C5704" i="16"/>
  <c r="B5704" i="16"/>
  <c r="A5704" i="16"/>
  <c r="H5704" i="16" s="1"/>
  <c r="P5703" i="16"/>
  <c r="O5703" i="16"/>
  <c r="N5703" i="16"/>
  <c r="M5703" i="16"/>
  <c r="H5703" i="16"/>
  <c r="G5703" i="16"/>
  <c r="F5703" i="16"/>
  <c r="E5703" i="16"/>
  <c r="D5703" i="16"/>
  <c r="C5703" i="16"/>
  <c r="B5703" i="16"/>
  <c r="A5703" i="16"/>
  <c r="K5703" i="16" s="1"/>
  <c r="T5702" i="16"/>
  <c r="P5702" i="16"/>
  <c r="O5702" i="16"/>
  <c r="F5702" i="16"/>
  <c r="D5702" i="16"/>
  <c r="C5702" i="16"/>
  <c r="B5702" i="16"/>
  <c r="A5702" i="16"/>
  <c r="D5701" i="16"/>
  <c r="C5701" i="16"/>
  <c r="B5701" i="16"/>
  <c r="A5701" i="16"/>
  <c r="T5700" i="16"/>
  <c r="D5700" i="16"/>
  <c r="C5700" i="16"/>
  <c r="B5700" i="16"/>
  <c r="A5700" i="16"/>
  <c r="D5699" i="16"/>
  <c r="C5699" i="16"/>
  <c r="B5699" i="16"/>
  <c r="A5699" i="16"/>
  <c r="D5698" i="16"/>
  <c r="C5698" i="16"/>
  <c r="B5698" i="16"/>
  <c r="A5698" i="16"/>
  <c r="M5697" i="16"/>
  <c r="L5697" i="16"/>
  <c r="K5697" i="16"/>
  <c r="J5697" i="16"/>
  <c r="D5697" i="16"/>
  <c r="C5697" i="16"/>
  <c r="B5697" i="16"/>
  <c r="A5697" i="16"/>
  <c r="P5696" i="16"/>
  <c r="O5696" i="16"/>
  <c r="M5696" i="16"/>
  <c r="H5696" i="16"/>
  <c r="G5696" i="16"/>
  <c r="F5696" i="16"/>
  <c r="E5696" i="16"/>
  <c r="D5696" i="16"/>
  <c r="C5696" i="16"/>
  <c r="B5696" i="16"/>
  <c r="A5696" i="16"/>
  <c r="P5695" i="16"/>
  <c r="O5695" i="16"/>
  <c r="N5695" i="16"/>
  <c r="M5695" i="16"/>
  <c r="H5695" i="16"/>
  <c r="G5695" i="16"/>
  <c r="F5695" i="16"/>
  <c r="E5695" i="16"/>
  <c r="D5695" i="16"/>
  <c r="C5695" i="16"/>
  <c r="B5695" i="16"/>
  <c r="A5695" i="16"/>
  <c r="K5695" i="16" s="1"/>
  <c r="N5694" i="16"/>
  <c r="M5694" i="16"/>
  <c r="I5694" i="16"/>
  <c r="E5694" i="16"/>
  <c r="D5694" i="16"/>
  <c r="C5694" i="16"/>
  <c r="B5694" i="16"/>
  <c r="A5694" i="16"/>
  <c r="J5693" i="16"/>
  <c r="I5693" i="16"/>
  <c r="H5693" i="16"/>
  <c r="G5693" i="16"/>
  <c r="D5693" i="16"/>
  <c r="C5693" i="16"/>
  <c r="B5693" i="16"/>
  <c r="A5693" i="16"/>
  <c r="T5692" i="16"/>
  <c r="H5692" i="16"/>
  <c r="G5692" i="16"/>
  <c r="D5692" i="16"/>
  <c r="C5692" i="16"/>
  <c r="B5692" i="16"/>
  <c r="A5692" i="16"/>
  <c r="I5692" i="16" s="1"/>
  <c r="L5691" i="16"/>
  <c r="K5691" i="16"/>
  <c r="D5691" i="16"/>
  <c r="C5691" i="16"/>
  <c r="B5691" i="16"/>
  <c r="A5691" i="16"/>
  <c r="D5690" i="16"/>
  <c r="C5690" i="16"/>
  <c r="B5690" i="16"/>
  <c r="A5690" i="16"/>
  <c r="P5689" i="16"/>
  <c r="O5689" i="16"/>
  <c r="N5689" i="16"/>
  <c r="L5689" i="16"/>
  <c r="K5689" i="16"/>
  <c r="F5689" i="16"/>
  <c r="E5689" i="16"/>
  <c r="D5689" i="16"/>
  <c r="C5689" i="16"/>
  <c r="B5689" i="16"/>
  <c r="A5689" i="16"/>
  <c r="H5689" i="16" s="1"/>
  <c r="K5688" i="16"/>
  <c r="H5688" i="16"/>
  <c r="G5688" i="16"/>
  <c r="D5688" i="16"/>
  <c r="C5688" i="16"/>
  <c r="B5688" i="16"/>
  <c r="A5688" i="16"/>
  <c r="M5688" i="16" s="1"/>
  <c r="P5687" i="16"/>
  <c r="O5687" i="16"/>
  <c r="N5687" i="16"/>
  <c r="L5687" i="16"/>
  <c r="H5687" i="16"/>
  <c r="F5687" i="16"/>
  <c r="E5687" i="16"/>
  <c r="D5687" i="16"/>
  <c r="C5687" i="16"/>
  <c r="B5687" i="16"/>
  <c r="A5687" i="16"/>
  <c r="I5686" i="16"/>
  <c r="H5686" i="16"/>
  <c r="D5686" i="16"/>
  <c r="C5686" i="16"/>
  <c r="B5686" i="16"/>
  <c r="A5686" i="16"/>
  <c r="M5686" i="16" s="1"/>
  <c r="D5685" i="16"/>
  <c r="C5685" i="16"/>
  <c r="B5685" i="16"/>
  <c r="A5685" i="16"/>
  <c r="D5684" i="16"/>
  <c r="C5684" i="16"/>
  <c r="B5684" i="16"/>
  <c r="A5684" i="16"/>
  <c r="T5683" i="16"/>
  <c r="K5683" i="16"/>
  <c r="J5683" i="16"/>
  <c r="I5683" i="16"/>
  <c r="H5683" i="16"/>
  <c r="D5683" i="16"/>
  <c r="C5683" i="16"/>
  <c r="B5683" i="16"/>
  <c r="A5683" i="16"/>
  <c r="P5683" i="16" s="1"/>
  <c r="D5682" i="16"/>
  <c r="C5682" i="16"/>
  <c r="B5682" i="16"/>
  <c r="A5682" i="16"/>
  <c r="P5681" i="16"/>
  <c r="N5681" i="16"/>
  <c r="M5681" i="16"/>
  <c r="J5681" i="16"/>
  <c r="H5681" i="16"/>
  <c r="G5681" i="16"/>
  <c r="E5681" i="16"/>
  <c r="D5681" i="16"/>
  <c r="C5681" i="16"/>
  <c r="B5681" i="16"/>
  <c r="A5681" i="16"/>
  <c r="O5680" i="16"/>
  <c r="D5680" i="16"/>
  <c r="C5680" i="16"/>
  <c r="B5680" i="16"/>
  <c r="A5680" i="16"/>
  <c r="P5679" i="16"/>
  <c r="O5679" i="16"/>
  <c r="N5679" i="16"/>
  <c r="M5679" i="16"/>
  <c r="H5679" i="16"/>
  <c r="G5679" i="16"/>
  <c r="F5679" i="16"/>
  <c r="E5679" i="16"/>
  <c r="D5679" i="16"/>
  <c r="C5679" i="16"/>
  <c r="B5679" i="16"/>
  <c r="A5679" i="16"/>
  <c r="K5679" i="16" s="1"/>
  <c r="M5678" i="16"/>
  <c r="I5678" i="16"/>
  <c r="H5678" i="16"/>
  <c r="G5678" i="16"/>
  <c r="D5678" i="16"/>
  <c r="C5678" i="16"/>
  <c r="B5678" i="16"/>
  <c r="A5678" i="16"/>
  <c r="P5677" i="16"/>
  <c r="O5677" i="16"/>
  <c r="N5677" i="16"/>
  <c r="D5677" i="16"/>
  <c r="C5677" i="16"/>
  <c r="B5677" i="16"/>
  <c r="A5677" i="16"/>
  <c r="T5677" i="16" s="1"/>
  <c r="D5676" i="16"/>
  <c r="C5676" i="16"/>
  <c r="B5676" i="16"/>
  <c r="A5676" i="16"/>
  <c r="T5675" i="16"/>
  <c r="J5675" i="16"/>
  <c r="I5675" i="16"/>
  <c r="H5675" i="16"/>
  <c r="D5675" i="16"/>
  <c r="C5675" i="16"/>
  <c r="B5675" i="16"/>
  <c r="A5675" i="16"/>
  <c r="K5675" i="16" s="1"/>
  <c r="J5674" i="16"/>
  <c r="I5674" i="16"/>
  <c r="D5674" i="16"/>
  <c r="C5674" i="16"/>
  <c r="B5674" i="16"/>
  <c r="A5674" i="16"/>
  <c r="L5674" i="16" s="1"/>
  <c r="L5673" i="16"/>
  <c r="K5673" i="16"/>
  <c r="J5673" i="16"/>
  <c r="D5673" i="16"/>
  <c r="C5673" i="16"/>
  <c r="B5673" i="16"/>
  <c r="A5673" i="16"/>
  <c r="M5673" i="16" s="1"/>
  <c r="P5672" i="16"/>
  <c r="O5672" i="16"/>
  <c r="M5672" i="16"/>
  <c r="H5672" i="16"/>
  <c r="G5672" i="16"/>
  <c r="F5672" i="16"/>
  <c r="E5672" i="16"/>
  <c r="D5672" i="16"/>
  <c r="C5672" i="16"/>
  <c r="B5672" i="16"/>
  <c r="A5672" i="16"/>
  <c r="P5671" i="16"/>
  <c r="O5671" i="16"/>
  <c r="N5671" i="16"/>
  <c r="M5671" i="16"/>
  <c r="H5671" i="16"/>
  <c r="G5671" i="16"/>
  <c r="F5671" i="16"/>
  <c r="E5671" i="16"/>
  <c r="D5671" i="16"/>
  <c r="C5671" i="16"/>
  <c r="B5671" i="16"/>
  <c r="A5671" i="16"/>
  <c r="K5671" i="16" s="1"/>
  <c r="T5670" i="16"/>
  <c r="D5670" i="16"/>
  <c r="C5670" i="16"/>
  <c r="B5670" i="16"/>
  <c r="A5670" i="16"/>
  <c r="D5669" i="16"/>
  <c r="C5669" i="16"/>
  <c r="B5669" i="16"/>
  <c r="A5669" i="16"/>
  <c r="D5668" i="16"/>
  <c r="C5668" i="16"/>
  <c r="B5668" i="16"/>
  <c r="A5668" i="16"/>
  <c r="T5667" i="16"/>
  <c r="P5667" i="16"/>
  <c r="I5667" i="16"/>
  <c r="H5667" i="16"/>
  <c r="D5667" i="16"/>
  <c r="C5667" i="16"/>
  <c r="B5667" i="16"/>
  <c r="A5667" i="16"/>
  <c r="K5666" i="16"/>
  <c r="I5666" i="16"/>
  <c r="E5666" i="16"/>
  <c r="D5666" i="16"/>
  <c r="C5666" i="16"/>
  <c r="B5666" i="16"/>
  <c r="A5666" i="16"/>
  <c r="J5666" i="16" s="1"/>
  <c r="M5665" i="16"/>
  <c r="L5665" i="16"/>
  <c r="K5665" i="16"/>
  <c r="J5665" i="16"/>
  <c r="D5665" i="16"/>
  <c r="C5665" i="16"/>
  <c r="B5665" i="16"/>
  <c r="A5665" i="16"/>
  <c r="G5664" i="16"/>
  <c r="F5664" i="16"/>
  <c r="E5664" i="16"/>
  <c r="D5664" i="16"/>
  <c r="C5664" i="16"/>
  <c r="B5664" i="16"/>
  <c r="A5664" i="16"/>
  <c r="H5664" i="16" s="1"/>
  <c r="P5663" i="16"/>
  <c r="O5663" i="16"/>
  <c r="N5663" i="16"/>
  <c r="M5663" i="16"/>
  <c r="H5663" i="16"/>
  <c r="G5663" i="16"/>
  <c r="F5663" i="16"/>
  <c r="E5663" i="16"/>
  <c r="D5663" i="16"/>
  <c r="C5663" i="16"/>
  <c r="B5663" i="16"/>
  <c r="A5663" i="16"/>
  <c r="K5663" i="16" s="1"/>
  <c r="T5662" i="16"/>
  <c r="P5662" i="16"/>
  <c r="I5662" i="16"/>
  <c r="H5662" i="16"/>
  <c r="D5662" i="16"/>
  <c r="C5662" i="16"/>
  <c r="B5662" i="16"/>
  <c r="A5662" i="16"/>
  <c r="T5661" i="16"/>
  <c r="N5661" i="16"/>
  <c r="I5661" i="16"/>
  <c r="G5661" i="16"/>
  <c r="F5661" i="16"/>
  <c r="D5661" i="16"/>
  <c r="C5661" i="16"/>
  <c r="B5661" i="16"/>
  <c r="A5661" i="16"/>
  <c r="H5661" i="16" s="1"/>
  <c r="K5660" i="16"/>
  <c r="J5660" i="16"/>
  <c r="I5660" i="16"/>
  <c r="H5660" i="16"/>
  <c r="D5660" i="16"/>
  <c r="C5660" i="16"/>
  <c r="B5660" i="16"/>
  <c r="A5660" i="16"/>
  <c r="T5659" i="16"/>
  <c r="P5659" i="16"/>
  <c r="L5659" i="16"/>
  <c r="H5659" i="16"/>
  <c r="D5659" i="16"/>
  <c r="C5659" i="16"/>
  <c r="B5659" i="16"/>
  <c r="A5659" i="16"/>
  <c r="M5658" i="16"/>
  <c r="K5658" i="16"/>
  <c r="J5658" i="16"/>
  <c r="E5658" i="16"/>
  <c r="D5658" i="16"/>
  <c r="C5658" i="16"/>
  <c r="B5658" i="16"/>
  <c r="A5658" i="16"/>
  <c r="I5658" i="16" s="1"/>
  <c r="P5657" i="16"/>
  <c r="O5657" i="16"/>
  <c r="M5657" i="16"/>
  <c r="L5657" i="16"/>
  <c r="G5657" i="16"/>
  <c r="F5657" i="16"/>
  <c r="D5657" i="16"/>
  <c r="C5657" i="16"/>
  <c r="B5657" i="16"/>
  <c r="A5657" i="16"/>
  <c r="J5657" i="16" s="1"/>
  <c r="H5656" i="16"/>
  <c r="D5656" i="16"/>
  <c r="C5656" i="16"/>
  <c r="B5656" i="16"/>
  <c r="A5656" i="16"/>
  <c r="P5655" i="16"/>
  <c r="O5655" i="16"/>
  <c r="N5655" i="16"/>
  <c r="G5655" i="16"/>
  <c r="F5655" i="16"/>
  <c r="E5655" i="16"/>
  <c r="D5655" i="16"/>
  <c r="C5655" i="16"/>
  <c r="B5655" i="16"/>
  <c r="A5655" i="16"/>
  <c r="L5655" i="16" s="1"/>
  <c r="G5654" i="16"/>
  <c r="D5654" i="16"/>
  <c r="C5654" i="16"/>
  <c r="B5654" i="16"/>
  <c r="A5654" i="16"/>
  <c r="D5653" i="16"/>
  <c r="C5653" i="16"/>
  <c r="B5653" i="16"/>
  <c r="A5653" i="16"/>
  <c r="D5652" i="16"/>
  <c r="C5652" i="16"/>
  <c r="B5652" i="16"/>
  <c r="A5652" i="16"/>
  <c r="D5651" i="16"/>
  <c r="C5651" i="16"/>
  <c r="B5651" i="16"/>
  <c r="A5651" i="16"/>
  <c r="T5651" i="16" s="1"/>
  <c r="T5650" i="16"/>
  <c r="J5650" i="16"/>
  <c r="I5650" i="16"/>
  <c r="D5650" i="16"/>
  <c r="C5650" i="16"/>
  <c r="B5650" i="16"/>
  <c r="A5650" i="16"/>
  <c r="P5649" i="16"/>
  <c r="O5649" i="16"/>
  <c r="N5649" i="16"/>
  <c r="M5649" i="16"/>
  <c r="K5649" i="16"/>
  <c r="G5649" i="16"/>
  <c r="F5649" i="16"/>
  <c r="E5649" i="16"/>
  <c r="D5649" i="16"/>
  <c r="C5649" i="16"/>
  <c r="B5649" i="16"/>
  <c r="A5649" i="16"/>
  <c r="H5649" i="16" s="1"/>
  <c r="P5648" i="16"/>
  <c r="O5648" i="16"/>
  <c r="N5648" i="16"/>
  <c r="M5648" i="16"/>
  <c r="L5648" i="16"/>
  <c r="H5648" i="16"/>
  <c r="G5648" i="16"/>
  <c r="F5648" i="16"/>
  <c r="E5648" i="16"/>
  <c r="D5648" i="16"/>
  <c r="C5648" i="16"/>
  <c r="B5648" i="16"/>
  <c r="A5648" i="16"/>
  <c r="J5648" i="16" s="1"/>
  <c r="P5647" i="16"/>
  <c r="O5647" i="16"/>
  <c r="L5647" i="16"/>
  <c r="H5647" i="16"/>
  <c r="G5647" i="16"/>
  <c r="E5647" i="16"/>
  <c r="D5647" i="16"/>
  <c r="C5647" i="16"/>
  <c r="B5647" i="16"/>
  <c r="A5647" i="16"/>
  <c r="T5646" i="16"/>
  <c r="P5646" i="16"/>
  <c r="N5646" i="16"/>
  <c r="G5646" i="16"/>
  <c r="F5646" i="16"/>
  <c r="E5646" i="16"/>
  <c r="D5646" i="16"/>
  <c r="C5646" i="16"/>
  <c r="B5646" i="16"/>
  <c r="A5646" i="16"/>
  <c r="H5646" i="16" s="1"/>
  <c r="D5645" i="16"/>
  <c r="C5645" i="16"/>
  <c r="B5645" i="16"/>
  <c r="A5645" i="16"/>
  <c r="O5644" i="16"/>
  <c r="I5644" i="16"/>
  <c r="H5644" i="16"/>
  <c r="G5644" i="16"/>
  <c r="D5644" i="16"/>
  <c r="C5644" i="16"/>
  <c r="B5644" i="16"/>
  <c r="A5644" i="16"/>
  <c r="J5644" i="16" s="1"/>
  <c r="J5643" i="16"/>
  <c r="D5643" i="16"/>
  <c r="C5643" i="16"/>
  <c r="B5643" i="16"/>
  <c r="A5643" i="16"/>
  <c r="D5642" i="16"/>
  <c r="C5642" i="16"/>
  <c r="B5642" i="16"/>
  <c r="A5642" i="16"/>
  <c r="J5641" i="16"/>
  <c r="H5641" i="16"/>
  <c r="G5641" i="16"/>
  <c r="D5641" i="16"/>
  <c r="C5641" i="16"/>
  <c r="B5641" i="16"/>
  <c r="A5641" i="16"/>
  <c r="K5641" i="16" s="1"/>
  <c r="P5640" i="16"/>
  <c r="O5640" i="16"/>
  <c r="M5640" i="16"/>
  <c r="L5640" i="16"/>
  <c r="H5640" i="16"/>
  <c r="G5640" i="16"/>
  <c r="F5640" i="16"/>
  <c r="E5640" i="16"/>
  <c r="D5640" i="16"/>
  <c r="C5640" i="16"/>
  <c r="B5640" i="16"/>
  <c r="A5640" i="16"/>
  <c r="D5639" i="16"/>
  <c r="C5639" i="16"/>
  <c r="B5639" i="16"/>
  <c r="A5639" i="16"/>
  <c r="T5638" i="16"/>
  <c r="P5638" i="16"/>
  <c r="O5638" i="16"/>
  <c r="M5638" i="16"/>
  <c r="H5638" i="16"/>
  <c r="F5638" i="16"/>
  <c r="E5638" i="16"/>
  <c r="D5638" i="16"/>
  <c r="C5638" i="16"/>
  <c r="B5638" i="16"/>
  <c r="A5638" i="16"/>
  <c r="G5638" i="16" s="1"/>
  <c r="D5637" i="16"/>
  <c r="C5637" i="16"/>
  <c r="B5637" i="16"/>
  <c r="A5637" i="16"/>
  <c r="H5636" i="16"/>
  <c r="G5636" i="16"/>
  <c r="D5636" i="16"/>
  <c r="C5636" i="16"/>
  <c r="B5636" i="16"/>
  <c r="A5636" i="16"/>
  <c r="J5636" i="16" s="1"/>
  <c r="J5635" i="16"/>
  <c r="I5635" i="16"/>
  <c r="D5635" i="16"/>
  <c r="C5635" i="16"/>
  <c r="B5635" i="16"/>
  <c r="A5635" i="16"/>
  <c r="L5635" i="16" s="1"/>
  <c r="L5634" i="16"/>
  <c r="E5634" i="16"/>
  <c r="D5634" i="16"/>
  <c r="C5634" i="16"/>
  <c r="B5634" i="16"/>
  <c r="A5634" i="16"/>
  <c r="T5634" i="16" s="1"/>
  <c r="L5633" i="16"/>
  <c r="K5633" i="16"/>
  <c r="J5633" i="16"/>
  <c r="E5633" i="16"/>
  <c r="D5633" i="16"/>
  <c r="C5633" i="16"/>
  <c r="B5633" i="16"/>
  <c r="A5633" i="16"/>
  <c r="L5632" i="16"/>
  <c r="K5632" i="16"/>
  <c r="H5632" i="16"/>
  <c r="G5632" i="16"/>
  <c r="D5632" i="16"/>
  <c r="C5632" i="16"/>
  <c r="B5632" i="16"/>
  <c r="A5632" i="16"/>
  <c r="P5631" i="16"/>
  <c r="O5631" i="16"/>
  <c r="N5631" i="16"/>
  <c r="H5631" i="16"/>
  <c r="G5631" i="16"/>
  <c r="F5631" i="16"/>
  <c r="E5631" i="16"/>
  <c r="D5631" i="16"/>
  <c r="C5631" i="16"/>
  <c r="B5631" i="16"/>
  <c r="A5631" i="16"/>
  <c r="K5631" i="16" s="1"/>
  <c r="D5630" i="16"/>
  <c r="C5630" i="16"/>
  <c r="B5630" i="16"/>
  <c r="A5630" i="16"/>
  <c r="D5629" i="16"/>
  <c r="C5629" i="16"/>
  <c r="B5629" i="16"/>
  <c r="A5629" i="16"/>
  <c r="T5628" i="16"/>
  <c r="D5628" i="16"/>
  <c r="C5628" i="16"/>
  <c r="B5628" i="16"/>
  <c r="A5628" i="16"/>
  <c r="K5627" i="16"/>
  <c r="D5627" i="16"/>
  <c r="C5627" i="16"/>
  <c r="B5627" i="16"/>
  <c r="A5627" i="16"/>
  <c r="T5626" i="16"/>
  <c r="D5626" i="16"/>
  <c r="C5626" i="16"/>
  <c r="B5626" i="16"/>
  <c r="A5626" i="16"/>
  <c r="K5625" i="16"/>
  <c r="J5625" i="16"/>
  <c r="H5625" i="16"/>
  <c r="G5625" i="16"/>
  <c r="D5625" i="16"/>
  <c r="C5625" i="16"/>
  <c r="B5625" i="16"/>
  <c r="A5625" i="16"/>
  <c r="K5624" i="16"/>
  <c r="H5624" i="16"/>
  <c r="G5624" i="16"/>
  <c r="F5624" i="16"/>
  <c r="D5624" i="16"/>
  <c r="C5624" i="16"/>
  <c r="B5624" i="16"/>
  <c r="A5624" i="16"/>
  <c r="P5623" i="16"/>
  <c r="O5623" i="16"/>
  <c r="N5623" i="16"/>
  <c r="M5623" i="16"/>
  <c r="F5623" i="16"/>
  <c r="E5623" i="16"/>
  <c r="D5623" i="16"/>
  <c r="C5623" i="16"/>
  <c r="B5623" i="16"/>
  <c r="A5623" i="16"/>
  <c r="K5623" i="16" s="1"/>
  <c r="D5622" i="16"/>
  <c r="C5622" i="16"/>
  <c r="B5622" i="16"/>
  <c r="A5622" i="16"/>
  <c r="T5621" i="16"/>
  <c r="J5621" i="16"/>
  <c r="D5621" i="16"/>
  <c r="C5621" i="16"/>
  <c r="B5621" i="16"/>
  <c r="A5621" i="16"/>
  <c r="K5620" i="16"/>
  <c r="G5620" i="16"/>
  <c r="D5620" i="16"/>
  <c r="C5620" i="16"/>
  <c r="B5620" i="16"/>
  <c r="A5620" i="16"/>
  <c r="P5620" i="16" s="1"/>
  <c r="K5619" i="16"/>
  <c r="J5619" i="16"/>
  <c r="I5619" i="16"/>
  <c r="H5619" i="16"/>
  <c r="D5619" i="16"/>
  <c r="C5619" i="16"/>
  <c r="B5619" i="16"/>
  <c r="A5619" i="16"/>
  <c r="T5619" i="16" s="1"/>
  <c r="T5618" i="16"/>
  <c r="M5618" i="16"/>
  <c r="L5618" i="16"/>
  <c r="D5618" i="16"/>
  <c r="C5618" i="16"/>
  <c r="B5618" i="16"/>
  <c r="A5618" i="16"/>
  <c r="O5617" i="16"/>
  <c r="N5617" i="16"/>
  <c r="M5617" i="16"/>
  <c r="L5617" i="16"/>
  <c r="K5617" i="16"/>
  <c r="F5617" i="16"/>
  <c r="E5617" i="16"/>
  <c r="D5617" i="16"/>
  <c r="C5617" i="16"/>
  <c r="B5617" i="16"/>
  <c r="A5617" i="16"/>
  <c r="T5617" i="16" s="1"/>
  <c r="M5616" i="16"/>
  <c r="L5616" i="16"/>
  <c r="K5616" i="16"/>
  <c r="H5616" i="16"/>
  <c r="D5616" i="16"/>
  <c r="C5616" i="16"/>
  <c r="B5616" i="16"/>
  <c r="A5616" i="16"/>
  <c r="G5615" i="16"/>
  <c r="F5615" i="16"/>
  <c r="E5615" i="16"/>
  <c r="D5615" i="16"/>
  <c r="C5615" i="16"/>
  <c r="B5615" i="16"/>
  <c r="A5615" i="16"/>
  <c r="H5615" i="16" s="1"/>
  <c r="D5614" i="16"/>
  <c r="C5614" i="16"/>
  <c r="B5614" i="16"/>
  <c r="A5614" i="16"/>
  <c r="I5613" i="16"/>
  <c r="H5613" i="16"/>
  <c r="G5613" i="16"/>
  <c r="F5613" i="16"/>
  <c r="D5613" i="16"/>
  <c r="C5613" i="16"/>
  <c r="B5613" i="16"/>
  <c r="A5613" i="16"/>
  <c r="P5612" i="16"/>
  <c r="O5612" i="16"/>
  <c r="K5612" i="16"/>
  <c r="J5612" i="16"/>
  <c r="D5612" i="16"/>
  <c r="C5612" i="16"/>
  <c r="B5612" i="16"/>
  <c r="A5612" i="16"/>
  <c r="T5611" i="16"/>
  <c r="J5611" i="16"/>
  <c r="I5611" i="16"/>
  <c r="H5611" i="16"/>
  <c r="D5611" i="16"/>
  <c r="C5611" i="16"/>
  <c r="B5611" i="16"/>
  <c r="A5611" i="16"/>
  <c r="K5611" i="16" s="1"/>
  <c r="M5610" i="16"/>
  <c r="L5610" i="16"/>
  <c r="K5610" i="16"/>
  <c r="J5610" i="16"/>
  <c r="D5610" i="16"/>
  <c r="C5610" i="16"/>
  <c r="B5610" i="16"/>
  <c r="A5610" i="16"/>
  <c r="P5609" i="16"/>
  <c r="O5609" i="16"/>
  <c r="N5609" i="16"/>
  <c r="M5609" i="16"/>
  <c r="L5609" i="16"/>
  <c r="H5609" i="16"/>
  <c r="G5609" i="16"/>
  <c r="F5609" i="16"/>
  <c r="E5609" i="16"/>
  <c r="D5609" i="16"/>
  <c r="C5609" i="16"/>
  <c r="B5609" i="16"/>
  <c r="A5609" i="16"/>
  <c r="T5609" i="16" s="1"/>
  <c r="P5608" i="16"/>
  <c r="O5608" i="16"/>
  <c r="N5608" i="16"/>
  <c r="M5608" i="16"/>
  <c r="L5608" i="16"/>
  <c r="F5608" i="16"/>
  <c r="E5608" i="16"/>
  <c r="D5608" i="16"/>
  <c r="C5608" i="16"/>
  <c r="B5608" i="16"/>
  <c r="A5608" i="16"/>
  <c r="J5608" i="16" s="1"/>
  <c r="M5607" i="16"/>
  <c r="L5607" i="16"/>
  <c r="H5607" i="16"/>
  <c r="G5607" i="16"/>
  <c r="D5607" i="16"/>
  <c r="C5607" i="16"/>
  <c r="B5607" i="16"/>
  <c r="A5607" i="16"/>
  <c r="G5606" i="16"/>
  <c r="D5606" i="16"/>
  <c r="C5606" i="16"/>
  <c r="B5606" i="16"/>
  <c r="A5606" i="16"/>
  <c r="D5605" i="16"/>
  <c r="C5605" i="16"/>
  <c r="B5605" i="16"/>
  <c r="A5605" i="16"/>
  <c r="D5604" i="16"/>
  <c r="C5604" i="16"/>
  <c r="B5604" i="16"/>
  <c r="A5604" i="16"/>
  <c r="P5603" i="16"/>
  <c r="K5603" i="16"/>
  <c r="I5603" i="16"/>
  <c r="H5603" i="16"/>
  <c r="D5603" i="16"/>
  <c r="C5603" i="16"/>
  <c r="B5603" i="16"/>
  <c r="A5603" i="16"/>
  <c r="J5603" i="16" s="1"/>
  <c r="D5602" i="16"/>
  <c r="C5602" i="16"/>
  <c r="B5602" i="16"/>
  <c r="A5602" i="16"/>
  <c r="L5601" i="16"/>
  <c r="K5601" i="16"/>
  <c r="J5601" i="16"/>
  <c r="H5601" i="16"/>
  <c r="D5601" i="16"/>
  <c r="C5601" i="16"/>
  <c r="B5601" i="16"/>
  <c r="A5601" i="16"/>
  <c r="K5600" i="16"/>
  <c r="H5600" i="16"/>
  <c r="G5600" i="16"/>
  <c r="F5600" i="16"/>
  <c r="D5600" i="16"/>
  <c r="C5600" i="16"/>
  <c r="B5600" i="16"/>
  <c r="A5600" i="16"/>
  <c r="P5599" i="16"/>
  <c r="O5599" i="16"/>
  <c r="N5599" i="16"/>
  <c r="M5599" i="16"/>
  <c r="G5599" i="16"/>
  <c r="F5599" i="16"/>
  <c r="E5599" i="16"/>
  <c r="D5599" i="16"/>
  <c r="C5599" i="16"/>
  <c r="B5599" i="16"/>
  <c r="A5599" i="16"/>
  <c r="K5599" i="16" s="1"/>
  <c r="H5598" i="16"/>
  <c r="G5598" i="16"/>
  <c r="F5598" i="16"/>
  <c r="E5598" i="16"/>
  <c r="D5598" i="16"/>
  <c r="C5598" i="16"/>
  <c r="B5598" i="16"/>
  <c r="A5598" i="16"/>
  <c r="T5598" i="16" s="1"/>
  <c r="P5597" i="16"/>
  <c r="D5597" i="16"/>
  <c r="C5597" i="16"/>
  <c r="B5597" i="16"/>
  <c r="A5597" i="16"/>
  <c r="D5596" i="16"/>
  <c r="C5596" i="16"/>
  <c r="B5596" i="16"/>
  <c r="A5596" i="16"/>
  <c r="T5595" i="16"/>
  <c r="D5595" i="16"/>
  <c r="C5595" i="16"/>
  <c r="B5595" i="16"/>
  <c r="A5595" i="16"/>
  <c r="T5594" i="16"/>
  <c r="K5594" i="16"/>
  <c r="J5594" i="16"/>
  <c r="I5594" i="16"/>
  <c r="E5594" i="16"/>
  <c r="D5594" i="16"/>
  <c r="C5594" i="16"/>
  <c r="B5594" i="16"/>
  <c r="A5594" i="16"/>
  <c r="M5594" i="16" s="1"/>
  <c r="P5593" i="16"/>
  <c r="O5593" i="16"/>
  <c r="N5593" i="16"/>
  <c r="M5593" i="16"/>
  <c r="L5593" i="16"/>
  <c r="G5593" i="16"/>
  <c r="F5593" i="16"/>
  <c r="E5593" i="16"/>
  <c r="D5593" i="16"/>
  <c r="C5593" i="16"/>
  <c r="B5593" i="16"/>
  <c r="A5593" i="16"/>
  <c r="T5593" i="16" s="1"/>
  <c r="O5592" i="16"/>
  <c r="M5592" i="16"/>
  <c r="L5592" i="16"/>
  <c r="K5592" i="16"/>
  <c r="E5592" i="16"/>
  <c r="D5592" i="16"/>
  <c r="C5592" i="16"/>
  <c r="B5592" i="16"/>
  <c r="A5592" i="16"/>
  <c r="L5591" i="16"/>
  <c r="H5591" i="16"/>
  <c r="G5591" i="16"/>
  <c r="F5591" i="16"/>
  <c r="D5591" i="16"/>
  <c r="C5591" i="16"/>
  <c r="B5591" i="16"/>
  <c r="A5591" i="16"/>
  <c r="T5590" i="16"/>
  <c r="P5590" i="16"/>
  <c r="O5590" i="16"/>
  <c r="G5590" i="16"/>
  <c r="F5590" i="16"/>
  <c r="E5590" i="16"/>
  <c r="D5590" i="16"/>
  <c r="C5590" i="16"/>
  <c r="B5590" i="16"/>
  <c r="A5590" i="16"/>
  <c r="N5590" i="16" s="1"/>
  <c r="O5589" i="16"/>
  <c r="N5589" i="16"/>
  <c r="J5589" i="16"/>
  <c r="F5589" i="16"/>
  <c r="D5589" i="16"/>
  <c r="C5589" i="16"/>
  <c r="B5589" i="16"/>
  <c r="A5589" i="16"/>
  <c r="T5589" i="16" s="1"/>
  <c r="J5588" i="16"/>
  <c r="I5588" i="16"/>
  <c r="H5588" i="16"/>
  <c r="G5588" i="16"/>
  <c r="D5588" i="16"/>
  <c r="C5588" i="16"/>
  <c r="B5588" i="16"/>
  <c r="A5588" i="16"/>
  <c r="T5587" i="16"/>
  <c r="P5587" i="16"/>
  <c r="L5587" i="16"/>
  <c r="K5587" i="16"/>
  <c r="D5587" i="16"/>
  <c r="C5587" i="16"/>
  <c r="B5587" i="16"/>
  <c r="A5587" i="16"/>
  <c r="T5586" i="16"/>
  <c r="J5586" i="16"/>
  <c r="I5586" i="16"/>
  <c r="E5586" i="16"/>
  <c r="D5586" i="16"/>
  <c r="C5586" i="16"/>
  <c r="B5586" i="16"/>
  <c r="A5586" i="16"/>
  <c r="K5586" i="16" s="1"/>
  <c r="P5585" i="16"/>
  <c r="O5585" i="16"/>
  <c r="N5585" i="16"/>
  <c r="M5585" i="16"/>
  <c r="L5585" i="16"/>
  <c r="G5585" i="16"/>
  <c r="F5585" i="16"/>
  <c r="E5585" i="16"/>
  <c r="D5585" i="16"/>
  <c r="C5585" i="16"/>
  <c r="B5585" i="16"/>
  <c r="A5585" i="16"/>
  <c r="T5585" i="16" s="1"/>
  <c r="M5584" i="16"/>
  <c r="L5584" i="16"/>
  <c r="K5584" i="16"/>
  <c r="E5584" i="16"/>
  <c r="D5584" i="16"/>
  <c r="C5584" i="16"/>
  <c r="B5584" i="16"/>
  <c r="A5584" i="16"/>
  <c r="L5583" i="16"/>
  <c r="H5583" i="16"/>
  <c r="G5583" i="16"/>
  <c r="F5583" i="16"/>
  <c r="D5583" i="16"/>
  <c r="C5583" i="16"/>
  <c r="B5583" i="16"/>
  <c r="A5583" i="16"/>
  <c r="T5582" i="16"/>
  <c r="P5582" i="16"/>
  <c r="O5582" i="16"/>
  <c r="E5582" i="16"/>
  <c r="D5582" i="16"/>
  <c r="C5582" i="16"/>
  <c r="B5582" i="16"/>
  <c r="A5582" i="16"/>
  <c r="D5581" i="16"/>
  <c r="C5581" i="16"/>
  <c r="B5581" i="16"/>
  <c r="A5581" i="16"/>
  <c r="T5580" i="16"/>
  <c r="P5580" i="16"/>
  <c r="H5580" i="16"/>
  <c r="G5580" i="16"/>
  <c r="D5580" i="16"/>
  <c r="C5580" i="16"/>
  <c r="B5580" i="16"/>
  <c r="A5580" i="16"/>
  <c r="O5580" i="16" s="1"/>
  <c r="D5579" i="16"/>
  <c r="C5579" i="16"/>
  <c r="B5579" i="16"/>
  <c r="A5579" i="16"/>
  <c r="T5578" i="16"/>
  <c r="M5578" i="16"/>
  <c r="K5578" i="16"/>
  <c r="D5578" i="16"/>
  <c r="C5578" i="16"/>
  <c r="B5578" i="16"/>
  <c r="A5578" i="16"/>
  <c r="D5577" i="16"/>
  <c r="C5577" i="16"/>
  <c r="B5577" i="16"/>
  <c r="A5577" i="16"/>
  <c r="P5576" i="16"/>
  <c r="O5576" i="16"/>
  <c r="N5576" i="16"/>
  <c r="H5576" i="16"/>
  <c r="G5576" i="16"/>
  <c r="F5576" i="16"/>
  <c r="E5576" i="16"/>
  <c r="D5576" i="16"/>
  <c r="C5576" i="16"/>
  <c r="B5576" i="16"/>
  <c r="A5576" i="16"/>
  <c r="J5576" i="16" s="1"/>
  <c r="N5575" i="16"/>
  <c r="M5575" i="16"/>
  <c r="L5575" i="16"/>
  <c r="E5575" i="16"/>
  <c r="D5575" i="16"/>
  <c r="C5575" i="16"/>
  <c r="B5575" i="16"/>
  <c r="A5575" i="16"/>
  <c r="M5574" i="16"/>
  <c r="H5574" i="16"/>
  <c r="F5574" i="16"/>
  <c r="E5574" i="16"/>
  <c r="D5574" i="16"/>
  <c r="C5574" i="16"/>
  <c r="B5574" i="16"/>
  <c r="A5574" i="16"/>
  <c r="O5573" i="16"/>
  <c r="D5573" i="16"/>
  <c r="C5573" i="16"/>
  <c r="B5573" i="16"/>
  <c r="A5573" i="16"/>
  <c r="I5572" i="16"/>
  <c r="H5572" i="16"/>
  <c r="G5572" i="16"/>
  <c r="D5572" i="16"/>
  <c r="C5572" i="16"/>
  <c r="B5572" i="16"/>
  <c r="A5572" i="16"/>
  <c r="J5572" i="16" s="1"/>
  <c r="D5571" i="16"/>
  <c r="C5571" i="16"/>
  <c r="B5571" i="16"/>
  <c r="A5571" i="16"/>
  <c r="T5570" i="16"/>
  <c r="D5570" i="16"/>
  <c r="C5570" i="16"/>
  <c r="B5570" i="16"/>
  <c r="A5570" i="16"/>
  <c r="P5569" i="16"/>
  <c r="O5569" i="16"/>
  <c r="N5569" i="16"/>
  <c r="M5569" i="16"/>
  <c r="L5569" i="16"/>
  <c r="G5569" i="16"/>
  <c r="F5569" i="16"/>
  <c r="E5569" i="16"/>
  <c r="D5569" i="16"/>
  <c r="C5569" i="16"/>
  <c r="B5569" i="16"/>
  <c r="A5569" i="16"/>
  <c r="T5569" i="16" s="1"/>
  <c r="O5568" i="16"/>
  <c r="N5568" i="16"/>
  <c r="M5568" i="16"/>
  <c r="L5568" i="16"/>
  <c r="D5568" i="16"/>
  <c r="C5568" i="16"/>
  <c r="B5568" i="16"/>
  <c r="A5568" i="16"/>
  <c r="D5567" i="16"/>
  <c r="C5567" i="16"/>
  <c r="B5567" i="16"/>
  <c r="A5567" i="16"/>
  <c r="D5566" i="16"/>
  <c r="C5566" i="16"/>
  <c r="B5566" i="16"/>
  <c r="A5566" i="16"/>
  <c r="D5565" i="16"/>
  <c r="C5565" i="16"/>
  <c r="B5565" i="16"/>
  <c r="A5565" i="16"/>
  <c r="O5564" i="16"/>
  <c r="J5564" i="16"/>
  <c r="H5564" i="16"/>
  <c r="G5564" i="16"/>
  <c r="D5564" i="16"/>
  <c r="C5564" i="16"/>
  <c r="B5564" i="16"/>
  <c r="A5564" i="16"/>
  <c r="I5564" i="16" s="1"/>
  <c r="D5563" i="16"/>
  <c r="C5563" i="16"/>
  <c r="B5563" i="16"/>
  <c r="A5563" i="16"/>
  <c r="T5562" i="16"/>
  <c r="D5562" i="16"/>
  <c r="C5562" i="16"/>
  <c r="B5562" i="16"/>
  <c r="A5562" i="16"/>
  <c r="P5561" i="16"/>
  <c r="O5561" i="16"/>
  <c r="N5561" i="16"/>
  <c r="M5561" i="16"/>
  <c r="H5561" i="16"/>
  <c r="G5561" i="16"/>
  <c r="F5561" i="16"/>
  <c r="E5561" i="16"/>
  <c r="D5561" i="16"/>
  <c r="C5561" i="16"/>
  <c r="B5561" i="16"/>
  <c r="A5561" i="16"/>
  <c r="T5561" i="16" s="1"/>
  <c r="P5560" i="16"/>
  <c r="O5560" i="16"/>
  <c r="N5560" i="16"/>
  <c r="M5560" i="16"/>
  <c r="L5560" i="16"/>
  <c r="F5560" i="16"/>
  <c r="E5560" i="16"/>
  <c r="D5560" i="16"/>
  <c r="C5560" i="16"/>
  <c r="B5560" i="16"/>
  <c r="A5560" i="16"/>
  <c r="J5560" i="16" s="1"/>
  <c r="M5559" i="16"/>
  <c r="L5559" i="16"/>
  <c r="H5559" i="16"/>
  <c r="G5559" i="16"/>
  <c r="D5559" i="16"/>
  <c r="C5559" i="16"/>
  <c r="B5559" i="16"/>
  <c r="A5559" i="16"/>
  <c r="N5558" i="16"/>
  <c r="M5558" i="16"/>
  <c r="D5558" i="16"/>
  <c r="C5558" i="16"/>
  <c r="B5558" i="16"/>
  <c r="A5558" i="16"/>
  <c r="D5557" i="16"/>
  <c r="C5557" i="16"/>
  <c r="B5557" i="16"/>
  <c r="A5557" i="16"/>
  <c r="T5556" i="16"/>
  <c r="P5556" i="16"/>
  <c r="D5556" i="16"/>
  <c r="C5556" i="16"/>
  <c r="B5556" i="16"/>
  <c r="A5556" i="16"/>
  <c r="D5555" i="16"/>
  <c r="C5555" i="16"/>
  <c r="B5555" i="16"/>
  <c r="A5555" i="16"/>
  <c r="D5554" i="16"/>
  <c r="C5554" i="16"/>
  <c r="B5554" i="16"/>
  <c r="A5554" i="16"/>
  <c r="D5553" i="16"/>
  <c r="C5553" i="16"/>
  <c r="B5553" i="16"/>
  <c r="A5553" i="16"/>
  <c r="M5552" i="16"/>
  <c r="D5552" i="16"/>
  <c r="C5552" i="16"/>
  <c r="B5552" i="16"/>
  <c r="A5552" i="16"/>
  <c r="P5551" i="16"/>
  <c r="O5551" i="16"/>
  <c r="N5551" i="16"/>
  <c r="H5551" i="16"/>
  <c r="F5551" i="16"/>
  <c r="E5551" i="16"/>
  <c r="D5551" i="16"/>
  <c r="C5551" i="16"/>
  <c r="B5551" i="16"/>
  <c r="A5551" i="16"/>
  <c r="G5551" i="16" s="1"/>
  <c r="J5550" i="16"/>
  <c r="I5550" i="16"/>
  <c r="E5550" i="16"/>
  <c r="D5550" i="16"/>
  <c r="C5550" i="16"/>
  <c r="B5550" i="16"/>
  <c r="A5550" i="16"/>
  <c r="M5550" i="16" s="1"/>
  <c r="D5549" i="16"/>
  <c r="C5549" i="16"/>
  <c r="B5549" i="16"/>
  <c r="A5549" i="16"/>
  <c r="T5548" i="16"/>
  <c r="P5548" i="16"/>
  <c r="I5548" i="16"/>
  <c r="H5548" i="16"/>
  <c r="G5548" i="16"/>
  <c r="D5548" i="16"/>
  <c r="C5548" i="16"/>
  <c r="B5548" i="16"/>
  <c r="A5548" i="16"/>
  <c r="O5548" i="16" s="1"/>
  <c r="M5547" i="16"/>
  <c r="L5547" i="16"/>
  <c r="K5547" i="16"/>
  <c r="E5547" i="16"/>
  <c r="D5547" i="16"/>
  <c r="C5547" i="16"/>
  <c r="B5547" i="16"/>
  <c r="A5547" i="16"/>
  <c r="T5547" i="16" s="1"/>
  <c r="K5546" i="16"/>
  <c r="J5546" i="16"/>
  <c r="I5546" i="16"/>
  <c r="F5546" i="16"/>
  <c r="D5546" i="16"/>
  <c r="C5546" i="16"/>
  <c r="B5546" i="16"/>
  <c r="A5546" i="16"/>
  <c r="P5545" i="16"/>
  <c r="O5545" i="16"/>
  <c r="N5545" i="16"/>
  <c r="M5545" i="16"/>
  <c r="L5545" i="16"/>
  <c r="G5545" i="16"/>
  <c r="F5545" i="16"/>
  <c r="E5545" i="16"/>
  <c r="D5545" i="16"/>
  <c r="C5545" i="16"/>
  <c r="B5545" i="16"/>
  <c r="A5545" i="16"/>
  <c r="T5545" i="16" s="1"/>
  <c r="O5544" i="16"/>
  <c r="M5544" i="16"/>
  <c r="L5544" i="16"/>
  <c r="K5544" i="16"/>
  <c r="E5544" i="16"/>
  <c r="D5544" i="16"/>
  <c r="C5544" i="16"/>
  <c r="B5544" i="16"/>
  <c r="A5544" i="16"/>
  <c r="L5543" i="16"/>
  <c r="H5543" i="16"/>
  <c r="F5543" i="16"/>
  <c r="E5543" i="16"/>
  <c r="D5543" i="16"/>
  <c r="C5543" i="16"/>
  <c r="B5543" i="16"/>
  <c r="A5543" i="16"/>
  <c r="O5542" i="16"/>
  <c r="N5542" i="16"/>
  <c r="D5542" i="16"/>
  <c r="C5542" i="16"/>
  <c r="B5542" i="16"/>
  <c r="A5542" i="16"/>
  <c r="D5541" i="16"/>
  <c r="C5541" i="16"/>
  <c r="B5541" i="16"/>
  <c r="A5541" i="16"/>
  <c r="T5540" i="16"/>
  <c r="P5540" i="16"/>
  <c r="I5540" i="16"/>
  <c r="H5540" i="16"/>
  <c r="G5540" i="16"/>
  <c r="D5540" i="16"/>
  <c r="C5540" i="16"/>
  <c r="B5540" i="16"/>
  <c r="A5540" i="16"/>
  <c r="O5540" i="16" s="1"/>
  <c r="M5539" i="16"/>
  <c r="L5539" i="16"/>
  <c r="K5539" i="16"/>
  <c r="D5539" i="16"/>
  <c r="C5539" i="16"/>
  <c r="B5539" i="16"/>
  <c r="A5539" i="16"/>
  <c r="P5539" i="16" s="1"/>
  <c r="D5538" i="16"/>
  <c r="C5538" i="16"/>
  <c r="B5538" i="16"/>
  <c r="A5538" i="16"/>
  <c r="J5538" i="16" s="1"/>
  <c r="K5537" i="16"/>
  <c r="J5537" i="16"/>
  <c r="H5537" i="16"/>
  <c r="G5537" i="16"/>
  <c r="D5537" i="16"/>
  <c r="C5537" i="16"/>
  <c r="B5537" i="16"/>
  <c r="A5537" i="16"/>
  <c r="O5536" i="16"/>
  <c r="D5536" i="16"/>
  <c r="C5536" i="16"/>
  <c r="B5536" i="16"/>
  <c r="A5536" i="16"/>
  <c r="P5535" i="16"/>
  <c r="D5535" i="16"/>
  <c r="C5535" i="16"/>
  <c r="B5535" i="16"/>
  <c r="A5535" i="16"/>
  <c r="D5534" i="16"/>
  <c r="C5534" i="16"/>
  <c r="B5534" i="16"/>
  <c r="A5534" i="16"/>
  <c r="D5533" i="16"/>
  <c r="C5533" i="16"/>
  <c r="B5533" i="16"/>
  <c r="A5533" i="16"/>
  <c r="T5532" i="16"/>
  <c r="P5532" i="16"/>
  <c r="O5532" i="16"/>
  <c r="J5532" i="16"/>
  <c r="I5532" i="16"/>
  <c r="H5532" i="16"/>
  <c r="G5532" i="16"/>
  <c r="D5532" i="16"/>
  <c r="C5532" i="16"/>
  <c r="B5532" i="16"/>
  <c r="A5532" i="16"/>
  <c r="L5532" i="16" s="1"/>
  <c r="T5531" i="16"/>
  <c r="P5531" i="16"/>
  <c r="E5531" i="16"/>
  <c r="D5531" i="16"/>
  <c r="C5531" i="16"/>
  <c r="B5531" i="16"/>
  <c r="A5531" i="16"/>
  <c r="D5530" i="16"/>
  <c r="C5530" i="16"/>
  <c r="B5530" i="16"/>
  <c r="A5530" i="16"/>
  <c r="M5529" i="16"/>
  <c r="L5529" i="16"/>
  <c r="D5529" i="16"/>
  <c r="C5529" i="16"/>
  <c r="B5529" i="16"/>
  <c r="A5529" i="16"/>
  <c r="P5528" i="16"/>
  <c r="K5528" i="16"/>
  <c r="H5528" i="16"/>
  <c r="G5528" i="16"/>
  <c r="F5528" i="16"/>
  <c r="D5528" i="16"/>
  <c r="C5528" i="16"/>
  <c r="B5528" i="16"/>
  <c r="A5528" i="16"/>
  <c r="P5527" i="16"/>
  <c r="O5527" i="16"/>
  <c r="N5527" i="16"/>
  <c r="F5527" i="16"/>
  <c r="E5527" i="16"/>
  <c r="D5527" i="16"/>
  <c r="C5527" i="16"/>
  <c r="B5527" i="16"/>
  <c r="A5527" i="16"/>
  <c r="T5527" i="16" s="1"/>
  <c r="I5526" i="16"/>
  <c r="E5526" i="16"/>
  <c r="D5526" i="16"/>
  <c r="C5526" i="16"/>
  <c r="B5526" i="16"/>
  <c r="A5526" i="16"/>
  <c r="M5526" i="16" s="1"/>
  <c r="J5525" i="16"/>
  <c r="I5525" i="16"/>
  <c r="D5525" i="16"/>
  <c r="C5525" i="16"/>
  <c r="B5525" i="16"/>
  <c r="A5525" i="16"/>
  <c r="N5525" i="16" s="1"/>
  <c r="D5524" i="16"/>
  <c r="C5524" i="16"/>
  <c r="B5524" i="16"/>
  <c r="A5524" i="16"/>
  <c r="D5523" i="16"/>
  <c r="C5523" i="16"/>
  <c r="B5523" i="16"/>
  <c r="A5523" i="16"/>
  <c r="D5522" i="16"/>
  <c r="C5522" i="16"/>
  <c r="B5522" i="16"/>
  <c r="A5522" i="16"/>
  <c r="L5521" i="16"/>
  <c r="K5521" i="16"/>
  <c r="J5521" i="16"/>
  <c r="E5521" i="16"/>
  <c r="D5521" i="16"/>
  <c r="C5521" i="16"/>
  <c r="B5521" i="16"/>
  <c r="A5521" i="16"/>
  <c r="M5520" i="16"/>
  <c r="L5520" i="16"/>
  <c r="K5520" i="16"/>
  <c r="H5520" i="16"/>
  <c r="D5520" i="16"/>
  <c r="C5520" i="16"/>
  <c r="B5520" i="16"/>
  <c r="A5520" i="16"/>
  <c r="P5519" i="16"/>
  <c r="O5519" i="16"/>
  <c r="N5519" i="16"/>
  <c r="H5519" i="16"/>
  <c r="F5519" i="16"/>
  <c r="E5519" i="16"/>
  <c r="D5519" i="16"/>
  <c r="C5519" i="16"/>
  <c r="B5519" i="16"/>
  <c r="A5519" i="16"/>
  <c r="T5519" i="16" s="1"/>
  <c r="D5518" i="16"/>
  <c r="C5518" i="16"/>
  <c r="B5518" i="16"/>
  <c r="A5518" i="16"/>
  <c r="M5518" i="16" s="1"/>
  <c r="D5517" i="16"/>
  <c r="C5517" i="16"/>
  <c r="B5517" i="16"/>
  <c r="A5517" i="16"/>
  <c r="T5516" i="16"/>
  <c r="L5516" i="16"/>
  <c r="J5516" i="16"/>
  <c r="D5516" i="16"/>
  <c r="C5516" i="16"/>
  <c r="B5516" i="16"/>
  <c r="A5516" i="16"/>
  <c r="D5515" i="16"/>
  <c r="C5515" i="16"/>
  <c r="B5515" i="16"/>
  <c r="A5515" i="16"/>
  <c r="D5514" i="16"/>
  <c r="C5514" i="16"/>
  <c r="B5514" i="16"/>
  <c r="A5514" i="16"/>
  <c r="O5513" i="16"/>
  <c r="N5513" i="16"/>
  <c r="M5513" i="16"/>
  <c r="L5513" i="16"/>
  <c r="K5513" i="16"/>
  <c r="F5513" i="16"/>
  <c r="E5513" i="16"/>
  <c r="D5513" i="16"/>
  <c r="C5513" i="16"/>
  <c r="B5513" i="16"/>
  <c r="A5513" i="16"/>
  <c r="T5513" i="16" s="1"/>
  <c r="D5512" i="16"/>
  <c r="C5512" i="16"/>
  <c r="B5512" i="16"/>
  <c r="A5512" i="16"/>
  <c r="P5511" i="16"/>
  <c r="O5511" i="16"/>
  <c r="N5511" i="16"/>
  <c r="L5511" i="16"/>
  <c r="H5511" i="16"/>
  <c r="F5511" i="16"/>
  <c r="E5511" i="16"/>
  <c r="D5511" i="16"/>
  <c r="C5511" i="16"/>
  <c r="B5511" i="16"/>
  <c r="A5511" i="16"/>
  <c r="T5511" i="16" s="1"/>
  <c r="J5510" i="16"/>
  <c r="I5510" i="16"/>
  <c r="E5510" i="16"/>
  <c r="D5510" i="16"/>
  <c r="C5510" i="16"/>
  <c r="B5510" i="16"/>
  <c r="A5510" i="16"/>
  <c r="O5510" i="16" s="1"/>
  <c r="J5509" i="16"/>
  <c r="I5509" i="16"/>
  <c r="H5509" i="16"/>
  <c r="D5509" i="16"/>
  <c r="C5509" i="16"/>
  <c r="B5509" i="16"/>
  <c r="A5509" i="16"/>
  <c r="K5509" i="16" s="1"/>
  <c r="P5508" i="16"/>
  <c r="O5508" i="16"/>
  <c r="L5508" i="16"/>
  <c r="G5508" i="16"/>
  <c r="D5508" i="16"/>
  <c r="C5508" i="16"/>
  <c r="B5508" i="16"/>
  <c r="A5508" i="16"/>
  <c r="D5507" i="16"/>
  <c r="C5507" i="16"/>
  <c r="B5507" i="16"/>
  <c r="A5507" i="16"/>
  <c r="D5506" i="16"/>
  <c r="C5506" i="16"/>
  <c r="B5506" i="16"/>
  <c r="A5506" i="16"/>
  <c r="K5505" i="16"/>
  <c r="J5505" i="16"/>
  <c r="H5505" i="16"/>
  <c r="D5505" i="16"/>
  <c r="C5505" i="16"/>
  <c r="B5505" i="16"/>
  <c r="A5505" i="16"/>
  <c r="L5505" i="16" s="1"/>
  <c r="O5504" i="16"/>
  <c r="K5504" i="16"/>
  <c r="F5504" i="16"/>
  <c r="E5504" i="16"/>
  <c r="D5504" i="16"/>
  <c r="C5504" i="16"/>
  <c r="B5504" i="16"/>
  <c r="A5504" i="16"/>
  <c r="N5503" i="16"/>
  <c r="M5503" i="16"/>
  <c r="E5503" i="16"/>
  <c r="D5503" i="16"/>
  <c r="C5503" i="16"/>
  <c r="B5503" i="16"/>
  <c r="A5503" i="16"/>
  <c r="O5503" i="16" s="1"/>
  <c r="D5502" i="16"/>
  <c r="C5502" i="16"/>
  <c r="B5502" i="16"/>
  <c r="A5502" i="16"/>
  <c r="D5501" i="16"/>
  <c r="C5501" i="16"/>
  <c r="B5501" i="16"/>
  <c r="A5501" i="16"/>
  <c r="O5500" i="16"/>
  <c r="L5500" i="16"/>
  <c r="J5500" i="16"/>
  <c r="I5500" i="16"/>
  <c r="D5500" i="16"/>
  <c r="C5500" i="16"/>
  <c r="B5500" i="16"/>
  <c r="A5500" i="16"/>
  <c r="D5499" i="16"/>
  <c r="C5499" i="16"/>
  <c r="B5499" i="16"/>
  <c r="A5499" i="16"/>
  <c r="D5498" i="16"/>
  <c r="C5498" i="16"/>
  <c r="B5498" i="16"/>
  <c r="A5498" i="16"/>
  <c r="P5497" i="16"/>
  <c r="O5497" i="16"/>
  <c r="H5497" i="16"/>
  <c r="G5497" i="16"/>
  <c r="F5497" i="16"/>
  <c r="D5497" i="16"/>
  <c r="C5497" i="16"/>
  <c r="B5497" i="16"/>
  <c r="A5497" i="16"/>
  <c r="J5497" i="16" s="1"/>
  <c r="P5496" i="16"/>
  <c r="O5496" i="16"/>
  <c r="N5496" i="16"/>
  <c r="M5496" i="16"/>
  <c r="L5496" i="16"/>
  <c r="H5496" i="16"/>
  <c r="G5496" i="16"/>
  <c r="F5496" i="16"/>
  <c r="E5496" i="16"/>
  <c r="D5496" i="16"/>
  <c r="C5496" i="16"/>
  <c r="B5496" i="16"/>
  <c r="A5496" i="16"/>
  <c r="J5496" i="16" s="1"/>
  <c r="D5495" i="16"/>
  <c r="C5495" i="16"/>
  <c r="B5495" i="16"/>
  <c r="A5495" i="16"/>
  <c r="D5494" i="16"/>
  <c r="C5494" i="16"/>
  <c r="B5494" i="16"/>
  <c r="A5494" i="16"/>
  <c r="I5493" i="16"/>
  <c r="H5493" i="16"/>
  <c r="D5493" i="16"/>
  <c r="C5493" i="16"/>
  <c r="B5493" i="16"/>
  <c r="A5493" i="16"/>
  <c r="K5493" i="16" s="1"/>
  <c r="P5492" i="16"/>
  <c r="O5492" i="16"/>
  <c r="L5492" i="16"/>
  <c r="G5492" i="16"/>
  <c r="D5492" i="16"/>
  <c r="C5492" i="16"/>
  <c r="B5492" i="16"/>
  <c r="A5492" i="16"/>
  <c r="D5491" i="16"/>
  <c r="C5491" i="16"/>
  <c r="B5491" i="16"/>
  <c r="A5491" i="16"/>
  <c r="D5490" i="16"/>
  <c r="C5490" i="16"/>
  <c r="B5490" i="16"/>
  <c r="A5490" i="16"/>
  <c r="P5489" i="16"/>
  <c r="O5489" i="16"/>
  <c r="N5489" i="16"/>
  <c r="M5489" i="16"/>
  <c r="H5489" i="16"/>
  <c r="G5489" i="16"/>
  <c r="F5489" i="16"/>
  <c r="E5489" i="16"/>
  <c r="D5489" i="16"/>
  <c r="C5489" i="16"/>
  <c r="B5489" i="16"/>
  <c r="A5489" i="16"/>
  <c r="T5489" i="16" s="1"/>
  <c r="P5488" i="16"/>
  <c r="O5488" i="16"/>
  <c r="N5488" i="16"/>
  <c r="M5488" i="16"/>
  <c r="L5488" i="16"/>
  <c r="G5488" i="16"/>
  <c r="F5488" i="16"/>
  <c r="E5488" i="16"/>
  <c r="D5488" i="16"/>
  <c r="C5488" i="16"/>
  <c r="B5488" i="16"/>
  <c r="A5488" i="16"/>
  <c r="J5488" i="16" s="1"/>
  <c r="D5487" i="16"/>
  <c r="C5487" i="16"/>
  <c r="B5487" i="16"/>
  <c r="A5487" i="16"/>
  <c r="M5486" i="16"/>
  <c r="J5486" i="16"/>
  <c r="D5486" i="16"/>
  <c r="C5486" i="16"/>
  <c r="B5486" i="16"/>
  <c r="A5486" i="16"/>
  <c r="N5485" i="16"/>
  <c r="K5485" i="16"/>
  <c r="J5485" i="16"/>
  <c r="D5485" i="16"/>
  <c r="C5485" i="16"/>
  <c r="B5485" i="16"/>
  <c r="A5485" i="16"/>
  <c r="I5485" i="16" s="1"/>
  <c r="T5484" i="16"/>
  <c r="P5484" i="16"/>
  <c r="O5484" i="16"/>
  <c r="I5484" i="16"/>
  <c r="H5484" i="16"/>
  <c r="G5484" i="16"/>
  <c r="D5484" i="16"/>
  <c r="C5484" i="16"/>
  <c r="B5484" i="16"/>
  <c r="A5484" i="16"/>
  <c r="L5484" i="16" s="1"/>
  <c r="M5483" i="16"/>
  <c r="L5483" i="16"/>
  <c r="K5483" i="16"/>
  <c r="E5483" i="16"/>
  <c r="D5483" i="16"/>
  <c r="C5483" i="16"/>
  <c r="B5483" i="16"/>
  <c r="A5483" i="16"/>
  <c r="T5483" i="16" s="1"/>
  <c r="K5482" i="16"/>
  <c r="J5482" i="16"/>
  <c r="I5482" i="16"/>
  <c r="F5482" i="16"/>
  <c r="D5482" i="16"/>
  <c r="C5482" i="16"/>
  <c r="B5482" i="16"/>
  <c r="A5482" i="16"/>
  <c r="P5481" i="16"/>
  <c r="O5481" i="16"/>
  <c r="N5481" i="16"/>
  <c r="M5481" i="16"/>
  <c r="L5481" i="16"/>
  <c r="K5481" i="16"/>
  <c r="G5481" i="16"/>
  <c r="F5481" i="16"/>
  <c r="E5481" i="16"/>
  <c r="D5481" i="16"/>
  <c r="C5481" i="16"/>
  <c r="B5481" i="16"/>
  <c r="A5481" i="16"/>
  <c r="T5481" i="16" s="1"/>
  <c r="L5480" i="16"/>
  <c r="K5480" i="16"/>
  <c r="H5480" i="16"/>
  <c r="D5480" i="16"/>
  <c r="C5480" i="16"/>
  <c r="B5480" i="16"/>
  <c r="A5480" i="16"/>
  <c r="M5480" i="16" s="1"/>
  <c r="P5479" i="16"/>
  <c r="L5479" i="16"/>
  <c r="H5479" i="16"/>
  <c r="F5479" i="16"/>
  <c r="E5479" i="16"/>
  <c r="D5479" i="16"/>
  <c r="C5479" i="16"/>
  <c r="B5479" i="16"/>
  <c r="A5479" i="16"/>
  <c r="T5479" i="16" s="1"/>
  <c r="N5478" i="16"/>
  <c r="M5478" i="16"/>
  <c r="J5478" i="16"/>
  <c r="D5478" i="16"/>
  <c r="C5478" i="16"/>
  <c r="B5478" i="16"/>
  <c r="A5478" i="16"/>
  <c r="O5478" i="16" s="1"/>
  <c r="D5477" i="16"/>
  <c r="C5477" i="16"/>
  <c r="B5477" i="16"/>
  <c r="A5477" i="16"/>
  <c r="T5476" i="16"/>
  <c r="P5476" i="16"/>
  <c r="J5476" i="16"/>
  <c r="I5476" i="16"/>
  <c r="H5476" i="16"/>
  <c r="G5476" i="16"/>
  <c r="D5476" i="16"/>
  <c r="C5476" i="16"/>
  <c r="B5476" i="16"/>
  <c r="A5476" i="16"/>
  <c r="O5476" i="16" s="1"/>
  <c r="P5475" i="16"/>
  <c r="M5475" i="16"/>
  <c r="L5475" i="16"/>
  <c r="D5475" i="16"/>
  <c r="C5475" i="16"/>
  <c r="B5475" i="16"/>
  <c r="A5475" i="16"/>
  <c r="T5475" i="16" s="1"/>
  <c r="D5474" i="16"/>
  <c r="C5474" i="16"/>
  <c r="B5474" i="16"/>
  <c r="A5474" i="16"/>
  <c r="M5473" i="16"/>
  <c r="L5473" i="16"/>
  <c r="H5473" i="16"/>
  <c r="D5473" i="16"/>
  <c r="C5473" i="16"/>
  <c r="B5473" i="16"/>
  <c r="A5473" i="16"/>
  <c r="P5472" i="16"/>
  <c r="H5472" i="16"/>
  <c r="G5472" i="16"/>
  <c r="F5472" i="16"/>
  <c r="D5472" i="16"/>
  <c r="C5472" i="16"/>
  <c r="B5472" i="16"/>
  <c r="A5472" i="16"/>
  <c r="K5472" i="16" s="1"/>
  <c r="P5471" i="16"/>
  <c r="O5471" i="16"/>
  <c r="N5471" i="16"/>
  <c r="H5471" i="16"/>
  <c r="F5471" i="16"/>
  <c r="E5471" i="16"/>
  <c r="D5471" i="16"/>
  <c r="C5471" i="16"/>
  <c r="B5471" i="16"/>
  <c r="A5471" i="16"/>
  <c r="T5471" i="16" s="1"/>
  <c r="E5470" i="16"/>
  <c r="D5470" i="16"/>
  <c r="C5470" i="16"/>
  <c r="B5470" i="16"/>
  <c r="A5470" i="16"/>
  <c r="D5469" i="16"/>
  <c r="C5469" i="16"/>
  <c r="B5469" i="16"/>
  <c r="A5469" i="16"/>
  <c r="L5468" i="16"/>
  <c r="J5468" i="16"/>
  <c r="I5468" i="16"/>
  <c r="D5468" i="16"/>
  <c r="C5468" i="16"/>
  <c r="B5468" i="16"/>
  <c r="A5468" i="16"/>
  <c r="D5467" i="16"/>
  <c r="C5467" i="16"/>
  <c r="B5467" i="16"/>
  <c r="A5467" i="16"/>
  <c r="D5466" i="16"/>
  <c r="C5466" i="16"/>
  <c r="B5466" i="16"/>
  <c r="A5466" i="16"/>
  <c r="P5465" i="16"/>
  <c r="O5465" i="16"/>
  <c r="H5465" i="16"/>
  <c r="G5465" i="16"/>
  <c r="F5465" i="16"/>
  <c r="D5465" i="16"/>
  <c r="C5465" i="16"/>
  <c r="B5465" i="16"/>
  <c r="A5465" i="16"/>
  <c r="J5465" i="16" s="1"/>
  <c r="P5464" i="16"/>
  <c r="O5464" i="16"/>
  <c r="N5464" i="16"/>
  <c r="H5464" i="16"/>
  <c r="G5464" i="16"/>
  <c r="F5464" i="16"/>
  <c r="E5464" i="16"/>
  <c r="D5464" i="16"/>
  <c r="C5464" i="16"/>
  <c r="B5464" i="16"/>
  <c r="A5464" i="16"/>
  <c r="J5464" i="16" s="1"/>
  <c r="D5463" i="16"/>
  <c r="C5463" i="16"/>
  <c r="B5463" i="16"/>
  <c r="A5463" i="16"/>
  <c r="D5462" i="16"/>
  <c r="C5462" i="16"/>
  <c r="B5462" i="16"/>
  <c r="A5462" i="16"/>
  <c r="D5461" i="16"/>
  <c r="C5461" i="16"/>
  <c r="B5461" i="16"/>
  <c r="A5461" i="16"/>
  <c r="N5461" i="16" s="1"/>
  <c r="L5460" i="16"/>
  <c r="D5460" i="16"/>
  <c r="C5460" i="16"/>
  <c r="B5460" i="16"/>
  <c r="A5460" i="16"/>
  <c r="M5459" i="16"/>
  <c r="E5459" i="16"/>
  <c r="D5459" i="16"/>
  <c r="C5459" i="16"/>
  <c r="B5459" i="16"/>
  <c r="A5459" i="16"/>
  <c r="K5458" i="16"/>
  <c r="F5458" i="16"/>
  <c r="D5458" i="16"/>
  <c r="C5458" i="16"/>
  <c r="B5458" i="16"/>
  <c r="A5458" i="16"/>
  <c r="P5457" i="16"/>
  <c r="O5457" i="16"/>
  <c r="N5457" i="16"/>
  <c r="M5457" i="16"/>
  <c r="H5457" i="16"/>
  <c r="G5457" i="16"/>
  <c r="F5457" i="16"/>
  <c r="E5457" i="16"/>
  <c r="D5457" i="16"/>
  <c r="C5457" i="16"/>
  <c r="B5457" i="16"/>
  <c r="A5457" i="16"/>
  <c r="T5457" i="16" s="1"/>
  <c r="P5456" i="16"/>
  <c r="O5456" i="16"/>
  <c r="N5456" i="16"/>
  <c r="M5456" i="16"/>
  <c r="L5456" i="16"/>
  <c r="G5456" i="16"/>
  <c r="F5456" i="16"/>
  <c r="E5456" i="16"/>
  <c r="D5456" i="16"/>
  <c r="C5456" i="16"/>
  <c r="B5456" i="16"/>
  <c r="A5456" i="16"/>
  <c r="J5456" i="16" s="1"/>
  <c r="N5455" i="16"/>
  <c r="H5455" i="16"/>
  <c r="F5455" i="16"/>
  <c r="D5455" i="16"/>
  <c r="C5455" i="16"/>
  <c r="B5455" i="16"/>
  <c r="A5455" i="16"/>
  <c r="D5454" i="16"/>
  <c r="C5454" i="16"/>
  <c r="B5454" i="16"/>
  <c r="A5454" i="16"/>
  <c r="N5453" i="16"/>
  <c r="H5453" i="16"/>
  <c r="D5453" i="16"/>
  <c r="C5453" i="16"/>
  <c r="B5453" i="16"/>
  <c r="A5453" i="16"/>
  <c r="P5452" i="16"/>
  <c r="O5452" i="16"/>
  <c r="L5452" i="16"/>
  <c r="D5452" i="16"/>
  <c r="C5452" i="16"/>
  <c r="B5452" i="16"/>
  <c r="A5452" i="16"/>
  <c r="T5451" i="16"/>
  <c r="P5451" i="16"/>
  <c r="D5451" i="16"/>
  <c r="C5451" i="16"/>
  <c r="B5451" i="16"/>
  <c r="A5451" i="16"/>
  <c r="D5450" i="16"/>
  <c r="C5450" i="16"/>
  <c r="B5450" i="16"/>
  <c r="A5450" i="16"/>
  <c r="K5449" i="16"/>
  <c r="J5449" i="16"/>
  <c r="H5449" i="16"/>
  <c r="D5449" i="16"/>
  <c r="C5449" i="16"/>
  <c r="B5449" i="16"/>
  <c r="A5449" i="16"/>
  <c r="L5449" i="16" s="1"/>
  <c r="H5448" i="16"/>
  <c r="G5448" i="16"/>
  <c r="D5448" i="16"/>
  <c r="C5448" i="16"/>
  <c r="B5448" i="16"/>
  <c r="A5448" i="16"/>
  <c r="P5447" i="16"/>
  <c r="O5447" i="16"/>
  <c r="N5447" i="16"/>
  <c r="H5447" i="16"/>
  <c r="F5447" i="16"/>
  <c r="E5447" i="16"/>
  <c r="D5447" i="16"/>
  <c r="C5447" i="16"/>
  <c r="B5447" i="16"/>
  <c r="A5447" i="16"/>
  <c r="T5447" i="16" s="1"/>
  <c r="M5446" i="16"/>
  <c r="J5446" i="16"/>
  <c r="I5446" i="16"/>
  <c r="E5446" i="16"/>
  <c r="D5446" i="16"/>
  <c r="C5446" i="16"/>
  <c r="B5446" i="16"/>
  <c r="A5446" i="16"/>
  <c r="O5446" i="16" s="1"/>
  <c r="K5445" i="16"/>
  <c r="J5445" i="16"/>
  <c r="I5445" i="16"/>
  <c r="H5445" i="16"/>
  <c r="D5445" i="16"/>
  <c r="C5445" i="16"/>
  <c r="B5445" i="16"/>
  <c r="A5445" i="16"/>
  <c r="P5444" i="16"/>
  <c r="D5444" i="16"/>
  <c r="C5444" i="16"/>
  <c r="B5444" i="16"/>
  <c r="A5444" i="16"/>
  <c r="D5443" i="16"/>
  <c r="C5443" i="16"/>
  <c r="B5443" i="16"/>
  <c r="A5443" i="16"/>
  <c r="K5442" i="16"/>
  <c r="J5442" i="16"/>
  <c r="I5442" i="16"/>
  <c r="D5442" i="16"/>
  <c r="C5442" i="16"/>
  <c r="B5442" i="16"/>
  <c r="A5442" i="16"/>
  <c r="F5442" i="16" s="1"/>
  <c r="P5441" i="16"/>
  <c r="D5441" i="16"/>
  <c r="C5441" i="16"/>
  <c r="B5441" i="16"/>
  <c r="A5441" i="16"/>
  <c r="P5440" i="16"/>
  <c r="O5440" i="16"/>
  <c r="N5440" i="16"/>
  <c r="M5440" i="16"/>
  <c r="L5440" i="16"/>
  <c r="H5440" i="16"/>
  <c r="G5440" i="16"/>
  <c r="F5440" i="16"/>
  <c r="E5440" i="16"/>
  <c r="D5440" i="16"/>
  <c r="C5440" i="16"/>
  <c r="B5440" i="16"/>
  <c r="A5440" i="16"/>
  <c r="J5440" i="16" s="1"/>
  <c r="O5439" i="16"/>
  <c r="N5439" i="16"/>
  <c r="M5439" i="16"/>
  <c r="L5439" i="16"/>
  <c r="D5439" i="16"/>
  <c r="C5439" i="16"/>
  <c r="B5439" i="16"/>
  <c r="A5439" i="16"/>
  <c r="M5438" i="16"/>
  <c r="D5438" i="16"/>
  <c r="C5438" i="16"/>
  <c r="B5438" i="16"/>
  <c r="A5438" i="16"/>
  <c r="N5437" i="16"/>
  <c r="K5437" i="16"/>
  <c r="D5437" i="16"/>
  <c r="C5437" i="16"/>
  <c r="B5437" i="16"/>
  <c r="A5437" i="16"/>
  <c r="J5437" i="16" s="1"/>
  <c r="T5436" i="16"/>
  <c r="P5436" i="16"/>
  <c r="O5436" i="16"/>
  <c r="I5436" i="16"/>
  <c r="H5436" i="16"/>
  <c r="G5436" i="16"/>
  <c r="D5436" i="16"/>
  <c r="C5436" i="16"/>
  <c r="B5436" i="16"/>
  <c r="A5436" i="16"/>
  <c r="L5436" i="16" s="1"/>
  <c r="D5435" i="16"/>
  <c r="C5435" i="16"/>
  <c r="B5435" i="16"/>
  <c r="A5435" i="16"/>
  <c r="L5434" i="16"/>
  <c r="D5434" i="16"/>
  <c r="C5434" i="16"/>
  <c r="B5434" i="16"/>
  <c r="A5434" i="16"/>
  <c r="P5433" i="16"/>
  <c r="O5433" i="16"/>
  <c r="N5433" i="16"/>
  <c r="M5433" i="16"/>
  <c r="L5433" i="16"/>
  <c r="K5433" i="16"/>
  <c r="G5433" i="16"/>
  <c r="F5433" i="16"/>
  <c r="E5433" i="16"/>
  <c r="D5433" i="16"/>
  <c r="C5433" i="16"/>
  <c r="B5433" i="16"/>
  <c r="A5433" i="16"/>
  <c r="T5433" i="16" s="1"/>
  <c r="M5432" i="16"/>
  <c r="L5432" i="16"/>
  <c r="K5432" i="16"/>
  <c r="H5432" i="16"/>
  <c r="D5432" i="16"/>
  <c r="C5432" i="16"/>
  <c r="B5432" i="16"/>
  <c r="A5432" i="16"/>
  <c r="P5431" i="16"/>
  <c r="L5431" i="16"/>
  <c r="H5431" i="16"/>
  <c r="F5431" i="16"/>
  <c r="E5431" i="16"/>
  <c r="D5431" i="16"/>
  <c r="C5431" i="16"/>
  <c r="B5431" i="16"/>
  <c r="A5431" i="16"/>
  <c r="T5431" i="16" s="1"/>
  <c r="D5430" i="16"/>
  <c r="C5430" i="16"/>
  <c r="B5430" i="16"/>
  <c r="A5430" i="16"/>
  <c r="I5429" i="16"/>
  <c r="D5429" i="16"/>
  <c r="C5429" i="16"/>
  <c r="B5429" i="16"/>
  <c r="A5429" i="16"/>
  <c r="T5428" i="16"/>
  <c r="P5428" i="16"/>
  <c r="O5428" i="16"/>
  <c r="I5428" i="16"/>
  <c r="H5428" i="16"/>
  <c r="G5428" i="16"/>
  <c r="D5428" i="16"/>
  <c r="C5428" i="16"/>
  <c r="B5428" i="16"/>
  <c r="A5428" i="16"/>
  <c r="L5428" i="16" s="1"/>
  <c r="D5427" i="16"/>
  <c r="C5427" i="16"/>
  <c r="B5427" i="16"/>
  <c r="A5427" i="16"/>
  <c r="D5426" i="16"/>
  <c r="C5426" i="16"/>
  <c r="B5426" i="16"/>
  <c r="A5426" i="16"/>
  <c r="N5425" i="16"/>
  <c r="M5425" i="16"/>
  <c r="J5425" i="16"/>
  <c r="E5425" i="16"/>
  <c r="D5425" i="16"/>
  <c r="C5425" i="16"/>
  <c r="B5425" i="16"/>
  <c r="A5425" i="16"/>
  <c r="K5424" i="16"/>
  <c r="H5424" i="16"/>
  <c r="G5424" i="16"/>
  <c r="D5424" i="16"/>
  <c r="C5424" i="16"/>
  <c r="B5424" i="16"/>
  <c r="A5424" i="16"/>
  <c r="L5424" i="16" s="1"/>
  <c r="P5423" i="16"/>
  <c r="O5423" i="16"/>
  <c r="N5423" i="16"/>
  <c r="L5423" i="16"/>
  <c r="H5423" i="16"/>
  <c r="F5423" i="16"/>
  <c r="E5423" i="16"/>
  <c r="D5423" i="16"/>
  <c r="C5423" i="16"/>
  <c r="B5423" i="16"/>
  <c r="A5423" i="16"/>
  <c r="T5423" i="16" s="1"/>
  <c r="M5422" i="16"/>
  <c r="J5422" i="16"/>
  <c r="I5422" i="16"/>
  <c r="E5422" i="16"/>
  <c r="D5422" i="16"/>
  <c r="C5422" i="16"/>
  <c r="B5422" i="16"/>
  <c r="A5422" i="16"/>
  <c r="H5421" i="16"/>
  <c r="D5421" i="16"/>
  <c r="C5421" i="16"/>
  <c r="B5421" i="16"/>
  <c r="A5421" i="16"/>
  <c r="N5421" i="16" s="1"/>
  <c r="J5420" i="16"/>
  <c r="I5420" i="16"/>
  <c r="H5420" i="16"/>
  <c r="G5420" i="16"/>
  <c r="D5420" i="16"/>
  <c r="C5420" i="16"/>
  <c r="B5420" i="16"/>
  <c r="A5420" i="16"/>
  <c r="T5419" i="16"/>
  <c r="M5419" i="16"/>
  <c r="L5419" i="16"/>
  <c r="K5419" i="16"/>
  <c r="D5419" i="16"/>
  <c r="C5419" i="16"/>
  <c r="B5419" i="16"/>
  <c r="A5419" i="16"/>
  <c r="E5419" i="16" s="1"/>
  <c r="K5418" i="16"/>
  <c r="J5418" i="16"/>
  <c r="I5418" i="16"/>
  <c r="D5418" i="16"/>
  <c r="C5418" i="16"/>
  <c r="B5418" i="16"/>
  <c r="A5418" i="16"/>
  <c r="F5418" i="16" s="1"/>
  <c r="J5417" i="16"/>
  <c r="H5417" i="16"/>
  <c r="G5417" i="16"/>
  <c r="F5417" i="16"/>
  <c r="D5417" i="16"/>
  <c r="C5417" i="16"/>
  <c r="B5417" i="16"/>
  <c r="A5417" i="16"/>
  <c r="P5416" i="16"/>
  <c r="O5416" i="16"/>
  <c r="N5416" i="16"/>
  <c r="M5416" i="16"/>
  <c r="L5416" i="16"/>
  <c r="H5416" i="16"/>
  <c r="G5416" i="16"/>
  <c r="F5416" i="16"/>
  <c r="E5416" i="16"/>
  <c r="D5416" i="16"/>
  <c r="C5416" i="16"/>
  <c r="B5416" i="16"/>
  <c r="A5416" i="16"/>
  <c r="J5416" i="16" s="1"/>
  <c r="O5415" i="16"/>
  <c r="H5415" i="16"/>
  <c r="D5415" i="16"/>
  <c r="C5415" i="16"/>
  <c r="B5415" i="16"/>
  <c r="A5415" i="16"/>
  <c r="D5414" i="16"/>
  <c r="C5414" i="16"/>
  <c r="B5414" i="16"/>
  <c r="A5414" i="16"/>
  <c r="K5413" i="16"/>
  <c r="D5413" i="16"/>
  <c r="C5413" i="16"/>
  <c r="B5413" i="16"/>
  <c r="A5413" i="16"/>
  <c r="N5413" i="16" s="1"/>
  <c r="J5412" i="16"/>
  <c r="I5412" i="16"/>
  <c r="H5412" i="16"/>
  <c r="D5412" i="16"/>
  <c r="C5412" i="16"/>
  <c r="B5412" i="16"/>
  <c r="A5412" i="16"/>
  <c r="L5412" i="16" s="1"/>
  <c r="L5411" i="16"/>
  <c r="D5411" i="16"/>
  <c r="C5411" i="16"/>
  <c r="B5411" i="16"/>
  <c r="A5411" i="16"/>
  <c r="D5410" i="16"/>
  <c r="C5410" i="16"/>
  <c r="B5410" i="16"/>
  <c r="A5410" i="16"/>
  <c r="L5409" i="16"/>
  <c r="K5409" i="16"/>
  <c r="J5409" i="16"/>
  <c r="H5409" i="16"/>
  <c r="D5409" i="16"/>
  <c r="C5409" i="16"/>
  <c r="B5409" i="16"/>
  <c r="A5409" i="16"/>
  <c r="D5408" i="16"/>
  <c r="C5408" i="16"/>
  <c r="B5408" i="16"/>
  <c r="A5408" i="16"/>
  <c r="P5407" i="16"/>
  <c r="O5407" i="16"/>
  <c r="N5407" i="16"/>
  <c r="H5407" i="16"/>
  <c r="F5407" i="16"/>
  <c r="E5407" i="16"/>
  <c r="D5407" i="16"/>
  <c r="C5407" i="16"/>
  <c r="B5407" i="16"/>
  <c r="A5407" i="16"/>
  <c r="T5407" i="16" s="1"/>
  <c r="D5406" i="16"/>
  <c r="C5406" i="16"/>
  <c r="B5406" i="16"/>
  <c r="A5406" i="16"/>
  <c r="H5405" i="16"/>
  <c r="D5405" i="16"/>
  <c r="C5405" i="16"/>
  <c r="B5405" i="16"/>
  <c r="A5405" i="16"/>
  <c r="I5404" i="16"/>
  <c r="H5404" i="16"/>
  <c r="G5404" i="16"/>
  <c r="D5404" i="16"/>
  <c r="C5404" i="16"/>
  <c r="B5404" i="16"/>
  <c r="A5404" i="16"/>
  <c r="J5404" i="16" s="1"/>
  <c r="T5403" i="16"/>
  <c r="P5403" i="16"/>
  <c r="E5403" i="16"/>
  <c r="D5403" i="16"/>
  <c r="C5403" i="16"/>
  <c r="B5403" i="16"/>
  <c r="A5403" i="16"/>
  <c r="I5402" i="16"/>
  <c r="F5402" i="16"/>
  <c r="D5402" i="16"/>
  <c r="C5402" i="16"/>
  <c r="B5402" i="16"/>
  <c r="A5402" i="16"/>
  <c r="K5402" i="16" s="1"/>
  <c r="N5401" i="16"/>
  <c r="M5401" i="16"/>
  <c r="D5401" i="16"/>
  <c r="C5401" i="16"/>
  <c r="B5401" i="16"/>
  <c r="A5401" i="16"/>
  <c r="K5400" i="16"/>
  <c r="H5400" i="16"/>
  <c r="G5400" i="16"/>
  <c r="D5400" i="16"/>
  <c r="C5400" i="16"/>
  <c r="B5400" i="16"/>
  <c r="A5400" i="16"/>
  <c r="L5400" i="16" s="1"/>
  <c r="P5399" i="16"/>
  <c r="O5399" i="16"/>
  <c r="N5399" i="16"/>
  <c r="L5399" i="16"/>
  <c r="H5399" i="16"/>
  <c r="F5399" i="16"/>
  <c r="E5399" i="16"/>
  <c r="D5399" i="16"/>
  <c r="C5399" i="16"/>
  <c r="B5399" i="16"/>
  <c r="A5399" i="16"/>
  <c r="T5399" i="16" s="1"/>
  <c r="M5398" i="16"/>
  <c r="J5398" i="16"/>
  <c r="I5398" i="16"/>
  <c r="E5398" i="16"/>
  <c r="D5398" i="16"/>
  <c r="C5398" i="16"/>
  <c r="B5398" i="16"/>
  <c r="A5398" i="16"/>
  <c r="N5397" i="16"/>
  <c r="K5397" i="16"/>
  <c r="J5397" i="16"/>
  <c r="I5397" i="16"/>
  <c r="D5397" i="16"/>
  <c r="C5397" i="16"/>
  <c r="B5397" i="16"/>
  <c r="A5397" i="16"/>
  <c r="J5396" i="16"/>
  <c r="D5396" i="16"/>
  <c r="C5396" i="16"/>
  <c r="B5396" i="16"/>
  <c r="A5396" i="16"/>
  <c r="D5395" i="16"/>
  <c r="C5395" i="16"/>
  <c r="B5395" i="16"/>
  <c r="A5395" i="16"/>
  <c r="L5394" i="16"/>
  <c r="F5394" i="16"/>
  <c r="D5394" i="16"/>
  <c r="C5394" i="16"/>
  <c r="B5394" i="16"/>
  <c r="A5394" i="16"/>
  <c r="P5393" i="16"/>
  <c r="O5393" i="16"/>
  <c r="N5393" i="16"/>
  <c r="M5393" i="16"/>
  <c r="H5393" i="16"/>
  <c r="G5393" i="16"/>
  <c r="F5393" i="16"/>
  <c r="E5393" i="16"/>
  <c r="D5393" i="16"/>
  <c r="C5393" i="16"/>
  <c r="B5393" i="16"/>
  <c r="A5393" i="16"/>
  <c r="T5393" i="16" s="1"/>
  <c r="P5392" i="16"/>
  <c r="O5392" i="16"/>
  <c r="N5392" i="16"/>
  <c r="M5392" i="16"/>
  <c r="L5392" i="16"/>
  <c r="F5392" i="16"/>
  <c r="E5392" i="16"/>
  <c r="D5392" i="16"/>
  <c r="C5392" i="16"/>
  <c r="B5392" i="16"/>
  <c r="A5392" i="16"/>
  <c r="J5392" i="16" s="1"/>
  <c r="L5391" i="16"/>
  <c r="H5391" i="16"/>
  <c r="F5391" i="16"/>
  <c r="D5391" i="16"/>
  <c r="C5391" i="16"/>
  <c r="B5391" i="16"/>
  <c r="A5391" i="16"/>
  <c r="M5391" i="16" s="1"/>
  <c r="D5390" i="16"/>
  <c r="C5390" i="16"/>
  <c r="B5390" i="16"/>
  <c r="A5390" i="16"/>
  <c r="D5389" i="16"/>
  <c r="C5389" i="16"/>
  <c r="B5389" i="16"/>
  <c r="A5389" i="16"/>
  <c r="T5388" i="16"/>
  <c r="P5388" i="16"/>
  <c r="O5388" i="16"/>
  <c r="H5388" i="16"/>
  <c r="G5388" i="16"/>
  <c r="D5388" i="16"/>
  <c r="C5388" i="16"/>
  <c r="B5388" i="16"/>
  <c r="A5388" i="16"/>
  <c r="L5388" i="16" s="1"/>
  <c r="D5387" i="16"/>
  <c r="C5387" i="16"/>
  <c r="B5387" i="16"/>
  <c r="A5387" i="16"/>
  <c r="D5386" i="16"/>
  <c r="C5386" i="16"/>
  <c r="B5386" i="16"/>
  <c r="A5386" i="16"/>
  <c r="K5386" i="16" s="1"/>
  <c r="O5385" i="16"/>
  <c r="N5385" i="16"/>
  <c r="J5385" i="16"/>
  <c r="D5385" i="16"/>
  <c r="C5385" i="16"/>
  <c r="B5385" i="16"/>
  <c r="A5385" i="16"/>
  <c r="P5385" i="16" s="1"/>
  <c r="P5384" i="16"/>
  <c r="O5384" i="16"/>
  <c r="N5384" i="16"/>
  <c r="M5384" i="16"/>
  <c r="G5384" i="16"/>
  <c r="F5384" i="16"/>
  <c r="E5384" i="16"/>
  <c r="D5384" i="16"/>
  <c r="C5384" i="16"/>
  <c r="B5384" i="16"/>
  <c r="A5384" i="16"/>
  <c r="J5384" i="16" s="1"/>
  <c r="N5383" i="16"/>
  <c r="M5383" i="16"/>
  <c r="L5383" i="16"/>
  <c r="H5383" i="16"/>
  <c r="D5383" i="16"/>
  <c r="C5383" i="16"/>
  <c r="B5383" i="16"/>
  <c r="A5383" i="16"/>
  <c r="O5382" i="16"/>
  <c r="M5382" i="16"/>
  <c r="D5382" i="16"/>
  <c r="C5382" i="16"/>
  <c r="B5382" i="16"/>
  <c r="A5382" i="16"/>
  <c r="D5381" i="16"/>
  <c r="C5381" i="16"/>
  <c r="B5381" i="16"/>
  <c r="A5381" i="16"/>
  <c r="T5380" i="16"/>
  <c r="J5380" i="16"/>
  <c r="I5380" i="16"/>
  <c r="H5380" i="16"/>
  <c r="G5380" i="16"/>
  <c r="D5380" i="16"/>
  <c r="C5380" i="16"/>
  <c r="B5380" i="16"/>
  <c r="A5380" i="16"/>
  <c r="P5380" i="16" s="1"/>
  <c r="T5379" i="16"/>
  <c r="K5379" i="16"/>
  <c r="E5379" i="16"/>
  <c r="D5379" i="16"/>
  <c r="C5379" i="16"/>
  <c r="B5379" i="16"/>
  <c r="A5379" i="16"/>
  <c r="M5379" i="16" s="1"/>
  <c r="J5378" i="16"/>
  <c r="I5378" i="16"/>
  <c r="F5378" i="16"/>
  <c r="D5378" i="16"/>
  <c r="C5378" i="16"/>
  <c r="B5378" i="16"/>
  <c r="A5378" i="16"/>
  <c r="K5378" i="16" s="1"/>
  <c r="O5377" i="16"/>
  <c r="N5377" i="16"/>
  <c r="M5377" i="16"/>
  <c r="L5377" i="16"/>
  <c r="K5377" i="16"/>
  <c r="F5377" i="16"/>
  <c r="E5377" i="16"/>
  <c r="D5377" i="16"/>
  <c r="C5377" i="16"/>
  <c r="B5377" i="16"/>
  <c r="A5377" i="16"/>
  <c r="T5377" i="16" s="1"/>
  <c r="L5376" i="16"/>
  <c r="K5376" i="16"/>
  <c r="H5376" i="16"/>
  <c r="D5376" i="16"/>
  <c r="C5376" i="16"/>
  <c r="B5376" i="16"/>
  <c r="A5376" i="16"/>
  <c r="M5376" i="16" s="1"/>
  <c r="P5375" i="16"/>
  <c r="L5375" i="16"/>
  <c r="H5375" i="16"/>
  <c r="F5375" i="16"/>
  <c r="E5375" i="16"/>
  <c r="D5375" i="16"/>
  <c r="C5375" i="16"/>
  <c r="B5375" i="16"/>
  <c r="A5375" i="16"/>
  <c r="T5375" i="16" s="1"/>
  <c r="D5374" i="16"/>
  <c r="C5374" i="16"/>
  <c r="B5374" i="16"/>
  <c r="A5374" i="16"/>
  <c r="D5373" i="16"/>
  <c r="C5373" i="16"/>
  <c r="B5373" i="16"/>
  <c r="A5373" i="16"/>
  <c r="N5373" i="16" s="1"/>
  <c r="D5372" i="16"/>
  <c r="C5372" i="16"/>
  <c r="B5372" i="16"/>
  <c r="A5372" i="16"/>
  <c r="E5371" i="16"/>
  <c r="D5371" i="16"/>
  <c r="C5371" i="16"/>
  <c r="B5371" i="16"/>
  <c r="A5371" i="16"/>
  <c r="D5370" i="16"/>
  <c r="C5370" i="16"/>
  <c r="B5370" i="16"/>
  <c r="A5370" i="16"/>
  <c r="H5369" i="16"/>
  <c r="D5369" i="16"/>
  <c r="C5369" i="16"/>
  <c r="B5369" i="16"/>
  <c r="A5369" i="16"/>
  <c r="P5368" i="16"/>
  <c r="H5368" i="16"/>
  <c r="G5368" i="16"/>
  <c r="F5368" i="16"/>
  <c r="D5368" i="16"/>
  <c r="C5368" i="16"/>
  <c r="B5368" i="16"/>
  <c r="A5368" i="16"/>
  <c r="K5368" i="16" s="1"/>
  <c r="P5367" i="16"/>
  <c r="O5367" i="16"/>
  <c r="N5367" i="16"/>
  <c r="F5367" i="16"/>
  <c r="E5367" i="16"/>
  <c r="D5367" i="16"/>
  <c r="C5367" i="16"/>
  <c r="B5367" i="16"/>
  <c r="A5367" i="16"/>
  <c r="T5367" i="16" s="1"/>
  <c r="D5366" i="16"/>
  <c r="C5366" i="16"/>
  <c r="B5366" i="16"/>
  <c r="A5366" i="16"/>
  <c r="D5365" i="16"/>
  <c r="C5365" i="16"/>
  <c r="B5365" i="16"/>
  <c r="A5365" i="16"/>
  <c r="T5364" i="16"/>
  <c r="P5364" i="16"/>
  <c r="I5364" i="16"/>
  <c r="H5364" i="16"/>
  <c r="G5364" i="16"/>
  <c r="D5364" i="16"/>
  <c r="C5364" i="16"/>
  <c r="B5364" i="16"/>
  <c r="A5364" i="16"/>
  <c r="O5364" i="16" s="1"/>
  <c r="P5363" i="16"/>
  <c r="M5363" i="16"/>
  <c r="D5363" i="16"/>
  <c r="C5363" i="16"/>
  <c r="B5363" i="16"/>
  <c r="A5363" i="16"/>
  <c r="T5363" i="16" s="1"/>
  <c r="D5362" i="16"/>
  <c r="C5362" i="16"/>
  <c r="B5362" i="16"/>
  <c r="A5362" i="16"/>
  <c r="H5361" i="16"/>
  <c r="D5361" i="16"/>
  <c r="C5361" i="16"/>
  <c r="B5361" i="16"/>
  <c r="A5361" i="16"/>
  <c r="K5360" i="16"/>
  <c r="D5360" i="16"/>
  <c r="C5360" i="16"/>
  <c r="B5360" i="16"/>
  <c r="A5360" i="16"/>
  <c r="D5359" i="16"/>
  <c r="C5359" i="16"/>
  <c r="B5359" i="16"/>
  <c r="A5359" i="16"/>
  <c r="E5358" i="16"/>
  <c r="D5358" i="16"/>
  <c r="C5358" i="16"/>
  <c r="B5358" i="16"/>
  <c r="A5358" i="16"/>
  <c r="D5357" i="16"/>
  <c r="C5357" i="16"/>
  <c r="B5357" i="16"/>
  <c r="A5357" i="16"/>
  <c r="T5356" i="16"/>
  <c r="J5356" i="16"/>
  <c r="I5356" i="16"/>
  <c r="H5356" i="16"/>
  <c r="G5356" i="16"/>
  <c r="D5356" i="16"/>
  <c r="C5356" i="16"/>
  <c r="B5356" i="16"/>
  <c r="A5356" i="16"/>
  <c r="P5356" i="16" s="1"/>
  <c r="D5355" i="16"/>
  <c r="C5355" i="16"/>
  <c r="B5355" i="16"/>
  <c r="A5355" i="16"/>
  <c r="D5354" i="16"/>
  <c r="C5354" i="16"/>
  <c r="B5354" i="16"/>
  <c r="A5354" i="16"/>
  <c r="P5353" i="16"/>
  <c r="O5353" i="16"/>
  <c r="N5353" i="16"/>
  <c r="M5353" i="16"/>
  <c r="H5353" i="16"/>
  <c r="G5353" i="16"/>
  <c r="F5353" i="16"/>
  <c r="E5353" i="16"/>
  <c r="D5353" i="16"/>
  <c r="C5353" i="16"/>
  <c r="B5353" i="16"/>
  <c r="A5353" i="16"/>
  <c r="T5353" i="16" s="1"/>
  <c r="P5352" i="16"/>
  <c r="O5352" i="16"/>
  <c r="N5352" i="16"/>
  <c r="M5352" i="16"/>
  <c r="L5352" i="16"/>
  <c r="F5352" i="16"/>
  <c r="E5352" i="16"/>
  <c r="D5352" i="16"/>
  <c r="C5352" i="16"/>
  <c r="B5352" i="16"/>
  <c r="A5352" i="16"/>
  <c r="J5352" i="16" s="1"/>
  <c r="D5351" i="16"/>
  <c r="C5351" i="16"/>
  <c r="B5351" i="16"/>
  <c r="A5351" i="16"/>
  <c r="N5350" i="16"/>
  <c r="D5350" i="16"/>
  <c r="C5350" i="16"/>
  <c r="B5350" i="16"/>
  <c r="A5350" i="16"/>
  <c r="K5349" i="16"/>
  <c r="D5349" i="16"/>
  <c r="C5349" i="16"/>
  <c r="B5349" i="16"/>
  <c r="A5349" i="16"/>
  <c r="D5348" i="16"/>
  <c r="C5348" i="16"/>
  <c r="B5348" i="16"/>
  <c r="A5348" i="16"/>
  <c r="T5347" i="16"/>
  <c r="L5347" i="16"/>
  <c r="D5347" i="16"/>
  <c r="C5347" i="16"/>
  <c r="B5347" i="16"/>
  <c r="A5347" i="16"/>
  <c r="D5346" i="16"/>
  <c r="C5346" i="16"/>
  <c r="B5346" i="16"/>
  <c r="A5346" i="16"/>
  <c r="L5345" i="16"/>
  <c r="H5345" i="16"/>
  <c r="G5345" i="16"/>
  <c r="D5345" i="16"/>
  <c r="C5345" i="16"/>
  <c r="B5345" i="16"/>
  <c r="A5345" i="16"/>
  <c r="P5345" i="16" s="1"/>
  <c r="H5344" i="16"/>
  <c r="G5344" i="16"/>
  <c r="F5344" i="16"/>
  <c r="E5344" i="16"/>
  <c r="D5344" i="16"/>
  <c r="C5344" i="16"/>
  <c r="B5344" i="16"/>
  <c r="A5344" i="16"/>
  <c r="O5343" i="16"/>
  <c r="N5343" i="16"/>
  <c r="M5343" i="16"/>
  <c r="E5343" i="16"/>
  <c r="D5343" i="16"/>
  <c r="C5343" i="16"/>
  <c r="B5343" i="16"/>
  <c r="A5343" i="16"/>
  <c r="D5342" i="16"/>
  <c r="C5342" i="16"/>
  <c r="B5342" i="16"/>
  <c r="A5342" i="16"/>
  <c r="D5341" i="16"/>
  <c r="C5341" i="16"/>
  <c r="B5341" i="16"/>
  <c r="A5341" i="16"/>
  <c r="T5340" i="16"/>
  <c r="J5340" i="16"/>
  <c r="I5340" i="16"/>
  <c r="H5340" i="16"/>
  <c r="G5340" i="16"/>
  <c r="D5340" i="16"/>
  <c r="C5340" i="16"/>
  <c r="B5340" i="16"/>
  <c r="A5340" i="16"/>
  <c r="P5340" i="16" s="1"/>
  <c r="D5339" i="16"/>
  <c r="C5339" i="16"/>
  <c r="B5339" i="16"/>
  <c r="A5339" i="16"/>
  <c r="D5338" i="16"/>
  <c r="C5338" i="16"/>
  <c r="B5338" i="16"/>
  <c r="A5338" i="16"/>
  <c r="D5337" i="16"/>
  <c r="C5337" i="16"/>
  <c r="B5337" i="16"/>
  <c r="A5337" i="16"/>
  <c r="P5336" i="16"/>
  <c r="O5336" i="16"/>
  <c r="N5336" i="16"/>
  <c r="M5336" i="16"/>
  <c r="G5336" i="16"/>
  <c r="F5336" i="16"/>
  <c r="E5336" i="16"/>
  <c r="D5336" i="16"/>
  <c r="C5336" i="16"/>
  <c r="B5336" i="16"/>
  <c r="A5336" i="16"/>
  <c r="J5336" i="16" s="1"/>
  <c r="O5335" i="16"/>
  <c r="N5335" i="16"/>
  <c r="H5335" i="16"/>
  <c r="D5335" i="16"/>
  <c r="C5335" i="16"/>
  <c r="B5335" i="16"/>
  <c r="A5335" i="16"/>
  <c r="D5334" i="16"/>
  <c r="C5334" i="16"/>
  <c r="B5334" i="16"/>
  <c r="A5334" i="16"/>
  <c r="D5333" i="16"/>
  <c r="C5333" i="16"/>
  <c r="B5333" i="16"/>
  <c r="A5333" i="16"/>
  <c r="T5332" i="16"/>
  <c r="P5332" i="16"/>
  <c r="J5332" i="16"/>
  <c r="I5332" i="16"/>
  <c r="H5332" i="16"/>
  <c r="G5332" i="16"/>
  <c r="D5332" i="16"/>
  <c r="C5332" i="16"/>
  <c r="B5332" i="16"/>
  <c r="A5332" i="16"/>
  <c r="O5332" i="16" s="1"/>
  <c r="M5331" i="16"/>
  <c r="L5331" i="16"/>
  <c r="K5331" i="16"/>
  <c r="E5331" i="16"/>
  <c r="D5331" i="16"/>
  <c r="C5331" i="16"/>
  <c r="B5331" i="16"/>
  <c r="A5331" i="16"/>
  <c r="D5330" i="16"/>
  <c r="C5330" i="16"/>
  <c r="B5330" i="16"/>
  <c r="A5330" i="16"/>
  <c r="P5329" i="16"/>
  <c r="F5329" i="16"/>
  <c r="D5329" i="16"/>
  <c r="C5329" i="16"/>
  <c r="B5329" i="16"/>
  <c r="A5329" i="16"/>
  <c r="P5328" i="16"/>
  <c r="O5328" i="16"/>
  <c r="N5328" i="16"/>
  <c r="H5328" i="16"/>
  <c r="G5328" i="16"/>
  <c r="F5328" i="16"/>
  <c r="E5328" i="16"/>
  <c r="D5328" i="16"/>
  <c r="C5328" i="16"/>
  <c r="B5328" i="16"/>
  <c r="A5328" i="16"/>
  <c r="J5328" i="16" s="1"/>
  <c r="D5327" i="16"/>
  <c r="C5327" i="16"/>
  <c r="B5327" i="16"/>
  <c r="A5327" i="16"/>
  <c r="O5326" i="16"/>
  <c r="D5326" i="16"/>
  <c r="C5326" i="16"/>
  <c r="B5326" i="16"/>
  <c r="A5326" i="16"/>
  <c r="N5326" i="16" s="1"/>
  <c r="N5325" i="16"/>
  <c r="H5325" i="16"/>
  <c r="D5325" i="16"/>
  <c r="C5325" i="16"/>
  <c r="B5325" i="16"/>
  <c r="A5325" i="16"/>
  <c r="D5324" i="16"/>
  <c r="C5324" i="16"/>
  <c r="B5324" i="16"/>
  <c r="A5324" i="16"/>
  <c r="D5323" i="16"/>
  <c r="C5323" i="16"/>
  <c r="B5323" i="16"/>
  <c r="A5323" i="16"/>
  <c r="T5323" i="16" s="1"/>
  <c r="K5322" i="16"/>
  <c r="D5322" i="16"/>
  <c r="C5322" i="16"/>
  <c r="B5322" i="16"/>
  <c r="A5322" i="16"/>
  <c r="L5322" i="16" s="1"/>
  <c r="N5321" i="16"/>
  <c r="K5321" i="16"/>
  <c r="J5321" i="16"/>
  <c r="E5321" i="16"/>
  <c r="D5321" i="16"/>
  <c r="C5321" i="16"/>
  <c r="B5321" i="16"/>
  <c r="A5321" i="16"/>
  <c r="L5321" i="16" s="1"/>
  <c r="L5320" i="16"/>
  <c r="K5320" i="16"/>
  <c r="H5320" i="16"/>
  <c r="D5320" i="16"/>
  <c r="C5320" i="16"/>
  <c r="B5320" i="16"/>
  <c r="A5320" i="16"/>
  <c r="M5320" i="16" s="1"/>
  <c r="P5319" i="16"/>
  <c r="O5319" i="16"/>
  <c r="L5319" i="16"/>
  <c r="H5319" i="16"/>
  <c r="F5319" i="16"/>
  <c r="E5319" i="16"/>
  <c r="D5319" i="16"/>
  <c r="C5319" i="16"/>
  <c r="B5319" i="16"/>
  <c r="A5319" i="16"/>
  <c r="T5319" i="16" s="1"/>
  <c r="M5318" i="16"/>
  <c r="J5318" i="16"/>
  <c r="I5318" i="16"/>
  <c r="E5318" i="16"/>
  <c r="D5318" i="16"/>
  <c r="C5318" i="16"/>
  <c r="B5318" i="16"/>
  <c r="A5318" i="16"/>
  <c r="O5318" i="16" s="1"/>
  <c r="K5317" i="16"/>
  <c r="J5317" i="16"/>
  <c r="I5317" i="16"/>
  <c r="H5317" i="16"/>
  <c r="D5317" i="16"/>
  <c r="C5317" i="16"/>
  <c r="B5317" i="16"/>
  <c r="A5317" i="16"/>
  <c r="T5316" i="16"/>
  <c r="L5316" i="16"/>
  <c r="J5316" i="16"/>
  <c r="D5316" i="16"/>
  <c r="C5316" i="16"/>
  <c r="B5316" i="16"/>
  <c r="A5316" i="16"/>
  <c r="D5315" i="16"/>
  <c r="C5315" i="16"/>
  <c r="B5315" i="16"/>
  <c r="A5315" i="16"/>
  <c r="D5314" i="16"/>
  <c r="C5314" i="16"/>
  <c r="B5314" i="16"/>
  <c r="A5314" i="16"/>
  <c r="D5313" i="16"/>
  <c r="C5313" i="16"/>
  <c r="B5313" i="16"/>
  <c r="A5313" i="16"/>
  <c r="P5312" i="16"/>
  <c r="O5312" i="16"/>
  <c r="N5312" i="16"/>
  <c r="H5312" i="16"/>
  <c r="G5312" i="16"/>
  <c r="F5312" i="16"/>
  <c r="E5312" i="16"/>
  <c r="D5312" i="16"/>
  <c r="C5312" i="16"/>
  <c r="B5312" i="16"/>
  <c r="A5312" i="16"/>
  <c r="J5312" i="16" s="1"/>
  <c r="O5311" i="16"/>
  <c r="N5311" i="16"/>
  <c r="M5311" i="16"/>
  <c r="L5311" i="16"/>
  <c r="D5311" i="16"/>
  <c r="C5311" i="16"/>
  <c r="B5311" i="16"/>
  <c r="A5311" i="16"/>
  <c r="D5310" i="16"/>
  <c r="C5310" i="16"/>
  <c r="B5310" i="16"/>
  <c r="A5310" i="16"/>
  <c r="N5309" i="16"/>
  <c r="D5309" i="16"/>
  <c r="C5309" i="16"/>
  <c r="B5309" i="16"/>
  <c r="A5309" i="16"/>
  <c r="T5308" i="16"/>
  <c r="P5308" i="16"/>
  <c r="J5308" i="16"/>
  <c r="I5308" i="16"/>
  <c r="H5308" i="16"/>
  <c r="G5308" i="16"/>
  <c r="D5308" i="16"/>
  <c r="C5308" i="16"/>
  <c r="B5308" i="16"/>
  <c r="A5308" i="16"/>
  <c r="O5308" i="16" s="1"/>
  <c r="M5307" i="16"/>
  <c r="D5307" i="16"/>
  <c r="C5307" i="16"/>
  <c r="B5307" i="16"/>
  <c r="A5307" i="16"/>
  <c r="P5307" i="16" s="1"/>
  <c r="D5306" i="16"/>
  <c r="C5306" i="16"/>
  <c r="B5306" i="16"/>
  <c r="A5306" i="16"/>
  <c r="P5305" i="16"/>
  <c r="O5305" i="16"/>
  <c r="N5305" i="16"/>
  <c r="M5305" i="16"/>
  <c r="H5305" i="16"/>
  <c r="G5305" i="16"/>
  <c r="F5305" i="16"/>
  <c r="E5305" i="16"/>
  <c r="D5305" i="16"/>
  <c r="C5305" i="16"/>
  <c r="B5305" i="16"/>
  <c r="A5305" i="16"/>
  <c r="T5305" i="16" s="1"/>
  <c r="P5304" i="16"/>
  <c r="O5304" i="16"/>
  <c r="N5304" i="16"/>
  <c r="M5304" i="16"/>
  <c r="L5304" i="16"/>
  <c r="G5304" i="16"/>
  <c r="F5304" i="16"/>
  <c r="E5304" i="16"/>
  <c r="D5304" i="16"/>
  <c r="C5304" i="16"/>
  <c r="B5304" i="16"/>
  <c r="A5304" i="16"/>
  <c r="J5304" i="16" s="1"/>
  <c r="N5303" i="16"/>
  <c r="H5303" i="16"/>
  <c r="F5303" i="16"/>
  <c r="D5303" i="16"/>
  <c r="C5303" i="16"/>
  <c r="B5303" i="16"/>
  <c r="A5303" i="16"/>
  <c r="D5302" i="16"/>
  <c r="C5302" i="16"/>
  <c r="B5302" i="16"/>
  <c r="A5302" i="16"/>
  <c r="D5301" i="16"/>
  <c r="C5301" i="16"/>
  <c r="B5301" i="16"/>
  <c r="A5301" i="16"/>
  <c r="T5300" i="16"/>
  <c r="J5300" i="16"/>
  <c r="I5300" i="16"/>
  <c r="H5300" i="16"/>
  <c r="G5300" i="16"/>
  <c r="D5300" i="16"/>
  <c r="C5300" i="16"/>
  <c r="B5300" i="16"/>
  <c r="A5300" i="16"/>
  <c r="P5300" i="16" s="1"/>
  <c r="D5299" i="16"/>
  <c r="C5299" i="16"/>
  <c r="B5299" i="16"/>
  <c r="A5299" i="16"/>
  <c r="M5299" i="16" s="1"/>
  <c r="D5298" i="16"/>
  <c r="C5298" i="16"/>
  <c r="B5298" i="16"/>
  <c r="A5298" i="16"/>
  <c r="P5297" i="16"/>
  <c r="O5297" i="16"/>
  <c r="N5297" i="16"/>
  <c r="M5297" i="16"/>
  <c r="H5297" i="16"/>
  <c r="G5297" i="16"/>
  <c r="F5297" i="16"/>
  <c r="E5297" i="16"/>
  <c r="D5297" i="16"/>
  <c r="C5297" i="16"/>
  <c r="B5297" i="16"/>
  <c r="A5297" i="16"/>
  <c r="T5297" i="16" s="1"/>
  <c r="P5296" i="16"/>
  <c r="O5296" i="16"/>
  <c r="N5296" i="16"/>
  <c r="M5296" i="16"/>
  <c r="L5296" i="16"/>
  <c r="G5296" i="16"/>
  <c r="F5296" i="16"/>
  <c r="E5296" i="16"/>
  <c r="D5296" i="16"/>
  <c r="C5296" i="16"/>
  <c r="B5296" i="16"/>
  <c r="A5296" i="16"/>
  <c r="J5296" i="16" s="1"/>
  <c r="N5295" i="16"/>
  <c r="M5295" i="16"/>
  <c r="L5295" i="16"/>
  <c r="D5295" i="16"/>
  <c r="C5295" i="16"/>
  <c r="B5295" i="16"/>
  <c r="A5295" i="16"/>
  <c r="M5294" i="16"/>
  <c r="J5294" i="16"/>
  <c r="I5294" i="16"/>
  <c r="D5294" i="16"/>
  <c r="C5294" i="16"/>
  <c r="B5294" i="16"/>
  <c r="A5294" i="16"/>
  <c r="E5294" i="16" s="1"/>
  <c r="D5293" i="16"/>
  <c r="C5293" i="16"/>
  <c r="B5293" i="16"/>
  <c r="A5293" i="16"/>
  <c r="H5292" i="16"/>
  <c r="D5292" i="16"/>
  <c r="C5292" i="16"/>
  <c r="B5292" i="16"/>
  <c r="A5292" i="16"/>
  <c r="D5291" i="16"/>
  <c r="C5291" i="16"/>
  <c r="B5291" i="16"/>
  <c r="A5291" i="16"/>
  <c r="K5290" i="16"/>
  <c r="J5290" i="16"/>
  <c r="D5290" i="16"/>
  <c r="C5290" i="16"/>
  <c r="B5290" i="16"/>
  <c r="A5290" i="16"/>
  <c r="P5289" i="16"/>
  <c r="F5289" i="16"/>
  <c r="D5289" i="16"/>
  <c r="C5289" i="16"/>
  <c r="B5289" i="16"/>
  <c r="A5289" i="16"/>
  <c r="P5288" i="16"/>
  <c r="O5288" i="16"/>
  <c r="N5288" i="16"/>
  <c r="H5288" i="16"/>
  <c r="G5288" i="16"/>
  <c r="F5288" i="16"/>
  <c r="E5288" i="16"/>
  <c r="D5288" i="16"/>
  <c r="C5288" i="16"/>
  <c r="B5288" i="16"/>
  <c r="A5288" i="16"/>
  <c r="J5288" i="16" s="1"/>
  <c r="P5287" i="16"/>
  <c r="D5287" i="16"/>
  <c r="C5287" i="16"/>
  <c r="B5287" i="16"/>
  <c r="A5287" i="16"/>
  <c r="D5286" i="16"/>
  <c r="C5286" i="16"/>
  <c r="B5286" i="16"/>
  <c r="A5286" i="16"/>
  <c r="N5285" i="16"/>
  <c r="D5285" i="16"/>
  <c r="C5285" i="16"/>
  <c r="B5285" i="16"/>
  <c r="A5285" i="16"/>
  <c r="P5284" i="16"/>
  <c r="O5284" i="16"/>
  <c r="L5284" i="16"/>
  <c r="D5284" i="16"/>
  <c r="C5284" i="16"/>
  <c r="B5284" i="16"/>
  <c r="A5284" i="16"/>
  <c r="D5283" i="16"/>
  <c r="C5283" i="16"/>
  <c r="B5283" i="16"/>
  <c r="A5283" i="16"/>
  <c r="J5282" i="16"/>
  <c r="D5282" i="16"/>
  <c r="C5282" i="16"/>
  <c r="B5282" i="16"/>
  <c r="A5282" i="16"/>
  <c r="P5281" i="16"/>
  <c r="O5281" i="16"/>
  <c r="N5281" i="16"/>
  <c r="M5281" i="16"/>
  <c r="L5281" i="16"/>
  <c r="H5281" i="16"/>
  <c r="G5281" i="16"/>
  <c r="F5281" i="16"/>
  <c r="E5281" i="16"/>
  <c r="D5281" i="16"/>
  <c r="C5281" i="16"/>
  <c r="B5281" i="16"/>
  <c r="A5281" i="16"/>
  <c r="T5281" i="16" s="1"/>
  <c r="N5280" i="16"/>
  <c r="K5280" i="16"/>
  <c r="E5280" i="16"/>
  <c r="D5280" i="16"/>
  <c r="C5280" i="16"/>
  <c r="B5280" i="16"/>
  <c r="A5280" i="16"/>
  <c r="O5280" i="16" s="1"/>
  <c r="H5279" i="16"/>
  <c r="F5279" i="16"/>
  <c r="E5279" i="16"/>
  <c r="D5279" i="16"/>
  <c r="C5279" i="16"/>
  <c r="B5279" i="16"/>
  <c r="A5279" i="16"/>
  <c r="L5279" i="16" s="1"/>
  <c r="O5278" i="16"/>
  <c r="I5278" i="16"/>
  <c r="E5278" i="16"/>
  <c r="D5278" i="16"/>
  <c r="C5278" i="16"/>
  <c r="B5278" i="16"/>
  <c r="A5278" i="16"/>
  <c r="M5278" i="16" s="1"/>
  <c r="K5277" i="16"/>
  <c r="J5277" i="16"/>
  <c r="I5277" i="16"/>
  <c r="H5277" i="16"/>
  <c r="D5277" i="16"/>
  <c r="C5277" i="16"/>
  <c r="B5277" i="16"/>
  <c r="A5277" i="16"/>
  <c r="O5276" i="16"/>
  <c r="L5276" i="16"/>
  <c r="J5276" i="16"/>
  <c r="D5276" i="16"/>
  <c r="C5276" i="16"/>
  <c r="B5276" i="16"/>
  <c r="A5276" i="16"/>
  <c r="P5276" i="16" s="1"/>
  <c r="D5275" i="16"/>
  <c r="C5275" i="16"/>
  <c r="B5275" i="16"/>
  <c r="A5275" i="16"/>
  <c r="F5274" i="16"/>
  <c r="D5274" i="16"/>
  <c r="C5274" i="16"/>
  <c r="B5274" i="16"/>
  <c r="A5274" i="16"/>
  <c r="P5273" i="16"/>
  <c r="O5273" i="16"/>
  <c r="N5273" i="16"/>
  <c r="M5273" i="16"/>
  <c r="H5273" i="16"/>
  <c r="G5273" i="16"/>
  <c r="F5273" i="16"/>
  <c r="E5273" i="16"/>
  <c r="D5273" i="16"/>
  <c r="C5273" i="16"/>
  <c r="B5273" i="16"/>
  <c r="A5273" i="16"/>
  <c r="T5273" i="16" s="1"/>
  <c r="P5272" i="16"/>
  <c r="O5272" i="16"/>
  <c r="N5272" i="16"/>
  <c r="M5272" i="16"/>
  <c r="L5272" i="16"/>
  <c r="G5272" i="16"/>
  <c r="F5272" i="16"/>
  <c r="E5272" i="16"/>
  <c r="D5272" i="16"/>
  <c r="C5272" i="16"/>
  <c r="B5272" i="16"/>
  <c r="A5272" i="16"/>
  <c r="J5272" i="16" s="1"/>
  <c r="D5271" i="16"/>
  <c r="C5271" i="16"/>
  <c r="B5271" i="16"/>
  <c r="A5271" i="16"/>
  <c r="D5270" i="16"/>
  <c r="C5270" i="16"/>
  <c r="B5270" i="16"/>
  <c r="A5270" i="16"/>
  <c r="D5269" i="16"/>
  <c r="C5269" i="16"/>
  <c r="B5269" i="16"/>
  <c r="A5269" i="16"/>
  <c r="T5268" i="16"/>
  <c r="P5268" i="16"/>
  <c r="O5268" i="16"/>
  <c r="I5268" i="16"/>
  <c r="H5268" i="16"/>
  <c r="G5268" i="16"/>
  <c r="D5268" i="16"/>
  <c r="C5268" i="16"/>
  <c r="B5268" i="16"/>
  <c r="A5268" i="16"/>
  <c r="L5268" i="16" s="1"/>
  <c r="L5267" i="16"/>
  <c r="K5267" i="16"/>
  <c r="E5267" i="16"/>
  <c r="D5267" i="16"/>
  <c r="C5267" i="16"/>
  <c r="B5267" i="16"/>
  <c r="A5267" i="16"/>
  <c r="M5267" i="16" s="1"/>
  <c r="D5266" i="16"/>
  <c r="C5266" i="16"/>
  <c r="B5266" i="16"/>
  <c r="A5266" i="16"/>
  <c r="D5265" i="16"/>
  <c r="C5265" i="16"/>
  <c r="B5265" i="16"/>
  <c r="A5265" i="16"/>
  <c r="P5264" i="16"/>
  <c r="O5264" i="16"/>
  <c r="N5264" i="16"/>
  <c r="M5264" i="16"/>
  <c r="H5264" i="16"/>
  <c r="G5264" i="16"/>
  <c r="F5264" i="16"/>
  <c r="E5264" i="16"/>
  <c r="D5264" i="16"/>
  <c r="C5264" i="16"/>
  <c r="B5264" i="16"/>
  <c r="A5264" i="16"/>
  <c r="J5264" i="16" s="1"/>
  <c r="N5263" i="16"/>
  <c r="M5263" i="16"/>
  <c r="L5263" i="16"/>
  <c r="H5263" i="16"/>
  <c r="D5263" i="16"/>
  <c r="C5263" i="16"/>
  <c r="B5263" i="16"/>
  <c r="A5263" i="16"/>
  <c r="D5262" i="16"/>
  <c r="C5262" i="16"/>
  <c r="B5262" i="16"/>
  <c r="A5262" i="16"/>
  <c r="D5261" i="16"/>
  <c r="C5261" i="16"/>
  <c r="B5261" i="16"/>
  <c r="A5261" i="16"/>
  <c r="T5260" i="16"/>
  <c r="P5260" i="16"/>
  <c r="J5260" i="16"/>
  <c r="I5260" i="16"/>
  <c r="H5260" i="16"/>
  <c r="G5260" i="16"/>
  <c r="D5260" i="16"/>
  <c r="C5260" i="16"/>
  <c r="B5260" i="16"/>
  <c r="A5260" i="16"/>
  <c r="O5260" i="16" s="1"/>
  <c r="T5259" i="16"/>
  <c r="P5259" i="16"/>
  <c r="M5259" i="16"/>
  <c r="L5259" i="16"/>
  <c r="D5259" i="16"/>
  <c r="C5259" i="16"/>
  <c r="B5259" i="16"/>
  <c r="A5259" i="16"/>
  <c r="D5258" i="16"/>
  <c r="C5258" i="16"/>
  <c r="B5258" i="16"/>
  <c r="A5258" i="16"/>
  <c r="P5257" i="16"/>
  <c r="J5257" i="16"/>
  <c r="H5257" i="16"/>
  <c r="G5257" i="16"/>
  <c r="F5257" i="16"/>
  <c r="D5257" i="16"/>
  <c r="C5257" i="16"/>
  <c r="B5257" i="16"/>
  <c r="A5257" i="16"/>
  <c r="P5256" i="16"/>
  <c r="O5256" i="16"/>
  <c r="N5256" i="16"/>
  <c r="H5256" i="16"/>
  <c r="G5256" i="16"/>
  <c r="F5256" i="16"/>
  <c r="E5256" i="16"/>
  <c r="D5256" i="16"/>
  <c r="C5256" i="16"/>
  <c r="B5256" i="16"/>
  <c r="A5256" i="16"/>
  <c r="J5256" i="16" s="1"/>
  <c r="P5255" i="16"/>
  <c r="O5255" i="16"/>
  <c r="N5255" i="16"/>
  <c r="D5255" i="16"/>
  <c r="C5255" i="16"/>
  <c r="B5255" i="16"/>
  <c r="A5255" i="16"/>
  <c r="D5254" i="16"/>
  <c r="C5254" i="16"/>
  <c r="B5254" i="16"/>
  <c r="A5254" i="16"/>
  <c r="H5253" i="16"/>
  <c r="D5253" i="16"/>
  <c r="C5253" i="16"/>
  <c r="B5253" i="16"/>
  <c r="A5253" i="16"/>
  <c r="J5252" i="16"/>
  <c r="I5252" i="16"/>
  <c r="H5252" i="16"/>
  <c r="G5252" i="16"/>
  <c r="D5252" i="16"/>
  <c r="C5252" i="16"/>
  <c r="B5252" i="16"/>
  <c r="A5252" i="16"/>
  <c r="T5251" i="16"/>
  <c r="K5251" i="16"/>
  <c r="E5251" i="16"/>
  <c r="D5251" i="16"/>
  <c r="C5251" i="16"/>
  <c r="B5251" i="16"/>
  <c r="A5251" i="16"/>
  <c r="M5251" i="16" s="1"/>
  <c r="K5250" i="16"/>
  <c r="J5250" i="16"/>
  <c r="I5250" i="16"/>
  <c r="F5250" i="16"/>
  <c r="D5250" i="16"/>
  <c r="C5250" i="16"/>
  <c r="B5250" i="16"/>
  <c r="A5250" i="16"/>
  <c r="P5249" i="16"/>
  <c r="O5249" i="16"/>
  <c r="N5249" i="16"/>
  <c r="M5249" i="16"/>
  <c r="L5249" i="16"/>
  <c r="H5249" i="16"/>
  <c r="G5249" i="16"/>
  <c r="F5249" i="16"/>
  <c r="E5249" i="16"/>
  <c r="D5249" i="16"/>
  <c r="C5249" i="16"/>
  <c r="B5249" i="16"/>
  <c r="A5249" i="16"/>
  <c r="T5249" i="16" s="1"/>
  <c r="N5248" i="16"/>
  <c r="K5248" i="16"/>
  <c r="E5248" i="16"/>
  <c r="D5248" i="16"/>
  <c r="C5248" i="16"/>
  <c r="B5248" i="16"/>
  <c r="A5248" i="16"/>
  <c r="O5248" i="16" s="1"/>
  <c r="L5247" i="16"/>
  <c r="H5247" i="16"/>
  <c r="F5247" i="16"/>
  <c r="E5247" i="16"/>
  <c r="D5247" i="16"/>
  <c r="C5247" i="16"/>
  <c r="B5247" i="16"/>
  <c r="A5247" i="16"/>
  <c r="O5246" i="16"/>
  <c r="N5246" i="16"/>
  <c r="D5246" i="16"/>
  <c r="C5246" i="16"/>
  <c r="B5246" i="16"/>
  <c r="A5246" i="16"/>
  <c r="D5245" i="16"/>
  <c r="C5245" i="16"/>
  <c r="B5245" i="16"/>
  <c r="A5245" i="16"/>
  <c r="N5245" i="16" s="1"/>
  <c r="T5244" i="16"/>
  <c r="J5244" i="16"/>
  <c r="I5244" i="16"/>
  <c r="H5244" i="16"/>
  <c r="G5244" i="16"/>
  <c r="D5244" i="16"/>
  <c r="C5244" i="16"/>
  <c r="B5244" i="16"/>
  <c r="A5244" i="16"/>
  <c r="P5244" i="16" s="1"/>
  <c r="M5243" i="16"/>
  <c r="L5243" i="16"/>
  <c r="K5243" i="16"/>
  <c r="E5243" i="16"/>
  <c r="D5243" i="16"/>
  <c r="C5243" i="16"/>
  <c r="B5243" i="16"/>
  <c r="A5243" i="16"/>
  <c r="L5242" i="16"/>
  <c r="K5242" i="16"/>
  <c r="J5242" i="16"/>
  <c r="I5242" i="16"/>
  <c r="D5242" i="16"/>
  <c r="C5242" i="16"/>
  <c r="B5242" i="16"/>
  <c r="A5242" i="16"/>
  <c r="P5241" i="16"/>
  <c r="O5241" i="16"/>
  <c r="N5241" i="16"/>
  <c r="M5241" i="16"/>
  <c r="L5241" i="16"/>
  <c r="K5241" i="16"/>
  <c r="H5241" i="16"/>
  <c r="G5241" i="16"/>
  <c r="F5241" i="16"/>
  <c r="E5241" i="16"/>
  <c r="D5241" i="16"/>
  <c r="C5241" i="16"/>
  <c r="B5241" i="16"/>
  <c r="A5241" i="16"/>
  <c r="T5241" i="16" s="1"/>
  <c r="D5240" i="16"/>
  <c r="C5240" i="16"/>
  <c r="B5240" i="16"/>
  <c r="A5240" i="16"/>
  <c r="P5239" i="16"/>
  <c r="M5239" i="16"/>
  <c r="L5239" i="16"/>
  <c r="F5239" i="16"/>
  <c r="E5239" i="16"/>
  <c r="D5239" i="16"/>
  <c r="C5239" i="16"/>
  <c r="B5239" i="16"/>
  <c r="A5239" i="16"/>
  <c r="H5239" i="16" s="1"/>
  <c r="O5238" i="16"/>
  <c r="N5238" i="16"/>
  <c r="M5238" i="16"/>
  <c r="D5238" i="16"/>
  <c r="C5238" i="16"/>
  <c r="B5238" i="16"/>
  <c r="A5238" i="16"/>
  <c r="D5237" i="16"/>
  <c r="C5237" i="16"/>
  <c r="B5237" i="16"/>
  <c r="A5237" i="16"/>
  <c r="H5237" i="16" s="1"/>
  <c r="T5236" i="16"/>
  <c r="P5236" i="16"/>
  <c r="J5236" i="16"/>
  <c r="I5236" i="16"/>
  <c r="H5236" i="16"/>
  <c r="G5236" i="16"/>
  <c r="D5236" i="16"/>
  <c r="C5236" i="16"/>
  <c r="B5236" i="16"/>
  <c r="A5236" i="16"/>
  <c r="O5236" i="16" s="1"/>
  <c r="T5235" i="16"/>
  <c r="P5235" i="16"/>
  <c r="D5235" i="16"/>
  <c r="C5235" i="16"/>
  <c r="B5235" i="16"/>
  <c r="A5235" i="16"/>
  <c r="D5234" i="16"/>
  <c r="C5234" i="16"/>
  <c r="B5234" i="16"/>
  <c r="A5234" i="16"/>
  <c r="K5233" i="16"/>
  <c r="J5233" i="16"/>
  <c r="D5233" i="16"/>
  <c r="C5233" i="16"/>
  <c r="B5233" i="16"/>
  <c r="A5233" i="16"/>
  <c r="P5232" i="16"/>
  <c r="O5232" i="16"/>
  <c r="H5232" i="16"/>
  <c r="G5232" i="16"/>
  <c r="F5232" i="16"/>
  <c r="E5232" i="16"/>
  <c r="D5232" i="16"/>
  <c r="C5232" i="16"/>
  <c r="B5232" i="16"/>
  <c r="A5232" i="16"/>
  <c r="P5231" i="16"/>
  <c r="O5231" i="16"/>
  <c r="N5231" i="16"/>
  <c r="M5231" i="16"/>
  <c r="D5231" i="16"/>
  <c r="C5231" i="16"/>
  <c r="B5231" i="16"/>
  <c r="A5231" i="16"/>
  <c r="D5230" i="16"/>
  <c r="C5230" i="16"/>
  <c r="B5230" i="16"/>
  <c r="A5230" i="16"/>
  <c r="D5229" i="16"/>
  <c r="C5229" i="16"/>
  <c r="B5229" i="16"/>
  <c r="A5229" i="16"/>
  <c r="T5228" i="16"/>
  <c r="P5228" i="16"/>
  <c r="O5228" i="16"/>
  <c r="I5228" i="16"/>
  <c r="H5228" i="16"/>
  <c r="G5228" i="16"/>
  <c r="D5228" i="16"/>
  <c r="C5228" i="16"/>
  <c r="B5228" i="16"/>
  <c r="A5228" i="16"/>
  <c r="L5228" i="16" s="1"/>
  <c r="D5227" i="16"/>
  <c r="C5227" i="16"/>
  <c r="B5227" i="16"/>
  <c r="A5227" i="16"/>
  <c r="D5226" i="16"/>
  <c r="C5226" i="16"/>
  <c r="B5226" i="16"/>
  <c r="A5226" i="16"/>
  <c r="P5225" i="16"/>
  <c r="J5225" i="16"/>
  <c r="H5225" i="16"/>
  <c r="G5225" i="16"/>
  <c r="F5225" i="16"/>
  <c r="D5225" i="16"/>
  <c r="C5225" i="16"/>
  <c r="B5225" i="16"/>
  <c r="A5225" i="16"/>
  <c r="P5224" i="16"/>
  <c r="O5224" i="16"/>
  <c r="N5224" i="16"/>
  <c r="M5224" i="16"/>
  <c r="L5224" i="16"/>
  <c r="H5224" i="16"/>
  <c r="G5224" i="16"/>
  <c r="F5224" i="16"/>
  <c r="E5224" i="16"/>
  <c r="D5224" i="16"/>
  <c r="C5224" i="16"/>
  <c r="B5224" i="16"/>
  <c r="A5224" i="16"/>
  <c r="J5224" i="16" s="1"/>
  <c r="L5223" i="16"/>
  <c r="D5223" i="16"/>
  <c r="C5223" i="16"/>
  <c r="B5223" i="16"/>
  <c r="A5223" i="16"/>
  <c r="D5222" i="16"/>
  <c r="C5222" i="16"/>
  <c r="B5222" i="16"/>
  <c r="A5222" i="16"/>
  <c r="K5221" i="16"/>
  <c r="J5221" i="16"/>
  <c r="D5221" i="16"/>
  <c r="C5221" i="16"/>
  <c r="B5221" i="16"/>
  <c r="A5221" i="16"/>
  <c r="T5220" i="16"/>
  <c r="P5220" i="16"/>
  <c r="O5220" i="16"/>
  <c r="I5220" i="16"/>
  <c r="H5220" i="16"/>
  <c r="G5220" i="16"/>
  <c r="D5220" i="16"/>
  <c r="C5220" i="16"/>
  <c r="B5220" i="16"/>
  <c r="A5220" i="16"/>
  <c r="L5220" i="16" s="1"/>
  <c r="M5219" i="16"/>
  <c r="L5219" i="16"/>
  <c r="K5219" i="16"/>
  <c r="E5219" i="16"/>
  <c r="D5219" i="16"/>
  <c r="C5219" i="16"/>
  <c r="B5219" i="16"/>
  <c r="A5219" i="16"/>
  <c r="T5219" i="16" s="1"/>
  <c r="K5218" i="16"/>
  <c r="J5218" i="16"/>
  <c r="I5218" i="16"/>
  <c r="F5218" i="16"/>
  <c r="D5218" i="16"/>
  <c r="C5218" i="16"/>
  <c r="B5218" i="16"/>
  <c r="A5218" i="16"/>
  <c r="P5217" i="16"/>
  <c r="O5217" i="16"/>
  <c r="N5217" i="16"/>
  <c r="M5217" i="16"/>
  <c r="L5217" i="16"/>
  <c r="K5217" i="16"/>
  <c r="G5217" i="16"/>
  <c r="F5217" i="16"/>
  <c r="E5217" i="16"/>
  <c r="D5217" i="16"/>
  <c r="C5217" i="16"/>
  <c r="B5217" i="16"/>
  <c r="A5217" i="16"/>
  <c r="T5217" i="16" s="1"/>
  <c r="N5216" i="16"/>
  <c r="M5216" i="16"/>
  <c r="L5216" i="16"/>
  <c r="K5216" i="16"/>
  <c r="D5216" i="16"/>
  <c r="C5216" i="16"/>
  <c r="B5216" i="16"/>
  <c r="A5216" i="16"/>
  <c r="P5215" i="16"/>
  <c r="O5215" i="16"/>
  <c r="M5215" i="16"/>
  <c r="L5215" i="16"/>
  <c r="F5215" i="16"/>
  <c r="E5215" i="16"/>
  <c r="D5215" i="16"/>
  <c r="C5215" i="16"/>
  <c r="B5215" i="16"/>
  <c r="A5215" i="16"/>
  <c r="H5215" i="16" s="1"/>
  <c r="N5214" i="16"/>
  <c r="M5214" i="16"/>
  <c r="J5214" i="16"/>
  <c r="I5214" i="16"/>
  <c r="D5214" i="16"/>
  <c r="C5214" i="16"/>
  <c r="B5214" i="16"/>
  <c r="A5214" i="16"/>
  <c r="D5213" i="16"/>
  <c r="C5213" i="16"/>
  <c r="B5213" i="16"/>
  <c r="A5213" i="16"/>
  <c r="T5212" i="16"/>
  <c r="P5212" i="16"/>
  <c r="O5212" i="16"/>
  <c r="J5212" i="16"/>
  <c r="I5212" i="16"/>
  <c r="H5212" i="16"/>
  <c r="G5212" i="16"/>
  <c r="D5212" i="16"/>
  <c r="C5212" i="16"/>
  <c r="B5212" i="16"/>
  <c r="A5212" i="16"/>
  <c r="L5212" i="16" s="1"/>
  <c r="M5211" i="16"/>
  <c r="L5211" i="16"/>
  <c r="K5211" i="16"/>
  <c r="D5211" i="16"/>
  <c r="C5211" i="16"/>
  <c r="B5211" i="16"/>
  <c r="A5211" i="16"/>
  <c r="P5211" i="16" s="1"/>
  <c r="D5210" i="16"/>
  <c r="C5210" i="16"/>
  <c r="B5210" i="16"/>
  <c r="A5210" i="16"/>
  <c r="K5210" i="16" s="1"/>
  <c r="D5209" i="16"/>
  <c r="C5209" i="16"/>
  <c r="B5209" i="16"/>
  <c r="A5209" i="16"/>
  <c r="D5208" i="16"/>
  <c r="C5208" i="16"/>
  <c r="B5208" i="16"/>
  <c r="A5208" i="16"/>
  <c r="D5207" i="16"/>
  <c r="C5207" i="16"/>
  <c r="B5207" i="16"/>
  <c r="A5207" i="16"/>
  <c r="D5206" i="16"/>
  <c r="C5206" i="16"/>
  <c r="B5206" i="16"/>
  <c r="A5206" i="16"/>
  <c r="N5205" i="16"/>
  <c r="H5205" i="16"/>
  <c r="D5205" i="16"/>
  <c r="C5205" i="16"/>
  <c r="B5205" i="16"/>
  <c r="A5205" i="16"/>
  <c r="L5204" i="16"/>
  <c r="J5204" i="16"/>
  <c r="I5204" i="16"/>
  <c r="H5204" i="16"/>
  <c r="D5204" i="16"/>
  <c r="C5204" i="16"/>
  <c r="B5204" i="16"/>
  <c r="A5204" i="16"/>
  <c r="D5203" i="16"/>
  <c r="C5203" i="16"/>
  <c r="B5203" i="16"/>
  <c r="A5203" i="16"/>
  <c r="D5202" i="16"/>
  <c r="C5202" i="16"/>
  <c r="B5202" i="16"/>
  <c r="A5202" i="16"/>
  <c r="L5202" i="16" s="1"/>
  <c r="K5201" i="16"/>
  <c r="H5201" i="16"/>
  <c r="G5201" i="16"/>
  <c r="F5201" i="16"/>
  <c r="D5201" i="16"/>
  <c r="C5201" i="16"/>
  <c r="B5201" i="16"/>
  <c r="A5201" i="16"/>
  <c r="P5200" i="16"/>
  <c r="O5200" i="16"/>
  <c r="N5200" i="16"/>
  <c r="M5200" i="16"/>
  <c r="L5200" i="16"/>
  <c r="H5200" i="16"/>
  <c r="G5200" i="16"/>
  <c r="F5200" i="16"/>
  <c r="E5200" i="16"/>
  <c r="D5200" i="16"/>
  <c r="C5200" i="16"/>
  <c r="B5200" i="16"/>
  <c r="A5200" i="16"/>
  <c r="J5200" i="16" s="1"/>
  <c r="O5199" i="16"/>
  <c r="N5199" i="16"/>
  <c r="M5199" i="16"/>
  <c r="L5199" i="16"/>
  <c r="D5199" i="16"/>
  <c r="C5199" i="16"/>
  <c r="B5199" i="16"/>
  <c r="A5199" i="16"/>
  <c r="O5198" i="16"/>
  <c r="D5198" i="16"/>
  <c r="C5198" i="16"/>
  <c r="B5198" i="16"/>
  <c r="A5198" i="16"/>
  <c r="I5197" i="16"/>
  <c r="D5197" i="16"/>
  <c r="C5197" i="16"/>
  <c r="B5197" i="16"/>
  <c r="A5197" i="16"/>
  <c r="T5196" i="16"/>
  <c r="P5196" i="16"/>
  <c r="O5196" i="16"/>
  <c r="J5196" i="16"/>
  <c r="H5196" i="16"/>
  <c r="G5196" i="16"/>
  <c r="D5196" i="16"/>
  <c r="C5196" i="16"/>
  <c r="B5196" i="16"/>
  <c r="A5196" i="16"/>
  <c r="L5196" i="16" s="1"/>
  <c r="D5195" i="16"/>
  <c r="C5195" i="16"/>
  <c r="B5195" i="16"/>
  <c r="A5195" i="16"/>
  <c r="I5194" i="16"/>
  <c r="F5194" i="16"/>
  <c r="D5194" i="16"/>
  <c r="C5194" i="16"/>
  <c r="B5194" i="16"/>
  <c r="A5194" i="16"/>
  <c r="K5194" i="16" s="1"/>
  <c r="P5193" i="16"/>
  <c r="O5193" i="16"/>
  <c r="N5193" i="16"/>
  <c r="M5193" i="16"/>
  <c r="L5193" i="16"/>
  <c r="G5193" i="16"/>
  <c r="F5193" i="16"/>
  <c r="E5193" i="16"/>
  <c r="D5193" i="16"/>
  <c r="C5193" i="16"/>
  <c r="B5193" i="16"/>
  <c r="A5193" i="16"/>
  <c r="T5193" i="16" s="1"/>
  <c r="O5192" i="16"/>
  <c r="M5192" i="16"/>
  <c r="L5192" i="16"/>
  <c r="K5192" i="16"/>
  <c r="E5192" i="16"/>
  <c r="D5192" i="16"/>
  <c r="C5192" i="16"/>
  <c r="B5192" i="16"/>
  <c r="A5192" i="16"/>
  <c r="P5191" i="16"/>
  <c r="O5191" i="16"/>
  <c r="M5191" i="16"/>
  <c r="L5191" i="16"/>
  <c r="F5191" i="16"/>
  <c r="E5191" i="16"/>
  <c r="D5191" i="16"/>
  <c r="C5191" i="16"/>
  <c r="B5191" i="16"/>
  <c r="A5191" i="16"/>
  <c r="H5191" i="16" s="1"/>
  <c r="M5190" i="16"/>
  <c r="J5190" i="16"/>
  <c r="I5190" i="16"/>
  <c r="E5190" i="16"/>
  <c r="D5190" i="16"/>
  <c r="C5190" i="16"/>
  <c r="B5190" i="16"/>
  <c r="A5190" i="16"/>
  <c r="D5189" i="16"/>
  <c r="C5189" i="16"/>
  <c r="B5189" i="16"/>
  <c r="A5189" i="16"/>
  <c r="T5188" i="16"/>
  <c r="P5188" i="16"/>
  <c r="O5188" i="16"/>
  <c r="J5188" i="16"/>
  <c r="I5188" i="16"/>
  <c r="H5188" i="16"/>
  <c r="G5188" i="16"/>
  <c r="D5188" i="16"/>
  <c r="C5188" i="16"/>
  <c r="B5188" i="16"/>
  <c r="A5188" i="16"/>
  <c r="L5188" i="16" s="1"/>
  <c r="D5187" i="16"/>
  <c r="C5187" i="16"/>
  <c r="B5187" i="16"/>
  <c r="A5187" i="16"/>
  <c r="K5186" i="16"/>
  <c r="J5186" i="16"/>
  <c r="I5186" i="16"/>
  <c r="D5186" i="16"/>
  <c r="C5186" i="16"/>
  <c r="B5186" i="16"/>
  <c r="A5186" i="16"/>
  <c r="F5186" i="16" s="1"/>
  <c r="P5185" i="16"/>
  <c r="O5185" i="16"/>
  <c r="N5185" i="16"/>
  <c r="M5185" i="16"/>
  <c r="L5185" i="16"/>
  <c r="K5185" i="16"/>
  <c r="H5185" i="16"/>
  <c r="G5185" i="16"/>
  <c r="F5185" i="16"/>
  <c r="E5185" i="16"/>
  <c r="D5185" i="16"/>
  <c r="C5185" i="16"/>
  <c r="B5185" i="16"/>
  <c r="A5185" i="16"/>
  <c r="T5185" i="16" s="1"/>
  <c r="P5184" i="16"/>
  <c r="O5184" i="16"/>
  <c r="N5184" i="16"/>
  <c r="M5184" i="16"/>
  <c r="L5184" i="16"/>
  <c r="H5184" i="16"/>
  <c r="F5184" i="16"/>
  <c r="E5184" i="16"/>
  <c r="D5184" i="16"/>
  <c r="C5184" i="16"/>
  <c r="B5184" i="16"/>
  <c r="A5184" i="16"/>
  <c r="J5184" i="16" s="1"/>
  <c r="N5183" i="16"/>
  <c r="L5183" i="16"/>
  <c r="D5183" i="16"/>
  <c r="C5183" i="16"/>
  <c r="B5183" i="16"/>
  <c r="A5183" i="16"/>
  <c r="N5182" i="16"/>
  <c r="M5182" i="16"/>
  <c r="D5182" i="16"/>
  <c r="C5182" i="16"/>
  <c r="B5182" i="16"/>
  <c r="A5182" i="16"/>
  <c r="N5181" i="16"/>
  <c r="K5181" i="16"/>
  <c r="J5181" i="16"/>
  <c r="D5181" i="16"/>
  <c r="C5181" i="16"/>
  <c r="B5181" i="16"/>
  <c r="A5181" i="16"/>
  <c r="D5180" i="16"/>
  <c r="C5180" i="16"/>
  <c r="B5180" i="16"/>
  <c r="A5180" i="16"/>
  <c r="D5179" i="16"/>
  <c r="C5179" i="16"/>
  <c r="B5179" i="16"/>
  <c r="A5179" i="16"/>
  <c r="D5178" i="16"/>
  <c r="C5178" i="16"/>
  <c r="B5178" i="16"/>
  <c r="A5178" i="16"/>
  <c r="N5177" i="16"/>
  <c r="L5177" i="16"/>
  <c r="K5177" i="16"/>
  <c r="J5177" i="16"/>
  <c r="E5177" i="16"/>
  <c r="D5177" i="16"/>
  <c r="C5177" i="16"/>
  <c r="B5177" i="16"/>
  <c r="A5177" i="16"/>
  <c r="L5176" i="16"/>
  <c r="K5176" i="16"/>
  <c r="H5176" i="16"/>
  <c r="G5176" i="16"/>
  <c r="D5176" i="16"/>
  <c r="C5176" i="16"/>
  <c r="B5176" i="16"/>
  <c r="A5176" i="16"/>
  <c r="P5175" i="16"/>
  <c r="O5175" i="16"/>
  <c r="M5175" i="16"/>
  <c r="F5175" i="16"/>
  <c r="E5175" i="16"/>
  <c r="D5175" i="16"/>
  <c r="C5175" i="16"/>
  <c r="B5175" i="16"/>
  <c r="A5175" i="16"/>
  <c r="H5175" i="16" s="1"/>
  <c r="D5174" i="16"/>
  <c r="C5174" i="16"/>
  <c r="B5174" i="16"/>
  <c r="A5174" i="16"/>
  <c r="N5173" i="16"/>
  <c r="H5173" i="16"/>
  <c r="D5173" i="16"/>
  <c r="C5173" i="16"/>
  <c r="B5173" i="16"/>
  <c r="A5173" i="16"/>
  <c r="T5172" i="16"/>
  <c r="O5172" i="16"/>
  <c r="D5172" i="16"/>
  <c r="C5172" i="16"/>
  <c r="B5172" i="16"/>
  <c r="A5172" i="16"/>
  <c r="L5171" i="16"/>
  <c r="D5171" i="16"/>
  <c r="C5171" i="16"/>
  <c r="B5171" i="16"/>
  <c r="A5171" i="16"/>
  <c r="D5170" i="16"/>
  <c r="C5170" i="16"/>
  <c r="B5170" i="16"/>
  <c r="A5170" i="16"/>
  <c r="D5169" i="16"/>
  <c r="C5169" i="16"/>
  <c r="B5169" i="16"/>
  <c r="A5169" i="16"/>
  <c r="K5168" i="16"/>
  <c r="H5168" i="16"/>
  <c r="G5168" i="16"/>
  <c r="F5168" i="16"/>
  <c r="D5168" i="16"/>
  <c r="C5168" i="16"/>
  <c r="B5168" i="16"/>
  <c r="A5168" i="16"/>
  <c r="P5167" i="16"/>
  <c r="O5167" i="16"/>
  <c r="N5167" i="16"/>
  <c r="E5167" i="16"/>
  <c r="D5167" i="16"/>
  <c r="C5167" i="16"/>
  <c r="B5167" i="16"/>
  <c r="A5167" i="16"/>
  <c r="D5166" i="16"/>
  <c r="C5166" i="16"/>
  <c r="B5166" i="16"/>
  <c r="A5166" i="16"/>
  <c r="D5165" i="16"/>
  <c r="C5165" i="16"/>
  <c r="B5165" i="16"/>
  <c r="A5165" i="16"/>
  <c r="T5164" i="16"/>
  <c r="P5164" i="16"/>
  <c r="O5164" i="16"/>
  <c r="J5164" i="16"/>
  <c r="I5164" i="16"/>
  <c r="H5164" i="16"/>
  <c r="G5164" i="16"/>
  <c r="D5164" i="16"/>
  <c r="C5164" i="16"/>
  <c r="B5164" i="16"/>
  <c r="A5164" i="16"/>
  <c r="L5164" i="16" s="1"/>
  <c r="D5163" i="16"/>
  <c r="C5163" i="16"/>
  <c r="B5163" i="16"/>
  <c r="A5163" i="16"/>
  <c r="I5162" i="16"/>
  <c r="D5162" i="16"/>
  <c r="C5162" i="16"/>
  <c r="B5162" i="16"/>
  <c r="A5162" i="16"/>
  <c r="P5161" i="16"/>
  <c r="J5161" i="16"/>
  <c r="H5161" i="16"/>
  <c r="G5161" i="16"/>
  <c r="D5161" i="16"/>
  <c r="C5161" i="16"/>
  <c r="B5161" i="16"/>
  <c r="A5161" i="16"/>
  <c r="P5160" i="16"/>
  <c r="O5160" i="16"/>
  <c r="N5160" i="16"/>
  <c r="M5160" i="16"/>
  <c r="G5160" i="16"/>
  <c r="F5160" i="16"/>
  <c r="E5160" i="16"/>
  <c r="D5160" i="16"/>
  <c r="C5160" i="16"/>
  <c r="B5160" i="16"/>
  <c r="A5160" i="16"/>
  <c r="J5160" i="16" s="1"/>
  <c r="D5159" i="16"/>
  <c r="C5159" i="16"/>
  <c r="B5159" i="16"/>
  <c r="A5159" i="16"/>
  <c r="M5158" i="16"/>
  <c r="D5158" i="16"/>
  <c r="C5158" i="16"/>
  <c r="B5158" i="16"/>
  <c r="A5158" i="16"/>
  <c r="N5157" i="16"/>
  <c r="K5157" i="16"/>
  <c r="D5157" i="16"/>
  <c r="C5157" i="16"/>
  <c r="B5157" i="16"/>
  <c r="A5157" i="16"/>
  <c r="D5156" i="16"/>
  <c r="C5156" i="16"/>
  <c r="B5156" i="16"/>
  <c r="A5156" i="16"/>
  <c r="E5155" i="16"/>
  <c r="D5155" i="16"/>
  <c r="C5155" i="16"/>
  <c r="B5155" i="16"/>
  <c r="A5155" i="16"/>
  <c r="D5154" i="16"/>
  <c r="C5154" i="16"/>
  <c r="B5154" i="16"/>
  <c r="A5154" i="16"/>
  <c r="L5153" i="16"/>
  <c r="K5153" i="16"/>
  <c r="J5153" i="16"/>
  <c r="H5153" i="16"/>
  <c r="D5153" i="16"/>
  <c r="C5153" i="16"/>
  <c r="B5153" i="16"/>
  <c r="A5153" i="16"/>
  <c r="D5152" i="16"/>
  <c r="C5152" i="16"/>
  <c r="B5152" i="16"/>
  <c r="A5152" i="16"/>
  <c r="P5151" i="16"/>
  <c r="D5151" i="16"/>
  <c r="C5151" i="16"/>
  <c r="B5151" i="16"/>
  <c r="A5151" i="16"/>
  <c r="D5150" i="16"/>
  <c r="C5150" i="16"/>
  <c r="B5150" i="16"/>
  <c r="A5150" i="16"/>
  <c r="D5149" i="16"/>
  <c r="C5149" i="16"/>
  <c r="B5149" i="16"/>
  <c r="A5149" i="16"/>
  <c r="D5148" i="16"/>
  <c r="C5148" i="16"/>
  <c r="B5148" i="16"/>
  <c r="A5148" i="16"/>
  <c r="D5147" i="16"/>
  <c r="C5147" i="16"/>
  <c r="B5147" i="16"/>
  <c r="A5147" i="16"/>
  <c r="L5146" i="16"/>
  <c r="J5146" i="16"/>
  <c r="D5146" i="16"/>
  <c r="C5146" i="16"/>
  <c r="B5146" i="16"/>
  <c r="A5146" i="16"/>
  <c r="P5145" i="16"/>
  <c r="O5145" i="16"/>
  <c r="N5145" i="16"/>
  <c r="M5145" i="16"/>
  <c r="L5145" i="16"/>
  <c r="K5145" i="16"/>
  <c r="H5145" i="16"/>
  <c r="G5145" i="16"/>
  <c r="F5145" i="16"/>
  <c r="E5145" i="16"/>
  <c r="D5145" i="16"/>
  <c r="C5145" i="16"/>
  <c r="B5145" i="16"/>
  <c r="A5145" i="16"/>
  <c r="T5145" i="16" s="1"/>
  <c r="P5144" i="16"/>
  <c r="O5144" i="16"/>
  <c r="N5144" i="16"/>
  <c r="M5144" i="16"/>
  <c r="L5144" i="16"/>
  <c r="H5144" i="16"/>
  <c r="F5144" i="16"/>
  <c r="E5144" i="16"/>
  <c r="D5144" i="16"/>
  <c r="C5144" i="16"/>
  <c r="B5144" i="16"/>
  <c r="A5144" i="16"/>
  <c r="J5144" i="16" s="1"/>
  <c r="N5143" i="16"/>
  <c r="E5143" i="16"/>
  <c r="D5143" i="16"/>
  <c r="C5143" i="16"/>
  <c r="B5143" i="16"/>
  <c r="A5143" i="16"/>
  <c r="D5142" i="16"/>
  <c r="C5142" i="16"/>
  <c r="B5142" i="16"/>
  <c r="A5142" i="16"/>
  <c r="D5141" i="16"/>
  <c r="C5141" i="16"/>
  <c r="B5141" i="16"/>
  <c r="A5141" i="16"/>
  <c r="D5140" i="16"/>
  <c r="C5140" i="16"/>
  <c r="B5140" i="16"/>
  <c r="A5140" i="16"/>
  <c r="D5139" i="16"/>
  <c r="C5139" i="16"/>
  <c r="B5139" i="16"/>
  <c r="A5139" i="16"/>
  <c r="D5138" i="16"/>
  <c r="C5138" i="16"/>
  <c r="B5138" i="16"/>
  <c r="A5138" i="16"/>
  <c r="K5138" i="16" s="1"/>
  <c r="O5137" i="16"/>
  <c r="J5137" i="16"/>
  <c r="H5137" i="16"/>
  <c r="G5137" i="16"/>
  <c r="F5137" i="16"/>
  <c r="D5137" i="16"/>
  <c r="C5137" i="16"/>
  <c r="B5137" i="16"/>
  <c r="A5137" i="16"/>
  <c r="P5136" i="16"/>
  <c r="O5136" i="16"/>
  <c r="N5136" i="16"/>
  <c r="M5136" i="16"/>
  <c r="G5136" i="16"/>
  <c r="F5136" i="16"/>
  <c r="E5136" i="16"/>
  <c r="D5136" i="16"/>
  <c r="C5136" i="16"/>
  <c r="B5136" i="16"/>
  <c r="A5136" i="16"/>
  <c r="J5136" i="16" s="1"/>
  <c r="N5135" i="16"/>
  <c r="M5135" i="16"/>
  <c r="L5135" i="16"/>
  <c r="F5135" i="16"/>
  <c r="D5135" i="16"/>
  <c r="C5135" i="16"/>
  <c r="B5135" i="16"/>
  <c r="A5135" i="16"/>
  <c r="I5134" i="16"/>
  <c r="E5134" i="16"/>
  <c r="D5134" i="16"/>
  <c r="C5134" i="16"/>
  <c r="B5134" i="16"/>
  <c r="A5134" i="16"/>
  <c r="D5133" i="16"/>
  <c r="C5133" i="16"/>
  <c r="B5133" i="16"/>
  <c r="A5133" i="16"/>
  <c r="P5132" i="16"/>
  <c r="O5132" i="16"/>
  <c r="L5132" i="16"/>
  <c r="G5132" i="16"/>
  <c r="D5132" i="16"/>
  <c r="C5132" i="16"/>
  <c r="B5132" i="16"/>
  <c r="A5132" i="16"/>
  <c r="D5131" i="16"/>
  <c r="C5131" i="16"/>
  <c r="B5131" i="16"/>
  <c r="A5131" i="16"/>
  <c r="I5130" i="16"/>
  <c r="D5130" i="16"/>
  <c r="C5130" i="16"/>
  <c r="B5130" i="16"/>
  <c r="A5130" i="16"/>
  <c r="P5129" i="16"/>
  <c r="N5129" i="16"/>
  <c r="J5129" i="16"/>
  <c r="H5129" i="16"/>
  <c r="G5129" i="16"/>
  <c r="D5129" i="16"/>
  <c r="C5129" i="16"/>
  <c r="B5129" i="16"/>
  <c r="A5129" i="16"/>
  <c r="P5128" i="16"/>
  <c r="O5128" i="16"/>
  <c r="N5128" i="16"/>
  <c r="M5128" i="16"/>
  <c r="G5128" i="16"/>
  <c r="F5128" i="16"/>
  <c r="E5128" i="16"/>
  <c r="D5128" i="16"/>
  <c r="C5128" i="16"/>
  <c r="B5128" i="16"/>
  <c r="A5128" i="16"/>
  <c r="J5128" i="16" s="1"/>
  <c r="N5127" i="16"/>
  <c r="M5127" i="16"/>
  <c r="L5127" i="16"/>
  <c r="F5127" i="16"/>
  <c r="D5127" i="16"/>
  <c r="C5127" i="16"/>
  <c r="B5127" i="16"/>
  <c r="A5127" i="16"/>
  <c r="M5126" i="16"/>
  <c r="J5126" i="16"/>
  <c r="I5126" i="16"/>
  <c r="D5126" i="16"/>
  <c r="C5126" i="16"/>
  <c r="B5126" i="16"/>
  <c r="A5126" i="16"/>
  <c r="E5126" i="16" s="1"/>
  <c r="J5125" i="16"/>
  <c r="I5125" i="16"/>
  <c r="D5125" i="16"/>
  <c r="C5125" i="16"/>
  <c r="B5125" i="16"/>
  <c r="A5125" i="16"/>
  <c r="T5124" i="16"/>
  <c r="P5124" i="16"/>
  <c r="O5124" i="16"/>
  <c r="J5124" i="16"/>
  <c r="H5124" i="16"/>
  <c r="G5124" i="16"/>
  <c r="D5124" i="16"/>
  <c r="C5124" i="16"/>
  <c r="B5124" i="16"/>
  <c r="A5124" i="16"/>
  <c r="L5124" i="16" s="1"/>
  <c r="L5123" i="16"/>
  <c r="K5123" i="16"/>
  <c r="E5123" i="16"/>
  <c r="D5123" i="16"/>
  <c r="C5123" i="16"/>
  <c r="B5123" i="16"/>
  <c r="A5123" i="16"/>
  <c r="T5123" i="16" s="1"/>
  <c r="J5122" i="16"/>
  <c r="I5122" i="16"/>
  <c r="F5122" i="16"/>
  <c r="D5122" i="16"/>
  <c r="C5122" i="16"/>
  <c r="B5122" i="16"/>
  <c r="A5122" i="16"/>
  <c r="K5122" i="16" s="1"/>
  <c r="O5121" i="16"/>
  <c r="N5121" i="16"/>
  <c r="M5121" i="16"/>
  <c r="L5121" i="16"/>
  <c r="K5121" i="16"/>
  <c r="H5121" i="16"/>
  <c r="F5121" i="16"/>
  <c r="E5121" i="16"/>
  <c r="D5121" i="16"/>
  <c r="C5121" i="16"/>
  <c r="B5121" i="16"/>
  <c r="A5121" i="16"/>
  <c r="T5121" i="16" s="1"/>
  <c r="N5120" i="16"/>
  <c r="L5120" i="16"/>
  <c r="D5120" i="16"/>
  <c r="C5120" i="16"/>
  <c r="B5120" i="16"/>
  <c r="A5120" i="16"/>
  <c r="P5119" i="16"/>
  <c r="L5119" i="16"/>
  <c r="F5119" i="16"/>
  <c r="E5119" i="16"/>
  <c r="D5119" i="16"/>
  <c r="C5119" i="16"/>
  <c r="B5119" i="16"/>
  <c r="A5119" i="16"/>
  <c r="H5119" i="16" s="1"/>
  <c r="D5118" i="16"/>
  <c r="C5118" i="16"/>
  <c r="B5118" i="16"/>
  <c r="A5118" i="16"/>
  <c r="N5117" i="16"/>
  <c r="D5117" i="16"/>
  <c r="C5117" i="16"/>
  <c r="B5117" i="16"/>
  <c r="A5117" i="16"/>
  <c r="D5116" i="16"/>
  <c r="C5116" i="16"/>
  <c r="B5116" i="16"/>
  <c r="A5116" i="16"/>
  <c r="M5115" i="16"/>
  <c r="D5115" i="16"/>
  <c r="C5115" i="16"/>
  <c r="B5115" i="16"/>
  <c r="A5115" i="16"/>
  <c r="L5114" i="16"/>
  <c r="D5114" i="16"/>
  <c r="C5114" i="16"/>
  <c r="B5114" i="16"/>
  <c r="A5114" i="16"/>
  <c r="J5113" i="16"/>
  <c r="H5113" i="16"/>
  <c r="G5113" i="16"/>
  <c r="D5113" i="16"/>
  <c r="C5113" i="16"/>
  <c r="B5113" i="16"/>
  <c r="A5113" i="16"/>
  <c r="L5113" i="16" s="1"/>
  <c r="O5112" i="16"/>
  <c r="K5112" i="16"/>
  <c r="H5112" i="16"/>
  <c r="G5112" i="16"/>
  <c r="D5112" i="16"/>
  <c r="C5112" i="16"/>
  <c r="B5112" i="16"/>
  <c r="A5112" i="16"/>
  <c r="P5111" i="16"/>
  <c r="O5111" i="16"/>
  <c r="D5111" i="16"/>
  <c r="C5111" i="16"/>
  <c r="B5111" i="16"/>
  <c r="A5111" i="16"/>
  <c r="O5110" i="16"/>
  <c r="D5110" i="16"/>
  <c r="C5110" i="16"/>
  <c r="B5110" i="16"/>
  <c r="A5110" i="16"/>
  <c r="H5109" i="16"/>
  <c r="D5109" i="16"/>
  <c r="C5109" i="16"/>
  <c r="B5109" i="16"/>
  <c r="A5109" i="16"/>
  <c r="P5108" i="16"/>
  <c r="O5108" i="16"/>
  <c r="L5108" i="16"/>
  <c r="J5108" i="16"/>
  <c r="D5108" i="16"/>
  <c r="C5108" i="16"/>
  <c r="B5108" i="16"/>
  <c r="A5108" i="16"/>
  <c r="D5107" i="16"/>
  <c r="C5107" i="16"/>
  <c r="B5107" i="16"/>
  <c r="A5107" i="16"/>
  <c r="M5107" i="16" s="1"/>
  <c r="L5106" i="16"/>
  <c r="K5106" i="16"/>
  <c r="D5106" i="16"/>
  <c r="C5106" i="16"/>
  <c r="B5106" i="16"/>
  <c r="A5106" i="16"/>
  <c r="O5105" i="16"/>
  <c r="N5105" i="16"/>
  <c r="M5105" i="16"/>
  <c r="L5105" i="16"/>
  <c r="K5105" i="16"/>
  <c r="H5105" i="16"/>
  <c r="F5105" i="16"/>
  <c r="E5105" i="16"/>
  <c r="D5105" i="16"/>
  <c r="C5105" i="16"/>
  <c r="B5105" i="16"/>
  <c r="A5105" i="16"/>
  <c r="T5105" i="16" s="1"/>
  <c r="L5104" i="16"/>
  <c r="K5104" i="16"/>
  <c r="H5104" i="16"/>
  <c r="D5104" i="16"/>
  <c r="C5104" i="16"/>
  <c r="B5104" i="16"/>
  <c r="A5104" i="16"/>
  <c r="M5104" i="16" s="1"/>
  <c r="P5103" i="16"/>
  <c r="L5103" i="16"/>
  <c r="F5103" i="16"/>
  <c r="E5103" i="16"/>
  <c r="D5103" i="16"/>
  <c r="C5103" i="16"/>
  <c r="B5103" i="16"/>
  <c r="A5103" i="16"/>
  <c r="H5103" i="16" s="1"/>
  <c r="I5102" i="16"/>
  <c r="E5102" i="16"/>
  <c r="D5102" i="16"/>
  <c r="C5102" i="16"/>
  <c r="B5102" i="16"/>
  <c r="A5102" i="16"/>
  <c r="M5102" i="16" s="1"/>
  <c r="K5101" i="16"/>
  <c r="I5101" i="16"/>
  <c r="H5101" i="16"/>
  <c r="D5101" i="16"/>
  <c r="C5101" i="16"/>
  <c r="B5101" i="16"/>
  <c r="A5101" i="16"/>
  <c r="J5101" i="16" s="1"/>
  <c r="O5100" i="16"/>
  <c r="L5100" i="16"/>
  <c r="H5100" i="16"/>
  <c r="D5100" i="16"/>
  <c r="C5100" i="16"/>
  <c r="B5100" i="16"/>
  <c r="A5100" i="16"/>
  <c r="P5099" i="16"/>
  <c r="D5099" i="16"/>
  <c r="C5099" i="16"/>
  <c r="B5099" i="16"/>
  <c r="A5099" i="16"/>
  <c r="F5098" i="16"/>
  <c r="D5098" i="16"/>
  <c r="C5098" i="16"/>
  <c r="B5098" i="16"/>
  <c r="A5098" i="16"/>
  <c r="L5097" i="16"/>
  <c r="K5097" i="16"/>
  <c r="J5097" i="16"/>
  <c r="H5097" i="16"/>
  <c r="D5097" i="16"/>
  <c r="C5097" i="16"/>
  <c r="B5097" i="16"/>
  <c r="A5097" i="16"/>
  <c r="P5096" i="16"/>
  <c r="L5096" i="16"/>
  <c r="H5096" i="16"/>
  <c r="F5096" i="16"/>
  <c r="D5096" i="16"/>
  <c r="C5096" i="16"/>
  <c r="B5096" i="16"/>
  <c r="A5096" i="16"/>
  <c r="O5095" i="16"/>
  <c r="E5095" i="16"/>
  <c r="D5095" i="16"/>
  <c r="C5095" i="16"/>
  <c r="B5095" i="16"/>
  <c r="A5095" i="16"/>
  <c r="E5094" i="16"/>
  <c r="D5094" i="16"/>
  <c r="C5094" i="16"/>
  <c r="B5094" i="16"/>
  <c r="A5094" i="16"/>
  <c r="D5093" i="16"/>
  <c r="C5093" i="16"/>
  <c r="B5093" i="16"/>
  <c r="A5093" i="16"/>
  <c r="L5092" i="16"/>
  <c r="G5092" i="16"/>
  <c r="D5092" i="16"/>
  <c r="C5092" i="16"/>
  <c r="B5092" i="16"/>
  <c r="A5092" i="16"/>
  <c r="D5091" i="16"/>
  <c r="C5091" i="16"/>
  <c r="B5091" i="16"/>
  <c r="A5091" i="16"/>
  <c r="K5090" i="16"/>
  <c r="D5090" i="16"/>
  <c r="C5090" i="16"/>
  <c r="B5090" i="16"/>
  <c r="A5090" i="16"/>
  <c r="P5089" i="16"/>
  <c r="O5089" i="16"/>
  <c r="H5089" i="16"/>
  <c r="G5089" i="16"/>
  <c r="F5089" i="16"/>
  <c r="E5089" i="16"/>
  <c r="D5089" i="16"/>
  <c r="C5089" i="16"/>
  <c r="B5089" i="16"/>
  <c r="A5089" i="16"/>
  <c r="P5088" i="16"/>
  <c r="O5088" i="16"/>
  <c r="N5088" i="16"/>
  <c r="M5088" i="16"/>
  <c r="G5088" i="16"/>
  <c r="F5088" i="16"/>
  <c r="E5088" i="16"/>
  <c r="D5088" i="16"/>
  <c r="C5088" i="16"/>
  <c r="B5088" i="16"/>
  <c r="A5088" i="16"/>
  <c r="J5088" i="16" s="1"/>
  <c r="D5087" i="16"/>
  <c r="C5087" i="16"/>
  <c r="B5087" i="16"/>
  <c r="A5087" i="16"/>
  <c r="N5086" i="16"/>
  <c r="D5086" i="16"/>
  <c r="C5086" i="16"/>
  <c r="B5086" i="16"/>
  <c r="A5086" i="16"/>
  <c r="J5085" i="16"/>
  <c r="D5085" i="16"/>
  <c r="C5085" i="16"/>
  <c r="B5085" i="16"/>
  <c r="A5085" i="16"/>
  <c r="O5084" i="16"/>
  <c r="L5084" i="16"/>
  <c r="J5084" i="16"/>
  <c r="I5084" i="16"/>
  <c r="D5084" i="16"/>
  <c r="C5084" i="16"/>
  <c r="B5084" i="16"/>
  <c r="A5084" i="16"/>
  <c r="D5083" i="16"/>
  <c r="C5083" i="16"/>
  <c r="B5083" i="16"/>
  <c r="A5083" i="16"/>
  <c r="K5082" i="16"/>
  <c r="J5082" i="16"/>
  <c r="D5082" i="16"/>
  <c r="C5082" i="16"/>
  <c r="B5082" i="16"/>
  <c r="A5082" i="16"/>
  <c r="L5082" i="16" s="1"/>
  <c r="M5081" i="16"/>
  <c r="L5081" i="16"/>
  <c r="D5081" i="16"/>
  <c r="C5081" i="16"/>
  <c r="B5081" i="16"/>
  <c r="A5081" i="16"/>
  <c r="G5080" i="16"/>
  <c r="D5080" i="16"/>
  <c r="C5080" i="16"/>
  <c r="B5080" i="16"/>
  <c r="A5080" i="16"/>
  <c r="P5079" i="16"/>
  <c r="O5079" i="16"/>
  <c r="M5079" i="16"/>
  <c r="F5079" i="16"/>
  <c r="E5079" i="16"/>
  <c r="D5079" i="16"/>
  <c r="C5079" i="16"/>
  <c r="B5079" i="16"/>
  <c r="A5079" i="16"/>
  <c r="H5079" i="16" s="1"/>
  <c r="D5078" i="16"/>
  <c r="C5078" i="16"/>
  <c r="B5078" i="16"/>
  <c r="A5078" i="16"/>
  <c r="D5077" i="16"/>
  <c r="C5077" i="16"/>
  <c r="B5077" i="16"/>
  <c r="A5077" i="16"/>
  <c r="T5076" i="16"/>
  <c r="P5076" i="16"/>
  <c r="I5076" i="16"/>
  <c r="H5076" i="16"/>
  <c r="G5076" i="16"/>
  <c r="D5076" i="16"/>
  <c r="C5076" i="16"/>
  <c r="B5076" i="16"/>
  <c r="A5076" i="16"/>
  <c r="O5076" i="16" s="1"/>
  <c r="P5075" i="16"/>
  <c r="D5075" i="16"/>
  <c r="C5075" i="16"/>
  <c r="B5075" i="16"/>
  <c r="A5075" i="16"/>
  <c r="T5075" i="16" s="1"/>
  <c r="D5074" i="16"/>
  <c r="C5074" i="16"/>
  <c r="B5074" i="16"/>
  <c r="A5074" i="16"/>
  <c r="P5073" i="16"/>
  <c r="N5073" i="16"/>
  <c r="J5073" i="16"/>
  <c r="F5073" i="16"/>
  <c r="E5073" i="16"/>
  <c r="D5073" i="16"/>
  <c r="C5073" i="16"/>
  <c r="B5073" i="16"/>
  <c r="A5073" i="16"/>
  <c r="P5072" i="16"/>
  <c r="O5072" i="16"/>
  <c r="N5072" i="16"/>
  <c r="M5072" i="16"/>
  <c r="G5072" i="16"/>
  <c r="F5072" i="16"/>
  <c r="E5072" i="16"/>
  <c r="D5072" i="16"/>
  <c r="C5072" i="16"/>
  <c r="B5072" i="16"/>
  <c r="A5072" i="16"/>
  <c r="J5072" i="16" s="1"/>
  <c r="D5071" i="16"/>
  <c r="C5071" i="16"/>
  <c r="B5071" i="16"/>
  <c r="A5071" i="16"/>
  <c r="O5070" i="16"/>
  <c r="I5070" i="16"/>
  <c r="D5070" i="16"/>
  <c r="C5070" i="16"/>
  <c r="B5070" i="16"/>
  <c r="A5070" i="16"/>
  <c r="K5069" i="16"/>
  <c r="J5069" i="16"/>
  <c r="I5069" i="16"/>
  <c r="D5069" i="16"/>
  <c r="C5069" i="16"/>
  <c r="B5069" i="16"/>
  <c r="A5069" i="16"/>
  <c r="H5069" i="16" s="1"/>
  <c r="T5068" i="16"/>
  <c r="P5068" i="16"/>
  <c r="O5068" i="16"/>
  <c r="D5068" i="16"/>
  <c r="C5068" i="16"/>
  <c r="B5068" i="16"/>
  <c r="A5068" i="16"/>
  <c r="D5067" i="16"/>
  <c r="C5067" i="16"/>
  <c r="B5067" i="16"/>
  <c r="A5067" i="16"/>
  <c r="T5067" i="16" s="1"/>
  <c r="I5066" i="16"/>
  <c r="F5066" i="16"/>
  <c r="D5066" i="16"/>
  <c r="C5066" i="16"/>
  <c r="B5066" i="16"/>
  <c r="A5066" i="16"/>
  <c r="K5066" i="16" s="1"/>
  <c r="P5065" i="16"/>
  <c r="O5065" i="16"/>
  <c r="N5065" i="16"/>
  <c r="M5065" i="16"/>
  <c r="L5065" i="16"/>
  <c r="G5065" i="16"/>
  <c r="F5065" i="16"/>
  <c r="E5065" i="16"/>
  <c r="D5065" i="16"/>
  <c r="C5065" i="16"/>
  <c r="B5065" i="16"/>
  <c r="A5065" i="16"/>
  <c r="T5065" i="16" s="1"/>
  <c r="N5064" i="16"/>
  <c r="M5064" i="16"/>
  <c r="L5064" i="16"/>
  <c r="K5064" i="16"/>
  <c r="D5064" i="16"/>
  <c r="C5064" i="16"/>
  <c r="B5064" i="16"/>
  <c r="A5064" i="16"/>
  <c r="O5063" i="16"/>
  <c r="M5063" i="16"/>
  <c r="L5063" i="16"/>
  <c r="F5063" i="16"/>
  <c r="E5063" i="16"/>
  <c r="D5063" i="16"/>
  <c r="C5063" i="16"/>
  <c r="B5063" i="16"/>
  <c r="A5063" i="16"/>
  <c r="H5063" i="16" s="1"/>
  <c r="M5062" i="16"/>
  <c r="J5062" i="16"/>
  <c r="I5062" i="16"/>
  <c r="E5062" i="16"/>
  <c r="D5062" i="16"/>
  <c r="C5062" i="16"/>
  <c r="B5062" i="16"/>
  <c r="A5062" i="16"/>
  <c r="N5061" i="16"/>
  <c r="D5061" i="16"/>
  <c r="C5061" i="16"/>
  <c r="B5061" i="16"/>
  <c r="A5061" i="16"/>
  <c r="L5060" i="16"/>
  <c r="G5060" i="16"/>
  <c r="D5060" i="16"/>
  <c r="C5060" i="16"/>
  <c r="B5060" i="16"/>
  <c r="A5060" i="16"/>
  <c r="D5059" i="16"/>
  <c r="C5059" i="16"/>
  <c r="B5059" i="16"/>
  <c r="A5059" i="16"/>
  <c r="K5058" i="16"/>
  <c r="J5058" i="16"/>
  <c r="I5058" i="16"/>
  <c r="D5058" i="16"/>
  <c r="C5058" i="16"/>
  <c r="B5058" i="16"/>
  <c r="A5058" i="16"/>
  <c r="F5058" i="16" s="1"/>
  <c r="P5057" i="16"/>
  <c r="H5057" i="16"/>
  <c r="D5057" i="16"/>
  <c r="C5057" i="16"/>
  <c r="B5057" i="16"/>
  <c r="A5057" i="16"/>
  <c r="P5056" i="16"/>
  <c r="O5056" i="16"/>
  <c r="N5056" i="16"/>
  <c r="M5056" i="16"/>
  <c r="G5056" i="16"/>
  <c r="F5056" i="16"/>
  <c r="E5056" i="16"/>
  <c r="D5056" i="16"/>
  <c r="C5056" i="16"/>
  <c r="B5056" i="16"/>
  <c r="A5056" i="16"/>
  <c r="J5056" i="16" s="1"/>
  <c r="N5055" i="16"/>
  <c r="M5055" i="16"/>
  <c r="L5055" i="16"/>
  <c r="F5055" i="16"/>
  <c r="D5055" i="16"/>
  <c r="C5055" i="16"/>
  <c r="B5055" i="16"/>
  <c r="A5055" i="16"/>
  <c r="N5054" i="16"/>
  <c r="M5054" i="16"/>
  <c r="J5054" i="16"/>
  <c r="D5054" i="16"/>
  <c r="C5054" i="16"/>
  <c r="B5054" i="16"/>
  <c r="A5054" i="16"/>
  <c r="I5054" i="16" s="1"/>
  <c r="K5053" i="16"/>
  <c r="D5053" i="16"/>
  <c r="C5053" i="16"/>
  <c r="B5053" i="16"/>
  <c r="A5053" i="16"/>
  <c r="O5052" i="16"/>
  <c r="L5052" i="16"/>
  <c r="G5052" i="16"/>
  <c r="D5052" i="16"/>
  <c r="C5052" i="16"/>
  <c r="B5052" i="16"/>
  <c r="A5052" i="16"/>
  <c r="P5052" i="16" s="1"/>
  <c r="D5051" i="16"/>
  <c r="C5051" i="16"/>
  <c r="B5051" i="16"/>
  <c r="A5051" i="16"/>
  <c r="L5050" i="16"/>
  <c r="D5050" i="16"/>
  <c r="C5050" i="16"/>
  <c r="B5050" i="16"/>
  <c r="A5050" i="16"/>
  <c r="P5049" i="16"/>
  <c r="O5049" i="16"/>
  <c r="N5049" i="16"/>
  <c r="M5049" i="16"/>
  <c r="L5049" i="16"/>
  <c r="G5049" i="16"/>
  <c r="F5049" i="16"/>
  <c r="E5049" i="16"/>
  <c r="D5049" i="16"/>
  <c r="C5049" i="16"/>
  <c r="B5049" i="16"/>
  <c r="A5049" i="16"/>
  <c r="T5049" i="16" s="1"/>
  <c r="O5048" i="16"/>
  <c r="N5048" i="16"/>
  <c r="K5048" i="16"/>
  <c r="E5048" i="16"/>
  <c r="D5048" i="16"/>
  <c r="C5048" i="16"/>
  <c r="B5048" i="16"/>
  <c r="A5048" i="16"/>
  <c r="O5047" i="16"/>
  <c r="M5047" i="16"/>
  <c r="L5047" i="16"/>
  <c r="F5047" i="16"/>
  <c r="E5047" i="16"/>
  <c r="D5047" i="16"/>
  <c r="C5047" i="16"/>
  <c r="B5047" i="16"/>
  <c r="A5047" i="16"/>
  <c r="H5047" i="16" s="1"/>
  <c r="D5046" i="16"/>
  <c r="C5046" i="16"/>
  <c r="B5046" i="16"/>
  <c r="A5046" i="16"/>
  <c r="N5045" i="16"/>
  <c r="D5045" i="16"/>
  <c r="C5045" i="16"/>
  <c r="B5045" i="16"/>
  <c r="A5045" i="16"/>
  <c r="H5045" i="16" s="1"/>
  <c r="T5044" i="16"/>
  <c r="P5044" i="16"/>
  <c r="O5044" i="16"/>
  <c r="J5044" i="16"/>
  <c r="H5044" i="16"/>
  <c r="G5044" i="16"/>
  <c r="D5044" i="16"/>
  <c r="C5044" i="16"/>
  <c r="B5044" i="16"/>
  <c r="A5044" i="16"/>
  <c r="L5044" i="16" s="1"/>
  <c r="D5043" i="16"/>
  <c r="C5043" i="16"/>
  <c r="B5043" i="16"/>
  <c r="A5043" i="16"/>
  <c r="D5042" i="16"/>
  <c r="C5042" i="16"/>
  <c r="B5042" i="16"/>
  <c r="A5042" i="16"/>
  <c r="N5041" i="16"/>
  <c r="M5041" i="16"/>
  <c r="L5041" i="16"/>
  <c r="D5041" i="16"/>
  <c r="C5041" i="16"/>
  <c r="B5041" i="16"/>
  <c r="A5041" i="16"/>
  <c r="D5040" i="16"/>
  <c r="C5040" i="16"/>
  <c r="B5040" i="16"/>
  <c r="A5040" i="16"/>
  <c r="P5039" i="16"/>
  <c r="O5039" i="16"/>
  <c r="F5039" i="16"/>
  <c r="E5039" i="16"/>
  <c r="D5039" i="16"/>
  <c r="C5039" i="16"/>
  <c r="B5039" i="16"/>
  <c r="A5039" i="16"/>
  <c r="H5039" i="16" s="1"/>
  <c r="E5038" i="16"/>
  <c r="D5038" i="16"/>
  <c r="C5038" i="16"/>
  <c r="B5038" i="16"/>
  <c r="A5038" i="16"/>
  <c r="H5037" i="16"/>
  <c r="D5037" i="16"/>
  <c r="C5037" i="16"/>
  <c r="B5037" i="16"/>
  <c r="A5037" i="16"/>
  <c r="J5036" i="16"/>
  <c r="I5036" i="16"/>
  <c r="H5036" i="16"/>
  <c r="G5036" i="16"/>
  <c r="D5036" i="16"/>
  <c r="C5036" i="16"/>
  <c r="B5036" i="16"/>
  <c r="A5036" i="16"/>
  <c r="E5035" i="16"/>
  <c r="D5035" i="16"/>
  <c r="C5035" i="16"/>
  <c r="B5035" i="16"/>
  <c r="A5035" i="16"/>
  <c r="D5034" i="16"/>
  <c r="C5034" i="16"/>
  <c r="B5034" i="16"/>
  <c r="A5034" i="16"/>
  <c r="P5033" i="16"/>
  <c r="K5033" i="16"/>
  <c r="H5033" i="16"/>
  <c r="D5033" i="16"/>
  <c r="C5033" i="16"/>
  <c r="B5033" i="16"/>
  <c r="A5033" i="16"/>
  <c r="O5032" i="16"/>
  <c r="K5032" i="16"/>
  <c r="F5032" i="16"/>
  <c r="E5032" i="16"/>
  <c r="D5032" i="16"/>
  <c r="C5032" i="16"/>
  <c r="B5032" i="16"/>
  <c r="A5032" i="16"/>
  <c r="N5031" i="16"/>
  <c r="D5031" i="16"/>
  <c r="C5031" i="16"/>
  <c r="B5031" i="16"/>
  <c r="A5031" i="16"/>
  <c r="D5030" i="16"/>
  <c r="C5030" i="16"/>
  <c r="B5030" i="16"/>
  <c r="A5030" i="16"/>
  <c r="N5029" i="16"/>
  <c r="D5029" i="16"/>
  <c r="C5029" i="16"/>
  <c r="B5029" i="16"/>
  <c r="A5029" i="16"/>
  <c r="P5028" i="16"/>
  <c r="O5028" i="16"/>
  <c r="L5028" i="16"/>
  <c r="G5028" i="16"/>
  <c r="D5028" i="16"/>
  <c r="C5028" i="16"/>
  <c r="B5028" i="16"/>
  <c r="A5028" i="16"/>
  <c r="K5027" i="16"/>
  <c r="E5027" i="16"/>
  <c r="D5027" i="16"/>
  <c r="C5027" i="16"/>
  <c r="B5027" i="16"/>
  <c r="A5027" i="16"/>
  <c r="T5027" i="16" s="1"/>
  <c r="I5026" i="16"/>
  <c r="F5026" i="16"/>
  <c r="D5026" i="16"/>
  <c r="C5026" i="16"/>
  <c r="B5026" i="16"/>
  <c r="A5026" i="16"/>
  <c r="K5026" i="16" s="1"/>
  <c r="N5025" i="16"/>
  <c r="K5025" i="16"/>
  <c r="J5025" i="16"/>
  <c r="E5025" i="16"/>
  <c r="D5025" i="16"/>
  <c r="C5025" i="16"/>
  <c r="B5025" i="16"/>
  <c r="A5025" i="16"/>
  <c r="L5025" i="16" s="1"/>
  <c r="D5024" i="16"/>
  <c r="C5024" i="16"/>
  <c r="B5024" i="16"/>
  <c r="A5024" i="16"/>
  <c r="D5023" i="16"/>
  <c r="C5023" i="16"/>
  <c r="B5023" i="16"/>
  <c r="A5023" i="16"/>
  <c r="N5022" i="16"/>
  <c r="F5022" i="16"/>
  <c r="E5022" i="16"/>
  <c r="D5022" i="16"/>
  <c r="C5022" i="16"/>
  <c r="B5022" i="16"/>
  <c r="A5022" i="16"/>
  <c r="H5022" i="16" s="1"/>
  <c r="D5021" i="16"/>
  <c r="C5021" i="16"/>
  <c r="B5021" i="16"/>
  <c r="A5021" i="16"/>
  <c r="M5020" i="16"/>
  <c r="K5020" i="16"/>
  <c r="D5020" i="16"/>
  <c r="C5020" i="16"/>
  <c r="B5020" i="16"/>
  <c r="A5020" i="16"/>
  <c r="P5019" i="16"/>
  <c r="M5019" i="16"/>
  <c r="D5019" i="16"/>
  <c r="C5019" i="16"/>
  <c r="B5019" i="16"/>
  <c r="A5019" i="16"/>
  <c r="D5018" i="16"/>
  <c r="C5018" i="16"/>
  <c r="B5018" i="16"/>
  <c r="A5018" i="16"/>
  <c r="K5017" i="16"/>
  <c r="J5017" i="16"/>
  <c r="H5017" i="16"/>
  <c r="G5017" i="16"/>
  <c r="D5017" i="16"/>
  <c r="C5017" i="16"/>
  <c r="B5017" i="16"/>
  <c r="A5017" i="16"/>
  <c r="T5016" i="16"/>
  <c r="L5016" i="16"/>
  <c r="D5016" i="16"/>
  <c r="C5016" i="16"/>
  <c r="B5016" i="16"/>
  <c r="A5016" i="16"/>
  <c r="D5015" i="16"/>
  <c r="C5015" i="16"/>
  <c r="B5015" i="16"/>
  <c r="A5015" i="16"/>
  <c r="D5014" i="16"/>
  <c r="C5014" i="16"/>
  <c r="B5014" i="16"/>
  <c r="A5014" i="16"/>
  <c r="D5013" i="16"/>
  <c r="C5013" i="16"/>
  <c r="B5013" i="16"/>
  <c r="A5013" i="16"/>
  <c r="T5012" i="16"/>
  <c r="G5012" i="16"/>
  <c r="D5012" i="16"/>
  <c r="C5012" i="16"/>
  <c r="B5012" i="16"/>
  <c r="A5012" i="16"/>
  <c r="D5011" i="16"/>
  <c r="C5011" i="16"/>
  <c r="B5011" i="16"/>
  <c r="A5011" i="16"/>
  <c r="E5010" i="16"/>
  <c r="D5010" i="16"/>
  <c r="C5010" i="16"/>
  <c r="B5010" i="16"/>
  <c r="A5010" i="16"/>
  <c r="P5009" i="16"/>
  <c r="O5009" i="16"/>
  <c r="N5009" i="16"/>
  <c r="M5009" i="16"/>
  <c r="H5009" i="16"/>
  <c r="G5009" i="16"/>
  <c r="F5009" i="16"/>
  <c r="E5009" i="16"/>
  <c r="D5009" i="16"/>
  <c r="C5009" i="16"/>
  <c r="B5009" i="16"/>
  <c r="A5009" i="16"/>
  <c r="T5009" i="16" s="1"/>
  <c r="P5008" i="16"/>
  <c r="M5008" i="16"/>
  <c r="L5008" i="16"/>
  <c r="E5008" i="16"/>
  <c r="D5008" i="16"/>
  <c r="C5008" i="16"/>
  <c r="B5008" i="16"/>
  <c r="A5008" i="16"/>
  <c r="N5008" i="16" s="1"/>
  <c r="L5007" i="16"/>
  <c r="J5007" i="16"/>
  <c r="G5007" i="16"/>
  <c r="F5007" i="16"/>
  <c r="D5007" i="16"/>
  <c r="C5007" i="16"/>
  <c r="B5007" i="16"/>
  <c r="A5007" i="16"/>
  <c r="P5006" i="16"/>
  <c r="O5006" i="16"/>
  <c r="N5006" i="16"/>
  <c r="G5006" i="16"/>
  <c r="F5006" i="16"/>
  <c r="E5006" i="16"/>
  <c r="D5006" i="16"/>
  <c r="C5006" i="16"/>
  <c r="B5006" i="16"/>
  <c r="A5006" i="16"/>
  <c r="L5006" i="16" s="1"/>
  <c r="D5005" i="16"/>
  <c r="C5005" i="16"/>
  <c r="B5005" i="16"/>
  <c r="A5005" i="16"/>
  <c r="D5004" i="16"/>
  <c r="C5004" i="16"/>
  <c r="B5004" i="16"/>
  <c r="A5004" i="16"/>
  <c r="D5003" i="16"/>
  <c r="C5003" i="16"/>
  <c r="B5003" i="16"/>
  <c r="A5003" i="16"/>
  <c r="K5002" i="16"/>
  <c r="D5002" i="16"/>
  <c r="C5002" i="16"/>
  <c r="B5002" i="16"/>
  <c r="A5002" i="16"/>
  <c r="L5001" i="16"/>
  <c r="K5001" i="16"/>
  <c r="J5001" i="16"/>
  <c r="H5001" i="16"/>
  <c r="D5001" i="16"/>
  <c r="C5001" i="16"/>
  <c r="B5001" i="16"/>
  <c r="A5001" i="16"/>
  <c r="O5000" i="16"/>
  <c r="K5000" i="16"/>
  <c r="D5000" i="16"/>
  <c r="C5000" i="16"/>
  <c r="B5000" i="16"/>
  <c r="A5000" i="16"/>
  <c r="T4999" i="16"/>
  <c r="P4999" i="16"/>
  <c r="H4999" i="16"/>
  <c r="G4999" i="16"/>
  <c r="F4999" i="16"/>
  <c r="D4999" i="16"/>
  <c r="C4999" i="16"/>
  <c r="B4999" i="16"/>
  <c r="A4999" i="16"/>
  <c r="O4999" i="16" s="1"/>
  <c r="D4998" i="16"/>
  <c r="C4998" i="16"/>
  <c r="B4998" i="16"/>
  <c r="A4998" i="16"/>
  <c r="F4997" i="16"/>
  <c r="D4997" i="16"/>
  <c r="C4997" i="16"/>
  <c r="B4997" i="16"/>
  <c r="A4997" i="16"/>
  <c r="D4996" i="16"/>
  <c r="C4996" i="16"/>
  <c r="B4996" i="16"/>
  <c r="A4996" i="16"/>
  <c r="T4995" i="16"/>
  <c r="P4995" i="16"/>
  <c r="K4995" i="16"/>
  <c r="H4995" i="16"/>
  <c r="F4995" i="16"/>
  <c r="E4995" i="16"/>
  <c r="D4995" i="16"/>
  <c r="C4995" i="16"/>
  <c r="B4995" i="16"/>
  <c r="A4995" i="16"/>
  <c r="I4995" i="16" s="1"/>
  <c r="O4994" i="16"/>
  <c r="M4994" i="16"/>
  <c r="K4994" i="16"/>
  <c r="D4994" i="16"/>
  <c r="C4994" i="16"/>
  <c r="B4994" i="16"/>
  <c r="A4994" i="16"/>
  <c r="O4993" i="16"/>
  <c r="K4993" i="16"/>
  <c r="J4993" i="16"/>
  <c r="H4993" i="16"/>
  <c r="D4993" i="16"/>
  <c r="C4993" i="16"/>
  <c r="B4993" i="16"/>
  <c r="A4993" i="16"/>
  <c r="D4992" i="16"/>
  <c r="C4992" i="16"/>
  <c r="B4992" i="16"/>
  <c r="A4992" i="16"/>
  <c r="L4991" i="16"/>
  <c r="I4991" i="16"/>
  <c r="D4991" i="16"/>
  <c r="C4991" i="16"/>
  <c r="B4991" i="16"/>
  <c r="A4991" i="16"/>
  <c r="M4990" i="16"/>
  <c r="D4990" i="16"/>
  <c r="C4990" i="16"/>
  <c r="B4990" i="16"/>
  <c r="A4990" i="16"/>
  <c r="N4990" i="16" s="1"/>
  <c r="D4989" i="16"/>
  <c r="C4989" i="16"/>
  <c r="B4989" i="16"/>
  <c r="A4989" i="16"/>
  <c r="D4988" i="16"/>
  <c r="C4988" i="16"/>
  <c r="B4988" i="16"/>
  <c r="A4988" i="16"/>
  <c r="J4987" i="16"/>
  <c r="I4987" i="16"/>
  <c r="H4987" i="16"/>
  <c r="F4987" i="16"/>
  <c r="D4987" i="16"/>
  <c r="C4987" i="16"/>
  <c r="B4987" i="16"/>
  <c r="A4987" i="16"/>
  <c r="T4987" i="16" s="1"/>
  <c r="D4986" i="16"/>
  <c r="C4986" i="16"/>
  <c r="B4986" i="16"/>
  <c r="A4986" i="16"/>
  <c r="P4985" i="16"/>
  <c r="O4985" i="16"/>
  <c r="H4985" i="16"/>
  <c r="G4985" i="16"/>
  <c r="F4985" i="16"/>
  <c r="D4985" i="16"/>
  <c r="C4985" i="16"/>
  <c r="B4985" i="16"/>
  <c r="A4985" i="16"/>
  <c r="J4985" i="16" s="1"/>
  <c r="O4984" i="16"/>
  <c r="H4984" i="16"/>
  <c r="D4984" i="16"/>
  <c r="C4984" i="16"/>
  <c r="B4984" i="16"/>
  <c r="A4984" i="16"/>
  <c r="T4983" i="16"/>
  <c r="P4983" i="16"/>
  <c r="O4983" i="16"/>
  <c r="N4983" i="16"/>
  <c r="H4983" i="16"/>
  <c r="G4983" i="16"/>
  <c r="F4983" i="16"/>
  <c r="E4983" i="16"/>
  <c r="D4983" i="16"/>
  <c r="C4983" i="16"/>
  <c r="B4983" i="16"/>
  <c r="A4983" i="16"/>
  <c r="K4983" i="16" s="1"/>
  <c r="T4982" i="16"/>
  <c r="P4982" i="16"/>
  <c r="O4982" i="16"/>
  <c r="N4982" i="16"/>
  <c r="M4982" i="16"/>
  <c r="G4982" i="16"/>
  <c r="F4982" i="16"/>
  <c r="E4982" i="16"/>
  <c r="D4982" i="16"/>
  <c r="C4982" i="16"/>
  <c r="B4982" i="16"/>
  <c r="A4982" i="16"/>
  <c r="L4982" i="16" s="1"/>
  <c r="P4981" i="16"/>
  <c r="O4981" i="16"/>
  <c r="N4981" i="16"/>
  <c r="D4981" i="16"/>
  <c r="C4981" i="16"/>
  <c r="B4981" i="16"/>
  <c r="A4981" i="16"/>
  <c r="P4980" i="16"/>
  <c r="K4980" i="16"/>
  <c r="G4980" i="16"/>
  <c r="E4980" i="16"/>
  <c r="D4980" i="16"/>
  <c r="C4980" i="16"/>
  <c r="B4980" i="16"/>
  <c r="A4980" i="16"/>
  <c r="I4980" i="16" s="1"/>
  <c r="L4979" i="16"/>
  <c r="K4979" i="16"/>
  <c r="J4979" i="16"/>
  <c r="D4979" i="16"/>
  <c r="C4979" i="16"/>
  <c r="B4979" i="16"/>
  <c r="A4979" i="16"/>
  <c r="M4979" i="16" s="1"/>
  <c r="L4978" i="16"/>
  <c r="K4978" i="16"/>
  <c r="D4978" i="16"/>
  <c r="C4978" i="16"/>
  <c r="B4978" i="16"/>
  <c r="A4978" i="16"/>
  <c r="M4978" i="16" s="1"/>
  <c r="N4977" i="16"/>
  <c r="M4977" i="16"/>
  <c r="K4977" i="16"/>
  <c r="D4977" i="16"/>
  <c r="C4977" i="16"/>
  <c r="B4977" i="16"/>
  <c r="A4977" i="16"/>
  <c r="G4976" i="16"/>
  <c r="D4976" i="16"/>
  <c r="C4976" i="16"/>
  <c r="B4976" i="16"/>
  <c r="A4976" i="16"/>
  <c r="H4975" i="16"/>
  <c r="G4975" i="16"/>
  <c r="D4975" i="16"/>
  <c r="C4975" i="16"/>
  <c r="B4975" i="16"/>
  <c r="A4975" i="16"/>
  <c r="T4975" i="16" s="1"/>
  <c r="J4974" i="16"/>
  <c r="I4974" i="16"/>
  <c r="D4974" i="16"/>
  <c r="C4974" i="16"/>
  <c r="B4974" i="16"/>
  <c r="A4974" i="16"/>
  <c r="P4974" i="16" s="1"/>
  <c r="H4973" i="16"/>
  <c r="G4973" i="16"/>
  <c r="D4973" i="16"/>
  <c r="C4973" i="16"/>
  <c r="B4973" i="16"/>
  <c r="A4973" i="16"/>
  <c r="J4973" i="16" s="1"/>
  <c r="I4972" i="16"/>
  <c r="H4972" i="16"/>
  <c r="D4972" i="16"/>
  <c r="C4972" i="16"/>
  <c r="B4972" i="16"/>
  <c r="A4972" i="16"/>
  <c r="O4972" i="16" s="1"/>
  <c r="N4971" i="16"/>
  <c r="M4971" i="16"/>
  <c r="D4971" i="16"/>
  <c r="C4971" i="16"/>
  <c r="B4971" i="16"/>
  <c r="A4971" i="16"/>
  <c r="D4970" i="16"/>
  <c r="C4970" i="16"/>
  <c r="B4970" i="16"/>
  <c r="A4970" i="16"/>
  <c r="P4969" i="16"/>
  <c r="O4969" i="16"/>
  <c r="N4969" i="16"/>
  <c r="M4969" i="16"/>
  <c r="H4969" i="16"/>
  <c r="G4969" i="16"/>
  <c r="F4969" i="16"/>
  <c r="E4969" i="16"/>
  <c r="D4969" i="16"/>
  <c r="C4969" i="16"/>
  <c r="B4969" i="16"/>
  <c r="A4969" i="16"/>
  <c r="T4969" i="16" s="1"/>
  <c r="N4968" i="16"/>
  <c r="M4968" i="16"/>
  <c r="L4968" i="16"/>
  <c r="K4968" i="16"/>
  <c r="D4968" i="16"/>
  <c r="C4968" i="16"/>
  <c r="B4968" i="16"/>
  <c r="A4968" i="16"/>
  <c r="O4967" i="16"/>
  <c r="N4967" i="16"/>
  <c r="F4967" i="16"/>
  <c r="E4967" i="16"/>
  <c r="D4967" i="16"/>
  <c r="C4967" i="16"/>
  <c r="B4967" i="16"/>
  <c r="A4967" i="16"/>
  <c r="K4967" i="16" s="1"/>
  <c r="K4966" i="16"/>
  <c r="J4966" i="16"/>
  <c r="F4966" i="16"/>
  <c r="E4966" i="16"/>
  <c r="D4966" i="16"/>
  <c r="C4966" i="16"/>
  <c r="B4966" i="16"/>
  <c r="A4966" i="16"/>
  <c r="O4965" i="16"/>
  <c r="L4965" i="16"/>
  <c r="K4965" i="16"/>
  <c r="J4965" i="16"/>
  <c r="D4965" i="16"/>
  <c r="C4965" i="16"/>
  <c r="B4965" i="16"/>
  <c r="A4965" i="16"/>
  <c r="F4965" i="16" s="1"/>
  <c r="L4964" i="16"/>
  <c r="K4964" i="16"/>
  <c r="J4964" i="16"/>
  <c r="D4964" i="16"/>
  <c r="C4964" i="16"/>
  <c r="B4964" i="16"/>
  <c r="A4964" i="16"/>
  <c r="I4964" i="16" s="1"/>
  <c r="L4963" i="16"/>
  <c r="K4963" i="16"/>
  <c r="J4963" i="16"/>
  <c r="D4963" i="16"/>
  <c r="C4963" i="16"/>
  <c r="B4963" i="16"/>
  <c r="A4963" i="16"/>
  <c r="I4963" i="16" s="1"/>
  <c r="D4962" i="16"/>
  <c r="C4962" i="16"/>
  <c r="B4962" i="16"/>
  <c r="A4962" i="16"/>
  <c r="N4961" i="16"/>
  <c r="H4961" i="16"/>
  <c r="G4961" i="16"/>
  <c r="F4961" i="16"/>
  <c r="E4961" i="16"/>
  <c r="D4961" i="16"/>
  <c r="C4961" i="16"/>
  <c r="B4961" i="16"/>
  <c r="A4961" i="16"/>
  <c r="H4960" i="16"/>
  <c r="G4960" i="16"/>
  <c r="F4960" i="16"/>
  <c r="E4960" i="16"/>
  <c r="D4960" i="16"/>
  <c r="C4960" i="16"/>
  <c r="B4960" i="16"/>
  <c r="A4960" i="16"/>
  <c r="T4959" i="16"/>
  <c r="P4959" i="16"/>
  <c r="O4959" i="16"/>
  <c r="N4959" i="16"/>
  <c r="D4959" i="16"/>
  <c r="C4959" i="16"/>
  <c r="B4959" i="16"/>
  <c r="A4959" i="16"/>
  <c r="D4958" i="16"/>
  <c r="C4958" i="16"/>
  <c r="B4958" i="16"/>
  <c r="A4958" i="16"/>
  <c r="P4957" i="16"/>
  <c r="N4957" i="16"/>
  <c r="L4957" i="16"/>
  <c r="K4957" i="16"/>
  <c r="F4957" i="16"/>
  <c r="D4957" i="16"/>
  <c r="C4957" i="16"/>
  <c r="B4957" i="16"/>
  <c r="A4957" i="16"/>
  <c r="M4956" i="16"/>
  <c r="L4956" i="16"/>
  <c r="H4956" i="16"/>
  <c r="D4956" i="16"/>
  <c r="C4956" i="16"/>
  <c r="B4956" i="16"/>
  <c r="A4956" i="16"/>
  <c r="M4955" i="16"/>
  <c r="D4955" i="16"/>
  <c r="C4955" i="16"/>
  <c r="B4955" i="16"/>
  <c r="A4955" i="16"/>
  <c r="D4954" i="16"/>
  <c r="C4954" i="16"/>
  <c r="B4954" i="16"/>
  <c r="A4954" i="16"/>
  <c r="D4953" i="16"/>
  <c r="C4953" i="16"/>
  <c r="B4953" i="16"/>
  <c r="A4953" i="16"/>
  <c r="T4952" i="16"/>
  <c r="M4952" i="16"/>
  <c r="D4952" i="16"/>
  <c r="C4952" i="16"/>
  <c r="B4952" i="16"/>
  <c r="A4952" i="16"/>
  <c r="L4952" i="16" s="1"/>
  <c r="T4951" i="16"/>
  <c r="I4951" i="16"/>
  <c r="H4951" i="16"/>
  <c r="D4951" i="16"/>
  <c r="C4951" i="16"/>
  <c r="B4951" i="16"/>
  <c r="A4951" i="16"/>
  <c r="L4951" i="16" s="1"/>
  <c r="K4950" i="16"/>
  <c r="J4950" i="16"/>
  <c r="I4950" i="16"/>
  <c r="H4950" i="16"/>
  <c r="D4950" i="16"/>
  <c r="C4950" i="16"/>
  <c r="B4950" i="16"/>
  <c r="A4950" i="16"/>
  <c r="L4949" i="16"/>
  <c r="K4949" i="16"/>
  <c r="J4949" i="16"/>
  <c r="I4949" i="16"/>
  <c r="D4949" i="16"/>
  <c r="C4949" i="16"/>
  <c r="B4949" i="16"/>
  <c r="A4949" i="16"/>
  <c r="T4948" i="16"/>
  <c r="P4948" i="16"/>
  <c r="K4948" i="16"/>
  <c r="G4948" i="16"/>
  <c r="D4948" i="16"/>
  <c r="C4948" i="16"/>
  <c r="B4948" i="16"/>
  <c r="A4948" i="16"/>
  <c r="I4947" i="16"/>
  <c r="H4947" i="16"/>
  <c r="F4947" i="16"/>
  <c r="E4947" i="16"/>
  <c r="D4947" i="16"/>
  <c r="C4947" i="16"/>
  <c r="B4947" i="16"/>
  <c r="A4947" i="16"/>
  <c r="O4946" i="16"/>
  <c r="N4946" i="16"/>
  <c r="M4946" i="16"/>
  <c r="K4946" i="16"/>
  <c r="D4946" i="16"/>
  <c r="C4946" i="16"/>
  <c r="B4946" i="16"/>
  <c r="A4946" i="16"/>
  <c r="M4945" i="16"/>
  <c r="K4945" i="16"/>
  <c r="J4945" i="16"/>
  <c r="H4945" i="16"/>
  <c r="E4945" i="16"/>
  <c r="D4945" i="16"/>
  <c r="C4945" i="16"/>
  <c r="B4945" i="16"/>
  <c r="A4945" i="16"/>
  <c r="P4944" i="16"/>
  <c r="M4944" i="16"/>
  <c r="G4944" i="16"/>
  <c r="E4944" i="16"/>
  <c r="D4944" i="16"/>
  <c r="C4944" i="16"/>
  <c r="B4944" i="16"/>
  <c r="A4944" i="16"/>
  <c r="P4943" i="16"/>
  <c r="O4943" i="16"/>
  <c r="N4943" i="16"/>
  <c r="M4943" i="16"/>
  <c r="G4943" i="16"/>
  <c r="F4943" i="16"/>
  <c r="E4943" i="16"/>
  <c r="D4943" i="16"/>
  <c r="C4943" i="16"/>
  <c r="B4943" i="16"/>
  <c r="A4943" i="16"/>
  <c r="K4943" i="16" s="1"/>
  <c r="O4942" i="16"/>
  <c r="M4942" i="16"/>
  <c r="K4942" i="16"/>
  <c r="J4942" i="16"/>
  <c r="G4942" i="16"/>
  <c r="D4942" i="16"/>
  <c r="C4942" i="16"/>
  <c r="B4942" i="16"/>
  <c r="A4942" i="16"/>
  <c r="P4941" i="16"/>
  <c r="O4941" i="16"/>
  <c r="K4941" i="16"/>
  <c r="G4941" i="16"/>
  <c r="F4941" i="16"/>
  <c r="D4941" i="16"/>
  <c r="C4941" i="16"/>
  <c r="B4941" i="16"/>
  <c r="A4941" i="16"/>
  <c r="I4941" i="16" s="1"/>
  <c r="L4940" i="16"/>
  <c r="K4940" i="16"/>
  <c r="J4940" i="16"/>
  <c r="D4940" i="16"/>
  <c r="C4940" i="16"/>
  <c r="B4940" i="16"/>
  <c r="A4940" i="16"/>
  <c r="M4940" i="16" s="1"/>
  <c r="L4939" i="16"/>
  <c r="K4939" i="16"/>
  <c r="D4939" i="16"/>
  <c r="C4939" i="16"/>
  <c r="B4939" i="16"/>
  <c r="A4939" i="16"/>
  <c r="M4939" i="16" s="1"/>
  <c r="G4938" i="16"/>
  <c r="D4938" i="16"/>
  <c r="C4938" i="16"/>
  <c r="B4938" i="16"/>
  <c r="A4938" i="16"/>
  <c r="P4937" i="16"/>
  <c r="M4937" i="16"/>
  <c r="K4937" i="16"/>
  <c r="J4937" i="16"/>
  <c r="H4937" i="16"/>
  <c r="G4937" i="16"/>
  <c r="D4937" i="16"/>
  <c r="C4937" i="16"/>
  <c r="B4937" i="16"/>
  <c r="A4937" i="16"/>
  <c r="T4936" i="16"/>
  <c r="P4936" i="16"/>
  <c r="G4936" i="16"/>
  <c r="F4936" i="16"/>
  <c r="D4936" i="16"/>
  <c r="C4936" i="16"/>
  <c r="B4936" i="16"/>
  <c r="A4936" i="16"/>
  <c r="D4935" i="16"/>
  <c r="C4935" i="16"/>
  <c r="B4935" i="16"/>
  <c r="A4935" i="16"/>
  <c r="T4934" i="16"/>
  <c r="I4934" i="16"/>
  <c r="H4934" i="16"/>
  <c r="G4934" i="16"/>
  <c r="F4934" i="16"/>
  <c r="D4934" i="16"/>
  <c r="C4934" i="16"/>
  <c r="B4934" i="16"/>
  <c r="A4934" i="16"/>
  <c r="P4934" i="16" s="1"/>
  <c r="D4933" i="16"/>
  <c r="C4933" i="16"/>
  <c r="B4933" i="16"/>
  <c r="A4933" i="16"/>
  <c r="D4932" i="16"/>
  <c r="C4932" i="16"/>
  <c r="B4932" i="16"/>
  <c r="A4932" i="16"/>
  <c r="T4931" i="16"/>
  <c r="P4931" i="16"/>
  <c r="N4931" i="16"/>
  <c r="M4931" i="16"/>
  <c r="K4931" i="16"/>
  <c r="H4931" i="16"/>
  <c r="F4931" i="16"/>
  <c r="E4931" i="16"/>
  <c r="D4931" i="16"/>
  <c r="C4931" i="16"/>
  <c r="B4931" i="16"/>
  <c r="A4931" i="16"/>
  <c r="I4931" i="16" s="1"/>
  <c r="M4930" i="16"/>
  <c r="L4930" i="16"/>
  <c r="F4930" i="16"/>
  <c r="D4930" i="16"/>
  <c r="C4930" i="16"/>
  <c r="B4930" i="16"/>
  <c r="A4930" i="16"/>
  <c r="N4930" i="16" s="1"/>
  <c r="P4929" i="16"/>
  <c r="O4929" i="16"/>
  <c r="K4929" i="16"/>
  <c r="H4929" i="16"/>
  <c r="G4929" i="16"/>
  <c r="F4929" i="16"/>
  <c r="E4929" i="16"/>
  <c r="D4929" i="16"/>
  <c r="C4929" i="16"/>
  <c r="B4929" i="16"/>
  <c r="A4929" i="16"/>
  <c r="N4928" i="16"/>
  <c r="M4928" i="16"/>
  <c r="L4928" i="16"/>
  <c r="K4928" i="16"/>
  <c r="D4928" i="16"/>
  <c r="C4928" i="16"/>
  <c r="B4928" i="16"/>
  <c r="A4928" i="16"/>
  <c r="N4927" i="16"/>
  <c r="M4927" i="16"/>
  <c r="E4927" i="16"/>
  <c r="D4927" i="16"/>
  <c r="C4927" i="16"/>
  <c r="B4927" i="16"/>
  <c r="A4927" i="16"/>
  <c r="K4926" i="16"/>
  <c r="J4926" i="16"/>
  <c r="I4926" i="16"/>
  <c r="E4926" i="16"/>
  <c r="D4926" i="16"/>
  <c r="C4926" i="16"/>
  <c r="B4926" i="16"/>
  <c r="A4926" i="16"/>
  <c r="N4926" i="16" s="1"/>
  <c r="L4925" i="16"/>
  <c r="K4925" i="16"/>
  <c r="J4925" i="16"/>
  <c r="I4925" i="16"/>
  <c r="D4925" i="16"/>
  <c r="C4925" i="16"/>
  <c r="B4925" i="16"/>
  <c r="A4925" i="16"/>
  <c r="D4924" i="16"/>
  <c r="C4924" i="16"/>
  <c r="B4924" i="16"/>
  <c r="A4924" i="16"/>
  <c r="D4923" i="16"/>
  <c r="C4923" i="16"/>
  <c r="B4923" i="16"/>
  <c r="A4923" i="16"/>
  <c r="T4923" i="16" s="1"/>
  <c r="J4922" i="16"/>
  <c r="D4922" i="16"/>
  <c r="C4922" i="16"/>
  <c r="B4922" i="16"/>
  <c r="A4922" i="16"/>
  <c r="P4921" i="16"/>
  <c r="O4921" i="16"/>
  <c r="N4921" i="16"/>
  <c r="M4921" i="16"/>
  <c r="L4921" i="16"/>
  <c r="K4921" i="16"/>
  <c r="G4921" i="16"/>
  <c r="F4921" i="16"/>
  <c r="E4921" i="16"/>
  <c r="D4921" i="16"/>
  <c r="C4921" i="16"/>
  <c r="B4921" i="16"/>
  <c r="A4921" i="16"/>
  <c r="T4921" i="16" s="1"/>
  <c r="P4920" i="16"/>
  <c r="O4920" i="16"/>
  <c r="N4920" i="16"/>
  <c r="L4920" i="16"/>
  <c r="K4920" i="16"/>
  <c r="F4920" i="16"/>
  <c r="E4920" i="16"/>
  <c r="D4920" i="16"/>
  <c r="C4920" i="16"/>
  <c r="B4920" i="16"/>
  <c r="A4920" i="16"/>
  <c r="L4919" i="16"/>
  <c r="J4919" i="16"/>
  <c r="H4919" i="16"/>
  <c r="E4919" i="16"/>
  <c r="D4919" i="16"/>
  <c r="C4919" i="16"/>
  <c r="B4919" i="16"/>
  <c r="A4919" i="16"/>
  <c r="M4918" i="16"/>
  <c r="K4918" i="16"/>
  <c r="H4918" i="16"/>
  <c r="D4918" i="16"/>
  <c r="C4918" i="16"/>
  <c r="B4918" i="16"/>
  <c r="A4918" i="16"/>
  <c r="N4918" i="16" s="1"/>
  <c r="L4917" i="16"/>
  <c r="H4917" i="16"/>
  <c r="G4917" i="16"/>
  <c r="F4917" i="16"/>
  <c r="D4917" i="16"/>
  <c r="C4917" i="16"/>
  <c r="B4917" i="16"/>
  <c r="A4917" i="16"/>
  <c r="O4916" i="16"/>
  <c r="M4916" i="16"/>
  <c r="L4916" i="16"/>
  <c r="K4916" i="16"/>
  <c r="D4916" i="16"/>
  <c r="C4916" i="16"/>
  <c r="B4916" i="16"/>
  <c r="A4916" i="16"/>
  <c r="N4915" i="16"/>
  <c r="L4915" i="16"/>
  <c r="E4915" i="16"/>
  <c r="D4915" i="16"/>
  <c r="C4915" i="16"/>
  <c r="B4915" i="16"/>
  <c r="A4915" i="16"/>
  <c r="D4914" i="16"/>
  <c r="C4914" i="16"/>
  <c r="B4914" i="16"/>
  <c r="A4914" i="16"/>
  <c r="M4913" i="16"/>
  <c r="K4913" i="16"/>
  <c r="J4913" i="16"/>
  <c r="H4913" i="16"/>
  <c r="G4913" i="16"/>
  <c r="D4913" i="16"/>
  <c r="C4913" i="16"/>
  <c r="B4913" i="16"/>
  <c r="A4913" i="16"/>
  <c r="L4912" i="16"/>
  <c r="K4912" i="16"/>
  <c r="D4912" i="16"/>
  <c r="C4912" i="16"/>
  <c r="B4912" i="16"/>
  <c r="A4912" i="16"/>
  <c r="T4911" i="16"/>
  <c r="D4911" i="16"/>
  <c r="C4911" i="16"/>
  <c r="B4911" i="16"/>
  <c r="A4911" i="16"/>
  <c r="T4910" i="16"/>
  <c r="G4910" i="16"/>
  <c r="D4910" i="16"/>
  <c r="C4910" i="16"/>
  <c r="B4910" i="16"/>
  <c r="A4910" i="16"/>
  <c r="T4909" i="16"/>
  <c r="D4909" i="16"/>
  <c r="C4909" i="16"/>
  <c r="B4909" i="16"/>
  <c r="A4909" i="16"/>
  <c r="P4909" i="16" s="1"/>
  <c r="G4908" i="16"/>
  <c r="E4908" i="16"/>
  <c r="D4908" i="16"/>
  <c r="C4908" i="16"/>
  <c r="B4908" i="16"/>
  <c r="A4908" i="16"/>
  <c r="T4908" i="16" s="1"/>
  <c r="L4907" i="16"/>
  <c r="K4907" i="16"/>
  <c r="H4907" i="16"/>
  <c r="D4907" i="16"/>
  <c r="C4907" i="16"/>
  <c r="B4907" i="16"/>
  <c r="A4907" i="16"/>
  <c r="M4907" i="16" s="1"/>
  <c r="T4906" i="16"/>
  <c r="O4906" i="16"/>
  <c r="K4906" i="16"/>
  <c r="G4906" i="16"/>
  <c r="F4906" i="16"/>
  <c r="E4906" i="16"/>
  <c r="D4906" i="16"/>
  <c r="C4906" i="16"/>
  <c r="B4906" i="16"/>
  <c r="A4906" i="16"/>
  <c r="P4905" i="16"/>
  <c r="O4905" i="16"/>
  <c r="N4905" i="16"/>
  <c r="M4905" i="16"/>
  <c r="L4905" i="16"/>
  <c r="K4905" i="16"/>
  <c r="H4905" i="16"/>
  <c r="G4905" i="16"/>
  <c r="F4905" i="16"/>
  <c r="E4905" i="16"/>
  <c r="D4905" i="16"/>
  <c r="C4905" i="16"/>
  <c r="B4905" i="16"/>
  <c r="A4905" i="16"/>
  <c r="T4905" i="16" s="1"/>
  <c r="O4904" i="16"/>
  <c r="M4904" i="16"/>
  <c r="L4904" i="16"/>
  <c r="K4904" i="16"/>
  <c r="F4904" i="16"/>
  <c r="D4904" i="16"/>
  <c r="C4904" i="16"/>
  <c r="B4904" i="16"/>
  <c r="A4904" i="16"/>
  <c r="O4903" i="16"/>
  <c r="M4903" i="16"/>
  <c r="F4903" i="16"/>
  <c r="E4903" i="16"/>
  <c r="D4903" i="16"/>
  <c r="C4903" i="16"/>
  <c r="B4903" i="16"/>
  <c r="A4903" i="16"/>
  <c r="K4902" i="16"/>
  <c r="J4902" i="16"/>
  <c r="F4902" i="16"/>
  <c r="E4902" i="16"/>
  <c r="D4902" i="16"/>
  <c r="C4902" i="16"/>
  <c r="B4902" i="16"/>
  <c r="A4902" i="16"/>
  <c r="O4901" i="16"/>
  <c r="N4901" i="16"/>
  <c r="L4901" i="16"/>
  <c r="D4901" i="16"/>
  <c r="C4901" i="16"/>
  <c r="B4901" i="16"/>
  <c r="A4901" i="16"/>
  <c r="D4900" i="16"/>
  <c r="C4900" i="16"/>
  <c r="B4900" i="16"/>
  <c r="A4900" i="16"/>
  <c r="T4899" i="16"/>
  <c r="D4899" i="16"/>
  <c r="C4899" i="16"/>
  <c r="B4899" i="16"/>
  <c r="A4899" i="16"/>
  <c r="J4898" i="16"/>
  <c r="D4898" i="16"/>
  <c r="C4898" i="16"/>
  <c r="B4898" i="16"/>
  <c r="A4898" i="16"/>
  <c r="K4897" i="16"/>
  <c r="J4897" i="16"/>
  <c r="H4897" i="16"/>
  <c r="F4897" i="16"/>
  <c r="D4897" i="16"/>
  <c r="C4897" i="16"/>
  <c r="B4897" i="16"/>
  <c r="A4897" i="16"/>
  <c r="T4896" i="16"/>
  <c r="P4896" i="16"/>
  <c r="E4896" i="16"/>
  <c r="D4896" i="16"/>
  <c r="C4896" i="16"/>
  <c r="B4896" i="16"/>
  <c r="A4896" i="16"/>
  <c r="D4895" i="16"/>
  <c r="C4895" i="16"/>
  <c r="B4895" i="16"/>
  <c r="A4895" i="16"/>
  <c r="T4894" i="16"/>
  <c r="H4894" i="16"/>
  <c r="G4894" i="16"/>
  <c r="F4894" i="16"/>
  <c r="E4894" i="16"/>
  <c r="D4894" i="16"/>
  <c r="C4894" i="16"/>
  <c r="B4894" i="16"/>
  <c r="A4894" i="16"/>
  <c r="P4894" i="16" s="1"/>
  <c r="T4893" i="16"/>
  <c r="P4893" i="16"/>
  <c r="O4893" i="16"/>
  <c r="L4893" i="16"/>
  <c r="K4893" i="16"/>
  <c r="G4893" i="16"/>
  <c r="F4893" i="16"/>
  <c r="D4893" i="16"/>
  <c r="C4893" i="16"/>
  <c r="B4893" i="16"/>
  <c r="A4893" i="16"/>
  <c r="O4892" i="16"/>
  <c r="L4892" i="16"/>
  <c r="K4892" i="16"/>
  <c r="H4892" i="16"/>
  <c r="G4892" i="16"/>
  <c r="D4892" i="16"/>
  <c r="C4892" i="16"/>
  <c r="B4892" i="16"/>
  <c r="A4892" i="16"/>
  <c r="P4891" i="16"/>
  <c r="N4891" i="16"/>
  <c r="M4891" i="16"/>
  <c r="F4891" i="16"/>
  <c r="D4891" i="16"/>
  <c r="C4891" i="16"/>
  <c r="B4891" i="16"/>
  <c r="A4891" i="16"/>
  <c r="J4890" i="16"/>
  <c r="E4890" i="16"/>
  <c r="D4890" i="16"/>
  <c r="C4890" i="16"/>
  <c r="B4890" i="16"/>
  <c r="A4890" i="16"/>
  <c r="L4889" i="16"/>
  <c r="K4889" i="16"/>
  <c r="J4889" i="16"/>
  <c r="H4889" i="16"/>
  <c r="D4889" i="16"/>
  <c r="C4889" i="16"/>
  <c r="B4889" i="16"/>
  <c r="A4889" i="16"/>
  <c r="D4888" i="16"/>
  <c r="C4888" i="16"/>
  <c r="B4888" i="16"/>
  <c r="A4888" i="16"/>
  <c r="D4887" i="16"/>
  <c r="C4887" i="16"/>
  <c r="B4887" i="16"/>
  <c r="A4887" i="16"/>
  <c r="T4886" i="16"/>
  <c r="D4886" i="16"/>
  <c r="C4886" i="16"/>
  <c r="B4886" i="16"/>
  <c r="A4886" i="16"/>
  <c r="T4885" i="16"/>
  <c r="K4885" i="16"/>
  <c r="H4885" i="16"/>
  <c r="D4885" i="16"/>
  <c r="C4885" i="16"/>
  <c r="B4885" i="16"/>
  <c r="A4885" i="16"/>
  <c r="D4884" i="16"/>
  <c r="C4884" i="16"/>
  <c r="B4884" i="16"/>
  <c r="A4884" i="16"/>
  <c r="T4883" i="16"/>
  <c r="P4883" i="16"/>
  <c r="N4883" i="16"/>
  <c r="E4883" i="16"/>
  <c r="D4883" i="16"/>
  <c r="C4883" i="16"/>
  <c r="B4883" i="16"/>
  <c r="A4883" i="16"/>
  <c r="T4882" i="16"/>
  <c r="O4882" i="16"/>
  <c r="N4882" i="16"/>
  <c r="M4882" i="16"/>
  <c r="I4882" i="16"/>
  <c r="G4882" i="16"/>
  <c r="F4882" i="16"/>
  <c r="E4882" i="16"/>
  <c r="D4882" i="16"/>
  <c r="C4882" i="16"/>
  <c r="B4882" i="16"/>
  <c r="A4882" i="16"/>
  <c r="L4882" i="16" s="1"/>
  <c r="P4881" i="16"/>
  <c r="O4881" i="16"/>
  <c r="N4881" i="16"/>
  <c r="M4881" i="16"/>
  <c r="L4881" i="16"/>
  <c r="K4881" i="16"/>
  <c r="G4881" i="16"/>
  <c r="F4881" i="16"/>
  <c r="E4881" i="16"/>
  <c r="D4881" i="16"/>
  <c r="C4881" i="16"/>
  <c r="B4881" i="16"/>
  <c r="A4881" i="16"/>
  <c r="T4881" i="16" s="1"/>
  <c r="O4880" i="16"/>
  <c r="M4880" i="16"/>
  <c r="L4880" i="16"/>
  <c r="K4880" i="16"/>
  <c r="G4880" i="16"/>
  <c r="D4880" i="16"/>
  <c r="C4880" i="16"/>
  <c r="B4880" i="16"/>
  <c r="A4880" i="16"/>
  <c r="P4879" i="16"/>
  <c r="L4879" i="16"/>
  <c r="D4879" i="16"/>
  <c r="C4879" i="16"/>
  <c r="B4879" i="16"/>
  <c r="A4879" i="16"/>
  <c r="N4878" i="16"/>
  <c r="M4878" i="16"/>
  <c r="F4878" i="16"/>
  <c r="D4878" i="16"/>
  <c r="C4878" i="16"/>
  <c r="B4878" i="16"/>
  <c r="A4878" i="16"/>
  <c r="O4878" i="16" s="1"/>
  <c r="K4877" i="16"/>
  <c r="F4877" i="16"/>
  <c r="D4877" i="16"/>
  <c r="C4877" i="16"/>
  <c r="B4877" i="16"/>
  <c r="A4877" i="16"/>
  <c r="L4876" i="16"/>
  <c r="K4876" i="16"/>
  <c r="J4876" i="16"/>
  <c r="E4876" i="16"/>
  <c r="D4876" i="16"/>
  <c r="C4876" i="16"/>
  <c r="B4876" i="16"/>
  <c r="A4876" i="16"/>
  <c r="O4876" i="16" s="1"/>
  <c r="L4875" i="16"/>
  <c r="K4875" i="16"/>
  <c r="J4875" i="16"/>
  <c r="I4875" i="16"/>
  <c r="D4875" i="16"/>
  <c r="C4875" i="16"/>
  <c r="B4875" i="16"/>
  <c r="A4875" i="16"/>
  <c r="D4874" i="16"/>
  <c r="C4874" i="16"/>
  <c r="B4874" i="16"/>
  <c r="A4874" i="16"/>
  <c r="N4873" i="16"/>
  <c r="D4873" i="16"/>
  <c r="C4873" i="16"/>
  <c r="B4873" i="16"/>
  <c r="A4873" i="16"/>
  <c r="D4872" i="16"/>
  <c r="C4872" i="16"/>
  <c r="B4872" i="16"/>
  <c r="A4872" i="16"/>
  <c r="J4871" i="16"/>
  <c r="F4871" i="16"/>
  <c r="D4871" i="16"/>
  <c r="C4871" i="16"/>
  <c r="B4871" i="16"/>
  <c r="A4871" i="16"/>
  <c r="J4870" i="16"/>
  <c r="F4870" i="16"/>
  <c r="D4870" i="16"/>
  <c r="C4870" i="16"/>
  <c r="B4870" i="16"/>
  <c r="A4870" i="16"/>
  <c r="P4870" i="16" s="1"/>
  <c r="G4869" i="16"/>
  <c r="D4869" i="16"/>
  <c r="C4869" i="16"/>
  <c r="B4869" i="16"/>
  <c r="A4869" i="16"/>
  <c r="O4868" i="16"/>
  <c r="L4868" i="16"/>
  <c r="K4868" i="16"/>
  <c r="I4868" i="16"/>
  <c r="H4868" i="16"/>
  <c r="D4868" i="16"/>
  <c r="C4868" i="16"/>
  <c r="B4868" i="16"/>
  <c r="A4868" i="16"/>
  <c r="D4867" i="16"/>
  <c r="C4867" i="16"/>
  <c r="B4867" i="16"/>
  <c r="A4867" i="16"/>
  <c r="O4866" i="16"/>
  <c r="N4866" i="16"/>
  <c r="M4866" i="16"/>
  <c r="D4866" i="16"/>
  <c r="C4866" i="16"/>
  <c r="B4866" i="16"/>
  <c r="A4866" i="16"/>
  <c r="P4865" i="16"/>
  <c r="O4865" i="16"/>
  <c r="L4865" i="16"/>
  <c r="J4865" i="16"/>
  <c r="H4865" i="16"/>
  <c r="G4865" i="16"/>
  <c r="F4865" i="16"/>
  <c r="D4865" i="16"/>
  <c r="C4865" i="16"/>
  <c r="B4865" i="16"/>
  <c r="A4865" i="16"/>
  <c r="D4864" i="16"/>
  <c r="C4864" i="16"/>
  <c r="B4864" i="16"/>
  <c r="A4864" i="16"/>
  <c r="D4863" i="16"/>
  <c r="C4863" i="16"/>
  <c r="B4863" i="16"/>
  <c r="A4863" i="16"/>
  <c r="D4862" i="16"/>
  <c r="C4862" i="16"/>
  <c r="B4862" i="16"/>
  <c r="A4862" i="16"/>
  <c r="D4861" i="16"/>
  <c r="C4861" i="16"/>
  <c r="B4861" i="16"/>
  <c r="A4861" i="16"/>
  <c r="N4861" i="16" s="1"/>
  <c r="T4860" i="16"/>
  <c r="J4860" i="16"/>
  <c r="D4860" i="16"/>
  <c r="C4860" i="16"/>
  <c r="B4860" i="16"/>
  <c r="A4860" i="16"/>
  <c r="D4859" i="16"/>
  <c r="C4859" i="16"/>
  <c r="B4859" i="16"/>
  <c r="A4859" i="16"/>
  <c r="D4858" i="16"/>
  <c r="C4858" i="16"/>
  <c r="B4858" i="16"/>
  <c r="A4858" i="16"/>
  <c r="P4857" i="16"/>
  <c r="O4857" i="16"/>
  <c r="M4857" i="16"/>
  <c r="H4857" i="16"/>
  <c r="G4857" i="16"/>
  <c r="F4857" i="16"/>
  <c r="E4857" i="16"/>
  <c r="D4857" i="16"/>
  <c r="C4857" i="16"/>
  <c r="B4857" i="16"/>
  <c r="A4857" i="16"/>
  <c r="T4856" i="16"/>
  <c r="P4856" i="16"/>
  <c r="O4856" i="16"/>
  <c r="N4856" i="16"/>
  <c r="M4856" i="16"/>
  <c r="H4856" i="16"/>
  <c r="G4856" i="16"/>
  <c r="F4856" i="16"/>
  <c r="E4856" i="16"/>
  <c r="D4856" i="16"/>
  <c r="C4856" i="16"/>
  <c r="B4856" i="16"/>
  <c r="A4856" i="16"/>
  <c r="J4856" i="16" s="1"/>
  <c r="T4855" i="16"/>
  <c r="P4855" i="16"/>
  <c r="O4855" i="16"/>
  <c r="N4855" i="16"/>
  <c r="M4855" i="16"/>
  <c r="L4855" i="16"/>
  <c r="G4855" i="16"/>
  <c r="F4855" i="16"/>
  <c r="E4855" i="16"/>
  <c r="D4855" i="16"/>
  <c r="C4855" i="16"/>
  <c r="B4855" i="16"/>
  <c r="A4855" i="16"/>
  <c r="K4855" i="16" s="1"/>
  <c r="P4854" i="16"/>
  <c r="O4854" i="16"/>
  <c r="N4854" i="16"/>
  <c r="K4854" i="16"/>
  <c r="J4854" i="16"/>
  <c r="F4854" i="16"/>
  <c r="E4854" i="16"/>
  <c r="D4854" i="16"/>
  <c r="C4854" i="16"/>
  <c r="B4854" i="16"/>
  <c r="A4854" i="16"/>
  <c r="O4853" i="16"/>
  <c r="L4853" i="16"/>
  <c r="K4853" i="16"/>
  <c r="H4853" i="16"/>
  <c r="G4853" i="16"/>
  <c r="D4853" i="16"/>
  <c r="C4853" i="16"/>
  <c r="B4853" i="16"/>
  <c r="A4853" i="16"/>
  <c r="D4852" i="16"/>
  <c r="C4852" i="16"/>
  <c r="B4852" i="16"/>
  <c r="A4852" i="16"/>
  <c r="L4851" i="16"/>
  <c r="D4851" i="16"/>
  <c r="C4851" i="16"/>
  <c r="B4851" i="16"/>
  <c r="A4851" i="16"/>
  <c r="M4850" i="16"/>
  <c r="D4850" i="16"/>
  <c r="C4850" i="16"/>
  <c r="B4850" i="16"/>
  <c r="A4850" i="16"/>
  <c r="I4850" i="16" s="1"/>
  <c r="P4849" i="16"/>
  <c r="O4849" i="16"/>
  <c r="K4849" i="16"/>
  <c r="H4849" i="16"/>
  <c r="G4849" i="16"/>
  <c r="F4849" i="16"/>
  <c r="E4849" i="16"/>
  <c r="D4849" i="16"/>
  <c r="C4849" i="16"/>
  <c r="B4849" i="16"/>
  <c r="A4849" i="16"/>
  <c r="T4848" i="16"/>
  <c r="P4848" i="16"/>
  <c r="K4848" i="16"/>
  <c r="I4848" i="16"/>
  <c r="D4848" i="16"/>
  <c r="C4848" i="16"/>
  <c r="B4848" i="16"/>
  <c r="A4848" i="16"/>
  <c r="L4847" i="16"/>
  <c r="J4847" i="16"/>
  <c r="D4847" i="16"/>
  <c r="C4847" i="16"/>
  <c r="B4847" i="16"/>
  <c r="A4847" i="16"/>
  <c r="D4846" i="16"/>
  <c r="C4846" i="16"/>
  <c r="B4846" i="16"/>
  <c r="A4846" i="16"/>
  <c r="D4845" i="16"/>
  <c r="C4845" i="16"/>
  <c r="B4845" i="16"/>
  <c r="A4845" i="16"/>
  <c r="D4844" i="16"/>
  <c r="C4844" i="16"/>
  <c r="B4844" i="16"/>
  <c r="A4844" i="16"/>
  <c r="T4843" i="16"/>
  <c r="P4843" i="16"/>
  <c r="N4843" i="16"/>
  <c r="M4843" i="16"/>
  <c r="L4843" i="16"/>
  <c r="H4843" i="16"/>
  <c r="F4843" i="16"/>
  <c r="E4843" i="16"/>
  <c r="D4843" i="16"/>
  <c r="C4843" i="16"/>
  <c r="B4843" i="16"/>
  <c r="A4843" i="16"/>
  <c r="K4843" i="16" s="1"/>
  <c r="O4842" i="16"/>
  <c r="N4842" i="16"/>
  <c r="D4842" i="16"/>
  <c r="C4842" i="16"/>
  <c r="B4842" i="16"/>
  <c r="A4842" i="16"/>
  <c r="K4841" i="16"/>
  <c r="G4841" i="16"/>
  <c r="F4841" i="16"/>
  <c r="D4841" i="16"/>
  <c r="C4841" i="16"/>
  <c r="B4841" i="16"/>
  <c r="A4841" i="16"/>
  <c r="O4841" i="16" s="1"/>
  <c r="D4840" i="16"/>
  <c r="C4840" i="16"/>
  <c r="B4840" i="16"/>
  <c r="A4840" i="16"/>
  <c r="J4839" i="16"/>
  <c r="D4839" i="16"/>
  <c r="C4839" i="16"/>
  <c r="B4839" i="16"/>
  <c r="A4839" i="16"/>
  <c r="K4838" i="16"/>
  <c r="D4838" i="16"/>
  <c r="C4838" i="16"/>
  <c r="B4838" i="16"/>
  <c r="A4838" i="16"/>
  <c r="D4837" i="16"/>
  <c r="C4837" i="16"/>
  <c r="B4837" i="16"/>
  <c r="A4837" i="16"/>
  <c r="M4836" i="16"/>
  <c r="L4836" i="16"/>
  <c r="D4836" i="16"/>
  <c r="C4836" i="16"/>
  <c r="B4836" i="16"/>
  <c r="A4836" i="16"/>
  <c r="D4835" i="16"/>
  <c r="C4835" i="16"/>
  <c r="B4835" i="16"/>
  <c r="A4835" i="16"/>
  <c r="T4834" i="16"/>
  <c r="J4834" i="16"/>
  <c r="I4834" i="16"/>
  <c r="G4834" i="16"/>
  <c r="F4834" i="16"/>
  <c r="D4834" i="16"/>
  <c r="C4834" i="16"/>
  <c r="B4834" i="16"/>
  <c r="A4834" i="16"/>
  <c r="O4834" i="16" s="1"/>
  <c r="P4833" i="16"/>
  <c r="J4833" i="16"/>
  <c r="H4833" i="16"/>
  <c r="G4833" i="16"/>
  <c r="E4833" i="16"/>
  <c r="D4833" i="16"/>
  <c r="C4833" i="16"/>
  <c r="B4833" i="16"/>
  <c r="A4833" i="16"/>
  <c r="I4832" i="16"/>
  <c r="H4832" i="16"/>
  <c r="G4832" i="16"/>
  <c r="D4832" i="16"/>
  <c r="C4832" i="16"/>
  <c r="B4832" i="16"/>
  <c r="A4832" i="16"/>
  <c r="N4832" i="16" s="1"/>
  <c r="P4831" i="16"/>
  <c r="O4831" i="16"/>
  <c r="G4831" i="16"/>
  <c r="D4831" i="16"/>
  <c r="C4831" i="16"/>
  <c r="B4831" i="16"/>
  <c r="A4831" i="16"/>
  <c r="T4831" i="16" s="1"/>
  <c r="D4830" i="16"/>
  <c r="C4830" i="16"/>
  <c r="B4830" i="16"/>
  <c r="A4830" i="16"/>
  <c r="O4829" i="16"/>
  <c r="N4829" i="16"/>
  <c r="D4829" i="16"/>
  <c r="C4829" i="16"/>
  <c r="B4829" i="16"/>
  <c r="A4829" i="16"/>
  <c r="P4829" i="16" s="1"/>
  <c r="T4828" i="16"/>
  <c r="M4828" i="16"/>
  <c r="K4828" i="16"/>
  <c r="H4828" i="16"/>
  <c r="G4828" i="16"/>
  <c r="E4828" i="16"/>
  <c r="D4828" i="16"/>
  <c r="C4828" i="16"/>
  <c r="B4828" i="16"/>
  <c r="A4828" i="16"/>
  <c r="M4827" i="16"/>
  <c r="L4827" i="16"/>
  <c r="E4827" i="16"/>
  <c r="D4827" i="16"/>
  <c r="C4827" i="16"/>
  <c r="B4827" i="16"/>
  <c r="A4827" i="16"/>
  <c r="P4827" i="16" s="1"/>
  <c r="D4826" i="16"/>
  <c r="C4826" i="16"/>
  <c r="B4826" i="16"/>
  <c r="A4826" i="16"/>
  <c r="N4825" i="16"/>
  <c r="J4825" i="16"/>
  <c r="F4825" i="16"/>
  <c r="E4825" i="16"/>
  <c r="D4825" i="16"/>
  <c r="C4825" i="16"/>
  <c r="B4825" i="16"/>
  <c r="A4825" i="16"/>
  <c r="T4824" i="16"/>
  <c r="I4824" i="16"/>
  <c r="H4824" i="16"/>
  <c r="D4824" i="16"/>
  <c r="C4824" i="16"/>
  <c r="B4824" i="16"/>
  <c r="A4824" i="16"/>
  <c r="L4824" i="16" s="1"/>
  <c r="L4823" i="16"/>
  <c r="J4823" i="16"/>
  <c r="I4823" i="16"/>
  <c r="H4823" i="16"/>
  <c r="D4823" i="16"/>
  <c r="C4823" i="16"/>
  <c r="B4823" i="16"/>
  <c r="A4823" i="16"/>
  <c r="M4822" i="16"/>
  <c r="K4822" i="16"/>
  <c r="J4822" i="16"/>
  <c r="I4822" i="16"/>
  <c r="D4822" i="16"/>
  <c r="C4822" i="16"/>
  <c r="B4822" i="16"/>
  <c r="A4822" i="16"/>
  <c r="T4821" i="16"/>
  <c r="L4821" i="16"/>
  <c r="K4821" i="16"/>
  <c r="D4821" i="16"/>
  <c r="C4821" i="16"/>
  <c r="B4821" i="16"/>
  <c r="A4821" i="16"/>
  <c r="G4820" i="16"/>
  <c r="D4820" i="16"/>
  <c r="C4820" i="16"/>
  <c r="B4820" i="16"/>
  <c r="A4820" i="16"/>
  <c r="D4819" i="16"/>
  <c r="C4819" i="16"/>
  <c r="B4819" i="16"/>
  <c r="A4819" i="16"/>
  <c r="T4818" i="16"/>
  <c r="O4818" i="16"/>
  <c r="N4818" i="16"/>
  <c r="M4818" i="16"/>
  <c r="L4818" i="16"/>
  <c r="I4818" i="16"/>
  <c r="G4818" i="16"/>
  <c r="F4818" i="16"/>
  <c r="E4818" i="16"/>
  <c r="D4818" i="16"/>
  <c r="C4818" i="16"/>
  <c r="B4818" i="16"/>
  <c r="A4818" i="16"/>
  <c r="K4818" i="16" s="1"/>
  <c r="P4817" i="16"/>
  <c r="O4817" i="16"/>
  <c r="N4817" i="16"/>
  <c r="M4817" i="16"/>
  <c r="L4817" i="16"/>
  <c r="K4817" i="16"/>
  <c r="G4817" i="16"/>
  <c r="F4817" i="16"/>
  <c r="E4817" i="16"/>
  <c r="D4817" i="16"/>
  <c r="C4817" i="16"/>
  <c r="B4817" i="16"/>
  <c r="A4817" i="16"/>
  <c r="T4817" i="16" s="1"/>
  <c r="N4816" i="16"/>
  <c r="L4816" i="16"/>
  <c r="G4816" i="16"/>
  <c r="D4816" i="16"/>
  <c r="C4816" i="16"/>
  <c r="B4816" i="16"/>
  <c r="A4816" i="16"/>
  <c r="O4816" i="16" s="1"/>
  <c r="O4815" i="16"/>
  <c r="J4815" i="16"/>
  <c r="G4815" i="16"/>
  <c r="F4815" i="16"/>
  <c r="E4815" i="16"/>
  <c r="D4815" i="16"/>
  <c r="C4815" i="16"/>
  <c r="B4815" i="16"/>
  <c r="A4815" i="16"/>
  <c r="N4814" i="16"/>
  <c r="M4814" i="16"/>
  <c r="K4814" i="16"/>
  <c r="E4814" i="16"/>
  <c r="D4814" i="16"/>
  <c r="C4814" i="16"/>
  <c r="B4814" i="16"/>
  <c r="A4814" i="16"/>
  <c r="N4813" i="16"/>
  <c r="L4813" i="16"/>
  <c r="G4813" i="16"/>
  <c r="D4813" i="16"/>
  <c r="C4813" i="16"/>
  <c r="B4813" i="16"/>
  <c r="A4813" i="16"/>
  <c r="O4812" i="16"/>
  <c r="M4812" i="16"/>
  <c r="L4812" i="16"/>
  <c r="D4812" i="16"/>
  <c r="C4812" i="16"/>
  <c r="B4812" i="16"/>
  <c r="A4812" i="16"/>
  <c r="D4811" i="16"/>
  <c r="C4811" i="16"/>
  <c r="B4811" i="16"/>
  <c r="A4811" i="16"/>
  <c r="J4810" i="16"/>
  <c r="I4810" i="16"/>
  <c r="G4810" i="16"/>
  <c r="D4810" i="16"/>
  <c r="C4810" i="16"/>
  <c r="B4810" i="16"/>
  <c r="A4810" i="16"/>
  <c r="T4810" i="16" s="1"/>
  <c r="O4809" i="16"/>
  <c r="L4809" i="16"/>
  <c r="K4809" i="16"/>
  <c r="F4809" i="16"/>
  <c r="D4809" i="16"/>
  <c r="C4809" i="16"/>
  <c r="B4809" i="16"/>
  <c r="A4809" i="16"/>
  <c r="M4809" i="16" s="1"/>
  <c r="D4808" i="16"/>
  <c r="C4808" i="16"/>
  <c r="B4808" i="16"/>
  <c r="A4808" i="16"/>
  <c r="O4807" i="16"/>
  <c r="G4807" i="16"/>
  <c r="F4807" i="16"/>
  <c r="D4807" i="16"/>
  <c r="C4807" i="16"/>
  <c r="B4807" i="16"/>
  <c r="A4807" i="16"/>
  <c r="I4807" i="16" s="1"/>
  <c r="D4806" i="16"/>
  <c r="C4806" i="16"/>
  <c r="B4806" i="16"/>
  <c r="A4806" i="16"/>
  <c r="O4805" i="16"/>
  <c r="G4805" i="16"/>
  <c r="F4805" i="16"/>
  <c r="D4805" i="16"/>
  <c r="C4805" i="16"/>
  <c r="B4805" i="16"/>
  <c r="A4805" i="16"/>
  <c r="I4805" i="16" s="1"/>
  <c r="P4804" i="16"/>
  <c r="D4804" i="16"/>
  <c r="C4804" i="16"/>
  <c r="B4804" i="16"/>
  <c r="A4804" i="16"/>
  <c r="T4803" i="16"/>
  <c r="D4803" i="16"/>
  <c r="C4803" i="16"/>
  <c r="B4803" i="16"/>
  <c r="A4803" i="16"/>
  <c r="D4802" i="16"/>
  <c r="C4802" i="16"/>
  <c r="B4802" i="16"/>
  <c r="A4802" i="16"/>
  <c r="M4801" i="16"/>
  <c r="K4801" i="16"/>
  <c r="J4801" i="16"/>
  <c r="H4801" i="16"/>
  <c r="G4801" i="16"/>
  <c r="D4801" i="16"/>
  <c r="C4801" i="16"/>
  <c r="B4801" i="16"/>
  <c r="A4801" i="16"/>
  <c r="M4800" i="16"/>
  <c r="E4800" i="16"/>
  <c r="D4800" i="16"/>
  <c r="C4800" i="16"/>
  <c r="B4800" i="16"/>
  <c r="A4800" i="16"/>
  <c r="N4800" i="16" s="1"/>
  <c r="N4799" i="16"/>
  <c r="L4799" i="16"/>
  <c r="J4799" i="16"/>
  <c r="I4799" i="16"/>
  <c r="D4799" i="16"/>
  <c r="C4799" i="16"/>
  <c r="B4799" i="16"/>
  <c r="A4799" i="16"/>
  <c r="E4799" i="16" s="1"/>
  <c r="K4798" i="16"/>
  <c r="I4798" i="16"/>
  <c r="D4798" i="16"/>
  <c r="C4798" i="16"/>
  <c r="B4798" i="16"/>
  <c r="A4798" i="16"/>
  <c r="D4797" i="16"/>
  <c r="C4797" i="16"/>
  <c r="B4797" i="16"/>
  <c r="A4797" i="16"/>
  <c r="D4796" i="16"/>
  <c r="C4796" i="16"/>
  <c r="B4796" i="16"/>
  <c r="A4796" i="16"/>
  <c r="T4795" i="16"/>
  <c r="P4795" i="16"/>
  <c r="I4795" i="16"/>
  <c r="D4795" i="16"/>
  <c r="C4795" i="16"/>
  <c r="B4795" i="16"/>
  <c r="A4795" i="16"/>
  <c r="D4794" i="16"/>
  <c r="C4794" i="16"/>
  <c r="B4794" i="16"/>
  <c r="A4794" i="16"/>
  <c r="P4793" i="16"/>
  <c r="O4793" i="16"/>
  <c r="N4793" i="16"/>
  <c r="M4793" i="16"/>
  <c r="L4793" i="16"/>
  <c r="K4793" i="16"/>
  <c r="G4793" i="16"/>
  <c r="F4793" i="16"/>
  <c r="E4793" i="16"/>
  <c r="D4793" i="16"/>
  <c r="C4793" i="16"/>
  <c r="B4793" i="16"/>
  <c r="A4793" i="16"/>
  <c r="T4793" i="16" s="1"/>
  <c r="P4792" i="16"/>
  <c r="N4792" i="16"/>
  <c r="L4792" i="16"/>
  <c r="K4792" i="16"/>
  <c r="F4792" i="16"/>
  <c r="E4792" i="16"/>
  <c r="D4792" i="16"/>
  <c r="C4792" i="16"/>
  <c r="B4792" i="16"/>
  <c r="A4792" i="16"/>
  <c r="O4791" i="16"/>
  <c r="D4791" i="16"/>
  <c r="C4791" i="16"/>
  <c r="B4791" i="16"/>
  <c r="A4791" i="16"/>
  <c r="T4790" i="16"/>
  <c r="N4790" i="16"/>
  <c r="K4790" i="16"/>
  <c r="J4790" i="16"/>
  <c r="H4790" i="16"/>
  <c r="G4790" i="16"/>
  <c r="D4790" i="16"/>
  <c r="C4790" i="16"/>
  <c r="B4790" i="16"/>
  <c r="A4790" i="16"/>
  <c r="K4789" i="16"/>
  <c r="H4789" i="16"/>
  <c r="G4789" i="16"/>
  <c r="F4789" i="16"/>
  <c r="D4789" i="16"/>
  <c r="C4789" i="16"/>
  <c r="B4789" i="16"/>
  <c r="A4789" i="16"/>
  <c r="P4788" i="16"/>
  <c r="O4788" i="16"/>
  <c r="M4788" i="16"/>
  <c r="L4788" i="16"/>
  <c r="D4788" i="16"/>
  <c r="C4788" i="16"/>
  <c r="B4788" i="16"/>
  <c r="A4788" i="16"/>
  <c r="L4787" i="16"/>
  <c r="K4787" i="16"/>
  <c r="D4787" i="16"/>
  <c r="C4787" i="16"/>
  <c r="B4787" i="16"/>
  <c r="A4787" i="16"/>
  <c r="M4786" i="16"/>
  <c r="L4786" i="16"/>
  <c r="D4786" i="16"/>
  <c r="C4786" i="16"/>
  <c r="B4786" i="16"/>
  <c r="A4786" i="16"/>
  <c r="K4785" i="16"/>
  <c r="J4785" i="16"/>
  <c r="H4785" i="16"/>
  <c r="G4785" i="16"/>
  <c r="D4785" i="16"/>
  <c r="C4785" i="16"/>
  <c r="B4785" i="16"/>
  <c r="A4785" i="16"/>
  <c r="P4784" i="16"/>
  <c r="L4784" i="16"/>
  <c r="K4784" i="16"/>
  <c r="D4784" i="16"/>
  <c r="C4784" i="16"/>
  <c r="B4784" i="16"/>
  <c r="A4784" i="16"/>
  <c r="T4784" i="16" s="1"/>
  <c r="P4783" i="16"/>
  <c r="J4783" i="16"/>
  <c r="I4783" i="16"/>
  <c r="D4783" i="16"/>
  <c r="C4783" i="16"/>
  <c r="B4783" i="16"/>
  <c r="A4783" i="16"/>
  <c r="T4783" i="16" s="1"/>
  <c r="K4782" i="16"/>
  <c r="D4782" i="16"/>
  <c r="C4782" i="16"/>
  <c r="B4782" i="16"/>
  <c r="A4782" i="16"/>
  <c r="D4781" i="16"/>
  <c r="C4781" i="16"/>
  <c r="B4781" i="16"/>
  <c r="A4781" i="16"/>
  <c r="D4780" i="16"/>
  <c r="C4780" i="16"/>
  <c r="B4780" i="16"/>
  <c r="A4780" i="16"/>
  <c r="M4779" i="16"/>
  <c r="L4779" i="16"/>
  <c r="I4779" i="16"/>
  <c r="D4779" i="16"/>
  <c r="C4779" i="16"/>
  <c r="B4779" i="16"/>
  <c r="A4779" i="16"/>
  <c r="N4779" i="16" s="1"/>
  <c r="L4778" i="16"/>
  <c r="G4778" i="16"/>
  <c r="F4778" i="16"/>
  <c r="E4778" i="16"/>
  <c r="D4778" i="16"/>
  <c r="C4778" i="16"/>
  <c r="B4778" i="16"/>
  <c r="A4778" i="16"/>
  <c r="N4777" i="16"/>
  <c r="M4777" i="16"/>
  <c r="J4777" i="16"/>
  <c r="H4777" i="16"/>
  <c r="D4777" i="16"/>
  <c r="C4777" i="16"/>
  <c r="B4777" i="16"/>
  <c r="A4777" i="16"/>
  <c r="O4776" i="16"/>
  <c r="M4776" i="16"/>
  <c r="K4776" i="16"/>
  <c r="D4776" i="16"/>
  <c r="C4776" i="16"/>
  <c r="B4776" i="16"/>
  <c r="A4776" i="16"/>
  <c r="O4775" i="16"/>
  <c r="N4775" i="16"/>
  <c r="L4775" i="16"/>
  <c r="J4775" i="16"/>
  <c r="F4775" i="16"/>
  <c r="E4775" i="16"/>
  <c r="D4775" i="16"/>
  <c r="C4775" i="16"/>
  <c r="B4775" i="16"/>
  <c r="A4775" i="16"/>
  <c r="K4775" i="16" s="1"/>
  <c r="M4774" i="16"/>
  <c r="K4774" i="16"/>
  <c r="D4774" i="16"/>
  <c r="C4774" i="16"/>
  <c r="B4774" i="16"/>
  <c r="A4774" i="16"/>
  <c r="O4773" i="16"/>
  <c r="J4773" i="16"/>
  <c r="F4773" i="16"/>
  <c r="D4773" i="16"/>
  <c r="C4773" i="16"/>
  <c r="B4773" i="16"/>
  <c r="A4773" i="16"/>
  <c r="L4773" i="16" s="1"/>
  <c r="L4772" i="16"/>
  <c r="K4772" i="16"/>
  <c r="J4772" i="16"/>
  <c r="I4772" i="16"/>
  <c r="D4772" i="16"/>
  <c r="C4772" i="16"/>
  <c r="B4772" i="16"/>
  <c r="A4772" i="16"/>
  <c r="D4771" i="16"/>
  <c r="C4771" i="16"/>
  <c r="B4771" i="16"/>
  <c r="A4771" i="16"/>
  <c r="D4770" i="16"/>
  <c r="C4770" i="16"/>
  <c r="B4770" i="16"/>
  <c r="A4770" i="16"/>
  <c r="J4770" i="16" s="1"/>
  <c r="P4769" i="16"/>
  <c r="O4769" i="16"/>
  <c r="N4769" i="16"/>
  <c r="M4769" i="16"/>
  <c r="H4769" i="16"/>
  <c r="G4769" i="16"/>
  <c r="F4769" i="16"/>
  <c r="E4769" i="16"/>
  <c r="D4769" i="16"/>
  <c r="C4769" i="16"/>
  <c r="B4769" i="16"/>
  <c r="A4769" i="16"/>
  <c r="T4768" i="16"/>
  <c r="O4768" i="16"/>
  <c r="H4768" i="16"/>
  <c r="G4768" i="16"/>
  <c r="D4768" i="16"/>
  <c r="C4768" i="16"/>
  <c r="B4768" i="16"/>
  <c r="A4768" i="16"/>
  <c r="D4767" i="16"/>
  <c r="C4767" i="16"/>
  <c r="B4767" i="16"/>
  <c r="A4767" i="16"/>
  <c r="D4766" i="16"/>
  <c r="C4766" i="16"/>
  <c r="B4766" i="16"/>
  <c r="A4766" i="16"/>
  <c r="L4765" i="16"/>
  <c r="K4765" i="16"/>
  <c r="H4765" i="16"/>
  <c r="D4765" i="16"/>
  <c r="C4765" i="16"/>
  <c r="B4765" i="16"/>
  <c r="A4765" i="16"/>
  <c r="N4765" i="16" s="1"/>
  <c r="T4764" i="16"/>
  <c r="P4764" i="16"/>
  <c r="K4764" i="16"/>
  <c r="H4764" i="16"/>
  <c r="G4764" i="16"/>
  <c r="E4764" i="16"/>
  <c r="D4764" i="16"/>
  <c r="C4764" i="16"/>
  <c r="B4764" i="16"/>
  <c r="A4764" i="16"/>
  <c r="P4763" i="16"/>
  <c r="M4763" i="16"/>
  <c r="D4763" i="16"/>
  <c r="C4763" i="16"/>
  <c r="B4763" i="16"/>
  <c r="A4763" i="16"/>
  <c r="D4762" i="16"/>
  <c r="C4762" i="16"/>
  <c r="B4762" i="16"/>
  <c r="A4762" i="16"/>
  <c r="O4761" i="16"/>
  <c r="K4761" i="16"/>
  <c r="D4761" i="16"/>
  <c r="C4761" i="16"/>
  <c r="B4761" i="16"/>
  <c r="A4761" i="16"/>
  <c r="T4760" i="16"/>
  <c r="M4760" i="16"/>
  <c r="L4760" i="16"/>
  <c r="D4760" i="16"/>
  <c r="C4760" i="16"/>
  <c r="B4760" i="16"/>
  <c r="A4760" i="16"/>
  <c r="K4760" i="16" s="1"/>
  <c r="D4759" i="16"/>
  <c r="C4759" i="16"/>
  <c r="B4759" i="16"/>
  <c r="A4759" i="16"/>
  <c r="K4758" i="16"/>
  <c r="J4758" i="16"/>
  <c r="I4758" i="16"/>
  <c r="D4758" i="16"/>
  <c r="C4758" i="16"/>
  <c r="B4758" i="16"/>
  <c r="A4758" i="16"/>
  <c r="K4757" i="16"/>
  <c r="J4757" i="16"/>
  <c r="I4757" i="16"/>
  <c r="D4757" i="16"/>
  <c r="C4757" i="16"/>
  <c r="B4757" i="16"/>
  <c r="A4757" i="16"/>
  <c r="H4757" i="16" s="1"/>
  <c r="K4756" i="16"/>
  <c r="D4756" i="16"/>
  <c r="C4756" i="16"/>
  <c r="B4756" i="16"/>
  <c r="A4756" i="16"/>
  <c r="D4755" i="16"/>
  <c r="C4755" i="16"/>
  <c r="B4755" i="16"/>
  <c r="A4755" i="16"/>
  <c r="M4754" i="16"/>
  <c r="K4754" i="16"/>
  <c r="I4754" i="16"/>
  <c r="G4754" i="16"/>
  <c r="F4754" i="16"/>
  <c r="D4754" i="16"/>
  <c r="C4754" i="16"/>
  <c r="B4754" i="16"/>
  <c r="A4754" i="16"/>
  <c r="P4753" i="16"/>
  <c r="O4753" i="16"/>
  <c r="J4753" i="16"/>
  <c r="G4753" i="16"/>
  <c r="E4753" i="16"/>
  <c r="D4753" i="16"/>
  <c r="C4753" i="16"/>
  <c r="B4753" i="16"/>
  <c r="A4753" i="16"/>
  <c r="K4753" i="16" s="1"/>
  <c r="P4752" i="16"/>
  <c r="O4752" i="16"/>
  <c r="N4752" i="16"/>
  <c r="M4752" i="16"/>
  <c r="K4752" i="16"/>
  <c r="G4752" i="16"/>
  <c r="F4752" i="16"/>
  <c r="E4752" i="16"/>
  <c r="D4752" i="16"/>
  <c r="C4752" i="16"/>
  <c r="B4752" i="16"/>
  <c r="A4752" i="16"/>
  <c r="J4752" i="16" s="1"/>
  <c r="O4751" i="16"/>
  <c r="N4751" i="16"/>
  <c r="M4751" i="16"/>
  <c r="D4751" i="16"/>
  <c r="C4751" i="16"/>
  <c r="B4751" i="16"/>
  <c r="A4751" i="16"/>
  <c r="P4750" i="16"/>
  <c r="O4750" i="16"/>
  <c r="J4750" i="16"/>
  <c r="G4750" i="16"/>
  <c r="F4750" i="16"/>
  <c r="E4750" i="16"/>
  <c r="D4750" i="16"/>
  <c r="C4750" i="16"/>
  <c r="B4750" i="16"/>
  <c r="A4750" i="16"/>
  <c r="L4749" i="16"/>
  <c r="K4749" i="16"/>
  <c r="D4749" i="16"/>
  <c r="C4749" i="16"/>
  <c r="B4749" i="16"/>
  <c r="A4749" i="16"/>
  <c r="D4748" i="16"/>
  <c r="C4748" i="16"/>
  <c r="B4748" i="16"/>
  <c r="A4748" i="16"/>
  <c r="L4747" i="16"/>
  <c r="D4747" i="16"/>
  <c r="C4747" i="16"/>
  <c r="B4747" i="16"/>
  <c r="A4747" i="16"/>
  <c r="M4747" i="16" s="1"/>
  <c r="D4746" i="16"/>
  <c r="C4746" i="16"/>
  <c r="B4746" i="16"/>
  <c r="A4746" i="16"/>
  <c r="D4745" i="16"/>
  <c r="C4745" i="16"/>
  <c r="B4745" i="16"/>
  <c r="A4745" i="16"/>
  <c r="T4744" i="16"/>
  <c r="P4744" i="16"/>
  <c r="I4744" i="16"/>
  <c r="H4744" i="16"/>
  <c r="G4744" i="16"/>
  <c r="F4744" i="16"/>
  <c r="D4744" i="16"/>
  <c r="C4744" i="16"/>
  <c r="B4744" i="16"/>
  <c r="A4744" i="16"/>
  <c r="O4744" i="16" s="1"/>
  <c r="D4743" i="16"/>
  <c r="C4743" i="16"/>
  <c r="B4743" i="16"/>
  <c r="A4743" i="16"/>
  <c r="T4742" i="16"/>
  <c r="P4742" i="16"/>
  <c r="O4742" i="16"/>
  <c r="D4742" i="16"/>
  <c r="C4742" i="16"/>
  <c r="B4742" i="16"/>
  <c r="A4742" i="16"/>
  <c r="I4741" i="16"/>
  <c r="H4741" i="16"/>
  <c r="D4741" i="16"/>
  <c r="C4741" i="16"/>
  <c r="B4741" i="16"/>
  <c r="A4741" i="16"/>
  <c r="L4740" i="16"/>
  <c r="K4740" i="16"/>
  <c r="I4740" i="16"/>
  <c r="D4740" i="16"/>
  <c r="C4740" i="16"/>
  <c r="B4740" i="16"/>
  <c r="A4740" i="16"/>
  <c r="M4740" i="16" s="1"/>
  <c r="L4739" i="16"/>
  <c r="D4739" i="16"/>
  <c r="C4739" i="16"/>
  <c r="B4739" i="16"/>
  <c r="A4739" i="16"/>
  <c r="D4738" i="16"/>
  <c r="C4738" i="16"/>
  <c r="B4738" i="16"/>
  <c r="A4738" i="16"/>
  <c r="D4737" i="16"/>
  <c r="C4737" i="16"/>
  <c r="B4737" i="16"/>
  <c r="A4737" i="16"/>
  <c r="L4736" i="16"/>
  <c r="K4736" i="16"/>
  <c r="I4736" i="16"/>
  <c r="D4736" i="16"/>
  <c r="C4736" i="16"/>
  <c r="B4736" i="16"/>
  <c r="A4736" i="16"/>
  <c r="M4736" i="16" s="1"/>
  <c r="N4735" i="16"/>
  <c r="M4735" i="16"/>
  <c r="D4735" i="16"/>
  <c r="C4735" i="16"/>
  <c r="B4735" i="16"/>
  <c r="A4735" i="16"/>
  <c r="L4735" i="16" s="1"/>
  <c r="N4734" i="16"/>
  <c r="I4734" i="16"/>
  <c r="E4734" i="16"/>
  <c r="D4734" i="16"/>
  <c r="C4734" i="16"/>
  <c r="B4734" i="16"/>
  <c r="A4734" i="16"/>
  <c r="K4734" i="16" s="1"/>
  <c r="L4733" i="16"/>
  <c r="K4733" i="16"/>
  <c r="J4733" i="16"/>
  <c r="I4733" i="16"/>
  <c r="D4733" i="16"/>
  <c r="C4733" i="16"/>
  <c r="B4733" i="16"/>
  <c r="A4733" i="16"/>
  <c r="K4732" i="16"/>
  <c r="I4732" i="16"/>
  <c r="H4732" i="16"/>
  <c r="D4732" i="16"/>
  <c r="C4732" i="16"/>
  <c r="B4732" i="16"/>
  <c r="A4732" i="16"/>
  <c r="J4732" i="16" s="1"/>
  <c r="D4731" i="16"/>
  <c r="C4731" i="16"/>
  <c r="B4731" i="16"/>
  <c r="A4731" i="16"/>
  <c r="I4730" i="16"/>
  <c r="G4730" i="16"/>
  <c r="F4730" i="16"/>
  <c r="E4730" i="16"/>
  <c r="D4730" i="16"/>
  <c r="C4730" i="16"/>
  <c r="B4730" i="16"/>
  <c r="A4730" i="16"/>
  <c r="T4730" i="16" s="1"/>
  <c r="P4729" i="16"/>
  <c r="O4729" i="16"/>
  <c r="N4729" i="16"/>
  <c r="M4729" i="16"/>
  <c r="L4729" i="16"/>
  <c r="K4729" i="16"/>
  <c r="H4729" i="16"/>
  <c r="G4729" i="16"/>
  <c r="F4729" i="16"/>
  <c r="E4729" i="16"/>
  <c r="D4729" i="16"/>
  <c r="C4729" i="16"/>
  <c r="B4729" i="16"/>
  <c r="A4729" i="16"/>
  <c r="T4729" i="16" s="1"/>
  <c r="P4728" i="16"/>
  <c r="O4728" i="16"/>
  <c r="K4728" i="16"/>
  <c r="E4728" i="16"/>
  <c r="D4728" i="16"/>
  <c r="C4728" i="16"/>
  <c r="B4728" i="16"/>
  <c r="A4728" i="16"/>
  <c r="N4727" i="16"/>
  <c r="L4727" i="16"/>
  <c r="J4727" i="16"/>
  <c r="H4727" i="16"/>
  <c r="E4727" i="16"/>
  <c r="D4727" i="16"/>
  <c r="C4727" i="16"/>
  <c r="B4727" i="16"/>
  <c r="A4727" i="16"/>
  <c r="N4726" i="16"/>
  <c r="M4726" i="16"/>
  <c r="K4726" i="16"/>
  <c r="D4726" i="16"/>
  <c r="C4726" i="16"/>
  <c r="B4726" i="16"/>
  <c r="A4726" i="16"/>
  <c r="T4725" i="16"/>
  <c r="P4725" i="16"/>
  <c r="K4725" i="16"/>
  <c r="H4725" i="16"/>
  <c r="G4725" i="16"/>
  <c r="F4725" i="16"/>
  <c r="D4725" i="16"/>
  <c r="C4725" i="16"/>
  <c r="B4725" i="16"/>
  <c r="A4725" i="16"/>
  <c r="D4724" i="16"/>
  <c r="C4724" i="16"/>
  <c r="B4724" i="16"/>
  <c r="A4724" i="16"/>
  <c r="J4723" i="16"/>
  <c r="D4723" i="16"/>
  <c r="C4723" i="16"/>
  <c r="B4723" i="16"/>
  <c r="A4723" i="16"/>
  <c r="K4722" i="16"/>
  <c r="D4722" i="16"/>
  <c r="C4722" i="16"/>
  <c r="B4722" i="16"/>
  <c r="A4722" i="16"/>
  <c r="P4721" i="16"/>
  <c r="H4721" i="16"/>
  <c r="G4721" i="16"/>
  <c r="F4721" i="16"/>
  <c r="E4721" i="16"/>
  <c r="D4721" i="16"/>
  <c r="C4721" i="16"/>
  <c r="B4721" i="16"/>
  <c r="A4721" i="16"/>
  <c r="D4720" i="16"/>
  <c r="C4720" i="16"/>
  <c r="B4720" i="16"/>
  <c r="A4720" i="16"/>
  <c r="D4719" i="16"/>
  <c r="C4719" i="16"/>
  <c r="B4719" i="16"/>
  <c r="A4719" i="16"/>
  <c r="T4719" i="16" s="1"/>
  <c r="T4718" i="16"/>
  <c r="P4718" i="16"/>
  <c r="J4718" i="16"/>
  <c r="G4718" i="16"/>
  <c r="D4718" i="16"/>
  <c r="C4718" i="16"/>
  <c r="B4718" i="16"/>
  <c r="A4718" i="16"/>
  <c r="I4717" i="16"/>
  <c r="D4717" i="16"/>
  <c r="C4717" i="16"/>
  <c r="B4717" i="16"/>
  <c r="A4717" i="16"/>
  <c r="D4716" i="16"/>
  <c r="C4716" i="16"/>
  <c r="B4716" i="16"/>
  <c r="A4716" i="16"/>
  <c r="P4715" i="16"/>
  <c r="K4715" i="16"/>
  <c r="D4715" i="16"/>
  <c r="C4715" i="16"/>
  <c r="B4715" i="16"/>
  <c r="A4715" i="16"/>
  <c r="T4714" i="16"/>
  <c r="O4714" i="16"/>
  <c r="N4714" i="16"/>
  <c r="M4714" i="16"/>
  <c r="K4714" i="16"/>
  <c r="G4714" i="16"/>
  <c r="F4714" i="16"/>
  <c r="E4714" i="16"/>
  <c r="D4714" i="16"/>
  <c r="C4714" i="16"/>
  <c r="B4714" i="16"/>
  <c r="A4714" i="16"/>
  <c r="I4714" i="16" s="1"/>
  <c r="K4713" i="16"/>
  <c r="J4713" i="16"/>
  <c r="F4713" i="16"/>
  <c r="D4713" i="16"/>
  <c r="C4713" i="16"/>
  <c r="B4713" i="16"/>
  <c r="A4713" i="16"/>
  <c r="L4713" i="16" s="1"/>
  <c r="D4712" i="16"/>
  <c r="C4712" i="16"/>
  <c r="B4712" i="16"/>
  <c r="A4712" i="16"/>
  <c r="D4711" i="16"/>
  <c r="C4711" i="16"/>
  <c r="B4711" i="16"/>
  <c r="A4711" i="16"/>
  <c r="O4710" i="16"/>
  <c r="N4710" i="16"/>
  <c r="K4710" i="16"/>
  <c r="J4710" i="16"/>
  <c r="F4710" i="16"/>
  <c r="E4710" i="16"/>
  <c r="D4710" i="16"/>
  <c r="C4710" i="16"/>
  <c r="B4710" i="16"/>
  <c r="A4710" i="16"/>
  <c r="L4710" i="16" s="1"/>
  <c r="D4709" i="16"/>
  <c r="C4709" i="16"/>
  <c r="B4709" i="16"/>
  <c r="A4709" i="16"/>
  <c r="M4708" i="16"/>
  <c r="L4708" i="16"/>
  <c r="D4708" i="16"/>
  <c r="C4708" i="16"/>
  <c r="B4708" i="16"/>
  <c r="A4708" i="16"/>
  <c r="T4707" i="16"/>
  <c r="I4707" i="16"/>
  <c r="H4707" i="16"/>
  <c r="D4707" i="16"/>
  <c r="C4707" i="16"/>
  <c r="B4707" i="16"/>
  <c r="A4707" i="16"/>
  <c r="K4707" i="16" s="1"/>
  <c r="J4706" i="16"/>
  <c r="I4706" i="16"/>
  <c r="G4706" i="16"/>
  <c r="F4706" i="16"/>
  <c r="D4706" i="16"/>
  <c r="C4706" i="16"/>
  <c r="B4706" i="16"/>
  <c r="A4706" i="16"/>
  <c r="P4705" i="16"/>
  <c r="O4705" i="16"/>
  <c r="N4705" i="16"/>
  <c r="M4705" i="16"/>
  <c r="L4705" i="16"/>
  <c r="K4705" i="16"/>
  <c r="H4705" i="16"/>
  <c r="G4705" i="16"/>
  <c r="F4705" i="16"/>
  <c r="E4705" i="16"/>
  <c r="D4705" i="16"/>
  <c r="C4705" i="16"/>
  <c r="B4705" i="16"/>
  <c r="A4705" i="16"/>
  <c r="T4705" i="16" s="1"/>
  <c r="D4704" i="16"/>
  <c r="C4704" i="16"/>
  <c r="B4704" i="16"/>
  <c r="A4704" i="16"/>
  <c r="D4703" i="16"/>
  <c r="C4703" i="16"/>
  <c r="B4703" i="16"/>
  <c r="A4703" i="16"/>
  <c r="P4702" i="16"/>
  <c r="N4702" i="16"/>
  <c r="H4702" i="16"/>
  <c r="G4702" i="16"/>
  <c r="F4702" i="16"/>
  <c r="D4702" i="16"/>
  <c r="C4702" i="16"/>
  <c r="B4702" i="16"/>
  <c r="A4702" i="16"/>
  <c r="T4701" i="16"/>
  <c r="I4701" i="16"/>
  <c r="H4701" i="16"/>
  <c r="G4701" i="16"/>
  <c r="D4701" i="16"/>
  <c r="C4701" i="16"/>
  <c r="B4701" i="16"/>
  <c r="A4701" i="16"/>
  <c r="K4701" i="16" s="1"/>
  <c r="P4700" i="16"/>
  <c r="O4700" i="16"/>
  <c r="L4700" i="16"/>
  <c r="E4700" i="16"/>
  <c r="D4700" i="16"/>
  <c r="C4700" i="16"/>
  <c r="B4700" i="16"/>
  <c r="A4700" i="16"/>
  <c r="L4699" i="16"/>
  <c r="K4699" i="16"/>
  <c r="F4699" i="16"/>
  <c r="E4699" i="16"/>
  <c r="D4699" i="16"/>
  <c r="C4699" i="16"/>
  <c r="B4699" i="16"/>
  <c r="A4699" i="16"/>
  <c r="N4698" i="16"/>
  <c r="K4698" i="16"/>
  <c r="J4698" i="16"/>
  <c r="E4698" i="16"/>
  <c r="D4698" i="16"/>
  <c r="C4698" i="16"/>
  <c r="B4698" i="16"/>
  <c r="A4698" i="16"/>
  <c r="L4698" i="16" s="1"/>
  <c r="M4697" i="16"/>
  <c r="J4697" i="16"/>
  <c r="H4697" i="16"/>
  <c r="F4697" i="16"/>
  <c r="D4697" i="16"/>
  <c r="C4697" i="16"/>
  <c r="B4697" i="16"/>
  <c r="A4697" i="16"/>
  <c r="L4696" i="16"/>
  <c r="I4696" i="16"/>
  <c r="D4696" i="16"/>
  <c r="C4696" i="16"/>
  <c r="B4696" i="16"/>
  <c r="A4696" i="16"/>
  <c r="D4695" i="16"/>
  <c r="C4695" i="16"/>
  <c r="B4695" i="16"/>
  <c r="A4695" i="16"/>
  <c r="T4695" i="16" s="1"/>
  <c r="D4694" i="16"/>
  <c r="C4694" i="16"/>
  <c r="B4694" i="16"/>
  <c r="A4694" i="16"/>
  <c r="D4693" i="16"/>
  <c r="C4693" i="16"/>
  <c r="B4693" i="16"/>
  <c r="A4693" i="16"/>
  <c r="D4692" i="16"/>
  <c r="C4692" i="16"/>
  <c r="B4692" i="16"/>
  <c r="A4692" i="16"/>
  <c r="T4691" i="16"/>
  <c r="D4691" i="16"/>
  <c r="C4691" i="16"/>
  <c r="B4691" i="16"/>
  <c r="A4691" i="16"/>
  <c r="E4691" i="16" s="1"/>
  <c r="G4690" i="16"/>
  <c r="F4690" i="16"/>
  <c r="E4690" i="16"/>
  <c r="D4690" i="16"/>
  <c r="C4690" i="16"/>
  <c r="B4690" i="16"/>
  <c r="A4690" i="16"/>
  <c r="I4690" i="16" s="1"/>
  <c r="P4689" i="16"/>
  <c r="O4689" i="16"/>
  <c r="N4689" i="16"/>
  <c r="M4689" i="16"/>
  <c r="L4689" i="16"/>
  <c r="H4689" i="16"/>
  <c r="G4689" i="16"/>
  <c r="F4689" i="16"/>
  <c r="E4689" i="16"/>
  <c r="D4689" i="16"/>
  <c r="C4689" i="16"/>
  <c r="B4689" i="16"/>
  <c r="A4689" i="16"/>
  <c r="T4689" i="16" s="1"/>
  <c r="M4688" i="16"/>
  <c r="L4688" i="16"/>
  <c r="K4688" i="16"/>
  <c r="E4688" i="16"/>
  <c r="D4688" i="16"/>
  <c r="C4688" i="16"/>
  <c r="B4688" i="16"/>
  <c r="A4688" i="16"/>
  <c r="P4687" i="16"/>
  <c r="M4687" i="16"/>
  <c r="D4687" i="16"/>
  <c r="C4687" i="16"/>
  <c r="B4687" i="16"/>
  <c r="A4687" i="16"/>
  <c r="P4686" i="16"/>
  <c r="O4686" i="16"/>
  <c r="N4686" i="16"/>
  <c r="M4686" i="16"/>
  <c r="G4686" i="16"/>
  <c r="F4686" i="16"/>
  <c r="E4686" i="16"/>
  <c r="D4686" i="16"/>
  <c r="C4686" i="16"/>
  <c r="B4686" i="16"/>
  <c r="A4686" i="16"/>
  <c r="L4686" i="16" s="1"/>
  <c r="N4685" i="16"/>
  <c r="L4685" i="16"/>
  <c r="F4685" i="16"/>
  <c r="D4685" i="16"/>
  <c r="C4685" i="16"/>
  <c r="B4685" i="16"/>
  <c r="A4685" i="16"/>
  <c r="O4684" i="16"/>
  <c r="J4684" i="16"/>
  <c r="E4684" i="16"/>
  <c r="D4684" i="16"/>
  <c r="C4684" i="16"/>
  <c r="B4684" i="16"/>
  <c r="A4684" i="16"/>
  <c r="L4684" i="16" s="1"/>
  <c r="L4683" i="16"/>
  <c r="K4683" i="16"/>
  <c r="J4683" i="16"/>
  <c r="I4683" i="16"/>
  <c r="D4683" i="16"/>
  <c r="C4683" i="16"/>
  <c r="B4683" i="16"/>
  <c r="A4683" i="16"/>
  <c r="D4682" i="16"/>
  <c r="C4682" i="16"/>
  <c r="B4682" i="16"/>
  <c r="A4682" i="16"/>
  <c r="D4681" i="16"/>
  <c r="C4681" i="16"/>
  <c r="B4681" i="16"/>
  <c r="A4681" i="16"/>
  <c r="D4680" i="16"/>
  <c r="C4680" i="16"/>
  <c r="B4680" i="16"/>
  <c r="A4680" i="16"/>
  <c r="D4679" i="16"/>
  <c r="C4679" i="16"/>
  <c r="B4679" i="16"/>
  <c r="A4679" i="16"/>
  <c r="J4678" i="16"/>
  <c r="D4678" i="16"/>
  <c r="C4678" i="16"/>
  <c r="B4678" i="16"/>
  <c r="A4678" i="16"/>
  <c r="T4677" i="16"/>
  <c r="I4677" i="16"/>
  <c r="G4677" i="16"/>
  <c r="D4677" i="16"/>
  <c r="C4677" i="16"/>
  <c r="B4677" i="16"/>
  <c r="A4677" i="16"/>
  <c r="K4676" i="16"/>
  <c r="I4676" i="16"/>
  <c r="H4676" i="16"/>
  <c r="G4676" i="16"/>
  <c r="D4676" i="16"/>
  <c r="C4676" i="16"/>
  <c r="B4676" i="16"/>
  <c r="A4676" i="16"/>
  <c r="T4675" i="16"/>
  <c r="P4675" i="16"/>
  <c r="N4675" i="16"/>
  <c r="D4675" i="16"/>
  <c r="C4675" i="16"/>
  <c r="B4675" i="16"/>
  <c r="A4675" i="16"/>
  <c r="M4674" i="16"/>
  <c r="K4674" i="16"/>
  <c r="D4674" i="16"/>
  <c r="C4674" i="16"/>
  <c r="B4674" i="16"/>
  <c r="A4674" i="16"/>
  <c r="P4673" i="16"/>
  <c r="O4673" i="16"/>
  <c r="N4673" i="16"/>
  <c r="M4673" i="16"/>
  <c r="L4673" i="16"/>
  <c r="H4673" i="16"/>
  <c r="G4673" i="16"/>
  <c r="F4673" i="16"/>
  <c r="E4673" i="16"/>
  <c r="D4673" i="16"/>
  <c r="C4673" i="16"/>
  <c r="B4673" i="16"/>
  <c r="A4673" i="16"/>
  <c r="T4673" i="16" s="1"/>
  <c r="N4672" i="16"/>
  <c r="L4672" i="16"/>
  <c r="K4672" i="16"/>
  <c r="E4672" i="16"/>
  <c r="D4672" i="16"/>
  <c r="C4672" i="16"/>
  <c r="B4672" i="16"/>
  <c r="A4672" i="16"/>
  <c r="I4672" i="16" s="1"/>
  <c r="L4671" i="16"/>
  <c r="J4671" i="16"/>
  <c r="E4671" i="16"/>
  <c r="D4671" i="16"/>
  <c r="C4671" i="16"/>
  <c r="B4671" i="16"/>
  <c r="A4671" i="16"/>
  <c r="I4671" i="16" s="1"/>
  <c r="M4670" i="16"/>
  <c r="J4670" i="16"/>
  <c r="D4670" i="16"/>
  <c r="C4670" i="16"/>
  <c r="B4670" i="16"/>
  <c r="A4670" i="16"/>
  <c r="N4669" i="16"/>
  <c r="L4669" i="16"/>
  <c r="D4669" i="16"/>
  <c r="C4669" i="16"/>
  <c r="B4669" i="16"/>
  <c r="A4669" i="16"/>
  <c r="D4668" i="16"/>
  <c r="C4668" i="16"/>
  <c r="B4668" i="16"/>
  <c r="A4668" i="16"/>
  <c r="D4667" i="16"/>
  <c r="C4667" i="16"/>
  <c r="B4667" i="16"/>
  <c r="A4667" i="16"/>
  <c r="D4666" i="16"/>
  <c r="C4666" i="16"/>
  <c r="B4666" i="16"/>
  <c r="A4666" i="16"/>
  <c r="P4665" i="16"/>
  <c r="D4665" i="16"/>
  <c r="C4665" i="16"/>
  <c r="B4665" i="16"/>
  <c r="A4665" i="16"/>
  <c r="K4664" i="16"/>
  <c r="H4664" i="16"/>
  <c r="G4664" i="16"/>
  <c r="F4664" i="16"/>
  <c r="D4664" i="16"/>
  <c r="C4664" i="16"/>
  <c r="B4664" i="16"/>
  <c r="A4664" i="16"/>
  <c r="T4663" i="16"/>
  <c r="J4663" i="16"/>
  <c r="G4663" i="16"/>
  <c r="F4663" i="16"/>
  <c r="D4663" i="16"/>
  <c r="C4663" i="16"/>
  <c r="B4663" i="16"/>
  <c r="A4663" i="16"/>
  <c r="O4663" i="16" s="1"/>
  <c r="T4662" i="16"/>
  <c r="P4662" i="16"/>
  <c r="O4662" i="16"/>
  <c r="N4662" i="16"/>
  <c r="M4662" i="16"/>
  <c r="H4662" i="16"/>
  <c r="G4662" i="16"/>
  <c r="F4662" i="16"/>
  <c r="E4662" i="16"/>
  <c r="D4662" i="16"/>
  <c r="C4662" i="16"/>
  <c r="B4662" i="16"/>
  <c r="A4662" i="16"/>
  <c r="L4662" i="16" s="1"/>
  <c r="T4661" i="16"/>
  <c r="O4661" i="16"/>
  <c r="D4661" i="16"/>
  <c r="C4661" i="16"/>
  <c r="B4661" i="16"/>
  <c r="A4661" i="16"/>
  <c r="P4660" i="16"/>
  <c r="L4660" i="16"/>
  <c r="K4660" i="16"/>
  <c r="G4660" i="16"/>
  <c r="E4660" i="16"/>
  <c r="D4660" i="16"/>
  <c r="C4660" i="16"/>
  <c r="B4660" i="16"/>
  <c r="A4660" i="16"/>
  <c r="I4660" i="16" s="1"/>
  <c r="N4659" i="16"/>
  <c r="M4659" i="16"/>
  <c r="D4659" i="16"/>
  <c r="C4659" i="16"/>
  <c r="B4659" i="16"/>
  <c r="A4659" i="16"/>
  <c r="D4658" i="16"/>
  <c r="C4658" i="16"/>
  <c r="B4658" i="16"/>
  <c r="A4658" i="16"/>
  <c r="P4657" i="16"/>
  <c r="O4657" i="16"/>
  <c r="G4657" i="16"/>
  <c r="F4657" i="16"/>
  <c r="E4657" i="16"/>
  <c r="D4657" i="16"/>
  <c r="C4657" i="16"/>
  <c r="B4657" i="16"/>
  <c r="A4657" i="16"/>
  <c r="J4657" i="16" s="1"/>
  <c r="H4656" i="16"/>
  <c r="G4656" i="16"/>
  <c r="D4656" i="16"/>
  <c r="C4656" i="16"/>
  <c r="B4656" i="16"/>
  <c r="A4656" i="16"/>
  <c r="G4655" i="16"/>
  <c r="D4655" i="16"/>
  <c r="C4655" i="16"/>
  <c r="B4655" i="16"/>
  <c r="A4655" i="16"/>
  <c r="J4655" i="16" s="1"/>
  <c r="D4654" i="16"/>
  <c r="C4654" i="16"/>
  <c r="B4654" i="16"/>
  <c r="A4654" i="16"/>
  <c r="T4653" i="16"/>
  <c r="P4653" i="16"/>
  <c r="H4653" i="16"/>
  <c r="G4653" i="16"/>
  <c r="D4653" i="16"/>
  <c r="C4653" i="16"/>
  <c r="B4653" i="16"/>
  <c r="A4653" i="16"/>
  <c r="D4652" i="16"/>
  <c r="C4652" i="16"/>
  <c r="B4652" i="16"/>
  <c r="A4652" i="16"/>
  <c r="T4651" i="16"/>
  <c r="N4651" i="16"/>
  <c r="I4651" i="16"/>
  <c r="H4651" i="16"/>
  <c r="F4651" i="16"/>
  <c r="E4651" i="16"/>
  <c r="D4651" i="16"/>
  <c r="C4651" i="16"/>
  <c r="B4651" i="16"/>
  <c r="A4651" i="16"/>
  <c r="T4650" i="16"/>
  <c r="M4650" i="16"/>
  <c r="L4650" i="16"/>
  <c r="E4650" i="16"/>
  <c r="D4650" i="16"/>
  <c r="C4650" i="16"/>
  <c r="B4650" i="16"/>
  <c r="A4650" i="16"/>
  <c r="N4650" i="16" s="1"/>
  <c r="N4649" i="16"/>
  <c r="M4649" i="16"/>
  <c r="K4649" i="16"/>
  <c r="J4649" i="16"/>
  <c r="H4649" i="16"/>
  <c r="E4649" i="16"/>
  <c r="D4649" i="16"/>
  <c r="C4649" i="16"/>
  <c r="B4649" i="16"/>
  <c r="A4649" i="16"/>
  <c r="O4648" i="16"/>
  <c r="L4648" i="16"/>
  <c r="K4648" i="16"/>
  <c r="F4648" i="16"/>
  <c r="E4648" i="16"/>
  <c r="D4648" i="16"/>
  <c r="C4648" i="16"/>
  <c r="B4648" i="16"/>
  <c r="A4648" i="16"/>
  <c r="J4648" i="16" s="1"/>
  <c r="N4647" i="16"/>
  <c r="M4647" i="16"/>
  <c r="L4647" i="16"/>
  <c r="J4647" i="16"/>
  <c r="D4647" i="16"/>
  <c r="C4647" i="16"/>
  <c r="B4647" i="16"/>
  <c r="A4647" i="16"/>
  <c r="O4646" i="16"/>
  <c r="N4646" i="16"/>
  <c r="M4646" i="16"/>
  <c r="D4646" i="16"/>
  <c r="C4646" i="16"/>
  <c r="B4646" i="16"/>
  <c r="A4646" i="16"/>
  <c r="J4645" i="16"/>
  <c r="F4645" i="16"/>
  <c r="D4645" i="16"/>
  <c r="C4645" i="16"/>
  <c r="B4645" i="16"/>
  <c r="A4645" i="16"/>
  <c r="J4644" i="16"/>
  <c r="I4644" i="16"/>
  <c r="D4644" i="16"/>
  <c r="C4644" i="16"/>
  <c r="B4644" i="16"/>
  <c r="A4644" i="16"/>
  <c r="D4643" i="16"/>
  <c r="C4643" i="16"/>
  <c r="B4643" i="16"/>
  <c r="A4643" i="16"/>
  <c r="D4642" i="16"/>
  <c r="C4642" i="16"/>
  <c r="B4642" i="16"/>
  <c r="A4642" i="16"/>
  <c r="N4641" i="16"/>
  <c r="E4641" i="16"/>
  <c r="D4641" i="16"/>
  <c r="C4641" i="16"/>
  <c r="B4641" i="16"/>
  <c r="A4641" i="16"/>
  <c r="F4640" i="16"/>
  <c r="D4640" i="16"/>
  <c r="C4640" i="16"/>
  <c r="B4640" i="16"/>
  <c r="A4640" i="16"/>
  <c r="N4639" i="16"/>
  <c r="G4639" i="16"/>
  <c r="E4639" i="16"/>
  <c r="D4639" i="16"/>
  <c r="C4639" i="16"/>
  <c r="B4639" i="16"/>
  <c r="A4639" i="16"/>
  <c r="T4639" i="16" s="1"/>
  <c r="D4638" i="16"/>
  <c r="C4638" i="16"/>
  <c r="B4638" i="16"/>
  <c r="A4638" i="16"/>
  <c r="D4637" i="16"/>
  <c r="C4637" i="16"/>
  <c r="B4637" i="16"/>
  <c r="A4637" i="16"/>
  <c r="T4636" i="16"/>
  <c r="P4636" i="16"/>
  <c r="O4636" i="16"/>
  <c r="K4636" i="16"/>
  <c r="H4636" i="16"/>
  <c r="G4636" i="16"/>
  <c r="E4636" i="16"/>
  <c r="D4636" i="16"/>
  <c r="C4636" i="16"/>
  <c r="B4636" i="16"/>
  <c r="A4636" i="16"/>
  <c r="I4636" i="16" s="1"/>
  <c r="M4635" i="16"/>
  <c r="L4635" i="16"/>
  <c r="K4635" i="16"/>
  <c r="F4635" i="16"/>
  <c r="D4635" i="16"/>
  <c r="C4635" i="16"/>
  <c r="B4635" i="16"/>
  <c r="A4635" i="16"/>
  <c r="M4634" i="16"/>
  <c r="D4634" i="16"/>
  <c r="C4634" i="16"/>
  <c r="B4634" i="16"/>
  <c r="A4634" i="16"/>
  <c r="N4634" i="16" s="1"/>
  <c r="P4633" i="16"/>
  <c r="O4633" i="16"/>
  <c r="N4633" i="16"/>
  <c r="M4633" i="16"/>
  <c r="L4633" i="16"/>
  <c r="K4633" i="16"/>
  <c r="H4633" i="16"/>
  <c r="G4633" i="16"/>
  <c r="F4633" i="16"/>
  <c r="E4633" i="16"/>
  <c r="D4633" i="16"/>
  <c r="C4633" i="16"/>
  <c r="B4633" i="16"/>
  <c r="A4633" i="16"/>
  <c r="T4633" i="16" s="1"/>
  <c r="M4632" i="16"/>
  <c r="D4632" i="16"/>
  <c r="C4632" i="16"/>
  <c r="B4632" i="16"/>
  <c r="A4632" i="16"/>
  <c r="J4631" i="16"/>
  <c r="I4631" i="16"/>
  <c r="H4631" i="16"/>
  <c r="D4631" i="16"/>
  <c r="C4631" i="16"/>
  <c r="B4631" i="16"/>
  <c r="A4631" i="16"/>
  <c r="T4631" i="16" s="1"/>
  <c r="D4630" i="16"/>
  <c r="C4630" i="16"/>
  <c r="B4630" i="16"/>
  <c r="A4630" i="16"/>
  <c r="D4629" i="16"/>
  <c r="C4629" i="16"/>
  <c r="B4629" i="16"/>
  <c r="A4629" i="16"/>
  <c r="P4628" i="16"/>
  <c r="H4628" i="16"/>
  <c r="G4628" i="16"/>
  <c r="D4628" i="16"/>
  <c r="C4628" i="16"/>
  <c r="B4628" i="16"/>
  <c r="A4628" i="16"/>
  <c r="J4628" i="16" s="1"/>
  <c r="D4627" i="16"/>
  <c r="C4627" i="16"/>
  <c r="B4627" i="16"/>
  <c r="A4627" i="16"/>
  <c r="N4627" i="16" s="1"/>
  <c r="T4626" i="16"/>
  <c r="L4626" i="16"/>
  <c r="I4626" i="16"/>
  <c r="G4626" i="16"/>
  <c r="F4626" i="16"/>
  <c r="E4626" i="16"/>
  <c r="D4626" i="16"/>
  <c r="C4626" i="16"/>
  <c r="B4626" i="16"/>
  <c r="A4626" i="16"/>
  <c r="P4625" i="16"/>
  <c r="O4625" i="16"/>
  <c r="J4625" i="16"/>
  <c r="G4625" i="16"/>
  <c r="E4625" i="16"/>
  <c r="D4625" i="16"/>
  <c r="C4625" i="16"/>
  <c r="B4625" i="16"/>
  <c r="A4625" i="16"/>
  <c r="M4625" i="16" s="1"/>
  <c r="O4624" i="16"/>
  <c r="M4624" i="16"/>
  <c r="L4624" i="16"/>
  <c r="F4624" i="16"/>
  <c r="E4624" i="16"/>
  <c r="D4624" i="16"/>
  <c r="C4624" i="16"/>
  <c r="B4624" i="16"/>
  <c r="A4624" i="16"/>
  <c r="L4623" i="16"/>
  <c r="J4623" i="16"/>
  <c r="G4623" i="16"/>
  <c r="D4623" i="16"/>
  <c r="C4623" i="16"/>
  <c r="B4623" i="16"/>
  <c r="A4623" i="16"/>
  <c r="M4623" i="16" s="1"/>
  <c r="P4622" i="16"/>
  <c r="O4622" i="16"/>
  <c r="N4622" i="16"/>
  <c r="J4622" i="16"/>
  <c r="G4622" i="16"/>
  <c r="F4622" i="16"/>
  <c r="E4622" i="16"/>
  <c r="D4622" i="16"/>
  <c r="C4622" i="16"/>
  <c r="B4622" i="16"/>
  <c r="A4622" i="16"/>
  <c r="L4622" i="16" s="1"/>
  <c r="O4621" i="16"/>
  <c r="L4621" i="16"/>
  <c r="D4621" i="16"/>
  <c r="C4621" i="16"/>
  <c r="B4621" i="16"/>
  <c r="A4621" i="16"/>
  <c r="O4620" i="16"/>
  <c r="M4620" i="16"/>
  <c r="L4620" i="16"/>
  <c r="D4620" i="16"/>
  <c r="C4620" i="16"/>
  <c r="B4620" i="16"/>
  <c r="A4620" i="16"/>
  <c r="M4619" i="16"/>
  <c r="L4619" i="16"/>
  <c r="D4619" i="16"/>
  <c r="C4619" i="16"/>
  <c r="B4619" i="16"/>
  <c r="A4619" i="16"/>
  <c r="T4618" i="16"/>
  <c r="I4618" i="16"/>
  <c r="G4618" i="16"/>
  <c r="D4618" i="16"/>
  <c r="C4618" i="16"/>
  <c r="B4618" i="16"/>
  <c r="A4618" i="16"/>
  <c r="K4618" i="16" s="1"/>
  <c r="O4617" i="16"/>
  <c r="N4617" i="16"/>
  <c r="E4617" i="16"/>
  <c r="D4617" i="16"/>
  <c r="C4617" i="16"/>
  <c r="B4617" i="16"/>
  <c r="A4617" i="16"/>
  <c r="D4616" i="16"/>
  <c r="C4616" i="16"/>
  <c r="B4616" i="16"/>
  <c r="A4616" i="16"/>
  <c r="D4615" i="16"/>
  <c r="C4615" i="16"/>
  <c r="B4615" i="16"/>
  <c r="A4615" i="16"/>
  <c r="J4614" i="16"/>
  <c r="D4614" i="16"/>
  <c r="C4614" i="16"/>
  <c r="B4614" i="16"/>
  <c r="A4614" i="16"/>
  <c r="D4613" i="16"/>
  <c r="C4613" i="16"/>
  <c r="B4613" i="16"/>
  <c r="A4613" i="16"/>
  <c r="D4612" i="16"/>
  <c r="C4612" i="16"/>
  <c r="B4612" i="16"/>
  <c r="A4612" i="16"/>
  <c r="P4611" i="16"/>
  <c r="K4611" i="16"/>
  <c r="H4611" i="16"/>
  <c r="F4611" i="16"/>
  <c r="E4611" i="16"/>
  <c r="D4611" i="16"/>
  <c r="C4611" i="16"/>
  <c r="B4611" i="16"/>
  <c r="A4611" i="16"/>
  <c r="L4610" i="16"/>
  <c r="K4610" i="16"/>
  <c r="D4610" i="16"/>
  <c r="C4610" i="16"/>
  <c r="B4610" i="16"/>
  <c r="A4610" i="16"/>
  <c r="N4610" i="16" s="1"/>
  <c r="O4609" i="16"/>
  <c r="M4609" i="16"/>
  <c r="D4609" i="16"/>
  <c r="C4609" i="16"/>
  <c r="B4609" i="16"/>
  <c r="A4609" i="16"/>
  <c r="M4608" i="16"/>
  <c r="E4608" i="16"/>
  <c r="D4608" i="16"/>
  <c r="C4608" i="16"/>
  <c r="B4608" i="16"/>
  <c r="A4608" i="16"/>
  <c r="M4607" i="16"/>
  <c r="D4607" i="16"/>
  <c r="C4607" i="16"/>
  <c r="B4607" i="16"/>
  <c r="A4607" i="16"/>
  <c r="D4606" i="16"/>
  <c r="C4606" i="16"/>
  <c r="B4606" i="16"/>
  <c r="A4606" i="16"/>
  <c r="N4605" i="16"/>
  <c r="D4605" i="16"/>
  <c r="C4605" i="16"/>
  <c r="B4605" i="16"/>
  <c r="A4605" i="16"/>
  <c r="T4604" i="16"/>
  <c r="P4604" i="16"/>
  <c r="L4604" i="16"/>
  <c r="H4604" i="16"/>
  <c r="D4604" i="16"/>
  <c r="C4604" i="16"/>
  <c r="B4604" i="16"/>
  <c r="A4604" i="16"/>
  <c r="J4603" i="16"/>
  <c r="I4603" i="16"/>
  <c r="H4603" i="16"/>
  <c r="D4603" i="16"/>
  <c r="C4603" i="16"/>
  <c r="B4603" i="16"/>
  <c r="A4603" i="16"/>
  <c r="K4603" i="16" s="1"/>
  <c r="O4602" i="16"/>
  <c r="N4602" i="16"/>
  <c r="I4602" i="16"/>
  <c r="D4602" i="16"/>
  <c r="C4602" i="16"/>
  <c r="B4602" i="16"/>
  <c r="A4602" i="16"/>
  <c r="T4602" i="16" s="1"/>
  <c r="P4601" i="16"/>
  <c r="O4601" i="16"/>
  <c r="L4601" i="16"/>
  <c r="J4601" i="16"/>
  <c r="H4601" i="16"/>
  <c r="G4601" i="16"/>
  <c r="F4601" i="16"/>
  <c r="D4601" i="16"/>
  <c r="C4601" i="16"/>
  <c r="B4601" i="16"/>
  <c r="A4601" i="16"/>
  <c r="D4600" i="16"/>
  <c r="C4600" i="16"/>
  <c r="B4600" i="16"/>
  <c r="A4600" i="16"/>
  <c r="T4599" i="16"/>
  <c r="P4599" i="16"/>
  <c r="N4599" i="16"/>
  <c r="H4599" i="16"/>
  <c r="G4599" i="16"/>
  <c r="F4599" i="16"/>
  <c r="E4599" i="16"/>
  <c r="D4599" i="16"/>
  <c r="C4599" i="16"/>
  <c r="B4599" i="16"/>
  <c r="A4599" i="16"/>
  <c r="T4598" i="16"/>
  <c r="P4598" i="16"/>
  <c r="O4598" i="16"/>
  <c r="N4598" i="16"/>
  <c r="M4598" i="16"/>
  <c r="H4598" i="16"/>
  <c r="G4598" i="16"/>
  <c r="F4598" i="16"/>
  <c r="E4598" i="16"/>
  <c r="D4598" i="16"/>
  <c r="C4598" i="16"/>
  <c r="B4598" i="16"/>
  <c r="A4598" i="16"/>
  <c r="L4598" i="16" s="1"/>
  <c r="P4597" i="16"/>
  <c r="N4597" i="16"/>
  <c r="L4597" i="16"/>
  <c r="K4597" i="16"/>
  <c r="F4597" i="16"/>
  <c r="D4597" i="16"/>
  <c r="C4597" i="16"/>
  <c r="B4597" i="16"/>
  <c r="A4597" i="16"/>
  <c r="D4596" i="16"/>
  <c r="C4596" i="16"/>
  <c r="B4596" i="16"/>
  <c r="A4596" i="16"/>
  <c r="N4595" i="16"/>
  <c r="J4595" i="16"/>
  <c r="E4595" i="16"/>
  <c r="D4595" i="16"/>
  <c r="C4595" i="16"/>
  <c r="B4595" i="16"/>
  <c r="A4595" i="16"/>
  <c r="K4594" i="16"/>
  <c r="J4594" i="16"/>
  <c r="D4594" i="16"/>
  <c r="C4594" i="16"/>
  <c r="B4594" i="16"/>
  <c r="A4594" i="16"/>
  <c r="M4594" i="16" s="1"/>
  <c r="P4593" i="16"/>
  <c r="O4593" i="16"/>
  <c r="N4593" i="16"/>
  <c r="M4593" i="16"/>
  <c r="L4593" i="16"/>
  <c r="K4593" i="16"/>
  <c r="G4593" i="16"/>
  <c r="F4593" i="16"/>
  <c r="E4593" i="16"/>
  <c r="D4593" i="16"/>
  <c r="C4593" i="16"/>
  <c r="B4593" i="16"/>
  <c r="A4593" i="16"/>
  <c r="T4593" i="16" s="1"/>
  <c r="D4592" i="16"/>
  <c r="C4592" i="16"/>
  <c r="B4592" i="16"/>
  <c r="A4592" i="16"/>
  <c r="J4591" i="16"/>
  <c r="D4591" i="16"/>
  <c r="C4591" i="16"/>
  <c r="B4591" i="16"/>
  <c r="A4591" i="16"/>
  <c r="P4591" i="16" s="1"/>
  <c r="D4590" i="16"/>
  <c r="C4590" i="16"/>
  <c r="B4590" i="16"/>
  <c r="A4590" i="16"/>
  <c r="F4589" i="16"/>
  <c r="D4589" i="16"/>
  <c r="C4589" i="16"/>
  <c r="B4589" i="16"/>
  <c r="A4589" i="16"/>
  <c r="H4588" i="16"/>
  <c r="D4588" i="16"/>
  <c r="C4588" i="16"/>
  <c r="B4588" i="16"/>
  <c r="A4588" i="16"/>
  <c r="D4587" i="16"/>
  <c r="C4587" i="16"/>
  <c r="B4587" i="16"/>
  <c r="A4587" i="16"/>
  <c r="T4586" i="16"/>
  <c r="O4586" i="16"/>
  <c r="N4586" i="16"/>
  <c r="K4586" i="16"/>
  <c r="G4586" i="16"/>
  <c r="F4586" i="16"/>
  <c r="E4586" i="16"/>
  <c r="D4586" i="16"/>
  <c r="C4586" i="16"/>
  <c r="B4586" i="16"/>
  <c r="A4586" i="16"/>
  <c r="I4586" i="16" s="1"/>
  <c r="P4585" i="16"/>
  <c r="O4585" i="16"/>
  <c r="N4585" i="16"/>
  <c r="M4585" i="16"/>
  <c r="L4585" i="16"/>
  <c r="K4585" i="16"/>
  <c r="G4585" i="16"/>
  <c r="F4585" i="16"/>
  <c r="E4585" i="16"/>
  <c r="D4585" i="16"/>
  <c r="C4585" i="16"/>
  <c r="B4585" i="16"/>
  <c r="A4585" i="16"/>
  <c r="T4585" i="16" s="1"/>
  <c r="K4584" i="16"/>
  <c r="I4584" i="16"/>
  <c r="F4584" i="16"/>
  <c r="D4584" i="16"/>
  <c r="C4584" i="16"/>
  <c r="B4584" i="16"/>
  <c r="A4584" i="16"/>
  <c r="L4584" i="16" s="1"/>
  <c r="N4583" i="16"/>
  <c r="M4583" i="16"/>
  <c r="D4583" i="16"/>
  <c r="C4583" i="16"/>
  <c r="B4583" i="16"/>
  <c r="A4583" i="16"/>
  <c r="O4583" i="16" s="1"/>
  <c r="D4582" i="16"/>
  <c r="C4582" i="16"/>
  <c r="B4582" i="16"/>
  <c r="A4582" i="16"/>
  <c r="D4581" i="16"/>
  <c r="C4581" i="16"/>
  <c r="B4581" i="16"/>
  <c r="A4581" i="16"/>
  <c r="K4580" i="16"/>
  <c r="J4580" i="16"/>
  <c r="I4580" i="16"/>
  <c r="H4580" i="16"/>
  <c r="D4580" i="16"/>
  <c r="C4580" i="16"/>
  <c r="B4580" i="16"/>
  <c r="A4580" i="16"/>
  <c r="T4580" i="16" s="1"/>
  <c r="K4579" i="16"/>
  <c r="J4579" i="16"/>
  <c r="I4579" i="16"/>
  <c r="D4579" i="16"/>
  <c r="C4579" i="16"/>
  <c r="B4579" i="16"/>
  <c r="A4579" i="16"/>
  <c r="L4579" i="16" s="1"/>
  <c r="I4578" i="16"/>
  <c r="G4578" i="16"/>
  <c r="F4578" i="16"/>
  <c r="E4578" i="16"/>
  <c r="D4578" i="16"/>
  <c r="C4578" i="16"/>
  <c r="B4578" i="16"/>
  <c r="A4578" i="16"/>
  <c r="P4577" i="16"/>
  <c r="O4577" i="16"/>
  <c r="N4577" i="16"/>
  <c r="M4577" i="16"/>
  <c r="H4577" i="16"/>
  <c r="G4577" i="16"/>
  <c r="F4577" i="16"/>
  <c r="E4577" i="16"/>
  <c r="D4577" i="16"/>
  <c r="C4577" i="16"/>
  <c r="B4577" i="16"/>
  <c r="A4577" i="16"/>
  <c r="D4576" i="16"/>
  <c r="C4576" i="16"/>
  <c r="B4576" i="16"/>
  <c r="A4576" i="16"/>
  <c r="D4575" i="16"/>
  <c r="C4575" i="16"/>
  <c r="B4575" i="16"/>
  <c r="A4575" i="16"/>
  <c r="D4574" i="16"/>
  <c r="C4574" i="16"/>
  <c r="B4574" i="16"/>
  <c r="A4574" i="16"/>
  <c r="T4573" i="16"/>
  <c r="P4573" i="16"/>
  <c r="O4573" i="16"/>
  <c r="N4573" i="16"/>
  <c r="L4573" i="16"/>
  <c r="I4573" i="16"/>
  <c r="H4573" i="16"/>
  <c r="G4573" i="16"/>
  <c r="F4573" i="16"/>
  <c r="D4573" i="16"/>
  <c r="C4573" i="16"/>
  <c r="B4573" i="16"/>
  <c r="A4573" i="16"/>
  <c r="K4573" i="16" s="1"/>
  <c r="T4572" i="16"/>
  <c r="O4572" i="16"/>
  <c r="L4572" i="16"/>
  <c r="K4572" i="16"/>
  <c r="D4572" i="16"/>
  <c r="C4572" i="16"/>
  <c r="B4572" i="16"/>
  <c r="A4572" i="16"/>
  <c r="P4571" i="16"/>
  <c r="J4571" i="16"/>
  <c r="F4571" i="16"/>
  <c r="E4571" i="16"/>
  <c r="D4571" i="16"/>
  <c r="C4571" i="16"/>
  <c r="B4571" i="16"/>
  <c r="A4571" i="16"/>
  <c r="N4571" i="16" s="1"/>
  <c r="D4570" i="16"/>
  <c r="C4570" i="16"/>
  <c r="B4570" i="16"/>
  <c r="A4570" i="16"/>
  <c r="L4569" i="16"/>
  <c r="J4569" i="16"/>
  <c r="H4569" i="16"/>
  <c r="G4569" i="16"/>
  <c r="D4569" i="16"/>
  <c r="C4569" i="16"/>
  <c r="B4569" i="16"/>
  <c r="A4569" i="16"/>
  <c r="T4568" i="16"/>
  <c r="P4568" i="16"/>
  <c r="G4568" i="16"/>
  <c r="D4568" i="16"/>
  <c r="C4568" i="16"/>
  <c r="B4568" i="16"/>
  <c r="A4568" i="16"/>
  <c r="D4567" i="16"/>
  <c r="C4567" i="16"/>
  <c r="B4567" i="16"/>
  <c r="A4567" i="16"/>
  <c r="T4566" i="16"/>
  <c r="P4566" i="16"/>
  <c r="O4566" i="16"/>
  <c r="H4566" i="16"/>
  <c r="G4566" i="16"/>
  <c r="F4566" i="16"/>
  <c r="D4566" i="16"/>
  <c r="C4566" i="16"/>
  <c r="B4566" i="16"/>
  <c r="A4566" i="16"/>
  <c r="M4566" i="16" s="1"/>
  <c r="G4565" i="16"/>
  <c r="F4565" i="16"/>
  <c r="D4565" i="16"/>
  <c r="C4565" i="16"/>
  <c r="B4565" i="16"/>
  <c r="A4565" i="16"/>
  <c r="J4564" i="16"/>
  <c r="I4564" i="16"/>
  <c r="D4564" i="16"/>
  <c r="C4564" i="16"/>
  <c r="B4564" i="16"/>
  <c r="A4564" i="16"/>
  <c r="M4564" i="16" s="1"/>
  <c r="J4563" i="16"/>
  <c r="I4563" i="16"/>
  <c r="H4563" i="16"/>
  <c r="F4563" i="16"/>
  <c r="D4563" i="16"/>
  <c r="C4563" i="16"/>
  <c r="B4563" i="16"/>
  <c r="A4563" i="16"/>
  <c r="F4562" i="16"/>
  <c r="E4562" i="16"/>
  <c r="D4562" i="16"/>
  <c r="C4562" i="16"/>
  <c r="B4562" i="16"/>
  <c r="A4562" i="16"/>
  <c r="M4561" i="16"/>
  <c r="L4561" i="16"/>
  <c r="K4561" i="16"/>
  <c r="H4561" i="16"/>
  <c r="D4561" i="16"/>
  <c r="C4561" i="16"/>
  <c r="B4561" i="16"/>
  <c r="A4561" i="16"/>
  <c r="D4560" i="16"/>
  <c r="C4560" i="16"/>
  <c r="B4560" i="16"/>
  <c r="A4560" i="16"/>
  <c r="L4559" i="16"/>
  <c r="J4559" i="16"/>
  <c r="D4559" i="16"/>
  <c r="C4559" i="16"/>
  <c r="B4559" i="16"/>
  <c r="A4559" i="16"/>
  <c r="I4558" i="16"/>
  <c r="D4558" i="16"/>
  <c r="C4558" i="16"/>
  <c r="B4558" i="16"/>
  <c r="A4558" i="16"/>
  <c r="D4557" i="16"/>
  <c r="C4557" i="16"/>
  <c r="B4557" i="16"/>
  <c r="A4557" i="16"/>
  <c r="D4556" i="16"/>
  <c r="C4556" i="16"/>
  <c r="B4556" i="16"/>
  <c r="A4556" i="16"/>
  <c r="D4555" i="16"/>
  <c r="C4555" i="16"/>
  <c r="B4555" i="16"/>
  <c r="A4555" i="16"/>
  <c r="N4554" i="16"/>
  <c r="L4554" i="16"/>
  <c r="F4554" i="16"/>
  <c r="D4554" i="16"/>
  <c r="C4554" i="16"/>
  <c r="B4554" i="16"/>
  <c r="A4554" i="16"/>
  <c r="P4553" i="16"/>
  <c r="O4553" i="16"/>
  <c r="N4553" i="16"/>
  <c r="M4553" i="16"/>
  <c r="L4553" i="16"/>
  <c r="H4553" i="16"/>
  <c r="G4553" i="16"/>
  <c r="F4553" i="16"/>
  <c r="E4553" i="16"/>
  <c r="D4553" i="16"/>
  <c r="C4553" i="16"/>
  <c r="B4553" i="16"/>
  <c r="A4553" i="16"/>
  <c r="T4553" i="16" s="1"/>
  <c r="D4552" i="16"/>
  <c r="C4552" i="16"/>
  <c r="B4552" i="16"/>
  <c r="A4552" i="16"/>
  <c r="D4551" i="16"/>
  <c r="C4551" i="16"/>
  <c r="B4551" i="16"/>
  <c r="A4551" i="16"/>
  <c r="D4550" i="16"/>
  <c r="C4550" i="16"/>
  <c r="B4550" i="16"/>
  <c r="A4550" i="16"/>
  <c r="D4549" i="16"/>
  <c r="C4549" i="16"/>
  <c r="B4549" i="16"/>
  <c r="A4549" i="16"/>
  <c r="O4548" i="16"/>
  <c r="D4548" i="16"/>
  <c r="C4548" i="16"/>
  <c r="B4548" i="16"/>
  <c r="A4548" i="16"/>
  <c r="N4547" i="16"/>
  <c r="D4547" i="16"/>
  <c r="C4547" i="16"/>
  <c r="B4547" i="16"/>
  <c r="A4547" i="16"/>
  <c r="P4547" i="16" s="1"/>
  <c r="J4546" i="16"/>
  <c r="I4546" i="16"/>
  <c r="E4546" i="16"/>
  <c r="D4546" i="16"/>
  <c r="C4546" i="16"/>
  <c r="B4546" i="16"/>
  <c r="A4546" i="16"/>
  <c r="F4546" i="16" s="1"/>
  <c r="P4545" i="16"/>
  <c r="O4545" i="16"/>
  <c r="M4545" i="16"/>
  <c r="H4545" i="16"/>
  <c r="G4545" i="16"/>
  <c r="F4545" i="16"/>
  <c r="E4545" i="16"/>
  <c r="D4545" i="16"/>
  <c r="C4545" i="16"/>
  <c r="B4545" i="16"/>
  <c r="A4545" i="16"/>
  <c r="D4544" i="16"/>
  <c r="C4544" i="16"/>
  <c r="B4544" i="16"/>
  <c r="A4544" i="16"/>
  <c r="P4543" i="16"/>
  <c r="E4543" i="16"/>
  <c r="D4543" i="16"/>
  <c r="C4543" i="16"/>
  <c r="B4543" i="16"/>
  <c r="A4543" i="16"/>
  <c r="I4542" i="16"/>
  <c r="D4542" i="16"/>
  <c r="C4542" i="16"/>
  <c r="B4542" i="16"/>
  <c r="A4542" i="16"/>
  <c r="T4541" i="16"/>
  <c r="P4541" i="16"/>
  <c r="J4541" i="16"/>
  <c r="I4541" i="16"/>
  <c r="H4541" i="16"/>
  <c r="G4541" i="16"/>
  <c r="D4541" i="16"/>
  <c r="C4541" i="16"/>
  <c r="B4541" i="16"/>
  <c r="A4541" i="16"/>
  <c r="N4541" i="16" s="1"/>
  <c r="D4540" i="16"/>
  <c r="C4540" i="16"/>
  <c r="B4540" i="16"/>
  <c r="A4540" i="16"/>
  <c r="N4539" i="16"/>
  <c r="D4539" i="16"/>
  <c r="C4539" i="16"/>
  <c r="B4539" i="16"/>
  <c r="A4539" i="16"/>
  <c r="T4538" i="16"/>
  <c r="O4538" i="16"/>
  <c r="G4538" i="16"/>
  <c r="F4538" i="16"/>
  <c r="D4538" i="16"/>
  <c r="C4538" i="16"/>
  <c r="B4538" i="16"/>
  <c r="A4538" i="16"/>
  <c r="P4537" i="16"/>
  <c r="O4537" i="16"/>
  <c r="N4537" i="16"/>
  <c r="M4537" i="16"/>
  <c r="H4537" i="16"/>
  <c r="F4537" i="16"/>
  <c r="E4537" i="16"/>
  <c r="D4537" i="16"/>
  <c r="C4537" i="16"/>
  <c r="B4537" i="16"/>
  <c r="A4537" i="16"/>
  <c r="G4537" i="16" s="1"/>
  <c r="T4536" i="16"/>
  <c r="P4536" i="16"/>
  <c r="O4536" i="16"/>
  <c r="N4536" i="16"/>
  <c r="M4536" i="16"/>
  <c r="H4536" i="16"/>
  <c r="G4536" i="16"/>
  <c r="F4536" i="16"/>
  <c r="E4536" i="16"/>
  <c r="D4536" i="16"/>
  <c r="C4536" i="16"/>
  <c r="B4536" i="16"/>
  <c r="A4536" i="16"/>
  <c r="J4536" i="16" s="1"/>
  <c r="T4535" i="16"/>
  <c r="P4535" i="16"/>
  <c r="O4535" i="16"/>
  <c r="N4535" i="16"/>
  <c r="M4535" i="16"/>
  <c r="L4535" i="16"/>
  <c r="G4535" i="16"/>
  <c r="F4535" i="16"/>
  <c r="E4535" i="16"/>
  <c r="D4535" i="16"/>
  <c r="C4535" i="16"/>
  <c r="B4535" i="16"/>
  <c r="A4535" i="16"/>
  <c r="K4535" i="16" s="1"/>
  <c r="P4534" i="16"/>
  <c r="O4534" i="16"/>
  <c r="K4534" i="16"/>
  <c r="F4534" i="16"/>
  <c r="D4534" i="16"/>
  <c r="C4534" i="16"/>
  <c r="B4534" i="16"/>
  <c r="A4534" i="16"/>
  <c r="H4533" i="16"/>
  <c r="D4533" i="16"/>
  <c r="C4533" i="16"/>
  <c r="B4533" i="16"/>
  <c r="A4533" i="16"/>
  <c r="E4532" i="16"/>
  <c r="D4532" i="16"/>
  <c r="C4532" i="16"/>
  <c r="B4532" i="16"/>
  <c r="A4532" i="16"/>
  <c r="K4531" i="16"/>
  <c r="D4531" i="16"/>
  <c r="C4531" i="16"/>
  <c r="B4531" i="16"/>
  <c r="A4531" i="16"/>
  <c r="D4530" i="16"/>
  <c r="C4530" i="16"/>
  <c r="B4530" i="16"/>
  <c r="A4530" i="16"/>
  <c r="P4529" i="16"/>
  <c r="O4529" i="16"/>
  <c r="L4529" i="16"/>
  <c r="J4529" i="16"/>
  <c r="G4529" i="16"/>
  <c r="F4529" i="16"/>
  <c r="D4529" i="16"/>
  <c r="C4529" i="16"/>
  <c r="B4529" i="16"/>
  <c r="A4529" i="16"/>
  <c r="H4529" i="16" s="1"/>
  <c r="D4528" i="16"/>
  <c r="C4528" i="16"/>
  <c r="B4528" i="16"/>
  <c r="A4528" i="16"/>
  <c r="P4527" i="16"/>
  <c r="H4527" i="16"/>
  <c r="G4527" i="16"/>
  <c r="F4527" i="16"/>
  <c r="E4527" i="16"/>
  <c r="D4527" i="16"/>
  <c r="C4527" i="16"/>
  <c r="B4527" i="16"/>
  <c r="A4527" i="16"/>
  <c r="T4526" i="16"/>
  <c r="D4526" i="16"/>
  <c r="C4526" i="16"/>
  <c r="B4526" i="16"/>
  <c r="A4526" i="16"/>
  <c r="I4525" i="16"/>
  <c r="D4525" i="16"/>
  <c r="C4525" i="16"/>
  <c r="B4525" i="16"/>
  <c r="A4525" i="16"/>
  <c r="D4524" i="16"/>
  <c r="C4524" i="16"/>
  <c r="B4524" i="16"/>
  <c r="A4524" i="16"/>
  <c r="T4523" i="16"/>
  <c r="P4523" i="16"/>
  <c r="N4523" i="16"/>
  <c r="M4523" i="16"/>
  <c r="I4523" i="16"/>
  <c r="H4523" i="16"/>
  <c r="F4523" i="16"/>
  <c r="E4523" i="16"/>
  <c r="D4523" i="16"/>
  <c r="C4523" i="16"/>
  <c r="B4523" i="16"/>
  <c r="A4523" i="16"/>
  <c r="L4523" i="16" s="1"/>
  <c r="N4522" i="16"/>
  <c r="L4522" i="16"/>
  <c r="D4522" i="16"/>
  <c r="C4522" i="16"/>
  <c r="B4522" i="16"/>
  <c r="A4522" i="16"/>
  <c r="P4521" i="16"/>
  <c r="O4521" i="16"/>
  <c r="L4521" i="16"/>
  <c r="J4521" i="16"/>
  <c r="H4521" i="16"/>
  <c r="G4521" i="16"/>
  <c r="F4521" i="16"/>
  <c r="D4521" i="16"/>
  <c r="C4521" i="16"/>
  <c r="B4521" i="16"/>
  <c r="A4521" i="16"/>
  <c r="D4520" i="16"/>
  <c r="C4520" i="16"/>
  <c r="B4520" i="16"/>
  <c r="A4520" i="16"/>
  <c r="D4519" i="16"/>
  <c r="C4519" i="16"/>
  <c r="B4519" i="16"/>
  <c r="A4519" i="16"/>
  <c r="T4518" i="16"/>
  <c r="O4518" i="16"/>
  <c r="K4518" i="16"/>
  <c r="D4518" i="16"/>
  <c r="C4518" i="16"/>
  <c r="B4518" i="16"/>
  <c r="A4518" i="16"/>
  <c r="N4517" i="16"/>
  <c r="L4517" i="16"/>
  <c r="D4517" i="16"/>
  <c r="C4517" i="16"/>
  <c r="B4517" i="16"/>
  <c r="A4517" i="16"/>
  <c r="D4516" i="16"/>
  <c r="C4516" i="16"/>
  <c r="B4516" i="16"/>
  <c r="A4516" i="16"/>
  <c r="T4515" i="16"/>
  <c r="P4515" i="16"/>
  <c r="N4515" i="16"/>
  <c r="I4515" i="16"/>
  <c r="H4515" i="16"/>
  <c r="F4515" i="16"/>
  <c r="E4515" i="16"/>
  <c r="D4515" i="16"/>
  <c r="C4515" i="16"/>
  <c r="B4515" i="16"/>
  <c r="A4515" i="16"/>
  <c r="L4515" i="16" s="1"/>
  <c r="T4514" i="16"/>
  <c r="O4514" i="16"/>
  <c r="D4514" i="16"/>
  <c r="C4514" i="16"/>
  <c r="B4514" i="16"/>
  <c r="A4514" i="16"/>
  <c r="K4513" i="16"/>
  <c r="J4513" i="16"/>
  <c r="H4513" i="16"/>
  <c r="E4513" i="16"/>
  <c r="D4513" i="16"/>
  <c r="C4513" i="16"/>
  <c r="B4513" i="16"/>
  <c r="A4513" i="16"/>
  <c r="D4512" i="16"/>
  <c r="C4512" i="16"/>
  <c r="B4512" i="16"/>
  <c r="A4512" i="16"/>
  <c r="D4511" i="16"/>
  <c r="C4511" i="16"/>
  <c r="B4511" i="16"/>
  <c r="A4511" i="16"/>
  <c r="T4510" i="16"/>
  <c r="G4510" i="16"/>
  <c r="F4510" i="16"/>
  <c r="E4510" i="16"/>
  <c r="D4510" i="16"/>
  <c r="C4510" i="16"/>
  <c r="B4510" i="16"/>
  <c r="A4510" i="16"/>
  <c r="P4510" i="16" s="1"/>
  <c r="P4509" i="16"/>
  <c r="O4509" i="16"/>
  <c r="L4509" i="16"/>
  <c r="K4509" i="16"/>
  <c r="I4509" i="16"/>
  <c r="F4509" i="16"/>
  <c r="D4509" i="16"/>
  <c r="C4509" i="16"/>
  <c r="B4509" i="16"/>
  <c r="A4509" i="16"/>
  <c r="O4508" i="16"/>
  <c r="D4508" i="16"/>
  <c r="C4508" i="16"/>
  <c r="B4508" i="16"/>
  <c r="A4508" i="16"/>
  <c r="L4507" i="16"/>
  <c r="D4507" i="16"/>
  <c r="C4507" i="16"/>
  <c r="B4507" i="16"/>
  <c r="A4507" i="16"/>
  <c r="M4507" i="16" s="1"/>
  <c r="N4506" i="16"/>
  <c r="L4506" i="16"/>
  <c r="E4506" i="16"/>
  <c r="D4506" i="16"/>
  <c r="C4506" i="16"/>
  <c r="B4506" i="16"/>
  <c r="A4506" i="16"/>
  <c r="T4506" i="16" s="1"/>
  <c r="N4505" i="16"/>
  <c r="M4505" i="16"/>
  <c r="K4505" i="16"/>
  <c r="J4505" i="16"/>
  <c r="H4505" i="16"/>
  <c r="E4505" i="16"/>
  <c r="D4505" i="16"/>
  <c r="C4505" i="16"/>
  <c r="B4505" i="16"/>
  <c r="A4505" i="16"/>
  <c r="I4504" i="16"/>
  <c r="D4504" i="16"/>
  <c r="C4504" i="16"/>
  <c r="B4504" i="16"/>
  <c r="A4504" i="16"/>
  <c r="M4504" i="16" s="1"/>
  <c r="G4503" i="16"/>
  <c r="D4503" i="16"/>
  <c r="C4503" i="16"/>
  <c r="B4503" i="16"/>
  <c r="A4503" i="16"/>
  <c r="T4503" i="16" s="1"/>
  <c r="G4502" i="16"/>
  <c r="F4502" i="16"/>
  <c r="D4502" i="16"/>
  <c r="C4502" i="16"/>
  <c r="B4502" i="16"/>
  <c r="A4502" i="16"/>
  <c r="D4501" i="16"/>
  <c r="C4501" i="16"/>
  <c r="B4501" i="16"/>
  <c r="A4501" i="16"/>
  <c r="K4500" i="16"/>
  <c r="D4500" i="16"/>
  <c r="C4500" i="16"/>
  <c r="B4500" i="16"/>
  <c r="A4500" i="16"/>
  <c r="D4499" i="16"/>
  <c r="C4499" i="16"/>
  <c r="B4499" i="16"/>
  <c r="A4499" i="16"/>
  <c r="N4498" i="16"/>
  <c r="L4498" i="16"/>
  <c r="K4498" i="16"/>
  <c r="I4498" i="16"/>
  <c r="G4498" i="16"/>
  <c r="D4498" i="16"/>
  <c r="C4498" i="16"/>
  <c r="B4498" i="16"/>
  <c r="A4498" i="16"/>
  <c r="L4497" i="16"/>
  <c r="K4497" i="16"/>
  <c r="J4497" i="16"/>
  <c r="G4497" i="16"/>
  <c r="D4497" i="16"/>
  <c r="C4497" i="16"/>
  <c r="B4497" i="16"/>
  <c r="A4497" i="16"/>
  <c r="P4496" i="16"/>
  <c r="N4496" i="16"/>
  <c r="D4496" i="16"/>
  <c r="C4496" i="16"/>
  <c r="B4496" i="16"/>
  <c r="A4496" i="16"/>
  <c r="D4495" i="16"/>
  <c r="C4495" i="16"/>
  <c r="B4495" i="16"/>
  <c r="A4495" i="16"/>
  <c r="D4494" i="16"/>
  <c r="C4494" i="16"/>
  <c r="B4494" i="16"/>
  <c r="A4494" i="16"/>
  <c r="P4493" i="16"/>
  <c r="O4493" i="16"/>
  <c r="N4493" i="16"/>
  <c r="D4493" i="16"/>
  <c r="C4493" i="16"/>
  <c r="B4493" i="16"/>
  <c r="A4493" i="16"/>
  <c r="K4492" i="16"/>
  <c r="J4492" i="16"/>
  <c r="D4492" i="16"/>
  <c r="C4492" i="16"/>
  <c r="B4492" i="16"/>
  <c r="A4492" i="16"/>
  <c r="P4491" i="16"/>
  <c r="D4491" i="16"/>
  <c r="C4491" i="16"/>
  <c r="B4491" i="16"/>
  <c r="A4491" i="16"/>
  <c r="D4490" i="16"/>
  <c r="C4490" i="16"/>
  <c r="B4490" i="16"/>
  <c r="A4490" i="16"/>
  <c r="K4489" i="16"/>
  <c r="J4489" i="16"/>
  <c r="H4489" i="16"/>
  <c r="F4489" i="16"/>
  <c r="D4489" i="16"/>
  <c r="C4489" i="16"/>
  <c r="B4489" i="16"/>
  <c r="A4489" i="16"/>
  <c r="O4488" i="16"/>
  <c r="N4488" i="16"/>
  <c r="E4488" i="16"/>
  <c r="D4488" i="16"/>
  <c r="C4488" i="16"/>
  <c r="B4488" i="16"/>
  <c r="A4488" i="16"/>
  <c r="T4487" i="16"/>
  <c r="D4487" i="16"/>
  <c r="C4487" i="16"/>
  <c r="B4487" i="16"/>
  <c r="A4487" i="16"/>
  <c r="T4486" i="16"/>
  <c r="P4486" i="16"/>
  <c r="H4486" i="16"/>
  <c r="G4486" i="16"/>
  <c r="D4486" i="16"/>
  <c r="C4486" i="16"/>
  <c r="B4486" i="16"/>
  <c r="A4486" i="16"/>
  <c r="P4485" i="16"/>
  <c r="D4485" i="16"/>
  <c r="C4485" i="16"/>
  <c r="B4485" i="16"/>
  <c r="A4485" i="16"/>
  <c r="L4484" i="16"/>
  <c r="K4484" i="16"/>
  <c r="D4484" i="16"/>
  <c r="C4484" i="16"/>
  <c r="B4484" i="16"/>
  <c r="A4484" i="16"/>
  <c r="P4484" i="16" s="1"/>
  <c r="D4483" i="16"/>
  <c r="C4483" i="16"/>
  <c r="B4483" i="16"/>
  <c r="A4483" i="16"/>
  <c r="D4482" i="16"/>
  <c r="C4482" i="16"/>
  <c r="B4482" i="16"/>
  <c r="A4482" i="16"/>
  <c r="O4481" i="16"/>
  <c r="J4481" i="16"/>
  <c r="H4481" i="16"/>
  <c r="G4481" i="16"/>
  <c r="F4481" i="16"/>
  <c r="D4481" i="16"/>
  <c r="C4481" i="16"/>
  <c r="B4481" i="16"/>
  <c r="A4481" i="16"/>
  <c r="T4480" i="16"/>
  <c r="P4480" i="16"/>
  <c r="N4480" i="16"/>
  <c r="L4480" i="16"/>
  <c r="D4480" i="16"/>
  <c r="C4480" i="16"/>
  <c r="B4480" i="16"/>
  <c r="A4480" i="16"/>
  <c r="D4479" i="16"/>
  <c r="C4479" i="16"/>
  <c r="B4479" i="16"/>
  <c r="A4479" i="16"/>
  <c r="J4478" i="16"/>
  <c r="I4478" i="16"/>
  <c r="D4478" i="16"/>
  <c r="C4478" i="16"/>
  <c r="B4478" i="16"/>
  <c r="A4478" i="16"/>
  <c r="P4477" i="16"/>
  <c r="G4477" i="16"/>
  <c r="D4477" i="16"/>
  <c r="C4477" i="16"/>
  <c r="B4477" i="16"/>
  <c r="A4477" i="16"/>
  <c r="J4476" i="16"/>
  <c r="G4476" i="16"/>
  <c r="E4476" i="16"/>
  <c r="D4476" i="16"/>
  <c r="C4476" i="16"/>
  <c r="B4476" i="16"/>
  <c r="A4476" i="16"/>
  <c r="T4476" i="16" s="1"/>
  <c r="D4475" i="16"/>
  <c r="C4475" i="16"/>
  <c r="B4475" i="16"/>
  <c r="A4475" i="16"/>
  <c r="T4474" i="16"/>
  <c r="I4474" i="16"/>
  <c r="G4474" i="16"/>
  <c r="F4474" i="16"/>
  <c r="E4474" i="16"/>
  <c r="D4474" i="16"/>
  <c r="C4474" i="16"/>
  <c r="B4474" i="16"/>
  <c r="A4474" i="16"/>
  <c r="O4474" i="16" s="1"/>
  <c r="P4473" i="16"/>
  <c r="O4473" i="16"/>
  <c r="N4473" i="16"/>
  <c r="M4473" i="16"/>
  <c r="L4473" i="16"/>
  <c r="K4473" i="16"/>
  <c r="G4473" i="16"/>
  <c r="F4473" i="16"/>
  <c r="E4473" i="16"/>
  <c r="D4473" i="16"/>
  <c r="C4473" i="16"/>
  <c r="B4473" i="16"/>
  <c r="A4473" i="16"/>
  <c r="T4473" i="16" s="1"/>
  <c r="M4472" i="16"/>
  <c r="L4472" i="16"/>
  <c r="K4472" i="16"/>
  <c r="D4472" i="16"/>
  <c r="C4472" i="16"/>
  <c r="B4472" i="16"/>
  <c r="A4472" i="16"/>
  <c r="O4471" i="16"/>
  <c r="N4471" i="16"/>
  <c r="M4471" i="16"/>
  <c r="D4471" i="16"/>
  <c r="C4471" i="16"/>
  <c r="B4471" i="16"/>
  <c r="A4471" i="16"/>
  <c r="T4470" i="16"/>
  <c r="M4470" i="16"/>
  <c r="D4470" i="16"/>
  <c r="C4470" i="16"/>
  <c r="B4470" i="16"/>
  <c r="A4470" i="16"/>
  <c r="D4469" i="16"/>
  <c r="C4469" i="16"/>
  <c r="B4469" i="16"/>
  <c r="A4469" i="16"/>
  <c r="P4468" i="16"/>
  <c r="I4468" i="16"/>
  <c r="G4468" i="16"/>
  <c r="E4468" i="16"/>
  <c r="D4468" i="16"/>
  <c r="C4468" i="16"/>
  <c r="B4468" i="16"/>
  <c r="A4468" i="16"/>
  <c r="J4468" i="16" s="1"/>
  <c r="D4467" i="16"/>
  <c r="C4467" i="16"/>
  <c r="B4467" i="16"/>
  <c r="A4467" i="16"/>
  <c r="D4466" i="16"/>
  <c r="C4466" i="16"/>
  <c r="B4466" i="16"/>
  <c r="A4466" i="16"/>
  <c r="P4465" i="16"/>
  <c r="O4465" i="16"/>
  <c r="N4465" i="16"/>
  <c r="M4465" i="16"/>
  <c r="L4465" i="16"/>
  <c r="K4465" i="16"/>
  <c r="G4465" i="16"/>
  <c r="F4465" i="16"/>
  <c r="E4465" i="16"/>
  <c r="D4465" i="16"/>
  <c r="C4465" i="16"/>
  <c r="B4465" i="16"/>
  <c r="A4465" i="16"/>
  <c r="T4465" i="16" s="1"/>
  <c r="D4464" i="16"/>
  <c r="C4464" i="16"/>
  <c r="B4464" i="16"/>
  <c r="A4464" i="16"/>
  <c r="T4463" i="16"/>
  <c r="P4463" i="16"/>
  <c r="O4463" i="16"/>
  <c r="N4463" i="16"/>
  <c r="L4463" i="16"/>
  <c r="G4463" i="16"/>
  <c r="F4463" i="16"/>
  <c r="E4463" i="16"/>
  <c r="D4463" i="16"/>
  <c r="C4463" i="16"/>
  <c r="B4463" i="16"/>
  <c r="A4463" i="16"/>
  <c r="J4463" i="16" s="1"/>
  <c r="D4462" i="16"/>
  <c r="C4462" i="16"/>
  <c r="B4462" i="16"/>
  <c r="A4462" i="16"/>
  <c r="O4461" i="16"/>
  <c r="I4461" i="16"/>
  <c r="F4461" i="16"/>
  <c r="D4461" i="16"/>
  <c r="C4461" i="16"/>
  <c r="B4461" i="16"/>
  <c r="A4461" i="16"/>
  <c r="G4460" i="16"/>
  <c r="D4460" i="16"/>
  <c r="C4460" i="16"/>
  <c r="B4460" i="16"/>
  <c r="A4460" i="16"/>
  <c r="M4459" i="16"/>
  <c r="H4459" i="16"/>
  <c r="D4459" i="16"/>
  <c r="C4459" i="16"/>
  <c r="B4459" i="16"/>
  <c r="A4459" i="16"/>
  <c r="T4458" i="16"/>
  <c r="O4458" i="16"/>
  <c r="L4458" i="16"/>
  <c r="G4458" i="16"/>
  <c r="F4458" i="16"/>
  <c r="E4458" i="16"/>
  <c r="D4458" i="16"/>
  <c r="C4458" i="16"/>
  <c r="B4458" i="16"/>
  <c r="A4458" i="16"/>
  <c r="J4458" i="16" s="1"/>
  <c r="P4457" i="16"/>
  <c r="O4457" i="16"/>
  <c r="N4457" i="16"/>
  <c r="M4457" i="16"/>
  <c r="L4457" i="16"/>
  <c r="K4457" i="16"/>
  <c r="G4457" i="16"/>
  <c r="F4457" i="16"/>
  <c r="E4457" i="16"/>
  <c r="D4457" i="16"/>
  <c r="C4457" i="16"/>
  <c r="B4457" i="16"/>
  <c r="A4457" i="16"/>
  <c r="T4457" i="16" s="1"/>
  <c r="D4456" i="16"/>
  <c r="C4456" i="16"/>
  <c r="B4456" i="16"/>
  <c r="A4456" i="16"/>
  <c r="H4455" i="16"/>
  <c r="F4455" i="16"/>
  <c r="E4455" i="16"/>
  <c r="D4455" i="16"/>
  <c r="C4455" i="16"/>
  <c r="B4455" i="16"/>
  <c r="A4455" i="16"/>
  <c r="T4455" i="16" s="1"/>
  <c r="O4454" i="16"/>
  <c r="N4454" i="16"/>
  <c r="K4454" i="16"/>
  <c r="H4454" i="16"/>
  <c r="D4454" i="16"/>
  <c r="C4454" i="16"/>
  <c r="B4454" i="16"/>
  <c r="A4454" i="16"/>
  <c r="K4453" i="16"/>
  <c r="D4453" i="16"/>
  <c r="C4453" i="16"/>
  <c r="B4453" i="16"/>
  <c r="A4453" i="16"/>
  <c r="D4452" i="16"/>
  <c r="C4452" i="16"/>
  <c r="B4452" i="16"/>
  <c r="A4452" i="16"/>
  <c r="T4451" i="16"/>
  <c r="D4451" i="16"/>
  <c r="C4451" i="16"/>
  <c r="B4451" i="16"/>
  <c r="A4451" i="16"/>
  <c r="D4450" i="16"/>
  <c r="C4450" i="16"/>
  <c r="B4450" i="16"/>
  <c r="A4450" i="16"/>
  <c r="M4449" i="16"/>
  <c r="K4449" i="16"/>
  <c r="H4449" i="16"/>
  <c r="D4449" i="16"/>
  <c r="C4449" i="16"/>
  <c r="B4449" i="16"/>
  <c r="A4449" i="16"/>
  <c r="L4449" i="16" s="1"/>
  <c r="T4448" i="16"/>
  <c r="I4448" i="16"/>
  <c r="H4448" i="16"/>
  <c r="G4448" i="16"/>
  <c r="D4448" i="16"/>
  <c r="C4448" i="16"/>
  <c r="B4448" i="16"/>
  <c r="A4448" i="16"/>
  <c r="N4448" i="16" s="1"/>
  <c r="I4447" i="16"/>
  <c r="H4447" i="16"/>
  <c r="G4447" i="16"/>
  <c r="D4447" i="16"/>
  <c r="C4447" i="16"/>
  <c r="B4447" i="16"/>
  <c r="A4447" i="16"/>
  <c r="L4447" i="16" s="1"/>
  <c r="P4446" i="16"/>
  <c r="O4446" i="16"/>
  <c r="F4446" i="16"/>
  <c r="D4446" i="16"/>
  <c r="C4446" i="16"/>
  <c r="B4446" i="16"/>
  <c r="A4446" i="16"/>
  <c r="T4445" i="16"/>
  <c r="P4445" i="16"/>
  <c r="O4445" i="16"/>
  <c r="N4445" i="16"/>
  <c r="L4445" i="16"/>
  <c r="H4445" i="16"/>
  <c r="G4445" i="16"/>
  <c r="F4445" i="16"/>
  <c r="D4445" i="16"/>
  <c r="C4445" i="16"/>
  <c r="B4445" i="16"/>
  <c r="A4445" i="16"/>
  <c r="K4445" i="16" s="1"/>
  <c r="K4444" i="16"/>
  <c r="G4444" i="16"/>
  <c r="E4444" i="16"/>
  <c r="D4444" i="16"/>
  <c r="C4444" i="16"/>
  <c r="B4444" i="16"/>
  <c r="A4444" i="16"/>
  <c r="L4444" i="16" s="1"/>
  <c r="L4443" i="16"/>
  <c r="K4443" i="16"/>
  <c r="J4443" i="16"/>
  <c r="D4443" i="16"/>
  <c r="C4443" i="16"/>
  <c r="B4443" i="16"/>
  <c r="A4443" i="16"/>
  <c r="M4443" i="16" s="1"/>
  <c r="N4442" i="16"/>
  <c r="L4442" i="16"/>
  <c r="J4442" i="16"/>
  <c r="I4442" i="16"/>
  <c r="G4442" i="16"/>
  <c r="D4442" i="16"/>
  <c r="C4442" i="16"/>
  <c r="B4442" i="16"/>
  <c r="A4442" i="16"/>
  <c r="O4441" i="16"/>
  <c r="N4441" i="16"/>
  <c r="D4441" i="16"/>
  <c r="C4441" i="16"/>
  <c r="B4441" i="16"/>
  <c r="A4441" i="16"/>
  <c r="P4441" i="16" s="1"/>
  <c r="M4440" i="16"/>
  <c r="D4440" i="16"/>
  <c r="C4440" i="16"/>
  <c r="B4440" i="16"/>
  <c r="A4440" i="16"/>
  <c r="D4439" i="16"/>
  <c r="C4439" i="16"/>
  <c r="B4439" i="16"/>
  <c r="A4439" i="16"/>
  <c r="D4438" i="16"/>
  <c r="C4438" i="16"/>
  <c r="B4438" i="16"/>
  <c r="A4438" i="16"/>
  <c r="T4437" i="16"/>
  <c r="P4437" i="16"/>
  <c r="K4437" i="16"/>
  <c r="H4437" i="16"/>
  <c r="G4437" i="16"/>
  <c r="F4437" i="16"/>
  <c r="D4437" i="16"/>
  <c r="C4437" i="16"/>
  <c r="B4437" i="16"/>
  <c r="A4437" i="16"/>
  <c r="I4437" i="16" s="1"/>
  <c r="P4436" i="16"/>
  <c r="J4436" i="16"/>
  <c r="I4436" i="16"/>
  <c r="E4436" i="16"/>
  <c r="D4436" i="16"/>
  <c r="C4436" i="16"/>
  <c r="B4436" i="16"/>
  <c r="A4436" i="16"/>
  <c r="K4436" i="16" s="1"/>
  <c r="M4435" i="16"/>
  <c r="L4435" i="16"/>
  <c r="J4435" i="16"/>
  <c r="D4435" i="16"/>
  <c r="C4435" i="16"/>
  <c r="B4435" i="16"/>
  <c r="A4435" i="16"/>
  <c r="L4434" i="16"/>
  <c r="K4434" i="16"/>
  <c r="I4434" i="16"/>
  <c r="E4434" i="16"/>
  <c r="D4434" i="16"/>
  <c r="C4434" i="16"/>
  <c r="B4434" i="16"/>
  <c r="A4434" i="16"/>
  <c r="D4433" i="16"/>
  <c r="C4433" i="16"/>
  <c r="B4433" i="16"/>
  <c r="A4433" i="16"/>
  <c r="N4432" i="16"/>
  <c r="D4432" i="16"/>
  <c r="C4432" i="16"/>
  <c r="B4432" i="16"/>
  <c r="A4432" i="16"/>
  <c r="N4431" i="16"/>
  <c r="M4431" i="16"/>
  <c r="D4431" i="16"/>
  <c r="C4431" i="16"/>
  <c r="B4431" i="16"/>
  <c r="A4431" i="16"/>
  <c r="G4431" i="16" s="1"/>
  <c r="D4430" i="16"/>
  <c r="C4430" i="16"/>
  <c r="B4430" i="16"/>
  <c r="A4430" i="16"/>
  <c r="O4429" i="16"/>
  <c r="N4429" i="16"/>
  <c r="G4429" i="16"/>
  <c r="F4429" i="16"/>
  <c r="D4429" i="16"/>
  <c r="C4429" i="16"/>
  <c r="B4429" i="16"/>
  <c r="A4429" i="16"/>
  <c r="K4428" i="16"/>
  <c r="J4428" i="16"/>
  <c r="I4428" i="16"/>
  <c r="D4428" i="16"/>
  <c r="C4428" i="16"/>
  <c r="B4428" i="16"/>
  <c r="A4428" i="16"/>
  <c r="O4428" i="16" s="1"/>
  <c r="D4427" i="16"/>
  <c r="C4427" i="16"/>
  <c r="B4427" i="16"/>
  <c r="A4427" i="16"/>
  <c r="T4426" i="16"/>
  <c r="O4426" i="16"/>
  <c r="K4426" i="16"/>
  <c r="G4426" i="16"/>
  <c r="F4426" i="16"/>
  <c r="E4426" i="16"/>
  <c r="D4426" i="16"/>
  <c r="C4426" i="16"/>
  <c r="B4426" i="16"/>
  <c r="A4426" i="16"/>
  <c r="I4426" i="16" s="1"/>
  <c r="P4425" i="16"/>
  <c r="O4425" i="16"/>
  <c r="N4425" i="16"/>
  <c r="M4425" i="16"/>
  <c r="L4425" i="16"/>
  <c r="K4425" i="16"/>
  <c r="G4425" i="16"/>
  <c r="F4425" i="16"/>
  <c r="E4425" i="16"/>
  <c r="D4425" i="16"/>
  <c r="C4425" i="16"/>
  <c r="B4425" i="16"/>
  <c r="A4425" i="16"/>
  <c r="T4425" i="16" s="1"/>
  <c r="I4424" i="16"/>
  <c r="H4424" i="16"/>
  <c r="E4424" i="16"/>
  <c r="D4424" i="16"/>
  <c r="C4424" i="16"/>
  <c r="B4424" i="16"/>
  <c r="A4424" i="16"/>
  <c r="K4424" i="16" s="1"/>
  <c r="M4423" i="16"/>
  <c r="J4423" i="16"/>
  <c r="I4423" i="16"/>
  <c r="D4423" i="16"/>
  <c r="C4423" i="16"/>
  <c r="B4423" i="16"/>
  <c r="A4423" i="16"/>
  <c r="N4423" i="16" s="1"/>
  <c r="P4422" i="16"/>
  <c r="D4422" i="16"/>
  <c r="C4422" i="16"/>
  <c r="B4422" i="16"/>
  <c r="A4422" i="16"/>
  <c r="G4421" i="16"/>
  <c r="D4421" i="16"/>
  <c r="C4421" i="16"/>
  <c r="B4421" i="16"/>
  <c r="A4421" i="16"/>
  <c r="J4421" i="16" s="1"/>
  <c r="L4420" i="16"/>
  <c r="K4420" i="16"/>
  <c r="I4420" i="16"/>
  <c r="D4420" i="16"/>
  <c r="C4420" i="16"/>
  <c r="B4420" i="16"/>
  <c r="A4420" i="16"/>
  <c r="M4420" i="16" s="1"/>
  <c r="D4419" i="16"/>
  <c r="C4419" i="16"/>
  <c r="B4419" i="16"/>
  <c r="A4419" i="16"/>
  <c r="D4418" i="16"/>
  <c r="C4418" i="16"/>
  <c r="B4418" i="16"/>
  <c r="A4418" i="16"/>
  <c r="K4417" i="16"/>
  <c r="J4417" i="16"/>
  <c r="H4417" i="16"/>
  <c r="F4417" i="16"/>
  <c r="D4417" i="16"/>
  <c r="C4417" i="16"/>
  <c r="B4417" i="16"/>
  <c r="A4417" i="16"/>
  <c r="T4416" i="16"/>
  <c r="N4416" i="16"/>
  <c r="G4416" i="16"/>
  <c r="E4416" i="16"/>
  <c r="D4416" i="16"/>
  <c r="C4416" i="16"/>
  <c r="B4416" i="16"/>
  <c r="A4416" i="16"/>
  <c r="M4416" i="16" s="1"/>
  <c r="D4415" i="16"/>
  <c r="C4415" i="16"/>
  <c r="B4415" i="16"/>
  <c r="A4415" i="16"/>
  <c r="T4414" i="16"/>
  <c r="D4414" i="16"/>
  <c r="C4414" i="16"/>
  <c r="B4414" i="16"/>
  <c r="A4414" i="16"/>
  <c r="J4413" i="16"/>
  <c r="D4413" i="16"/>
  <c r="C4413" i="16"/>
  <c r="B4413" i="16"/>
  <c r="A4413" i="16"/>
  <c r="D4412" i="16"/>
  <c r="C4412" i="16"/>
  <c r="B4412" i="16"/>
  <c r="A4412" i="16"/>
  <c r="K4411" i="16"/>
  <c r="I4411" i="16"/>
  <c r="D4411" i="16"/>
  <c r="C4411" i="16"/>
  <c r="B4411" i="16"/>
  <c r="A4411" i="16"/>
  <c r="O4410" i="16"/>
  <c r="J4410" i="16"/>
  <c r="D4410" i="16"/>
  <c r="C4410" i="16"/>
  <c r="B4410" i="16"/>
  <c r="A4410" i="16"/>
  <c r="H4409" i="16"/>
  <c r="G4409" i="16"/>
  <c r="F4409" i="16"/>
  <c r="E4409" i="16"/>
  <c r="D4409" i="16"/>
  <c r="C4409" i="16"/>
  <c r="B4409" i="16"/>
  <c r="A4409" i="16"/>
  <c r="T4408" i="16"/>
  <c r="P4408" i="16"/>
  <c r="O4408" i="16"/>
  <c r="N4408" i="16"/>
  <c r="M4408" i="16"/>
  <c r="H4408" i="16"/>
  <c r="G4408" i="16"/>
  <c r="F4408" i="16"/>
  <c r="E4408" i="16"/>
  <c r="D4408" i="16"/>
  <c r="C4408" i="16"/>
  <c r="B4408" i="16"/>
  <c r="A4408" i="16"/>
  <c r="J4408" i="16" s="1"/>
  <c r="T4407" i="16"/>
  <c r="P4407" i="16"/>
  <c r="O4407" i="16"/>
  <c r="N4407" i="16"/>
  <c r="M4407" i="16"/>
  <c r="L4407" i="16"/>
  <c r="G4407" i="16"/>
  <c r="F4407" i="16"/>
  <c r="E4407" i="16"/>
  <c r="D4407" i="16"/>
  <c r="C4407" i="16"/>
  <c r="B4407" i="16"/>
  <c r="A4407" i="16"/>
  <c r="K4407" i="16" s="1"/>
  <c r="P4406" i="16"/>
  <c r="O4406" i="16"/>
  <c r="F4406" i="16"/>
  <c r="D4406" i="16"/>
  <c r="C4406" i="16"/>
  <c r="B4406" i="16"/>
  <c r="A4406" i="16"/>
  <c r="D4405" i="16"/>
  <c r="C4405" i="16"/>
  <c r="B4405" i="16"/>
  <c r="A4405" i="16"/>
  <c r="D4404" i="16"/>
  <c r="C4404" i="16"/>
  <c r="B4404" i="16"/>
  <c r="A4404" i="16"/>
  <c r="K4403" i="16"/>
  <c r="H4403" i="16"/>
  <c r="D4403" i="16"/>
  <c r="C4403" i="16"/>
  <c r="B4403" i="16"/>
  <c r="A4403" i="16"/>
  <c r="K4402" i="16"/>
  <c r="J4402" i="16"/>
  <c r="D4402" i="16"/>
  <c r="C4402" i="16"/>
  <c r="B4402" i="16"/>
  <c r="A4402" i="16"/>
  <c r="P4401" i="16"/>
  <c r="O4401" i="16"/>
  <c r="N4401" i="16"/>
  <c r="M4401" i="16"/>
  <c r="K4401" i="16"/>
  <c r="H4401" i="16"/>
  <c r="G4401" i="16"/>
  <c r="F4401" i="16"/>
  <c r="E4401" i="16"/>
  <c r="D4401" i="16"/>
  <c r="C4401" i="16"/>
  <c r="B4401" i="16"/>
  <c r="A4401" i="16"/>
  <c r="T4401" i="16" s="1"/>
  <c r="P4400" i="16"/>
  <c r="D4400" i="16"/>
  <c r="C4400" i="16"/>
  <c r="B4400" i="16"/>
  <c r="A4400" i="16"/>
  <c r="T4399" i="16"/>
  <c r="P4399" i="16"/>
  <c r="O4399" i="16"/>
  <c r="L4399" i="16"/>
  <c r="H4399" i="16"/>
  <c r="G4399" i="16"/>
  <c r="F4399" i="16"/>
  <c r="E4399" i="16"/>
  <c r="D4399" i="16"/>
  <c r="C4399" i="16"/>
  <c r="B4399" i="16"/>
  <c r="A4399" i="16"/>
  <c r="N4399" i="16" s="1"/>
  <c r="T4398" i="16"/>
  <c r="O4398" i="16"/>
  <c r="N4398" i="16"/>
  <c r="D4398" i="16"/>
  <c r="C4398" i="16"/>
  <c r="B4398" i="16"/>
  <c r="A4398" i="16"/>
  <c r="P4398" i="16" s="1"/>
  <c r="O4397" i="16"/>
  <c r="D4397" i="16"/>
  <c r="C4397" i="16"/>
  <c r="B4397" i="16"/>
  <c r="A4397" i="16"/>
  <c r="P4397" i="16" s="1"/>
  <c r="M4396" i="16"/>
  <c r="J4396" i="16"/>
  <c r="H4396" i="16"/>
  <c r="D4396" i="16"/>
  <c r="C4396" i="16"/>
  <c r="B4396" i="16"/>
  <c r="A4396" i="16"/>
  <c r="L4395" i="16"/>
  <c r="K4395" i="16"/>
  <c r="D4395" i="16"/>
  <c r="C4395" i="16"/>
  <c r="B4395" i="16"/>
  <c r="A4395" i="16"/>
  <c r="N4395" i="16" s="1"/>
  <c r="T4394" i="16"/>
  <c r="O4394" i="16"/>
  <c r="N4394" i="16"/>
  <c r="L4394" i="16"/>
  <c r="F4394" i="16"/>
  <c r="E4394" i="16"/>
  <c r="D4394" i="16"/>
  <c r="C4394" i="16"/>
  <c r="B4394" i="16"/>
  <c r="A4394" i="16"/>
  <c r="J4394" i="16" s="1"/>
  <c r="P4393" i="16"/>
  <c r="N4393" i="16"/>
  <c r="K4393" i="16"/>
  <c r="J4393" i="16"/>
  <c r="G4393" i="16"/>
  <c r="E4393" i="16"/>
  <c r="D4393" i="16"/>
  <c r="C4393" i="16"/>
  <c r="B4393" i="16"/>
  <c r="A4393" i="16"/>
  <c r="D4392" i="16"/>
  <c r="C4392" i="16"/>
  <c r="B4392" i="16"/>
  <c r="A4392" i="16"/>
  <c r="T4391" i="16"/>
  <c r="O4391" i="16"/>
  <c r="D4391" i="16"/>
  <c r="C4391" i="16"/>
  <c r="B4391" i="16"/>
  <c r="A4391" i="16"/>
  <c r="T4390" i="16"/>
  <c r="O4390" i="16"/>
  <c r="H4390" i="16"/>
  <c r="F4390" i="16"/>
  <c r="E4390" i="16"/>
  <c r="D4390" i="16"/>
  <c r="C4390" i="16"/>
  <c r="B4390" i="16"/>
  <c r="A4390" i="16"/>
  <c r="K4390" i="16" s="1"/>
  <c r="J4389" i="16"/>
  <c r="F4389" i="16"/>
  <c r="D4389" i="16"/>
  <c r="C4389" i="16"/>
  <c r="B4389" i="16"/>
  <c r="A4389" i="16"/>
  <c r="D4388" i="16"/>
  <c r="C4388" i="16"/>
  <c r="B4388" i="16"/>
  <c r="A4388" i="16"/>
  <c r="D4387" i="16"/>
  <c r="C4387" i="16"/>
  <c r="B4387" i="16"/>
  <c r="A4387" i="16"/>
  <c r="D4386" i="16"/>
  <c r="C4386" i="16"/>
  <c r="B4386" i="16"/>
  <c r="A4386" i="16"/>
  <c r="M4385" i="16"/>
  <c r="L4385" i="16"/>
  <c r="K4385" i="16"/>
  <c r="E4385" i="16"/>
  <c r="D4385" i="16"/>
  <c r="C4385" i="16"/>
  <c r="B4385" i="16"/>
  <c r="A4385" i="16"/>
  <c r="N4384" i="16"/>
  <c r="D4384" i="16"/>
  <c r="C4384" i="16"/>
  <c r="B4384" i="16"/>
  <c r="A4384" i="16"/>
  <c r="D4383" i="16"/>
  <c r="C4383" i="16"/>
  <c r="B4383" i="16"/>
  <c r="A4383" i="16"/>
  <c r="L4383" i="16" s="1"/>
  <c r="P4382" i="16"/>
  <c r="O4382" i="16"/>
  <c r="F4382" i="16"/>
  <c r="D4382" i="16"/>
  <c r="C4382" i="16"/>
  <c r="B4382" i="16"/>
  <c r="A4382" i="16"/>
  <c r="T4382" i="16" s="1"/>
  <c r="L4381" i="16"/>
  <c r="K4381" i="16"/>
  <c r="I4381" i="16"/>
  <c r="D4381" i="16"/>
  <c r="C4381" i="16"/>
  <c r="B4381" i="16"/>
  <c r="A4381" i="16"/>
  <c r="O4381" i="16" s="1"/>
  <c r="T4380" i="16"/>
  <c r="L4380" i="16"/>
  <c r="K4380" i="16"/>
  <c r="D4380" i="16"/>
  <c r="C4380" i="16"/>
  <c r="B4380" i="16"/>
  <c r="A4380" i="16"/>
  <c r="D4379" i="16"/>
  <c r="C4379" i="16"/>
  <c r="B4379" i="16"/>
  <c r="A4379" i="16"/>
  <c r="L4378" i="16"/>
  <c r="J4378" i="16"/>
  <c r="I4378" i="16"/>
  <c r="E4378" i="16"/>
  <c r="D4378" i="16"/>
  <c r="C4378" i="16"/>
  <c r="B4378" i="16"/>
  <c r="A4378" i="16"/>
  <c r="J4377" i="16"/>
  <c r="H4377" i="16"/>
  <c r="D4377" i="16"/>
  <c r="C4377" i="16"/>
  <c r="B4377" i="16"/>
  <c r="A4377" i="16"/>
  <c r="M4377" i="16" s="1"/>
  <c r="L4376" i="16"/>
  <c r="K4376" i="16"/>
  <c r="D4376" i="16"/>
  <c r="C4376" i="16"/>
  <c r="B4376" i="16"/>
  <c r="A4376" i="16"/>
  <c r="D4375" i="16"/>
  <c r="C4375" i="16"/>
  <c r="B4375" i="16"/>
  <c r="A4375" i="16"/>
  <c r="H4374" i="16"/>
  <c r="F4374" i="16"/>
  <c r="D4374" i="16"/>
  <c r="C4374" i="16"/>
  <c r="B4374" i="16"/>
  <c r="A4374" i="16"/>
  <c r="L4373" i="16"/>
  <c r="H4373" i="16"/>
  <c r="D4373" i="16"/>
  <c r="C4373" i="16"/>
  <c r="B4373" i="16"/>
  <c r="A4373" i="16"/>
  <c r="D4372" i="16"/>
  <c r="C4372" i="16"/>
  <c r="B4372" i="16"/>
  <c r="A4372" i="16"/>
  <c r="D4371" i="16"/>
  <c r="C4371" i="16"/>
  <c r="B4371" i="16"/>
  <c r="A4371" i="16"/>
  <c r="K4370" i="16"/>
  <c r="I4370" i="16"/>
  <c r="G4370" i="16"/>
  <c r="F4370" i="16"/>
  <c r="D4370" i="16"/>
  <c r="C4370" i="16"/>
  <c r="B4370" i="16"/>
  <c r="A4370" i="16"/>
  <c r="P4369" i="16"/>
  <c r="O4369" i="16"/>
  <c r="N4369" i="16"/>
  <c r="L4369" i="16"/>
  <c r="G4369" i="16"/>
  <c r="F4369" i="16"/>
  <c r="E4369" i="16"/>
  <c r="D4369" i="16"/>
  <c r="C4369" i="16"/>
  <c r="B4369" i="16"/>
  <c r="A4369" i="16"/>
  <c r="H4369" i="16" s="1"/>
  <c r="D4368" i="16"/>
  <c r="C4368" i="16"/>
  <c r="B4368" i="16"/>
  <c r="A4368" i="16"/>
  <c r="D4367" i="16"/>
  <c r="C4367" i="16"/>
  <c r="B4367" i="16"/>
  <c r="A4367" i="16"/>
  <c r="N4367" i="16" s="1"/>
  <c r="I4366" i="16"/>
  <c r="G4366" i="16"/>
  <c r="E4366" i="16"/>
  <c r="D4366" i="16"/>
  <c r="C4366" i="16"/>
  <c r="B4366" i="16"/>
  <c r="A4366" i="16"/>
  <c r="F4366" i="16" s="1"/>
  <c r="P4365" i="16"/>
  <c r="O4365" i="16"/>
  <c r="L4365" i="16"/>
  <c r="I4365" i="16"/>
  <c r="G4365" i="16"/>
  <c r="F4365" i="16"/>
  <c r="D4365" i="16"/>
  <c r="C4365" i="16"/>
  <c r="B4365" i="16"/>
  <c r="A4365" i="16"/>
  <c r="J4365" i="16" s="1"/>
  <c r="D4364" i="16"/>
  <c r="C4364" i="16"/>
  <c r="B4364" i="16"/>
  <c r="A4364" i="16"/>
  <c r="F4363" i="16"/>
  <c r="D4363" i="16"/>
  <c r="C4363" i="16"/>
  <c r="B4363" i="16"/>
  <c r="A4363" i="16"/>
  <c r="T4362" i="16"/>
  <c r="G4362" i="16"/>
  <c r="F4362" i="16"/>
  <c r="E4362" i="16"/>
  <c r="D4362" i="16"/>
  <c r="C4362" i="16"/>
  <c r="B4362" i="16"/>
  <c r="A4362" i="16"/>
  <c r="L4362" i="16" s="1"/>
  <c r="O4361" i="16"/>
  <c r="N4361" i="16"/>
  <c r="M4361" i="16"/>
  <c r="L4361" i="16"/>
  <c r="K4361" i="16"/>
  <c r="H4361" i="16"/>
  <c r="F4361" i="16"/>
  <c r="E4361" i="16"/>
  <c r="D4361" i="16"/>
  <c r="C4361" i="16"/>
  <c r="B4361" i="16"/>
  <c r="A4361" i="16"/>
  <c r="T4361" i="16" s="1"/>
  <c r="O4360" i="16"/>
  <c r="K4360" i="16"/>
  <c r="I4360" i="16"/>
  <c r="H4360" i="16"/>
  <c r="E4360" i="16"/>
  <c r="D4360" i="16"/>
  <c r="C4360" i="16"/>
  <c r="B4360" i="16"/>
  <c r="A4360" i="16"/>
  <c r="N4360" i="16" s="1"/>
  <c r="D4359" i="16"/>
  <c r="C4359" i="16"/>
  <c r="B4359" i="16"/>
  <c r="A4359" i="16"/>
  <c r="D4358" i="16"/>
  <c r="C4358" i="16"/>
  <c r="B4358" i="16"/>
  <c r="A4358" i="16"/>
  <c r="T4358" i="16" s="1"/>
  <c r="F4357" i="16"/>
  <c r="D4357" i="16"/>
  <c r="C4357" i="16"/>
  <c r="B4357" i="16"/>
  <c r="A4357" i="16"/>
  <c r="I4357" i="16" s="1"/>
  <c r="T4356" i="16"/>
  <c r="O4356" i="16"/>
  <c r="M4356" i="16"/>
  <c r="D4356" i="16"/>
  <c r="C4356" i="16"/>
  <c r="B4356" i="16"/>
  <c r="A4356" i="16"/>
  <c r="D4355" i="16"/>
  <c r="C4355" i="16"/>
  <c r="B4355" i="16"/>
  <c r="A4355" i="16"/>
  <c r="N4355" i="16" s="1"/>
  <c r="D4354" i="16"/>
  <c r="C4354" i="16"/>
  <c r="B4354" i="16"/>
  <c r="A4354" i="16"/>
  <c r="L4353" i="16"/>
  <c r="H4353" i="16"/>
  <c r="F4353" i="16"/>
  <c r="D4353" i="16"/>
  <c r="C4353" i="16"/>
  <c r="B4353" i="16"/>
  <c r="A4353" i="16"/>
  <c r="T4352" i="16"/>
  <c r="N4352" i="16"/>
  <c r="L4352" i="16"/>
  <c r="H4352" i="16"/>
  <c r="G4352" i="16"/>
  <c r="E4352" i="16"/>
  <c r="D4352" i="16"/>
  <c r="C4352" i="16"/>
  <c r="B4352" i="16"/>
  <c r="A4352" i="16"/>
  <c r="I4352" i="16" s="1"/>
  <c r="N4351" i="16"/>
  <c r="M4351" i="16"/>
  <c r="L4351" i="16"/>
  <c r="J4351" i="16"/>
  <c r="D4351" i="16"/>
  <c r="C4351" i="16"/>
  <c r="B4351" i="16"/>
  <c r="A4351" i="16"/>
  <c r="T4350" i="16"/>
  <c r="M4350" i="16"/>
  <c r="H4350" i="16"/>
  <c r="G4350" i="16"/>
  <c r="D4350" i="16"/>
  <c r="C4350" i="16"/>
  <c r="B4350" i="16"/>
  <c r="A4350" i="16"/>
  <c r="J4350" i="16" s="1"/>
  <c r="T4349" i="16"/>
  <c r="P4349" i="16"/>
  <c r="N4349" i="16"/>
  <c r="H4349" i="16"/>
  <c r="D4349" i="16"/>
  <c r="C4349" i="16"/>
  <c r="B4349" i="16"/>
  <c r="A4349" i="16"/>
  <c r="T4348" i="16"/>
  <c r="D4348" i="16"/>
  <c r="C4348" i="16"/>
  <c r="B4348" i="16"/>
  <c r="A4348" i="16"/>
  <c r="D4347" i="16"/>
  <c r="C4347" i="16"/>
  <c r="B4347" i="16"/>
  <c r="A4347" i="16"/>
  <c r="J4346" i="16"/>
  <c r="D4346" i="16"/>
  <c r="C4346" i="16"/>
  <c r="B4346" i="16"/>
  <c r="A4346" i="16"/>
  <c r="L4345" i="16"/>
  <c r="D4345" i="16"/>
  <c r="C4345" i="16"/>
  <c r="B4345" i="16"/>
  <c r="A4345" i="16"/>
  <c r="T4344" i="16"/>
  <c r="P4344" i="16"/>
  <c r="N4344" i="16"/>
  <c r="H4344" i="16"/>
  <c r="G4344" i="16"/>
  <c r="F4344" i="16"/>
  <c r="D4344" i="16"/>
  <c r="C4344" i="16"/>
  <c r="B4344" i="16"/>
  <c r="A4344" i="16"/>
  <c r="K4344" i="16" s="1"/>
  <c r="D4343" i="16"/>
  <c r="C4343" i="16"/>
  <c r="B4343" i="16"/>
  <c r="A4343" i="16"/>
  <c r="T4342" i="16"/>
  <c r="P4342" i="16"/>
  <c r="O4342" i="16"/>
  <c r="N4342" i="16"/>
  <c r="K4342" i="16"/>
  <c r="H4342" i="16"/>
  <c r="G4342" i="16"/>
  <c r="F4342" i="16"/>
  <c r="E4342" i="16"/>
  <c r="D4342" i="16"/>
  <c r="C4342" i="16"/>
  <c r="B4342" i="16"/>
  <c r="A4342" i="16"/>
  <c r="L4342" i="16" s="1"/>
  <c r="O4341" i="16"/>
  <c r="N4341" i="16"/>
  <c r="D4341" i="16"/>
  <c r="C4341" i="16"/>
  <c r="B4341" i="16"/>
  <c r="A4341" i="16"/>
  <c r="D4340" i="16"/>
  <c r="C4340" i="16"/>
  <c r="B4340" i="16"/>
  <c r="A4340" i="16"/>
  <c r="L4339" i="16"/>
  <c r="D4339" i="16"/>
  <c r="C4339" i="16"/>
  <c r="B4339" i="16"/>
  <c r="A4339" i="16"/>
  <c r="M4338" i="16"/>
  <c r="D4338" i="16"/>
  <c r="C4338" i="16"/>
  <c r="B4338" i="16"/>
  <c r="A4338" i="16"/>
  <c r="O4337" i="16"/>
  <c r="N4337" i="16"/>
  <c r="M4337" i="16"/>
  <c r="L4337" i="16"/>
  <c r="K4337" i="16"/>
  <c r="H4337" i="16"/>
  <c r="G4337" i="16"/>
  <c r="F4337" i="16"/>
  <c r="E4337" i="16"/>
  <c r="D4337" i="16"/>
  <c r="C4337" i="16"/>
  <c r="B4337" i="16"/>
  <c r="A4337" i="16"/>
  <c r="T4337" i="16" s="1"/>
  <c r="T4336" i="16"/>
  <c r="O4336" i="16"/>
  <c r="N4336" i="16"/>
  <c r="F4336" i="16"/>
  <c r="E4336" i="16"/>
  <c r="D4336" i="16"/>
  <c r="C4336" i="16"/>
  <c r="B4336" i="16"/>
  <c r="A4336" i="16"/>
  <c r="H4336" i="16" s="1"/>
  <c r="T4335" i="16"/>
  <c r="P4335" i="16"/>
  <c r="O4335" i="16"/>
  <c r="N4335" i="16"/>
  <c r="L4335" i="16"/>
  <c r="H4335" i="16"/>
  <c r="G4335" i="16"/>
  <c r="F4335" i="16"/>
  <c r="E4335" i="16"/>
  <c r="D4335" i="16"/>
  <c r="C4335" i="16"/>
  <c r="B4335" i="16"/>
  <c r="A4335" i="16"/>
  <c r="J4335" i="16" s="1"/>
  <c r="T4334" i="16"/>
  <c r="O4334" i="16"/>
  <c r="E4334" i="16"/>
  <c r="D4334" i="16"/>
  <c r="C4334" i="16"/>
  <c r="B4334" i="16"/>
  <c r="A4334" i="16"/>
  <c r="D4333" i="16"/>
  <c r="C4333" i="16"/>
  <c r="B4333" i="16"/>
  <c r="A4333" i="16"/>
  <c r="T4332" i="16"/>
  <c r="I4332" i="16"/>
  <c r="D4332" i="16"/>
  <c r="C4332" i="16"/>
  <c r="B4332" i="16"/>
  <c r="A4332" i="16"/>
  <c r="T4331" i="16"/>
  <c r="P4331" i="16"/>
  <c r="M4331" i="16"/>
  <c r="H4331" i="16"/>
  <c r="F4331" i="16"/>
  <c r="E4331" i="16"/>
  <c r="D4331" i="16"/>
  <c r="C4331" i="16"/>
  <c r="B4331" i="16"/>
  <c r="A4331" i="16"/>
  <c r="I4331" i="16" s="1"/>
  <c r="O4330" i="16"/>
  <c r="D4330" i="16"/>
  <c r="C4330" i="16"/>
  <c r="B4330" i="16"/>
  <c r="A4330" i="16"/>
  <c r="D4329" i="16"/>
  <c r="C4329" i="16"/>
  <c r="B4329" i="16"/>
  <c r="A4329" i="16"/>
  <c r="D4328" i="16"/>
  <c r="C4328" i="16"/>
  <c r="B4328" i="16"/>
  <c r="A4328" i="16"/>
  <c r="O4327" i="16"/>
  <c r="L4327" i="16"/>
  <c r="H4327" i="16"/>
  <c r="F4327" i="16"/>
  <c r="D4327" i="16"/>
  <c r="C4327" i="16"/>
  <c r="B4327" i="16"/>
  <c r="A4327" i="16"/>
  <c r="O4326" i="16"/>
  <c r="N4326" i="16"/>
  <c r="K4326" i="16"/>
  <c r="H4326" i="16"/>
  <c r="D4326" i="16"/>
  <c r="C4326" i="16"/>
  <c r="B4326" i="16"/>
  <c r="A4326" i="16"/>
  <c r="O4325" i="16"/>
  <c r="J4325" i="16"/>
  <c r="D4325" i="16"/>
  <c r="C4325" i="16"/>
  <c r="B4325" i="16"/>
  <c r="A4325" i="16"/>
  <c r="D4324" i="16"/>
  <c r="C4324" i="16"/>
  <c r="B4324" i="16"/>
  <c r="A4324" i="16"/>
  <c r="K4324" i="16" s="1"/>
  <c r="N4323" i="16"/>
  <c r="K4323" i="16"/>
  <c r="D4323" i="16"/>
  <c r="C4323" i="16"/>
  <c r="B4323" i="16"/>
  <c r="A4323" i="16"/>
  <c r="J4322" i="16"/>
  <c r="F4322" i="16"/>
  <c r="D4322" i="16"/>
  <c r="C4322" i="16"/>
  <c r="B4322" i="16"/>
  <c r="A4322" i="16"/>
  <c r="P4321" i="16"/>
  <c r="O4321" i="16"/>
  <c r="N4321" i="16"/>
  <c r="M4321" i="16"/>
  <c r="K4321" i="16"/>
  <c r="H4321" i="16"/>
  <c r="G4321" i="16"/>
  <c r="F4321" i="16"/>
  <c r="E4321" i="16"/>
  <c r="D4321" i="16"/>
  <c r="C4321" i="16"/>
  <c r="B4321" i="16"/>
  <c r="A4321" i="16"/>
  <c r="T4321" i="16" s="1"/>
  <c r="T4320" i="16"/>
  <c r="N4320" i="16"/>
  <c r="M4320" i="16"/>
  <c r="L4320" i="16"/>
  <c r="D4320" i="16"/>
  <c r="C4320" i="16"/>
  <c r="B4320" i="16"/>
  <c r="A4320" i="16"/>
  <c r="I4319" i="16"/>
  <c r="H4319" i="16"/>
  <c r="G4319" i="16"/>
  <c r="F4319" i="16"/>
  <c r="D4319" i="16"/>
  <c r="C4319" i="16"/>
  <c r="B4319" i="16"/>
  <c r="A4319" i="16"/>
  <c r="T4319" i="16" s="1"/>
  <c r="T4318" i="16"/>
  <c r="P4318" i="16"/>
  <c r="O4318" i="16"/>
  <c r="K4318" i="16"/>
  <c r="D4318" i="16"/>
  <c r="C4318" i="16"/>
  <c r="B4318" i="16"/>
  <c r="A4318" i="16"/>
  <c r="T4317" i="16"/>
  <c r="P4317" i="16"/>
  <c r="O4317" i="16"/>
  <c r="H4317" i="16"/>
  <c r="D4317" i="16"/>
  <c r="C4317" i="16"/>
  <c r="B4317" i="16"/>
  <c r="A4317" i="16"/>
  <c r="P4316" i="16"/>
  <c r="K4316" i="16"/>
  <c r="G4316" i="16"/>
  <c r="E4316" i="16"/>
  <c r="D4316" i="16"/>
  <c r="C4316" i="16"/>
  <c r="B4316" i="16"/>
  <c r="A4316" i="16"/>
  <c r="L4316" i="16" s="1"/>
  <c r="D4315" i="16"/>
  <c r="C4315" i="16"/>
  <c r="B4315" i="16"/>
  <c r="A4315" i="16"/>
  <c r="T4314" i="16"/>
  <c r="M4314" i="16"/>
  <c r="J4314" i="16"/>
  <c r="I4314" i="16"/>
  <c r="G4314" i="16"/>
  <c r="E4314" i="16"/>
  <c r="D4314" i="16"/>
  <c r="C4314" i="16"/>
  <c r="B4314" i="16"/>
  <c r="A4314" i="16"/>
  <c r="N4314" i="16" s="1"/>
  <c r="P4313" i="16"/>
  <c r="O4313" i="16"/>
  <c r="N4313" i="16"/>
  <c r="M4313" i="16"/>
  <c r="J4313" i="16"/>
  <c r="G4313" i="16"/>
  <c r="F4313" i="16"/>
  <c r="E4313" i="16"/>
  <c r="D4313" i="16"/>
  <c r="C4313" i="16"/>
  <c r="B4313" i="16"/>
  <c r="A4313" i="16"/>
  <c r="D4312" i="16"/>
  <c r="C4312" i="16"/>
  <c r="B4312" i="16"/>
  <c r="A4312" i="16"/>
  <c r="I4311" i="16"/>
  <c r="H4311" i="16"/>
  <c r="D4311" i="16"/>
  <c r="C4311" i="16"/>
  <c r="B4311" i="16"/>
  <c r="A4311" i="16"/>
  <c r="L4311" i="16" s="1"/>
  <c r="T4310" i="16"/>
  <c r="O4310" i="16"/>
  <c r="D4310" i="16"/>
  <c r="C4310" i="16"/>
  <c r="B4310" i="16"/>
  <c r="A4310" i="16"/>
  <c r="P4309" i="16"/>
  <c r="O4309" i="16"/>
  <c r="H4309" i="16"/>
  <c r="F4309" i="16"/>
  <c r="D4309" i="16"/>
  <c r="C4309" i="16"/>
  <c r="B4309" i="16"/>
  <c r="A4309" i="16"/>
  <c r="P4308" i="16"/>
  <c r="D4308" i="16"/>
  <c r="C4308" i="16"/>
  <c r="B4308" i="16"/>
  <c r="A4308" i="16"/>
  <c r="J4307" i="16"/>
  <c r="I4307" i="16"/>
  <c r="H4307" i="16"/>
  <c r="F4307" i="16"/>
  <c r="D4307" i="16"/>
  <c r="C4307" i="16"/>
  <c r="B4307" i="16"/>
  <c r="A4307" i="16"/>
  <c r="T4306" i="16"/>
  <c r="O4306" i="16"/>
  <c r="N4306" i="16"/>
  <c r="M4306" i="16"/>
  <c r="L4306" i="16"/>
  <c r="I4306" i="16"/>
  <c r="F4306" i="16"/>
  <c r="E4306" i="16"/>
  <c r="D4306" i="16"/>
  <c r="C4306" i="16"/>
  <c r="B4306" i="16"/>
  <c r="A4306" i="16"/>
  <c r="K4306" i="16" s="1"/>
  <c r="D4305" i="16"/>
  <c r="C4305" i="16"/>
  <c r="B4305" i="16"/>
  <c r="A4305" i="16"/>
  <c r="K4304" i="16"/>
  <c r="D4304" i="16"/>
  <c r="C4304" i="16"/>
  <c r="B4304" i="16"/>
  <c r="A4304" i="16"/>
  <c r="D4303" i="16"/>
  <c r="C4303" i="16"/>
  <c r="B4303" i="16"/>
  <c r="A4303" i="16"/>
  <c r="P4302" i="16"/>
  <c r="D4302" i="16"/>
  <c r="C4302" i="16"/>
  <c r="B4302" i="16"/>
  <c r="A4302" i="16"/>
  <c r="P4301" i="16"/>
  <c r="L4301" i="16"/>
  <c r="D4301" i="16"/>
  <c r="C4301" i="16"/>
  <c r="B4301" i="16"/>
  <c r="A4301" i="16"/>
  <c r="D4300" i="16"/>
  <c r="C4300" i="16"/>
  <c r="B4300" i="16"/>
  <c r="A4300" i="16"/>
  <c r="T4299" i="16"/>
  <c r="I4299" i="16"/>
  <c r="H4299" i="16"/>
  <c r="F4299" i="16"/>
  <c r="D4299" i="16"/>
  <c r="C4299" i="16"/>
  <c r="B4299" i="16"/>
  <c r="A4299" i="16"/>
  <c r="J4299" i="16" s="1"/>
  <c r="O4298" i="16"/>
  <c r="N4298" i="16"/>
  <c r="L4298" i="16"/>
  <c r="D4298" i="16"/>
  <c r="C4298" i="16"/>
  <c r="B4298" i="16"/>
  <c r="A4298" i="16"/>
  <c r="T4298" i="16" s="1"/>
  <c r="P4297" i="16"/>
  <c r="N4297" i="16"/>
  <c r="J4297" i="16"/>
  <c r="H4297" i="16"/>
  <c r="G4297" i="16"/>
  <c r="E4297" i="16"/>
  <c r="D4297" i="16"/>
  <c r="C4297" i="16"/>
  <c r="B4297" i="16"/>
  <c r="A4297" i="16"/>
  <c r="O4296" i="16"/>
  <c r="N4296" i="16"/>
  <c r="E4296" i="16"/>
  <c r="D4296" i="16"/>
  <c r="C4296" i="16"/>
  <c r="B4296" i="16"/>
  <c r="A4296" i="16"/>
  <c r="M4296" i="16" s="1"/>
  <c r="I4295" i="16"/>
  <c r="G4295" i="16"/>
  <c r="D4295" i="16"/>
  <c r="C4295" i="16"/>
  <c r="B4295" i="16"/>
  <c r="A4295" i="16"/>
  <c r="D4294" i="16"/>
  <c r="C4294" i="16"/>
  <c r="B4294" i="16"/>
  <c r="A4294" i="16"/>
  <c r="T4293" i="16"/>
  <c r="D4293" i="16"/>
  <c r="C4293" i="16"/>
  <c r="B4293" i="16"/>
  <c r="A4293" i="16"/>
  <c r="T4292" i="16"/>
  <c r="O4292" i="16"/>
  <c r="I4292" i="16"/>
  <c r="H4292" i="16"/>
  <c r="G4292" i="16"/>
  <c r="D4292" i="16"/>
  <c r="C4292" i="16"/>
  <c r="B4292" i="16"/>
  <c r="A4292" i="16"/>
  <c r="K4292" i="16" s="1"/>
  <c r="K4291" i="16"/>
  <c r="J4291" i="16"/>
  <c r="D4291" i="16"/>
  <c r="C4291" i="16"/>
  <c r="B4291" i="16"/>
  <c r="A4291" i="16"/>
  <c r="D4290" i="16"/>
  <c r="C4290" i="16"/>
  <c r="B4290" i="16"/>
  <c r="A4290" i="16"/>
  <c r="P4289" i="16"/>
  <c r="L4289" i="16"/>
  <c r="G4289" i="16"/>
  <c r="F4289" i="16"/>
  <c r="E4289" i="16"/>
  <c r="D4289" i="16"/>
  <c r="C4289" i="16"/>
  <c r="B4289" i="16"/>
  <c r="A4289" i="16"/>
  <c r="H4289" i="16" s="1"/>
  <c r="P4288" i="16"/>
  <c r="N4288" i="16"/>
  <c r="M4288" i="16"/>
  <c r="D4288" i="16"/>
  <c r="C4288" i="16"/>
  <c r="B4288" i="16"/>
  <c r="A4288" i="16"/>
  <c r="T4288" i="16" s="1"/>
  <c r="D4287" i="16"/>
  <c r="C4287" i="16"/>
  <c r="B4287" i="16"/>
  <c r="A4287" i="16"/>
  <c r="N4287" i="16" s="1"/>
  <c r="D4286" i="16"/>
  <c r="C4286" i="16"/>
  <c r="B4286" i="16"/>
  <c r="A4286" i="16"/>
  <c r="N4285" i="16"/>
  <c r="I4285" i="16"/>
  <c r="H4285" i="16"/>
  <c r="D4285" i="16"/>
  <c r="C4285" i="16"/>
  <c r="B4285" i="16"/>
  <c r="A4285" i="16"/>
  <c r="T4285" i="16" s="1"/>
  <c r="D4284" i="16"/>
  <c r="C4284" i="16"/>
  <c r="B4284" i="16"/>
  <c r="A4284" i="16"/>
  <c r="D4283" i="16"/>
  <c r="C4283" i="16"/>
  <c r="B4283" i="16"/>
  <c r="A4283" i="16"/>
  <c r="L4282" i="16"/>
  <c r="J4282" i="16"/>
  <c r="I4282" i="16"/>
  <c r="D4282" i="16"/>
  <c r="C4282" i="16"/>
  <c r="B4282" i="16"/>
  <c r="A4282" i="16"/>
  <c r="O4282" i="16" s="1"/>
  <c r="P4281" i="16"/>
  <c r="O4281" i="16"/>
  <c r="N4281" i="16"/>
  <c r="J4281" i="16"/>
  <c r="G4281" i="16"/>
  <c r="F4281" i="16"/>
  <c r="E4281" i="16"/>
  <c r="D4281" i="16"/>
  <c r="C4281" i="16"/>
  <c r="B4281" i="16"/>
  <c r="A4281" i="16"/>
  <c r="T4280" i="16"/>
  <c r="P4280" i="16"/>
  <c r="O4280" i="16"/>
  <c r="N4280" i="16"/>
  <c r="M4280" i="16"/>
  <c r="L4280" i="16"/>
  <c r="H4280" i="16"/>
  <c r="G4280" i="16"/>
  <c r="F4280" i="16"/>
  <c r="E4280" i="16"/>
  <c r="D4280" i="16"/>
  <c r="C4280" i="16"/>
  <c r="B4280" i="16"/>
  <c r="A4280" i="16"/>
  <c r="J4280" i="16" s="1"/>
  <c r="D4279" i="16"/>
  <c r="C4279" i="16"/>
  <c r="B4279" i="16"/>
  <c r="A4279" i="16"/>
  <c r="D4278" i="16"/>
  <c r="C4278" i="16"/>
  <c r="B4278" i="16"/>
  <c r="A4278" i="16"/>
  <c r="K4277" i="16"/>
  <c r="D4277" i="16"/>
  <c r="C4277" i="16"/>
  <c r="B4277" i="16"/>
  <c r="A4277" i="16"/>
  <c r="O4276" i="16"/>
  <c r="K4276" i="16"/>
  <c r="D4276" i="16"/>
  <c r="C4276" i="16"/>
  <c r="B4276" i="16"/>
  <c r="A4276" i="16"/>
  <c r="T4275" i="16"/>
  <c r="K4275" i="16"/>
  <c r="H4275" i="16"/>
  <c r="D4275" i="16"/>
  <c r="C4275" i="16"/>
  <c r="B4275" i="16"/>
  <c r="A4275" i="16"/>
  <c r="K4274" i="16"/>
  <c r="J4274" i="16"/>
  <c r="I4274" i="16"/>
  <c r="D4274" i="16"/>
  <c r="C4274" i="16"/>
  <c r="B4274" i="16"/>
  <c r="A4274" i="16"/>
  <c r="G4274" i="16" s="1"/>
  <c r="O4273" i="16"/>
  <c r="J4273" i="16"/>
  <c r="H4273" i="16"/>
  <c r="G4273" i="16"/>
  <c r="D4273" i="16"/>
  <c r="C4273" i="16"/>
  <c r="B4273" i="16"/>
  <c r="A4273" i="16"/>
  <c r="L4273" i="16" s="1"/>
  <c r="D4272" i="16"/>
  <c r="C4272" i="16"/>
  <c r="B4272" i="16"/>
  <c r="A4272" i="16"/>
  <c r="T4271" i="16"/>
  <c r="P4271" i="16"/>
  <c r="J4271" i="16"/>
  <c r="G4271" i="16"/>
  <c r="F4271" i="16"/>
  <c r="E4271" i="16"/>
  <c r="D4271" i="16"/>
  <c r="C4271" i="16"/>
  <c r="B4271" i="16"/>
  <c r="A4271" i="16"/>
  <c r="D4270" i="16"/>
  <c r="C4270" i="16"/>
  <c r="B4270" i="16"/>
  <c r="A4270" i="16"/>
  <c r="P4269" i="16"/>
  <c r="D4269" i="16"/>
  <c r="C4269" i="16"/>
  <c r="B4269" i="16"/>
  <c r="A4269" i="16"/>
  <c r="M4268" i="16"/>
  <c r="H4268" i="16"/>
  <c r="G4268" i="16"/>
  <c r="D4268" i="16"/>
  <c r="C4268" i="16"/>
  <c r="B4268" i="16"/>
  <c r="A4268" i="16"/>
  <c r="J4268" i="16" s="1"/>
  <c r="P4267" i="16"/>
  <c r="K4267" i="16"/>
  <c r="H4267" i="16"/>
  <c r="F4267" i="16"/>
  <c r="D4267" i="16"/>
  <c r="C4267" i="16"/>
  <c r="B4267" i="16"/>
  <c r="A4267" i="16"/>
  <c r="M4267" i="16" s="1"/>
  <c r="N4266" i="16"/>
  <c r="M4266" i="16"/>
  <c r="E4266" i="16"/>
  <c r="D4266" i="16"/>
  <c r="C4266" i="16"/>
  <c r="B4266" i="16"/>
  <c r="A4266" i="16"/>
  <c r="O4266" i="16" s="1"/>
  <c r="J4265" i="16"/>
  <c r="H4265" i="16"/>
  <c r="G4265" i="16"/>
  <c r="F4265" i="16"/>
  <c r="D4265" i="16"/>
  <c r="C4265" i="16"/>
  <c r="B4265" i="16"/>
  <c r="A4265" i="16"/>
  <c r="K4264" i="16"/>
  <c r="I4264" i="16"/>
  <c r="H4264" i="16"/>
  <c r="D4264" i="16"/>
  <c r="C4264" i="16"/>
  <c r="B4264" i="16"/>
  <c r="A4264" i="16"/>
  <c r="L4264" i="16" s="1"/>
  <c r="O4263" i="16"/>
  <c r="L4263" i="16"/>
  <c r="J4263" i="16"/>
  <c r="E4263" i="16"/>
  <c r="D4263" i="16"/>
  <c r="C4263" i="16"/>
  <c r="B4263" i="16"/>
  <c r="A4263" i="16"/>
  <c r="T4262" i="16"/>
  <c r="O4262" i="16"/>
  <c r="N4262" i="16"/>
  <c r="M4262" i="16"/>
  <c r="I4262" i="16"/>
  <c r="H4262" i="16"/>
  <c r="F4262" i="16"/>
  <c r="E4262" i="16"/>
  <c r="D4262" i="16"/>
  <c r="C4262" i="16"/>
  <c r="B4262" i="16"/>
  <c r="A4262" i="16"/>
  <c r="K4262" i="16" s="1"/>
  <c r="D4261" i="16"/>
  <c r="C4261" i="16"/>
  <c r="B4261" i="16"/>
  <c r="A4261" i="16"/>
  <c r="J4260" i="16"/>
  <c r="I4260" i="16"/>
  <c r="H4260" i="16"/>
  <c r="D4260" i="16"/>
  <c r="C4260" i="16"/>
  <c r="B4260" i="16"/>
  <c r="A4260" i="16"/>
  <c r="G4260" i="16" s="1"/>
  <c r="K4259" i="16"/>
  <c r="H4259" i="16"/>
  <c r="F4259" i="16"/>
  <c r="E4259" i="16"/>
  <c r="D4259" i="16"/>
  <c r="C4259" i="16"/>
  <c r="B4259" i="16"/>
  <c r="A4259" i="16"/>
  <c r="D4258" i="16"/>
  <c r="C4258" i="16"/>
  <c r="B4258" i="16"/>
  <c r="A4258" i="16"/>
  <c r="M4257" i="16"/>
  <c r="H4257" i="16"/>
  <c r="G4257" i="16"/>
  <c r="F4257" i="16"/>
  <c r="D4257" i="16"/>
  <c r="C4257" i="16"/>
  <c r="B4257" i="16"/>
  <c r="A4257" i="16"/>
  <c r="J4257" i="16" s="1"/>
  <c r="T4256" i="16"/>
  <c r="N4256" i="16"/>
  <c r="D4256" i="16"/>
  <c r="C4256" i="16"/>
  <c r="B4256" i="16"/>
  <c r="A4256" i="16"/>
  <c r="T4255" i="16"/>
  <c r="H4255" i="16"/>
  <c r="G4255" i="16"/>
  <c r="D4255" i="16"/>
  <c r="C4255" i="16"/>
  <c r="B4255" i="16"/>
  <c r="A4255" i="16"/>
  <c r="D4254" i="16"/>
  <c r="C4254" i="16"/>
  <c r="B4254" i="16"/>
  <c r="A4254" i="16"/>
  <c r="D4253" i="16"/>
  <c r="C4253" i="16"/>
  <c r="B4253" i="16"/>
  <c r="A4253" i="16"/>
  <c r="P4252" i="16"/>
  <c r="O4252" i="16"/>
  <c r="G4252" i="16"/>
  <c r="E4252" i="16"/>
  <c r="D4252" i="16"/>
  <c r="C4252" i="16"/>
  <c r="B4252" i="16"/>
  <c r="A4252" i="16"/>
  <c r="L4252" i="16" s="1"/>
  <c r="K4251" i="16"/>
  <c r="J4251" i="16"/>
  <c r="I4251" i="16"/>
  <c r="F4251" i="16"/>
  <c r="D4251" i="16"/>
  <c r="C4251" i="16"/>
  <c r="B4251" i="16"/>
  <c r="A4251" i="16"/>
  <c r="D4250" i="16"/>
  <c r="C4250" i="16"/>
  <c r="B4250" i="16"/>
  <c r="A4250" i="16"/>
  <c r="P4249" i="16"/>
  <c r="O4249" i="16"/>
  <c r="N4249" i="16"/>
  <c r="H4249" i="16"/>
  <c r="G4249" i="16"/>
  <c r="F4249" i="16"/>
  <c r="E4249" i="16"/>
  <c r="D4249" i="16"/>
  <c r="C4249" i="16"/>
  <c r="B4249" i="16"/>
  <c r="A4249" i="16"/>
  <c r="P4248" i="16"/>
  <c r="O4248" i="16"/>
  <c r="I4248" i="16"/>
  <c r="F4248" i="16"/>
  <c r="D4248" i="16"/>
  <c r="C4248" i="16"/>
  <c r="B4248" i="16"/>
  <c r="A4248" i="16"/>
  <c r="L4248" i="16" s="1"/>
  <c r="J4247" i="16"/>
  <c r="I4247" i="16"/>
  <c r="H4247" i="16"/>
  <c r="G4247" i="16"/>
  <c r="D4247" i="16"/>
  <c r="C4247" i="16"/>
  <c r="B4247" i="16"/>
  <c r="A4247" i="16"/>
  <c r="D4246" i="16"/>
  <c r="C4246" i="16"/>
  <c r="B4246" i="16"/>
  <c r="A4246" i="16"/>
  <c r="P4245" i="16"/>
  <c r="L4245" i="16"/>
  <c r="D4245" i="16"/>
  <c r="C4245" i="16"/>
  <c r="B4245" i="16"/>
  <c r="A4245" i="16"/>
  <c r="K4244" i="16"/>
  <c r="D4244" i="16"/>
  <c r="C4244" i="16"/>
  <c r="B4244" i="16"/>
  <c r="A4244" i="16"/>
  <c r="P4244" i="16" s="1"/>
  <c r="T4243" i="16"/>
  <c r="I4243" i="16"/>
  <c r="H4243" i="16"/>
  <c r="F4243" i="16"/>
  <c r="D4243" i="16"/>
  <c r="C4243" i="16"/>
  <c r="B4243" i="16"/>
  <c r="A4243" i="16"/>
  <c r="J4243" i="16" s="1"/>
  <c r="I4242" i="16"/>
  <c r="F4242" i="16"/>
  <c r="D4242" i="16"/>
  <c r="C4242" i="16"/>
  <c r="B4242" i="16"/>
  <c r="A4242" i="16"/>
  <c r="N4242" i="16" s="1"/>
  <c r="J4241" i="16"/>
  <c r="H4241" i="16"/>
  <c r="D4241" i="16"/>
  <c r="C4241" i="16"/>
  <c r="B4241" i="16"/>
  <c r="A4241" i="16"/>
  <c r="L4241" i="16" s="1"/>
  <c r="D4240" i="16"/>
  <c r="C4240" i="16"/>
  <c r="B4240" i="16"/>
  <c r="A4240" i="16"/>
  <c r="N4239" i="16"/>
  <c r="D4239" i="16"/>
  <c r="C4239" i="16"/>
  <c r="B4239" i="16"/>
  <c r="A4239" i="16"/>
  <c r="K4238" i="16"/>
  <c r="F4238" i="16"/>
  <c r="D4238" i="16"/>
  <c r="C4238" i="16"/>
  <c r="B4238" i="16"/>
  <c r="A4238" i="16"/>
  <c r="N4237" i="16"/>
  <c r="I4237" i="16"/>
  <c r="F4237" i="16"/>
  <c r="D4237" i="16"/>
  <c r="C4237" i="16"/>
  <c r="B4237" i="16"/>
  <c r="A4237" i="16"/>
  <c r="O4237" i="16" s="1"/>
  <c r="D4236" i="16"/>
  <c r="C4236" i="16"/>
  <c r="B4236" i="16"/>
  <c r="A4236" i="16"/>
  <c r="P4235" i="16"/>
  <c r="D4235" i="16"/>
  <c r="C4235" i="16"/>
  <c r="B4235" i="16"/>
  <c r="A4235" i="16"/>
  <c r="L4234" i="16"/>
  <c r="K4234" i="16"/>
  <c r="E4234" i="16"/>
  <c r="D4234" i="16"/>
  <c r="C4234" i="16"/>
  <c r="B4234" i="16"/>
  <c r="A4234" i="16"/>
  <c r="O4234" i="16" s="1"/>
  <c r="P4233" i="16"/>
  <c r="O4233" i="16"/>
  <c r="N4233" i="16"/>
  <c r="M4233" i="16"/>
  <c r="K4233" i="16"/>
  <c r="H4233" i="16"/>
  <c r="G4233" i="16"/>
  <c r="F4233" i="16"/>
  <c r="E4233" i="16"/>
  <c r="D4233" i="16"/>
  <c r="C4233" i="16"/>
  <c r="B4233" i="16"/>
  <c r="A4233" i="16"/>
  <c r="T4233" i="16" s="1"/>
  <c r="D4232" i="16"/>
  <c r="C4232" i="16"/>
  <c r="B4232" i="16"/>
  <c r="A4232" i="16"/>
  <c r="D4231" i="16"/>
  <c r="C4231" i="16"/>
  <c r="B4231" i="16"/>
  <c r="A4231" i="16"/>
  <c r="P4230" i="16"/>
  <c r="D4230" i="16"/>
  <c r="C4230" i="16"/>
  <c r="B4230" i="16"/>
  <c r="A4230" i="16"/>
  <c r="T4229" i="16"/>
  <c r="P4229" i="16"/>
  <c r="H4229" i="16"/>
  <c r="G4229" i="16"/>
  <c r="D4229" i="16"/>
  <c r="C4229" i="16"/>
  <c r="B4229" i="16"/>
  <c r="A4229" i="16"/>
  <c r="T4228" i="16"/>
  <c r="P4228" i="16"/>
  <c r="O4228" i="16"/>
  <c r="L4228" i="16"/>
  <c r="I4228" i="16"/>
  <c r="H4228" i="16"/>
  <c r="G4228" i="16"/>
  <c r="E4228" i="16"/>
  <c r="D4228" i="16"/>
  <c r="C4228" i="16"/>
  <c r="B4228" i="16"/>
  <c r="A4228" i="16"/>
  <c r="M4228" i="16" s="1"/>
  <c r="L4227" i="16"/>
  <c r="K4227" i="16"/>
  <c r="J4227" i="16"/>
  <c r="E4227" i="16"/>
  <c r="D4227" i="16"/>
  <c r="C4227" i="16"/>
  <c r="B4227" i="16"/>
  <c r="A4227" i="16"/>
  <c r="D4226" i="16"/>
  <c r="C4226" i="16"/>
  <c r="B4226" i="16"/>
  <c r="A4226" i="16"/>
  <c r="P4225" i="16"/>
  <c r="N4225" i="16"/>
  <c r="L4225" i="16"/>
  <c r="K4225" i="16"/>
  <c r="D4225" i="16"/>
  <c r="C4225" i="16"/>
  <c r="B4225" i="16"/>
  <c r="A4225" i="16"/>
  <c r="T4224" i="16"/>
  <c r="H4224" i="16"/>
  <c r="G4224" i="16"/>
  <c r="E4224" i="16"/>
  <c r="D4224" i="16"/>
  <c r="C4224" i="16"/>
  <c r="B4224" i="16"/>
  <c r="A4224" i="16"/>
  <c r="M4224" i="16" s="1"/>
  <c r="I4223" i="16"/>
  <c r="E4223" i="16"/>
  <c r="D4223" i="16"/>
  <c r="C4223" i="16"/>
  <c r="B4223" i="16"/>
  <c r="A4223" i="16"/>
  <c r="D4222" i="16"/>
  <c r="C4222" i="16"/>
  <c r="B4222" i="16"/>
  <c r="A4222" i="16"/>
  <c r="P4221" i="16"/>
  <c r="J4221" i="16"/>
  <c r="I4221" i="16"/>
  <c r="G4221" i="16"/>
  <c r="D4221" i="16"/>
  <c r="C4221" i="16"/>
  <c r="B4221" i="16"/>
  <c r="A4221" i="16"/>
  <c r="L4221" i="16" s="1"/>
  <c r="K4220" i="16"/>
  <c r="D4220" i="16"/>
  <c r="C4220" i="16"/>
  <c r="B4220" i="16"/>
  <c r="A4220" i="16"/>
  <c r="P4220" i="16" s="1"/>
  <c r="N4219" i="16"/>
  <c r="I4219" i="16"/>
  <c r="D4219" i="16"/>
  <c r="C4219" i="16"/>
  <c r="B4219" i="16"/>
  <c r="A4219" i="16"/>
  <c r="D4218" i="16"/>
  <c r="C4218" i="16"/>
  <c r="B4218" i="16"/>
  <c r="A4218" i="16"/>
  <c r="N4217" i="16"/>
  <c r="J4217" i="16"/>
  <c r="H4217" i="16"/>
  <c r="G4217" i="16"/>
  <c r="D4217" i="16"/>
  <c r="C4217" i="16"/>
  <c r="B4217" i="16"/>
  <c r="A4217" i="16"/>
  <c r="K4217" i="16" s="1"/>
  <c r="T4216" i="16"/>
  <c r="P4216" i="16"/>
  <c r="N4216" i="16"/>
  <c r="H4216" i="16"/>
  <c r="G4216" i="16"/>
  <c r="F4216" i="16"/>
  <c r="D4216" i="16"/>
  <c r="C4216" i="16"/>
  <c r="B4216" i="16"/>
  <c r="A4216" i="16"/>
  <c r="K4216" i="16" s="1"/>
  <c r="O4215" i="16"/>
  <c r="M4215" i="16"/>
  <c r="J4215" i="16"/>
  <c r="H4215" i="16"/>
  <c r="D4215" i="16"/>
  <c r="C4215" i="16"/>
  <c r="B4215" i="16"/>
  <c r="A4215" i="16"/>
  <c r="T4214" i="16"/>
  <c r="P4214" i="16"/>
  <c r="O4214" i="16"/>
  <c r="N4214" i="16"/>
  <c r="K4214" i="16"/>
  <c r="H4214" i="16"/>
  <c r="G4214" i="16"/>
  <c r="F4214" i="16"/>
  <c r="E4214" i="16"/>
  <c r="D4214" i="16"/>
  <c r="C4214" i="16"/>
  <c r="B4214" i="16"/>
  <c r="A4214" i="16"/>
  <c r="L4214" i="16" s="1"/>
  <c r="L4213" i="16"/>
  <c r="K4213" i="16"/>
  <c r="J4213" i="16"/>
  <c r="H4213" i="16"/>
  <c r="D4213" i="16"/>
  <c r="C4213" i="16"/>
  <c r="B4213" i="16"/>
  <c r="A4213" i="16"/>
  <c r="P4212" i="16"/>
  <c r="O4212" i="16"/>
  <c r="K4212" i="16"/>
  <c r="D4212" i="16"/>
  <c r="C4212" i="16"/>
  <c r="B4212" i="16"/>
  <c r="A4212" i="16"/>
  <c r="N4211" i="16"/>
  <c r="H4211" i="16"/>
  <c r="E4211" i="16"/>
  <c r="D4211" i="16"/>
  <c r="C4211" i="16"/>
  <c r="B4211" i="16"/>
  <c r="A4211" i="16"/>
  <c r="D4210" i="16"/>
  <c r="C4210" i="16"/>
  <c r="B4210" i="16"/>
  <c r="A4210" i="16"/>
  <c r="P4209" i="16"/>
  <c r="O4209" i="16"/>
  <c r="N4209" i="16"/>
  <c r="M4209" i="16"/>
  <c r="L4209" i="16"/>
  <c r="K4209" i="16"/>
  <c r="H4209" i="16"/>
  <c r="G4209" i="16"/>
  <c r="F4209" i="16"/>
  <c r="E4209" i="16"/>
  <c r="D4209" i="16"/>
  <c r="C4209" i="16"/>
  <c r="B4209" i="16"/>
  <c r="A4209" i="16"/>
  <c r="T4209" i="16" s="1"/>
  <c r="D4208" i="16"/>
  <c r="C4208" i="16"/>
  <c r="B4208" i="16"/>
  <c r="A4208" i="16"/>
  <c r="T4207" i="16"/>
  <c r="P4207" i="16"/>
  <c r="O4207" i="16"/>
  <c r="L4207" i="16"/>
  <c r="H4207" i="16"/>
  <c r="G4207" i="16"/>
  <c r="F4207" i="16"/>
  <c r="E4207" i="16"/>
  <c r="D4207" i="16"/>
  <c r="C4207" i="16"/>
  <c r="B4207" i="16"/>
  <c r="A4207" i="16"/>
  <c r="N4207" i="16" s="1"/>
  <c r="T4206" i="16"/>
  <c r="P4206" i="16"/>
  <c r="K4206" i="16"/>
  <c r="G4206" i="16"/>
  <c r="E4206" i="16"/>
  <c r="D4206" i="16"/>
  <c r="C4206" i="16"/>
  <c r="B4206" i="16"/>
  <c r="A4206" i="16"/>
  <c r="N4206" i="16" s="1"/>
  <c r="I4205" i="16"/>
  <c r="D4205" i="16"/>
  <c r="C4205" i="16"/>
  <c r="B4205" i="16"/>
  <c r="A4205" i="16"/>
  <c r="L4204" i="16"/>
  <c r="D4204" i="16"/>
  <c r="C4204" i="16"/>
  <c r="B4204" i="16"/>
  <c r="A4204" i="16"/>
  <c r="K4203" i="16"/>
  <c r="F4203" i="16"/>
  <c r="D4203" i="16"/>
  <c r="C4203" i="16"/>
  <c r="B4203" i="16"/>
  <c r="A4203" i="16"/>
  <c r="T4203" i="16" s="1"/>
  <c r="T4202" i="16"/>
  <c r="O4202" i="16"/>
  <c r="N4202" i="16"/>
  <c r="L4202" i="16"/>
  <c r="G4202" i="16"/>
  <c r="F4202" i="16"/>
  <c r="E4202" i="16"/>
  <c r="D4202" i="16"/>
  <c r="C4202" i="16"/>
  <c r="B4202" i="16"/>
  <c r="A4202" i="16"/>
  <c r="J4202" i="16" s="1"/>
  <c r="D4201" i="16"/>
  <c r="C4201" i="16"/>
  <c r="B4201" i="16"/>
  <c r="A4201" i="16"/>
  <c r="K4200" i="16"/>
  <c r="H4200" i="16"/>
  <c r="D4200" i="16"/>
  <c r="C4200" i="16"/>
  <c r="B4200" i="16"/>
  <c r="A4200" i="16"/>
  <c r="L4199" i="16"/>
  <c r="I4199" i="16"/>
  <c r="D4199" i="16"/>
  <c r="C4199" i="16"/>
  <c r="B4199" i="16"/>
  <c r="A4199" i="16"/>
  <c r="K4198" i="16"/>
  <c r="I4198" i="16"/>
  <c r="H4198" i="16"/>
  <c r="F4198" i="16"/>
  <c r="D4198" i="16"/>
  <c r="C4198" i="16"/>
  <c r="B4198" i="16"/>
  <c r="A4198" i="16"/>
  <c r="L4197" i="16"/>
  <c r="D4197" i="16"/>
  <c r="C4197" i="16"/>
  <c r="B4197" i="16"/>
  <c r="A4197" i="16"/>
  <c r="T4197" i="16" s="1"/>
  <c r="D4196" i="16"/>
  <c r="C4196" i="16"/>
  <c r="B4196" i="16"/>
  <c r="A4196" i="16"/>
  <c r="L4195" i="16"/>
  <c r="K4195" i="16"/>
  <c r="I4195" i="16"/>
  <c r="F4195" i="16"/>
  <c r="D4195" i="16"/>
  <c r="C4195" i="16"/>
  <c r="B4195" i="16"/>
  <c r="A4195" i="16"/>
  <c r="T4194" i="16"/>
  <c r="J4194" i="16"/>
  <c r="E4194" i="16"/>
  <c r="D4194" i="16"/>
  <c r="C4194" i="16"/>
  <c r="B4194" i="16"/>
  <c r="A4194" i="16"/>
  <c r="M4193" i="16"/>
  <c r="L4193" i="16"/>
  <c r="K4193" i="16"/>
  <c r="F4193" i="16"/>
  <c r="D4193" i="16"/>
  <c r="C4193" i="16"/>
  <c r="B4193" i="16"/>
  <c r="A4193" i="16"/>
  <c r="D4192" i="16"/>
  <c r="C4192" i="16"/>
  <c r="B4192" i="16"/>
  <c r="A4192" i="16"/>
  <c r="M4191" i="16"/>
  <c r="I4191" i="16"/>
  <c r="H4191" i="16"/>
  <c r="F4191" i="16"/>
  <c r="D4191" i="16"/>
  <c r="C4191" i="16"/>
  <c r="B4191" i="16"/>
  <c r="A4191" i="16"/>
  <c r="G4191" i="16" s="1"/>
  <c r="K4190" i="16"/>
  <c r="I4190" i="16"/>
  <c r="G4190" i="16"/>
  <c r="D4190" i="16"/>
  <c r="C4190" i="16"/>
  <c r="B4190" i="16"/>
  <c r="A4190" i="16"/>
  <c r="H4190" i="16" s="1"/>
  <c r="P4189" i="16"/>
  <c r="N4189" i="16"/>
  <c r="D4189" i="16"/>
  <c r="C4189" i="16"/>
  <c r="B4189" i="16"/>
  <c r="A4189" i="16"/>
  <c r="O4188" i="16"/>
  <c r="M4188" i="16"/>
  <c r="E4188" i="16"/>
  <c r="D4188" i="16"/>
  <c r="C4188" i="16"/>
  <c r="B4188" i="16"/>
  <c r="A4188" i="16"/>
  <c r="P4188" i="16" s="1"/>
  <c r="J4187" i="16"/>
  <c r="I4187" i="16"/>
  <c r="F4187" i="16"/>
  <c r="D4187" i="16"/>
  <c r="C4187" i="16"/>
  <c r="B4187" i="16"/>
  <c r="A4187" i="16"/>
  <c r="K4187" i="16" s="1"/>
  <c r="N4186" i="16"/>
  <c r="M4186" i="16"/>
  <c r="L4186" i="16"/>
  <c r="D4186" i="16"/>
  <c r="C4186" i="16"/>
  <c r="B4186" i="16"/>
  <c r="A4186" i="16"/>
  <c r="P4185" i="16"/>
  <c r="O4185" i="16"/>
  <c r="M4185" i="16"/>
  <c r="H4185" i="16"/>
  <c r="G4185" i="16"/>
  <c r="F4185" i="16"/>
  <c r="D4185" i="16"/>
  <c r="C4185" i="16"/>
  <c r="B4185" i="16"/>
  <c r="A4185" i="16"/>
  <c r="J4185" i="16" s="1"/>
  <c r="D4184" i="16"/>
  <c r="C4184" i="16"/>
  <c r="B4184" i="16"/>
  <c r="A4184" i="16"/>
  <c r="H4183" i="16"/>
  <c r="D4183" i="16"/>
  <c r="C4183" i="16"/>
  <c r="B4183" i="16"/>
  <c r="A4183" i="16"/>
  <c r="D4182" i="16"/>
  <c r="C4182" i="16"/>
  <c r="B4182" i="16"/>
  <c r="A4182" i="16"/>
  <c r="T4181" i="16"/>
  <c r="P4181" i="16"/>
  <c r="O4181" i="16"/>
  <c r="K4181" i="16"/>
  <c r="H4181" i="16"/>
  <c r="G4181" i="16"/>
  <c r="F4181" i="16"/>
  <c r="D4181" i="16"/>
  <c r="C4181" i="16"/>
  <c r="B4181" i="16"/>
  <c r="A4181" i="16"/>
  <c r="I4181" i="16" s="1"/>
  <c r="D4180" i="16"/>
  <c r="C4180" i="16"/>
  <c r="B4180" i="16"/>
  <c r="A4180" i="16"/>
  <c r="M4179" i="16"/>
  <c r="D4179" i="16"/>
  <c r="C4179" i="16"/>
  <c r="B4179" i="16"/>
  <c r="A4179" i="16"/>
  <c r="M4178" i="16"/>
  <c r="L4178" i="16"/>
  <c r="G4178" i="16"/>
  <c r="E4178" i="16"/>
  <c r="D4178" i="16"/>
  <c r="C4178" i="16"/>
  <c r="B4178" i="16"/>
  <c r="A4178" i="16"/>
  <c r="M4177" i="16"/>
  <c r="K4177" i="16"/>
  <c r="J4177" i="16"/>
  <c r="D4177" i="16"/>
  <c r="C4177" i="16"/>
  <c r="B4177" i="16"/>
  <c r="A4177" i="16"/>
  <c r="P4176" i="16"/>
  <c r="O4176" i="16"/>
  <c r="K4176" i="16"/>
  <c r="D4176" i="16"/>
  <c r="C4176" i="16"/>
  <c r="B4176" i="16"/>
  <c r="A4176" i="16"/>
  <c r="M4175" i="16"/>
  <c r="G4175" i="16"/>
  <c r="D4175" i="16"/>
  <c r="C4175" i="16"/>
  <c r="B4175" i="16"/>
  <c r="A4175" i="16"/>
  <c r="K4174" i="16"/>
  <c r="J4174" i="16"/>
  <c r="E4174" i="16"/>
  <c r="D4174" i="16"/>
  <c r="C4174" i="16"/>
  <c r="B4174" i="16"/>
  <c r="A4174" i="16"/>
  <c r="O4174" i="16" s="1"/>
  <c r="L4173" i="16"/>
  <c r="I4173" i="16"/>
  <c r="F4173" i="16"/>
  <c r="D4173" i="16"/>
  <c r="C4173" i="16"/>
  <c r="B4173" i="16"/>
  <c r="A4173" i="16"/>
  <c r="N4173" i="16" s="1"/>
  <c r="M4172" i="16"/>
  <c r="L4172" i="16"/>
  <c r="D4172" i="16"/>
  <c r="C4172" i="16"/>
  <c r="B4172" i="16"/>
  <c r="A4172" i="16"/>
  <c r="D4171" i="16"/>
  <c r="C4171" i="16"/>
  <c r="B4171" i="16"/>
  <c r="A4171" i="16"/>
  <c r="N4170" i="16"/>
  <c r="L4170" i="16"/>
  <c r="G4170" i="16"/>
  <c r="E4170" i="16"/>
  <c r="D4170" i="16"/>
  <c r="C4170" i="16"/>
  <c r="B4170" i="16"/>
  <c r="A4170" i="16"/>
  <c r="O4169" i="16"/>
  <c r="K4169" i="16"/>
  <c r="J4169" i="16"/>
  <c r="H4169" i="16"/>
  <c r="D4169" i="16"/>
  <c r="C4169" i="16"/>
  <c r="B4169" i="16"/>
  <c r="A4169" i="16"/>
  <c r="L4169" i="16" s="1"/>
  <c r="I4168" i="16"/>
  <c r="D4168" i="16"/>
  <c r="C4168" i="16"/>
  <c r="B4168" i="16"/>
  <c r="A4168" i="16"/>
  <c r="T4167" i="16"/>
  <c r="N4167" i="16"/>
  <c r="H4167" i="16"/>
  <c r="D4167" i="16"/>
  <c r="C4167" i="16"/>
  <c r="B4167" i="16"/>
  <c r="A4167" i="16"/>
  <c r="D4166" i="16"/>
  <c r="C4166" i="16"/>
  <c r="B4166" i="16"/>
  <c r="A4166" i="16"/>
  <c r="F4165" i="16"/>
  <c r="D4165" i="16"/>
  <c r="C4165" i="16"/>
  <c r="B4165" i="16"/>
  <c r="A4165" i="16"/>
  <c r="P4164" i="16"/>
  <c r="K4164" i="16"/>
  <c r="I4164" i="16"/>
  <c r="H4164" i="16"/>
  <c r="E4164" i="16"/>
  <c r="D4164" i="16"/>
  <c r="C4164" i="16"/>
  <c r="B4164" i="16"/>
  <c r="A4164" i="16"/>
  <c r="P4163" i="16"/>
  <c r="K4163" i="16"/>
  <c r="E4163" i="16"/>
  <c r="D4163" i="16"/>
  <c r="C4163" i="16"/>
  <c r="B4163" i="16"/>
  <c r="A4163" i="16"/>
  <c r="F4162" i="16"/>
  <c r="D4162" i="16"/>
  <c r="C4162" i="16"/>
  <c r="B4162" i="16"/>
  <c r="A4162" i="16"/>
  <c r="M4161" i="16"/>
  <c r="H4161" i="16"/>
  <c r="G4161" i="16"/>
  <c r="F4161" i="16"/>
  <c r="D4161" i="16"/>
  <c r="C4161" i="16"/>
  <c r="B4161" i="16"/>
  <c r="A4161" i="16"/>
  <c r="J4161" i="16" s="1"/>
  <c r="T4160" i="16"/>
  <c r="P4160" i="16"/>
  <c r="N4160" i="16"/>
  <c r="L4160" i="16"/>
  <c r="H4160" i="16"/>
  <c r="G4160" i="16"/>
  <c r="E4160" i="16"/>
  <c r="D4160" i="16"/>
  <c r="C4160" i="16"/>
  <c r="B4160" i="16"/>
  <c r="A4160" i="16"/>
  <c r="I4160" i="16" s="1"/>
  <c r="L4159" i="16"/>
  <c r="J4159" i="16"/>
  <c r="I4159" i="16"/>
  <c r="E4159" i="16"/>
  <c r="D4159" i="16"/>
  <c r="C4159" i="16"/>
  <c r="B4159" i="16"/>
  <c r="A4159" i="16"/>
  <c r="D4158" i="16"/>
  <c r="C4158" i="16"/>
  <c r="B4158" i="16"/>
  <c r="A4158" i="16"/>
  <c r="T4157" i="16"/>
  <c r="P4157" i="16"/>
  <c r="N4157" i="16"/>
  <c r="J4157" i="16"/>
  <c r="I4157" i="16"/>
  <c r="H4157" i="16"/>
  <c r="G4157" i="16"/>
  <c r="D4157" i="16"/>
  <c r="C4157" i="16"/>
  <c r="B4157" i="16"/>
  <c r="A4157" i="16"/>
  <c r="L4157" i="16" s="1"/>
  <c r="O4156" i="16"/>
  <c r="L4156" i="16"/>
  <c r="K4156" i="16"/>
  <c r="J4156" i="16"/>
  <c r="D4156" i="16"/>
  <c r="C4156" i="16"/>
  <c r="B4156" i="16"/>
  <c r="A4156" i="16"/>
  <c r="N4155" i="16"/>
  <c r="H4155" i="16"/>
  <c r="D4155" i="16"/>
  <c r="C4155" i="16"/>
  <c r="B4155" i="16"/>
  <c r="A4155" i="16"/>
  <c r="M4155" i="16" s="1"/>
  <c r="G4154" i="16"/>
  <c r="E4154" i="16"/>
  <c r="D4154" i="16"/>
  <c r="C4154" i="16"/>
  <c r="B4154" i="16"/>
  <c r="A4154" i="16"/>
  <c r="O4153" i="16"/>
  <c r="K4153" i="16"/>
  <c r="J4153" i="16"/>
  <c r="H4153" i="16"/>
  <c r="D4153" i="16"/>
  <c r="C4153" i="16"/>
  <c r="B4153" i="16"/>
  <c r="A4153" i="16"/>
  <c r="L4153" i="16" s="1"/>
  <c r="T4152" i="16"/>
  <c r="O4152" i="16"/>
  <c r="M4152" i="16"/>
  <c r="H4152" i="16"/>
  <c r="G4152" i="16"/>
  <c r="E4152" i="16"/>
  <c r="D4152" i="16"/>
  <c r="C4152" i="16"/>
  <c r="B4152" i="16"/>
  <c r="A4152" i="16"/>
  <c r="K4152" i="16" s="1"/>
  <c r="N4151" i="16"/>
  <c r="L4151" i="16"/>
  <c r="J4151" i="16"/>
  <c r="H4151" i="16"/>
  <c r="D4151" i="16"/>
  <c r="C4151" i="16"/>
  <c r="B4151" i="16"/>
  <c r="A4151" i="16"/>
  <c r="T4150" i="16"/>
  <c r="P4150" i="16"/>
  <c r="O4150" i="16"/>
  <c r="H4150" i="16"/>
  <c r="G4150" i="16"/>
  <c r="F4150" i="16"/>
  <c r="E4150" i="16"/>
  <c r="D4150" i="16"/>
  <c r="C4150" i="16"/>
  <c r="B4150" i="16"/>
  <c r="A4150" i="16"/>
  <c r="K4149" i="16"/>
  <c r="J4149" i="16"/>
  <c r="H4149" i="16"/>
  <c r="D4149" i="16"/>
  <c r="C4149" i="16"/>
  <c r="B4149" i="16"/>
  <c r="A4149" i="16"/>
  <c r="L4149" i="16" s="1"/>
  <c r="O4148" i="16"/>
  <c r="G4148" i="16"/>
  <c r="D4148" i="16"/>
  <c r="C4148" i="16"/>
  <c r="B4148" i="16"/>
  <c r="A4148" i="16"/>
  <c r="D4147" i="16"/>
  <c r="C4147" i="16"/>
  <c r="B4147" i="16"/>
  <c r="A4147" i="16"/>
  <c r="J4146" i="16"/>
  <c r="I4146" i="16"/>
  <c r="G4146" i="16"/>
  <c r="D4146" i="16"/>
  <c r="C4146" i="16"/>
  <c r="B4146" i="16"/>
  <c r="A4146" i="16"/>
  <c r="K4146" i="16" s="1"/>
  <c r="P4145" i="16"/>
  <c r="O4145" i="16"/>
  <c r="N4145" i="16"/>
  <c r="M4145" i="16"/>
  <c r="K4145" i="16"/>
  <c r="H4145" i="16"/>
  <c r="G4145" i="16"/>
  <c r="F4145" i="16"/>
  <c r="E4145" i="16"/>
  <c r="D4145" i="16"/>
  <c r="C4145" i="16"/>
  <c r="B4145" i="16"/>
  <c r="A4145" i="16"/>
  <c r="T4145" i="16" s="1"/>
  <c r="O4144" i="16"/>
  <c r="N4144" i="16"/>
  <c r="D4144" i="16"/>
  <c r="C4144" i="16"/>
  <c r="B4144" i="16"/>
  <c r="A4144" i="16"/>
  <c r="H4143" i="16"/>
  <c r="F4143" i="16"/>
  <c r="D4143" i="16"/>
  <c r="C4143" i="16"/>
  <c r="B4143" i="16"/>
  <c r="A4143" i="16"/>
  <c r="O4143" i="16" s="1"/>
  <c r="G4142" i="16"/>
  <c r="F4142" i="16"/>
  <c r="D4142" i="16"/>
  <c r="C4142" i="16"/>
  <c r="B4142" i="16"/>
  <c r="A4142" i="16"/>
  <c r="K4142" i="16" s="1"/>
  <c r="D4141" i="16"/>
  <c r="C4141" i="16"/>
  <c r="B4141" i="16"/>
  <c r="A4141" i="16"/>
  <c r="D4140" i="16"/>
  <c r="C4140" i="16"/>
  <c r="B4140" i="16"/>
  <c r="A4140" i="16"/>
  <c r="T4139" i="16"/>
  <c r="D4139" i="16"/>
  <c r="C4139" i="16"/>
  <c r="B4139" i="16"/>
  <c r="A4139" i="16"/>
  <c r="O4138" i="16"/>
  <c r="L4138" i="16"/>
  <c r="G4138" i="16"/>
  <c r="E4138" i="16"/>
  <c r="D4138" i="16"/>
  <c r="C4138" i="16"/>
  <c r="B4138" i="16"/>
  <c r="A4138" i="16"/>
  <c r="M4138" i="16" s="1"/>
  <c r="O4137" i="16"/>
  <c r="J4137" i="16"/>
  <c r="H4137" i="16"/>
  <c r="G4137" i="16"/>
  <c r="D4137" i="16"/>
  <c r="C4137" i="16"/>
  <c r="B4137" i="16"/>
  <c r="A4137" i="16"/>
  <c r="K4137" i="16" s="1"/>
  <c r="D4136" i="16"/>
  <c r="C4136" i="16"/>
  <c r="B4136" i="16"/>
  <c r="A4136" i="16"/>
  <c r="O4135" i="16"/>
  <c r="D4135" i="16"/>
  <c r="C4135" i="16"/>
  <c r="B4135" i="16"/>
  <c r="A4135" i="16"/>
  <c r="N4134" i="16"/>
  <c r="M4134" i="16"/>
  <c r="K4134" i="16"/>
  <c r="E4134" i="16"/>
  <c r="D4134" i="16"/>
  <c r="C4134" i="16"/>
  <c r="B4134" i="16"/>
  <c r="A4134" i="16"/>
  <c r="D4133" i="16"/>
  <c r="C4133" i="16"/>
  <c r="B4133" i="16"/>
  <c r="A4133" i="16"/>
  <c r="T4132" i="16"/>
  <c r="L4132" i="16"/>
  <c r="G4132" i="16"/>
  <c r="D4132" i="16"/>
  <c r="C4132" i="16"/>
  <c r="B4132" i="16"/>
  <c r="A4132" i="16"/>
  <c r="T4131" i="16"/>
  <c r="P4131" i="16"/>
  <c r="L4131" i="16"/>
  <c r="I4131" i="16"/>
  <c r="H4131" i="16"/>
  <c r="F4131" i="16"/>
  <c r="E4131" i="16"/>
  <c r="D4131" i="16"/>
  <c r="C4131" i="16"/>
  <c r="B4131" i="16"/>
  <c r="A4131" i="16"/>
  <c r="N4131" i="16" s="1"/>
  <c r="D4130" i="16"/>
  <c r="C4130" i="16"/>
  <c r="B4130" i="16"/>
  <c r="A4130" i="16"/>
  <c r="P4129" i="16"/>
  <c r="O4129" i="16"/>
  <c r="N4129" i="16"/>
  <c r="M4129" i="16"/>
  <c r="K4129" i="16"/>
  <c r="H4129" i="16"/>
  <c r="G4129" i="16"/>
  <c r="F4129" i="16"/>
  <c r="E4129" i="16"/>
  <c r="D4129" i="16"/>
  <c r="C4129" i="16"/>
  <c r="B4129" i="16"/>
  <c r="A4129" i="16"/>
  <c r="T4129" i="16" s="1"/>
  <c r="D4128" i="16"/>
  <c r="C4128" i="16"/>
  <c r="B4128" i="16"/>
  <c r="A4128" i="16"/>
  <c r="D4127" i="16"/>
  <c r="C4127" i="16"/>
  <c r="B4127" i="16"/>
  <c r="A4127" i="16"/>
  <c r="I4126" i="16"/>
  <c r="H4126" i="16"/>
  <c r="F4126" i="16"/>
  <c r="D4126" i="16"/>
  <c r="C4126" i="16"/>
  <c r="B4126" i="16"/>
  <c r="A4126" i="16"/>
  <c r="G4126" i="16" s="1"/>
  <c r="P4125" i="16"/>
  <c r="N4125" i="16"/>
  <c r="K4125" i="16"/>
  <c r="D4125" i="16"/>
  <c r="C4125" i="16"/>
  <c r="B4125" i="16"/>
  <c r="A4125" i="16"/>
  <c r="T4125" i="16" s="1"/>
  <c r="O4124" i="16"/>
  <c r="M4124" i="16"/>
  <c r="L4124" i="16"/>
  <c r="D4124" i="16"/>
  <c r="C4124" i="16"/>
  <c r="B4124" i="16"/>
  <c r="A4124" i="16"/>
  <c r="P4124" i="16" s="1"/>
  <c r="M4123" i="16"/>
  <c r="D4123" i="16"/>
  <c r="C4123" i="16"/>
  <c r="B4123" i="16"/>
  <c r="A4123" i="16"/>
  <c r="N4122" i="16"/>
  <c r="M4122" i="16"/>
  <c r="I4122" i="16"/>
  <c r="E4122" i="16"/>
  <c r="D4122" i="16"/>
  <c r="C4122" i="16"/>
  <c r="B4122" i="16"/>
  <c r="A4122" i="16"/>
  <c r="M4121" i="16"/>
  <c r="K4121" i="16"/>
  <c r="D4121" i="16"/>
  <c r="C4121" i="16"/>
  <c r="B4121" i="16"/>
  <c r="A4121" i="16"/>
  <c r="D4120" i="16"/>
  <c r="C4120" i="16"/>
  <c r="B4120" i="16"/>
  <c r="A4120" i="16"/>
  <c r="T4119" i="16"/>
  <c r="I4119" i="16"/>
  <c r="H4119" i="16"/>
  <c r="D4119" i="16"/>
  <c r="C4119" i="16"/>
  <c r="B4119" i="16"/>
  <c r="A4119" i="16"/>
  <c r="P4118" i="16"/>
  <c r="O4118" i="16"/>
  <c r="D4118" i="16"/>
  <c r="C4118" i="16"/>
  <c r="B4118" i="16"/>
  <c r="A4118" i="16"/>
  <c r="O4117" i="16"/>
  <c r="L4117" i="16"/>
  <c r="K4117" i="16"/>
  <c r="G4117" i="16"/>
  <c r="D4117" i="16"/>
  <c r="C4117" i="16"/>
  <c r="B4117" i="16"/>
  <c r="A4117" i="16"/>
  <c r="D4116" i="16"/>
  <c r="C4116" i="16"/>
  <c r="B4116" i="16"/>
  <c r="A4116" i="16"/>
  <c r="D4115" i="16"/>
  <c r="C4115" i="16"/>
  <c r="B4115" i="16"/>
  <c r="A4115" i="16"/>
  <c r="T4114" i="16"/>
  <c r="O4114" i="16"/>
  <c r="N4114" i="16"/>
  <c r="L4114" i="16"/>
  <c r="I4114" i="16"/>
  <c r="G4114" i="16"/>
  <c r="F4114" i="16"/>
  <c r="E4114" i="16"/>
  <c r="D4114" i="16"/>
  <c r="C4114" i="16"/>
  <c r="B4114" i="16"/>
  <c r="A4114" i="16"/>
  <c r="M4114" i="16" s="1"/>
  <c r="P4113" i="16"/>
  <c r="O4113" i="16"/>
  <c r="L4113" i="16"/>
  <c r="J4113" i="16"/>
  <c r="E4113" i="16"/>
  <c r="D4113" i="16"/>
  <c r="C4113" i="16"/>
  <c r="B4113" i="16"/>
  <c r="A4113" i="16"/>
  <c r="M4113" i="16" s="1"/>
  <c r="O4112" i="16"/>
  <c r="N4112" i="16"/>
  <c r="F4112" i="16"/>
  <c r="E4112" i="16"/>
  <c r="D4112" i="16"/>
  <c r="C4112" i="16"/>
  <c r="B4112" i="16"/>
  <c r="A4112" i="16"/>
  <c r="L4112" i="16" s="1"/>
  <c r="L4111" i="16"/>
  <c r="J4111" i="16"/>
  <c r="I4111" i="16"/>
  <c r="G4111" i="16"/>
  <c r="D4111" i="16"/>
  <c r="C4111" i="16"/>
  <c r="B4111" i="16"/>
  <c r="A4111" i="16"/>
  <c r="D4110" i="16"/>
  <c r="C4110" i="16"/>
  <c r="B4110" i="16"/>
  <c r="A4110" i="16"/>
  <c r="P4110" i="16" s="1"/>
  <c r="O4109" i="16"/>
  <c r="L4109" i="16"/>
  <c r="I4109" i="16"/>
  <c r="G4109" i="16"/>
  <c r="F4109" i="16"/>
  <c r="D4109" i="16"/>
  <c r="C4109" i="16"/>
  <c r="B4109" i="16"/>
  <c r="A4109" i="16"/>
  <c r="J4109" i="16" s="1"/>
  <c r="K4108" i="16"/>
  <c r="D4108" i="16"/>
  <c r="C4108" i="16"/>
  <c r="B4108" i="16"/>
  <c r="A4108" i="16"/>
  <c r="P4107" i="16"/>
  <c r="K4107" i="16"/>
  <c r="J4107" i="16"/>
  <c r="D4107" i="16"/>
  <c r="C4107" i="16"/>
  <c r="B4107" i="16"/>
  <c r="A4107" i="16"/>
  <c r="T4107" i="16" s="1"/>
  <c r="N4106" i="16"/>
  <c r="L4106" i="16"/>
  <c r="D4106" i="16"/>
  <c r="C4106" i="16"/>
  <c r="B4106" i="16"/>
  <c r="A4106" i="16"/>
  <c r="T4106" i="16" s="1"/>
  <c r="P4105" i="16"/>
  <c r="O4105" i="16"/>
  <c r="N4105" i="16"/>
  <c r="H4105" i="16"/>
  <c r="G4105" i="16"/>
  <c r="F4105" i="16"/>
  <c r="E4105" i="16"/>
  <c r="D4105" i="16"/>
  <c r="C4105" i="16"/>
  <c r="B4105" i="16"/>
  <c r="A4105" i="16"/>
  <c r="H4104" i="16"/>
  <c r="D4104" i="16"/>
  <c r="C4104" i="16"/>
  <c r="B4104" i="16"/>
  <c r="A4104" i="16"/>
  <c r="N4104" i="16" s="1"/>
  <c r="D4103" i="16"/>
  <c r="C4103" i="16"/>
  <c r="B4103" i="16"/>
  <c r="A4103" i="16"/>
  <c r="H4102" i="16"/>
  <c r="G4102" i="16"/>
  <c r="D4102" i="16"/>
  <c r="C4102" i="16"/>
  <c r="B4102" i="16"/>
  <c r="A4102" i="16"/>
  <c r="P4101" i="16"/>
  <c r="O4101" i="16"/>
  <c r="J4101" i="16"/>
  <c r="D4101" i="16"/>
  <c r="C4101" i="16"/>
  <c r="B4101" i="16"/>
  <c r="A4101" i="16"/>
  <c r="F4101" i="16" s="1"/>
  <c r="T4100" i="16"/>
  <c r="P4100" i="16"/>
  <c r="O4100" i="16"/>
  <c r="L4100" i="16"/>
  <c r="I4100" i="16"/>
  <c r="H4100" i="16"/>
  <c r="G4100" i="16"/>
  <c r="E4100" i="16"/>
  <c r="D4100" i="16"/>
  <c r="C4100" i="16"/>
  <c r="B4100" i="16"/>
  <c r="A4100" i="16"/>
  <c r="M4100" i="16" s="1"/>
  <c r="P4099" i="16"/>
  <c r="N4099" i="16"/>
  <c r="J4099" i="16"/>
  <c r="E4099" i="16"/>
  <c r="D4099" i="16"/>
  <c r="C4099" i="16"/>
  <c r="B4099" i="16"/>
  <c r="A4099" i="16"/>
  <c r="L4099" i="16" s="1"/>
  <c r="I4098" i="16"/>
  <c r="F4098" i="16"/>
  <c r="D4098" i="16"/>
  <c r="C4098" i="16"/>
  <c r="B4098" i="16"/>
  <c r="A4098" i="16"/>
  <c r="O4097" i="16"/>
  <c r="N4097" i="16"/>
  <c r="M4097" i="16"/>
  <c r="L4097" i="16"/>
  <c r="K4097" i="16"/>
  <c r="H4097" i="16"/>
  <c r="F4097" i="16"/>
  <c r="E4097" i="16"/>
  <c r="D4097" i="16"/>
  <c r="C4097" i="16"/>
  <c r="B4097" i="16"/>
  <c r="A4097" i="16"/>
  <c r="T4097" i="16" s="1"/>
  <c r="M4096" i="16"/>
  <c r="L4096" i="16"/>
  <c r="H4096" i="16"/>
  <c r="G4096" i="16"/>
  <c r="D4096" i="16"/>
  <c r="C4096" i="16"/>
  <c r="B4096" i="16"/>
  <c r="A4096" i="16"/>
  <c r="P4095" i="16"/>
  <c r="J4095" i="16"/>
  <c r="I4095" i="16"/>
  <c r="D4095" i="16"/>
  <c r="C4095" i="16"/>
  <c r="B4095" i="16"/>
  <c r="A4095" i="16"/>
  <c r="M4094" i="16"/>
  <c r="K4094" i="16"/>
  <c r="D4094" i="16"/>
  <c r="C4094" i="16"/>
  <c r="B4094" i="16"/>
  <c r="A4094" i="16"/>
  <c r="T4093" i="16"/>
  <c r="L4093" i="16"/>
  <c r="J4093" i="16"/>
  <c r="H4093" i="16"/>
  <c r="D4093" i="16"/>
  <c r="C4093" i="16"/>
  <c r="B4093" i="16"/>
  <c r="A4093" i="16"/>
  <c r="N4093" i="16" s="1"/>
  <c r="J4092" i="16"/>
  <c r="D4092" i="16"/>
  <c r="C4092" i="16"/>
  <c r="B4092" i="16"/>
  <c r="A4092" i="16"/>
  <c r="D4091" i="16"/>
  <c r="C4091" i="16"/>
  <c r="B4091" i="16"/>
  <c r="A4091" i="16"/>
  <c r="T4090" i="16"/>
  <c r="D4090" i="16"/>
  <c r="C4090" i="16"/>
  <c r="B4090" i="16"/>
  <c r="A4090" i="16"/>
  <c r="P4089" i="16"/>
  <c r="N4089" i="16"/>
  <c r="L4089" i="16"/>
  <c r="D4089" i="16"/>
  <c r="C4089" i="16"/>
  <c r="B4089" i="16"/>
  <c r="A4089" i="16"/>
  <c r="N4088" i="16"/>
  <c r="H4088" i="16"/>
  <c r="G4088" i="16"/>
  <c r="F4088" i="16"/>
  <c r="D4088" i="16"/>
  <c r="C4088" i="16"/>
  <c r="B4088" i="16"/>
  <c r="A4088" i="16"/>
  <c r="K4088" i="16" s="1"/>
  <c r="T4087" i="16"/>
  <c r="P4087" i="16"/>
  <c r="O4087" i="16"/>
  <c r="M4087" i="16"/>
  <c r="G4087" i="16"/>
  <c r="F4087" i="16"/>
  <c r="E4087" i="16"/>
  <c r="D4087" i="16"/>
  <c r="C4087" i="16"/>
  <c r="B4087" i="16"/>
  <c r="A4087" i="16"/>
  <c r="H4087" i="16" s="1"/>
  <c r="T4086" i="16"/>
  <c r="P4086" i="16"/>
  <c r="O4086" i="16"/>
  <c r="N4086" i="16"/>
  <c r="K4086" i="16"/>
  <c r="H4086" i="16"/>
  <c r="G4086" i="16"/>
  <c r="F4086" i="16"/>
  <c r="E4086" i="16"/>
  <c r="D4086" i="16"/>
  <c r="C4086" i="16"/>
  <c r="B4086" i="16"/>
  <c r="A4086" i="16"/>
  <c r="L4086" i="16" s="1"/>
  <c r="L4085" i="16"/>
  <c r="H4085" i="16"/>
  <c r="D4085" i="16"/>
  <c r="C4085" i="16"/>
  <c r="B4085" i="16"/>
  <c r="A4085" i="16"/>
  <c r="K4084" i="16"/>
  <c r="D4084" i="16"/>
  <c r="C4084" i="16"/>
  <c r="B4084" i="16"/>
  <c r="A4084" i="16"/>
  <c r="L4083" i="16"/>
  <c r="D4083" i="16"/>
  <c r="C4083" i="16"/>
  <c r="B4083" i="16"/>
  <c r="A4083" i="16"/>
  <c r="K4082" i="16"/>
  <c r="I4082" i="16"/>
  <c r="D4082" i="16"/>
  <c r="C4082" i="16"/>
  <c r="B4082" i="16"/>
  <c r="A4082" i="16"/>
  <c r="L4081" i="16"/>
  <c r="J4081" i="16"/>
  <c r="H4081" i="16"/>
  <c r="G4081" i="16"/>
  <c r="E4081" i="16"/>
  <c r="D4081" i="16"/>
  <c r="C4081" i="16"/>
  <c r="B4081" i="16"/>
  <c r="A4081" i="16"/>
  <c r="H4080" i="16"/>
  <c r="G4080" i="16"/>
  <c r="D4080" i="16"/>
  <c r="C4080" i="16"/>
  <c r="B4080" i="16"/>
  <c r="A4080" i="16"/>
  <c r="T4079" i="16"/>
  <c r="P4079" i="16"/>
  <c r="O4079" i="16"/>
  <c r="L4079" i="16"/>
  <c r="H4079" i="16"/>
  <c r="G4079" i="16"/>
  <c r="F4079" i="16"/>
  <c r="E4079" i="16"/>
  <c r="D4079" i="16"/>
  <c r="C4079" i="16"/>
  <c r="B4079" i="16"/>
  <c r="A4079" i="16"/>
  <c r="N4079" i="16" s="1"/>
  <c r="T4078" i="16"/>
  <c r="P4078" i="16"/>
  <c r="N4078" i="16"/>
  <c r="K4078" i="16"/>
  <c r="G4078" i="16"/>
  <c r="E4078" i="16"/>
  <c r="D4078" i="16"/>
  <c r="C4078" i="16"/>
  <c r="B4078" i="16"/>
  <c r="A4078" i="16"/>
  <c r="D4077" i="16"/>
  <c r="C4077" i="16"/>
  <c r="B4077" i="16"/>
  <c r="A4077" i="16"/>
  <c r="M4076" i="16"/>
  <c r="D4076" i="16"/>
  <c r="C4076" i="16"/>
  <c r="B4076" i="16"/>
  <c r="A4076" i="16"/>
  <c r="L4075" i="16"/>
  <c r="H4075" i="16"/>
  <c r="E4075" i="16"/>
  <c r="D4075" i="16"/>
  <c r="C4075" i="16"/>
  <c r="B4075" i="16"/>
  <c r="A4075" i="16"/>
  <c r="M4075" i="16" s="1"/>
  <c r="M4074" i="16"/>
  <c r="G4074" i="16"/>
  <c r="F4074" i="16"/>
  <c r="E4074" i="16"/>
  <c r="D4074" i="16"/>
  <c r="C4074" i="16"/>
  <c r="B4074" i="16"/>
  <c r="A4074" i="16"/>
  <c r="O4073" i="16"/>
  <c r="N4073" i="16"/>
  <c r="M4073" i="16"/>
  <c r="L4073" i="16"/>
  <c r="K4073" i="16"/>
  <c r="H4073" i="16"/>
  <c r="F4073" i="16"/>
  <c r="E4073" i="16"/>
  <c r="D4073" i="16"/>
  <c r="C4073" i="16"/>
  <c r="B4073" i="16"/>
  <c r="A4073" i="16"/>
  <c r="T4073" i="16" s="1"/>
  <c r="N4072" i="16"/>
  <c r="K4072" i="16"/>
  <c r="D4072" i="16"/>
  <c r="C4072" i="16"/>
  <c r="B4072" i="16"/>
  <c r="A4072" i="16"/>
  <c r="D4071" i="16"/>
  <c r="C4071" i="16"/>
  <c r="B4071" i="16"/>
  <c r="A4071" i="16"/>
  <c r="K4070" i="16"/>
  <c r="I4070" i="16"/>
  <c r="H4070" i="16"/>
  <c r="D4070" i="16"/>
  <c r="C4070" i="16"/>
  <c r="B4070" i="16"/>
  <c r="A4070" i="16"/>
  <c r="M4070" i="16" s="1"/>
  <c r="D4069" i="16"/>
  <c r="C4069" i="16"/>
  <c r="B4069" i="16"/>
  <c r="A4069" i="16"/>
  <c r="D4068" i="16"/>
  <c r="C4068" i="16"/>
  <c r="B4068" i="16"/>
  <c r="A4068" i="16"/>
  <c r="P4067" i="16"/>
  <c r="N4067" i="16"/>
  <c r="F4067" i="16"/>
  <c r="E4067" i="16"/>
  <c r="D4067" i="16"/>
  <c r="C4067" i="16"/>
  <c r="B4067" i="16"/>
  <c r="A4067" i="16"/>
  <c r="N4066" i="16"/>
  <c r="K4066" i="16"/>
  <c r="J4066" i="16"/>
  <c r="F4066" i="16"/>
  <c r="D4066" i="16"/>
  <c r="C4066" i="16"/>
  <c r="B4066" i="16"/>
  <c r="A4066" i="16"/>
  <c r="O4065" i="16"/>
  <c r="H4065" i="16"/>
  <c r="G4065" i="16"/>
  <c r="D4065" i="16"/>
  <c r="C4065" i="16"/>
  <c r="B4065" i="16"/>
  <c r="A4065" i="16"/>
  <c r="L4065" i="16" s="1"/>
  <c r="L4064" i="16"/>
  <c r="I4064" i="16"/>
  <c r="D4064" i="16"/>
  <c r="C4064" i="16"/>
  <c r="B4064" i="16"/>
  <c r="A4064" i="16"/>
  <c r="T4063" i="16"/>
  <c r="P4063" i="16"/>
  <c r="M4063" i="16"/>
  <c r="D4063" i="16"/>
  <c r="C4063" i="16"/>
  <c r="B4063" i="16"/>
  <c r="A4063" i="16"/>
  <c r="I4062" i="16"/>
  <c r="E4062" i="16"/>
  <c r="D4062" i="16"/>
  <c r="C4062" i="16"/>
  <c r="B4062" i="16"/>
  <c r="A4062" i="16"/>
  <c r="T4062" i="16" s="1"/>
  <c r="N4061" i="16"/>
  <c r="L4061" i="16"/>
  <c r="F4061" i="16"/>
  <c r="D4061" i="16"/>
  <c r="C4061" i="16"/>
  <c r="B4061" i="16"/>
  <c r="A4061" i="16"/>
  <c r="O4061" i="16" s="1"/>
  <c r="D4060" i="16"/>
  <c r="C4060" i="16"/>
  <c r="B4060" i="16"/>
  <c r="A4060" i="16"/>
  <c r="M4059" i="16"/>
  <c r="D4059" i="16"/>
  <c r="C4059" i="16"/>
  <c r="B4059" i="16"/>
  <c r="A4059" i="16"/>
  <c r="L4058" i="16"/>
  <c r="J4058" i="16"/>
  <c r="I4058" i="16"/>
  <c r="G4058" i="16"/>
  <c r="D4058" i="16"/>
  <c r="C4058" i="16"/>
  <c r="B4058" i="16"/>
  <c r="A4058" i="16"/>
  <c r="O4057" i="16"/>
  <c r="N4057" i="16"/>
  <c r="L4057" i="16"/>
  <c r="D4057" i="16"/>
  <c r="C4057" i="16"/>
  <c r="B4057" i="16"/>
  <c r="A4057" i="16"/>
  <c r="P4057" i="16" s="1"/>
  <c r="O4056" i="16"/>
  <c r="K4056" i="16"/>
  <c r="D4056" i="16"/>
  <c r="C4056" i="16"/>
  <c r="B4056" i="16"/>
  <c r="A4056" i="16"/>
  <c r="T4055" i="16"/>
  <c r="G4055" i="16"/>
  <c r="D4055" i="16"/>
  <c r="C4055" i="16"/>
  <c r="B4055" i="16"/>
  <c r="A4055" i="16"/>
  <c r="D4054" i="16"/>
  <c r="C4054" i="16"/>
  <c r="B4054" i="16"/>
  <c r="A4054" i="16"/>
  <c r="T4053" i="16"/>
  <c r="O4053" i="16"/>
  <c r="L4053" i="16"/>
  <c r="H4053" i="16"/>
  <c r="F4053" i="16"/>
  <c r="D4053" i="16"/>
  <c r="C4053" i="16"/>
  <c r="B4053" i="16"/>
  <c r="A4053" i="16"/>
  <c r="D4052" i="16"/>
  <c r="C4052" i="16"/>
  <c r="B4052" i="16"/>
  <c r="A4052" i="16"/>
  <c r="D4051" i="16"/>
  <c r="C4051" i="16"/>
  <c r="B4051" i="16"/>
  <c r="A4051" i="16"/>
  <c r="O4050" i="16"/>
  <c r="M4050" i="16"/>
  <c r="L4050" i="16"/>
  <c r="K4050" i="16"/>
  <c r="G4050" i="16"/>
  <c r="D4050" i="16"/>
  <c r="C4050" i="16"/>
  <c r="B4050" i="16"/>
  <c r="A4050" i="16"/>
  <c r="M4049" i="16"/>
  <c r="L4049" i="16"/>
  <c r="H4049" i="16"/>
  <c r="F4049" i="16"/>
  <c r="D4049" i="16"/>
  <c r="C4049" i="16"/>
  <c r="B4049" i="16"/>
  <c r="A4049" i="16"/>
  <c r="D4048" i="16"/>
  <c r="C4048" i="16"/>
  <c r="B4048" i="16"/>
  <c r="A4048" i="16"/>
  <c r="J4047" i="16"/>
  <c r="D4047" i="16"/>
  <c r="C4047" i="16"/>
  <c r="B4047" i="16"/>
  <c r="A4047" i="16"/>
  <c r="D4046" i="16"/>
  <c r="C4046" i="16"/>
  <c r="B4046" i="16"/>
  <c r="A4046" i="16"/>
  <c r="L4045" i="16"/>
  <c r="I4045" i="16"/>
  <c r="G4045" i="16"/>
  <c r="F4045" i="16"/>
  <c r="D4045" i="16"/>
  <c r="C4045" i="16"/>
  <c r="B4045" i="16"/>
  <c r="A4045" i="16"/>
  <c r="L4044" i="16"/>
  <c r="K4044" i="16"/>
  <c r="J4044" i="16"/>
  <c r="I4044" i="16"/>
  <c r="D4044" i="16"/>
  <c r="C4044" i="16"/>
  <c r="B4044" i="16"/>
  <c r="A4044" i="16"/>
  <c r="P4043" i="16"/>
  <c r="K4043" i="16"/>
  <c r="J4043" i="16"/>
  <c r="I4043" i="16"/>
  <c r="D4043" i="16"/>
  <c r="C4043" i="16"/>
  <c r="B4043" i="16"/>
  <c r="A4043" i="16"/>
  <c r="D4042" i="16"/>
  <c r="C4042" i="16"/>
  <c r="B4042" i="16"/>
  <c r="A4042" i="16"/>
  <c r="D4041" i="16"/>
  <c r="C4041" i="16"/>
  <c r="B4041" i="16"/>
  <c r="A4041" i="16"/>
  <c r="M4040" i="16"/>
  <c r="D4040" i="16"/>
  <c r="C4040" i="16"/>
  <c r="B4040" i="16"/>
  <c r="A4040" i="16"/>
  <c r="H4039" i="16"/>
  <c r="D4039" i="16"/>
  <c r="C4039" i="16"/>
  <c r="B4039" i="16"/>
  <c r="A4039" i="16"/>
  <c r="P4038" i="16"/>
  <c r="G4038" i="16"/>
  <c r="D4038" i="16"/>
  <c r="C4038" i="16"/>
  <c r="B4038" i="16"/>
  <c r="A4038" i="16"/>
  <c r="D4037" i="16"/>
  <c r="C4037" i="16"/>
  <c r="B4037" i="16"/>
  <c r="A4037" i="16"/>
  <c r="D4036" i="16"/>
  <c r="C4036" i="16"/>
  <c r="B4036" i="16"/>
  <c r="A4036" i="16"/>
  <c r="M4035" i="16"/>
  <c r="K4035" i="16"/>
  <c r="D4035" i="16"/>
  <c r="C4035" i="16"/>
  <c r="B4035" i="16"/>
  <c r="A4035" i="16"/>
  <c r="T4034" i="16"/>
  <c r="P4034" i="16"/>
  <c r="O4034" i="16"/>
  <c r="M4034" i="16"/>
  <c r="H4034" i="16"/>
  <c r="G4034" i="16"/>
  <c r="F4034" i="16"/>
  <c r="E4034" i="16"/>
  <c r="D4034" i="16"/>
  <c r="C4034" i="16"/>
  <c r="B4034" i="16"/>
  <c r="A4034" i="16"/>
  <c r="T4033" i="16"/>
  <c r="P4033" i="16"/>
  <c r="O4033" i="16"/>
  <c r="N4033" i="16"/>
  <c r="L4033" i="16"/>
  <c r="H4033" i="16"/>
  <c r="G4033" i="16"/>
  <c r="F4033" i="16"/>
  <c r="E4033" i="16"/>
  <c r="D4033" i="16"/>
  <c r="C4033" i="16"/>
  <c r="B4033" i="16"/>
  <c r="A4033" i="16"/>
  <c r="K4033" i="16" s="1"/>
  <c r="D4032" i="16"/>
  <c r="C4032" i="16"/>
  <c r="B4032" i="16"/>
  <c r="A4032" i="16"/>
  <c r="O4031" i="16"/>
  <c r="L4031" i="16"/>
  <c r="K4031" i="16"/>
  <c r="D4031" i="16"/>
  <c r="C4031" i="16"/>
  <c r="B4031" i="16"/>
  <c r="A4031" i="16"/>
  <c r="N4031" i="16" s="1"/>
  <c r="D4030" i="16"/>
  <c r="C4030" i="16"/>
  <c r="B4030" i="16"/>
  <c r="A4030" i="16"/>
  <c r="N4029" i="16"/>
  <c r="J4029" i="16"/>
  <c r="I4029" i="16"/>
  <c r="E4029" i="16"/>
  <c r="D4029" i="16"/>
  <c r="C4029" i="16"/>
  <c r="B4029" i="16"/>
  <c r="A4029" i="16"/>
  <c r="K4029" i="16" s="1"/>
  <c r="M4028" i="16"/>
  <c r="I4028" i="16"/>
  <c r="D4028" i="16"/>
  <c r="C4028" i="16"/>
  <c r="B4028" i="16"/>
  <c r="A4028" i="16"/>
  <c r="P4027" i="16"/>
  <c r="L4027" i="16"/>
  <c r="G4027" i="16"/>
  <c r="E4027" i="16"/>
  <c r="D4027" i="16"/>
  <c r="C4027" i="16"/>
  <c r="B4027" i="16"/>
  <c r="A4027" i="16"/>
  <c r="P4026" i="16"/>
  <c r="L4026" i="16"/>
  <c r="H4026" i="16"/>
  <c r="G4026" i="16"/>
  <c r="F4026" i="16"/>
  <c r="D4026" i="16"/>
  <c r="C4026" i="16"/>
  <c r="B4026" i="16"/>
  <c r="A4026" i="16"/>
  <c r="I4026" i="16" s="1"/>
  <c r="L4025" i="16"/>
  <c r="J4025" i="16"/>
  <c r="I4025" i="16"/>
  <c r="H4025" i="16"/>
  <c r="D4025" i="16"/>
  <c r="C4025" i="16"/>
  <c r="B4025" i="16"/>
  <c r="A4025" i="16"/>
  <c r="P4024" i="16"/>
  <c r="I4024" i="16"/>
  <c r="H4024" i="16"/>
  <c r="D4024" i="16"/>
  <c r="C4024" i="16"/>
  <c r="B4024" i="16"/>
  <c r="A4024" i="16"/>
  <c r="T4024" i="16" s="1"/>
  <c r="D4023" i="16"/>
  <c r="C4023" i="16"/>
  <c r="B4023" i="16"/>
  <c r="A4023" i="16"/>
  <c r="D4022" i="16"/>
  <c r="C4022" i="16"/>
  <c r="B4022" i="16"/>
  <c r="A4022" i="16"/>
  <c r="T4021" i="16"/>
  <c r="P4021" i="16"/>
  <c r="N4021" i="16"/>
  <c r="L4021" i="16"/>
  <c r="I4021" i="16"/>
  <c r="H4021" i="16"/>
  <c r="F4021" i="16"/>
  <c r="E4021" i="16"/>
  <c r="D4021" i="16"/>
  <c r="C4021" i="16"/>
  <c r="B4021" i="16"/>
  <c r="A4021" i="16"/>
  <c r="M4021" i="16" s="1"/>
  <c r="O4020" i="16"/>
  <c r="D4020" i="16"/>
  <c r="C4020" i="16"/>
  <c r="B4020" i="16"/>
  <c r="A4020" i="16"/>
  <c r="D4019" i="16"/>
  <c r="C4019" i="16"/>
  <c r="B4019" i="16"/>
  <c r="A4019" i="16"/>
  <c r="D4018" i="16"/>
  <c r="C4018" i="16"/>
  <c r="B4018" i="16"/>
  <c r="A4018" i="16"/>
  <c r="L4017" i="16"/>
  <c r="D4017" i="16"/>
  <c r="C4017" i="16"/>
  <c r="B4017" i="16"/>
  <c r="A4017" i="16"/>
  <c r="O4016" i="16"/>
  <c r="I4016" i="16"/>
  <c r="E4016" i="16"/>
  <c r="D4016" i="16"/>
  <c r="C4016" i="16"/>
  <c r="B4016" i="16"/>
  <c r="A4016" i="16"/>
  <c r="D4015" i="16"/>
  <c r="C4015" i="16"/>
  <c r="B4015" i="16"/>
  <c r="A4015" i="16"/>
  <c r="D4014" i="16"/>
  <c r="C4014" i="16"/>
  <c r="B4014" i="16"/>
  <c r="A4014" i="16"/>
  <c r="D4013" i="16"/>
  <c r="C4013" i="16"/>
  <c r="B4013" i="16"/>
  <c r="A4013" i="16"/>
  <c r="O4012" i="16"/>
  <c r="N4012" i="16"/>
  <c r="G4012" i="16"/>
  <c r="F4012" i="16"/>
  <c r="D4012" i="16"/>
  <c r="C4012" i="16"/>
  <c r="B4012" i="16"/>
  <c r="A4012" i="16"/>
  <c r="P4011" i="16"/>
  <c r="O4011" i="16"/>
  <c r="L4011" i="16"/>
  <c r="J4011" i="16"/>
  <c r="H4011" i="16"/>
  <c r="E4011" i="16"/>
  <c r="D4011" i="16"/>
  <c r="C4011" i="16"/>
  <c r="B4011" i="16"/>
  <c r="A4011" i="16"/>
  <c r="M4010" i="16"/>
  <c r="I4010" i="16"/>
  <c r="H4010" i="16"/>
  <c r="D4010" i="16"/>
  <c r="C4010" i="16"/>
  <c r="B4010" i="16"/>
  <c r="A4010" i="16"/>
  <c r="N4010" i="16" s="1"/>
  <c r="I4009" i="16"/>
  <c r="H4009" i="16"/>
  <c r="G4009" i="16"/>
  <c r="F4009" i="16"/>
  <c r="D4009" i="16"/>
  <c r="C4009" i="16"/>
  <c r="B4009" i="16"/>
  <c r="A4009" i="16"/>
  <c r="P4008" i="16"/>
  <c r="G4008" i="16"/>
  <c r="E4008" i="16"/>
  <c r="D4008" i="16"/>
  <c r="C4008" i="16"/>
  <c r="B4008" i="16"/>
  <c r="A4008" i="16"/>
  <c r="T4008" i="16" s="1"/>
  <c r="I4007" i="16"/>
  <c r="H4007" i="16"/>
  <c r="G4007" i="16"/>
  <c r="F4007" i="16"/>
  <c r="D4007" i="16"/>
  <c r="C4007" i="16"/>
  <c r="B4007" i="16"/>
  <c r="A4007" i="16"/>
  <c r="T4006" i="16"/>
  <c r="P4006" i="16"/>
  <c r="O4006" i="16"/>
  <c r="M4006" i="16"/>
  <c r="K4006" i="16"/>
  <c r="G4006" i="16"/>
  <c r="E4006" i="16"/>
  <c r="D4006" i="16"/>
  <c r="C4006" i="16"/>
  <c r="B4006" i="16"/>
  <c r="A4006" i="16"/>
  <c r="I4006" i="16" s="1"/>
  <c r="P4005" i="16"/>
  <c r="D4005" i="16"/>
  <c r="C4005" i="16"/>
  <c r="B4005" i="16"/>
  <c r="A4005" i="16"/>
  <c r="K4004" i="16"/>
  <c r="D4004" i="16"/>
  <c r="C4004" i="16"/>
  <c r="B4004" i="16"/>
  <c r="A4004" i="16"/>
  <c r="O4003" i="16"/>
  <c r="N4003" i="16"/>
  <c r="M4003" i="16"/>
  <c r="L4003" i="16"/>
  <c r="K4003" i="16"/>
  <c r="H4003" i="16"/>
  <c r="F4003" i="16"/>
  <c r="E4003" i="16"/>
  <c r="D4003" i="16"/>
  <c r="C4003" i="16"/>
  <c r="B4003" i="16"/>
  <c r="A4003" i="16"/>
  <c r="T4003" i="16" s="1"/>
  <c r="P4002" i="16"/>
  <c r="L4002" i="16"/>
  <c r="G4002" i="16"/>
  <c r="D4002" i="16"/>
  <c r="C4002" i="16"/>
  <c r="B4002" i="16"/>
  <c r="A4002" i="16"/>
  <c r="M4002" i="16" s="1"/>
  <c r="I4001" i="16"/>
  <c r="D4001" i="16"/>
  <c r="C4001" i="16"/>
  <c r="B4001" i="16"/>
  <c r="A4001" i="16"/>
  <c r="D4000" i="16"/>
  <c r="C4000" i="16"/>
  <c r="B4000" i="16"/>
  <c r="A4000" i="16"/>
  <c r="D3999" i="16"/>
  <c r="C3999" i="16"/>
  <c r="B3999" i="16"/>
  <c r="A3999" i="16"/>
  <c r="O3998" i="16"/>
  <c r="K3998" i="16"/>
  <c r="G3998" i="16"/>
  <c r="E3998" i="16"/>
  <c r="D3998" i="16"/>
  <c r="C3998" i="16"/>
  <c r="B3998" i="16"/>
  <c r="A3998" i="16"/>
  <c r="J3997" i="16"/>
  <c r="I3997" i="16"/>
  <c r="H3997" i="16"/>
  <c r="D3997" i="16"/>
  <c r="C3997" i="16"/>
  <c r="B3997" i="16"/>
  <c r="A3997" i="16"/>
  <c r="M3997" i="16" s="1"/>
  <c r="T3996" i="16"/>
  <c r="O3996" i="16"/>
  <c r="N3996" i="16"/>
  <c r="M3996" i="16"/>
  <c r="L3996" i="16"/>
  <c r="I3996" i="16"/>
  <c r="F3996" i="16"/>
  <c r="E3996" i="16"/>
  <c r="D3996" i="16"/>
  <c r="C3996" i="16"/>
  <c r="B3996" i="16"/>
  <c r="A3996" i="16"/>
  <c r="K3996" i="16" s="1"/>
  <c r="P3995" i="16"/>
  <c r="N3995" i="16"/>
  <c r="M3995" i="16"/>
  <c r="D3995" i="16"/>
  <c r="C3995" i="16"/>
  <c r="B3995" i="16"/>
  <c r="A3995" i="16"/>
  <c r="L3994" i="16"/>
  <c r="K3994" i="16"/>
  <c r="G3994" i="16"/>
  <c r="F3994" i="16"/>
  <c r="D3994" i="16"/>
  <c r="C3994" i="16"/>
  <c r="B3994" i="16"/>
  <c r="A3994" i="16"/>
  <c r="P3993" i="16"/>
  <c r="L3993" i="16"/>
  <c r="G3993" i="16"/>
  <c r="F3993" i="16"/>
  <c r="D3993" i="16"/>
  <c r="C3993" i="16"/>
  <c r="B3993" i="16"/>
  <c r="A3993" i="16"/>
  <c r="N3993" i="16" s="1"/>
  <c r="N3992" i="16"/>
  <c r="M3992" i="16"/>
  <c r="F3992" i="16"/>
  <c r="D3992" i="16"/>
  <c r="C3992" i="16"/>
  <c r="B3992" i="16"/>
  <c r="A3992" i="16"/>
  <c r="O3992" i="16" s="1"/>
  <c r="D3991" i="16"/>
  <c r="C3991" i="16"/>
  <c r="B3991" i="16"/>
  <c r="A3991" i="16"/>
  <c r="D3990" i="16"/>
  <c r="C3990" i="16"/>
  <c r="B3990" i="16"/>
  <c r="A3990" i="16"/>
  <c r="D3989" i="16"/>
  <c r="C3989" i="16"/>
  <c r="B3989" i="16"/>
  <c r="A3989" i="16"/>
  <c r="D3988" i="16"/>
  <c r="C3988" i="16"/>
  <c r="B3988" i="16"/>
  <c r="A3988" i="16"/>
  <c r="T3988" i="16" s="1"/>
  <c r="D3987" i="16"/>
  <c r="C3987" i="16"/>
  <c r="B3987" i="16"/>
  <c r="A3987" i="16"/>
  <c r="F3986" i="16"/>
  <c r="D3986" i="16"/>
  <c r="C3986" i="16"/>
  <c r="B3986" i="16"/>
  <c r="A3986" i="16"/>
  <c r="T3985" i="16"/>
  <c r="P3985" i="16"/>
  <c r="O3985" i="16"/>
  <c r="N3985" i="16"/>
  <c r="H3985" i="16"/>
  <c r="G3985" i="16"/>
  <c r="F3985" i="16"/>
  <c r="E3985" i="16"/>
  <c r="D3985" i="16"/>
  <c r="C3985" i="16"/>
  <c r="B3985" i="16"/>
  <c r="A3985" i="16"/>
  <c r="J3985" i="16" s="1"/>
  <c r="O3984" i="16"/>
  <c r="N3984" i="16"/>
  <c r="J3984" i="16"/>
  <c r="D3984" i="16"/>
  <c r="C3984" i="16"/>
  <c r="B3984" i="16"/>
  <c r="A3984" i="16"/>
  <c r="P3984" i="16" s="1"/>
  <c r="J3983" i="16"/>
  <c r="H3983" i="16"/>
  <c r="D3983" i="16"/>
  <c r="C3983" i="16"/>
  <c r="B3983" i="16"/>
  <c r="A3983" i="16"/>
  <c r="T3982" i="16"/>
  <c r="M3982" i="16"/>
  <c r="K3982" i="16"/>
  <c r="G3982" i="16"/>
  <c r="E3982" i="16"/>
  <c r="D3982" i="16"/>
  <c r="C3982" i="16"/>
  <c r="B3982" i="16"/>
  <c r="A3982" i="16"/>
  <c r="T3981" i="16"/>
  <c r="P3981" i="16"/>
  <c r="N3981" i="16"/>
  <c r="M3981" i="16"/>
  <c r="K3981" i="16"/>
  <c r="F3981" i="16"/>
  <c r="E3981" i="16"/>
  <c r="D3981" i="16"/>
  <c r="C3981" i="16"/>
  <c r="B3981" i="16"/>
  <c r="A3981" i="16"/>
  <c r="I3981" i="16" s="1"/>
  <c r="M3980" i="16"/>
  <c r="D3980" i="16"/>
  <c r="C3980" i="16"/>
  <c r="B3980" i="16"/>
  <c r="A3980" i="16"/>
  <c r="M3979" i="16"/>
  <c r="K3979" i="16"/>
  <c r="D3979" i="16"/>
  <c r="C3979" i="16"/>
  <c r="B3979" i="16"/>
  <c r="A3979" i="16"/>
  <c r="T3978" i="16"/>
  <c r="D3978" i="16"/>
  <c r="C3978" i="16"/>
  <c r="B3978" i="16"/>
  <c r="A3978" i="16"/>
  <c r="L3977" i="16"/>
  <c r="J3977" i="16"/>
  <c r="D3977" i="16"/>
  <c r="C3977" i="16"/>
  <c r="B3977" i="16"/>
  <c r="A3977" i="16"/>
  <c r="D3976" i="16"/>
  <c r="C3976" i="16"/>
  <c r="B3976" i="16"/>
  <c r="A3976" i="16"/>
  <c r="D3975" i="16"/>
  <c r="C3975" i="16"/>
  <c r="B3975" i="16"/>
  <c r="A3975" i="16"/>
  <c r="L3974" i="16"/>
  <c r="K3974" i="16"/>
  <c r="D3974" i="16"/>
  <c r="C3974" i="16"/>
  <c r="B3974" i="16"/>
  <c r="A3974" i="16"/>
  <c r="I3973" i="16"/>
  <c r="H3973" i="16"/>
  <c r="F3973" i="16"/>
  <c r="D3973" i="16"/>
  <c r="C3973" i="16"/>
  <c r="B3973" i="16"/>
  <c r="A3973" i="16"/>
  <c r="E3973" i="16" s="1"/>
  <c r="T3972" i="16"/>
  <c r="O3972" i="16"/>
  <c r="N3972" i="16"/>
  <c r="F3972" i="16"/>
  <c r="D3972" i="16"/>
  <c r="C3972" i="16"/>
  <c r="B3972" i="16"/>
  <c r="A3972" i="16"/>
  <c r="L3971" i="16"/>
  <c r="K3971" i="16"/>
  <c r="J3971" i="16"/>
  <c r="D3971" i="16"/>
  <c r="C3971" i="16"/>
  <c r="B3971" i="16"/>
  <c r="A3971" i="16"/>
  <c r="T3970" i="16"/>
  <c r="P3970" i="16"/>
  <c r="N3970" i="16"/>
  <c r="K3970" i="16"/>
  <c r="H3970" i="16"/>
  <c r="G3970" i="16"/>
  <c r="F3970" i="16"/>
  <c r="D3970" i="16"/>
  <c r="C3970" i="16"/>
  <c r="B3970" i="16"/>
  <c r="A3970" i="16"/>
  <c r="D3969" i="16"/>
  <c r="C3969" i="16"/>
  <c r="B3969" i="16"/>
  <c r="A3969" i="16"/>
  <c r="T3968" i="16"/>
  <c r="P3968" i="16"/>
  <c r="O3968" i="16"/>
  <c r="N3968" i="16"/>
  <c r="K3968" i="16"/>
  <c r="H3968" i="16"/>
  <c r="G3968" i="16"/>
  <c r="F3968" i="16"/>
  <c r="E3968" i="16"/>
  <c r="D3968" i="16"/>
  <c r="C3968" i="16"/>
  <c r="B3968" i="16"/>
  <c r="A3968" i="16"/>
  <c r="L3968" i="16" s="1"/>
  <c r="T3967" i="16"/>
  <c r="P3967" i="16"/>
  <c r="O3967" i="16"/>
  <c r="D3967" i="16"/>
  <c r="C3967" i="16"/>
  <c r="B3967" i="16"/>
  <c r="A3967" i="16"/>
  <c r="D3966" i="16"/>
  <c r="C3966" i="16"/>
  <c r="B3966" i="16"/>
  <c r="A3966" i="16"/>
  <c r="N3965" i="16"/>
  <c r="M3965" i="16"/>
  <c r="I3965" i="16"/>
  <c r="E3965" i="16"/>
  <c r="D3965" i="16"/>
  <c r="C3965" i="16"/>
  <c r="B3965" i="16"/>
  <c r="A3965" i="16"/>
  <c r="K3965" i="16" s="1"/>
  <c r="D3964" i="16"/>
  <c r="C3964" i="16"/>
  <c r="B3964" i="16"/>
  <c r="A3964" i="16"/>
  <c r="O3963" i="16"/>
  <c r="M3963" i="16"/>
  <c r="K3963" i="16"/>
  <c r="J3963" i="16"/>
  <c r="H3963" i="16"/>
  <c r="F3963" i="16"/>
  <c r="D3963" i="16"/>
  <c r="C3963" i="16"/>
  <c r="B3963" i="16"/>
  <c r="A3963" i="16"/>
  <c r="D3962" i="16"/>
  <c r="C3962" i="16"/>
  <c r="B3962" i="16"/>
  <c r="A3962" i="16"/>
  <c r="J3961" i="16"/>
  <c r="D3961" i="16"/>
  <c r="C3961" i="16"/>
  <c r="B3961" i="16"/>
  <c r="A3961" i="16"/>
  <c r="T3960" i="16"/>
  <c r="O3960" i="16"/>
  <c r="G3960" i="16"/>
  <c r="F3960" i="16"/>
  <c r="D3960" i="16"/>
  <c r="C3960" i="16"/>
  <c r="B3960" i="16"/>
  <c r="A3960" i="16"/>
  <c r="I3960" i="16" s="1"/>
  <c r="P3959" i="16"/>
  <c r="D3959" i="16"/>
  <c r="C3959" i="16"/>
  <c r="B3959" i="16"/>
  <c r="A3959" i="16"/>
  <c r="D3958" i="16"/>
  <c r="C3958" i="16"/>
  <c r="B3958" i="16"/>
  <c r="A3958" i="16"/>
  <c r="P3957" i="16"/>
  <c r="N3957" i="16"/>
  <c r="L3957" i="16"/>
  <c r="K3957" i="16"/>
  <c r="H3957" i="16"/>
  <c r="E3957" i="16"/>
  <c r="D3957" i="16"/>
  <c r="C3957" i="16"/>
  <c r="B3957" i="16"/>
  <c r="A3957" i="16"/>
  <c r="L3956" i="16"/>
  <c r="K3956" i="16"/>
  <c r="D3956" i="16"/>
  <c r="C3956" i="16"/>
  <c r="B3956" i="16"/>
  <c r="A3956" i="16"/>
  <c r="M3956" i="16" s="1"/>
  <c r="P3955" i="16"/>
  <c r="O3955" i="16"/>
  <c r="J3955" i="16"/>
  <c r="F3955" i="16"/>
  <c r="E3955" i="16"/>
  <c r="D3955" i="16"/>
  <c r="C3955" i="16"/>
  <c r="B3955" i="16"/>
  <c r="A3955" i="16"/>
  <c r="L3955" i="16" s="1"/>
  <c r="D3954" i="16"/>
  <c r="C3954" i="16"/>
  <c r="B3954" i="16"/>
  <c r="A3954" i="16"/>
  <c r="I3953" i="16"/>
  <c r="D3953" i="16"/>
  <c r="C3953" i="16"/>
  <c r="B3953" i="16"/>
  <c r="A3953" i="16"/>
  <c r="O3952" i="16"/>
  <c r="F3952" i="16"/>
  <c r="D3952" i="16"/>
  <c r="C3952" i="16"/>
  <c r="B3952" i="16"/>
  <c r="A3952" i="16"/>
  <c r="D3951" i="16"/>
  <c r="C3951" i="16"/>
  <c r="B3951" i="16"/>
  <c r="A3951" i="16"/>
  <c r="T3950" i="16"/>
  <c r="D3950" i="16"/>
  <c r="C3950" i="16"/>
  <c r="B3950" i="16"/>
  <c r="A3950" i="16"/>
  <c r="K3949" i="16"/>
  <c r="J3949" i="16"/>
  <c r="I3949" i="16"/>
  <c r="D3949" i="16"/>
  <c r="C3949" i="16"/>
  <c r="B3949" i="16"/>
  <c r="A3949" i="16"/>
  <c r="T3948" i="16"/>
  <c r="O3948" i="16"/>
  <c r="N3948" i="16"/>
  <c r="K3948" i="16"/>
  <c r="D3948" i="16"/>
  <c r="C3948" i="16"/>
  <c r="B3948" i="16"/>
  <c r="A3948" i="16"/>
  <c r="P3947" i="16"/>
  <c r="O3947" i="16"/>
  <c r="N3947" i="16"/>
  <c r="H3947" i="16"/>
  <c r="G3947" i="16"/>
  <c r="F3947" i="16"/>
  <c r="E3947" i="16"/>
  <c r="D3947" i="16"/>
  <c r="C3947" i="16"/>
  <c r="B3947" i="16"/>
  <c r="A3947" i="16"/>
  <c r="N3946" i="16"/>
  <c r="H3946" i="16"/>
  <c r="G3946" i="16"/>
  <c r="D3946" i="16"/>
  <c r="C3946" i="16"/>
  <c r="B3946" i="16"/>
  <c r="A3946" i="16"/>
  <c r="F3945" i="16"/>
  <c r="E3945" i="16"/>
  <c r="D3945" i="16"/>
  <c r="C3945" i="16"/>
  <c r="B3945" i="16"/>
  <c r="A3945" i="16"/>
  <c r="O3944" i="16"/>
  <c r="N3944" i="16"/>
  <c r="G3944" i="16"/>
  <c r="F3944" i="16"/>
  <c r="D3944" i="16"/>
  <c r="C3944" i="16"/>
  <c r="B3944" i="16"/>
  <c r="A3944" i="16"/>
  <c r="T3943" i="16"/>
  <c r="P3943" i="16"/>
  <c r="O3943" i="16"/>
  <c r="L3943" i="16"/>
  <c r="I3943" i="16"/>
  <c r="H3943" i="16"/>
  <c r="G3943" i="16"/>
  <c r="F3943" i="16"/>
  <c r="D3943" i="16"/>
  <c r="C3943" i="16"/>
  <c r="B3943" i="16"/>
  <c r="A3943" i="16"/>
  <c r="N3943" i="16" s="1"/>
  <c r="O3942" i="16"/>
  <c r="H3942" i="16"/>
  <c r="E3942" i="16"/>
  <c r="D3942" i="16"/>
  <c r="C3942" i="16"/>
  <c r="B3942" i="16"/>
  <c r="A3942" i="16"/>
  <c r="P3942" i="16" s="1"/>
  <c r="N3941" i="16"/>
  <c r="F3941" i="16"/>
  <c r="E3941" i="16"/>
  <c r="D3941" i="16"/>
  <c r="C3941" i="16"/>
  <c r="B3941" i="16"/>
  <c r="A3941" i="16"/>
  <c r="K3941" i="16" s="1"/>
  <c r="D3940" i="16"/>
  <c r="C3940" i="16"/>
  <c r="B3940" i="16"/>
  <c r="A3940" i="16"/>
  <c r="D3939" i="16"/>
  <c r="C3939" i="16"/>
  <c r="B3939" i="16"/>
  <c r="A3939" i="16"/>
  <c r="K3938" i="16"/>
  <c r="I3938" i="16"/>
  <c r="D3938" i="16"/>
  <c r="C3938" i="16"/>
  <c r="B3938" i="16"/>
  <c r="A3938" i="16"/>
  <c r="K3937" i="16"/>
  <c r="J3937" i="16"/>
  <c r="G3937" i="16"/>
  <c r="F3937" i="16"/>
  <c r="D3937" i="16"/>
  <c r="C3937" i="16"/>
  <c r="B3937" i="16"/>
  <c r="A3937" i="16"/>
  <c r="P3936" i="16"/>
  <c r="O3936" i="16"/>
  <c r="N3936" i="16"/>
  <c r="D3936" i="16"/>
  <c r="C3936" i="16"/>
  <c r="B3936" i="16"/>
  <c r="A3936" i="16"/>
  <c r="L3935" i="16"/>
  <c r="I3935" i="16"/>
  <c r="E3935" i="16"/>
  <c r="D3935" i="16"/>
  <c r="C3935" i="16"/>
  <c r="B3935" i="16"/>
  <c r="A3935" i="16"/>
  <c r="M3935" i="16" s="1"/>
  <c r="M3934" i="16"/>
  <c r="J3934" i="16"/>
  <c r="I3934" i="16"/>
  <c r="H3934" i="16"/>
  <c r="D3934" i="16"/>
  <c r="C3934" i="16"/>
  <c r="B3934" i="16"/>
  <c r="A3934" i="16"/>
  <c r="T3933" i="16"/>
  <c r="K3933" i="16"/>
  <c r="J3933" i="16"/>
  <c r="I3933" i="16"/>
  <c r="D3933" i="16"/>
  <c r="C3933" i="16"/>
  <c r="B3933" i="16"/>
  <c r="A3933" i="16"/>
  <c r="D3932" i="16"/>
  <c r="C3932" i="16"/>
  <c r="B3932" i="16"/>
  <c r="A3932" i="16"/>
  <c r="J3931" i="16"/>
  <c r="D3931" i="16"/>
  <c r="C3931" i="16"/>
  <c r="B3931" i="16"/>
  <c r="A3931" i="16"/>
  <c r="D3930" i="16"/>
  <c r="C3930" i="16"/>
  <c r="B3930" i="16"/>
  <c r="A3930" i="16"/>
  <c r="O3929" i="16"/>
  <c r="N3929" i="16"/>
  <c r="M3929" i="16"/>
  <c r="L3929" i="16"/>
  <c r="J3929" i="16"/>
  <c r="F3929" i="16"/>
  <c r="E3929" i="16"/>
  <c r="D3929" i="16"/>
  <c r="C3929" i="16"/>
  <c r="B3929" i="16"/>
  <c r="A3929" i="16"/>
  <c r="T3929" i="16" s="1"/>
  <c r="L3928" i="16"/>
  <c r="K3928" i="16"/>
  <c r="J3928" i="16"/>
  <c r="D3928" i="16"/>
  <c r="C3928" i="16"/>
  <c r="B3928" i="16"/>
  <c r="A3928" i="16"/>
  <c r="M3928" i="16" s="1"/>
  <c r="D3927" i="16"/>
  <c r="C3927" i="16"/>
  <c r="B3927" i="16"/>
  <c r="A3927" i="16"/>
  <c r="J3926" i="16"/>
  <c r="I3926" i="16"/>
  <c r="H3926" i="16"/>
  <c r="G3926" i="16"/>
  <c r="D3926" i="16"/>
  <c r="C3926" i="16"/>
  <c r="B3926" i="16"/>
  <c r="A3926" i="16"/>
  <c r="T3925" i="16"/>
  <c r="I3925" i="16"/>
  <c r="H3925" i="16"/>
  <c r="G3925" i="16"/>
  <c r="D3925" i="16"/>
  <c r="C3925" i="16"/>
  <c r="B3925" i="16"/>
  <c r="A3925" i="16"/>
  <c r="J3925" i="16" s="1"/>
  <c r="T3924" i="16"/>
  <c r="D3924" i="16"/>
  <c r="C3924" i="16"/>
  <c r="B3924" i="16"/>
  <c r="A3924" i="16"/>
  <c r="M3923" i="16"/>
  <c r="J3923" i="16"/>
  <c r="D3923" i="16"/>
  <c r="C3923" i="16"/>
  <c r="B3923" i="16"/>
  <c r="A3923" i="16"/>
  <c r="I3923" i="16" s="1"/>
  <c r="T3922" i="16"/>
  <c r="N3922" i="16"/>
  <c r="J3922" i="16"/>
  <c r="F3922" i="16"/>
  <c r="D3922" i="16"/>
  <c r="C3922" i="16"/>
  <c r="B3922" i="16"/>
  <c r="A3922" i="16"/>
  <c r="M3921" i="16"/>
  <c r="K3921" i="16"/>
  <c r="F3921" i="16"/>
  <c r="E3921" i="16"/>
  <c r="D3921" i="16"/>
  <c r="C3921" i="16"/>
  <c r="B3921" i="16"/>
  <c r="A3921" i="16"/>
  <c r="P3920" i="16"/>
  <c r="O3920" i="16"/>
  <c r="N3920" i="16"/>
  <c r="M3920" i="16"/>
  <c r="K3920" i="16"/>
  <c r="H3920" i="16"/>
  <c r="G3920" i="16"/>
  <c r="F3920" i="16"/>
  <c r="E3920" i="16"/>
  <c r="D3920" i="16"/>
  <c r="C3920" i="16"/>
  <c r="B3920" i="16"/>
  <c r="A3920" i="16"/>
  <c r="T3920" i="16" s="1"/>
  <c r="D3919" i="16"/>
  <c r="C3919" i="16"/>
  <c r="B3919" i="16"/>
  <c r="A3919" i="16"/>
  <c r="F3918" i="16"/>
  <c r="D3918" i="16"/>
  <c r="C3918" i="16"/>
  <c r="B3918" i="16"/>
  <c r="A3918" i="16"/>
  <c r="T3917" i="16"/>
  <c r="P3917" i="16"/>
  <c r="I3917" i="16"/>
  <c r="G3917" i="16"/>
  <c r="F3917" i="16"/>
  <c r="D3917" i="16"/>
  <c r="C3917" i="16"/>
  <c r="B3917" i="16"/>
  <c r="A3917" i="16"/>
  <c r="O3917" i="16" s="1"/>
  <c r="T3916" i="16"/>
  <c r="K3916" i="16"/>
  <c r="G3916" i="16"/>
  <c r="D3916" i="16"/>
  <c r="C3916" i="16"/>
  <c r="B3916" i="16"/>
  <c r="A3916" i="16"/>
  <c r="P3916" i="16" s="1"/>
  <c r="J3915" i="16"/>
  <c r="H3915" i="16"/>
  <c r="D3915" i="16"/>
  <c r="C3915" i="16"/>
  <c r="B3915" i="16"/>
  <c r="A3915" i="16"/>
  <c r="I3914" i="16"/>
  <c r="F3914" i="16"/>
  <c r="E3914" i="16"/>
  <c r="D3914" i="16"/>
  <c r="C3914" i="16"/>
  <c r="B3914" i="16"/>
  <c r="A3914" i="16"/>
  <c r="N3914" i="16" s="1"/>
  <c r="M3913" i="16"/>
  <c r="L3913" i="16"/>
  <c r="D3913" i="16"/>
  <c r="C3913" i="16"/>
  <c r="B3913" i="16"/>
  <c r="A3913" i="16"/>
  <c r="P3912" i="16"/>
  <c r="N3912" i="16"/>
  <c r="D3912" i="16"/>
  <c r="C3912" i="16"/>
  <c r="B3912" i="16"/>
  <c r="A3912" i="16"/>
  <c r="T3911" i="16"/>
  <c r="D3911" i="16"/>
  <c r="C3911" i="16"/>
  <c r="B3911" i="16"/>
  <c r="A3911" i="16"/>
  <c r="D3910" i="16"/>
  <c r="C3910" i="16"/>
  <c r="B3910" i="16"/>
  <c r="A3910" i="16"/>
  <c r="P3909" i="16"/>
  <c r="O3909" i="16"/>
  <c r="H3909" i="16"/>
  <c r="F3909" i="16"/>
  <c r="D3909" i="16"/>
  <c r="C3909" i="16"/>
  <c r="B3909" i="16"/>
  <c r="A3909" i="16"/>
  <c r="L3908" i="16"/>
  <c r="J3908" i="16"/>
  <c r="D3908" i="16"/>
  <c r="C3908" i="16"/>
  <c r="B3908" i="16"/>
  <c r="A3908" i="16"/>
  <c r="J3907" i="16"/>
  <c r="H3907" i="16"/>
  <c r="E3907" i="16"/>
  <c r="D3907" i="16"/>
  <c r="C3907" i="16"/>
  <c r="B3907" i="16"/>
  <c r="A3907" i="16"/>
  <c r="T3907" i="16" s="1"/>
  <c r="T3906" i="16"/>
  <c r="M3906" i="16"/>
  <c r="L3906" i="16"/>
  <c r="F3906" i="16"/>
  <c r="E3906" i="16"/>
  <c r="D3906" i="16"/>
  <c r="C3906" i="16"/>
  <c r="B3906" i="16"/>
  <c r="A3906" i="16"/>
  <c r="J3906" i="16" s="1"/>
  <c r="O3905" i="16"/>
  <c r="M3905" i="16"/>
  <c r="L3905" i="16"/>
  <c r="K3905" i="16"/>
  <c r="G3905" i="16"/>
  <c r="D3905" i="16"/>
  <c r="C3905" i="16"/>
  <c r="B3905" i="16"/>
  <c r="A3905" i="16"/>
  <c r="D3904" i="16"/>
  <c r="C3904" i="16"/>
  <c r="B3904" i="16"/>
  <c r="A3904" i="16"/>
  <c r="G3903" i="16"/>
  <c r="D3903" i="16"/>
  <c r="C3903" i="16"/>
  <c r="B3903" i="16"/>
  <c r="A3903" i="16"/>
  <c r="P3902" i="16"/>
  <c r="G3902" i="16"/>
  <c r="F3902" i="16"/>
  <c r="E3902" i="16"/>
  <c r="D3902" i="16"/>
  <c r="C3902" i="16"/>
  <c r="B3902" i="16"/>
  <c r="A3902" i="16"/>
  <c r="H3902" i="16" s="1"/>
  <c r="N3901" i="16"/>
  <c r="H3901" i="16"/>
  <c r="F3901" i="16"/>
  <c r="D3901" i="16"/>
  <c r="C3901" i="16"/>
  <c r="B3901" i="16"/>
  <c r="A3901" i="16"/>
  <c r="O3901" i="16" s="1"/>
  <c r="D3900" i="16"/>
  <c r="C3900" i="16"/>
  <c r="B3900" i="16"/>
  <c r="A3900" i="16"/>
  <c r="T3899" i="16"/>
  <c r="J3899" i="16"/>
  <c r="H3899" i="16"/>
  <c r="E3899" i="16"/>
  <c r="D3899" i="16"/>
  <c r="C3899" i="16"/>
  <c r="B3899" i="16"/>
  <c r="A3899" i="16"/>
  <c r="P3899" i="16" s="1"/>
  <c r="M3898" i="16"/>
  <c r="K3898" i="16"/>
  <c r="E3898" i="16"/>
  <c r="D3898" i="16"/>
  <c r="C3898" i="16"/>
  <c r="B3898" i="16"/>
  <c r="A3898" i="16"/>
  <c r="L3898" i="16" s="1"/>
  <c r="O3897" i="16"/>
  <c r="M3897" i="16"/>
  <c r="K3897" i="16"/>
  <c r="J3897" i="16"/>
  <c r="G3897" i="16"/>
  <c r="E3897" i="16"/>
  <c r="D3897" i="16"/>
  <c r="C3897" i="16"/>
  <c r="B3897" i="16"/>
  <c r="A3897" i="16"/>
  <c r="P3896" i="16"/>
  <c r="K3896" i="16"/>
  <c r="J3896" i="16"/>
  <c r="H3896" i="16"/>
  <c r="D3896" i="16"/>
  <c r="C3896" i="16"/>
  <c r="B3896" i="16"/>
  <c r="A3896" i="16"/>
  <c r="M3896" i="16" s="1"/>
  <c r="T3895" i="16"/>
  <c r="P3895" i="16"/>
  <c r="G3895" i="16"/>
  <c r="F3895" i="16"/>
  <c r="E3895" i="16"/>
  <c r="D3895" i="16"/>
  <c r="C3895" i="16"/>
  <c r="B3895" i="16"/>
  <c r="A3895" i="16"/>
  <c r="L3895" i="16" s="1"/>
  <c r="M3894" i="16"/>
  <c r="G3894" i="16"/>
  <c r="E3894" i="16"/>
  <c r="D3894" i="16"/>
  <c r="C3894" i="16"/>
  <c r="B3894" i="16"/>
  <c r="A3894" i="16"/>
  <c r="N3894" i="16" s="1"/>
  <c r="P3893" i="16"/>
  <c r="N3893" i="16"/>
  <c r="J3893" i="16"/>
  <c r="D3893" i="16"/>
  <c r="C3893" i="16"/>
  <c r="B3893" i="16"/>
  <c r="A3893" i="16"/>
  <c r="D3892" i="16"/>
  <c r="C3892" i="16"/>
  <c r="B3892" i="16"/>
  <c r="A3892" i="16"/>
  <c r="D3891" i="16"/>
  <c r="C3891" i="16"/>
  <c r="B3891" i="16"/>
  <c r="A3891" i="16"/>
  <c r="D3890" i="16"/>
  <c r="C3890" i="16"/>
  <c r="B3890" i="16"/>
  <c r="A3890" i="16"/>
  <c r="O3889" i="16"/>
  <c r="D3889" i="16"/>
  <c r="C3889" i="16"/>
  <c r="B3889" i="16"/>
  <c r="A3889" i="16"/>
  <c r="P3888" i="16"/>
  <c r="O3888" i="16"/>
  <c r="N3888" i="16"/>
  <c r="M3888" i="16"/>
  <c r="K3888" i="16"/>
  <c r="H3888" i="16"/>
  <c r="G3888" i="16"/>
  <c r="F3888" i="16"/>
  <c r="E3888" i="16"/>
  <c r="D3888" i="16"/>
  <c r="C3888" i="16"/>
  <c r="B3888" i="16"/>
  <c r="A3888" i="16"/>
  <c r="T3888" i="16" s="1"/>
  <c r="O3887" i="16"/>
  <c r="F3887" i="16"/>
  <c r="D3887" i="16"/>
  <c r="C3887" i="16"/>
  <c r="B3887" i="16"/>
  <c r="A3887" i="16"/>
  <c r="D3886" i="16"/>
  <c r="C3886" i="16"/>
  <c r="B3886" i="16"/>
  <c r="A3886" i="16"/>
  <c r="D3885" i="16"/>
  <c r="C3885" i="16"/>
  <c r="B3885" i="16"/>
  <c r="A3885" i="16"/>
  <c r="I3884" i="16"/>
  <c r="D3884" i="16"/>
  <c r="C3884" i="16"/>
  <c r="B3884" i="16"/>
  <c r="A3884" i="16"/>
  <c r="D3883" i="16"/>
  <c r="C3883" i="16"/>
  <c r="B3883" i="16"/>
  <c r="A3883" i="16"/>
  <c r="M3882" i="16"/>
  <c r="L3882" i="16"/>
  <c r="I3882" i="16"/>
  <c r="D3882" i="16"/>
  <c r="C3882" i="16"/>
  <c r="B3882" i="16"/>
  <c r="A3882" i="16"/>
  <c r="O3881" i="16"/>
  <c r="N3881" i="16"/>
  <c r="K3881" i="16"/>
  <c r="G3881" i="16"/>
  <c r="E3881" i="16"/>
  <c r="D3881" i="16"/>
  <c r="C3881" i="16"/>
  <c r="B3881" i="16"/>
  <c r="A3881" i="16"/>
  <c r="L3881" i="16" s="1"/>
  <c r="M3880" i="16"/>
  <c r="K3880" i="16"/>
  <c r="J3880" i="16"/>
  <c r="H3880" i="16"/>
  <c r="F3880" i="16"/>
  <c r="D3880" i="16"/>
  <c r="C3880" i="16"/>
  <c r="B3880" i="16"/>
  <c r="A3880" i="16"/>
  <c r="P3879" i="16"/>
  <c r="N3879" i="16"/>
  <c r="L3879" i="16"/>
  <c r="F3879" i="16"/>
  <c r="D3879" i="16"/>
  <c r="C3879" i="16"/>
  <c r="B3879" i="16"/>
  <c r="A3879" i="16"/>
  <c r="I3878" i="16"/>
  <c r="E3878" i="16"/>
  <c r="D3878" i="16"/>
  <c r="C3878" i="16"/>
  <c r="B3878" i="16"/>
  <c r="A3878" i="16"/>
  <c r="O3878" i="16" s="1"/>
  <c r="J3877" i="16"/>
  <c r="H3877" i="16"/>
  <c r="D3877" i="16"/>
  <c r="C3877" i="16"/>
  <c r="B3877" i="16"/>
  <c r="A3877" i="16"/>
  <c r="I3876" i="16"/>
  <c r="H3876" i="16"/>
  <c r="G3876" i="16"/>
  <c r="D3876" i="16"/>
  <c r="C3876" i="16"/>
  <c r="B3876" i="16"/>
  <c r="A3876" i="16"/>
  <c r="P3876" i="16" s="1"/>
  <c r="L3875" i="16"/>
  <c r="K3875" i="16"/>
  <c r="D3875" i="16"/>
  <c r="C3875" i="16"/>
  <c r="B3875" i="16"/>
  <c r="A3875" i="16"/>
  <c r="P3875" i="16" s="1"/>
  <c r="D3874" i="16"/>
  <c r="C3874" i="16"/>
  <c r="B3874" i="16"/>
  <c r="A3874" i="16"/>
  <c r="D3873" i="16"/>
  <c r="C3873" i="16"/>
  <c r="B3873" i="16"/>
  <c r="A3873" i="16"/>
  <c r="D3872" i="16"/>
  <c r="C3872" i="16"/>
  <c r="B3872" i="16"/>
  <c r="A3872" i="16"/>
  <c r="O3871" i="16"/>
  <c r="N3871" i="16"/>
  <c r="D3871" i="16"/>
  <c r="C3871" i="16"/>
  <c r="B3871" i="16"/>
  <c r="A3871" i="16"/>
  <c r="D3870" i="16"/>
  <c r="C3870" i="16"/>
  <c r="B3870" i="16"/>
  <c r="A3870" i="16"/>
  <c r="D3869" i="16"/>
  <c r="C3869" i="16"/>
  <c r="B3869" i="16"/>
  <c r="A3869" i="16"/>
  <c r="O3868" i="16"/>
  <c r="I3868" i="16"/>
  <c r="H3868" i="16"/>
  <c r="G3868" i="16"/>
  <c r="D3868" i="16"/>
  <c r="C3868" i="16"/>
  <c r="B3868" i="16"/>
  <c r="A3868" i="16"/>
  <c r="M3867" i="16"/>
  <c r="L3867" i="16"/>
  <c r="K3867" i="16"/>
  <c r="J3867" i="16"/>
  <c r="D3867" i="16"/>
  <c r="C3867" i="16"/>
  <c r="B3867" i="16"/>
  <c r="A3867" i="16"/>
  <c r="T3866" i="16"/>
  <c r="J3866" i="16"/>
  <c r="I3866" i="16"/>
  <c r="F3866" i="16"/>
  <c r="D3866" i="16"/>
  <c r="C3866" i="16"/>
  <c r="B3866" i="16"/>
  <c r="A3866" i="16"/>
  <c r="E3866" i="16" s="1"/>
  <c r="O3865" i="16"/>
  <c r="N3865" i="16"/>
  <c r="M3865" i="16"/>
  <c r="D3865" i="16"/>
  <c r="C3865" i="16"/>
  <c r="B3865" i="16"/>
  <c r="A3865" i="16"/>
  <c r="O3864" i="16"/>
  <c r="N3864" i="16"/>
  <c r="M3864" i="16"/>
  <c r="L3864" i="16"/>
  <c r="K3864" i="16"/>
  <c r="H3864" i="16"/>
  <c r="F3864" i="16"/>
  <c r="E3864" i="16"/>
  <c r="D3864" i="16"/>
  <c r="C3864" i="16"/>
  <c r="B3864" i="16"/>
  <c r="A3864" i="16"/>
  <c r="T3864" i="16" s="1"/>
  <c r="D3863" i="16"/>
  <c r="C3863" i="16"/>
  <c r="B3863" i="16"/>
  <c r="A3863" i="16"/>
  <c r="D3862" i="16"/>
  <c r="C3862" i="16"/>
  <c r="B3862" i="16"/>
  <c r="A3862" i="16"/>
  <c r="J3861" i="16"/>
  <c r="I3861" i="16"/>
  <c r="H3861" i="16"/>
  <c r="D3861" i="16"/>
  <c r="C3861" i="16"/>
  <c r="B3861" i="16"/>
  <c r="A3861" i="16"/>
  <c r="P3861" i="16" s="1"/>
  <c r="O3860" i="16"/>
  <c r="L3860" i="16"/>
  <c r="H3860" i="16"/>
  <c r="D3860" i="16"/>
  <c r="C3860" i="16"/>
  <c r="B3860" i="16"/>
  <c r="A3860" i="16"/>
  <c r="P3860" i="16" s="1"/>
  <c r="D3859" i="16"/>
  <c r="C3859" i="16"/>
  <c r="B3859" i="16"/>
  <c r="A3859" i="16"/>
  <c r="J3858" i="16"/>
  <c r="I3858" i="16"/>
  <c r="E3858" i="16"/>
  <c r="D3858" i="16"/>
  <c r="C3858" i="16"/>
  <c r="B3858" i="16"/>
  <c r="A3858" i="16"/>
  <c r="F3858" i="16" s="1"/>
  <c r="O3857" i="16"/>
  <c r="N3857" i="16"/>
  <c r="L3857" i="16"/>
  <c r="J3857" i="16"/>
  <c r="G3857" i="16"/>
  <c r="F3857" i="16"/>
  <c r="E3857" i="16"/>
  <c r="D3857" i="16"/>
  <c r="C3857" i="16"/>
  <c r="B3857" i="16"/>
  <c r="A3857" i="16"/>
  <c r="T3857" i="16" s="1"/>
  <c r="M3856" i="16"/>
  <c r="J3856" i="16"/>
  <c r="E3856" i="16"/>
  <c r="D3856" i="16"/>
  <c r="C3856" i="16"/>
  <c r="B3856" i="16"/>
  <c r="A3856" i="16"/>
  <c r="L3856" i="16" s="1"/>
  <c r="D3855" i="16"/>
  <c r="C3855" i="16"/>
  <c r="B3855" i="16"/>
  <c r="A3855" i="16"/>
  <c r="I3854" i="16"/>
  <c r="H3854" i="16"/>
  <c r="G3854" i="16"/>
  <c r="F3854" i="16"/>
  <c r="D3854" i="16"/>
  <c r="C3854" i="16"/>
  <c r="B3854" i="16"/>
  <c r="A3854" i="16"/>
  <c r="P3854" i="16" s="1"/>
  <c r="D3853" i="16"/>
  <c r="C3853" i="16"/>
  <c r="B3853" i="16"/>
  <c r="A3853" i="16"/>
  <c r="T3852" i="16"/>
  <c r="D3852" i="16"/>
  <c r="C3852" i="16"/>
  <c r="B3852" i="16"/>
  <c r="A3852" i="16"/>
  <c r="D3851" i="16"/>
  <c r="C3851" i="16"/>
  <c r="B3851" i="16"/>
  <c r="A3851" i="16"/>
  <c r="D3850" i="16"/>
  <c r="C3850" i="16"/>
  <c r="B3850" i="16"/>
  <c r="A3850" i="16"/>
  <c r="D3849" i="16"/>
  <c r="C3849" i="16"/>
  <c r="B3849" i="16"/>
  <c r="A3849" i="16"/>
  <c r="P3848" i="16"/>
  <c r="O3848" i="16"/>
  <c r="N3848" i="16"/>
  <c r="L3848" i="16"/>
  <c r="H3848" i="16"/>
  <c r="G3848" i="16"/>
  <c r="F3848" i="16"/>
  <c r="E3848" i="16"/>
  <c r="D3848" i="16"/>
  <c r="C3848" i="16"/>
  <c r="B3848" i="16"/>
  <c r="A3848" i="16"/>
  <c r="I3847" i="16"/>
  <c r="H3847" i="16"/>
  <c r="G3847" i="16"/>
  <c r="F3847" i="16"/>
  <c r="D3847" i="16"/>
  <c r="C3847" i="16"/>
  <c r="B3847" i="16"/>
  <c r="A3847" i="16"/>
  <c r="D3846" i="16"/>
  <c r="C3846" i="16"/>
  <c r="B3846" i="16"/>
  <c r="A3846" i="16"/>
  <c r="P3845" i="16"/>
  <c r="N3845" i="16"/>
  <c r="H3845" i="16"/>
  <c r="G3845" i="16"/>
  <c r="F3845" i="16"/>
  <c r="D3845" i="16"/>
  <c r="C3845" i="16"/>
  <c r="B3845" i="16"/>
  <c r="A3845" i="16"/>
  <c r="I3845" i="16" s="1"/>
  <c r="O3844" i="16"/>
  <c r="L3844" i="16"/>
  <c r="K3844" i="16"/>
  <c r="J3844" i="16"/>
  <c r="D3844" i="16"/>
  <c r="C3844" i="16"/>
  <c r="B3844" i="16"/>
  <c r="A3844" i="16"/>
  <c r="J3843" i="16"/>
  <c r="D3843" i="16"/>
  <c r="C3843" i="16"/>
  <c r="B3843" i="16"/>
  <c r="A3843" i="16"/>
  <c r="N3842" i="16"/>
  <c r="M3842" i="16"/>
  <c r="E3842" i="16"/>
  <c r="D3842" i="16"/>
  <c r="C3842" i="16"/>
  <c r="B3842" i="16"/>
  <c r="A3842" i="16"/>
  <c r="O3841" i="16"/>
  <c r="N3841" i="16"/>
  <c r="M3841" i="16"/>
  <c r="L3841" i="16"/>
  <c r="J3841" i="16"/>
  <c r="F3841" i="16"/>
  <c r="E3841" i="16"/>
  <c r="D3841" i="16"/>
  <c r="C3841" i="16"/>
  <c r="B3841" i="16"/>
  <c r="A3841" i="16"/>
  <c r="T3841" i="16" s="1"/>
  <c r="D3840" i="16"/>
  <c r="C3840" i="16"/>
  <c r="B3840" i="16"/>
  <c r="A3840" i="16"/>
  <c r="D3839" i="16"/>
  <c r="C3839" i="16"/>
  <c r="B3839" i="16"/>
  <c r="A3839" i="16"/>
  <c r="T3838" i="16"/>
  <c r="O3838" i="16"/>
  <c r="H3838" i="16"/>
  <c r="G3838" i="16"/>
  <c r="F3838" i="16"/>
  <c r="E3838" i="16"/>
  <c r="D3838" i="16"/>
  <c r="C3838" i="16"/>
  <c r="B3838" i="16"/>
  <c r="A3838" i="16"/>
  <c r="P3838" i="16" s="1"/>
  <c r="T3837" i="16"/>
  <c r="F3837" i="16"/>
  <c r="D3837" i="16"/>
  <c r="C3837" i="16"/>
  <c r="B3837" i="16"/>
  <c r="A3837" i="16"/>
  <c r="D3836" i="16"/>
  <c r="C3836" i="16"/>
  <c r="B3836" i="16"/>
  <c r="A3836" i="16"/>
  <c r="T3835" i="16"/>
  <c r="D3835" i="16"/>
  <c r="C3835" i="16"/>
  <c r="B3835" i="16"/>
  <c r="A3835" i="16"/>
  <c r="M3834" i="16"/>
  <c r="K3834" i="16"/>
  <c r="D3834" i="16"/>
  <c r="C3834" i="16"/>
  <c r="B3834" i="16"/>
  <c r="A3834" i="16"/>
  <c r="M3833" i="16"/>
  <c r="K3833" i="16"/>
  <c r="J3833" i="16"/>
  <c r="G3833" i="16"/>
  <c r="D3833" i="16"/>
  <c r="C3833" i="16"/>
  <c r="B3833" i="16"/>
  <c r="A3833" i="16"/>
  <c r="P3832" i="16"/>
  <c r="O3832" i="16"/>
  <c r="N3832" i="16"/>
  <c r="M3832" i="16"/>
  <c r="K3832" i="16"/>
  <c r="H3832" i="16"/>
  <c r="G3832" i="16"/>
  <c r="F3832" i="16"/>
  <c r="E3832" i="16"/>
  <c r="D3832" i="16"/>
  <c r="C3832" i="16"/>
  <c r="B3832" i="16"/>
  <c r="A3832" i="16"/>
  <c r="T3832" i="16" s="1"/>
  <c r="D3831" i="16"/>
  <c r="C3831" i="16"/>
  <c r="B3831" i="16"/>
  <c r="A3831" i="16"/>
  <c r="T3830" i="16"/>
  <c r="O3830" i="16"/>
  <c r="M3830" i="16"/>
  <c r="G3830" i="16"/>
  <c r="F3830" i="16"/>
  <c r="E3830" i="16"/>
  <c r="D3830" i="16"/>
  <c r="C3830" i="16"/>
  <c r="B3830" i="16"/>
  <c r="A3830" i="16"/>
  <c r="H3830" i="16" s="1"/>
  <c r="P3829" i="16"/>
  <c r="K3829" i="16"/>
  <c r="J3829" i="16"/>
  <c r="F3829" i="16"/>
  <c r="D3829" i="16"/>
  <c r="C3829" i="16"/>
  <c r="B3829" i="16"/>
  <c r="A3829" i="16"/>
  <c r="N3829" i="16" s="1"/>
  <c r="K3828" i="16"/>
  <c r="J3828" i="16"/>
  <c r="I3828" i="16"/>
  <c r="H3828" i="16"/>
  <c r="D3828" i="16"/>
  <c r="C3828" i="16"/>
  <c r="B3828" i="16"/>
  <c r="A3828" i="16"/>
  <c r="T3827" i="16"/>
  <c r="I3827" i="16"/>
  <c r="H3827" i="16"/>
  <c r="D3827" i="16"/>
  <c r="C3827" i="16"/>
  <c r="B3827" i="16"/>
  <c r="A3827" i="16"/>
  <c r="D3826" i="16"/>
  <c r="C3826" i="16"/>
  <c r="B3826" i="16"/>
  <c r="A3826" i="16"/>
  <c r="O3825" i="16"/>
  <c r="N3825" i="16"/>
  <c r="K3825" i="16"/>
  <c r="G3825" i="16"/>
  <c r="F3825" i="16"/>
  <c r="E3825" i="16"/>
  <c r="D3825" i="16"/>
  <c r="C3825" i="16"/>
  <c r="B3825" i="16"/>
  <c r="A3825" i="16"/>
  <c r="O3824" i="16"/>
  <c r="N3824" i="16"/>
  <c r="M3824" i="16"/>
  <c r="L3824" i="16"/>
  <c r="K3824" i="16"/>
  <c r="H3824" i="16"/>
  <c r="F3824" i="16"/>
  <c r="E3824" i="16"/>
  <c r="D3824" i="16"/>
  <c r="C3824" i="16"/>
  <c r="B3824" i="16"/>
  <c r="A3824" i="16"/>
  <c r="T3824" i="16" s="1"/>
  <c r="T3823" i="16"/>
  <c r="O3823" i="16"/>
  <c r="G3823" i="16"/>
  <c r="F3823" i="16"/>
  <c r="D3823" i="16"/>
  <c r="C3823" i="16"/>
  <c r="B3823" i="16"/>
  <c r="A3823" i="16"/>
  <c r="N3822" i="16"/>
  <c r="J3822" i="16"/>
  <c r="E3822" i="16"/>
  <c r="D3822" i="16"/>
  <c r="C3822" i="16"/>
  <c r="B3822" i="16"/>
  <c r="A3822" i="16"/>
  <c r="O3822" i="16" s="1"/>
  <c r="D3821" i="16"/>
  <c r="C3821" i="16"/>
  <c r="B3821" i="16"/>
  <c r="A3821" i="16"/>
  <c r="K3820" i="16"/>
  <c r="D3820" i="16"/>
  <c r="C3820" i="16"/>
  <c r="B3820" i="16"/>
  <c r="A3820" i="16"/>
  <c r="T3819" i="16"/>
  <c r="P3819" i="16"/>
  <c r="L3819" i="16"/>
  <c r="D3819" i="16"/>
  <c r="C3819" i="16"/>
  <c r="B3819" i="16"/>
  <c r="A3819" i="16"/>
  <c r="D3818" i="16"/>
  <c r="C3818" i="16"/>
  <c r="B3818" i="16"/>
  <c r="A3818" i="16"/>
  <c r="M3818" i="16" s="1"/>
  <c r="K3817" i="16"/>
  <c r="G3817" i="16"/>
  <c r="F3817" i="16"/>
  <c r="E3817" i="16"/>
  <c r="D3817" i="16"/>
  <c r="C3817" i="16"/>
  <c r="B3817" i="16"/>
  <c r="A3817" i="16"/>
  <c r="P3816" i="16"/>
  <c r="O3816" i="16"/>
  <c r="N3816" i="16"/>
  <c r="M3816" i="16"/>
  <c r="L3816" i="16"/>
  <c r="K3816" i="16"/>
  <c r="H3816" i="16"/>
  <c r="G3816" i="16"/>
  <c r="F3816" i="16"/>
  <c r="E3816" i="16"/>
  <c r="D3816" i="16"/>
  <c r="C3816" i="16"/>
  <c r="B3816" i="16"/>
  <c r="A3816" i="16"/>
  <c r="T3816" i="16" s="1"/>
  <c r="L3815" i="16"/>
  <c r="G3815" i="16"/>
  <c r="F3815" i="16"/>
  <c r="D3815" i="16"/>
  <c r="C3815" i="16"/>
  <c r="B3815" i="16"/>
  <c r="A3815" i="16"/>
  <c r="M3815" i="16" s="1"/>
  <c r="O3814" i="16"/>
  <c r="N3814" i="16"/>
  <c r="D3814" i="16"/>
  <c r="C3814" i="16"/>
  <c r="B3814" i="16"/>
  <c r="A3814" i="16"/>
  <c r="K3813" i="16"/>
  <c r="J3813" i="16"/>
  <c r="I3813" i="16"/>
  <c r="H3813" i="16"/>
  <c r="D3813" i="16"/>
  <c r="C3813" i="16"/>
  <c r="B3813" i="16"/>
  <c r="A3813" i="16"/>
  <c r="P3812" i="16"/>
  <c r="J3812" i="16"/>
  <c r="I3812" i="16"/>
  <c r="H3812" i="16"/>
  <c r="D3812" i="16"/>
  <c r="C3812" i="16"/>
  <c r="B3812" i="16"/>
  <c r="A3812" i="16"/>
  <c r="G3812" i="16" s="1"/>
  <c r="M3811" i="16"/>
  <c r="L3811" i="16"/>
  <c r="K3811" i="16"/>
  <c r="D3811" i="16"/>
  <c r="C3811" i="16"/>
  <c r="B3811" i="16"/>
  <c r="A3811" i="16"/>
  <c r="P3811" i="16" s="1"/>
  <c r="D3810" i="16"/>
  <c r="C3810" i="16"/>
  <c r="B3810" i="16"/>
  <c r="A3810" i="16"/>
  <c r="N3809" i="16"/>
  <c r="L3809" i="16"/>
  <c r="K3809" i="16"/>
  <c r="F3809" i="16"/>
  <c r="D3809" i="16"/>
  <c r="C3809" i="16"/>
  <c r="B3809" i="16"/>
  <c r="A3809" i="16"/>
  <c r="P3808" i="16"/>
  <c r="L3808" i="16"/>
  <c r="D3808" i="16"/>
  <c r="C3808" i="16"/>
  <c r="B3808" i="16"/>
  <c r="A3808" i="16"/>
  <c r="O3807" i="16"/>
  <c r="N3807" i="16"/>
  <c r="D3807" i="16"/>
  <c r="C3807" i="16"/>
  <c r="B3807" i="16"/>
  <c r="A3807" i="16"/>
  <c r="N3806" i="16"/>
  <c r="M3806" i="16"/>
  <c r="D3806" i="16"/>
  <c r="C3806" i="16"/>
  <c r="B3806" i="16"/>
  <c r="A3806" i="16"/>
  <c r="D3805" i="16"/>
  <c r="C3805" i="16"/>
  <c r="B3805" i="16"/>
  <c r="A3805" i="16"/>
  <c r="T3804" i="16"/>
  <c r="D3804" i="16"/>
  <c r="C3804" i="16"/>
  <c r="B3804" i="16"/>
  <c r="A3804" i="16"/>
  <c r="L3803" i="16"/>
  <c r="J3803" i="16"/>
  <c r="D3803" i="16"/>
  <c r="C3803" i="16"/>
  <c r="B3803" i="16"/>
  <c r="A3803" i="16"/>
  <c r="J3802" i="16"/>
  <c r="F3802" i="16"/>
  <c r="E3802" i="16"/>
  <c r="D3802" i="16"/>
  <c r="C3802" i="16"/>
  <c r="B3802" i="16"/>
  <c r="A3802" i="16"/>
  <c r="T3802" i="16" s="1"/>
  <c r="M3801" i="16"/>
  <c r="L3801" i="16"/>
  <c r="K3801" i="16"/>
  <c r="J3801" i="16"/>
  <c r="D3801" i="16"/>
  <c r="C3801" i="16"/>
  <c r="B3801" i="16"/>
  <c r="A3801" i="16"/>
  <c r="P3800" i="16"/>
  <c r="O3800" i="16"/>
  <c r="J3800" i="16"/>
  <c r="H3800" i="16"/>
  <c r="G3800" i="16"/>
  <c r="F3800" i="16"/>
  <c r="D3800" i="16"/>
  <c r="C3800" i="16"/>
  <c r="B3800" i="16"/>
  <c r="A3800" i="16"/>
  <c r="L3799" i="16"/>
  <c r="I3799" i="16"/>
  <c r="H3799" i="16"/>
  <c r="D3799" i="16"/>
  <c r="C3799" i="16"/>
  <c r="B3799" i="16"/>
  <c r="A3799" i="16"/>
  <c r="M3799" i="16" s="1"/>
  <c r="M3798" i="16"/>
  <c r="J3798" i="16"/>
  <c r="I3798" i="16"/>
  <c r="D3798" i="16"/>
  <c r="C3798" i="16"/>
  <c r="B3798" i="16"/>
  <c r="A3798" i="16"/>
  <c r="T3797" i="16"/>
  <c r="P3797" i="16"/>
  <c r="D3797" i="16"/>
  <c r="C3797" i="16"/>
  <c r="B3797" i="16"/>
  <c r="A3797" i="16"/>
  <c r="T3796" i="16"/>
  <c r="O3796" i="16"/>
  <c r="L3796" i="16"/>
  <c r="H3796" i="16"/>
  <c r="G3796" i="16"/>
  <c r="D3796" i="16"/>
  <c r="C3796" i="16"/>
  <c r="B3796" i="16"/>
  <c r="A3796" i="16"/>
  <c r="J3796" i="16" s="1"/>
  <c r="D3795" i="16"/>
  <c r="C3795" i="16"/>
  <c r="B3795" i="16"/>
  <c r="A3795" i="16"/>
  <c r="N3794" i="16"/>
  <c r="D3794" i="16"/>
  <c r="C3794" i="16"/>
  <c r="B3794" i="16"/>
  <c r="A3794" i="16"/>
  <c r="O3793" i="16"/>
  <c r="N3793" i="16"/>
  <c r="M3793" i="16"/>
  <c r="L3793" i="16"/>
  <c r="J3793" i="16"/>
  <c r="G3793" i="16"/>
  <c r="F3793" i="16"/>
  <c r="E3793" i="16"/>
  <c r="D3793" i="16"/>
  <c r="C3793" i="16"/>
  <c r="B3793" i="16"/>
  <c r="A3793" i="16"/>
  <c r="T3793" i="16" s="1"/>
  <c r="P3792" i="16"/>
  <c r="O3792" i="16"/>
  <c r="N3792" i="16"/>
  <c r="M3792" i="16"/>
  <c r="L3792" i="16"/>
  <c r="H3792" i="16"/>
  <c r="G3792" i="16"/>
  <c r="F3792" i="16"/>
  <c r="E3792" i="16"/>
  <c r="D3792" i="16"/>
  <c r="C3792" i="16"/>
  <c r="B3792" i="16"/>
  <c r="A3792" i="16"/>
  <c r="T3792" i="16" s="1"/>
  <c r="T3791" i="16"/>
  <c r="I3791" i="16"/>
  <c r="H3791" i="16"/>
  <c r="G3791" i="16"/>
  <c r="D3791" i="16"/>
  <c r="C3791" i="16"/>
  <c r="B3791" i="16"/>
  <c r="A3791" i="16"/>
  <c r="L3791" i="16" s="1"/>
  <c r="D3790" i="16"/>
  <c r="C3790" i="16"/>
  <c r="B3790" i="16"/>
  <c r="A3790" i="16"/>
  <c r="T3789" i="16"/>
  <c r="P3789" i="16"/>
  <c r="H3789" i="16"/>
  <c r="G3789" i="16"/>
  <c r="F3789" i="16"/>
  <c r="D3789" i="16"/>
  <c r="C3789" i="16"/>
  <c r="B3789" i="16"/>
  <c r="A3789" i="16"/>
  <c r="O3789" i="16" s="1"/>
  <c r="L3788" i="16"/>
  <c r="K3788" i="16"/>
  <c r="G3788" i="16"/>
  <c r="D3788" i="16"/>
  <c r="C3788" i="16"/>
  <c r="B3788" i="16"/>
  <c r="A3788" i="16"/>
  <c r="O3788" i="16" s="1"/>
  <c r="J3787" i="16"/>
  <c r="I3787" i="16"/>
  <c r="H3787" i="16"/>
  <c r="D3787" i="16"/>
  <c r="C3787" i="16"/>
  <c r="B3787" i="16"/>
  <c r="A3787" i="16"/>
  <c r="K3787" i="16" s="1"/>
  <c r="N3786" i="16"/>
  <c r="D3786" i="16"/>
  <c r="C3786" i="16"/>
  <c r="B3786" i="16"/>
  <c r="A3786" i="16"/>
  <c r="N3785" i="16"/>
  <c r="M3785" i="16"/>
  <c r="L3785" i="16"/>
  <c r="K3785" i="16"/>
  <c r="D3785" i="16"/>
  <c r="C3785" i="16"/>
  <c r="B3785" i="16"/>
  <c r="A3785" i="16"/>
  <c r="N3784" i="16"/>
  <c r="M3784" i="16"/>
  <c r="J3784" i="16"/>
  <c r="H3784" i="16"/>
  <c r="E3784" i="16"/>
  <c r="D3784" i="16"/>
  <c r="C3784" i="16"/>
  <c r="B3784" i="16"/>
  <c r="A3784" i="16"/>
  <c r="K3784" i="16" s="1"/>
  <c r="D3783" i="16"/>
  <c r="C3783" i="16"/>
  <c r="B3783" i="16"/>
  <c r="A3783" i="16"/>
  <c r="T3782" i="16"/>
  <c r="D3782" i="16"/>
  <c r="C3782" i="16"/>
  <c r="B3782" i="16"/>
  <c r="A3782" i="16"/>
  <c r="O3781" i="16"/>
  <c r="N3781" i="16"/>
  <c r="F3781" i="16"/>
  <c r="D3781" i="16"/>
  <c r="C3781" i="16"/>
  <c r="B3781" i="16"/>
  <c r="A3781" i="16"/>
  <c r="D3780" i="16"/>
  <c r="C3780" i="16"/>
  <c r="B3780" i="16"/>
  <c r="A3780" i="16"/>
  <c r="P3780" i="16" s="1"/>
  <c r="H3779" i="16"/>
  <c r="D3779" i="16"/>
  <c r="C3779" i="16"/>
  <c r="B3779" i="16"/>
  <c r="A3779" i="16"/>
  <c r="T3778" i="16"/>
  <c r="L3778" i="16"/>
  <c r="F3778" i="16"/>
  <c r="E3778" i="16"/>
  <c r="D3778" i="16"/>
  <c r="C3778" i="16"/>
  <c r="B3778" i="16"/>
  <c r="A3778" i="16"/>
  <c r="J3778" i="16" s="1"/>
  <c r="M3777" i="16"/>
  <c r="L3777" i="16"/>
  <c r="K3777" i="16"/>
  <c r="D3777" i="16"/>
  <c r="C3777" i="16"/>
  <c r="B3777" i="16"/>
  <c r="A3777" i="16"/>
  <c r="D3776" i="16"/>
  <c r="C3776" i="16"/>
  <c r="B3776" i="16"/>
  <c r="A3776" i="16"/>
  <c r="D3775" i="16"/>
  <c r="C3775" i="16"/>
  <c r="B3775" i="16"/>
  <c r="A3775" i="16"/>
  <c r="T3774" i="16"/>
  <c r="P3774" i="16"/>
  <c r="O3774" i="16"/>
  <c r="G3774" i="16"/>
  <c r="F3774" i="16"/>
  <c r="E3774" i="16"/>
  <c r="D3774" i="16"/>
  <c r="C3774" i="16"/>
  <c r="B3774" i="16"/>
  <c r="A3774" i="16"/>
  <c r="N3774" i="16" s="1"/>
  <c r="P3773" i="16"/>
  <c r="N3773" i="16"/>
  <c r="K3773" i="16"/>
  <c r="G3773" i="16"/>
  <c r="F3773" i="16"/>
  <c r="D3773" i="16"/>
  <c r="C3773" i="16"/>
  <c r="B3773" i="16"/>
  <c r="A3773" i="16"/>
  <c r="K3772" i="16"/>
  <c r="J3772" i="16"/>
  <c r="I3772" i="16"/>
  <c r="D3772" i="16"/>
  <c r="C3772" i="16"/>
  <c r="B3772" i="16"/>
  <c r="A3772" i="16"/>
  <c r="L3772" i="16" s="1"/>
  <c r="P3771" i="16"/>
  <c r="J3771" i="16"/>
  <c r="I3771" i="16"/>
  <c r="H3771" i="16"/>
  <c r="D3771" i="16"/>
  <c r="C3771" i="16"/>
  <c r="B3771" i="16"/>
  <c r="A3771" i="16"/>
  <c r="E3771" i="16" s="1"/>
  <c r="D3770" i="16"/>
  <c r="C3770" i="16"/>
  <c r="B3770" i="16"/>
  <c r="A3770" i="16"/>
  <c r="N3769" i="16"/>
  <c r="M3769" i="16"/>
  <c r="J3769" i="16"/>
  <c r="G3769" i="16"/>
  <c r="D3769" i="16"/>
  <c r="C3769" i="16"/>
  <c r="B3769" i="16"/>
  <c r="A3769" i="16"/>
  <c r="J3768" i="16"/>
  <c r="H3768" i="16"/>
  <c r="G3768" i="16"/>
  <c r="D3768" i="16"/>
  <c r="C3768" i="16"/>
  <c r="B3768" i="16"/>
  <c r="A3768" i="16"/>
  <c r="K3768" i="16" s="1"/>
  <c r="T3767" i="16"/>
  <c r="P3767" i="16"/>
  <c r="O3767" i="16"/>
  <c r="G3767" i="16"/>
  <c r="F3767" i="16"/>
  <c r="E3767" i="16"/>
  <c r="D3767" i="16"/>
  <c r="C3767" i="16"/>
  <c r="B3767" i="16"/>
  <c r="A3767" i="16"/>
  <c r="N3767" i="16" s="1"/>
  <c r="P3766" i="16"/>
  <c r="D3766" i="16"/>
  <c r="C3766" i="16"/>
  <c r="B3766" i="16"/>
  <c r="A3766" i="16"/>
  <c r="F3765" i="16"/>
  <c r="D3765" i="16"/>
  <c r="C3765" i="16"/>
  <c r="B3765" i="16"/>
  <c r="A3765" i="16"/>
  <c r="K3764" i="16"/>
  <c r="H3764" i="16"/>
  <c r="D3764" i="16"/>
  <c r="C3764" i="16"/>
  <c r="B3764" i="16"/>
  <c r="A3764" i="16"/>
  <c r="D3763" i="16"/>
  <c r="C3763" i="16"/>
  <c r="B3763" i="16"/>
  <c r="A3763" i="16"/>
  <c r="D3762" i="16"/>
  <c r="C3762" i="16"/>
  <c r="B3762" i="16"/>
  <c r="A3762" i="16"/>
  <c r="O3761" i="16"/>
  <c r="N3761" i="16"/>
  <c r="M3761" i="16"/>
  <c r="L3761" i="16"/>
  <c r="G3761" i="16"/>
  <c r="F3761" i="16"/>
  <c r="E3761" i="16"/>
  <c r="D3761" i="16"/>
  <c r="C3761" i="16"/>
  <c r="B3761" i="16"/>
  <c r="A3761" i="16"/>
  <c r="T3761" i="16" s="1"/>
  <c r="K3760" i="16"/>
  <c r="J3760" i="16"/>
  <c r="F3760" i="16"/>
  <c r="E3760" i="16"/>
  <c r="D3760" i="16"/>
  <c r="C3760" i="16"/>
  <c r="B3760" i="16"/>
  <c r="A3760" i="16"/>
  <c r="O3759" i="16"/>
  <c r="N3759" i="16"/>
  <c r="M3759" i="16"/>
  <c r="G3759" i="16"/>
  <c r="D3759" i="16"/>
  <c r="C3759" i="16"/>
  <c r="B3759" i="16"/>
  <c r="A3759" i="16"/>
  <c r="P3758" i="16"/>
  <c r="O3758" i="16"/>
  <c r="E3758" i="16"/>
  <c r="D3758" i="16"/>
  <c r="C3758" i="16"/>
  <c r="B3758" i="16"/>
  <c r="A3758" i="16"/>
  <c r="D3757" i="16"/>
  <c r="C3757" i="16"/>
  <c r="B3757" i="16"/>
  <c r="A3757" i="16"/>
  <c r="K3756" i="16"/>
  <c r="J3756" i="16"/>
  <c r="D3756" i="16"/>
  <c r="C3756" i="16"/>
  <c r="B3756" i="16"/>
  <c r="A3756" i="16"/>
  <c r="T3755" i="16"/>
  <c r="P3755" i="16"/>
  <c r="H3755" i="16"/>
  <c r="E3755" i="16"/>
  <c r="D3755" i="16"/>
  <c r="C3755" i="16"/>
  <c r="B3755" i="16"/>
  <c r="A3755" i="16"/>
  <c r="D3754" i="16"/>
  <c r="C3754" i="16"/>
  <c r="B3754" i="16"/>
  <c r="A3754" i="16"/>
  <c r="M3754" i="16" s="1"/>
  <c r="O3753" i="16"/>
  <c r="N3753" i="16"/>
  <c r="M3753" i="16"/>
  <c r="J3753" i="16"/>
  <c r="G3753" i="16"/>
  <c r="F3753" i="16"/>
  <c r="E3753" i="16"/>
  <c r="D3753" i="16"/>
  <c r="C3753" i="16"/>
  <c r="B3753" i="16"/>
  <c r="A3753" i="16"/>
  <c r="T3753" i="16" s="1"/>
  <c r="P3752" i="16"/>
  <c r="O3752" i="16"/>
  <c r="N3752" i="16"/>
  <c r="M3752" i="16"/>
  <c r="L3752" i="16"/>
  <c r="K3752" i="16"/>
  <c r="H3752" i="16"/>
  <c r="G3752" i="16"/>
  <c r="F3752" i="16"/>
  <c r="E3752" i="16"/>
  <c r="D3752" i="16"/>
  <c r="C3752" i="16"/>
  <c r="B3752" i="16"/>
  <c r="A3752" i="16"/>
  <c r="T3752" i="16" s="1"/>
  <c r="O3751" i="16"/>
  <c r="L3751" i="16"/>
  <c r="F3751" i="16"/>
  <c r="E3751" i="16"/>
  <c r="D3751" i="16"/>
  <c r="C3751" i="16"/>
  <c r="B3751" i="16"/>
  <c r="A3751" i="16"/>
  <c r="M3751" i="16" s="1"/>
  <c r="J3750" i="16"/>
  <c r="I3750" i="16"/>
  <c r="E3750" i="16"/>
  <c r="D3750" i="16"/>
  <c r="C3750" i="16"/>
  <c r="B3750" i="16"/>
  <c r="A3750" i="16"/>
  <c r="M3750" i="16" s="1"/>
  <c r="J3749" i="16"/>
  <c r="I3749" i="16"/>
  <c r="H3749" i="16"/>
  <c r="D3749" i="16"/>
  <c r="C3749" i="16"/>
  <c r="B3749" i="16"/>
  <c r="A3749" i="16"/>
  <c r="K3749" i="16" s="1"/>
  <c r="P3748" i="16"/>
  <c r="J3748" i="16"/>
  <c r="I3748" i="16"/>
  <c r="D3748" i="16"/>
  <c r="C3748" i="16"/>
  <c r="B3748" i="16"/>
  <c r="A3748" i="16"/>
  <c r="T3748" i="16" s="1"/>
  <c r="P3747" i="16"/>
  <c r="D3747" i="16"/>
  <c r="C3747" i="16"/>
  <c r="B3747" i="16"/>
  <c r="A3747" i="16"/>
  <c r="D3746" i="16"/>
  <c r="C3746" i="16"/>
  <c r="B3746" i="16"/>
  <c r="A3746" i="16"/>
  <c r="O3745" i="16"/>
  <c r="N3745" i="16"/>
  <c r="M3745" i="16"/>
  <c r="L3745" i="16"/>
  <c r="G3745" i="16"/>
  <c r="F3745" i="16"/>
  <c r="E3745" i="16"/>
  <c r="D3745" i="16"/>
  <c r="C3745" i="16"/>
  <c r="B3745" i="16"/>
  <c r="A3745" i="16"/>
  <c r="T3745" i="16" s="1"/>
  <c r="L3744" i="16"/>
  <c r="K3744" i="16"/>
  <c r="D3744" i="16"/>
  <c r="C3744" i="16"/>
  <c r="B3744" i="16"/>
  <c r="A3744" i="16"/>
  <c r="D3743" i="16"/>
  <c r="C3743" i="16"/>
  <c r="B3743" i="16"/>
  <c r="A3743" i="16"/>
  <c r="D3742" i="16"/>
  <c r="C3742" i="16"/>
  <c r="B3742" i="16"/>
  <c r="A3742" i="16"/>
  <c r="T3741" i="16"/>
  <c r="K3741" i="16"/>
  <c r="D3741" i="16"/>
  <c r="C3741" i="16"/>
  <c r="B3741" i="16"/>
  <c r="A3741" i="16"/>
  <c r="P3740" i="16"/>
  <c r="O3740" i="16"/>
  <c r="I3740" i="16"/>
  <c r="D3740" i="16"/>
  <c r="C3740" i="16"/>
  <c r="B3740" i="16"/>
  <c r="A3740" i="16"/>
  <c r="L3739" i="16"/>
  <c r="K3739" i="16"/>
  <c r="J3739" i="16"/>
  <c r="D3739" i="16"/>
  <c r="C3739" i="16"/>
  <c r="B3739" i="16"/>
  <c r="A3739" i="16"/>
  <c r="M3739" i="16" s="1"/>
  <c r="K3738" i="16"/>
  <c r="J3738" i="16"/>
  <c r="I3738" i="16"/>
  <c r="F3738" i="16"/>
  <c r="D3738" i="16"/>
  <c r="C3738" i="16"/>
  <c r="B3738" i="16"/>
  <c r="A3738" i="16"/>
  <c r="N3737" i="16"/>
  <c r="M3737" i="16"/>
  <c r="J3737" i="16"/>
  <c r="E3737" i="16"/>
  <c r="D3737" i="16"/>
  <c r="C3737" i="16"/>
  <c r="B3737" i="16"/>
  <c r="A3737" i="16"/>
  <c r="K3736" i="16"/>
  <c r="J3736" i="16"/>
  <c r="H3736" i="16"/>
  <c r="G3736" i="16"/>
  <c r="D3736" i="16"/>
  <c r="C3736" i="16"/>
  <c r="B3736" i="16"/>
  <c r="A3736" i="16"/>
  <c r="M3735" i="16"/>
  <c r="L3735" i="16"/>
  <c r="D3735" i="16"/>
  <c r="C3735" i="16"/>
  <c r="B3735" i="16"/>
  <c r="A3735" i="16"/>
  <c r="D3734" i="16"/>
  <c r="C3734" i="16"/>
  <c r="B3734" i="16"/>
  <c r="A3734" i="16"/>
  <c r="D3733" i="16"/>
  <c r="C3733" i="16"/>
  <c r="B3733" i="16"/>
  <c r="A3733" i="16"/>
  <c r="T3732" i="16"/>
  <c r="P3732" i="16"/>
  <c r="O3732" i="16"/>
  <c r="L3732" i="16"/>
  <c r="D3732" i="16"/>
  <c r="C3732" i="16"/>
  <c r="B3732" i="16"/>
  <c r="A3732" i="16"/>
  <c r="L3731" i="16"/>
  <c r="K3731" i="16"/>
  <c r="J3731" i="16"/>
  <c r="D3731" i="16"/>
  <c r="C3731" i="16"/>
  <c r="B3731" i="16"/>
  <c r="A3731" i="16"/>
  <c r="I3731" i="16" s="1"/>
  <c r="T3730" i="16"/>
  <c r="N3730" i="16"/>
  <c r="J3730" i="16"/>
  <c r="E3730" i="16"/>
  <c r="D3730" i="16"/>
  <c r="C3730" i="16"/>
  <c r="B3730" i="16"/>
  <c r="A3730" i="16"/>
  <c r="L3729" i="16"/>
  <c r="K3729" i="16"/>
  <c r="J3729" i="16"/>
  <c r="E3729" i="16"/>
  <c r="D3729" i="16"/>
  <c r="C3729" i="16"/>
  <c r="B3729" i="16"/>
  <c r="A3729" i="16"/>
  <c r="P3728" i="16"/>
  <c r="D3728" i="16"/>
  <c r="C3728" i="16"/>
  <c r="B3728" i="16"/>
  <c r="A3728" i="16"/>
  <c r="T3727" i="16"/>
  <c r="D3727" i="16"/>
  <c r="C3727" i="16"/>
  <c r="B3727" i="16"/>
  <c r="A3727" i="16"/>
  <c r="J3726" i="16"/>
  <c r="D3726" i="16"/>
  <c r="C3726" i="16"/>
  <c r="B3726" i="16"/>
  <c r="A3726" i="16"/>
  <c r="D3725" i="16"/>
  <c r="C3725" i="16"/>
  <c r="B3725" i="16"/>
  <c r="A3725" i="16"/>
  <c r="T3724" i="16"/>
  <c r="K3724" i="16"/>
  <c r="D3724" i="16"/>
  <c r="C3724" i="16"/>
  <c r="B3724" i="16"/>
  <c r="A3724" i="16"/>
  <c r="H3723" i="16"/>
  <c r="D3723" i="16"/>
  <c r="C3723" i="16"/>
  <c r="B3723" i="16"/>
  <c r="A3723" i="16"/>
  <c r="T3722" i="16"/>
  <c r="I3722" i="16"/>
  <c r="F3722" i="16"/>
  <c r="E3722" i="16"/>
  <c r="D3722" i="16"/>
  <c r="C3722" i="16"/>
  <c r="B3722" i="16"/>
  <c r="A3722" i="16"/>
  <c r="J3722" i="16" s="1"/>
  <c r="K3721" i="16"/>
  <c r="J3721" i="16"/>
  <c r="G3721" i="16"/>
  <c r="D3721" i="16"/>
  <c r="C3721" i="16"/>
  <c r="B3721" i="16"/>
  <c r="A3721" i="16"/>
  <c r="L3721" i="16" s="1"/>
  <c r="L3720" i="16"/>
  <c r="K3720" i="16"/>
  <c r="G3720" i="16"/>
  <c r="F3720" i="16"/>
  <c r="D3720" i="16"/>
  <c r="C3720" i="16"/>
  <c r="B3720" i="16"/>
  <c r="A3720" i="16"/>
  <c r="H3719" i="16"/>
  <c r="D3719" i="16"/>
  <c r="C3719" i="16"/>
  <c r="B3719" i="16"/>
  <c r="A3719" i="16"/>
  <c r="D3718" i="16"/>
  <c r="C3718" i="16"/>
  <c r="B3718" i="16"/>
  <c r="A3718" i="16"/>
  <c r="T3717" i="16"/>
  <c r="P3717" i="16"/>
  <c r="H3717" i="16"/>
  <c r="G3717" i="16"/>
  <c r="F3717" i="16"/>
  <c r="D3717" i="16"/>
  <c r="C3717" i="16"/>
  <c r="B3717" i="16"/>
  <c r="A3717" i="16"/>
  <c r="I3717" i="16" s="1"/>
  <c r="O3716" i="16"/>
  <c r="L3716" i="16"/>
  <c r="K3716" i="16"/>
  <c r="J3716" i="16"/>
  <c r="D3716" i="16"/>
  <c r="C3716" i="16"/>
  <c r="B3716" i="16"/>
  <c r="A3716" i="16"/>
  <c r="D3715" i="16"/>
  <c r="C3715" i="16"/>
  <c r="B3715" i="16"/>
  <c r="A3715" i="16"/>
  <c r="T3714" i="16"/>
  <c r="N3714" i="16"/>
  <c r="M3714" i="16"/>
  <c r="E3714" i="16"/>
  <c r="D3714" i="16"/>
  <c r="C3714" i="16"/>
  <c r="B3714" i="16"/>
  <c r="A3714" i="16"/>
  <c r="D3713" i="16"/>
  <c r="C3713" i="16"/>
  <c r="B3713" i="16"/>
  <c r="A3713" i="16"/>
  <c r="P3712" i="16"/>
  <c r="O3712" i="16"/>
  <c r="N3712" i="16"/>
  <c r="M3712" i="16"/>
  <c r="H3712" i="16"/>
  <c r="G3712" i="16"/>
  <c r="F3712" i="16"/>
  <c r="E3712" i="16"/>
  <c r="D3712" i="16"/>
  <c r="C3712" i="16"/>
  <c r="B3712" i="16"/>
  <c r="A3712" i="16"/>
  <c r="T3711" i="16"/>
  <c r="P3711" i="16"/>
  <c r="O3711" i="16"/>
  <c r="I3711" i="16"/>
  <c r="D3711" i="16"/>
  <c r="C3711" i="16"/>
  <c r="B3711" i="16"/>
  <c r="A3711" i="16"/>
  <c r="T3710" i="16"/>
  <c r="P3710" i="16"/>
  <c r="O3710" i="16"/>
  <c r="N3710" i="16"/>
  <c r="M3710" i="16"/>
  <c r="H3710" i="16"/>
  <c r="G3710" i="16"/>
  <c r="F3710" i="16"/>
  <c r="E3710" i="16"/>
  <c r="D3710" i="16"/>
  <c r="C3710" i="16"/>
  <c r="B3710" i="16"/>
  <c r="A3710" i="16"/>
  <c r="J3710" i="16" s="1"/>
  <c r="P3709" i="16"/>
  <c r="K3709" i="16"/>
  <c r="I3709" i="16"/>
  <c r="G3709" i="16"/>
  <c r="D3709" i="16"/>
  <c r="C3709" i="16"/>
  <c r="B3709" i="16"/>
  <c r="A3709" i="16"/>
  <c r="N3709" i="16" s="1"/>
  <c r="J3708" i="16"/>
  <c r="I3708" i="16"/>
  <c r="D3708" i="16"/>
  <c r="C3708" i="16"/>
  <c r="B3708" i="16"/>
  <c r="A3708" i="16"/>
  <c r="L3707" i="16"/>
  <c r="J3707" i="16"/>
  <c r="E3707" i="16"/>
  <c r="D3707" i="16"/>
  <c r="C3707" i="16"/>
  <c r="B3707" i="16"/>
  <c r="A3707" i="16"/>
  <c r="P3707" i="16" s="1"/>
  <c r="D3706" i="16"/>
  <c r="C3706" i="16"/>
  <c r="B3706" i="16"/>
  <c r="A3706" i="16"/>
  <c r="D3705" i="16"/>
  <c r="C3705" i="16"/>
  <c r="B3705" i="16"/>
  <c r="A3705" i="16"/>
  <c r="H3704" i="16"/>
  <c r="E3704" i="16"/>
  <c r="D3704" i="16"/>
  <c r="C3704" i="16"/>
  <c r="B3704" i="16"/>
  <c r="A3704" i="16"/>
  <c r="K3704" i="16" s="1"/>
  <c r="M3703" i="16"/>
  <c r="H3703" i="16"/>
  <c r="G3703" i="16"/>
  <c r="D3703" i="16"/>
  <c r="C3703" i="16"/>
  <c r="B3703" i="16"/>
  <c r="A3703" i="16"/>
  <c r="N3703" i="16" s="1"/>
  <c r="P3702" i="16"/>
  <c r="F3702" i="16"/>
  <c r="E3702" i="16"/>
  <c r="D3702" i="16"/>
  <c r="C3702" i="16"/>
  <c r="B3702" i="16"/>
  <c r="A3702" i="16"/>
  <c r="T3702" i="16" s="1"/>
  <c r="D3701" i="16"/>
  <c r="C3701" i="16"/>
  <c r="B3701" i="16"/>
  <c r="A3701" i="16"/>
  <c r="D3700" i="16"/>
  <c r="C3700" i="16"/>
  <c r="B3700" i="16"/>
  <c r="A3700" i="16"/>
  <c r="P3699" i="16"/>
  <c r="M3699" i="16"/>
  <c r="I3699" i="16"/>
  <c r="H3699" i="16"/>
  <c r="D3699" i="16"/>
  <c r="C3699" i="16"/>
  <c r="B3699" i="16"/>
  <c r="A3699" i="16"/>
  <c r="L3698" i="16"/>
  <c r="K3698" i="16"/>
  <c r="J3698" i="16"/>
  <c r="D3698" i="16"/>
  <c r="C3698" i="16"/>
  <c r="B3698" i="16"/>
  <c r="A3698" i="16"/>
  <c r="M3698" i="16" s="1"/>
  <c r="O3697" i="16"/>
  <c r="N3697" i="16"/>
  <c r="M3697" i="16"/>
  <c r="L3697" i="16"/>
  <c r="J3697" i="16"/>
  <c r="G3697" i="16"/>
  <c r="F3697" i="16"/>
  <c r="E3697" i="16"/>
  <c r="D3697" i="16"/>
  <c r="C3697" i="16"/>
  <c r="B3697" i="16"/>
  <c r="A3697" i="16"/>
  <c r="T3697" i="16" s="1"/>
  <c r="O3696" i="16"/>
  <c r="N3696" i="16"/>
  <c r="M3696" i="16"/>
  <c r="J3696" i="16"/>
  <c r="F3696" i="16"/>
  <c r="E3696" i="16"/>
  <c r="D3696" i="16"/>
  <c r="C3696" i="16"/>
  <c r="B3696" i="16"/>
  <c r="A3696" i="16"/>
  <c r="K3696" i="16" s="1"/>
  <c r="N3695" i="16"/>
  <c r="D3695" i="16"/>
  <c r="C3695" i="16"/>
  <c r="B3695" i="16"/>
  <c r="A3695" i="16"/>
  <c r="F3694" i="16"/>
  <c r="E3694" i="16"/>
  <c r="D3694" i="16"/>
  <c r="C3694" i="16"/>
  <c r="B3694" i="16"/>
  <c r="A3694" i="16"/>
  <c r="O3694" i="16" s="1"/>
  <c r="D3693" i="16"/>
  <c r="C3693" i="16"/>
  <c r="B3693" i="16"/>
  <c r="A3693" i="16"/>
  <c r="O3693" i="16" s="1"/>
  <c r="I3692" i="16"/>
  <c r="D3692" i="16"/>
  <c r="C3692" i="16"/>
  <c r="B3692" i="16"/>
  <c r="A3692" i="16"/>
  <c r="T3691" i="16"/>
  <c r="P3691" i="16"/>
  <c r="L3691" i="16"/>
  <c r="I3691" i="16"/>
  <c r="H3691" i="16"/>
  <c r="E3691" i="16"/>
  <c r="D3691" i="16"/>
  <c r="C3691" i="16"/>
  <c r="B3691" i="16"/>
  <c r="A3691" i="16"/>
  <c r="J3691" i="16" s="1"/>
  <c r="K3690" i="16"/>
  <c r="D3690" i="16"/>
  <c r="C3690" i="16"/>
  <c r="B3690" i="16"/>
  <c r="A3690" i="16"/>
  <c r="M3689" i="16"/>
  <c r="J3689" i="16"/>
  <c r="G3689" i="16"/>
  <c r="F3689" i="16"/>
  <c r="D3689" i="16"/>
  <c r="C3689" i="16"/>
  <c r="B3689" i="16"/>
  <c r="A3689" i="16"/>
  <c r="K3689" i="16" s="1"/>
  <c r="K3688" i="16"/>
  <c r="J3688" i="16"/>
  <c r="H3688" i="16"/>
  <c r="G3688" i="16"/>
  <c r="D3688" i="16"/>
  <c r="C3688" i="16"/>
  <c r="B3688" i="16"/>
  <c r="A3688" i="16"/>
  <c r="T3687" i="16"/>
  <c r="P3687" i="16"/>
  <c r="O3687" i="16"/>
  <c r="N3687" i="16"/>
  <c r="L3687" i="16"/>
  <c r="G3687" i="16"/>
  <c r="F3687" i="16"/>
  <c r="E3687" i="16"/>
  <c r="D3687" i="16"/>
  <c r="C3687" i="16"/>
  <c r="B3687" i="16"/>
  <c r="A3687" i="16"/>
  <c r="H3687" i="16" s="1"/>
  <c r="O3686" i="16"/>
  <c r="J3686" i="16"/>
  <c r="I3686" i="16"/>
  <c r="E3686" i="16"/>
  <c r="D3686" i="16"/>
  <c r="C3686" i="16"/>
  <c r="B3686" i="16"/>
  <c r="A3686" i="16"/>
  <c r="M3686" i="16" s="1"/>
  <c r="K3685" i="16"/>
  <c r="J3685" i="16"/>
  <c r="I3685" i="16"/>
  <c r="H3685" i="16"/>
  <c r="D3685" i="16"/>
  <c r="C3685" i="16"/>
  <c r="B3685" i="16"/>
  <c r="A3685" i="16"/>
  <c r="P3684" i="16"/>
  <c r="D3684" i="16"/>
  <c r="C3684" i="16"/>
  <c r="B3684" i="16"/>
  <c r="A3684" i="16"/>
  <c r="D3683" i="16"/>
  <c r="C3683" i="16"/>
  <c r="B3683" i="16"/>
  <c r="A3683" i="16"/>
  <c r="T3683" i="16" s="1"/>
  <c r="D3682" i="16"/>
  <c r="C3682" i="16"/>
  <c r="B3682" i="16"/>
  <c r="A3682" i="16"/>
  <c r="O3681" i="16"/>
  <c r="N3681" i="16"/>
  <c r="M3681" i="16"/>
  <c r="L3681" i="16"/>
  <c r="J3681" i="16"/>
  <c r="G3681" i="16"/>
  <c r="F3681" i="16"/>
  <c r="E3681" i="16"/>
  <c r="D3681" i="16"/>
  <c r="C3681" i="16"/>
  <c r="B3681" i="16"/>
  <c r="A3681" i="16"/>
  <c r="T3681" i="16" s="1"/>
  <c r="M3680" i="16"/>
  <c r="D3680" i="16"/>
  <c r="C3680" i="16"/>
  <c r="B3680" i="16"/>
  <c r="A3680" i="16"/>
  <c r="L3679" i="16"/>
  <c r="I3679" i="16"/>
  <c r="D3679" i="16"/>
  <c r="C3679" i="16"/>
  <c r="B3679" i="16"/>
  <c r="A3679" i="16"/>
  <c r="D3678" i="16"/>
  <c r="C3678" i="16"/>
  <c r="B3678" i="16"/>
  <c r="A3678" i="16"/>
  <c r="D3677" i="16"/>
  <c r="C3677" i="16"/>
  <c r="B3677" i="16"/>
  <c r="A3677" i="16"/>
  <c r="O3676" i="16"/>
  <c r="J3676" i="16"/>
  <c r="I3676" i="16"/>
  <c r="D3676" i="16"/>
  <c r="C3676" i="16"/>
  <c r="B3676" i="16"/>
  <c r="A3676" i="16"/>
  <c r="M3675" i="16"/>
  <c r="L3675" i="16"/>
  <c r="D3675" i="16"/>
  <c r="C3675" i="16"/>
  <c r="B3675" i="16"/>
  <c r="A3675" i="16"/>
  <c r="D3674" i="16"/>
  <c r="C3674" i="16"/>
  <c r="B3674" i="16"/>
  <c r="A3674" i="16"/>
  <c r="O3673" i="16"/>
  <c r="D3673" i="16"/>
  <c r="C3673" i="16"/>
  <c r="B3673" i="16"/>
  <c r="A3673" i="16"/>
  <c r="N3672" i="16"/>
  <c r="M3672" i="16"/>
  <c r="J3672" i="16"/>
  <c r="H3672" i="16"/>
  <c r="E3672" i="16"/>
  <c r="D3672" i="16"/>
  <c r="C3672" i="16"/>
  <c r="B3672" i="16"/>
  <c r="A3672" i="16"/>
  <c r="K3672" i="16" s="1"/>
  <c r="D3671" i="16"/>
  <c r="C3671" i="16"/>
  <c r="B3671" i="16"/>
  <c r="A3671" i="16"/>
  <c r="M3670" i="16"/>
  <c r="J3670" i="16"/>
  <c r="D3670" i="16"/>
  <c r="C3670" i="16"/>
  <c r="B3670" i="16"/>
  <c r="A3670" i="16"/>
  <c r="T3669" i="16"/>
  <c r="P3669" i="16"/>
  <c r="D3669" i="16"/>
  <c r="C3669" i="16"/>
  <c r="B3669" i="16"/>
  <c r="A3669" i="16"/>
  <c r="J3669" i="16" s="1"/>
  <c r="H3668" i="16"/>
  <c r="G3668" i="16"/>
  <c r="D3668" i="16"/>
  <c r="C3668" i="16"/>
  <c r="B3668" i="16"/>
  <c r="A3668" i="16"/>
  <c r="P3668" i="16" s="1"/>
  <c r="J3667" i="16"/>
  <c r="I3667" i="16"/>
  <c r="D3667" i="16"/>
  <c r="C3667" i="16"/>
  <c r="B3667" i="16"/>
  <c r="A3667" i="16"/>
  <c r="J3666" i="16"/>
  <c r="I3666" i="16"/>
  <c r="F3666" i="16"/>
  <c r="E3666" i="16"/>
  <c r="D3666" i="16"/>
  <c r="C3666" i="16"/>
  <c r="B3666" i="16"/>
  <c r="A3666" i="16"/>
  <c r="T3666" i="16" s="1"/>
  <c r="N3665" i="16"/>
  <c r="J3665" i="16"/>
  <c r="E3665" i="16"/>
  <c r="D3665" i="16"/>
  <c r="C3665" i="16"/>
  <c r="B3665" i="16"/>
  <c r="A3665" i="16"/>
  <c r="L3665" i="16" s="1"/>
  <c r="L3664" i="16"/>
  <c r="K3664" i="16"/>
  <c r="G3664" i="16"/>
  <c r="D3664" i="16"/>
  <c r="C3664" i="16"/>
  <c r="B3664" i="16"/>
  <c r="A3664" i="16"/>
  <c r="M3664" i="16" s="1"/>
  <c r="D3663" i="16"/>
  <c r="C3663" i="16"/>
  <c r="B3663" i="16"/>
  <c r="A3663" i="16"/>
  <c r="T3662" i="16"/>
  <c r="D3662" i="16"/>
  <c r="C3662" i="16"/>
  <c r="B3662" i="16"/>
  <c r="A3662" i="16"/>
  <c r="T3661" i="16"/>
  <c r="P3661" i="16"/>
  <c r="H3661" i="16"/>
  <c r="G3661" i="16"/>
  <c r="F3661" i="16"/>
  <c r="D3661" i="16"/>
  <c r="C3661" i="16"/>
  <c r="B3661" i="16"/>
  <c r="A3661" i="16"/>
  <c r="O3661" i="16" s="1"/>
  <c r="O3660" i="16"/>
  <c r="L3660" i="16"/>
  <c r="K3660" i="16"/>
  <c r="G3660" i="16"/>
  <c r="D3660" i="16"/>
  <c r="C3660" i="16"/>
  <c r="B3660" i="16"/>
  <c r="A3660" i="16"/>
  <c r="T3660" i="16" s="1"/>
  <c r="L3659" i="16"/>
  <c r="K3659" i="16"/>
  <c r="J3659" i="16"/>
  <c r="I3659" i="16"/>
  <c r="D3659" i="16"/>
  <c r="C3659" i="16"/>
  <c r="B3659" i="16"/>
  <c r="A3659" i="16"/>
  <c r="T3658" i="16"/>
  <c r="N3658" i="16"/>
  <c r="M3658" i="16"/>
  <c r="D3658" i="16"/>
  <c r="C3658" i="16"/>
  <c r="B3658" i="16"/>
  <c r="A3658" i="16"/>
  <c r="O3657" i="16"/>
  <c r="N3657" i="16"/>
  <c r="M3657" i="16"/>
  <c r="J3657" i="16"/>
  <c r="G3657" i="16"/>
  <c r="F3657" i="16"/>
  <c r="E3657" i="16"/>
  <c r="D3657" i="16"/>
  <c r="C3657" i="16"/>
  <c r="B3657" i="16"/>
  <c r="A3657" i="16"/>
  <c r="T3657" i="16" s="1"/>
  <c r="P3656" i="16"/>
  <c r="O3656" i="16"/>
  <c r="N3656" i="16"/>
  <c r="M3656" i="16"/>
  <c r="L3656" i="16"/>
  <c r="K3656" i="16"/>
  <c r="G3656" i="16"/>
  <c r="F3656" i="16"/>
  <c r="E3656" i="16"/>
  <c r="D3656" i="16"/>
  <c r="C3656" i="16"/>
  <c r="B3656" i="16"/>
  <c r="A3656" i="16"/>
  <c r="T3656" i="16" s="1"/>
  <c r="D3655" i="16"/>
  <c r="C3655" i="16"/>
  <c r="B3655" i="16"/>
  <c r="A3655" i="16"/>
  <c r="T3654" i="16"/>
  <c r="G3654" i="16"/>
  <c r="F3654" i="16"/>
  <c r="D3654" i="16"/>
  <c r="C3654" i="16"/>
  <c r="B3654" i="16"/>
  <c r="A3654" i="16"/>
  <c r="T3653" i="16"/>
  <c r="P3653" i="16"/>
  <c r="O3653" i="16"/>
  <c r="H3653" i="16"/>
  <c r="G3653" i="16"/>
  <c r="F3653" i="16"/>
  <c r="D3653" i="16"/>
  <c r="C3653" i="16"/>
  <c r="B3653" i="16"/>
  <c r="A3653" i="16"/>
  <c r="N3653" i="16" s="1"/>
  <c r="D3652" i="16"/>
  <c r="C3652" i="16"/>
  <c r="B3652" i="16"/>
  <c r="A3652" i="16"/>
  <c r="P3652" i="16" s="1"/>
  <c r="T3651" i="16"/>
  <c r="D3651" i="16"/>
  <c r="C3651" i="16"/>
  <c r="B3651" i="16"/>
  <c r="A3651" i="16"/>
  <c r="T3650" i="16"/>
  <c r="L3650" i="16"/>
  <c r="I3650" i="16"/>
  <c r="F3650" i="16"/>
  <c r="E3650" i="16"/>
  <c r="D3650" i="16"/>
  <c r="C3650" i="16"/>
  <c r="B3650" i="16"/>
  <c r="A3650" i="16"/>
  <c r="J3650" i="16" s="1"/>
  <c r="O3649" i="16"/>
  <c r="N3649" i="16"/>
  <c r="L3649" i="16"/>
  <c r="K3649" i="16"/>
  <c r="J3649" i="16"/>
  <c r="E3649" i="16"/>
  <c r="D3649" i="16"/>
  <c r="C3649" i="16"/>
  <c r="B3649" i="16"/>
  <c r="A3649" i="16"/>
  <c r="D3648" i="16"/>
  <c r="C3648" i="16"/>
  <c r="B3648" i="16"/>
  <c r="A3648" i="16"/>
  <c r="D3647" i="16"/>
  <c r="C3647" i="16"/>
  <c r="B3647" i="16"/>
  <c r="A3647" i="16"/>
  <c r="T3646" i="16"/>
  <c r="P3646" i="16"/>
  <c r="H3646" i="16"/>
  <c r="G3646" i="16"/>
  <c r="F3646" i="16"/>
  <c r="E3646" i="16"/>
  <c r="D3646" i="16"/>
  <c r="C3646" i="16"/>
  <c r="B3646" i="16"/>
  <c r="A3646" i="16"/>
  <c r="O3646" i="16" s="1"/>
  <c r="D3645" i="16"/>
  <c r="C3645" i="16"/>
  <c r="B3645" i="16"/>
  <c r="A3645" i="16"/>
  <c r="D3644" i="16"/>
  <c r="C3644" i="16"/>
  <c r="B3644" i="16"/>
  <c r="A3644" i="16"/>
  <c r="P3643" i="16"/>
  <c r="L3643" i="16"/>
  <c r="D3643" i="16"/>
  <c r="C3643" i="16"/>
  <c r="B3643" i="16"/>
  <c r="A3643" i="16"/>
  <c r="T3642" i="16"/>
  <c r="M3642" i="16"/>
  <c r="L3642" i="16"/>
  <c r="D3642" i="16"/>
  <c r="C3642" i="16"/>
  <c r="B3642" i="16"/>
  <c r="A3642" i="16"/>
  <c r="O3641" i="16"/>
  <c r="N3641" i="16"/>
  <c r="M3641" i="16"/>
  <c r="J3641" i="16"/>
  <c r="G3641" i="16"/>
  <c r="F3641" i="16"/>
  <c r="E3641" i="16"/>
  <c r="D3641" i="16"/>
  <c r="C3641" i="16"/>
  <c r="B3641" i="16"/>
  <c r="A3641" i="16"/>
  <c r="T3641" i="16" s="1"/>
  <c r="P3640" i="16"/>
  <c r="O3640" i="16"/>
  <c r="N3640" i="16"/>
  <c r="M3640" i="16"/>
  <c r="L3640" i="16"/>
  <c r="K3640" i="16"/>
  <c r="H3640" i="16"/>
  <c r="G3640" i="16"/>
  <c r="F3640" i="16"/>
  <c r="E3640" i="16"/>
  <c r="D3640" i="16"/>
  <c r="C3640" i="16"/>
  <c r="B3640" i="16"/>
  <c r="A3640" i="16"/>
  <c r="T3640" i="16" s="1"/>
  <c r="P3639" i="16"/>
  <c r="O3639" i="16"/>
  <c r="D3639" i="16"/>
  <c r="C3639" i="16"/>
  <c r="B3639" i="16"/>
  <c r="A3639" i="16"/>
  <c r="T3638" i="16"/>
  <c r="P3638" i="16"/>
  <c r="M3638" i="16"/>
  <c r="G3638" i="16"/>
  <c r="F3638" i="16"/>
  <c r="E3638" i="16"/>
  <c r="D3638" i="16"/>
  <c r="C3638" i="16"/>
  <c r="B3638" i="16"/>
  <c r="A3638" i="16"/>
  <c r="H3638" i="16" s="1"/>
  <c r="P3637" i="16"/>
  <c r="K3637" i="16"/>
  <c r="J3637" i="16"/>
  <c r="F3637" i="16"/>
  <c r="D3637" i="16"/>
  <c r="C3637" i="16"/>
  <c r="B3637" i="16"/>
  <c r="A3637" i="16"/>
  <c r="N3637" i="16" s="1"/>
  <c r="K3636" i="16"/>
  <c r="J3636" i="16"/>
  <c r="I3636" i="16"/>
  <c r="H3636" i="16"/>
  <c r="D3636" i="16"/>
  <c r="C3636" i="16"/>
  <c r="B3636" i="16"/>
  <c r="A3636" i="16"/>
  <c r="T3635" i="16"/>
  <c r="H3635" i="16"/>
  <c r="E3635" i="16"/>
  <c r="D3635" i="16"/>
  <c r="C3635" i="16"/>
  <c r="B3635" i="16"/>
  <c r="A3635" i="16"/>
  <c r="J3635" i="16" s="1"/>
  <c r="L3634" i="16"/>
  <c r="K3634" i="16"/>
  <c r="D3634" i="16"/>
  <c r="C3634" i="16"/>
  <c r="B3634" i="16"/>
  <c r="A3634" i="16"/>
  <c r="N3634" i="16" s="1"/>
  <c r="O3633" i="16"/>
  <c r="N3633" i="16"/>
  <c r="M3633" i="16"/>
  <c r="L3633" i="16"/>
  <c r="J3633" i="16"/>
  <c r="G3633" i="16"/>
  <c r="F3633" i="16"/>
  <c r="E3633" i="16"/>
  <c r="D3633" i="16"/>
  <c r="C3633" i="16"/>
  <c r="B3633" i="16"/>
  <c r="A3633" i="16"/>
  <c r="T3633" i="16" s="1"/>
  <c r="D3632" i="16"/>
  <c r="C3632" i="16"/>
  <c r="B3632" i="16"/>
  <c r="A3632" i="16"/>
  <c r="O3631" i="16"/>
  <c r="D3631" i="16"/>
  <c r="C3631" i="16"/>
  <c r="B3631" i="16"/>
  <c r="A3631" i="16"/>
  <c r="P3630" i="16"/>
  <c r="D3630" i="16"/>
  <c r="C3630" i="16"/>
  <c r="B3630" i="16"/>
  <c r="A3630" i="16"/>
  <c r="D3629" i="16"/>
  <c r="C3629" i="16"/>
  <c r="B3629" i="16"/>
  <c r="A3629" i="16"/>
  <c r="I3628" i="16"/>
  <c r="H3628" i="16"/>
  <c r="G3628" i="16"/>
  <c r="D3628" i="16"/>
  <c r="C3628" i="16"/>
  <c r="B3628" i="16"/>
  <c r="A3628" i="16"/>
  <c r="T3628" i="16" s="1"/>
  <c r="M3627" i="16"/>
  <c r="L3627" i="16"/>
  <c r="E3627" i="16"/>
  <c r="D3627" i="16"/>
  <c r="C3627" i="16"/>
  <c r="B3627" i="16"/>
  <c r="A3627" i="16"/>
  <c r="P3627" i="16" s="1"/>
  <c r="D3626" i="16"/>
  <c r="C3626" i="16"/>
  <c r="B3626" i="16"/>
  <c r="A3626" i="16"/>
  <c r="M3625" i="16"/>
  <c r="D3625" i="16"/>
  <c r="C3625" i="16"/>
  <c r="B3625" i="16"/>
  <c r="A3625" i="16"/>
  <c r="P3624" i="16"/>
  <c r="O3624" i="16"/>
  <c r="N3624" i="16"/>
  <c r="K3624" i="16"/>
  <c r="H3624" i="16"/>
  <c r="G3624" i="16"/>
  <c r="F3624" i="16"/>
  <c r="E3624" i="16"/>
  <c r="D3624" i="16"/>
  <c r="C3624" i="16"/>
  <c r="B3624" i="16"/>
  <c r="A3624" i="16"/>
  <c r="N3623" i="16"/>
  <c r="M3623" i="16"/>
  <c r="F3623" i="16"/>
  <c r="D3623" i="16"/>
  <c r="C3623" i="16"/>
  <c r="B3623" i="16"/>
  <c r="A3623" i="16"/>
  <c r="O3623" i="16" s="1"/>
  <c r="J3622" i="16"/>
  <c r="I3622" i="16"/>
  <c r="E3622" i="16"/>
  <c r="D3622" i="16"/>
  <c r="C3622" i="16"/>
  <c r="B3622" i="16"/>
  <c r="A3622" i="16"/>
  <c r="O3622" i="16" s="1"/>
  <c r="I3621" i="16"/>
  <c r="H3621" i="16"/>
  <c r="D3621" i="16"/>
  <c r="C3621" i="16"/>
  <c r="B3621" i="16"/>
  <c r="A3621" i="16"/>
  <c r="J3620" i="16"/>
  <c r="I3620" i="16"/>
  <c r="H3620" i="16"/>
  <c r="G3620" i="16"/>
  <c r="D3620" i="16"/>
  <c r="C3620" i="16"/>
  <c r="B3620" i="16"/>
  <c r="A3620" i="16"/>
  <c r="T3620" i="16" s="1"/>
  <c r="T3619" i="16"/>
  <c r="P3619" i="16"/>
  <c r="M3619" i="16"/>
  <c r="D3619" i="16"/>
  <c r="C3619" i="16"/>
  <c r="B3619" i="16"/>
  <c r="A3619" i="16"/>
  <c r="D3618" i="16"/>
  <c r="C3618" i="16"/>
  <c r="B3618" i="16"/>
  <c r="A3618" i="16"/>
  <c r="O3617" i="16"/>
  <c r="N3617" i="16"/>
  <c r="M3617" i="16"/>
  <c r="J3617" i="16"/>
  <c r="G3617" i="16"/>
  <c r="F3617" i="16"/>
  <c r="E3617" i="16"/>
  <c r="D3617" i="16"/>
  <c r="C3617" i="16"/>
  <c r="B3617" i="16"/>
  <c r="A3617" i="16"/>
  <c r="T3617" i="16" s="1"/>
  <c r="P3616" i="16"/>
  <c r="O3616" i="16"/>
  <c r="N3616" i="16"/>
  <c r="M3616" i="16"/>
  <c r="L3616" i="16"/>
  <c r="K3616" i="16"/>
  <c r="G3616" i="16"/>
  <c r="F3616" i="16"/>
  <c r="E3616" i="16"/>
  <c r="D3616" i="16"/>
  <c r="C3616" i="16"/>
  <c r="B3616" i="16"/>
  <c r="A3616" i="16"/>
  <c r="T3616" i="16" s="1"/>
  <c r="M3615" i="16"/>
  <c r="L3615" i="16"/>
  <c r="D3615" i="16"/>
  <c r="C3615" i="16"/>
  <c r="B3615" i="16"/>
  <c r="A3615" i="16"/>
  <c r="D3614" i="16"/>
  <c r="C3614" i="16"/>
  <c r="B3614" i="16"/>
  <c r="A3614" i="16"/>
  <c r="D3613" i="16"/>
  <c r="C3613" i="16"/>
  <c r="B3613" i="16"/>
  <c r="A3613" i="16"/>
  <c r="T3612" i="16"/>
  <c r="P3612" i="16"/>
  <c r="D3612" i="16"/>
  <c r="C3612" i="16"/>
  <c r="B3612" i="16"/>
  <c r="A3612" i="16"/>
  <c r="M3611" i="16"/>
  <c r="L3611" i="16"/>
  <c r="D3611" i="16"/>
  <c r="C3611" i="16"/>
  <c r="B3611" i="16"/>
  <c r="A3611" i="16"/>
  <c r="K3610" i="16"/>
  <c r="J3610" i="16"/>
  <c r="D3610" i="16"/>
  <c r="C3610" i="16"/>
  <c r="B3610" i="16"/>
  <c r="A3610" i="16"/>
  <c r="O3609" i="16"/>
  <c r="N3609" i="16"/>
  <c r="M3609" i="16"/>
  <c r="J3609" i="16"/>
  <c r="G3609" i="16"/>
  <c r="F3609" i="16"/>
  <c r="E3609" i="16"/>
  <c r="D3609" i="16"/>
  <c r="C3609" i="16"/>
  <c r="B3609" i="16"/>
  <c r="A3609" i="16"/>
  <c r="T3609" i="16" s="1"/>
  <c r="P3608" i="16"/>
  <c r="O3608" i="16"/>
  <c r="N3608" i="16"/>
  <c r="M3608" i="16"/>
  <c r="L3608" i="16"/>
  <c r="K3608" i="16"/>
  <c r="G3608" i="16"/>
  <c r="F3608" i="16"/>
  <c r="E3608" i="16"/>
  <c r="D3608" i="16"/>
  <c r="C3608" i="16"/>
  <c r="B3608" i="16"/>
  <c r="A3608" i="16"/>
  <c r="T3608" i="16" s="1"/>
  <c r="D3607" i="16"/>
  <c r="C3607" i="16"/>
  <c r="B3607" i="16"/>
  <c r="A3607" i="16"/>
  <c r="D3606" i="16"/>
  <c r="C3606" i="16"/>
  <c r="B3606" i="16"/>
  <c r="A3606" i="16"/>
  <c r="T3605" i="16"/>
  <c r="D3605" i="16"/>
  <c r="C3605" i="16"/>
  <c r="B3605" i="16"/>
  <c r="A3605" i="16"/>
  <c r="T3604" i="16"/>
  <c r="P3604" i="16"/>
  <c r="H3604" i="16"/>
  <c r="G3604" i="16"/>
  <c r="D3604" i="16"/>
  <c r="C3604" i="16"/>
  <c r="B3604" i="16"/>
  <c r="A3604" i="16"/>
  <c r="I3603" i="16"/>
  <c r="D3603" i="16"/>
  <c r="C3603" i="16"/>
  <c r="B3603" i="16"/>
  <c r="A3603" i="16"/>
  <c r="T3602" i="16"/>
  <c r="I3602" i="16"/>
  <c r="F3602" i="16"/>
  <c r="E3602" i="16"/>
  <c r="D3602" i="16"/>
  <c r="C3602" i="16"/>
  <c r="B3602" i="16"/>
  <c r="A3602" i="16"/>
  <c r="N3602" i="16" s="1"/>
  <c r="N3601" i="16"/>
  <c r="K3601" i="16"/>
  <c r="J3601" i="16"/>
  <c r="G3601" i="16"/>
  <c r="D3601" i="16"/>
  <c r="C3601" i="16"/>
  <c r="B3601" i="16"/>
  <c r="A3601" i="16"/>
  <c r="L3601" i="16" s="1"/>
  <c r="L3600" i="16"/>
  <c r="K3600" i="16"/>
  <c r="J3600" i="16"/>
  <c r="D3600" i="16"/>
  <c r="C3600" i="16"/>
  <c r="B3600" i="16"/>
  <c r="A3600" i="16"/>
  <c r="I3599" i="16"/>
  <c r="H3599" i="16"/>
  <c r="G3599" i="16"/>
  <c r="D3599" i="16"/>
  <c r="C3599" i="16"/>
  <c r="B3599" i="16"/>
  <c r="A3599" i="16"/>
  <c r="L3599" i="16" s="1"/>
  <c r="J3598" i="16"/>
  <c r="I3598" i="16"/>
  <c r="H3598" i="16"/>
  <c r="D3598" i="16"/>
  <c r="C3598" i="16"/>
  <c r="B3598" i="16"/>
  <c r="A3598" i="16"/>
  <c r="P3598" i="16" s="1"/>
  <c r="P3597" i="16"/>
  <c r="O3597" i="16"/>
  <c r="I3597" i="16"/>
  <c r="H3597" i="16"/>
  <c r="D3597" i="16"/>
  <c r="C3597" i="16"/>
  <c r="B3597" i="16"/>
  <c r="A3597" i="16"/>
  <c r="L3596" i="16"/>
  <c r="K3596" i="16"/>
  <c r="D3596" i="16"/>
  <c r="C3596" i="16"/>
  <c r="B3596" i="16"/>
  <c r="A3596" i="16"/>
  <c r="K3595" i="16"/>
  <c r="J3595" i="16"/>
  <c r="I3595" i="16"/>
  <c r="D3595" i="16"/>
  <c r="C3595" i="16"/>
  <c r="B3595" i="16"/>
  <c r="A3595" i="16"/>
  <c r="H3595" i="16" s="1"/>
  <c r="N3594" i="16"/>
  <c r="M3594" i="16"/>
  <c r="E3594" i="16"/>
  <c r="D3594" i="16"/>
  <c r="C3594" i="16"/>
  <c r="B3594" i="16"/>
  <c r="A3594" i="16"/>
  <c r="T3594" i="16" s="1"/>
  <c r="L3593" i="16"/>
  <c r="G3593" i="16"/>
  <c r="F3593" i="16"/>
  <c r="E3593" i="16"/>
  <c r="D3593" i="16"/>
  <c r="C3593" i="16"/>
  <c r="B3593" i="16"/>
  <c r="A3593" i="16"/>
  <c r="J3593" i="16" s="1"/>
  <c r="P3592" i="16"/>
  <c r="O3592" i="16"/>
  <c r="N3592" i="16"/>
  <c r="M3592" i="16"/>
  <c r="G3592" i="16"/>
  <c r="F3592" i="16"/>
  <c r="E3592" i="16"/>
  <c r="D3592" i="16"/>
  <c r="C3592" i="16"/>
  <c r="B3592" i="16"/>
  <c r="A3592" i="16"/>
  <c r="H3592" i="16" s="1"/>
  <c r="I3591" i="16"/>
  <c r="H3591" i="16"/>
  <c r="G3591" i="16"/>
  <c r="D3591" i="16"/>
  <c r="C3591" i="16"/>
  <c r="B3591" i="16"/>
  <c r="A3591" i="16"/>
  <c r="L3591" i="16" s="1"/>
  <c r="O3590" i="16"/>
  <c r="G3590" i="16"/>
  <c r="F3590" i="16"/>
  <c r="E3590" i="16"/>
  <c r="D3590" i="16"/>
  <c r="C3590" i="16"/>
  <c r="B3590" i="16"/>
  <c r="A3590" i="16"/>
  <c r="H3590" i="16" s="1"/>
  <c r="T3589" i="16"/>
  <c r="P3589" i="16"/>
  <c r="O3589" i="16"/>
  <c r="N3589" i="16"/>
  <c r="D3589" i="16"/>
  <c r="C3589" i="16"/>
  <c r="B3589" i="16"/>
  <c r="A3589" i="16"/>
  <c r="D3588" i="16"/>
  <c r="C3588" i="16"/>
  <c r="B3588" i="16"/>
  <c r="A3588" i="16"/>
  <c r="D3587" i="16"/>
  <c r="C3587" i="16"/>
  <c r="B3587" i="16"/>
  <c r="A3587" i="16"/>
  <c r="T3586" i="16"/>
  <c r="M3586" i="16"/>
  <c r="L3586" i="16"/>
  <c r="F3586" i="16"/>
  <c r="E3586" i="16"/>
  <c r="D3586" i="16"/>
  <c r="C3586" i="16"/>
  <c r="B3586" i="16"/>
  <c r="A3586" i="16"/>
  <c r="J3586" i="16" s="1"/>
  <c r="D3585" i="16"/>
  <c r="C3585" i="16"/>
  <c r="B3585" i="16"/>
  <c r="A3585" i="16"/>
  <c r="P3584" i="16"/>
  <c r="O3584" i="16"/>
  <c r="J3584" i="16"/>
  <c r="H3584" i="16"/>
  <c r="G3584" i="16"/>
  <c r="F3584" i="16"/>
  <c r="D3584" i="16"/>
  <c r="C3584" i="16"/>
  <c r="B3584" i="16"/>
  <c r="A3584" i="16"/>
  <c r="T3583" i="16"/>
  <c r="P3583" i="16"/>
  <c r="O3583" i="16"/>
  <c r="E3583" i="16"/>
  <c r="D3583" i="16"/>
  <c r="C3583" i="16"/>
  <c r="B3583" i="16"/>
  <c r="A3583" i="16"/>
  <c r="T3582" i="16"/>
  <c r="G3582" i="16"/>
  <c r="F3582" i="16"/>
  <c r="E3582" i="16"/>
  <c r="D3582" i="16"/>
  <c r="C3582" i="16"/>
  <c r="B3582" i="16"/>
  <c r="A3582" i="16"/>
  <c r="H3582" i="16" s="1"/>
  <c r="P3581" i="16"/>
  <c r="O3581" i="16"/>
  <c r="N3581" i="16"/>
  <c r="D3581" i="16"/>
  <c r="C3581" i="16"/>
  <c r="B3581" i="16"/>
  <c r="A3581" i="16"/>
  <c r="T3581" i="16" s="1"/>
  <c r="D3580" i="16"/>
  <c r="C3580" i="16"/>
  <c r="B3580" i="16"/>
  <c r="A3580" i="16"/>
  <c r="D3579" i="16"/>
  <c r="C3579" i="16"/>
  <c r="B3579" i="16"/>
  <c r="A3579" i="16"/>
  <c r="D3578" i="16"/>
  <c r="C3578" i="16"/>
  <c r="B3578" i="16"/>
  <c r="A3578" i="16"/>
  <c r="O3577" i="16"/>
  <c r="N3577" i="16"/>
  <c r="M3577" i="16"/>
  <c r="J3577" i="16"/>
  <c r="G3577" i="16"/>
  <c r="F3577" i="16"/>
  <c r="E3577" i="16"/>
  <c r="D3577" i="16"/>
  <c r="C3577" i="16"/>
  <c r="B3577" i="16"/>
  <c r="A3577" i="16"/>
  <c r="T3577" i="16" s="1"/>
  <c r="P3576" i="16"/>
  <c r="O3576" i="16"/>
  <c r="N3576" i="16"/>
  <c r="M3576" i="16"/>
  <c r="L3576" i="16"/>
  <c r="K3576" i="16"/>
  <c r="H3576" i="16"/>
  <c r="G3576" i="16"/>
  <c r="F3576" i="16"/>
  <c r="E3576" i="16"/>
  <c r="D3576" i="16"/>
  <c r="C3576" i="16"/>
  <c r="B3576" i="16"/>
  <c r="A3576" i="16"/>
  <c r="T3576" i="16" s="1"/>
  <c r="O3575" i="16"/>
  <c r="N3575" i="16"/>
  <c r="D3575" i="16"/>
  <c r="C3575" i="16"/>
  <c r="B3575" i="16"/>
  <c r="A3575" i="16"/>
  <c r="T3574" i="16"/>
  <c r="P3574" i="16"/>
  <c r="O3574" i="16"/>
  <c r="M3574" i="16"/>
  <c r="G3574" i="16"/>
  <c r="F3574" i="16"/>
  <c r="E3574" i="16"/>
  <c r="D3574" i="16"/>
  <c r="C3574" i="16"/>
  <c r="B3574" i="16"/>
  <c r="A3574" i="16"/>
  <c r="H3574" i="16" s="1"/>
  <c r="D3573" i="16"/>
  <c r="C3573" i="16"/>
  <c r="B3573" i="16"/>
  <c r="A3573" i="16"/>
  <c r="I3572" i="16"/>
  <c r="H3572" i="16"/>
  <c r="D3572" i="16"/>
  <c r="C3572" i="16"/>
  <c r="B3572" i="16"/>
  <c r="A3572" i="16"/>
  <c r="M3571" i="16"/>
  <c r="I3571" i="16"/>
  <c r="H3571" i="16"/>
  <c r="E3571" i="16"/>
  <c r="D3571" i="16"/>
  <c r="C3571" i="16"/>
  <c r="B3571" i="16"/>
  <c r="A3571" i="16"/>
  <c r="J3571" i="16" s="1"/>
  <c r="N3570" i="16"/>
  <c r="M3570" i="16"/>
  <c r="D3570" i="16"/>
  <c r="C3570" i="16"/>
  <c r="B3570" i="16"/>
  <c r="A3570" i="16"/>
  <c r="K3569" i="16"/>
  <c r="J3569" i="16"/>
  <c r="G3569" i="16"/>
  <c r="F3569" i="16"/>
  <c r="D3569" i="16"/>
  <c r="C3569" i="16"/>
  <c r="B3569" i="16"/>
  <c r="A3569" i="16"/>
  <c r="D3568" i="16"/>
  <c r="C3568" i="16"/>
  <c r="B3568" i="16"/>
  <c r="A3568" i="16"/>
  <c r="T3567" i="16"/>
  <c r="N3567" i="16"/>
  <c r="F3567" i="16"/>
  <c r="E3567" i="16"/>
  <c r="D3567" i="16"/>
  <c r="C3567" i="16"/>
  <c r="B3567" i="16"/>
  <c r="A3567" i="16"/>
  <c r="O3567" i="16" s="1"/>
  <c r="M3566" i="16"/>
  <c r="J3566" i="16"/>
  <c r="F3566" i="16"/>
  <c r="E3566" i="16"/>
  <c r="D3566" i="16"/>
  <c r="C3566" i="16"/>
  <c r="B3566" i="16"/>
  <c r="A3566" i="16"/>
  <c r="K3565" i="16"/>
  <c r="J3565" i="16"/>
  <c r="I3565" i="16"/>
  <c r="D3565" i="16"/>
  <c r="C3565" i="16"/>
  <c r="B3565" i="16"/>
  <c r="A3565" i="16"/>
  <c r="N3565" i="16" s="1"/>
  <c r="K3564" i="16"/>
  <c r="J3564" i="16"/>
  <c r="I3564" i="16"/>
  <c r="H3564" i="16"/>
  <c r="D3564" i="16"/>
  <c r="C3564" i="16"/>
  <c r="B3564" i="16"/>
  <c r="A3564" i="16"/>
  <c r="P3563" i="16"/>
  <c r="M3563" i="16"/>
  <c r="D3563" i="16"/>
  <c r="C3563" i="16"/>
  <c r="B3563" i="16"/>
  <c r="A3563" i="16"/>
  <c r="M3562" i="16"/>
  <c r="D3562" i="16"/>
  <c r="C3562" i="16"/>
  <c r="B3562" i="16"/>
  <c r="A3562" i="16"/>
  <c r="L3561" i="16"/>
  <c r="K3561" i="16"/>
  <c r="J3561" i="16"/>
  <c r="G3561" i="16"/>
  <c r="D3561" i="16"/>
  <c r="C3561" i="16"/>
  <c r="B3561" i="16"/>
  <c r="A3561" i="16"/>
  <c r="P3560" i="16"/>
  <c r="O3560" i="16"/>
  <c r="L3560" i="16"/>
  <c r="K3560" i="16"/>
  <c r="D3560" i="16"/>
  <c r="C3560" i="16"/>
  <c r="B3560" i="16"/>
  <c r="A3560" i="16"/>
  <c r="D3559" i="16"/>
  <c r="C3559" i="16"/>
  <c r="B3559" i="16"/>
  <c r="A3559" i="16"/>
  <c r="I3558" i="16"/>
  <c r="D3558" i="16"/>
  <c r="C3558" i="16"/>
  <c r="B3558" i="16"/>
  <c r="A3558" i="16"/>
  <c r="D3557" i="16"/>
  <c r="C3557" i="16"/>
  <c r="B3557" i="16"/>
  <c r="A3557" i="16"/>
  <c r="J3556" i="16"/>
  <c r="I3556" i="16"/>
  <c r="H3556" i="16"/>
  <c r="G3556" i="16"/>
  <c r="D3556" i="16"/>
  <c r="C3556" i="16"/>
  <c r="B3556" i="16"/>
  <c r="A3556" i="16"/>
  <c r="T3556" i="16" s="1"/>
  <c r="T3555" i="16"/>
  <c r="P3555" i="16"/>
  <c r="M3555" i="16"/>
  <c r="L3555" i="16"/>
  <c r="D3555" i="16"/>
  <c r="C3555" i="16"/>
  <c r="B3555" i="16"/>
  <c r="A3555" i="16"/>
  <c r="L3554" i="16"/>
  <c r="K3554" i="16"/>
  <c r="D3554" i="16"/>
  <c r="C3554" i="16"/>
  <c r="B3554" i="16"/>
  <c r="A3554" i="16"/>
  <c r="L3553" i="16"/>
  <c r="K3553" i="16"/>
  <c r="D3553" i="16"/>
  <c r="C3553" i="16"/>
  <c r="B3553" i="16"/>
  <c r="A3553" i="16"/>
  <c r="P3552" i="16"/>
  <c r="O3552" i="16"/>
  <c r="J3552" i="16"/>
  <c r="F3552" i="16"/>
  <c r="E3552" i="16"/>
  <c r="D3552" i="16"/>
  <c r="C3552" i="16"/>
  <c r="B3552" i="16"/>
  <c r="A3552" i="16"/>
  <c r="K3552" i="16" s="1"/>
  <c r="L3551" i="16"/>
  <c r="D3551" i="16"/>
  <c r="C3551" i="16"/>
  <c r="B3551" i="16"/>
  <c r="A3551" i="16"/>
  <c r="N3551" i="16" s="1"/>
  <c r="D3550" i="16"/>
  <c r="C3550" i="16"/>
  <c r="B3550" i="16"/>
  <c r="A3550" i="16"/>
  <c r="D3549" i="16"/>
  <c r="C3549" i="16"/>
  <c r="B3549" i="16"/>
  <c r="A3549" i="16"/>
  <c r="T3548" i="16"/>
  <c r="P3548" i="16"/>
  <c r="I3548" i="16"/>
  <c r="H3548" i="16"/>
  <c r="G3548" i="16"/>
  <c r="D3548" i="16"/>
  <c r="C3548" i="16"/>
  <c r="B3548" i="16"/>
  <c r="A3548" i="16"/>
  <c r="O3548" i="16" s="1"/>
  <c r="L3547" i="16"/>
  <c r="K3547" i="16"/>
  <c r="J3547" i="16"/>
  <c r="D3547" i="16"/>
  <c r="C3547" i="16"/>
  <c r="B3547" i="16"/>
  <c r="A3547" i="16"/>
  <c r="M3547" i="16" s="1"/>
  <c r="D3546" i="16"/>
  <c r="C3546" i="16"/>
  <c r="B3546" i="16"/>
  <c r="A3546" i="16"/>
  <c r="O3545" i="16"/>
  <c r="N3545" i="16"/>
  <c r="M3545" i="16"/>
  <c r="J3545" i="16"/>
  <c r="G3545" i="16"/>
  <c r="F3545" i="16"/>
  <c r="E3545" i="16"/>
  <c r="D3545" i="16"/>
  <c r="C3545" i="16"/>
  <c r="B3545" i="16"/>
  <c r="A3545" i="16"/>
  <c r="T3545" i="16" s="1"/>
  <c r="P3544" i="16"/>
  <c r="O3544" i="16"/>
  <c r="N3544" i="16"/>
  <c r="M3544" i="16"/>
  <c r="L3544" i="16"/>
  <c r="K3544" i="16"/>
  <c r="G3544" i="16"/>
  <c r="F3544" i="16"/>
  <c r="E3544" i="16"/>
  <c r="D3544" i="16"/>
  <c r="C3544" i="16"/>
  <c r="B3544" i="16"/>
  <c r="A3544" i="16"/>
  <c r="T3544" i="16" s="1"/>
  <c r="I3543" i="16"/>
  <c r="H3543" i="16"/>
  <c r="D3543" i="16"/>
  <c r="C3543" i="16"/>
  <c r="B3543" i="16"/>
  <c r="A3543" i="16"/>
  <c r="D3542" i="16"/>
  <c r="C3542" i="16"/>
  <c r="B3542" i="16"/>
  <c r="A3542" i="16"/>
  <c r="D3541" i="16"/>
  <c r="C3541" i="16"/>
  <c r="B3541" i="16"/>
  <c r="A3541" i="16"/>
  <c r="L3540" i="16"/>
  <c r="I3540" i="16"/>
  <c r="H3540" i="16"/>
  <c r="G3540" i="16"/>
  <c r="D3540" i="16"/>
  <c r="C3540" i="16"/>
  <c r="B3540" i="16"/>
  <c r="A3540" i="16"/>
  <c r="L3539" i="16"/>
  <c r="K3539" i="16"/>
  <c r="J3539" i="16"/>
  <c r="I3539" i="16"/>
  <c r="D3539" i="16"/>
  <c r="C3539" i="16"/>
  <c r="B3539" i="16"/>
  <c r="A3539" i="16"/>
  <c r="N3538" i="16"/>
  <c r="J3538" i="16"/>
  <c r="I3538" i="16"/>
  <c r="F3538" i="16"/>
  <c r="D3538" i="16"/>
  <c r="C3538" i="16"/>
  <c r="B3538" i="16"/>
  <c r="A3538" i="16"/>
  <c r="E3538" i="16" s="1"/>
  <c r="O3537" i="16"/>
  <c r="N3537" i="16"/>
  <c r="M3537" i="16"/>
  <c r="J3537" i="16"/>
  <c r="G3537" i="16"/>
  <c r="F3537" i="16"/>
  <c r="E3537" i="16"/>
  <c r="D3537" i="16"/>
  <c r="C3537" i="16"/>
  <c r="B3537" i="16"/>
  <c r="A3537" i="16"/>
  <c r="T3537" i="16" s="1"/>
  <c r="P3536" i="16"/>
  <c r="O3536" i="16"/>
  <c r="N3536" i="16"/>
  <c r="M3536" i="16"/>
  <c r="L3536" i="16"/>
  <c r="K3536" i="16"/>
  <c r="G3536" i="16"/>
  <c r="F3536" i="16"/>
  <c r="E3536" i="16"/>
  <c r="D3536" i="16"/>
  <c r="C3536" i="16"/>
  <c r="B3536" i="16"/>
  <c r="A3536" i="16"/>
  <c r="T3536" i="16" s="1"/>
  <c r="L3535" i="16"/>
  <c r="I3535" i="16"/>
  <c r="H3535" i="16"/>
  <c r="G3535" i="16"/>
  <c r="D3535" i="16"/>
  <c r="C3535" i="16"/>
  <c r="B3535" i="16"/>
  <c r="A3535" i="16"/>
  <c r="T3535" i="16" s="1"/>
  <c r="T3534" i="16"/>
  <c r="P3534" i="16"/>
  <c r="J3534" i="16"/>
  <c r="I3534" i="16"/>
  <c r="D3534" i="16"/>
  <c r="C3534" i="16"/>
  <c r="B3534" i="16"/>
  <c r="A3534" i="16"/>
  <c r="T3533" i="16"/>
  <c r="P3533" i="16"/>
  <c r="O3533" i="16"/>
  <c r="D3533" i="16"/>
  <c r="C3533" i="16"/>
  <c r="B3533" i="16"/>
  <c r="A3533" i="16"/>
  <c r="T3532" i="16"/>
  <c r="O3532" i="16"/>
  <c r="L3532" i="16"/>
  <c r="D3532" i="16"/>
  <c r="C3532" i="16"/>
  <c r="B3532" i="16"/>
  <c r="A3532" i="16"/>
  <c r="D3531" i="16"/>
  <c r="C3531" i="16"/>
  <c r="B3531" i="16"/>
  <c r="A3531" i="16"/>
  <c r="M3530" i="16"/>
  <c r="I3530" i="16"/>
  <c r="F3530" i="16"/>
  <c r="E3530" i="16"/>
  <c r="D3530" i="16"/>
  <c r="C3530" i="16"/>
  <c r="B3530" i="16"/>
  <c r="A3530" i="16"/>
  <c r="J3530" i="16" s="1"/>
  <c r="O3529" i="16"/>
  <c r="N3529" i="16"/>
  <c r="M3529" i="16"/>
  <c r="L3529" i="16"/>
  <c r="G3529" i="16"/>
  <c r="F3529" i="16"/>
  <c r="E3529" i="16"/>
  <c r="D3529" i="16"/>
  <c r="C3529" i="16"/>
  <c r="B3529" i="16"/>
  <c r="A3529" i="16"/>
  <c r="T3529" i="16" s="1"/>
  <c r="O3528" i="16"/>
  <c r="N3528" i="16"/>
  <c r="M3528" i="16"/>
  <c r="J3528" i="16"/>
  <c r="F3528" i="16"/>
  <c r="E3528" i="16"/>
  <c r="D3528" i="16"/>
  <c r="C3528" i="16"/>
  <c r="B3528" i="16"/>
  <c r="A3528" i="16"/>
  <c r="K3528" i="16" s="1"/>
  <c r="H3527" i="16"/>
  <c r="D3527" i="16"/>
  <c r="C3527" i="16"/>
  <c r="B3527" i="16"/>
  <c r="A3527" i="16"/>
  <c r="F3526" i="16"/>
  <c r="E3526" i="16"/>
  <c r="D3526" i="16"/>
  <c r="C3526" i="16"/>
  <c r="B3526" i="16"/>
  <c r="A3526" i="16"/>
  <c r="O3526" i="16" s="1"/>
  <c r="O3525" i="16"/>
  <c r="N3525" i="16"/>
  <c r="H3525" i="16"/>
  <c r="D3525" i="16"/>
  <c r="C3525" i="16"/>
  <c r="B3525" i="16"/>
  <c r="A3525" i="16"/>
  <c r="P3525" i="16" s="1"/>
  <c r="D3524" i="16"/>
  <c r="C3524" i="16"/>
  <c r="B3524" i="16"/>
  <c r="A3524" i="16"/>
  <c r="D3523" i="16"/>
  <c r="C3523" i="16"/>
  <c r="B3523" i="16"/>
  <c r="A3523" i="16"/>
  <c r="T3522" i="16"/>
  <c r="N3522" i="16"/>
  <c r="J3522" i="16"/>
  <c r="F3522" i="16"/>
  <c r="E3522" i="16"/>
  <c r="D3522" i="16"/>
  <c r="C3522" i="16"/>
  <c r="B3522" i="16"/>
  <c r="A3522" i="16"/>
  <c r="I3522" i="16" s="1"/>
  <c r="N3521" i="16"/>
  <c r="L3521" i="16"/>
  <c r="K3521" i="16"/>
  <c r="J3521" i="16"/>
  <c r="G3521" i="16"/>
  <c r="D3521" i="16"/>
  <c r="C3521" i="16"/>
  <c r="B3521" i="16"/>
  <c r="A3521" i="16"/>
  <c r="K3520" i="16"/>
  <c r="G3520" i="16"/>
  <c r="D3520" i="16"/>
  <c r="C3520" i="16"/>
  <c r="B3520" i="16"/>
  <c r="A3520" i="16"/>
  <c r="O3520" i="16" s="1"/>
  <c r="F3519" i="16"/>
  <c r="D3519" i="16"/>
  <c r="C3519" i="16"/>
  <c r="B3519" i="16"/>
  <c r="A3519" i="16"/>
  <c r="T3518" i="16"/>
  <c r="P3518" i="16"/>
  <c r="O3518" i="16"/>
  <c r="H3518" i="16"/>
  <c r="G3518" i="16"/>
  <c r="F3518" i="16"/>
  <c r="E3518" i="16"/>
  <c r="D3518" i="16"/>
  <c r="C3518" i="16"/>
  <c r="B3518" i="16"/>
  <c r="A3518" i="16"/>
  <c r="N3518" i="16" s="1"/>
  <c r="D3517" i="16"/>
  <c r="C3517" i="16"/>
  <c r="B3517" i="16"/>
  <c r="A3517" i="16"/>
  <c r="O3516" i="16"/>
  <c r="D3516" i="16"/>
  <c r="C3516" i="16"/>
  <c r="B3516" i="16"/>
  <c r="A3516" i="16"/>
  <c r="T3515" i="16"/>
  <c r="P3515" i="16"/>
  <c r="L3515" i="16"/>
  <c r="D3515" i="16"/>
  <c r="C3515" i="16"/>
  <c r="B3515" i="16"/>
  <c r="A3515" i="16"/>
  <c r="L3514" i="16"/>
  <c r="D3514" i="16"/>
  <c r="C3514" i="16"/>
  <c r="B3514" i="16"/>
  <c r="A3514" i="16"/>
  <c r="J3513" i="16"/>
  <c r="G3513" i="16"/>
  <c r="F3513" i="16"/>
  <c r="E3513" i="16"/>
  <c r="D3513" i="16"/>
  <c r="C3513" i="16"/>
  <c r="B3513" i="16"/>
  <c r="A3513" i="16"/>
  <c r="P3512" i="16"/>
  <c r="O3512" i="16"/>
  <c r="N3512" i="16"/>
  <c r="M3512" i="16"/>
  <c r="L3512" i="16"/>
  <c r="H3512" i="16"/>
  <c r="G3512" i="16"/>
  <c r="F3512" i="16"/>
  <c r="E3512" i="16"/>
  <c r="D3512" i="16"/>
  <c r="C3512" i="16"/>
  <c r="B3512" i="16"/>
  <c r="A3512" i="16"/>
  <c r="T3512" i="16" s="1"/>
  <c r="H3511" i="16"/>
  <c r="E3511" i="16"/>
  <c r="D3511" i="16"/>
  <c r="C3511" i="16"/>
  <c r="B3511" i="16"/>
  <c r="A3511" i="16"/>
  <c r="N3511" i="16" s="1"/>
  <c r="N3510" i="16"/>
  <c r="M3510" i="16"/>
  <c r="G3510" i="16"/>
  <c r="F3510" i="16"/>
  <c r="D3510" i="16"/>
  <c r="C3510" i="16"/>
  <c r="B3510" i="16"/>
  <c r="A3510" i="16"/>
  <c r="N3509" i="16"/>
  <c r="K3509" i="16"/>
  <c r="D3509" i="16"/>
  <c r="C3509" i="16"/>
  <c r="B3509" i="16"/>
  <c r="A3509" i="16"/>
  <c r="P3509" i="16" s="1"/>
  <c r="D3508" i="16"/>
  <c r="C3508" i="16"/>
  <c r="B3508" i="16"/>
  <c r="A3508" i="16"/>
  <c r="T3507" i="16"/>
  <c r="D3507" i="16"/>
  <c r="C3507" i="16"/>
  <c r="B3507" i="16"/>
  <c r="A3507" i="16"/>
  <c r="D3506" i="16"/>
  <c r="C3506" i="16"/>
  <c r="B3506" i="16"/>
  <c r="A3506" i="16"/>
  <c r="L3505" i="16"/>
  <c r="K3505" i="16"/>
  <c r="J3505" i="16"/>
  <c r="G3505" i="16"/>
  <c r="D3505" i="16"/>
  <c r="C3505" i="16"/>
  <c r="B3505" i="16"/>
  <c r="A3505" i="16"/>
  <c r="D3504" i="16"/>
  <c r="C3504" i="16"/>
  <c r="B3504" i="16"/>
  <c r="A3504" i="16"/>
  <c r="T3503" i="16"/>
  <c r="P3503" i="16"/>
  <c r="O3503" i="16"/>
  <c r="G3503" i="16"/>
  <c r="F3503" i="16"/>
  <c r="E3503" i="16"/>
  <c r="D3503" i="16"/>
  <c r="C3503" i="16"/>
  <c r="B3503" i="16"/>
  <c r="A3503" i="16"/>
  <c r="H3503" i="16" s="1"/>
  <c r="O3502" i="16"/>
  <c r="M3502" i="16"/>
  <c r="J3502" i="16"/>
  <c r="H3502" i="16"/>
  <c r="F3502" i="16"/>
  <c r="D3502" i="16"/>
  <c r="C3502" i="16"/>
  <c r="B3502" i="16"/>
  <c r="A3502" i="16"/>
  <c r="J3501" i="16"/>
  <c r="I3501" i="16"/>
  <c r="D3501" i="16"/>
  <c r="C3501" i="16"/>
  <c r="B3501" i="16"/>
  <c r="A3501" i="16"/>
  <c r="N3501" i="16" s="1"/>
  <c r="I3500" i="16"/>
  <c r="H3500" i="16"/>
  <c r="D3500" i="16"/>
  <c r="C3500" i="16"/>
  <c r="B3500" i="16"/>
  <c r="A3500" i="16"/>
  <c r="K3500" i="16" s="1"/>
  <c r="P3499" i="16"/>
  <c r="M3499" i="16"/>
  <c r="L3499" i="16"/>
  <c r="H3499" i="16"/>
  <c r="D3499" i="16"/>
  <c r="C3499" i="16"/>
  <c r="B3499" i="16"/>
  <c r="A3499" i="16"/>
  <c r="D3498" i="16"/>
  <c r="C3498" i="16"/>
  <c r="B3498" i="16"/>
  <c r="A3498" i="16"/>
  <c r="J3497" i="16"/>
  <c r="G3497" i="16"/>
  <c r="D3497" i="16"/>
  <c r="C3497" i="16"/>
  <c r="B3497" i="16"/>
  <c r="A3497" i="16"/>
  <c r="L3497" i="16" s="1"/>
  <c r="P3496" i="16"/>
  <c r="O3496" i="16"/>
  <c r="N3496" i="16"/>
  <c r="H3496" i="16"/>
  <c r="G3496" i="16"/>
  <c r="F3496" i="16"/>
  <c r="E3496" i="16"/>
  <c r="D3496" i="16"/>
  <c r="C3496" i="16"/>
  <c r="B3496" i="16"/>
  <c r="A3496" i="16"/>
  <c r="T3495" i="16"/>
  <c r="P3495" i="16"/>
  <c r="O3495" i="16"/>
  <c r="N3495" i="16"/>
  <c r="H3495" i="16"/>
  <c r="G3495" i="16"/>
  <c r="F3495" i="16"/>
  <c r="E3495" i="16"/>
  <c r="D3495" i="16"/>
  <c r="C3495" i="16"/>
  <c r="B3495" i="16"/>
  <c r="A3495" i="16"/>
  <c r="M3495" i="16" s="1"/>
  <c r="D3494" i="16"/>
  <c r="C3494" i="16"/>
  <c r="B3494" i="16"/>
  <c r="A3494" i="16"/>
  <c r="N3493" i="16"/>
  <c r="D3493" i="16"/>
  <c r="C3493" i="16"/>
  <c r="B3493" i="16"/>
  <c r="A3493" i="16"/>
  <c r="D3492" i="16"/>
  <c r="C3492" i="16"/>
  <c r="B3492" i="16"/>
  <c r="A3492" i="16"/>
  <c r="D3491" i="16"/>
  <c r="C3491" i="16"/>
  <c r="B3491" i="16"/>
  <c r="A3491" i="16"/>
  <c r="K3490" i="16"/>
  <c r="F3490" i="16"/>
  <c r="D3490" i="16"/>
  <c r="C3490" i="16"/>
  <c r="B3490" i="16"/>
  <c r="A3490" i="16"/>
  <c r="O3489" i="16"/>
  <c r="N3489" i="16"/>
  <c r="M3489" i="16"/>
  <c r="L3489" i="16"/>
  <c r="G3489" i="16"/>
  <c r="F3489" i="16"/>
  <c r="E3489" i="16"/>
  <c r="D3489" i="16"/>
  <c r="C3489" i="16"/>
  <c r="B3489" i="16"/>
  <c r="A3489" i="16"/>
  <c r="T3489" i="16" s="1"/>
  <c r="O3488" i="16"/>
  <c r="N3488" i="16"/>
  <c r="J3488" i="16"/>
  <c r="D3488" i="16"/>
  <c r="C3488" i="16"/>
  <c r="B3488" i="16"/>
  <c r="A3488" i="16"/>
  <c r="L3487" i="16"/>
  <c r="I3487" i="16"/>
  <c r="E3487" i="16"/>
  <c r="D3487" i="16"/>
  <c r="C3487" i="16"/>
  <c r="B3487" i="16"/>
  <c r="A3487" i="16"/>
  <c r="O3487" i="16" s="1"/>
  <c r="D3486" i="16"/>
  <c r="C3486" i="16"/>
  <c r="B3486" i="16"/>
  <c r="A3486" i="16"/>
  <c r="H3485" i="16"/>
  <c r="D3485" i="16"/>
  <c r="C3485" i="16"/>
  <c r="B3485" i="16"/>
  <c r="A3485" i="16"/>
  <c r="T3484" i="16"/>
  <c r="I3484" i="16"/>
  <c r="H3484" i="16"/>
  <c r="G3484" i="16"/>
  <c r="D3484" i="16"/>
  <c r="C3484" i="16"/>
  <c r="B3484" i="16"/>
  <c r="A3484" i="16"/>
  <c r="J3484" i="16" s="1"/>
  <c r="D3483" i="16"/>
  <c r="C3483" i="16"/>
  <c r="B3483" i="16"/>
  <c r="A3483" i="16"/>
  <c r="P3483" i="16" s="1"/>
  <c r="T3482" i="16"/>
  <c r="J3482" i="16"/>
  <c r="D3482" i="16"/>
  <c r="C3482" i="16"/>
  <c r="B3482" i="16"/>
  <c r="A3482" i="16"/>
  <c r="O3481" i="16"/>
  <c r="L3481" i="16"/>
  <c r="K3481" i="16"/>
  <c r="D3481" i="16"/>
  <c r="C3481" i="16"/>
  <c r="B3481" i="16"/>
  <c r="A3481" i="16"/>
  <c r="P3480" i="16"/>
  <c r="O3480" i="16"/>
  <c r="F3480" i="16"/>
  <c r="E3480" i="16"/>
  <c r="D3480" i="16"/>
  <c r="C3480" i="16"/>
  <c r="B3480" i="16"/>
  <c r="A3480" i="16"/>
  <c r="H3480" i="16" s="1"/>
  <c r="N3479" i="16"/>
  <c r="M3479" i="16"/>
  <c r="D3479" i="16"/>
  <c r="C3479" i="16"/>
  <c r="B3479" i="16"/>
  <c r="A3479" i="16"/>
  <c r="I3478" i="16"/>
  <c r="H3478" i="16"/>
  <c r="G3478" i="16"/>
  <c r="D3478" i="16"/>
  <c r="C3478" i="16"/>
  <c r="B3478" i="16"/>
  <c r="A3478" i="16"/>
  <c r="J3478" i="16" s="1"/>
  <c r="I3477" i="16"/>
  <c r="H3477" i="16"/>
  <c r="G3477" i="16"/>
  <c r="F3477" i="16"/>
  <c r="D3477" i="16"/>
  <c r="C3477" i="16"/>
  <c r="B3477" i="16"/>
  <c r="A3477" i="16"/>
  <c r="P3477" i="16" s="1"/>
  <c r="O3476" i="16"/>
  <c r="L3476" i="16"/>
  <c r="J3476" i="16"/>
  <c r="I3476" i="16"/>
  <c r="D3476" i="16"/>
  <c r="C3476" i="16"/>
  <c r="B3476" i="16"/>
  <c r="A3476" i="16"/>
  <c r="D3475" i="16"/>
  <c r="C3475" i="16"/>
  <c r="B3475" i="16"/>
  <c r="A3475" i="16"/>
  <c r="J3474" i="16"/>
  <c r="E3474" i="16"/>
  <c r="D3474" i="16"/>
  <c r="C3474" i="16"/>
  <c r="B3474" i="16"/>
  <c r="A3474" i="16"/>
  <c r="J3473" i="16"/>
  <c r="G3473" i="16"/>
  <c r="F3473" i="16"/>
  <c r="E3473" i="16"/>
  <c r="D3473" i="16"/>
  <c r="C3473" i="16"/>
  <c r="B3473" i="16"/>
  <c r="A3473" i="16"/>
  <c r="O3472" i="16"/>
  <c r="N3472" i="16"/>
  <c r="M3472" i="16"/>
  <c r="D3472" i="16"/>
  <c r="C3472" i="16"/>
  <c r="B3472" i="16"/>
  <c r="A3472" i="16"/>
  <c r="H3471" i="16"/>
  <c r="G3471" i="16"/>
  <c r="D3471" i="16"/>
  <c r="C3471" i="16"/>
  <c r="B3471" i="16"/>
  <c r="A3471" i="16"/>
  <c r="H3470" i="16"/>
  <c r="G3470" i="16"/>
  <c r="F3470" i="16"/>
  <c r="D3470" i="16"/>
  <c r="C3470" i="16"/>
  <c r="B3470" i="16"/>
  <c r="A3470" i="16"/>
  <c r="P3470" i="16" s="1"/>
  <c r="P3469" i="16"/>
  <c r="O3469" i="16"/>
  <c r="I3469" i="16"/>
  <c r="F3469" i="16"/>
  <c r="D3469" i="16"/>
  <c r="C3469" i="16"/>
  <c r="B3469" i="16"/>
  <c r="A3469" i="16"/>
  <c r="T3468" i="16"/>
  <c r="G3468" i="16"/>
  <c r="D3468" i="16"/>
  <c r="C3468" i="16"/>
  <c r="B3468" i="16"/>
  <c r="A3468" i="16"/>
  <c r="D3467" i="16"/>
  <c r="C3467" i="16"/>
  <c r="B3467" i="16"/>
  <c r="A3467" i="16"/>
  <c r="T3466" i="16"/>
  <c r="M3466" i="16"/>
  <c r="I3466" i="16"/>
  <c r="F3466" i="16"/>
  <c r="E3466" i="16"/>
  <c r="D3466" i="16"/>
  <c r="C3466" i="16"/>
  <c r="B3466" i="16"/>
  <c r="A3466" i="16"/>
  <c r="J3466" i="16" s="1"/>
  <c r="N3465" i="16"/>
  <c r="K3465" i="16"/>
  <c r="J3465" i="16"/>
  <c r="G3465" i="16"/>
  <c r="D3465" i="16"/>
  <c r="C3465" i="16"/>
  <c r="B3465" i="16"/>
  <c r="A3465" i="16"/>
  <c r="L3465" i="16" s="1"/>
  <c r="O3464" i="16"/>
  <c r="L3464" i="16"/>
  <c r="G3464" i="16"/>
  <c r="D3464" i="16"/>
  <c r="C3464" i="16"/>
  <c r="B3464" i="16"/>
  <c r="A3464" i="16"/>
  <c r="D3463" i="16"/>
  <c r="C3463" i="16"/>
  <c r="B3463" i="16"/>
  <c r="A3463" i="16"/>
  <c r="P3462" i="16"/>
  <c r="D3462" i="16"/>
  <c r="C3462" i="16"/>
  <c r="B3462" i="16"/>
  <c r="A3462" i="16"/>
  <c r="O3461" i="16"/>
  <c r="N3461" i="16"/>
  <c r="H3461" i="16"/>
  <c r="D3461" i="16"/>
  <c r="C3461" i="16"/>
  <c r="B3461" i="16"/>
  <c r="A3461" i="16"/>
  <c r="L3460" i="16"/>
  <c r="K3460" i="16"/>
  <c r="J3460" i="16"/>
  <c r="D3460" i="16"/>
  <c r="C3460" i="16"/>
  <c r="B3460" i="16"/>
  <c r="A3460" i="16"/>
  <c r="O3460" i="16" s="1"/>
  <c r="K3459" i="16"/>
  <c r="J3459" i="16"/>
  <c r="I3459" i="16"/>
  <c r="H3459" i="16"/>
  <c r="D3459" i="16"/>
  <c r="C3459" i="16"/>
  <c r="B3459" i="16"/>
  <c r="A3459" i="16"/>
  <c r="N3458" i="16"/>
  <c r="M3458" i="16"/>
  <c r="L3458" i="16"/>
  <c r="D3458" i="16"/>
  <c r="C3458" i="16"/>
  <c r="B3458" i="16"/>
  <c r="A3458" i="16"/>
  <c r="T3458" i="16" s="1"/>
  <c r="O3457" i="16"/>
  <c r="L3457" i="16"/>
  <c r="D3457" i="16"/>
  <c r="C3457" i="16"/>
  <c r="B3457" i="16"/>
  <c r="A3457" i="16"/>
  <c r="P3456" i="16"/>
  <c r="M3456" i="16"/>
  <c r="G3456" i="16"/>
  <c r="F3456" i="16"/>
  <c r="E3456" i="16"/>
  <c r="D3456" i="16"/>
  <c r="C3456" i="16"/>
  <c r="B3456" i="16"/>
  <c r="A3456" i="16"/>
  <c r="H3456" i="16" s="1"/>
  <c r="P3455" i="16"/>
  <c r="O3455" i="16"/>
  <c r="G3455" i="16"/>
  <c r="D3455" i="16"/>
  <c r="C3455" i="16"/>
  <c r="B3455" i="16"/>
  <c r="A3455" i="16"/>
  <c r="T3455" i="16" s="1"/>
  <c r="T3454" i="16"/>
  <c r="P3454" i="16"/>
  <c r="O3454" i="16"/>
  <c r="H3454" i="16"/>
  <c r="G3454" i="16"/>
  <c r="F3454" i="16"/>
  <c r="E3454" i="16"/>
  <c r="D3454" i="16"/>
  <c r="C3454" i="16"/>
  <c r="B3454" i="16"/>
  <c r="A3454" i="16"/>
  <c r="N3454" i="16" s="1"/>
  <c r="N3453" i="16"/>
  <c r="K3453" i="16"/>
  <c r="I3453" i="16"/>
  <c r="H3453" i="16"/>
  <c r="D3453" i="16"/>
  <c r="C3453" i="16"/>
  <c r="B3453" i="16"/>
  <c r="A3453" i="16"/>
  <c r="O3452" i="16"/>
  <c r="K3452" i="16"/>
  <c r="D3452" i="16"/>
  <c r="C3452" i="16"/>
  <c r="B3452" i="16"/>
  <c r="A3452" i="16"/>
  <c r="H3451" i="16"/>
  <c r="E3451" i="16"/>
  <c r="D3451" i="16"/>
  <c r="C3451" i="16"/>
  <c r="B3451" i="16"/>
  <c r="A3451" i="16"/>
  <c r="D3450" i="16"/>
  <c r="C3450" i="16"/>
  <c r="B3450" i="16"/>
  <c r="A3450" i="16"/>
  <c r="O3449" i="16"/>
  <c r="N3449" i="16"/>
  <c r="M3449" i="16"/>
  <c r="L3449" i="16"/>
  <c r="J3449" i="16"/>
  <c r="G3449" i="16"/>
  <c r="F3449" i="16"/>
  <c r="E3449" i="16"/>
  <c r="D3449" i="16"/>
  <c r="C3449" i="16"/>
  <c r="B3449" i="16"/>
  <c r="A3449" i="16"/>
  <c r="T3449" i="16" s="1"/>
  <c r="K3448" i="16"/>
  <c r="J3448" i="16"/>
  <c r="F3448" i="16"/>
  <c r="E3448" i="16"/>
  <c r="D3448" i="16"/>
  <c r="C3448" i="16"/>
  <c r="B3448" i="16"/>
  <c r="A3448" i="16"/>
  <c r="O3447" i="16"/>
  <c r="N3447" i="16"/>
  <c r="H3447" i="16"/>
  <c r="G3447" i="16"/>
  <c r="D3447" i="16"/>
  <c r="C3447" i="16"/>
  <c r="B3447" i="16"/>
  <c r="A3447" i="16"/>
  <c r="T3446" i="16"/>
  <c r="P3446" i="16"/>
  <c r="F3446" i="16"/>
  <c r="E3446" i="16"/>
  <c r="D3446" i="16"/>
  <c r="C3446" i="16"/>
  <c r="B3446" i="16"/>
  <c r="A3446" i="16"/>
  <c r="D3445" i="16"/>
  <c r="C3445" i="16"/>
  <c r="B3445" i="16"/>
  <c r="A3445" i="16"/>
  <c r="L3444" i="16"/>
  <c r="D3444" i="16"/>
  <c r="C3444" i="16"/>
  <c r="B3444" i="16"/>
  <c r="A3444" i="16"/>
  <c r="T3443" i="16"/>
  <c r="P3443" i="16"/>
  <c r="H3443" i="16"/>
  <c r="E3443" i="16"/>
  <c r="D3443" i="16"/>
  <c r="C3443" i="16"/>
  <c r="B3443" i="16"/>
  <c r="A3443" i="16"/>
  <c r="J3442" i="16"/>
  <c r="D3442" i="16"/>
  <c r="C3442" i="16"/>
  <c r="B3442" i="16"/>
  <c r="A3442" i="16"/>
  <c r="O3441" i="16"/>
  <c r="J3441" i="16"/>
  <c r="G3441" i="16"/>
  <c r="F3441" i="16"/>
  <c r="E3441" i="16"/>
  <c r="D3441" i="16"/>
  <c r="C3441" i="16"/>
  <c r="B3441" i="16"/>
  <c r="A3441" i="16"/>
  <c r="N3440" i="16"/>
  <c r="M3440" i="16"/>
  <c r="J3440" i="16"/>
  <c r="H3440" i="16"/>
  <c r="D3440" i="16"/>
  <c r="C3440" i="16"/>
  <c r="B3440" i="16"/>
  <c r="A3440" i="16"/>
  <c r="T3439" i="16"/>
  <c r="N3439" i="16"/>
  <c r="M3439" i="16"/>
  <c r="E3439" i="16"/>
  <c r="D3439" i="16"/>
  <c r="C3439" i="16"/>
  <c r="B3439" i="16"/>
  <c r="A3439" i="16"/>
  <c r="O3439" i="16" s="1"/>
  <c r="D3438" i="16"/>
  <c r="C3438" i="16"/>
  <c r="B3438" i="16"/>
  <c r="A3438" i="16"/>
  <c r="D3437" i="16"/>
  <c r="C3437" i="16"/>
  <c r="B3437" i="16"/>
  <c r="A3437" i="16"/>
  <c r="J3436" i="16"/>
  <c r="I3436" i="16"/>
  <c r="H3436" i="16"/>
  <c r="G3436" i="16"/>
  <c r="D3436" i="16"/>
  <c r="C3436" i="16"/>
  <c r="B3436" i="16"/>
  <c r="A3436" i="16"/>
  <c r="T3436" i="16" s="1"/>
  <c r="M3435" i="16"/>
  <c r="L3435" i="16"/>
  <c r="J3435" i="16"/>
  <c r="I3435" i="16"/>
  <c r="D3435" i="16"/>
  <c r="C3435" i="16"/>
  <c r="B3435" i="16"/>
  <c r="A3435" i="16"/>
  <c r="M3434" i="16"/>
  <c r="L3434" i="16"/>
  <c r="D3434" i="16"/>
  <c r="C3434" i="16"/>
  <c r="B3434" i="16"/>
  <c r="A3434" i="16"/>
  <c r="I3434" i="16" s="1"/>
  <c r="O3433" i="16"/>
  <c r="N3433" i="16"/>
  <c r="M3433" i="16"/>
  <c r="J3433" i="16"/>
  <c r="G3433" i="16"/>
  <c r="F3433" i="16"/>
  <c r="E3433" i="16"/>
  <c r="D3433" i="16"/>
  <c r="C3433" i="16"/>
  <c r="B3433" i="16"/>
  <c r="A3433" i="16"/>
  <c r="T3433" i="16" s="1"/>
  <c r="P3432" i="16"/>
  <c r="O3432" i="16"/>
  <c r="N3432" i="16"/>
  <c r="M3432" i="16"/>
  <c r="L3432" i="16"/>
  <c r="K3432" i="16"/>
  <c r="H3432" i="16"/>
  <c r="G3432" i="16"/>
  <c r="F3432" i="16"/>
  <c r="E3432" i="16"/>
  <c r="D3432" i="16"/>
  <c r="C3432" i="16"/>
  <c r="B3432" i="16"/>
  <c r="A3432" i="16"/>
  <c r="T3432" i="16" s="1"/>
  <c r="M3431" i="16"/>
  <c r="L3431" i="16"/>
  <c r="H3431" i="16"/>
  <c r="E3431" i="16"/>
  <c r="D3431" i="16"/>
  <c r="C3431" i="16"/>
  <c r="B3431" i="16"/>
  <c r="A3431" i="16"/>
  <c r="N3430" i="16"/>
  <c r="E3430" i="16"/>
  <c r="D3430" i="16"/>
  <c r="C3430" i="16"/>
  <c r="B3430" i="16"/>
  <c r="A3430" i="16"/>
  <c r="D3429" i="16"/>
  <c r="C3429" i="16"/>
  <c r="B3429" i="16"/>
  <c r="A3429" i="16"/>
  <c r="T3428" i="16"/>
  <c r="I3428" i="16"/>
  <c r="H3428" i="16"/>
  <c r="G3428" i="16"/>
  <c r="D3428" i="16"/>
  <c r="C3428" i="16"/>
  <c r="B3428" i="16"/>
  <c r="A3428" i="16"/>
  <c r="P3428" i="16" s="1"/>
  <c r="D3427" i="16"/>
  <c r="C3427" i="16"/>
  <c r="B3427" i="16"/>
  <c r="A3427" i="16"/>
  <c r="J3426" i="16"/>
  <c r="I3426" i="16"/>
  <c r="D3426" i="16"/>
  <c r="C3426" i="16"/>
  <c r="B3426" i="16"/>
  <c r="A3426" i="16"/>
  <c r="O3425" i="16"/>
  <c r="N3425" i="16"/>
  <c r="M3425" i="16"/>
  <c r="J3425" i="16"/>
  <c r="G3425" i="16"/>
  <c r="F3425" i="16"/>
  <c r="E3425" i="16"/>
  <c r="D3425" i="16"/>
  <c r="C3425" i="16"/>
  <c r="B3425" i="16"/>
  <c r="A3425" i="16"/>
  <c r="T3425" i="16" s="1"/>
  <c r="P3424" i="16"/>
  <c r="O3424" i="16"/>
  <c r="N3424" i="16"/>
  <c r="M3424" i="16"/>
  <c r="L3424" i="16"/>
  <c r="K3424" i="16"/>
  <c r="G3424" i="16"/>
  <c r="F3424" i="16"/>
  <c r="E3424" i="16"/>
  <c r="D3424" i="16"/>
  <c r="C3424" i="16"/>
  <c r="B3424" i="16"/>
  <c r="A3424" i="16"/>
  <c r="T3424" i="16" s="1"/>
  <c r="D3423" i="16"/>
  <c r="C3423" i="16"/>
  <c r="B3423" i="16"/>
  <c r="A3423" i="16"/>
  <c r="D3422" i="16"/>
  <c r="C3422" i="16"/>
  <c r="B3422" i="16"/>
  <c r="A3422" i="16"/>
  <c r="J3421" i="16"/>
  <c r="I3421" i="16"/>
  <c r="H3421" i="16"/>
  <c r="G3421" i="16"/>
  <c r="D3421" i="16"/>
  <c r="C3421" i="16"/>
  <c r="B3421" i="16"/>
  <c r="A3421" i="16"/>
  <c r="T3421" i="16" s="1"/>
  <c r="O3420" i="16"/>
  <c r="I3420" i="16"/>
  <c r="H3420" i="16"/>
  <c r="G3420" i="16"/>
  <c r="D3420" i="16"/>
  <c r="C3420" i="16"/>
  <c r="B3420" i="16"/>
  <c r="A3420" i="16"/>
  <c r="P3419" i="16"/>
  <c r="M3419" i="16"/>
  <c r="L3419" i="16"/>
  <c r="K3419" i="16"/>
  <c r="D3419" i="16"/>
  <c r="C3419" i="16"/>
  <c r="B3419" i="16"/>
  <c r="A3419" i="16"/>
  <c r="T3418" i="16"/>
  <c r="K3418" i="16"/>
  <c r="J3418" i="16"/>
  <c r="E3418" i="16"/>
  <c r="D3418" i="16"/>
  <c r="C3418" i="16"/>
  <c r="B3418" i="16"/>
  <c r="A3418" i="16"/>
  <c r="O3417" i="16"/>
  <c r="N3417" i="16"/>
  <c r="M3417" i="16"/>
  <c r="L3417" i="16"/>
  <c r="G3417" i="16"/>
  <c r="F3417" i="16"/>
  <c r="E3417" i="16"/>
  <c r="D3417" i="16"/>
  <c r="C3417" i="16"/>
  <c r="B3417" i="16"/>
  <c r="A3417" i="16"/>
  <c r="T3417" i="16" s="1"/>
  <c r="O3416" i="16"/>
  <c r="F3416" i="16"/>
  <c r="E3416" i="16"/>
  <c r="D3416" i="16"/>
  <c r="C3416" i="16"/>
  <c r="B3416" i="16"/>
  <c r="A3416" i="16"/>
  <c r="K3416" i="16" s="1"/>
  <c r="I3415" i="16"/>
  <c r="H3415" i="16"/>
  <c r="D3415" i="16"/>
  <c r="C3415" i="16"/>
  <c r="B3415" i="16"/>
  <c r="A3415" i="16"/>
  <c r="D3414" i="16"/>
  <c r="C3414" i="16"/>
  <c r="B3414" i="16"/>
  <c r="A3414" i="16"/>
  <c r="T3413" i="16"/>
  <c r="P3413" i="16"/>
  <c r="F3413" i="16"/>
  <c r="D3413" i="16"/>
  <c r="C3413" i="16"/>
  <c r="B3413" i="16"/>
  <c r="A3413" i="16"/>
  <c r="L3412" i="16"/>
  <c r="J3412" i="16"/>
  <c r="I3412" i="16"/>
  <c r="D3412" i="16"/>
  <c r="C3412" i="16"/>
  <c r="B3412" i="16"/>
  <c r="A3412" i="16"/>
  <c r="T3412" i="16" s="1"/>
  <c r="M3411" i="16"/>
  <c r="L3411" i="16"/>
  <c r="K3411" i="16"/>
  <c r="D3411" i="16"/>
  <c r="C3411" i="16"/>
  <c r="B3411" i="16"/>
  <c r="A3411" i="16"/>
  <c r="J3410" i="16"/>
  <c r="E3410" i="16"/>
  <c r="D3410" i="16"/>
  <c r="C3410" i="16"/>
  <c r="B3410" i="16"/>
  <c r="A3410" i="16"/>
  <c r="T3410" i="16" s="1"/>
  <c r="O3409" i="16"/>
  <c r="N3409" i="16"/>
  <c r="M3409" i="16"/>
  <c r="L3409" i="16"/>
  <c r="G3409" i="16"/>
  <c r="F3409" i="16"/>
  <c r="E3409" i="16"/>
  <c r="D3409" i="16"/>
  <c r="C3409" i="16"/>
  <c r="B3409" i="16"/>
  <c r="A3409" i="16"/>
  <c r="T3409" i="16" s="1"/>
  <c r="N3408" i="16"/>
  <c r="M3408" i="16"/>
  <c r="L3408" i="16"/>
  <c r="D3408" i="16"/>
  <c r="C3408" i="16"/>
  <c r="B3408" i="16"/>
  <c r="A3408" i="16"/>
  <c r="O3408" i="16" s="1"/>
  <c r="D3407" i="16"/>
  <c r="C3407" i="16"/>
  <c r="B3407" i="16"/>
  <c r="A3407" i="16"/>
  <c r="T3407" i="16" s="1"/>
  <c r="T3406" i="16"/>
  <c r="P3406" i="16"/>
  <c r="H3406" i="16"/>
  <c r="D3406" i="16"/>
  <c r="C3406" i="16"/>
  <c r="B3406" i="16"/>
  <c r="A3406" i="16"/>
  <c r="T3405" i="16"/>
  <c r="P3405" i="16"/>
  <c r="H3405" i="16"/>
  <c r="G3405" i="16"/>
  <c r="F3405" i="16"/>
  <c r="D3405" i="16"/>
  <c r="C3405" i="16"/>
  <c r="B3405" i="16"/>
  <c r="A3405" i="16"/>
  <c r="O3405" i="16" s="1"/>
  <c r="P3404" i="16"/>
  <c r="O3404" i="16"/>
  <c r="L3404" i="16"/>
  <c r="D3404" i="16"/>
  <c r="C3404" i="16"/>
  <c r="B3404" i="16"/>
  <c r="A3404" i="16"/>
  <c r="T3404" i="16" s="1"/>
  <c r="D3403" i="16"/>
  <c r="C3403" i="16"/>
  <c r="B3403" i="16"/>
  <c r="A3403" i="16"/>
  <c r="M3402" i="16"/>
  <c r="I3402" i="16"/>
  <c r="F3402" i="16"/>
  <c r="E3402" i="16"/>
  <c r="D3402" i="16"/>
  <c r="C3402" i="16"/>
  <c r="B3402" i="16"/>
  <c r="A3402" i="16"/>
  <c r="J3402" i="16" s="1"/>
  <c r="O3401" i="16"/>
  <c r="L3401" i="16"/>
  <c r="K3401" i="16"/>
  <c r="J3401" i="16"/>
  <c r="E3401" i="16"/>
  <c r="D3401" i="16"/>
  <c r="C3401" i="16"/>
  <c r="B3401" i="16"/>
  <c r="A3401" i="16"/>
  <c r="P3400" i="16"/>
  <c r="J3400" i="16"/>
  <c r="H3400" i="16"/>
  <c r="D3400" i="16"/>
  <c r="C3400" i="16"/>
  <c r="B3400" i="16"/>
  <c r="A3400" i="16"/>
  <c r="L3400" i="16" s="1"/>
  <c r="D3399" i="16"/>
  <c r="C3399" i="16"/>
  <c r="B3399" i="16"/>
  <c r="A3399" i="16"/>
  <c r="H3398" i="16"/>
  <c r="G3398" i="16"/>
  <c r="F3398" i="16"/>
  <c r="E3398" i="16"/>
  <c r="D3398" i="16"/>
  <c r="C3398" i="16"/>
  <c r="B3398" i="16"/>
  <c r="A3398" i="16"/>
  <c r="O3398" i="16" s="1"/>
  <c r="D3397" i="16"/>
  <c r="C3397" i="16"/>
  <c r="B3397" i="16"/>
  <c r="A3397" i="16"/>
  <c r="L3396" i="16"/>
  <c r="D3396" i="16"/>
  <c r="C3396" i="16"/>
  <c r="B3396" i="16"/>
  <c r="A3396" i="16"/>
  <c r="I3395" i="16"/>
  <c r="D3395" i="16"/>
  <c r="C3395" i="16"/>
  <c r="B3395" i="16"/>
  <c r="A3395" i="16"/>
  <c r="T3394" i="16"/>
  <c r="N3394" i="16"/>
  <c r="J3394" i="16"/>
  <c r="I3394" i="16"/>
  <c r="F3394" i="16"/>
  <c r="E3394" i="16"/>
  <c r="D3394" i="16"/>
  <c r="C3394" i="16"/>
  <c r="B3394" i="16"/>
  <c r="A3394" i="16"/>
  <c r="M3394" i="16" s="1"/>
  <c r="M3393" i="16"/>
  <c r="L3393" i="16"/>
  <c r="K3393" i="16"/>
  <c r="J3393" i="16"/>
  <c r="D3393" i="16"/>
  <c r="C3393" i="16"/>
  <c r="B3393" i="16"/>
  <c r="A3393" i="16"/>
  <c r="P3392" i="16"/>
  <c r="M3392" i="16"/>
  <c r="L3392" i="16"/>
  <c r="D3392" i="16"/>
  <c r="C3392" i="16"/>
  <c r="B3392" i="16"/>
  <c r="A3392" i="16"/>
  <c r="I3391" i="16"/>
  <c r="D3391" i="16"/>
  <c r="C3391" i="16"/>
  <c r="B3391" i="16"/>
  <c r="A3391" i="16"/>
  <c r="T3390" i="16"/>
  <c r="P3390" i="16"/>
  <c r="O3390" i="16"/>
  <c r="E3390" i="16"/>
  <c r="D3390" i="16"/>
  <c r="C3390" i="16"/>
  <c r="B3390" i="16"/>
  <c r="A3390" i="16"/>
  <c r="O3389" i="16"/>
  <c r="K3389" i="16"/>
  <c r="I3389" i="16"/>
  <c r="H3389" i="16"/>
  <c r="G3389" i="16"/>
  <c r="D3389" i="16"/>
  <c r="C3389" i="16"/>
  <c r="B3389" i="16"/>
  <c r="A3389" i="16"/>
  <c r="J3388" i="16"/>
  <c r="I3388" i="16"/>
  <c r="D3388" i="16"/>
  <c r="C3388" i="16"/>
  <c r="B3388" i="16"/>
  <c r="A3388" i="16"/>
  <c r="I3387" i="16"/>
  <c r="D3387" i="16"/>
  <c r="C3387" i="16"/>
  <c r="B3387" i="16"/>
  <c r="A3387" i="16"/>
  <c r="D3386" i="16"/>
  <c r="C3386" i="16"/>
  <c r="B3386" i="16"/>
  <c r="A3386" i="16"/>
  <c r="N3386" i="16" s="1"/>
  <c r="O3385" i="16"/>
  <c r="D3385" i="16"/>
  <c r="C3385" i="16"/>
  <c r="B3385" i="16"/>
  <c r="A3385" i="16"/>
  <c r="D3384" i="16"/>
  <c r="C3384" i="16"/>
  <c r="B3384" i="16"/>
  <c r="A3384" i="16"/>
  <c r="T3383" i="16"/>
  <c r="N3383" i="16"/>
  <c r="D3383" i="16"/>
  <c r="C3383" i="16"/>
  <c r="B3383" i="16"/>
  <c r="A3383" i="16"/>
  <c r="T3382" i="16"/>
  <c r="D3382" i="16"/>
  <c r="C3382" i="16"/>
  <c r="B3382" i="16"/>
  <c r="A3382" i="16"/>
  <c r="D3381" i="16"/>
  <c r="C3381" i="16"/>
  <c r="B3381" i="16"/>
  <c r="A3381" i="16"/>
  <c r="K3380" i="16"/>
  <c r="H3380" i="16"/>
  <c r="D3380" i="16"/>
  <c r="C3380" i="16"/>
  <c r="B3380" i="16"/>
  <c r="A3380" i="16"/>
  <c r="T3379" i="16"/>
  <c r="I3379" i="16"/>
  <c r="H3379" i="16"/>
  <c r="E3379" i="16"/>
  <c r="D3379" i="16"/>
  <c r="C3379" i="16"/>
  <c r="B3379" i="16"/>
  <c r="A3379" i="16"/>
  <c r="J3379" i="16" s="1"/>
  <c r="M3378" i="16"/>
  <c r="J3378" i="16"/>
  <c r="D3378" i="16"/>
  <c r="C3378" i="16"/>
  <c r="B3378" i="16"/>
  <c r="A3378" i="16"/>
  <c r="N3378" i="16" s="1"/>
  <c r="G3377" i="16"/>
  <c r="F3377" i="16"/>
  <c r="D3377" i="16"/>
  <c r="C3377" i="16"/>
  <c r="B3377" i="16"/>
  <c r="A3377" i="16"/>
  <c r="K3377" i="16" s="1"/>
  <c r="F3376" i="16"/>
  <c r="E3376" i="16"/>
  <c r="D3376" i="16"/>
  <c r="C3376" i="16"/>
  <c r="B3376" i="16"/>
  <c r="A3376" i="16"/>
  <c r="K3376" i="16" s="1"/>
  <c r="O3375" i="16"/>
  <c r="N3375" i="16"/>
  <c r="F3375" i="16"/>
  <c r="E3375" i="16"/>
  <c r="D3375" i="16"/>
  <c r="C3375" i="16"/>
  <c r="B3375" i="16"/>
  <c r="A3375" i="16"/>
  <c r="M3374" i="16"/>
  <c r="J3374" i="16"/>
  <c r="D3374" i="16"/>
  <c r="C3374" i="16"/>
  <c r="B3374" i="16"/>
  <c r="A3374" i="16"/>
  <c r="O3374" i="16" s="1"/>
  <c r="O3373" i="16"/>
  <c r="N3373" i="16"/>
  <c r="D3373" i="16"/>
  <c r="C3373" i="16"/>
  <c r="B3373" i="16"/>
  <c r="A3373" i="16"/>
  <c r="K3373" i="16" s="1"/>
  <c r="D3372" i="16"/>
  <c r="C3372" i="16"/>
  <c r="B3372" i="16"/>
  <c r="A3372" i="16"/>
  <c r="D3371" i="16"/>
  <c r="C3371" i="16"/>
  <c r="B3371" i="16"/>
  <c r="A3371" i="16"/>
  <c r="D3370" i="16"/>
  <c r="C3370" i="16"/>
  <c r="B3370" i="16"/>
  <c r="A3370" i="16"/>
  <c r="O3369" i="16"/>
  <c r="N3369" i="16"/>
  <c r="M3369" i="16"/>
  <c r="J3369" i="16"/>
  <c r="G3369" i="16"/>
  <c r="F3369" i="16"/>
  <c r="E3369" i="16"/>
  <c r="D3369" i="16"/>
  <c r="C3369" i="16"/>
  <c r="B3369" i="16"/>
  <c r="A3369" i="16"/>
  <c r="T3369" i="16" s="1"/>
  <c r="P3368" i="16"/>
  <c r="O3368" i="16"/>
  <c r="N3368" i="16"/>
  <c r="M3368" i="16"/>
  <c r="L3368" i="16"/>
  <c r="K3368" i="16"/>
  <c r="G3368" i="16"/>
  <c r="F3368" i="16"/>
  <c r="E3368" i="16"/>
  <c r="D3368" i="16"/>
  <c r="C3368" i="16"/>
  <c r="B3368" i="16"/>
  <c r="A3368" i="16"/>
  <c r="T3368" i="16" s="1"/>
  <c r="P3367" i="16"/>
  <c r="M3367" i="16"/>
  <c r="L3367" i="16"/>
  <c r="H3367" i="16"/>
  <c r="E3367" i="16"/>
  <c r="D3367" i="16"/>
  <c r="C3367" i="16"/>
  <c r="B3367" i="16"/>
  <c r="A3367" i="16"/>
  <c r="O3366" i="16"/>
  <c r="E3366" i="16"/>
  <c r="D3366" i="16"/>
  <c r="C3366" i="16"/>
  <c r="B3366" i="16"/>
  <c r="A3366" i="16"/>
  <c r="D3365" i="16"/>
  <c r="C3365" i="16"/>
  <c r="B3365" i="16"/>
  <c r="A3365" i="16"/>
  <c r="T3364" i="16"/>
  <c r="I3364" i="16"/>
  <c r="H3364" i="16"/>
  <c r="G3364" i="16"/>
  <c r="D3364" i="16"/>
  <c r="C3364" i="16"/>
  <c r="B3364" i="16"/>
  <c r="A3364" i="16"/>
  <c r="P3364" i="16" s="1"/>
  <c r="D3363" i="16"/>
  <c r="C3363" i="16"/>
  <c r="B3363" i="16"/>
  <c r="A3363" i="16"/>
  <c r="D3362" i="16"/>
  <c r="C3362" i="16"/>
  <c r="B3362" i="16"/>
  <c r="A3362" i="16"/>
  <c r="G3361" i="16"/>
  <c r="D3361" i="16"/>
  <c r="C3361" i="16"/>
  <c r="B3361" i="16"/>
  <c r="A3361" i="16"/>
  <c r="L3360" i="16"/>
  <c r="H3360" i="16"/>
  <c r="G3360" i="16"/>
  <c r="F3360" i="16"/>
  <c r="D3360" i="16"/>
  <c r="C3360" i="16"/>
  <c r="B3360" i="16"/>
  <c r="A3360" i="16"/>
  <c r="J3360" i="16" s="1"/>
  <c r="M3359" i="16"/>
  <c r="L3359" i="16"/>
  <c r="D3359" i="16"/>
  <c r="C3359" i="16"/>
  <c r="B3359" i="16"/>
  <c r="A3359" i="16"/>
  <c r="I3359" i="16" s="1"/>
  <c r="N3358" i="16"/>
  <c r="M3358" i="16"/>
  <c r="J3358" i="16"/>
  <c r="D3358" i="16"/>
  <c r="C3358" i="16"/>
  <c r="B3358" i="16"/>
  <c r="A3358" i="16"/>
  <c r="T3357" i="16"/>
  <c r="K3357" i="16"/>
  <c r="H3357" i="16"/>
  <c r="D3357" i="16"/>
  <c r="C3357" i="16"/>
  <c r="B3357" i="16"/>
  <c r="A3357" i="16"/>
  <c r="P3356" i="16"/>
  <c r="O3356" i="16"/>
  <c r="I3356" i="16"/>
  <c r="H3356" i="16"/>
  <c r="D3356" i="16"/>
  <c r="C3356" i="16"/>
  <c r="B3356" i="16"/>
  <c r="A3356" i="16"/>
  <c r="P3355" i="16"/>
  <c r="L3355" i="16"/>
  <c r="K3355" i="16"/>
  <c r="D3355" i="16"/>
  <c r="C3355" i="16"/>
  <c r="B3355" i="16"/>
  <c r="A3355" i="16"/>
  <c r="J3355" i="16" s="1"/>
  <c r="J3354" i="16"/>
  <c r="D3354" i="16"/>
  <c r="C3354" i="16"/>
  <c r="B3354" i="16"/>
  <c r="A3354" i="16"/>
  <c r="O3353" i="16"/>
  <c r="N3353" i="16"/>
  <c r="M3353" i="16"/>
  <c r="J3353" i="16"/>
  <c r="G3353" i="16"/>
  <c r="F3353" i="16"/>
  <c r="E3353" i="16"/>
  <c r="D3353" i="16"/>
  <c r="C3353" i="16"/>
  <c r="B3353" i="16"/>
  <c r="A3353" i="16"/>
  <c r="T3353" i="16" s="1"/>
  <c r="P3352" i="16"/>
  <c r="O3352" i="16"/>
  <c r="N3352" i="16"/>
  <c r="M3352" i="16"/>
  <c r="L3352" i="16"/>
  <c r="K3352" i="16"/>
  <c r="H3352" i="16"/>
  <c r="G3352" i="16"/>
  <c r="F3352" i="16"/>
  <c r="E3352" i="16"/>
  <c r="D3352" i="16"/>
  <c r="C3352" i="16"/>
  <c r="B3352" i="16"/>
  <c r="A3352" i="16"/>
  <c r="T3352" i="16" s="1"/>
  <c r="L3351" i="16"/>
  <c r="I3351" i="16"/>
  <c r="H3351" i="16"/>
  <c r="D3351" i="16"/>
  <c r="C3351" i="16"/>
  <c r="B3351" i="16"/>
  <c r="A3351" i="16"/>
  <c r="M3351" i="16" s="1"/>
  <c r="J3350" i="16"/>
  <c r="I3350" i="16"/>
  <c r="H3350" i="16"/>
  <c r="G3350" i="16"/>
  <c r="D3350" i="16"/>
  <c r="C3350" i="16"/>
  <c r="B3350" i="16"/>
  <c r="A3350" i="16"/>
  <c r="T3350" i="16" s="1"/>
  <c r="P3349" i="16"/>
  <c r="J3349" i="16"/>
  <c r="I3349" i="16"/>
  <c r="F3349" i="16"/>
  <c r="D3349" i="16"/>
  <c r="C3349" i="16"/>
  <c r="B3349" i="16"/>
  <c r="A3349" i="16"/>
  <c r="O3348" i="16"/>
  <c r="L3348" i="16"/>
  <c r="J3348" i="16"/>
  <c r="I3348" i="16"/>
  <c r="D3348" i="16"/>
  <c r="C3348" i="16"/>
  <c r="B3348" i="16"/>
  <c r="A3348" i="16"/>
  <c r="L3347" i="16"/>
  <c r="K3347" i="16"/>
  <c r="D3347" i="16"/>
  <c r="C3347" i="16"/>
  <c r="B3347" i="16"/>
  <c r="A3347" i="16"/>
  <c r="D3346" i="16"/>
  <c r="C3346" i="16"/>
  <c r="B3346" i="16"/>
  <c r="A3346" i="16"/>
  <c r="K3345" i="16"/>
  <c r="J3345" i="16"/>
  <c r="G3345" i="16"/>
  <c r="F3345" i="16"/>
  <c r="D3345" i="16"/>
  <c r="C3345" i="16"/>
  <c r="B3345" i="16"/>
  <c r="A3345" i="16"/>
  <c r="P3344" i="16"/>
  <c r="K3344" i="16"/>
  <c r="J3344" i="16"/>
  <c r="H3344" i="16"/>
  <c r="E3344" i="16"/>
  <c r="D3344" i="16"/>
  <c r="C3344" i="16"/>
  <c r="B3344" i="16"/>
  <c r="A3344" i="16"/>
  <c r="T3343" i="16"/>
  <c r="H3343" i="16"/>
  <c r="D3343" i="16"/>
  <c r="C3343" i="16"/>
  <c r="B3343" i="16"/>
  <c r="A3343" i="16"/>
  <c r="D3342" i="16"/>
  <c r="C3342" i="16"/>
  <c r="B3342" i="16"/>
  <c r="A3342" i="16"/>
  <c r="T3341" i="16"/>
  <c r="P3341" i="16"/>
  <c r="D3341" i="16"/>
  <c r="C3341" i="16"/>
  <c r="B3341" i="16"/>
  <c r="A3341" i="16"/>
  <c r="L3340" i="16"/>
  <c r="K3340" i="16"/>
  <c r="G3340" i="16"/>
  <c r="D3340" i="16"/>
  <c r="C3340" i="16"/>
  <c r="B3340" i="16"/>
  <c r="A3340" i="16"/>
  <c r="T3340" i="16" s="1"/>
  <c r="K3339" i="16"/>
  <c r="J3339" i="16"/>
  <c r="I3339" i="16"/>
  <c r="D3339" i="16"/>
  <c r="C3339" i="16"/>
  <c r="B3339" i="16"/>
  <c r="A3339" i="16"/>
  <c r="L3339" i="16" s="1"/>
  <c r="N3338" i="16"/>
  <c r="M3338" i="16"/>
  <c r="I3338" i="16"/>
  <c r="D3338" i="16"/>
  <c r="C3338" i="16"/>
  <c r="B3338" i="16"/>
  <c r="A3338" i="16"/>
  <c r="O3337" i="16"/>
  <c r="N3337" i="16"/>
  <c r="K3337" i="16"/>
  <c r="F3337" i="16"/>
  <c r="E3337" i="16"/>
  <c r="D3337" i="16"/>
  <c r="C3337" i="16"/>
  <c r="B3337" i="16"/>
  <c r="A3337" i="16"/>
  <c r="L3337" i="16" s="1"/>
  <c r="M3336" i="16"/>
  <c r="D3336" i="16"/>
  <c r="C3336" i="16"/>
  <c r="B3336" i="16"/>
  <c r="A3336" i="16"/>
  <c r="P3335" i="16"/>
  <c r="D3335" i="16"/>
  <c r="C3335" i="16"/>
  <c r="B3335" i="16"/>
  <c r="A3335" i="16"/>
  <c r="P3334" i="16"/>
  <c r="O3334" i="16"/>
  <c r="H3334" i="16"/>
  <c r="E3334" i="16"/>
  <c r="D3334" i="16"/>
  <c r="C3334" i="16"/>
  <c r="B3334" i="16"/>
  <c r="A3334" i="16"/>
  <c r="T3333" i="16"/>
  <c r="N3333" i="16"/>
  <c r="H3333" i="16"/>
  <c r="G3333" i="16"/>
  <c r="F3333" i="16"/>
  <c r="D3333" i="16"/>
  <c r="C3333" i="16"/>
  <c r="B3333" i="16"/>
  <c r="A3333" i="16"/>
  <c r="I3333" i="16" s="1"/>
  <c r="P3332" i="16"/>
  <c r="O3332" i="16"/>
  <c r="L3332" i="16"/>
  <c r="D3332" i="16"/>
  <c r="C3332" i="16"/>
  <c r="B3332" i="16"/>
  <c r="A3332" i="16"/>
  <c r="H3331" i="16"/>
  <c r="D3331" i="16"/>
  <c r="C3331" i="16"/>
  <c r="B3331" i="16"/>
  <c r="A3331" i="16"/>
  <c r="J3330" i="16"/>
  <c r="I3330" i="16"/>
  <c r="F3330" i="16"/>
  <c r="E3330" i="16"/>
  <c r="D3330" i="16"/>
  <c r="C3330" i="16"/>
  <c r="B3330" i="16"/>
  <c r="A3330" i="16"/>
  <c r="O3329" i="16"/>
  <c r="N3329" i="16"/>
  <c r="M3329" i="16"/>
  <c r="L3329" i="16"/>
  <c r="G3329" i="16"/>
  <c r="F3329" i="16"/>
  <c r="E3329" i="16"/>
  <c r="D3329" i="16"/>
  <c r="C3329" i="16"/>
  <c r="B3329" i="16"/>
  <c r="A3329" i="16"/>
  <c r="T3329" i="16" s="1"/>
  <c r="O3328" i="16"/>
  <c r="N3328" i="16"/>
  <c r="M3328" i="16"/>
  <c r="J3328" i="16"/>
  <c r="F3328" i="16"/>
  <c r="E3328" i="16"/>
  <c r="D3328" i="16"/>
  <c r="C3328" i="16"/>
  <c r="B3328" i="16"/>
  <c r="A3328" i="16"/>
  <c r="K3328" i="16" s="1"/>
  <c r="G3327" i="16"/>
  <c r="F3327" i="16"/>
  <c r="E3327" i="16"/>
  <c r="D3327" i="16"/>
  <c r="C3327" i="16"/>
  <c r="B3327" i="16"/>
  <c r="A3327" i="16"/>
  <c r="O3327" i="16" s="1"/>
  <c r="N3326" i="16"/>
  <c r="J3326" i="16"/>
  <c r="H3326" i="16"/>
  <c r="G3326" i="16"/>
  <c r="D3326" i="16"/>
  <c r="C3326" i="16"/>
  <c r="B3326" i="16"/>
  <c r="A3326" i="16"/>
  <c r="D3325" i="16"/>
  <c r="C3325" i="16"/>
  <c r="B3325" i="16"/>
  <c r="A3325" i="16"/>
  <c r="D3324" i="16"/>
  <c r="C3324" i="16"/>
  <c r="B3324" i="16"/>
  <c r="A3324" i="16"/>
  <c r="T3323" i="16"/>
  <c r="J3323" i="16"/>
  <c r="I3323" i="16"/>
  <c r="H3323" i="16"/>
  <c r="E3323" i="16"/>
  <c r="D3323" i="16"/>
  <c r="C3323" i="16"/>
  <c r="B3323" i="16"/>
  <c r="A3323" i="16"/>
  <c r="P3323" i="16" s="1"/>
  <c r="L3322" i="16"/>
  <c r="K3322" i="16"/>
  <c r="E3322" i="16"/>
  <c r="D3322" i="16"/>
  <c r="C3322" i="16"/>
  <c r="B3322" i="16"/>
  <c r="A3322" i="16"/>
  <c r="T3322" i="16" s="1"/>
  <c r="N3321" i="16"/>
  <c r="M3321" i="16"/>
  <c r="L3321" i="16"/>
  <c r="D3321" i="16"/>
  <c r="C3321" i="16"/>
  <c r="B3321" i="16"/>
  <c r="A3321" i="16"/>
  <c r="O3321" i="16" s="1"/>
  <c r="N3320" i="16"/>
  <c r="M3320" i="16"/>
  <c r="K3320" i="16"/>
  <c r="J3320" i="16"/>
  <c r="H3320" i="16"/>
  <c r="E3320" i="16"/>
  <c r="D3320" i="16"/>
  <c r="C3320" i="16"/>
  <c r="B3320" i="16"/>
  <c r="A3320" i="16"/>
  <c r="N3319" i="16"/>
  <c r="F3319" i="16"/>
  <c r="E3319" i="16"/>
  <c r="D3319" i="16"/>
  <c r="C3319" i="16"/>
  <c r="B3319" i="16"/>
  <c r="A3319" i="16"/>
  <c r="H3319" i="16" s="1"/>
  <c r="O3318" i="16"/>
  <c r="N3318" i="16"/>
  <c r="D3318" i="16"/>
  <c r="C3318" i="16"/>
  <c r="B3318" i="16"/>
  <c r="A3318" i="16"/>
  <c r="T3318" i="16" s="1"/>
  <c r="D3317" i="16"/>
  <c r="C3317" i="16"/>
  <c r="B3317" i="16"/>
  <c r="A3317" i="16"/>
  <c r="K3316" i="16"/>
  <c r="J3316" i="16"/>
  <c r="I3316" i="16"/>
  <c r="H3316" i="16"/>
  <c r="D3316" i="16"/>
  <c r="C3316" i="16"/>
  <c r="B3316" i="16"/>
  <c r="A3316" i="16"/>
  <c r="T3315" i="16"/>
  <c r="P3315" i="16"/>
  <c r="M3315" i="16"/>
  <c r="I3315" i="16"/>
  <c r="D3315" i="16"/>
  <c r="C3315" i="16"/>
  <c r="B3315" i="16"/>
  <c r="A3315" i="16"/>
  <c r="D3314" i="16"/>
  <c r="C3314" i="16"/>
  <c r="B3314" i="16"/>
  <c r="A3314" i="16"/>
  <c r="O3313" i="16"/>
  <c r="N3313" i="16"/>
  <c r="K3313" i="16"/>
  <c r="J3313" i="16"/>
  <c r="E3313" i="16"/>
  <c r="D3313" i="16"/>
  <c r="C3313" i="16"/>
  <c r="B3313" i="16"/>
  <c r="A3313" i="16"/>
  <c r="L3313" i="16" s="1"/>
  <c r="K3312" i="16"/>
  <c r="J3312" i="16"/>
  <c r="H3312" i="16"/>
  <c r="D3312" i="16"/>
  <c r="C3312" i="16"/>
  <c r="B3312" i="16"/>
  <c r="A3312" i="16"/>
  <c r="T3311" i="16"/>
  <c r="P3311" i="16"/>
  <c r="M3311" i="16"/>
  <c r="G3311" i="16"/>
  <c r="F3311" i="16"/>
  <c r="E3311" i="16"/>
  <c r="D3311" i="16"/>
  <c r="C3311" i="16"/>
  <c r="B3311" i="16"/>
  <c r="A3311" i="16"/>
  <c r="H3311" i="16" s="1"/>
  <c r="T3310" i="16"/>
  <c r="P3310" i="16"/>
  <c r="M3310" i="16"/>
  <c r="J3310" i="16"/>
  <c r="F3310" i="16"/>
  <c r="E3310" i="16"/>
  <c r="D3310" i="16"/>
  <c r="C3310" i="16"/>
  <c r="B3310" i="16"/>
  <c r="A3310" i="16"/>
  <c r="D3309" i="16"/>
  <c r="C3309" i="16"/>
  <c r="B3309" i="16"/>
  <c r="A3309" i="16"/>
  <c r="T3308" i="16"/>
  <c r="D3308" i="16"/>
  <c r="C3308" i="16"/>
  <c r="B3308" i="16"/>
  <c r="A3308" i="16"/>
  <c r="T3307" i="16"/>
  <c r="P3307" i="16"/>
  <c r="J3307" i="16"/>
  <c r="I3307" i="16"/>
  <c r="H3307" i="16"/>
  <c r="E3307" i="16"/>
  <c r="D3307" i="16"/>
  <c r="C3307" i="16"/>
  <c r="B3307" i="16"/>
  <c r="A3307" i="16"/>
  <c r="M3307" i="16" s="1"/>
  <c r="M3306" i="16"/>
  <c r="D3306" i="16"/>
  <c r="C3306" i="16"/>
  <c r="B3306" i="16"/>
  <c r="A3306" i="16"/>
  <c r="K3305" i="16"/>
  <c r="J3305" i="16"/>
  <c r="G3305" i="16"/>
  <c r="D3305" i="16"/>
  <c r="C3305" i="16"/>
  <c r="B3305" i="16"/>
  <c r="A3305" i="16"/>
  <c r="L3305" i="16" s="1"/>
  <c r="G3304" i="16"/>
  <c r="F3304" i="16"/>
  <c r="D3304" i="16"/>
  <c r="C3304" i="16"/>
  <c r="B3304" i="16"/>
  <c r="A3304" i="16"/>
  <c r="J3304" i="16" s="1"/>
  <c r="T3303" i="16"/>
  <c r="P3303" i="16"/>
  <c r="O3303" i="16"/>
  <c r="N3303" i="16"/>
  <c r="M3303" i="16"/>
  <c r="G3303" i="16"/>
  <c r="F3303" i="16"/>
  <c r="E3303" i="16"/>
  <c r="D3303" i="16"/>
  <c r="C3303" i="16"/>
  <c r="B3303" i="16"/>
  <c r="A3303" i="16"/>
  <c r="L3303" i="16" s="1"/>
  <c r="J3302" i="16"/>
  <c r="I3302" i="16"/>
  <c r="E3302" i="16"/>
  <c r="D3302" i="16"/>
  <c r="C3302" i="16"/>
  <c r="B3302" i="16"/>
  <c r="A3302" i="16"/>
  <c r="M3302" i="16" s="1"/>
  <c r="J3301" i="16"/>
  <c r="I3301" i="16"/>
  <c r="H3301" i="16"/>
  <c r="D3301" i="16"/>
  <c r="C3301" i="16"/>
  <c r="B3301" i="16"/>
  <c r="A3301" i="16"/>
  <c r="K3301" i="16" s="1"/>
  <c r="D3300" i="16"/>
  <c r="C3300" i="16"/>
  <c r="B3300" i="16"/>
  <c r="A3300" i="16"/>
  <c r="D3299" i="16"/>
  <c r="C3299" i="16"/>
  <c r="B3299" i="16"/>
  <c r="A3299" i="16"/>
  <c r="L3298" i="16"/>
  <c r="I3298" i="16"/>
  <c r="D3298" i="16"/>
  <c r="C3298" i="16"/>
  <c r="B3298" i="16"/>
  <c r="A3298" i="16"/>
  <c r="M3297" i="16"/>
  <c r="J3297" i="16"/>
  <c r="E3297" i="16"/>
  <c r="D3297" i="16"/>
  <c r="C3297" i="16"/>
  <c r="B3297" i="16"/>
  <c r="A3297" i="16"/>
  <c r="N3297" i="16" s="1"/>
  <c r="K3296" i="16"/>
  <c r="J3296" i="16"/>
  <c r="H3296" i="16"/>
  <c r="D3296" i="16"/>
  <c r="C3296" i="16"/>
  <c r="B3296" i="16"/>
  <c r="A3296" i="16"/>
  <c r="L3296" i="16" s="1"/>
  <c r="D3295" i="16"/>
  <c r="C3295" i="16"/>
  <c r="B3295" i="16"/>
  <c r="A3295" i="16"/>
  <c r="D3294" i="16"/>
  <c r="C3294" i="16"/>
  <c r="B3294" i="16"/>
  <c r="A3294" i="16"/>
  <c r="H3293" i="16"/>
  <c r="G3293" i="16"/>
  <c r="D3293" i="16"/>
  <c r="C3293" i="16"/>
  <c r="B3293" i="16"/>
  <c r="A3293" i="16"/>
  <c r="O3292" i="16"/>
  <c r="I3292" i="16"/>
  <c r="H3292" i="16"/>
  <c r="G3292" i="16"/>
  <c r="D3292" i="16"/>
  <c r="C3292" i="16"/>
  <c r="B3292" i="16"/>
  <c r="A3292" i="16"/>
  <c r="J3292" i="16" s="1"/>
  <c r="M3291" i="16"/>
  <c r="L3291" i="16"/>
  <c r="K3291" i="16"/>
  <c r="J3291" i="16"/>
  <c r="D3291" i="16"/>
  <c r="C3291" i="16"/>
  <c r="B3291" i="16"/>
  <c r="A3291" i="16"/>
  <c r="T3290" i="16"/>
  <c r="D3290" i="16"/>
  <c r="C3290" i="16"/>
  <c r="B3290" i="16"/>
  <c r="A3290" i="16"/>
  <c r="J3289" i="16"/>
  <c r="G3289" i="16"/>
  <c r="F3289" i="16"/>
  <c r="E3289" i="16"/>
  <c r="D3289" i="16"/>
  <c r="C3289" i="16"/>
  <c r="B3289" i="16"/>
  <c r="A3289" i="16"/>
  <c r="O3288" i="16"/>
  <c r="D3288" i="16"/>
  <c r="C3288" i="16"/>
  <c r="B3288" i="16"/>
  <c r="A3288" i="16"/>
  <c r="I3287" i="16"/>
  <c r="H3287" i="16"/>
  <c r="D3287" i="16"/>
  <c r="C3287" i="16"/>
  <c r="B3287" i="16"/>
  <c r="A3287" i="16"/>
  <c r="I3286" i="16"/>
  <c r="H3286" i="16"/>
  <c r="D3286" i="16"/>
  <c r="C3286" i="16"/>
  <c r="B3286" i="16"/>
  <c r="A3286" i="16"/>
  <c r="D3285" i="16"/>
  <c r="C3285" i="16"/>
  <c r="B3285" i="16"/>
  <c r="A3285" i="16"/>
  <c r="O3284" i="16"/>
  <c r="L3284" i="16"/>
  <c r="J3284" i="16"/>
  <c r="G3284" i="16"/>
  <c r="D3284" i="16"/>
  <c r="C3284" i="16"/>
  <c r="B3284" i="16"/>
  <c r="A3284" i="16"/>
  <c r="D3283" i="16"/>
  <c r="C3283" i="16"/>
  <c r="B3283" i="16"/>
  <c r="A3283" i="16"/>
  <c r="T3282" i="16"/>
  <c r="N3282" i="16"/>
  <c r="F3282" i="16"/>
  <c r="D3282" i="16"/>
  <c r="C3282" i="16"/>
  <c r="B3282" i="16"/>
  <c r="A3282" i="16"/>
  <c r="O3281" i="16"/>
  <c r="N3281" i="16"/>
  <c r="M3281" i="16"/>
  <c r="J3281" i="16"/>
  <c r="G3281" i="16"/>
  <c r="F3281" i="16"/>
  <c r="E3281" i="16"/>
  <c r="D3281" i="16"/>
  <c r="C3281" i="16"/>
  <c r="B3281" i="16"/>
  <c r="A3281" i="16"/>
  <c r="T3281" i="16" s="1"/>
  <c r="P3280" i="16"/>
  <c r="O3280" i="16"/>
  <c r="N3280" i="16"/>
  <c r="M3280" i="16"/>
  <c r="L3280" i="16"/>
  <c r="K3280" i="16"/>
  <c r="G3280" i="16"/>
  <c r="F3280" i="16"/>
  <c r="E3280" i="16"/>
  <c r="D3280" i="16"/>
  <c r="C3280" i="16"/>
  <c r="B3280" i="16"/>
  <c r="A3280" i="16"/>
  <c r="T3280" i="16" s="1"/>
  <c r="D3279" i="16"/>
  <c r="C3279" i="16"/>
  <c r="B3279" i="16"/>
  <c r="A3279" i="16"/>
  <c r="T3278" i="16"/>
  <c r="P3278" i="16"/>
  <c r="J3278" i="16"/>
  <c r="D3278" i="16"/>
  <c r="C3278" i="16"/>
  <c r="B3278" i="16"/>
  <c r="A3278" i="16"/>
  <c r="T3277" i="16"/>
  <c r="P3277" i="16"/>
  <c r="D3277" i="16"/>
  <c r="C3277" i="16"/>
  <c r="B3277" i="16"/>
  <c r="A3277" i="16"/>
  <c r="D3276" i="16"/>
  <c r="C3276" i="16"/>
  <c r="B3276" i="16"/>
  <c r="A3276" i="16"/>
  <c r="D3275" i="16"/>
  <c r="C3275" i="16"/>
  <c r="B3275" i="16"/>
  <c r="A3275" i="16"/>
  <c r="T3274" i="16"/>
  <c r="I3274" i="16"/>
  <c r="F3274" i="16"/>
  <c r="E3274" i="16"/>
  <c r="D3274" i="16"/>
  <c r="C3274" i="16"/>
  <c r="B3274" i="16"/>
  <c r="A3274" i="16"/>
  <c r="J3274" i="16" s="1"/>
  <c r="N3273" i="16"/>
  <c r="M3273" i="16"/>
  <c r="D3273" i="16"/>
  <c r="C3273" i="16"/>
  <c r="B3273" i="16"/>
  <c r="A3273" i="16"/>
  <c r="P3272" i="16"/>
  <c r="O3272" i="16"/>
  <c r="L3272" i="16"/>
  <c r="H3272" i="16"/>
  <c r="G3272" i="16"/>
  <c r="F3272" i="16"/>
  <c r="D3272" i="16"/>
  <c r="C3272" i="16"/>
  <c r="B3272" i="16"/>
  <c r="A3272" i="16"/>
  <c r="J3272" i="16" s="1"/>
  <c r="D3271" i="16"/>
  <c r="C3271" i="16"/>
  <c r="B3271" i="16"/>
  <c r="A3271" i="16"/>
  <c r="T3270" i="16"/>
  <c r="I3270" i="16"/>
  <c r="D3270" i="16"/>
  <c r="C3270" i="16"/>
  <c r="B3270" i="16"/>
  <c r="A3270" i="16"/>
  <c r="T3269" i="16"/>
  <c r="D3269" i="16"/>
  <c r="C3269" i="16"/>
  <c r="B3269" i="16"/>
  <c r="A3269" i="16"/>
  <c r="J3268" i="16"/>
  <c r="D3268" i="16"/>
  <c r="C3268" i="16"/>
  <c r="B3268" i="16"/>
  <c r="A3268" i="16"/>
  <c r="D3267" i="16"/>
  <c r="C3267" i="16"/>
  <c r="B3267" i="16"/>
  <c r="A3267" i="16"/>
  <c r="T3266" i="16"/>
  <c r="L3266" i="16"/>
  <c r="F3266" i="16"/>
  <c r="E3266" i="16"/>
  <c r="D3266" i="16"/>
  <c r="C3266" i="16"/>
  <c r="B3266" i="16"/>
  <c r="A3266" i="16"/>
  <c r="M3266" i="16" s="1"/>
  <c r="G3265" i="16"/>
  <c r="F3265" i="16"/>
  <c r="D3265" i="16"/>
  <c r="C3265" i="16"/>
  <c r="B3265" i="16"/>
  <c r="A3265" i="16"/>
  <c r="K3265" i="16" s="1"/>
  <c r="N3264" i="16"/>
  <c r="K3264" i="16"/>
  <c r="D3264" i="16"/>
  <c r="C3264" i="16"/>
  <c r="B3264" i="16"/>
  <c r="A3264" i="16"/>
  <c r="G3263" i="16"/>
  <c r="F3263" i="16"/>
  <c r="D3263" i="16"/>
  <c r="C3263" i="16"/>
  <c r="B3263" i="16"/>
  <c r="A3263" i="16"/>
  <c r="O3262" i="16"/>
  <c r="N3262" i="16"/>
  <c r="F3262" i="16"/>
  <c r="E3262" i="16"/>
  <c r="D3262" i="16"/>
  <c r="C3262" i="16"/>
  <c r="B3262" i="16"/>
  <c r="A3262" i="16"/>
  <c r="N3261" i="16"/>
  <c r="D3261" i="16"/>
  <c r="C3261" i="16"/>
  <c r="B3261" i="16"/>
  <c r="A3261" i="16"/>
  <c r="O3260" i="16"/>
  <c r="L3260" i="16"/>
  <c r="I3260" i="16"/>
  <c r="D3260" i="16"/>
  <c r="C3260" i="16"/>
  <c r="B3260" i="16"/>
  <c r="A3260" i="16"/>
  <c r="T3259" i="16"/>
  <c r="P3259" i="16"/>
  <c r="J3259" i="16"/>
  <c r="I3259" i="16"/>
  <c r="D3259" i="16"/>
  <c r="C3259" i="16"/>
  <c r="B3259" i="16"/>
  <c r="A3259" i="16"/>
  <c r="N3258" i="16"/>
  <c r="L3258" i="16"/>
  <c r="D3258" i="16"/>
  <c r="C3258" i="16"/>
  <c r="B3258" i="16"/>
  <c r="A3258" i="16"/>
  <c r="J3257" i="16"/>
  <c r="G3257" i="16"/>
  <c r="F3257" i="16"/>
  <c r="E3257" i="16"/>
  <c r="D3257" i="16"/>
  <c r="C3257" i="16"/>
  <c r="B3257" i="16"/>
  <c r="A3257" i="16"/>
  <c r="P3256" i="16"/>
  <c r="O3256" i="16"/>
  <c r="N3256" i="16"/>
  <c r="M3256" i="16"/>
  <c r="L3256" i="16"/>
  <c r="K3256" i="16"/>
  <c r="H3256" i="16"/>
  <c r="G3256" i="16"/>
  <c r="F3256" i="16"/>
  <c r="E3256" i="16"/>
  <c r="D3256" i="16"/>
  <c r="C3256" i="16"/>
  <c r="B3256" i="16"/>
  <c r="A3256" i="16"/>
  <c r="T3256" i="16" s="1"/>
  <c r="O3255" i="16"/>
  <c r="N3255" i="16"/>
  <c r="H3255" i="16"/>
  <c r="G3255" i="16"/>
  <c r="D3255" i="16"/>
  <c r="C3255" i="16"/>
  <c r="B3255" i="16"/>
  <c r="A3255" i="16"/>
  <c r="P3254" i="16"/>
  <c r="M3254" i="16"/>
  <c r="H3254" i="16"/>
  <c r="E3254" i="16"/>
  <c r="D3254" i="16"/>
  <c r="C3254" i="16"/>
  <c r="B3254" i="16"/>
  <c r="A3254" i="16"/>
  <c r="P3253" i="16"/>
  <c r="J3253" i="16"/>
  <c r="F3253" i="16"/>
  <c r="D3253" i="16"/>
  <c r="C3253" i="16"/>
  <c r="B3253" i="16"/>
  <c r="A3253" i="16"/>
  <c r="I3252" i="16"/>
  <c r="H3252" i="16"/>
  <c r="D3252" i="16"/>
  <c r="C3252" i="16"/>
  <c r="B3252" i="16"/>
  <c r="A3252" i="16"/>
  <c r="D3251" i="16"/>
  <c r="C3251" i="16"/>
  <c r="B3251" i="16"/>
  <c r="A3251" i="16"/>
  <c r="D3250" i="16"/>
  <c r="C3250" i="16"/>
  <c r="B3250" i="16"/>
  <c r="A3250" i="16"/>
  <c r="O3249" i="16"/>
  <c r="N3249" i="16"/>
  <c r="M3249" i="16"/>
  <c r="L3249" i="16"/>
  <c r="J3249" i="16"/>
  <c r="G3249" i="16"/>
  <c r="F3249" i="16"/>
  <c r="E3249" i="16"/>
  <c r="D3249" i="16"/>
  <c r="C3249" i="16"/>
  <c r="B3249" i="16"/>
  <c r="A3249" i="16"/>
  <c r="T3249" i="16" s="1"/>
  <c r="P3248" i="16"/>
  <c r="O3248" i="16"/>
  <c r="N3248" i="16"/>
  <c r="M3248" i="16"/>
  <c r="L3248" i="16"/>
  <c r="K3248" i="16"/>
  <c r="G3248" i="16"/>
  <c r="F3248" i="16"/>
  <c r="E3248" i="16"/>
  <c r="D3248" i="16"/>
  <c r="C3248" i="16"/>
  <c r="B3248" i="16"/>
  <c r="A3248" i="16"/>
  <c r="T3248" i="16" s="1"/>
  <c r="P3247" i="16"/>
  <c r="M3247" i="16"/>
  <c r="G3247" i="16"/>
  <c r="F3247" i="16"/>
  <c r="D3247" i="16"/>
  <c r="C3247" i="16"/>
  <c r="B3247" i="16"/>
  <c r="A3247" i="16"/>
  <c r="N3247" i="16" s="1"/>
  <c r="D3246" i="16"/>
  <c r="C3246" i="16"/>
  <c r="B3246" i="16"/>
  <c r="A3246" i="16"/>
  <c r="D3245" i="16"/>
  <c r="C3245" i="16"/>
  <c r="B3245" i="16"/>
  <c r="A3245" i="16"/>
  <c r="T3244" i="16"/>
  <c r="K3244" i="16"/>
  <c r="D3244" i="16"/>
  <c r="C3244" i="16"/>
  <c r="B3244" i="16"/>
  <c r="A3244" i="16"/>
  <c r="G3244" i="16" s="1"/>
  <c r="T3243" i="16"/>
  <c r="P3243" i="16"/>
  <c r="M3243" i="16"/>
  <c r="D3243" i="16"/>
  <c r="C3243" i="16"/>
  <c r="B3243" i="16"/>
  <c r="A3243" i="16"/>
  <c r="L3242" i="16"/>
  <c r="D3242" i="16"/>
  <c r="C3242" i="16"/>
  <c r="B3242" i="16"/>
  <c r="A3242" i="16"/>
  <c r="L3241" i="16"/>
  <c r="K3241" i="16"/>
  <c r="F3241" i="16"/>
  <c r="E3241" i="16"/>
  <c r="D3241" i="16"/>
  <c r="C3241" i="16"/>
  <c r="B3241" i="16"/>
  <c r="A3241" i="16"/>
  <c r="J3240" i="16"/>
  <c r="H3240" i="16"/>
  <c r="G3240" i="16"/>
  <c r="F3240" i="16"/>
  <c r="D3240" i="16"/>
  <c r="C3240" i="16"/>
  <c r="B3240" i="16"/>
  <c r="A3240" i="16"/>
  <c r="T3239" i="16"/>
  <c r="P3239" i="16"/>
  <c r="O3239" i="16"/>
  <c r="N3239" i="16"/>
  <c r="M3239" i="16"/>
  <c r="G3239" i="16"/>
  <c r="F3239" i="16"/>
  <c r="E3239" i="16"/>
  <c r="D3239" i="16"/>
  <c r="C3239" i="16"/>
  <c r="B3239" i="16"/>
  <c r="A3239" i="16"/>
  <c r="L3239" i="16" s="1"/>
  <c r="D3238" i="16"/>
  <c r="C3238" i="16"/>
  <c r="B3238" i="16"/>
  <c r="A3238" i="16"/>
  <c r="J3237" i="16"/>
  <c r="I3237" i="16"/>
  <c r="H3237" i="16"/>
  <c r="D3237" i="16"/>
  <c r="C3237" i="16"/>
  <c r="B3237" i="16"/>
  <c r="A3237" i="16"/>
  <c r="K3237" i="16" s="1"/>
  <c r="T3236" i="16"/>
  <c r="P3236" i="16"/>
  <c r="J3236" i="16"/>
  <c r="I3236" i="16"/>
  <c r="D3236" i="16"/>
  <c r="C3236" i="16"/>
  <c r="B3236" i="16"/>
  <c r="A3236" i="16"/>
  <c r="P3235" i="16"/>
  <c r="D3235" i="16"/>
  <c r="C3235" i="16"/>
  <c r="B3235" i="16"/>
  <c r="A3235" i="16"/>
  <c r="D3234" i="16"/>
  <c r="C3234" i="16"/>
  <c r="B3234" i="16"/>
  <c r="A3234" i="16"/>
  <c r="L3234" i="16" s="1"/>
  <c r="M3233" i="16"/>
  <c r="L3233" i="16"/>
  <c r="G3233" i="16"/>
  <c r="F3233" i="16"/>
  <c r="D3233" i="16"/>
  <c r="C3233" i="16"/>
  <c r="B3233" i="16"/>
  <c r="A3233" i="16"/>
  <c r="N3232" i="16"/>
  <c r="K3232" i="16"/>
  <c r="J3232" i="16"/>
  <c r="H3232" i="16"/>
  <c r="D3232" i="16"/>
  <c r="C3232" i="16"/>
  <c r="B3232" i="16"/>
  <c r="A3232" i="16"/>
  <c r="O3231" i="16"/>
  <c r="M3231" i="16"/>
  <c r="D3231" i="16"/>
  <c r="C3231" i="16"/>
  <c r="B3231" i="16"/>
  <c r="A3231" i="16"/>
  <c r="D3230" i="16"/>
  <c r="C3230" i="16"/>
  <c r="B3230" i="16"/>
  <c r="A3230" i="16"/>
  <c r="T3229" i="16"/>
  <c r="K3229" i="16"/>
  <c r="J3229" i="16"/>
  <c r="D3229" i="16"/>
  <c r="C3229" i="16"/>
  <c r="B3229" i="16"/>
  <c r="A3229" i="16"/>
  <c r="G3229" i="16" s="1"/>
  <c r="T3228" i="16"/>
  <c r="P3228" i="16"/>
  <c r="O3228" i="16"/>
  <c r="G3228" i="16"/>
  <c r="D3228" i="16"/>
  <c r="C3228" i="16"/>
  <c r="B3228" i="16"/>
  <c r="A3228" i="16"/>
  <c r="M3227" i="16"/>
  <c r="J3227" i="16"/>
  <c r="D3227" i="16"/>
  <c r="C3227" i="16"/>
  <c r="B3227" i="16"/>
  <c r="A3227" i="16"/>
  <c r="D3226" i="16"/>
  <c r="C3226" i="16"/>
  <c r="B3226" i="16"/>
  <c r="A3226" i="16"/>
  <c r="K3225" i="16"/>
  <c r="J3225" i="16"/>
  <c r="G3225" i="16"/>
  <c r="F3225" i="16"/>
  <c r="D3225" i="16"/>
  <c r="C3225" i="16"/>
  <c r="B3225" i="16"/>
  <c r="A3225" i="16"/>
  <c r="P3224" i="16"/>
  <c r="O3224" i="16"/>
  <c r="K3224" i="16"/>
  <c r="J3224" i="16"/>
  <c r="H3224" i="16"/>
  <c r="E3224" i="16"/>
  <c r="D3224" i="16"/>
  <c r="C3224" i="16"/>
  <c r="B3224" i="16"/>
  <c r="A3224" i="16"/>
  <c r="D3223" i="16"/>
  <c r="C3223" i="16"/>
  <c r="B3223" i="16"/>
  <c r="A3223" i="16"/>
  <c r="M3222" i="16"/>
  <c r="D3222" i="16"/>
  <c r="C3222" i="16"/>
  <c r="B3222" i="16"/>
  <c r="A3222" i="16"/>
  <c r="P3221" i="16"/>
  <c r="J3221" i="16"/>
  <c r="D3221" i="16"/>
  <c r="C3221" i="16"/>
  <c r="B3221" i="16"/>
  <c r="A3221" i="16"/>
  <c r="T3220" i="16"/>
  <c r="P3220" i="16"/>
  <c r="J3220" i="16"/>
  <c r="G3220" i="16"/>
  <c r="D3220" i="16"/>
  <c r="C3220" i="16"/>
  <c r="B3220" i="16"/>
  <c r="A3220" i="16"/>
  <c r="D3219" i="16"/>
  <c r="C3219" i="16"/>
  <c r="B3219" i="16"/>
  <c r="A3219" i="16"/>
  <c r="T3218" i="16"/>
  <c r="D3218" i="16"/>
  <c r="C3218" i="16"/>
  <c r="B3218" i="16"/>
  <c r="A3218" i="16"/>
  <c r="O3217" i="16"/>
  <c r="N3217" i="16"/>
  <c r="M3217" i="16"/>
  <c r="J3217" i="16"/>
  <c r="G3217" i="16"/>
  <c r="F3217" i="16"/>
  <c r="E3217" i="16"/>
  <c r="D3217" i="16"/>
  <c r="C3217" i="16"/>
  <c r="B3217" i="16"/>
  <c r="A3217" i="16"/>
  <c r="T3217" i="16" s="1"/>
  <c r="P3216" i="16"/>
  <c r="O3216" i="16"/>
  <c r="N3216" i="16"/>
  <c r="M3216" i="16"/>
  <c r="L3216" i="16"/>
  <c r="K3216" i="16"/>
  <c r="G3216" i="16"/>
  <c r="F3216" i="16"/>
  <c r="E3216" i="16"/>
  <c r="D3216" i="16"/>
  <c r="C3216" i="16"/>
  <c r="B3216" i="16"/>
  <c r="A3216" i="16"/>
  <c r="T3216" i="16" s="1"/>
  <c r="I3215" i="16"/>
  <c r="H3215" i="16"/>
  <c r="G3215" i="16"/>
  <c r="D3215" i="16"/>
  <c r="C3215" i="16"/>
  <c r="B3215" i="16"/>
  <c r="A3215" i="16"/>
  <c r="M3215" i="16" s="1"/>
  <c r="J3214" i="16"/>
  <c r="I3214" i="16"/>
  <c r="H3214" i="16"/>
  <c r="D3214" i="16"/>
  <c r="C3214" i="16"/>
  <c r="B3214" i="16"/>
  <c r="A3214" i="16"/>
  <c r="P3214" i="16" s="1"/>
  <c r="D3213" i="16"/>
  <c r="C3213" i="16"/>
  <c r="B3213" i="16"/>
  <c r="A3213" i="16"/>
  <c r="D3212" i="16"/>
  <c r="C3212" i="16"/>
  <c r="B3212" i="16"/>
  <c r="A3212" i="16"/>
  <c r="D3211" i="16"/>
  <c r="C3211" i="16"/>
  <c r="B3211" i="16"/>
  <c r="A3211" i="16"/>
  <c r="M3210" i="16"/>
  <c r="I3210" i="16"/>
  <c r="F3210" i="16"/>
  <c r="E3210" i="16"/>
  <c r="D3210" i="16"/>
  <c r="C3210" i="16"/>
  <c r="B3210" i="16"/>
  <c r="A3210" i="16"/>
  <c r="J3210" i="16" s="1"/>
  <c r="O3209" i="16"/>
  <c r="N3209" i="16"/>
  <c r="L3209" i="16"/>
  <c r="K3209" i="16"/>
  <c r="J3209" i="16"/>
  <c r="E3209" i="16"/>
  <c r="D3209" i="16"/>
  <c r="C3209" i="16"/>
  <c r="B3209" i="16"/>
  <c r="A3209" i="16"/>
  <c r="L3208" i="16"/>
  <c r="K3208" i="16"/>
  <c r="J3208" i="16"/>
  <c r="H3208" i="16"/>
  <c r="D3208" i="16"/>
  <c r="C3208" i="16"/>
  <c r="B3208" i="16"/>
  <c r="A3208" i="16"/>
  <c r="T3207" i="16"/>
  <c r="L3207" i="16"/>
  <c r="D3207" i="16"/>
  <c r="C3207" i="16"/>
  <c r="B3207" i="16"/>
  <c r="A3207" i="16"/>
  <c r="F3206" i="16"/>
  <c r="E3206" i="16"/>
  <c r="D3206" i="16"/>
  <c r="C3206" i="16"/>
  <c r="B3206" i="16"/>
  <c r="A3206" i="16"/>
  <c r="T3206" i="16" s="1"/>
  <c r="N3205" i="16"/>
  <c r="H3205" i="16"/>
  <c r="G3205" i="16"/>
  <c r="F3205" i="16"/>
  <c r="D3205" i="16"/>
  <c r="C3205" i="16"/>
  <c r="B3205" i="16"/>
  <c r="A3205" i="16"/>
  <c r="P3204" i="16"/>
  <c r="O3204" i="16"/>
  <c r="L3204" i="16"/>
  <c r="K3204" i="16"/>
  <c r="D3204" i="16"/>
  <c r="C3204" i="16"/>
  <c r="B3204" i="16"/>
  <c r="A3204" i="16"/>
  <c r="T3203" i="16"/>
  <c r="K3203" i="16"/>
  <c r="J3203" i="16"/>
  <c r="E3203" i="16"/>
  <c r="D3203" i="16"/>
  <c r="C3203" i="16"/>
  <c r="B3203" i="16"/>
  <c r="A3203" i="16"/>
  <c r="T3202" i="16"/>
  <c r="N3202" i="16"/>
  <c r="M3202" i="16"/>
  <c r="L3202" i="16"/>
  <c r="D3202" i="16"/>
  <c r="C3202" i="16"/>
  <c r="B3202" i="16"/>
  <c r="A3202" i="16"/>
  <c r="O3201" i="16"/>
  <c r="L3201" i="16"/>
  <c r="G3201" i="16"/>
  <c r="F3201" i="16"/>
  <c r="E3201" i="16"/>
  <c r="D3201" i="16"/>
  <c r="C3201" i="16"/>
  <c r="B3201" i="16"/>
  <c r="A3201" i="16"/>
  <c r="J3201" i="16" s="1"/>
  <c r="O3200" i="16"/>
  <c r="D3200" i="16"/>
  <c r="C3200" i="16"/>
  <c r="B3200" i="16"/>
  <c r="A3200" i="16"/>
  <c r="I3199" i="16"/>
  <c r="G3199" i="16"/>
  <c r="D3199" i="16"/>
  <c r="C3199" i="16"/>
  <c r="B3199" i="16"/>
  <c r="A3199" i="16"/>
  <c r="T3198" i="16"/>
  <c r="P3198" i="16"/>
  <c r="H3198" i="16"/>
  <c r="E3198" i="16"/>
  <c r="D3198" i="16"/>
  <c r="C3198" i="16"/>
  <c r="B3198" i="16"/>
  <c r="A3198" i="16"/>
  <c r="D3197" i="16"/>
  <c r="C3197" i="16"/>
  <c r="B3197" i="16"/>
  <c r="A3197" i="16"/>
  <c r="D3196" i="16"/>
  <c r="C3196" i="16"/>
  <c r="B3196" i="16"/>
  <c r="A3196" i="16"/>
  <c r="T3195" i="16"/>
  <c r="D3195" i="16"/>
  <c r="C3195" i="16"/>
  <c r="B3195" i="16"/>
  <c r="A3195" i="16"/>
  <c r="T3194" i="16"/>
  <c r="L3194" i="16"/>
  <c r="D3194" i="16"/>
  <c r="C3194" i="16"/>
  <c r="B3194" i="16"/>
  <c r="A3194" i="16"/>
  <c r="D3193" i="16"/>
  <c r="C3193" i="16"/>
  <c r="B3193" i="16"/>
  <c r="A3193" i="16"/>
  <c r="P3192" i="16"/>
  <c r="O3192" i="16"/>
  <c r="N3192" i="16"/>
  <c r="M3192" i="16"/>
  <c r="L3192" i="16"/>
  <c r="K3192" i="16"/>
  <c r="H3192" i="16"/>
  <c r="G3192" i="16"/>
  <c r="F3192" i="16"/>
  <c r="E3192" i="16"/>
  <c r="D3192" i="16"/>
  <c r="C3192" i="16"/>
  <c r="B3192" i="16"/>
  <c r="A3192" i="16"/>
  <c r="T3192" i="16" s="1"/>
  <c r="O3191" i="16"/>
  <c r="N3191" i="16"/>
  <c r="H3191" i="16"/>
  <c r="D3191" i="16"/>
  <c r="C3191" i="16"/>
  <c r="B3191" i="16"/>
  <c r="A3191" i="16"/>
  <c r="T3190" i="16"/>
  <c r="P3190" i="16"/>
  <c r="O3190" i="16"/>
  <c r="M3190" i="16"/>
  <c r="G3190" i="16"/>
  <c r="F3190" i="16"/>
  <c r="E3190" i="16"/>
  <c r="D3190" i="16"/>
  <c r="C3190" i="16"/>
  <c r="B3190" i="16"/>
  <c r="A3190" i="16"/>
  <c r="H3190" i="16" s="1"/>
  <c r="P3189" i="16"/>
  <c r="O3189" i="16"/>
  <c r="N3189" i="16"/>
  <c r="F3189" i="16"/>
  <c r="D3189" i="16"/>
  <c r="C3189" i="16"/>
  <c r="B3189" i="16"/>
  <c r="A3189" i="16"/>
  <c r="D3188" i="16"/>
  <c r="C3188" i="16"/>
  <c r="B3188" i="16"/>
  <c r="A3188" i="16"/>
  <c r="T3187" i="16"/>
  <c r="P3187" i="16"/>
  <c r="H3187" i="16"/>
  <c r="E3187" i="16"/>
  <c r="D3187" i="16"/>
  <c r="C3187" i="16"/>
  <c r="B3187" i="16"/>
  <c r="A3187" i="16"/>
  <c r="K3186" i="16"/>
  <c r="J3186" i="16"/>
  <c r="D3186" i="16"/>
  <c r="C3186" i="16"/>
  <c r="B3186" i="16"/>
  <c r="A3186" i="16"/>
  <c r="K3185" i="16"/>
  <c r="J3185" i="16"/>
  <c r="G3185" i="16"/>
  <c r="F3185" i="16"/>
  <c r="D3185" i="16"/>
  <c r="C3185" i="16"/>
  <c r="B3185" i="16"/>
  <c r="A3185" i="16"/>
  <c r="N3184" i="16"/>
  <c r="K3184" i="16"/>
  <c r="J3184" i="16"/>
  <c r="F3184" i="16"/>
  <c r="D3184" i="16"/>
  <c r="C3184" i="16"/>
  <c r="B3184" i="16"/>
  <c r="A3184" i="16"/>
  <c r="O3183" i="16"/>
  <c r="N3183" i="16"/>
  <c r="F3183" i="16"/>
  <c r="E3183" i="16"/>
  <c r="D3183" i="16"/>
  <c r="C3183" i="16"/>
  <c r="B3183" i="16"/>
  <c r="A3183" i="16"/>
  <c r="O3182" i="16"/>
  <c r="N3182" i="16"/>
  <c r="M3182" i="16"/>
  <c r="D3182" i="16"/>
  <c r="C3182" i="16"/>
  <c r="B3182" i="16"/>
  <c r="A3182" i="16"/>
  <c r="N3181" i="16"/>
  <c r="K3181" i="16"/>
  <c r="D3181" i="16"/>
  <c r="C3181" i="16"/>
  <c r="B3181" i="16"/>
  <c r="A3181" i="16"/>
  <c r="T3180" i="16"/>
  <c r="J3180" i="16"/>
  <c r="G3180" i="16"/>
  <c r="D3180" i="16"/>
  <c r="C3180" i="16"/>
  <c r="B3180" i="16"/>
  <c r="A3180" i="16"/>
  <c r="L3179" i="16"/>
  <c r="D3179" i="16"/>
  <c r="C3179" i="16"/>
  <c r="B3179" i="16"/>
  <c r="A3179" i="16"/>
  <c r="K3178" i="16"/>
  <c r="J3178" i="16"/>
  <c r="I3178" i="16"/>
  <c r="D3178" i="16"/>
  <c r="C3178" i="16"/>
  <c r="B3178" i="16"/>
  <c r="A3178" i="16"/>
  <c r="L3178" i="16" s="1"/>
  <c r="D3177" i="16"/>
  <c r="C3177" i="16"/>
  <c r="B3177" i="16"/>
  <c r="A3177" i="16"/>
  <c r="D3176" i="16"/>
  <c r="C3176" i="16"/>
  <c r="B3176" i="16"/>
  <c r="A3176" i="16"/>
  <c r="D3175" i="16"/>
  <c r="C3175" i="16"/>
  <c r="B3175" i="16"/>
  <c r="A3175" i="16"/>
  <c r="D3174" i="16"/>
  <c r="C3174" i="16"/>
  <c r="B3174" i="16"/>
  <c r="A3174" i="16"/>
  <c r="D3173" i="16"/>
  <c r="C3173" i="16"/>
  <c r="B3173" i="16"/>
  <c r="A3173" i="16"/>
  <c r="J3172" i="16"/>
  <c r="D3172" i="16"/>
  <c r="C3172" i="16"/>
  <c r="B3172" i="16"/>
  <c r="A3172" i="16"/>
  <c r="E3171" i="16"/>
  <c r="D3171" i="16"/>
  <c r="C3171" i="16"/>
  <c r="B3171" i="16"/>
  <c r="A3171" i="16"/>
  <c r="D3170" i="16"/>
  <c r="C3170" i="16"/>
  <c r="B3170" i="16"/>
  <c r="A3170" i="16"/>
  <c r="O3169" i="16"/>
  <c r="L3169" i="16"/>
  <c r="K3169" i="16"/>
  <c r="F3169" i="16"/>
  <c r="E3169" i="16"/>
  <c r="D3169" i="16"/>
  <c r="C3169" i="16"/>
  <c r="B3169" i="16"/>
  <c r="A3169" i="16"/>
  <c r="N3168" i="16"/>
  <c r="D3168" i="16"/>
  <c r="C3168" i="16"/>
  <c r="B3168" i="16"/>
  <c r="A3168" i="16"/>
  <c r="O3167" i="16"/>
  <c r="D3167" i="16"/>
  <c r="C3167" i="16"/>
  <c r="B3167" i="16"/>
  <c r="A3167" i="16"/>
  <c r="M3166" i="16"/>
  <c r="H3166" i="16"/>
  <c r="D3166" i="16"/>
  <c r="C3166" i="16"/>
  <c r="B3166" i="16"/>
  <c r="A3166" i="16"/>
  <c r="H3165" i="16"/>
  <c r="G3165" i="16"/>
  <c r="D3165" i="16"/>
  <c r="C3165" i="16"/>
  <c r="B3165" i="16"/>
  <c r="A3165" i="16"/>
  <c r="T3164" i="16"/>
  <c r="O3164" i="16"/>
  <c r="I3164" i="16"/>
  <c r="H3164" i="16"/>
  <c r="G3164" i="16"/>
  <c r="D3164" i="16"/>
  <c r="C3164" i="16"/>
  <c r="B3164" i="16"/>
  <c r="A3164" i="16"/>
  <c r="J3164" i="16" s="1"/>
  <c r="D3163" i="16"/>
  <c r="C3163" i="16"/>
  <c r="B3163" i="16"/>
  <c r="A3163" i="16"/>
  <c r="P3163" i="16" s="1"/>
  <c r="T3162" i="16"/>
  <c r="E3162" i="16"/>
  <c r="D3162" i="16"/>
  <c r="C3162" i="16"/>
  <c r="B3162" i="16"/>
  <c r="A3162" i="16"/>
  <c r="L3161" i="16"/>
  <c r="K3161" i="16"/>
  <c r="J3161" i="16"/>
  <c r="D3161" i="16"/>
  <c r="C3161" i="16"/>
  <c r="B3161" i="16"/>
  <c r="A3161" i="16"/>
  <c r="P3160" i="16"/>
  <c r="M3160" i="16"/>
  <c r="D3160" i="16"/>
  <c r="C3160" i="16"/>
  <c r="B3160" i="16"/>
  <c r="A3160" i="16"/>
  <c r="N3159" i="16"/>
  <c r="M3159" i="16"/>
  <c r="L3159" i="16"/>
  <c r="D3159" i="16"/>
  <c r="C3159" i="16"/>
  <c r="B3159" i="16"/>
  <c r="A3159" i="16"/>
  <c r="D3158" i="16"/>
  <c r="C3158" i="16"/>
  <c r="B3158" i="16"/>
  <c r="A3158" i="16"/>
  <c r="D3157" i="16"/>
  <c r="C3157" i="16"/>
  <c r="B3157" i="16"/>
  <c r="A3157" i="16"/>
  <c r="T3156" i="16"/>
  <c r="P3156" i="16"/>
  <c r="J3156" i="16"/>
  <c r="D3156" i="16"/>
  <c r="C3156" i="16"/>
  <c r="B3156" i="16"/>
  <c r="A3156" i="16"/>
  <c r="M3155" i="16"/>
  <c r="D3155" i="16"/>
  <c r="C3155" i="16"/>
  <c r="B3155" i="16"/>
  <c r="A3155" i="16"/>
  <c r="J3155" i="16" s="1"/>
  <c r="D3154" i="16"/>
  <c r="C3154" i="16"/>
  <c r="B3154" i="16"/>
  <c r="A3154" i="16"/>
  <c r="D3153" i="16"/>
  <c r="C3153" i="16"/>
  <c r="B3153" i="16"/>
  <c r="A3153" i="16"/>
  <c r="P3152" i="16"/>
  <c r="H3152" i="16"/>
  <c r="G3152" i="16"/>
  <c r="F3152" i="16"/>
  <c r="E3152" i="16"/>
  <c r="D3152" i="16"/>
  <c r="C3152" i="16"/>
  <c r="B3152" i="16"/>
  <c r="A3152" i="16"/>
  <c r="T3151" i="16"/>
  <c r="I3151" i="16"/>
  <c r="H3151" i="16"/>
  <c r="G3151" i="16"/>
  <c r="D3151" i="16"/>
  <c r="C3151" i="16"/>
  <c r="B3151" i="16"/>
  <c r="A3151" i="16"/>
  <c r="L3151" i="16" s="1"/>
  <c r="P3150" i="16"/>
  <c r="I3150" i="16"/>
  <c r="H3150" i="16"/>
  <c r="G3150" i="16"/>
  <c r="D3150" i="16"/>
  <c r="C3150" i="16"/>
  <c r="B3150" i="16"/>
  <c r="A3150" i="16"/>
  <c r="F3150" i="16" s="1"/>
  <c r="T3149" i="16"/>
  <c r="P3149" i="16"/>
  <c r="O3149" i="16"/>
  <c r="F3149" i="16"/>
  <c r="D3149" i="16"/>
  <c r="C3149" i="16"/>
  <c r="B3149" i="16"/>
  <c r="A3149" i="16"/>
  <c r="L3148" i="16"/>
  <c r="K3148" i="16"/>
  <c r="G3148" i="16"/>
  <c r="D3148" i="16"/>
  <c r="C3148" i="16"/>
  <c r="B3148" i="16"/>
  <c r="A3148" i="16"/>
  <c r="T3148" i="16" s="1"/>
  <c r="D3147" i="16"/>
  <c r="C3147" i="16"/>
  <c r="B3147" i="16"/>
  <c r="A3147" i="16"/>
  <c r="T3146" i="16"/>
  <c r="N3146" i="16"/>
  <c r="M3146" i="16"/>
  <c r="E3146" i="16"/>
  <c r="D3146" i="16"/>
  <c r="C3146" i="16"/>
  <c r="B3146" i="16"/>
  <c r="A3146" i="16"/>
  <c r="O3145" i="16"/>
  <c r="L3145" i="16"/>
  <c r="K3145" i="16"/>
  <c r="F3145" i="16"/>
  <c r="D3145" i="16"/>
  <c r="C3145" i="16"/>
  <c r="B3145" i="16"/>
  <c r="A3145" i="16"/>
  <c r="P3144" i="16"/>
  <c r="O3144" i="16"/>
  <c r="N3144" i="16"/>
  <c r="H3144" i="16"/>
  <c r="G3144" i="16"/>
  <c r="F3144" i="16"/>
  <c r="E3144" i="16"/>
  <c r="D3144" i="16"/>
  <c r="C3144" i="16"/>
  <c r="B3144" i="16"/>
  <c r="A3144" i="16"/>
  <c r="P3143" i="16"/>
  <c r="D3143" i="16"/>
  <c r="C3143" i="16"/>
  <c r="B3143" i="16"/>
  <c r="A3143" i="16"/>
  <c r="T3142" i="16"/>
  <c r="D3142" i="16"/>
  <c r="C3142" i="16"/>
  <c r="B3142" i="16"/>
  <c r="A3142" i="16"/>
  <c r="N3141" i="16"/>
  <c r="H3141" i="16"/>
  <c r="G3141" i="16"/>
  <c r="F3141" i="16"/>
  <c r="D3141" i="16"/>
  <c r="C3141" i="16"/>
  <c r="B3141" i="16"/>
  <c r="A3141" i="16"/>
  <c r="O3140" i="16"/>
  <c r="L3140" i="16"/>
  <c r="K3140" i="16"/>
  <c r="J3140" i="16"/>
  <c r="D3140" i="16"/>
  <c r="C3140" i="16"/>
  <c r="B3140" i="16"/>
  <c r="A3140" i="16"/>
  <c r="T3139" i="16"/>
  <c r="K3139" i="16"/>
  <c r="J3139" i="16"/>
  <c r="I3139" i="16"/>
  <c r="D3139" i="16"/>
  <c r="C3139" i="16"/>
  <c r="B3139" i="16"/>
  <c r="A3139" i="16"/>
  <c r="M3138" i="16"/>
  <c r="L3138" i="16"/>
  <c r="F3138" i="16"/>
  <c r="E3138" i="16"/>
  <c r="D3138" i="16"/>
  <c r="C3138" i="16"/>
  <c r="B3138" i="16"/>
  <c r="A3138" i="16"/>
  <c r="M3137" i="16"/>
  <c r="L3137" i="16"/>
  <c r="K3137" i="16"/>
  <c r="J3137" i="16"/>
  <c r="D3137" i="16"/>
  <c r="C3137" i="16"/>
  <c r="B3137" i="16"/>
  <c r="A3137" i="16"/>
  <c r="J3136" i="16"/>
  <c r="H3136" i="16"/>
  <c r="D3136" i="16"/>
  <c r="C3136" i="16"/>
  <c r="B3136" i="16"/>
  <c r="A3136" i="16"/>
  <c r="O3136" i="16" s="1"/>
  <c r="T3135" i="16"/>
  <c r="P3135" i="16"/>
  <c r="D3135" i="16"/>
  <c r="C3135" i="16"/>
  <c r="B3135" i="16"/>
  <c r="A3135" i="16"/>
  <c r="T3134" i="16"/>
  <c r="N3134" i="16"/>
  <c r="E3134" i="16"/>
  <c r="D3134" i="16"/>
  <c r="C3134" i="16"/>
  <c r="B3134" i="16"/>
  <c r="A3134" i="16"/>
  <c r="T3133" i="16"/>
  <c r="P3133" i="16"/>
  <c r="O3133" i="16"/>
  <c r="N3133" i="16"/>
  <c r="H3133" i="16"/>
  <c r="G3133" i="16"/>
  <c r="F3133" i="16"/>
  <c r="D3133" i="16"/>
  <c r="C3133" i="16"/>
  <c r="B3133" i="16"/>
  <c r="A3133" i="16"/>
  <c r="K3133" i="16" s="1"/>
  <c r="D3132" i="16"/>
  <c r="C3132" i="16"/>
  <c r="B3132" i="16"/>
  <c r="A3132" i="16"/>
  <c r="O3132" i="16" s="1"/>
  <c r="T3131" i="16"/>
  <c r="P3131" i="16"/>
  <c r="I3131" i="16"/>
  <c r="H3131" i="16"/>
  <c r="E3131" i="16"/>
  <c r="D3131" i="16"/>
  <c r="C3131" i="16"/>
  <c r="B3131" i="16"/>
  <c r="A3131" i="16"/>
  <c r="L3131" i="16" s="1"/>
  <c r="M3130" i="16"/>
  <c r="L3130" i="16"/>
  <c r="K3130" i="16"/>
  <c r="E3130" i="16"/>
  <c r="D3130" i="16"/>
  <c r="C3130" i="16"/>
  <c r="B3130" i="16"/>
  <c r="A3130" i="16"/>
  <c r="T3130" i="16" s="1"/>
  <c r="O3129" i="16"/>
  <c r="L3129" i="16"/>
  <c r="K3129" i="16"/>
  <c r="J3129" i="16"/>
  <c r="E3129" i="16"/>
  <c r="D3129" i="16"/>
  <c r="C3129" i="16"/>
  <c r="B3129" i="16"/>
  <c r="A3129" i="16"/>
  <c r="L3128" i="16"/>
  <c r="K3128" i="16"/>
  <c r="J3128" i="16"/>
  <c r="H3128" i="16"/>
  <c r="D3128" i="16"/>
  <c r="C3128" i="16"/>
  <c r="B3128" i="16"/>
  <c r="A3128" i="16"/>
  <c r="D3127" i="16"/>
  <c r="C3127" i="16"/>
  <c r="B3127" i="16"/>
  <c r="A3127" i="16"/>
  <c r="O3126" i="16"/>
  <c r="N3126" i="16"/>
  <c r="M3126" i="16"/>
  <c r="E3126" i="16"/>
  <c r="D3126" i="16"/>
  <c r="C3126" i="16"/>
  <c r="B3126" i="16"/>
  <c r="A3126" i="16"/>
  <c r="P3125" i="16"/>
  <c r="F3125" i="16"/>
  <c r="D3125" i="16"/>
  <c r="C3125" i="16"/>
  <c r="B3125" i="16"/>
  <c r="A3125" i="16"/>
  <c r="D3124" i="16"/>
  <c r="C3124" i="16"/>
  <c r="B3124" i="16"/>
  <c r="A3124" i="16"/>
  <c r="T3123" i="16"/>
  <c r="I3123" i="16"/>
  <c r="H3123" i="16"/>
  <c r="E3123" i="16"/>
  <c r="D3123" i="16"/>
  <c r="C3123" i="16"/>
  <c r="B3123" i="16"/>
  <c r="A3123" i="16"/>
  <c r="J3123" i="16" s="1"/>
  <c r="M3122" i="16"/>
  <c r="L3122" i="16"/>
  <c r="K3122" i="16"/>
  <c r="D3122" i="16"/>
  <c r="C3122" i="16"/>
  <c r="B3122" i="16"/>
  <c r="A3122" i="16"/>
  <c r="N3122" i="16" s="1"/>
  <c r="N3121" i="16"/>
  <c r="D3121" i="16"/>
  <c r="C3121" i="16"/>
  <c r="B3121" i="16"/>
  <c r="A3121" i="16"/>
  <c r="P3120" i="16"/>
  <c r="D3120" i="16"/>
  <c r="C3120" i="16"/>
  <c r="B3120" i="16"/>
  <c r="A3120" i="16"/>
  <c r="T3119" i="16"/>
  <c r="P3119" i="16"/>
  <c r="O3119" i="16"/>
  <c r="G3119" i="16"/>
  <c r="F3119" i="16"/>
  <c r="E3119" i="16"/>
  <c r="D3119" i="16"/>
  <c r="C3119" i="16"/>
  <c r="B3119" i="16"/>
  <c r="A3119" i="16"/>
  <c r="H3119" i="16" s="1"/>
  <c r="O3118" i="16"/>
  <c r="N3118" i="16"/>
  <c r="H3118" i="16"/>
  <c r="E3118" i="16"/>
  <c r="D3118" i="16"/>
  <c r="C3118" i="16"/>
  <c r="B3118" i="16"/>
  <c r="A3118" i="16"/>
  <c r="D3117" i="16"/>
  <c r="C3117" i="16"/>
  <c r="B3117" i="16"/>
  <c r="A3117" i="16"/>
  <c r="D3116" i="16"/>
  <c r="C3116" i="16"/>
  <c r="B3116" i="16"/>
  <c r="A3116" i="16"/>
  <c r="L3115" i="16"/>
  <c r="J3115" i="16"/>
  <c r="E3115" i="16"/>
  <c r="D3115" i="16"/>
  <c r="C3115" i="16"/>
  <c r="B3115" i="16"/>
  <c r="A3115" i="16"/>
  <c r="M3115" i="16" s="1"/>
  <c r="M3114" i="16"/>
  <c r="I3114" i="16"/>
  <c r="D3114" i="16"/>
  <c r="C3114" i="16"/>
  <c r="B3114" i="16"/>
  <c r="A3114" i="16"/>
  <c r="K3113" i="16"/>
  <c r="G3113" i="16"/>
  <c r="F3113" i="16"/>
  <c r="D3113" i="16"/>
  <c r="C3113" i="16"/>
  <c r="B3113" i="16"/>
  <c r="A3113" i="16"/>
  <c r="J3113" i="16" s="1"/>
  <c r="P3112" i="16"/>
  <c r="O3112" i="16"/>
  <c r="N3112" i="16"/>
  <c r="H3112" i="16"/>
  <c r="G3112" i="16"/>
  <c r="F3112" i="16"/>
  <c r="E3112" i="16"/>
  <c r="D3112" i="16"/>
  <c r="C3112" i="16"/>
  <c r="B3112" i="16"/>
  <c r="A3112" i="16"/>
  <c r="T3111" i="16"/>
  <c r="P3111" i="16"/>
  <c r="O3111" i="16"/>
  <c r="N3111" i="16"/>
  <c r="M3111" i="16"/>
  <c r="H3111" i="16"/>
  <c r="G3111" i="16"/>
  <c r="F3111" i="16"/>
  <c r="E3111" i="16"/>
  <c r="D3111" i="16"/>
  <c r="C3111" i="16"/>
  <c r="B3111" i="16"/>
  <c r="A3111" i="16"/>
  <c r="L3111" i="16" s="1"/>
  <c r="D3110" i="16"/>
  <c r="C3110" i="16"/>
  <c r="B3110" i="16"/>
  <c r="A3110" i="16"/>
  <c r="N3109" i="16"/>
  <c r="D3109" i="16"/>
  <c r="C3109" i="16"/>
  <c r="B3109" i="16"/>
  <c r="A3109" i="16"/>
  <c r="I3109" i="16" s="1"/>
  <c r="P3108" i="16"/>
  <c r="L3108" i="16"/>
  <c r="H3108" i="16"/>
  <c r="G3108" i="16"/>
  <c r="D3108" i="16"/>
  <c r="C3108" i="16"/>
  <c r="B3108" i="16"/>
  <c r="A3108" i="16"/>
  <c r="D3107" i="16"/>
  <c r="C3107" i="16"/>
  <c r="B3107" i="16"/>
  <c r="A3107" i="16"/>
  <c r="P3107" i="16" s="1"/>
  <c r="D3106" i="16"/>
  <c r="C3106" i="16"/>
  <c r="B3106" i="16"/>
  <c r="A3106" i="16"/>
  <c r="N3105" i="16"/>
  <c r="M3105" i="16"/>
  <c r="L3105" i="16"/>
  <c r="G3105" i="16"/>
  <c r="D3105" i="16"/>
  <c r="C3105" i="16"/>
  <c r="B3105" i="16"/>
  <c r="A3105" i="16"/>
  <c r="P3104" i="16"/>
  <c r="L3104" i="16"/>
  <c r="K3104" i="16"/>
  <c r="G3104" i="16"/>
  <c r="F3104" i="16"/>
  <c r="D3104" i="16"/>
  <c r="C3104" i="16"/>
  <c r="B3104" i="16"/>
  <c r="A3104" i="16"/>
  <c r="D3103" i="16"/>
  <c r="C3103" i="16"/>
  <c r="B3103" i="16"/>
  <c r="A3103" i="16"/>
  <c r="D3102" i="16"/>
  <c r="C3102" i="16"/>
  <c r="B3102" i="16"/>
  <c r="A3102" i="16"/>
  <c r="T3101" i="16"/>
  <c r="K3101" i="16"/>
  <c r="D3101" i="16"/>
  <c r="C3101" i="16"/>
  <c r="B3101" i="16"/>
  <c r="A3101" i="16"/>
  <c r="T3100" i="16"/>
  <c r="P3100" i="16"/>
  <c r="H3100" i="16"/>
  <c r="G3100" i="16"/>
  <c r="D3100" i="16"/>
  <c r="C3100" i="16"/>
  <c r="B3100" i="16"/>
  <c r="A3100" i="16"/>
  <c r="K3099" i="16"/>
  <c r="J3099" i="16"/>
  <c r="D3099" i="16"/>
  <c r="C3099" i="16"/>
  <c r="B3099" i="16"/>
  <c r="A3099" i="16"/>
  <c r="J3098" i="16"/>
  <c r="I3098" i="16"/>
  <c r="F3098" i="16"/>
  <c r="E3098" i="16"/>
  <c r="D3098" i="16"/>
  <c r="C3098" i="16"/>
  <c r="B3098" i="16"/>
  <c r="A3098" i="16"/>
  <c r="T3098" i="16" s="1"/>
  <c r="D3097" i="16"/>
  <c r="C3097" i="16"/>
  <c r="B3097" i="16"/>
  <c r="A3097" i="16"/>
  <c r="L3096" i="16"/>
  <c r="K3096" i="16"/>
  <c r="J3096" i="16"/>
  <c r="F3096" i="16"/>
  <c r="D3096" i="16"/>
  <c r="C3096" i="16"/>
  <c r="B3096" i="16"/>
  <c r="A3096" i="16"/>
  <c r="D3095" i="16"/>
  <c r="C3095" i="16"/>
  <c r="B3095" i="16"/>
  <c r="A3095" i="16"/>
  <c r="M3094" i="16"/>
  <c r="D3094" i="16"/>
  <c r="C3094" i="16"/>
  <c r="B3094" i="16"/>
  <c r="A3094" i="16"/>
  <c r="D3093" i="16"/>
  <c r="C3093" i="16"/>
  <c r="B3093" i="16"/>
  <c r="A3093" i="16"/>
  <c r="D3092" i="16"/>
  <c r="C3092" i="16"/>
  <c r="B3092" i="16"/>
  <c r="A3092" i="16"/>
  <c r="D3091" i="16"/>
  <c r="C3091" i="16"/>
  <c r="B3091" i="16"/>
  <c r="A3091" i="16"/>
  <c r="T3090" i="16"/>
  <c r="J3090" i="16"/>
  <c r="I3090" i="16"/>
  <c r="F3090" i="16"/>
  <c r="E3090" i="16"/>
  <c r="D3090" i="16"/>
  <c r="C3090" i="16"/>
  <c r="B3090" i="16"/>
  <c r="A3090" i="16"/>
  <c r="N3090" i="16" s="1"/>
  <c r="O3089" i="16"/>
  <c r="N3089" i="16"/>
  <c r="K3089" i="16"/>
  <c r="J3089" i="16"/>
  <c r="E3089" i="16"/>
  <c r="D3089" i="16"/>
  <c r="C3089" i="16"/>
  <c r="B3089" i="16"/>
  <c r="A3089" i="16"/>
  <c r="L3089" i="16" s="1"/>
  <c r="D3088" i="16"/>
  <c r="C3088" i="16"/>
  <c r="B3088" i="16"/>
  <c r="A3088" i="16"/>
  <c r="T3087" i="16"/>
  <c r="L3087" i="16"/>
  <c r="G3087" i="16"/>
  <c r="D3087" i="16"/>
  <c r="C3087" i="16"/>
  <c r="B3087" i="16"/>
  <c r="A3087" i="16"/>
  <c r="T3086" i="16"/>
  <c r="D3086" i="16"/>
  <c r="C3086" i="16"/>
  <c r="B3086" i="16"/>
  <c r="A3086" i="16"/>
  <c r="T3085" i="16"/>
  <c r="P3085" i="16"/>
  <c r="I3085" i="16"/>
  <c r="H3085" i="16"/>
  <c r="G3085" i="16"/>
  <c r="F3085" i="16"/>
  <c r="D3085" i="16"/>
  <c r="C3085" i="16"/>
  <c r="B3085" i="16"/>
  <c r="A3085" i="16"/>
  <c r="O3085" i="16" s="1"/>
  <c r="P3084" i="16"/>
  <c r="O3084" i="16"/>
  <c r="L3084" i="16"/>
  <c r="K3084" i="16"/>
  <c r="D3084" i="16"/>
  <c r="C3084" i="16"/>
  <c r="B3084" i="16"/>
  <c r="A3084" i="16"/>
  <c r="L3083" i="16"/>
  <c r="K3083" i="16"/>
  <c r="J3083" i="16"/>
  <c r="D3083" i="16"/>
  <c r="C3083" i="16"/>
  <c r="B3083" i="16"/>
  <c r="A3083" i="16"/>
  <c r="M3082" i="16"/>
  <c r="I3082" i="16"/>
  <c r="F3082" i="16"/>
  <c r="E3082" i="16"/>
  <c r="D3082" i="16"/>
  <c r="C3082" i="16"/>
  <c r="B3082" i="16"/>
  <c r="A3082" i="16"/>
  <c r="M3081" i="16"/>
  <c r="L3081" i="16"/>
  <c r="K3081" i="16"/>
  <c r="F3081" i="16"/>
  <c r="D3081" i="16"/>
  <c r="C3081" i="16"/>
  <c r="B3081" i="16"/>
  <c r="A3081" i="16"/>
  <c r="M3080" i="16"/>
  <c r="L3080" i="16"/>
  <c r="H3080" i="16"/>
  <c r="D3080" i="16"/>
  <c r="C3080" i="16"/>
  <c r="B3080" i="16"/>
  <c r="A3080" i="16"/>
  <c r="D3079" i="16"/>
  <c r="C3079" i="16"/>
  <c r="B3079" i="16"/>
  <c r="A3079" i="16"/>
  <c r="T3079" i="16" s="1"/>
  <c r="D3078" i="16"/>
  <c r="C3078" i="16"/>
  <c r="B3078" i="16"/>
  <c r="A3078" i="16"/>
  <c r="T3077" i="16"/>
  <c r="P3077" i="16"/>
  <c r="D3077" i="16"/>
  <c r="C3077" i="16"/>
  <c r="B3077" i="16"/>
  <c r="A3077" i="16"/>
  <c r="P3076" i="16"/>
  <c r="D3076" i="16"/>
  <c r="C3076" i="16"/>
  <c r="B3076" i="16"/>
  <c r="A3076" i="16"/>
  <c r="T3075" i="16"/>
  <c r="I3075" i="16"/>
  <c r="D3075" i="16"/>
  <c r="C3075" i="16"/>
  <c r="B3075" i="16"/>
  <c r="A3075" i="16"/>
  <c r="T3074" i="16"/>
  <c r="N3074" i="16"/>
  <c r="M3074" i="16"/>
  <c r="J3074" i="16"/>
  <c r="I3074" i="16"/>
  <c r="F3074" i="16"/>
  <c r="E3074" i="16"/>
  <c r="D3074" i="16"/>
  <c r="C3074" i="16"/>
  <c r="B3074" i="16"/>
  <c r="A3074" i="16"/>
  <c r="L3074" i="16" s="1"/>
  <c r="N3073" i="16"/>
  <c r="M3073" i="16"/>
  <c r="L3073" i="16"/>
  <c r="E3073" i="16"/>
  <c r="D3073" i="16"/>
  <c r="C3073" i="16"/>
  <c r="B3073" i="16"/>
  <c r="A3073" i="16"/>
  <c r="P3072" i="16"/>
  <c r="K3072" i="16"/>
  <c r="J3072" i="16"/>
  <c r="H3072" i="16"/>
  <c r="G3072" i="16"/>
  <c r="D3072" i="16"/>
  <c r="C3072" i="16"/>
  <c r="B3072" i="16"/>
  <c r="A3072" i="16"/>
  <c r="I3071" i="16"/>
  <c r="H3071" i="16"/>
  <c r="D3071" i="16"/>
  <c r="C3071" i="16"/>
  <c r="B3071" i="16"/>
  <c r="A3071" i="16"/>
  <c r="H3070" i="16"/>
  <c r="G3070" i="16"/>
  <c r="F3070" i="16"/>
  <c r="E3070" i="16"/>
  <c r="D3070" i="16"/>
  <c r="C3070" i="16"/>
  <c r="B3070" i="16"/>
  <c r="A3070" i="16"/>
  <c r="T3069" i="16"/>
  <c r="P3069" i="16"/>
  <c r="O3069" i="16"/>
  <c r="N3069" i="16"/>
  <c r="D3069" i="16"/>
  <c r="C3069" i="16"/>
  <c r="B3069" i="16"/>
  <c r="A3069" i="16"/>
  <c r="D3068" i="16"/>
  <c r="C3068" i="16"/>
  <c r="B3068" i="16"/>
  <c r="A3068" i="16"/>
  <c r="T3067" i="16"/>
  <c r="P3067" i="16"/>
  <c r="I3067" i="16"/>
  <c r="H3067" i="16"/>
  <c r="E3067" i="16"/>
  <c r="D3067" i="16"/>
  <c r="C3067" i="16"/>
  <c r="B3067" i="16"/>
  <c r="A3067" i="16"/>
  <c r="L3067" i="16" s="1"/>
  <c r="D3066" i="16"/>
  <c r="C3066" i="16"/>
  <c r="B3066" i="16"/>
  <c r="A3066" i="16"/>
  <c r="N3066" i="16" s="1"/>
  <c r="O3065" i="16"/>
  <c r="J3065" i="16"/>
  <c r="G3065" i="16"/>
  <c r="F3065" i="16"/>
  <c r="E3065" i="16"/>
  <c r="D3065" i="16"/>
  <c r="C3065" i="16"/>
  <c r="B3065" i="16"/>
  <c r="A3065" i="16"/>
  <c r="P3064" i="16"/>
  <c r="O3064" i="16"/>
  <c r="N3064" i="16"/>
  <c r="M3064" i="16"/>
  <c r="L3064" i="16"/>
  <c r="K3064" i="16"/>
  <c r="H3064" i="16"/>
  <c r="G3064" i="16"/>
  <c r="F3064" i="16"/>
  <c r="E3064" i="16"/>
  <c r="D3064" i="16"/>
  <c r="C3064" i="16"/>
  <c r="B3064" i="16"/>
  <c r="A3064" i="16"/>
  <c r="T3064" i="16" s="1"/>
  <c r="O3063" i="16"/>
  <c r="N3063" i="16"/>
  <c r="L3063" i="16"/>
  <c r="D3063" i="16"/>
  <c r="C3063" i="16"/>
  <c r="B3063" i="16"/>
  <c r="A3063" i="16"/>
  <c r="N3062" i="16"/>
  <c r="F3062" i="16"/>
  <c r="D3062" i="16"/>
  <c r="C3062" i="16"/>
  <c r="B3062" i="16"/>
  <c r="A3062" i="16"/>
  <c r="T3062" i="16" s="1"/>
  <c r="D3061" i="16"/>
  <c r="C3061" i="16"/>
  <c r="B3061" i="16"/>
  <c r="A3061" i="16"/>
  <c r="D3060" i="16"/>
  <c r="C3060" i="16"/>
  <c r="B3060" i="16"/>
  <c r="A3060" i="16"/>
  <c r="M3059" i="16"/>
  <c r="I3059" i="16"/>
  <c r="H3059" i="16"/>
  <c r="E3059" i="16"/>
  <c r="D3059" i="16"/>
  <c r="C3059" i="16"/>
  <c r="B3059" i="16"/>
  <c r="A3059" i="16"/>
  <c r="J3059" i="16" s="1"/>
  <c r="D3058" i="16"/>
  <c r="C3058" i="16"/>
  <c r="B3058" i="16"/>
  <c r="A3058" i="16"/>
  <c r="O3057" i="16"/>
  <c r="N3057" i="16"/>
  <c r="G3057" i="16"/>
  <c r="F3057" i="16"/>
  <c r="E3057" i="16"/>
  <c r="D3057" i="16"/>
  <c r="C3057" i="16"/>
  <c r="B3057" i="16"/>
  <c r="A3057" i="16"/>
  <c r="J3057" i="16" s="1"/>
  <c r="P3056" i="16"/>
  <c r="O3056" i="16"/>
  <c r="N3056" i="16"/>
  <c r="M3056" i="16"/>
  <c r="L3056" i="16"/>
  <c r="H3056" i="16"/>
  <c r="G3056" i="16"/>
  <c r="F3056" i="16"/>
  <c r="E3056" i="16"/>
  <c r="D3056" i="16"/>
  <c r="C3056" i="16"/>
  <c r="B3056" i="16"/>
  <c r="A3056" i="16"/>
  <c r="T3056" i="16" s="1"/>
  <c r="P3055" i="16"/>
  <c r="M3055" i="16"/>
  <c r="G3055" i="16"/>
  <c r="D3055" i="16"/>
  <c r="C3055" i="16"/>
  <c r="B3055" i="16"/>
  <c r="A3055" i="16"/>
  <c r="T3055" i="16" s="1"/>
  <c r="J3054" i="16"/>
  <c r="H3054" i="16"/>
  <c r="G3054" i="16"/>
  <c r="D3054" i="16"/>
  <c r="C3054" i="16"/>
  <c r="B3054" i="16"/>
  <c r="A3054" i="16"/>
  <c r="M3054" i="16" s="1"/>
  <c r="O3053" i="16"/>
  <c r="N3053" i="16"/>
  <c r="D3053" i="16"/>
  <c r="C3053" i="16"/>
  <c r="B3053" i="16"/>
  <c r="A3053" i="16"/>
  <c r="I3053" i="16" s="1"/>
  <c r="T3052" i="16"/>
  <c r="I3052" i="16"/>
  <c r="H3052" i="16"/>
  <c r="D3052" i="16"/>
  <c r="C3052" i="16"/>
  <c r="B3052" i="16"/>
  <c r="A3052" i="16"/>
  <c r="D3051" i="16"/>
  <c r="C3051" i="16"/>
  <c r="B3051" i="16"/>
  <c r="A3051" i="16"/>
  <c r="D3050" i="16"/>
  <c r="C3050" i="16"/>
  <c r="B3050" i="16"/>
  <c r="A3050" i="16"/>
  <c r="M3049" i="16"/>
  <c r="D3049" i="16"/>
  <c r="C3049" i="16"/>
  <c r="B3049" i="16"/>
  <c r="A3049" i="16"/>
  <c r="N3048" i="16"/>
  <c r="M3048" i="16"/>
  <c r="D3048" i="16"/>
  <c r="C3048" i="16"/>
  <c r="B3048" i="16"/>
  <c r="A3048" i="16"/>
  <c r="T3047" i="16"/>
  <c r="L3047" i="16"/>
  <c r="H3047" i="16"/>
  <c r="G3047" i="16"/>
  <c r="F3047" i="16"/>
  <c r="D3047" i="16"/>
  <c r="C3047" i="16"/>
  <c r="B3047" i="16"/>
  <c r="A3047" i="16"/>
  <c r="O3046" i="16"/>
  <c r="M3046" i="16"/>
  <c r="J3046" i="16"/>
  <c r="D3046" i="16"/>
  <c r="C3046" i="16"/>
  <c r="B3046" i="16"/>
  <c r="A3046" i="16"/>
  <c r="D3045" i="16"/>
  <c r="C3045" i="16"/>
  <c r="B3045" i="16"/>
  <c r="A3045" i="16"/>
  <c r="T3044" i="16"/>
  <c r="P3044" i="16"/>
  <c r="L3044" i="16"/>
  <c r="H3044" i="16"/>
  <c r="D3044" i="16"/>
  <c r="C3044" i="16"/>
  <c r="B3044" i="16"/>
  <c r="A3044" i="16"/>
  <c r="D3043" i="16"/>
  <c r="C3043" i="16"/>
  <c r="B3043" i="16"/>
  <c r="A3043" i="16"/>
  <c r="J3042" i="16"/>
  <c r="I3042" i="16"/>
  <c r="D3042" i="16"/>
  <c r="C3042" i="16"/>
  <c r="B3042" i="16"/>
  <c r="A3042" i="16"/>
  <c r="N3041" i="16"/>
  <c r="M3041" i="16"/>
  <c r="F3041" i="16"/>
  <c r="D3041" i="16"/>
  <c r="C3041" i="16"/>
  <c r="B3041" i="16"/>
  <c r="A3041" i="16"/>
  <c r="O3041" i="16" s="1"/>
  <c r="L3040" i="16"/>
  <c r="K3040" i="16"/>
  <c r="J3040" i="16"/>
  <c r="D3040" i="16"/>
  <c r="C3040" i="16"/>
  <c r="B3040" i="16"/>
  <c r="A3040" i="16"/>
  <c r="D3039" i="16"/>
  <c r="C3039" i="16"/>
  <c r="B3039" i="16"/>
  <c r="A3039" i="16"/>
  <c r="N3038" i="16"/>
  <c r="I3038" i="16"/>
  <c r="D3038" i="16"/>
  <c r="C3038" i="16"/>
  <c r="B3038" i="16"/>
  <c r="A3038" i="16"/>
  <c r="J3037" i="16"/>
  <c r="G3037" i="16"/>
  <c r="D3037" i="16"/>
  <c r="C3037" i="16"/>
  <c r="B3037" i="16"/>
  <c r="A3037" i="16"/>
  <c r="H3036" i="16"/>
  <c r="D3036" i="16"/>
  <c r="C3036" i="16"/>
  <c r="B3036" i="16"/>
  <c r="A3036" i="16"/>
  <c r="D3035" i="16"/>
  <c r="C3035" i="16"/>
  <c r="B3035" i="16"/>
  <c r="A3035" i="16"/>
  <c r="D3034" i="16"/>
  <c r="C3034" i="16"/>
  <c r="B3034" i="16"/>
  <c r="A3034" i="16"/>
  <c r="O3033" i="16"/>
  <c r="N3033" i="16"/>
  <c r="M3033" i="16"/>
  <c r="J3033" i="16"/>
  <c r="G3033" i="16"/>
  <c r="F3033" i="16"/>
  <c r="E3033" i="16"/>
  <c r="D3033" i="16"/>
  <c r="C3033" i="16"/>
  <c r="B3033" i="16"/>
  <c r="A3033" i="16"/>
  <c r="T3033" i="16" s="1"/>
  <c r="P3032" i="16"/>
  <c r="O3032" i="16"/>
  <c r="N3032" i="16"/>
  <c r="M3032" i="16"/>
  <c r="L3032" i="16"/>
  <c r="K3032" i="16"/>
  <c r="H3032" i="16"/>
  <c r="G3032" i="16"/>
  <c r="F3032" i="16"/>
  <c r="E3032" i="16"/>
  <c r="D3032" i="16"/>
  <c r="C3032" i="16"/>
  <c r="B3032" i="16"/>
  <c r="A3032" i="16"/>
  <c r="T3032" i="16" s="1"/>
  <c r="M3031" i="16"/>
  <c r="L3031" i="16"/>
  <c r="I3031" i="16"/>
  <c r="H3031" i="16"/>
  <c r="D3031" i="16"/>
  <c r="C3031" i="16"/>
  <c r="B3031" i="16"/>
  <c r="A3031" i="16"/>
  <c r="T3030" i="16"/>
  <c r="M3030" i="16"/>
  <c r="J3030" i="16"/>
  <c r="I3030" i="16"/>
  <c r="D3030" i="16"/>
  <c r="C3030" i="16"/>
  <c r="B3030" i="16"/>
  <c r="A3030" i="16"/>
  <c r="P3029" i="16"/>
  <c r="H3029" i="16"/>
  <c r="G3029" i="16"/>
  <c r="F3029" i="16"/>
  <c r="D3029" i="16"/>
  <c r="C3029" i="16"/>
  <c r="B3029" i="16"/>
  <c r="A3029" i="16"/>
  <c r="I3029" i="16" s="1"/>
  <c r="O3028" i="16"/>
  <c r="L3028" i="16"/>
  <c r="J3028" i="16"/>
  <c r="I3028" i="16"/>
  <c r="D3028" i="16"/>
  <c r="C3028" i="16"/>
  <c r="B3028" i="16"/>
  <c r="A3028" i="16"/>
  <c r="D3027" i="16"/>
  <c r="C3027" i="16"/>
  <c r="B3027" i="16"/>
  <c r="A3027" i="16"/>
  <c r="M3027" i="16" s="1"/>
  <c r="L3026" i="16"/>
  <c r="J3026" i="16"/>
  <c r="I3026" i="16"/>
  <c r="D3026" i="16"/>
  <c r="C3026" i="16"/>
  <c r="B3026" i="16"/>
  <c r="A3026" i="16"/>
  <c r="N3026" i="16" s="1"/>
  <c r="N3025" i="16"/>
  <c r="K3025" i="16"/>
  <c r="J3025" i="16"/>
  <c r="D3025" i="16"/>
  <c r="C3025" i="16"/>
  <c r="B3025" i="16"/>
  <c r="A3025" i="16"/>
  <c r="P3024" i="16"/>
  <c r="O3024" i="16"/>
  <c r="N3024" i="16"/>
  <c r="M3024" i="16"/>
  <c r="L3024" i="16"/>
  <c r="H3024" i="16"/>
  <c r="G3024" i="16"/>
  <c r="F3024" i="16"/>
  <c r="E3024" i="16"/>
  <c r="D3024" i="16"/>
  <c r="C3024" i="16"/>
  <c r="B3024" i="16"/>
  <c r="A3024" i="16"/>
  <c r="T3024" i="16" s="1"/>
  <c r="T3023" i="16"/>
  <c r="M3023" i="16"/>
  <c r="L3023" i="16"/>
  <c r="D3023" i="16"/>
  <c r="C3023" i="16"/>
  <c r="B3023" i="16"/>
  <c r="A3023" i="16"/>
  <c r="H3022" i="16"/>
  <c r="G3022" i="16"/>
  <c r="F3022" i="16"/>
  <c r="D3022" i="16"/>
  <c r="C3022" i="16"/>
  <c r="B3022" i="16"/>
  <c r="A3022" i="16"/>
  <c r="T3022" i="16" s="1"/>
  <c r="I3021" i="16"/>
  <c r="F3021" i="16"/>
  <c r="D3021" i="16"/>
  <c r="C3021" i="16"/>
  <c r="B3021" i="16"/>
  <c r="A3021" i="16"/>
  <c r="O3021" i="16" s="1"/>
  <c r="D3020" i="16"/>
  <c r="C3020" i="16"/>
  <c r="B3020" i="16"/>
  <c r="A3020" i="16"/>
  <c r="D3019" i="16"/>
  <c r="C3019" i="16"/>
  <c r="B3019" i="16"/>
  <c r="A3019" i="16"/>
  <c r="T3018" i="16"/>
  <c r="N3018" i="16"/>
  <c r="D3018" i="16"/>
  <c r="C3018" i="16"/>
  <c r="B3018" i="16"/>
  <c r="A3018" i="16"/>
  <c r="O3017" i="16"/>
  <c r="L3017" i="16"/>
  <c r="G3017" i="16"/>
  <c r="F3017" i="16"/>
  <c r="E3017" i="16"/>
  <c r="D3017" i="16"/>
  <c r="C3017" i="16"/>
  <c r="B3017" i="16"/>
  <c r="A3017" i="16"/>
  <c r="J3017" i="16" s="1"/>
  <c r="M3016" i="16"/>
  <c r="J3016" i="16"/>
  <c r="H3016" i="16"/>
  <c r="D3016" i="16"/>
  <c r="C3016" i="16"/>
  <c r="B3016" i="16"/>
  <c r="A3016" i="16"/>
  <c r="N3016" i="16" s="1"/>
  <c r="P3015" i="16"/>
  <c r="G3015" i="16"/>
  <c r="D3015" i="16"/>
  <c r="C3015" i="16"/>
  <c r="B3015" i="16"/>
  <c r="A3015" i="16"/>
  <c r="T3015" i="16" s="1"/>
  <c r="O3014" i="16"/>
  <c r="D3014" i="16"/>
  <c r="C3014" i="16"/>
  <c r="B3014" i="16"/>
  <c r="A3014" i="16"/>
  <c r="P3013" i="16"/>
  <c r="F3013" i="16"/>
  <c r="D3013" i="16"/>
  <c r="C3013" i="16"/>
  <c r="B3013" i="16"/>
  <c r="A3013" i="16"/>
  <c r="D3012" i="16"/>
  <c r="C3012" i="16"/>
  <c r="B3012" i="16"/>
  <c r="A3012" i="16"/>
  <c r="J3011" i="16"/>
  <c r="I3011" i="16"/>
  <c r="H3011" i="16"/>
  <c r="E3011" i="16"/>
  <c r="D3011" i="16"/>
  <c r="C3011" i="16"/>
  <c r="B3011" i="16"/>
  <c r="A3011" i="16"/>
  <c r="T3011" i="16" s="1"/>
  <c r="D3010" i="16"/>
  <c r="C3010" i="16"/>
  <c r="B3010" i="16"/>
  <c r="A3010" i="16"/>
  <c r="O3009" i="16"/>
  <c r="N3009" i="16"/>
  <c r="M3009" i="16"/>
  <c r="J3009" i="16"/>
  <c r="G3009" i="16"/>
  <c r="F3009" i="16"/>
  <c r="E3009" i="16"/>
  <c r="D3009" i="16"/>
  <c r="C3009" i="16"/>
  <c r="B3009" i="16"/>
  <c r="A3009" i="16"/>
  <c r="T3009" i="16" s="1"/>
  <c r="P3008" i="16"/>
  <c r="O3008" i="16"/>
  <c r="N3008" i="16"/>
  <c r="M3008" i="16"/>
  <c r="L3008" i="16"/>
  <c r="K3008" i="16"/>
  <c r="H3008" i="16"/>
  <c r="G3008" i="16"/>
  <c r="F3008" i="16"/>
  <c r="E3008" i="16"/>
  <c r="D3008" i="16"/>
  <c r="C3008" i="16"/>
  <c r="B3008" i="16"/>
  <c r="A3008" i="16"/>
  <c r="T3008" i="16" s="1"/>
  <c r="D3007" i="16"/>
  <c r="C3007" i="16"/>
  <c r="B3007" i="16"/>
  <c r="A3007" i="16"/>
  <c r="T3006" i="16"/>
  <c r="P3006" i="16"/>
  <c r="O3006" i="16"/>
  <c r="H3006" i="16"/>
  <c r="G3006" i="16"/>
  <c r="F3006" i="16"/>
  <c r="E3006" i="16"/>
  <c r="D3006" i="16"/>
  <c r="C3006" i="16"/>
  <c r="B3006" i="16"/>
  <c r="A3006" i="16"/>
  <c r="N3006" i="16" s="1"/>
  <c r="T3005" i="16"/>
  <c r="N3005" i="16"/>
  <c r="K3005" i="16"/>
  <c r="I3005" i="16"/>
  <c r="F3005" i="16"/>
  <c r="D3005" i="16"/>
  <c r="C3005" i="16"/>
  <c r="B3005" i="16"/>
  <c r="A3005" i="16"/>
  <c r="D3004" i="16"/>
  <c r="C3004" i="16"/>
  <c r="B3004" i="16"/>
  <c r="A3004" i="16"/>
  <c r="T3003" i="16"/>
  <c r="J3003" i="16"/>
  <c r="I3003" i="16"/>
  <c r="H3003" i="16"/>
  <c r="E3003" i="16"/>
  <c r="D3003" i="16"/>
  <c r="C3003" i="16"/>
  <c r="B3003" i="16"/>
  <c r="A3003" i="16"/>
  <c r="P3003" i="16" s="1"/>
  <c r="T3002" i="16"/>
  <c r="N3002" i="16"/>
  <c r="K3002" i="16"/>
  <c r="D3002" i="16"/>
  <c r="C3002" i="16"/>
  <c r="B3002" i="16"/>
  <c r="A3002" i="16"/>
  <c r="L3001" i="16"/>
  <c r="K3001" i="16"/>
  <c r="J3001" i="16"/>
  <c r="G3001" i="16"/>
  <c r="D3001" i="16"/>
  <c r="C3001" i="16"/>
  <c r="B3001" i="16"/>
  <c r="A3001" i="16"/>
  <c r="P3000" i="16"/>
  <c r="O3000" i="16"/>
  <c r="D3000" i="16"/>
  <c r="C3000" i="16"/>
  <c r="B3000" i="16"/>
  <c r="A3000" i="16"/>
  <c r="T2999" i="16"/>
  <c r="P2999" i="16"/>
  <c r="O2999" i="16"/>
  <c r="H2999" i="16"/>
  <c r="G2999" i="16"/>
  <c r="F2999" i="16"/>
  <c r="E2999" i="16"/>
  <c r="D2999" i="16"/>
  <c r="C2999" i="16"/>
  <c r="B2999" i="16"/>
  <c r="A2999" i="16"/>
  <c r="N2999" i="16" s="1"/>
  <c r="O2998" i="16"/>
  <c r="N2998" i="16"/>
  <c r="M2998" i="16"/>
  <c r="G2998" i="16"/>
  <c r="D2998" i="16"/>
  <c r="C2998" i="16"/>
  <c r="B2998" i="16"/>
  <c r="A2998" i="16"/>
  <c r="D2997" i="16"/>
  <c r="C2997" i="16"/>
  <c r="B2997" i="16"/>
  <c r="A2997" i="16"/>
  <c r="D2996" i="16"/>
  <c r="C2996" i="16"/>
  <c r="B2996" i="16"/>
  <c r="A2996" i="16"/>
  <c r="T2995" i="16"/>
  <c r="P2995" i="16"/>
  <c r="H2995" i="16"/>
  <c r="E2995" i="16"/>
  <c r="D2995" i="16"/>
  <c r="C2995" i="16"/>
  <c r="B2995" i="16"/>
  <c r="A2995" i="16"/>
  <c r="D2994" i="16"/>
  <c r="C2994" i="16"/>
  <c r="B2994" i="16"/>
  <c r="A2994" i="16"/>
  <c r="O2993" i="16"/>
  <c r="N2993" i="16"/>
  <c r="M2993" i="16"/>
  <c r="L2993" i="16"/>
  <c r="J2993" i="16"/>
  <c r="G2993" i="16"/>
  <c r="F2993" i="16"/>
  <c r="E2993" i="16"/>
  <c r="D2993" i="16"/>
  <c r="C2993" i="16"/>
  <c r="B2993" i="16"/>
  <c r="A2993" i="16"/>
  <c r="T2993" i="16" s="1"/>
  <c r="M2992" i="16"/>
  <c r="L2992" i="16"/>
  <c r="K2992" i="16"/>
  <c r="E2992" i="16"/>
  <c r="D2992" i="16"/>
  <c r="C2992" i="16"/>
  <c r="B2992" i="16"/>
  <c r="A2992" i="16"/>
  <c r="O2991" i="16"/>
  <c r="G2991" i="16"/>
  <c r="F2991" i="16"/>
  <c r="E2991" i="16"/>
  <c r="D2991" i="16"/>
  <c r="C2991" i="16"/>
  <c r="B2991" i="16"/>
  <c r="A2991" i="16"/>
  <c r="M2991" i="16" s="1"/>
  <c r="T2990" i="16"/>
  <c r="P2990" i="16"/>
  <c r="O2990" i="16"/>
  <c r="N2990" i="16"/>
  <c r="H2990" i="16"/>
  <c r="G2990" i="16"/>
  <c r="F2990" i="16"/>
  <c r="E2990" i="16"/>
  <c r="D2990" i="16"/>
  <c r="C2990" i="16"/>
  <c r="B2990" i="16"/>
  <c r="A2990" i="16"/>
  <c r="M2990" i="16" s="1"/>
  <c r="N2989" i="16"/>
  <c r="K2989" i="16"/>
  <c r="J2989" i="16"/>
  <c r="I2989" i="16"/>
  <c r="D2989" i="16"/>
  <c r="C2989" i="16"/>
  <c r="B2989" i="16"/>
  <c r="A2989" i="16"/>
  <c r="I2988" i="16"/>
  <c r="D2988" i="16"/>
  <c r="C2988" i="16"/>
  <c r="B2988" i="16"/>
  <c r="A2988" i="16"/>
  <c r="T2987" i="16"/>
  <c r="E2987" i="16"/>
  <c r="D2987" i="16"/>
  <c r="C2987" i="16"/>
  <c r="B2987" i="16"/>
  <c r="A2987" i="16"/>
  <c r="D2986" i="16"/>
  <c r="C2986" i="16"/>
  <c r="B2986" i="16"/>
  <c r="A2986" i="16"/>
  <c r="D2985" i="16"/>
  <c r="C2985" i="16"/>
  <c r="B2985" i="16"/>
  <c r="A2985" i="16"/>
  <c r="P2984" i="16"/>
  <c r="O2984" i="16"/>
  <c r="N2984" i="16"/>
  <c r="M2984" i="16"/>
  <c r="L2984" i="16"/>
  <c r="H2984" i="16"/>
  <c r="G2984" i="16"/>
  <c r="F2984" i="16"/>
  <c r="E2984" i="16"/>
  <c r="D2984" i="16"/>
  <c r="C2984" i="16"/>
  <c r="B2984" i="16"/>
  <c r="A2984" i="16"/>
  <c r="T2984" i="16" s="1"/>
  <c r="T2983" i="16"/>
  <c r="P2983" i="16"/>
  <c r="O2983" i="16"/>
  <c r="L2983" i="16"/>
  <c r="F2983" i="16"/>
  <c r="E2983" i="16"/>
  <c r="D2983" i="16"/>
  <c r="C2983" i="16"/>
  <c r="B2983" i="16"/>
  <c r="A2983" i="16"/>
  <c r="M2983" i="16" s="1"/>
  <c r="I2982" i="16"/>
  <c r="D2982" i="16"/>
  <c r="C2982" i="16"/>
  <c r="B2982" i="16"/>
  <c r="A2982" i="16"/>
  <c r="D2981" i="16"/>
  <c r="C2981" i="16"/>
  <c r="B2981" i="16"/>
  <c r="A2981" i="16"/>
  <c r="T2980" i="16"/>
  <c r="J2980" i="16"/>
  <c r="I2980" i="16"/>
  <c r="H2980" i="16"/>
  <c r="G2980" i="16"/>
  <c r="D2980" i="16"/>
  <c r="C2980" i="16"/>
  <c r="B2980" i="16"/>
  <c r="A2980" i="16"/>
  <c r="P2980" i="16" s="1"/>
  <c r="D2979" i="16"/>
  <c r="C2979" i="16"/>
  <c r="B2979" i="16"/>
  <c r="A2979" i="16"/>
  <c r="I2978" i="16"/>
  <c r="F2978" i="16"/>
  <c r="D2978" i="16"/>
  <c r="C2978" i="16"/>
  <c r="B2978" i="16"/>
  <c r="A2978" i="16"/>
  <c r="K2977" i="16"/>
  <c r="J2977" i="16"/>
  <c r="G2977" i="16"/>
  <c r="D2977" i="16"/>
  <c r="C2977" i="16"/>
  <c r="B2977" i="16"/>
  <c r="A2977" i="16"/>
  <c r="D2976" i="16"/>
  <c r="C2976" i="16"/>
  <c r="B2976" i="16"/>
  <c r="A2976" i="16"/>
  <c r="L2975" i="16"/>
  <c r="I2975" i="16"/>
  <c r="D2975" i="16"/>
  <c r="C2975" i="16"/>
  <c r="B2975" i="16"/>
  <c r="A2975" i="16"/>
  <c r="I2974" i="16"/>
  <c r="D2974" i="16"/>
  <c r="C2974" i="16"/>
  <c r="B2974" i="16"/>
  <c r="A2974" i="16"/>
  <c r="D2973" i="16"/>
  <c r="C2973" i="16"/>
  <c r="B2973" i="16"/>
  <c r="A2973" i="16"/>
  <c r="T2972" i="16"/>
  <c r="P2972" i="16"/>
  <c r="D2972" i="16"/>
  <c r="C2972" i="16"/>
  <c r="B2972" i="16"/>
  <c r="A2972" i="16"/>
  <c r="P2971" i="16"/>
  <c r="D2971" i="16"/>
  <c r="C2971" i="16"/>
  <c r="B2971" i="16"/>
  <c r="A2971" i="16"/>
  <c r="K2971" i="16" s="1"/>
  <c r="J2970" i="16"/>
  <c r="I2970" i="16"/>
  <c r="F2970" i="16"/>
  <c r="D2970" i="16"/>
  <c r="C2970" i="16"/>
  <c r="B2970" i="16"/>
  <c r="A2970" i="16"/>
  <c r="E2970" i="16" s="1"/>
  <c r="O2969" i="16"/>
  <c r="N2969" i="16"/>
  <c r="M2969" i="16"/>
  <c r="J2969" i="16"/>
  <c r="G2969" i="16"/>
  <c r="F2969" i="16"/>
  <c r="E2969" i="16"/>
  <c r="D2969" i="16"/>
  <c r="C2969" i="16"/>
  <c r="B2969" i="16"/>
  <c r="A2969" i="16"/>
  <c r="T2969" i="16" s="1"/>
  <c r="P2968" i="16"/>
  <c r="O2968" i="16"/>
  <c r="N2968" i="16"/>
  <c r="M2968" i="16"/>
  <c r="L2968" i="16"/>
  <c r="K2968" i="16"/>
  <c r="H2968" i="16"/>
  <c r="G2968" i="16"/>
  <c r="F2968" i="16"/>
  <c r="E2968" i="16"/>
  <c r="D2968" i="16"/>
  <c r="C2968" i="16"/>
  <c r="B2968" i="16"/>
  <c r="A2968" i="16"/>
  <c r="T2968" i="16" s="1"/>
  <c r="D2967" i="16"/>
  <c r="C2967" i="16"/>
  <c r="B2967" i="16"/>
  <c r="A2967" i="16"/>
  <c r="N2967" i="16" s="1"/>
  <c r="T2966" i="16"/>
  <c r="D2966" i="16"/>
  <c r="C2966" i="16"/>
  <c r="B2966" i="16"/>
  <c r="A2966" i="16"/>
  <c r="D2965" i="16"/>
  <c r="C2965" i="16"/>
  <c r="B2965" i="16"/>
  <c r="A2965" i="16"/>
  <c r="J2964" i="16"/>
  <c r="D2964" i="16"/>
  <c r="C2964" i="16"/>
  <c r="B2964" i="16"/>
  <c r="A2964" i="16"/>
  <c r="D2963" i="16"/>
  <c r="C2963" i="16"/>
  <c r="B2963" i="16"/>
  <c r="A2963" i="16"/>
  <c r="D2962" i="16"/>
  <c r="C2962" i="16"/>
  <c r="B2962" i="16"/>
  <c r="A2962" i="16"/>
  <c r="K2961" i="16"/>
  <c r="D2961" i="16"/>
  <c r="C2961" i="16"/>
  <c r="B2961" i="16"/>
  <c r="A2961" i="16"/>
  <c r="P2960" i="16"/>
  <c r="O2960" i="16"/>
  <c r="M2960" i="16"/>
  <c r="J2960" i="16"/>
  <c r="F2960" i="16"/>
  <c r="E2960" i="16"/>
  <c r="D2960" i="16"/>
  <c r="C2960" i="16"/>
  <c r="B2960" i="16"/>
  <c r="A2960" i="16"/>
  <c r="D2959" i="16"/>
  <c r="C2959" i="16"/>
  <c r="B2959" i="16"/>
  <c r="A2959" i="16"/>
  <c r="H2958" i="16"/>
  <c r="D2958" i="16"/>
  <c r="C2958" i="16"/>
  <c r="B2958" i="16"/>
  <c r="A2958" i="16"/>
  <c r="O2957" i="16"/>
  <c r="K2957" i="16"/>
  <c r="I2957" i="16"/>
  <c r="F2957" i="16"/>
  <c r="D2957" i="16"/>
  <c r="C2957" i="16"/>
  <c r="B2957" i="16"/>
  <c r="A2957" i="16"/>
  <c r="D2956" i="16"/>
  <c r="C2956" i="16"/>
  <c r="B2956" i="16"/>
  <c r="A2956" i="16"/>
  <c r="J2955" i="16"/>
  <c r="D2955" i="16"/>
  <c r="C2955" i="16"/>
  <c r="B2955" i="16"/>
  <c r="A2955" i="16"/>
  <c r="D2954" i="16"/>
  <c r="C2954" i="16"/>
  <c r="B2954" i="16"/>
  <c r="A2954" i="16"/>
  <c r="O2953" i="16"/>
  <c r="N2953" i="16"/>
  <c r="M2953" i="16"/>
  <c r="J2953" i="16"/>
  <c r="G2953" i="16"/>
  <c r="F2953" i="16"/>
  <c r="E2953" i="16"/>
  <c r="D2953" i="16"/>
  <c r="C2953" i="16"/>
  <c r="B2953" i="16"/>
  <c r="A2953" i="16"/>
  <c r="T2953" i="16" s="1"/>
  <c r="P2952" i="16"/>
  <c r="O2952" i="16"/>
  <c r="N2952" i="16"/>
  <c r="M2952" i="16"/>
  <c r="L2952" i="16"/>
  <c r="K2952" i="16"/>
  <c r="G2952" i="16"/>
  <c r="F2952" i="16"/>
  <c r="E2952" i="16"/>
  <c r="D2952" i="16"/>
  <c r="C2952" i="16"/>
  <c r="B2952" i="16"/>
  <c r="A2952" i="16"/>
  <c r="T2952" i="16" s="1"/>
  <c r="D2951" i="16"/>
  <c r="C2951" i="16"/>
  <c r="B2951" i="16"/>
  <c r="A2951" i="16"/>
  <c r="T2951" i="16" s="1"/>
  <c r="T2950" i="16"/>
  <c r="G2950" i="16"/>
  <c r="F2950" i="16"/>
  <c r="E2950" i="16"/>
  <c r="D2950" i="16"/>
  <c r="C2950" i="16"/>
  <c r="B2950" i="16"/>
  <c r="A2950" i="16"/>
  <c r="H2950" i="16" s="1"/>
  <c r="P2949" i="16"/>
  <c r="O2949" i="16"/>
  <c r="N2949" i="16"/>
  <c r="D2949" i="16"/>
  <c r="C2949" i="16"/>
  <c r="B2949" i="16"/>
  <c r="A2949" i="16"/>
  <c r="P2948" i="16"/>
  <c r="O2948" i="16"/>
  <c r="D2948" i="16"/>
  <c r="C2948" i="16"/>
  <c r="B2948" i="16"/>
  <c r="A2948" i="16"/>
  <c r="D2947" i="16"/>
  <c r="C2947" i="16"/>
  <c r="B2947" i="16"/>
  <c r="A2947" i="16"/>
  <c r="D2946" i="16"/>
  <c r="C2946" i="16"/>
  <c r="B2946" i="16"/>
  <c r="A2946" i="16"/>
  <c r="K2945" i="16"/>
  <c r="J2945" i="16"/>
  <c r="G2945" i="16"/>
  <c r="F2945" i="16"/>
  <c r="D2945" i="16"/>
  <c r="C2945" i="16"/>
  <c r="B2945" i="16"/>
  <c r="A2945" i="16"/>
  <c r="P2944" i="16"/>
  <c r="K2944" i="16"/>
  <c r="J2944" i="16"/>
  <c r="H2944" i="16"/>
  <c r="E2944" i="16"/>
  <c r="D2944" i="16"/>
  <c r="C2944" i="16"/>
  <c r="B2944" i="16"/>
  <c r="A2944" i="16"/>
  <c r="T2943" i="16"/>
  <c r="D2943" i="16"/>
  <c r="C2943" i="16"/>
  <c r="B2943" i="16"/>
  <c r="A2943" i="16"/>
  <c r="P2942" i="16"/>
  <c r="J2942" i="16"/>
  <c r="D2942" i="16"/>
  <c r="C2942" i="16"/>
  <c r="B2942" i="16"/>
  <c r="A2942" i="16"/>
  <c r="T2941" i="16"/>
  <c r="P2941" i="16"/>
  <c r="H2941" i="16"/>
  <c r="G2941" i="16"/>
  <c r="F2941" i="16"/>
  <c r="D2941" i="16"/>
  <c r="C2941" i="16"/>
  <c r="B2941" i="16"/>
  <c r="A2941" i="16"/>
  <c r="I2941" i="16" s="1"/>
  <c r="D2940" i="16"/>
  <c r="C2940" i="16"/>
  <c r="B2940" i="16"/>
  <c r="A2940" i="16"/>
  <c r="T2939" i="16"/>
  <c r="J2939" i="16"/>
  <c r="I2939" i="16"/>
  <c r="H2939" i="16"/>
  <c r="E2939" i="16"/>
  <c r="D2939" i="16"/>
  <c r="C2939" i="16"/>
  <c r="B2939" i="16"/>
  <c r="A2939" i="16"/>
  <c r="P2939" i="16" s="1"/>
  <c r="N2938" i="16"/>
  <c r="L2938" i="16"/>
  <c r="K2938" i="16"/>
  <c r="E2938" i="16"/>
  <c r="D2938" i="16"/>
  <c r="C2938" i="16"/>
  <c r="B2938" i="16"/>
  <c r="A2938" i="16"/>
  <c r="O2937" i="16"/>
  <c r="N2937" i="16"/>
  <c r="K2937" i="16"/>
  <c r="J2937" i="16"/>
  <c r="E2937" i="16"/>
  <c r="D2937" i="16"/>
  <c r="C2937" i="16"/>
  <c r="B2937" i="16"/>
  <c r="A2937" i="16"/>
  <c r="L2937" i="16" s="1"/>
  <c r="H2936" i="16"/>
  <c r="G2936" i="16"/>
  <c r="D2936" i="16"/>
  <c r="C2936" i="16"/>
  <c r="B2936" i="16"/>
  <c r="A2936" i="16"/>
  <c r="M2936" i="16" s="1"/>
  <c r="P2935" i="16"/>
  <c r="L2935" i="16"/>
  <c r="H2935" i="16"/>
  <c r="E2935" i="16"/>
  <c r="D2935" i="16"/>
  <c r="C2935" i="16"/>
  <c r="B2935" i="16"/>
  <c r="A2935" i="16"/>
  <c r="T2934" i="16"/>
  <c r="N2934" i="16"/>
  <c r="M2934" i="16"/>
  <c r="E2934" i="16"/>
  <c r="D2934" i="16"/>
  <c r="C2934" i="16"/>
  <c r="B2934" i="16"/>
  <c r="A2934" i="16"/>
  <c r="O2934" i="16" s="1"/>
  <c r="D2933" i="16"/>
  <c r="C2933" i="16"/>
  <c r="B2933" i="16"/>
  <c r="A2933" i="16"/>
  <c r="L2932" i="16"/>
  <c r="D2932" i="16"/>
  <c r="C2932" i="16"/>
  <c r="B2932" i="16"/>
  <c r="A2932" i="16"/>
  <c r="J2932" i="16" s="1"/>
  <c r="P2931" i="16"/>
  <c r="M2931" i="16"/>
  <c r="E2931" i="16"/>
  <c r="D2931" i="16"/>
  <c r="C2931" i="16"/>
  <c r="B2931" i="16"/>
  <c r="A2931" i="16"/>
  <c r="T2931" i="16" s="1"/>
  <c r="D2930" i="16"/>
  <c r="C2930" i="16"/>
  <c r="B2930" i="16"/>
  <c r="A2930" i="16"/>
  <c r="M2929" i="16"/>
  <c r="F2929" i="16"/>
  <c r="D2929" i="16"/>
  <c r="C2929" i="16"/>
  <c r="B2929" i="16"/>
  <c r="A2929" i="16"/>
  <c r="M2928" i="16"/>
  <c r="L2928" i="16"/>
  <c r="K2928" i="16"/>
  <c r="J2928" i="16"/>
  <c r="D2928" i="16"/>
  <c r="C2928" i="16"/>
  <c r="B2928" i="16"/>
  <c r="A2928" i="16"/>
  <c r="T2927" i="16"/>
  <c r="N2927" i="16"/>
  <c r="F2927" i="16"/>
  <c r="E2927" i="16"/>
  <c r="D2927" i="16"/>
  <c r="C2927" i="16"/>
  <c r="B2927" i="16"/>
  <c r="A2927" i="16"/>
  <c r="T2926" i="16"/>
  <c r="P2926" i="16"/>
  <c r="O2926" i="16"/>
  <c r="N2926" i="16"/>
  <c r="M2926" i="16"/>
  <c r="G2926" i="16"/>
  <c r="F2926" i="16"/>
  <c r="E2926" i="16"/>
  <c r="D2926" i="16"/>
  <c r="C2926" i="16"/>
  <c r="B2926" i="16"/>
  <c r="A2926" i="16"/>
  <c r="J2926" i="16" s="1"/>
  <c r="D2925" i="16"/>
  <c r="C2925" i="16"/>
  <c r="B2925" i="16"/>
  <c r="A2925" i="16"/>
  <c r="D2924" i="16"/>
  <c r="C2924" i="16"/>
  <c r="B2924" i="16"/>
  <c r="A2924" i="16"/>
  <c r="D2923" i="16"/>
  <c r="C2923" i="16"/>
  <c r="B2923" i="16"/>
  <c r="A2923" i="16"/>
  <c r="D2922" i="16"/>
  <c r="C2922" i="16"/>
  <c r="B2922" i="16"/>
  <c r="A2922" i="16"/>
  <c r="O2921" i="16"/>
  <c r="N2921" i="16"/>
  <c r="M2921" i="16"/>
  <c r="J2921" i="16"/>
  <c r="G2921" i="16"/>
  <c r="F2921" i="16"/>
  <c r="E2921" i="16"/>
  <c r="D2921" i="16"/>
  <c r="C2921" i="16"/>
  <c r="B2921" i="16"/>
  <c r="A2921" i="16"/>
  <c r="T2921" i="16" s="1"/>
  <c r="P2920" i="16"/>
  <c r="O2920" i="16"/>
  <c r="N2920" i="16"/>
  <c r="M2920" i="16"/>
  <c r="L2920" i="16"/>
  <c r="K2920" i="16"/>
  <c r="H2920" i="16"/>
  <c r="G2920" i="16"/>
  <c r="F2920" i="16"/>
  <c r="E2920" i="16"/>
  <c r="D2920" i="16"/>
  <c r="C2920" i="16"/>
  <c r="B2920" i="16"/>
  <c r="A2920" i="16"/>
  <c r="T2920" i="16" s="1"/>
  <c r="P2919" i="16"/>
  <c r="O2919" i="16"/>
  <c r="L2919" i="16"/>
  <c r="H2919" i="16"/>
  <c r="E2919" i="16"/>
  <c r="D2919" i="16"/>
  <c r="C2919" i="16"/>
  <c r="B2919" i="16"/>
  <c r="A2919" i="16"/>
  <c r="M2919" i="16" s="1"/>
  <c r="D2918" i="16"/>
  <c r="C2918" i="16"/>
  <c r="B2918" i="16"/>
  <c r="A2918" i="16"/>
  <c r="I2917" i="16"/>
  <c r="D2917" i="16"/>
  <c r="C2917" i="16"/>
  <c r="B2917" i="16"/>
  <c r="A2917" i="16"/>
  <c r="D2916" i="16"/>
  <c r="C2916" i="16"/>
  <c r="B2916" i="16"/>
  <c r="A2916" i="16"/>
  <c r="M2915" i="16"/>
  <c r="D2915" i="16"/>
  <c r="C2915" i="16"/>
  <c r="B2915" i="16"/>
  <c r="A2915" i="16"/>
  <c r="F2914" i="16"/>
  <c r="D2914" i="16"/>
  <c r="C2914" i="16"/>
  <c r="B2914" i="16"/>
  <c r="A2914" i="16"/>
  <c r="G2913" i="16"/>
  <c r="F2913" i="16"/>
  <c r="E2913" i="16"/>
  <c r="D2913" i="16"/>
  <c r="C2913" i="16"/>
  <c r="B2913" i="16"/>
  <c r="A2913" i="16"/>
  <c r="J2913" i="16" s="1"/>
  <c r="O2912" i="16"/>
  <c r="N2912" i="16"/>
  <c r="M2912" i="16"/>
  <c r="J2912" i="16"/>
  <c r="D2912" i="16"/>
  <c r="C2912" i="16"/>
  <c r="B2912" i="16"/>
  <c r="A2912" i="16"/>
  <c r="D2911" i="16"/>
  <c r="C2911" i="16"/>
  <c r="B2911" i="16"/>
  <c r="A2911" i="16"/>
  <c r="N2910" i="16"/>
  <c r="D2910" i="16"/>
  <c r="C2910" i="16"/>
  <c r="B2910" i="16"/>
  <c r="A2910" i="16"/>
  <c r="D2909" i="16"/>
  <c r="C2909" i="16"/>
  <c r="B2909" i="16"/>
  <c r="A2909" i="16"/>
  <c r="O2908" i="16"/>
  <c r="I2908" i="16"/>
  <c r="H2908" i="16"/>
  <c r="G2908" i="16"/>
  <c r="D2908" i="16"/>
  <c r="C2908" i="16"/>
  <c r="B2908" i="16"/>
  <c r="A2908" i="16"/>
  <c r="J2908" i="16" s="1"/>
  <c r="D2907" i="16"/>
  <c r="C2907" i="16"/>
  <c r="B2907" i="16"/>
  <c r="A2907" i="16"/>
  <c r="D2906" i="16"/>
  <c r="C2906" i="16"/>
  <c r="B2906" i="16"/>
  <c r="A2906" i="16"/>
  <c r="K2906" i="16" s="1"/>
  <c r="O2905" i="16"/>
  <c r="N2905" i="16"/>
  <c r="K2905" i="16"/>
  <c r="F2905" i="16"/>
  <c r="E2905" i="16"/>
  <c r="D2905" i="16"/>
  <c r="C2905" i="16"/>
  <c r="B2905" i="16"/>
  <c r="A2905" i="16"/>
  <c r="L2905" i="16" s="1"/>
  <c r="K2904" i="16"/>
  <c r="J2904" i="16"/>
  <c r="D2904" i="16"/>
  <c r="C2904" i="16"/>
  <c r="B2904" i="16"/>
  <c r="A2904" i="16"/>
  <c r="M2904" i="16" s="1"/>
  <c r="M2903" i="16"/>
  <c r="H2903" i="16"/>
  <c r="D2903" i="16"/>
  <c r="C2903" i="16"/>
  <c r="B2903" i="16"/>
  <c r="A2903" i="16"/>
  <c r="T2902" i="16"/>
  <c r="H2902" i="16"/>
  <c r="G2902" i="16"/>
  <c r="D2902" i="16"/>
  <c r="C2902" i="16"/>
  <c r="B2902" i="16"/>
  <c r="A2902" i="16"/>
  <c r="D2901" i="16"/>
  <c r="C2901" i="16"/>
  <c r="B2901" i="16"/>
  <c r="A2901" i="16"/>
  <c r="T2900" i="16"/>
  <c r="P2900" i="16"/>
  <c r="O2900" i="16"/>
  <c r="J2900" i="16"/>
  <c r="I2900" i="16"/>
  <c r="H2900" i="16"/>
  <c r="G2900" i="16"/>
  <c r="D2900" i="16"/>
  <c r="C2900" i="16"/>
  <c r="B2900" i="16"/>
  <c r="A2900" i="16"/>
  <c r="L2900" i="16" s="1"/>
  <c r="L2899" i="16"/>
  <c r="K2899" i="16"/>
  <c r="J2899" i="16"/>
  <c r="I2899" i="16"/>
  <c r="D2899" i="16"/>
  <c r="C2899" i="16"/>
  <c r="B2899" i="16"/>
  <c r="A2899" i="16"/>
  <c r="J2898" i="16"/>
  <c r="I2898" i="16"/>
  <c r="F2898" i="16"/>
  <c r="E2898" i="16"/>
  <c r="D2898" i="16"/>
  <c r="C2898" i="16"/>
  <c r="B2898" i="16"/>
  <c r="A2898" i="16"/>
  <c r="T2898" i="16" s="1"/>
  <c r="O2897" i="16"/>
  <c r="N2897" i="16"/>
  <c r="M2897" i="16"/>
  <c r="L2897" i="16"/>
  <c r="J2897" i="16"/>
  <c r="G2897" i="16"/>
  <c r="F2897" i="16"/>
  <c r="E2897" i="16"/>
  <c r="D2897" i="16"/>
  <c r="C2897" i="16"/>
  <c r="B2897" i="16"/>
  <c r="A2897" i="16"/>
  <c r="T2897" i="16" s="1"/>
  <c r="O2896" i="16"/>
  <c r="N2896" i="16"/>
  <c r="K2896" i="16"/>
  <c r="J2896" i="16"/>
  <c r="F2896" i="16"/>
  <c r="E2896" i="16"/>
  <c r="D2896" i="16"/>
  <c r="C2896" i="16"/>
  <c r="B2896" i="16"/>
  <c r="A2896" i="16"/>
  <c r="D2895" i="16"/>
  <c r="C2895" i="16"/>
  <c r="B2895" i="16"/>
  <c r="A2895" i="16"/>
  <c r="D2894" i="16"/>
  <c r="C2894" i="16"/>
  <c r="B2894" i="16"/>
  <c r="A2894" i="16"/>
  <c r="I2893" i="16"/>
  <c r="H2893" i="16"/>
  <c r="G2893" i="16"/>
  <c r="F2893" i="16"/>
  <c r="D2893" i="16"/>
  <c r="C2893" i="16"/>
  <c r="B2893" i="16"/>
  <c r="A2893" i="16"/>
  <c r="T2892" i="16"/>
  <c r="P2892" i="16"/>
  <c r="O2892" i="16"/>
  <c r="L2892" i="16"/>
  <c r="D2892" i="16"/>
  <c r="C2892" i="16"/>
  <c r="B2892" i="16"/>
  <c r="A2892" i="16"/>
  <c r="L2891" i="16"/>
  <c r="K2891" i="16"/>
  <c r="H2891" i="16"/>
  <c r="D2891" i="16"/>
  <c r="C2891" i="16"/>
  <c r="B2891" i="16"/>
  <c r="A2891" i="16"/>
  <c r="N2890" i="16"/>
  <c r="M2890" i="16"/>
  <c r="I2890" i="16"/>
  <c r="F2890" i="16"/>
  <c r="D2890" i="16"/>
  <c r="C2890" i="16"/>
  <c r="B2890" i="16"/>
  <c r="A2890" i="16"/>
  <c r="O2889" i="16"/>
  <c r="N2889" i="16"/>
  <c r="M2889" i="16"/>
  <c r="J2889" i="16"/>
  <c r="G2889" i="16"/>
  <c r="F2889" i="16"/>
  <c r="E2889" i="16"/>
  <c r="D2889" i="16"/>
  <c r="C2889" i="16"/>
  <c r="B2889" i="16"/>
  <c r="A2889" i="16"/>
  <c r="T2889" i="16" s="1"/>
  <c r="P2888" i="16"/>
  <c r="O2888" i="16"/>
  <c r="N2888" i="16"/>
  <c r="M2888" i="16"/>
  <c r="L2888" i="16"/>
  <c r="K2888" i="16"/>
  <c r="H2888" i="16"/>
  <c r="G2888" i="16"/>
  <c r="F2888" i="16"/>
  <c r="E2888" i="16"/>
  <c r="D2888" i="16"/>
  <c r="C2888" i="16"/>
  <c r="B2888" i="16"/>
  <c r="A2888" i="16"/>
  <c r="T2888" i="16" s="1"/>
  <c r="T2887" i="16"/>
  <c r="P2887" i="16"/>
  <c r="L2887" i="16"/>
  <c r="G2887" i="16"/>
  <c r="D2887" i="16"/>
  <c r="C2887" i="16"/>
  <c r="B2887" i="16"/>
  <c r="A2887" i="16"/>
  <c r="H2886" i="16"/>
  <c r="G2886" i="16"/>
  <c r="F2886" i="16"/>
  <c r="E2886" i="16"/>
  <c r="D2886" i="16"/>
  <c r="C2886" i="16"/>
  <c r="B2886" i="16"/>
  <c r="A2886" i="16"/>
  <c r="O2886" i="16" s="1"/>
  <c r="T2885" i="16"/>
  <c r="P2885" i="16"/>
  <c r="O2885" i="16"/>
  <c r="G2885" i="16"/>
  <c r="D2885" i="16"/>
  <c r="C2885" i="16"/>
  <c r="B2885" i="16"/>
  <c r="A2885" i="16"/>
  <c r="D2884" i="16"/>
  <c r="C2884" i="16"/>
  <c r="B2884" i="16"/>
  <c r="A2884" i="16"/>
  <c r="D2883" i="16"/>
  <c r="C2883" i="16"/>
  <c r="B2883" i="16"/>
  <c r="A2883" i="16"/>
  <c r="T2882" i="16"/>
  <c r="E2882" i="16"/>
  <c r="D2882" i="16"/>
  <c r="C2882" i="16"/>
  <c r="B2882" i="16"/>
  <c r="A2882" i="16"/>
  <c r="O2881" i="16"/>
  <c r="J2881" i="16"/>
  <c r="G2881" i="16"/>
  <c r="F2881" i="16"/>
  <c r="E2881" i="16"/>
  <c r="D2881" i="16"/>
  <c r="C2881" i="16"/>
  <c r="B2881" i="16"/>
  <c r="A2881" i="16"/>
  <c r="M2880" i="16"/>
  <c r="J2880" i="16"/>
  <c r="H2880" i="16"/>
  <c r="D2880" i="16"/>
  <c r="C2880" i="16"/>
  <c r="B2880" i="16"/>
  <c r="A2880" i="16"/>
  <c r="O2879" i="16"/>
  <c r="G2879" i="16"/>
  <c r="D2879" i="16"/>
  <c r="C2879" i="16"/>
  <c r="B2879" i="16"/>
  <c r="A2879" i="16"/>
  <c r="T2878" i="16"/>
  <c r="N2878" i="16"/>
  <c r="H2878" i="16"/>
  <c r="E2878" i="16"/>
  <c r="D2878" i="16"/>
  <c r="C2878" i="16"/>
  <c r="B2878" i="16"/>
  <c r="A2878" i="16"/>
  <c r="O2878" i="16" s="1"/>
  <c r="H2877" i="16"/>
  <c r="G2877" i="16"/>
  <c r="F2877" i="16"/>
  <c r="D2877" i="16"/>
  <c r="C2877" i="16"/>
  <c r="B2877" i="16"/>
  <c r="A2877" i="16"/>
  <c r="I2877" i="16" s="1"/>
  <c r="O2876" i="16"/>
  <c r="J2876" i="16"/>
  <c r="D2876" i="16"/>
  <c r="C2876" i="16"/>
  <c r="B2876" i="16"/>
  <c r="A2876" i="16"/>
  <c r="J2875" i="16"/>
  <c r="I2875" i="16"/>
  <c r="H2875" i="16"/>
  <c r="E2875" i="16"/>
  <c r="D2875" i="16"/>
  <c r="C2875" i="16"/>
  <c r="B2875" i="16"/>
  <c r="A2875" i="16"/>
  <c r="T2875" i="16" s="1"/>
  <c r="T2874" i="16"/>
  <c r="M2874" i="16"/>
  <c r="L2874" i="16"/>
  <c r="K2874" i="16"/>
  <c r="D2874" i="16"/>
  <c r="C2874" i="16"/>
  <c r="B2874" i="16"/>
  <c r="A2874" i="16"/>
  <c r="E2874" i="16" s="1"/>
  <c r="O2873" i="16"/>
  <c r="N2873" i="16"/>
  <c r="M2873" i="16"/>
  <c r="J2873" i="16"/>
  <c r="G2873" i="16"/>
  <c r="F2873" i="16"/>
  <c r="E2873" i="16"/>
  <c r="D2873" i="16"/>
  <c r="C2873" i="16"/>
  <c r="B2873" i="16"/>
  <c r="A2873" i="16"/>
  <c r="T2873" i="16" s="1"/>
  <c r="P2872" i="16"/>
  <c r="O2872" i="16"/>
  <c r="N2872" i="16"/>
  <c r="M2872" i="16"/>
  <c r="L2872" i="16"/>
  <c r="K2872" i="16"/>
  <c r="H2872" i="16"/>
  <c r="G2872" i="16"/>
  <c r="F2872" i="16"/>
  <c r="E2872" i="16"/>
  <c r="D2872" i="16"/>
  <c r="C2872" i="16"/>
  <c r="B2872" i="16"/>
  <c r="A2872" i="16"/>
  <c r="T2872" i="16" s="1"/>
  <c r="O2871" i="16"/>
  <c r="N2871" i="16"/>
  <c r="F2871" i="16"/>
  <c r="D2871" i="16"/>
  <c r="C2871" i="16"/>
  <c r="B2871" i="16"/>
  <c r="A2871" i="16"/>
  <c r="P2871" i="16" s="1"/>
  <c r="T2870" i="16"/>
  <c r="P2870" i="16"/>
  <c r="O2870" i="16"/>
  <c r="H2870" i="16"/>
  <c r="G2870" i="16"/>
  <c r="F2870" i="16"/>
  <c r="E2870" i="16"/>
  <c r="D2870" i="16"/>
  <c r="C2870" i="16"/>
  <c r="B2870" i="16"/>
  <c r="A2870" i="16"/>
  <c r="N2870" i="16" s="1"/>
  <c r="O2869" i="16"/>
  <c r="K2869" i="16"/>
  <c r="J2869" i="16"/>
  <c r="F2869" i="16"/>
  <c r="D2869" i="16"/>
  <c r="C2869" i="16"/>
  <c r="B2869" i="16"/>
  <c r="A2869" i="16"/>
  <c r="K2868" i="16"/>
  <c r="J2868" i="16"/>
  <c r="I2868" i="16"/>
  <c r="H2868" i="16"/>
  <c r="D2868" i="16"/>
  <c r="C2868" i="16"/>
  <c r="B2868" i="16"/>
  <c r="A2868" i="16"/>
  <c r="T2867" i="16"/>
  <c r="M2867" i="16"/>
  <c r="J2867" i="16"/>
  <c r="I2867" i="16"/>
  <c r="H2867" i="16"/>
  <c r="D2867" i="16"/>
  <c r="C2867" i="16"/>
  <c r="B2867" i="16"/>
  <c r="A2867" i="16"/>
  <c r="E2867" i="16" s="1"/>
  <c r="N2866" i="16"/>
  <c r="K2866" i="16"/>
  <c r="D2866" i="16"/>
  <c r="C2866" i="16"/>
  <c r="B2866" i="16"/>
  <c r="A2866" i="16"/>
  <c r="O2865" i="16"/>
  <c r="M2865" i="16"/>
  <c r="L2865" i="16"/>
  <c r="K2865" i="16"/>
  <c r="F2865" i="16"/>
  <c r="D2865" i="16"/>
  <c r="C2865" i="16"/>
  <c r="B2865" i="16"/>
  <c r="A2865" i="16"/>
  <c r="M2864" i="16"/>
  <c r="L2864" i="16"/>
  <c r="H2864" i="16"/>
  <c r="E2864" i="16"/>
  <c r="D2864" i="16"/>
  <c r="C2864" i="16"/>
  <c r="B2864" i="16"/>
  <c r="A2864" i="16"/>
  <c r="D2863" i="16"/>
  <c r="C2863" i="16"/>
  <c r="B2863" i="16"/>
  <c r="A2863" i="16"/>
  <c r="T2862" i="16"/>
  <c r="P2862" i="16"/>
  <c r="O2862" i="16"/>
  <c r="N2862" i="16"/>
  <c r="H2862" i="16"/>
  <c r="G2862" i="16"/>
  <c r="F2862" i="16"/>
  <c r="E2862" i="16"/>
  <c r="D2862" i="16"/>
  <c r="C2862" i="16"/>
  <c r="B2862" i="16"/>
  <c r="A2862" i="16"/>
  <c r="M2862" i="16" s="1"/>
  <c r="O2861" i="16"/>
  <c r="D2861" i="16"/>
  <c r="C2861" i="16"/>
  <c r="B2861" i="16"/>
  <c r="A2861" i="16"/>
  <c r="J2861" i="16" s="1"/>
  <c r="H2860" i="16"/>
  <c r="G2860" i="16"/>
  <c r="D2860" i="16"/>
  <c r="C2860" i="16"/>
  <c r="B2860" i="16"/>
  <c r="A2860" i="16"/>
  <c r="M2859" i="16"/>
  <c r="D2859" i="16"/>
  <c r="C2859" i="16"/>
  <c r="B2859" i="16"/>
  <c r="A2859" i="16"/>
  <c r="M2858" i="16"/>
  <c r="L2858" i="16"/>
  <c r="I2858" i="16"/>
  <c r="D2858" i="16"/>
  <c r="C2858" i="16"/>
  <c r="B2858" i="16"/>
  <c r="A2858" i="16"/>
  <c r="D2857" i="16"/>
  <c r="C2857" i="16"/>
  <c r="B2857" i="16"/>
  <c r="A2857" i="16"/>
  <c r="N2856" i="16"/>
  <c r="K2856" i="16"/>
  <c r="J2856" i="16"/>
  <c r="H2856" i="16"/>
  <c r="E2856" i="16"/>
  <c r="D2856" i="16"/>
  <c r="C2856" i="16"/>
  <c r="B2856" i="16"/>
  <c r="A2856" i="16"/>
  <c r="N2855" i="16"/>
  <c r="M2855" i="16"/>
  <c r="L2855" i="16"/>
  <c r="D2855" i="16"/>
  <c r="C2855" i="16"/>
  <c r="B2855" i="16"/>
  <c r="A2855" i="16"/>
  <c r="T2855" i="16" s="1"/>
  <c r="D2854" i="16"/>
  <c r="C2854" i="16"/>
  <c r="B2854" i="16"/>
  <c r="A2854" i="16"/>
  <c r="K2853" i="16"/>
  <c r="J2853" i="16"/>
  <c r="I2853" i="16"/>
  <c r="H2853" i="16"/>
  <c r="D2853" i="16"/>
  <c r="C2853" i="16"/>
  <c r="B2853" i="16"/>
  <c r="A2853" i="16"/>
  <c r="J2852" i="16"/>
  <c r="I2852" i="16"/>
  <c r="H2852" i="16"/>
  <c r="G2852" i="16"/>
  <c r="D2852" i="16"/>
  <c r="C2852" i="16"/>
  <c r="B2852" i="16"/>
  <c r="A2852" i="16"/>
  <c r="T2852" i="16" s="1"/>
  <c r="D2851" i="16"/>
  <c r="C2851" i="16"/>
  <c r="B2851" i="16"/>
  <c r="A2851" i="16"/>
  <c r="D2850" i="16"/>
  <c r="C2850" i="16"/>
  <c r="B2850" i="16"/>
  <c r="A2850" i="16"/>
  <c r="O2849" i="16"/>
  <c r="N2849" i="16"/>
  <c r="D2849" i="16"/>
  <c r="C2849" i="16"/>
  <c r="B2849" i="16"/>
  <c r="A2849" i="16"/>
  <c r="P2848" i="16"/>
  <c r="O2848" i="16"/>
  <c r="N2848" i="16"/>
  <c r="M2848" i="16"/>
  <c r="L2848" i="16"/>
  <c r="H2848" i="16"/>
  <c r="G2848" i="16"/>
  <c r="F2848" i="16"/>
  <c r="E2848" i="16"/>
  <c r="D2848" i="16"/>
  <c r="C2848" i="16"/>
  <c r="B2848" i="16"/>
  <c r="A2848" i="16"/>
  <c r="T2848" i="16" s="1"/>
  <c r="O2847" i="16"/>
  <c r="N2847" i="16"/>
  <c r="M2847" i="16"/>
  <c r="E2847" i="16"/>
  <c r="D2847" i="16"/>
  <c r="C2847" i="16"/>
  <c r="B2847" i="16"/>
  <c r="A2847" i="16"/>
  <c r="D2846" i="16"/>
  <c r="C2846" i="16"/>
  <c r="B2846" i="16"/>
  <c r="A2846" i="16"/>
  <c r="J2845" i="16"/>
  <c r="D2845" i="16"/>
  <c r="C2845" i="16"/>
  <c r="B2845" i="16"/>
  <c r="A2845" i="16"/>
  <c r="T2844" i="16"/>
  <c r="P2844" i="16"/>
  <c r="J2844" i="16"/>
  <c r="I2844" i="16"/>
  <c r="H2844" i="16"/>
  <c r="G2844" i="16"/>
  <c r="D2844" i="16"/>
  <c r="C2844" i="16"/>
  <c r="B2844" i="16"/>
  <c r="A2844" i="16"/>
  <c r="O2844" i="16" s="1"/>
  <c r="M2843" i="16"/>
  <c r="D2843" i="16"/>
  <c r="C2843" i="16"/>
  <c r="B2843" i="16"/>
  <c r="A2843" i="16"/>
  <c r="F2842" i="16"/>
  <c r="D2842" i="16"/>
  <c r="C2842" i="16"/>
  <c r="B2842" i="16"/>
  <c r="A2842" i="16"/>
  <c r="L2841" i="16"/>
  <c r="G2841" i="16"/>
  <c r="F2841" i="16"/>
  <c r="D2841" i="16"/>
  <c r="C2841" i="16"/>
  <c r="B2841" i="16"/>
  <c r="A2841" i="16"/>
  <c r="O2841" i="16" s="1"/>
  <c r="P2840" i="16"/>
  <c r="O2840" i="16"/>
  <c r="N2840" i="16"/>
  <c r="H2840" i="16"/>
  <c r="G2840" i="16"/>
  <c r="F2840" i="16"/>
  <c r="E2840" i="16"/>
  <c r="D2840" i="16"/>
  <c r="C2840" i="16"/>
  <c r="B2840" i="16"/>
  <c r="A2840" i="16"/>
  <c r="D2839" i="16"/>
  <c r="C2839" i="16"/>
  <c r="B2839" i="16"/>
  <c r="A2839" i="16"/>
  <c r="D2838" i="16"/>
  <c r="C2838" i="16"/>
  <c r="B2838" i="16"/>
  <c r="A2838" i="16"/>
  <c r="I2837" i="16"/>
  <c r="H2837" i="16"/>
  <c r="G2837" i="16"/>
  <c r="D2837" i="16"/>
  <c r="C2837" i="16"/>
  <c r="B2837" i="16"/>
  <c r="A2837" i="16"/>
  <c r="F2837" i="16" s="1"/>
  <c r="T2836" i="16"/>
  <c r="P2836" i="16"/>
  <c r="O2836" i="16"/>
  <c r="D2836" i="16"/>
  <c r="C2836" i="16"/>
  <c r="B2836" i="16"/>
  <c r="A2836" i="16"/>
  <c r="D2835" i="16"/>
  <c r="C2835" i="16"/>
  <c r="B2835" i="16"/>
  <c r="A2835" i="16"/>
  <c r="J2834" i="16"/>
  <c r="I2834" i="16"/>
  <c r="F2834" i="16"/>
  <c r="D2834" i="16"/>
  <c r="C2834" i="16"/>
  <c r="B2834" i="16"/>
  <c r="A2834" i="16"/>
  <c r="E2834" i="16" s="1"/>
  <c r="O2833" i="16"/>
  <c r="N2833" i="16"/>
  <c r="M2833" i="16"/>
  <c r="L2833" i="16"/>
  <c r="J2833" i="16"/>
  <c r="G2833" i="16"/>
  <c r="F2833" i="16"/>
  <c r="E2833" i="16"/>
  <c r="D2833" i="16"/>
  <c r="C2833" i="16"/>
  <c r="B2833" i="16"/>
  <c r="A2833" i="16"/>
  <c r="T2833" i="16" s="1"/>
  <c r="P2832" i="16"/>
  <c r="O2832" i="16"/>
  <c r="N2832" i="16"/>
  <c r="M2832" i="16"/>
  <c r="L2832" i="16"/>
  <c r="K2832" i="16"/>
  <c r="G2832" i="16"/>
  <c r="F2832" i="16"/>
  <c r="E2832" i="16"/>
  <c r="D2832" i="16"/>
  <c r="C2832" i="16"/>
  <c r="B2832" i="16"/>
  <c r="A2832" i="16"/>
  <c r="T2832" i="16" s="1"/>
  <c r="D2831" i="16"/>
  <c r="C2831" i="16"/>
  <c r="B2831" i="16"/>
  <c r="A2831" i="16"/>
  <c r="T2830" i="16"/>
  <c r="D2830" i="16"/>
  <c r="C2830" i="16"/>
  <c r="B2830" i="16"/>
  <c r="A2830" i="16"/>
  <c r="O2829" i="16"/>
  <c r="I2829" i="16"/>
  <c r="F2829" i="16"/>
  <c r="D2829" i="16"/>
  <c r="C2829" i="16"/>
  <c r="B2829" i="16"/>
  <c r="A2829" i="16"/>
  <c r="D2828" i="16"/>
  <c r="C2828" i="16"/>
  <c r="B2828" i="16"/>
  <c r="A2828" i="16"/>
  <c r="L2827" i="16"/>
  <c r="K2827" i="16"/>
  <c r="H2827" i="16"/>
  <c r="D2827" i="16"/>
  <c r="C2827" i="16"/>
  <c r="B2827" i="16"/>
  <c r="A2827" i="16"/>
  <c r="T2826" i="16"/>
  <c r="F2826" i="16"/>
  <c r="D2826" i="16"/>
  <c r="C2826" i="16"/>
  <c r="B2826" i="16"/>
  <c r="A2826" i="16"/>
  <c r="O2825" i="16"/>
  <c r="N2825" i="16"/>
  <c r="M2825" i="16"/>
  <c r="L2825" i="16"/>
  <c r="J2825" i="16"/>
  <c r="G2825" i="16"/>
  <c r="F2825" i="16"/>
  <c r="E2825" i="16"/>
  <c r="D2825" i="16"/>
  <c r="C2825" i="16"/>
  <c r="B2825" i="16"/>
  <c r="A2825" i="16"/>
  <c r="T2825" i="16" s="1"/>
  <c r="P2824" i="16"/>
  <c r="O2824" i="16"/>
  <c r="N2824" i="16"/>
  <c r="M2824" i="16"/>
  <c r="L2824" i="16"/>
  <c r="K2824" i="16"/>
  <c r="G2824" i="16"/>
  <c r="F2824" i="16"/>
  <c r="E2824" i="16"/>
  <c r="D2824" i="16"/>
  <c r="C2824" i="16"/>
  <c r="B2824" i="16"/>
  <c r="A2824" i="16"/>
  <c r="T2824" i="16" s="1"/>
  <c r="P2823" i="16"/>
  <c r="H2823" i="16"/>
  <c r="G2823" i="16"/>
  <c r="F2823" i="16"/>
  <c r="D2823" i="16"/>
  <c r="C2823" i="16"/>
  <c r="B2823" i="16"/>
  <c r="A2823" i="16"/>
  <c r="I2823" i="16" s="1"/>
  <c r="I2822" i="16"/>
  <c r="H2822" i="16"/>
  <c r="G2822" i="16"/>
  <c r="F2822" i="16"/>
  <c r="D2822" i="16"/>
  <c r="C2822" i="16"/>
  <c r="B2822" i="16"/>
  <c r="A2822" i="16"/>
  <c r="O2821" i="16"/>
  <c r="N2821" i="16"/>
  <c r="I2821" i="16"/>
  <c r="H2821" i="16"/>
  <c r="D2821" i="16"/>
  <c r="C2821" i="16"/>
  <c r="B2821" i="16"/>
  <c r="A2821" i="16"/>
  <c r="O2820" i="16"/>
  <c r="L2820" i="16"/>
  <c r="D2820" i="16"/>
  <c r="C2820" i="16"/>
  <c r="B2820" i="16"/>
  <c r="A2820" i="16"/>
  <c r="D2819" i="16"/>
  <c r="C2819" i="16"/>
  <c r="B2819" i="16"/>
  <c r="A2819" i="16"/>
  <c r="T2818" i="16"/>
  <c r="N2818" i="16"/>
  <c r="L2818" i="16"/>
  <c r="I2818" i="16"/>
  <c r="F2818" i="16"/>
  <c r="E2818" i="16"/>
  <c r="D2818" i="16"/>
  <c r="C2818" i="16"/>
  <c r="B2818" i="16"/>
  <c r="A2818" i="16"/>
  <c r="J2818" i="16" s="1"/>
  <c r="O2817" i="16"/>
  <c r="M2817" i="16"/>
  <c r="L2817" i="16"/>
  <c r="K2817" i="16"/>
  <c r="J2817" i="16"/>
  <c r="D2817" i="16"/>
  <c r="C2817" i="16"/>
  <c r="B2817" i="16"/>
  <c r="A2817" i="16"/>
  <c r="M2816" i="16"/>
  <c r="L2816" i="16"/>
  <c r="H2816" i="16"/>
  <c r="G2816" i="16"/>
  <c r="D2816" i="16"/>
  <c r="C2816" i="16"/>
  <c r="B2816" i="16"/>
  <c r="A2816" i="16"/>
  <c r="D2815" i="16"/>
  <c r="C2815" i="16"/>
  <c r="B2815" i="16"/>
  <c r="A2815" i="16"/>
  <c r="T2814" i="16"/>
  <c r="D2814" i="16"/>
  <c r="C2814" i="16"/>
  <c r="B2814" i="16"/>
  <c r="A2814" i="16"/>
  <c r="T2813" i="16"/>
  <c r="P2813" i="16"/>
  <c r="O2813" i="16"/>
  <c r="K2813" i="16"/>
  <c r="H2813" i="16"/>
  <c r="G2813" i="16"/>
  <c r="F2813" i="16"/>
  <c r="D2813" i="16"/>
  <c r="C2813" i="16"/>
  <c r="B2813" i="16"/>
  <c r="A2813" i="16"/>
  <c r="I2813" i="16" s="1"/>
  <c r="D2812" i="16"/>
  <c r="C2812" i="16"/>
  <c r="B2812" i="16"/>
  <c r="A2812" i="16"/>
  <c r="T2811" i="16"/>
  <c r="P2811" i="16"/>
  <c r="H2811" i="16"/>
  <c r="D2811" i="16"/>
  <c r="C2811" i="16"/>
  <c r="B2811" i="16"/>
  <c r="A2811" i="16"/>
  <c r="L2810" i="16"/>
  <c r="K2810" i="16"/>
  <c r="E2810" i="16"/>
  <c r="D2810" i="16"/>
  <c r="C2810" i="16"/>
  <c r="B2810" i="16"/>
  <c r="A2810" i="16"/>
  <c r="T2810" i="16" s="1"/>
  <c r="M2809" i="16"/>
  <c r="L2809" i="16"/>
  <c r="K2809" i="16"/>
  <c r="D2809" i="16"/>
  <c r="C2809" i="16"/>
  <c r="B2809" i="16"/>
  <c r="A2809" i="16"/>
  <c r="N2809" i="16" s="1"/>
  <c r="P2808" i="16"/>
  <c r="O2808" i="16"/>
  <c r="J2808" i="16"/>
  <c r="H2808" i="16"/>
  <c r="G2808" i="16"/>
  <c r="F2808" i="16"/>
  <c r="D2808" i="16"/>
  <c r="C2808" i="16"/>
  <c r="B2808" i="16"/>
  <c r="A2808" i="16"/>
  <c r="T2807" i="16"/>
  <c r="P2807" i="16"/>
  <c r="O2807" i="16"/>
  <c r="G2807" i="16"/>
  <c r="F2807" i="16"/>
  <c r="E2807" i="16"/>
  <c r="D2807" i="16"/>
  <c r="C2807" i="16"/>
  <c r="B2807" i="16"/>
  <c r="A2807" i="16"/>
  <c r="N2807" i="16" s="1"/>
  <c r="P2806" i="16"/>
  <c r="M2806" i="16"/>
  <c r="D2806" i="16"/>
  <c r="C2806" i="16"/>
  <c r="B2806" i="16"/>
  <c r="A2806" i="16"/>
  <c r="D2805" i="16"/>
  <c r="C2805" i="16"/>
  <c r="B2805" i="16"/>
  <c r="A2805" i="16"/>
  <c r="D2804" i="16"/>
  <c r="C2804" i="16"/>
  <c r="B2804" i="16"/>
  <c r="A2804" i="16"/>
  <c r="L2804" i="16" s="1"/>
  <c r="P2803" i="16"/>
  <c r="M2803" i="16"/>
  <c r="H2803" i="16"/>
  <c r="E2803" i="16"/>
  <c r="D2803" i="16"/>
  <c r="C2803" i="16"/>
  <c r="B2803" i="16"/>
  <c r="A2803" i="16"/>
  <c r="J2802" i="16"/>
  <c r="D2802" i="16"/>
  <c r="C2802" i="16"/>
  <c r="B2802" i="16"/>
  <c r="A2802" i="16"/>
  <c r="F2801" i="16"/>
  <c r="E2801" i="16"/>
  <c r="D2801" i="16"/>
  <c r="C2801" i="16"/>
  <c r="B2801" i="16"/>
  <c r="A2801" i="16"/>
  <c r="K2801" i="16" s="1"/>
  <c r="J2800" i="16"/>
  <c r="F2800" i="16"/>
  <c r="E2800" i="16"/>
  <c r="D2800" i="16"/>
  <c r="C2800" i="16"/>
  <c r="B2800" i="16"/>
  <c r="A2800" i="16"/>
  <c r="M2800" i="16" s="1"/>
  <c r="T2799" i="16"/>
  <c r="P2799" i="16"/>
  <c r="O2799" i="16"/>
  <c r="N2799" i="16"/>
  <c r="M2799" i="16"/>
  <c r="G2799" i="16"/>
  <c r="F2799" i="16"/>
  <c r="E2799" i="16"/>
  <c r="D2799" i="16"/>
  <c r="C2799" i="16"/>
  <c r="B2799" i="16"/>
  <c r="A2799" i="16"/>
  <c r="L2799" i="16" s="1"/>
  <c r="P2798" i="16"/>
  <c r="M2798" i="16"/>
  <c r="D2798" i="16"/>
  <c r="C2798" i="16"/>
  <c r="B2798" i="16"/>
  <c r="A2798" i="16"/>
  <c r="K2797" i="16"/>
  <c r="D2797" i="16"/>
  <c r="C2797" i="16"/>
  <c r="B2797" i="16"/>
  <c r="A2797" i="16"/>
  <c r="K2796" i="16"/>
  <c r="D2796" i="16"/>
  <c r="C2796" i="16"/>
  <c r="B2796" i="16"/>
  <c r="A2796" i="16"/>
  <c r="P2795" i="16"/>
  <c r="M2795" i="16"/>
  <c r="D2795" i="16"/>
  <c r="C2795" i="16"/>
  <c r="B2795" i="16"/>
  <c r="A2795" i="16"/>
  <c r="M2794" i="16"/>
  <c r="L2794" i="16"/>
  <c r="I2794" i="16"/>
  <c r="D2794" i="16"/>
  <c r="C2794" i="16"/>
  <c r="B2794" i="16"/>
  <c r="A2794" i="16"/>
  <c r="O2793" i="16"/>
  <c r="N2793" i="16"/>
  <c r="M2793" i="16"/>
  <c r="L2793" i="16"/>
  <c r="G2793" i="16"/>
  <c r="F2793" i="16"/>
  <c r="E2793" i="16"/>
  <c r="D2793" i="16"/>
  <c r="C2793" i="16"/>
  <c r="B2793" i="16"/>
  <c r="A2793" i="16"/>
  <c r="T2793" i="16" s="1"/>
  <c r="O2792" i="16"/>
  <c r="N2792" i="16"/>
  <c r="M2792" i="16"/>
  <c r="K2792" i="16"/>
  <c r="J2792" i="16"/>
  <c r="F2792" i="16"/>
  <c r="E2792" i="16"/>
  <c r="D2792" i="16"/>
  <c r="C2792" i="16"/>
  <c r="B2792" i="16"/>
  <c r="A2792" i="16"/>
  <c r="M2791" i="16"/>
  <c r="L2791" i="16"/>
  <c r="G2791" i="16"/>
  <c r="F2791" i="16"/>
  <c r="D2791" i="16"/>
  <c r="C2791" i="16"/>
  <c r="B2791" i="16"/>
  <c r="A2791" i="16"/>
  <c r="O2790" i="16"/>
  <c r="M2790" i="16"/>
  <c r="J2790" i="16"/>
  <c r="D2790" i="16"/>
  <c r="C2790" i="16"/>
  <c r="B2790" i="16"/>
  <c r="A2790" i="16"/>
  <c r="D2789" i="16"/>
  <c r="C2789" i="16"/>
  <c r="B2789" i="16"/>
  <c r="A2789" i="16"/>
  <c r="H2788" i="16"/>
  <c r="D2788" i="16"/>
  <c r="C2788" i="16"/>
  <c r="B2788" i="16"/>
  <c r="A2788" i="16"/>
  <c r="D2787" i="16"/>
  <c r="C2787" i="16"/>
  <c r="B2787" i="16"/>
  <c r="A2787" i="16"/>
  <c r="T2787" i="16" s="1"/>
  <c r="L2786" i="16"/>
  <c r="I2786" i="16"/>
  <c r="D2786" i="16"/>
  <c r="C2786" i="16"/>
  <c r="B2786" i="16"/>
  <c r="A2786" i="16"/>
  <c r="D2785" i="16"/>
  <c r="C2785" i="16"/>
  <c r="B2785" i="16"/>
  <c r="A2785" i="16"/>
  <c r="M2784" i="16"/>
  <c r="L2784" i="16"/>
  <c r="H2784" i="16"/>
  <c r="E2784" i="16"/>
  <c r="D2784" i="16"/>
  <c r="C2784" i="16"/>
  <c r="B2784" i="16"/>
  <c r="A2784" i="16"/>
  <c r="D2783" i="16"/>
  <c r="C2783" i="16"/>
  <c r="B2783" i="16"/>
  <c r="A2783" i="16"/>
  <c r="N2782" i="16"/>
  <c r="D2782" i="16"/>
  <c r="C2782" i="16"/>
  <c r="B2782" i="16"/>
  <c r="A2782" i="16"/>
  <c r="D2781" i="16"/>
  <c r="C2781" i="16"/>
  <c r="B2781" i="16"/>
  <c r="A2781" i="16"/>
  <c r="O2780" i="16"/>
  <c r="D2780" i="16"/>
  <c r="C2780" i="16"/>
  <c r="B2780" i="16"/>
  <c r="A2780" i="16"/>
  <c r="D2779" i="16"/>
  <c r="C2779" i="16"/>
  <c r="B2779" i="16"/>
  <c r="A2779" i="16"/>
  <c r="J2778" i="16"/>
  <c r="E2778" i="16"/>
  <c r="D2778" i="16"/>
  <c r="C2778" i="16"/>
  <c r="B2778" i="16"/>
  <c r="A2778" i="16"/>
  <c r="L2777" i="16"/>
  <c r="D2777" i="16"/>
  <c r="C2777" i="16"/>
  <c r="B2777" i="16"/>
  <c r="A2777" i="16"/>
  <c r="D2776" i="16"/>
  <c r="C2776" i="16"/>
  <c r="B2776" i="16"/>
  <c r="A2776" i="16"/>
  <c r="M2775" i="16"/>
  <c r="H2775" i="16"/>
  <c r="D2775" i="16"/>
  <c r="C2775" i="16"/>
  <c r="B2775" i="16"/>
  <c r="A2775" i="16"/>
  <c r="D2774" i="16"/>
  <c r="C2774" i="16"/>
  <c r="B2774" i="16"/>
  <c r="A2774" i="16"/>
  <c r="P2773" i="16"/>
  <c r="H2773" i="16"/>
  <c r="G2773" i="16"/>
  <c r="F2773" i="16"/>
  <c r="D2773" i="16"/>
  <c r="C2773" i="16"/>
  <c r="B2773" i="16"/>
  <c r="A2773" i="16"/>
  <c r="I2773" i="16" s="1"/>
  <c r="P2772" i="16"/>
  <c r="O2772" i="16"/>
  <c r="L2772" i="16"/>
  <c r="G2772" i="16"/>
  <c r="D2772" i="16"/>
  <c r="C2772" i="16"/>
  <c r="B2772" i="16"/>
  <c r="A2772" i="16"/>
  <c r="D2771" i="16"/>
  <c r="C2771" i="16"/>
  <c r="B2771" i="16"/>
  <c r="A2771" i="16"/>
  <c r="T2770" i="16"/>
  <c r="I2770" i="16"/>
  <c r="F2770" i="16"/>
  <c r="E2770" i="16"/>
  <c r="D2770" i="16"/>
  <c r="C2770" i="16"/>
  <c r="B2770" i="16"/>
  <c r="A2770" i="16"/>
  <c r="N2770" i="16" s="1"/>
  <c r="L2769" i="16"/>
  <c r="K2769" i="16"/>
  <c r="J2769" i="16"/>
  <c r="G2769" i="16"/>
  <c r="D2769" i="16"/>
  <c r="C2769" i="16"/>
  <c r="B2769" i="16"/>
  <c r="A2769" i="16"/>
  <c r="D2768" i="16"/>
  <c r="C2768" i="16"/>
  <c r="B2768" i="16"/>
  <c r="A2768" i="16"/>
  <c r="D2767" i="16"/>
  <c r="C2767" i="16"/>
  <c r="B2767" i="16"/>
  <c r="A2767" i="16"/>
  <c r="D2766" i="16"/>
  <c r="C2766" i="16"/>
  <c r="B2766" i="16"/>
  <c r="A2766" i="16"/>
  <c r="T2766" i="16" s="1"/>
  <c r="T2765" i="16"/>
  <c r="P2765" i="16"/>
  <c r="H2765" i="16"/>
  <c r="G2765" i="16"/>
  <c r="F2765" i="16"/>
  <c r="D2765" i="16"/>
  <c r="C2765" i="16"/>
  <c r="B2765" i="16"/>
  <c r="A2765" i="16"/>
  <c r="O2765" i="16" s="1"/>
  <c r="D2764" i="16"/>
  <c r="C2764" i="16"/>
  <c r="B2764" i="16"/>
  <c r="A2764" i="16"/>
  <c r="J2763" i="16"/>
  <c r="D2763" i="16"/>
  <c r="C2763" i="16"/>
  <c r="B2763" i="16"/>
  <c r="A2763" i="16"/>
  <c r="T2762" i="16"/>
  <c r="M2762" i="16"/>
  <c r="I2762" i="16"/>
  <c r="F2762" i="16"/>
  <c r="E2762" i="16"/>
  <c r="D2762" i="16"/>
  <c r="C2762" i="16"/>
  <c r="B2762" i="16"/>
  <c r="A2762" i="16"/>
  <c r="J2762" i="16" s="1"/>
  <c r="M2761" i="16"/>
  <c r="L2761" i="16"/>
  <c r="K2761" i="16"/>
  <c r="D2761" i="16"/>
  <c r="C2761" i="16"/>
  <c r="B2761" i="16"/>
  <c r="A2761" i="16"/>
  <c r="P2760" i="16"/>
  <c r="O2760" i="16"/>
  <c r="L2760" i="16"/>
  <c r="J2760" i="16"/>
  <c r="H2760" i="16"/>
  <c r="G2760" i="16"/>
  <c r="F2760" i="16"/>
  <c r="D2760" i="16"/>
  <c r="C2760" i="16"/>
  <c r="B2760" i="16"/>
  <c r="A2760" i="16"/>
  <c r="D2759" i="16"/>
  <c r="C2759" i="16"/>
  <c r="B2759" i="16"/>
  <c r="A2759" i="16"/>
  <c r="I2758" i="16"/>
  <c r="G2758" i="16"/>
  <c r="F2758" i="16"/>
  <c r="E2758" i="16"/>
  <c r="D2758" i="16"/>
  <c r="C2758" i="16"/>
  <c r="B2758" i="16"/>
  <c r="A2758" i="16"/>
  <c r="P2757" i="16"/>
  <c r="O2757" i="16"/>
  <c r="N2757" i="16"/>
  <c r="F2757" i="16"/>
  <c r="D2757" i="16"/>
  <c r="C2757" i="16"/>
  <c r="B2757" i="16"/>
  <c r="A2757" i="16"/>
  <c r="P2756" i="16"/>
  <c r="D2756" i="16"/>
  <c r="C2756" i="16"/>
  <c r="B2756" i="16"/>
  <c r="A2756" i="16"/>
  <c r="D2755" i="16"/>
  <c r="C2755" i="16"/>
  <c r="B2755" i="16"/>
  <c r="A2755" i="16"/>
  <c r="T2754" i="16"/>
  <c r="N2754" i="16"/>
  <c r="D2754" i="16"/>
  <c r="C2754" i="16"/>
  <c r="B2754" i="16"/>
  <c r="A2754" i="16"/>
  <c r="O2753" i="16"/>
  <c r="N2753" i="16"/>
  <c r="M2753" i="16"/>
  <c r="J2753" i="16"/>
  <c r="G2753" i="16"/>
  <c r="F2753" i="16"/>
  <c r="E2753" i="16"/>
  <c r="D2753" i="16"/>
  <c r="C2753" i="16"/>
  <c r="B2753" i="16"/>
  <c r="A2753" i="16"/>
  <c r="T2753" i="16" s="1"/>
  <c r="P2752" i="16"/>
  <c r="O2752" i="16"/>
  <c r="N2752" i="16"/>
  <c r="M2752" i="16"/>
  <c r="L2752" i="16"/>
  <c r="K2752" i="16"/>
  <c r="H2752" i="16"/>
  <c r="G2752" i="16"/>
  <c r="F2752" i="16"/>
  <c r="E2752" i="16"/>
  <c r="D2752" i="16"/>
  <c r="C2752" i="16"/>
  <c r="B2752" i="16"/>
  <c r="A2752" i="16"/>
  <c r="T2752" i="16" s="1"/>
  <c r="D2751" i="16"/>
  <c r="C2751" i="16"/>
  <c r="B2751" i="16"/>
  <c r="A2751" i="16"/>
  <c r="O2750" i="16"/>
  <c r="N2750" i="16"/>
  <c r="F2750" i="16"/>
  <c r="E2750" i="16"/>
  <c r="D2750" i="16"/>
  <c r="C2750" i="16"/>
  <c r="B2750" i="16"/>
  <c r="A2750" i="16"/>
  <c r="O2749" i="16"/>
  <c r="N2749" i="16"/>
  <c r="F2749" i="16"/>
  <c r="D2749" i="16"/>
  <c r="C2749" i="16"/>
  <c r="B2749" i="16"/>
  <c r="A2749" i="16"/>
  <c r="P2749" i="16" s="1"/>
  <c r="D2748" i="16"/>
  <c r="C2748" i="16"/>
  <c r="B2748" i="16"/>
  <c r="A2748" i="16"/>
  <c r="T2747" i="16"/>
  <c r="J2747" i="16"/>
  <c r="I2747" i="16"/>
  <c r="H2747" i="16"/>
  <c r="E2747" i="16"/>
  <c r="D2747" i="16"/>
  <c r="C2747" i="16"/>
  <c r="B2747" i="16"/>
  <c r="A2747" i="16"/>
  <c r="P2747" i="16" s="1"/>
  <c r="T2746" i="16"/>
  <c r="N2746" i="16"/>
  <c r="M2746" i="16"/>
  <c r="E2746" i="16"/>
  <c r="D2746" i="16"/>
  <c r="C2746" i="16"/>
  <c r="B2746" i="16"/>
  <c r="A2746" i="16"/>
  <c r="L2745" i="16"/>
  <c r="K2745" i="16"/>
  <c r="J2745" i="16"/>
  <c r="G2745" i="16"/>
  <c r="D2745" i="16"/>
  <c r="C2745" i="16"/>
  <c r="B2745" i="16"/>
  <c r="A2745" i="16"/>
  <c r="D2744" i="16"/>
  <c r="C2744" i="16"/>
  <c r="B2744" i="16"/>
  <c r="A2744" i="16"/>
  <c r="T2743" i="16"/>
  <c r="P2743" i="16"/>
  <c r="H2743" i="16"/>
  <c r="G2743" i="16"/>
  <c r="F2743" i="16"/>
  <c r="E2743" i="16"/>
  <c r="D2743" i="16"/>
  <c r="C2743" i="16"/>
  <c r="B2743" i="16"/>
  <c r="A2743" i="16"/>
  <c r="T2742" i="16"/>
  <c r="N2742" i="16"/>
  <c r="M2742" i="16"/>
  <c r="E2742" i="16"/>
  <c r="D2742" i="16"/>
  <c r="C2742" i="16"/>
  <c r="B2742" i="16"/>
  <c r="A2742" i="16"/>
  <c r="O2742" i="16" s="1"/>
  <c r="P2741" i="16"/>
  <c r="F2741" i="16"/>
  <c r="D2741" i="16"/>
  <c r="C2741" i="16"/>
  <c r="B2741" i="16"/>
  <c r="A2741" i="16"/>
  <c r="D2740" i="16"/>
  <c r="C2740" i="16"/>
  <c r="B2740" i="16"/>
  <c r="A2740" i="16"/>
  <c r="T2739" i="16"/>
  <c r="P2739" i="16"/>
  <c r="D2739" i="16"/>
  <c r="C2739" i="16"/>
  <c r="B2739" i="16"/>
  <c r="A2739" i="16"/>
  <c r="N2738" i="16"/>
  <c r="D2738" i="16"/>
  <c r="C2738" i="16"/>
  <c r="B2738" i="16"/>
  <c r="A2738" i="16"/>
  <c r="O2737" i="16"/>
  <c r="N2737" i="16"/>
  <c r="M2737" i="16"/>
  <c r="J2737" i="16"/>
  <c r="G2737" i="16"/>
  <c r="F2737" i="16"/>
  <c r="E2737" i="16"/>
  <c r="D2737" i="16"/>
  <c r="C2737" i="16"/>
  <c r="B2737" i="16"/>
  <c r="A2737" i="16"/>
  <c r="T2737" i="16" s="1"/>
  <c r="P2736" i="16"/>
  <c r="O2736" i="16"/>
  <c r="N2736" i="16"/>
  <c r="M2736" i="16"/>
  <c r="L2736" i="16"/>
  <c r="K2736" i="16"/>
  <c r="H2736" i="16"/>
  <c r="G2736" i="16"/>
  <c r="F2736" i="16"/>
  <c r="E2736" i="16"/>
  <c r="D2736" i="16"/>
  <c r="C2736" i="16"/>
  <c r="B2736" i="16"/>
  <c r="A2736" i="16"/>
  <c r="T2736" i="16" s="1"/>
  <c r="P2735" i="16"/>
  <c r="M2735" i="16"/>
  <c r="G2735" i="16"/>
  <c r="F2735" i="16"/>
  <c r="D2735" i="16"/>
  <c r="C2735" i="16"/>
  <c r="B2735" i="16"/>
  <c r="A2735" i="16"/>
  <c r="N2735" i="16" s="1"/>
  <c r="O2734" i="16"/>
  <c r="N2734" i="16"/>
  <c r="F2734" i="16"/>
  <c r="E2734" i="16"/>
  <c r="D2734" i="16"/>
  <c r="C2734" i="16"/>
  <c r="B2734" i="16"/>
  <c r="A2734" i="16"/>
  <c r="D2733" i="16"/>
  <c r="C2733" i="16"/>
  <c r="B2733" i="16"/>
  <c r="A2733" i="16"/>
  <c r="D2732" i="16"/>
  <c r="C2732" i="16"/>
  <c r="B2732" i="16"/>
  <c r="A2732" i="16"/>
  <c r="T2731" i="16"/>
  <c r="L2731" i="16"/>
  <c r="H2731" i="16"/>
  <c r="E2731" i="16"/>
  <c r="D2731" i="16"/>
  <c r="C2731" i="16"/>
  <c r="B2731" i="16"/>
  <c r="A2731" i="16"/>
  <c r="J2731" i="16" s="1"/>
  <c r="K2730" i="16"/>
  <c r="J2730" i="16"/>
  <c r="I2730" i="16"/>
  <c r="D2730" i="16"/>
  <c r="C2730" i="16"/>
  <c r="B2730" i="16"/>
  <c r="A2730" i="16"/>
  <c r="L2730" i="16" s="1"/>
  <c r="D2729" i="16"/>
  <c r="C2729" i="16"/>
  <c r="B2729" i="16"/>
  <c r="A2729" i="16"/>
  <c r="P2728" i="16"/>
  <c r="O2728" i="16"/>
  <c r="J2728" i="16"/>
  <c r="H2728" i="16"/>
  <c r="G2728" i="16"/>
  <c r="F2728" i="16"/>
  <c r="D2728" i="16"/>
  <c r="C2728" i="16"/>
  <c r="B2728" i="16"/>
  <c r="A2728" i="16"/>
  <c r="O2727" i="16"/>
  <c r="E2727" i="16"/>
  <c r="D2727" i="16"/>
  <c r="C2727" i="16"/>
  <c r="B2727" i="16"/>
  <c r="A2727" i="16"/>
  <c r="P2727" i="16" s="1"/>
  <c r="J2726" i="16"/>
  <c r="I2726" i="16"/>
  <c r="D2726" i="16"/>
  <c r="C2726" i="16"/>
  <c r="B2726" i="16"/>
  <c r="A2726" i="16"/>
  <c r="D2725" i="16"/>
  <c r="C2725" i="16"/>
  <c r="B2725" i="16"/>
  <c r="A2725" i="16"/>
  <c r="T2724" i="16"/>
  <c r="I2724" i="16"/>
  <c r="H2724" i="16"/>
  <c r="G2724" i="16"/>
  <c r="D2724" i="16"/>
  <c r="C2724" i="16"/>
  <c r="B2724" i="16"/>
  <c r="A2724" i="16"/>
  <c r="P2724" i="16" s="1"/>
  <c r="L2723" i="16"/>
  <c r="K2723" i="16"/>
  <c r="E2723" i="16"/>
  <c r="D2723" i="16"/>
  <c r="C2723" i="16"/>
  <c r="B2723" i="16"/>
  <c r="A2723" i="16"/>
  <c r="M2723" i="16" s="1"/>
  <c r="D2722" i="16"/>
  <c r="C2722" i="16"/>
  <c r="B2722" i="16"/>
  <c r="A2722" i="16"/>
  <c r="O2721" i="16"/>
  <c r="N2721" i="16"/>
  <c r="M2721" i="16"/>
  <c r="J2721" i="16"/>
  <c r="G2721" i="16"/>
  <c r="F2721" i="16"/>
  <c r="E2721" i="16"/>
  <c r="D2721" i="16"/>
  <c r="C2721" i="16"/>
  <c r="B2721" i="16"/>
  <c r="A2721" i="16"/>
  <c r="T2721" i="16" s="1"/>
  <c r="P2720" i="16"/>
  <c r="O2720" i="16"/>
  <c r="N2720" i="16"/>
  <c r="M2720" i="16"/>
  <c r="L2720" i="16"/>
  <c r="K2720" i="16"/>
  <c r="G2720" i="16"/>
  <c r="F2720" i="16"/>
  <c r="E2720" i="16"/>
  <c r="D2720" i="16"/>
  <c r="C2720" i="16"/>
  <c r="B2720" i="16"/>
  <c r="A2720" i="16"/>
  <c r="T2720" i="16" s="1"/>
  <c r="L2719" i="16"/>
  <c r="I2719" i="16"/>
  <c r="E2719" i="16"/>
  <c r="D2719" i="16"/>
  <c r="C2719" i="16"/>
  <c r="B2719" i="16"/>
  <c r="A2719" i="16"/>
  <c r="M2719" i="16" s="1"/>
  <c r="J2718" i="16"/>
  <c r="I2718" i="16"/>
  <c r="H2718" i="16"/>
  <c r="D2718" i="16"/>
  <c r="C2718" i="16"/>
  <c r="B2718" i="16"/>
  <c r="A2718" i="16"/>
  <c r="M2718" i="16" s="1"/>
  <c r="J2717" i="16"/>
  <c r="I2717" i="16"/>
  <c r="H2717" i="16"/>
  <c r="G2717" i="16"/>
  <c r="D2717" i="16"/>
  <c r="C2717" i="16"/>
  <c r="B2717" i="16"/>
  <c r="A2717" i="16"/>
  <c r="T2717" i="16" s="1"/>
  <c r="T2716" i="16"/>
  <c r="I2716" i="16"/>
  <c r="H2716" i="16"/>
  <c r="G2716" i="16"/>
  <c r="D2716" i="16"/>
  <c r="C2716" i="16"/>
  <c r="B2716" i="16"/>
  <c r="A2716" i="16"/>
  <c r="J2716" i="16" s="1"/>
  <c r="M2715" i="16"/>
  <c r="J2715" i="16"/>
  <c r="D2715" i="16"/>
  <c r="C2715" i="16"/>
  <c r="B2715" i="16"/>
  <c r="A2715" i="16"/>
  <c r="P2715" i="16" s="1"/>
  <c r="D2714" i="16"/>
  <c r="C2714" i="16"/>
  <c r="B2714" i="16"/>
  <c r="A2714" i="16"/>
  <c r="M2713" i="16"/>
  <c r="L2713" i="16"/>
  <c r="D2713" i="16"/>
  <c r="C2713" i="16"/>
  <c r="B2713" i="16"/>
  <c r="A2713" i="16"/>
  <c r="N2712" i="16"/>
  <c r="K2712" i="16"/>
  <c r="J2712" i="16"/>
  <c r="D2712" i="16"/>
  <c r="C2712" i="16"/>
  <c r="B2712" i="16"/>
  <c r="A2712" i="16"/>
  <c r="D2711" i="16"/>
  <c r="C2711" i="16"/>
  <c r="B2711" i="16"/>
  <c r="A2711" i="16"/>
  <c r="T2710" i="16"/>
  <c r="M2710" i="16"/>
  <c r="D2710" i="16"/>
  <c r="C2710" i="16"/>
  <c r="B2710" i="16"/>
  <c r="A2710" i="16"/>
  <c r="D2709" i="16"/>
  <c r="C2709" i="16"/>
  <c r="B2709" i="16"/>
  <c r="A2709" i="16"/>
  <c r="D2708" i="16"/>
  <c r="C2708" i="16"/>
  <c r="B2708" i="16"/>
  <c r="A2708" i="16"/>
  <c r="D2707" i="16"/>
  <c r="C2707" i="16"/>
  <c r="B2707" i="16"/>
  <c r="A2707" i="16"/>
  <c r="T2706" i="16"/>
  <c r="N2706" i="16"/>
  <c r="J2706" i="16"/>
  <c r="I2706" i="16"/>
  <c r="F2706" i="16"/>
  <c r="E2706" i="16"/>
  <c r="D2706" i="16"/>
  <c r="C2706" i="16"/>
  <c r="B2706" i="16"/>
  <c r="A2706" i="16"/>
  <c r="L2706" i="16" s="1"/>
  <c r="O2705" i="16"/>
  <c r="N2705" i="16"/>
  <c r="D2705" i="16"/>
  <c r="C2705" i="16"/>
  <c r="B2705" i="16"/>
  <c r="A2705" i="16"/>
  <c r="D2704" i="16"/>
  <c r="C2704" i="16"/>
  <c r="B2704" i="16"/>
  <c r="A2704" i="16"/>
  <c r="D2703" i="16"/>
  <c r="C2703" i="16"/>
  <c r="B2703" i="16"/>
  <c r="A2703" i="16"/>
  <c r="D2702" i="16"/>
  <c r="C2702" i="16"/>
  <c r="B2702" i="16"/>
  <c r="A2702" i="16"/>
  <c r="J2702" i="16" s="1"/>
  <c r="T2701" i="16"/>
  <c r="P2701" i="16"/>
  <c r="I2701" i="16"/>
  <c r="H2701" i="16"/>
  <c r="G2701" i="16"/>
  <c r="F2701" i="16"/>
  <c r="D2701" i="16"/>
  <c r="C2701" i="16"/>
  <c r="B2701" i="16"/>
  <c r="A2701" i="16"/>
  <c r="O2701" i="16" s="1"/>
  <c r="D2700" i="16"/>
  <c r="C2700" i="16"/>
  <c r="B2700" i="16"/>
  <c r="A2700" i="16"/>
  <c r="K2699" i="16"/>
  <c r="J2699" i="16"/>
  <c r="D2699" i="16"/>
  <c r="C2699" i="16"/>
  <c r="B2699" i="16"/>
  <c r="A2699" i="16"/>
  <c r="F2698" i="16"/>
  <c r="E2698" i="16"/>
  <c r="D2698" i="16"/>
  <c r="C2698" i="16"/>
  <c r="B2698" i="16"/>
  <c r="A2698" i="16"/>
  <c r="K2697" i="16"/>
  <c r="J2697" i="16"/>
  <c r="G2697" i="16"/>
  <c r="F2697" i="16"/>
  <c r="D2697" i="16"/>
  <c r="C2697" i="16"/>
  <c r="B2697" i="16"/>
  <c r="A2697" i="16"/>
  <c r="J2696" i="16"/>
  <c r="H2696" i="16"/>
  <c r="E2696" i="16"/>
  <c r="D2696" i="16"/>
  <c r="C2696" i="16"/>
  <c r="B2696" i="16"/>
  <c r="A2696" i="16"/>
  <c r="K2696" i="16" s="1"/>
  <c r="T2695" i="16"/>
  <c r="G2695" i="16"/>
  <c r="D2695" i="16"/>
  <c r="C2695" i="16"/>
  <c r="B2695" i="16"/>
  <c r="A2695" i="16"/>
  <c r="D2694" i="16"/>
  <c r="C2694" i="16"/>
  <c r="B2694" i="16"/>
  <c r="A2694" i="16"/>
  <c r="T2693" i="16"/>
  <c r="P2693" i="16"/>
  <c r="D2693" i="16"/>
  <c r="C2693" i="16"/>
  <c r="B2693" i="16"/>
  <c r="A2693" i="16"/>
  <c r="D2692" i="16"/>
  <c r="C2692" i="16"/>
  <c r="B2692" i="16"/>
  <c r="A2692" i="16"/>
  <c r="J2691" i="16"/>
  <c r="I2691" i="16"/>
  <c r="D2691" i="16"/>
  <c r="C2691" i="16"/>
  <c r="B2691" i="16"/>
  <c r="A2691" i="16"/>
  <c r="T2690" i="16"/>
  <c r="N2690" i="16"/>
  <c r="F2690" i="16"/>
  <c r="E2690" i="16"/>
  <c r="D2690" i="16"/>
  <c r="C2690" i="16"/>
  <c r="B2690" i="16"/>
  <c r="A2690" i="16"/>
  <c r="D2689" i="16"/>
  <c r="C2689" i="16"/>
  <c r="B2689" i="16"/>
  <c r="A2689" i="16"/>
  <c r="P2688" i="16"/>
  <c r="O2688" i="16"/>
  <c r="N2688" i="16"/>
  <c r="K2688" i="16"/>
  <c r="G2688" i="16"/>
  <c r="F2688" i="16"/>
  <c r="E2688" i="16"/>
  <c r="D2688" i="16"/>
  <c r="C2688" i="16"/>
  <c r="B2688" i="16"/>
  <c r="A2688" i="16"/>
  <c r="H2688" i="16" s="1"/>
  <c r="I2687" i="16"/>
  <c r="H2687" i="16"/>
  <c r="G2687" i="16"/>
  <c r="D2687" i="16"/>
  <c r="C2687" i="16"/>
  <c r="B2687" i="16"/>
  <c r="A2687" i="16"/>
  <c r="O2687" i="16" s="1"/>
  <c r="D2686" i="16"/>
  <c r="C2686" i="16"/>
  <c r="B2686" i="16"/>
  <c r="A2686" i="16"/>
  <c r="D2685" i="16"/>
  <c r="C2685" i="16"/>
  <c r="B2685" i="16"/>
  <c r="A2685" i="16"/>
  <c r="O2684" i="16"/>
  <c r="L2684" i="16"/>
  <c r="K2684" i="16"/>
  <c r="D2684" i="16"/>
  <c r="C2684" i="16"/>
  <c r="B2684" i="16"/>
  <c r="A2684" i="16"/>
  <c r="T2683" i="16"/>
  <c r="P2683" i="16"/>
  <c r="D2683" i="16"/>
  <c r="C2683" i="16"/>
  <c r="B2683" i="16"/>
  <c r="A2683" i="16"/>
  <c r="M2682" i="16"/>
  <c r="D2682" i="16"/>
  <c r="C2682" i="16"/>
  <c r="B2682" i="16"/>
  <c r="A2682" i="16"/>
  <c r="O2681" i="16"/>
  <c r="N2681" i="16"/>
  <c r="M2681" i="16"/>
  <c r="L2681" i="16"/>
  <c r="G2681" i="16"/>
  <c r="F2681" i="16"/>
  <c r="E2681" i="16"/>
  <c r="D2681" i="16"/>
  <c r="C2681" i="16"/>
  <c r="B2681" i="16"/>
  <c r="A2681" i="16"/>
  <c r="T2681" i="16" s="1"/>
  <c r="L2680" i="16"/>
  <c r="K2680" i="16"/>
  <c r="D2680" i="16"/>
  <c r="C2680" i="16"/>
  <c r="B2680" i="16"/>
  <c r="A2680" i="16"/>
  <c r="O2679" i="16"/>
  <c r="N2679" i="16"/>
  <c r="D2679" i="16"/>
  <c r="C2679" i="16"/>
  <c r="B2679" i="16"/>
  <c r="A2679" i="16"/>
  <c r="T2678" i="16"/>
  <c r="P2678" i="16"/>
  <c r="O2678" i="16"/>
  <c r="N2678" i="16"/>
  <c r="G2678" i="16"/>
  <c r="F2678" i="16"/>
  <c r="E2678" i="16"/>
  <c r="D2678" i="16"/>
  <c r="C2678" i="16"/>
  <c r="B2678" i="16"/>
  <c r="A2678" i="16"/>
  <c r="M2678" i="16" s="1"/>
  <c r="K2677" i="16"/>
  <c r="J2677" i="16"/>
  <c r="F2677" i="16"/>
  <c r="D2677" i="16"/>
  <c r="C2677" i="16"/>
  <c r="B2677" i="16"/>
  <c r="A2677" i="16"/>
  <c r="N2677" i="16" s="1"/>
  <c r="J2676" i="16"/>
  <c r="I2676" i="16"/>
  <c r="H2676" i="16"/>
  <c r="D2676" i="16"/>
  <c r="C2676" i="16"/>
  <c r="B2676" i="16"/>
  <c r="A2676" i="16"/>
  <c r="K2676" i="16" s="1"/>
  <c r="P2675" i="16"/>
  <c r="D2675" i="16"/>
  <c r="C2675" i="16"/>
  <c r="B2675" i="16"/>
  <c r="A2675" i="16"/>
  <c r="L2674" i="16"/>
  <c r="K2674" i="16"/>
  <c r="D2674" i="16"/>
  <c r="C2674" i="16"/>
  <c r="B2674" i="16"/>
  <c r="A2674" i="16"/>
  <c r="L2673" i="16"/>
  <c r="K2673" i="16"/>
  <c r="F2673" i="16"/>
  <c r="E2673" i="16"/>
  <c r="D2673" i="16"/>
  <c r="C2673" i="16"/>
  <c r="B2673" i="16"/>
  <c r="A2673" i="16"/>
  <c r="M2672" i="16"/>
  <c r="L2672" i="16"/>
  <c r="K2672" i="16"/>
  <c r="D2672" i="16"/>
  <c r="C2672" i="16"/>
  <c r="B2672" i="16"/>
  <c r="A2672" i="16"/>
  <c r="T2671" i="16"/>
  <c r="N2671" i="16"/>
  <c r="G2671" i="16"/>
  <c r="F2671" i="16"/>
  <c r="E2671" i="16"/>
  <c r="D2671" i="16"/>
  <c r="C2671" i="16"/>
  <c r="B2671" i="16"/>
  <c r="A2671" i="16"/>
  <c r="H2671" i="16" s="1"/>
  <c r="T2670" i="16"/>
  <c r="P2670" i="16"/>
  <c r="O2670" i="16"/>
  <c r="N2670" i="16"/>
  <c r="G2670" i="16"/>
  <c r="F2670" i="16"/>
  <c r="E2670" i="16"/>
  <c r="D2670" i="16"/>
  <c r="C2670" i="16"/>
  <c r="B2670" i="16"/>
  <c r="A2670" i="16"/>
  <c r="H2670" i="16" s="1"/>
  <c r="K2669" i="16"/>
  <c r="J2669" i="16"/>
  <c r="I2669" i="16"/>
  <c r="D2669" i="16"/>
  <c r="C2669" i="16"/>
  <c r="B2669" i="16"/>
  <c r="A2669" i="16"/>
  <c r="N2669" i="16" s="1"/>
  <c r="K2668" i="16"/>
  <c r="J2668" i="16"/>
  <c r="I2668" i="16"/>
  <c r="D2668" i="16"/>
  <c r="C2668" i="16"/>
  <c r="B2668" i="16"/>
  <c r="A2668" i="16"/>
  <c r="T2668" i="16" s="1"/>
  <c r="D2667" i="16"/>
  <c r="C2667" i="16"/>
  <c r="B2667" i="16"/>
  <c r="A2667" i="16"/>
  <c r="L2666" i="16"/>
  <c r="D2666" i="16"/>
  <c r="C2666" i="16"/>
  <c r="B2666" i="16"/>
  <c r="A2666" i="16"/>
  <c r="O2665" i="16"/>
  <c r="N2665" i="16"/>
  <c r="M2665" i="16"/>
  <c r="L2665" i="16"/>
  <c r="G2665" i="16"/>
  <c r="F2665" i="16"/>
  <c r="E2665" i="16"/>
  <c r="D2665" i="16"/>
  <c r="C2665" i="16"/>
  <c r="B2665" i="16"/>
  <c r="A2665" i="16"/>
  <c r="T2665" i="16" s="1"/>
  <c r="O2664" i="16"/>
  <c r="J2664" i="16"/>
  <c r="F2664" i="16"/>
  <c r="E2664" i="16"/>
  <c r="D2664" i="16"/>
  <c r="C2664" i="16"/>
  <c r="B2664" i="16"/>
  <c r="A2664" i="16"/>
  <c r="K2664" i="16" s="1"/>
  <c r="N2663" i="16"/>
  <c r="M2663" i="16"/>
  <c r="L2663" i="16"/>
  <c r="D2663" i="16"/>
  <c r="C2663" i="16"/>
  <c r="B2663" i="16"/>
  <c r="A2663" i="16"/>
  <c r="O2663" i="16" s="1"/>
  <c r="D2662" i="16"/>
  <c r="C2662" i="16"/>
  <c r="B2662" i="16"/>
  <c r="A2662" i="16"/>
  <c r="D2661" i="16"/>
  <c r="C2661" i="16"/>
  <c r="B2661" i="16"/>
  <c r="A2661" i="16"/>
  <c r="T2660" i="16"/>
  <c r="I2660" i="16"/>
  <c r="H2660" i="16"/>
  <c r="G2660" i="16"/>
  <c r="D2660" i="16"/>
  <c r="C2660" i="16"/>
  <c r="B2660" i="16"/>
  <c r="A2660" i="16"/>
  <c r="P2660" i="16" s="1"/>
  <c r="L2659" i="16"/>
  <c r="K2659" i="16"/>
  <c r="E2659" i="16"/>
  <c r="D2659" i="16"/>
  <c r="C2659" i="16"/>
  <c r="B2659" i="16"/>
  <c r="A2659" i="16"/>
  <c r="M2659" i="16" s="1"/>
  <c r="J2658" i="16"/>
  <c r="I2658" i="16"/>
  <c r="F2658" i="16"/>
  <c r="D2658" i="16"/>
  <c r="C2658" i="16"/>
  <c r="B2658" i="16"/>
  <c r="A2658" i="16"/>
  <c r="K2658" i="16" s="1"/>
  <c r="M2657" i="16"/>
  <c r="L2657" i="16"/>
  <c r="D2657" i="16"/>
  <c r="C2657" i="16"/>
  <c r="B2657" i="16"/>
  <c r="A2657" i="16"/>
  <c r="N2657" i="16" s="1"/>
  <c r="J2656" i="16"/>
  <c r="F2656" i="16"/>
  <c r="D2656" i="16"/>
  <c r="C2656" i="16"/>
  <c r="B2656" i="16"/>
  <c r="A2656" i="16"/>
  <c r="P2656" i="16" s="1"/>
  <c r="O2655" i="16"/>
  <c r="M2655" i="16"/>
  <c r="L2655" i="16"/>
  <c r="D2655" i="16"/>
  <c r="C2655" i="16"/>
  <c r="B2655" i="16"/>
  <c r="A2655" i="16"/>
  <c r="D2654" i="16"/>
  <c r="C2654" i="16"/>
  <c r="B2654" i="16"/>
  <c r="A2654" i="16"/>
  <c r="D2653" i="16"/>
  <c r="C2653" i="16"/>
  <c r="B2653" i="16"/>
  <c r="A2653" i="16"/>
  <c r="D2652" i="16"/>
  <c r="C2652" i="16"/>
  <c r="B2652" i="16"/>
  <c r="A2652" i="16"/>
  <c r="P2651" i="16"/>
  <c r="M2651" i="16"/>
  <c r="D2651" i="16"/>
  <c r="C2651" i="16"/>
  <c r="B2651" i="16"/>
  <c r="A2651" i="16"/>
  <c r="J2651" i="16" s="1"/>
  <c r="T2650" i="16"/>
  <c r="I2650" i="16"/>
  <c r="F2650" i="16"/>
  <c r="D2650" i="16"/>
  <c r="C2650" i="16"/>
  <c r="B2650" i="16"/>
  <c r="A2650" i="16"/>
  <c r="O2649" i="16"/>
  <c r="N2649" i="16"/>
  <c r="M2649" i="16"/>
  <c r="L2649" i="16"/>
  <c r="J2649" i="16"/>
  <c r="G2649" i="16"/>
  <c r="F2649" i="16"/>
  <c r="E2649" i="16"/>
  <c r="D2649" i="16"/>
  <c r="C2649" i="16"/>
  <c r="B2649" i="16"/>
  <c r="A2649" i="16"/>
  <c r="T2649" i="16" s="1"/>
  <c r="P2648" i="16"/>
  <c r="O2648" i="16"/>
  <c r="N2648" i="16"/>
  <c r="M2648" i="16"/>
  <c r="L2648" i="16"/>
  <c r="K2648" i="16"/>
  <c r="G2648" i="16"/>
  <c r="F2648" i="16"/>
  <c r="E2648" i="16"/>
  <c r="D2648" i="16"/>
  <c r="C2648" i="16"/>
  <c r="B2648" i="16"/>
  <c r="A2648" i="16"/>
  <c r="T2648" i="16" s="1"/>
  <c r="M2647" i="16"/>
  <c r="L2647" i="16"/>
  <c r="D2647" i="16"/>
  <c r="C2647" i="16"/>
  <c r="B2647" i="16"/>
  <c r="A2647" i="16"/>
  <c r="N2647" i="16" s="1"/>
  <c r="D2646" i="16"/>
  <c r="C2646" i="16"/>
  <c r="B2646" i="16"/>
  <c r="A2646" i="16"/>
  <c r="D2645" i="16"/>
  <c r="C2645" i="16"/>
  <c r="B2645" i="16"/>
  <c r="A2645" i="16"/>
  <c r="P2644" i="16"/>
  <c r="O2644" i="16"/>
  <c r="L2644" i="16"/>
  <c r="D2644" i="16"/>
  <c r="C2644" i="16"/>
  <c r="B2644" i="16"/>
  <c r="A2644" i="16"/>
  <c r="T2644" i="16" s="1"/>
  <c r="D2643" i="16"/>
  <c r="C2643" i="16"/>
  <c r="B2643" i="16"/>
  <c r="A2643" i="16"/>
  <c r="J2642" i="16"/>
  <c r="I2642" i="16"/>
  <c r="F2642" i="16"/>
  <c r="E2642" i="16"/>
  <c r="D2642" i="16"/>
  <c r="C2642" i="16"/>
  <c r="B2642" i="16"/>
  <c r="A2642" i="16"/>
  <c r="T2642" i="16" s="1"/>
  <c r="O2641" i="16"/>
  <c r="N2641" i="16"/>
  <c r="M2641" i="16"/>
  <c r="L2641" i="16"/>
  <c r="G2641" i="16"/>
  <c r="F2641" i="16"/>
  <c r="E2641" i="16"/>
  <c r="D2641" i="16"/>
  <c r="C2641" i="16"/>
  <c r="B2641" i="16"/>
  <c r="A2641" i="16"/>
  <c r="T2641" i="16" s="1"/>
  <c r="O2640" i="16"/>
  <c r="N2640" i="16"/>
  <c r="M2640" i="16"/>
  <c r="J2640" i="16"/>
  <c r="F2640" i="16"/>
  <c r="E2640" i="16"/>
  <c r="D2640" i="16"/>
  <c r="C2640" i="16"/>
  <c r="B2640" i="16"/>
  <c r="A2640" i="16"/>
  <c r="K2640" i="16" s="1"/>
  <c r="I2639" i="16"/>
  <c r="D2639" i="16"/>
  <c r="C2639" i="16"/>
  <c r="B2639" i="16"/>
  <c r="A2639" i="16"/>
  <c r="H2638" i="16"/>
  <c r="G2638" i="16"/>
  <c r="F2638" i="16"/>
  <c r="D2638" i="16"/>
  <c r="C2638" i="16"/>
  <c r="B2638" i="16"/>
  <c r="A2638" i="16"/>
  <c r="I2638" i="16" s="1"/>
  <c r="P2637" i="16"/>
  <c r="O2637" i="16"/>
  <c r="G2637" i="16"/>
  <c r="F2637" i="16"/>
  <c r="D2637" i="16"/>
  <c r="C2637" i="16"/>
  <c r="B2637" i="16"/>
  <c r="A2637" i="16"/>
  <c r="D2636" i="16"/>
  <c r="C2636" i="16"/>
  <c r="B2636" i="16"/>
  <c r="A2636" i="16"/>
  <c r="D2635" i="16"/>
  <c r="C2635" i="16"/>
  <c r="B2635" i="16"/>
  <c r="A2635" i="16"/>
  <c r="D2634" i="16"/>
  <c r="C2634" i="16"/>
  <c r="B2634" i="16"/>
  <c r="A2634" i="16"/>
  <c r="K2633" i="16"/>
  <c r="F2633" i="16"/>
  <c r="D2633" i="16"/>
  <c r="C2633" i="16"/>
  <c r="B2633" i="16"/>
  <c r="A2633" i="16"/>
  <c r="P2632" i="16"/>
  <c r="O2632" i="16"/>
  <c r="N2632" i="16"/>
  <c r="M2632" i="16"/>
  <c r="L2632" i="16"/>
  <c r="K2632" i="16"/>
  <c r="H2632" i="16"/>
  <c r="G2632" i="16"/>
  <c r="F2632" i="16"/>
  <c r="E2632" i="16"/>
  <c r="D2632" i="16"/>
  <c r="C2632" i="16"/>
  <c r="B2632" i="16"/>
  <c r="A2632" i="16"/>
  <c r="T2632" i="16" s="1"/>
  <c r="D2631" i="16"/>
  <c r="C2631" i="16"/>
  <c r="B2631" i="16"/>
  <c r="A2631" i="16"/>
  <c r="T2631" i="16" s="1"/>
  <c r="O2630" i="16"/>
  <c r="D2630" i="16"/>
  <c r="C2630" i="16"/>
  <c r="B2630" i="16"/>
  <c r="A2630" i="16"/>
  <c r="I2630" i="16" s="1"/>
  <c r="T2629" i="16"/>
  <c r="G2629" i="16"/>
  <c r="F2629" i="16"/>
  <c r="D2629" i="16"/>
  <c r="C2629" i="16"/>
  <c r="B2629" i="16"/>
  <c r="A2629" i="16"/>
  <c r="J2628" i="16"/>
  <c r="D2628" i="16"/>
  <c r="C2628" i="16"/>
  <c r="B2628" i="16"/>
  <c r="A2628" i="16"/>
  <c r="E2627" i="16"/>
  <c r="D2627" i="16"/>
  <c r="C2627" i="16"/>
  <c r="B2627" i="16"/>
  <c r="A2627" i="16"/>
  <c r="T2626" i="16"/>
  <c r="L2626" i="16"/>
  <c r="F2626" i="16"/>
  <c r="E2626" i="16"/>
  <c r="D2626" i="16"/>
  <c r="C2626" i="16"/>
  <c r="B2626" i="16"/>
  <c r="A2626" i="16"/>
  <c r="J2626" i="16" s="1"/>
  <c r="N2625" i="16"/>
  <c r="K2625" i="16"/>
  <c r="J2625" i="16"/>
  <c r="G2625" i="16"/>
  <c r="D2625" i="16"/>
  <c r="C2625" i="16"/>
  <c r="B2625" i="16"/>
  <c r="A2625" i="16"/>
  <c r="L2625" i="16" s="1"/>
  <c r="O2624" i="16"/>
  <c r="L2624" i="16"/>
  <c r="K2624" i="16"/>
  <c r="D2624" i="16"/>
  <c r="C2624" i="16"/>
  <c r="B2624" i="16"/>
  <c r="A2624" i="16"/>
  <c r="D2623" i="16"/>
  <c r="C2623" i="16"/>
  <c r="B2623" i="16"/>
  <c r="A2623" i="16"/>
  <c r="T2622" i="16"/>
  <c r="P2622" i="16"/>
  <c r="O2622" i="16"/>
  <c r="G2622" i="16"/>
  <c r="F2622" i="16"/>
  <c r="E2622" i="16"/>
  <c r="D2622" i="16"/>
  <c r="C2622" i="16"/>
  <c r="B2622" i="16"/>
  <c r="A2622" i="16"/>
  <c r="N2622" i="16" s="1"/>
  <c r="D2621" i="16"/>
  <c r="C2621" i="16"/>
  <c r="B2621" i="16"/>
  <c r="A2621" i="16"/>
  <c r="J2620" i="16"/>
  <c r="D2620" i="16"/>
  <c r="C2620" i="16"/>
  <c r="B2620" i="16"/>
  <c r="A2620" i="16"/>
  <c r="J2619" i="16"/>
  <c r="I2619" i="16"/>
  <c r="D2619" i="16"/>
  <c r="C2619" i="16"/>
  <c r="B2619" i="16"/>
  <c r="A2619" i="16"/>
  <c r="D2618" i="16"/>
  <c r="C2618" i="16"/>
  <c r="B2618" i="16"/>
  <c r="A2618" i="16"/>
  <c r="O2617" i="16"/>
  <c r="N2617" i="16"/>
  <c r="G2617" i="16"/>
  <c r="F2617" i="16"/>
  <c r="E2617" i="16"/>
  <c r="D2617" i="16"/>
  <c r="C2617" i="16"/>
  <c r="B2617" i="16"/>
  <c r="A2617" i="16"/>
  <c r="J2617" i="16" s="1"/>
  <c r="P2616" i="16"/>
  <c r="O2616" i="16"/>
  <c r="N2616" i="16"/>
  <c r="M2616" i="16"/>
  <c r="L2616" i="16"/>
  <c r="K2616" i="16"/>
  <c r="H2616" i="16"/>
  <c r="G2616" i="16"/>
  <c r="F2616" i="16"/>
  <c r="E2616" i="16"/>
  <c r="D2616" i="16"/>
  <c r="C2616" i="16"/>
  <c r="B2616" i="16"/>
  <c r="A2616" i="16"/>
  <c r="T2616" i="16" s="1"/>
  <c r="T2615" i="16"/>
  <c r="N2615" i="16"/>
  <c r="H2615" i="16"/>
  <c r="G2615" i="16"/>
  <c r="D2615" i="16"/>
  <c r="C2615" i="16"/>
  <c r="B2615" i="16"/>
  <c r="A2615" i="16"/>
  <c r="O2615" i="16" s="1"/>
  <c r="T2614" i="16"/>
  <c r="P2614" i="16"/>
  <c r="O2614" i="16"/>
  <c r="M2614" i="16"/>
  <c r="G2614" i="16"/>
  <c r="F2614" i="16"/>
  <c r="E2614" i="16"/>
  <c r="D2614" i="16"/>
  <c r="C2614" i="16"/>
  <c r="B2614" i="16"/>
  <c r="A2614" i="16"/>
  <c r="H2614" i="16" s="1"/>
  <c r="D2613" i="16"/>
  <c r="C2613" i="16"/>
  <c r="B2613" i="16"/>
  <c r="A2613" i="16"/>
  <c r="D2612" i="16"/>
  <c r="C2612" i="16"/>
  <c r="B2612" i="16"/>
  <c r="A2612" i="16"/>
  <c r="D2611" i="16"/>
  <c r="C2611" i="16"/>
  <c r="B2611" i="16"/>
  <c r="A2611" i="16"/>
  <c r="M2610" i="16"/>
  <c r="D2610" i="16"/>
  <c r="C2610" i="16"/>
  <c r="B2610" i="16"/>
  <c r="A2610" i="16"/>
  <c r="O2609" i="16"/>
  <c r="N2609" i="16"/>
  <c r="M2609" i="16"/>
  <c r="L2609" i="16"/>
  <c r="G2609" i="16"/>
  <c r="F2609" i="16"/>
  <c r="E2609" i="16"/>
  <c r="D2609" i="16"/>
  <c r="C2609" i="16"/>
  <c r="B2609" i="16"/>
  <c r="A2609" i="16"/>
  <c r="T2609" i="16" s="1"/>
  <c r="L2608" i="16"/>
  <c r="K2608" i="16"/>
  <c r="J2608" i="16"/>
  <c r="F2608" i="16"/>
  <c r="D2608" i="16"/>
  <c r="C2608" i="16"/>
  <c r="B2608" i="16"/>
  <c r="A2608" i="16"/>
  <c r="O2607" i="16"/>
  <c r="N2607" i="16"/>
  <c r="M2607" i="16"/>
  <c r="E2607" i="16"/>
  <c r="D2607" i="16"/>
  <c r="C2607" i="16"/>
  <c r="B2607" i="16"/>
  <c r="A2607" i="16"/>
  <c r="P2606" i="16"/>
  <c r="M2606" i="16"/>
  <c r="E2606" i="16"/>
  <c r="D2606" i="16"/>
  <c r="C2606" i="16"/>
  <c r="B2606" i="16"/>
  <c r="A2606" i="16"/>
  <c r="D2605" i="16"/>
  <c r="C2605" i="16"/>
  <c r="B2605" i="16"/>
  <c r="A2605" i="16"/>
  <c r="D2604" i="16"/>
  <c r="C2604" i="16"/>
  <c r="B2604" i="16"/>
  <c r="A2604" i="16"/>
  <c r="D2603" i="16"/>
  <c r="C2603" i="16"/>
  <c r="B2603" i="16"/>
  <c r="A2603" i="16"/>
  <c r="D2602" i="16"/>
  <c r="C2602" i="16"/>
  <c r="B2602" i="16"/>
  <c r="A2602" i="16"/>
  <c r="M2602" i="16" s="1"/>
  <c r="O2601" i="16"/>
  <c r="N2601" i="16"/>
  <c r="M2601" i="16"/>
  <c r="L2601" i="16"/>
  <c r="J2601" i="16"/>
  <c r="G2601" i="16"/>
  <c r="F2601" i="16"/>
  <c r="E2601" i="16"/>
  <c r="D2601" i="16"/>
  <c r="C2601" i="16"/>
  <c r="B2601" i="16"/>
  <c r="A2601" i="16"/>
  <c r="T2601" i="16" s="1"/>
  <c r="P2600" i="16"/>
  <c r="O2600" i="16"/>
  <c r="N2600" i="16"/>
  <c r="M2600" i="16"/>
  <c r="L2600" i="16"/>
  <c r="K2600" i="16"/>
  <c r="G2600" i="16"/>
  <c r="F2600" i="16"/>
  <c r="E2600" i="16"/>
  <c r="D2600" i="16"/>
  <c r="C2600" i="16"/>
  <c r="B2600" i="16"/>
  <c r="A2600" i="16"/>
  <c r="T2600" i="16" s="1"/>
  <c r="M2599" i="16"/>
  <c r="L2599" i="16"/>
  <c r="F2599" i="16"/>
  <c r="E2599" i="16"/>
  <c r="D2599" i="16"/>
  <c r="C2599" i="16"/>
  <c r="B2599" i="16"/>
  <c r="A2599" i="16"/>
  <c r="O2598" i="16"/>
  <c r="N2598" i="16"/>
  <c r="M2598" i="16"/>
  <c r="D2598" i="16"/>
  <c r="C2598" i="16"/>
  <c r="B2598" i="16"/>
  <c r="A2598" i="16"/>
  <c r="D2597" i="16"/>
  <c r="C2597" i="16"/>
  <c r="B2597" i="16"/>
  <c r="A2597" i="16"/>
  <c r="N2597" i="16" s="1"/>
  <c r="T2596" i="16"/>
  <c r="J2596" i="16"/>
  <c r="I2596" i="16"/>
  <c r="H2596" i="16"/>
  <c r="G2596" i="16"/>
  <c r="D2596" i="16"/>
  <c r="C2596" i="16"/>
  <c r="B2596" i="16"/>
  <c r="A2596" i="16"/>
  <c r="P2596" i="16" s="1"/>
  <c r="T2595" i="16"/>
  <c r="L2595" i="16"/>
  <c r="K2595" i="16"/>
  <c r="E2595" i="16"/>
  <c r="D2595" i="16"/>
  <c r="C2595" i="16"/>
  <c r="B2595" i="16"/>
  <c r="A2595" i="16"/>
  <c r="M2595" i="16" s="1"/>
  <c r="K2594" i="16"/>
  <c r="J2594" i="16"/>
  <c r="I2594" i="16"/>
  <c r="F2594" i="16"/>
  <c r="D2594" i="16"/>
  <c r="C2594" i="16"/>
  <c r="B2594" i="16"/>
  <c r="A2594" i="16"/>
  <c r="O2593" i="16"/>
  <c r="L2593" i="16"/>
  <c r="K2593" i="16"/>
  <c r="J2593" i="16"/>
  <c r="E2593" i="16"/>
  <c r="D2593" i="16"/>
  <c r="C2593" i="16"/>
  <c r="B2593" i="16"/>
  <c r="A2593" i="16"/>
  <c r="M2592" i="16"/>
  <c r="L2592" i="16"/>
  <c r="H2592" i="16"/>
  <c r="D2592" i="16"/>
  <c r="C2592" i="16"/>
  <c r="B2592" i="16"/>
  <c r="A2592" i="16"/>
  <c r="P2592" i="16" s="1"/>
  <c r="D2591" i="16"/>
  <c r="C2591" i="16"/>
  <c r="B2591" i="16"/>
  <c r="A2591" i="16"/>
  <c r="J2590" i="16"/>
  <c r="I2590" i="16"/>
  <c r="H2590" i="16"/>
  <c r="D2590" i="16"/>
  <c r="C2590" i="16"/>
  <c r="B2590" i="16"/>
  <c r="A2590" i="16"/>
  <c r="M2590" i="16" s="1"/>
  <c r="D2589" i="16"/>
  <c r="C2589" i="16"/>
  <c r="B2589" i="16"/>
  <c r="A2589" i="16"/>
  <c r="T2588" i="16"/>
  <c r="P2588" i="16"/>
  <c r="J2588" i="16"/>
  <c r="I2588" i="16"/>
  <c r="H2588" i="16"/>
  <c r="G2588" i="16"/>
  <c r="D2588" i="16"/>
  <c r="C2588" i="16"/>
  <c r="B2588" i="16"/>
  <c r="A2588" i="16"/>
  <c r="O2588" i="16" s="1"/>
  <c r="D2587" i="16"/>
  <c r="C2587" i="16"/>
  <c r="B2587" i="16"/>
  <c r="A2587" i="16"/>
  <c r="T2586" i="16"/>
  <c r="I2586" i="16"/>
  <c r="D2586" i="16"/>
  <c r="C2586" i="16"/>
  <c r="B2586" i="16"/>
  <c r="A2586" i="16"/>
  <c r="J2585" i="16"/>
  <c r="D2585" i="16"/>
  <c r="C2585" i="16"/>
  <c r="B2585" i="16"/>
  <c r="A2585" i="16"/>
  <c r="P2584" i="16"/>
  <c r="O2584" i="16"/>
  <c r="N2584" i="16"/>
  <c r="M2584" i="16"/>
  <c r="L2584" i="16"/>
  <c r="K2584" i="16"/>
  <c r="H2584" i="16"/>
  <c r="G2584" i="16"/>
  <c r="F2584" i="16"/>
  <c r="E2584" i="16"/>
  <c r="D2584" i="16"/>
  <c r="C2584" i="16"/>
  <c r="B2584" i="16"/>
  <c r="A2584" i="16"/>
  <c r="T2584" i="16" s="1"/>
  <c r="N2583" i="16"/>
  <c r="M2583" i="16"/>
  <c r="L2583" i="16"/>
  <c r="D2583" i="16"/>
  <c r="C2583" i="16"/>
  <c r="B2583" i="16"/>
  <c r="A2583" i="16"/>
  <c r="M2582" i="16"/>
  <c r="H2582" i="16"/>
  <c r="G2582" i="16"/>
  <c r="D2582" i="16"/>
  <c r="C2582" i="16"/>
  <c r="B2582" i="16"/>
  <c r="A2582" i="16"/>
  <c r="T2582" i="16" s="1"/>
  <c r="H2581" i="16"/>
  <c r="G2581" i="16"/>
  <c r="F2581" i="16"/>
  <c r="D2581" i="16"/>
  <c r="C2581" i="16"/>
  <c r="B2581" i="16"/>
  <c r="A2581" i="16"/>
  <c r="I2581" i="16" s="1"/>
  <c r="P2580" i="16"/>
  <c r="J2580" i="16"/>
  <c r="I2580" i="16"/>
  <c r="H2580" i="16"/>
  <c r="D2580" i="16"/>
  <c r="C2580" i="16"/>
  <c r="B2580" i="16"/>
  <c r="A2580" i="16"/>
  <c r="L2580" i="16" s="1"/>
  <c r="D2579" i="16"/>
  <c r="C2579" i="16"/>
  <c r="B2579" i="16"/>
  <c r="A2579" i="16"/>
  <c r="N2578" i="16"/>
  <c r="J2578" i="16"/>
  <c r="I2578" i="16"/>
  <c r="D2578" i="16"/>
  <c r="C2578" i="16"/>
  <c r="B2578" i="16"/>
  <c r="A2578" i="16"/>
  <c r="O2577" i="16"/>
  <c r="N2577" i="16"/>
  <c r="K2577" i="16"/>
  <c r="F2577" i="16"/>
  <c r="E2577" i="16"/>
  <c r="D2577" i="16"/>
  <c r="C2577" i="16"/>
  <c r="B2577" i="16"/>
  <c r="A2577" i="16"/>
  <c r="L2577" i="16" s="1"/>
  <c r="D2576" i="16"/>
  <c r="C2576" i="16"/>
  <c r="B2576" i="16"/>
  <c r="A2576" i="16"/>
  <c r="T2575" i="16"/>
  <c r="G2575" i="16"/>
  <c r="D2575" i="16"/>
  <c r="C2575" i="16"/>
  <c r="B2575" i="16"/>
  <c r="A2575" i="16"/>
  <c r="J2574" i="16"/>
  <c r="D2574" i="16"/>
  <c r="C2574" i="16"/>
  <c r="B2574" i="16"/>
  <c r="A2574" i="16"/>
  <c r="I2574" i="16" s="1"/>
  <c r="D2573" i="16"/>
  <c r="C2573" i="16"/>
  <c r="B2573" i="16"/>
  <c r="A2573" i="16"/>
  <c r="D2572" i="16"/>
  <c r="C2572" i="16"/>
  <c r="B2572" i="16"/>
  <c r="A2572" i="16"/>
  <c r="J2571" i="16"/>
  <c r="I2571" i="16"/>
  <c r="H2571" i="16"/>
  <c r="D2571" i="16"/>
  <c r="C2571" i="16"/>
  <c r="B2571" i="16"/>
  <c r="A2571" i="16"/>
  <c r="K2571" i="16" s="1"/>
  <c r="N2570" i="16"/>
  <c r="M2570" i="16"/>
  <c r="I2570" i="16"/>
  <c r="F2570" i="16"/>
  <c r="D2570" i="16"/>
  <c r="C2570" i="16"/>
  <c r="B2570" i="16"/>
  <c r="A2570" i="16"/>
  <c r="O2569" i="16"/>
  <c r="N2569" i="16"/>
  <c r="M2569" i="16"/>
  <c r="L2569" i="16"/>
  <c r="J2569" i="16"/>
  <c r="G2569" i="16"/>
  <c r="F2569" i="16"/>
  <c r="E2569" i="16"/>
  <c r="D2569" i="16"/>
  <c r="C2569" i="16"/>
  <c r="B2569" i="16"/>
  <c r="A2569" i="16"/>
  <c r="T2569" i="16" s="1"/>
  <c r="P2568" i="16"/>
  <c r="O2568" i="16"/>
  <c r="N2568" i="16"/>
  <c r="M2568" i="16"/>
  <c r="L2568" i="16"/>
  <c r="K2568" i="16"/>
  <c r="G2568" i="16"/>
  <c r="F2568" i="16"/>
  <c r="E2568" i="16"/>
  <c r="D2568" i="16"/>
  <c r="C2568" i="16"/>
  <c r="B2568" i="16"/>
  <c r="A2568" i="16"/>
  <c r="T2568" i="16" s="1"/>
  <c r="P2567" i="16"/>
  <c r="I2567" i="16"/>
  <c r="H2567" i="16"/>
  <c r="D2567" i="16"/>
  <c r="C2567" i="16"/>
  <c r="B2567" i="16"/>
  <c r="A2567" i="16"/>
  <c r="T2566" i="16"/>
  <c r="O2566" i="16"/>
  <c r="G2566" i="16"/>
  <c r="D2566" i="16"/>
  <c r="C2566" i="16"/>
  <c r="B2566" i="16"/>
  <c r="A2566" i="16"/>
  <c r="T2565" i="16"/>
  <c r="N2565" i="16"/>
  <c r="F2565" i="16"/>
  <c r="D2565" i="16"/>
  <c r="C2565" i="16"/>
  <c r="B2565" i="16"/>
  <c r="A2565" i="16"/>
  <c r="D2564" i="16"/>
  <c r="C2564" i="16"/>
  <c r="B2564" i="16"/>
  <c r="A2564" i="16"/>
  <c r="D2563" i="16"/>
  <c r="C2563" i="16"/>
  <c r="B2563" i="16"/>
  <c r="A2563" i="16"/>
  <c r="M2562" i="16"/>
  <c r="L2562" i="16"/>
  <c r="J2562" i="16"/>
  <c r="E2562" i="16"/>
  <c r="D2562" i="16"/>
  <c r="C2562" i="16"/>
  <c r="B2562" i="16"/>
  <c r="A2562" i="16"/>
  <c r="L2561" i="16"/>
  <c r="K2561" i="16"/>
  <c r="J2561" i="16"/>
  <c r="E2561" i="16"/>
  <c r="D2561" i="16"/>
  <c r="C2561" i="16"/>
  <c r="B2561" i="16"/>
  <c r="A2561" i="16"/>
  <c r="J2560" i="16"/>
  <c r="H2560" i="16"/>
  <c r="E2560" i="16"/>
  <c r="D2560" i="16"/>
  <c r="C2560" i="16"/>
  <c r="B2560" i="16"/>
  <c r="A2560" i="16"/>
  <c r="M2560" i="16" s="1"/>
  <c r="D2559" i="16"/>
  <c r="C2559" i="16"/>
  <c r="B2559" i="16"/>
  <c r="A2559" i="16"/>
  <c r="T2558" i="16"/>
  <c r="H2558" i="16"/>
  <c r="G2558" i="16"/>
  <c r="F2558" i="16"/>
  <c r="E2558" i="16"/>
  <c r="D2558" i="16"/>
  <c r="C2558" i="16"/>
  <c r="B2558" i="16"/>
  <c r="A2558" i="16"/>
  <c r="T2557" i="16"/>
  <c r="P2557" i="16"/>
  <c r="O2557" i="16"/>
  <c r="N2557" i="16"/>
  <c r="D2557" i="16"/>
  <c r="C2557" i="16"/>
  <c r="B2557" i="16"/>
  <c r="A2557" i="16"/>
  <c r="D2556" i="16"/>
  <c r="C2556" i="16"/>
  <c r="B2556" i="16"/>
  <c r="A2556" i="16"/>
  <c r="T2555" i="16"/>
  <c r="J2555" i="16"/>
  <c r="I2555" i="16"/>
  <c r="H2555" i="16"/>
  <c r="E2555" i="16"/>
  <c r="D2555" i="16"/>
  <c r="C2555" i="16"/>
  <c r="B2555" i="16"/>
  <c r="A2555" i="16"/>
  <c r="P2555" i="16" s="1"/>
  <c r="T2554" i="16"/>
  <c r="N2554" i="16"/>
  <c r="M2554" i="16"/>
  <c r="L2554" i="16"/>
  <c r="D2554" i="16"/>
  <c r="C2554" i="16"/>
  <c r="B2554" i="16"/>
  <c r="A2554" i="16"/>
  <c r="D2553" i="16"/>
  <c r="C2553" i="16"/>
  <c r="B2553" i="16"/>
  <c r="A2553" i="16"/>
  <c r="P2552" i="16"/>
  <c r="K2552" i="16"/>
  <c r="J2552" i="16"/>
  <c r="H2552" i="16"/>
  <c r="G2552" i="16"/>
  <c r="D2552" i="16"/>
  <c r="C2552" i="16"/>
  <c r="B2552" i="16"/>
  <c r="A2552" i="16"/>
  <c r="T2551" i="16"/>
  <c r="P2551" i="16"/>
  <c r="O2551" i="16"/>
  <c r="H2551" i="16"/>
  <c r="G2551" i="16"/>
  <c r="F2551" i="16"/>
  <c r="E2551" i="16"/>
  <c r="D2551" i="16"/>
  <c r="C2551" i="16"/>
  <c r="B2551" i="16"/>
  <c r="A2551" i="16"/>
  <c r="N2551" i="16" s="1"/>
  <c r="O2550" i="16"/>
  <c r="H2550" i="16"/>
  <c r="E2550" i="16"/>
  <c r="D2550" i="16"/>
  <c r="C2550" i="16"/>
  <c r="B2550" i="16"/>
  <c r="A2550" i="16"/>
  <c r="P2550" i="16" s="1"/>
  <c r="D2549" i="16"/>
  <c r="C2549" i="16"/>
  <c r="B2549" i="16"/>
  <c r="A2549" i="16"/>
  <c r="D2548" i="16"/>
  <c r="C2548" i="16"/>
  <c r="B2548" i="16"/>
  <c r="A2548" i="16"/>
  <c r="P2547" i="16"/>
  <c r="M2547" i="16"/>
  <c r="J2547" i="16"/>
  <c r="D2547" i="16"/>
  <c r="C2547" i="16"/>
  <c r="B2547" i="16"/>
  <c r="A2547" i="16"/>
  <c r="M2546" i="16"/>
  <c r="L2546" i="16"/>
  <c r="D2546" i="16"/>
  <c r="C2546" i="16"/>
  <c r="B2546" i="16"/>
  <c r="A2546" i="16"/>
  <c r="J2545" i="16"/>
  <c r="G2545" i="16"/>
  <c r="F2545" i="16"/>
  <c r="D2545" i="16"/>
  <c r="C2545" i="16"/>
  <c r="B2545" i="16"/>
  <c r="A2545" i="16"/>
  <c r="P2544" i="16"/>
  <c r="O2544" i="16"/>
  <c r="N2544" i="16"/>
  <c r="M2544" i="16"/>
  <c r="L2544" i="16"/>
  <c r="K2544" i="16"/>
  <c r="H2544" i="16"/>
  <c r="G2544" i="16"/>
  <c r="F2544" i="16"/>
  <c r="E2544" i="16"/>
  <c r="D2544" i="16"/>
  <c r="C2544" i="16"/>
  <c r="B2544" i="16"/>
  <c r="A2544" i="16"/>
  <c r="T2544" i="16" s="1"/>
  <c r="O2543" i="16"/>
  <c r="N2543" i="16"/>
  <c r="M2543" i="16"/>
  <c r="D2543" i="16"/>
  <c r="C2543" i="16"/>
  <c r="B2543" i="16"/>
  <c r="A2543" i="16"/>
  <c r="T2542" i="16"/>
  <c r="P2542" i="16"/>
  <c r="N2542" i="16"/>
  <c r="M2542" i="16"/>
  <c r="H2542" i="16"/>
  <c r="G2542" i="16"/>
  <c r="F2542" i="16"/>
  <c r="E2542" i="16"/>
  <c r="D2542" i="16"/>
  <c r="C2542" i="16"/>
  <c r="B2542" i="16"/>
  <c r="A2542" i="16"/>
  <c r="O2542" i="16" s="1"/>
  <c r="N2541" i="16"/>
  <c r="K2541" i="16"/>
  <c r="J2541" i="16"/>
  <c r="I2541" i="16"/>
  <c r="D2541" i="16"/>
  <c r="C2541" i="16"/>
  <c r="B2541" i="16"/>
  <c r="A2541" i="16"/>
  <c r="J2540" i="16"/>
  <c r="I2540" i="16"/>
  <c r="H2540" i="16"/>
  <c r="G2540" i="16"/>
  <c r="D2540" i="16"/>
  <c r="C2540" i="16"/>
  <c r="B2540" i="16"/>
  <c r="A2540" i="16"/>
  <c r="M2539" i="16"/>
  <c r="L2539" i="16"/>
  <c r="H2539" i="16"/>
  <c r="E2539" i="16"/>
  <c r="D2539" i="16"/>
  <c r="C2539" i="16"/>
  <c r="B2539" i="16"/>
  <c r="A2539" i="16"/>
  <c r="M2538" i="16"/>
  <c r="D2538" i="16"/>
  <c r="C2538" i="16"/>
  <c r="B2538" i="16"/>
  <c r="A2538" i="16"/>
  <c r="O2537" i="16"/>
  <c r="N2537" i="16"/>
  <c r="M2537" i="16"/>
  <c r="L2537" i="16"/>
  <c r="J2537" i="16"/>
  <c r="G2537" i="16"/>
  <c r="F2537" i="16"/>
  <c r="E2537" i="16"/>
  <c r="D2537" i="16"/>
  <c r="C2537" i="16"/>
  <c r="B2537" i="16"/>
  <c r="A2537" i="16"/>
  <c r="T2537" i="16" s="1"/>
  <c r="K2536" i="16"/>
  <c r="J2536" i="16"/>
  <c r="E2536" i="16"/>
  <c r="D2536" i="16"/>
  <c r="C2536" i="16"/>
  <c r="B2536" i="16"/>
  <c r="A2536" i="16"/>
  <c r="N2536" i="16" s="1"/>
  <c r="T2535" i="16"/>
  <c r="N2535" i="16"/>
  <c r="M2535" i="16"/>
  <c r="F2535" i="16"/>
  <c r="E2535" i="16"/>
  <c r="D2535" i="16"/>
  <c r="C2535" i="16"/>
  <c r="B2535" i="16"/>
  <c r="A2535" i="16"/>
  <c r="D2534" i="16"/>
  <c r="C2534" i="16"/>
  <c r="B2534" i="16"/>
  <c r="A2534" i="16"/>
  <c r="N2534" i="16" s="1"/>
  <c r="D2533" i="16"/>
  <c r="C2533" i="16"/>
  <c r="B2533" i="16"/>
  <c r="A2533" i="16"/>
  <c r="D2532" i="16"/>
  <c r="C2532" i="16"/>
  <c r="B2532" i="16"/>
  <c r="A2532" i="16"/>
  <c r="T2531" i="16"/>
  <c r="E2531" i="16"/>
  <c r="D2531" i="16"/>
  <c r="C2531" i="16"/>
  <c r="B2531" i="16"/>
  <c r="A2531" i="16"/>
  <c r="J2530" i="16"/>
  <c r="D2530" i="16"/>
  <c r="C2530" i="16"/>
  <c r="B2530" i="16"/>
  <c r="A2530" i="16"/>
  <c r="G2529" i="16"/>
  <c r="F2529" i="16"/>
  <c r="E2529" i="16"/>
  <c r="D2529" i="16"/>
  <c r="C2529" i="16"/>
  <c r="B2529" i="16"/>
  <c r="A2529" i="16"/>
  <c r="J2529" i="16" s="1"/>
  <c r="P2528" i="16"/>
  <c r="O2528" i="16"/>
  <c r="N2528" i="16"/>
  <c r="M2528" i="16"/>
  <c r="L2528" i="16"/>
  <c r="H2528" i="16"/>
  <c r="G2528" i="16"/>
  <c r="F2528" i="16"/>
  <c r="E2528" i="16"/>
  <c r="D2528" i="16"/>
  <c r="C2528" i="16"/>
  <c r="B2528" i="16"/>
  <c r="A2528" i="16"/>
  <c r="T2528" i="16" s="1"/>
  <c r="D2527" i="16"/>
  <c r="C2527" i="16"/>
  <c r="B2527" i="16"/>
  <c r="A2527" i="16"/>
  <c r="O2527" i="16" s="1"/>
  <c r="N2526" i="16"/>
  <c r="D2526" i="16"/>
  <c r="C2526" i="16"/>
  <c r="B2526" i="16"/>
  <c r="A2526" i="16"/>
  <c r="I2526" i="16" s="1"/>
  <c r="J2525" i="16"/>
  <c r="I2525" i="16"/>
  <c r="H2525" i="16"/>
  <c r="D2525" i="16"/>
  <c r="C2525" i="16"/>
  <c r="B2525" i="16"/>
  <c r="A2525" i="16"/>
  <c r="G2525" i="16" s="1"/>
  <c r="P2524" i="16"/>
  <c r="O2524" i="16"/>
  <c r="H2524" i="16"/>
  <c r="G2524" i="16"/>
  <c r="D2524" i="16"/>
  <c r="C2524" i="16"/>
  <c r="B2524" i="16"/>
  <c r="A2524" i="16"/>
  <c r="D2523" i="16"/>
  <c r="C2523" i="16"/>
  <c r="B2523" i="16"/>
  <c r="A2523" i="16"/>
  <c r="D2522" i="16"/>
  <c r="C2522" i="16"/>
  <c r="B2522" i="16"/>
  <c r="A2522" i="16"/>
  <c r="M2521" i="16"/>
  <c r="G2521" i="16"/>
  <c r="F2521" i="16"/>
  <c r="D2521" i="16"/>
  <c r="C2521" i="16"/>
  <c r="B2521" i="16"/>
  <c r="A2521" i="16"/>
  <c r="K2521" i="16" s="1"/>
  <c r="P2520" i="16"/>
  <c r="O2520" i="16"/>
  <c r="N2520" i="16"/>
  <c r="K2520" i="16"/>
  <c r="G2520" i="16"/>
  <c r="F2520" i="16"/>
  <c r="E2520" i="16"/>
  <c r="D2520" i="16"/>
  <c r="C2520" i="16"/>
  <c r="B2520" i="16"/>
  <c r="A2520" i="16"/>
  <c r="H2520" i="16" s="1"/>
  <c r="M2519" i="16"/>
  <c r="L2519" i="16"/>
  <c r="I2519" i="16"/>
  <c r="D2519" i="16"/>
  <c r="C2519" i="16"/>
  <c r="B2519" i="16"/>
  <c r="A2519" i="16"/>
  <c r="N2519" i="16" s="1"/>
  <c r="M2518" i="16"/>
  <c r="J2518" i="16"/>
  <c r="G2518" i="16"/>
  <c r="D2518" i="16"/>
  <c r="C2518" i="16"/>
  <c r="B2518" i="16"/>
  <c r="A2518" i="16"/>
  <c r="T2518" i="16" s="1"/>
  <c r="I2517" i="16"/>
  <c r="H2517" i="16"/>
  <c r="G2517" i="16"/>
  <c r="D2517" i="16"/>
  <c r="C2517" i="16"/>
  <c r="B2517" i="16"/>
  <c r="A2517" i="16"/>
  <c r="F2517" i="16" s="1"/>
  <c r="T2516" i="16"/>
  <c r="P2516" i="16"/>
  <c r="O2516" i="16"/>
  <c r="I2516" i="16"/>
  <c r="H2516" i="16"/>
  <c r="G2516" i="16"/>
  <c r="D2516" i="16"/>
  <c r="C2516" i="16"/>
  <c r="B2516" i="16"/>
  <c r="A2516" i="16"/>
  <c r="L2516" i="16" s="1"/>
  <c r="D2515" i="16"/>
  <c r="C2515" i="16"/>
  <c r="B2515" i="16"/>
  <c r="A2515" i="16"/>
  <c r="T2514" i="16"/>
  <c r="D2514" i="16"/>
  <c r="C2514" i="16"/>
  <c r="B2514" i="16"/>
  <c r="A2514" i="16"/>
  <c r="O2513" i="16"/>
  <c r="J2513" i="16"/>
  <c r="G2513" i="16"/>
  <c r="F2513" i="16"/>
  <c r="E2513" i="16"/>
  <c r="D2513" i="16"/>
  <c r="C2513" i="16"/>
  <c r="B2513" i="16"/>
  <c r="A2513" i="16"/>
  <c r="P2512" i="16"/>
  <c r="O2512" i="16"/>
  <c r="H2512" i="16"/>
  <c r="E2512" i="16"/>
  <c r="D2512" i="16"/>
  <c r="C2512" i="16"/>
  <c r="B2512" i="16"/>
  <c r="A2512" i="16"/>
  <c r="M2512" i="16" s="1"/>
  <c r="D2511" i="16"/>
  <c r="C2511" i="16"/>
  <c r="B2511" i="16"/>
  <c r="A2511" i="16"/>
  <c r="H2510" i="16"/>
  <c r="G2510" i="16"/>
  <c r="F2510" i="16"/>
  <c r="D2510" i="16"/>
  <c r="C2510" i="16"/>
  <c r="B2510" i="16"/>
  <c r="A2510" i="16"/>
  <c r="T2510" i="16" s="1"/>
  <c r="P2509" i="16"/>
  <c r="O2509" i="16"/>
  <c r="I2509" i="16"/>
  <c r="D2509" i="16"/>
  <c r="C2509" i="16"/>
  <c r="B2509" i="16"/>
  <c r="A2509" i="16"/>
  <c r="T2508" i="16"/>
  <c r="P2508" i="16"/>
  <c r="D2508" i="16"/>
  <c r="C2508" i="16"/>
  <c r="B2508" i="16"/>
  <c r="A2508" i="16"/>
  <c r="G2508" i="16" s="1"/>
  <c r="D2507" i="16"/>
  <c r="C2507" i="16"/>
  <c r="B2507" i="16"/>
  <c r="A2507" i="16"/>
  <c r="T2506" i="16"/>
  <c r="M2506" i="16"/>
  <c r="I2506" i="16"/>
  <c r="F2506" i="16"/>
  <c r="E2506" i="16"/>
  <c r="D2506" i="16"/>
  <c r="C2506" i="16"/>
  <c r="B2506" i="16"/>
  <c r="A2506" i="16"/>
  <c r="J2506" i="16" s="1"/>
  <c r="L2505" i="16"/>
  <c r="K2505" i="16"/>
  <c r="J2505" i="16"/>
  <c r="D2505" i="16"/>
  <c r="C2505" i="16"/>
  <c r="B2505" i="16"/>
  <c r="A2505" i="16"/>
  <c r="M2505" i="16" s="1"/>
  <c r="M2504" i="16"/>
  <c r="L2504" i="16"/>
  <c r="H2504" i="16"/>
  <c r="D2504" i="16"/>
  <c r="C2504" i="16"/>
  <c r="B2504" i="16"/>
  <c r="A2504" i="16"/>
  <c r="F2503" i="16"/>
  <c r="D2503" i="16"/>
  <c r="C2503" i="16"/>
  <c r="B2503" i="16"/>
  <c r="A2503" i="16"/>
  <c r="D2502" i="16"/>
  <c r="C2502" i="16"/>
  <c r="B2502" i="16"/>
  <c r="A2502" i="16"/>
  <c r="O2501" i="16"/>
  <c r="D2501" i="16"/>
  <c r="C2501" i="16"/>
  <c r="B2501" i="16"/>
  <c r="A2501" i="16"/>
  <c r="L2500" i="16"/>
  <c r="K2500" i="16"/>
  <c r="J2500" i="16"/>
  <c r="D2500" i="16"/>
  <c r="C2500" i="16"/>
  <c r="B2500" i="16"/>
  <c r="A2500" i="16"/>
  <c r="O2500" i="16" s="1"/>
  <c r="J2499" i="16"/>
  <c r="I2499" i="16"/>
  <c r="H2499" i="16"/>
  <c r="E2499" i="16"/>
  <c r="D2499" i="16"/>
  <c r="C2499" i="16"/>
  <c r="B2499" i="16"/>
  <c r="A2499" i="16"/>
  <c r="T2498" i="16"/>
  <c r="N2498" i="16"/>
  <c r="J2498" i="16"/>
  <c r="D2498" i="16"/>
  <c r="C2498" i="16"/>
  <c r="B2498" i="16"/>
  <c r="A2498" i="16"/>
  <c r="D2497" i="16"/>
  <c r="C2497" i="16"/>
  <c r="B2497" i="16"/>
  <c r="A2497" i="16"/>
  <c r="P2496" i="16"/>
  <c r="O2496" i="16"/>
  <c r="N2496" i="16"/>
  <c r="M2496" i="16"/>
  <c r="L2496" i="16"/>
  <c r="K2496" i="16"/>
  <c r="H2496" i="16"/>
  <c r="G2496" i="16"/>
  <c r="F2496" i="16"/>
  <c r="E2496" i="16"/>
  <c r="D2496" i="16"/>
  <c r="C2496" i="16"/>
  <c r="B2496" i="16"/>
  <c r="A2496" i="16"/>
  <c r="T2496" i="16" s="1"/>
  <c r="T2495" i="16"/>
  <c r="P2495" i="16"/>
  <c r="O2495" i="16"/>
  <c r="I2495" i="16"/>
  <c r="D2495" i="16"/>
  <c r="C2495" i="16"/>
  <c r="B2495" i="16"/>
  <c r="A2495" i="16"/>
  <c r="O2494" i="16"/>
  <c r="N2494" i="16"/>
  <c r="H2494" i="16"/>
  <c r="D2494" i="16"/>
  <c r="C2494" i="16"/>
  <c r="B2494" i="16"/>
  <c r="A2494" i="16"/>
  <c r="T2493" i="16"/>
  <c r="P2493" i="16"/>
  <c r="K2493" i="16"/>
  <c r="D2493" i="16"/>
  <c r="C2493" i="16"/>
  <c r="B2493" i="16"/>
  <c r="A2493" i="16"/>
  <c r="L2492" i="16"/>
  <c r="K2492" i="16"/>
  <c r="D2492" i="16"/>
  <c r="C2492" i="16"/>
  <c r="B2492" i="16"/>
  <c r="A2492" i="16"/>
  <c r="T2491" i="16"/>
  <c r="P2491" i="16"/>
  <c r="H2491" i="16"/>
  <c r="D2491" i="16"/>
  <c r="C2491" i="16"/>
  <c r="B2491" i="16"/>
  <c r="A2491" i="16"/>
  <c r="D2490" i="16"/>
  <c r="C2490" i="16"/>
  <c r="B2490" i="16"/>
  <c r="A2490" i="16"/>
  <c r="O2489" i="16"/>
  <c r="N2489" i="16"/>
  <c r="M2489" i="16"/>
  <c r="L2489" i="16"/>
  <c r="J2489" i="16"/>
  <c r="G2489" i="16"/>
  <c r="F2489" i="16"/>
  <c r="E2489" i="16"/>
  <c r="D2489" i="16"/>
  <c r="C2489" i="16"/>
  <c r="B2489" i="16"/>
  <c r="A2489" i="16"/>
  <c r="T2489" i="16" s="1"/>
  <c r="P2488" i="16"/>
  <c r="O2488" i="16"/>
  <c r="N2488" i="16"/>
  <c r="M2488" i="16"/>
  <c r="L2488" i="16"/>
  <c r="K2488" i="16"/>
  <c r="G2488" i="16"/>
  <c r="F2488" i="16"/>
  <c r="E2488" i="16"/>
  <c r="D2488" i="16"/>
  <c r="C2488" i="16"/>
  <c r="B2488" i="16"/>
  <c r="A2488" i="16"/>
  <c r="T2488" i="16" s="1"/>
  <c r="P2487" i="16"/>
  <c r="H2487" i="16"/>
  <c r="G2487" i="16"/>
  <c r="F2487" i="16"/>
  <c r="D2487" i="16"/>
  <c r="C2487" i="16"/>
  <c r="B2487" i="16"/>
  <c r="A2487" i="16"/>
  <c r="N2487" i="16" s="1"/>
  <c r="T2486" i="16"/>
  <c r="P2486" i="16"/>
  <c r="O2486" i="16"/>
  <c r="G2486" i="16"/>
  <c r="F2486" i="16"/>
  <c r="E2486" i="16"/>
  <c r="D2486" i="16"/>
  <c r="C2486" i="16"/>
  <c r="B2486" i="16"/>
  <c r="A2486" i="16"/>
  <c r="H2486" i="16" s="1"/>
  <c r="D2485" i="16"/>
  <c r="C2485" i="16"/>
  <c r="B2485" i="16"/>
  <c r="A2485" i="16"/>
  <c r="D2484" i="16"/>
  <c r="C2484" i="16"/>
  <c r="B2484" i="16"/>
  <c r="A2484" i="16"/>
  <c r="M2483" i="16"/>
  <c r="I2483" i="16"/>
  <c r="H2483" i="16"/>
  <c r="E2483" i="16"/>
  <c r="D2483" i="16"/>
  <c r="C2483" i="16"/>
  <c r="B2483" i="16"/>
  <c r="A2483" i="16"/>
  <c r="N2482" i="16"/>
  <c r="M2482" i="16"/>
  <c r="J2482" i="16"/>
  <c r="D2482" i="16"/>
  <c r="C2482" i="16"/>
  <c r="B2482" i="16"/>
  <c r="A2482" i="16"/>
  <c r="N2481" i="16"/>
  <c r="M2481" i="16"/>
  <c r="L2481" i="16"/>
  <c r="K2481" i="16"/>
  <c r="D2481" i="16"/>
  <c r="C2481" i="16"/>
  <c r="B2481" i="16"/>
  <c r="A2481" i="16"/>
  <c r="P2480" i="16"/>
  <c r="M2480" i="16"/>
  <c r="J2480" i="16"/>
  <c r="H2480" i="16"/>
  <c r="G2480" i="16"/>
  <c r="D2480" i="16"/>
  <c r="C2480" i="16"/>
  <c r="B2480" i="16"/>
  <c r="A2480" i="16"/>
  <c r="K2480" i="16" s="1"/>
  <c r="T2479" i="16"/>
  <c r="P2479" i="16"/>
  <c r="O2479" i="16"/>
  <c r="M2479" i="16"/>
  <c r="G2479" i="16"/>
  <c r="F2479" i="16"/>
  <c r="E2479" i="16"/>
  <c r="D2479" i="16"/>
  <c r="C2479" i="16"/>
  <c r="B2479" i="16"/>
  <c r="A2479" i="16"/>
  <c r="H2479" i="16" s="1"/>
  <c r="T2478" i="16"/>
  <c r="N2478" i="16"/>
  <c r="F2478" i="16"/>
  <c r="E2478" i="16"/>
  <c r="D2478" i="16"/>
  <c r="C2478" i="16"/>
  <c r="B2478" i="16"/>
  <c r="A2478" i="16"/>
  <c r="O2478" i="16" s="1"/>
  <c r="D2477" i="16"/>
  <c r="C2477" i="16"/>
  <c r="B2477" i="16"/>
  <c r="A2477" i="16"/>
  <c r="O2477" i="16" s="1"/>
  <c r="D2476" i="16"/>
  <c r="C2476" i="16"/>
  <c r="B2476" i="16"/>
  <c r="A2476" i="16"/>
  <c r="L2475" i="16"/>
  <c r="J2475" i="16"/>
  <c r="I2475" i="16"/>
  <c r="H2475" i="16"/>
  <c r="D2475" i="16"/>
  <c r="C2475" i="16"/>
  <c r="B2475" i="16"/>
  <c r="A2475" i="16"/>
  <c r="M2474" i="16"/>
  <c r="L2474" i="16"/>
  <c r="K2474" i="16"/>
  <c r="D2474" i="16"/>
  <c r="C2474" i="16"/>
  <c r="B2474" i="16"/>
  <c r="A2474" i="16"/>
  <c r="J2474" i="16" s="1"/>
  <c r="O2473" i="16"/>
  <c r="N2473" i="16"/>
  <c r="M2473" i="16"/>
  <c r="L2473" i="16"/>
  <c r="J2473" i="16"/>
  <c r="G2473" i="16"/>
  <c r="F2473" i="16"/>
  <c r="E2473" i="16"/>
  <c r="D2473" i="16"/>
  <c r="C2473" i="16"/>
  <c r="B2473" i="16"/>
  <c r="A2473" i="16"/>
  <c r="T2473" i="16" s="1"/>
  <c r="P2472" i="16"/>
  <c r="O2472" i="16"/>
  <c r="N2472" i="16"/>
  <c r="M2472" i="16"/>
  <c r="L2472" i="16"/>
  <c r="K2472" i="16"/>
  <c r="G2472" i="16"/>
  <c r="F2472" i="16"/>
  <c r="E2472" i="16"/>
  <c r="D2472" i="16"/>
  <c r="C2472" i="16"/>
  <c r="B2472" i="16"/>
  <c r="A2472" i="16"/>
  <c r="T2472" i="16" s="1"/>
  <c r="L2471" i="16"/>
  <c r="G2471" i="16"/>
  <c r="F2471" i="16"/>
  <c r="D2471" i="16"/>
  <c r="C2471" i="16"/>
  <c r="B2471" i="16"/>
  <c r="A2471" i="16"/>
  <c r="M2471" i="16" s="1"/>
  <c r="P2470" i="16"/>
  <c r="O2470" i="16"/>
  <c r="N2470" i="16"/>
  <c r="M2470" i="16"/>
  <c r="H2470" i="16"/>
  <c r="G2470" i="16"/>
  <c r="F2470" i="16"/>
  <c r="E2470" i="16"/>
  <c r="D2470" i="16"/>
  <c r="C2470" i="16"/>
  <c r="B2470" i="16"/>
  <c r="A2470" i="16"/>
  <c r="K2470" i="16" s="1"/>
  <c r="O2469" i="16"/>
  <c r="M2469" i="16"/>
  <c r="K2469" i="16"/>
  <c r="F2469" i="16"/>
  <c r="E2469" i="16"/>
  <c r="D2469" i="16"/>
  <c r="C2469" i="16"/>
  <c r="B2469" i="16"/>
  <c r="A2469" i="16"/>
  <c r="O2468" i="16"/>
  <c r="N2468" i="16"/>
  <c r="L2468" i="16"/>
  <c r="K2468" i="16"/>
  <c r="D2468" i="16"/>
  <c r="C2468" i="16"/>
  <c r="B2468" i="16"/>
  <c r="A2468" i="16"/>
  <c r="D2467" i="16"/>
  <c r="C2467" i="16"/>
  <c r="B2467" i="16"/>
  <c r="A2467" i="16"/>
  <c r="K2466" i="16"/>
  <c r="J2466" i="16"/>
  <c r="D2466" i="16"/>
  <c r="C2466" i="16"/>
  <c r="B2466" i="16"/>
  <c r="A2466" i="16"/>
  <c r="K2465" i="16"/>
  <c r="J2465" i="16"/>
  <c r="I2465" i="16"/>
  <c r="D2465" i="16"/>
  <c r="C2465" i="16"/>
  <c r="B2465" i="16"/>
  <c r="A2465" i="16"/>
  <c r="G2465" i="16" s="1"/>
  <c r="D2464" i="16"/>
  <c r="C2464" i="16"/>
  <c r="B2464" i="16"/>
  <c r="A2464" i="16"/>
  <c r="O2463" i="16"/>
  <c r="D2463" i="16"/>
  <c r="C2463" i="16"/>
  <c r="B2463" i="16"/>
  <c r="A2463" i="16"/>
  <c r="T2462" i="16"/>
  <c r="P2462" i="16"/>
  <c r="D2462" i="16"/>
  <c r="C2462" i="16"/>
  <c r="B2462" i="16"/>
  <c r="A2462" i="16"/>
  <c r="T2461" i="16"/>
  <c r="P2461" i="16"/>
  <c r="D2461" i="16"/>
  <c r="C2461" i="16"/>
  <c r="B2461" i="16"/>
  <c r="A2461" i="16"/>
  <c r="P2460" i="16"/>
  <c r="I2460" i="16"/>
  <c r="H2460" i="16"/>
  <c r="D2460" i="16"/>
  <c r="C2460" i="16"/>
  <c r="B2460" i="16"/>
  <c r="A2460" i="16"/>
  <c r="T2460" i="16" s="1"/>
  <c r="T2459" i="16"/>
  <c r="P2459" i="16"/>
  <c r="I2459" i="16"/>
  <c r="H2459" i="16"/>
  <c r="G2459" i="16"/>
  <c r="E2459" i="16"/>
  <c r="D2459" i="16"/>
  <c r="C2459" i="16"/>
  <c r="B2459" i="16"/>
  <c r="A2459" i="16"/>
  <c r="O2459" i="16" s="1"/>
  <c r="T2458" i="16"/>
  <c r="P2458" i="16"/>
  <c r="L2458" i="16"/>
  <c r="H2458" i="16"/>
  <c r="D2458" i="16"/>
  <c r="C2458" i="16"/>
  <c r="B2458" i="16"/>
  <c r="A2458" i="16"/>
  <c r="I2457" i="16"/>
  <c r="G2457" i="16"/>
  <c r="F2457" i="16"/>
  <c r="D2457" i="16"/>
  <c r="C2457" i="16"/>
  <c r="B2457" i="16"/>
  <c r="A2457" i="16"/>
  <c r="P2456" i="16"/>
  <c r="O2456" i="16"/>
  <c r="N2456" i="16"/>
  <c r="M2456" i="16"/>
  <c r="G2456" i="16"/>
  <c r="F2456" i="16"/>
  <c r="E2456" i="16"/>
  <c r="D2456" i="16"/>
  <c r="C2456" i="16"/>
  <c r="B2456" i="16"/>
  <c r="A2456" i="16"/>
  <c r="H2456" i="16" s="1"/>
  <c r="K2455" i="16"/>
  <c r="I2455" i="16"/>
  <c r="E2455" i="16"/>
  <c r="D2455" i="16"/>
  <c r="C2455" i="16"/>
  <c r="B2455" i="16"/>
  <c r="A2455" i="16"/>
  <c r="L2455" i="16" s="1"/>
  <c r="D2454" i="16"/>
  <c r="C2454" i="16"/>
  <c r="B2454" i="16"/>
  <c r="A2454" i="16"/>
  <c r="M2453" i="16"/>
  <c r="I2453" i="16"/>
  <c r="D2453" i="16"/>
  <c r="C2453" i="16"/>
  <c r="B2453" i="16"/>
  <c r="A2453" i="16"/>
  <c r="D2452" i="16"/>
  <c r="C2452" i="16"/>
  <c r="B2452" i="16"/>
  <c r="A2452" i="16"/>
  <c r="D2451" i="16"/>
  <c r="C2451" i="16"/>
  <c r="B2451" i="16"/>
  <c r="A2451" i="16"/>
  <c r="J2450" i="16"/>
  <c r="F2450" i="16"/>
  <c r="D2450" i="16"/>
  <c r="C2450" i="16"/>
  <c r="B2450" i="16"/>
  <c r="A2450" i="16"/>
  <c r="E2449" i="16"/>
  <c r="D2449" i="16"/>
  <c r="C2449" i="16"/>
  <c r="B2449" i="16"/>
  <c r="A2449" i="16"/>
  <c r="P2448" i="16"/>
  <c r="K2448" i="16"/>
  <c r="J2448" i="16"/>
  <c r="H2448" i="16"/>
  <c r="G2448" i="16"/>
  <c r="D2448" i="16"/>
  <c r="C2448" i="16"/>
  <c r="B2448" i="16"/>
  <c r="A2448" i="16"/>
  <c r="D2447" i="16"/>
  <c r="C2447" i="16"/>
  <c r="B2447" i="16"/>
  <c r="A2447" i="16"/>
  <c r="T2446" i="16"/>
  <c r="D2446" i="16"/>
  <c r="C2446" i="16"/>
  <c r="B2446" i="16"/>
  <c r="A2446" i="16"/>
  <c r="M2445" i="16"/>
  <c r="H2445" i="16"/>
  <c r="G2445" i="16"/>
  <c r="F2445" i="16"/>
  <c r="D2445" i="16"/>
  <c r="C2445" i="16"/>
  <c r="B2445" i="16"/>
  <c r="A2445" i="16"/>
  <c r="T2444" i="16"/>
  <c r="P2444" i="16"/>
  <c r="O2444" i="16"/>
  <c r="I2444" i="16"/>
  <c r="H2444" i="16"/>
  <c r="G2444" i="16"/>
  <c r="F2444" i="16"/>
  <c r="D2444" i="16"/>
  <c r="C2444" i="16"/>
  <c r="B2444" i="16"/>
  <c r="A2444" i="16"/>
  <c r="N2444" i="16" s="1"/>
  <c r="T2443" i="16"/>
  <c r="P2443" i="16"/>
  <c r="O2443" i="16"/>
  <c r="K2443" i="16"/>
  <c r="G2443" i="16"/>
  <c r="E2443" i="16"/>
  <c r="D2443" i="16"/>
  <c r="C2443" i="16"/>
  <c r="B2443" i="16"/>
  <c r="A2443" i="16"/>
  <c r="L2443" i="16" s="1"/>
  <c r="E2442" i="16"/>
  <c r="D2442" i="16"/>
  <c r="C2442" i="16"/>
  <c r="B2442" i="16"/>
  <c r="A2442" i="16"/>
  <c r="D2441" i="16"/>
  <c r="C2441" i="16"/>
  <c r="B2441" i="16"/>
  <c r="A2441" i="16"/>
  <c r="M2441" i="16" s="1"/>
  <c r="P2440" i="16"/>
  <c r="O2440" i="16"/>
  <c r="J2440" i="16"/>
  <c r="F2440" i="16"/>
  <c r="E2440" i="16"/>
  <c r="D2440" i="16"/>
  <c r="C2440" i="16"/>
  <c r="B2440" i="16"/>
  <c r="A2440" i="16"/>
  <c r="K2440" i="16" s="1"/>
  <c r="D2439" i="16"/>
  <c r="C2439" i="16"/>
  <c r="B2439" i="16"/>
  <c r="A2439" i="16"/>
  <c r="D2438" i="16"/>
  <c r="C2438" i="16"/>
  <c r="B2438" i="16"/>
  <c r="A2438" i="16"/>
  <c r="D2437" i="16"/>
  <c r="C2437" i="16"/>
  <c r="B2437" i="16"/>
  <c r="A2437" i="16"/>
  <c r="K2437" i="16" s="1"/>
  <c r="P2436" i="16"/>
  <c r="K2436" i="16"/>
  <c r="J2436" i="16"/>
  <c r="D2436" i="16"/>
  <c r="C2436" i="16"/>
  <c r="B2436" i="16"/>
  <c r="A2436" i="16"/>
  <c r="I2436" i="16" s="1"/>
  <c r="T2435" i="16"/>
  <c r="P2435" i="16"/>
  <c r="I2435" i="16"/>
  <c r="D2435" i="16"/>
  <c r="C2435" i="16"/>
  <c r="B2435" i="16"/>
  <c r="A2435" i="16"/>
  <c r="T2434" i="16"/>
  <c r="P2434" i="16"/>
  <c r="N2434" i="16"/>
  <c r="I2434" i="16"/>
  <c r="H2434" i="16"/>
  <c r="F2434" i="16"/>
  <c r="E2434" i="16"/>
  <c r="D2434" i="16"/>
  <c r="C2434" i="16"/>
  <c r="B2434" i="16"/>
  <c r="A2434" i="16"/>
  <c r="M2434" i="16" s="1"/>
  <c r="D2433" i="16"/>
  <c r="C2433" i="16"/>
  <c r="B2433" i="16"/>
  <c r="A2433" i="16"/>
  <c r="P2432" i="16"/>
  <c r="O2432" i="16"/>
  <c r="K2432" i="16"/>
  <c r="J2432" i="16"/>
  <c r="F2432" i="16"/>
  <c r="E2432" i="16"/>
  <c r="D2432" i="16"/>
  <c r="C2432" i="16"/>
  <c r="B2432" i="16"/>
  <c r="A2432" i="16"/>
  <c r="H2431" i="16"/>
  <c r="G2431" i="16"/>
  <c r="F2431" i="16"/>
  <c r="D2431" i="16"/>
  <c r="C2431" i="16"/>
  <c r="B2431" i="16"/>
  <c r="A2431" i="16"/>
  <c r="K2431" i="16" s="1"/>
  <c r="T2430" i="16"/>
  <c r="P2430" i="16"/>
  <c r="O2430" i="16"/>
  <c r="N2430" i="16"/>
  <c r="M2430" i="16"/>
  <c r="H2430" i="16"/>
  <c r="G2430" i="16"/>
  <c r="F2430" i="16"/>
  <c r="E2430" i="16"/>
  <c r="D2430" i="16"/>
  <c r="C2430" i="16"/>
  <c r="B2430" i="16"/>
  <c r="A2430" i="16"/>
  <c r="K2430" i="16" s="1"/>
  <c r="T2429" i="16"/>
  <c r="P2429" i="16"/>
  <c r="O2429" i="16"/>
  <c r="N2429" i="16"/>
  <c r="M2429" i="16"/>
  <c r="K2429" i="16"/>
  <c r="H2429" i="16"/>
  <c r="G2429" i="16"/>
  <c r="F2429" i="16"/>
  <c r="E2429" i="16"/>
  <c r="D2429" i="16"/>
  <c r="C2429" i="16"/>
  <c r="B2429" i="16"/>
  <c r="A2429" i="16"/>
  <c r="L2429" i="16" s="1"/>
  <c r="D2428" i="16"/>
  <c r="C2428" i="16"/>
  <c r="B2428" i="16"/>
  <c r="A2428" i="16"/>
  <c r="O2428" i="16" s="1"/>
  <c r="K2427" i="16"/>
  <c r="J2427" i="16"/>
  <c r="D2427" i="16"/>
  <c r="C2427" i="16"/>
  <c r="B2427" i="16"/>
  <c r="A2427" i="16"/>
  <c r="K2426" i="16"/>
  <c r="D2426" i="16"/>
  <c r="C2426" i="16"/>
  <c r="B2426" i="16"/>
  <c r="A2426" i="16"/>
  <c r="L2426" i="16" s="1"/>
  <c r="D2425" i="16"/>
  <c r="C2425" i="16"/>
  <c r="B2425" i="16"/>
  <c r="A2425" i="16"/>
  <c r="K2424" i="16"/>
  <c r="J2424" i="16"/>
  <c r="F2424" i="16"/>
  <c r="D2424" i="16"/>
  <c r="C2424" i="16"/>
  <c r="B2424" i="16"/>
  <c r="A2424" i="16"/>
  <c r="L2424" i="16" s="1"/>
  <c r="T2423" i="16"/>
  <c r="F2423" i="16"/>
  <c r="E2423" i="16"/>
  <c r="D2423" i="16"/>
  <c r="C2423" i="16"/>
  <c r="B2423" i="16"/>
  <c r="A2423" i="16"/>
  <c r="D2422" i="16"/>
  <c r="C2422" i="16"/>
  <c r="B2422" i="16"/>
  <c r="A2422" i="16"/>
  <c r="D2421" i="16"/>
  <c r="C2421" i="16"/>
  <c r="B2421" i="16"/>
  <c r="A2421" i="16"/>
  <c r="I2420" i="16"/>
  <c r="H2420" i="16"/>
  <c r="G2420" i="16"/>
  <c r="F2420" i="16"/>
  <c r="D2420" i="16"/>
  <c r="C2420" i="16"/>
  <c r="B2420" i="16"/>
  <c r="A2420" i="16"/>
  <c r="O2419" i="16"/>
  <c r="M2419" i="16"/>
  <c r="G2419" i="16"/>
  <c r="D2419" i="16"/>
  <c r="C2419" i="16"/>
  <c r="B2419" i="16"/>
  <c r="A2419" i="16"/>
  <c r="N2418" i="16"/>
  <c r="M2418" i="16"/>
  <c r="L2418" i="16"/>
  <c r="D2418" i="16"/>
  <c r="C2418" i="16"/>
  <c r="B2418" i="16"/>
  <c r="A2418" i="16"/>
  <c r="N2417" i="16"/>
  <c r="M2417" i="16"/>
  <c r="D2417" i="16"/>
  <c r="C2417" i="16"/>
  <c r="B2417" i="16"/>
  <c r="A2417" i="16"/>
  <c r="P2416" i="16"/>
  <c r="O2416" i="16"/>
  <c r="N2416" i="16"/>
  <c r="M2416" i="16"/>
  <c r="G2416" i="16"/>
  <c r="F2416" i="16"/>
  <c r="E2416" i="16"/>
  <c r="D2416" i="16"/>
  <c r="C2416" i="16"/>
  <c r="B2416" i="16"/>
  <c r="A2416" i="16"/>
  <c r="H2416" i="16" s="1"/>
  <c r="D2415" i="16"/>
  <c r="C2415" i="16"/>
  <c r="B2415" i="16"/>
  <c r="A2415" i="16"/>
  <c r="D2414" i="16"/>
  <c r="C2414" i="16"/>
  <c r="B2414" i="16"/>
  <c r="A2414" i="16"/>
  <c r="J2413" i="16"/>
  <c r="I2413" i="16"/>
  <c r="H2413" i="16"/>
  <c r="D2413" i="16"/>
  <c r="C2413" i="16"/>
  <c r="B2413" i="16"/>
  <c r="A2413" i="16"/>
  <c r="K2413" i="16" s="1"/>
  <c r="J2412" i="16"/>
  <c r="I2412" i="16"/>
  <c r="H2412" i="16"/>
  <c r="D2412" i="16"/>
  <c r="C2412" i="16"/>
  <c r="B2412" i="16"/>
  <c r="A2412" i="16"/>
  <c r="K2412" i="16" s="1"/>
  <c r="K2411" i="16"/>
  <c r="J2411" i="16"/>
  <c r="I2411" i="16"/>
  <c r="D2411" i="16"/>
  <c r="C2411" i="16"/>
  <c r="B2411" i="16"/>
  <c r="A2411" i="16"/>
  <c r="P2411" i="16" s="1"/>
  <c r="P2410" i="16"/>
  <c r="I2410" i="16"/>
  <c r="H2410" i="16"/>
  <c r="F2410" i="16"/>
  <c r="D2410" i="16"/>
  <c r="C2410" i="16"/>
  <c r="B2410" i="16"/>
  <c r="A2410" i="16"/>
  <c r="E2410" i="16" s="1"/>
  <c r="T2409" i="16"/>
  <c r="O2409" i="16"/>
  <c r="N2409" i="16"/>
  <c r="G2409" i="16"/>
  <c r="F2409" i="16"/>
  <c r="E2409" i="16"/>
  <c r="D2409" i="16"/>
  <c r="C2409" i="16"/>
  <c r="B2409" i="16"/>
  <c r="A2409" i="16"/>
  <c r="M2409" i="16" s="1"/>
  <c r="M2408" i="16"/>
  <c r="D2408" i="16"/>
  <c r="C2408" i="16"/>
  <c r="B2408" i="16"/>
  <c r="A2408" i="16"/>
  <c r="L2407" i="16"/>
  <c r="G2407" i="16"/>
  <c r="F2407" i="16"/>
  <c r="E2407" i="16"/>
  <c r="D2407" i="16"/>
  <c r="C2407" i="16"/>
  <c r="B2407" i="16"/>
  <c r="A2407" i="16"/>
  <c r="P2406" i="16"/>
  <c r="F2406" i="16"/>
  <c r="E2406" i="16"/>
  <c r="D2406" i="16"/>
  <c r="C2406" i="16"/>
  <c r="B2406" i="16"/>
  <c r="A2406" i="16"/>
  <c r="N2406" i="16" s="1"/>
  <c r="K2405" i="16"/>
  <c r="G2405" i="16"/>
  <c r="D2405" i="16"/>
  <c r="C2405" i="16"/>
  <c r="B2405" i="16"/>
  <c r="A2405" i="16"/>
  <c r="N2405" i="16" s="1"/>
  <c r="T2404" i="16"/>
  <c r="P2404" i="16"/>
  <c r="O2404" i="16"/>
  <c r="N2404" i="16"/>
  <c r="I2404" i="16"/>
  <c r="H2404" i="16"/>
  <c r="G2404" i="16"/>
  <c r="F2404" i="16"/>
  <c r="D2404" i="16"/>
  <c r="C2404" i="16"/>
  <c r="B2404" i="16"/>
  <c r="A2404" i="16"/>
  <c r="L2404" i="16" s="1"/>
  <c r="L2403" i="16"/>
  <c r="K2403" i="16"/>
  <c r="J2403" i="16"/>
  <c r="E2403" i="16"/>
  <c r="D2403" i="16"/>
  <c r="C2403" i="16"/>
  <c r="B2403" i="16"/>
  <c r="A2403" i="16"/>
  <c r="L2402" i="16"/>
  <c r="K2402" i="16"/>
  <c r="J2402" i="16"/>
  <c r="I2402" i="16"/>
  <c r="D2402" i="16"/>
  <c r="C2402" i="16"/>
  <c r="B2402" i="16"/>
  <c r="A2402" i="16"/>
  <c r="T2401" i="16"/>
  <c r="K2401" i="16"/>
  <c r="J2401" i="16"/>
  <c r="D2401" i="16"/>
  <c r="C2401" i="16"/>
  <c r="B2401" i="16"/>
  <c r="A2401" i="16"/>
  <c r="L2401" i="16" s="1"/>
  <c r="D2400" i="16"/>
  <c r="C2400" i="16"/>
  <c r="B2400" i="16"/>
  <c r="A2400" i="16"/>
  <c r="O2399" i="16"/>
  <c r="I2399" i="16"/>
  <c r="D2399" i="16"/>
  <c r="C2399" i="16"/>
  <c r="B2399" i="16"/>
  <c r="A2399" i="16"/>
  <c r="J2398" i="16"/>
  <c r="I2398" i="16"/>
  <c r="D2398" i="16"/>
  <c r="C2398" i="16"/>
  <c r="B2398" i="16"/>
  <c r="A2398" i="16"/>
  <c r="T2397" i="16"/>
  <c r="P2397" i="16"/>
  <c r="H2397" i="16"/>
  <c r="D2397" i="16"/>
  <c r="C2397" i="16"/>
  <c r="B2397" i="16"/>
  <c r="A2397" i="16"/>
  <c r="D2396" i="16"/>
  <c r="C2396" i="16"/>
  <c r="B2396" i="16"/>
  <c r="A2396" i="16"/>
  <c r="J2396" i="16" s="1"/>
  <c r="T2395" i="16"/>
  <c r="D2395" i="16"/>
  <c r="C2395" i="16"/>
  <c r="B2395" i="16"/>
  <c r="A2395" i="16"/>
  <c r="N2394" i="16"/>
  <c r="H2394" i="16"/>
  <c r="F2394" i="16"/>
  <c r="E2394" i="16"/>
  <c r="D2394" i="16"/>
  <c r="C2394" i="16"/>
  <c r="B2394" i="16"/>
  <c r="A2394" i="16"/>
  <c r="L2394" i="16" s="1"/>
  <c r="T2393" i="16"/>
  <c r="O2393" i="16"/>
  <c r="N2393" i="16"/>
  <c r="M2393" i="16"/>
  <c r="I2393" i="16"/>
  <c r="G2393" i="16"/>
  <c r="F2393" i="16"/>
  <c r="E2393" i="16"/>
  <c r="D2393" i="16"/>
  <c r="C2393" i="16"/>
  <c r="B2393" i="16"/>
  <c r="A2393" i="16"/>
  <c r="L2393" i="16" s="1"/>
  <c r="P2392" i="16"/>
  <c r="O2392" i="16"/>
  <c r="N2392" i="16"/>
  <c r="M2392" i="16"/>
  <c r="L2392" i="16"/>
  <c r="K2392" i="16"/>
  <c r="G2392" i="16"/>
  <c r="F2392" i="16"/>
  <c r="E2392" i="16"/>
  <c r="D2392" i="16"/>
  <c r="C2392" i="16"/>
  <c r="B2392" i="16"/>
  <c r="A2392" i="16"/>
  <c r="T2392" i="16" s="1"/>
  <c r="D2391" i="16"/>
  <c r="C2391" i="16"/>
  <c r="B2391" i="16"/>
  <c r="A2391" i="16"/>
  <c r="N2390" i="16"/>
  <c r="M2390" i="16"/>
  <c r="D2390" i="16"/>
  <c r="C2390" i="16"/>
  <c r="B2390" i="16"/>
  <c r="A2390" i="16"/>
  <c r="L2390" i="16" s="1"/>
  <c r="N2389" i="16"/>
  <c r="K2389" i="16"/>
  <c r="J2389" i="16"/>
  <c r="D2389" i="16"/>
  <c r="C2389" i="16"/>
  <c r="B2389" i="16"/>
  <c r="A2389" i="16"/>
  <c r="K2388" i="16"/>
  <c r="J2388" i="16"/>
  <c r="I2388" i="16"/>
  <c r="D2388" i="16"/>
  <c r="C2388" i="16"/>
  <c r="B2388" i="16"/>
  <c r="A2388" i="16"/>
  <c r="L2388" i="16" s="1"/>
  <c r="J2387" i="16"/>
  <c r="I2387" i="16"/>
  <c r="H2387" i="16"/>
  <c r="D2387" i="16"/>
  <c r="C2387" i="16"/>
  <c r="B2387" i="16"/>
  <c r="A2387" i="16"/>
  <c r="K2387" i="16" s="1"/>
  <c r="K2386" i="16"/>
  <c r="J2386" i="16"/>
  <c r="D2386" i="16"/>
  <c r="C2386" i="16"/>
  <c r="B2386" i="16"/>
  <c r="A2386" i="16"/>
  <c r="T2386" i="16" s="1"/>
  <c r="G2385" i="16"/>
  <c r="F2385" i="16"/>
  <c r="D2385" i="16"/>
  <c r="C2385" i="16"/>
  <c r="B2385" i="16"/>
  <c r="A2385" i="16"/>
  <c r="E2385" i="16" s="1"/>
  <c r="P2384" i="16"/>
  <c r="O2384" i="16"/>
  <c r="N2384" i="16"/>
  <c r="K2384" i="16"/>
  <c r="G2384" i="16"/>
  <c r="F2384" i="16"/>
  <c r="E2384" i="16"/>
  <c r="D2384" i="16"/>
  <c r="C2384" i="16"/>
  <c r="B2384" i="16"/>
  <c r="A2384" i="16"/>
  <c r="H2384" i="16" s="1"/>
  <c r="T2383" i="16"/>
  <c r="P2383" i="16"/>
  <c r="O2383" i="16"/>
  <c r="N2383" i="16"/>
  <c r="G2383" i="16"/>
  <c r="F2383" i="16"/>
  <c r="E2383" i="16"/>
  <c r="D2383" i="16"/>
  <c r="C2383" i="16"/>
  <c r="B2383" i="16"/>
  <c r="A2383" i="16"/>
  <c r="J2383" i="16" s="1"/>
  <c r="P2382" i="16"/>
  <c r="D2382" i="16"/>
  <c r="C2382" i="16"/>
  <c r="B2382" i="16"/>
  <c r="A2382" i="16"/>
  <c r="T2381" i="16"/>
  <c r="P2381" i="16"/>
  <c r="G2381" i="16"/>
  <c r="F2381" i="16"/>
  <c r="E2381" i="16"/>
  <c r="D2381" i="16"/>
  <c r="C2381" i="16"/>
  <c r="B2381" i="16"/>
  <c r="A2381" i="16"/>
  <c r="H2381" i="16" s="1"/>
  <c r="L2380" i="16"/>
  <c r="G2380" i="16"/>
  <c r="F2380" i="16"/>
  <c r="D2380" i="16"/>
  <c r="C2380" i="16"/>
  <c r="B2380" i="16"/>
  <c r="A2380" i="16"/>
  <c r="N2380" i="16" s="1"/>
  <c r="M2379" i="16"/>
  <c r="L2379" i="16"/>
  <c r="K2379" i="16"/>
  <c r="D2379" i="16"/>
  <c r="C2379" i="16"/>
  <c r="B2379" i="16"/>
  <c r="A2379" i="16"/>
  <c r="O2379" i="16" s="1"/>
  <c r="D2378" i="16"/>
  <c r="C2378" i="16"/>
  <c r="B2378" i="16"/>
  <c r="A2378" i="16"/>
  <c r="M2377" i="16"/>
  <c r="L2377" i="16"/>
  <c r="D2377" i="16"/>
  <c r="C2377" i="16"/>
  <c r="B2377" i="16"/>
  <c r="A2377" i="16"/>
  <c r="K2376" i="16"/>
  <c r="J2376" i="16"/>
  <c r="H2376" i="16"/>
  <c r="D2376" i="16"/>
  <c r="C2376" i="16"/>
  <c r="B2376" i="16"/>
  <c r="A2376" i="16"/>
  <c r="T2375" i="16"/>
  <c r="I2375" i="16"/>
  <c r="H2375" i="16"/>
  <c r="G2375" i="16"/>
  <c r="D2375" i="16"/>
  <c r="C2375" i="16"/>
  <c r="B2375" i="16"/>
  <c r="A2375" i="16"/>
  <c r="P2375" i="16" s="1"/>
  <c r="I2374" i="16"/>
  <c r="H2374" i="16"/>
  <c r="G2374" i="16"/>
  <c r="D2374" i="16"/>
  <c r="C2374" i="16"/>
  <c r="B2374" i="16"/>
  <c r="A2374" i="16"/>
  <c r="J2374" i="16" s="1"/>
  <c r="P2373" i="16"/>
  <c r="K2373" i="16"/>
  <c r="D2373" i="16"/>
  <c r="C2373" i="16"/>
  <c r="B2373" i="16"/>
  <c r="A2373" i="16"/>
  <c r="T2373" i="16" s="1"/>
  <c r="I2372" i="16"/>
  <c r="H2372" i="16"/>
  <c r="G2372" i="16"/>
  <c r="D2372" i="16"/>
  <c r="C2372" i="16"/>
  <c r="B2372" i="16"/>
  <c r="A2372" i="16"/>
  <c r="T2372" i="16" s="1"/>
  <c r="D2371" i="16"/>
  <c r="C2371" i="16"/>
  <c r="B2371" i="16"/>
  <c r="A2371" i="16"/>
  <c r="D2370" i="16"/>
  <c r="C2370" i="16"/>
  <c r="B2370" i="16"/>
  <c r="A2370" i="16"/>
  <c r="T2369" i="16"/>
  <c r="O2369" i="16"/>
  <c r="L2369" i="16"/>
  <c r="F2369" i="16"/>
  <c r="E2369" i="16"/>
  <c r="D2369" i="16"/>
  <c r="C2369" i="16"/>
  <c r="B2369" i="16"/>
  <c r="A2369" i="16"/>
  <c r="M2369" i="16" s="1"/>
  <c r="M2368" i="16"/>
  <c r="H2368" i="16"/>
  <c r="E2368" i="16"/>
  <c r="D2368" i="16"/>
  <c r="C2368" i="16"/>
  <c r="B2368" i="16"/>
  <c r="A2368" i="16"/>
  <c r="K2368" i="16" s="1"/>
  <c r="M2367" i="16"/>
  <c r="L2367" i="16"/>
  <c r="G2367" i="16"/>
  <c r="D2367" i="16"/>
  <c r="C2367" i="16"/>
  <c r="B2367" i="16"/>
  <c r="A2367" i="16"/>
  <c r="N2367" i="16" s="1"/>
  <c r="H2366" i="16"/>
  <c r="G2366" i="16"/>
  <c r="F2366" i="16"/>
  <c r="D2366" i="16"/>
  <c r="C2366" i="16"/>
  <c r="B2366" i="16"/>
  <c r="A2366" i="16"/>
  <c r="J2366" i="16" s="1"/>
  <c r="P2365" i="16"/>
  <c r="O2365" i="16"/>
  <c r="D2365" i="16"/>
  <c r="C2365" i="16"/>
  <c r="B2365" i="16"/>
  <c r="A2365" i="16"/>
  <c r="J2364" i="16"/>
  <c r="D2364" i="16"/>
  <c r="C2364" i="16"/>
  <c r="B2364" i="16"/>
  <c r="A2364" i="16"/>
  <c r="L2363" i="16"/>
  <c r="K2363" i="16"/>
  <c r="D2363" i="16"/>
  <c r="C2363" i="16"/>
  <c r="B2363" i="16"/>
  <c r="A2363" i="16"/>
  <c r="M2363" i="16" s="1"/>
  <c r="D2362" i="16"/>
  <c r="C2362" i="16"/>
  <c r="B2362" i="16"/>
  <c r="A2362" i="16"/>
  <c r="I2361" i="16"/>
  <c r="G2361" i="16"/>
  <c r="D2361" i="16"/>
  <c r="C2361" i="16"/>
  <c r="B2361" i="16"/>
  <c r="A2361" i="16"/>
  <c r="K2360" i="16"/>
  <c r="J2360" i="16"/>
  <c r="H2360" i="16"/>
  <c r="D2360" i="16"/>
  <c r="C2360" i="16"/>
  <c r="B2360" i="16"/>
  <c r="A2360" i="16"/>
  <c r="O2359" i="16"/>
  <c r="D2359" i="16"/>
  <c r="C2359" i="16"/>
  <c r="B2359" i="16"/>
  <c r="A2359" i="16"/>
  <c r="H2358" i="16"/>
  <c r="G2358" i="16"/>
  <c r="F2358" i="16"/>
  <c r="E2358" i="16"/>
  <c r="D2358" i="16"/>
  <c r="C2358" i="16"/>
  <c r="B2358" i="16"/>
  <c r="A2358" i="16"/>
  <c r="T2358" i="16" s="1"/>
  <c r="O2357" i="16"/>
  <c r="N2357" i="16"/>
  <c r="H2357" i="16"/>
  <c r="D2357" i="16"/>
  <c r="C2357" i="16"/>
  <c r="B2357" i="16"/>
  <c r="A2357" i="16"/>
  <c r="T2356" i="16"/>
  <c r="P2356" i="16"/>
  <c r="O2356" i="16"/>
  <c r="I2356" i="16"/>
  <c r="H2356" i="16"/>
  <c r="G2356" i="16"/>
  <c r="F2356" i="16"/>
  <c r="D2356" i="16"/>
  <c r="C2356" i="16"/>
  <c r="B2356" i="16"/>
  <c r="A2356" i="16"/>
  <c r="N2356" i="16" s="1"/>
  <c r="T2355" i="16"/>
  <c r="M2355" i="16"/>
  <c r="L2355" i="16"/>
  <c r="H2355" i="16"/>
  <c r="D2355" i="16"/>
  <c r="C2355" i="16"/>
  <c r="B2355" i="16"/>
  <c r="A2355" i="16"/>
  <c r="O2355" i="16" s="1"/>
  <c r="P2354" i="16"/>
  <c r="I2354" i="16"/>
  <c r="H2354" i="16"/>
  <c r="F2354" i="16"/>
  <c r="D2354" i="16"/>
  <c r="C2354" i="16"/>
  <c r="B2354" i="16"/>
  <c r="A2354" i="16"/>
  <c r="K2354" i="16" s="1"/>
  <c r="L2353" i="16"/>
  <c r="K2353" i="16"/>
  <c r="D2353" i="16"/>
  <c r="C2353" i="16"/>
  <c r="B2353" i="16"/>
  <c r="A2353" i="16"/>
  <c r="N2353" i="16" s="1"/>
  <c r="P2352" i="16"/>
  <c r="O2352" i="16"/>
  <c r="N2352" i="16"/>
  <c r="K2352" i="16"/>
  <c r="H2352" i="16"/>
  <c r="G2352" i="16"/>
  <c r="F2352" i="16"/>
  <c r="E2352" i="16"/>
  <c r="D2352" i="16"/>
  <c r="C2352" i="16"/>
  <c r="B2352" i="16"/>
  <c r="A2352" i="16"/>
  <c r="K2351" i="16"/>
  <c r="I2351" i="16"/>
  <c r="H2351" i="16"/>
  <c r="D2351" i="16"/>
  <c r="C2351" i="16"/>
  <c r="B2351" i="16"/>
  <c r="A2351" i="16"/>
  <c r="L2351" i="16" s="1"/>
  <c r="J2350" i="16"/>
  <c r="I2350" i="16"/>
  <c r="H2350" i="16"/>
  <c r="D2350" i="16"/>
  <c r="C2350" i="16"/>
  <c r="B2350" i="16"/>
  <c r="A2350" i="16"/>
  <c r="L2350" i="16" s="1"/>
  <c r="D2349" i="16"/>
  <c r="C2349" i="16"/>
  <c r="B2349" i="16"/>
  <c r="A2349" i="16"/>
  <c r="D2348" i="16"/>
  <c r="C2348" i="16"/>
  <c r="B2348" i="16"/>
  <c r="A2348" i="16"/>
  <c r="J2347" i="16"/>
  <c r="I2347" i="16"/>
  <c r="H2347" i="16"/>
  <c r="G2347" i="16"/>
  <c r="D2347" i="16"/>
  <c r="C2347" i="16"/>
  <c r="B2347" i="16"/>
  <c r="A2347" i="16"/>
  <c r="P2346" i="16"/>
  <c r="D2346" i="16"/>
  <c r="C2346" i="16"/>
  <c r="B2346" i="16"/>
  <c r="A2346" i="16"/>
  <c r="O2345" i="16"/>
  <c r="I2345" i="16"/>
  <c r="G2345" i="16"/>
  <c r="F2345" i="16"/>
  <c r="D2345" i="16"/>
  <c r="C2345" i="16"/>
  <c r="B2345" i="16"/>
  <c r="A2345" i="16"/>
  <c r="M2345" i="16" s="1"/>
  <c r="O2344" i="16"/>
  <c r="J2344" i="16"/>
  <c r="H2344" i="16"/>
  <c r="G2344" i="16"/>
  <c r="D2344" i="16"/>
  <c r="C2344" i="16"/>
  <c r="B2344" i="16"/>
  <c r="A2344" i="16"/>
  <c r="K2344" i="16" s="1"/>
  <c r="O2343" i="16"/>
  <c r="F2343" i="16"/>
  <c r="E2343" i="16"/>
  <c r="D2343" i="16"/>
  <c r="C2343" i="16"/>
  <c r="B2343" i="16"/>
  <c r="A2343" i="16"/>
  <c r="P2343" i="16" s="1"/>
  <c r="N2342" i="16"/>
  <c r="L2342" i="16"/>
  <c r="G2342" i="16"/>
  <c r="F2342" i="16"/>
  <c r="E2342" i="16"/>
  <c r="D2342" i="16"/>
  <c r="C2342" i="16"/>
  <c r="B2342" i="16"/>
  <c r="A2342" i="16"/>
  <c r="N2341" i="16"/>
  <c r="M2341" i="16"/>
  <c r="F2341" i="16"/>
  <c r="D2341" i="16"/>
  <c r="C2341" i="16"/>
  <c r="B2341" i="16"/>
  <c r="A2341" i="16"/>
  <c r="O2340" i="16"/>
  <c r="N2340" i="16"/>
  <c r="L2340" i="16"/>
  <c r="D2340" i="16"/>
  <c r="C2340" i="16"/>
  <c r="B2340" i="16"/>
  <c r="A2340" i="16"/>
  <c r="O2339" i="16"/>
  <c r="M2339" i="16"/>
  <c r="D2339" i="16"/>
  <c r="C2339" i="16"/>
  <c r="B2339" i="16"/>
  <c r="A2339" i="16"/>
  <c r="M2338" i="16"/>
  <c r="L2338" i="16"/>
  <c r="D2338" i="16"/>
  <c r="C2338" i="16"/>
  <c r="B2338" i="16"/>
  <c r="A2338" i="16"/>
  <c r="T2337" i="16"/>
  <c r="K2337" i="16"/>
  <c r="J2337" i="16"/>
  <c r="I2337" i="16"/>
  <c r="D2337" i="16"/>
  <c r="C2337" i="16"/>
  <c r="B2337" i="16"/>
  <c r="A2337" i="16"/>
  <c r="G2337" i="16" s="1"/>
  <c r="J2336" i="16"/>
  <c r="H2336" i="16"/>
  <c r="E2336" i="16"/>
  <c r="D2336" i="16"/>
  <c r="C2336" i="16"/>
  <c r="B2336" i="16"/>
  <c r="A2336" i="16"/>
  <c r="K2336" i="16" s="1"/>
  <c r="I2335" i="16"/>
  <c r="F2335" i="16"/>
  <c r="D2335" i="16"/>
  <c r="C2335" i="16"/>
  <c r="B2335" i="16"/>
  <c r="A2335" i="16"/>
  <c r="O2334" i="16"/>
  <c r="J2334" i="16"/>
  <c r="D2334" i="16"/>
  <c r="C2334" i="16"/>
  <c r="B2334" i="16"/>
  <c r="A2334" i="16"/>
  <c r="T2334" i="16" s="1"/>
  <c r="I2333" i="16"/>
  <c r="H2333" i="16"/>
  <c r="G2333" i="16"/>
  <c r="F2333" i="16"/>
  <c r="D2333" i="16"/>
  <c r="C2333" i="16"/>
  <c r="B2333" i="16"/>
  <c r="A2333" i="16"/>
  <c r="D2332" i="16"/>
  <c r="C2332" i="16"/>
  <c r="B2332" i="16"/>
  <c r="A2332" i="16"/>
  <c r="O2331" i="16"/>
  <c r="M2331" i="16"/>
  <c r="D2331" i="16"/>
  <c r="C2331" i="16"/>
  <c r="B2331" i="16"/>
  <c r="A2331" i="16"/>
  <c r="T2330" i="16"/>
  <c r="D2330" i="16"/>
  <c r="C2330" i="16"/>
  <c r="B2330" i="16"/>
  <c r="A2330" i="16"/>
  <c r="N2329" i="16"/>
  <c r="K2329" i="16"/>
  <c r="I2329" i="16"/>
  <c r="G2329" i="16"/>
  <c r="D2329" i="16"/>
  <c r="C2329" i="16"/>
  <c r="B2329" i="16"/>
  <c r="A2329" i="16"/>
  <c r="L2329" i="16" s="1"/>
  <c r="O2328" i="16"/>
  <c r="J2328" i="16"/>
  <c r="H2328" i="16"/>
  <c r="G2328" i="16"/>
  <c r="D2328" i="16"/>
  <c r="C2328" i="16"/>
  <c r="B2328" i="16"/>
  <c r="A2328" i="16"/>
  <c r="K2328" i="16" s="1"/>
  <c r="D2327" i="16"/>
  <c r="C2327" i="16"/>
  <c r="B2327" i="16"/>
  <c r="A2327" i="16"/>
  <c r="L2326" i="16"/>
  <c r="J2326" i="16"/>
  <c r="I2326" i="16"/>
  <c r="E2326" i="16"/>
  <c r="D2326" i="16"/>
  <c r="C2326" i="16"/>
  <c r="B2326" i="16"/>
  <c r="A2326" i="16"/>
  <c r="N2326" i="16" s="1"/>
  <c r="K2325" i="16"/>
  <c r="J2325" i="16"/>
  <c r="I2325" i="16"/>
  <c r="E2325" i="16"/>
  <c r="D2325" i="16"/>
  <c r="C2325" i="16"/>
  <c r="B2325" i="16"/>
  <c r="A2325" i="16"/>
  <c r="L2324" i="16"/>
  <c r="K2324" i="16"/>
  <c r="J2324" i="16"/>
  <c r="I2324" i="16"/>
  <c r="D2324" i="16"/>
  <c r="C2324" i="16"/>
  <c r="B2324" i="16"/>
  <c r="A2324" i="16"/>
  <c r="D2323" i="16"/>
  <c r="C2323" i="16"/>
  <c r="B2323" i="16"/>
  <c r="A2323" i="16"/>
  <c r="T2323" i="16" s="1"/>
  <c r="T2322" i="16"/>
  <c r="I2322" i="16"/>
  <c r="H2322" i="16"/>
  <c r="F2322" i="16"/>
  <c r="D2322" i="16"/>
  <c r="C2322" i="16"/>
  <c r="B2322" i="16"/>
  <c r="A2322" i="16"/>
  <c r="P2322" i="16" s="1"/>
  <c r="D2321" i="16"/>
  <c r="C2321" i="16"/>
  <c r="B2321" i="16"/>
  <c r="A2321" i="16"/>
  <c r="P2320" i="16"/>
  <c r="O2320" i="16"/>
  <c r="L2320" i="16"/>
  <c r="D2320" i="16"/>
  <c r="C2320" i="16"/>
  <c r="B2320" i="16"/>
  <c r="A2320" i="16"/>
  <c r="T2319" i="16"/>
  <c r="P2319" i="16"/>
  <c r="O2319" i="16"/>
  <c r="H2319" i="16"/>
  <c r="G2319" i="16"/>
  <c r="F2319" i="16"/>
  <c r="E2319" i="16"/>
  <c r="D2319" i="16"/>
  <c r="C2319" i="16"/>
  <c r="B2319" i="16"/>
  <c r="A2319" i="16"/>
  <c r="J2319" i="16" s="1"/>
  <c r="M2318" i="16"/>
  <c r="H2318" i="16"/>
  <c r="E2318" i="16"/>
  <c r="D2318" i="16"/>
  <c r="C2318" i="16"/>
  <c r="B2318" i="16"/>
  <c r="A2318" i="16"/>
  <c r="N2318" i="16" s="1"/>
  <c r="N2317" i="16"/>
  <c r="M2317" i="16"/>
  <c r="H2317" i="16"/>
  <c r="D2317" i="16"/>
  <c r="C2317" i="16"/>
  <c r="B2317" i="16"/>
  <c r="A2317" i="16"/>
  <c r="T2316" i="16"/>
  <c r="P2316" i="16"/>
  <c r="O2316" i="16"/>
  <c r="N2316" i="16"/>
  <c r="H2316" i="16"/>
  <c r="G2316" i="16"/>
  <c r="F2316" i="16"/>
  <c r="D2316" i="16"/>
  <c r="C2316" i="16"/>
  <c r="B2316" i="16"/>
  <c r="A2316" i="16"/>
  <c r="L2316" i="16" s="1"/>
  <c r="P2315" i="16"/>
  <c r="M2315" i="16"/>
  <c r="L2315" i="16"/>
  <c r="K2315" i="16"/>
  <c r="I2315" i="16"/>
  <c r="D2315" i="16"/>
  <c r="C2315" i="16"/>
  <c r="B2315" i="16"/>
  <c r="A2315" i="16"/>
  <c r="D2314" i="16"/>
  <c r="C2314" i="16"/>
  <c r="B2314" i="16"/>
  <c r="A2314" i="16"/>
  <c r="K2313" i="16"/>
  <c r="J2313" i="16"/>
  <c r="I2313" i="16"/>
  <c r="D2313" i="16"/>
  <c r="C2313" i="16"/>
  <c r="B2313" i="16"/>
  <c r="A2313" i="16"/>
  <c r="L2313" i="16" s="1"/>
  <c r="P2312" i="16"/>
  <c r="O2312" i="16"/>
  <c r="N2312" i="16"/>
  <c r="M2312" i="16"/>
  <c r="L2312" i="16"/>
  <c r="H2312" i="16"/>
  <c r="G2312" i="16"/>
  <c r="F2312" i="16"/>
  <c r="E2312" i="16"/>
  <c r="D2312" i="16"/>
  <c r="C2312" i="16"/>
  <c r="B2312" i="16"/>
  <c r="A2312" i="16"/>
  <c r="T2312" i="16" s="1"/>
  <c r="K2311" i="16"/>
  <c r="G2311" i="16"/>
  <c r="D2311" i="16"/>
  <c r="C2311" i="16"/>
  <c r="B2311" i="16"/>
  <c r="A2311" i="16"/>
  <c r="P2311" i="16" s="1"/>
  <c r="D2310" i="16"/>
  <c r="C2310" i="16"/>
  <c r="B2310" i="16"/>
  <c r="A2310" i="16"/>
  <c r="T2309" i="16"/>
  <c r="I2309" i="16"/>
  <c r="H2309" i="16"/>
  <c r="G2309" i="16"/>
  <c r="D2309" i="16"/>
  <c r="C2309" i="16"/>
  <c r="B2309" i="16"/>
  <c r="A2309" i="16"/>
  <c r="P2309" i="16" s="1"/>
  <c r="I2308" i="16"/>
  <c r="H2308" i="16"/>
  <c r="G2308" i="16"/>
  <c r="D2308" i="16"/>
  <c r="C2308" i="16"/>
  <c r="B2308" i="16"/>
  <c r="A2308" i="16"/>
  <c r="J2308" i="16" s="1"/>
  <c r="J2307" i="16"/>
  <c r="D2307" i="16"/>
  <c r="C2307" i="16"/>
  <c r="B2307" i="16"/>
  <c r="A2307" i="16"/>
  <c r="T2306" i="16"/>
  <c r="H2306" i="16"/>
  <c r="F2306" i="16"/>
  <c r="E2306" i="16"/>
  <c r="D2306" i="16"/>
  <c r="C2306" i="16"/>
  <c r="B2306" i="16"/>
  <c r="A2306" i="16"/>
  <c r="I2306" i="16" s="1"/>
  <c r="M2305" i="16"/>
  <c r="L2305" i="16"/>
  <c r="E2305" i="16"/>
  <c r="D2305" i="16"/>
  <c r="C2305" i="16"/>
  <c r="B2305" i="16"/>
  <c r="A2305" i="16"/>
  <c r="N2305" i="16" s="1"/>
  <c r="M2304" i="16"/>
  <c r="L2304" i="16"/>
  <c r="K2304" i="16"/>
  <c r="J2304" i="16"/>
  <c r="D2304" i="16"/>
  <c r="C2304" i="16"/>
  <c r="B2304" i="16"/>
  <c r="A2304" i="16"/>
  <c r="T2303" i="16"/>
  <c r="P2303" i="16"/>
  <c r="M2303" i="16"/>
  <c r="K2303" i="16"/>
  <c r="H2303" i="16"/>
  <c r="G2303" i="16"/>
  <c r="F2303" i="16"/>
  <c r="D2303" i="16"/>
  <c r="C2303" i="16"/>
  <c r="B2303" i="16"/>
  <c r="A2303" i="16"/>
  <c r="T2302" i="16"/>
  <c r="P2302" i="16"/>
  <c r="H2302" i="16"/>
  <c r="E2302" i="16"/>
  <c r="D2302" i="16"/>
  <c r="C2302" i="16"/>
  <c r="B2302" i="16"/>
  <c r="A2302" i="16"/>
  <c r="L2302" i="16" s="1"/>
  <c r="G2301" i="16"/>
  <c r="F2301" i="16"/>
  <c r="E2301" i="16"/>
  <c r="D2301" i="16"/>
  <c r="C2301" i="16"/>
  <c r="B2301" i="16"/>
  <c r="A2301" i="16"/>
  <c r="H2301" i="16" s="1"/>
  <c r="O2300" i="16"/>
  <c r="D2300" i="16"/>
  <c r="C2300" i="16"/>
  <c r="B2300" i="16"/>
  <c r="A2300" i="16"/>
  <c r="D2299" i="16"/>
  <c r="C2299" i="16"/>
  <c r="B2299" i="16"/>
  <c r="A2299" i="16"/>
  <c r="T2298" i="16"/>
  <c r="K2298" i="16"/>
  <c r="H2298" i="16"/>
  <c r="D2298" i="16"/>
  <c r="C2298" i="16"/>
  <c r="B2298" i="16"/>
  <c r="A2298" i="16"/>
  <c r="J2297" i="16"/>
  <c r="F2297" i="16"/>
  <c r="D2297" i="16"/>
  <c r="C2297" i="16"/>
  <c r="B2297" i="16"/>
  <c r="A2297" i="16"/>
  <c r="L2296" i="16"/>
  <c r="K2296" i="16"/>
  <c r="J2296" i="16"/>
  <c r="H2296" i="16"/>
  <c r="D2296" i="16"/>
  <c r="C2296" i="16"/>
  <c r="B2296" i="16"/>
  <c r="A2296" i="16"/>
  <c r="P2295" i="16"/>
  <c r="O2295" i="16"/>
  <c r="D2295" i="16"/>
  <c r="C2295" i="16"/>
  <c r="B2295" i="16"/>
  <c r="A2295" i="16"/>
  <c r="I2294" i="16"/>
  <c r="H2294" i="16"/>
  <c r="D2294" i="16"/>
  <c r="C2294" i="16"/>
  <c r="B2294" i="16"/>
  <c r="A2294" i="16"/>
  <c r="T2293" i="16"/>
  <c r="P2293" i="16"/>
  <c r="G2293" i="16"/>
  <c r="F2293" i="16"/>
  <c r="E2293" i="16"/>
  <c r="D2293" i="16"/>
  <c r="C2293" i="16"/>
  <c r="B2293" i="16"/>
  <c r="A2293" i="16"/>
  <c r="O2293" i="16" s="1"/>
  <c r="N2292" i="16"/>
  <c r="I2292" i="16"/>
  <c r="H2292" i="16"/>
  <c r="G2292" i="16"/>
  <c r="D2292" i="16"/>
  <c r="C2292" i="16"/>
  <c r="B2292" i="16"/>
  <c r="A2292" i="16"/>
  <c r="T2291" i="16"/>
  <c r="P2291" i="16"/>
  <c r="O2291" i="16"/>
  <c r="I2291" i="16"/>
  <c r="H2291" i="16"/>
  <c r="G2291" i="16"/>
  <c r="E2291" i="16"/>
  <c r="D2291" i="16"/>
  <c r="C2291" i="16"/>
  <c r="B2291" i="16"/>
  <c r="A2291" i="16"/>
  <c r="M2291" i="16" s="1"/>
  <c r="E2290" i="16"/>
  <c r="D2290" i="16"/>
  <c r="C2290" i="16"/>
  <c r="B2290" i="16"/>
  <c r="A2290" i="16"/>
  <c r="J2289" i="16"/>
  <c r="E2289" i="16"/>
  <c r="D2289" i="16"/>
  <c r="C2289" i="16"/>
  <c r="B2289" i="16"/>
  <c r="A2289" i="16"/>
  <c r="D2288" i="16"/>
  <c r="C2288" i="16"/>
  <c r="B2288" i="16"/>
  <c r="A2288" i="16"/>
  <c r="L2287" i="16"/>
  <c r="H2287" i="16"/>
  <c r="D2287" i="16"/>
  <c r="C2287" i="16"/>
  <c r="B2287" i="16"/>
  <c r="A2287" i="16"/>
  <c r="T2286" i="16"/>
  <c r="D2286" i="16"/>
  <c r="C2286" i="16"/>
  <c r="B2286" i="16"/>
  <c r="A2286" i="16"/>
  <c r="D2285" i="16"/>
  <c r="C2285" i="16"/>
  <c r="B2285" i="16"/>
  <c r="A2285" i="16"/>
  <c r="D2284" i="16"/>
  <c r="C2284" i="16"/>
  <c r="B2284" i="16"/>
  <c r="A2284" i="16"/>
  <c r="I2283" i="16"/>
  <c r="H2283" i="16"/>
  <c r="D2283" i="16"/>
  <c r="C2283" i="16"/>
  <c r="B2283" i="16"/>
  <c r="A2283" i="16"/>
  <c r="K2283" i="16" s="1"/>
  <c r="P2282" i="16"/>
  <c r="D2282" i="16"/>
  <c r="C2282" i="16"/>
  <c r="B2282" i="16"/>
  <c r="A2282" i="16"/>
  <c r="T2281" i="16"/>
  <c r="D2281" i="16"/>
  <c r="C2281" i="16"/>
  <c r="B2281" i="16"/>
  <c r="A2281" i="16"/>
  <c r="N2280" i="16"/>
  <c r="M2280" i="16"/>
  <c r="J2280" i="16"/>
  <c r="H2280" i="16"/>
  <c r="E2280" i="16"/>
  <c r="D2280" i="16"/>
  <c r="C2280" i="16"/>
  <c r="B2280" i="16"/>
  <c r="A2280" i="16"/>
  <c r="K2280" i="16" s="1"/>
  <c r="L2279" i="16"/>
  <c r="G2279" i="16"/>
  <c r="F2279" i="16"/>
  <c r="E2279" i="16"/>
  <c r="D2279" i="16"/>
  <c r="C2279" i="16"/>
  <c r="B2279" i="16"/>
  <c r="A2279" i="16"/>
  <c r="N2278" i="16"/>
  <c r="M2278" i="16"/>
  <c r="L2278" i="16"/>
  <c r="D2278" i="16"/>
  <c r="C2278" i="16"/>
  <c r="B2278" i="16"/>
  <c r="A2278" i="16"/>
  <c r="O2278" i="16" s="1"/>
  <c r="M2277" i="16"/>
  <c r="K2277" i="16"/>
  <c r="E2277" i="16"/>
  <c r="D2277" i="16"/>
  <c r="C2277" i="16"/>
  <c r="B2277" i="16"/>
  <c r="A2277" i="16"/>
  <c r="P2277" i="16" s="1"/>
  <c r="T2276" i="16"/>
  <c r="P2276" i="16"/>
  <c r="O2276" i="16"/>
  <c r="N2276" i="16"/>
  <c r="L2276" i="16"/>
  <c r="H2276" i="16"/>
  <c r="G2276" i="16"/>
  <c r="F2276" i="16"/>
  <c r="D2276" i="16"/>
  <c r="C2276" i="16"/>
  <c r="B2276" i="16"/>
  <c r="A2276" i="16"/>
  <c r="K2276" i="16" s="1"/>
  <c r="D2275" i="16"/>
  <c r="C2275" i="16"/>
  <c r="B2275" i="16"/>
  <c r="A2275" i="16"/>
  <c r="D2274" i="16"/>
  <c r="C2274" i="16"/>
  <c r="B2274" i="16"/>
  <c r="A2274" i="16"/>
  <c r="K2273" i="16"/>
  <c r="D2273" i="16"/>
  <c r="C2273" i="16"/>
  <c r="B2273" i="16"/>
  <c r="A2273" i="16"/>
  <c r="P2272" i="16"/>
  <c r="O2272" i="16"/>
  <c r="N2272" i="16"/>
  <c r="K2272" i="16"/>
  <c r="H2272" i="16"/>
  <c r="G2272" i="16"/>
  <c r="F2272" i="16"/>
  <c r="E2272" i="16"/>
  <c r="D2272" i="16"/>
  <c r="C2272" i="16"/>
  <c r="B2272" i="16"/>
  <c r="A2272" i="16"/>
  <c r="D2271" i="16"/>
  <c r="C2271" i="16"/>
  <c r="B2271" i="16"/>
  <c r="A2271" i="16"/>
  <c r="H2270" i="16"/>
  <c r="G2270" i="16"/>
  <c r="F2270" i="16"/>
  <c r="D2270" i="16"/>
  <c r="C2270" i="16"/>
  <c r="B2270" i="16"/>
  <c r="A2270" i="16"/>
  <c r="I2270" i="16" s="1"/>
  <c r="D2269" i="16"/>
  <c r="C2269" i="16"/>
  <c r="B2269" i="16"/>
  <c r="A2269" i="16"/>
  <c r="D2268" i="16"/>
  <c r="C2268" i="16"/>
  <c r="B2268" i="16"/>
  <c r="A2268" i="16"/>
  <c r="T2267" i="16"/>
  <c r="P2267" i="16"/>
  <c r="I2267" i="16"/>
  <c r="H2267" i="16"/>
  <c r="G2267" i="16"/>
  <c r="E2267" i="16"/>
  <c r="D2267" i="16"/>
  <c r="C2267" i="16"/>
  <c r="B2267" i="16"/>
  <c r="A2267" i="16"/>
  <c r="O2267" i="16" s="1"/>
  <c r="M2266" i="16"/>
  <c r="L2266" i="16"/>
  <c r="H2266" i="16"/>
  <c r="D2266" i="16"/>
  <c r="C2266" i="16"/>
  <c r="B2266" i="16"/>
  <c r="A2266" i="16"/>
  <c r="N2266" i="16" s="1"/>
  <c r="L2265" i="16"/>
  <c r="K2265" i="16"/>
  <c r="F2265" i="16"/>
  <c r="E2265" i="16"/>
  <c r="D2265" i="16"/>
  <c r="C2265" i="16"/>
  <c r="B2265" i="16"/>
  <c r="A2265" i="16"/>
  <c r="N2264" i="16"/>
  <c r="M2264" i="16"/>
  <c r="J2264" i="16"/>
  <c r="H2264" i="16"/>
  <c r="D2264" i="16"/>
  <c r="C2264" i="16"/>
  <c r="B2264" i="16"/>
  <c r="A2264" i="16"/>
  <c r="N2263" i="16"/>
  <c r="L2263" i="16"/>
  <c r="D2263" i="16"/>
  <c r="C2263" i="16"/>
  <c r="B2263" i="16"/>
  <c r="A2263" i="16"/>
  <c r="L2262" i="16"/>
  <c r="J2262" i="16"/>
  <c r="D2262" i="16"/>
  <c r="C2262" i="16"/>
  <c r="B2262" i="16"/>
  <c r="A2262" i="16"/>
  <c r="D2261" i="16"/>
  <c r="C2261" i="16"/>
  <c r="B2261" i="16"/>
  <c r="A2261" i="16"/>
  <c r="D2260" i="16"/>
  <c r="C2260" i="16"/>
  <c r="B2260" i="16"/>
  <c r="A2260" i="16"/>
  <c r="N2260" i="16" s="1"/>
  <c r="T2259" i="16"/>
  <c r="L2259" i="16"/>
  <c r="D2259" i="16"/>
  <c r="C2259" i="16"/>
  <c r="B2259" i="16"/>
  <c r="A2259" i="16"/>
  <c r="H2258" i="16"/>
  <c r="F2258" i="16"/>
  <c r="D2258" i="16"/>
  <c r="C2258" i="16"/>
  <c r="B2258" i="16"/>
  <c r="A2258" i="16"/>
  <c r="J2258" i="16" s="1"/>
  <c r="J2257" i="16"/>
  <c r="I2257" i="16"/>
  <c r="D2257" i="16"/>
  <c r="C2257" i="16"/>
  <c r="B2257" i="16"/>
  <c r="A2257" i="16"/>
  <c r="O2257" i="16" s="1"/>
  <c r="P2256" i="16"/>
  <c r="O2256" i="16"/>
  <c r="N2256" i="16"/>
  <c r="M2256" i="16"/>
  <c r="L2256" i="16"/>
  <c r="H2256" i="16"/>
  <c r="G2256" i="16"/>
  <c r="F2256" i="16"/>
  <c r="E2256" i="16"/>
  <c r="D2256" i="16"/>
  <c r="C2256" i="16"/>
  <c r="B2256" i="16"/>
  <c r="A2256" i="16"/>
  <c r="T2256" i="16" s="1"/>
  <c r="P2255" i="16"/>
  <c r="D2255" i="16"/>
  <c r="C2255" i="16"/>
  <c r="B2255" i="16"/>
  <c r="A2255" i="16"/>
  <c r="H2254" i="16"/>
  <c r="E2254" i="16"/>
  <c r="D2254" i="16"/>
  <c r="C2254" i="16"/>
  <c r="B2254" i="16"/>
  <c r="A2254" i="16"/>
  <c r="N2254" i="16" s="1"/>
  <c r="T2253" i="16"/>
  <c r="P2253" i="16"/>
  <c r="O2253" i="16"/>
  <c r="N2253" i="16"/>
  <c r="G2253" i="16"/>
  <c r="F2253" i="16"/>
  <c r="E2253" i="16"/>
  <c r="D2253" i="16"/>
  <c r="C2253" i="16"/>
  <c r="B2253" i="16"/>
  <c r="A2253" i="16"/>
  <c r="L2253" i="16" s="1"/>
  <c r="D2252" i="16"/>
  <c r="C2252" i="16"/>
  <c r="B2252" i="16"/>
  <c r="A2252" i="16"/>
  <c r="D2251" i="16"/>
  <c r="C2251" i="16"/>
  <c r="B2251" i="16"/>
  <c r="A2251" i="16"/>
  <c r="D2250" i="16"/>
  <c r="C2250" i="16"/>
  <c r="B2250" i="16"/>
  <c r="A2250" i="16"/>
  <c r="L2249" i="16"/>
  <c r="I2249" i="16"/>
  <c r="D2249" i="16"/>
  <c r="C2249" i="16"/>
  <c r="B2249" i="16"/>
  <c r="A2249" i="16"/>
  <c r="P2248" i="16"/>
  <c r="O2248" i="16"/>
  <c r="N2248" i="16"/>
  <c r="M2248" i="16"/>
  <c r="L2248" i="16"/>
  <c r="H2248" i="16"/>
  <c r="G2248" i="16"/>
  <c r="F2248" i="16"/>
  <c r="E2248" i="16"/>
  <c r="D2248" i="16"/>
  <c r="C2248" i="16"/>
  <c r="B2248" i="16"/>
  <c r="A2248" i="16"/>
  <c r="T2248" i="16" s="1"/>
  <c r="L2247" i="16"/>
  <c r="K2247" i="16"/>
  <c r="I2247" i="16"/>
  <c r="H2247" i="16"/>
  <c r="D2247" i="16"/>
  <c r="C2247" i="16"/>
  <c r="B2247" i="16"/>
  <c r="A2247" i="16"/>
  <c r="T2246" i="16"/>
  <c r="P2246" i="16"/>
  <c r="L2246" i="16"/>
  <c r="D2246" i="16"/>
  <c r="C2246" i="16"/>
  <c r="B2246" i="16"/>
  <c r="A2246" i="16"/>
  <c r="J2245" i="16"/>
  <c r="I2245" i="16"/>
  <c r="H2245" i="16"/>
  <c r="G2245" i="16"/>
  <c r="D2245" i="16"/>
  <c r="C2245" i="16"/>
  <c r="B2245" i="16"/>
  <c r="A2245" i="16"/>
  <c r="J2244" i="16"/>
  <c r="I2244" i="16"/>
  <c r="D2244" i="16"/>
  <c r="C2244" i="16"/>
  <c r="B2244" i="16"/>
  <c r="A2244" i="16"/>
  <c r="P2243" i="16"/>
  <c r="H2243" i="16"/>
  <c r="G2243" i="16"/>
  <c r="E2243" i="16"/>
  <c r="D2243" i="16"/>
  <c r="C2243" i="16"/>
  <c r="B2243" i="16"/>
  <c r="A2243" i="16"/>
  <c r="I2243" i="16" s="1"/>
  <c r="M2242" i="16"/>
  <c r="I2242" i="16"/>
  <c r="D2242" i="16"/>
  <c r="C2242" i="16"/>
  <c r="B2242" i="16"/>
  <c r="A2242" i="16"/>
  <c r="N2242" i="16" s="1"/>
  <c r="T2241" i="16"/>
  <c r="O2241" i="16"/>
  <c r="N2241" i="16"/>
  <c r="I2241" i="16"/>
  <c r="G2241" i="16"/>
  <c r="F2241" i="16"/>
  <c r="E2241" i="16"/>
  <c r="D2241" i="16"/>
  <c r="C2241" i="16"/>
  <c r="B2241" i="16"/>
  <c r="A2241" i="16"/>
  <c r="M2241" i="16" s="1"/>
  <c r="P2240" i="16"/>
  <c r="O2240" i="16"/>
  <c r="N2240" i="16"/>
  <c r="M2240" i="16"/>
  <c r="L2240" i="16"/>
  <c r="K2240" i="16"/>
  <c r="H2240" i="16"/>
  <c r="G2240" i="16"/>
  <c r="F2240" i="16"/>
  <c r="E2240" i="16"/>
  <c r="D2240" i="16"/>
  <c r="C2240" i="16"/>
  <c r="B2240" i="16"/>
  <c r="A2240" i="16"/>
  <c r="T2240" i="16" s="1"/>
  <c r="P2239" i="16"/>
  <c r="F2239" i="16"/>
  <c r="E2239" i="16"/>
  <c r="D2239" i="16"/>
  <c r="C2239" i="16"/>
  <c r="B2239" i="16"/>
  <c r="A2239" i="16"/>
  <c r="N2239" i="16" s="1"/>
  <c r="J2238" i="16"/>
  <c r="H2238" i="16"/>
  <c r="E2238" i="16"/>
  <c r="D2238" i="16"/>
  <c r="C2238" i="16"/>
  <c r="B2238" i="16"/>
  <c r="A2238" i="16"/>
  <c r="L2238" i="16" s="1"/>
  <c r="N2237" i="16"/>
  <c r="M2237" i="16"/>
  <c r="K2237" i="16"/>
  <c r="J2237" i="16"/>
  <c r="D2237" i="16"/>
  <c r="C2237" i="16"/>
  <c r="B2237" i="16"/>
  <c r="A2237" i="16"/>
  <c r="O2236" i="16"/>
  <c r="L2236" i="16"/>
  <c r="D2236" i="16"/>
  <c r="C2236" i="16"/>
  <c r="B2236" i="16"/>
  <c r="A2236" i="16"/>
  <c r="K2235" i="16"/>
  <c r="D2235" i="16"/>
  <c r="C2235" i="16"/>
  <c r="B2235" i="16"/>
  <c r="A2235" i="16"/>
  <c r="K2234" i="16"/>
  <c r="J2234" i="16"/>
  <c r="D2234" i="16"/>
  <c r="C2234" i="16"/>
  <c r="B2234" i="16"/>
  <c r="A2234" i="16"/>
  <c r="D2233" i="16"/>
  <c r="C2233" i="16"/>
  <c r="B2233" i="16"/>
  <c r="A2233" i="16"/>
  <c r="P2232" i="16"/>
  <c r="O2232" i="16"/>
  <c r="N2232" i="16"/>
  <c r="M2232" i="16"/>
  <c r="L2232" i="16"/>
  <c r="K2232" i="16"/>
  <c r="H2232" i="16"/>
  <c r="G2232" i="16"/>
  <c r="F2232" i="16"/>
  <c r="E2232" i="16"/>
  <c r="D2232" i="16"/>
  <c r="C2232" i="16"/>
  <c r="B2232" i="16"/>
  <c r="A2232" i="16"/>
  <c r="T2232" i="16" s="1"/>
  <c r="P2231" i="16"/>
  <c r="N2231" i="16"/>
  <c r="E2231" i="16"/>
  <c r="D2231" i="16"/>
  <c r="C2231" i="16"/>
  <c r="B2231" i="16"/>
  <c r="A2231" i="16"/>
  <c r="D2230" i="16"/>
  <c r="C2230" i="16"/>
  <c r="B2230" i="16"/>
  <c r="A2230" i="16"/>
  <c r="H2229" i="16"/>
  <c r="G2229" i="16"/>
  <c r="F2229" i="16"/>
  <c r="D2229" i="16"/>
  <c r="C2229" i="16"/>
  <c r="B2229" i="16"/>
  <c r="A2229" i="16"/>
  <c r="I2229" i="16" s="1"/>
  <c r="T2228" i="16"/>
  <c r="P2228" i="16"/>
  <c r="H2228" i="16"/>
  <c r="D2228" i="16"/>
  <c r="C2228" i="16"/>
  <c r="B2228" i="16"/>
  <c r="A2228" i="16"/>
  <c r="I2227" i="16"/>
  <c r="E2227" i="16"/>
  <c r="D2227" i="16"/>
  <c r="C2227" i="16"/>
  <c r="B2227" i="16"/>
  <c r="A2227" i="16"/>
  <c r="P2227" i="16" s="1"/>
  <c r="T2226" i="16"/>
  <c r="P2226" i="16"/>
  <c r="N2226" i="16"/>
  <c r="M2226" i="16"/>
  <c r="L2226" i="16"/>
  <c r="I2226" i="16"/>
  <c r="H2226" i="16"/>
  <c r="F2226" i="16"/>
  <c r="E2226" i="16"/>
  <c r="D2226" i="16"/>
  <c r="C2226" i="16"/>
  <c r="B2226" i="16"/>
  <c r="A2226" i="16"/>
  <c r="K2226" i="16" s="1"/>
  <c r="D2225" i="16"/>
  <c r="C2225" i="16"/>
  <c r="B2225" i="16"/>
  <c r="A2225" i="16"/>
  <c r="J2224" i="16"/>
  <c r="H2224" i="16"/>
  <c r="G2224" i="16"/>
  <c r="F2224" i="16"/>
  <c r="D2224" i="16"/>
  <c r="C2224" i="16"/>
  <c r="B2224" i="16"/>
  <c r="A2224" i="16"/>
  <c r="D2223" i="16"/>
  <c r="C2223" i="16"/>
  <c r="B2223" i="16"/>
  <c r="A2223" i="16"/>
  <c r="L2222" i="16"/>
  <c r="J2222" i="16"/>
  <c r="I2222" i="16"/>
  <c r="H2222" i="16"/>
  <c r="D2222" i="16"/>
  <c r="C2222" i="16"/>
  <c r="B2222" i="16"/>
  <c r="A2222" i="16"/>
  <c r="T2222" i="16" s="1"/>
  <c r="K2221" i="16"/>
  <c r="J2221" i="16"/>
  <c r="I2221" i="16"/>
  <c r="H2221" i="16"/>
  <c r="D2221" i="16"/>
  <c r="C2221" i="16"/>
  <c r="B2221" i="16"/>
  <c r="A2221" i="16"/>
  <c r="D2220" i="16"/>
  <c r="C2220" i="16"/>
  <c r="B2220" i="16"/>
  <c r="A2220" i="16"/>
  <c r="D2219" i="16"/>
  <c r="C2219" i="16"/>
  <c r="B2219" i="16"/>
  <c r="A2219" i="16"/>
  <c r="I2218" i="16"/>
  <c r="H2218" i="16"/>
  <c r="F2218" i="16"/>
  <c r="E2218" i="16"/>
  <c r="D2218" i="16"/>
  <c r="C2218" i="16"/>
  <c r="B2218" i="16"/>
  <c r="A2218" i="16"/>
  <c r="T2217" i="16"/>
  <c r="N2217" i="16"/>
  <c r="M2217" i="16"/>
  <c r="I2217" i="16"/>
  <c r="G2217" i="16"/>
  <c r="D2217" i="16"/>
  <c r="C2217" i="16"/>
  <c r="B2217" i="16"/>
  <c r="A2217" i="16"/>
  <c r="L2216" i="16"/>
  <c r="K2216" i="16"/>
  <c r="J2216" i="16"/>
  <c r="H2216" i="16"/>
  <c r="D2216" i="16"/>
  <c r="C2216" i="16"/>
  <c r="B2216" i="16"/>
  <c r="A2216" i="16"/>
  <c r="P2215" i="16"/>
  <c r="O2215" i="16"/>
  <c r="N2215" i="16"/>
  <c r="L2215" i="16"/>
  <c r="G2215" i="16"/>
  <c r="F2215" i="16"/>
  <c r="E2215" i="16"/>
  <c r="D2215" i="16"/>
  <c r="C2215" i="16"/>
  <c r="B2215" i="16"/>
  <c r="A2215" i="16"/>
  <c r="J2215" i="16" s="1"/>
  <c r="N2214" i="16"/>
  <c r="M2214" i="16"/>
  <c r="D2214" i="16"/>
  <c r="C2214" i="16"/>
  <c r="B2214" i="16"/>
  <c r="A2214" i="16"/>
  <c r="P2213" i="16"/>
  <c r="O2213" i="16"/>
  <c r="N2213" i="16"/>
  <c r="K2213" i="16"/>
  <c r="G2213" i="16"/>
  <c r="F2213" i="16"/>
  <c r="E2213" i="16"/>
  <c r="D2213" i="16"/>
  <c r="C2213" i="16"/>
  <c r="B2213" i="16"/>
  <c r="A2213" i="16"/>
  <c r="L2213" i="16" s="1"/>
  <c r="P2212" i="16"/>
  <c r="O2212" i="16"/>
  <c r="K2212" i="16"/>
  <c r="I2212" i="16"/>
  <c r="F2212" i="16"/>
  <c r="D2212" i="16"/>
  <c r="C2212" i="16"/>
  <c r="B2212" i="16"/>
  <c r="A2212" i="16"/>
  <c r="L2212" i="16" s="1"/>
  <c r="E2211" i="16"/>
  <c r="D2211" i="16"/>
  <c r="C2211" i="16"/>
  <c r="B2211" i="16"/>
  <c r="A2211" i="16"/>
  <c r="D2210" i="16"/>
  <c r="C2210" i="16"/>
  <c r="B2210" i="16"/>
  <c r="A2210" i="16"/>
  <c r="T2209" i="16"/>
  <c r="J2209" i="16"/>
  <c r="D2209" i="16"/>
  <c r="C2209" i="16"/>
  <c r="B2209" i="16"/>
  <c r="A2209" i="16"/>
  <c r="P2208" i="16"/>
  <c r="M2208" i="16"/>
  <c r="L2208" i="16"/>
  <c r="D2208" i="16"/>
  <c r="C2208" i="16"/>
  <c r="B2208" i="16"/>
  <c r="A2208" i="16"/>
  <c r="T2207" i="16"/>
  <c r="P2207" i="16"/>
  <c r="I2207" i="16"/>
  <c r="H2207" i="16"/>
  <c r="G2207" i="16"/>
  <c r="F2207" i="16"/>
  <c r="D2207" i="16"/>
  <c r="C2207" i="16"/>
  <c r="B2207" i="16"/>
  <c r="A2207" i="16"/>
  <c r="O2207" i="16" s="1"/>
  <c r="D2206" i="16"/>
  <c r="C2206" i="16"/>
  <c r="B2206" i="16"/>
  <c r="A2206" i="16"/>
  <c r="P2205" i="16"/>
  <c r="O2205" i="16"/>
  <c r="G2205" i="16"/>
  <c r="D2205" i="16"/>
  <c r="C2205" i="16"/>
  <c r="B2205" i="16"/>
  <c r="A2205" i="16"/>
  <c r="T2205" i="16" s="1"/>
  <c r="D2204" i="16"/>
  <c r="C2204" i="16"/>
  <c r="B2204" i="16"/>
  <c r="A2204" i="16"/>
  <c r="T2203" i="16"/>
  <c r="P2203" i="16"/>
  <c r="O2203" i="16"/>
  <c r="I2203" i="16"/>
  <c r="H2203" i="16"/>
  <c r="G2203" i="16"/>
  <c r="E2203" i="16"/>
  <c r="D2203" i="16"/>
  <c r="C2203" i="16"/>
  <c r="B2203" i="16"/>
  <c r="A2203" i="16"/>
  <c r="M2203" i="16" s="1"/>
  <c r="T2202" i="16"/>
  <c r="N2202" i="16"/>
  <c r="M2202" i="16"/>
  <c r="D2202" i="16"/>
  <c r="C2202" i="16"/>
  <c r="B2202" i="16"/>
  <c r="A2202" i="16"/>
  <c r="P2202" i="16" s="1"/>
  <c r="T2201" i="16"/>
  <c r="O2201" i="16"/>
  <c r="I2201" i="16"/>
  <c r="G2201" i="16"/>
  <c r="F2201" i="16"/>
  <c r="E2201" i="16"/>
  <c r="D2201" i="16"/>
  <c r="C2201" i="16"/>
  <c r="B2201" i="16"/>
  <c r="A2201" i="16"/>
  <c r="P2200" i="16"/>
  <c r="D2200" i="16"/>
  <c r="C2200" i="16"/>
  <c r="B2200" i="16"/>
  <c r="A2200" i="16"/>
  <c r="M2199" i="16"/>
  <c r="D2199" i="16"/>
  <c r="C2199" i="16"/>
  <c r="B2199" i="16"/>
  <c r="A2199" i="16"/>
  <c r="D2198" i="16"/>
  <c r="C2198" i="16"/>
  <c r="B2198" i="16"/>
  <c r="A2198" i="16"/>
  <c r="J2197" i="16"/>
  <c r="D2197" i="16"/>
  <c r="C2197" i="16"/>
  <c r="B2197" i="16"/>
  <c r="A2197" i="16"/>
  <c r="I2196" i="16"/>
  <c r="D2196" i="16"/>
  <c r="C2196" i="16"/>
  <c r="B2196" i="16"/>
  <c r="A2196" i="16"/>
  <c r="D2195" i="16"/>
  <c r="C2195" i="16"/>
  <c r="B2195" i="16"/>
  <c r="A2195" i="16"/>
  <c r="T2194" i="16"/>
  <c r="P2194" i="16"/>
  <c r="D2194" i="16"/>
  <c r="C2194" i="16"/>
  <c r="B2194" i="16"/>
  <c r="A2194" i="16"/>
  <c r="I2193" i="16"/>
  <c r="D2193" i="16"/>
  <c r="C2193" i="16"/>
  <c r="B2193" i="16"/>
  <c r="A2193" i="16"/>
  <c r="P2192" i="16"/>
  <c r="O2192" i="16"/>
  <c r="N2192" i="16"/>
  <c r="M2192" i="16"/>
  <c r="L2192" i="16"/>
  <c r="H2192" i="16"/>
  <c r="G2192" i="16"/>
  <c r="F2192" i="16"/>
  <c r="E2192" i="16"/>
  <c r="D2192" i="16"/>
  <c r="C2192" i="16"/>
  <c r="B2192" i="16"/>
  <c r="A2192" i="16"/>
  <c r="T2192" i="16" s="1"/>
  <c r="D2191" i="16"/>
  <c r="C2191" i="16"/>
  <c r="B2191" i="16"/>
  <c r="A2191" i="16"/>
  <c r="O2190" i="16"/>
  <c r="J2190" i="16"/>
  <c r="H2190" i="16"/>
  <c r="G2190" i="16"/>
  <c r="D2190" i="16"/>
  <c r="C2190" i="16"/>
  <c r="B2190" i="16"/>
  <c r="A2190" i="16"/>
  <c r="M2190" i="16" s="1"/>
  <c r="P2189" i="16"/>
  <c r="D2189" i="16"/>
  <c r="C2189" i="16"/>
  <c r="B2189" i="16"/>
  <c r="A2189" i="16"/>
  <c r="T2188" i="16"/>
  <c r="P2188" i="16"/>
  <c r="D2188" i="16"/>
  <c r="C2188" i="16"/>
  <c r="B2188" i="16"/>
  <c r="A2188" i="16"/>
  <c r="O2187" i="16"/>
  <c r="K2187" i="16"/>
  <c r="I2187" i="16"/>
  <c r="H2187" i="16"/>
  <c r="D2187" i="16"/>
  <c r="C2187" i="16"/>
  <c r="B2187" i="16"/>
  <c r="A2187" i="16"/>
  <c r="L2187" i="16" s="1"/>
  <c r="D2186" i="16"/>
  <c r="C2186" i="16"/>
  <c r="B2186" i="16"/>
  <c r="A2186" i="16"/>
  <c r="L2185" i="16"/>
  <c r="K2185" i="16"/>
  <c r="J2185" i="16"/>
  <c r="I2185" i="16"/>
  <c r="D2185" i="16"/>
  <c r="C2185" i="16"/>
  <c r="B2185" i="16"/>
  <c r="A2185" i="16"/>
  <c r="P2184" i="16"/>
  <c r="O2184" i="16"/>
  <c r="N2184" i="16"/>
  <c r="M2184" i="16"/>
  <c r="L2184" i="16"/>
  <c r="K2184" i="16"/>
  <c r="H2184" i="16"/>
  <c r="G2184" i="16"/>
  <c r="F2184" i="16"/>
  <c r="E2184" i="16"/>
  <c r="D2184" i="16"/>
  <c r="C2184" i="16"/>
  <c r="B2184" i="16"/>
  <c r="A2184" i="16"/>
  <c r="T2184" i="16" s="1"/>
  <c r="K2183" i="16"/>
  <c r="I2183" i="16"/>
  <c r="H2183" i="16"/>
  <c r="G2183" i="16"/>
  <c r="D2183" i="16"/>
  <c r="C2183" i="16"/>
  <c r="B2183" i="16"/>
  <c r="A2183" i="16"/>
  <c r="D2182" i="16"/>
  <c r="C2182" i="16"/>
  <c r="B2182" i="16"/>
  <c r="A2182" i="16"/>
  <c r="T2181" i="16"/>
  <c r="G2181" i="16"/>
  <c r="D2181" i="16"/>
  <c r="C2181" i="16"/>
  <c r="B2181" i="16"/>
  <c r="A2181" i="16"/>
  <c r="D2180" i="16"/>
  <c r="C2180" i="16"/>
  <c r="B2180" i="16"/>
  <c r="A2180" i="16"/>
  <c r="J2179" i="16"/>
  <c r="D2179" i="16"/>
  <c r="C2179" i="16"/>
  <c r="B2179" i="16"/>
  <c r="A2179" i="16"/>
  <c r="T2179" i="16" s="1"/>
  <c r="T2178" i="16"/>
  <c r="P2178" i="16"/>
  <c r="N2178" i="16"/>
  <c r="M2178" i="16"/>
  <c r="D2178" i="16"/>
  <c r="C2178" i="16"/>
  <c r="B2178" i="16"/>
  <c r="A2178" i="16"/>
  <c r="D2177" i="16"/>
  <c r="C2177" i="16"/>
  <c r="B2177" i="16"/>
  <c r="A2177" i="16"/>
  <c r="P2176" i="16"/>
  <c r="O2176" i="16"/>
  <c r="H2176" i="16"/>
  <c r="F2176" i="16"/>
  <c r="E2176" i="16"/>
  <c r="D2176" i="16"/>
  <c r="C2176" i="16"/>
  <c r="B2176" i="16"/>
  <c r="A2176" i="16"/>
  <c r="G2176" i="16" s="1"/>
  <c r="T2175" i="16"/>
  <c r="P2175" i="16"/>
  <c r="O2175" i="16"/>
  <c r="N2175" i="16"/>
  <c r="M2175" i="16"/>
  <c r="H2175" i="16"/>
  <c r="G2175" i="16"/>
  <c r="F2175" i="16"/>
  <c r="E2175" i="16"/>
  <c r="D2175" i="16"/>
  <c r="C2175" i="16"/>
  <c r="B2175" i="16"/>
  <c r="A2175" i="16"/>
  <c r="J2175" i="16" s="1"/>
  <c r="T2174" i="16"/>
  <c r="P2174" i="16"/>
  <c r="O2174" i="16"/>
  <c r="N2174" i="16"/>
  <c r="M2174" i="16"/>
  <c r="L2174" i="16"/>
  <c r="H2174" i="16"/>
  <c r="G2174" i="16"/>
  <c r="F2174" i="16"/>
  <c r="E2174" i="16"/>
  <c r="D2174" i="16"/>
  <c r="C2174" i="16"/>
  <c r="B2174" i="16"/>
  <c r="A2174" i="16"/>
  <c r="K2174" i="16" s="1"/>
  <c r="P2173" i="16"/>
  <c r="O2173" i="16"/>
  <c r="K2173" i="16"/>
  <c r="J2173" i="16"/>
  <c r="F2173" i="16"/>
  <c r="E2173" i="16"/>
  <c r="D2173" i="16"/>
  <c r="C2173" i="16"/>
  <c r="B2173" i="16"/>
  <c r="A2173" i="16"/>
  <c r="L2172" i="16"/>
  <c r="D2172" i="16"/>
  <c r="C2172" i="16"/>
  <c r="B2172" i="16"/>
  <c r="A2172" i="16"/>
  <c r="D2171" i="16"/>
  <c r="C2171" i="16"/>
  <c r="B2171" i="16"/>
  <c r="A2171" i="16"/>
  <c r="D2170" i="16"/>
  <c r="C2170" i="16"/>
  <c r="B2170" i="16"/>
  <c r="A2170" i="16"/>
  <c r="J2169" i="16"/>
  <c r="I2169" i="16"/>
  <c r="D2169" i="16"/>
  <c r="C2169" i="16"/>
  <c r="B2169" i="16"/>
  <c r="A2169" i="16"/>
  <c r="K2168" i="16"/>
  <c r="D2168" i="16"/>
  <c r="C2168" i="16"/>
  <c r="B2168" i="16"/>
  <c r="A2168" i="16"/>
  <c r="D2167" i="16"/>
  <c r="C2167" i="16"/>
  <c r="B2167" i="16"/>
  <c r="A2167" i="16"/>
  <c r="H2166" i="16"/>
  <c r="G2166" i="16"/>
  <c r="D2166" i="16"/>
  <c r="C2166" i="16"/>
  <c r="B2166" i="16"/>
  <c r="A2166" i="16"/>
  <c r="T2165" i="16"/>
  <c r="P2165" i="16"/>
  <c r="O2165" i="16"/>
  <c r="D2165" i="16"/>
  <c r="C2165" i="16"/>
  <c r="B2165" i="16"/>
  <c r="A2165" i="16"/>
  <c r="T2164" i="16"/>
  <c r="P2164" i="16"/>
  <c r="O2164" i="16"/>
  <c r="I2164" i="16"/>
  <c r="H2164" i="16"/>
  <c r="G2164" i="16"/>
  <c r="F2164" i="16"/>
  <c r="D2164" i="16"/>
  <c r="C2164" i="16"/>
  <c r="B2164" i="16"/>
  <c r="A2164" i="16"/>
  <c r="N2164" i="16" s="1"/>
  <c r="T2163" i="16"/>
  <c r="M2163" i="16"/>
  <c r="L2163" i="16"/>
  <c r="H2163" i="16"/>
  <c r="D2163" i="16"/>
  <c r="C2163" i="16"/>
  <c r="B2163" i="16"/>
  <c r="A2163" i="16"/>
  <c r="O2163" i="16" s="1"/>
  <c r="P2162" i="16"/>
  <c r="K2162" i="16"/>
  <c r="I2162" i="16"/>
  <c r="H2162" i="16"/>
  <c r="F2162" i="16"/>
  <c r="D2162" i="16"/>
  <c r="C2162" i="16"/>
  <c r="B2162" i="16"/>
  <c r="A2162" i="16"/>
  <c r="L2161" i="16"/>
  <c r="K2161" i="16"/>
  <c r="J2161" i="16"/>
  <c r="D2161" i="16"/>
  <c r="C2161" i="16"/>
  <c r="B2161" i="16"/>
  <c r="A2161" i="16"/>
  <c r="E2161" i="16" s="1"/>
  <c r="P2160" i="16"/>
  <c r="O2160" i="16"/>
  <c r="N2160" i="16"/>
  <c r="H2160" i="16"/>
  <c r="G2160" i="16"/>
  <c r="F2160" i="16"/>
  <c r="E2160" i="16"/>
  <c r="D2160" i="16"/>
  <c r="C2160" i="16"/>
  <c r="B2160" i="16"/>
  <c r="A2160" i="16"/>
  <c r="L2159" i="16"/>
  <c r="K2159" i="16"/>
  <c r="I2159" i="16"/>
  <c r="H2159" i="16"/>
  <c r="D2159" i="16"/>
  <c r="C2159" i="16"/>
  <c r="B2159" i="16"/>
  <c r="A2159" i="16"/>
  <c r="M2158" i="16"/>
  <c r="L2158" i="16"/>
  <c r="J2158" i="16"/>
  <c r="D2158" i="16"/>
  <c r="C2158" i="16"/>
  <c r="B2158" i="16"/>
  <c r="A2158" i="16"/>
  <c r="T2158" i="16" s="1"/>
  <c r="D2157" i="16"/>
  <c r="C2157" i="16"/>
  <c r="B2157" i="16"/>
  <c r="A2157" i="16"/>
  <c r="D2156" i="16"/>
  <c r="C2156" i="16"/>
  <c r="B2156" i="16"/>
  <c r="A2156" i="16"/>
  <c r="D2155" i="16"/>
  <c r="C2155" i="16"/>
  <c r="B2155" i="16"/>
  <c r="A2155" i="16"/>
  <c r="T2154" i="16"/>
  <c r="I2154" i="16"/>
  <c r="H2154" i="16"/>
  <c r="F2154" i="16"/>
  <c r="D2154" i="16"/>
  <c r="C2154" i="16"/>
  <c r="B2154" i="16"/>
  <c r="A2154" i="16"/>
  <c r="E2154" i="16" s="1"/>
  <c r="T2153" i="16"/>
  <c r="O2153" i="16"/>
  <c r="N2153" i="16"/>
  <c r="I2153" i="16"/>
  <c r="G2153" i="16"/>
  <c r="F2153" i="16"/>
  <c r="E2153" i="16"/>
  <c r="D2153" i="16"/>
  <c r="C2153" i="16"/>
  <c r="B2153" i="16"/>
  <c r="A2153" i="16"/>
  <c r="M2153" i="16" s="1"/>
  <c r="D2152" i="16"/>
  <c r="C2152" i="16"/>
  <c r="B2152" i="16"/>
  <c r="A2152" i="16"/>
  <c r="L2151" i="16"/>
  <c r="G2151" i="16"/>
  <c r="F2151" i="16"/>
  <c r="E2151" i="16"/>
  <c r="D2151" i="16"/>
  <c r="C2151" i="16"/>
  <c r="B2151" i="16"/>
  <c r="A2151" i="16"/>
  <c r="P2150" i="16"/>
  <c r="O2150" i="16"/>
  <c r="D2150" i="16"/>
  <c r="C2150" i="16"/>
  <c r="B2150" i="16"/>
  <c r="A2150" i="16"/>
  <c r="G2149" i="16"/>
  <c r="D2149" i="16"/>
  <c r="C2149" i="16"/>
  <c r="B2149" i="16"/>
  <c r="A2149" i="16"/>
  <c r="T2148" i="16"/>
  <c r="P2148" i="16"/>
  <c r="O2148" i="16"/>
  <c r="N2148" i="16"/>
  <c r="I2148" i="16"/>
  <c r="H2148" i="16"/>
  <c r="G2148" i="16"/>
  <c r="F2148" i="16"/>
  <c r="D2148" i="16"/>
  <c r="C2148" i="16"/>
  <c r="B2148" i="16"/>
  <c r="A2148" i="16"/>
  <c r="L2148" i="16" s="1"/>
  <c r="D2147" i="16"/>
  <c r="C2147" i="16"/>
  <c r="B2147" i="16"/>
  <c r="A2147" i="16"/>
  <c r="D2146" i="16"/>
  <c r="C2146" i="16"/>
  <c r="B2146" i="16"/>
  <c r="A2146" i="16"/>
  <c r="K2145" i="16"/>
  <c r="J2145" i="16"/>
  <c r="D2145" i="16"/>
  <c r="C2145" i="16"/>
  <c r="B2145" i="16"/>
  <c r="A2145" i="16"/>
  <c r="P2144" i="16"/>
  <c r="O2144" i="16"/>
  <c r="L2144" i="16"/>
  <c r="K2144" i="16"/>
  <c r="D2144" i="16"/>
  <c r="C2144" i="16"/>
  <c r="B2144" i="16"/>
  <c r="A2144" i="16"/>
  <c r="D2143" i="16"/>
  <c r="C2143" i="16"/>
  <c r="B2143" i="16"/>
  <c r="A2143" i="16"/>
  <c r="P2142" i="16"/>
  <c r="H2142" i="16"/>
  <c r="G2142" i="16"/>
  <c r="F2142" i="16"/>
  <c r="D2142" i="16"/>
  <c r="C2142" i="16"/>
  <c r="B2142" i="16"/>
  <c r="A2142" i="16"/>
  <c r="I2142" i="16" s="1"/>
  <c r="D2141" i="16"/>
  <c r="C2141" i="16"/>
  <c r="B2141" i="16"/>
  <c r="A2141" i="16"/>
  <c r="T2140" i="16"/>
  <c r="P2140" i="16"/>
  <c r="D2140" i="16"/>
  <c r="C2140" i="16"/>
  <c r="B2140" i="16"/>
  <c r="A2140" i="16"/>
  <c r="M2139" i="16"/>
  <c r="I2139" i="16"/>
  <c r="E2139" i="16"/>
  <c r="D2139" i="16"/>
  <c r="C2139" i="16"/>
  <c r="B2139" i="16"/>
  <c r="A2139" i="16"/>
  <c r="T2139" i="16" s="1"/>
  <c r="T2138" i="16"/>
  <c r="M2138" i="16"/>
  <c r="L2138" i="16"/>
  <c r="F2138" i="16"/>
  <c r="E2138" i="16"/>
  <c r="D2138" i="16"/>
  <c r="C2138" i="16"/>
  <c r="B2138" i="16"/>
  <c r="A2138" i="16"/>
  <c r="N2137" i="16"/>
  <c r="M2137" i="16"/>
  <c r="L2137" i="16"/>
  <c r="D2137" i="16"/>
  <c r="C2137" i="16"/>
  <c r="B2137" i="16"/>
  <c r="A2137" i="16"/>
  <c r="P2136" i="16"/>
  <c r="G2136" i="16"/>
  <c r="F2136" i="16"/>
  <c r="D2136" i="16"/>
  <c r="C2136" i="16"/>
  <c r="B2136" i="16"/>
  <c r="A2136" i="16"/>
  <c r="L2136" i="16" s="1"/>
  <c r="D2135" i="16"/>
  <c r="C2135" i="16"/>
  <c r="B2135" i="16"/>
  <c r="A2135" i="16"/>
  <c r="L2134" i="16"/>
  <c r="E2134" i="16"/>
  <c r="D2134" i="16"/>
  <c r="C2134" i="16"/>
  <c r="B2134" i="16"/>
  <c r="A2134" i="16"/>
  <c r="N2133" i="16"/>
  <c r="J2133" i="16"/>
  <c r="D2133" i="16"/>
  <c r="C2133" i="16"/>
  <c r="B2133" i="16"/>
  <c r="A2133" i="16"/>
  <c r="N2132" i="16"/>
  <c r="L2132" i="16"/>
  <c r="D2132" i="16"/>
  <c r="C2132" i="16"/>
  <c r="B2132" i="16"/>
  <c r="A2132" i="16"/>
  <c r="D2131" i="16"/>
  <c r="C2131" i="16"/>
  <c r="B2131" i="16"/>
  <c r="A2131" i="16"/>
  <c r="D2130" i="16"/>
  <c r="C2130" i="16"/>
  <c r="B2130" i="16"/>
  <c r="A2130" i="16"/>
  <c r="O2129" i="16"/>
  <c r="N2129" i="16"/>
  <c r="J2129" i="16"/>
  <c r="D2129" i="16"/>
  <c r="C2129" i="16"/>
  <c r="B2129" i="16"/>
  <c r="A2129" i="16"/>
  <c r="T2129" i="16" s="1"/>
  <c r="P2128" i="16"/>
  <c r="O2128" i="16"/>
  <c r="N2128" i="16"/>
  <c r="M2128" i="16"/>
  <c r="L2128" i="16"/>
  <c r="K2128" i="16"/>
  <c r="H2128" i="16"/>
  <c r="G2128" i="16"/>
  <c r="F2128" i="16"/>
  <c r="E2128" i="16"/>
  <c r="D2128" i="16"/>
  <c r="C2128" i="16"/>
  <c r="B2128" i="16"/>
  <c r="A2128" i="16"/>
  <c r="T2128" i="16" s="1"/>
  <c r="O2127" i="16"/>
  <c r="N2127" i="16"/>
  <c r="M2127" i="16"/>
  <c r="H2127" i="16"/>
  <c r="D2127" i="16"/>
  <c r="C2127" i="16"/>
  <c r="B2127" i="16"/>
  <c r="A2127" i="16"/>
  <c r="T2126" i="16"/>
  <c r="P2126" i="16"/>
  <c r="M2126" i="16"/>
  <c r="D2126" i="16"/>
  <c r="C2126" i="16"/>
  <c r="B2126" i="16"/>
  <c r="A2126" i="16"/>
  <c r="D2125" i="16"/>
  <c r="C2125" i="16"/>
  <c r="B2125" i="16"/>
  <c r="A2125" i="16"/>
  <c r="O2124" i="16"/>
  <c r="D2124" i="16"/>
  <c r="C2124" i="16"/>
  <c r="B2124" i="16"/>
  <c r="A2124" i="16"/>
  <c r="T2123" i="16"/>
  <c r="P2123" i="16"/>
  <c r="O2123" i="16"/>
  <c r="H2123" i="16"/>
  <c r="G2123" i="16"/>
  <c r="E2123" i="16"/>
  <c r="D2123" i="16"/>
  <c r="C2123" i="16"/>
  <c r="B2123" i="16"/>
  <c r="A2123" i="16"/>
  <c r="I2123" i="16" s="1"/>
  <c r="L2122" i="16"/>
  <c r="K2122" i="16"/>
  <c r="J2122" i="16"/>
  <c r="E2122" i="16"/>
  <c r="D2122" i="16"/>
  <c r="C2122" i="16"/>
  <c r="B2122" i="16"/>
  <c r="A2122" i="16"/>
  <c r="N2122" i="16" s="1"/>
  <c r="L2121" i="16"/>
  <c r="K2121" i="16"/>
  <c r="J2121" i="16"/>
  <c r="I2121" i="16"/>
  <c r="D2121" i="16"/>
  <c r="C2121" i="16"/>
  <c r="B2121" i="16"/>
  <c r="A2121" i="16"/>
  <c r="M2120" i="16"/>
  <c r="J2120" i="16"/>
  <c r="H2120" i="16"/>
  <c r="E2120" i="16"/>
  <c r="D2120" i="16"/>
  <c r="C2120" i="16"/>
  <c r="B2120" i="16"/>
  <c r="A2120" i="16"/>
  <c r="P2119" i="16"/>
  <c r="I2119" i="16"/>
  <c r="D2119" i="16"/>
  <c r="C2119" i="16"/>
  <c r="B2119" i="16"/>
  <c r="A2119" i="16"/>
  <c r="H2118" i="16"/>
  <c r="D2118" i="16"/>
  <c r="C2118" i="16"/>
  <c r="B2118" i="16"/>
  <c r="A2118" i="16"/>
  <c r="D2117" i="16"/>
  <c r="C2117" i="16"/>
  <c r="B2117" i="16"/>
  <c r="A2117" i="16"/>
  <c r="T2116" i="16"/>
  <c r="D2116" i="16"/>
  <c r="C2116" i="16"/>
  <c r="B2116" i="16"/>
  <c r="A2116" i="16"/>
  <c r="P2116" i="16" s="1"/>
  <c r="I2115" i="16"/>
  <c r="H2115" i="16"/>
  <c r="D2115" i="16"/>
  <c r="C2115" i="16"/>
  <c r="B2115" i="16"/>
  <c r="A2115" i="16"/>
  <c r="T2115" i="16" s="1"/>
  <c r="F2114" i="16"/>
  <c r="E2114" i="16"/>
  <c r="D2114" i="16"/>
  <c r="C2114" i="16"/>
  <c r="B2114" i="16"/>
  <c r="A2114" i="16"/>
  <c r="T2114" i="16" s="1"/>
  <c r="L2113" i="16"/>
  <c r="I2113" i="16"/>
  <c r="G2113" i="16"/>
  <c r="F2113" i="16"/>
  <c r="D2113" i="16"/>
  <c r="C2113" i="16"/>
  <c r="B2113" i="16"/>
  <c r="A2113" i="16"/>
  <c r="N2112" i="16"/>
  <c r="D2112" i="16"/>
  <c r="C2112" i="16"/>
  <c r="B2112" i="16"/>
  <c r="A2112" i="16"/>
  <c r="H2111" i="16"/>
  <c r="D2111" i="16"/>
  <c r="C2111" i="16"/>
  <c r="B2111" i="16"/>
  <c r="A2111" i="16"/>
  <c r="T2110" i="16"/>
  <c r="P2110" i="16"/>
  <c r="O2110" i="16"/>
  <c r="N2110" i="16"/>
  <c r="M2110" i="16"/>
  <c r="H2110" i="16"/>
  <c r="G2110" i="16"/>
  <c r="F2110" i="16"/>
  <c r="E2110" i="16"/>
  <c r="D2110" i="16"/>
  <c r="C2110" i="16"/>
  <c r="B2110" i="16"/>
  <c r="A2110" i="16"/>
  <c r="K2110" i="16" s="1"/>
  <c r="T2109" i="16"/>
  <c r="P2109" i="16"/>
  <c r="O2109" i="16"/>
  <c r="N2109" i="16"/>
  <c r="M2109" i="16"/>
  <c r="K2109" i="16"/>
  <c r="H2109" i="16"/>
  <c r="G2109" i="16"/>
  <c r="F2109" i="16"/>
  <c r="E2109" i="16"/>
  <c r="D2109" i="16"/>
  <c r="C2109" i="16"/>
  <c r="B2109" i="16"/>
  <c r="A2109" i="16"/>
  <c r="L2109" i="16" s="1"/>
  <c r="D2108" i="16"/>
  <c r="C2108" i="16"/>
  <c r="B2108" i="16"/>
  <c r="A2108" i="16"/>
  <c r="D2107" i="16"/>
  <c r="C2107" i="16"/>
  <c r="B2107" i="16"/>
  <c r="A2107" i="16"/>
  <c r="I2106" i="16"/>
  <c r="D2106" i="16"/>
  <c r="C2106" i="16"/>
  <c r="B2106" i="16"/>
  <c r="A2106" i="16"/>
  <c r="D2105" i="16"/>
  <c r="C2105" i="16"/>
  <c r="B2105" i="16"/>
  <c r="A2105" i="16"/>
  <c r="P2104" i="16"/>
  <c r="O2104" i="16"/>
  <c r="N2104" i="16"/>
  <c r="H2104" i="16"/>
  <c r="G2104" i="16"/>
  <c r="F2104" i="16"/>
  <c r="E2104" i="16"/>
  <c r="D2104" i="16"/>
  <c r="C2104" i="16"/>
  <c r="B2104" i="16"/>
  <c r="A2104" i="16"/>
  <c r="T2103" i="16"/>
  <c r="H2103" i="16"/>
  <c r="G2103" i="16"/>
  <c r="F2103" i="16"/>
  <c r="D2103" i="16"/>
  <c r="C2103" i="16"/>
  <c r="B2103" i="16"/>
  <c r="A2103" i="16"/>
  <c r="E2103" i="16" s="1"/>
  <c r="T2102" i="16"/>
  <c r="P2102" i="16"/>
  <c r="O2102" i="16"/>
  <c r="H2102" i="16"/>
  <c r="G2102" i="16"/>
  <c r="F2102" i="16"/>
  <c r="E2102" i="16"/>
  <c r="D2102" i="16"/>
  <c r="C2102" i="16"/>
  <c r="B2102" i="16"/>
  <c r="A2102" i="16"/>
  <c r="N2102" i="16" s="1"/>
  <c r="D2101" i="16"/>
  <c r="C2101" i="16"/>
  <c r="B2101" i="16"/>
  <c r="A2101" i="16"/>
  <c r="T2100" i="16"/>
  <c r="P2100" i="16"/>
  <c r="O2100" i="16"/>
  <c r="I2100" i="16"/>
  <c r="H2100" i="16"/>
  <c r="G2100" i="16"/>
  <c r="F2100" i="16"/>
  <c r="D2100" i="16"/>
  <c r="C2100" i="16"/>
  <c r="B2100" i="16"/>
  <c r="A2100" i="16"/>
  <c r="N2100" i="16" s="1"/>
  <c r="P2099" i="16"/>
  <c r="O2099" i="16"/>
  <c r="M2099" i="16"/>
  <c r="L2099" i="16"/>
  <c r="D2099" i="16"/>
  <c r="C2099" i="16"/>
  <c r="B2099" i="16"/>
  <c r="A2099" i="16"/>
  <c r="T2098" i="16"/>
  <c r="P2098" i="16"/>
  <c r="I2098" i="16"/>
  <c r="H2098" i="16"/>
  <c r="F2098" i="16"/>
  <c r="E2098" i="16"/>
  <c r="D2098" i="16"/>
  <c r="C2098" i="16"/>
  <c r="B2098" i="16"/>
  <c r="A2098" i="16"/>
  <c r="N2097" i="16"/>
  <c r="M2097" i="16"/>
  <c r="L2097" i="16"/>
  <c r="D2097" i="16"/>
  <c r="C2097" i="16"/>
  <c r="B2097" i="16"/>
  <c r="A2097" i="16"/>
  <c r="P2096" i="16"/>
  <c r="O2096" i="16"/>
  <c r="N2096" i="16"/>
  <c r="M2096" i="16"/>
  <c r="L2096" i="16"/>
  <c r="H2096" i="16"/>
  <c r="G2096" i="16"/>
  <c r="F2096" i="16"/>
  <c r="E2096" i="16"/>
  <c r="D2096" i="16"/>
  <c r="C2096" i="16"/>
  <c r="B2096" i="16"/>
  <c r="A2096" i="16"/>
  <c r="T2096" i="16" s="1"/>
  <c r="D2095" i="16"/>
  <c r="C2095" i="16"/>
  <c r="B2095" i="16"/>
  <c r="A2095" i="16"/>
  <c r="L2094" i="16"/>
  <c r="H2094" i="16"/>
  <c r="D2094" i="16"/>
  <c r="C2094" i="16"/>
  <c r="B2094" i="16"/>
  <c r="A2094" i="16"/>
  <c r="H2093" i="16"/>
  <c r="D2093" i="16"/>
  <c r="C2093" i="16"/>
  <c r="B2093" i="16"/>
  <c r="A2093" i="16"/>
  <c r="D2092" i="16"/>
  <c r="C2092" i="16"/>
  <c r="B2092" i="16"/>
  <c r="A2092" i="16"/>
  <c r="T2091" i="16"/>
  <c r="P2091" i="16"/>
  <c r="D2091" i="16"/>
  <c r="C2091" i="16"/>
  <c r="B2091" i="16"/>
  <c r="A2091" i="16"/>
  <c r="I2090" i="16"/>
  <c r="H2090" i="16"/>
  <c r="D2090" i="16"/>
  <c r="C2090" i="16"/>
  <c r="B2090" i="16"/>
  <c r="A2090" i="16"/>
  <c r="T2089" i="16"/>
  <c r="O2089" i="16"/>
  <c r="N2089" i="16"/>
  <c r="I2089" i="16"/>
  <c r="G2089" i="16"/>
  <c r="F2089" i="16"/>
  <c r="E2089" i="16"/>
  <c r="D2089" i="16"/>
  <c r="C2089" i="16"/>
  <c r="B2089" i="16"/>
  <c r="A2089" i="16"/>
  <c r="M2089" i="16" s="1"/>
  <c r="O2088" i="16"/>
  <c r="N2088" i="16"/>
  <c r="M2088" i="16"/>
  <c r="J2088" i="16"/>
  <c r="F2088" i="16"/>
  <c r="E2088" i="16"/>
  <c r="D2088" i="16"/>
  <c r="C2088" i="16"/>
  <c r="B2088" i="16"/>
  <c r="A2088" i="16"/>
  <c r="K2088" i="16" s="1"/>
  <c r="L2087" i="16"/>
  <c r="H2087" i="16"/>
  <c r="G2087" i="16"/>
  <c r="D2087" i="16"/>
  <c r="C2087" i="16"/>
  <c r="B2087" i="16"/>
  <c r="A2087" i="16"/>
  <c r="M2087" i="16" s="1"/>
  <c r="P2086" i="16"/>
  <c r="M2086" i="16"/>
  <c r="L2086" i="16"/>
  <c r="D2086" i="16"/>
  <c r="C2086" i="16"/>
  <c r="B2086" i="16"/>
  <c r="A2086" i="16"/>
  <c r="T2085" i="16"/>
  <c r="P2085" i="16"/>
  <c r="O2085" i="16"/>
  <c r="N2085" i="16"/>
  <c r="H2085" i="16"/>
  <c r="G2085" i="16"/>
  <c r="F2085" i="16"/>
  <c r="E2085" i="16"/>
  <c r="D2085" i="16"/>
  <c r="C2085" i="16"/>
  <c r="B2085" i="16"/>
  <c r="A2085" i="16"/>
  <c r="L2085" i="16" s="1"/>
  <c r="N2084" i="16"/>
  <c r="L2084" i="16"/>
  <c r="F2084" i="16"/>
  <c r="D2084" i="16"/>
  <c r="C2084" i="16"/>
  <c r="B2084" i="16"/>
  <c r="A2084" i="16"/>
  <c r="O2084" i="16" s="1"/>
  <c r="D2083" i="16"/>
  <c r="C2083" i="16"/>
  <c r="B2083" i="16"/>
  <c r="A2083" i="16"/>
  <c r="J2082" i="16"/>
  <c r="D2082" i="16"/>
  <c r="C2082" i="16"/>
  <c r="B2082" i="16"/>
  <c r="A2082" i="16"/>
  <c r="D2081" i="16"/>
  <c r="C2081" i="16"/>
  <c r="B2081" i="16"/>
  <c r="A2081" i="16"/>
  <c r="D2080" i="16"/>
  <c r="C2080" i="16"/>
  <c r="B2080" i="16"/>
  <c r="A2080" i="16"/>
  <c r="T2079" i="16"/>
  <c r="D2079" i="16"/>
  <c r="C2079" i="16"/>
  <c r="B2079" i="16"/>
  <c r="A2079" i="16"/>
  <c r="D2078" i="16"/>
  <c r="C2078" i="16"/>
  <c r="B2078" i="16"/>
  <c r="A2078" i="16"/>
  <c r="D2077" i="16"/>
  <c r="C2077" i="16"/>
  <c r="B2077" i="16"/>
  <c r="A2077" i="16"/>
  <c r="I2076" i="16"/>
  <c r="H2076" i="16"/>
  <c r="D2076" i="16"/>
  <c r="C2076" i="16"/>
  <c r="B2076" i="16"/>
  <c r="A2076" i="16"/>
  <c r="T2075" i="16"/>
  <c r="P2075" i="16"/>
  <c r="I2075" i="16"/>
  <c r="H2075" i="16"/>
  <c r="G2075" i="16"/>
  <c r="E2075" i="16"/>
  <c r="D2075" i="16"/>
  <c r="C2075" i="16"/>
  <c r="B2075" i="16"/>
  <c r="A2075" i="16"/>
  <c r="O2075" i="16" s="1"/>
  <c r="P2074" i="16"/>
  <c r="N2074" i="16"/>
  <c r="M2074" i="16"/>
  <c r="L2074" i="16"/>
  <c r="D2074" i="16"/>
  <c r="C2074" i="16"/>
  <c r="B2074" i="16"/>
  <c r="A2074" i="16"/>
  <c r="T2073" i="16"/>
  <c r="M2073" i="16"/>
  <c r="I2073" i="16"/>
  <c r="G2073" i="16"/>
  <c r="F2073" i="16"/>
  <c r="D2073" i="16"/>
  <c r="C2073" i="16"/>
  <c r="B2073" i="16"/>
  <c r="A2073" i="16"/>
  <c r="K2073" i="16" s="1"/>
  <c r="O2072" i="16"/>
  <c r="N2072" i="16"/>
  <c r="K2072" i="16"/>
  <c r="J2072" i="16"/>
  <c r="D2072" i="16"/>
  <c r="C2072" i="16"/>
  <c r="B2072" i="16"/>
  <c r="A2072" i="16"/>
  <c r="L2071" i="16"/>
  <c r="K2071" i="16"/>
  <c r="D2071" i="16"/>
  <c r="C2071" i="16"/>
  <c r="B2071" i="16"/>
  <c r="A2071" i="16"/>
  <c r="M2070" i="16"/>
  <c r="L2070" i="16"/>
  <c r="D2070" i="16"/>
  <c r="C2070" i="16"/>
  <c r="B2070" i="16"/>
  <c r="A2070" i="16"/>
  <c r="M2069" i="16"/>
  <c r="D2069" i="16"/>
  <c r="C2069" i="16"/>
  <c r="B2069" i="16"/>
  <c r="A2069" i="16"/>
  <c r="N2069" i="16" s="1"/>
  <c r="J2068" i="16"/>
  <c r="D2068" i="16"/>
  <c r="C2068" i="16"/>
  <c r="B2068" i="16"/>
  <c r="A2068" i="16"/>
  <c r="D2067" i="16"/>
  <c r="C2067" i="16"/>
  <c r="B2067" i="16"/>
  <c r="A2067" i="16"/>
  <c r="D2066" i="16"/>
  <c r="C2066" i="16"/>
  <c r="B2066" i="16"/>
  <c r="A2066" i="16"/>
  <c r="T2065" i="16"/>
  <c r="O2065" i="16"/>
  <c r="G2065" i="16"/>
  <c r="D2065" i="16"/>
  <c r="C2065" i="16"/>
  <c r="B2065" i="16"/>
  <c r="A2065" i="16"/>
  <c r="D2064" i="16"/>
  <c r="C2064" i="16"/>
  <c r="B2064" i="16"/>
  <c r="A2064" i="16"/>
  <c r="T2063" i="16"/>
  <c r="P2063" i="16"/>
  <c r="O2063" i="16"/>
  <c r="H2063" i="16"/>
  <c r="G2063" i="16"/>
  <c r="F2063" i="16"/>
  <c r="E2063" i="16"/>
  <c r="D2063" i="16"/>
  <c r="C2063" i="16"/>
  <c r="B2063" i="16"/>
  <c r="A2063" i="16"/>
  <c r="J2063" i="16" s="1"/>
  <c r="M2062" i="16"/>
  <c r="H2062" i="16"/>
  <c r="E2062" i="16"/>
  <c r="D2062" i="16"/>
  <c r="C2062" i="16"/>
  <c r="B2062" i="16"/>
  <c r="A2062" i="16"/>
  <c r="N2062" i="16" s="1"/>
  <c r="N2061" i="16"/>
  <c r="M2061" i="16"/>
  <c r="H2061" i="16"/>
  <c r="G2061" i="16"/>
  <c r="D2061" i="16"/>
  <c r="C2061" i="16"/>
  <c r="B2061" i="16"/>
  <c r="A2061" i="16"/>
  <c r="T2060" i="16"/>
  <c r="P2060" i="16"/>
  <c r="O2060" i="16"/>
  <c r="N2060" i="16"/>
  <c r="H2060" i="16"/>
  <c r="G2060" i="16"/>
  <c r="F2060" i="16"/>
  <c r="D2060" i="16"/>
  <c r="C2060" i="16"/>
  <c r="B2060" i="16"/>
  <c r="A2060" i="16"/>
  <c r="L2060" i="16" s="1"/>
  <c r="O2059" i="16"/>
  <c r="M2059" i="16"/>
  <c r="E2059" i="16"/>
  <c r="D2059" i="16"/>
  <c r="C2059" i="16"/>
  <c r="B2059" i="16"/>
  <c r="A2059" i="16"/>
  <c r="L2058" i="16"/>
  <c r="D2058" i="16"/>
  <c r="C2058" i="16"/>
  <c r="B2058" i="16"/>
  <c r="A2058" i="16"/>
  <c r="K2057" i="16"/>
  <c r="D2057" i="16"/>
  <c r="C2057" i="16"/>
  <c r="B2057" i="16"/>
  <c r="A2057" i="16"/>
  <c r="M2056" i="16"/>
  <c r="J2056" i="16"/>
  <c r="D2056" i="16"/>
  <c r="C2056" i="16"/>
  <c r="B2056" i="16"/>
  <c r="A2056" i="16"/>
  <c r="D2055" i="16"/>
  <c r="C2055" i="16"/>
  <c r="B2055" i="16"/>
  <c r="A2055" i="16"/>
  <c r="D2054" i="16"/>
  <c r="C2054" i="16"/>
  <c r="B2054" i="16"/>
  <c r="A2054" i="16"/>
  <c r="D2053" i="16"/>
  <c r="C2053" i="16"/>
  <c r="B2053" i="16"/>
  <c r="A2053" i="16"/>
  <c r="J2052" i="16"/>
  <c r="I2052" i="16"/>
  <c r="H2052" i="16"/>
  <c r="D2052" i="16"/>
  <c r="C2052" i="16"/>
  <c r="B2052" i="16"/>
  <c r="A2052" i="16"/>
  <c r="G2052" i="16" s="1"/>
  <c r="H2051" i="16"/>
  <c r="G2051" i="16"/>
  <c r="D2051" i="16"/>
  <c r="C2051" i="16"/>
  <c r="B2051" i="16"/>
  <c r="A2051" i="16"/>
  <c r="J2051" i="16" s="1"/>
  <c r="N2050" i="16"/>
  <c r="M2050" i="16"/>
  <c r="I2050" i="16"/>
  <c r="E2050" i="16"/>
  <c r="D2050" i="16"/>
  <c r="C2050" i="16"/>
  <c r="B2050" i="16"/>
  <c r="A2050" i="16"/>
  <c r="L2049" i="16"/>
  <c r="I2049" i="16"/>
  <c r="G2049" i="16"/>
  <c r="D2049" i="16"/>
  <c r="C2049" i="16"/>
  <c r="B2049" i="16"/>
  <c r="A2049" i="16"/>
  <c r="M2049" i="16" s="1"/>
  <c r="D2048" i="16"/>
  <c r="C2048" i="16"/>
  <c r="B2048" i="16"/>
  <c r="A2048" i="16"/>
  <c r="T2047" i="16"/>
  <c r="P2047" i="16"/>
  <c r="O2047" i="16"/>
  <c r="N2047" i="16"/>
  <c r="M2047" i="16"/>
  <c r="H2047" i="16"/>
  <c r="G2047" i="16"/>
  <c r="F2047" i="16"/>
  <c r="E2047" i="16"/>
  <c r="D2047" i="16"/>
  <c r="C2047" i="16"/>
  <c r="B2047" i="16"/>
  <c r="A2047" i="16"/>
  <c r="J2047" i="16" s="1"/>
  <c r="T2046" i="16"/>
  <c r="P2046" i="16"/>
  <c r="O2046" i="16"/>
  <c r="N2046" i="16"/>
  <c r="M2046" i="16"/>
  <c r="L2046" i="16"/>
  <c r="G2046" i="16"/>
  <c r="F2046" i="16"/>
  <c r="E2046" i="16"/>
  <c r="D2046" i="16"/>
  <c r="C2046" i="16"/>
  <c r="B2046" i="16"/>
  <c r="A2046" i="16"/>
  <c r="K2046" i="16" s="1"/>
  <c r="P2045" i="16"/>
  <c r="O2045" i="16"/>
  <c r="N2045" i="16"/>
  <c r="J2045" i="16"/>
  <c r="F2045" i="16"/>
  <c r="E2045" i="16"/>
  <c r="D2045" i="16"/>
  <c r="C2045" i="16"/>
  <c r="B2045" i="16"/>
  <c r="A2045" i="16"/>
  <c r="K2045" i="16" s="1"/>
  <c r="D2044" i="16"/>
  <c r="C2044" i="16"/>
  <c r="B2044" i="16"/>
  <c r="A2044" i="16"/>
  <c r="D2043" i="16"/>
  <c r="C2043" i="16"/>
  <c r="B2043" i="16"/>
  <c r="A2043" i="16"/>
  <c r="M2043" i="16" s="1"/>
  <c r="T2042" i="16"/>
  <c r="D2042" i="16"/>
  <c r="C2042" i="16"/>
  <c r="B2042" i="16"/>
  <c r="A2042" i="16"/>
  <c r="T2041" i="16"/>
  <c r="I2041" i="16"/>
  <c r="G2041" i="16"/>
  <c r="F2041" i="16"/>
  <c r="D2041" i="16"/>
  <c r="C2041" i="16"/>
  <c r="B2041" i="16"/>
  <c r="A2041" i="16"/>
  <c r="J2041" i="16" s="1"/>
  <c r="P2040" i="16"/>
  <c r="O2040" i="16"/>
  <c r="N2040" i="16"/>
  <c r="M2040" i="16"/>
  <c r="L2040" i="16"/>
  <c r="K2040" i="16"/>
  <c r="H2040" i="16"/>
  <c r="G2040" i="16"/>
  <c r="F2040" i="16"/>
  <c r="E2040" i="16"/>
  <c r="D2040" i="16"/>
  <c r="C2040" i="16"/>
  <c r="B2040" i="16"/>
  <c r="A2040" i="16"/>
  <c r="T2040" i="16" s="1"/>
  <c r="D2039" i="16"/>
  <c r="C2039" i="16"/>
  <c r="B2039" i="16"/>
  <c r="A2039" i="16"/>
  <c r="T2038" i="16"/>
  <c r="P2038" i="16"/>
  <c r="H2038" i="16"/>
  <c r="E2038" i="16"/>
  <c r="D2038" i="16"/>
  <c r="C2038" i="16"/>
  <c r="B2038" i="16"/>
  <c r="A2038" i="16"/>
  <c r="D2037" i="16"/>
  <c r="C2037" i="16"/>
  <c r="B2037" i="16"/>
  <c r="A2037" i="16"/>
  <c r="T2036" i="16"/>
  <c r="P2036" i="16"/>
  <c r="K2036" i="16"/>
  <c r="G2036" i="16"/>
  <c r="F2036" i="16"/>
  <c r="D2036" i="16"/>
  <c r="C2036" i="16"/>
  <c r="B2036" i="16"/>
  <c r="A2036" i="16"/>
  <c r="N2036" i="16" s="1"/>
  <c r="D2035" i="16"/>
  <c r="C2035" i="16"/>
  <c r="B2035" i="16"/>
  <c r="A2035" i="16"/>
  <c r="T2034" i="16"/>
  <c r="P2034" i="16"/>
  <c r="N2034" i="16"/>
  <c r="M2034" i="16"/>
  <c r="I2034" i="16"/>
  <c r="H2034" i="16"/>
  <c r="F2034" i="16"/>
  <c r="E2034" i="16"/>
  <c r="D2034" i="16"/>
  <c r="C2034" i="16"/>
  <c r="B2034" i="16"/>
  <c r="A2034" i="16"/>
  <c r="L2034" i="16" s="1"/>
  <c r="N2033" i="16"/>
  <c r="J2033" i="16"/>
  <c r="E2033" i="16"/>
  <c r="D2033" i="16"/>
  <c r="C2033" i="16"/>
  <c r="B2033" i="16"/>
  <c r="A2033" i="16"/>
  <c r="P2032" i="16"/>
  <c r="O2032" i="16"/>
  <c r="N2032" i="16"/>
  <c r="M2032" i="16"/>
  <c r="L2032" i="16"/>
  <c r="H2032" i="16"/>
  <c r="G2032" i="16"/>
  <c r="F2032" i="16"/>
  <c r="E2032" i="16"/>
  <c r="D2032" i="16"/>
  <c r="C2032" i="16"/>
  <c r="B2032" i="16"/>
  <c r="A2032" i="16"/>
  <c r="T2032" i="16" s="1"/>
  <c r="K2031" i="16"/>
  <c r="I2031" i="16"/>
  <c r="H2031" i="16"/>
  <c r="D2031" i="16"/>
  <c r="C2031" i="16"/>
  <c r="B2031" i="16"/>
  <c r="A2031" i="16"/>
  <c r="L2031" i="16" s="1"/>
  <c r="J2030" i="16"/>
  <c r="I2030" i="16"/>
  <c r="H2030" i="16"/>
  <c r="D2030" i="16"/>
  <c r="C2030" i="16"/>
  <c r="B2030" i="16"/>
  <c r="A2030" i="16"/>
  <c r="L2030" i="16" s="1"/>
  <c r="M2029" i="16"/>
  <c r="K2029" i="16"/>
  <c r="D2029" i="16"/>
  <c r="C2029" i="16"/>
  <c r="B2029" i="16"/>
  <c r="A2029" i="16"/>
  <c r="T2029" i="16" s="1"/>
  <c r="D2028" i="16"/>
  <c r="C2028" i="16"/>
  <c r="B2028" i="16"/>
  <c r="A2028" i="16"/>
  <c r="J2027" i="16"/>
  <c r="D2027" i="16"/>
  <c r="C2027" i="16"/>
  <c r="B2027" i="16"/>
  <c r="A2027" i="16"/>
  <c r="N2026" i="16"/>
  <c r="J2026" i="16"/>
  <c r="D2026" i="16"/>
  <c r="C2026" i="16"/>
  <c r="B2026" i="16"/>
  <c r="A2026" i="16"/>
  <c r="T2025" i="16"/>
  <c r="O2025" i="16"/>
  <c r="N2025" i="16"/>
  <c r="I2025" i="16"/>
  <c r="G2025" i="16"/>
  <c r="F2025" i="16"/>
  <c r="E2025" i="16"/>
  <c r="D2025" i="16"/>
  <c r="C2025" i="16"/>
  <c r="B2025" i="16"/>
  <c r="A2025" i="16"/>
  <c r="M2025" i="16" s="1"/>
  <c r="P2024" i="16"/>
  <c r="O2024" i="16"/>
  <c r="N2024" i="16"/>
  <c r="M2024" i="16"/>
  <c r="L2024" i="16"/>
  <c r="K2024" i="16"/>
  <c r="G2024" i="16"/>
  <c r="F2024" i="16"/>
  <c r="E2024" i="16"/>
  <c r="D2024" i="16"/>
  <c r="C2024" i="16"/>
  <c r="B2024" i="16"/>
  <c r="A2024" i="16"/>
  <c r="T2024" i="16" s="1"/>
  <c r="M2023" i="16"/>
  <c r="L2023" i="16"/>
  <c r="G2023" i="16"/>
  <c r="F2023" i="16"/>
  <c r="D2023" i="16"/>
  <c r="C2023" i="16"/>
  <c r="B2023" i="16"/>
  <c r="A2023" i="16"/>
  <c r="P2022" i="16"/>
  <c r="O2022" i="16"/>
  <c r="N2022" i="16"/>
  <c r="G2022" i="16"/>
  <c r="F2022" i="16"/>
  <c r="E2022" i="16"/>
  <c r="D2022" i="16"/>
  <c r="C2022" i="16"/>
  <c r="B2022" i="16"/>
  <c r="A2022" i="16"/>
  <c r="K2022" i="16" s="1"/>
  <c r="O2021" i="16"/>
  <c r="N2021" i="16"/>
  <c r="D2021" i="16"/>
  <c r="C2021" i="16"/>
  <c r="B2021" i="16"/>
  <c r="A2021" i="16"/>
  <c r="T2020" i="16"/>
  <c r="K2020" i="16"/>
  <c r="F2020" i="16"/>
  <c r="D2020" i="16"/>
  <c r="C2020" i="16"/>
  <c r="B2020" i="16"/>
  <c r="A2020" i="16"/>
  <c r="D2019" i="16"/>
  <c r="C2019" i="16"/>
  <c r="B2019" i="16"/>
  <c r="A2019" i="16"/>
  <c r="D2018" i="16"/>
  <c r="C2018" i="16"/>
  <c r="B2018" i="16"/>
  <c r="A2018" i="16"/>
  <c r="J2017" i="16"/>
  <c r="I2017" i="16"/>
  <c r="G2017" i="16"/>
  <c r="D2017" i="16"/>
  <c r="C2017" i="16"/>
  <c r="B2017" i="16"/>
  <c r="A2017" i="16"/>
  <c r="K2017" i="16" s="1"/>
  <c r="P2016" i="16"/>
  <c r="O2016" i="16"/>
  <c r="N2016" i="16"/>
  <c r="M2016" i="16"/>
  <c r="L2016" i="16"/>
  <c r="K2016" i="16"/>
  <c r="G2016" i="16"/>
  <c r="F2016" i="16"/>
  <c r="E2016" i="16"/>
  <c r="D2016" i="16"/>
  <c r="C2016" i="16"/>
  <c r="B2016" i="16"/>
  <c r="A2016" i="16"/>
  <c r="T2016" i="16" s="1"/>
  <c r="H2015" i="16"/>
  <c r="D2015" i="16"/>
  <c r="C2015" i="16"/>
  <c r="B2015" i="16"/>
  <c r="A2015" i="16"/>
  <c r="H2014" i="16"/>
  <c r="D2014" i="16"/>
  <c r="C2014" i="16"/>
  <c r="B2014" i="16"/>
  <c r="A2014" i="16"/>
  <c r="J2013" i="16"/>
  <c r="I2013" i="16"/>
  <c r="D2013" i="16"/>
  <c r="C2013" i="16"/>
  <c r="B2013" i="16"/>
  <c r="A2013" i="16"/>
  <c r="D2012" i="16"/>
  <c r="C2012" i="16"/>
  <c r="B2012" i="16"/>
  <c r="A2012" i="16"/>
  <c r="T2011" i="16"/>
  <c r="P2011" i="16"/>
  <c r="O2011" i="16"/>
  <c r="M2011" i="16"/>
  <c r="H2011" i="16"/>
  <c r="G2011" i="16"/>
  <c r="E2011" i="16"/>
  <c r="D2011" i="16"/>
  <c r="C2011" i="16"/>
  <c r="B2011" i="16"/>
  <c r="A2011" i="16"/>
  <c r="K2011" i="16" s="1"/>
  <c r="M2010" i="16"/>
  <c r="L2010" i="16"/>
  <c r="H2010" i="16"/>
  <c r="F2010" i="16"/>
  <c r="D2010" i="16"/>
  <c r="C2010" i="16"/>
  <c r="B2010" i="16"/>
  <c r="A2010" i="16"/>
  <c r="K2009" i="16"/>
  <c r="I2009" i="16"/>
  <c r="E2009" i="16"/>
  <c r="D2009" i="16"/>
  <c r="C2009" i="16"/>
  <c r="B2009" i="16"/>
  <c r="A2009" i="16"/>
  <c r="N2009" i="16" s="1"/>
  <c r="P2008" i="16"/>
  <c r="O2008" i="16"/>
  <c r="N2008" i="16"/>
  <c r="M2008" i="16"/>
  <c r="L2008" i="16"/>
  <c r="H2008" i="16"/>
  <c r="G2008" i="16"/>
  <c r="F2008" i="16"/>
  <c r="E2008" i="16"/>
  <c r="D2008" i="16"/>
  <c r="C2008" i="16"/>
  <c r="B2008" i="16"/>
  <c r="A2008" i="16"/>
  <c r="T2008" i="16" s="1"/>
  <c r="L2007" i="16"/>
  <c r="D2007" i="16"/>
  <c r="C2007" i="16"/>
  <c r="B2007" i="16"/>
  <c r="A2007" i="16"/>
  <c r="J2006" i="16"/>
  <c r="I2006" i="16"/>
  <c r="D2006" i="16"/>
  <c r="C2006" i="16"/>
  <c r="B2006" i="16"/>
  <c r="A2006" i="16"/>
  <c r="D2005" i="16"/>
  <c r="C2005" i="16"/>
  <c r="B2005" i="16"/>
  <c r="A2005" i="16"/>
  <c r="D2004" i="16"/>
  <c r="C2004" i="16"/>
  <c r="B2004" i="16"/>
  <c r="A2004" i="16"/>
  <c r="T2003" i="16"/>
  <c r="D2003" i="16"/>
  <c r="C2003" i="16"/>
  <c r="B2003" i="16"/>
  <c r="A2003" i="16"/>
  <c r="D2002" i="16"/>
  <c r="C2002" i="16"/>
  <c r="B2002" i="16"/>
  <c r="A2002" i="16"/>
  <c r="D2001" i="16"/>
  <c r="C2001" i="16"/>
  <c r="B2001" i="16"/>
  <c r="A2001" i="16"/>
  <c r="P2000" i="16"/>
  <c r="M2000" i="16"/>
  <c r="H2000" i="16"/>
  <c r="G2000" i="16"/>
  <c r="D2000" i="16"/>
  <c r="C2000" i="16"/>
  <c r="B2000" i="16"/>
  <c r="A2000" i="16"/>
  <c r="M1999" i="16"/>
  <c r="H1999" i="16"/>
  <c r="G1999" i="16"/>
  <c r="F1999" i="16"/>
  <c r="E1999" i="16"/>
  <c r="D1999" i="16"/>
  <c r="C1999" i="16"/>
  <c r="B1999" i="16"/>
  <c r="A1999" i="16"/>
  <c r="T1998" i="16"/>
  <c r="P1998" i="16"/>
  <c r="O1998" i="16"/>
  <c r="N1998" i="16"/>
  <c r="H1998" i="16"/>
  <c r="G1998" i="16"/>
  <c r="F1998" i="16"/>
  <c r="E1998" i="16"/>
  <c r="D1998" i="16"/>
  <c r="C1998" i="16"/>
  <c r="B1998" i="16"/>
  <c r="A1998" i="16"/>
  <c r="K1998" i="16" s="1"/>
  <c r="M1997" i="16"/>
  <c r="F1997" i="16"/>
  <c r="E1997" i="16"/>
  <c r="D1997" i="16"/>
  <c r="C1997" i="16"/>
  <c r="B1997" i="16"/>
  <c r="A1997" i="16"/>
  <c r="N1997" i="16" s="1"/>
  <c r="D1996" i="16"/>
  <c r="C1996" i="16"/>
  <c r="B1996" i="16"/>
  <c r="A1996" i="16"/>
  <c r="T1995" i="16"/>
  <c r="P1995" i="16"/>
  <c r="O1995" i="16"/>
  <c r="M1995" i="16"/>
  <c r="L1995" i="16"/>
  <c r="I1995" i="16"/>
  <c r="H1995" i="16"/>
  <c r="G1995" i="16"/>
  <c r="E1995" i="16"/>
  <c r="D1995" i="16"/>
  <c r="C1995" i="16"/>
  <c r="B1995" i="16"/>
  <c r="A1995" i="16"/>
  <c r="K1995" i="16" s="1"/>
  <c r="L1994" i="16"/>
  <c r="K1994" i="16"/>
  <c r="J1994" i="16"/>
  <c r="E1994" i="16"/>
  <c r="D1994" i="16"/>
  <c r="C1994" i="16"/>
  <c r="B1994" i="16"/>
  <c r="A1994" i="16"/>
  <c r="D1993" i="16"/>
  <c r="C1993" i="16"/>
  <c r="B1993" i="16"/>
  <c r="A1993" i="16"/>
  <c r="H1992" i="16"/>
  <c r="G1992" i="16"/>
  <c r="F1992" i="16"/>
  <c r="D1992" i="16"/>
  <c r="C1992" i="16"/>
  <c r="B1992" i="16"/>
  <c r="A1992" i="16"/>
  <c r="J1992" i="16" s="1"/>
  <c r="D1991" i="16"/>
  <c r="C1991" i="16"/>
  <c r="B1991" i="16"/>
  <c r="A1991" i="16"/>
  <c r="I1990" i="16"/>
  <c r="H1990" i="16"/>
  <c r="G1990" i="16"/>
  <c r="D1990" i="16"/>
  <c r="C1990" i="16"/>
  <c r="B1990" i="16"/>
  <c r="A1990" i="16"/>
  <c r="J1990" i="16" s="1"/>
  <c r="D1989" i="16"/>
  <c r="C1989" i="16"/>
  <c r="B1989" i="16"/>
  <c r="A1989" i="16"/>
  <c r="K1989" i="16" s="1"/>
  <c r="D1988" i="16"/>
  <c r="C1988" i="16"/>
  <c r="B1988" i="16"/>
  <c r="A1988" i="16"/>
  <c r="I1987" i="16"/>
  <c r="H1987" i="16"/>
  <c r="G1987" i="16"/>
  <c r="E1987" i="16"/>
  <c r="D1987" i="16"/>
  <c r="C1987" i="16"/>
  <c r="B1987" i="16"/>
  <c r="A1987" i="16"/>
  <c r="T1986" i="16"/>
  <c r="P1986" i="16"/>
  <c r="M1986" i="16"/>
  <c r="K1986" i="16"/>
  <c r="I1986" i="16"/>
  <c r="E1986" i="16"/>
  <c r="D1986" i="16"/>
  <c r="C1986" i="16"/>
  <c r="B1986" i="16"/>
  <c r="A1986" i="16"/>
  <c r="M1985" i="16"/>
  <c r="D1985" i="16"/>
  <c r="C1985" i="16"/>
  <c r="B1985" i="16"/>
  <c r="A1985" i="16"/>
  <c r="P1984" i="16"/>
  <c r="O1984" i="16"/>
  <c r="N1984" i="16"/>
  <c r="M1984" i="16"/>
  <c r="L1984" i="16"/>
  <c r="K1984" i="16"/>
  <c r="H1984" i="16"/>
  <c r="G1984" i="16"/>
  <c r="F1984" i="16"/>
  <c r="E1984" i="16"/>
  <c r="D1984" i="16"/>
  <c r="C1984" i="16"/>
  <c r="B1984" i="16"/>
  <c r="A1984" i="16"/>
  <c r="T1984" i="16" s="1"/>
  <c r="T1983" i="16"/>
  <c r="P1983" i="16"/>
  <c r="O1983" i="16"/>
  <c r="N1983" i="16"/>
  <c r="M1983" i="16"/>
  <c r="L1983" i="16"/>
  <c r="G1983" i="16"/>
  <c r="F1983" i="16"/>
  <c r="E1983" i="16"/>
  <c r="D1983" i="16"/>
  <c r="C1983" i="16"/>
  <c r="B1983" i="16"/>
  <c r="A1983" i="16"/>
  <c r="J1983" i="16" s="1"/>
  <c r="P1982" i="16"/>
  <c r="O1982" i="16"/>
  <c r="L1982" i="16"/>
  <c r="J1982" i="16"/>
  <c r="F1982" i="16"/>
  <c r="E1982" i="16"/>
  <c r="D1982" i="16"/>
  <c r="C1982" i="16"/>
  <c r="B1982" i="16"/>
  <c r="A1982" i="16"/>
  <c r="D1981" i="16"/>
  <c r="C1981" i="16"/>
  <c r="B1981" i="16"/>
  <c r="A1981" i="16"/>
  <c r="L1980" i="16"/>
  <c r="D1980" i="16"/>
  <c r="C1980" i="16"/>
  <c r="B1980" i="16"/>
  <c r="A1980" i="16"/>
  <c r="L1979" i="16"/>
  <c r="I1979" i="16"/>
  <c r="D1979" i="16"/>
  <c r="C1979" i="16"/>
  <c r="B1979" i="16"/>
  <c r="A1979" i="16"/>
  <c r="D1978" i="16"/>
  <c r="C1978" i="16"/>
  <c r="B1978" i="16"/>
  <c r="A1978" i="16"/>
  <c r="T1977" i="16"/>
  <c r="D1977" i="16"/>
  <c r="C1977" i="16"/>
  <c r="B1977" i="16"/>
  <c r="A1977" i="16"/>
  <c r="N1976" i="16"/>
  <c r="M1976" i="16"/>
  <c r="K1976" i="16"/>
  <c r="J1976" i="16"/>
  <c r="H1976" i="16"/>
  <c r="E1976" i="16"/>
  <c r="D1976" i="16"/>
  <c r="C1976" i="16"/>
  <c r="B1976" i="16"/>
  <c r="A1976" i="16"/>
  <c r="F1975" i="16"/>
  <c r="D1975" i="16"/>
  <c r="C1975" i="16"/>
  <c r="B1975" i="16"/>
  <c r="A1975" i="16"/>
  <c r="T1974" i="16"/>
  <c r="G1974" i="16"/>
  <c r="F1974" i="16"/>
  <c r="E1974" i="16"/>
  <c r="D1974" i="16"/>
  <c r="C1974" i="16"/>
  <c r="B1974" i="16"/>
  <c r="A1974" i="16"/>
  <c r="H1974" i="16" s="1"/>
  <c r="N1973" i="16"/>
  <c r="D1973" i="16"/>
  <c r="C1973" i="16"/>
  <c r="B1973" i="16"/>
  <c r="A1973" i="16"/>
  <c r="O1973" i="16" s="1"/>
  <c r="T1972" i="16"/>
  <c r="D1972" i="16"/>
  <c r="C1972" i="16"/>
  <c r="B1972" i="16"/>
  <c r="A1972" i="16"/>
  <c r="T1971" i="16"/>
  <c r="O1971" i="16"/>
  <c r="M1971" i="16"/>
  <c r="G1971" i="16"/>
  <c r="E1971" i="16"/>
  <c r="D1971" i="16"/>
  <c r="C1971" i="16"/>
  <c r="B1971" i="16"/>
  <c r="A1971" i="16"/>
  <c r="M1970" i="16"/>
  <c r="D1970" i="16"/>
  <c r="C1970" i="16"/>
  <c r="B1970" i="16"/>
  <c r="A1970" i="16"/>
  <c r="N1969" i="16"/>
  <c r="M1969" i="16"/>
  <c r="D1969" i="16"/>
  <c r="C1969" i="16"/>
  <c r="B1969" i="16"/>
  <c r="A1969" i="16"/>
  <c r="O1968" i="16"/>
  <c r="N1968" i="16"/>
  <c r="G1968" i="16"/>
  <c r="D1968" i="16"/>
  <c r="C1968" i="16"/>
  <c r="B1968" i="16"/>
  <c r="A1968" i="16"/>
  <c r="D1967" i="16"/>
  <c r="C1967" i="16"/>
  <c r="B1967" i="16"/>
  <c r="A1967" i="16"/>
  <c r="L1966" i="16"/>
  <c r="H1966" i="16"/>
  <c r="D1966" i="16"/>
  <c r="C1966" i="16"/>
  <c r="B1966" i="16"/>
  <c r="A1966" i="16"/>
  <c r="M1965" i="16"/>
  <c r="I1965" i="16"/>
  <c r="D1965" i="16"/>
  <c r="C1965" i="16"/>
  <c r="B1965" i="16"/>
  <c r="A1965" i="16"/>
  <c r="D1964" i="16"/>
  <c r="C1964" i="16"/>
  <c r="B1964" i="16"/>
  <c r="A1964" i="16"/>
  <c r="D1963" i="16"/>
  <c r="C1963" i="16"/>
  <c r="B1963" i="16"/>
  <c r="A1963" i="16"/>
  <c r="I1962" i="16"/>
  <c r="H1962" i="16"/>
  <c r="D1962" i="16"/>
  <c r="C1962" i="16"/>
  <c r="B1962" i="16"/>
  <c r="A1962" i="16"/>
  <c r="N1962" i="16" s="1"/>
  <c r="N1961" i="16"/>
  <c r="M1961" i="16"/>
  <c r="I1961" i="16"/>
  <c r="D1961" i="16"/>
  <c r="C1961" i="16"/>
  <c r="B1961" i="16"/>
  <c r="A1961" i="16"/>
  <c r="J1960" i="16"/>
  <c r="H1960" i="16"/>
  <c r="G1960" i="16"/>
  <c r="F1960" i="16"/>
  <c r="D1960" i="16"/>
  <c r="C1960" i="16"/>
  <c r="B1960" i="16"/>
  <c r="A1960" i="16"/>
  <c r="T1959" i="16"/>
  <c r="P1959" i="16"/>
  <c r="O1959" i="16"/>
  <c r="N1959" i="16"/>
  <c r="M1959" i="16"/>
  <c r="H1959" i="16"/>
  <c r="G1959" i="16"/>
  <c r="F1959" i="16"/>
  <c r="E1959" i="16"/>
  <c r="D1959" i="16"/>
  <c r="C1959" i="16"/>
  <c r="B1959" i="16"/>
  <c r="A1959" i="16"/>
  <c r="J1959" i="16" s="1"/>
  <c r="M1958" i="16"/>
  <c r="L1958" i="16"/>
  <c r="F1958" i="16"/>
  <c r="E1958" i="16"/>
  <c r="D1958" i="16"/>
  <c r="C1958" i="16"/>
  <c r="B1958" i="16"/>
  <c r="A1958" i="16"/>
  <c r="O1957" i="16"/>
  <c r="N1957" i="16"/>
  <c r="M1957" i="16"/>
  <c r="K1957" i="16"/>
  <c r="D1957" i="16"/>
  <c r="C1957" i="16"/>
  <c r="B1957" i="16"/>
  <c r="A1957" i="16"/>
  <c r="T1956" i="16"/>
  <c r="P1956" i="16"/>
  <c r="I1956" i="16"/>
  <c r="H1956" i="16"/>
  <c r="G1956" i="16"/>
  <c r="F1956" i="16"/>
  <c r="D1956" i="16"/>
  <c r="C1956" i="16"/>
  <c r="B1956" i="16"/>
  <c r="A1956" i="16"/>
  <c r="L1955" i="16"/>
  <c r="K1955" i="16"/>
  <c r="J1955" i="16"/>
  <c r="E1955" i="16"/>
  <c r="D1955" i="16"/>
  <c r="C1955" i="16"/>
  <c r="B1955" i="16"/>
  <c r="A1955" i="16"/>
  <c r="L1954" i="16"/>
  <c r="K1954" i="16"/>
  <c r="J1954" i="16"/>
  <c r="I1954" i="16"/>
  <c r="D1954" i="16"/>
  <c r="C1954" i="16"/>
  <c r="B1954" i="16"/>
  <c r="A1954" i="16"/>
  <c r="D1953" i="16"/>
  <c r="C1953" i="16"/>
  <c r="B1953" i="16"/>
  <c r="A1953" i="16"/>
  <c r="N1952" i="16"/>
  <c r="M1952" i="16"/>
  <c r="K1952" i="16"/>
  <c r="J1952" i="16"/>
  <c r="H1952" i="16"/>
  <c r="E1952" i="16"/>
  <c r="D1952" i="16"/>
  <c r="C1952" i="16"/>
  <c r="B1952" i="16"/>
  <c r="A1952" i="16"/>
  <c r="T1951" i="16"/>
  <c r="I1951" i="16"/>
  <c r="H1951" i="16"/>
  <c r="G1951" i="16"/>
  <c r="F1951" i="16"/>
  <c r="D1951" i="16"/>
  <c r="C1951" i="16"/>
  <c r="B1951" i="16"/>
  <c r="A1951" i="16"/>
  <c r="P1951" i="16" s="1"/>
  <c r="D1950" i="16"/>
  <c r="C1950" i="16"/>
  <c r="B1950" i="16"/>
  <c r="A1950" i="16"/>
  <c r="T1949" i="16"/>
  <c r="P1949" i="16"/>
  <c r="I1949" i="16"/>
  <c r="H1949" i="16"/>
  <c r="G1949" i="16"/>
  <c r="F1949" i="16"/>
  <c r="D1949" i="16"/>
  <c r="C1949" i="16"/>
  <c r="B1949" i="16"/>
  <c r="A1949" i="16"/>
  <c r="O1949" i="16" s="1"/>
  <c r="D1948" i="16"/>
  <c r="C1948" i="16"/>
  <c r="B1948" i="16"/>
  <c r="A1948" i="16"/>
  <c r="D1947" i="16"/>
  <c r="C1947" i="16"/>
  <c r="B1947" i="16"/>
  <c r="A1947" i="16"/>
  <c r="T1946" i="16"/>
  <c r="M1946" i="16"/>
  <c r="L1946" i="16"/>
  <c r="F1946" i="16"/>
  <c r="E1946" i="16"/>
  <c r="D1946" i="16"/>
  <c r="C1946" i="16"/>
  <c r="B1946" i="16"/>
  <c r="A1946" i="16"/>
  <c r="D1945" i="16"/>
  <c r="C1945" i="16"/>
  <c r="B1945" i="16"/>
  <c r="A1945" i="16"/>
  <c r="O1944" i="16"/>
  <c r="F1944" i="16"/>
  <c r="D1944" i="16"/>
  <c r="C1944" i="16"/>
  <c r="B1944" i="16"/>
  <c r="A1944" i="16"/>
  <c r="D1943" i="16"/>
  <c r="C1943" i="16"/>
  <c r="B1943" i="16"/>
  <c r="A1943" i="16"/>
  <c r="D1942" i="16"/>
  <c r="C1942" i="16"/>
  <c r="B1942" i="16"/>
  <c r="A1942" i="16"/>
  <c r="D1941" i="16"/>
  <c r="C1941" i="16"/>
  <c r="B1941" i="16"/>
  <c r="A1941" i="16"/>
  <c r="K1940" i="16"/>
  <c r="D1940" i="16"/>
  <c r="C1940" i="16"/>
  <c r="B1940" i="16"/>
  <c r="A1940" i="16"/>
  <c r="K1939" i="16"/>
  <c r="J1939" i="16"/>
  <c r="I1939" i="16"/>
  <c r="D1939" i="16"/>
  <c r="C1939" i="16"/>
  <c r="B1939" i="16"/>
  <c r="A1939" i="16"/>
  <c r="H1939" i="16" s="1"/>
  <c r="T1938" i="16"/>
  <c r="D1938" i="16"/>
  <c r="C1938" i="16"/>
  <c r="B1938" i="16"/>
  <c r="A1938" i="16"/>
  <c r="I1937" i="16"/>
  <c r="G1937" i="16"/>
  <c r="F1937" i="16"/>
  <c r="E1937" i="16"/>
  <c r="D1937" i="16"/>
  <c r="C1937" i="16"/>
  <c r="B1937" i="16"/>
  <c r="A1937" i="16"/>
  <c r="T1937" i="16" s="1"/>
  <c r="P1936" i="16"/>
  <c r="O1936" i="16"/>
  <c r="N1936" i="16"/>
  <c r="M1936" i="16"/>
  <c r="L1936" i="16"/>
  <c r="H1936" i="16"/>
  <c r="G1936" i="16"/>
  <c r="F1936" i="16"/>
  <c r="E1936" i="16"/>
  <c r="D1936" i="16"/>
  <c r="C1936" i="16"/>
  <c r="B1936" i="16"/>
  <c r="A1936" i="16"/>
  <c r="T1936" i="16" s="1"/>
  <c r="T1935" i="16"/>
  <c r="N1935" i="16"/>
  <c r="M1935" i="16"/>
  <c r="H1935" i="16"/>
  <c r="E1935" i="16"/>
  <c r="D1935" i="16"/>
  <c r="C1935" i="16"/>
  <c r="B1935" i="16"/>
  <c r="A1935" i="16"/>
  <c r="T1934" i="16"/>
  <c r="D1934" i="16"/>
  <c r="C1934" i="16"/>
  <c r="B1934" i="16"/>
  <c r="A1934" i="16"/>
  <c r="T1933" i="16"/>
  <c r="P1933" i="16"/>
  <c r="O1933" i="16"/>
  <c r="N1933" i="16"/>
  <c r="G1933" i="16"/>
  <c r="F1933" i="16"/>
  <c r="E1933" i="16"/>
  <c r="D1933" i="16"/>
  <c r="C1933" i="16"/>
  <c r="B1933" i="16"/>
  <c r="A1933" i="16"/>
  <c r="L1933" i="16" s="1"/>
  <c r="N1932" i="16"/>
  <c r="L1932" i="16"/>
  <c r="I1932" i="16"/>
  <c r="H1932" i="16"/>
  <c r="D1932" i="16"/>
  <c r="C1932" i="16"/>
  <c r="B1932" i="16"/>
  <c r="A1932" i="16"/>
  <c r="L1931" i="16"/>
  <c r="K1931" i="16"/>
  <c r="I1931" i="16"/>
  <c r="D1931" i="16"/>
  <c r="C1931" i="16"/>
  <c r="B1931" i="16"/>
  <c r="A1931" i="16"/>
  <c r="P1931" i="16" s="1"/>
  <c r="K1930" i="16"/>
  <c r="D1930" i="16"/>
  <c r="C1930" i="16"/>
  <c r="B1930" i="16"/>
  <c r="A1930" i="16"/>
  <c r="N1930" i="16" s="1"/>
  <c r="D1929" i="16"/>
  <c r="C1929" i="16"/>
  <c r="B1929" i="16"/>
  <c r="A1929" i="16"/>
  <c r="P1928" i="16"/>
  <c r="K1928" i="16"/>
  <c r="H1928" i="16"/>
  <c r="G1928" i="16"/>
  <c r="F1928" i="16"/>
  <c r="E1928" i="16"/>
  <c r="D1928" i="16"/>
  <c r="C1928" i="16"/>
  <c r="B1928" i="16"/>
  <c r="A1928" i="16"/>
  <c r="T1927" i="16"/>
  <c r="P1927" i="16"/>
  <c r="K1927" i="16"/>
  <c r="I1927" i="16"/>
  <c r="D1927" i="16"/>
  <c r="C1927" i="16"/>
  <c r="B1927" i="16"/>
  <c r="A1927" i="16"/>
  <c r="J1926" i="16"/>
  <c r="I1926" i="16"/>
  <c r="D1926" i="16"/>
  <c r="C1926" i="16"/>
  <c r="B1926" i="16"/>
  <c r="A1926" i="16"/>
  <c r="D1925" i="16"/>
  <c r="C1925" i="16"/>
  <c r="B1925" i="16"/>
  <c r="A1925" i="16"/>
  <c r="T1924" i="16"/>
  <c r="I1924" i="16"/>
  <c r="H1924" i="16"/>
  <c r="G1924" i="16"/>
  <c r="D1924" i="16"/>
  <c r="C1924" i="16"/>
  <c r="B1924" i="16"/>
  <c r="A1924" i="16"/>
  <c r="J1924" i="16" s="1"/>
  <c r="D1923" i="16"/>
  <c r="C1923" i="16"/>
  <c r="B1923" i="16"/>
  <c r="A1923" i="16"/>
  <c r="T1922" i="16"/>
  <c r="P1922" i="16"/>
  <c r="I1922" i="16"/>
  <c r="H1922" i="16"/>
  <c r="F1922" i="16"/>
  <c r="E1922" i="16"/>
  <c r="D1922" i="16"/>
  <c r="C1922" i="16"/>
  <c r="B1922" i="16"/>
  <c r="A1922" i="16"/>
  <c r="N1922" i="16" s="1"/>
  <c r="T1921" i="16"/>
  <c r="O1921" i="16"/>
  <c r="N1921" i="16"/>
  <c r="M1921" i="16"/>
  <c r="D1921" i="16"/>
  <c r="C1921" i="16"/>
  <c r="B1921" i="16"/>
  <c r="A1921" i="16"/>
  <c r="P1920" i="16"/>
  <c r="K1920" i="16"/>
  <c r="J1920" i="16"/>
  <c r="H1920" i="16"/>
  <c r="G1920" i="16"/>
  <c r="D1920" i="16"/>
  <c r="C1920" i="16"/>
  <c r="B1920" i="16"/>
  <c r="A1920" i="16"/>
  <c r="T1919" i="16"/>
  <c r="P1919" i="16"/>
  <c r="D1919" i="16"/>
  <c r="C1919" i="16"/>
  <c r="B1919" i="16"/>
  <c r="A1919" i="16"/>
  <c r="T1918" i="16"/>
  <c r="G1918" i="16"/>
  <c r="F1918" i="16"/>
  <c r="E1918" i="16"/>
  <c r="D1918" i="16"/>
  <c r="C1918" i="16"/>
  <c r="B1918" i="16"/>
  <c r="A1918" i="16"/>
  <c r="J1918" i="16" s="1"/>
  <c r="N1917" i="16"/>
  <c r="J1917" i="16"/>
  <c r="F1917" i="16"/>
  <c r="E1917" i="16"/>
  <c r="D1917" i="16"/>
  <c r="C1917" i="16"/>
  <c r="B1917" i="16"/>
  <c r="A1917" i="16"/>
  <c r="N1916" i="16"/>
  <c r="L1916" i="16"/>
  <c r="K1916" i="16"/>
  <c r="D1916" i="16"/>
  <c r="C1916" i="16"/>
  <c r="B1916" i="16"/>
  <c r="A1916" i="16"/>
  <c r="M1915" i="16"/>
  <c r="L1915" i="16"/>
  <c r="K1915" i="16"/>
  <c r="D1915" i="16"/>
  <c r="C1915" i="16"/>
  <c r="B1915" i="16"/>
  <c r="A1915" i="16"/>
  <c r="D1914" i="16"/>
  <c r="C1914" i="16"/>
  <c r="B1914" i="16"/>
  <c r="A1914" i="16"/>
  <c r="J1913" i="16"/>
  <c r="F1913" i="16"/>
  <c r="D1913" i="16"/>
  <c r="C1913" i="16"/>
  <c r="B1913" i="16"/>
  <c r="A1913" i="16"/>
  <c r="M1912" i="16"/>
  <c r="L1912" i="16"/>
  <c r="K1912" i="16"/>
  <c r="J1912" i="16"/>
  <c r="D1912" i="16"/>
  <c r="C1912" i="16"/>
  <c r="B1912" i="16"/>
  <c r="A1912" i="16"/>
  <c r="H1911" i="16"/>
  <c r="D1911" i="16"/>
  <c r="C1911" i="16"/>
  <c r="B1911" i="16"/>
  <c r="A1911" i="16"/>
  <c r="O1911" i="16" s="1"/>
  <c r="H1910" i="16"/>
  <c r="G1910" i="16"/>
  <c r="F1910" i="16"/>
  <c r="E1910" i="16"/>
  <c r="D1910" i="16"/>
  <c r="C1910" i="16"/>
  <c r="B1910" i="16"/>
  <c r="A1910" i="16"/>
  <c r="T1910" i="16" s="1"/>
  <c r="P1909" i="16"/>
  <c r="O1909" i="16"/>
  <c r="N1909" i="16"/>
  <c r="F1909" i="16"/>
  <c r="D1909" i="16"/>
  <c r="C1909" i="16"/>
  <c r="B1909" i="16"/>
  <c r="A1909" i="16"/>
  <c r="O1908" i="16"/>
  <c r="N1908" i="16"/>
  <c r="I1908" i="16"/>
  <c r="D1908" i="16"/>
  <c r="C1908" i="16"/>
  <c r="B1908" i="16"/>
  <c r="A1908" i="16"/>
  <c r="T1907" i="16"/>
  <c r="P1907" i="16"/>
  <c r="O1907" i="16"/>
  <c r="M1907" i="16"/>
  <c r="H1907" i="16"/>
  <c r="G1907" i="16"/>
  <c r="E1907" i="16"/>
  <c r="D1907" i="16"/>
  <c r="C1907" i="16"/>
  <c r="B1907" i="16"/>
  <c r="A1907" i="16"/>
  <c r="L1907" i="16" s="1"/>
  <c r="M1906" i="16"/>
  <c r="L1906" i="16"/>
  <c r="K1906" i="16"/>
  <c r="D1906" i="16"/>
  <c r="C1906" i="16"/>
  <c r="B1906" i="16"/>
  <c r="A1906" i="16"/>
  <c r="L1905" i="16"/>
  <c r="E1905" i="16"/>
  <c r="D1905" i="16"/>
  <c r="C1905" i="16"/>
  <c r="B1905" i="16"/>
  <c r="A1905" i="16"/>
  <c r="D1904" i="16"/>
  <c r="C1904" i="16"/>
  <c r="B1904" i="16"/>
  <c r="A1904" i="16"/>
  <c r="L1903" i="16"/>
  <c r="K1903" i="16"/>
  <c r="D1903" i="16"/>
  <c r="C1903" i="16"/>
  <c r="B1903" i="16"/>
  <c r="A1903" i="16"/>
  <c r="M1902" i="16"/>
  <c r="L1902" i="16"/>
  <c r="D1902" i="16"/>
  <c r="C1902" i="16"/>
  <c r="B1902" i="16"/>
  <c r="A1902" i="16"/>
  <c r="D1901" i="16"/>
  <c r="C1901" i="16"/>
  <c r="B1901" i="16"/>
  <c r="A1901" i="16"/>
  <c r="T1900" i="16"/>
  <c r="D1900" i="16"/>
  <c r="C1900" i="16"/>
  <c r="B1900" i="16"/>
  <c r="A1900" i="16"/>
  <c r="I1899" i="16"/>
  <c r="D1899" i="16"/>
  <c r="C1899" i="16"/>
  <c r="B1899" i="16"/>
  <c r="A1899" i="16"/>
  <c r="T1898" i="16"/>
  <c r="P1898" i="16"/>
  <c r="D1898" i="16"/>
  <c r="C1898" i="16"/>
  <c r="B1898" i="16"/>
  <c r="A1898" i="16"/>
  <c r="T1897" i="16"/>
  <c r="O1897" i="16"/>
  <c r="I1897" i="16"/>
  <c r="G1897" i="16"/>
  <c r="F1897" i="16"/>
  <c r="E1897" i="16"/>
  <c r="D1897" i="16"/>
  <c r="C1897" i="16"/>
  <c r="B1897" i="16"/>
  <c r="A1897" i="16"/>
  <c r="N1897" i="16" s="1"/>
  <c r="P1896" i="16"/>
  <c r="O1896" i="16"/>
  <c r="N1896" i="16"/>
  <c r="M1896" i="16"/>
  <c r="L1896" i="16"/>
  <c r="K1896" i="16"/>
  <c r="G1896" i="16"/>
  <c r="F1896" i="16"/>
  <c r="E1896" i="16"/>
  <c r="D1896" i="16"/>
  <c r="C1896" i="16"/>
  <c r="B1896" i="16"/>
  <c r="A1896" i="16"/>
  <c r="T1896" i="16" s="1"/>
  <c r="D1895" i="16"/>
  <c r="C1895" i="16"/>
  <c r="B1895" i="16"/>
  <c r="A1895" i="16"/>
  <c r="T1894" i="16"/>
  <c r="N1894" i="16"/>
  <c r="D1894" i="16"/>
  <c r="C1894" i="16"/>
  <c r="B1894" i="16"/>
  <c r="A1894" i="16"/>
  <c r="T1893" i="16"/>
  <c r="K1893" i="16"/>
  <c r="D1893" i="16"/>
  <c r="C1893" i="16"/>
  <c r="B1893" i="16"/>
  <c r="A1893" i="16"/>
  <c r="T1892" i="16"/>
  <c r="P1892" i="16"/>
  <c r="O1892" i="16"/>
  <c r="N1892" i="16"/>
  <c r="L1892" i="16"/>
  <c r="H1892" i="16"/>
  <c r="G1892" i="16"/>
  <c r="F1892" i="16"/>
  <c r="D1892" i="16"/>
  <c r="C1892" i="16"/>
  <c r="B1892" i="16"/>
  <c r="A1892" i="16"/>
  <c r="K1892" i="16" s="1"/>
  <c r="D1891" i="16"/>
  <c r="C1891" i="16"/>
  <c r="B1891" i="16"/>
  <c r="A1891" i="16"/>
  <c r="M1890" i="16"/>
  <c r="D1890" i="16"/>
  <c r="C1890" i="16"/>
  <c r="B1890" i="16"/>
  <c r="A1890" i="16"/>
  <c r="D1889" i="16"/>
  <c r="C1889" i="16"/>
  <c r="B1889" i="16"/>
  <c r="A1889" i="16"/>
  <c r="N1888" i="16"/>
  <c r="M1888" i="16"/>
  <c r="K1888" i="16"/>
  <c r="J1888" i="16"/>
  <c r="H1888" i="16"/>
  <c r="E1888" i="16"/>
  <c r="D1888" i="16"/>
  <c r="C1888" i="16"/>
  <c r="B1888" i="16"/>
  <c r="A1888" i="16"/>
  <c r="G1887" i="16"/>
  <c r="F1887" i="16"/>
  <c r="D1887" i="16"/>
  <c r="C1887" i="16"/>
  <c r="B1887" i="16"/>
  <c r="A1887" i="16"/>
  <c r="D1886" i="16"/>
  <c r="C1886" i="16"/>
  <c r="B1886" i="16"/>
  <c r="A1886" i="16"/>
  <c r="H1885" i="16"/>
  <c r="G1885" i="16"/>
  <c r="F1885" i="16"/>
  <c r="D1885" i="16"/>
  <c r="C1885" i="16"/>
  <c r="B1885" i="16"/>
  <c r="A1885" i="16"/>
  <c r="T1885" i="16" s="1"/>
  <c r="O1884" i="16"/>
  <c r="J1884" i="16"/>
  <c r="D1884" i="16"/>
  <c r="C1884" i="16"/>
  <c r="B1884" i="16"/>
  <c r="A1884" i="16"/>
  <c r="P1884" i="16" s="1"/>
  <c r="I1883" i="16"/>
  <c r="H1883" i="16"/>
  <c r="G1883" i="16"/>
  <c r="D1883" i="16"/>
  <c r="C1883" i="16"/>
  <c r="B1883" i="16"/>
  <c r="A1883" i="16"/>
  <c r="M1883" i="16" s="1"/>
  <c r="T1882" i="16"/>
  <c r="P1882" i="16"/>
  <c r="N1882" i="16"/>
  <c r="M1882" i="16"/>
  <c r="H1882" i="16"/>
  <c r="F1882" i="16"/>
  <c r="E1882" i="16"/>
  <c r="D1882" i="16"/>
  <c r="C1882" i="16"/>
  <c r="B1882" i="16"/>
  <c r="A1882" i="16"/>
  <c r="L1882" i="16" s="1"/>
  <c r="M1881" i="16"/>
  <c r="L1881" i="16"/>
  <c r="I1881" i="16"/>
  <c r="D1881" i="16"/>
  <c r="C1881" i="16"/>
  <c r="B1881" i="16"/>
  <c r="A1881" i="16"/>
  <c r="P1880" i="16"/>
  <c r="L1880" i="16"/>
  <c r="K1880" i="16"/>
  <c r="D1880" i="16"/>
  <c r="C1880" i="16"/>
  <c r="B1880" i="16"/>
  <c r="A1880" i="16"/>
  <c r="D1879" i="16"/>
  <c r="C1879" i="16"/>
  <c r="B1879" i="16"/>
  <c r="A1879" i="16"/>
  <c r="D1878" i="16"/>
  <c r="C1878" i="16"/>
  <c r="B1878" i="16"/>
  <c r="A1878" i="16"/>
  <c r="K1877" i="16"/>
  <c r="J1877" i="16"/>
  <c r="D1877" i="16"/>
  <c r="C1877" i="16"/>
  <c r="B1877" i="16"/>
  <c r="A1877" i="16"/>
  <c r="K1876" i="16"/>
  <c r="D1876" i="16"/>
  <c r="C1876" i="16"/>
  <c r="B1876" i="16"/>
  <c r="A1876" i="16"/>
  <c r="D1875" i="16"/>
  <c r="C1875" i="16"/>
  <c r="B1875" i="16"/>
  <c r="A1875" i="16"/>
  <c r="T1874" i="16"/>
  <c r="J1874" i="16"/>
  <c r="D1874" i="16"/>
  <c r="C1874" i="16"/>
  <c r="B1874" i="16"/>
  <c r="A1874" i="16"/>
  <c r="D1873" i="16"/>
  <c r="C1873" i="16"/>
  <c r="B1873" i="16"/>
  <c r="A1873" i="16"/>
  <c r="P1872" i="16"/>
  <c r="O1872" i="16"/>
  <c r="N1872" i="16"/>
  <c r="M1872" i="16"/>
  <c r="L1872" i="16"/>
  <c r="H1872" i="16"/>
  <c r="G1872" i="16"/>
  <c r="F1872" i="16"/>
  <c r="E1872" i="16"/>
  <c r="D1872" i="16"/>
  <c r="C1872" i="16"/>
  <c r="B1872" i="16"/>
  <c r="A1872" i="16"/>
  <c r="T1872" i="16" s="1"/>
  <c r="T1871" i="16"/>
  <c r="P1871" i="16"/>
  <c r="N1871" i="16"/>
  <c r="M1871" i="16"/>
  <c r="H1871" i="16"/>
  <c r="E1871" i="16"/>
  <c r="D1871" i="16"/>
  <c r="C1871" i="16"/>
  <c r="B1871" i="16"/>
  <c r="A1871" i="16"/>
  <c r="N1870" i="16"/>
  <c r="H1870" i="16"/>
  <c r="G1870" i="16"/>
  <c r="F1870" i="16"/>
  <c r="E1870" i="16"/>
  <c r="D1870" i="16"/>
  <c r="C1870" i="16"/>
  <c r="B1870" i="16"/>
  <c r="A1870" i="16"/>
  <c r="T1869" i="16"/>
  <c r="P1869" i="16"/>
  <c r="O1869" i="16"/>
  <c r="N1869" i="16"/>
  <c r="G1869" i="16"/>
  <c r="F1869" i="16"/>
  <c r="E1869" i="16"/>
  <c r="D1869" i="16"/>
  <c r="C1869" i="16"/>
  <c r="B1869" i="16"/>
  <c r="A1869" i="16"/>
  <c r="L1869" i="16" s="1"/>
  <c r="P1868" i="16"/>
  <c r="N1868" i="16"/>
  <c r="L1868" i="16"/>
  <c r="I1868" i="16"/>
  <c r="H1868" i="16"/>
  <c r="D1868" i="16"/>
  <c r="C1868" i="16"/>
  <c r="B1868" i="16"/>
  <c r="A1868" i="16"/>
  <c r="P1867" i="16"/>
  <c r="L1867" i="16"/>
  <c r="H1867" i="16"/>
  <c r="D1867" i="16"/>
  <c r="C1867" i="16"/>
  <c r="B1867" i="16"/>
  <c r="A1867" i="16"/>
  <c r="N1866" i="16"/>
  <c r="M1866" i="16"/>
  <c r="D1866" i="16"/>
  <c r="C1866" i="16"/>
  <c r="B1866" i="16"/>
  <c r="A1866" i="16"/>
  <c r="L1865" i="16"/>
  <c r="K1865" i="16"/>
  <c r="J1865" i="16"/>
  <c r="I1865" i="16"/>
  <c r="D1865" i="16"/>
  <c r="C1865" i="16"/>
  <c r="B1865" i="16"/>
  <c r="A1865" i="16"/>
  <c r="P1864" i="16"/>
  <c r="O1864" i="16"/>
  <c r="N1864" i="16"/>
  <c r="M1864" i="16"/>
  <c r="L1864" i="16"/>
  <c r="K1864" i="16"/>
  <c r="G1864" i="16"/>
  <c r="F1864" i="16"/>
  <c r="E1864" i="16"/>
  <c r="D1864" i="16"/>
  <c r="C1864" i="16"/>
  <c r="B1864" i="16"/>
  <c r="A1864" i="16"/>
  <c r="T1864" i="16" s="1"/>
  <c r="K1863" i="16"/>
  <c r="I1863" i="16"/>
  <c r="H1863" i="16"/>
  <c r="G1863" i="16"/>
  <c r="D1863" i="16"/>
  <c r="C1863" i="16"/>
  <c r="B1863" i="16"/>
  <c r="A1863" i="16"/>
  <c r="P1863" i="16" s="1"/>
  <c r="P1862" i="16"/>
  <c r="L1862" i="16"/>
  <c r="J1862" i="16"/>
  <c r="I1862" i="16"/>
  <c r="D1862" i="16"/>
  <c r="C1862" i="16"/>
  <c r="B1862" i="16"/>
  <c r="A1862" i="16"/>
  <c r="J1861" i="16"/>
  <c r="I1861" i="16"/>
  <c r="H1861" i="16"/>
  <c r="G1861" i="16"/>
  <c r="D1861" i="16"/>
  <c r="C1861" i="16"/>
  <c r="B1861" i="16"/>
  <c r="A1861" i="16"/>
  <c r="T1861" i="16" s="1"/>
  <c r="J1860" i="16"/>
  <c r="I1860" i="16"/>
  <c r="H1860" i="16"/>
  <c r="G1860" i="16"/>
  <c r="D1860" i="16"/>
  <c r="C1860" i="16"/>
  <c r="B1860" i="16"/>
  <c r="A1860" i="16"/>
  <c r="D1859" i="16"/>
  <c r="C1859" i="16"/>
  <c r="B1859" i="16"/>
  <c r="A1859" i="16"/>
  <c r="D1858" i="16"/>
  <c r="C1858" i="16"/>
  <c r="B1858" i="16"/>
  <c r="A1858" i="16"/>
  <c r="T1857" i="16"/>
  <c r="O1857" i="16"/>
  <c r="N1857" i="16"/>
  <c r="M1857" i="16"/>
  <c r="G1857" i="16"/>
  <c r="F1857" i="16"/>
  <c r="E1857" i="16"/>
  <c r="D1857" i="16"/>
  <c r="C1857" i="16"/>
  <c r="B1857" i="16"/>
  <c r="A1857" i="16"/>
  <c r="L1857" i="16" s="1"/>
  <c r="L1856" i="16"/>
  <c r="K1856" i="16"/>
  <c r="E1856" i="16"/>
  <c r="D1856" i="16"/>
  <c r="C1856" i="16"/>
  <c r="B1856" i="16"/>
  <c r="A1856" i="16"/>
  <c r="N1856" i="16" s="1"/>
  <c r="O1855" i="16"/>
  <c r="L1855" i="16"/>
  <c r="K1855" i="16"/>
  <c r="H1855" i="16"/>
  <c r="E1855" i="16"/>
  <c r="D1855" i="16"/>
  <c r="C1855" i="16"/>
  <c r="B1855" i="16"/>
  <c r="A1855" i="16"/>
  <c r="N1854" i="16"/>
  <c r="M1854" i="16"/>
  <c r="L1854" i="16"/>
  <c r="H1854" i="16"/>
  <c r="D1854" i="16"/>
  <c r="C1854" i="16"/>
  <c r="B1854" i="16"/>
  <c r="A1854" i="16"/>
  <c r="T1853" i="16"/>
  <c r="P1853" i="16"/>
  <c r="M1853" i="16"/>
  <c r="J1853" i="16"/>
  <c r="H1853" i="16"/>
  <c r="G1853" i="16"/>
  <c r="F1853" i="16"/>
  <c r="D1853" i="16"/>
  <c r="C1853" i="16"/>
  <c r="B1853" i="16"/>
  <c r="A1853" i="16"/>
  <c r="N1852" i="16"/>
  <c r="D1852" i="16"/>
  <c r="C1852" i="16"/>
  <c r="B1852" i="16"/>
  <c r="A1852" i="16"/>
  <c r="D1851" i="16"/>
  <c r="C1851" i="16"/>
  <c r="B1851" i="16"/>
  <c r="A1851" i="16"/>
  <c r="I1850" i="16"/>
  <c r="H1850" i="16"/>
  <c r="D1850" i="16"/>
  <c r="C1850" i="16"/>
  <c r="B1850" i="16"/>
  <c r="A1850" i="16"/>
  <c r="D1849" i="16"/>
  <c r="C1849" i="16"/>
  <c r="B1849" i="16"/>
  <c r="A1849" i="16"/>
  <c r="K1849" i="16" s="1"/>
  <c r="O1848" i="16"/>
  <c r="J1848" i="16"/>
  <c r="G1848" i="16"/>
  <c r="F1848" i="16"/>
  <c r="D1848" i="16"/>
  <c r="C1848" i="16"/>
  <c r="B1848" i="16"/>
  <c r="A1848" i="16"/>
  <c r="P1847" i="16"/>
  <c r="O1847" i="16"/>
  <c r="N1847" i="16"/>
  <c r="F1847" i="16"/>
  <c r="D1847" i="16"/>
  <c r="C1847" i="16"/>
  <c r="B1847" i="16"/>
  <c r="A1847" i="16"/>
  <c r="H1846" i="16"/>
  <c r="G1846" i="16"/>
  <c r="D1846" i="16"/>
  <c r="C1846" i="16"/>
  <c r="B1846" i="16"/>
  <c r="A1846" i="16"/>
  <c r="H1845" i="16"/>
  <c r="G1845" i="16"/>
  <c r="F1845" i="16"/>
  <c r="E1845" i="16"/>
  <c r="D1845" i="16"/>
  <c r="C1845" i="16"/>
  <c r="B1845" i="16"/>
  <c r="A1845" i="16"/>
  <c r="T1845" i="16" s="1"/>
  <c r="T1844" i="16"/>
  <c r="O1844" i="16"/>
  <c r="N1844" i="16"/>
  <c r="I1844" i="16"/>
  <c r="D1844" i="16"/>
  <c r="C1844" i="16"/>
  <c r="B1844" i="16"/>
  <c r="A1844" i="16"/>
  <c r="P1843" i="16"/>
  <c r="L1843" i="16"/>
  <c r="G1843" i="16"/>
  <c r="E1843" i="16"/>
  <c r="D1843" i="16"/>
  <c r="C1843" i="16"/>
  <c r="B1843" i="16"/>
  <c r="A1843" i="16"/>
  <c r="T1842" i="16"/>
  <c r="P1842" i="16"/>
  <c r="N1842" i="16"/>
  <c r="M1842" i="16"/>
  <c r="L1842" i="16"/>
  <c r="H1842" i="16"/>
  <c r="F1842" i="16"/>
  <c r="E1842" i="16"/>
  <c r="D1842" i="16"/>
  <c r="C1842" i="16"/>
  <c r="B1842" i="16"/>
  <c r="A1842" i="16"/>
  <c r="K1842" i="16" s="1"/>
  <c r="K1841" i="16"/>
  <c r="J1841" i="16"/>
  <c r="E1841" i="16"/>
  <c r="D1841" i="16"/>
  <c r="C1841" i="16"/>
  <c r="B1841" i="16"/>
  <c r="A1841" i="16"/>
  <c r="L1841" i="16" s="1"/>
  <c r="O1840" i="16"/>
  <c r="N1840" i="16"/>
  <c r="L1840" i="16"/>
  <c r="D1840" i="16"/>
  <c r="C1840" i="16"/>
  <c r="B1840" i="16"/>
  <c r="A1840" i="16"/>
  <c r="D1839" i="16"/>
  <c r="C1839" i="16"/>
  <c r="B1839" i="16"/>
  <c r="A1839" i="16"/>
  <c r="D1838" i="16"/>
  <c r="C1838" i="16"/>
  <c r="B1838" i="16"/>
  <c r="A1838" i="16"/>
  <c r="D1837" i="16"/>
  <c r="C1837" i="16"/>
  <c r="B1837" i="16"/>
  <c r="A1837" i="16"/>
  <c r="D1836" i="16"/>
  <c r="C1836" i="16"/>
  <c r="B1836" i="16"/>
  <c r="A1836" i="16"/>
  <c r="D1835" i="16"/>
  <c r="C1835" i="16"/>
  <c r="B1835" i="16"/>
  <c r="A1835" i="16"/>
  <c r="D1834" i="16"/>
  <c r="C1834" i="16"/>
  <c r="B1834" i="16"/>
  <c r="A1834" i="16"/>
  <c r="T1833" i="16"/>
  <c r="M1833" i="16"/>
  <c r="G1833" i="16"/>
  <c r="D1833" i="16"/>
  <c r="C1833" i="16"/>
  <c r="B1833" i="16"/>
  <c r="A1833" i="16"/>
  <c r="P1832" i="16"/>
  <c r="O1832" i="16"/>
  <c r="N1832" i="16"/>
  <c r="M1832" i="16"/>
  <c r="L1832" i="16"/>
  <c r="H1832" i="16"/>
  <c r="G1832" i="16"/>
  <c r="F1832" i="16"/>
  <c r="E1832" i="16"/>
  <c r="D1832" i="16"/>
  <c r="C1832" i="16"/>
  <c r="B1832" i="16"/>
  <c r="A1832" i="16"/>
  <c r="T1832" i="16" s="1"/>
  <c r="P1831" i="16"/>
  <c r="O1831" i="16"/>
  <c r="N1831" i="16"/>
  <c r="L1831" i="16"/>
  <c r="D1831" i="16"/>
  <c r="C1831" i="16"/>
  <c r="B1831" i="16"/>
  <c r="A1831" i="16"/>
  <c r="D1830" i="16"/>
  <c r="C1830" i="16"/>
  <c r="B1830" i="16"/>
  <c r="A1830" i="16"/>
  <c r="K1829" i="16"/>
  <c r="G1829" i="16"/>
  <c r="F1829" i="16"/>
  <c r="E1829" i="16"/>
  <c r="D1829" i="16"/>
  <c r="C1829" i="16"/>
  <c r="B1829" i="16"/>
  <c r="A1829" i="16"/>
  <c r="T1828" i="16"/>
  <c r="P1828" i="16"/>
  <c r="O1828" i="16"/>
  <c r="N1828" i="16"/>
  <c r="I1828" i="16"/>
  <c r="H1828" i="16"/>
  <c r="G1828" i="16"/>
  <c r="F1828" i="16"/>
  <c r="D1828" i="16"/>
  <c r="C1828" i="16"/>
  <c r="B1828" i="16"/>
  <c r="A1828" i="16"/>
  <c r="L1828" i="16" s="1"/>
  <c r="D1827" i="16"/>
  <c r="C1827" i="16"/>
  <c r="B1827" i="16"/>
  <c r="A1827" i="16"/>
  <c r="M1826" i="16"/>
  <c r="D1826" i="16"/>
  <c r="C1826" i="16"/>
  <c r="B1826" i="16"/>
  <c r="A1826" i="16"/>
  <c r="J1825" i="16"/>
  <c r="I1825" i="16"/>
  <c r="G1825" i="16"/>
  <c r="D1825" i="16"/>
  <c r="C1825" i="16"/>
  <c r="B1825" i="16"/>
  <c r="A1825" i="16"/>
  <c r="K1825" i="16" s="1"/>
  <c r="P1824" i="16"/>
  <c r="O1824" i="16"/>
  <c r="N1824" i="16"/>
  <c r="M1824" i="16"/>
  <c r="L1824" i="16"/>
  <c r="K1824" i="16"/>
  <c r="G1824" i="16"/>
  <c r="F1824" i="16"/>
  <c r="E1824" i="16"/>
  <c r="D1824" i="16"/>
  <c r="C1824" i="16"/>
  <c r="B1824" i="16"/>
  <c r="A1824" i="16"/>
  <c r="T1824" i="16" s="1"/>
  <c r="D1823" i="16"/>
  <c r="C1823" i="16"/>
  <c r="B1823" i="16"/>
  <c r="A1823" i="16"/>
  <c r="P1822" i="16"/>
  <c r="O1822" i="16"/>
  <c r="G1822" i="16"/>
  <c r="F1822" i="16"/>
  <c r="D1822" i="16"/>
  <c r="C1822" i="16"/>
  <c r="B1822" i="16"/>
  <c r="A1822" i="16"/>
  <c r="D1821" i="16"/>
  <c r="C1821" i="16"/>
  <c r="B1821" i="16"/>
  <c r="A1821" i="16"/>
  <c r="T1820" i="16"/>
  <c r="P1820" i="16"/>
  <c r="I1820" i="16"/>
  <c r="H1820" i="16"/>
  <c r="G1820" i="16"/>
  <c r="F1820" i="16"/>
  <c r="D1820" i="16"/>
  <c r="C1820" i="16"/>
  <c r="B1820" i="16"/>
  <c r="A1820" i="16"/>
  <c r="O1820" i="16" s="1"/>
  <c r="P1819" i="16"/>
  <c r="M1819" i="16"/>
  <c r="D1819" i="16"/>
  <c r="C1819" i="16"/>
  <c r="B1819" i="16"/>
  <c r="A1819" i="16"/>
  <c r="D1818" i="16"/>
  <c r="C1818" i="16"/>
  <c r="B1818" i="16"/>
  <c r="A1818" i="16"/>
  <c r="T1817" i="16"/>
  <c r="O1817" i="16"/>
  <c r="N1817" i="16"/>
  <c r="M1817" i="16"/>
  <c r="L1817" i="16"/>
  <c r="G1817" i="16"/>
  <c r="F1817" i="16"/>
  <c r="E1817" i="16"/>
  <c r="D1817" i="16"/>
  <c r="C1817" i="16"/>
  <c r="B1817" i="16"/>
  <c r="A1817" i="16"/>
  <c r="K1817" i="16" s="1"/>
  <c r="N1816" i="16"/>
  <c r="M1816" i="16"/>
  <c r="L1816" i="16"/>
  <c r="K1816" i="16"/>
  <c r="D1816" i="16"/>
  <c r="C1816" i="16"/>
  <c r="B1816" i="16"/>
  <c r="A1816" i="16"/>
  <c r="K1815" i="16"/>
  <c r="I1815" i="16"/>
  <c r="E1815" i="16"/>
  <c r="D1815" i="16"/>
  <c r="C1815" i="16"/>
  <c r="B1815" i="16"/>
  <c r="A1815" i="16"/>
  <c r="N1815" i="16" s="1"/>
  <c r="J1814" i="16"/>
  <c r="I1814" i="16"/>
  <c r="E1814" i="16"/>
  <c r="D1814" i="16"/>
  <c r="C1814" i="16"/>
  <c r="B1814" i="16"/>
  <c r="A1814" i="16"/>
  <c r="L1814" i="16" s="1"/>
  <c r="D1813" i="16"/>
  <c r="C1813" i="16"/>
  <c r="B1813" i="16"/>
  <c r="A1813" i="16"/>
  <c r="N1812" i="16"/>
  <c r="D1812" i="16"/>
  <c r="C1812" i="16"/>
  <c r="B1812" i="16"/>
  <c r="A1812" i="16"/>
  <c r="T1811" i="16"/>
  <c r="L1811" i="16"/>
  <c r="D1811" i="16"/>
  <c r="C1811" i="16"/>
  <c r="B1811" i="16"/>
  <c r="A1811" i="16"/>
  <c r="J1810" i="16"/>
  <c r="I1810" i="16"/>
  <c r="H1810" i="16"/>
  <c r="F1810" i="16"/>
  <c r="D1810" i="16"/>
  <c r="C1810" i="16"/>
  <c r="B1810" i="16"/>
  <c r="A1810" i="16"/>
  <c r="O1809" i="16"/>
  <c r="N1809" i="16"/>
  <c r="J1809" i="16"/>
  <c r="I1809" i="16"/>
  <c r="D1809" i="16"/>
  <c r="C1809" i="16"/>
  <c r="B1809" i="16"/>
  <c r="A1809" i="16"/>
  <c r="P1808" i="16"/>
  <c r="O1808" i="16"/>
  <c r="N1808" i="16"/>
  <c r="M1808" i="16"/>
  <c r="L1808" i="16"/>
  <c r="K1808" i="16"/>
  <c r="H1808" i="16"/>
  <c r="G1808" i="16"/>
  <c r="F1808" i="16"/>
  <c r="E1808" i="16"/>
  <c r="D1808" i="16"/>
  <c r="C1808" i="16"/>
  <c r="B1808" i="16"/>
  <c r="A1808" i="16"/>
  <c r="T1808" i="16" s="1"/>
  <c r="O1807" i="16"/>
  <c r="D1807" i="16"/>
  <c r="C1807" i="16"/>
  <c r="B1807" i="16"/>
  <c r="A1807" i="16"/>
  <c r="N1806" i="16"/>
  <c r="D1806" i="16"/>
  <c r="C1806" i="16"/>
  <c r="B1806" i="16"/>
  <c r="A1806" i="16"/>
  <c r="T1805" i="16"/>
  <c r="P1805" i="16"/>
  <c r="O1805" i="16"/>
  <c r="N1805" i="16"/>
  <c r="G1805" i="16"/>
  <c r="F1805" i="16"/>
  <c r="E1805" i="16"/>
  <c r="D1805" i="16"/>
  <c r="C1805" i="16"/>
  <c r="B1805" i="16"/>
  <c r="A1805" i="16"/>
  <c r="L1805" i="16" s="1"/>
  <c r="P1804" i="16"/>
  <c r="N1804" i="16"/>
  <c r="L1804" i="16"/>
  <c r="I1804" i="16"/>
  <c r="H1804" i="16"/>
  <c r="D1804" i="16"/>
  <c r="C1804" i="16"/>
  <c r="B1804" i="16"/>
  <c r="A1804" i="16"/>
  <c r="T1803" i="16"/>
  <c r="P1803" i="16"/>
  <c r="K1803" i="16"/>
  <c r="H1803" i="16"/>
  <c r="G1803" i="16"/>
  <c r="E1803" i="16"/>
  <c r="D1803" i="16"/>
  <c r="C1803" i="16"/>
  <c r="B1803" i="16"/>
  <c r="A1803" i="16"/>
  <c r="D1802" i="16"/>
  <c r="C1802" i="16"/>
  <c r="B1802" i="16"/>
  <c r="A1802" i="16"/>
  <c r="J1801" i="16"/>
  <c r="I1801" i="16"/>
  <c r="D1801" i="16"/>
  <c r="C1801" i="16"/>
  <c r="B1801" i="16"/>
  <c r="A1801" i="16"/>
  <c r="L1801" i="16" s="1"/>
  <c r="O1800" i="16"/>
  <c r="M1800" i="16"/>
  <c r="J1800" i="16"/>
  <c r="H1800" i="16"/>
  <c r="G1800" i="16"/>
  <c r="D1800" i="16"/>
  <c r="C1800" i="16"/>
  <c r="B1800" i="16"/>
  <c r="A1800" i="16"/>
  <c r="L1799" i="16"/>
  <c r="K1799" i="16"/>
  <c r="I1799" i="16"/>
  <c r="D1799" i="16"/>
  <c r="C1799" i="16"/>
  <c r="B1799" i="16"/>
  <c r="A1799" i="16"/>
  <c r="H1799" i="16" s="1"/>
  <c r="L1798" i="16"/>
  <c r="D1798" i="16"/>
  <c r="C1798" i="16"/>
  <c r="B1798" i="16"/>
  <c r="A1798" i="16"/>
  <c r="T1798" i="16" s="1"/>
  <c r="D1797" i="16"/>
  <c r="C1797" i="16"/>
  <c r="B1797" i="16"/>
  <c r="A1797" i="16"/>
  <c r="D1796" i="16"/>
  <c r="C1796" i="16"/>
  <c r="B1796" i="16"/>
  <c r="A1796" i="16"/>
  <c r="D1795" i="16"/>
  <c r="C1795" i="16"/>
  <c r="B1795" i="16"/>
  <c r="A1795" i="16"/>
  <c r="T1794" i="16"/>
  <c r="P1794" i="16"/>
  <c r="N1794" i="16"/>
  <c r="I1794" i="16"/>
  <c r="H1794" i="16"/>
  <c r="F1794" i="16"/>
  <c r="E1794" i="16"/>
  <c r="D1794" i="16"/>
  <c r="C1794" i="16"/>
  <c r="B1794" i="16"/>
  <c r="A1794" i="16"/>
  <c r="M1794" i="16" s="1"/>
  <c r="T1793" i="16"/>
  <c r="O1793" i="16"/>
  <c r="M1793" i="16"/>
  <c r="L1793" i="16"/>
  <c r="I1793" i="16"/>
  <c r="E1793" i="16"/>
  <c r="D1793" i="16"/>
  <c r="C1793" i="16"/>
  <c r="B1793" i="16"/>
  <c r="A1793" i="16"/>
  <c r="P1792" i="16"/>
  <c r="L1792" i="16"/>
  <c r="K1792" i="16"/>
  <c r="H1792" i="16"/>
  <c r="D1792" i="16"/>
  <c r="C1792" i="16"/>
  <c r="B1792" i="16"/>
  <c r="A1792" i="16"/>
  <c r="T1791" i="16"/>
  <c r="M1791" i="16"/>
  <c r="H1791" i="16"/>
  <c r="G1791" i="16"/>
  <c r="D1791" i="16"/>
  <c r="C1791" i="16"/>
  <c r="B1791" i="16"/>
  <c r="A1791" i="16"/>
  <c r="L1791" i="16" s="1"/>
  <c r="P1790" i="16"/>
  <c r="L1790" i="16"/>
  <c r="H1790" i="16"/>
  <c r="G1790" i="16"/>
  <c r="F1790" i="16"/>
  <c r="D1790" i="16"/>
  <c r="C1790" i="16"/>
  <c r="B1790" i="16"/>
  <c r="A1790" i="16"/>
  <c r="P1789" i="16"/>
  <c r="O1789" i="16"/>
  <c r="J1789" i="16"/>
  <c r="D1789" i="16"/>
  <c r="C1789" i="16"/>
  <c r="B1789" i="16"/>
  <c r="A1789" i="16"/>
  <c r="D1788" i="16"/>
  <c r="C1788" i="16"/>
  <c r="B1788" i="16"/>
  <c r="A1788" i="16"/>
  <c r="L1787" i="16"/>
  <c r="K1787" i="16"/>
  <c r="D1787" i="16"/>
  <c r="C1787" i="16"/>
  <c r="B1787" i="16"/>
  <c r="A1787" i="16"/>
  <c r="K1786" i="16"/>
  <c r="J1786" i="16"/>
  <c r="I1786" i="16"/>
  <c r="D1786" i="16"/>
  <c r="C1786" i="16"/>
  <c r="B1786" i="16"/>
  <c r="A1786" i="16"/>
  <c r="H1786" i="16" s="1"/>
  <c r="D1785" i="16"/>
  <c r="C1785" i="16"/>
  <c r="B1785" i="16"/>
  <c r="A1785" i="16"/>
  <c r="L1784" i="16"/>
  <c r="D1784" i="16"/>
  <c r="C1784" i="16"/>
  <c r="B1784" i="16"/>
  <c r="A1784" i="16"/>
  <c r="T1783" i="16"/>
  <c r="G1783" i="16"/>
  <c r="F1783" i="16"/>
  <c r="E1783" i="16"/>
  <c r="D1783" i="16"/>
  <c r="C1783" i="16"/>
  <c r="B1783" i="16"/>
  <c r="A1783" i="16"/>
  <c r="P1783" i="16" s="1"/>
  <c r="D1782" i="16"/>
  <c r="C1782" i="16"/>
  <c r="B1782" i="16"/>
  <c r="A1782" i="16"/>
  <c r="F1781" i="16"/>
  <c r="D1781" i="16"/>
  <c r="C1781" i="16"/>
  <c r="B1781" i="16"/>
  <c r="A1781" i="16"/>
  <c r="I1781" i="16" s="1"/>
  <c r="T1780" i="16"/>
  <c r="P1780" i="16"/>
  <c r="O1780" i="16"/>
  <c r="N1780" i="16"/>
  <c r="D1780" i="16"/>
  <c r="C1780" i="16"/>
  <c r="B1780" i="16"/>
  <c r="A1780" i="16"/>
  <c r="L1779" i="16"/>
  <c r="G1779" i="16"/>
  <c r="E1779" i="16"/>
  <c r="D1779" i="16"/>
  <c r="C1779" i="16"/>
  <c r="B1779" i="16"/>
  <c r="A1779" i="16"/>
  <c r="M1779" i="16" s="1"/>
  <c r="T1778" i="16"/>
  <c r="P1778" i="16"/>
  <c r="N1778" i="16"/>
  <c r="M1778" i="16"/>
  <c r="L1778" i="16"/>
  <c r="I1778" i="16"/>
  <c r="H1778" i="16"/>
  <c r="F1778" i="16"/>
  <c r="E1778" i="16"/>
  <c r="D1778" i="16"/>
  <c r="C1778" i="16"/>
  <c r="B1778" i="16"/>
  <c r="A1778" i="16"/>
  <c r="K1778" i="16" s="1"/>
  <c r="D1777" i="16"/>
  <c r="C1777" i="16"/>
  <c r="B1777" i="16"/>
  <c r="A1777" i="16"/>
  <c r="O1776" i="16"/>
  <c r="L1776" i="16"/>
  <c r="K1776" i="16"/>
  <c r="H1776" i="16"/>
  <c r="D1776" i="16"/>
  <c r="C1776" i="16"/>
  <c r="B1776" i="16"/>
  <c r="A1776" i="16"/>
  <c r="D1775" i="16"/>
  <c r="C1775" i="16"/>
  <c r="B1775" i="16"/>
  <c r="A1775" i="16"/>
  <c r="L1774" i="16"/>
  <c r="J1774" i="16"/>
  <c r="I1774" i="16"/>
  <c r="H1774" i="16"/>
  <c r="D1774" i="16"/>
  <c r="C1774" i="16"/>
  <c r="B1774" i="16"/>
  <c r="A1774" i="16"/>
  <c r="T1774" i="16" s="1"/>
  <c r="K1773" i="16"/>
  <c r="J1773" i="16"/>
  <c r="I1773" i="16"/>
  <c r="H1773" i="16"/>
  <c r="D1773" i="16"/>
  <c r="C1773" i="16"/>
  <c r="B1773" i="16"/>
  <c r="A1773" i="16"/>
  <c r="L1772" i="16"/>
  <c r="D1772" i="16"/>
  <c r="C1772" i="16"/>
  <c r="B1772" i="16"/>
  <c r="A1772" i="16"/>
  <c r="D1771" i="16"/>
  <c r="C1771" i="16"/>
  <c r="B1771" i="16"/>
  <c r="A1771" i="16"/>
  <c r="H1770" i="16"/>
  <c r="F1770" i="16"/>
  <c r="E1770" i="16"/>
  <c r="D1770" i="16"/>
  <c r="C1770" i="16"/>
  <c r="B1770" i="16"/>
  <c r="A1770" i="16"/>
  <c r="I1770" i="16" s="1"/>
  <c r="D1769" i="16"/>
  <c r="C1769" i="16"/>
  <c r="B1769" i="16"/>
  <c r="A1769" i="16"/>
  <c r="P1768" i="16"/>
  <c r="D1768" i="16"/>
  <c r="C1768" i="16"/>
  <c r="B1768" i="16"/>
  <c r="A1768" i="16"/>
  <c r="D1767" i="16"/>
  <c r="C1767" i="16"/>
  <c r="B1767" i="16"/>
  <c r="A1767" i="16"/>
  <c r="T1766" i="16"/>
  <c r="P1766" i="16"/>
  <c r="O1766" i="16"/>
  <c r="N1766" i="16"/>
  <c r="M1766" i="16"/>
  <c r="H1766" i="16"/>
  <c r="G1766" i="16"/>
  <c r="F1766" i="16"/>
  <c r="E1766" i="16"/>
  <c r="D1766" i="16"/>
  <c r="C1766" i="16"/>
  <c r="B1766" i="16"/>
  <c r="A1766" i="16"/>
  <c r="K1766" i="16" s="1"/>
  <c r="P1765" i="16"/>
  <c r="O1765" i="16"/>
  <c r="N1765" i="16"/>
  <c r="D1765" i="16"/>
  <c r="C1765" i="16"/>
  <c r="B1765" i="16"/>
  <c r="A1765" i="16"/>
  <c r="O1764" i="16"/>
  <c r="K1764" i="16"/>
  <c r="D1764" i="16"/>
  <c r="C1764" i="16"/>
  <c r="B1764" i="16"/>
  <c r="A1764" i="16"/>
  <c r="D1763" i="16"/>
  <c r="C1763" i="16"/>
  <c r="B1763" i="16"/>
  <c r="A1763" i="16"/>
  <c r="D1762" i="16"/>
  <c r="C1762" i="16"/>
  <c r="B1762" i="16"/>
  <c r="A1762" i="16"/>
  <c r="K1761" i="16"/>
  <c r="G1761" i="16"/>
  <c r="D1761" i="16"/>
  <c r="C1761" i="16"/>
  <c r="B1761" i="16"/>
  <c r="A1761" i="16"/>
  <c r="M1760" i="16"/>
  <c r="K1760" i="16"/>
  <c r="J1760" i="16"/>
  <c r="H1760" i="16"/>
  <c r="D1760" i="16"/>
  <c r="C1760" i="16"/>
  <c r="B1760" i="16"/>
  <c r="A1760" i="16"/>
  <c r="I1759" i="16"/>
  <c r="D1759" i="16"/>
  <c r="C1759" i="16"/>
  <c r="B1759" i="16"/>
  <c r="A1759" i="16"/>
  <c r="P1759" i="16" s="1"/>
  <c r="D1758" i="16"/>
  <c r="C1758" i="16"/>
  <c r="B1758" i="16"/>
  <c r="A1758" i="16"/>
  <c r="J1757" i="16"/>
  <c r="I1757" i="16"/>
  <c r="D1757" i="16"/>
  <c r="C1757" i="16"/>
  <c r="B1757" i="16"/>
  <c r="A1757" i="16"/>
  <c r="P1757" i="16" s="1"/>
  <c r="I1756" i="16"/>
  <c r="H1756" i="16"/>
  <c r="G1756" i="16"/>
  <c r="F1756" i="16"/>
  <c r="D1756" i="16"/>
  <c r="C1756" i="16"/>
  <c r="B1756" i="16"/>
  <c r="A1756" i="16"/>
  <c r="T1756" i="16" s="1"/>
  <c r="T1755" i="16"/>
  <c r="D1755" i="16"/>
  <c r="C1755" i="16"/>
  <c r="B1755" i="16"/>
  <c r="A1755" i="16"/>
  <c r="M1754" i="16"/>
  <c r="I1754" i="16"/>
  <c r="H1754" i="16"/>
  <c r="D1754" i="16"/>
  <c r="C1754" i="16"/>
  <c r="B1754" i="16"/>
  <c r="A1754" i="16"/>
  <c r="L1754" i="16" s="1"/>
  <c r="T1753" i="16"/>
  <c r="O1753" i="16"/>
  <c r="N1753" i="16"/>
  <c r="M1753" i="16"/>
  <c r="I1753" i="16"/>
  <c r="G1753" i="16"/>
  <c r="F1753" i="16"/>
  <c r="E1753" i="16"/>
  <c r="D1753" i="16"/>
  <c r="C1753" i="16"/>
  <c r="B1753" i="16"/>
  <c r="A1753" i="16"/>
  <c r="L1753" i="16" s="1"/>
  <c r="P1752" i="16"/>
  <c r="O1752" i="16"/>
  <c r="N1752" i="16"/>
  <c r="M1752" i="16"/>
  <c r="L1752" i="16"/>
  <c r="K1752" i="16"/>
  <c r="G1752" i="16"/>
  <c r="F1752" i="16"/>
  <c r="E1752" i="16"/>
  <c r="D1752" i="16"/>
  <c r="C1752" i="16"/>
  <c r="B1752" i="16"/>
  <c r="A1752" i="16"/>
  <c r="T1752" i="16" s="1"/>
  <c r="K1751" i="16"/>
  <c r="I1751" i="16"/>
  <c r="E1751" i="16"/>
  <c r="D1751" i="16"/>
  <c r="C1751" i="16"/>
  <c r="B1751" i="16"/>
  <c r="A1751" i="16"/>
  <c r="L1751" i="16" s="1"/>
  <c r="D1750" i="16"/>
  <c r="C1750" i="16"/>
  <c r="B1750" i="16"/>
  <c r="A1750" i="16"/>
  <c r="D1749" i="16"/>
  <c r="C1749" i="16"/>
  <c r="B1749" i="16"/>
  <c r="A1749" i="16"/>
  <c r="D1748" i="16"/>
  <c r="C1748" i="16"/>
  <c r="B1748" i="16"/>
  <c r="A1748" i="16"/>
  <c r="J1747" i="16"/>
  <c r="I1747" i="16"/>
  <c r="D1747" i="16"/>
  <c r="C1747" i="16"/>
  <c r="B1747" i="16"/>
  <c r="A1747" i="16"/>
  <c r="J1746" i="16"/>
  <c r="D1746" i="16"/>
  <c r="C1746" i="16"/>
  <c r="B1746" i="16"/>
  <c r="A1746" i="16"/>
  <c r="N1745" i="16"/>
  <c r="D1745" i="16"/>
  <c r="C1745" i="16"/>
  <c r="B1745" i="16"/>
  <c r="A1745" i="16"/>
  <c r="D1744" i="16"/>
  <c r="C1744" i="16"/>
  <c r="B1744" i="16"/>
  <c r="A1744" i="16"/>
  <c r="T1743" i="16"/>
  <c r="M1743" i="16"/>
  <c r="H1743" i="16"/>
  <c r="G1743" i="16"/>
  <c r="E1743" i="16"/>
  <c r="D1743" i="16"/>
  <c r="C1743" i="16"/>
  <c r="B1743" i="16"/>
  <c r="A1743" i="16"/>
  <c r="T1742" i="16"/>
  <c r="P1742" i="16"/>
  <c r="O1742" i="16"/>
  <c r="N1742" i="16"/>
  <c r="G1742" i="16"/>
  <c r="F1742" i="16"/>
  <c r="E1742" i="16"/>
  <c r="D1742" i="16"/>
  <c r="C1742" i="16"/>
  <c r="B1742" i="16"/>
  <c r="A1742" i="16"/>
  <c r="K1742" i="16" s="1"/>
  <c r="P1741" i="16"/>
  <c r="O1741" i="16"/>
  <c r="N1741" i="16"/>
  <c r="M1741" i="16"/>
  <c r="D1741" i="16"/>
  <c r="C1741" i="16"/>
  <c r="B1741" i="16"/>
  <c r="A1741" i="16"/>
  <c r="T1740" i="16"/>
  <c r="P1740" i="16"/>
  <c r="I1740" i="16"/>
  <c r="F1740" i="16"/>
  <c r="D1740" i="16"/>
  <c r="C1740" i="16"/>
  <c r="B1740" i="16"/>
  <c r="A1740" i="16"/>
  <c r="T1739" i="16"/>
  <c r="P1739" i="16"/>
  <c r="O1739" i="16"/>
  <c r="M1739" i="16"/>
  <c r="L1739" i="16"/>
  <c r="I1739" i="16"/>
  <c r="H1739" i="16"/>
  <c r="G1739" i="16"/>
  <c r="E1739" i="16"/>
  <c r="D1739" i="16"/>
  <c r="C1739" i="16"/>
  <c r="B1739" i="16"/>
  <c r="A1739" i="16"/>
  <c r="K1739" i="16" s="1"/>
  <c r="L1738" i="16"/>
  <c r="K1738" i="16"/>
  <c r="J1738" i="16"/>
  <c r="E1738" i="16"/>
  <c r="D1738" i="16"/>
  <c r="C1738" i="16"/>
  <c r="B1738" i="16"/>
  <c r="A1738" i="16"/>
  <c r="D1737" i="16"/>
  <c r="C1737" i="16"/>
  <c r="B1737" i="16"/>
  <c r="A1737" i="16"/>
  <c r="D1736" i="16"/>
  <c r="C1736" i="16"/>
  <c r="B1736" i="16"/>
  <c r="A1736" i="16"/>
  <c r="D1735" i="16"/>
  <c r="C1735" i="16"/>
  <c r="B1735" i="16"/>
  <c r="A1735" i="16"/>
  <c r="G1734" i="16"/>
  <c r="D1734" i="16"/>
  <c r="C1734" i="16"/>
  <c r="B1734" i="16"/>
  <c r="A1734" i="16"/>
  <c r="D1733" i="16"/>
  <c r="C1733" i="16"/>
  <c r="B1733" i="16"/>
  <c r="A1733" i="16"/>
  <c r="K1733" i="16" s="1"/>
  <c r="D1732" i="16"/>
  <c r="C1732" i="16"/>
  <c r="B1732" i="16"/>
  <c r="A1732" i="16"/>
  <c r="I1731" i="16"/>
  <c r="H1731" i="16"/>
  <c r="G1731" i="16"/>
  <c r="E1731" i="16"/>
  <c r="D1731" i="16"/>
  <c r="C1731" i="16"/>
  <c r="B1731" i="16"/>
  <c r="A1731" i="16"/>
  <c r="P1730" i="16"/>
  <c r="N1730" i="16"/>
  <c r="H1730" i="16"/>
  <c r="F1730" i="16"/>
  <c r="D1730" i="16"/>
  <c r="C1730" i="16"/>
  <c r="B1730" i="16"/>
  <c r="A1730" i="16"/>
  <c r="O1729" i="16"/>
  <c r="I1729" i="16"/>
  <c r="G1729" i="16"/>
  <c r="F1729" i="16"/>
  <c r="E1729" i="16"/>
  <c r="D1729" i="16"/>
  <c r="C1729" i="16"/>
  <c r="B1729" i="16"/>
  <c r="A1729" i="16"/>
  <c r="P1728" i="16"/>
  <c r="O1728" i="16"/>
  <c r="N1728" i="16"/>
  <c r="M1728" i="16"/>
  <c r="L1728" i="16"/>
  <c r="K1728" i="16"/>
  <c r="H1728" i="16"/>
  <c r="G1728" i="16"/>
  <c r="F1728" i="16"/>
  <c r="E1728" i="16"/>
  <c r="D1728" i="16"/>
  <c r="C1728" i="16"/>
  <c r="B1728" i="16"/>
  <c r="A1728" i="16"/>
  <c r="T1728" i="16" s="1"/>
  <c r="D1727" i="16"/>
  <c r="C1727" i="16"/>
  <c r="B1727" i="16"/>
  <c r="A1727" i="16"/>
  <c r="P1726" i="16"/>
  <c r="N1726" i="16"/>
  <c r="L1726" i="16"/>
  <c r="F1726" i="16"/>
  <c r="E1726" i="16"/>
  <c r="D1726" i="16"/>
  <c r="C1726" i="16"/>
  <c r="B1726" i="16"/>
  <c r="A1726" i="16"/>
  <c r="H1726" i="16" s="1"/>
  <c r="J1725" i="16"/>
  <c r="H1725" i="16"/>
  <c r="G1725" i="16"/>
  <c r="F1725" i="16"/>
  <c r="D1725" i="16"/>
  <c r="C1725" i="16"/>
  <c r="B1725" i="16"/>
  <c r="A1725" i="16"/>
  <c r="L1724" i="16"/>
  <c r="K1724" i="16"/>
  <c r="J1724" i="16"/>
  <c r="D1724" i="16"/>
  <c r="C1724" i="16"/>
  <c r="B1724" i="16"/>
  <c r="A1724" i="16"/>
  <c r="F1724" i="16" s="1"/>
  <c r="L1723" i="16"/>
  <c r="K1723" i="16"/>
  <c r="J1723" i="16"/>
  <c r="D1723" i="16"/>
  <c r="C1723" i="16"/>
  <c r="B1723" i="16"/>
  <c r="A1723" i="16"/>
  <c r="I1723" i="16" s="1"/>
  <c r="L1722" i="16"/>
  <c r="K1722" i="16"/>
  <c r="D1722" i="16"/>
  <c r="C1722" i="16"/>
  <c r="B1722" i="16"/>
  <c r="A1722" i="16"/>
  <c r="J1722" i="16" s="1"/>
  <c r="D1721" i="16"/>
  <c r="C1721" i="16"/>
  <c r="B1721" i="16"/>
  <c r="A1721" i="16"/>
  <c r="N1720" i="16"/>
  <c r="J1720" i="16"/>
  <c r="H1720" i="16"/>
  <c r="F1720" i="16"/>
  <c r="D1720" i="16"/>
  <c r="C1720" i="16"/>
  <c r="B1720" i="16"/>
  <c r="A1720" i="16"/>
  <c r="K1720" i="16" s="1"/>
  <c r="D1719" i="16"/>
  <c r="C1719" i="16"/>
  <c r="B1719" i="16"/>
  <c r="A1719" i="16"/>
  <c r="T1718" i="16"/>
  <c r="D1718" i="16"/>
  <c r="C1718" i="16"/>
  <c r="B1718" i="16"/>
  <c r="A1718" i="16"/>
  <c r="D1717" i="16"/>
  <c r="C1717" i="16"/>
  <c r="B1717" i="16"/>
  <c r="A1717" i="16"/>
  <c r="T1716" i="16"/>
  <c r="O1716" i="16"/>
  <c r="N1716" i="16"/>
  <c r="I1716" i="16"/>
  <c r="H1716" i="16"/>
  <c r="D1716" i="16"/>
  <c r="C1716" i="16"/>
  <c r="B1716" i="16"/>
  <c r="A1716" i="16"/>
  <c r="T1715" i="16"/>
  <c r="P1715" i="16"/>
  <c r="O1715" i="16"/>
  <c r="I1715" i="16"/>
  <c r="H1715" i="16"/>
  <c r="G1715" i="16"/>
  <c r="E1715" i="16"/>
  <c r="D1715" i="16"/>
  <c r="C1715" i="16"/>
  <c r="B1715" i="16"/>
  <c r="A1715" i="16"/>
  <c r="M1715" i="16" s="1"/>
  <c r="D1714" i="16"/>
  <c r="C1714" i="16"/>
  <c r="B1714" i="16"/>
  <c r="A1714" i="16"/>
  <c r="D1713" i="16"/>
  <c r="C1713" i="16"/>
  <c r="B1713" i="16"/>
  <c r="A1713" i="16"/>
  <c r="P1712" i="16"/>
  <c r="O1712" i="16"/>
  <c r="M1712" i="16"/>
  <c r="K1712" i="16"/>
  <c r="H1712" i="16"/>
  <c r="G1712" i="16"/>
  <c r="F1712" i="16"/>
  <c r="D1712" i="16"/>
  <c r="C1712" i="16"/>
  <c r="B1712" i="16"/>
  <c r="A1712" i="16"/>
  <c r="L1711" i="16"/>
  <c r="D1711" i="16"/>
  <c r="C1711" i="16"/>
  <c r="B1711" i="16"/>
  <c r="A1711" i="16"/>
  <c r="I1710" i="16"/>
  <c r="H1710" i="16"/>
  <c r="D1710" i="16"/>
  <c r="C1710" i="16"/>
  <c r="B1710" i="16"/>
  <c r="A1710" i="16"/>
  <c r="L1710" i="16" s="1"/>
  <c r="J1709" i="16"/>
  <c r="D1709" i="16"/>
  <c r="C1709" i="16"/>
  <c r="B1709" i="16"/>
  <c r="A1709" i="16"/>
  <c r="D1708" i="16"/>
  <c r="C1708" i="16"/>
  <c r="B1708" i="16"/>
  <c r="A1708" i="16"/>
  <c r="T1707" i="16"/>
  <c r="I1707" i="16"/>
  <c r="G1707" i="16"/>
  <c r="D1707" i="16"/>
  <c r="C1707" i="16"/>
  <c r="B1707" i="16"/>
  <c r="A1707" i="16"/>
  <c r="N1706" i="16"/>
  <c r="J1706" i="16"/>
  <c r="H1706" i="16"/>
  <c r="D1706" i="16"/>
  <c r="C1706" i="16"/>
  <c r="B1706" i="16"/>
  <c r="A1706" i="16"/>
  <c r="I1706" i="16" s="1"/>
  <c r="D1705" i="16"/>
  <c r="C1705" i="16"/>
  <c r="B1705" i="16"/>
  <c r="A1705" i="16"/>
  <c r="P1704" i="16"/>
  <c r="O1704" i="16"/>
  <c r="N1704" i="16"/>
  <c r="M1704" i="16"/>
  <c r="L1704" i="16"/>
  <c r="K1704" i="16"/>
  <c r="H1704" i="16"/>
  <c r="G1704" i="16"/>
  <c r="F1704" i="16"/>
  <c r="E1704" i="16"/>
  <c r="D1704" i="16"/>
  <c r="C1704" i="16"/>
  <c r="B1704" i="16"/>
  <c r="A1704" i="16"/>
  <c r="T1704" i="16" s="1"/>
  <c r="T1703" i="16"/>
  <c r="P1703" i="16"/>
  <c r="O1703" i="16"/>
  <c r="N1703" i="16"/>
  <c r="L1703" i="16"/>
  <c r="H1703" i="16"/>
  <c r="F1703" i="16"/>
  <c r="E1703" i="16"/>
  <c r="D1703" i="16"/>
  <c r="C1703" i="16"/>
  <c r="B1703" i="16"/>
  <c r="A1703" i="16"/>
  <c r="T1702" i="16"/>
  <c r="O1702" i="16"/>
  <c r="M1702" i="16"/>
  <c r="H1702" i="16"/>
  <c r="G1702" i="16"/>
  <c r="D1702" i="16"/>
  <c r="C1702" i="16"/>
  <c r="B1702" i="16"/>
  <c r="A1702" i="16"/>
  <c r="L1702" i="16" s="1"/>
  <c r="T1701" i="16"/>
  <c r="K1701" i="16"/>
  <c r="H1701" i="16"/>
  <c r="G1701" i="16"/>
  <c r="F1701" i="16"/>
  <c r="D1701" i="16"/>
  <c r="C1701" i="16"/>
  <c r="B1701" i="16"/>
  <c r="A1701" i="16"/>
  <c r="T1700" i="16"/>
  <c r="P1700" i="16"/>
  <c r="O1700" i="16"/>
  <c r="N1700" i="16"/>
  <c r="L1700" i="16"/>
  <c r="I1700" i="16"/>
  <c r="H1700" i="16"/>
  <c r="G1700" i="16"/>
  <c r="F1700" i="16"/>
  <c r="D1700" i="16"/>
  <c r="C1700" i="16"/>
  <c r="B1700" i="16"/>
  <c r="A1700" i="16"/>
  <c r="K1700" i="16" s="1"/>
  <c r="L1699" i="16"/>
  <c r="K1699" i="16"/>
  <c r="J1699" i="16"/>
  <c r="E1699" i="16"/>
  <c r="D1699" i="16"/>
  <c r="C1699" i="16"/>
  <c r="B1699" i="16"/>
  <c r="A1699" i="16"/>
  <c r="L1698" i="16"/>
  <c r="K1698" i="16"/>
  <c r="J1698" i="16"/>
  <c r="I1698" i="16"/>
  <c r="D1698" i="16"/>
  <c r="C1698" i="16"/>
  <c r="B1698" i="16"/>
  <c r="A1698" i="16"/>
  <c r="D1697" i="16"/>
  <c r="C1697" i="16"/>
  <c r="B1697" i="16"/>
  <c r="A1697" i="16"/>
  <c r="P1696" i="16"/>
  <c r="M1696" i="16"/>
  <c r="J1696" i="16"/>
  <c r="H1696" i="16"/>
  <c r="G1696" i="16"/>
  <c r="E1696" i="16"/>
  <c r="D1696" i="16"/>
  <c r="C1696" i="16"/>
  <c r="B1696" i="16"/>
  <c r="A1696" i="16"/>
  <c r="T1695" i="16"/>
  <c r="P1695" i="16"/>
  <c r="I1695" i="16"/>
  <c r="H1695" i="16"/>
  <c r="G1695" i="16"/>
  <c r="F1695" i="16"/>
  <c r="D1695" i="16"/>
  <c r="C1695" i="16"/>
  <c r="B1695" i="16"/>
  <c r="A1695" i="16"/>
  <c r="O1695" i="16" s="1"/>
  <c r="D1694" i="16"/>
  <c r="C1694" i="16"/>
  <c r="B1694" i="16"/>
  <c r="A1694" i="16"/>
  <c r="P1693" i="16"/>
  <c r="H1693" i="16"/>
  <c r="G1693" i="16"/>
  <c r="F1693" i="16"/>
  <c r="D1693" i="16"/>
  <c r="C1693" i="16"/>
  <c r="B1693" i="16"/>
  <c r="A1693" i="16"/>
  <c r="I1692" i="16"/>
  <c r="H1692" i="16"/>
  <c r="G1692" i="16"/>
  <c r="D1692" i="16"/>
  <c r="C1692" i="16"/>
  <c r="B1692" i="16"/>
  <c r="A1692" i="16"/>
  <c r="J1692" i="16" s="1"/>
  <c r="I1691" i="16"/>
  <c r="H1691" i="16"/>
  <c r="G1691" i="16"/>
  <c r="E1691" i="16"/>
  <c r="D1691" i="16"/>
  <c r="C1691" i="16"/>
  <c r="B1691" i="16"/>
  <c r="A1691" i="16"/>
  <c r="T1690" i="16"/>
  <c r="P1690" i="16"/>
  <c r="N1690" i="16"/>
  <c r="M1690" i="16"/>
  <c r="I1690" i="16"/>
  <c r="H1690" i="16"/>
  <c r="F1690" i="16"/>
  <c r="E1690" i="16"/>
  <c r="D1690" i="16"/>
  <c r="C1690" i="16"/>
  <c r="B1690" i="16"/>
  <c r="A1690" i="16"/>
  <c r="L1690" i="16" s="1"/>
  <c r="N1689" i="16"/>
  <c r="L1689" i="16"/>
  <c r="K1689" i="16"/>
  <c r="I1689" i="16"/>
  <c r="F1689" i="16"/>
  <c r="D1689" i="16"/>
  <c r="C1689" i="16"/>
  <c r="B1689" i="16"/>
  <c r="A1689" i="16"/>
  <c r="M1688" i="16"/>
  <c r="K1688" i="16"/>
  <c r="J1688" i="16"/>
  <c r="G1688" i="16"/>
  <c r="D1688" i="16"/>
  <c r="C1688" i="16"/>
  <c r="B1688" i="16"/>
  <c r="A1688" i="16"/>
  <c r="D1687" i="16"/>
  <c r="C1687" i="16"/>
  <c r="B1687" i="16"/>
  <c r="A1687" i="16"/>
  <c r="D1686" i="16"/>
  <c r="C1686" i="16"/>
  <c r="B1686" i="16"/>
  <c r="A1686" i="16"/>
  <c r="J1685" i="16"/>
  <c r="E1685" i="16"/>
  <c r="D1685" i="16"/>
  <c r="C1685" i="16"/>
  <c r="B1685" i="16"/>
  <c r="A1685" i="16"/>
  <c r="D1684" i="16"/>
  <c r="C1684" i="16"/>
  <c r="B1684" i="16"/>
  <c r="A1684" i="16"/>
  <c r="J1683" i="16"/>
  <c r="I1683" i="16"/>
  <c r="H1683" i="16"/>
  <c r="D1683" i="16"/>
  <c r="C1683" i="16"/>
  <c r="B1683" i="16"/>
  <c r="A1683" i="16"/>
  <c r="K1683" i="16" s="1"/>
  <c r="D1682" i="16"/>
  <c r="C1682" i="16"/>
  <c r="B1682" i="16"/>
  <c r="A1682" i="16"/>
  <c r="I1681" i="16"/>
  <c r="G1681" i="16"/>
  <c r="D1681" i="16"/>
  <c r="C1681" i="16"/>
  <c r="B1681" i="16"/>
  <c r="A1681" i="16"/>
  <c r="T1681" i="16" s="1"/>
  <c r="K1680" i="16"/>
  <c r="J1680" i="16"/>
  <c r="H1680" i="16"/>
  <c r="G1680" i="16"/>
  <c r="D1680" i="16"/>
  <c r="C1680" i="16"/>
  <c r="B1680" i="16"/>
  <c r="A1680" i="16"/>
  <c r="P1679" i="16"/>
  <c r="O1679" i="16"/>
  <c r="H1679" i="16"/>
  <c r="E1679" i="16"/>
  <c r="D1679" i="16"/>
  <c r="C1679" i="16"/>
  <c r="B1679" i="16"/>
  <c r="A1679" i="16"/>
  <c r="P1678" i="16"/>
  <c r="M1678" i="16"/>
  <c r="H1678" i="16"/>
  <c r="F1678" i="16"/>
  <c r="E1678" i="16"/>
  <c r="D1678" i="16"/>
  <c r="C1678" i="16"/>
  <c r="B1678" i="16"/>
  <c r="A1678" i="16"/>
  <c r="T1677" i="16"/>
  <c r="O1677" i="16"/>
  <c r="N1677" i="16"/>
  <c r="D1677" i="16"/>
  <c r="C1677" i="16"/>
  <c r="B1677" i="16"/>
  <c r="A1677" i="16"/>
  <c r="T1676" i="16"/>
  <c r="P1676" i="16"/>
  <c r="O1676" i="16"/>
  <c r="N1676" i="16"/>
  <c r="I1676" i="16"/>
  <c r="H1676" i="16"/>
  <c r="G1676" i="16"/>
  <c r="F1676" i="16"/>
  <c r="D1676" i="16"/>
  <c r="C1676" i="16"/>
  <c r="B1676" i="16"/>
  <c r="A1676" i="16"/>
  <c r="L1676" i="16" s="1"/>
  <c r="M1675" i="16"/>
  <c r="L1675" i="16"/>
  <c r="K1675" i="16"/>
  <c r="E1675" i="16"/>
  <c r="D1675" i="16"/>
  <c r="C1675" i="16"/>
  <c r="B1675" i="16"/>
  <c r="A1675" i="16"/>
  <c r="N1674" i="16"/>
  <c r="K1674" i="16"/>
  <c r="D1674" i="16"/>
  <c r="C1674" i="16"/>
  <c r="B1674" i="16"/>
  <c r="A1674" i="16"/>
  <c r="L1673" i="16"/>
  <c r="D1673" i="16"/>
  <c r="C1673" i="16"/>
  <c r="B1673" i="16"/>
  <c r="A1673" i="16"/>
  <c r="M1673" i="16" s="1"/>
  <c r="P1672" i="16"/>
  <c r="O1672" i="16"/>
  <c r="N1672" i="16"/>
  <c r="M1672" i="16"/>
  <c r="K1672" i="16"/>
  <c r="H1672" i="16"/>
  <c r="G1672" i="16"/>
  <c r="F1672" i="16"/>
  <c r="E1672" i="16"/>
  <c r="D1672" i="16"/>
  <c r="C1672" i="16"/>
  <c r="B1672" i="16"/>
  <c r="A1672" i="16"/>
  <c r="T1671" i="16"/>
  <c r="P1671" i="16"/>
  <c r="I1671" i="16"/>
  <c r="D1671" i="16"/>
  <c r="C1671" i="16"/>
  <c r="B1671" i="16"/>
  <c r="A1671" i="16"/>
  <c r="J1670" i="16"/>
  <c r="I1670" i="16"/>
  <c r="H1670" i="16"/>
  <c r="D1670" i="16"/>
  <c r="C1670" i="16"/>
  <c r="B1670" i="16"/>
  <c r="A1670" i="16"/>
  <c r="G1670" i="16" s="1"/>
  <c r="D1669" i="16"/>
  <c r="C1669" i="16"/>
  <c r="B1669" i="16"/>
  <c r="A1669" i="16"/>
  <c r="D1668" i="16"/>
  <c r="C1668" i="16"/>
  <c r="B1668" i="16"/>
  <c r="A1668" i="16"/>
  <c r="J1667" i="16"/>
  <c r="D1667" i="16"/>
  <c r="C1667" i="16"/>
  <c r="B1667" i="16"/>
  <c r="A1667" i="16"/>
  <c r="T1666" i="16"/>
  <c r="P1666" i="16"/>
  <c r="N1666" i="16"/>
  <c r="I1666" i="16"/>
  <c r="H1666" i="16"/>
  <c r="F1666" i="16"/>
  <c r="E1666" i="16"/>
  <c r="D1666" i="16"/>
  <c r="C1666" i="16"/>
  <c r="B1666" i="16"/>
  <c r="A1666" i="16"/>
  <c r="M1666" i="16" s="1"/>
  <c r="N1665" i="16"/>
  <c r="L1665" i="16"/>
  <c r="E1665" i="16"/>
  <c r="D1665" i="16"/>
  <c r="C1665" i="16"/>
  <c r="B1665" i="16"/>
  <c r="A1665" i="16"/>
  <c r="O1665" i="16" s="1"/>
  <c r="J1664" i="16"/>
  <c r="H1664" i="16"/>
  <c r="G1664" i="16"/>
  <c r="F1664" i="16"/>
  <c r="D1664" i="16"/>
  <c r="C1664" i="16"/>
  <c r="B1664" i="16"/>
  <c r="A1664" i="16"/>
  <c r="O1663" i="16"/>
  <c r="N1663" i="16"/>
  <c r="L1663" i="16"/>
  <c r="F1663" i="16"/>
  <c r="D1663" i="16"/>
  <c r="C1663" i="16"/>
  <c r="B1663" i="16"/>
  <c r="A1663" i="16"/>
  <c r="P1662" i="16"/>
  <c r="M1662" i="16"/>
  <c r="D1662" i="16"/>
  <c r="C1662" i="16"/>
  <c r="B1662" i="16"/>
  <c r="A1662" i="16"/>
  <c r="N1661" i="16"/>
  <c r="M1661" i="16"/>
  <c r="D1661" i="16"/>
  <c r="C1661" i="16"/>
  <c r="B1661" i="16"/>
  <c r="A1661" i="16"/>
  <c r="L1660" i="16"/>
  <c r="D1660" i="16"/>
  <c r="C1660" i="16"/>
  <c r="B1660" i="16"/>
  <c r="A1660" i="16"/>
  <c r="O1660" i="16" s="1"/>
  <c r="D1659" i="16"/>
  <c r="C1659" i="16"/>
  <c r="B1659" i="16"/>
  <c r="A1659" i="16"/>
  <c r="J1658" i="16"/>
  <c r="D1658" i="16"/>
  <c r="C1658" i="16"/>
  <c r="B1658" i="16"/>
  <c r="A1658" i="16"/>
  <c r="D1657" i="16"/>
  <c r="C1657" i="16"/>
  <c r="B1657" i="16"/>
  <c r="A1657" i="16"/>
  <c r="P1656" i="16"/>
  <c r="O1656" i="16"/>
  <c r="N1656" i="16"/>
  <c r="M1656" i="16"/>
  <c r="L1656" i="16"/>
  <c r="J1656" i="16"/>
  <c r="G1656" i="16"/>
  <c r="F1656" i="16"/>
  <c r="E1656" i="16"/>
  <c r="D1656" i="16"/>
  <c r="C1656" i="16"/>
  <c r="B1656" i="16"/>
  <c r="A1656" i="16"/>
  <c r="P1655" i="16"/>
  <c r="O1655" i="16"/>
  <c r="D1655" i="16"/>
  <c r="C1655" i="16"/>
  <c r="B1655" i="16"/>
  <c r="A1655" i="16"/>
  <c r="G1654" i="16"/>
  <c r="D1654" i="16"/>
  <c r="C1654" i="16"/>
  <c r="B1654" i="16"/>
  <c r="A1654" i="16"/>
  <c r="N1654" i="16" s="1"/>
  <c r="T1653" i="16"/>
  <c r="P1653" i="16"/>
  <c r="H1653" i="16"/>
  <c r="F1653" i="16"/>
  <c r="D1653" i="16"/>
  <c r="C1653" i="16"/>
  <c r="B1653" i="16"/>
  <c r="A1653" i="16"/>
  <c r="T1652" i="16"/>
  <c r="O1652" i="16"/>
  <c r="I1652" i="16"/>
  <c r="F1652" i="16"/>
  <c r="D1652" i="16"/>
  <c r="C1652" i="16"/>
  <c r="B1652" i="16"/>
  <c r="A1652" i="16"/>
  <c r="N1652" i="16" s="1"/>
  <c r="D1651" i="16"/>
  <c r="C1651" i="16"/>
  <c r="B1651" i="16"/>
  <c r="A1651" i="16"/>
  <c r="T1650" i="16"/>
  <c r="P1650" i="16"/>
  <c r="N1650" i="16"/>
  <c r="M1650" i="16"/>
  <c r="K1650" i="16"/>
  <c r="H1650" i="16"/>
  <c r="F1650" i="16"/>
  <c r="E1650" i="16"/>
  <c r="D1650" i="16"/>
  <c r="C1650" i="16"/>
  <c r="B1650" i="16"/>
  <c r="A1650" i="16"/>
  <c r="I1650" i="16" s="1"/>
  <c r="L1649" i="16"/>
  <c r="K1649" i="16"/>
  <c r="J1649" i="16"/>
  <c r="E1649" i="16"/>
  <c r="D1649" i="16"/>
  <c r="C1649" i="16"/>
  <c r="B1649" i="16"/>
  <c r="A1649" i="16"/>
  <c r="K1648" i="16"/>
  <c r="J1648" i="16"/>
  <c r="G1648" i="16"/>
  <c r="F1648" i="16"/>
  <c r="D1648" i="16"/>
  <c r="C1648" i="16"/>
  <c r="B1648" i="16"/>
  <c r="A1648" i="16"/>
  <c r="K1647" i="16"/>
  <c r="I1647" i="16"/>
  <c r="H1647" i="16"/>
  <c r="D1647" i="16"/>
  <c r="C1647" i="16"/>
  <c r="B1647" i="16"/>
  <c r="A1647" i="16"/>
  <c r="L1647" i="16" s="1"/>
  <c r="D1646" i="16"/>
  <c r="C1646" i="16"/>
  <c r="B1646" i="16"/>
  <c r="A1646" i="16"/>
  <c r="D1645" i="16"/>
  <c r="C1645" i="16"/>
  <c r="B1645" i="16"/>
  <c r="A1645" i="16"/>
  <c r="J1644" i="16"/>
  <c r="I1644" i="16"/>
  <c r="H1644" i="16"/>
  <c r="D1644" i="16"/>
  <c r="C1644" i="16"/>
  <c r="B1644" i="16"/>
  <c r="A1644" i="16"/>
  <c r="K1644" i="16" s="1"/>
  <c r="D1643" i="16"/>
  <c r="C1643" i="16"/>
  <c r="B1643" i="16"/>
  <c r="A1643" i="16"/>
  <c r="T1642" i="16"/>
  <c r="I1642" i="16"/>
  <c r="D1642" i="16"/>
  <c r="C1642" i="16"/>
  <c r="B1642" i="16"/>
  <c r="A1642" i="16"/>
  <c r="M1641" i="16"/>
  <c r="G1641" i="16"/>
  <c r="F1641" i="16"/>
  <c r="D1641" i="16"/>
  <c r="C1641" i="16"/>
  <c r="B1641" i="16"/>
  <c r="A1641" i="16"/>
  <c r="P1640" i="16"/>
  <c r="O1640" i="16"/>
  <c r="N1640" i="16"/>
  <c r="M1640" i="16"/>
  <c r="L1640" i="16"/>
  <c r="H1640" i="16"/>
  <c r="G1640" i="16"/>
  <c r="F1640" i="16"/>
  <c r="E1640" i="16"/>
  <c r="D1640" i="16"/>
  <c r="C1640" i="16"/>
  <c r="B1640" i="16"/>
  <c r="A1640" i="16"/>
  <c r="T1639" i="16"/>
  <c r="O1639" i="16"/>
  <c r="M1639" i="16"/>
  <c r="L1639" i="16"/>
  <c r="G1639" i="16"/>
  <c r="E1639" i="16"/>
  <c r="D1639" i="16"/>
  <c r="C1639" i="16"/>
  <c r="B1639" i="16"/>
  <c r="A1639" i="16"/>
  <c r="P1638" i="16"/>
  <c r="O1638" i="16"/>
  <c r="M1638" i="16"/>
  <c r="L1638" i="16"/>
  <c r="D1638" i="16"/>
  <c r="C1638" i="16"/>
  <c r="B1638" i="16"/>
  <c r="A1638" i="16"/>
  <c r="D1637" i="16"/>
  <c r="C1637" i="16"/>
  <c r="B1637" i="16"/>
  <c r="A1637" i="16"/>
  <c r="K1636" i="16"/>
  <c r="I1636" i="16"/>
  <c r="H1636" i="16"/>
  <c r="F1636" i="16"/>
  <c r="D1636" i="16"/>
  <c r="C1636" i="16"/>
  <c r="B1636" i="16"/>
  <c r="A1636" i="16"/>
  <c r="O1635" i="16"/>
  <c r="M1635" i="16"/>
  <c r="K1635" i="16"/>
  <c r="D1635" i="16"/>
  <c r="C1635" i="16"/>
  <c r="B1635" i="16"/>
  <c r="A1635" i="16"/>
  <c r="L1635" i="16" s="1"/>
  <c r="D1634" i="16"/>
  <c r="C1634" i="16"/>
  <c r="B1634" i="16"/>
  <c r="A1634" i="16"/>
  <c r="K1633" i="16"/>
  <c r="J1633" i="16"/>
  <c r="I1633" i="16"/>
  <c r="G1633" i="16"/>
  <c r="D1633" i="16"/>
  <c r="C1633" i="16"/>
  <c r="B1633" i="16"/>
  <c r="A1633" i="16"/>
  <c r="T1633" i="16" s="1"/>
  <c r="P1632" i="16"/>
  <c r="O1632" i="16"/>
  <c r="N1632" i="16"/>
  <c r="M1632" i="16"/>
  <c r="K1632" i="16"/>
  <c r="F1632" i="16"/>
  <c r="E1632" i="16"/>
  <c r="D1632" i="16"/>
  <c r="C1632" i="16"/>
  <c r="B1632" i="16"/>
  <c r="A1632" i="16"/>
  <c r="G1632" i="16" s="1"/>
  <c r="D1631" i="16"/>
  <c r="C1631" i="16"/>
  <c r="B1631" i="16"/>
  <c r="A1631" i="16"/>
  <c r="J1630" i="16"/>
  <c r="D1630" i="16"/>
  <c r="C1630" i="16"/>
  <c r="B1630" i="16"/>
  <c r="A1630" i="16"/>
  <c r="I1629" i="16"/>
  <c r="H1629" i="16"/>
  <c r="F1629" i="16"/>
  <c r="D1629" i="16"/>
  <c r="C1629" i="16"/>
  <c r="B1629" i="16"/>
  <c r="A1629" i="16"/>
  <c r="G1629" i="16" s="1"/>
  <c r="O1628" i="16"/>
  <c r="J1628" i="16"/>
  <c r="D1628" i="16"/>
  <c r="C1628" i="16"/>
  <c r="B1628" i="16"/>
  <c r="A1628" i="16"/>
  <c r="T1628" i="16" s="1"/>
  <c r="M1627" i="16"/>
  <c r="H1627" i="16"/>
  <c r="G1627" i="16"/>
  <c r="E1627" i="16"/>
  <c r="D1627" i="16"/>
  <c r="C1627" i="16"/>
  <c r="B1627" i="16"/>
  <c r="A1627" i="16"/>
  <c r="N1626" i="16"/>
  <c r="M1626" i="16"/>
  <c r="L1626" i="16"/>
  <c r="F1626" i="16"/>
  <c r="D1626" i="16"/>
  <c r="C1626" i="16"/>
  <c r="B1626" i="16"/>
  <c r="A1626" i="16"/>
  <c r="T1625" i="16"/>
  <c r="N1625" i="16"/>
  <c r="K1625" i="16"/>
  <c r="G1625" i="16"/>
  <c r="F1625" i="16"/>
  <c r="E1625" i="16"/>
  <c r="D1625" i="16"/>
  <c r="C1625" i="16"/>
  <c r="B1625" i="16"/>
  <c r="A1625" i="16"/>
  <c r="P1624" i="16"/>
  <c r="O1624" i="16"/>
  <c r="N1624" i="16"/>
  <c r="M1624" i="16"/>
  <c r="L1624" i="16"/>
  <c r="K1624" i="16"/>
  <c r="H1624" i="16"/>
  <c r="G1624" i="16"/>
  <c r="F1624" i="16"/>
  <c r="E1624" i="16"/>
  <c r="D1624" i="16"/>
  <c r="C1624" i="16"/>
  <c r="B1624" i="16"/>
  <c r="A1624" i="16"/>
  <c r="T1624" i="16" s="1"/>
  <c r="D1623" i="16"/>
  <c r="C1623" i="16"/>
  <c r="B1623" i="16"/>
  <c r="A1623" i="16"/>
  <c r="D1622" i="16"/>
  <c r="C1622" i="16"/>
  <c r="B1622" i="16"/>
  <c r="A1622" i="16"/>
  <c r="K1621" i="16"/>
  <c r="J1621" i="16"/>
  <c r="E1621" i="16"/>
  <c r="D1621" i="16"/>
  <c r="C1621" i="16"/>
  <c r="B1621" i="16"/>
  <c r="A1621" i="16"/>
  <c r="I1621" i="16" s="1"/>
  <c r="L1620" i="16"/>
  <c r="I1620" i="16"/>
  <c r="D1620" i="16"/>
  <c r="C1620" i="16"/>
  <c r="B1620" i="16"/>
  <c r="A1620" i="16"/>
  <c r="D1619" i="16"/>
  <c r="C1619" i="16"/>
  <c r="B1619" i="16"/>
  <c r="A1619" i="16"/>
  <c r="T1618" i="16"/>
  <c r="J1618" i="16"/>
  <c r="I1618" i="16"/>
  <c r="H1618" i="16"/>
  <c r="F1618" i="16"/>
  <c r="D1618" i="16"/>
  <c r="C1618" i="16"/>
  <c r="B1618" i="16"/>
  <c r="A1618" i="16"/>
  <c r="P1618" i="16" s="1"/>
  <c r="F1617" i="16"/>
  <c r="D1617" i="16"/>
  <c r="C1617" i="16"/>
  <c r="B1617" i="16"/>
  <c r="A1617" i="16"/>
  <c r="J1617" i="16" s="1"/>
  <c r="D1616" i="16"/>
  <c r="C1616" i="16"/>
  <c r="B1616" i="16"/>
  <c r="A1616" i="16"/>
  <c r="P1615" i="16"/>
  <c r="N1615" i="16"/>
  <c r="G1615" i="16"/>
  <c r="F1615" i="16"/>
  <c r="D1615" i="16"/>
  <c r="C1615" i="16"/>
  <c r="B1615" i="16"/>
  <c r="A1615" i="16"/>
  <c r="M1615" i="16" s="1"/>
  <c r="H1614" i="16"/>
  <c r="G1614" i="16"/>
  <c r="F1614" i="16"/>
  <c r="E1614" i="16"/>
  <c r="D1614" i="16"/>
  <c r="C1614" i="16"/>
  <c r="B1614" i="16"/>
  <c r="A1614" i="16"/>
  <c r="P1613" i="16"/>
  <c r="O1613" i="16"/>
  <c r="N1613" i="16"/>
  <c r="F1613" i="16"/>
  <c r="D1613" i="16"/>
  <c r="C1613" i="16"/>
  <c r="B1613" i="16"/>
  <c r="A1613" i="16"/>
  <c r="L1612" i="16"/>
  <c r="H1612" i="16"/>
  <c r="G1612" i="16"/>
  <c r="F1612" i="16"/>
  <c r="D1612" i="16"/>
  <c r="C1612" i="16"/>
  <c r="B1612" i="16"/>
  <c r="A1612" i="16"/>
  <c r="D1611" i="16"/>
  <c r="C1611" i="16"/>
  <c r="B1611" i="16"/>
  <c r="A1611" i="16"/>
  <c r="D1610" i="16"/>
  <c r="C1610" i="16"/>
  <c r="B1610" i="16"/>
  <c r="A1610" i="16"/>
  <c r="K1609" i="16"/>
  <c r="I1609" i="16"/>
  <c r="D1609" i="16"/>
  <c r="C1609" i="16"/>
  <c r="B1609" i="16"/>
  <c r="A1609" i="16"/>
  <c r="J1609" i="16" s="1"/>
  <c r="L1608" i="16"/>
  <c r="K1608" i="16"/>
  <c r="H1608" i="16"/>
  <c r="G1608" i="16"/>
  <c r="D1608" i="16"/>
  <c r="C1608" i="16"/>
  <c r="B1608" i="16"/>
  <c r="A1608" i="16"/>
  <c r="I1607" i="16"/>
  <c r="H1607" i="16"/>
  <c r="D1607" i="16"/>
  <c r="C1607" i="16"/>
  <c r="B1607" i="16"/>
  <c r="A1607" i="16"/>
  <c r="D1606" i="16"/>
  <c r="C1606" i="16"/>
  <c r="B1606" i="16"/>
  <c r="A1606" i="16"/>
  <c r="T1605" i="16"/>
  <c r="J1605" i="16"/>
  <c r="H1605" i="16"/>
  <c r="D1605" i="16"/>
  <c r="C1605" i="16"/>
  <c r="B1605" i="16"/>
  <c r="A1605" i="16"/>
  <c r="D1604" i="16"/>
  <c r="C1604" i="16"/>
  <c r="B1604" i="16"/>
  <c r="A1604" i="16"/>
  <c r="D1603" i="16"/>
  <c r="C1603" i="16"/>
  <c r="B1603" i="16"/>
  <c r="A1603" i="16"/>
  <c r="P1602" i="16"/>
  <c r="N1602" i="16"/>
  <c r="M1602" i="16"/>
  <c r="D1602" i="16"/>
  <c r="C1602" i="16"/>
  <c r="B1602" i="16"/>
  <c r="A1602" i="16"/>
  <c r="T1601" i="16"/>
  <c r="O1601" i="16"/>
  <c r="N1601" i="16"/>
  <c r="M1601" i="16"/>
  <c r="I1601" i="16"/>
  <c r="G1601" i="16"/>
  <c r="F1601" i="16"/>
  <c r="E1601" i="16"/>
  <c r="D1601" i="16"/>
  <c r="C1601" i="16"/>
  <c r="B1601" i="16"/>
  <c r="A1601" i="16"/>
  <c r="L1601" i="16" s="1"/>
  <c r="M1600" i="16"/>
  <c r="L1600" i="16"/>
  <c r="K1600" i="16"/>
  <c r="F1600" i="16"/>
  <c r="D1600" i="16"/>
  <c r="C1600" i="16"/>
  <c r="B1600" i="16"/>
  <c r="A1600" i="16"/>
  <c r="O1599" i="16"/>
  <c r="D1599" i="16"/>
  <c r="C1599" i="16"/>
  <c r="B1599" i="16"/>
  <c r="A1599" i="16"/>
  <c r="O1598" i="16"/>
  <c r="M1598" i="16"/>
  <c r="D1598" i="16"/>
  <c r="C1598" i="16"/>
  <c r="B1598" i="16"/>
  <c r="A1598" i="16"/>
  <c r="P1597" i="16"/>
  <c r="N1597" i="16"/>
  <c r="D1597" i="16"/>
  <c r="C1597" i="16"/>
  <c r="B1597" i="16"/>
  <c r="A1597" i="16"/>
  <c r="J1596" i="16"/>
  <c r="D1596" i="16"/>
  <c r="C1596" i="16"/>
  <c r="B1596" i="16"/>
  <c r="A1596" i="16"/>
  <c r="K1595" i="16"/>
  <c r="J1595" i="16"/>
  <c r="I1595" i="16"/>
  <c r="D1595" i="16"/>
  <c r="C1595" i="16"/>
  <c r="B1595" i="16"/>
  <c r="A1595" i="16"/>
  <c r="L1595" i="16" s="1"/>
  <c r="D1594" i="16"/>
  <c r="C1594" i="16"/>
  <c r="B1594" i="16"/>
  <c r="A1594" i="16"/>
  <c r="D1593" i="16"/>
  <c r="C1593" i="16"/>
  <c r="B1593" i="16"/>
  <c r="A1593" i="16"/>
  <c r="P1592" i="16"/>
  <c r="O1592" i="16"/>
  <c r="M1592" i="16"/>
  <c r="K1592" i="16"/>
  <c r="J1592" i="16"/>
  <c r="F1592" i="16"/>
  <c r="E1592" i="16"/>
  <c r="D1592" i="16"/>
  <c r="C1592" i="16"/>
  <c r="B1592" i="16"/>
  <c r="A1592" i="16"/>
  <c r="H1591" i="16"/>
  <c r="G1591" i="16"/>
  <c r="F1591" i="16"/>
  <c r="E1591" i="16"/>
  <c r="D1591" i="16"/>
  <c r="C1591" i="16"/>
  <c r="B1591" i="16"/>
  <c r="A1591" i="16"/>
  <c r="T1591" i="16" s="1"/>
  <c r="D1590" i="16"/>
  <c r="C1590" i="16"/>
  <c r="B1590" i="16"/>
  <c r="A1590" i="16"/>
  <c r="N1589" i="16"/>
  <c r="I1589" i="16"/>
  <c r="H1589" i="16"/>
  <c r="D1589" i="16"/>
  <c r="C1589" i="16"/>
  <c r="B1589" i="16"/>
  <c r="A1589" i="16"/>
  <c r="G1589" i="16" s="1"/>
  <c r="T1588" i="16"/>
  <c r="P1588" i="16"/>
  <c r="O1588" i="16"/>
  <c r="I1588" i="16"/>
  <c r="H1588" i="16"/>
  <c r="G1588" i="16"/>
  <c r="F1588" i="16"/>
  <c r="D1588" i="16"/>
  <c r="C1588" i="16"/>
  <c r="B1588" i="16"/>
  <c r="A1588" i="16"/>
  <c r="N1588" i="16" s="1"/>
  <c r="O1587" i="16"/>
  <c r="I1587" i="16"/>
  <c r="H1587" i="16"/>
  <c r="E1587" i="16"/>
  <c r="D1587" i="16"/>
  <c r="C1587" i="16"/>
  <c r="B1587" i="16"/>
  <c r="A1587" i="16"/>
  <c r="L1586" i="16"/>
  <c r="K1586" i="16"/>
  <c r="H1586" i="16"/>
  <c r="F1586" i="16"/>
  <c r="D1586" i="16"/>
  <c r="C1586" i="16"/>
  <c r="B1586" i="16"/>
  <c r="A1586" i="16"/>
  <c r="M1585" i="16"/>
  <c r="L1585" i="16"/>
  <c r="K1585" i="16"/>
  <c r="D1585" i="16"/>
  <c r="C1585" i="16"/>
  <c r="B1585" i="16"/>
  <c r="A1585" i="16"/>
  <c r="N1585" i="16" s="1"/>
  <c r="P1584" i="16"/>
  <c r="O1584" i="16"/>
  <c r="N1584" i="16"/>
  <c r="M1584" i="16"/>
  <c r="L1584" i="16"/>
  <c r="K1584" i="16"/>
  <c r="H1584" i="16"/>
  <c r="G1584" i="16"/>
  <c r="F1584" i="16"/>
  <c r="E1584" i="16"/>
  <c r="D1584" i="16"/>
  <c r="C1584" i="16"/>
  <c r="B1584" i="16"/>
  <c r="A1584" i="16"/>
  <c r="T1584" i="16" s="1"/>
  <c r="D1583" i="16"/>
  <c r="C1583" i="16"/>
  <c r="B1583" i="16"/>
  <c r="A1583" i="16"/>
  <c r="T1582" i="16"/>
  <c r="L1582" i="16"/>
  <c r="D1582" i="16"/>
  <c r="C1582" i="16"/>
  <c r="B1582" i="16"/>
  <c r="A1582" i="16"/>
  <c r="K1581" i="16"/>
  <c r="J1581" i="16"/>
  <c r="H1581" i="16"/>
  <c r="D1581" i="16"/>
  <c r="C1581" i="16"/>
  <c r="B1581" i="16"/>
  <c r="A1581" i="16"/>
  <c r="I1581" i="16" s="1"/>
  <c r="I1580" i="16"/>
  <c r="D1580" i="16"/>
  <c r="C1580" i="16"/>
  <c r="B1580" i="16"/>
  <c r="A1580" i="16"/>
  <c r="L1580" i="16" s="1"/>
  <c r="D1579" i="16"/>
  <c r="C1579" i="16"/>
  <c r="B1579" i="16"/>
  <c r="A1579" i="16"/>
  <c r="I1578" i="16"/>
  <c r="F1578" i="16"/>
  <c r="E1578" i="16"/>
  <c r="D1578" i="16"/>
  <c r="C1578" i="16"/>
  <c r="B1578" i="16"/>
  <c r="A1578" i="16"/>
  <c r="H1578" i="16" s="1"/>
  <c r="N1577" i="16"/>
  <c r="M1577" i="16"/>
  <c r="I1577" i="16"/>
  <c r="E1577" i="16"/>
  <c r="D1577" i="16"/>
  <c r="C1577" i="16"/>
  <c r="B1577" i="16"/>
  <c r="A1577" i="16"/>
  <c r="L1576" i="16"/>
  <c r="H1576" i="16"/>
  <c r="G1576" i="16"/>
  <c r="F1576" i="16"/>
  <c r="D1576" i="16"/>
  <c r="C1576" i="16"/>
  <c r="B1576" i="16"/>
  <c r="A1576" i="16"/>
  <c r="D1575" i="16"/>
  <c r="C1575" i="16"/>
  <c r="B1575" i="16"/>
  <c r="A1575" i="16"/>
  <c r="P1574" i="16"/>
  <c r="O1574" i="16"/>
  <c r="M1574" i="16"/>
  <c r="L1574" i="16"/>
  <c r="H1574" i="16"/>
  <c r="E1574" i="16"/>
  <c r="D1574" i="16"/>
  <c r="C1574" i="16"/>
  <c r="B1574" i="16"/>
  <c r="A1574" i="16"/>
  <c r="P1573" i="16"/>
  <c r="O1573" i="16"/>
  <c r="K1573" i="16"/>
  <c r="G1573" i="16"/>
  <c r="F1573" i="16"/>
  <c r="E1573" i="16"/>
  <c r="D1573" i="16"/>
  <c r="C1573" i="16"/>
  <c r="B1573" i="16"/>
  <c r="A1573" i="16"/>
  <c r="O1572" i="16"/>
  <c r="N1572" i="16"/>
  <c r="L1572" i="16"/>
  <c r="H1572" i="16"/>
  <c r="D1572" i="16"/>
  <c r="C1572" i="16"/>
  <c r="B1572" i="16"/>
  <c r="A1572" i="16"/>
  <c r="D1571" i="16"/>
  <c r="C1571" i="16"/>
  <c r="B1571" i="16"/>
  <c r="A1571" i="16"/>
  <c r="D1570" i="16"/>
  <c r="C1570" i="16"/>
  <c r="B1570" i="16"/>
  <c r="A1570" i="16"/>
  <c r="J1569" i="16"/>
  <c r="D1569" i="16"/>
  <c r="C1569" i="16"/>
  <c r="B1569" i="16"/>
  <c r="A1569" i="16"/>
  <c r="O1568" i="16"/>
  <c r="N1568" i="16"/>
  <c r="M1568" i="16"/>
  <c r="J1568" i="16"/>
  <c r="H1568" i="16"/>
  <c r="F1568" i="16"/>
  <c r="E1568" i="16"/>
  <c r="D1568" i="16"/>
  <c r="C1568" i="16"/>
  <c r="B1568" i="16"/>
  <c r="A1568" i="16"/>
  <c r="K1567" i="16"/>
  <c r="H1567" i="16"/>
  <c r="G1567" i="16"/>
  <c r="D1567" i="16"/>
  <c r="C1567" i="16"/>
  <c r="B1567" i="16"/>
  <c r="A1567" i="16"/>
  <c r="I1567" i="16" s="1"/>
  <c r="O1566" i="16"/>
  <c r="H1566" i="16"/>
  <c r="G1566" i="16"/>
  <c r="F1566" i="16"/>
  <c r="D1566" i="16"/>
  <c r="C1566" i="16"/>
  <c r="B1566" i="16"/>
  <c r="A1566" i="16"/>
  <c r="D1565" i="16"/>
  <c r="C1565" i="16"/>
  <c r="B1565" i="16"/>
  <c r="A1565" i="16"/>
  <c r="J1565" i="16" s="1"/>
  <c r="O1564" i="16"/>
  <c r="D1564" i="16"/>
  <c r="C1564" i="16"/>
  <c r="B1564" i="16"/>
  <c r="A1564" i="16"/>
  <c r="P1563" i="16"/>
  <c r="M1563" i="16"/>
  <c r="D1563" i="16"/>
  <c r="C1563" i="16"/>
  <c r="B1563" i="16"/>
  <c r="A1563" i="16"/>
  <c r="D1562" i="16"/>
  <c r="C1562" i="16"/>
  <c r="B1562" i="16"/>
  <c r="A1562" i="16"/>
  <c r="D1561" i="16"/>
  <c r="C1561" i="16"/>
  <c r="B1561" i="16"/>
  <c r="A1561" i="16"/>
  <c r="O1560" i="16"/>
  <c r="M1560" i="16"/>
  <c r="J1560" i="16"/>
  <c r="H1560" i="16"/>
  <c r="F1560" i="16"/>
  <c r="E1560" i="16"/>
  <c r="D1560" i="16"/>
  <c r="C1560" i="16"/>
  <c r="B1560" i="16"/>
  <c r="A1560" i="16"/>
  <c r="D1559" i="16"/>
  <c r="C1559" i="16"/>
  <c r="B1559" i="16"/>
  <c r="A1559" i="16"/>
  <c r="L1558" i="16"/>
  <c r="E1558" i="16"/>
  <c r="D1558" i="16"/>
  <c r="C1558" i="16"/>
  <c r="B1558" i="16"/>
  <c r="A1558" i="16"/>
  <c r="K1557" i="16"/>
  <c r="J1557" i="16"/>
  <c r="D1557" i="16"/>
  <c r="C1557" i="16"/>
  <c r="B1557" i="16"/>
  <c r="A1557" i="16"/>
  <c r="D1556" i="16"/>
  <c r="C1556" i="16"/>
  <c r="B1556" i="16"/>
  <c r="A1556" i="16"/>
  <c r="T1555" i="16"/>
  <c r="D1555" i="16"/>
  <c r="C1555" i="16"/>
  <c r="B1555" i="16"/>
  <c r="A1555" i="16"/>
  <c r="J1554" i="16"/>
  <c r="F1554" i="16"/>
  <c r="D1554" i="16"/>
  <c r="C1554" i="16"/>
  <c r="B1554" i="16"/>
  <c r="A1554" i="16"/>
  <c r="D1553" i="16"/>
  <c r="C1553" i="16"/>
  <c r="B1553" i="16"/>
  <c r="A1553" i="16"/>
  <c r="O1552" i="16"/>
  <c r="N1552" i="16"/>
  <c r="M1552" i="16"/>
  <c r="D1552" i="16"/>
  <c r="C1552" i="16"/>
  <c r="B1552" i="16"/>
  <c r="A1552" i="16"/>
  <c r="D1551" i="16"/>
  <c r="C1551" i="16"/>
  <c r="B1551" i="16"/>
  <c r="A1551" i="16"/>
  <c r="H1550" i="16"/>
  <c r="G1550" i="16"/>
  <c r="F1550" i="16"/>
  <c r="D1550" i="16"/>
  <c r="C1550" i="16"/>
  <c r="B1550" i="16"/>
  <c r="A1550" i="16"/>
  <c r="M1550" i="16" s="1"/>
  <c r="T1549" i="16"/>
  <c r="P1549" i="16"/>
  <c r="O1549" i="16"/>
  <c r="N1549" i="16"/>
  <c r="H1549" i="16"/>
  <c r="G1549" i="16"/>
  <c r="F1549" i="16"/>
  <c r="E1549" i="16"/>
  <c r="D1549" i="16"/>
  <c r="C1549" i="16"/>
  <c r="B1549" i="16"/>
  <c r="A1549" i="16"/>
  <c r="L1549" i="16" s="1"/>
  <c r="D1548" i="16"/>
  <c r="C1548" i="16"/>
  <c r="B1548" i="16"/>
  <c r="A1548" i="16"/>
  <c r="D1547" i="16"/>
  <c r="C1547" i="16"/>
  <c r="B1547" i="16"/>
  <c r="A1547" i="16"/>
  <c r="N1546" i="16"/>
  <c r="M1546" i="16"/>
  <c r="D1546" i="16"/>
  <c r="C1546" i="16"/>
  <c r="B1546" i="16"/>
  <c r="A1546" i="16"/>
  <c r="L1545" i="16"/>
  <c r="K1545" i="16"/>
  <c r="J1545" i="16"/>
  <c r="I1545" i="16"/>
  <c r="D1545" i="16"/>
  <c r="C1545" i="16"/>
  <c r="B1545" i="16"/>
  <c r="A1545" i="16"/>
  <c r="P1544" i="16"/>
  <c r="O1544" i="16"/>
  <c r="G1544" i="16"/>
  <c r="F1544" i="16"/>
  <c r="E1544" i="16"/>
  <c r="D1544" i="16"/>
  <c r="C1544" i="16"/>
  <c r="B1544" i="16"/>
  <c r="A1544" i="16"/>
  <c r="K1544" i="16" s="1"/>
  <c r="I1543" i="16"/>
  <c r="H1543" i="16"/>
  <c r="G1543" i="16"/>
  <c r="D1543" i="16"/>
  <c r="C1543" i="16"/>
  <c r="B1543" i="16"/>
  <c r="A1543" i="16"/>
  <c r="K1543" i="16" s="1"/>
  <c r="D1542" i="16"/>
  <c r="C1542" i="16"/>
  <c r="B1542" i="16"/>
  <c r="A1542" i="16"/>
  <c r="T1541" i="16"/>
  <c r="J1541" i="16"/>
  <c r="I1541" i="16"/>
  <c r="H1541" i="16"/>
  <c r="G1541" i="16"/>
  <c r="D1541" i="16"/>
  <c r="C1541" i="16"/>
  <c r="B1541" i="16"/>
  <c r="A1541" i="16"/>
  <c r="P1541" i="16" s="1"/>
  <c r="J1540" i="16"/>
  <c r="I1540" i="16"/>
  <c r="H1540" i="16"/>
  <c r="G1540" i="16"/>
  <c r="D1540" i="16"/>
  <c r="C1540" i="16"/>
  <c r="B1540" i="16"/>
  <c r="A1540" i="16"/>
  <c r="T1539" i="16"/>
  <c r="P1539" i="16"/>
  <c r="O1539" i="16"/>
  <c r="J1539" i="16"/>
  <c r="D1539" i="16"/>
  <c r="C1539" i="16"/>
  <c r="B1539" i="16"/>
  <c r="A1539" i="16"/>
  <c r="D1538" i="16"/>
  <c r="C1538" i="16"/>
  <c r="B1538" i="16"/>
  <c r="A1538" i="16"/>
  <c r="O1537" i="16"/>
  <c r="N1537" i="16"/>
  <c r="D1537" i="16"/>
  <c r="C1537" i="16"/>
  <c r="B1537" i="16"/>
  <c r="A1537" i="16"/>
  <c r="L1536" i="16"/>
  <c r="H1536" i="16"/>
  <c r="G1536" i="16"/>
  <c r="E1536" i="16"/>
  <c r="D1536" i="16"/>
  <c r="C1536" i="16"/>
  <c r="B1536" i="16"/>
  <c r="A1536" i="16"/>
  <c r="M1535" i="16"/>
  <c r="L1535" i="16"/>
  <c r="K1535" i="16"/>
  <c r="F1535" i="16"/>
  <c r="D1535" i="16"/>
  <c r="C1535" i="16"/>
  <c r="B1535" i="16"/>
  <c r="A1535" i="16"/>
  <c r="N1534" i="16"/>
  <c r="M1534" i="16"/>
  <c r="J1534" i="16"/>
  <c r="E1534" i="16"/>
  <c r="D1534" i="16"/>
  <c r="C1534" i="16"/>
  <c r="B1534" i="16"/>
  <c r="A1534" i="16"/>
  <c r="P1533" i="16"/>
  <c r="O1533" i="16"/>
  <c r="N1533" i="16"/>
  <c r="M1533" i="16"/>
  <c r="J1533" i="16"/>
  <c r="G1533" i="16"/>
  <c r="F1533" i="16"/>
  <c r="E1533" i="16"/>
  <c r="D1533" i="16"/>
  <c r="C1533" i="16"/>
  <c r="B1533" i="16"/>
  <c r="A1533" i="16"/>
  <c r="L1533" i="16" s="1"/>
  <c r="L1532" i="16"/>
  <c r="K1532" i="16"/>
  <c r="J1532" i="16"/>
  <c r="F1532" i="16"/>
  <c r="D1532" i="16"/>
  <c r="C1532" i="16"/>
  <c r="B1532" i="16"/>
  <c r="A1532" i="16"/>
  <c r="L1531" i="16"/>
  <c r="K1531" i="16"/>
  <c r="J1531" i="16"/>
  <c r="I1531" i="16"/>
  <c r="D1531" i="16"/>
  <c r="C1531" i="16"/>
  <c r="B1531" i="16"/>
  <c r="A1531" i="16"/>
  <c r="L1530" i="16"/>
  <c r="K1530" i="16"/>
  <c r="J1530" i="16"/>
  <c r="I1530" i="16"/>
  <c r="D1530" i="16"/>
  <c r="C1530" i="16"/>
  <c r="B1530" i="16"/>
  <c r="A1530" i="16"/>
  <c r="T1529" i="16"/>
  <c r="O1529" i="16"/>
  <c r="K1529" i="16"/>
  <c r="D1529" i="16"/>
  <c r="C1529" i="16"/>
  <c r="B1529" i="16"/>
  <c r="A1529" i="16"/>
  <c r="O1528" i="16"/>
  <c r="L1528" i="16"/>
  <c r="K1528" i="16"/>
  <c r="H1528" i="16"/>
  <c r="D1528" i="16"/>
  <c r="C1528" i="16"/>
  <c r="B1528" i="16"/>
  <c r="A1528" i="16"/>
  <c r="M1528" i="16" s="1"/>
  <c r="D1527" i="16"/>
  <c r="C1527" i="16"/>
  <c r="B1527" i="16"/>
  <c r="A1527" i="16"/>
  <c r="P1526" i="16"/>
  <c r="O1526" i="16"/>
  <c r="H1526" i="16"/>
  <c r="G1526" i="16"/>
  <c r="F1526" i="16"/>
  <c r="E1526" i="16"/>
  <c r="D1526" i="16"/>
  <c r="C1526" i="16"/>
  <c r="B1526" i="16"/>
  <c r="A1526" i="16"/>
  <c r="T1526" i="16" s="1"/>
  <c r="N1525" i="16"/>
  <c r="D1525" i="16"/>
  <c r="C1525" i="16"/>
  <c r="B1525" i="16"/>
  <c r="A1525" i="16"/>
  <c r="T1524" i="16"/>
  <c r="P1524" i="16"/>
  <c r="N1524" i="16"/>
  <c r="I1524" i="16"/>
  <c r="H1524" i="16"/>
  <c r="G1524" i="16"/>
  <c r="D1524" i="16"/>
  <c r="C1524" i="16"/>
  <c r="B1524" i="16"/>
  <c r="A1524" i="16"/>
  <c r="F1524" i="16" s="1"/>
  <c r="T1523" i="16"/>
  <c r="O1523" i="16"/>
  <c r="K1523" i="16"/>
  <c r="I1523" i="16"/>
  <c r="H1523" i="16"/>
  <c r="E1523" i="16"/>
  <c r="D1523" i="16"/>
  <c r="C1523" i="16"/>
  <c r="B1523" i="16"/>
  <c r="A1523" i="16"/>
  <c r="M1522" i="16"/>
  <c r="L1522" i="16"/>
  <c r="H1522" i="16"/>
  <c r="E1522" i="16"/>
  <c r="D1522" i="16"/>
  <c r="C1522" i="16"/>
  <c r="B1522" i="16"/>
  <c r="A1522" i="16"/>
  <c r="M1521" i="16"/>
  <c r="D1521" i="16"/>
  <c r="C1521" i="16"/>
  <c r="B1521" i="16"/>
  <c r="A1521" i="16"/>
  <c r="N1521" i="16" s="1"/>
  <c r="L1520" i="16"/>
  <c r="K1520" i="16"/>
  <c r="J1520" i="16"/>
  <c r="G1520" i="16"/>
  <c r="D1520" i="16"/>
  <c r="C1520" i="16"/>
  <c r="B1520" i="16"/>
  <c r="A1520" i="16"/>
  <c r="D1519" i="16"/>
  <c r="C1519" i="16"/>
  <c r="B1519" i="16"/>
  <c r="A1519" i="16"/>
  <c r="D1518" i="16"/>
  <c r="C1518" i="16"/>
  <c r="B1518" i="16"/>
  <c r="A1518" i="16"/>
  <c r="D1517" i="16"/>
  <c r="C1517" i="16"/>
  <c r="B1517" i="16"/>
  <c r="A1517" i="16"/>
  <c r="D1516" i="16"/>
  <c r="C1516" i="16"/>
  <c r="B1516" i="16"/>
  <c r="A1516" i="16"/>
  <c r="D1515" i="16"/>
  <c r="C1515" i="16"/>
  <c r="B1515" i="16"/>
  <c r="A1515" i="16"/>
  <c r="J1514" i="16"/>
  <c r="I1514" i="16"/>
  <c r="D1514" i="16"/>
  <c r="C1514" i="16"/>
  <c r="B1514" i="16"/>
  <c r="A1514" i="16"/>
  <c r="T1513" i="16"/>
  <c r="O1513" i="16"/>
  <c r="N1513" i="16"/>
  <c r="I1513" i="16"/>
  <c r="G1513" i="16"/>
  <c r="F1513" i="16"/>
  <c r="E1513" i="16"/>
  <c r="D1513" i="16"/>
  <c r="C1513" i="16"/>
  <c r="B1513" i="16"/>
  <c r="A1513" i="16"/>
  <c r="M1513" i="16" s="1"/>
  <c r="O1512" i="16"/>
  <c r="L1512" i="16"/>
  <c r="D1512" i="16"/>
  <c r="C1512" i="16"/>
  <c r="B1512" i="16"/>
  <c r="A1512" i="16"/>
  <c r="P1511" i="16"/>
  <c r="O1511" i="16"/>
  <c r="N1511" i="16"/>
  <c r="L1511" i="16"/>
  <c r="H1511" i="16"/>
  <c r="F1511" i="16"/>
  <c r="E1511" i="16"/>
  <c r="D1511" i="16"/>
  <c r="C1511" i="16"/>
  <c r="B1511" i="16"/>
  <c r="A1511" i="16"/>
  <c r="D1510" i="16"/>
  <c r="C1510" i="16"/>
  <c r="B1510" i="16"/>
  <c r="A1510" i="16"/>
  <c r="T1509" i="16"/>
  <c r="D1509" i="16"/>
  <c r="C1509" i="16"/>
  <c r="B1509" i="16"/>
  <c r="A1509" i="16"/>
  <c r="P1508" i="16"/>
  <c r="L1508" i="16"/>
  <c r="K1508" i="16"/>
  <c r="H1508" i="16"/>
  <c r="F1508" i="16"/>
  <c r="D1508" i="16"/>
  <c r="C1508" i="16"/>
  <c r="B1508" i="16"/>
  <c r="A1508" i="16"/>
  <c r="D1507" i="16"/>
  <c r="C1507" i="16"/>
  <c r="B1507" i="16"/>
  <c r="A1507" i="16"/>
  <c r="D1506" i="16"/>
  <c r="C1506" i="16"/>
  <c r="B1506" i="16"/>
  <c r="A1506" i="16"/>
  <c r="D1505" i="16"/>
  <c r="C1505" i="16"/>
  <c r="B1505" i="16"/>
  <c r="A1505" i="16"/>
  <c r="P1504" i="16"/>
  <c r="L1504" i="16"/>
  <c r="J1504" i="16"/>
  <c r="G1504" i="16"/>
  <c r="D1504" i="16"/>
  <c r="C1504" i="16"/>
  <c r="B1504" i="16"/>
  <c r="A1504" i="16"/>
  <c r="M1504" i="16" s="1"/>
  <c r="D1503" i="16"/>
  <c r="C1503" i="16"/>
  <c r="B1503" i="16"/>
  <c r="A1503" i="16"/>
  <c r="H1502" i="16"/>
  <c r="D1502" i="16"/>
  <c r="C1502" i="16"/>
  <c r="B1502" i="16"/>
  <c r="A1502" i="16"/>
  <c r="O1502" i="16" s="1"/>
  <c r="T1501" i="16"/>
  <c r="P1501" i="16"/>
  <c r="I1501" i="16"/>
  <c r="D1501" i="16"/>
  <c r="C1501" i="16"/>
  <c r="B1501" i="16"/>
  <c r="A1501" i="16"/>
  <c r="O1500" i="16"/>
  <c r="J1500" i="16"/>
  <c r="D1500" i="16"/>
  <c r="C1500" i="16"/>
  <c r="B1500" i="16"/>
  <c r="A1500" i="16"/>
  <c r="T1499" i="16"/>
  <c r="P1499" i="16"/>
  <c r="M1499" i="16"/>
  <c r="I1499" i="16"/>
  <c r="G1499" i="16"/>
  <c r="E1499" i="16"/>
  <c r="D1499" i="16"/>
  <c r="C1499" i="16"/>
  <c r="B1499" i="16"/>
  <c r="A1499" i="16"/>
  <c r="H1499" i="16" s="1"/>
  <c r="T1498" i="16"/>
  <c r="M1498" i="16"/>
  <c r="I1498" i="16"/>
  <c r="D1498" i="16"/>
  <c r="C1498" i="16"/>
  <c r="B1498" i="16"/>
  <c r="A1498" i="16"/>
  <c r="T1497" i="16"/>
  <c r="O1497" i="16"/>
  <c r="N1497" i="16"/>
  <c r="M1497" i="16"/>
  <c r="K1497" i="16"/>
  <c r="G1497" i="16"/>
  <c r="F1497" i="16"/>
  <c r="E1497" i="16"/>
  <c r="D1497" i="16"/>
  <c r="C1497" i="16"/>
  <c r="B1497" i="16"/>
  <c r="A1497" i="16"/>
  <c r="I1497" i="16" s="1"/>
  <c r="P1496" i="16"/>
  <c r="O1496" i="16"/>
  <c r="M1496" i="16"/>
  <c r="K1496" i="16"/>
  <c r="J1496" i="16"/>
  <c r="F1496" i="16"/>
  <c r="E1496" i="16"/>
  <c r="D1496" i="16"/>
  <c r="C1496" i="16"/>
  <c r="B1496" i="16"/>
  <c r="A1496" i="16"/>
  <c r="D1495" i="16"/>
  <c r="C1495" i="16"/>
  <c r="B1495" i="16"/>
  <c r="A1495" i="16"/>
  <c r="D1494" i="16"/>
  <c r="C1494" i="16"/>
  <c r="B1494" i="16"/>
  <c r="A1494" i="16"/>
  <c r="K1493" i="16"/>
  <c r="J1493" i="16"/>
  <c r="I1493" i="16"/>
  <c r="E1493" i="16"/>
  <c r="D1493" i="16"/>
  <c r="C1493" i="16"/>
  <c r="B1493" i="16"/>
  <c r="A1493" i="16"/>
  <c r="N1493" i="16" s="1"/>
  <c r="L1492" i="16"/>
  <c r="K1492" i="16"/>
  <c r="J1492" i="16"/>
  <c r="I1492" i="16"/>
  <c r="D1492" i="16"/>
  <c r="C1492" i="16"/>
  <c r="B1492" i="16"/>
  <c r="A1492" i="16"/>
  <c r="K1491" i="16"/>
  <c r="J1491" i="16"/>
  <c r="I1491" i="16"/>
  <c r="H1491" i="16"/>
  <c r="D1491" i="16"/>
  <c r="C1491" i="16"/>
  <c r="B1491" i="16"/>
  <c r="A1491" i="16"/>
  <c r="D1490" i="16"/>
  <c r="C1490" i="16"/>
  <c r="B1490" i="16"/>
  <c r="A1490" i="16"/>
  <c r="D1489" i="16"/>
  <c r="C1489" i="16"/>
  <c r="B1489" i="16"/>
  <c r="A1489" i="16"/>
  <c r="P1488" i="16"/>
  <c r="M1488" i="16"/>
  <c r="K1488" i="16"/>
  <c r="H1488" i="16"/>
  <c r="G1488" i="16"/>
  <c r="F1488" i="16"/>
  <c r="D1488" i="16"/>
  <c r="C1488" i="16"/>
  <c r="B1488" i="16"/>
  <c r="A1488" i="16"/>
  <c r="M1487" i="16"/>
  <c r="H1487" i="16"/>
  <c r="G1487" i="16"/>
  <c r="E1487" i="16"/>
  <c r="D1487" i="16"/>
  <c r="C1487" i="16"/>
  <c r="B1487" i="16"/>
  <c r="A1487" i="16"/>
  <c r="T1486" i="16"/>
  <c r="P1486" i="16"/>
  <c r="N1486" i="16"/>
  <c r="H1486" i="16"/>
  <c r="F1486" i="16"/>
  <c r="E1486" i="16"/>
  <c r="D1486" i="16"/>
  <c r="C1486" i="16"/>
  <c r="B1486" i="16"/>
  <c r="A1486" i="16"/>
  <c r="O1485" i="16"/>
  <c r="M1485" i="16"/>
  <c r="H1485" i="16"/>
  <c r="D1485" i="16"/>
  <c r="C1485" i="16"/>
  <c r="B1485" i="16"/>
  <c r="A1485" i="16"/>
  <c r="T1484" i="16"/>
  <c r="P1484" i="16"/>
  <c r="O1484" i="16"/>
  <c r="N1484" i="16"/>
  <c r="I1484" i="16"/>
  <c r="H1484" i="16"/>
  <c r="G1484" i="16"/>
  <c r="F1484" i="16"/>
  <c r="D1484" i="16"/>
  <c r="C1484" i="16"/>
  <c r="B1484" i="16"/>
  <c r="A1484" i="16"/>
  <c r="L1484" i="16" s="1"/>
  <c r="O1483" i="16"/>
  <c r="L1483" i="16"/>
  <c r="K1483" i="16"/>
  <c r="H1483" i="16"/>
  <c r="E1483" i="16"/>
  <c r="D1483" i="16"/>
  <c r="C1483" i="16"/>
  <c r="B1483" i="16"/>
  <c r="A1483" i="16"/>
  <c r="J1482" i="16"/>
  <c r="D1482" i="16"/>
  <c r="C1482" i="16"/>
  <c r="B1482" i="16"/>
  <c r="A1482" i="16"/>
  <c r="M1482" i="16" s="1"/>
  <c r="D1481" i="16"/>
  <c r="C1481" i="16"/>
  <c r="B1481" i="16"/>
  <c r="A1481" i="16"/>
  <c r="P1480" i="16"/>
  <c r="N1480" i="16"/>
  <c r="M1480" i="16"/>
  <c r="D1480" i="16"/>
  <c r="C1480" i="16"/>
  <c r="B1480" i="16"/>
  <c r="A1480" i="16"/>
  <c r="D1479" i="16"/>
  <c r="C1479" i="16"/>
  <c r="B1479" i="16"/>
  <c r="A1479" i="16"/>
  <c r="J1478" i="16"/>
  <c r="I1478" i="16"/>
  <c r="G1478" i="16"/>
  <c r="D1478" i="16"/>
  <c r="C1478" i="16"/>
  <c r="B1478" i="16"/>
  <c r="A1478" i="16"/>
  <c r="H1478" i="16" s="1"/>
  <c r="P1477" i="16"/>
  <c r="K1477" i="16"/>
  <c r="D1477" i="16"/>
  <c r="C1477" i="16"/>
  <c r="B1477" i="16"/>
  <c r="A1477" i="16"/>
  <c r="P1476" i="16"/>
  <c r="J1476" i="16"/>
  <c r="I1476" i="16"/>
  <c r="H1476" i="16"/>
  <c r="D1476" i="16"/>
  <c r="C1476" i="16"/>
  <c r="B1476" i="16"/>
  <c r="A1476" i="16"/>
  <c r="D1475" i="16"/>
  <c r="C1475" i="16"/>
  <c r="B1475" i="16"/>
  <c r="A1475" i="16"/>
  <c r="T1474" i="16"/>
  <c r="P1474" i="16"/>
  <c r="D1474" i="16"/>
  <c r="C1474" i="16"/>
  <c r="B1474" i="16"/>
  <c r="A1474" i="16"/>
  <c r="D1473" i="16"/>
  <c r="C1473" i="16"/>
  <c r="B1473" i="16"/>
  <c r="A1473" i="16"/>
  <c r="M1472" i="16"/>
  <c r="L1472" i="16"/>
  <c r="K1472" i="16"/>
  <c r="D1472" i="16"/>
  <c r="C1472" i="16"/>
  <c r="B1472" i="16"/>
  <c r="A1472" i="16"/>
  <c r="O1471" i="16"/>
  <c r="D1471" i="16"/>
  <c r="C1471" i="16"/>
  <c r="B1471" i="16"/>
  <c r="A1471" i="16"/>
  <c r="D1470" i="16"/>
  <c r="C1470" i="16"/>
  <c r="B1470" i="16"/>
  <c r="A1470" i="16"/>
  <c r="M1469" i="16"/>
  <c r="K1469" i="16"/>
  <c r="J1469" i="16"/>
  <c r="E1469" i="16"/>
  <c r="D1469" i="16"/>
  <c r="C1469" i="16"/>
  <c r="B1469" i="16"/>
  <c r="A1469" i="16"/>
  <c r="D1468" i="16"/>
  <c r="C1468" i="16"/>
  <c r="B1468" i="16"/>
  <c r="A1468" i="16"/>
  <c r="D1467" i="16"/>
  <c r="C1467" i="16"/>
  <c r="B1467" i="16"/>
  <c r="A1467" i="16"/>
  <c r="M1467" i="16" s="1"/>
  <c r="K1466" i="16"/>
  <c r="I1466" i="16"/>
  <c r="H1466" i="16"/>
  <c r="D1466" i="16"/>
  <c r="C1466" i="16"/>
  <c r="B1466" i="16"/>
  <c r="A1466" i="16"/>
  <c r="J1466" i="16" s="1"/>
  <c r="K1465" i="16"/>
  <c r="I1465" i="16"/>
  <c r="G1465" i="16"/>
  <c r="D1465" i="16"/>
  <c r="C1465" i="16"/>
  <c r="B1465" i="16"/>
  <c r="A1465" i="16"/>
  <c r="J1465" i="16" s="1"/>
  <c r="N1464" i="16"/>
  <c r="L1464" i="16"/>
  <c r="K1464" i="16"/>
  <c r="D1464" i="16"/>
  <c r="C1464" i="16"/>
  <c r="B1464" i="16"/>
  <c r="A1464" i="16"/>
  <c r="T1463" i="16"/>
  <c r="P1463" i="16"/>
  <c r="H1463" i="16"/>
  <c r="G1463" i="16"/>
  <c r="F1463" i="16"/>
  <c r="E1463" i="16"/>
  <c r="D1463" i="16"/>
  <c r="C1463" i="16"/>
  <c r="B1463" i="16"/>
  <c r="A1463" i="16"/>
  <c r="O1463" i="16" s="1"/>
  <c r="N1462" i="16"/>
  <c r="D1462" i="16"/>
  <c r="C1462" i="16"/>
  <c r="B1462" i="16"/>
  <c r="A1462" i="16"/>
  <c r="T1461" i="16"/>
  <c r="H1461" i="16"/>
  <c r="G1461" i="16"/>
  <c r="F1461" i="16"/>
  <c r="E1461" i="16"/>
  <c r="D1461" i="16"/>
  <c r="C1461" i="16"/>
  <c r="B1461" i="16"/>
  <c r="A1461" i="16"/>
  <c r="P1461" i="16" s="1"/>
  <c r="T1460" i="16"/>
  <c r="O1460" i="16"/>
  <c r="D1460" i="16"/>
  <c r="C1460" i="16"/>
  <c r="B1460" i="16"/>
  <c r="A1460" i="16"/>
  <c r="T1459" i="16"/>
  <c r="P1459" i="16"/>
  <c r="O1459" i="16"/>
  <c r="L1459" i="16"/>
  <c r="H1459" i="16"/>
  <c r="G1459" i="16"/>
  <c r="E1459" i="16"/>
  <c r="D1459" i="16"/>
  <c r="C1459" i="16"/>
  <c r="B1459" i="16"/>
  <c r="A1459" i="16"/>
  <c r="I1459" i="16" s="1"/>
  <c r="P1458" i="16"/>
  <c r="M1458" i="16"/>
  <c r="K1458" i="16"/>
  <c r="F1458" i="16"/>
  <c r="E1458" i="16"/>
  <c r="D1458" i="16"/>
  <c r="C1458" i="16"/>
  <c r="B1458" i="16"/>
  <c r="A1458" i="16"/>
  <c r="D1457" i="16"/>
  <c r="C1457" i="16"/>
  <c r="B1457" i="16"/>
  <c r="A1457" i="16"/>
  <c r="D1456" i="16"/>
  <c r="C1456" i="16"/>
  <c r="B1456" i="16"/>
  <c r="A1456" i="16"/>
  <c r="N1455" i="16"/>
  <c r="K1455" i="16"/>
  <c r="F1455" i="16"/>
  <c r="D1455" i="16"/>
  <c r="C1455" i="16"/>
  <c r="B1455" i="16"/>
  <c r="A1455" i="16"/>
  <c r="O1454" i="16"/>
  <c r="N1454" i="16"/>
  <c r="M1454" i="16"/>
  <c r="K1454" i="16"/>
  <c r="G1454" i="16"/>
  <c r="F1454" i="16"/>
  <c r="E1454" i="16"/>
  <c r="D1454" i="16"/>
  <c r="C1454" i="16"/>
  <c r="B1454" i="16"/>
  <c r="A1454" i="16"/>
  <c r="J1454" i="16" s="1"/>
  <c r="P1453" i="16"/>
  <c r="M1453" i="16"/>
  <c r="L1453" i="16"/>
  <c r="E1453" i="16"/>
  <c r="D1453" i="16"/>
  <c r="C1453" i="16"/>
  <c r="B1453" i="16"/>
  <c r="A1453" i="16"/>
  <c r="N1453" i="16" s="1"/>
  <c r="D1452" i="16"/>
  <c r="C1452" i="16"/>
  <c r="B1452" i="16"/>
  <c r="A1452" i="16"/>
  <c r="D1451" i="16"/>
  <c r="C1451" i="16"/>
  <c r="B1451" i="16"/>
  <c r="A1451" i="16"/>
  <c r="D1450" i="16"/>
  <c r="C1450" i="16"/>
  <c r="B1450" i="16"/>
  <c r="A1450" i="16"/>
  <c r="P1449" i="16"/>
  <c r="D1449" i="16"/>
  <c r="C1449" i="16"/>
  <c r="B1449" i="16"/>
  <c r="A1449" i="16"/>
  <c r="K1448" i="16"/>
  <c r="I1448" i="16"/>
  <c r="D1448" i="16"/>
  <c r="C1448" i="16"/>
  <c r="B1448" i="16"/>
  <c r="A1448" i="16"/>
  <c r="N1447" i="16"/>
  <c r="L1447" i="16"/>
  <c r="K1447" i="16"/>
  <c r="J1447" i="16"/>
  <c r="E1447" i="16"/>
  <c r="D1447" i="16"/>
  <c r="C1447" i="16"/>
  <c r="B1447" i="16"/>
  <c r="A1447" i="16"/>
  <c r="O1446" i="16"/>
  <c r="L1446" i="16"/>
  <c r="K1446" i="16"/>
  <c r="F1446" i="16"/>
  <c r="E1446" i="16"/>
  <c r="D1446" i="16"/>
  <c r="C1446" i="16"/>
  <c r="B1446" i="16"/>
  <c r="A1446" i="16"/>
  <c r="N1445" i="16"/>
  <c r="M1445" i="16"/>
  <c r="L1445" i="16"/>
  <c r="H1445" i="16"/>
  <c r="D1445" i="16"/>
  <c r="C1445" i="16"/>
  <c r="B1445" i="16"/>
  <c r="A1445" i="16"/>
  <c r="D1444" i="16"/>
  <c r="C1444" i="16"/>
  <c r="B1444" i="16"/>
  <c r="A1444" i="16"/>
  <c r="T1443" i="16"/>
  <c r="O1443" i="16"/>
  <c r="I1443" i="16"/>
  <c r="H1443" i="16"/>
  <c r="F1443" i="16"/>
  <c r="D1443" i="16"/>
  <c r="C1443" i="16"/>
  <c r="B1443" i="16"/>
  <c r="A1443" i="16"/>
  <c r="G1443" i="16" s="1"/>
  <c r="O1442" i="16"/>
  <c r="K1442" i="16"/>
  <c r="I1442" i="16"/>
  <c r="D1442" i="16"/>
  <c r="C1442" i="16"/>
  <c r="B1442" i="16"/>
  <c r="A1442" i="16"/>
  <c r="J1442" i="16" s="1"/>
  <c r="P1441" i="16"/>
  <c r="J1441" i="16"/>
  <c r="I1441" i="16"/>
  <c r="H1441" i="16"/>
  <c r="D1441" i="16"/>
  <c r="C1441" i="16"/>
  <c r="B1441" i="16"/>
  <c r="A1441" i="16"/>
  <c r="K1441" i="16" s="1"/>
  <c r="J1440" i="16"/>
  <c r="I1440" i="16"/>
  <c r="E1440" i="16"/>
  <c r="D1440" i="16"/>
  <c r="C1440" i="16"/>
  <c r="B1440" i="16"/>
  <c r="A1440" i="16"/>
  <c r="K1440" i="16" s="1"/>
  <c r="D1439" i="16"/>
  <c r="C1439" i="16"/>
  <c r="B1439" i="16"/>
  <c r="A1439" i="16"/>
  <c r="L1438" i="16"/>
  <c r="K1438" i="16"/>
  <c r="F1438" i="16"/>
  <c r="D1438" i="16"/>
  <c r="C1438" i="16"/>
  <c r="B1438" i="16"/>
  <c r="A1438" i="16"/>
  <c r="M1438" i="16" s="1"/>
  <c r="P1437" i="16"/>
  <c r="N1437" i="16"/>
  <c r="M1437" i="16"/>
  <c r="H1437" i="16"/>
  <c r="G1437" i="16"/>
  <c r="F1437" i="16"/>
  <c r="E1437" i="16"/>
  <c r="D1437" i="16"/>
  <c r="C1437" i="16"/>
  <c r="B1437" i="16"/>
  <c r="A1437" i="16"/>
  <c r="G1436" i="16"/>
  <c r="D1436" i="16"/>
  <c r="C1436" i="16"/>
  <c r="B1436" i="16"/>
  <c r="A1436" i="16"/>
  <c r="M1436" i="16" s="1"/>
  <c r="P1435" i="16"/>
  <c r="H1435" i="16"/>
  <c r="G1435" i="16"/>
  <c r="D1435" i="16"/>
  <c r="C1435" i="16"/>
  <c r="B1435" i="16"/>
  <c r="A1435" i="16"/>
  <c r="T1435" i="16" s="1"/>
  <c r="D1434" i="16"/>
  <c r="C1434" i="16"/>
  <c r="B1434" i="16"/>
  <c r="A1434" i="16"/>
  <c r="K1433" i="16"/>
  <c r="J1433" i="16"/>
  <c r="I1433" i="16"/>
  <c r="H1433" i="16"/>
  <c r="D1433" i="16"/>
  <c r="C1433" i="16"/>
  <c r="B1433" i="16"/>
  <c r="A1433" i="16"/>
  <c r="T1433" i="16" s="1"/>
  <c r="L1432" i="16"/>
  <c r="K1432" i="16"/>
  <c r="J1432" i="16"/>
  <c r="I1432" i="16"/>
  <c r="D1432" i="16"/>
  <c r="C1432" i="16"/>
  <c r="B1432" i="16"/>
  <c r="A1432" i="16"/>
  <c r="L1431" i="16"/>
  <c r="K1431" i="16"/>
  <c r="E1431" i="16"/>
  <c r="D1431" i="16"/>
  <c r="C1431" i="16"/>
  <c r="B1431" i="16"/>
  <c r="A1431" i="16"/>
  <c r="M1431" i="16" s="1"/>
  <c r="M1430" i="16"/>
  <c r="K1430" i="16"/>
  <c r="E1430" i="16"/>
  <c r="D1430" i="16"/>
  <c r="C1430" i="16"/>
  <c r="B1430" i="16"/>
  <c r="A1430" i="16"/>
  <c r="O1430" i="16" s="1"/>
  <c r="O1429" i="16"/>
  <c r="L1429" i="16"/>
  <c r="G1429" i="16"/>
  <c r="F1429" i="16"/>
  <c r="E1429" i="16"/>
  <c r="D1429" i="16"/>
  <c r="C1429" i="16"/>
  <c r="B1429" i="16"/>
  <c r="A1429" i="16"/>
  <c r="D1428" i="16"/>
  <c r="C1428" i="16"/>
  <c r="B1428" i="16"/>
  <c r="A1428" i="16"/>
  <c r="T1427" i="16"/>
  <c r="G1427" i="16"/>
  <c r="D1427" i="16"/>
  <c r="C1427" i="16"/>
  <c r="B1427" i="16"/>
  <c r="A1427" i="16"/>
  <c r="K1426" i="16"/>
  <c r="D1426" i="16"/>
  <c r="C1426" i="16"/>
  <c r="B1426" i="16"/>
  <c r="A1426" i="16"/>
  <c r="T1426" i="16" s="1"/>
  <c r="K1425" i="16"/>
  <c r="J1425" i="16"/>
  <c r="I1425" i="16"/>
  <c r="H1425" i="16"/>
  <c r="D1425" i="16"/>
  <c r="C1425" i="16"/>
  <c r="B1425" i="16"/>
  <c r="A1425" i="16"/>
  <c r="D1424" i="16"/>
  <c r="C1424" i="16"/>
  <c r="B1424" i="16"/>
  <c r="A1424" i="16"/>
  <c r="K1423" i="16"/>
  <c r="F1423" i="16"/>
  <c r="E1423" i="16"/>
  <c r="D1423" i="16"/>
  <c r="C1423" i="16"/>
  <c r="B1423" i="16"/>
  <c r="A1423" i="16"/>
  <c r="J1423" i="16" s="1"/>
  <c r="O1422" i="16"/>
  <c r="M1422" i="16"/>
  <c r="L1422" i="16"/>
  <c r="K1422" i="16"/>
  <c r="G1422" i="16"/>
  <c r="D1422" i="16"/>
  <c r="C1422" i="16"/>
  <c r="B1422" i="16"/>
  <c r="A1422" i="16"/>
  <c r="P1421" i="16"/>
  <c r="O1421" i="16"/>
  <c r="M1421" i="16"/>
  <c r="H1421" i="16"/>
  <c r="G1421" i="16"/>
  <c r="F1421" i="16"/>
  <c r="E1421" i="16"/>
  <c r="D1421" i="16"/>
  <c r="C1421" i="16"/>
  <c r="B1421" i="16"/>
  <c r="A1421" i="16"/>
  <c r="D1420" i="16"/>
  <c r="C1420" i="16"/>
  <c r="B1420" i="16"/>
  <c r="A1420" i="16"/>
  <c r="D1419" i="16"/>
  <c r="C1419" i="16"/>
  <c r="B1419" i="16"/>
  <c r="A1419" i="16"/>
  <c r="P1418" i="16"/>
  <c r="J1418" i="16"/>
  <c r="G1418" i="16"/>
  <c r="D1418" i="16"/>
  <c r="C1418" i="16"/>
  <c r="B1418" i="16"/>
  <c r="A1418" i="16"/>
  <c r="T1418" i="16" s="1"/>
  <c r="D1417" i="16"/>
  <c r="C1417" i="16"/>
  <c r="B1417" i="16"/>
  <c r="A1417" i="16"/>
  <c r="D1416" i="16"/>
  <c r="C1416" i="16"/>
  <c r="B1416" i="16"/>
  <c r="A1416" i="16"/>
  <c r="M1415" i="16"/>
  <c r="K1415" i="16"/>
  <c r="J1415" i="16"/>
  <c r="F1415" i="16"/>
  <c r="D1415" i="16"/>
  <c r="C1415" i="16"/>
  <c r="B1415" i="16"/>
  <c r="A1415" i="16"/>
  <c r="O1414" i="16"/>
  <c r="N1414" i="16"/>
  <c r="M1414" i="16"/>
  <c r="K1414" i="16"/>
  <c r="G1414" i="16"/>
  <c r="F1414" i="16"/>
  <c r="E1414" i="16"/>
  <c r="D1414" i="16"/>
  <c r="C1414" i="16"/>
  <c r="B1414" i="16"/>
  <c r="A1414" i="16"/>
  <c r="J1414" i="16" s="1"/>
  <c r="D1413" i="16"/>
  <c r="C1413" i="16"/>
  <c r="B1413" i="16"/>
  <c r="A1413" i="16"/>
  <c r="D1412" i="16"/>
  <c r="C1412" i="16"/>
  <c r="B1412" i="16"/>
  <c r="A1412" i="16"/>
  <c r="D1411" i="16"/>
  <c r="C1411" i="16"/>
  <c r="B1411" i="16"/>
  <c r="A1411" i="16"/>
  <c r="J1410" i="16"/>
  <c r="I1410" i="16"/>
  <c r="H1410" i="16"/>
  <c r="G1410" i="16"/>
  <c r="D1410" i="16"/>
  <c r="C1410" i="16"/>
  <c r="B1410" i="16"/>
  <c r="A1410" i="16"/>
  <c r="T1410" i="16" s="1"/>
  <c r="K1409" i="16"/>
  <c r="J1409" i="16"/>
  <c r="I1409" i="16"/>
  <c r="D1409" i="16"/>
  <c r="C1409" i="16"/>
  <c r="B1409" i="16"/>
  <c r="A1409" i="16"/>
  <c r="L1409" i="16" s="1"/>
  <c r="L1408" i="16"/>
  <c r="D1408" i="16"/>
  <c r="C1408" i="16"/>
  <c r="B1408" i="16"/>
  <c r="A1408" i="16"/>
  <c r="D1407" i="16"/>
  <c r="C1407" i="16"/>
  <c r="B1407" i="16"/>
  <c r="A1407" i="16"/>
  <c r="N1406" i="16"/>
  <c r="L1406" i="16"/>
  <c r="K1406" i="16"/>
  <c r="G1406" i="16"/>
  <c r="E1406" i="16"/>
  <c r="D1406" i="16"/>
  <c r="C1406" i="16"/>
  <c r="B1406" i="16"/>
  <c r="A1406" i="16"/>
  <c r="L1405" i="16"/>
  <c r="H1405" i="16"/>
  <c r="F1405" i="16"/>
  <c r="E1405" i="16"/>
  <c r="D1405" i="16"/>
  <c r="C1405" i="16"/>
  <c r="B1405" i="16"/>
  <c r="A1405" i="16"/>
  <c r="O1404" i="16"/>
  <c r="N1404" i="16"/>
  <c r="H1404" i="16"/>
  <c r="E1404" i="16"/>
  <c r="D1404" i="16"/>
  <c r="C1404" i="16"/>
  <c r="B1404" i="16"/>
  <c r="A1404" i="16"/>
  <c r="J1403" i="16"/>
  <c r="D1403" i="16"/>
  <c r="C1403" i="16"/>
  <c r="B1403" i="16"/>
  <c r="A1403" i="16"/>
  <c r="D1402" i="16"/>
  <c r="C1402" i="16"/>
  <c r="B1402" i="16"/>
  <c r="A1402" i="16"/>
  <c r="D1401" i="16"/>
  <c r="C1401" i="16"/>
  <c r="B1401" i="16"/>
  <c r="A1401" i="16"/>
  <c r="T1400" i="16"/>
  <c r="K1400" i="16"/>
  <c r="D1400" i="16"/>
  <c r="C1400" i="16"/>
  <c r="B1400" i="16"/>
  <c r="A1400" i="16"/>
  <c r="N1399" i="16"/>
  <c r="J1399" i="16"/>
  <c r="E1399" i="16"/>
  <c r="D1399" i="16"/>
  <c r="C1399" i="16"/>
  <c r="B1399" i="16"/>
  <c r="A1399" i="16"/>
  <c r="K1398" i="16"/>
  <c r="G1398" i="16"/>
  <c r="E1398" i="16"/>
  <c r="D1398" i="16"/>
  <c r="C1398" i="16"/>
  <c r="B1398" i="16"/>
  <c r="A1398" i="16"/>
  <c r="M1398" i="16" s="1"/>
  <c r="M1397" i="16"/>
  <c r="L1397" i="16"/>
  <c r="H1397" i="16"/>
  <c r="F1397" i="16"/>
  <c r="D1397" i="16"/>
  <c r="C1397" i="16"/>
  <c r="B1397" i="16"/>
  <c r="A1397" i="16"/>
  <c r="T1396" i="16"/>
  <c r="O1396" i="16"/>
  <c r="H1396" i="16"/>
  <c r="G1396" i="16"/>
  <c r="E1396" i="16"/>
  <c r="D1396" i="16"/>
  <c r="C1396" i="16"/>
  <c r="B1396" i="16"/>
  <c r="A1396" i="16"/>
  <c r="F1396" i="16" s="1"/>
  <c r="P1395" i="16"/>
  <c r="O1395" i="16"/>
  <c r="D1395" i="16"/>
  <c r="C1395" i="16"/>
  <c r="B1395" i="16"/>
  <c r="A1395" i="16"/>
  <c r="I1394" i="16"/>
  <c r="G1394" i="16"/>
  <c r="D1394" i="16"/>
  <c r="C1394" i="16"/>
  <c r="B1394" i="16"/>
  <c r="A1394" i="16"/>
  <c r="T1393" i="16"/>
  <c r="K1393" i="16"/>
  <c r="D1393" i="16"/>
  <c r="C1393" i="16"/>
  <c r="B1393" i="16"/>
  <c r="A1393" i="16"/>
  <c r="T1392" i="16"/>
  <c r="E1392" i="16"/>
  <c r="D1392" i="16"/>
  <c r="C1392" i="16"/>
  <c r="B1392" i="16"/>
  <c r="A1392" i="16"/>
  <c r="L1391" i="16"/>
  <c r="F1391" i="16"/>
  <c r="E1391" i="16"/>
  <c r="D1391" i="16"/>
  <c r="C1391" i="16"/>
  <c r="B1391" i="16"/>
  <c r="A1391" i="16"/>
  <c r="J1391" i="16" s="1"/>
  <c r="N1390" i="16"/>
  <c r="L1390" i="16"/>
  <c r="K1390" i="16"/>
  <c r="G1390" i="16"/>
  <c r="E1390" i="16"/>
  <c r="D1390" i="16"/>
  <c r="C1390" i="16"/>
  <c r="B1390" i="16"/>
  <c r="A1390" i="16"/>
  <c r="O1389" i="16"/>
  <c r="M1389" i="16"/>
  <c r="L1389" i="16"/>
  <c r="H1389" i="16"/>
  <c r="D1389" i="16"/>
  <c r="C1389" i="16"/>
  <c r="B1389" i="16"/>
  <c r="A1389" i="16"/>
  <c r="T1388" i="16"/>
  <c r="H1388" i="16"/>
  <c r="F1388" i="16"/>
  <c r="D1388" i="16"/>
  <c r="C1388" i="16"/>
  <c r="B1388" i="16"/>
  <c r="A1388" i="16"/>
  <c r="T1387" i="16"/>
  <c r="P1387" i="16"/>
  <c r="O1387" i="16"/>
  <c r="I1387" i="16"/>
  <c r="H1387" i="16"/>
  <c r="G1387" i="16"/>
  <c r="F1387" i="16"/>
  <c r="D1387" i="16"/>
  <c r="C1387" i="16"/>
  <c r="B1387" i="16"/>
  <c r="A1387" i="16"/>
  <c r="N1387" i="16" s="1"/>
  <c r="K1386" i="16"/>
  <c r="D1386" i="16"/>
  <c r="C1386" i="16"/>
  <c r="B1386" i="16"/>
  <c r="A1386" i="16"/>
  <c r="D1385" i="16"/>
  <c r="C1385" i="16"/>
  <c r="B1385" i="16"/>
  <c r="A1385" i="16"/>
  <c r="D1384" i="16"/>
  <c r="C1384" i="16"/>
  <c r="B1384" i="16"/>
  <c r="A1384" i="16"/>
  <c r="P1383" i="16"/>
  <c r="O1383" i="16"/>
  <c r="N1383" i="16"/>
  <c r="M1383" i="16"/>
  <c r="L1383" i="16"/>
  <c r="K1383" i="16"/>
  <c r="H1383" i="16"/>
  <c r="G1383" i="16"/>
  <c r="F1383" i="16"/>
  <c r="E1383" i="16"/>
  <c r="D1383" i="16"/>
  <c r="C1383" i="16"/>
  <c r="B1383" i="16"/>
  <c r="A1383" i="16"/>
  <c r="T1383" i="16" s="1"/>
  <c r="D1382" i="16"/>
  <c r="C1382" i="16"/>
  <c r="B1382" i="16"/>
  <c r="A1382" i="16"/>
  <c r="P1381" i="16"/>
  <c r="O1381" i="16"/>
  <c r="N1381" i="16"/>
  <c r="H1381" i="16"/>
  <c r="G1381" i="16"/>
  <c r="F1381" i="16"/>
  <c r="E1381" i="16"/>
  <c r="D1381" i="16"/>
  <c r="C1381" i="16"/>
  <c r="B1381" i="16"/>
  <c r="A1381" i="16"/>
  <c r="O1380" i="16"/>
  <c r="M1380" i="16"/>
  <c r="F1380" i="16"/>
  <c r="D1380" i="16"/>
  <c r="C1380" i="16"/>
  <c r="B1380" i="16"/>
  <c r="A1380" i="16"/>
  <c r="P1380" i="16" s="1"/>
  <c r="D1379" i="16"/>
  <c r="C1379" i="16"/>
  <c r="B1379" i="16"/>
  <c r="A1379" i="16"/>
  <c r="T1378" i="16"/>
  <c r="P1378" i="16"/>
  <c r="D1378" i="16"/>
  <c r="C1378" i="16"/>
  <c r="B1378" i="16"/>
  <c r="A1378" i="16"/>
  <c r="K1377" i="16"/>
  <c r="D1377" i="16"/>
  <c r="C1377" i="16"/>
  <c r="B1377" i="16"/>
  <c r="A1377" i="16"/>
  <c r="T1376" i="16"/>
  <c r="L1376" i="16"/>
  <c r="D1376" i="16"/>
  <c r="C1376" i="16"/>
  <c r="B1376" i="16"/>
  <c r="A1376" i="16"/>
  <c r="M1376" i="16" s="1"/>
  <c r="L1375" i="16"/>
  <c r="K1375" i="16"/>
  <c r="J1375" i="16"/>
  <c r="G1375" i="16"/>
  <c r="D1375" i="16"/>
  <c r="C1375" i="16"/>
  <c r="B1375" i="16"/>
  <c r="A1375" i="16"/>
  <c r="O1374" i="16"/>
  <c r="N1374" i="16"/>
  <c r="M1374" i="16"/>
  <c r="K1374" i="16"/>
  <c r="G1374" i="16"/>
  <c r="F1374" i="16"/>
  <c r="E1374" i="16"/>
  <c r="D1374" i="16"/>
  <c r="C1374" i="16"/>
  <c r="B1374" i="16"/>
  <c r="A1374" i="16"/>
  <c r="J1374" i="16" s="1"/>
  <c r="O1373" i="16"/>
  <c r="M1373" i="16"/>
  <c r="L1373" i="16"/>
  <c r="D1373" i="16"/>
  <c r="C1373" i="16"/>
  <c r="B1373" i="16"/>
  <c r="A1373" i="16"/>
  <c r="M1372" i="16"/>
  <c r="I1372" i="16"/>
  <c r="G1372" i="16"/>
  <c r="D1372" i="16"/>
  <c r="C1372" i="16"/>
  <c r="B1372" i="16"/>
  <c r="A1372" i="16"/>
  <c r="H1372" i="16" s="1"/>
  <c r="D1371" i="16"/>
  <c r="C1371" i="16"/>
  <c r="B1371" i="16"/>
  <c r="A1371" i="16"/>
  <c r="O1370" i="16"/>
  <c r="D1370" i="16"/>
  <c r="C1370" i="16"/>
  <c r="B1370" i="16"/>
  <c r="A1370" i="16"/>
  <c r="P1370" i="16" s="1"/>
  <c r="T1369" i="16"/>
  <c r="K1369" i="16"/>
  <c r="I1369" i="16"/>
  <c r="H1369" i="16"/>
  <c r="D1369" i="16"/>
  <c r="C1369" i="16"/>
  <c r="B1369" i="16"/>
  <c r="A1369" i="16"/>
  <c r="J1369" i="16" s="1"/>
  <c r="D1368" i="16"/>
  <c r="C1368" i="16"/>
  <c r="B1368" i="16"/>
  <c r="A1368" i="16"/>
  <c r="J1367" i="16"/>
  <c r="G1367" i="16"/>
  <c r="F1367" i="16"/>
  <c r="E1367" i="16"/>
  <c r="D1367" i="16"/>
  <c r="C1367" i="16"/>
  <c r="B1367" i="16"/>
  <c r="A1367" i="16"/>
  <c r="M1366" i="16"/>
  <c r="L1366" i="16"/>
  <c r="K1366" i="16"/>
  <c r="E1366" i="16"/>
  <c r="D1366" i="16"/>
  <c r="C1366" i="16"/>
  <c r="B1366" i="16"/>
  <c r="A1366" i="16"/>
  <c r="P1365" i="16"/>
  <c r="D1365" i="16"/>
  <c r="C1365" i="16"/>
  <c r="B1365" i="16"/>
  <c r="A1365" i="16"/>
  <c r="T1364" i="16"/>
  <c r="O1364" i="16"/>
  <c r="H1364" i="16"/>
  <c r="G1364" i="16"/>
  <c r="E1364" i="16"/>
  <c r="D1364" i="16"/>
  <c r="C1364" i="16"/>
  <c r="B1364" i="16"/>
  <c r="A1364" i="16"/>
  <c r="F1364" i="16" s="1"/>
  <c r="P1363" i="16"/>
  <c r="D1363" i="16"/>
  <c r="C1363" i="16"/>
  <c r="B1363" i="16"/>
  <c r="A1363" i="16"/>
  <c r="J1362" i="16"/>
  <c r="I1362" i="16"/>
  <c r="H1362" i="16"/>
  <c r="D1362" i="16"/>
  <c r="C1362" i="16"/>
  <c r="B1362" i="16"/>
  <c r="A1362" i="16"/>
  <c r="G1362" i="16" s="1"/>
  <c r="D1361" i="16"/>
  <c r="C1361" i="16"/>
  <c r="B1361" i="16"/>
  <c r="A1361" i="16"/>
  <c r="D1360" i="16"/>
  <c r="C1360" i="16"/>
  <c r="B1360" i="16"/>
  <c r="A1360" i="16"/>
  <c r="O1359" i="16"/>
  <c r="K1359" i="16"/>
  <c r="H1359" i="16"/>
  <c r="E1359" i="16"/>
  <c r="D1359" i="16"/>
  <c r="C1359" i="16"/>
  <c r="B1359" i="16"/>
  <c r="A1359" i="16"/>
  <c r="L1359" i="16" s="1"/>
  <c r="O1358" i="16"/>
  <c r="N1358" i="16"/>
  <c r="L1358" i="16"/>
  <c r="G1358" i="16"/>
  <c r="F1358" i="16"/>
  <c r="E1358" i="16"/>
  <c r="D1358" i="16"/>
  <c r="C1358" i="16"/>
  <c r="B1358" i="16"/>
  <c r="A1358" i="16"/>
  <c r="M1357" i="16"/>
  <c r="L1357" i="16"/>
  <c r="H1357" i="16"/>
  <c r="G1357" i="16"/>
  <c r="D1357" i="16"/>
  <c r="C1357" i="16"/>
  <c r="B1357" i="16"/>
  <c r="A1357" i="16"/>
  <c r="N1356" i="16"/>
  <c r="M1356" i="16"/>
  <c r="I1356" i="16"/>
  <c r="D1356" i="16"/>
  <c r="C1356" i="16"/>
  <c r="B1356" i="16"/>
  <c r="A1356" i="16"/>
  <c r="O1356" i="16" s="1"/>
  <c r="I1355" i="16"/>
  <c r="H1355" i="16"/>
  <c r="G1355" i="16"/>
  <c r="D1355" i="16"/>
  <c r="C1355" i="16"/>
  <c r="B1355" i="16"/>
  <c r="A1355" i="16"/>
  <c r="J1355" i="16" s="1"/>
  <c r="P1354" i="16"/>
  <c r="O1354" i="16"/>
  <c r="J1354" i="16"/>
  <c r="I1354" i="16"/>
  <c r="D1354" i="16"/>
  <c r="C1354" i="16"/>
  <c r="B1354" i="16"/>
  <c r="A1354" i="16"/>
  <c r="K1353" i="16"/>
  <c r="J1353" i="16"/>
  <c r="H1353" i="16"/>
  <c r="D1353" i="16"/>
  <c r="C1353" i="16"/>
  <c r="B1353" i="16"/>
  <c r="A1353" i="16"/>
  <c r="I1353" i="16" s="1"/>
  <c r="T1352" i="16"/>
  <c r="M1352" i="16"/>
  <c r="D1352" i="16"/>
  <c r="C1352" i="16"/>
  <c r="B1352" i="16"/>
  <c r="A1352" i="16"/>
  <c r="M1351" i="16"/>
  <c r="K1351" i="16"/>
  <c r="J1351" i="16"/>
  <c r="F1351" i="16"/>
  <c r="D1351" i="16"/>
  <c r="C1351" i="16"/>
  <c r="B1351" i="16"/>
  <c r="A1351" i="16"/>
  <c r="O1350" i="16"/>
  <c r="L1350" i="16"/>
  <c r="F1350" i="16"/>
  <c r="E1350" i="16"/>
  <c r="D1350" i="16"/>
  <c r="C1350" i="16"/>
  <c r="B1350" i="16"/>
  <c r="A1350" i="16"/>
  <c r="K1350" i="16" s="1"/>
  <c r="L1349" i="16"/>
  <c r="H1349" i="16"/>
  <c r="G1349" i="16"/>
  <c r="E1349" i="16"/>
  <c r="D1349" i="16"/>
  <c r="C1349" i="16"/>
  <c r="B1349" i="16"/>
  <c r="A1349" i="16"/>
  <c r="D1348" i="16"/>
  <c r="C1348" i="16"/>
  <c r="B1348" i="16"/>
  <c r="A1348" i="16"/>
  <c r="D1347" i="16"/>
  <c r="C1347" i="16"/>
  <c r="B1347" i="16"/>
  <c r="A1347" i="16"/>
  <c r="D1346" i="16"/>
  <c r="C1346" i="16"/>
  <c r="B1346" i="16"/>
  <c r="A1346" i="16"/>
  <c r="D1345" i="16"/>
  <c r="C1345" i="16"/>
  <c r="B1345" i="16"/>
  <c r="A1345" i="16"/>
  <c r="K1344" i="16"/>
  <c r="J1344" i="16"/>
  <c r="D1344" i="16"/>
  <c r="C1344" i="16"/>
  <c r="B1344" i="16"/>
  <c r="A1344" i="16"/>
  <c r="D1343" i="16"/>
  <c r="C1343" i="16"/>
  <c r="B1343" i="16"/>
  <c r="A1343" i="16"/>
  <c r="D1342" i="16"/>
  <c r="C1342" i="16"/>
  <c r="B1342" i="16"/>
  <c r="A1342" i="16"/>
  <c r="E1342" i="16" s="1"/>
  <c r="F1342" i="16" s="1"/>
  <c r="D1341" i="16"/>
  <c r="C1341" i="16"/>
  <c r="B1341" i="16"/>
  <c r="A1341" i="16"/>
  <c r="L1341" i="16" s="1"/>
  <c r="D1340" i="16"/>
  <c r="C1340" i="16"/>
  <c r="B1340" i="16"/>
  <c r="A1340" i="16"/>
  <c r="I1339" i="16"/>
  <c r="G1339" i="16"/>
  <c r="D1339" i="16"/>
  <c r="C1339" i="16"/>
  <c r="B1339" i="16"/>
  <c r="A1339" i="16"/>
  <c r="H1339" i="16" s="1"/>
  <c r="D1338" i="16"/>
  <c r="C1338" i="16"/>
  <c r="B1338" i="16"/>
  <c r="A1338" i="16"/>
  <c r="D1337" i="16"/>
  <c r="C1337" i="16"/>
  <c r="B1337" i="16"/>
  <c r="A1337" i="16"/>
  <c r="L1336" i="16"/>
  <c r="J1336" i="16"/>
  <c r="I1336" i="16"/>
  <c r="D1336" i="16"/>
  <c r="C1336" i="16"/>
  <c r="B1336" i="16"/>
  <c r="A1336" i="16"/>
  <c r="K1336" i="16" s="1"/>
  <c r="D1335" i="16"/>
  <c r="C1335" i="16"/>
  <c r="B1335" i="16"/>
  <c r="A1335" i="16"/>
  <c r="M1334" i="16"/>
  <c r="D1334" i="16"/>
  <c r="C1334" i="16"/>
  <c r="B1334" i="16"/>
  <c r="A1334" i="16"/>
  <c r="K1334" i="16" s="1"/>
  <c r="D1333" i="16"/>
  <c r="C1333" i="16"/>
  <c r="B1333" i="16"/>
  <c r="A1333" i="16"/>
  <c r="I1332" i="16"/>
  <c r="D1332" i="16"/>
  <c r="C1332" i="16"/>
  <c r="B1332" i="16"/>
  <c r="A1332" i="16"/>
  <c r="H1331" i="16"/>
  <c r="D1331" i="16"/>
  <c r="C1331" i="16"/>
  <c r="B1331" i="16"/>
  <c r="A1331" i="16"/>
  <c r="D1330" i="16"/>
  <c r="C1330" i="16"/>
  <c r="B1330" i="16"/>
  <c r="A1330" i="16"/>
  <c r="I1329" i="16"/>
  <c r="D1329" i="16"/>
  <c r="K1329" i="16" s="1"/>
  <c r="C1329" i="16"/>
  <c r="B1329" i="16"/>
  <c r="A1329" i="16"/>
  <c r="M1328" i="16"/>
  <c r="J1328" i="16"/>
  <c r="D1328" i="16"/>
  <c r="C1328" i="16"/>
  <c r="B1328" i="16"/>
  <c r="A1328" i="16"/>
  <c r="D1327" i="16"/>
  <c r="C1327" i="16"/>
  <c r="B1327" i="16"/>
  <c r="A1327" i="16"/>
  <c r="D1326" i="16"/>
  <c r="C1326" i="16"/>
  <c r="B1326" i="16"/>
  <c r="A1326" i="16"/>
  <c r="K1326" i="16" s="1"/>
  <c r="F1325" i="16"/>
  <c r="D1325" i="16"/>
  <c r="C1325" i="16"/>
  <c r="B1325" i="16"/>
  <c r="A1325" i="16"/>
  <c r="E1325" i="16" s="1"/>
  <c r="M1324" i="16"/>
  <c r="D1324" i="16"/>
  <c r="C1324" i="16"/>
  <c r="B1324" i="16"/>
  <c r="A1324" i="16"/>
  <c r="H1323" i="16"/>
  <c r="D1323" i="16"/>
  <c r="C1323" i="16"/>
  <c r="B1323" i="16"/>
  <c r="A1323" i="16"/>
  <c r="D1322" i="16"/>
  <c r="C1322" i="16"/>
  <c r="B1322" i="16"/>
  <c r="A1322" i="16"/>
  <c r="D1321" i="16"/>
  <c r="C1321" i="16"/>
  <c r="B1321" i="16"/>
  <c r="A1321" i="16"/>
  <c r="D1320" i="16"/>
  <c r="C1320" i="16"/>
  <c r="B1320" i="16"/>
  <c r="A1320" i="16"/>
  <c r="D1319" i="16"/>
  <c r="C1319" i="16"/>
  <c r="B1319" i="16"/>
  <c r="A1319" i="16"/>
  <c r="L1318" i="16"/>
  <c r="G1318" i="16"/>
  <c r="D1318" i="16"/>
  <c r="C1318" i="16"/>
  <c r="B1318" i="16"/>
  <c r="A1318" i="16"/>
  <c r="M1318" i="16" s="1"/>
  <c r="D1317" i="16"/>
  <c r="C1317" i="16"/>
  <c r="B1317" i="16"/>
  <c r="A1317" i="16"/>
  <c r="D1316" i="16"/>
  <c r="C1316" i="16"/>
  <c r="B1316" i="16"/>
  <c r="A1316" i="16"/>
  <c r="J1315" i="16"/>
  <c r="H1315" i="16"/>
  <c r="D1315" i="16"/>
  <c r="C1315" i="16"/>
  <c r="B1315" i="16"/>
  <c r="A1315" i="16"/>
  <c r="I1315" i="16" s="1"/>
  <c r="J1314" i="16"/>
  <c r="G1314" i="16"/>
  <c r="D1314" i="16"/>
  <c r="C1314" i="16"/>
  <c r="B1314" i="16"/>
  <c r="A1314" i="16"/>
  <c r="D1313" i="16"/>
  <c r="C1313" i="16"/>
  <c r="B1313" i="16"/>
  <c r="A1313" i="16"/>
  <c r="M1312" i="16"/>
  <c r="L1312" i="16"/>
  <c r="D1312" i="16"/>
  <c r="C1312" i="16"/>
  <c r="B1312" i="16"/>
  <c r="A1312" i="16"/>
  <c r="D1311" i="16"/>
  <c r="C1311" i="16"/>
  <c r="B1311" i="16"/>
  <c r="A1311" i="16"/>
  <c r="D1310" i="16"/>
  <c r="C1310" i="16"/>
  <c r="B1310" i="16"/>
  <c r="A1310" i="16"/>
  <c r="M1310" i="16" s="1"/>
  <c r="D1309" i="16"/>
  <c r="C1309" i="16"/>
  <c r="B1309" i="16"/>
  <c r="A1309" i="16"/>
  <c r="D1308" i="16"/>
  <c r="C1308" i="16"/>
  <c r="B1308" i="16"/>
  <c r="A1308" i="16"/>
  <c r="J1307" i="16"/>
  <c r="D1307" i="16"/>
  <c r="C1307" i="16"/>
  <c r="B1307" i="16"/>
  <c r="A1307" i="16"/>
  <c r="I1307" i="16" s="1"/>
  <c r="J1306" i="16"/>
  <c r="H1306" i="16"/>
  <c r="G1306" i="16"/>
  <c r="D1306" i="16"/>
  <c r="C1306" i="16"/>
  <c r="B1306" i="16"/>
  <c r="A1306" i="16"/>
  <c r="I1306" i="16" s="1"/>
  <c r="D1305" i="16"/>
  <c r="C1305" i="16"/>
  <c r="B1305" i="16"/>
  <c r="A1305" i="16"/>
  <c r="D1304" i="16"/>
  <c r="C1304" i="16"/>
  <c r="B1304" i="16"/>
  <c r="A1304" i="16"/>
  <c r="D1303" i="16"/>
  <c r="C1303" i="16"/>
  <c r="B1303" i="16"/>
  <c r="A1303" i="16"/>
  <c r="D1302" i="16"/>
  <c r="C1302" i="16"/>
  <c r="B1302" i="16"/>
  <c r="A1302" i="16"/>
  <c r="D1301" i="16"/>
  <c r="C1301" i="16"/>
  <c r="B1301" i="16"/>
  <c r="A1301" i="16"/>
  <c r="H1300" i="16"/>
  <c r="D1300" i="16"/>
  <c r="C1300" i="16"/>
  <c r="B1300" i="16"/>
  <c r="A1300" i="16"/>
  <c r="D1299" i="16"/>
  <c r="C1299" i="16"/>
  <c r="B1299" i="16"/>
  <c r="A1299" i="16"/>
  <c r="D1298" i="16"/>
  <c r="C1298" i="16"/>
  <c r="B1298" i="16"/>
  <c r="A1298" i="16"/>
  <c r="D1297" i="16"/>
  <c r="C1297" i="16"/>
  <c r="B1297" i="16"/>
  <c r="A1297" i="16"/>
  <c r="D1296" i="16"/>
  <c r="C1296" i="16"/>
  <c r="B1296" i="16"/>
  <c r="A1296" i="16"/>
  <c r="I1296" i="16" s="1"/>
  <c r="J1295" i="16"/>
  <c r="D1295" i="16"/>
  <c r="C1295" i="16"/>
  <c r="B1295" i="16"/>
  <c r="A1295" i="16"/>
  <c r="D1294" i="16"/>
  <c r="C1294" i="16"/>
  <c r="B1294" i="16"/>
  <c r="A1294" i="16"/>
  <c r="D1293" i="16"/>
  <c r="C1293" i="16"/>
  <c r="B1293" i="16"/>
  <c r="A1293" i="16"/>
  <c r="G1292" i="16"/>
  <c r="E1292" i="16"/>
  <c r="D1292" i="16"/>
  <c r="C1292" i="16"/>
  <c r="B1292" i="16"/>
  <c r="A1292" i="16"/>
  <c r="H1292" i="16" s="1"/>
  <c r="H1291" i="16"/>
  <c r="D1291" i="16"/>
  <c r="C1291" i="16"/>
  <c r="B1291" i="16"/>
  <c r="A1291" i="16"/>
  <c r="D1290" i="16"/>
  <c r="C1290" i="16"/>
  <c r="B1290" i="16"/>
  <c r="A1290" i="16"/>
  <c r="D1289" i="16"/>
  <c r="C1289" i="16"/>
  <c r="B1289" i="16"/>
  <c r="A1289" i="16"/>
  <c r="E1288" i="16"/>
  <c r="D1288" i="16"/>
  <c r="C1288" i="16"/>
  <c r="B1288" i="16"/>
  <c r="A1288" i="16"/>
  <c r="D1287" i="16"/>
  <c r="C1287" i="16"/>
  <c r="B1287" i="16"/>
  <c r="A1287" i="16"/>
  <c r="E1286" i="16"/>
  <c r="F1286" i="16" s="1"/>
  <c r="D1286" i="16"/>
  <c r="C1286" i="16"/>
  <c r="B1286" i="16"/>
  <c r="A1286" i="16"/>
  <c r="D1285" i="16"/>
  <c r="C1285" i="16"/>
  <c r="B1285" i="16"/>
  <c r="A1285" i="16"/>
  <c r="D1284" i="16"/>
  <c r="C1284" i="16"/>
  <c r="B1284" i="16"/>
  <c r="A1284" i="16"/>
  <c r="H1283" i="16"/>
  <c r="G1283" i="16"/>
  <c r="D1283" i="16"/>
  <c r="C1283" i="16"/>
  <c r="B1283" i="16"/>
  <c r="A1283" i="16"/>
  <c r="I1283" i="16" s="1"/>
  <c r="D1282" i="16"/>
  <c r="C1282" i="16"/>
  <c r="B1282" i="16"/>
  <c r="A1282" i="16"/>
  <c r="H1281" i="16"/>
  <c r="D1281" i="16"/>
  <c r="C1281" i="16"/>
  <c r="B1281" i="16"/>
  <c r="A1281" i="16"/>
  <c r="E1280" i="16"/>
  <c r="D1280" i="16"/>
  <c r="C1280" i="16"/>
  <c r="B1280" i="16"/>
  <c r="A1280" i="16"/>
  <c r="I1280" i="16" s="1"/>
  <c r="D1279" i="16"/>
  <c r="C1279" i="16"/>
  <c r="B1279" i="16"/>
  <c r="A1279" i="16"/>
  <c r="O1278" i="16"/>
  <c r="E1278" i="16"/>
  <c r="F1278" i="16" s="1"/>
  <c r="D1278" i="16"/>
  <c r="C1278" i="16"/>
  <c r="B1278" i="16"/>
  <c r="A1278" i="16"/>
  <c r="G1278" i="16" s="1"/>
  <c r="L1277" i="16"/>
  <c r="D1277" i="16"/>
  <c r="C1277" i="16"/>
  <c r="B1277" i="16"/>
  <c r="A1277" i="16"/>
  <c r="D1276" i="16"/>
  <c r="C1276" i="16"/>
  <c r="B1276" i="16"/>
  <c r="A1276" i="16"/>
  <c r="M1276" i="16" s="1"/>
  <c r="I1275" i="16"/>
  <c r="G1275" i="16"/>
  <c r="D1275" i="16"/>
  <c r="C1275" i="16"/>
  <c r="B1275" i="16"/>
  <c r="A1275" i="16"/>
  <c r="H1275" i="16" s="1"/>
  <c r="J1274" i="16"/>
  <c r="D1274" i="16"/>
  <c r="C1274" i="16"/>
  <c r="B1274" i="16"/>
  <c r="A1274" i="16"/>
  <c r="D1273" i="16"/>
  <c r="C1273" i="16"/>
  <c r="B1273" i="16"/>
  <c r="A1273" i="16"/>
  <c r="D1272" i="16"/>
  <c r="C1272" i="16"/>
  <c r="B1272" i="16"/>
  <c r="A1272" i="16"/>
  <c r="M1271" i="16"/>
  <c r="D1271" i="16"/>
  <c r="C1271" i="16"/>
  <c r="B1271" i="16"/>
  <c r="A1271" i="16"/>
  <c r="L1271" i="16" s="1"/>
  <c r="D1270" i="16"/>
  <c r="C1270" i="16"/>
  <c r="B1270" i="16"/>
  <c r="A1270" i="16"/>
  <c r="D1269" i="16"/>
  <c r="C1269" i="16"/>
  <c r="B1269" i="16"/>
  <c r="A1269" i="16"/>
  <c r="D1268" i="16"/>
  <c r="C1268" i="16"/>
  <c r="B1268" i="16"/>
  <c r="A1268" i="16"/>
  <c r="I1267" i="16"/>
  <c r="H1267" i="16"/>
  <c r="G1267" i="16"/>
  <c r="D1267" i="16"/>
  <c r="C1267" i="16"/>
  <c r="B1267" i="16"/>
  <c r="A1267" i="16"/>
  <c r="K1266" i="16"/>
  <c r="D1266" i="16"/>
  <c r="C1266" i="16"/>
  <c r="B1266" i="16"/>
  <c r="A1266" i="16"/>
  <c r="D1265" i="16"/>
  <c r="C1265" i="16"/>
  <c r="B1265" i="16"/>
  <c r="A1265" i="16"/>
  <c r="M1264" i="16"/>
  <c r="K1264" i="16"/>
  <c r="J1264" i="16"/>
  <c r="D1264" i="16"/>
  <c r="C1264" i="16"/>
  <c r="B1264" i="16"/>
  <c r="A1264" i="16"/>
  <c r="L1264" i="16" s="1"/>
  <c r="D1263" i="16"/>
  <c r="C1263" i="16"/>
  <c r="E1263" i="16" s="1"/>
  <c r="B1263" i="16"/>
  <c r="A1263" i="16"/>
  <c r="M1262" i="16"/>
  <c r="K1262" i="16"/>
  <c r="D1262" i="16"/>
  <c r="C1262" i="16"/>
  <c r="E1262" i="16" s="1"/>
  <c r="F1262" i="16" s="1"/>
  <c r="B1262" i="16"/>
  <c r="A1262" i="16"/>
  <c r="L1262" i="16" s="1"/>
  <c r="D1261" i="16"/>
  <c r="C1261" i="16"/>
  <c r="B1261" i="16"/>
  <c r="A1261" i="16"/>
  <c r="E1261" i="16" s="1"/>
  <c r="I1260" i="16"/>
  <c r="D1260" i="16"/>
  <c r="C1260" i="16"/>
  <c r="B1260" i="16"/>
  <c r="A1260" i="16"/>
  <c r="M1260" i="16" s="1"/>
  <c r="D1259" i="16"/>
  <c r="C1259" i="16"/>
  <c r="B1259" i="16"/>
  <c r="A1259" i="16"/>
  <c r="O1258" i="16"/>
  <c r="H1258" i="16"/>
  <c r="D1258" i="16"/>
  <c r="C1258" i="16"/>
  <c r="B1258" i="16"/>
  <c r="A1258" i="16"/>
  <c r="J1257" i="16"/>
  <c r="I1257" i="16"/>
  <c r="D1257" i="16"/>
  <c r="C1257" i="16"/>
  <c r="B1257" i="16"/>
  <c r="A1257" i="16"/>
  <c r="D1256" i="16"/>
  <c r="C1256" i="16"/>
  <c r="B1256" i="16"/>
  <c r="A1256" i="16"/>
  <c r="M1256" i="16" s="1"/>
  <c r="D1255" i="16"/>
  <c r="C1255" i="16"/>
  <c r="B1255" i="16"/>
  <c r="A1255" i="16"/>
  <c r="M1254" i="16"/>
  <c r="L1254" i="16"/>
  <c r="K1254" i="16"/>
  <c r="D1254" i="16"/>
  <c r="C1254" i="16"/>
  <c r="B1254" i="16"/>
  <c r="A1254" i="16"/>
  <c r="D1253" i="16"/>
  <c r="C1253" i="16"/>
  <c r="B1253" i="16"/>
  <c r="A1253" i="16"/>
  <c r="D1252" i="16"/>
  <c r="C1252" i="16"/>
  <c r="B1252" i="16"/>
  <c r="A1252" i="16"/>
  <c r="D1251" i="16"/>
  <c r="C1251" i="16"/>
  <c r="B1251" i="16"/>
  <c r="A1251" i="16"/>
  <c r="H1251" i="16" s="1"/>
  <c r="J1250" i="16"/>
  <c r="D1250" i="16"/>
  <c r="C1250" i="16"/>
  <c r="B1250" i="16"/>
  <c r="A1250" i="16"/>
  <c r="K1249" i="16"/>
  <c r="I1249" i="16"/>
  <c r="D1249" i="16"/>
  <c r="C1249" i="16"/>
  <c r="B1249" i="16"/>
  <c r="A1249" i="16"/>
  <c r="L1248" i="16"/>
  <c r="D1248" i="16"/>
  <c r="C1248" i="16"/>
  <c r="B1248" i="16"/>
  <c r="A1248" i="16"/>
  <c r="D1247" i="16"/>
  <c r="C1247" i="16"/>
  <c r="B1247" i="16"/>
  <c r="A1247" i="16"/>
  <c r="E1247" i="16" s="1"/>
  <c r="D1246" i="16"/>
  <c r="C1246" i="16"/>
  <c r="B1246" i="16"/>
  <c r="A1246" i="16"/>
  <c r="D1245" i="16"/>
  <c r="C1245" i="16"/>
  <c r="B1245" i="16"/>
  <c r="A1245" i="16"/>
  <c r="E1245" i="16" s="1"/>
  <c r="G1244" i="16"/>
  <c r="F1244" i="16"/>
  <c r="P1244" i="16" s="1"/>
  <c r="D1244" i="16"/>
  <c r="C1244" i="16"/>
  <c r="B1244" i="16"/>
  <c r="A1244" i="16"/>
  <c r="D1243" i="16"/>
  <c r="C1243" i="16"/>
  <c r="B1243" i="16"/>
  <c r="A1243" i="16"/>
  <c r="H1242" i="16"/>
  <c r="D1242" i="16"/>
  <c r="C1242" i="16"/>
  <c r="B1242" i="16"/>
  <c r="A1242" i="16"/>
  <c r="D1241" i="16"/>
  <c r="C1241" i="16"/>
  <c r="B1241" i="16"/>
  <c r="A1241" i="16"/>
  <c r="D1240" i="16"/>
  <c r="C1240" i="16"/>
  <c r="B1240" i="16"/>
  <c r="A1240" i="16"/>
  <c r="K1240" i="16" s="1"/>
  <c r="M1239" i="16"/>
  <c r="K1239" i="16"/>
  <c r="J1239" i="16"/>
  <c r="E1239" i="16"/>
  <c r="D1239" i="16"/>
  <c r="C1239" i="16"/>
  <c r="B1239" i="16"/>
  <c r="A1239" i="16"/>
  <c r="L1239" i="16" s="1"/>
  <c r="D1238" i="16"/>
  <c r="C1238" i="16"/>
  <c r="E1238" i="16" s="1"/>
  <c r="F1238" i="16" s="1"/>
  <c r="B1238" i="16"/>
  <c r="A1238" i="16"/>
  <c r="L1238" i="16" s="1"/>
  <c r="D1237" i="16"/>
  <c r="C1237" i="16"/>
  <c r="B1237" i="16"/>
  <c r="A1237" i="16"/>
  <c r="D1236" i="16"/>
  <c r="C1236" i="16"/>
  <c r="B1236" i="16"/>
  <c r="A1236" i="16"/>
  <c r="D1235" i="16"/>
  <c r="C1235" i="16"/>
  <c r="B1235" i="16"/>
  <c r="A1235" i="16"/>
  <c r="D1234" i="16"/>
  <c r="C1234" i="16"/>
  <c r="B1234" i="16"/>
  <c r="A1234" i="16"/>
  <c r="D1233" i="16"/>
  <c r="C1233" i="16"/>
  <c r="B1233" i="16"/>
  <c r="A1233" i="16"/>
  <c r="D1232" i="16"/>
  <c r="C1232" i="16"/>
  <c r="E1232" i="16" s="1"/>
  <c r="B1232" i="16"/>
  <c r="A1232" i="16"/>
  <c r="D1231" i="16"/>
  <c r="C1231" i="16"/>
  <c r="B1231" i="16"/>
  <c r="A1231" i="16"/>
  <c r="D1230" i="16"/>
  <c r="C1230" i="16"/>
  <c r="B1230" i="16"/>
  <c r="A1230" i="16"/>
  <c r="D1229" i="16"/>
  <c r="C1229" i="16"/>
  <c r="B1229" i="16"/>
  <c r="A1229" i="16"/>
  <c r="H1228" i="16"/>
  <c r="G1228" i="16"/>
  <c r="D1228" i="16"/>
  <c r="C1228" i="16"/>
  <c r="B1228" i="16"/>
  <c r="A1228" i="16"/>
  <c r="E1228" i="16" s="1"/>
  <c r="G1227" i="16"/>
  <c r="D1227" i="16"/>
  <c r="C1227" i="16"/>
  <c r="B1227" i="16"/>
  <c r="A1227" i="16"/>
  <c r="D1226" i="16"/>
  <c r="C1226" i="16"/>
  <c r="B1226" i="16"/>
  <c r="A1226" i="16"/>
  <c r="D1225" i="16"/>
  <c r="C1225" i="16"/>
  <c r="B1225" i="16"/>
  <c r="A1225" i="16"/>
  <c r="D1224" i="16"/>
  <c r="C1224" i="16"/>
  <c r="B1224" i="16"/>
  <c r="A1224" i="16"/>
  <c r="I1224" i="16" s="1"/>
  <c r="D1223" i="16"/>
  <c r="C1223" i="16"/>
  <c r="E1223" i="16" s="1"/>
  <c r="B1223" i="16"/>
  <c r="A1223" i="16"/>
  <c r="D1222" i="16"/>
  <c r="C1222" i="16"/>
  <c r="B1222" i="16"/>
  <c r="A1222" i="16"/>
  <c r="L1221" i="16"/>
  <c r="H1221" i="16"/>
  <c r="D1221" i="16"/>
  <c r="G1221" i="16" s="1"/>
  <c r="C1221" i="16"/>
  <c r="B1221" i="16"/>
  <c r="A1221" i="16"/>
  <c r="D1220" i="16"/>
  <c r="C1220" i="16"/>
  <c r="B1220" i="16"/>
  <c r="A1220" i="16"/>
  <c r="I1219" i="16"/>
  <c r="D1219" i="16"/>
  <c r="C1219" i="16"/>
  <c r="B1219" i="16"/>
  <c r="A1219" i="16"/>
  <c r="D1218" i="16"/>
  <c r="C1218" i="16"/>
  <c r="B1218" i="16"/>
  <c r="A1218" i="16"/>
  <c r="D1217" i="16"/>
  <c r="C1217" i="16"/>
  <c r="B1217" i="16"/>
  <c r="A1217" i="16"/>
  <c r="K1216" i="16"/>
  <c r="D1216" i="16"/>
  <c r="C1216" i="16"/>
  <c r="B1216" i="16"/>
  <c r="A1216" i="16"/>
  <c r="J1216" i="16" s="1"/>
  <c r="D1215" i="16"/>
  <c r="C1215" i="16"/>
  <c r="B1215" i="16"/>
  <c r="A1215" i="16"/>
  <c r="K1215" i="16" s="1"/>
  <c r="D1214" i="16"/>
  <c r="C1214" i="16"/>
  <c r="B1214" i="16"/>
  <c r="A1214" i="16"/>
  <c r="D1213" i="16"/>
  <c r="C1213" i="16"/>
  <c r="B1213" i="16"/>
  <c r="A1213" i="16"/>
  <c r="I1212" i="16"/>
  <c r="D1212" i="16"/>
  <c r="C1212" i="16"/>
  <c r="B1212" i="16"/>
  <c r="A1212" i="16"/>
  <c r="D1211" i="16"/>
  <c r="C1211" i="16"/>
  <c r="B1211" i="16"/>
  <c r="A1211" i="16"/>
  <c r="D1210" i="16"/>
  <c r="C1210" i="16"/>
  <c r="B1210" i="16"/>
  <c r="A1210" i="16"/>
  <c r="D1209" i="16"/>
  <c r="C1209" i="16"/>
  <c r="B1209" i="16"/>
  <c r="A1209" i="16"/>
  <c r="D1208" i="16"/>
  <c r="C1208" i="16"/>
  <c r="B1208" i="16"/>
  <c r="A1208" i="16"/>
  <c r="D1207" i="16"/>
  <c r="C1207" i="16"/>
  <c r="B1207" i="16"/>
  <c r="A1207" i="16"/>
  <c r="D1206" i="16"/>
  <c r="C1206" i="16"/>
  <c r="B1206" i="16"/>
  <c r="A1206" i="16"/>
  <c r="D1205" i="16"/>
  <c r="C1205" i="16"/>
  <c r="B1205" i="16"/>
  <c r="A1205" i="16"/>
  <c r="E1205" i="16" s="1"/>
  <c r="F1205" i="16" s="1"/>
  <c r="D1204" i="16"/>
  <c r="C1204" i="16"/>
  <c r="B1204" i="16"/>
  <c r="A1204" i="16"/>
  <c r="H1203" i="16"/>
  <c r="G1203" i="16"/>
  <c r="D1203" i="16"/>
  <c r="C1203" i="16"/>
  <c r="B1203" i="16"/>
  <c r="A1203" i="16"/>
  <c r="I1203" i="16" s="1"/>
  <c r="D1202" i="16"/>
  <c r="C1202" i="16"/>
  <c r="B1202" i="16"/>
  <c r="A1202" i="16"/>
  <c r="J1201" i="16"/>
  <c r="H1201" i="16"/>
  <c r="D1201" i="16"/>
  <c r="C1201" i="16"/>
  <c r="B1201" i="16"/>
  <c r="A1201" i="16"/>
  <c r="D1200" i="16"/>
  <c r="C1200" i="16"/>
  <c r="B1200" i="16"/>
  <c r="A1200" i="16"/>
  <c r="D1199" i="16"/>
  <c r="C1199" i="16"/>
  <c r="B1199" i="16"/>
  <c r="A1199" i="16"/>
  <c r="L1198" i="16"/>
  <c r="K1198" i="16"/>
  <c r="D1198" i="16"/>
  <c r="C1198" i="16"/>
  <c r="B1198" i="16"/>
  <c r="A1198" i="16"/>
  <c r="D1197" i="16"/>
  <c r="C1197" i="16"/>
  <c r="B1197" i="16"/>
  <c r="A1197" i="16"/>
  <c r="D1196" i="16"/>
  <c r="C1196" i="16"/>
  <c r="B1196" i="16"/>
  <c r="A1196" i="16"/>
  <c r="D1195" i="16"/>
  <c r="C1195" i="16"/>
  <c r="B1195" i="16"/>
  <c r="A1195" i="16"/>
  <c r="G1194" i="16"/>
  <c r="D1194" i="16"/>
  <c r="C1194" i="16"/>
  <c r="B1194" i="16"/>
  <c r="A1194" i="16"/>
  <c r="K1193" i="16"/>
  <c r="J1193" i="16"/>
  <c r="D1193" i="16"/>
  <c r="C1193" i="16"/>
  <c r="B1193" i="16"/>
  <c r="A1193" i="16"/>
  <c r="M1192" i="16"/>
  <c r="K1192" i="16"/>
  <c r="D1192" i="16"/>
  <c r="C1192" i="16"/>
  <c r="B1192" i="16"/>
  <c r="A1192" i="16"/>
  <c r="D1191" i="16"/>
  <c r="C1191" i="16"/>
  <c r="B1191" i="16"/>
  <c r="A1191" i="16"/>
  <c r="L1190" i="16"/>
  <c r="K1190" i="16"/>
  <c r="G1190" i="16"/>
  <c r="D1190" i="16"/>
  <c r="C1190" i="16"/>
  <c r="B1190" i="16"/>
  <c r="A1190" i="16"/>
  <c r="D1189" i="16"/>
  <c r="C1189" i="16"/>
  <c r="B1189" i="16"/>
  <c r="A1189" i="16"/>
  <c r="D1188" i="16"/>
  <c r="C1188" i="16"/>
  <c r="B1188" i="16"/>
  <c r="A1188" i="16"/>
  <c r="E1188" i="16" s="1"/>
  <c r="D1187" i="16"/>
  <c r="C1187" i="16"/>
  <c r="B1187" i="16"/>
  <c r="A1187" i="16"/>
  <c r="D1186" i="16"/>
  <c r="C1186" i="16"/>
  <c r="B1186" i="16"/>
  <c r="A1186" i="16"/>
  <c r="K1185" i="16"/>
  <c r="D1185" i="16"/>
  <c r="C1185" i="16"/>
  <c r="B1185" i="16"/>
  <c r="A1185" i="16"/>
  <c r="L1185" i="16" s="1"/>
  <c r="D1184" i="16"/>
  <c r="C1184" i="16"/>
  <c r="B1184" i="16"/>
  <c r="A1184" i="16"/>
  <c r="D1183" i="16"/>
  <c r="C1183" i="16"/>
  <c r="B1183" i="16"/>
  <c r="A1183" i="16"/>
  <c r="E1183" i="16" s="1"/>
  <c r="D1182" i="16"/>
  <c r="C1182" i="16"/>
  <c r="B1182" i="16"/>
  <c r="A1182" i="16"/>
  <c r="L1181" i="16"/>
  <c r="G1181" i="16"/>
  <c r="D1181" i="16"/>
  <c r="C1181" i="16"/>
  <c r="B1181" i="16"/>
  <c r="A1181" i="16"/>
  <c r="H1181" i="16" s="1"/>
  <c r="D1180" i="16"/>
  <c r="C1180" i="16"/>
  <c r="B1180" i="16"/>
  <c r="A1180" i="16"/>
  <c r="D1179" i="16"/>
  <c r="C1179" i="16"/>
  <c r="B1179" i="16"/>
  <c r="A1179" i="16"/>
  <c r="I1178" i="16"/>
  <c r="G1178" i="16"/>
  <c r="D1178" i="16"/>
  <c r="C1178" i="16"/>
  <c r="B1178" i="16"/>
  <c r="A1178" i="16"/>
  <c r="D1177" i="16"/>
  <c r="C1177" i="16"/>
  <c r="B1177" i="16"/>
  <c r="A1177" i="16"/>
  <c r="D1176" i="16"/>
  <c r="C1176" i="16"/>
  <c r="B1176" i="16"/>
  <c r="A1176" i="16"/>
  <c r="D1175" i="16"/>
  <c r="C1175" i="16"/>
  <c r="B1175" i="16"/>
  <c r="A1175" i="16"/>
  <c r="D1174" i="16"/>
  <c r="C1174" i="16"/>
  <c r="B1174" i="16"/>
  <c r="A1174" i="16"/>
  <c r="D1173" i="16"/>
  <c r="C1173" i="16"/>
  <c r="B1173" i="16"/>
  <c r="A1173" i="16"/>
  <c r="D1172" i="16"/>
  <c r="C1172" i="16"/>
  <c r="B1172" i="16"/>
  <c r="A1172" i="16"/>
  <c r="D1171" i="16"/>
  <c r="C1171" i="16"/>
  <c r="B1171" i="16"/>
  <c r="A1171" i="16"/>
  <c r="D1170" i="16"/>
  <c r="C1170" i="16"/>
  <c r="B1170" i="16"/>
  <c r="A1170" i="16"/>
  <c r="H1170" i="16" s="1"/>
  <c r="D1169" i="16"/>
  <c r="C1169" i="16"/>
  <c r="B1169" i="16"/>
  <c r="A1169" i="16"/>
  <c r="D1168" i="16"/>
  <c r="C1168" i="16"/>
  <c r="B1168" i="16"/>
  <c r="A1168" i="16"/>
  <c r="L1167" i="16"/>
  <c r="D1167" i="16"/>
  <c r="C1167" i="16"/>
  <c r="E1167" i="16" s="1"/>
  <c r="B1167" i="16"/>
  <c r="A1167" i="16"/>
  <c r="D1166" i="16"/>
  <c r="C1166" i="16"/>
  <c r="B1166" i="16"/>
  <c r="A1166" i="16"/>
  <c r="M1166" i="16" s="1"/>
  <c r="M1165" i="16"/>
  <c r="D1165" i="16"/>
  <c r="E1165" i="16" s="1"/>
  <c r="C1165" i="16"/>
  <c r="B1165" i="16"/>
  <c r="A1165" i="16"/>
  <c r="D1164" i="16"/>
  <c r="C1164" i="16"/>
  <c r="B1164" i="16"/>
  <c r="A1164" i="16"/>
  <c r="E1164" i="16" s="1"/>
  <c r="F1164" i="16" s="1"/>
  <c r="D1163" i="16"/>
  <c r="C1163" i="16"/>
  <c r="B1163" i="16"/>
  <c r="A1163" i="16"/>
  <c r="D1162" i="16"/>
  <c r="C1162" i="16"/>
  <c r="B1162" i="16"/>
  <c r="A1162" i="16"/>
  <c r="D1161" i="16"/>
  <c r="C1161" i="16"/>
  <c r="B1161" i="16"/>
  <c r="A1161" i="16"/>
  <c r="E1160" i="16"/>
  <c r="D1160" i="16"/>
  <c r="C1160" i="16"/>
  <c r="B1160" i="16"/>
  <c r="A1160" i="16"/>
  <c r="D1159" i="16"/>
  <c r="C1159" i="16"/>
  <c r="B1159" i="16"/>
  <c r="A1159" i="16"/>
  <c r="D1158" i="16"/>
  <c r="C1158" i="16"/>
  <c r="E1158" i="16" s="1"/>
  <c r="F1158" i="16" s="1"/>
  <c r="B1158" i="16"/>
  <c r="A1158" i="16"/>
  <c r="D1157" i="16"/>
  <c r="C1157" i="16"/>
  <c r="B1157" i="16"/>
  <c r="A1157" i="16"/>
  <c r="H1157" i="16" s="1"/>
  <c r="D1156" i="16"/>
  <c r="C1156" i="16"/>
  <c r="B1156" i="16"/>
  <c r="A1156" i="16"/>
  <c r="D1155" i="16"/>
  <c r="C1155" i="16"/>
  <c r="B1155" i="16"/>
  <c r="A1155" i="16"/>
  <c r="G1155" i="16" s="1"/>
  <c r="D1154" i="16"/>
  <c r="C1154" i="16"/>
  <c r="B1154" i="16"/>
  <c r="A1154" i="16"/>
  <c r="D1153" i="16"/>
  <c r="I1153" i="16" s="1"/>
  <c r="C1153" i="16"/>
  <c r="B1153" i="16"/>
  <c r="A1153" i="16"/>
  <c r="K1152" i="16"/>
  <c r="J1152" i="16"/>
  <c r="I1152" i="16"/>
  <c r="D1152" i="16"/>
  <c r="C1152" i="16"/>
  <c r="B1152" i="16"/>
  <c r="A1152" i="16"/>
  <c r="E1152" i="16" s="1"/>
  <c r="K1151" i="16"/>
  <c r="D1151" i="16"/>
  <c r="C1151" i="16"/>
  <c r="B1151" i="16"/>
  <c r="A1151" i="16"/>
  <c r="D1150" i="16"/>
  <c r="C1150" i="16"/>
  <c r="B1150" i="16"/>
  <c r="A1150" i="16"/>
  <c r="E1150" i="16" s="1"/>
  <c r="D1149" i="16"/>
  <c r="C1149" i="16"/>
  <c r="B1149" i="16"/>
  <c r="A1149" i="16"/>
  <c r="D1148" i="16"/>
  <c r="C1148" i="16"/>
  <c r="B1148" i="16"/>
  <c r="A1148" i="16"/>
  <c r="D1147" i="16"/>
  <c r="C1147" i="16"/>
  <c r="B1147" i="16"/>
  <c r="A1147" i="16"/>
  <c r="K1146" i="16"/>
  <c r="D1146" i="16"/>
  <c r="C1146" i="16"/>
  <c r="B1146" i="16"/>
  <c r="A1146" i="16"/>
  <c r="J1146" i="16" s="1"/>
  <c r="D1145" i="16"/>
  <c r="J1145" i="16" s="1"/>
  <c r="C1145" i="16"/>
  <c r="B1145" i="16"/>
  <c r="A1145" i="16"/>
  <c r="D1144" i="16"/>
  <c r="C1144" i="16"/>
  <c r="B1144" i="16"/>
  <c r="A1144" i="16"/>
  <c r="D1143" i="16"/>
  <c r="C1143" i="16"/>
  <c r="B1143" i="16"/>
  <c r="A1143" i="16"/>
  <c r="D1142" i="16"/>
  <c r="C1142" i="16"/>
  <c r="B1142" i="16"/>
  <c r="A1142" i="16"/>
  <c r="D1141" i="16"/>
  <c r="C1141" i="16"/>
  <c r="B1141" i="16"/>
  <c r="A1141" i="16"/>
  <c r="M1140" i="16"/>
  <c r="I1140" i="16"/>
  <c r="H1140" i="16"/>
  <c r="D1140" i="16"/>
  <c r="C1140" i="16"/>
  <c r="B1140" i="16"/>
  <c r="A1140" i="16"/>
  <c r="H1139" i="16"/>
  <c r="D1139" i="16"/>
  <c r="C1139" i="16"/>
  <c r="B1139" i="16"/>
  <c r="A1139" i="16"/>
  <c r="D1138" i="16"/>
  <c r="C1138" i="16"/>
  <c r="B1138" i="16"/>
  <c r="A1138" i="16"/>
  <c r="J1137" i="16"/>
  <c r="I1137" i="16"/>
  <c r="D1137" i="16"/>
  <c r="C1137" i="16"/>
  <c r="B1137" i="16"/>
  <c r="A1137" i="16"/>
  <c r="H1137" i="16" s="1"/>
  <c r="M1136" i="16"/>
  <c r="K1136" i="16"/>
  <c r="D1136" i="16"/>
  <c r="C1136" i="16"/>
  <c r="B1136" i="16"/>
  <c r="A1136" i="16"/>
  <c r="D1135" i="16"/>
  <c r="C1135" i="16"/>
  <c r="B1135" i="16"/>
  <c r="A1135" i="16"/>
  <c r="F1134" i="16"/>
  <c r="D1134" i="16"/>
  <c r="C1134" i="16"/>
  <c r="E1134" i="16" s="1"/>
  <c r="B1134" i="16"/>
  <c r="A1134" i="16"/>
  <c r="D1133" i="16"/>
  <c r="C1133" i="16"/>
  <c r="B1133" i="16"/>
  <c r="A1133" i="16"/>
  <c r="D1132" i="16"/>
  <c r="C1132" i="16"/>
  <c r="B1132" i="16"/>
  <c r="A1132" i="16"/>
  <c r="M1132" i="16" s="1"/>
  <c r="D1131" i="16"/>
  <c r="C1131" i="16"/>
  <c r="B1131" i="16"/>
  <c r="A1131" i="16"/>
  <c r="G1130" i="16"/>
  <c r="D1130" i="16"/>
  <c r="C1130" i="16"/>
  <c r="B1130" i="16"/>
  <c r="A1130" i="16"/>
  <c r="H1129" i="16"/>
  <c r="D1129" i="16"/>
  <c r="C1129" i="16"/>
  <c r="B1129" i="16"/>
  <c r="A1129" i="16"/>
  <c r="D1128" i="16"/>
  <c r="C1128" i="16"/>
  <c r="B1128" i="16"/>
  <c r="A1128" i="16"/>
  <c r="M1128" i="16" s="1"/>
  <c r="D1127" i="16"/>
  <c r="C1127" i="16"/>
  <c r="B1127" i="16"/>
  <c r="A1127" i="16"/>
  <c r="D1126" i="16"/>
  <c r="C1126" i="16"/>
  <c r="B1126" i="16"/>
  <c r="A1126" i="16"/>
  <c r="G1126" i="16" s="1"/>
  <c r="D1125" i="16"/>
  <c r="C1125" i="16"/>
  <c r="B1125" i="16"/>
  <c r="A1125" i="16"/>
  <c r="G1125" i="16" s="1"/>
  <c r="M1124" i="16"/>
  <c r="E1124" i="16"/>
  <c r="D1124" i="16"/>
  <c r="C1124" i="16"/>
  <c r="B1124" i="16"/>
  <c r="A1124" i="16"/>
  <c r="H1124" i="16" s="1"/>
  <c r="D1123" i="16"/>
  <c r="C1123" i="16"/>
  <c r="B1123" i="16"/>
  <c r="A1123" i="16"/>
  <c r="H1122" i="16"/>
  <c r="G1122" i="16"/>
  <c r="D1122" i="16"/>
  <c r="C1122" i="16"/>
  <c r="B1122" i="16"/>
  <c r="A1122" i="16"/>
  <c r="I1122" i="16" s="1"/>
  <c r="K1121" i="16"/>
  <c r="D1121" i="16"/>
  <c r="C1121" i="16"/>
  <c r="B1121" i="16"/>
  <c r="A1121" i="16"/>
  <c r="D1120" i="16"/>
  <c r="C1120" i="16"/>
  <c r="B1120" i="16"/>
  <c r="A1120" i="16"/>
  <c r="D1119" i="16"/>
  <c r="C1119" i="16"/>
  <c r="B1119" i="16"/>
  <c r="A1119" i="16"/>
  <c r="M1118" i="16"/>
  <c r="D1118" i="16"/>
  <c r="G1118" i="16" s="1"/>
  <c r="C1118" i="16"/>
  <c r="E1118" i="16" s="1"/>
  <c r="F1118" i="16" s="1"/>
  <c r="B1118" i="16"/>
  <c r="A1118" i="16"/>
  <c r="K1118" i="16" s="1"/>
  <c r="D1117" i="16"/>
  <c r="C1117" i="16"/>
  <c r="B1117" i="16"/>
  <c r="A1117" i="16"/>
  <c r="E1117" i="16" s="1"/>
  <c r="F1117" i="16" s="1"/>
  <c r="D1116" i="16"/>
  <c r="C1116" i="16"/>
  <c r="B1116" i="16"/>
  <c r="A1116" i="16"/>
  <c r="J1115" i="16"/>
  <c r="D1115" i="16"/>
  <c r="C1115" i="16"/>
  <c r="B1115" i="16"/>
  <c r="A1115" i="16"/>
  <c r="I1115" i="16" s="1"/>
  <c r="D1114" i="16"/>
  <c r="C1114" i="16"/>
  <c r="B1114" i="16"/>
  <c r="A1114" i="16"/>
  <c r="D1113" i="16"/>
  <c r="C1113" i="16"/>
  <c r="B1113" i="16"/>
  <c r="A1113" i="16"/>
  <c r="D1112" i="16"/>
  <c r="C1112" i="16"/>
  <c r="B1112" i="16"/>
  <c r="A1112" i="16"/>
  <c r="K1111" i="16"/>
  <c r="J1111" i="16"/>
  <c r="D1111" i="16"/>
  <c r="C1111" i="16"/>
  <c r="B1111" i="16"/>
  <c r="A1111" i="16"/>
  <c r="D1110" i="16"/>
  <c r="C1110" i="16"/>
  <c r="B1110" i="16"/>
  <c r="A1110" i="16"/>
  <c r="D1109" i="16"/>
  <c r="C1109" i="16"/>
  <c r="B1109" i="16"/>
  <c r="A1109" i="16"/>
  <c r="G1108" i="16"/>
  <c r="D1108" i="16"/>
  <c r="C1108" i="16"/>
  <c r="B1108" i="16"/>
  <c r="A1108" i="16"/>
  <c r="D1107" i="16"/>
  <c r="C1107" i="16"/>
  <c r="B1107" i="16"/>
  <c r="A1107" i="16"/>
  <c r="J1107" i="16" s="1"/>
  <c r="D1106" i="16"/>
  <c r="C1106" i="16"/>
  <c r="B1106" i="16"/>
  <c r="A1106" i="16"/>
  <c r="D1105" i="16"/>
  <c r="C1105" i="16"/>
  <c r="B1105" i="16"/>
  <c r="A1105" i="16"/>
  <c r="K1105" i="16" s="1"/>
  <c r="D1104" i="16"/>
  <c r="C1104" i="16"/>
  <c r="B1104" i="16"/>
  <c r="A1104" i="16"/>
  <c r="K1104" i="16" s="1"/>
  <c r="L1103" i="16"/>
  <c r="J1103" i="16"/>
  <c r="D1103" i="16"/>
  <c r="C1103" i="16"/>
  <c r="B1103" i="16"/>
  <c r="A1103" i="16"/>
  <c r="D1102" i="16"/>
  <c r="C1102" i="16"/>
  <c r="B1102" i="16"/>
  <c r="A1102" i="16"/>
  <c r="H1101" i="16"/>
  <c r="D1101" i="16"/>
  <c r="E1101" i="16" s="1"/>
  <c r="C1101" i="16"/>
  <c r="B1101" i="16"/>
  <c r="A1101" i="16"/>
  <c r="D1100" i="16"/>
  <c r="C1100" i="16"/>
  <c r="B1100" i="16"/>
  <c r="A1100" i="16"/>
  <c r="G1099" i="16"/>
  <c r="D1099" i="16"/>
  <c r="C1099" i="16"/>
  <c r="B1099" i="16"/>
  <c r="A1099" i="16"/>
  <c r="I1099" i="16" s="1"/>
  <c r="D1098" i="16"/>
  <c r="C1098" i="16"/>
  <c r="B1098" i="16"/>
  <c r="A1098" i="16"/>
  <c r="D1097" i="16"/>
  <c r="C1097" i="16"/>
  <c r="B1097" i="16"/>
  <c r="A1097" i="16"/>
  <c r="L1097" i="16" s="1"/>
  <c r="D1096" i="16"/>
  <c r="C1096" i="16"/>
  <c r="B1096" i="16"/>
  <c r="A1096" i="16"/>
  <c r="D1095" i="16"/>
  <c r="C1095" i="16"/>
  <c r="B1095" i="16"/>
  <c r="A1095" i="16"/>
  <c r="E1094" i="16"/>
  <c r="F1094" i="16" s="1"/>
  <c r="D1094" i="16"/>
  <c r="C1094" i="16"/>
  <c r="B1094" i="16"/>
  <c r="A1094" i="16"/>
  <c r="D1093" i="16"/>
  <c r="C1093" i="16"/>
  <c r="B1093" i="16"/>
  <c r="A1093" i="16"/>
  <c r="I1092" i="16"/>
  <c r="D1092" i="16"/>
  <c r="C1092" i="16"/>
  <c r="B1092" i="16"/>
  <c r="A1092" i="16"/>
  <c r="H1091" i="16"/>
  <c r="G1091" i="16"/>
  <c r="D1091" i="16"/>
  <c r="C1091" i="16"/>
  <c r="B1091" i="16"/>
  <c r="A1091" i="16"/>
  <c r="I1091" i="16" s="1"/>
  <c r="D1090" i="16"/>
  <c r="C1090" i="16"/>
  <c r="B1090" i="16"/>
  <c r="A1090" i="16"/>
  <c r="K1090" i="16" s="1"/>
  <c r="D1089" i="16"/>
  <c r="C1089" i="16"/>
  <c r="B1089" i="16"/>
  <c r="A1089" i="16"/>
  <c r="D1088" i="16"/>
  <c r="C1088" i="16"/>
  <c r="B1088" i="16"/>
  <c r="A1088" i="16"/>
  <c r="D1087" i="16"/>
  <c r="C1087" i="16"/>
  <c r="B1087" i="16"/>
  <c r="A1087" i="16"/>
  <c r="D1086" i="16"/>
  <c r="C1086" i="16"/>
  <c r="B1086" i="16"/>
  <c r="A1086" i="16"/>
  <c r="M1085" i="16"/>
  <c r="D1085" i="16"/>
  <c r="C1085" i="16"/>
  <c r="B1085" i="16"/>
  <c r="A1085" i="16"/>
  <c r="I1084" i="16"/>
  <c r="H1084" i="16"/>
  <c r="D1084" i="16"/>
  <c r="C1084" i="16"/>
  <c r="B1084" i="16"/>
  <c r="A1084" i="16"/>
  <c r="M1084" i="16" s="1"/>
  <c r="D1083" i="16"/>
  <c r="C1083" i="16"/>
  <c r="B1083" i="16"/>
  <c r="A1083" i="16"/>
  <c r="D1082" i="16"/>
  <c r="C1082" i="16"/>
  <c r="B1082" i="16"/>
  <c r="A1082" i="16"/>
  <c r="D1081" i="16"/>
  <c r="C1081" i="16"/>
  <c r="B1081" i="16"/>
  <c r="A1081" i="16"/>
  <c r="K1081" i="16" s="1"/>
  <c r="L1080" i="16"/>
  <c r="D1080" i="16"/>
  <c r="C1080" i="16"/>
  <c r="B1080" i="16"/>
  <c r="A1080" i="16"/>
  <c r="K1080" i="16" s="1"/>
  <c r="D1079" i="16"/>
  <c r="C1079" i="16"/>
  <c r="B1079" i="16"/>
  <c r="A1079" i="16"/>
  <c r="F1078" i="16"/>
  <c r="D1078" i="16"/>
  <c r="C1078" i="16"/>
  <c r="B1078" i="16"/>
  <c r="A1078" i="16"/>
  <c r="M1077" i="16"/>
  <c r="D1077" i="16"/>
  <c r="C1077" i="16"/>
  <c r="B1077" i="16"/>
  <c r="A1077" i="16"/>
  <c r="E1077" i="16" s="1"/>
  <c r="F1077" i="16" s="1"/>
  <c r="D1076" i="16"/>
  <c r="C1076" i="16"/>
  <c r="B1076" i="16"/>
  <c r="A1076" i="16"/>
  <c r="H1075" i="16"/>
  <c r="D1075" i="16"/>
  <c r="C1075" i="16"/>
  <c r="B1075" i="16"/>
  <c r="A1075" i="16"/>
  <c r="D1074" i="16"/>
  <c r="C1074" i="16"/>
  <c r="B1074" i="16"/>
  <c r="A1074" i="16"/>
  <c r="D1073" i="16"/>
  <c r="C1073" i="16"/>
  <c r="B1073" i="16"/>
  <c r="A1073" i="16"/>
  <c r="D1072" i="16"/>
  <c r="C1072" i="16"/>
  <c r="B1072" i="16"/>
  <c r="A1072" i="16"/>
  <c r="D1071" i="16"/>
  <c r="C1071" i="16"/>
  <c r="B1071" i="16"/>
  <c r="A1071" i="16"/>
  <c r="M1070" i="16"/>
  <c r="K1070" i="16"/>
  <c r="D1070" i="16"/>
  <c r="C1070" i="16"/>
  <c r="E1070" i="16" s="1"/>
  <c r="F1070" i="16" s="1"/>
  <c r="B1070" i="16"/>
  <c r="A1070" i="16"/>
  <c r="D1069" i="16"/>
  <c r="C1069" i="16"/>
  <c r="B1069" i="16"/>
  <c r="A1069" i="16"/>
  <c r="D1068" i="16"/>
  <c r="C1068" i="16"/>
  <c r="B1068" i="16"/>
  <c r="A1068" i="16"/>
  <c r="D1067" i="16"/>
  <c r="C1067" i="16"/>
  <c r="B1067" i="16"/>
  <c r="A1067" i="16"/>
  <c r="H1066" i="16"/>
  <c r="D1066" i="16"/>
  <c r="C1066" i="16"/>
  <c r="B1066" i="16"/>
  <c r="A1066" i="16"/>
  <c r="D1065" i="16"/>
  <c r="C1065" i="16"/>
  <c r="B1065" i="16"/>
  <c r="A1065" i="16"/>
  <c r="D1064" i="16"/>
  <c r="C1064" i="16"/>
  <c r="B1064" i="16"/>
  <c r="A1064" i="16"/>
  <c r="D1063" i="16"/>
  <c r="C1063" i="16"/>
  <c r="B1063" i="16"/>
  <c r="A1063" i="16"/>
  <c r="M1062" i="16"/>
  <c r="L1062" i="16"/>
  <c r="K1062" i="16"/>
  <c r="G1062" i="16"/>
  <c r="D1062" i="16"/>
  <c r="C1062" i="16"/>
  <c r="B1062" i="16"/>
  <c r="A1062" i="16"/>
  <c r="J1062" i="16" s="1"/>
  <c r="D1061" i="16"/>
  <c r="C1061" i="16"/>
  <c r="B1061" i="16"/>
  <c r="A1061" i="16"/>
  <c r="D1060" i="16"/>
  <c r="C1060" i="16"/>
  <c r="B1060" i="16"/>
  <c r="A1060" i="16"/>
  <c r="I1059" i="16"/>
  <c r="D1059" i="16"/>
  <c r="C1059" i="16"/>
  <c r="B1059" i="16"/>
  <c r="A1059" i="16"/>
  <c r="J1058" i="16"/>
  <c r="H1058" i="16"/>
  <c r="G1058" i="16"/>
  <c r="D1058" i="16"/>
  <c r="C1058" i="16"/>
  <c r="B1058" i="16"/>
  <c r="A1058" i="16"/>
  <c r="I1058" i="16" s="1"/>
  <c r="K1057" i="16"/>
  <c r="J1057" i="16"/>
  <c r="I1057" i="16"/>
  <c r="D1057" i="16"/>
  <c r="C1057" i="16"/>
  <c r="B1057" i="16"/>
  <c r="A1057" i="16"/>
  <c r="L1057" i="16" s="1"/>
  <c r="D1056" i="16"/>
  <c r="C1056" i="16"/>
  <c r="B1056" i="16"/>
  <c r="A1056" i="16"/>
  <c r="D1055" i="16"/>
  <c r="C1055" i="16"/>
  <c r="B1055" i="16"/>
  <c r="A1055" i="16"/>
  <c r="D1054" i="16"/>
  <c r="C1054" i="16"/>
  <c r="B1054" i="16"/>
  <c r="A1054" i="16"/>
  <c r="D1053" i="16"/>
  <c r="C1053" i="16"/>
  <c r="B1053" i="16"/>
  <c r="A1053" i="16"/>
  <c r="D1052" i="16"/>
  <c r="C1052" i="16"/>
  <c r="B1052" i="16"/>
  <c r="A1052" i="16"/>
  <c r="F1052" i="16" s="1"/>
  <c r="D1051" i="16"/>
  <c r="C1051" i="16"/>
  <c r="B1051" i="16"/>
  <c r="A1051" i="16"/>
  <c r="I1050" i="16"/>
  <c r="H1050" i="16"/>
  <c r="G1050" i="16"/>
  <c r="D1050" i="16"/>
  <c r="C1050" i="16"/>
  <c r="B1050" i="16"/>
  <c r="A1050" i="16"/>
  <c r="J1050" i="16" s="1"/>
  <c r="L1049" i="16"/>
  <c r="J1049" i="16"/>
  <c r="D1049" i="16"/>
  <c r="C1049" i="16"/>
  <c r="B1049" i="16"/>
  <c r="A1049" i="16"/>
  <c r="D1048" i="16"/>
  <c r="C1048" i="16"/>
  <c r="B1048" i="16"/>
  <c r="A1048" i="16"/>
  <c r="L1047" i="16"/>
  <c r="K1047" i="16"/>
  <c r="D1047" i="16"/>
  <c r="C1047" i="16"/>
  <c r="B1047" i="16"/>
  <c r="A1047" i="16"/>
  <c r="D1046" i="16"/>
  <c r="C1046" i="16"/>
  <c r="B1046" i="16"/>
  <c r="A1046" i="16"/>
  <c r="H1045" i="16"/>
  <c r="D1045" i="16"/>
  <c r="C1045" i="16"/>
  <c r="B1045" i="16"/>
  <c r="A1045" i="16"/>
  <c r="D1044" i="16"/>
  <c r="C1044" i="16"/>
  <c r="B1044" i="16"/>
  <c r="A1044" i="16"/>
  <c r="D1043" i="16"/>
  <c r="C1043" i="16"/>
  <c r="B1043" i="16"/>
  <c r="A1043" i="16"/>
  <c r="H1042" i="16"/>
  <c r="G1042" i="16"/>
  <c r="D1042" i="16"/>
  <c r="C1042" i="16"/>
  <c r="B1042" i="16"/>
  <c r="A1042" i="16"/>
  <c r="D1041" i="16"/>
  <c r="C1041" i="16"/>
  <c r="B1041" i="16"/>
  <c r="A1041" i="16"/>
  <c r="I1040" i="16"/>
  <c r="D1040" i="16"/>
  <c r="C1040" i="16"/>
  <c r="B1040" i="16"/>
  <c r="A1040" i="16"/>
  <c r="K1040" i="16" s="1"/>
  <c r="K1039" i="16"/>
  <c r="J1039" i="16"/>
  <c r="F1039" i="16"/>
  <c r="D1039" i="16"/>
  <c r="C1039" i="16"/>
  <c r="E1039" i="16" s="1"/>
  <c r="B1039" i="16"/>
  <c r="A1039" i="16"/>
  <c r="D1038" i="16"/>
  <c r="C1038" i="16"/>
  <c r="B1038" i="16"/>
  <c r="A1038" i="16"/>
  <c r="D1037" i="16"/>
  <c r="C1037" i="16"/>
  <c r="B1037" i="16"/>
  <c r="A1037" i="16"/>
  <c r="D1036" i="16"/>
  <c r="C1036" i="16"/>
  <c r="B1036" i="16"/>
  <c r="A1036" i="16"/>
  <c r="D1035" i="16"/>
  <c r="C1035" i="16"/>
  <c r="B1035" i="16"/>
  <c r="A1035" i="16"/>
  <c r="K1034" i="16"/>
  <c r="I1034" i="16"/>
  <c r="D1034" i="16"/>
  <c r="C1034" i="16"/>
  <c r="B1034" i="16"/>
  <c r="A1034" i="16"/>
  <c r="D1033" i="16"/>
  <c r="L1033" i="16" s="1"/>
  <c r="C1033" i="16"/>
  <c r="B1033" i="16"/>
  <c r="A1033" i="16"/>
  <c r="D1032" i="16"/>
  <c r="C1032" i="16"/>
  <c r="B1032" i="16"/>
  <c r="A1032" i="16"/>
  <c r="D1031" i="16"/>
  <c r="C1031" i="16"/>
  <c r="B1031" i="16"/>
  <c r="A1031" i="16"/>
  <c r="D1030" i="16"/>
  <c r="C1030" i="16"/>
  <c r="E1030" i="16" s="1"/>
  <c r="F1030" i="16" s="1"/>
  <c r="B1030" i="16"/>
  <c r="A1030" i="16"/>
  <c r="D1029" i="16"/>
  <c r="C1029" i="16"/>
  <c r="B1029" i="16"/>
  <c r="A1029" i="16"/>
  <c r="H1028" i="16"/>
  <c r="D1028" i="16"/>
  <c r="C1028" i="16"/>
  <c r="B1028" i="16"/>
  <c r="A1028" i="16"/>
  <c r="I1028" i="16" s="1"/>
  <c r="D1027" i="16"/>
  <c r="C1027" i="16"/>
  <c r="B1027" i="16"/>
  <c r="A1027" i="16"/>
  <c r="D1026" i="16"/>
  <c r="C1026" i="16"/>
  <c r="B1026" i="16"/>
  <c r="A1026" i="16"/>
  <c r="D1025" i="16"/>
  <c r="C1025" i="16"/>
  <c r="B1025" i="16"/>
  <c r="A1025" i="16"/>
  <c r="J1024" i="16"/>
  <c r="I1024" i="16"/>
  <c r="E1024" i="16"/>
  <c r="D1024" i="16"/>
  <c r="C1024" i="16"/>
  <c r="B1024" i="16"/>
  <c r="A1024" i="16"/>
  <c r="K1024" i="16" s="1"/>
  <c r="L1023" i="16"/>
  <c r="D1023" i="16"/>
  <c r="C1023" i="16"/>
  <c r="B1023" i="16"/>
  <c r="A1023" i="16"/>
  <c r="D1022" i="16"/>
  <c r="C1022" i="16"/>
  <c r="B1022" i="16"/>
  <c r="A1022" i="16"/>
  <c r="E1022" i="16" s="1"/>
  <c r="F1022" i="16" s="1"/>
  <c r="D1021" i="16"/>
  <c r="C1021" i="16"/>
  <c r="B1021" i="16"/>
  <c r="A1021" i="16"/>
  <c r="M1020" i="16"/>
  <c r="D1020" i="16"/>
  <c r="C1020" i="16"/>
  <c r="B1020" i="16"/>
  <c r="A1020" i="16"/>
  <c r="H1020" i="16" s="1"/>
  <c r="I1019" i="16"/>
  <c r="H1019" i="16"/>
  <c r="G1019" i="16"/>
  <c r="D1019" i="16"/>
  <c r="C1019" i="16"/>
  <c r="B1019" i="16"/>
  <c r="A1019" i="16"/>
  <c r="K1018" i="16"/>
  <c r="J1018" i="16"/>
  <c r="D1018" i="16"/>
  <c r="C1018" i="16"/>
  <c r="B1018" i="16"/>
  <c r="A1018" i="16"/>
  <c r="I1017" i="16"/>
  <c r="D1017" i="16"/>
  <c r="C1017" i="16"/>
  <c r="B1017" i="16"/>
  <c r="A1017" i="16"/>
  <c r="H1017" i="16" s="1"/>
  <c r="I1016" i="16"/>
  <c r="D1016" i="16"/>
  <c r="C1016" i="16"/>
  <c r="B1016" i="16"/>
  <c r="A1016" i="16"/>
  <c r="D1015" i="16"/>
  <c r="C1015" i="16"/>
  <c r="B1015" i="16"/>
  <c r="A1015" i="16"/>
  <c r="K1014" i="16"/>
  <c r="D1014" i="16"/>
  <c r="C1014" i="16"/>
  <c r="B1014" i="16"/>
  <c r="A1014" i="16"/>
  <c r="L1014" i="16" s="1"/>
  <c r="D1013" i="16"/>
  <c r="C1013" i="16"/>
  <c r="B1013" i="16"/>
  <c r="A1013" i="16"/>
  <c r="H1012" i="16"/>
  <c r="D1012" i="16"/>
  <c r="C1012" i="16"/>
  <c r="B1012" i="16"/>
  <c r="A1012" i="16"/>
  <c r="D1011" i="16"/>
  <c r="C1011" i="16"/>
  <c r="B1011" i="16"/>
  <c r="A1011" i="16"/>
  <c r="D1010" i="16"/>
  <c r="C1010" i="16"/>
  <c r="B1010" i="16"/>
  <c r="A1010" i="16"/>
  <c r="J1009" i="16"/>
  <c r="I1009" i="16"/>
  <c r="H1009" i="16"/>
  <c r="D1009" i="16"/>
  <c r="K1009" i="16" s="1"/>
  <c r="C1009" i="16"/>
  <c r="B1009" i="16"/>
  <c r="A1009" i="16"/>
  <c r="M1008" i="16"/>
  <c r="L1008" i="16"/>
  <c r="K1008" i="16"/>
  <c r="J1008" i="16"/>
  <c r="D1008" i="16"/>
  <c r="C1008" i="16"/>
  <c r="B1008" i="16"/>
  <c r="A1008" i="16"/>
  <c r="D1007" i="16"/>
  <c r="C1007" i="16"/>
  <c r="B1007" i="16"/>
  <c r="A1007" i="16"/>
  <c r="D1006" i="16"/>
  <c r="C1006" i="16"/>
  <c r="B1006" i="16"/>
  <c r="A1006" i="16"/>
  <c r="D1005" i="16"/>
  <c r="C1005" i="16"/>
  <c r="B1005" i="16"/>
  <c r="A1005" i="16"/>
  <c r="D1004" i="16"/>
  <c r="C1004" i="16"/>
  <c r="B1004" i="16"/>
  <c r="A1004" i="16"/>
  <c r="D1003" i="16"/>
  <c r="C1003" i="16"/>
  <c r="B1003" i="16"/>
  <c r="A1003" i="16"/>
  <c r="D1002" i="16"/>
  <c r="C1002" i="16"/>
  <c r="B1002" i="16"/>
  <c r="A1002" i="16"/>
  <c r="O1002" i="16" s="1"/>
  <c r="D1001" i="16"/>
  <c r="C1001" i="16"/>
  <c r="B1001" i="16"/>
  <c r="A1001" i="16"/>
  <c r="M1000" i="16"/>
  <c r="D1000" i="16"/>
  <c r="C1000" i="16"/>
  <c r="B1000" i="16"/>
  <c r="A1000" i="16"/>
  <c r="L1000" i="16" s="1"/>
  <c r="D999" i="16"/>
  <c r="C999" i="16"/>
  <c r="B999" i="16"/>
  <c r="A999" i="16"/>
  <c r="D998" i="16"/>
  <c r="C998" i="16"/>
  <c r="B998" i="16"/>
  <c r="A998" i="16"/>
  <c r="D997" i="16"/>
  <c r="C997" i="16"/>
  <c r="B997" i="16"/>
  <c r="A997" i="16"/>
  <c r="D996" i="16"/>
  <c r="C996" i="16"/>
  <c r="B996" i="16"/>
  <c r="A996" i="16"/>
  <c r="D995" i="16"/>
  <c r="C995" i="16"/>
  <c r="B995" i="16"/>
  <c r="A995" i="16"/>
  <c r="D994" i="16"/>
  <c r="C994" i="16"/>
  <c r="B994" i="16"/>
  <c r="A994" i="16"/>
  <c r="D993" i="16"/>
  <c r="C993" i="16"/>
  <c r="B993" i="16"/>
  <c r="A993" i="16"/>
  <c r="L993" i="16" s="1"/>
  <c r="D992" i="16"/>
  <c r="C992" i="16"/>
  <c r="B992" i="16"/>
  <c r="A992" i="16"/>
  <c r="K991" i="16"/>
  <c r="D991" i="16"/>
  <c r="C991" i="16"/>
  <c r="B991" i="16"/>
  <c r="A991" i="16"/>
  <c r="D990" i="16"/>
  <c r="C990" i="16"/>
  <c r="B990" i="16"/>
  <c r="A990" i="16"/>
  <c r="D989" i="16"/>
  <c r="C989" i="16"/>
  <c r="B989" i="16"/>
  <c r="A989" i="16"/>
  <c r="D988" i="16"/>
  <c r="C988" i="16"/>
  <c r="B988" i="16"/>
  <c r="A988" i="16"/>
  <c r="D987" i="16"/>
  <c r="C987" i="16"/>
  <c r="B987" i="16"/>
  <c r="A987" i="16"/>
  <c r="J986" i="16"/>
  <c r="I986" i="16"/>
  <c r="D986" i="16"/>
  <c r="C986" i="16"/>
  <c r="B986" i="16"/>
  <c r="O986" i="16" s="1"/>
  <c r="A986" i="16"/>
  <c r="D985" i="16"/>
  <c r="C985" i="16"/>
  <c r="B985" i="16"/>
  <c r="A985" i="16"/>
  <c r="D984" i="16"/>
  <c r="C984" i="16"/>
  <c r="B984" i="16"/>
  <c r="A984" i="16"/>
  <c r="D983" i="16"/>
  <c r="C983" i="16"/>
  <c r="B983" i="16"/>
  <c r="A983" i="16"/>
  <c r="D982" i="16"/>
  <c r="C982" i="16"/>
  <c r="B982" i="16"/>
  <c r="A982" i="16"/>
  <c r="D981" i="16"/>
  <c r="C981" i="16"/>
  <c r="B981" i="16"/>
  <c r="A981" i="16"/>
  <c r="M981" i="16" s="1"/>
  <c r="D980" i="16"/>
  <c r="C980" i="16"/>
  <c r="B980" i="16"/>
  <c r="A980" i="16"/>
  <c r="H979" i="16"/>
  <c r="D979" i="16"/>
  <c r="C979" i="16"/>
  <c r="B979" i="16"/>
  <c r="A979" i="16"/>
  <c r="I979" i="16" s="1"/>
  <c r="D978" i="16"/>
  <c r="C978" i="16"/>
  <c r="B978" i="16"/>
  <c r="A978" i="16"/>
  <c r="K978" i="16" s="1"/>
  <c r="D977" i="16"/>
  <c r="C977" i="16"/>
  <c r="B977" i="16"/>
  <c r="A977" i="16"/>
  <c r="D976" i="16"/>
  <c r="C976" i="16"/>
  <c r="B976" i="16"/>
  <c r="A976" i="16"/>
  <c r="M975" i="16"/>
  <c r="K975" i="16"/>
  <c r="D975" i="16"/>
  <c r="C975" i="16"/>
  <c r="B975" i="16"/>
  <c r="A975" i="16"/>
  <c r="D974" i="16"/>
  <c r="C974" i="16"/>
  <c r="E974" i="16" s="1"/>
  <c r="F974" i="16" s="1"/>
  <c r="B974" i="16"/>
  <c r="A974" i="16"/>
  <c r="D973" i="16"/>
  <c r="C973" i="16"/>
  <c r="B973" i="16"/>
  <c r="A973" i="16"/>
  <c r="M973" i="16" s="1"/>
  <c r="D972" i="16"/>
  <c r="C972" i="16"/>
  <c r="B972" i="16"/>
  <c r="A972" i="16"/>
  <c r="O971" i="16"/>
  <c r="I971" i="16"/>
  <c r="G971" i="16"/>
  <c r="D971" i="16"/>
  <c r="C971" i="16"/>
  <c r="B971" i="16"/>
  <c r="A971" i="16"/>
  <c r="H971" i="16" s="1"/>
  <c r="K970" i="16"/>
  <c r="J970" i="16"/>
  <c r="I970" i="16"/>
  <c r="O970" i="16" s="1"/>
  <c r="D970" i="16"/>
  <c r="C970" i="16"/>
  <c r="B970" i="16"/>
  <c r="A970" i="16"/>
  <c r="D969" i="16"/>
  <c r="C969" i="16"/>
  <c r="B969" i="16"/>
  <c r="A969" i="16"/>
  <c r="H969" i="16" s="1"/>
  <c r="E968" i="16"/>
  <c r="D968" i="16"/>
  <c r="C968" i="16"/>
  <c r="B968" i="16"/>
  <c r="A968" i="16"/>
  <c r="J967" i="16"/>
  <c r="D967" i="16"/>
  <c r="C967" i="16"/>
  <c r="B967" i="16"/>
  <c r="A967" i="16"/>
  <c r="K967" i="16" s="1"/>
  <c r="D966" i="16"/>
  <c r="C966" i="16"/>
  <c r="B966" i="16"/>
  <c r="A966" i="16"/>
  <c r="E966" i="16" s="1"/>
  <c r="F966" i="16" s="1"/>
  <c r="D965" i="16"/>
  <c r="C965" i="16"/>
  <c r="B965" i="16"/>
  <c r="A965" i="16"/>
  <c r="G964" i="16"/>
  <c r="D964" i="16"/>
  <c r="C964" i="16"/>
  <c r="B964" i="16"/>
  <c r="A964" i="16"/>
  <c r="D963" i="16"/>
  <c r="C963" i="16"/>
  <c r="B963" i="16"/>
  <c r="A963" i="16"/>
  <c r="K962" i="16"/>
  <c r="D962" i="16"/>
  <c r="C962" i="16"/>
  <c r="B962" i="16"/>
  <c r="A962" i="16"/>
  <c r="J962" i="16" s="1"/>
  <c r="D961" i="16"/>
  <c r="C961" i="16"/>
  <c r="B961" i="16"/>
  <c r="A961" i="16"/>
  <c r="J960" i="16"/>
  <c r="D960" i="16"/>
  <c r="C960" i="16"/>
  <c r="B960" i="16"/>
  <c r="A960" i="16"/>
  <c r="D959" i="16"/>
  <c r="C959" i="16"/>
  <c r="B959" i="16"/>
  <c r="A959" i="16"/>
  <c r="M959" i="16" s="1"/>
  <c r="K958" i="16"/>
  <c r="D958" i="16"/>
  <c r="C958" i="16"/>
  <c r="B958" i="16"/>
  <c r="A958" i="16"/>
  <c r="D957" i="16"/>
  <c r="C957" i="16"/>
  <c r="B957" i="16"/>
  <c r="A957" i="16"/>
  <c r="M956" i="16"/>
  <c r="D956" i="16"/>
  <c r="C956" i="16"/>
  <c r="B956" i="16"/>
  <c r="A956" i="16"/>
  <c r="I955" i="16"/>
  <c r="G955" i="16"/>
  <c r="D955" i="16"/>
  <c r="C955" i="16"/>
  <c r="B955" i="16"/>
  <c r="A955" i="16"/>
  <c r="H955" i="16" s="1"/>
  <c r="D954" i="16"/>
  <c r="C954" i="16"/>
  <c r="B954" i="16"/>
  <c r="A954" i="16"/>
  <c r="D953" i="16"/>
  <c r="C953" i="16"/>
  <c r="B953" i="16"/>
  <c r="A953" i="16"/>
  <c r="M952" i="16"/>
  <c r="L952" i="16"/>
  <c r="D952" i="16"/>
  <c r="C952" i="16"/>
  <c r="B952" i="16"/>
  <c r="A952" i="16"/>
  <c r="D951" i="16"/>
  <c r="C951" i="16"/>
  <c r="B951" i="16"/>
  <c r="A951" i="16"/>
  <c r="G950" i="16"/>
  <c r="F950" i="16"/>
  <c r="D950" i="16"/>
  <c r="C950" i="16"/>
  <c r="E950" i="16" s="1"/>
  <c r="B950" i="16"/>
  <c r="A950" i="16"/>
  <c r="J950" i="16" s="1"/>
  <c r="D949" i="16"/>
  <c r="C949" i="16"/>
  <c r="B949" i="16"/>
  <c r="A949" i="16"/>
  <c r="E949" i="16" s="1"/>
  <c r="D948" i="16"/>
  <c r="C948" i="16"/>
  <c r="B948" i="16"/>
  <c r="A948" i="16"/>
  <c r="D947" i="16"/>
  <c r="C947" i="16"/>
  <c r="B947" i="16"/>
  <c r="A947" i="16"/>
  <c r="G946" i="16"/>
  <c r="D946" i="16"/>
  <c r="C946" i="16"/>
  <c r="B946" i="16"/>
  <c r="A946" i="16"/>
  <c r="J946" i="16" s="1"/>
  <c r="J945" i="16"/>
  <c r="I945" i="16"/>
  <c r="H945" i="16"/>
  <c r="D945" i="16"/>
  <c r="C945" i="16"/>
  <c r="B945" i="16"/>
  <c r="A945" i="16"/>
  <c r="K945" i="16" s="1"/>
  <c r="D944" i="16"/>
  <c r="C944" i="16"/>
  <c r="B944" i="16"/>
  <c r="A944" i="16"/>
  <c r="D943" i="16"/>
  <c r="C943" i="16"/>
  <c r="B943" i="16"/>
  <c r="A943" i="16"/>
  <c r="D942" i="16"/>
  <c r="C942" i="16"/>
  <c r="B942" i="16"/>
  <c r="A942" i="16"/>
  <c r="G941" i="16"/>
  <c r="E941" i="16"/>
  <c r="D941" i="16"/>
  <c r="C941" i="16"/>
  <c r="B941" i="16"/>
  <c r="A941" i="16"/>
  <c r="M940" i="16"/>
  <c r="E940" i="16"/>
  <c r="D940" i="16"/>
  <c r="C940" i="16"/>
  <c r="B940" i="16"/>
  <c r="A940" i="16"/>
  <c r="H940" i="16" s="1"/>
  <c r="D939" i="16"/>
  <c r="C939" i="16"/>
  <c r="B939" i="16"/>
  <c r="A939" i="16"/>
  <c r="D938" i="16"/>
  <c r="C938" i="16"/>
  <c r="B938" i="16"/>
  <c r="A938" i="16"/>
  <c r="D937" i="16"/>
  <c r="C937" i="16"/>
  <c r="B937" i="16"/>
  <c r="A937" i="16"/>
  <c r="D936" i="16"/>
  <c r="C936" i="16"/>
  <c r="B936" i="16"/>
  <c r="A936" i="16"/>
  <c r="D935" i="16"/>
  <c r="C935" i="16"/>
  <c r="B935" i="16"/>
  <c r="A935" i="16"/>
  <c r="D934" i="16"/>
  <c r="C934" i="16"/>
  <c r="B934" i="16"/>
  <c r="A934" i="16"/>
  <c r="H933" i="16"/>
  <c r="G933" i="16"/>
  <c r="E933" i="16"/>
  <c r="F933" i="16" s="1"/>
  <c r="D933" i="16"/>
  <c r="C933" i="16"/>
  <c r="B933" i="16"/>
  <c r="A933" i="16"/>
  <c r="M932" i="16"/>
  <c r="H932" i="16"/>
  <c r="E932" i="16"/>
  <c r="D932" i="16"/>
  <c r="C932" i="16"/>
  <c r="B932" i="16"/>
  <c r="A932" i="16"/>
  <c r="G932" i="16" s="1"/>
  <c r="D931" i="16"/>
  <c r="C931" i="16"/>
  <c r="B931" i="16"/>
  <c r="A931" i="16"/>
  <c r="D930" i="16"/>
  <c r="C930" i="16"/>
  <c r="B930" i="16"/>
  <c r="A930" i="16"/>
  <c r="D929" i="16"/>
  <c r="C929" i="16"/>
  <c r="B929" i="16"/>
  <c r="A929" i="16"/>
  <c r="J929" i="16" s="1"/>
  <c r="D928" i="16"/>
  <c r="C928" i="16"/>
  <c r="B928" i="16"/>
  <c r="A928" i="16"/>
  <c r="K927" i="16"/>
  <c r="J927" i="16"/>
  <c r="E927" i="16"/>
  <c r="D927" i="16"/>
  <c r="C927" i="16"/>
  <c r="B927" i="16"/>
  <c r="A927" i="16"/>
  <c r="D926" i="16"/>
  <c r="C926" i="16"/>
  <c r="B926" i="16"/>
  <c r="A926" i="16"/>
  <c r="L926" i="16" s="1"/>
  <c r="E925" i="16"/>
  <c r="D925" i="16"/>
  <c r="C925" i="16"/>
  <c r="B925" i="16"/>
  <c r="A925" i="16"/>
  <c r="D924" i="16"/>
  <c r="C924" i="16"/>
  <c r="B924" i="16"/>
  <c r="A924" i="16"/>
  <c r="D923" i="16"/>
  <c r="C923" i="16"/>
  <c r="B923" i="16"/>
  <c r="A923" i="16"/>
  <c r="J923" i="16" s="1"/>
  <c r="J922" i="16"/>
  <c r="H922" i="16"/>
  <c r="D922" i="16"/>
  <c r="C922" i="16"/>
  <c r="B922" i="16"/>
  <c r="A922" i="16"/>
  <c r="D921" i="16"/>
  <c r="C921" i="16"/>
  <c r="B921" i="16"/>
  <c r="A921" i="16"/>
  <c r="D920" i="16"/>
  <c r="C920" i="16"/>
  <c r="B920" i="16"/>
  <c r="A920" i="16"/>
  <c r="F919" i="16"/>
  <c r="E919" i="16"/>
  <c r="D919" i="16"/>
  <c r="C919" i="16"/>
  <c r="B919" i="16"/>
  <c r="A919" i="16"/>
  <c r="E918" i="16"/>
  <c r="F918" i="16" s="1"/>
  <c r="D918" i="16"/>
  <c r="C918" i="16"/>
  <c r="B918" i="16"/>
  <c r="A918" i="16"/>
  <c r="M918" i="16" s="1"/>
  <c r="M917" i="16"/>
  <c r="D917" i="16"/>
  <c r="C917" i="16"/>
  <c r="B917" i="16"/>
  <c r="A917" i="16"/>
  <c r="G917" i="16" s="1"/>
  <c r="D916" i="16"/>
  <c r="C916" i="16"/>
  <c r="B916" i="16"/>
  <c r="A916" i="16"/>
  <c r="D915" i="16"/>
  <c r="C915" i="16"/>
  <c r="B915" i="16"/>
  <c r="A915" i="16"/>
  <c r="I915" i="16" s="1"/>
  <c r="D914" i="16"/>
  <c r="C914" i="16"/>
  <c r="B914" i="16"/>
  <c r="A914" i="16"/>
  <c r="D913" i="16"/>
  <c r="C913" i="16"/>
  <c r="B913" i="16"/>
  <c r="A913" i="16"/>
  <c r="J912" i="16"/>
  <c r="D912" i="16"/>
  <c r="I912" i="16" s="1"/>
  <c r="C912" i="16"/>
  <c r="B912" i="16"/>
  <c r="A912" i="16"/>
  <c r="K912" i="16" s="1"/>
  <c r="D911" i="16"/>
  <c r="C911" i="16"/>
  <c r="B911" i="16"/>
  <c r="A911" i="16"/>
  <c r="D910" i="16"/>
  <c r="C910" i="16"/>
  <c r="B910" i="16"/>
  <c r="A910" i="16"/>
  <c r="M909" i="16"/>
  <c r="H909" i="16"/>
  <c r="G909" i="16"/>
  <c r="D909" i="16"/>
  <c r="C909" i="16"/>
  <c r="B909" i="16"/>
  <c r="A909" i="16"/>
  <c r="L909" i="16" s="1"/>
  <c r="D908" i="16"/>
  <c r="C908" i="16"/>
  <c r="B908" i="16"/>
  <c r="A908" i="16"/>
  <c r="D907" i="16"/>
  <c r="C907" i="16"/>
  <c r="B907" i="16"/>
  <c r="A907" i="16"/>
  <c r="D906" i="16"/>
  <c r="C906" i="16"/>
  <c r="B906" i="16"/>
  <c r="A906" i="16"/>
  <c r="D905" i="16"/>
  <c r="C905" i="16"/>
  <c r="B905" i="16"/>
  <c r="A905" i="16"/>
  <c r="D904" i="16"/>
  <c r="C904" i="16"/>
  <c r="B904" i="16"/>
  <c r="A904" i="16"/>
  <c r="L903" i="16"/>
  <c r="D903" i="16"/>
  <c r="C903" i="16"/>
  <c r="B903" i="16"/>
  <c r="A903" i="16"/>
  <c r="D902" i="16"/>
  <c r="C902" i="16"/>
  <c r="B902" i="16"/>
  <c r="A902" i="16"/>
  <c r="M901" i="16"/>
  <c r="L901" i="16"/>
  <c r="D901" i="16"/>
  <c r="C901" i="16"/>
  <c r="B901" i="16"/>
  <c r="A901" i="16"/>
  <c r="K901" i="16" s="1"/>
  <c r="M900" i="16"/>
  <c r="I900" i="16"/>
  <c r="H900" i="16"/>
  <c r="G900" i="16"/>
  <c r="D900" i="16"/>
  <c r="C900" i="16"/>
  <c r="B900" i="16"/>
  <c r="A900" i="16"/>
  <c r="H899" i="16"/>
  <c r="G899" i="16"/>
  <c r="D899" i="16"/>
  <c r="C899" i="16"/>
  <c r="B899" i="16"/>
  <c r="A899" i="16"/>
  <c r="I899" i="16" s="1"/>
  <c r="D898" i="16"/>
  <c r="C898" i="16"/>
  <c r="B898" i="16"/>
  <c r="A898" i="16"/>
  <c r="K898" i="16" s="1"/>
  <c r="D897" i="16"/>
  <c r="C897" i="16"/>
  <c r="B897" i="16"/>
  <c r="A897" i="16"/>
  <c r="D896" i="16"/>
  <c r="C896" i="16"/>
  <c r="B896" i="16"/>
  <c r="A896" i="16"/>
  <c r="J896" i="16" s="1"/>
  <c r="D895" i="16"/>
  <c r="C895" i="16"/>
  <c r="B895" i="16"/>
  <c r="A895" i="16"/>
  <c r="D894" i="16"/>
  <c r="C894" i="16"/>
  <c r="B894" i="16"/>
  <c r="A894" i="16"/>
  <c r="M893" i="16"/>
  <c r="D893" i="16"/>
  <c r="C893" i="16"/>
  <c r="B893" i="16"/>
  <c r="A893" i="16"/>
  <c r="E893" i="16" s="1"/>
  <c r="M892" i="16"/>
  <c r="D892" i="16"/>
  <c r="C892" i="16"/>
  <c r="B892" i="16"/>
  <c r="A892" i="16"/>
  <c r="H891" i="16"/>
  <c r="G891" i="16"/>
  <c r="D891" i="16"/>
  <c r="C891" i="16"/>
  <c r="B891" i="16"/>
  <c r="A891" i="16"/>
  <c r="I891" i="16" s="1"/>
  <c r="D890" i="16"/>
  <c r="C890" i="16"/>
  <c r="B890" i="16"/>
  <c r="A890" i="16"/>
  <c r="J889" i="16"/>
  <c r="D889" i="16"/>
  <c r="C889" i="16"/>
  <c r="B889" i="16"/>
  <c r="A889" i="16"/>
  <c r="D888" i="16"/>
  <c r="C888" i="16"/>
  <c r="B888" i="16"/>
  <c r="A888" i="16"/>
  <c r="D887" i="16"/>
  <c r="C887" i="16"/>
  <c r="B887" i="16"/>
  <c r="A887" i="16"/>
  <c r="D886" i="16"/>
  <c r="C886" i="16"/>
  <c r="B886" i="16"/>
  <c r="A886" i="16"/>
  <c r="K886" i="16" s="1"/>
  <c r="D885" i="16"/>
  <c r="C885" i="16"/>
  <c r="B885" i="16"/>
  <c r="A885" i="16"/>
  <c r="D884" i="16"/>
  <c r="C884" i="16"/>
  <c r="B884" i="16"/>
  <c r="A884" i="16"/>
  <c r="M884" i="16" s="1"/>
  <c r="D883" i="16"/>
  <c r="C883" i="16"/>
  <c r="B883" i="16"/>
  <c r="A883" i="16"/>
  <c r="G882" i="16"/>
  <c r="D882" i="16"/>
  <c r="C882" i="16"/>
  <c r="B882" i="16"/>
  <c r="A882" i="16"/>
  <c r="J882" i="16" s="1"/>
  <c r="D881" i="16"/>
  <c r="C881" i="16"/>
  <c r="B881" i="16"/>
  <c r="A881" i="16"/>
  <c r="D880" i="16"/>
  <c r="C880" i="16"/>
  <c r="B880" i="16"/>
  <c r="A880" i="16"/>
  <c r="D879" i="16"/>
  <c r="C879" i="16"/>
  <c r="B879" i="16"/>
  <c r="A879" i="16"/>
  <c r="M878" i="16"/>
  <c r="D878" i="16"/>
  <c r="C878" i="16"/>
  <c r="B878" i="16"/>
  <c r="A878" i="16"/>
  <c r="L878" i="16" s="1"/>
  <c r="D877" i="16"/>
  <c r="C877" i="16"/>
  <c r="B877" i="16"/>
  <c r="A877" i="16"/>
  <c r="G877" i="16" s="1"/>
  <c r="D876" i="16"/>
  <c r="C876" i="16"/>
  <c r="B876" i="16"/>
  <c r="A876" i="16"/>
  <c r="D875" i="16"/>
  <c r="C875" i="16"/>
  <c r="B875" i="16"/>
  <c r="A875" i="16"/>
  <c r="D874" i="16"/>
  <c r="C874" i="16"/>
  <c r="B874" i="16"/>
  <c r="A874" i="16"/>
  <c r="D873" i="16"/>
  <c r="C873" i="16"/>
  <c r="B873" i="16"/>
  <c r="A873" i="16"/>
  <c r="D872" i="16"/>
  <c r="C872" i="16"/>
  <c r="B872" i="16"/>
  <c r="A872" i="16"/>
  <c r="D871" i="16"/>
  <c r="C871" i="16"/>
  <c r="B871" i="16"/>
  <c r="A871" i="16"/>
  <c r="J871" i="16" s="1"/>
  <c r="L870" i="16"/>
  <c r="K870" i="16"/>
  <c r="G870" i="16"/>
  <c r="D870" i="16"/>
  <c r="C870" i="16"/>
  <c r="B870" i="16"/>
  <c r="A870" i="16"/>
  <c r="J870" i="16" s="1"/>
  <c r="G869" i="16"/>
  <c r="E869" i="16"/>
  <c r="F869" i="16" s="1"/>
  <c r="D869" i="16"/>
  <c r="J869" i="16" s="1"/>
  <c r="C869" i="16"/>
  <c r="B869" i="16"/>
  <c r="A869" i="16"/>
  <c r="H869" i="16" s="1"/>
  <c r="D868" i="16"/>
  <c r="C868" i="16"/>
  <c r="B868" i="16"/>
  <c r="A868" i="16"/>
  <c r="D867" i="16"/>
  <c r="C867" i="16"/>
  <c r="B867" i="16"/>
  <c r="A867" i="16"/>
  <c r="I866" i="16"/>
  <c r="D866" i="16"/>
  <c r="C866" i="16"/>
  <c r="B866" i="16"/>
  <c r="A866" i="16"/>
  <c r="K865" i="16"/>
  <c r="D865" i="16"/>
  <c r="C865" i="16"/>
  <c r="B865" i="16"/>
  <c r="A865" i="16"/>
  <c r="D864" i="16"/>
  <c r="C864" i="16"/>
  <c r="B864" i="16"/>
  <c r="A864" i="16"/>
  <c r="K863" i="16"/>
  <c r="J863" i="16"/>
  <c r="E863" i="16"/>
  <c r="F863" i="16" s="1"/>
  <c r="D863" i="16"/>
  <c r="C863" i="16"/>
  <c r="B863" i="16"/>
  <c r="A863" i="16"/>
  <c r="D862" i="16"/>
  <c r="C862" i="16"/>
  <c r="B862" i="16"/>
  <c r="A862" i="16"/>
  <c r="G861" i="16"/>
  <c r="E861" i="16"/>
  <c r="D861" i="16"/>
  <c r="J861" i="16" s="1"/>
  <c r="C861" i="16"/>
  <c r="B861" i="16"/>
  <c r="A861" i="16"/>
  <c r="L861" i="16" s="1"/>
  <c r="D860" i="16"/>
  <c r="C860" i="16"/>
  <c r="B860" i="16"/>
  <c r="A860" i="16"/>
  <c r="D859" i="16"/>
  <c r="C859" i="16"/>
  <c r="B859" i="16"/>
  <c r="A859" i="16"/>
  <c r="D858" i="16"/>
  <c r="C858" i="16"/>
  <c r="B858" i="16"/>
  <c r="A858" i="16"/>
  <c r="D857" i="16"/>
  <c r="C857" i="16"/>
  <c r="B857" i="16"/>
  <c r="A857" i="16"/>
  <c r="I856" i="16"/>
  <c r="D856" i="16"/>
  <c r="C856" i="16"/>
  <c r="B856" i="16"/>
  <c r="A856" i="16"/>
  <c r="J856" i="16" s="1"/>
  <c r="L855" i="16"/>
  <c r="K855" i="16"/>
  <c r="D855" i="16"/>
  <c r="C855" i="16"/>
  <c r="B855" i="16"/>
  <c r="A855" i="16"/>
  <c r="D854" i="16"/>
  <c r="C854" i="16"/>
  <c r="B854" i="16"/>
  <c r="A854" i="16"/>
  <c r="D853" i="16"/>
  <c r="C853" i="16"/>
  <c r="B853" i="16"/>
  <c r="A853" i="16"/>
  <c r="M852" i="16"/>
  <c r="D852" i="16"/>
  <c r="C852" i="16"/>
  <c r="B852" i="16"/>
  <c r="A852" i="16"/>
  <c r="D851" i="16"/>
  <c r="C851" i="16"/>
  <c r="B851" i="16"/>
  <c r="A851" i="16"/>
  <c r="I851" i="16" s="1"/>
  <c r="J850" i="16"/>
  <c r="I850" i="16"/>
  <c r="H850" i="16"/>
  <c r="D850" i="16"/>
  <c r="C850" i="16"/>
  <c r="B850" i="16"/>
  <c r="A850" i="16"/>
  <c r="K850" i="16" s="1"/>
  <c r="D849" i="16"/>
  <c r="C849" i="16"/>
  <c r="B849" i="16"/>
  <c r="A849" i="16"/>
  <c r="D848" i="16"/>
  <c r="C848" i="16"/>
  <c r="B848" i="16"/>
  <c r="A848" i="16"/>
  <c r="K848" i="16" s="1"/>
  <c r="L847" i="16"/>
  <c r="J847" i="16"/>
  <c r="D847" i="16"/>
  <c r="C847" i="16"/>
  <c r="E847" i="16" s="1"/>
  <c r="B847" i="16"/>
  <c r="A847" i="16"/>
  <c r="D846" i="16"/>
  <c r="C846" i="16"/>
  <c r="B846" i="16"/>
  <c r="A846" i="16"/>
  <c r="D845" i="16"/>
  <c r="C845" i="16"/>
  <c r="B845" i="16"/>
  <c r="A845" i="16"/>
  <c r="D844" i="16"/>
  <c r="C844" i="16"/>
  <c r="B844" i="16"/>
  <c r="A844" i="16"/>
  <c r="I843" i="16"/>
  <c r="H843" i="16"/>
  <c r="D843" i="16"/>
  <c r="C843" i="16"/>
  <c r="B843" i="16"/>
  <c r="A843" i="16"/>
  <c r="G843" i="16" s="1"/>
  <c r="D842" i="16"/>
  <c r="C842" i="16"/>
  <c r="B842" i="16"/>
  <c r="A842" i="16"/>
  <c r="K842" i="16" s="1"/>
  <c r="D841" i="16"/>
  <c r="H841" i="16" s="1"/>
  <c r="C841" i="16"/>
  <c r="B841" i="16"/>
  <c r="A841" i="16"/>
  <c r="K841" i="16" s="1"/>
  <c r="K840" i="16"/>
  <c r="J840" i="16"/>
  <c r="E840" i="16"/>
  <c r="D840" i="16"/>
  <c r="M840" i="16" s="1"/>
  <c r="C840" i="16"/>
  <c r="B840" i="16"/>
  <c r="A840" i="16"/>
  <c r="I840" i="16" s="1"/>
  <c r="D839" i="16"/>
  <c r="C839" i="16"/>
  <c r="E839" i="16" s="1"/>
  <c r="B839" i="16"/>
  <c r="A839" i="16"/>
  <c r="D838" i="16"/>
  <c r="C838" i="16"/>
  <c r="B838" i="16"/>
  <c r="A838" i="16"/>
  <c r="G838" i="16" s="1"/>
  <c r="D837" i="16"/>
  <c r="C837" i="16"/>
  <c r="B837" i="16"/>
  <c r="A837" i="16"/>
  <c r="K837" i="16" s="1"/>
  <c r="D836" i="16"/>
  <c r="C836" i="16"/>
  <c r="B836" i="16"/>
  <c r="A836" i="16"/>
  <c r="H835" i="16"/>
  <c r="D835" i="16"/>
  <c r="C835" i="16"/>
  <c r="B835" i="16"/>
  <c r="A835" i="16"/>
  <c r="D834" i="16"/>
  <c r="C834" i="16"/>
  <c r="B834" i="16"/>
  <c r="A834" i="16"/>
  <c r="D833" i="16"/>
  <c r="C833" i="16"/>
  <c r="B833" i="16"/>
  <c r="A833" i="16"/>
  <c r="D832" i="16"/>
  <c r="C832" i="16"/>
  <c r="B832" i="16"/>
  <c r="A832" i="16"/>
  <c r="D831" i="16"/>
  <c r="C831" i="16"/>
  <c r="B831" i="16"/>
  <c r="A831" i="16"/>
  <c r="M831" i="16" s="1"/>
  <c r="D830" i="16"/>
  <c r="C830" i="16"/>
  <c r="B830" i="16"/>
  <c r="A830" i="16"/>
  <c r="D829" i="16"/>
  <c r="C829" i="16"/>
  <c r="B829" i="16"/>
  <c r="A829" i="16"/>
  <c r="D828" i="16"/>
  <c r="C828" i="16"/>
  <c r="B828" i="16"/>
  <c r="A828" i="16"/>
  <c r="D827" i="16"/>
  <c r="C827" i="16"/>
  <c r="B827" i="16"/>
  <c r="A827" i="16"/>
  <c r="D826" i="16"/>
  <c r="C826" i="16"/>
  <c r="B826" i="16"/>
  <c r="A826" i="16"/>
  <c r="D825" i="16"/>
  <c r="C825" i="16"/>
  <c r="B825" i="16"/>
  <c r="A825" i="16"/>
  <c r="D824" i="16"/>
  <c r="C824" i="16"/>
  <c r="B824" i="16"/>
  <c r="A824" i="16"/>
  <c r="D823" i="16"/>
  <c r="C823" i="16"/>
  <c r="B823" i="16"/>
  <c r="A823" i="16"/>
  <c r="M823" i="16" s="1"/>
  <c r="D822" i="16"/>
  <c r="C822" i="16"/>
  <c r="B822" i="16"/>
  <c r="A822" i="16"/>
  <c r="D821" i="16"/>
  <c r="C821" i="16"/>
  <c r="B821" i="16"/>
  <c r="A821" i="16"/>
  <c r="D820" i="16"/>
  <c r="C820" i="16"/>
  <c r="B820" i="16"/>
  <c r="A820" i="16"/>
  <c r="D819" i="16"/>
  <c r="C819" i="16"/>
  <c r="B819" i="16"/>
  <c r="A819" i="16"/>
  <c r="D818" i="16"/>
  <c r="C818" i="16"/>
  <c r="B818" i="16"/>
  <c r="A818" i="16"/>
  <c r="K817" i="16"/>
  <c r="D817" i="16"/>
  <c r="C817" i="16"/>
  <c r="B817" i="16"/>
  <c r="A817" i="16"/>
  <c r="D816" i="16"/>
  <c r="C816" i="16"/>
  <c r="B816" i="16"/>
  <c r="A816" i="16"/>
  <c r="D815" i="16"/>
  <c r="C815" i="16"/>
  <c r="B815" i="16"/>
  <c r="A815" i="16"/>
  <c r="M814" i="16"/>
  <c r="K814" i="16"/>
  <c r="G814" i="16"/>
  <c r="D814" i="16"/>
  <c r="C814" i="16"/>
  <c r="B814" i="16"/>
  <c r="A814" i="16"/>
  <c r="D813" i="16"/>
  <c r="C813" i="16"/>
  <c r="B813" i="16"/>
  <c r="A813" i="16"/>
  <c r="M812" i="16"/>
  <c r="E812" i="16"/>
  <c r="D812" i="16"/>
  <c r="C812" i="16"/>
  <c r="B812" i="16"/>
  <c r="A812" i="16"/>
  <c r="H812" i="16" s="1"/>
  <c r="D811" i="16"/>
  <c r="C811" i="16"/>
  <c r="B811" i="16"/>
  <c r="A811" i="16"/>
  <c r="D810" i="16"/>
  <c r="C810" i="16"/>
  <c r="B810" i="16"/>
  <c r="A810" i="16"/>
  <c r="L809" i="16"/>
  <c r="D809" i="16"/>
  <c r="C809" i="16"/>
  <c r="B809" i="16"/>
  <c r="A809" i="16"/>
  <c r="D808" i="16"/>
  <c r="C808" i="16"/>
  <c r="B808" i="16"/>
  <c r="A808" i="16"/>
  <c r="D807" i="16"/>
  <c r="C807" i="16"/>
  <c r="B807" i="16"/>
  <c r="A807" i="16"/>
  <c r="M806" i="16"/>
  <c r="L806" i="16"/>
  <c r="G806" i="16"/>
  <c r="D806" i="16"/>
  <c r="C806" i="16"/>
  <c r="E806" i="16" s="1"/>
  <c r="F806" i="16" s="1"/>
  <c r="B806" i="16"/>
  <c r="A806" i="16"/>
  <c r="D805" i="16"/>
  <c r="C805" i="16"/>
  <c r="B805" i="16"/>
  <c r="A805" i="16"/>
  <c r="D804" i="16"/>
  <c r="C804" i="16"/>
  <c r="B804" i="16"/>
  <c r="A804" i="16"/>
  <c r="D803" i="16"/>
  <c r="C803" i="16"/>
  <c r="B803" i="16"/>
  <c r="A803" i="16"/>
  <c r="G802" i="16"/>
  <c r="D802" i="16"/>
  <c r="C802" i="16"/>
  <c r="B802" i="16"/>
  <c r="A802" i="16"/>
  <c r="D801" i="16"/>
  <c r="C801" i="16"/>
  <c r="B801" i="16"/>
  <c r="A801" i="16"/>
  <c r="L801" i="16" s="1"/>
  <c r="D800" i="16"/>
  <c r="C800" i="16"/>
  <c r="B800" i="16"/>
  <c r="A800" i="16"/>
  <c r="K799" i="16"/>
  <c r="F799" i="16"/>
  <c r="D799" i="16"/>
  <c r="C799" i="16"/>
  <c r="B799" i="16"/>
  <c r="A799" i="16"/>
  <c r="M798" i="16"/>
  <c r="D798" i="16"/>
  <c r="C798" i="16"/>
  <c r="B798" i="16"/>
  <c r="A798" i="16"/>
  <c r="J798" i="16" s="1"/>
  <c r="D797" i="16"/>
  <c r="C797" i="16"/>
  <c r="B797" i="16"/>
  <c r="A797" i="16"/>
  <c r="D796" i="16"/>
  <c r="C796" i="16"/>
  <c r="B796" i="16"/>
  <c r="A796" i="16"/>
  <c r="D795" i="16"/>
  <c r="C795" i="16"/>
  <c r="B795" i="16"/>
  <c r="A795" i="16"/>
  <c r="D794" i="16"/>
  <c r="C794" i="16"/>
  <c r="B794" i="16"/>
  <c r="A794" i="16"/>
  <c r="D793" i="16"/>
  <c r="C793" i="16"/>
  <c r="B793" i="16"/>
  <c r="A793" i="16"/>
  <c r="D792" i="16"/>
  <c r="C792" i="16"/>
  <c r="B792" i="16"/>
  <c r="A792" i="16"/>
  <c r="J792" i="16" s="1"/>
  <c r="F791" i="16"/>
  <c r="E791" i="16"/>
  <c r="D791" i="16"/>
  <c r="C791" i="16"/>
  <c r="B791" i="16"/>
  <c r="A791" i="16"/>
  <c r="L791" i="16" s="1"/>
  <c r="D790" i="16"/>
  <c r="C790" i="16"/>
  <c r="B790" i="16"/>
  <c r="A790" i="16"/>
  <c r="D789" i="16"/>
  <c r="C789" i="16"/>
  <c r="B789" i="16"/>
  <c r="A789" i="16"/>
  <c r="M788" i="16"/>
  <c r="G788" i="16"/>
  <c r="D788" i="16"/>
  <c r="C788" i="16"/>
  <c r="B788" i="16"/>
  <c r="A788" i="16"/>
  <c r="D787" i="16"/>
  <c r="C787" i="16"/>
  <c r="B787" i="16"/>
  <c r="A787" i="16"/>
  <c r="I787" i="16" s="1"/>
  <c r="I786" i="16"/>
  <c r="H786" i="16"/>
  <c r="D786" i="16"/>
  <c r="C786" i="16"/>
  <c r="B786" i="16"/>
  <c r="A786" i="16"/>
  <c r="K786" i="16" s="1"/>
  <c r="D785" i="16"/>
  <c r="C785" i="16"/>
  <c r="B785" i="16"/>
  <c r="A785" i="16"/>
  <c r="D784" i="16"/>
  <c r="C784" i="16"/>
  <c r="B784" i="16"/>
  <c r="A784" i="16"/>
  <c r="K783" i="16"/>
  <c r="J783" i="16"/>
  <c r="D783" i="16"/>
  <c r="C783" i="16"/>
  <c r="E783" i="16" s="1"/>
  <c r="F783" i="16" s="1"/>
  <c r="B783" i="16"/>
  <c r="A783" i="16"/>
  <c r="M783" i="16" s="1"/>
  <c r="D782" i="16"/>
  <c r="C782" i="16"/>
  <c r="B782" i="16"/>
  <c r="A782" i="16"/>
  <c r="F782" i="16" s="1"/>
  <c r="D781" i="16"/>
  <c r="C781" i="16"/>
  <c r="B781" i="16"/>
  <c r="A781" i="16"/>
  <c r="D780" i="16"/>
  <c r="C780" i="16"/>
  <c r="B780" i="16"/>
  <c r="A780" i="16"/>
  <c r="I780" i="16" s="1"/>
  <c r="D779" i="16"/>
  <c r="C779" i="16"/>
  <c r="B779" i="16"/>
  <c r="A779" i="16"/>
  <c r="D778" i="16"/>
  <c r="C778" i="16"/>
  <c r="B778" i="16"/>
  <c r="A778" i="16"/>
  <c r="D777" i="16"/>
  <c r="H777" i="16" s="1"/>
  <c r="C777" i="16"/>
  <c r="B777" i="16"/>
  <c r="A777" i="16"/>
  <c r="K777" i="16" s="1"/>
  <c r="J776" i="16"/>
  <c r="D776" i="16"/>
  <c r="M776" i="16" s="1"/>
  <c r="C776" i="16"/>
  <c r="B776" i="16"/>
  <c r="A776" i="16"/>
  <c r="D775" i="16"/>
  <c r="C775" i="16"/>
  <c r="B775" i="16"/>
  <c r="A775" i="16"/>
  <c r="J775" i="16" s="1"/>
  <c r="D774" i="16"/>
  <c r="C774" i="16"/>
  <c r="B774" i="16"/>
  <c r="A774" i="16"/>
  <c r="D773" i="16"/>
  <c r="C773" i="16"/>
  <c r="B773" i="16"/>
  <c r="A773" i="16"/>
  <c r="D772" i="16"/>
  <c r="C772" i="16"/>
  <c r="B772" i="16"/>
  <c r="A772" i="16"/>
  <c r="D771" i="16"/>
  <c r="C771" i="16"/>
  <c r="B771" i="16"/>
  <c r="A771" i="16"/>
  <c r="D770" i="16"/>
  <c r="C770" i="16"/>
  <c r="B770" i="16"/>
  <c r="A770" i="16"/>
  <c r="D769" i="16"/>
  <c r="C769" i="16"/>
  <c r="B769" i="16"/>
  <c r="A769" i="16"/>
  <c r="D768" i="16"/>
  <c r="C768" i="16"/>
  <c r="B768" i="16"/>
  <c r="A768" i="16"/>
  <c r="D767" i="16"/>
  <c r="C767" i="16"/>
  <c r="E767" i="16" s="1"/>
  <c r="B767" i="16"/>
  <c r="A767" i="16"/>
  <c r="K766" i="16"/>
  <c r="G766" i="16"/>
  <c r="E766" i="16"/>
  <c r="F766" i="16" s="1"/>
  <c r="D766" i="16"/>
  <c r="C766" i="16"/>
  <c r="B766" i="16"/>
  <c r="A766" i="16"/>
  <c r="D765" i="16"/>
  <c r="C765" i="16"/>
  <c r="B765" i="16"/>
  <c r="A765" i="16"/>
  <c r="D764" i="16"/>
  <c r="C764" i="16"/>
  <c r="B764" i="16"/>
  <c r="A764" i="16"/>
  <c r="H763" i="16"/>
  <c r="G763" i="16"/>
  <c r="D763" i="16"/>
  <c r="C763" i="16"/>
  <c r="B763" i="16"/>
  <c r="A763" i="16"/>
  <c r="I763" i="16" s="1"/>
  <c r="D762" i="16"/>
  <c r="C762" i="16"/>
  <c r="B762" i="16"/>
  <c r="A762" i="16"/>
  <c r="K762" i="16" s="1"/>
  <c r="D761" i="16"/>
  <c r="C761" i="16"/>
  <c r="B761" i="16"/>
  <c r="A761" i="16"/>
  <c r="K761" i="16" s="1"/>
  <c r="D760" i="16"/>
  <c r="C760" i="16"/>
  <c r="B760" i="16"/>
  <c r="A760" i="16"/>
  <c r="D759" i="16"/>
  <c r="C759" i="16"/>
  <c r="E759" i="16" s="1"/>
  <c r="B759" i="16"/>
  <c r="A759" i="16"/>
  <c r="G758" i="16"/>
  <c r="D758" i="16"/>
  <c r="M758" i="16" s="1"/>
  <c r="C758" i="16"/>
  <c r="B758" i="16"/>
  <c r="A758" i="16"/>
  <c r="D757" i="16"/>
  <c r="C757" i="16"/>
  <c r="B757" i="16"/>
  <c r="A757" i="16"/>
  <c r="M756" i="16"/>
  <c r="I756" i="16"/>
  <c r="D756" i="16"/>
  <c r="C756" i="16"/>
  <c r="B756" i="16"/>
  <c r="A756" i="16"/>
  <c r="D755" i="16"/>
  <c r="C755" i="16"/>
  <c r="B755" i="16"/>
  <c r="A755" i="16"/>
  <c r="D754" i="16"/>
  <c r="C754" i="16"/>
  <c r="B754" i="16"/>
  <c r="A754" i="16"/>
  <c r="J754" i="16" s="1"/>
  <c r="D753" i="16"/>
  <c r="C753" i="16"/>
  <c r="B753" i="16"/>
  <c r="A753" i="16"/>
  <c r="L752" i="16"/>
  <c r="D752" i="16"/>
  <c r="C752" i="16"/>
  <c r="B752" i="16"/>
  <c r="A752" i="16"/>
  <c r="D751" i="16"/>
  <c r="C751" i="16"/>
  <c r="B751" i="16"/>
  <c r="A751" i="16"/>
  <c r="D750" i="16"/>
  <c r="C750" i="16"/>
  <c r="B750" i="16"/>
  <c r="A750" i="16"/>
  <c r="D749" i="16"/>
  <c r="C749" i="16"/>
  <c r="B749" i="16"/>
  <c r="A749" i="16"/>
  <c r="M748" i="16"/>
  <c r="D748" i="16"/>
  <c r="C748" i="16"/>
  <c r="B748" i="16"/>
  <c r="A748" i="16"/>
  <c r="J747" i="16"/>
  <c r="D747" i="16"/>
  <c r="C747" i="16"/>
  <c r="B747" i="16"/>
  <c r="A747" i="16"/>
  <c r="D746" i="16"/>
  <c r="C746" i="16"/>
  <c r="B746" i="16"/>
  <c r="A746" i="16"/>
  <c r="G746" i="16" s="1"/>
  <c r="D745" i="16"/>
  <c r="C745" i="16"/>
  <c r="B745" i="16"/>
  <c r="A745" i="16"/>
  <c r="D744" i="16"/>
  <c r="C744" i="16"/>
  <c r="B744" i="16"/>
  <c r="A744" i="16"/>
  <c r="E743" i="16"/>
  <c r="F743" i="16" s="1"/>
  <c r="D743" i="16"/>
  <c r="C743" i="16"/>
  <c r="B743" i="16"/>
  <c r="A743" i="16"/>
  <c r="K742" i="16"/>
  <c r="G742" i="16"/>
  <c r="D742" i="16"/>
  <c r="C742" i="16"/>
  <c r="E742" i="16" s="1"/>
  <c r="F742" i="16" s="1"/>
  <c r="B742" i="16"/>
  <c r="A742" i="16"/>
  <c r="J742" i="16" s="1"/>
  <c r="D741" i="16"/>
  <c r="C741" i="16"/>
  <c r="B741" i="16"/>
  <c r="A741" i="16"/>
  <c r="E741" i="16" s="1"/>
  <c r="D740" i="16"/>
  <c r="C740" i="16"/>
  <c r="B740" i="16"/>
  <c r="A740" i="16"/>
  <c r="D739" i="16"/>
  <c r="C739" i="16"/>
  <c r="B739" i="16"/>
  <c r="A739" i="16"/>
  <c r="D738" i="16"/>
  <c r="C738" i="16"/>
  <c r="B738" i="16"/>
  <c r="A738" i="16"/>
  <c r="D737" i="16"/>
  <c r="C737" i="16"/>
  <c r="B737" i="16"/>
  <c r="A737" i="16"/>
  <c r="D736" i="16"/>
  <c r="M736" i="16" s="1"/>
  <c r="C736" i="16"/>
  <c r="B736" i="16"/>
  <c r="A736" i="16"/>
  <c r="K736" i="16" s="1"/>
  <c r="D735" i="16"/>
  <c r="C735" i="16"/>
  <c r="B735" i="16"/>
  <c r="A735" i="16"/>
  <c r="D734" i="16"/>
  <c r="C734" i="16"/>
  <c r="B734" i="16"/>
  <c r="A734" i="16"/>
  <c r="J734" i="16" s="1"/>
  <c r="L733" i="16"/>
  <c r="H733" i="16"/>
  <c r="F733" i="16"/>
  <c r="D733" i="16"/>
  <c r="C733" i="16"/>
  <c r="B733" i="16"/>
  <c r="A733" i="16"/>
  <c r="G733" i="16" s="1"/>
  <c r="G732" i="16"/>
  <c r="E732" i="16"/>
  <c r="D732" i="16"/>
  <c r="C732" i="16"/>
  <c r="B732" i="16"/>
  <c r="A732" i="16"/>
  <c r="H732" i="16" s="1"/>
  <c r="D731" i="16"/>
  <c r="C731" i="16"/>
  <c r="B731" i="16"/>
  <c r="A731" i="16"/>
  <c r="J731" i="16" s="1"/>
  <c r="D730" i="16"/>
  <c r="C730" i="16"/>
  <c r="B730" i="16"/>
  <c r="A730" i="16"/>
  <c r="J730" i="16" s="1"/>
  <c r="D729" i="16"/>
  <c r="C729" i="16"/>
  <c r="B729" i="16"/>
  <c r="A729" i="16"/>
  <c r="L729" i="16" s="1"/>
  <c r="E728" i="16"/>
  <c r="D728" i="16"/>
  <c r="C728" i="16"/>
  <c r="B728" i="16"/>
  <c r="A728" i="16"/>
  <c r="D727" i="16"/>
  <c r="C727" i="16"/>
  <c r="B727" i="16"/>
  <c r="A727" i="16"/>
  <c r="D726" i="16"/>
  <c r="C726" i="16"/>
  <c r="B726" i="16"/>
  <c r="A726" i="16"/>
  <c r="H725" i="16"/>
  <c r="D725" i="16"/>
  <c r="C725" i="16"/>
  <c r="B725" i="16"/>
  <c r="A725" i="16"/>
  <c r="D724" i="16"/>
  <c r="C724" i="16"/>
  <c r="B724" i="16"/>
  <c r="A724" i="16"/>
  <c r="D723" i="16"/>
  <c r="C723" i="16"/>
  <c r="B723" i="16"/>
  <c r="A723" i="16"/>
  <c r="I723" i="16" s="1"/>
  <c r="D722" i="16"/>
  <c r="C722" i="16"/>
  <c r="B722" i="16"/>
  <c r="A722" i="16"/>
  <c r="D721" i="16"/>
  <c r="C721" i="16"/>
  <c r="B721" i="16"/>
  <c r="A721" i="16"/>
  <c r="J720" i="16"/>
  <c r="E720" i="16"/>
  <c r="D720" i="16"/>
  <c r="C720" i="16"/>
  <c r="B720" i="16"/>
  <c r="A720" i="16"/>
  <c r="M719" i="16"/>
  <c r="J719" i="16"/>
  <c r="D719" i="16"/>
  <c r="C719" i="16"/>
  <c r="B719" i="16"/>
  <c r="A719" i="16"/>
  <c r="D718" i="16"/>
  <c r="C718" i="16"/>
  <c r="B718" i="16"/>
  <c r="A718" i="16"/>
  <c r="E718" i="16" s="1"/>
  <c r="F718" i="16" s="1"/>
  <c r="L717" i="16"/>
  <c r="D717" i="16"/>
  <c r="C717" i="16"/>
  <c r="B717" i="16"/>
  <c r="A717" i="16"/>
  <c r="I716" i="16"/>
  <c r="D716" i="16"/>
  <c r="C716" i="16"/>
  <c r="B716" i="16"/>
  <c r="A716" i="16"/>
  <c r="D715" i="16"/>
  <c r="C715" i="16"/>
  <c r="B715" i="16"/>
  <c r="A715" i="16"/>
  <c r="D714" i="16"/>
  <c r="C714" i="16"/>
  <c r="B714" i="16"/>
  <c r="A714" i="16"/>
  <c r="D713" i="16"/>
  <c r="C713" i="16"/>
  <c r="B713" i="16"/>
  <c r="A713" i="16"/>
  <c r="E712" i="16"/>
  <c r="D712" i="16"/>
  <c r="C712" i="16"/>
  <c r="B712" i="16"/>
  <c r="A712" i="16"/>
  <c r="D711" i="16"/>
  <c r="C711" i="16"/>
  <c r="B711" i="16"/>
  <c r="A711" i="16"/>
  <c r="D710" i="16"/>
  <c r="C710" i="16"/>
  <c r="B710" i="16"/>
  <c r="A710" i="16"/>
  <c r="E710" i="16" s="1"/>
  <c r="F710" i="16" s="1"/>
  <c r="D709" i="16"/>
  <c r="C709" i="16"/>
  <c r="B709" i="16"/>
  <c r="A709" i="16"/>
  <c r="D708" i="16"/>
  <c r="C708" i="16"/>
  <c r="B708" i="16"/>
  <c r="A708" i="16"/>
  <c r="H707" i="16"/>
  <c r="D707" i="16"/>
  <c r="C707" i="16"/>
  <c r="B707" i="16"/>
  <c r="A707" i="16"/>
  <c r="D706" i="16"/>
  <c r="C706" i="16"/>
  <c r="B706" i="16"/>
  <c r="A706" i="16"/>
  <c r="J706" i="16" s="1"/>
  <c r="D705" i="16"/>
  <c r="C705" i="16"/>
  <c r="B705" i="16"/>
  <c r="A705" i="16"/>
  <c r="H705" i="16" s="1"/>
  <c r="K704" i="16"/>
  <c r="J704" i="16"/>
  <c r="D704" i="16"/>
  <c r="C704" i="16"/>
  <c r="B704" i="16"/>
  <c r="A704" i="16"/>
  <c r="D703" i="16"/>
  <c r="C703" i="16"/>
  <c r="B703" i="16"/>
  <c r="A703" i="16"/>
  <c r="D702" i="16"/>
  <c r="C702" i="16"/>
  <c r="B702" i="16"/>
  <c r="A702" i="16"/>
  <c r="M701" i="16"/>
  <c r="D701" i="16"/>
  <c r="C701" i="16"/>
  <c r="B701" i="16"/>
  <c r="A701" i="16"/>
  <c r="E701" i="16" s="1"/>
  <c r="H700" i="16"/>
  <c r="D700" i="16"/>
  <c r="C700" i="16"/>
  <c r="B700" i="16"/>
  <c r="A700" i="16"/>
  <c r="D699" i="16"/>
  <c r="C699" i="16"/>
  <c r="B699" i="16"/>
  <c r="A699" i="16"/>
  <c r="D698" i="16"/>
  <c r="C698" i="16"/>
  <c r="B698" i="16"/>
  <c r="A698" i="16"/>
  <c r="K698" i="16" s="1"/>
  <c r="D697" i="16"/>
  <c r="C697" i="16"/>
  <c r="B697" i="16"/>
  <c r="A697" i="16"/>
  <c r="H697" i="16" s="1"/>
  <c r="D696" i="16"/>
  <c r="C696" i="16"/>
  <c r="B696" i="16"/>
  <c r="A696" i="16"/>
  <c r="D695" i="16"/>
  <c r="C695" i="16"/>
  <c r="B695" i="16"/>
  <c r="A695" i="16"/>
  <c r="D694" i="16"/>
  <c r="C694" i="16"/>
  <c r="B694" i="16"/>
  <c r="A694" i="16"/>
  <c r="D693" i="16"/>
  <c r="C693" i="16"/>
  <c r="B693" i="16"/>
  <c r="A693" i="16"/>
  <c r="D692" i="16"/>
  <c r="C692" i="16"/>
  <c r="B692" i="16"/>
  <c r="A692" i="16"/>
  <c r="D691" i="16"/>
  <c r="C691" i="16"/>
  <c r="B691" i="16"/>
  <c r="A691" i="16"/>
  <c r="J691" i="16" s="1"/>
  <c r="D690" i="16"/>
  <c r="C690" i="16"/>
  <c r="B690" i="16"/>
  <c r="A690" i="16"/>
  <c r="I689" i="16"/>
  <c r="H689" i="16"/>
  <c r="D689" i="16"/>
  <c r="C689" i="16"/>
  <c r="B689" i="16"/>
  <c r="A689" i="16"/>
  <c r="K689" i="16" s="1"/>
  <c r="M688" i="16"/>
  <c r="L688" i="16"/>
  <c r="K688" i="16"/>
  <c r="D688" i="16"/>
  <c r="C688" i="16"/>
  <c r="B688" i="16"/>
  <c r="A688" i="16"/>
  <c r="D687" i="16"/>
  <c r="C687" i="16"/>
  <c r="B687" i="16"/>
  <c r="A687" i="16"/>
  <c r="D686" i="16"/>
  <c r="C686" i="16"/>
  <c r="B686" i="16"/>
  <c r="A686" i="16"/>
  <c r="G685" i="16"/>
  <c r="D685" i="16"/>
  <c r="C685" i="16"/>
  <c r="B685" i="16"/>
  <c r="A685" i="16"/>
  <c r="D684" i="16"/>
  <c r="C684" i="16"/>
  <c r="B684" i="16"/>
  <c r="A684" i="16"/>
  <c r="I683" i="16"/>
  <c r="H683" i="16"/>
  <c r="D683" i="16"/>
  <c r="C683" i="16"/>
  <c r="B683" i="16"/>
  <c r="A683" i="16"/>
  <c r="J683" i="16" s="1"/>
  <c r="J682" i="16"/>
  <c r="G682" i="16"/>
  <c r="D682" i="16"/>
  <c r="C682" i="16"/>
  <c r="B682" i="16"/>
  <c r="A682" i="16"/>
  <c r="D681" i="16"/>
  <c r="C681" i="16"/>
  <c r="B681" i="16"/>
  <c r="A681" i="16"/>
  <c r="M680" i="16"/>
  <c r="L680" i="16"/>
  <c r="D680" i="16"/>
  <c r="C680" i="16"/>
  <c r="B680" i="16"/>
  <c r="A680" i="16"/>
  <c r="D679" i="16"/>
  <c r="C679" i="16"/>
  <c r="B679" i="16"/>
  <c r="A679" i="16"/>
  <c r="J679" i="16" s="1"/>
  <c r="D678" i="16"/>
  <c r="C678" i="16"/>
  <c r="B678" i="16"/>
  <c r="A678" i="16"/>
  <c r="H677" i="16"/>
  <c r="G677" i="16"/>
  <c r="D677" i="16"/>
  <c r="C677" i="16"/>
  <c r="B677" i="16"/>
  <c r="A677" i="16"/>
  <c r="H676" i="16"/>
  <c r="D676" i="16"/>
  <c r="C676" i="16"/>
  <c r="B676" i="16"/>
  <c r="A676" i="16"/>
  <c r="D675" i="16"/>
  <c r="C675" i="16"/>
  <c r="B675" i="16"/>
  <c r="A675" i="16"/>
  <c r="D674" i="16"/>
  <c r="C674" i="16"/>
  <c r="B674" i="16"/>
  <c r="A674" i="16"/>
  <c r="L673" i="16"/>
  <c r="K673" i="16"/>
  <c r="J673" i="16"/>
  <c r="D673" i="16"/>
  <c r="C673" i="16"/>
  <c r="B673" i="16"/>
  <c r="A673" i="16"/>
  <c r="D672" i="16"/>
  <c r="C672" i="16"/>
  <c r="B672" i="16"/>
  <c r="A672" i="16"/>
  <c r="E672" i="16" s="1"/>
  <c r="T672" i="16" s="1"/>
  <c r="K671" i="16"/>
  <c r="D671" i="16"/>
  <c r="C671" i="16"/>
  <c r="B671" i="16"/>
  <c r="A671" i="16"/>
  <c r="L670" i="16"/>
  <c r="D670" i="16"/>
  <c r="C670" i="16"/>
  <c r="B670" i="16"/>
  <c r="A670" i="16"/>
  <c r="E669" i="16"/>
  <c r="P669" i="16" s="1"/>
  <c r="D669" i="16"/>
  <c r="C669" i="16"/>
  <c r="B669" i="16"/>
  <c r="A669" i="16"/>
  <c r="L669" i="16" s="1"/>
  <c r="G668" i="16"/>
  <c r="D668" i="16"/>
  <c r="C668" i="16"/>
  <c r="B668" i="16"/>
  <c r="A668" i="16"/>
  <c r="D667" i="16"/>
  <c r="C667" i="16"/>
  <c r="B667" i="16"/>
  <c r="A667" i="16"/>
  <c r="J667" i="16" s="1"/>
  <c r="H666" i="16"/>
  <c r="D666" i="16"/>
  <c r="C666" i="16"/>
  <c r="B666" i="16"/>
  <c r="A666" i="16"/>
  <c r="I666" i="16" s="1"/>
  <c r="D665" i="16"/>
  <c r="C665" i="16"/>
  <c r="B665" i="16"/>
  <c r="A665" i="16"/>
  <c r="D664" i="16"/>
  <c r="C664" i="16"/>
  <c r="B664" i="16"/>
  <c r="A664" i="16"/>
  <c r="E664" i="16" s="1"/>
  <c r="D663" i="16"/>
  <c r="C663" i="16"/>
  <c r="B663" i="16"/>
  <c r="A663" i="16"/>
  <c r="E662" i="16"/>
  <c r="F662" i="16" s="1"/>
  <c r="D662" i="16"/>
  <c r="C662" i="16"/>
  <c r="B662" i="16"/>
  <c r="A662" i="16"/>
  <c r="M662" i="16" s="1"/>
  <c r="D661" i="16"/>
  <c r="C661" i="16"/>
  <c r="B661" i="16"/>
  <c r="A661" i="16"/>
  <c r="G661" i="16" s="1"/>
  <c r="G660" i="16"/>
  <c r="D660" i="16"/>
  <c r="C660" i="16"/>
  <c r="B660" i="16"/>
  <c r="A660" i="16"/>
  <c r="D659" i="16"/>
  <c r="C659" i="16"/>
  <c r="B659" i="16"/>
  <c r="A659" i="16"/>
  <c r="I659" i="16" s="1"/>
  <c r="D658" i="16"/>
  <c r="C658" i="16"/>
  <c r="B658" i="16"/>
  <c r="A658" i="16"/>
  <c r="D657" i="16"/>
  <c r="C657" i="16"/>
  <c r="B657" i="16"/>
  <c r="A657" i="16"/>
  <c r="D656" i="16"/>
  <c r="I656" i="16" s="1"/>
  <c r="C656" i="16"/>
  <c r="B656" i="16"/>
  <c r="A656" i="16"/>
  <c r="D655" i="16"/>
  <c r="C655" i="16"/>
  <c r="E655" i="16" s="1"/>
  <c r="F655" i="16" s="1"/>
  <c r="B655" i="16"/>
  <c r="A655" i="16"/>
  <c r="D654" i="16"/>
  <c r="C654" i="16"/>
  <c r="B654" i="16"/>
  <c r="A654" i="16"/>
  <c r="L653" i="16"/>
  <c r="H653" i="16"/>
  <c r="D653" i="16"/>
  <c r="C653" i="16"/>
  <c r="B653" i="16"/>
  <c r="A653" i="16"/>
  <c r="J653" i="16" s="1"/>
  <c r="D652" i="16"/>
  <c r="C652" i="16"/>
  <c r="B652" i="16"/>
  <c r="A652" i="16"/>
  <c r="D651" i="16"/>
  <c r="C651" i="16"/>
  <c r="B651" i="16"/>
  <c r="A651" i="16"/>
  <c r="O650" i="16"/>
  <c r="K650" i="16"/>
  <c r="D650" i="16"/>
  <c r="C650" i="16"/>
  <c r="B650" i="16"/>
  <c r="A650" i="16"/>
  <c r="D649" i="16"/>
  <c r="C649" i="16"/>
  <c r="B649" i="16"/>
  <c r="A649" i="16"/>
  <c r="H649" i="16" s="1"/>
  <c r="D648" i="16"/>
  <c r="C648" i="16"/>
  <c r="B648" i="16"/>
  <c r="A648" i="16"/>
  <c r="M647" i="16"/>
  <c r="J647" i="16"/>
  <c r="D647" i="16"/>
  <c r="C647" i="16"/>
  <c r="B647" i="16"/>
  <c r="A647" i="16"/>
  <c r="D646" i="16"/>
  <c r="C646" i="16"/>
  <c r="B646" i="16"/>
  <c r="A646" i="16"/>
  <c r="D645" i="16"/>
  <c r="C645" i="16"/>
  <c r="B645" i="16"/>
  <c r="A645" i="16"/>
  <c r="L645" i="16" s="1"/>
  <c r="G644" i="16"/>
  <c r="D644" i="16"/>
  <c r="C644" i="16"/>
  <c r="B644" i="16"/>
  <c r="A644" i="16"/>
  <c r="D643" i="16"/>
  <c r="C643" i="16"/>
  <c r="B643" i="16"/>
  <c r="A643" i="16"/>
  <c r="D642" i="16"/>
  <c r="C642" i="16"/>
  <c r="B642" i="16"/>
  <c r="A642" i="16"/>
  <c r="K642" i="16" s="1"/>
  <c r="D641" i="16"/>
  <c r="C641" i="16"/>
  <c r="B641" i="16"/>
  <c r="A641" i="16"/>
  <c r="K640" i="16"/>
  <c r="D640" i="16"/>
  <c r="C640" i="16"/>
  <c r="B640" i="16"/>
  <c r="A640" i="16"/>
  <c r="D639" i="16"/>
  <c r="C639" i="16"/>
  <c r="B639" i="16"/>
  <c r="A639" i="16"/>
  <c r="G638" i="16"/>
  <c r="D638" i="16"/>
  <c r="C638" i="16"/>
  <c r="B638" i="16"/>
  <c r="A638" i="16"/>
  <c r="D637" i="16"/>
  <c r="C637" i="16"/>
  <c r="B637" i="16"/>
  <c r="A637" i="16"/>
  <c r="I636" i="16"/>
  <c r="D636" i="16"/>
  <c r="C636" i="16"/>
  <c r="B636" i="16"/>
  <c r="A636" i="16"/>
  <c r="D635" i="16"/>
  <c r="C635" i="16"/>
  <c r="B635" i="16"/>
  <c r="A635" i="16"/>
  <c r="D634" i="16"/>
  <c r="C634" i="16"/>
  <c r="B634" i="16"/>
  <c r="A634" i="16"/>
  <c r="I633" i="16"/>
  <c r="D633" i="16"/>
  <c r="C633" i="16"/>
  <c r="B633" i="16"/>
  <c r="A633" i="16"/>
  <c r="H633" i="16" s="1"/>
  <c r="D632" i="16"/>
  <c r="C632" i="16"/>
  <c r="B632" i="16"/>
  <c r="A632" i="16"/>
  <c r="D631" i="16"/>
  <c r="C631" i="16"/>
  <c r="B631" i="16"/>
  <c r="A631" i="16"/>
  <c r="M631" i="16" s="1"/>
  <c r="D630" i="16"/>
  <c r="C630" i="16"/>
  <c r="B630" i="16"/>
  <c r="A630" i="16"/>
  <c r="L630" i="16" s="1"/>
  <c r="D629" i="16"/>
  <c r="C629" i="16"/>
  <c r="B629" i="16"/>
  <c r="A629" i="16"/>
  <c r="D628" i="16"/>
  <c r="C628" i="16"/>
  <c r="B628" i="16"/>
  <c r="A628" i="16"/>
  <c r="D627" i="16"/>
  <c r="C627" i="16"/>
  <c r="B627" i="16"/>
  <c r="A627" i="16"/>
  <c r="D626" i="16"/>
  <c r="C626" i="16"/>
  <c r="B626" i="16"/>
  <c r="A626" i="16"/>
  <c r="D625" i="16"/>
  <c r="C625" i="16"/>
  <c r="B625" i="16"/>
  <c r="A625" i="16"/>
  <c r="K625" i="16" s="1"/>
  <c r="D624" i="16"/>
  <c r="C624" i="16"/>
  <c r="B624" i="16"/>
  <c r="A624" i="16"/>
  <c r="M624" i="16" s="1"/>
  <c r="D623" i="16"/>
  <c r="C623" i="16"/>
  <c r="B623" i="16"/>
  <c r="A623" i="16"/>
  <c r="D622" i="16"/>
  <c r="C622" i="16"/>
  <c r="B622" i="16"/>
  <c r="A622" i="16"/>
  <c r="D621" i="16"/>
  <c r="C621" i="16"/>
  <c r="B621" i="16"/>
  <c r="A621" i="16"/>
  <c r="G621" i="16" s="1"/>
  <c r="D620" i="16"/>
  <c r="C620" i="16"/>
  <c r="B620" i="16"/>
  <c r="A620" i="16"/>
  <c r="J619" i="16"/>
  <c r="D619" i="16"/>
  <c r="C619" i="16"/>
  <c r="B619" i="16"/>
  <c r="A619" i="16"/>
  <c r="D618" i="16"/>
  <c r="C618" i="16"/>
  <c r="B618" i="16"/>
  <c r="A618" i="16"/>
  <c r="D617" i="16"/>
  <c r="C617" i="16"/>
  <c r="B617" i="16"/>
  <c r="A617" i="16"/>
  <c r="D616" i="16"/>
  <c r="C616" i="16"/>
  <c r="B616" i="16"/>
  <c r="A616" i="16"/>
  <c r="D615" i="16"/>
  <c r="C615" i="16"/>
  <c r="B615" i="16"/>
  <c r="A615" i="16"/>
  <c r="J615" i="16" s="1"/>
  <c r="M614" i="16"/>
  <c r="K614" i="16"/>
  <c r="G614" i="16"/>
  <c r="D614" i="16"/>
  <c r="C614" i="16"/>
  <c r="B614" i="16"/>
  <c r="A614" i="16"/>
  <c r="G613" i="16"/>
  <c r="E613" i="16"/>
  <c r="F613" i="16" s="1"/>
  <c r="D613" i="16"/>
  <c r="C613" i="16"/>
  <c r="B613" i="16"/>
  <c r="A613" i="16"/>
  <c r="H613" i="16" s="1"/>
  <c r="D612" i="16"/>
  <c r="C612" i="16"/>
  <c r="B612" i="16"/>
  <c r="A612" i="16"/>
  <c r="D611" i="16"/>
  <c r="C611" i="16"/>
  <c r="B611" i="16"/>
  <c r="A611" i="16"/>
  <c r="D610" i="16"/>
  <c r="C610" i="16"/>
  <c r="B610" i="16"/>
  <c r="A610" i="16"/>
  <c r="D609" i="16"/>
  <c r="C609" i="16"/>
  <c r="B609" i="16"/>
  <c r="A609" i="16"/>
  <c r="M608" i="16"/>
  <c r="D608" i="16"/>
  <c r="C608" i="16"/>
  <c r="B608" i="16"/>
  <c r="A608" i="16"/>
  <c r="E608" i="16" s="1"/>
  <c r="T608" i="16" s="1"/>
  <c r="D607" i="16"/>
  <c r="C607" i="16"/>
  <c r="B607" i="16"/>
  <c r="A607" i="16"/>
  <c r="D606" i="16"/>
  <c r="C606" i="16"/>
  <c r="B606" i="16"/>
  <c r="A606" i="16"/>
  <c r="H605" i="16"/>
  <c r="G605" i="16"/>
  <c r="F605" i="16"/>
  <c r="E605" i="16"/>
  <c r="P605" i="16" s="1"/>
  <c r="H605" i="9" s="1"/>
  <c r="D605" i="16"/>
  <c r="C605" i="16"/>
  <c r="B605" i="16"/>
  <c r="A605" i="16"/>
  <c r="J605" i="16" s="1"/>
  <c r="T604" i="16"/>
  <c r="P604" i="16"/>
  <c r="H604" i="9" s="1"/>
  <c r="G604" i="16"/>
  <c r="E604" i="16"/>
  <c r="F604" i="16" s="1"/>
  <c r="D604" i="16"/>
  <c r="C604" i="16"/>
  <c r="B604" i="16"/>
  <c r="A604" i="16"/>
  <c r="H604" i="16" s="1"/>
  <c r="D603" i="16"/>
  <c r="C603" i="16"/>
  <c r="B603" i="16"/>
  <c r="A603" i="16"/>
  <c r="D602" i="16"/>
  <c r="C602" i="16"/>
  <c r="B602" i="16"/>
  <c r="A602" i="16"/>
  <c r="D601" i="16"/>
  <c r="C601" i="16"/>
  <c r="B601" i="16"/>
  <c r="A601" i="16"/>
  <c r="D600" i="16"/>
  <c r="C600" i="16"/>
  <c r="E600" i="16" s="1"/>
  <c r="T600" i="16" s="1"/>
  <c r="B600" i="16"/>
  <c r="A600" i="16"/>
  <c r="F599" i="16"/>
  <c r="E599" i="16"/>
  <c r="D599" i="16"/>
  <c r="M599" i="16" s="1"/>
  <c r="C599" i="16"/>
  <c r="B599" i="16"/>
  <c r="A599" i="16"/>
  <c r="L599" i="16" s="1"/>
  <c r="D598" i="16"/>
  <c r="C598" i="16"/>
  <c r="B598" i="16"/>
  <c r="A598" i="16"/>
  <c r="D597" i="16"/>
  <c r="C597" i="16"/>
  <c r="B597" i="16"/>
  <c r="A597" i="16"/>
  <c r="H597" i="16" s="1"/>
  <c r="M596" i="16"/>
  <c r="D596" i="16"/>
  <c r="C596" i="16"/>
  <c r="B596" i="16"/>
  <c r="A596" i="16"/>
  <c r="E596" i="16" s="1"/>
  <c r="D595" i="16"/>
  <c r="C595" i="16"/>
  <c r="B595" i="16"/>
  <c r="A595" i="16"/>
  <c r="I595" i="16" s="1"/>
  <c r="D594" i="16"/>
  <c r="C594" i="16"/>
  <c r="B594" i="16"/>
  <c r="A594" i="16"/>
  <c r="D593" i="16"/>
  <c r="C593" i="16"/>
  <c r="B593" i="16"/>
  <c r="A593" i="16"/>
  <c r="D592" i="16"/>
  <c r="C592" i="16"/>
  <c r="B592" i="16"/>
  <c r="A592" i="16"/>
  <c r="D591" i="16"/>
  <c r="C591" i="16"/>
  <c r="B591" i="16"/>
  <c r="A591" i="16"/>
  <c r="D590" i="16"/>
  <c r="C590" i="16"/>
  <c r="B590" i="16"/>
  <c r="A590" i="16"/>
  <c r="D589" i="16"/>
  <c r="C589" i="16"/>
  <c r="B589" i="16"/>
  <c r="A589" i="16"/>
  <c r="J589" i="16" s="1"/>
  <c r="D588" i="16"/>
  <c r="C588" i="16"/>
  <c r="B588" i="16"/>
  <c r="A588" i="16"/>
  <c r="G587" i="16"/>
  <c r="D587" i="16"/>
  <c r="C587" i="16"/>
  <c r="B587" i="16"/>
  <c r="A587" i="16"/>
  <c r="D586" i="16"/>
  <c r="C586" i="16"/>
  <c r="B586" i="16"/>
  <c r="A586" i="16"/>
  <c r="K586" i="16" s="1"/>
  <c r="D585" i="16"/>
  <c r="C585" i="16"/>
  <c r="B585" i="16"/>
  <c r="A585" i="16"/>
  <c r="K585" i="16" s="1"/>
  <c r="D584" i="16"/>
  <c r="C584" i="16"/>
  <c r="B584" i="16"/>
  <c r="A584" i="16"/>
  <c r="D583" i="16"/>
  <c r="C583" i="16"/>
  <c r="B583" i="16"/>
  <c r="A583" i="16"/>
  <c r="G582" i="16"/>
  <c r="D582" i="16"/>
  <c r="C582" i="16"/>
  <c r="B582" i="16"/>
  <c r="A582" i="16"/>
  <c r="D581" i="16"/>
  <c r="C581" i="16"/>
  <c r="B581" i="16"/>
  <c r="A581" i="16"/>
  <c r="J581" i="16" s="1"/>
  <c r="M580" i="16"/>
  <c r="I580" i="16"/>
  <c r="D580" i="16"/>
  <c r="C580" i="16"/>
  <c r="B580" i="16"/>
  <c r="A580" i="16"/>
  <c r="G579" i="16"/>
  <c r="D579" i="16"/>
  <c r="C579" i="16"/>
  <c r="B579" i="16"/>
  <c r="A579" i="16"/>
  <c r="D578" i="16"/>
  <c r="C578" i="16"/>
  <c r="B578" i="16"/>
  <c r="A578" i="16"/>
  <c r="D577" i="16"/>
  <c r="C577" i="16"/>
  <c r="B577" i="16"/>
  <c r="A577" i="16"/>
  <c r="D576" i="16"/>
  <c r="C576" i="16"/>
  <c r="B576" i="16"/>
  <c r="A576" i="16"/>
  <c r="M575" i="16"/>
  <c r="D575" i="16"/>
  <c r="C575" i="16"/>
  <c r="B575" i="16"/>
  <c r="A575" i="16"/>
  <c r="T575" i="16" s="1"/>
  <c r="G574" i="16"/>
  <c r="E574" i="16"/>
  <c r="D574" i="16"/>
  <c r="J574" i="16" s="1"/>
  <c r="C574" i="16"/>
  <c r="B574" i="16"/>
  <c r="A574" i="16"/>
  <c r="D573" i="16"/>
  <c r="C573" i="16"/>
  <c r="B573" i="16"/>
  <c r="A573" i="16"/>
  <c r="D572" i="16"/>
  <c r="C572" i="16"/>
  <c r="B572" i="16"/>
  <c r="A572" i="16"/>
  <c r="D571" i="16"/>
  <c r="C571" i="16"/>
  <c r="B571" i="16"/>
  <c r="A571" i="16"/>
  <c r="D570" i="16"/>
  <c r="C570" i="16"/>
  <c r="B570" i="16"/>
  <c r="A570" i="16"/>
  <c r="D569" i="16"/>
  <c r="C569" i="16"/>
  <c r="B569" i="16"/>
  <c r="A569" i="16"/>
  <c r="D568" i="16"/>
  <c r="C568" i="16"/>
  <c r="B568" i="16"/>
  <c r="A568" i="16"/>
  <c r="D567" i="16"/>
  <c r="C567" i="16"/>
  <c r="E567" i="16" s="1"/>
  <c r="F567" i="16" s="1"/>
  <c r="B567" i="16"/>
  <c r="A567" i="16"/>
  <c r="M567" i="16" s="1"/>
  <c r="D566" i="16"/>
  <c r="C566" i="16"/>
  <c r="B566" i="16"/>
  <c r="A566" i="16"/>
  <c r="D565" i="16"/>
  <c r="C565" i="16"/>
  <c r="B565" i="16"/>
  <c r="A565" i="16"/>
  <c r="D564" i="16"/>
  <c r="C564" i="16"/>
  <c r="B564" i="16"/>
  <c r="A564" i="16"/>
  <c r="D563" i="16"/>
  <c r="C563" i="16"/>
  <c r="B563" i="16"/>
  <c r="A563" i="16"/>
  <c r="D562" i="16"/>
  <c r="C562" i="16"/>
  <c r="B562" i="16"/>
  <c r="A562" i="16"/>
  <c r="H561" i="16"/>
  <c r="D561" i="16"/>
  <c r="C561" i="16"/>
  <c r="B561" i="16"/>
  <c r="A561" i="16"/>
  <c r="D560" i="16"/>
  <c r="C560" i="16"/>
  <c r="B560" i="16"/>
  <c r="A560" i="16"/>
  <c r="D559" i="16"/>
  <c r="C559" i="16"/>
  <c r="B559" i="16"/>
  <c r="A559" i="16"/>
  <c r="D558" i="16"/>
  <c r="C558" i="16"/>
  <c r="B558" i="16"/>
  <c r="A558" i="16"/>
  <c r="D557" i="16"/>
  <c r="C557" i="16"/>
  <c r="B557" i="16"/>
  <c r="A557" i="16"/>
  <c r="M556" i="16"/>
  <c r="E556" i="16"/>
  <c r="D556" i="16"/>
  <c r="C556" i="16"/>
  <c r="B556" i="16"/>
  <c r="A556" i="16"/>
  <c r="D555" i="16"/>
  <c r="C555" i="16"/>
  <c r="B555" i="16"/>
  <c r="A555" i="16"/>
  <c r="D554" i="16"/>
  <c r="C554" i="16"/>
  <c r="B554" i="16"/>
  <c r="A554" i="16"/>
  <c r="D553" i="16"/>
  <c r="C553" i="16"/>
  <c r="B553" i="16"/>
  <c r="A553" i="16"/>
  <c r="I553" i="16" s="1"/>
  <c r="D552" i="16"/>
  <c r="C552" i="16"/>
  <c r="B552" i="16"/>
  <c r="A552" i="16"/>
  <c r="D551" i="16"/>
  <c r="C551" i="16"/>
  <c r="B551" i="16"/>
  <c r="A551" i="16"/>
  <c r="D550" i="16"/>
  <c r="C550" i="16"/>
  <c r="B550" i="16"/>
  <c r="A550" i="16"/>
  <c r="D549" i="16"/>
  <c r="C549" i="16"/>
  <c r="B549" i="16"/>
  <c r="A549" i="16"/>
  <c r="P548" i="16"/>
  <c r="H548" i="9" s="1"/>
  <c r="E548" i="16"/>
  <c r="F548" i="16" s="1"/>
  <c r="D548" i="16"/>
  <c r="C548" i="16"/>
  <c r="B548" i="16"/>
  <c r="A548" i="16"/>
  <c r="D547" i="16"/>
  <c r="C547" i="16"/>
  <c r="B547" i="16"/>
  <c r="A547" i="16"/>
  <c r="D546" i="16"/>
  <c r="C546" i="16"/>
  <c r="B546" i="16"/>
  <c r="A546" i="16"/>
  <c r="D545" i="16"/>
  <c r="C545" i="16"/>
  <c r="B545" i="16"/>
  <c r="A545" i="16"/>
  <c r="D544" i="16"/>
  <c r="C544" i="16"/>
  <c r="B544" i="16"/>
  <c r="A544" i="16"/>
  <c r="J543" i="16"/>
  <c r="F543" i="16"/>
  <c r="D543" i="16"/>
  <c r="G543" i="16" s="1"/>
  <c r="C543" i="16"/>
  <c r="B543" i="16"/>
  <c r="A543" i="16"/>
  <c r="D542" i="16"/>
  <c r="C542" i="16"/>
  <c r="B542" i="16"/>
  <c r="A542" i="16"/>
  <c r="D541" i="16"/>
  <c r="C541" i="16"/>
  <c r="B541" i="16"/>
  <c r="A541" i="16"/>
  <c r="L541" i="16" s="1"/>
  <c r="T540" i="16"/>
  <c r="P540" i="16"/>
  <c r="H540" i="9" s="1"/>
  <c r="D540" i="16"/>
  <c r="C540" i="16"/>
  <c r="B540" i="16"/>
  <c r="A540" i="16"/>
  <c r="D539" i="16"/>
  <c r="C539" i="16"/>
  <c r="B539" i="16"/>
  <c r="A539" i="16"/>
  <c r="G538" i="16"/>
  <c r="D538" i="16"/>
  <c r="C538" i="16"/>
  <c r="B538" i="16"/>
  <c r="A538" i="16"/>
  <c r="D537" i="16"/>
  <c r="C537" i="16"/>
  <c r="B537" i="16"/>
  <c r="A537" i="16"/>
  <c r="D536" i="16"/>
  <c r="C536" i="16"/>
  <c r="E536" i="16" s="1"/>
  <c r="T536" i="16" s="1"/>
  <c r="B536" i="16"/>
  <c r="A536" i="16"/>
  <c r="J536" i="16" s="1"/>
  <c r="D535" i="16"/>
  <c r="M535" i="16" s="1"/>
  <c r="C535" i="16"/>
  <c r="B535" i="16"/>
  <c r="A535" i="16"/>
  <c r="D534" i="16"/>
  <c r="C534" i="16"/>
  <c r="B534" i="16"/>
  <c r="A534" i="16"/>
  <c r="D533" i="16"/>
  <c r="C533" i="16"/>
  <c r="B533" i="16"/>
  <c r="A533" i="16"/>
  <c r="D532" i="16"/>
  <c r="C532" i="16"/>
  <c r="B532" i="16"/>
  <c r="A532" i="16"/>
  <c r="D531" i="16"/>
  <c r="C531" i="16"/>
  <c r="B531" i="16"/>
  <c r="A531" i="16"/>
  <c r="I531" i="16" s="1"/>
  <c r="D530" i="16"/>
  <c r="C530" i="16"/>
  <c r="B530" i="16"/>
  <c r="A530" i="16"/>
  <c r="D529" i="16"/>
  <c r="C529" i="16"/>
  <c r="B529" i="16"/>
  <c r="A529" i="16"/>
  <c r="L529" i="16" s="1"/>
  <c r="I528" i="16"/>
  <c r="E528" i="16"/>
  <c r="T528" i="16" s="1"/>
  <c r="D528" i="16"/>
  <c r="C528" i="16"/>
  <c r="B528" i="16"/>
  <c r="A528" i="16"/>
  <c r="K527" i="16"/>
  <c r="J527" i="16"/>
  <c r="D527" i="16"/>
  <c r="C527" i="16"/>
  <c r="E527" i="16" s="1"/>
  <c r="F527" i="16" s="1"/>
  <c r="B527" i="16"/>
  <c r="A527" i="16"/>
  <c r="D526" i="16"/>
  <c r="C526" i="16"/>
  <c r="B526" i="16"/>
  <c r="A526" i="16"/>
  <c r="M525" i="16"/>
  <c r="E525" i="16"/>
  <c r="F525" i="16" s="1"/>
  <c r="D525" i="16"/>
  <c r="C525" i="16"/>
  <c r="B525" i="16"/>
  <c r="A525" i="16"/>
  <c r="D524" i="16"/>
  <c r="C524" i="16"/>
  <c r="B524" i="16"/>
  <c r="A524" i="16"/>
  <c r="D523" i="16"/>
  <c r="C523" i="16"/>
  <c r="B523" i="16"/>
  <c r="A523" i="16"/>
  <c r="D522" i="16"/>
  <c r="C522" i="16"/>
  <c r="B522" i="16"/>
  <c r="A522" i="16"/>
  <c r="D521" i="16"/>
  <c r="H521" i="16" s="1"/>
  <c r="C521" i="16"/>
  <c r="B521" i="16"/>
  <c r="A521" i="16"/>
  <c r="K521" i="16" s="1"/>
  <c r="I520" i="16"/>
  <c r="E520" i="16"/>
  <c r="D520" i="16"/>
  <c r="M520" i="16" s="1"/>
  <c r="C520" i="16"/>
  <c r="B520" i="16"/>
  <c r="A520" i="16"/>
  <c r="J520" i="16" s="1"/>
  <c r="D519" i="16"/>
  <c r="C519" i="16"/>
  <c r="B519" i="16"/>
  <c r="A519" i="16"/>
  <c r="J519" i="16" s="1"/>
  <c r="D518" i="16"/>
  <c r="C518" i="16"/>
  <c r="B518" i="16"/>
  <c r="A518" i="16"/>
  <c r="D517" i="16"/>
  <c r="C517" i="16"/>
  <c r="B517" i="16"/>
  <c r="A517" i="16"/>
  <c r="D516" i="16"/>
  <c r="C516" i="16"/>
  <c r="B516" i="16"/>
  <c r="A516" i="16"/>
  <c r="H515" i="16"/>
  <c r="G515" i="16"/>
  <c r="D515" i="16"/>
  <c r="C515" i="16"/>
  <c r="B515" i="16"/>
  <c r="A515" i="16"/>
  <c r="I515" i="16" s="1"/>
  <c r="D514" i="16"/>
  <c r="C514" i="16"/>
  <c r="B514" i="16"/>
  <c r="A514" i="16"/>
  <c r="K514" i="16" s="1"/>
  <c r="D513" i="16"/>
  <c r="C513" i="16"/>
  <c r="B513" i="16"/>
  <c r="A513" i="16"/>
  <c r="D512" i="16"/>
  <c r="C512" i="16"/>
  <c r="B512" i="16"/>
  <c r="A512" i="16"/>
  <c r="D511" i="16"/>
  <c r="C511" i="16"/>
  <c r="B511" i="16"/>
  <c r="A511" i="16"/>
  <c r="K510" i="16"/>
  <c r="D510" i="16"/>
  <c r="C510" i="16"/>
  <c r="B510" i="16"/>
  <c r="A510" i="16"/>
  <c r="D509" i="16"/>
  <c r="C509" i="16"/>
  <c r="B509" i="16"/>
  <c r="A509" i="16"/>
  <c r="D508" i="16"/>
  <c r="C508" i="16"/>
  <c r="B508" i="16"/>
  <c r="A508" i="16"/>
  <c r="D507" i="16"/>
  <c r="C507" i="16"/>
  <c r="B507" i="16"/>
  <c r="A507" i="16"/>
  <c r="D506" i="16"/>
  <c r="C506" i="16"/>
  <c r="B506" i="16"/>
  <c r="A506" i="16"/>
  <c r="K506" i="16" s="1"/>
  <c r="D505" i="16"/>
  <c r="C505" i="16"/>
  <c r="B505" i="16"/>
  <c r="A505" i="16"/>
  <c r="D504" i="16"/>
  <c r="C504" i="16"/>
  <c r="B504" i="16"/>
  <c r="A504" i="16"/>
  <c r="D503" i="16"/>
  <c r="C503" i="16"/>
  <c r="B503" i="16"/>
  <c r="A503" i="16"/>
  <c r="K502" i="16"/>
  <c r="G502" i="16"/>
  <c r="F502" i="16"/>
  <c r="D502" i="16"/>
  <c r="C502" i="16"/>
  <c r="B502" i="16"/>
  <c r="A502" i="16"/>
  <c r="D501" i="16"/>
  <c r="C501" i="16"/>
  <c r="B501" i="16"/>
  <c r="A501" i="16"/>
  <c r="D500" i="16"/>
  <c r="C500" i="16"/>
  <c r="B500" i="16"/>
  <c r="A500" i="16"/>
  <c r="J499" i="16"/>
  <c r="I499" i="16"/>
  <c r="H499" i="16"/>
  <c r="D499" i="16"/>
  <c r="C499" i="16"/>
  <c r="B499" i="16"/>
  <c r="A499" i="16"/>
  <c r="G499" i="16" s="1"/>
  <c r="G498" i="16"/>
  <c r="D498" i="16"/>
  <c r="C498" i="16"/>
  <c r="B498" i="16"/>
  <c r="A498" i="16"/>
  <c r="J498" i="16" s="1"/>
  <c r="D497" i="16"/>
  <c r="C497" i="16"/>
  <c r="B497" i="16"/>
  <c r="A497" i="16"/>
  <c r="M496" i="16"/>
  <c r="K496" i="16"/>
  <c r="D496" i="16"/>
  <c r="C496" i="16"/>
  <c r="B496" i="16"/>
  <c r="A496" i="16"/>
  <c r="L496" i="16" s="1"/>
  <c r="D495" i="16"/>
  <c r="C495" i="16"/>
  <c r="B495" i="16"/>
  <c r="A495" i="16"/>
  <c r="M494" i="16"/>
  <c r="L494" i="16"/>
  <c r="K494" i="16"/>
  <c r="D494" i="16"/>
  <c r="J494" i="16" s="1"/>
  <c r="C494" i="16"/>
  <c r="B494" i="16"/>
  <c r="A494" i="16"/>
  <c r="D493" i="16"/>
  <c r="C493" i="16"/>
  <c r="B493" i="16"/>
  <c r="A493" i="16"/>
  <c r="D492" i="16"/>
  <c r="C492" i="16"/>
  <c r="B492" i="16"/>
  <c r="A492" i="16"/>
  <c r="M492" i="16" s="1"/>
  <c r="D491" i="16"/>
  <c r="C491" i="16"/>
  <c r="B491" i="16"/>
  <c r="A491" i="16"/>
  <c r="J490" i="16"/>
  <c r="D490" i="16"/>
  <c r="C490" i="16"/>
  <c r="B490" i="16"/>
  <c r="A490" i="16"/>
  <c r="H490" i="16" s="1"/>
  <c r="D489" i="16"/>
  <c r="C489" i="16"/>
  <c r="B489" i="16"/>
  <c r="A489" i="16"/>
  <c r="D488" i="16"/>
  <c r="C488" i="16"/>
  <c r="B488" i="16"/>
  <c r="A488" i="16"/>
  <c r="D487" i="16"/>
  <c r="C487" i="16"/>
  <c r="B487" i="16"/>
  <c r="A487" i="16"/>
  <c r="K486" i="16"/>
  <c r="G486" i="16"/>
  <c r="D486" i="16"/>
  <c r="J486" i="16" s="1"/>
  <c r="C486" i="16"/>
  <c r="B486" i="16"/>
  <c r="A486" i="16"/>
  <c r="L486" i="16" s="1"/>
  <c r="D485" i="16"/>
  <c r="K485" i="16" s="1"/>
  <c r="C485" i="16"/>
  <c r="B485" i="16"/>
  <c r="A485" i="16"/>
  <c r="D484" i="16"/>
  <c r="C484" i="16"/>
  <c r="B484" i="16"/>
  <c r="A484" i="16"/>
  <c r="P484" i="16" s="1"/>
  <c r="H484" i="9" s="1"/>
  <c r="D483" i="16"/>
  <c r="C483" i="16"/>
  <c r="B483" i="16"/>
  <c r="A483" i="16"/>
  <c r="D482" i="16"/>
  <c r="C482" i="16"/>
  <c r="B482" i="16"/>
  <c r="A482" i="16"/>
  <c r="D481" i="16"/>
  <c r="C481" i="16"/>
  <c r="B481" i="16"/>
  <c r="A481" i="16"/>
  <c r="D480" i="16"/>
  <c r="C480" i="16"/>
  <c r="B480" i="16"/>
  <c r="A480" i="16"/>
  <c r="K480" i="16" s="1"/>
  <c r="K479" i="16"/>
  <c r="J479" i="16"/>
  <c r="E479" i="16"/>
  <c r="F479" i="16" s="1"/>
  <c r="D479" i="16"/>
  <c r="C479" i="16"/>
  <c r="B479" i="16"/>
  <c r="A479" i="16"/>
  <c r="D478" i="16"/>
  <c r="C478" i="16"/>
  <c r="B478" i="16"/>
  <c r="A478" i="16"/>
  <c r="T478" i="16" s="1"/>
  <c r="D477" i="16"/>
  <c r="C477" i="16"/>
  <c r="B477" i="16"/>
  <c r="A477" i="16"/>
  <c r="G476" i="16"/>
  <c r="D476" i="16"/>
  <c r="C476" i="16"/>
  <c r="B476" i="16"/>
  <c r="A476" i="16"/>
  <c r="E476" i="16" s="1"/>
  <c r="D475" i="16"/>
  <c r="C475" i="16"/>
  <c r="B475" i="16"/>
  <c r="A475" i="16"/>
  <c r="J475" i="16" s="1"/>
  <c r="D474" i="16"/>
  <c r="C474" i="16"/>
  <c r="B474" i="16"/>
  <c r="A474" i="16"/>
  <c r="K473" i="16"/>
  <c r="D473" i="16"/>
  <c r="C473" i="16"/>
  <c r="B473" i="16"/>
  <c r="A473" i="16"/>
  <c r="L473" i="16" s="1"/>
  <c r="D472" i="16"/>
  <c r="C472" i="16"/>
  <c r="B472" i="16"/>
  <c r="A472" i="16"/>
  <c r="K471" i="16"/>
  <c r="F471" i="16"/>
  <c r="E471" i="16"/>
  <c r="D471" i="16"/>
  <c r="C471" i="16"/>
  <c r="B471" i="16"/>
  <c r="A471" i="16"/>
  <c r="L471" i="16" s="1"/>
  <c r="D470" i="16"/>
  <c r="C470" i="16"/>
  <c r="B470" i="16"/>
  <c r="A470" i="16"/>
  <c r="D469" i="16"/>
  <c r="C469" i="16"/>
  <c r="B469" i="16"/>
  <c r="A469" i="16"/>
  <c r="H469" i="16" s="1"/>
  <c r="G468" i="16"/>
  <c r="D468" i="16"/>
  <c r="C468" i="16"/>
  <c r="B468" i="16"/>
  <c r="A468" i="16"/>
  <c r="D467" i="16"/>
  <c r="C467" i="16"/>
  <c r="B467" i="16"/>
  <c r="A467" i="16"/>
  <c r="I467" i="16" s="1"/>
  <c r="D466" i="16"/>
  <c r="C466" i="16"/>
  <c r="B466" i="16"/>
  <c r="A466" i="16"/>
  <c r="D465" i="16"/>
  <c r="C465" i="16"/>
  <c r="B465" i="16"/>
  <c r="A465" i="16"/>
  <c r="J464" i="16"/>
  <c r="D464" i="16"/>
  <c r="I464" i="16" s="1"/>
  <c r="C464" i="16"/>
  <c r="B464" i="16"/>
  <c r="A464" i="16"/>
  <c r="K464" i="16" s="1"/>
  <c r="K463" i="16"/>
  <c r="J463" i="16"/>
  <c r="D463" i="16"/>
  <c r="C463" i="16"/>
  <c r="E463" i="16" s="1"/>
  <c r="F463" i="16" s="1"/>
  <c r="B463" i="16"/>
  <c r="A463" i="16"/>
  <c r="L463" i="16" s="1"/>
  <c r="D462" i="16"/>
  <c r="C462" i="16"/>
  <c r="B462" i="16"/>
  <c r="A462" i="16"/>
  <c r="L461" i="16"/>
  <c r="D461" i="16"/>
  <c r="C461" i="16"/>
  <c r="B461" i="16"/>
  <c r="A461" i="16"/>
  <c r="I460" i="16"/>
  <c r="H460" i="16"/>
  <c r="G460" i="16"/>
  <c r="D460" i="16"/>
  <c r="C460" i="16"/>
  <c r="B460" i="16"/>
  <c r="A460" i="16"/>
  <c r="D459" i="16"/>
  <c r="C459" i="16"/>
  <c r="B459" i="16"/>
  <c r="A459" i="16"/>
  <c r="I458" i="16"/>
  <c r="D458" i="16"/>
  <c r="C458" i="16"/>
  <c r="B458" i="16"/>
  <c r="A458" i="16"/>
  <c r="D457" i="16"/>
  <c r="C457" i="16"/>
  <c r="B457" i="16"/>
  <c r="A457" i="16"/>
  <c r="K456" i="16"/>
  <c r="J456" i="16"/>
  <c r="D456" i="16"/>
  <c r="C456" i="16"/>
  <c r="B456" i="16"/>
  <c r="A456" i="16"/>
  <c r="L455" i="16"/>
  <c r="J455" i="16"/>
  <c r="D455" i="16"/>
  <c r="C455" i="16"/>
  <c r="B455" i="16"/>
  <c r="A455" i="16"/>
  <c r="M455" i="16" s="1"/>
  <c r="D454" i="16"/>
  <c r="C454" i="16"/>
  <c r="B454" i="16"/>
  <c r="A454" i="16"/>
  <c r="L453" i="16"/>
  <c r="D453" i="16"/>
  <c r="C453" i="16"/>
  <c r="B453" i="16"/>
  <c r="A453" i="16"/>
  <c r="G452" i="16"/>
  <c r="D452" i="16"/>
  <c r="C452" i="16"/>
  <c r="B452" i="16"/>
  <c r="A452" i="16"/>
  <c r="D451" i="16"/>
  <c r="C451" i="16"/>
  <c r="B451" i="16"/>
  <c r="A451" i="16"/>
  <c r="D450" i="16"/>
  <c r="C450" i="16"/>
  <c r="B450" i="16"/>
  <c r="A450" i="16"/>
  <c r="D449" i="16"/>
  <c r="C449" i="16"/>
  <c r="B449" i="16"/>
  <c r="A449" i="16"/>
  <c r="I449" i="16" s="1"/>
  <c r="D448" i="16"/>
  <c r="C448" i="16"/>
  <c r="B448" i="16"/>
  <c r="A448" i="16"/>
  <c r="D447" i="16"/>
  <c r="C447" i="16"/>
  <c r="B447" i="16"/>
  <c r="A447" i="16"/>
  <c r="G446" i="16"/>
  <c r="D446" i="16"/>
  <c r="C446" i="16"/>
  <c r="B446" i="16"/>
  <c r="A446" i="16"/>
  <c r="E445" i="16"/>
  <c r="D445" i="16"/>
  <c r="C445" i="16"/>
  <c r="B445" i="16"/>
  <c r="A445" i="16"/>
  <c r="M445" i="16" s="1"/>
  <c r="D444" i="16"/>
  <c r="C444" i="16"/>
  <c r="B444" i="16"/>
  <c r="A444" i="16"/>
  <c r="I444" i="16" s="1"/>
  <c r="D443" i="16"/>
  <c r="C443" i="16"/>
  <c r="B443" i="16"/>
  <c r="A443" i="16"/>
  <c r="D442" i="16"/>
  <c r="C442" i="16"/>
  <c r="B442" i="16"/>
  <c r="A442" i="16"/>
  <c r="H441" i="16"/>
  <c r="D441" i="16"/>
  <c r="C441" i="16"/>
  <c r="B441" i="16"/>
  <c r="A441" i="16"/>
  <c r="I441" i="16" s="1"/>
  <c r="D440" i="16"/>
  <c r="C440" i="16"/>
  <c r="B440" i="16"/>
  <c r="A440" i="16"/>
  <c r="D439" i="16"/>
  <c r="C439" i="16"/>
  <c r="B439" i="16"/>
  <c r="A439" i="16"/>
  <c r="M438" i="16"/>
  <c r="L438" i="16"/>
  <c r="G438" i="16"/>
  <c r="D438" i="16"/>
  <c r="C438" i="16"/>
  <c r="B438" i="16"/>
  <c r="A438" i="16"/>
  <c r="K438" i="16" s="1"/>
  <c r="D437" i="16"/>
  <c r="C437" i="16"/>
  <c r="B437" i="16"/>
  <c r="A437" i="16"/>
  <c r="D436" i="16"/>
  <c r="C436" i="16"/>
  <c r="B436" i="16"/>
  <c r="A436" i="16"/>
  <c r="D435" i="16"/>
  <c r="C435" i="16"/>
  <c r="B435" i="16"/>
  <c r="A435" i="16"/>
  <c r="D434" i="16"/>
  <c r="C434" i="16"/>
  <c r="B434" i="16"/>
  <c r="A434" i="16"/>
  <c r="J434" i="16" s="1"/>
  <c r="D433" i="16"/>
  <c r="C433" i="16"/>
  <c r="B433" i="16"/>
  <c r="A433" i="16"/>
  <c r="D432" i="16"/>
  <c r="C432" i="16"/>
  <c r="B432" i="16"/>
  <c r="A432" i="16"/>
  <c r="M432" i="16" s="1"/>
  <c r="D431" i="16"/>
  <c r="C431" i="16"/>
  <c r="B431" i="16"/>
  <c r="A431" i="16"/>
  <c r="M430" i="16"/>
  <c r="G430" i="16"/>
  <c r="D430" i="16"/>
  <c r="C430" i="16"/>
  <c r="B430" i="16"/>
  <c r="A430" i="16"/>
  <c r="D429" i="16"/>
  <c r="C429" i="16"/>
  <c r="B429" i="16"/>
  <c r="A429" i="16"/>
  <c r="G429" i="16" s="1"/>
  <c r="D428" i="16"/>
  <c r="C428" i="16"/>
  <c r="B428" i="16"/>
  <c r="A428" i="16"/>
  <c r="D427" i="16"/>
  <c r="C427" i="16"/>
  <c r="B427" i="16"/>
  <c r="A427" i="16"/>
  <c r="J426" i="16"/>
  <c r="I426" i="16"/>
  <c r="H426" i="16"/>
  <c r="G426" i="16"/>
  <c r="D426" i="16"/>
  <c r="C426" i="16"/>
  <c r="B426" i="16"/>
  <c r="A426" i="16"/>
  <c r="L425" i="16"/>
  <c r="K425" i="16"/>
  <c r="J425" i="16"/>
  <c r="I425" i="16"/>
  <c r="D425" i="16"/>
  <c r="C425" i="16"/>
  <c r="B425" i="16"/>
  <c r="A425" i="16"/>
  <c r="D424" i="16"/>
  <c r="C424" i="16"/>
  <c r="B424" i="16"/>
  <c r="A424" i="16"/>
  <c r="D423" i="16"/>
  <c r="C423" i="16"/>
  <c r="B423" i="16"/>
  <c r="A423" i="16"/>
  <c r="M422" i="16"/>
  <c r="L422" i="16"/>
  <c r="K422" i="16"/>
  <c r="G422" i="16"/>
  <c r="D422" i="16"/>
  <c r="C422" i="16"/>
  <c r="B422" i="16"/>
  <c r="A422" i="16"/>
  <c r="J422" i="16" s="1"/>
  <c r="D421" i="16"/>
  <c r="C421" i="16"/>
  <c r="B421" i="16"/>
  <c r="A421" i="16"/>
  <c r="E421" i="16" s="1"/>
  <c r="M420" i="16"/>
  <c r="D420" i="16"/>
  <c r="C420" i="16"/>
  <c r="B420" i="16"/>
  <c r="A420" i="16"/>
  <c r="D419" i="16"/>
  <c r="C419" i="16"/>
  <c r="B419" i="16"/>
  <c r="A419" i="16"/>
  <c r="D418" i="16"/>
  <c r="C418" i="16"/>
  <c r="B418" i="16"/>
  <c r="A418" i="16"/>
  <c r="D417" i="16"/>
  <c r="C417" i="16"/>
  <c r="B417" i="16"/>
  <c r="A417" i="16"/>
  <c r="L417" i="16" s="1"/>
  <c r="D416" i="16"/>
  <c r="C416" i="16"/>
  <c r="E416" i="16" s="1"/>
  <c r="T416" i="16" s="1"/>
  <c r="B416" i="16"/>
  <c r="A416" i="16"/>
  <c r="D415" i="16"/>
  <c r="C415" i="16"/>
  <c r="B415" i="16"/>
  <c r="A415" i="16"/>
  <c r="D414" i="16"/>
  <c r="C414" i="16"/>
  <c r="B414" i="16"/>
  <c r="A414" i="16"/>
  <c r="D413" i="16"/>
  <c r="C413" i="16"/>
  <c r="B413" i="16"/>
  <c r="A413" i="16"/>
  <c r="D412" i="16"/>
  <c r="C412" i="16"/>
  <c r="B412" i="16"/>
  <c r="A412" i="16"/>
  <c r="J411" i="16"/>
  <c r="D411" i="16"/>
  <c r="C411" i="16"/>
  <c r="B411" i="16"/>
  <c r="A411" i="16"/>
  <c r="G410" i="16"/>
  <c r="D410" i="16"/>
  <c r="C410" i="16"/>
  <c r="B410" i="16"/>
  <c r="A410" i="16"/>
  <c r="D409" i="16"/>
  <c r="C409" i="16"/>
  <c r="B409" i="16"/>
  <c r="A409" i="16"/>
  <c r="D408" i="16"/>
  <c r="C408" i="16"/>
  <c r="B408" i="16"/>
  <c r="A408" i="16"/>
  <c r="K407" i="16"/>
  <c r="F407" i="16"/>
  <c r="D407" i="16"/>
  <c r="C407" i="16"/>
  <c r="B407" i="16"/>
  <c r="A407" i="16"/>
  <c r="D406" i="16"/>
  <c r="C406" i="16"/>
  <c r="B406" i="16"/>
  <c r="A406" i="16"/>
  <c r="D405" i="16"/>
  <c r="J405" i="16" s="1"/>
  <c r="C405" i="16"/>
  <c r="B405" i="16"/>
  <c r="A405" i="16"/>
  <c r="D404" i="16"/>
  <c r="C404" i="16"/>
  <c r="B404" i="16"/>
  <c r="A404" i="16"/>
  <c r="D403" i="16"/>
  <c r="C403" i="16"/>
  <c r="B403" i="16"/>
  <c r="A403" i="16"/>
  <c r="I403" i="16" s="1"/>
  <c r="D402" i="16"/>
  <c r="C402" i="16"/>
  <c r="B402" i="16"/>
  <c r="A402" i="16"/>
  <c r="D401" i="16"/>
  <c r="C401" i="16"/>
  <c r="B401" i="16"/>
  <c r="A401" i="16"/>
  <c r="J400" i="16"/>
  <c r="D400" i="16"/>
  <c r="C400" i="16"/>
  <c r="B400" i="16"/>
  <c r="A400" i="16"/>
  <c r="E400" i="16" s="1"/>
  <c r="T400" i="16" s="1"/>
  <c r="D399" i="16"/>
  <c r="C399" i="16"/>
  <c r="B399" i="16"/>
  <c r="A399" i="16"/>
  <c r="D398" i="16"/>
  <c r="C398" i="16"/>
  <c r="B398" i="16"/>
  <c r="A398" i="16"/>
  <c r="E398" i="16" s="1"/>
  <c r="F398" i="16" s="1"/>
  <c r="M397" i="16"/>
  <c r="E397" i="16"/>
  <c r="F397" i="16" s="1"/>
  <c r="D397" i="16"/>
  <c r="C397" i="16"/>
  <c r="B397" i="16"/>
  <c r="A397" i="16"/>
  <c r="D396" i="16"/>
  <c r="C396" i="16"/>
  <c r="B396" i="16"/>
  <c r="A396" i="16"/>
  <c r="H395" i="16"/>
  <c r="G395" i="16"/>
  <c r="D395" i="16"/>
  <c r="C395" i="16"/>
  <c r="B395" i="16"/>
  <c r="A395" i="16"/>
  <c r="I395" i="16" s="1"/>
  <c r="D394" i="16"/>
  <c r="C394" i="16"/>
  <c r="B394" i="16"/>
  <c r="A394" i="16"/>
  <c r="I394" i="16" s="1"/>
  <c r="D393" i="16"/>
  <c r="C393" i="16"/>
  <c r="B393" i="16"/>
  <c r="A393" i="16"/>
  <c r="K392" i="16"/>
  <c r="D392" i="16"/>
  <c r="C392" i="16"/>
  <c r="B392" i="16"/>
  <c r="A392" i="16"/>
  <c r="J392" i="16" s="1"/>
  <c r="D391" i="16"/>
  <c r="C391" i="16"/>
  <c r="B391" i="16"/>
  <c r="A391" i="16"/>
  <c r="D390" i="16"/>
  <c r="C390" i="16"/>
  <c r="B390" i="16"/>
  <c r="A390" i="16"/>
  <c r="D389" i="16"/>
  <c r="C389" i="16"/>
  <c r="B389" i="16"/>
  <c r="A389" i="16"/>
  <c r="M389" i="16" s="1"/>
  <c r="D388" i="16"/>
  <c r="C388" i="16"/>
  <c r="B388" i="16"/>
  <c r="A388" i="16"/>
  <c r="H387" i="16"/>
  <c r="G387" i="16"/>
  <c r="D387" i="16"/>
  <c r="C387" i="16"/>
  <c r="B387" i="16"/>
  <c r="A387" i="16"/>
  <c r="I387" i="16" s="1"/>
  <c r="J386" i="16"/>
  <c r="O386" i="16" s="1"/>
  <c r="D386" i="16"/>
  <c r="C386" i="16"/>
  <c r="B386" i="16"/>
  <c r="A386" i="16"/>
  <c r="K386" i="16" s="1"/>
  <c r="D385" i="16"/>
  <c r="C385" i="16"/>
  <c r="B385" i="16"/>
  <c r="A385" i="16"/>
  <c r="L384" i="16"/>
  <c r="K384" i="16"/>
  <c r="D384" i="16"/>
  <c r="C384" i="16"/>
  <c r="B384" i="16"/>
  <c r="A384" i="16"/>
  <c r="I384" i="16" s="1"/>
  <c r="D383" i="16"/>
  <c r="C383" i="16"/>
  <c r="E383" i="16" s="1"/>
  <c r="F383" i="16" s="1"/>
  <c r="B383" i="16"/>
  <c r="A383" i="16"/>
  <c r="D382" i="16"/>
  <c r="C382" i="16"/>
  <c r="B382" i="16"/>
  <c r="A382" i="16"/>
  <c r="D381" i="16"/>
  <c r="C381" i="16"/>
  <c r="B381" i="16"/>
  <c r="A381" i="16"/>
  <c r="M380" i="16"/>
  <c r="I380" i="16"/>
  <c r="H380" i="16"/>
  <c r="D380" i="16"/>
  <c r="C380" i="16"/>
  <c r="B380" i="16"/>
  <c r="A380" i="16"/>
  <c r="D379" i="16"/>
  <c r="C379" i="16"/>
  <c r="B379" i="16"/>
  <c r="A379" i="16"/>
  <c r="D378" i="16"/>
  <c r="C378" i="16"/>
  <c r="B378" i="16"/>
  <c r="A378" i="16"/>
  <c r="K378" i="16" s="1"/>
  <c r="D377" i="16"/>
  <c r="C377" i="16"/>
  <c r="B377" i="16"/>
  <c r="A377" i="16"/>
  <c r="L376" i="16"/>
  <c r="D376" i="16"/>
  <c r="C376" i="16"/>
  <c r="B376" i="16"/>
  <c r="A376" i="16"/>
  <c r="D375" i="16"/>
  <c r="C375" i="16"/>
  <c r="B375" i="16"/>
  <c r="A375" i="16"/>
  <c r="E375" i="16" s="1"/>
  <c r="F375" i="16" s="1"/>
  <c r="D374" i="16"/>
  <c r="C374" i="16"/>
  <c r="B374" i="16"/>
  <c r="A374" i="16"/>
  <c r="M374" i="16" s="1"/>
  <c r="D373" i="16"/>
  <c r="C373" i="16"/>
  <c r="B373" i="16"/>
  <c r="A373" i="16"/>
  <c r="E373" i="16" s="1"/>
  <c r="P373" i="16" s="1"/>
  <c r="M372" i="16"/>
  <c r="I372" i="16"/>
  <c r="D372" i="16"/>
  <c r="C372" i="16"/>
  <c r="B372" i="16"/>
  <c r="A372" i="16"/>
  <c r="G371" i="16"/>
  <c r="D371" i="16"/>
  <c r="C371" i="16"/>
  <c r="B371" i="16"/>
  <c r="A371" i="16"/>
  <c r="D370" i="16"/>
  <c r="C370" i="16"/>
  <c r="B370" i="16"/>
  <c r="A370" i="16"/>
  <c r="I369" i="16"/>
  <c r="D369" i="16"/>
  <c r="C369" i="16"/>
  <c r="B369" i="16"/>
  <c r="A369" i="16"/>
  <c r="J369" i="16" s="1"/>
  <c r="D368" i="16"/>
  <c r="C368" i="16"/>
  <c r="B368" i="16"/>
  <c r="A368" i="16"/>
  <c r="D367" i="16"/>
  <c r="C367" i="16"/>
  <c r="B367" i="16"/>
  <c r="A367" i="16"/>
  <c r="E367" i="16" s="1"/>
  <c r="D366" i="16"/>
  <c r="C366" i="16"/>
  <c r="B366" i="16"/>
  <c r="A366" i="16"/>
  <c r="D365" i="16"/>
  <c r="C365" i="16"/>
  <c r="B365" i="16"/>
  <c r="A365" i="16"/>
  <c r="D364" i="16"/>
  <c r="C364" i="16"/>
  <c r="B364" i="16"/>
  <c r="A364" i="16"/>
  <c r="J363" i="16"/>
  <c r="D363" i="16"/>
  <c r="C363" i="16"/>
  <c r="B363" i="16"/>
  <c r="A363" i="16"/>
  <c r="H362" i="16"/>
  <c r="G362" i="16"/>
  <c r="D362" i="16"/>
  <c r="C362" i="16"/>
  <c r="B362" i="16"/>
  <c r="A362" i="16"/>
  <c r="J362" i="16" s="1"/>
  <c r="D361" i="16"/>
  <c r="C361" i="16"/>
  <c r="B361" i="16"/>
  <c r="A361" i="16"/>
  <c r="L361" i="16" s="1"/>
  <c r="D360" i="16"/>
  <c r="C360" i="16"/>
  <c r="B360" i="16"/>
  <c r="A360" i="16"/>
  <c r="D359" i="16"/>
  <c r="C359" i="16"/>
  <c r="B359" i="16"/>
  <c r="A359" i="16"/>
  <c r="J359" i="16" s="1"/>
  <c r="M358" i="16"/>
  <c r="L358" i="16"/>
  <c r="D358" i="16"/>
  <c r="C358" i="16"/>
  <c r="B358" i="16"/>
  <c r="A358" i="16"/>
  <c r="D357" i="16"/>
  <c r="C357" i="16"/>
  <c r="B357" i="16"/>
  <c r="A357" i="16"/>
  <c r="G357" i="16" s="1"/>
  <c r="D356" i="16"/>
  <c r="C356" i="16"/>
  <c r="B356" i="16"/>
  <c r="A356" i="16"/>
  <c r="G356" i="16" s="1"/>
  <c r="J355" i="16"/>
  <c r="D355" i="16"/>
  <c r="C355" i="16"/>
  <c r="B355" i="16"/>
  <c r="A355" i="16"/>
  <c r="I355" i="16" s="1"/>
  <c r="D354" i="16"/>
  <c r="C354" i="16"/>
  <c r="B354" i="16"/>
  <c r="A354" i="16"/>
  <c r="G354" i="16" s="1"/>
  <c r="D353" i="16"/>
  <c r="C353" i="16"/>
  <c r="B353" i="16"/>
  <c r="A353" i="16"/>
  <c r="D352" i="16"/>
  <c r="C352" i="16"/>
  <c r="B352" i="16"/>
  <c r="A352" i="16"/>
  <c r="J351" i="16"/>
  <c r="D351" i="16"/>
  <c r="C351" i="16"/>
  <c r="B351" i="16"/>
  <c r="A351" i="16"/>
  <c r="D350" i="16"/>
  <c r="C350" i="16"/>
  <c r="B350" i="16"/>
  <c r="A350" i="16"/>
  <c r="E349" i="16"/>
  <c r="P349" i="16" s="1"/>
  <c r="D349" i="16"/>
  <c r="C349" i="16"/>
  <c r="B349" i="16"/>
  <c r="A349" i="16"/>
  <c r="D348" i="16"/>
  <c r="C348" i="16"/>
  <c r="B348" i="16"/>
  <c r="A348" i="16"/>
  <c r="E348" i="16" s="1"/>
  <c r="F348" i="16" s="1"/>
  <c r="D347" i="16"/>
  <c r="C347" i="16"/>
  <c r="B347" i="16"/>
  <c r="A347" i="16"/>
  <c r="J346" i="16"/>
  <c r="D346" i="16"/>
  <c r="C346" i="16"/>
  <c r="B346" i="16"/>
  <c r="A346" i="16"/>
  <c r="D345" i="16"/>
  <c r="C345" i="16"/>
  <c r="B345" i="16"/>
  <c r="A345" i="16"/>
  <c r="D344" i="16"/>
  <c r="C344" i="16"/>
  <c r="B344" i="16"/>
  <c r="A344" i="16"/>
  <c r="M343" i="16"/>
  <c r="L343" i="16"/>
  <c r="D343" i="16"/>
  <c r="C343" i="16"/>
  <c r="B343" i="16"/>
  <c r="A343" i="16"/>
  <c r="D342" i="16"/>
  <c r="C342" i="16"/>
  <c r="B342" i="16"/>
  <c r="A342" i="16"/>
  <c r="D341" i="16"/>
  <c r="E341" i="16" s="1"/>
  <c r="C341" i="16"/>
  <c r="B341" i="16"/>
  <c r="A341" i="16"/>
  <c r="D340" i="16"/>
  <c r="C340" i="16"/>
  <c r="B340" i="16"/>
  <c r="A340" i="16"/>
  <c r="D339" i="16"/>
  <c r="C339" i="16"/>
  <c r="B339" i="16"/>
  <c r="A339" i="16"/>
  <c r="I339" i="16" s="1"/>
  <c r="D338" i="16"/>
  <c r="C338" i="16"/>
  <c r="B338" i="16"/>
  <c r="A338" i="16"/>
  <c r="D337" i="16"/>
  <c r="C337" i="16"/>
  <c r="B337" i="16"/>
  <c r="A337" i="16"/>
  <c r="D336" i="16"/>
  <c r="C336" i="16"/>
  <c r="B336" i="16"/>
  <c r="A336" i="16"/>
  <c r="D335" i="16"/>
  <c r="C335" i="16"/>
  <c r="B335" i="16"/>
  <c r="A335" i="16"/>
  <c r="D334" i="16"/>
  <c r="C334" i="16"/>
  <c r="B334" i="16"/>
  <c r="A334" i="16"/>
  <c r="E334" i="16" s="1"/>
  <c r="I334" i="9" s="1"/>
  <c r="G333" i="16"/>
  <c r="E333" i="16"/>
  <c r="F333" i="16" s="1"/>
  <c r="D333" i="16"/>
  <c r="K333" i="16" s="1"/>
  <c r="C333" i="16"/>
  <c r="B333" i="16"/>
  <c r="A333" i="16"/>
  <c r="J333" i="16" s="1"/>
  <c r="O333" i="16" s="1"/>
  <c r="I332" i="16"/>
  <c r="D332" i="16"/>
  <c r="C332" i="16"/>
  <c r="B332" i="16"/>
  <c r="A332" i="16"/>
  <c r="H332" i="16" s="1"/>
  <c r="D331" i="16"/>
  <c r="C331" i="16"/>
  <c r="B331" i="16"/>
  <c r="A331" i="16"/>
  <c r="D330" i="16"/>
  <c r="C330" i="16"/>
  <c r="B330" i="16"/>
  <c r="A330" i="16"/>
  <c r="D329" i="16"/>
  <c r="C329" i="16"/>
  <c r="B329" i="16"/>
  <c r="A329" i="16"/>
  <c r="K329" i="16" s="1"/>
  <c r="D328" i="16"/>
  <c r="C328" i="16"/>
  <c r="B328" i="16"/>
  <c r="A328" i="16"/>
  <c r="L327" i="16"/>
  <c r="D327" i="16"/>
  <c r="C327" i="16"/>
  <c r="B327" i="16"/>
  <c r="A327" i="16"/>
  <c r="K327" i="16" s="1"/>
  <c r="D326" i="16"/>
  <c r="C326" i="16"/>
  <c r="B326" i="16"/>
  <c r="A326" i="16"/>
  <c r="D325" i="16"/>
  <c r="C325" i="16"/>
  <c r="B325" i="16"/>
  <c r="A325" i="16"/>
  <c r="K325" i="16" s="1"/>
  <c r="D324" i="16"/>
  <c r="C324" i="16"/>
  <c r="B324" i="16"/>
  <c r="A324" i="16"/>
  <c r="D323" i="16"/>
  <c r="C323" i="16"/>
  <c r="B323" i="16"/>
  <c r="A323" i="16"/>
  <c r="K322" i="16"/>
  <c r="J322" i="16"/>
  <c r="D322" i="16"/>
  <c r="C322" i="16"/>
  <c r="B322" i="16"/>
  <c r="A322" i="16"/>
  <c r="D321" i="16"/>
  <c r="C321" i="16"/>
  <c r="B321" i="16"/>
  <c r="A321" i="16"/>
  <c r="D320" i="16"/>
  <c r="C320" i="16"/>
  <c r="B320" i="16"/>
  <c r="A320" i="16"/>
  <c r="D319" i="16"/>
  <c r="C319" i="16"/>
  <c r="B319" i="16"/>
  <c r="A319" i="16"/>
  <c r="T319" i="16" s="1"/>
  <c r="D318" i="16"/>
  <c r="C318" i="16"/>
  <c r="B318" i="16"/>
  <c r="A318" i="16"/>
  <c r="D317" i="16"/>
  <c r="C317" i="16"/>
  <c r="B317" i="16"/>
  <c r="A317" i="16"/>
  <c r="D316" i="16"/>
  <c r="C316" i="16"/>
  <c r="B316" i="16"/>
  <c r="A316" i="16"/>
  <c r="D315" i="16"/>
  <c r="C315" i="16"/>
  <c r="B315" i="16"/>
  <c r="A315" i="16"/>
  <c r="K314" i="16"/>
  <c r="D314" i="16"/>
  <c r="C314" i="16"/>
  <c r="B314" i="16"/>
  <c r="A314" i="16"/>
  <c r="D313" i="16"/>
  <c r="C313" i="16"/>
  <c r="B313" i="16"/>
  <c r="A313" i="16"/>
  <c r="K313" i="16" s="1"/>
  <c r="D312" i="16"/>
  <c r="C312" i="16"/>
  <c r="B312" i="16"/>
  <c r="A312" i="16"/>
  <c r="D311" i="16"/>
  <c r="C311" i="16"/>
  <c r="B311" i="16"/>
  <c r="A311" i="16"/>
  <c r="D310" i="16"/>
  <c r="C310" i="16"/>
  <c r="B310" i="16"/>
  <c r="A310" i="16"/>
  <c r="F310" i="16" s="1"/>
  <c r="D309" i="16"/>
  <c r="C309" i="16"/>
  <c r="B309" i="16"/>
  <c r="A309" i="16"/>
  <c r="I308" i="16"/>
  <c r="D308" i="16"/>
  <c r="C308" i="16"/>
  <c r="B308" i="16"/>
  <c r="A308" i="16"/>
  <c r="M308" i="16" s="1"/>
  <c r="H307" i="16"/>
  <c r="G307" i="16"/>
  <c r="D307" i="16"/>
  <c r="C307" i="16"/>
  <c r="B307" i="16"/>
  <c r="A307" i="16"/>
  <c r="I307" i="16" s="1"/>
  <c r="D306" i="16"/>
  <c r="C306" i="16"/>
  <c r="B306" i="16"/>
  <c r="A306" i="16"/>
  <c r="J305" i="16"/>
  <c r="D305" i="16"/>
  <c r="C305" i="16"/>
  <c r="B305" i="16"/>
  <c r="A305" i="16"/>
  <c r="K305" i="16" s="1"/>
  <c r="D304" i="16"/>
  <c r="C304" i="16"/>
  <c r="B304" i="16"/>
  <c r="A304" i="16"/>
  <c r="K304" i="16" s="1"/>
  <c r="D303" i="16"/>
  <c r="C303" i="16"/>
  <c r="E303" i="16" s="1"/>
  <c r="B303" i="16"/>
  <c r="A303" i="16"/>
  <c r="D302" i="16"/>
  <c r="C302" i="16"/>
  <c r="B302" i="16"/>
  <c r="A302" i="16"/>
  <c r="G302" i="16" s="1"/>
  <c r="D301" i="16"/>
  <c r="C301" i="16"/>
  <c r="B301" i="16"/>
  <c r="A301" i="16"/>
  <c r="E300" i="16"/>
  <c r="P300" i="16" s="1"/>
  <c r="H300" i="9" s="1"/>
  <c r="D300" i="16"/>
  <c r="C300" i="16"/>
  <c r="B300" i="16"/>
  <c r="A300" i="16"/>
  <c r="D299" i="16"/>
  <c r="C299" i="16"/>
  <c r="B299" i="16"/>
  <c r="A299" i="16"/>
  <c r="D298" i="16"/>
  <c r="C298" i="16"/>
  <c r="B298" i="16"/>
  <c r="A298" i="16"/>
  <c r="L297" i="16"/>
  <c r="K297" i="16"/>
  <c r="J297" i="16"/>
  <c r="D297" i="16"/>
  <c r="C297" i="16"/>
  <c r="B297" i="16"/>
  <c r="A297" i="16"/>
  <c r="D296" i="16"/>
  <c r="C296" i="16"/>
  <c r="B296" i="16"/>
  <c r="A296" i="16"/>
  <c r="D295" i="16"/>
  <c r="C295" i="16"/>
  <c r="B295" i="16"/>
  <c r="A295" i="16"/>
  <c r="M294" i="16"/>
  <c r="L294" i="16"/>
  <c r="K294" i="16"/>
  <c r="G294" i="16"/>
  <c r="D294" i="16"/>
  <c r="J294" i="16" s="1"/>
  <c r="C294" i="16"/>
  <c r="B294" i="16"/>
  <c r="A294" i="16"/>
  <c r="T294" i="16" s="1"/>
  <c r="D293" i="16"/>
  <c r="C293" i="16"/>
  <c r="B293" i="16"/>
  <c r="A293" i="16"/>
  <c r="H293" i="16" s="1"/>
  <c r="D292" i="16"/>
  <c r="C292" i="16"/>
  <c r="B292" i="16"/>
  <c r="A292" i="16"/>
  <c r="M292" i="16" s="1"/>
  <c r="J291" i="16"/>
  <c r="I291" i="16"/>
  <c r="D291" i="16"/>
  <c r="C291" i="16"/>
  <c r="B291" i="16"/>
  <c r="A291" i="16"/>
  <c r="D290" i="16"/>
  <c r="C290" i="16"/>
  <c r="B290" i="16"/>
  <c r="A290" i="16"/>
  <c r="D289" i="16"/>
  <c r="C289" i="16"/>
  <c r="B289" i="16"/>
  <c r="A289" i="16"/>
  <c r="D288" i="16"/>
  <c r="C288" i="16"/>
  <c r="B288" i="16"/>
  <c r="A288" i="16"/>
  <c r="D287" i="16"/>
  <c r="C287" i="16"/>
  <c r="B287" i="16"/>
  <c r="A287" i="16"/>
  <c r="D286" i="16"/>
  <c r="C286" i="16"/>
  <c r="B286" i="16"/>
  <c r="A286" i="16"/>
  <c r="H285" i="16"/>
  <c r="G285" i="16"/>
  <c r="F285" i="16"/>
  <c r="D285" i="16"/>
  <c r="C285" i="16"/>
  <c r="B285" i="16"/>
  <c r="A285" i="16"/>
  <c r="F284" i="16"/>
  <c r="E284" i="16"/>
  <c r="D284" i="16"/>
  <c r="C284" i="16"/>
  <c r="B284" i="16"/>
  <c r="A284" i="16"/>
  <c r="H284" i="16" s="1"/>
  <c r="D283" i="16"/>
  <c r="C283" i="16"/>
  <c r="B283" i="16"/>
  <c r="A283" i="16"/>
  <c r="D282" i="16"/>
  <c r="C282" i="16"/>
  <c r="B282" i="16"/>
  <c r="A282" i="16"/>
  <c r="D281" i="16"/>
  <c r="C281" i="16"/>
  <c r="B281" i="16"/>
  <c r="A281" i="16"/>
  <c r="D280" i="16"/>
  <c r="C280" i="16"/>
  <c r="B280" i="16"/>
  <c r="A280" i="16"/>
  <c r="D279" i="16"/>
  <c r="C279" i="16"/>
  <c r="B279" i="16"/>
  <c r="A279" i="16"/>
  <c r="D278" i="16"/>
  <c r="C278" i="16"/>
  <c r="B278" i="16"/>
  <c r="A278" i="16"/>
  <c r="D277" i="16"/>
  <c r="C277" i="16"/>
  <c r="B277" i="16"/>
  <c r="A277" i="16"/>
  <c r="D276" i="16"/>
  <c r="C276" i="16"/>
  <c r="B276" i="16"/>
  <c r="A276" i="16"/>
  <c r="H276" i="16" s="1"/>
  <c r="D275" i="16"/>
  <c r="C275" i="16"/>
  <c r="B275" i="16"/>
  <c r="A275" i="16"/>
  <c r="I275" i="16" s="1"/>
  <c r="D274" i="16"/>
  <c r="C274" i="16"/>
  <c r="B274" i="16"/>
  <c r="A274" i="16"/>
  <c r="H274" i="16" s="1"/>
  <c r="D273" i="16"/>
  <c r="C273" i="16"/>
  <c r="B273" i="16"/>
  <c r="A273" i="16"/>
  <c r="L273" i="16" s="1"/>
  <c r="D272" i="16"/>
  <c r="C272" i="16"/>
  <c r="B272" i="16"/>
  <c r="A272" i="16"/>
  <c r="K272" i="16" s="1"/>
  <c r="D271" i="16"/>
  <c r="C271" i="16"/>
  <c r="B271" i="16"/>
  <c r="A271" i="16"/>
  <c r="D270" i="16"/>
  <c r="C270" i="16"/>
  <c r="B270" i="16"/>
  <c r="A270" i="16"/>
  <c r="D269" i="16"/>
  <c r="C269" i="16"/>
  <c r="B269" i="16"/>
  <c r="A269" i="16"/>
  <c r="I268" i="16"/>
  <c r="H268" i="16"/>
  <c r="G268" i="16"/>
  <c r="D268" i="16"/>
  <c r="C268" i="16"/>
  <c r="B268" i="16"/>
  <c r="A268" i="16"/>
  <c r="I267" i="16"/>
  <c r="H267" i="16"/>
  <c r="G267" i="16"/>
  <c r="D267" i="16"/>
  <c r="C267" i="16"/>
  <c r="B267" i="16"/>
  <c r="A267" i="16"/>
  <c r="O267" i="16" s="1"/>
  <c r="D266" i="16"/>
  <c r="C266" i="16"/>
  <c r="B266" i="16"/>
  <c r="A266" i="16"/>
  <c r="K266" i="16" s="1"/>
  <c r="D265" i="16"/>
  <c r="C265" i="16"/>
  <c r="B265" i="16"/>
  <c r="A265" i="16"/>
  <c r="K265" i="16" s="1"/>
  <c r="K264" i="16"/>
  <c r="J264" i="16"/>
  <c r="I264" i="16"/>
  <c r="D264" i="16"/>
  <c r="C264" i="16"/>
  <c r="B264" i="16"/>
  <c r="A264" i="16"/>
  <c r="E264" i="16" s="1"/>
  <c r="D263" i="16"/>
  <c r="C263" i="16"/>
  <c r="B263" i="16"/>
  <c r="A263" i="16"/>
  <c r="D262" i="16"/>
  <c r="C262" i="16"/>
  <c r="B262" i="16"/>
  <c r="A262" i="16"/>
  <c r="D261" i="16"/>
  <c r="C261" i="16"/>
  <c r="B261" i="16"/>
  <c r="A261" i="16"/>
  <c r="K261" i="16" s="1"/>
  <c r="D260" i="16"/>
  <c r="C260" i="16"/>
  <c r="B260" i="16"/>
  <c r="A260" i="16"/>
  <c r="I260" i="16" s="1"/>
  <c r="H259" i="16"/>
  <c r="G259" i="16"/>
  <c r="O259" i="16" s="1"/>
  <c r="D259" i="16"/>
  <c r="C259" i="16"/>
  <c r="B259" i="16"/>
  <c r="A259" i="16"/>
  <c r="I259" i="16" s="1"/>
  <c r="D258" i="16"/>
  <c r="C258" i="16"/>
  <c r="B258" i="16"/>
  <c r="A258" i="16"/>
  <c r="D257" i="16"/>
  <c r="C257" i="16"/>
  <c r="B257" i="16"/>
  <c r="A257" i="16"/>
  <c r="D256" i="16"/>
  <c r="C256" i="16"/>
  <c r="B256" i="16"/>
  <c r="A256" i="16"/>
  <c r="D255" i="16"/>
  <c r="C255" i="16"/>
  <c r="B255" i="16"/>
  <c r="A255" i="16"/>
  <c r="K254" i="16"/>
  <c r="D254" i="16"/>
  <c r="C254" i="16"/>
  <c r="B254" i="16"/>
  <c r="A254" i="16"/>
  <c r="E254" i="16" s="1"/>
  <c r="D253" i="16"/>
  <c r="C253" i="16"/>
  <c r="B253" i="16"/>
  <c r="A253" i="16"/>
  <c r="D252" i="16"/>
  <c r="C252" i="16"/>
  <c r="B252" i="16"/>
  <c r="A252" i="16"/>
  <c r="D251" i="16"/>
  <c r="C251" i="16"/>
  <c r="B251" i="16"/>
  <c r="A251" i="16"/>
  <c r="D250" i="16"/>
  <c r="C250" i="16"/>
  <c r="B250" i="16"/>
  <c r="A250" i="16"/>
  <c r="D249" i="16"/>
  <c r="C249" i="16"/>
  <c r="B249" i="16"/>
  <c r="A249" i="16"/>
  <c r="D248" i="16"/>
  <c r="C248" i="16"/>
  <c r="B248" i="16"/>
  <c r="A248" i="16"/>
  <c r="D247" i="16"/>
  <c r="C247" i="16"/>
  <c r="B247" i="16"/>
  <c r="A247" i="16"/>
  <c r="M247" i="16" s="1"/>
  <c r="M246" i="16"/>
  <c r="D246" i="16"/>
  <c r="C246" i="16"/>
  <c r="B246" i="16"/>
  <c r="A246" i="16"/>
  <c r="L246" i="16" s="1"/>
  <c r="D245" i="16"/>
  <c r="C245" i="16"/>
  <c r="B245" i="16"/>
  <c r="A245" i="16"/>
  <c r="D244" i="16"/>
  <c r="C244" i="16"/>
  <c r="B244" i="16"/>
  <c r="A244" i="16"/>
  <c r="D243" i="16"/>
  <c r="C243" i="16"/>
  <c r="B243" i="16"/>
  <c r="A243" i="16"/>
  <c r="G242" i="16"/>
  <c r="D242" i="16"/>
  <c r="C242" i="16"/>
  <c r="B242" i="16"/>
  <c r="O242" i="16" s="1"/>
  <c r="A242" i="16"/>
  <c r="J242" i="16" s="1"/>
  <c r="K241" i="16"/>
  <c r="J241" i="16"/>
  <c r="H241" i="16"/>
  <c r="D241" i="16"/>
  <c r="C241" i="16"/>
  <c r="B241" i="16"/>
  <c r="A241" i="16"/>
  <c r="I241" i="16" s="1"/>
  <c r="D240" i="16"/>
  <c r="C240" i="16"/>
  <c r="B240" i="16"/>
  <c r="A240" i="16"/>
  <c r="D239" i="16"/>
  <c r="C239" i="16"/>
  <c r="B239" i="16"/>
  <c r="A239" i="16"/>
  <c r="M238" i="16"/>
  <c r="L238" i="16"/>
  <c r="G238" i="16"/>
  <c r="O238" i="16" s="1"/>
  <c r="D238" i="16"/>
  <c r="C238" i="16"/>
  <c r="E238" i="16" s="1"/>
  <c r="F238" i="16" s="1"/>
  <c r="B238" i="16"/>
  <c r="A238" i="16"/>
  <c r="D237" i="16"/>
  <c r="C237" i="16"/>
  <c r="B237" i="16"/>
  <c r="A237" i="16"/>
  <c r="D236" i="16"/>
  <c r="C236" i="16"/>
  <c r="B236" i="16"/>
  <c r="A236" i="16"/>
  <c r="E236" i="16" s="1"/>
  <c r="P236" i="16" s="1"/>
  <c r="H236" i="9" s="1"/>
  <c r="D235" i="16"/>
  <c r="C235" i="16"/>
  <c r="B235" i="16"/>
  <c r="A235" i="16"/>
  <c r="J234" i="16"/>
  <c r="D234" i="16"/>
  <c r="C234" i="16"/>
  <c r="B234" i="16"/>
  <c r="A234" i="16"/>
  <c r="D233" i="16"/>
  <c r="C233" i="16"/>
  <c r="B233" i="16"/>
  <c r="A233" i="16"/>
  <c r="M232" i="16"/>
  <c r="D232" i="16"/>
  <c r="C232" i="16"/>
  <c r="B232" i="16"/>
  <c r="A232" i="16"/>
  <c r="D231" i="16"/>
  <c r="C231" i="16"/>
  <c r="B231" i="16"/>
  <c r="A231" i="16"/>
  <c r="E231" i="16" s="1"/>
  <c r="D230" i="16"/>
  <c r="C230" i="16"/>
  <c r="B230" i="16"/>
  <c r="A230" i="16"/>
  <c r="E229" i="16"/>
  <c r="P229" i="16" s="1"/>
  <c r="H229" i="9" s="1"/>
  <c r="D229" i="16"/>
  <c r="C229" i="16"/>
  <c r="B229" i="16"/>
  <c r="A229" i="16"/>
  <c r="D228" i="16"/>
  <c r="C228" i="16"/>
  <c r="B228" i="16"/>
  <c r="A228" i="16"/>
  <c r="D227" i="16"/>
  <c r="C227" i="16"/>
  <c r="B227" i="16"/>
  <c r="A227" i="16"/>
  <c r="D226" i="16"/>
  <c r="C226" i="16"/>
  <c r="B226" i="16"/>
  <c r="A226" i="16"/>
  <c r="D225" i="16"/>
  <c r="C225" i="16"/>
  <c r="B225" i="16"/>
  <c r="A225" i="16"/>
  <c r="L225" i="16" s="1"/>
  <c r="M224" i="16"/>
  <c r="L224" i="16"/>
  <c r="E224" i="16"/>
  <c r="T224" i="16" s="1"/>
  <c r="D224" i="16"/>
  <c r="C224" i="16"/>
  <c r="B224" i="16"/>
  <c r="A224" i="16"/>
  <c r="D223" i="16"/>
  <c r="C223" i="16"/>
  <c r="B223" i="16"/>
  <c r="A223" i="16"/>
  <c r="L222" i="16"/>
  <c r="K222" i="16"/>
  <c r="D222" i="16"/>
  <c r="C222" i="16"/>
  <c r="B222" i="16"/>
  <c r="A222" i="16"/>
  <c r="T222" i="16" s="1"/>
  <c r="L221" i="16"/>
  <c r="H221" i="16"/>
  <c r="E221" i="16"/>
  <c r="F221" i="16" s="1"/>
  <c r="D221" i="16"/>
  <c r="K221" i="16" s="1"/>
  <c r="C221" i="16"/>
  <c r="B221" i="16"/>
  <c r="A221" i="16"/>
  <c r="M221" i="16" s="1"/>
  <c r="D220" i="16"/>
  <c r="C220" i="16"/>
  <c r="B220" i="16"/>
  <c r="A220" i="16"/>
  <c r="E220" i="16" s="1"/>
  <c r="P220" i="16" s="1"/>
  <c r="H220" i="9" s="1"/>
  <c r="D219" i="16"/>
  <c r="C219" i="16"/>
  <c r="B219" i="16"/>
  <c r="A219" i="16"/>
  <c r="D218" i="16"/>
  <c r="C218" i="16"/>
  <c r="B218" i="16"/>
  <c r="A218" i="16"/>
  <c r="D217" i="16"/>
  <c r="C217" i="16"/>
  <c r="B217" i="16"/>
  <c r="A217" i="16"/>
  <c r="M216" i="16"/>
  <c r="I216" i="16"/>
  <c r="D216" i="16"/>
  <c r="C216" i="16"/>
  <c r="B216" i="16"/>
  <c r="A216" i="16"/>
  <c r="L215" i="16"/>
  <c r="K215" i="16"/>
  <c r="J215" i="16"/>
  <c r="E215" i="16"/>
  <c r="F215" i="16" s="1"/>
  <c r="D215" i="16"/>
  <c r="C215" i="16"/>
  <c r="B215" i="16"/>
  <c r="A215" i="16"/>
  <c r="T215" i="16" s="1"/>
  <c r="D214" i="16"/>
  <c r="C214" i="16"/>
  <c r="B214" i="16"/>
  <c r="A214" i="16"/>
  <c r="M213" i="16"/>
  <c r="D213" i="16"/>
  <c r="C213" i="16"/>
  <c r="B213" i="16"/>
  <c r="A213" i="16"/>
  <c r="F213" i="16" s="1"/>
  <c r="H212" i="16"/>
  <c r="G212" i="16"/>
  <c r="E212" i="16"/>
  <c r="D212" i="16"/>
  <c r="C212" i="16"/>
  <c r="B212" i="16"/>
  <c r="A212" i="16"/>
  <c r="D211" i="16"/>
  <c r="C211" i="16"/>
  <c r="B211" i="16"/>
  <c r="A211" i="16"/>
  <c r="D210" i="16"/>
  <c r="C210" i="16"/>
  <c r="B210" i="16"/>
  <c r="A210" i="16"/>
  <c r="D209" i="16"/>
  <c r="C209" i="16"/>
  <c r="B209" i="16"/>
  <c r="A209" i="16"/>
  <c r="D208" i="16"/>
  <c r="C208" i="16"/>
  <c r="E208" i="16" s="1"/>
  <c r="T208" i="16" s="1"/>
  <c r="B208" i="16"/>
  <c r="A208" i="16"/>
  <c r="D207" i="16"/>
  <c r="C207" i="16"/>
  <c r="B207" i="16"/>
  <c r="A207" i="16"/>
  <c r="D206" i="16"/>
  <c r="C206" i="16"/>
  <c r="B206" i="16"/>
  <c r="A206" i="16"/>
  <c r="E205" i="16"/>
  <c r="F205" i="16" s="1"/>
  <c r="D205" i="16"/>
  <c r="C205" i="16"/>
  <c r="B205" i="16"/>
  <c r="A205" i="16"/>
  <c r="D204" i="16"/>
  <c r="C204" i="16"/>
  <c r="B204" i="16"/>
  <c r="A204" i="16"/>
  <c r="H204" i="16" s="1"/>
  <c r="D203" i="16"/>
  <c r="C203" i="16"/>
  <c r="B203" i="16"/>
  <c r="A203" i="16"/>
  <c r="D202" i="16"/>
  <c r="C202" i="16"/>
  <c r="B202" i="16"/>
  <c r="A202" i="16"/>
  <c r="D201" i="16"/>
  <c r="C201" i="16"/>
  <c r="B201" i="16"/>
  <c r="A201" i="16"/>
  <c r="J200" i="16"/>
  <c r="I200" i="16"/>
  <c r="D200" i="16"/>
  <c r="M200" i="16" s="1"/>
  <c r="C200" i="16"/>
  <c r="B200" i="16"/>
  <c r="A200" i="16"/>
  <c r="M199" i="16"/>
  <c r="K199" i="16"/>
  <c r="D199" i="16"/>
  <c r="C199" i="16"/>
  <c r="E199" i="16" s="1"/>
  <c r="F199" i="16" s="1"/>
  <c r="B199" i="16"/>
  <c r="A199" i="16"/>
  <c r="G198" i="16"/>
  <c r="D198" i="16"/>
  <c r="C198" i="16"/>
  <c r="B198" i="16"/>
  <c r="A198" i="16"/>
  <c r="D197" i="16"/>
  <c r="C197" i="16"/>
  <c r="B197" i="16"/>
  <c r="A197" i="16"/>
  <c r="K197" i="16" s="1"/>
  <c r="D196" i="16"/>
  <c r="C196" i="16"/>
  <c r="B196" i="16"/>
  <c r="A196" i="16"/>
  <c r="D195" i="16"/>
  <c r="C195" i="16"/>
  <c r="B195" i="16"/>
  <c r="A195" i="16"/>
  <c r="I194" i="16"/>
  <c r="D194" i="16"/>
  <c r="C194" i="16"/>
  <c r="B194" i="16"/>
  <c r="A194" i="16"/>
  <c r="D193" i="16"/>
  <c r="C193" i="16"/>
  <c r="B193" i="16"/>
  <c r="A193" i="16"/>
  <c r="D192" i="16"/>
  <c r="C192" i="16"/>
  <c r="B192" i="16"/>
  <c r="A192" i="16"/>
  <c r="D191" i="16"/>
  <c r="C191" i="16"/>
  <c r="B191" i="16"/>
  <c r="A191" i="16"/>
  <c r="D190" i="16"/>
  <c r="C190" i="16"/>
  <c r="B190" i="16"/>
  <c r="A190" i="16"/>
  <c r="D189" i="16"/>
  <c r="C189" i="16"/>
  <c r="B189" i="16"/>
  <c r="A189" i="16"/>
  <c r="D188" i="16"/>
  <c r="C188" i="16"/>
  <c r="B188" i="16"/>
  <c r="A188" i="16"/>
  <c r="H187" i="16"/>
  <c r="G187" i="16"/>
  <c r="D187" i="16"/>
  <c r="C187" i="16"/>
  <c r="B187" i="16"/>
  <c r="A187" i="16"/>
  <c r="I187" i="16" s="1"/>
  <c r="D186" i="16"/>
  <c r="C186" i="16"/>
  <c r="B186" i="16"/>
  <c r="A186" i="16"/>
  <c r="D185" i="16"/>
  <c r="C185" i="16"/>
  <c r="B185" i="16"/>
  <c r="A185" i="16"/>
  <c r="M184" i="16"/>
  <c r="L184" i="16"/>
  <c r="D184" i="16"/>
  <c r="C184" i="16"/>
  <c r="B184" i="16"/>
  <c r="A184" i="16"/>
  <c r="D183" i="16"/>
  <c r="C183" i="16"/>
  <c r="B183" i="16"/>
  <c r="A183" i="16"/>
  <c r="D182" i="16"/>
  <c r="C182" i="16"/>
  <c r="B182" i="16"/>
  <c r="A182" i="16"/>
  <c r="D181" i="16"/>
  <c r="C181" i="16"/>
  <c r="B181" i="16"/>
  <c r="A181" i="16"/>
  <c r="D180" i="16"/>
  <c r="C180" i="16"/>
  <c r="B180" i="16"/>
  <c r="A180" i="16"/>
  <c r="D179" i="16"/>
  <c r="C179" i="16"/>
  <c r="B179" i="16"/>
  <c r="A179" i="16"/>
  <c r="D178" i="16"/>
  <c r="C178" i="16"/>
  <c r="B178" i="16"/>
  <c r="A178" i="16"/>
  <c r="K177" i="16"/>
  <c r="J177" i="16"/>
  <c r="D177" i="16"/>
  <c r="C177" i="16"/>
  <c r="B177" i="16"/>
  <c r="A177" i="16"/>
  <c r="D176" i="16"/>
  <c r="C176" i="16"/>
  <c r="B176" i="16"/>
  <c r="A176" i="16"/>
  <c r="D175" i="16"/>
  <c r="C175" i="16"/>
  <c r="B175" i="16"/>
  <c r="A175" i="16"/>
  <c r="M175" i="16" s="1"/>
  <c r="M174" i="16"/>
  <c r="L174" i="16"/>
  <c r="D174" i="16"/>
  <c r="C174" i="16"/>
  <c r="B174" i="16"/>
  <c r="A174" i="16"/>
  <c r="K174" i="16" s="1"/>
  <c r="D173" i="16"/>
  <c r="C173" i="16"/>
  <c r="B173" i="16"/>
  <c r="A173" i="16"/>
  <c r="E172" i="16"/>
  <c r="D172" i="16"/>
  <c r="C172" i="16"/>
  <c r="B172" i="16"/>
  <c r="A172" i="16"/>
  <c r="G171" i="16"/>
  <c r="D171" i="16"/>
  <c r="C171" i="16"/>
  <c r="B171" i="16"/>
  <c r="A171" i="16"/>
  <c r="D170" i="16"/>
  <c r="C170" i="16"/>
  <c r="B170" i="16"/>
  <c r="A170" i="16"/>
  <c r="L169" i="16"/>
  <c r="D169" i="16"/>
  <c r="C169" i="16"/>
  <c r="B169" i="16"/>
  <c r="A169" i="16"/>
  <c r="M168" i="16"/>
  <c r="D168" i="16"/>
  <c r="C168" i="16"/>
  <c r="B168" i="16"/>
  <c r="A168" i="16"/>
  <c r="J167" i="16"/>
  <c r="D167" i="16"/>
  <c r="C167" i="16"/>
  <c r="B167" i="16"/>
  <c r="A167" i="16"/>
  <c r="G166" i="16"/>
  <c r="D166" i="16"/>
  <c r="C166" i="16"/>
  <c r="B166" i="16"/>
  <c r="A166" i="16"/>
  <c r="D165" i="16"/>
  <c r="C165" i="16"/>
  <c r="B165" i="16"/>
  <c r="A165" i="16"/>
  <c r="P164" i="16"/>
  <c r="H164" i="16"/>
  <c r="D164" i="16"/>
  <c r="C164" i="16"/>
  <c r="B164" i="16"/>
  <c r="A164" i="16"/>
  <c r="D163" i="16"/>
  <c r="C163" i="16"/>
  <c r="B163" i="16"/>
  <c r="A163" i="16"/>
  <c r="D162" i="16"/>
  <c r="C162" i="16"/>
  <c r="B162" i="16"/>
  <c r="A162" i="16"/>
  <c r="D161" i="16"/>
  <c r="C161" i="16"/>
  <c r="B161" i="16"/>
  <c r="A161" i="16"/>
  <c r="I161" i="16" s="1"/>
  <c r="D160" i="16"/>
  <c r="C160" i="16"/>
  <c r="B160" i="16"/>
  <c r="A160" i="16"/>
  <c r="E160" i="16" s="1"/>
  <c r="T160" i="16" s="1"/>
  <c r="D159" i="16"/>
  <c r="C159" i="16"/>
  <c r="B159" i="16"/>
  <c r="A159" i="16"/>
  <c r="D158" i="16"/>
  <c r="C158" i="16"/>
  <c r="B158" i="16"/>
  <c r="A158" i="16"/>
  <c r="L157" i="16"/>
  <c r="D157" i="16"/>
  <c r="C157" i="16"/>
  <c r="B157" i="16"/>
  <c r="A157" i="16"/>
  <c r="E156" i="16"/>
  <c r="F156" i="16" s="1"/>
  <c r="D156" i="16"/>
  <c r="C156" i="16"/>
  <c r="B156" i="16"/>
  <c r="A156" i="16"/>
  <c r="D155" i="16"/>
  <c r="C155" i="16"/>
  <c r="B155" i="16"/>
  <c r="A155" i="16"/>
  <c r="D154" i="16"/>
  <c r="C154" i="16"/>
  <c r="B154" i="16"/>
  <c r="A154" i="16"/>
  <c r="L153" i="16"/>
  <c r="K153" i="16"/>
  <c r="D153" i="16"/>
  <c r="C153" i="16"/>
  <c r="B153" i="16"/>
  <c r="A153" i="16"/>
  <c r="J152" i="16"/>
  <c r="I152" i="16"/>
  <c r="G152" i="16"/>
  <c r="D152" i="16"/>
  <c r="C152" i="16"/>
  <c r="B152" i="16"/>
  <c r="A152" i="16"/>
  <c r="K152" i="16" s="1"/>
  <c r="D151" i="16"/>
  <c r="C151" i="16"/>
  <c r="B151" i="16"/>
  <c r="A151" i="16"/>
  <c r="J150" i="16"/>
  <c r="D150" i="16"/>
  <c r="C150" i="16"/>
  <c r="B150" i="16"/>
  <c r="A150" i="16"/>
  <c r="H150" i="16" s="1"/>
  <c r="L149" i="16"/>
  <c r="K149" i="16"/>
  <c r="J149" i="16"/>
  <c r="D149" i="16"/>
  <c r="C149" i="16"/>
  <c r="B149" i="16"/>
  <c r="A149" i="16"/>
  <c r="M149" i="16" s="1"/>
  <c r="D148" i="16"/>
  <c r="C148" i="16"/>
  <c r="B148" i="16"/>
  <c r="A148" i="16"/>
  <c r="F147" i="16"/>
  <c r="D147" i="16"/>
  <c r="C147" i="16"/>
  <c r="B147" i="16"/>
  <c r="A147" i="16"/>
  <c r="D146" i="16"/>
  <c r="C146" i="16"/>
  <c r="B146" i="16"/>
  <c r="A146" i="16"/>
  <c r="D145" i="16"/>
  <c r="C145" i="16"/>
  <c r="B145" i="16"/>
  <c r="A145" i="16"/>
  <c r="M145" i="16" s="1"/>
  <c r="D144" i="16"/>
  <c r="C144" i="16"/>
  <c r="B144" i="16"/>
  <c r="A144" i="16"/>
  <c r="I143" i="16"/>
  <c r="D143" i="16"/>
  <c r="C143" i="16"/>
  <c r="B143" i="16"/>
  <c r="A143" i="16"/>
  <c r="J143" i="16" s="1"/>
  <c r="D142" i="16"/>
  <c r="C142" i="16"/>
  <c r="B142" i="16"/>
  <c r="A142" i="16"/>
  <c r="K142" i="16" s="1"/>
  <c r="D141" i="16"/>
  <c r="C141" i="16"/>
  <c r="B141" i="16"/>
  <c r="A141" i="16"/>
  <c r="D140" i="16"/>
  <c r="C140" i="16"/>
  <c r="B140" i="16"/>
  <c r="A140" i="16"/>
  <c r="D139" i="16"/>
  <c r="C139" i="16"/>
  <c r="B139" i="16"/>
  <c r="A139" i="16"/>
  <c r="D138" i="16"/>
  <c r="C138" i="16"/>
  <c r="B138" i="16"/>
  <c r="A138" i="16"/>
  <c r="H137" i="16"/>
  <c r="G137" i="16"/>
  <c r="E137" i="16"/>
  <c r="D137" i="16"/>
  <c r="C137" i="16"/>
  <c r="B137" i="16"/>
  <c r="A137" i="16"/>
  <c r="M137" i="16" s="1"/>
  <c r="I136" i="16"/>
  <c r="H136" i="16"/>
  <c r="D136" i="16"/>
  <c r="C136" i="16"/>
  <c r="B136" i="16"/>
  <c r="A136" i="16"/>
  <c r="J136" i="16" s="1"/>
  <c r="H135" i="16"/>
  <c r="D135" i="16"/>
  <c r="C135" i="16"/>
  <c r="B135" i="16"/>
  <c r="A135" i="16"/>
  <c r="J134" i="16"/>
  <c r="D134" i="16"/>
  <c r="C134" i="16"/>
  <c r="B134" i="16"/>
  <c r="A134" i="16"/>
  <c r="D133" i="16"/>
  <c r="C133" i="16"/>
  <c r="B133" i="16"/>
  <c r="A133" i="16"/>
  <c r="D132" i="16"/>
  <c r="E132" i="16" s="1"/>
  <c r="C132" i="16"/>
  <c r="B132" i="16"/>
  <c r="A132" i="16"/>
  <c r="L131" i="16"/>
  <c r="K131" i="16"/>
  <c r="D131" i="16"/>
  <c r="G131" i="16" s="1"/>
  <c r="C131" i="16"/>
  <c r="E131" i="16" s="1"/>
  <c r="F131" i="16" s="1"/>
  <c r="B131" i="16"/>
  <c r="A131" i="16"/>
  <c r="J131" i="16" s="1"/>
  <c r="F130" i="16"/>
  <c r="D130" i="16"/>
  <c r="J130" i="16" s="1"/>
  <c r="C130" i="16"/>
  <c r="B130" i="16"/>
  <c r="A130" i="16"/>
  <c r="D129" i="16"/>
  <c r="C129" i="16"/>
  <c r="B129" i="16"/>
  <c r="A129" i="16"/>
  <c r="D128" i="16"/>
  <c r="C128" i="16"/>
  <c r="B128" i="16"/>
  <c r="A128" i="16"/>
  <c r="J128" i="16" s="1"/>
  <c r="D127" i="16"/>
  <c r="C127" i="16"/>
  <c r="B127" i="16"/>
  <c r="A127" i="16"/>
  <c r="J127" i="16" s="1"/>
  <c r="D126" i="16"/>
  <c r="C126" i="16"/>
  <c r="B126" i="16"/>
  <c r="A126" i="16"/>
  <c r="L126" i="16" s="1"/>
  <c r="D125" i="16"/>
  <c r="C125" i="16"/>
  <c r="B125" i="16"/>
  <c r="A125" i="16"/>
  <c r="K124" i="16"/>
  <c r="D124" i="16"/>
  <c r="C124" i="16"/>
  <c r="B124" i="16"/>
  <c r="A124" i="16"/>
  <c r="M123" i="16"/>
  <c r="L123" i="16"/>
  <c r="D123" i="16"/>
  <c r="C123" i="16"/>
  <c r="B123" i="16"/>
  <c r="A123" i="16"/>
  <c r="J123" i="16" s="1"/>
  <c r="M122" i="16"/>
  <c r="H122" i="16"/>
  <c r="G122" i="16"/>
  <c r="D122" i="16"/>
  <c r="C122" i="16"/>
  <c r="B122" i="16"/>
  <c r="A122" i="16"/>
  <c r="L122" i="16" s="1"/>
  <c r="P121" i="16"/>
  <c r="H121" i="9" s="1"/>
  <c r="H121" i="16"/>
  <c r="G121" i="16"/>
  <c r="D121" i="16"/>
  <c r="C121" i="16"/>
  <c r="B121" i="16"/>
  <c r="A121" i="16"/>
  <c r="E121" i="16" s="1"/>
  <c r="F121" i="16" s="1"/>
  <c r="D120" i="16"/>
  <c r="C120" i="16"/>
  <c r="B120" i="16"/>
  <c r="A120" i="16"/>
  <c r="I119" i="16"/>
  <c r="G119" i="16"/>
  <c r="D119" i="16"/>
  <c r="C119" i="16"/>
  <c r="B119" i="16"/>
  <c r="A119" i="16"/>
  <c r="D118" i="16"/>
  <c r="C118" i="16"/>
  <c r="B118" i="16"/>
  <c r="A118" i="16"/>
  <c r="K118" i="16" s="1"/>
  <c r="D117" i="16"/>
  <c r="C117" i="16"/>
  <c r="B117" i="16"/>
  <c r="A117" i="16"/>
  <c r="L116" i="16"/>
  <c r="J116" i="16"/>
  <c r="D116" i="16"/>
  <c r="H116" i="16" s="1"/>
  <c r="C116" i="16"/>
  <c r="E116" i="16" s="1"/>
  <c r="B116" i="16"/>
  <c r="A116" i="16"/>
  <c r="M116" i="16" s="1"/>
  <c r="D115" i="16"/>
  <c r="C115" i="16"/>
  <c r="B115" i="16"/>
  <c r="A115" i="16"/>
  <c r="E115" i="16" s="1"/>
  <c r="M114" i="16"/>
  <c r="D114" i="16"/>
  <c r="C114" i="16"/>
  <c r="B114" i="16"/>
  <c r="A114" i="16"/>
  <c r="L114" i="16" s="1"/>
  <c r="D113" i="16"/>
  <c r="C113" i="16"/>
  <c r="B113" i="16"/>
  <c r="A113" i="16"/>
  <c r="I112" i="16"/>
  <c r="D112" i="16"/>
  <c r="C112" i="16"/>
  <c r="B112" i="16"/>
  <c r="A112" i="16"/>
  <c r="H112" i="16" s="1"/>
  <c r="K111" i="16"/>
  <c r="J111" i="16"/>
  <c r="D111" i="16"/>
  <c r="C111" i="16"/>
  <c r="B111" i="16"/>
  <c r="A111" i="16"/>
  <c r="D110" i="16"/>
  <c r="C110" i="16"/>
  <c r="B110" i="16"/>
  <c r="A110" i="16"/>
  <c r="D109" i="16"/>
  <c r="C109" i="16"/>
  <c r="B109" i="16"/>
  <c r="A109" i="16"/>
  <c r="J109" i="16" s="1"/>
  <c r="D108" i="16"/>
  <c r="C108" i="16"/>
  <c r="B108" i="16"/>
  <c r="A108" i="16"/>
  <c r="E107" i="16"/>
  <c r="D107" i="16"/>
  <c r="C107" i="16"/>
  <c r="B107" i="16"/>
  <c r="A107" i="16"/>
  <c r="M106" i="16"/>
  <c r="L106" i="16"/>
  <c r="H106" i="16"/>
  <c r="D106" i="16"/>
  <c r="C106" i="16"/>
  <c r="B106" i="16"/>
  <c r="A106" i="16"/>
  <c r="G105" i="16"/>
  <c r="D105" i="16"/>
  <c r="C105" i="16"/>
  <c r="B105" i="16"/>
  <c r="A105" i="16"/>
  <c r="D104" i="16"/>
  <c r="C104" i="16"/>
  <c r="B104" i="16"/>
  <c r="A104" i="16"/>
  <c r="I104" i="16" s="1"/>
  <c r="D103" i="16"/>
  <c r="C103" i="16"/>
  <c r="B103" i="16"/>
  <c r="A103" i="16"/>
  <c r="I103" i="16" s="1"/>
  <c r="D102" i="16"/>
  <c r="C102" i="16"/>
  <c r="B102" i="16"/>
  <c r="A102" i="16"/>
  <c r="J101" i="16"/>
  <c r="I101" i="16"/>
  <c r="E101" i="16"/>
  <c r="D101" i="16"/>
  <c r="C101" i="16"/>
  <c r="B101" i="16"/>
  <c r="A101" i="16"/>
  <c r="K101" i="16" s="1"/>
  <c r="D100" i="16"/>
  <c r="C100" i="16"/>
  <c r="B100" i="16"/>
  <c r="A100" i="16"/>
  <c r="T100" i="16" s="1"/>
  <c r="D99" i="16"/>
  <c r="C99" i="16"/>
  <c r="B99" i="16"/>
  <c r="A99" i="16"/>
  <c r="D98" i="16"/>
  <c r="C98" i="16"/>
  <c r="B98" i="16"/>
  <c r="A98" i="16"/>
  <c r="K98" i="16" s="1"/>
  <c r="D97" i="16"/>
  <c r="C97" i="16"/>
  <c r="B97" i="16"/>
  <c r="A97" i="16"/>
  <c r="M97" i="16" s="1"/>
  <c r="D96" i="16"/>
  <c r="C96" i="16"/>
  <c r="B96" i="16"/>
  <c r="A96" i="16"/>
  <c r="D95" i="16"/>
  <c r="C95" i="16"/>
  <c r="B95" i="16"/>
  <c r="A95" i="16"/>
  <c r="D94" i="16"/>
  <c r="C94" i="16"/>
  <c r="B94" i="16"/>
  <c r="A94" i="16"/>
  <c r="D93" i="16"/>
  <c r="C93" i="16"/>
  <c r="B93" i="16"/>
  <c r="A93" i="16"/>
  <c r="D92" i="16"/>
  <c r="C92" i="16"/>
  <c r="B92" i="16"/>
  <c r="A92" i="16"/>
  <c r="L91" i="16"/>
  <c r="D91" i="16"/>
  <c r="C91" i="16"/>
  <c r="B91" i="16"/>
  <c r="A91" i="16"/>
  <c r="J91" i="16" s="1"/>
  <c r="D90" i="16"/>
  <c r="C90" i="16"/>
  <c r="B90" i="16"/>
  <c r="A90" i="16"/>
  <c r="M90" i="16" s="1"/>
  <c r="M89" i="16"/>
  <c r="I89" i="16"/>
  <c r="D89" i="16"/>
  <c r="C89" i="16"/>
  <c r="B89" i="16"/>
  <c r="A89" i="16"/>
  <c r="H89" i="16" s="1"/>
  <c r="D88" i="16"/>
  <c r="C88" i="16"/>
  <c r="B88" i="16"/>
  <c r="A88" i="16"/>
  <c r="D87" i="16"/>
  <c r="C87" i="16"/>
  <c r="B87" i="16"/>
  <c r="A87" i="16"/>
  <c r="K87" i="16" s="1"/>
  <c r="D86" i="16"/>
  <c r="C86" i="16"/>
  <c r="B86" i="16"/>
  <c r="A86" i="16"/>
  <c r="L85" i="16"/>
  <c r="K85" i="16"/>
  <c r="J85" i="16"/>
  <c r="D85" i="16"/>
  <c r="C85" i="16"/>
  <c r="B85" i="16"/>
  <c r="A85" i="16"/>
  <c r="M85" i="16" s="1"/>
  <c r="D84" i="16"/>
  <c r="C84" i="16"/>
  <c r="B84" i="16"/>
  <c r="A84" i="16"/>
  <c r="M84" i="16" s="1"/>
  <c r="D83" i="16"/>
  <c r="C83" i="16"/>
  <c r="B83" i="16"/>
  <c r="A83" i="16"/>
  <c r="G82" i="16"/>
  <c r="D82" i="16"/>
  <c r="C82" i="16"/>
  <c r="B82" i="16"/>
  <c r="A82" i="16"/>
  <c r="F82" i="16" s="1"/>
  <c r="D81" i="16"/>
  <c r="C81" i="16"/>
  <c r="B81" i="16"/>
  <c r="A81" i="16"/>
  <c r="D80" i="16"/>
  <c r="C80" i="16"/>
  <c r="B80" i="16"/>
  <c r="A80" i="16"/>
  <c r="D79" i="16"/>
  <c r="C79" i="16"/>
  <c r="B79" i="16"/>
  <c r="A79" i="16"/>
  <c r="H79" i="16" s="1"/>
  <c r="D78" i="16"/>
  <c r="C78" i="16"/>
  <c r="B78" i="16"/>
  <c r="A78" i="16"/>
  <c r="D77" i="16"/>
  <c r="C77" i="16"/>
  <c r="B77" i="16"/>
  <c r="A77" i="16"/>
  <c r="D76" i="16"/>
  <c r="C76" i="16"/>
  <c r="B76" i="16"/>
  <c r="A76" i="16"/>
  <c r="D75" i="16"/>
  <c r="C75" i="16"/>
  <c r="B75" i="16"/>
  <c r="A75" i="16"/>
  <c r="G75" i="16" s="1"/>
  <c r="D74" i="16"/>
  <c r="C74" i="16"/>
  <c r="B74" i="16"/>
  <c r="A74" i="16"/>
  <c r="M73" i="16"/>
  <c r="D73" i="16"/>
  <c r="C73" i="16"/>
  <c r="B73" i="16"/>
  <c r="A73" i="16"/>
  <c r="D72" i="16"/>
  <c r="C72" i="16"/>
  <c r="B72" i="16"/>
  <c r="A72" i="16"/>
  <c r="D71" i="16"/>
  <c r="C71" i="16"/>
  <c r="B71" i="16"/>
  <c r="A71" i="16"/>
  <c r="D70" i="16"/>
  <c r="C70" i="16"/>
  <c r="B70" i="16"/>
  <c r="A70" i="16"/>
  <c r="L69" i="16"/>
  <c r="J69" i="16"/>
  <c r="I69" i="16"/>
  <c r="D69" i="16"/>
  <c r="C69" i="16"/>
  <c r="B69" i="16"/>
  <c r="A69" i="16"/>
  <c r="K69" i="16" s="1"/>
  <c r="D68" i="16"/>
  <c r="C68" i="16"/>
  <c r="B68" i="16"/>
  <c r="A68" i="16"/>
  <c r="H68" i="16" s="1"/>
  <c r="L67" i="16"/>
  <c r="D67" i="16"/>
  <c r="C67" i="16"/>
  <c r="B67" i="16"/>
  <c r="A67" i="16"/>
  <c r="M67" i="16" s="1"/>
  <c r="D66" i="16"/>
  <c r="C66" i="16"/>
  <c r="B66" i="16"/>
  <c r="A66" i="16"/>
  <c r="D65" i="16"/>
  <c r="C65" i="16"/>
  <c r="B65" i="16"/>
  <c r="A65" i="16"/>
  <c r="I65" i="16" s="1"/>
  <c r="D64" i="16"/>
  <c r="C64" i="16"/>
  <c r="B64" i="16"/>
  <c r="A64" i="16"/>
  <c r="I64" i="16" s="1"/>
  <c r="M63" i="16"/>
  <c r="D63" i="16"/>
  <c r="C63" i="16"/>
  <c r="B63" i="16"/>
  <c r="A63" i="16"/>
  <c r="I63" i="16" s="1"/>
  <c r="L62" i="16"/>
  <c r="D62" i="16"/>
  <c r="C62" i="16"/>
  <c r="B62" i="16"/>
  <c r="A62" i="16"/>
  <c r="K62" i="16" s="1"/>
  <c r="D61" i="16"/>
  <c r="C61" i="16"/>
  <c r="B61" i="16"/>
  <c r="A61" i="16"/>
  <c r="M60" i="16"/>
  <c r="D60" i="16"/>
  <c r="C60" i="16"/>
  <c r="B60" i="16"/>
  <c r="A60" i="16"/>
  <c r="K59" i="16"/>
  <c r="I59" i="16"/>
  <c r="D59" i="16"/>
  <c r="C59" i="16"/>
  <c r="B59" i="16"/>
  <c r="A59" i="16"/>
  <c r="D58" i="16"/>
  <c r="C58" i="16"/>
  <c r="B58" i="16"/>
  <c r="A58" i="16"/>
  <c r="D57" i="16"/>
  <c r="C57" i="16"/>
  <c r="B57" i="16"/>
  <c r="A57" i="16"/>
  <c r="G56" i="16"/>
  <c r="D56" i="16"/>
  <c r="C56" i="16"/>
  <c r="B56" i="16"/>
  <c r="A56" i="16"/>
  <c r="D55" i="16"/>
  <c r="C55" i="16"/>
  <c r="B55" i="16"/>
  <c r="A55" i="16"/>
  <c r="K54" i="16"/>
  <c r="D54" i="16"/>
  <c r="C54" i="16"/>
  <c r="B54" i="16"/>
  <c r="A54" i="16"/>
  <c r="T53" i="16"/>
  <c r="M53" i="16"/>
  <c r="G53" i="16"/>
  <c r="D53" i="16"/>
  <c r="C53" i="16"/>
  <c r="B53" i="16"/>
  <c r="A53" i="16"/>
  <c r="M52" i="16"/>
  <c r="L52" i="16"/>
  <c r="K52" i="16"/>
  <c r="J52" i="16"/>
  <c r="D52" i="16"/>
  <c r="H52" i="16" s="1"/>
  <c r="C52" i="16"/>
  <c r="B52" i="16"/>
  <c r="A52" i="16"/>
  <c r="T52" i="16" s="1"/>
  <c r="D51" i="16"/>
  <c r="C51" i="16"/>
  <c r="B51" i="16"/>
  <c r="A51" i="16"/>
  <c r="K51" i="16" s="1"/>
  <c r="D50" i="16"/>
  <c r="C50" i="16"/>
  <c r="B50" i="16"/>
  <c r="A50" i="16"/>
  <c r="D49" i="16"/>
  <c r="C49" i="16"/>
  <c r="B49" i="16"/>
  <c r="A49" i="16"/>
  <c r="D48" i="16"/>
  <c r="C48" i="16"/>
  <c r="B48" i="16"/>
  <c r="A48" i="16"/>
  <c r="M47" i="16"/>
  <c r="L47" i="16"/>
  <c r="G47" i="16"/>
  <c r="D47" i="16"/>
  <c r="H47" i="16" s="1"/>
  <c r="C47" i="16"/>
  <c r="B47" i="16"/>
  <c r="A47" i="16"/>
  <c r="K47" i="16" s="1"/>
  <c r="D46" i="16"/>
  <c r="C46" i="16"/>
  <c r="B46" i="16"/>
  <c r="A46" i="16"/>
  <c r="D45" i="16"/>
  <c r="C45" i="16"/>
  <c r="B45" i="16"/>
  <c r="A45" i="16"/>
  <c r="I45" i="16" s="1"/>
  <c r="D44" i="16"/>
  <c r="C44" i="16"/>
  <c r="B44" i="16"/>
  <c r="A44" i="16"/>
  <c r="I43" i="16"/>
  <c r="D43" i="16"/>
  <c r="C43" i="16"/>
  <c r="B43" i="16"/>
  <c r="A43" i="16"/>
  <c r="L42" i="16"/>
  <c r="K42" i="16"/>
  <c r="D42" i="16"/>
  <c r="C42" i="16"/>
  <c r="B42" i="16"/>
  <c r="A42" i="16"/>
  <c r="J42" i="16" s="1"/>
  <c r="L41" i="16"/>
  <c r="K41" i="16"/>
  <c r="J41" i="16"/>
  <c r="D41" i="16"/>
  <c r="C41" i="16"/>
  <c r="B41" i="16"/>
  <c r="A41" i="16"/>
  <c r="T41" i="16" s="1"/>
  <c r="D40" i="16"/>
  <c r="C40" i="16"/>
  <c r="B40" i="16"/>
  <c r="A40" i="16"/>
  <c r="D39" i="16"/>
  <c r="C39" i="16"/>
  <c r="B39" i="16"/>
  <c r="A39" i="16"/>
  <c r="E39" i="16" s="1"/>
  <c r="P39" i="16" s="1"/>
  <c r="H39" i="9" s="1"/>
  <c r="G38" i="16"/>
  <c r="E38" i="16"/>
  <c r="P38" i="16" s="1"/>
  <c r="H38" i="9" s="1"/>
  <c r="D38" i="16"/>
  <c r="C38" i="16"/>
  <c r="B38" i="16"/>
  <c r="A38" i="16"/>
  <c r="D37" i="16"/>
  <c r="C37" i="16"/>
  <c r="B37" i="16"/>
  <c r="A37" i="16"/>
  <c r="I37" i="16" s="1"/>
  <c r="I36" i="16"/>
  <c r="D36" i="16"/>
  <c r="C36" i="16"/>
  <c r="B36" i="16"/>
  <c r="A36" i="16"/>
  <c r="J36" i="16" s="1"/>
  <c r="D35" i="16"/>
  <c r="C35" i="16"/>
  <c r="B35" i="16"/>
  <c r="A35" i="16"/>
  <c r="D34" i="16"/>
  <c r="C34" i="16"/>
  <c r="B34" i="16"/>
  <c r="A34" i="16"/>
  <c r="D33" i="16"/>
  <c r="C33" i="16"/>
  <c r="B33" i="16"/>
  <c r="A33" i="16"/>
  <c r="T33" i="16" s="1"/>
  <c r="K32" i="16"/>
  <c r="D32" i="16"/>
  <c r="C32" i="16"/>
  <c r="B32" i="16"/>
  <c r="A32" i="16"/>
  <c r="L31" i="16"/>
  <c r="G31" i="16"/>
  <c r="D31" i="16"/>
  <c r="H31" i="16" s="1"/>
  <c r="C31" i="16"/>
  <c r="B31" i="16"/>
  <c r="A31" i="16"/>
  <c r="K31" i="16" s="1"/>
  <c r="M30" i="16"/>
  <c r="G30" i="16"/>
  <c r="E30" i="16"/>
  <c r="F30" i="16" s="1"/>
  <c r="D30" i="16"/>
  <c r="C30" i="16"/>
  <c r="B30" i="16"/>
  <c r="A30" i="16"/>
  <c r="L30" i="16" s="1"/>
  <c r="D29" i="16"/>
  <c r="C29" i="16"/>
  <c r="B29" i="16"/>
  <c r="A29" i="16"/>
  <c r="D28" i="16"/>
  <c r="C28" i="16"/>
  <c r="B28" i="16"/>
  <c r="A28" i="16"/>
  <c r="G28" i="16" s="1"/>
  <c r="J27" i="16"/>
  <c r="I27" i="16"/>
  <c r="D27" i="16"/>
  <c r="C27" i="16"/>
  <c r="B27" i="16"/>
  <c r="A27" i="16"/>
  <c r="K27" i="16" s="1"/>
  <c r="D26" i="16"/>
  <c r="C26" i="16"/>
  <c r="B26" i="16"/>
  <c r="A26" i="16"/>
  <c r="K25" i="16"/>
  <c r="J25" i="16"/>
  <c r="D25" i="16"/>
  <c r="C25" i="16"/>
  <c r="B25" i="16"/>
  <c r="A25" i="16"/>
  <c r="L24" i="16"/>
  <c r="K24" i="16"/>
  <c r="D24" i="16"/>
  <c r="C24" i="16"/>
  <c r="E24" i="16" s="1"/>
  <c r="B24" i="16"/>
  <c r="A24" i="16"/>
  <c r="D23" i="16"/>
  <c r="C23" i="16"/>
  <c r="B23" i="16"/>
  <c r="A23" i="16"/>
  <c r="H22" i="16"/>
  <c r="G22" i="16"/>
  <c r="D22" i="16"/>
  <c r="C22" i="16"/>
  <c r="B22" i="16"/>
  <c r="A22" i="16"/>
  <c r="L22" i="16" s="1"/>
  <c r="D21" i="16"/>
  <c r="C21" i="16"/>
  <c r="B21" i="16"/>
  <c r="A21" i="16"/>
  <c r="D20" i="16"/>
  <c r="C20" i="16"/>
  <c r="B20" i="16"/>
  <c r="A20" i="16"/>
  <c r="D19" i="16"/>
  <c r="C19" i="16"/>
  <c r="B19" i="16"/>
  <c r="A19" i="16"/>
  <c r="D18" i="16"/>
  <c r="C18" i="16"/>
  <c r="B18" i="16"/>
  <c r="A18" i="16"/>
  <c r="D17" i="16"/>
  <c r="C17" i="16"/>
  <c r="B17" i="16"/>
  <c r="A17" i="16"/>
  <c r="D16" i="16"/>
  <c r="C16" i="16"/>
  <c r="B16" i="16"/>
  <c r="A16" i="16"/>
  <c r="M15" i="16"/>
  <c r="D15" i="16"/>
  <c r="C15" i="16"/>
  <c r="B15" i="16"/>
  <c r="A15" i="16"/>
  <c r="K15" i="16" s="1"/>
  <c r="D14" i="16"/>
  <c r="C14" i="16"/>
  <c r="B14" i="16"/>
  <c r="A14" i="16"/>
  <c r="L14" i="16" s="1"/>
  <c r="D13" i="16"/>
  <c r="C13" i="16"/>
  <c r="B13" i="16"/>
  <c r="A13" i="16"/>
  <c r="D12" i="16"/>
  <c r="C12" i="16"/>
  <c r="B12" i="16"/>
  <c r="A12" i="16"/>
  <c r="D11" i="16"/>
  <c r="C11" i="16"/>
  <c r="B11" i="16"/>
  <c r="A11" i="16"/>
  <c r="K11" i="16" s="1"/>
  <c r="D10" i="16"/>
  <c r="C10" i="16"/>
  <c r="B10" i="16"/>
  <c r="A10" i="16"/>
  <c r="L10" i="16" s="1"/>
  <c r="K9" i="16"/>
  <c r="D9" i="16"/>
  <c r="C9" i="16"/>
  <c r="B9" i="16"/>
  <c r="A9" i="16"/>
  <c r="M8" i="16"/>
  <c r="K8" i="16"/>
  <c r="D8" i="16"/>
  <c r="C8" i="16"/>
  <c r="B8" i="16"/>
  <c r="A8" i="16"/>
  <c r="D7" i="16"/>
  <c r="C7" i="16"/>
  <c r="B7" i="16"/>
  <c r="A7" i="16"/>
  <c r="F6" i="16"/>
  <c r="D6" i="16"/>
  <c r="C6" i="16"/>
  <c r="B6" i="16"/>
  <c r="A6" i="16"/>
  <c r="D5" i="16"/>
  <c r="C5" i="16"/>
  <c r="B5" i="16"/>
  <c r="A5" i="16"/>
  <c r="I5" i="16" s="1"/>
  <c r="K4" i="16"/>
  <c r="J4" i="16"/>
  <c r="D4" i="16"/>
  <c r="C4" i="16"/>
  <c r="B4" i="16"/>
  <c r="A4" i="16"/>
  <c r="I4" i="16" s="1"/>
  <c r="D3" i="16"/>
  <c r="C3" i="16"/>
  <c r="B3" i="16"/>
  <c r="A3" i="16"/>
  <c r="D2" i="16"/>
  <c r="C2" i="16"/>
  <c r="B2" i="16"/>
  <c r="A2" i="16"/>
  <c r="R1" i="16"/>
  <c r="J2000" i="15"/>
  <c r="F2000" i="15"/>
  <c r="E2000" i="15"/>
  <c r="D2000" i="15"/>
  <c r="C2000" i="15"/>
  <c r="B2000" i="15"/>
  <c r="A2000" i="15"/>
  <c r="O2000" i="15" s="1"/>
  <c r="Z1999" i="15"/>
  <c r="Y1999" i="15"/>
  <c r="F1999" i="15"/>
  <c r="E1999" i="15"/>
  <c r="D1999" i="15"/>
  <c r="C1999" i="15"/>
  <c r="B1999" i="15"/>
  <c r="A1999" i="15"/>
  <c r="AA1998" i="15"/>
  <c r="X1998" i="15"/>
  <c r="W1998" i="15"/>
  <c r="V1998" i="15"/>
  <c r="S1998" i="15"/>
  <c r="O1998" i="15"/>
  <c r="L1998" i="15"/>
  <c r="K1998" i="15"/>
  <c r="F1998" i="15"/>
  <c r="E1998" i="15"/>
  <c r="D1998" i="15"/>
  <c r="C1998" i="15"/>
  <c r="B1998" i="15"/>
  <c r="A1998" i="15"/>
  <c r="AE1997" i="15"/>
  <c r="AC1997" i="15"/>
  <c r="W1997" i="15"/>
  <c r="V1997" i="15"/>
  <c r="U1997" i="15"/>
  <c r="O1997" i="15"/>
  <c r="N1997" i="15"/>
  <c r="H1997" i="15"/>
  <c r="F1997" i="15"/>
  <c r="E1997" i="15"/>
  <c r="D1997" i="15"/>
  <c r="C1997" i="15"/>
  <c r="B1997" i="15"/>
  <c r="A1997" i="15"/>
  <c r="X1997" i="15" s="1"/>
  <c r="P1996" i="15"/>
  <c r="J1996" i="15"/>
  <c r="F1996" i="15"/>
  <c r="E1996" i="15"/>
  <c r="D1996" i="15"/>
  <c r="C1996" i="15"/>
  <c r="B1996" i="15"/>
  <c r="A1996" i="15"/>
  <c r="J1995" i="15"/>
  <c r="F1995" i="15"/>
  <c r="E1995" i="15"/>
  <c r="D1995" i="15"/>
  <c r="C1995" i="15"/>
  <c r="B1995" i="15"/>
  <c r="A1995" i="15"/>
  <c r="K1995" i="15" s="1"/>
  <c r="W1994" i="15"/>
  <c r="L1994" i="15"/>
  <c r="F1994" i="15"/>
  <c r="E1994" i="15"/>
  <c r="D1994" i="15"/>
  <c r="C1994" i="15"/>
  <c r="B1994" i="15"/>
  <c r="A1994" i="15"/>
  <c r="N1993" i="15"/>
  <c r="G1993" i="15"/>
  <c r="F1993" i="15"/>
  <c r="E1993" i="15"/>
  <c r="D1993" i="15"/>
  <c r="C1993" i="15"/>
  <c r="B1993" i="15"/>
  <c r="A1993" i="15"/>
  <c r="F1992" i="15"/>
  <c r="E1992" i="15"/>
  <c r="D1992" i="15"/>
  <c r="C1992" i="15"/>
  <c r="B1992" i="15"/>
  <c r="A1992" i="15"/>
  <c r="S1991" i="15"/>
  <c r="I1991" i="15"/>
  <c r="F1991" i="15"/>
  <c r="E1991" i="15"/>
  <c r="D1991" i="15"/>
  <c r="C1991" i="15"/>
  <c r="B1991" i="15"/>
  <c r="A1991" i="15"/>
  <c r="AE1990" i="15"/>
  <c r="AD1990" i="15"/>
  <c r="AC1990" i="15"/>
  <c r="S1990" i="15"/>
  <c r="N1990" i="15"/>
  <c r="M1990" i="15"/>
  <c r="F1990" i="15"/>
  <c r="E1990" i="15"/>
  <c r="D1990" i="15"/>
  <c r="C1990" i="15"/>
  <c r="B1990" i="15"/>
  <c r="A1990" i="15"/>
  <c r="V1989" i="15"/>
  <c r="M1989" i="15"/>
  <c r="H1989" i="15"/>
  <c r="F1989" i="15"/>
  <c r="E1989" i="15"/>
  <c r="D1989" i="15"/>
  <c r="C1989" i="15"/>
  <c r="B1989" i="15"/>
  <c r="A1989" i="15"/>
  <c r="AG1988" i="15"/>
  <c r="AF1988" i="15"/>
  <c r="AE1988" i="15"/>
  <c r="Z1988" i="15"/>
  <c r="Y1988" i="15"/>
  <c r="Q1988" i="15"/>
  <c r="J1988" i="15"/>
  <c r="I1988" i="15"/>
  <c r="F1988" i="15"/>
  <c r="E1988" i="15"/>
  <c r="D1988" i="15"/>
  <c r="C1988" i="15"/>
  <c r="B1988" i="15"/>
  <c r="A1988" i="15"/>
  <c r="P1988" i="15" s="1"/>
  <c r="F1987" i="15"/>
  <c r="E1987" i="15"/>
  <c r="D1987" i="15"/>
  <c r="C1987" i="15"/>
  <c r="B1987" i="15"/>
  <c r="A1987" i="15"/>
  <c r="S1987" i="15" s="1"/>
  <c r="F1986" i="15"/>
  <c r="E1986" i="15"/>
  <c r="D1986" i="15"/>
  <c r="C1986" i="15"/>
  <c r="B1986" i="15"/>
  <c r="A1986" i="15"/>
  <c r="AE1985" i="15"/>
  <c r="AC1985" i="15"/>
  <c r="X1985" i="15"/>
  <c r="W1985" i="15"/>
  <c r="U1985" i="15"/>
  <c r="P1985" i="15"/>
  <c r="N1985" i="15"/>
  <c r="H1985" i="15"/>
  <c r="G1985" i="15"/>
  <c r="F1985" i="15"/>
  <c r="E1985" i="15"/>
  <c r="D1985" i="15"/>
  <c r="C1985" i="15"/>
  <c r="B1985" i="15"/>
  <c r="A1985" i="15"/>
  <c r="AG1984" i="15"/>
  <c r="AF1984" i="15"/>
  <c r="J1984" i="15"/>
  <c r="I1984" i="15"/>
  <c r="F1984" i="15"/>
  <c r="E1984" i="15"/>
  <c r="D1984" i="15"/>
  <c r="C1984" i="15"/>
  <c r="B1984" i="15"/>
  <c r="A1984" i="15"/>
  <c r="AE1984" i="15" s="1"/>
  <c r="AA1983" i="15"/>
  <c r="Z1983" i="15"/>
  <c r="Y1983" i="15"/>
  <c r="J1983" i="15"/>
  <c r="F1983" i="15"/>
  <c r="E1983" i="15"/>
  <c r="D1983" i="15"/>
  <c r="C1983" i="15"/>
  <c r="B1983" i="15"/>
  <c r="A1983" i="15"/>
  <c r="S1983" i="15" s="1"/>
  <c r="AA1982" i="15"/>
  <c r="X1982" i="15"/>
  <c r="W1982" i="15"/>
  <c r="U1982" i="15"/>
  <c r="L1982" i="15"/>
  <c r="H1982" i="15"/>
  <c r="F1982" i="15"/>
  <c r="E1982" i="15"/>
  <c r="D1982" i="15"/>
  <c r="C1982" i="15"/>
  <c r="B1982" i="15"/>
  <c r="A1982" i="15"/>
  <c r="AD1981" i="15"/>
  <c r="X1981" i="15"/>
  <c r="W1981" i="15"/>
  <c r="V1981" i="15"/>
  <c r="M1981" i="15"/>
  <c r="G1981" i="15"/>
  <c r="F1981" i="15"/>
  <c r="E1981" i="15"/>
  <c r="D1981" i="15"/>
  <c r="C1981" i="15"/>
  <c r="B1981" i="15"/>
  <c r="A1981" i="15"/>
  <c r="F1980" i="15"/>
  <c r="E1980" i="15"/>
  <c r="D1980" i="15"/>
  <c r="C1980" i="15"/>
  <c r="B1980" i="15"/>
  <c r="A1980" i="15"/>
  <c r="J1979" i="15"/>
  <c r="F1979" i="15"/>
  <c r="E1979" i="15"/>
  <c r="D1979" i="15"/>
  <c r="C1979" i="15"/>
  <c r="B1979" i="15"/>
  <c r="A1979" i="15"/>
  <c r="K1979" i="15" s="1"/>
  <c r="AE1978" i="15"/>
  <c r="M1978" i="15"/>
  <c r="L1978" i="15"/>
  <c r="F1978" i="15"/>
  <c r="E1978" i="15"/>
  <c r="D1978" i="15"/>
  <c r="C1978" i="15"/>
  <c r="B1978" i="15"/>
  <c r="A1978" i="15"/>
  <c r="P1977" i="15"/>
  <c r="G1977" i="15"/>
  <c r="F1977" i="15"/>
  <c r="E1977" i="15"/>
  <c r="D1977" i="15"/>
  <c r="C1977" i="15"/>
  <c r="B1977" i="15"/>
  <c r="A1977" i="15"/>
  <c r="F1976" i="15"/>
  <c r="E1976" i="15"/>
  <c r="D1976" i="15"/>
  <c r="C1976" i="15"/>
  <c r="B1976" i="15"/>
  <c r="A1976" i="15"/>
  <c r="J1976" i="15" s="1"/>
  <c r="S1975" i="15"/>
  <c r="I1975" i="15"/>
  <c r="F1975" i="15"/>
  <c r="E1975" i="15"/>
  <c r="D1975" i="15"/>
  <c r="C1975" i="15"/>
  <c r="B1975" i="15"/>
  <c r="A1975" i="15"/>
  <c r="AF1974" i="15"/>
  <c r="AE1974" i="15"/>
  <c r="X1974" i="15"/>
  <c r="V1974" i="15"/>
  <c r="U1974" i="15"/>
  <c r="T1974" i="15"/>
  <c r="S1974" i="15"/>
  <c r="O1974" i="15"/>
  <c r="H1974" i="15"/>
  <c r="G1974" i="15"/>
  <c r="F1974" i="15"/>
  <c r="E1974" i="15"/>
  <c r="D1974" i="15"/>
  <c r="C1974" i="15"/>
  <c r="B1974" i="15"/>
  <c r="A1974" i="15"/>
  <c r="AF1973" i="15"/>
  <c r="AE1973" i="15"/>
  <c r="AC1973" i="15"/>
  <c r="X1973" i="15"/>
  <c r="V1973" i="15"/>
  <c r="P1973" i="15"/>
  <c r="H1973" i="15"/>
  <c r="G1973" i="15"/>
  <c r="F1973" i="15"/>
  <c r="E1973" i="15"/>
  <c r="D1973" i="15"/>
  <c r="C1973" i="15"/>
  <c r="B1973" i="15"/>
  <c r="A1973" i="15"/>
  <c r="AG1972" i="15"/>
  <c r="AF1972" i="15"/>
  <c r="AE1972" i="15"/>
  <c r="Z1972" i="15"/>
  <c r="Y1972" i="15"/>
  <c r="Q1972" i="15"/>
  <c r="J1972" i="15"/>
  <c r="I1972" i="15"/>
  <c r="F1972" i="15"/>
  <c r="E1972" i="15"/>
  <c r="D1972" i="15"/>
  <c r="C1972" i="15"/>
  <c r="B1972" i="15"/>
  <c r="A1972" i="15"/>
  <c r="P1972" i="15" s="1"/>
  <c r="T1971" i="15"/>
  <c r="F1971" i="15"/>
  <c r="E1971" i="15"/>
  <c r="D1971" i="15"/>
  <c r="C1971" i="15"/>
  <c r="B1971" i="15"/>
  <c r="A1971" i="15"/>
  <c r="K1971" i="15" s="1"/>
  <c r="AE1970" i="15"/>
  <c r="AB1970" i="15"/>
  <c r="AA1970" i="15"/>
  <c r="W1970" i="15"/>
  <c r="T1970" i="15"/>
  <c r="S1970" i="15"/>
  <c r="P1970" i="15"/>
  <c r="K1970" i="15"/>
  <c r="G1970" i="15"/>
  <c r="F1970" i="15"/>
  <c r="E1970" i="15"/>
  <c r="D1970" i="15"/>
  <c r="C1970" i="15"/>
  <c r="B1970" i="15"/>
  <c r="A1970" i="15"/>
  <c r="AE1969" i="15"/>
  <c r="AD1969" i="15"/>
  <c r="AC1969" i="15"/>
  <c r="X1969" i="15"/>
  <c r="W1969" i="15"/>
  <c r="P1969" i="15"/>
  <c r="H1969" i="15"/>
  <c r="G1969" i="15"/>
  <c r="F1969" i="15"/>
  <c r="E1969" i="15"/>
  <c r="D1969" i="15"/>
  <c r="C1969" i="15"/>
  <c r="B1969" i="15"/>
  <c r="A1969" i="15"/>
  <c r="AG1968" i="15"/>
  <c r="AF1968" i="15"/>
  <c r="J1968" i="15"/>
  <c r="I1968" i="15"/>
  <c r="F1968" i="15"/>
  <c r="E1968" i="15"/>
  <c r="D1968" i="15"/>
  <c r="C1968" i="15"/>
  <c r="B1968" i="15"/>
  <c r="A1968" i="15"/>
  <c r="AE1968" i="15" s="1"/>
  <c r="AA1967" i="15"/>
  <c r="Y1967" i="15"/>
  <c r="J1967" i="15"/>
  <c r="I1967" i="15"/>
  <c r="F1967" i="15"/>
  <c r="E1967" i="15"/>
  <c r="D1967" i="15"/>
  <c r="C1967" i="15"/>
  <c r="B1967" i="15"/>
  <c r="A1967" i="15"/>
  <c r="Z1967" i="15" s="1"/>
  <c r="AF1966" i="15"/>
  <c r="AE1966" i="15"/>
  <c r="AA1966" i="15"/>
  <c r="W1966" i="15"/>
  <c r="U1966" i="15"/>
  <c r="T1966" i="15"/>
  <c r="P1966" i="15"/>
  <c r="O1966" i="15"/>
  <c r="H1966" i="15"/>
  <c r="F1966" i="15"/>
  <c r="E1966" i="15"/>
  <c r="D1966" i="15"/>
  <c r="C1966" i="15"/>
  <c r="B1966" i="15"/>
  <c r="A1966" i="15"/>
  <c r="AB1966" i="15" s="1"/>
  <c r="P1965" i="15"/>
  <c r="M1965" i="15"/>
  <c r="F1965" i="15"/>
  <c r="E1965" i="15"/>
  <c r="D1965" i="15"/>
  <c r="C1965" i="15"/>
  <c r="B1965" i="15"/>
  <c r="A1965" i="15"/>
  <c r="P1964" i="15"/>
  <c r="I1964" i="15"/>
  <c r="F1964" i="15"/>
  <c r="E1964" i="15"/>
  <c r="D1964" i="15"/>
  <c r="C1964" i="15"/>
  <c r="B1964" i="15"/>
  <c r="A1964" i="15"/>
  <c r="J1963" i="15"/>
  <c r="F1963" i="15"/>
  <c r="E1963" i="15"/>
  <c r="D1963" i="15"/>
  <c r="C1963" i="15"/>
  <c r="B1963" i="15"/>
  <c r="A1963" i="15"/>
  <c r="K1963" i="15" s="1"/>
  <c r="AC1962" i="15"/>
  <c r="AB1962" i="15"/>
  <c r="F1962" i="15"/>
  <c r="E1962" i="15"/>
  <c r="D1962" i="15"/>
  <c r="C1962" i="15"/>
  <c r="B1962" i="15"/>
  <c r="A1962" i="15"/>
  <c r="M1961" i="15"/>
  <c r="G1961" i="15"/>
  <c r="F1961" i="15"/>
  <c r="E1961" i="15"/>
  <c r="D1961" i="15"/>
  <c r="C1961" i="15"/>
  <c r="B1961" i="15"/>
  <c r="A1961" i="15"/>
  <c r="F1960" i="15"/>
  <c r="E1960" i="15"/>
  <c r="D1960" i="15"/>
  <c r="C1960" i="15"/>
  <c r="B1960" i="15"/>
  <c r="A1960" i="15"/>
  <c r="O1960" i="15" s="1"/>
  <c r="J1959" i="15"/>
  <c r="I1959" i="15"/>
  <c r="F1959" i="15"/>
  <c r="E1959" i="15"/>
  <c r="D1959" i="15"/>
  <c r="C1959" i="15"/>
  <c r="B1959" i="15"/>
  <c r="A1959" i="15"/>
  <c r="AF1958" i="15"/>
  <c r="AE1958" i="15"/>
  <c r="AD1958" i="15"/>
  <c r="AB1958" i="15"/>
  <c r="V1958" i="15"/>
  <c r="U1958" i="15"/>
  <c r="T1958" i="15"/>
  <c r="S1958" i="15"/>
  <c r="O1958" i="15"/>
  <c r="M1958" i="15"/>
  <c r="L1958" i="15"/>
  <c r="J1958" i="15"/>
  <c r="H1958" i="15"/>
  <c r="F1958" i="15"/>
  <c r="E1958" i="15"/>
  <c r="D1958" i="15"/>
  <c r="C1958" i="15"/>
  <c r="B1958" i="15"/>
  <c r="A1958" i="15"/>
  <c r="AF1957" i="15"/>
  <c r="AD1957" i="15"/>
  <c r="X1957" i="15"/>
  <c r="V1957" i="15"/>
  <c r="U1957" i="15"/>
  <c r="P1957" i="15"/>
  <c r="G1957" i="15"/>
  <c r="F1957" i="15"/>
  <c r="E1957" i="15"/>
  <c r="D1957" i="15"/>
  <c r="C1957" i="15"/>
  <c r="B1957" i="15"/>
  <c r="A1957" i="15"/>
  <c r="M1957" i="15" s="1"/>
  <c r="AG1956" i="15"/>
  <c r="AE1956" i="15"/>
  <c r="X1956" i="15"/>
  <c r="R1956" i="15"/>
  <c r="Q1956" i="15"/>
  <c r="P1956" i="15"/>
  <c r="H1956" i="15"/>
  <c r="F1956" i="15"/>
  <c r="E1956" i="15"/>
  <c r="D1956" i="15"/>
  <c r="C1956" i="15"/>
  <c r="B1956" i="15"/>
  <c r="A1956" i="15"/>
  <c r="W1956" i="15" s="1"/>
  <c r="AG1955" i="15"/>
  <c r="I1955" i="15"/>
  <c r="F1955" i="15"/>
  <c r="E1955" i="15"/>
  <c r="D1955" i="15"/>
  <c r="C1955" i="15"/>
  <c r="B1955" i="15"/>
  <c r="A1955" i="15"/>
  <c r="AF1954" i="15"/>
  <c r="AD1954" i="15"/>
  <c r="U1954" i="15"/>
  <c r="T1954" i="15"/>
  <c r="S1954" i="15"/>
  <c r="R1954" i="15"/>
  <c r="H1954" i="15"/>
  <c r="G1954" i="15"/>
  <c r="F1954" i="15"/>
  <c r="E1954" i="15"/>
  <c r="D1954" i="15"/>
  <c r="C1954" i="15"/>
  <c r="B1954" i="15"/>
  <c r="A1954" i="15"/>
  <c r="AF1953" i="15"/>
  <c r="AE1953" i="15"/>
  <c r="AD1953" i="15"/>
  <c r="W1953" i="15"/>
  <c r="N1953" i="15"/>
  <c r="M1953" i="15"/>
  <c r="F1953" i="15"/>
  <c r="E1953" i="15"/>
  <c r="D1953" i="15"/>
  <c r="C1953" i="15"/>
  <c r="B1953" i="15"/>
  <c r="A1953" i="15"/>
  <c r="F1952" i="15"/>
  <c r="E1952" i="15"/>
  <c r="D1952" i="15"/>
  <c r="C1952" i="15"/>
  <c r="B1952" i="15"/>
  <c r="A1952" i="15"/>
  <c r="AH1951" i="15"/>
  <c r="Z1951" i="15"/>
  <c r="Y1951" i="15"/>
  <c r="S1951" i="15"/>
  <c r="Q1951" i="15"/>
  <c r="J1951" i="15"/>
  <c r="F1951" i="15"/>
  <c r="E1951" i="15"/>
  <c r="D1951" i="15"/>
  <c r="C1951" i="15"/>
  <c r="B1951" i="15"/>
  <c r="A1951" i="15"/>
  <c r="AH1950" i="15"/>
  <c r="AE1950" i="15"/>
  <c r="AD1950" i="15"/>
  <c r="U1950" i="15"/>
  <c r="T1950" i="15"/>
  <c r="S1950" i="15"/>
  <c r="R1950" i="15"/>
  <c r="H1950" i="15"/>
  <c r="G1950" i="15"/>
  <c r="F1950" i="15"/>
  <c r="E1950" i="15"/>
  <c r="D1950" i="15"/>
  <c r="C1950" i="15"/>
  <c r="B1950" i="15"/>
  <c r="A1950" i="15"/>
  <c r="AF1949" i="15"/>
  <c r="AE1949" i="15"/>
  <c r="AD1949" i="15"/>
  <c r="X1949" i="15"/>
  <c r="W1949" i="15"/>
  <c r="V1949" i="15"/>
  <c r="U1949" i="15"/>
  <c r="P1949" i="15"/>
  <c r="O1949" i="15"/>
  <c r="N1949" i="15"/>
  <c r="H1949" i="15"/>
  <c r="G1949" i="15"/>
  <c r="F1949" i="15"/>
  <c r="E1949" i="15"/>
  <c r="D1949" i="15"/>
  <c r="C1949" i="15"/>
  <c r="B1949" i="15"/>
  <c r="A1949" i="15"/>
  <c r="AB1949" i="15" s="1"/>
  <c r="AG1948" i="15"/>
  <c r="AE1948" i="15"/>
  <c r="X1948" i="15"/>
  <c r="W1948" i="15"/>
  <c r="R1948" i="15"/>
  <c r="P1948" i="15"/>
  <c r="H1948" i="15"/>
  <c r="F1948" i="15"/>
  <c r="E1948" i="15"/>
  <c r="D1948" i="15"/>
  <c r="C1948" i="15"/>
  <c r="B1948" i="15"/>
  <c r="A1948" i="15"/>
  <c r="Q1948" i="15" s="1"/>
  <c r="AG1947" i="15"/>
  <c r="AB1947" i="15"/>
  <c r="AA1947" i="15"/>
  <c r="Z1947" i="15"/>
  <c r="Y1947" i="15"/>
  <c r="J1947" i="15"/>
  <c r="I1947" i="15"/>
  <c r="F1947" i="15"/>
  <c r="E1947" i="15"/>
  <c r="D1947" i="15"/>
  <c r="C1947" i="15"/>
  <c r="B1947" i="15"/>
  <c r="A1947" i="15"/>
  <c r="L1947" i="15" s="1"/>
  <c r="AH1946" i="15"/>
  <c r="AF1946" i="15"/>
  <c r="AD1946" i="15"/>
  <c r="AB1946" i="15"/>
  <c r="AA1946" i="15"/>
  <c r="X1946" i="15"/>
  <c r="W1946" i="15"/>
  <c r="V1946" i="15"/>
  <c r="T1946" i="15"/>
  <c r="R1946" i="15"/>
  <c r="O1946" i="15"/>
  <c r="N1946" i="15"/>
  <c r="M1946" i="15"/>
  <c r="L1946" i="15"/>
  <c r="J1946" i="15"/>
  <c r="F1946" i="15"/>
  <c r="E1946" i="15"/>
  <c r="D1946" i="15"/>
  <c r="C1946" i="15"/>
  <c r="B1946" i="15"/>
  <c r="A1946" i="15"/>
  <c r="AC1946" i="15" s="1"/>
  <c r="AF1945" i="15"/>
  <c r="AC1945" i="15"/>
  <c r="X1945" i="15"/>
  <c r="W1945" i="15"/>
  <c r="V1945" i="15"/>
  <c r="U1945" i="15"/>
  <c r="N1945" i="15"/>
  <c r="H1945" i="15"/>
  <c r="G1945" i="15"/>
  <c r="F1945" i="15"/>
  <c r="E1945" i="15"/>
  <c r="D1945" i="15"/>
  <c r="C1945" i="15"/>
  <c r="B1945" i="15"/>
  <c r="A1945" i="15"/>
  <c r="H1944" i="15"/>
  <c r="F1944" i="15"/>
  <c r="E1944" i="15"/>
  <c r="D1944" i="15"/>
  <c r="C1944" i="15"/>
  <c r="B1944" i="15"/>
  <c r="A1944" i="15"/>
  <c r="AE1944" i="15" s="1"/>
  <c r="AG1943" i="15"/>
  <c r="Z1943" i="15"/>
  <c r="Y1943" i="15"/>
  <c r="T1943" i="15"/>
  <c r="S1943" i="15"/>
  <c r="J1943" i="15"/>
  <c r="F1943" i="15"/>
  <c r="E1943" i="15"/>
  <c r="D1943" i="15"/>
  <c r="C1943" i="15"/>
  <c r="B1943" i="15"/>
  <c r="A1943" i="15"/>
  <c r="R1943" i="15" s="1"/>
  <c r="J1942" i="15"/>
  <c r="G1942" i="15"/>
  <c r="F1942" i="15"/>
  <c r="E1942" i="15"/>
  <c r="D1942" i="15"/>
  <c r="C1942" i="15"/>
  <c r="B1942" i="15"/>
  <c r="A1942" i="15"/>
  <c r="AE1941" i="15"/>
  <c r="AD1941" i="15"/>
  <c r="AC1941" i="15"/>
  <c r="H1941" i="15"/>
  <c r="G1941" i="15"/>
  <c r="F1941" i="15"/>
  <c r="E1941" i="15"/>
  <c r="D1941" i="15"/>
  <c r="C1941" i="15"/>
  <c r="B1941" i="15"/>
  <c r="A1941" i="15"/>
  <c r="AH1940" i="15"/>
  <c r="AG1940" i="15"/>
  <c r="AE1940" i="15"/>
  <c r="O1940" i="15"/>
  <c r="H1940" i="15"/>
  <c r="F1940" i="15"/>
  <c r="E1940" i="15"/>
  <c r="D1940" i="15"/>
  <c r="C1940" i="15"/>
  <c r="B1940" i="15"/>
  <c r="A1940" i="15"/>
  <c r="L1939" i="15"/>
  <c r="J1939" i="15"/>
  <c r="F1939" i="15"/>
  <c r="E1939" i="15"/>
  <c r="D1939" i="15"/>
  <c r="C1939" i="15"/>
  <c r="B1939" i="15"/>
  <c r="A1939" i="15"/>
  <c r="AH1938" i="15"/>
  <c r="X1938" i="15"/>
  <c r="V1938" i="15"/>
  <c r="J1938" i="15"/>
  <c r="G1938" i="15"/>
  <c r="F1938" i="15"/>
  <c r="E1938" i="15"/>
  <c r="D1938" i="15"/>
  <c r="C1938" i="15"/>
  <c r="B1938" i="15"/>
  <c r="A1938" i="15"/>
  <c r="AE1937" i="15"/>
  <c r="AC1937" i="15"/>
  <c r="X1937" i="15"/>
  <c r="N1937" i="15"/>
  <c r="H1937" i="15"/>
  <c r="F1937" i="15"/>
  <c r="E1937" i="15"/>
  <c r="D1937" i="15"/>
  <c r="C1937" i="15"/>
  <c r="B1937" i="15"/>
  <c r="A1937" i="15"/>
  <c r="X1936" i="15"/>
  <c r="J1936" i="15"/>
  <c r="H1936" i="15"/>
  <c r="F1936" i="15"/>
  <c r="E1936" i="15"/>
  <c r="D1936" i="15"/>
  <c r="C1936" i="15"/>
  <c r="B1936" i="15"/>
  <c r="A1936" i="15"/>
  <c r="AH1935" i="15"/>
  <c r="Z1935" i="15"/>
  <c r="J1935" i="15"/>
  <c r="I1935" i="15"/>
  <c r="F1935" i="15"/>
  <c r="E1935" i="15"/>
  <c r="D1935" i="15"/>
  <c r="C1935" i="15"/>
  <c r="B1935" i="15"/>
  <c r="A1935" i="15"/>
  <c r="AH1934" i="15"/>
  <c r="AF1934" i="15"/>
  <c r="AC1934" i="15"/>
  <c r="AA1934" i="15"/>
  <c r="Z1934" i="15"/>
  <c r="X1934" i="15"/>
  <c r="W1934" i="15"/>
  <c r="V1934" i="15"/>
  <c r="S1934" i="15"/>
  <c r="P1934" i="15"/>
  <c r="O1934" i="15"/>
  <c r="N1934" i="15"/>
  <c r="M1934" i="15"/>
  <c r="K1934" i="15"/>
  <c r="H1934" i="15"/>
  <c r="F1934" i="15"/>
  <c r="E1934" i="15"/>
  <c r="D1934" i="15"/>
  <c r="C1934" i="15"/>
  <c r="B1934" i="15"/>
  <c r="A1934" i="15"/>
  <c r="AB1934" i="15" s="1"/>
  <c r="AF1933" i="15"/>
  <c r="AD1933" i="15"/>
  <c r="AC1933" i="15"/>
  <c r="X1933" i="15"/>
  <c r="V1933" i="15"/>
  <c r="U1933" i="15"/>
  <c r="O1933" i="15"/>
  <c r="M1933" i="15"/>
  <c r="H1933" i="15"/>
  <c r="F1933" i="15"/>
  <c r="E1933" i="15"/>
  <c r="D1933" i="15"/>
  <c r="C1933" i="15"/>
  <c r="B1933" i="15"/>
  <c r="A1933" i="15"/>
  <c r="AH1932" i="15"/>
  <c r="AF1932" i="15"/>
  <c r="AE1932" i="15"/>
  <c r="X1932" i="15"/>
  <c r="W1932" i="15"/>
  <c r="R1932" i="15"/>
  <c r="Q1932" i="15"/>
  <c r="P1932" i="15"/>
  <c r="H1932" i="15"/>
  <c r="G1932" i="15"/>
  <c r="F1932" i="15"/>
  <c r="E1932" i="15"/>
  <c r="D1932" i="15"/>
  <c r="C1932" i="15"/>
  <c r="B1932" i="15"/>
  <c r="A1932" i="15"/>
  <c r="AG1932" i="15" s="1"/>
  <c r="AG1931" i="15"/>
  <c r="Q1931" i="15"/>
  <c r="F1931" i="15"/>
  <c r="E1931" i="15"/>
  <c r="D1931" i="15"/>
  <c r="C1931" i="15"/>
  <c r="B1931" i="15"/>
  <c r="A1931" i="15"/>
  <c r="K1931" i="15" s="1"/>
  <c r="U1930" i="15"/>
  <c r="L1930" i="15"/>
  <c r="K1930" i="15"/>
  <c r="F1930" i="15"/>
  <c r="E1930" i="15"/>
  <c r="D1930" i="15"/>
  <c r="C1930" i="15"/>
  <c r="B1930" i="15"/>
  <c r="A1930" i="15"/>
  <c r="AD1929" i="15"/>
  <c r="M1929" i="15"/>
  <c r="G1929" i="15"/>
  <c r="F1929" i="15"/>
  <c r="E1929" i="15"/>
  <c r="D1929" i="15"/>
  <c r="C1929" i="15"/>
  <c r="B1929" i="15"/>
  <c r="A1929" i="15"/>
  <c r="Z1928" i="15"/>
  <c r="X1928" i="15"/>
  <c r="W1928" i="15"/>
  <c r="G1928" i="15"/>
  <c r="F1928" i="15"/>
  <c r="E1928" i="15"/>
  <c r="D1928" i="15"/>
  <c r="C1928" i="15"/>
  <c r="B1928" i="15"/>
  <c r="A1928" i="15"/>
  <c r="H1928" i="15" s="1"/>
  <c r="Y1927" i="15"/>
  <c r="S1927" i="15"/>
  <c r="J1927" i="15"/>
  <c r="I1927" i="15"/>
  <c r="F1927" i="15"/>
  <c r="E1927" i="15"/>
  <c r="D1927" i="15"/>
  <c r="C1927" i="15"/>
  <c r="B1927" i="15"/>
  <c r="A1927" i="15"/>
  <c r="AH1926" i="15"/>
  <c r="AF1926" i="15"/>
  <c r="X1926" i="15"/>
  <c r="W1926" i="15"/>
  <c r="V1926" i="15"/>
  <c r="U1926" i="15"/>
  <c r="S1926" i="15"/>
  <c r="K1926" i="15"/>
  <c r="G1926" i="15"/>
  <c r="F1926" i="15"/>
  <c r="E1926" i="15"/>
  <c r="D1926" i="15"/>
  <c r="C1926" i="15"/>
  <c r="B1926" i="15"/>
  <c r="A1926" i="15"/>
  <c r="AD1925" i="15"/>
  <c r="X1925" i="15"/>
  <c r="W1925" i="15"/>
  <c r="V1925" i="15"/>
  <c r="U1925" i="15"/>
  <c r="M1925" i="15"/>
  <c r="G1925" i="15"/>
  <c r="F1925" i="15"/>
  <c r="E1925" i="15"/>
  <c r="D1925" i="15"/>
  <c r="C1925" i="15"/>
  <c r="B1925" i="15"/>
  <c r="A1925" i="15"/>
  <c r="AG1924" i="15"/>
  <c r="AF1924" i="15"/>
  <c r="AE1924" i="15"/>
  <c r="W1924" i="15"/>
  <c r="R1924" i="15"/>
  <c r="Q1924" i="15"/>
  <c r="P1924" i="15"/>
  <c r="H1924" i="15"/>
  <c r="G1924" i="15"/>
  <c r="F1924" i="15"/>
  <c r="E1924" i="15"/>
  <c r="D1924" i="15"/>
  <c r="C1924" i="15"/>
  <c r="B1924" i="15"/>
  <c r="A1924" i="15"/>
  <c r="X1924" i="15" s="1"/>
  <c r="AG1923" i="15"/>
  <c r="AB1923" i="15"/>
  <c r="F1923" i="15"/>
  <c r="E1923" i="15"/>
  <c r="D1923" i="15"/>
  <c r="C1923" i="15"/>
  <c r="B1923" i="15"/>
  <c r="A1923" i="15"/>
  <c r="AD1922" i="15"/>
  <c r="K1922" i="15"/>
  <c r="J1922" i="15"/>
  <c r="F1922" i="15"/>
  <c r="E1922" i="15"/>
  <c r="D1922" i="15"/>
  <c r="C1922" i="15"/>
  <c r="B1922" i="15"/>
  <c r="A1922" i="15"/>
  <c r="AF1921" i="15"/>
  <c r="AE1921" i="15"/>
  <c r="AD1921" i="15"/>
  <c r="X1921" i="15"/>
  <c r="W1921" i="15"/>
  <c r="V1921" i="15"/>
  <c r="U1921" i="15"/>
  <c r="P1921" i="15"/>
  <c r="O1921" i="15"/>
  <c r="N1921" i="15"/>
  <c r="H1921" i="15"/>
  <c r="G1921" i="15"/>
  <c r="F1921" i="15"/>
  <c r="E1921" i="15"/>
  <c r="D1921" i="15"/>
  <c r="C1921" i="15"/>
  <c r="B1921" i="15"/>
  <c r="A1921" i="15"/>
  <c r="AB1921" i="15" s="1"/>
  <c r="F1920" i="15"/>
  <c r="E1920" i="15"/>
  <c r="D1920" i="15"/>
  <c r="C1920" i="15"/>
  <c r="B1920" i="15"/>
  <c r="A1920" i="15"/>
  <c r="I1920" i="15" s="1"/>
  <c r="Q1919" i="15"/>
  <c r="I1919" i="15"/>
  <c r="F1919" i="15"/>
  <c r="E1919" i="15"/>
  <c r="D1919" i="15"/>
  <c r="C1919" i="15"/>
  <c r="B1919" i="15"/>
  <c r="A1919" i="15"/>
  <c r="AF1918" i="15"/>
  <c r="AE1918" i="15"/>
  <c r="AD1918" i="15"/>
  <c r="AB1918" i="15"/>
  <c r="Z1918" i="15"/>
  <c r="V1918" i="15"/>
  <c r="U1918" i="15"/>
  <c r="T1918" i="15"/>
  <c r="R1918" i="15"/>
  <c r="N1918" i="15"/>
  <c r="M1918" i="15"/>
  <c r="L1918" i="15"/>
  <c r="J1918" i="15"/>
  <c r="G1918" i="15"/>
  <c r="F1918" i="15"/>
  <c r="E1918" i="15"/>
  <c r="D1918" i="15"/>
  <c r="C1918" i="15"/>
  <c r="B1918" i="15"/>
  <c r="A1918" i="15"/>
  <c r="U1917" i="15"/>
  <c r="P1917" i="15"/>
  <c r="F1917" i="15"/>
  <c r="E1917" i="15"/>
  <c r="D1917" i="15"/>
  <c r="C1917" i="15"/>
  <c r="B1917" i="15"/>
  <c r="A1917" i="15"/>
  <c r="AG1916" i="15"/>
  <c r="AF1916" i="15"/>
  <c r="AE1916" i="15"/>
  <c r="X1916" i="15"/>
  <c r="W1916" i="15"/>
  <c r="Q1916" i="15"/>
  <c r="P1916" i="15"/>
  <c r="H1916" i="15"/>
  <c r="G1916" i="15"/>
  <c r="F1916" i="15"/>
  <c r="E1916" i="15"/>
  <c r="D1916" i="15"/>
  <c r="C1916" i="15"/>
  <c r="B1916" i="15"/>
  <c r="A1916" i="15"/>
  <c r="R1916" i="15" s="1"/>
  <c r="AG1915" i="15"/>
  <c r="L1915" i="15"/>
  <c r="I1915" i="15"/>
  <c r="F1915" i="15"/>
  <c r="E1915" i="15"/>
  <c r="D1915" i="15"/>
  <c r="C1915" i="15"/>
  <c r="B1915" i="15"/>
  <c r="A1915" i="15"/>
  <c r="AH1914" i="15"/>
  <c r="AF1914" i="15"/>
  <c r="AD1914" i="15"/>
  <c r="AC1914" i="15"/>
  <c r="AB1914" i="15"/>
  <c r="Z1914" i="15"/>
  <c r="X1914" i="15"/>
  <c r="W1914" i="15"/>
  <c r="V1914" i="15"/>
  <c r="T1914" i="15"/>
  <c r="S1914" i="15"/>
  <c r="P1914" i="15"/>
  <c r="O1914" i="15"/>
  <c r="N1914" i="15"/>
  <c r="M1914" i="15"/>
  <c r="L1914" i="15"/>
  <c r="J1914" i="15"/>
  <c r="G1914" i="15"/>
  <c r="F1914" i="15"/>
  <c r="E1914" i="15"/>
  <c r="D1914" i="15"/>
  <c r="C1914" i="15"/>
  <c r="B1914" i="15"/>
  <c r="A1914" i="15"/>
  <c r="AE1913" i="15"/>
  <c r="AD1913" i="15"/>
  <c r="AC1913" i="15"/>
  <c r="X1913" i="15"/>
  <c r="W1913" i="15"/>
  <c r="H1913" i="15"/>
  <c r="G1913" i="15"/>
  <c r="F1913" i="15"/>
  <c r="E1913" i="15"/>
  <c r="D1913" i="15"/>
  <c r="C1913" i="15"/>
  <c r="B1913" i="15"/>
  <c r="A1913" i="15"/>
  <c r="H1912" i="15"/>
  <c r="F1912" i="15"/>
  <c r="E1912" i="15"/>
  <c r="D1912" i="15"/>
  <c r="C1912" i="15"/>
  <c r="B1912" i="15"/>
  <c r="A1912" i="15"/>
  <c r="AH1911" i="15"/>
  <c r="AG1911" i="15"/>
  <c r="Z1911" i="15"/>
  <c r="Y1911" i="15"/>
  <c r="T1911" i="15"/>
  <c r="R1911" i="15"/>
  <c r="J1911" i="15"/>
  <c r="I1911" i="15"/>
  <c r="F1911" i="15"/>
  <c r="E1911" i="15"/>
  <c r="D1911" i="15"/>
  <c r="C1911" i="15"/>
  <c r="B1911" i="15"/>
  <c r="A1911" i="15"/>
  <c r="S1911" i="15" s="1"/>
  <c r="AH1910" i="15"/>
  <c r="AF1910" i="15"/>
  <c r="AE1910" i="15"/>
  <c r="AD1910" i="15"/>
  <c r="AC1910" i="15"/>
  <c r="AA1910" i="15"/>
  <c r="Z1910" i="15"/>
  <c r="X1910" i="15"/>
  <c r="W1910" i="15"/>
  <c r="V1910" i="15"/>
  <c r="U1910" i="15"/>
  <c r="T1910" i="15"/>
  <c r="R1910" i="15"/>
  <c r="P1910" i="15"/>
  <c r="O1910" i="15"/>
  <c r="N1910" i="15"/>
  <c r="M1910" i="15"/>
  <c r="L1910" i="15"/>
  <c r="K1910" i="15"/>
  <c r="H1910" i="15"/>
  <c r="G1910" i="15"/>
  <c r="F1910" i="15"/>
  <c r="E1910" i="15"/>
  <c r="D1910" i="15"/>
  <c r="C1910" i="15"/>
  <c r="B1910" i="15"/>
  <c r="A1910" i="15"/>
  <c r="AG1910" i="15" s="1"/>
  <c r="AF1909" i="15"/>
  <c r="AE1909" i="15"/>
  <c r="AC1909" i="15"/>
  <c r="W1909" i="15"/>
  <c r="V1909" i="15"/>
  <c r="P1909" i="15"/>
  <c r="O1909" i="15"/>
  <c r="N1909" i="15"/>
  <c r="H1909" i="15"/>
  <c r="F1909" i="15"/>
  <c r="E1909" i="15"/>
  <c r="D1909" i="15"/>
  <c r="C1909" i="15"/>
  <c r="B1909" i="15"/>
  <c r="A1909" i="15"/>
  <c r="X1909" i="15" s="1"/>
  <c r="AH1908" i="15"/>
  <c r="AF1908" i="15"/>
  <c r="X1908" i="15"/>
  <c r="W1908" i="15"/>
  <c r="R1908" i="15"/>
  <c r="Q1908" i="15"/>
  <c r="O1908" i="15"/>
  <c r="F1908" i="15"/>
  <c r="E1908" i="15"/>
  <c r="D1908" i="15"/>
  <c r="C1908" i="15"/>
  <c r="B1908" i="15"/>
  <c r="A1908" i="15"/>
  <c r="AG1908" i="15" s="1"/>
  <c r="AG1907" i="15"/>
  <c r="L1907" i="15"/>
  <c r="J1907" i="15"/>
  <c r="F1907" i="15"/>
  <c r="E1907" i="15"/>
  <c r="D1907" i="15"/>
  <c r="C1907" i="15"/>
  <c r="B1907" i="15"/>
  <c r="A1907" i="15"/>
  <c r="R1906" i="15"/>
  <c r="P1906" i="15"/>
  <c r="F1906" i="15"/>
  <c r="E1906" i="15"/>
  <c r="D1906" i="15"/>
  <c r="C1906" i="15"/>
  <c r="B1906" i="15"/>
  <c r="A1906" i="15"/>
  <c r="F1905" i="15"/>
  <c r="E1905" i="15"/>
  <c r="D1905" i="15"/>
  <c r="C1905" i="15"/>
  <c r="B1905" i="15"/>
  <c r="A1905" i="15"/>
  <c r="Z1904" i="15"/>
  <c r="Y1904" i="15"/>
  <c r="X1904" i="15"/>
  <c r="W1904" i="15"/>
  <c r="H1904" i="15"/>
  <c r="F1904" i="15"/>
  <c r="E1904" i="15"/>
  <c r="D1904" i="15"/>
  <c r="C1904" i="15"/>
  <c r="B1904" i="15"/>
  <c r="A1904" i="15"/>
  <c r="AE1904" i="15" s="1"/>
  <c r="S1903" i="15"/>
  <c r="F1903" i="15"/>
  <c r="E1903" i="15"/>
  <c r="D1903" i="15"/>
  <c r="C1903" i="15"/>
  <c r="B1903" i="15"/>
  <c r="A1903" i="15"/>
  <c r="AF1902" i="15"/>
  <c r="AC1902" i="15"/>
  <c r="AB1902" i="15"/>
  <c r="AA1902" i="15"/>
  <c r="Z1902" i="15"/>
  <c r="X1902" i="15"/>
  <c r="U1902" i="15"/>
  <c r="S1902" i="15"/>
  <c r="R1902" i="15"/>
  <c r="P1902" i="15"/>
  <c r="O1902" i="15"/>
  <c r="N1902" i="15"/>
  <c r="K1902" i="15"/>
  <c r="H1902" i="15"/>
  <c r="G1902" i="15"/>
  <c r="F1902" i="15"/>
  <c r="E1902" i="15"/>
  <c r="D1902" i="15"/>
  <c r="C1902" i="15"/>
  <c r="B1902" i="15"/>
  <c r="A1902" i="15"/>
  <c r="AD1901" i="15"/>
  <c r="N1901" i="15"/>
  <c r="F1901" i="15"/>
  <c r="E1901" i="15"/>
  <c r="D1901" i="15"/>
  <c r="C1901" i="15"/>
  <c r="B1901" i="15"/>
  <c r="A1901" i="15"/>
  <c r="AG1900" i="15"/>
  <c r="AF1900" i="15"/>
  <c r="AE1900" i="15"/>
  <c r="W1900" i="15"/>
  <c r="Q1900" i="15"/>
  <c r="H1900" i="15"/>
  <c r="G1900" i="15"/>
  <c r="F1900" i="15"/>
  <c r="E1900" i="15"/>
  <c r="D1900" i="15"/>
  <c r="C1900" i="15"/>
  <c r="B1900" i="15"/>
  <c r="A1900" i="15"/>
  <c r="AG1899" i="15"/>
  <c r="Q1899" i="15"/>
  <c r="F1899" i="15"/>
  <c r="E1899" i="15"/>
  <c r="D1899" i="15"/>
  <c r="C1899" i="15"/>
  <c r="B1899" i="15"/>
  <c r="A1899" i="15"/>
  <c r="K1899" i="15" s="1"/>
  <c r="F1898" i="15"/>
  <c r="E1898" i="15"/>
  <c r="D1898" i="15"/>
  <c r="C1898" i="15"/>
  <c r="B1898" i="15"/>
  <c r="A1898" i="15"/>
  <c r="N1898" i="15" s="1"/>
  <c r="F1897" i="15"/>
  <c r="E1897" i="15"/>
  <c r="D1897" i="15"/>
  <c r="C1897" i="15"/>
  <c r="B1897" i="15"/>
  <c r="A1897" i="15"/>
  <c r="V1897" i="15" s="1"/>
  <c r="AE1896" i="15"/>
  <c r="Y1896" i="15"/>
  <c r="X1896" i="15"/>
  <c r="W1896" i="15"/>
  <c r="J1896" i="15"/>
  <c r="H1896" i="15"/>
  <c r="F1896" i="15"/>
  <c r="E1896" i="15"/>
  <c r="D1896" i="15"/>
  <c r="C1896" i="15"/>
  <c r="B1896" i="15"/>
  <c r="A1896" i="15"/>
  <c r="Z1896" i="15" s="1"/>
  <c r="AH1895" i="15"/>
  <c r="AG1895" i="15"/>
  <c r="Z1895" i="15"/>
  <c r="Y1895" i="15"/>
  <c r="T1895" i="15"/>
  <c r="S1895" i="15"/>
  <c r="R1895" i="15"/>
  <c r="J1895" i="15"/>
  <c r="I1895" i="15"/>
  <c r="F1895" i="15"/>
  <c r="E1895" i="15"/>
  <c r="D1895" i="15"/>
  <c r="C1895" i="15"/>
  <c r="B1895" i="15"/>
  <c r="A1895" i="15"/>
  <c r="Q1895" i="15" s="1"/>
  <c r="L1894" i="15"/>
  <c r="K1894" i="15"/>
  <c r="F1894" i="15"/>
  <c r="E1894" i="15"/>
  <c r="D1894" i="15"/>
  <c r="C1894" i="15"/>
  <c r="B1894" i="15"/>
  <c r="A1894" i="15"/>
  <c r="U1893" i="15"/>
  <c r="F1893" i="15"/>
  <c r="E1893" i="15"/>
  <c r="D1893" i="15"/>
  <c r="C1893" i="15"/>
  <c r="B1893" i="15"/>
  <c r="A1893" i="15"/>
  <c r="AG1892" i="15"/>
  <c r="AF1892" i="15"/>
  <c r="AE1892" i="15"/>
  <c r="X1892" i="15"/>
  <c r="R1892" i="15"/>
  <c r="P1892" i="15"/>
  <c r="H1892" i="15"/>
  <c r="G1892" i="15"/>
  <c r="F1892" i="15"/>
  <c r="E1892" i="15"/>
  <c r="D1892" i="15"/>
  <c r="C1892" i="15"/>
  <c r="B1892" i="15"/>
  <c r="A1892" i="15"/>
  <c r="W1892" i="15" s="1"/>
  <c r="F1891" i="15"/>
  <c r="E1891" i="15"/>
  <c r="D1891" i="15"/>
  <c r="C1891" i="15"/>
  <c r="B1891" i="15"/>
  <c r="A1891" i="15"/>
  <c r="AF1890" i="15"/>
  <c r="AD1890" i="15"/>
  <c r="AC1890" i="15"/>
  <c r="AB1890" i="15"/>
  <c r="X1890" i="15"/>
  <c r="W1890" i="15"/>
  <c r="U1890" i="15"/>
  <c r="S1890" i="15"/>
  <c r="P1890" i="15"/>
  <c r="N1890" i="15"/>
  <c r="M1890" i="15"/>
  <c r="L1890" i="15"/>
  <c r="H1890" i="15"/>
  <c r="F1890" i="15"/>
  <c r="E1890" i="15"/>
  <c r="D1890" i="15"/>
  <c r="C1890" i="15"/>
  <c r="B1890" i="15"/>
  <c r="A1890" i="15"/>
  <c r="AE1890" i="15" s="1"/>
  <c r="AF1889" i="15"/>
  <c r="AE1889" i="15"/>
  <c r="AD1889" i="15"/>
  <c r="X1889" i="15"/>
  <c r="W1889" i="15"/>
  <c r="V1889" i="15"/>
  <c r="U1889" i="15"/>
  <c r="P1889" i="15"/>
  <c r="O1889" i="15"/>
  <c r="N1889" i="15"/>
  <c r="H1889" i="15"/>
  <c r="G1889" i="15"/>
  <c r="F1889" i="15"/>
  <c r="E1889" i="15"/>
  <c r="D1889" i="15"/>
  <c r="C1889" i="15"/>
  <c r="B1889" i="15"/>
  <c r="A1889" i="15"/>
  <c r="AB1889" i="15" s="1"/>
  <c r="H1888" i="15"/>
  <c r="G1888" i="15"/>
  <c r="F1888" i="15"/>
  <c r="E1888" i="15"/>
  <c r="D1888" i="15"/>
  <c r="C1888" i="15"/>
  <c r="B1888" i="15"/>
  <c r="A1888" i="15"/>
  <c r="J1887" i="15"/>
  <c r="I1887" i="15"/>
  <c r="F1887" i="15"/>
  <c r="E1887" i="15"/>
  <c r="D1887" i="15"/>
  <c r="C1887" i="15"/>
  <c r="B1887" i="15"/>
  <c r="A1887" i="15"/>
  <c r="AF1886" i="15"/>
  <c r="AE1886" i="15"/>
  <c r="AD1886" i="15"/>
  <c r="V1886" i="15"/>
  <c r="U1886" i="15"/>
  <c r="T1886" i="15"/>
  <c r="S1886" i="15"/>
  <c r="P1886" i="15"/>
  <c r="M1886" i="15"/>
  <c r="G1886" i="15"/>
  <c r="F1886" i="15"/>
  <c r="E1886" i="15"/>
  <c r="D1886" i="15"/>
  <c r="C1886" i="15"/>
  <c r="B1886" i="15"/>
  <c r="A1886" i="15"/>
  <c r="X1886" i="15" s="1"/>
  <c r="AF1885" i="15"/>
  <c r="AE1885" i="15"/>
  <c r="AD1885" i="15"/>
  <c r="X1885" i="15"/>
  <c r="W1885" i="15"/>
  <c r="V1885" i="15"/>
  <c r="U1885" i="15"/>
  <c r="P1885" i="15"/>
  <c r="O1885" i="15"/>
  <c r="N1885" i="15"/>
  <c r="H1885" i="15"/>
  <c r="G1885" i="15"/>
  <c r="F1885" i="15"/>
  <c r="E1885" i="15"/>
  <c r="D1885" i="15"/>
  <c r="C1885" i="15"/>
  <c r="B1885" i="15"/>
  <c r="A1885" i="15"/>
  <c r="AB1885" i="15" s="1"/>
  <c r="AH1884" i="15"/>
  <c r="AG1884" i="15"/>
  <c r="AE1884" i="15"/>
  <c r="W1884" i="15"/>
  <c r="R1884" i="15"/>
  <c r="H1884" i="15"/>
  <c r="F1884" i="15"/>
  <c r="E1884" i="15"/>
  <c r="D1884" i="15"/>
  <c r="C1884" i="15"/>
  <c r="B1884" i="15"/>
  <c r="A1884" i="15"/>
  <c r="O1884" i="15" s="1"/>
  <c r="F1883" i="15"/>
  <c r="E1883" i="15"/>
  <c r="D1883" i="15"/>
  <c r="C1883" i="15"/>
  <c r="B1883" i="15"/>
  <c r="A1883" i="15"/>
  <c r="AF1882" i="15"/>
  <c r="X1882" i="15"/>
  <c r="V1882" i="15"/>
  <c r="U1882" i="15"/>
  <c r="T1882" i="15"/>
  <c r="S1882" i="15"/>
  <c r="H1882" i="15"/>
  <c r="G1882" i="15"/>
  <c r="F1882" i="15"/>
  <c r="E1882" i="15"/>
  <c r="D1882" i="15"/>
  <c r="C1882" i="15"/>
  <c r="B1882" i="15"/>
  <c r="A1882" i="15"/>
  <c r="AF1881" i="15"/>
  <c r="AE1881" i="15"/>
  <c r="AD1881" i="15"/>
  <c r="X1881" i="15"/>
  <c r="U1881" i="15"/>
  <c r="N1881" i="15"/>
  <c r="M1881" i="15"/>
  <c r="F1881" i="15"/>
  <c r="E1881" i="15"/>
  <c r="D1881" i="15"/>
  <c r="C1881" i="15"/>
  <c r="B1881" i="15"/>
  <c r="A1881" i="15"/>
  <c r="AH1880" i="15"/>
  <c r="AF1880" i="15"/>
  <c r="AE1880" i="15"/>
  <c r="X1880" i="15"/>
  <c r="W1880" i="15"/>
  <c r="R1880" i="15"/>
  <c r="Q1880" i="15"/>
  <c r="P1880" i="15"/>
  <c r="H1880" i="15"/>
  <c r="G1880" i="15"/>
  <c r="F1880" i="15"/>
  <c r="E1880" i="15"/>
  <c r="D1880" i="15"/>
  <c r="C1880" i="15"/>
  <c r="B1880" i="15"/>
  <c r="A1880" i="15"/>
  <c r="AG1880" i="15" s="1"/>
  <c r="J1879" i="15"/>
  <c r="I1879" i="15"/>
  <c r="F1879" i="15"/>
  <c r="E1879" i="15"/>
  <c r="D1879" i="15"/>
  <c r="C1879" i="15"/>
  <c r="B1879" i="15"/>
  <c r="A1879" i="15"/>
  <c r="AD1878" i="15"/>
  <c r="AB1878" i="15"/>
  <c r="AA1878" i="15"/>
  <c r="X1878" i="15"/>
  <c r="N1878" i="15"/>
  <c r="K1878" i="15"/>
  <c r="H1878" i="15"/>
  <c r="F1878" i="15"/>
  <c r="E1878" i="15"/>
  <c r="D1878" i="15"/>
  <c r="C1878" i="15"/>
  <c r="B1878" i="15"/>
  <c r="A1878" i="15"/>
  <c r="AF1877" i="15"/>
  <c r="AD1877" i="15"/>
  <c r="X1877" i="15"/>
  <c r="V1877" i="15"/>
  <c r="U1877" i="15"/>
  <c r="P1877" i="15"/>
  <c r="O1877" i="15"/>
  <c r="M1877" i="15"/>
  <c r="F1877" i="15"/>
  <c r="E1877" i="15"/>
  <c r="D1877" i="15"/>
  <c r="C1877" i="15"/>
  <c r="B1877" i="15"/>
  <c r="A1877" i="15"/>
  <c r="AC1877" i="15" s="1"/>
  <c r="AH1876" i="15"/>
  <c r="AF1876" i="15"/>
  <c r="AE1876" i="15"/>
  <c r="X1876" i="15"/>
  <c r="W1876" i="15"/>
  <c r="R1876" i="15"/>
  <c r="Q1876" i="15"/>
  <c r="P1876" i="15"/>
  <c r="H1876" i="15"/>
  <c r="G1876" i="15"/>
  <c r="F1876" i="15"/>
  <c r="E1876" i="15"/>
  <c r="D1876" i="15"/>
  <c r="C1876" i="15"/>
  <c r="B1876" i="15"/>
  <c r="A1876" i="15"/>
  <c r="AG1876" i="15" s="1"/>
  <c r="K1875" i="15"/>
  <c r="F1875" i="15"/>
  <c r="E1875" i="15"/>
  <c r="D1875" i="15"/>
  <c r="C1875" i="15"/>
  <c r="B1875" i="15"/>
  <c r="A1875" i="15"/>
  <c r="U1874" i="15"/>
  <c r="K1874" i="15"/>
  <c r="H1874" i="15"/>
  <c r="F1874" i="15"/>
  <c r="E1874" i="15"/>
  <c r="D1874" i="15"/>
  <c r="C1874" i="15"/>
  <c r="B1874" i="15"/>
  <c r="A1874" i="15"/>
  <c r="AF1873" i="15"/>
  <c r="AD1873" i="15"/>
  <c r="X1873" i="15"/>
  <c r="W1873" i="15"/>
  <c r="M1873" i="15"/>
  <c r="G1873" i="15"/>
  <c r="F1873" i="15"/>
  <c r="E1873" i="15"/>
  <c r="D1873" i="15"/>
  <c r="C1873" i="15"/>
  <c r="B1873" i="15"/>
  <c r="A1873" i="15"/>
  <c r="W1872" i="15"/>
  <c r="R1872" i="15"/>
  <c r="F1872" i="15"/>
  <c r="E1872" i="15"/>
  <c r="D1872" i="15"/>
  <c r="C1872" i="15"/>
  <c r="B1872" i="15"/>
  <c r="A1872" i="15"/>
  <c r="F1871" i="15"/>
  <c r="E1871" i="15"/>
  <c r="D1871" i="15"/>
  <c r="C1871" i="15"/>
  <c r="B1871" i="15"/>
  <c r="A1871" i="15"/>
  <c r="J1871" i="15" s="1"/>
  <c r="AE1870" i="15"/>
  <c r="AC1870" i="15"/>
  <c r="X1870" i="15"/>
  <c r="W1870" i="15"/>
  <c r="T1870" i="15"/>
  <c r="P1870" i="15"/>
  <c r="O1870" i="15"/>
  <c r="N1870" i="15"/>
  <c r="G1870" i="15"/>
  <c r="F1870" i="15"/>
  <c r="E1870" i="15"/>
  <c r="D1870" i="15"/>
  <c r="C1870" i="15"/>
  <c r="B1870" i="15"/>
  <c r="A1870" i="15"/>
  <c r="AA1870" i="15" s="1"/>
  <c r="AE1869" i="15"/>
  <c r="AC1869" i="15"/>
  <c r="X1869" i="15"/>
  <c r="W1869" i="15"/>
  <c r="U1869" i="15"/>
  <c r="P1869" i="15"/>
  <c r="N1869" i="15"/>
  <c r="H1869" i="15"/>
  <c r="G1869" i="15"/>
  <c r="F1869" i="15"/>
  <c r="E1869" i="15"/>
  <c r="D1869" i="15"/>
  <c r="C1869" i="15"/>
  <c r="B1869" i="15"/>
  <c r="A1869" i="15"/>
  <c r="AH1868" i="15"/>
  <c r="AG1868" i="15"/>
  <c r="AE1868" i="15"/>
  <c r="X1868" i="15"/>
  <c r="W1868" i="15"/>
  <c r="Q1868" i="15"/>
  <c r="O1868" i="15"/>
  <c r="G1868" i="15"/>
  <c r="F1868" i="15"/>
  <c r="E1868" i="15"/>
  <c r="D1868" i="15"/>
  <c r="C1868" i="15"/>
  <c r="B1868" i="15"/>
  <c r="A1868" i="15"/>
  <c r="F1867" i="15"/>
  <c r="E1867" i="15"/>
  <c r="D1867" i="15"/>
  <c r="C1867" i="15"/>
  <c r="B1867" i="15"/>
  <c r="A1867" i="15"/>
  <c r="K1867" i="15" s="1"/>
  <c r="AF1866" i="15"/>
  <c r="AD1866" i="15"/>
  <c r="AC1866" i="15"/>
  <c r="AB1866" i="15"/>
  <c r="AA1866" i="15"/>
  <c r="X1866" i="15"/>
  <c r="W1866" i="15"/>
  <c r="V1866" i="15"/>
  <c r="T1866" i="15"/>
  <c r="S1866" i="15"/>
  <c r="P1866" i="15"/>
  <c r="O1866" i="15"/>
  <c r="N1866" i="15"/>
  <c r="M1866" i="15"/>
  <c r="L1866" i="15"/>
  <c r="H1866" i="15"/>
  <c r="G1866" i="15"/>
  <c r="F1866" i="15"/>
  <c r="E1866" i="15"/>
  <c r="D1866" i="15"/>
  <c r="C1866" i="15"/>
  <c r="B1866" i="15"/>
  <c r="A1866" i="15"/>
  <c r="AH1866" i="15" s="1"/>
  <c r="AF1865" i="15"/>
  <c r="AE1865" i="15"/>
  <c r="AC1865" i="15"/>
  <c r="X1865" i="15"/>
  <c r="W1865" i="15"/>
  <c r="V1865" i="15"/>
  <c r="P1865" i="15"/>
  <c r="O1865" i="15"/>
  <c r="N1865" i="15"/>
  <c r="H1865" i="15"/>
  <c r="G1865" i="15"/>
  <c r="F1865" i="15"/>
  <c r="E1865" i="15"/>
  <c r="D1865" i="15"/>
  <c r="C1865" i="15"/>
  <c r="B1865" i="15"/>
  <c r="A1865" i="15"/>
  <c r="AH1864" i="15"/>
  <c r="AG1864" i="15"/>
  <c r="AF1864" i="15"/>
  <c r="X1864" i="15"/>
  <c r="W1864" i="15"/>
  <c r="R1864" i="15"/>
  <c r="Q1864" i="15"/>
  <c r="O1864" i="15"/>
  <c r="H1864" i="15"/>
  <c r="F1864" i="15"/>
  <c r="E1864" i="15"/>
  <c r="D1864" i="15"/>
  <c r="C1864" i="15"/>
  <c r="B1864" i="15"/>
  <c r="A1864" i="15"/>
  <c r="J1863" i="15"/>
  <c r="F1863" i="15"/>
  <c r="E1863" i="15"/>
  <c r="D1863" i="15"/>
  <c r="C1863" i="15"/>
  <c r="B1863" i="15"/>
  <c r="A1863" i="15"/>
  <c r="I1863" i="15" s="1"/>
  <c r="AF1862" i="15"/>
  <c r="AD1862" i="15"/>
  <c r="AC1862" i="15"/>
  <c r="AB1862" i="15"/>
  <c r="AA1862" i="15"/>
  <c r="X1862" i="15"/>
  <c r="W1862" i="15"/>
  <c r="V1862" i="15"/>
  <c r="T1862" i="15"/>
  <c r="S1862" i="15"/>
  <c r="P1862" i="15"/>
  <c r="O1862" i="15"/>
  <c r="N1862" i="15"/>
  <c r="M1862" i="15"/>
  <c r="L1862" i="15"/>
  <c r="H1862" i="15"/>
  <c r="G1862" i="15"/>
  <c r="F1862" i="15"/>
  <c r="E1862" i="15"/>
  <c r="D1862" i="15"/>
  <c r="C1862" i="15"/>
  <c r="B1862" i="15"/>
  <c r="A1862" i="15"/>
  <c r="AH1862" i="15" s="1"/>
  <c r="AD1861" i="15"/>
  <c r="AC1861" i="15"/>
  <c r="X1861" i="15"/>
  <c r="W1861" i="15"/>
  <c r="V1861" i="15"/>
  <c r="O1861" i="15"/>
  <c r="H1861" i="15"/>
  <c r="G1861" i="15"/>
  <c r="F1861" i="15"/>
  <c r="E1861" i="15"/>
  <c r="D1861" i="15"/>
  <c r="C1861" i="15"/>
  <c r="B1861" i="15"/>
  <c r="A1861" i="15"/>
  <c r="AF1861" i="15" s="1"/>
  <c r="X1860" i="15"/>
  <c r="P1860" i="15"/>
  <c r="O1860" i="15"/>
  <c r="F1860" i="15"/>
  <c r="E1860" i="15"/>
  <c r="D1860" i="15"/>
  <c r="C1860" i="15"/>
  <c r="B1860" i="15"/>
  <c r="A1860" i="15"/>
  <c r="K1859" i="15"/>
  <c r="F1859" i="15"/>
  <c r="E1859" i="15"/>
  <c r="D1859" i="15"/>
  <c r="C1859" i="15"/>
  <c r="B1859" i="15"/>
  <c r="A1859" i="15"/>
  <c r="AF1858" i="15"/>
  <c r="AE1858" i="15"/>
  <c r="AA1858" i="15"/>
  <c r="W1858" i="15"/>
  <c r="U1858" i="15"/>
  <c r="S1858" i="15"/>
  <c r="P1858" i="15"/>
  <c r="O1858" i="15"/>
  <c r="L1858" i="15"/>
  <c r="G1858" i="15"/>
  <c r="F1858" i="15"/>
  <c r="E1858" i="15"/>
  <c r="D1858" i="15"/>
  <c r="C1858" i="15"/>
  <c r="B1858" i="15"/>
  <c r="A1858" i="15"/>
  <c r="AB1858" i="15" s="1"/>
  <c r="F1857" i="15"/>
  <c r="E1857" i="15"/>
  <c r="D1857" i="15"/>
  <c r="C1857" i="15"/>
  <c r="B1857" i="15"/>
  <c r="A1857" i="15"/>
  <c r="V1857" i="15" s="1"/>
  <c r="AE1856" i="15"/>
  <c r="P1856" i="15"/>
  <c r="H1856" i="15"/>
  <c r="F1856" i="15"/>
  <c r="E1856" i="15"/>
  <c r="D1856" i="15"/>
  <c r="C1856" i="15"/>
  <c r="B1856" i="15"/>
  <c r="A1856" i="15"/>
  <c r="F1855" i="15"/>
  <c r="E1855" i="15"/>
  <c r="D1855" i="15"/>
  <c r="C1855" i="15"/>
  <c r="B1855" i="15"/>
  <c r="A1855" i="15"/>
  <c r="AF1854" i="15"/>
  <c r="AA1854" i="15"/>
  <c r="W1854" i="15"/>
  <c r="V1854" i="15"/>
  <c r="U1854" i="15"/>
  <c r="S1854" i="15"/>
  <c r="P1854" i="15"/>
  <c r="K1854" i="15"/>
  <c r="G1854" i="15"/>
  <c r="F1854" i="15"/>
  <c r="E1854" i="15"/>
  <c r="D1854" i="15"/>
  <c r="C1854" i="15"/>
  <c r="B1854" i="15"/>
  <c r="A1854" i="15"/>
  <c r="AE1853" i="15"/>
  <c r="AD1853" i="15"/>
  <c r="AC1853" i="15"/>
  <c r="X1853" i="15"/>
  <c r="V1853" i="15"/>
  <c r="O1853" i="15"/>
  <c r="H1853" i="15"/>
  <c r="G1853" i="15"/>
  <c r="F1853" i="15"/>
  <c r="E1853" i="15"/>
  <c r="D1853" i="15"/>
  <c r="C1853" i="15"/>
  <c r="B1853" i="15"/>
  <c r="A1853" i="15"/>
  <c r="F1852" i="15"/>
  <c r="E1852" i="15"/>
  <c r="D1852" i="15"/>
  <c r="C1852" i="15"/>
  <c r="B1852" i="15"/>
  <c r="A1852" i="15"/>
  <c r="F1851" i="15"/>
  <c r="E1851" i="15"/>
  <c r="D1851" i="15"/>
  <c r="C1851" i="15"/>
  <c r="B1851" i="15"/>
  <c r="A1851" i="15"/>
  <c r="K1851" i="15" s="1"/>
  <c r="AF1850" i="15"/>
  <c r="X1850" i="15"/>
  <c r="W1850" i="15"/>
  <c r="V1850" i="15"/>
  <c r="U1850" i="15"/>
  <c r="T1850" i="15"/>
  <c r="O1850" i="15"/>
  <c r="K1850" i="15"/>
  <c r="H1850" i="15"/>
  <c r="F1850" i="15"/>
  <c r="E1850" i="15"/>
  <c r="D1850" i="15"/>
  <c r="C1850" i="15"/>
  <c r="B1850" i="15"/>
  <c r="A1850" i="15"/>
  <c r="AF1849" i="15"/>
  <c r="AD1849" i="15"/>
  <c r="AC1849" i="15"/>
  <c r="W1849" i="15"/>
  <c r="U1849" i="15"/>
  <c r="P1849" i="15"/>
  <c r="H1849" i="15"/>
  <c r="F1849" i="15"/>
  <c r="E1849" i="15"/>
  <c r="D1849" i="15"/>
  <c r="C1849" i="15"/>
  <c r="B1849" i="15"/>
  <c r="A1849" i="15"/>
  <c r="M1849" i="15" s="1"/>
  <c r="X1848" i="15"/>
  <c r="P1848" i="15"/>
  <c r="O1848" i="15"/>
  <c r="F1848" i="15"/>
  <c r="E1848" i="15"/>
  <c r="D1848" i="15"/>
  <c r="C1848" i="15"/>
  <c r="B1848" i="15"/>
  <c r="A1848" i="15"/>
  <c r="I1847" i="15"/>
  <c r="F1847" i="15"/>
  <c r="E1847" i="15"/>
  <c r="D1847" i="15"/>
  <c r="C1847" i="15"/>
  <c r="B1847" i="15"/>
  <c r="A1847" i="15"/>
  <c r="J1847" i="15" s="1"/>
  <c r="O1846" i="15"/>
  <c r="M1846" i="15"/>
  <c r="F1846" i="15"/>
  <c r="E1846" i="15"/>
  <c r="D1846" i="15"/>
  <c r="C1846" i="15"/>
  <c r="B1846" i="15"/>
  <c r="A1846" i="15"/>
  <c r="AF1845" i="15"/>
  <c r="AC1845" i="15"/>
  <c r="W1845" i="15"/>
  <c r="V1845" i="15"/>
  <c r="U1845" i="15"/>
  <c r="P1845" i="15"/>
  <c r="N1845" i="15"/>
  <c r="H1845" i="15"/>
  <c r="F1845" i="15"/>
  <c r="E1845" i="15"/>
  <c r="D1845" i="15"/>
  <c r="C1845" i="15"/>
  <c r="B1845" i="15"/>
  <c r="A1845" i="15"/>
  <c r="X1845" i="15" s="1"/>
  <c r="AH1844" i="15"/>
  <c r="AF1844" i="15"/>
  <c r="O1844" i="15"/>
  <c r="G1844" i="15"/>
  <c r="F1844" i="15"/>
  <c r="E1844" i="15"/>
  <c r="D1844" i="15"/>
  <c r="C1844" i="15"/>
  <c r="B1844" i="15"/>
  <c r="A1844" i="15"/>
  <c r="F1843" i="15"/>
  <c r="E1843" i="15"/>
  <c r="D1843" i="15"/>
  <c r="C1843" i="15"/>
  <c r="B1843" i="15"/>
  <c r="A1843" i="15"/>
  <c r="K1843" i="15" s="1"/>
  <c r="AF1842" i="15"/>
  <c r="AD1842" i="15"/>
  <c r="AC1842" i="15"/>
  <c r="AA1842" i="15"/>
  <c r="X1842" i="15"/>
  <c r="W1842" i="15"/>
  <c r="U1842" i="15"/>
  <c r="S1842" i="15"/>
  <c r="O1842" i="15"/>
  <c r="N1842" i="15"/>
  <c r="M1842" i="15"/>
  <c r="L1842" i="15"/>
  <c r="H1842" i="15"/>
  <c r="F1842" i="15"/>
  <c r="E1842" i="15"/>
  <c r="D1842" i="15"/>
  <c r="C1842" i="15"/>
  <c r="B1842" i="15"/>
  <c r="A1842" i="15"/>
  <c r="AE1842" i="15" s="1"/>
  <c r="AF1841" i="15"/>
  <c r="AC1841" i="15"/>
  <c r="X1841" i="15"/>
  <c r="W1841" i="15"/>
  <c r="V1841" i="15"/>
  <c r="U1841" i="15"/>
  <c r="P1841" i="15"/>
  <c r="O1841" i="15"/>
  <c r="H1841" i="15"/>
  <c r="G1841" i="15"/>
  <c r="F1841" i="15"/>
  <c r="E1841" i="15"/>
  <c r="D1841" i="15"/>
  <c r="C1841" i="15"/>
  <c r="B1841" i="15"/>
  <c r="A1841" i="15"/>
  <c r="H1840" i="15"/>
  <c r="G1840" i="15"/>
  <c r="F1840" i="15"/>
  <c r="E1840" i="15"/>
  <c r="D1840" i="15"/>
  <c r="C1840" i="15"/>
  <c r="B1840" i="15"/>
  <c r="A1840" i="15"/>
  <c r="J1839" i="15"/>
  <c r="I1839" i="15"/>
  <c r="F1839" i="15"/>
  <c r="E1839" i="15"/>
  <c r="D1839" i="15"/>
  <c r="C1839" i="15"/>
  <c r="B1839" i="15"/>
  <c r="A1839" i="15"/>
  <c r="AF1838" i="15"/>
  <c r="AE1838" i="15"/>
  <c r="M1838" i="15"/>
  <c r="K1838" i="15"/>
  <c r="F1838" i="15"/>
  <c r="E1838" i="15"/>
  <c r="D1838" i="15"/>
  <c r="C1838" i="15"/>
  <c r="B1838" i="15"/>
  <c r="A1838" i="15"/>
  <c r="P1837" i="15"/>
  <c r="M1837" i="15"/>
  <c r="F1837" i="15"/>
  <c r="E1837" i="15"/>
  <c r="D1837" i="15"/>
  <c r="C1837" i="15"/>
  <c r="B1837" i="15"/>
  <c r="A1837" i="15"/>
  <c r="Q1836" i="15"/>
  <c r="O1836" i="15"/>
  <c r="H1836" i="15"/>
  <c r="F1836" i="15"/>
  <c r="E1836" i="15"/>
  <c r="D1836" i="15"/>
  <c r="C1836" i="15"/>
  <c r="B1836" i="15"/>
  <c r="A1836" i="15"/>
  <c r="F1835" i="15"/>
  <c r="E1835" i="15"/>
  <c r="D1835" i="15"/>
  <c r="C1835" i="15"/>
  <c r="B1835" i="15"/>
  <c r="A1835" i="15"/>
  <c r="K1835" i="15" s="1"/>
  <c r="F1834" i="15"/>
  <c r="E1834" i="15"/>
  <c r="D1834" i="15"/>
  <c r="C1834" i="15"/>
  <c r="B1834" i="15"/>
  <c r="A1834" i="15"/>
  <c r="U1833" i="15"/>
  <c r="O1833" i="15"/>
  <c r="N1833" i="15"/>
  <c r="F1833" i="15"/>
  <c r="E1833" i="15"/>
  <c r="D1833" i="15"/>
  <c r="C1833" i="15"/>
  <c r="B1833" i="15"/>
  <c r="A1833" i="15"/>
  <c r="O1832" i="15"/>
  <c r="H1832" i="15"/>
  <c r="F1832" i="15"/>
  <c r="E1832" i="15"/>
  <c r="D1832" i="15"/>
  <c r="C1832" i="15"/>
  <c r="B1832" i="15"/>
  <c r="A1832" i="15"/>
  <c r="J1831" i="15"/>
  <c r="F1831" i="15"/>
  <c r="E1831" i="15"/>
  <c r="D1831" i="15"/>
  <c r="C1831" i="15"/>
  <c r="B1831" i="15"/>
  <c r="A1831" i="15"/>
  <c r="I1831" i="15" s="1"/>
  <c r="AF1830" i="15"/>
  <c r="AD1830" i="15"/>
  <c r="AB1830" i="15"/>
  <c r="AA1830" i="15"/>
  <c r="O1830" i="15"/>
  <c r="K1830" i="15"/>
  <c r="H1830" i="15"/>
  <c r="F1830" i="15"/>
  <c r="E1830" i="15"/>
  <c r="D1830" i="15"/>
  <c r="C1830" i="15"/>
  <c r="B1830" i="15"/>
  <c r="A1830" i="15"/>
  <c r="AF1829" i="15"/>
  <c r="AD1829" i="15"/>
  <c r="W1829" i="15"/>
  <c r="V1829" i="15"/>
  <c r="U1829" i="15"/>
  <c r="P1829" i="15"/>
  <c r="O1829" i="15"/>
  <c r="M1829" i="15"/>
  <c r="F1829" i="15"/>
  <c r="E1829" i="15"/>
  <c r="D1829" i="15"/>
  <c r="C1829" i="15"/>
  <c r="B1829" i="15"/>
  <c r="A1829" i="15"/>
  <c r="AC1829" i="15" s="1"/>
  <c r="AG1828" i="15"/>
  <c r="AE1828" i="15"/>
  <c r="X1828" i="15"/>
  <c r="W1828" i="15"/>
  <c r="R1828" i="15"/>
  <c r="Q1828" i="15"/>
  <c r="H1828" i="15"/>
  <c r="F1828" i="15"/>
  <c r="E1828" i="15"/>
  <c r="D1828" i="15"/>
  <c r="C1828" i="15"/>
  <c r="B1828" i="15"/>
  <c r="A1828" i="15"/>
  <c r="AF1828" i="15" s="1"/>
  <c r="F1827" i="15"/>
  <c r="E1827" i="15"/>
  <c r="D1827" i="15"/>
  <c r="C1827" i="15"/>
  <c r="B1827" i="15"/>
  <c r="A1827" i="15"/>
  <c r="AE1826" i="15"/>
  <c r="X1826" i="15"/>
  <c r="W1826" i="15"/>
  <c r="U1826" i="15"/>
  <c r="T1826" i="15"/>
  <c r="P1826" i="15"/>
  <c r="N1826" i="15"/>
  <c r="H1826" i="15"/>
  <c r="G1826" i="15"/>
  <c r="F1826" i="15"/>
  <c r="E1826" i="15"/>
  <c r="D1826" i="15"/>
  <c r="C1826" i="15"/>
  <c r="B1826" i="15"/>
  <c r="A1826" i="15"/>
  <c r="AF1825" i="15"/>
  <c r="AE1825" i="15"/>
  <c r="AC1825" i="15"/>
  <c r="W1825" i="15"/>
  <c r="U1825" i="15"/>
  <c r="P1825" i="15"/>
  <c r="O1825" i="15"/>
  <c r="N1825" i="15"/>
  <c r="H1825" i="15"/>
  <c r="F1825" i="15"/>
  <c r="E1825" i="15"/>
  <c r="D1825" i="15"/>
  <c r="C1825" i="15"/>
  <c r="B1825" i="15"/>
  <c r="A1825" i="15"/>
  <c r="X1825" i="15" s="1"/>
  <c r="AH1824" i="15"/>
  <c r="AE1824" i="15"/>
  <c r="X1824" i="15"/>
  <c r="W1824" i="15"/>
  <c r="R1824" i="15"/>
  <c r="Q1824" i="15"/>
  <c r="O1824" i="15"/>
  <c r="F1824" i="15"/>
  <c r="E1824" i="15"/>
  <c r="D1824" i="15"/>
  <c r="C1824" i="15"/>
  <c r="B1824" i="15"/>
  <c r="A1824" i="15"/>
  <c r="AG1824" i="15" s="1"/>
  <c r="F1823" i="15"/>
  <c r="E1823" i="15"/>
  <c r="D1823" i="15"/>
  <c r="C1823" i="15"/>
  <c r="B1823" i="15"/>
  <c r="A1823" i="15"/>
  <c r="AD1822" i="15"/>
  <c r="M1822" i="15"/>
  <c r="K1822" i="15"/>
  <c r="F1822" i="15"/>
  <c r="E1822" i="15"/>
  <c r="D1822" i="15"/>
  <c r="C1822" i="15"/>
  <c r="B1822" i="15"/>
  <c r="A1822" i="15"/>
  <c r="AF1821" i="15"/>
  <c r="U1821" i="15"/>
  <c r="P1821" i="15"/>
  <c r="M1821" i="15"/>
  <c r="G1821" i="15"/>
  <c r="F1821" i="15"/>
  <c r="E1821" i="15"/>
  <c r="D1821" i="15"/>
  <c r="C1821" i="15"/>
  <c r="B1821" i="15"/>
  <c r="A1821" i="15"/>
  <c r="AG1820" i="15"/>
  <c r="AE1820" i="15"/>
  <c r="P1820" i="15"/>
  <c r="G1820" i="15"/>
  <c r="F1820" i="15"/>
  <c r="E1820" i="15"/>
  <c r="D1820" i="15"/>
  <c r="C1820" i="15"/>
  <c r="B1820" i="15"/>
  <c r="A1820" i="15"/>
  <c r="F1819" i="15"/>
  <c r="E1819" i="15"/>
  <c r="D1819" i="15"/>
  <c r="C1819" i="15"/>
  <c r="B1819" i="15"/>
  <c r="A1819" i="15"/>
  <c r="AA1818" i="15"/>
  <c r="X1818" i="15"/>
  <c r="W1818" i="15"/>
  <c r="V1818" i="15"/>
  <c r="S1818" i="15"/>
  <c r="L1818" i="15"/>
  <c r="K1818" i="15"/>
  <c r="F1818" i="15"/>
  <c r="E1818" i="15"/>
  <c r="D1818" i="15"/>
  <c r="C1818" i="15"/>
  <c r="B1818" i="15"/>
  <c r="A1818" i="15"/>
  <c r="AE1817" i="15"/>
  <c r="AC1817" i="15"/>
  <c r="W1817" i="15"/>
  <c r="V1817" i="15"/>
  <c r="U1817" i="15"/>
  <c r="O1817" i="15"/>
  <c r="N1817" i="15"/>
  <c r="H1817" i="15"/>
  <c r="F1817" i="15"/>
  <c r="E1817" i="15"/>
  <c r="D1817" i="15"/>
  <c r="C1817" i="15"/>
  <c r="B1817" i="15"/>
  <c r="A1817" i="15"/>
  <c r="X1817" i="15" s="1"/>
  <c r="R1816" i="15"/>
  <c r="Q1816" i="15"/>
  <c r="F1816" i="15"/>
  <c r="E1816" i="15"/>
  <c r="D1816" i="15"/>
  <c r="C1816" i="15"/>
  <c r="B1816" i="15"/>
  <c r="A1816" i="15"/>
  <c r="I1815" i="15"/>
  <c r="F1815" i="15"/>
  <c r="E1815" i="15"/>
  <c r="D1815" i="15"/>
  <c r="C1815" i="15"/>
  <c r="B1815" i="15"/>
  <c r="A1815" i="15"/>
  <c r="J1815" i="15" s="1"/>
  <c r="AE1814" i="15"/>
  <c r="AC1814" i="15"/>
  <c r="AB1814" i="15"/>
  <c r="AA1814" i="15"/>
  <c r="X1814" i="15"/>
  <c r="V1814" i="15"/>
  <c r="S1814" i="15"/>
  <c r="P1814" i="15"/>
  <c r="O1814" i="15"/>
  <c r="N1814" i="15"/>
  <c r="M1814" i="15"/>
  <c r="K1814" i="15"/>
  <c r="F1814" i="15"/>
  <c r="E1814" i="15"/>
  <c r="D1814" i="15"/>
  <c r="C1814" i="15"/>
  <c r="B1814" i="15"/>
  <c r="A1814" i="15"/>
  <c r="AF1814" i="15" s="1"/>
  <c r="AE1813" i="15"/>
  <c r="AC1813" i="15"/>
  <c r="X1813" i="15"/>
  <c r="W1813" i="15"/>
  <c r="V1813" i="15"/>
  <c r="U1813" i="15"/>
  <c r="O1813" i="15"/>
  <c r="N1813" i="15"/>
  <c r="H1813" i="15"/>
  <c r="G1813" i="15"/>
  <c r="F1813" i="15"/>
  <c r="E1813" i="15"/>
  <c r="D1813" i="15"/>
  <c r="C1813" i="15"/>
  <c r="B1813" i="15"/>
  <c r="A1813" i="15"/>
  <c r="W1812" i="15"/>
  <c r="O1812" i="15"/>
  <c r="H1812" i="15"/>
  <c r="F1812" i="15"/>
  <c r="E1812" i="15"/>
  <c r="D1812" i="15"/>
  <c r="C1812" i="15"/>
  <c r="B1812" i="15"/>
  <c r="A1812" i="15"/>
  <c r="K1811" i="15"/>
  <c r="F1811" i="15"/>
  <c r="E1811" i="15"/>
  <c r="D1811" i="15"/>
  <c r="C1811" i="15"/>
  <c r="B1811" i="15"/>
  <c r="A1811" i="15"/>
  <c r="AF1810" i="15"/>
  <c r="AE1810" i="15"/>
  <c r="AA1810" i="15"/>
  <c r="W1810" i="15"/>
  <c r="U1810" i="15"/>
  <c r="T1810" i="15"/>
  <c r="P1810" i="15"/>
  <c r="O1810" i="15"/>
  <c r="H1810" i="15"/>
  <c r="F1810" i="15"/>
  <c r="E1810" i="15"/>
  <c r="D1810" i="15"/>
  <c r="C1810" i="15"/>
  <c r="B1810" i="15"/>
  <c r="A1810" i="15"/>
  <c r="AB1810" i="15" s="1"/>
  <c r="X1809" i="15"/>
  <c r="P1809" i="15"/>
  <c r="M1809" i="15"/>
  <c r="F1809" i="15"/>
  <c r="E1809" i="15"/>
  <c r="D1809" i="15"/>
  <c r="C1809" i="15"/>
  <c r="B1809" i="15"/>
  <c r="A1809" i="15"/>
  <c r="AH1808" i="15"/>
  <c r="AG1808" i="15"/>
  <c r="AF1808" i="15"/>
  <c r="AE1808" i="15"/>
  <c r="W1808" i="15"/>
  <c r="Q1808" i="15"/>
  <c r="O1808" i="15"/>
  <c r="G1808" i="15"/>
  <c r="F1808" i="15"/>
  <c r="E1808" i="15"/>
  <c r="D1808" i="15"/>
  <c r="C1808" i="15"/>
  <c r="B1808" i="15"/>
  <c r="A1808" i="15"/>
  <c r="AG1807" i="15"/>
  <c r="AB1807" i="15"/>
  <c r="Y1807" i="15"/>
  <c r="F1807" i="15"/>
  <c r="E1807" i="15"/>
  <c r="D1807" i="15"/>
  <c r="C1807" i="15"/>
  <c r="B1807" i="15"/>
  <c r="A1807" i="15"/>
  <c r="Z1807" i="15" s="1"/>
  <c r="AD1806" i="15"/>
  <c r="AC1806" i="15"/>
  <c r="AB1806" i="15"/>
  <c r="W1806" i="15"/>
  <c r="V1806" i="15"/>
  <c r="U1806" i="15"/>
  <c r="S1806" i="15"/>
  <c r="O1806" i="15"/>
  <c r="N1806" i="15"/>
  <c r="M1806" i="15"/>
  <c r="K1806" i="15"/>
  <c r="G1806" i="15"/>
  <c r="F1806" i="15"/>
  <c r="E1806" i="15"/>
  <c r="D1806" i="15"/>
  <c r="C1806" i="15"/>
  <c r="B1806" i="15"/>
  <c r="A1806" i="15"/>
  <c r="AF1805" i="15"/>
  <c r="AE1805" i="15"/>
  <c r="AC1805" i="15"/>
  <c r="X1805" i="15"/>
  <c r="W1805" i="15"/>
  <c r="H1805" i="15"/>
  <c r="G1805" i="15"/>
  <c r="F1805" i="15"/>
  <c r="E1805" i="15"/>
  <c r="D1805" i="15"/>
  <c r="C1805" i="15"/>
  <c r="B1805" i="15"/>
  <c r="A1805" i="15"/>
  <c r="Z1804" i="15"/>
  <c r="Y1804" i="15"/>
  <c r="F1804" i="15"/>
  <c r="E1804" i="15"/>
  <c r="D1804" i="15"/>
  <c r="C1804" i="15"/>
  <c r="B1804" i="15"/>
  <c r="A1804" i="15"/>
  <c r="R1803" i="15"/>
  <c r="Q1803" i="15"/>
  <c r="F1803" i="15"/>
  <c r="E1803" i="15"/>
  <c r="D1803" i="15"/>
  <c r="C1803" i="15"/>
  <c r="B1803" i="15"/>
  <c r="A1803" i="15"/>
  <c r="AE1802" i="15"/>
  <c r="W1802" i="15"/>
  <c r="T1802" i="15"/>
  <c r="O1802" i="15"/>
  <c r="N1802" i="15"/>
  <c r="F1802" i="15"/>
  <c r="E1802" i="15"/>
  <c r="D1802" i="15"/>
  <c r="C1802" i="15"/>
  <c r="B1802" i="15"/>
  <c r="A1802" i="15"/>
  <c r="V1801" i="15"/>
  <c r="M1801" i="15"/>
  <c r="G1801" i="15"/>
  <c r="F1801" i="15"/>
  <c r="E1801" i="15"/>
  <c r="D1801" i="15"/>
  <c r="C1801" i="15"/>
  <c r="B1801" i="15"/>
  <c r="A1801" i="15"/>
  <c r="AG1800" i="15"/>
  <c r="AF1800" i="15"/>
  <c r="AE1800" i="15"/>
  <c r="R1800" i="15"/>
  <c r="Q1800" i="15"/>
  <c r="O1800" i="15"/>
  <c r="F1800" i="15"/>
  <c r="E1800" i="15"/>
  <c r="D1800" i="15"/>
  <c r="C1800" i="15"/>
  <c r="B1800" i="15"/>
  <c r="A1800" i="15"/>
  <c r="AH1800" i="15" s="1"/>
  <c r="J1799" i="15"/>
  <c r="F1799" i="15"/>
  <c r="E1799" i="15"/>
  <c r="D1799" i="15"/>
  <c r="C1799" i="15"/>
  <c r="B1799" i="15"/>
  <c r="A1799" i="15"/>
  <c r="AA1799" i="15" s="1"/>
  <c r="AB1798" i="15"/>
  <c r="W1798" i="15"/>
  <c r="V1798" i="15"/>
  <c r="U1798" i="15"/>
  <c r="S1798" i="15"/>
  <c r="J1798" i="15"/>
  <c r="G1798" i="15"/>
  <c r="F1798" i="15"/>
  <c r="E1798" i="15"/>
  <c r="D1798" i="15"/>
  <c r="C1798" i="15"/>
  <c r="B1798" i="15"/>
  <c r="A1798" i="15"/>
  <c r="AF1797" i="15"/>
  <c r="AE1797" i="15"/>
  <c r="AC1797" i="15"/>
  <c r="V1797" i="15"/>
  <c r="U1797" i="15"/>
  <c r="N1797" i="15"/>
  <c r="H1797" i="15"/>
  <c r="F1797" i="15"/>
  <c r="E1797" i="15"/>
  <c r="D1797" i="15"/>
  <c r="C1797" i="15"/>
  <c r="B1797" i="15"/>
  <c r="A1797" i="15"/>
  <c r="F1796" i="15"/>
  <c r="E1796" i="15"/>
  <c r="D1796" i="15"/>
  <c r="C1796" i="15"/>
  <c r="B1796" i="15"/>
  <c r="A1796" i="15"/>
  <c r="R1795" i="15"/>
  <c r="J1795" i="15"/>
  <c r="I1795" i="15"/>
  <c r="F1795" i="15"/>
  <c r="E1795" i="15"/>
  <c r="D1795" i="15"/>
  <c r="C1795" i="15"/>
  <c r="B1795" i="15"/>
  <c r="A1795" i="15"/>
  <c r="L1794" i="15"/>
  <c r="G1794" i="15"/>
  <c r="F1794" i="15"/>
  <c r="E1794" i="15"/>
  <c r="D1794" i="15"/>
  <c r="C1794" i="15"/>
  <c r="B1794" i="15"/>
  <c r="A1794" i="15"/>
  <c r="AD1793" i="15"/>
  <c r="F1793" i="15"/>
  <c r="E1793" i="15"/>
  <c r="D1793" i="15"/>
  <c r="C1793" i="15"/>
  <c r="B1793" i="15"/>
  <c r="A1793" i="15"/>
  <c r="AG1792" i="15"/>
  <c r="AF1792" i="15"/>
  <c r="Z1792" i="15"/>
  <c r="X1792" i="15"/>
  <c r="H1792" i="15"/>
  <c r="G1792" i="15"/>
  <c r="F1792" i="15"/>
  <c r="E1792" i="15"/>
  <c r="D1792" i="15"/>
  <c r="C1792" i="15"/>
  <c r="B1792" i="15"/>
  <c r="A1792" i="15"/>
  <c r="AB1791" i="15"/>
  <c r="J1791" i="15"/>
  <c r="F1791" i="15"/>
  <c r="E1791" i="15"/>
  <c r="D1791" i="15"/>
  <c r="C1791" i="15"/>
  <c r="B1791" i="15"/>
  <c r="A1791" i="15"/>
  <c r="K1790" i="15"/>
  <c r="G1790" i="15"/>
  <c r="F1790" i="15"/>
  <c r="E1790" i="15"/>
  <c r="D1790" i="15"/>
  <c r="C1790" i="15"/>
  <c r="B1790" i="15"/>
  <c r="A1790" i="15"/>
  <c r="AE1789" i="15"/>
  <c r="AD1789" i="15"/>
  <c r="F1789" i="15"/>
  <c r="E1789" i="15"/>
  <c r="D1789" i="15"/>
  <c r="C1789" i="15"/>
  <c r="B1789" i="15"/>
  <c r="A1789" i="15"/>
  <c r="F1788" i="15"/>
  <c r="E1788" i="15"/>
  <c r="D1788" i="15"/>
  <c r="C1788" i="15"/>
  <c r="B1788" i="15"/>
  <c r="A1788" i="15"/>
  <c r="AH1787" i="15"/>
  <c r="AB1787" i="15"/>
  <c r="Y1787" i="15"/>
  <c r="T1787" i="15"/>
  <c r="S1787" i="15"/>
  <c r="R1787" i="15"/>
  <c r="J1787" i="15"/>
  <c r="I1787" i="15"/>
  <c r="F1787" i="15"/>
  <c r="E1787" i="15"/>
  <c r="D1787" i="15"/>
  <c r="C1787" i="15"/>
  <c r="B1787" i="15"/>
  <c r="A1787" i="15"/>
  <c r="Z1787" i="15" s="1"/>
  <c r="AD1786" i="15"/>
  <c r="AB1786" i="15"/>
  <c r="AA1786" i="15"/>
  <c r="W1786" i="15"/>
  <c r="U1786" i="15"/>
  <c r="S1786" i="15"/>
  <c r="L1786" i="15"/>
  <c r="K1786" i="15"/>
  <c r="F1786" i="15"/>
  <c r="E1786" i="15"/>
  <c r="D1786" i="15"/>
  <c r="C1786" i="15"/>
  <c r="B1786" i="15"/>
  <c r="A1786" i="15"/>
  <c r="AF1785" i="15"/>
  <c r="AD1785" i="15"/>
  <c r="W1785" i="15"/>
  <c r="V1785" i="15"/>
  <c r="U1785" i="15"/>
  <c r="P1785" i="15"/>
  <c r="O1785" i="15"/>
  <c r="M1785" i="15"/>
  <c r="F1785" i="15"/>
  <c r="E1785" i="15"/>
  <c r="D1785" i="15"/>
  <c r="C1785" i="15"/>
  <c r="B1785" i="15"/>
  <c r="A1785" i="15"/>
  <c r="AC1785" i="15" s="1"/>
  <c r="Q1784" i="15"/>
  <c r="F1784" i="15"/>
  <c r="E1784" i="15"/>
  <c r="D1784" i="15"/>
  <c r="C1784" i="15"/>
  <c r="B1784" i="15"/>
  <c r="A1784" i="15"/>
  <c r="AG1783" i="15"/>
  <c r="AB1783" i="15"/>
  <c r="J1783" i="15"/>
  <c r="F1783" i="15"/>
  <c r="E1783" i="15"/>
  <c r="D1783" i="15"/>
  <c r="C1783" i="15"/>
  <c r="B1783" i="15"/>
  <c r="A1783" i="15"/>
  <c r="Z1783" i="15" s="1"/>
  <c r="AC1782" i="15"/>
  <c r="AA1782" i="15"/>
  <c r="V1782" i="15"/>
  <c r="U1782" i="15"/>
  <c r="S1782" i="15"/>
  <c r="O1782" i="15"/>
  <c r="G1782" i="15"/>
  <c r="F1782" i="15"/>
  <c r="E1782" i="15"/>
  <c r="D1782" i="15"/>
  <c r="C1782" i="15"/>
  <c r="B1782" i="15"/>
  <c r="A1782" i="15"/>
  <c r="AD1782" i="15" s="1"/>
  <c r="F1781" i="15"/>
  <c r="E1781" i="15"/>
  <c r="D1781" i="15"/>
  <c r="C1781" i="15"/>
  <c r="B1781" i="15"/>
  <c r="A1781" i="15"/>
  <c r="W1781" i="15" s="1"/>
  <c r="J1780" i="15"/>
  <c r="F1780" i="15"/>
  <c r="E1780" i="15"/>
  <c r="D1780" i="15"/>
  <c r="C1780" i="15"/>
  <c r="B1780" i="15"/>
  <c r="A1780" i="15"/>
  <c r="AH1779" i="15"/>
  <c r="AB1779" i="15"/>
  <c r="Z1779" i="15"/>
  <c r="Y1779" i="15"/>
  <c r="T1779" i="15"/>
  <c r="S1779" i="15"/>
  <c r="R1779" i="15"/>
  <c r="J1779" i="15"/>
  <c r="I1779" i="15"/>
  <c r="F1779" i="15"/>
  <c r="E1779" i="15"/>
  <c r="D1779" i="15"/>
  <c r="C1779" i="15"/>
  <c r="B1779" i="15"/>
  <c r="A1779" i="15"/>
  <c r="L1779" i="15" s="1"/>
  <c r="AD1778" i="15"/>
  <c r="AC1778" i="15"/>
  <c r="T1778" i="15"/>
  <c r="O1778" i="15"/>
  <c r="M1778" i="15"/>
  <c r="L1778" i="15"/>
  <c r="F1778" i="15"/>
  <c r="E1778" i="15"/>
  <c r="D1778" i="15"/>
  <c r="C1778" i="15"/>
  <c r="B1778" i="15"/>
  <c r="A1778" i="15"/>
  <c r="M1777" i="15"/>
  <c r="G1777" i="15"/>
  <c r="F1777" i="15"/>
  <c r="E1777" i="15"/>
  <c r="D1777" i="15"/>
  <c r="C1777" i="15"/>
  <c r="B1777" i="15"/>
  <c r="A1777" i="15"/>
  <c r="AG1776" i="15"/>
  <c r="Z1776" i="15"/>
  <c r="X1776" i="15"/>
  <c r="R1776" i="15"/>
  <c r="Q1776" i="15"/>
  <c r="P1776" i="15"/>
  <c r="H1776" i="15"/>
  <c r="F1776" i="15"/>
  <c r="E1776" i="15"/>
  <c r="D1776" i="15"/>
  <c r="C1776" i="15"/>
  <c r="B1776" i="15"/>
  <c r="A1776" i="15"/>
  <c r="W1776" i="15" s="1"/>
  <c r="AB1775" i="15"/>
  <c r="Z1775" i="15"/>
  <c r="Q1775" i="15"/>
  <c r="F1775" i="15"/>
  <c r="E1775" i="15"/>
  <c r="D1775" i="15"/>
  <c r="C1775" i="15"/>
  <c r="B1775" i="15"/>
  <c r="A1775" i="15"/>
  <c r="AD1774" i="15"/>
  <c r="AC1774" i="15"/>
  <c r="AB1774" i="15"/>
  <c r="AA1774" i="15"/>
  <c r="N1774" i="15"/>
  <c r="L1774" i="15"/>
  <c r="K1774" i="15"/>
  <c r="F1774" i="15"/>
  <c r="E1774" i="15"/>
  <c r="D1774" i="15"/>
  <c r="C1774" i="15"/>
  <c r="B1774" i="15"/>
  <c r="A1774" i="15"/>
  <c r="AF1773" i="15"/>
  <c r="AC1773" i="15"/>
  <c r="W1773" i="15"/>
  <c r="V1773" i="15"/>
  <c r="U1773" i="15"/>
  <c r="P1773" i="15"/>
  <c r="O1773" i="15"/>
  <c r="H1773" i="15"/>
  <c r="F1773" i="15"/>
  <c r="E1773" i="15"/>
  <c r="D1773" i="15"/>
  <c r="C1773" i="15"/>
  <c r="B1773" i="15"/>
  <c r="A1773" i="15"/>
  <c r="X1773" i="15" s="1"/>
  <c r="AF1772" i="15"/>
  <c r="Y1772" i="15"/>
  <c r="F1772" i="15"/>
  <c r="E1772" i="15"/>
  <c r="D1772" i="15"/>
  <c r="C1772" i="15"/>
  <c r="B1772" i="15"/>
  <c r="A1772" i="15"/>
  <c r="AB1771" i="15"/>
  <c r="L1771" i="15"/>
  <c r="I1771" i="15"/>
  <c r="F1771" i="15"/>
  <c r="E1771" i="15"/>
  <c r="D1771" i="15"/>
  <c r="C1771" i="15"/>
  <c r="B1771" i="15"/>
  <c r="A1771" i="15"/>
  <c r="AD1770" i="15"/>
  <c r="AC1770" i="15"/>
  <c r="AB1770" i="15"/>
  <c r="AA1770" i="15"/>
  <c r="V1770" i="15"/>
  <c r="L1770" i="15"/>
  <c r="G1770" i="15"/>
  <c r="F1770" i="15"/>
  <c r="E1770" i="15"/>
  <c r="D1770" i="15"/>
  <c r="C1770" i="15"/>
  <c r="B1770" i="15"/>
  <c r="A1770" i="15"/>
  <c r="AE1769" i="15"/>
  <c r="X1769" i="15"/>
  <c r="W1769" i="15"/>
  <c r="V1769" i="15"/>
  <c r="M1769" i="15"/>
  <c r="G1769" i="15"/>
  <c r="F1769" i="15"/>
  <c r="E1769" i="15"/>
  <c r="D1769" i="15"/>
  <c r="C1769" i="15"/>
  <c r="B1769" i="15"/>
  <c r="A1769" i="15"/>
  <c r="AG1768" i="15"/>
  <c r="AF1768" i="15"/>
  <c r="Z1768" i="15"/>
  <c r="X1768" i="15"/>
  <c r="W1768" i="15"/>
  <c r="P1768" i="15"/>
  <c r="H1768" i="15"/>
  <c r="G1768" i="15"/>
  <c r="F1768" i="15"/>
  <c r="E1768" i="15"/>
  <c r="D1768" i="15"/>
  <c r="C1768" i="15"/>
  <c r="B1768" i="15"/>
  <c r="A1768" i="15"/>
  <c r="R1768" i="15" s="1"/>
  <c r="L1767" i="15"/>
  <c r="K1767" i="15"/>
  <c r="F1767" i="15"/>
  <c r="E1767" i="15"/>
  <c r="D1767" i="15"/>
  <c r="C1767" i="15"/>
  <c r="B1767" i="15"/>
  <c r="A1767" i="15"/>
  <c r="Q1767" i="15" s="1"/>
  <c r="AC1766" i="15"/>
  <c r="AB1766" i="15"/>
  <c r="W1766" i="15"/>
  <c r="U1766" i="15"/>
  <c r="S1766" i="15"/>
  <c r="O1766" i="15"/>
  <c r="K1766" i="15"/>
  <c r="F1766" i="15"/>
  <c r="E1766" i="15"/>
  <c r="D1766" i="15"/>
  <c r="C1766" i="15"/>
  <c r="B1766" i="15"/>
  <c r="A1766" i="15"/>
  <c r="AD1766" i="15" s="1"/>
  <c r="W1765" i="15"/>
  <c r="P1765" i="15"/>
  <c r="O1765" i="15"/>
  <c r="F1765" i="15"/>
  <c r="E1765" i="15"/>
  <c r="D1765" i="15"/>
  <c r="C1765" i="15"/>
  <c r="B1765" i="15"/>
  <c r="A1765" i="15"/>
  <c r="Z1764" i="15"/>
  <c r="Y1764" i="15"/>
  <c r="P1764" i="15"/>
  <c r="O1764" i="15"/>
  <c r="F1764" i="15"/>
  <c r="E1764" i="15"/>
  <c r="D1764" i="15"/>
  <c r="C1764" i="15"/>
  <c r="B1764" i="15"/>
  <c r="A1764" i="15"/>
  <c r="AF1764" i="15" s="1"/>
  <c r="AH1763" i="15"/>
  <c r="AB1763" i="15"/>
  <c r="Z1763" i="15"/>
  <c r="Y1763" i="15"/>
  <c r="T1763" i="15"/>
  <c r="S1763" i="15"/>
  <c r="R1763" i="15"/>
  <c r="J1763" i="15"/>
  <c r="I1763" i="15"/>
  <c r="F1763" i="15"/>
  <c r="E1763" i="15"/>
  <c r="D1763" i="15"/>
  <c r="C1763" i="15"/>
  <c r="B1763" i="15"/>
  <c r="A1763" i="15"/>
  <c r="L1763" i="15" s="1"/>
  <c r="AD1762" i="15"/>
  <c r="AC1762" i="15"/>
  <c r="AB1762" i="15"/>
  <c r="AA1762" i="15"/>
  <c r="V1762" i="15"/>
  <c r="S1762" i="15"/>
  <c r="M1762" i="15"/>
  <c r="L1762" i="15"/>
  <c r="F1762" i="15"/>
  <c r="E1762" i="15"/>
  <c r="D1762" i="15"/>
  <c r="C1762" i="15"/>
  <c r="B1762" i="15"/>
  <c r="A1762" i="15"/>
  <c r="AF1761" i="15"/>
  <c r="AC1761" i="15"/>
  <c r="W1761" i="15"/>
  <c r="V1761" i="15"/>
  <c r="U1761" i="15"/>
  <c r="P1761" i="15"/>
  <c r="N1761" i="15"/>
  <c r="H1761" i="15"/>
  <c r="F1761" i="15"/>
  <c r="E1761" i="15"/>
  <c r="D1761" i="15"/>
  <c r="C1761" i="15"/>
  <c r="B1761" i="15"/>
  <c r="A1761" i="15"/>
  <c r="X1761" i="15" s="1"/>
  <c r="R1760" i="15"/>
  <c r="J1760" i="15"/>
  <c r="G1760" i="15"/>
  <c r="F1760" i="15"/>
  <c r="E1760" i="15"/>
  <c r="D1760" i="15"/>
  <c r="C1760" i="15"/>
  <c r="B1760" i="15"/>
  <c r="A1760" i="15"/>
  <c r="K1759" i="15"/>
  <c r="J1759" i="15"/>
  <c r="F1759" i="15"/>
  <c r="E1759" i="15"/>
  <c r="D1759" i="15"/>
  <c r="C1759" i="15"/>
  <c r="B1759" i="15"/>
  <c r="A1759" i="15"/>
  <c r="AH1759" i="15" s="1"/>
  <c r="N1758" i="15"/>
  <c r="L1758" i="15"/>
  <c r="F1758" i="15"/>
  <c r="E1758" i="15"/>
  <c r="D1758" i="15"/>
  <c r="C1758" i="15"/>
  <c r="B1758" i="15"/>
  <c r="A1758" i="15"/>
  <c r="AF1757" i="15"/>
  <c r="AD1757" i="15"/>
  <c r="W1757" i="15"/>
  <c r="V1757" i="15"/>
  <c r="U1757" i="15"/>
  <c r="P1757" i="15"/>
  <c r="O1757" i="15"/>
  <c r="M1757" i="15"/>
  <c r="F1757" i="15"/>
  <c r="E1757" i="15"/>
  <c r="D1757" i="15"/>
  <c r="C1757" i="15"/>
  <c r="B1757" i="15"/>
  <c r="A1757" i="15"/>
  <c r="AC1757" i="15" s="1"/>
  <c r="F1756" i="15"/>
  <c r="E1756" i="15"/>
  <c r="D1756" i="15"/>
  <c r="C1756" i="15"/>
  <c r="B1756" i="15"/>
  <c r="A1756" i="15"/>
  <c r="O1756" i="15" s="1"/>
  <c r="S1755" i="15"/>
  <c r="R1755" i="15"/>
  <c r="F1755" i="15"/>
  <c r="E1755" i="15"/>
  <c r="D1755" i="15"/>
  <c r="C1755" i="15"/>
  <c r="B1755" i="15"/>
  <c r="A1755" i="15"/>
  <c r="V1754" i="15"/>
  <c r="T1754" i="15"/>
  <c r="F1754" i="15"/>
  <c r="E1754" i="15"/>
  <c r="D1754" i="15"/>
  <c r="C1754" i="15"/>
  <c r="B1754" i="15"/>
  <c r="A1754" i="15"/>
  <c r="N1753" i="15"/>
  <c r="M1753" i="15"/>
  <c r="F1753" i="15"/>
  <c r="E1753" i="15"/>
  <c r="D1753" i="15"/>
  <c r="C1753" i="15"/>
  <c r="B1753" i="15"/>
  <c r="A1753" i="15"/>
  <c r="J1752" i="15"/>
  <c r="G1752" i="15"/>
  <c r="F1752" i="15"/>
  <c r="E1752" i="15"/>
  <c r="D1752" i="15"/>
  <c r="C1752" i="15"/>
  <c r="B1752" i="15"/>
  <c r="A1752" i="15"/>
  <c r="AG1751" i="15"/>
  <c r="AB1751" i="15"/>
  <c r="F1751" i="15"/>
  <c r="E1751" i="15"/>
  <c r="D1751" i="15"/>
  <c r="C1751" i="15"/>
  <c r="B1751" i="15"/>
  <c r="A1751" i="15"/>
  <c r="V1750" i="15"/>
  <c r="N1750" i="15"/>
  <c r="L1750" i="15"/>
  <c r="F1750" i="15"/>
  <c r="E1750" i="15"/>
  <c r="D1750" i="15"/>
  <c r="C1750" i="15"/>
  <c r="B1750" i="15"/>
  <c r="A1750" i="15"/>
  <c r="AF1749" i="15"/>
  <c r="AE1749" i="15"/>
  <c r="AD1749" i="15"/>
  <c r="X1749" i="15"/>
  <c r="W1749" i="15"/>
  <c r="V1749" i="15"/>
  <c r="U1749" i="15"/>
  <c r="P1749" i="15"/>
  <c r="O1749" i="15"/>
  <c r="N1749" i="15"/>
  <c r="H1749" i="15"/>
  <c r="G1749" i="15"/>
  <c r="F1749" i="15"/>
  <c r="E1749" i="15"/>
  <c r="D1749" i="15"/>
  <c r="C1749" i="15"/>
  <c r="B1749" i="15"/>
  <c r="A1749" i="15"/>
  <c r="AB1749" i="15" s="1"/>
  <c r="I1748" i="15"/>
  <c r="F1748" i="15"/>
  <c r="E1748" i="15"/>
  <c r="D1748" i="15"/>
  <c r="C1748" i="15"/>
  <c r="B1748" i="15"/>
  <c r="A1748" i="15"/>
  <c r="Z1748" i="15" s="1"/>
  <c r="F1747" i="15"/>
  <c r="E1747" i="15"/>
  <c r="D1747" i="15"/>
  <c r="C1747" i="15"/>
  <c r="B1747" i="15"/>
  <c r="A1747" i="15"/>
  <c r="AD1746" i="15"/>
  <c r="AB1746" i="15"/>
  <c r="W1746" i="15"/>
  <c r="K1746" i="15"/>
  <c r="G1746" i="15"/>
  <c r="F1746" i="15"/>
  <c r="E1746" i="15"/>
  <c r="D1746" i="15"/>
  <c r="C1746" i="15"/>
  <c r="B1746" i="15"/>
  <c r="A1746" i="15"/>
  <c r="O1745" i="15"/>
  <c r="G1745" i="15"/>
  <c r="F1745" i="15"/>
  <c r="E1745" i="15"/>
  <c r="D1745" i="15"/>
  <c r="C1745" i="15"/>
  <c r="B1745" i="15"/>
  <c r="A1745" i="15"/>
  <c r="W1744" i="15"/>
  <c r="F1744" i="15"/>
  <c r="E1744" i="15"/>
  <c r="D1744" i="15"/>
  <c r="C1744" i="15"/>
  <c r="B1744" i="15"/>
  <c r="A1744" i="15"/>
  <c r="J1743" i="15"/>
  <c r="F1743" i="15"/>
  <c r="E1743" i="15"/>
  <c r="D1743" i="15"/>
  <c r="C1743" i="15"/>
  <c r="B1743" i="15"/>
  <c r="A1743" i="15"/>
  <c r="AB1743" i="15" s="1"/>
  <c r="AE1742" i="15"/>
  <c r="AD1742" i="15"/>
  <c r="AC1742" i="15"/>
  <c r="AB1742" i="15"/>
  <c r="AA1742" i="15"/>
  <c r="V1742" i="15"/>
  <c r="U1742" i="15"/>
  <c r="T1742" i="15"/>
  <c r="S1742" i="15"/>
  <c r="O1742" i="15"/>
  <c r="N1742" i="15"/>
  <c r="M1742" i="15"/>
  <c r="K1742" i="15"/>
  <c r="G1742" i="15"/>
  <c r="F1742" i="15"/>
  <c r="E1742" i="15"/>
  <c r="D1742" i="15"/>
  <c r="C1742" i="15"/>
  <c r="B1742" i="15"/>
  <c r="A1742" i="15"/>
  <c r="AH1742" i="15" s="1"/>
  <c r="AD1741" i="15"/>
  <c r="N1741" i="15"/>
  <c r="F1741" i="15"/>
  <c r="E1741" i="15"/>
  <c r="D1741" i="15"/>
  <c r="C1741" i="15"/>
  <c r="B1741" i="15"/>
  <c r="A1741" i="15"/>
  <c r="F1740" i="15"/>
  <c r="E1740" i="15"/>
  <c r="D1740" i="15"/>
  <c r="C1740" i="15"/>
  <c r="B1740" i="15"/>
  <c r="A1740" i="15"/>
  <c r="AH1739" i="15"/>
  <c r="Z1739" i="15"/>
  <c r="Y1739" i="15"/>
  <c r="T1739" i="15"/>
  <c r="S1739" i="15"/>
  <c r="J1739" i="15"/>
  <c r="I1739" i="15"/>
  <c r="F1739" i="15"/>
  <c r="E1739" i="15"/>
  <c r="D1739" i="15"/>
  <c r="C1739" i="15"/>
  <c r="B1739" i="15"/>
  <c r="A1739" i="15"/>
  <c r="R1739" i="15" s="1"/>
  <c r="AB1738" i="15"/>
  <c r="AA1738" i="15"/>
  <c r="W1738" i="15"/>
  <c r="T1738" i="15"/>
  <c r="O1738" i="15"/>
  <c r="N1738" i="15"/>
  <c r="K1738" i="15"/>
  <c r="F1738" i="15"/>
  <c r="E1738" i="15"/>
  <c r="D1738" i="15"/>
  <c r="C1738" i="15"/>
  <c r="B1738" i="15"/>
  <c r="A1738" i="15"/>
  <c r="AC1738" i="15" s="1"/>
  <c r="P1737" i="15"/>
  <c r="N1737" i="15"/>
  <c r="F1737" i="15"/>
  <c r="E1737" i="15"/>
  <c r="D1737" i="15"/>
  <c r="C1737" i="15"/>
  <c r="B1737" i="15"/>
  <c r="A1737" i="15"/>
  <c r="P1736" i="15"/>
  <c r="H1736" i="15"/>
  <c r="F1736" i="15"/>
  <c r="E1736" i="15"/>
  <c r="D1736" i="15"/>
  <c r="C1736" i="15"/>
  <c r="B1736" i="15"/>
  <c r="A1736" i="15"/>
  <c r="AH1735" i="15"/>
  <c r="K1735" i="15"/>
  <c r="F1735" i="15"/>
  <c r="E1735" i="15"/>
  <c r="D1735" i="15"/>
  <c r="C1735" i="15"/>
  <c r="B1735" i="15"/>
  <c r="A1735" i="15"/>
  <c r="L1735" i="15" s="1"/>
  <c r="AD1734" i="15"/>
  <c r="AB1734" i="15"/>
  <c r="V1734" i="15"/>
  <c r="K1734" i="15"/>
  <c r="G1734" i="15"/>
  <c r="F1734" i="15"/>
  <c r="E1734" i="15"/>
  <c r="D1734" i="15"/>
  <c r="C1734" i="15"/>
  <c r="B1734" i="15"/>
  <c r="A1734" i="15"/>
  <c r="AE1733" i="15"/>
  <c r="N1733" i="15"/>
  <c r="H1733" i="15"/>
  <c r="F1733" i="15"/>
  <c r="E1733" i="15"/>
  <c r="D1733" i="15"/>
  <c r="C1733" i="15"/>
  <c r="B1733" i="15"/>
  <c r="A1733" i="15"/>
  <c r="Z1732" i="15"/>
  <c r="Y1732" i="15"/>
  <c r="P1732" i="15"/>
  <c r="O1732" i="15"/>
  <c r="F1732" i="15"/>
  <c r="E1732" i="15"/>
  <c r="D1732" i="15"/>
  <c r="C1732" i="15"/>
  <c r="B1732" i="15"/>
  <c r="A1732" i="15"/>
  <c r="AF1732" i="15" s="1"/>
  <c r="AH1731" i="15"/>
  <c r="Y1731" i="15"/>
  <c r="R1731" i="15"/>
  <c r="J1731" i="15"/>
  <c r="F1731" i="15"/>
  <c r="E1731" i="15"/>
  <c r="D1731" i="15"/>
  <c r="C1731" i="15"/>
  <c r="B1731" i="15"/>
  <c r="A1731" i="15"/>
  <c r="AE1730" i="15"/>
  <c r="AC1730" i="15"/>
  <c r="AA1730" i="15"/>
  <c r="V1730" i="15"/>
  <c r="U1730" i="15"/>
  <c r="T1730" i="15"/>
  <c r="L1730" i="15"/>
  <c r="G1730" i="15"/>
  <c r="F1730" i="15"/>
  <c r="E1730" i="15"/>
  <c r="D1730" i="15"/>
  <c r="C1730" i="15"/>
  <c r="B1730" i="15"/>
  <c r="A1730" i="15"/>
  <c r="AF1729" i="15"/>
  <c r="AE1729" i="15"/>
  <c r="AD1729" i="15"/>
  <c r="X1729" i="15"/>
  <c r="W1729" i="15"/>
  <c r="V1729" i="15"/>
  <c r="U1729" i="15"/>
  <c r="P1729" i="15"/>
  <c r="O1729" i="15"/>
  <c r="N1729" i="15"/>
  <c r="H1729" i="15"/>
  <c r="G1729" i="15"/>
  <c r="F1729" i="15"/>
  <c r="E1729" i="15"/>
  <c r="D1729" i="15"/>
  <c r="C1729" i="15"/>
  <c r="B1729" i="15"/>
  <c r="A1729" i="15"/>
  <c r="AB1729" i="15" s="1"/>
  <c r="AH1728" i="15"/>
  <c r="AG1728" i="15"/>
  <c r="AF1728" i="15"/>
  <c r="X1728" i="15"/>
  <c r="W1728" i="15"/>
  <c r="R1728" i="15"/>
  <c r="Q1728" i="15"/>
  <c r="H1728" i="15"/>
  <c r="G1728" i="15"/>
  <c r="F1728" i="15"/>
  <c r="E1728" i="15"/>
  <c r="D1728" i="15"/>
  <c r="C1728" i="15"/>
  <c r="B1728" i="15"/>
  <c r="A1728" i="15"/>
  <c r="P1728" i="15" s="1"/>
  <c r="Z1727" i="15"/>
  <c r="R1727" i="15"/>
  <c r="F1727" i="15"/>
  <c r="E1727" i="15"/>
  <c r="D1727" i="15"/>
  <c r="C1727" i="15"/>
  <c r="B1727" i="15"/>
  <c r="A1727" i="15"/>
  <c r="AA1727" i="15" s="1"/>
  <c r="AE1726" i="15"/>
  <c r="AD1726" i="15"/>
  <c r="S1726" i="15"/>
  <c r="L1726" i="15"/>
  <c r="G1726" i="15"/>
  <c r="F1726" i="15"/>
  <c r="E1726" i="15"/>
  <c r="D1726" i="15"/>
  <c r="C1726" i="15"/>
  <c r="B1726" i="15"/>
  <c r="A1726" i="15"/>
  <c r="F1725" i="15"/>
  <c r="E1725" i="15"/>
  <c r="D1725" i="15"/>
  <c r="C1725" i="15"/>
  <c r="B1725" i="15"/>
  <c r="A1725" i="15"/>
  <c r="M1725" i="15" s="1"/>
  <c r="AF1724" i="15"/>
  <c r="AE1724" i="15"/>
  <c r="P1724" i="15"/>
  <c r="H1724" i="15"/>
  <c r="F1724" i="15"/>
  <c r="E1724" i="15"/>
  <c r="D1724" i="15"/>
  <c r="C1724" i="15"/>
  <c r="B1724" i="15"/>
  <c r="A1724" i="15"/>
  <c r="R1723" i="15"/>
  <c r="J1723" i="15"/>
  <c r="F1723" i="15"/>
  <c r="E1723" i="15"/>
  <c r="D1723" i="15"/>
  <c r="C1723" i="15"/>
  <c r="B1723" i="15"/>
  <c r="A1723" i="15"/>
  <c r="AE1722" i="15"/>
  <c r="AC1722" i="15"/>
  <c r="AA1722" i="15"/>
  <c r="W1722" i="15"/>
  <c r="U1722" i="15"/>
  <c r="T1722" i="15"/>
  <c r="S1722" i="15"/>
  <c r="N1722" i="15"/>
  <c r="L1722" i="15"/>
  <c r="G1722" i="15"/>
  <c r="F1722" i="15"/>
  <c r="E1722" i="15"/>
  <c r="D1722" i="15"/>
  <c r="C1722" i="15"/>
  <c r="B1722" i="15"/>
  <c r="A1722" i="15"/>
  <c r="AD1721" i="15"/>
  <c r="M1721" i="15"/>
  <c r="G1721" i="15"/>
  <c r="F1721" i="15"/>
  <c r="E1721" i="15"/>
  <c r="D1721" i="15"/>
  <c r="C1721" i="15"/>
  <c r="B1721" i="15"/>
  <c r="A1721" i="15"/>
  <c r="AH1720" i="15"/>
  <c r="AG1720" i="15"/>
  <c r="AF1720" i="15"/>
  <c r="R1720" i="15"/>
  <c r="G1720" i="15"/>
  <c r="F1720" i="15"/>
  <c r="E1720" i="15"/>
  <c r="D1720" i="15"/>
  <c r="C1720" i="15"/>
  <c r="B1720" i="15"/>
  <c r="A1720" i="15"/>
  <c r="H1720" i="15" s="1"/>
  <c r="AH1719" i="15"/>
  <c r="AG1719" i="15"/>
  <c r="AB1719" i="15"/>
  <c r="AA1719" i="15"/>
  <c r="K1719" i="15"/>
  <c r="J1719" i="15"/>
  <c r="F1719" i="15"/>
  <c r="E1719" i="15"/>
  <c r="D1719" i="15"/>
  <c r="C1719" i="15"/>
  <c r="B1719" i="15"/>
  <c r="A1719" i="15"/>
  <c r="Z1719" i="15" s="1"/>
  <c r="AD1718" i="15"/>
  <c r="AA1718" i="15"/>
  <c r="L1718" i="15"/>
  <c r="K1718" i="15"/>
  <c r="F1718" i="15"/>
  <c r="E1718" i="15"/>
  <c r="D1718" i="15"/>
  <c r="C1718" i="15"/>
  <c r="B1718" i="15"/>
  <c r="A1718" i="15"/>
  <c r="AF1717" i="15"/>
  <c r="AD1717" i="15"/>
  <c r="AC1717" i="15"/>
  <c r="N1717" i="15"/>
  <c r="H1717" i="15"/>
  <c r="G1717" i="15"/>
  <c r="F1717" i="15"/>
  <c r="E1717" i="15"/>
  <c r="D1717" i="15"/>
  <c r="C1717" i="15"/>
  <c r="B1717" i="15"/>
  <c r="A1717" i="15"/>
  <c r="I1716" i="15"/>
  <c r="H1716" i="15"/>
  <c r="F1716" i="15"/>
  <c r="E1716" i="15"/>
  <c r="D1716" i="15"/>
  <c r="C1716" i="15"/>
  <c r="B1716" i="15"/>
  <c r="A1716" i="15"/>
  <c r="AF1716" i="15" s="1"/>
  <c r="AH1715" i="15"/>
  <c r="Z1715" i="15"/>
  <c r="Y1715" i="15"/>
  <c r="T1715" i="15"/>
  <c r="S1715" i="15"/>
  <c r="J1715" i="15"/>
  <c r="I1715" i="15"/>
  <c r="F1715" i="15"/>
  <c r="E1715" i="15"/>
  <c r="D1715" i="15"/>
  <c r="C1715" i="15"/>
  <c r="B1715" i="15"/>
  <c r="A1715" i="15"/>
  <c r="R1715" i="15" s="1"/>
  <c r="AD1714" i="15"/>
  <c r="AC1714" i="15"/>
  <c r="AB1714" i="15"/>
  <c r="AA1714" i="15"/>
  <c r="V1714" i="15"/>
  <c r="M1714" i="15"/>
  <c r="L1714" i="15"/>
  <c r="F1714" i="15"/>
  <c r="E1714" i="15"/>
  <c r="D1714" i="15"/>
  <c r="C1714" i="15"/>
  <c r="B1714" i="15"/>
  <c r="A1714" i="15"/>
  <c r="AF1713" i="15"/>
  <c r="AC1713" i="15"/>
  <c r="W1713" i="15"/>
  <c r="V1713" i="15"/>
  <c r="U1713" i="15"/>
  <c r="P1713" i="15"/>
  <c r="N1713" i="15"/>
  <c r="H1713" i="15"/>
  <c r="F1713" i="15"/>
  <c r="E1713" i="15"/>
  <c r="D1713" i="15"/>
  <c r="C1713" i="15"/>
  <c r="B1713" i="15"/>
  <c r="A1713" i="15"/>
  <c r="X1713" i="15" s="1"/>
  <c r="X1712" i="15"/>
  <c r="P1712" i="15"/>
  <c r="G1712" i="15"/>
  <c r="F1712" i="15"/>
  <c r="E1712" i="15"/>
  <c r="D1712" i="15"/>
  <c r="C1712" i="15"/>
  <c r="B1712" i="15"/>
  <c r="A1712" i="15"/>
  <c r="AG1711" i="15"/>
  <c r="J1711" i="15"/>
  <c r="F1711" i="15"/>
  <c r="E1711" i="15"/>
  <c r="D1711" i="15"/>
  <c r="C1711" i="15"/>
  <c r="B1711" i="15"/>
  <c r="A1711" i="15"/>
  <c r="AD1710" i="15"/>
  <c r="AC1710" i="15"/>
  <c r="T1710" i="15"/>
  <c r="O1710" i="15"/>
  <c r="L1710" i="15"/>
  <c r="K1710" i="15"/>
  <c r="F1710" i="15"/>
  <c r="E1710" i="15"/>
  <c r="D1710" i="15"/>
  <c r="C1710" i="15"/>
  <c r="B1710" i="15"/>
  <c r="A1710" i="15"/>
  <c r="AF1709" i="15"/>
  <c r="N1709" i="15"/>
  <c r="F1709" i="15"/>
  <c r="E1709" i="15"/>
  <c r="D1709" i="15"/>
  <c r="C1709" i="15"/>
  <c r="B1709" i="15"/>
  <c r="A1709" i="15"/>
  <c r="H1709" i="15" s="1"/>
  <c r="F1708" i="15"/>
  <c r="E1708" i="15"/>
  <c r="D1708" i="15"/>
  <c r="C1708" i="15"/>
  <c r="B1708" i="15"/>
  <c r="A1708" i="15"/>
  <c r="F1707" i="15"/>
  <c r="E1707" i="15"/>
  <c r="D1707" i="15"/>
  <c r="C1707" i="15"/>
  <c r="B1707" i="15"/>
  <c r="A1707" i="15"/>
  <c r="T1707" i="15" s="1"/>
  <c r="AE1706" i="15"/>
  <c r="V1706" i="15"/>
  <c r="T1706" i="15"/>
  <c r="O1706" i="15"/>
  <c r="N1706" i="15"/>
  <c r="F1706" i="15"/>
  <c r="E1706" i="15"/>
  <c r="D1706" i="15"/>
  <c r="C1706" i="15"/>
  <c r="B1706" i="15"/>
  <c r="A1706" i="15"/>
  <c r="AE1705" i="15"/>
  <c r="AC1705" i="15"/>
  <c r="X1705" i="15"/>
  <c r="W1705" i="15"/>
  <c r="U1705" i="15"/>
  <c r="P1705" i="15"/>
  <c r="N1705" i="15"/>
  <c r="H1705" i="15"/>
  <c r="G1705" i="15"/>
  <c r="F1705" i="15"/>
  <c r="E1705" i="15"/>
  <c r="D1705" i="15"/>
  <c r="C1705" i="15"/>
  <c r="B1705" i="15"/>
  <c r="A1705" i="15"/>
  <c r="W1704" i="15"/>
  <c r="P1704" i="15"/>
  <c r="G1704" i="15"/>
  <c r="F1704" i="15"/>
  <c r="E1704" i="15"/>
  <c r="D1704" i="15"/>
  <c r="C1704" i="15"/>
  <c r="B1704" i="15"/>
  <c r="A1704" i="15"/>
  <c r="F1703" i="15"/>
  <c r="E1703" i="15"/>
  <c r="D1703" i="15"/>
  <c r="C1703" i="15"/>
  <c r="B1703" i="15"/>
  <c r="A1703" i="15"/>
  <c r="AC1702" i="15"/>
  <c r="AB1702" i="15"/>
  <c r="AA1702" i="15"/>
  <c r="W1702" i="15"/>
  <c r="V1702" i="15"/>
  <c r="M1702" i="15"/>
  <c r="K1702" i="15"/>
  <c r="G1702" i="15"/>
  <c r="F1702" i="15"/>
  <c r="E1702" i="15"/>
  <c r="D1702" i="15"/>
  <c r="C1702" i="15"/>
  <c r="B1702" i="15"/>
  <c r="A1702" i="15"/>
  <c r="AF1701" i="15"/>
  <c r="AE1701" i="15"/>
  <c r="AD1701" i="15"/>
  <c r="X1701" i="15"/>
  <c r="W1701" i="15"/>
  <c r="V1701" i="15"/>
  <c r="U1701" i="15"/>
  <c r="P1701" i="15"/>
  <c r="O1701" i="15"/>
  <c r="N1701" i="15"/>
  <c r="H1701" i="15"/>
  <c r="G1701" i="15"/>
  <c r="F1701" i="15"/>
  <c r="E1701" i="15"/>
  <c r="D1701" i="15"/>
  <c r="C1701" i="15"/>
  <c r="B1701" i="15"/>
  <c r="A1701" i="15"/>
  <c r="AB1701" i="15" s="1"/>
  <c r="Y1700" i="15"/>
  <c r="P1700" i="15"/>
  <c r="O1700" i="15"/>
  <c r="F1700" i="15"/>
  <c r="E1700" i="15"/>
  <c r="D1700" i="15"/>
  <c r="C1700" i="15"/>
  <c r="B1700" i="15"/>
  <c r="A1700" i="15"/>
  <c r="AF1700" i="15" s="1"/>
  <c r="AH1699" i="15"/>
  <c r="R1699" i="15"/>
  <c r="I1699" i="15"/>
  <c r="F1699" i="15"/>
  <c r="E1699" i="15"/>
  <c r="D1699" i="15"/>
  <c r="C1699" i="15"/>
  <c r="B1699" i="15"/>
  <c r="A1699" i="15"/>
  <c r="AD1698" i="15"/>
  <c r="AB1698" i="15"/>
  <c r="W1698" i="15"/>
  <c r="L1698" i="15"/>
  <c r="G1698" i="15"/>
  <c r="F1698" i="15"/>
  <c r="E1698" i="15"/>
  <c r="D1698" i="15"/>
  <c r="C1698" i="15"/>
  <c r="B1698" i="15"/>
  <c r="A1698" i="15"/>
  <c r="F1697" i="15"/>
  <c r="E1697" i="15"/>
  <c r="D1697" i="15"/>
  <c r="C1697" i="15"/>
  <c r="B1697" i="15"/>
  <c r="A1697" i="15"/>
  <c r="F1696" i="15"/>
  <c r="E1696" i="15"/>
  <c r="D1696" i="15"/>
  <c r="C1696" i="15"/>
  <c r="B1696" i="15"/>
  <c r="A1696" i="15"/>
  <c r="Z1695" i="15"/>
  <c r="F1695" i="15"/>
  <c r="E1695" i="15"/>
  <c r="D1695" i="15"/>
  <c r="C1695" i="15"/>
  <c r="B1695" i="15"/>
  <c r="A1695" i="15"/>
  <c r="AA1695" i="15" s="1"/>
  <c r="AE1694" i="15"/>
  <c r="AB1694" i="15"/>
  <c r="W1694" i="15"/>
  <c r="V1694" i="15"/>
  <c r="U1694" i="15"/>
  <c r="T1694" i="15"/>
  <c r="O1694" i="15"/>
  <c r="M1694" i="15"/>
  <c r="K1694" i="15"/>
  <c r="G1694" i="15"/>
  <c r="F1694" i="15"/>
  <c r="E1694" i="15"/>
  <c r="D1694" i="15"/>
  <c r="C1694" i="15"/>
  <c r="B1694" i="15"/>
  <c r="A1694" i="15"/>
  <c r="AF1693" i="15"/>
  <c r="AE1693" i="15"/>
  <c r="AD1693" i="15"/>
  <c r="X1693" i="15"/>
  <c r="W1693" i="15"/>
  <c r="V1693" i="15"/>
  <c r="U1693" i="15"/>
  <c r="P1693" i="15"/>
  <c r="O1693" i="15"/>
  <c r="N1693" i="15"/>
  <c r="H1693" i="15"/>
  <c r="G1693" i="15"/>
  <c r="F1693" i="15"/>
  <c r="E1693" i="15"/>
  <c r="D1693" i="15"/>
  <c r="C1693" i="15"/>
  <c r="B1693" i="15"/>
  <c r="A1693" i="15"/>
  <c r="AB1693" i="15" s="1"/>
  <c r="AF1692" i="15"/>
  <c r="AE1692" i="15"/>
  <c r="X1692" i="15"/>
  <c r="H1692" i="15"/>
  <c r="F1692" i="15"/>
  <c r="E1692" i="15"/>
  <c r="D1692" i="15"/>
  <c r="C1692" i="15"/>
  <c r="B1692" i="15"/>
  <c r="A1692" i="15"/>
  <c r="AG1691" i="15"/>
  <c r="Y1691" i="15"/>
  <c r="T1691" i="15"/>
  <c r="S1691" i="15"/>
  <c r="R1691" i="15"/>
  <c r="J1691" i="15"/>
  <c r="F1691" i="15"/>
  <c r="E1691" i="15"/>
  <c r="D1691" i="15"/>
  <c r="C1691" i="15"/>
  <c r="B1691" i="15"/>
  <c r="A1691" i="15"/>
  <c r="Z1691" i="15" s="1"/>
  <c r="AE1690" i="15"/>
  <c r="AB1690" i="15"/>
  <c r="AA1690" i="15"/>
  <c r="V1690" i="15"/>
  <c r="K1690" i="15"/>
  <c r="G1690" i="15"/>
  <c r="F1690" i="15"/>
  <c r="E1690" i="15"/>
  <c r="D1690" i="15"/>
  <c r="C1690" i="15"/>
  <c r="B1690" i="15"/>
  <c r="A1690" i="15"/>
  <c r="AF1689" i="15"/>
  <c r="AE1689" i="15"/>
  <c r="AD1689" i="15"/>
  <c r="W1689" i="15"/>
  <c r="U1689" i="15"/>
  <c r="N1689" i="15"/>
  <c r="M1689" i="15"/>
  <c r="F1689" i="15"/>
  <c r="E1689" i="15"/>
  <c r="D1689" i="15"/>
  <c r="C1689" i="15"/>
  <c r="B1689" i="15"/>
  <c r="A1689" i="15"/>
  <c r="Q1688" i="15"/>
  <c r="O1688" i="15"/>
  <c r="F1688" i="15"/>
  <c r="E1688" i="15"/>
  <c r="D1688" i="15"/>
  <c r="C1688" i="15"/>
  <c r="B1688" i="15"/>
  <c r="A1688" i="15"/>
  <c r="Q1687" i="15"/>
  <c r="F1687" i="15"/>
  <c r="E1687" i="15"/>
  <c r="D1687" i="15"/>
  <c r="C1687" i="15"/>
  <c r="B1687" i="15"/>
  <c r="A1687" i="15"/>
  <c r="T1686" i="15"/>
  <c r="O1686" i="15"/>
  <c r="F1686" i="15"/>
  <c r="E1686" i="15"/>
  <c r="D1686" i="15"/>
  <c r="C1686" i="15"/>
  <c r="B1686" i="15"/>
  <c r="A1686" i="15"/>
  <c r="F1685" i="15"/>
  <c r="E1685" i="15"/>
  <c r="D1685" i="15"/>
  <c r="C1685" i="15"/>
  <c r="B1685" i="15"/>
  <c r="A1685" i="15"/>
  <c r="F1684" i="15"/>
  <c r="E1684" i="15"/>
  <c r="D1684" i="15"/>
  <c r="C1684" i="15"/>
  <c r="B1684" i="15"/>
  <c r="A1684" i="15"/>
  <c r="R1683" i="15"/>
  <c r="J1683" i="15"/>
  <c r="I1683" i="15"/>
  <c r="F1683" i="15"/>
  <c r="E1683" i="15"/>
  <c r="D1683" i="15"/>
  <c r="C1683" i="15"/>
  <c r="B1683" i="15"/>
  <c r="A1683" i="15"/>
  <c r="AE1682" i="15"/>
  <c r="AD1682" i="15"/>
  <c r="AA1682" i="15"/>
  <c r="V1682" i="15"/>
  <c r="S1682" i="15"/>
  <c r="L1682" i="15"/>
  <c r="G1682" i="15"/>
  <c r="F1682" i="15"/>
  <c r="E1682" i="15"/>
  <c r="D1682" i="15"/>
  <c r="C1682" i="15"/>
  <c r="B1682" i="15"/>
  <c r="A1682" i="15"/>
  <c r="F1681" i="15"/>
  <c r="E1681" i="15"/>
  <c r="D1681" i="15"/>
  <c r="C1681" i="15"/>
  <c r="B1681" i="15"/>
  <c r="A1681" i="15"/>
  <c r="AG1680" i="15"/>
  <c r="AF1680" i="15"/>
  <c r="AE1680" i="15"/>
  <c r="X1680" i="15"/>
  <c r="R1680" i="15"/>
  <c r="G1680" i="15"/>
  <c r="F1680" i="15"/>
  <c r="E1680" i="15"/>
  <c r="D1680" i="15"/>
  <c r="C1680" i="15"/>
  <c r="B1680" i="15"/>
  <c r="A1680" i="15"/>
  <c r="H1680" i="15" s="1"/>
  <c r="J1679" i="15"/>
  <c r="F1679" i="15"/>
  <c r="E1679" i="15"/>
  <c r="D1679" i="15"/>
  <c r="C1679" i="15"/>
  <c r="B1679" i="15"/>
  <c r="A1679" i="15"/>
  <c r="AG1679" i="15" s="1"/>
  <c r="AD1678" i="15"/>
  <c r="AC1678" i="15"/>
  <c r="AB1678" i="15"/>
  <c r="W1678" i="15"/>
  <c r="T1678" i="15"/>
  <c r="S1678" i="15"/>
  <c r="M1678" i="15"/>
  <c r="G1678" i="15"/>
  <c r="F1678" i="15"/>
  <c r="E1678" i="15"/>
  <c r="D1678" i="15"/>
  <c r="C1678" i="15"/>
  <c r="B1678" i="15"/>
  <c r="A1678" i="15"/>
  <c r="AD1677" i="15"/>
  <c r="W1677" i="15"/>
  <c r="U1677" i="15"/>
  <c r="O1677" i="15"/>
  <c r="F1677" i="15"/>
  <c r="E1677" i="15"/>
  <c r="D1677" i="15"/>
  <c r="C1677" i="15"/>
  <c r="B1677" i="15"/>
  <c r="A1677" i="15"/>
  <c r="P1676" i="15"/>
  <c r="I1676" i="15"/>
  <c r="F1676" i="15"/>
  <c r="E1676" i="15"/>
  <c r="D1676" i="15"/>
  <c r="C1676" i="15"/>
  <c r="B1676" i="15"/>
  <c r="A1676" i="15"/>
  <c r="J1676" i="15" s="1"/>
  <c r="Q1675" i="15"/>
  <c r="I1675" i="15"/>
  <c r="F1675" i="15"/>
  <c r="E1675" i="15"/>
  <c r="D1675" i="15"/>
  <c r="C1675" i="15"/>
  <c r="B1675" i="15"/>
  <c r="A1675" i="15"/>
  <c r="T1674" i="15"/>
  <c r="L1674" i="15"/>
  <c r="F1674" i="15"/>
  <c r="E1674" i="15"/>
  <c r="D1674" i="15"/>
  <c r="C1674" i="15"/>
  <c r="B1674" i="15"/>
  <c r="A1674" i="15"/>
  <c r="U1673" i="15"/>
  <c r="O1673" i="15"/>
  <c r="F1673" i="15"/>
  <c r="E1673" i="15"/>
  <c r="D1673" i="15"/>
  <c r="C1673" i="15"/>
  <c r="B1673" i="15"/>
  <c r="A1673" i="15"/>
  <c r="AH1672" i="15"/>
  <c r="AF1672" i="15"/>
  <c r="AE1672" i="15"/>
  <c r="X1672" i="15"/>
  <c r="W1672" i="15"/>
  <c r="R1672" i="15"/>
  <c r="Q1672" i="15"/>
  <c r="P1672" i="15"/>
  <c r="H1672" i="15"/>
  <c r="G1672" i="15"/>
  <c r="F1672" i="15"/>
  <c r="E1672" i="15"/>
  <c r="D1672" i="15"/>
  <c r="C1672" i="15"/>
  <c r="B1672" i="15"/>
  <c r="A1672" i="15"/>
  <c r="AG1672" i="15" s="1"/>
  <c r="AA1671" i="15"/>
  <c r="Z1671" i="15"/>
  <c r="F1671" i="15"/>
  <c r="E1671" i="15"/>
  <c r="D1671" i="15"/>
  <c r="C1671" i="15"/>
  <c r="B1671" i="15"/>
  <c r="A1671" i="15"/>
  <c r="AB1670" i="15"/>
  <c r="W1670" i="15"/>
  <c r="U1670" i="15"/>
  <c r="T1670" i="15"/>
  <c r="S1670" i="15"/>
  <c r="N1670" i="15"/>
  <c r="G1670" i="15"/>
  <c r="F1670" i="15"/>
  <c r="E1670" i="15"/>
  <c r="D1670" i="15"/>
  <c r="C1670" i="15"/>
  <c r="B1670" i="15"/>
  <c r="A1670" i="15"/>
  <c r="AD1670" i="15" s="1"/>
  <c r="AF1669" i="15"/>
  <c r="AE1669" i="15"/>
  <c r="AD1669" i="15"/>
  <c r="X1669" i="15"/>
  <c r="W1669" i="15"/>
  <c r="V1669" i="15"/>
  <c r="U1669" i="15"/>
  <c r="P1669" i="15"/>
  <c r="O1669" i="15"/>
  <c r="N1669" i="15"/>
  <c r="H1669" i="15"/>
  <c r="G1669" i="15"/>
  <c r="F1669" i="15"/>
  <c r="E1669" i="15"/>
  <c r="D1669" i="15"/>
  <c r="C1669" i="15"/>
  <c r="B1669" i="15"/>
  <c r="A1669" i="15"/>
  <c r="AB1669" i="15" s="1"/>
  <c r="AF1668" i="15"/>
  <c r="I1668" i="15"/>
  <c r="F1668" i="15"/>
  <c r="E1668" i="15"/>
  <c r="D1668" i="15"/>
  <c r="C1668" i="15"/>
  <c r="B1668" i="15"/>
  <c r="A1668" i="15"/>
  <c r="J1668" i="15" s="1"/>
  <c r="Z1667" i="15"/>
  <c r="J1667" i="15"/>
  <c r="F1667" i="15"/>
  <c r="E1667" i="15"/>
  <c r="D1667" i="15"/>
  <c r="C1667" i="15"/>
  <c r="B1667" i="15"/>
  <c r="A1667" i="15"/>
  <c r="I1667" i="15" s="1"/>
  <c r="AE1666" i="15"/>
  <c r="AC1666" i="15"/>
  <c r="W1666" i="15"/>
  <c r="V1666" i="15"/>
  <c r="U1666" i="15"/>
  <c r="T1666" i="15"/>
  <c r="S1666" i="15"/>
  <c r="N1666" i="15"/>
  <c r="K1666" i="15"/>
  <c r="G1666" i="15"/>
  <c r="F1666" i="15"/>
  <c r="E1666" i="15"/>
  <c r="D1666" i="15"/>
  <c r="C1666" i="15"/>
  <c r="B1666" i="15"/>
  <c r="A1666" i="15"/>
  <c r="AF1665" i="15"/>
  <c r="AE1665" i="15"/>
  <c r="AD1665" i="15"/>
  <c r="U1665" i="15"/>
  <c r="N1665" i="15"/>
  <c r="H1665" i="15"/>
  <c r="G1665" i="15"/>
  <c r="F1665" i="15"/>
  <c r="E1665" i="15"/>
  <c r="D1665" i="15"/>
  <c r="C1665" i="15"/>
  <c r="B1665" i="15"/>
  <c r="A1665" i="15"/>
  <c r="AH1664" i="15"/>
  <c r="AG1664" i="15"/>
  <c r="F1664" i="15"/>
  <c r="E1664" i="15"/>
  <c r="D1664" i="15"/>
  <c r="C1664" i="15"/>
  <c r="B1664" i="15"/>
  <c r="A1664" i="15"/>
  <c r="F1663" i="15"/>
  <c r="E1663" i="15"/>
  <c r="D1663" i="15"/>
  <c r="C1663" i="15"/>
  <c r="B1663" i="15"/>
  <c r="A1663" i="15"/>
  <c r="AE1662" i="15"/>
  <c r="AC1662" i="15"/>
  <c r="AB1662" i="15"/>
  <c r="W1662" i="15"/>
  <c r="U1662" i="15"/>
  <c r="T1662" i="15"/>
  <c r="O1662" i="15"/>
  <c r="N1662" i="15"/>
  <c r="M1662" i="15"/>
  <c r="K1662" i="15"/>
  <c r="F1662" i="15"/>
  <c r="E1662" i="15"/>
  <c r="D1662" i="15"/>
  <c r="C1662" i="15"/>
  <c r="B1662" i="15"/>
  <c r="A1662" i="15"/>
  <c r="V1662" i="15" s="1"/>
  <c r="AF1661" i="15"/>
  <c r="AE1661" i="15"/>
  <c r="AD1661" i="15"/>
  <c r="X1661" i="15"/>
  <c r="W1661" i="15"/>
  <c r="V1661" i="15"/>
  <c r="U1661" i="15"/>
  <c r="P1661" i="15"/>
  <c r="O1661" i="15"/>
  <c r="N1661" i="15"/>
  <c r="H1661" i="15"/>
  <c r="G1661" i="15"/>
  <c r="F1661" i="15"/>
  <c r="E1661" i="15"/>
  <c r="D1661" i="15"/>
  <c r="C1661" i="15"/>
  <c r="B1661" i="15"/>
  <c r="A1661" i="15"/>
  <c r="AB1661" i="15" s="1"/>
  <c r="AG1660" i="15"/>
  <c r="J1660" i="15"/>
  <c r="F1660" i="15"/>
  <c r="E1660" i="15"/>
  <c r="D1660" i="15"/>
  <c r="C1660" i="15"/>
  <c r="B1660" i="15"/>
  <c r="A1660" i="15"/>
  <c r="O1660" i="15" s="1"/>
  <c r="J1659" i="15"/>
  <c r="I1659" i="15"/>
  <c r="F1659" i="15"/>
  <c r="E1659" i="15"/>
  <c r="D1659" i="15"/>
  <c r="C1659" i="15"/>
  <c r="B1659" i="15"/>
  <c r="A1659" i="15"/>
  <c r="AE1658" i="15"/>
  <c r="AB1658" i="15"/>
  <c r="AA1658" i="15"/>
  <c r="V1658" i="15"/>
  <c r="O1658" i="15"/>
  <c r="N1658" i="15"/>
  <c r="F1658" i="15"/>
  <c r="E1658" i="15"/>
  <c r="D1658" i="15"/>
  <c r="C1658" i="15"/>
  <c r="B1658" i="15"/>
  <c r="A1658" i="15"/>
  <c r="AF1657" i="15"/>
  <c r="AC1657" i="15"/>
  <c r="W1657" i="15"/>
  <c r="V1657" i="15"/>
  <c r="U1657" i="15"/>
  <c r="P1657" i="15"/>
  <c r="N1657" i="15"/>
  <c r="H1657" i="15"/>
  <c r="F1657" i="15"/>
  <c r="E1657" i="15"/>
  <c r="D1657" i="15"/>
  <c r="C1657" i="15"/>
  <c r="B1657" i="15"/>
  <c r="A1657" i="15"/>
  <c r="X1657" i="15" s="1"/>
  <c r="AH1656" i="15"/>
  <c r="F1656" i="15"/>
  <c r="E1656" i="15"/>
  <c r="D1656" i="15"/>
  <c r="C1656" i="15"/>
  <c r="B1656" i="15"/>
  <c r="A1656" i="15"/>
  <c r="I1656" i="15" s="1"/>
  <c r="L1655" i="15"/>
  <c r="F1655" i="15"/>
  <c r="E1655" i="15"/>
  <c r="D1655" i="15"/>
  <c r="C1655" i="15"/>
  <c r="B1655" i="15"/>
  <c r="A1655" i="15"/>
  <c r="K1655" i="15" s="1"/>
  <c r="AE1654" i="15"/>
  <c r="AD1654" i="15"/>
  <c r="AC1654" i="15"/>
  <c r="AB1654" i="15"/>
  <c r="AA1654" i="15"/>
  <c r="V1654" i="15"/>
  <c r="U1654" i="15"/>
  <c r="T1654" i="15"/>
  <c r="S1654" i="15"/>
  <c r="O1654" i="15"/>
  <c r="N1654" i="15"/>
  <c r="M1654" i="15"/>
  <c r="K1654" i="15"/>
  <c r="G1654" i="15"/>
  <c r="F1654" i="15"/>
  <c r="E1654" i="15"/>
  <c r="D1654" i="15"/>
  <c r="C1654" i="15"/>
  <c r="B1654" i="15"/>
  <c r="A1654" i="15"/>
  <c r="AH1654" i="15" s="1"/>
  <c r="O1653" i="15"/>
  <c r="N1653" i="15"/>
  <c r="F1653" i="15"/>
  <c r="E1653" i="15"/>
  <c r="D1653" i="15"/>
  <c r="C1653" i="15"/>
  <c r="B1653" i="15"/>
  <c r="A1653" i="15"/>
  <c r="F1652" i="15"/>
  <c r="E1652" i="15"/>
  <c r="D1652" i="15"/>
  <c r="C1652" i="15"/>
  <c r="B1652" i="15"/>
  <c r="A1652" i="15"/>
  <c r="F1651" i="15"/>
  <c r="E1651" i="15"/>
  <c r="D1651" i="15"/>
  <c r="C1651" i="15"/>
  <c r="B1651" i="15"/>
  <c r="A1651" i="15"/>
  <c r="AE1650" i="15"/>
  <c r="AD1650" i="15"/>
  <c r="AC1650" i="15"/>
  <c r="AA1650" i="15"/>
  <c r="U1650" i="15"/>
  <c r="T1650" i="15"/>
  <c r="S1650" i="15"/>
  <c r="O1650" i="15"/>
  <c r="N1650" i="15"/>
  <c r="L1650" i="15"/>
  <c r="F1650" i="15"/>
  <c r="E1650" i="15"/>
  <c r="D1650" i="15"/>
  <c r="C1650" i="15"/>
  <c r="B1650" i="15"/>
  <c r="A1650" i="15"/>
  <c r="W1650" i="15" s="1"/>
  <c r="AE1649" i="15"/>
  <c r="AC1649" i="15"/>
  <c r="X1649" i="15"/>
  <c r="W1649" i="15"/>
  <c r="V1649" i="15"/>
  <c r="U1649" i="15"/>
  <c r="N1649" i="15"/>
  <c r="H1649" i="15"/>
  <c r="G1649" i="15"/>
  <c r="F1649" i="15"/>
  <c r="E1649" i="15"/>
  <c r="D1649" i="15"/>
  <c r="C1649" i="15"/>
  <c r="B1649" i="15"/>
  <c r="A1649" i="15"/>
  <c r="Q1648" i="15"/>
  <c r="I1648" i="15"/>
  <c r="F1648" i="15"/>
  <c r="E1648" i="15"/>
  <c r="D1648" i="15"/>
  <c r="C1648" i="15"/>
  <c r="B1648" i="15"/>
  <c r="A1648" i="15"/>
  <c r="F1647" i="15"/>
  <c r="E1647" i="15"/>
  <c r="D1647" i="15"/>
  <c r="C1647" i="15"/>
  <c r="B1647" i="15"/>
  <c r="A1647" i="15"/>
  <c r="AE1646" i="15"/>
  <c r="AB1646" i="15"/>
  <c r="U1646" i="15"/>
  <c r="L1646" i="15"/>
  <c r="G1646" i="15"/>
  <c r="F1646" i="15"/>
  <c r="E1646" i="15"/>
  <c r="D1646" i="15"/>
  <c r="C1646" i="15"/>
  <c r="B1646" i="15"/>
  <c r="A1646" i="15"/>
  <c r="AE1645" i="15"/>
  <c r="AD1645" i="15"/>
  <c r="AC1645" i="15"/>
  <c r="W1645" i="15"/>
  <c r="U1645" i="15"/>
  <c r="M1645" i="15"/>
  <c r="H1645" i="15"/>
  <c r="F1645" i="15"/>
  <c r="E1645" i="15"/>
  <c r="D1645" i="15"/>
  <c r="C1645" i="15"/>
  <c r="B1645" i="15"/>
  <c r="A1645" i="15"/>
  <c r="AE1644" i="15"/>
  <c r="Y1644" i="15"/>
  <c r="F1644" i="15"/>
  <c r="E1644" i="15"/>
  <c r="D1644" i="15"/>
  <c r="C1644" i="15"/>
  <c r="B1644" i="15"/>
  <c r="A1644" i="15"/>
  <c r="Q1644" i="15" s="1"/>
  <c r="K1643" i="15"/>
  <c r="F1643" i="15"/>
  <c r="E1643" i="15"/>
  <c r="D1643" i="15"/>
  <c r="C1643" i="15"/>
  <c r="B1643" i="15"/>
  <c r="A1643" i="15"/>
  <c r="AA1642" i="15"/>
  <c r="W1642" i="15"/>
  <c r="V1642" i="15"/>
  <c r="U1642" i="15"/>
  <c r="T1642" i="15"/>
  <c r="N1642" i="15"/>
  <c r="G1642" i="15"/>
  <c r="F1642" i="15"/>
  <c r="E1642" i="15"/>
  <c r="D1642" i="15"/>
  <c r="C1642" i="15"/>
  <c r="B1642" i="15"/>
  <c r="A1642" i="15"/>
  <c r="AD1642" i="15" s="1"/>
  <c r="AE1641" i="15"/>
  <c r="AD1641" i="15"/>
  <c r="AC1641" i="15"/>
  <c r="V1641" i="15"/>
  <c r="P1641" i="15"/>
  <c r="O1641" i="15"/>
  <c r="G1641" i="15"/>
  <c r="F1641" i="15"/>
  <c r="E1641" i="15"/>
  <c r="D1641" i="15"/>
  <c r="C1641" i="15"/>
  <c r="B1641" i="15"/>
  <c r="A1641" i="15"/>
  <c r="AF1641" i="15" s="1"/>
  <c r="W1640" i="15"/>
  <c r="Q1640" i="15"/>
  <c r="F1640" i="15"/>
  <c r="E1640" i="15"/>
  <c r="D1640" i="15"/>
  <c r="C1640" i="15"/>
  <c r="B1640" i="15"/>
  <c r="A1640" i="15"/>
  <c r="Q1639" i="15"/>
  <c r="F1639" i="15"/>
  <c r="E1639" i="15"/>
  <c r="D1639" i="15"/>
  <c r="C1639" i="15"/>
  <c r="B1639" i="15"/>
  <c r="A1639" i="15"/>
  <c r="R1639" i="15" s="1"/>
  <c r="AE1638" i="15"/>
  <c r="AD1638" i="15"/>
  <c r="AC1638" i="15"/>
  <c r="AB1638" i="15"/>
  <c r="AA1638" i="15"/>
  <c r="V1638" i="15"/>
  <c r="U1638" i="15"/>
  <c r="T1638" i="15"/>
  <c r="S1638" i="15"/>
  <c r="O1638" i="15"/>
  <c r="N1638" i="15"/>
  <c r="M1638" i="15"/>
  <c r="K1638" i="15"/>
  <c r="G1638" i="15"/>
  <c r="F1638" i="15"/>
  <c r="E1638" i="15"/>
  <c r="D1638" i="15"/>
  <c r="C1638" i="15"/>
  <c r="B1638" i="15"/>
  <c r="A1638" i="15"/>
  <c r="AH1638" i="15" s="1"/>
  <c r="M1637" i="15"/>
  <c r="H1637" i="15"/>
  <c r="F1637" i="15"/>
  <c r="E1637" i="15"/>
  <c r="D1637" i="15"/>
  <c r="C1637" i="15"/>
  <c r="B1637" i="15"/>
  <c r="A1637" i="15"/>
  <c r="AF1636" i="15"/>
  <c r="AE1636" i="15"/>
  <c r="Z1636" i="15"/>
  <c r="Q1636" i="15"/>
  <c r="I1636" i="15"/>
  <c r="F1636" i="15"/>
  <c r="E1636" i="15"/>
  <c r="D1636" i="15"/>
  <c r="C1636" i="15"/>
  <c r="B1636" i="15"/>
  <c r="A1636" i="15"/>
  <c r="AG1636" i="15" s="1"/>
  <c r="S1635" i="15"/>
  <c r="K1635" i="15"/>
  <c r="F1635" i="15"/>
  <c r="E1635" i="15"/>
  <c r="D1635" i="15"/>
  <c r="C1635" i="15"/>
  <c r="B1635" i="15"/>
  <c r="A1635" i="15"/>
  <c r="AB1634" i="15"/>
  <c r="AA1634" i="15"/>
  <c r="W1634" i="15"/>
  <c r="T1634" i="15"/>
  <c r="O1634" i="15"/>
  <c r="N1634" i="15"/>
  <c r="L1634" i="15"/>
  <c r="K1634" i="15"/>
  <c r="F1634" i="15"/>
  <c r="E1634" i="15"/>
  <c r="D1634" i="15"/>
  <c r="C1634" i="15"/>
  <c r="B1634" i="15"/>
  <c r="A1634" i="15"/>
  <c r="AC1634" i="15" s="1"/>
  <c r="AD1633" i="15"/>
  <c r="X1633" i="15"/>
  <c r="F1633" i="15"/>
  <c r="E1633" i="15"/>
  <c r="D1633" i="15"/>
  <c r="C1633" i="15"/>
  <c r="B1633" i="15"/>
  <c r="A1633" i="15"/>
  <c r="Y1632" i="15"/>
  <c r="W1632" i="15"/>
  <c r="R1632" i="15"/>
  <c r="F1632" i="15"/>
  <c r="E1632" i="15"/>
  <c r="D1632" i="15"/>
  <c r="C1632" i="15"/>
  <c r="B1632" i="15"/>
  <c r="A1632" i="15"/>
  <c r="S1631" i="15"/>
  <c r="R1631" i="15"/>
  <c r="F1631" i="15"/>
  <c r="E1631" i="15"/>
  <c r="D1631" i="15"/>
  <c r="C1631" i="15"/>
  <c r="B1631" i="15"/>
  <c r="A1631" i="15"/>
  <c r="AE1630" i="15"/>
  <c r="AD1630" i="15"/>
  <c r="AC1630" i="15"/>
  <c r="AA1630" i="15"/>
  <c r="U1630" i="15"/>
  <c r="T1630" i="15"/>
  <c r="S1630" i="15"/>
  <c r="O1630" i="15"/>
  <c r="N1630" i="15"/>
  <c r="L1630" i="15"/>
  <c r="F1630" i="15"/>
  <c r="E1630" i="15"/>
  <c r="D1630" i="15"/>
  <c r="C1630" i="15"/>
  <c r="B1630" i="15"/>
  <c r="A1630" i="15"/>
  <c r="W1630" i="15" s="1"/>
  <c r="AE1629" i="15"/>
  <c r="AC1629" i="15"/>
  <c r="X1629" i="15"/>
  <c r="W1629" i="15"/>
  <c r="V1629" i="15"/>
  <c r="U1629" i="15"/>
  <c r="N1629" i="15"/>
  <c r="H1629" i="15"/>
  <c r="G1629" i="15"/>
  <c r="F1629" i="15"/>
  <c r="E1629" i="15"/>
  <c r="D1629" i="15"/>
  <c r="C1629" i="15"/>
  <c r="B1629" i="15"/>
  <c r="A1629" i="15"/>
  <c r="AG1628" i="15"/>
  <c r="AF1628" i="15"/>
  <c r="AE1628" i="15"/>
  <c r="Z1628" i="15"/>
  <c r="J1628" i="15"/>
  <c r="I1628" i="15"/>
  <c r="F1628" i="15"/>
  <c r="E1628" i="15"/>
  <c r="D1628" i="15"/>
  <c r="C1628" i="15"/>
  <c r="B1628" i="15"/>
  <c r="A1628" i="15"/>
  <c r="Y1628" i="15" s="1"/>
  <c r="AA1627" i="15"/>
  <c r="F1627" i="15"/>
  <c r="E1627" i="15"/>
  <c r="D1627" i="15"/>
  <c r="C1627" i="15"/>
  <c r="B1627" i="15"/>
  <c r="A1627" i="15"/>
  <c r="AD1626" i="15"/>
  <c r="V1626" i="15"/>
  <c r="N1626" i="15"/>
  <c r="L1626" i="15"/>
  <c r="F1626" i="15"/>
  <c r="E1626" i="15"/>
  <c r="D1626" i="15"/>
  <c r="C1626" i="15"/>
  <c r="B1626" i="15"/>
  <c r="A1626" i="15"/>
  <c r="AF1625" i="15"/>
  <c r="AE1625" i="15"/>
  <c r="AC1625" i="15"/>
  <c r="W1625" i="15"/>
  <c r="U1625" i="15"/>
  <c r="P1625" i="15"/>
  <c r="O1625" i="15"/>
  <c r="N1625" i="15"/>
  <c r="H1625" i="15"/>
  <c r="F1625" i="15"/>
  <c r="E1625" i="15"/>
  <c r="D1625" i="15"/>
  <c r="C1625" i="15"/>
  <c r="B1625" i="15"/>
  <c r="A1625" i="15"/>
  <c r="X1625" i="15" s="1"/>
  <c r="AH1624" i="15"/>
  <c r="H1624" i="15"/>
  <c r="G1624" i="15"/>
  <c r="F1624" i="15"/>
  <c r="E1624" i="15"/>
  <c r="D1624" i="15"/>
  <c r="C1624" i="15"/>
  <c r="B1624" i="15"/>
  <c r="A1624" i="15"/>
  <c r="AH1623" i="15"/>
  <c r="AB1623" i="15"/>
  <c r="S1623" i="15"/>
  <c r="F1623" i="15"/>
  <c r="E1623" i="15"/>
  <c r="D1623" i="15"/>
  <c r="C1623" i="15"/>
  <c r="B1623" i="15"/>
  <c r="A1623" i="15"/>
  <c r="AC1622" i="15"/>
  <c r="AA1622" i="15"/>
  <c r="V1622" i="15"/>
  <c r="K1622" i="15"/>
  <c r="G1622" i="15"/>
  <c r="F1622" i="15"/>
  <c r="E1622" i="15"/>
  <c r="D1622" i="15"/>
  <c r="C1622" i="15"/>
  <c r="B1622" i="15"/>
  <c r="A1622" i="15"/>
  <c r="AF1621" i="15"/>
  <c r="AE1621" i="15"/>
  <c r="AD1621" i="15"/>
  <c r="X1621" i="15"/>
  <c r="W1621" i="15"/>
  <c r="V1621" i="15"/>
  <c r="U1621" i="15"/>
  <c r="P1621" i="15"/>
  <c r="O1621" i="15"/>
  <c r="N1621" i="15"/>
  <c r="H1621" i="15"/>
  <c r="G1621" i="15"/>
  <c r="F1621" i="15"/>
  <c r="E1621" i="15"/>
  <c r="D1621" i="15"/>
  <c r="C1621" i="15"/>
  <c r="B1621" i="15"/>
  <c r="A1621" i="15"/>
  <c r="AB1621" i="15" s="1"/>
  <c r="AG1620" i="15"/>
  <c r="AF1620" i="15"/>
  <c r="F1620" i="15"/>
  <c r="E1620" i="15"/>
  <c r="D1620" i="15"/>
  <c r="C1620" i="15"/>
  <c r="B1620" i="15"/>
  <c r="A1620" i="15"/>
  <c r="F1619" i="15"/>
  <c r="E1619" i="15"/>
  <c r="D1619" i="15"/>
  <c r="C1619" i="15"/>
  <c r="B1619" i="15"/>
  <c r="A1619" i="15"/>
  <c r="T1618" i="15"/>
  <c r="O1618" i="15"/>
  <c r="F1618" i="15"/>
  <c r="E1618" i="15"/>
  <c r="D1618" i="15"/>
  <c r="C1618" i="15"/>
  <c r="B1618" i="15"/>
  <c r="A1618" i="15"/>
  <c r="F1617" i="15"/>
  <c r="E1617" i="15"/>
  <c r="D1617" i="15"/>
  <c r="C1617" i="15"/>
  <c r="B1617" i="15"/>
  <c r="A1617" i="15"/>
  <c r="Y1616" i="15"/>
  <c r="W1616" i="15"/>
  <c r="R1616" i="15"/>
  <c r="F1616" i="15"/>
  <c r="E1616" i="15"/>
  <c r="D1616" i="15"/>
  <c r="C1616" i="15"/>
  <c r="B1616" i="15"/>
  <c r="A1616" i="15"/>
  <c r="AG1615" i="15"/>
  <c r="Y1615" i="15"/>
  <c r="K1615" i="15"/>
  <c r="I1615" i="15"/>
  <c r="F1615" i="15"/>
  <c r="E1615" i="15"/>
  <c r="D1615" i="15"/>
  <c r="C1615" i="15"/>
  <c r="B1615" i="15"/>
  <c r="A1615" i="15"/>
  <c r="AE1614" i="15"/>
  <c r="AD1614" i="15"/>
  <c r="AB1614" i="15"/>
  <c r="W1614" i="15"/>
  <c r="U1614" i="15"/>
  <c r="T1614" i="15"/>
  <c r="S1614" i="15"/>
  <c r="N1614" i="15"/>
  <c r="M1614" i="15"/>
  <c r="K1614" i="15"/>
  <c r="F1614" i="15"/>
  <c r="E1614" i="15"/>
  <c r="D1614" i="15"/>
  <c r="C1614" i="15"/>
  <c r="B1614" i="15"/>
  <c r="A1614" i="15"/>
  <c r="V1614" i="15" s="1"/>
  <c r="AF1613" i="15"/>
  <c r="AD1613" i="15"/>
  <c r="AC1613" i="15"/>
  <c r="W1613" i="15"/>
  <c r="V1613" i="15"/>
  <c r="U1613" i="15"/>
  <c r="P1613" i="15"/>
  <c r="O1613" i="15"/>
  <c r="M1613" i="15"/>
  <c r="G1613" i="15"/>
  <c r="F1613" i="15"/>
  <c r="E1613" i="15"/>
  <c r="D1613" i="15"/>
  <c r="C1613" i="15"/>
  <c r="B1613" i="15"/>
  <c r="A1613" i="15"/>
  <c r="J1612" i="15"/>
  <c r="I1612" i="15"/>
  <c r="F1612" i="15"/>
  <c r="E1612" i="15"/>
  <c r="D1612" i="15"/>
  <c r="C1612" i="15"/>
  <c r="B1612" i="15"/>
  <c r="A1612" i="15"/>
  <c r="AG1612" i="15" s="1"/>
  <c r="K1611" i="15"/>
  <c r="F1611" i="15"/>
  <c r="E1611" i="15"/>
  <c r="D1611" i="15"/>
  <c r="C1611" i="15"/>
  <c r="B1611" i="15"/>
  <c r="A1611" i="15"/>
  <c r="S1611" i="15" s="1"/>
  <c r="AB1610" i="15"/>
  <c r="AA1610" i="15"/>
  <c r="W1610" i="15"/>
  <c r="V1610" i="15"/>
  <c r="S1610" i="15"/>
  <c r="N1610" i="15"/>
  <c r="K1610" i="15"/>
  <c r="G1610" i="15"/>
  <c r="F1610" i="15"/>
  <c r="E1610" i="15"/>
  <c r="D1610" i="15"/>
  <c r="C1610" i="15"/>
  <c r="B1610" i="15"/>
  <c r="A1610" i="15"/>
  <c r="AF1609" i="15"/>
  <c r="AE1609" i="15"/>
  <c r="X1609" i="15"/>
  <c r="V1609" i="15"/>
  <c r="U1609" i="15"/>
  <c r="P1609" i="15"/>
  <c r="G1609" i="15"/>
  <c r="F1609" i="15"/>
  <c r="E1609" i="15"/>
  <c r="D1609" i="15"/>
  <c r="C1609" i="15"/>
  <c r="B1609" i="15"/>
  <c r="A1609" i="15"/>
  <c r="M1609" i="15" s="1"/>
  <c r="AE1608" i="15"/>
  <c r="Y1608" i="15"/>
  <c r="X1608" i="15"/>
  <c r="W1608" i="15"/>
  <c r="R1608" i="15"/>
  <c r="Q1608" i="15"/>
  <c r="H1608" i="15"/>
  <c r="G1608" i="15"/>
  <c r="F1608" i="15"/>
  <c r="E1608" i="15"/>
  <c r="D1608" i="15"/>
  <c r="C1608" i="15"/>
  <c r="B1608" i="15"/>
  <c r="A1608" i="15"/>
  <c r="O1608" i="15" s="1"/>
  <c r="AG1607" i="15"/>
  <c r="I1607" i="15"/>
  <c r="F1607" i="15"/>
  <c r="E1607" i="15"/>
  <c r="D1607" i="15"/>
  <c r="C1607" i="15"/>
  <c r="B1607" i="15"/>
  <c r="A1607" i="15"/>
  <c r="Y1607" i="15" s="1"/>
  <c r="AC1606" i="15"/>
  <c r="AA1606" i="15"/>
  <c r="W1606" i="15"/>
  <c r="V1606" i="15"/>
  <c r="T1606" i="15"/>
  <c r="O1606" i="15"/>
  <c r="K1606" i="15"/>
  <c r="G1606" i="15"/>
  <c r="F1606" i="15"/>
  <c r="E1606" i="15"/>
  <c r="D1606" i="15"/>
  <c r="C1606" i="15"/>
  <c r="B1606" i="15"/>
  <c r="A1606" i="15"/>
  <c r="AF1605" i="15"/>
  <c r="AE1605" i="15"/>
  <c r="AC1605" i="15"/>
  <c r="V1605" i="15"/>
  <c r="U1605" i="15"/>
  <c r="P1605" i="15"/>
  <c r="H1605" i="15"/>
  <c r="F1605" i="15"/>
  <c r="E1605" i="15"/>
  <c r="D1605" i="15"/>
  <c r="C1605" i="15"/>
  <c r="B1605" i="15"/>
  <c r="A1605" i="15"/>
  <c r="N1605" i="15" s="1"/>
  <c r="F1604" i="15"/>
  <c r="E1604" i="15"/>
  <c r="D1604" i="15"/>
  <c r="C1604" i="15"/>
  <c r="B1604" i="15"/>
  <c r="A1604" i="15"/>
  <c r="F1603" i="15"/>
  <c r="E1603" i="15"/>
  <c r="D1603" i="15"/>
  <c r="C1603" i="15"/>
  <c r="B1603" i="15"/>
  <c r="A1603" i="15"/>
  <c r="AD1602" i="15"/>
  <c r="AB1602" i="15"/>
  <c r="W1602" i="15"/>
  <c r="V1602" i="15"/>
  <c r="U1602" i="15"/>
  <c r="S1602" i="15"/>
  <c r="O1602" i="15"/>
  <c r="M1602" i="15"/>
  <c r="K1602" i="15"/>
  <c r="G1602" i="15"/>
  <c r="F1602" i="15"/>
  <c r="E1602" i="15"/>
  <c r="D1602" i="15"/>
  <c r="C1602" i="15"/>
  <c r="B1602" i="15"/>
  <c r="A1602" i="15"/>
  <c r="M1601" i="15"/>
  <c r="G1601" i="15"/>
  <c r="F1601" i="15"/>
  <c r="E1601" i="15"/>
  <c r="D1601" i="15"/>
  <c r="C1601" i="15"/>
  <c r="B1601" i="15"/>
  <c r="A1601" i="15"/>
  <c r="AE1600" i="15"/>
  <c r="Y1600" i="15"/>
  <c r="X1600" i="15"/>
  <c r="H1600" i="15"/>
  <c r="F1600" i="15"/>
  <c r="E1600" i="15"/>
  <c r="D1600" i="15"/>
  <c r="C1600" i="15"/>
  <c r="B1600" i="15"/>
  <c r="A1600" i="15"/>
  <c r="W1600" i="15" s="1"/>
  <c r="F1599" i="15"/>
  <c r="E1599" i="15"/>
  <c r="D1599" i="15"/>
  <c r="C1599" i="15"/>
  <c r="B1599" i="15"/>
  <c r="A1599" i="15"/>
  <c r="L1598" i="15"/>
  <c r="K1598" i="15"/>
  <c r="F1598" i="15"/>
  <c r="E1598" i="15"/>
  <c r="D1598" i="15"/>
  <c r="C1598" i="15"/>
  <c r="B1598" i="15"/>
  <c r="A1598" i="15"/>
  <c r="AC1597" i="15"/>
  <c r="V1597" i="15"/>
  <c r="F1597" i="15"/>
  <c r="E1597" i="15"/>
  <c r="D1597" i="15"/>
  <c r="C1597" i="15"/>
  <c r="B1597" i="15"/>
  <c r="A1597" i="15"/>
  <c r="O1596" i="15"/>
  <c r="I1596" i="15"/>
  <c r="F1596" i="15"/>
  <c r="E1596" i="15"/>
  <c r="D1596" i="15"/>
  <c r="C1596" i="15"/>
  <c r="B1596" i="15"/>
  <c r="A1596" i="15"/>
  <c r="AG1595" i="15"/>
  <c r="Y1595" i="15"/>
  <c r="T1595" i="15"/>
  <c r="F1595" i="15"/>
  <c r="E1595" i="15"/>
  <c r="D1595" i="15"/>
  <c r="C1595" i="15"/>
  <c r="B1595" i="15"/>
  <c r="A1595" i="15"/>
  <c r="AD1594" i="15"/>
  <c r="V1594" i="15"/>
  <c r="M1594" i="15"/>
  <c r="L1594" i="15"/>
  <c r="F1594" i="15"/>
  <c r="E1594" i="15"/>
  <c r="D1594" i="15"/>
  <c r="C1594" i="15"/>
  <c r="B1594" i="15"/>
  <c r="A1594" i="15"/>
  <c r="V1593" i="15"/>
  <c r="P1593" i="15"/>
  <c r="F1593" i="15"/>
  <c r="E1593" i="15"/>
  <c r="D1593" i="15"/>
  <c r="C1593" i="15"/>
  <c r="B1593" i="15"/>
  <c r="A1593" i="15"/>
  <c r="N1593" i="15" s="1"/>
  <c r="F1592" i="15"/>
  <c r="E1592" i="15"/>
  <c r="D1592" i="15"/>
  <c r="C1592" i="15"/>
  <c r="B1592" i="15"/>
  <c r="A1592" i="15"/>
  <c r="H1592" i="15" s="1"/>
  <c r="AH1591" i="15"/>
  <c r="I1591" i="15"/>
  <c r="F1591" i="15"/>
  <c r="E1591" i="15"/>
  <c r="D1591" i="15"/>
  <c r="C1591" i="15"/>
  <c r="B1591" i="15"/>
  <c r="A1591" i="15"/>
  <c r="K1591" i="15" s="1"/>
  <c r="AD1590" i="15"/>
  <c r="AC1590" i="15"/>
  <c r="S1590" i="15"/>
  <c r="L1590" i="15"/>
  <c r="G1590" i="15"/>
  <c r="F1590" i="15"/>
  <c r="E1590" i="15"/>
  <c r="D1590" i="15"/>
  <c r="C1590" i="15"/>
  <c r="B1590" i="15"/>
  <c r="A1590" i="15"/>
  <c r="AE1589" i="15"/>
  <c r="AC1589" i="15"/>
  <c r="X1589" i="15"/>
  <c r="P1589" i="15"/>
  <c r="H1589" i="15"/>
  <c r="G1589" i="15"/>
  <c r="F1589" i="15"/>
  <c r="E1589" i="15"/>
  <c r="D1589" i="15"/>
  <c r="C1589" i="15"/>
  <c r="B1589" i="15"/>
  <c r="A1589" i="15"/>
  <c r="Z1588" i="15"/>
  <c r="W1588" i="15"/>
  <c r="Q1588" i="15"/>
  <c r="F1588" i="15"/>
  <c r="E1588" i="15"/>
  <c r="D1588" i="15"/>
  <c r="C1588" i="15"/>
  <c r="B1588" i="15"/>
  <c r="A1588" i="15"/>
  <c r="Z1587" i="15"/>
  <c r="S1587" i="15"/>
  <c r="I1587" i="15"/>
  <c r="F1587" i="15"/>
  <c r="E1587" i="15"/>
  <c r="D1587" i="15"/>
  <c r="C1587" i="15"/>
  <c r="B1587" i="15"/>
  <c r="A1587" i="15"/>
  <c r="AC1586" i="15"/>
  <c r="AB1586" i="15"/>
  <c r="AA1586" i="15"/>
  <c r="U1586" i="15"/>
  <c r="S1586" i="15"/>
  <c r="O1586" i="15"/>
  <c r="L1586" i="15"/>
  <c r="F1586" i="15"/>
  <c r="E1586" i="15"/>
  <c r="D1586" i="15"/>
  <c r="C1586" i="15"/>
  <c r="B1586" i="15"/>
  <c r="A1586" i="15"/>
  <c r="AD1586" i="15" s="1"/>
  <c r="AE1585" i="15"/>
  <c r="AC1585" i="15"/>
  <c r="W1585" i="15"/>
  <c r="V1585" i="15"/>
  <c r="U1585" i="15"/>
  <c r="O1585" i="15"/>
  <c r="N1585" i="15"/>
  <c r="H1585" i="15"/>
  <c r="F1585" i="15"/>
  <c r="E1585" i="15"/>
  <c r="D1585" i="15"/>
  <c r="C1585" i="15"/>
  <c r="B1585" i="15"/>
  <c r="A1585" i="15"/>
  <c r="X1585" i="15" s="1"/>
  <c r="H1584" i="15"/>
  <c r="F1584" i="15"/>
  <c r="E1584" i="15"/>
  <c r="D1584" i="15"/>
  <c r="C1584" i="15"/>
  <c r="B1584" i="15"/>
  <c r="A1584" i="15"/>
  <c r="AG1584" i="15" s="1"/>
  <c r="F1583" i="15"/>
  <c r="E1583" i="15"/>
  <c r="D1583" i="15"/>
  <c r="C1583" i="15"/>
  <c r="B1583" i="15"/>
  <c r="A1583" i="15"/>
  <c r="AH1583" i="15" s="1"/>
  <c r="AD1582" i="15"/>
  <c r="AC1582" i="15"/>
  <c r="T1582" i="15"/>
  <c r="L1582" i="15"/>
  <c r="K1582" i="15"/>
  <c r="F1582" i="15"/>
  <c r="E1582" i="15"/>
  <c r="D1582" i="15"/>
  <c r="C1582" i="15"/>
  <c r="B1582" i="15"/>
  <c r="A1582" i="15"/>
  <c r="AF1581" i="15"/>
  <c r="V1581" i="15"/>
  <c r="U1581" i="15"/>
  <c r="P1581" i="15"/>
  <c r="N1581" i="15"/>
  <c r="H1581" i="15"/>
  <c r="F1581" i="15"/>
  <c r="E1581" i="15"/>
  <c r="D1581" i="15"/>
  <c r="C1581" i="15"/>
  <c r="B1581" i="15"/>
  <c r="A1581" i="15"/>
  <c r="Y1580" i="15"/>
  <c r="Q1580" i="15"/>
  <c r="F1580" i="15"/>
  <c r="E1580" i="15"/>
  <c r="D1580" i="15"/>
  <c r="C1580" i="15"/>
  <c r="B1580" i="15"/>
  <c r="A1580" i="15"/>
  <c r="AG1579" i="15"/>
  <c r="AA1579" i="15"/>
  <c r="Z1579" i="15"/>
  <c r="Y1579" i="15"/>
  <c r="J1579" i="15"/>
  <c r="I1579" i="15"/>
  <c r="F1579" i="15"/>
  <c r="E1579" i="15"/>
  <c r="D1579" i="15"/>
  <c r="C1579" i="15"/>
  <c r="B1579" i="15"/>
  <c r="A1579" i="15"/>
  <c r="T1579" i="15" s="1"/>
  <c r="AD1578" i="15"/>
  <c r="AB1578" i="15"/>
  <c r="AA1578" i="15"/>
  <c r="O1578" i="15"/>
  <c r="L1578" i="15"/>
  <c r="K1578" i="15"/>
  <c r="F1578" i="15"/>
  <c r="E1578" i="15"/>
  <c r="D1578" i="15"/>
  <c r="C1578" i="15"/>
  <c r="B1578" i="15"/>
  <c r="A1578" i="15"/>
  <c r="AF1577" i="15"/>
  <c r="AD1577" i="15"/>
  <c r="AC1577" i="15"/>
  <c r="X1577" i="15"/>
  <c r="N1577" i="15"/>
  <c r="H1577" i="15"/>
  <c r="G1577" i="15"/>
  <c r="F1577" i="15"/>
  <c r="E1577" i="15"/>
  <c r="D1577" i="15"/>
  <c r="C1577" i="15"/>
  <c r="B1577" i="15"/>
  <c r="A1577" i="15"/>
  <c r="I1576" i="15"/>
  <c r="H1576" i="15"/>
  <c r="F1576" i="15"/>
  <c r="E1576" i="15"/>
  <c r="D1576" i="15"/>
  <c r="C1576" i="15"/>
  <c r="B1576" i="15"/>
  <c r="A1576" i="15"/>
  <c r="Q1576" i="15" s="1"/>
  <c r="F1575" i="15"/>
  <c r="E1575" i="15"/>
  <c r="D1575" i="15"/>
  <c r="C1575" i="15"/>
  <c r="B1575" i="15"/>
  <c r="A1575" i="15"/>
  <c r="R1575" i="15" s="1"/>
  <c r="M1574" i="15"/>
  <c r="K1574" i="15"/>
  <c r="F1574" i="15"/>
  <c r="E1574" i="15"/>
  <c r="D1574" i="15"/>
  <c r="C1574" i="15"/>
  <c r="B1574" i="15"/>
  <c r="A1574" i="15"/>
  <c r="AD1573" i="15"/>
  <c r="X1573" i="15"/>
  <c r="W1573" i="15"/>
  <c r="V1573" i="15"/>
  <c r="U1573" i="15"/>
  <c r="G1573" i="15"/>
  <c r="F1573" i="15"/>
  <c r="E1573" i="15"/>
  <c r="D1573" i="15"/>
  <c r="C1573" i="15"/>
  <c r="B1573" i="15"/>
  <c r="A1573" i="15"/>
  <c r="M1573" i="15" s="1"/>
  <c r="W1572" i="15"/>
  <c r="I1572" i="15"/>
  <c r="F1572" i="15"/>
  <c r="E1572" i="15"/>
  <c r="D1572" i="15"/>
  <c r="C1572" i="15"/>
  <c r="B1572" i="15"/>
  <c r="A1572" i="15"/>
  <c r="Y1571" i="15"/>
  <c r="I1571" i="15"/>
  <c r="F1571" i="15"/>
  <c r="E1571" i="15"/>
  <c r="D1571" i="15"/>
  <c r="C1571" i="15"/>
  <c r="B1571" i="15"/>
  <c r="A1571" i="15"/>
  <c r="AE1570" i="15"/>
  <c r="AD1570" i="15"/>
  <c r="AC1570" i="15"/>
  <c r="AB1570" i="15"/>
  <c r="AA1570" i="15"/>
  <c r="V1570" i="15"/>
  <c r="U1570" i="15"/>
  <c r="T1570" i="15"/>
  <c r="S1570" i="15"/>
  <c r="O1570" i="15"/>
  <c r="N1570" i="15"/>
  <c r="M1570" i="15"/>
  <c r="K1570" i="15"/>
  <c r="G1570" i="15"/>
  <c r="F1570" i="15"/>
  <c r="E1570" i="15"/>
  <c r="D1570" i="15"/>
  <c r="C1570" i="15"/>
  <c r="B1570" i="15"/>
  <c r="A1570" i="15"/>
  <c r="AH1570" i="15" s="1"/>
  <c r="AE1569" i="15"/>
  <c r="AD1569" i="15"/>
  <c r="AC1569" i="15"/>
  <c r="W1569" i="15"/>
  <c r="P1569" i="15"/>
  <c r="O1569" i="15"/>
  <c r="H1569" i="15"/>
  <c r="F1569" i="15"/>
  <c r="E1569" i="15"/>
  <c r="D1569" i="15"/>
  <c r="C1569" i="15"/>
  <c r="B1569" i="15"/>
  <c r="A1569" i="15"/>
  <c r="AF1569" i="15" s="1"/>
  <c r="F1568" i="15"/>
  <c r="E1568" i="15"/>
  <c r="D1568" i="15"/>
  <c r="C1568" i="15"/>
  <c r="B1568" i="15"/>
  <c r="A1568" i="15"/>
  <c r="Q1568" i="15" s="1"/>
  <c r="K1567" i="15"/>
  <c r="I1567" i="15"/>
  <c r="F1567" i="15"/>
  <c r="E1567" i="15"/>
  <c r="D1567" i="15"/>
  <c r="C1567" i="15"/>
  <c r="B1567" i="15"/>
  <c r="A1567" i="15"/>
  <c r="AE1566" i="15"/>
  <c r="AD1566" i="15"/>
  <c r="AC1566" i="15"/>
  <c r="AB1566" i="15"/>
  <c r="AA1566" i="15"/>
  <c r="V1566" i="15"/>
  <c r="U1566" i="15"/>
  <c r="T1566" i="15"/>
  <c r="S1566" i="15"/>
  <c r="O1566" i="15"/>
  <c r="N1566" i="15"/>
  <c r="M1566" i="15"/>
  <c r="K1566" i="15"/>
  <c r="G1566" i="15"/>
  <c r="F1566" i="15"/>
  <c r="E1566" i="15"/>
  <c r="D1566" i="15"/>
  <c r="C1566" i="15"/>
  <c r="B1566" i="15"/>
  <c r="A1566" i="15"/>
  <c r="AH1566" i="15" s="1"/>
  <c r="AE1565" i="15"/>
  <c r="AC1565" i="15"/>
  <c r="X1565" i="15"/>
  <c r="W1565" i="15"/>
  <c r="V1565" i="15"/>
  <c r="P1565" i="15"/>
  <c r="N1565" i="15"/>
  <c r="H1565" i="15"/>
  <c r="G1565" i="15"/>
  <c r="F1565" i="15"/>
  <c r="E1565" i="15"/>
  <c r="D1565" i="15"/>
  <c r="C1565" i="15"/>
  <c r="B1565" i="15"/>
  <c r="A1565" i="15"/>
  <c r="I1564" i="15"/>
  <c r="G1564" i="15"/>
  <c r="F1564" i="15"/>
  <c r="E1564" i="15"/>
  <c r="D1564" i="15"/>
  <c r="C1564" i="15"/>
  <c r="B1564" i="15"/>
  <c r="A1564" i="15"/>
  <c r="AF1564" i="15" s="1"/>
  <c r="F1563" i="15"/>
  <c r="E1563" i="15"/>
  <c r="D1563" i="15"/>
  <c r="C1563" i="15"/>
  <c r="B1563" i="15"/>
  <c r="A1563" i="15"/>
  <c r="AG1563" i="15" s="1"/>
  <c r="AB1562" i="15"/>
  <c r="AA1562" i="15"/>
  <c r="V1562" i="15"/>
  <c r="T1562" i="15"/>
  <c r="O1562" i="15"/>
  <c r="N1562" i="15"/>
  <c r="G1562" i="15"/>
  <c r="F1562" i="15"/>
  <c r="E1562" i="15"/>
  <c r="D1562" i="15"/>
  <c r="C1562" i="15"/>
  <c r="B1562" i="15"/>
  <c r="A1562" i="15"/>
  <c r="AC1562" i="15" s="1"/>
  <c r="AF1561" i="15"/>
  <c r="AE1561" i="15"/>
  <c r="AD1561" i="15"/>
  <c r="X1561" i="15"/>
  <c r="W1561" i="15"/>
  <c r="V1561" i="15"/>
  <c r="U1561" i="15"/>
  <c r="P1561" i="15"/>
  <c r="O1561" i="15"/>
  <c r="N1561" i="15"/>
  <c r="H1561" i="15"/>
  <c r="G1561" i="15"/>
  <c r="F1561" i="15"/>
  <c r="E1561" i="15"/>
  <c r="D1561" i="15"/>
  <c r="C1561" i="15"/>
  <c r="B1561" i="15"/>
  <c r="A1561" i="15"/>
  <c r="AB1561" i="15" s="1"/>
  <c r="AH1560" i="15"/>
  <c r="AE1560" i="15"/>
  <c r="Y1560" i="15"/>
  <c r="X1560" i="15"/>
  <c r="W1560" i="15"/>
  <c r="R1560" i="15"/>
  <c r="Q1560" i="15"/>
  <c r="H1560" i="15"/>
  <c r="G1560" i="15"/>
  <c r="F1560" i="15"/>
  <c r="E1560" i="15"/>
  <c r="D1560" i="15"/>
  <c r="C1560" i="15"/>
  <c r="B1560" i="15"/>
  <c r="A1560" i="15"/>
  <c r="O1560" i="15" s="1"/>
  <c r="AA1559" i="15"/>
  <c r="S1559" i="15"/>
  <c r="F1559" i="15"/>
  <c r="E1559" i="15"/>
  <c r="D1559" i="15"/>
  <c r="C1559" i="15"/>
  <c r="B1559" i="15"/>
  <c r="A1559" i="15"/>
  <c r="U1558" i="15"/>
  <c r="O1558" i="15"/>
  <c r="F1558" i="15"/>
  <c r="E1558" i="15"/>
  <c r="D1558" i="15"/>
  <c r="C1558" i="15"/>
  <c r="B1558" i="15"/>
  <c r="A1558" i="15"/>
  <c r="N1558" i="15" s="1"/>
  <c r="AF1557" i="15"/>
  <c r="AE1557" i="15"/>
  <c r="AD1557" i="15"/>
  <c r="X1557" i="15"/>
  <c r="W1557" i="15"/>
  <c r="V1557" i="15"/>
  <c r="U1557" i="15"/>
  <c r="P1557" i="15"/>
  <c r="O1557" i="15"/>
  <c r="N1557" i="15"/>
  <c r="H1557" i="15"/>
  <c r="G1557" i="15"/>
  <c r="F1557" i="15"/>
  <c r="E1557" i="15"/>
  <c r="D1557" i="15"/>
  <c r="C1557" i="15"/>
  <c r="B1557" i="15"/>
  <c r="A1557" i="15"/>
  <c r="AB1557" i="15" s="1"/>
  <c r="Z1556" i="15"/>
  <c r="G1556" i="15"/>
  <c r="F1556" i="15"/>
  <c r="E1556" i="15"/>
  <c r="D1556" i="15"/>
  <c r="C1556" i="15"/>
  <c r="B1556" i="15"/>
  <c r="A1556" i="15"/>
  <c r="I1555" i="15"/>
  <c r="F1555" i="15"/>
  <c r="E1555" i="15"/>
  <c r="D1555" i="15"/>
  <c r="C1555" i="15"/>
  <c r="B1555" i="15"/>
  <c r="A1555" i="15"/>
  <c r="AD1554" i="15"/>
  <c r="AA1554" i="15"/>
  <c r="W1554" i="15"/>
  <c r="V1554" i="15"/>
  <c r="U1554" i="15"/>
  <c r="T1554" i="15"/>
  <c r="K1554" i="15"/>
  <c r="G1554" i="15"/>
  <c r="F1554" i="15"/>
  <c r="E1554" i="15"/>
  <c r="D1554" i="15"/>
  <c r="C1554" i="15"/>
  <c r="B1554" i="15"/>
  <c r="A1554" i="15"/>
  <c r="AF1553" i="15"/>
  <c r="AE1553" i="15"/>
  <c r="AD1553" i="15"/>
  <c r="AC1553" i="15"/>
  <c r="V1553" i="15"/>
  <c r="P1553" i="15"/>
  <c r="M1553" i="15"/>
  <c r="L1553" i="15"/>
  <c r="F1553" i="15"/>
  <c r="E1553" i="15"/>
  <c r="D1553" i="15"/>
  <c r="C1553" i="15"/>
  <c r="B1553" i="15"/>
  <c r="A1553" i="15"/>
  <c r="G1552" i="15"/>
  <c r="F1552" i="15"/>
  <c r="E1552" i="15"/>
  <c r="D1552" i="15"/>
  <c r="C1552" i="15"/>
  <c r="B1552" i="15"/>
  <c r="A1552" i="15"/>
  <c r="L1551" i="15"/>
  <c r="F1551" i="15"/>
  <c r="E1551" i="15"/>
  <c r="D1551" i="15"/>
  <c r="C1551" i="15"/>
  <c r="B1551" i="15"/>
  <c r="A1551" i="15"/>
  <c r="AB1551" i="15" s="1"/>
  <c r="AH1550" i="15"/>
  <c r="AC1550" i="15"/>
  <c r="AA1550" i="15"/>
  <c r="Z1550" i="15"/>
  <c r="U1550" i="15"/>
  <c r="T1550" i="15"/>
  <c r="S1550" i="15"/>
  <c r="N1550" i="15"/>
  <c r="L1550" i="15"/>
  <c r="J1550" i="15"/>
  <c r="F1550" i="15"/>
  <c r="E1550" i="15"/>
  <c r="D1550" i="15"/>
  <c r="C1550" i="15"/>
  <c r="B1550" i="15"/>
  <c r="A1550" i="15"/>
  <c r="AD1549" i="15"/>
  <c r="AC1549" i="15"/>
  <c r="AB1549" i="15"/>
  <c r="AA1549" i="15"/>
  <c r="T1549" i="15"/>
  <c r="K1549" i="15"/>
  <c r="G1549" i="15"/>
  <c r="F1549" i="15"/>
  <c r="E1549" i="15"/>
  <c r="D1549" i="15"/>
  <c r="C1549" i="15"/>
  <c r="B1549" i="15"/>
  <c r="A1549" i="15"/>
  <c r="AE1548" i="15"/>
  <c r="AD1548" i="15"/>
  <c r="Z1548" i="15"/>
  <c r="Y1548" i="15"/>
  <c r="J1548" i="15"/>
  <c r="H1548" i="15"/>
  <c r="F1548" i="15"/>
  <c r="E1548" i="15"/>
  <c r="D1548" i="15"/>
  <c r="C1548" i="15"/>
  <c r="B1548" i="15"/>
  <c r="A1548" i="15"/>
  <c r="AH1547" i="15"/>
  <c r="AF1547" i="15"/>
  <c r="AB1547" i="15"/>
  <c r="Z1547" i="15"/>
  <c r="T1547" i="15"/>
  <c r="L1547" i="15"/>
  <c r="I1547" i="15"/>
  <c r="F1547" i="15"/>
  <c r="E1547" i="15"/>
  <c r="D1547" i="15"/>
  <c r="C1547" i="15"/>
  <c r="B1547" i="15"/>
  <c r="A1547" i="15"/>
  <c r="AD1546" i="15"/>
  <c r="AC1546" i="15"/>
  <c r="AB1546" i="15"/>
  <c r="Z1546" i="15"/>
  <c r="V1546" i="15"/>
  <c r="U1546" i="15"/>
  <c r="S1546" i="15"/>
  <c r="R1546" i="15"/>
  <c r="N1546" i="15"/>
  <c r="M1546" i="15"/>
  <c r="K1546" i="15"/>
  <c r="J1546" i="15"/>
  <c r="F1546" i="15"/>
  <c r="E1546" i="15"/>
  <c r="D1546" i="15"/>
  <c r="C1546" i="15"/>
  <c r="B1546" i="15"/>
  <c r="A1546" i="15"/>
  <c r="N1545" i="15"/>
  <c r="L1545" i="15"/>
  <c r="F1545" i="15"/>
  <c r="E1545" i="15"/>
  <c r="D1545" i="15"/>
  <c r="C1545" i="15"/>
  <c r="B1545" i="15"/>
  <c r="A1545" i="15"/>
  <c r="Y1544" i="15"/>
  <c r="P1544" i="15"/>
  <c r="G1544" i="15"/>
  <c r="F1544" i="15"/>
  <c r="E1544" i="15"/>
  <c r="D1544" i="15"/>
  <c r="C1544" i="15"/>
  <c r="B1544" i="15"/>
  <c r="A1544" i="15"/>
  <c r="AB1543" i="15"/>
  <c r="J1543" i="15"/>
  <c r="F1543" i="15"/>
  <c r="E1543" i="15"/>
  <c r="D1543" i="15"/>
  <c r="C1543" i="15"/>
  <c r="B1543" i="15"/>
  <c r="A1543" i="15"/>
  <c r="H1543" i="15" s="1"/>
  <c r="AH1542" i="15"/>
  <c r="AC1542" i="15"/>
  <c r="AB1542" i="15"/>
  <c r="Z1542" i="15"/>
  <c r="V1542" i="15"/>
  <c r="U1542" i="15"/>
  <c r="T1542" i="15"/>
  <c r="R1542" i="15"/>
  <c r="N1542" i="15"/>
  <c r="M1542" i="15"/>
  <c r="K1542" i="15"/>
  <c r="J1542" i="15"/>
  <c r="F1542" i="15"/>
  <c r="E1542" i="15"/>
  <c r="D1542" i="15"/>
  <c r="C1542" i="15"/>
  <c r="B1542" i="15"/>
  <c r="A1542" i="15"/>
  <c r="AF1541" i="15"/>
  <c r="AD1541" i="15"/>
  <c r="AB1541" i="15"/>
  <c r="AA1541" i="15"/>
  <c r="U1541" i="15"/>
  <c r="O1541" i="15"/>
  <c r="M1541" i="15"/>
  <c r="L1541" i="15"/>
  <c r="F1541" i="15"/>
  <c r="E1541" i="15"/>
  <c r="D1541" i="15"/>
  <c r="C1541" i="15"/>
  <c r="B1541" i="15"/>
  <c r="A1541" i="15"/>
  <c r="V1540" i="15"/>
  <c r="Q1540" i="15"/>
  <c r="J1540" i="15"/>
  <c r="F1540" i="15"/>
  <c r="E1540" i="15"/>
  <c r="D1540" i="15"/>
  <c r="C1540" i="15"/>
  <c r="B1540" i="15"/>
  <c r="A1540" i="15"/>
  <c r="AG1539" i="15"/>
  <c r="AB1539" i="15"/>
  <c r="K1539" i="15"/>
  <c r="I1539" i="15"/>
  <c r="F1539" i="15"/>
  <c r="E1539" i="15"/>
  <c r="D1539" i="15"/>
  <c r="C1539" i="15"/>
  <c r="B1539" i="15"/>
  <c r="A1539" i="15"/>
  <c r="AH1538" i="15"/>
  <c r="AC1538" i="15"/>
  <c r="AB1538" i="15"/>
  <c r="AA1538" i="15"/>
  <c r="N1538" i="15"/>
  <c r="L1538" i="15"/>
  <c r="J1538" i="15"/>
  <c r="F1538" i="15"/>
  <c r="E1538" i="15"/>
  <c r="D1538" i="15"/>
  <c r="C1538" i="15"/>
  <c r="B1538" i="15"/>
  <c r="A1538" i="15"/>
  <c r="T1537" i="15"/>
  <c r="N1537" i="15"/>
  <c r="F1537" i="15"/>
  <c r="E1537" i="15"/>
  <c r="D1537" i="15"/>
  <c r="C1537" i="15"/>
  <c r="B1537" i="15"/>
  <c r="A1537" i="15"/>
  <c r="P1536" i="15"/>
  <c r="G1536" i="15"/>
  <c r="F1536" i="15"/>
  <c r="E1536" i="15"/>
  <c r="D1536" i="15"/>
  <c r="C1536" i="15"/>
  <c r="B1536" i="15"/>
  <c r="A1536" i="15"/>
  <c r="AF1535" i="15"/>
  <c r="AB1535" i="15"/>
  <c r="X1535" i="15"/>
  <c r="L1535" i="15"/>
  <c r="F1535" i="15"/>
  <c r="E1535" i="15"/>
  <c r="D1535" i="15"/>
  <c r="C1535" i="15"/>
  <c r="B1535" i="15"/>
  <c r="A1535" i="15"/>
  <c r="I1535" i="15" s="1"/>
  <c r="AH1534" i="15"/>
  <c r="AC1534" i="15"/>
  <c r="AA1534" i="15"/>
  <c r="Z1534" i="15"/>
  <c r="V1534" i="15"/>
  <c r="T1534" i="15"/>
  <c r="S1534" i="15"/>
  <c r="N1534" i="15"/>
  <c r="L1534" i="15"/>
  <c r="K1534" i="15"/>
  <c r="F1534" i="15"/>
  <c r="E1534" i="15"/>
  <c r="D1534" i="15"/>
  <c r="C1534" i="15"/>
  <c r="B1534" i="15"/>
  <c r="A1534" i="15"/>
  <c r="AF1533" i="15"/>
  <c r="AD1533" i="15"/>
  <c r="AC1533" i="15"/>
  <c r="AB1533" i="15"/>
  <c r="AA1533" i="15"/>
  <c r="X1533" i="15"/>
  <c r="W1533" i="15"/>
  <c r="V1533" i="15"/>
  <c r="T1533" i="15"/>
  <c r="S1533" i="15"/>
  <c r="P1533" i="15"/>
  <c r="O1533" i="15"/>
  <c r="N1533" i="15"/>
  <c r="M1533" i="15"/>
  <c r="L1533" i="15"/>
  <c r="H1533" i="15"/>
  <c r="G1533" i="15"/>
  <c r="F1533" i="15"/>
  <c r="E1533" i="15"/>
  <c r="D1533" i="15"/>
  <c r="C1533" i="15"/>
  <c r="B1533" i="15"/>
  <c r="A1533" i="15"/>
  <c r="AH1533" i="15" s="1"/>
  <c r="F1532" i="15"/>
  <c r="E1532" i="15"/>
  <c r="D1532" i="15"/>
  <c r="C1532" i="15"/>
  <c r="B1532" i="15"/>
  <c r="A1532" i="15"/>
  <c r="AE1532" i="15" s="1"/>
  <c r="AA1531" i="15"/>
  <c r="Y1531" i="15"/>
  <c r="F1531" i="15"/>
  <c r="E1531" i="15"/>
  <c r="D1531" i="15"/>
  <c r="C1531" i="15"/>
  <c r="B1531" i="15"/>
  <c r="A1531" i="15"/>
  <c r="AD1530" i="15"/>
  <c r="AB1530" i="15"/>
  <c r="Z1530" i="15"/>
  <c r="V1530" i="15"/>
  <c r="U1530" i="15"/>
  <c r="S1530" i="15"/>
  <c r="R1530" i="15"/>
  <c r="M1530" i="15"/>
  <c r="K1530" i="15"/>
  <c r="J1530" i="15"/>
  <c r="F1530" i="15"/>
  <c r="E1530" i="15"/>
  <c r="D1530" i="15"/>
  <c r="C1530" i="15"/>
  <c r="B1530" i="15"/>
  <c r="A1530" i="15"/>
  <c r="AF1529" i="15"/>
  <c r="AE1529" i="15"/>
  <c r="AC1529" i="15"/>
  <c r="W1529" i="15"/>
  <c r="S1529" i="15"/>
  <c r="O1529" i="15"/>
  <c r="N1529" i="15"/>
  <c r="F1529" i="15"/>
  <c r="E1529" i="15"/>
  <c r="D1529" i="15"/>
  <c r="C1529" i="15"/>
  <c r="B1529" i="15"/>
  <c r="A1529" i="15"/>
  <c r="H1528" i="15"/>
  <c r="G1528" i="15"/>
  <c r="F1528" i="15"/>
  <c r="E1528" i="15"/>
  <c r="D1528" i="15"/>
  <c r="C1528" i="15"/>
  <c r="B1528" i="15"/>
  <c r="A1528" i="15"/>
  <c r="AH1527" i="15"/>
  <c r="K1527" i="15"/>
  <c r="F1527" i="15"/>
  <c r="E1527" i="15"/>
  <c r="D1527" i="15"/>
  <c r="C1527" i="15"/>
  <c r="B1527" i="15"/>
  <c r="A1527" i="15"/>
  <c r="AH1526" i="15"/>
  <c r="AB1526" i="15"/>
  <c r="Z1526" i="15"/>
  <c r="V1526" i="15"/>
  <c r="U1526" i="15"/>
  <c r="T1526" i="15"/>
  <c r="S1526" i="15"/>
  <c r="M1526" i="15"/>
  <c r="K1526" i="15"/>
  <c r="J1526" i="15"/>
  <c r="F1526" i="15"/>
  <c r="E1526" i="15"/>
  <c r="D1526" i="15"/>
  <c r="C1526" i="15"/>
  <c r="B1526" i="15"/>
  <c r="A1526" i="15"/>
  <c r="AF1525" i="15"/>
  <c r="AE1525" i="15"/>
  <c r="AD1525" i="15"/>
  <c r="AC1525" i="15"/>
  <c r="AA1525" i="15"/>
  <c r="W1525" i="15"/>
  <c r="U1525" i="15"/>
  <c r="T1525" i="15"/>
  <c r="S1525" i="15"/>
  <c r="O1525" i="15"/>
  <c r="N1525" i="15"/>
  <c r="L1525" i="15"/>
  <c r="H1525" i="15"/>
  <c r="G1525" i="15"/>
  <c r="F1525" i="15"/>
  <c r="E1525" i="15"/>
  <c r="D1525" i="15"/>
  <c r="C1525" i="15"/>
  <c r="B1525" i="15"/>
  <c r="A1525" i="15"/>
  <c r="Y1524" i="15"/>
  <c r="I1524" i="15"/>
  <c r="H1524" i="15"/>
  <c r="F1524" i="15"/>
  <c r="E1524" i="15"/>
  <c r="D1524" i="15"/>
  <c r="C1524" i="15"/>
  <c r="B1524" i="15"/>
  <c r="A1524" i="15"/>
  <c r="W1524" i="15" s="1"/>
  <c r="K1523" i="15"/>
  <c r="F1523" i="15"/>
  <c r="E1523" i="15"/>
  <c r="D1523" i="15"/>
  <c r="C1523" i="15"/>
  <c r="B1523" i="15"/>
  <c r="A1523" i="15"/>
  <c r="AF1523" i="15" s="1"/>
  <c r="AH1522" i="15"/>
  <c r="AD1522" i="15"/>
  <c r="AC1522" i="15"/>
  <c r="AA1522" i="15"/>
  <c r="Z1522" i="15"/>
  <c r="V1522" i="15"/>
  <c r="T1522" i="15"/>
  <c r="S1522" i="15"/>
  <c r="R1522" i="15"/>
  <c r="N1522" i="15"/>
  <c r="L1522" i="15"/>
  <c r="K1522" i="15"/>
  <c r="F1522" i="15"/>
  <c r="E1522" i="15"/>
  <c r="D1522" i="15"/>
  <c r="C1522" i="15"/>
  <c r="B1522" i="15"/>
  <c r="A1522" i="15"/>
  <c r="AF1521" i="15"/>
  <c r="AD1521" i="15"/>
  <c r="AC1521" i="15"/>
  <c r="AB1521" i="15"/>
  <c r="AA1521" i="15"/>
  <c r="X1521" i="15"/>
  <c r="W1521" i="15"/>
  <c r="V1521" i="15"/>
  <c r="T1521" i="15"/>
  <c r="S1521" i="15"/>
  <c r="P1521" i="15"/>
  <c r="O1521" i="15"/>
  <c r="N1521" i="15"/>
  <c r="M1521" i="15"/>
  <c r="L1521" i="15"/>
  <c r="H1521" i="15"/>
  <c r="G1521" i="15"/>
  <c r="F1521" i="15"/>
  <c r="E1521" i="15"/>
  <c r="D1521" i="15"/>
  <c r="C1521" i="15"/>
  <c r="B1521" i="15"/>
  <c r="A1521" i="15"/>
  <c r="AH1521" i="15" s="1"/>
  <c r="AF1520" i="15"/>
  <c r="AD1520" i="15"/>
  <c r="Y1520" i="15"/>
  <c r="X1520" i="15"/>
  <c r="W1520" i="15"/>
  <c r="R1520" i="15"/>
  <c r="O1520" i="15"/>
  <c r="I1520" i="15"/>
  <c r="G1520" i="15"/>
  <c r="F1520" i="15"/>
  <c r="E1520" i="15"/>
  <c r="D1520" i="15"/>
  <c r="C1520" i="15"/>
  <c r="B1520" i="15"/>
  <c r="A1520" i="15"/>
  <c r="P1520" i="15" s="1"/>
  <c r="F1519" i="15"/>
  <c r="E1519" i="15"/>
  <c r="D1519" i="15"/>
  <c r="C1519" i="15"/>
  <c r="B1519" i="15"/>
  <c r="A1519" i="15"/>
  <c r="J1519" i="15" s="1"/>
  <c r="F1518" i="15"/>
  <c r="E1518" i="15"/>
  <c r="D1518" i="15"/>
  <c r="C1518" i="15"/>
  <c r="B1518" i="15"/>
  <c r="A1518" i="15"/>
  <c r="Z1518" i="15" s="1"/>
  <c r="AE1517" i="15"/>
  <c r="AD1517" i="15"/>
  <c r="AC1517" i="15"/>
  <c r="AB1517" i="15"/>
  <c r="X1517" i="15"/>
  <c r="U1517" i="15"/>
  <c r="T1517" i="15"/>
  <c r="S1517" i="15"/>
  <c r="P1517" i="15"/>
  <c r="O1517" i="15"/>
  <c r="M1517" i="15"/>
  <c r="H1517" i="15"/>
  <c r="G1517" i="15"/>
  <c r="F1517" i="15"/>
  <c r="E1517" i="15"/>
  <c r="D1517" i="15"/>
  <c r="C1517" i="15"/>
  <c r="B1517" i="15"/>
  <c r="A1517" i="15"/>
  <c r="AG1516" i="15"/>
  <c r="AE1516" i="15"/>
  <c r="AD1516" i="15"/>
  <c r="Y1516" i="15"/>
  <c r="J1516" i="15"/>
  <c r="H1516" i="15"/>
  <c r="F1516" i="15"/>
  <c r="E1516" i="15"/>
  <c r="D1516" i="15"/>
  <c r="C1516" i="15"/>
  <c r="B1516" i="15"/>
  <c r="A1516" i="15"/>
  <c r="AH1515" i="15"/>
  <c r="AF1515" i="15"/>
  <c r="AB1515" i="15"/>
  <c r="Y1515" i="15"/>
  <c r="R1515" i="15"/>
  <c r="L1515" i="15"/>
  <c r="I1515" i="15"/>
  <c r="F1515" i="15"/>
  <c r="E1515" i="15"/>
  <c r="D1515" i="15"/>
  <c r="C1515" i="15"/>
  <c r="B1515" i="15"/>
  <c r="A1515" i="15"/>
  <c r="AD1514" i="15"/>
  <c r="AC1514" i="15"/>
  <c r="AA1514" i="15"/>
  <c r="V1514" i="15"/>
  <c r="U1514" i="15"/>
  <c r="S1514" i="15"/>
  <c r="L1514" i="15"/>
  <c r="J1514" i="15"/>
  <c r="F1514" i="15"/>
  <c r="E1514" i="15"/>
  <c r="D1514" i="15"/>
  <c r="C1514" i="15"/>
  <c r="B1514" i="15"/>
  <c r="A1514" i="15"/>
  <c r="AF1513" i="15"/>
  <c r="AE1513" i="15"/>
  <c r="AC1513" i="15"/>
  <c r="AB1513" i="15"/>
  <c r="AA1513" i="15"/>
  <c r="X1513" i="15"/>
  <c r="V1513" i="15"/>
  <c r="U1513" i="15"/>
  <c r="S1513" i="15"/>
  <c r="P1513" i="15"/>
  <c r="O1513" i="15"/>
  <c r="N1513" i="15"/>
  <c r="M1513" i="15"/>
  <c r="K1513" i="15"/>
  <c r="G1513" i="15"/>
  <c r="F1513" i="15"/>
  <c r="E1513" i="15"/>
  <c r="D1513" i="15"/>
  <c r="C1513" i="15"/>
  <c r="B1513" i="15"/>
  <c r="A1513" i="15"/>
  <c r="AF1512" i="15"/>
  <c r="N1512" i="15"/>
  <c r="F1512" i="15"/>
  <c r="E1512" i="15"/>
  <c r="D1512" i="15"/>
  <c r="C1512" i="15"/>
  <c r="B1512" i="15"/>
  <c r="A1512" i="15"/>
  <c r="O1512" i="15" s="1"/>
  <c r="F1511" i="15"/>
  <c r="E1511" i="15"/>
  <c r="D1511" i="15"/>
  <c r="C1511" i="15"/>
  <c r="B1511" i="15"/>
  <c r="A1511" i="15"/>
  <c r="X1511" i="15" s="1"/>
  <c r="AH1510" i="15"/>
  <c r="AD1510" i="15"/>
  <c r="AC1510" i="15"/>
  <c r="AB1510" i="15"/>
  <c r="AA1510" i="15"/>
  <c r="V1510" i="15"/>
  <c r="U1510" i="15"/>
  <c r="T1510" i="15"/>
  <c r="S1510" i="15"/>
  <c r="R1510" i="15"/>
  <c r="N1510" i="15"/>
  <c r="M1510" i="15"/>
  <c r="K1510" i="15"/>
  <c r="J1510" i="15"/>
  <c r="F1510" i="15"/>
  <c r="E1510" i="15"/>
  <c r="D1510" i="15"/>
  <c r="C1510" i="15"/>
  <c r="B1510" i="15"/>
  <c r="A1510" i="15"/>
  <c r="AG1510" i="15" s="1"/>
  <c r="AC1509" i="15"/>
  <c r="AA1509" i="15"/>
  <c r="X1509" i="15"/>
  <c r="V1509" i="15"/>
  <c r="U1509" i="15"/>
  <c r="L1509" i="15"/>
  <c r="H1509" i="15"/>
  <c r="G1509" i="15"/>
  <c r="F1509" i="15"/>
  <c r="E1509" i="15"/>
  <c r="D1509" i="15"/>
  <c r="C1509" i="15"/>
  <c r="B1509" i="15"/>
  <c r="A1509" i="15"/>
  <c r="P1508" i="15"/>
  <c r="H1508" i="15"/>
  <c r="F1508" i="15"/>
  <c r="E1508" i="15"/>
  <c r="D1508" i="15"/>
  <c r="C1508" i="15"/>
  <c r="B1508" i="15"/>
  <c r="A1508" i="15"/>
  <c r="AF1507" i="15"/>
  <c r="AA1507" i="15"/>
  <c r="Y1507" i="15"/>
  <c r="T1507" i="15"/>
  <c r="K1507" i="15"/>
  <c r="H1507" i="15"/>
  <c r="F1507" i="15"/>
  <c r="E1507" i="15"/>
  <c r="D1507" i="15"/>
  <c r="C1507" i="15"/>
  <c r="B1507" i="15"/>
  <c r="A1507" i="15"/>
  <c r="AH1506" i="15"/>
  <c r="AD1506" i="15"/>
  <c r="AC1506" i="15"/>
  <c r="AB1506" i="15"/>
  <c r="AA1506" i="15"/>
  <c r="V1506" i="15"/>
  <c r="U1506" i="15"/>
  <c r="T1506" i="15"/>
  <c r="S1506" i="15"/>
  <c r="R1506" i="15"/>
  <c r="N1506" i="15"/>
  <c r="M1506" i="15"/>
  <c r="K1506" i="15"/>
  <c r="J1506" i="15"/>
  <c r="F1506" i="15"/>
  <c r="E1506" i="15"/>
  <c r="D1506" i="15"/>
  <c r="C1506" i="15"/>
  <c r="B1506" i="15"/>
  <c r="A1506" i="15"/>
  <c r="AG1506" i="15" s="1"/>
  <c r="AF1505" i="15"/>
  <c r="AE1505" i="15"/>
  <c r="X1505" i="15"/>
  <c r="V1505" i="15"/>
  <c r="U1505" i="15"/>
  <c r="T1505" i="15"/>
  <c r="P1505" i="15"/>
  <c r="N1505" i="15"/>
  <c r="H1505" i="15"/>
  <c r="G1505" i="15"/>
  <c r="F1505" i="15"/>
  <c r="E1505" i="15"/>
  <c r="D1505" i="15"/>
  <c r="C1505" i="15"/>
  <c r="B1505" i="15"/>
  <c r="A1505" i="15"/>
  <c r="P1504" i="15"/>
  <c r="F1504" i="15"/>
  <c r="E1504" i="15"/>
  <c r="D1504" i="15"/>
  <c r="C1504" i="15"/>
  <c r="B1504" i="15"/>
  <c r="A1504" i="15"/>
  <c r="Z1503" i="15"/>
  <c r="X1503" i="15"/>
  <c r="T1503" i="15"/>
  <c r="I1503" i="15"/>
  <c r="H1503" i="15"/>
  <c r="F1503" i="15"/>
  <c r="E1503" i="15"/>
  <c r="D1503" i="15"/>
  <c r="C1503" i="15"/>
  <c r="B1503" i="15"/>
  <c r="A1503" i="15"/>
  <c r="S1503" i="15" s="1"/>
  <c r="AH1502" i="15"/>
  <c r="AB1502" i="15"/>
  <c r="AA1502" i="15"/>
  <c r="Z1502" i="15"/>
  <c r="S1502" i="15"/>
  <c r="M1502" i="15"/>
  <c r="K1502" i="15"/>
  <c r="J1502" i="15"/>
  <c r="F1502" i="15"/>
  <c r="E1502" i="15"/>
  <c r="D1502" i="15"/>
  <c r="C1502" i="15"/>
  <c r="B1502" i="15"/>
  <c r="A1502" i="15"/>
  <c r="AF1501" i="15"/>
  <c r="AE1501" i="15"/>
  <c r="AD1501" i="15"/>
  <c r="V1501" i="15"/>
  <c r="U1501" i="15"/>
  <c r="T1501" i="15"/>
  <c r="S1501" i="15"/>
  <c r="N1501" i="15"/>
  <c r="L1501" i="15"/>
  <c r="G1501" i="15"/>
  <c r="F1501" i="15"/>
  <c r="E1501" i="15"/>
  <c r="D1501" i="15"/>
  <c r="C1501" i="15"/>
  <c r="B1501" i="15"/>
  <c r="A1501" i="15"/>
  <c r="W1501" i="15" s="1"/>
  <c r="O1500" i="15"/>
  <c r="J1500" i="15"/>
  <c r="F1500" i="15"/>
  <c r="E1500" i="15"/>
  <c r="D1500" i="15"/>
  <c r="C1500" i="15"/>
  <c r="B1500" i="15"/>
  <c r="A1500" i="15"/>
  <c r="Q1500" i="15" s="1"/>
  <c r="AA1499" i="15"/>
  <c r="X1499" i="15"/>
  <c r="H1499" i="15"/>
  <c r="F1499" i="15"/>
  <c r="E1499" i="15"/>
  <c r="D1499" i="15"/>
  <c r="C1499" i="15"/>
  <c r="B1499" i="15"/>
  <c r="A1499" i="15"/>
  <c r="I1499" i="15" s="1"/>
  <c r="AH1498" i="15"/>
  <c r="AD1498" i="15"/>
  <c r="AC1498" i="15"/>
  <c r="AA1498" i="15"/>
  <c r="Z1498" i="15"/>
  <c r="V1498" i="15"/>
  <c r="T1498" i="15"/>
  <c r="S1498" i="15"/>
  <c r="R1498" i="15"/>
  <c r="N1498" i="15"/>
  <c r="L1498" i="15"/>
  <c r="K1498" i="15"/>
  <c r="F1498" i="15"/>
  <c r="E1498" i="15"/>
  <c r="D1498" i="15"/>
  <c r="C1498" i="15"/>
  <c r="B1498" i="15"/>
  <c r="A1498" i="15"/>
  <c r="AF1497" i="15"/>
  <c r="AD1497" i="15"/>
  <c r="AC1497" i="15"/>
  <c r="AB1497" i="15"/>
  <c r="AA1497" i="15"/>
  <c r="X1497" i="15"/>
  <c r="W1497" i="15"/>
  <c r="V1497" i="15"/>
  <c r="T1497" i="15"/>
  <c r="S1497" i="15"/>
  <c r="P1497" i="15"/>
  <c r="O1497" i="15"/>
  <c r="N1497" i="15"/>
  <c r="M1497" i="15"/>
  <c r="L1497" i="15"/>
  <c r="H1497" i="15"/>
  <c r="G1497" i="15"/>
  <c r="F1497" i="15"/>
  <c r="E1497" i="15"/>
  <c r="D1497" i="15"/>
  <c r="C1497" i="15"/>
  <c r="B1497" i="15"/>
  <c r="A1497" i="15"/>
  <c r="AH1497" i="15" s="1"/>
  <c r="V1496" i="15"/>
  <c r="P1496" i="15"/>
  <c r="G1496" i="15"/>
  <c r="F1496" i="15"/>
  <c r="E1496" i="15"/>
  <c r="D1496" i="15"/>
  <c r="C1496" i="15"/>
  <c r="B1496" i="15"/>
  <c r="A1496" i="15"/>
  <c r="F1495" i="15"/>
  <c r="E1495" i="15"/>
  <c r="D1495" i="15"/>
  <c r="C1495" i="15"/>
  <c r="B1495" i="15"/>
  <c r="A1495" i="15"/>
  <c r="AH1494" i="15"/>
  <c r="L1494" i="15"/>
  <c r="J1494" i="15"/>
  <c r="F1494" i="15"/>
  <c r="E1494" i="15"/>
  <c r="D1494" i="15"/>
  <c r="C1494" i="15"/>
  <c r="B1494" i="15"/>
  <c r="A1494" i="15"/>
  <c r="F1493" i="15"/>
  <c r="E1493" i="15"/>
  <c r="D1493" i="15"/>
  <c r="C1493" i="15"/>
  <c r="B1493" i="15"/>
  <c r="A1493" i="15"/>
  <c r="N1493" i="15" s="1"/>
  <c r="F1492" i="15"/>
  <c r="E1492" i="15"/>
  <c r="D1492" i="15"/>
  <c r="C1492" i="15"/>
  <c r="B1492" i="15"/>
  <c r="A1492" i="15"/>
  <c r="Y1491" i="15"/>
  <c r="F1491" i="15"/>
  <c r="E1491" i="15"/>
  <c r="D1491" i="15"/>
  <c r="C1491" i="15"/>
  <c r="B1491" i="15"/>
  <c r="A1491" i="15"/>
  <c r="Z1491" i="15" s="1"/>
  <c r="AH1490" i="15"/>
  <c r="AC1490" i="15"/>
  <c r="AB1490" i="15"/>
  <c r="Z1490" i="15"/>
  <c r="V1490" i="15"/>
  <c r="U1490" i="15"/>
  <c r="T1490" i="15"/>
  <c r="R1490" i="15"/>
  <c r="N1490" i="15"/>
  <c r="M1490" i="15"/>
  <c r="K1490" i="15"/>
  <c r="J1490" i="15"/>
  <c r="F1490" i="15"/>
  <c r="E1490" i="15"/>
  <c r="D1490" i="15"/>
  <c r="C1490" i="15"/>
  <c r="B1490" i="15"/>
  <c r="A1490" i="15"/>
  <c r="AD1489" i="15"/>
  <c r="AB1489" i="15"/>
  <c r="AA1489" i="15"/>
  <c r="X1489" i="15"/>
  <c r="P1489" i="15"/>
  <c r="O1489" i="15"/>
  <c r="N1489" i="15"/>
  <c r="L1489" i="15"/>
  <c r="H1489" i="15"/>
  <c r="F1489" i="15"/>
  <c r="E1489" i="15"/>
  <c r="D1489" i="15"/>
  <c r="C1489" i="15"/>
  <c r="B1489" i="15"/>
  <c r="A1489" i="15"/>
  <c r="AD1488" i="15"/>
  <c r="W1488" i="15"/>
  <c r="O1488" i="15"/>
  <c r="N1488" i="15"/>
  <c r="F1488" i="15"/>
  <c r="E1488" i="15"/>
  <c r="D1488" i="15"/>
  <c r="C1488" i="15"/>
  <c r="B1488" i="15"/>
  <c r="A1488" i="15"/>
  <c r="S1487" i="15"/>
  <c r="H1487" i="15"/>
  <c r="F1487" i="15"/>
  <c r="E1487" i="15"/>
  <c r="D1487" i="15"/>
  <c r="C1487" i="15"/>
  <c r="B1487" i="15"/>
  <c r="A1487" i="15"/>
  <c r="AD1486" i="15"/>
  <c r="AC1486" i="15"/>
  <c r="AB1486" i="15"/>
  <c r="Z1486" i="15"/>
  <c r="N1486" i="15"/>
  <c r="K1486" i="15"/>
  <c r="J1486" i="15"/>
  <c r="F1486" i="15"/>
  <c r="E1486" i="15"/>
  <c r="D1486" i="15"/>
  <c r="C1486" i="15"/>
  <c r="B1486" i="15"/>
  <c r="A1486" i="15"/>
  <c r="AF1485" i="15"/>
  <c r="AE1485" i="15"/>
  <c r="AD1485" i="15"/>
  <c r="AC1485" i="15"/>
  <c r="V1485" i="15"/>
  <c r="U1485" i="15"/>
  <c r="T1485" i="15"/>
  <c r="S1485" i="15"/>
  <c r="P1485" i="15"/>
  <c r="M1485" i="15"/>
  <c r="H1485" i="15"/>
  <c r="G1485" i="15"/>
  <c r="F1485" i="15"/>
  <c r="E1485" i="15"/>
  <c r="D1485" i="15"/>
  <c r="C1485" i="15"/>
  <c r="B1485" i="15"/>
  <c r="A1485" i="15"/>
  <c r="AG1484" i="15"/>
  <c r="AE1484" i="15"/>
  <c r="AD1484" i="15"/>
  <c r="V1484" i="15"/>
  <c r="J1484" i="15"/>
  <c r="G1484" i="15"/>
  <c r="F1484" i="15"/>
  <c r="E1484" i="15"/>
  <c r="D1484" i="15"/>
  <c r="C1484" i="15"/>
  <c r="B1484" i="15"/>
  <c r="A1484" i="15"/>
  <c r="AB1483" i="15"/>
  <c r="Z1483" i="15"/>
  <c r="F1483" i="15"/>
  <c r="E1483" i="15"/>
  <c r="D1483" i="15"/>
  <c r="C1483" i="15"/>
  <c r="B1483" i="15"/>
  <c r="A1483" i="15"/>
  <c r="R1482" i="15"/>
  <c r="L1482" i="15"/>
  <c r="F1482" i="15"/>
  <c r="E1482" i="15"/>
  <c r="D1482" i="15"/>
  <c r="C1482" i="15"/>
  <c r="B1482" i="15"/>
  <c r="A1482" i="15"/>
  <c r="AD1481" i="15"/>
  <c r="W1481" i="15"/>
  <c r="V1481" i="15"/>
  <c r="U1481" i="15"/>
  <c r="S1481" i="15"/>
  <c r="H1481" i="15"/>
  <c r="G1481" i="15"/>
  <c r="F1481" i="15"/>
  <c r="E1481" i="15"/>
  <c r="D1481" i="15"/>
  <c r="C1481" i="15"/>
  <c r="B1481" i="15"/>
  <c r="A1481" i="15"/>
  <c r="O1480" i="15"/>
  <c r="N1480" i="15"/>
  <c r="F1480" i="15"/>
  <c r="E1480" i="15"/>
  <c r="D1480" i="15"/>
  <c r="C1480" i="15"/>
  <c r="B1480" i="15"/>
  <c r="A1480" i="15"/>
  <c r="Q1480" i="15" s="1"/>
  <c r="AA1479" i="15"/>
  <c r="Z1479" i="15"/>
  <c r="X1479" i="15"/>
  <c r="J1479" i="15"/>
  <c r="H1479" i="15"/>
  <c r="F1479" i="15"/>
  <c r="E1479" i="15"/>
  <c r="D1479" i="15"/>
  <c r="C1479" i="15"/>
  <c r="B1479" i="15"/>
  <c r="A1479" i="15"/>
  <c r="S1479" i="15" s="1"/>
  <c r="AH1478" i="15"/>
  <c r="AB1478" i="15"/>
  <c r="AA1478" i="15"/>
  <c r="Z1478" i="15"/>
  <c r="U1478" i="15"/>
  <c r="S1478" i="15"/>
  <c r="R1478" i="15"/>
  <c r="L1478" i="15"/>
  <c r="J1478" i="15"/>
  <c r="F1478" i="15"/>
  <c r="E1478" i="15"/>
  <c r="D1478" i="15"/>
  <c r="C1478" i="15"/>
  <c r="B1478" i="15"/>
  <c r="A1478" i="15"/>
  <c r="AE1477" i="15"/>
  <c r="AC1477" i="15"/>
  <c r="AA1477" i="15"/>
  <c r="X1477" i="15"/>
  <c r="W1477" i="15"/>
  <c r="S1477" i="15"/>
  <c r="P1477" i="15"/>
  <c r="N1477" i="15"/>
  <c r="K1477" i="15"/>
  <c r="H1477" i="15"/>
  <c r="F1477" i="15"/>
  <c r="E1477" i="15"/>
  <c r="D1477" i="15"/>
  <c r="C1477" i="15"/>
  <c r="B1477" i="15"/>
  <c r="A1477" i="15"/>
  <c r="P1476" i="15"/>
  <c r="F1476" i="15"/>
  <c r="E1476" i="15"/>
  <c r="D1476" i="15"/>
  <c r="C1476" i="15"/>
  <c r="B1476" i="15"/>
  <c r="A1476" i="15"/>
  <c r="AH1475" i="15"/>
  <c r="AB1475" i="15"/>
  <c r="AA1475" i="15"/>
  <c r="Y1475" i="15"/>
  <c r="T1475" i="15"/>
  <c r="S1475" i="15"/>
  <c r="R1475" i="15"/>
  <c r="Q1475" i="15"/>
  <c r="I1475" i="15"/>
  <c r="H1475" i="15"/>
  <c r="F1475" i="15"/>
  <c r="E1475" i="15"/>
  <c r="D1475" i="15"/>
  <c r="C1475" i="15"/>
  <c r="B1475" i="15"/>
  <c r="A1475" i="15"/>
  <c r="AC1474" i="15"/>
  <c r="AB1474" i="15"/>
  <c r="L1474" i="15"/>
  <c r="J1474" i="15"/>
  <c r="F1474" i="15"/>
  <c r="E1474" i="15"/>
  <c r="D1474" i="15"/>
  <c r="C1474" i="15"/>
  <c r="B1474" i="15"/>
  <c r="A1474" i="15"/>
  <c r="AC1473" i="15"/>
  <c r="P1473" i="15"/>
  <c r="N1473" i="15"/>
  <c r="F1473" i="15"/>
  <c r="E1473" i="15"/>
  <c r="D1473" i="15"/>
  <c r="C1473" i="15"/>
  <c r="B1473" i="15"/>
  <c r="A1473" i="15"/>
  <c r="F1472" i="15"/>
  <c r="E1472" i="15"/>
  <c r="D1472" i="15"/>
  <c r="C1472" i="15"/>
  <c r="B1472" i="15"/>
  <c r="A1472" i="15"/>
  <c r="P1472" i="15" s="1"/>
  <c r="X1471" i="15"/>
  <c r="T1471" i="15"/>
  <c r="H1471" i="15"/>
  <c r="F1471" i="15"/>
  <c r="E1471" i="15"/>
  <c r="D1471" i="15"/>
  <c r="C1471" i="15"/>
  <c r="B1471" i="15"/>
  <c r="A1471" i="15"/>
  <c r="Z1471" i="15" s="1"/>
  <c r="AH1470" i="15"/>
  <c r="AD1470" i="15"/>
  <c r="AC1470" i="15"/>
  <c r="Z1470" i="15"/>
  <c r="V1470" i="15"/>
  <c r="U1470" i="15"/>
  <c r="T1470" i="15"/>
  <c r="S1470" i="15"/>
  <c r="R1470" i="15"/>
  <c r="N1470" i="15"/>
  <c r="K1470" i="15"/>
  <c r="J1470" i="15"/>
  <c r="F1470" i="15"/>
  <c r="E1470" i="15"/>
  <c r="D1470" i="15"/>
  <c r="C1470" i="15"/>
  <c r="B1470" i="15"/>
  <c r="A1470" i="15"/>
  <c r="AF1469" i="15"/>
  <c r="AE1469" i="15"/>
  <c r="AD1469" i="15"/>
  <c r="AC1469" i="15"/>
  <c r="AB1469" i="15"/>
  <c r="AA1469" i="15"/>
  <c r="W1469" i="15"/>
  <c r="U1469" i="15"/>
  <c r="T1469" i="15"/>
  <c r="S1469" i="15"/>
  <c r="P1469" i="15"/>
  <c r="O1469" i="15"/>
  <c r="M1469" i="15"/>
  <c r="L1469" i="15"/>
  <c r="H1469" i="15"/>
  <c r="G1469" i="15"/>
  <c r="F1469" i="15"/>
  <c r="E1469" i="15"/>
  <c r="D1469" i="15"/>
  <c r="C1469" i="15"/>
  <c r="B1469" i="15"/>
  <c r="A1469" i="15"/>
  <c r="AG1468" i="15"/>
  <c r="AF1468" i="15"/>
  <c r="AE1468" i="15"/>
  <c r="Q1468" i="15"/>
  <c r="O1468" i="15"/>
  <c r="F1468" i="15"/>
  <c r="E1468" i="15"/>
  <c r="D1468" i="15"/>
  <c r="C1468" i="15"/>
  <c r="B1468" i="15"/>
  <c r="A1468" i="15"/>
  <c r="Y1467" i="15"/>
  <c r="F1467" i="15"/>
  <c r="E1467" i="15"/>
  <c r="D1467" i="15"/>
  <c r="C1467" i="15"/>
  <c r="B1467" i="15"/>
  <c r="A1467" i="15"/>
  <c r="L1466" i="15"/>
  <c r="K1466" i="15"/>
  <c r="F1466" i="15"/>
  <c r="E1466" i="15"/>
  <c r="D1466" i="15"/>
  <c r="C1466" i="15"/>
  <c r="B1466" i="15"/>
  <c r="A1466" i="15"/>
  <c r="AF1465" i="15"/>
  <c r="AB1465" i="15"/>
  <c r="U1465" i="15"/>
  <c r="T1465" i="15"/>
  <c r="N1465" i="15"/>
  <c r="L1465" i="15"/>
  <c r="F1465" i="15"/>
  <c r="E1465" i="15"/>
  <c r="D1465" i="15"/>
  <c r="C1465" i="15"/>
  <c r="B1465" i="15"/>
  <c r="A1465" i="15"/>
  <c r="R1464" i="15"/>
  <c r="N1464" i="15"/>
  <c r="G1464" i="15"/>
  <c r="F1464" i="15"/>
  <c r="E1464" i="15"/>
  <c r="D1464" i="15"/>
  <c r="C1464" i="15"/>
  <c r="B1464" i="15"/>
  <c r="A1464" i="15"/>
  <c r="I1463" i="15"/>
  <c r="H1463" i="15"/>
  <c r="F1463" i="15"/>
  <c r="E1463" i="15"/>
  <c r="D1463" i="15"/>
  <c r="C1463" i="15"/>
  <c r="B1463" i="15"/>
  <c r="A1463" i="15"/>
  <c r="Z1463" i="15" s="1"/>
  <c r="F1462" i="15"/>
  <c r="E1462" i="15"/>
  <c r="D1462" i="15"/>
  <c r="C1462" i="15"/>
  <c r="B1462" i="15"/>
  <c r="A1462" i="15"/>
  <c r="T1462" i="15" s="1"/>
  <c r="AA1461" i="15"/>
  <c r="X1461" i="15"/>
  <c r="W1461" i="15"/>
  <c r="V1461" i="15"/>
  <c r="U1461" i="15"/>
  <c r="M1461" i="15"/>
  <c r="K1461" i="15"/>
  <c r="H1461" i="15"/>
  <c r="F1461" i="15"/>
  <c r="E1461" i="15"/>
  <c r="D1461" i="15"/>
  <c r="C1461" i="15"/>
  <c r="B1461" i="15"/>
  <c r="A1461" i="15"/>
  <c r="V1460" i="15"/>
  <c r="Q1460" i="15"/>
  <c r="F1460" i="15"/>
  <c r="E1460" i="15"/>
  <c r="D1460" i="15"/>
  <c r="C1460" i="15"/>
  <c r="B1460" i="15"/>
  <c r="A1460" i="15"/>
  <c r="Y1459" i="15"/>
  <c r="X1459" i="15"/>
  <c r="F1459" i="15"/>
  <c r="E1459" i="15"/>
  <c r="D1459" i="15"/>
  <c r="C1459" i="15"/>
  <c r="B1459" i="15"/>
  <c r="A1459" i="15"/>
  <c r="AD1458" i="15"/>
  <c r="AB1458" i="15"/>
  <c r="AA1458" i="15"/>
  <c r="V1458" i="15"/>
  <c r="K1458" i="15"/>
  <c r="J1458" i="15"/>
  <c r="F1458" i="15"/>
  <c r="E1458" i="15"/>
  <c r="D1458" i="15"/>
  <c r="C1458" i="15"/>
  <c r="B1458" i="15"/>
  <c r="A1458" i="15"/>
  <c r="AF1457" i="15"/>
  <c r="AE1457" i="15"/>
  <c r="AC1457" i="15"/>
  <c r="AB1457" i="15"/>
  <c r="V1457" i="15"/>
  <c r="U1457" i="15"/>
  <c r="S1457" i="15"/>
  <c r="P1457" i="15"/>
  <c r="O1457" i="15"/>
  <c r="N1457" i="15"/>
  <c r="G1457" i="15"/>
  <c r="F1457" i="15"/>
  <c r="E1457" i="15"/>
  <c r="D1457" i="15"/>
  <c r="C1457" i="15"/>
  <c r="B1457" i="15"/>
  <c r="A1457" i="15"/>
  <c r="W1457" i="15" s="1"/>
  <c r="Y1456" i="15"/>
  <c r="W1456" i="15"/>
  <c r="F1456" i="15"/>
  <c r="E1456" i="15"/>
  <c r="D1456" i="15"/>
  <c r="C1456" i="15"/>
  <c r="B1456" i="15"/>
  <c r="A1456" i="15"/>
  <c r="J1455" i="15"/>
  <c r="H1455" i="15"/>
  <c r="F1455" i="15"/>
  <c r="E1455" i="15"/>
  <c r="D1455" i="15"/>
  <c r="C1455" i="15"/>
  <c r="B1455" i="15"/>
  <c r="A1455" i="15"/>
  <c r="AH1454" i="15"/>
  <c r="AD1454" i="15"/>
  <c r="AA1454" i="15"/>
  <c r="Z1454" i="15"/>
  <c r="S1454" i="15"/>
  <c r="K1454" i="15"/>
  <c r="J1454" i="15"/>
  <c r="F1454" i="15"/>
  <c r="E1454" i="15"/>
  <c r="D1454" i="15"/>
  <c r="C1454" i="15"/>
  <c r="B1454" i="15"/>
  <c r="A1454" i="15"/>
  <c r="K1453" i="15"/>
  <c r="H1453" i="15"/>
  <c r="F1453" i="15"/>
  <c r="E1453" i="15"/>
  <c r="D1453" i="15"/>
  <c r="C1453" i="15"/>
  <c r="B1453" i="15"/>
  <c r="A1453" i="15"/>
  <c r="AG1452" i="15"/>
  <c r="AE1452" i="15"/>
  <c r="Z1452" i="15"/>
  <c r="Y1452" i="15"/>
  <c r="X1452" i="15"/>
  <c r="V1452" i="15"/>
  <c r="Q1452" i="15"/>
  <c r="P1452" i="15"/>
  <c r="O1452" i="15"/>
  <c r="J1452" i="15"/>
  <c r="H1452" i="15"/>
  <c r="F1452" i="15"/>
  <c r="E1452" i="15"/>
  <c r="D1452" i="15"/>
  <c r="C1452" i="15"/>
  <c r="B1452" i="15"/>
  <c r="A1452" i="15"/>
  <c r="AF1452" i="15" s="1"/>
  <c r="K1451" i="15"/>
  <c r="I1451" i="15"/>
  <c r="F1451" i="15"/>
  <c r="E1451" i="15"/>
  <c r="D1451" i="15"/>
  <c r="C1451" i="15"/>
  <c r="B1451" i="15"/>
  <c r="A1451" i="15"/>
  <c r="AH1450" i="15"/>
  <c r="AD1450" i="15"/>
  <c r="AC1450" i="15"/>
  <c r="Z1450" i="15"/>
  <c r="V1450" i="15"/>
  <c r="U1450" i="15"/>
  <c r="T1450" i="15"/>
  <c r="S1450" i="15"/>
  <c r="R1450" i="15"/>
  <c r="N1450" i="15"/>
  <c r="K1450" i="15"/>
  <c r="J1450" i="15"/>
  <c r="F1450" i="15"/>
  <c r="E1450" i="15"/>
  <c r="D1450" i="15"/>
  <c r="C1450" i="15"/>
  <c r="B1450" i="15"/>
  <c r="A1450" i="15"/>
  <c r="AF1449" i="15"/>
  <c r="AE1449" i="15"/>
  <c r="AD1449" i="15"/>
  <c r="AC1449" i="15"/>
  <c r="AB1449" i="15"/>
  <c r="AA1449" i="15"/>
  <c r="W1449" i="15"/>
  <c r="U1449" i="15"/>
  <c r="T1449" i="15"/>
  <c r="S1449" i="15"/>
  <c r="P1449" i="15"/>
  <c r="O1449" i="15"/>
  <c r="M1449" i="15"/>
  <c r="L1449" i="15"/>
  <c r="H1449" i="15"/>
  <c r="G1449" i="15"/>
  <c r="F1449" i="15"/>
  <c r="E1449" i="15"/>
  <c r="D1449" i="15"/>
  <c r="C1449" i="15"/>
  <c r="B1449" i="15"/>
  <c r="A1449" i="15"/>
  <c r="AE1448" i="15"/>
  <c r="AD1448" i="15"/>
  <c r="F1448" i="15"/>
  <c r="E1448" i="15"/>
  <c r="D1448" i="15"/>
  <c r="C1448" i="15"/>
  <c r="B1448" i="15"/>
  <c r="A1448" i="15"/>
  <c r="S1447" i="15"/>
  <c r="R1447" i="15"/>
  <c r="F1447" i="15"/>
  <c r="E1447" i="15"/>
  <c r="D1447" i="15"/>
  <c r="C1447" i="15"/>
  <c r="B1447" i="15"/>
  <c r="A1447" i="15"/>
  <c r="S1446" i="15"/>
  <c r="F1446" i="15"/>
  <c r="E1446" i="15"/>
  <c r="D1446" i="15"/>
  <c r="C1446" i="15"/>
  <c r="B1446" i="15"/>
  <c r="A1446" i="15"/>
  <c r="AF1445" i="15"/>
  <c r="AD1445" i="15"/>
  <c r="W1445" i="15"/>
  <c r="V1445" i="15"/>
  <c r="U1445" i="15"/>
  <c r="T1445" i="15"/>
  <c r="S1445" i="15"/>
  <c r="P1445" i="15"/>
  <c r="H1445" i="15"/>
  <c r="G1445" i="15"/>
  <c r="F1445" i="15"/>
  <c r="E1445" i="15"/>
  <c r="D1445" i="15"/>
  <c r="C1445" i="15"/>
  <c r="B1445" i="15"/>
  <c r="A1445" i="15"/>
  <c r="O1444" i="15"/>
  <c r="G1444" i="15"/>
  <c r="F1444" i="15"/>
  <c r="E1444" i="15"/>
  <c r="D1444" i="15"/>
  <c r="C1444" i="15"/>
  <c r="B1444" i="15"/>
  <c r="A1444" i="15"/>
  <c r="AF1443" i="15"/>
  <c r="P1443" i="15"/>
  <c r="F1443" i="15"/>
  <c r="E1443" i="15"/>
  <c r="D1443" i="15"/>
  <c r="C1443" i="15"/>
  <c r="B1443" i="15"/>
  <c r="A1443" i="15"/>
  <c r="K1443" i="15" s="1"/>
  <c r="AH1442" i="15"/>
  <c r="K1442" i="15"/>
  <c r="J1442" i="15"/>
  <c r="F1442" i="15"/>
  <c r="E1442" i="15"/>
  <c r="D1442" i="15"/>
  <c r="C1442" i="15"/>
  <c r="B1442" i="15"/>
  <c r="A1442" i="15"/>
  <c r="AF1441" i="15"/>
  <c r="AE1441" i="15"/>
  <c r="W1441" i="15"/>
  <c r="T1441" i="15"/>
  <c r="K1441" i="15"/>
  <c r="G1441" i="15"/>
  <c r="F1441" i="15"/>
  <c r="E1441" i="15"/>
  <c r="D1441" i="15"/>
  <c r="C1441" i="15"/>
  <c r="B1441" i="15"/>
  <c r="A1441" i="15"/>
  <c r="G1440" i="15"/>
  <c r="F1440" i="15"/>
  <c r="E1440" i="15"/>
  <c r="D1440" i="15"/>
  <c r="C1440" i="15"/>
  <c r="B1440" i="15"/>
  <c r="A1440" i="15"/>
  <c r="F1439" i="15"/>
  <c r="E1439" i="15"/>
  <c r="D1439" i="15"/>
  <c r="C1439" i="15"/>
  <c r="B1439" i="15"/>
  <c r="A1439" i="15"/>
  <c r="AB1438" i="15"/>
  <c r="AA1438" i="15"/>
  <c r="Z1438" i="15"/>
  <c r="U1438" i="15"/>
  <c r="T1438" i="15"/>
  <c r="R1438" i="15"/>
  <c r="L1438" i="15"/>
  <c r="J1438" i="15"/>
  <c r="F1438" i="15"/>
  <c r="E1438" i="15"/>
  <c r="D1438" i="15"/>
  <c r="C1438" i="15"/>
  <c r="B1438" i="15"/>
  <c r="A1438" i="15"/>
  <c r="AD1437" i="15"/>
  <c r="X1437" i="15"/>
  <c r="P1437" i="15"/>
  <c r="M1437" i="15"/>
  <c r="F1437" i="15"/>
  <c r="E1437" i="15"/>
  <c r="D1437" i="15"/>
  <c r="C1437" i="15"/>
  <c r="B1437" i="15"/>
  <c r="A1437" i="15"/>
  <c r="AF1436" i="15"/>
  <c r="X1436" i="15"/>
  <c r="H1436" i="15"/>
  <c r="F1436" i="15"/>
  <c r="E1436" i="15"/>
  <c r="D1436" i="15"/>
  <c r="C1436" i="15"/>
  <c r="B1436" i="15"/>
  <c r="A1436" i="15"/>
  <c r="I1436" i="15" s="1"/>
  <c r="R1435" i="15"/>
  <c r="I1435" i="15"/>
  <c r="F1435" i="15"/>
  <c r="E1435" i="15"/>
  <c r="D1435" i="15"/>
  <c r="C1435" i="15"/>
  <c r="B1435" i="15"/>
  <c r="A1435" i="15"/>
  <c r="AH1434" i="15"/>
  <c r="AD1434" i="15"/>
  <c r="AC1434" i="15"/>
  <c r="AB1434" i="15"/>
  <c r="AA1434" i="15"/>
  <c r="V1434" i="15"/>
  <c r="U1434" i="15"/>
  <c r="T1434" i="15"/>
  <c r="S1434" i="15"/>
  <c r="R1434" i="15"/>
  <c r="N1434" i="15"/>
  <c r="M1434" i="15"/>
  <c r="K1434" i="15"/>
  <c r="J1434" i="15"/>
  <c r="F1434" i="15"/>
  <c r="E1434" i="15"/>
  <c r="D1434" i="15"/>
  <c r="C1434" i="15"/>
  <c r="B1434" i="15"/>
  <c r="A1434" i="15"/>
  <c r="AG1434" i="15" s="1"/>
  <c r="AA1433" i="15"/>
  <c r="N1433" i="15"/>
  <c r="L1433" i="15"/>
  <c r="F1433" i="15"/>
  <c r="E1433" i="15"/>
  <c r="D1433" i="15"/>
  <c r="C1433" i="15"/>
  <c r="B1433" i="15"/>
  <c r="A1433" i="15"/>
  <c r="J1432" i="15"/>
  <c r="F1432" i="15"/>
  <c r="E1432" i="15"/>
  <c r="D1432" i="15"/>
  <c r="C1432" i="15"/>
  <c r="B1432" i="15"/>
  <c r="A1432" i="15"/>
  <c r="Y1431" i="15"/>
  <c r="T1431" i="15"/>
  <c r="F1431" i="15"/>
  <c r="E1431" i="15"/>
  <c r="D1431" i="15"/>
  <c r="C1431" i="15"/>
  <c r="B1431" i="15"/>
  <c r="A1431" i="15"/>
  <c r="AB1430" i="15"/>
  <c r="AA1430" i="15"/>
  <c r="Z1430" i="15"/>
  <c r="V1430" i="15"/>
  <c r="R1430" i="15"/>
  <c r="K1430" i="15"/>
  <c r="J1430" i="15"/>
  <c r="F1430" i="15"/>
  <c r="E1430" i="15"/>
  <c r="D1430" i="15"/>
  <c r="C1430" i="15"/>
  <c r="B1430" i="15"/>
  <c r="A1430" i="15"/>
  <c r="AE1429" i="15"/>
  <c r="AB1429" i="15"/>
  <c r="AA1429" i="15"/>
  <c r="X1429" i="15"/>
  <c r="T1429" i="15"/>
  <c r="M1429" i="15"/>
  <c r="L1429" i="15"/>
  <c r="F1429" i="15"/>
  <c r="E1429" i="15"/>
  <c r="D1429" i="15"/>
  <c r="C1429" i="15"/>
  <c r="B1429" i="15"/>
  <c r="A1429" i="15"/>
  <c r="F1428" i="15"/>
  <c r="E1428" i="15"/>
  <c r="D1428" i="15"/>
  <c r="C1428" i="15"/>
  <c r="B1428" i="15"/>
  <c r="A1428" i="15"/>
  <c r="Z1427" i="15"/>
  <c r="Y1427" i="15"/>
  <c r="J1427" i="15"/>
  <c r="F1427" i="15"/>
  <c r="E1427" i="15"/>
  <c r="D1427" i="15"/>
  <c r="C1427" i="15"/>
  <c r="B1427" i="15"/>
  <c r="A1427" i="15"/>
  <c r="R1427" i="15" s="1"/>
  <c r="AB1426" i="15"/>
  <c r="U1426" i="15"/>
  <c r="M1426" i="15"/>
  <c r="F1426" i="15"/>
  <c r="E1426" i="15"/>
  <c r="D1426" i="15"/>
  <c r="C1426" i="15"/>
  <c r="B1426" i="15"/>
  <c r="A1426" i="15"/>
  <c r="AD1425" i="15"/>
  <c r="AC1425" i="15"/>
  <c r="AB1425" i="15"/>
  <c r="AA1425" i="15"/>
  <c r="T1425" i="15"/>
  <c r="P1425" i="15"/>
  <c r="N1425" i="15"/>
  <c r="K1425" i="15"/>
  <c r="F1425" i="15"/>
  <c r="E1425" i="15"/>
  <c r="D1425" i="15"/>
  <c r="C1425" i="15"/>
  <c r="B1425" i="15"/>
  <c r="A1425" i="15"/>
  <c r="J1424" i="15"/>
  <c r="I1424" i="15"/>
  <c r="F1424" i="15"/>
  <c r="E1424" i="15"/>
  <c r="D1424" i="15"/>
  <c r="C1424" i="15"/>
  <c r="B1424" i="15"/>
  <c r="A1424" i="15"/>
  <c r="Y1423" i="15"/>
  <c r="Q1423" i="15"/>
  <c r="F1423" i="15"/>
  <c r="E1423" i="15"/>
  <c r="D1423" i="15"/>
  <c r="C1423" i="15"/>
  <c r="B1423" i="15"/>
  <c r="A1423" i="15"/>
  <c r="AH1422" i="15"/>
  <c r="AD1422" i="15"/>
  <c r="AC1422" i="15"/>
  <c r="AB1422" i="15"/>
  <c r="AA1422" i="15"/>
  <c r="V1422" i="15"/>
  <c r="U1422" i="15"/>
  <c r="T1422" i="15"/>
  <c r="S1422" i="15"/>
  <c r="R1422" i="15"/>
  <c r="N1422" i="15"/>
  <c r="M1422" i="15"/>
  <c r="K1422" i="15"/>
  <c r="J1422" i="15"/>
  <c r="F1422" i="15"/>
  <c r="E1422" i="15"/>
  <c r="D1422" i="15"/>
  <c r="C1422" i="15"/>
  <c r="B1422" i="15"/>
  <c r="A1422" i="15"/>
  <c r="AG1422" i="15" s="1"/>
  <c r="AF1421" i="15"/>
  <c r="AE1421" i="15"/>
  <c r="AC1421" i="15"/>
  <c r="AB1421" i="15"/>
  <c r="AA1421" i="15"/>
  <c r="U1421" i="15"/>
  <c r="T1421" i="15"/>
  <c r="P1421" i="15"/>
  <c r="O1421" i="15"/>
  <c r="N1421" i="15"/>
  <c r="L1421" i="15"/>
  <c r="G1421" i="15"/>
  <c r="F1421" i="15"/>
  <c r="E1421" i="15"/>
  <c r="D1421" i="15"/>
  <c r="C1421" i="15"/>
  <c r="B1421" i="15"/>
  <c r="A1421" i="15"/>
  <c r="V1421" i="15" s="1"/>
  <c r="AE1420" i="15"/>
  <c r="Z1420" i="15"/>
  <c r="Y1420" i="15"/>
  <c r="V1420" i="15"/>
  <c r="Q1420" i="15"/>
  <c r="P1420" i="15"/>
  <c r="H1420" i="15"/>
  <c r="F1420" i="15"/>
  <c r="E1420" i="15"/>
  <c r="D1420" i="15"/>
  <c r="C1420" i="15"/>
  <c r="B1420" i="15"/>
  <c r="A1420" i="15"/>
  <c r="AG1420" i="15" s="1"/>
  <c r="AA1419" i="15"/>
  <c r="Z1419" i="15"/>
  <c r="Y1419" i="15"/>
  <c r="T1419" i="15"/>
  <c r="R1419" i="15"/>
  <c r="Q1419" i="15"/>
  <c r="H1419" i="15"/>
  <c r="F1419" i="15"/>
  <c r="E1419" i="15"/>
  <c r="D1419" i="15"/>
  <c r="C1419" i="15"/>
  <c r="B1419" i="15"/>
  <c r="A1419" i="15"/>
  <c r="AF1419" i="15" s="1"/>
  <c r="M1418" i="15"/>
  <c r="L1418" i="15"/>
  <c r="F1418" i="15"/>
  <c r="E1418" i="15"/>
  <c r="D1418" i="15"/>
  <c r="C1418" i="15"/>
  <c r="B1418" i="15"/>
  <c r="A1418" i="15"/>
  <c r="AE1417" i="15"/>
  <c r="AD1417" i="15"/>
  <c r="AB1417" i="15"/>
  <c r="AA1417" i="15"/>
  <c r="U1417" i="15"/>
  <c r="T1417" i="15"/>
  <c r="S1417" i="15"/>
  <c r="O1417" i="15"/>
  <c r="N1417" i="15"/>
  <c r="M1417" i="15"/>
  <c r="G1417" i="15"/>
  <c r="F1417" i="15"/>
  <c r="E1417" i="15"/>
  <c r="D1417" i="15"/>
  <c r="C1417" i="15"/>
  <c r="B1417" i="15"/>
  <c r="A1417" i="15"/>
  <c r="W1417" i="15" s="1"/>
  <c r="I1416" i="15"/>
  <c r="G1416" i="15"/>
  <c r="F1416" i="15"/>
  <c r="E1416" i="15"/>
  <c r="D1416" i="15"/>
  <c r="C1416" i="15"/>
  <c r="B1416" i="15"/>
  <c r="A1416" i="15"/>
  <c r="AD1416" i="15" s="1"/>
  <c r="AF1415" i="15"/>
  <c r="R1415" i="15"/>
  <c r="F1415" i="15"/>
  <c r="E1415" i="15"/>
  <c r="D1415" i="15"/>
  <c r="C1415" i="15"/>
  <c r="B1415" i="15"/>
  <c r="A1415" i="15"/>
  <c r="AD1414" i="15"/>
  <c r="AC1414" i="15"/>
  <c r="AA1414" i="15"/>
  <c r="Z1414" i="15"/>
  <c r="V1414" i="15"/>
  <c r="R1414" i="15"/>
  <c r="M1414" i="15"/>
  <c r="K1414" i="15"/>
  <c r="J1414" i="15"/>
  <c r="F1414" i="15"/>
  <c r="E1414" i="15"/>
  <c r="D1414" i="15"/>
  <c r="C1414" i="15"/>
  <c r="B1414" i="15"/>
  <c r="A1414" i="15"/>
  <c r="AF1413" i="15"/>
  <c r="AD1413" i="15"/>
  <c r="W1413" i="15"/>
  <c r="V1413" i="15"/>
  <c r="U1413" i="15"/>
  <c r="T1413" i="15"/>
  <c r="P1413" i="15"/>
  <c r="H1413" i="15"/>
  <c r="G1413" i="15"/>
  <c r="F1413" i="15"/>
  <c r="E1413" i="15"/>
  <c r="D1413" i="15"/>
  <c r="C1413" i="15"/>
  <c r="B1413" i="15"/>
  <c r="A1413" i="15"/>
  <c r="AG1412" i="15"/>
  <c r="AF1412" i="15"/>
  <c r="AE1412" i="15"/>
  <c r="Z1412" i="15"/>
  <c r="X1412" i="15"/>
  <c r="V1412" i="15"/>
  <c r="R1412" i="15"/>
  <c r="Q1412" i="15"/>
  <c r="P1412" i="15"/>
  <c r="O1412" i="15"/>
  <c r="H1412" i="15"/>
  <c r="G1412" i="15"/>
  <c r="F1412" i="15"/>
  <c r="E1412" i="15"/>
  <c r="D1412" i="15"/>
  <c r="C1412" i="15"/>
  <c r="B1412" i="15"/>
  <c r="A1412" i="15"/>
  <c r="AD1412" i="15" s="1"/>
  <c r="AH1411" i="15"/>
  <c r="AG1411" i="15"/>
  <c r="AB1411" i="15"/>
  <c r="AA1411" i="15"/>
  <c r="Y1411" i="15"/>
  <c r="T1411" i="15"/>
  <c r="R1411" i="15"/>
  <c r="Q1411" i="15"/>
  <c r="P1411" i="15"/>
  <c r="I1411" i="15"/>
  <c r="H1411" i="15"/>
  <c r="F1411" i="15"/>
  <c r="E1411" i="15"/>
  <c r="D1411" i="15"/>
  <c r="C1411" i="15"/>
  <c r="B1411" i="15"/>
  <c r="A1411" i="15"/>
  <c r="S1411" i="15" s="1"/>
  <c r="AH1410" i="15"/>
  <c r="AD1410" i="15"/>
  <c r="Z1410" i="15"/>
  <c r="V1410" i="15"/>
  <c r="U1410" i="15"/>
  <c r="S1410" i="15"/>
  <c r="R1410" i="15"/>
  <c r="M1410" i="15"/>
  <c r="J1410" i="15"/>
  <c r="F1410" i="15"/>
  <c r="E1410" i="15"/>
  <c r="D1410" i="15"/>
  <c r="C1410" i="15"/>
  <c r="B1410" i="15"/>
  <c r="A1410" i="15"/>
  <c r="AA1410" i="15" s="1"/>
  <c r="L1409" i="15"/>
  <c r="F1409" i="15"/>
  <c r="E1409" i="15"/>
  <c r="D1409" i="15"/>
  <c r="C1409" i="15"/>
  <c r="B1409" i="15"/>
  <c r="A1409" i="15"/>
  <c r="H1408" i="15"/>
  <c r="F1408" i="15"/>
  <c r="E1408" i="15"/>
  <c r="D1408" i="15"/>
  <c r="C1408" i="15"/>
  <c r="B1408" i="15"/>
  <c r="A1408" i="15"/>
  <c r="R1407" i="15"/>
  <c r="F1407" i="15"/>
  <c r="E1407" i="15"/>
  <c r="D1407" i="15"/>
  <c r="C1407" i="15"/>
  <c r="B1407" i="15"/>
  <c r="A1407" i="15"/>
  <c r="AH1406" i="15"/>
  <c r="AD1406" i="15"/>
  <c r="AC1406" i="15"/>
  <c r="AB1406" i="15"/>
  <c r="AA1406" i="15"/>
  <c r="V1406" i="15"/>
  <c r="U1406" i="15"/>
  <c r="T1406" i="15"/>
  <c r="S1406" i="15"/>
  <c r="R1406" i="15"/>
  <c r="N1406" i="15"/>
  <c r="M1406" i="15"/>
  <c r="K1406" i="15"/>
  <c r="J1406" i="15"/>
  <c r="F1406" i="15"/>
  <c r="E1406" i="15"/>
  <c r="D1406" i="15"/>
  <c r="C1406" i="15"/>
  <c r="B1406" i="15"/>
  <c r="A1406" i="15"/>
  <c r="AG1406" i="15" s="1"/>
  <c r="L1405" i="15"/>
  <c r="K1405" i="15"/>
  <c r="F1405" i="15"/>
  <c r="E1405" i="15"/>
  <c r="D1405" i="15"/>
  <c r="C1405" i="15"/>
  <c r="B1405" i="15"/>
  <c r="A1405" i="15"/>
  <c r="AE1404" i="15"/>
  <c r="Z1404" i="15"/>
  <c r="W1404" i="15"/>
  <c r="G1404" i="15"/>
  <c r="F1404" i="15"/>
  <c r="E1404" i="15"/>
  <c r="D1404" i="15"/>
  <c r="C1404" i="15"/>
  <c r="B1404" i="15"/>
  <c r="A1404" i="15"/>
  <c r="H1404" i="15" s="1"/>
  <c r="T1403" i="15"/>
  <c r="R1403" i="15"/>
  <c r="P1403" i="15"/>
  <c r="F1403" i="15"/>
  <c r="E1403" i="15"/>
  <c r="D1403" i="15"/>
  <c r="C1403" i="15"/>
  <c r="B1403" i="15"/>
  <c r="A1403" i="15"/>
  <c r="AH1402" i="15"/>
  <c r="AC1402" i="15"/>
  <c r="AB1402" i="15"/>
  <c r="AA1402" i="15"/>
  <c r="U1402" i="15"/>
  <c r="R1402" i="15"/>
  <c r="M1402" i="15"/>
  <c r="L1402" i="15"/>
  <c r="F1402" i="15"/>
  <c r="E1402" i="15"/>
  <c r="D1402" i="15"/>
  <c r="C1402" i="15"/>
  <c r="B1402" i="15"/>
  <c r="A1402" i="15"/>
  <c r="F1401" i="15"/>
  <c r="E1401" i="15"/>
  <c r="D1401" i="15"/>
  <c r="C1401" i="15"/>
  <c r="B1401" i="15"/>
  <c r="A1401" i="15"/>
  <c r="I1400" i="15"/>
  <c r="F1400" i="15"/>
  <c r="E1400" i="15"/>
  <c r="D1400" i="15"/>
  <c r="C1400" i="15"/>
  <c r="B1400" i="15"/>
  <c r="A1400" i="15"/>
  <c r="AH1399" i="15"/>
  <c r="F1399" i="15"/>
  <c r="E1399" i="15"/>
  <c r="D1399" i="15"/>
  <c r="C1399" i="15"/>
  <c r="B1399" i="15"/>
  <c r="A1399" i="15"/>
  <c r="F1398" i="15"/>
  <c r="E1398" i="15"/>
  <c r="D1398" i="15"/>
  <c r="C1398" i="15"/>
  <c r="B1398" i="15"/>
  <c r="A1398" i="15"/>
  <c r="R1398" i="15" s="1"/>
  <c r="AC1397" i="15"/>
  <c r="X1397" i="15"/>
  <c r="W1397" i="15"/>
  <c r="V1397" i="15"/>
  <c r="U1397" i="15"/>
  <c r="P1397" i="15"/>
  <c r="M1397" i="15"/>
  <c r="K1397" i="15"/>
  <c r="H1397" i="15"/>
  <c r="F1397" i="15"/>
  <c r="E1397" i="15"/>
  <c r="D1397" i="15"/>
  <c r="C1397" i="15"/>
  <c r="B1397" i="15"/>
  <c r="A1397" i="15"/>
  <c r="AG1396" i="15"/>
  <c r="I1396" i="15"/>
  <c r="F1396" i="15"/>
  <c r="E1396" i="15"/>
  <c r="D1396" i="15"/>
  <c r="C1396" i="15"/>
  <c r="B1396" i="15"/>
  <c r="A1396" i="15"/>
  <c r="Z1396" i="15" s="1"/>
  <c r="T1395" i="15"/>
  <c r="P1395" i="15"/>
  <c r="F1395" i="15"/>
  <c r="E1395" i="15"/>
  <c r="D1395" i="15"/>
  <c r="C1395" i="15"/>
  <c r="B1395" i="15"/>
  <c r="A1395" i="15"/>
  <c r="I1395" i="15" s="1"/>
  <c r="AH1394" i="15"/>
  <c r="AD1394" i="15"/>
  <c r="AC1394" i="15"/>
  <c r="V1394" i="15"/>
  <c r="U1394" i="15"/>
  <c r="T1394" i="15"/>
  <c r="S1394" i="15"/>
  <c r="R1394" i="15"/>
  <c r="M1394" i="15"/>
  <c r="J1394" i="15"/>
  <c r="F1394" i="15"/>
  <c r="E1394" i="15"/>
  <c r="D1394" i="15"/>
  <c r="C1394" i="15"/>
  <c r="B1394" i="15"/>
  <c r="A1394" i="15"/>
  <c r="Z1394" i="15" s="1"/>
  <c r="AE1393" i="15"/>
  <c r="AD1393" i="15"/>
  <c r="AC1393" i="15"/>
  <c r="AB1393" i="15"/>
  <c r="X1393" i="15"/>
  <c r="W1393" i="15"/>
  <c r="T1393" i="15"/>
  <c r="S1393" i="15"/>
  <c r="P1393" i="15"/>
  <c r="N1393" i="15"/>
  <c r="M1393" i="15"/>
  <c r="L1393" i="15"/>
  <c r="G1393" i="15"/>
  <c r="F1393" i="15"/>
  <c r="E1393" i="15"/>
  <c r="D1393" i="15"/>
  <c r="C1393" i="15"/>
  <c r="B1393" i="15"/>
  <c r="A1393" i="15"/>
  <c r="AF1393" i="15" s="1"/>
  <c r="I1392" i="15"/>
  <c r="G1392" i="15"/>
  <c r="F1392" i="15"/>
  <c r="E1392" i="15"/>
  <c r="D1392" i="15"/>
  <c r="C1392" i="15"/>
  <c r="B1392" i="15"/>
  <c r="A1392" i="15"/>
  <c r="N1392" i="15" s="1"/>
  <c r="P1391" i="15"/>
  <c r="L1391" i="15"/>
  <c r="F1391" i="15"/>
  <c r="E1391" i="15"/>
  <c r="D1391" i="15"/>
  <c r="C1391" i="15"/>
  <c r="B1391" i="15"/>
  <c r="A1391" i="15"/>
  <c r="AH1390" i="15"/>
  <c r="AD1390" i="15"/>
  <c r="AC1390" i="15"/>
  <c r="AB1390" i="15"/>
  <c r="AA1390" i="15"/>
  <c r="V1390" i="15"/>
  <c r="U1390" i="15"/>
  <c r="T1390" i="15"/>
  <c r="S1390" i="15"/>
  <c r="R1390" i="15"/>
  <c r="N1390" i="15"/>
  <c r="M1390" i="15"/>
  <c r="K1390" i="15"/>
  <c r="J1390" i="15"/>
  <c r="F1390" i="15"/>
  <c r="E1390" i="15"/>
  <c r="D1390" i="15"/>
  <c r="C1390" i="15"/>
  <c r="B1390" i="15"/>
  <c r="A1390" i="15"/>
  <c r="AG1390" i="15" s="1"/>
  <c r="AF1389" i="15"/>
  <c r="AE1389" i="15"/>
  <c r="AD1389" i="15"/>
  <c r="AC1389" i="15"/>
  <c r="AB1389" i="15"/>
  <c r="AA1389" i="15"/>
  <c r="U1389" i="15"/>
  <c r="T1389" i="15"/>
  <c r="S1389" i="15"/>
  <c r="P1389" i="15"/>
  <c r="O1389" i="15"/>
  <c r="N1389" i="15"/>
  <c r="H1389" i="15"/>
  <c r="G1389" i="15"/>
  <c r="F1389" i="15"/>
  <c r="E1389" i="15"/>
  <c r="D1389" i="15"/>
  <c r="C1389" i="15"/>
  <c r="B1389" i="15"/>
  <c r="A1389" i="15"/>
  <c r="Y1388" i="15"/>
  <c r="N1388" i="15"/>
  <c r="F1388" i="15"/>
  <c r="E1388" i="15"/>
  <c r="D1388" i="15"/>
  <c r="C1388" i="15"/>
  <c r="B1388" i="15"/>
  <c r="A1388" i="15"/>
  <c r="AH1387" i="15"/>
  <c r="AF1387" i="15"/>
  <c r="AA1387" i="15"/>
  <c r="Z1387" i="15"/>
  <c r="Y1387" i="15"/>
  <c r="T1387" i="15"/>
  <c r="R1387" i="15"/>
  <c r="Q1387" i="15"/>
  <c r="P1387" i="15"/>
  <c r="K1387" i="15"/>
  <c r="I1387" i="15"/>
  <c r="F1387" i="15"/>
  <c r="E1387" i="15"/>
  <c r="D1387" i="15"/>
  <c r="C1387" i="15"/>
  <c r="B1387" i="15"/>
  <c r="A1387" i="15"/>
  <c r="AG1387" i="15" s="1"/>
  <c r="AH1386" i="15"/>
  <c r="AD1386" i="15"/>
  <c r="AC1386" i="15"/>
  <c r="Z1386" i="15"/>
  <c r="V1386" i="15"/>
  <c r="T1386" i="15"/>
  <c r="S1386" i="15"/>
  <c r="R1386" i="15"/>
  <c r="N1386" i="15"/>
  <c r="K1386" i="15"/>
  <c r="F1386" i="15"/>
  <c r="E1386" i="15"/>
  <c r="D1386" i="15"/>
  <c r="C1386" i="15"/>
  <c r="B1386" i="15"/>
  <c r="A1386" i="15"/>
  <c r="AA1386" i="15" s="1"/>
  <c r="AF1385" i="15"/>
  <c r="AD1385" i="15"/>
  <c r="AC1385" i="15"/>
  <c r="AB1385" i="15"/>
  <c r="AA1385" i="15"/>
  <c r="X1385" i="15"/>
  <c r="W1385" i="15"/>
  <c r="V1385" i="15"/>
  <c r="T1385" i="15"/>
  <c r="S1385" i="15"/>
  <c r="P1385" i="15"/>
  <c r="O1385" i="15"/>
  <c r="N1385" i="15"/>
  <c r="M1385" i="15"/>
  <c r="L1385" i="15"/>
  <c r="H1385" i="15"/>
  <c r="G1385" i="15"/>
  <c r="F1385" i="15"/>
  <c r="E1385" i="15"/>
  <c r="D1385" i="15"/>
  <c r="C1385" i="15"/>
  <c r="B1385" i="15"/>
  <c r="A1385" i="15"/>
  <c r="AH1385" i="15" s="1"/>
  <c r="R1384" i="15"/>
  <c r="I1384" i="15"/>
  <c r="F1384" i="15"/>
  <c r="E1384" i="15"/>
  <c r="D1384" i="15"/>
  <c r="C1384" i="15"/>
  <c r="B1384" i="15"/>
  <c r="A1384" i="15"/>
  <c r="AF1383" i="15"/>
  <c r="J1383" i="15"/>
  <c r="H1383" i="15"/>
  <c r="F1383" i="15"/>
  <c r="E1383" i="15"/>
  <c r="D1383" i="15"/>
  <c r="C1383" i="15"/>
  <c r="B1383" i="15"/>
  <c r="A1383" i="15"/>
  <c r="AB1383" i="15" s="1"/>
  <c r="AH1382" i="15"/>
  <c r="AD1382" i="15"/>
  <c r="AA1382" i="15"/>
  <c r="Z1382" i="15"/>
  <c r="V1382" i="15"/>
  <c r="T1382" i="15"/>
  <c r="S1382" i="15"/>
  <c r="R1382" i="15"/>
  <c r="L1382" i="15"/>
  <c r="K1382" i="15"/>
  <c r="F1382" i="15"/>
  <c r="E1382" i="15"/>
  <c r="D1382" i="15"/>
  <c r="C1382" i="15"/>
  <c r="B1382" i="15"/>
  <c r="A1382" i="15"/>
  <c r="AF1381" i="15"/>
  <c r="AD1381" i="15"/>
  <c r="AC1381" i="15"/>
  <c r="AB1381" i="15"/>
  <c r="AA1381" i="15"/>
  <c r="X1381" i="15"/>
  <c r="W1381" i="15"/>
  <c r="V1381" i="15"/>
  <c r="T1381" i="15"/>
  <c r="S1381" i="15"/>
  <c r="P1381" i="15"/>
  <c r="O1381" i="15"/>
  <c r="N1381" i="15"/>
  <c r="M1381" i="15"/>
  <c r="L1381" i="15"/>
  <c r="H1381" i="15"/>
  <c r="G1381" i="15"/>
  <c r="F1381" i="15"/>
  <c r="E1381" i="15"/>
  <c r="D1381" i="15"/>
  <c r="C1381" i="15"/>
  <c r="B1381" i="15"/>
  <c r="A1381" i="15"/>
  <c r="AH1381" i="15" s="1"/>
  <c r="F1380" i="15"/>
  <c r="E1380" i="15"/>
  <c r="D1380" i="15"/>
  <c r="C1380" i="15"/>
  <c r="B1380" i="15"/>
  <c r="A1380" i="15"/>
  <c r="O1380" i="15" s="1"/>
  <c r="AH1379" i="15"/>
  <c r="AG1379" i="15"/>
  <c r="AF1379" i="15"/>
  <c r="AA1379" i="15"/>
  <c r="Y1379" i="15"/>
  <c r="T1379" i="15"/>
  <c r="S1379" i="15"/>
  <c r="R1379" i="15"/>
  <c r="Q1379" i="15"/>
  <c r="P1379" i="15"/>
  <c r="I1379" i="15"/>
  <c r="H1379" i="15"/>
  <c r="F1379" i="15"/>
  <c r="E1379" i="15"/>
  <c r="D1379" i="15"/>
  <c r="C1379" i="15"/>
  <c r="B1379" i="15"/>
  <c r="A1379" i="15"/>
  <c r="AB1379" i="15" s="1"/>
  <c r="AH1378" i="15"/>
  <c r="AD1378" i="15"/>
  <c r="AA1378" i="15"/>
  <c r="Z1378" i="15"/>
  <c r="V1378" i="15"/>
  <c r="T1378" i="15"/>
  <c r="S1378" i="15"/>
  <c r="R1378" i="15"/>
  <c r="L1378" i="15"/>
  <c r="K1378" i="15"/>
  <c r="F1378" i="15"/>
  <c r="E1378" i="15"/>
  <c r="D1378" i="15"/>
  <c r="C1378" i="15"/>
  <c r="B1378" i="15"/>
  <c r="A1378" i="15"/>
  <c r="AF1377" i="15"/>
  <c r="AD1377" i="15"/>
  <c r="AC1377" i="15"/>
  <c r="AB1377" i="15"/>
  <c r="AA1377" i="15"/>
  <c r="X1377" i="15"/>
  <c r="W1377" i="15"/>
  <c r="V1377" i="15"/>
  <c r="T1377" i="15"/>
  <c r="S1377" i="15"/>
  <c r="P1377" i="15"/>
  <c r="O1377" i="15"/>
  <c r="N1377" i="15"/>
  <c r="M1377" i="15"/>
  <c r="L1377" i="15"/>
  <c r="H1377" i="15"/>
  <c r="G1377" i="15"/>
  <c r="F1377" i="15"/>
  <c r="E1377" i="15"/>
  <c r="D1377" i="15"/>
  <c r="C1377" i="15"/>
  <c r="B1377" i="15"/>
  <c r="A1377" i="15"/>
  <c r="AH1377" i="15" s="1"/>
  <c r="AG1376" i="15"/>
  <c r="R1376" i="15"/>
  <c r="Q1376" i="15"/>
  <c r="F1376" i="15"/>
  <c r="E1376" i="15"/>
  <c r="D1376" i="15"/>
  <c r="C1376" i="15"/>
  <c r="B1376" i="15"/>
  <c r="A1376" i="15"/>
  <c r="AF1375" i="15"/>
  <c r="Q1375" i="15"/>
  <c r="I1375" i="15"/>
  <c r="F1375" i="15"/>
  <c r="E1375" i="15"/>
  <c r="D1375" i="15"/>
  <c r="C1375" i="15"/>
  <c r="B1375" i="15"/>
  <c r="A1375" i="15"/>
  <c r="R1374" i="15"/>
  <c r="N1374" i="15"/>
  <c r="F1374" i="15"/>
  <c r="E1374" i="15"/>
  <c r="D1374" i="15"/>
  <c r="C1374" i="15"/>
  <c r="B1374" i="15"/>
  <c r="A1374" i="15"/>
  <c r="AE1373" i="15"/>
  <c r="W1373" i="15"/>
  <c r="V1373" i="15"/>
  <c r="U1373" i="15"/>
  <c r="T1373" i="15"/>
  <c r="M1373" i="15"/>
  <c r="H1373" i="15"/>
  <c r="G1373" i="15"/>
  <c r="F1373" i="15"/>
  <c r="E1373" i="15"/>
  <c r="D1373" i="15"/>
  <c r="C1373" i="15"/>
  <c r="B1373" i="15"/>
  <c r="A1373" i="15"/>
  <c r="AH1372" i="15"/>
  <c r="X1372" i="15"/>
  <c r="W1372" i="15"/>
  <c r="V1372" i="15"/>
  <c r="H1372" i="15"/>
  <c r="G1372" i="15"/>
  <c r="F1372" i="15"/>
  <c r="E1372" i="15"/>
  <c r="D1372" i="15"/>
  <c r="C1372" i="15"/>
  <c r="B1372" i="15"/>
  <c r="A1372" i="15"/>
  <c r="R1372" i="15" s="1"/>
  <c r="AG1371" i="15"/>
  <c r="F1371" i="15"/>
  <c r="E1371" i="15"/>
  <c r="D1371" i="15"/>
  <c r="C1371" i="15"/>
  <c r="B1371" i="15"/>
  <c r="A1371" i="15"/>
  <c r="AH1370" i="15"/>
  <c r="AD1370" i="15"/>
  <c r="AC1370" i="15"/>
  <c r="AB1370" i="15"/>
  <c r="AA1370" i="15"/>
  <c r="V1370" i="15"/>
  <c r="U1370" i="15"/>
  <c r="T1370" i="15"/>
  <c r="S1370" i="15"/>
  <c r="R1370" i="15"/>
  <c r="N1370" i="15"/>
  <c r="M1370" i="15"/>
  <c r="K1370" i="15"/>
  <c r="J1370" i="15"/>
  <c r="F1370" i="15"/>
  <c r="E1370" i="15"/>
  <c r="D1370" i="15"/>
  <c r="C1370" i="15"/>
  <c r="B1370" i="15"/>
  <c r="A1370" i="15"/>
  <c r="AG1370" i="15" s="1"/>
  <c r="AD1369" i="15"/>
  <c r="AC1369" i="15"/>
  <c r="AA1369" i="15"/>
  <c r="N1369" i="15"/>
  <c r="K1369" i="15"/>
  <c r="F1369" i="15"/>
  <c r="E1369" i="15"/>
  <c r="D1369" i="15"/>
  <c r="C1369" i="15"/>
  <c r="B1369" i="15"/>
  <c r="A1369" i="15"/>
  <c r="W1368" i="15"/>
  <c r="V1368" i="15"/>
  <c r="F1368" i="15"/>
  <c r="E1368" i="15"/>
  <c r="D1368" i="15"/>
  <c r="C1368" i="15"/>
  <c r="B1368" i="15"/>
  <c r="A1368" i="15"/>
  <c r="H1368" i="15" s="1"/>
  <c r="AG1367" i="15"/>
  <c r="Q1367" i="15"/>
  <c r="L1367" i="15"/>
  <c r="F1367" i="15"/>
  <c r="E1367" i="15"/>
  <c r="D1367" i="15"/>
  <c r="C1367" i="15"/>
  <c r="B1367" i="15"/>
  <c r="A1367" i="15"/>
  <c r="AH1366" i="15"/>
  <c r="AD1366" i="15"/>
  <c r="AC1366" i="15"/>
  <c r="AB1366" i="15"/>
  <c r="AA1366" i="15"/>
  <c r="V1366" i="15"/>
  <c r="U1366" i="15"/>
  <c r="T1366" i="15"/>
  <c r="S1366" i="15"/>
  <c r="R1366" i="15"/>
  <c r="N1366" i="15"/>
  <c r="M1366" i="15"/>
  <c r="K1366" i="15"/>
  <c r="J1366" i="15"/>
  <c r="F1366" i="15"/>
  <c r="E1366" i="15"/>
  <c r="D1366" i="15"/>
  <c r="C1366" i="15"/>
  <c r="B1366" i="15"/>
  <c r="A1366" i="15"/>
  <c r="AG1366" i="15" s="1"/>
  <c r="AE1365" i="15"/>
  <c r="AB1365" i="15"/>
  <c r="V1365" i="15"/>
  <c r="U1365" i="15"/>
  <c r="T1365" i="15"/>
  <c r="P1365" i="15"/>
  <c r="H1365" i="15"/>
  <c r="G1365" i="15"/>
  <c r="F1365" i="15"/>
  <c r="E1365" i="15"/>
  <c r="D1365" i="15"/>
  <c r="C1365" i="15"/>
  <c r="B1365" i="15"/>
  <c r="A1365" i="15"/>
  <c r="F1364" i="15"/>
  <c r="E1364" i="15"/>
  <c r="D1364" i="15"/>
  <c r="C1364" i="15"/>
  <c r="B1364" i="15"/>
  <c r="A1364" i="15"/>
  <c r="F1363" i="15"/>
  <c r="E1363" i="15"/>
  <c r="D1363" i="15"/>
  <c r="C1363" i="15"/>
  <c r="B1363" i="15"/>
  <c r="A1363" i="15"/>
  <c r="AH1362" i="15"/>
  <c r="AD1362" i="15"/>
  <c r="Z1362" i="15"/>
  <c r="V1362" i="15"/>
  <c r="U1362" i="15"/>
  <c r="T1362" i="15"/>
  <c r="S1362" i="15"/>
  <c r="N1362" i="15"/>
  <c r="K1362" i="15"/>
  <c r="J1362" i="15"/>
  <c r="F1362" i="15"/>
  <c r="E1362" i="15"/>
  <c r="D1362" i="15"/>
  <c r="C1362" i="15"/>
  <c r="B1362" i="15"/>
  <c r="A1362" i="15"/>
  <c r="AF1361" i="15"/>
  <c r="AE1361" i="15"/>
  <c r="AD1361" i="15"/>
  <c r="AC1361" i="15"/>
  <c r="AA1361" i="15"/>
  <c r="X1361" i="15"/>
  <c r="U1361" i="15"/>
  <c r="T1361" i="15"/>
  <c r="S1361" i="15"/>
  <c r="O1361" i="15"/>
  <c r="N1361" i="15"/>
  <c r="M1361" i="15"/>
  <c r="H1361" i="15"/>
  <c r="G1361" i="15"/>
  <c r="F1361" i="15"/>
  <c r="E1361" i="15"/>
  <c r="D1361" i="15"/>
  <c r="C1361" i="15"/>
  <c r="B1361" i="15"/>
  <c r="A1361" i="15"/>
  <c r="I1360" i="15"/>
  <c r="G1360" i="15"/>
  <c r="F1360" i="15"/>
  <c r="E1360" i="15"/>
  <c r="D1360" i="15"/>
  <c r="C1360" i="15"/>
  <c r="B1360" i="15"/>
  <c r="A1360" i="15"/>
  <c r="AG1359" i="15"/>
  <c r="AB1359" i="15"/>
  <c r="F1359" i="15"/>
  <c r="E1359" i="15"/>
  <c r="D1359" i="15"/>
  <c r="C1359" i="15"/>
  <c r="B1359" i="15"/>
  <c r="A1359" i="15"/>
  <c r="AC1358" i="15"/>
  <c r="Z1358" i="15"/>
  <c r="L1358" i="15"/>
  <c r="K1358" i="15"/>
  <c r="F1358" i="15"/>
  <c r="E1358" i="15"/>
  <c r="D1358" i="15"/>
  <c r="C1358" i="15"/>
  <c r="B1358" i="15"/>
  <c r="A1358" i="15"/>
  <c r="AF1357" i="15"/>
  <c r="AD1357" i="15"/>
  <c r="W1357" i="15"/>
  <c r="V1357" i="15"/>
  <c r="U1357" i="15"/>
  <c r="T1357" i="15"/>
  <c r="S1357" i="15"/>
  <c r="L1357" i="15"/>
  <c r="H1357" i="15"/>
  <c r="G1357" i="15"/>
  <c r="F1357" i="15"/>
  <c r="E1357" i="15"/>
  <c r="D1357" i="15"/>
  <c r="C1357" i="15"/>
  <c r="B1357" i="15"/>
  <c r="A1357" i="15"/>
  <c r="F1356" i="15"/>
  <c r="E1356" i="15"/>
  <c r="D1356" i="15"/>
  <c r="C1356" i="15"/>
  <c r="B1356" i="15"/>
  <c r="A1356" i="15"/>
  <c r="AF1355" i="15"/>
  <c r="AB1355" i="15"/>
  <c r="AA1355" i="15"/>
  <c r="T1355" i="15"/>
  <c r="R1355" i="15"/>
  <c r="P1355" i="15"/>
  <c r="K1355" i="15"/>
  <c r="I1355" i="15"/>
  <c r="F1355" i="15"/>
  <c r="E1355" i="15"/>
  <c r="D1355" i="15"/>
  <c r="C1355" i="15"/>
  <c r="B1355" i="15"/>
  <c r="A1355" i="15"/>
  <c r="AH1354" i="15"/>
  <c r="AD1354" i="15"/>
  <c r="AC1354" i="15"/>
  <c r="AB1354" i="15"/>
  <c r="AA1354" i="15"/>
  <c r="V1354" i="15"/>
  <c r="U1354" i="15"/>
  <c r="T1354" i="15"/>
  <c r="S1354" i="15"/>
  <c r="R1354" i="15"/>
  <c r="N1354" i="15"/>
  <c r="M1354" i="15"/>
  <c r="K1354" i="15"/>
  <c r="J1354" i="15"/>
  <c r="F1354" i="15"/>
  <c r="E1354" i="15"/>
  <c r="D1354" i="15"/>
  <c r="C1354" i="15"/>
  <c r="B1354" i="15"/>
  <c r="A1354" i="15"/>
  <c r="AG1354" i="15" s="1"/>
  <c r="AF1353" i="15"/>
  <c r="AE1353" i="15"/>
  <c r="AD1353" i="15"/>
  <c r="AC1353" i="15"/>
  <c r="AB1353" i="15"/>
  <c r="AA1353" i="15"/>
  <c r="U1353" i="15"/>
  <c r="T1353" i="15"/>
  <c r="S1353" i="15"/>
  <c r="P1353" i="15"/>
  <c r="O1353" i="15"/>
  <c r="N1353" i="15"/>
  <c r="H1353" i="15"/>
  <c r="G1353" i="15"/>
  <c r="F1353" i="15"/>
  <c r="E1353" i="15"/>
  <c r="D1353" i="15"/>
  <c r="C1353" i="15"/>
  <c r="B1353" i="15"/>
  <c r="A1353" i="15"/>
  <c r="AH1352" i="15"/>
  <c r="AF1352" i="15"/>
  <c r="AE1352" i="15"/>
  <c r="W1352" i="15"/>
  <c r="R1352" i="15"/>
  <c r="P1352" i="15"/>
  <c r="O1352" i="15"/>
  <c r="F1352" i="15"/>
  <c r="E1352" i="15"/>
  <c r="D1352" i="15"/>
  <c r="C1352" i="15"/>
  <c r="B1352" i="15"/>
  <c r="A1352" i="15"/>
  <c r="Z1352" i="15" s="1"/>
  <c r="S1351" i="15"/>
  <c r="H1351" i="15"/>
  <c r="F1351" i="15"/>
  <c r="E1351" i="15"/>
  <c r="D1351" i="15"/>
  <c r="C1351" i="15"/>
  <c r="B1351" i="15"/>
  <c r="A1351" i="15"/>
  <c r="AC1350" i="15"/>
  <c r="AB1350" i="15"/>
  <c r="Z1350" i="15"/>
  <c r="Y1350" i="15"/>
  <c r="S1350" i="15"/>
  <c r="R1350" i="15"/>
  <c r="Q1350" i="15"/>
  <c r="L1350" i="15"/>
  <c r="J1350" i="15"/>
  <c r="F1350" i="15"/>
  <c r="E1350" i="15"/>
  <c r="D1350" i="15"/>
  <c r="C1350" i="15"/>
  <c r="B1350" i="15"/>
  <c r="A1350" i="15"/>
  <c r="AF1349" i="15"/>
  <c r="X1349" i="15"/>
  <c r="W1349" i="15"/>
  <c r="V1349" i="15"/>
  <c r="U1349" i="15"/>
  <c r="N1349" i="15"/>
  <c r="K1349" i="15"/>
  <c r="H1349" i="15"/>
  <c r="F1349" i="15"/>
  <c r="E1349" i="15"/>
  <c r="D1349" i="15"/>
  <c r="C1349" i="15"/>
  <c r="B1349" i="15"/>
  <c r="A1349" i="15"/>
  <c r="AH1348" i="15"/>
  <c r="Z1348" i="15"/>
  <c r="Y1348" i="15"/>
  <c r="X1348" i="15"/>
  <c r="V1348" i="15"/>
  <c r="J1348" i="15"/>
  <c r="H1348" i="15"/>
  <c r="F1348" i="15"/>
  <c r="E1348" i="15"/>
  <c r="D1348" i="15"/>
  <c r="C1348" i="15"/>
  <c r="B1348" i="15"/>
  <c r="A1348" i="15"/>
  <c r="AF1347" i="15"/>
  <c r="AE1347" i="15"/>
  <c r="AB1347" i="15"/>
  <c r="AA1347" i="15"/>
  <c r="Z1347" i="15"/>
  <c r="L1347" i="15"/>
  <c r="J1347" i="15"/>
  <c r="F1347" i="15"/>
  <c r="E1347" i="15"/>
  <c r="D1347" i="15"/>
  <c r="C1347" i="15"/>
  <c r="B1347" i="15"/>
  <c r="A1347" i="15"/>
  <c r="K1346" i="15"/>
  <c r="F1346" i="15"/>
  <c r="E1346" i="15"/>
  <c r="D1346" i="15"/>
  <c r="C1346" i="15"/>
  <c r="B1346" i="15"/>
  <c r="A1346" i="15"/>
  <c r="Z1346" i="15" s="1"/>
  <c r="AF1345" i="15"/>
  <c r="AE1345" i="15"/>
  <c r="AD1345" i="15"/>
  <c r="AC1345" i="15"/>
  <c r="AB1345" i="15"/>
  <c r="AA1345" i="15"/>
  <c r="W1345" i="15"/>
  <c r="U1345" i="15"/>
  <c r="T1345" i="15"/>
  <c r="S1345" i="15"/>
  <c r="P1345" i="15"/>
  <c r="O1345" i="15"/>
  <c r="M1345" i="15"/>
  <c r="L1345" i="15"/>
  <c r="H1345" i="15"/>
  <c r="G1345" i="15"/>
  <c r="F1345" i="15"/>
  <c r="E1345" i="15"/>
  <c r="D1345" i="15"/>
  <c r="C1345" i="15"/>
  <c r="B1345" i="15"/>
  <c r="A1345" i="15"/>
  <c r="F1344" i="15"/>
  <c r="E1344" i="15"/>
  <c r="D1344" i="15"/>
  <c r="C1344" i="15"/>
  <c r="B1344" i="15"/>
  <c r="A1344" i="15"/>
  <c r="AH1343" i="15"/>
  <c r="AG1343" i="15"/>
  <c r="AF1343" i="15"/>
  <c r="AB1343" i="15"/>
  <c r="Z1343" i="15"/>
  <c r="X1343" i="15"/>
  <c r="W1343" i="15"/>
  <c r="T1343" i="15"/>
  <c r="R1343" i="15"/>
  <c r="P1343" i="15"/>
  <c r="O1343" i="15"/>
  <c r="L1343" i="15"/>
  <c r="J1343" i="15"/>
  <c r="H1343" i="15"/>
  <c r="F1343" i="15"/>
  <c r="E1343" i="15"/>
  <c r="D1343" i="15"/>
  <c r="C1343" i="15"/>
  <c r="B1343" i="15"/>
  <c r="A1343" i="15"/>
  <c r="AA1343" i="15" s="1"/>
  <c r="AH1342" i="15"/>
  <c r="AD1342" i="15"/>
  <c r="AC1342" i="15"/>
  <c r="AB1342" i="15"/>
  <c r="Z1342" i="15"/>
  <c r="Y1342" i="15"/>
  <c r="T1342" i="15"/>
  <c r="S1342" i="15"/>
  <c r="R1342" i="15"/>
  <c r="Q1342" i="15"/>
  <c r="N1342" i="15"/>
  <c r="L1342" i="15"/>
  <c r="I1342" i="15"/>
  <c r="F1342" i="15"/>
  <c r="E1342" i="15"/>
  <c r="D1342" i="15"/>
  <c r="C1342" i="15"/>
  <c r="B1342" i="15"/>
  <c r="A1342" i="15"/>
  <c r="S1341" i="15"/>
  <c r="N1341" i="15"/>
  <c r="F1341" i="15"/>
  <c r="E1341" i="15"/>
  <c r="D1341" i="15"/>
  <c r="C1341" i="15"/>
  <c r="B1341" i="15"/>
  <c r="A1341" i="15"/>
  <c r="M1340" i="15"/>
  <c r="F1340" i="15"/>
  <c r="E1340" i="15"/>
  <c r="D1340" i="15"/>
  <c r="C1340" i="15"/>
  <c r="B1340" i="15"/>
  <c r="A1340" i="15"/>
  <c r="AF1339" i="15"/>
  <c r="AE1339" i="15"/>
  <c r="AB1339" i="15"/>
  <c r="R1339" i="15"/>
  <c r="H1339" i="15"/>
  <c r="G1339" i="15"/>
  <c r="F1339" i="15"/>
  <c r="E1339" i="15"/>
  <c r="D1339" i="15"/>
  <c r="C1339" i="15"/>
  <c r="B1339" i="15"/>
  <c r="A1339" i="15"/>
  <c r="M1338" i="15"/>
  <c r="L1338" i="15"/>
  <c r="F1338" i="15"/>
  <c r="E1338" i="15"/>
  <c r="D1338" i="15"/>
  <c r="C1338" i="15"/>
  <c r="B1338" i="15"/>
  <c r="A1338" i="15"/>
  <c r="Z1338" i="15" s="1"/>
  <c r="AF1337" i="15"/>
  <c r="AE1337" i="15"/>
  <c r="AA1337" i="15"/>
  <c r="W1337" i="15"/>
  <c r="V1337" i="15"/>
  <c r="U1337" i="15"/>
  <c r="T1337" i="15"/>
  <c r="N1337" i="15"/>
  <c r="M1337" i="15"/>
  <c r="L1337" i="15"/>
  <c r="H1337" i="15"/>
  <c r="G1337" i="15"/>
  <c r="F1337" i="15"/>
  <c r="E1337" i="15"/>
  <c r="D1337" i="15"/>
  <c r="C1337" i="15"/>
  <c r="B1337" i="15"/>
  <c r="A1337" i="15"/>
  <c r="P1336" i="15"/>
  <c r="F1336" i="15"/>
  <c r="E1336" i="15"/>
  <c r="D1336" i="15"/>
  <c r="C1336" i="15"/>
  <c r="B1336" i="15"/>
  <c r="A1336" i="15"/>
  <c r="AH1335" i="15"/>
  <c r="AG1335" i="15"/>
  <c r="AB1335" i="15"/>
  <c r="Y1335" i="15"/>
  <c r="X1335" i="15"/>
  <c r="W1335" i="15"/>
  <c r="T1335" i="15"/>
  <c r="R1335" i="15"/>
  <c r="O1335" i="15"/>
  <c r="L1335" i="15"/>
  <c r="J1335" i="15"/>
  <c r="H1335" i="15"/>
  <c r="F1335" i="15"/>
  <c r="E1335" i="15"/>
  <c r="D1335" i="15"/>
  <c r="C1335" i="15"/>
  <c r="B1335" i="15"/>
  <c r="A1335" i="15"/>
  <c r="F1334" i="15"/>
  <c r="E1334" i="15"/>
  <c r="D1334" i="15"/>
  <c r="C1334" i="15"/>
  <c r="B1334" i="15"/>
  <c r="A1334" i="15"/>
  <c r="Q1334" i="15" s="1"/>
  <c r="AB1333" i="15"/>
  <c r="X1333" i="15"/>
  <c r="W1333" i="15"/>
  <c r="H1333" i="15"/>
  <c r="G1333" i="15"/>
  <c r="F1333" i="15"/>
  <c r="E1333" i="15"/>
  <c r="D1333" i="15"/>
  <c r="C1333" i="15"/>
  <c r="B1333" i="15"/>
  <c r="A1333" i="15"/>
  <c r="AH1332" i="15"/>
  <c r="AG1332" i="15"/>
  <c r="Y1332" i="15"/>
  <c r="X1332" i="15"/>
  <c r="W1332" i="15"/>
  <c r="V1332" i="15"/>
  <c r="R1332" i="15"/>
  <c r="P1332" i="15"/>
  <c r="J1332" i="15"/>
  <c r="H1332" i="15"/>
  <c r="F1332" i="15"/>
  <c r="E1332" i="15"/>
  <c r="D1332" i="15"/>
  <c r="C1332" i="15"/>
  <c r="B1332" i="15"/>
  <c r="A1332" i="15"/>
  <c r="AH1331" i="15"/>
  <c r="AF1331" i="15"/>
  <c r="T1331" i="15"/>
  <c r="H1331" i="15"/>
  <c r="F1331" i="15"/>
  <c r="E1331" i="15"/>
  <c r="D1331" i="15"/>
  <c r="C1331" i="15"/>
  <c r="B1331" i="15"/>
  <c r="A1331" i="15"/>
  <c r="G1331" i="15" s="1"/>
  <c r="AH1330" i="15"/>
  <c r="T1330" i="15"/>
  <c r="N1330" i="15"/>
  <c r="J1330" i="15"/>
  <c r="F1330" i="15"/>
  <c r="E1330" i="15"/>
  <c r="D1330" i="15"/>
  <c r="C1330" i="15"/>
  <c r="B1330" i="15"/>
  <c r="A1330" i="15"/>
  <c r="AE1329" i="15"/>
  <c r="AD1329" i="15"/>
  <c r="AB1329" i="15"/>
  <c r="W1329" i="15"/>
  <c r="U1329" i="15"/>
  <c r="T1329" i="15"/>
  <c r="S1329" i="15"/>
  <c r="P1329" i="15"/>
  <c r="O1329" i="15"/>
  <c r="H1329" i="15"/>
  <c r="G1329" i="15"/>
  <c r="F1329" i="15"/>
  <c r="E1329" i="15"/>
  <c r="D1329" i="15"/>
  <c r="C1329" i="15"/>
  <c r="B1329" i="15"/>
  <c r="A1329" i="15"/>
  <c r="AH1328" i="15"/>
  <c r="AF1328" i="15"/>
  <c r="AE1328" i="15"/>
  <c r="AD1328" i="15"/>
  <c r="AC1328" i="15"/>
  <c r="Q1328" i="15"/>
  <c r="P1328" i="15"/>
  <c r="H1328" i="15"/>
  <c r="G1328" i="15"/>
  <c r="F1328" i="15"/>
  <c r="E1328" i="15"/>
  <c r="D1328" i="15"/>
  <c r="C1328" i="15"/>
  <c r="B1328" i="15"/>
  <c r="A1328" i="15"/>
  <c r="AH1327" i="15"/>
  <c r="AG1327" i="15"/>
  <c r="AF1327" i="15"/>
  <c r="Y1327" i="15"/>
  <c r="X1327" i="15"/>
  <c r="W1327" i="15"/>
  <c r="T1327" i="15"/>
  <c r="R1327" i="15"/>
  <c r="P1327" i="15"/>
  <c r="L1327" i="15"/>
  <c r="J1327" i="15"/>
  <c r="H1327" i="15"/>
  <c r="F1327" i="15"/>
  <c r="E1327" i="15"/>
  <c r="D1327" i="15"/>
  <c r="C1327" i="15"/>
  <c r="B1327" i="15"/>
  <c r="A1327" i="15"/>
  <c r="AC1326" i="15"/>
  <c r="AB1326" i="15"/>
  <c r="AA1326" i="15"/>
  <c r="Y1326" i="15"/>
  <c r="R1326" i="15"/>
  <c r="J1326" i="15"/>
  <c r="I1326" i="15"/>
  <c r="F1326" i="15"/>
  <c r="E1326" i="15"/>
  <c r="D1326" i="15"/>
  <c r="C1326" i="15"/>
  <c r="B1326" i="15"/>
  <c r="A1326" i="15"/>
  <c r="AF1325" i="15"/>
  <c r="AE1325" i="15"/>
  <c r="AB1325" i="15"/>
  <c r="W1325" i="15"/>
  <c r="V1325" i="15"/>
  <c r="U1325" i="15"/>
  <c r="T1325" i="15"/>
  <c r="O1325" i="15"/>
  <c r="M1325" i="15"/>
  <c r="L1325" i="15"/>
  <c r="H1325" i="15"/>
  <c r="G1325" i="15"/>
  <c r="F1325" i="15"/>
  <c r="E1325" i="15"/>
  <c r="D1325" i="15"/>
  <c r="C1325" i="15"/>
  <c r="B1325" i="15"/>
  <c r="A1325" i="15"/>
  <c r="AH1324" i="15"/>
  <c r="AG1324" i="15"/>
  <c r="Y1324" i="15"/>
  <c r="X1324" i="15"/>
  <c r="W1324" i="15"/>
  <c r="V1324" i="15"/>
  <c r="R1324" i="15"/>
  <c r="P1324" i="15"/>
  <c r="J1324" i="15"/>
  <c r="H1324" i="15"/>
  <c r="F1324" i="15"/>
  <c r="E1324" i="15"/>
  <c r="D1324" i="15"/>
  <c r="C1324" i="15"/>
  <c r="B1324" i="15"/>
  <c r="A1324" i="15"/>
  <c r="AA1323" i="15"/>
  <c r="I1323" i="15"/>
  <c r="H1323" i="15"/>
  <c r="F1323" i="15"/>
  <c r="E1323" i="15"/>
  <c r="D1323" i="15"/>
  <c r="C1323" i="15"/>
  <c r="B1323" i="15"/>
  <c r="A1323" i="15"/>
  <c r="Z1323" i="15" s="1"/>
  <c r="AH1322" i="15"/>
  <c r="Y1322" i="15"/>
  <c r="V1322" i="15"/>
  <c r="U1322" i="15"/>
  <c r="K1322" i="15"/>
  <c r="J1322" i="15"/>
  <c r="F1322" i="15"/>
  <c r="E1322" i="15"/>
  <c r="D1322" i="15"/>
  <c r="C1322" i="15"/>
  <c r="B1322" i="15"/>
  <c r="A1322" i="15"/>
  <c r="T1322" i="15" s="1"/>
  <c r="AD1321" i="15"/>
  <c r="AB1321" i="15"/>
  <c r="AA1321" i="15"/>
  <c r="X1321" i="15"/>
  <c r="V1321" i="15"/>
  <c r="S1321" i="15"/>
  <c r="P1321" i="15"/>
  <c r="O1321" i="15"/>
  <c r="L1321" i="15"/>
  <c r="K1321" i="15"/>
  <c r="F1321" i="15"/>
  <c r="E1321" i="15"/>
  <c r="D1321" i="15"/>
  <c r="C1321" i="15"/>
  <c r="B1321" i="15"/>
  <c r="A1321" i="15"/>
  <c r="F1320" i="15"/>
  <c r="E1320" i="15"/>
  <c r="D1320" i="15"/>
  <c r="C1320" i="15"/>
  <c r="B1320" i="15"/>
  <c r="A1320" i="15"/>
  <c r="AF1319" i="15"/>
  <c r="AB1319" i="15"/>
  <c r="Z1319" i="15"/>
  <c r="Y1319" i="15"/>
  <c r="T1319" i="15"/>
  <c r="O1319" i="15"/>
  <c r="K1319" i="15"/>
  <c r="J1319" i="15"/>
  <c r="F1319" i="15"/>
  <c r="E1319" i="15"/>
  <c r="D1319" i="15"/>
  <c r="C1319" i="15"/>
  <c r="B1319" i="15"/>
  <c r="A1319" i="15"/>
  <c r="AA1318" i="15"/>
  <c r="Z1318" i="15"/>
  <c r="Y1318" i="15"/>
  <c r="V1318" i="15"/>
  <c r="S1318" i="15"/>
  <c r="J1318" i="15"/>
  <c r="I1318" i="15"/>
  <c r="F1318" i="15"/>
  <c r="E1318" i="15"/>
  <c r="D1318" i="15"/>
  <c r="C1318" i="15"/>
  <c r="B1318" i="15"/>
  <c r="A1318" i="15"/>
  <c r="AF1317" i="15"/>
  <c r="AE1317" i="15"/>
  <c r="AD1317" i="15"/>
  <c r="AC1317" i="15"/>
  <c r="V1317" i="15"/>
  <c r="S1317" i="15"/>
  <c r="K1317" i="15"/>
  <c r="G1317" i="15"/>
  <c r="F1317" i="15"/>
  <c r="E1317" i="15"/>
  <c r="D1317" i="15"/>
  <c r="C1317" i="15"/>
  <c r="B1317" i="15"/>
  <c r="A1317" i="15"/>
  <c r="F1316" i="15"/>
  <c r="E1316" i="15"/>
  <c r="D1316" i="15"/>
  <c r="C1316" i="15"/>
  <c r="B1316" i="15"/>
  <c r="A1316" i="15"/>
  <c r="R1316" i="15" s="1"/>
  <c r="AA1315" i="15"/>
  <c r="P1315" i="15"/>
  <c r="L1315" i="15"/>
  <c r="F1315" i="15"/>
  <c r="E1315" i="15"/>
  <c r="D1315" i="15"/>
  <c r="C1315" i="15"/>
  <c r="B1315" i="15"/>
  <c r="A1315" i="15"/>
  <c r="AB1314" i="15"/>
  <c r="F1314" i="15"/>
  <c r="E1314" i="15"/>
  <c r="D1314" i="15"/>
  <c r="C1314" i="15"/>
  <c r="B1314" i="15"/>
  <c r="A1314" i="15"/>
  <c r="AB1313" i="15"/>
  <c r="AA1313" i="15"/>
  <c r="L1313" i="15"/>
  <c r="K1313" i="15"/>
  <c r="F1313" i="15"/>
  <c r="E1313" i="15"/>
  <c r="D1313" i="15"/>
  <c r="C1313" i="15"/>
  <c r="B1313" i="15"/>
  <c r="A1313" i="15"/>
  <c r="AC1312" i="15"/>
  <c r="F1312" i="15"/>
  <c r="E1312" i="15"/>
  <c r="D1312" i="15"/>
  <c r="C1312" i="15"/>
  <c r="B1312" i="15"/>
  <c r="A1312" i="15"/>
  <c r="AG1311" i="15"/>
  <c r="Z1311" i="15"/>
  <c r="Y1311" i="15"/>
  <c r="X1311" i="15"/>
  <c r="R1311" i="15"/>
  <c r="J1311" i="15"/>
  <c r="H1311" i="15"/>
  <c r="F1311" i="15"/>
  <c r="E1311" i="15"/>
  <c r="D1311" i="15"/>
  <c r="C1311" i="15"/>
  <c r="B1311" i="15"/>
  <c r="A1311" i="15"/>
  <c r="F1310" i="15"/>
  <c r="E1310" i="15"/>
  <c r="D1310" i="15"/>
  <c r="C1310" i="15"/>
  <c r="B1310" i="15"/>
  <c r="A1310" i="15"/>
  <c r="AD1309" i="15"/>
  <c r="AB1309" i="15"/>
  <c r="M1309" i="15"/>
  <c r="L1309" i="15"/>
  <c r="F1309" i="15"/>
  <c r="E1309" i="15"/>
  <c r="D1309" i="15"/>
  <c r="C1309" i="15"/>
  <c r="B1309" i="15"/>
  <c r="A1309" i="15"/>
  <c r="V1308" i="15"/>
  <c r="P1308" i="15"/>
  <c r="F1308" i="15"/>
  <c r="E1308" i="15"/>
  <c r="D1308" i="15"/>
  <c r="C1308" i="15"/>
  <c r="B1308" i="15"/>
  <c r="A1308" i="15"/>
  <c r="L1307" i="15"/>
  <c r="G1307" i="15"/>
  <c r="F1307" i="15"/>
  <c r="E1307" i="15"/>
  <c r="D1307" i="15"/>
  <c r="C1307" i="15"/>
  <c r="B1307" i="15"/>
  <c r="A1307" i="15"/>
  <c r="AB1306" i="15"/>
  <c r="L1306" i="15"/>
  <c r="F1306" i="15"/>
  <c r="E1306" i="15"/>
  <c r="D1306" i="15"/>
  <c r="C1306" i="15"/>
  <c r="B1306" i="15"/>
  <c r="A1306" i="15"/>
  <c r="AE1305" i="15"/>
  <c r="W1305" i="15"/>
  <c r="V1305" i="15"/>
  <c r="U1305" i="15"/>
  <c r="T1305" i="15"/>
  <c r="M1305" i="15"/>
  <c r="H1305" i="15"/>
  <c r="G1305" i="15"/>
  <c r="F1305" i="15"/>
  <c r="E1305" i="15"/>
  <c r="D1305" i="15"/>
  <c r="C1305" i="15"/>
  <c r="B1305" i="15"/>
  <c r="A1305" i="15"/>
  <c r="AF1304" i="15"/>
  <c r="AE1304" i="15"/>
  <c r="R1304" i="15"/>
  <c r="Q1304" i="15"/>
  <c r="N1304" i="15"/>
  <c r="J1304" i="15"/>
  <c r="F1304" i="15"/>
  <c r="E1304" i="15"/>
  <c r="D1304" i="15"/>
  <c r="C1304" i="15"/>
  <c r="B1304" i="15"/>
  <c r="A1304" i="15"/>
  <c r="AH1303" i="15"/>
  <c r="AG1303" i="15"/>
  <c r="AF1303" i="15"/>
  <c r="X1303" i="15"/>
  <c r="W1303" i="15"/>
  <c r="T1303" i="15"/>
  <c r="R1303" i="15"/>
  <c r="P1303" i="15"/>
  <c r="L1303" i="15"/>
  <c r="H1303" i="15"/>
  <c r="F1303" i="15"/>
  <c r="E1303" i="15"/>
  <c r="D1303" i="15"/>
  <c r="C1303" i="15"/>
  <c r="B1303" i="15"/>
  <c r="A1303" i="15"/>
  <c r="Y1303" i="15" s="1"/>
  <c r="AD1302" i="15"/>
  <c r="AB1302" i="15"/>
  <c r="AA1302" i="15"/>
  <c r="Y1302" i="15"/>
  <c r="V1302" i="15"/>
  <c r="R1302" i="15"/>
  <c r="N1302" i="15"/>
  <c r="J1302" i="15"/>
  <c r="I1302" i="15"/>
  <c r="F1302" i="15"/>
  <c r="E1302" i="15"/>
  <c r="D1302" i="15"/>
  <c r="C1302" i="15"/>
  <c r="B1302" i="15"/>
  <c r="A1302" i="15"/>
  <c r="AE1301" i="15"/>
  <c r="AB1301" i="15"/>
  <c r="K1301" i="15"/>
  <c r="F1301" i="15"/>
  <c r="E1301" i="15"/>
  <c r="D1301" i="15"/>
  <c r="C1301" i="15"/>
  <c r="B1301" i="15"/>
  <c r="A1301" i="15"/>
  <c r="H1301" i="15" s="1"/>
  <c r="AH1300" i="15"/>
  <c r="AG1300" i="15"/>
  <c r="Y1300" i="15"/>
  <c r="X1300" i="15"/>
  <c r="W1300" i="15"/>
  <c r="V1300" i="15"/>
  <c r="R1300" i="15"/>
  <c r="P1300" i="15"/>
  <c r="J1300" i="15"/>
  <c r="H1300" i="15"/>
  <c r="F1300" i="15"/>
  <c r="E1300" i="15"/>
  <c r="D1300" i="15"/>
  <c r="C1300" i="15"/>
  <c r="B1300" i="15"/>
  <c r="A1300" i="15"/>
  <c r="AF1299" i="15"/>
  <c r="F1299" i="15"/>
  <c r="E1299" i="15"/>
  <c r="D1299" i="15"/>
  <c r="C1299" i="15"/>
  <c r="B1299" i="15"/>
  <c r="A1299" i="15"/>
  <c r="T1299" i="15" s="1"/>
  <c r="F1298" i="15"/>
  <c r="E1298" i="15"/>
  <c r="D1298" i="15"/>
  <c r="C1298" i="15"/>
  <c r="B1298" i="15"/>
  <c r="A1298" i="15"/>
  <c r="T1298" i="15" s="1"/>
  <c r="AE1297" i="15"/>
  <c r="X1297" i="15"/>
  <c r="W1297" i="15"/>
  <c r="V1297" i="15"/>
  <c r="U1297" i="15"/>
  <c r="S1297" i="15"/>
  <c r="M1297" i="15"/>
  <c r="K1297" i="15"/>
  <c r="G1297" i="15"/>
  <c r="F1297" i="15"/>
  <c r="E1297" i="15"/>
  <c r="D1297" i="15"/>
  <c r="C1297" i="15"/>
  <c r="B1297" i="15"/>
  <c r="A1297" i="15"/>
  <c r="AE1296" i="15"/>
  <c r="R1296" i="15"/>
  <c r="N1296" i="15"/>
  <c r="F1296" i="15"/>
  <c r="E1296" i="15"/>
  <c r="D1296" i="15"/>
  <c r="C1296" i="15"/>
  <c r="B1296" i="15"/>
  <c r="A1296" i="15"/>
  <c r="AH1295" i="15"/>
  <c r="AG1295" i="15"/>
  <c r="AF1295" i="15"/>
  <c r="AB1295" i="15"/>
  <c r="Z1295" i="15"/>
  <c r="X1295" i="15"/>
  <c r="W1295" i="15"/>
  <c r="T1295" i="15"/>
  <c r="R1295" i="15"/>
  <c r="P1295" i="15"/>
  <c r="O1295" i="15"/>
  <c r="L1295" i="15"/>
  <c r="J1295" i="15"/>
  <c r="H1295" i="15"/>
  <c r="F1295" i="15"/>
  <c r="E1295" i="15"/>
  <c r="D1295" i="15"/>
  <c r="C1295" i="15"/>
  <c r="B1295" i="15"/>
  <c r="A1295" i="15"/>
  <c r="AA1295" i="15" s="1"/>
  <c r="AD1294" i="15"/>
  <c r="AC1294" i="15"/>
  <c r="M1294" i="15"/>
  <c r="I1294" i="15"/>
  <c r="F1294" i="15"/>
  <c r="E1294" i="15"/>
  <c r="D1294" i="15"/>
  <c r="C1294" i="15"/>
  <c r="B1294" i="15"/>
  <c r="A1294" i="15"/>
  <c r="AD1293" i="15"/>
  <c r="X1293" i="15"/>
  <c r="W1293" i="15"/>
  <c r="U1293" i="15"/>
  <c r="T1293" i="15"/>
  <c r="S1293" i="15"/>
  <c r="M1293" i="15"/>
  <c r="H1293" i="15"/>
  <c r="G1293" i="15"/>
  <c r="F1293" i="15"/>
  <c r="E1293" i="15"/>
  <c r="D1293" i="15"/>
  <c r="C1293" i="15"/>
  <c r="B1293" i="15"/>
  <c r="A1293" i="15"/>
  <c r="AH1292" i="15"/>
  <c r="AG1292" i="15"/>
  <c r="AF1292" i="15"/>
  <c r="Y1292" i="15"/>
  <c r="W1292" i="15"/>
  <c r="V1292" i="15"/>
  <c r="R1292" i="15"/>
  <c r="P1292" i="15"/>
  <c r="O1292" i="15"/>
  <c r="H1292" i="15"/>
  <c r="F1292" i="15"/>
  <c r="E1292" i="15"/>
  <c r="D1292" i="15"/>
  <c r="C1292" i="15"/>
  <c r="B1292" i="15"/>
  <c r="A1292" i="15"/>
  <c r="Z1292" i="15" s="1"/>
  <c r="L1291" i="15"/>
  <c r="H1291" i="15"/>
  <c r="F1291" i="15"/>
  <c r="E1291" i="15"/>
  <c r="D1291" i="15"/>
  <c r="C1291" i="15"/>
  <c r="B1291" i="15"/>
  <c r="A1291" i="15"/>
  <c r="AH1290" i="15"/>
  <c r="Y1290" i="15"/>
  <c r="V1290" i="15"/>
  <c r="U1290" i="15"/>
  <c r="K1290" i="15"/>
  <c r="J1290" i="15"/>
  <c r="F1290" i="15"/>
  <c r="E1290" i="15"/>
  <c r="D1290" i="15"/>
  <c r="C1290" i="15"/>
  <c r="B1290" i="15"/>
  <c r="A1290" i="15"/>
  <c r="T1290" i="15" s="1"/>
  <c r="AD1289" i="15"/>
  <c r="AB1289" i="15"/>
  <c r="AA1289" i="15"/>
  <c r="X1289" i="15"/>
  <c r="V1289" i="15"/>
  <c r="S1289" i="15"/>
  <c r="O1289" i="15"/>
  <c r="L1289" i="15"/>
  <c r="K1289" i="15"/>
  <c r="F1289" i="15"/>
  <c r="E1289" i="15"/>
  <c r="D1289" i="15"/>
  <c r="C1289" i="15"/>
  <c r="B1289" i="15"/>
  <c r="A1289" i="15"/>
  <c r="F1288" i="15"/>
  <c r="E1288" i="15"/>
  <c r="D1288" i="15"/>
  <c r="C1288" i="15"/>
  <c r="B1288" i="15"/>
  <c r="A1288" i="15"/>
  <c r="I1288" i="15" s="1"/>
  <c r="AH1287" i="15"/>
  <c r="AG1287" i="15"/>
  <c r="Z1287" i="15"/>
  <c r="Y1287" i="15"/>
  <c r="X1287" i="15"/>
  <c r="T1287" i="15"/>
  <c r="R1287" i="15"/>
  <c r="P1287" i="15"/>
  <c r="K1287" i="15"/>
  <c r="J1287" i="15"/>
  <c r="F1287" i="15"/>
  <c r="E1287" i="15"/>
  <c r="D1287" i="15"/>
  <c r="C1287" i="15"/>
  <c r="B1287" i="15"/>
  <c r="A1287" i="15"/>
  <c r="AH1286" i="15"/>
  <c r="AB1286" i="15"/>
  <c r="AA1286" i="15"/>
  <c r="Z1286" i="15"/>
  <c r="Y1286" i="15"/>
  <c r="R1286" i="15"/>
  <c r="N1286" i="15"/>
  <c r="L1286" i="15"/>
  <c r="J1286" i="15"/>
  <c r="F1286" i="15"/>
  <c r="E1286" i="15"/>
  <c r="D1286" i="15"/>
  <c r="C1286" i="15"/>
  <c r="B1286" i="15"/>
  <c r="A1286" i="15"/>
  <c r="AB1285" i="15"/>
  <c r="AA1285" i="15"/>
  <c r="X1285" i="15"/>
  <c r="W1285" i="15"/>
  <c r="K1285" i="15"/>
  <c r="G1285" i="15"/>
  <c r="F1285" i="15"/>
  <c r="E1285" i="15"/>
  <c r="D1285" i="15"/>
  <c r="C1285" i="15"/>
  <c r="B1285" i="15"/>
  <c r="A1285" i="15"/>
  <c r="AG1284" i="15"/>
  <c r="AF1284" i="15"/>
  <c r="Y1284" i="15"/>
  <c r="X1284" i="15"/>
  <c r="W1284" i="15"/>
  <c r="R1284" i="15"/>
  <c r="P1284" i="15"/>
  <c r="O1284" i="15"/>
  <c r="J1284" i="15"/>
  <c r="H1284" i="15"/>
  <c r="F1284" i="15"/>
  <c r="E1284" i="15"/>
  <c r="D1284" i="15"/>
  <c r="C1284" i="15"/>
  <c r="B1284" i="15"/>
  <c r="A1284" i="15"/>
  <c r="AF1283" i="15"/>
  <c r="AE1283" i="15"/>
  <c r="AA1283" i="15"/>
  <c r="Z1283" i="15"/>
  <c r="R1283" i="15"/>
  <c r="Q1283" i="15"/>
  <c r="J1283" i="15"/>
  <c r="F1283" i="15"/>
  <c r="E1283" i="15"/>
  <c r="D1283" i="15"/>
  <c r="C1283" i="15"/>
  <c r="B1283" i="15"/>
  <c r="A1283" i="15"/>
  <c r="L1283" i="15" s="1"/>
  <c r="K1282" i="15"/>
  <c r="J1282" i="15"/>
  <c r="F1282" i="15"/>
  <c r="E1282" i="15"/>
  <c r="D1282" i="15"/>
  <c r="C1282" i="15"/>
  <c r="B1282" i="15"/>
  <c r="A1282" i="15"/>
  <c r="F1281" i="15"/>
  <c r="E1281" i="15"/>
  <c r="D1281" i="15"/>
  <c r="C1281" i="15"/>
  <c r="B1281" i="15"/>
  <c r="A1281" i="15"/>
  <c r="T1281" i="15" s="1"/>
  <c r="Z1280" i="15"/>
  <c r="X1280" i="15"/>
  <c r="F1280" i="15"/>
  <c r="E1280" i="15"/>
  <c r="D1280" i="15"/>
  <c r="C1280" i="15"/>
  <c r="B1280" i="15"/>
  <c r="A1280" i="15"/>
  <c r="AG1279" i="15"/>
  <c r="Z1279" i="15"/>
  <c r="Y1279" i="15"/>
  <c r="X1279" i="15"/>
  <c r="W1279" i="15"/>
  <c r="P1279" i="15"/>
  <c r="J1279" i="15"/>
  <c r="H1279" i="15"/>
  <c r="F1279" i="15"/>
  <c r="E1279" i="15"/>
  <c r="D1279" i="15"/>
  <c r="C1279" i="15"/>
  <c r="B1279" i="15"/>
  <c r="A1279" i="15"/>
  <c r="AD1278" i="15"/>
  <c r="AB1278" i="15"/>
  <c r="AA1278" i="15"/>
  <c r="Z1278" i="15"/>
  <c r="S1278" i="15"/>
  <c r="M1278" i="15"/>
  <c r="L1278" i="15"/>
  <c r="F1278" i="15"/>
  <c r="E1278" i="15"/>
  <c r="D1278" i="15"/>
  <c r="C1278" i="15"/>
  <c r="B1278" i="15"/>
  <c r="A1278" i="15"/>
  <c r="AD1277" i="15"/>
  <c r="AB1277" i="15"/>
  <c r="AA1277" i="15"/>
  <c r="X1277" i="15"/>
  <c r="V1277" i="15"/>
  <c r="L1277" i="15"/>
  <c r="K1277" i="15"/>
  <c r="F1277" i="15"/>
  <c r="E1277" i="15"/>
  <c r="D1277" i="15"/>
  <c r="C1277" i="15"/>
  <c r="B1277" i="15"/>
  <c r="A1277" i="15"/>
  <c r="M1276" i="15"/>
  <c r="J1276" i="15"/>
  <c r="F1276" i="15"/>
  <c r="E1276" i="15"/>
  <c r="D1276" i="15"/>
  <c r="C1276" i="15"/>
  <c r="B1276" i="15"/>
  <c r="A1276" i="15"/>
  <c r="AH1275" i="15"/>
  <c r="L1275" i="15"/>
  <c r="G1275" i="15"/>
  <c r="F1275" i="15"/>
  <c r="E1275" i="15"/>
  <c r="D1275" i="15"/>
  <c r="C1275" i="15"/>
  <c r="B1275" i="15"/>
  <c r="A1275" i="15"/>
  <c r="AB1274" i="15"/>
  <c r="Z1274" i="15"/>
  <c r="F1274" i="15"/>
  <c r="E1274" i="15"/>
  <c r="D1274" i="15"/>
  <c r="C1274" i="15"/>
  <c r="B1274" i="15"/>
  <c r="A1274" i="15"/>
  <c r="AF1273" i="15"/>
  <c r="AB1273" i="15"/>
  <c r="W1273" i="15"/>
  <c r="V1273" i="15"/>
  <c r="U1273" i="15"/>
  <c r="T1273" i="15"/>
  <c r="N1273" i="15"/>
  <c r="L1273" i="15"/>
  <c r="H1273" i="15"/>
  <c r="G1273" i="15"/>
  <c r="F1273" i="15"/>
  <c r="E1273" i="15"/>
  <c r="D1273" i="15"/>
  <c r="C1273" i="15"/>
  <c r="B1273" i="15"/>
  <c r="A1273" i="15"/>
  <c r="Q1272" i="15"/>
  <c r="F1272" i="15"/>
  <c r="E1272" i="15"/>
  <c r="D1272" i="15"/>
  <c r="C1272" i="15"/>
  <c r="B1272" i="15"/>
  <c r="A1272" i="15"/>
  <c r="AH1271" i="15"/>
  <c r="AG1271" i="15"/>
  <c r="AF1271" i="15"/>
  <c r="X1271" i="15"/>
  <c r="W1271" i="15"/>
  <c r="T1271" i="15"/>
  <c r="R1271" i="15"/>
  <c r="P1271" i="15"/>
  <c r="L1271" i="15"/>
  <c r="H1271" i="15"/>
  <c r="F1271" i="15"/>
  <c r="E1271" i="15"/>
  <c r="D1271" i="15"/>
  <c r="C1271" i="15"/>
  <c r="B1271" i="15"/>
  <c r="A1271" i="15"/>
  <c r="Y1271" i="15" s="1"/>
  <c r="AC1270" i="15"/>
  <c r="Q1270" i="15"/>
  <c r="L1270" i="15"/>
  <c r="F1270" i="15"/>
  <c r="E1270" i="15"/>
  <c r="D1270" i="15"/>
  <c r="C1270" i="15"/>
  <c r="B1270" i="15"/>
  <c r="A1270" i="15"/>
  <c r="AB1269" i="15"/>
  <c r="AA1269" i="15"/>
  <c r="W1269" i="15"/>
  <c r="V1269" i="15"/>
  <c r="T1269" i="15"/>
  <c r="H1269" i="15"/>
  <c r="G1269" i="15"/>
  <c r="F1269" i="15"/>
  <c r="E1269" i="15"/>
  <c r="D1269" i="15"/>
  <c r="C1269" i="15"/>
  <c r="B1269" i="15"/>
  <c r="A1269" i="15"/>
  <c r="AH1268" i="15"/>
  <c r="AG1268" i="15"/>
  <c r="Y1268" i="15"/>
  <c r="X1268" i="15"/>
  <c r="W1268" i="15"/>
  <c r="V1268" i="15"/>
  <c r="R1268" i="15"/>
  <c r="P1268" i="15"/>
  <c r="J1268" i="15"/>
  <c r="H1268" i="15"/>
  <c r="F1268" i="15"/>
  <c r="E1268" i="15"/>
  <c r="D1268" i="15"/>
  <c r="C1268" i="15"/>
  <c r="B1268" i="15"/>
  <c r="A1268" i="15"/>
  <c r="H1267" i="15"/>
  <c r="F1267" i="15"/>
  <c r="E1267" i="15"/>
  <c r="D1267" i="15"/>
  <c r="C1267" i="15"/>
  <c r="B1267" i="15"/>
  <c r="A1267" i="15"/>
  <c r="AG1266" i="15"/>
  <c r="AD1266" i="15"/>
  <c r="V1266" i="15"/>
  <c r="T1266" i="15"/>
  <c r="R1266" i="15"/>
  <c r="F1266" i="15"/>
  <c r="E1266" i="15"/>
  <c r="D1266" i="15"/>
  <c r="C1266" i="15"/>
  <c r="B1266" i="15"/>
  <c r="A1266" i="15"/>
  <c r="AE1265" i="15"/>
  <c r="X1265" i="15"/>
  <c r="W1265" i="15"/>
  <c r="U1265" i="15"/>
  <c r="T1265" i="15"/>
  <c r="N1265" i="15"/>
  <c r="H1265" i="15"/>
  <c r="G1265" i="15"/>
  <c r="F1265" i="15"/>
  <c r="E1265" i="15"/>
  <c r="D1265" i="15"/>
  <c r="C1265" i="15"/>
  <c r="B1265" i="15"/>
  <c r="A1265" i="15"/>
  <c r="U1264" i="15"/>
  <c r="P1264" i="15"/>
  <c r="F1264" i="15"/>
  <c r="E1264" i="15"/>
  <c r="D1264" i="15"/>
  <c r="C1264" i="15"/>
  <c r="B1264" i="15"/>
  <c r="A1264" i="15"/>
  <c r="AH1263" i="15"/>
  <c r="AG1263" i="15"/>
  <c r="AF1263" i="15"/>
  <c r="AB1263" i="15"/>
  <c r="Z1263" i="15"/>
  <c r="X1263" i="15"/>
  <c r="W1263" i="15"/>
  <c r="T1263" i="15"/>
  <c r="R1263" i="15"/>
  <c r="P1263" i="15"/>
  <c r="O1263" i="15"/>
  <c r="L1263" i="15"/>
  <c r="J1263" i="15"/>
  <c r="H1263" i="15"/>
  <c r="F1263" i="15"/>
  <c r="E1263" i="15"/>
  <c r="D1263" i="15"/>
  <c r="C1263" i="15"/>
  <c r="B1263" i="15"/>
  <c r="A1263" i="15"/>
  <c r="AA1263" i="15" s="1"/>
  <c r="N1262" i="15"/>
  <c r="M1262" i="15"/>
  <c r="F1262" i="15"/>
  <c r="E1262" i="15"/>
  <c r="D1262" i="15"/>
  <c r="C1262" i="15"/>
  <c r="B1262" i="15"/>
  <c r="A1262" i="15"/>
  <c r="AF1261" i="15"/>
  <c r="AD1261" i="15"/>
  <c r="AC1261" i="15"/>
  <c r="AB1261" i="15"/>
  <c r="AA1261" i="15"/>
  <c r="X1261" i="15"/>
  <c r="W1261" i="15"/>
  <c r="V1261" i="15"/>
  <c r="T1261" i="15"/>
  <c r="S1261" i="15"/>
  <c r="P1261" i="15"/>
  <c r="O1261" i="15"/>
  <c r="N1261" i="15"/>
  <c r="M1261" i="15"/>
  <c r="L1261" i="15"/>
  <c r="H1261" i="15"/>
  <c r="G1261" i="15"/>
  <c r="F1261" i="15"/>
  <c r="E1261" i="15"/>
  <c r="D1261" i="15"/>
  <c r="C1261" i="15"/>
  <c r="B1261" i="15"/>
  <c r="A1261" i="15"/>
  <c r="AH1261" i="15" s="1"/>
  <c r="AH1260" i="15"/>
  <c r="AG1260" i="15"/>
  <c r="AF1260" i="15"/>
  <c r="Y1260" i="15"/>
  <c r="X1260" i="15"/>
  <c r="V1260" i="15"/>
  <c r="R1260" i="15"/>
  <c r="P1260" i="15"/>
  <c r="O1260" i="15"/>
  <c r="J1260" i="15"/>
  <c r="F1260" i="15"/>
  <c r="E1260" i="15"/>
  <c r="D1260" i="15"/>
  <c r="C1260" i="15"/>
  <c r="B1260" i="15"/>
  <c r="A1260" i="15"/>
  <c r="Z1260" i="15" s="1"/>
  <c r="X1259" i="15"/>
  <c r="G1259" i="15"/>
  <c r="F1259" i="15"/>
  <c r="E1259" i="15"/>
  <c r="D1259" i="15"/>
  <c r="C1259" i="15"/>
  <c r="B1259" i="15"/>
  <c r="A1259" i="15"/>
  <c r="AH1258" i="15"/>
  <c r="AG1258" i="15"/>
  <c r="Y1258" i="15"/>
  <c r="V1258" i="15"/>
  <c r="U1258" i="15"/>
  <c r="T1258" i="15"/>
  <c r="K1258" i="15"/>
  <c r="J1258" i="15"/>
  <c r="F1258" i="15"/>
  <c r="E1258" i="15"/>
  <c r="D1258" i="15"/>
  <c r="C1258" i="15"/>
  <c r="B1258" i="15"/>
  <c r="A1258" i="15"/>
  <c r="R1258" i="15" s="1"/>
  <c r="AE1257" i="15"/>
  <c r="AD1257" i="15"/>
  <c r="AC1257" i="15"/>
  <c r="AB1257" i="15"/>
  <c r="AA1257" i="15"/>
  <c r="X1257" i="15"/>
  <c r="T1257" i="15"/>
  <c r="S1257" i="15"/>
  <c r="P1257" i="15"/>
  <c r="O1257" i="15"/>
  <c r="N1257" i="15"/>
  <c r="L1257" i="15"/>
  <c r="G1257" i="15"/>
  <c r="F1257" i="15"/>
  <c r="E1257" i="15"/>
  <c r="D1257" i="15"/>
  <c r="C1257" i="15"/>
  <c r="B1257" i="15"/>
  <c r="A1257" i="15"/>
  <c r="AF1257" i="15" s="1"/>
  <c r="AF1256" i="15"/>
  <c r="Q1256" i="15"/>
  <c r="H1256" i="15"/>
  <c r="F1256" i="15"/>
  <c r="E1256" i="15"/>
  <c r="D1256" i="15"/>
  <c r="C1256" i="15"/>
  <c r="B1256" i="15"/>
  <c r="A1256" i="15"/>
  <c r="K1255" i="15"/>
  <c r="F1255" i="15"/>
  <c r="E1255" i="15"/>
  <c r="D1255" i="15"/>
  <c r="C1255" i="15"/>
  <c r="B1255" i="15"/>
  <c r="A1255" i="15"/>
  <c r="AD1254" i="15"/>
  <c r="AC1254" i="15"/>
  <c r="J1254" i="15"/>
  <c r="I1254" i="15"/>
  <c r="F1254" i="15"/>
  <c r="E1254" i="15"/>
  <c r="D1254" i="15"/>
  <c r="C1254" i="15"/>
  <c r="B1254" i="15"/>
  <c r="A1254" i="15"/>
  <c r="AF1253" i="15"/>
  <c r="AE1253" i="15"/>
  <c r="X1253" i="15"/>
  <c r="W1253" i="15"/>
  <c r="V1253" i="15"/>
  <c r="U1253" i="15"/>
  <c r="T1253" i="15"/>
  <c r="N1253" i="15"/>
  <c r="M1253" i="15"/>
  <c r="K1253" i="15"/>
  <c r="H1253" i="15"/>
  <c r="F1253" i="15"/>
  <c r="E1253" i="15"/>
  <c r="D1253" i="15"/>
  <c r="C1253" i="15"/>
  <c r="B1253" i="15"/>
  <c r="A1253" i="15"/>
  <c r="AH1252" i="15"/>
  <c r="AF1252" i="15"/>
  <c r="AD1252" i="15"/>
  <c r="X1252" i="15"/>
  <c r="W1252" i="15"/>
  <c r="V1252" i="15"/>
  <c r="P1252" i="15"/>
  <c r="O1252" i="15"/>
  <c r="N1252" i="15"/>
  <c r="H1252" i="15"/>
  <c r="F1252" i="15"/>
  <c r="E1252" i="15"/>
  <c r="D1252" i="15"/>
  <c r="C1252" i="15"/>
  <c r="B1252" i="15"/>
  <c r="A1252" i="15"/>
  <c r="Y1252" i="15" s="1"/>
  <c r="H1251" i="15"/>
  <c r="G1251" i="15"/>
  <c r="F1251" i="15"/>
  <c r="E1251" i="15"/>
  <c r="D1251" i="15"/>
  <c r="C1251" i="15"/>
  <c r="B1251" i="15"/>
  <c r="A1251" i="15"/>
  <c r="S1251" i="15" s="1"/>
  <c r="U1250" i="15"/>
  <c r="T1250" i="15"/>
  <c r="F1250" i="15"/>
  <c r="E1250" i="15"/>
  <c r="D1250" i="15"/>
  <c r="C1250" i="15"/>
  <c r="B1250" i="15"/>
  <c r="A1250" i="15"/>
  <c r="M1249" i="15"/>
  <c r="L1249" i="15"/>
  <c r="F1249" i="15"/>
  <c r="E1249" i="15"/>
  <c r="D1249" i="15"/>
  <c r="C1249" i="15"/>
  <c r="B1249" i="15"/>
  <c r="A1249" i="15"/>
  <c r="AH1248" i="15"/>
  <c r="R1248" i="15"/>
  <c r="H1248" i="15"/>
  <c r="G1248" i="15"/>
  <c r="F1248" i="15"/>
  <c r="E1248" i="15"/>
  <c r="D1248" i="15"/>
  <c r="C1248" i="15"/>
  <c r="B1248" i="15"/>
  <c r="A1248" i="15"/>
  <c r="AG1247" i="15"/>
  <c r="H1247" i="15"/>
  <c r="G1247" i="15"/>
  <c r="F1247" i="15"/>
  <c r="E1247" i="15"/>
  <c r="D1247" i="15"/>
  <c r="C1247" i="15"/>
  <c r="B1247" i="15"/>
  <c r="A1247" i="15"/>
  <c r="AH1246" i="15"/>
  <c r="AG1246" i="15"/>
  <c r="AD1246" i="15"/>
  <c r="AC1246" i="15"/>
  <c r="AA1246" i="15"/>
  <c r="V1246" i="15"/>
  <c r="U1246" i="15"/>
  <c r="R1246" i="15"/>
  <c r="O1246" i="15"/>
  <c r="N1246" i="15"/>
  <c r="M1246" i="15"/>
  <c r="I1246" i="15"/>
  <c r="F1246" i="15"/>
  <c r="E1246" i="15"/>
  <c r="D1246" i="15"/>
  <c r="C1246" i="15"/>
  <c r="B1246" i="15"/>
  <c r="A1246" i="15"/>
  <c r="W1246" i="15" s="1"/>
  <c r="AE1245" i="15"/>
  <c r="U1245" i="15"/>
  <c r="S1245" i="15"/>
  <c r="Q1245" i="15"/>
  <c r="F1245" i="15"/>
  <c r="E1245" i="15"/>
  <c r="D1245" i="15"/>
  <c r="C1245" i="15"/>
  <c r="B1245" i="15"/>
  <c r="A1245" i="15"/>
  <c r="F1244" i="15"/>
  <c r="E1244" i="15"/>
  <c r="D1244" i="15"/>
  <c r="C1244" i="15"/>
  <c r="B1244" i="15"/>
  <c r="A1244" i="15"/>
  <c r="F1243" i="15"/>
  <c r="E1243" i="15"/>
  <c r="D1243" i="15"/>
  <c r="C1243" i="15"/>
  <c r="B1243" i="15"/>
  <c r="A1243" i="15"/>
  <c r="AC1242" i="15"/>
  <c r="Z1242" i="15"/>
  <c r="Y1242" i="15"/>
  <c r="W1242" i="15"/>
  <c r="V1242" i="15"/>
  <c r="O1242" i="15"/>
  <c r="N1242" i="15"/>
  <c r="M1242" i="15"/>
  <c r="I1242" i="15"/>
  <c r="G1242" i="15"/>
  <c r="F1242" i="15"/>
  <c r="E1242" i="15"/>
  <c r="D1242" i="15"/>
  <c r="C1242" i="15"/>
  <c r="B1242" i="15"/>
  <c r="A1242" i="15"/>
  <c r="AG1241" i="15"/>
  <c r="AA1241" i="15"/>
  <c r="X1241" i="15"/>
  <c r="W1241" i="15"/>
  <c r="V1241" i="15"/>
  <c r="U1241" i="15"/>
  <c r="M1241" i="15"/>
  <c r="K1241" i="15"/>
  <c r="H1241" i="15"/>
  <c r="F1241" i="15"/>
  <c r="E1241" i="15"/>
  <c r="D1241" i="15"/>
  <c r="C1241" i="15"/>
  <c r="B1241" i="15"/>
  <c r="A1241" i="15"/>
  <c r="F1240" i="15"/>
  <c r="E1240" i="15"/>
  <c r="D1240" i="15"/>
  <c r="C1240" i="15"/>
  <c r="B1240" i="15"/>
  <c r="A1240" i="15"/>
  <c r="K1240" i="15" s="1"/>
  <c r="J1239" i="15"/>
  <c r="F1239" i="15"/>
  <c r="E1239" i="15"/>
  <c r="D1239" i="15"/>
  <c r="C1239" i="15"/>
  <c r="B1239" i="15"/>
  <c r="A1239" i="15"/>
  <c r="AH1238" i="15"/>
  <c r="J1238" i="15"/>
  <c r="I1238" i="15"/>
  <c r="F1238" i="15"/>
  <c r="E1238" i="15"/>
  <c r="D1238" i="15"/>
  <c r="C1238" i="15"/>
  <c r="B1238" i="15"/>
  <c r="A1238" i="15"/>
  <c r="K1238" i="15" s="1"/>
  <c r="AG1237" i="15"/>
  <c r="AF1237" i="15"/>
  <c r="AC1237" i="15"/>
  <c r="AA1237" i="15"/>
  <c r="W1237" i="15"/>
  <c r="V1237" i="15"/>
  <c r="T1237" i="15"/>
  <c r="P1237" i="15"/>
  <c r="O1237" i="15"/>
  <c r="N1237" i="15"/>
  <c r="H1237" i="15"/>
  <c r="G1237" i="15"/>
  <c r="F1237" i="15"/>
  <c r="E1237" i="15"/>
  <c r="D1237" i="15"/>
  <c r="C1237" i="15"/>
  <c r="B1237" i="15"/>
  <c r="A1237" i="15"/>
  <c r="AA1236" i="15"/>
  <c r="K1236" i="15"/>
  <c r="F1236" i="15"/>
  <c r="E1236" i="15"/>
  <c r="D1236" i="15"/>
  <c r="C1236" i="15"/>
  <c r="B1236" i="15"/>
  <c r="A1236" i="15"/>
  <c r="AF1235" i="15"/>
  <c r="AE1235" i="15"/>
  <c r="AC1235" i="15"/>
  <c r="AB1235" i="15"/>
  <c r="Z1235" i="15"/>
  <c r="T1235" i="15"/>
  <c r="S1235" i="15"/>
  <c r="Q1235" i="15"/>
  <c r="P1235" i="15"/>
  <c r="O1235" i="15"/>
  <c r="M1235" i="15"/>
  <c r="H1235" i="15"/>
  <c r="G1235" i="15"/>
  <c r="F1235" i="15"/>
  <c r="E1235" i="15"/>
  <c r="D1235" i="15"/>
  <c r="C1235" i="15"/>
  <c r="B1235" i="15"/>
  <c r="A1235" i="15"/>
  <c r="AE1234" i="15"/>
  <c r="AD1234" i="15"/>
  <c r="AC1234" i="15"/>
  <c r="AB1234" i="15"/>
  <c r="AA1234" i="15"/>
  <c r="T1234" i="15"/>
  <c r="M1234" i="15"/>
  <c r="I1234" i="15"/>
  <c r="F1234" i="15"/>
  <c r="E1234" i="15"/>
  <c r="D1234" i="15"/>
  <c r="C1234" i="15"/>
  <c r="B1234" i="15"/>
  <c r="A1234" i="15"/>
  <c r="AE1233" i="15"/>
  <c r="AC1233" i="15"/>
  <c r="AB1233" i="15"/>
  <c r="AA1233" i="15"/>
  <c r="Y1233" i="15"/>
  <c r="Q1233" i="15"/>
  <c r="M1233" i="15"/>
  <c r="G1233" i="15"/>
  <c r="F1233" i="15"/>
  <c r="E1233" i="15"/>
  <c r="D1233" i="15"/>
  <c r="C1233" i="15"/>
  <c r="B1233" i="15"/>
  <c r="A1233" i="15"/>
  <c r="AG1232" i="15"/>
  <c r="AF1232" i="15"/>
  <c r="AD1232" i="15"/>
  <c r="U1232" i="15"/>
  <c r="H1232" i="15"/>
  <c r="G1232" i="15"/>
  <c r="F1232" i="15"/>
  <c r="E1232" i="15"/>
  <c r="D1232" i="15"/>
  <c r="C1232" i="15"/>
  <c r="B1232" i="15"/>
  <c r="A1232" i="15"/>
  <c r="AH1231" i="15"/>
  <c r="AG1231" i="15"/>
  <c r="AE1231" i="15"/>
  <c r="AB1231" i="15"/>
  <c r="Z1231" i="15"/>
  <c r="W1231" i="15"/>
  <c r="U1231" i="15"/>
  <c r="Q1231" i="15"/>
  <c r="P1231" i="15"/>
  <c r="O1231" i="15"/>
  <c r="M1231" i="15"/>
  <c r="H1231" i="15"/>
  <c r="F1231" i="15"/>
  <c r="E1231" i="15"/>
  <c r="D1231" i="15"/>
  <c r="C1231" i="15"/>
  <c r="B1231" i="15"/>
  <c r="A1231" i="15"/>
  <c r="X1231" i="15" s="1"/>
  <c r="F1230" i="15"/>
  <c r="E1230" i="15"/>
  <c r="D1230" i="15"/>
  <c r="C1230" i="15"/>
  <c r="B1230" i="15"/>
  <c r="A1230" i="15"/>
  <c r="R1230" i="15" s="1"/>
  <c r="AD1229" i="15"/>
  <c r="Q1229" i="15"/>
  <c r="I1229" i="15"/>
  <c r="F1229" i="15"/>
  <c r="E1229" i="15"/>
  <c r="D1229" i="15"/>
  <c r="C1229" i="15"/>
  <c r="B1229" i="15"/>
  <c r="A1229" i="15"/>
  <c r="H1228" i="15"/>
  <c r="G1228" i="15"/>
  <c r="F1228" i="15"/>
  <c r="E1228" i="15"/>
  <c r="D1228" i="15"/>
  <c r="C1228" i="15"/>
  <c r="B1228" i="15"/>
  <c r="A1228" i="15"/>
  <c r="AG1227" i="15"/>
  <c r="AE1227" i="15"/>
  <c r="F1227" i="15"/>
  <c r="E1227" i="15"/>
  <c r="D1227" i="15"/>
  <c r="C1227" i="15"/>
  <c r="B1227" i="15"/>
  <c r="A1227" i="15"/>
  <c r="AE1226" i="15"/>
  <c r="AC1226" i="15"/>
  <c r="Y1226" i="15"/>
  <c r="Q1226" i="15"/>
  <c r="N1226" i="15"/>
  <c r="K1226" i="15"/>
  <c r="G1226" i="15"/>
  <c r="F1226" i="15"/>
  <c r="E1226" i="15"/>
  <c r="D1226" i="15"/>
  <c r="C1226" i="15"/>
  <c r="B1226" i="15"/>
  <c r="A1226" i="15"/>
  <c r="T1225" i="15"/>
  <c r="F1225" i="15"/>
  <c r="E1225" i="15"/>
  <c r="D1225" i="15"/>
  <c r="C1225" i="15"/>
  <c r="B1225" i="15"/>
  <c r="A1225" i="15"/>
  <c r="J1224" i="15"/>
  <c r="I1224" i="15"/>
  <c r="F1224" i="15"/>
  <c r="E1224" i="15"/>
  <c r="D1224" i="15"/>
  <c r="C1224" i="15"/>
  <c r="B1224" i="15"/>
  <c r="A1224" i="15"/>
  <c r="AH1224" i="15" s="1"/>
  <c r="AG1223" i="15"/>
  <c r="Z1223" i="15"/>
  <c r="F1223" i="15"/>
  <c r="E1223" i="15"/>
  <c r="D1223" i="15"/>
  <c r="C1223" i="15"/>
  <c r="B1223" i="15"/>
  <c r="A1223" i="15"/>
  <c r="Z1222" i="15"/>
  <c r="J1222" i="15"/>
  <c r="I1222" i="15"/>
  <c r="F1222" i="15"/>
  <c r="E1222" i="15"/>
  <c r="D1222" i="15"/>
  <c r="C1222" i="15"/>
  <c r="B1222" i="15"/>
  <c r="A1222" i="15"/>
  <c r="AF1221" i="15"/>
  <c r="AE1221" i="15"/>
  <c r="M1221" i="15"/>
  <c r="K1221" i="15"/>
  <c r="F1221" i="15"/>
  <c r="E1221" i="15"/>
  <c r="D1221" i="15"/>
  <c r="C1221" i="15"/>
  <c r="B1221" i="15"/>
  <c r="A1221" i="15"/>
  <c r="AH1220" i="15"/>
  <c r="X1220" i="15"/>
  <c r="M1220" i="15"/>
  <c r="F1220" i="15"/>
  <c r="E1220" i="15"/>
  <c r="D1220" i="15"/>
  <c r="C1220" i="15"/>
  <c r="B1220" i="15"/>
  <c r="A1220" i="15"/>
  <c r="K1220" i="15" s="1"/>
  <c r="AG1219" i="15"/>
  <c r="AE1219" i="15"/>
  <c r="AC1219" i="15"/>
  <c r="AB1219" i="15"/>
  <c r="Z1219" i="15"/>
  <c r="X1219" i="15"/>
  <c r="S1219" i="15"/>
  <c r="Q1219" i="15"/>
  <c r="P1219" i="15"/>
  <c r="O1219" i="15"/>
  <c r="M1219" i="15"/>
  <c r="L1219" i="15"/>
  <c r="G1219" i="15"/>
  <c r="F1219" i="15"/>
  <c r="E1219" i="15"/>
  <c r="D1219" i="15"/>
  <c r="C1219" i="15"/>
  <c r="B1219" i="15"/>
  <c r="A1219" i="15"/>
  <c r="U1219" i="15" s="1"/>
  <c r="AD1218" i="15"/>
  <c r="AC1218" i="15"/>
  <c r="AB1218" i="15"/>
  <c r="AA1218" i="15"/>
  <c r="T1218" i="15"/>
  <c r="S1218" i="15"/>
  <c r="M1218" i="15"/>
  <c r="I1218" i="15"/>
  <c r="F1218" i="15"/>
  <c r="E1218" i="15"/>
  <c r="D1218" i="15"/>
  <c r="C1218" i="15"/>
  <c r="B1218" i="15"/>
  <c r="A1218" i="15"/>
  <c r="AH1218" i="15" s="1"/>
  <c r="AE1217" i="15"/>
  <c r="AA1217" i="15"/>
  <c r="O1217" i="15"/>
  <c r="G1217" i="15"/>
  <c r="F1217" i="15"/>
  <c r="E1217" i="15"/>
  <c r="D1217" i="15"/>
  <c r="C1217" i="15"/>
  <c r="B1217" i="15"/>
  <c r="A1217" i="15"/>
  <c r="AF1216" i="15"/>
  <c r="AD1216" i="15"/>
  <c r="AA1216" i="15"/>
  <c r="Z1216" i="15"/>
  <c r="R1216" i="15"/>
  <c r="Q1216" i="15"/>
  <c r="P1216" i="15"/>
  <c r="K1216" i="15"/>
  <c r="H1216" i="15"/>
  <c r="F1216" i="15"/>
  <c r="E1216" i="15"/>
  <c r="D1216" i="15"/>
  <c r="C1216" i="15"/>
  <c r="B1216" i="15"/>
  <c r="A1216" i="15"/>
  <c r="AH1215" i="15"/>
  <c r="Z1215" i="15"/>
  <c r="Y1215" i="15"/>
  <c r="X1215" i="15"/>
  <c r="W1215" i="15"/>
  <c r="P1215" i="15"/>
  <c r="L1215" i="15"/>
  <c r="J1215" i="15"/>
  <c r="F1215" i="15"/>
  <c r="E1215" i="15"/>
  <c r="D1215" i="15"/>
  <c r="C1215" i="15"/>
  <c r="B1215" i="15"/>
  <c r="A1215" i="15"/>
  <c r="M1214" i="15"/>
  <c r="L1214" i="15"/>
  <c r="F1214" i="15"/>
  <c r="E1214" i="15"/>
  <c r="D1214" i="15"/>
  <c r="C1214" i="15"/>
  <c r="B1214" i="15"/>
  <c r="A1214" i="15"/>
  <c r="AD1213" i="15"/>
  <c r="AC1213" i="15"/>
  <c r="F1213" i="15"/>
  <c r="E1213" i="15"/>
  <c r="D1213" i="15"/>
  <c r="C1213" i="15"/>
  <c r="B1213" i="15"/>
  <c r="A1213" i="15"/>
  <c r="H1212" i="15"/>
  <c r="G1212" i="15"/>
  <c r="F1212" i="15"/>
  <c r="E1212" i="15"/>
  <c r="D1212" i="15"/>
  <c r="C1212" i="15"/>
  <c r="B1212" i="15"/>
  <c r="A1212" i="15"/>
  <c r="AE1211" i="15"/>
  <c r="F1211" i="15"/>
  <c r="E1211" i="15"/>
  <c r="D1211" i="15"/>
  <c r="C1211" i="15"/>
  <c r="B1211" i="15"/>
  <c r="A1211" i="15"/>
  <c r="AH1210" i="15"/>
  <c r="AG1210" i="15"/>
  <c r="AE1210" i="15"/>
  <c r="Y1210" i="15"/>
  <c r="W1210" i="15"/>
  <c r="V1210" i="15"/>
  <c r="T1210" i="15"/>
  <c r="R1210" i="15"/>
  <c r="N1210" i="15"/>
  <c r="M1210" i="15"/>
  <c r="I1210" i="15"/>
  <c r="G1210" i="15"/>
  <c r="F1210" i="15"/>
  <c r="E1210" i="15"/>
  <c r="D1210" i="15"/>
  <c r="C1210" i="15"/>
  <c r="B1210" i="15"/>
  <c r="A1210" i="15"/>
  <c r="AG1209" i="15"/>
  <c r="AA1209" i="15"/>
  <c r="X1209" i="15"/>
  <c r="W1209" i="15"/>
  <c r="V1209" i="15"/>
  <c r="T1209" i="15"/>
  <c r="K1209" i="15"/>
  <c r="H1209" i="15"/>
  <c r="F1209" i="15"/>
  <c r="E1209" i="15"/>
  <c r="D1209" i="15"/>
  <c r="C1209" i="15"/>
  <c r="B1209" i="15"/>
  <c r="A1209" i="15"/>
  <c r="AF1208" i="15"/>
  <c r="J1208" i="15"/>
  <c r="F1208" i="15"/>
  <c r="E1208" i="15"/>
  <c r="D1208" i="15"/>
  <c r="C1208" i="15"/>
  <c r="B1208" i="15"/>
  <c r="A1208" i="15"/>
  <c r="AG1207" i="15"/>
  <c r="I1207" i="15"/>
  <c r="F1207" i="15"/>
  <c r="E1207" i="15"/>
  <c r="D1207" i="15"/>
  <c r="C1207" i="15"/>
  <c r="B1207" i="15"/>
  <c r="A1207" i="15"/>
  <c r="U1207" i="15" s="1"/>
  <c r="Y1206" i="15"/>
  <c r="I1206" i="15"/>
  <c r="F1206" i="15"/>
  <c r="E1206" i="15"/>
  <c r="D1206" i="15"/>
  <c r="C1206" i="15"/>
  <c r="B1206" i="15"/>
  <c r="A1206" i="15"/>
  <c r="AF1205" i="15"/>
  <c r="X1205" i="15"/>
  <c r="W1205" i="15"/>
  <c r="V1205" i="15"/>
  <c r="T1205" i="15"/>
  <c r="P1205" i="15"/>
  <c r="H1205" i="15"/>
  <c r="G1205" i="15"/>
  <c r="F1205" i="15"/>
  <c r="E1205" i="15"/>
  <c r="D1205" i="15"/>
  <c r="C1205" i="15"/>
  <c r="B1205" i="15"/>
  <c r="A1205" i="15"/>
  <c r="Y1204" i="15"/>
  <c r="X1204" i="15"/>
  <c r="F1204" i="15"/>
  <c r="E1204" i="15"/>
  <c r="D1204" i="15"/>
  <c r="C1204" i="15"/>
  <c r="B1204" i="15"/>
  <c r="A1204" i="15"/>
  <c r="AE1203" i="15"/>
  <c r="AC1203" i="15"/>
  <c r="Z1203" i="15"/>
  <c r="S1203" i="15"/>
  <c r="Q1203" i="15"/>
  <c r="M1203" i="15"/>
  <c r="K1203" i="15"/>
  <c r="F1203" i="15"/>
  <c r="E1203" i="15"/>
  <c r="D1203" i="15"/>
  <c r="C1203" i="15"/>
  <c r="B1203" i="15"/>
  <c r="A1203" i="15"/>
  <c r="V1202" i="15"/>
  <c r="O1202" i="15"/>
  <c r="F1202" i="15"/>
  <c r="E1202" i="15"/>
  <c r="D1202" i="15"/>
  <c r="C1202" i="15"/>
  <c r="B1202" i="15"/>
  <c r="A1202" i="15"/>
  <c r="K1201" i="15"/>
  <c r="F1201" i="15"/>
  <c r="E1201" i="15"/>
  <c r="D1201" i="15"/>
  <c r="C1201" i="15"/>
  <c r="B1201" i="15"/>
  <c r="A1201" i="15"/>
  <c r="Y1201" i="15" s="1"/>
  <c r="AD1200" i="15"/>
  <c r="AA1200" i="15"/>
  <c r="Z1200" i="15"/>
  <c r="Y1200" i="15"/>
  <c r="X1200" i="15"/>
  <c r="Q1200" i="15"/>
  <c r="N1200" i="15"/>
  <c r="K1200" i="15"/>
  <c r="F1200" i="15"/>
  <c r="E1200" i="15"/>
  <c r="D1200" i="15"/>
  <c r="C1200" i="15"/>
  <c r="B1200" i="15"/>
  <c r="A1200" i="15"/>
  <c r="AG1200" i="15" s="1"/>
  <c r="AH1199" i="15"/>
  <c r="AG1199" i="15"/>
  <c r="AE1199" i="15"/>
  <c r="Z1199" i="15"/>
  <c r="W1199" i="15"/>
  <c r="U1199" i="15"/>
  <c r="S1199" i="15"/>
  <c r="Q1199" i="15"/>
  <c r="O1199" i="15"/>
  <c r="H1199" i="15"/>
  <c r="G1199" i="15"/>
  <c r="F1199" i="15"/>
  <c r="E1199" i="15"/>
  <c r="D1199" i="15"/>
  <c r="C1199" i="15"/>
  <c r="B1199" i="15"/>
  <c r="A1199" i="15"/>
  <c r="AH1198" i="15"/>
  <c r="AG1198" i="15"/>
  <c r="AE1198" i="15"/>
  <c r="AD1198" i="15"/>
  <c r="AC1198" i="15"/>
  <c r="V1198" i="15"/>
  <c r="U1198" i="15"/>
  <c r="T1198" i="15"/>
  <c r="R1198" i="15"/>
  <c r="Q1198" i="15"/>
  <c r="M1198" i="15"/>
  <c r="L1198" i="15"/>
  <c r="I1198" i="15"/>
  <c r="G1198" i="15"/>
  <c r="F1198" i="15"/>
  <c r="E1198" i="15"/>
  <c r="D1198" i="15"/>
  <c r="C1198" i="15"/>
  <c r="B1198" i="15"/>
  <c r="A1198" i="15"/>
  <c r="Q1197" i="15"/>
  <c r="I1197" i="15"/>
  <c r="F1197" i="15"/>
  <c r="E1197" i="15"/>
  <c r="D1197" i="15"/>
  <c r="C1197" i="15"/>
  <c r="B1197" i="15"/>
  <c r="A1197" i="15"/>
  <c r="AF1196" i="15"/>
  <c r="AD1196" i="15"/>
  <c r="AC1196" i="15"/>
  <c r="H1196" i="15"/>
  <c r="G1196" i="15"/>
  <c r="F1196" i="15"/>
  <c r="E1196" i="15"/>
  <c r="D1196" i="15"/>
  <c r="C1196" i="15"/>
  <c r="B1196" i="15"/>
  <c r="A1196" i="15"/>
  <c r="U1196" i="15" s="1"/>
  <c r="H1195" i="15"/>
  <c r="G1195" i="15"/>
  <c r="F1195" i="15"/>
  <c r="E1195" i="15"/>
  <c r="D1195" i="15"/>
  <c r="C1195" i="15"/>
  <c r="B1195" i="15"/>
  <c r="A1195" i="15"/>
  <c r="AH1194" i="15"/>
  <c r="AG1194" i="15"/>
  <c r="Z1194" i="15"/>
  <c r="V1194" i="15"/>
  <c r="T1194" i="15"/>
  <c r="N1194" i="15"/>
  <c r="K1194" i="15"/>
  <c r="F1194" i="15"/>
  <c r="E1194" i="15"/>
  <c r="D1194" i="15"/>
  <c r="C1194" i="15"/>
  <c r="B1194" i="15"/>
  <c r="A1194" i="15"/>
  <c r="M1193" i="15"/>
  <c r="L1193" i="15"/>
  <c r="F1193" i="15"/>
  <c r="E1193" i="15"/>
  <c r="D1193" i="15"/>
  <c r="C1193" i="15"/>
  <c r="B1193" i="15"/>
  <c r="A1193" i="15"/>
  <c r="AH1192" i="15"/>
  <c r="K1192" i="15"/>
  <c r="J1192" i="15"/>
  <c r="F1192" i="15"/>
  <c r="E1192" i="15"/>
  <c r="D1192" i="15"/>
  <c r="C1192" i="15"/>
  <c r="B1192" i="15"/>
  <c r="A1192" i="15"/>
  <c r="V1192" i="15" s="1"/>
  <c r="AA1191" i="15"/>
  <c r="X1191" i="15"/>
  <c r="K1191" i="15"/>
  <c r="J1191" i="15"/>
  <c r="F1191" i="15"/>
  <c r="E1191" i="15"/>
  <c r="D1191" i="15"/>
  <c r="C1191" i="15"/>
  <c r="B1191" i="15"/>
  <c r="A1191" i="15"/>
  <c r="Z1191" i="15" s="1"/>
  <c r="F1190" i="15"/>
  <c r="E1190" i="15"/>
  <c r="D1190" i="15"/>
  <c r="C1190" i="15"/>
  <c r="B1190" i="15"/>
  <c r="A1190" i="15"/>
  <c r="M1190" i="15" s="1"/>
  <c r="W1189" i="15"/>
  <c r="M1189" i="15"/>
  <c r="F1189" i="15"/>
  <c r="E1189" i="15"/>
  <c r="D1189" i="15"/>
  <c r="C1189" i="15"/>
  <c r="B1189" i="15"/>
  <c r="A1189" i="15"/>
  <c r="K1189" i="15" s="1"/>
  <c r="O1188" i="15"/>
  <c r="N1188" i="15"/>
  <c r="F1188" i="15"/>
  <c r="E1188" i="15"/>
  <c r="D1188" i="15"/>
  <c r="C1188" i="15"/>
  <c r="B1188" i="15"/>
  <c r="A1188" i="15"/>
  <c r="AE1187" i="15"/>
  <c r="AC1187" i="15"/>
  <c r="AB1187" i="15"/>
  <c r="X1187" i="15"/>
  <c r="M1187" i="15"/>
  <c r="L1187" i="15"/>
  <c r="F1187" i="15"/>
  <c r="E1187" i="15"/>
  <c r="D1187" i="15"/>
  <c r="C1187" i="15"/>
  <c r="B1187" i="15"/>
  <c r="A1187" i="15"/>
  <c r="L1186" i="15"/>
  <c r="F1186" i="15"/>
  <c r="E1186" i="15"/>
  <c r="D1186" i="15"/>
  <c r="C1186" i="15"/>
  <c r="B1186" i="15"/>
  <c r="A1186" i="15"/>
  <c r="AG1185" i="15"/>
  <c r="AC1185" i="15"/>
  <c r="M1185" i="15"/>
  <c r="K1185" i="15"/>
  <c r="F1185" i="15"/>
  <c r="E1185" i="15"/>
  <c r="D1185" i="15"/>
  <c r="C1185" i="15"/>
  <c r="B1185" i="15"/>
  <c r="A1185" i="15"/>
  <c r="Y1184" i="15"/>
  <c r="O1184" i="15"/>
  <c r="N1184" i="15"/>
  <c r="F1184" i="15"/>
  <c r="E1184" i="15"/>
  <c r="D1184" i="15"/>
  <c r="C1184" i="15"/>
  <c r="B1184" i="15"/>
  <c r="A1184" i="15"/>
  <c r="M1183" i="15"/>
  <c r="J1183" i="15"/>
  <c r="F1183" i="15"/>
  <c r="E1183" i="15"/>
  <c r="D1183" i="15"/>
  <c r="C1183" i="15"/>
  <c r="B1183" i="15"/>
  <c r="A1183" i="15"/>
  <c r="AD1182" i="15"/>
  <c r="Y1182" i="15"/>
  <c r="W1182" i="15"/>
  <c r="R1182" i="15"/>
  <c r="N1182" i="15"/>
  <c r="F1182" i="15"/>
  <c r="E1182" i="15"/>
  <c r="D1182" i="15"/>
  <c r="C1182" i="15"/>
  <c r="B1182" i="15"/>
  <c r="A1182" i="15"/>
  <c r="T1181" i="15"/>
  <c r="L1181" i="15"/>
  <c r="F1181" i="15"/>
  <c r="E1181" i="15"/>
  <c r="D1181" i="15"/>
  <c r="C1181" i="15"/>
  <c r="B1181" i="15"/>
  <c r="A1181" i="15"/>
  <c r="AC1180" i="15"/>
  <c r="Q1180" i="15"/>
  <c r="P1180" i="15"/>
  <c r="F1180" i="15"/>
  <c r="E1180" i="15"/>
  <c r="D1180" i="15"/>
  <c r="C1180" i="15"/>
  <c r="B1180" i="15"/>
  <c r="A1180" i="15"/>
  <c r="F1179" i="15"/>
  <c r="E1179" i="15"/>
  <c r="D1179" i="15"/>
  <c r="C1179" i="15"/>
  <c r="B1179" i="15"/>
  <c r="A1179" i="15"/>
  <c r="AH1179" i="15" s="1"/>
  <c r="AG1178" i="15"/>
  <c r="Y1178" i="15"/>
  <c r="W1178" i="15"/>
  <c r="V1178" i="15"/>
  <c r="T1178" i="15"/>
  <c r="Q1178" i="15"/>
  <c r="I1178" i="15"/>
  <c r="G1178" i="15"/>
  <c r="F1178" i="15"/>
  <c r="E1178" i="15"/>
  <c r="D1178" i="15"/>
  <c r="C1178" i="15"/>
  <c r="B1178" i="15"/>
  <c r="A1178" i="15"/>
  <c r="AG1177" i="15"/>
  <c r="AF1177" i="15"/>
  <c r="AE1177" i="15"/>
  <c r="AD1177" i="15"/>
  <c r="L1177" i="15"/>
  <c r="H1177" i="15"/>
  <c r="F1177" i="15"/>
  <c r="E1177" i="15"/>
  <c r="D1177" i="15"/>
  <c r="C1177" i="15"/>
  <c r="B1177" i="15"/>
  <c r="A1177" i="15"/>
  <c r="V1176" i="15"/>
  <c r="F1176" i="15"/>
  <c r="E1176" i="15"/>
  <c r="D1176" i="15"/>
  <c r="C1176" i="15"/>
  <c r="B1176" i="15"/>
  <c r="A1176" i="15"/>
  <c r="X1175" i="15"/>
  <c r="S1175" i="15"/>
  <c r="K1175" i="15"/>
  <c r="F1175" i="15"/>
  <c r="E1175" i="15"/>
  <c r="D1175" i="15"/>
  <c r="C1175" i="15"/>
  <c r="B1175" i="15"/>
  <c r="A1175" i="15"/>
  <c r="AG1175" i="15" s="1"/>
  <c r="S1174" i="15"/>
  <c r="K1174" i="15"/>
  <c r="F1174" i="15"/>
  <c r="E1174" i="15"/>
  <c r="D1174" i="15"/>
  <c r="C1174" i="15"/>
  <c r="B1174" i="15"/>
  <c r="A1174" i="15"/>
  <c r="AG1173" i="15"/>
  <c r="AF1173" i="15"/>
  <c r="N1173" i="15"/>
  <c r="K1173" i="15"/>
  <c r="F1173" i="15"/>
  <c r="E1173" i="15"/>
  <c r="D1173" i="15"/>
  <c r="C1173" i="15"/>
  <c r="B1173" i="15"/>
  <c r="A1173" i="15"/>
  <c r="X1172" i="15"/>
  <c r="W1172" i="15"/>
  <c r="F1172" i="15"/>
  <c r="E1172" i="15"/>
  <c r="D1172" i="15"/>
  <c r="C1172" i="15"/>
  <c r="B1172" i="15"/>
  <c r="A1172" i="15"/>
  <c r="AC1171" i="15"/>
  <c r="AB1171" i="15"/>
  <c r="Z1171" i="15"/>
  <c r="X1171" i="15"/>
  <c r="L1171" i="15"/>
  <c r="K1171" i="15"/>
  <c r="F1171" i="15"/>
  <c r="E1171" i="15"/>
  <c r="D1171" i="15"/>
  <c r="C1171" i="15"/>
  <c r="B1171" i="15"/>
  <c r="A1171" i="15"/>
  <c r="F1170" i="15"/>
  <c r="E1170" i="15"/>
  <c r="D1170" i="15"/>
  <c r="C1170" i="15"/>
  <c r="B1170" i="15"/>
  <c r="A1170" i="15"/>
  <c r="F1169" i="15"/>
  <c r="E1169" i="15"/>
  <c r="D1169" i="15"/>
  <c r="C1169" i="15"/>
  <c r="B1169" i="15"/>
  <c r="A1169" i="15"/>
  <c r="I1169" i="15" s="1"/>
  <c r="K1168" i="15"/>
  <c r="I1168" i="15"/>
  <c r="F1168" i="15"/>
  <c r="E1168" i="15"/>
  <c r="D1168" i="15"/>
  <c r="C1168" i="15"/>
  <c r="B1168" i="15"/>
  <c r="A1168" i="15"/>
  <c r="AH1168" i="15" s="1"/>
  <c r="AB1167" i="15"/>
  <c r="L1167" i="15"/>
  <c r="J1167" i="15"/>
  <c r="F1167" i="15"/>
  <c r="E1167" i="15"/>
  <c r="D1167" i="15"/>
  <c r="C1167" i="15"/>
  <c r="B1167" i="15"/>
  <c r="A1167" i="15"/>
  <c r="AH1166" i="15"/>
  <c r="AC1166" i="15"/>
  <c r="W1166" i="15"/>
  <c r="O1166" i="15"/>
  <c r="M1166" i="15"/>
  <c r="F1166" i="15"/>
  <c r="E1166" i="15"/>
  <c r="D1166" i="15"/>
  <c r="C1166" i="15"/>
  <c r="B1166" i="15"/>
  <c r="A1166" i="15"/>
  <c r="AG1165" i="15"/>
  <c r="AB1165" i="15"/>
  <c r="AA1165" i="15"/>
  <c r="X1165" i="15"/>
  <c r="U1165" i="15"/>
  <c r="S1165" i="15"/>
  <c r="Q1165" i="15"/>
  <c r="L1165" i="15"/>
  <c r="I1165" i="15"/>
  <c r="F1165" i="15"/>
  <c r="E1165" i="15"/>
  <c r="D1165" i="15"/>
  <c r="C1165" i="15"/>
  <c r="B1165" i="15"/>
  <c r="A1165" i="15"/>
  <c r="AE1165" i="15" s="1"/>
  <c r="N1164" i="15"/>
  <c r="F1164" i="15"/>
  <c r="E1164" i="15"/>
  <c r="D1164" i="15"/>
  <c r="C1164" i="15"/>
  <c r="B1164" i="15"/>
  <c r="A1164" i="15"/>
  <c r="AE1163" i="15"/>
  <c r="AB1163" i="15"/>
  <c r="AA1163" i="15"/>
  <c r="Z1163" i="15"/>
  <c r="R1163" i="15"/>
  <c r="Q1163" i="15"/>
  <c r="P1163" i="15"/>
  <c r="J1163" i="15"/>
  <c r="H1163" i="15"/>
  <c r="F1163" i="15"/>
  <c r="E1163" i="15"/>
  <c r="D1163" i="15"/>
  <c r="C1163" i="15"/>
  <c r="B1163" i="15"/>
  <c r="A1163" i="15"/>
  <c r="AH1162" i="15"/>
  <c r="AA1162" i="15"/>
  <c r="F1162" i="15"/>
  <c r="E1162" i="15"/>
  <c r="D1162" i="15"/>
  <c r="C1162" i="15"/>
  <c r="B1162" i="15"/>
  <c r="A1162" i="15"/>
  <c r="K1162" i="15" s="1"/>
  <c r="M1161" i="15"/>
  <c r="L1161" i="15"/>
  <c r="F1161" i="15"/>
  <c r="E1161" i="15"/>
  <c r="D1161" i="15"/>
  <c r="C1161" i="15"/>
  <c r="B1161" i="15"/>
  <c r="A1161" i="15"/>
  <c r="U1160" i="15"/>
  <c r="F1160" i="15"/>
  <c r="E1160" i="15"/>
  <c r="D1160" i="15"/>
  <c r="C1160" i="15"/>
  <c r="B1160" i="15"/>
  <c r="A1160" i="15"/>
  <c r="AG1159" i="15"/>
  <c r="AB1159" i="15"/>
  <c r="T1159" i="15"/>
  <c r="S1159" i="15"/>
  <c r="Q1159" i="15"/>
  <c r="I1159" i="15"/>
  <c r="F1159" i="15"/>
  <c r="E1159" i="15"/>
  <c r="D1159" i="15"/>
  <c r="C1159" i="15"/>
  <c r="B1159" i="15"/>
  <c r="A1159" i="15"/>
  <c r="S1158" i="15"/>
  <c r="R1158" i="15"/>
  <c r="F1158" i="15"/>
  <c r="E1158" i="15"/>
  <c r="D1158" i="15"/>
  <c r="C1158" i="15"/>
  <c r="B1158" i="15"/>
  <c r="A1158" i="15"/>
  <c r="AG1157" i="15"/>
  <c r="AC1157" i="15"/>
  <c r="Y1157" i="15"/>
  <c r="X1157" i="15"/>
  <c r="W1157" i="15"/>
  <c r="V1157" i="15"/>
  <c r="P1157" i="15"/>
  <c r="O1157" i="15"/>
  <c r="N1157" i="15"/>
  <c r="K1157" i="15"/>
  <c r="H1157" i="15"/>
  <c r="F1157" i="15"/>
  <c r="E1157" i="15"/>
  <c r="D1157" i="15"/>
  <c r="C1157" i="15"/>
  <c r="B1157" i="15"/>
  <c r="A1157" i="15"/>
  <c r="F1156" i="15"/>
  <c r="E1156" i="15"/>
  <c r="D1156" i="15"/>
  <c r="C1156" i="15"/>
  <c r="B1156" i="15"/>
  <c r="A1156" i="15"/>
  <c r="AG1155" i="15"/>
  <c r="AE1155" i="15"/>
  <c r="X1155" i="15"/>
  <c r="W1155" i="15"/>
  <c r="U1155" i="15"/>
  <c r="T1155" i="15"/>
  <c r="S1155" i="15"/>
  <c r="L1155" i="15"/>
  <c r="J1155" i="15"/>
  <c r="H1155" i="15"/>
  <c r="F1155" i="15"/>
  <c r="E1155" i="15"/>
  <c r="D1155" i="15"/>
  <c r="C1155" i="15"/>
  <c r="B1155" i="15"/>
  <c r="A1155" i="15"/>
  <c r="F1154" i="15"/>
  <c r="E1154" i="15"/>
  <c r="D1154" i="15"/>
  <c r="C1154" i="15"/>
  <c r="B1154" i="15"/>
  <c r="A1154" i="15"/>
  <c r="I1153" i="15"/>
  <c r="F1153" i="15"/>
  <c r="E1153" i="15"/>
  <c r="D1153" i="15"/>
  <c r="C1153" i="15"/>
  <c r="B1153" i="15"/>
  <c r="A1153" i="15"/>
  <c r="W1152" i="15"/>
  <c r="R1152" i="15"/>
  <c r="K1152" i="15"/>
  <c r="F1152" i="15"/>
  <c r="E1152" i="15"/>
  <c r="D1152" i="15"/>
  <c r="C1152" i="15"/>
  <c r="B1152" i="15"/>
  <c r="A1152" i="15"/>
  <c r="AG1152" i="15" s="1"/>
  <c r="L1151" i="15"/>
  <c r="F1151" i="15"/>
  <c r="E1151" i="15"/>
  <c r="D1151" i="15"/>
  <c r="C1151" i="15"/>
  <c r="B1151" i="15"/>
  <c r="A1151" i="15"/>
  <c r="AG1150" i="15"/>
  <c r="F1150" i="15"/>
  <c r="E1150" i="15"/>
  <c r="D1150" i="15"/>
  <c r="C1150" i="15"/>
  <c r="B1150" i="15"/>
  <c r="A1150" i="15"/>
  <c r="L1150" i="15" s="1"/>
  <c r="AA1149" i="15"/>
  <c r="X1149" i="15"/>
  <c r="M1149" i="15"/>
  <c r="F1149" i="15"/>
  <c r="E1149" i="15"/>
  <c r="D1149" i="15"/>
  <c r="C1149" i="15"/>
  <c r="B1149" i="15"/>
  <c r="A1149" i="15"/>
  <c r="K1149" i="15" s="1"/>
  <c r="F1148" i="15"/>
  <c r="E1148" i="15"/>
  <c r="D1148" i="15"/>
  <c r="C1148" i="15"/>
  <c r="B1148" i="15"/>
  <c r="A1148" i="15"/>
  <c r="K1148" i="15" s="1"/>
  <c r="Z1147" i="15"/>
  <c r="Y1147" i="15"/>
  <c r="Q1147" i="15"/>
  <c r="P1147" i="15"/>
  <c r="F1147" i="15"/>
  <c r="E1147" i="15"/>
  <c r="D1147" i="15"/>
  <c r="C1147" i="15"/>
  <c r="B1147" i="15"/>
  <c r="A1147" i="15"/>
  <c r="AE1146" i="15"/>
  <c r="AA1146" i="15"/>
  <c r="Z1146" i="15"/>
  <c r="Y1146" i="15"/>
  <c r="W1146" i="15"/>
  <c r="R1146" i="15"/>
  <c r="Q1146" i="15"/>
  <c r="O1146" i="15"/>
  <c r="M1146" i="15"/>
  <c r="K1146" i="15"/>
  <c r="F1146" i="15"/>
  <c r="E1146" i="15"/>
  <c r="D1146" i="15"/>
  <c r="C1146" i="15"/>
  <c r="B1146" i="15"/>
  <c r="A1146" i="15"/>
  <c r="AE1145" i="15"/>
  <c r="AC1145" i="15"/>
  <c r="AA1145" i="15"/>
  <c r="X1145" i="15"/>
  <c r="W1145" i="15"/>
  <c r="T1145" i="15"/>
  <c r="O1145" i="15"/>
  <c r="M1145" i="15"/>
  <c r="L1145" i="15"/>
  <c r="F1145" i="15"/>
  <c r="E1145" i="15"/>
  <c r="D1145" i="15"/>
  <c r="C1145" i="15"/>
  <c r="B1145" i="15"/>
  <c r="A1145" i="15"/>
  <c r="AC1144" i="15"/>
  <c r="AA1144" i="15"/>
  <c r="Y1144" i="15"/>
  <c r="S1144" i="15"/>
  <c r="R1144" i="15"/>
  <c r="P1144" i="15"/>
  <c r="G1144" i="15"/>
  <c r="F1144" i="15"/>
  <c r="E1144" i="15"/>
  <c r="D1144" i="15"/>
  <c r="C1144" i="15"/>
  <c r="B1144" i="15"/>
  <c r="A1144" i="15"/>
  <c r="AF1144" i="15" s="1"/>
  <c r="AC1143" i="15"/>
  <c r="AB1143" i="15"/>
  <c r="AA1143" i="15"/>
  <c r="Z1143" i="15"/>
  <c r="S1143" i="15"/>
  <c r="R1143" i="15"/>
  <c r="L1143" i="15"/>
  <c r="H1143" i="15"/>
  <c r="F1143" i="15"/>
  <c r="E1143" i="15"/>
  <c r="D1143" i="15"/>
  <c r="C1143" i="15"/>
  <c r="B1143" i="15"/>
  <c r="A1143" i="15"/>
  <c r="AG1143" i="15" s="1"/>
  <c r="S1142" i="15"/>
  <c r="F1142" i="15"/>
  <c r="E1142" i="15"/>
  <c r="D1142" i="15"/>
  <c r="C1142" i="15"/>
  <c r="B1142" i="15"/>
  <c r="A1142" i="15"/>
  <c r="AG1141" i="15"/>
  <c r="AF1141" i="15"/>
  <c r="AE1141" i="15"/>
  <c r="AA1141" i="15"/>
  <c r="W1141" i="15"/>
  <c r="V1141" i="15"/>
  <c r="T1141" i="15"/>
  <c r="Q1141" i="15"/>
  <c r="P1141" i="15"/>
  <c r="O1141" i="15"/>
  <c r="H1141" i="15"/>
  <c r="G1141" i="15"/>
  <c r="F1141" i="15"/>
  <c r="E1141" i="15"/>
  <c r="D1141" i="15"/>
  <c r="C1141" i="15"/>
  <c r="B1141" i="15"/>
  <c r="A1141" i="15"/>
  <c r="AG1140" i="15"/>
  <c r="AF1140" i="15"/>
  <c r="AE1140" i="15"/>
  <c r="AD1140" i="15"/>
  <c r="AA1140" i="15"/>
  <c r="R1140" i="15"/>
  <c r="P1140" i="15"/>
  <c r="I1140" i="15"/>
  <c r="G1140" i="15"/>
  <c r="F1140" i="15"/>
  <c r="E1140" i="15"/>
  <c r="D1140" i="15"/>
  <c r="C1140" i="15"/>
  <c r="B1140" i="15"/>
  <c r="A1140" i="15"/>
  <c r="AE1139" i="15"/>
  <c r="Z1139" i="15"/>
  <c r="X1139" i="15"/>
  <c r="W1139" i="15"/>
  <c r="U1139" i="15"/>
  <c r="S1139" i="15"/>
  <c r="J1139" i="15"/>
  <c r="H1139" i="15"/>
  <c r="F1139" i="15"/>
  <c r="E1139" i="15"/>
  <c r="D1139" i="15"/>
  <c r="C1139" i="15"/>
  <c r="B1139" i="15"/>
  <c r="A1139" i="15"/>
  <c r="F1138" i="15"/>
  <c r="E1138" i="15"/>
  <c r="D1138" i="15"/>
  <c r="C1138" i="15"/>
  <c r="B1138" i="15"/>
  <c r="A1138" i="15"/>
  <c r="AG1137" i="15"/>
  <c r="AB1137" i="15"/>
  <c r="AA1137" i="15"/>
  <c r="T1137" i="15"/>
  <c r="S1137" i="15"/>
  <c r="Q1137" i="15"/>
  <c r="P1137" i="15"/>
  <c r="G1137" i="15"/>
  <c r="F1137" i="15"/>
  <c r="E1137" i="15"/>
  <c r="D1137" i="15"/>
  <c r="C1137" i="15"/>
  <c r="B1137" i="15"/>
  <c r="A1137" i="15"/>
  <c r="AE1137" i="15" s="1"/>
  <c r="AF1136" i="15"/>
  <c r="AD1136" i="15"/>
  <c r="AA1136" i="15"/>
  <c r="U1136" i="15"/>
  <c r="R1136" i="15"/>
  <c r="Q1136" i="15"/>
  <c r="G1136" i="15"/>
  <c r="F1136" i="15"/>
  <c r="E1136" i="15"/>
  <c r="D1136" i="15"/>
  <c r="C1136" i="15"/>
  <c r="B1136" i="15"/>
  <c r="A1136" i="15"/>
  <c r="P1136" i="15" s="1"/>
  <c r="AE1135" i="15"/>
  <c r="W1135" i="15"/>
  <c r="J1135" i="15"/>
  <c r="I1135" i="15"/>
  <c r="F1135" i="15"/>
  <c r="E1135" i="15"/>
  <c r="D1135" i="15"/>
  <c r="C1135" i="15"/>
  <c r="B1135" i="15"/>
  <c r="A1135" i="15"/>
  <c r="AF1135" i="15" s="1"/>
  <c r="AC1134" i="15"/>
  <c r="AB1134" i="15"/>
  <c r="Y1134" i="15"/>
  <c r="S1134" i="15"/>
  <c r="R1134" i="15"/>
  <c r="O1134" i="15"/>
  <c r="M1134" i="15"/>
  <c r="F1134" i="15"/>
  <c r="E1134" i="15"/>
  <c r="D1134" i="15"/>
  <c r="C1134" i="15"/>
  <c r="B1134" i="15"/>
  <c r="A1134" i="15"/>
  <c r="I1133" i="15"/>
  <c r="G1133" i="15"/>
  <c r="F1133" i="15"/>
  <c r="E1133" i="15"/>
  <c r="D1133" i="15"/>
  <c r="C1133" i="15"/>
  <c r="B1133" i="15"/>
  <c r="A1133" i="15"/>
  <c r="T1133" i="15" s="1"/>
  <c r="AF1132" i="15"/>
  <c r="K1132" i="15"/>
  <c r="F1132" i="15"/>
  <c r="E1132" i="15"/>
  <c r="D1132" i="15"/>
  <c r="C1132" i="15"/>
  <c r="B1132" i="15"/>
  <c r="A1132" i="15"/>
  <c r="AC1131" i="15"/>
  <c r="AA1131" i="15"/>
  <c r="Z1131" i="15"/>
  <c r="Y1131" i="15"/>
  <c r="R1131" i="15"/>
  <c r="Q1131" i="15"/>
  <c r="H1131" i="15"/>
  <c r="G1131" i="15"/>
  <c r="F1131" i="15"/>
  <c r="E1131" i="15"/>
  <c r="D1131" i="15"/>
  <c r="C1131" i="15"/>
  <c r="B1131" i="15"/>
  <c r="A1131" i="15"/>
  <c r="P1131" i="15" s="1"/>
  <c r="AH1130" i="15"/>
  <c r="U1130" i="15"/>
  <c r="S1130" i="15"/>
  <c r="L1130" i="15"/>
  <c r="F1130" i="15"/>
  <c r="E1130" i="15"/>
  <c r="D1130" i="15"/>
  <c r="C1130" i="15"/>
  <c r="B1130" i="15"/>
  <c r="A1130" i="15"/>
  <c r="AE1130" i="15" s="1"/>
  <c r="AG1129" i="15"/>
  <c r="AB1129" i="15"/>
  <c r="W1129" i="15"/>
  <c r="V1129" i="15"/>
  <c r="Q1129" i="15"/>
  <c r="N1129" i="15"/>
  <c r="M1129" i="15"/>
  <c r="F1129" i="15"/>
  <c r="E1129" i="15"/>
  <c r="D1129" i="15"/>
  <c r="C1129" i="15"/>
  <c r="B1129" i="15"/>
  <c r="A1129" i="15"/>
  <c r="AD1128" i="15"/>
  <c r="S1128" i="15"/>
  <c r="O1128" i="15"/>
  <c r="H1128" i="15"/>
  <c r="F1128" i="15"/>
  <c r="E1128" i="15"/>
  <c r="D1128" i="15"/>
  <c r="C1128" i="15"/>
  <c r="B1128" i="15"/>
  <c r="A1128" i="15"/>
  <c r="W1127" i="15"/>
  <c r="I1127" i="15"/>
  <c r="F1127" i="15"/>
  <c r="E1127" i="15"/>
  <c r="D1127" i="15"/>
  <c r="C1127" i="15"/>
  <c r="B1127" i="15"/>
  <c r="A1127" i="15"/>
  <c r="Z1126" i="15"/>
  <c r="Q1126" i="15"/>
  <c r="O1126" i="15"/>
  <c r="F1126" i="15"/>
  <c r="E1126" i="15"/>
  <c r="D1126" i="15"/>
  <c r="C1126" i="15"/>
  <c r="B1126" i="15"/>
  <c r="A1126" i="15"/>
  <c r="F1125" i="15"/>
  <c r="E1125" i="15"/>
  <c r="D1125" i="15"/>
  <c r="C1125" i="15"/>
  <c r="B1125" i="15"/>
  <c r="A1125" i="15"/>
  <c r="F1124" i="15"/>
  <c r="E1124" i="15"/>
  <c r="D1124" i="15"/>
  <c r="C1124" i="15"/>
  <c r="B1124" i="15"/>
  <c r="A1124" i="15"/>
  <c r="AC1123" i="15"/>
  <c r="Z1123" i="15"/>
  <c r="P1123" i="15"/>
  <c r="H1123" i="15"/>
  <c r="G1123" i="15"/>
  <c r="F1123" i="15"/>
  <c r="E1123" i="15"/>
  <c r="D1123" i="15"/>
  <c r="C1123" i="15"/>
  <c r="B1123" i="15"/>
  <c r="A1123" i="15"/>
  <c r="W1122" i="15"/>
  <c r="U1122" i="15"/>
  <c r="F1122" i="15"/>
  <c r="E1122" i="15"/>
  <c r="D1122" i="15"/>
  <c r="C1122" i="15"/>
  <c r="B1122" i="15"/>
  <c r="A1122" i="15"/>
  <c r="AA1121" i="15"/>
  <c r="Y1121" i="15"/>
  <c r="W1121" i="15"/>
  <c r="V1121" i="15"/>
  <c r="Q1121" i="15"/>
  <c r="O1121" i="15"/>
  <c r="L1121" i="15"/>
  <c r="F1121" i="15"/>
  <c r="E1121" i="15"/>
  <c r="D1121" i="15"/>
  <c r="C1121" i="15"/>
  <c r="B1121" i="15"/>
  <c r="A1121" i="15"/>
  <c r="AD1121" i="15" s="1"/>
  <c r="AC1120" i="15"/>
  <c r="AA1120" i="15"/>
  <c r="Y1120" i="15"/>
  <c r="S1120" i="15"/>
  <c r="Q1120" i="15"/>
  <c r="P1120" i="15"/>
  <c r="G1120" i="15"/>
  <c r="F1120" i="15"/>
  <c r="E1120" i="15"/>
  <c r="D1120" i="15"/>
  <c r="C1120" i="15"/>
  <c r="B1120" i="15"/>
  <c r="A1120" i="15"/>
  <c r="O1120" i="15" s="1"/>
  <c r="AE1119" i="15"/>
  <c r="J1119" i="15"/>
  <c r="I1119" i="15"/>
  <c r="F1119" i="15"/>
  <c r="E1119" i="15"/>
  <c r="D1119" i="15"/>
  <c r="C1119" i="15"/>
  <c r="B1119" i="15"/>
  <c r="A1119" i="15"/>
  <c r="AC1118" i="15"/>
  <c r="AB1118" i="15"/>
  <c r="AA1118" i="15"/>
  <c r="Z1118" i="15"/>
  <c r="R1118" i="15"/>
  <c r="O1118" i="15"/>
  <c r="I1118" i="15"/>
  <c r="G1118" i="15"/>
  <c r="F1118" i="15"/>
  <c r="E1118" i="15"/>
  <c r="D1118" i="15"/>
  <c r="C1118" i="15"/>
  <c r="B1118" i="15"/>
  <c r="A1118" i="15"/>
  <c r="AE1117" i="15"/>
  <c r="K1117" i="15"/>
  <c r="F1117" i="15"/>
  <c r="E1117" i="15"/>
  <c r="D1117" i="15"/>
  <c r="C1117" i="15"/>
  <c r="B1117" i="15"/>
  <c r="A1117" i="15"/>
  <c r="X1116" i="15"/>
  <c r="W1116" i="15"/>
  <c r="N1116" i="15"/>
  <c r="F1116" i="15"/>
  <c r="E1116" i="15"/>
  <c r="D1116" i="15"/>
  <c r="C1116" i="15"/>
  <c r="B1116" i="15"/>
  <c r="A1116" i="15"/>
  <c r="AF1116" i="15" s="1"/>
  <c r="AA1115" i="15"/>
  <c r="Z1115" i="15"/>
  <c r="Y1115" i="15"/>
  <c r="R1115" i="15"/>
  <c r="Q1115" i="15"/>
  <c r="P1115" i="15"/>
  <c r="G1115" i="15"/>
  <c r="F1115" i="15"/>
  <c r="E1115" i="15"/>
  <c r="D1115" i="15"/>
  <c r="C1115" i="15"/>
  <c r="B1115" i="15"/>
  <c r="A1115" i="15"/>
  <c r="O1115" i="15" s="1"/>
  <c r="J1114" i="15"/>
  <c r="I1114" i="15"/>
  <c r="F1114" i="15"/>
  <c r="E1114" i="15"/>
  <c r="D1114" i="15"/>
  <c r="C1114" i="15"/>
  <c r="B1114" i="15"/>
  <c r="A1114" i="15"/>
  <c r="AG1113" i="15"/>
  <c r="AB1113" i="15"/>
  <c r="W1113" i="15"/>
  <c r="V1113" i="15"/>
  <c r="Q1113" i="15"/>
  <c r="O1113" i="15"/>
  <c r="N1113" i="15"/>
  <c r="M1113" i="15"/>
  <c r="G1113" i="15"/>
  <c r="F1113" i="15"/>
  <c r="E1113" i="15"/>
  <c r="D1113" i="15"/>
  <c r="C1113" i="15"/>
  <c r="B1113" i="15"/>
  <c r="A1113" i="15"/>
  <c r="AD1113" i="15" s="1"/>
  <c r="AC1112" i="15"/>
  <c r="AA1112" i="15"/>
  <c r="Y1112" i="15"/>
  <c r="S1112" i="15"/>
  <c r="Q1112" i="15"/>
  <c r="P1112" i="15"/>
  <c r="G1112" i="15"/>
  <c r="F1112" i="15"/>
  <c r="E1112" i="15"/>
  <c r="D1112" i="15"/>
  <c r="C1112" i="15"/>
  <c r="B1112" i="15"/>
  <c r="A1112" i="15"/>
  <c r="O1112" i="15" s="1"/>
  <c r="K1111" i="15"/>
  <c r="F1111" i="15"/>
  <c r="E1111" i="15"/>
  <c r="D1111" i="15"/>
  <c r="C1111" i="15"/>
  <c r="B1111" i="15"/>
  <c r="A1111" i="15"/>
  <c r="AG1111" i="15" s="1"/>
  <c r="AA1110" i="15"/>
  <c r="M1110" i="15"/>
  <c r="I1110" i="15"/>
  <c r="F1110" i="15"/>
  <c r="E1110" i="15"/>
  <c r="D1110" i="15"/>
  <c r="C1110" i="15"/>
  <c r="B1110" i="15"/>
  <c r="A1110" i="15"/>
  <c r="AB1109" i="15"/>
  <c r="T1109" i="15"/>
  <c r="F1109" i="15"/>
  <c r="E1109" i="15"/>
  <c r="D1109" i="15"/>
  <c r="C1109" i="15"/>
  <c r="B1109" i="15"/>
  <c r="A1109" i="15"/>
  <c r="K1108" i="15"/>
  <c r="I1108" i="15"/>
  <c r="F1108" i="15"/>
  <c r="E1108" i="15"/>
  <c r="D1108" i="15"/>
  <c r="C1108" i="15"/>
  <c r="B1108" i="15"/>
  <c r="A1108" i="15"/>
  <c r="AC1107" i="15"/>
  <c r="AA1107" i="15"/>
  <c r="Z1107" i="15"/>
  <c r="O1107" i="15"/>
  <c r="G1107" i="15"/>
  <c r="F1107" i="15"/>
  <c r="E1107" i="15"/>
  <c r="D1107" i="15"/>
  <c r="C1107" i="15"/>
  <c r="B1107" i="15"/>
  <c r="A1107" i="15"/>
  <c r="J1106" i="15"/>
  <c r="I1106" i="15"/>
  <c r="F1106" i="15"/>
  <c r="E1106" i="15"/>
  <c r="D1106" i="15"/>
  <c r="C1106" i="15"/>
  <c r="B1106" i="15"/>
  <c r="A1106" i="15"/>
  <c r="W1105" i="15"/>
  <c r="O1105" i="15"/>
  <c r="M1105" i="15"/>
  <c r="F1105" i="15"/>
  <c r="E1105" i="15"/>
  <c r="D1105" i="15"/>
  <c r="C1105" i="15"/>
  <c r="B1105" i="15"/>
  <c r="A1105" i="15"/>
  <c r="Y1104" i="15"/>
  <c r="S1104" i="15"/>
  <c r="P1104" i="15"/>
  <c r="O1104" i="15"/>
  <c r="F1104" i="15"/>
  <c r="E1104" i="15"/>
  <c r="D1104" i="15"/>
  <c r="C1104" i="15"/>
  <c r="B1104" i="15"/>
  <c r="A1104" i="15"/>
  <c r="AH1103" i="15"/>
  <c r="S1103" i="15"/>
  <c r="M1103" i="15"/>
  <c r="F1103" i="15"/>
  <c r="E1103" i="15"/>
  <c r="D1103" i="15"/>
  <c r="C1103" i="15"/>
  <c r="B1103" i="15"/>
  <c r="A1103" i="15"/>
  <c r="AC1102" i="15"/>
  <c r="AB1102" i="15"/>
  <c r="AA1102" i="15"/>
  <c r="Z1102" i="15"/>
  <c r="Y1102" i="15"/>
  <c r="Q1102" i="15"/>
  <c r="O1102" i="15"/>
  <c r="I1102" i="15"/>
  <c r="G1102" i="15"/>
  <c r="F1102" i="15"/>
  <c r="E1102" i="15"/>
  <c r="D1102" i="15"/>
  <c r="C1102" i="15"/>
  <c r="B1102" i="15"/>
  <c r="A1102" i="15"/>
  <c r="AD1101" i="15"/>
  <c r="AC1101" i="15"/>
  <c r="AB1101" i="15"/>
  <c r="G1101" i="15"/>
  <c r="F1101" i="15"/>
  <c r="E1101" i="15"/>
  <c r="D1101" i="15"/>
  <c r="C1101" i="15"/>
  <c r="B1101" i="15"/>
  <c r="A1101" i="15"/>
  <c r="S1101" i="15" s="1"/>
  <c r="F1100" i="15"/>
  <c r="E1100" i="15"/>
  <c r="D1100" i="15"/>
  <c r="C1100" i="15"/>
  <c r="B1100" i="15"/>
  <c r="A1100" i="15"/>
  <c r="AC1099" i="15"/>
  <c r="AA1099" i="15"/>
  <c r="Z1099" i="15"/>
  <c r="P1099" i="15"/>
  <c r="H1099" i="15"/>
  <c r="G1099" i="15"/>
  <c r="F1099" i="15"/>
  <c r="E1099" i="15"/>
  <c r="D1099" i="15"/>
  <c r="C1099" i="15"/>
  <c r="B1099" i="15"/>
  <c r="A1099" i="15"/>
  <c r="AE1098" i="15"/>
  <c r="J1098" i="15"/>
  <c r="F1098" i="15"/>
  <c r="E1098" i="15"/>
  <c r="D1098" i="15"/>
  <c r="C1098" i="15"/>
  <c r="B1098" i="15"/>
  <c r="A1098" i="15"/>
  <c r="U1098" i="15" s="1"/>
  <c r="N1097" i="15"/>
  <c r="L1097" i="15"/>
  <c r="F1097" i="15"/>
  <c r="E1097" i="15"/>
  <c r="D1097" i="15"/>
  <c r="C1097" i="15"/>
  <c r="B1097" i="15"/>
  <c r="A1097" i="15"/>
  <c r="AC1096" i="15"/>
  <c r="AA1096" i="15"/>
  <c r="O1096" i="15"/>
  <c r="G1096" i="15"/>
  <c r="F1096" i="15"/>
  <c r="E1096" i="15"/>
  <c r="D1096" i="15"/>
  <c r="C1096" i="15"/>
  <c r="B1096" i="15"/>
  <c r="A1096" i="15"/>
  <c r="AE1095" i="15"/>
  <c r="X1095" i="15"/>
  <c r="W1095" i="15"/>
  <c r="I1095" i="15"/>
  <c r="F1095" i="15"/>
  <c r="E1095" i="15"/>
  <c r="D1095" i="15"/>
  <c r="C1095" i="15"/>
  <c r="B1095" i="15"/>
  <c r="A1095" i="15"/>
  <c r="AF1095" i="15" s="1"/>
  <c r="AB1094" i="15"/>
  <c r="AA1094" i="15"/>
  <c r="Z1094" i="15"/>
  <c r="Y1094" i="15"/>
  <c r="S1094" i="15"/>
  <c r="R1094" i="15"/>
  <c r="I1094" i="15"/>
  <c r="G1094" i="15"/>
  <c r="F1094" i="15"/>
  <c r="E1094" i="15"/>
  <c r="D1094" i="15"/>
  <c r="C1094" i="15"/>
  <c r="B1094" i="15"/>
  <c r="A1094" i="15"/>
  <c r="I1093" i="15"/>
  <c r="G1093" i="15"/>
  <c r="F1093" i="15"/>
  <c r="E1093" i="15"/>
  <c r="D1093" i="15"/>
  <c r="C1093" i="15"/>
  <c r="B1093" i="15"/>
  <c r="A1093" i="15"/>
  <c r="AF1092" i="15"/>
  <c r="AE1092" i="15"/>
  <c r="F1092" i="15"/>
  <c r="E1092" i="15"/>
  <c r="D1092" i="15"/>
  <c r="C1092" i="15"/>
  <c r="B1092" i="15"/>
  <c r="A1092" i="15"/>
  <c r="F1091" i="15"/>
  <c r="E1091" i="15"/>
  <c r="D1091" i="15"/>
  <c r="C1091" i="15"/>
  <c r="B1091" i="15"/>
  <c r="A1091" i="15"/>
  <c r="R1091" i="15" s="1"/>
  <c r="F1090" i="15"/>
  <c r="E1090" i="15"/>
  <c r="D1090" i="15"/>
  <c r="C1090" i="15"/>
  <c r="B1090" i="15"/>
  <c r="A1090" i="15"/>
  <c r="AA1089" i="15"/>
  <c r="Y1089" i="15"/>
  <c r="V1089" i="15"/>
  <c r="I1089" i="15"/>
  <c r="G1089" i="15"/>
  <c r="F1089" i="15"/>
  <c r="E1089" i="15"/>
  <c r="D1089" i="15"/>
  <c r="C1089" i="15"/>
  <c r="B1089" i="15"/>
  <c r="A1089" i="15"/>
  <c r="O1088" i="15"/>
  <c r="H1088" i="15"/>
  <c r="F1088" i="15"/>
  <c r="E1088" i="15"/>
  <c r="D1088" i="15"/>
  <c r="C1088" i="15"/>
  <c r="B1088" i="15"/>
  <c r="A1088" i="15"/>
  <c r="AF1087" i="15"/>
  <c r="J1087" i="15"/>
  <c r="I1087" i="15"/>
  <c r="F1087" i="15"/>
  <c r="E1087" i="15"/>
  <c r="D1087" i="15"/>
  <c r="C1087" i="15"/>
  <c r="B1087" i="15"/>
  <c r="A1087" i="15"/>
  <c r="U1087" i="15" s="1"/>
  <c r="O1086" i="15"/>
  <c r="F1086" i="15"/>
  <c r="E1086" i="15"/>
  <c r="D1086" i="15"/>
  <c r="C1086" i="15"/>
  <c r="B1086" i="15"/>
  <c r="A1086" i="15"/>
  <c r="F1085" i="15"/>
  <c r="E1085" i="15"/>
  <c r="D1085" i="15"/>
  <c r="C1085" i="15"/>
  <c r="B1085" i="15"/>
  <c r="A1085" i="15"/>
  <c r="F1084" i="15"/>
  <c r="E1084" i="15"/>
  <c r="D1084" i="15"/>
  <c r="C1084" i="15"/>
  <c r="B1084" i="15"/>
  <c r="A1084" i="15"/>
  <c r="O1083" i="15"/>
  <c r="H1083" i="15"/>
  <c r="F1083" i="15"/>
  <c r="E1083" i="15"/>
  <c r="D1083" i="15"/>
  <c r="C1083" i="15"/>
  <c r="B1083" i="15"/>
  <c r="A1083" i="15"/>
  <c r="K1082" i="15"/>
  <c r="F1082" i="15"/>
  <c r="E1082" i="15"/>
  <c r="D1082" i="15"/>
  <c r="C1082" i="15"/>
  <c r="B1082" i="15"/>
  <c r="A1082" i="15"/>
  <c r="I1082" i="15" s="1"/>
  <c r="AB1081" i="15"/>
  <c r="Y1081" i="15"/>
  <c r="Q1081" i="15"/>
  <c r="N1081" i="15"/>
  <c r="M1081" i="15"/>
  <c r="F1081" i="15"/>
  <c r="E1081" i="15"/>
  <c r="D1081" i="15"/>
  <c r="C1081" i="15"/>
  <c r="B1081" i="15"/>
  <c r="A1081" i="15"/>
  <c r="H1080" i="15"/>
  <c r="G1080" i="15"/>
  <c r="F1080" i="15"/>
  <c r="E1080" i="15"/>
  <c r="D1080" i="15"/>
  <c r="C1080" i="15"/>
  <c r="B1080" i="15"/>
  <c r="A1080" i="15"/>
  <c r="AF1079" i="15"/>
  <c r="J1079" i="15"/>
  <c r="F1079" i="15"/>
  <c r="E1079" i="15"/>
  <c r="D1079" i="15"/>
  <c r="C1079" i="15"/>
  <c r="B1079" i="15"/>
  <c r="A1079" i="15"/>
  <c r="AH1079" i="15" s="1"/>
  <c r="AC1078" i="15"/>
  <c r="AB1078" i="15"/>
  <c r="AA1078" i="15"/>
  <c r="M1078" i="15"/>
  <c r="I1078" i="15"/>
  <c r="F1078" i="15"/>
  <c r="E1078" i="15"/>
  <c r="D1078" i="15"/>
  <c r="C1078" i="15"/>
  <c r="B1078" i="15"/>
  <c r="A1078" i="15"/>
  <c r="S1077" i="15"/>
  <c r="G1077" i="15"/>
  <c r="F1077" i="15"/>
  <c r="E1077" i="15"/>
  <c r="D1077" i="15"/>
  <c r="C1077" i="15"/>
  <c r="B1077" i="15"/>
  <c r="A1077" i="15"/>
  <c r="AF1076" i="15"/>
  <c r="AE1076" i="15"/>
  <c r="W1076" i="15"/>
  <c r="V1076" i="15"/>
  <c r="F1076" i="15"/>
  <c r="E1076" i="15"/>
  <c r="D1076" i="15"/>
  <c r="C1076" i="15"/>
  <c r="B1076" i="15"/>
  <c r="A1076" i="15"/>
  <c r="Z1075" i="15"/>
  <c r="R1075" i="15"/>
  <c r="P1075" i="15"/>
  <c r="O1075" i="15"/>
  <c r="F1075" i="15"/>
  <c r="E1075" i="15"/>
  <c r="D1075" i="15"/>
  <c r="C1075" i="15"/>
  <c r="B1075" i="15"/>
  <c r="A1075" i="15"/>
  <c r="J1074" i="15"/>
  <c r="I1074" i="15"/>
  <c r="F1074" i="15"/>
  <c r="E1074" i="15"/>
  <c r="D1074" i="15"/>
  <c r="C1074" i="15"/>
  <c r="B1074" i="15"/>
  <c r="A1074" i="15"/>
  <c r="N1073" i="15"/>
  <c r="M1073" i="15"/>
  <c r="F1073" i="15"/>
  <c r="E1073" i="15"/>
  <c r="D1073" i="15"/>
  <c r="C1073" i="15"/>
  <c r="B1073" i="15"/>
  <c r="A1073" i="15"/>
  <c r="AD1072" i="15"/>
  <c r="AC1072" i="15"/>
  <c r="AA1072" i="15"/>
  <c r="P1072" i="15"/>
  <c r="H1072" i="15"/>
  <c r="G1072" i="15"/>
  <c r="F1072" i="15"/>
  <c r="E1072" i="15"/>
  <c r="D1072" i="15"/>
  <c r="C1072" i="15"/>
  <c r="B1072" i="15"/>
  <c r="A1072" i="15"/>
  <c r="AG1071" i="15"/>
  <c r="K1071" i="15"/>
  <c r="F1071" i="15"/>
  <c r="E1071" i="15"/>
  <c r="D1071" i="15"/>
  <c r="C1071" i="15"/>
  <c r="B1071" i="15"/>
  <c r="A1071" i="15"/>
  <c r="AC1070" i="15"/>
  <c r="AB1070" i="15"/>
  <c r="AA1070" i="15"/>
  <c r="Z1070" i="15"/>
  <c r="R1070" i="15"/>
  <c r="O1070" i="15"/>
  <c r="I1070" i="15"/>
  <c r="G1070" i="15"/>
  <c r="F1070" i="15"/>
  <c r="E1070" i="15"/>
  <c r="D1070" i="15"/>
  <c r="C1070" i="15"/>
  <c r="B1070" i="15"/>
  <c r="A1070" i="15"/>
  <c r="Q1069" i="15"/>
  <c r="F1069" i="15"/>
  <c r="E1069" i="15"/>
  <c r="D1069" i="15"/>
  <c r="C1069" i="15"/>
  <c r="B1069" i="15"/>
  <c r="A1069" i="15"/>
  <c r="G1069" i="15" s="1"/>
  <c r="AF1068" i="15"/>
  <c r="AE1068" i="15"/>
  <c r="X1068" i="15"/>
  <c r="I1068" i="15"/>
  <c r="F1068" i="15"/>
  <c r="E1068" i="15"/>
  <c r="D1068" i="15"/>
  <c r="C1068" i="15"/>
  <c r="B1068" i="15"/>
  <c r="A1068" i="15"/>
  <c r="W1068" i="15" s="1"/>
  <c r="AA1067" i="15"/>
  <c r="Z1067" i="15"/>
  <c r="Y1067" i="15"/>
  <c r="R1067" i="15"/>
  <c r="Q1067" i="15"/>
  <c r="P1067" i="15"/>
  <c r="G1067" i="15"/>
  <c r="F1067" i="15"/>
  <c r="E1067" i="15"/>
  <c r="D1067" i="15"/>
  <c r="C1067" i="15"/>
  <c r="B1067" i="15"/>
  <c r="A1067" i="15"/>
  <c r="O1067" i="15" s="1"/>
  <c r="AC1066" i="15"/>
  <c r="I1066" i="15"/>
  <c r="F1066" i="15"/>
  <c r="E1066" i="15"/>
  <c r="D1066" i="15"/>
  <c r="C1066" i="15"/>
  <c r="B1066" i="15"/>
  <c r="A1066" i="15"/>
  <c r="AC1065" i="15"/>
  <c r="AB1065" i="15"/>
  <c r="AA1065" i="15"/>
  <c r="Y1065" i="15"/>
  <c r="S1065" i="15"/>
  <c r="Q1065" i="15"/>
  <c r="O1065" i="15"/>
  <c r="M1065" i="15"/>
  <c r="L1065" i="15"/>
  <c r="F1065" i="15"/>
  <c r="E1065" i="15"/>
  <c r="D1065" i="15"/>
  <c r="C1065" i="15"/>
  <c r="B1065" i="15"/>
  <c r="A1065" i="15"/>
  <c r="S1064" i="15"/>
  <c r="P1064" i="15"/>
  <c r="O1064" i="15"/>
  <c r="F1064" i="15"/>
  <c r="E1064" i="15"/>
  <c r="D1064" i="15"/>
  <c r="C1064" i="15"/>
  <c r="B1064" i="15"/>
  <c r="A1064" i="15"/>
  <c r="X1063" i="15"/>
  <c r="J1063" i="15"/>
  <c r="F1063" i="15"/>
  <c r="E1063" i="15"/>
  <c r="D1063" i="15"/>
  <c r="C1063" i="15"/>
  <c r="B1063" i="15"/>
  <c r="A1063" i="15"/>
  <c r="AC1062" i="15"/>
  <c r="I1062" i="15"/>
  <c r="G1062" i="15"/>
  <c r="F1062" i="15"/>
  <c r="E1062" i="15"/>
  <c r="D1062" i="15"/>
  <c r="C1062" i="15"/>
  <c r="B1062" i="15"/>
  <c r="A1062" i="15"/>
  <c r="K1061" i="15"/>
  <c r="F1061" i="15"/>
  <c r="E1061" i="15"/>
  <c r="D1061" i="15"/>
  <c r="C1061" i="15"/>
  <c r="B1061" i="15"/>
  <c r="A1061" i="15"/>
  <c r="AE1061" i="15" s="1"/>
  <c r="W1060" i="15"/>
  <c r="V1060" i="15"/>
  <c r="F1060" i="15"/>
  <c r="E1060" i="15"/>
  <c r="D1060" i="15"/>
  <c r="C1060" i="15"/>
  <c r="B1060" i="15"/>
  <c r="A1060" i="15"/>
  <c r="R1059" i="15"/>
  <c r="P1059" i="15"/>
  <c r="F1059" i="15"/>
  <c r="E1059" i="15"/>
  <c r="D1059" i="15"/>
  <c r="C1059" i="15"/>
  <c r="B1059" i="15"/>
  <c r="A1059" i="15"/>
  <c r="T1058" i="15"/>
  <c r="J1058" i="15"/>
  <c r="F1058" i="15"/>
  <c r="E1058" i="15"/>
  <c r="D1058" i="15"/>
  <c r="C1058" i="15"/>
  <c r="B1058" i="15"/>
  <c r="A1058" i="15"/>
  <c r="AG1057" i="15"/>
  <c r="AC1057" i="15"/>
  <c r="W1057" i="15"/>
  <c r="V1057" i="15"/>
  <c r="T1057" i="15"/>
  <c r="S1057" i="15"/>
  <c r="L1057" i="15"/>
  <c r="G1057" i="15"/>
  <c r="F1057" i="15"/>
  <c r="E1057" i="15"/>
  <c r="D1057" i="15"/>
  <c r="C1057" i="15"/>
  <c r="B1057" i="15"/>
  <c r="A1057" i="15"/>
  <c r="O1056" i="15"/>
  <c r="G1056" i="15"/>
  <c r="F1056" i="15"/>
  <c r="E1056" i="15"/>
  <c r="D1056" i="15"/>
  <c r="C1056" i="15"/>
  <c r="B1056" i="15"/>
  <c r="A1056" i="15"/>
  <c r="AE1055" i="15"/>
  <c r="W1055" i="15"/>
  <c r="J1055" i="15"/>
  <c r="F1055" i="15"/>
  <c r="E1055" i="15"/>
  <c r="D1055" i="15"/>
  <c r="C1055" i="15"/>
  <c r="B1055" i="15"/>
  <c r="A1055" i="15"/>
  <c r="I1055" i="15" s="1"/>
  <c r="AC1054" i="15"/>
  <c r="Z1054" i="15"/>
  <c r="Y1054" i="15"/>
  <c r="S1054" i="15"/>
  <c r="R1054" i="15"/>
  <c r="Q1054" i="15"/>
  <c r="O1054" i="15"/>
  <c r="G1054" i="15"/>
  <c r="F1054" i="15"/>
  <c r="E1054" i="15"/>
  <c r="D1054" i="15"/>
  <c r="C1054" i="15"/>
  <c r="B1054" i="15"/>
  <c r="A1054" i="15"/>
  <c r="AB1054" i="15" s="1"/>
  <c r="I1053" i="15"/>
  <c r="F1053" i="15"/>
  <c r="E1053" i="15"/>
  <c r="D1053" i="15"/>
  <c r="C1053" i="15"/>
  <c r="B1053" i="15"/>
  <c r="A1053" i="15"/>
  <c r="K1053" i="15" s="1"/>
  <c r="F1052" i="15"/>
  <c r="E1052" i="15"/>
  <c r="D1052" i="15"/>
  <c r="C1052" i="15"/>
  <c r="B1052" i="15"/>
  <c r="A1052" i="15"/>
  <c r="AG1052" i="15" s="1"/>
  <c r="Q1051" i="15"/>
  <c r="O1051" i="15"/>
  <c r="F1051" i="15"/>
  <c r="E1051" i="15"/>
  <c r="D1051" i="15"/>
  <c r="C1051" i="15"/>
  <c r="B1051" i="15"/>
  <c r="A1051" i="15"/>
  <c r="S1050" i="15"/>
  <c r="I1050" i="15"/>
  <c r="F1050" i="15"/>
  <c r="E1050" i="15"/>
  <c r="D1050" i="15"/>
  <c r="C1050" i="15"/>
  <c r="B1050" i="15"/>
  <c r="A1050" i="15"/>
  <c r="AG1049" i="15"/>
  <c r="AD1049" i="15"/>
  <c r="AC1049" i="15"/>
  <c r="AB1049" i="15"/>
  <c r="L1049" i="15"/>
  <c r="I1049" i="15"/>
  <c r="F1049" i="15"/>
  <c r="E1049" i="15"/>
  <c r="D1049" i="15"/>
  <c r="C1049" i="15"/>
  <c r="B1049" i="15"/>
  <c r="A1049" i="15"/>
  <c r="S1048" i="15"/>
  <c r="O1048" i="15"/>
  <c r="F1048" i="15"/>
  <c r="E1048" i="15"/>
  <c r="D1048" i="15"/>
  <c r="C1048" i="15"/>
  <c r="B1048" i="15"/>
  <c r="A1048" i="15"/>
  <c r="X1047" i="15"/>
  <c r="U1047" i="15"/>
  <c r="F1047" i="15"/>
  <c r="E1047" i="15"/>
  <c r="D1047" i="15"/>
  <c r="C1047" i="15"/>
  <c r="B1047" i="15"/>
  <c r="A1047" i="15"/>
  <c r="AC1046" i="15"/>
  <c r="AA1046" i="15"/>
  <c r="Z1046" i="15"/>
  <c r="Y1046" i="15"/>
  <c r="S1046" i="15"/>
  <c r="R1046" i="15"/>
  <c r="Q1046" i="15"/>
  <c r="O1046" i="15"/>
  <c r="I1046" i="15"/>
  <c r="G1046" i="15"/>
  <c r="F1046" i="15"/>
  <c r="E1046" i="15"/>
  <c r="D1046" i="15"/>
  <c r="C1046" i="15"/>
  <c r="B1046" i="15"/>
  <c r="A1046" i="15"/>
  <c r="AB1046" i="15" s="1"/>
  <c r="AC1045" i="15"/>
  <c r="G1045" i="15"/>
  <c r="F1045" i="15"/>
  <c r="E1045" i="15"/>
  <c r="D1045" i="15"/>
  <c r="C1045" i="15"/>
  <c r="B1045" i="15"/>
  <c r="A1045" i="15"/>
  <c r="K1044" i="15"/>
  <c r="F1044" i="15"/>
  <c r="E1044" i="15"/>
  <c r="D1044" i="15"/>
  <c r="C1044" i="15"/>
  <c r="B1044" i="15"/>
  <c r="A1044" i="15"/>
  <c r="O1043" i="15"/>
  <c r="G1043" i="15"/>
  <c r="F1043" i="15"/>
  <c r="E1043" i="15"/>
  <c r="D1043" i="15"/>
  <c r="C1043" i="15"/>
  <c r="B1043" i="15"/>
  <c r="A1043" i="15"/>
  <c r="W1042" i="15"/>
  <c r="T1042" i="15"/>
  <c r="F1042" i="15"/>
  <c r="E1042" i="15"/>
  <c r="D1042" i="15"/>
  <c r="C1042" i="15"/>
  <c r="B1042" i="15"/>
  <c r="A1042" i="15"/>
  <c r="AB1041" i="15"/>
  <c r="AA1041" i="15"/>
  <c r="Y1041" i="15"/>
  <c r="L1041" i="15"/>
  <c r="I1041" i="15"/>
  <c r="F1041" i="15"/>
  <c r="E1041" i="15"/>
  <c r="D1041" i="15"/>
  <c r="C1041" i="15"/>
  <c r="B1041" i="15"/>
  <c r="A1041" i="15"/>
  <c r="AD1040" i="15"/>
  <c r="Y1040" i="15"/>
  <c r="S1040" i="15"/>
  <c r="Q1040" i="15"/>
  <c r="O1040" i="15"/>
  <c r="H1040" i="15"/>
  <c r="F1040" i="15"/>
  <c r="E1040" i="15"/>
  <c r="D1040" i="15"/>
  <c r="C1040" i="15"/>
  <c r="B1040" i="15"/>
  <c r="A1040" i="15"/>
  <c r="AE1039" i="15"/>
  <c r="S1039" i="15"/>
  <c r="I1039" i="15"/>
  <c r="F1039" i="15"/>
  <c r="E1039" i="15"/>
  <c r="D1039" i="15"/>
  <c r="C1039" i="15"/>
  <c r="B1039" i="15"/>
  <c r="A1039" i="15"/>
  <c r="AC1038" i="15"/>
  <c r="AB1038" i="15"/>
  <c r="AA1038" i="15"/>
  <c r="Z1038" i="15"/>
  <c r="Y1038" i="15"/>
  <c r="O1038" i="15"/>
  <c r="I1038" i="15"/>
  <c r="G1038" i="15"/>
  <c r="F1038" i="15"/>
  <c r="E1038" i="15"/>
  <c r="D1038" i="15"/>
  <c r="C1038" i="15"/>
  <c r="B1038" i="15"/>
  <c r="A1038" i="15"/>
  <c r="F1037" i="15"/>
  <c r="E1037" i="15"/>
  <c r="D1037" i="15"/>
  <c r="C1037" i="15"/>
  <c r="B1037" i="15"/>
  <c r="A1037" i="15"/>
  <c r="AD1037" i="15" s="1"/>
  <c r="AF1036" i="15"/>
  <c r="K1036" i="15"/>
  <c r="I1036" i="15"/>
  <c r="F1036" i="15"/>
  <c r="E1036" i="15"/>
  <c r="D1036" i="15"/>
  <c r="C1036" i="15"/>
  <c r="B1036" i="15"/>
  <c r="A1036" i="15"/>
  <c r="M1036" i="15" s="1"/>
  <c r="AC1035" i="15"/>
  <c r="AA1035" i="15"/>
  <c r="Z1035" i="15"/>
  <c r="Y1035" i="15"/>
  <c r="R1035" i="15"/>
  <c r="Q1035" i="15"/>
  <c r="P1035" i="15"/>
  <c r="H1035" i="15"/>
  <c r="G1035" i="15"/>
  <c r="F1035" i="15"/>
  <c r="E1035" i="15"/>
  <c r="D1035" i="15"/>
  <c r="C1035" i="15"/>
  <c r="B1035" i="15"/>
  <c r="A1035" i="15"/>
  <c r="O1035" i="15" s="1"/>
  <c r="K1034" i="15"/>
  <c r="F1034" i="15"/>
  <c r="E1034" i="15"/>
  <c r="D1034" i="15"/>
  <c r="C1034" i="15"/>
  <c r="B1034" i="15"/>
  <c r="A1034" i="15"/>
  <c r="AG1034" i="15" s="1"/>
  <c r="AD1033" i="15"/>
  <c r="N1033" i="15"/>
  <c r="M1033" i="15"/>
  <c r="F1033" i="15"/>
  <c r="E1033" i="15"/>
  <c r="D1033" i="15"/>
  <c r="C1033" i="15"/>
  <c r="B1033" i="15"/>
  <c r="A1033" i="15"/>
  <c r="AA1032" i="15"/>
  <c r="Y1032" i="15"/>
  <c r="S1032" i="15"/>
  <c r="P1032" i="15"/>
  <c r="O1032" i="15"/>
  <c r="F1032" i="15"/>
  <c r="E1032" i="15"/>
  <c r="D1032" i="15"/>
  <c r="C1032" i="15"/>
  <c r="B1032" i="15"/>
  <c r="A1032" i="15"/>
  <c r="W1031" i="15"/>
  <c r="S1031" i="15"/>
  <c r="M1031" i="15"/>
  <c r="F1031" i="15"/>
  <c r="E1031" i="15"/>
  <c r="D1031" i="15"/>
  <c r="C1031" i="15"/>
  <c r="B1031" i="15"/>
  <c r="A1031" i="15"/>
  <c r="AC1030" i="15"/>
  <c r="AB1030" i="15"/>
  <c r="AA1030" i="15"/>
  <c r="Z1030" i="15"/>
  <c r="R1030" i="15"/>
  <c r="O1030" i="15"/>
  <c r="I1030" i="15"/>
  <c r="G1030" i="15"/>
  <c r="F1030" i="15"/>
  <c r="E1030" i="15"/>
  <c r="D1030" i="15"/>
  <c r="C1030" i="15"/>
  <c r="B1030" i="15"/>
  <c r="A1030" i="15"/>
  <c r="AD1029" i="15"/>
  <c r="AC1029" i="15"/>
  <c r="I1029" i="15"/>
  <c r="G1029" i="15"/>
  <c r="F1029" i="15"/>
  <c r="E1029" i="15"/>
  <c r="D1029" i="15"/>
  <c r="C1029" i="15"/>
  <c r="B1029" i="15"/>
  <c r="A1029" i="15"/>
  <c r="AB1029" i="15" s="1"/>
  <c r="X1028" i="15"/>
  <c r="I1028" i="15"/>
  <c r="F1028" i="15"/>
  <c r="E1028" i="15"/>
  <c r="D1028" i="15"/>
  <c r="C1028" i="15"/>
  <c r="B1028" i="15"/>
  <c r="A1028" i="15"/>
  <c r="AA1027" i="15"/>
  <c r="Q1027" i="15"/>
  <c r="P1027" i="15"/>
  <c r="H1027" i="15"/>
  <c r="G1027" i="15"/>
  <c r="F1027" i="15"/>
  <c r="E1027" i="15"/>
  <c r="D1027" i="15"/>
  <c r="C1027" i="15"/>
  <c r="B1027" i="15"/>
  <c r="A1027" i="15"/>
  <c r="AE1026" i="15"/>
  <c r="J1026" i="15"/>
  <c r="F1026" i="15"/>
  <c r="E1026" i="15"/>
  <c r="D1026" i="15"/>
  <c r="C1026" i="15"/>
  <c r="B1026" i="15"/>
  <c r="A1026" i="15"/>
  <c r="U1026" i="15" s="1"/>
  <c r="AG1025" i="15"/>
  <c r="AD1025" i="15"/>
  <c r="Y1025" i="15"/>
  <c r="W1025" i="15"/>
  <c r="V1025" i="15"/>
  <c r="T1025" i="15"/>
  <c r="S1025" i="15"/>
  <c r="Q1025" i="15"/>
  <c r="M1025" i="15"/>
  <c r="I1025" i="15"/>
  <c r="G1025" i="15"/>
  <c r="F1025" i="15"/>
  <c r="E1025" i="15"/>
  <c r="D1025" i="15"/>
  <c r="C1025" i="15"/>
  <c r="B1025" i="15"/>
  <c r="A1025" i="15"/>
  <c r="O1024" i="15"/>
  <c r="F1024" i="15"/>
  <c r="E1024" i="15"/>
  <c r="D1024" i="15"/>
  <c r="C1024" i="15"/>
  <c r="B1024" i="15"/>
  <c r="A1024" i="15"/>
  <c r="AG1023" i="15"/>
  <c r="F1023" i="15"/>
  <c r="E1023" i="15"/>
  <c r="D1023" i="15"/>
  <c r="C1023" i="15"/>
  <c r="B1023" i="15"/>
  <c r="A1023" i="15"/>
  <c r="K1023" i="15" s="1"/>
  <c r="AC1022" i="15"/>
  <c r="AA1022" i="15"/>
  <c r="R1022" i="15"/>
  <c r="M1022" i="15"/>
  <c r="I1022" i="15"/>
  <c r="F1022" i="15"/>
  <c r="E1022" i="15"/>
  <c r="D1022" i="15"/>
  <c r="C1022" i="15"/>
  <c r="B1022" i="15"/>
  <c r="A1022" i="15"/>
  <c r="T1021" i="15"/>
  <c r="G1021" i="15"/>
  <c r="F1021" i="15"/>
  <c r="E1021" i="15"/>
  <c r="D1021" i="15"/>
  <c r="C1021" i="15"/>
  <c r="B1021" i="15"/>
  <c r="A1021" i="15"/>
  <c r="F1020" i="15"/>
  <c r="E1020" i="15"/>
  <c r="D1020" i="15"/>
  <c r="C1020" i="15"/>
  <c r="B1020" i="15"/>
  <c r="A1020" i="15"/>
  <c r="W1020" i="15" s="1"/>
  <c r="Y1019" i="15"/>
  <c r="R1019" i="15"/>
  <c r="F1019" i="15"/>
  <c r="E1019" i="15"/>
  <c r="D1019" i="15"/>
  <c r="C1019" i="15"/>
  <c r="B1019" i="15"/>
  <c r="A1019" i="15"/>
  <c r="AE1018" i="15"/>
  <c r="I1018" i="15"/>
  <c r="F1018" i="15"/>
  <c r="E1018" i="15"/>
  <c r="D1018" i="15"/>
  <c r="C1018" i="15"/>
  <c r="B1018" i="15"/>
  <c r="A1018" i="15"/>
  <c r="AG1018" i="15" s="1"/>
  <c r="L1017" i="15"/>
  <c r="I1017" i="15"/>
  <c r="F1017" i="15"/>
  <c r="E1017" i="15"/>
  <c r="D1017" i="15"/>
  <c r="C1017" i="15"/>
  <c r="B1017" i="15"/>
  <c r="A1017" i="15"/>
  <c r="AD1016" i="15"/>
  <c r="O1016" i="15"/>
  <c r="G1016" i="15"/>
  <c r="F1016" i="15"/>
  <c r="E1016" i="15"/>
  <c r="D1016" i="15"/>
  <c r="C1016" i="15"/>
  <c r="B1016" i="15"/>
  <c r="A1016" i="15"/>
  <c r="AF1015" i="15"/>
  <c r="AE1015" i="15"/>
  <c r="I1015" i="15"/>
  <c r="F1015" i="15"/>
  <c r="E1015" i="15"/>
  <c r="D1015" i="15"/>
  <c r="C1015" i="15"/>
  <c r="B1015" i="15"/>
  <c r="A1015" i="15"/>
  <c r="U1015" i="15" s="1"/>
  <c r="AB1014" i="15"/>
  <c r="AA1014" i="15"/>
  <c r="Z1014" i="15"/>
  <c r="Y1014" i="15"/>
  <c r="M1014" i="15"/>
  <c r="G1014" i="15"/>
  <c r="F1014" i="15"/>
  <c r="E1014" i="15"/>
  <c r="D1014" i="15"/>
  <c r="C1014" i="15"/>
  <c r="B1014" i="15"/>
  <c r="A1014" i="15"/>
  <c r="F1013" i="15"/>
  <c r="E1013" i="15"/>
  <c r="D1013" i="15"/>
  <c r="C1013" i="15"/>
  <c r="B1013" i="15"/>
  <c r="A1013" i="15"/>
  <c r="U1012" i="15"/>
  <c r="N1012" i="15"/>
  <c r="F1012" i="15"/>
  <c r="E1012" i="15"/>
  <c r="D1012" i="15"/>
  <c r="C1012" i="15"/>
  <c r="B1012" i="15"/>
  <c r="A1012" i="15"/>
  <c r="AC1011" i="15"/>
  <c r="AA1011" i="15"/>
  <c r="R1011" i="15"/>
  <c r="P1011" i="15"/>
  <c r="H1011" i="15"/>
  <c r="G1011" i="15"/>
  <c r="F1011" i="15"/>
  <c r="E1011" i="15"/>
  <c r="D1011" i="15"/>
  <c r="C1011" i="15"/>
  <c r="B1011" i="15"/>
  <c r="A1011" i="15"/>
  <c r="AE1010" i="15"/>
  <c r="AC1010" i="15"/>
  <c r="J1010" i="15"/>
  <c r="I1010" i="15"/>
  <c r="F1010" i="15"/>
  <c r="E1010" i="15"/>
  <c r="D1010" i="15"/>
  <c r="C1010" i="15"/>
  <c r="B1010" i="15"/>
  <c r="A1010" i="15"/>
  <c r="O1009" i="15"/>
  <c r="M1009" i="15"/>
  <c r="F1009" i="15"/>
  <c r="E1009" i="15"/>
  <c r="D1009" i="15"/>
  <c r="C1009" i="15"/>
  <c r="B1009" i="15"/>
  <c r="A1009" i="15"/>
  <c r="L1009" i="15" s="1"/>
  <c r="AD1008" i="15"/>
  <c r="H1008" i="15"/>
  <c r="G1008" i="15"/>
  <c r="F1008" i="15"/>
  <c r="E1008" i="15"/>
  <c r="D1008" i="15"/>
  <c r="C1008" i="15"/>
  <c r="B1008" i="15"/>
  <c r="A1008" i="15"/>
  <c r="AF1007" i="15"/>
  <c r="J1007" i="15"/>
  <c r="F1007" i="15"/>
  <c r="E1007" i="15"/>
  <c r="D1007" i="15"/>
  <c r="C1007" i="15"/>
  <c r="B1007" i="15"/>
  <c r="A1007" i="15"/>
  <c r="AC1006" i="15"/>
  <c r="AB1006" i="15"/>
  <c r="AA1006" i="15"/>
  <c r="S1006" i="15"/>
  <c r="Q1006" i="15"/>
  <c r="M1006" i="15"/>
  <c r="K1006" i="15"/>
  <c r="F1006" i="15"/>
  <c r="E1006" i="15"/>
  <c r="D1006" i="15"/>
  <c r="C1006" i="15"/>
  <c r="B1006" i="15"/>
  <c r="A1006" i="15"/>
  <c r="I1005" i="15"/>
  <c r="G1005" i="15"/>
  <c r="F1005" i="15"/>
  <c r="E1005" i="15"/>
  <c r="D1005" i="15"/>
  <c r="C1005" i="15"/>
  <c r="B1005" i="15"/>
  <c r="A1005" i="15"/>
  <c r="AF1004" i="15"/>
  <c r="AE1004" i="15"/>
  <c r="X1004" i="15"/>
  <c r="I1004" i="15"/>
  <c r="F1004" i="15"/>
  <c r="E1004" i="15"/>
  <c r="D1004" i="15"/>
  <c r="C1004" i="15"/>
  <c r="B1004" i="15"/>
  <c r="A1004" i="15"/>
  <c r="W1004" i="15" s="1"/>
  <c r="AA1003" i="15"/>
  <c r="Z1003" i="15"/>
  <c r="Y1003" i="15"/>
  <c r="R1003" i="15"/>
  <c r="Q1003" i="15"/>
  <c r="P1003" i="15"/>
  <c r="G1003" i="15"/>
  <c r="F1003" i="15"/>
  <c r="E1003" i="15"/>
  <c r="D1003" i="15"/>
  <c r="C1003" i="15"/>
  <c r="B1003" i="15"/>
  <c r="A1003" i="15"/>
  <c r="O1003" i="15" s="1"/>
  <c r="J1002" i="15"/>
  <c r="I1002" i="15"/>
  <c r="F1002" i="15"/>
  <c r="E1002" i="15"/>
  <c r="D1002" i="15"/>
  <c r="C1002" i="15"/>
  <c r="B1002" i="15"/>
  <c r="A1002" i="15"/>
  <c r="F1001" i="15"/>
  <c r="E1001" i="15"/>
  <c r="D1001" i="15"/>
  <c r="C1001" i="15"/>
  <c r="B1001" i="15"/>
  <c r="A1001" i="15"/>
  <c r="AD1000" i="15"/>
  <c r="AC1000" i="15"/>
  <c r="AA1000" i="15"/>
  <c r="P1000" i="15"/>
  <c r="H1000" i="15"/>
  <c r="G1000" i="15"/>
  <c r="F1000" i="15"/>
  <c r="E1000" i="15"/>
  <c r="D1000" i="15"/>
  <c r="C1000" i="15"/>
  <c r="B1000" i="15"/>
  <c r="A1000" i="15"/>
  <c r="W999" i="15"/>
  <c r="U999" i="15"/>
  <c r="F999" i="15"/>
  <c r="E999" i="15"/>
  <c r="D999" i="15"/>
  <c r="C999" i="15"/>
  <c r="B999" i="15"/>
  <c r="A999" i="15"/>
  <c r="AA998" i="15"/>
  <c r="Z998" i="15"/>
  <c r="Y998" i="15"/>
  <c r="S998" i="15"/>
  <c r="R998" i="15"/>
  <c r="Q998" i="15"/>
  <c r="I998" i="15"/>
  <c r="G998" i="15"/>
  <c r="F998" i="15"/>
  <c r="E998" i="15"/>
  <c r="D998" i="15"/>
  <c r="C998" i="15"/>
  <c r="B998" i="15"/>
  <c r="A998" i="15"/>
  <c r="AC998" i="15" s="1"/>
  <c r="AB997" i="15"/>
  <c r="U997" i="15"/>
  <c r="F997" i="15"/>
  <c r="E997" i="15"/>
  <c r="D997" i="15"/>
  <c r="C997" i="15"/>
  <c r="B997" i="15"/>
  <c r="A997" i="15"/>
  <c r="AF996" i="15"/>
  <c r="AE996" i="15"/>
  <c r="I996" i="15"/>
  <c r="F996" i="15"/>
  <c r="E996" i="15"/>
  <c r="D996" i="15"/>
  <c r="C996" i="15"/>
  <c r="B996" i="15"/>
  <c r="A996" i="15"/>
  <c r="X996" i="15" s="1"/>
  <c r="AA995" i="15"/>
  <c r="Z995" i="15"/>
  <c r="Y995" i="15"/>
  <c r="R995" i="15"/>
  <c r="Q995" i="15"/>
  <c r="P995" i="15"/>
  <c r="G995" i="15"/>
  <c r="F995" i="15"/>
  <c r="E995" i="15"/>
  <c r="D995" i="15"/>
  <c r="C995" i="15"/>
  <c r="B995" i="15"/>
  <c r="A995" i="15"/>
  <c r="O995" i="15" s="1"/>
  <c r="J994" i="15"/>
  <c r="F994" i="15"/>
  <c r="E994" i="15"/>
  <c r="D994" i="15"/>
  <c r="C994" i="15"/>
  <c r="B994" i="15"/>
  <c r="A994" i="15"/>
  <c r="AH994" i="15" s="1"/>
  <c r="AB993" i="15"/>
  <c r="AA993" i="15"/>
  <c r="Y993" i="15"/>
  <c r="W993" i="15"/>
  <c r="Q993" i="15"/>
  <c r="L993" i="15"/>
  <c r="G993" i="15"/>
  <c r="F993" i="15"/>
  <c r="E993" i="15"/>
  <c r="D993" i="15"/>
  <c r="C993" i="15"/>
  <c r="B993" i="15"/>
  <c r="A993" i="15"/>
  <c r="AD992" i="15"/>
  <c r="AC992" i="15"/>
  <c r="AA992" i="15"/>
  <c r="Y992" i="15"/>
  <c r="S992" i="15"/>
  <c r="H992" i="15"/>
  <c r="G992" i="15"/>
  <c r="F992" i="15"/>
  <c r="E992" i="15"/>
  <c r="D992" i="15"/>
  <c r="C992" i="15"/>
  <c r="B992" i="15"/>
  <c r="A992" i="15"/>
  <c r="AF991" i="15"/>
  <c r="X991" i="15"/>
  <c r="F991" i="15"/>
  <c r="E991" i="15"/>
  <c r="D991" i="15"/>
  <c r="C991" i="15"/>
  <c r="B991" i="15"/>
  <c r="A991" i="15"/>
  <c r="AA990" i="15"/>
  <c r="Z990" i="15"/>
  <c r="Y990" i="15"/>
  <c r="S990" i="15"/>
  <c r="R990" i="15"/>
  <c r="Q990" i="15"/>
  <c r="I990" i="15"/>
  <c r="G990" i="15"/>
  <c r="F990" i="15"/>
  <c r="E990" i="15"/>
  <c r="D990" i="15"/>
  <c r="C990" i="15"/>
  <c r="B990" i="15"/>
  <c r="A990" i="15"/>
  <c r="AC990" i="15" s="1"/>
  <c r="AC989" i="15"/>
  <c r="I989" i="15"/>
  <c r="F989" i="15"/>
  <c r="E989" i="15"/>
  <c r="D989" i="15"/>
  <c r="C989" i="15"/>
  <c r="B989" i="15"/>
  <c r="A989" i="15"/>
  <c r="F988" i="15"/>
  <c r="E988" i="15"/>
  <c r="D988" i="15"/>
  <c r="C988" i="15"/>
  <c r="B988" i="15"/>
  <c r="A988" i="15"/>
  <c r="K988" i="15" s="1"/>
  <c r="AC987" i="15"/>
  <c r="O987" i="15"/>
  <c r="G987" i="15"/>
  <c r="F987" i="15"/>
  <c r="E987" i="15"/>
  <c r="D987" i="15"/>
  <c r="C987" i="15"/>
  <c r="B987" i="15"/>
  <c r="A987" i="15"/>
  <c r="U986" i="15"/>
  <c r="T986" i="15"/>
  <c r="F986" i="15"/>
  <c r="E986" i="15"/>
  <c r="D986" i="15"/>
  <c r="C986" i="15"/>
  <c r="B986" i="15"/>
  <c r="A986" i="15"/>
  <c r="AA985" i="15"/>
  <c r="Y985" i="15"/>
  <c r="W985" i="15"/>
  <c r="V985" i="15"/>
  <c r="I985" i="15"/>
  <c r="G985" i="15"/>
  <c r="F985" i="15"/>
  <c r="E985" i="15"/>
  <c r="D985" i="15"/>
  <c r="C985" i="15"/>
  <c r="B985" i="15"/>
  <c r="A985" i="15"/>
  <c r="AA984" i="15"/>
  <c r="O984" i="15"/>
  <c r="G984" i="15"/>
  <c r="F984" i="15"/>
  <c r="E984" i="15"/>
  <c r="D984" i="15"/>
  <c r="C984" i="15"/>
  <c r="B984" i="15"/>
  <c r="A984" i="15"/>
  <c r="F983" i="15"/>
  <c r="E983" i="15"/>
  <c r="D983" i="15"/>
  <c r="C983" i="15"/>
  <c r="B983" i="15"/>
  <c r="A983" i="15"/>
  <c r="AF983" i="15" s="1"/>
  <c r="AB982" i="15"/>
  <c r="AA982" i="15"/>
  <c r="Z982" i="15"/>
  <c r="M982" i="15"/>
  <c r="G982" i="15"/>
  <c r="F982" i="15"/>
  <c r="E982" i="15"/>
  <c r="D982" i="15"/>
  <c r="C982" i="15"/>
  <c r="B982" i="15"/>
  <c r="A982" i="15"/>
  <c r="Q981" i="15"/>
  <c r="G981" i="15"/>
  <c r="F981" i="15"/>
  <c r="E981" i="15"/>
  <c r="D981" i="15"/>
  <c r="C981" i="15"/>
  <c r="B981" i="15"/>
  <c r="A981" i="15"/>
  <c r="AF980" i="15"/>
  <c r="AE980" i="15"/>
  <c r="X980" i="15"/>
  <c r="W980" i="15"/>
  <c r="V980" i="15"/>
  <c r="I980" i="15"/>
  <c r="F980" i="15"/>
  <c r="E980" i="15"/>
  <c r="D980" i="15"/>
  <c r="C980" i="15"/>
  <c r="B980" i="15"/>
  <c r="A980" i="15"/>
  <c r="U980" i="15" s="1"/>
  <c r="AA979" i="15"/>
  <c r="Z979" i="15"/>
  <c r="Y979" i="15"/>
  <c r="R979" i="15"/>
  <c r="Q979" i="15"/>
  <c r="P979" i="15"/>
  <c r="G979" i="15"/>
  <c r="F979" i="15"/>
  <c r="E979" i="15"/>
  <c r="D979" i="15"/>
  <c r="C979" i="15"/>
  <c r="B979" i="15"/>
  <c r="A979" i="15"/>
  <c r="O979" i="15" s="1"/>
  <c r="W978" i="15"/>
  <c r="I978" i="15"/>
  <c r="F978" i="15"/>
  <c r="E978" i="15"/>
  <c r="D978" i="15"/>
  <c r="C978" i="15"/>
  <c r="B978" i="15"/>
  <c r="A978" i="15"/>
  <c r="AB977" i="15"/>
  <c r="Y977" i="15"/>
  <c r="M977" i="15"/>
  <c r="I977" i="15"/>
  <c r="F977" i="15"/>
  <c r="E977" i="15"/>
  <c r="D977" i="15"/>
  <c r="C977" i="15"/>
  <c r="B977" i="15"/>
  <c r="A977" i="15"/>
  <c r="Q976" i="15"/>
  <c r="O976" i="15"/>
  <c r="F976" i="15"/>
  <c r="E976" i="15"/>
  <c r="D976" i="15"/>
  <c r="C976" i="15"/>
  <c r="B976" i="15"/>
  <c r="A976" i="15"/>
  <c r="H976" i="15" s="1"/>
  <c r="AE975" i="15"/>
  <c r="F975" i="15"/>
  <c r="E975" i="15"/>
  <c r="D975" i="15"/>
  <c r="C975" i="15"/>
  <c r="B975" i="15"/>
  <c r="A975" i="15"/>
  <c r="U975" i="15" s="1"/>
  <c r="AC974" i="15"/>
  <c r="M974" i="15"/>
  <c r="I974" i="15"/>
  <c r="F974" i="15"/>
  <c r="E974" i="15"/>
  <c r="D974" i="15"/>
  <c r="C974" i="15"/>
  <c r="B974" i="15"/>
  <c r="A974" i="15"/>
  <c r="AD973" i="15"/>
  <c r="AC973" i="15"/>
  <c r="AB973" i="15"/>
  <c r="G973" i="15"/>
  <c r="F973" i="15"/>
  <c r="E973" i="15"/>
  <c r="D973" i="15"/>
  <c r="C973" i="15"/>
  <c r="B973" i="15"/>
  <c r="A973" i="15"/>
  <c r="S973" i="15" s="1"/>
  <c r="AE972" i="15"/>
  <c r="I972" i="15"/>
  <c r="F972" i="15"/>
  <c r="E972" i="15"/>
  <c r="D972" i="15"/>
  <c r="C972" i="15"/>
  <c r="B972" i="15"/>
  <c r="A972" i="15"/>
  <c r="AA971" i="15"/>
  <c r="Z971" i="15"/>
  <c r="O971" i="15"/>
  <c r="G971" i="15"/>
  <c r="F971" i="15"/>
  <c r="E971" i="15"/>
  <c r="D971" i="15"/>
  <c r="C971" i="15"/>
  <c r="B971" i="15"/>
  <c r="A971" i="15"/>
  <c r="K970" i="15"/>
  <c r="F970" i="15"/>
  <c r="E970" i="15"/>
  <c r="D970" i="15"/>
  <c r="C970" i="15"/>
  <c r="B970" i="15"/>
  <c r="A970" i="15"/>
  <c r="AG970" i="15" s="1"/>
  <c r="N969" i="15"/>
  <c r="M969" i="15"/>
  <c r="F969" i="15"/>
  <c r="E969" i="15"/>
  <c r="D969" i="15"/>
  <c r="C969" i="15"/>
  <c r="B969" i="15"/>
  <c r="A969" i="15"/>
  <c r="AD968" i="15"/>
  <c r="AA968" i="15"/>
  <c r="P968" i="15"/>
  <c r="H968" i="15"/>
  <c r="G968" i="15"/>
  <c r="F968" i="15"/>
  <c r="E968" i="15"/>
  <c r="D968" i="15"/>
  <c r="C968" i="15"/>
  <c r="B968" i="15"/>
  <c r="A968" i="15"/>
  <c r="AF967" i="15"/>
  <c r="AE967" i="15"/>
  <c r="X967" i="15"/>
  <c r="W967" i="15"/>
  <c r="I967" i="15"/>
  <c r="F967" i="15"/>
  <c r="E967" i="15"/>
  <c r="D967" i="15"/>
  <c r="C967" i="15"/>
  <c r="B967" i="15"/>
  <c r="A967" i="15"/>
  <c r="U967" i="15" s="1"/>
  <c r="S966" i="15"/>
  <c r="R966" i="15"/>
  <c r="F966" i="15"/>
  <c r="E966" i="15"/>
  <c r="D966" i="15"/>
  <c r="C966" i="15"/>
  <c r="B966" i="15"/>
  <c r="A966" i="15"/>
  <c r="AD965" i="15"/>
  <c r="I965" i="15"/>
  <c r="G965" i="15"/>
  <c r="F965" i="15"/>
  <c r="E965" i="15"/>
  <c r="D965" i="15"/>
  <c r="C965" i="15"/>
  <c r="B965" i="15"/>
  <c r="A965" i="15"/>
  <c r="AC965" i="15" s="1"/>
  <c r="AF964" i="15"/>
  <c r="K964" i="15"/>
  <c r="F964" i="15"/>
  <c r="E964" i="15"/>
  <c r="D964" i="15"/>
  <c r="C964" i="15"/>
  <c r="B964" i="15"/>
  <c r="A964" i="15"/>
  <c r="F963" i="15"/>
  <c r="E963" i="15"/>
  <c r="D963" i="15"/>
  <c r="C963" i="15"/>
  <c r="B963" i="15"/>
  <c r="A963" i="15"/>
  <c r="AH962" i="15"/>
  <c r="W962" i="15"/>
  <c r="U962" i="15"/>
  <c r="L962" i="15"/>
  <c r="F962" i="15"/>
  <c r="E962" i="15"/>
  <c r="D962" i="15"/>
  <c r="C962" i="15"/>
  <c r="B962" i="15"/>
  <c r="A962" i="15"/>
  <c r="AE962" i="15" s="1"/>
  <c r="AB961" i="15"/>
  <c r="AA961" i="15"/>
  <c r="Y961" i="15"/>
  <c r="W961" i="15"/>
  <c r="V961" i="15"/>
  <c r="Q961" i="15"/>
  <c r="M961" i="15"/>
  <c r="L961" i="15"/>
  <c r="F961" i="15"/>
  <c r="E961" i="15"/>
  <c r="D961" i="15"/>
  <c r="C961" i="15"/>
  <c r="B961" i="15"/>
  <c r="A961" i="15"/>
  <c r="AD961" i="15" s="1"/>
  <c r="AD960" i="15"/>
  <c r="AC960" i="15"/>
  <c r="AA960" i="15"/>
  <c r="Y960" i="15"/>
  <c r="S960" i="15"/>
  <c r="Q960" i="15"/>
  <c r="H960" i="15"/>
  <c r="G960" i="15"/>
  <c r="F960" i="15"/>
  <c r="E960" i="15"/>
  <c r="D960" i="15"/>
  <c r="C960" i="15"/>
  <c r="B960" i="15"/>
  <c r="A960" i="15"/>
  <c r="P960" i="15" s="1"/>
  <c r="AF959" i="15"/>
  <c r="AE959" i="15"/>
  <c r="X959" i="15"/>
  <c r="J959" i="15"/>
  <c r="I959" i="15"/>
  <c r="F959" i="15"/>
  <c r="E959" i="15"/>
  <c r="D959" i="15"/>
  <c r="C959" i="15"/>
  <c r="B959" i="15"/>
  <c r="A959" i="15"/>
  <c r="W959" i="15" s="1"/>
  <c r="AC958" i="15"/>
  <c r="Y958" i="15"/>
  <c r="Q958" i="15"/>
  <c r="O958" i="15"/>
  <c r="F958" i="15"/>
  <c r="E958" i="15"/>
  <c r="D958" i="15"/>
  <c r="C958" i="15"/>
  <c r="B958" i="15"/>
  <c r="A958" i="15"/>
  <c r="F957" i="15"/>
  <c r="E957" i="15"/>
  <c r="D957" i="15"/>
  <c r="C957" i="15"/>
  <c r="B957" i="15"/>
  <c r="A957" i="15"/>
  <c r="F956" i="15"/>
  <c r="E956" i="15"/>
  <c r="D956" i="15"/>
  <c r="C956" i="15"/>
  <c r="B956" i="15"/>
  <c r="A956" i="15"/>
  <c r="AC955" i="15"/>
  <c r="AA955" i="15"/>
  <c r="R955" i="15"/>
  <c r="Q955" i="15"/>
  <c r="P955" i="15"/>
  <c r="H955" i="15"/>
  <c r="G955" i="15"/>
  <c r="F955" i="15"/>
  <c r="E955" i="15"/>
  <c r="D955" i="15"/>
  <c r="C955" i="15"/>
  <c r="B955" i="15"/>
  <c r="A955" i="15"/>
  <c r="AC954" i="15"/>
  <c r="W954" i="15"/>
  <c r="S954" i="15"/>
  <c r="I954" i="15"/>
  <c r="F954" i="15"/>
  <c r="E954" i="15"/>
  <c r="D954" i="15"/>
  <c r="C954" i="15"/>
  <c r="B954" i="15"/>
  <c r="A954" i="15"/>
  <c r="AE954" i="15" s="1"/>
  <c r="AG953" i="15"/>
  <c r="AB953" i="15"/>
  <c r="AA953" i="15"/>
  <c r="N953" i="15"/>
  <c r="L953" i="15"/>
  <c r="F953" i="15"/>
  <c r="E953" i="15"/>
  <c r="D953" i="15"/>
  <c r="C953" i="15"/>
  <c r="B953" i="15"/>
  <c r="A953" i="15"/>
  <c r="Y952" i="15"/>
  <c r="O952" i="15"/>
  <c r="G952" i="15"/>
  <c r="F952" i="15"/>
  <c r="E952" i="15"/>
  <c r="D952" i="15"/>
  <c r="C952" i="15"/>
  <c r="B952" i="15"/>
  <c r="A952" i="15"/>
  <c r="AE951" i="15"/>
  <c r="J951" i="15"/>
  <c r="I951" i="15"/>
  <c r="F951" i="15"/>
  <c r="E951" i="15"/>
  <c r="D951" i="15"/>
  <c r="C951" i="15"/>
  <c r="B951" i="15"/>
  <c r="A951" i="15"/>
  <c r="S951" i="15" s="1"/>
  <c r="AC950" i="15"/>
  <c r="AB950" i="15"/>
  <c r="Y950" i="15"/>
  <c r="S950" i="15"/>
  <c r="R950" i="15"/>
  <c r="O950" i="15"/>
  <c r="M950" i="15"/>
  <c r="F950" i="15"/>
  <c r="E950" i="15"/>
  <c r="D950" i="15"/>
  <c r="C950" i="15"/>
  <c r="B950" i="15"/>
  <c r="A950" i="15"/>
  <c r="F949" i="15"/>
  <c r="E949" i="15"/>
  <c r="D949" i="15"/>
  <c r="C949" i="15"/>
  <c r="B949" i="15"/>
  <c r="A949" i="15"/>
  <c r="X948" i="15"/>
  <c r="U948" i="15"/>
  <c r="N948" i="15"/>
  <c r="F948" i="15"/>
  <c r="E948" i="15"/>
  <c r="D948" i="15"/>
  <c r="C948" i="15"/>
  <c r="B948" i="15"/>
  <c r="A948" i="15"/>
  <c r="AF948" i="15" s="1"/>
  <c r="AC947" i="15"/>
  <c r="AA947" i="15"/>
  <c r="Z947" i="15"/>
  <c r="Y947" i="15"/>
  <c r="R947" i="15"/>
  <c r="Q947" i="15"/>
  <c r="H947" i="15"/>
  <c r="G947" i="15"/>
  <c r="F947" i="15"/>
  <c r="E947" i="15"/>
  <c r="D947" i="15"/>
  <c r="C947" i="15"/>
  <c r="B947" i="15"/>
  <c r="A947" i="15"/>
  <c r="P947" i="15" s="1"/>
  <c r="U946" i="15"/>
  <c r="J946" i="15"/>
  <c r="F946" i="15"/>
  <c r="E946" i="15"/>
  <c r="D946" i="15"/>
  <c r="C946" i="15"/>
  <c r="B946" i="15"/>
  <c r="A946" i="15"/>
  <c r="F945" i="15"/>
  <c r="E945" i="15"/>
  <c r="D945" i="15"/>
  <c r="C945" i="15"/>
  <c r="B945" i="15"/>
  <c r="A945" i="15"/>
  <c r="W945" i="15" s="1"/>
  <c r="O944" i="15"/>
  <c r="G944" i="15"/>
  <c r="F944" i="15"/>
  <c r="E944" i="15"/>
  <c r="D944" i="15"/>
  <c r="C944" i="15"/>
  <c r="B944" i="15"/>
  <c r="A944" i="15"/>
  <c r="X943" i="15"/>
  <c r="U943" i="15"/>
  <c r="S943" i="15"/>
  <c r="F943" i="15"/>
  <c r="E943" i="15"/>
  <c r="D943" i="15"/>
  <c r="C943" i="15"/>
  <c r="B943" i="15"/>
  <c r="A943" i="15"/>
  <c r="AC942" i="15"/>
  <c r="Z942" i="15"/>
  <c r="Y942" i="15"/>
  <c r="S942" i="15"/>
  <c r="R942" i="15"/>
  <c r="Q942" i="15"/>
  <c r="O942" i="15"/>
  <c r="G942" i="15"/>
  <c r="F942" i="15"/>
  <c r="E942" i="15"/>
  <c r="D942" i="15"/>
  <c r="C942" i="15"/>
  <c r="B942" i="15"/>
  <c r="A942" i="15"/>
  <c r="AB942" i="15" s="1"/>
  <c r="F941" i="15"/>
  <c r="E941" i="15"/>
  <c r="D941" i="15"/>
  <c r="C941" i="15"/>
  <c r="B941" i="15"/>
  <c r="A941" i="15"/>
  <c r="U941" i="15" s="1"/>
  <c r="AE940" i="15"/>
  <c r="F940" i="15"/>
  <c r="E940" i="15"/>
  <c r="D940" i="15"/>
  <c r="C940" i="15"/>
  <c r="B940" i="15"/>
  <c r="A940" i="15"/>
  <c r="X940" i="15" s="1"/>
  <c r="Z939" i="15"/>
  <c r="Y939" i="15"/>
  <c r="R939" i="15"/>
  <c r="P939" i="15"/>
  <c r="O939" i="15"/>
  <c r="F939" i="15"/>
  <c r="E939" i="15"/>
  <c r="D939" i="15"/>
  <c r="C939" i="15"/>
  <c r="B939" i="15"/>
  <c r="A939" i="15"/>
  <c r="F938" i="15"/>
  <c r="E938" i="15"/>
  <c r="D938" i="15"/>
  <c r="C938" i="15"/>
  <c r="B938" i="15"/>
  <c r="A938" i="15"/>
  <c r="AB937" i="15"/>
  <c r="M937" i="15"/>
  <c r="L937" i="15"/>
  <c r="F937" i="15"/>
  <c r="E937" i="15"/>
  <c r="D937" i="15"/>
  <c r="C937" i="15"/>
  <c r="B937" i="15"/>
  <c r="A937" i="15"/>
  <c r="P936" i="15"/>
  <c r="O936" i="15"/>
  <c r="F936" i="15"/>
  <c r="E936" i="15"/>
  <c r="D936" i="15"/>
  <c r="C936" i="15"/>
  <c r="B936" i="15"/>
  <c r="A936" i="15"/>
  <c r="AE935" i="15"/>
  <c r="X935" i="15"/>
  <c r="F935" i="15"/>
  <c r="E935" i="15"/>
  <c r="D935" i="15"/>
  <c r="C935" i="15"/>
  <c r="B935" i="15"/>
  <c r="A935" i="15"/>
  <c r="AC934" i="15"/>
  <c r="Z934" i="15"/>
  <c r="Y934" i="15"/>
  <c r="S934" i="15"/>
  <c r="R934" i="15"/>
  <c r="Q934" i="15"/>
  <c r="O934" i="15"/>
  <c r="G934" i="15"/>
  <c r="F934" i="15"/>
  <c r="E934" i="15"/>
  <c r="D934" i="15"/>
  <c r="C934" i="15"/>
  <c r="B934" i="15"/>
  <c r="A934" i="15"/>
  <c r="AB934" i="15" s="1"/>
  <c r="K933" i="15"/>
  <c r="F933" i="15"/>
  <c r="E933" i="15"/>
  <c r="D933" i="15"/>
  <c r="C933" i="15"/>
  <c r="B933" i="15"/>
  <c r="A933" i="15"/>
  <c r="AE933" i="15" s="1"/>
  <c r="F932" i="15"/>
  <c r="E932" i="15"/>
  <c r="D932" i="15"/>
  <c r="C932" i="15"/>
  <c r="B932" i="15"/>
  <c r="A932" i="15"/>
  <c r="W932" i="15" s="1"/>
  <c r="H931" i="15"/>
  <c r="G931" i="15"/>
  <c r="F931" i="15"/>
  <c r="E931" i="15"/>
  <c r="D931" i="15"/>
  <c r="C931" i="15"/>
  <c r="B931" i="15"/>
  <c r="A931" i="15"/>
  <c r="AE930" i="15"/>
  <c r="AC930" i="15"/>
  <c r="W930" i="15"/>
  <c r="U930" i="15"/>
  <c r="I930" i="15"/>
  <c r="F930" i="15"/>
  <c r="E930" i="15"/>
  <c r="D930" i="15"/>
  <c r="C930" i="15"/>
  <c r="B930" i="15"/>
  <c r="A930" i="15"/>
  <c r="T930" i="15" s="1"/>
  <c r="F929" i="15"/>
  <c r="E929" i="15"/>
  <c r="D929" i="15"/>
  <c r="C929" i="15"/>
  <c r="B929" i="15"/>
  <c r="A929" i="15"/>
  <c r="AC928" i="15"/>
  <c r="Q928" i="15"/>
  <c r="P928" i="15"/>
  <c r="H928" i="15"/>
  <c r="G928" i="15"/>
  <c r="F928" i="15"/>
  <c r="E928" i="15"/>
  <c r="D928" i="15"/>
  <c r="C928" i="15"/>
  <c r="B928" i="15"/>
  <c r="A928" i="15"/>
  <c r="AH927" i="15"/>
  <c r="X927" i="15"/>
  <c r="W927" i="15"/>
  <c r="M927" i="15"/>
  <c r="F927" i="15"/>
  <c r="E927" i="15"/>
  <c r="D927" i="15"/>
  <c r="C927" i="15"/>
  <c r="B927" i="15"/>
  <c r="A927" i="15"/>
  <c r="AF927" i="15" s="1"/>
  <c r="F926" i="15"/>
  <c r="E926" i="15"/>
  <c r="D926" i="15"/>
  <c r="C926" i="15"/>
  <c r="B926" i="15"/>
  <c r="A926" i="15"/>
  <c r="F925" i="15"/>
  <c r="E925" i="15"/>
  <c r="D925" i="15"/>
  <c r="C925" i="15"/>
  <c r="B925" i="15"/>
  <c r="A925" i="15"/>
  <c r="AF924" i="15"/>
  <c r="AE924" i="15"/>
  <c r="K924" i="15"/>
  <c r="I924" i="15"/>
  <c r="F924" i="15"/>
  <c r="E924" i="15"/>
  <c r="D924" i="15"/>
  <c r="C924" i="15"/>
  <c r="B924" i="15"/>
  <c r="A924" i="15"/>
  <c r="X924" i="15" s="1"/>
  <c r="AC923" i="15"/>
  <c r="AA923" i="15"/>
  <c r="Z923" i="15"/>
  <c r="Y923" i="15"/>
  <c r="R923" i="15"/>
  <c r="Q923" i="15"/>
  <c r="P923" i="15"/>
  <c r="H923" i="15"/>
  <c r="G923" i="15"/>
  <c r="F923" i="15"/>
  <c r="E923" i="15"/>
  <c r="D923" i="15"/>
  <c r="C923" i="15"/>
  <c r="B923" i="15"/>
  <c r="A923" i="15"/>
  <c r="O923" i="15" s="1"/>
  <c r="AE922" i="15"/>
  <c r="J922" i="15"/>
  <c r="F922" i="15"/>
  <c r="E922" i="15"/>
  <c r="D922" i="15"/>
  <c r="C922" i="15"/>
  <c r="B922" i="15"/>
  <c r="A922" i="15"/>
  <c r="AG921" i="15"/>
  <c r="AC921" i="15"/>
  <c r="AB921" i="15"/>
  <c r="AA921" i="15"/>
  <c r="Y921" i="15"/>
  <c r="Q921" i="15"/>
  <c r="N921" i="15"/>
  <c r="L921" i="15"/>
  <c r="G921" i="15"/>
  <c r="F921" i="15"/>
  <c r="E921" i="15"/>
  <c r="D921" i="15"/>
  <c r="C921" i="15"/>
  <c r="B921" i="15"/>
  <c r="A921" i="15"/>
  <c r="AD920" i="15"/>
  <c r="AC920" i="15"/>
  <c r="S920" i="15"/>
  <c r="P920" i="15"/>
  <c r="H920" i="15"/>
  <c r="G920" i="15"/>
  <c r="F920" i="15"/>
  <c r="E920" i="15"/>
  <c r="D920" i="15"/>
  <c r="C920" i="15"/>
  <c r="B920" i="15"/>
  <c r="A920" i="15"/>
  <c r="AF919" i="15"/>
  <c r="AE919" i="15"/>
  <c r="I919" i="15"/>
  <c r="F919" i="15"/>
  <c r="E919" i="15"/>
  <c r="D919" i="15"/>
  <c r="C919" i="15"/>
  <c r="B919" i="15"/>
  <c r="A919" i="15"/>
  <c r="U919" i="15" s="1"/>
  <c r="AB918" i="15"/>
  <c r="AA918" i="15"/>
  <c r="Z918" i="15"/>
  <c r="Y918" i="15"/>
  <c r="R918" i="15"/>
  <c r="I918" i="15"/>
  <c r="G918" i="15"/>
  <c r="F918" i="15"/>
  <c r="E918" i="15"/>
  <c r="D918" i="15"/>
  <c r="C918" i="15"/>
  <c r="B918" i="15"/>
  <c r="A918" i="15"/>
  <c r="AE917" i="15"/>
  <c r="K917" i="15"/>
  <c r="F917" i="15"/>
  <c r="E917" i="15"/>
  <c r="D917" i="15"/>
  <c r="C917" i="15"/>
  <c r="B917" i="15"/>
  <c r="A917" i="15"/>
  <c r="X916" i="15"/>
  <c r="U916" i="15"/>
  <c r="N916" i="15"/>
  <c r="F916" i="15"/>
  <c r="E916" i="15"/>
  <c r="D916" i="15"/>
  <c r="C916" i="15"/>
  <c r="B916" i="15"/>
  <c r="A916" i="15"/>
  <c r="AF916" i="15" s="1"/>
  <c r="AC915" i="15"/>
  <c r="AA915" i="15"/>
  <c r="H915" i="15"/>
  <c r="G915" i="15"/>
  <c r="F915" i="15"/>
  <c r="E915" i="15"/>
  <c r="D915" i="15"/>
  <c r="C915" i="15"/>
  <c r="B915" i="15"/>
  <c r="A915" i="15"/>
  <c r="T914" i="15"/>
  <c r="F914" i="15"/>
  <c r="E914" i="15"/>
  <c r="D914" i="15"/>
  <c r="C914" i="15"/>
  <c r="B914" i="15"/>
  <c r="A914" i="15"/>
  <c r="AG913" i="15"/>
  <c r="AB913" i="15"/>
  <c r="Y913" i="15"/>
  <c r="S913" i="15"/>
  <c r="N913" i="15"/>
  <c r="L913" i="15"/>
  <c r="F913" i="15"/>
  <c r="E913" i="15"/>
  <c r="D913" i="15"/>
  <c r="C913" i="15"/>
  <c r="B913" i="15"/>
  <c r="A913" i="15"/>
  <c r="O912" i="15"/>
  <c r="H912" i="15"/>
  <c r="F912" i="15"/>
  <c r="E912" i="15"/>
  <c r="D912" i="15"/>
  <c r="C912" i="15"/>
  <c r="B912" i="15"/>
  <c r="A912" i="15"/>
  <c r="U911" i="15"/>
  <c r="S911" i="15"/>
  <c r="F911" i="15"/>
  <c r="E911" i="15"/>
  <c r="D911" i="15"/>
  <c r="C911" i="15"/>
  <c r="B911" i="15"/>
  <c r="A911" i="15"/>
  <c r="AC910" i="15"/>
  <c r="AA910" i="15"/>
  <c r="M910" i="15"/>
  <c r="I910" i="15"/>
  <c r="F910" i="15"/>
  <c r="E910" i="15"/>
  <c r="D910" i="15"/>
  <c r="C910" i="15"/>
  <c r="B910" i="15"/>
  <c r="A910" i="15"/>
  <c r="AD909" i="15"/>
  <c r="AC909" i="15"/>
  <c r="AB909" i="15"/>
  <c r="I909" i="15"/>
  <c r="G909" i="15"/>
  <c r="F909" i="15"/>
  <c r="E909" i="15"/>
  <c r="D909" i="15"/>
  <c r="C909" i="15"/>
  <c r="B909" i="15"/>
  <c r="A909" i="15"/>
  <c r="U909" i="15" s="1"/>
  <c r="X908" i="15"/>
  <c r="K908" i="15"/>
  <c r="F908" i="15"/>
  <c r="E908" i="15"/>
  <c r="D908" i="15"/>
  <c r="C908" i="15"/>
  <c r="B908" i="15"/>
  <c r="A908" i="15"/>
  <c r="AC907" i="15"/>
  <c r="O907" i="15"/>
  <c r="G907" i="15"/>
  <c r="F907" i="15"/>
  <c r="E907" i="15"/>
  <c r="D907" i="15"/>
  <c r="C907" i="15"/>
  <c r="B907" i="15"/>
  <c r="A907" i="15"/>
  <c r="J906" i="15"/>
  <c r="F906" i="15"/>
  <c r="E906" i="15"/>
  <c r="D906" i="15"/>
  <c r="C906" i="15"/>
  <c r="B906" i="15"/>
  <c r="A906" i="15"/>
  <c r="S905" i="15"/>
  <c r="O905" i="15"/>
  <c r="F905" i="15"/>
  <c r="E905" i="15"/>
  <c r="D905" i="15"/>
  <c r="C905" i="15"/>
  <c r="B905" i="15"/>
  <c r="A905" i="15"/>
  <c r="Y904" i="15"/>
  <c r="P904" i="15"/>
  <c r="O904" i="15"/>
  <c r="F904" i="15"/>
  <c r="E904" i="15"/>
  <c r="D904" i="15"/>
  <c r="C904" i="15"/>
  <c r="B904" i="15"/>
  <c r="A904" i="15"/>
  <c r="X903" i="15"/>
  <c r="J903" i="15"/>
  <c r="F903" i="15"/>
  <c r="E903" i="15"/>
  <c r="D903" i="15"/>
  <c r="C903" i="15"/>
  <c r="B903" i="15"/>
  <c r="A903" i="15"/>
  <c r="AA902" i="15"/>
  <c r="F902" i="15"/>
  <c r="E902" i="15"/>
  <c r="D902" i="15"/>
  <c r="C902" i="15"/>
  <c r="B902" i="15"/>
  <c r="A902" i="15"/>
  <c r="O902" i="15" s="1"/>
  <c r="F901" i="15"/>
  <c r="E901" i="15"/>
  <c r="D901" i="15"/>
  <c r="C901" i="15"/>
  <c r="B901" i="15"/>
  <c r="A901" i="15"/>
  <c r="W900" i="15"/>
  <c r="F900" i="15"/>
  <c r="E900" i="15"/>
  <c r="D900" i="15"/>
  <c r="C900" i="15"/>
  <c r="B900" i="15"/>
  <c r="A900" i="15"/>
  <c r="V900" i="15" s="1"/>
  <c r="AA899" i="15"/>
  <c r="H899" i="15"/>
  <c r="G899" i="15"/>
  <c r="F899" i="15"/>
  <c r="E899" i="15"/>
  <c r="D899" i="15"/>
  <c r="C899" i="15"/>
  <c r="B899" i="15"/>
  <c r="A899" i="15"/>
  <c r="AE898" i="15"/>
  <c r="AC898" i="15"/>
  <c r="J898" i="15"/>
  <c r="I898" i="15"/>
  <c r="F898" i="15"/>
  <c r="E898" i="15"/>
  <c r="D898" i="15"/>
  <c r="C898" i="15"/>
  <c r="B898" i="15"/>
  <c r="A898" i="15"/>
  <c r="AG897" i="15"/>
  <c r="AB897" i="15"/>
  <c r="AA897" i="15"/>
  <c r="N897" i="15"/>
  <c r="L897" i="15"/>
  <c r="F897" i="15"/>
  <c r="E897" i="15"/>
  <c r="D897" i="15"/>
  <c r="C897" i="15"/>
  <c r="B897" i="15"/>
  <c r="A897" i="15"/>
  <c r="Y896" i="15"/>
  <c r="F896" i="15"/>
  <c r="E896" i="15"/>
  <c r="D896" i="15"/>
  <c r="C896" i="15"/>
  <c r="B896" i="15"/>
  <c r="A896" i="15"/>
  <c r="P896" i="15" s="1"/>
  <c r="AH895" i="15"/>
  <c r="S895" i="15"/>
  <c r="M895" i="15"/>
  <c r="F895" i="15"/>
  <c r="E895" i="15"/>
  <c r="D895" i="15"/>
  <c r="C895" i="15"/>
  <c r="B895" i="15"/>
  <c r="A895" i="15"/>
  <c r="AC894" i="15"/>
  <c r="AB894" i="15"/>
  <c r="AA894" i="15"/>
  <c r="Z894" i="15"/>
  <c r="Y894" i="15"/>
  <c r="Q894" i="15"/>
  <c r="O894" i="15"/>
  <c r="I894" i="15"/>
  <c r="G894" i="15"/>
  <c r="F894" i="15"/>
  <c r="E894" i="15"/>
  <c r="D894" i="15"/>
  <c r="C894" i="15"/>
  <c r="B894" i="15"/>
  <c r="A894" i="15"/>
  <c r="AD893" i="15"/>
  <c r="AC893" i="15"/>
  <c r="AB893" i="15"/>
  <c r="I893" i="15"/>
  <c r="G893" i="15"/>
  <c r="F893" i="15"/>
  <c r="E893" i="15"/>
  <c r="D893" i="15"/>
  <c r="C893" i="15"/>
  <c r="B893" i="15"/>
  <c r="A893" i="15"/>
  <c r="U893" i="15" s="1"/>
  <c r="K892" i="15"/>
  <c r="I892" i="15"/>
  <c r="F892" i="15"/>
  <c r="E892" i="15"/>
  <c r="D892" i="15"/>
  <c r="C892" i="15"/>
  <c r="B892" i="15"/>
  <c r="A892" i="15"/>
  <c r="AF892" i="15" s="1"/>
  <c r="F891" i="15"/>
  <c r="E891" i="15"/>
  <c r="D891" i="15"/>
  <c r="C891" i="15"/>
  <c r="B891" i="15"/>
  <c r="A891" i="15"/>
  <c r="F890" i="15"/>
  <c r="E890" i="15"/>
  <c r="D890" i="15"/>
  <c r="C890" i="15"/>
  <c r="B890" i="15"/>
  <c r="A890" i="15"/>
  <c r="J890" i="15" s="1"/>
  <c r="AG889" i="15"/>
  <c r="AB889" i="15"/>
  <c r="AA889" i="15"/>
  <c r="Y889" i="15"/>
  <c r="O889" i="15"/>
  <c r="M889" i="15"/>
  <c r="L889" i="15"/>
  <c r="F889" i="15"/>
  <c r="E889" i="15"/>
  <c r="D889" i="15"/>
  <c r="C889" i="15"/>
  <c r="B889" i="15"/>
  <c r="A889" i="15"/>
  <c r="AD888" i="15"/>
  <c r="AC888" i="15"/>
  <c r="AA888" i="15"/>
  <c r="Q888" i="15"/>
  <c r="P888" i="15"/>
  <c r="H888" i="15"/>
  <c r="G888" i="15"/>
  <c r="F888" i="15"/>
  <c r="E888" i="15"/>
  <c r="D888" i="15"/>
  <c r="C888" i="15"/>
  <c r="B888" i="15"/>
  <c r="A888" i="15"/>
  <c r="AE887" i="15"/>
  <c r="X887" i="15"/>
  <c r="W887" i="15"/>
  <c r="S887" i="15"/>
  <c r="I887" i="15"/>
  <c r="F887" i="15"/>
  <c r="E887" i="15"/>
  <c r="D887" i="15"/>
  <c r="C887" i="15"/>
  <c r="B887" i="15"/>
  <c r="A887" i="15"/>
  <c r="AF887" i="15" s="1"/>
  <c r="AB886" i="15"/>
  <c r="AA886" i="15"/>
  <c r="Z886" i="15"/>
  <c r="Y886" i="15"/>
  <c r="R886" i="15"/>
  <c r="I886" i="15"/>
  <c r="G886" i="15"/>
  <c r="F886" i="15"/>
  <c r="E886" i="15"/>
  <c r="D886" i="15"/>
  <c r="C886" i="15"/>
  <c r="B886" i="15"/>
  <c r="A886" i="15"/>
  <c r="F885" i="15"/>
  <c r="E885" i="15"/>
  <c r="D885" i="15"/>
  <c r="C885" i="15"/>
  <c r="B885" i="15"/>
  <c r="A885" i="15"/>
  <c r="I885" i="15" s="1"/>
  <c r="F884" i="15"/>
  <c r="E884" i="15"/>
  <c r="D884" i="15"/>
  <c r="C884" i="15"/>
  <c r="B884" i="15"/>
  <c r="A884" i="15"/>
  <c r="AF884" i="15" s="1"/>
  <c r="Q883" i="15"/>
  <c r="O883" i="15"/>
  <c r="F883" i="15"/>
  <c r="E883" i="15"/>
  <c r="D883" i="15"/>
  <c r="C883" i="15"/>
  <c r="B883" i="15"/>
  <c r="A883" i="15"/>
  <c r="F882" i="15"/>
  <c r="E882" i="15"/>
  <c r="D882" i="15"/>
  <c r="C882" i="15"/>
  <c r="B882" i="15"/>
  <c r="A882" i="15"/>
  <c r="AB881" i="15"/>
  <c r="AA881" i="15"/>
  <c r="Y881" i="15"/>
  <c r="W881" i="15"/>
  <c r="V881" i="15"/>
  <c r="Q881" i="15"/>
  <c r="O881" i="15"/>
  <c r="M881" i="15"/>
  <c r="L881" i="15"/>
  <c r="F881" i="15"/>
  <c r="E881" i="15"/>
  <c r="D881" i="15"/>
  <c r="C881" i="15"/>
  <c r="B881" i="15"/>
  <c r="A881" i="15"/>
  <c r="AD881" i="15" s="1"/>
  <c r="AD880" i="15"/>
  <c r="AC880" i="15"/>
  <c r="AA880" i="15"/>
  <c r="Y880" i="15"/>
  <c r="S880" i="15"/>
  <c r="Q880" i="15"/>
  <c r="P880" i="15"/>
  <c r="H880" i="15"/>
  <c r="G880" i="15"/>
  <c r="F880" i="15"/>
  <c r="E880" i="15"/>
  <c r="D880" i="15"/>
  <c r="C880" i="15"/>
  <c r="B880" i="15"/>
  <c r="A880" i="15"/>
  <c r="O880" i="15" s="1"/>
  <c r="U879" i="15"/>
  <c r="F879" i="15"/>
  <c r="E879" i="15"/>
  <c r="D879" i="15"/>
  <c r="C879" i="15"/>
  <c r="B879" i="15"/>
  <c r="A879" i="15"/>
  <c r="I879" i="15" s="1"/>
  <c r="AB878" i="15"/>
  <c r="S878" i="15"/>
  <c r="R878" i="15"/>
  <c r="F878" i="15"/>
  <c r="E878" i="15"/>
  <c r="D878" i="15"/>
  <c r="C878" i="15"/>
  <c r="B878" i="15"/>
  <c r="A878" i="15"/>
  <c r="I877" i="15"/>
  <c r="G877" i="15"/>
  <c r="F877" i="15"/>
  <c r="E877" i="15"/>
  <c r="D877" i="15"/>
  <c r="C877" i="15"/>
  <c r="B877" i="15"/>
  <c r="A877" i="15"/>
  <c r="AD877" i="15" s="1"/>
  <c r="AF876" i="15"/>
  <c r="K876" i="15"/>
  <c r="F876" i="15"/>
  <c r="E876" i="15"/>
  <c r="D876" i="15"/>
  <c r="C876" i="15"/>
  <c r="B876" i="15"/>
  <c r="A876" i="15"/>
  <c r="W876" i="15" s="1"/>
  <c r="AC875" i="15"/>
  <c r="AA875" i="15"/>
  <c r="Z875" i="15"/>
  <c r="Y875" i="15"/>
  <c r="R875" i="15"/>
  <c r="Q875" i="15"/>
  <c r="H875" i="15"/>
  <c r="G875" i="15"/>
  <c r="F875" i="15"/>
  <c r="E875" i="15"/>
  <c r="D875" i="15"/>
  <c r="C875" i="15"/>
  <c r="B875" i="15"/>
  <c r="A875" i="15"/>
  <c r="P875" i="15" s="1"/>
  <c r="AH874" i="15"/>
  <c r="F874" i="15"/>
  <c r="E874" i="15"/>
  <c r="D874" i="15"/>
  <c r="C874" i="15"/>
  <c r="B874" i="15"/>
  <c r="A874" i="15"/>
  <c r="W874" i="15" s="1"/>
  <c r="F873" i="15"/>
  <c r="E873" i="15"/>
  <c r="D873" i="15"/>
  <c r="C873" i="15"/>
  <c r="B873" i="15"/>
  <c r="A873" i="15"/>
  <c r="O873" i="15" s="1"/>
  <c r="P872" i="15"/>
  <c r="O872" i="15"/>
  <c r="F872" i="15"/>
  <c r="E872" i="15"/>
  <c r="D872" i="15"/>
  <c r="C872" i="15"/>
  <c r="B872" i="15"/>
  <c r="A872" i="15"/>
  <c r="AF871" i="15"/>
  <c r="F871" i="15"/>
  <c r="E871" i="15"/>
  <c r="D871" i="15"/>
  <c r="C871" i="15"/>
  <c r="B871" i="15"/>
  <c r="A871" i="15"/>
  <c r="M870" i="15"/>
  <c r="I870" i="15"/>
  <c r="F870" i="15"/>
  <c r="E870" i="15"/>
  <c r="D870" i="15"/>
  <c r="C870" i="15"/>
  <c r="B870" i="15"/>
  <c r="A870" i="15"/>
  <c r="AD869" i="15"/>
  <c r="F869" i="15"/>
  <c r="E869" i="15"/>
  <c r="D869" i="15"/>
  <c r="C869" i="15"/>
  <c r="B869" i="15"/>
  <c r="A869" i="15"/>
  <c r="I869" i="15" s="1"/>
  <c r="M868" i="15"/>
  <c r="F868" i="15"/>
  <c r="E868" i="15"/>
  <c r="D868" i="15"/>
  <c r="C868" i="15"/>
  <c r="B868" i="15"/>
  <c r="A868" i="15"/>
  <c r="AG868" i="15" s="1"/>
  <c r="O867" i="15"/>
  <c r="H867" i="15"/>
  <c r="F867" i="15"/>
  <c r="E867" i="15"/>
  <c r="D867" i="15"/>
  <c r="C867" i="15"/>
  <c r="B867" i="15"/>
  <c r="A867" i="15"/>
  <c r="AC866" i="15"/>
  <c r="U866" i="15"/>
  <c r="T866" i="15"/>
  <c r="F866" i="15"/>
  <c r="E866" i="15"/>
  <c r="D866" i="15"/>
  <c r="C866" i="15"/>
  <c r="B866" i="15"/>
  <c r="A866" i="15"/>
  <c r="AB865" i="15"/>
  <c r="AA865" i="15"/>
  <c r="Y865" i="15"/>
  <c r="W865" i="15"/>
  <c r="V865" i="15"/>
  <c r="Q865" i="15"/>
  <c r="O865" i="15"/>
  <c r="M865" i="15"/>
  <c r="L865" i="15"/>
  <c r="F865" i="15"/>
  <c r="E865" i="15"/>
  <c r="D865" i="15"/>
  <c r="C865" i="15"/>
  <c r="B865" i="15"/>
  <c r="A865" i="15"/>
  <c r="AD865" i="15" s="1"/>
  <c r="AD864" i="15"/>
  <c r="AC864" i="15"/>
  <c r="AA864" i="15"/>
  <c r="Y864" i="15"/>
  <c r="S864" i="15"/>
  <c r="Q864" i="15"/>
  <c r="P864" i="15"/>
  <c r="H864" i="15"/>
  <c r="G864" i="15"/>
  <c r="F864" i="15"/>
  <c r="E864" i="15"/>
  <c r="D864" i="15"/>
  <c r="C864" i="15"/>
  <c r="B864" i="15"/>
  <c r="A864" i="15"/>
  <c r="O864" i="15" s="1"/>
  <c r="AE863" i="15"/>
  <c r="J863" i="15"/>
  <c r="I863" i="15"/>
  <c r="F863" i="15"/>
  <c r="E863" i="15"/>
  <c r="D863" i="15"/>
  <c r="C863" i="15"/>
  <c r="B863" i="15"/>
  <c r="A863" i="15"/>
  <c r="Z862" i="15"/>
  <c r="Q862" i="15"/>
  <c r="M862" i="15"/>
  <c r="I862" i="15"/>
  <c r="F862" i="15"/>
  <c r="E862" i="15"/>
  <c r="D862" i="15"/>
  <c r="C862" i="15"/>
  <c r="B862" i="15"/>
  <c r="A862" i="15"/>
  <c r="F861" i="15"/>
  <c r="E861" i="15"/>
  <c r="D861" i="15"/>
  <c r="C861" i="15"/>
  <c r="B861" i="15"/>
  <c r="A861" i="15"/>
  <c r="K861" i="15" s="1"/>
  <c r="X860" i="15"/>
  <c r="W860" i="15"/>
  <c r="U860" i="15"/>
  <c r="N860" i="15"/>
  <c r="F860" i="15"/>
  <c r="E860" i="15"/>
  <c r="D860" i="15"/>
  <c r="C860" i="15"/>
  <c r="B860" i="15"/>
  <c r="A860" i="15"/>
  <c r="AF860" i="15" s="1"/>
  <c r="AC859" i="15"/>
  <c r="AA859" i="15"/>
  <c r="Z859" i="15"/>
  <c r="Y859" i="15"/>
  <c r="R859" i="15"/>
  <c r="Q859" i="15"/>
  <c r="P859" i="15"/>
  <c r="H859" i="15"/>
  <c r="G859" i="15"/>
  <c r="F859" i="15"/>
  <c r="E859" i="15"/>
  <c r="D859" i="15"/>
  <c r="C859" i="15"/>
  <c r="B859" i="15"/>
  <c r="A859" i="15"/>
  <c r="O859" i="15" s="1"/>
  <c r="AC858" i="15"/>
  <c r="U858" i="15"/>
  <c r="J858" i="15"/>
  <c r="I858" i="15"/>
  <c r="F858" i="15"/>
  <c r="E858" i="15"/>
  <c r="D858" i="15"/>
  <c r="C858" i="15"/>
  <c r="B858" i="15"/>
  <c r="A858" i="15"/>
  <c r="AE858" i="15" s="1"/>
  <c r="AG857" i="15"/>
  <c r="AB857" i="15"/>
  <c r="W857" i="15"/>
  <c r="V857" i="15"/>
  <c r="Q857" i="15"/>
  <c r="N857" i="15"/>
  <c r="M857" i="15"/>
  <c r="F857" i="15"/>
  <c r="E857" i="15"/>
  <c r="D857" i="15"/>
  <c r="C857" i="15"/>
  <c r="B857" i="15"/>
  <c r="A857" i="15"/>
  <c r="AD856" i="15"/>
  <c r="O856" i="15"/>
  <c r="H856" i="15"/>
  <c r="F856" i="15"/>
  <c r="E856" i="15"/>
  <c r="D856" i="15"/>
  <c r="C856" i="15"/>
  <c r="B856" i="15"/>
  <c r="A856" i="15"/>
  <c r="AF855" i="15"/>
  <c r="J855" i="15"/>
  <c r="I855" i="15"/>
  <c r="F855" i="15"/>
  <c r="E855" i="15"/>
  <c r="D855" i="15"/>
  <c r="C855" i="15"/>
  <c r="B855" i="15"/>
  <c r="A855" i="15"/>
  <c r="K855" i="15" s="1"/>
  <c r="AB854" i="15"/>
  <c r="Z854" i="15"/>
  <c r="S854" i="15"/>
  <c r="R854" i="15"/>
  <c r="I854" i="15"/>
  <c r="G854" i="15"/>
  <c r="F854" i="15"/>
  <c r="E854" i="15"/>
  <c r="D854" i="15"/>
  <c r="C854" i="15"/>
  <c r="B854" i="15"/>
  <c r="A854" i="15"/>
  <c r="AB853" i="15"/>
  <c r="U853" i="15"/>
  <c r="S853" i="15"/>
  <c r="Q853" i="15"/>
  <c r="F853" i="15"/>
  <c r="E853" i="15"/>
  <c r="D853" i="15"/>
  <c r="C853" i="15"/>
  <c r="B853" i="15"/>
  <c r="A853" i="15"/>
  <c r="AD853" i="15" s="1"/>
  <c r="AE852" i="15"/>
  <c r="X852" i="15"/>
  <c r="U852" i="15"/>
  <c r="I852" i="15"/>
  <c r="F852" i="15"/>
  <c r="E852" i="15"/>
  <c r="D852" i="15"/>
  <c r="C852" i="15"/>
  <c r="B852" i="15"/>
  <c r="A852" i="15"/>
  <c r="AF852" i="15" s="1"/>
  <c r="AC851" i="15"/>
  <c r="AA851" i="15"/>
  <c r="Z851" i="15"/>
  <c r="Y851" i="15"/>
  <c r="R851" i="15"/>
  <c r="Q851" i="15"/>
  <c r="H851" i="15"/>
  <c r="G851" i="15"/>
  <c r="F851" i="15"/>
  <c r="E851" i="15"/>
  <c r="D851" i="15"/>
  <c r="C851" i="15"/>
  <c r="B851" i="15"/>
  <c r="A851" i="15"/>
  <c r="P851" i="15" s="1"/>
  <c r="W850" i="15"/>
  <c r="J850" i="15"/>
  <c r="I850" i="15"/>
  <c r="F850" i="15"/>
  <c r="E850" i="15"/>
  <c r="D850" i="15"/>
  <c r="C850" i="15"/>
  <c r="B850" i="15"/>
  <c r="A850" i="15"/>
  <c r="AC850" i="15" s="1"/>
  <c r="AG849" i="15"/>
  <c r="AB849" i="15"/>
  <c r="W849" i="15"/>
  <c r="Q849" i="15"/>
  <c r="N849" i="15"/>
  <c r="M849" i="15"/>
  <c r="F849" i="15"/>
  <c r="E849" i="15"/>
  <c r="D849" i="15"/>
  <c r="C849" i="15"/>
  <c r="B849" i="15"/>
  <c r="A849" i="15"/>
  <c r="Y848" i="15"/>
  <c r="Q848" i="15"/>
  <c r="F848" i="15"/>
  <c r="E848" i="15"/>
  <c r="D848" i="15"/>
  <c r="C848" i="15"/>
  <c r="B848" i="15"/>
  <c r="A848" i="15"/>
  <c r="P848" i="15" s="1"/>
  <c r="F847" i="15"/>
  <c r="E847" i="15"/>
  <c r="D847" i="15"/>
  <c r="C847" i="15"/>
  <c r="B847" i="15"/>
  <c r="A847" i="15"/>
  <c r="AA846" i="15"/>
  <c r="Z846" i="15"/>
  <c r="Y846" i="15"/>
  <c r="S846" i="15"/>
  <c r="R846" i="15"/>
  <c r="Q846" i="15"/>
  <c r="I846" i="15"/>
  <c r="G846" i="15"/>
  <c r="F846" i="15"/>
  <c r="E846" i="15"/>
  <c r="D846" i="15"/>
  <c r="C846" i="15"/>
  <c r="B846" i="15"/>
  <c r="A846" i="15"/>
  <c r="AC846" i="15" s="1"/>
  <c r="U845" i="15"/>
  <c r="T845" i="15"/>
  <c r="F845" i="15"/>
  <c r="E845" i="15"/>
  <c r="D845" i="15"/>
  <c r="C845" i="15"/>
  <c r="B845" i="15"/>
  <c r="A845" i="15"/>
  <c r="AF844" i="15"/>
  <c r="K844" i="15"/>
  <c r="I844" i="15"/>
  <c r="F844" i="15"/>
  <c r="E844" i="15"/>
  <c r="D844" i="15"/>
  <c r="C844" i="15"/>
  <c r="B844" i="15"/>
  <c r="A844" i="15"/>
  <c r="AC843" i="15"/>
  <c r="Z843" i="15"/>
  <c r="Y843" i="15"/>
  <c r="O843" i="15"/>
  <c r="H843" i="15"/>
  <c r="F843" i="15"/>
  <c r="E843" i="15"/>
  <c r="D843" i="15"/>
  <c r="C843" i="15"/>
  <c r="B843" i="15"/>
  <c r="A843" i="15"/>
  <c r="AE842" i="15"/>
  <c r="J842" i="15"/>
  <c r="I842" i="15"/>
  <c r="F842" i="15"/>
  <c r="E842" i="15"/>
  <c r="D842" i="15"/>
  <c r="C842" i="15"/>
  <c r="B842" i="15"/>
  <c r="A842" i="15"/>
  <c r="AC842" i="15" s="1"/>
  <c r="O841" i="15"/>
  <c r="N841" i="15"/>
  <c r="F841" i="15"/>
  <c r="E841" i="15"/>
  <c r="D841" i="15"/>
  <c r="C841" i="15"/>
  <c r="B841" i="15"/>
  <c r="A841" i="15"/>
  <c r="AC840" i="15"/>
  <c r="H840" i="15"/>
  <c r="G840" i="15"/>
  <c r="F840" i="15"/>
  <c r="E840" i="15"/>
  <c r="D840" i="15"/>
  <c r="C840" i="15"/>
  <c r="B840" i="15"/>
  <c r="A840" i="15"/>
  <c r="AH839" i="15"/>
  <c r="S839" i="15"/>
  <c r="F839" i="15"/>
  <c r="E839" i="15"/>
  <c r="D839" i="15"/>
  <c r="C839" i="15"/>
  <c r="B839" i="15"/>
  <c r="A839" i="15"/>
  <c r="I839" i="15" s="1"/>
  <c r="AB838" i="15"/>
  <c r="AA838" i="15"/>
  <c r="Z838" i="15"/>
  <c r="M838" i="15"/>
  <c r="G838" i="15"/>
  <c r="F838" i="15"/>
  <c r="E838" i="15"/>
  <c r="D838" i="15"/>
  <c r="C838" i="15"/>
  <c r="B838" i="15"/>
  <c r="A838" i="15"/>
  <c r="AD837" i="15"/>
  <c r="AC837" i="15"/>
  <c r="I837" i="15"/>
  <c r="G837" i="15"/>
  <c r="F837" i="15"/>
  <c r="E837" i="15"/>
  <c r="D837" i="15"/>
  <c r="C837" i="15"/>
  <c r="B837" i="15"/>
  <c r="A837" i="15"/>
  <c r="AB837" i="15" s="1"/>
  <c r="F836" i="15"/>
  <c r="E836" i="15"/>
  <c r="D836" i="15"/>
  <c r="C836" i="15"/>
  <c r="B836" i="15"/>
  <c r="A836" i="15"/>
  <c r="AC835" i="15"/>
  <c r="Z835" i="15"/>
  <c r="H835" i="15"/>
  <c r="G835" i="15"/>
  <c r="F835" i="15"/>
  <c r="E835" i="15"/>
  <c r="D835" i="15"/>
  <c r="C835" i="15"/>
  <c r="B835" i="15"/>
  <c r="A835" i="15"/>
  <c r="AE834" i="15"/>
  <c r="J834" i="15"/>
  <c r="F834" i="15"/>
  <c r="E834" i="15"/>
  <c r="D834" i="15"/>
  <c r="C834" i="15"/>
  <c r="B834" i="15"/>
  <c r="A834" i="15"/>
  <c r="N833" i="15"/>
  <c r="M833" i="15"/>
  <c r="F833" i="15"/>
  <c r="E833" i="15"/>
  <c r="D833" i="15"/>
  <c r="C833" i="15"/>
  <c r="B833" i="15"/>
  <c r="A833" i="15"/>
  <c r="AD832" i="15"/>
  <c r="O832" i="15"/>
  <c r="G832" i="15"/>
  <c r="F832" i="15"/>
  <c r="E832" i="15"/>
  <c r="D832" i="15"/>
  <c r="C832" i="15"/>
  <c r="B832" i="15"/>
  <c r="A832" i="15"/>
  <c r="AE831" i="15"/>
  <c r="U831" i="15"/>
  <c r="J831" i="15"/>
  <c r="F831" i="15"/>
  <c r="E831" i="15"/>
  <c r="D831" i="15"/>
  <c r="C831" i="15"/>
  <c r="B831" i="15"/>
  <c r="A831" i="15"/>
  <c r="I831" i="15" s="1"/>
  <c r="AC830" i="15"/>
  <c r="M830" i="15"/>
  <c r="L830" i="15"/>
  <c r="F830" i="15"/>
  <c r="E830" i="15"/>
  <c r="D830" i="15"/>
  <c r="C830" i="15"/>
  <c r="B830" i="15"/>
  <c r="A830" i="15"/>
  <c r="F829" i="15"/>
  <c r="E829" i="15"/>
  <c r="D829" i="15"/>
  <c r="C829" i="15"/>
  <c r="B829" i="15"/>
  <c r="A829" i="15"/>
  <c r="F828" i="15"/>
  <c r="E828" i="15"/>
  <c r="D828" i="15"/>
  <c r="C828" i="15"/>
  <c r="B828" i="15"/>
  <c r="A828" i="15"/>
  <c r="P827" i="15"/>
  <c r="O827" i="15"/>
  <c r="F827" i="15"/>
  <c r="E827" i="15"/>
  <c r="D827" i="15"/>
  <c r="C827" i="15"/>
  <c r="B827" i="15"/>
  <c r="A827" i="15"/>
  <c r="F826" i="15"/>
  <c r="E826" i="15"/>
  <c r="D826" i="15"/>
  <c r="C826" i="15"/>
  <c r="B826" i="15"/>
  <c r="A826" i="15"/>
  <c r="S826" i="15" s="1"/>
  <c r="AB825" i="15"/>
  <c r="W825" i="15"/>
  <c r="V825" i="15"/>
  <c r="O825" i="15"/>
  <c r="M825" i="15"/>
  <c r="F825" i="15"/>
  <c r="E825" i="15"/>
  <c r="D825" i="15"/>
  <c r="C825" i="15"/>
  <c r="B825" i="15"/>
  <c r="A825" i="15"/>
  <c r="O824" i="15"/>
  <c r="H824" i="15"/>
  <c r="F824" i="15"/>
  <c r="E824" i="15"/>
  <c r="D824" i="15"/>
  <c r="C824" i="15"/>
  <c r="B824" i="15"/>
  <c r="A824" i="15"/>
  <c r="AF823" i="15"/>
  <c r="J823" i="15"/>
  <c r="I823" i="15"/>
  <c r="F823" i="15"/>
  <c r="E823" i="15"/>
  <c r="D823" i="15"/>
  <c r="C823" i="15"/>
  <c r="B823" i="15"/>
  <c r="A823" i="15"/>
  <c r="U823" i="15" s="1"/>
  <c r="AC822" i="15"/>
  <c r="AB822" i="15"/>
  <c r="Z822" i="15"/>
  <c r="I822" i="15"/>
  <c r="G822" i="15"/>
  <c r="F822" i="15"/>
  <c r="E822" i="15"/>
  <c r="D822" i="15"/>
  <c r="C822" i="15"/>
  <c r="B822" i="15"/>
  <c r="A822" i="15"/>
  <c r="K821" i="15"/>
  <c r="F821" i="15"/>
  <c r="E821" i="15"/>
  <c r="D821" i="15"/>
  <c r="C821" i="15"/>
  <c r="B821" i="15"/>
  <c r="A821" i="15"/>
  <c r="AE821" i="15" s="1"/>
  <c r="F820" i="15"/>
  <c r="E820" i="15"/>
  <c r="D820" i="15"/>
  <c r="C820" i="15"/>
  <c r="B820" i="15"/>
  <c r="A820" i="15"/>
  <c r="W820" i="15" s="1"/>
  <c r="P819" i="15"/>
  <c r="O819" i="15"/>
  <c r="F819" i="15"/>
  <c r="E819" i="15"/>
  <c r="D819" i="15"/>
  <c r="C819" i="15"/>
  <c r="B819" i="15"/>
  <c r="A819" i="15"/>
  <c r="W818" i="15"/>
  <c r="U818" i="15"/>
  <c r="F818" i="15"/>
  <c r="E818" i="15"/>
  <c r="D818" i="15"/>
  <c r="C818" i="15"/>
  <c r="B818" i="15"/>
  <c r="A818" i="15"/>
  <c r="M817" i="15"/>
  <c r="L817" i="15"/>
  <c r="F817" i="15"/>
  <c r="E817" i="15"/>
  <c r="D817" i="15"/>
  <c r="C817" i="15"/>
  <c r="B817" i="15"/>
  <c r="A817" i="15"/>
  <c r="AD816" i="15"/>
  <c r="AC816" i="15"/>
  <c r="Q816" i="15"/>
  <c r="H816" i="15"/>
  <c r="G816" i="15"/>
  <c r="F816" i="15"/>
  <c r="E816" i="15"/>
  <c r="D816" i="15"/>
  <c r="C816" i="15"/>
  <c r="B816" i="15"/>
  <c r="A816" i="15"/>
  <c r="AF815" i="15"/>
  <c r="AE815" i="15"/>
  <c r="F815" i="15"/>
  <c r="E815" i="15"/>
  <c r="D815" i="15"/>
  <c r="C815" i="15"/>
  <c r="B815" i="15"/>
  <c r="A815" i="15"/>
  <c r="AA814" i="15"/>
  <c r="Z814" i="15"/>
  <c r="Y814" i="15"/>
  <c r="S814" i="15"/>
  <c r="R814" i="15"/>
  <c r="Q814" i="15"/>
  <c r="I814" i="15"/>
  <c r="G814" i="15"/>
  <c r="F814" i="15"/>
  <c r="E814" i="15"/>
  <c r="D814" i="15"/>
  <c r="C814" i="15"/>
  <c r="B814" i="15"/>
  <c r="A814" i="15"/>
  <c r="AC814" i="15" s="1"/>
  <c r="AB813" i="15"/>
  <c r="S813" i="15"/>
  <c r="Q813" i="15"/>
  <c r="F813" i="15"/>
  <c r="E813" i="15"/>
  <c r="D813" i="15"/>
  <c r="C813" i="15"/>
  <c r="B813" i="15"/>
  <c r="A813" i="15"/>
  <c r="U812" i="15"/>
  <c r="F812" i="15"/>
  <c r="E812" i="15"/>
  <c r="D812" i="15"/>
  <c r="C812" i="15"/>
  <c r="B812" i="15"/>
  <c r="A812" i="15"/>
  <c r="I812" i="15" s="1"/>
  <c r="AA811" i="15"/>
  <c r="Q811" i="15"/>
  <c r="P811" i="15"/>
  <c r="F811" i="15"/>
  <c r="E811" i="15"/>
  <c r="D811" i="15"/>
  <c r="C811" i="15"/>
  <c r="B811" i="15"/>
  <c r="A811" i="15"/>
  <c r="AE810" i="15"/>
  <c r="AC810" i="15"/>
  <c r="W810" i="15"/>
  <c r="J810" i="15"/>
  <c r="I810" i="15"/>
  <c r="F810" i="15"/>
  <c r="E810" i="15"/>
  <c r="D810" i="15"/>
  <c r="C810" i="15"/>
  <c r="B810" i="15"/>
  <c r="A810" i="15"/>
  <c r="U810" i="15" s="1"/>
  <c r="AB809" i="15"/>
  <c r="AA809" i="15"/>
  <c r="Y809" i="15"/>
  <c r="W809" i="15"/>
  <c r="V809" i="15"/>
  <c r="Q809" i="15"/>
  <c r="M809" i="15"/>
  <c r="L809" i="15"/>
  <c r="F809" i="15"/>
  <c r="E809" i="15"/>
  <c r="D809" i="15"/>
  <c r="C809" i="15"/>
  <c r="B809" i="15"/>
  <c r="A809" i="15"/>
  <c r="AD809" i="15" s="1"/>
  <c r="AD808" i="15"/>
  <c r="AC808" i="15"/>
  <c r="AA808" i="15"/>
  <c r="Y808" i="15"/>
  <c r="S808" i="15"/>
  <c r="Q808" i="15"/>
  <c r="H808" i="15"/>
  <c r="G808" i="15"/>
  <c r="F808" i="15"/>
  <c r="E808" i="15"/>
  <c r="D808" i="15"/>
  <c r="C808" i="15"/>
  <c r="B808" i="15"/>
  <c r="A808" i="15"/>
  <c r="P808" i="15" s="1"/>
  <c r="AF807" i="15"/>
  <c r="J807" i="15"/>
  <c r="F807" i="15"/>
  <c r="E807" i="15"/>
  <c r="D807" i="15"/>
  <c r="C807" i="15"/>
  <c r="B807" i="15"/>
  <c r="A807" i="15"/>
  <c r="AH807" i="15" s="1"/>
  <c r="M806" i="15"/>
  <c r="I806" i="15"/>
  <c r="F806" i="15"/>
  <c r="E806" i="15"/>
  <c r="D806" i="15"/>
  <c r="C806" i="15"/>
  <c r="B806" i="15"/>
  <c r="A806" i="15"/>
  <c r="Q805" i="15"/>
  <c r="I805" i="15"/>
  <c r="F805" i="15"/>
  <c r="E805" i="15"/>
  <c r="D805" i="15"/>
  <c r="C805" i="15"/>
  <c r="B805" i="15"/>
  <c r="A805" i="15"/>
  <c r="AF804" i="15"/>
  <c r="X804" i="15"/>
  <c r="W804" i="15"/>
  <c r="F804" i="15"/>
  <c r="E804" i="15"/>
  <c r="D804" i="15"/>
  <c r="C804" i="15"/>
  <c r="B804" i="15"/>
  <c r="A804" i="15"/>
  <c r="Z803" i="15"/>
  <c r="R803" i="15"/>
  <c r="P803" i="15"/>
  <c r="O803" i="15"/>
  <c r="F803" i="15"/>
  <c r="E803" i="15"/>
  <c r="D803" i="15"/>
  <c r="C803" i="15"/>
  <c r="B803" i="15"/>
  <c r="A803" i="15"/>
  <c r="F802" i="15"/>
  <c r="E802" i="15"/>
  <c r="D802" i="15"/>
  <c r="C802" i="15"/>
  <c r="B802" i="15"/>
  <c r="A802" i="15"/>
  <c r="J802" i="15" s="1"/>
  <c r="AG801" i="15"/>
  <c r="AB801" i="15"/>
  <c r="AA801" i="15"/>
  <c r="Y801" i="15"/>
  <c r="O801" i="15"/>
  <c r="M801" i="15"/>
  <c r="L801" i="15"/>
  <c r="F801" i="15"/>
  <c r="E801" i="15"/>
  <c r="D801" i="15"/>
  <c r="C801" i="15"/>
  <c r="B801" i="15"/>
  <c r="A801" i="15"/>
  <c r="AD800" i="15"/>
  <c r="AC800" i="15"/>
  <c r="AA800" i="15"/>
  <c r="Y800" i="15"/>
  <c r="P800" i="15"/>
  <c r="H800" i="15"/>
  <c r="G800" i="15"/>
  <c r="F800" i="15"/>
  <c r="E800" i="15"/>
  <c r="D800" i="15"/>
  <c r="C800" i="15"/>
  <c r="B800" i="15"/>
  <c r="A800" i="15"/>
  <c r="AG799" i="15"/>
  <c r="K799" i="15"/>
  <c r="F799" i="15"/>
  <c r="E799" i="15"/>
  <c r="D799" i="15"/>
  <c r="C799" i="15"/>
  <c r="B799" i="15"/>
  <c r="A799" i="15"/>
  <c r="AC798" i="15"/>
  <c r="AB798" i="15"/>
  <c r="AA798" i="15"/>
  <c r="Z798" i="15"/>
  <c r="R798" i="15"/>
  <c r="Q798" i="15"/>
  <c r="O798" i="15"/>
  <c r="I798" i="15"/>
  <c r="G798" i="15"/>
  <c r="F798" i="15"/>
  <c r="E798" i="15"/>
  <c r="D798" i="15"/>
  <c r="C798" i="15"/>
  <c r="B798" i="15"/>
  <c r="A798" i="15"/>
  <c r="T797" i="15"/>
  <c r="I797" i="15"/>
  <c r="F797" i="15"/>
  <c r="E797" i="15"/>
  <c r="D797" i="15"/>
  <c r="C797" i="15"/>
  <c r="B797" i="15"/>
  <c r="A797" i="15"/>
  <c r="AF796" i="15"/>
  <c r="X796" i="15"/>
  <c r="W796" i="15"/>
  <c r="F796" i="15"/>
  <c r="E796" i="15"/>
  <c r="D796" i="15"/>
  <c r="C796" i="15"/>
  <c r="B796" i="15"/>
  <c r="A796" i="15"/>
  <c r="O795" i="15"/>
  <c r="H795" i="15"/>
  <c r="F795" i="15"/>
  <c r="E795" i="15"/>
  <c r="D795" i="15"/>
  <c r="C795" i="15"/>
  <c r="B795" i="15"/>
  <c r="A795" i="15"/>
  <c r="AE794" i="15"/>
  <c r="J794" i="15"/>
  <c r="I794" i="15"/>
  <c r="F794" i="15"/>
  <c r="E794" i="15"/>
  <c r="D794" i="15"/>
  <c r="C794" i="15"/>
  <c r="B794" i="15"/>
  <c r="A794" i="15"/>
  <c r="T794" i="15" s="1"/>
  <c r="AB793" i="15"/>
  <c r="AA793" i="15"/>
  <c r="Y793" i="15"/>
  <c r="W793" i="15"/>
  <c r="V793" i="15"/>
  <c r="Q793" i="15"/>
  <c r="M793" i="15"/>
  <c r="L793" i="15"/>
  <c r="F793" i="15"/>
  <c r="E793" i="15"/>
  <c r="D793" i="15"/>
  <c r="C793" i="15"/>
  <c r="B793" i="15"/>
  <c r="A793" i="15"/>
  <c r="AD793" i="15" s="1"/>
  <c r="AD792" i="15"/>
  <c r="AC792" i="15"/>
  <c r="AA792" i="15"/>
  <c r="Y792" i="15"/>
  <c r="S792" i="15"/>
  <c r="Q792" i="15"/>
  <c r="H792" i="15"/>
  <c r="G792" i="15"/>
  <c r="F792" i="15"/>
  <c r="E792" i="15"/>
  <c r="D792" i="15"/>
  <c r="C792" i="15"/>
  <c r="B792" i="15"/>
  <c r="A792" i="15"/>
  <c r="P792" i="15" s="1"/>
  <c r="U791" i="15"/>
  <c r="S791" i="15"/>
  <c r="F791" i="15"/>
  <c r="E791" i="15"/>
  <c r="D791" i="15"/>
  <c r="C791" i="15"/>
  <c r="B791" i="15"/>
  <c r="A791" i="15"/>
  <c r="AA790" i="15"/>
  <c r="Z790" i="15"/>
  <c r="Y790" i="15"/>
  <c r="S790" i="15"/>
  <c r="R790" i="15"/>
  <c r="Q790" i="15"/>
  <c r="I790" i="15"/>
  <c r="G790" i="15"/>
  <c r="F790" i="15"/>
  <c r="E790" i="15"/>
  <c r="D790" i="15"/>
  <c r="C790" i="15"/>
  <c r="B790" i="15"/>
  <c r="A790" i="15"/>
  <c r="AC790" i="15" s="1"/>
  <c r="U789" i="15"/>
  <c r="I789" i="15"/>
  <c r="F789" i="15"/>
  <c r="E789" i="15"/>
  <c r="D789" i="15"/>
  <c r="C789" i="15"/>
  <c r="B789" i="15"/>
  <c r="A789" i="15"/>
  <c r="AF788" i="15"/>
  <c r="AE788" i="15"/>
  <c r="K788" i="15"/>
  <c r="I788" i="15"/>
  <c r="F788" i="15"/>
  <c r="E788" i="15"/>
  <c r="D788" i="15"/>
  <c r="C788" i="15"/>
  <c r="B788" i="15"/>
  <c r="A788" i="15"/>
  <c r="X788" i="15" s="1"/>
  <c r="AC787" i="15"/>
  <c r="AA787" i="15"/>
  <c r="Z787" i="15"/>
  <c r="Y787" i="15"/>
  <c r="R787" i="15"/>
  <c r="Q787" i="15"/>
  <c r="P787" i="15"/>
  <c r="H787" i="15"/>
  <c r="G787" i="15"/>
  <c r="F787" i="15"/>
  <c r="E787" i="15"/>
  <c r="D787" i="15"/>
  <c r="C787" i="15"/>
  <c r="B787" i="15"/>
  <c r="A787" i="15"/>
  <c r="O787" i="15" s="1"/>
  <c r="AE786" i="15"/>
  <c r="J786" i="15"/>
  <c r="F786" i="15"/>
  <c r="E786" i="15"/>
  <c r="D786" i="15"/>
  <c r="C786" i="15"/>
  <c r="B786" i="15"/>
  <c r="A786" i="15"/>
  <c r="U786" i="15" s="1"/>
  <c r="AB785" i="15"/>
  <c r="AA785" i="15"/>
  <c r="Y785" i="15"/>
  <c r="W785" i="15"/>
  <c r="V785" i="15"/>
  <c r="Q785" i="15"/>
  <c r="M785" i="15"/>
  <c r="L785" i="15"/>
  <c r="F785" i="15"/>
  <c r="E785" i="15"/>
  <c r="D785" i="15"/>
  <c r="C785" i="15"/>
  <c r="B785" i="15"/>
  <c r="A785" i="15"/>
  <c r="AD785" i="15" s="1"/>
  <c r="AD784" i="15"/>
  <c r="AC784" i="15"/>
  <c r="AA784" i="15"/>
  <c r="Y784" i="15"/>
  <c r="S784" i="15"/>
  <c r="Q784" i="15"/>
  <c r="H784" i="15"/>
  <c r="G784" i="15"/>
  <c r="F784" i="15"/>
  <c r="E784" i="15"/>
  <c r="D784" i="15"/>
  <c r="C784" i="15"/>
  <c r="B784" i="15"/>
  <c r="A784" i="15"/>
  <c r="P784" i="15" s="1"/>
  <c r="X783" i="15"/>
  <c r="U783" i="15"/>
  <c r="J783" i="15"/>
  <c r="F783" i="15"/>
  <c r="E783" i="15"/>
  <c r="D783" i="15"/>
  <c r="C783" i="15"/>
  <c r="B783" i="15"/>
  <c r="A783" i="15"/>
  <c r="AC782" i="15"/>
  <c r="AA782" i="15"/>
  <c r="Z782" i="15"/>
  <c r="Y782" i="15"/>
  <c r="S782" i="15"/>
  <c r="R782" i="15"/>
  <c r="Q782" i="15"/>
  <c r="O782" i="15"/>
  <c r="I782" i="15"/>
  <c r="G782" i="15"/>
  <c r="F782" i="15"/>
  <c r="E782" i="15"/>
  <c r="D782" i="15"/>
  <c r="C782" i="15"/>
  <c r="B782" i="15"/>
  <c r="A782" i="15"/>
  <c r="AB782" i="15" s="1"/>
  <c r="AB781" i="15"/>
  <c r="G781" i="15"/>
  <c r="F781" i="15"/>
  <c r="E781" i="15"/>
  <c r="D781" i="15"/>
  <c r="C781" i="15"/>
  <c r="B781" i="15"/>
  <c r="A781" i="15"/>
  <c r="K780" i="15"/>
  <c r="I780" i="15"/>
  <c r="F780" i="15"/>
  <c r="E780" i="15"/>
  <c r="D780" i="15"/>
  <c r="C780" i="15"/>
  <c r="B780" i="15"/>
  <c r="A780" i="15"/>
  <c r="AC779" i="15"/>
  <c r="AA779" i="15"/>
  <c r="O779" i="15"/>
  <c r="G779" i="15"/>
  <c r="F779" i="15"/>
  <c r="E779" i="15"/>
  <c r="D779" i="15"/>
  <c r="C779" i="15"/>
  <c r="B779" i="15"/>
  <c r="A779" i="15"/>
  <c r="K778" i="15"/>
  <c r="F778" i="15"/>
  <c r="E778" i="15"/>
  <c r="D778" i="15"/>
  <c r="C778" i="15"/>
  <c r="B778" i="15"/>
  <c r="A778" i="15"/>
  <c r="AG778" i="15" s="1"/>
  <c r="O777" i="15"/>
  <c r="F777" i="15"/>
  <c r="E777" i="15"/>
  <c r="D777" i="15"/>
  <c r="C777" i="15"/>
  <c r="B777" i="15"/>
  <c r="A777" i="15"/>
  <c r="F776" i="15"/>
  <c r="E776" i="15"/>
  <c r="D776" i="15"/>
  <c r="C776" i="15"/>
  <c r="B776" i="15"/>
  <c r="A776" i="15"/>
  <c r="U775" i="15"/>
  <c r="I775" i="15"/>
  <c r="F775" i="15"/>
  <c r="E775" i="15"/>
  <c r="D775" i="15"/>
  <c r="C775" i="15"/>
  <c r="B775" i="15"/>
  <c r="A775" i="15"/>
  <c r="R774" i="15"/>
  <c r="O774" i="15"/>
  <c r="M774" i="15"/>
  <c r="F774" i="15"/>
  <c r="E774" i="15"/>
  <c r="D774" i="15"/>
  <c r="C774" i="15"/>
  <c r="B774" i="15"/>
  <c r="A774" i="15"/>
  <c r="F773" i="15"/>
  <c r="E773" i="15"/>
  <c r="D773" i="15"/>
  <c r="C773" i="15"/>
  <c r="B773" i="15"/>
  <c r="A773" i="15"/>
  <c r="AC773" i="15" s="1"/>
  <c r="F772" i="15"/>
  <c r="E772" i="15"/>
  <c r="D772" i="15"/>
  <c r="C772" i="15"/>
  <c r="B772" i="15"/>
  <c r="A772" i="15"/>
  <c r="F771" i="15"/>
  <c r="E771" i="15"/>
  <c r="D771" i="15"/>
  <c r="C771" i="15"/>
  <c r="B771" i="15"/>
  <c r="A771" i="15"/>
  <c r="Q771" i="15" s="1"/>
  <c r="F770" i="15"/>
  <c r="E770" i="15"/>
  <c r="D770" i="15"/>
  <c r="C770" i="15"/>
  <c r="B770" i="15"/>
  <c r="A770" i="15"/>
  <c r="T770" i="15" s="1"/>
  <c r="AG769" i="15"/>
  <c r="AB769" i="15"/>
  <c r="AA769" i="15"/>
  <c r="Y769" i="15"/>
  <c r="O769" i="15"/>
  <c r="M769" i="15"/>
  <c r="L769" i="15"/>
  <c r="F769" i="15"/>
  <c r="E769" i="15"/>
  <c r="D769" i="15"/>
  <c r="C769" i="15"/>
  <c r="B769" i="15"/>
  <c r="A769" i="15"/>
  <c r="AD768" i="15"/>
  <c r="AC768" i="15"/>
  <c r="AA768" i="15"/>
  <c r="Q768" i="15"/>
  <c r="P768" i="15"/>
  <c r="H768" i="15"/>
  <c r="G768" i="15"/>
  <c r="F768" i="15"/>
  <c r="E768" i="15"/>
  <c r="D768" i="15"/>
  <c r="C768" i="15"/>
  <c r="B768" i="15"/>
  <c r="A768" i="15"/>
  <c r="AF767" i="15"/>
  <c r="AE767" i="15"/>
  <c r="X767" i="15"/>
  <c r="J767" i="15"/>
  <c r="I767" i="15"/>
  <c r="F767" i="15"/>
  <c r="E767" i="15"/>
  <c r="D767" i="15"/>
  <c r="C767" i="15"/>
  <c r="B767" i="15"/>
  <c r="A767" i="15"/>
  <c r="W767" i="15" s="1"/>
  <c r="AB766" i="15"/>
  <c r="AA766" i="15"/>
  <c r="Z766" i="15"/>
  <c r="Y766" i="15"/>
  <c r="R766" i="15"/>
  <c r="I766" i="15"/>
  <c r="G766" i="15"/>
  <c r="F766" i="15"/>
  <c r="E766" i="15"/>
  <c r="D766" i="15"/>
  <c r="C766" i="15"/>
  <c r="B766" i="15"/>
  <c r="A766" i="15"/>
  <c r="AD765" i="15"/>
  <c r="I765" i="15"/>
  <c r="F765" i="15"/>
  <c r="E765" i="15"/>
  <c r="D765" i="15"/>
  <c r="C765" i="15"/>
  <c r="B765" i="15"/>
  <c r="A765" i="15"/>
  <c r="U765" i="15" s="1"/>
  <c r="M764" i="15"/>
  <c r="F764" i="15"/>
  <c r="E764" i="15"/>
  <c r="D764" i="15"/>
  <c r="C764" i="15"/>
  <c r="B764" i="15"/>
  <c r="A764" i="15"/>
  <c r="AG764" i="15" s="1"/>
  <c r="AC763" i="15"/>
  <c r="AA763" i="15"/>
  <c r="Z763" i="15"/>
  <c r="Y763" i="15"/>
  <c r="R763" i="15"/>
  <c r="Q763" i="15"/>
  <c r="H763" i="15"/>
  <c r="G763" i="15"/>
  <c r="F763" i="15"/>
  <c r="E763" i="15"/>
  <c r="D763" i="15"/>
  <c r="C763" i="15"/>
  <c r="B763" i="15"/>
  <c r="A763" i="15"/>
  <c r="P763" i="15" s="1"/>
  <c r="W762" i="15"/>
  <c r="F762" i="15"/>
  <c r="E762" i="15"/>
  <c r="D762" i="15"/>
  <c r="C762" i="15"/>
  <c r="B762" i="15"/>
  <c r="A762" i="15"/>
  <c r="T762" i="15" s="1"/>
  <c r="F761" i="15"/>
  <c r="E761" i="15"/>
  <c r="D761" i="15"/>
  <c r="C761" i="15"/>
  <c r="B761" i="15"/>
  <c r="A761" i="15"/>
  <c r="O761" i="15" s="1"/>
  <c r="Q760" i="15"/>
  <c r="P760" i="15"/>
  <c r="F760" i="15"/>
  <c r="E760" i="15"/>
  <c r="D760" i="15"/>
  <c r="C760" i="15"/>
  <c r="B760" i="15"/>
  <c r="A760" i="15"/>
  <c r="AF759" i="15"/>
  <c r="J759" i="15"/>
  <c r="I759" i="15"/>
  <c r="F759" i="15"/>
  <c r="E759" i="15"/>
  <c r="D759" i="15"/>
  <c r="C759" i="15"/>
  <c r="B759" i="15"/>
  <c r="A759" i="15"/>
  <c r="S759" i="15" s="1"/>
  <c r="M758" i="15"/>
  <c r="F758" i="15"/>
  <c r="E758" i="15"/>
  <c r="D758" i="15"/>
  <c r="C758" i="15"/>
  <c r="B758" i="15"/>
  <c r="A758" i="15"/>
  <c r="K757" i="15"/>
  <c r="F757" i="15"/>
  <c r="E757" i="15"/>
  <c r="D757" i="15"/>
  <c r="C757" i="15"/>
  <c r="B757" i="15"/>
  <c r="A757" i="15"/>
  <c r="AE757" i="15" s="1"/>
  <c r="W756" i="15"/>
  <c r="U756" i="15"/>
  <c r="F756" i="15"/>
  <c r="E756" i="15"/>
  <c r="D756" i="15"/>
  <c r="C756" i="15"/>
  <c r="B756" i="15"/>
  <c r="A756" i="15"/>
  <c r="F755" i="15"/>
  <c r="E755" i="15"/>
  <c r="D755" i="15"/>
  <c r="C755" i="15"/>
  <c r="B755" i="15"/>
  <c r="A755" i="15"/>
  <c r="F754" i="15"/>
  <c r="E754" i="15"/>
  <c r="D754" i="15"/>
  <c r="C754" i="15"/>
  <c r="B754" i="15"/>
  <c r="A754" i="15"/>
  <c r="AG753" i="15"/>
  <c r="AB753" i="15"/>
  <c r="AA753" i="15"/>
  <c r="Y753" i="15"/>
  <c r="Q753" i="15"/>
  <c r="O753" i="15"/>
  <c r="M753" i="15"/>
  <c r="L753" i="15"/>
  <c r="F753" i="15"/>
  <c r="E753" i="15"/>
  <c r="D753" i="15"/>
  <c r="C753" i="15"/>
  <c r="B753" i="15"/>
  <c r="A753" i="15"/>
  <c r="AD752" i="15"/>
  <c r="AA752" i="15"/>
  <c r="O752" i="15"/>
  <c r="H752" i="15"/>
  <c r="F752" i="15"/>
  <c r="E752" i="15"/>
  <c r="D752" i="15"/>
  <c r="C752" i="15"/>
  <c r="B752" i="15"/>
  <c r="A752" i="15"/>
  <c r="AF751" i="15"/>
  <c r="J751" i="15"/>
  <c r="F751" i="15"/>
  <c r="E751" i="15"/>
  <c r="D751" i="15"/>
  <c r="C751" i="15"/>
  <c r="B751" i="15"/>
  <c r="A751" i="15"/>
  <c r="AC750" i="15"/>
  <c r="Z750" i="15"/>
  <c r="Y750" i="15"/>
  <c r="S750" i="15"/>
  <c r="R750" i="15"/>
  <c r="Q750" i="15"/>
  <c r="O750" i="15"/>
  <c r="G750" i="15"/>
  <c r="F750" i="15"/>
  <c r="E750" i="15"/>
  <c r="D750" i="15"/>
  <c r="C750" i="15"/>
  <c r="B750" i="15"/>
  <c r="A750" i="15"/>
  <c r="AB750" i="15" s="1"/>
  <c r="T749" i="15"/>
  <c r="Q749" i="15"/>
  <c r="F749" i="15"/>
  <c r="E749" i="15"/>
  <c r="D749" i="15"/>
  <c r="C749" i="15"/>
  <c r="B749" i="15"/>
  <c r="A749" i="15"/>
  <c r="X748" i="15"/>
  <c r="V748" i="15"/>
  <c r="F748" i="15"/>
  <c r="E748" i="15"/>
  <c r="D748" i="15"/>
  <c r="C748" i="15"/>
  <c r="B748" i="15"/>
  <c r="A748" i="15"/>
  <c r="P747" i="15"/>
  <c r="O747" i="15"/>
  <c r="F747" i="15"/>
  <c r="E747" i="15"/>
  <c r="D747" i="15"/>
  <c r="C747" i="15"/>
  <c r="B747" i="15"/>
  <c r="A747" i="15"/>
  <c r="U746" i="15"/>
  <c r="F746" i="15"/>
  <c r="E746" i="15"/>
  <c r="D746" i="15"/>
  <c r="C746" i="15"/>
  <c r="B746" i="15"/>
  <c r="A746" i="15"/>
  <c r="AB745" i="15"/>
  <c r="Y745" i="15"/>
  <c r="Q745" i="15"/>
  <c r="N745" i="15"/>
  <c r="M745" i="15"/>
  <c r="F745" i="15"/>
  <c r="E745" i="15"/>
  <c r="D745" i="15"/>
  <c r="C745" i="15"/>
  <c r="B745" i="15"/>
  <c r="A745" i="15"/>
  <c r="H744" i="15"/>
  <c r="G744" i="15"/>
  <c r="F744" i="15"/>
  <c r="E744" i="15"/>
  <c r="D744" i="15"/>
  <c r="C744" i="15"/>
  <c r="B744" i="15"/>
  <c r="A744" i="15"/>
  <c r="AF743" i="15"/>
  <c r="J743" i="15"/>
  <c r="F743" i="15"/>
  <c r="E743" i="15"/>
  <c r="D743" i="15"/>
  <c r="C743" i="15"/>
  <c r="B743" i="15"/>
  <c r="A743" i="15"/>
  <c r="AH743" i="15" s="1"/>
  <c r="AC742" i="15"/>
  <c r="AA742" i="15"/>
  <c r="T742" i="15"/>
  <c r="K742" i="15"/>
  <c r="I742" i="15"/>
  <c r="F742" i="15"/>
  <c r="E742" i="15"/>
  <c r="D742" i="15"/>
  <c r="C742" i="15"/>
  <c r="B742" i="15"/>
  <c r="A742" i="15"/>
  <c r="AH741" i="15"/>
  <c r="AA741" i="15"/>
  <c r="Z741" i="15"/>
  <c r="Y741" i="15"/>
  <c r="S741" i="15"/>
  <c r="I741" i="15"/>
  <c r="G741" i="15"/>
  <c r="F741" i="15"/>
  <c r="E741" i="15"/>
  <c r="D741" i="15"/>
  <c r="C741" i="15"/>
  <c r="B741" i="15"/>
  <c r="A741" i="15"/>
  <c r="R741" i="15" s="1"/>
  <c r="F740" i="15"/>
  <c r="E740" i="15"/>
  <c r="D740" i="15"/>
  <c r="C740" i="15"/>
  <c r="B740" i="15"/>
  <c r="A740" i="15"/>
  <c r="AE739" i="15"/>
  <c r="Y739" i="15"/>
  <c r="X739" i="15"/>
  <c r="W739" i="15"/>
  <c r="N739" i="15"/>
  <c r="K739" i="15"/>
  <c r="F739" i="15"/>
  <c r="E739" i="15"/>
  <c r="D739" i="15"/>
  <c r="C739" i="15"/>
  <c r="B739" i="15"/>
  <c r="A739" i="15"/>
  <c r="AC738" i="15"/>
  <c r="AB738" i="15"/>
  <c r="X738" i="15"/>
  <c r="W738" i="15"/>
  <c r="U738" i="15"/>
  <c r="M738" i="15"/>
  <c r="K738" i="15"/>
  <c r="J738" i="15"/>
  <c r="F738" i="15"/>
  <c r="E738" i="15"/>
  <c r="D738" i="15"/>
  <c r="C738" i="15"/>
  <c r="B738" i="15"/>
  <c r="A738" i="15"/>
  <c r="AC737" i="15"/>
  <c r="K737" i="15"/>
  <c r="F737" i="15"/>
  <c r="E737" i="15"/>
  <c r="D737" i="15"/>
  <c r="C737" i="15"/>
  <c r="B737" i="15"/>
  <c r="A737" i="15"/>
  <c r="Y736" i="15"/>
  <c r="X736" i="15"/>
  <c r="S736" i="15"/>
  <c r="G736" i="15"/>
  <c r="F736" i="15"/>
  <c r="E736" i="15"/>
  <c r="D736" i="15"/>
  <c r="C736" i="15"/>
  <c r="B736" i="15"/>
  <c r="A736" i="15"/>
  <c r="AA736" i="15" s="1"/>
  <c r="O735" i="15"/>
  <c r="F735" i="15"/>
  <c r="E735" i="15"/>
  <c r="D735" i="15"/>
  <c r="C735" i="15"/>
  <c r="B735" i="15"/>
  <c r="A735" i="15"/>
  <c r="AH734" i="15"/>
  <c r="AG734" i="15"/>
  <c r="AF734" i="15"/>
  <c r="AE734" i="15"/>
  <c r="X734" i="15"/>
  <c r="W734" i="15"/>
  <c r="U734" i="15"/>
  <c r="Q734" i="15"/>
  <c r="P734" i="15"/>
  <c r="O734" i="15"/>
  <c r="H734" i="15"/>
  <c r="G734" i="15"/>
  <c r="F734" i="15"/>
  <c r="E734" i="15"/>
  <c r="D734" i="15"/>
  <c r="C734" i="15"/>
  <c r="B734" i="15"/>
  <c r="A734" i="15"/>
  <c r="Z734" i="15" s="1"/>
  <c r="AH733" i="15"/>
  <c r="AE733" i="15"/>
  <c r="AD733" i="15"/>
  <c r="AC733" i="15"/>
  <c r="Y733" i="15"/>
  <c r="U733" i="15"/>
  <c r="T733" i="15"/>
  <c r="O733" i="15"/>
  <c r="M733" i="15"/>
  <c r="L733" i="15"/>
  <c r="F733" i="15"/>
  <c r="E733" i="15"/>
  <c r="D733" i="15"/>
  <c r="C733" i="15"/>
  <c r="B733" i="15"/>
  <c r="A733" i="15"/>
  <c r="AA732" i="15"/>
  <c r="Q732" i="15"/>
  <c r="H732" i="15"/>
  <c r="F732" i="15"/>
  <c r="E732" i="15"/>
  <c r="D732" i="15"/>
  <c r="C732" i="15"/>
  <c r="B732" i="15"/>
  <c r="A732" i="15"/>
  <c r="H731" i="15"/>
  <c r="G731" i="15"/>
  <c r="F731" i="15"/>
  <c r="E731" i="15"/>
  <c r="D731" i="15"/>
  <c r="C731" i="15"/>
  <c r="B731" i="15"/>
  <c r="A731" i="15"/>
  <c r="Q731" i="15" s="1"/>
  <c r="AA730" i="15"/>
  <c r="I730" i="15"/>
  <c r="F730" i="15"/>
  <c r="E730" i="15"/>
  <c r="D730" i="15"/>
  <c r="C730" i="15"/>
  <c r="B730" i="15"/>
  <c r="A730" i="15"/>
  <c r="F729" i="15"/>
  <c r="E729" i="15"/>
  <c r="D729" i="15"/>
  <c r="C729" i="15"/>
  <c r="B729" i="15"/>
  <c r="A729" i="15"/>
  <c r="Q729" i="15" s="1"/>
  <c r="AG728" i="15"/>
  <c r="AE728" i="15"/>
  <c r="AC728" i="15"/>
  <c r="V728" i="15"/>
  <c r="O728" i="15"/>
  <c r="M728" i="15"/>
  <c r="F728" i="15"/>
  <c r="E728" i="15"/>
  <c r="D728" i="15"/>
  <c r="C728" i="15"/>
  <c r="B728" i="15"/>
  <c r="A728" i="15"/>
  <c r="U727" i="15"/>
  <c r="I727" i="15"/>
  <c r="F727" i="15"/>
  <c r="E727" i="15"/>
  <c r="D727" i="15"/>
  <c r="C727" i="15"/>
  <c r="B727" i="15"/>
  <c r="A727" i="15"/>
  <c r="I726" i="15"/>
  <c r="H726" i="15"/>
  <c r="F726" i="15"/>
  <c r="E726" i="15"/>
  <c r="D726" i="15"/>
  <c r="C726" i="15"/>
  <c r="B726" i="15"/>
  <c r="A726" i="15"/>
  <c r="AA726" i="15" s="1"/>
  <c r="AB725" i="15"/>
  <c r="J725" i="15"/>
  <c r="F725" i="15"/>
  <c r="E725" i="15"/>
  <c r="D725" i="15"/>
  <c r="C725" i="15"/>
  <c r="B725" i="15"/>
  <c r="A725" i="15"/>
  <c r="AG724" i="15"/>
  <c r="AF724" i="15"/>
  <c r="Y724" i="15"/>
  <c r="X724" i="15"/>
  <c r="V724" i="15"/>
  <c r="H724" i="15"/>
  <c r="G724" i="15"/>
  <c r="F724" i="15"/>
  <c r="E724" i="15"/>
  <c r="D724" i="15"/>
  <c r="C724" i="15"/>
  <c r="B724" i="15"/>
  <c r="A724" i="15"/>
  <c r="AH723" i="15"/>
  <c r="AG723" i="15"/>
  <c r="AF723" i="15"/>
  <c r="AE723" i="15"/>
  <c r="AD723" i="15"/>
  <c r="W723" i="15"/>
  <c r="V723" i="15"/>
  <c r="U723" i="15"/>
  <c r="P723" i="15"/>
  <c r="O723" i="15"/>
  <c r="N723" i="15"/>
  <c r="G723" i="15"/>
  <c r="F723" i="15"/>
  <c r="E723" i="15"/>
  <c r="D723" i="15"/>
  <c r="C723" i="15"/>
  <c r="B723" i="15"/>
  <c r="A723" i="15"/>
  <c r="Z723" i="15" s="1"/>
  <c r="AF722" i="15"/>
  <c r="AC722" i="15"/>
  <c r="AB722" i="15"/>
  <c r="X722" i="15"/>
  <c r="W722" i="15"/>
  <c r="S722" i="15"/>
  <c r="O722" i="15"/>
  <c r="M722" i="15"/>
  <c r="K722" i="15"/>
  <c r="J722" i="15"/>
  <c r="F722" i="15"/>
  <c r="E722" i="15"/>
  <c r="D722" i="15"/>
  <c r="C722" i="15"/>
  <c r="B722" i="15"/>
  <c r="A722" i="15"/>
  <c r="AA721" i="15"/>
  <c r="U721" i="15"/>
  <c r="R721" i="15"/>
  <c r="I721" i="15"/>
  <c r="F721" i="15"/>
  <c r="E721" i="15"/>
  <c r="D721" i="15"/>
  <c r="C721" i="15"/>
  <c r="B721" i="15"/>
  <c r="A721" i="15"/>
  <c r="AB721" i="15" s="1"/>
  <c r="AA720" i="15"/>
  <c r="Y720" i="15"/>
  <c r="S720" i="15"/>
  <c r="H720" i="15"/>
  <c r="F720" i="15"/>
  <c r="E720" i="15"/>
  <c r="D720" i="15"/>
  <c r="C720" i="15"/>
  <c r="B720" i="15"/>
  <c r="A720" i="15"/>
  <c r="G720" i="15" s="1"/>
  <c r="AH719" i="15"/>
  <c r="AG719" i="15"/>
  <c r="Y719" i="15"/>
  <c r="X719" i="15"/>
  <c r="W719" i="15"/>
  <c r="Q719" i="15"/>
  <c r="P719" i="15"/>
  <c r="O719" i="15"/>
  <c r="G719" i="15"/>
  <c r="F719" i="15"/>
  <c r="E719" i="15"/>
  <c r="D719" i="15"/>
  <c r="C719" i="15"/>
  <c r="B719" i="15"/>
  <c r="A719" i="15"/>
  <c r="AF719" i="15" s="1"/>
  <c r="X718" i="15"/>
  <c r="Q718" i="15"/>
  <c r="O718" i="15"/>
  <c r="F718" i="15"/>
  <c r="E718" i="15"/>
  <c r="D718" i="15"/>
  <c r="C718" i="15"/>
  <c r="B718" i="15"/>
  <c r="A718" i="15"/>
  <c r="M718" i="15" s="1"/>
  <c r="AD717" i="15"/>
  <c r="Y717" i="15"/>
  <c r="W717" i="15"/>
  <c r="V717" i="15"/>
  <c r="U717" i="15"/>
  <c r="O717" i="15"/>
  <c r="M717" i="15"/>
  <c r="K717" i="15"/>
  <c r="G717" i="15"/>
  <c r="F717" i="15"/>
  <c r="E717" i="15"/>
  <c r="D717" i="15"/>
  <c r="C717" i="15"/>
  <c r="B717" i="15"/>
  <c r="A717" i="15"/>
  <c r="AB716" i="15"/>
  <c r="AA716" i="15"/>
  <c r="F716" i="15"/>
  <c r="E716" i="15"/>
  <c r="D716" i="15"/>
  <c r="C716" i="15"/>
  <c r="B716" i="15"/>
  <c r="A716" i="15"/>
  <c r="S715" i="15"/>
  <c r="R715" i="15"/>
  <c r="P715" i="15"/>
  <c r="J715" i="15"/>
  <c r="F715" i="15"/>
  <c r="E715" i="15"/>
  <c r="D715" i="15"/>
  <c r="C715" i="15"/>
  <c r="B715" i="15"/>
  <c r="A715" i="15"/>
  <c r="Z714" i="15"/>
  <c r="Y714" i="15"/>
  <c r="X714" i="15"/>
  <c r="G714" i="15"/>
  <c r="F714" i="15"/>
  <c r="E714" i="15"/>
  <c r="D714" i="15"/>
  <c r="C714" i="15"/>
  <c r="B714" i="15"/>
  <c r="A714" i="15"/>
  <c r="R714" i="15" s="1"/>
  <c r="AE713" i="15"/>
  <c r="Z713" i="15"/>
  <c r="Y713" i="15"/>
  <c r="W713" i="15"/>
  <c r="Q713" i="15"/>
  <c r="M713" i="15"/>
  <c r="G713" i="15"/>
  <c r="F713" i="15"/>
  <c r="E713" i="15"/>
  <c r="D713" i="15"/>
  <c r="C713" i="15"/>
  <c r="B713" i="15"/>
  <c r="A713" i="15"/>
  <c r="AF712" i="15"/>
  <c r="AC712" i="15"/>
  <c r="X712" i="15"/>
  <c r="W712" i="15"/>
  <c r="V712" i="15"/>
  <c r="T712" i="15"/>
  <c r="L712" i="15"/>
  <c r="K712" i="15"/>
  <c r="F712" i="15"/>
  <c r="E712" i="15"/>
  <c r="D712" i="15"/>
  <c r="C712" i="15"/>
  <c r="B712" i="15"/>
  <c r="A712" i="15"/>
  <c r="AD711" i="15"/>
  <c r="K711" i="15"/>
  <c r="F711" i="15"/>
  <c r="E711" i="15"/>
  <c r="D711" i="15"/>
  <c r="C711" i="15"/>
  <c r="B711" i="15"/>
  <c r="A711" i="15"/>
  <c r="Z710" i="15"/>
  <c r="R710" i="15"/>
  <c r="Q710" i="15"/>
  <c r="F710" i="15"/>
  <c r="E710" i="15"/>
  <c r="D710" i="15"/>
  <c r="C710" i="15"/>
  <c r="B710" i="15"/>
  <c r="A710" i="15"/>
  <c r="S709" i="15"/>
  <c r="G709" i="15"/>
  <c r="F709" i="15"/>
  <c r="E709" i="15"/>
  <c r="D709" i="15"/>
  <c r="C709" i="15"/>
  <c r="B709" i="15"/>
  <c r="A709" i="15"/>
  <c r="AF708" i="15"/>
  <c r="AE708" i="15"/>
  <c r="AA708" i="15"/>
  <c r="Y708" i="15"/>
  <c r="V708" i="15"/>
  <c r="Q708" i="15"/>
  <c r="P708" i="15"/>
  <c r="N708" i="15"/>
  <c r="M708" i="15"/>
  <c r="F708" i="15"/>
  <c r="E708" i="15"/>
  <c r="D708" i="15"/>
  <c r="C708" i="15"/>
  <c r="B708" i="15"/>
  <c r="A708" i="15"/>
  <c r="AF707" i="15"/>
  <c r="AE707" i="15"/>
  <c r="AD707" i="15"/>
  <c r="Y707" i="15"/>
  <c r="X707" i="15"/>
  <c r="W707" i="15"/>
  <c r="S707" i="15"/>
  <c r="P707" i="15"/>
  <c r="O707" i="15"/>
  <c r="N707" i="15"/>
  <c r="M707" i="15"/>
  <c r="K707" i="15"/>
  <c r="G707" i="15"/>
  <c r="F707" i="15"/>
  <c r="E707" i="15"/>
  <c r="D707" i="15"/>
  <c r="C707" i="15"/>
  <c r="B707" i="15"/>
  <c r="A707" i="15"/>
  <c r="Z707" i="15" s="1"/>
  <c r="K706" i="15"/>
  <c r="F706" i="15"/>
  <c r="E706" i="15"/>
  <c r="D706" i="15"/>
  <c r="C706" i="15"/>
  <c r="B706" i="15"/>
  <c r="A706" i="15"/>
  <c r="AD705" i="15"/>
  <c r="U705" i="15"/>
  <c r="R705" i="15"/>
  <c r="L705" i="15"/>
  <c r="F705" i="15"/>
  <c r="E705" i="15"/>
  <c r="D705" i="15"/>
  <c r="C705" i="15"/>
  <c r="B705" i="15"/>
  <c r="A705" i="15"/>
  <c r="AB705" i="15" s="1"/>
  <c r="Y704" i="15"/>
  <c r="Q704" i="15"/>
  <c r="H704" i="15"/>
  <c r="F704" i="15"/>
  <c r="E704" i="15"/>
  <c r="D704" i="15"/>
  <c r="C704" i="15"/>
  <c r="B704" i="15"/>
  <c r="A704" i="15"/>
  <c r="AH703" i="15"/>
  <c r="Z703" i="15"/>
  <c r="Y703" i="15"/>
  <c r="X703" i="15"/>
  <c r="W703" i="15"/>
  <c r="Q703" i="15"/>
  <c r="P703" i="15"/>
  <c r="H703" i="15"/>
  <c r="G703" i="15"/>
  <c r="F703" i="15"/>
  <c r="E703" i="15"/>
  <c r="D703" i="15"/>
  <c r="C703" i="15"/>
  <c r="B703" i="15"/>
  <c r="A703" i="15"/>
  <c r="AG703" i="15" s="1"/>
  <c r="AE702" i="15"/>
  <c r="P702" i="15"/>
  <c r="O702" i="15"/>
  <c r="F702" i="15"/>
  <c r="E702" i="15"/>
  <c r="D702" i="15"/>
  <c r="C702" i="15"/>
  <c r="B702" i="15"/>
  <c r="A702" i="15"/>
  <c r="AE701" i="15"/>
  <c r="AD701" i="15"/>
  <c r="AC701" i="15"/>
  <c r="Y701" i="15"/>
  <c r="W701" i="15"/>
  <c r="V701" i="15"/>
  <c r="R701" i="15"/>
  <c r="Q701" i="15"/>
  <c r="O701" i="15"/>
  <c r="N701" i="15"/>
  <c r="M701" i="15"/>
  <c r="L701" i="15"/>
  <c r="G701" i="15"/>
  <c r="F701" i="15"/>
  <c r="E701" i="15"/>
  <c r="D701" i="15"/>
  <c r="C701" i="15"/>
  <c r="B701" i="15"/>
  <c r="A701" i="15"/>
  <c r="AA701" i="15" s="1"/>
  <c r="I700" i="15"/>
  <c r="F700" i="15"/>
  <c r="E700" i="15"/>
  <c r="D700" i="15"/>
  <c r="C700" i="15"/>
  <c r="B700" i="15"/>
  <c r="A700" i="15"/>
  <c r="AB700" i="15" s="1"/>
  <c r="Y699" i="15"/>
  <c r="R699" i="15"/>
  <c r="P699" i="15"/>
  <c r="G699" i="15"/>
  <c r="F699" i="15"/>
  <c r="E699" i="15"/>
  <c r="D699" i="15"/>
  <c r="C699" i="15"/>
  <c r="B699" i="15"/>
  <c r="A699" i="15"/>
  <c r="Z698" i="15"/>
  <c r="Y698" i="15"/>
  <c r="G698" i="15"/>
  <c r="F698" i="15"/>
  <c r="E698" i="15"/>
  <c r="D698" i="15"/>
  <c r="C698" i="15"/>
  <c r="B698" i="15"/>
  <c r="A698" i="15"/>
  <c r="AH698" i="15" s="1"/>
  <c r="I697" i="15"/>
  <c r="G697" i="15"/>
  <c r="F697" i="15"/>
  <c r="E697" i="15"/>
  <c r="D697" i="15"/>
  <c r="C697" i="15"/>
  <c r="B697" i="15"/>
  <c r="A697" i="15"/>
  <c r="AG696" i="15"/>
  <c r="AF696" i="15"/>
  <c r="X696" i="15"/>
  <c r="M696" i="15"/>
  <c r="L696" i="15"/>
  <c r="F696" i="15"/>
  <c r="E696" i="15"/>
  <c r="D696" i="15"/>
  <c r="C696" i="15"/>
  <c r="B696" i="15"/>
  <c r="A696" i="15"/>
  <c r="F695" i="15"/>
  <c r="E695" i="15"/>
  <c r="D695" i="15"/>
  <c r="C695" i="15"/>
  <c r="B695" i="15"/>
  <c r="A695" i="15"/>
  <c r="U695" i="15" s="1"/>
  <c r="I694" i="15"/>
  <c r="H694" i="15"/>
  <c r="F694" i="15"/>
  <c r="E694" i="15"/>
  <c r="D694" i="15"/>
  <c r="C694" i="15"/>
  <c r="B694" i="15"/>
  <c r="A694" i="15"/>
  <c r="AA693" i="15"/>
  <c r="Z693" i="15"/>
  <c r="F693" i="15"/>
  <c r="E693" i="15"/>
  <c r="D693" i="15"/>
  <c r="C693" i="15"/>
  <c r="B693" i="15"/>
  <c r="A693" i="15"/>
  <c r="M692" i="15"/>
  <c r="F692" i="15"/>
  <c r="E692" i="15"/>
  <c r="D692" i="15"/>
  <c r="C692" i="15"/>
  <c r="B692" i="15"/>
  <c r="A692" i="15"/>
  <c r="AG691" i="15"/>
  <c r="Y691" i="15"/>
  <c r="X691" i="15"/>
  <c r="M691" i="15"/>
  <c r="G691" i="15"/>
  <c r="F691" i="15"/>
  <c r="E691" i="15"/>
  <c r="D691" i="15"/>
  <c r="C691" i="15"/>
  <c r="B691" i="15"/>
  <c r="A691" i="15"/>
  <c r="AF690" i="15"/>
  <c r="AE690" i="15"/>
  <c r="AC690" i="15"/>
  <c r="AB690" i="15"/>
  <c r="U690" i="15"/>
  <c r="S690" i="15"/>
  <c r="M690" i="15"/>
  <c r="L690" i="15"/>
  <c r="F690" i="15"/>
  <c r="E690" i="15"/>
  <c r="D690" i="15"/>
  <c r="C690" i="15"/>
  <c r="B690" i="15"/>
  <c r="A690" i="15"/>
  <c r="F689" i="15"/>
  <c r="E689" i="15"/>
  <c r="D689" i="15"/>
  <c r="C689" i="15"/>
  <c r="B689" i="15"/>
  <c r="A689" i="15"/>
  <c r="X688" i="15"/>
  <c r="O688" i="15"/>
  <c r="H688" i="15"/>
  <c r="F688" i="15"/>
  <c r="E688" i="15"/>
  <c r="D688" i="15"/>
  <c r="C688" i="15"/>
  <c r="B688" i="15"/>
  <c r="A688" i="15"/>
  <c r="AH687" i="15"/>
  <c r="AG687" i="15"/>
  <c r="Y687" i="15"/>
  <c r="X687" i="15"/>
  <c r="W687" i="15"/>
  <c r="Q687" i="15"/>
  <c r="P687" i="15"/>
  <c r="O687" i="15"/>
  <c r="G687" i="15"/>
  <c r="F687" i="15"/>
  <c r="E687" i="15"/>
  <c r="D687" i="15"/>
  <c r="C687" i="15"/>
  <c r="B687" i="15"/>
  <c r="A687" i="15"/>
  <c r="AF687" i="15" s="1"/>
  <c r="AG686" i="15"/>
  <c r="AF686" i="15"/>
  <c r="AE686" i="15"/>
  <c r="Z686" i="15"/>
  <c r="X686" i="15"/>
  <c r="P686" i="15"/>
  <c r="O686" i="15"/>
  <c r="L686" i="15"/>
  <c r="H686" i="15"/>
  <c r="F686" i="15"/>
  <c r="E686" i="15"/>
  <c r="D686" i="15"/>
  <c r="C686" i="15"/>
  <c r="B686" i="15"/>
  <c r="A686" i="15"/>
  <c r="AH685" i="15"/>
  <c r="AD685" i="15"/>
  <c r="Y685" i="15"/>
  <c r="W685" i="15"/>
  <c r="V685" i="15"/>
  <c r="U685" i="15"/>
  <c r="N685" i="15"/>
  <c r="M685" i="15"/>
  <c r="L685" i="15"/>
  <c r="I685" i="15"/>
  <c r="G685" i="15"/>
  <c r="F685" i="15"/>
  <c r="E685" i="15"/>
  <c r="D685" i="15"/>
  <c r="C685" i="15"/>
  <c r="B685" i="15"/>
  <c r="A685" i="15"/>
  <c r="T684" i="15"/>
  <c r="S684" i="15"/>
  <c r="I684" i="15"/>
  <c r="F684" i="15"/>
  <c r="E684" i="15"/>
  <c r="D684" i="15"/>
  <c r="C684" i="15"/>
  <c r="B684" i="15"/>
  <c r="A684" i="15"/>
  <c r="H684" i="15" s="1"/>
  <c r="Z683" i="15"/>
  <c r="F683" i="15"/>
  <c r="E683" i="15"/>
  <c r="D683" i="15"/>
  <c r="C683" i="15"/>
  <c r="B683" i="15"/>
  <c r="A683" i="15"/>
  <c r="Y683" i="15" s="1"/>
  <c r="AH682" i="15"/>
  <c r="R682" i="15"/>
  <c r="O682" i="15"/>
  <c r="H682" i="15"/>
  <c r="F682" i="15"/>
  <c r="E682" i="15"/>
  <c r="D682" i="15"/>
  <c r="C682" i="15"/>
  <c r="B682" i="15"/>
  <c r="A682" i="15"/>
  <c r="Q681" i="15"/>
  <c r="M681" i="15"/>
  <c r="F681" i="15"/>
  <c r="E681" i="15"/>
  <c r="D681" i="15"/>
  <c r="C681" i="15"/>
  <c r="B681" i="15"/>
  <c r="A681" i="15"/>
  <c r="AC680" i="15"/>
  <c r="U680" i="15"/>
  <c r="O680" i="15"/>
  <c r="F680" i="15"/>
  <c r="E680" i="15"/>
  <c r="D680" i="15"/>
  <c r="C680" i="15"/>
  <c r="B680" i="15"/>
  <c r="A680" i="15"/>
  <c r="N680" i="15" s="1"/>
  <c r="F679" i="15"/>
  <c r="E679" i="15"/>
  <c r="D679" i="15"/>
  <c r="C679" i="15"/>
  <c r="B679" i="15"/>
  <c r="A679" i="15"/>
  <c r="F678" i="15"/>
  <c r="E678" i="15"/>
  <c r="D678" i="15"/>
  <c r="C678" i="15"/>
  <c r="B678" i="15"/>
  <c r="A678" i="15"/>
  <c r="AH677" i="15"/>
  <c r="AA677" i="15"/>
  <c r="Y677" i="15"/>
  <c r="S677" i="15"/>
  <c r="R677" i="15"/>
  <c r="I677" i="15"/>
  <c r="F677" i="15"/>
  <c r="E677" i="15"/>
  <c r="D677" i="15"/>
  <c r="C677" i="15"/>
  <c r="B677" i="15"/>
  <c r="A677" i="15"/>
  <c r="Z677" i="15" s="1"/>
  <c r="AF676" i="15"/>
  <c r="AE676" i="15"/>
  <c r="AA676" i="15"/>
  <c r="Y676" i="15"/>
  <c r="X676" i="15"/>
  <c r="P676" i="15"/>
  <c r="H676" i="15"/>
  <c r="G676" i="15"/>
  <c r="F676" i="15"/>
  <c r="E676" i="15"/>
  <c r="D676" i="15"/>
  <c r="C676" i="15"/>
  <c r="B676" i="15"/>
  <c r="A676" i="15"/>
  <c r="AH675" i="15"/>
  <c r="AG675" i="15"/>
  <c r="AD675" i="15"/>
  <c r="X675" i="15"/>
  <c r="V675" i="15"/>
  <c r="U675" i="15"/>
  <c r="K675" i="15"/>
  <c r="G675" i="15"/>
  <c r="F675" i="15"/>
  <c r="E675" i="15"/>
  <c r="D675" i="15"/>
  <c r="C675" i="15"/>
  <c r="B675" i="15"/>
  <c r="A675" i="15"/>
  <c r="AG674" i="15"/>
  <c r="AF674" i="15"/>
  <c r="AE674" i="15"/>
  <c r="X674" i="15"/>
  <c r="W674" i="15"/>
  <c r="U674" i="15"/>
  <c r="T674" i="15"/>
  <c r="S674" i="15"/>
  <c r="O674" i="15"/>
  <c r="K674" i="15"/>
  <c r="J674" i="15"/>
  <c r="F674" i="15"/>
  <c r="E674" i="15"/>
  <c r="D674" i="15"/>
  <c r="C674" i="15"/>
  <c r="B674" i="15"/>
  <c r="A674" i="15"/>
  <c r="Z674" i="15" s="1"/>
  <c r="U673" i="15"/>
  <c r="J673" i="15"/>
  <c r="I673" i="15"/>
  <c r="F673" i="15"/>
  <c r="E673" i="15"/>
  <c r="D673" i="15"/>
  <c r="C673" i="15"/>
  <c r="B673" i="15"/>
  <c r="A673" i="15"/>
  <c r="AA673" i="15" s="1"/>
  <c r="AA672" i="15"/>
  <c r="Y672" i="15"/>
  <c r="F672" i="15"/>
  <c r="E672" i="15"/>
  <c r="D672" i="15"/>
  <c r="C672" i="15"/>
  <c r="B672" i="15"/>
  <c r="A672" i="15"/>
  <c r="AF671" i="15"/>
  <c r="Z671" i="15"/>
  <c r="H671" i="15"/>
  <c r="G671" i="15"/>
  <c r="F671" i="15"/>
  <c r="E671" i="15"/>
  <c r="D671" i="15"/>
  <c r="C671" i="15"/>
  <c r="B671" i="15"/>
  <c r="A671" i="15"/>
  <c r="AH670" i="15"/>
  <c r="AG670" i="15"/>
  <c r="AF670" i="15"/>
  <c r="AE670" i="15"/>
  <c r="Z670" i="15"/>
  <c r="W670" i="15"/>
  <c r="U670" i="15"/>
  <c r="Q670" i="15"/>
  <c r="P670" i="15"/>
  <c r="O670" i="15"/>
  <c r="M670" i="15"/>
  <c r="G670" i="15"/>
  <c r="F670" i="15"/>
  <c r="E670" i="15"/>
  <c r="D670" i="15"/>
  <c r="C670" i="15"/>
  <c r="B670" i="15"/>
  <c r="A670" i="15"/>
  <c r="Y670" i="15" s="1"/>
  <c r="AG669" i="15"/>
  <c r="AC669" i="15"/>
  <c r="M669" i="15"/>
  <c r="K669" i="15"/>
  <c r="F669" i="15"/>
  <c r="E669" i="15"/>
  <c r="D669" i="15"/>
  <c r="C669" i="15"/>
  <c r="B669" i="15"/>
  <c r="A669" i="15"/>
  <c r="AA668" i="15"/>
  <c r="F668" i="15"/>
  <c r="E668" i="15"/>
  <c r="D668" i="15"/>
  <c r="C668" i="15"/>
  <c r="B668" i="15"/>
  <c r="A668" i="15"/>
  <c r="P667" i="15"/>
  <c r="J667" i="15"/>
  <c r="F667" i="15"/>
  <c r="E667" i="15"/>
  <c r="D667" i="15"/>
  <c r="C667" i="15"/>
  <c r="B667" i="15"/>
  <c r="A667" i="15"/>
  <c r="R666" i="15"/>
  <c r="H666" i="15"/>
  <c r="F666" i="15"/>
  <c r="E666" i="15"/>
  <c r="D666" i="15"/>
  <c r="C666" i="15"/>
  <c r="B666" i="15"/>
  <c r="A666" i="15"/>
  <c r="AH665" i="15"/>
  <c r="AG665" i="15"/>
  <c r="AE665" i="15"/>
  <c r="AA665" i="15"/>
  <c r="W665" i="15"/>
  <c r="V665" i="15"/>
  <c r="R665" i="15"/>
  <c r="Q665" i="15"/>
  <c r="O665" i="15"/>
  <c r="N665" i="15"/>
  <c r="G665" i="15"/>
  <c r="F665" i="15"/>
  <c r="E665" i="15"/>
  <c r="D665" i="15"/>
  <c r="C665" i="15"/>
  <c r="B665" i="15"/>
  <c r="A665" i="15"/>
  <c r="Z665" i="15" s="1"/>
  <c r="AF664" i="15"/>
  <c r="AD664" i="15"/>
  <c r="AC664" i="15"/>
  <c r="X664" i="15"/>
  <c r="W664" i="15"/>
  <c r="T664" i="15"/>
  <c r="O664" i="15"/>
  <c r="N664" i="15"/>
  <c r="L664" i="15"/>
  <c r="K664" i="15"/>
  <c r="F664" i="15"/>
  <c r="E664" i="15"/>
  <c r="D664" i="15"/>
  <c r="C664" i="15"/>
  <c r="B664" i="15"/>
  <c r="A664" i="15"/>
  <c r="AD663" i="15"/>
  <c r="K663" i="15"/>
  <c r="F663" i="15"/>
  <c r="E663" i="15"/>
  <c r="D663" i="15"/>
  <c r="C663" i="15"/>
  <c r="B663" i="15"/>
  <c r="A663" i="15"/>
  <c r="Z662" i="15"/>
  <c r="T662" i="15"/>
  <c r="Q662" i="15"/>
  <c r="H662" i="15"/>
  <c r="F662" i="15"/>
  <c r="E662" i="15"/>
  <c r="D662" i="15"/>
  <c r="C662" i="15"/>
  <c r="B662" i="15"/>
  <c r="A662" i="15"/>
  <c r="AA662" i="15" s="1"/>
  <c r="F661" i="15"/>
  <c r="E661" i="15"/>
  <c r="D661" i="15"/>
  <c r="C661" i="15"/>
  <c r="B661" i="15"/>
  <c r="A661" i="15"/>
  <c r="S661" i="15" s="1"/>
  <c r="AG660" i="15"/>
  <c r="Y660" i="15"/>
  <c r="W660" i="15"/>
  <c r="M660" i="15"/>
  <c r="G660" i="15"/>
  <c r="F660" i="15"/>
  <c r="E660" i="15"/>
  <c r="D660" i="15"/>
  <c r="C660" i="15"/>
  <c r="B660" i="15"/>
  <c r="A660" i="15"/>
  <c r="AH659" i="15"/>
  <c r="AG659" i="15"/>
  <c r="AF659" i="15"/>
  <c r="AE659" i="15"/>
  <c r="AD659" i="15"/>
  <c r="W659" i="15"/>
  <c r="V659" i="15"/>
  <c r="U659" i="15"/>
  <c r="P659" i="15"/>
  <c r="O659" i="15"/>
  <c r="N659" i="15"/>
  <c r="H659" i="15"/>
  <c r="G659" i="15"/>
  <c r="F659" i="15"/>
  <c r="E659" i="15"/>
  <c r="D659" i="15"/>
  <c r="C659" i="15"/>
  <c r="B659" i="15"/>
  <c r="A659" i="15"/>
  <c r="Z659" i="15" s="1"/>
  <c r="L658" i="15"/>
  <c r="K658" i="15"/>
  <c r="F658" i="15"/>
  <c r="E658" i="15"/>
  <c r="D658" i="15"/>
  <c r="C658" i="15"/>
  <c r="B658" i="15"/>
  <c r="A658" i="15"/>
  <c r="F657" i="15"/>
  <c r="E657" i="15"/>
  <c r="D657" i="15"/>
  <c r="C657" i="15"/>
  <c r="B657" i="15"/>
  <c r="A657" i="15"/>
  <c r="Y656" i="15"/>
  <c r="X656" i="15"/>
  <c r="P656" i="15"/>
  <c r="G656" i="15"/>
  <c r="F656" i="15"/>
  <c r="E656" i="15"/>
  <c r="D656" i="15"/>
  <c r="C656" i="15"/>
  <c r="B656" i="15"/>
  <c r="A656" i="15"/>
  <c r="AA656" i="15" s="1"/>
  <c r="AH655" i="15"/>
  <c r="AG655" i="15"/>
  <c r="O655" i="15"/>
  <c r="H655" i="15"/>
  <c r="F655" i="15"/>
  <c r="E655" i="15"/>
  <c r="D655" i="15"/>
  <c r="C655" i="15"/>
  <c r="B655" i="15"/>
  <c r="A655" i="15"/>
  <c r="G655" i="15" s="1"/>
  <c r="L654" i="15"/>
  <c r="G654" i="15"/>
  <c r="F654" i="15"/>
  <c r="E654" i="15"/>
  <c r="D654" i="15"/>
  <c r="C654" i="15"/>
  <c r="B654" i="15"/>
  <c r="A654" i="15"/>
  <c r="AH653" i="15"/>
  <c r="AG653" i="15"/>
  <c r="AE653" i="15"/>
  <c r="AD653" i="15"/>
  <c r="AC653" i="15"/>
  <c r="V653" i="15"/>
  <c r="U653" i="15"/>
  <c r="T653" i="15"/>
  <c r="O653" i="15"/>
  <c r="N653" i="15"/>
  <c r="M653" i="15"/>
  <c r="G653" i="15"/>
  <c r="F653" i="15"/>
  <c r="E653" i="15"/>
  <c r="D653" i="15"/>
  <c r="C653" i="15"/>
  <c r="B653" i="15"/>
  <c r="A653" i="15"/>
  <c r="AA653" i="15" s="1"/>
  <c r="U652" i="15"/>
  <c r="T652" i="15"/>
  <c r="L652" i="15"/>
  <c r="I652" i="15"/>
  <c r="F652" i="15"/>
  <c r="E652" i="15"/>
  <c r="D652" i="15"/>
  <c r="C652" i="15"/>
  <c r="B652" i="15"/>
  <c r="A652" i="15"/>
  <c r="Z651" i="15"/>
  <c r="G651" i="15"/>
  <c r="F651" i="15"/>
  <c r="E651" i="15"/>
  <c r="D651" i="15"/>
  <c r="C651" i="15"/>
  <c r="B651" i="15"/>
  <c r="A651" i="15"/>
  <c r="Q651" i="15" s="1"/>
  <c r="Q650" i="15"/>
  <c r="O650" i="15"/>
  <c r="F650" i="15"/>
  <c r="E650" i="15"/>
  <c r="D650" i="15"/>
  <c r="C650" i="15"/>
  <c r="B650" i="15"/>
  <c r="A650" i="15"/>
  <c r="AG649" i="15"/>
  <c r="Z649" i="15"/>
  <c r="Y649" i="15"/>
  <c r="W649" i="15"/>
  <c r="V649" i="15"/>
  <c r="Q649" i="15"/>
  <c r="I649" i="15"/>
  <c r="G649" i="15"/>
  <c r="F649" i="15"/>
  <c r="E649" i="15"/>
  <c r="D649" i="15"/>
  <c r="C649" i="15"/>
  <c r="B649" i="15"/>
  <c r="A649" i="15"/>
  <c r="AF648" i="15"/>
  <c r="AE648" i="15"/>
  <c r="AD648" i="15"/>
  <c r="AC648" i="15"/>
  <c r="U648" i="15"/>
  <c r="P648" i="15"/>
  <c r="K648" i="15"/>
  <c r="H648" i="15"/>
  <c r="F648" i="15"/>
  <c r="E648" i="15"/>
  <c r="D648" i="15"/>
  <c r="C648" i="15"/>
  <c r="B648" i="15"/>
  <c r="A648" i="15"/>
  <c r="AD647" i="15"/>
  <c r="F647" i="15"/>
  <c r="E647" i="15"/>
  <c r="D647" i="15"/>
  <c r="C647" i="15"/>
  <c r="B647" i="15"/>
  <c r="A647" i="15"/>
  <c r="K647" i="15" s="1"/>
  <c r="S646" i="15"/>
  <c r="Q646" i="15"/>
  <c r="F646" i="15"/>
  <c r="E646" i="15"/>
  <c r="D646" i="15"/>
  <c r="C646" i="15"/>
  <c r="B646" i="15"/>
  <c r="A646" i="15"/>
  <c r="I645" i="15"/>
  <c r="G645" i="15"/>
  <c r="F645" i="15"/>
  <c r="E645" i="15"/>
  <c r="D645" i="15"/>
  <c r="C645" i="15"/>
  <c r="B645" i="15"/>
  <c r="A645" i="15"/>
  <c r="AG644" i="15"/>
  <c r="AF644" i="15"/>
  <c r="AE644" i="15"/>
  <c r="AA644" i="15"/>
  <c r="V644" i="15"/>
  <c r="N644" i="15"/>
  <c r="M644" i="15"/>
  <c r="F644" i="15"/>
  <c r="E644" i="15"/>
  <c r="D644" i="15"/>
  <c r="C644" i="15"/>
  <c r="B644" i="15"/>
  <c r="A644" i="15"/>
  <c r="AF643" i="15"/>
  <c r="AE643" i="15"/>
  <c r="AD643" i="15"/>
  <c r="X643" i="15"/>
  <c r="P643" i="15"/>
  <c r="O643" i="15"/>
  <c r="M643" i="15"/>
  <c r="K643" i="15"/>
  <c r="F643" i="15"/>
  <c r="E643" i="15"/>
  <c r="D643" i="15"/>
  <c r="C643" i="15"/>
  <c r="B643" i="15"/>
  <c r="A643" i="15"/>
  <c r="AG642" i="15"/>
  <c r="AB642" i="15"/>
  <c r="X642" i="15"/>
  <c r="W642" i="15"/>
  <c r="U642" i="15"/>
  <c r="T642" i="15"/>
  <c r="M642" i="15"/>
  <c r="L642" i="15"/>
  <c r="J642" i="15"/>
  <c r="G642" i="15"/>
  <c r="F642" i="15"/>
  <c r="E642" i="15"/>
  <c r="D642" i="15"/>
  <c r="C642" i="15"/>
  <c r="B642" i="15"/>
  <c r="A642" i="15"/>
  <c r="F641" i="15"/>
  <c r="E641" i="15"/>
  <c r="D641" i="15"/>
  <c r="C641" i="15"/>
  <c r="B641" i="15"/>
  <c r="A641" i="15"/>
  <c r="AC641" i="15" s="1"/>
  <c r="F640" i="15"/>
  <c r="E640" i="15"/>
  <c r="D640" i="15"/>
  <c r="C640" i="15"/>
  <c r="B640" i="15"/>
  <c r="A640" i="15"/>
  <c r="AF639" i="15"/>
  <c r="Z639" i="15"/>
  <c r="Y639" i="15"/>
  <c r="X639" i="15"/>
  <c r="W639" i="15"/>
  <c r="Q639" i="15"/>
  <c r="H639" i="15"/>
  <c r="G639" i="15"/>
  <c r="F639" i="15"/>
  <c r="E639" i="15"/>
  <c r="D639" i="15"/>
  <c r="C639" i="15"/>
  <c r="B639" i="15"/>
  <c r="A639" i="15"/>
  <c r="AH638" i="15"/>
  <c r="AG638" i="15"/>
  <c r="AF638" i="15"/>
  <c r="AE638" i="15"/>
  <c r="Z638" i="15"/>
  <c r="W638" i="15"/>
  <c r="U638" i="15"/>
  <c r="Q638" i="15"/>
  <c r="P638" i="15"/>
  <c r="O638" i="15"/>
  <c r="M638" i="15"/>
  <c r="G638" i="15"/>
  <c r="F638" i="15"/>
  <c r="E638" i="15"/>
  <c r="D638" i="15"/>
  <c r="C638" i="15"/>
  <c r="B638" i="15"/>
  <c r="A638" i="15"/>
  <c r="Y638" i="15" s="1"/>
  <c r="N637" i="15"/>
  <c r="M637" i="15"/>
  <c r="F637" i="15"/>
  <c r="E637" i="15"/>
  <c r="D637" i="15"/>
  <c r="C637" i="15"/>
  <c r="B637" i="15"/>
  <c r="A637" i="15"/>
  <c r="AA636" i="15"/>
  <c r="U636" i="15"/>
  <c r="Q636" i="15"/>
  <c r="H636" i="15"/>
  <c r="F636" i="15"/>
  <c r="E636" i="15"/>
  <c r="D636" i="15"/>
  <c r="C636" i="15"/>
  <c r="B636" i="15"/>
  <c r="A636" i="15"/>
  <c r="AB636" i="15" s="1"/>
  <c r="S635" i="15"/>
  <c r="G635" i="15"/>
  <c r="F635" i="15"/>
  <c r="E635" i="15"/>
  <c r="D635" i="15"/>
  <c r="C635" i="15"/>
  <c r="B635" i="15"/>
  <c r="A635" i="15"/>
  <c r="F634" i="15"/>
  <c r="E634" i="15"/>
  <c r="D634" i="15"/>
  <c r="C634" i="15"/>
  <c r="B634" i="15"/>
  <c r="A634" i="15"/>
  <c r="AG633" i="15"/>
  <c r="AD633" i="15"/>
  <c r="AA633" i="15"/>
  <c r="W633" i="15"/>
  <c r="V633" i="15"/>
  <c r="U633" i="15"/>
  <c r="Q633" i="15"/>
  <c r="I633" i="15"/>
  <c r="G633" i="15"/>
  <c r="F633" i="15"/>
  <c r="E633" i="15"/>
  <c r="D633" i="15"/>
  <c r="C633" i="15"/>
  <c r="B633" i="15"/>
  <c r="A633" i="15"/>
  <c r="F632" i="15"/>
  <c r="E632" i="15"/>
  <c r="D632" i="15"/>
  <c r="C632" i="15"/>
  <c r="B632" i="15"/>
  <c r="A632" i="15"/>
  <c r="F631" i="15"/>
  <c r="E631" i="15"/>
  <c r="D631" i="15"/>
  <c r="C631" i="15"/>
  <c r="B631" i="15"/>
  <c r="A631" i="15"/>
  <c r="S630" i="15"/>
  <c r="R630" i="15"/>
  <c r="F630" i="15"/>
  <c r="E630" i="15"/>
  <c r="D630" i="15"/>
  <c r="C630" i="15"/>
  <c r="B630" i="15"/>
  <c r="A630" i="15"/>
  <c r="AA629" i="15"/>
  <c r="Z629" i="15"/>
  <c r="Y629" i="15"/>
  <c r="S629" i="15"/>
  <c r="I629" i="15"/>
  <c r="G629" i="15"/>
  <c r="F629" i="15"/>
  <c r="E629" i="15"/>
  <c r="D629" i="15"/>
  <c r="C629" i="15"/>
  <c r="B629" i="15"/>
  <c r="A629" i="15"/>
  <c r="R629" i="15" s="1"/>
  <c r="AG628" i="15"/>
  <c r="AF628" i="15"/>
  <c r="AE628" i="15"/>
  <c r="AD628" i="15"/>
  <c r="AA628" i="15"/>
  <c r="Y628" i="15"/>
  <c r="V628" i="15"/>
  <c r="U628" i="15"/>
  <c r="Q628" i="15"/>
  <c r="P628" i="15"/>
  <c r="O628" i="15"/>
  <c r="N628" i="15"/>
  <c r="H628" i="15"/>
  <c r="G628" i="15"/>
  <c r="F628" i="15"/>
  <c r="E628" i="15"/>
  <c r="D628" i="15"/>
  <c r="C628" i="15"/>
  <c r="B628" i="15"/>
  <c r="A628" i="15"/>
  <c r="X628" i="15" s="1"/>
  <c r="AG627" i="15"/>
  <c r="AF627" i="15"/>
  <c r="AD627" i="15"/>
  <c r="W627" i="15"/>
  <c r="V627" i="15"/>
  <c r="U627" i="15"/>
  <c r="S627" i="15"/>
  <c r="K627" i="15"/>
  <c r="G627" i="15"/>
  <c r="F627" i="15"/>
  <c r="E627" i="15"/>
  <c r="D627" i="15"/>
  <c r="C627" i="15"/>
  <c r="B627" i="15"/>
  <c r="A627" i="15"/>
  <c r="AF626" i="15"/>
  <c r="AE626" i="15"/>
  <c r="AC626" i="15"/>
  <c r="AB626" i="15"/>
  <c r="U626" i="15"/>
  <c r="S626" i="15"/>
  <c r="M626" i="15"/>
  <c r="L626" i="15"/>
  <c r="F626" i="15"/>
  <c r="E626" i="15"/>
  <c r="D626" i="15"/>
  <c r="C626" i="15"/>
  <c r="B626" i="15"/>
  <c r="A626" i="15"/>
  <c r="U625" i="15"/>
  <c r="R625" i="15"/>
  <c r="J625" i="15"/>
  <c r="F625" i="15"/>
  <c r="E625" i="15"/>
  <c r="D625" i="15"/>
  <c r="C625" i="15"/>
  <c r="B625" i="15"/>
  <c r="A625" i="15"/>
  <c r="AA624" i="15"/>
  <c r="Y624" i="15"/>
  <c r="G624" i="15"/>
  <c r="F624" i="15"/>
  <c r="E624" i="15"/>
  <c r="D624" i="15"/>
  <c r="C624" i="15"/>
  <c r="B624" i="15"/>
  <c r="A624" i="15"/>
  <c r="P624" i="15" s="1"/>
  <c r="F623" i="15"/>
  <c r="E623" i="15"/>
  <c r="D623" i="15"/>
  <c r="C623" i="15"/>
  <c r="B623" i="15"/>
  <c r="A623" i="15"/>
  <c r="X623" i="15" s="1"/>
  <c r="AE622" i="15"/>
  <c r="Y622" i="15"/>
  <c r="X622" i="15"/>
  <c r="W622" i="15"/>
  <c r="U622" i="15"/>
  <c r="Q622" i="15"/>
  <c r="L622" i="15"/>
  <c r="H622" i="15"/>
  <c r="G622" i="15"/>
  <c r="F622" i="15"/>
  <c r="E622" i="15"/>
  <c r="D622" i="15"/>
  <c r="C622" i="15"/>
  <c r="B622" i="15"/>
  <c r="A622" i="15"/>
  <c r="AH621" i="15"/>
  <c r="AG621" i="15"/>
  <c r="AE621" i="15"/>
  <c r="AD621" i="15"/>
  <c r="Y621" i="15"/>
  <c r="W621" i="15"/>
  <c r="V621" i="15"/>
  <c r="U621" i="15"/>
  <c r="T621" i="15"/>
  <c r="O621" i="15"/>
  <c r="N621" i="15"/>
  <c r="L621" i="15"/>
  <c r="K621" i="15"/>
  <c r="F621" i="15"/>
  <c r="E621" i="15"/>
  <c r="D621" i="15"/>
  <c r="C621" i="15"/>
  <c r="B621" i="15"/>
  <c r="A621" i="15"/>
  <c r="AA621" i="15" s="1"/>
  <c r="AC620" i="15"/>
  <c r="F620" i="15"/>
  <c r="E620" i="15"/>
  <c r="D620" i="15"/>
  <c r="C620" i="15"/>
  <c r="B620" i="15"/>
  <c r="A620" i="15"/>
  <c r="Z619" i="15"/>
  <c r="S619" i="15"/>
  <c r="Q619" i="15"/>
  <c r="P619" i="15"/>
  <c r="F619" i="15"/>
  <c r="E619" i="15"/>
  <c r="D619" i="15"/>
  <c r="C619" i="15"/>
  <c r="B619" i="15"/>
  <c r="A619" i="15"/>
  <c r="Z618" i="15"/>
  <c r="H618" i="15"/>
  <c r="G618" i="15"/>
  <c r="F618" i="15"/>
  <c r="E618" i="15"/>
  <c r="D618" i="15"/>
  <c r="C618" i="15"/>
  <c r="B618" i="15"/>
  <c r="A618" i="15"/>
  <c r="AA618" i="15" s="1"/>
  <c r="AH617" i="15"/>
  <c r="AG617" i="15"/>
  <c r="AE617" i="15"/>
  <c r="AD617" i="15"/>
  <c r="AA617" i="15"/>
  <c r="Z617" i="15"/>
  <c r="Y617" i="15"/>
  <c r="V617" i="15"/>
  <c r="U617" i="15"/>
  <c r="R617" i="15"/>
  <c r="Q617" i="15"/>
  <c r="O617" i="15"/>
  <c r="N617" i="15"/>
  <c r="M617" i="15"/>
  <c r="I617" i="15"/>
  <c r="G617" i="15"/>
  <c r="F617" i="15"/>
  <c r="E617" i="15"/>
  <c r="D617" i="15"/>
  <c r="C617" i="15"/>
  <c r="B617" i="15"/>
  <c r="A617" i="15"/>
  <c r="W617" i="15" s="1"/>
  <c r="AF616" i="15"/>
  <c r="AE616" i="15"/>
  <c r="AD616" i="15"/>
  <c r="AC616" i="15"/>
  <c r="M616" i="15"/>
  <c r="L616" i="15"/>
  <c r="F616" i="15"/>
  <c r="E616" i="15"/>
  <c r="D616" i="15"/>
  <c r="C616" i="15"/>
  <c r="B616" i="15"/>
  <c r="A616" i="15"/>
  <c r="AC615" i="15"/>
  <c r="AA615" i="15"/>
  <c r="J615" i="15"/>
  <c r="I615" i="15"/>
  <c r="F615" i="15"/>
  <c r="E615" i="15"/>
  <c r="D615" i="15"/>
  <c r="C615" i="15"/>
  <c r="B615" i="15"/>
  <c r="A615" i="15"/>
  <c r="R615" i="15" s="1"/>
  <c r="AA614" i="15"/>
  <c r="I614" i="15"/>
  <c r="F614" i="15"/>
  <c r="E614" i="15"/>
  <c r="D614" i="15"/>
  <c r="C614" i="15"/>
  <c r="B614" i="15"/>
  <c r="A614" i="15"/>
  <c r="Y613" i="15"/>
  <c r="R613" i="15"/>
  <c r="F613" i="15"/>
  <c r="E613" i="15"/>
  <c r="D613" i="15"/>
  <c r="C613" i="15"/>
  <c r="B613" i="15"/>
  <c r="A613" i="15"/>
  <c r="M612" i="15"/>
  <c r="L612" i="15"/>
  <c r="F612" i="15"/>
  <c r="E612" i="15"/>
  <c r="D612" i="15"/>
  <c r="C612" i="15"/>
  <c r="B612" i="15"/>
  <c r="A612" i="15"/>
  <c r="F611" i="15"/>
  <c r="E611" i="15"/>
  <c r="D611" i="15"/>
  <c r="C611" i="15"/>
  <c r="B611" i="15"/>
  <c r="A611" i="15"/>
  <c r="V611" i="15" s="1"/>
  <c r="AC610" i="15"/>
  <c r="AB610" i="15"/>
  <c r="X610" i="15"/>
  <c r="W610" i="15"/>
  <c r="U610" i="15"/>
  <c r="M610" i="15"/>
  <c r="K610" i="15"/>
  <c r="J610" i="15"/>
  <c r="F610" i="15"/>
  <c r="E610" i="15"/>
  <c r="D610" i="15"/>
  <c r="C610" i="15"/>
  <c r="B610" i="15"/>
  <c r="A610" i="15"/>
  <c r="AD609" i="15"/>
  <c r="AA609" i="15"/>
  <c r="R609" i="15"/>
  <c r="L609" i="15"/>
  <c r="F609" i="15"/>
  <c r="E609" i="15"/>
  <c r="D609" i="15"/>
  <c r="C609" i="15"/>
  <c r="B609" i="15"/>
  <c r="A609" i="15"/>
  <c r="X608" i="15"/>
  <c r="H608" i="15"/>
  <c r="F608" i="15"/>
  <c r="E608" i="15"/>
  <c r="D608" i="15"/>
  <c r="C608" i="15"/>
  <c r="B608" i="15"/>
  <c r="A608" i="15"/>
  <c r="AH607" i="15"/>
  <c r="Z607" i="15"/>
  <c r="Y607" i="15"/>
  <c r="X607" i="15"/>
  <c r="W607" i="15"/>
  <c r="Q607" i="15"/>
  <c r="P607" i="15"/>
  <c r="H607" i="15"/>
  <c r="G607" i="15"/>
  <c r="F607" i="15"/>
  <c r="E607" i="15"/>
  <c r="D607" i="15"/>
  <c r="C607" i="15"/>
  <c r="B607" i="15"/>
  <c r="A607" i="15"/>
  <c r="AG607" i="15" s="1"/>
  <c r="AE606" i="15"/>
  <c r="AC606" i="15"/>
  <c r="Z606" i="15"/>
  <c r="W606" i="15"/>
  <c r="T606" i="15"/>
  <c r="H606" i="15"/>
  <c r="G606" i="15"/>
  <c r="F606" i="15"/>
  <c r="E606" i="15"/>
  <c r="D606" i="15"/>
  <c r="C606" i="15"/>
  <c r="B606" i="15"/>
  <c r="A606" i="15"/>
  <c r="AH605" i="15"/>
  <c r="AG605" i="15"/>
  <c r="AD605" i="15"/>
  <c r="V605" i="15"/>
  <c r="U605" i="15"/>
  <c r="O605" i="15"/>
  <c r="N605" i="15"/>
  <c r="F605" i="15"/>
  <c r="E605" i="15"/>
  <c r="D605" i="15"/>
  <c r="C605" i="15"/>
  <c r="B605" i="15"/>
  <c r="A605" i="15"/>
  <c r="F604" i="15"/>
  <c r="E604" i="15"/>
  <c r="D604" i="15"/>
  <c r="C604" i="15"/>
  <c r="B604" i="15"/>
  <c r="A604" i="15"/>
  <c r="Y603" i="15"/>
  <c r="S603" i="15"/>
  <c r="R603" i="15"/>
  <c r="P603" i="15"/>
  <c r="J603" i="15"/>
  <c r="F603" i="15"/>
  <c r="E603" i="15"/>
  <c r="D603" i="15"/>
  <c r="C603" i="15"/>
  <c r="B603" i="15"/>
  <c r="A603" i="15"/>
  <c r="Z602" i="15"/>
  <c r="H602" i="15"/>
  <c r="G602" i="15"/>
  <c r="F602" i="15"/>
  <c r="E602" i="15"/>
  <c r="D602" i="15"/>
  <c r="C602" i="15"/>
  <c r="B602" i="15"/>
  <c r="A602" i="15"/>
  <c r="AH602" i="15" s="1"/>
  <c r="AH601" i="15"/>
  <c r="AG601" i="15"/>
  <c r="AE601" i="15"/>
  <c r="AD601" i="15"/>
  <c r="AA601" i="15"/>
  <c r="Z601" i="15"/>
  <c r="V601" i="15"/>
  <c r="U601" i="15"/>
  <c r="R601" i="15"/>
  <c r="Q601" i="15"/>
  <c r="O601" i="15"/>
  <c r="N601" i="15"/>
  <c r="I601" i="15"/>
  <c r="G601" i="15"/>
  <c r="F601" i="15"/>
  <c r="E601" i="15"/>
  <c r="D601" i="15"/>
  <c r="C601" i="15"/>
  <c r="B601" i="15"/>
  <c r="A601" i="15"/>
  <c r="Y601" i="15" s="1"/>
  <c r="AG600" i="15"/>
  <c r="T600" i="15"/>
  <c r="N600" i="15"/>
  <c r="L600" i="15"/>
  <c r="F600" i="15"/>
  <c r="E600" i="15"/>
  <c r="D600" i="15"/>
  <c r="C600" i="15"/>
  <c r="B600" i="15"/>
  <c r="A600" i="15"/>
  <c r="U599" i="15"/>
  <c r="I599" i="15"/>
  <c r="F599" i="15"/>
  <c r="E599" i="15"/>
  <c r="D599" i="15"/>
  <c r="C599" i="15"/>
  <c r="B599" i="15"/>
  <c r="A599" i="15"/>
  <c r="Z598" i="15"/>
  <c r="I598" i="15"/>
  <c r="F598" i="15"/>
  <c r="E598" i="15"/>
  <c r="D598" i="15"/>
  <c r="C598" i="15"/>
  <c r="B598" i="15"/>
  <c r="A598" i="15"/>
  <c r="F597" i="15"/>
  <c r="E597" i="15"/>
  <c r="D597" i="15"/>
  <c r="C597" i="15"/>
  <c r="B597" i="15"/>
  <c r="A597" i="15"/>
  <c r="J597" i="15" s="1"/>
  <c r="N596" i="15"/>
  <c r="M596" i="15"/>
  <c r="F596" i="15"/>
  <c r="E596" i="15"/>
  <c r="D596" i="15"/>
  <c r="C596" i="15"/>
  <c r="B596" i="15"/>
  <c r="A596" i="15"/>
  <c r="AH595" i="15"/>
  <c r="AG595" i="15"/>
  <c r="AF595" i="15"/>
  <c r="AC595" i="15"/>
  <c r="Z595" i="15"/>
  <c r="Y595" i="15"/>
  <c r="X595" i="15"/>
  <c r="W595" i="15"/>
  <c r="V595" i="15"/>
  <c r="Q595" i="15"/>
  <c r="P595" i="15"/>
  <c r="O595" i="15"/>
  <c r="N595" i="15"/>
  <c r="M595" i="15"/>
  <c r="K595" i="15"/>
  <c r="G595" i="15"/>
  <c r="F595" i="15"/>
  <c r="E595" i="15"/>
  <c r="D595" i="15"/>
  <c r="C595" i="15"/>
  <c r="B595" i="15"/>
  <c r="A595" i="15"/>
  <c r="AE595" i="15" s="1"/>
  <c r="F594" i="15"/>
  <c r="E594" i="15"/>
  <c r="D594" i="15"/>
  <c r="C594" i="15"/>
  <c r="B594" i="15"/>
  <c r="A594" i="15"/>
  <c r="M594" i="15" s="1"/>
  <c r="R593" i="15"/>
  <c r="F593" i="15"/>
  <c r="E593" i="15"/>
  <c r="D593" i="15"/>
  <c r="C593" i="15"/>
  <c r="B593" i="15"/>
  <c r="A593" i="15"/>
  <c r="J593" i="15" s="1"/>
  <c r="AA592" i="15"/>
  <c r="X592" i="15"/>
  <c r="H592" i="15"/>
  <c r="F592" i="15"/>
  <c r="E592" i="15"/>
  <c r="D592" i="15"/>
  <c r="C592" i="15"/>
  <c r="B592" i="15"/>
  <c r="A592" i="15"/>
  <c r="AH591" i="15"/>
  <c r="Z591" i="15"/>
  <c r="Y591" i="15"/>
  <c r="X591" i="15"/>
  <c r="W591" i="15"/>
  <c r="Q591" i="15"/>
  <c r="P591" i="15"/>
  <c r="H591" i="15"/>
  <c r="G591" i="15"/>
  <c r="F591" i="15"/>
  <c r="E591" i="15"/>
  <c r="D591" i="15"/>
  <c r="C591" i="15"/>
  <c r="B591" i="15"/>
  <c r="A591" i="15"/>
  <c r="AG591" i="15" s="1"/>
  <c r="AG590" i="15"/>
  <c r="AF590" i="15"/>
  <c r="AC590" i="15"/>
  <c r="W590" i="15"/>
  <c r="U590" i="15"/>
  <c r="T590" i="15"/>
  <c r="Q590" i="15"/>
  <c r="K590" i="15"/>
  <c r="G590" i="15"/>
  <c r="F590" i="15"/>
  <c r="E590" i="15"/>
  <c r="D590" i="15"/>
  <c r="C590" i="15"/>
  <c r="B590" i="15"/>
  <c r="A590" i="15"/>
  <c r="AG589" i="15"/>
  <c r="AE589" i="15"/>
  <c r="AD589" i="15"/>
  <c r="AC589" i="15"/>
  <c r="V589" i="15"/>
  <c r="T589" i="15"/>
  <c r="N589" i="15"/>
  <c r="M589" i="15"/>
  <c r="F589" i="15"/>
  <c r="E589" i="15"/>
  <c r="D589" i="15"/>
  <c r="C589" i="15"/>
  <c r="B589" i="15"/>
  <c r="A589" i="15"/>
  <c r="F588" i="15"/>
  <c r="E588" i="15"/>
  <c r="D588" i="15"/>
  <c r="C588" i="15"/>
  <c r="B588" i="15"/>
  <c r="A588" i="15"/>
  <c r="R587" i="15"/>
  <c r="Q587" i="15"/>
  <c r="F587" i="15"/>
  <c r="E587" i="15"/>
  <c r="D587" i="15"/>
  <c r="C587" i="15"/>
  <c r="B587" i="15"/>
  <c r="A587" i="15"/>
  <c r="Z586" i="15"/>
  <c r="G586" i="15"/>
  <c r="F586" i="15"/>
  <c r="E586" i="15"/>
  <c r="D586" i="15"/>
  <c r="C586" i="15"/>
  <c r="B586" i="15"/>
  <c r="A586" i="15"/>
  <c r="Y586" i="15" s="1"/>
  <c r="AG585" i="15"/>
  <c r="AE585" i="15"/>
  <c r="AD585" i="15"/>
  <c r="AA585" i="15"/>
  <c r="Z585" i="15"/>
  <c r="Y585" i="15"/>
  <c r="U585" i="15"/>
  <c r="R585" i="15"/>
  <c r="Q585" i="15"/>
  <c r="O585" i="15"/>
  <c r="N585" i="15"/>
  <c r="M585" i="15"/>
  <c r="G585" i="15"/>
  <c r="F585" i="15"/>
  <c r="E585" i="15"/>
  <c r="D585" i="15"/>
  <c r="C585" i="15"/>
  <c r="B585" i="15"/>
  <c r="A585" i="15"/>
  <c r="W585" i="15" s="1"/>
  <c r="AE584" i="15"/>
  <c r="AC584" i="15"/>
  <c r="X584" i="15"/>
  <c r="W584" i="15"/>
  <c r="T584" i="15"/>
  <c r="M584" i="15"/>
  <c r="K584" i="15"/>
  <c r="F584" i="15"/>
  <c r="E584" i="15"/>
  <c r="D584" i="15"/>
  <c r="C584" i="15"/>
  <c r="B584" i="15"/>
  <c r="A584" i="15"/>
  <c r="AC583" i="15"/>
  <c r="AA583" i="15"/>
  <c r="I583" i="15"/>
  <c r="F583" i="15"/>
  <c r="E583" i="15"/>
  <c r="D583" i="15"/>
  <c r="C583" i="15"/>
  <c r="B583" i="15"/>
  <c r="A583" i="15"/>
  <c r="S583" i="15" s="1"/>
  <c r="I582" i="15"/>
  <c r="F582" i="15"/>
  <c r="E582" i="15"/>
  <c r="D582" i="15"/>
  <c r="C582" i="15"/>
  <c r="B582" i="15"/>
  <c r="A582" i="15"/>
  <c r="S582" i="15" s="1"/>
  <c r="Q581" i="15"/>
  <c r="O581" i="15"/>
  <c r="F581" i="15"/>
  <c r="E581" i="15"/>
  <c r="D581" i="15"/>
  <c r="C581" i="15"/>
  <c r="B581" i="15"/>
  <c r="A581" i="15"/>
  <c r="AG580" i="15"/>
  <c r="AF580" i="15"/>
  <c r="AE580" i="15"/>
  <c r="X580" i="15"/>
  <c r="W580" i="15"/>
  <c r="V580" i="15"/>
  <c r="Q580" i="15"/>
  <c r="P580" i="15"/>
  <c r="O580" i="15"/>
  <c r="H580" i="15"/>
  <c r="G580" i="15"/>
  <c r="F580" i="15"/>
  <c r="E580" i="15"/>
  <c r="D580" i="15"/>
  <c r="C580" i="15"/>
  <c r="B580" i="15"/>
  <c r="A580" i="15"/>
  <c r="AA580" i="15" s="1"/>
  <c r="AH579" i="15"/>
  <c r="AG579" i="15"/>
  <c r="AF579" i="15"/>
  <c r="AE579" i="15"/>
  <c r="AD579" i="15"/>
  <c r="Y579" i="15"/>
  <c r="V579" i="15"/>
  <c r="U579" i="15"/>
  <c r="P579" i="15"/>
  <c r="O579" i="15"/>
  <c r="N579" i="15"/>
  <c r="M579" i="15"/>
  <c r="G579" i="15"/>
  <c r="F579" i="15"/>
  <c r="E579" i="15"/>
  <c r="D579" i="15"/>
  <c r="C579" i="15"/>
  <c r="B579" i="15"/>
  <c r="A579" i="15"/>
  <c r="Z579" i="15" s="1"/>
  <c r="AF578" i="15"/>
  <c r="AC578" i="15"/>
  <c r="AB578" i="15"/>
  <c r="X578" i="15"/>
  <c r="W578" i="15"/>
  <c r="S578" i="15"/>
  <c r="M578" i="15"/>
  <c r="K578" i="15"/>
  <c r="J578" i="15"/>
  <c r="F578" i="15"/>
  <c r="E578" i="15"/>
  <c r="D578" i="15"/>
  <c r="C578" i="15"/>
  <c r="B578" i="15"/>
  <c r="A578" i="15"/>
  <c r="AB577" i="15"/>
  <c r="AA577" i="15"/>
  <c r="J577" i="15"/>
  <c r="I577" i="15"/>
  <c r="F577" i="15"/>
  <c r="E577" i="15"/>
  <c r="D577" i="15"/>
  <c r="C577" i="15"/>
  <c r="B577" i="15"/>
  <c r="A577" i="15"/>
  <c r="U577" i="15" s="1"/>
  <c r="AA576" i="15"/>
  <c r="H576" i="15"/>
  <c r="F576" i="15"/>
  <c r="E576" i="15"/>
  <c r="D576" i="15"/>
  <c r="C576" i="15"/>
  <c r="B576" i="15"/>
  <c r="A576" i="15"/>
  <c r="AB576" i="15" s="1"/>
  <c r="N575" i="15"/>
  <c r="H575" i="15"/>
  <c r="F575" i="15"/>
  <c r="E575" i="15"/>
  <c r="D575" i="15"/>
  <c r="C575" i="15"/>
  <c r="B575" i="15"/>
  <c r="A575" i="15"/>
  <c r="AH574" i="15"/>
  <c r="U574" i="15"/>
  <c r="Q574" i="15"/>
  <c r="L574" i="15"/>
  <c r="F574" i="15"/>
  <c r="E574" i="15"/>
  <c r="D574" i="15"/>
  <c r="C574" i="15"/>
  <c r="B574" i="15"/>
  <c r="A574" i="15"/>
  <c r="G574" i="15" s="1"/>
  <c r="AG573" i="15"/>
  <c r="AE573" i="15"/>
  <c r="AD573" i="15"/>
  <c r="AC573" i="15"/>
  <c r="V573" i="15"/>
  <c r="U573" i="15"/>
  <c r="T573" i="15"/>
  <c r="N573" i="15"/>
  <c r="M573" i="15"/>
  <c r="F573" i="15"/>
  <c r="E573" i="15"/>
  <c r="D573" i="15"/>
  <c r="C573" i="15"/>
  <c r="B573" i="15"/>
  <c r="A573" i="15"/>
  <c r="F572" i="15"/>
  <c r="E572" i="15"/>
  <c r="D572" i="15"/>
  <c r="C572" i="15"/>
  <c r="B572" i="15"/>
  <c r="A572" i="15"/>
  <c r="Q571" i="15"/>
  <c r="F571" i="15"/>
  <c r="E571" i="15"/>
  <c r="D571" i="15"/>
  <c r="C571" i="15"/>
  <c r="B571" i="15"/>
  <c r="A571" i="15"/>
  <c r="Y570" i="15"/>
  <c r="X570" i="15"/>
  <c r="F570" i="15"/>
  <c r="E570" i="15"/>
  <c r="D570" i="15"/>
  <c r="C570" i="15"/>
  <c r="B570" i="15"/>
  <c r="A570" i="15"/>
  <c r="AE569" i="15"/>
  <c r="AA569" i="15"/>
  <c r="Z569" i="15"/>
  <c r="Y569" i="15"/>
  <c r="I569" i="15"/>
  <c r="G569" i="15"/>
  <c r="F569" i="15"/>
  <c r="E569" i="15"/>
  <c r="D569" i="15"/>
  <c r="C569" i="15"/>
  <c r="B569" i="15"/>
  <c r="A569" i="15"/>
  <c r="AG568" i="15"/>
  <c r="AF568" i="15"/>
  <c r="AE568" i="15"/>
  <c r="X568" i="15"/>
  <c r="W568" i="15"/>
  <c r="V568" i="15"/>
  <c r="U568" i="15"/>
  <c r="T568" i="15"/>
  <c r="O568" i="15"/>
  <c r="L568" i="15"/>
  <c r="K568" i="15"/>
  <c r="F568" i="15"/>
  <c r="E568" i="15"/>
  <c r="D568" i="15"/>
  <c r="C568" i="15"/>
  <c r="B568" i="15"/>
  <c r="A568" i="15"/>
  <c r="AA568" i="15" s="1"/>
  <c r="AE567" i="15"/>
  <c r="V567" i="15"/>
  <c r="U567" i="15"/>
  <c r="R567" i="15"/>
  <c r="M567" i="15"/>
  <c r="F567" i="15"/>
  <c r="E567" i="15"/>
  <c r="D567" i="15"/>
  <c r="C567" i="15"/>
  <c r="B567" i="15"/>
  <c r="A567" i="15"/>
  <c r="AC567" i="15" s="1"/>
  <c r="AA566" i="15"/>
  <c r="I566" i="15"/>
  <c r="H566" i="15"/>
  <c r="F566" i="15"/>
  <c r="E566" i="15"/>
  <c r="D566" i="15"/>
  <c r="C566" i="15"/>
  <c r="B566" i="15"/>
  <c r="A566" i="15"/>
  <c r="Y565" i="15"/>
  <c r="I565" i="15"/>
  <c r="F565" i="15"/>
  <c r="E565" i="15"/>
  <c r="D565" i="15"/>
  <c r="C565" i="15"/>
  <c r="B565" i="15"/>
  <c r="A565" i="15"/>
  <c r="G565" i="15" s="1"/>
  <c r="AG564" i="15"/>
  <c r="Y564" i="15"/>
  <c r="W564" i="15"/>
  <c r="V564" i="15"/>
  <c r="Q564" i="15"/>
  <c r="M564" i="15"/>
  <c r="G564" i="15"/>
  <c r="F564" i="15"/>
  <c r="E564" i="15"/>
  <c r="D564" i="15"/>
  <c r="C564" i="15"/>
  <c r="B564" i="15"/>
  <c r="A564" i="15"/>
  <c r="AH563" i="15"/>
  <c r="AG563" i="15"/>
  <c r="AF563" i="15"/>
  <c r="AE563" i="15"/>
  <c r="AD563" i="15"/>
  <c r="X563" i="15"/>
  <c r="W563" i="15"/>
  <c r="V563" i="15"/>
  <c r="U563" i="15"/>
  <c r="P563" i="15"/>
  <c r="O563" i="15"/>
  <c r="N563" i="15"/>
  <c r="K563" i="15"/>
  <c r="G563" i="15"/>
  <c r="F563" i="15"/>
  <c r="E563" i="15"/>
  <c r="D563" i="15"/>
  <c r="C563" i="15"/>
  <c r="B563" i="15"/>
  <c r="A563" i="15"/>
  <c r="Z563" i="15" s="1"/>
  <c r="K562" i="15"/>
  <c r="J562" i="15"/>
  <c r="F562" i="15"/>
  <c r="E562" i="15"/>
  <c r="D562" i="15"/>
  <c r="C562" i="15"/>
  <c r="B562" i="15"/>
  <c r="A562" i="15"/>
  <c r="AB561" i="15"/>
  <c r="J561" i="15"/>
  <c r="F561" i="15"/>
  <c r="E561" i="15"/>
  <c r="D561" i="15"/>
  <c r="C561" i="15"/>
  <c r="B561" i="15"/>
  <c r="A561" i="15"/>
  <c r="L561" i="15" s="1"/>
  <c r="AA560" i="15"/>
  <c r="F560" i="15"/>
  <c r="E560" i="15"/>
  <c r="D560" i="15"/>
  <c r="C560" i="15"/>
  <c r="B560" i="15"/>
  <c r="A560" i="15"/>
  <c r="AG559" i="15"/>
  <c r="O559" i="15"/>
  <c r="F559" i="15"/>
  <c r="E559" i="15"/>
  <c r="D559" i="15"/>
  <c r="C559" i="15"/>
  <c r="B559" i="15"/>
  <c r="A559" i="15"/>
  <c r="H559" i="15" s="1"/>
  <c r="AE558" i="15"/>
  <c r="Z558" i="15"/>
  <c r="Y558" i="15"/>
  <c r="X558" i="15"/>
  <c r="H558" i="15"/>
  <c r="G558" i="15"/>
  <c r="F558" i="15"/>
  <c r="E558" i="15"/>
  <c r="D558" i="15"/>
  <c r="C558" i="15"/>
  <c r="B558" i="15"/>
  <c r="A558" i="15"/>
  <c r="AH557" i="15"/>
  <c r="AG557" i="15"/>
  <c r="AE557" i="15"/>
  <c r="Y557" i="15"/>
  <c r="W557" i="15"/>
  <c r="V557" i="15"/>
  <c r="U557" i="15"/>
  <c r="T557" i="15"/>
  <c r="O557" i="15"/>
  <c r="L557" i="15"/>
  <c r="K557" i="15"/>
  <c r="F557" i="15"/>
  <c r="E557" i="15"/>
  <c r="D557" i="15"/>
  <c r="C557" i="15"/>
  <c r="B557" i="15"/>
  <c r="A557" i="15"/>
  <c r="AA557" i="15" s="1"/>
  <c r="AD556" i="15"/>
  <c r="AB556" i="15"/>
  <c r="U556" i="15"/>
  <c r="S556" i="15"/>
  <c r="Q556" i="15"/>
  <c r="F556" i="15"/>
  <c r="E556" i="15"/>
  <c r="D556" i="15"/>
  <c r="C556" i="15"/>
  <c r="B556" i="15"/>
  <c r="A556" i="15"/>
  <c r="S555" i="15"/>
  <c r="H555" i="15"/>
  <c r="G555" i="15"/>
  <c r="F555" i="15"/>
  <c r="E555" i="15"/>
  <c r="D555" i="15"/>
  <c r="C555" i="15"/>
  <c r="B555" i="15"/>
  <c r="A555" i="15"/>
  <c r="Z554" i="15"/>
  <c r="H554" i="15"/>
  <c r="F554" i="15"/>
  <c r="E554" i="15"/>
  <c r="D554" i="15"/>
  <c r="C554" i="15"/>
  <c r="B554" i="15"/>
  <c r="A554" i="15"/>
  <c r="R554" i="15" s="1"/>
  <c r="AH553" i="15"/>
  <c r="AG553" i="15"/>
  <c r="AE553" i="15"/>
  <c r="AA553" i="15"/>
  <c r="Y553" i="15"/>
  <c r="W553" i="15"/>
  <c r="V553" i="15"/>
  <c r="R553" i="15"/>
  <c r="Q553" i="15"/>
  <c r="O553" i="15"/>
  <c r="N553" i="15"/>
  <c r="I553" i="15"/>
  <c r="G553" i="15"/>
  <c r="F553" i="15"/>
  <c r="E553" i="15"/>
  <c r="D553" i="15"/>
  <c r="C553" i="15"/>
  <c r="B553" i="15"/>
  <c r="A553" i="15"/>
  <c r="Z553" i="15" s="1"/>
  <c r="AF552" i="15"/>
  <c r="AE552" i="15"/>
  <c r="AC552" i="15"/>
  <c r="W552" i="15"/>
  <c r="T552" i="15"/>
  <c r="M552" i="15"/>
  <c r="K552" i="15"/>
  <c r="F552" i="15"/>
  <c r="E552" i="15"/>
  <c r="D552" i="15"/>
  <c r="C552" i="15"/>
  <c r="B552" i="15"/>
  <c r="A552" i="15"/>
  <c r="J551" i="15"/>
  <c r="I551" i="15"/>
  <c r="F551" i="15"/>
  <c r="E551" i="15"/>
  <c r="D551" i="15"/>
  <c r="C551" i="15"/>
  <c r="B551" i="15"/>
  <c r="A551" i="15"/>
  <c r="Z550" i="15"/>
  <c r="T550" i="15"/>
  <c r="F550" i="15"/>
  <c r="E550" i="15"/>
  <c r="D550" i="15"/>
  <c r="C550" i="15"/>
  <c r="B550" i="15"/>
  <c r="A550" i="15"/>
  <c r="F549" i="15"/>
  <c r="E549" i="15"/>
  <c r="D549" i="15"/>
  <c r="C549" i="15"/>
  <c r="B549" i="15"/>
  <c r="A549" i="15"/>
  <c r="AE548" i="15"/>
  <c r="AA548" i="15"/>
  <c r="Y548" i="15"/>
  <c r="X548" i="15"/>
  <c r="H548" i="15"/>
  <c r="G548" i="15"/>
  <c r="F548" i="15"/>
  <c r="E548" i="15"/>
  <c r="D548" i="15"/>
  <c r="C548" i="15"/>
  <c r="B548" i="15"/>
  <c r="A548" i="15"/>
  <c r="AH547" i="15"/>
  <c r="M547" i="15"/>
  <c r="J547" i="15"/>
  <c r="F547" i="15"/>
  <c r="E547" i="15"/>
  <c r="D547" i="15"/>
  <c r="C547" i="15"/>
  <c r="B547" i="15"/>
  <c r="A547" i="15"/>
  <c r="AC546" i="15"/>
  <c r="AB546" i="15"/>
  <c r="X546" i="15"/>
  <c r="W546" i="15"/>
  <c r="U546" i="15"/>
  <c r="M546" i="15"/>
  <c r="K546" i="15"/>
  <c r="J546" i="15"/>
  <c r="F546" i="15"/>
  <c r="E546" i="15"/>
  <c r="D546" i="15"/>
  <c r="C546" i="15"/>
  <c r="B546" i="15"/>
  <c r="A546" i="15"/>
  <c r="AA545" i="15"/>
  <c r="J545" i="15"/>
  <c r="F545" i="15"/>
  <c r="E545" i="15"/>
  <c r="D545" i="15"/>
  <c r="C545" i="15"/>
  <c r="B545" i="15"/>
  <c r="A545" i="15"/>
  <c r="AB544" i="15"/>
  <c r="F544" i="15"/>
  <c r="E544" i="15"/>
  <c r="D544" i="15"/>
  <c r="C544" i="15"/>
  <c r="B544" i="15"/>
  <c r="A544" i="15"/>
  <c r="I544" i="15" s="1"/>
  <c r="AH543" i="15"/>
  <c r="Z543" i="15"/>
  <c r="Y543" i="15"/>
  <c r="X543" i="15"/>
  <c r="W543" i="15"/>
  <c r="Q543" i="15"/>
  <c r="P543" i="15"/>
  <c r="H543" i="15"/>
  <c r="G543" i="15"/>
  <c r="F543" i="15"/>
  <c r="E543" i="15"/>
  <c r="D543" i="15"/>
  <c r="C543" i="15"/>
  <c r="B543" i="15"/>
  <c r="A543" i="15"/>
  <c r="AG543" i="15" s="1"/>
  <c r="AE542" i="15"/>
  <c r="Q542" i="15"/>
  <c r="O542" i="15"/>
  <c r="F542" i="15"/>
  <c r="E542" i="15"/>
  <c r="D542" i="15"/>
  <c r="C542" i="15"/>
  <c r="B542" i="15"/>
  <c r="A542" i="15"/>
  <c r="M541" i="15"/>
  <c r="F541" i="15"/>
  <c r="E541" i="15"/>
  <c r="D541" i="15"/>
  <c r="C541" i="15"/>
  <c r="B541" i="15"/>
  <c r="A541" i="15"/>
  <c r="AC540" i="15"/>
  <c r="F540" i="15"/>
  <c r="E540" i="15"/>
  <c r="D540" i="15"/>
  <c r="C540" i="15"/>
  <c r="B540" i="15"/>
  <c r="A540" i="15"/>
  <c r="K540" i="15" s="1"/>
  <c r="AC539" i="15"/>
  <c r="J539" i="15"/>
  <c r="G539" i="15"/>
  <c r="F539" i="15"/>
  <c r="E539" i="15"/>
  <c r="D539" i="15"/>
  <c r="C539" i="15"/>
  <c r="B539" i="15"/>
  <c r="A539" i="15"/>
  <c r="H538" i="15"/>
  <c r="G538" i="15"/>
  <c r="F538" i="15"/>
  <c r="E538" i="15"/>
  <c r="D538" i="15"/>
  <c r="C538" i="15"/>
  <c r="B538" i="15"/>
  <c r="A538" i="15"/>
  <c r="AH537" i="15"/>
  <c r="AG537" i="15"/>
  <c r="Z537" i="15"/>
  <c r="Y537" i="15"/>
  <c r="V537" i="15"/>
  <c r="I537" i="15"/>
  <c r="G537" i="15"/>
  <c r="F537" i="15"/>
  <c r="E537" i="15"/>
  <c r="D537" i="15"/>
  <c r="C537" i="15"/>
  <c r="B537" i="15"/>
  <c r="A537" i="15"/>
  <c r="AG536" i="15"/>
  <c r="AF536" i="15"/>
  <c r="AE536" i="15"/>
  <c r="AC536" i="15"/>
  <c r="U536" i="15"/>
  <c r="T536" i="15"/>
  <c r="N536" i="15"/>
  <c r="M536" i="15"/>
  <c r="F536" i="15"/>
  <c r="E536" i="15"/>
  <c r="D536" i="15"/>
  <c r="C536" i="15"/>
  <c r="B536" i="15"/>
  <c r="A536" i="15"/>
  <c r="S535" i="15"/>
  <c r="I535" i="15"/>
  <c r="F535" i="15"/>
  <c r="E535" i="15"/>
  <c r="D535" i="15"/>
  <c r="C535" i="15"/>
  <c r="B535" i="15"/>
  <c r="A535" i="15"/>
  <c r="Z534" i="15"/>
  <c r="S534" i="15"/>
  <c r="F534" i="15"/>
  <c r="E534" i="15"/>
  <c r="D534" i="15"/>
  <c r="C534" i="15"/>
  <c r="B534" i="15"/>
  <c r="A534" i="15"/>
  <c r="I533" i="15"/>
  <c r="G533" i="15"/>
  <c r="F533" i="15"/>
  <c r="E533" i="15"/>
  <c r="D533" i="15"/>
  <c r="C533" i="15"/>
  <c r="B533" i="15"/>
  <c r="A533" i="15"/>
  <c r="AA533" i="15" s="1"/>
  <c r="AF532" i="15"/>
  <c r="AE532" i="15"/>
  <c r="AA532" i="15"/>
  <c r="Y532" i="15"/>
  <c r="X532" i="15"/>
  <c r="P532" i="15"/>
  <c r="M532" i="15"/>
  <c r="H532" i="15"/>
  <c r="F532" i="15"/>
  <c r="E532" i="15"/>
  <c r="D532" i="15"/>
  <c r="C532" i="15"/>
  <c r="B532" i="15"/>
  <c r="A532" i="15"/>
  <c r="AH531" i="15"/>
  <c r="AE531" i="15"/>
  <c r="AD531" i="15"/>
  <c r="Y531" i="15"/>
  <c r="W531" i="15"/>
  <c r="O531" i="15"/>
  <c r="N531" i="15"/>
  <c r="K531" i="15"/>
  <c r="G531" i="15"/>
  <c r="F531" i="15"/>
  <c r="E531" i="15"/>
  <c r="D531" i="15"/>
  <c r="C531" i="15"/>
  <c r="B531" i="15"/>
  <c r="A531" i="15"/>
  <c r="AG530" i="15"/>
  <c r="AF530" i="15"/>
  <c r="AE530" i="15"/>
  <c r="X530" i="15"/>
  <c r="W530" i="15"/>
  <c r="U530" i="15"/>
  <c r="T530" i="15"/>
  <c r="S530" i="15"/>
  <c r="O530" i="15"/>
  <c r="K530" i="15"/>
  <c r="J530" i="15"/>
  <c r="F530" i="15"/>
  <c r="E530" i="15"/>
  <c r="D530" i="15"/>
  <c r="C530" i="15"/>
  <c r="B530" i="15"/>
  <c r="A530" i="15"/>
  <c r="Z530" i="15" s="1"/>
  <c r="F529" i="15"/>
  <c r="E529" i="15"/>
  <c r="D529" i="15"/>
  <c r="C529" i="15"/>
  <c r="B529" i="15"/>
  <c r="A529" i="15"/>
  <c r="Q528" i="15"/>
  <c r="P528" i="15"/>
  <c r="F528" i="15"/>
  <c r="E528" i="15"/>
  <c r="D528" i="15"/>
  <c r="C528" i="15"/>
  <c r="B528" i="15"/>
  <c r="A528" i="15"/>
  <c r="W527" i="15"/>
  <c r="Q527" i="15"/>
  <c r="O527" i="15"/>
  <c r="F527" i="15"/>
  <c r="E527" i="15"/>
  <c r="D527" i="15"/>
  <c r="C527" i="15"/>
  <c r="B527" i="15"/>
  <c r="A527" i="15"/>
  <c r="N527" i="15" s="1"/>
  <c r="AH526" i="15"/>
  <c r="Z526" i="15"/>
  <c r="Y526" i="15"/>
  <c r="X526" i="15"/>
  <c r="W526" i="15"/>
  <c r="U526" i="15"/>
  <c r="O526" i="15"/>
  <c r="M526" i="15"/>
  <c r="H526" i="15"/>
  <c r="G526" i="15"/>
  <c r="F526" i="15"/>
  <c r="E526" i="15"/>
  <c r="D526" i="15"/>
  <c r="C526" i="15"/>
  <c r="B526" i="15"/>
  <c r="A526" i="15"/>
  <c r="AH525" i="15"/>
  <c r="AG525" i="15"/>
  <c r="AE525" i="15"/>
  <c r="Y525" i="15"/>
  <c r="W525" i="15"/>
  <c r="V525" i="15"/>
  <c r="U525" i="15"/>
  <c r="T525" i="15"/>
  <c r="O525" i="15"/>
  <c r="L525" i="15"/>
  <c r="K525" i="15"/>
  <c r="F525" i="15"/>
  <c r="E525" i="15"/>
  <c r="D525" i="15"/>
  <c r="C525" i="15"/>
  <c r="B525" i="15"/>
  <c r="A525" i="15"/>
  <c r="AA525" i="15" s="1"/>
  <c r="U524" i="15"/>
  <c r="Q524" i="15"/>
  <c r="H524" i="15"/>
  <c r="F524" i="15"/>
  <c r="E524" i="15"/>
  <c r="D524" i="15"/>
  <c r="C524" i="15"/>
  <c r="B524" i="15"/>
  <c r="A524" i="15"/>
  <c r="Z523" i="15"/>
  <c r="Y523" i="15"/>
  <c r="H523" i="15"/>
  <c r="G523" i="15"/>
  <c r="F523" i="15"/>
  <c r="E523" i="15"/>
  <c r="D523" i="15"/>
  <c r="C523" i="15"/>
  <c r="B523" i="15"/>
  <c r="A523" i="15"/>
  <c r="AH523" i="15" s="1"/>
  <c r="F522" i="15"/>
  <c r="E522" i="15"/>
  <c r="D522" i="15"/>
  <c r="C522" i="15"/>
  <c r="B522" i="15"/>
  <c r="A522" i="15"/>
  <c r="O521" i="15"/>
  <c r="N521" i="15"/>
  <c r="F521" i="15"/>
  <c r="E521" i="15"/>
  <c r="D521" i="15"/>
  <c r="C521" i="15"/>
  <c r="B521" i="15"/>
  <c r="A521" i="15"/>
  <c r="AG520" i="15"/>
  <c r="AF520" i="15"/>
  <c r="AE520" i="15"/>
  <c r="X520" i="15"/>
  <c r="W520" i="15"/>
  <c r="V520" i="15"/>
  <c r="U520" i="15"/>
  <c r="T520" i="15"/>
  <c r="O520" i="15"/>
  <c r="L520" i="15"/>
  <c r="K520" i="15"/>
  <c r="F520" i="15"/>
  <c r="E520" i="15"/>
  <c r="D520" i="15"/>
  <c r="C520" i="15"/>
  <c r="B520" i="15"/>
  <c r="A520" i="15"/>
  <c r="AA520" i="15" s="1"/>
  <c r="J519" i="15"/>
  <c r="I519" i="15"/>
  <c r="F519" i="15"/>
  <c r="E519" i="15"/>
  <c r="D519" i="15"/>
  <c r="C519" i="15"/>
  <c r="B519" i="15"/>
  <c r="A519" i="15"/>
  <c r="AA518" i="15"/>
  <c r="Z518" i="15"/>
  <c r="F518" i="15"/>
  <c r="E518" i="15"/>
  <c r="D518" i="15"/>
  <c r="C518" i="15"/>
  <c r="B518" i="15"/>
  <c r="A518" i="15"/>
  <c r="F517" i="15"/>
  <c r="E517" i="15"/>
  <c r="D517" i="15"/>
  <c r="C517" i="15"/>
  <c r="B517" i="15"/>
  <c r="A517" i="15"/>
  <c r="AA516" i="15"/>
  <c r="Y516" i="15"/>
  <c r="X516" i="15"/>
  <c r="W516" i="15"/>
  <c r="V516" i="15"/>
  <c r="N516" i="15"/>
  <c r="H516" i="15"/>
  <c r="G516" i="15"/>
  <c r="F516" i="15"/>
  <c r="E516" i="15"/>
  <c r="D516" i="15"/>
  <c r="C516" i="15"/>
  <c r="B516" i="15"/>
  <c r="A516" i="15"/>
  <c r="O515" i="15"/>
  <c r="F515" i="15"/>
  <c r="E515" i="15"/>
  <c r="D515" i="15"/>
  <c r="C515" i="15"/>
  <c r="B515" i="15"/>
  <c r="A515" i="15"/>
  <c r="AG514" i="15"/>
  <c r="AF514" i="15"/>
  <c r="AE514" i="15"/>
  <c r="AC514" i="15"/>
  <c r="X514" i="15"/>
  <c r="W514" i="15"/>
  <c r="U514" i="15"/>
  <c r="T514" i="15"/>
  <c r="S514" i="15"/>
  <c r="O514" i="15"/>
  <c r="M514" i="15"/>
  <c r="K514" i="15"/>
  <c r="J514" i="15"/>
  <c r="F514" i="15"/>
  <c r="E514" i="15"/>
  <c r="D514" i="15"/>
  <c r="C514" i="15"/>
  <c r="B514" i="15"/>
  <c r="A514" i="15"/>
  <c r="Z514" i="15" s="1"/>
  <c r="J513" i="15"/>
  <c r="I513" i="15"/>
  <c r="F513" i="15"/>
  <c r="E513" i="15"/>
  <c r="D513" i="15"/>
  <c r="C513" i="15"/>
  <c r="B513" i="15"/>
  <c r="A513" i="15"/>
  <c r="Y512" i="15"/>
  <c r="H512" i="15"/>
  <c r="F512" i="15"/>
  <c r="E512" i="15"/>
  <c r="D512" i="15"/>
  <c r="C512" i="15"/>
  <c r="B512" i="15"/>
  <c r="A512" i="15"/>
  <c r="G512" i="15" s="1"/>
  <c r="AH511" i="15"/>
  <c r="Z511" i="15"/>
  <c r="Y511" i="15"/>
  <c r="X511" i="15"/>
  <c r="W511" i="15"/>
  <c r="Q511" i="15"/>
  <c r="P511" i="15"/>
  <c r="H511" i="15"/>
  <c r="G511" i="15"/>
  <c r="F511" i="15"/>
  <c r="E511" i="15"/>
  <c r="D511" i="15"/>
  <c r="C511" i="15"/>
  <c r="B511" i="15"/>
  <c r="A511" i="15"/>
  <c r="AG511" i="15" s="1"/>
  <c r="F510" i="15"/>
  <c r="E510" i="15"/>
  <c r="D510" i="15"/>
  <c r="C510" i="15"/>
  <c r="B510" i="15"/>
  <c r="A510" i="15"/>
  <c r="AE509" i="15"/>
  <c r="AC509" i="15"/>
  <c r="Y509" i="15"/>
  <c r="W509" i="15"/>
  <c r="V509" i="15"/>
  <c r="Q509" i="15"/>
  <c r="O509" i="15"/>
  <c r="N509" i="15"/>
  <c r="L509" i="15"/>
  <c r="K509" i="15"/>
  <c r="F509" i="15"/>
  <c r="E509" i="15"/>
  <c r="D509" i="15"/>
  <c r="C509" i="15"/>
  <c r="B509" i="15"/>
  <c r="A509" i="15"/>
  <c r="T508" i="15"/>
  <c r="Q508" i="15"/>
  <c r="L508" i="15"/>
  <c r="F508" i="15"/>
  <c r="E508" i="15"/>
  <c r="D508" i="15"/>
  <c r="C508" i="15"/>
  <c r="B508" i="15"/>
  <c r="A508" i="15"/>
  <c r="F507" i="15"/>
  <c r="E507" i="15"/>
  <c r="D507" i="15"/>
  <c r="C507" i="15"/>
  <c r="B507" i="15"/>
  <c r="A507" i="15"/>
  <c r="Y507" i="15" s="1"/>
  <c r="F506" i="15"/>
  <c r="E506" i="15"/>
  <c r="D506" i="15"/>
  <c r="C506" i="15"/>
  <c r="B506" i="15"/>
  <c r="A506" i="15"/>
  <c r="AA505" i="15"/>
  <c r="I505" i="15"/>
  <c r="G505" i="15"/>
  <c r="F505" i="15"/>
  <c r="E505" i="15"/>
  <c r="D505" i="15"/>
  <c r="C505" i="15"/>
  <c r="B505" i="15"/>
  <c r="A505" i="15"/>
  <c r="AG504" i="15"/>
  <c r="AF504" i="15"/>
  <c r="AE504" i="15"/>
  <c r="AA504" i="15"/>
  <c r="X504" i="15"/>
  <c r="W504" i="15"/>
  <c r="V504" i="15"/>
  <c r="U504" i="15"/>
  <c r="P504" i="15"/>
  <c r="O504" i="15"/>
  <c r="N504" i="15"/>
  <c r="L504" i="15"/>
  <c r="K504" i="15"/>
  <c r="F504" i="15"/>
  <c r="E504" i="15"/>
  <c r="D504" i="15"/>
  <c r="C504" i="15"/>
  <c r="B504" i="15"/>
  <c r="A504" i="15"/>
  <c r="U503" i="15"/>
  <c r="R503" i="15"/>
  <c r="M503" i="15"/>
  <c r="F503" i="15"/>
  <c r="E503" i="15"/>
  <c r="D503" i="15"/>
  <c r="C503" i="15"/>
  <c r="B503" i="15"/>
  <c r="A503" i="15"/>
  <c r="AA502" i="15"/>
  <c r="Z502" i="15"/>
  <c r="T502" i="15"/>
  <c r="S502" i="15"/>
  <c r="I502" i="15"/>
  <c r="H502" i="15"/>
  <c r="F502" i="15"/>
  <c r="E502" i="15"/>
  <c r="D502" i="15"/>
  <c r="C502" i="15"/>
  <c r="B502" i="15"/>
  <c r="A502" i="15"/>
  <c r="R502" i="15" s="1"/>
  <c r="Z501" i="15"/>
  <c r="I501" i="15"/>
  <c r="G501" i="15"/>
  <c r="F501" i="15"/>
  <c r="E501" i="15"/>
  <c r="D501" i="15"/>
  <c r="C501" i="15"/>
  <c r="B501" i="15"/>
  <c r="A501" i="15"/>
  <c r="AG500" i="15"/>
  <c r="AF500" i="15"/>
  <c r="AE500" i="15"/>
  <c r="AA500" i="15"/>
  <c r="X500" i="15"/>
  <c r="W500" i="15"/>
  <c r="V500" i="15"/>
  <c r="Q500" i="15"/>
  <c r="P500" i="15"/>
  <c r="O500" i="15"/>
  <c r="N500" i="15"/>
  <c r="H500" i="15"/>
  <c r="G500" i="15"/>
  <c r="F500" i="15"/>
  <c r="E500" i="15"/>
  <c r="D500" i="15"/>
  <c r="C500" i="15"/>
  <c r="B500" i="15"/>
  <c r="A500" i="15"/>
  <c r="Y500" i="15" s="1"/>
  <c r="AH499" i="15"/>
  <c r="AG499" i="15"/>
  <c r="AF499" i="15"/>
  <c r="AE499" i="15"/>
  <c r="AD499" i="15"/>
  <c r="Y499" i="15"/>
  <c r="X499" i="15"/>
  <c r="V499" i="15"/>
  <c r="U499" i="15"/>
  <c r="Q499" i="15"/>
  <c r="P499" i="15"/>
  <c r="O499" i="15"/>
  <c r="N499" i="15"/>
  <c r="M499" i="15"/>
  <c r="H499" i="15"/>
  <c r="G499" i="15"/>
  <c r="F499" i="15"/>
  <c r="E499" i="15"/>
  <c r="D499" i="15"/>
  <c r="C499" i="15"/>
  <c r="B499" i="15"/>
  <c r="A499" i="15"/>
  <c r="Z499" i="15" s="1"/>
  <c r="AG498" i="15"/>
  <c r="AF498" i="15"/>
  <c r="AE498" i="15"/>
  <c r="AC498" i="15"/>
  <c r="AB498" i="15"/>
  <c r="Z498" i="15"/>
  <c r="U498" i="15"/>
  <c r="T498" i="15"/>
  <c r="S498" i="15"/>
  <c r="Q498" i="15"/>
  <c r="P498" i="15"/>
  <c r="L498" i="15"/>
  <c r="K498" i="15"/>
  <c r="H498" i="15"/>
  <c r="G498" i="15"/>
  <c r="F498" i="15"/>
  <c r="E498" i="15"/>
  <c r="D498" i="15"/>
  <c r="C498" i="15"/>
  <c r="B498" i="15"/>
  <c r="A498" i="15"/>
  <c r="AC497" i="15"/>
  <c r="F497" i="15"/>
  <c r="E497" i="15"/>
  <c r="D497" i="15"/>
  <c r="C497" i="15"/>
  <c r="B497" i="15"/>
  <c r="A497" i="15"/>
  <c r="X496" i="15"/>
  <c r="Q496" i="15"/>
  <c r="F496" i="15"/>
  <c r="E496" i="15"/>
  <c r="D496" i="15"/>
  <c r="C496" i="15"/>
  <c r="B496" i="15"/>
  <c r="A496" i="15"/>
  <c r="AF495" i="15"/>
  <c r="Z495" i="15"/>
  <c r="Y495" i="15"/>
  <c r="X495" i="15"/>
  <c r="W495" i="15"/>
  <c r="Q495" i="15"/>
  <c r="H495" i="15"/>
  <c r="G495" i="15"/>
  <c r="F495" i="15"/>
  <c r="E495" i="15"/>
  <c r="D495" i="15"/>
  <c r="C495" i="15"/>
  <c r="B495" i="15"/>
  <c r="A495" i="15"/>
  <c r="AH494" i="15"/>
  <c r="AG494" i="15"/>
  <c r="AF494" i="15"/>
  <c r="AE494" i="15"/>
  <c r="Z494" i="15"/>
  <c r="X494" i="15"/>
  <c r="W494" i="15"/>
  <c r="U494" i="15"/>
  <c r="Q494" i="15"/>
  <c r="P494" i="15"/>
  <c r="O494" i="15"/>
  <c r="M494" i="15"/>
  <c r="H494" i="15"/>
  <c r="G494" i="15"/>
  <c r="F494" i="15"/>
  <c r="E494" i="15"/>
  <c r="D494" i="15"/>
  <c r="C494" i="15"/>
  <c r="B494" i="15"/>
  <c r="A494" i="15"/>
  <c r="Y494" i="15" s="1"/>
  <c r="AG493" i="15"/>
  <c r="AE493" i="15"/>
  <c r="AD493" i="15"/>
  <c r="AA493" i="15"/>
  <c r="V493" i="15"/>
  <c r="U493" i="15"/>
  <c r="T493" i="15"/>
  <c r="R493" i="15"/>
  <c r="Q493" i="15"/>
  <c r="L493" i="15"/>
  <c r="I493" i="15"/>
  <c r="G493" i="15"/>
  <c r="F493" i="15"/>
  <c r="E493" i="15"/>
  <c r="D493" i="15"/>
  <c r="C493" i="15"/>
  <c r="B493" i="15"/>
  <c r="A493" i="15"/>
  <c r="AC492" i="15"/>
  <c r="F492" i="15"/>
  <c r="E492" i="15"/>
  <c r="D492" i="15"/>
  <c r="C492" i="15"/>
  <c r="B492" i="15"/>
  <c r="A492" i="15"/>
  <c r="Z491" i="15"/>
  <c r="Y491" i="15"/>
  <c r="S491" i="15"/>
  <c r="R491" i="15"/>
  <c r="Q491" i="15"/>
  <c r="H491" i="15"/>
  <c r="G491" i="15"/>
  <c r="F491" i="15"/>
  <c r="E491" i="15"/>
  <c r="D491" i="15"/>
  <c r="C491" i="15"/>
  <c r="B491" i="15"/>
  <c r="A491" i="15"/>
  <c r="J491" i="15" s="1"/>
  <c r="Y490" i="15"/>
  <c r="G490" i="15"/>
  <c r="F490" i="15"/>
  <c r="E490" i="15"/>
  <c r="D490" i="15"/>
  <c r="C490" i="15"/>
  <c r="B490" i="15"/>
  <c r="A490" i="15"/>
  <c r="AG489" i="15"/>
  <c r="AE489" i="15"/>
  <c r="AA489" i="15"/>
  <c r="Z489" i="15"/>
  <c r="V489" i="15"/>
  <c r="R489" i="15"/>
  <c r="Q489" i="15"/>
  <c r="N489" i="15"/>
  <c r="M489" i="15"/>
  <c r="F489" i="15"/>
  <c r="E489" i="15"/>
  <c r="D489" i="15"/>
  <c r="C489" i="15"/>
  <c r="B489" i="15"/>
  <c r="A489" i="15"/>
  <c r="AA488" i="15"/>
  <c r="Y488" i="15"/>
  <c r="X488" i="15"/>
  <c r="U488" i="15"/>
  <c r="Q488" i="15"/>
  <c r="H488" i="15"/>
  <c r="G488" i="15"/>
  <c r="F488" i="15"/>
  <c r="E488" i="15"/>
  <c r="D488" i="15"/>
  <c r="C488" i="15"/>
  <c r="B488" i="15"/>
  <c r="A488" i="15"/>
  <c r="AD487" i="15"/>
  <c r="F487" i="15"/>
  <c r="E487" i="15"/>
  <c r="D487" i="15"/>
  <c r="C487" i="15"/>
  <c r="B487" i="15"/>
  <c r="A487" i="15"/>
  <c r="Z486" i="15"/>
  <c r="T486" i="15"/>
  <c r="S486" i="15"/>
  <c r="Q486" i="15"/>
  <c r="H486" i="15"/>
  <c r="F486" i="15"/>
  <c r="E486" i="15"/>
  <c r="D486" i="15"/>
  <c r="C486" i="15"/>
  <c r="B486" i="15"/>
  <c r="A486" i="15"/>
  <c r="AA486" i="15" s="1"/>
  <c r="AA485" i="15"/>
  <c r="Z485" i="15"/>
  <c r="I485" i="15"/>
  <c r="G485" i="15"/>
  <c r="F485" i="15"/>
  <c r="E485" i="15"/>
  <c r="D485" i="15"/>
  <c r="C485" i="15"/>
  <c r="B485" i="15"/>
  <c r="A485" i="15"/>
  <c r="AH485" i="15" s="1"/>
  <c r="N484" i="15"/>
  <c r="M484" i="15"/>
  <c r="F484" i="15"/>
  <c r="E484" i="15"/>
  <c r="D484" i="15"/>
  <c r="C484" i="15"/>
  <c r="B484" i="15"/>
  <c r="A484" i="15"/>
  <c r="AH483" i="15"/>
  <c r="W483" i="15"/>
  <c r="F483" i="15"/>
  <c r="E483" i="15"/>
  <c r="D483" i="15"/>
  <c r="C483" i="15"/>
  <c r="B483" i="15"/>
  <c r="A483" i="15"/>
  <c r="O483" i="15" s="1"/>
  <c r="AE482" i="15"/>
  <c r="Z482" i="15"/>
  <c r="Y482" i="15"/>
  <c r="U482" i="15"/>
  <c r="T482" i="15"/>
  <c r="Q482" i="15"/>
  <c r="O482" i="15"/>
  <c r="K482" i="15"/>
  <c r="H482" i="15"/>
  <c r="G482" i="15"/>
  <c r="F482" i="15"/>
  <c r="E482" i="15"/>
  <c r="D482" i="15"/>
  <c r="C482" i="15"/>
  <c r="B482" i="15"/>
  <c r="A482" i="15"/>
  <c r="F481" i="15"/>
  <c r="E481" i="15"/>
  <c r="D481" i="15"/>
  <c r="C481" i="15"/>
  <c r="B481" i="15"/>
  <c r="A481" i="15"/>
  <c r="S480" i="15"/>
  <c r="P480" i="15"/>
  <c r="F480" i="15"/>
  <c r="E480" i="15"/>
  <c r="D480" i="15"/>
  <c r="C480" i="15"/>
  <c r="B480" i="15"/>
  <c r="A480" i="15"/>
  <c r="AH479" i="15"/>
  <c r="Z479" i="15"/>
  <c r="Y479" i="15"/>
  <c r="X479" i="15"/>
  <c r="W479" i="15"/>
  <c r="Q479" i="15"/>
  <c r="P479" i="15"/>
  <c r="H479" i="15"/>
  <c r="G479" i="15"/>
  <c r="F479" i="15"/>
  <c r="E479" i="15"/>
  <c r="D479" i="15"/>
  <c r="C479" i="15"/>
  <c r="B479" i="15"/>
  <c r="A479" i="15"/>
  <c r="AG479" i="15" s="1"/>
  <c r="AH478" i="15"/>
  <c r="AF478" i="15"/>
  <c r="AE478" i="15"/>
  <c r="Z478" i="15"/>
  <c r="Y478" i="15"/>
  <c r="U478" i="15"/>
  <c r="Q478" i="15"/>
  <c r="P478" i="15"/>
  <c r="M478" i="15"/>
  <c r="L478" i="15"/>
  <c r="F478" i="15"/>
  <c r="E478" i="15"/>
  <c r="D478" i="15"/>
  <c r="C478" i="15"/>
  <c r="B478" i="15"/>
  <c r="A478" i="15"/>
  <c r="AA477" i="15"/>
  <c r="Z477" i="15"/>
  <c r="Y477" i="15"/>
  <c r="U477" i="15"/>
  <c r="R477" i="15"/>
  <c r="I477" i="15"/>
  <c r="G477" i="15"/>
  <c r="F477" i="15"/>
  <c r="E477" i="15"/>
  <c r="D477" i="15"/>
  <c r="C477" i="15"/>
  <c r="B477" i="15"/>
  <c r="A477" i="15"/>
  <c r="K476" i="15"/>
  <c r="F476" i="15"/>
  <c r="E476" i="15"/>
  <c r="D476" i="15"/>
  <c r="C476" i="15"/>
  <c r="B476" i="15"/>
  <c r="A476" i="15"/>
  <c r="AC476" i="15" s="1"/>
  <c r="Z475" i="15"/>
  <c r="Y475" i="15"/>
  <c r="S475" i="15"/>
  <c r="Q475" i="15"/>
  <c r="H475" i="15"/>
  <c r="F475" i="15"/>
  <c r="E475" i="15"/>
  <c r="D475" i="15"/>
  <c r="C475" i="15"/>
  <c r="B475" i="15"/>
  <c r="A475" i="15"/>
  <c r="G475" i="15" s="1"/>
  <c r="Z474" i="15"/>
  <c r="H474" i="15"/>
  <c r="G474" i="15"/>
  <c r="F474" i="15"/>
  <c r="E474" i="15"/>
  <c r="D474" i="15"/>
  <c r="C474" i="15"/>
  <c r="B474" i="15"/>
  <c r="A474" i="15"/>
  <c r="Q474" i="15" s="1"/>
  <c r="AE473" i="15"/>
  <c r="O473" i="15"/>
  <c r="I473" i="15"/>
  <c r="G473" i="15"/>
  <c r="F473" i="15"/>
  <c r="E473" i="15"/>
  <c r="D473" i="15"/>
  <c r="C473" i="15"/>
  <c r="B473" i="15"/>
  <c r="A473" i="15"/>
  <c r="AG472" i="15"/>
  <c r="AF472" i="15"/>
  <c r="AD472" i="15"/>
  <c r="AC472" i="15"/>
  <c r="AA472" i="15"/>
  <c r="Y472" i="15"/>
  <c r="X472" i="15"/>
  <c r="W472" i="15"/>
  <c r="V472" i="15"/>
  <c r="T472" i="15"/>
  <c r="Q472" i="15"/>
  <c r="P472" i="15"/>
  <c r="O472" i="15"/>
  <c r="N472" i="15"/>
  <c r="M472" i="15"/>
  <c r="L472" i="15"/>
  <c r="H472" i="15"/>
  <c r="G472" i="15"/>
  <c r="F472" i="15"/>
  <c r="E472" i="15"/>
  <c r="D472" i="15"/>
  <c r="C472" i="15"/>
  <c r="B472" i="15"/>
  <c r="A472" i="15"/>
  <c r="AE472" i="15" s="1"/>
  <c r="F471" i="15"/>
  <c r="E471" i="15"/>
  <c r="D471" i="15"/>
  <c r="C471" i="15"/>
  <c r="B471" i="15"/>
  <c r="A471" i="15"/>
  <c r="F470" i="15"/>
  <c r="E470" i="15"/>
  <c r="D470" i="15"/>
  <c r="C470" i="15"/>
  <c r="B470" i="15"/>
  <c r="A470" i="15"/>
  <c r="Q470" i="15" s="1"/>
  <c r="Y469" i="15"/>
  <c r="S469" i="15"/>
  <c r="F469" i="15"/>
  <c r="E469" i="15"/>
  <c r="D469" i="15"/>
  <c r="C469" i="15"/>
  <c r="B469" i="15"/>
  <c r="A469" i="15"/>
  <c r="M468" i="15"/>
  <c r="F468" i="15"/>
  <c r="E468" i="15"/>
  <c r="D468" i="15"/>
  <c r="C468" i="15"/>
  <c r="B468" i="15"/>
  <c r="A468" i="15"/>
  <c r="AG467" i="15"/>
  <c r="AE467" i="15"/>
  <c r="X467" i="15"/>
  <c r="W467" i="15"/>
  <c r="V467" i="15"/>
  <c r="U467" i="15"/>
  <c r="O467" i="15"/>
  <c r="H467" i="15"/>
  <c r="G467" i="15"/>
  <c r="F467" i="15"/>
  <c r="E467" i="15"/>
  <c r="D467" i="15"/>
  <c r="C467" i="15"/>
  <c r="B467" i="15"/>
  <c r="A467" i="15"/>
  <c r="AG466" i="15"/>
  <c r="AF466" i="15"/>
  <c r="AE466" i="15"/>
  <c r="AC466" i="15"/>
  <c r="AB466" i="15"/>
  <c r="M466" i="15"/>
  <c r="L466" i="15"/>
  <c r="F466" i="15"/>
  <c r="E466" i="15"/>
  <c r="D466" i="15"/>
  <c r="C466" i="15"/>
  <c r="B466" i="15"/>
  <c r="A466" i="15"/>
  <c r="F465" i="15"/>
  <c r="E465" i="15"/>
  <c r="D465" i="15"/>
  <c r="C465" i="15"/>
  <c r="B465" i="15"/>
  <c r="A465" i="15"/>
  <c r="P464" i="15"/>
  <c r="O464" i="15"/>
  <c r="F464" i="15"/>
  <c r="E464" i="15"/>
  <c r="D464" i="15"/>
  <c r="C464" i="15"/>
  <c r="B464" i="15"/>
  <c r="A464" i="15"/>
  <c r="AF463" i="15"/>
  <c r="O463" i="15"/>
  <c r="N463" i="15"/>
  <c r="F463" i="15"/>
  <c r="E463" i="15"/>
  <c r="D463" i="15"/>
  <c r="C463" i="15"/>
  <c r="B463" i="15"/>
  <c r="A463" i="15"/>
  <c r="F462" i="15"/>
  <c r="E462" i="15"/>
  <c r="D462" i="15"/>
  <c r="C462" i="15"/>
  <c r="B462" i="15"/>
  <c r="A462" i="15"/>
  <c r="M462" i="15" s="1"/>
  <c r="AH461" i="15"/>
  <c r="AG461" i="15"/>
  <c r="AE461" i="15"/>
  <c r="Y461" i="15"/>
  <c r="W461" i="15"/>
  <c r="V461" i="15"/>
  <c r="U461" i="15"/>
  <c r="T461" i="15"/>
  <c r="O461" i="15"/>
  <c r="L461" i="15"/>
  <c r="K461" i="15"/>
  <c r="F461" i="15"/>
  <c r="E461" i="15"/>
  <c r="D461" i="15"/>
  <c r="C461" i="15"/>
  <c r="B461" i="15"/>
  <c r="A461" i="15"/>
  <c r="AA461" i="15" s="1"/>
  <c r="AD460" i="15"/>
  <c r="T460" i="15"/>
  <c r="Q460" i="15"/>
  <c r="L460" i="15"/>
  <c r="F460" i="15"/>
  <c r="E460" i="15"/>
  <c r="D460" i="15"/>
  <c r="C460" i="15"/>
  <c r="B460" i="15"/>
  <c r="A460" i="15"/>
  <c r="AB460" i="15" s="1"/>
  <c r="Z459" i="15"/>
  <c r="Y459" i="15"/>
  <c r="H459" i="15"/>
  <c r="G459" i="15"/>
  <c r="F459" i="15"/>
  <c r="E459" i="15"/>
  <c r="D459" i="15"/>
  <c r="C459" i="15"/>
  <c r="B459" i="15"/>
  <c r="A459" i="15"/>
  <c r="AC459" i="15" s="1"/>
  <c r="Z458" i="15"/>
  <c r="H458" i="15"/>
  <c r="F458" i="15"/>
  <c r="E458" i="15"/>
  <c r="D458" i="15"/>
  <c r="C458" i="15"/>
  <c r="B458" i="15"/>
  <c r="A458" i="15"/>
  <c r="I458" i="15" s="1"/>
  <c r="AH457" i="15"/>
  <c r="AG457" i="15"/>
  <c r="AE457" i="15"/>
  <c r="Z457" i="15"/>
  <c r="N457" i="15"/>
  <c r="M457" i="15"/>
  <c r="F457" i="15"/>
  <c r="E457" i="15"/>
  <c r="D457" i="15"/>
  <c r="C457" i="15"/>
  <c r="B457" i="15"/>
  <c r="A457" i="15"/>
  <c r="AG456" i="15"/>
  <c r="AC456" i="15"/>
  <c r="W456" i="15"/>
  <c r="V456" i="15"/>
  <c r="U456" i="15"/>
  <c r="M456" i="15"/>
  <c r="K456" i="15"/>
  <c r="F456" i="15"/>
  <c r="E456" i="15"/>
  <c r="D456" i="15"/>
  <c r="C456" i="15"/>
  <c r="B456" i="15"/>
  <c r="A456" i="15"/>
  <c r="AC455" i="15"/>
  <c r="AA455" i="15"/>
  <c r="V455" i="15"/>
  <c r="U455" i="15"/>
  <c r="J455" i="15"/>
  <c r="I455" i="15"/>
  <c r="F455" i="15"/>
  <c r="E455" i="15"/>
  <c r="D455" i="15"/>
  <c r="C455" i="15"/>
  <c r="B455" i="15"/>
  <c r="A455" i="15"/>
  <c r="S455" i="15" s="1"/>
  <c r="T454" i="15"/>
  <c r="I454" i="15"/>
  <c r="F454" i="15"/>
  <c r="E454" i="15"/>
  <c r="D454" i="15"/>
  <c r="C454" i="15"/>
  <c r="B454" i="15"/>
  <c r="A454" i="15"/>
  <c r="F453" i="15"/>
  <c r="E453" i="15"/>
  <c r="D453" i="15"/>
  <c r="C453" i="15"/>
  <c r="B453" i="15"/>
  <c r="A453" i="15"/>
  <c r="I453" i="15" s="1"/>
  <c r="AG452" i="15"/>
  <c r="AF452" i="15"/>
  <c r="AE452" i="15"/>
  <c r="AA452" i="15"/>
  <c r="X452" i="15"/>
  <c r="W452" i="15"/>
  <c r="V452" i="15"/>
  <c r="Q452" i="15"/>
  <c r="P452" i="15"/>
  <c r="O452" i="15"/>
  <c r="N452" i="15"/>
  <c r="H452" i="15"/>
  <c r="G452" i="15"/>
  <c r="F452" i="15"/>
  <c r="E452" i="15"/>
  <c r="D452" i="15"/>
  <c r="C452" i="15"/>
  <c r="B452" i="15"/>
  <c r="A452" i="15"/>
  <c r="Y452" i="15" s="1"/>
  <c r="AG451" i="15"/>
  <c r="AE451" i="15"/>
  <c r="AD451" i="15"/>
  <c r="Y451" i="15"/>
  <c r="X451" i="15"/>
  <c r="U451" i="15"/>
  <c r="O451" i="15"/>
  <c r="M451" i="15"/>
  <c r="K451" i="15"/>
  <c r="F451" i="15"/>
  <c r="E451" i="15"/>
  <c r="D451" i="15"/>
  <c r="C451" i="15"/>
  <c r="B451" i="15"/>
  <c r="A451" i="15"/>
  <c r="T450" i="15"/>
  <c r="F450" i="15"/>
  <c r="E450" i="15"/>
  <c r="D450" i="15"/>
  <c r="C450" i="15"/>
  <c r="B450" i="15"/>
  <c r="A450" i="15"/>
  <c r="T449" i="15"/>
  <c r="S449" i="15"/>
  <c r="F449" i="15"/>
  <c r="E449" i="15"/>
  <c r="D449" i="15"/>
  <c r="C449" i="15"/>
  <c r="B449" i="15"/>
  <c r="A449" i="15"/>
  <c r="F448" i="15"/>
  <c r="E448" i="15"/>
  <c r="D448" i="15"/>
  <c r="C448" i="15"/>
  <c r="B448" i="15"/>
  <c r="A448" i="15"/>
  <c r="AH447" i="15"/>
  <c r="AG447" i="15"/>
  <c r="Z447" i="15"/>
  <c r="Y447" i="15"/>
  <c r="X447" i="15"/>
  <c r="W447" i="15"/>
  <c r="Q447" i="15"/>
  <c r="P447" i="15"/>
  <c r="O447" i="15"/>
  <c r="H447" i="15"/>
  <c r="G447" i="15"/>
  <c r="F447" i="15"/>
  <c r="E447" i="15"/>
  <c r="D447" i="15"/>
  <c r="C447" i="15"/>
  <c r="B447" i="15"/>
  <c r="A447" i="15"/>
  <c r="AF447" i="15" s="1"/>
  <c r="L446" i="15"/>
  <c r="H446" i="15"/>
  <c r="F446" i="15"/>
  <c r="E446" i="15"/>
  <c r="D446" i="15"/>
  <c r="C446" i="15"/>
  <c r="B446" i="15"/>
  <c r="A446" i="15"/>
  <c r="AH445" i="15"/>
  <c r="AD445" i="15"/>
  <c r="F445" i="15"/>
  <c r="E445" i="15"/>
  <c r="D445" i="15"/>
  <c r="C445" i="15"/>
  <c r="B445" i="15"/>
  <c r="A445" i="15"/>
  <c r="L445" i="15" s="1"/>
  <c r="AB444" i="15"/>
  <c r="AA444" i="15"/>
  <c r="U444" i="15"/>
  <c r="I444" i="15"/>
  <c r="H444" i="15"/>
  <c r="F444" i="15"/>
  <c r="E444" i="15"/>
  <c r="D444" i="15"/>
  <c r="C444" i="15"/>
  <c r="B444" i="15"/>
  <c r="A444" i="15"/>
  <c r="Q444" i="15" s="1"/>
  <c r="Z443" i="15"/>
  <c r="H443" i="15"/>
  <c r="F443" i="15"/>
  <c r="E443" i="15"/>
  <c r="D443" i="15"/>
  <c r="C443" i="15"/>
  <c r="B443" i="15"/>
  <c r="A443" i="15"/>
  <c r="AC443" i="15" s="1"/>
  <c r="Y442" i="15"/>
  <c r="Q442" i="15"/>
  <c r="P442" i="15"/>
  <c r="F442" i="15"/>
  <c r="E442" i="15"/>
  <c r="D442" i="15"/>
  <c r="C442" i="15"/>
  <c r="B442" i="15"/>
  <c r="A442" i="15"/>
  <c r="AA441" i="15"/>
  <c r="Y441" i="15"/>
  <c r="O441" i="15"/>
  <c r="N441" i="15"/>
  <c r="F441" i="15"/>
  <c r="E441" i="15"/>
  <c r="D441" i="15"/>
  <c r="C441" i="15"/>
  <c r="B441" i="15"/>
  <c r="A441" i="15"/>
  <c r="AG440" i="15"/>
  <c r="AF440" i="15"/>
  <c r="AE440" i="15"/>
  <c r="X440" i="15"/>
  <c r="W440" i="15"/>
  <c r="V440" i="15"/>
  <c r="U440" i="15"/>
  <c r="T440" i="15"/>
  <c r="O440" i="15"/>
  <c r="L440" i="15"/>
  <c r="K440" i="15"/>
  <c r="F440" i="15"/>
  <c r="E440" i="15"/>
  <c r="D440" i="15"/>
  <c r="C440" i="15"/>
  <c r="B440" i="15"/>
  <c r="A440" i="15"/>
  <c r="AA440" i="15" s="1"/>
  <c r="AA439" i="15"/>
  <c r="I439" i="15"/>
  <c r="F439" i="15"/>
  <c r="E439" i="15"/>
  <c r="D439" i="15"/>
  <c r="C439" i="15"/>
  <c r="B439" i="15"/>
  <c r="A439" i="15"/>
  <c r="F438" i="15"/>
  <c r="E438" i="15"/>
  <c r="D438" i="15"/>
  <c r="C438" i="15"/>
  <c r="B438" i="15"/>
  <c r="A438" i="15"/>
  <c r="AH437" i="15"/>
  <c r="Z437" i="15"/>
  <c r="Y437" i="15"/>
  <c r="S437" i="15"/>
  <c r="O437" i="15"/>
  <c r="G437" i="15"/>
  <c r="F437" i="15"/>
  <c r="E437" i="15"/>
  <c r="D437" i="15"/>
  <c r="C437" i="15"/>
  <c r="B437" i="15"/>
  <c r="A437" i="15"/>
  <c r="AA437" i="15" s="1"/>
  <c r="AG436" i="15"/>
  <c r="AF436" i="15"/>
  <c r="AA436" i="15"/>
  <c r="X436" i="15"/>
  <c r="N436" i="15"/>
  <c r="H436" i="15"/>
  <c r="F436" i="15"/>
  <c r="E436" i="15"/>
  <c r="D436" i="15"/>
  <c r="C436" i="15"/>
  <c r="B436" i="15"/>
  <c r="A436" i="15"/>
  <c r="AE435" i="15"/>
  <c r="Y435" i="15"/>
  <c r="X435" i="15"/>
  <c r="W435" i="15"/>
  <c r="V435" i="15"/>
  <c r="M435" i="15"/>
  <c r="G435" i="15"/>
  <c r="F435" i="15"/>
  <c r="E435" i="15"/>
  <c r="D435" i="15"/>
  <c r="C435" i="15"/>
  <c r="B435" i="15"/>
  <c r="A435" i="15"/>
  <c r="AG434" i="15"/>
  <c r="AF434" i="15"/>
  <c r="AE434" i="15"/>
  <c r="X434" i="15"/>
  <c r="W434" i="15"/>
  <c r="U434" i="15"/>
  <c r="T434" i="15"/>
  <c r="S434" i="15"/>
  <c r="O434" i="15"/>
  <c r="K434" i="15"/>
  <c r="J434" i="15"/>
  <c r="F434" i="15"/>
  <c r="E434" i="15"/>
  <c r="D434" i="15"/>
  <c r="C434" i="15"/>
  <c r="B434" i="15"/>
  <c r="A434" i="15"/>
  <c r="Z434" i="15" s="1"/>
  <c r="F433" i="15"/>
  <c r="E433" i="15"/>
  <c r="D433" i="15"/>
  <c r="C433" i="15"/>
  <c r="B433" i="15"/>
  <c r="A433" i="15"/>
  <c r="U433" i="15" s="1"/>
  <c r="F432" i="15"/>
  <c r="E432" i="15"/>
  <c r="D432" i="15"/>
  <c r="C432" i="15"/>
  <c r="B432" i="15"/>
  <c r="A432" i="15"/>
  <c r="AF431" i="15"/>
  <c r="Y431" i="15"/>
  <c r="W431" i="15"/>
  <c r="Q431" i="15"/>
  <c r="G431" i="15"/>
  <c r="F431" i="15"/>
  <c r="E431" i="15"/>
  <c r="D431" i="15"/>
  <c r="C431" i="15"/>
  <c r="B431" i="15"/>
  <c r="A431" i="15"/>
  <c r="H431" i="15" s="1"/>
  <c r="AH430" i="15"/>
  <c r="AG430" i="15"/>
  <c r="AF430" i="15"/>
  <c r="AE430" i="15"/>
  <c r="Z430" i="15"/>
  <c r="X430" i="15"/>
  <c r="W430" i="15"/>
  <c r="U430" i="15"/>
  <c r="Q430" i="15"/>
  <c r="P430" i="15"/>
  <c r="O430" i="15"/>
  <c r="M430" i="15"/>
  <c r="H430" i="15"/>
  <c r="G430" i="15"/>
  <c r="F430" i="15"/>
  <c r="E430" i="15"/>
  <c r="D430" i="15"/>
  <c r="C430" i="15"/>
  <c r="B430" i="15"/>
  <c r="A430" i="15"/>
  <c r="Y430" i="15" s="1"/>
  <c r="AE429" i="15"/>
  <c r="AD429" i="15"/>
  <c r="F429" i="15"/>
  <c r="E429" i="15"/>
  <c r="D429" i="15"/>
  <c r="C429" i="15"/>
  <c r="B429" i="15"/>
  <c r="A429" i="15"/>
  <c r="L429" i="15" s="1"/>
  <c r="F428" i="15"/>
  <c r="E428" i="15"/>
  <c r="D428" i="15"/>
  <c r="C428" i="15"/>
  <c r="B428" i="15"/>
  <c r="A428" i="15"/>
  <c r="AB428" i="15" s="1"/>
  <c r="Q427" i="15"/>
  <c r="P427" i="15"/>
  <c r="F427" i="15"/>
  <c r="E427" i="15"/>
  <c r="D427" i="15"/>
  <c r="C427" i="15"/>
  <c r="B427" i="15"/>
  <c r="A427" i="15"/>
  <c r="Z426" i="15"/>
  <c r="Y426" i="15"/>
  <c r="X426" i="15"/>
  <c r="H426" i="15"/>
  <c r="G426" i="15"/>
  <c r="F426" i="15"/>
  <c r="E426" i="15"/>
  <c r="D426" i="15"/>
  <c r="C426" i="15"/>
  <c r="B426" i="15"/>
  <c r="A426" i="15"/>
  <c r="AH426" i="15" s="1"/>
  <c r="Z425" i="15"/>
  <c r="F425" i="15"/>
  <c r="E425" i="15"/>
  <c r="D425" i="15"/>
  <c r="C425" i="15"/>
  <c r="B425" i="15"/>
  <c r="A425" i="15"/>
  <c r="O425" i="15" s="1"/>
  <c r="M424" i="15"/>
  <c r="L424" i="15"/>
  <c r="F424" i="15"/>
  <c r="E424" i="15"/>
  <c r="D424" i="15"/>
  <c r="C424" i="15"/>
  <c r="B424" i="15"/>
  <c r="A424" i="15"/>
  <c r="AE423" i="15"/>
  <c r="AA423" i="15"/>
  <c r="V423" i="15"/>
  <c r="M423" i="15"/>
  <c r="I423" i="15"/>
  <c r="F423" i="15"/>
  <c r="E423" i="15"/>
  <c r="D423" i="15"/>
  <c r="C423" i="15"/>
  <c r="B423" i="15"/>
  <c r="A423" i="15"/>
  <c r="S422" i="15"/>
  <c r="F422" i="15"/>
  <c r="E422" i="15"/>
  <c r="D422" i="15"/>
  <c r="C422" i="15"/>
  <c r="B422" i="15"/>
  <c r="A422" i="15"/>
  <c r="I422" i="15" s="1"/>
  <c r="AA421" i="15"/>
  <c r="I421" i="15"/>
  <c r="G421" i="15"/>
  <c r="F421" i="15"/>
  <c r="E421" i="15"/>
  <c r="D421" i="15"/>
  <c r="C421" i="15"/>
  <c r="B421" i="15"/>
  <c r="A421" i="15"/>
  <c r="R421" i="15" s="1"/>
  <c r="M420" i="15"/>
  <c r="H420" i="15"/>
  <c r="F420" i="15"/>
  <c r="E420" i="15"/>
  <c r="D420" i="15"/>
  <c r="C420" i="15"/>
  <c r="B420" i="15"/>
  <c r="A420" i="15"/>
  <c r="AH419" i="15"/>
  <c r="AD419" i="15"/>
  <c r="Y419" i="15"/>
  <c r="X419" i="15"/>
  <c r="W419" i="15"/>
  <c r="V419" i="15"/>
  <c r="U419" i="15"/>
  <c r="N419" i="15"/>
  <c r="K419" i="15"/>
  <c r="G419" i="15"/>
  <c r="F419" i="15"/>
  <c r="E419" i="15"/>
  <c r="D419" i="15"/>
  <c r="C419" i="15"/>
  <c r="B419" i="15"/>
  <c r="A419" i="15"/>
  <c r="AG418" i="15"/>
  <c r="AF418" i="15"/>
  <c r="AE418" i="15"/>
  <c r="AC418" i="15"/>
  <c r="X418" i="15"/>
  <c r="W418" i="15"/>
  <c r="U418" i="15"/>
  <c r="T418" i="15"/>
  <c r="S418" i="15"/>
  <c r="O418" i="15"/>
  <c r="M418" i="15"/>
  <c r="K418" i="15"/>
  <c r="J418" i="15"/>
  <c r="F418" i="15"/>
  <c r="E418" i="15"/>
  <c r="D418" i="15"/>
  <c r="C418" i="15"/>
  <c r="B418" i="15"/>
  <c r="A418" i="15"/>
  <c r="Z418" i="15" s="1"/>
  <c r="F417" i="15"/>
  <c r="E417" i="15"/>
  <c r="D417" i="15"/>
  <c r="C417" i="15"/>
  <c r="B417" i="15"/>
  <c r="A417" i="15"/>
  <c r="F416" i="15"/>
  <c r="E416" i="15"/>
  <c r="D416" i="15"/>
  <c r="C416" i="15"/>
  <c r="B416" i="15"/>
  <c r="A416" i="15"/>
  <c r="AH415" i="15"/>
  <c r="AG415" i="15"/>
  <c r="Z415" i="15"/>
  <c r="Y415" i="15"/>
  <c r="X415" i="15"/>
  <c r="W415" i="15"/>
  <c r="Q415" i="15"/>
  <c r="P415" i="15"/>
  <c r="O415" i="15"/>
  <c r="H415" i="15"/>
  <c r="G415" i="15"/>
  <c r="F415" i="15"/>
  <c r="E415" i="15"/>
  <c r="D415" i="15"/>
  <c r="C415" i="15"/>
  <c r="B415" i="15"/>
  <c r="A415" i="15"/>
  <c r="AF415" i="15" s="1"/>
  <c r="AG414" i="15"/>
  <c r="AE414" i="15"/>
  <c r="Z414" i="15"/>
  <c r="Y414" i="15"/>
  <c r="X414" i="15"/>
  <c r="Q414" i="15"/>
  <c r="P414" i="15"/>
  <c r="O414" i="15"/>
  <c r="L414" i="15"/>
  <c r="H414" i="15"/>
  <c r="F414" i="15"/>
  <c r="E414" i="15"/>
  <c r="D414" i="15"/>
  <c r="C414" i="15"/>
  <c r="B414" i="15"/>
  <c r="A414" i="15"/>
  <c r="AC413" i="15"/>
  <c r="Y413" i="15"/>
  <c r="W413" i="15"/>
  <c r="V413" i="15"/>
  <c r="U413" i="15"/>
  <c r="M413" i="15"/>
  <c r="G413" i="15"/>
  <c r="F413" i="15"/>
  <c r="E413" i="15"/>
  <c r="D413" i="15"/>
  <c r="C413" i="15"/>
  <c r="B413" i="15"/>
  <c r="A413" i="15"/>
  <c r="AH413" i="15" s="1"/>
  <c r="AB412" i="15"/>
  <c r="AA412" i="15"/>
  <c r="I412" i="15"/>
  <c r="H412" i="15"/>
  <c r="F412" i="15"/>
  <c r="E412" i="15"/>
  <c r="D412" i="15"/>
  <c r="C412" i="15"/>
  <c r="B412" i="15"/>
  <c r="A412" i="15"/>
  <c r="Q412" i="15" s="1"/>
  <c r="Z411" i="15"/>
  <c r="H411" i="15"/>
  <c r="F411" i="15"/>
  <c r="E411" i="15"/>
  <c r="D411" i="15"/>
  <c r="C411" i="15"/>
  <c r="B411" i="15"/>
  <c r="A411" i="15"/>
  <c r="AC411" i="15" s="1"/>
  <c r="AH410" i="15"/>
  <c r="AG410" i="15"/>
  <c r="Y410" i="15"/>
  <c r="X410" i="15"/>
  <c r="R410" i="15"/>
  <c r="Q410" i="15"/>
  <c r="O410" i="15"/>
  <c r="G410" i="15"/>
  <c r="F410" i="15"/>
  <c r="E410" i="15"/>
  <c r="D410" i="15"/>
  <c r="C410" i="15"/>
  <c r="B410" i="15"/>
  <c r="A410" i="15"/>
  <c r="Z410" i="15" s="1"/>
  <c r="AE409" i="15"/>
  <c r="AA409" i="15"/>
  <c r="Z409" i="15"/>
  <c r="W409" i="15"/>
  <c r="O409" i="15"/>
  <c r="N409" i="15"/>
  <c r="G409" i="15"/>
  <c r="F409" i="15"/>
  <c r="E409" i="15"/>
  <c r="D409" i="15"/>
  <c r="C409" i="15"/>
  <c r="B409" i="15"/>
  <c r="A409" i="15"/>
  <c r="AG409" i="15" s="1"/>
  <c r="T408" i="15"/>
  <c r="M408" i="15"/>
  <c r="F408" i="15"/>
  <c r="E408" i="15"/>
  <c r="D408" i="15"/>
  <c r="C408" i="15"/>
  <c r="B408" i="15"/>
  <c r="A408" i="15"/>
  <c r="AC407" i="15"/>
  <c r="J407" i="15"/>
  <c r="I407" i="15"/>
  <c r="F407" i="15"/>
  <c r="E407" i="15"/>
  <c r="D407" i="15"/>
  <c r="C407" i="15"/>
  <c r="B407" i="15"/>
  <c r="A407" i="15"/>
  <c r="S407" i="15" s="1"/>
  <c r="F406" i="15"/>
  <c r="E406" i="15"/>
  <c r="D406" i="15"/>
  <c r="C406" i="15"/>
  <c r="B406" i="15"/>
  <c r="A406" i="15"/>
  <c r="AB406" i="15" s="1"/>
  <c r="AH405" i="15"/>
  <c r="Z405" i="15"/>
  <c r="Y405" i="15"/>
  <c r="S405" i="15"/>
  <c r="O405" i="15"/>
  <c r="G405" i="15"/>
  <c r="F405" i="15"/>
  <c r="E405" i="15"/>
  <c r="D405" i="15"/>
  <c r="C405" i="15"/>
  <c r="B405" i="15"/>
  <c r="A405" i="15"/>
  <c r="AA405" i="15" s="1"/>
  <c r="AG404" i="15"/>
  <c r="AF404" i="15"/>
  <c r="AE404" i="15"/>
  <c r="AA404" i="15"/>
  <c r="X404" i="15"/>
  <c r="M404" i="15"/>
  <c r="H404" i="15"/>
  <c r="F404" i="15"/>
  <c r="E404" i="15"/>
  <c r="D404" i="15"/>
  <c r="C404" i="15"/>
  <c r="B404" i="15"/>
  <c r="A404" i="15"/>
  <c r="AH403" i="15"/>
  <c r="AE403" i="15"/>
  <c r="Y403" i="15"/>
  <c r="W403" i="15"/>
  <c r="V403" i="15"/>
  <c r="O403" i="15"/>
  <c r="M403" i="15"/>
  <c r="G403" i="15"/>
  <c r="F403" i="15"/>
  <c r="E403" i="15"/>
  <c r="D403" i="15"/>
  <c r="C403" i="15"/>
  <c r="B403" i="15"/>
  <c r="A403" i="15"/>
  <c r="AG402" i="15"/>
  <c r="AF402" i="15"/>
  <c r="AE402" i="15"/>
  <c r="X402" i="15"/>
  <c r="W402" i="15"/>
  <c r="U402" i="15"/>
  <c r="T402" i="15"/>
  <c r="S402" i="15"/>
  <c r="O402" i="15"/>
  <c r="K402" i="15"/>
  <c r="J402" i="15"/>
  <c r="F402" i="15"/>
  <c r="E402" i="15"/>
  <c r="D402" i="15"/>
  <c r="C402" i="15"/>
  <c r="B402" i="15"/>
  <c r="A402" i="15"/>
  <c r="Z402" i="15" s="1"/>
  <c r="F401" i="15"/>
  <c r="E401" i="15"/>
  <c r="D401" i="15"/>
  <c r="C401" i="15"/>
  <c r="B401" i="15"/>
  <c r="A401" i="15"/>
  <c r="T401" i="15" s="1"/>
  <c r="F400" i="15"/>
  <c r="E400" i="15"/>
  <c r="D400" i="15"/>
  <c r="C400" i="15"/>
  <c r="B400" i="15"/>
  <c r="A400" i="15"/>
  <c r="AF399" i="15"/>
  <c r="Z399" i="15"/>
  <c r="H399" i="15"/>
  <c r="G399" i="15"/>
  <c r="F399" i="15"/>
  <c r="E399" i="15"/>
  <c r="D399" i="15"/>
  <c r="C399" i="15"/>
  <c r="B399" i="15"/>
  <c r="A399" i="15"/>
  <c r="AH398" i="15"/>
  <c r="AG398" i="15"/>
  <c r="AF398" i="15"/>
  <c r="AE398" i="15"/>
  <c r="Z398" i="15"/>
  <c r="X398" i="15"/>
  <c r="W398" i="15"/>
  <c r="U398" i="15"/>
  <c r="Q398" i="15"/>
  <c r="P398" i="15"/>
  <c r="O398" i="15"/>
  <c r="M398" i="15"/>
  <c r="H398" i="15"/>
  <c r="G398" i="15"/>
  <c r="F398" i="15"/>
  <c r="E398" i="15"/>
  <c r="D398" i="15"/>
  <c r="C398" i="15"/>
  <c r="B398" i="15"/>
  <c r="A398" i="15"/>
  <c r="Y398" i="15" s="1"/>
  <c r="AE397" i="15"/>
  <c r="T397" i="15"/>
  <c r="M397" i="15"/>
  <c r="K397" i="15"/>
  <c r="F397" i="15"/>
  <c r="E397" i="15"/>
  <c r="D397" i="15"/>
  <c r="C397" i="15"/>
  <c r="B397" i="15"/>
  <c r="A397" i="15"/>
  <c r="F396" i="15"/>
  <c r="E396" i="15"/>
  <c r="D396" i="15"/>
  <c r="C396" i="15"/>
  <c r="B396" i="15"/>
  <c r="A396" i="15"/>
  <c r="F395" i="15"/>
  <c r="E395" i="15"/>
  <c r="D395" i="15"/>
  <c r="C395" i="15"/>
  <c r="B395" i="15"/>
  <c r="A395" i="15"/>
  <c r="P395" i="15" s="1"/>
  <c r="Z394" i="15"/>
  <c r="Y394" i="15"/>
  <c r="X394" i="15"/>
  <c r="H394" i="15"/>
  <c r="G394" i="15"/>
  <c r="F394" i="15"/>
  <c r="E394" i="15"/>
  <c r="D394" i="15"/>
  <c r="C394" i="15"/>
  <c r="B394" i="15"/>
  <c r="A394" i="15"/>
  <c r="R394" i="15" s="1"/>
  <c r="F393" i="15"/>
  <c r="E393" i="15"/>
  <c r="D393" i="15"/>
  <c r="C393" i="15"/>
  <c r="B393" i="15"/>
  <c r="A393" i="15"/>
  <c r="Q393" i="15" s="1"/>
  <c r="AF392" i="15"/>
  <c r="AC392" i="15"/>
  <c r="X392" i="15"/>
  <c r="W392" i="15"/>
  <c r="V392" i="15"/>
  <c r="T392" i="15"/>
  <c r="L392" i="15"/>
  <c r="K392" i="15"/>
  <c r="F392" i="15"/>
  <c r="E392" i="15"/>
  <c r="D392" i="15"/>
  <c r="C392" i="15"/>
  <c r="B392" i="15"/>
  <c r="A392" i="15"/>
  <c r="AD391" i="15"/>
  <c r="K391" i="15"/>
  <c r="F391" i="15"/>
  <c r="E391" i="15"/>
  <c r="D391" i="15"/>
  <c r="C391" i="15"/>
  <c r="B391" i="15"/>
  <c r="A391" i="15"/>
  <c r="AC390" i="15"/>
  <c r="Z390" i="15"/>
  <c r="T390" i="15"/>
  <c r="S390" i="15"/>
  <c r="R390" i="15"/>
  <c r="K390" i="15"/>
  <c r="H390" i="15"/>
  <c r="F390" i="15"/>
  <c r="E390" i="15"/>
  <c r="D390" i="15"/>
  <c r="C390" i="15"/>
  <c r="B390" i="15"/>
  <c r="A390" i="15"/>
  <c r="AA390" i="15" s="1"/>
  <c r="Y389" i="15"/>
  <c r="I389" i="15"/>
  <c r="G389" i="15"/>
  <c r="F389" i="15"/>
  <c r="E389" i="15"/>
  <c r="D389" i="15"/>
  <c r="C389" i="15"/>
  <c r="B389" i="15"/>
  <c r="A389" i="15"/>
  <c r="AG388" i="15"/>
  <c r="AF388" i="15"/>
  <c r="AE388" i="15"/>
  <c r="X388" i="15"/>
  <c r="W388" i="15"/>
  <c r="V388" i="15"/>
  <c r="Q388" i="15"/>
  <c r="P388" i="15"/>
  <c r="O388" i="15"/>
  <c r="H388" i="15"/>
  <c r="G388" i="15"/>
  <c r="F388" i="15"/>
  <c r="E388" i="15"/>
  <c r="D388" i="15"/>
  <c r="C388" i="15"/>
  <c r="B388" i="15"/>
  <c r="A388" i="15"/>
  <c r="AA388" i="15" s="1"/>
  <c r="AH387" i="15"/>
  <c r="AG387" i="15"/>
  <c r="AF387" i="15"/>
  <c r="F387" i="15"/>
  <c r="E387" i="15"/>
  <c r="D387" i="15"/>
  <c r="C387" i="15"/>
  <c r="B387" i="15"/>
  <c r="A387" i="15"/>
  <c r="N387" i="15" s="1"/>
  <c r="AE386" i="15"/>
  <c r="AC386" i="15"/>
  <c r="X386" i="15"/>
  <c r="U386" i="15"/>
  <c r="O386" i="15"/>
  <c r="L386" i="15"/>
  <c r="K386" i="15"/>
  <c r="F386" i="15"/>
  <c r="E386" i="15"/>
  <c r="D386" i="15"/>
  <c r="C386" i="15"/>
  <c r="B386" i="15"/>
  <c r="A386" i="15"/>
  <c r="AB385" i="15"/>
  <c r="J385" i="15"/>
  <c r="F385" i="15"/>
  <c r="E385" i="15"/>
  <c r="D385" i="15"/>
  <c r="C385" i="15"/>
  <c r="B385" i="15"/>
  <c r="A385" i="15"/>
  <c r="F384" i="15"/>
  <c r="E384" i="15"/>
  <c r="D384" i="15"/>
  <c r="C384" i="15"/>
  <c r="B384" i="15"/>
  <c r="A384" i="15"/>
  <c r="AH383" i="15"/>
  <c r="AG383" i="15"/>
  <c r="Z383" i="15"/>
  <c r="Y383" i="15"/>
  <c r="X383" i="15"/>
  <c r="W383" i="15"/>
  <c r="Q383" i="15"/>
  <c r="P383" i="15"/>
  <c r="O383" i="15"/>
  <c r="H383" i="15"/>
  <c r="G383" i="15"/>
  <c r="F383" i="15"/>
  <c r="E383" i="15"/>
  <c r="D383" i="15"/>
  <c r="C383" i="15"/>
  <c r="B383" i="15"/>
  <c r="A383" i="15"/>
  <c r="AF383" i="15" s="1"/>
  <c r="Y382" i="15"/>
  <c r="X382" i="15"/>
  <c r="P382" i="15"/>
  <c r="M382" i="15"/>
  <c r="F382" i="15"/>
  <c r="E382" i="15"/>
  <c r="D382" i="15"/>
  <c r="C382" i="15"/>
  <c r="B382" i="15"/>
  <c r="A382" i="15"/>
  <c r="AD381" i="15"/>
  <c r="AC381" i="15"/>
  <c r="Y381" i="15"/>
  <c r="W381" i="15"/>
  <c r="V381" i="15"/>
  <c r="N381" i="15"/>
  <c r="L381" i="15"/>
  <c r="K381" i="15"/>
  <c r="F381" i="15"/>
  <c r="E381" i="15"/>
  <c r="D381" i="15"/>
  <c r="C381" i="15"/>
  <c r="B381" i="15"/>
  <c r="A381" i="15"/>
  <c r="F380" i="15"/>
  <c r="E380" i="15"/>
  <c r="D380" i="15"/>
  <c r="C380" i="15"/>
  <c r="B380" i="15"/>
  <c r="A380" i="15"/>
  <c r="AH379" i="15"/>
  <c r="Z379" i="15"/>
  <c r="Y379" i="15"/>
  <c r="S379" i="15"/>
  <c r="R379" i="15"/>
  <c r="Q379" i="15"/>
  <c r="H379" i="15"/>
  <c r="G379" i="15"/>
  <c r="F379" i="15"/>
  <c r="E379" i="15"/>
  <c r="D379" i="15"/>
  <c r="C379" i="15"/>
  <c r="B379" i="15"/>
  <c r="A379" i="15"/>
  <c r="P379" i="15" s="1"/>
  <c r="G378" i="15"/>
  <c r="F378" i="15"/>
  <c r="E378" i="15"/>
  <c r="D378" i="15"/>
  <c r="C378" i="15"/>
  <c r="B378" i="15"/>
  <c r="A378" i="15"/>
  <c r="Y378" i="15" s="1"/>
  <c r="AG377" i="15"/>
  <c r="AE377" i="15"/>
  <c r="AA377" i="15"/>
  <c r="Z377" i="15"/>
  <c r="V377" i="15"/>
  <c r="R377" i="15"/>
  <c r="Q377" i="15"/>
  <c r="N377" i="15"/>
  <c r="M377" i="15"/>
  <c r="F377" i="15"/>
  <c r="E377" i="15"/>
  <c r="D377" i="15"/>
  <c r="C377" i="15"/>
  <c r="B377" i="15"/>
  <c r="A377" i="15"/>
  <c r="W376" i="15"/>
  <c r="M376" i="15"/>
  <c r="K376" i="15"/>
  <c r="F376" i="15"/>
  <c r="E376" i="15"/>
  <c r="D376" i="15"/>
  <c r="C376" i="15"/>
  <c r="B376" i="15"/>
  <c r="A376" i="15"/>
  <c r="AA375" i="15"/>
  <c r="V375" i="15"/>
  <c r="I375" i="15"/>
  <c r="F375" i="15"/>
  <c r="E375" i="15"/>
  <c r="D375" i="15"/>
  <c r="C375" i="15"/>
  <c r="B375" i="15"/>
  <c r="A375" i="15"/>
  <c r="M375" i="15" s="1"/>
  <c r="AA374" i="15"/>
  <c r="Z374" i="15"/>
  <c r="S374" i="15"/>
  <c r="I374" i="15"/>
  <c r="F374" i="15"/>
  <c r="E374" i="15"/>
  <c r="D374" i="15"/>
  <c r="C374" i="15"/>
  <c r="B374" i="15"/>
  <c r="A374" i="15"/>
  <c r="AA373" i="15"/>
  <c r="I373" i="15"/>
  <c r="G373" i="15"/>
  <c r="F373" i="15"/>
  <c r="E373" i="15"/>
  <c r="D373" i="15"/>
  <c r="C373" i="15"/>
  <c r="B373" i="15"/>
  <c r="A373" i="15"/>
  <c r="Z373" i="15" s="1"/>
  <c r="AE372" i="15"/>
  <c r="AA372" i="15"/>
  <c r="Y372" i="15"/>
  <c r="X372" i="15"/>
  <c r="H372" i="15"/>
  <c r="G372" i="15"/>
  <c r="F372" i="15"/>
  <c r="E372" i="15"/>
  <c r="D372" i="15"/>
  <c r="C372" i="15"/>
  <c r="B372" i="15"/>
  <c r="A372" i="15"/>
  <c r="AH371" i="15"/>
  <c r="AG371" i="15"/>
  <c r="AD371" i="15"/>
  <c r="Z371" i="15"/>
  <c r="F371" i="15"/>
  <c r="E371" i="15"/>
  <c r="D371" i="15"/>
  <c r="C371" i="15"/>
  <c r="B371" i="15"/>
  <c r="A371" i="15"/>
  <c r="M371" i="15" s="1"/>
  <c r="AC370" i="15"/>
  <c r="Y370" i="15"/>
  <c r="X370" i="15"/>
  <c r="W370" i="15"/>
  <c r="S370" i="15"/>
  <c r="M370" i="15"/>
  <c r="K370" i="15"/>
  <c r="F370" i="15"/>
  <c r="E370" i="15"/>
  <c r="D370" i="15"/>
  <c r="C370" i="15"/>
  <c r="B370" i="15"/>
  <c r="A370" i="15"/>
  <c r="F369" i="15"/>
  <c r="E369" i="15"/>
  <c r="D369" i="15"/>
  <c r="C369" i="15"/>
  <c r="B369" i="15"/>
  <c r="A369" i="15"/>
  <c r="F368" i="15"/>
  <c r="E368" i="15"/>
  <c r="D368" i="15"/>
  <c r="C368" i="15"/>
  <c r="B368" i="15"/>
  <c r="A368" i="15"/>
  <c r="O367" i="15"/>
  <c r="H367" i="15"/>
  <c r="F367" i="15"/>
  <c r="E367" i="15"/>
  <c r="D367" i="15"/>
  <c r="C367" i="15"/>
  <c r="B367" i="15"/>
  <c r="A367" i="15"/>
  <c r="AE366" i="15"/>
  <c r="Z366" i="15"/>
  <c r="Y366" i="15"/>
  <c r="H366" i="15"/>
  <c r="F366" i="15"/>
  <c r="E366" i="15"/>
  <c r="D366" i="15"/>
  <c r="C366" i="15"/>
  <c r="B366" i="15"/>
  <c r="A366" i="15"/>
  <c r="G366" i="15" s="1"/>
  <c r="K365" i="15"/>
  <c r="G365" i="15"/>
  <c r="F365" i="15"/>
  <c r="E365" i="15"/>
  <c r="D365" i="15"/>
  <c r="C365" i="15"/>
  <c r="B365" i="15"/>
  <c r="A365" i="15"/>
  <c r="AD364" i="15"/>
  <c r="AA364" i="15"/>
  <c r="U364" i="15"/>
  <c r="T364" i="15"/>
  <c r="S364" i="15"/>
  <c r="L364" i="15"/>
  <c r="H364" i="15"/>
  <c r="F364" i="15"/>
  <c r="E364" i="15"/>
  <c r="D364" i="15"/>
  <c r="C364" i="15"/>
  <c r="B364" i="15"/>
  <c r="A364" i="15"/>
  <c r="AB364" i="15" s="1"/>
  <c r="H363" i="15"/>
  <c r="G363" i="15"/>
  <c r="F363" i="15"/>
  <c r="E363" i="15"/>
  <c r="D363" i="15"/>
  <c r="C363" i="15"/>
  <c r="B363" i="15"/>
  <c r="A363" i="15"/>
  <c r="Z363" i="15" s="1"/>
  <c r="I362" i="15"/>
  <c r="F362" i="15"/>
  <c r="E362" i="15"/>
  <c r="D362" i="15"/>
  <c r="C362" i="15"/>
  <c r="B362" i="15"/>
  <c r="A362" i="15"/>
  <c r="AA362" i="15" s="1"/>
  <c r="AH361" i="15"/>
  <c r="AG361" i="15"/>
  <c r="AE361" i="15"/>
  <c r="AA361" i="15"/>
  <c r="Z361" i="15"/>
  <c r="W361" i="15"/>
  <c r="V361" i="15"/>
  <c r="R361" i="15"/>
  <c r="Q361" i="15"/>
  <c r="O361" i="15"/>
  <c r="N361" i="15"/>
  <c r="M361" i="15"/>
  <c r="I361" i="15"/>
  <c r="G361" i="15"/>
  <c r="F361" i="15"/>
  <c r="E361" i="15"/>
  <c r="D361" i="15"/>
  <c r="C361" i="15"/>
  <c r="B361" i="15"/>
  <c r="A361" i="15"/>
  <c r="Y361" i="15" s="1"/>
  <c r="AE360" i="15"/>
  <c r="AC360" i="15"/>
  <c r="M360" i="15"/>
  <c r="F360" i="15"/>
  <c r="E360" i="15"/>
  <c r="D360" i="15"/>
  <c r="C360" i="15"/>
  <c r="B360" i="15"/>
  <c r="A360" i="15"/>
  <c r="K360" i="15" s="1"/>
  <c r="AC359" i="15"/>
  <c r="AA359" i="15"/>
  <c r="J359" i="15"/>
  <c r="I359" i="15"/>
  <c r="F359" i="15"/>
  <c r="E359" i="15"/>
  <c r="D359" i="15"/>
  <c r="C359" i="15"/>
  <c r="B359" i="15"/>
  <c r="A359" i="15"/>
  <c r="R359" i="15" s="1"/>
  <c r="AA358" i="15"/>
  <c r="I358" i="15"/>
  <c r="F358" i="15"/>
  <c r="E358" i="15"/>
  <c r="D358" i="15"/>
  <c r="C358" i="15"/>
  <c r="B358" i="15"/>
  <c r="A358" i="15"/>
  <c r="S358" i="15" s="1"/>
  <c r="Y357" i="15"/>
  <c r="S357" i="15"/>
  <c r="F357" i="15"/>
  <c r="E357" i="15"/>
  <c r="D357" i="15"/>
  <c r="C357" i="15"/>
  <c r="B357" i="15"/>
  <c r="A357" i="15"/>
  <c r="AG356" i="15"/>
  <c r="AF356" i="15"/>
  <c r="AE356" i="15"/>
  <c r="X356" i="15"/>
  <c r="W356" i="15"/>
  <c r="V356" i="15"/>
  <c r="Q356" i="15"/>
  <c r="P356" i="15"/>
  <c r="O356" i="15"/>
  <c r="H356" i="15"/>
  <c r="G356" i="15"/>
  <c r="F356" i="15"/>
  <c r="E356" i="15"/>
  <c r="D356" i="15"/>
  <c r="C356" i="15"/>
  <c r="B356" i="15"/>
  <c r="A356" i="15"/>
  <c r="AA356" i="15" s="1"/>
  <c r="U355" i="15"/>
  <c r="F355" i="15"/>
  <c r="E355" i="15"/>
  <c r="D355" i="15"/>
  <c r="C355" i="15"/>
  <c r="B355" i="15"/>
  <c r="A355" i="15"/>
  <c r="AC354" i="15"/>
  <c r="AB354" i="15"/>
  <c r="X354" i="15"/>
  <c r="W354" i="15"/>
  <c r="U354" i="15"/>
  <c r="M354" i="15"/>
  <c r="K354" i="15"/>
  <c r="J354" i="15"/>
  <c r="F354" i="15"/>
  <c r="E354" i="15"/>
  <c r="D354" i="15"/>
  <c r="C354" i="15"/>
  <c r="B354" i="15"/>
  <c r="A354" i="15"/>
  <c r="AA353" i="15"/>
  <c r="U353" i="15"/>
  <c r="F353" i="15"/>
  <c r="E353" i="15"/>
  <c r="D353" i="15"/>
  <c r="C353" i="15"/>
  <c r="B353" i="15"/>
  <c r="A353" i="15"/>
  <c r="G352" i="15"/>
  <c r="F352" i="15"/>
  <c r="E352" i="15"/>
  <c r="D352" i="15"/>
  <c r="C352" i="15"/>
  <c r="B352" i="15"/>
  <c r="A352" i="15"/>
  <c r="X352" i="15" s="1"/>
  <c r="AH351" i="15"/>
  <c r="AG351" i="15"/>
  <c r="Z351" i="15"/>
  <c r="Y351" i="15"/>
  <c r="X351" i="15"/>
  <c r="W351" i="15"/>
  <c r="Q351" i="15"/>
  <c r="P351" i="15"/>
  <c r="O351" i="15"/>
  <c r="H351" i="15"/>
  <c r="G351" i="15"/>
  <c r="F351" i="15"/>
  <c r="E351" i="15"/>
  <c r="D351" i="15"/>
  <c r="C351" i="15"/>
  <c r="B351" i="15"/>
  <c r="A351" i="15"/>
  <c r="AF351" i="15" s="1"/>
  <c r="AG350" i="15"/>
  <c r="AF350" i="15"/>
  <c r="AE350" i="15"/>
  <c r="Z350" i="15"/>
  <c r="Y350" i="15"/>
  <c r="Q350" i="15"/>
  <c r="O350" i="15"/>
  <c r="L350" i="15"/>
  <c r="H350" i="15"/>
  <c r="F350" i="15"/>
  <c r="E350" i="15"/>
  <c r="D350" i="15"/>
  <c r="C350" i="15"/>
  <c r="B350" i="15"/>
  <c r="A350" i="15"/>
  <c r="AH349" i="15"/>
  <c r="AD349" i="15"/>
  <c r="AC349" i="15"/>
  <c r="W349" i="15"/>
  <c r="U349" i="15"/>
  <c r="N349" i="15"/>
  <c r="K349" i="15"/>
  <c r="F349" i="15"/>
  <c r="E349" i="15"/>
  <c r="D349" i="15"/>
  <c r="C349" i="15"/>
  <c r="B349" i="15"/>
  <c r="A349" i="15"/>
  <c r="L349" i="15" s="1"/>
  <c r="AA348" i="15"/>
  <c r="I348" i="15"/>
  <c r="F348" i="15"/>
  <c r="E348" i="15"/>
  <c r="D348" i="15"/>
  <c r="C348" i="15"/>
  <c r="B348" i="15"/>
  <c r="A348" i="15"/>
  <c r="F347" i="15"/>
  <c r="E347" i="15"/>
  <c r="D347" i="15"/>
  <c r="C347" i="15"/>
  <c r="B347" i="15"/>
  <c r="A347" i="15"/>
  <c r="H346" i="15"/>
  <c r="G346" i="15"/>
  <c r="F346" i="15"/>
  <c r="E346" i="15"/>
  <c r="D346" i="15"/>
  <c r="C346" i="15"/>
  <c r="B346" i="15"/>
  <c r="A346" i="15"/>
  <c r="AH345" i="15"/>
  <c r="AG345" i="15"/>
  <c r="Z345" i="15"/>
  <c r="Y345" i="15"/>
  <c r="V345" i="15"/>
  <c r="Q345" i="15"/>
  <c r="I345" i="15"/>
  <c r="G345" i="15"/>
  <c r="F345" i="15"/>
  <c r="E345" i="15"/>
  <c r="D345" i="15"/>
  <c r="C345" i="15"/>
  <c r="B345" i="15"/>
  <c r="A345" i="15"/>
  <c r="AG344" i="15"/>
  <c r="AF344" i="15"/>
  <c r="AE344" i="15"/>
  <c r="AC344" i="15"/>
  <c r="U344" i="15"/>
  <c r="T344" i="15"/>
  <c r="M344" i="15"/>
  <c r="F344" i="15"/>
  <c r="E344" i="15"/>
  <c r="D344" i="15"/>
  <c r="C344" i="15"/>
  <c r="B344" i="15"/>
  <c r="A344" i="15"/>
  <c r="N344" i="15" s="1"/>
  <c r="F343" i="15"/>
  <c r="E343" i="15"/>
  <c r="D343" i="15"/>
  <c r="C343" i="15"/>
  <c r="B343" i="15"/>
  <c r="A343" i="15"/>
  <c r="S342" i="15"/>
  <c r="K342" i="15"/>
  <c r="F342" i="15"/>
  <c r="E342" i="15"/>
  <c r="D342" i="15"/>
  <c r="C342" i="15"/>
  <c r="B342" i="15"/>
  <c r="A342" i="15"/>
  <c r="Q342" i="15" s="1"/>
  <c r="AA341" i="15"/>
  <c r="Z341" i="15"/>
  <c r="Y341" i="15"/>
  <c r="S341" i="15"/>
  <c r="I341" i="15"/>
  <c r="G341" i="15"/>
  <c r="F341" i="15"/>
  <c r="E341" i="15"/>
  <c r="D341" i="15"/>
  <c r="C341" i="15"/>
  <c r="B341" i="15"/>
  <c r="A341" i="15"/>
  <c r="R341" i="15" s="1"/>
  <c r="AF340" i="15"/>
  <c r="AE340" i="15"/>
  <c r="AA340" i="15"/>
  <c r="M340" i="15"/>
  <c r="F340" i="15"/>
  <c r="E340" i="15"/>
  <c r="D340" i="15"/>
  <c r="C340" i="15"/>
  <c r="B340" i="15"/>
  <c r="A340" i="15"/>
  <c r="H340" i="15" s="1"/>
  <c r="K339" i="15"/>
  <c r="G339" i="15"/>
  <c r="F339" i="15"/>
  <c r="E339" i="15"/>
  <c r="D339" i="15"/>
  <c r="C339" i="15"/>
  <c r="B339" i="15"/>
  <c r="A339" i="15"/>
  <c r="AG338" i="15"/>
  <c r="AF338" i="15"/>
  <c r="AE338" i="15"/>
  <c r="X338" i="15"/>
  <c r="W338" i="15"/>
  <c r="U338" i="15"/>
  <c r="T338" i="15"/>
  <c r="S338" i="15"/>
  <c r="O338" i="15"/>
  <c r="K338" i="15"/>
  <c r="J338" i="15"/>
  <c r="F338" i="15"/>
  <c r="E338" i="15"/>
  <c r="D338" i="15"/>
  <c r="C338" i="15"/>
  <c r="B338" i="15"/>
  <c r="A338" i="15"/>
  <c r="Z338" i="15" s="1"/>
  <c r="F337" i="15"/>
  <c r="E337" i="15"/>
  <c r="D337" i="15"/>
  <c r="C337" i="15"/>
  <c r="B337" i="15"/>
  <c r="A337" i="15"/>
  <c r="AB337" i="15" s="1"/>
  <c r="F336" i="15"/>
  <c r="E336" i="15"/>
  <c r="D336" i="15"/>
  <c r="C336" i="15"/>
  <c r="B336" i="15"/>
  <c r="A336" i="15"/>
  <c r="AA336" i="15" s="1"/>
  <c r="AH335" i="15"/>
  <c r="AG335" i="15"/>
  <c r="AF335" i="15"/>
  <c r="X335" i="15"/>
  <c r="W335" i="15"/>
  <c r="Q335" i="15"/>
  <c r="O335" i="15"/>
  <c r="N335" i="15"/>
  <c r="F335" i="15"/>
  <c r="E335" i="15"/>
  <c r="D335" i="15"/>
  <c r="C335" i="15"/>
  <c r="B335" i="15"/>
  <c r="A335" i="15"/>
  <c r="AF334" i="15"/>
  <c r="Z334" i="15"/>
  <c r="Y334" i="15"/>
  <c r="X334" i="15"/>
  <c r="W334" i="15"/>
  <c r="P334" i="15"/>
  <c r="M334" i="15"/>
  <c r="H334" i="15"/>
  <c r="G334" i="15"/>
  <c r="F334" i="15"/>
  <c r="E334" i="15"/>
  <c r="D334" i="15"/>
  <c r="C334" i="15"/>
  <c r="B334" i="15"/>
  <c r="A334" i="15"/>
  <c r="AH333" i="15"/>
  <c r="AG333" i="15"/>
  <c r="AC333" i="15"/>
  <c r="Y333" i="15"/>
  <c r="W333" i="15"/>
  <c r="U333" i="15"/>
  <c r="K333" i="15"/>
  <c r="F333" i="15"/>
  <c r="E333" i="15"/>
  <c r="D333" i="15"/>
  <c r="C333" i="15"/>
  <c r="B333" i="15"/>
  <c r="A333" i="15"/>
  <c r="L333" i="15" s="1"/>
  <c r="F332" i="15"/>
  <c r="E332" i="15"/>
  <c r="D332" i="15"/>
  <c r="C332" i="15"/>
  <c r="B332" i="15"/>
  <c r="A332" i="15"/>
  <c r="T332" i="15" s="1"/>
  <c r="AH331" i="15"/>
  <c r="AC331" i="15"/>
  <c r="Y331" i="15"/>
  <c r="S331" i="15"/>
  <c r="R331" i="15"/>
  <c r="J331" i="15"/>
  <c r="G331" i="15"/>
  <c r="F331" i="15"/>
  <c r="E331" i="15"/>
  <c r="D331" i="15"/>
  <c r="C331" i="15"/>
  <c r="B331" i="15"/>
  <c r="A331" i="15"/>
  <c r="Z331" i="15" s="1"/>
  <c r="X330" i="15"/>
  <c r="H330" i="15"/>
  <c r="F330" i="15"/>
  <c r="E330" i="15"/>
  <c r="D330" i="15"/>
  <c r="C330" i="15"/>
  <c r="B330" i="15"/>
  <c r="A330" i="15"/>
  <c r="AH329" i="15"/>
  <c r="AG329" i="15"/>
  <c r="AE329" i="15"/>
  <c r="Y329" i="15"/>
  <c r="W329" i="15"/>
  <c r="V329" i="15"/>
  <c r="R329" i="15"/>
  <c r="Q329" i="15"/>
  <c r="O329" i="15"/>
  <c r="I329" i="15"/>
  <c r="G329" i="15"/>
  <c r="F329" i="15"/>
  <c r="E329" i="15"/>
  <c r="D329" i="15"/>
  <c r="C329" i="15"/>
  <c r="B329" i="15"/>
  <c r="A329" i="15"/>
  <c r="AA329" i="15" s="1"/>
  <c r="AE328" i="15"/>
  <c r="AC328" i="15"/>
  <c r="F328" i="15"/>
  <c r="E328" i="15"/>
  <c r="D328" i="15"/>
  <c r="C328" i="15"/>
  <c r="B328" i="15"/>
  <c r="A328" i="15"/>
  <c r="O328" i="15" s="1"/>
  <c r="AE327" i="15"/>
  <c r="R327" i="15"/>
  <c r="M327" i="15"/>
  <c r="F327" i="15"/>
  <c r="E327" i="15"/>
  <c r="D327" i="15"/>
  <c r="C327" i="15"/>
  <c r="B327" i="15"/>
  <c r="A327" i="15"/>
  <c r="AA326" i="15"/>
  <c r="Z326" i="15"/>
  <c r="T326" i="15"/>
  <c r="S326" i="15"/>
  <c r="R326" i="15"/>
  <c r="I326" i="15"/>
  <c r="H326" i="15"/>
  <c r="F326" i="15"/>
  <c r="E326" i="15"/>
  <c r="D326" i="15"/>
  <c r="C326" i="15"/>
  <c r="B326" i="15"/>
  <c r="A326" i="15"/>
  <c r="Q326" i="15" s="1"/>
  <c r="Y325" i="15"/>
  <c r="F325" i="15"/>
  <c r="E325" i="15"/>
  <c r="D325" i="15"/>
  <c r="C325" i="15"/>
  <c r="B325" i="15"/>
  <c r="A325" i="15"/>
  <c r="G325" i="15" s="1"/>
  <c r="AG324" i="15"/>
  <c r="AF324" i="15"/>
  <c r="AE324" i="15"/>
  <c r="AA324" i="15"/>
  <c r="X324" i="15"/>
  <c r="W324" i="15"/>
  <c r="V324" i="15"/>
  <c r="Q324" i="15"/>
  <c r="P324" i="15"/>
  <c r="O324" i="15"/>
  <c r="N324" i="15"/>
  <c r="H324" i="15"/>
  <c r="G324" i="15"/>
  <c r="F324" i="15"/>
  <c r="E324" i="15"/>
  <c r="D324" i="15"/>
  <c r="C324" i="15"/>
  <c r="B324" i="15"/>
  <c r="A324" i="15"/>
  <c r="Y324" i="15" s="1"/>
  <c r="AG323" i="15"/>
  <c r="AF323" i="15"/>
  <c r="AE323" i="15"/>
  <c r="AD323" i="15"/>
  <c r="Y323" i="15"/>
  <c r="U323" i="15"/>
  <c r="O323" i="15"/>
  <c r="M323" i="15"/>
  <c r="K323" i="15"/>
  <c r="F323" i="15"/>
  <c r="E323" i="15"/>
  <c r="D323" i="15"/>
  <c r="C323" i="15"/>
  <c r="B323" i="15"/>
  <c r="A323" i="15"/>
  <c r="M322" i="15"/>
  <c r="F322" i="15"/>
  <c r="E322" i="15"/>
  <c r="D322" i="15"/>
  <c r="C322" i="15"/>
  <c r="B322" i="15"/>
  <c r="A322" i="15"/>
  <c r="F321" i="15"/>
  <c r="E321" i="15"/>
  <c r="D321" i="15"/>
  <c r="C321" i="15"/>
  <c r="B321" i="15"/>
  <c r="A321" i="15"/>
  <c r="X320" i="15"/>
  <c r="Q320" i="15"/>
  <c r="F320" i="15"/>
  <c r="E320" i="15"/>
  <c r="D320" i="15"/>
  <c r="C320" i="15"/>
  <c r="B320" i="15"/>
  <c r="A320" i="15"/>
  <c r="F319" i="15"/>
  <c r="E319" i="15"/>
  <c r="D319" i="15"/>
  <c r="C319" i="15"/>
  <c r="B319" i="15"/>
  <c r="A319" i="15"/>
  <c r="AH318" i="15"/>
  <c r="AG318" i="15"/>
  <c r="AF318" i="15"/>
  <c r="AE318" i="15"/>
  <c r="Z318" i="15"/>
  <c r="X318" i="15"/>
  <c r="W318" i="15"/>
  <c r="U318" i="15"/>
  <c r="Q318" i="15"/>
  <c r="P318" i="15"/>
  <c r="O318" i="15"/>
  <c r="M318" i="15"/>
  <c r="H318" i="15"/>
  <c r="G318" i="15"/>
  <c r="F318" i="15"/>
  <c r="E318" i="15"/>
  <c r="D318" i="15"/>
  <c r="C318" i="15"/>
  <c r="B318" i="15"/>
  <c r="A318" i="15"/>
  <c r="Y318" i="15" s="1"/>
  <c r="AG317" i="15"/>
  <c r="AE317" i="15"/>
  <c r="AD317" i="15"/>
  <c r="AC317" i="15"/>
  <c r="Y317" i="15"/>
  <c r="T317" i="15"/>
  <c r="N317" i="15"/>
  <c r="L317" i="15"/>
  <c r="K317" i="15"/>
  <c r="F317" i="15"/>
  <c r="E317" i="15"/>
  <c r="D317" i="15"/>
  <c r="C317" i="15"/>
  <c r="B317" i="15"/>
  <c r="A317" i="15"/>
  <c r="AD316" i="15"/>
  <c r="T316" i="15"/>
  <c r="S316" i="15"/>
  <c r="L316" i="15"/>
  <c r="H316" i="15"/>
  <c r="F316" i="15"/>
  <c r="E316" i="15"/>
  <c r="D316" i="15"/>
  <c r="C316" i="15"/>
  <c r="B316" i="15"/>
  <c r="A316" i="15"/>
  <c r="Z315" i="15"/>
  <c r="S315" i="15"/>
  <c r="F315" i="15"/>
  <c r="E315" i="15"/>
  <c r="D315" i="15"/>
  <c r="C315" i="15"/>
  <c r="B315" i="15"/>
  <c r="A315" i="15"/>
  <c r="F314" i="15"/>
  <c r="E314" i="15"/>
  <c r="D314" i="15"/>
  <c r="C314" i="15"/>
  <c r="B314" i="15"/>
  <c r="A314" i="15"/>
  <c r="AA314" i="15" s="1"/>
  <c r="AA313" i="15"/>
  <c r="Z313" i="15"/>
  <c r="Y313" i="15"/>
  <c r="W313" i="15"/>
  <c r="V313" i="15"/>
  <c r="R313" i="15"/>
  <c r="N313" i="15"/>
  <c r="I313" i="15"/>
  <c r="G313" i="15"/>
  <c r="F313" i="15"/>
  <c r="E313" i="15"/>
  <c r="D313" i="15"/>
  <c r="C313" i="15"/>
  <c r="B313" i="15"/>
  <c r="A313" i="15"/>
  <c r="AG312" i="15"/>
  <c r="AF312" i="15"/>
  <c r="AE312" i="15"/>
  <c r="AD312" i="15"/>
  <c r="W312" i="15"/>
  <c r="V312" i="15"/>
  <c r="U312" i="15"/>
  <c r="T312" i="15"/>
  <c r="O312" i="15"/>
  <c r="N312" i="15"/>
  <c r="K312" i="15"/>
  <c r="G312" i="15"/>
  <c r="F312" i="15"/>
  <c r="E312" i="15"/>
  <c r="D312" i="15"/>
  <c r="C312" i="15"/>
  <c r="B312" i="15"/>
  <c r="A312" i="15"/>
  <c r="AA312" i="15" s="1"/>
  <c r="F311" i="15"/>
  <c r="E311" i="15"/>
  <c r="D311" i="15"/>
  <c r="C311" i="15"/>
  <c r="B311" i="15"/>
  <c r="A311" i="15"/>
  <c r="S311" i="15" s="1"/>
  <c r="F310" i="15"/>
  <c r="E310" i="15"/>
  <c r="D310" i="15"/>
  <c r="C310" i="15"/>
  <c r="B310" i="15"/>
  <c r="A310" i="15"/>
  <c r="AA310" i="15" s="1"/>
  <c r="AH309" i="15"/>
  <c r="Y309" i="15"/>
  <c r="S309" i="15"/>
  <c r="Q309" i="15"/>
  <c r="O309" i="15"/>
  <c r="F309" i="15"/>
  <c r="E309" i="15"/>
  <c r="D309" i="15"/>
  <c r="C309" i="15"/>
  <c r="B309" i="15"/>
  <c r="A309" i="15"/>
  <c r="AA309" i="15" s="1"/>
  <c r="AF308" i="15"/>
  <c r="AA308" i="15"/>
  <c r="Y308" i="15"/>
  <c r="X308" i="15"/>
  <c r="W308" i="15"/>
  <c r="P308" i="15"/>
  <c r="N308" i="15"/>
  <c r="H308" i="15"/>
  <c r="G308" i="15"/>
  <c r="F308" i="15"/>
  <c r="E308" i="15"/>
  <c r="D308" i="15"/>
  <c r="C308" i="15"/>
  <c r="B308" i="15"/>
  <c r="A308" i="15"/>
  <c r="N307" i="15"/>
  <c r="M307" i="15"/>
  <c r="F307" i="15"/>
  <c r="E307" i="15"/>
  <c r="D307" i="15"/>
  <c r="C307" i="15"/>
  <c r="B307" i="15"/>
  <c r="A307" i="15"/>
  <c r="AG306" i="15"/>
  <c r="AF306" i="15"/>
  <c r="AE306" i="15"/>
  <c r="AC306" i="15"/>
  <c r="X306" i="15"/>
  <c r="W306" i="15"/>
  <c r="U306" i="15"/>
  <c r="T306" i="15"/>
  <c r="S306" i="15"/>
  <c r="O306" i="15"/>
  <c r="M306" i="15"/>
  <c r="K306" i="15"/>
  <c r="J306" i="15"/>
  <c r="F306" i="15"/>
  <c r="E306" i="15"/>
  <c r="D306" i="15"/>
  <c r="C306" i="15"/>
  <c r="B306" i="15"/>
  <c r="A306" i="15"/>
  <c r="Z306" i="15" s="1"/>
  <c r="U305" i="15"/>
  <c r="R305" i="15"/>
  <c r="J305" i="15"/>
  <c r="F305" i="15"/>
  <c r="E305" i="15"/>
  <c r="D305" i="15"/>
  <c r="C305" i="15"/>
  <c r="B305" i="15"/>
  <c r="A305" i="15"/>
  <c r="AA304" i="15"/>
  <c r="H304" i="15"/>
  <c r="G304" i="15"/>
  <c r="F304" i="15"/>
  <c r="E304" i="15"/>
  <c r="D304" i="15"/>
  <c r="C304" i="15"/>
  <c r="B304" i="15"/>
  <c r="A304" i="15"/>
  <c r="Y304" i="15" s="1"/>
  <c r="AH303" i="15"/>
  <c r="AG303" i="15"/>
  <c r="P303" i="15"/>
  <c r="O303" i="15"/>
  <c r="H303" i="15"/>
  <c r="F303" i="15"/>
  <c r="E303" i="15"/>
  <c r="D303" i="15"/>
  <c r="C303" i="15"/>
  <c r="B303" i="15"/>
  <c r="A303" i="15"/>
  <c r="G303" i="15" s="1"/>
  <c r="L302" i="15"/>
  <c r="G302" i="15"/>
  <c r="F302" i="15"/>
  <c r="E302" i="15"/>
  <c r="D302" i="15"/>
  <c r="C302" i="15"/>
  <c r="B302" i="15"/>
  <c r="A302" i="15"/>
  <c r="AG301" i="15"/>
  <c r="AE301" i="15"/>
  <c r="AD301" i="15"/>
  <c r="AC301" i="15"/>
  <c r="V301" i="15"/>
  <c r="U301" i="15"/>
  <c r="T301" i="15"/>
  <c r="N301" i="15"/>
  <c r="M301" i="15"/>
  <c r="F301" i="15"/>
  <c r="E301" i="15"/>
  <c r="D301" i="15"/>
  <c r="C301" i="15"/>
  <c r="B301" i="15"/>
  <c r="A301" i="15"/>
  <c r="U300" i="15"/>
  <c r="H300" i="15"/>
  <c r="F300" i="15"/>
  <c r="E300" i="15"/>
  <c r="D300" i="15"/>
  <c r="C300" i="15"/>
  <c r="B300" i="15"/>
  <c r="A300" i="15"/>
  <c r="I299" i="15"/>
  <c r="F299" i="15"/>
  <c r="E299" i="15"/>
  <c r="D299" i="15"/>
  <c r="C299" i="15"/>
  <c r="B299" i="15"/>
  <c r="A299" i="15"/>
  <c r="AA299" i="15" s="1"/>
  <c r="R298" i="15"/>
  <c r="Q298" i="15"/>
  <c r="F298" i="15"/>
  <c r="E298" i="15"/>
  <c r="D298" i="15"/>
  <c r="C298" i="15"/>
  <c r="B298" i="15"/>
  <c r="A298" i="15"/>
  <c r="AE297" i="15"/>
  <c r="AA297" i="15"/>
  <c r="Z297" i="15"/>
  <c r="W297" i="15"/>
  <c r="I297" i="15"/>
  <c r="G297" i="15"/>
  <c r="F297" i="15"/>
  <c r="E297" i="15"/>
  <c r="D297" i="15"/>
  <c r="C297" i="15"/>
  <c r="B297" i="15"/>
  <c r="A297" i="15"/>
  <c r="AG296" i="15"/>
  <c r="AF296" i="15"/>
  <c r="AE296" i="15"/>
  <c r="X296" i="15"/>
  <c r="W296" i="15"/>
  <c r="V296" i="15"/>
  <c r="U296" i="15"/>
  <c r="T296" i="15"/>
  <c r="O296" i="15"/>
  <c r="L296" i="15"/>
  <c r="K296" i="15"/>
  <c r="F296" i="15"/>
  <c r="E296" i="15"/>
  <c r="D296" i="15"/>
  <c r="C296" i="15"/>
  <c r="B296" i="15"/>
  <c r="A296" i="15"/>
  <c r="AA296" i="15" s="1"/>
  <c r="AC295" i="15"/>
  <c r="J295" i="15"/>
  <c r="F295" i="15"/>
  <c r="E295" i="15"/>
  <c r="D295" i="15"/>
  <c r="C295" i="15"/>
  <c r="B295" i="15"/>
  <c r="A295" i="15"/>
  <c r="AC294" i="15"/>
  <c r="S294" i="15"/>
  <c r="Q294" i="15"/>
  <c r="K294" i="15"/>
  <c r="F294" i="15"/>
  <c r="E294" i="15"/>
  <c r="D294" i="15"/>
  <c r="C294" i="15"/>
  <c r="B294" i="15"/>
  <c r="A294" i="15"/>
  <c r="AA294" i="15" s="1"/>
  <c r="AA293" i="15"/>
  <c r="Z293" i="15"/>
  <c r="I293" i="15"/>
  <c r="G293" i="15"/>
  <c r="F293" i="15"/>
  <c r="E293" i="15"/>
  <c r="D293" i="15"/>
  <c r="C293" i="15"/>
  <c r="B293" i="15"/>
  <c r="A293" i="15"/>
  <c r="AA292" i="15"/>
  <c r="P292" i="15"/>
  <c r="O292" i="15"/>
  <c r="F292" i="15"/>
  <c r="E292" i="15"/>
  <c r="D292" i="15"/>
  <c r="C292" i="15"/>
  <c r="B292" i="15"/>
  <c r="A292" i="15"/>
  <c r="AF291" i="15"/>
  <c r="AD291" i="15"/>
  <c r="Y291" i="15"/>
  <c r="X291" i="15"/>
  <c r="W291" i="15"/>
  <c r="P291" i="15"/>
  <c r="O291" i="15"/>
  <c r="N291" i="15"/>
  <c r="K291" i="15"/>
  <c r="H291" i="15"/>
  <c r="F291" i="15"/>
  <c r="E291" i="15"/>
  <c r="D291" i="15"/>
  <c r="C291" i="15"/>
  <c r="B291" i="15"/>
  <c r="A291" i="15"/>
  <c r="AG290" i="15"/>
  <c r="AB290" i="15"/>
  <c r="X290" i="15"/>
  <c r="W290" i="15"/>
  <c r="U290" i="15"/>
  <c r="T290" i="15"/>
  <c r="L290" i="15"/>
  <c r="J290" i="15"/>
  <c r="G290" i="15"/>
  <c r="F290" i="15"/>
  <c r="E290" i="15"/>
  <c r="D290" i="15"/>
  <c r="C290" i="15"/>
  <c r="B290" i="15"/>
  <c r="A290" i="15"/>
  <c r="AB289" i="15"/>
  <c r="J289" i="15"/>
  <c r="F289" i="15"/>
  <c r="E289" i="15"/>
  <c r="D289" i="15"/>
  <c r="C289" i="15"/>
  <c r="B289" i="15"/>
  <c r="A289" i="15"/>
  <c r="L289" i="15" s="1"/>
  <c r="AG288" i="15"/>
  <c r="X288" i="15"/>
  <c r="S288" i="15"/>
  <c r="P288" i="15"/>
  <c r="O288" i="15"/>
  <c r="F288" i="15"/>
  <c r="E288" i="15"/>
  <c r="D288" i="15"/>
  <c r="C288" i="15"/>
  <c r="B288" i="15"/>
  <c r="A288" i="15"/>
  <c r="AA288" i="15" s="1"/>
  <c r="AF287" i="15"/>
  <c r="Y287" i="15"/>
  <c r="F287" i="15"/>
  <c r="E287" i="15"/>
  <c r="D287" i="15"/>
  <c r="C287" i="15"/>
  <c r="B287" i="15"/>
  <c r="A287" i="15"/>
  <c r="N287" i="15" s="1"/>
  <c r="AH286" i="15"/>
  <c r="AG286" i="15"/>
  <c r="AF286" i="15"/>
  <c r="AE286" i="15"/>
  <c r="X286" i="15"/>
  <c r="W286" i="15"/>
  <c r="U286" i="15"/>
  <c r="Q286" i="15"/>
  <c r="P286" i="15"/>
  <c r="O286" i="15"/>
  <c r="H286" i="15"/>
  <c r="G286" i="15"/>
  <c r="F286" i="15"/>
  <c r="E286" i="15"/>
  <c r="D286" i="15"/>
  <c r="C286" i="15"/>
  <c r="B286" i="15"/>
  <c r="A286" i="15"/>
  <c r="Z286" i="15" s="1"/>
  <c r="F285" i="15"/>
  <c r="E285" i="15"/>
  <c r="D285" i="15"/>
  <c r="C285" i="15"/>
  <c r="B285" i="15"/>
  <c r="A285" i="15"/>
  <c r="T284" i="15"/>
  <c r="L284" i="15"/>
  <c r="I284" i="15"/>
  <c r="F284" i="15"/>
  <c r="E284" i="15"/>
  <c r="D284" i="15"/>
  <c r="C284" i="15"/>
  <c r="B284" i="15"/>
  <c r="A284" i="15"/>
  <c r="Z283" i="15"/>
  <c r="Y283" i="15"/>
  <c r="S283" i="15"/>
  <c r="H283" i="15"/>
  <c r="G283" i="15"/>
  <c r="F283" i="15"/>
  <c r="E283" i="15"/>
  <c r="D283" i="15"/>
  <c r="C283" i="15"/>
  <c r="B283" i="15"/>
  <c r="A283" i="15"/>
  <c r="R283" i="15" s="1"/>
  <c r="Z282" i="15"/>
  <c r="H282" i="15"/>
  <c r="F282" i="15"/>
  <c r="E282" i="15"/>
  <c r="D282" i="15"/>
  <c r="C282" i="15"/>
  <c r="B282" i="15"/>
  <c r="A282" i="15"/>
  <c r="R282" i="15" s="1"/>
  <c r="AG281" i="15"/>
  <c r="AA281" i="15"/>
  <c r="Z281" i="15"/>
  <c r="Y281" i="15"/>
  <c r="W281" i="15"/>
  <c r="Q281" i="15"/>
  <c r="N281" i="15"/>
  <c r="I281" i="15"/>
  <c r="G281" i="15"/>
  <c r="F281" i="15"/>
  <c r="E281" i="15"/>
  <c r="D281" i="15"/>
  <c r="C281" i="15"/>
  <c r="B281" i="15"/>
  <c r="A281" i="15"/>
  <c r="F280" i="15"/>
  <c r="E280" i="15"/>
  <c r="D280" i="15"/>
  <c r="C280" i="15"/>
  <c r="B280" i="15"/>
  <c r="A280" i="15"/>
  <c r="M280" i="15" s="1"/>
  <c r="AC279" i="15"/>
  <c r="V279" i="15"/>
  <c r="M279" i="15"/>
  <c r="F279" i="15"/>
  <c r="E279" i="15"/>
  <c r="D279" i="15"/>
  <c r="C279" i="15"/>
  <c r="B279" i="15"/>
  <c r="A279" i="15"/>
  <c r="Z278" i="15"/>
  <c r="I278" i="15"/>
  <c r="H278" i="15"/>
  <c r="F278" i="15"/>
  <c r="E278" i="15"/>
  <c r="D278" i="15"/>
  <c r="C278" i="15"/>
  <c r="B278" i="15"/>
  <c r="A278" i="15"/>
  <c r="AA277" i="15"/>
  <c r="I277" i="15"/>
  <c r="F277" i="15"/>
  <c r="E277" i="15"/>
  <c r="D277" i="15"/>
  <c r="C277" i="15"/>
  <c r="B277" i="15"/>
  <c r="A277" i="15"/>
  <c r="F276" i="15"/>
  <c r="E276" i="15"/>
  <c r="D276" i="15"/>
  <c r="C276" i="15"/>
  <c r="B276" i="15"/>
  <c r="A276" i="15"/>
  <c r="AH275" i="15"/>
  <c r="AG275" i="15"/>
  <c r="AF275" i="15"/>
  <c r="AE275" i="15"/>
  <c r="AD275" i="15"/>
  <c r="W275" i="15"/>
  <c r="V275" i="15"/>
  <c r="U275" i="15"/>
  <c r="P275" i="15"/>
  <c r="O275" i="15"/>
  <c r="N275" i="15"/>
  <c r="H275" i="15"/>
  <c r="G275" i="15"/>
  <c r="F275" i="15"/>
  <c r="E275" i="15"/>
  <c r="D275" i="15"/>
  <c r="C275" i="15"/>
  <c r="B275" i="15"/>
  <c r="A275" i="15"/>
  <c r="Z275" i="15" s="1"/>
  <c r="AG274" i="15"/>
  <c r="AE274" i="15"/>
  <c r="AC274" i="15"/>
  <c r="AB274" i="15"/>
  <c r="X274" i="15"/>
  <c r="T274" i="15"/>
  <c r="O274" i="15"/>
  <c r="L274" i="15"/>
  <c r="K274" i="15"/>
  <c r="F274" i="15"/>
  <c r="E274" i="15"/>
  <c r="D274" i="15"/>
  <c r="C274" i="15"/>
  <c r="B274" i="15"/>
  <c r="A274" i="15"/>
  <c r="S273" i="15"/>
  <c r="L273" i="15"/>
  <c r="F273" i="15"/>
  <c r="E273" i="15"/>
  <c r="D273" i="15"/>
  <c r="C273" i="15"/>
  <c r="B273" i="15"/>
  <c r="A273" i="15"/>
  <c r="AA272" i="15"/>
  <c r="H272" i="15"/>
  <c r="G272" i="15"/>
  <c r="F272" i="15"/>
  <c r="E272" i="15"/>
  <c r="D272" i="15"/>
  <c r="C272" i="15"/>
  <c r="B272" i="15"/>
  <c r="A272" i="15"/>
  <c r="P272" i="15" s="1"/>
  <c r="AG271" i="15"/>
  <c r="AF271" i="15"/>
  <c r="Z271" i="15"/>
  <c r="Y271" i="15"/>
  <c r="X271" i="15"/>
  <c r="P271" i="15"/>
  <c r="O271" i="15"/>
  <c r="H271" i="15"/>
  <c r="G271" i="15"/>
  <c r="F271" i="15"/>
  <c r="E271" i="15"/>
  <c r="D271" i="15"/>
  <c r="C271" i="15"/>
  <c r="B271" i="15"/>
  <c r="A271" i="15"/>
  <c r="AH270" i="15"/>
  <c r="AF270" i="15"/>
  <c r="Y270" i="15"/>
  <c r="X270" i="15"/>
  <c r="W270" i="15"/>
  <c r="U270" i="15"/>
  <c r="P270" i="15"/>
  <c r="H270" i="15"/>
  <c r="G270" i="15"/>
  <c r="F270" i="15"/>
  <c r="E270" i="15"/>
  <c r="D270" i="15"/>
  <c r="C270" i="15"/>
  <c r="B270" i="15"/>
  <c r="A270" i="15"/>
  <c r="AH269" i="15"/>
  <c r="AG269" i="15"/>
  <c r="AE269" i="15"/>
  <c r="AD269" i="15"/>
  <c r="N269" i="15"/>
  <c r="M269" i="15"/>
  <c r="F269" i="15"/>
  <c r="E269" i="15"/>
  <c r="D269" i="15"/>
  <c r="C269" i="15"/>
  <c r="B269" i="15"/>
  <c r="A269" i="15"/>
  <c r="F268" i="15"/>
  <c r="E268" i="15"/>
  <c r="D268" i="15"/>
  <c r="C268" i="15"/>
  <c r="B268" i="15"/>
  <c r="A268" i="15"/>
  <c r="I268" i="15" s="1"/>
  <c r="F267" i="15"/>
  <c r="E267" i="15"/>
  <c r="D267" i="15"/>
  <c r="C267" i="15"/>
  <c r="B267" i="15"/>
  <c r="A267" i="15"/>
  <c r="AA267" i="15" s="1"/>
  <c r="AG266" i="15"/>
  <c r="Z266" i="15"/>
  <c r="Y266" i="15"/>
  <c r="X266" i="15"/>
  <c r="R266" i="15"/>
  <c r="H266" i="15"/>
  <c r="G266" i="15"/>
  <c r="F266" i="15"/>
  <c r="E266" i="15"/>
  <c r="D266" i="15"/>
  <c r="C266" i="15"/>
  <c r="B266" i="15"/>
  <c r="A266" i="15"/>
  <c r="Q266" i="15" s="1"/>
  <c r="AE265" i="15"/>
  <c r="Z265" i="15"/>
  <c r="Q265" i="15"/>
  <c r="N265" i="15"/>
  <c r="F265" i="15"/>
  <c r="E265" i="15"/>
  <c r="D265" i="15"/>
  <c r="C265" i="15"/>
  <c r="B265" i="15"/>
  <c r="A265" i="15"/>
  <c r="M264" i="15"/>
  <c r="F264" i="15"/>
  <c r="E264" i="15"/>
  <c r="D264" i="15"/>
  <c r="C264" i="15"/>
  <c r="B264" i="15"/>
  <c r="A264" i="15"/>
  <c r="AC263" i="15"/>
  <c r="F263" i="15"/>
  <c r="E263" i="15"/>
  <c r="D263" i="15"/>
  <c r="C263" i="15"/>
  <c r="B263" i="15"/>
  <c r="A263" i="15"/>
  <c r="AC262" i="15"/>
  <c r="AA262" i="15"/>
  <c r="T262" i="15"/>
  <c r="S262" i="15"/>
  <c r="K262" i="15"/>
  <c r="I262" i="15"/>
  <c r="F262" i="15"/>
  <c r="E262" i="15"/>
  <c r="D262" i="15"/>
  <c r="C262" i="15"/>
  <c r="B262" i="15"/>
  <c r="A262" i="15"/>
  <c r="Z262" i="15" s="1"/>
  <c r="AH261" i="15"/>
  <c r="AA261" i="15"/>
  <c r="Z261" i="15"/>
  <c r="Y261" i="15"/>
  <c r="S261" i="15"/>
  <c r="R261" i="15"/>
  <c r="I261" i="15"/>
  <c r="G261" i="15"/>
  <c r="F261" i="15"/>
  <c r="E261" i="15"/>
  <c r="D261" i="15"/>
  <c r="C261" i="15"/>
  <c r="B261" i="15"/>
  <c r="A261" i="15"/>
  <c r="O261" i="15" s="1"/>
  <c r="AF260" i="15"/>
  <c r="AA260" i="15"/>
  <c r="Y260" i="15"/>
  <c r="X260" i="15"/>
  <c r="W260" i="15"/>
  <c r="P260" i="15"/>
  <c r="O260" i="15"/>
  <c r="N260" i="15"/>
  <c r="H260" i="15"/>
  <c r="G260" i="15"/>
  <c r="F260" i="15"/>
  <c r="E260" i="15"/>
  <c r="D260" i="15"/>
  <c r="C260" i="15"/>
  <c r="B260" i="15"/>
  <c r="A260" i="15"/>
  <c r="AD259" i="15"/>
  <c r="Z259" i="15"/>
  <c r="Y259" i="15"/>
  <c r="X259" i="15"/>
  <c r="W259" i="15"/>
  <c r="P259" i="15"/>
  <c r="K259" i="15"/>
  <c r="H259" i="15"/>
  <c r="F259" i="15"/>
  <c r="E259" i="15"/>
  <c r="D259" i="15"/>
  <c r="C259" i="15"/>
  <c r="B259" i="15"/>
  <c r="A259" i="15"/>
  <c r="AG258" i="15"/>
  <c r="AC258" i="15"/>
  <c r="AB258" i="15"/>
  <c r="X258" i="15"/>
  <c r="U258" i="15"/>
  <c r="P258" i="15"/>
  <c r="L258" i="15"/>
  <c r="J258" i="15"/>
  <c r="F258" i="15"/>
  <c r="E258" i="15"/>
  <c r="D258" i="15"/>
  <c r="C258" i="15"/>
  <c r="B258" i="15"/>
  <c r="A258" i="15"/>
  <c r="J257" i="15"/>
  <c r="F257" i="15"/>
  <c r="E257" i="15"/>
  <c r="D257" i="15"/>
  <c r="C257" i="15"/>
  <c r="B257" i="15"/>
  <c r="A257" i="15"/>
  <c r="AA256" i="15"/>
  <c r="Y256" i="15"/>
  <c r="H256" i="15"/>
  <c r="G256" i="15"/>
  <c r="F256" i="15"/>
  <c r="E256" i="15"/>
  <c r="D256" i="15"/>
  <c r="C256" i="15"/>
  <c r="B256" i="15"/>
  <c r="A256" i="15"/>
  <c r="Q256" i="15" s="1"/>
  <c r="AG255" i="15"/>
  <c r="N255" i="15"/>
  <c r="H255" i="15"/>
  <c r="F255" i="15"/>
  <c r="E255" i="15"/>
  <c r="D255" i="15"/>
  <c r="C255" i="15"/>
  <c r="B255" i="15"/>
  <c r="A255" i="15"/>
  <c r="AH254" i="15"/>
  <c r="AG254" i="15"/>
  <c r="AF254" i="15"/>
  <c r="AE254" i="15"/>
  <c r="X254" i="15"/>
  <c r="W254" i="15"/>
  <c r="U254" i="15"/>
  <c r="Q254" i="15"/>
  <c r="P254" i="15"/>
  <c r="O254" i="15"/>
  <c r="H254" i="15"/>
  <c r="G254" i="15"/>
  <c r="F254" i="15"/>
  <c r="E254" i="15"/>
  <c r="D254" i="15"/>
  <c r="C254" i="15"/>
  <c r="B254" i="15"/>
  <c r="A254" i="15"/>
  <c r="Z254" i="15" s="1"/>
  <c r="AH253" i="15"/>
  <c r="AG253" i="15"/>
  <c r="AE253" i="15"/>
  <c r="AD253" i="15"/>
  <c r="AC253" i="15"/>
  <c r="Z253" i="15"/>
  <c r="V253" i="15"/>
  <c r="U253" i="15"/>
  <c r="T253" i="15"/>
  <c r="Q253" i="15"/>
  <c r="O253" i="15"/>
  <c r="N253" i="15"/>
  <c r="K253" i="15"/>
  <c r="G253" i="15"/>
  <c r="F253" i="15"/>
  <c r="E253" i="15"/>
  <c r="D253" i="15"/>
  <c r="C253" i="15"/>
  <c r="B253" i="15"/>
  <c r="A253" i="15"/>
  <c r="AA253" i="15" s="1"/>
  <c r="K252" i="15"/>
  <c r="F252" i="15"/>
  <c r="E252" i="15"/>
  <c r="D252" i="15"/>
  <c r="C252" i="15"/>
  <c r="B252" i="15"/>
  <c r="A252" i="15"/>
  <c r="AC252" i="15" s="1"/>
  <c r="Y251" i="15"/>
  <c r="R251" i="15"/>
  <c r="J251" i="15"/>
  <c r="F251" i="15"/>
  <c r="E251" i="15"/>
  <c r="D251" i="15"/>
  <c r="C251" i="15"/>
  <c r="B251" i="15"/>
  <c r="A251" i="15"/>
  <c r="H250" i="15"/>
  <c r="G250" i="15"/>
  <c r="F250" i="15"/>
  <c r="E250" i="15"/>
  <c r="D250" i="15"/>
  <c r="C250" i="15"/>
  <c r="B250" i="15"/>
  <c r="A250" i="15"/>
  <c r="Q250" i="15" s="1"/>
  <c r="AG249" i="15"/>
  <c r="AA249" i="15"/>
  <c r="Z249" i="15"/>
  <c r="Y249" i="15"/>
  <c r="N249" i="15"/>
  <c r="I249" i="15"/>
  <c r="F249" i="15"/>
  <c r="E249" i="15"/>
  <c r="D249" i="15"/>
  <c r="C249" i="15"/>
  <c r="B249" i="15"/>
  <c r="A249" i="15"/>
  <c r="AD248" i="15"/>
  <c r="AC248" i="15"/>
  <c r="X248" i="15"/>
  <c r="W248" i="15"/>
  <c r="V248" i="15"/>
  <c r="N248" i="15"/>
  <c r="L248" i="15"/>
  <c r="K248" i="15"/>
  <c r="F248" i="15"/>
  <c r="E248" i="15"/>
  <c r="D248" i="15"/>
  <c r="C248" i="15"/>
  <c r="B248" i="15"/>
  <c r="A248" i="15"/>
  <c r="U247" i="15"/>
  <c r="S247" i="15"/>
  <c r="F247" i="15"/>
  <c r="E247" i="15"/>
  <c r="D247" i="15"/>
  <c r="C247" i="15"/>
  <c r="B247" i="15"/>
  <c r="A247" i="15"/>
  <c r="S246" i="15"/>
  <c r="I246" i="15"/>
  <c r="F246" i="15"/>
  <c r="E246" i="15"/>
  <c r="D246" i="15"/>
  <c r="C246" i="15"/>
  <c r="B246" i="15"/>
  <c r="A246" i="15"/>
  <c r="AA245" i="15"/>
  <c r="I245" i="15"/>
  <c r="G245" i="15"/>
  <c r="F245" i="15"/>
  <c r="E245" i="15"/>
  <c r="D245" i="15"/>
  <c r="C245" i="15"/>
  <c r="B245" i="15"/>
  <c r="A245" i="15"/>
  <c r="Z245" i="15" s="1"/>
  <c r="AG244" i="15"/>
  <c r="Y244" i="15"/>
  <c r="X244" i="15"/>
  <c r="W244" i="15"/>
  <c r="M244" i="15"/>
  <c r="G244" i="15"/>
  <c r="F244" i="15"/>
  <c r="E244" i="15"/>
  <c r="D244" i="15"/>
  <c r="C244" i="15"/>
  <c r="B244" i="15"/>
  <c r="A244" i="15"/>
  <c r="AH243" i="15"/>
  <c r="AG243" i="15"/>
  <c r="AF243" i="15"/>
  <c r="AE243" i="15"/>
  <c r="AD243" i="15"/>
  <c r="W243" i="15"/>
  <c r="V243" i="15"/>
  <c r="U243" i="15"/>
  <c r="P243" i="15"/>
  <c r="O243" i="15"/>
  <c r="N243" i="15"/>
  <c r="H243" i="15"/>
  <c r="G243" i="15"/>
  <c r="F243" i="15"/>
  <c r="E243" i="15"/>
  <c r="D243" i="15"/>
  <c r="C243" i="15"/>
  <c r="B243" i="15"/>
  <c r="A243" i="15"/>
  <c r="Z243" i="15" s="1"/>
  <c r="AG242" i="15"/>
  <c r="AF242" i="15"/>
  <c r="AE242" i="15"/>
  <c r="S242" i="15"/>
  <c r="M242" i="15"/>
  <c r="L242" i="15"/>
  <c r="F242" i="15"/>
  <c r="E242" i="15"/>
  <c r="D242" i="15"/>
  <c r="C242" i="15"/>
  <c r="B242" i="15"/>
  <c r="A242" i="15"/>
  <c r="AD241" i="15"/>
  <c r="S241" i="15"/>
  <c r="L241" i="15"/>
  <c r="J241" i="15"/>
  <c r="F241" i="15"/>
  <c r="E241" i="15"/>
  <c r="D241" i="15"/>
  <c r="C241" i="15"/>
  <c r="B241" i="15"/>
  <c r="A241" i="15"/>
  <c r="AG240" i="15"/>
  <c r="AA240" i="15"/>
  <c r="O240" i="15"/>
  <c r="G240" i="15"/>
  <c r="F240" i="15"/>
  <c r="E240" i="15"/>
  <c r="D240" i="15"/>
  <c r="C240" i="15"/>
  <c r="B240" i="15"/>
  <c r="A240" i="15"/>
  <c r="AG239" i="15"/>
  <c r="W239" i="15"/>
  <c r="P239" i="15"/>
  <c r="O239" i="15"/>
  <c r="F239" i="15"/>
  <c r="E239" i="15"/>
  <c r="D239" i="15"/>
  <c r="C239" i="15"/>
  <c r="B239" i="15"/>
  <c r="A239" i="15"/>
  <c r="L238" i="15"/>
  <c r="F238" i="15"/>
  <c r="E238" i="15"/>
  <c r="D238" i="15"/>
  <c r="C238" i="15"/>
  <c r="B238" i="15"/>
  <c r="A238" i="15"/>
  <c r="AG237" i="15"/>
  <c r="I237" i="15"/>
  <c r="G237" i="15"/>
  <c r="F237" i="15"/>
  <c r="E237" i="15"/>
  <c r="D237" i="15"/>
  <c r="C237" i="15"/>
  <c r="B237" i="15"/>
  <c r="A237" i="15"/>
  <c r="AB236" i="15"/>
  <c r="AA236" i="15"/>
  <c r="F236" i="15"/>
  <c r="E236" i="15"/>
  <c r="D236" i="15"/>
  <c r="C236" i="15"/>
  <c r="B236" i="15"/>
  <c r="A236" i="15"/>
  <c r="AH235" i="15"/>
  <c r="R235" i="15"/>
  <c r="J235" i="15"/>
  <c r="H235" i="15"/>
  <c r="F235" i="15"/>
  <c r="E235" i="15"/>
  <c r="D235" i="15"/>
  <c r="C235" i="15"/>
  <c r="B235" i="15"/>
  <c r="A235" i="15"/>
  <c r="Z234" i="15"/>
  <c r="Y234" i="15"/>
  <c r="H234" i="15"/>
  <c r="G234" i="15"/>
  <c r="F234" i="15"/>
  <c r="E234" i="15"/>
  <c r="D234" i="15"/>
  <c r="C234" i="15"/>
  <c r="B234" i="15"/>
  <c r="A234" i="15"/>
  <c r="X234" i="15" s="1"/>
  <c r="AH233" i="15"/>
  <c r="AG233" i="15"/>
  <c r="AA233" i="15"/>
  <c r="Y233" i="15"/>
  <c r="R233" i="15"/>
  <c r="N233" i="15"/>
  <c r="I233" i="15"/>
  <c r="F233" i="15"/>
  <c r="E233" i="15"/>
  <c r="D233" i="15"/>
  <c r="C233" i="15"/>
  <c r="B233" i="15"/>
  <c r="A233" i="15"/>
  <c r="AD232" i="15"/>
  <c r="AC232" i="15"/>
  <c r="X232" i="15"/>
  <c r="W232" i="15"/>
  <c r="V232" i="15"/>
  <c r="U232" i="15"/>
  <c r="N232" i="15"/>
  <c r="L232" i="15"/>
  <c r="K232" i="15"/>
  <c r="F232" i="15"/>
  <c r="E232" i="15"/>
  <c r="D232" i="15"/>
  <c r="C232" i="15"/>
  <c r="B232" i="15"/>
  <c r="A232" i="15"/>
  <c r="AD231" i="15"/>
  <c r="K231" i="15"/>
  <c r="F231" i="15"/>
  <c r="E231" i="15"/>
  <c r="D231" i="15"/>
  <c r="C231" i="15"/>
  <c r="B231" i="15"/>
  <c r="A231" i="15"/>
  <c r="Z230" i="15"/>
  <c r="S230" i="15"/>
  <c r="R230" i="15"/>
  <c r="F230" i="15"/>
  <c r="E230" i="15"/>
  <c r="D230" i="15"/>
  <c r="C230" i="15"/>
  <c r="B230" i="15"/>
  <c r="A230" i="15"/>
  <c r="Y229" i="15"/>
  <c r="I229" i="15"/>
  <c r="F229" i="15"/>
  <c r="E229" i="15"/>
  <c r="D229" i="15"/>
  <c r="C229" i="15"/>
  <c r="B229" i="15"/>
  <c r="A229" i="15"/>
  <c r="G229" i="15" s="1"/>
  <c r="AG228" i="15"/>
  <c r="AF228" i="15"/>
  <c r="AE228" i="15"/>
  <c r="AA228" i="15"/>
  <c r="X228" i="15"/>
  <c r="W228" i="15"/>
  <c r="V228" i="15"/>
  <c r="Q228" i="15"/>
  <c r="P228" i="15"/>
  <c r="O228" i="15"/>
  <c r="N228" i="15"/>
  <c r="H228" i="15"/>
  <c r="G228" i="15"/>
  <c r="F228" i="15"/>
  <c r="E228" i="15"/>
  <c r="D228" i="15"/>
  <c r="C228" i="15"/>
  <c r="B228" i="15"/>
  <c r="A228" i="15"/>
  <c r="Y228" i="15" s="1"/>
  <c r="F227" i="15"/>
  <c r="E227" i="15"/>
  <c r="D227" i="15"/>
  <c r="C227" i="15"/>
  <c r="B227" i="15"/>
  <c r="A227" i="15"/>
  <c r="AC226" i="15"/>
  <c r="AB226" i="15"/>
  <c r="X226" i="15"/>
  <c r="W226" i="15"/>
  <c r="U226" i="15"/>
  <c r="M226" i="15"/>
  <c r="K226" i="15"/>
  <c r="J226" i="15"/>
  <c r="F226" i="15"/>
  <c r="E226" i="15"/>
  <c r="D226" i="15"/>
  <c r="C226" i="15"/>
  <c r="B226" i="15"/>
  <c r="A226" i="15"/>
  <c r="AB225" i="15"/>
  <c r="J225" i="15"/>
  <c r="F225" i="15"/>
  <c r="E225" i="15"/>
  <c r="D225" i="15"/>
  <c r="C225" i="15"/>
  <c r="B225" i="15"/>
  <c r="A225" i="15"/>
  <c r="AD225" i="15" s="1"/>
  <c r="AG224" i="15"/>
  <c r="X224" i="15"/>
  <c r="S224" i="15"/>
  <c r="P224" i="15"/>
  <c r="O224" i="15"/>
  <c r="F224" i="15"/>
  <c r="E224" i="15"/>
  <c r="D224" i="15"/>
  <c r="C224" i="15"/>
  <c r="B224" i="15"/>
  <c r="A224" i="15"/>
  <c r="AA224" i="15" s="1"/>
  <c r="H223" i="15"/>
  <c r="G223" i="15"/>
  <c r="F223" i="15"/>
  <c r="E223" i="15"/>
  <c r="D223" i="15"/>
  <c r="C223" i="15"/>
  <c r="B223" i="15"/>
  <c r="A223" i="15"/>
  <c r="N223" i="15" s="1"/>
  <c r="AH222" i="15"/>
  <c r="AG222" i="15"/>
  <c r="AF222" i="15"/>
  <c r="AE222" i="15"/>
  <c r="X222" i="15"/>
  <c r="W222" i="15"/>
  <c r="U222" i="15"/>
  <c r="Q222" i="15"/>
  <c r="P222" i="15"/>
  <c r="O222" i="15"/>
  <c r="H222" i="15"/>
  <c r="G222" i="15"/>
  <c r="F222" i="15"/>
  <c r="E222" i="15"/>
  <c r="D222" i="15"/>
  <c r="C222" i="15"/>
  <c r="B222" i="15"/>
  <c r="A222" i="15"/>
  <c r="Z222" i="15" s="1"/>
  <c r="AG221" i="15"/>
  <c r="AD221" i="15"/>
  <c r="U221" i="15"/>
  <c r="N221" i="15"/>
  <c r="L221" i="15"/>
  <c r="F221" i="15"/>
  <c r="E221" i="15"/>
  <c r="D221" i="15"/>
  <c r="C221" i="15"/>
  <c r="B221" i="15"/>
  <c r="A221" i="15"/>
  <c r="Q220" i="15"/>
  <c r="L220" i="15"/>
  <c r="F220" i="15"/>
  <c r="E220" i="15"/>
  <c r="D220" i="15"/>
  <c r="C220" i="15"/>
  <c r="B220" i="15"/>
  <c r="A220" i="15"/>
  <c r="Y219" i="15"/>
  <c r="S219" i="15"/>
  <c r="F219" i="15"/>
  <c r="E219" i="15"/>
  <c r="D219" i="15"/>
  <c r="C219" i="15"/>
  <c r="B219" i="15"/>
  <c r="A219" i="15"/>
  <c r="Z219" i="15" s="1"/>
  <c r="Z218" i="15"/>
  <c r="F218" i="15"/>
  <c r="E218" i="15"/>
  <c r="D218" i="15"/>
  <c r="C218" i="15"/>
  <c r="B218" i="15"/>
  <c r="A218" i="15"/>
  <c r="H218" i="15" s="1"/>
  <c r="F217" i="15"/>
  <c r="E217" i="15"/>
  <c r="D217" i="15"/>
  <c r="C217" i="15"/>
  <c r="B217" i="15"/>
  <c r="A217" i="15"/>
  <c r="N217" i="15" s="1"/>
  <c r="AG216" i="15"/>
  <c r="AF216" i="15"/>
  <c r="AE216" i="15"/>
  <c r="AD216" i="15"/>
  <c r="X216" i="15"/>
  <c r="W216" i="15"/>
  <c r="V216" i="15"/>
  <c r="U216" i="15"/>
  <c r="T216" i="15"/>
  <c r="O216" i="15"/>
  <c r="N216" i="15"/>
  <c r="L216" i="15"/>
  <c r="K216" i="15"/>
  <c r="F216" i="15"/>
  <c r="E216" i="15"/>
  <c r="D216" i="15"/>
  <c r="C216" i="15"/>
  <c r="B216" i="15"/>
  <c r="A216" i="15"/>
  <c r="AA216" i="15" s="1"/>
  <c r="V215" i="15"/>
  <c r="J215" i="15"/>
  <c r="I215" i="15"/>
  <c r="F215" i="15"/>
  <c r="E215" i="15"/>
  <c r="D215" i="15"/>
  <c r="C215" i="15"/>
  <c r="B215" i="15"/>
  <c r="A215" i="15"/>
  <c r="AA214" i="15"/>
  <c r="Z214" i="15"/>
  <c r="I214" i="15"/>
  <c r="H214" i="15"/>
  <c r="F214" i="15"/>
  <c r="E214" i="15"/>
  <c r="D214" i="15"/>
  <c r="C214" i="15"/>
  <c r="B214" i="15"/>
  <c r="A214" i="15"/>
  <c r="T214" i="15" s="1"/>
  <c r="AA213" i="15"/>
  <c r="I213" i="15"/>
  <c r="F213" i="15"/>
  <c r="E213" i="15"/>
  <c r="D213" i="15"/>
  <c r="C213" i="15"/>
  <c r="B213" i="15"/>
  <c r="A213" i="15"/>
  <c r="AH213" i="15" s="1"/>
  <c r="AE212" i="15"/>
  <c r="Y212" i="15"/>
  <c r="X212" i="15"/>
  <c r="W212" i="15"/>
  <c r="M212" i="15"/>
  <c r="G212" i="15"/>
  <c r="F212" i="15"/>
  <c r="E212" i="15"/>
  <c r="D212" i="15"/>
  <c r="C212" i="15"/>
  <c r="B212" i="15"/>
  <c r="A212" i="15"/>
  <c r="AG211" i="15"/>
  <c r="AD211" i="15"/>
  <c r="Y211" i="15"/>
  <c r="X211" i="15"/>
  <c r="W211" i="15"/>
  <c r="U211" i="15"/>
  <c r="K211" i="15"/>
  <c r="G211" i="15"/>
  <c r="F211" i="15"/>
  <c r="E211" i="15"/>
  <c r="D211" i="15"/>
  <c r="C211" i="15"/>
  <c r="B211" i="15"/>
  <c r="A211" i="15"/>
  <c r="AG210" i="15"/>
  <c r="AF210" i="15"/>
  <c r="AE210" i="15"/>
  <c r="AC210" i="15"/>
  <c r="X210" i="15"/>
  <c r="W210" i="15"/>
  <c r="U210" i="15"/>
  <c r="T210" i="15"/>
  <c r="S210" i="15"/>
  <c r="O210" i="15"/>
  <c r="M210" i="15"/>
  <c r="K210" i="15"/>
  <c r="J210" i="15"/>
  <c r="F210" i="15"/>
  <c r="E210" i="15"/>
  <c r="D210" i="15"/>
  <c r="C210" i="15"/>
  <c r="B210" i="15"/>
  <c r="A210" i="15"/>
  <c r="Z210" i="15" s="1"/>
  <c r="S209" i="15"/>
  <c r="L209" i="15"/>
  <c r="F209" i="15"/>
  <c r="E209" i="15"/>
  <c r="D209" i="15"/>
  <c r="C209" i="15"/>
  <c r="B209" i="15"/>
  <c r="A209" i="15"/>
  <c r="AA208" i="15"/>
  <c r="Y208" i="15"/>
  <c r="X208" i="15"/>
  <c r="H208" i="15"/>
  <c r="G208" i="15"/>
  <c r="F208" i="15"/>
  <c r="E208" i="15"/>
  <c r="D208" i="15"/>
  <c r="C208" i="15"/>
  <c r="B208" i="15"/>
  <c r="A208" i="15"/>
  <c r="S208" i="15" s="1"/>
  <c r="AF207" i="15"/>
  <c r="P207" i="15"/>
  <c r="N207" i="15"/>
  <c r="H207" i="15"/>
  <c r="F207" i="15"/>
  <c r="E207" i="15"/>
  <c r="D207" i="15"/>
  <c r="C207" i="15"/>
  <c r="B207" i="15"/>
  <c r="A207" i="15"/>
  <c r="F206" i="15"/>
  <c r="E206" i="15"/>
  <c r="D206" i="15"/>
  <c r="C206" i="15"/>
  <c r="B206" i="15"/>
  <c r="A206" i="15"/>
  <c r="AH205" i="15"/>
  <c r="AG205" i="15"/>
  <c r="AE205" i="15"/>
  <c r="AD205" i="15"/>
  <c r="AC205" i="15"/>
  <c r="V205" i="15"/>
  <c r="U205" i="15"/>
  <c r="T205" i="15"/>
  <c r="O205" i="15"/>
  <c r="N205" i="15"/>
  <c r="M205" i="15"/>
  <c r="I205" i="15"/>
  <c r="G205" i="15"/>
  <c r="F205" i="15"/>
  <c r="E205" i="15"/>
  <c r="D205" i="15"/>
  <c r="C205" i="15"/>
  <c r="B205" i="15"/>
  <c r="A205" i="15"/>
  <c r="AA205" i="15" s="1"/>
  <c r="I204" i="15"/>
  <c r="H204" i="15"/>
  <c r="F204" i="15"/>
  <c r="E204" i="15"/>
  <c r="D204" i="15"/>
  <c r="C204" i="15"/>
  <c r="B204" i="15"/>
  <c r="A204" i="15"/>
  <c r="AA204" i="15" s="1"/>
  <c r="AA203" i="15"/>
  <c r="I203" i="15"/>
  <c r="F203" i="15"/>
  <c r="E203" i="15"/>
  <c r="D203" i="15"/>
  <c r="C203" i="15"/>
  <c r="B203" i="15"/>
  <c r="A203" i="15"/>
  <c r="Z202" i="15"/>
  <c r="Y202" i="15"/>
  <c r="P202" i="15"/>
  <c r="H202" i="15"/>
  <c r="G202" i="15"/>
  <c r="F202" i="15"/>
  <c r="E202" i="15"/>
  <c r="D202" i="15"/>
  <c r="C202" i="15"/>
  <c r="B202" i="15"/>
  <c r="A202" i="15"/>
  <c r="AH201" i="15"/>
  <c r="AG201" i="15"/>
  <c r="AE201" i="15"/>
  <c r="AA201" i="15"/>
  <c r="W201" i="15"/>
  <c r="V201" i="15"/>
  <c r="R201" i="15"/>
  <c r="Q201" i="15"/>
  <c r="O201" i="15"/>
  <c r="N201" i="15"/>
  <c r="G201" i="15"/>
  <c r="F201" i="15"/>
  <c r="E201" i="15"/>
  <c r="D201" i="15"/>
  <c r="C201" i="15"/>
  <c r="B201" i="15"/>
  <c r="A201" i="15"/>
  <c r="Z201" i="15" s="1"/>
  <c r="AF200" i="15"/>
  <c r="AE200" i="15"/>
  <c r="AD200" i="15"/>
  <c r="AC200" i="15"/>
  <c r="Y200" i="15"/>
  <c r="X200" i="15"/>
  <c r="U200" i="15"/>
  <c r="T200" i="15"/>
  <c r="P200" i="15"/>
  <c r="O200" i="15"/>
  <c r="N200" i="15"/>
  <c r="M200" i="15"/>
  <c r="G200" i="15"/>
  <c r="F200" i="15"/>
  <c r="E200" i="15"/>
  <c r="D200" i="15"/>
  <c r="C200" i="15"/>
  <c r="B200" i="15"/>
  <c r="A200" i="15"/>
  <c r="AA200" i="15" s="1"/>
  <c r="S199" i="15"/>
  <c r="I199" i="15"/>
  <c r="F199" i="15"/>
  <c r="E199" i="15"/>
  <c r="D199" i="15"/>
  <c r="C199" i="15"/>
  <c r="B199" i="15"/>
  <c r="A199" i="15"/>
  <c r="AA198" i="15"/>
  <c r="Z198" i="15"/>
  <c r="T198" i="15"/>
  <c r="H198" i="15"/>
  <c r="F198" i="15"/>
  <c r="E198" i="15"/>
  <c r="D198" i="15"/>
  <c r="C198" i="15"/>
  <c r="B198" i="15"/>
  <c r="A198" i="15"/>
  <c r="S198" i="15" s="1"/>
  <c r="Z197" i="15"/>
  <c r="F197" i="15"/>
  <c r="E197" i="15"/>
  <c r="D197" i="15"/>
  <c r="C197" i="15"/>
  <c r="B197" i="15"/>
  <c r="A197" i="15"/>
  <c r="AG196" i="15"/>
  <c r="Q196" i="15"/>
  <c r="N196" i="15"/>
  <c r="M196" i="15"/>
  <c r="F196" i="15"/>
  <c r="E196" i="15"/>
  <c r="D196" i="15"/>
  <c r="C196" i="15"/>
  <c r="B196" i="15"/>
  <c r="A196" i="15"/>
  <c r="AF195" i="15"/>
  <c r="AE195" i="15"/>
  <c r="P195" i="15"/>
  <c r="O195" i="15"/>
  <c r="M195" i="15"/>
  <c r="F195" i="15"/>
  <c r="E195" i="15"/>
  <c r="D195" i="15"/>
  <c r="C195" i="15"/>
  <c r="B195" i="15"/>
  <c r="A195" i="15"/>
  <c r="G195" i="15" s="1"/>
  <c r="AF194" i="15"/>
  <c r="AB194" i="15"/>
  <c r="X194" i="15"/>
  <c r="W194" i="15"/>
  <c r="U194" i="15"/>
  <c r="T194" i="15"/>
  <c r="S194" i="15"/>
  <c r="K194" i="15"/>
  <c r="J194" i="15"/>
  <c r="F194" i="15"/>
  <c r="E194" i="15"/>
  <c r="D194" i="15"/>
  <c r="C194" i="15"/>
  <c r="B194" i="15"/>
  <c r="A194" i="15"/>
  <c r="AC193" i="15"/>
  <c r="K193" i="15"/>
  <c r="F193" i="15"/>
  <c r="E193" i="15"/>
  <c r="D193" i="15"/>
  <c r="C193" i="15"/>
  <c r="B193" i="15"/>
  <c r="A193" i="15"/>
  <c r="F192" i="15"/>
  <c r="E192" i="15"/>
  <c r="D192" i="15"/>
  <c r="C192" i="15"/>
  <c r="B192" i="15"/>
  <c r="A192" i="15"/>
  <c r="Q192" i="15" s="1"/>
  <c r="AH191" i="15"/>
  <c r="AG191" i="15"/>
  <c r="Z191" i="15"/>
  <c r="Y191" i="15"/>
  <c r="X191" i="15"/>
  <c r="W191" i="15"/>
  <c r="Q191" i="15"/>
  <c r="P191" i="15"/>
  <c r="O191" i="15"/>
  <c r="H191" i="15"/>
  <c r="G191" i="15"/>
  <c r="F191" i="15"/>
  <c r="E191" i="15"/>
  <c r="D191" i="15"/>
  <c r="C191" i="15"/>
  <c r="B191" i="15"/>
  <c r="A191" i="15"/>
  <c r="AF191" i="15" s="1"/>
  <c r="F190" i="15"/>
  <c r="E190" i="15"/>
  <c r="D190" i="15"/>
  <c r="C190" i="15"/>
  <c r="B190" i="15"/>
  <c r="A190" i="15"/>
  <c r="P190" i="15" s="1"/>
  <c r="AE189" i="15"/>
  <c r="AC189" i="15"/>
  <c r="Y189" i="15"/>
  <c r="W189" i="15"/>
  <c r="V189" i="15"/>
  <c r="R189" i="15"/>
  <c r="O189" i="15"/>
  <c r="N189" i="15"/>
  <c r="L189" i="15"/>
  <c r="K189" i="15"/>
  <c r="F189" i="15"/>
  <c r="E189" i="15"/>
  <c r="D189" i="15"/>
  <c r="C189" i="15"/>
  <c r="B189" i="15"/>
  <c r="A189" i="15"/>
  <c r="F188" i="15"/>
  <c r="E188" i="15"/>
  <c r="D188" i="15"/>
  <c r="C188" i="15"/>
  <c r="B188" i="15"/>
  <c r="A188" i="15"/>
  <c r="F187" i="15"/>
  <c r="E187" i="15"/>
  <c r="D187" i="15"/>
  <c r="C187" i="15"/>
  <c r="B187" i="15"/>
  <c r="A187" i="15"/>
  <c r="AA187" i="15" s="1"/>
  <c r="F186" i="15"/>
  <c r="E186" i="15"/>
  <c r="D186" i="15"/>
  <c r="C186" i="15"/>
  <c r="B186" i="15"/>
  <c r="A186" i="15"/>
  <c r="I185" i="15"/>
  <c r="G185" i="15"/>
  <c r="F185" i="15"/>
  <c r="E185" i="15"/>
  <c r="D185" i="15"/>
  <c r="C185" i="15"/>
  <c r="B185" i="15"/>
  <c r="A185" i="15"/>
  <c r="O185" i="15" s="1"/>
  <c r="AG184" i="15"/>
  <c r="AF184" i="15"/>
  <c r="U184" i="15"/>
  <c r="Q184" i="15"/>
  <c r="K184" i="15"/>
  <c r="G184" i="15"/>
  <c r="F184" i="15"/>
  <c r="E184" i="15"/>
  <c r="D184" i="15"/>
  <c r="C184" i="15"/>
  <c r="B184" i="15"/>
  <c r="A184" i="15"/>
  <c r="AA183" i="15"/>
  <c r="V183" i="15"/>
  <c r="U183" i="15"/>
  <c r="I183" i="15"/>
  <c r="F183" i="15"/>
  <c r="E183" i="15"/>
  <c r="D183" i="15"/>
  <c r="C183" i="15"/>
  <c r="B183" i="15"/>
  <c r="A183" i="15"/>
  <c r="AC183" i="15" s="1"/>
  <c r="S182" i="15"/>
  <c r="I182" i="15"/>
  <c r="F182" i="15"/>
  <c r="E182" i="15"/>
  <c r="D182" i="15"/>
  <c r="C182" i="15"/>
  <c r="B182" i="15"/>
  <c r="A182" i="15"/>
  <c r="AA181" i="15"/>
  <c r="I181" i="15"/>
  <c r="F181" i="15"/>
  <c r="E181" i="15"/>
  <c r="D181" i="15"/>
  <c r="C181" i="15"/>
  <c r="B181" i="15"/>
  <c r="A181" i="15"/>
  <c r="AA180" i="15"/>
  <c r="Y180" i="15"/>
  <c r="X180" i="15"/>
  <c r="W180" i="15"/>
  <c r="V180" i="15"/>
  <c r="Q180" i="15"/>
  <c r="N180" i="15"/>
  <c r="H180" i="15"/>
  <c r="G180" i="15"/>
  <c r="F180" i="15"/>
  <c r="E180" i="15"/>
  <c r="D180" i="15"/>
  <c r="C180" i="15"/>
  <c r="B180" i="15"/>
  <c r="A180" i="15"/>
  <c r="AH179" i="15"/>
  <c r="AF179" i="15"/>
  <c r="AE179" i="15"/>
  <c r="X179" i="15"/>
  <c r="W179" i="15"/>
  <c r="V179" i="15"/>
  <c r="P179" i="15"/>
  <c r="H179" i="15"/>
  <c r="G179" i="15"/>
  <c r="F179" i="15"/>
  <c r="E179" i="15"/>
  <c r="D179" i="15"/>
  <c r="C179" i="15"/>
  <c r="B179" i="15"/>
  <c r="A179" i="15"/>
  <c r="AG178" i="15"/>
  <c r="AF178" i="15"/>
  <c r="AE178" i="15"/>
  <c r="AC178" i="15"/>
  <c r="AB178" i="15"/>
  <c r="U178" i="15"/>
  <c r="T178" i="15"/>
  <c r="S178" i="15"/>
  <c r="O178" i="15"/>
  <c r="M178" i="15"/>
  <c r="L178" i="15"/>
  <c r="G178" i="15"/>
  <c r="F178" i="15"/>
  <c r="E178" i="15"/>
  <c r="D178" i="15"/>
  <c r="C178" i="15"/>
  <c r="B178" i="15"/>
  <c r="A178" i="15"/>
  <c r="Z178" i="15" s="1"/>
  <c r="U177" i="15"/>
  <c r="T177" i="15"/>
  <c r="R177" i="15"/>
  <c r="I177" i="15"/>
  <c r="F177" i="15"/>
  <c r="E177" i="15"/>
  <c r="D177" i="15"/>
  <c r="C177" i="15"/>
  <c r="B177" i="15"/>
  <c r="A177" i="15"/>
  <c r="AA176" i="15"/>
  <c r="Y176" i="15"/>
  <c r="X176" i="15"/>
  <c r="G176" i="15"/>
  <c r="F176" i="15"/>
  <c r="E176" i="15"/>
  <c r="D176" i="15"/>
  <c r="C176" i="15"/>
  <c r="B176" i="15"/>
  <c r="A176" i="15"/>
  <c r="AG176" i="15" s="1"/>
  <c r="N175" i="15"/>
  <c r="H175" i="15"/>
  <c r="F175" i="15"/>
  <c r="E175" i="15"/>
  <c r="D175" i="15"/>
  <c r="C175" i="15"/>
  <c r="B175" i="15"/>
  <c r="A175" i="15"/>
  <c r="Z175" i="15" s="1"/>
  <c r="O174" i="15"/>
  <c r="F174" i="15"/>
  <c r="E174" i="15"/>
  <c r="D174" i="15"/>
  <c r="C174" i="15"/>
  <c r="B174" i="15"/>
  <c r="A174" i="15"/>
  <c r="Q174" i="15" s="1"/>
  <c r="F173" i="15"/>
  <c r="E173" i="15"/>
  <c r="D173" i="15"/>
  <c r="C173" i="15"/>
  <c r="B173" i="15"/>
  <c r="A173" i="15"/>
  <c r="F172" i="15"/>
  <c r="E172" i="15"/>
  <c r="D172" i="15"/>
  <c r="C172" i="15"/>
  <c r="B172" i="15"/>
  <c r="A172" i="15"/>
  <c r="H171" i="15"/>
  <c r="G171" i="15"/>
  <c r="F171" i="15"/>
  <c r="E171" i="15"/>
  <c r="D171" i="15"/>
  <c r="C171" i="15"/>
  <c r="B171" i="15"/>
  <c r="A171" i="15"/>
  <c r="Z171" i="15" s="1"/>
  <c r="AA170" i="15"/>
  <c r="I170" i="15"/>
  <c r="F170" i="15"/>
  <c r="E170" i="15"/>
  <c r="D170" i="15"/>
  <c r="C170" i="15"/>
  <c r="B170" i="15"/>
  <c r="A170" i="15"/>
  <c r="O169" i="15"/>
  <c r="F169" i="15"/>
  <c r="E169" i="15"/>
  <c r="D169" i="15"/>
  <c r="C169" i="15"/>
  <c r="B169" i="15"/>
  <c r="A169" i="15"/>
  <c r="Q169" i="15" s="1"/>
  <c r="U168" i="15"/>
  <c r="Q168" i="15"/>
  <c r="F168" i="15"/>
  <c r="E168" i="15"/>
  <c r="D168" i="15"/>
  <c r="C168" i="15"/>
  <c r="B168" i="15"/>
  <c r="A168" i="15"/>
  <c r="AC168" i="15" s="1"/>
  <c r="U167" i="15"/>
  <c r="J167" i="15"/>
  <c r="F167" i="15"/>
  <c r="E167" i="15"/>
  <c r="D167" i="15"/>
  <c r="C167" i="15"/>
  <c r="B167" i="15"/>
  <c r="A167" i="15"/>
  <c r="AA166" i="15"/>
  <c r="H166" i="15"/>
  <c r="F166" i="15"/>
  <c r="E166" i="15"/>
  <c r="D166" i="15"/>
  <c r="C166" i="15"/>
  <c r="B166" i="15"/>
  <c r="A166" i="15"/>
  <c r="R166" i="15" s="1"/>
  <c r="J165" i="15"/>
  <c r="F165" i="15"/>
  <c r="E165" i="15"/>
  <c r="D165" i="15"/>
  <c r="C165" i="15"/>
  <c r="B165" i="15"/>
  <c r="A165" i="15"/>
  <c r="AB165" i="15" s="1"/>
  <c r="V164" i="15"/>
  <c r="Q164" i="15"/>
  <c r="F164" i="15"/>
  <c r="E164" i="15"/>
  <c r="D164" i="15"/>
  <c r="C164" i="15"/>
  <c r="B164" i="15"/>
  <c r="A164" i="15"/>
  <c r="V163" i="15"/>
  <c r="U163" i="15"/>
  <c r="F163" i="15"/>
  <c r="E163" i="15"/>
  <c r="D163" i="15"/>
  <c r="C163" i="15"/>
  <c r="G163" i="15" s="1"/>
  <c r="B163" i="15"/>
  <c r="A163" i="15"/>
  <c r="F162" i="15"/>
  <c r="E162" i="15"/>
  <c r="D162" i="15"/>
  <c r="C162" i="15"/>
  <c r="B162" i="15"/>
  <c r="A162" i="15"/>
  <c r="F161" i="15"/>
  <c r="E161" i="15"/>
  <c r="D161" i="15"/>
  <c r="C161" i="15"/>
  <c r="B161" i="15"/>
  <c r="A161" i="15"/>
  <c r="F160" i="15"/>
  <c r="E160" i="15"/>
  <c r="D160" i="15"/>
  <c r="C160" i="15"/>
  <c r="B160" i="15"/>
  <c r="A160" i="15"/>
  <c r="F159" i="15"/>
  <c r="E159" i="15"/>
  <c r="D159" i="15"/>
  <c r="C159" i="15"/>
  <c r="B159" i="15"/>
  <c r="A159" i="15"/>
  <c r="U158" i="15"/>
  <c r="O158" i="15"/>
  <c r="F158" i="15"/>
  <c r="E158" i="15"/>
  <c r="D158" i="15"/>
  <c r="C158" i="15"/>
  <c r="B158" i="15"/>
  <c r="A158" i="15"/>
  <c r="L157" i="15"/>
  <c r="K157" i="15"/>
  <c r="F157" i="15"/>
  <c r="E157" i="15"/>
  <c r="D157" i="15"/>
  <c r="C157" i="15"/>
  <c r="B157" i="15"/>
  <c r="A157" i="15"/>
  <c r="AB156" i="15"/>
  <c r="I156" i="15"/>
  <c r="F156" i="15"/>
  <c r="E156" i="15"/>
  <c r="D156" i="15"/>
  <c r="C156" i="15"/>
  <c r="B156" i="15"/>
  <c r="A156" i="15"/>
  <c r="AC155" i="15"/>
  <c r="Z155" i="15"/>
  <c r="Y155" i="15"/>
  <c r="S155" i="15"/>
  <c r="R155" i="15"/>
  <c r="G155" i="15"/>
  <c r="F155" i="15"/>
  <c r="E155" i="15"/>
  <c r="D155" i="15"/>
  <c r="C155" i="15"/>
  <c r="B155" i="15"/>
  <c r="A155" i="15"/>
  <c r="P155" i="15" s="1"/>
  <c r="F154" i="15"/>
  <c r="E154" i="15"/>
  <c r="D154" i="15"/>
  <c r="C154" i="15"/>
  <c r="B154" i="15"/>
  <c r="A154" i="15"/>
  <c r="AA153" i="15"/>
  <c r="O153" i="15"/>
  <c r="F153" i="15"/>
  <c r="AC153" i="15" s="1"/>
  <c r="E153" i="15"/>
  <c r="D153" i="15"/>
  <c r="C153" i="15"/>
  <c r="B153" i="15"/>
  <c r="A153" i="15"/>
  <c r="Z153" i="15" s="1"/>
  <c r="O152" i="15"/>
  <c r="M152" i="15"/>
  <c r="F152" i="15"/>
  <c r="E152" i="15"/>
  <c r="D152" i="15"/>
  <c r="C152" i="15"/>
  <c r="B152" i="15"/>
  <c r="A152" i="15"/>
  <c r="U151" i="15"/>
  <c r="F151" i="15"/>
  <c r="E151" i="15"/>
  <c r="D151" i="15"/>
  <c r="C151" i="15"/>
  <c r="B151" i="15"/>
  <c r="A151" i="15"/>
  <c r="I150" i="15"/>
  <c r="H150" i="15"/>
  <c r="F150" i="15"/>
  <c r="E150" i="15"/>
  <c r="D150" i="15"/>
  <c r="C150" i="15"/>
  <c r="B150" i="15"/>
  <c r="A150" i="15"/>
  <c r="S150" i="15" s="1"/>
  <c r="Y149" i="15"/>
  <c r="G149" i="15"/>
  <c r="F149" i="15"/>
  <c r="E149" i="15"/>
  <c r="D149" i="15"/>
  <c r="C149" i="15"/>
  <c r="B149" i="15"/>
  <c r="A149" i="15"/>
  <c r="I149" i="15" s="1"/>
  <c r="X148" i="15"/>
  <c r="Q148" i="15"/>
  <c r="F148" i="15"/>
  <c r="E148" i="15"/>
  <c r="D148" i="15"/>
  <c r="C148" i="15"/>
  <c r="B148" i="15"/>
  <c r="A148" i="15"/>
  <c r="M147" i="15"/>
  <c r="K147" i="15"/>
  <c r="F147" i="15"/>
  <c r="E147" i="15"/>
  <c r="D147" i="15"/>
  <c r="C147" i="15"/>
  <c r="B147" i="15"/>
  <c r="A147" i="15"/>
  <c r="U146" i="15"/>
  <c r="S146" i="15"/>
  <c r="F146" i="15"/>
  <c r="E146" i="15"/>
  <c r="D146" i="15"/>
  <c r="C146" i="15"/>
  <c r="B146" i="15"/>
  <c r="A146" i="15"/>
  <c r="J145" i="15"/>
  <c r="I145" i="15"/>
  <c r="F145" i="15"/>
  <c r="E145" i="15"/>
  <c r="D145" i="15"/>
  <c r="C145" i="15"/>
  <c r="B145" i="15"/>
  <c r="A145" i="15"/>
  <c r="AA145" i="15" s="1"/>
  <c r="AA144" i="15"/>
  <c r="H144" i="15"/>
  <c r="F144" i="15"/>
  <c r="E144" i="15"/>
  <c r="D144" i="15"/>
  <c r="C144" i="15"/>
  <c r="B144" i="15"/>
  <c r="A144" i="15"/>
  <c r="Q144" i="15" s="1"/>
  <c r="Y143" i="15"/>
  <c r="F143" i="15"/>
  <c r="E143" i="15"/>
  <c r="D143" i="15"/>
  <c r="C143" i="15"/>
  <c r="B143" i="15"/>
  <c r="A143" i="15"/>
  <c r="O143" i="15" s="1"/>
  <c r="F142" i="15"/>
  <c r="E142" i="15"/>
  <c r="D142" i="15"/>
  <c r="C142" i="15"/>
  <c r="B142" i="15"/>
  <c r="A142" i="15"/>
  <c r="G142" i="15" s="1"/>
  <c r="W141" i="15"/>
  <c r="F141" i="15"/>
  <c r="E141" i="15"/>
  <c r="D141" i="15"/>
  <c r="C141" i="15"/>
  <c r="B141" i="15"/>
  <c r="A141" i="15"/>
  <c r="V141" i="15" s="1"/>
  <c r="I140" i="15"/>
  <c r="F140" i="15"/>
  <c r="E140" i="15"/>
  <c r="D140" i="15"/>
  <c r="C140" i="15"/>
  <c r="B140" i="15"/>
  <c r="A140" i="15"/>
  <c r="F139" i="15"/>
  <c r="E139" i="15"/>
  <c r="D139" i="15"/>
  <c r="C139" i="15"/>
  <c r="B139" i="15"/>
  <c r="A139" i="15"/>
  <c r="F138" i="15"/>
  <c r="E138" i="15"/>
  <c r="D138" i="15"/>
  <c r="C138" i="15"/>
  <c r="B138" i="15"/>
  <c r="A138" i="15"/>
  <c r="F137" i="15"/>
  <c r="E137" i="15"/>
  <c r="D137" i="15"/>
  <c r="C137" i="15"/>
  <c r="B137" i="15"/>
  <c r="A137" i="15"/>
  <c r="R137" i="15" s="1"/>
  <c r="X136" i="15"/>
  <c r="F136" i="15"/>
  <c r="E136" i="15"/>
  <c r="D136" i="15"/>
  <c r="C136" i="15"/>
  <c r="B136" i="15"/>
  <c r="A136" i="15"/>
  <c r="W136" i="15" s="1"/>
  <c r="F135" i="15"/>
  <c r="E135" i="15"/>
  <c r="D135" i="15"/>
  <c r="C135" i="15"/>
  <c r="B135" i="15"/>
  <c r="A135" i="15"/>
  <c r="F134" i="15"/>
  <c r="E134" i="15"/>
  <c r="D134" i="15"/>
  <c r="C134" i="15"/>
  <c r="B134" i="15"/>
  <c r="A134" i="15"/>
  <c r="Z133" i="15"/>
  <c r="G133" i="15"/>
  <c r="F133" i="15"/>
  <c r="E133" i="15"/>
  <c r="D133" i="15"/>
  <c r="C133" i="15"/>
  <c r="B133" i="15"/>
  <c r="A133" i="15"/>
  <c r="P132" i="15"/>
  <c r="F132" i="15"/>
  <c r="E132" i="15"/>
  <c r="D132" i="15"/>
  <c r="C132" i="15"/>
  <c r="B132" i="15"/>
  <c r="A132" i="15"/>
  <c r="V132" i="15" s="1"/>
  <c r="O131" i="15"/>
  <c r="M131" i="15"/>
  <c r="F131" i="15"/>
  <c r="E131" i="15"/>
  <c r="D131" i="15"/>
  <c r="C131" i="15"/>
  <c r="B131" i="15"/>
  <c r="A131" i="15"/>
  <c r="P131" i="15" s="1"/>
  <c r="AC130" i="15"/>
  <c r="O130" i="15"/>
  <c r="F130" i="15"/>
  <c r="E130" i="15"/>
  <c r="D130" i="15"/>
  <c r="C130" i="15"/>
  <c r="B130" i="15"/>
  <c r="W130" i="15" s="1"/>
  <c r="A130" i="15"/>
  <c r="Q130" i="15" s="1"/>
  <c r="J129" i="15"/>
  <c r="I129" i="15"/>
  <c r="F129" i="15"/>
  <c r="E129" i="15"/>
  <c r="D129" i="15"/>
  <c r="C129" i="15"/>
  <c r="B129" i="15"/>
  <c r="A129" i="15"/>
  <c r="AB129" i="15" s="1"/>
  <c r="H128" i="15"/>
  <c r="G128" i="15"/>
  <c r="F128" i="15"/>
  <c r="E128" i="15"/>
  <c r="D128" i="15"/>
  <c r="C128" i="15"/>
  <c r="B128" i="15"/>
  <c r="A128" i="15"/>
  <c r="AA128" i="15" s="1"/>
  <c r="Y127" i="15"/>
  <c r="P127" i="15"/>
  <c r="F127" i="15"/>
  <c r="E127" i="15"/>
  <c r="D127" i="15"/>
  <c r="C127" i="15"/>
  <c r="B127" i="15"/>
  <c r="A127" i="15"/>
  <c r="O127" i="15" s="1"/>
  <c r="M126" i="15"/>
  <c r="F126" i="15"/>
  <c r="E126" i="15"/>
  <c r="D126" i="15"/>
  <c r="C126" i="15"/>
  <c r="B126" i="15"/>
  <c r="A126" i="15"/>
  <c r="AC125" i="15"/>
  <c r="W125" i="15"/>
  <c r="F125" i="15"/>
  <c r="E125" i="15"/>
  <c r="D125" i="15"/>
  <c r="C125" i="15"/>
  <c r="B125" i="15"/>
  <c r="A125" i="15"/>
  <c r="F124" i="15"/>
  <c r="E124" i="15"/>
  <c r="D124" i="15"/>
  <c r="C124" i="15"/>
  <c r="B124" i="15"/>
  <c r="A124" i="15"/>
  <c r="AC123" i="15"/>
  <c r="J123" i="15"/>
  <c r="G123" i="15"/>
  <c r="F123" i="15"/>
  <c r="E123" i="15"/>
  <c r="D123" i="15"/>
  <c r="C123" i="15"/>
  <c r="B123" i="15"/>
  <c r="A123" i="15"/>
  <c r="H122" i="15"/>
  <c r="G122" i="15"/>
  <c r="F122" i="15"/>
  <c r="E122" i="15"/>
  <c r="D122" i="15"/>
  <c r="C122" i="15"/>
  <c r="B122" i="15"/>
  <c r="A122" i="15"/>
  <c r="Y121" i="15"/>
  <c r="O121" i="15"/>
  <c r="F121" i="15"/>
  <c r="E121" i="15"/>
  <c r="D121" i="15"/>
  <c r="C121" i="15"/>
  <c r="B121" i="15"/>
  <c r="A121" i="15"/>
  <c r="Q121" i="15" s="1"/>
  <c r="AC120" i="15"/>
  <c r="N120" i="15"/>
  <c r="M120" i="15"/>
  <c r="F120" i="15"/>
  <c r="E120" i="15"/>
  <c r="D120" i="15"/>
  <c r="C120" i="15"/>
  <c r="B120" i="15"/>
  <c r="A120" i="15"/>
  <c r="Q120" i="15" s="1"/>
  <c r="AA119" i="15"/>
  <c r="V119" i="15"/>
  <c r="F119" i="15"/>
  <c r="E119" i="15"/>
  <c r="D119" i="15"/>
  <c r="C119" i="15"/>
  <c r="B119" i="15"/>
  <c r="A119" i="15"/>
  <c r="S118" i="15"/>
  <c r="F118" i="15"/>
  <c r="E118" i="15"/>
  <c r="D118" i="15"/>
  <c r="C118" i="15"/>
  <c r="B118" i="15"/>
  <c r="A118" i="15"/>
  <c r="I118" i="15" s="1"/>
  <c r="F117" i="15"/>
  <c r="E117" i="15"/>
  <c r="D117" i="15"/>
  <c r="C117" i="15"/>
  <c r="B117" i="15"/>
  <c r="A117" i="15"/>
  <c r="F116" i="15"/>
  <c r="E116" i="15"/>
  <c r="D116" i="15"/>
  <c r="C116" i="15"/>
  <c r="B116" i="15"/>
  <c r="A116" i="15"/>
  <c r="F115" i="15"/>
  <c r="E115" i="15"/>
  <c r="D115" i="15"/>
  <c r="C115" i="15"/>
  <c r="B115" i="15"/>
  <c r="A115" i="15"/>
  <c r="U114" i="15"/>
  <c r="Q114" i="15"/>
  <c r="F114" i="15"/>
  <c r="E114" i="15"/>
  <c r="D114" i="15"/>
  <c r="C114" i="15"/>
  <c r="B114" i="15"/>
  <c r="A114" i="15"/>
  <c r="W114" i="15" s="1"/>
  <c r="J113" i="15"/>
  <c r="I113" i="15"/>
  <c r="F113" i="15"/>
  <c r="E113" i="15"/>
  <c r="D113" i="15"/>
  <c r="C113" i="15"/>
  <c r="B113" i="15"/>
  <c r="A113" i="15"/>
  <c r="AA112" i="15"/>
  <c r="H112" i="15"/>
  <c r="F112" i="15"/>
  <c r="E112" i="15"/>
  <c r="D112" i="15"/>
  <c r="C112" i="15"/>
  <c r="B112" i="15"/>
  <c r="A112" i="15"/>
  <c r="Z111" i="15"/>
  <c r="Y111" i="15"/>
  <c r="Q111" i="15"/>
  <c r="N111" i="15"/>
  <c r="F111" i="15"/>
  <c r="E111" i="15"/>
  <c r="H111" i="15" s="1"/>
  <c r="D111" i="15"/>
  <c r="C111" i="15"/>
  <c r="B111" i="15"/>
  <c r="A111" i="15"/>
  <c r="P111" i="15" s="1"/>
  <c r="X110" i="15"/>
  <c r="Q110" i="15"/>
  <c r="P110" i="15"/>
  <c r="F110" i="15"/>
  <c r="E110" i="15"/>
  <c r="D110" i="15"/>
  <c r="C110" i="15"/>
  <c r="B110" i="15"/>
  <c r="AB110" i="15" s="1"/>
  <c r="A110" i="15"/>
  <c r="Y110" i="15" s="1"/>
  <c r="V109" i="15"/>
  <c r="U109" i="15"/>
  <c r="R109" i="15"/>
  <c r="N109" i="15"/>
  <c r="K109" i="15"/>
  <c r="F109" i="15"/>
  <c r="E109" i="15"/>
  <c r="D109" i="15"/>
  <c r="C109" i="15"/>
  <c r="B109" i="15"/>
  <c r="A109" i="15"/>
  <c r="AC109" i="15" s="1"/>
  <c r="I108" i="15"/>
  <c r="F108" i="15"/>
  <c r="E108" i="15"/>
  <c r="D108" i="15"/>
  <c r="C108" i="15"/>
  <c r="B108" i="15"/>
  <c r="A108" i="15"/>
  <c r="AC108" i="15" s="1"/>
  <c r="Y107" i="15"/>
  <c r="S107" i="15"/>
  <c r="R107" i="15"/>
  <c r="P107" i="15"/>
  <c r="G107" i="15"/>
  <c r="F107" i="15"/>
  <c r="E107" i="15"/>
  <c r="D107" i="15"/>
  <c r="C107" i="15"/>
  <c r="B107" i="15"/>
  <c r="A107" i="15"/>
  <c r="H106" i="15"/>
  <c r="G106" i="15"/>
  <c r="F106" i="15"/>
  <c r="E106" i="15"/>
  <c r="D106" i="15"/>
  <c r="C106" i="15"/>
  <c r="B106" i="15"/>
  <c r="A106" i="15"/>
  <c r="Y106" i="15" s="1"/>
  <c r="AA105" i="15"/>
  <c r="Z105" i="15"/>
  <c r="Q105" i="15"/>
  <c r="O105" i="15"/>
  <c r="F105" i="15"/>
  <c r="AC105" i="15" s="1"/>
  <c r="E105" i="15"/>
  <c r="D105" i="15"/>
  <c r="C105" i="15"/>
  <c r="B105" i="15"/>
  <c r="A105" i="15"/>
  <c r="V105" i="15" s="1"/>
  <c r="AA104" i="15"/>
  <c r="F104" i="15"/>
  <c r="E104" i="15"/>
  <c r="D104" i="15"/>
  <c r="C104" i="15"/>
  <c r="B104" i="15"/>
  <c r="A104" i="15"/>
  <c r="Y104" i="15" s="1"/>
  <c r="J103" i="15"/>
  <c r="I103" i="15"/>
  <c r="F103" i="15"/>
  <c r="E103" i="15"/>
  <c r="D103" i="15"/>
  <c r="C103" i="15"/>
  <c r="B103" i="15"/>
  <c r="A103" i="15"/>
  <c r="V103" i="15" s="1"/>
  <c r="AA102" i="15"/>
  <c r="Z102" i="15"/>
  <c r="F102" i="15"/>
  <c r="E102" i="15"/>
  <c r="D102" i="15"/>
  <c r="C102" i="15"/>
  <c r="B102" i="15"/>
  <c r="A102" i="15"/>
  <c r="F101" i="15"/>
  <c r="E101" i="15"/>
  <c r="D101" i="15"/>
  <c r="C101" i="15"/>
  <c r="B101" i="15"/>
  <c r="A101" i="15"/>
  <c r="O100" i="15"/>
  <c r="F100" i="15"/>
  <c r="E100" i="15"/>
  <c r="D100" i="15"/>
  <c r="C100" i="15"/>
  <c r="B100" i="15"/>
  <c r="A100" i="15"/>
  <c r="Q100" i="15" s="1"/>
  <c r="M99" i="15"/>
  <c r="F99" i="15"/>
  <c r="E99" i="15"/>
  <c r="D99" i="15"/>
  <c r="C99" i="15"/>
  <c r="B99" i="15"/>
  <c r="A99" i="15"/>
  <c r="O99" i="15" s="1"/>
  <c r="Q98" i="15"/>
  <c r="F98" i="15"/>
  <c r="E98" i="15"/>
  <c r="D98" i="15"/>
  <c r="C98" i="15"/>
  <c r="B98" i="15"/>
  <c r="A98" i="15"/>
  <c r="W98" i="15" s="1"/>
  <c r="I97" i="15"/>
  <c r="F97" i="15"/>
  <c r="E97" i="15"/>
  <c r="D97" i="15"/>
  <c r="C97" i="15"/>
  <c r="B97" i="15"/>
  <c r="A97" i="15"/>
  <c r="AB97" i="15" s="1"/>
  <c r="I96" i="15"/>
  <c r="F96" i="15"/>
  <c r="E96" i="15"/>
  <c r="D96" i="15"/>
  <c r="C96" i="15"/>
  <c r="B96" i="15"/>
  <c r="A96" i="15"/>
  <c r="AB96" i="15" s="1"/>
  <c r="Q95" i="15"/>
  <c r="P95" i="15"/>
  <c r="F95" i="15"/>
  <c r="E95" i="15"/>
  <c r="G95" i="15" s="1"/>
  <c r="D95" i="15"/>
  <c r="C95" i="15"/>
  <c r="B95" i="15"/>
  <c r="A95" i="15"/>
  <c r="Z95" i="15" s="1"/>
  <c r="F94" i="15"/>
  <c r="E94" i="15"/>
  <c r="D94" i="15"/>
  <c r="C94" i="15"/>
  <c r="B94" i="15"/>
  <c r="A94" i="15"/>
  <c r="O94" i="15" s="1"/>
  <c r="W93" i="15"/>
  <c r="N93" i="15"/>
  <c r="L93" i="15"/>
  <c r="F93" i="15"/>
  <c r="E93" i="15"/>
  <c r="D93" i="15"/>
  <c r="C93" i="15"/>
  <c r="B93" i="15"/>
  <c r="A93" i="15"/>
  <c r="AC93" i="15" s="1"/>
  <c r="F92" i="15"/>
  <c r="E92" i="15"/>
  <c r="D92" i="15"/>
  <c r="C92" i="15"/>
  <c r="B92" i="15"/>
  <c r="A92" i="15"/>
  <c r="H91" i="15"/>
  <c r="G91" i="15"/>
  <c r="F91" i="15"/>
  <c r="E91" i="15"/>
  <c r="D91" i="15"/>
  <c r="C91" i="15"/>
  <c r="B91" i="15"/>
  <c r="A91" i="15"/>
  <c r="H90" i="15"/>
  <c r="G90" i="15"/>
  <c r="F90" i="15"/>
  <c r="E90" i="15"/>
  <c r="D90" i="15"/>
  <c r="C90" i="15"/>
  <c r="B90" i="15"/>
  <c r="A90" i="15"/>
  <c r="Y90" i="15" s="1"/>
  <c r="Y89" i="15"/>
  <c r="R89" i="15"/>
  <c r="F89" i="15"/>
  <c r="E89" i="15"/>
  <c r="D89" i="15"/>
  <c r="C89" i="15"/>
  <c r="B89" i="15"/>
  <c r="A89" i="15"/>
  <c r="AA88" i="15"/>
  <c r="F88" i="15"/>
  <c r="E88" i="15"/>
  <c r="D88" i="15"/>
  <c r="C88" i="15"/>
  <c r="B88" i="15"/>
  <c r="A88" i="15"/>
  <c r="P88" i="15" s="1"/>
  <c r="AA87" i="15"/>
  <c r="F87" i="15"/>
  <c r="E87" i="15"/>
  <c r="D87" i="15"/>
  <c r="C87" i="15"/>
  <c r="B87" i="15"/>
  <c r="A87" i="15"/>
  <c r="H86" i="15"/>
  <c r="F86" i="15"/>
  <c r="E86" i="15"/>
  <c r="D86" i="15"/>
  <c r="C86" i="15"/>
  <c r="B86" i="15"/>
  <c r="A86" i="15"/>
  <c r="J85" i="15"/>
  <c r="F85" i="15"/>
  <c r="E85" i="15"/>
  <c r="D85" i="15"/>
  <c r="C85" i="15"/>
  <c r="B85" i="15"/>
  <c r="A85" i="15"/>
  <c r="AB85" i="15" s="1"/>
  <c r="W84" i="15"/>
  <c r="V84" i="15"/>
  <c r="F84" i="15"/>
  <c r="E84" i="15"/>
  <c r="D84" i="15"/>
  <c r="C84" i="15"/>
  <c r="B84" i="15"/>
  <c r="A84" i="15"/>
  <c r="X84" i="15" s="1"/>
  <c r="P83" i="15"/>
  <c r="N83" i="15"/>
  <c r="F83" i="15"/>
  <c r="E83" i="15"/>
  <c r="D83" i="15"/>
  <c r="C83" i="15"/>
  <c r="B83" i="15"/>
  <c r="A83" i="15"/>
  <c r="F82" i="15"/>
  <c r="E82" i="15"/>
  <c r="D82" i="15"/>
  <c r="C82" i="15"/>
  <c r="B82" i="15"/>
  <c r="A82" i="15"/>
  <c r="F81" i="15"/>
  <c r="E81" i="15"/>
  <c r="D81" i="15"/>
  <c r="C81" i="15"/>
  <c r="B81" i="15"/>
  <c r="A81" i="15"/>
  <c r="G80" i="15"/>
  <c r="F80" i="15"/>
  <c r="E80" i="15"/>
  <c r="D80" i="15"/>
  <c r="C80" i="15"/>
  <c r="B80" i="15"/>
  <c r="A80" i="15"/>
  <c r="Y80" i="15" s="1"/>
  <c r="Y79" i="15"/>
  <c r="W79" i="15"/>
  <c r="O79" i="15"/>
  <c r="F79" i="15"/>
  <c r="E79" i="15"/>
  <c r="D79" i="15"/>
  <c r="C79" i="15"/>
  <c r="B79" i="15"/>
  <c r="A79" i="15"/>
  <c r="Z78" i="15"/>
  <c r="Y78" i="15"/>
  <c r="X78" i="15"/>
  <c r="S78" i="15"/>
  <c r="O78" i="15"/>
  <c r="F78" i="15"/>
  <c r="E78" i="15"/>
  <c r="D78" i="15"/>
  <c r="L78" i="15" s="1"/>
  <c r="C78" i="15"/>
  <c r="B78" i="15"/>
  <c r="AB78" i="15" s="1"/>
  <c r="A78" i="15"/>
  <c r="Q78" i="15" s="1"/>
  <c r="R77" i="15"/>
  <c r="Q77" i="15"/>
  <c r="F77" i="15"/>
  <c r="E77" i="15"/>
  <c r="D77" i="15"/>
  <c r="C77" i="15"/>
  <c r="B77" i="15"/>
  <c r="A77" i="15"/>
  <c r="U76" i="15"/>
  <c r="F76" i="15"/>
  <c r="E76" i="15"/>
  <c r="D76" i="15"/>
  <c r="C76" i="15"/>
  <c r="B76" i="15"/>
  <c r="A76" i="15"/>
  <c r="R75" i="15"/>
  <c r="G75" i="15"/>
  <c r="F75" i="15"/>
  <c r="E75" i="15"/>
  <c r="D75" i="15"/>
  <c r="C75" i="15"/>
  <c r="B75" i="15"/>
  <c r="A75" i="15"/>
  <c r="Z74" i="15"/>
  <c r="H74" i="15"/>
  <c r="F74" i="15"/>
  <c r="E74" i="15"/>
  <c r="D74" i="15"/>
  <c r="C74" i="15"/>
  <c r="B74" i="15"/>
  <c r="A74" i="15"/>
  <c r="R74" i="15" s="1"/>
  <c r="AA73" i="15"/>
  <c r="Z73" i="15"/>
  <c r="F73" i="15"/>
  <c r="E73" i="15"/>
  <c r="D73" i="15"/>
  <c r="C73" i="15"/>
  <c r="B73" i="15"/>
  <c r="A73" i="15"/>
  <c r="AC72" i="15"/>
  <c r="AA72" i="15"/>
  <c r="Y72" i="15"/>
  <c r="X72" i="15"/>
  <c r="W72" i="15"/>
  <c r="P72" i="15"/>
  <c r="O72" i="15"/>
  <c r="F72" i="15"/>
  <c r="E72" i="15"/>
  <c r="D72" i="15"/>
  <c r="C72" i="15"/>
  <c r="B72" i="15"/>
  <c r="A72" i="15"/>
  <c r="Q72" i="15" s="1"/>
  <c r="AA71" i="15"/>
  <c r="J71" i="15"/>
  <c r="F71" i="15"/>
  <c r="E71" i="15"/>
  <c r="D71" i="15"/>
  <c r="C71" i="15"/>
  <c r="B71" i="15"/>
  <c r="A71" i="15"/>
  <c r="F70" i="15"/>
  <c r="E70" i="15"/>
  <c r="D70" i="15"/>
  <c r="C70" i="15"/>
  <c r="B70" i="15"/>
  <c r="A70" i="15"/>
  <c r="I70" i="15" s="1"/>
  <c r="Z69" i="15"/>
  <c r="S69" i="15"/>
  <c r="R69" i="15"/>
  <c r="F69" i="15"/>
  <c r="E69" i="15"/>
  <c r="D69" i="15"/>
  <c r="C69" i="15"/>
  <c r="B69" i="15"/>
  <c r="A69" i="15"/>
  <c r="X68" i="15"/>
  <c r="G68" i="15"/>
  <c r="F68" i="15"/>
  <c r="E68" i="15"/>
  <c r="D68" i="15"/>
  <c r="C68" i="15"/>
  <c r="B68" i="15"/>
  <c r="A68" i="15"/>
  <c r="AE67" i="15"/>
  <c r="O67" i="7" s="1"/>
  <c r="Y67" i="15"/>
  <c r="X67" i="15"/>
  <c r="W67" i="15"/>
  <c r="V67" i="15"/>
  <c r="N67" i="15"/>
  <c r="F67" i="15"/>
  <c r="E67" i="15"/>
  <c r="D67" i="15"/>
  <c r="C67" i="15"/>
  <c r="G67" i="15" s="1"/>
  <c r="B67" i="15"/>
  <c r="A67" i="15"/>
  <c r="Z67" i="15" s="1"/>
  <c r="W66" i="15"/>
  <c r="Q66" i="15"/>
  <c r="F66" i="15"/>
  <c r="E66" i="15"/>
  <c r="D66" i="15"/>
  <c r="C66" i="15"/>
  <c r="B66" i="15"/>
  <c r="A66" i="15"/>
  <c r="J66" i="15" s="1"/>
  <c r="F65" i="15"/>
  <c r="E65" i="15"/>
  <c r="D65" i="15"/>
  <c r="C65" i="15"/>
  <c r="B65" i="15"/>
  <c r="A65" i="15"/>
  <c r="AC65" i="15" s="1"/>
  <c r="Q64" i="15"/>
  <c r="H64" i="15"/>
  <c r="G64" i="15"/>
  <c r="F64" i="15"/>
  <c r="E64" i="15"/>
  <c r="D64" i="15"/>
  <c r="C64" i="15"/>
  <c r="B64" i="15"/>
  <c r="A64" i="15"/>
  <c r="Z63" i="15"/>
  <c r="Y63" i="15"/>
  <c r="W63" i="15"/>
  <c r="H63" i="15"/>
  <c r="G63" i="15"/>
  <c r="F63" i="15"/>
  <c r="E63" i="15"/>
  <c r="D63" i="15"/>
  <c r="C63" i="15"/>
  <c r="B63" i="15"/>
  <c r="A63" i="15"/>
  <c r="Q62" i="15"/>
  <c r="O62" i="15"/>
  <c r="F62" i="15"/>
  <c r="E62" i="15"/>
  <c r="D62" i="15"/>
  <c r="C62" i="15"/>
  <c r="B62" i="15"/>
  <c r="A62" i="15"/>
  <c r="N61" i="15"/>
  <c r="AE61" i="15" s="1"/>
  <c r="O61" i="7" s="1"/>
  <c r="F61" i="15"/>
  <c r="E61" i="15"/>
  <c r="D61" i="15"/>
  <c r="C61" i="15"/>
  <c r="B61" i="15"/>
  <c r="A61" i="15"/>
  <c r="F60" i="15"/>
  <c r="E60" i="15"/>
  <c r="D60" i="15"/>
  <c r="C60" i="15"/>
  <c r="B60" i="15"/>
  <c r="A60" i="15"/>
  <c r="F59" i="15"/>
  <c r="E59" i="15"/>
  <c r="D59" i="15"/>
  <c r="C59" i="15"/>
  <c r="B59" i="15"/>
  <c r="A59" i="15"/>
  <c r="Y59" i="15" s="1"/>
  <c r="F58" i="15"/>
  <c r="E58" i="15"/>
  <c r="D58" i="15"/>
  <c r="C58" i="15"/>
  <c r="B58" i="15"/>
  <c r="A58" i="15"/>
  <c r="R57" i="15"/>
  <c r="N57" i="15"/>
  <c r="F57" i="15"/>
  <c r="E57" i="15"/>
  <c r="D57" i="15"/>
  <c r="C57" i="15"/>
  <c r="B57" i="15"/>
  <c r="A57" i="15"/>
  <c r="O57" i="15" s="1"/>
  <c r="O56" i="15"/>
  <c r="N56" i="15"/>
  <c r="F56" i="15"/>
  <c r="E56" i="15"/>
  <c r="D56" i="15"/>
  <c r="C56" i="15"/>
  <c r="B56" i="15"/>
  <c r="A56" i="15"/>
  <c r="AC55" i="15"/>
  <c r="AA55" i="15"/>
  <c r="F55" i="15"/>
  <c r="E55" i="15"/>
  <c r="D55" i="15"/>
  <c r="C55" i="15"/>
  <c r="B55" i="15"/>
  <c r="A55" i="15"/>
  <c r="F54" i="15"/>
  <c r="E54" i="15"/>
  <c r="D54" i="15"/>
  <c r="C54" i="15"/>
  <c r="B54" i="15"/>
  <c r="A54" i="15"/>
  <c r="AA53" i="15"/>
  <c r="I53" i="15"/>
  <c r="G53" i="15"/>
  <c r="F53" i="15"/>
  <c r="E53" i="15"/>
  <c r="D53" i="15"/>
  <c r="C53" i="15"/>
  <c r="B53" i="15"/>
  <c r="A53" i="15"/>
  <c r="R53" i="15" s="1"/>
  <c r="X52" i="15"/>
  <c r="W52" i="15"/>
  <c r="F52" i="15"/>
  <c r="AC52" i="15" s="1"/>
  <c r="E52" i="15"/>
  <c r="D52" i="15"/>
  <c r="C52" i="15"/>
  <c r="B52" i="15"/>
  <c r="A52" i="15"/>
  <c r="W51" i="15"/>
  <c r="N51" i="15"/>
  <c r="F51" i="15"/>
  <c r="E51" i="15"/>
  <c r="D51" i="15"/>
  <c r="C51" i="15"/>
  <c r="B51" i="15"/>
  <c r="A51" i="15"/>
  <c r="AC50" i="15"/>
  <c r="W50" i="15"/>
  <c r="U50" i="15"/>
  <c r="S50" i="15"/>
  <c r="Q50" i="15"/>
  <c r="K50" i="15"/>
  <c r="F50" i="15"/>
  <c r="E50" i="15"/>
  <c r="D50" i="15"/>
  <c r="C50" i="15"/>
  <c r="B50" i="15"/>
  <c r="AB50" i="15" s="1"/>
  <c r="A50" i="15"/>
  <c r="P50" i="15" s="1"/>
  <c r="L49" i="15"/>
  <c r="F49" i="15"/>
  <c r="E49" i="15"/>
  <c r="D49" i="15"/>
  <c r="C49" i="15"/>
  <c r="B49" i="15"/>
  <c r="A49" i="15"/>
  <c r="U49" i="15" s="1"/>
  <c r="H48" i="15"/>
  <c r="F48" i="15"/>
  <c r="E48" i="15"/>
  <c r="D48" i="15"/>
  <c r="C48" i="15"/>
  <c r="B48" i="15"/>
  <c r="A48" i="15"/>
  <c r="Q48" i="15" s="1"/>
  <c r="F47" i="15"/>
  <c r="E47" i="15"/>
  <c r="D47" i="15"/>
  <c r="C47" i="15"/>
  <c r="B47" i="15"/>
  <c r="A47" i="15"/>
  <c r="S46" i="15"/>
  <c r="F46" i="15"/>
  <c r="E46" i="15"/>
  <c r="D46" i="15"/>
  <c r="C46" i="15"/>
  <c r="B46" i="15"/>
  <c r="A46" i="15"/>
  <c r="Q45" i="15"/>
  <c r="F45" i="15"/>
  <c r="E45" i="15"/>
  <c r="D45" i="15"/>
  <c r="C45" i="15"/>
  <c r="B45" i="15"/>
  <c r="A45" i="15"/>
  <c r="N45" i="15" s="1"/>
  <c r="AE45" i="15" s="1"/>
  <c r="O45" i="7" s="1"/>
  <c r="AB44" i="15"/>
  <c r="H44" i="15"/>
  <c r="F44" i="15"/>
  <c r="E44" i="15"/>
  <c r="D44" i="15"/>
  <c r="C44" i="15"/>
  <c r="B44" i="15"/>
  <c r="A44" i="15"/>
  <c r="I44" i="15" s="1"/>
  <c r="H43" i="15"/>
  <c r="G43" i="15"/>
  <c r="F43" i="15"/>
  <c r="E43" i="15"/>
  <c r="D43" i="15"/>
  <c r="C43" i="15"/>
  <c r="B43" i="15"/>
  <c r="A43" i="15"/>
  <c r="X42" i="15"/>
  <c r="P42" i="15"/>
  <c r="F42" i="15"/>
  <c r="E42" i="15"/>
  <c r="D42" i="15"/>
  <c r="C42" i="15"/>
  <c r="B42" i="15"/>
  <c r="A42" i="15"/>
  <c r="Q42" i="15" s="1"/>
  <c r="N41" i="15"/>
  <c r="G41" i="15"/>
  <c r="F41" i="15"/>
  <c r="E41" i="15"/>
  <c r="D41" i="15"/>
  <c r="C41" i="15"/>
  <c r="B41" i="15"/>
  <c r="A41" i="15"/>
  <c r="AC40" i="15"/>
  <c r="X40" i="15"/>
  <c r="U40" i="15"/>
  <c r="P40" i="15"/>
  <c r="N40" i="15"/>
  <c r="K40" i="15"/>
  <c r="F40" i="15"/>
  <c r="E40" i="15"/>
  <c r="D40" i="15"/>
  <c r="C40" i="15"/>
  <c r="B40" i="15"/>
  <c r="A40" i="15"/>
  <c r="F39" i="15"/>
  <c r="E39" i="15"/>
  <c r="D39" i="15"/>
  <c r="C39" i="15"/>
  <c r="B39" i="15"/>
  <c r="A39" i="15"/>
  <c r="F38" i="15"/>
  <c r="E38" i="15"/>
  <c r="D38" i="15"/>
  <c r="C38" i="15"/>
  <c r="B38" i="15"/>
  <c r="A38" i="15"/>
  <c r="F37" i="15"/>
  <c r="E37" i="15"/>
  <c r="D37" i="15"/>
  <c r="C37" i="15"/>
  <c r="B37" i="15"/>
  <c r="A37" i="15"/>
  <c r="R37" i="15" s="1"/>
  <c r="AA36" i="15"/>
  <c r="N36" i="15"/>
  <c r="F36" i="15"/>
  <c r="E36" i="15"/>
  <c r="D36" i="15"/>
  <c r="C36" i="15"/>
  <c r="B36" i="15"/>
  <c r="A36" i="15"/>
  <c r="Y35" i="15"/>
  <c r="N35" i="15"/>
  <c r="F35" i="15"/>
  <c r="E35" i="15"/>
  <c r="M35" i="15" s="1"/>
  <c r="D35" i="15"/>
  <c r="C35" i="15"/>
  <c r="B35" i="15"/>
  <c r="A35" i="15"/>
  <c r="X35" i="15" s="1"/>
  <c r="P34" i="15"/>
  <c r="M34" i="15"/>
  <c r="F34" i="15"/>
  <c r="E34" i="15"/>
  <c r="D34" i="15"/>
  <c r="C34" i="15"/>
  <c r="B34" i="15"/>
  <c r="A34" i="15"/>
  <c r="S34" i="15" s="1"/>
  <c r="S33" i="15"/>
  <c r="F33" i="15"/>
  <c r="E33" i="15"/>
  <c r="D33" i="15"/>
  <c r="C33" i="15"/>
  <c r="B33" i="15"/>
  <c r="A33" i="15"/>
  <c r="X32" i="15"/>
  <c r="F32" i="15"/>
  <c r="E32" i="15"/>
  <c r="D32" i="15"/>
  <c r="C32" i="15"/>
  <c r="B32" i="15"/>
  <c r="A32" i="15"/>
  <c r="F31" i="15"/>
  <c r="E31" i="15"/>
  <c r="D31" i="15"/>
  <c r="C31" i="15"/>
  <c r="B31" i="15"/>
  <c r="A31" i="15"/>
  <c r="N31" i="15" s="1"/>
  <c r="O30" i="15"/>
  <c r="G30" i="15"/>
  <c r="F30" i="15"/>
  <c r="E30" i="15"/>
  <c r="D30" i="15"/>
  <c r="C30" i="15"/>
  <c r="B30" i="15"/>
  <c r="A30" i="15"/>
  <c r="O29" i="15"/>
  <c r="F29" i="15"/>
  <c r="E29" i="15"/>
  <c r="D29" i="15"/>
  <c r="C29" i="15"/>
  <c r="B29" i="15"/>
  <c r="A29" i="15"/>
  <c r="I28" i="15"/>
  <c r="F28" i="15"/>
  <c r="E28" i="15"/>
  <c r="D28" i="15"/>
  <c r="C28" i="15"/>
  <c r="B28" i="15"/>
  <c r="A28" i="15"/>
  <c r="Q28" i="15" s="1"/>
  <c r="F27" i="15"/>
  <c r="E27" i="15"/>
  <c r="D27" i="15"/>
  <c r="C27" i="15"/>
  <c r="B27" i="15"/>
  <c r="A27" i="15"/>
  <c r="F26" i="15"/>
  <c r="E26" i="15"/>
  <c r="D26" i="15"/>
  <c r="C26" i="15"/>
  <c r="B26" i="15"/>
  <c r="A26" i="15"/>
  <c r="M25" i="15"/>
  <c r="F25" i="15"/>
  <c r="E25" i="15"/>
  <c r="D25" i="15"/>
  <c r="C25" i="15"/>
  <c r="B25" i="15"/>
  <c r="A25" i="15"/>
  <c r="AA25" i="15" s="1"/>
  <c r="AE24" i="15"/>
  <c r="O24" i="7" s="1"/>
  <c r="O24" i="15"/>
  <c r="K24" i="15"/>
  <c r="F24" i="15"/>
  <c r="E24" i="15"/>
  <c r="D24" i="15"/>
  <c r="C24" i="15"/>
  <c r="B24" i="15"/>
  <c r="A24" i="15"/>
  <c r="K23" i="15"/>
  <c r="F23" i="15"/>
  <c r="E23" i="15"/>
  <c r="D23" i="15"/>
  <c r="C23" i="15"/>
  <c r="B23" i="15"/>
  <c r="A23" i="15"/>
  <c r="R22" i="15"/>
  <c r="Q22" i="15"/>
  <c r="F22" i="15"/>
  <c r="E22" i="15"/>
  <c r="D22" i="15"/>
  <c r="C22" i="15"/>
  <c r="B22" i="15"/>
  <c r="A22" i="15"/>
  <c r="S22" i="15" s="1"/>
  <c r="Y21" i="15"/>
  <c r="I21" i="15"/>
  <c r="F21" i="15"/>
  <c r="E21" i="15"/>
  <c r="D21" i="15"/>
  <c r="C21" i="15"/>
  <c r="B21" i="15"/>
  <c r="A21" i="15"/>
  <c r="W20" i="15"/>
  <c r="P20" i="15"/>
  <c r="F20" i="15"/>
  <c r="E20" i="15"/>
  <c r="D20" i="15"/>
  <c r="C20" i="15"/>
  <c r="B20" i="15"/>
  <c r="A20" i="15"/>
  <c r="Q20" i="15" s="1"/>
  <c r="N19" i="15"/>
  <c r="F19" i="15"/>
  <c r="E19" i="15"/>
  <c r="D19" i="15"/>
  <c r="C19" i="15"/>
  <c r="B19" i="15"/>
  <c r="A19" i="15"/>
  <c r="O19" i="15" s="1"/>
  <c r="AB18" i="15"/>
  <c r="F18" i="15"/>
  <c r="E18" i="15"/>
  <c r="D18" i="15"/>
  <c r="C18" i="15"/>
  <c r="B18" i="15"/>
  <c r="A18" i="15"/>
  <c r="F17" i="15"/>
  <c r="E17" i="15"/>
  <c r="D17" i="15"/>
  <c r="C17" i="15"/>
  <c r="B17" i="15"/>
  <c r="A17" i="15"/>
  <c r="F16" i="15"/>
  <c r="E16" i="15"/>
  <c r="D16" i="15"/>
  <c r="C16" i="15"/>
  <c r="B16" i="15"/>
  <c r="A16" i="15"/>
  <c r="Y16" i="15" s="1"/>
  <c r="Q15" i="15"/>
  <c r="F15" i="15"/>
  <c r="E15" i="15"/>
  <c r="D15" i="15"/>
  <c r="C15" i="15"/>
  <c r="B15" i="15"/>
  <c r="A15" i="15"/>
  <c r="O14" i="15"/>
  <c r="F14" i="15"/>
  <c r="E14" i="15"/>
  <c r="D14" i="15"/>
  <c r="C14" i="15"/>
  <c r="B14" i="15"/>
  <c r="A14" i="15"/>
  <c r="O13" i="15"/>
  <c r="F13" i="15"/>
  <c r="E13" i="15"/>
  <c r="D13" i="15"/>
  <c r="C13" i="15"/>
  <c r="B13" i="15"/>
  <c r="A13" i="15"/>
  <c r="W13" i="15" s="1"/>
  <c r="F12" i="15"/>
  <c r="E12" i="15"/>
  <c r="D12" i="15"/>
  <c r="C12" i="15"/>
  <c r="B12" i="15"/>
  <c r="A12" i="15"/>
  <c r="F11" i="15"/>
  <c r="E11" i="15"/>
  <c r="D11" i="15"/>
  <c r="C11" i="15"/>
  <c r="B11" i="15"/>
  <c r="A11" i="15"/>
  <c r="AA11" i="15" s="1"/>
  <c r="Z10" i="15"/>
  <c r="F10" i="15"/>
  <c r="E10" i="15"/>
  <c r="D10" i="15"/>
  <c r="C10" i="15"/>
  <c r="B10" i="15"/>
  <c r="A10" i="15"/>
  <c r="Y10" i="15" s="1"/>
  <c r="AA9" i="15"/>
  <c r="W9" i="15"/>
  <c r="N9" i="15"/>
  <c r="AE9" i="15" s="1"/>
  <c r="O9" i="7" s="1"/>
  <c r="M9" i="15"/>
  <c r="F9" i="15"/>
  <c r="AC9" i="15" s="1"/>
  <c r="E9" i="15"/>
  <c r="D9" i="15"/>
  <c r="C9" i="15"/>
  <c r="B9" i="15"/>
  <c r="A9" i="15"/>
  <c r="AA8" i="15"/>
  <c r="L8" i="15"/>
  <c r="F8" i="15"/>
  <c r="E8" i="15"/>
  <c r="D8" i="15"/>
  <c r="C8" i="15"/>
  <c r="B8" i="15"/>
  <c r="A8" i="15"/>
  <c r="M8" i="15" s="1"/>
  <c r="F7" i="15"/>
  <c r="E7" i="15"/>
  <c r="D7" i="15"/>
  <c r="C7" i="15"/>
  <c r="B7" i="15"/>
  <c r="A7" i="15"/>
  <c r="Z6" i="15"/>
  <c r="H6" i="15"/>
  <c r="F6" i="15"/>
  <c r="E6" i="15"/>
  <c r="D6" i="15"/>
  <c r="C6" i="15"/>
  <c r="B6" i="15"/>
  <c r="A6" i="15"/>
  <c r="S6" i="15" s="1"/>
  <c r="F5" i="15"/>
  <c r="E5" i="15"/>
  <c r="D5" i="15"/>
  <c r="C5" i="15"/>
  <c r="B5" i="15"/>
  <c r="A5" i="15"/>
  <c r="I5" i="15" s="1"/>
  <c r="Y4" i="15"/>
  <c r="X4" i="15"/>
  <c r="F4" i="15"/>
  <c r="AC4" i="15" s="1"/>
  <c r="E4" i="15"/>
  <c r="D4" i="15"/>
  <c r="G4" i="15" s="1"/>
  <c r="C4" i="15"/>
  <c r="B4" i="15"/>
  <c r="A4" i="15"/>
  <c r="W3" i="15"/>
  <c r="P3" i="15"/>
  <c r="K3" i="15"/>
  <c r="F3" i="15"/>
  <c r="E3" i="15"/>
  <c r="D3" i="15"/>
  <c r="C3" i="15"/>
  <c r="B3" i="15"/>
  <c r="A3" i="15"/>
  <c r="F2" i="15"/>
  <c r="E2" i="15"/>
  <c r="D2" i="15"/>
  <c r="C2" i="15"/>
  <c r="B2" i="15"/>
  <c r="A2" i="15"/>
  <c r="S2" i="15" s="1"/>
  <c r="AC2000" i="12"/>
  <c r="AB2000" i="12"/>
  <c r="AA2000" i="12"/>
  <c r="Z2000" i="12"/>
  <c r="Y2000" i="12"/>
  <c r="X2000" i="12"/>
  <c r="W2000" i="12"/>
  <c r="V2000" i="12"/>
  <c r="AC1999" i="12"/>
  <c r="AB1999" i="12"/>
  <c r="AA1999" i="12"/>
  <c r="Z1999" i="12"/>
  <c r="Y1999" i="12"/>
  <c r="X1999" i="12"/>
  <c r="W1999" i="12"/>
  <c r="V1999" i="12"/>
  <c r="AC1998" i="12"/>
  <c r="AB1998" i="12"/>
  <c r="AA1998" i="12"/>
  <c r="Z1998" i="12"/>
  <c r="Y1998" i="12"/>
  <c r="X1998" i="12"/>
  <c r="W1998" i="12"/>
  <c r="V1998" i="12"/>
  <c r="AC1997" i="12"/>
  <c r="AB1997" i="12"/>
  <c r="AA1997" i="12"/>
  <c r="Z1997" i="12"/>
  <c r="Y1997" i="12"/>
  <c r="X1997" i="12"/>
  <c r="W1997" i="12"/>
  <c r="V1997" i="12"/>
  <c r="AC1996" i="12"/>
  <c r="AB1996" i="12"/>
  <c r="AA1996" i="12"/>
  <c r="Z1996" i="12"/>
  <c r="Y1996" i="12"/>
  <c r="X1996" i="12"/>
  <c r="W1996" i="12"/>
  <c r="V1996" i="12"/>
  <c r="AC1995" i="12"/>
  <c r="AB1995" i="12"/>
  <c r="AA1995" i="12"/>
  <c r="Z1995" i="12"/>
  <c r="Y1995" i="12"/>
  <c r="X1995" i="12"/>
  <c r="W1995" i="12"/>
  <c r="V1995" i="12"/>
  <c r="AC1994" i="12"/>
  <c r="AB1994" i="12"/>
  <c r="AA1994" i="12"/>
  <c r="Z1994" i="12"/>
  <c r="Y1994" i="12"/>
  <c r="X1994" i="12"/>
  <c r="W1994" i="12"/>
  <c r="V1994" i="12"/>
  <c r="AC1993" i="12"/>
  <c r="AB1993" i="12"/>
  <c r="AA1993" i="12"/>
  <c r="Z1993" i="12"/>
  <c r="Y1993" i="12"/>
  <c r="X1993" i="12"/>
  <c r="W1993" i="12"/>
  <c r="V1993" i="12"/>
  <c r="AC1992" i="12"/>
  <c r="AB1992" i="12"/>
  <c r="AA1992" i="12"/>
  <c r="Z1992" i="12"/>
  <c r="Y1992" i="12"/>
  <c r="X1992" i="12"/>
  <c r="W1992" i="12"/>
  <c r="V1992" i="12"/>
  <c r="AC1991" i="12"/>
  <c r="AB1991" i="12"/>
  <c r="AA1991" i="12"/>
  <c r="Z1991" i="12"/>
  <c r="Y1991" i="12"/>
  <c r="X1991" i="12"/>
  <c r="W1991" i="12"/>
  <c r="V1991" i="12"/>
  <c r="AC1990" i="12"/>
  <c r="AB1990" i="12"/>
  <c r="AA1990" i="12"/>
  <c r="Z1990" i="12"/>
  <c r="Y1990" i="12"/>
  <c r="X1990" i="12"/>
  <c r="W1990" i="12"/>
  <c r="V1990" i="12"/>
  <c r="AC1989" i="12"/>
  <c r="AB1989" i="12"/>
  <c r="AA1989" i="12"/>
  <c r="Z1989" i="12"/>
  <c r="Y1989" i="12"/>
  <c r="X1989" i="12"/>
  <c r="W1989" i="12"/>
  <c r="V1989" i="12"/>
  <c r="AC1988" i="12"/>
  <c r="AB1988" i="12"/>
  <c r="AA1988" i="12"/>
  <c r="Z1988" i="12"/>
  <c r="Y1988" i="12"/>
  <c r="X1988" i="12"/>
  <c r="W1988" i="12"/>
  <c r="V1988" i="12"/>
  <c r="AC1987" i="12"/>
  <c r="AB1987" i="12"/>
  <c r="AA1987" i="12"/>
  <c r="Z1987" i="12"/>
  <c r="Y1987" i="12"/>
  <c r="X1987" i="12"/>
  <c r="W1987" i="12"/>
  <c r="V1987" i="12"/>
  <c r="AC1986" i="12"/>
  <c r="AB1986" i="12"/>
  <c r="AA1986" i="12"/>
  <c r="Z1986" i="12"/>
  <c r="Y1986" i="12"/>
  <c r="X1986" i="12"/>
  <c r="W1986" i="12"/>
  <c r="V1986" i="12"/>
  <c r="AC1985" i="12"/>
  <c r="AB1985" i="12"/>
  <c r="AA1985" i="12"/>
  <c r="Z1985" i="12"/>
  <c r="Y1985" i="12"/>
  <c r="X1985" i="12"/>
  <c r="W1985" i="12"/>
  <c r="V1985" i="12"/>
  <c r="AC1984" i="12"/>
  <c r="AB1984" i="12"/>
  <c r="AA1984" i="12"/>
  <c r="Z1984" i="12"/>
  <c r="Y1984" i="12"/>
  <c r="X1984" i="12"/>
  <c r="W1984" i="12"/>
  <c r="V1984" i="12"/>
  <c r="AC1983" i="12"/>
  <c r="AB1983" i="12"/>
  <c r="AA1983" i="12"/>
  <c r="Z1983" i="12"/>
  <c r="Y1983" i="12"/>
  <c r="X1983" i="12"/>
  <c r="W1983" i="12"/>
  <c r="V1983" i="12"/>
  <c r="AC1982" i="12"/>
  <c r="AB1982" i="12"/>
  <c r="AA1982" i="12"/>
  <c r="Z1982" i="12"/>
  <c r="Y1982" i="12"/>
  <c r="X1982" i="12"/>
  <c r="W1982" i="12"/>
  <c r="V1982" i="12"/>
  <c r="AC1981" i="12"/>
  <c r="AB1981" i="12"/>
  <c r="AA1981" i="12"/>
  <c r="Z1981" i="12"/>
  <c r="Y1981" i="12"/>
  <c r="X1981" i="12"/>
  <c r="W1981" i="12"/>
  <c r="V1981" i="12"/>
  <c r="AC1980" i="12"/>
  <c r="AB1980" i="12"/>
  <c r="AA1980" i="12"/>
  <c r="Z1980" i="12"/>
  <c r="Y1980" i="12"/>
  <c r="X1980" i="12"/>
  <c r="W1980" i="12"/>
  <c r="V1980" i="12"/>
  <c r="AC1979" i="12"/>
  <c r="AB1979" i="12"/>
  <c r="AA1979" i="12"/>
  <c r="Z1979" i="12"/>
  <c r="Y1979" i="12"/>
  <c r="X1979" i="12"/>
  <c r="W1979" i="12"/>
  <c r="V1979" i="12"/>
  <c r="AC1978" i="12"/>
  <c r="AB1978" i="12"/>
  <c r="AA1978" i="12"/>
  <c r="Z1978" i="12"/>
  <c r="Y1978" i="12"/>
  <c r="X1978" i="12"/>
  <c r="W1978" i="12"/>
  <c r="V1978" i="12"/>
  <c r="AC1977" i="12"/>
  <c r="AB1977" i="12"/>
  <c r="AA1977" i="12"/>
  <c r="Z1977" i="12"/>
  <c r="Y1977" i="12"/>
  <c r="X1977" i="12"/>
  <c r="W1977" i="12"/>
  <c r="V1977" i="12"/>
  <c r="AC1976" i="12"/>
  <c r="AB1976" i="12"/>
  <c r="AA1976" i="12"/>
  <c r="Z1976" i="12"/>
  <c r="Y1976" i="12"/>
  <c r="X1976" i="12"/>
  <c r="W1976" i="12"/>
  <c r="V1976" i="12"/>
  <c r="AC1975" i="12"/>
  <c r="AB1975" i="12"/>
  <c r="AA1975" i="12"/>
  <c r="Z1975" i="12"/>
  <c r="Y1975" i="12"/>
  <c r="X1975" i="12"/>
  <c r="W1975" i="12"/>
  <c r="V1975" i="12"/>
  <c r="AC1974" i="12"/>
  <c r="AB1974" i="12"/>
  <c r="AA1974" i="12"/>
  <c r="Z1974" i="12"/>
  <c r="Y1974" i="12"/>
  <c r="X1974" i="12"/>
  <c r="W1974" i="12"/>
  <c r="V1974" i="12"/>
  <c r="AC1973" i="12"/>
  <c r="AB1973" i="12"/>
  <c r="AA1973" i="12"/>
  <c r="Z1973" i="12"/>
  <c r="Y1973" i="12"/>
  <c r="X1973" i="12"/>
  <c r="W1973" i="12"/>
  <c r="V1973" i="12"/>
  <c r="AC1972" i="12"/>
  <c r="AB1972" i="12"/>
  <c r="AA1972" i="12"/>
  <c r="Z1972" i="12"/>
  <c r="Y1972" i="12"/>
  <c r="X1972" i="12"/>
  <c r="W1972" i="12"/>
  <c r="V1972" i="12"/>
  <c r="AC1971" i="12"/>
  <c r="AB1971" i="12"/>
  <c r="AA1971" i="12"/>
  <c r="Z1971" i="12"/>
  <c r="Y1971" i="12"/>
  <c r="X1971" i="12"/>
  <c r="W1971" i="12"/>
  <c r="V1971" i="12"/>
  <c r="AC1970" i="12"/>
  <c r="AB1970" i="12"/>
  <c r="AA1970" i="12"/>
  <c r="Z1970" i="12"/>
  <c r="Y1970" i="12"/>
  <c r="X1970" i="12"/>
  <c r="W1970" i="12"/>
  <c r="V1970" i="12"/>
  <c r="AC1969" i="12"/>
  <c r="AB1969" i="12"/>
  <c r="AA1969" i="12"/>
  <c r="Z1969" i="12"/>
  <c r="Y1969" i="12"/>
  <c r="X1969" i="12"/>
  <c r="W1969" i="12"/>
  <c r="V1969" i="12"/>
  <c r="AC1968" i="12"/>
  <c r="AB1968" i="12"/>
  <c r="AA1968" i="12"/>
  <c r="Z1968" i="12"/>
  <c r="Y1968" i="12"/>
  <c r="X1968" i="12"/>
  <c r="W1968" i="12"/>
  <c r="V1968" i="12"/>
  <c r="AC1967" i="12"/>
  <c r="AB1967" i="12"/>
  <c r="AA1967" i="12"/>
  <c r="Z1967" i="12"/>
  <c r="Y1967" i="12"/>
  <c r="X1967" i="12"/>
  <c r="W1967" i="12"/>
  <c r="V1967" i="12"/>
  <c r="AC1966" i="12"/>
  <c r="AB1966" i="12"/>
  <c r="AA1966" i="12"/>
  <c r="Z1966" i="12"/>
  <c r="Y1966" i="12"/>
  <c r="X1966" i="12"/>
  <c r="W1966" i="12"/>
  <c r="V1966" i="12"/>
  <c r="AC1965" i="12"/>
  <c r="AB1965" i="12"/>
  <c r="AA1965" i="12"/>
  <c r="Z1965" i="12"/>
  <c r="Y1965" i="12"/>
  <c r="X1965" i="12"/>
  <c r="W1965" i="12"/>
  <c r="V1965" i="12"/>
  <c r="AC1964" i="12"/>
  <c r="AB1964" i="12"/>
  <c r="AA1964" i="12"/>
  <c r="Z1964" i="12"/>
  <c r="Y1964" i="12"/>
  <c r="X1964" i="12"/>
  <c r="W1964" i="12"/>
  <c r="V1964" i="12"/>
  <c r="AC1963" i="12"/>
  <c r="AB1963" i="12"/>
  <c r="AA1963" i="12"/>
  <c r="Z1963" i="12"/>
  <c r="Y1963" i="12"/>
  <c r="X1963" i="12"/>
  <c r="W1963" i="12"/>
  <c r="V1963" i="12"/>
  <c r="AC1962" i="12"/>
  <c r="AB1962" i="12"/>
  <c r="AA1962" i="12"/>
  <c r="Z1962" i="12"/>
  <c r="Y1962" i="12"/>
  <c r="X1962" i="12"/>
  <c r="W1962" i="12"/>
  <c r="V1962" i="12"/>
  <c r="AC1961" i="12"/>
  <c r="AB1961" i="12"/>
  <c r="AA1961" i="12"/>
  <c r="Z1961" i="12"/>
  <c r="Y1961" i="12"/>
  <c r="X1961" i="12"/>
  <c r="W1961" i="12"/>
  <c r="V1961" i="12"/>
  <c r="AC1960" i="12"/>
  <c r="AB1960" i="12"/>
  <c r="AA1960" i="12"/>
  <c r="Z1960" i="12"/>
  <c r="Y1960" i="12"/>
  <c r="X1960" i="12"/>
  <c r="W1960" i="12"/>
  <c r="V1960" i="12"/>
  <c r="AC1959" i="12"/>
  <c r="AB1959" i="12"/>
  <c r="AA1959" i="12"/>
  <c r="Z1959" i="12"/>
  <c r="Y1959" i="12"/>
  <c r="X1959" i="12"/>
  <c r="W1959" i="12"/>
  <c r="V1959" i="12"/>
  <c r="AC1958" i="12"/>
  <c r="AB1958" i="12"/>
  <c r="AA1958" i="12"/>
  <c r="Z1958" i="12"/>
  <c r="Y1958" i="12"/>
  <c r="X1958" i="12"/>
  <c r="W1958" i="12"/>
  <c r="V1958" i="12"/>
  <c r="AC1957" i="12"/>
  <c r="AB1957" i="12"/>
  <c r="AA1957" i="12"/>
  <c r="Z1957" i="12"/>
  <c r="Y1957" i="12"/>
  <c r="X1957" i="12"/>
  <c r="W1957" i="12"/>
  <c r="V1957" i="12"/>
  <c r="AC1956" i="12"/>
  <c r="AB1956" i="12"/>
  <c r="AA1956" i="12"/>
  <c r="Z1956" i="12"/>
  <c r="Y1956" i="12"/>
  <c r="X1956" i="12"/>
  <c r="W1956" i="12"/>
  <c r="V1956" i="12"/>
  <c r="AC1955" i="12"/>
  <c r="AB1955" i="12"/>
  <c r="AA1955" i="12"/>
  <c r="Z1955" i="12"/>
  <c r="Y1955" i="12"/>
  <c r="X1955" i="12"/>
  <c r="W1955" i="12"/>
  <c r="V1955" i="12"/>
  <c r="AC1954" i="12"/>
  <c r="AB1954" i="12"/>
  <c r="AA1954" i="12"/>
  <c r="Z1954" i="12"/>
  <c r="Y1954" i="12"/>
  <c r="X1954" i="12"/>
  <c r="W1954" i="12"/>
  <c r="V1954" i="12"/>
  <c r="AC1953" i="12"/>
  <c r="AB1953" i="12"/>
  <c r="AA1953" i="12"/>
  <c r="Z1953" i="12"/>
  <c r="Y1953" i="12"/>
  <c r="X1953" i="12"/>
  <c r="W1953" i="12"/>
  <c r="V1953" i="12"/>
  <c r="AC1952" i="12"/>
  <c r="AB1952" i="12"/>
  <c r="AA1952" i="12"/>
  <c r="Z1952" i="12"/>
  <c r="Y1952" i="12"/>
  <c r="X1952" i="12"/>
  <c r="W1952" i="12"/>
  <c r="V1952" i="12"/>
  <c r="AC1951" i="12"/>
  <c r="AB1951" i="12"/>
  <c r="AA1951" i="12"/>
  <c r="Z1951" i="12"/>
  <c r="Y1951" i="12"/>
  <c r="X1951" i="12"/>
  <c r="W1951" i="12"/>
  <c r="V1951" i="12"/>
  <c r="AC1950" i="12"/>
  <c r="AB1950" i="12"/>
  <c r="AA1950" i="12"/>
  <c r="Z1950" i="12"/>
  <c r="Y1950" i="12"/>
  <c r="X1950" i="12"/>
  <c r="W1950" i="12"/>
  <c r="V1950" i="12"/>
  <c r="AC1949" i="12"/>
  <c r="AB1949" i="12"/>
  <c r="AA1949" i="12"/>
  <c r="Z1949" i="12"/>
  <c r="Y1949" i="12"/>
  <c r="X1949" i="12"/>
  <c r="W1949" i="12"/>
  <c r="V1949" i="12"/>
  <c r="AC1948" i="12"/>
  <c r="AB1948" i="12"/>
  <c r="AA1948" i="12"/>
  <c r="Z1948" i="12"/>
  <c r="Y1948" i="12"/>
  <c r="X1948" i="12"/>
  <c r="W1948" i="12"/>
  <c r="V1948" i="12"/>
  <c r="AC1947" i="12"/>
  <c r="AB1947" i="12"/>
  <c r="AA1947" i="12"/>
  <c r="Z1947" i="12"/>
  <c r="Y1947" i="12"/>
  <c r="X1947" i="12"/>
  <c r="W1947" i="12"/>
  <c r="V1947" i="12"/>
  <c r="AC1946" i="12"/>
  <c r="AB1946" i="12"/>
  <c r="AA1946" i="12"/>
  <c r="Z1946" i="12"/>
  <c r="Y1946" i="12"/>
  <c r="X1946" i="12"/>
  <c r="W1946" i="12"/>
  <c r="V1946" i="12"/>
  <c r="AC1945" i="12"/>
  <c r="AB1945" i="12"/>
  <c r="AA1945" i="12"/>
  <c r="Z1945" i="12"/>
  <c r="Y1945" i="12"/>
  <c r="X1945" i="12"/>
  <c r="W1945" i="12"/>
  <c r="V1945" i="12"/>
  <c r="AC1944" i="12"/>
  <c r="AB1944" i="12"/>
  <c r="AA1944" i="12"/>
  <c r="Z1944" i="12"/>
  <c r="Y1944" i="12"/>
  <c r="X1944" i="12"/>
  <c r="W1944" i="12"/>
  <c r="V1944" i="12"/>
  <c r="AC1943" i="12"/>
  <c r="AB1943" i="12"/>
  <c r="AA1943" i="12"/>
  <c r="Z1943" i="12"/>
  <c r="Y1943" i="12"/>
  <c r="X1943" i="12"/>
  <c r="W1943" i="12"/>
  <c r="V1943" i="12"/>
  <c r="AC1942" i="12"/>
  <c r="AB1942" i="12"/>
  <c r="AA1942" i="12"/>
  <c r="Z1942" i="12"/>
  <c r="Y1942" i="12"/>
  <c r="X1942" i="12"/>
  <c r="W1942" i="12"/>
  <c r="V1942" i="12"/>
  <c r="AC1941" i="12"/>
  <c r="AB1941" i="12"/>
  <c r="AA1941" i="12"/>
  <c r="Z1941" i="12"/>
  <c r="Y1941" i="12"/>
  <c r="X1941" i="12"/>
  <c r="W1941" i="12"/>
  <c r="V1941" i="12"/>
  <c r="AC1940" i="12"/>
  <c r="AB1940" i="12"/>
  <c r="AA1940" i="12"/>
  <c r="Z1940" i="12"/>
  <c r="Y1940" i="12"/>
  <c r="X1940" i="12"/>
  <c r="W1940" i="12"/>
  <c r="V1940" i="12"/>
  <c r="AC1939" i="12"/>
  <c r="AB1939" i="12"/>
  <c r="AA1939" i="12"/>
  <c r="Z1939" i="12"/>
  <c r="Y1939" i="12"/>
  <c r="X1939" i="12"/>
  <c r="W1939" i="12"/>
  <c r="V1939" i="12"/>
  <c r="AC1938" i="12"/>
  <c r="AB1938" i="12"/>
  <c r="AA1938" i="12"/>
  <c r="Z1938" i="12"/>
  <c r="Y1938" i="12"/>
  <c r="X1938" i="12"/>
  <c r="W1938" i="12"/>
  <c r="V1938" i="12"/>
  <c r="AC1937" i="12"/>
  <c r="AB1937" i="12"/>
  <c r="AA1937" i="12"/>
  <c r="Z1937" i="12"/>
  <c r="Y1937" i="12"/>
  <c r="X1937" i="12"/>
  <c r="W1937" i="12"/>
  <c r="V1937" i="12"/>
  <c r="AC1936" i="12"/>
  <c r="AB1936" i="12"/>
  <c r="AA1936" i="12"/>
  <c r="Z1936" i="12"/>
  <c r="Y1936" i="12"/>
  <c r="X1936" i="12"/>
  <c r="W1936" i="12"/>
  <c r="V1936" i="12"/>
  <c r="AC1935" i="12"/>
  <c r="AB1935" i="12"/>
  <c r="AA1935" i="12"/>
  <c r="Z1935" i="12"/>
  <c r="Y1935" i="12"/>
  <c r="X1935" i="12"/>
  <c r="W1935" i="12"/>
  <c r="V1935" i="12"/>
  <c r="AC1934" i="12"/>
  <c r="AB1934" i="12"/>
  <c r="AA1934" i="12"/>
  <c r="Z1934" i="12"/>
  <c r="Y1934" i="12"/>
  <c r="X1934" i="12"/>
  <c r="W1934" i="12"/>
  <c r="V1934" i="12"/>
  <c r="AC1933" i="12"/>
  <c r="AB1933" i="12"/>
  <c r="AA1933" i="12"/>
  <c r="Z1933" i="12"/>
  <c r="Y1933" i="12"/>
  <c r="X1933" i="12"/>
  <c r="W1933" i="12"/>
  <c r="V1933" i="12"/>
  <c r="AC1932" i="12"/>
  <c r="AB1932" i="12"/>
  <c r="AA1932" i="12"/>
  <c r="Z1932" i="12"/>
  <c r="Y1932" i="12"/>
  <c r="X1932" i="12"/>
  <c r="W1932" i="12"/>
  <c r="V1932" i="12"/>
  <c r="AC1931" i="12"/>
  <c r="AB1931" i="12"/>
  <c r="AA1931" i="12"/>
  <c r="Z1931" i="12"/>
  <c r="Y1931" i="12"/>
  <c r="X1931" i="12"/>
  <c r="W1931" i="12"/>
  <c r="V1931" i="12"/>
  <c r="AC1930" i="12"/>
  <c r="AB1930" i="12"/>
  <c r="AA1930" i="12"/>
  <c r="Z1930" i="12"/>
  <c r="Y1930" i="12"/>
  <c r="X1930" i="12"/>
  <c r="W1930" i="12"/>
  <c r="V1930" i="12"/>
  <c r="AC1929" i="12"/>
  <c r="AB1929" i="12"/>
  <c r="AA1929" i="12"/>
  <c r="Z1929" i="12"/>
  <c r="Y1929" i="12"/>
  <c r="X1929" i="12"/>
  <c r="W1929" i="12"/>
  <c r="V1929" i="12"/>
  <c r="AC1928" i="12"/>
  <c r="AB1928" i="12"/>
  <c r="AA1928" i="12"/>
  <c r="Z1928" i="12"/>
  <c r="Y1928" i="12"/>
  <c r="X1928" i="12"/>
  <c r="W1928" i="12"/>
  <c r="V1928" i="12"/>
  <c r="AC1927" i="12"/>
  <c r="AB1927" i="12"/>
  <c r="AA1927" i="12"/>
  <c r="Z1927" i="12"/>
  <c r="Y1927" i="12"/>
  <c r="X1927" i="12"/>
  <c r="W1927" i="12"/>
  <c r="V1927" i="12"/>
  <c r="AC1926" i="12"/>
  <c r="AB1926" i="12"/>
  <c r="AA1926" i="12"/>
  <c r="Z1926" i="12"/>
  <c r="Y1926" i="12"/>
  <c r="X1926" i="12"/>
  <c r="W1926" i="12"/>
  <c r="V1926" i="12"/>
  <c r="AC1925" i="12"/>
  <c r="AB1925" i="12"/>
  <c r="AA1925" i="12"/>
  <c r="Z1925" i="12"/>
  <c r="Y1925" i="12"/>
  <c r="X1925" i="12"/>
  <c r="W1925" i="12"/>
  <c r="V1925" i="12"/>
  <c r="AC1924" i="12"/>
  <c r="AB1924" i="12"/>
  <c r="AA1924" i="12"/>
  <c r="Z1924" i="12"/>
  <c r="Y1924" i="12"/>
  <c r="X1924" i="12"/>
  <c r="W1924" i="12"/>
  <c r="V1924" i="12"/>
  <c r="AC1923" i="12"/>
  <c r="AB1923" i="12"/>
  <c r="AA1923" i="12"/>
  <c r="Z1923" i="12"/>
  <c r="Y1923" i="12"/>
  <c r="X1923" i="12"/>
  <c r="W1923" i="12"/>
  <c r="V1923" i="12"/>
  <c r="AC1922" i="12"/>
  <c r="AB1922" i="12"/>
  <c r="AA1922" i="12"/>
  <c r="Z1922" i="12"/>
  <c r="Y1922" i="12"/>
  <c r="X1922" i="12"/>
  <c r="W1922" i="12"/>
  <c r="V1922" i="12"/>
  <c r="AC1921" i="12"/>
  <c r="AB1921" i="12"/>
  <c r="AA1921" i="12"/>
  <c r="Z1921" i="12"/>
  <c r="Y1921" i="12"/>
  <c r="X1921" i="12"/>
  <c r="W1921" i="12"/>
  <c r="V1921" i="12"/>
  <c r="AC1920" i="12"/>
  <c r="AB1920" i="12"/>
  <c r="AA1920" i="12"/>
  <c r="Z1920" i="12"/>
  <c r="Y1920" i="12"/>
  <c r="X1920" i="12"/>
  <c r="W1920" i="12"/>
  <c r="V1920" i="12"/>
  <c r="AC1919" i="12"/>
  <c r="AB1919" i="12"/>
  <c r="AA1919" i="12"/>
  <c r="Z1919" i="12"/>
  <c r="Y1919" i="12"/>
  <c r="X1919" i="12"/>
  <c r="W1919" i="12"/>
  <c r="V1919" i="12"/>
  <c r="AC1918" i="12"/>
  <c r="AB1918" i="12"/>
  <c r="AA1918" i="12"/>
  <c r="Z1918" i="12"/>
  <c r="Y1918" i="12"/>
  <c r="X1918" i="12"/>
  <c r="W1918" i="12"/>
  <c r="V1918" i="12"/>
  <c r="AC1917" i="12"/>
  <c r="AB1917" i="12"/>
  <c r="AA1917" i="12"/>
  <c r="Z1917" i="12"/>
  <c r="Y1917" i="12"/>
  <c r="X1917" i="12"/>
  <c r="W1917" i="12"/>
  <c r="V1917" i="12"/>
  <c r="AC1916" i="12"/>
  <c r="AB1916" i="12"/>
  <c r="AA1916" i="12"/>
  <c r="Z1916" i="12"/>
  <c r="Y1916" i="12"/>
  <c r="X1916" i="12"/>
  <c r="W1916" i="12"/>
  <c r="V1916" i="12"/>
  <c r="AC1915" i="12"/>
  <c r="AB1915" i="12"/>
  <c r="AA1915" i="12"/>
  <c r="Z1915" i="12"/>
  <c r="Y1915" i="12"/>
  <c r="X1915" i="12"/>
  <c r="W1915" i="12"/>
  <c r="V1915" i="12"/>
  <c r="AC1914" i="12"/>
  <c r="AB1914" i="12"/>
  <c r="AA1914" i="12"/>
  <c r="Z1914" i="12"/>
  <c r="Y1914" i="12"/>
  <c r="X1914" i="12"/>
  <c r="W1914" i="12"/>
  <c r="V1914" i="12"/>
  <c r="AC1913" i="12"/>
  <c r="AB1913" i="12"/>
  <c r="AA1913" i="12"/>
  <c r="Z1913" i="12"/>
  <c r="Y1913" i="12"/>
  <c r="X1913" i="12"/>
  <c r="W1913" i="12"/>
  <c r="V1913" i="12"/>
  <c r="AC1912" i="12"/>
  <c r="AB1912" i="12"/>
  <c r="AA1912" i="12"/>
  <c r="Z1912" i="12"/>
  <c r="Y1912" i="12"/>
  <c r="X1912" i="12"/>
  <c r="W1912" i="12"/>
  <c r="V1912" i="12"/>
  <c r="AC1911" i="12"/>
  <c r="AB1911" i="12"/>
  <c r="AA1911" i="12"/>
  <c r="Z1911" i="12"/>
  <c r="Y1911" i="12"/>
  <c r="X1911" i="12"/>
  <c r="W1911" i="12"/>
  <c r="V1911" i="12"/>
  <c r="AC1910" i="12"/>
  <c r="AB1910" i="12"/>
  <c r="AA1910" i="12"/>
  <c r="Z1910" i="12"/>
  <c r="Y1910" i="12"/>
  <c r="X1910" i="12"/>
  <c r="W1910" i="12"/>
  <c r="V1910" i="12"/>
  <c r="AC1909" i="12"/>
  <c r="AB1909" i="12"/>
  <c r="AA1909" i="12"/>
  <c r="Z1909" i="12"/>
  <c r="Y1909" i="12"/>
  <c r="X1909" i="12"/>
  <c r="W1909" i="12"/>
  <c r="V1909" i="12"/>
  <c r="AC1908" i="12"/>
  <c r="AB1908" i="12"/>
  <c r="AA1908" i="12"/>
  <c r="Z1908" i="12"/>
  <c r="Y1908" i="12"/>
  <c r="X1908" i="12"/>
  <c r="W1908" i="12"/>
  <c r="V1908" i="12"/>
  <c r="AC1907" i="12"/>
  <c r="AB1907" i="12"/>
  <c r="AA1907" i="12"/>
  <c r="Z1907" i="12"/>
  <c r="Y1907" i="12"/>
  <c r="X1907" i="12"/>
  <c r="W1907" i="12"/>
  <c r="V1907" i="12"/>
  <c r="AC1906" i="12"/>
  <c r="AB1906" i="12"/>
  <c r="AA1906" i="12"/>
  <c r="Z1906" i="12"/>
  <c r="Y1906" i="12"/>
  <c r="X1906" i="12"/>
  <c r="W1906" i="12"/>
  <c r="V1906" i="12"/>
  <c r="AC1905" i="12"/>
  <c r="AB1905" i="12"/>
  <c r="AA1905" i="12"/>
  <c r="Z1905" i="12"/>
  <c r="Y1905" i="12"/>
  <c r="X1905" i="12"/>
  <c r="W1905" i="12"/>
  <c r="V1905" i="12"/>
  <c r="AC1904" i="12"/>
  <c r="AB1904" i="12"/>
  <c r="AA1904" i="12"/>
  <c r="Z1904" i="12"/>
  <c r="Y1904" i="12"/>
  <c r="X1904" i="12"/>
  <c r="W1904" i="12"/>
  <c r="V1904" i="12"/>
  <c r="AC1903" i="12"/>
  <c r="AB1903" i="12"/>
  <c r="AA1903" i="12"/>
  <c r="Z1903" i="12"/>
  <c r="Y1903" i="12"/>
  <c r="X1903" i="12"/>
  <c r="W1903" i="12"/>
  <c r="V1903" i="12"/>
  <c r="AC1902" i="12"/>
  <c r="AB1902" i="12"/>
  <c r="AA1902" i="12"/>
  <c r="Z1902" i="12"/>
  <c r="Y1902" i="12"/>
  <c r="X1902" i="12"/>
  <c r="W1902" i="12"/>
  <c r="V1902" i="12"/>
  <c r="AC1901" i="12"/>
  <c r="AB1901" i="12"/>
  <c r="AA1901" i="12"/>
  <c r="Z1901" i="12"/>
  <c r="Y1901" i="12"/>
  <c r="X1901" i="12"/>
  <c r="W1901" i="12"/>
  <c r="V1901" i="12"/>
  <c r="AC1900" i="12"/>
  <c r="AB1900" i="12"/>
  <c r="AA1900" i="12"/>
  <c r="Z1900" i="12"/>
  <c r="Y1900" i="12"/>
  <c r="X1900" i="12"/>
  <c r="W1900" i="12"/>
  <c r="V1900" i="12"/>
  <c r="AC1899" i="12"/>
  <c r="AB1899" i="12"/>
  <c r="AA1899" i="12"/>
  <c r="Z1899" i="12"/>
  <c r="Y1899" i="12"/>
  <c r="X1899" i="12"/>
  <c r="W1899" i="12"/>
  <c r="V1899" i="12"/>
  <c r="AC1898" i="12"/>
  <c r="AB1898" i="12"/>
  <c r="AA1898" i="12"/>
  <c r="Z1898" i="12"/>
  <c r="Y1898" i="12"/>
  <c r="X1898" i="12"/>
  <c r="W1898" i="12"/>
  <c r="V1898" i="12"/>
  <c r="AC1897" i="12"/>
  <c r="AB1897" i="12"/>
  <c r="AA1897" i="12"/>
  <c r="Z1897" i="12"/>
  <c r="Y1897" i="12"/>
  <c r="X1897" i="12"/>
  <c r="W1897" i="12"/>
  <c r="V1897" i="12"/>
  <c r="AC1896" i="12"/>
  <c r="AB1896" i="12"/>
  <c r="AA1896" i="12"/>
  <c r="Z1896" i="12"/>
  <c r="Y1896" i="12"/>
  <c r="X1896" i="12"/>
  <c r="W1896" i="12"/>
  <c r="V1896" i="12"/>
  <c r="AC1895" i="12"/>
  <c r="AB1895" i="12"/>
  <c r="AA1895" i="12"/>
  <c r="Z1895" i="12"/>
  <c r="Y1895" i="12"/>
  <c r="X1895" i="12"/>
  <c r="W1895" i="12"/>
  <c r="V1895" i="12"/>
  <c r="AC1894" i="12"/>
  <c r="AB1894" i="12"/>
  <c r="AA1894" i="12"/>
  <c r="Z1894" i="12"/>
  <c r="Y1894" i="12"/>
  <c r="X1894" i="12"/>
  <c r="W1894" i="12"/>
  <c r="V1894" i="12"/>
  <c r="AC1893" i="12"/>
  <c r="AB1893" i="12"/>
  <c r="AA1893" i="12"/>
  <c r="Z1893" i="12"/>
  <c r="Y1893" i="12"/>
  <c r="X1893" i="12"/>
  <c r="W1893" i="12"/>
  <c r="V1893" i="12"/>
  <c r="AC1892" i="12"/>
  <c r="AB1892" i="12"/>
  <c r="AA1892" i="12"/>
  <c r="Z1892" i="12"/>
  <c r="Y1892" i="12"/>
  <c r="X1892" i="12"/>
  <c r="W1892" i="12"/>
  <c r="V1892" i="12"/>
  <c r="AC1891" i="12"/>
  <c r="AB1891" i="12"/>
  <c r="AA1891" i="12"/>
  <c r="Z1891" i="12"/>
  <c r="Y1891" i="12"/>
  <c r="X1891" i="12"/>
  <c r="W1891" i="12"/>
  <c r="V1891" i="12"/>
  <c r="AC1890" i="12"/>
  <c r="AB1890" i="12"/>
  <c r="AA1890" i="12"/>
  <c r="Z1890" i="12"/>
  <c r="Y1890" i="12"/>
  <c r="X1890" i="12"/>
  <c r="W1890" i="12"/>
  <c r="V1890" i="12"/>
  <c r="AC1889" i="12"/>
  <c r="AB1889" i="12"/>
  <c r="AA1889" i="12"/>
  <c r="Z1889" i="12"/>
  <c r="Y1889" i="12"/>
  <c r="X1889" i="12"/>
  <c r="W1889" i="12"/>
  <c r="V1889" i="12"/>
  <c r="AC1888" i="12"/>
  <c r="AB1888" i="12"/>
  <c r="AA1888" i="12"/>
  <c r="Z1888" i="12"/>
  <c r="Y1888" i="12"/>
  <c r="X1888" i="12"/>
  <c r="W1888" i="12"/>
  <c r="V1888" i="12"/>
  <c r="AC1887" i="12"/>
  <c r="AB1887" i="12"/>
  <c r="AA1887" i="12"/>
  <c r="Z1887" i="12"/>
  <c r="Y1887" i="12"/>
  <c r="X1887" i="12"/>
  <c r="W1887" i="12"/>
  <c r="V1887" i="12"/>
  <c r="AC1886" i="12"/>
  <c r="AB1886" i="12"/>
  <c r="AA1886" i="12"/>
  <c r="Z1886" i="12"/>
  <c r="Y1886" i="12"/>
  <c r="X1886" i="12"/>
  <c r="W1886" i="12"/>
  <c r="V1886" i="12"/>
  <c r="AC1885" i="12"/>
  <c r="AB1885" i="12"/>
  <c r="AA1885" i="12"/>
  <c r="Z1885" i="12"/>
  <c r="Y1885" i="12"/>
  <c r="X1885" i="12"/>
  <c r="W1885" i="12"/>
  <c r="V1885" i="12"/>
  <c r="AC1884" i="12"/>
  <c r="AB1884" i="12"/>
  <c r="AA1884" i="12"/>
  <c r="Z1884" i="12"/>
  <c r="Y1884" i="12"/>
  <c r="X1884" i="12"/>
  <c r="W1884" i="12"/>
  <c r="V1884" i="12"/>
  <c r="AC1883" i="12"/>
  <c r="AB1883" i="12"/>
  <c r="AA1883" i="12"/>
  <c r="Z1883" i="12"/>
  <c r="Y1883" i="12"/>
  <c r="X1883" i="12"/>
  <c r="W1883" i="12"/>
  <c r="V1883" i="12"/>
  <c r="AC1882" i="12"/>
  <c r="AB1882" i="12"/>
  <c r="AA1882" i="12"/>
  <c r="Z1882" i="12"/>
  <c r="Y1882" i="12"/>
  <c r="X1882" i="12"/>
  <c r="W1882" i="12"/>
  <c r="V1882" i="12"/>
  <c r="AC1881" i="12"/>
  <c r="AB1881" i="12"/>
  <c r="AA1881" i="12"/>
  <c r="Z1881" i="12"/>
  <c r="Y1881" i="12"/>
  <c r="X1881" i="12"/>
  <c r="W1881" i="12"/>
  <c r="V1881" i="12"/>
  <c r="AC1880" i="12"/>
  <c r="AB1880" i="12"/>
  <c r="AA1880" i="12"/>
  <c r="Z1880" i="12"/>
  <c r="Y1880" i="12"/>
  <c r="X1880" i="12"/>
  <c r="W1880" i="12"/>
  <c r="V1880" i="12"/>
  <c r="AC1879" i="12"/>
  <c r="AB1879" i="12"/>
  <c r="AA1879" i="12"/>
  <c r="Z1879" i="12"/>
  <c r="Y1879" i="12"/>
  <c r="X1879" i="12"/>
  <c r="W1879" i="12"/>
  <c r="V1879" i="12"/>
  <c r="AC1878" i="12"/>
  <c r="AB1878" i="12"/>
  <c r="AA1878" i="12"/>
  <c r="Z1878" i="12"/>
  <c r="Y1878" i="12"/>
  <c r="X1878" i="12"/>
  <c r="W1878" i="12"/>
  <c r="V1878" i="12"/>
  <c r="AC1877" i="12"/>
  <c r="AB1877" i="12"/>
  <c r="AA1877" i="12"/>
  <c r="Z1877" i="12"/>
  <c r="Y1877" i="12"/>
  <c r="X1877" i="12"/>
  <c r="W1877" i="12"/>
  <c r="V1877" i="12"/>
  <c r="AC1876" i="12"/>
  <c r="AB1876" i="12"/>
  <c r="AA1876" i="12"/>
  <c r="Z1876" i="12"/>
  <c r="Y1876" i="12"/>
  <c r="X1876" i="12"/>
  <c r="W1876" i="12"/>
  <c r="V1876" i="12"/>
  <c r="AC1875" i="12"/>
  <c r="AB1875" i="12"/>
  <c r="AA1875" i="12"/>
  <c r="Z1875" i="12"/>
  <c r="Y1875" i="12"/>
  <c r="X1875" i="12"/>
  <c r="W1875" i="12"/>
  <c r="V1875" i="12"/>
  <c r="AC1874" i="12"/>
  <c r="AB1874" i="12"/>
  <c r="AA1874" i="12"/>
  <c r="Z1874" i="12"/>
  <c r="Y1874" i="12"/>
  <c r="X1874" i="12"/>
  <c r="W1874" i="12"/>
  <c r="V1874" i="12"/>
  <c r="AC1873" i="12"/>
  <c r="AB1873" i="12"/>
  <c r="AA1873" i="12"/>
  <c r="Z1873" i="12"/>
  <c r="Y1873" i="12"/>
  <c r="X1873" i="12"/>
  <c r="W1873" i="12"/>
  <c r="V1873" i="12"/>
  <c r="AC1872" i="12"/>
  <c r="AB1872" i="12"/>
  <c r="AA1872" i="12"/>
  <c r="Z1872" i="12"/>
  <c r="Y1872" i="12"/>
  <c r="X1872" i="12"/>
  <c r="W1872" i="12"/>
  <c r="V1872" i="12"/>
  <c r="AC1871" i="12"/>
  <c r="AB1871" i="12"/>
  <c r="AA1871" i="12"/>
  <c r="Z1871" i="12"/>
  <c r="Y1871" i="12"/>
  <c r="X1871" i="12"/>
  <c r="W1871" i="12"/>
  <c r="V1871" i="12"/>
  <c r="AC1870" i="12"/>
  <c r="AB1870" i="12"/>
  <c r="AA1870" i="12"/>
  <c r="Z1870" i="12"/>
  <c r="Y1870" i="12"/>
  <c r="X1870" i="12"/>
  <c r="W1870" i="12"/>
  <c r="V1870" i="12"/>
  <c r="AC1869" i="12"/>
  <c r="AB1869" i="12"/>
  <c r="AA1869" i="12"/>
  <c r="Z1869" i="12"/>
  <c r="Y1869" i="12"/>
  <c r="X1869" i="12"/>
  <c r="W1869" i="12"/>
  <c r="V1869" i="12"/>
  <c r="AC1868" i="12"/>
  <c r="AB1868" i="12"/>
  <c r="AA1868" i="12"/>
  <c r="Z1868" i="12"/>
  <c r="Y1868" i="12"/>
  <c r="X1868" i="12"/>
  <c r="W1868" i="12"/>
  <c r="V1868" i="12"/>
  <c r="AC1867" i="12"/>
  <c r="AB1867" i="12"/>
  <c r="AA1867" i="12"/>
  <c r="Z1867" i="12"/>
  <c r="Y1867" i="12"/>
  <c r="X1867" i="12"/>
  <c r="W1867" i="12"/>
  <c r="V1867" i="12"/>
  <c r="AC1866" i="12"/>
  <c r="AB1866" i="12"/>
  <c r="AA1866" i="12"/>
  <c r="Z1866" i="12"/>
  <c r="Y1866" i="12"/>
  <c r="X1866" i="12"/>
  <c r="W1866" i="12"/>
  <c r="V1866" i="12"/>
  <c r="AC1865" i="12"/>
  <c r="AB1865" i="12"/>
  <c r="AA1865" i="12"/>
  <c r="Z1865" i="12"/>
  <c r="Y1865" i="12"/>
  <c r="X1865" i="12"/>
  <c r="W1865" i="12"/>
  <c r="V1865" i="12"/>
  <c r="AC1864" i="12"/>
  <c r="AB1864" i="12"/>
  <c r="AA1864" i="12"/>
  <c r="Z1864" i="12"/>
  <c r="Y1864" i="12"/>
  <c r="X1864" i="12"/>
  <c r="W1864" i="12"/>
  <c r="V1864" i="12"/>
  <c r="AC1863" i="12"/>
  <c r="AB1863" i="12"/>
  <c r="AA1863" i="12"/>
  <c r="Z1863" i="12"/>
  <c r="Y1863" i="12"/>
  <c r="X1863" i="12"/>
  <c r="W1863" i="12"/>
  <c r="V1863" i="12"/>
  <c r="AC1862" i="12"/>
  <c r="AB1862" i="12"/>
  <c r="AA1862" i="12"/>
  <c r="Z1862" i="12"/>
  <c r="Y1862" i="12"/>
  <c r="X1862" i="12"/>
  <c r="W1862" i="12"/>
  <c r="V1862" i="12"/>
  <c r="AC1861" i="12"/>
  <c r="AB1861" i="12"/>
  <c r="AA1861" i="12"/>
  <c r="Z1861" i="12"/>
  <c r="Y1861" i="12"/>
  <c r="X1861" i="12"/>
  <c r="W1861" i="12"/>
  <c r="V1861" i="12"/>
  <c r="AC1860" i="12"/>
  <c r="AB1860" i="12"/>
  <c r="AA1860" i="12"/>
  <c r="Z1860" i="12"/>
  <c r="Y1860" i="12"/>
  <c r="X1860" i="12"/>
  <c r="W1860" i="12"/>
  <c r="V1860" i="12"/>
  <c r="AC1859" i="12"/>
  <c r="AB1859" i="12"/>
  <c r="AA1859" i="12"/>
  <c r="Z1859" i="12"/>
  <c r="Y1859" i="12"/>
  <c r="X1859" i="12"/>
  <c r="W1859" i="12"/>
  <c r="V1859" i="12"/>
  <c r="AC1858" i="12"/>
  <c r="AB1858" i="12"/>
  <c r="AA1858" i="12"/>
  <c r="Z1858" i="12"/>
  <c r="Y1858" i="12"/>
  <c r="X1858" i="12"/>
  <c r="W1858" i="12"/>
  <c r="V1858" i="12"/>
  <c r="AC1857" i="12"/>
  <c r="AB1857" i="12"/>
  <c r="AA1857" i="12"/>
  <c r="Z1857" i="12"/>
  <c r="Y1857" i="12"/>
  <c r="X1857" i="12"/>
  <c r="W1857" i="12"/>
  <c r="V1857" i="12"/>
  <c r="AC1856" i="12"/>
  <c r="AB1856" i="12"/>
  <c r="AA1856" i="12"/>
  <c r="Z1856" i="12"/>
  <c r="Y1856" i="12"/>
  <c r="X1856" i="12"/>
  <c r="W1856" i="12"/>
  <c r="V1856" i="12"/>
  <c r="AC1855" i="12"/>
  <c r="AB1855" i="12"/>
  <c r="AA1855" i="12"/>
  <c r="Z1855" i="12"/>
  <c r="Y1855" i="12"/>
  <c r="X1855" i="12"/>
  <c r="W1855" i="12"/>
  <c r="V1855" i="12"/>
  <c r="AC1854" i="12"/>
  <c r="AB1854" i="12"/>
  <c r="AA1854" i="12"/>
  <c r="Z1854" i="12"/>
  <c r="Y1854" i="12"/>
  <c r="X1854" i="12"/>
  <c r="W1854" i="12"/>
  <c r="V1854" i="12"/>
  <c r="AC1853" i="12"/>
  <c r="AB1853" i="12"/>
  <c r="AA1853" i="12"/>
  <c r="Z1853" i="12"/>
  <c r="Y1853" i="12"/>
  <c r="X1853" i="12"/>
  <c r="W1853" i="12"/>
  <c r="V1853" i="12"/>
  <c r="AC1852" i="12"/>
  <c r="AB1852" i="12"/>
  <c r="AA1852" i="12"/>
  <c r="Z1852" i="12"/>
  <c r="Y1852" i="12"/>
  <c r="X1852" i="12"/>
  <c r="W1852" i="12"/>
  <c r="V1852" i="12"/>
  <c r="AC1851" i="12"/>
  <c r="AB1851" i="12"/>
  <c r="AA1851" i="12"/>
  <c r="Z1851" i="12"/>
  <c r="Y1851" i="12"/>
  <c r="X1851" i="12"/>
  <c r="W1851" i="12"/>
  <c r="V1851" i="12"/>
  <c r="AC1850" i="12"/>
  <c r="AB1850" i="12"/>
  <c r="AA1850" i="12"/>
  <c r="Z1850" i="12"/>
  <c r="Y1850" i="12"/>
  <c r="X1850" i="12"/>
  <c r="W1850" i="12"/>
  <c r="V1850" i="12"/>
  <c r="AC1849" i="12"/>
  <c r="AB1849" i="12"/>
  <c r="AA1849" i="12"/>
  <c r="Z1849" i="12"/>
  <c r="Y1849" i="12"/>
  <c r="X1849" i="12"/>
  <c r="W1849" i="12"/>
  <c r="V1849" i="12"/>
  <c r="AC1848" i="12"/>
  <c r="AB1848" i="12"/>
  <c r="AA1848" i="12"/>
  <c r="Z1848" i="12"/>
  <c r="Y1848" i="12"/>
  <c r="X1848" i="12"/>
  <c r="W1848" i="12"/>
  <c r="V1848" i="12"/>
  <c r="AC1847" i="12"/>
  <c r="AB1847" i="12"/>
  <c r="AA1847" i="12"/>
  <c r="Z1847" i="12"/>
  <c r="Y1847" i="12"/>
  <c r="X1847" i="12"/>
  <c r="W1847" i="12"/>
  <c r="V1847" i="12"/>
  <c r="AC1846" i="12"/>
  <c r="AB1846" i="12"/>
  <c r="AA1846" i="12"/>
  <c r="Z1846" i="12"/>
  <c r="Y1846" i="12"/>
  <c r="X1846" i="12"/>
  <c r="W1846" i="12"/>
  <c r="V1846" i="12"/>
  <c r="AC1845" i="12"/>
  <c r="AB1845" i="12"/>
  <c r="AA1845" i="12"/>
  <c r="Z1845" i="12"/>
  <c r="Y1845" i="12"/>
  <c r="X1845" i="12"/>
  <c r="W1845" i="12"/>
  <c r="V1845" i="12"/>
  <c r="AC1844" i="12"/>
  <c r="AB1844" i="12"/>
  <c r="AA1844" i="12"/>
  <c r="Z1844" i="12"/>
  <c r="Y1844" i="12"/>
  <c r="X1844" i="12"/>
  <c r="W1844" i="12"/>
  <c r="V1844" i="12"/>
  <c r="AC1843" i="12"/>
  <c r="AB1843" i="12"/>
  <c r="AA1843" i="12"/>
  <c r="Z1843" i="12"/>
  <c r="Y1843" i="12"/>
  <c r="X1843" i="12"/>
  <c r="W1843" i="12"/>
  <c r="V1843" i="12"/>
  <c r="AC1842" i="12"/>
  <c r="AB1842" i="12"/>
  <c r="AA1842" i="12"/>
  <c r="Z1842" i="12"/>
  <c r="Y1842" i="12"/>
  <c r="X1842" i="12"/>
  <c r="W1842" i="12"/>
  <c r="V1842" i="12"/>
  <c r="AC1841" i="12"/>
  <c r="AB1841" i="12"/>
  <c r="AA1841" i="12"/>
  <c r="Z1841" i="12"/>
  <c r="Y1841" i="12"/>
  <c r="X1841" i="12"/>
  <c r="W1841" i="12"/>
  <c r="V1841" i="12"/>
  <c r="AC1840" i="12"/>
  <c r="AB1840" i="12"/>
  <c r="AA1840" i="12"/>
  <c r="Z1840" i="12"/>
  <c r="Y1840" i="12"/>
  <c r="X1840" i="12"/>
  <c r="W1840" i="12"/>
  <c r="V1840" i="12"/>
  <c r="AC1839" i="12"/>
  <c r="AB1839" i="12"/>
  <c r="AA1839" i="12"/>
  <c r="Z1839" i="12"/>
  <c r="Y1839" i="12"/>
  <c r="X1839" i="12"/>
  <c r="W1839" i="12"/>
  <c r="V1839" i="12"/>
  <c r="AC1838" i="12"/>
  <c r="AB1838" i="12"/>
  <c r="AA1838" i="12"/>
  <c r="Z1838" i="12"/>
  <c r="Y1838" i="12"/>
  <c r="X1838" i="12"/>
  <c r="W1838" i="12"/>
  <c r="V1838" i="12"/>
  <c r="AC1837" i="12"/>
  <c r="AB1837" i="12"/>
  <c r="AA1837" i="12"/>
  <c r="Z1837" i="12"/>
  <c r="Y1837" i="12"/>
  <c r="X1837" i="12"/>
  <c r="W1837" i="12"/>
  <c r="V1837" i="12"/>
  <c r="AC1836" i="12"/>
  <c r="AB1836" i="12"/>
  <c r="AA1836" i="12"/>
  <c r="Z1836" i="12"/>
  <c r="Y1836" i="12"/>
  <c r="X1836" i="12"/>
  <c r="W1836" i="12"/>
  <c r="V1836" i="12"/>
  <c r="AC1835" i="12"/>
  <c r="AB1835" i="12"/>
  <c r="AA1835" i="12"/>
  <c r="Z1835" i="12"/>
  <c r="Y1835" i="12"/>
  <c r="X1835" i="12"/>
  <c r="W1835" i="12"/>
  <c r="V1835" i="12"/>
  <c r="AC1834" i="12"/>
  <c r="AB1834" i="12"/>
  <c r="AA1834" i="12"/>
  <c r="Z1834" i="12"/>
  <c r="Y1834" i="12"/>
  <c r="X1834" i="12"/>
  <c r="W1834" i="12"/>
  <c r="V1834" i="12"/>
  <c r="AC1833" i="12"/>
  <c r="AB1833" i="12"/>
  <c r="AA1833" i="12"/>
  <c r="Z1833" i="12"/>
  <c r="Y1833" i="12"/>
  <c r="X1833" i="12"/>
  <c r="W1833" i="12"/>
  <c r="V1833" i="12"/>
  <c r="AC1832" i="12"/>
  <c r="AB1832" i="12"/>
  <c r="AA1832" i="12"/>
  <c r="Z1832" i="12"/>
  <c r="Y1832" i="12"/>
  <c r="X1832" i="12"/>
  <c r="W1832" i="12"/>
  <c r="V1832" i="12"/>
  <c r="AC1831" i="12"/>
  <c r="AB1831" i="12"/>
  <c r="AA1831" i="12"/>
  <c r="Z1831" i="12"/>
  <c r="Y1831" i="12"/>
  <c r="X1831" i="12"/>
  <c r="W1831" i="12"/>
  <c r="V1831" i="12"/>
  <c r="AC1830" i="12"/>
  <c r="AB1830" i="12"/>
  <c r="AA1830" i="12"/>
  <c r="Z1830" i="12"/>
  <c r="Y1830" i="12"/>
  <c r="X1830" i="12"/>
  <c r="W1830" i="12"/>
  <c r="V1830" i="12"/>
  <c r="AC1829" i="12"/>
  <c r="AB1829" i="12"/>
  <c r="AA1829" i="12"/>
  <c r="Z1829" i="12"/>
  <c r="Y1829" i="12"/>
  <c r="X1829" i="12"/>
  <c r="W1829" i="12"/>
  <c r="V1829" i="12"/>
  <c r="AC1828" i="12"/>
  <c r="AB1828" i="12"/>
  <c r="AA1828" i="12"/>
  <c r="Z1828" i="12"/>
  <c r="Y1828" i="12"/>
  <c r="X1828" i="12"/>
  <c r="W1828" i="12"/>
  <c r="V1828" i="12"/>
  <c r="AC1827" i="12"/>
  <c r="AB1827" i="12"/>
  <c r="AA1827" i="12"/>
  <c r="Z1827" i="12"/>
  <c r="Y1827" i="12"/>
  <c r="X1827" i="12"/>
  <c r="W1827" i="12"/>
  <c r="V1827" i="12"/>
  <c r="AC1826" i="12"/>
  <c r="AB1826" i="12"/>
  <c r="AA1826" i="12"/>
  <c r="Z1826" i="12"/>
  <c r="Y1826" i="12"/>
  <c r="X1826" i="12"/>
  <c r="W1826" i="12"/>
  <c r="V1826" i="12"/>
  <c r="AC1825" i="12"/>
  <c r="AB1825" i="12"/>
  <c r="AA1825" i="12"/>
  <c r="Z1825" i="12"/>
  <c r="Y1825" i="12"/>
  <c r="X1825" i="12"/>
  <c r="W1825" i="12"/>
  <c r="V1825" i="12"/>
  <c r="AC1824" i="12"/>
  <c r="AB1824" i="12"/>
  <c r="AA1824" i="12"/>
  <c r="Z1824" i="12"/>
  <c r="Y1824" i="12"/>
  <c r="X1824" i="12"/>
  <c r="W1824" i="12"/>
  <c r="V1824" i="12"/>
  <c r="AC1823" i="12"/>
  <c r="AB1823" i="12"/>
  <c r="AA1823" i="12"/>
  <c r="Z1823" i="12"/>
  <c r="Y1823" i="12"/>
  <c r="X1823" i="12"/>
  <c r="W1823" i="12"/>
  <c r="V1823" i="12"/>
  <c r="AC1822" i="12"/>
  <c r="AB1822" i="12"/>
  <c r="AA1822" i="12"/>
  <c r="Z1822" i="12"/>
  <c r="Y1822" i="12"/>
  <c r="X1822" i="12"/>
  <c r="W1822" i="12"/>
  <c r="V1822" i="12"/>
  <c r="AC1821" i="12"/>
  <c r="AB1821" i="12"/>
  <c r="AA1821" i="12"/>
  <c r="Z1821" i="12"/>
  <c r="Y1821" i="12"/>
  <c r="X1821" i="12"/>
  <c r="W1821" i="12"/>
  <c r="V1821" i="12"/>
  <c r="AC1820" i="12"/>
  <c r="AB1820" i="12"/>
  <c r="AA1820" i="12"/>
  <c r="Z1820" i="12"/>
  <c r="Y1820" i="12"/>
  <c r="X1820" i="12"/>
  <c r="W1820" i="12"/>
  <c r="V1820" i="12"/>
  <c r="AC1819" i="12"/>
  <c r="AB1819" i="12"/>
  <c r="AA1819" i="12"/>
  <c r="Z1819" i="12"/>
  <c r="Y1819" i="12"/>
  <c r="X1819" i="12"/>
  <c r="W1819" i="12"/>
  <c r="V1819" i="12"/>
  <c r="AC1818" i="12"/>
  <c r="AB1818" i="12"/>
  <c r="AA1818" i="12"/>
  <c r="Z1818" i="12"/>
  <c r="Y1818" i="12"/>
  <c r="X1818" i="12"/>
  <c r="W1818" i="12"/>
  <c r="V1818" i="12"/>
  <c r="AC1817" i="12"/>
  <c r="AB1817" i="12"/>
  <c r="AA1817" i="12"/>
  <c r="Z1817" i="12"/>
  <c r="Y1817" i="12"/>
  <c r="X1817" i="12"/>
  <c r="W1817" i="12"/>
  <c r="V1817" i="12"/>
  <c r="AC1816" i="12"/>
  <c r="AB1816" i="12"/>
  <c r="AA1816" i="12"/>
  <c r="Z1816" i="12"/>
  <c r="Y1816" i="12"/>
  <c r="X1816" i="12"/>
  <c r="W1816" i="12"/>
  <c r="V1816" i="12"/>
  <c r="AC1815" i="12"/>
  <c r="AB1815" i="12"/>
  <c r="AA1815" i="12"/>
  <c r="Z1815" i="12"/>
  <c r="Y1815" i="12"/>
  <c r="X1815" i="12"/>
  <c r="W1815" i="12"/>
  <c r="V1815" i="12"/>
  <c r="AC1814" i="12"/>
  <c r="AB1814" i="12"/>
  <c r="AA1814" i="12"/>
  <c r="Z1814" i="12"/>
  <c r="Y1814" i="12"/>
  <c r="X1814" i="12"/>
  <c r="W1814" i="12"/>
  <c r="V1814" i="12"/>
  <c r="AC1813" i="12"/>
  <c r="AB1813" i="12"/>
  <c r="AA1813" i="12"/>
  <c r="Z1813" i="12"/>
  <c r="Y1813" i="12"/>
  <c r="X1813" i="12"/>
  <c r="W1813" i="12"/>
  <c r="V1813" i="12"/>
  <c r="AC1812" i="12"/>
  <c r="AB1812" i="12"/>
  <c r="AA1812" i="12"/>
  <c r="Z1812" i="12"/>
  <c r="Y1812" i="12"/>
  <c r="X1812" i="12"/>
  <c r="W1812" i="12"/>
  <c r="V1812" i="12"/>
  <c r="AC1811" i="12"/>
  <c r="AB1811" i="12"/>
  <c r="AA1811" i="12"/>
  <c r="Z1811" i="12"/>
  <c r="Y1811" i="12"/>
  <c r="X1811" i="12"/>
  <c r="W1811" i="12"/>
  <c r="V1811" i="12"/>
  <c r="AC1810" i="12"/>
  <c r="AB1810" i="12"/>
  <c r="AA1810" i="12"/>
  <c r="Z1810" i="12"/>
  <c r="Y1810" i="12"/>
  <c r="X1810" i="12"/>
  <c r="W1810" i="12"/>
  <c r="V1810" i="12"/>
  <c r="AC1809" i="12"/>
  <c r="AB1809" i="12"/>
  <c r="AA1809" i="12"/>
  <c r="Z1809" i="12"/>
  <c r="Y1809" i="12"/>
  <c r="X1809" i="12"/>
  <c r="W1809" i="12"/>
  <c r="V1809" i="12"/>
  <c r="AC1808" i="12"/>
  <c r="AB1808" i="12"/>
  <c r="AA1808" i="12"/>
  <c r="Z1808" i="12"/>
  <c r="Y1808" i="12"/>
  <c r="X1808" i="12"/>
  <c r="W1808" i="12"/>
  <c r="V1808" i="12"/>
  <c r="AC1807" i="12"/>
  <c r="AB1807" i="12"/>
  <c r="AA1807" i="12"/>
  <c r="Z1807" i="12"/>
  <c r="Y1807" i="12"/>
  <c r="X1807" i="12"/>
  <c r="W1807" i="12"/>
  <c r="V1807" i="12"/>
  <c r="AC1806" i="12"/>
  <c r="AB1806" i="12"/>
  <c r="AA1806" i="12"/>
  <c r="Z1806" i="12"/>
  <c r="Y1806" i="12"/>
  <c r="X1806" i="12"/>
  <c r="W1806" i="12"/>
  <c r="V1806" i="12"/>
  <c r="AC1805" i="12"/>
  <c r="AB1805" i="12"/>
  <c r="AA1805" i="12"/>
  <c r="Z1805" i="12"/>
  <c r="Y1805" i="12"/>
  <c r="X1805" i="12"/>
  <c r="W1805" i="12"/>
  <c r="V1805" i="12"/>
  <c r="AC1804" i="12"/>
  <c r="AB1804" i="12"/>
  <c r="AA1804" i="12"/>
  <c r="Z1804" i="12"/>
  <c r="Y1804" i="12"/>
  <c r="X1804" i="12"/>
  <c r="W1804" i="12"/>
  <c r="V1804" i="12"/>
  <c r="AC1803" i="12"/>
  <c r="AB1803" i="12"/>
  <c r="AA1803" i="12"/>
  <c r="Z1803" i="12"/>
  <c r="Y1803" i="12"/>
  <c r="X1803" i="12"/>
  <c r="W1803" i="12"/>
  <c r="V1803" i="12"/>
  <c r="AC1802" i="12"/>
  <c r="AB1802" i="12"/>
  <c r="AA1802" i="12"/>
  <c r="Z1802" i="12"/>
  <c r="Y1802" i="12"/>
  <c r="X1802" i="12"/>
  <c r="W1802" i="12"/>
  <c r="V1802" i="12"/>
  <c r="AC1801" i="12"/>
  <c r="AB1801" i="12"/>
  <c r="AA1801" i="12"/>
  <c r="Z1801" i="12"/>
  <c r="Y1801" i="12"/>
  <c r="X1801" i="12"/>
  <c r="W1801" i="12"/>
  <c r="V1801" i="12"/>
  <c r="AC1800" i="12"/>
  <c r="AB1800" i="12"/>
  <c r="AA1800" i="12"/>
  <c r="Z1800" i="12"/>
  <c r="Y1800" i="12"/>
  <c r="X1800" i="12"/>
  <c r="W1800" i="12"/>
  <c r="V1800" i="12"/>
  <c r="AC1799" i="12"/>
  <c r="AB1799" i="12"/>
  <c r="AA1799" i="12"/>
  <c r="Z1799" i="12"/>
  <c r="Y1799" i="12"/>
  <c r="X1799" i="12"/>
  <c r="W1799" i="12"/>
  <c r="V1799" i="12"/>
  <c r="AC1798" i="12"/>
  <c r="AB1798" i="12"/>
  <c r="AA1798" i="12"/>
  <c r="Z1798" i="12"/>
  <c r="Y1798" i="12"/>
  <c r="X1798" i="12"/>
  <c r="W1798" i="12"/>
  <c r="V1798" i="12"/>
  <c r="AC1797" i="12"/>
  <c r="AB1797" i="12"/>
  <c r="AA1797" i="12"/>
  <c r="Z1797" i="12"/>
  <c r="Y1797" i="12"/>
  <c r="X1797" i="12"/>
  <c r="W1797" i="12"/>
  <c r="V1797" i="12"/>
  <c r="AC1796" i="12"/>
  <c r="AB1796" i="12"/>
  <c r="AA1796" i="12"/>
  <c r="Z1796" i="12"/>
  <c r="Y1796" i="12"/>
  <c r="X1796" i="12"/>
  <c r="W1796" i="12"/>
  <c r="V1796" i="12"/>
  <c r="AC1795" i="12"/>
  <c r="AB1795" i="12"/>
  <c r="AA1795" i="12"/>
  <c r="Z1795" i="12"/>
  <c r="Y1795" i="12"/>
  <c r="X1795" i="12"/>
  <c r="W1795" i="12"/>
  <c r="V1795" i="12"/>
  <c r="AC1794" i="12"/>
  <c r="AB1794" i="12"/>
  <c r="AA1794" i="12"/>
  <c r="Z1794" i="12"/>
  <c r="Y1794" i="12"/>
  <c r="X1794" i="12"/>
  <c r="W1794" i="12"/>
  <c r="V1794" i="12"/>
  <c r="AC1793" i="12"/>
  <c r="AB1793" i="12"/>
  <c r="AA1793" i="12"/>
  <c r="Z1793" i="12"/>
  <c r="Y1793" i="12"/>
  <c r="X1793" i="12"/>
  <c r="W1793" i="12"/>
  <c r="V1793" i="12"/>
  <c r="AC1792" i="12"/>
  <c r="AB1792" i="12"/>
  <c r="AA1792" i="12"/>
  <c r="Z1792" i="12"/>
  <c r="Y1792" i="12"/>
  <c r="X1792" i="12"/>
  <c r="W1792" i="12"/>
  <c r="V1792" i="12"/>
  <c r="AC1791" i="12"/>
  <c r="AB1791" i="12"/>
  <c r="AA1791" i="12"/>
  <c r="Z1791" i="12"/>
  <c r="Y1791" i="12"/>
  <c r="X1791" i="12"/>
  <c r="W1791" i="12"/>
  <c r="V1791" i="12"/>
  <c r="AC1790" i="12"/>
  <c r="AB1790" i="12"/>
  <c r="AA1790" i="12"/>
  <c r="Z1790" i="12"/>
  <c r="Y1790" i="12"/>
  <c r="X1790" i="12"/>
  <c r="W1790" i="12"/>
  <c r="V1790" i="12"/>
  <c r="AC1789" i="12"/>
  <c r="AB1789" i="12"/>
  <c r="AA1789" i="12"/>
  <c r="Z1789" i="12"/>
  <c r="Y1789" i="12"/>
  <c r="X1789" i="12"/>
  <c r="W1789" i="12"/>
  <c r="V1789" i="12"/>
  <c r="AC1788" i="12"/>
  <c r="AB1788" i="12"/>
  <c r="AA1788" i="12"/>
  <c r="Z1788" i="12"/>
  <c r="Y1788" i="12"/>
  <c r="X1788" i="12"/>
  <c r="W1788" i="12"/>
  <c r="V1788" i="12"/>
  <c r="AC1787" i="12"/>
  <c r="AB1787" i="12"/>
  <c r="AA1787" i="12"/>
  <c r="Z1787" i="12"/>
  <c r="Y1787" i="12"/>
  <c r="X1787" i="12"/>
  <c r="W1787" i="12"/>
  <c r="V1787" i="12"/>
  <c r="AC1786" i="12"/>
  <c r="AB1786" i="12"/>
  <c r="AA1786" i="12"/>
  <c r="Z1786" i="12"/>
  <c r="Y1786" i="12"/>
  <c r="X1786" i="12"/>
  <c r="W1786" i="12"/>
  <c r="V1786" i="12"/>
  <c r="AC1785" i="12"/>
  <c r="AB1785" i="12"/>
  <c r="AA1785" i="12"/>
  <c r="Z1785" i="12"/>
  <c r="Y1785" i="12"/>
  <c r="X1785" i="12"/>
  <c r="W1785" i="12"/>
  <c r="V1785" i="12"/>
  <c r="AC1784" i="12"/>
  <c r="AB1784" i="12"/>
  <c r="AA1784" i="12"/>
  <c r="Z1784" i="12"/>
  <c r="Y1784" i="12"/>
  <c r="X1784" i="12"/>
  <c r="W1784" i="12"/>
  <c r="V1784" i="12"/>
  <c r="AC1783" i="12"/>
  <c r="AB1783" i="12"/>
  <c r="AA1783" i="12"/>
  <c r="Z1783" i="12"/>
  <c r="Y1783" i="12"/>
  <c r="X1783" i="12"/>
  <c r="W1783" i="12"/>
  <c r="V1783" i="12"/>
  <c r="AC1782" i="12"/>
  <c r="AB1782" i="12"/>
  <c r="AA1782" i="12"/>
  <c r="Z1782" i="12"/>
  <c r="Y1782" i="12"/>
  <c r="X1782" i="12"/>
  <c r="W1782" i="12"/>
  <c r="V1782" i="12"/>
  <c r="AC1781" i="12"/>
  <c r="AB1781" i="12"/>
  <c r="AA1781" i="12"/>
  <c r="Z1781" i="12"/>
  <c r="Y1781" i="12"/>
  <c r="X1781" i="12"/>
  <c r="W1781" i="12"/>
  <c r="V1781" i="12"/>
  <c r="AC1780" i="12"/>
  <c r="AB1780" i="12"/>
  <c r="AA1780" i="12"/>
  <c r="Z1780" i="12"/>
  <c r="Y1780" i="12"/>
  <c r="X1780" i="12"/>
  <c r="W1780" i="12"/>
  <c r="V1780" i="12"/>
  <c r="AC1779" i="12"/>
  <c r="AB1779" i="12"/>
  <c r="AA1779" i="12"/>
  <c r="Z1779" i="12"/>
  <c r="Y1779" i="12"/>
  <c r="X1779" i="12"/>
  <c r="W1779" i="12"/>
  <c r="V1779" i="12"/>
  <c r="AC1778" i="12"/>
  <c r="AB1778" i="12"/>
  <c r="AA1778" i="12"/>
  <c r="Z1778" i="12"/>
  <c r="Y1778" i="12"/>
  <c r="X1778" i="12"/>
  <c r="W1778" i="12"/>
  <c r="V1778" i="12"/>
  <c r="AC1777" i="12"/>
  <c r="AB1777" i="12"/>
  <c r="AA1777" i="12"/>
  <c r="Z1777" i="12"/>
  <c r="Y1777" i="12"/>
  <c r="X1777" i="12"/>
  <c r="W1777" i="12"/>
  <c r="V1777" i="12"/>
  <c r="AC1776" i="12"/>
  <c r="AB1776" i="12"/>
  <c r="AA1776" i="12"/>
  <c r="Z1776" i="12"/>
  <c r="Y1776" i="12"/>
  <c r="X1776" i="12"/>
  <c r="W1776" i="12"/>
  <c r="V1776" i="12"/>
  <c r="AC1775" i="12"/>
  <c r="AB1775" i="12"/>
  <c r="AA1775" i="12"/>
  <c r="Z1775" i="12"/>
  <c r="Y1775" i="12"/>
  <c r="X1775" i="12"/>
  <c r="W1775" i="12"/>
  <c r="V1775" i="12"/>
  <c r="AC1774" i="12"/>
  <c r="AB1774" i="12"/>
  <c r="AA1774" i="12"/>
  <c r="Z1774" i="12"/>
  <c r="Y1774" i="12"/>
  <c r="X1774" i="12"/>
  <c r="W1774" i="12"/>
  <c r="V1774" i="12"/>
  <c r="AC1773" i="12"/>
  <c r="AB1773" i="12"/>
  <c r="AA1773" i="12"/>
  <c r="Z1773" i="12"/>
  <c r="Y1773" i="12"/>
  <c r="X1773" i="12"/>
  <c r="W1773" i="12"/>
  <c r="V1773" i="12"/>
  <c r="AC1772" i="12"/>
  <c r="AB1772" i="12"/>
  <c r="AA1772" i="12"/>
  <c r="Z1772" i="12"/>
  <c r="Y1772" i="12"/>
  <c r="X1772" i="12"/>
  <c r="W1772" i="12"/>
  <c r="V1772" i="12"/>
  <c r="AC1771" i="12"/>
  <c r="AB1771" i="12"/>
  <c r="AA1771" i="12"/>
  <c r="Z1771" i="12"/>
  <c r="Y1771" i="12"/>
  <c r="X1771" i="12"/>
  <c r="W1771" i="12"/>
  <c r="V1771" i="12"/>
  <c r="AC1770" i="12"/>
  <c r="AB1770" i="12"/>
  <c r="AA1770" i="12"/>
  <c r="Z1770" i="12"/>
  <c r="Y1770" i="12"/>
  <c r="X1770" i="12"/>
  <c r="W1770" i="12"/>
  <c r="V1770" i="12"/>
  <c r="AC1769" i="12"/>
  <c r="AB1769" i="12"/>
  <c r="AA1769" i="12"/>
  <c r="Z1769" i="12"/>
  <c r="Y1769" i="12"/>
  <c r="X1769" i="12"/>
  <c r="W1769" i="12"/>
  <c r="V1769" i="12"/>
  <c r="AC1768" i="12"/>
  <c r="AB1768" i="12"/>
  <c r="AA1768" i="12"/>
  <c r="Z1768" i="12"/>
  <c r="Y1768" i="12"/>
  <c r="X1768" i="12"/>
  <c r="W1768" i="12"/>
  <c r="V1768" i="12"/>
  <c r="AC1767" i="12"/>
  <c r="AB1767" i="12"/>
  <c r="AA1767" i="12"/>
  <c r="Z1767" i="12"/>
  <c r="Y1767" i="12"/>
  <c r="X1767" i="12"/>
  <c r="W1767" i="12"/>
  <c r="V1767" i="12"/>
  <c r="AC1766" i="12"/>
  <c r="AB1766" i="12"/>
  <c r="AA1766" i="12"/>
  <c r="Z1766" i="12"/>
  <c r="Y1766" i="12"/>
  <c r="X1766" i="12"/>
  <c r="W1766" i="12"/>
  <c r="V1766" i="12"/>
  <c r="AC1765" i="12"/>
  <c r="AB1765" i="12"/>
  <c r="AA1765" i="12"/>
  <c r="Z1765" i="12"/>
  <c r="Y1765" i="12"/>
  <c r="X1765" i="12"/>
  <c r="W1765" i="12"/>
  <c r="V1765" i="12"/>
  <c r="AC1764" i="12"/>
  <c r="AB1764" i="12"/>
  <c r="AA1764" i="12"/>
  <c r="Z1764" i="12"/>
  <c r="Y1764" i="12"/>
  <c r="X1764" i="12"/>
  <c r="W1764" i="12"/>
  <c r="V1764" i="12"/>
  <c r="AC1763" i="12"/>
  <c r="AB1763" i="12"/>
  <c r="AA1763" i="12"/>
  <c r="Z1763" i="12"/>
  <c r="Y1763" i="12"/>
  <c r="X1763" i="12"/>
  <c r="W1763" i="12"/>
  <c r="V1763" i="12"/>
  <c r="AC1762" i="12"/>
  <c r="AB1762" i="12"/>
  <c r="AA1762" i="12"/>
  <c r="Z1762" i="12"/>
  <c r="Y1762" i="12"/>
  <c r="X1762" i="12"/>
  <c r="W1762" i="12"/>
  <c r="V1762" i="12"/>
  <c r="AC1761" i="12"/>
  <c r="AB1761" i="12"/>
  <c r="AA1761" i="12"/>
  <c r="Z1761" i="12"/>
  <c r="Y1761" i="12"/>
  <c r="X1761" i="12"/>
  <c r="W1761" i="12"/>
  <c r="V1761" i="12"/>
  <c r="AC1760" i="12"/>
  <c r="AB1760" i="12"/>
  <c r="AA1760" i="12"/>
  <c r="Z1760" i="12"/>
  <c r="Y1760" i="12"/>
  <c r="X1760" i="12"/>
  <c r="W1760" i="12"/>
  <c r="V1760" i="12"/>
  <c r="AC1759" i="12"/>
  <c r="AB1759" i="12"/>
  <c r="AA1759" i="12"/>
  <c r="Z1759" i="12"/>
  <c r="Y1759" i="12"/>
  <c r="X1759" i="12"/>
  <c r="W1759" i="12"/>
  <c r="V1759" i="12"/>
  <c r="AC1758" i="12"/>
  <c r="AB1758" i="12"/>
  <c r="AA1758" i="12"/>
  <c r="Z1758" i="12"/>
  <c r="Y1758" i="12"/>
  <c r="X1758" i="12"/>
  <c r="W1758" i="12"/>
  <c r="V1758" i="12"/>
  <c r="AC1757" i="12"/>
  <c r="AB1757" i="12"/>
  <c r="AA1757" i="12"/>
  <c r="Z1757" i="12"/>
  <c r="Y1757" i="12"/>
  <c r="X1757" i="12"/>
  <c r="W1757" i="12"/>
  <c r="V1757" i="12"/>
  <c r="AC1756" i="12"/>
  <c r="AB1756" i="12"/>
  <c r="AA1756" i="12"/>
  <c r="Z1756" i="12"/>
  <c r="Y1756" i="12"/>
  <c r="X1756" i="12"/>
  <c r="W1756" i="12"/>
  <c r="V1756" i="12"/>
  <c r="AC1755" i="12"/>
  <c r="AB1755" i="12"/>
  <c r="AA1755" i="12"/>
  <c r="Z1755" i="12"/>
  <c r="Y1755" i="12"/>
  <c r="X1755" i="12"/>
  <c r="W1755" i="12"/>
  <c r="V1755" i="12"/>
  <c r="AC1754" i="12"/>
  <c r="AB1754" i="12"/>
  <c r="AA1754" i="12"/>
  <c r="Z1754" i="12"/>
  <c r="Y1754" i="12"/>
  <c r="X1754" i="12"/>
  <c r="W1754" i="12"/>
  <c r="V1754" i="12"/>
  <c r="AC1753" i="12"/>
  <c r="AB1753" i="12"/>
  <c r="AA1753" i="12"/>
  <c r="Z1753" i="12"/>
  <c r="Y1753" i="12"/>
  <c r="X1753" i="12"/>
  <c r="W1753" i="12"/>
  <c r="V1753" i="12"/>
  <c r="AC1752" i="12"/>
  <c r="AB1752" i="12"/>
  <c r="AA1752" i="12"/>
  <c r="Z1752" i="12"/>
  <c r="Y1752" i="12"/>
  <c r="X1752" i="12"/>
  <c r="W1752" i="12"/>
  <c r="V1752" i="12"/>
  <c r="AC1751" i="12"/>
  <c r="AB1751" i="12"/>
  <c r="AA1751" i="12"/>
  <c r="Z1751" i="12"/>
  <c r="Y1751" i="12"/>
  <c r="X1751" i="12"/>
  <c r="W1751" i="12"/>
  <c r="V1751" i="12"/>
  <c r="AC1750" i="12"/>
  <c r="AB1750" i="12"/>
  <c r="AA1750" i="12"/>
  <c r="Z1750" i="12"/>
  <c r="Y1750" i="12"/>
  <c r="X1750" i="12"/>
  <c r="W1750" i="12"/>
  <c r="V1750" i="12"/>
  <c r="AC1749" i="12"/>
  <c r="AB1749" i="12"/>
  <c r="AA1749" i="12"/>
  <c r="Z1749" i="12"/>
  <c r="Y1749" i="12"/>
  <c r="X1749" i="12"/>
  <c r="W1749" i="12"/>
  <c r="V1749" i="12"/>
  <c r="AC1748" i="12"/>
  <c r="AB1748" i="12"/>
  <c r="AA1748" i="12"/>
  <c r="Z1748" i="12"/>
  <c r="Y1748" i="12"/>
  <c r="X1748" i="12"/>
  <c r="W1748" i="12"/>
  <c r="V1748" i="12"/>
  <c r="AC1747" i="12"/>
  <c r="AB1747" i="12"/>
  <c r="AA1747" i="12"/>
  <c r="Z1747" i="12"/>
  <c r="Y1747" i="12"/>
  <c r="X1747" i="12"/>
  <c r="W1747" i="12"/>
  <c r="V1747" i="12"/>
  <c r="AC1746" i="12"/>
  <c r="AB1746" i="12"/>
  <c r="AA1746" i="12"/>
  <c r="Z1746" i="12"/>
  <c r="Y1746" i="12"/>
  <c r="X1746" i="12"/>
  <c r="W1746" i="12"/>
  <c r="V1746" i="12"/>
  <c r="AC1745" i="12"/>
  <c r="AB1745" i="12"/>
  <c r="AA1745" i="12"/>
  <c r="Z1745" i="12"/>
  <c r="Y1745" i="12"/>
  <c r="X1745" i="12"/>
  <c r="W1745" i="12"/>
  <c r="V1745" i="12"/>
  <c r="AC1744" i="12"/>
  <c r="AB1744" i="12"/>
  <c r="AA1744" i="12"/>
  <c r="Z1744" i="12"/>
  <c r="Y1744" i="12"/>
  <c r="X1744" i="12"/>
  <c r="W1744" i="12"/>
  <c r="V1744" i="12"/>
  <c r="AC1743" i="12"/>
  <c r="AB1743" i="12"/>
  <c r="AA1743" i="12"/>
  <c r="Z1743" i="12"/>
  <c r="Y1743" i="12"/>
  <c r="X1743" i="12"/>
  <c r="W1743" i="12"/>
  <c r="V1743" i="12"/>
  <c r="AC1742" i="12"/>
  <c r="AB1742" i="12"/>
  <c r="AA1742" i="12"/>
  <c r="Z1742" i="12"/>
  <c r="Y1742" i="12"/>
  <c r="X1742" i="12"/>
  <c r="W1742" i="12"/>
  <c r="V1742" i="12"/>
  <c r="AC1741" i="12"/>
  <c r="AB1741" i="12"/>
  <c r="AA1741" i="12"/>
  <c r="Z1741" i="12"/>
  <c r="Y1741" i="12"/>
  <c r="X1741" i="12"/>
  <c r="W1741" i="12"/>
  <c r="V1741" i="12"/>
  <c r="AC1740" i="12"/>
  <c r="AB1740" i="12"/>
  <c r="AA1740" i="12"/>
  <c r="Z1740" i="12"/>
  <c r="Y1740" i="12"/>
  <c r="X1740" i="12"/>
  <c r="W1740" i="12"/>
  <c r="V1740" i="12"/>
  <c r="AC1739" i="12"/>
  <c r="AB1739" i="12"/>
  <c r="AA1739" i="12"/>
  <c r="Z1739" i="12"/>
  <c r="Y1739" i="12"/>
  <c r="X1739" i="12"/>
  <c r="W1739" i="12"/>
  <c r="V1739" i="12"/>
  <c r="AC1738" i="12"/>
  <c r="AB1738" i="12"/>
  <c r="AA1738" i="12"/>
  <c r="Z1738" i="12"/>
  <c r="Y1738" i="12"/>
  <c r="X1738" i="12"/>
  <c r="W1738" i="12"/>
  <c r="V1738" i="12"/>
  <c r="AC1737" i="12"/>
  <c r="AB1737" i="12"/>
  <c r="AA1737" i="12"/>
  <c r="Z1737" i="12"/>
  <c r="Y1737" i="12"/>
  <c r="X1737" i="12"/>
  <c r="W1737" i="12"/>
  <c r="V1737" i="12"/>
  <c r="AC1736" i="12"/>
  <c r="AB1736" i="12"/>
  <c r="AA1736" i="12"/>
  <c r="Z1736" i="12"/>
  <c r="Y1736" i="12"/>
  <c r="X1736" i="12"/>
  <c r="W1736" i="12"/>
  <c r="V1736" i="12"/>
  <c r="AC1735" i="12"/>
  <c r="AB1735" i="12"/>
  <c r="AA1735" i="12"/>
  <c r="Z1735" i="12"/>
  <c r="Y1735" i="12"/>
  <c r="X1735" i="12"/>
  <c r="W1735" i="12"/>
  <c r="V1735" i="12"/>
  <c r="AC1734" i="12"/>
  <c r="AB1734" i="12"/>
  <c r="AA1734" i="12"/>
  <c r="Z1734" i="12"/>
  <c r="Y1734" i="12"/>
  <c r="X1734" i="12"/>
  <c r="W1734" i="12"/>
  <c r="V1734" i="12"/>
  <c r="AC1733" i="12"/>
  <c r="AB1733" i="12"/>
  <c r="AA1733" i="12"/>
  <c r="Z1733" i="12"/>
  <c r="Y1733" i="12"/>
  <c r="X1733" i="12"/>
  <c r="W1733" i="12"/>
  <c r="V1733" i="12"/>
  <c r="AC1732" i="12"/>
  <c r="AB1732" i="12"/>
  <c r="AA1732" i="12"/>
  <c r="Z1732" i="12"/>
  <c r="Y1732" i="12"/>
  <c r="X1732" i="12"/>
  <c r="W1732" i="12"/>
  <c r="V1732" i="12"/>
  <c r="AC1731" i="12"/>
  <c r="AB1731" i="12"/>
  <c r="AA1731" i="12"/>
  <c r="Z1731" i="12"/>
  <c r="Y1731" i="12"/>
  <c r="X1731" i="12"/>
  <c r="W1731" i="12"/>
  <c r="V1731" i="12"/>
  <c r="AC1730" i="12"/>
  <c r="AB1730" i="12"/>
  <c r="AA1730" i="12"/>
  <c r="Z1730" i="12"/>
  <c r="Y1730" i="12"/>
  <c r="X1730" i="12"/>
  <c r="W1730" i="12"/>
  <c r="V1730" i="12"/>
  <c r="AC1729" i="12"/>
  <c r="AB1729" i="12"/>
  <c r="AA1729" i="12"/>
  <c r="Z1729" i="12"/>
  <c r="Y1729" i="12"/>
  <c r="X1729" i="12"/>
  <c r="W1729" i="12"/>
  <c r="V1729" i="12"/>
  <c r="AC1728" i="12"/>
  <c r="AB1728" i="12"/>
  <c r="AA1728" i="12"/>
  <c r="Z1728" i="12"/>
  <c r="Y1728" i="12"/>
  <c r="X1728" i="12"/>
  <c r="W1728" i="12"/>
  <c r="V1728" i="12"/>
  <c r="AC1727" i="12"/>
  <c r="AB1727" i="12"/>
  <c r="AA1727" i="12"/>
  <c r="Z1727" i="12"/>
  <c r="Y1727" i="12"/>
  <c r="X1727" i="12"/>
  <c r="W1727" i="12"/>
  <c r="V1727" i="12"/>
  <c r="AC1726" i="12"/>
  <c r="AB1726" i="12"/>
  <c r="AA1726" i="12"/>
  <c r="Z1726" i="12"/>
  <c r="Y1726" i="12"/>
  <c r="X1726" i="12"/>
  <c r="W1726" i="12"/>
  <c r="V1726" i="12"/>
  <c r="AC1725" i="12"/>
  <c r="AB1725" i="12"/>
  <c r="AA1725" i="12"/>
  <c r="Z1725" i="12"/>
  <c r="Y1725" i="12"/>
  <c r="X1725" i="12"/>
  <c r="W1725" i="12"/>
  <c r="V1725" i="12"/>
  <c r="AC1724" i="12"/>
  <c r="AB1724" i="12"/>
  <c r="AA1724" i="12"/>
  <c r="Z1724" i="12"/>
  <c r="Y1724" i="12"/>
  <c r="X1724" i="12"/>
  <c r="W1724" i="12"/>
  <c r="V1724" i="12"/>
  <c r="AC1723" i="12"/>
  <c r="AB1723" i="12"/>
  <c r="AA1723" i="12"/>
  <c r="Z1723" i="12"/>
  <c r="Y1723" i="12"/>
  <c r="X1723" i="12"/>
  <c r="W1723" i="12"/>
  <c r="V1723" i="12"/>
  <c r="AC1722" i="12"/>
  <c r="AB1722" i="12"/>
  <c r="AA1722" i="12"/>
  <c r="Z1722" i="12"/>
  <c r="Y1722" i="12"/>
  <c r="X1722" i="12"/>
  <c r="W1722" i="12"/>
  <c r="V1722" i="12"/>
  <c r="AC1721" i="12"/>
  <c r="AB1721" i="12"/>
  <c r="AA1721" i="12"/>
  <c r="Z1721" i="12"/>
  <c r="Y1721" i="12"/>
  <c r="X1721" i="12"/>
  <c r="W1721" i="12"/>
  <c r="V1721" i="12"/>
  <c r="AC1720" i="12"/>
  <c r="AB1720" i="12"/>
  <c r="AA1720" i="12"/>
  <c r="Z1720" i="12"/>
  <c r="Y1720" i="12"/>
  <c r="X1720" i="12"/>
  <c r="W1720" i="12"/>
  <c r="V1720" i="12"/>
  <c r="AC1719" i="12"/>
  <c r="AB1719" i="12"/>
  <c r="AA1719" i="12"/>
  <c r="Z1719" i="12"/>
  <c r="Y1719" i="12"/>
  <c r="X1719" i="12"/>
  <c r="W1719" i="12"/>
  <c r="V1719" i="12"/>
  <c r="AC1718" i="12"/>
  <c r="AB1718" i="12"/>
  <c r="AA1718" i="12"/>
  <c r="Z1718" i="12"/>
  <c r="Y1718" i="12"/>
  <c r="X1718" i="12"/>
  <c r="W1718" i="12"/>
  <c r="V1718" i="12"/>
  <c r="AC1717" i="12"/>
  <c r="AB1717" i="12"/>
  <c r="AA1717" i="12"/>
  <c r="Z1717" i="12"/>
  <c r="Y1717" i="12"/>
  <c r="X1717" i="12"/>
  <c r="W1717" i="12"/>
  <c r="V1717" i="12"/>
  <c r="AC1716" i="12"/>
  <c r="AB1716" i="12"/>
  <c r="AA1716" i="12"/>
  <c r="Z1716" i="12"/>
  <c r="Y1716" i="12"/>
  <c r="X1716" i="12"/>
  <c r="W1716" i="12"/>
  <c r="V1716" i="12"/>
  <c r="AC1715" i="12"/>
  <c r="AB1715" i="12"/>
  <c r="AA1715" i="12"/>
  <c r="Z1715" i="12"/>
  <c r="Y1715" i="12"/>
  <c r="X1715" i="12"/>
  <c r="W1715" i="12"/>
  <c r="V1715" i="12"/>
  <c r="AC1714" i="12"/>
  <c r="AB1714" i="12"/>
  <c r="AA1714" i="12"/>
  <c r="Z1714" i="12"/>
  <c r="Y1714" i="12"/>
  <c r="X1714" i="12"/>
  <c r="W1714" i="12"/>
  <c r="V1714" i="12"/>
  <c r="AC1713" i="12"/>
  <c r="AB1713" i="12"/>
  <c r="AA1713" i="12"/>
  <c r="Z1713" i="12"/>
  <c r="Y1713" i="12"/>
  <c r="X1713" i="12"/>
  <c r="W1713" i="12"/>
  <c r="V1713" i="12"/>
  <c r="AC1712" i="12"/>
  <c r="AB1712" i="12"/>
  <c r="AA1712" i="12"/>
  <c r="Z1712" i="12"/>
  <c r="Y1712" i="12"/>
  <c r="X1712" i="12"/>
  <c r="W1712" i="12"/>
  <c r="V1712" i="12"/>
  <c r="AC1711" i="12"/>
  <c r="AB1711" i="12"/>
  <c r="AA1711" i="12"/>
  <c r="Z1711" i="12"/>
  <c r="Y1711" i="12"/>
  <c r="X1711" i="12"/>
  <c r="W1711" i="12"/>
  <c r="V1711" i="12"/>
  <c r="AC1710" i="12"/>
  <c r="AB1710" i="12"/>
  <c r="AA1710" i="12"/>
  <c r="Z1710" i="12"/>
  <c r="Y1710" i="12"/>
  <c r="X1710" i="12"/>
  <c r="W1710" i="12"/>
  <c r="V1710" i="12"/>
  <c r="AC1709" i="12"/>
  <c r="AB1709" i="12"/>
  <c r="AA1709" i="12"/>
  <c r="Z1709" i="12"/>
  <c r="Y1709" i="12"/>
  <c r="X1709" i="12"/>
  <c r="W1709" i="12"/>
  <c r="V1709" i="12"/>
  <c r="AC1708" i="12"/>
  <c r="AB1708" i="12"/>
  <c r="AA1708" i="12"/>
  <c r="Z1708" i="12"/>
  <c r="Y1708" i="12"/>
  <c r="X1708" i="12"/>
  <c r="W1708" i="12"/>
  <c r="V1708" i="12"/>
  <c r="AC1707" i="12"/>
  <c r="AB1707" i="12"/>
  <c r="AA1707" i="12"/>
  <c r="Z1707" i="12"/>
  <c r="Y1707" i="12"/>
  <c r="X1707" i="12"/>
  <c r="W1707" i="12"/>
  <c r="V1707" i="12"/>
  <c r="AC1706" i="12"/>
  <c r="AB1706" i="12"/>
  <c r="AA1706" i="12"/>
  <c r="Z1706" i="12"/>
  <c r="Y1706" i="12"/>
  <c r="X1706" i="12"/>
  <c r="W1706" i="12"/>
  <c r="V1706" i="12"/>
  <c r="AC1705" i="12"/>
  <c r="AB1705" i="12"/>
  <c r="AA1705" i="12"/>
  <c r="Z1705" i="12"/>
  <c r="Y1705" i="12"/>
  <c r="X1705" i="12"/>
  <c r="W1705" i="12"/>
  <c r="V1705" i="12"/>
  <c r="AC1704" i="12"/>
  <c r="AB1704" i="12"/>
  <c r="AA1704" i="12"/>
  <c r="Z1704" i="12"/>
  <c r="Y1704" i="12"/>
  <c r="X1704" i="12"/>
  <c r="W1704" i="12"/>
  <c r="V1704" i="12"/>
  <c r="AC1703" i="12"/>
  <c r="AB1703" i="12"/>
  <c r="AA1703" i="12"/>
  <c r="Z1703" i="12"/>
  <c r="Y1703" i="12"/>
  <c r="X1703" i="12"/>
  <c r="W1703" i="12"/>
  <c r="V1703" i="12"/>
  <c r="AC1702" i="12"/>
  <c r="AB1702" i="12"/>
  <c r="AA1702" i="12"/>
  <c r="Z1702" i="12"/>
  <c r="Y1702" i="12"/>
  <c r="X1702" i="12"/>
  <c r="W1702" i="12"/>
  <c r="V1702" i="12"/>
  <c r="AC1701" i="12"/>
  <c r="AB1701" i="12"/>
  <c r="AA1701" i="12"/>
  <c r="Z1701" i="12"/>
  <c r="Y1701" i="12"/>
  <c r="X1701" i="12"/>
  <c r="W1701" i="12"/>
  <c r="V1701" i="12"/>
  <c r="AC1700" i="12"/>
  <c r="AB1700" i="12"/>
  <c r="AA1700" i="12"/>
  <c r="Z1700" i="12"/>
  <c r="Y1700" i="12"/>
  <c r="X1700" i="12"/>
  <c r="W1700" i="12"/>
  <c r="V1700" i="12"/>
  <c r="AC1699" i="12"/>
  <c r="AB1699" i="12"/>
  <c r="AA1699" i="12"/>
  <c r="Z1699" i="12"/>
  <c r="Y1699" i="12"/>
  <c r="X1699" i="12"/>
  <c r="W1699" i="12"/>
  <c r="V1699" i="12"/>
  <c r="AC1698" i="12"/>
  <c r="AB1698" i="12"/>
  <c r="AA1698" i="12"/>
  <c r="Z1698" i="12"/>
  <c r="Y1698" i="12"/>
  <c r="X1698" i="12"/>
  <c r="W1698" i="12"/>
  <c r="V1698" i="12"/>
  <c r="AC1697" i="12"/>
  <c r="AB1697" i="12"/>
  <c r="AA1697" i="12"/>
  <c r="Z1697" i="12"/>
  <c r="Y1697" i="12"/>
  <c r="X1697" i="12"/>
  <c r="W1697" i="12"/>
  <c r="V1697" i="12"/>
  <c r="AC1696" i="12"/>
  <c r="AB1696" i="12"/>
  <c r="AA1696" i="12"/>
  <c r="Z1696" i="12"/>
  <c r="Y1696" i="12"/>
  <c r="X1696" i="12"/>
  <c r="W1696" i="12"/>
  <c r="V1696" i="12"/>
  <c r="AC1695" i="12"/>
  <c r="AB1695" i="12"/>
  <c r="AA1695" i="12"/>
  <c r="Z1695" i="12"/>
  <c r="Y1695" i="12"/>
  <c r="X1695" i="12"/>
  <c r="W1695" i="12"/>
  <c r="V1695" i="12"/>
  <c r="AC1694" i="12"/>
  <c r="AB1694" i="12"/>
  <c r="AA1694" i="12"/>
  <c r="Z1694" i="12"/>
  <c r="Y1694" i="12"/>
  <c r="X1694" i="12"/>
  <c r="W1694" i="12"/>
  <c r="V1694" i="12"/>
  <c r="AC1693" i="12"/>
  <c r="AB1693" i="12"/>
  <c r="AA1693" i="12"/>
  <c r="Z1693" i="12"/>
  <c r="Y1693" i="12"/>
  <c r="X1693" i="12"/>
  <c r="W1693" i="12"/>
  <c r="V1693" i="12"/>
  <c r="AC1692" i="12"/>
  <c r="AB1692" i="12"/>
  <c r="AA1692" i="12"/>
  <c r="Z1692" i="12"/>
  <c r="Y1692" i="12"/>
  <c r="X1692" i="12"/>
  <c r="W1692" i="12"/>
  <c r="V1692" i="12"/>
  <c r="AC1691" i="12"/>
  <c r="AB1691" i="12"/>
  <c r="AA1691" i="12"/>
  <c r="Z1691" i="12"/>
  <c r="Y1691" i="12"/>
  <c r="X1691" i="12"/>
  <c r="W1691" i="12"/>
  <c r="V1691" i="12"/>
  <c r="AC1690" i="12"/>
  <c r="AB1690" i="12"/>
  <c r="AA1690" i="12"/>
  <c r="Z1690" i="12"/>
  <c r="Y1690" i="12"/>
  <c r="X1690" i="12"/>
  <c r="W1690" i="12"/>
  <c r="V1690" i="12"/>
  <c r="AC1689" i="12"/>
  <c r="AB1689" i="12"/>
  <c r="AA1689" i="12"/>
  <c r="Z1689" i="12"/>
  <c r="Y1689" i="12"/>
  <c r="X1689" i="12"/>
  <c r="W1689" i="12"/>
  <c r="V1689" i="12"/>
  <c r="AC1688" i="12"/>
  <c r="AB1688" i="12"/>
  <c r="AA1688" i="12"/>
  <c r="Z1688" i="12"/>
  <c r="Y1688" i="12"/>
  <c r="X1688" i="12"/>
  <c r="W1688" i="12"/>
  <c r="V1688" i="12"/>
  <c r="AC1687" i="12"/>
  <c r="AB1687" i="12"/>
  <c r="AA1687" i="12"/>
  <c r="Z1687" i="12"/>
  <c r="Y1687" i="12"/>
  <c r="X1687" i="12"/>
  <c r="W1687" i="12"/>
  <c r="V1687" i="12"/>
  <c r="AC1686" i="12"/>
  <c r="AB1686" i="12"/>
  <c r="AA1686" i="12"/>
  <c r="Z1686" i="12"/>
  <c r="Y1686" i="12"/>
  <c r="X1686" i="12"/>
  <c r="W1686" i="12"/>
  <c r="V1686" i="12"/>
  <c r="AC1685" i="12"/>
  <c r="AB1685" i="12"/>
  <c r="AA1685" i="12"/>
  <c r="Z1685" i="12"/>
  <c r="Y1685" i="12"/>
  <c r="X1685" i="12"/>
  <c r="W1685" i="12"/>
  <c r="V1685" i="12"/>
  <c r="AC1684" i="12"/>
  <c r="AB1684" i="12"/>
  <c r="AA1684" i="12"/>
  <c r="Z1684" i="12"/>
  <c r="Y1684" i="12"/>
  <c r="X1684" i="12"/>
  <c r="W1684" i="12"/>
  <c r="V1684" i="12"/>
  <c r="AC1683" i="12"/>
  <c r="AB1683" i="12"/>
  <c r="AA1683" i="12"/>
  <c r="Z1683" i="12"/>
  <c r="Y1683" i="12"/>
  <c r="X1683" i="12"/>
  <c r="W1683" i="12"/>
  <c r="V1683" i="12"/>
  <c r="AC1682" i="12"/>
  <c r="AB1682" i="12"/>
  <c r="AA1682" i="12"/>
  <c r="Z1682" i="12"/>
  <c r="Y1682" i="12"/>
  <c r="X1682" i="12"/>
  <c r="W1682" i="12"/>
  <c r="V1682" i="12"/>
  <c r="AC1681" i="12"/>
  <c r="AB1681" i="12"/>
  <c r="AA1681" i="12"/>
  <c r="Z1681" i="12"/>
  <c r="Y1681" i="12"/>
  <c r="X1681" i="12"/>
  <c r="W1681" i="12"/>
  <c r="V1681" i="12"/>
  <c r="AC1680" i="12"/>
  <c r="AB1680" i="12"/>
  <c r="AA1680" i="12"/>
  <c r="Z1680" i="12"/>
  <c r="Y1680" i="12"/>
  <c r="X1680" i="12"/>
  <c r="W1680" i="12"/>
  <c r="V1680" i="12"/>
  <c r="AC1679" i="12"/>
  <c r="AB1679" i="12"/>
  <c r="AA1679" i="12"/>
  <c r="Z1679" i="12"/>
  <c r="Y1679" i="12"/>
  <c r="X1679" i="12"/>
  <c r="W1679" i="12"/>
  <c r="V1679" i="12"/>
  <c r="AC1678" i="12"/>
  <c r="AB1678" i="12"/>
  <c r="AA1678" i="12"/>
  <c r="Z1678" i="12"/>
  <c r="Y1678" i="12"/>
  <c r="X1678" i="12"/>
  <c r="W1678" i="12"/>
  <c r="V1678" i="12"/>
  <c r="AC1677" i="12"/>
  <c r="AB1677" i="12"/>
  <c r="AA1677" i="12"/>
  <c r="Z1677" i="12"/>
  <c r="Y1677" i="12"/>
  <c r="X1677" i="12"/>
  <c r="W1677" i="12"/>
  <c r="V1677" i="12"/>
  <c r="AC1676" i="12"/>
  <c r="AB1676" i="12"/>
  <c r="AA1676" i="12"/>
  <c r="Z1676" i="12"/>
  <c r="Y1676" i="12"/>
  <c r="X1676" i="12"/>
  <c r="W1676" i="12"/>
  <c r="V1676" i="12"/>
  <c r="AC1675" i="12"/>
  <c r="AB1675" i="12"/>
  <c r="AA1675" i="12"/>
  <c r="Z1675" i="12"/>
  <c r="Y1675" i="12"/>
  <c r="X1675" i="12"/>
  <c r="W1675" i="12"/>
  <c r="V1675" i="12"/>
  <c r="AC1674" i="12"/>
  <c r="AB1674" i="12"/>
  <c r="AA1674" i="12"/>
  <c r="Z1674" i="12"/>
  <c r="Y1674" i="12"/>
  <c r="X1674" i="12"/>
  <c r="W1674" i="12"/>
  <c r="V1674" i="12"/>
  <c r="AC1673" i="12"/>
  <c r="AB1673" i="12"/>
  <c r="AA1673" i="12"/>
  <c r="Z1673" i="12"/>
  <c r="Y1673" i="12"/>
  <c r="X1673" i="12"/>
  <c r="W1673" i="12"/>
  <c r="V1673" i="12"/>
  <c r="AC1672" i="12"/>
  <c r="AB1672" i="12"/>
  <c r="AA1672" i="12"/>
  <c r="Z1672" i="12"/>
  <c r="Y1672" i="12"/>
  <c r="X1672" i="12"/>
  <c r="W1672" i="12"/>
  <c r="V1672" i="12"/>
  <c r="AC1671" i="12"/>
  <c r="AB1671" i="12"/>
  <c r="AA1671" i="12"/>
  <c r="Z1671" i="12"/>
  <c r="Y1671" i="12"/>
  <c r="X1671" i="12"/>
  <c r="W1671" i="12"/>
  <c r="V1671" i="12"/>
  <c r="AC1670" i="12"/>
  <c r="AB1670" i="12"/>
  <c r="AA1670" i="12"/>
  <c r="Z1670" i="12"/>
  <c r="Y1670" i="12"/>
  <c r="X1670" i="12"/>
  <c r="W1670" i="12"/>
  <c r="V1670" i="12"/>
  <c r="AC1669" i="12"/>
  <c r="AB1669" i="12"/>
  <c r="AA1669" i="12"/>
  <c r="Z1669" i="12"/>
  <c r="Y1669" i="12"/>
  <c r="X1669" i="12"/>
  <c r="W1669" i="12"/>
  <c r="V1669" i="12"/>
  <c r="AC1668" i="12"/>
  <c r="AB1668" i="12"/>
  <c r="AA1668" i="12"/>
  <c r="Z1668" i="12"/>
  <c r="Y1668" i="12"/>
  <c r="X1668" i="12"/>
  <c r="W1668" i="12"/>
  <c r="V1668" i="12"/>
  <c r="AC1667" i="12"/>
  <c r="AB1667" i="12"/>
  <c r="AA1667" i="12"/>
  <c r="Z1667" i="12"/>
  <c r="Y1667" i="12"/>
  <c r="X1667" i="12"/>
  <c r="W1667" i="12"/>
  <c r="V1667" i="12"/>
  <c r="AC1666" i="12"/>
  <c r="AB1666" i="12"/>
  <c r="AA1666" i="12"/>
  <c r="Z1666" i="12"/>
  <c r="Y1666" i="12"/>
  <c r="X1666" i="12"/>
  <c r="W1666" i="12"/>
  <c r="V1666" i="12"/>
  <c r="AC1665" i="12"/>
  <c r="AB1665" i="12"/>
  <c r="AA1665" i="12"/>
  <c r="Z1665" i="12"/>
  <c r="Y1665" i="12"/>
  <c r="X1665" i="12"/>
  <c r="W1665" i="12"/>
  <c r="V1665" i="12"/>
  <c r="AC1664" i="12"/>
  <c r="AB1664" i="12"/>
  <c r="AA1664" i="12"/>
  <c r="Z1664" i="12"/>
  <c r="Y1664" i="12"/>
  <c r="X1664" i="12"/>
  <c r="W1664" i="12"/>
  <c r="V1664" i="12"/>
  <c r="AC1663" i="12"/>
  <c r="AB1663" i="12"/>
  <c r="AA1663" i="12"/>
  <c r="Z1663" i="12"/>
  <c r="Y1663" i="12"/>
  <c r="X1663" i="12"/>
  <c r="W1663" i="12"/>
  <c r="V1663" i="12"/>
  <c r="AC1662" i="12"/>
  <c r="AB1662" i="12"/>
  <c r="AA1662" i="12"/>
  <c r="Z1662" i="12"/>
  <c r="Y1662" i="12"/>
  <c r="X1662" i="12"/>
  <c r="W1662" i="12"/>
  <c r="V1662" i="12"/>
  <c r="AC1661" i="12"/>
  <c r="AB1661" i="12"/>
  <c r="AA1661" i="12"/>
  <c r="Z1661" i="12"/>
  <c r="Y1661" i="12"/>
  <c r="X1661" i="12"/>
  <c r="W1661" i="12"/>
  <c r="V1661" i="12"/>
  <c r="AC1660" i="12"/>
  <c r="AB1660" i="12"/>
  <c r="AA1660" i="12"/>
  <c r="Z1660" i="12"/>
  <c r="Y1660" i="12"/>
  <c r="X1660" i="12"/>
  <c r="W1660" i="12"/>
  <c r="V1660" i="12"/>
  <c r="AC1659" i="12"/>
  <c r="AB1659" i="12"/>
  <c r="AA1659" i="12"/>
  <c r="Z1659" i="12"/>
  <c r="Y1659" i="12"/>
  <c r="X1659" i="12"/>
  <c r="W1659" i="12"/>
  <c r="V1659" i="12"/>
  <c r="AC1658" i="12"/>
  <c r="AB1658" i="12"/>
  <c r="AA1658" i="12"/>
  <c r="Z1658" i="12"/>
  <c r="Y1658" i="12"/>
  <c r="X1658" i="12"/>
  <c r="W1658" i="12"/>
  <c r="V1658" i="12"/>
  <c r="AC1657" i="12"/>
  <c r="AB1657" i="12"/>
  <c r="AA1657" i="12"/>
  <c r="Z1657" i="12"/>
  <c r="Y1657" i="12"/>
  <c r="X1657" i="12"/>
  <c r="W1657" i="12"/>
  <c r="V1657" i="12"/>
  <c r="AC1656" i="12"/>
  <c r="AB1656" i="12"/>
  <c r="AA1656" i="12"/>
  <c r="Z1656" i="12"/>
  <c r="Y1656" i="12"/>
  <c r="X1656" i="12"/>
  <c r="W1656" i="12"/>
  <c r="V1656" i="12"/>
  <c r="AC1655" i="12"/>
  <c r="AB1655" i="12"/>
  <c r="AA1655" i="12"/>
  <c r="Z1655" i="12"/>
  <c r="Y1655" i="12"/>
  <c r="X1655" i="12"/>
  <c r="W1655" i="12"/>
  <c r="V1655" i="12"/>
  <c r="AC1654" i="12"/>
  <c r="AB1654" i="12"/>
  <c r="AA1654" i="12"/>
  <c r="Z1654" i="12"/>
  <c r="Y1654" i="12"/>
  <c r="X1654" i="12"/>
  <c r="W1654" i="12"/>
  <c r="V1654" i="12"/>
  <c r="AC1653" i="12"/>
  <c r="AB1653" i="12"/>
  <c r="AA1653" i="12"/>
  <c r="Z1653" i="12"/>
  <c r="Y1653" i="12"/>
  <c r="X1653" i="12"/>
  <c r="W1653" i="12"/>
  <c r="V1653" i="12"/>
  <c r="AC1652" i="12"/>
  <c r="AB1652" i="12"/>
  <c r="AA1652" i="12"/>
  <c r="Z1652" i="12"/>
  <c r="Y1652" i="12"/>
  <c r="X1652" i="12"/>
  <c r="W1652" i="12"/>
  <c r="V1652" i="12"/>
  <c r="AC1651" i="12"/>
  <c r="AB1651" i="12"/>
  <c r="AA1651" i="12"/>
  <c r="Z1651" i="12"/>
  <c r="Y1651" i="12"/>
  <c r="X1651" i="12"/>
  <c r="W1651" i="12"/>
  <c r="V1651" i="12"/>
  <c r="AC1650" i="12"/>
  <c r="AB1650" i="12"/>
  <c r="AA1650" i="12"/>
  <c r="Z1650" i="12"/>
  <c r="Y1650" i="12"/>
  <c r="X1650" i="12"/>
  <c r="W1650" i="12"/>
  <c r="V1650" i="12"/>
  <c r="AC1649" i="12"/>
  <c r="AB1649" i="12"/>
  <c r="AA1649" i="12"/>
  <c r="Z1649" i="12"/>
  <c r="Y1649" i="12"/>
  <c r="X1649" i="12"/>
  <c r="W1649" i="12"/>
  <c r="V1649" i="12"/>
  <c r="AC1648" i="12"/>
  <c r="AB1648" i="12"/>
  <c r="AA1648" i="12"/>
  <c r="Z1648" i="12"/>
  <c r="Y1648" i="12"/>
  <c r="X1648" i="12"/>
  <c r="W1648" i="12"/>
  <c r="V1648" i="12"/>
  <c r="AC1647" i="12"/>
  <c r="AB1647" i="12"/>
  <c r="AA1647" i="12"/>
  <c r="Z1647" i="12"/>
  <c r="Y1647" i="12"/>
  <c r="X1647" i="12"/>
  <c r="W1647" i="12"/>
  <c r="V1647" i="12"/>
  <c r="AC1646" i="12"/>
  <c r="AB1646" i="12"/>
  <c r="AA1646" i="12"/>
  <c r="Z1646" i="12"/>
  <c r="Y1646" i="12"/>
  <c r="X1646" i="12"/>
  <c r="W1646" i="12"/>
  <c r="V1646" i="12"/>
  <c r="AC1645" i="12"/>
  <c r="AB1645" i="12"/>
  <c r="AA1645" i="12"/>
  <c r="Z1645" i="12"/>
  <c r="Y1645" i="12"/>
  <c r="X1645" i="12"/>
  <c r="W1645" i="12"/>
  <c r="V1645" i="12"/>
  <c r="AC1644" i="12"/>
  <c r="AB1644" i="12"/>
  <c r="AA1644" i="12"/>
  <c r="Z1644" i="12"/>
  <c r="Y1644" i="12"/>
  <c r="X1644" i="12"/>
  <c r="W1644" i="12"/>
  <c r="V1644" i="12"/>
  <c r="AC1643" i="12"/>
  <c r="AB1643" i="12"/>
  <c r="AA1643" i="12"/>
  <c r="Z1643" i="12"/>
  <c r="Y1643" i="12"/>
  <c r="X1643" i="12"/>
  <c r="W1643" i="12"/>
  <c r="V1643" i="12"/>
  <c r="AC1642" i="12"/>
  <c r="AB1642" i="12"/>
  <c r="AA1642" i="12"/>
  <c r="Z1642" i="12"/>
  <c r="Y1642" i="12"/>
  <c r="X1642" i="12"/>
  <c r="W1642" i="12"/>
  <c r="V1642" i="12"/>
  <c r="AC1641" i="12"/>
  <c r="AB1641" i="12"/>
  <c r="AA1641" i="12"/>
  <c r="Z1641" i="12"/>
  <c r="Y1641" i="12"/>
  <c r="X1641" i="12"/>
  <c r="W1641" i="12"/>
  <c r="V1641" i="12"/>
  <c r="AC1640" i="12"/>
  <c r="AB1640" i="12"/>
  <c r="AA1640" i="12"/>
  <c r="Z1640" i="12"/>
  <c r="Y1640" i="12"/>
  <c r="X1640" i="12"/>
  <c r="W1640" i="12"/>
  <c r="V1640" i="12"/>
  <c r="AC1639" i="12"/>
  <c r="AB1639" i="12"/>
  <c r="AA1639" i="12"/>
  <c r="Z1639" i="12"/>
  <c r="Y1639" i="12"/>
  <c r="X1639" i="12"/>
  <c r="W1639" i="12"/>
  <c r="V1639" i="12"/>
  <c r="AC1638" i="12"/>
  <c r="AB1638" i="12"/>
  <c r="AA1638" i="12"/>
  <c r="Z1638" i="12"/>
  <c r="Y1638" i="12"/>
  <c r="X1638" i="12"/>
  <c r="W1638" i="12"/>
  <c r="V1638" i="12"/>
  <c r="AC1637" i="12"/>
  <c r="AB1637" i="12"/>
  <c r="AA1637" i="12"/>
  <c r="Z1637" i="12"/>
  <c r="Y1637" i="12"/>
  <c r="X1637" i="12"/>
  <c r="W1637" i="12"/>
  <c r="V1637" i="12"/>
  <c r="AC1636" i="12"/>
  <c r="AB1636" i="12"/>
  <c r="AA1636" i="12"/>
  <c r="Z1636" i="12"/>
  <c r="Y1636" i="12"/>
  <c r="X1636" i="12"/>
  <c r="W1636" i="12"/>
  <c r="V1636" i="12"/>
  <c r="AC1635" i="12"/>
  <c r="AB1635" i="12"/>
  <c r="AA1635" i="12"/>
  <c r="Z1635" i="12"/>
  <c r="Y1635" i="12"/>
  <c r="X1635" i="12"/>
  <c r="W1635" i="12"/>
  <c r="V1635" i="12"/>
  <c r="AC1634" i="12"/>
  <c r="AB1634" i="12"/>
  <c r="AA1634" i="12"/>
  <c r="Z1634" i="12"/>
  <c r="Y1634" i="12"/>
  <c r="X1634" i="12"/>
  <c r="W1634" i="12"/>
  <c r="V1634" i="12"/>
  <c r="AC1633" i="12"/>
  <c r="AB1633" i="12"/>
  <c r="AA1633" i="12"/>
  <c r="Z1633" i="12"/>
  <c r="Y1633" i="12"/>
  <c r="X1633" i="12"/>
  <c r="W1633" i="12"/>
  <c r="V1633" i="12"/>
  <c r="AC1632" i="12"/>
  <c r="AB1632" i="12"/>
  <c r="AA1632" i="12"/>
  <c r="Z1632" i="12"/>
  <c r="Y1632" i="12"/>
  <c r="X1632" i="12"/>
  <c r="W1632" i="12"/>
  <c r="V1632" i="12"/>
  <c r="AC1631" i="12"/>
  <c r="AB1631" i="12"/>
  <c r="AA1631" i="12"/>
  <c r="Z1631" i="12"/>
  <c r="Y1631" i="12"/>
  <c r="X1631" i="12"/>
  <c r="W1631" i="12"/>
  <c r="V1631" i="12"/>
  <c r="AC1630" i="12"/>
  <c r="AB1630" i="12"/>
  <c r="AA1630" i="12"/>
  <c r="Z1630" i="12"/>
  <c r="Y1630" i="12"/>
  <c r="X1630" i="12"/>
  <c r="W1630" i="12"/>
  <c r="V1630" i="12"/>
  <c r="AC1629" i="12"/>
  <c r="AB1629" i="12"/>
  <c r="AA1629" i="12"/>
  <c r="Z1629" i="12"/>
  <c r="Y1629" i="12"/>
  <c r="X1629" i="12"/>
  <c r="W1629" i="12"/>
  <c r="V1629" i="12"/>
  <c r="AC1628" i="12"/>
  <c r="AB1628" i="12"/>
  <c r="AA1628" i="12"/>
  <c r="Z1628" i="12"/>
  <c r="Y1628" i="12"/>
  <c r="X1628" i="12"/>
  <c r="W1628" i="12"/>
  <c r="V1628" i="12"/>
  <c r="AC1627" i="12"/>
  <c r="AB1627" i="12"/>
  <c r="AA1627" i="12"/>
  <c r="Z1627" i="12"/>
  <c r="Y1627" i="12"/>
  <c r="X1627" i="12"/>
  <c r="W1627" i="12"/>
  <c r="V1627" i="12"/>
  <c r="AC1626" i="12"/>
  <c r="AB1626" i="12"/>
  <c r="AA1626" i="12"/>
  <c r="Z1626" i="12"/>
  <c r="Y1626" i="12"/>
  <c r="X1626" i="12"/>
  <c r="W1626" i="12"/>
  <c r="V1626" i="12"/>
  <c r="AC1625" i="12"/>
  <c r="AB1625" i="12"/>
  <c r="AA1625" i="12"/>
  <c r="Z1625" i="12"/>
  <c r="Y1625" i="12"/>
  <c r="X1625" i="12"/>
  <c r="W1625" i="12"/>
  <c r="V1625" i="12"/>
  <c r="AC1624" i="12"/>
  <c r="AB1624" i="12"/>
  <c r="AA1624" i="12"/>
  <c r="Z1624" i="12"/>
  <c r="Y1624" i="12"/>
  <c r="X1624" i="12"/>
  <c r="W1624" i="12"/>
  <c r="V1624" i="12"/>
  <c r="AC1623" i="12"/>
  <c r="AB1623" i="12"/>
  <c r="AA1623" i="12"/>
  <c r="Z1623" i="12"/>
  <c r="Y1623" i="12"/>
  <c r="X1623" i="12"/>
  <c r="W1623" i="12"/>
  <c r="V1623" i="12"/>
  <c r="AC1622" i="12"/>
  <c r="AB1622" i="12"/>
  <c r="AA1622" i="12"/>
  <c r="Z1622" i="12"/>
  <c r="Y1622" i="12"/>
  <c r="X1622" i="12"/>
  <c r="W1622" i="12"/>
  <c r="V1622" i="12"/>
  <c r="AC1621" i="12"/>
  <c r="AB1621" i="12"/>
  <c r="AA1621" i="12"/>
  <c r="Z1621" i="12"/>
  <c r="Y1621" i="12"/>
  <c r="X1621" i="12"/>
  <c r="W1621" i="12"/>
  <c r="V1621" i="12"/>
  <c r="AC1620" i="12"/>
  <c r="AB1620" i="12"/>
  <c r="AA1620" i="12"/>
  <c r="Z1620" i="12"/>
  <c r="Y1620" i="12"/>
  <c r="X1620" i="12"/>
  <c r="W1620" i="12"/>
  <c r="V1620" i="12"/>
  <c r="AC1619" i="12"/>
  <c r="AB1619" i="12"/>
  <c r="AA1619" i="12"/>
  <c r="Z1619" i="12"/>
  <c r="Y1619" i="12"/>
  <c r="X1619" i="12"/>
  <c r="W1619" i="12"/>
  <c r="V1619" i="12"/>
  <c r="AC1618" i="12"/>
  <c r="AB1618" i="12"/>
  <c r="AA1618" i="12"/>
  <c r="Z1618" i="12"/>
  <c r="Y1618" i="12"/>
  <c r="X1618" i="12"/>
  <c r="W1618" i="12"/>
  <c r="V1618" i="12"/>
  <c r="AC1617" i="12"/>
  <c r="AB1617" i="12"/>
  <c r="AA1617" i="12"/>
  <c r="Z1617" i="12"/>
  <c r="Y1617" i="12"/>
  <c r="X1617" i="12"/>
  <c r="W1617" i="12"/>
  <c r="V1617" i="12"/>
  <c r="AC1616" i="12"/>
  <c r="AB1616" i="12"/>
  <c r="AA1616" i="12"/>
  <c r="Z1616" i="12"/>
  <c r="Y1616" i="12"/>
  <c r="X1616" i="12"/>
  <c r="W1616" i="12"/>
  <c r="V1616" i="12"/>
  <c r="AC1615" i="12"/>
  <c r="AB1615" i="12"/>
  <c r="AA1615" i="12"/>
  <c r="Z1615" i="12"/>
  <c r="Y1615" i="12"/>
  <c r="X1615" i="12"/>
  <c r="W1615" i="12"/>
  <c r="V1615" i="12"/>
  <c r="AC1614" i="12"/>
  <c r="AB1614" i="12"/>
  <c r="AA1614" i="12"/>
  <c r="Z1614" i="12"/>
  <c r="Y1614" i="12"/>
  <c r="X1614" i="12"/>
  <c r="W1614" i="12"/>
  <c r="V1614" i="12"/>
  <c r="AC1613" i="12"/>
  <c r="AB1613" i="12"/>
  <c r="AA1613" i="12"/>
  <c r="Z1613" i="12"/>
  <c r="Y1613" i="12"/>
  <c r="X1613" i="12"/>
  <c r="W1613" i="12"/>
  <c r="V1613" i="12"/>
  <c r="AC1612" i="12"/>
  <c r="AB1612" i="12"/>
  <c r="AA1612" i="12"/>
  <c r="Z1612" i="12"/>
  <c r="Y1612" i="12"/>
  <c r="X1612" i="12"/>
  <c r="W1612" i="12"/>
  <c r="V1612" i="12"/>
  <c r="AC1611" i="12"/>
  <c r="AB1611" i="12"/>
  <c r="AA1611" i="12"/>
  <c r="Z1611" i="12"/>
  <c r="Y1611" i="12"/>
  <c r="X1611" i="12"/>
  <c r="W1611" i="12"/>
  <c r="V1611" i="12"/>
  <c r="AC1610" i="12"/>
  <c r="AB1610" i="12"/>
  <c r="AA1610" i="12"/>
  <c r="Z1610" i="12"/>
  <c r="Y1610" i="12"/>
  <c r="X1610" i="12"/>
  <c r="W1610" i="12"/>
  <c r="V1610" i="12"/>
  <c r="AC1609" i="12"/>
  <c r="AB1609" i="12"/>
  <c r="AA1609" i="12"/>
  <c r="Z1609" i="12"/>
  <c r="Y1609" i="12"/>
  <c r="X1609" i="12"/>
  <c r="W1609" i="12"/>
  <c r="V1609" i="12"/>
  <c r="AC1608" i="12"/>
  <c r="AB1608" i="12"/>
  <c r="AA1608" i="12"/>
  <c r="Z1608" i="12"/>
  <c r="Y1608" i="12"/>
  <c r="X1608" i="12"/>
  <c r="W1608" i="12"/>
  <c r="V1608" i="12"/>
  <c r="AC1607" i="12"/>
  <c r="AB1607" i="12"/>
  <c r="AA1607" i="12"/>
  <c r="Z1607" i="12"/>
  <c r="Y1607" i="12"/>
  <c r="X1607" i="12"/>
  <c r="W1607" i="12"/>
  <c r="V1607" i="12"/>
  <c r="AC1606" i="12"/>
  <c r="AB1606" i="12"/>
  <c r="AA1606" i="12"/>
  <c r="Z1606" i="12"/>
  <c r="Y1606" i="12"/>
  <c r="X1606" i="12"/>
  <c r="W1606" i="12"/>
  <c r="V1606" i="12"/>
  <c r="AC1605" i="12"/>
  <c r="AB1605" i="12"/>
  <c r="AA1605" i="12"/>
  <c r="Z1605" i="12"/>
  <c r="Y1605" i="12"/>
  <c r="X1605" i="12"/>
  <c r="W1605" i="12"/>
  <c r="V1605" i="12"/>
  <c r="AC1604" i="12"/>
  <c r="AB1604" i="12"/>
  <c r="AA1604" i="12"/>
  <c r="Z1604" i="12"/>
  <c r="Y1604" i="12"/>
  <c r="X1604" i="12"/>
  <c r="W1604" i="12"/>
  <c r="V1604" i="12"/>
  <c r="AC1603" i="12"/>
  <c r="AB1603" i="12"/>
  <c r="AA1603" i="12"/>
  <c r="Z1603" i="12"/>
  <c r="Y1603" i="12"/>
  <c r="X1603" i="12"/>
  <c r="W1603" i="12"/>
  <c r="V1603" i="12"/>
  <c r="AC1602" i="12"/>
  <c r="AB1602" i="12"/>
  <c r="AA1602" i="12"/>
  <c r="Z1602" i="12"/>
  <c r="Y1602" i="12"/>
  <c r="X1602" i="12"/>
  <c r="W1602" i="12"/>
  <c r="V1602" i="12"/>
  <c r="AC1601" i="12"/>
  <c r="AB1601" i="12"/>
  <c r="AA1601" i="12"/>
  <c r="Z1601" i="12"/>
  <c r="Y1601" i="12"/>
  <c r="X1601" i="12"/>
  <c r="W1601" i="12"/>
  <c r="V1601" i="12"/>
  <c r="AC1600" i="12"/>
  <c r="AB1600" i="12"/>
  <c r="AA1600" i="12"/>
  <c r="Z1600" i="12"/>
  <c r="Y1600" i="12"/>
  <c r="X1600" i="12"/>
  <c r="W1600" i="12"/>
  <c r="V1600" i="12"/>
  <c r="AC1599" i="12"/>
  <c r="AB1599" i="12"/>
  <c r="AA1599" i="12"/>
  <c r="Z1599" i="12"/>
  <c r="Y1599" i="12"/>
  <c r="X1599" i="12"/>
  <c r="W1599" i="12"/>
  <c r="V1599" i="12"/>
  <c r="AC1598" i="12"/>
  <c r="AB1598" i="12"/>
  <c r="AA1598" i="12"/>
  <c r="Z1598" i="12"/>
  <c r="Y1598" i="12"/>
  <c r="X1598" i="12"/>
  <c r="W1598" i="12"/>
  <c r="V1598" i="12"/>
  <c r="AC1597" i="12"/>
  <c r="AB1597" i="12"/>
  <c r="AA1597" i="12"/>
  <c r="Z1597" i="12"/>
  <c r="Y1597" i="12"/>
  <c r="X1597" i="12"/>
  <c r="W1597" i="12"/>
  <c r="V1597" i="12"/>
  <c r="AC1596" i="12"/>
  <c r="AB1596" i="12"/>
  <c r="AA1596" i="12"/>
  <c r="Z1596" i="12"/>
  <c r="Y1596" i="12"/>
  <c r="X1596" i="12"/>
  <c r="W1596" i="12"/>
  <c r="V1596" i="12"/>
  <c r="AC1595" i="12"/>
  <c r="AB1595" i="12"/>
  <c r="AA1595" i="12"/>
  <c r="Z1595" i="12"/>
  <c r="Y1595" i="12"/>
  <c r="X1595" i="12"/>
  <c r="W1595" i="12"/>
  <c r="V1595" i="12"/>
  <c r="AC1594" i="12"/>
  <c r="AB1594" i="12"/>
  <c r="AA1594" i="12"/>
  <c r="Z1594" i="12"/>
  <c r="Y1594" i="12"/>
  <c r="X1594" i="12"/>
  <c r="W1594" i="12"/>
  <c r="V1594" i="12"/>
  <c r="AC1593" i="12"/>
  <c r="AB1593" i="12"/>
  <c r="AA1593" i="12"/>
  <c r="Z1593" i="12"/>
  <c r="Y1593" i="12"/>
  <c r="X1593" i="12"/>
  <c r="W1593" i="12"/>
  <c r="V1593" i="12"/>
  <c r="AC1592" i="12"/>
  <c r="AB1592" i="12"/>
  <c r="AA1592" i="12"/>
  <c r="Z1592" i="12"/>
  <c r="Y1592" i="12"/>
  <c r="X1592" i="12"/>
  <c r="W1592" i="12"/>
  <c r="V1592" i="12"/>
  <c r="AC1591" i="12"/>
  <c r="AB1591" i="12"/>
  <c r="AA1591" i="12"/>
  <c r="Z1591" i="12"/>
  <c r="Y1591" i="12"/>
  <c r="X1591" i="12"/>
  <c r="W1591" i="12"/>
  <c r="V1591" i="12"/>
  <c r="AC1590" i="12"/>
  <c r="AB1590" i="12"/>
  <c r="AA1590" i="12"/>
  <c r="Z1590" i="12"/>
  <c r="Y1590" i="12"/>
  <c r="X1590" i="12"/>
  <c r="W1590" i="12"/>
  <c r="V1590" i="12"/>
  <c r="AC1589" i="12"/>
  <c r="AB1589" i="12"/>
  <c r="AA1589" i="12"/>
  <c r="Z1589" i="12"/>
  <c r="Y1589" i="12"/>
  <c r="X1589" i="12"/>
  <c r="W1589" i="12"/>
  <c r="V1589" i="12"/>
  <c r="AC1588" i="12"/>
  <c r="AB1588" i="12"/>
  <c r="AA1588" i="12"/>
  <c r="Z1588" i="12"/>
  <c r="Y1588" i="12"/>
  <c r="X1588" i="12"/>
  <c r="W1588" i="12"/>
  <c r="V1588" i="12"/>
  <c r="AC1587" i="12"/>
  <c r="AB1587" i="12"/>
  <c r="AA1587" i="12"/>
  <c r="Z1587" i="12"/>
  <c r="Y1587" i="12"/>
  <c r="X1587" i="12"/>
  <c r="W1587" i="12"/>
  <c r="V1587" i="12"/>
  <c r="AC1586" i="12"/>
  <c r="AB1586" i="12"/>
  <c r="AA1586" i="12"/>
  <c r="Z1586" i="12"/>
  <c r="Y1586" i="12"/>
  <c r="X1586" i="12"/>
  <c r="W1586" i="12"/>
  <c r="V1586" i="12"/>
  <c r="AC1585" i="12"/>
  <c r="AB1585" i="12"/>
  <c r="AA1585" i="12"/>
  <c r="Z1585" i="12"/>
  <c r="Y1585" i="12"/>
  <c r="X1585" i="12"/>
  <c r="W1585" i="12"/>
  <c r="V1585" i="12"/>
  <c r="AC1584" i="12"/>
  <c r="AB1584" i="12"/>
  <c r="AA1584" i="12"/>
  <c r="Z1584" i="12"/>
  <c r="Y1584" i="12"/>
  <c r="X1584" i="12"/>
  <c r="W1584" i="12"/>
  <c r="V1584" i="12"/>
  <c r="AC1583" i="12"/>
  <c r="AB1583" i="12"/>
  <c r="AA1583" i="12"/>
  <c r="Z1583" i="12"/>
  <c r="Y1583" i="12"/>
  <c r="X1583" i="12"/>
  <c r="W1583" i="12"/>
  <c r="V1583" i="12"/>
  <c r="AC1582" i="12"/>
  <c r="AB1582" i="12"/>
  <c r="AA1582" i="12"/>
  <c r="Z1582" i="12"/>
  <c r="Y1582" i="12"/>
  <c r="X1582" i="12"/>
  <c r="W1582" i="12"/>
  <c r="V1582" i="12"/>
  <c r="AC1581" i="12"/>
  <c r="AB1581" i="12"/>
  <c r="AA1581" i="12"/>
  <c r="Z1581" i="12"/>
  <c r="Y1581" i="12"/>
  <c r="X1581" i="12"/>
  <c r="W1581" i="12"/>
  <c r="V1581" i="12"/>
  <c r="AC1580" i="12"/>
  <c r="AB1580" i="12"/>
  <c r="AA1580" i="12"/>
  <c r="Z1580" i="12"/>
  <c r="Y1580" i="12"/>
  <c r="X1580" i="12"/>
  <c r="W1580" i="12"/>
  <c r="V1580" i="12"/>
  <c r="AC1579" i="12"/>
  <c r="AB1579" i="12"/>
  <c r="AA1579" i="12"/>
  <c r="Z1579" i="12"/>
  <c r="Y1579" i="12"/>
  <c r="X1579" i="12"/>
  <c r="W1579" i="12"/>
  <c r="V1579" i="12"/>
  <c r="AC1578" i="12"/>
  <c r="AB1578" i="12"/>
  <c r="AA1578" i="12"/>
  <c r="Z1578" i="12"/>
  <c r="Y1578" i="12"/>
  <c r="X1578" i="12"/>
  <c r="W1578" i="12"/>
  <c r="V1578" i="12"/>
  <c r="AC1577" i="12"/>
  <c r="AB1577" i="12"/>
  <c r="AA1577" i="12"/>
  <c r="Z1577" i="12"/>
  <c r="Y1577" i="12"/>
  <c r="X1577" i="12"/>
  <c r="W1577" i="12"/>
  <c r="V1577" i="12"/>
  <c r="AC1576" i="12"/>
  <c r="AB1576" i="12"/>
  <c r="AA1576" i="12"/>
  <c r="Z1576" i="12"/>
  <c r="Y1576" i="12"/>
  <c r="X1576" i="12"/>
  <c r="W1576" i="12"/>
  <c r="V1576" i="12"/>
  <c r="AC1575" i="12"/>
  <c r="AB1575" i="12"/>
  <c r="AA1575" i="12"/>
  <c r="Z1575" i="12"/>
  <c r="Y1575" i="12"/>
  <c r="X1575" i="12"/>
  <c r="W1575" i="12"/>
  <c r="V1575" i="12"/>
  <c r="AC1574" i="12"/>
  <c r="AB1574" i="12"/>
  <c r="AA1574" i="12"/>
  <c r="Z1574" i="12"/>
  <c r="Y1574" i="12"/>
  <c r="X1574" i="12"/>
  <c r="W1574" i="12"/>
  <c r="V1574" i="12"/>
  <c r="AC1573" i="12"/>
  <c r="AB1573" i="12"/>
  <c r="AA1573" i="12"/>
  <c r="Z1573" i="12"/>
  <c r="Y1573" i="12"/>
  <c r="X1573" i="12"/>
  <c r="W1573" i="12"/>
  <c r="V1573" i="12"/>
  <c r="AC1572" i="12"/>
  <c r="AB1572" i="12"/>
  <c r="AA1572" i="12"/>
  <c r="Z1572" i="12"/>
  <c r="Y1572" i="12"/>
  <c r="X1572" i="12"/>
  <c r="W1572" i="12"/>
  <c r="V1572" i="12"/>
  <c r="AC1571" i="12"/>
  <c r="AB1571" i="12"/>
  <c r="AA1571" i="12"/>
  <c r="Z1571" i="12"/>
  <c r="Y1571" i="12"/>
  <c r="X1571" i="12"/>
  <c r="W1571" i="12"/>
  <c r="V1571" i="12"/>
  <c r="AC1570" i="12"/>
  <c r="AB1570" i="12"/>
  <c r="AA1570" i="12"/>
  <c r="Z1570" i="12"/>
  <c r="Y1570" i="12"/>
  <c r="X1570" i="12"/>
  <c r="W1570" i="12"/>
  <c r="V1570" i="12"/>
  <c r="AC1569" i="12"/>
  <c r="AB1569" i="12"/>
  <c r="AA1569" i="12"/>
  <c r="Z1569" i="12"/>
  <c r="Y1569" i="12"/>
  <c r="X1569" i="12"/>
  <c r="W1569" i="12"/>
  <c r="V1569" i="12"/>
  <c r="AC1568" i="12"/>
  <c r="AB1568" i="12"/>
  <c r="AA1568" i="12"/>
  <c r="Z1568" i="12"/>
  <c r="Y1568" i="12"/>
  <c r="X1568" i="12"/>
  <c r="W1568" i="12"/>
  <c r="V1568" i="12"/>
  <c r="AC1567" i="12"/>
  <c r="AB1567" i="12"/>
  <c r="AA1567" i="12"/>
  <c r="Z1567" i="12"/>
  <c r="Y1567" i="12"/>
  <c r="X1567" i="12"/>
  <c r="W1567" i="12"/>
  <c r="V1567" i="12"/>
  <c r="AC1566" i="12"/>
  <c r="AB1566" i="12"/>
  <c r="AA1566" i="12"/>
  <c r="Z1566" i="12"/>
  <c r="Y1566" i="12"/>
  <c r="X1566" i="12"/>
  <c r="W1566" i="12"/>
  <c r="V1566" i="12"/>
  <c r="AC1565" i="12"/>
  <c r="AB1565" i="12"/>
  <c r="AA1565" i="12"/>
  <c r="Z1565" i="12"/>
  <c r="Y1565" i="12"/>
  <c r="X1565" i="12"/>
  <c r="W1565" i="12"/>
  <c r="V1565" i="12"/>
  <c r="AC1564" i="12"/>
  <c r="AB1564" i="12"/>
  <c r="AA1564" i="12"/>
  <c r="Z1564" i="12"/>
  <c r="Y1564" i="12"/>
  <c r="X1564" i="12"/>
  <c r="W1564" i="12"/>
  <c r="V1564" i="12"/>
  <c r="AC1563" i="12"/>
  <c r="AB1563" i="12"/>
  <c r="AA1563" i="12"/>
  <c r="Z1563" i="12"/>
  <c r="Y1563" i="12"/>
  <c r="X1563" i="12"/>
  <c r="W1563" i="12"/>
  <c r="V1563" i="12"/>
  <c r="AC1562" i="12"/>
  <c r="AB1562" i="12"/>
  <c r="AA1562" i="12"/>
  <c r="Z1562" i="12"/>
  <c r="Y1562" i="12"/>
  <c r="X1562" i="12"/>
  <c r="W1562" i="12"/>
  <c r="V1562" i="12"/>
  <c r="AC1561" i="12"/>
  <c r="AB1561" i="12"/>
  <c r="AA1561" i="12"/>
  <c r="Z1561" i="12"/>
  <c r="Y1561" i="12"/>
  <c r="X1561" i="12"/>
  <c r="W1561" i="12"/>
  <c r="V1561" i="12"/>
  <c r="AC1560" i="12"/>
  <c r="AB1560" i="12"/>
  <c r="AA1560" i="12"/>
  <c r="Z1560" i="12"/>
  <c r="Y1560" i="12"/>
  <c r="X1560" i="12"/>
  <c r="W1560" i="12"/>
  <c r="V1560" i="12"/>
  <c r="AC1559" i="12"/>
  <c r="AB1559" i="12"/>
  <c r="AA1559" i="12"/>
  <c r="Z1559" i="12"/>
  <c r="Y1559" i="12"/>
  <c r="X1559" i="12"/>
  <c r="W1559" i="12"/>
  <c r="V1559" i="12"/>
  <c r="AC1558" i="12"/>
  <c r="AB1558" i="12"/>
  <c r="AA1558" i="12"/>
  <c r="Z1558" i="12"/>
  <c r="Y1558" i="12"/>
  <c r="X1558" i="12"/>
  <c r="W1558" i="12"/>
  <c r="V1558" i="12"/>
  <c r="AC1557" i="12"/>
  <c r="AB1557" i="12"/>
  <c r="AA1557" i="12"/>
  <c r="Z1557" i="12"/>
  <c r="Y1557" i="12"/>
  <c r="X1557" i="12"/>
  <c r="W1557" i="12"/>
  <c r="V1557" i="12"/>
  <c r="AC1556" i="12"/>
  <c r="AB1556" i="12"/>
  <c r="AA1556" i="12"/>
  <c r="Z1556" i="12"/>
  <c r="Y1556" i="12"/>
  <c r="X1556" i="12"/>
  <c r="W1556" i="12"/>
  <c r="V1556" i="12"/>
  <c r="AC1555" i="12"/>
  <c r="AB1555" i="12"/>
  <c r="AA1555" i="12"/>
  <c r="Z1555" i="12"/>
  <c r="Y1555" i="12"/>
  <c r="X1555" i="12"/>
  <c r="W1555" i="12"/>
  <c r="V1555" i="12"/>
  <c r="AC1554" i="12"/>
  <c r="AB1554" i="12"/>
  <c r="AA1554" i="12"/>
  <c r="Z1554" i="12"/>
  <c r="Y1554" i="12"/>
  <c r="X1554" i="12"/>
  <c r="W1554" i="12"/>
  <c r="V1554" i="12"/>
  <c r="AC1553" i="12"/>
  <c r="AB1553" i="12"/>
  <c r="AA1553" i="12"/>
  <c r="Z1553" i="12"/>
  <c r="Y1553" i="12"/>
  <c r="X1553" i="12"/>
  <c r="W1553" i="12"/>
  <c r="V1553" i="12"/>
  <c r="AC1552" i="12"/>
  <c r="AB1552" i="12"/>
  <c r="AA1552" i="12"/>
  <c r="Z1552" i="12"/>
  <c r="Y1552" i="12"/>
  <c r="X1552" i="12"/>
  <c r="W1552" i="12"/>
  <c r="V1552" i="12"/>
  <c r="AC1551" i="12"/>
  <c r="AB1551" i="12"/>
  <c r="AA1551" i="12"/>
  <c r="Z1551" i="12"/>
  <c r="Y1551" i="12"/>
  <c r="X1551" i="12"/>
  <c r="W1551" i="12"/>
  <c r="V1551" i="12"/>
  <c r="AC1550" i="12"/>
  <c r="AB1550" i="12"/>
  <c r="AA1550" i="12"/>
  <c r="Z1550" i="12"/>
  <c r="Y1550" i="12"/>
  <c r="X1550" i="12"/>
  <c r="W1550" i="12"/>
  <c r="V1550" i="12"/>
  <c r="AC1549" i="12"/>
  <c r="AB1549" i="12"/>
  <c r="AA1549" i="12"/>
  <c r="Z1549" i="12"/>
  <c r="Y1549" i="12"/>
  <c r="X1549" i="12"/>
  <c r="W1549" i="12"/>
  <c r="V1549" i="12"/>
  <c r="AC1548" i="12"/>
  <c r="AB1548" i="12"/>
  <c r="AA1548" i="12"/>
  <c r="Z1548" i="12"/>
  <c r="Y1548" i="12"/>
  <c r="X1548" i="12"/>
  <c r="W1548" i="12"/>
  <c r="V1548" i="12"/>
  <c r="AC1547" i="12"/>
  <c r="AB1547" i="12"/>
  <c r="AA1547" i="12"/>
  <c r="Z1547" i="12"/>
  <c r="Y1547" i="12"/>
  <c r="X1547" i="12"/>
  <c r="W1547" i="12"/>
  <c r="V1547" i="12"/>
  <c r="AC1546" i="12"/>
  <c r="AB1546" i="12"/>
  <c r="AA1546" i="12"/>
  <c r="Z1546" i="12"/>
  <c r="Y1546" i="12"/>
  <c r="X1546" i="12"/>
  <c r="W1546" i="12"/>
  <c r="V1546" i="12"/>
  <c r="AC1545" i="12"/>
  <c r="AB1545" i="12"/>
  <c r="AA1545" i="12"/>
  <c r="Z1545" i="12"/>
  <c r="Y1545" i="12"/>
  <c r="X1545" i="12"/>
  <c r="W1545" i="12"/>
  <c r="V1545" i="12"/>
  <c r="AC1544" i="12"/>
  <c r="AB1544" i="12"/>
  <c r="AA1544" i="12"/>
  <c r="Z1544" i="12"/>
  <c r="Y1544" i="12"/>
  <c r="X1544" i="12"/>
  <c r="W1544" i="12"/>
  <c r="V1544" i="12"/>
  <c r="AC1543" i="12"/>
  <c r="AB1543" i="12"/>
  <c r="AA1543" i="12"/>
  <c r="Z1543" i="12"/>
  <c r="Y1543" i="12"/>
  <c r="X1543" i="12"/>
  <c r="W1543" i="12"/>
  <c r="V1543" i="12"/>
  <c r="AC1542" i="12"/>
  <c r="AB1542" i="12"/>
  <c r="AA1542" i="12"/>
  <c r="Z1542" i="12"/>
  <c r="Y1542" i="12"/>
  <c r="X1542" i="12"/>
  <c r="W1542" i="12"/>
  <c r="V1542" i="12"/>
  <c r="AC1541" i="12"/>
  <c r="AB1541" i="12"/>
  <c r="AA1541" i="12"/>
  <c r="Z1541" i="12"/>
  <c r="Y1541" i="12"/>
  <c r="X1541" i="12"/>
  <c r="W1541" i="12"/>
  <c r="V1541" i="12"/>
  <c r="AC1540" i="12"/>
  <c r="AB1540" i="12"/>
  <c r="AA1540" i="12"/>
  <c r="Z1540" i="12"/>
  <c r="Y1540" i="12"/>
  <c r="X1540" i="12"/>
  <c r="W1540" i="12"/>
  <c r="V1540" i="12"/>
  <c r="AC1539" i="12"/>
  <c r="AB1539" i="12"/>
  <c r="AA1539" i="12"/>
  <c r="Z1539" i="12"/>
  <c r="Y1539" i="12"/>
  <c r="X1539" i="12"/>
  <c r="W1539" i="12"/>
  <c r="V1539" i="12"/>
  <c r="AC1538" i="12"/>
  <c r="AB1538" i="12"/>
  <c r="AA1538" i="12"/>
  <c r="Z1538" i="12"/>
  <c r="Y1538" i="12"/>
  <c r="X1538" i="12"/>
  <c r="W1538" i="12"/>
  <c r="V1538" i="12"/>
  <c r="AC1537" i="12"/>
  <c r="AB1537" i="12"/>
  <c r="AA1537" i="12"/>
  <c r="Z1537" i="12"/>
  <c r="Y1537" i="12"/>
  <c r="X1537" i="12"/>
  <c r="W1537" i="12"/>
  <c r="V1537" i="12"/>
  <c r="AC1536" i="12"/>
  <c r="AB1536" i="12"/>
  <c r="AA1536" i="12"/>
  <c r="Z1536" i="12"/>
  <c r="Y1536" i="12"/>
  <c r="X1536" i="12"/>
  <c r="W1536" i="12"/>
  <c r="V1536" i="12"/>
  <c r="AC1535" i="12"/>
  <c r="AB1535" i="12"/>
  <c r="AA1535" i="12"/>
  <c r="Z1535" i="12"/>
  <c r="Y1535" i="12"/>
  <c r="X1535" i="12"/>
  <c r="W1535" i="12"/>
  <c r="V1535" i="12"/>
  <c r="AC1534" i="12"/>
  <c r="AB1534" i="12"/>
  <c r="AA1534" i="12"/>
  <c r="Z1534" i="12"/>
  <c r="Y1534" i="12"/>
  <c r="X1534" i="12"/>
  <c r="W1534" i="12"/>
  <c r="V1534" i="12"/>
  <c r="AC1533" i="12"/>
  <c r="AB1533" i="12"/>
  <c r="AA1533" i="12"/>
  <c r="Z1533" i="12"/>
  <c r="Y1533" i="12"/>
  <c r="X1533" i="12"/>
  <c r="W1533" i="12"/>
  <c r="V1533" i="12"/>
  <c r="AC1532" i="12"/>
  <c r="AB1532" i="12"/>
  <c r="AA1532" i="12"/>
  <c r="Z1532" i="12"/>
  <c r="Y1532" i="12"/>
  <c r="X1532" i="12"/>
  <c r="W1532" i="12"/>
  <c r="V1532" i="12"/>
  <c r="AC1531" i="12"/>
  <c r="AB1531" i="12"/>
  <c r="AA1531" i="12"/>
  <c r="Z1531" i="12"/>
  <c r="Y1531" i="12"/>
  <c r="X1531" i="12"/>
  <c r="W1531" i="12"/>
  <c r="V1531" i="12"/>
  <c r="AC1530" i="12"/>
  <c r="AB1530" i="12"/>
  <c r="AA1530" i="12"/>
  <c r="Z1530" i="12"/>
  <c r="Y1530" i="12"/>
  <c r="X1530" i="12"/>
  <c r="W1530" i="12"/>
  <c r="V1530" i="12"/>
  <c r="AC1529" i="12"/>
  <c r="AB1529" i="12"/>
  <c r="AA1529" i="12"/>
  <c r="Z1529" i="12"/>
  <c r="Y1529" i="12"/>
  <c r="X1529" i="12"/>
  <c r="W1529" i="12"/>
  <c r="V1529" i="12"/>
  <c r="AC1528" i="12"/>
  <c r="AB1528" i="12"/>
  <c r="AA1528" i="12"/>
  <c r="Z1528" i="12"/>
  <c r="Y1528" i="12"/>
  <c r="X1528" i="12"/>
  <c r="W1528" i="12"/>
  <c r="V1528" i="12"/>
  <c r="AC1527" i="12"/>
  <c r="AB1527" i="12"/>
  <c r="AA1527" i="12"/>
  <c r="Z1527" i="12"/>
  <c r="Y1527" i="12"/>
  <c r="X1527" i="12"/>
  <c r="W1527" i="12"/>
  <c r="V1527" i="12"/>
  <c r="AC1526" i="12"/>
  <c r="AB1526" i="12"/>
  <c r="AA1526" i="12"/>
  <c r="Z1526" i="12"/>
  <c r="Y1526" i="12"/>
  <c r="X1526" i="12"/>
  <c r="W1526" i="12"/>
  <c r="V1526" i="12"/>
  <c r="AC1525" i="12"/>
  <c r="AB1525" i="12"/>
  <c r="AA1525" i="12"/>
  <c r="Z1525" i="12"/>
  <c r="Y1525" i="12"/>
  <c r="X1525" i="12"/>
  <c r="W1525" i="12"/>
  <c r="V1525" i="12"/>
  <c r="AC1524" i="12"/>
  <c r="AB1524" i="12"/>
  <c r="AA1524" i="12"/>
  <c r="Z1524" i="12"/>
  <c r="Y1524" i="12"/>
  <c r="X1524" i="12"/>
  <c r="W1524" i="12"/>
  <c r="V1524" i="12"/>
  <c r="AC1523" i="12"/>
  <c r="AB1523" i="12"/>
  <c r="AA1523" i="12"/>
  <c r="Z1523" i="12"/>
  <c r="Y1523" i="12"/>
  <c r="X1523" i="12"/>
  <c r="W1523" i="12"/>
  <c r="V1523" i="12"/>
  <c r="AC1522" i="12"/>
  <c r="AB1522" i="12"/>
  <c r="AA1522" i="12"/>
  <c r="Z1522" i="12"/>
  <c r="Y1522" i="12"/>
  <c r="X1522" i="12"/>
  <c r="W1522" i="12"/>
  <c r="V1522" i="12"/>
  <c r="AC1521" i="12"/>
  <c r="AB1521" i="12"/>
  <c r="AA1521" i="12"/>
  <c r="Z1521" i="12"/>
  <c r="Y1521" i="12"/>
  <c r="X1521" i="12"/>
  <c r="W1521" i="12"/>
  <c r="V1521" i="12"/>
  <c r="AC1520" i="12"/>
  <c r="AB1520" i="12"/>
  <c r="AA1520" i="12"/>
  <c r="Z1520" i="12"/>
  <c r="Y1520" i="12"/>
  <c r="X1520" i="12"/>
  <c r="W1520" i="12"/>
  <c r="V1520" i="12"/>
  <c r="AC1519" i="12"/>
  <c r="AB1519" i="12"/>
  <c r="AA1519" i="12"/>
  <c r="Z1519" i="12"/>
  <c r="Y1519" i="12"/>
  <c r="X1519" i="12"/>
  <c r="W1519" i="12"/>
  <c r="V1519" i="12"/>
  <c r="AC1518" i="12"/>
  <c r="AB1518" i="12"/>
  <c r="AA1518" i="12"/>
  <c r="Z1518" i="12"/>
  <c r="Y1518" i="12"/>
  <c r="X1518" i="12"/>
  <c r="W1518" i="12"/>
  <c r="V1518" i="12"/>
  <c r="AC1517" i="12"/>
  <c r="AB1517" i="12"/>
  <c r="AA1517" i="12"/>
  <c r="Z1517" i="12"/>
  <c r="Y1517" i="12"/>
  <c r="X1517" i="12"/>
  <c r="W1517" i="12"/>
  <c r="V1517" i="12"/>
  <c r="AC1516" i="12"/>
  <c r="AB1516" i="12"/>
  <c r="AA1516" i="12"/>
  <c r="Z1516" i="12"/>
  <c r="Y1516" i="12"/>
  <c r="X1516" i="12"/>
  <c r="W1516" i="12"/>
  <c r="V1516" i="12"/>
  <c r="AC1515" i="12"/>
  <c r="AB1515" i="12"/>
  <c r="AA1515" i="12"/>
  <c r="Z1515" i="12"/>
  <c r="Y1515" i="12"/>
  <c r="X1515" i="12"/>
  <c r="W1515" i="12"/>
  <c r="V1515" i="12"/>
  <c r="AC1514" i="12"/>
  <c r="AB1514" i="12"/>
  <c r="AA1514" i="12"/>
  <c r="Z1514" i="12"/>
  <c r="Y1514" i="12"/>
  <c r="X1514" i="12"/>
  <c r="W1514" i="12"/>
  <c r="V1514" i="12"/>
  <c r="AC1513" i="12"/>
  <c r="AB1513" i="12"/>
  <c r="AA1513" i="12"/>
  <c r="Z1513" i="12"/>
  <c r="Y1513" i="12"/>
  <c r="X1513" i="12"/>
  <c r="W1513" i="12"/>
  <c r="V1513" i="12"/>
  <c r="AC1512" i="12"/>
  <c r="AB1512" i="12"/>
  <c r="AA1512" i="12"/>
  <c r="Z1512" i="12"/>
  <c r="Y1512" i="12"/>
  <c r="X1512" i="12"/>
  <c r="W1512" i="12"/>
  <c r="V1512" i="12"/>
  <c r="AC1511" i="12"/>
  <c r="AB1511" i="12"/>
  <c r="AA1511" i="12"/>
  <c r="Z1511" i="12"/>
  <c r="Y1511" i="12"/>
  <c r="X1511" i="12"/>
  <c r="W1511" i="12"/>
  <c r="V1511" i="12"/>
  <c r="AC1510" i="12"/>
  <c r="AB1510" i="12"/>
  <c r="AA1510" i="12"/>
  <c r="Z1510" i="12"/>
  <c r="Y1510" i="12"/>
  <c r="X1510" i="12"/>
  <c r="W1510" i="12"/>
  <c r="V1510" i="12"/>
  <c r="AC1509" i="12"/>
  <c r="AB1509" i="12"/>
  <c r="AA1509" i="12"/>
  <c r="Z1509" i="12"/>
  <c r="Y1509" i="12"/>
  <c r="X1509" i="12"/>
  <c r="W1509" i="12"/>
  <c r="V1509" i="12"/>
  <c r="AC1508" i="12"/>
  <c r="AB1508" i="12"/>
  <c r="AA1508" i="12"/>
  <c r="Z1508" i="12"/>
  <c r="Y1508" i="12"/>
  <c r="X1508" i="12"/>
  <c r="W1508" i="12"/>
  <c r="V1508" i="12"/>
  <c r="AC1507" i="12"/>
  <c r="AB1507" i="12"/>
  <c r="AA1507" i="12"/>
  <c r="Z1507" i="12"/>
  <c r="Y1507" i="12"/>
  <c r="X1507" i="12"/>
  <c r="W1507" i="12"/>
  <c r="V1507" i="12"/>
  <c r="AC1506" i="12"/>
  <c r="AB1506" i="12"/>
  <c r="AA1506" i="12"/>
  <c r="Z1506" i="12"/>
  <c r="Y1506" i="12"/>
  <c r="X1506" i="12"/>
  <c r="W1506" i="12"/>
  <c r="V1506" i="12"/>
  <c r="AC1505" i="12"/>
  <c r="AB1505" i="12"/>
  <c r="AA1505" i="12"/>
  <c r="Z1505" i="12"/>
  <c r="Y1505" i="12"/>
  <c r="X1505" i="12"/>
  <c r="W1505" i="12"/>
  <c r="V1505" i="12"/>
  <c r="AC1504" i="12"/>
  <c r="AB1504" i="12"/>
  <c r="AA1504" i="12"/>
  <c r="Z1504" i="12"/>
  <c r="Y1504" i="12"/>
  <c r="X1504" i="12"/>
  <c r="W1504" i="12"/>
  <c r="V1504" i="12"/>
  <c r="AC1503" i="12"/>
  <c r="AB1503" i="12"/>
  <c r="AA1503" i="12"/>
  <c r="Z1503" i="12"/>
  <c r="Y1503" i="12"/>
  <c r="X1503" i="12"/>
  <c r="W1503" i="12"/>
  <c r="V1503" i="12"/>
  <c r="AC1502" i="12"/>
  <c r="AB1502" i="12"/>
  <c r="AA1502" i="12"/>
  <c r="Z1502" i="12"/>
  <c r="Y1502" i="12"/>
  <c r="X1502" i="12"/>
  <c r="W1502" i="12"/>
  <c r="V1502" i="12"/>
  <c r="AC1501" i="12"/>
  <c r="AB1501" i="12"/>
  <c r="AA1501" i="12"/>
  <c r="Z1501" i="12"/>
  <c r="Y1501" i="12"/>
  <c r="X1501" i="12"/>
  <c r="W1501" i="12"/>
  <c r="V1501" i="12"/>
  <c r="AC1500" i="12"/>
  <c r="AB1500" i="12"/>
  <c r="AA1500" i="12"/>
  <c r="Z1500" i="12"/>
  <c r="Y1500" i="12"/>
  <c r="X1500" i="12"/>
  <c r="W1500" i="12"/>
  <c r="V1500" i="12"/>
  <c r="AC1499" i="12"/>
  <c r="AB1499" i="12"/>
  <c r="AA1499" i="12"/>
  <c r="Z1499" i="12"/>
  <c r="Y1499" i="12"/>
  <c r="X1499" i="12"/>
  <c r="W1499" i="12"/>
  <c r="V1499" i="12"/>
  <c r="AC1498" i="12"/>
  <c r="AB1498" i="12"/>
  <c r="AA1498" i="12"/>
  <c r="Z1498" i="12"/>
  <c r="Y1498" i="12"/>
  <c r="X1498" i="12"/>
  <c r="W1498" i="12"/>
  <c r="V1498" i="12"/>
  <c r="AC1497" i="12"/>
  <c r="AB1497" i="12"/>
  <c r="AA1497" i="12"/>
  <c r="Z1497" i="12"/>
  <c r="Y1497" i="12"/>
  <c r="X1497" i="12"/>
  <c r="W1497" i="12"/>
  <c r="V1497" i="12"/>
  <c r="AC1496" i="12"/>
  <c r="AB1496" i="12"/>
  <c r="AA1496" i="12"/>
  <c r="Z1496" i="12"/>
  <c r="Y1496" i="12"/>
  <c r="X1496" i="12"/>
  <c r="W1496" i="12"/>
  <c r="V1496" i="12"/>
  <c r="AC1495" i="12"/>
  <c r="AB1495" i="12"/>
  <c r="AA1495" i="12"/>
  <c r="Z1495" i="12"/>
  <c r="Y1495" i="12"/>
  <c r="X1495" i="12"/>
  <c r="W1495" i="12"/>
  <c r="V1495" i="12"/>
  <c r="AC1494" i="12"/>
  <c r="AB1494" i="12"/>
  <c r="AA1494" i="12"/>
  <c r="Z1494" i="12"/>
  <c r="Y1494" i="12"/>
  <c r="X1494" i="12"/>
  <c r="W1494" i="12"/>
  <c r="V1494" i="12"/>
  <c r="AC1493" i="12"/>
  <c r="AB1493" i="12"/>
  <c r="AA1493" i="12"/>
  <c r="Z1493" i="12"/>
  <c r="Y1493" i="12"/>
  <c r="X1493" i="12"/>
  <c r="W1493" i="12"/>
  <c r="V1493" i="12"/>
  <c r="AC1492" i="12"/>
  <c r="AB1492" i="12"/>
  <c r="AA1492" i="12"/>
  <c r="Z1492" i="12"/>
  <c r="Y1492" i="12"/>
  <c r="X1492" i="12"/>
  <c r="W1492" i="12"/>
  <c r="V1492" i="12"/>
  <c r="AC1491" i="12"/>
  <c r="AB1491" i="12"/>
  <c r="AA1491" i="12"/>
  <c r="Z1491" i="12"/>
  <c r="Y1491" i="12"/>
  <c r="X1491" i="12"/>
  <c r="W1491" i="12"/>
  <c r="V1491" i="12"/>
  <c r="AC1490" i="12"/>
  <c r="AB1490" i="12"/>
  <c r="AA1490" i="12"/>
  <c r="Z1490" i="12"/>
  <c r="Y1490" i="12"/>
  <c r="X1490" i="12"/>
  <c r="W1490" i="12"/>
  <c r="V1490" i="12"/>
  <c r="AC1489" i="12"/>
  <c r="AB1489" i="12"/>
  <c r="AA1489" i="12"/>
  <c r="Z1489" i="12"/>
  <c r="Y1489" i="12"/>
  <c r="X1489" i="12"/>
  <c r="W1489" i="12"/>
  <c r="V1489" i="12"/>
  <c r="AC1488" i="12"/>
  <c r="AB1488" i="12"/>
  <c r="AA1488" i="12"/>
  <c r="Z1488" i="12"/>
  <c r="Y1488" i="12"/>
  <c r="X1488" i="12"/>
  <c r="W1488" i="12"/>
  <c r="V1488" i="12"/>
  <c r="AC1487" i="12"/>
  <c r="AB1487" i="12"/>
  <c r="AA1487" i="12"/>
  <c r="Z1487" i="12"/>
  <c r="Y1487" i="12"/>
  <c r="X1487" i="12"/>
  <c r="W1487" i="12"/>
  <c r="V1487" i="12"/>
  <c r="AC1486" i="12"/>
  <c r="AB1486" i="12"/>
  <c r="AA1486" i="12"/>
  <c r="Z1486" i="12"/>
  <c r="Y1486" i="12"/>
  <c r="X1486" i="12"/>
  <c r="W1486" i="12"/>
  <c r="V1486" i="12"/>
  <c r="AC1485" i="12"/>
  <c r="AB1485" i="12"/>
  <c r="AA1485" i="12"/>
  <c r="Z1485" i="12"/>
  <c r="Y1485" i="12"/>
  <c r="X1485" i="12"/>
  <c r="W1485" i="12"/>
  <c r="V1485" i="12"/>
  <c r="AC1484" i="12"/>
  <c r="AB1484" i="12"/>
  <c r="AA1484" i="12"/>
  <c r="Z1484" i="12"/>
  <c r="Y1484" i="12"/>
  <c r="X1484" i="12"/>
  <c r="W1484" i="12"/>
  <c r="V1484" i="12"/>
  <c r="AC1483" i="12"/>
  <c r="AB1483" i="12"/>
  <c r="AA1483" i="12"/>
  <c r="Z1483" i="12"/>
  <c r="Y1483" i="12"/>
  <c r="X1483" i="12"/>
  <c r="W1483" i="12"/>
  <c r="V1483" i="12"/>
  <c r="AC1482" i="12"/>
  <c r="AB1482" i="12"/>
  <c r="AA1482" i="12"/>
  <c r="Z1482" i="12"/>
  <c r="Y1482" i="12"/>
  <c r="X1482" i="12"/>
  <c r="W1482" i="12"/>
  <c r="V1482" i="12"/>
  <c r="AC1481" i="12"/>
  <c r="AB1481" i="12"/>
  <c r="AA1481" i="12"/>
  <c r="Z1481" i="12"/>
  <c r="Y1481" i="12"/>
  <c r="X1481" i="12"/>
  <c r="W1481" i="12"/>
  <c r="V1481" i="12"/>
  <c r="AC1480" i="12"/>
  <c r="AB1480" i="12"/>
  <c r="AA1480" i="12"/>
  <c r="Z1480" i="12"/>
  <c r="Y1480" i="12"/>
  <c r="X1480" i="12"/>
  <c r="W1480" i="12"/>
  <c r="V1480" i="12"/>
  <c r="AC1479" i="12"/>
  <c r="AB1479" i="12"/>
  <c r="AA1479" i="12"/>
  <c r="Z1479" i="12"/>
  <c r="Y1479" i="12"/>
  <c r="X1479" i="12"/>
  <c r="W1479" i="12"/>
  <c r="V1479" i="12"/>
  <c r="AC1478" i="12"/>
  <c r="AB1478" i="12"/>
  <c r="AA1478" i="12"/>
  <c r="Z1478" i="12"/>
  <c r="Y1478" i="12"/>
  <c r="X1478" i="12"/>
  <c r="W1478" i="12"/>
  <c r="V1478" i="12"/>
  <c r="AC1477" i="12"/>
  <c r="AB1477" i="12"/>
  <c r="AA1477" i="12"/>
  <c r="Z1477" i="12"/>
  <c r="Y1477" i="12"/>
  <c r="X1477" i="12"/>
  <c r="W1477" i="12"/>
  <c r="V1477" i="12"/>
  <c r="AC1476" i="12"/>
  <c r="AB1476" i="12"/>
  <c r="AA1476" i="12"/>
  <c r="Z1476" i="12"/>
  <c r="Y1476" i="12"/>
  <c r="X1476" i="12"/>
  <c r="W1476" i="12"/>
  <c r="V1476" i="12"/>
  <c r="AC1475" i="12"/>
  <c r="AB1475" i="12"/>
  <c r="AA1475" i="12"/>
  <c r="Z1475" i="12"/>
  <c r="Y1475" i="12"/>
  <c r="X1475" i="12"/>
  <c r="W1475" i="12"/>
  <c r="V1475" i="12"/>
  <c r="AC1474" i="12"/>
  <c r="AB1474" i="12"/>
  <c r="AA1474" i="12"/>
  <c r="Z1474" i="12"/>
  <c r="Y1474" i="12"/>
  <c r="X1474" i="12"/>
  <c r="W1474" i="12"/>
  <c r="V1474" i="12"/>
  <c r="AC1473" i="12"/>
  <c r="AB1473" i="12"/>
  <c r="AA1473" i="12"/>
  <c r="Z1473" i="12"/>
  <c r="Y1473" i="12"/>
  <c r="X1473" i="12"/>
  <c r="W1473" i="12"/>
  <c r="V1473" i="12"/>
  <c r="AC1472" i="12"/>
  <c r="AB1472" i="12"/>
  <c r="AA1472" i="12"/>
  <c r="Z1472" i="12"/>
  <c r="Y1472" i="12"/>
  <c r="X1472" i="12"/>
  <c r="W1472" i="12"/>
  <c r="V1472" i="12"/>
  <c r="AC1471" i="12"/>
  <c r="AB1471" i="12"/>
  <c r="AA1471" i="12"/>
  <c r="Z1471" i="12"/>
  <c r="Y1471" i="12"/>
  <c r="X1471" i="12"/>
  <c r="W1471" i="12"/>
  <c r="V1471" i="12"/>
  <c r="AC1470" i="12"/>
  <c r="AB1470" i="12"/>
  <c r="AA1470" i="12"/>
  <c r="Z1470" i="12"/>
  <c r="Y1470" i="12"/>
  <c r="X1470" i="12"/>
  <c r="W1470" i="12"/>
  <c r="V1470" i="12"/>
  <c r="AC1469" i="12"/>
  <c r="AB1469" i="12"/>
  <c r="AA1469" i="12"/>
  <c r="Z1469" i="12"/>
  <c r="Y1469" i="12"/>
  <c r="X1469" i="12"/>
  <c r="W1469" i="12"/>
  <c r="V1469" i="12"/>
  <c r="AC1468" i="12"/>
  <c r="AB1468" i="12"/>
  <c r="AA1468" i="12"/>
  <c r="Z1468" i="12"/>
  <c r="Y1468" i="12"/>
  <c r="X1468" i="12"/>
  <c r="W1468" i="12"/>
  <c r="V1468" i="12"/>
  <c r="AC1467" i="12"/>
  <c r="AB1467" i="12"/>
  <c r="AA1467" i="12"/>
  <c r="Z1467" i="12"/>
  <c r="Y1467" i="12"/>
  <c r="X1467" i="12"/>
  <c r="W1467" i="12"/>
  <c r="V1467" i="12"/>
  <c r="AC1466" i="12"/>
  <c r="AB1466" i="12"/>
  <c r="AA1466" i="12"/>
  <c r="Z1466" i="12"/>
  <c r="Y1466" i="12"/>
  <c r="X1466" i="12"/>
  <c r="W1466" i="12"/>
  <c r="V1466" i="12"/>
  <c r="AC1465" i="12"/>
  <c r="AB1465" i="12"/>
  <c r="AA1465" i="12"/>
  <c r="Z1465" i="12"/>
  <c r="Y1465" i="12"/>
  <c r="X1465" i="12"/>
  <c r="W1465" i="12"/>
  <c r="V1465" i="12"/>
  <c r="AC1464" i="12"/>
  <c r="AB1464" i="12"/>
  <c r="AA1464" i="12"/>
  <c r="Z1464" i="12"/>
  <c r="Y1464" i="12"/>
  <c r="X1464" i="12"/>
  <c r="W1464" i="12"/>
  <c r="V1464" i="12"/>
  <c r="AC1463" i="12"/>
  <c r="AB1463" i="12"/>
  <c r="AA1463" i="12"/>
  <c r="Z1463" i="12"/>
  <c r="Y1463" i="12"/>
  <c r="X1463" i="12"/>
  <c r="W1463" i="12"/>
  <c r="V1463" i="12"/>
  <c r="AC1462" i="12"/>
  <c r="AB1462" i="12"/>
  <c r="AA1462" i="12"/>
  <c r="Z1462" i="12"/>
  <c r="Y1462" i="12"/>
  <c r="X1462" i="12"/>
  <c r="W1462" i="12"/>
  <c r="V1462" i="12"/>
  <c r="AC1461" i="12"/>
  <c r="AB1461" i="12"/>
  <c r="AA1461" i="12"/>
  <c r="Z1461" i="12"/>
  <c r="Y1461" i="12"/>
  <c r="X1461" i="12"/>
  <c r="W1461" i="12"/>
  <c r="V1461" i="12"/>
  <c r="AC1460" i="12"/>
  <c r="AB1460" i="12"/>
  <c r="AA1460" i="12"/>
  <c r="Z1460" i="12"/>
  <c r="Y1460" i="12"/>
  <c r="X1460" i="12"/>
  <c r="W1460" i="12"/>
  <c r="V1460" i="12"/>
  <c r="AC1459" i="12"/>
  <c r="AB1459" i="12"/>
  <c r="AA1459" i="12"/>
  <c r="Z1459" i="12"/>
  <c r="Y1459" i="12"/>
  <c r="X1459" i="12"/>
  <c r="W1459" i="12"/>
  <c r="V1459" i="12"/>
  <c r="AC1458" i="12"/>
  <c r="AB1458" i="12"/>
  <c r="AA1458" i="12"/>
  <c r="Z1458" i="12"/>
  <c r="Y1458" i="12"/>
  <c r="X1458" i="12"/>
  <c r="W1458" i="12"/>
  <c r="V1458" i="12"/>
  <c r="AC1457" i="12"/>
  <c r="AB1457" i="12"/>
  <c r="AA1457" i="12"/>
  <c r="Z1457" i="12"/>
  <c r="Y1457" i="12"/>
  <c r="X1457" i="12"/>
  <c r="W1457" i="12"/>
  <c r="V1457" i="12"/>
  <c r="AC1456" i="12"/>
  <c r="AB1456" i="12"/>
  <c r="AA1456" i="12"/>
  <c r="Z1456" i="12"/>
  <c r="Y1456" i="12"/>
  <c r="X1456" i="12"/>
  <c r="W1456" i="12"/>
  <c r="V1456" i="12"/>
  <c r="AC1455" i="12"/>
  <c r="AB1455" i="12"/>
  <c r="AA1455" i="12"/>
  <c r="Z1455" i="12"/>
  <c r="Y1455" i="12"/>
  <c r="X1455" i="12"/>
  <c r="W1455" i="12"/>
  <c r="V1455" i="12"/>
  <c r="AC1454" i="12"/>
  <c r="AB1454" i="12"/>
  <c r="AA1454" i="12"/>
  <c r="Z1454" i="12"/>
  <c r="Y1454" i="12"/>
  <c r="X1454" i="12"/>
  <c r="W1454" i="12"/>
  <c r="V1454" i="12"/>
  <c r="AC1453" i="12"/>
  <c r="AB1453" i="12"/>
  <c r="AA1453" i="12"/>
  <c r="Z1453" i="12"/>
  <c r="Y1453" i="12"/>
  <c r="X1453" i="12"/>
  <c r="W1453" i="12"/>
  <c r="V1453" i="12"/>
  <c r="AC1452" i="12"/>
  <c r="AB1452" i="12"/>
  <c r="AA1452" i="12"/>
  <c r="Z1452" i="12"/>
  <c r="Y1452" i="12"/>
  <c r="X1452" i="12"/>
  <c r="W1452" i="12"/>
  <c r="V1452" i="12"/>
  <c r="AC1451" i="12"/>
  <c r="AB1451" i="12"/>
  <c r="AA1451" i="12"/>
  <c r="Z1451" i="12"/>
  <c r="Y1451" i="12"/>
  <c r="X1451" i="12"/>
  <c r="W1451" i="12"/>
  <c r="V1451" i="12"/>
  <c r="AC1450" i="12"/>
  <c r="AB1450" i="12"/>
  <c r="AA1450" i="12"/>
  <c r="Z1450" i="12"/>
  <c r="Y1450" i="12"/>
  <c r="X1450" i="12"/>
  <c r="W1450" i="12"/>
  <c r="V1450" i="12"/>
  <c r="AC1449" i="12"/>
  <c r="AB1449" i="12"/>
  <c r="AA1449" i="12"/>
  <c r="Z1449" i="12"/>
  <c r="Y1449" i="12"/>
  <c r="X1449" i="12"/>
  <c r="W1449" i="12"/>
  <c r="V1449" i="12"/>
  <c r="AC1448" i="12"/>
  <c r="AB1448" i="12"/>
  <c r="AA1448" i="12"/>
  <c r="Z1448" i="12"/>
  <c r="Y1448" i="12"/>
  <c r="X1448" i="12"/>
  <c r="W1448" i="12"/>
  <c r="V1448" i="12"/>
  <c r="AC1447" i="12"/>
  <c r="AB1447" i="12"/>
  <c r="AA1447" i="12"/>
  <c r="Z1447" i="12"/>
  <c r="Y1447" i="12"/>
  <c r="X1447" i="12"/>
  <c r="W1447" i="12"/>
  <c r="V1447" i="12"/>
  <c r="AC1446" i="12"/>
  <c r="AB1446" i="12"/>
  <c r="AA1446" i="12"/>
  <c r="Z1446" i="12"/>
  <c r="Y1446" i="12"/>
  <c r="X1446" i="12"/>
  <c r="W1446" i="12"/>
  <c r="V1446" i="12"/>
  <c r="AC1445" i="12"/>
  <c r="AB1445" i="12"/>
  <c r="AA1445" i="12"/>
  <c r="Z1445" i="12"/>
  <c r="Y1445" i="12"/>
  <c r="X1445" i="12"/>
  <c r="W1445" i="12"/>
  <c r="V1445" i="12"/>
  <c r="AC1444" i="12"/>
  <c r="AB1444" i="12"/>
  <c r="AA1444" i="12"/>
  <c r="Z1444" i="12"/>
  <c r="Y1444" i="12"/>
  <c r="X1444" i="12"/>
  <c r="W1444" i="12"/>
  <c r="V1444" i="12"/>
  <c r="AC1443" i="12"/>
  <c r="AB1443" i="12"/>
  <c r="AA1443" i="12"/>
  <c r="Z1443" i="12"/>
  <c r="Y1443" i="12"/>
  <c r="X1443" i="12"/>
  <c r="W1443" i="12"/>
  <c r="V1443" i="12"/>
  <c r="AC1442" i="12"/>
  <c r="AB1442" i="12"/>
  <c r="AA1442" i="12"/>
  <c r="Z1442" i="12"/>
  <c r="Y1442" i="12"/>
  <c r="X1442" i="12"/>
  <c r="W1442" i="12"/>
  <c r="V1442" i="12"/>
  <c r="AC1441" i="12"/>
  <c r="AB1441" i="12"/>
  <c r="AA1441" i="12"/>
  <c r="Z1441" i="12"/>
  <c r="Y1441" i="12"/>
  <c r="X1441" i="12"/>
  <c r="W1441" i="12"/>
  <c r="V1441" i="12"/>
  <c r="AC1440" i="12"/>
  <c r="AB1440" i="12"/>
  <c r="AA1440" i="12"/>
  <c r="Z1440" i="12"/>
  <c r="Y1440" i="12"/>
  <c r="X1440" i="12"/>
  <c r="W1440" i="12"/>
  <c r="V1440" i="12"/>
  <c r="AC1439" i="12"/>
  <c r="AB1439" i="12"/>
  <c r="AA1439" i="12"/>
  <c r="Z1439" i="12"/>
  <c r="Y1439" i="12"/>
  <c r="X1439" i="12"/>
  <c r="W1439" i="12"/>
  <c r="V1439" i="12"/>
  <c r="AC1438" i="12"/>
  <c r="AB1438" i="12"/>
  <c r="AA1438" i="12"/>
  <c r="Z1438" i="12"/>
  <c r="Y1438" i="12"/>
  <c r="X1438" i="12"/>
  <c r="W1438" i="12"/>
  <c r="V1438" i="12"/>
  <c r="AC1437" i="12"/>
  <c r="AB1437" i="12"/>
  <c r="AA1437" i="12"/>
  <c r="Z1437" i="12"/>
  <c r="Y1437" i="12"/>
  <c r="X1437" i="12"/>
  <c r="W1437" i="12"/>
  <c r="V1437" i="12"/>
  <c r="AC1436" i="12"/>
  <c r="AB1436" i="12"/>
  <c r="AA1436" i="12"/>
  <c r="Z1436" i="12"/>
  <c r="Y1436" i="12"/>
  <c r="X1436" i="12"/>
  <c r="W1436" i="12"/>
  <c r="V1436" i="12"/>
  <c r="AC1435" i="12"/>
  <c r="AB1435" i="12"/>
  <c r="AA1435" i="12"/>
  <c r="Z1435" i="12"/>
  <c r="Y1435" i="12"/>
  <c r="X1435" i="12"/>
  <c r="W1435" i="12"/>
  <c r="V1435" i="12"/>
  <c r="AC1434" i="12"/>
  <c r="AB1434" i="12"/>
  <c r="AA1434" i="12"/>
  <c r="Z1434" i="12"/>
  <c r="Y1434" i="12"/>
  <c r="X1434" i="12"/>
  <c r="W1434" i="12"/>
  <c r="V1434" i="12"/>
  <c r="AC1433" i="12"/>
  <c r="AB1433" i="12"/>
  <c r="AA1433" i="12"/>
  <c r="Z1433" i="12"/>
  <c r="Y1433" i="12"/>
  <c r="X1433" i="12"/>
  <c r="W1433" i="12"/>
  <c r="V1433" i="12"/>
  <c r="AC1432" i="12"/>
  <c r="AB1432" i="12"/>
  <c r="AA1432" i="12"/>
  <c r="Z1432" i="12"/>
  <c r="Y1432" i="12"/>
  <c r="X1432" i="12"/>
  <c r="W1432" i="12"/>
  <c r="V1432" i="12"/>
  <c r="AC1431" i="12"/>
  <c r="AB1431" i="12"/>
  <c r="AA1431" i="12"/>
  <c r="Z1431" i="12"/>
  <c r="Y1431" i="12"/>
  <c r="X1431" i="12"/>
  <c r="W1431" i="12"/>
  <c r="V1431" i="12"/>
  <c r="AC1430" i="12"/>
  <c r="AB1430" i="12"/>
  <c r="AA1430" i="12"/>
  <c r="Z1430" i="12"/>
  <c r="Y1430" i="12"/>
  <c r="X1430" i="12"/>
  <c r="W1430" i="12"/>
  <c r="V1430" i="12"/>
  <c r="AC1429" i="12"/>
  <c r="AB1429" i="12"/>
  <c r="AA1429" i="12"/>
  <c r="Z1429" i="12"/>
  <c r="Y1429" i="12"/>
  <c r="X1429" i="12"/>
  <c r="W1429" i="12"/>
  <c r="V1429" i="12"/>
  <c r="AC1428" i="12"/>
  <c r="AB1428" i="12"/>
  <c r="AA1428" i="12"/>
  <c r="Z1428" i="12"/>
  <c r="Y1428" i="12"/>
  <c r="X1428" i="12"/>
  <c r="W1428" i="12"/>
  <c r="V1428" i="12"/>
  <c r="AC1427" i="12"/>
  <c r="AB1427" i="12"/>
  <c r="AA1427" i="12"/>
  <c r="Z1427" i="12"/>
  <c r="Y1427" i="12"/>
  <c r="X1427" i="12"/>
  <c r="W1427" i="12"/>
  <c r="V1427" i="12"/>
  <c r="AC1426" i="12"/>
  <c r="AB1426" i="12"/>
  <c r="AA1426" i="12"/>
  <c r="Z1426" i="12"/>
  <c r="Y1426" i="12"/>
  <c r="X1426" i="12"/>
  <c r="W1426" i="12"/>
  <c r="V1426" i="12"/>
  <c r="AC1425" i="12"/>
  <c r="AB1425" i="12"/>
  <c r="AA1425" i="12"/>
  <c r="Z1425" i="12"/>
  <c r="Y1425" i="12"/>
  <c r="X1425" i="12"/>
  <c r="W1425" i="12"/>
  <c r="V1425" i="12"/>
  <c r="AC1424" i="12"/>
  <c r="AB1424" i="12"/>
  <c r="AA1424" i="12"/>
  <c r="Z1424" i="12"/>
  <c r="Y1424" i="12"/>
  <c r="X1424" i="12"/>
  <c r="W1424" i="12"/>
  <c r="V1424" i="12"/>
  <c r="AC1423" i="12"/>
  <c r="AB1423" i="12"/>
  <c r="AA1423" i="12"/>
  <c r="Z1423" i="12"/>
  <c r="Y1423" i="12"/>
  <c r="X1423" i="12"/>
  <c r="W1423" i="12"/>
  <c r="V1423" i="12"/>
  <c r="AC1422" i="12"/>
  <c r="AB1422" i="12"/>
  <c r="AA1422" i="12"/>
  <c r="Z1422" i="12"/>
  <c r="Y1422" i="12"/>
  <c r="X1422" i="12"/>
  <c r="W1422" i="12"/>
  <c r="V1422" i="12"/>
  <c r="AC1421" i="12"/>
  <c r="AB1421" i="12"/>
  <c r="AA1421" i="12"/>
  <c r="Z1421" i="12"/>
  <c r="Y1421" i="12"/>
  <c r="X1421" i="12"/>
  <c r="W1421" i="12"/>
  <c r="V1421" i="12"/>
  <c r="AC1420" i="12"/>
  <c r="AB1420" i="12"/>
  <c r="AA1420" i="12"/>
  <c r="Z1420" i="12"/>
  <c r="Y1420" i="12"/>
  <c r="X1420" i="12"/>
  <c r="W1420" i="12"/>
  <c r="V1420" i="12"/>
  <c r="AC1419" i="12"/>
  <c r="AB1419" i="12"/>
  <c r="AA1419" i="12"/>
  <c r="Z1419" i="12"/>
  <c r="Y1419" i="12"/>
  <c r="X1419" i="12"/>
  <c r="W1419" i="12"/>
  <c r="V1419" i="12"/>
  <c r="AC1418" i="12"/>
  <c r="AB1418" i="12"/>
  <c r="AA1418" i="12"/>
  <c r="Z1418" i="12"/>
  <c r="Y1418" i="12"/>
  <c r="X1418" i="12"/>
  <c r="W1418" i="12"/>
  <c r="V1418" i="12"/>
  <c r="AC1417" i="12"/>
  <c r="AB1417" i="12"/>
  <c r="AA1417" i="12"/>
  <c r="Z1417" i="12"/>
  <c r="Y1417" i="12"/>
  <c r="X1417" i="12"/>
  <c r="W1417" i="12"/>
  <c r="V1417" i="12"/>
  <c r="AC1416" i="12"/>
  <c r="AB1416" i="12"/>
  <c r="AA1416" i="12"/>
  <c r="Z1416" i="12"/>
  <c r="Y1416" i="12"/>
  <c r="X1416" i="12"/>
  <c r="W1416" i="12"/>
  <c r="V1416" i="12"/>
  <c r="AC1415" i="12"/>
  <c r="AB1415" i="12"/>
  <c r="AA1415" i="12"/>
  <c r="Z1415" i="12"/>
  <c r="Y1415" i="12"/>
  <c r="X1415" i="12"/>
  <c r="W1415" i="12"/>
  <c r="V1415" i="12"/>
  <c r="AC1414" i="12"/>
  <c r="AB1414" i="12"/>
  <c r="AA1414" i="12"/>
  <c r="Z1414" i="12"/>
  <c r="Y1414" i="12"/>
  <c r="X1414" i="12"/>
  <c r="W1414" i="12"/>
  <c r="V1414" i="12"/>
  <c r="AC1413" i="12"/>
  <c r="AB1413" i="12"/>
  <c r="AA1413" i="12"/>
  <c r="Z1413" i="12"/>
  <c r="Y1413" i="12"/>
  <c r="X1413" i="12"/>
  <c r="W1413" i="12"/>
  <c r="V1413" i="12"/>
  <c r="AC1412" i="12"/>
  <c r="AB1412" i="12"/>
  <c r="AA1412" i="12"/>
  <c r="Z1412" i="12"/>
  <c r="Y1412" i="12"/>
  <c r="X1412" i="12"/>
  <c r="W1412" i="12"/>
  <c r="V1412" i="12"/>
  <c r="AC1411" i="12"/>
  <c r="AB1411" i="12"/>
  <c r="AA1411" i="12"/>
  <c r="Z1411" i="12"/>
  <c r="Y1411" i="12"/>
  <c r="X1411" i="12"/>
  <c r="W1411" i="12"/>
  <c r="V1411" i="12"/>
  <c r="AC1410" i="12"/>
  <c r="AB1410" i="12"/>
  <c r="AA1410" i="12"/>
  <c r="Z1410" i="12"/>
  <c r="Y1410" i="12"/>
  <c r="X1410" i="12"/>
  <c r="W1410" i="12"/>
  <c r="V1410" i="12"/>
  <c r="AC1409" i="12"/>
  <c r="AB1409" i="12"/>
  <c r="AA1409" i="12"/>
  <c r="Z1409" i="12"/>
  <c r="Y1409" i="12"/>
  <c r="X1409" i="12"/>
  <c r="W1409" i="12"/>
  <c r="V1409" i="12"/>
  <c r="AC1408" i="12"/>
  <c r="AB1408" i="12"/>
  <c r="AA1408" i="12"/>
  <c r="Z1408" i="12"/>
  <c r="Y1408" i="12"/>
  <c r="X1408" i="12"/>
  <c r="W1408" i="12"/>
  <c r="V1408" i="12"/>
  <c r="AC1407" i="12"/>
  <c r="AB1407" i="12"/>
  <c r="AA1407" i="12"/>
  <c r="Z1407" i="12"/>
  <c r="Y1407" i="12"/>
  <c r="X1407" i="12"/>
  <c r="W1407" i="12"/>
  <c r="V1407" i="12"/>
  <c r="AC1406" i="12"/>
  <c r="AB1406" i="12"/>
  <c r="AA1406" i="12"/>
  <c r="Z1406" i="12"/>
  <c r="Y1406" i="12"/>
  <c r="X1406" i="12"/>
  <c r="W1406" i="12"/>
  <c r="V1406" i="12"/>
  <c r="AC1405" i="12"/>
  <c r="AB1405" i="12"/>
  <c r="AA1405" i="12"/>
  <c r="Z1405" i="12"/>
  <c r="Y1405" i="12"/>
  <c r="X1405" i="12"/>
  <c r="W1405" i="12"/>
  <c r="V1405" i="12"/>
  <c r="AC1404" i="12"/>
  <c r="AB1404" i="12"/>
  <c r="AA1404" i="12"/>
  <c r="Z1404" i="12"/>
  <c r="Y1404" i="12"/>
  <c r="X1404" i="12"/>
  <c r="W1404" i="12"/>
  <c r="V1404" i="12"/>
  <c r="AC1403" i="12"/>
  <c r="AB1403" i="12"/>
  <c r="AA1403" i="12"/>
  <c r="Z1403" i="12"/>
  <c r="Y1403" i="12"/>
  <c r="X1403" i="12"/>
  <c r="W1403" i="12"/>
  <c r="V1403" i="12"/>
  <c r="AC1402" i="12"/>
  <c r="AB1402" i="12"/>
  <c r="AA1402" i="12"/>
  <c r="Z1402" i="12"/>
  <c r="Y1402" i="12"/>
  <c r="X1402" i="12"/>
  <c r="W1402" i="12"/>
  <c r="V1402" i="12"/>
  <c r="AC1401" i="12"/>
  <c r="AB1401" i="12"/>
  <c r="AA1401" i="12"/>
  <c r="Z1401" i="12"/>
  <c r="Y1401" i="12"/>
  <c r="X1401" i="12"/>
  <c r="W1401" i="12"/>
  <c r="V1401" i="12"/>
  <c r="AC1400" i="12"/>
  <c r="AB1400" i="12"/>
  <c r="AA1400" i="12"/>
  <c r="Z1400" i="12"/>
  <c r="Y1400" i="12"/>
  <c r="X1400" i="12"/>
  <c r="W1400" i="12"/>
  <c r="V1400" i="12"/>
  <c r="AC1399" i="12"/>
  <c r="AB1399" i="12"/>
  <c r="AA1399" i="12"/>
  <c r="Z1399" i="12"/>
  <c r="Y1399" i="12"/>
  <c r="X1399" i="12"/>
  <c r="W1399" i="12"/>
  <c r="V1399" i="12"/>
  <c r="AC1398" i="12"/>
  <c r="AB1398" i="12"/>
  <c r="AA1398" i="12"/>
  <c r="Z1398" i="12"/>
  <c r="Y1398" i="12"/>
  <c r="X1398" i="12"/>
  <c r="W1398" i="12"/>
  <c r="V1398" i="12"/>
  <c r="AC1397" i="12"/>
  <c r="AB1397" i="12"/>
  <c r="AA1397" i="12"/>
  <c r="Z1397" i="12"/>
  <c r="Y1397" i="12"/>
  <c r="X1397" i="12"/>
  <c r="W1397" i="12"/>
  <c r="V1397" i="12"/>
  <c r="AC1396" i="12"/>
  <c r="AB1396" i="12"/>
  <c r="AA1396" i="12"/>
  <c r="Z1396" i="12"/>
  <c r="Y1396" i="12"/>
  <c r="X1396" i="12"/>
  <c r="W1396" i="12"/>
  <c r="V1396" i="12"/>
  <c r="AC1395" i="12"/>
  <c r="AB1395" i="12"/>
  <c r="AA1395" i="12"/>
  <c r="Z1395" i="12"/>
  <c r="Y1395" i="12"/>
  <c r="X1395" i="12"/>
  <c r="W1395" i="12"/>
  <c r="V1395" i="12"/>
  <c r="AC1394" i="12"/>
  <c r="AB1394" i="12"/>
  <c r="AA1394" i="12"/>
  <c r="Z1394" i="12"/>
  <c r="Y1394" i="12"/>
  <c r="X1394" i="12"/>
  <c r="W1394" i="12"/>
  <c r="V1394" i="12"/>
  <c r="AC1393" i="12"/>
  <c r="AB1393" i="12"/>
  <c r="AA1393" i="12"/>
  <c r="Z1393" i="12"/>
  <c r="Y1393" i="12"/>
  <c r="X1393" i="12"/>
  <c r="W1393" i="12"/>
  <c r="V1393" i="12"/>
  <c r="AC1392" i="12"/>
  <c r="AB1392" i="12"/>
  <c r="AA1392" i="12"/>
  <c r="Z1392" i="12"/>
  <c r="Y1392" i="12"/>
  <c r="X1392" i="12"/>
  <c r="W1392" i="12"/>
  <c r="V1392" i="12"/>
  <c r="AC1391" i="12"/>
  <c r="AB1391" i="12"/>
  <c r="AA1391" i="12"/>
  <c r="Z1391" i="12"/>
  <c r="Y1391" i="12"/>
  <c r="X1391" i="12"/>
  <c r="W1391" i="12"/>
  <c r="V1391" i="12"/>
  <c r="AC1390" i="12"/>
  <c r="AB1390" i="12"/>
  <c r="AA1390" i="12"/>
  <c r="Z1390" i="12"/>
  <c r="Y1390" i="12"/>
  <c r="X1390" i="12"/>
  <c r="W1390" i="12"/>
  <c r="V1390" i="12"/>
  <c r="AC1389" i="12"/>
  <c r="AB1389" i="12"/>
  <c r="AA1389" i="12"/>
  <c r="Z1389" i="12"/>
  <c r="Y1389" i="12"/>
  <c r="X1389" i="12"/>
  <c r="W1389" i="12"/>
  <c r="V1389" i="12"/>
  <c r="AC1388" i="12"/>
  <c r="AB1388" i="12"/>
  <c r="AA1388" i="12"/>
  <c r="Z1388" i="12"/>
  <c r="Y1388" i="12"/>
  <c r="X1388" i="12"/>
  <c r="W1388" i="12"/>
  <c r="V1388" i="12"/>
  <c r="AC1387" i="12"/>
  <c r="AB1387" i="12"/>
  <c r="AA1387" i="12"/>
  <c r="Z1387" i="12"/>
  <c r="Y1387" i="12"/>
  <c r="X1387" i="12"/>
  <c r="W1387" i="12"/>
  <c r="V1387" i="12"/>
  <c r="AC1386" i="12"/>
  <c r="AB1386" i="12"/>
  <c r="AA1386" i="12"/>
  <c r="Z1386" i="12"/>
  <c r="Y1386" i="12"/>
  <c r="X1386" i="12"/>
  <c r="W1386" i="12"/>
  <c r="V1386" i="12"/>
  <c r="AC1385" i="12"/>
  <c r="AB1385" i="12"/>
  <c r="AA1385" i="12"/>
  <c r="Z1385" i="12"/>
  <c r="Y1385" i="12"/>
  <c r="X1385" i="12"/>
  <c r="W1385" i="12"/>
  <c r="V1385" i="12"/>
  <c r="AC1384" i="12"/>
  <c r="AB1384" i="12"/>
  <c r="AA1384" i="12"/>
  <c r="Z1384" i="12"/>
  <c r="Y1384" i="12"/>
  <c r="X1384" i="12"/>
  <c r="W1384" i="12"/>
  <c r="V1384" i="12"/>
  <c r="AC1383" i="12"/>
  <c r="AB1383" i="12"/>
  <c r="AA1383" i="12"/>
  <c r="Z1383" i="12"/>
  <c r="Y1383" i="12"/>
  <c r="X1383" i="12"/>
  <c r="W1383" i="12"/>
  <c r="V1383" i="12"/>
  <c r="AC1382" i="12"/>
  <c r="AB1382" i="12"/>
  <c r="AA1382" i="12"/>
  <c r="Z1382" i="12"/>
  <c r="Y1382" i="12"/>
  <c r="X1382" i="12"/>
  <c r="W1382" i="12"/>
  <c r="V1382" i="12"/>
  <c r="AC1381" i="12"/>
  <c r="AB1381" i="12"/>
  <c r="AA1381" i="12"/>
  <c r="Z1381" i="12"/>
  <c r="Y1381" i="12"/>
  <c r="X1381" i="12"/>
  <c r="W1381" i="12"/>
  <c r="V1381" i="12"/>
  <c r="AC1380" i="12"/>
  <c r="AB1380" i="12"/>
  <c r="AA1380" i="12"/>
  <c r="Z1380" i="12"/>
  <c r="Y1380" i="12"/>
  <c r="X1380" i="12"/>
  <c r="W1380" i="12"/>
  <c r="V1380" i="12"/>
  <c r="AC1379" i="12"/>
  <c r="AB1379" i="12"/>
  <c r="AA1379" i="12"/>
  <c r="Z1379" i="12"/>
  <c r="Y1379" i="12"/>
  <c r="X1379" i="12"/>
  <c r="W1379" i="12"/>
  <c r="V1379" i="12"/>
  <c r="AC1378" i="12"/>
  <c r="AB1378" i="12"/>
  <c r="AA1378" i="12"/>
  <c r="Z1378" i="12"/>
  <c r="Y1378" i="12"/>
  <c r="X1378" i="12"/>
  <c r="W1378" i="12"/>
  <c r="V1378" i="12"/>
  <c r="AC1377" i="12"/>
  <c r="AB1377" i="12"/>
  <c r="AA1377" i="12"/>
  <c r="Z1377" i="12"/>
  <c r="Y1377" i="12"/>
  <c r="X1377" i="12"/>
  <c r="W1377" i="12"/>
  <c r="V1377" i="12"/>
  <c r="AC1376" i="12"/>
  <c r="AB1376" i="12"/>
  <c r="AA1376" i="12"/>
  <c r="Z1376" i="12"/>
  <c r="Y1376" i="12"/>
  <c r="X1376" i="12"/>
  <c r="W1376" i="12"/>
  <c r="V1376" i="12"/>
  <c r="AC1375" i="12"/>
  <c r="AB1375" i="12"/>
  <c r="AA1375" i="12"/>
  <c r="Z1375" i="12"/>
  <c r="Y1375" i="12"/>
  <c r="X1375" i="12"/>
  <c r="W1375" i="12"/>
  <c r="V1375" i="12"/>
  <c r="AC1374" i="12"/>
  <c r="AB1374" i="12"/>
  <c r="AA1374" i="12"/>
  <c r="Z1374" i="12"/>
  <c r="Y1374" i="12"/>
  <c r="X1374" i="12"/>
  <c r="W1374" i="12"/>
  <c r="V1374" i="12"/>
  <c r="AC1373" i="12"/>
  <c r="AB1373" i="12"/>
  <c r="AA1373" i="12"/>
  <c r="Z1373" i="12"/>
  <c r="Y1373" i="12"/>
  <c r="X1373" i="12"/>
  <c r="W1373" i="12"/>
  <c r="V1373" i="12"/>
  <c r="AC1372" i="12"/>
  <c r="AB1372" i="12"/>
  <c r="AA1372" i="12"/>
  <c r="Z1372" i="12"/>
  <c r="Y1372" i="12"/>
  <c r="X1372" i="12"/>
  <c r="W1372" i="12"/>
  <c r="V1372" i="12"/>
  <c r="AC1371" i="12"/>
  <c r="AB1371" i="12"/>
  <c r="AA1371" i="12"/>
  <c r="Z1371" i="12"/>
  <c r="Y1371" i="12"/>
  <c r="X1371" i="12"/>
  <c r="W1371" i="12"/>
  <c r="V1371" i="12"/>
  <c r="AC1370" i="12"/>
  <c r="AB1370" i="12"/>
  <c r="AA1370" i="12"/>
  <c r="Z1370" i="12"/>
  <c r="Y1370" i="12"/>
  <c r="X1370" i="12"/>
  <c r="W1370" i="12"/>
  <c r="V1370" i="12"/>
  <c r="AC1369" i="12"/>
  <c r="AB1369" i="12"/>
  <c r="AA1369" i="12"/>
  <c r="Z1369" i="12"/>
  <c r="Y1369" i="12"/>
  <c r="X1369" i="12"/>
  <c r="W1369" i="12"/>
  <c r="V1369" i="12"/>
  <c r="AC1368" i="12"/>
  <c r="AB1368" i="12"/>
  <c r="AA1368" i="12"/>
  <c r="Z1368" i="12"/>
  <c r="Y1368" i="12"/>
  <c r="X1368" i="12"/>
  <c r="W1368" i="12"/>
  <c r="V1368" i="12"/>
  <c r="AC1367" i="12"/>
  <c r="AB1367" i="12"/>
  <c r="AA1367" i="12"/>
  <c r="Z1367" i="12"/>
  <c r="Y1367" i="12"/>
  <c r="X1367" i="12"/>
  <c r="W1367" i="12"/>
  <c r="V1367" i="12"/>
  <c r="AC1366" i="12"/>
  <c r="AB1366" i="12"/>
  <c r="AA1366" i="12"/>
  <c r="Z1366" i="12"/>
  <c r="Y1366" i="12"/>
  <c r="X1366" i="12"/>
  <c r="W1366" i="12"/>
  <c r="V1366" i="12"/>
  <c r="AC1365" i="12"/>
  <c r="AB1365" i="12"/>
  <c r="AA1365" i="12"/>
  <c r="Z1365" i="12"/>
  <c r="Y1365" i="12"/>
  <c r="X1365" i="12"/>
  <c r="W1365" i="12"/>
  <c r="V1365" i="12"/>
  <c r="AC1364" i="12"/>
  <c r="AB1364" i="12"/>
  <c r="AA1364" i="12"/>
  <c r="Z1364" i="12"/>
  <c r="Y1364" i="12"/>
  <c r="X1364" i="12"/>
  <c r="W1364" i="12"/>
  <c r="V1364" i="12"/>
  <c r="AC1363" i="12"/>
  <c r="AB1363" i="12"/>
  <c r="AA1363" i="12"/>
  <c r="Z1363" i="12"/>
  <c r="Y1363" i="12"/>
  <c r="X1363" i="12"/>
  <c r="W1363" i="12"/>
  <c r="V1363" i="12"/>
  <c r="AC1362" i="12"/>
  <c r="AB1362" i="12"/>
  <c r="AA1362" i="12"/>
  <c r="Z1362" i="12"/>
  <c r="Y1362" i="12"/>
  <c r="X1362" i="12"/>
  <c r="W1362" i="12"/>
  <c r="V1362" i="12"/>
  <c r="AC1361" i="12"/>
  <c r="AB1361" i="12"/>
  <c r="AA1361" i="12"/>
  <c r="Z1361" i="12"/>
  <c r="Y1361" i="12"/>
  <c r="X1361" i="12"/>
  <c r="W1361" i="12"/>
  <c r="V1361" i="12"/>
  <c r="AC1360" i="12"/>
  <c r="AB1360" i="12"/>
  <c r="AA1360" i="12"/>
  <c r="Z1360" i="12"/>
  <c r="Y1360" i="12"/>
  <c r="X1360" i="12"/>
  <c r="W1360" i="12"/>
  <c r="V1360" i="12"/>
  <c r="AC1359" i="12"/>
  <c r="AB1359" i="12"/>
  <c r="AA1359" i="12"/>
  <c r="Z1359" i="12"/>
  <c r="Y1359" i="12"/>
  <c r="X1359" i="12"/>
  <c r="W1359" i="12"/>
  <c r="V1359" i="12"/>
  <c r="AC1358" i="12"/>
  <c r="AB1358" i="12"/>
  <c r="AA1358" i="12"/>
  <c r="Z1358" i="12"/>
  <c r="Y1358" i="12"/>
  <c r="X1358" i="12"/>
  <c r="W1358" i="12"/>
  <c r="V1358" i="12"/>
  <c r="AC1357" i="12"/>
  <c r="AB1357" i="12"/>
  <c r="AA1357" i="12"/>
  <c r="Z1357" i="12"/>
  <c r="Y1357" i="12"/>
  <c r="X1357" i="12"/>
  <c r="W1357" i="12"/>
  <c r="V1357" i="12"/>
  <c r="AC1356" i="12"/>
  <c r="AB1356" i="12"/>
  <c r="AA1356" i="12"/>
  <c r="Z1356" i="12"/>
  <c r="Y1356" i="12"/>
  <c r="X1356" i="12"/>
  <c r="W1356" i="12"/>
  <c r="V1356" i="12"/>
  <c r="AC1355" i="12"/>
  <c r="AB1355" i="12"/>
  <c r="AA1355" i="12"/>
  <c r="Z1355" i="12"/>
  <c r="Y1355" i="12"/>
  <c r="X1355" i="12"/>
  <c r="W1355" i="12"/>
  <c r="V1355" i="12"/>
  <c r="AC1354" i="12"/>
  <c r="AB1354" i="12"/>
  <c r="AA1354" i="12"/>
  <c r="Z1354" i="12"/>
  <c r="Y1354" i="12"/>
  <c r="X1354" i="12"/>
  <c r="W1354" i="12"/>
  <c r="V1354" i="12"/>
  <c r="AC1353" i="12"/>
  <c r="AB1353" i="12"/>
  <c r="AA1353" i="12"/>
  <c r="Z1353" i="12"/>
  <c r="Y1353" i="12"/>
  <c r="X1353" i="12"/>
  <c r="W1353" i="12"/>
  <c r="V1353" i="12"/>
  <c r="AC1352" i="12"/>
  <c r="AB1352" i="12"/>
  <c r="AA1352" i="12"/>
  <c r="Z1352" i="12"/>
  <c r="Y1352" i="12"/>
  <c r="X1352" i="12"/>
  <c r="W1352" i="12"/>
  <c r="V1352" i="12"/>
  <c r="AC1351" i="12"/>
  <c r="AB1351" i="12"/>
  <c r="AA1351" i="12"/>
  <c r="Z1351" i="12"/>
  <c r="Y1351" i="12"/>
  <c r="X1351" i="12"/>
  <c r="W1351" i="12"/>
  <c r="V1351" i="12"/>
  <c r="AC1350" i="12"/>
  <c r="AB1350" i="12"/>
  <c r="AA1350" i="12"/>
  <c r="Z1350" i="12"/>
  <c r="Y1350" i="12"/>
  <c r="X1350" i="12"/>
  <c r="W1350" i="12"/>
  <c r="V1350" i="12"/>
  <c r="AC1349" i="12"/>
  <c r="AB1349" i="12"/>
  <c r="AA1349" i="12"/>
  <c r="Z1349" i="12"/>
  <c r="Y1349" i="12"/>
  <c r="X1349" i="12"/>
  <c r="W1349" i="12"/>
  <c r="V1349" i="12"/>
  <c r="AC1348" i="12"/>
  <c r="AB1348" i="12"/>
  <c r="AA1348" i="12"/>
  <c r="Z1348" i="12"/>
  <c r="Y1348" i="12"/>
  <c r="X1348" i="12"/>
  <c r="W1348" i="12"/>
  <c r="V1348" i="12"/>
  <c r="AC1347" i="12"/>
  <c r="AB1347" i="12"/>
  <c r="AA1347" i="12"/>
  <c r="Z1347" i="12"/>
  <c r="Y1347" i="12"/>
  <c r="X1347" i="12"/>
  <c r="W1347" i="12"/>
  <c r="V1347" i="12"/>
  <c r="AC1346" i="12"/>
  <c r="AB1346" i="12"/>
  <c r="AA1346" i="12"/>
  <c r="Z1346" i="12"/>
  <c r="Y1346" i="12"/>
  <c r="X1346" i="12"/>
  <c r="W1346" i="12"/>
  <c r="V1346" i="12"/>
  <c r="AC1345" i="12"/>
  <c r="AB1345" i="12"/>
  <c r="AA1345" i="12"/>
  <c r="Z1345" i="12"/>
  <c r="Y1345" i="12"/>
  <c r="X1345" i="12"/>
  <c r="W1345" i="12"/>
  <c r="V1345" i="12"/>
  <c r="AC1344" i="12"/>
  <c r="AB1344" i="12"/>
  <c r="AA1344" i="12"/>
  <c r="Z1344" i="12"/>
  <c r="Y1344" i="12"/>
  <c r="X1344" i="12"/>
  <c r="W1344" i="12"/>
  <c r="V1344" i="12"/>
  <c r="AC1343" i="12"/>
  <c r="AB1343" i="12"/>
  <c r="AA1343" i="12"/>
  <c r="Z1343" i="12"/>
  <c r="Y1343" i="12"/>
  <c r="X1343" i="12"/>
  <c r="W1343" i="12"/>
  <c r="V1343" i="12"/>
  <c r="AC1342" i="12"/>
  <c r="AB1342" i="12"/>
  <c r="AA1342" i="12"/>
  <c r="Z1342" i="12"/>
  <c r="Y1342" i="12"/>
  <c r="X1342" i="12"/>
  <c r="W1342" i="12"/>
  <c r="V1342" i="12"/>
  <c r="AC1341" i="12"/>
  <c r="AB1341" i="12"/>
  <c r="AA1341" i="12"/>
  <c r="Z1341" i="12"/>
  <c r="Y1341" i="12"/>
  <c r="X1341" i="12"/>
  <c r="W1341" i="12"/>
  <c r="V1341" i="12"/>
  <c r="AC1340" i="12"/>
  <c r="AB1340" i="12"/>
  <c r="AA1340" i="12"/>
  <c r="Z1340" i="12"/>
  <c r="Y1340" i="12"/>
  <c r="X1340" i="12"/>
  <c r="W1340" i="12"/>
  <c r="V1340" i="12"/>
  <c r="AC1339" i="12"/>
  <c r="AB1339" i="12"/>
  <c r="AA1339" i="12"/>
  <c r="Z1339" i="12"/>
  <c r="Y1339" i="12"/>
  <c r="X1339" i="12"/>
  <c r="W1339" i="12"/>
  <c r="V1339" i="12"/>
  <c r="AC1338" i="12"/>
  <c r="AB1338" i="12"/>
  <c r="AA1338" i="12"/>
  <c r="Z1338" i="12"/>
  <c r="Y1338" i="12"/>
  <c r="X1338" i="12"/>
  <c r="W1338" i="12"/>
  <c r="V1338" i="12"/>
  <c r="AC1337" i="12"/>
  <c r="AB1337" i="12"/>
  <c r="AA1337" i="12"/>
  <c r="Z1337" i="12"/>
  <c r="Y1337" i="12"/>
  <c r="X1337" i="12"/>
  <c r="W1337" i="12"/>
  <c r="V1337" i="12"/>
  <c r="AC1336" i="12"/>
  <c r="AB1336" i="12"/>
  <c r="AA1336" i="12"/>
  <c r="Z1336" i="12"/>
  <c r="Y1336" i="12"/>
  <c r="X1336" i="12"/>
  <c r="W1336" i="12"/>
  <c r="V1336" i="12"/>
  <c r="AC1335" i="12"/>
  <c r="AB1335" i="12"/>
  <c r="AA1335" i="12"/>
  <c r="Z1335" i="12"/>
  <c r="Y1335" i="12"/>
  <c r="X1335" i="12"/>
  <c r="W1335" i="12"/>
  <c r="V1335" i="12"/>
  <c r="AC1334" i="12"/>
  <c r="AB1334" i="12"/>
  <c r="AA1334" i="12"/>
  <c r="Z1334" i="12"/>
  <c r="Y1334" i="12"/>
  <c r="X1334" i="12"/>
  <c r="W1334" i="12"/>
  <c r="V1334" i="12"/>
  <c r="AC1333" i="12"/>
  <c r="AB1333" i="12"/>
  <c r="AA1333" i="12"/>
  <c r="Z1333" i="12"/>
  <c r="Y1333" i="12"/>
  <c r="X1333" i="12"/>
  <c r="W1333" i="12"/>
  <c r="V1333" i="12"/>
  <c r="AC1332" i="12"/>
  <c r="AB1332" i="12"/>
  <c r="AA1332" i="12"/>
  <c r="Z1332" i="12"/>
  <c r="Y1332" i="12"/>
  <c r="X1332" i="12"/>
  <c r="W1332" i="12"/>
  <c r="V1332" i="12"/>
  <c r="AC1331" i="12"/>
  <c r="AB1331" i="12"/>
  <c r="AA1331" i="12"/>
  <c r="Z1331" i="12"/>
  <c r="Y1331" i="12"/>
  <c r="X1331" i="12"/>
  <c r="W1331" i="12"/>
  <c r="V1331" i="12"/>
  <c r="AC1330" i="12"/>
  <c r="AB1330" i="12"/>
  <c r="AA1330" i="12"/>
  <c r="Z1330" i="12"/>
  <c r="Y1330" i="12"/>
  <c r="X1330" i="12"/>
  <c r="W1330" i="12"/>
  <c r="V1330" i="12"/>
  <c r="AC1329" i="12"/>
  <c r="AB1329" i="12"/>
  <c r="AA1329" i="12"/>
  <c r="Z1329" i="12"/>
  <c r="Y1329" i="12"/>
  <c r="X1329" i="12"/>
  <c r="W1329" i="12"/>
  <c r="V1329" i="12"/>
  <c r="AC1328" i="12"/>
  <c r="AB1328" i="12"/>
  <c r="AA1328" i="12"/>
  <c r="Z1328" i="12"/>
  <c r="Y1328" i="12"/>
  <c r="X1328" i="12"/>
  <c r="W1328" i="12"/>
  <c r="V1328" i="12"/>
  <c r="AC1327" i="12"/>
  <c r="AB1327" i="12"/>
  <c r="AA1327" i="12"/>
  <c r="Z1327" i="12"/>
  <c r="Y1327" i="12"/>
  <c r="X1327" i="12"/>
  <c r="W1327" i="12"/>
  <c r="V1327" i="12"/>
  <c r="AC1326" i="12"/>
  <c r="AB1326" i="12"/>
  <c r="AA1326" i="12"/>
  <c r="Z1326" i="12"/>
  <c r="Y1326" i="12"/>
  <c r="X1326" i="12"/>
  <c r="W1326" i="12"/>
  <c r="V1326" i="12"/>
  <c r="AC1325" i="12"/>
  <c r="AB1325" i="12"/>
  <c r="AA1325" i="12"/>
  <c r="Z1325" i="12"/>
  <c r="Y1325" i="12"/>
  <c r="X1325" i="12"/>
  <c r="W1325" i="12"/>
  <c r="V1325" i="12"/>
  <c r="AC1324" i="12"/>
  <c r="AB1324" i="12"/>
  <c r="AA1324" i="12"/>
  <c r="Z1324" i="12"/>
  <c r="Y1324" i="12"/>
  <c r="X1324" i="12"/>
  <c r="W1324" i="12"/>
  <c r="V1324" i="12"/>
  <c r="AC1323" i="12"/>
  <c r="AB1323" i="12"/>
  <c r="AA1323" i="12"/>
  <c r="Z1323" i="12"/>
  <c r="Y1323" i="12"/>
  <c r="X1323" i="12"/>
  <c r="W1323" i="12"/>
  <c r="V1323" i="12"/>
  <c r="AC1322" i="12"/>
  <c r="AB1322" i="12"/>
  <c r="AA1322" i="12"/>
  <c r="Z1322" i="12"/>
  <c r="Y1322" i="12"/>
  <c r="X1322" i="12"/>
  <c r="W1322" i="12"/>
  <c r="V1322" i="12"/>
  <c r="AC1321" i="12"/>
  <c r="AB1321" i="12"/>
  <c r="AA1321" i="12"/>
  <c r="Z1321" i="12"/>
  <c r="Y1321" i="12"/>
  <c r="X1321" i="12"/>
  <c r="W1321" i="12"/>
  <c r="V1321" i="12"/>
  <c r="AC1320" i="12"/>
  <c r="AB1320" i="12"/>
  <c r="AA1320" i="12"/>
  <c r="Z1320" i="12"/>
  <c r="Y1320" i="12"/>
  <c r="X1320" i="12"/>
  <c r="W1320" i="12"/>
  <c r="V1320" i="12"/>
  <c r="AC1319" i="12"/>
  <c r="AB1319" i="12"/>
  <c r="AA1319" i="12"/>
  <c r="Z1319" i="12"/>
  <c r="Y1319" i="12"/>
  <c r="X1319" i="12"/>
  <c r="W1319" i="12"/>
  <c r="V1319" i="12"/>
  <c r="AC1318" i="12"/>
  <c r="AB1318" i="12"/>
  <c r="AA1318" i="12"/>
  <c r="Z1318" i="12"/>
  <c r="Y1318" i="12"/>
  <c r="X1318" i="12"/>
  <c r="W1318" i="12"/>
  <c r="V1318" i="12"/>
  <c r="AC1317" i="12"/>
  <c r="AB1317" i="12"/>
  <c r="AA1317" i="12"/>
  <c r="Z1317" i="12"/>
  <c r="Y1317" i="12"/>
  <c r="X1317" i="12"/>
  <c r="W1317" i="12"/>
  <c r="V1317" i="12"/>
  <c r="AC1316" i="12"/>
  <c r="AB1316" i="12"/>
  <c r="AA1316" i="12"/>
  <c r="Z1316" i="12"/>
  <c r="Y1316" i="12"/>
  <c r="X1316" i="12"/>
  <c r="W1316" i="12"/>
  <c r="V1316" i="12"/>
  <c r="AC1315" i="12"/>
  <c r="AB1315" i="12"/>
  <c r="AA1315" i="12"/>
  <c r="Z1315" i="12"/>
  <c r="Y1315" i="12"/>
  <c r="X1315" i="12"/>
  <c r="W1315" i="12"/>
  <c r="V1315" i="12"/>
  <c r="AC1314" i="12"/>
  <c r="AB1314" i="12"/>
  <c r="AA1314" i="12"/>
  <c r="Z1314" i="12"/>
  <c r="Y1314" i="12"/>
  <c r="X1314" i="12"/>
  <c r="W1314" i="12"/>
  <c r="V1314" i="12"/>
  <c r="AC1313" i="12"/>
  <c r="AB1313" i="12"/>
  <c r="AA1313" i="12"/>
  <c r="Z1313" i="12"/>
  <c r="Y1313" i="12"/>
  <c r="X1313" i="12"/>
  <c r="W1313" i="12"/>
  <c r="V1313" i="12"/>
  <c r="AC1312" i="12"/>
  <c r="AB1312" i="12"/>
  <c r="AA1312" i="12"/>
  <c r="Z1312" i="12"/>
  <c r="Y1312" i="12"/>
  <c r="X1312" i="12"/>
  <c r="W1312" i="12"/>
  <c r="V1312" i="12"/>
  <c r="AC1311" i="12"/>
  <c r="AB1311" i="12"/>
  <c r="AA1311" i="12"/>
  <c r="Z1311" i="12"/>
  <c r="Y1311" i="12"/>
  <c r="X1311" i="12"/>
  <c r="W1311" i="12"/>
  <c r="V1311" i="12"/>
  <c r="AC1310" i="12"/>
  <c r="AB1310" i="12"/>
  <c r="AA1310" i="12"/>
  <c r="Z1310" i="12"/>
  <c r="Y1310" i="12"/>
  <c r="X1310" i="12"/>
  <c r="W1310" i="12"/>
  <c r="V1310" i="12"/>
  <c r="AC1309" i="12"/>
  <c r="AB1309" i="12"/>
  <c r="AA1309" i="12"/>
  <c r="Z1309" i="12"/>
  <c r="Y1309" i="12"/>
  <c r="X1309" i="12"/>
  <c r="W1309" i="12"/>
  <c r="V1309" i="12"/>
  <c r="AC1308" i="12"/>
  <c r="AB1308" i="12"/>
  <c r="AA1308" i="12"/>
  <c r="Z1308" i="12"/>
  <c r="Y1308" i="12"/>
  <c r="X1308" i="12"/>
  <c r="W1308" i="12"/>
  <c r="V1308" i="12"/>
  <c r="AC1307" i="12"/>
  <c r="AB1307" i="12"/>
  <c r="AA1307" i="12"/>
  <c r="Z1307" i="12"/>
  <c r="Y1307" i="12"/>
  <c r="X1307" i="12"/>
  <c r="W1307" i="12"/>
  <c r="V1307" i="12"/>
  <c r="AC1306" i="12"/>
  <c r="AB1306" i="12"/>
  <c r="AA1306" i="12"/>
  <c r="Z1306" i="12"/>
  <c r="Y1306" i="12"/>
  <c r="X1306" i="12"/>
  <c r="W1306" i="12"/>
  <c r="V1306" i="12"/>
  <c r="AC1305" i="12"/>
  <c r="AB1305" i="12"/>
  <c r="AA1305" i="12"/>
  <c r="Z1305" i="12"/>
  <c r="Y1305" i="12"/>
  <c r="X1305" i="12"/>
  <c r="W1305" i="12"/>
  <c r="V1305" i="12"/>
  <c r="AC1304" i="12"/>
  <c r="AB1304" i="12"/>
  <c r="AA1304" i="12"/>
  <c r="Z1304" i="12"/>
  <c r="Y1304" i="12"/>
  <c r="X1304" i="12"/>
  <c r="W1304" i="12"/>
  <c r="V1304" i="12"/>
  <c r="AC1303" i="12"/>
  <c r="AB1303" i="12"/>
  <c r="AA1303" i="12"/>
  <c r="Z1303" i="12"/>
  <c r="Y1303" i="12"/>
  <c r="X1303" i="12"/>
  <c r="W1303" i="12"/>
  <c r="V1303" i="12"/>
  <c r="AC1302" i="12"/>
  <c r="AB1302" i="12"/>
  <c r="AA1302" i="12"/>
  <c r="Z1302" i="12"/>
  <c r="Y1302" i="12"/>
  <c r="X1302" i="12"/>
  <c r="W1302" i="12"/>
  <c r="V1302" i="12"/>
  <c r="AC1301" i="12"/>
  <c r="AB1301" i="12"/>
  <c r="AA1301" i="12"/>
  <c r="Z1301" i="12"/>
  <c r="Y1301" i="12"/>
  <c r="X1301" i="12"/>
  <c r="W1301" i="12"/>
  <c r="V1301" i="12"/>
  <c r="AC1300" i="12"/>
  <c r="AB1300" i="12"/>
  <c r="AA1300" i="12"/>
  <c r="Z1300" i="12"/>
  <c r="Y1300" i="12"/>
  <c r="X1300" i="12"/>
  <c r="W1300" i="12"/>
  <c r="V1300" i="12"/>
  <c r="AC1299" i="12"/>
  <c r="AB1299" i="12"/>
  <c r="AA1299" i="12"/>
  <c r="Z1299" i="12"/>
  <c r="Y1299" i="12"/>
  <c r="X1299" i="12"/>
  <c r="W1299" i="12"/>
  <c r="V1299" i="12"/>
  <c r="AC1298" i="12"/>
  <c r="AB1298" i="12"/>
  <c r="AA1298" i="12"/>
  <c r="Z1298" i="12"/>
  <c r="Y1298" i="12"/>
  <c r="X1298" i="12"/>
  <c r="W1298" i="12"/>
  <c r="V1298" i="12"/>
  <c r="AC1297" i="12"/>
  <c r="AB1297" i="12"/>
  <c r="AA1297" i="12"/>
  <c r="Z1297" i="12"/>
  <c r="Y1297" i="12"/>
  <c r="X1297" i="12"/>
  <c r="W1297" i="12"/>
  <c r="V1297" i="12"/>
  <c r="AC1296" i="12"/>
  <c r="AB1296" i="12"/>
  <c r="AA1296" i="12"/>
  <c r="Z1296" i="12"/>
  <c r="Y1296" i="12"/>
  <c r="X1296" i="12"/>
  <c r="W1296" i="12"/>
  <c r="V1296" i="12"/>
  <c r="AC1295" i="12"/>
  <c r="AB1295" i="12"/>
  <c r="AA1295" i="12"/>
  <c r="Z1295" i="12"/>
  <c r="Y1295" i="12"/>
  <c r="X1295" i="12"/>
  <c r="W1295" i="12"/>
  <c r="V1295" i="12"/>
  <c r="AC1294" i="12"/>
  <c r="AB1294" i="12"/>
  <c r="AA1294" i="12"/>
  <c r="Z1294" i="12"/>
  <c r="Y1294" i="12"/>
  <c r="X1294" i="12"/>
  <c r="W1294" i="12"/>
  <c r="V1294" i="12"/>
  <c r="AC1293" i="12"/>
  <c r="AB1293" i="12"/>
  <c r="AA1293" i="12"/>
  <c r="Z1293" i="12"/>
  <c r="Y1293" i="12"/>
  <c r="X1293" i="12"/>
  <c r="W1293" i="12"/>
  <c r="V1293" i="12"/>
  <c r="AC1292" i="12"/>
  <c r="AB1292" i="12"/>
  <c r="AA1292" i="12"/>
  <c r="Z1292" i="12"/>
  <c r="Y1292" i="12"/>
  <c r="X1292" i="12"/>
  <c r="W1292" i="12"/>
  <c r="V1292" i="12"/>
  <c r="AC1291" i="12"/>
  <c r="AB1291" i="12"/>
  <c r="AA1291" i="12"/>
  <c r="Z1291" i="12"/>
  <c r="Y1291" i="12"/>
  <c r="X1291" i="12"/>
  <c r="W1291" i="12"/>
  <c r="V1291" i="12"/>
  <c r="AC1290" i="12"/>
  <c r="AB1290" i="12"/>
  <c r="AA1290" i="12"/>
  <c r="Z1290" i="12"/>
  <c r="Y1290" i="12"/>
  <c r="X1290" i="12"/>
  <c r="W1290" i="12"/>
  <c r="V1290" i="12"/>
  <c r="AC1289" i="12"/>
  <c r="AB1289" i="12"/>
  <c r="AA1289" i="12"/>
  <c r="Z1289" i="12"/>
  <c r="Y1289" i="12"/>
  <c r="X1289" i="12"/>
  <c r="W1289" i="12"/>
  <c r="V1289" i="12"/>
  <c r="AC1288" i="12"/>
  <c r="AB1288" i="12"/>
  <c r="AA1288" i="12"/>
  <c r="Z1288" i="12"/>
  <c r="Y1288" i="12"/>
  <c r="X1288" i="12"/>
  <c r="W1288" i="12"/>
  <c r="V1288" i="12"/>
  <c r="AC1287" i="12"/>
  <c r="AB1287" i="12"/>
  <c r="AA1287" i="12"/>
  <c r="Z1287" i="12"/>
  <c r="Y1287" i="12"/>
  <c r="X1287" i="12"/>
  <c r="W1287" i="12"/>
  <c r="V1287" i="12"/>
  <c r="AC1286" i="12"/>
  <c r="AB1286" i="12"/>
  <c r="AA1286" i="12"/>
  <c r="Z1286" i="12"/>
  <c r="Y1286" i="12"/>
  <c r="X1286" i="12"/>
  <c r="W1286" i="12"/>
  <c r="V1286" i="12"/>
  <c r="AC1285" i="12"/>
  <c r="AB1285" i="12"/>
  <c r="AA1285" i="12"/>
  <c r="Z1285" i="12"/>
  <c r="Y1285" i="12"/>
  <c r="X1285" i="12"/>
  <c r="W1285" i="12"/>
  <c r="V1285" i="12"/>
  <c r="AC1284" i="12"/>
  <c r="AB1284" i="12"/>
  <c r="AA1284" i="12"/>
  <c r="Z1284" i="12"/>
  <c r="Y1284" i="12"/>
  <c r="X1284" i="12"/>
  <c r="W1284" i="12"/>
  <c r="V1284" i="12"/>
  <c r="AC1283" i="12"/>
  <c r="AB1283" i="12"/>
  <c r="AA1283" i="12"/>
  <c r="Z1283" i="12"/>
  <c r="Y1283" i="12"/>
  <c r="X1283" i="12"/>
  <c r="W1283" i="12"/>
  <c r="V1283" i="12"/>
  <c r="AC1282" i="12"/>
  <c r="AB1282" i="12"/>
  <c r="AA1282" i="12"/>
  <c r="Z1282" i="12"/>
  <c r="Y1282" i="12"/>
  <c r="X1282" i="12"/>
  <c r="W1282" i="12"/>
  <c r="V1282" i="12"/>
  <c r="AC1281" i="12"/>
  <c r="AB1281" i="12"/>
  <c r="AA1281" i="12"/>
  <c r="Z1281" i="12"/>
  <c r="Y1281" i="12"/>
  <c r="X1281" i="12"/>
  <c r="W1281" i="12"/>
  <c r="V1281" i="12"/>
  <c r="AC1280" i="12"/>
  <c r="AB1280" i="12"/>
  <c r="AA1280" i="12"/>
  <c r="Z1280" i="12"/>
  <c r="Y1280" i="12"/>
  <c r="X1280" i="12"/>
  <c r="W1280" i="12"/>
  <c r="V1280" i="12"/>
  <c r="AC1279" i="12"/>
  <c r="AB1279" i="12"/>
  <c r="AA1279" i="12"/>
  <c r="Z1279" i="12"/>
  <c r="Y1279" i="12"/>
  <c r="X1279" i="12"/>
  <c r="W1279" i="12"/>
  <c r="V1279" i="12"/>
  <c r="AC1278" i="12"/>
  <c r="AB1278" i="12"/>
  <c r="AA1278" i="12"/>
  <c r="Z1278" i="12"/>
  <c r="Y1278" i="12"/>
  <c r="X1278" i="12"/>
  <c r="W1278" i="12"/>
  <c r="V1278" i="12"/>
  <c r="AC1277" i="12"/>
  <c r="AB1277" i="12"/>
  <c r="AA1277" i="12"/>
  <c r="Z1277" i="12"/>
  <c r="Y1277" i="12"/>
  <c r="X1277" i="12"/>
  <c r="W1277" i="12"/>
  <c r="V1277" i="12"/>
  <c r="AC1276" i="12"/>
  <c r="AB1276" i="12"/>
  <c r="AA1276" i="12"/>
  <c r="Z1276" i="12"/>
  <c r="Y1276" i="12"/>
  <c r="X1276" i="12"/>
  <c r="W1276" i="12"/>
  <c r="V1276" i="12"/>
  <c r="AC1275" i="12"/>
  <c r="AB1275" i="12"/>
  <c r="AA1275" i="12"/>
  <c r="Z1275" i="12"/>
  <c r="Y1275" i="12"/>
  <c r="X1275" i="12"/>
  <c r="W1275" i="12"/>
  <c r="V1275" i="12"/>
  <c r="AC1274" i="12"/>
  <c r="AB1274" i="12"/>
  <c r="AA1274" i="12"/>
  <c r="Z1274" i="12"/>
  <c r="Y1274" i="12"/>
  <c r="X1274" i="12"/>
  <c r="W1274" i="12"/>
  <c r="V1274" i="12"/>
  <c r="AC1273" i="12"/>
  <c r="AB1273" i="12"/>
  <c r="AA1273" i="12"/>
  <c r="Z1273" i="12"/>
  <c r="Y1273" i="12"/>
  <c r="X1273" i="12"/>
  <c r="W1273" i="12"/>
  <c r="V1273" i="12"/>
  <c r="AC1272" i="12"/>
  <c r="AB1272" i="12"/>
  <c r="AA1272" i="12"/>
  <c r="Z1272" i="12"/>
  <c r="Y1272" i="12"/>
  <c r="X1272" i="12"/>
  <c r="W1272" i="12"/>
  <c r="V1272" i="12"/>
  <c r="AC1271" i="12"/>
  <c r="AB1271" i="12"/>
  <c r="AA1271" i="12"/>
  <c r="Z1271" i="12"/>
  <c r="Y1271" i="12"/>
  <c r="X1271" i="12"/>
  <c r="W1271" i="12"/>
  <c r="V1271" i="12"/>
  <c r="AC1270" i="12"/>
  <c r="AB1270" i="12"/>
  <c r="AA1270" i="12"/>
  <c r="Z1270" i="12"/>
  <c r="Y1270" i="12"/>
  <c r="X1270" i="12"/>
  <c r="W1270" i="12"/>
  <c r="V1270" i="12"/>
  <c r="AC1269" i="12"/>
  <c r="AB1269" i="12"/>
  <c r="AA1269" i="12"/>
  <c r="Z1269" i="12"/>
  <c r="Y1269" i="12"/>
  <c r="X1269" i="12"/>
  <c r="W1269" i="12"/>
  <c r="V1269" i="12"/>
  <c r="AC1268" i="12"/>
  <c r="AB1268" i="12"/>
  <c r="AA1268" i="12"/>
  <c r="Z1268" i="12"/>
  <c r="Y1268" i="12"/>
  <c r="X1268" i="12"/>
  <c r="W1268" i="12"/>
  <c r="V1268" i="12"/>
  <c r="AC1267" i="12"/>
  <c r="AB1267" i="12"/>
  <c r="AA1267" i="12"/>
  <c r="Z1267" i="12"/>
  <c r="Y1267" i="12"/>
  <c r="X1267" i="12"/>
  <c r="W1267" i="12"/>
  <c r="V1267" i="12"/>
  <c r="AC1266" i="12"/>
  <c r="AB1266" i="12"/>
  <c r="AA1266" i="12"/>
  <c r="Z1266" i="12"/>
  <c r="Y1266" i="12"/>
  <c r="X1266" i="12"/>
  <c r="W1266" i="12"/>
  <c r="V1266" i="12"/>
  <c r="AC1265" i="12"/>
  <c r="AB1265" i="12"/>
  <c r="AA1265" i="12"/>
  <c r="Z1265" i="12"/>
  <c r="Y1265" i="12"/>
  <c r="X1265" i="12"/>
  <c r="W1265" i="12"/>
  <c r="V1265" i="12"/>
  <c r="AC1264" i="12"/>
  <c r="AB1264" i="12"/>
  <c r="AA1264" i="12"/>
  <c r="Z1264" i="12"/>
  <c r="Y1264" i="12"/>
  <c r="X1264" i="12"/>
  <c r="W1264" i="12"/>
  <c r="V1264" i="12"/>
  <c r="AC1263" i="12"/>
  <c r="AB1263" i="12"/>
  <c r="AA1263" i="12"/>
  <c r="Z1263" i="12"/>
  <c r="Y1263" i="12"/>
  <c r="X1263" i="12"/>
  <c r="W1263" i="12"/>
  <c r="V1263" i="12"/>
  <c r="AC1262" i="12"/>
  <c r="AB1262" i="12"/>
  <c r="AA1262" i="12"/>
  <c r="Z1262" i="12"/>
  <c r="Y1262" i="12"/>
  <c r="X1262" i="12"/>
  <c r="W1262" i="12"/>
  <c r="V1262" i="12"/>
  <c r="AC1261" i="12"/>
  <c r="AB1261" i="12"/>
  <c r="AA1261" i="12"/>
  <c r="Z1261" i="12"/>
  <c r="Y1261" i="12"/>
  <c r="X1261" i="12"/>
  <c r="W1261" i="12"/>
  <c r="V1261" i="12"/>
  <c r="AC1260" i="12"/>
  <c r="AB1260" i="12"/>
  <c r="AA1260" i="12"/>
  <c r="Z1260" i="12"/>
  <c r="Y1260" i="12"/>
  <c r="X1260" i="12"/>
  <c r="W1260" i="12"/>
  <c r="V1260" i="12"/>
  <c r="AC1259" i="12"/>
  <c r="AB1259" i="12"/>
  <c r="AA1259" i="12"/>
  <c r="Z1259" i="12"/>
  <c r="Y1259" i="12"/>
  <c r="X1259" i="12"/>
  <c r="W1259" i="12"/>
  <c r="V1259" i="12"/>
  <c r="AC1258" i="12"/>
  <c r="AB1258" i="12"/>
  <c r="AA1258" i="12"/>
  <c r="Z1258" i="12"/>
  <c r="Y1258" i="12"/>
  <c r="X1258" i="12"/>
  <c r="W1258" i="12"/>
  <c r="V1258" i="12"/>
  <c r="AC1257" i="12"/>
  <c r="AB1257" i="12"/>
  <c r="AA1257" i="12"/>
  <c r="Z1257" i="12"/>
  <c r="Y1257" i="12"/>
  <c r="X1257" i="12"/>
  <c r="W1257" i="12"/>
  <c r="V1257" i="12"/>
  <c r="AC1256" i="12"/>
  <c r="AB1256" i="12"/>
  <c r="AA1256" i="12"/>
  <c r="Z1256" i="12"/>
  <c r="Y1256" i="12"/>
  <c r="X1256" i="12"/>
  <c r="W1256" i="12"/>
  <c r="V1256" i="12"/>
  <c r="AC1255" i="12"/>
  <c r="AB1255" i="12"/>
  <c r="AA1255" i="12"/>
  <c r="Z1255" i="12"/>
  <c r="Y1255" i="12"/>
  <c r="X1255" i="12"/>
  <c r="W1255" i="12"/>
  <c r="V1255" i="12"/>
  <c r="AC1254" i="12"/>
  <c r="AB1254" i="12"/>
  <c r="AA1254" i="12"/>
  <c r="Z1254" i="12"/>
  <c r="Y1254" i="12"/>
  <c r="X1254" i="12"/>
  <c r="W1254" i="12"/>
  <c r="V1254" i="12"/>
  <c r="AC1253" i="12"/>
  <c r="AB1253" i="12"/>
  <c r="AA1253" i="12"/>
  <c r="Z1253" i="12"/>
  <c r="Y1253" i="12"/>
  <c r="X1253" i="12"/>
  <c r="W1253" i="12"/>
  <c r="V1253" i="12"/>
  <c r="AC1252" i="12"/>
  <c r="AB1252" i="12"/>
  <c r="AA1252" i="12"/>
  <c r="Z1252" i="12"/>
  <c r="Y1252" i="12"/>
  <c r="X1252" i="12"/>
  <c r="W1252" i="12"/>
  <c r="V1252" i="12"/>
  <c r="AC1251" i="12"/>
  <c r="AB1251" i="12"/>
  <c r="AA1251" i="12"/>
  <c r="Z1251" i="12"/>
  <c r="Y1251" i="12"/>
  <c r="X1251" i="12"/>
  <c r="W1251" i="12"/>
  <c r="V1251" i="12"/>
  <c r="AC1250" i="12"/>
  <c r="AB1250" i="12"/>
  <c r="AA1250" i="12"/>
  <c r="Z1250" i="12"/>
  <c r="Y1250" i="12"/>
  <c r="X1250" i="12"/>
  <c r="W1250" i="12"/>
  <c r="V1250" i="12"/>
  <c r="AC1249" i="12"/>
  <c r="AB1249" i="12"/>
  <c r="AA1249" i="12"/>
  <c r="Z1249" i="12"/>
  <c r="Y1249" i="12"/>
  <c r="X1249" i="12"/>
  <c r="W1249" i="12"/>
  <c r="V1249" i="12"/>
  <c r="AC1248" i="12"/>
  <c r="AB1248" i="12"/>
  <c r="AA1248" i="12"/>
  <c r="Z1248" i="12"/>
  <c r="Y1248" i="12"/>
  <c r="X1248" i="12"/>
  <c r="W1248" i="12"/>
  <c r="V1248" i="12"/>
  <c r="AC1247" i="12"/>
  <c r="AB1247" i="12"/>
  <c r="AA1247" i="12"/>
  <c r="Z1247" i="12"/>
  <c r="Y1247" i="12"/>
  <c r="X1247" i="12"/>
  <c r="W1247" i="12"/>
  <c r="V1247" i="12"/>
  <c r="AC1246" i="12"/>
  <c r="AB1246" i="12"/>
  <c r="AA1246" i="12"/>
  <c r="Z1246" i="12"/>
  <c r="Y1246" i="12"/>
  <c r="X1246" i="12"/>
  <c r="W1246" i="12"/>
  <c r="V1246" i="12"/>
  <c r="AC1245" i="12"/>
  <c r="AB1245" i="12"/>
  <c r="AA1245" i="12"/>
  <c r="Z1245" i="12"/>
  <c r="Y1245" i="12"/>
  <c r="X1245" i="12"/>
  <c r="W1245" i="12"/>
  <c r="V1245" i="12"/>
  <c r="AC1244" i="12"/>
  <c r="AB1244" i="12"/>
  <c r="AA1244" i="12"/>
  <c r="Z1244" i="12"/>
  <c r="Y1244" i="12"/>
  <c r="X1244" i="12"/>
  <c r="W1244" i="12"/>
  <c r="V1244" i="12"/>
  <c r="AC1243" i="12"/>
  <c r="AB1243" i="12"/>
  <c r="AA1243" i="12"/>
  <c r="Z1243" i="12"/>
  <c r="Y1243" i="12"/>
  <c r="X1243" i="12"/>
  <c r="W1243" i="12"/>
  <c r="V1243" i="12"/>
  <c r="AC1242" i="12"/>
  <c r="AB1242" i="12"/>
  <c r="AA1242" i="12"/>
  <c r="Z1242" i="12"/>
  <c r="Y1242" i="12"/>
  <c r="X1242" i="12"/>
  <c r="W1242" i="12"/>
  <c r="V1242" i="12"/>
  <c r="AC1241" i="12"/>
  <c r="AB1241" i="12"/>
  <c r="AA1241" i="12"/>
  <c r="Z1241" i="12"/>
  <c r="Y1241" i="12"/>
  <c r="X1241" i="12"/>
  <c r="W1241" i="12"/>
  <c r="V1241" i="12"/>
  <c r="AC1240" i="12"/>
  <c r="AB1240" i="12"/>
  <c r="AA1240" i="12"/>
  <c r="Z1240" i="12"/>
  <c r="Y1240" i="12"/>
  <c r="X1240" i="12"/>
  <c r="W1240" i="12"/>
  <c r="V1240" i="12"/>
  <c r="AC1239" i="12"/>
  <c r="AB1239" i="12"/>
  <c r="AA1239" i="12"/>
  <c r="Z1239" i="12"/>
  <c r="Y1239" i="12"/>
  <c r="X1239" i="12"/>
  <c r="W1239" i="12"/>
  <c r="V1239" i="12"/>
  <c r="AC1238" i="12"/>
  <c r="AB1238" i="12"/>
  <c r="AA1238" i="12"/>
  <c r="Z1238" i="12"/>
  <c r="Y1238" i="12"/>
  <c r="X1238" i="12"/>
  <c r="W1238" i="12"/>
  <c r="V1238" i="12"/>
  <c r="AC1237" i="12"/>
  <c r="AB1237" i="12"/>
  <c r="AA1237" i="12"/>
  <c r="Z1237" i="12"/>
  <c r="Y1237" i="12"/>
  <c r="X1237" i="12"/>
  <c r="W1237" i="12"/>
  <c r="V1237" i="12"/>
  <c r="AC1236" i="12"/>
  <c r="AB1236" i="12"/>
  <c r="AA1236" i="12"/>
  <c r="Z1236" i="12"/>
  <c r="Y1236" i="12"/>
  <c r="X1236" i="12"/>
  <c r="W1236" i="12"/>
  <c r="V1236" i="12"/>
  <c r="AC1235" i="12"/>
  <c r="AB1235" i="12"/>
  <c r="AA1235" i="12"/>
  <c r="Z1235" i="12"/>
  <c r="Y1235" i="12"/>
  <c r="X1235" i="12"/>
  <c r="W1235" i="12"/>
  <c r="V1235" i="12"/>
  <c r="AC1234" i="12"/>
  <c r="AB1234" i="12"/>
  <c r="AA1234" i="12"/>
  <c r="Z1234" i="12"/>
  <c r="Y1234" i="12"/>
  <c r="X1234" i="12"/>
  <c r="W1234" i="12"/>
  <c r="V1234" i="12"/>
  <c r="AC1233" i="12"/>
  <c r="AB1233" i="12"/>
  <c r="AA1233" i="12"/>
  <c r="Z1233" i="12"/>
  <c r="Y1233" i="12"/>
  <c r="X1233" i="12"/>
  <c r="W1233" i="12"/>
  <c r="V1233" i="12"/>
  <c r="AC1232" i="12"/>
  <c r="AB1232" i="12"/>
  <c r="AA1232" i="12"/>
  <c r="Z1232" i="12"/>
  <c r="Y1232" i="12"/>
  <c r="X1232" i="12"/>
  <c r="W1232" i="12"/>
  <c r="V1232" i="12"/>
  <c r="AC1231" i="12"/>
  <c r="AB1231" i="12"/>
  <c r="AA1231" i="12"/>
  <c r="Z1231" i="12"/>
  <c r="Y1231" i="12"/>
  <c r="X1231" i="12"/>
  <c r="W1231" i="12"/>
  <c r="V1231" i="12"/>
  <c r="AC1230" i="12"/>
  <c r="AB1230" i="12"/>
  <c r="AA1230" i="12"/>
  <c r="Z1230" i="12"/>
  <c r="Y1230" i="12"/>
  <c r="X1230" i="12"/>
  <c r="W1230" i="12"/>
  <c r="V1230" i="12"/>
  <c r="AC1229" i="12"/>
  <c r="AB1229" i="12"/>
  <c r="AA1229" i="12"/>
  <c r="Z1229" i="12"/>
  <c r="Y1229" i="12"/>
  <c r="X1229" i="12"/>
  <c r="W1229" i="12"/>
  <c r="V1229" i="12"/>
  <c r="AC1228" i="12"/>
  <c r="AB1228" i="12"/>
  <c r="AA1228" i="12"/>
  <c r="Z1228" i="12"/>
  <c r="Y1228" i="12"/>
  <c r="X1228" i="12"/>
  <c r="W1228" i="12"/>
  <c r="V1228" i="12"/>
  <c r="AC1227" i="12"/>
  <c r="AB1227" i="12"/>
  <c r="AA1227" i="12"/>
  <c r="Z1227" i="12"/>
  <c r="Y1227" i="12"/>
  <c r="X1227" i="12"/>
  <c r="W1227" i="12"/>
  <c r="V1227" i="12"/>
  <c r="AC1226" i="12"/>
  <c r="AB1226" i="12"/>
  <c r="AA1226" i="12"/>
  <c r="Z1226" i="12"/>
  <c r="Y1226" i="12"/>
  <c r="X1226" i="12"/>
  <c r="W1226" i="12"/>
  <c r="V1226" i="12"/>
  <c r="AC1225" i="12"/>
  <c r="AB1225" i="12"/>
  <c r="AA1225" i="12"/>
  <c r="Z1225" i="12"/>
  <c r="Y1225" i="12"/>
  <c r="X1225" i="12"/>
  <c r="W1225" i="12"/>
  <c r="V1225" i="12"/>
  <c r="AC1224" i="12"/>
  <c r="AB1224" i="12"/>
  <c r="AA1224" i="12"/>
  <c r="Z1224" i="12"/>
  <c r="Y1224" i="12"/>
  <c r="X1224" i="12"/>
  <c r="W1224" i="12"/>
  <c r="V1224" i="12"/>
  <c r="AC1223" i="12"/>
  <c r="AB1223" i="12"/>
  <c r="AA1223" i="12"/>
  <c r="Z1223" i="12"/>
  <c r="Y1223" i="12"/>
  <c r="X1223" i="12"/>
  <c r="W1223" i="12"/>
  <c r="V1223" i="12"/>
  <c r="AC1222" i="12"/>
  <c r="AB1222" i="12"/>
  <c r="AA1222" i="12"/>
  <c r="Z1222" i="12"/>
  <c r="Y1222" i="12"/>
  <c r="X1222" i="12"/>
  <c r="W1222" i="12"/>
  <c r="V1222" i="12"/>
  <c r="AC1221" i="12"/>
  <c r="AB1221" i="12"/>
  <c r="AA1221" i="12"/>
  <c r="Z1221" i="12"/>
  <c r="Y1221" i="12"/>
  <c r="X1221" i="12"/>
  <c r="W1221" i="12"/>
  <c r="V1221" i="12"/>
  <c r="AC1220" i="12"/>
  <c r="AB1220" i="12"/>
  <c r="AA1220" i="12"/>
  <c r="Z1220" i="12"/>
  <c r="Y1220" i="12"/>
  <c r="X1220" i="12"/>
  <c r="W1220" i="12"/>
  <c r="V1220" i="12"/>
  <c r="AC1219" i="12"/>
  <c r="AB1219" i="12"/>
  <c r="AA1219" i="12"/>
  <c r="Z1219" i="12"/>
  <c r="Y1219" i="12"/>
  <c r="X1219" i="12"/>
  <c r="W1219" i="12"/>
  <c r="V1219" i="12"/>
  <c r="AC1218" i="12"/>
  <c r="AB1218" i="12"/>
  <c r="AA1218" i="12"/>
  <c r="Z1218" i="12"/>
  <c r="Y1218" i="12"/>
  <c r="X1218" i="12"/>
  <c r="W1218" i="12"/>
  <c r="V1218" i="12"/>
  <c r="AC1217" i="12"/>
  <c r="AB1217" i="12"/>
  <c r="AA1217" i="12"/>
  <c r="Z1217" i="12"/>
  <c r="Y1217" i="12"/>
  <c r="X1217" i="12"/>
  <c r="W1217" i="12"/>
  <c r="V1217" i="12"/>
  <c r="AC1216" i="12"/>
  <c r="AB1216" i="12"/>
  <c r="AA1216" i="12"/>
  <c r="Z1216" i="12"/>
  <c r="Y1216" i="12"/>
  <c r="X1216" i="12"/>
  <c r="W1216" i="12"/>
  <c r="V1216" i="12"/>
  <c r="AC1215" i="12"/>
  <c r="AB1215" i="12"/>
  <c r="AA1215" i="12"/>
  <c r="Z1215" i="12"/>
  <c r="Y1215" i="12"/>
  <c r="X1215" i="12"/>
  <c r="W1215" i="12"/>
  <c r="V1215" i="12"/>
  <c r="AC1214" i="12"/>
  <c r="AB1214" i="12"/>
  <c r="AA1214" i="12"/>
  <c r="Z1214" i="12"/>
  <c r="Y1214" i="12"/>
  <c r="X1214" i="12"/>
  <c r="W1214" i="12"/>
  <c r="V1214" i="12"/>
  <c r="AC1213" i="12"/>
  <c r="AB1213" i="12"/>
  <c r="AA1213" i="12"/>
  <c r="Z1213" i="12"/>
  <c r="Y1213" i="12"/>
  <c r="X1213" i="12"/>
  <c r="W1213" i="12"/>
  <c r="V1213" i="12"/>
  <c r="AC1212" i="12"/>
  <c r="AB1212" i="12"/>
  <c r="AA1212" i="12"/>
  <c r="Z1212" i="12"/>
  <c r="Y1212" i="12"/>
  <c r="X1212" i="12"/>
  <c r="W1212" i="12"/>
  <c r="V1212" i="12"/>
  <c r="AC1211" i="12"/>
  <c r="AB1211" i="12"/>
  <c r="AA1211" i="12"/>
  <c r="Z1211" i="12"/>
  <c r="Y1211" i="12"/>
  <c r="X1211" i="12"/>
  <c r="W1211" i="12"/>
  <c r="V1211" i="12"/>
  <c r="AC1210" i="12"/>
  <c r="AB1210" i="12"/>
  <c r="AA1210" i="12"/>
  <c r="Z1210" i="12"/>
  <c r="Y1210" i="12"/>
  <c r="X1210" i="12"/>
  <c r="W1210" i="12"/>
  <c r="V1210" i="12"/>
  <c r="AC1209" i="12"/>
  <c r="AB1209" i="12"/>
  <c r="AA1209" i="12"/>
  <c r="Z1209" i="12"/>
  <c r="Y1209" i="12"/>
  <c r="X1209" i="12"/>
  <c r="W1209" i="12"/>
  <c r="V1209" i="12"/>
  <c r="AC1208" i="12"/>
  <c r="AB1208" i="12"/>
  <c r="AA1208" i="12"/>
  <c r="Z1208" i="12"/>
  <c r="Y1208" i="12"/>
  <c r="X1208" i="12"/>
  <c r="W1208" i="12"/>
  <c r="V1208" i="12"/>
  <c r="AC1207" i="12"/>
  <c r="AB1207" i="12"/>
  <c r="AA1207" i="12"/>
  <c r="Z1207" i="12"/>
  <c r="Y1207" i="12"/>
  <c r="X1207" i="12"/>
  <c r="W1207" i="12"/>
  <c r="V1207" i="12"/>
  <c r="AC1206" i="12"/>
  <c r="AB1206" i="12"/>
  <c r="AA1206" i="12"/>
  <c r="Z1206" i="12"/>
  <c r="Y1206" i="12"/>
  <c r="X1206" i="12"/>
  <c r="W1206" i="12"/>
  <c r="V1206" i="12"/>
  <c r="AC1205" i="12"/>
  <c r="AB1205" i="12"/>
  <c r="AA1205" i="12"/>
  <c r="Z1205" i="12"/>
  <c r="Y1205" i="12"/>
  <c r="X1205" i="12"/>
  <c r="W1205" i="12"/>
  <c r="V1205" i="12"/>
  <c r="AC1204" i="12"/>
  <c r="AB1204" i="12"/>
  <c r="AA1204" i="12"/>
  <c r="Z1204" i="12"/>
  <c r="Y1204" i="12"/>
  <c r="X1204" i="12"/>
  <c r="W1204" i="12"/>
  <c r="V1204" i="12"/>
  <c r="AC1203" i="12"/>
  <c r="AB1203" i="12"/>
  <c r="AA1203" i="12"/>
  <c r="Z1203" i="12"/>
  <c r="Y1203" i="12"/>
  <c r="X1203" i="12"/>
  <c r="W1203" i="12"/>
  <c r="V1203" i="12"/>
  <c r="AC1202" i="12"/>
  <c r="AB1202" i="12"/>
  <c r="AA1202" i="12"/>
  <c r="Z1202" i="12"/>
  <c r="Y1202" i="12"/>
  <c r="X1202" i="12"/>
  <c r="W1202" i="12"/>
  <c r="V1202" i="12"/>
  <c r="AC1201" i="12"/>
  <c r="AB1201" i="12"/>
  <c r="AA1201" i="12"/>
  <c r="Z1201" i="12"/>
  <c r="Y1201" i="12"/>
  <c r="X1201" i="12"/>
  <c r="W1201" i="12"/>
  <c r="V1201" i="12"/>
  <c r="AC1200" i="12"/>
  <c r="AB1200" i="12"/>
  <c r="AA1200" i="12"/>
  <c r="Z1200" i="12"/>
  <c r="Y1200" i="12"/>
  <c r="X1200" i="12"/>
  <c r="W1200" i="12"/>
  <c r="V1200" i="12"/>
  <c r="AC1199" i="12"/>
  <c r="AB1199" i="12"/>
  <c r="AA1199" i="12"/>
  <c r="Z1199" i="12"/>
  <c r="Y1199" i="12"/>
  <c r="X1199" i="12"/>
  <c r="W1199" i="12"/>
  <c r="V1199" i="12"/>
  <c r="AC1198" i="12"/>
  <c r="AB1198" i="12"/>
  <c r="AA1198" i="12"/>
  <c r="Z1198" i="12"/>
  <c r="Y1198" i="12"/>
  <c r="X1198" i="12"/>
  <c r="W1198" i="12"/>
  <c r="V1198" i="12"/>
  <c r="AC1197" i="12"/>
  <c r="AB1197" i="12"/>
  <c r="AA1197" i="12"/>
  <c r="Z1197" i="12"/>
  <c r="Y1197" i="12"/>
  <c r="X1197" i="12"/>
  <c r="W1197" i="12"/>
  <c r="V1197" i="12"/>
  <c r="AC1196" i="12"/>
  <c r="AB1196" i="12"/>
  <c r="AA1196" i="12"/>
  <c r="Z1196" i="12"/>
  <c r="Y1196" i="12"/>
  <c r="X1196" i="12"/>
  <c r="W1196" i="12"/>
  <c r="V1196" i="12"/>
  <c r="AC1195" i="12"/>
  <c r="AB1195" i="12"/>
  <c r="AA1195" i="12"/>
  <c r="Z1195" i="12"/>
  <c r="Y1195" i="12"/>
  <c r="X1195" i="12"/>
  <c r="W1195" i="12"/>
  <c r="V1195" i="12"/>
  <c r="AC1194" i="12"/>
  <c r="AB1194" i="12"/>
  <c r="AA1194" i="12"/>
  <c r="Z1194" i="12"/>
  <c r="Y1194" i="12"/>
  <c r="X1194" i="12"/>
  <c r="W1194" i="12"/>
  <c r="V1194" i="12"/>
  <c r="AC1193" i="12"/>
  <c r="AB1193" i="12"/>
  <c r="AA1193" i="12"/>
  <c r="Z1193" i="12"/>
  <c r="Y1193" i="12"/>
  <c r="X1193" i="12"/>
  <c r="W1193" i="12"/>
  <c r="V1193" i="12"/>
  <c r="AC1192" i="12"/>
  <c r="AB1192" i="12"/>
  <c r="AA1192" i="12"/>
  <c r="Z1192" i="12"/>
  <c r="Y1192" i="12"/>
  <c r="X1192" i="12"/>
  <c r="W1192" i="12"/>
  <c r="V1192" i="12"/>
  <c r="AC1191" i="12"/>
  <c r="AB1191" i="12"/>
  <c r="AA1191" i="12"/>
  <c r="Z1191" i="12"/>
  <c r="Y1191" i="12"/>
  <c r="X1191" i="12"/>
  <c r="W1191" i="12"/>
  <c r="V1191" i="12"/>
  <c r="AC1190" i="12"/>
  <c r="AB1190" i="12"/>
  <c r="AA1190" i="12"/>
  <c r="Z1190" i="12"/>
  <c r="Y1190" i="12"/>
  <c r="X1190" i="12"/>
  <c r="W1190" i="12"/>
  <c r="V1190" i="12"/>
  <c r="AC1189" i="12"/>
  <c r="AB1189" i="12"/>
  <c r="AA1189" i="12"/>
  <c r="Z1189" i="12"/>
  <c r="Y1189" i="12"/>
  <c r="X1189" i="12"/>
  <c r="W1189" i="12"/>
  <c r="V1189" i="12"/>
  <c r="AC1188" i="12"/>
  <c r="AB1188" i="12"/>
  <c r="AA1188" i="12"/>
  <c r="Z1188" i="12"/>
  <c r="Y1188" i="12"/>
  <c r="X1188" i="12"/>
  <c r="W1188" i="12"/>
  <c r="V1188" i="12"/>
  <c r="AC1187" i="12"/>
  <c r="AB1187" i="12"/>
  <c r="AA1187" i="12"/>
  <c r="Z1187" i="12"/>
  <c r="Y1187" i="12"/>
  <c r="X1187" i="12"/>
  <c r="W1187" i="12"/>
  <c r="V1187" i="12"/>
  <c r="AC1186" i="12"/>
  <c r="AB1186" i="12"/>
  <c r="AA1186" i="12"/>
  <c r="Z1186" i="12"/>
  <c r="Y1186" i="12"/>
  <c r="X1186" i="12"/>
  <c r="W1186" i="12"/>
  <c r="V1186" i="12"/>
  <c r="AC1185" i="12"/>
  <c r="AB1185" i="12"/>
  <c r="AA1185" i="12"/>
  <c r="Z1185" i="12"/>
  <c r="Y1185" i="12"/>
  <c r="X1185" i="12"/>
  <c r="W1185" i="12"/>
  <c r="V1185" i="12"/>
  <c r="AC1184" i="12"/>
  <c r="AB1184" i="12"/>
  <c r="AA1184" i="12"/>
  <c r="Z1184" i="12"/>
  <c r="Y1184" i="12"/>
  <c r="X1184" i="12"/>
  <c r="W1184" i="12"/>
  <c r="V1184" i="12"/>
  <c r="AC1183" i="12"/>
  <c r="AB1183" i="12"/>
  <c r="AA1183" i="12"/>
  <c r="Z1183" i="12"/>
  <c r="Y1183" i="12"/>
  <c r="X1183" i="12"/>
  <c r="W1183" i="12"/>
  <c r="V1183" i="12"/>
  <c r="AC1182" i="12"/>
  <c r="AB1182" i="12"/>
  <c r="AA1182" i="12"/>
  <c r="Z1182" i="12"/>
  <c r="Y1182" i="12"/>
  <c r="X1182" i="12"/>
  <c r="W1182" i="12"/>
  <c r="V1182" i="12"/>
  <c r="AC1181" i="12"/>
  <c r="AB1181" i="12"/>
  <c r="AA1181" i="12"/>
  <c r="Z1181" i="12"/>
  <c r="Y1181" i="12"/>
  <c r="X1181" i="12"/>
  <c r="W1181" i="12"/>
  <c r="V1181" i="12"/>
  <c r="AC1180" i="12"/>
  <c r="AB1180" i="12"/>
  <c r="AA1180" i="12"/>
  <c r="Z1180" i="12"/>
  <c r="Y1180" i="12"/>
  <c r="X1180" i="12"/>
  <c r="W1180" i="12"/>
  <c r="V1180" i="12"/>
  <c r="AC1179" i="12"/>
  <c r="AB1179" i="12"/>
  <c r="AA1179" i="12"/>
  <c r="Z1179" i="12"/>
  <c r="Y1179" i="12"/>
  <c r="X1179" i="12"/>
  <c r="W1179" i="12"/>
  <c r="V1179" i="12"/>
  <c r="AC1178" i="12"/>
  <c r="AB1178" i="12"/>
  <c r="AA1178" i="12"/>
  <c r="Z1178" i="12"/>
  <c r="Y1178" i="12"/>
  <c r="X1178" i="12"/>
  <c r="W1178" i="12"/>
  <c r="V1178" i="12"/>
  <c r="AC1177" i="12"/>
  <c r="AB1177" i="12"/>
  <c r="AA1177" i="12"/>
  <c r="Z1177" i="12"/>
  <c r="Y1177" i="12"/>
  <c r="X1177" i="12"/>
  <c r="W1177" i="12"/>
  <c r="V1177" i="12"/>
  <c r="AC1176" i="12"/>
  <c r="AB1176" i="12"/>
  <c r="AA1176" i="12"/>
  <c r="Z1176" i="12"/>
  <c r="Y1176" i="12"/>
  <c r="X1176" i="12"/>
  <c r="W1176" i="12"/>
  <c r="V1176" i="12"/>
  <c r="AC1175" i="12"/>
  <c r="AB1175" i="12"/>
  <c r="AA1175" i="12"/>
  <c r="Z1175" i="12"/>
  <c r="Y1175" i="12"/>
  <c r="X1175" i="12"/>
  <c r="W1175" i="12"/>
  <c r="V1175" i="12"/>
  <c r="AC1174" i="12"/>
  <c r="AB1174" i="12"/>
  <c r="AA1174" i="12"/>
  <c r="Z1174" i="12"/>
  <c r="Y1174" i="12"/>
  <c r="X1174" i="12"/>
  <c r="W1174" i="12"/>
  <c r="V1174" i="12"/>
  <c r="AC1173" i="12"/>
  <c r="AB1173" i="12"/>
  <c r="AA1173" i="12"/>
  <c r="Z1173" i="12"/>
  <c r="Y1173" i="12"/>
  <c r="X1173" i="12"/>
  <c r="W1173" i="12"/>
  <c r="V1173" i="12"/>
  <c r="AC1172" i="12"/>
  <c r="AB1172" i="12"/>
  <c r="AA1172" i="12"/>
  <c r="Z1172" i="12"/>
  <c r="Y1172" i="12"/>
  <c r="X1172" i="12"/>
  <c r="W1172" i="12"/>
  <c r="V1172" i="12"/>
  <c r="AC1171" i="12"/>
  <c r="AB1171" i="12"/>
  <c r="AA1171" i="12"/>
  <c r="Z1171" i="12"/>
  <c r="Y1171" i="12"/>
  <c r="X1171" i="12"/>
  <c r="W1171" i="12"/>
  <c r="V1171" i="12"/>
  <c r="AC1170" i="12"/>
  <c r="AB1170" i="12"/>
  <c r="AA1170" i="12"/>
  <c r="Z1170" i="12"/>
  <c r="Y1170" i="12"/>
  <c r="X1170" i="12"/>
  <c r="W1170" i="12"/>
  <c r="V1170" i="12"/>
  <c r="AC1169" i="12"/>
  <c r="AB1169" i="12"/>
  <c r="AA1169" i="12"/>
  <c r="Z1169" i="12"/>
  <c r="Y1169" i="12"/>
  <c r="X1169" i="12"/>
  <c r="W1169" i="12"/>
  <c r="V1169" i="12"/>
  <c r="AC1168" i="12"/>
  <c r="AB1168" i="12"/>
  <c r="AA1168" i="12"/>
  <c r="Z1168" i="12"/>
  <c r="Y1168" i="12"/>
  <c r="X1168" i="12"/>
  <c r="W1168" i="12"/>
  <c r="V1168" i="12"/>
  <c r="AC1167" i="12"/>
  <c r="AB1167" i="12"/>
  <c r="AA1167" i="12"/>
  <c r="Z1167" i="12"/>
  <c r="Y1167" i="12"/>
  <c r="X1167" i="12"/>
  <c r="W1167" i="12"/>
  <c r="V1167" i="12"/>
  <c r="AC1166" i="12"/>
  <c r="AB1166" i="12"/>
  <c r="AA1166" i="12"/>
  <c r="Z1166" i="12"/>
  <c r="Y1166" i="12"/>
  <c r="X1166" i="12"/>
  <c r="W1166" i="12"/>
  <c r="V1166" i="12"/>
  <c r="AC1165" i="12"/>
  <c r="AB1165" i="12"/>
  <c r="AA1165" i="12"/>
  <c r="Z1165" i="12"/>
  <c r="Y1165" i="12"/>
  <c r="X1165" i="12"/>
  <c r="W1165" i="12"/>
  <c r="V1165" i="12"/>
  <c r="AC1164" i="12"/>
  <c r="AB1164" i="12"/>
  <c r="AA1164" i="12"/>
  <c r="Z1164" i="12"/>
  <c r="Y1164" i="12"/>
  <c r="X1164" i="12"/>
  <c r="W1164" i="12"/>
  <c r="V1164" i="12"/>
  <c r="AC1163" i="12"/>
  <c r="AB1163" i="12"/>
  <c r="AA1163" i="12"/>
  <c r="Z1163" i="12"/>
  <c r="Y1163" i="12"/>
  <c r="X1163" i="12"/>
  <c r="W1163" i="12"/>
  <c r="V1163" i="12"/>
  <c r="AC1162" i="12"/>
  <c r="AB1162" i="12"/>
  <c r="AA1162" i="12"/>
  <c r="Z1162" i="12"/>
  <c r="Y1162" i="12"/>
  <c r="X1162" i="12"/>
  <c r="W1162" i="12"/>
  <c r="V1162" i="12"/>
  <c r="AC1161" i="12"/>
  <c r="AB1161" i="12"/>
  <c r="AA1161" i="12"/>
  <c r="Z1161" i="12"/>
  <c r="Y1161" i="12"/>
  <c r="X1161" i="12"/>
  <c r="W1161" i="12"/>
  <c r="V1161" i="12"/>
  <c r="AC1160" i="12"/>
  <c r="AB1160" i="12"/>
  <c r="AA1160" i="12"/>
  <c r="Z1160" i="12"/>
  <c r="Y1160" i="12"/>
  <c r="X1160" i="12"/>
  <c r="W1160" i="12"/>
  <c r="V1160" i="12"/>
  <c r="AC1159" i="12"/>
  <c r="AB1159" i="12"/>
  <c r="AA1159" i="12"/>
  <c r="Z1159" i="12"/>
  <c r="Y1159" i="12"/>
  <c r="X1159" i="12"/>
  <c r="W1159" i="12"/>
  <c r="V1159" i="12"/>
  <c r="AC1158" i="12"/>
  <c r="AB1158" i="12"/>
  <c r="AA1158" i="12"/>
  <c r="Z1158" i="12"/>
  <c r="Y1158" i="12"/>
  <c r="X1158" i="12"/>
  <c r="W1158" i="12"/>
  <c r="V1158" i="12"/>
  <c r="AC1157" i="12"/>
  <c r="AB1157" i="12"/>
  <c r="AA1157" i="12"/>
  <c r="Z1157" i="12"/>
  <c r="Y1157" i="12"/>
  <c r="X1157" i="12"/>
  <c r="W1157" i="12"/>
  <c r="V1157" i="12"/>
  <c r="AC1156" i="12"/>
  <c r="AB1156" i="12"/>
  <c r="AA1156" i="12"/>
  <c r="Z1156" i="12"/>
  <c r="Y1156" i="12"/>
  <c r="X1156" i="12"/>
  <c r="W1156" i="12"/>
  <c r="V1156" i="12"/>
  <c r="AC1155" i="12"/>
  <c r="AB1155" i="12"/>
  <c r="AA1155" i="12"/>
  <c r="Z1155" i="12"/>
  <c r="Y1155" i="12"/>
  <c r="X1155" i="12"/>
  <c r="W1155" i="12"/>
  <c r="V1155" i="12"/>
  <c r="AC1154" i="12"/>
  <c r="AB1154" i="12"/>
  <c r="AA1154" i="12"/>
  <c r="Z1154" i="12"/>
  <c r="Y1154" i="12"/>
  <c r="X1154" i="12"/>
  <c r="W1154" i="12"/>
  <c r="V1154" i="12"/>
  <c r="AC1153" i="12"/>
  <c r="AB1153" i="12"/>
  <c r="AA1153" i="12"/>
  <c r="Z1153" i="12"/>
  <c r="Y1153" i="12"/>
  <c r="X1153" i="12"/>
  <c r="W1153" i="12"/>
  <c r="V1153" i="12"/>
  <c r="AC1152" i="12"/>
  <c r="AB1152" i="12"/>
  <c r="AA1152" i="12"/>
  <c r="Z1152" i="12"/>
  <c r="Y1152" i="12"/>
  <c r="X1152" i="12"/>
  <c r="W1152" i="12"/>
  <c r="V1152" i="12"/>
  <c r="AC1151" i="12"/>
  <c r="AB1151" i="12"/>
  <c r="AA1151" i="12"/>
  <c r="Z1151" i="12"/>
  <c r="Y1151" i="12"/>
  <c r="X1151" i="12"/>
  <c r="W1151" i="12"/>
  <c r="V1151" i="12"/>
  <c r="AC1150" i="12"/>
  <c r="AB1150" i="12"/>
  <c r="AA1150" i="12"/>
  <c r="Z1150" i="12"/>
  <c r="Y1150" i="12"/>
  <c r="X1150" i="12"/>
  <c r="W1150" i="12"/>
  <c r="V1150" i="12"/>
  <c r="AC1149" i="12"/>
  <c r="AB1149" i="12"/>
  <c r="AA1149" i="12"/>
  <c r="Z1149" i="12"/>
  <c r="Y1149" i="12"/>
  <c r="X1149" i="12"/>
  <c r="W1149" i="12"/>
  <c r="V1149" i="12"/>
  <c r="AC1148" i="12"/>
  <c r="AB1148" i="12"/>
  <c r="AA1148" i="12"/>
  <c r="Z1148" i="12"/>
  <c r="Y1148" i="12"/>
  <c r="X1148" i="12"/>
  <c r="W1148" i="12"/>
  <c r="V1148" i="12"/>
  <c r="AC1147" i="12"/>
  <c r="AB1147" i="12"/>
  <c r="AA1147" i="12"/>
  <c r="Z1147" i="12"/>
  <c r="Y1147" i="12"/>
  <c r="X1147" i="12"/>
  <c r="W1147" i="12"/>
  <c r="V1147" i="12"/>
  <c r="AC1146" i="12"/>
  <c r="AB1146" i="12"/>
  <c r="AA1146" i="12"/>
  <c r="Z1146" i="12"/>
  <c r="Y1146" i="12"/>
  <c r="X1146" i="12"/>
  <c r="W1146" i="12"/>
  <c r="V1146" i="12"/>
  <c r="AC1145" i="12"/>
  <c r="AB1145" i="12"/>
  <c r="AA1145" i="12"/>
  <c r="Z1145" i="12"/>
  <c r="Y1145" i="12"/>
  <c r="X1145" i="12"/>
  <c r="W1145" i="12"/>
  <c r="V1145" i="12"/>
  <c r="AC1144" i="12"/>
  <c r="AB1144" i="12"/>
  <c r="AA1144" i="12"/>
  <c r="Z1144" i="12"/>
  <c r="Y1144" i="12"/>
  <c r="X1144" i="12"/>
  <c r="W1144" i="12"/>
  <c r="V1144" i="12"/>
  <c r="AC1143" i="12"/>
  <c r="AB1143" i="12"/>
  <c r="AA1143" i="12"/>
  <c r="Z1143" i="12"/>
  <c r="Y1143" i="12"/>
  <c r="X1143" i="12"/>
  <c r="W1143" i="12"/>
  <c r="V1143" i="12"/>
  <c r="AC1142" i="12"/>
  <c r="AB1142" i="12"/>
  <c r="AA1142" i="12"/>
  <c r="Z1142" i="12"/>
  <c r="Y1142" i="12"/>
  <c r="X1142" i="12"/>
  <c r="W1142" i="12"/>
  <c r="V1142" i="12"/>
  <c r="AC1141" i="12"/>
  <c r="AB1141" i="12"/>
  <c r="AA1141" i="12"/>
  <c r="Z1141" i="12"/>
  <c r="Y1141" i="12"/>
  <c r="X1141" i="12"/>
  <c r="W1141" i="12"/>
  <c r="V1141" i="12"/>
  <c r="AC1140" i="12"/>
  <c r="AB1140" i="12"/>
  <c r="AA1140" i="12"/>
  <c r="Z1140" i="12"/>
  <c r="Y1140" i="12"/>
  <c r="X1140" i="12"/>
  <c r="W1140" i="12"/>
  <c r="V1140" i="12"/>
  <c r="AC1139" i="12"/>
  <c r="AB1139" i="12"/>
  <c r="AA1139" i="12"/>
  <c r="Z1139" i="12"/>
  <c r="Y1139" i="12"/>
  <c r="X1139" i="12"/>
  <c r="W1139" i="12"/>
  <c r="V1139" i="12"/>
  <c r="AC1138" i="12"/>
  <c r="AB1138" i="12"/>
  <c r="AA1138" i="12"/>
  <c r="Z1138" i="12"/>
  <c r="Y1138" i="12"/>
  <c r="X1138" i="12"/>
  <c r="W1138" i="12"/>
  <c r="V1138" i="12"/>
  <c r="AC1137" i="12"/>
  <c r="AB1137" i="12"/>
  <c r="AA1137" i="12"/>
  <c r="Z1137" i="12"/>
  <c r="Y1137" i="12"/>
  <c r="X1137" i="12"/>
  <c r="W1137" i="12"/>
  <c r="V1137" i="12"/>
  <c r="AC1136" i="12"/>
  <c r="AB1136" i="12"/>
  <c r="AA1136" i="12"/>
  <c r="Z1136" i="12"/>
  <c r="Y1136" i="12"/>
  <c r="X1136" i="12"/>
  <c r="W1136" i="12"/>
  <c r="V1136" i="12"/>
  <c r="AC1135" i="12"/>
  <c r="AB1135" i="12"/>
  <c r="AA1135" i="12"/>
  <c r="Z1135" i="12"/>
  <c r="Y1135" i="12"/>
  <c r="X1135" i="12"/>
  <c r="W1135" i="12"/>
  <c r="V1135" i="12"/>
  <c r="AC1134" i="12"/>
  <c r="AB1134" i="12"/>
  <c r="AA1134" i="12"/>
  <c r="Z1134" i="12"/>
  <c r="Y1134" i="12"/>
  <c r="X1134" i="12"/>
  <c r="W1134" i="12"/>
  <c r="V1134" i="12"/>
  <c r="AC1133" i="12"/>
  <c r="AB1133" i="12"/>
  <c r="AA1133" i="12"/>
  <c r="Z1133" i="12"/>
  <c r="Y1133" i="12"/>
  <c r="X1133" i="12"/>
  <c r="W1133" i="12"/>
  <c r="V1133" i="12"/>
  <c r="AC1132" i="12"/>
  <c r="AB1132" i="12"/>
  <c r="AA1132" i="12"/>
  <c r="Z1132" i="12"/>
  <c r="Y1132" i="12"/>
  <c r="X1132" i="12"/>
  <c r="W1132" i="12"/>
  <c r="V1132" i="12"/>
  <c r="AC1131" i="12"/>
  <c r="AB1131" i="12"/>
  <c r="AA1131" i="12"/>
  <c r="Z1131" i="12"/>
  <c r="Y1131" i="12"/>
  <c r="X1131" i="12"/>
  <c r="W1131" i="12"/>
  <c r="V1131" i="12"/>
  <c r="AC1130" i="12"/>
  <c r="AB1130" i="12"/>
  <c r="AA1130" i="12"/>
  <c r="Z1130" i="12"/>
  <c r="Y1130" i="12"/>
  <c r="X1130" i="12"/>
  <c r="W1130" i="12"/>
  <c r="V1130" i="12"/>
  <c r="AC1129" i="12"/>
  <c r="AB1129" i="12"/>
  <c r="AA1129" i="12"/>
  <c r="Z1129" i="12"/>
  <c r="Y1129" i="12"/>
  <c r="X1129" i="12"/>
  <c r="W1129" i="12"/>
  <c r="V1129" i="12"/>
  <c r="AC1128" i="12"/>
  <c r="AB1128" i="12"/>
  <c r="AA1128" i="12"/>
  <c r="Z1128" i="12"/>
  <c r="Y1128" i="12"/>
  <c r="X1128" i="12"/>
  <c r="W1128" i="12"/>
  <c r="V1128" i="12"/>
  <c r="AC1127" i="12"/>
  <c r="AB1127" i="12"/>
  <c r="AA1127" i="12"/>
  <c r="Z1127" i="12"/>
  <c r="Y1127" i="12"/>
  <c r="X1127" i="12"/>
  <c r="W1127" i="12"/>
  <c r="V1127" i="12"/>
  <c r="AC1126" i="12"/>
  <c r="AB1126" i="12"/>
  <c r="AA1126" i="12"/>
  <c r="Z1126" i="12"/>
  <c r="Y1126" i="12"/>
  <c r="X1126" i="12"/>
  <c r="W1126" i="12"/>
  <c r="V1126" i="12"/>
  <c r="AC1125" i="12"/>
  <c r="AB1125" i="12"/>
  <c r="AA1125" i="12"/>
  <c r="Z1125" i="12"/>
  <c r="Y1125" i="12"/>
  <c r="X1125" i="12"/>
  <c r="W1125" i="12"/>
  <c r="V1125" i="12"/>
  <c r="AC1124" i="12"/>
  <c r="AB1124" i="12"/>
  <c r="AA1124" i="12"/>
  <c r="Z1124" i="12"/>
  <c r="Y1124" i="12"/>
  <c r="X1124" i="12"/>
  <c r="W1124" i="12"/>
  <c r="V1124" i="12"/>
  <c r="AC1123" i="12"/>
  <c r="AB1123" i="12"/>
  <c r="AA1123" i="12"/>
  <c r="Z1123" i="12"/>
  <c r="Y1123" i="12"/>
  <c r="X1123" i="12"/>
  <c r="W1123" i="12"/>
  <c r="V1123" i="12"/>
  <c r="AC1122" i="12"/>
  <c r="AB1122" i="12"/>
  <c r="AA1122" i="12"/>
  <c r="Z1122" i="12"/>
  <c r="Y1122" i="12"/>
  <c r="X1122" i="12"/>
  <c r="W1122" i="12"/>
  <c r="V1122" i="12"/>
  <c r="AC1121" i="12"/>
  <c r="AB1121" i="12"/>
  <c r="AA1121" i="12"/>
  <c r="Z1121" i="12"/>
  <c r="Y1121" i="12"/>
  <c r="X1121" i="12"/>
  <c r="W1121" i="12"/>
  <c r="V1121" i="12"/>
  <c r="AC1120" i="12"/>
  <c r="AB1120" i="12"/>
  <c r="AA1120" i="12"/>
  <c r="Z1120" i="12"/>
  <c r="Y1120" i="12"/>
  <c r="X1120" i="12"/>
  <c r="W1120" i="12"/>
  <c r="V1120" i="12"/>
  <c r="AC1119" i="12"/>
  <c r="AB1119" i="12"/>
  <c r="AA1119" i="12"/>
  <c r="Z1119" i="12"/>
  <c r="Y1119" i="12"/>
  <c r="X1119" i="12"/>
  <c r="W1119" i="12"/>
  <c r="V1119" i="12"/>
  <c r="AC1118" i="12"/>
  <c r="AB1118" i="12"/>
  <c r="AA1118" i="12"/>
  <c r="Z1118" i="12"/>
  <c r="Y1118" i="12"/>
  <c r="X1118" i="12"/>
  <c r="W1118" i="12"/>
  <c r="V1118" i="12"/>
  <c r="AC1117" i="12"/>
  <c r="AB1117" i="12"/>
  <c r="AA1117" i="12"/>
  <c r="Z1117" i="12"/>
  <c r="Y1117" i="12"/>
  <c r="X1117" i="12"/>
  <c r="W1117" i="12"/>
  <c r="V1117" i="12"/>
  <c r="AC1116" i="12"/>
  <c r="AB1116" i="12"/>
  <c r="AA1116" i="12"/>
  <c r="Z1116" i="12"/>
  <c r="Y1116" i="12"/>
  <c r="X1116" i="12"/>
  <c r="W1116" i="12"/>
  <c r="V1116" i="12"/>
  <c r="AC1115" i="12"/>
  <c r="AB1115" i="12"/>
  <c r="AA1115" i="12"/>
  <c r="Z1115" i="12"/>
  <c r="Y1115" i="12"/>
  <c r="X1115" i="12"/>
  <c r="W1115" i="12"/>
  <c r="V1115" i="12"/>
  <c r="AC1114" i="12"/>
  <c r="AB1114" i="12"/>
  <c r="AA1114" i="12"/>
  <c r="Z1114" i="12"/>
  <c r="Y1114" i="12"/>
  <c r="X1114" i="12"/>
  <c r="W1114" i="12"/>
  <c r="V1114" i="12"/>
  <c r="AC1113" i="12"/>
  <c r="AB1113" i="12"/>
  <c r="AA1113" i="12"/>
  <c r="Z1113" i="12"/>
  <c r="Y1113" i="12"/>
  <c r="X1113" i="12"/>
  <c r="W1113" i="12"/>
  <c r="V1113" i="12"/>
  <c r="AC1112" i="12"/>
  <c r="AB1112" i="12"/>
  <c r="AA1112" i="12"/>
  <c r="Z1112" i="12"/>
  <c r="Y1112" i="12"/>
  <c r="X1112" i="12"/>
  <c r="W1112" i="12"/>
  <c r="V1112" i="12"/>
  <c r="AC1111" i="12"/>
  <c r="AB1111" i="12"/>
  <c r="AA1111" i="12"/>
  <c r="Z1111" i="12"/>
  <c r="Y1111" i="12"/>
  <c r="X1111" i="12"/>
  <c r="W1111" i="12"/>
  <c r="V1111" i="12"/>
  <c r="AC1110" i="12"/>
  <c r="AB1110" i="12"/>
  <c r="AA1110" i="12"/>
  <c r="Z1110" i="12"/>
  <c r="Y1110" i="12"/>
  <c r="X1110" i="12"/>
  <c r="W1110" i="12"/>
  <c r="V1110" i="12"/>
  <c r="AC1109" i="12"/>
  <c r="AB1109" i="12"/>
  <c r="AA1109" i="12"/>
  <c r="Z1109" i="12"/>
  <c r="Y1109" i="12"/>
  <c r="X1109" i="12"/>
  <c r="W1109" i="12"/>
  <c r="V1109" i="12"/>
  <c r="AC1108" i="12"/>
  <c r="AB1108" i="12"/>
  <c r="AA1108" i="12"/>
  <c r="Z1108" i="12"/>
  <c r="Y1108" i="12"/>
  <c r="X1108" i="12"/>
  <c r="W1108" i="12"/>
  <c r="V1108" i="12"/>
  <c r="AC1107" i="12"/>
  <c r="AB1107" i="12"/>
  <c r="AA1107" i="12"/>
  <c r="Z1107" i="12"/>
  <c r="Y1107" i="12"/>
  <c r="X1107" i="12"/>
  <c r="W1107" i="12"/>
  <c r="V1107" i="12"/>
  <c r="AC1106" i="12"/>
  <c r="AB1106" i="12"/>
  <c r="AA1106" i="12"/>
  <c r="Z1106" i="12"/>
  <c r="Y1106" i="12"/>
  <c r="X1106" i="12"/>
  <c r="W1106" i="12"/>
  <c r="V1106" i="12"/>
  <c r="AC1105" i="12"/>
  <c r="AB1105" i="12"/>
  <c r="AA1105" i="12"/>
  <c r="Z1105" i="12"/>
  <c r="Y1105" i="12"/>
  <c r="X1105" i="12"/>
  <c r="W1105" i="12"/>
  <c r="V1105" i="12"/>
  <c r="AC1104" i="12"/>
  <c r="AB1104" i="12"/>
  <c r="AA1104" i="12"/>
  <c r="Z1104" i="12"/>
  <c r="Y1104" i="12"/>
  <c r="X1104" i="12"/>
  <c r="W1104" i="12"/>
  <c r="V1104" i="12"/>
  <c r="AC1103" i="12"/>
  <c r="AB1103" i="12"/>
  <c r="AA1103" i="12"/>
  <c r="Z1103" i="12"/>
  <c r="Y1103" i="12"/>
  <c r="X1103" i="12"/>
  <c r="W1103" i="12"/>
  <c r="V1103" i="12"/>
  <c r="AC1102" i="12"/>
  <c r="AB1102" i="12"/>
  <c r="AA1102" i="12"/>
  <c r="Z1102" i="12"/>
  <c r="Y1102" i="12"/>
  <c r="X1102" i="12"/>
  <c r="W1102" i="12"/>
  <c r="V1102" i="12"/>
  <c r="AC1101" i="12"/>
  <c r="AB1101" i="12"/>
  <c r="AA1101" i="12"/>
  <c r="Z1101" i="12"/>
  <c r="Y1101" i="12"/>
  <c r="X1101" i="12"/>
  <c r="W1101" i="12"/>
  <c r="V1101" i="12"/>
  <c r="AC1100" i="12"/>
  <c r="AB1100" i="12"/>
  <c r="AA1100" i="12"/>
  <c r="Z1100" i="12"/>
  <c r="Y1100" i="12"/>
  <c r="X1100" i="12"/>
  <c r="W1100" i="12"/>
  <c r="V1100" i="12"/>
  <c r="AC1099" i="12"/>
  <c r="AB1099" i="12"/>
  <c r="AA1099" i="12"/>
  <c r="Z1099" i="12"/>
  <c r="Y1099" i="12"/>
  <c r="X1099" i="12"/>
  <c r="W1099" i="12"/>
  <c r="V1099" i="12"/>
  <c r="AC1098" i="12"/>
  <c r="AB1098" i="12"/>
  <c r="AA1098" i="12"/>
  <c r="Z1098" i="12"/>
  <c r="Y1098" i="12"/>
  <c r="X1098" i="12"/>
  <c r="W1098" i="12"/>
  <c r="V1098" i="12"/>
  <c r="AC1097" i="12"/>
  <c r="AB1097" i="12"/>
  <c r="AA1097" i="12"/>
  <c r="Z1097" i="12"/>
  <c r="Y1097" i="12"/>
  <c r="X1097" i="12"/>
  <c r="W1097" i="12"/>
  <c r="V1097" i="12"/>
  <c r="AC1096" i="12"/>
  <c r="AB1096" i="12"/>
  <c r="AA1096" i="12"/>
  <c r="Z1096" i="12"/>
  <c r="Y1096" i="12"/>
  <c r="X1096" i="12"/>
  <c r="W1096" i="12"/>
  <c r="V1096" i="12"/>
  <c r="AC1095" i="12"/>
  <c r="AB1095" i="12"/>
  <c r="AA1095" i="12"/>
  <c r="Z1095" i="12"/>
  <c r="Y1095" i="12"/>
  <c r="X1095" i="12"/>
  <c r="W1095" i="12"/>
  <c r="V1095" i="12"/>
  <c r="AC1094" i="12"/>
  <c r="AB1094" i="12"/>
  <c r="AA1094" i="12"/>
  <c r="Z1094" i="12"/>
  <c r="Y1094" i="12"/>
  <c r="X1094" i="12"/>
  <c r="W1094" i="12"/>
  <c r="V1094" i="12"/>
  <c r="AC1093" i="12"/>
  <c r="AB1093" i="12"/>
  <c r="AA1093" i="12"/>
  <c r="Z1093" i="12"/>
  <c r="Y1093" i="12"/>
  <c r="X1093" i="12"/>
  <c r="W1093" i="12"/>
  <c r="V1093" i="12"/>
  <c r="AC1092" i="12"/>
  <c r="AB1092" i="12"/>
  <c r="AA1092" i="12"/>
  <c r="Z1092" i="12"/>
  <c r="Y1092" i="12"/>
  <c r="X1092" i="12"/>
  <c r="W1092" i="12"/>
  <c r="V1092" i="12"/>
  <c r="AC1091" i="12"/>
  <c r="AB1091" i="12"/>
  <c r="AA1091" i="12"/>
  <c r="Z1091" i="12"/>
  <c r="Y1091" i="12"/>
  <c r="X1091" i="12"/>
  <c r="W1091" i="12"/>
  <c r="V1091" i="12"/>
  <c r="AC1090" i="12"/>
  <c r="AB1090" i="12"/>
  <c r="AA1090" i="12"/>
  <c r="Z1090" i="12"/>
  <c r="Y1090" i="12"/>
  <c r="X1090" i="12"/>
  <c r="W1090" i="12"/>
  <c r="V1090" i="12"/>
  <c r="AC1089" i="12"/>
  <c r="AB1089" i="12"/>
  <c r="AA1089" i="12"/>
  <c r="Z1089" i="12"/>
  <c r="Y1089" i="12"/>
  <c r="X1089" i="12"/>
  <c r="W1089" i="12"/>
  <c r="V1089" i="12"/>
  <c r="AC1088" i="12"/>
  <c r="AB1088" i="12"/>
  <c r="AA1088" i="12"/>
  <c r="Z1088" i="12"/>
  <c r="Y1088" i="12"/>
  <c r="X1088" i="12"/>
  <c r="W1088" i="12"/>
  <c r="V1088" i="12"/>
  <c r="AC1087" i="12"/>
  <c r="AB1087" i="12"/>
  <c r="AA1087" i="12"/>
  <c r="Z1087" i="12"/>
  <c r="Y1087" i="12"/>
  <c r="X1087" i="12"/>
  <c r="W1087" i="12"/>
  <c r="V1087" i="12"/>
  <c r="AC1086" i="12"/>
  <c r="AB1086" i="12"/>
  <c r="AA1086" i="12"/>
  <c r="Z1086" i="12"/>
  <c r="Y1086" i="12"/>
  <c r="X1086" i="12"/>
  <c r="W1086" i="12"/>
  <c r="V1086" i="12"/>
  <c r="AC1085" i="12"/>
  <c r="AB1085" i="12"/>
  <c r="AA1085" i="12"/>
  <c r="Z1085" i="12"/>
  <c r="Y1085" i="12"/>
  <c r="X1085" i="12"/>
  <c r="W1085" i="12"/>
  <c r="V1085" i="12"/>
  <c r="AC1084" i="12"/>
  <c r="AB1084" i="12"/>
  <c r="AA1084" i="12"/>
  <c r="Z1084" i="12"/>
  <c r="Y1084" i="12"/>
  <c r="X1084" i="12"/>
  <c r="W1084" i="12"/>
  <c r="V1084" i="12"/>
  <c r="AC1083" i="12"/>
  <c r="AB1083" i="12"/>
  <c r="AA1083" i="12"/>
  <c r="Z1083" i="12"/>
  <c r="Y1083" i="12"/>
  <c r="X1083" i="12"/>
  <c r="W1083" i="12"/>
  <c r="V1083" i="12"/>
  <c r="AC1082" i="12"/>
  <c r="AB1082" i="12"/>
  <c r="AA1082" i="12"/>
  <c r="Z1082" i="12"/>
  <c r="Y1082" i="12"/>
  <c r="X1082" i="12"/>
  <c r="W1082" i="12"/>
  <c r="V1082" i="12"/>
  <c r="AC1081" i="12"/>
  <c r="AB1081" i="12"/>
  <c r="AA1081" i="12"/>
  <c r="Z1081" i="12"/>
  <c r="Y1081" i="12"/>
  <c r="X1081" i="12"/>
  <c r="W1081" i="12"/>
  <c r="V1081" i="12"/>
  <c r="AC1080" i="12"/>
  <c r="AB1080" i="12"/>
  <c r="AA1080" i="12"/>
  <c r="Z1080" i="12"/>
  <c r="Y1080" i="12"/>
  <c r="X1080" i="12"/>
  <c r="W1080" i="12"/>
  <c r="V1080" i="12"/>
  <c r="AC1079" i="12"/>
  <c r="AB1079" i="12"/>
  <c r="AA1079" i="12"/>
  <c r="Z1079" i="12"/>
  <c r="Y1079" i="12"/>
  <c r="X1079" i="12"/>
  <c r="W1079" i="12"/>
  <c r="V1079" i="12"/>
  <c r="AC1078" i="12"/>
  <c r="AB1078" i="12"/>
  <c r="AA1078" i="12"/>
  <c r="Z1078" i="12"/>
  <c r="Y1078" i="12"/>
  <c r="X1078" i="12"/>
  <c r="W1078" i="12"/>
  <c r="V1078" i="12"/>
  <c r="AC1077" i="12"/>
  <c r="AB1077" i="12"/>
  <c r="AA1077" i="12"/>
  <c r="Z1077" i="12"/>
  <c r="Y1077" i="12"/>
  <c r="X1077" i="12"/>
  <c r="W1077" i="12"/>
  <c r="V1077" i="12"/>
  <c r="AC1076" i="12"/>
  <c r="AB1076" i="12"/>
  <c r="AA1076" i="12"/>
  <c r="Z1076" i="12"/>
  <c r="Y1076" i="12"/>
  <c r="X1076" i="12"/>
  <c r="W1076" i="12"/>
  <c r="V1076" i="12"/>
  <c r="AC1075" i="12"/>
  <c r="AB1075" i="12"/>
  <c r="AA1075" i="12"/>
  <c r="Z1075" i="12"/>
  <c r="Y1075" i="12"/>
  <c r="X1075" i="12"/>
  <c r="W1075" i="12"/>
  <c r="V1075" i="12"/>
  <c r="AC1074" i="12"/>
  <c r="AB1074" i="12"/>
  <c r="AA1074" i="12"/>
  <c r="Z1074" i="12"/>
  <c r="Y1074" i="12"/>
  <c r="X1074" i="12"/>
  <c r="W1074" i="12"/>
  <c r="V1074" i="12"/>
  <c r="AC1073" i="12"/>
  <c r="AB1073" i="12"/>
  <c r="AA1073" i="12"/>
  <c r="Z1073" i="12"/>
  <c r="Y1073" i="12"/>
  <c r="X1073" i="12"/>
  <c r="W1073" i="12"/>
  <c r="V1073" i="12"/>
  <c r="AC1072" i="12"/>
  <c r="AB1072" i="12"/>
  <c r="AA1072" i="12"/>
  <c r="Z1072" i="12"/>
  <c r="Y1072" i="12"/>
  <c r="X1072" i="12"/>
  <c r="W1072" i="12"/>
  <c r="V1072" i="12"/>
  <c r="AC1071" i="12"/>
  <c r="AB1071" i="12"/>
  <c r="AA1071" i="12"/>
  <c r="Z1071" i="12"/>
  <c r="Y1071" i="12"/>
  <c r="X1071" i="12"/>
  <c r="W1071" i="12"/>
  <c r="V1071" i="12"/>
  <c r="AC1070" i="12"/>
  <c r="AB1070" i="12"/>
  <c r="AA1070" i="12"/>
  <c r="Z1070" i="12"/>
  <c r="Y1070" i="12"/>
  <c r="X1070" i="12"/>
  <c r="W1070" i="12"/>
  <c r="V1070" i="12"/>
  <c r="AC1069" i="12"/>
  <c r="AB1069" i="12"/>
  <c r="AA1069" i="12"/>
  <c r="Z1069" i="12"/>
  <c r="Y1069" i="12"/>
  <c r="X1069" i="12"/>
  <c r="W1069" i="12"/>
  <c r="V1069" i="12"/>
  <c r="AC1068" i="12"/>
  <c r="AB1068" i="12"/>
  <c r="AA1068" i="12"/>
  <c r="Z1068" i="12"/>
  <c r="Y1068" i="12"/>
  <c r="X1068" i="12"/>
  <c r="W1068" i="12"/>
  <c r="V1068" i="12"/>
  <c r="AC1067" i="12"/>
  <c r="AB1067" i="12"/>
  <c r="AA1067" i="12"/>
  <c r="Z1067" i="12"/>
  <c r="Y1067" i="12"/>
  <c r="X1067" i="12"/>
  <c r="W1067" i="12"/>
  <c r="V1067" i="12"/>
  <c r="AC1066" i="12"/>
  <c r="AB1066" i="12"/>
  <c r="AA1066" i="12"/>
  <c r="Z1066" i="12"/>
  <c r="Y1066" i="12"/>
  <c r="X1066" i="12"/>
  <c r="W1066" i="12"/>
  <c r="V1066" i="12"/>
  <c r="AC1065" i="12"/>
  <c r="AB1065" i="12"/>
  <c r="AA1065" i="12"/>
  <c r="Z1065" i="12"/>
  <c r="Y1065" i="12"/>
  <c r="X1065" i="12"/>
  <c r="W1065" i="12"/>
  <c r="V1065" i="12"/>
  <c r="AC1064" i="12"/>
  <c r="AB1064" i="12"/>
  <c r="AA1064" i="12"/>
  <c r="Z1064" i="12"/>
  <c r="Y1064" i="12"/>
  <c r="X1064" i="12"/>
  <c r="W1064" i="12"/>
  <c r="V1064" i="12"/>
  <c r="AC1063" i="12"/>
  <c r="AB1063" i="12"/>
  <c r="AA1063" i="12"/>
  <c r="Z1063" i="12"/>
  <c r="Y1063" i="12"/>
  <c r="X1063" i="12"/>
  <c r="W1063" i="12"/>
  <c r="V1063" i="12"/>
  <c r="AC1062" i="12"/>
  <c r="AB1062" i="12"/>
  <c r="AA1062" i="12"/>
  <c r="Z1062" i="12"/>
  <c r="Y1062" i="12"/>
  <c r="X1062" i="12"/>
  <c r="W1062" i="12"/>
  <c r="V1062" i="12"/>
  <c r="AC1061" i="12"/>
  <c r="AB1061" i="12"/>
  <c r="AA1061" i="12"/>
  <c r="Z1061" i="12"/>
  <c r="Y1061" i="12"/>
  <c r="X1061" i="12"/>
  <c r="W1061" i="12"/>
  <c r="V1061" i="12"/>
  <c r="AC1060" i="12"/>
  <c r="AB1060" i="12"/>
  <c r="AA1060" i="12"/>
  <c r="Z1060" i="12"/>
  <c r="Y1060" i="12"/>
  <c r="X1060" i="12"/>
  <c r="W1060" i="12"/>
  <c r="V1060" i="12"/>
  <c r="AC1059" i="12"/>
  <c r="AB1059" i="12"/>
  <c r="AA1059" i="12"/>
  <c r="Z1059" i="12"/>
  <c r="Y1059" i="12"/>
  <c r="X1059" i="12"/>
  <c r="W1059" i="12"/>
  <c r="V1059" i="12"/>
  <c r="AC1058" i="12"/>
  <c r="AB1058" i="12"/>
  <c r="AA1058" i="12"/>
  <c r="Z1058" i="12"/>
  <c r="Y1058" i="12"/>
  <c r="X1058" i="12"/>
  <c r="W1058" i="12"/>
  <c r="V1058" i="12"/>
  <c r="AC1057" i="12"/>
  <c r="AB1057" i="12"/>
  <c r="AA1057" i="12"/>
  <c r="Z1057" i="12"/>
  <c r="Y1057" i="12"/>
  <c r="X1057" i="12"/>
  <c r="W1057" i="12"/>
  <c r="V1057" i="12"/>
  <c r="AC1056" i="12"/>
  <c r="AB1056" i="12"/>
  <c r="AA1056" i="12"/>
  <c r="Z1056" i="12"/>
  <c r="Y1056" i="12"/>
  <c r="X1056" i="12"/>
  <c r="W1056" i="12"/>
  <c r="V1056" i="12"/>
  <c r="AC1055" i="12"/>
  <c r="AB1055" i="12"/>
  <c r="AA1055" i="12"/>
  <c r="Z1055" i="12"/>
  <c r="Y1055" i="12"/>
  <c r="X1055" i="12"/>
  <c r="W1055" i="12"/>
  <c r="V1055" i="12"/>
  <c r="AC1054" i="12"/>
  <c r="AB1054" i="12"/>
  <c r="AA1054" i="12"/>
  <c r="Z1054" i="12"/>
  <c r="Y1054" i="12"/>
  <c r="X1054" i="12"/>
  <c r="W1054" i="12"/>
  <c r="V1054" i="12"/>
  <c r="AC1053" i="12"/>
  <c r="AB1053" i="12"/>
  <c r="AA1053" i="12"/>
  <c r="Z1053" i="12"/>
  <c r="Y1053" i="12"/>
  <c r="X1053" i="12"/>
  <c r="W1053" i="12"/>
  <c r="V1053" i="12"/>
  <c r="AC1052" i="12"/>
  <c r="AB1052" i="12"/>
  <c r="AA1052" i="12"/>
  <c r="Z1052" i="12"/>
  <c r="Y1052" i="12"/>
  <c r="X1052" i="12"/>
  <c r="W1052" i="12"/>
  <c r="V1052" i="12"/>
  <c r="AC1051" i="12"/>
  <c r="AB1051" i="12"/>
  <c r="AA1051" i="12"/>
  <c r="Z1051" i="12"/>
  <c r="Y1051" i="12"/>
  <c r="X1051" i="12"/>
  <c r="W1051" i="12"/>
  <c r="V1051" i="12"/>
  <c r="AC1050" i="12"/>
  <c r="AB1050" i="12"/>
  <c r="AA1050" i="12"/>
  <c r="Z1050" i="12"/>
  <c r="Y1050" i="12"/>
  <c r="X1050" i="12"/>
  <c r="W1050" i="12"/>
  <c r="V1050" i="12"/>
  <c r="AC1049" i="12"/>
  <c r="AB1049" i="12"/>
  <c r="AA1049" i="12"/>
  <c r="Z1049" i="12"/>
  <c r="Y1049" i="12"/>
  <c r="X1049" i="12"/>
  <c r="W1049" i="12"/>
  <c r="V1049" i="12"/>
  <c r="AC1048" i="12"/>
  <c r="AB1048" i="12"/>
  <c r="AA1048" i="12"/>
  <c r="Z1048" i="12"/>
  <c r="Y1048" i="12"/>
  <c r="X1048" i="12"/>
  <c r="W1048" i="12"/>
  <c r="V1048" i="12"/>
  <c r="AC1047" i="12"/>
  <c r="AB1047" i="12"/>
  <c r="AA1047" i="12"/>
  <c r="Z1047" i="12"/>
  <c r="Y1047" i="12"/>
  <c r="X1047" i="12"/>
  <c r="W1047" i="12"/>
  <c r="V1047" i="12"/>
  <c r="AC1046" i="12"/>
  <c r="AB1046" i="12"/>
  <c r="AA1046" i="12"/>
  <c r="Z1046" i="12"/>
  <c r="Y1046" i="12"/>
  <c r="X1046" i="12"/>
  <c r="W1046" i="12"/>
  <c r="V1046" i="12"/>
  <c r="AC1045" i="12"/>
  <c r="AB1045" i="12"/>
  <c r="AA1045" i="12"/>
  <c r="Z1045" i="12"/>
  <c r="Y1045" i="12"/>
  <c r="X1045" i="12"/>
  <c r="W1045" i="12"/>
  <c r="V1045" i="12"/>
  <c r="AC1044" i="12"/>
  <c r="AB1044" i="12"/>
  <c r="AA1044" i="12"/>
  <c r="Z1044" i="12"/>
  <c r="Y1044" i="12"/>
  <c r="X1044" i="12"/>
  <c r="W1044" i="12"/>
  <c r="V1044" i="12"/>
  <c r="AC1043" i="12"/>
  <c r="AB1043" i="12"/>
  <c r="AA1043" i="12"/>
  <c r="Z1043" i="12"/>
  <c r="Y1043" i="12"/>
  <c r="X1043" i="12"/>
  <c r="W1043" i="12"/>
  <c r="V1043" i="12"/>
  <c r="AC1042" i="12"/>
  <c r="AB1042" i="12"/>
  <c r="AA1042" i="12"/>
  <c r="Z1042" i="12"/>
  <c r="Y1042" i="12"/>
  <c r="X1042" i="12"/>
  <c r="W1042" i="12"/>
  <c r="V1042" i="12"/>
  <c r="AC1041" i="12"/>
  <c r="AB1041" i="12"/>
  <c r="AA1041" i="12"/>
  <c r="Z1041" i="12"/>
  <c r="Y1041" i="12"/>
  <c r="X1041" i="12"/>
  <c r="W1041" i="12"/>
  <c r="V1041" i="12"/>
  <c r="AC1040" i="12"/>
  <c r="AB1040" i="12"/>
  <c r="AA1040" i="12"/>
  <c r="Z1040" i="12"/>
  <c r="Y1040" i="12"/>
  <c r="X1040" i="12"/>
  <c r="W1040" i="12"/>
  <c r="V1040" i="12"/>
  <c r="AC1039" i="12"/>
  <c r="AB1039" i="12"/>
  <c r="AA1039" i="12"/>
  <c r="Z1039" i="12"/>
  <c r="Y1039" i="12"/>
  <c r="X1039" i="12"/>
  <c r="W1039" i="12"/>
  <c r="V1039" i="12"/>
  <c r="AC1038" i="12"/>
  <c r="AB1038" i="12"/>
  <c r="AA1038" i="12"/>
  <c r="Z1038" i="12"/>
  <c r="Y1038" i="12"/>
  <c r="X1038" i="12"/>
  <c r="W1038" i="12"/>
  <c r="V1038" i="12"/>
  <c r="AC1037" i="12"/>
  <c r="AB1037" i="12"/>
  <c r="AA1037" i="12"/>
  <c r="Z1037" i="12"/>
  <c r="Y1037" i="12"/>
  <c r="X1037" i="12"/>
  <c r="W1037" i="12"/>
  <c r="V1037" i="12"/>
  <c r="AC1036" i="12"/>
  <c r="AB1036" i="12"/>
  <c r="AA1036" i="12"/>
  <c r="Z1036" i="12"/>
  <c r="Y1036" i="12"/>
  <c r="X1036" i="12"/>
  <c r="W1036" i="12"/>
  <c r="V1036" i="12"/>
  <c r="AC1035" i="12"/>
  <c r="AB1035" i="12"/>
  <c r="AA1035" i="12"/>
  <c r="Z1035" i="12"/>
  <c r="Y1035" i="12"/>
  <c r="X1035" i="12"/>
  <c r="W1035" i="12"/>
  <c r="V1035" i="12"/>
  <c r="AC1034" i="12"/>
  <c r="AB1034" i="12"/>
  <c r="AA1034" i="12"/>
  <c r="Z1034" i="12"/>
  <c r="Y1034" i="12"/>
  <c r="X1034" i="12"/>
  <c r="W1034" i="12"/>
  <c r="V1034" i="12"/>
  <c r="AC1033" i="12"/>
  <c r="AB1033" i="12"/>
  <c r="AA1033" i="12"/>
  <c r="Z1033" i="12"/>
  <c r="Y1033" i="12"/>
  <c r="X1033" i="12"/>
  <c r="W1033" i="12"/>
  <c r="V1033" i="12"/>
  <c r="AC1032" i="12"/>
  <c r="AB1032" i="12"/>
  <c r="AA1032" i="12"/>
  <c r="Z1032" i="12"/>
  <c r="Y1032" i="12"/>
  <c r="X1032" i="12"/>
  <c r="W1032" i="12"/>
  <c r="V1032" i="12"/>
  <c r="AC1031" i="12"/>
  <c r="AB1031" i="12"/>
  <c r="AA1031" i="12"/>
  <c r="Z1031" i="12"/>
  <c r="Y1031" i="12"/>
  <c r="X1031" i="12"/>
  <c r="W1031" i="12"/>
  <c r="V1031" i="12"/>
  <c r="AC1030" i="12"/>
  <c r="AB1030" i="12"/>
  <c r="AA1030" i="12"/>
  <c r="Z1030" i="12"/>
  <c r="Y1030" i="12"/>
  <c r="X1030" i="12"/>
  <c r="W1030" i="12"/>
  <c r="V1030" i="12"/>
  <c r="AC1029" i="12"/>
  <c r="AB1029" i="12"/>
  <c r="AA1029" i="12"/>
  <c r="Z1029" i="12"/>
  <c r="Y1029" i="12"/>
  <c r="X1029" i="12"/>
  <c r="W1029" i="12"/>
  <c r="V1029" i="12"/>
  <c r="AC1028" i="12"/>
  <c r="AB1028" i="12"/>
  <c r="AA1028" i="12"/>
  <c r="Z1028" i="12"/>
  <c r="Y1028" i="12"/>
  <c r="X1028" i="12"/>
  <c r="W1028" i="12"/>
  <c r="V1028" i="12"/>
  <c r="AC1027" i="12"/>
  <c r="AB1027" i="12"/>
  <c r="AA1027" i="12"/>
  <c r="Z1027" i="12"/>
  <c r="Y1027" i="12"/>
  <c r="X1027" i="12"/>
  <c r="W1027" i="12"/>
  <c r="V1027" i="12"/>
  <c r="AC1026" i="12"/>
  <c r="AB1026" i="12"/>
  <c r="AA1026" i="12"/>
  <c r="Z1026" i="12"/>
  <c r="Y1026" i="12"/>
  <c r="X1026" i="12"/>
  <c r="W1026" i="12"/>
  <c r="V1026" i="12"/>
  <c r="AC1025" i="12"/>
  <c r="AB1025" i="12"/>
  <c r="AA1025" i="12"/>
  <c r="Z1025" i="12"/>
  <c r="Y1025" i="12"/>
  <c r="X1025" i="12"/>
  <c r="W1025" i="12"/>
  <c r="V1025" i="12"/>
  <c r="AC1024" i="12"/>
  <c r="AB1024" i="12"/>
  <c r="AA1024" i="12"/>
  <c r="Z1024" i="12"/>
  <c r="Y1024" i="12"/>
  <c r="X1024" i="12"/>
  <c r="W1024" i="12"/>
  <c r="V1024" i="12"/>
  <c r="AC1023" i="12"/>
  <c r="AB1023" i="12"/>
  <c r="AA1023" i="12"/>
  <c r="Z1023" i="12"/>
  <c r="Y1023" i="12"/>
  <c r="X1023" i="12"/>
  <c r="W1023" i="12"/>
  <c r="V1023" i="12"/>
  <c r="AC1022" i="12"/>
  <c r="AB1022" i="12"/>
  <c r="AA1022" i="12"/>
  <c r="Z1022" i="12"/>
  <c r="Y1022" i="12"/>
  <c r="X1022" i="12"/>
  <c r="W1022" i="12"/>
  <c r="V1022" i="12"/>
  <c r="AC1021" i="12"/>
  <c r="AB1021" i="12"/>
  <c r="AA1021" i="12"/>
  <c r="Z1021" i="12"/>
  <c r="Y1021" i="12"/>
  <c r="X1021" i="12"/>
  <c r="W1021" i="12"/>
  <c r="V1021" i="12"/>
  <c r="AC1020" i="12"/>
  <c r="AB1020" i="12"/>
  <c r="AA1020" i="12"/>
  <c r="Z1020" i="12"/>
  <c r="Y1020" i="12"/>
  <c r="X1020" i="12"/>
  <c r="W1020" i="12"/>
  <c r="V1020" i="12"/>
  <c r="AC1019" i="12"/>
  <c r="AB1019" i="12"/>
  <c r="AA1019" i="12"/>
  <c r="Z1019" i="12"/>
  <c r="Y1019" i="12"/>
  <c r="X1019" i="12"/>
  <c r="W1019" i="12"/>
  <c r="V1019" i="12"/>
  <c r="AC1018" i="12"/>
  <c r="AB1018" i="12"/>
  <c r="AA1018" i="12"/>
  <c r="Z1018" i="12"/>
  <c r="Y1018" i="12"/>
  <c r="X1018" i="12"/>
  <c r="W1018" i="12"/>
  <c r="V1018" i="12"/>
  <c r="AC1017" i="12"/>
  <c r="AB1017" i="12"/>
  <c r="AA1017" i="12"/>
  <c r="Z1017" i="12"/>
  <c r="Y1017" i="12"/>
  <c r="X1017" i="12"/>
  <c r="W1017" i="12"/>
  <c r="V1017" i="12"/>
  <c r="AC1016" i="12"/>
  <c r="AB1016" i="12"/>
  <c r="AA1016" i="12"/>
  <c r="Z1016" i="12"/>
  <c r="Y1016" i="12"/>
  <c r="X1016" i="12"/>
  <c r="W1016" i="12"/>
  <c r="V1016" i="12"/>
  <c r="AC1015" i="12"/>
  <c r="AB1015" i="12"/>
  <c r="AA1015" i="12"/>
  <c r="Z1015" i="12"/>
  <c r="Y1015" i="12"/>
  <c r="X1015" i="12"/>
  <c r="W1015" i="12"/>
  <c r="V1015" i="12"/>
  <c r="AC1014" i="12"/>
  <c r="AB1014" i="12"/>
  <c r="AA1014" i="12"/>
  <c r="Z1014" i="12"/>
  <c r="Y1014" i="12"/>
  <c r="X1014" i="12"/>
  <c r="W1014" i="12"/>
  <c r="V1014" i="12"/>
  <c r="AC1013" i="12"/>
  <c r="AB1013" i="12"/>
  <c r="AA1013" i="12"/>
  <c r="Z1013" i="12"/>
  <c r="Y1013" i="12"/>
  <c r="X1013" i="12"/>
  <c r="W1013" i="12"/>
  <c r="V1013" i="12"/>
  <c r="AC1012" i="12"/>
  <c r="AB1012" i="12"/>
  <c r="AA1012" i="12"/>
  <c r="Z1012" i="12"/>
  <c r="Y1012" i="12"/>
  <c r="X1012" i="12"/>
  <c r="W1012" i="12"/>
  <c r="V1012" i="12"/>
  <c r="AC1011" i="12"/>
  <c r="AB1011" i="12"/>
  <c r="AA1011" i="12"/>
  <c r="Z1011" i="12"/>
  <c r="Y1011" i="12"/>
  <c r="X1011" i="12"/>
  <c r="W1011" i="12"/>
  <c r="V1011" i="12"/>
  <c r="AC1010" i="12"/>
  <c r="AB1010" i="12"/>
  <c r="AA1010" i="12"/>
  <c r="Z1010" i="12"/>
  <c r="Y1010" i="12"/>
  <c r="X1010" i="12"/>
  <c r="W1010" i="12"/>
  <c r="V1010" i="12"/>
  <c r="AC1009" i="12"/>
  <c r="AB1009" i="12"/>
  <c r="AA1009" i="12"/>
  <c r="Z1009" i="12"/>
  <c r="Y1009" i="12"/>
  <c r="X1009" i="12"/>
  <c r="W1009" i="12"/>
  <c r="V1009" i="12"/>
  <c r="AC1008" i="12"/>
  <c r="AB1008" i="12"/>
  <c r="AA1008" i="12"/>
  <c r="Z1008" i="12"/>
  <c r="Y1008" i="12"/>
  <c r="X1008" i="12"/>
  <c r="W1008" i="12"/>
  <c r="V1008" i="12"/>
  <c r="AC1007" i="12"/>
  <c r="AB1007" i="12"/>
  <c r="AA1007" i="12"/>
  <c r="Z1007" i="12"/>
  <c r="Y1007" i="12"/>
  <c r="X1007" i="12"/>
  <c r="W1007" i="12"/>
  <c r="V1007" i="12"/>
  <c r="AC1006" i="12"/>
  <c r="AB1006" i="12"/>
  <c r="AA1006" i="12"/>
  <c r="Z1006" i="12"/>
  <c r="Y1006" i="12"/>
  <c r="X1006" i="12"/>
  <c r="W1006" i="12"/>
  <c r="V1006" i="12"/>
  <c r="AC1005" i="12"/>
  <c r="AB1005" i="12"/>
  <c r="AA1005" i="12"/>
  <c r="Z1005" i="12"/>
  <c r="Y1005" i="12"/>
  <c r="X1005" i="12"/>
  <c r="W1005" i="12"/>
  <c r="V1005" i="12"/>
  <c r="AC1004" i="12"/>
  <c r="AB1004" i="12"/>
  <c r="AA1004" i="12"/>
  <c r="Z1004" i="12"/>
  <c r="Y1004" i="12"/>
  <c r="X1004" i="12"/>
  <c r="W1004" i="12"/>
  <c r="V1004" i="12"/>
  <c r="AC1003" i="12"/>
  <c r="AB1003" i="12"/>
  <c r="AA1003" i="12"/>
  <c r="Z1003" i="12"/>
  <c r="Y1003" i="12"/>
  <c r="X1003" i="12"/>
  <c r="W1003" i="12"/>
  <c r="V1003" i="12"/>
  <c r="AC1002" i="12"/>
  <c r="AB1002" i="12"/>
  <c r="AA1002" i="12"/>
  <c r="Z1002" i="12"/>
  <c r="Y1002" i="12"/>
  <c r="X1002" i="12"/>
  <c r="W1002" i="12"/>
  <c r="V1002" i="12"/>
  <c r="AC1001" i="12"/>
  <c r="AB1001" i="12"/>
  <c r="AA1001" i="12"/>
  <c r="Z1001" i="12"/>
  <c r="Y1001" i="12"/>
  <c r="X1001" i="12"/>
  <c r="W1001" i="12"/>
  <c r="V1001" i="12"/>
  <c r="AC1000" i="12"/>
  <c r="AB1000" i="12"/>
  <c r="AA1000" i="12"/>
  <c r="Z1000" i="12"/>
  <c r="Y1000" i="12"/>
  <c r="X1000" i="12"/>
  <c r="W1000" i="12"/>
  <c r="V1000" i="12"/>
  <c r="AC999" i="12"/>
  <c r="AB999" i="12"/>
  <c r="AA999" i="12"/>
  <c r="Z999" i="12"/>
  <c r="Y999" i="12"/>
  <c r="X999" i="12"/>
  <c r="W999" i="12"/>
  <c r="V999" i="12"/>
  <c r="AC998" i="12"/>
  <c r="AB998" i="12"/>
  <c r="AA998" i="12"/>
  <c r="Z998" i="12"/>
  <c r="Y998" i="12"/>
  <c r="X998" i="12"/>
  <c r="W998" i="12"/>
  <c r="V998" i="12"/>
  <c r="AC997" i="12"/>
  <c r="AB997" i="12"/>
  <c r="AA997" i="12"/>
  <c r="Z997" i="12"/>
  <c r="Y997" i="12"/>
  <c r="X997" i="12"/>
  <c r="W997" i="12"/>
  <c r="V997" i="12"/>
  <c r="AC996" i="12"/>
  <c r="AB996" i="12"/>
  <c r="AA996" i="12"/>
  <c r="Z996" i="12"/>
  <c r="Y996" i="12"/>
  <c r="X996" i="12"/>
  <c r="W996" i="12"/>
  <c r="V996" i="12"/>
  <c r="AC995" i="12"/>
  <c r="AB995" i="12"/>
  <c r="AA995" i="12"/>
  <c r="Z995" i="12"/>
  <c r="Y995" i="12"/>
  <c r="X995" i="12"/>
  <c r="W995" i="12"/>
  <c r="V995" i="12"/>
  <c r="AC994" i="12"/>
  <c r="AB994" i="12"/>
  <c r="AA994" i="12"/>
  <c r="Z994" i="12"/>
  <c r="Y994" i="12"/>
  <c r="X994" i="12"/>
  <c r="W994" i="12"/>
  <c r="V994" i="12"/>
  <c r="AC993" i="12"/>
  <c r="AB993" i="12"/>
  <c r="AA993" i="12"/>
  <c r="Z993" i="12"/>
  <c r="Y993" i="12"/>
  <c r="X993" i="12"/>
  <c r="W993" i="12"/>
  <c r="V993" i="12"/>
  <c r="AC992" i="12"/>
  <c r="AB992" i="12"/>
  <c r="AA992" i="12"/>
  <c r="Z992" i="12"/>
  <c r="Y992" i="12"/>
  <c r="X992" i="12"/>
  <c r="W992" i="12"/>
  <c r="V992" i="12"/>
  <c r="AC991" i="12"/>
  <c r="AB991" i="12"/>
  <c r="AA991" i="12"/>
  <c r="Z991" i="12"/>
  <c r="Y991" i="12"/>
  <c r="X991" i="12"/>
  <c r="W991" i="12"/>
  <c r="V991" i="12"/>
  <c r="AC990" i="12"/>
  <c r="AB990" i="12"/>
  <c r="AA990" i="12"/>
  <c r="Z990" i="12"/>
  <c r="Y990" i="12"/>
  <c r="X990" i="12"/>
  <c r="W990" i="12"/>
  <c r="V990" i="12"/>
  <c r="AC989" i="12"/>
  <c r="AB989" i="12"/>
  <c r="AA989" i="12"/>
  <c r="Z989" i="12"/>
  <c r="Y989" i="12"/>
  <c r="X989" i="12"/>
  <c r="W989" i="12"/>
  <c r="V989" i="12"/>
  <c r="AC988" i="12"/>
  <c r="AB988" i="12"/>
  <c r="AA988" i="12"/>
  <c r="Z988" i="12"/>
  <c r="Y988" i="12"/>
  <c r="X988" i="12"/>
  <c r="W988" i="12"/>
  <c r="V988" i="12"/>
  <c r="AC987" i="12"/>
  <c r="AB987" i="12"/>
  <c r="AA987" i="12"/>
  <c r="Z987" i="12"/>
  <c r="Y987" i="12"/>
  <c r="X987" i="12"/>
  <c r="W987" i="12"/>
  <c r="V987" i="12"/>
  <c r="AC986" i="12"/>
  <c r="AB986" i="12"/>
  <c r="AA986" i="12"/>
  <c r="Z986" i="12"/>
  <c r="Y986" i="12"/>
  <c r="X986" i="12"/>
  <c r="W986" i="12"/>
  <c r="V986" i="12"/>
  <c r="AC985" i="12"/>
  <c r="AB985" i="12"/>
  <c r="AA985" i="12"/>
  <c r="Z985" i="12"/>
  <c r="Y985" i="12"/>
  <c r="X985" i="12"/>
  <c r="W985" i="12"/>
  <c r="V985" i="12"/>
  <c r="AC984" i="12"/>
  <c r="AB984" i="12"/>
  <c r="AA984" i="12"/>
  <c r="Z984" i="12"/>
  <c r="Y984" i="12"/>
  <c r="X984" i="12"/>
  <c r="W984" i="12"/>
  <c r="V984" i="12"/>
  <c r="AC983" i="12"/>
  <c r="AB983" i="12"/>
  <c r="AA983" i="12"/>
  <c r="Z983" i="12"/>
  <c r="Y983" i="12"/>
  <c r="X983" i="12"/>
  <c r="W983" i="12"/>
  <c r="V983" i="12"/>
  <c r="AC982" i="12"/>
  <c r="AB982" i="12"/>
  <c r="AA982" i="12"/>
  <c r="Z982" i="12"/>
  <c r="Y982" i="12"/>
  <c r="X982" i="12"/>
  <c r="W982" i="12"/>
  <c r="V982" i="12"/>
  <c r="AC981" i="12"/>
  <c r="AB981" i="12"/>
  <c r="AA981" i="12"/>
  <c r="Z981" i="12"/>
  <c r="Y981" i="12"/>
  <c r="X981" i="12"/>
  <c r="W981" i="12"/>
  <c r="V981" i="12"/>
  <c r="AC980" i="12"/>
  <c r="AB980" i="12"/>
  <c r="AA980" i="12"/>
  <c r="Z980" i="12"/>
  <c r="Y980" i="12"/>
  <c r="X980" i="12"/>
  <c r="W980" i="12"/>
  <c r="V980" i="12"/>
  <c r="AC979" i="12"/>
  <c r="AB979" i="12"/>
  <c r="AA979" i="12"/>
  <c r="Z979" i="12"/>
  <c r="Y979" i="12"/>
  <c r="X979" i="12"/>
  <c r="W979" i="12"/>
  <c r="V979" i="12"/>
  <c r="AC978" i="12"/>
  <c r="AB978" i="12"/>
  <c r="AA978" i="12"/>
  <c r="Z978" i="12"/>
  <c r="Y978" i="12"/>
  <c r="X978" i="12"/>
  <c r="W978" i="12"/>
  <c r="V978" i="12"/>
  <c r="AC977" i="12"/>
  <c r="AB977" i="12"/>
  <c r="AA977" i="12"/>
  <c r="Z977" i="12"/>
  <c r="Y977" i="12"/>
  <c r="X977" i="12"/>
  <c r="W977" i="12"/>
  <c r="V977" i="12"/>
  <c r="AC976" i="12"/>
  <c r="AB976" i="12"/>
  <c r="AA976" i="12"/>
  <c r="Z976" i="12"/>
  <c r="Y976" i="12"/>
  <c r="X976" i="12"/>
  <c r="W976" i="12"/>
  <c r="V976" i="12"/>
  <c r="AC975" i="12"/>
  <c r="AB975" i="12"/>
  <c r="AA975" i="12"/>
  <c r="Z975" i="12"/>
  <c r="Y975" i="12"/>
  <c r="X975" i="12"/>
  <c r="W975" i="12"/>
  <c r="V975" i="12"/>
  <c r="AC974" i="12"/>
  <c r="AB974" i="12"/>
  <c r="AA974" i="12"/>
  <c r="Z974" i="12"/>
  <c r="Y974" i="12"/>
  <c r="X974" i="12"/>
  <c r="W974" i="12"/>
  <c r="V974" i="12"/>
  <c r="AC973" i="12"/>
  <c r="AB973" i="12"/>
  <c r="AA973" i="12"/>
  <c r="Z973" i="12"/>
  <c r="Y973" i="12"/>
  <c r="X973" i="12"/>
  <c r="W973" i="12"/>
  <c r="V973" i="12"/>
  <c r="AC972" i="12"/>
  <c r="AB972" i="12"/>
  <c r="AA972" i="12"/>
  <c r="Z972" i="12"/>
  <c r="Y972" i="12"/>
  <c r="X972" i="12"/>
  <c r="W972" i="12"/>
  <c r="V972" i="12"/>
  <c r="AC971" i="12"/>
  <c r="AB971" i="12"/>
  <c r="AA971" i="12"/>
  <c r="Z971" i="12"/>
  <c r="Y971" i="12"/>
  <c r="X971" i="12"/>
  <c r="W971" i="12"/>
  <c r="V971" i="12"/>
  <c r="AC970" i="12"/>
  <c r="AB970" i="12"/>
  <c r="AA970" i="12"/>
  <c r="Z970" i="12"/>
  <c r="Y970" i="12"/>
  <c r="X970" i="12"/>
  <c r="W970" i="12"/>
  <c r="V970" i="12"/>
  <c r="AC969" i="12"/>
  <c r="AB969" i="12"/>
  <c r="AA969" i="12"/>
  <c r="Z969" i="12"/>
  <c r="Y969" i="12"/>
  <c r="X969" i="12"/>
  <c r="W969" i="12"/>
  <c r="V969" i="12"/>
  <c r="AC968" i="12"/>
  <c r="AB968" i="12"/>
  <c r="AA968" i="12"/>
  <c r="Z968" i="12"/>
  <c r="Y968" i="12"/>
  <c r="X968" i="12"/>
  <c r="W968" i="12"/>
  <c r="V968" i="12"/>
  <c r="AC967" i="12"/>
  <c r="AB967" i="12"/>
  <c r="AA967" i="12"/>
  <c r="Z967" i="12"/>
  <c r="Y967" i="12"/>
  <c r="X967" i="12"/>
  <c r="W967" i="12"/>
  <c r="V967" i="12"/>
  <c r="AC966" i="12"/>
  <c r="AB966" i="12"/>
  <c r="AA966" i="12"/>
  <c r="Z966" i="12"/>
  <c r="Y966" i="12"/>
  <c r="X966" i="12"/>
  <c r="W966" i="12"/>
  <c r="V966" i="12"/>
  <c r="AC965" i="12"/>
  <c r="AB965" i="12"/>
  <c r="AA965" i="12"/>
  <c r="Z965" i="12"/>
  <c r="Y965" i="12"/>
  <c r="X965" i="12"/>
  <c r="W965" i="12"/>
  <c r="V965" i="12"/>
  <c r="AC964" i="12"/>
  <c r="AB964" i="12"/>
  <c r="AA964" i="12"/>
  <c r="Z964" i="12"/>
  <c r="Y964" i="12"/>
  <c r="X964" i="12"/>
  <c r="W964" i="12"/>
  <c r="V964" i="12"/>
  <c r="AC963" i="12"/>
  <c r="AB963" i="12"/>
  <c r="AA963" i="12"/>
  <c r="Z963" i="12"/>
  <c r="Y963" i="12"/>
  <c r="X963" i="12"/>
  <c r="W963" i="12"/>
  <c r="V963" i="12"/>
  <c r="AC962" i="12"/>
  <c r="AB962" i="12"/>
  <c r="AA962" i="12"/>
  <c r="Z962" i="12"/>
  <c r="Y962" i="12"/>
  <c r="X962" i="12"/>
  <c r="W962" i="12"/>
  <c r="V962" i="12"/>
  <c r="AC961" i="12"/>
  <c r="AB961" i="12"/>
  <c r="AA961" i="12"/>
  <c r="Z961" i="12"/>
  <c r="Y961" i="12"/>
  <c r="X961" i="12"/>
  <c r="W961" i="12"/>
  <c r="V961" i="12"/>
  <c r="AC960" i="12"/>
  <c r="AB960" i="12"/>
  <c r="AA960" i="12"/>
  <c r="Z960" i="12"/>
  <c r="Y960" i="12"/>
  <c r="X960" i="12"/>
  <c r="W960" i="12"/>
  <c r="V960" i="12"/>
  <c r="AC959" i="12"/>
  <c r="AB959" i="12"/>
  <c r="AA959" i="12"/>
  <c r="Z959" i="12"/>
  <c r="Y959" i="12"/>
  <c r="X959" i="12"/>
  <c r="W959" i="12"/>
  <c r="V959" i="12"/>
  <c r="AC958" i="12"/>
  <c r="AB958" i="12"/>
  <c r="AA958" i="12"/>
  <c r="Z958" i="12"/>
  <c r="Y958" i="12"/>
  <c r="X958" i="12"/>
  <c r="W958" i="12"/>
  <c r="V958" i="12"/>
  <c r="AC957" i="12"/>
  <c r="AB957" i="12"/>
  <c r="AA957" i="12"/>
  <c r="Z957" i="12"/>
  <c r="Y957" i="12"/>
  <c r="X957" i="12"/>
  <c r="W957" i="12"/>
  <c r="V957" i="12"/>
  <c r="AC956" i="12"/>
  <c r="AB956" i="12"/>
  <c r="AA956" i="12"/>
  <c r="Z956" i="12"/>
  <c r="Y956" i="12"/>
  <c r="X956" i="12"/>
  <c r="W956" i="12"/>
  <c r="V956" i="12"/>
  <c r="AC955" i="12"/>
  <c r="AB955" i="12"/>
  <c r="AA955" i="12"/>
  <c r="Z955" i="12"/>
  <c r="Y955" i="12"/>
  <c r="X955" i="12"/>
  <c r="W955" i="12"/>
  <c r="V955" i="12"/>
  <c r="AC954" i="12"/>
  <c r="AB954" i="12"/>
  <c r="AA954" i="12"/>
  <c r="Z954" i="12"/>
  <c r="Y954" i="12"/>
  <c r="X954" i="12"/>
  <c r="W954" i="12"/>
  <c r="V954" i="12"/>
  <c r="AC953" i="12"/>
  <c r="AB953" i="12"/>
  <c r="AA953" i="12"/>
  <c r="Z953" i="12"/>
  <c r="Y953" i="12"/>
  <c r="X953" i="12"/>
  <c r="W953" i="12"/>
  <c r="V953" i="12"/>
  <c r="AC952" i="12"/>
  <c r="AB952" i="12"/>
  <c r="AA952" i="12"/>
  <c r="Z952" i="12"/>
  <c r="Y952" i="12"/>
  <c r="X952" i="12"/>
  <c r="W952" i="12"/>
  <c r="V952" i="12"/>
  <c r="AC951" i="12"/>
  <c r="AB951" i="12"/>
  <c r="AA951" i="12"/>
  <c r="Z951" i="12"/>
  <c r="Y951" i="12"/>
  <c r="X951" i="12"/>
  <c r="W951" i="12"/>
  <c r="V951" i="12"/>
  <c r="AC950" i="12"/>
  <c r="AB950" i="12"/>
  <c r="AA950" i="12"/>
  <c r="Z950" i="12"/>
  <c r="Y950" i="12"/>
  <c r="X950" i="12"/>
  <c r="W950" i="12"/>
  <c r="V950" i="12"/>
  <c r="AC949" i="12"/>
  <c r="AB949" i="12"/>
  <c r="AA949" i="12"/>
  <c r="Z949" i="12"/>
  <c r="Y949" i="12"/>
  <c r="X949" i="12"/>
  <c r="W949" i="12"/>
  <c r="V949" i="12"/>
  <c r="AC948" i="12"/>
  <c r="AB948" i="12"/>
  <c r="AA948" i="12"/>
  <c r="Z948" i="12"/>
  <c r="Y948" i="12"/>
  <c r="X948" i="12"/>
  <c r="W948" i="12"/>
  <c r="V948" i="12"/>
  <c r="AC947" i="12"/>
  <c r="AB947" i="12"/>
  <c r="AA947" i="12"/>
  <c r="Z947" i="12"/>
  <c r="Y947" i="12"/>
  <c r="X947" i="12"/>
  <c r="W947" i="12"/>
  <c r="V947" i="12"/>
  <c r="AC946" i="12"/>
  <c r="AB946" i="12"/>
  <c r="AA946" i="12"/>
  <c r="Z946" i="12"/>
  <c r="Y946" i="12"/>
  <c r="X946" i="12"/>
  <c r="W946" i="12"/>
  <c r="V946" i="12"/>
  <c r="AC945" i="12"/>
  <c r="AB945" i="12"/>
  <c r="AA945" i="12"/>
  <c r="Z945" i="12"/>
  <c r="Y945" i="12"/>
  <c r="X945" i="12"/>
  <c r="W945" i="12"/>
  <c r="V945" i="12"/>
  <c r="AC944" i="12"/>
  <c r="AB944" i="12"/>
  <c r="AA944" i="12"/>
  <c r="Z944" i="12"/>
  <c r="Y944" i="12"/>
  <c r="X944" i="12"/>
  <c r="W944" i="12"/>
  <c r="V944" i="12"/>
  <c r="AC943" i="12"/>
  <c r="AB943" i="12"/>
  <c r="AA943" i="12"/>
  <c r="Z943" i="12"/>
  <c r="Y943" i="12"/>
  <c r="X943" i="12"/>
  <c r="W943" i="12"/>
  <c r="V943" i="12"/>
  <c r="AC942" i="12"/>
  <c r="AB942" i="12"/>
  <c r="AA942" i="12"/>
  <c r="Z942" i="12"/>
  <c r="Y942" i="12"/>
  <c r="X942" i="12"/>
  <c r="W942" i="12"/>
  <c r="V942" i="12"/>
  <c r="AC941" i="12"/>
  <c r="AB941" i="12"/>
  <c r="AA941" i="12"/>
  <c r="Z941" i="12"/>
  <c r="Y941" i="12"/>
  <c r="X941" i="12"/>
  <c r="W941" i="12"/>
  <c r="V941" i="12"/>
  <c r="AC940" i="12"/>
  <c r="AB940" i="12"/>
  <c r="AA940" i="12"/>
  <c r="Z940" i="12"/>
  <c r="Y940" i="12"/>
  <c r="X940" i="12"/>
  <c r="W940" i="12"/>
  <c r="V940" i="12"/>
  <c r="AC939" i="12"/>
  <c r="AB939" i="12"/>
  <c r="AA939" i="12"/>
  <c r="Z939" i="12"/>
  <c r="Y939" i="12"/>
  <c r="X939" i="12"/>
  <c r="W939" i="12"/>
  <c r="V939" i="12"/>
  <c r="AC938" i="12"/>
  <c r="AB938" i="12"/>
  <c r="AA938" i="12"/>
  <c r="Z938" i="12"/>
  <c r="Y938" i="12"/>
  <c r="X938" i="12"/>
  <c r="W938" i="12"/>
  <c r="V938" i="12"/>
  <c r="AC937" i="12"/>
  <c r="AB937" i="12"/>
  <c r="AA937" i="12"/>
  <c r="Z937" i="12"/>
  <c r="Y937" i="12"/>
  <c r="X937" i="12"/>
  <c r="W937" i="12"/>
  <c r="V937" i="12"/>
  <c r="AC936" i="12"/>
  <c r="AB936" i="12"/>
  <c r="AA936" i="12"/>
  <c r="Z936" i="12"/>
  <c r="Y936" i="12"/>
  <c r="X936" i="12"/>
  <c r="W936" i="12"/>
  <c r="V936" i="12"/>
  <c r="AC935" i="12"/>
  <c r="AB935" i="12"/>
  <c r="AA935" i="12"/>
  <c r="Z935" i="12"/>
  <c r="Y935" i="12"/>
  <c r="X935" i="12"/>
  <c r="W935" i="12"/>
  <c r="V935" i="12"/>
  <c r="AC934" i="12"/>
  <c r="AB934" i="12"/>
  <c r="AA934" i="12"/>
  <c r="Z934" i="12"/>
  <c r="Y934" i="12"/>
  <c r="X934" i="12"/>
  <c r="W934" i="12"/>
  <c r="V934" i="12"/>
  <c r="AC933" i="12"/>
  <c r="AB933" i="12"/>
  <c r="AA933" i="12"/>
  <c r="Z933" i="12"/>
  <c r="Y933" i="12"/>
  <c r="X933" i="12"/>
  <c r="W933" i="12"/>
  <c r="V933" i="12"/>
  <c r="AC932" i="12"/>
  <c r="AB932" i="12"/>
  <c r="AA932" i="12"/>
  <c r="Z932" i="12"/>
  <c r="Y932" i="12"/>
  <c r="X932" i="12"/>
  <c r="W932" i="12"/>
  <c r="V932" i="12"/>
  <c r="AC931" i="12"/>
  <c r="AB931" i="12"/>
  <c r="AA931" i="12"/>
  <c r="Z931" i="12"/>
  <c r="Y931" i="12"/>
  <c r="X931" i="12"/>
  <c r="W931" i="12"/>
  <c r="V931" i="12"/>
  <c r="AC930" i="12"/>
  <c r="AB930" i="12"/>
  <c r="AA930" i="12"/>
  <c r="Z930" i="12"/>
  <c r="Y930" i="12"/>
  <c r="X930" i="12"/>
  <c r="W930" i="12"/>
  <c r="V930" i="12"/>
  <c r="AC929" i="12"/>
  <c r="AB929" i="12"/>
  <c r="AA929" i="12"/>
  <c r="Z929" i="12"/>
  <c r="Y929" i="12"/>
  <c r="X929" i="12"/>
  <c r="W929" i="12"/>
  <c r="V929" i="12"/>
  <c r="AC928" i="12"/>
  <c r="AB928" i="12"/>
  <c r="AA928" i="12"/>
  <c r="Z928" i="12"/>
  <c r="Y928" i="12"/>
  <c r="X928" i="12"/>
  <c r="W928" i="12"/>
  <c r="V928" i="12"/>
  <c r="AC927" i="12"/>
  <c r="AB927" i="12"/>
  <c r="AA927" i="12"/>
  <c r="Z927" i="12"/>
  <c r="Y927" i="12"/>
  <c r="X927" i="12"/>
  <c r="W927" i="12"/>
  <c r="V927" i="12"/>
  <c r="AC926" i="12"/>
  <c r="AB926" i="12"/>
  <c r="AA926" i="12"/>
  <c r="Z926" i="12"/>
  <c r="Y926" i="12"/>
  <c r="X926" i="12"/>
  <c r="W926" i="12"/>
  <c r="V926" i="12"/>
  <c r="AC925" i="12"/>
  <c r="AB925" i="12"/>
  <c r="AA925" i="12"/>
  <c r="Z925" i="12"/>
  <c r="Y925" i="12"/>
  <c r="X925" i="12"/>
  <c r="W925" i="12"/>
  <c r="V925" i="12"/>
  <c r="AC924" i="12"/>
  <c r="AB924" i="12"/>
  <c r="AA924" i="12"/>
  <c r="Z924" i="12"/>
  <c r="Y924" i="12"/>
  <c r="X924" i="12"/>
  <c r="W924" i="12"/>
  <c r="V924" i="12"/>
  <c r="AC923" i="12"/>
  <c r="AB923" i="12"/>
  <c r="AA923" i="12"/>
  <c r="Z923" i="12"/>
  <c r="Y923" i="12"/>
  <c r="X923" i="12"/>
  <c r="W923" i="12"/>
  <c r="V923" i="12"/>
  <c r="AC922" i="12"/>
  <c r="AB922" i="12"/>
  <c r="AA922" i="12"/>
  <c r="Z922" i="12"/>
  <c r="Y922" i="12"/>
  <c r="X922" i="12"/>
  <c r="W922" i="12"/>
  <c r="V922" i="12"/>
  <c r="AC921" i="12"/>
  <c r="AB921" i="12"/>
  <c r="AA921" i="12"/>
  <c r="Z921" i="12"/>
  <c r="Y921" i="12"/>
  <c r="X921" i="12"/>
  <c r="W921" i="12"/>
  <c r="V921" i="12"/>
  <c r="AC920" i="12"/>
  <c r="AB920" i="12"/>
  <c r="AA920" i="12"/>
  <c r="Z920" i="12"/>
  <c r="Y920" i="12"/>
  <c r="X920" i="12"/>
  <c r="W920" i="12"/>
  <c r="V920" i="12"/>
  <c r="AC919" i="12"/>
  <c r="AB919" i="12"/>
  <c r="AA919" i="12"/>
  <c r="Z919" i="12"/>
  <c r="Y919" i="12"/>
  <c r="X919" i="12"/>
  <c r="W919" i="12"/>
  <c r="V919" i="12"/>
  <c r="AC918" i="12"/>
  <c r="AB918" i="12"/>
  <c r="AA918" i="12"/>
  <c r="Z918" i="12"/>
  <c r="Y918" i="12"/>
  <c r="X918" i="12"/>
  <c r="W918" i="12"/>
  <c r="V918" i="12"/>
  <c r="AC917" i="12"/>
  <c r="AB917" i="12"/>
  <c r="AA917" i="12"/>
  <c r="Z917" i="12"/>
  <c r="Y917" i="12"/>
  <c r="X917" i="12"/>
  <c r="W917" i="12"/>
  <c r="V917" i="12"/>
  <c r="AC916" i="12"/>
  <c r="AB916" i="12"/>
  <c r="AA916" i="12"/>
  <c r="Z916" i="12"/>
  <c r="Y916" i="12"/>
  <c r="X916" i="12"/>
  <c r="W916" i="12"/>
  <c r="V916" i="12"/>
  <c r="AC915" i="12"/>
  <c r="AB915" i="12"/>
  <c r="AA915" i="12"/>
  <c r="Z915" i="12"/>
  <c r="Y915" i="12"/>
  <c r="X915" i="12"/>
  <c r="W915" i="12"/>
  <c r="V915" i="12"/>
  <c r="AC914" i="12"/>
  <c r="AB914" i="12"/>
  <c r="AA914" i="12"/>
  <c r="Z914" i="12"/>
  <c r="Y914" i="12"/>
  <c r="X914" i="12"/>
  <c r="W914" i="12"/>
  <c r="V914" i="12"/>
  <c r="AC913" i="12"/>
  <c r="AB913" i="12"/>
  <c r="AA913" i="12"/>
  <c r="Z913" i="12"/>
  <c r="Y913" i="12"/>
  <c r="X913" i="12"/>
  <c r="W913" i="12"/>
  <c r="V913" i="12"/>
  <c r="AC912" i="12"/>
  <c r="AB912" i="12"/>
  <c r="AA912" i="12"/>
  <c r="Z912" i="12"/>
  <c r="Y912" i="12"/>
  <c r="X912" i="12"/>
  <c r="W912" i="12"/>
  <c r="V912" i="12"/>
  <c r="AC911" i="12"/>
  <c r="AB911" i="12"/>
  <c r="AA911" i="12"/>
  <c r="Z911" i="12"/>
  <c r="Y911" i="12"/>
  <c r="X911" i="12"/>
  <c r="W911" i="12"/>
  <c r="V911" i="12"/>
  <c r="AC910" i="12"/>
  <c r="AB910" i="12"/>
  <c r="AA910" i="12"/>
  <c r="Z910" i="12"/>
  <c r="Y910" i="12"/>
  <c r="X910" i="12"/>
  <c r="W910" i="12"/>
  <c r="V910" i="12"/>
  <c r="AC909" i="12"/>
  <c r="AB909" i="12"/>
  <c r="AA909" i="12"/>
  <c r="Z909" i="12"/>
  <c r="Y909" i="12"/>
  <c r="X909" i="12"/>
  <c r="W909" i="12"/>
  <c r="V909" i="12"/>
  <c r="AC908" i="12"/>
  <c r="AB908" i="12"/>
  <c r="AA908" i="12"/>
  <c r="Z908" i="12"/>
  <c r="Y908" i="12"/>
  <c r="X908" i="12"/>
  <c r="W908" i="12"/>
  <c r="V908" i="12"/>
  <c r="AC907" i="12"/>
  <c r="AB907" i="12"/>
  <c r="AA907" i="12"/>
  <c r="Z907" i="12"/>
  <c r="Y907" i="12"/>
  <c r="X907" i="12"/>
  <c r="W907" i="12"/>
  <c r="V907" i="12"/>
  <c r="AC906" i="12"/>
  <c r="AB906" i="12"/>
  <c r="AA906" i="12"/>
  <c r="Z906" i="12"/>
  <c r="Y906" i="12"/>
  <c r="X906" i="12"/>
  <c r="W906" i="12"/>
  <c r="V906" i="12"/>
  <c r="AC905" i="12"/>
  <c r="AB905" i="12"/>
  <c r="AA905" i="12"/>
  <c r="Z905" i="12"/>
  <c r="Y905" i="12"/>
  <c r="X905" i="12"/>
  <c r="W905" i="12"/>
  <c r="V905" i="12"/>
  <c r="AC904" i="12"/>
  <c r="AB904" i="12"/>
  <c r="AA904" i="12"/>
  <c r="Z904" i="12"/>
  <c r="Y904" i="12"/>
  <c r="X904" i="12"/>
  <c r="W904" i="12"/>
  <c r="V904" i="12"/>
  <c r="AC903" i="12"/>
  <c r="AB903" i="12"/>
  <c r="AA903" i="12"/>
  <c r="Z903" i="12"/>
  <c r="Y903" i="12"/>
  <c r="X903" i="12"/>
  <c r="W903" i="12"/>
  <c r="V903" i="12"/>
  <c r="AC902" i="12"/>
  <c r="AB902" i="12"/>
  <c r="AA902" i="12"/>
  <c r="Z902" i="12"/>
  <c r="Y902" i="12"/>
  <c r="X902" i="12"/>
  <c r="W902" i="12"/>
  <c r="V902" i="12"/>
  <c r="AC901" i="12"/>
  <c r="AB901" i="12"/>
  <c r="AA901" i="12"/>
  <c r="Z901" i="12"/>
  <c r="Y901" i="12"/>
  <c r="X901" i="12"/>
  <c r="W901" i="12"/>
  <c r="V901" i="12"/>
  <c r="AC900" i="12"/>
  <c r="AB900" i="12"/>
  <c r="AA900" i="12"/>
  <c r="Z900" i="12"/>
  <c r="Y900" i="12"/>
  <c r="X900" i="12"/>
  <c r="W900" i="12"/>
  <c r="V900" i="12"/>
  <c r="AC899" i="12"/>
  <c r="AB899" i="12"/>
  <c r="AA899" i="12"/>
  <c r="Z899" i="12"/>
  <c r="Y899" i="12"/>
  <c r="X899" i="12"/>
  <c r="W899" i="12"/>
  <c r="V899" i="12"/>
  <c r="AC898" i="12"/>
  <c r="AB898" i="12"/>
  <c r="AA898" i="12"/>
  <c r="Z898" i="12"/>
  <c r="Y898" i="12"/>
  <c r="X898" i="12"/>
  <c r="W898" i="12"/>
  <c r="V898" i="12"/>
  <c r="AC897" i="12"/>
  <c r="AB897" i="12"/>
  <c r="AA897" i="12"/>
  <c r="Z897" i="12"/>
  <c r="Y897" i="12"/>
  <c r="X897" i="12"/>
  <c r="W897" i="12"/>
  <c r="V897" i="12"/>
  <c r="AC896" i="12"/>
  <c r="AB896" i="12"/>
  <c r="AA896" i="12"/>
  <c r="Z896" i="12"/>
  <c r="Y896" i="12"/>
  <c r="X896" i="12"/>
  <c r="W896" i="12"/>
  <c r="V896" i="12"/>
  <c r="AC895" i="12"/>
  <c r="AB895" i="12"/>
  <c r="AA895" i="12"/>
  <c r="Z895" i="12"/>
  <c r="Y895" i="12"/>
  <c r="X895" i="12"/>
  <c r="W895" i="12"/>
  <c r="V895" i="12"/>
  <c r="AC894" i="12"/>
  <c r="AB894" i="12"/>
  <c r="AA894" i="12"/>
  <c r="Z894" i="12"/>
  <c r="Y894" i="12"/>
  <c r="X894" i="12"/>
  <c r="W894" i="12"/>
  <c r="V894" i="12"/>
  <c r="AC893" i="12"/>
  <c r="AB893" i="12"/>
  <c r="AA893" i="12"/>
  <c r="Z893" i="12"/>
  <c r="Y893" i="12"/>
  <c r="X893" i="12"/>
  <c r="W893" i="12"/>
  <c r="V893" i="12"/>
  <c r="AC892" i="12"/>
  <c r="AB892" i="12"/>
  <c r="AA892" i="12"/>
  <c r="Z892" i="12"/>
  <c r="Y892" i="12"/>
  <c r="X892" i="12"/>
  <c r="W892" i="12"/>
  <c r="V892" i="12"/>
  <c r="AC891" i="12"/>
  <c r="AB891" i="12"/>
  <c r="AA891" i="12"/>
  <c r="Z891" i="12"/>
  <c r="Y891" i="12"/>
  <c r="X891" i="12"/>
  <c r="W891" i="12"/>
  <c r="V891" i="12"/>
  <c r="AC890" i="12"/>
  <c r="AB890" i="12"/>
  <c r="AA890" i="12"/>
  <c r="Z890" i="12"/>
  <c r="Y890" i="12"/>
  <c r="X890" i="12"/>
  <c r="W890" i="12"/>
  <c r="V890" i="12"/>
  <c r="AC889" i="12"/>
  <c r="AB889" i="12"/>
  <c r="AA889" i="12"/>
  <c r="Z889" i="12"/>
  <c r="Y889" i="12"/>
  <c r="X889" i="12"/>
  <c r="W889" i="12"/>
  <c r="V889" i="12"/>
  <c r="AC888" i="12"/>
  <c r="AB888" i="12"/>
  <c r="AA888" i="12"/>
  <c r="Z888" i="12"/>
  <c r="Y888" i="12"/>
  <c r="X888" i="12"/>
  <c r="W888" i="12"/>
  <c r="V888" i="12"/>
  <c r="AC887" i="12"/>
  <c r="AB887" i="12"/>
  <c r="AA887" i="12"/>
  <c r="Z887" i="12"/>
  <c r="Y887" i="12"/>
  <c r="X887" i="12"/>
  <c r="W887" i="12"/>
  <c r="V887" i="12"/>
  <c r="AC886" i="12"/>
  <c r="AB886" i="12"/>
  <c r="AA886" i="12"/>
  <c r="Z886" i="12"/>
  <c r="Y886" i="12"/>
  <c r="X886" i="12"/>
  <c r="W886" i="12"/>
  <c r="V886" i="12"/>
  <c r="AC885" i="12"/>
  <c r="AB885" i="12"/>
  <c r="AA885" i="12"/>
  <c r="Z885" i="12"/>
  <c r="Y885" i="12"/>
  <c r="X885" i="12"/>
  <c r="W885" i="12"/>
  <c r="V885" i="12"/>
  <c r="AC884" i="12"/>
  <c r="AB884" i="12"/>
  <c r="AA884" i="12"/>
  <c r="Z884" i="12"/>
  <c r="Y884" i="12"/>
  <c r="X884" i="12"/>
  <c r="W884" i="12"/>
  <c r="V884" i="12"/>
  <c r="AC883" i="12"/>
  <c r="AB883" i="12"/>
  <c r="AA883" i="12"/>
  <c r="Z883" i="12"/>
  <c r="Y883" i="12"/>
  <c r="X883" i="12"/>
  <c r="W883" i="12"/>
  <c r="V883" i="12"/>
  <c r="AC882" i="12"/>
  <c r="AB882" i="12"/>
  <c r="AA882" i="12"/>
  <c r="Z882" i="12"/>
  <c r="Y882" i="12"/>
  <c r="X882" i="12"/>
  <c r="W882" i="12"/>
  <c r="V882" i="12"/>
  <c r="AC881" i="12"/>
  <c r="AB881" i="12"/>
  <c r="AA881" i="12"/>
  <c r="Z881" i="12"/>
  <c r="Y881" i="12"/>
  <c r="X881" i="12"/>
  <c r="W881" i="12"/>
  <c r="V881" i="12"/>
  <c r="AC880" i="12"/>
  <c r="AB880" i="12"/>
  <c r="AA880" i="12"/>
  <c r="Z880" i="12"/>
  <c r="Y880" i="12"/>
  <c r="X880" i="12"/>
  <c r="W880" i="12"/>
  <c r="V880" i="12"/>
  <c r="AC879" i="12"/>
  <c r="AB879" i="12"/>
  <c r="AA879" i="12"/>
  <c r="Z879" i="12"/>
  <c r="Y879" i="12"/>
  <c r="X879" i="12"/>
  <c r="W879" i="12"/>
  <c r="V879" i="12"/>
  <c r="AC878" i="12"/>
  <c r="AB878" i="12"/>
  <c r="AA878" i="12"/>
  <c r="Z878" i="12"/>
  <c r="Y878" i="12"/>
  <c r="X878" i="12"/>
  <c r="W878" i="12"/>
  <c r="V878" i="12"/>
  <c r="AC877" i="12"/>
  <c r="AB877" i="12"/>
  <c r="AA877" i="12"/>
  <c r="Z877" i="12"/>
  <c r="Y877" i="12"/>
  <c r="X877" i="12"/>
  <c r="W877" i="12"/>
  <c r="V877" i="12"/>
  <c r="AC876" i="12"/>
  <c r="AB876" i="12"/>
  <c r="AA876" i="12"/>
  <c r="Z876" i="12"/>
  <c r="Y876" i="12"/>
  <c r="X876" i="12"/>
  <c r="W876" i="12"/>
  <c r="V876" i="12"/>
  <c r="AC875" i="12"/>
  <c r="AB875" i="12"/>
  <c r="AA875" i="12"/>
  <c r="Z875" i="12"/>
  <c r="Y875" i="12"/>
  <c r="X875" i="12"/>
  <c r="W875" i="12"/>
  <c r="V875" i="12"/>
  <c r="AC874" i="12"/>
  <c r="AB874" i="12"/>
  <c r="AA874" i="12"/>
  <c r="Z874" i="12"/>
  <c r="Y874" i="12"/>
  <c r="X874" i="12"/>
  <c r="W874" i="12"/>
  <c r="V874" i="12"/>
  <c r="AC873" i="12"/>
  <c r="AB873" i="12"/>
  <c r="AA873" i="12"/>
  <c r="Z873" i="12"/>
  <c r="Y873" i="12"/>
  <c r="X873" i="12"/>
  <c r="W873" i="12"/>
  <c r="V873" i="12"/>
  <c r="AC872" i="12"/>
  <c r="AB872" i="12"/>
  <c r="AA872" i="12"/>
  <c r="Z872" i="12"/>
  <c r="Y872" i="12"/>
  <c r="X872" i="12"/>
  <c r="W872" i="12"/>
  <c r="V872" i="12"/>
  <c r="AC871" i="12"/>
  <c r="AB871" i="12"/>
  <c r="AA871" i="12"/>
  <c r="Z871" i="12"/>
  <c r="Y871" i="12"/>
  <c r="X871" i="12"/>
  <c r="W871" i="12"/>
  <c r="V871" i="12"/>
  <c r="AC870" i="12"/>
  <c r="AB870" i="12"/>
  <c r="AA870" i="12"/>
  <c r="Z870" i="12"/>
  <c r="Y870" i="12"/>
  <c r="X870" i="12"/>
  <c r="W870" i="12"/>
  <c r="V870" i="12"/>
  <c r="AC869" i="12"/>
  <c r="AB869" i="12"/>
  <c r="AA869" i="12"/>
  <c r="Z869" i="12"/>
  <c r="Y869" i="12"/>
  <c r="X869" i="12"/>
  <c r="W869" i="12"/>
  <c r="V869" i="12"/>
  <c r="AC868" i="12"/>
  <c r="AB868" i="12"/>
  <c r="AA868" i="12"/>
  <c r="Z868" i="12"/>
  <c r="Y868" i="12"/>
  <c r="X868" i="12"/>
  <c r="W868" i="12"/>
  <c r="V868" i="12"/>
  <c r="AC867" i="12"/>
  <c r="AB867" i="12"/>
  <c r="AA867" i="12"/>
  <c r="Z867" i="12"/>
  <c r="Y867" i="12"/>
  <c r="X867" i="12"/>
  <c r="W867" i="12"/>
  <c r="V867" i="12"/>
  <c r="AC866" i="12"/>
  <c r="AB866" i="12"/>
  <c r="AA866" i="12"/>
  <c r="Z866" i="12"/>
  <c r="Y866" i="12"/>
  <c r="X866" i="12"/>
  <c r="W866" i="12"/>
  <c r="V866" i="12"/>
  <c r="AC865" i="12"/>
  <c r="AB865" i="12"/>
  <c r="AA865" i="12"/>
  <c r="Z865" i="12"/>
  <c r="Y865" i="12"/>
  <c r="X865" i="12"/>
  <c r="W865" i="12"/>
  <c r="V865" i="12"/>
  <c r="AC864" i="12"/>
  <c r="AB864" i="12"/>
  <c r="AA864" i="12"/>
  <c r="Z864" i="12"/>
  <c r="Y864" i="12"/>
  <c r="X864" i="12"/>
  <c r="W864" i="12"/>
  <c r="V864" i="12"/>
  <c r="AC863" i="12"/>
  <c r="AB863" i="12"/>
  <c r="AA863" i="12"/>
  <c r="Z863" i="12"/>
  <c r="Y863" i="12"/>
  <c r="X863" i="12"/>
  <c r="W863" i="12"/>
  <c r="V863" i="12"/>
  <c r="AC862" i="12"/>
  <c r="AB862" i="12"/>
  <c r="AA862" i="12"/>
  <c r="Z862" i="12"/>
  <c r="Y862" i="12"/>
  <c r="X862" i="12"/>
  <c r="W862" i="12"/>
  <c r="V862" i="12"/>
  <c r="AC861" i="12"/>
  <c r="AB861" i="12"/>
  <c r="AA861" i="12"/>
  <c r="Z861" i="12"/>
  <c r="Y861" i="12"/>
  <c r="X861" i="12"/>
  <c r="W861" i="12"/>
  <c r="V861" i="12"/>
  <c r="AC860" i="12"/>
  <c r="AB860" i="12"/>
  <c r="AA860" i="12"/>
  <c r="Z860" i="12"/>
  <c r="Y860" i="12"/>
  <c r="X860" i="12"/>
  <c r="W860" i="12"/>
  <c r="V860" i="12"/>
  <c r="AC859" i="12"/>
  <c r="AB859" i="12"/>
  <c r="AA859" i="12"/>
  <c r="Z859" i="12"/>
  <c r="Y859" i="12"/>
  <c r="X859" i="12"/>
  <c r="W859" i="12"/>
  <c r="V859" i="12"/>
  <c r="AC858" i="12"/>
  <c r="AB858" i="12"/>
  <c r="AA858" i="12"/>
  <c r="Z858" i="12"/>
  <c r="Y858" i="12"/>
  <c r="X858" i="12"/>
  <c r="W858" i="12"/>
  <c r="V858" i="12"/>
  <c r="AC857" i="12"/>
  <c r="AB857" i="12"/>
  <c r="AA857" i="12"/>
  <c r="Z857" i="12"/>
  <c r="Y857" i="12"/>
  <c r="X857" i="12"/>
  <c r="W857" i="12"/>
  <c r="V857" i="12"/>
  <c r="AC856" i="12"/>
  <c r="AB856" i="12"/>
  <c r="AA856" i="12"/>
  <c r="Z856" i="12"/>
  <c r="Y856" i="12"/>
  <c r="X856" i="12"/>
  <c r="W856" i="12"/>
  <c r="V856" i="12"/>
  <c r="AC855" i="12"/>
  <c r="AB855" i="12"/>
  <c r="AA855" i="12"/>
  <c r="Z855" i="12"/>
  <c r="Y855" i="12"/>
  <c r="X855" i="12"/>
  <c r="W855" i="12"/>
  <c r="V855" i="12"/>
  <c r="AC854" i="12"/>
  <c r="AB854" i="12"/>
  <c r="AA854" i="12"/>
  <c r="Z854" i="12"/>
  <c r="Y854" i="12"/>
  <c r="X854" i="12"/>
  <c r="W854" i="12"/>
  <c r="V854" i="12"/>
  <c r="AC853" i="12"/>
  <c r="AB853" i="12"/>
  <c r="AA853" i="12"/>
  <c r="Z853" i="12"/>
  <c r="Y853" i="12"/>
  <c r="X853" i="12"/>
  <c r="W853" i="12"/>
  <c r="V853" i="12"/>
  <c r="AC852" i="12"/>
  <c r="AB852" i="12"/>
  <c r="AA852" i="12"/>
  <c r="Z852" i="12"/>
  <c r="Y852" i="12"/>
  <c r="X852" i="12"/>
  <c r="W852" i="12"/>
  <c r="V852" i="12"/>
  <c r="AC851" i="12"/>
  <c r="AB851" i="12"/>
  <c r="AA851" i="12"/>
  <c r="Z851" i="12"/>
  <c r="Y851" i="12"/>
  <c r="X851" i="12"/>
  <c r="W851" i="12"/>
  <c r="V851" i="12"/>
  <c r="AC850" i="12"/>
  <c r="AB850" i="12"/>
  <c r="AA850" i="12"/>
  <c r="Z850" i="12"/>
  <c r="Y850" i="12"/>
  <c r="X850" i="12"/>
  <c r="W850" i="12"/>
  <c r="V850" i="12"/>
  <c r="AC849" i="12"/>
  <c r="AB849" i="12"/>
  <c r="AA849" i="12"/>
  <c r="Z849" i="12"/>
  <c r="Y849" i="12"/>
  <c r="X849" i="12"/>
  <c r="W849" i="12"/>
  <c r="V849" i="12"/>
  <c r="AC848" i="12"/>
  <c r="AB848" i="12"/>
  <c r="AA848" i="12"/>
  <c r="Z848" i="12"/>
  <c r="Y848" i="12"/>
  <c r="X848" i="12"/>
  <c r="W848" i="12"/>
  <c r="V848" i="12"/>
  <c r="AC847" i="12"/>
  <c r="AB847" i="12"/>
  <c r="AA847" i="12"/>
  <c r="Z847" i="12"/>
  <c r="Y847" i="12"/>
  <c r="X847" i="12"/>
  <c r="W847" i="12"/>
  <c r="V847" i="12"/>
  <c r="AC846" i="12"/>
  <c r="AB846" i="12"/>
  <c r="AA846" i="12"/>
  <c r="Z846" i="12"/>
  <c r="Y846" i="12"/>
  <c r="X846" i="12"/>
  <c r="W846" i="12"/>
  <c r="V846" i="12"/>
  <c r="AC845" i="12"/>
  <c r="AB845" i="12"/>
  <c r="AA845" i="12"/>
  <c r="Z845" i="12"/>
  <c r="Y845" i="12"/>
  <c r="X845" i="12"/>
  <c r="W845" i="12"/>
  <c r="V845" i="12"/>
  <c r="AC844" i="12"/>
  <c r="AB844" i="12"/>
  <c r="AA844" i="12"/>
  <c r="Z844" i="12"/>
  <c r="Y844" i="12"/>
  <c r="X844" i="12"/>
  <c r="W844" i="12"/>
  <c r="V844" i="12"/>
  <c r="AC843" i="12"/>
  <c r="AB843" i="12"/>
  <c r="AA843" i="12"/>
  <c r="Z843" i="12"/>
  <c r="Y843" i="12"/>
  <c r="X843" i="12"/>
  <c r="W843" i="12"/>
  <c r="V843" i="12"/>
  <c r="AC842" i="12"/>
  <c r="AB842" i="12"/>
  <c r="AA842" i="12"/>
  <c r="Z842" i="12"/>
  <c r="Y842" i="12"/>
  <c r="X842" i="12"/>
  <c r="W842" i="12"/>
  <c r="V842" i="12"/>
  <c r="AC841" i="12"/>
  <c r="AB841" i="12"/>
  <c r="AA841" i="12"/>
  <c r="Z841" i="12"/>
  <c r="Y841" i="12"/>
  <c r="X841" i="12"/>
  <c r="W841" i="12"/>
  <c r="V841" i="12"/>
  <c r="AC840" i="12"/>
  <c r="AB840" i="12"/>
  <c r="AA840" i="12"/>
  <c r="Z840" i="12"/>
  <c r="Y840" i="12"/>
  <c r="X840" i="12"/>
  <c r="W840" i="12"/>
  <c r="V840" i="12"/>
  <c r="AC839" i="12"/>
  <c r="AB839" i="12"/>
  <c r="AA839" i="12"/>
  <c r="Z839" i="12"/>
  <c r="Y839" i="12"/>
  <c r="X839" i="12"/>
  <c r="W839" i="12"/>
  <c r="V839" i="12"/>
  <c r="AC838" i="12"/>
  <c r="AB838" i="12"/>
  <c r="AA838" i="12"/>
  <c r="Z838" i="12"/>
  <c r="Y838" i="12"/>
  <c r="X838" i="12"/>
  <c r="W838" i="12"/>
  <c r="V838" i="12"/>
  <c r="AC837" i="12"/>
  <c r="AB837" i="12"/>
  <c r="AA837" i="12"/>
  <c r="Z837" i="12"/>
  <c r="Y837" i="12"/>
  <c r="X837" i="12"/>
  <c r="W837" i="12"/>
  <c r="V837" i="12"/>
  <c r="AC836" i="12"/>
  <c r="AB836" i="12"/>
  <c r="AA836" i="12"/>
  <c r="Z836" i="12"/>
  <c r="Y836" i="12"/>
  <c r="X836" i="12"/>
  <c r="W836" i="12"/>
  <c r="V836" i="12"/>
  <c r="AC835" i="12"/>
  <c r="AB835" i="12"/>
  <c r="AA835" i="12"/>
  <c r="Z835" i="12"/>
  <c r="Y835" i="12"/>
  <c r="X835" i="12"/>
  <c r="W835" i="12"/>
  <c r="V835" i="12"/>
  <c r="AC834" i="12"/>
  <c r="AB834" i="12"/>
  <c r="AA834" i="12"/>
  <c r="Z834" i="12"/>
  <c r="Y834" i="12"/>
  <c r="X834" i="12"/>
  <c r="W834" i="12"/>
  <c r="V834" i="12"/>
  <c r="AC833" i="12"/>
  <c r="AB833" i="12"/>
  <c r="AA833" i="12"/>
  <c r="Z833" i="12"/>
  <c r="Y833" i="12"/>
  <c r="X833" i="12"/>
  <c r="W833" i="12"/>
  <c r="V833" i="12"/>
  <c r="AC832" i="12"/>
  <c r="AB832" i="12"/>
  <c r="AA832" i="12"/>
  <c r="Z832" i="12"/>
  <c r="Y832" i="12"/>
  <c r="X832" i="12"/>
  <c r="W832" i="12"/>
  <c r="V832" i="12"/>
  <c r="AC831" i="12"/>
  <c r="AB831" i="12"/>
  <c r="AA831" i="12"/>
  <c r="Z831" i="12"/>
  <c r="Y831" i="12"/>
  <c r="X831" i="12"/>
  <c r="W831" i="12"/>
  <c r="V831" i="12"/>
  <c r="AC830" i="12"/>
  <c r="AB830" i="12"/>
  <c r="AA830" i="12"/>
  <c r="Z830" i="12"/>
  <c r="Y830" i="12"/>
  <c r="X830" i="12"/>
  <c r="W830" i="12"/>
  <c r="V830" i="12"/>
  <c r="AC829" i="12"/>
  <c r="AB829" i="12"/>
  <c r="AA829" i="12"/>
  <c r="Z829" i="12"/>
  <c r="Y829" i="12"/>
  <c r="X829" i="12"/>
  <c r="W829" i="12"/>
  <c r="V829" i="12"/>
  <c r="AC828" i="12"/>
  <c r="AB828" i="12"/>
  <c r="AA828" i="12"/>
  <c r="Z828" i="12"/>
  <c r="Y828" i="12"/>
  <c r="X828" i="12"/>
  <c r="W828" i="12"/>
  <c r="V828" i="12"/>
  <c r="AC827" i="12"/>
  <c r="AB827" i="12"/>
  <c r="AA827" i="12"/>
  <c r="Z827" i="12"/>
  <c r="Y827" i="12"/>
  <c r="X827" i="12"/>
  <c r="W827" i="12"/>
  <c r="V827" i="12"/>
  <c r="AC826" i="12"/>
  <c r="AB826" i="12"/>
  <c r="AA826" i="12"/>
  <c r="Z826" i="12"/>
  <c r="Y826" i="12"/>
  <c r="X826" i="12"/>
  <c r="W826" i="12"/>
  <c r="V826" i="12"/>
  <c r="AC825" i="12"/>
  <c r="AB825" i="12"/>
  <c r="AA825" i="12"/>
  <c r="Z825" i="12"/>
  <c r="Y825" i="12"/>
  <c r="X825" i="12"/>
  <c r="W825" i="12"/>
  <c r="V825" i="12"/>
  <c r="AC824" i="12"/>
  <c r="AB824" i="12"/>
  <c r="AA824" i="12"/>
  <c r="Z824" i="12"/>
  <c r="Y824" i="12"/>
  <c r="X824" i="12"/>
  <c r="W824" i="12"/>
  <c r="V824" i="12"/>
  <c r="AC823" i="12"/>
  <c r="AB823" i="12"/>
  <c r="AA823" i="12"/>
  <c r="Z823" i="12"/>
  <c r="Y823" i="12"/>
  <c r="X823" i="12"/>
  <c r="W823" i="12"/>
  <c r="V823" i="12"/>
  <c r="AC822" i="12"/>
  <c r="AB822" i="12"/>
  <c r="AA822" i="12"/>
  <c r="Z822" i="12"/>
  <c r="Y822" i="12"/>
  <c r="X822" i="12"/>
  <c r="W822" i="12"/>
  <c r="V822" i="12"/>
  <c r="AC821" i="12"/>
  <c r="AB821" i="12"/>
  <c r="AA821" i="12"/>
  <c r="Z821" i="12"/>
  <c r="Y821" i="12"/>
  <c r="X821" i="12"/>
  <c r="W821" i="12"/>
  <c r="V821" i="12"/>
  <c r="AC820" i="12"/>
  <c r="AB820" i="12"/>
  <c r="AA820" i="12"/>
  <c r="Z820" i="12"/>
  <c r="Y820" i="12"/>
  <c r="X820" i="12"/>
  <c r="W820" i="12"/>
  <c r="V820" i="12"/>
  <c r="AC819" i="12"/>
  <c r="AB819" i="12"/>
  <c r="AA819" i="12"/>
  <c r="Z819" i="12"/>
  <c r="Y819" i="12"/>
  <c r="X819" i="12"/>
  <c r="W819" i="12"/>
  <c r="V819" i="12"/>
  <c r="AC818" i="12"/>
  <c r="AB818" i="12"/>
  <c r="AA818" i="12"/>
  <c r="Z818" i="12"/>
  <c r="Y818" i="12"/>
  <c r="X818" i="12"/>
  <c r="W818" i="12"/>
  <c r="V818" i="12"/>
  <c r="AC817" i="12"/>
  <c r="AB817" i="12"/>
  <c r="AA817" i="12"/>
  <c r="Z817" i="12"/>
  <c r="Y817" i="12"/>
  <c r="X817" i="12"/>
  <c r="W817" i="12"/>
  <c r="V817" i="12"/>
  <c r="AC816" i="12"/>
  <c r="AB816" i="12"/>
  <c r="AA816" i="12"/>
  <c r="Z816" i="12"/>
  <c r="Y816" i="12"/>
  <c r="X816" i="12"/>
  <c r="W816" i="12"/>
  <c r="V816" i="12"/>
  <c r="AC815" i="12"/>
  <c r="AB815" i="12"/>
  <c r="AA815" i="12"/>
  <c r="Z815" i="12"/>
  <c r="Y815" i="12"/>
  <c r="X815" i="12"/>
  <c r="W815" i="12"/>
  <c r="V815" i="12"/>
  <c r="AC814" i="12"/>
  <c r="AB814" i="12"/>
  <c r="AA814" i="12"/>
  <c r="Z814" i="12"/>
  <c r="Y814" i="12"/>
  <c r="X814" i="12"/>
  <c r="W814" i="12"/>
  <c r="V814" i="12"/>
  <c r="AC813" i="12"/>
  <c r="AB813" i="12"/>
  <c r="AA813" i="12"/>
  <c r="Z813" i="12"/>
  <c r="Y813" i="12"/>
  <c r="X813" i="12"/>
  <c r="W813" i="12"/>
  <c r="V813" i="12"/>
  <c r="AC812" i="12"/>
  <c r="AB812" i="12"/>
  <c r="AA812" i="12"/>
  <c r="Z812" i="12"/>
  <c r="Y812" i="12"/>
  <c r="X812" i="12"/>
  <c r="W812" i="12"/>
  <c r="V812" i="12"/>
  <c r="AC811" i="12"/>
  <c r="AB811" i="12"/>
  <c r="AA811" i="12"/>
  <c r="Z811" i="12"/>
  <c r="Y811" i="12"/>
  <c r="X811" i="12"/>
  <c r="W811" i="12"/>
  <c r="V811" i="12"/>
  <c r="AC810" i="12"/>
  <c r="AB810" i="12"/>
  <c r="AA810" i="12"/>
  <c r="Z810" i="12"/>
  <c r="Y810" i="12"/>
  <c r="X810" i="12"/>
  <c r="W810" i="12"/>
  <c r="V810" i="12"/>
  <c r="AC809" i="12"/>
  <c r="AB809" i="12"/>
  <c r="AA809" i="12"/>
  <c r="Z809" i="12"/>
  <c r="Y809" i="12"/>
  <c r="X809" i="12"/>
  <c r="W809" i="12"/>
  <c r="V809" i="12"/>
  <c r="AC808" i="12"/>
  <c r="AB808" i="12"/>
  <c r="AA808" i="12"/>
  <c r="Z808" i="12"/>
  <c r="Y808" i="12"/>
  <c r="X808" i="12"/>
  <c r="W808" i="12"/>
  <c r="V808" i="12"/>
  <c r="AC807" i="12"/>
  <c r="AB807" i="12"/>
  <c r="AA807" i="12"/>
  <c r="Z807" i="12"/>
  <c r="Y807" i="12"/>
  <c r="X807" i="12"/>
  <c r="W807" i="12"/>
  <c r="V807" i="12"/>
  <c r="AC806" i="12"/>
  <c r="AB806" i="12"/>
  <c r="AA806" i="12"/>
  <c r="Z806" i="12"/>
  <c r="Y806" i="12"/>
  <c r="X806" i="12"/>
  <c r="W806" i="12"/>
  <c r="V806" i="12"/>
  <c r="AC805" i="12"/>
  <c r="AB805" i="12"/>
  <c r="AA805" i="12"/>
  <c r="Z805" i="12"/>
  <c r="Y805" i="12"/>
  <c r="X805" i="12"/>
  <c r="W805" i="12"/>
  <c r="V805" i="12"/>
  <c r="AC804" i="12"/>
  <c r="AB804" i="12"/>
  <c r="AA804" i="12"/>
  <c r="Z804" i="12"/>
  <c r="Y804" i="12"/>
  <c r="X804" i="12"/>
  <c r="W804" i="12"/>
  <c r="V804" i="12"/>
  <c r="AC803" i="12"/>
  <c r="AB803" i="12"/>
  <c r="AA803" i="12"/>
  <c r="Z803" i="12"/>
  <c r="Y803" i="12"/>
  <c r="X803" i="12"/>
  <c r="W803" i="12"/>
  <c r="V803" i="12"/>
  <c r="AC802" i="12"/>
  <c r="AB802" i="12"/>
  <c r="AA802" i="12"/>
  <c r="Z802" i="12"/>
  <c r="Y802" i="12"/>
  <c r="X802" i="12"/>
  <c r="W802" i="12"/>
  <c r="V802" i="12"/>
  <c r="AC801" i="12"/>
  <c r="AB801" i="12"/>
  <c r="AA801" i="12"/>
  <c r="Z801" i="12"/>
  <c r="Y801" i="12"/>
  <c r="X801" i="12"/>
  <c r="W801" i="12"/>
  <c r="V801" i="12"/>
  <c r="AC800" i="12"/>
  <c r="AB800" i="12"/>
  <c r="AA800" i="12"/>
  <c r="Z800" i="12"/>
  <c r="Y800" i="12"/>
  <c r="X800" i="12"/>
  <c r="W800" i="12"/>
  <c r="V800" i="12"/>
  <c r="AC799" i="12"/>
  <c r="AB799" i="12"/>
  <c r="AA799" i="12"/>
  <c r="Z799" i="12"/>
  <c r="Y799" i="12"/>
  <c r="X799" i="12"/>
  <c r="W799" i="12"/>
  <c r="V799" i="12"/>
  <c r="AC798" i="12"/>
  <c r="AB798" i="12"/>
  <c r="AA798" i="12"/>
  <c r="Z798" i="12"/>
  <c r="Y798" i="12"/>
  <c r="X798" i="12"/>
  <c r="W798" i="12"/>
  <c r="V798" i="12"/>
  <c r="AC797" i="12"/>
  <c r="AB797" i="12"/>
  <c r="AA797" i="12"/>
  <c r="Z797" i="12"/>
  <c r="Y797" i="12"/>
  <c r="X797" i="12"/>
  <c r="W797" i="12"/>
  <c r="V797" i="12"/>
  <c r="AC796" i="12"/>
  <c r="AB796" i="12"/>
  <c r="AA796" i="12"/>
  <c r="Z796" i="12"/>
  <c r="Y796" i="12"/>
  <c r="X796" i="12"/>
  <c r="W796" i="12"/>
  <c r="V796" i="12"/>
  <c r="AC795" i="12"/>
  <c r="AB795" i="12"/>
  <c r="AA795" i="12"/>
  <c r="Z795" i="12"/>
  <c r="Y795" i="12"/>
  <c r="X795" i="12"/>
  <c r="W795" i="12"/>
  <c r="V795" i="12"/>
  <c r="AC794" i="12"/>
  <c r="AB794" i="12"/>
  <c r="AA794" i="12"/>
  <c r="Z794" i="12"/>
  <c r="Y794" i="12"/>
  <c r="X794" i="12"/>
  <c r="W794" i="12"/>
  <c r="V794" i="12"/>
  <c r="AC793" i="12"/>
  <c r="AB793" i="12"/>
  <c r="AA793" i="12"/>
  <c r="Z793" i="12"/>
  <c r="Y793" i="12"/>
  <c r="X793" i="12"/>
  <c r="W793" i="12"/>
  <c r="V793" i="12"/>
  <c r="AC792" i="12"/>
  <c r="AB792" i="12"/>
  <c r="AA792" i="12"/>
  <c r="Z792" i="12"/>
  <c r="Y792" i="12"/>
  <c r="X792" i="12"/>
  <c r="W792" i="12"/>
  <c r="V792" i="12"/>
  <c r="AC791" i="12"/>
  <c r="AB791" i="12"/>
  <c r="AA791" i="12"/>
  <c r="Z791" i="12"/>
  <c r="Y791" i="12"/>
  <c r="X791" i="12"/>
  <c r="W791" i="12"/>
  <c r="V791" i="12"/>
  <c r="AC790" i="12"/>
  <c r="AB790" i="12"/>
  <c r="AA790" i="12"/>
  <c r="Z790" i="12"/>
  <c r="Y790" i="12"/>
  <c r="X790" i="12"/>
  <c r="W790" i="12"/>
  <c r="V790" i="12"/>
  <c r="AC789" i="12"/>
  <c r="AB789" i="12"/>
  <c r="AA789" i="12"/>
  <c r="Z789" i="12"/>
  <c r="Y789" i="12"/>
  <c r="X789" i="12"/>
  <c r="W789" i="12"/>
  <c r="V789" i="12"/>
  <c r="AC788" i="12"/>
  <c r="AB788" i="12"/>
  <c r="AA788" i="12"/>
  <c r="Z788" i="12"/>
  <c r="Y788" i="12"/>
  <c r="X788" i="12"/>
  <c r="W788" i="12"/>
  <c r="V788" i="12"/>
  <c r="AC787" i="12"/>
  <c r="AB787" i="12"/>
  <c r="AA787" i="12"/>
  <c r="Z787" i="12"/>
  <c r="Y787" i="12"/>
  <c r="X787" i="12"/>
  <c r="W787" i="12"/>
  <c r="V787" i="12"/>
  <c r="AC786" i="12"/>
  <c r="AB786" i="12"/>
  <c r="AA786" i="12"/>
  <c r="Z786" i="12"/>
  <c r="Y786" i="12"/>
  <c r="X786" i="12"/>
  <c r="W786" i="12"/>
  <c r="V786" i="12"/>
  <c r="AC785" i="12"/>
  <c r="AB785" i="12"/>
  <c r="AA785" i="12"/>
  <c r="Z785" i="12"/>
  <c r="Y785" i="12"/>
  <c r="X785" i="12"/>
  <c r="W785" i="12"/>
  <c r="V785" i="12"/>
  <c r="AC784" i="12"/>
  <c r="AB784" i="12"/>
  <c r="AA784" i="12"/>
  <c r="Z784" i="12"/>
  <c r="Y784" i="12"/>
  <c r="X784" i="12"/>
  <c r="W784" i="12"/>
  <c r="V784" i="12"/>
  <c r="AC783" i="12"/>
  <c r="AB783" i="12"/>
  <c r="AA783" i="12"/>
  <c r="Z783" i="12"/>
  <c r="Y783" i="12"/>
  <c r="X783" i="12"/>
  <c r="W783" i="12"/>
  <c r="V783" i="12"/>
  <c r="AC782" i="12"/>
  <c r="AB782" i="12"/>
  <c r="AA782" i="12"/>
  <c r="Z782" i="12"/>
  <c r="Y782" i="12"/>
  <c r="X782" i="12"/>
  <c r="W782" i="12"/>
  <c r="V782" i="12"/>
  <c r="AC781" i="12"/>
  <c r="AB781" i="12"/>
  <c r="AA781" i="12"/>
  <c r="Z781" i="12"/>
  <c r="Y781" i="12"/>
  <c r="X781" i="12"/>
  <c r="W781" i="12"/>
  <c r="V781" i="12"/>
  <c r="AC780" i="12"/>
  <c r="AB780" i="12"/>
  <c r="AA780" i="12"/>
  <c r="Z780" i="12"/>
  <c r="Y780" i="12"/>
  <c r="X780" i="12"/>
  <c r="W780" i="12"/>
  <c r="V780" i="12"/>
  <c r="AC779" i="12"/>
  <c r="AB779" i="12"/>
  <c r="AA779" i="12"/>
  <c r="Z779" i="12"/>
  <c r="Y779" i="12"/>
  <c r="X779" i="12"/>
  <c r="W779" i="12"/>
  <c r="V779" i="12"/>
  <c r="AC778" i="12"/>
  <c r="AB778" i="12"/>
  <c r="AA778" i="12"/>
  <c r="Z778" i="12"/>
  <c r="Y778" i="12"/>
  <c r="X778" i="12"/>
  <c r="W778" i="12"/>
  <c r="V778" i="12"/>
  <c r="AC777" i="12"/>
  <c r="AB777" i="12"/>
  <c r="AA777" i="12"/>
  <c r="Z777" i="12"/>
  <c r="Y777" i="12"/>
  <c r="X777" i="12"/>
  <c r="W777" i="12"/>
  <c r="V777" i="12"/>
  <c r="AC776" i="12"/>
  <c r="AB776" i="12"/>
  <c r="AA776" i="12"/>
  <c r="Z776" i="12"/>
  <c r="Y776" i="12"/>
  <c r="X776" i="12"/>
  <c r="W776" i="12"/>
  <c r="V776" i="12"/>
  <c r="AC775" i="12"/>
  <c r="AB775" i="12"/>
  <c r="AA775" i="12"/>
  <c r="Z775" i="12"/>
  <c r="Y775" i="12"/>
  <c r="X775" i="12"/>
  <c r="W775" i="12"/>
  <c r="V775" i="12"/>
  <c r="AC774" i="12"/>
  <c r="AB774" i="12"/>
  <c r="AA774" i="12"/>
  <c r="Z774" i="12"/>
  <c r="Y774" i="12"/>
  <c r="X774" i="12"/>
  <c r="W774" i="12"/>
  <c r="V774" i="12"/>
  <c r="AC773" i="12"/>
  <c r="AB773" i="12"/>
  <c r="AA773" i="12"/>
  <c r="Z773" i="12"/>
  <c r="Y773" i="12"/>
  <c r="X773" i="12"/>
  <c r="W773" i="12"/>
  <c r="V773" i="12"/>
  <c r="AC772" i="12"/>
  <c r="AB772" i="12"/>
  <c r="AA772" i="12"/>
  <c r="Z772" i="12"/>
  <c r="Y772" i="12"/>
  <c r="X772" i="12"/>
  <c r="W772" i="12"/>
  <c r="V772" i="12"/>
  <c r="AC771" i="12"/>
  <c r="AB771" i="12"/>
  <c r="AA771" i="12"/>
  <c r="Z771" i="12"/>
  <c r="Y771" i="12"/>
  <c r="X771" i="12"/>
  <c r="W771" i="12"/>
  <c r="V771" i="12"/>
  <c r="AC770" i="12"/>
  <c r="AB770" i="12"/>
  <c r="AA770" i="12"/>
  <c r="Z770" i="12"/>
  <c r="Y770" i="12"/>
  <c r="X770" i="12"/>
  <c r="W770" i="12"/>
  <c r="V770" i="12"/>
  <c r="AC769" i="12"/>
  <c r="AB769" i="12"/>
  <c r="AA769" i="12"/>
  <c r="Z769" i="12"/>
  <c r="Y769" i="12"/>
  <c r="X769" i="12"/>
  <c r="W769" i="12"/>
  <c r="V769" i="12"/>
  <c r="AC768" i="12"/>
  <c r="AB768" i="12"/>
  <c r="AA768" i="12"/>
  <c r="Z768" i="12"/>
  <c r="Y768" i="12"/>
  <c r="X768" i="12"/>
  <c r="W768" i="12"/>
  <c r="V768" i="12"/>
  <c r="AC767" i="12"/>
  <c r="AB767" i="12"/>
  <c r="AA767" i="12"/>
  <c r="Z767" i="12"/>
  <c r="Y767" i="12"/>
  <c r="X767" i="12"/>
  <c r="W767" i="12"/>
  <c r="V767" i="12"/>
  <c r="AC766" i="12"/>
  <c r="AB766" i="12"/>
  <c r="AA766" i="12"/>
  <c r="Z766" i="12"/>
  <c r="Y766" i="12"/>
  <c r="X766" i="12"/>
  <c r="W766" i="12"/>
  <c r="V766" i="12"/>
  <c r="AC765" i="12"/>
  <c r="AB765" i="12"/>
  <c r="AA765" i="12"/>
  <c r="Z765" i="12"/>
  <c r="Y765" i="12"/>
  <c r="X765" i="12"/>
  <c r="W765" i="12"/>
  <c r="V765" i="12"/>
  <c r="AC764" i="12"/>
  <c r="AB764" i="12"/>
  <c r="AA764" i="12"/>
  <c r="Z764" i="12"/>
  <c r="Y764" i="12"/>
  <c r="X764" i="12"/>
  <c r="W764" i="12"/>
  <c r="V764" i="12"/>
  <c r="AC763" i="12"/>
  <c r="AB763" i="12"/>
  <c r="AA763" i="12"/>
  <c r="Z763" i="12"/>
  <c r="Y763" i="12"/>
  <c r="X763" i="12"/>
  <c r="W763" i="12"/>
  <c r="V763" i="12"/>
  <c r="AC762" i="12"/>
  <c r="AB762" i="12"/>
  <c r="AA762" i="12"/>
  <c r="Z762" i="12"/>
  <c r="Y762" i="12"/>
  <c r="X762" i="12"/>
  <c r="W762" i="12"/>
  <c r="V762" i="12"/>
  <c r="AC761" i="12"/>
  <c r="AB761" i="12"/>
  <c r="AA761" i="12"/>
  <c r="Z761" i="12"/>
  <c r="Y761" i="12"/>
  <c r="X761" i="12"/>
  <c r="W761" i="12"/>
  <c r="V761" i="12"/>
  <c r="AC760" i="12"/>
  <c r="AB760" i="12"/>
  <c r="AA760" i="12"/>
  <c r="Z760" i="12"/>
  <c r="Y760" i="12"/>
  <c r="X760" i="12"/>
  <c r="W760" i="12"/>
  <c r="V760" i="12"/>
  <c r="AC759" i="12"/>
  <c r="AB759" i="12"/>
  <c r="AA759" i="12"/>
  <c r="Z759" i="12"/>
  <c r="Y759" i="12"/>
  <c r="X759" i="12"/>
  <c r="W759" i="12"/>
  <c r="V759" i="12"/>
  <c r="AC758" i="12"/>
  <c r="AB758" i="12"/>
  <c r="AA758" i="12"/>
  <c r="Z758" i="12"/>
  <c r="Y758" i="12"/>
  <c r="X758" i="12"/>
  <c r="W758" i="12"/>
  <c r="V758" i="12"/>
  <c r="AC757" i="12"/>
  <c r="AB757" i="12"/>
  <c r="AA757" i="12"/>
  <c r="Z757" i="12"/>
  <c r="Y757" i="12"/>
  <c r="X757" i="12"/>
  <c r="W757" i="12"/>
  <c r="V757" i="12"/>
  <c r="AC756" i="12"/>
  <c r="AB756" i="12"/>
  <c r="AA756" i="12"/>
  <c r="Z756" i="12"/>
  <c r="Y756" i="12"/>
  <c r="X756" i="12"/>
  <c r="W756" i="12"/>
  <c r="V756" i="12"/>
  <c r="AC755" i="12"/>
  <c r="AB755" i="12"/>
  <c r="AA755" i="12"/>
  <c r="Z755" i="12"/>
  <c r="Y755" i="12"/>
  <c r="X755" i="12"/>
  <c r="W755" i="12"/>
  <c r="V755" i="12"/>
  <c r="AC754" i="12"/>
  <c r="AB754" i="12"/>
  <c r="AA754" i="12"/>
  <c r="Z754" i="12"/>
  <c r="Y754" i="12"/>
  <c r="X754" i="12"/>
  <c r="W754" i="12"/>
  <c r="V754" i="12"/>
  <c r="AC753" i="12"/>
  <c r="AB753" i="12"/>
  <c r="AA753" i="12"/>
  <c r="Z753" i="12"/>
  <c r="Y753" i="12"/>
  <c r="X753" i="12"/>
  <c r="W753" i="12"/>
  <c r="V753" i="12"/>
  <c r="AC752" i="12"/>
  <c r="AB752" i="12"/>
  <c r="AA752" i="12"/>
  <c r="Z752" i="12"/>
  <c r="Y752" i="12"/>
  <c r="X752" i="12"/>
  <c r="W752" i="12"/>
  <c r="V752" i="12"/>
  <c r="AC751" i="12"/>
  <c r="AB751" i="12"/>
  <c r="AA751" i="12"/>
  <c r="Z751" i="12"/>
  <c r="Y751" i="12"/>
  <c r="X751" i="12"/>
  <c r="W751" i="12"/>
  <c r="V751" i="12"/>
  <c r="AC750" i="12"/>
  <c r="AB750" i="12"/>
  <c r="AA750" i="12"/>
  <c r="Z750" i="12"/>
  <c r="Y750" i="12"/>
  <c r="X750" i="12"/>
  <c r="W750" i="12"/>
  <c r="V750" i="12"/>
  <c r="AC749" i="12"/>
  <c r="AB749" i="12"/>
  <c r="AA749" i="12"/>
  <c r="Z749" i="12"/>
  <c r="Y749" i="12"/>
  <c r="X749" i="12"/>
  <c r="W749" i="12"/>
  <c r="V749" i="12"/>
  <c r="AC748" i="12"/>
  <c r="AB748" i="12"/>
  <c r="AA748" i="12"/>
  <c r="Z748" i="12"/>
  <c r="Y748" i="12"/>
  <c r="X748" i="12"/>
  <c r="W748" i="12"/>
  <c r="V748" i="12"/>
  <c r="AC747" i="12"/>
  <c r="AB747" i="12"/>
  <c r="AA747" i="12"/>
  <c r="Z747" i="12"/>
  <c r="Y747" i="12"/>
  <c r="X747" i="12"/>
  <c r="W747" i="12"/>
  <c r="V747" i="12"/>
  <c r="AC746" i="12"/>
  <c r="AB746" i="12"/>
  <c r="AA746" i="12"/>
  <c r="Z746" i="12"/>
  <c r="Y746" i="12"/>
  <c r="X746" i="12"/>
  <c r="W746" i="12"/>
  <c r="V746" i="12"/>
  <c r="AC745" i="12"/>
  <c r="AB745" i="12"/>
  <c r="AA745" i="12"/>
  <c r="Z745" i="12"/>
  <c r="Y745" i="12"/>
  <c r="X745" i="12"/>
  <c r="W745" i="12"/>
  <c r="V745" i="12"/>
  <c r="AC744" i="12"/>
  <c r="AB744" i="12"/>
  <c r="AA744" i="12"/>
  <c r="Z744" i="12"/>
  <c r="Y744" i="12"/>
  <c r="X744" i="12"/>
  <c r="W744" i="12"/>
  <c r="V744" i="12"/>
  <c r="AC743" i="12"/>
  <c r="AB743" i="12"/>
  <c r="AA743" i="12"/>
  <c r="Z743" i="12"/>
  <c r="Y743" i="12"/>
  <c r="X743" i="12"/>
  <c r="W743" i="12"/>
  <c r="V743" i="12"/>
  <c r="AC742" i="12"/>
  <c r="AB742" i="12"/>
  <c r="AA742" i="12"/>
  <c r="Z742" i="12"/>
  <c r="Y742" i="12"/>
  <c r="X742" i="12"/>
  <c r="W742" i="12"/>
  <c r="V742" i="12"/>
  <c r="AC741" i="12"/>
  <c r="AB741" i="12"/>
  <c r="AA741" i="12"/>
  <c r="Z741" i="12"/>
  <c r="Y741" i="12"/>
  <c r="X741" i="12"/>
  <c r="W741" i="12"/>
  <c r="V741" i="12"/>
  <c r="AC740" i="12"/>
  <c r="AB740" i="12"/>
  <c r="AA740" i="12"/>
  <c r="Z740" i="12"/>
  <c r="Y740" i="12"/>
  <c r="X740" i="12"/>
  <c r="W740" i="12"/>
  <c r="V740" i="12"/>
  <c r="AC739" i="12"/>
  <c r="AB739" i="12"/>
  <c r="AA739" i="12"/>
  <c r="Z739" i="12"/>
  <c r="Y739" i="12"/>
  <c r="X739" i="12"/>
  <c r="W739" i="12"/>
  <c r="V739" i="12"/>
  <c r="AC738" i="12"/>
  <c r="AB738" i="12"/>
  <c r="AA738" i="12"/>
  <c r="Z738" i="12"/>
  <c r="Y738" i="12"/>
  <c r="X738" i="12"/>
  <c r="W738" i="12"/>
  <c r="V738" i="12"/>
  <c r="AC737" i="12"/>
  <c r="AB737" i="12"/>
  <c r="AA737" i="12"/>
  <c r="Z737" i="12"/>
  <c r="Y737" i="12"/>
  <c r="X737" i="12"/>
  <c r="W737" i="12"/>
  <c r="V737" i="12"/>
  <c r="AC736" i="12"/>
  <c r="AB736" i="12"/>
  <c r="AA736" i="12"/>
  <c r="Z736" i="12"/>
  <c r="Y736" i="12"/>
  <c r="X736" i="12"/>
  <c r="W736" i="12"/>
  <c r="V736" i="12"/>
  <c r="AC735" i="12"/>
  <c r="AB735" i="12"/>
  <c r="AA735" i="12"/>
  <c r="Z735" i="12"/>
  <c r="Y735" i="12"/>
  <c r="X735" i="12"/>
  <c r="W735" i="12"/>
  <c r="V735" i="12"/>
  <c r="AC734" i="12"/>
  <c r="AB734" i="12"/>
  <c r="AA734" i="12"/>
  <c r="Z734" i="12"/>
  <c r="Y734" i="12"/>
  <c r="X734" i="12"/>
  <c r="W734" i="12"/>
  <c r="V734" i="12"/>
  <c r="AC733" i="12"/>
  <c r="AB733" i="12"/>
  <c r="AA733" i="12"/>
  <c r="Z733" i="12"/>
  <c r="Y733" i="12"/>
  <c r="X733" i="12"/>
  <c r="W733" i="12"/>
  <c r="V733" i="12"/>
  <c r="AC732" i="12"/>
  <c r="AB732" i="12"/>
  <c r="AA732" i="12"/>
  <c r="Z732" i="12"/>
  <c r="Y732" i="12"/>
  <c r="X732" i="12"/>
  <c r="W732" i="12"/>
  <c r="V732" i="12"/>
  <c r="AC731" i="12"/>
  <c r="AB731" i="12"/>
  <c r="AA731" i="12"/>
  <c r="Z731" i="12"/>
  <c r="Y731" i="12"/>
  <c r="X731" i="12"/>
  <c r="W731" i="12"/>
  <c r="V731" i="12"/>
  <c r="AC730" i="12"/>
  <c r="AB730" i="12"/>
  <c r="AA730" i="12"/>
  <c r="Z730" i="12"/>
  <c r="Y730" i="12"/>
  <c r="X730" i="12"/>
  <c r="W730" i="12"/>
  <c r="V730" i="12"/>
  <c r="AC729" i="12"/>
  <c r="AB729" i="12"/>
  <c r="AA729" i="12"/>
  <c r="Z729" i="12"/>
  <c r="Y729" i="12"/>
  <c r="X729" i="12"/>
  <c r="W729" i="12"/>
  <c r="V729" i="12"/>
  <c r="AC728" i="12"/>
  <c r="AB728" i="12"/>
  <c r="AA728" i="12"/>
  <c r="Z728" i="12"/>
  <c r="Y728" i="12"/>
  <c r="X728" i="12"/>
  <c r="W728" i="12"/>
  <c r="V728" i="12"/>
  <c r="AC727" i="12"/>
  <c r="AB727" i="12"/>
  <c r="AA727" i="12"/>
  <c r="Z727" i="12"/>
  <c r="Y727" i="12"/>
  <c r="X727" i="12"/>
  <c r="W727" i="12"/>
  <c r="V727" i="12"/>
  <c r="AC726" i="12"/>
  <c r="AB726" i="12"/>
  <c r="AA726" i="12"/>
  <c r="Z726" i="12"/>
  <c r="Y726" i="12"/>
  <c r="X726" i="12"/>
  <c r="W726" i="12"/>
  <c r="V726" i="12"/>
  <c r="AC725" i="12"/>
  <c r="AB725" i="12"/>
  <c r="AA725" i="12"/>
  <c r="Z725" i="12"/>
  <c r="Y725" i="12"/>
  <c r="X725" i="12"/>
  <c r="W725" i="12"/>
  <c r="V725" i="12"/>
  <c r="AC724" i="12"/>
  <c r="AB724" i="12"/>
  <c r="AA724" i="12"/>
  <c r="Z724" i="12"/>
  <c r="Y724" i="12"/>
  <c r="X724" i="12"/>
  <c r="W724" i="12"/>
  <c r="V724" i="12"/>
  <c r="AC723" i="12"/>
  <c r="AB723" i="12"/>
  <c r="AA723" i="12"/>
  <c r="Z723" i="12"/>
  <c r="Y723" i="12"/>
  <c r="X723" i="12"/>
  <c r="W723" i="12"/>
  <c r="V723" i="12"/>
  <c r="AC722" i="12"/>
  <c r="AB722" i="12"/>
  <c r="AA722" i="12"/>
  <c r="Z722" i="12"/>
  <c r="Y722" i="12"/>
  <c r="X722" i="12"/>
  <c r="W722" i="12"/>
  <c r="V722" i="12"/>
  <c r="AC721" i="12"/>
  <c r="AB721" i="12"/>
  <c r="AA721" i="12"/>
  <c r="Z721" i="12"/>
  <c r="Y721" i="12"/>
  <c r="X721" i="12"/>
  <c r="W721" i="12"/>
  <c r="V721" i="12"/>
  <c r="AC720" i="12"/>
  <c r="AB720" i="12"/>
  <c r="AA720" i="12"/>
  <c r="Z720" i="12"/>
  <c r="Y720" i="12"/>
  <c r="X720" i="12"/>
  <c r="W720" i="12"/>
  <c r="V720" i="12"/>
  <c r="AC719" i="12"/>
  <c r="AB719" i="12"/>
  <c r="AA719" i="12"/>
  <c r="Z719" i="12"/>
  <c r="Y719" i="12"/>
  <c r="X719" i="12"/>
  <c r="W719" i="12"/>
  <c r="V719" i="12"/>
  <c r="AC718" i="12"/>
  <c r="AB718" i="12"/>
  <c r="AA718" i="12"/>
  <c r="Z718" i="12"/>
  <c r="Y718" i="12"/>
  <c r="X718" i="12"/>
  <c r="W718" i="12"/>
  <c r="V718" i="12"/>
  <c r="AC717" i="12"/>
  <c r="AB717" i="12"/>
  <c r="AA717" i="12"/>
  <c r="Z717" i="12"/>
  <c r="Y717" i="12"/>
  <c r="X717" i="12"/>
  <c r="W717" i="12"/>
  <c r="V717" i="12"/>
  <c r="AC716" i="12"/>
  <c r="AB716" i="12"/>
  <c r="AA716" i="12"/>
  <c r="Z716" i="12"/>
  <c r="Y716" i="12"/>
  <c r="X716" i="12"/>
  <c r="W716" i="12"/>
  <c r="V716" i="12"/>
  <c r="AC715" i="12"/>
  <c r="AB715" i="12"/>
  <c r="AA715" i="12"/>
  <c r="Z715" i="12"/>
  <c r="Y715" i="12"/>
  <c r="X715" i="12"/>
  <c r="W715" i="12"/>
  <c r="V715" i="12"/>
  <c r="AC714" i="12"/>
  <c r="AB714" i="12"/>
  <c r="AA714" i="12"/>
  <c r="Z714" i="12"/>
  <c r="Y714" i="12"/>
  <c r="X714" i="12"/>
  <c r="W714" i="12"/>
  <c r="V714" i="12"/>
  <c r="AC713" i="12"/>
  <c r="AB713" i="12"/>
  <c r="AA713" i="12"/>
  <c r="Z713" i="12"/>
  <c r="Y713" i="12"/>
  <c r="X713" i="12"/>
  <c r="W713" i="12"/>
  <c r="V713" i="12"/>
  <c r="AC712" i="12"/>
  <c r="AB712" i="12"/>
  <c r="AA712" i="12"/>
  <c r="Z712" i="12"/>
  <c r="Y712" i="12"/>
  <c r="X712" i="12"/>
  <c r="W712" i="12"/>
  <c r="V712" i="12"/>
  <c r="AC711" i="12"/>
  <c r="AB711" i="12"/>
  <c r="AA711" i="12"/>
  <c r="Z711" i="12"/>
  <c r="Y711" i="12"/>
  <c r="X711" i="12"/>
  <c r="W711" i="12"/>
  <c r="V711" i="12"/>
  <c r="AC710" i="12"/>
  <c r="AB710" i="12"/>
  <c r="AA710" i="12"/>
  <c r="Z710" i="12"/>
  <c r="Y710" i="12"/>
  <c r="X710" i="12"/>
  <c r="W710" i="12"/>
  <c r="V710" i="12"/>
  <c r="AC709" i="12"/>
  <c r="AB709" i="12"/>
  <c r="AA709" i="12"/>
  <c r="Z709" i="12"/>
  <c r="Y709" i="12"/>
  <c r="X709" i="12"/>
  <c r="W709" i="12"/>
  <c r="V709" i="12"/>
  <c r="AC708" i="12"/>
  <c r="AB708" i="12"/>
  <c r="AA708" i="12"/>
  <c r="Z708" i="12"/>
  <c r="Y708" i="12"/>
  <c r="X708" i="12"/>
  <c r="W708" i="12"/>
  <c r="V708" i="12"/>
  <c r="AC707" i="12"/>
  <c r="AB707" i="12"/>
  <c r="AA707" i="12"/>
  <c r="Z707" i="12"/>
  <c r="Y707" i="12"/>
  <c r="X707" i="12"/>
  <c r="W707" i="12"/>
  <c r="V707" i="12"/>
  <c r="AC706" i="12"/>
  <c r="AB706" i="12"/>
  <c r="AA706" i="12"/>
  <c r="Z706" i="12"/>
  <c r="Y706" i="12"/>
  <c r="X706" i="12"/>
  <c r="W706" i="12"/>
  <c r="V706" i="12"/>
  <c r="AC705" i="12"/>
  <c r="AB705" i="12"/>
  <c r="AA705" i="12"/>
  <c r="Z705" i="12"/>
  <c r="Y705" i="12"/>
  <c r="X705" i="12"/>
  <c r="W705" i="12"/>
  <c r="V705" i="12"/>
  <c r="AC704" i="12"/>
  <c r="AB704" i="12"/>
  <c r="AA704" i="12"/>
  <c r="Z704" i="12"/>
  <c r="Y704" i="12"/>
  <c r="X704" i="12"/>
  <c r="W704" i="12"/>
  <c r="V704" i="12"/>
  <c r="AC703" i="12"/>
  <c r="AB703" i="12"/>
  <c r="AA703" i="12"/>
  <c r="Z703" i="12"/>
  <c r="Y703" i="12"/>
  <c r="X703" i="12"/>
  <c r="W703" i="12"/>
  <c r="V703" i="12"/>
  <c r="AC702" i="12"/>
  <c r="AB702" i="12"/>
  <c r="AA702" i="12"/>
  <c r="Z702" i="12"/>
  <c r="Y702" i="12"/>
  <c r="X702" i="12"/>
  <c r="W702" i="12"/>
  <c r="V702" i="12"/>
  <c r="AC701" i="12"/>
  <c r="AB701" i="12"/>
  <c r="AA701" i="12"/>
  <c r="Z701" i="12"/>
  <c r="Y701" i="12"/>
  <c r="X701" i="12"/>
  <c r="W701" i="12"/>
  <c r="V701" i="12"/>
  <c r="AC700" i="12"/>
  <c r="AB700" i="12"/>
  <c r="AA700" i="12"/>
  <c r="Z700" i="12"/>
  <c r="Y700" i="12"/>
  <c r="X700" i="12"/>
  <c r="W700" i="12"/>
  <c r="V700" i="12"/>
  <c r="AC699" i="12"/>
  <c r="AB699" i="12"/>
  <c r="AA699" i="12"/>
  <c r="Z699" i="12"/>
  <c r="Y699" i="12"/>
  <c r="X699" i="12"/>
  <c r="W699" i="12"/>
  <c r="V699" i="12"/>
  <c r="AC698" i="12"/>
  <c r="AB698" i="12"/>
  <c r="AA698" i="12"/>
  <c r="Z698" i="12"/>
  <c r="Y698" i="12"/>
  <c r="X698" i="12"/>
  <c r="W698" i="12"/>
  <c r="V698" i="12"/>
  <c r="AC697" i="12"/>
  <c r="AB697" i="12"/>
  <c r="AA697" i="12"/>
  <c r="Z697" i="12"/>
  <c r="Y697" i="12"/>
  <c r="X697" i="12"/>
  <c r="W697" i="12"/>
  <c r="V697" i="12"/>
  <c r="AC696" i="12"/>
  <c r="AB696" i="12"/>
  <c r="AA696" i="12"/>
  <c r="Z696" i="12"/>
  <c r="Y696" i="12"/>
  <c r="X696" i="12"/>
  <c r="W696" i="12"/>
  <c r="V696" i="12"/>
  <c r="AC695" i="12"/>
  <c r="AB695" i="12"/>
  <c r="AA695" i="12"/>
  <c r="Z695" i="12"/>
  <c r="Y695" i="12"/>
  <c r="X695" i="12"/>
  <c r="W695" i="12"/>
  <c r="V695" i="12"/>
  <c r="AC694" i="12"/>
  <c r="AB694" i="12"/>
  <c r="AA694" i="12"/>
  <c r="Z694" i="12"/>
  <c r="Y694" i="12"/>
  <c r="X694" i="12"/>
  <c r="W694" i="12"/>
  <c r="V694" i="12"/>
  <c r="AC693" i="12"/>
  <c r="AB693" i="12"/>
  <c r="AA693" i="12"/>
  <c r="Z693" i="12"/>
  <c r="Y693" i="12"/>
  <c r="X693" i="12"/>
  <c r="W693" i="12"/>
  <c r="V693" i="12"/>
  <c r="AC692" i="12"/>
  <c r="AB692" i="12"/>
  <c r="AA692" i="12"/>
  <c r="Z692" i="12"/>
  <c r="Y692" i="12"/>
  <c r="X692" i="12"/>
  <c r="W692" i="12"/>
  <c r="V692" i="12"/>
  <c r="AC691" i="12"/>
  <c r="AB691" i="12"/>
  <c r="AA691" i="12"/>
  <c r="Z691" i="12"/>
  <c r="Y691" i="12"/>
  <c r="X691" i="12"/>
  <c r="W691" i="12"/>
  <c r="V691" i="12"/>
  <c r="AC690" i="12"/>
  <c r="AB690" i="12"/>
  <c r="AA690" i="12"/>
  <c r="Z690" i="12"/>
  <c r="Y690" i="12"/>
  <c r="X690" i="12"/>
  <c r="W690" i="12"/>
  <c r="V690" i="12"/>
  <c r="AC689" i="12"/>
  <c r="AB689" i="12"/>
  <c r="AA689" i="12"/>
  <c r="Z689" i="12"/>
  <c r="Y689" i="12"/>
  <c r="X689" i="12"/>
  <c r="W689" i="12"/>
  <c r="V689" i="12"/>
  <c r="AC688" i="12"/>
  <c r="AB688" i="12"/>
  <c r="AA688" i="12"/>
  <c r="Z688" i="12"/>
  <c r="Y688" i="12"/>
  <c r="X688" i="12"/>
  <c r="W688" i="12"/>
  <c r="V688" i="12"/>
  <c r="AC687" i="12"/>
  <c r="AB687" i="12"/>
  <c r="AA687" i="12"/>
  <c r="Z687" i="12"/>
  <c r="Y687" i="12"/>
  <c r="X687" i="12"/>
  <c r="W687" i="12"/>
  <c r="V687" i="12"/>
  <c r="AC686" i="12"/>
  <c r="AB686" i="12"/>
  <c r="AA686" i="12"/>
  <c r="Z686" i="12"/>
  <c r="Y686" i="12"/>
  <c r="X686" i="12"/>
  <c r="W686" i="12"/>
  <c r="V686" i="12"/>
  <c r="AC685" i="12"/>
  <c r="AB685" i="12"/>
  <c r="AA685" i="12"/>
  <c r="Z685" i="12"/>
  <c r="Y685" i="12"/>
  <c r="X685" i="12"/>
  <c r="W685" i="12"/>
  <c r="V685" i="12"/>
  <c r="AC684" i="12"/>
  <c r="AB684" i="12"/>
  <c r="AA684" i="12"/>
  <c r="Z684" i="12"/>
  <c r="Y684" i="12"/>
  <c r="X684" i="12"/>
  <c r="W684" i="12"/>
  <c r="V684" i="12"/>
  <c r="AC683" i="12"/>
  <c r="AB683" i="12"/>
  <c r="AA683" i="12"/>
  <c r="Z683" i="12"/>
  <c r="Y683" i="12"/>
  <c r="X683" i="12"/>
  <c r="W683" i="12"/>
  <c r="V683" i="12"/>
  <c r="AC682" i="12"/>
  <c r="AB682" i="12"/>
  <c r="AA682" i="12"/>
  <c r="Z682" i="12"/>
  <c r="Y682" i="12"/>
  <c r="X682" i="12"/>
  <c r="W682" i="12"/>
  <c r="V682" i="12"/>
  <c r="AC681" i="12"/>
  <c r="AB681" i="12"/>
  <c r="AA681" i="12"/>
  <c r="Z681" i="12"/>
  <c r="Y681" i="12"/>
  <c r="X681" i="12"/>
  <c r="W681" i="12"/>
  <c r="V681" i="12"/>
  <c r="AC680" i="12"/>
  <c r="AB680" i="12"/>
  <c r="AA680" i="12"/>
  <c r="Z680" i="12"/>
  <c r="Y680" i="12"/>
  <c r="X680" i="12"/>
  <c r="W680" i="12"/>
  <c r="V680" i="12"/>
  <c r="AC679" i="12"/>
  <c r="AB679" i="12"/>
  <c r="AA679" i="12"/>
  <c r="Z679" i="12"/>
  <c r="Y679" i="12"/>
  <c r="X679" i="12"/>
  <c r="W679" i="12"/>
  <c r="V679" i="12"/>
  <c r="AC678" i="12"/>
  <c r="AB678" i="12"/>
  <c r="AA678" i="12"/>
  <c r="Z678" i="12"/>
  <c r="Y678" i="12"/>
  <c r="X678" i="12"/>
  <c r="W678" i="12"/>
  <c r="V678" i="12"/>
  <c r="AC677" i="12"/>
  <c r="AB677" i="12"/>
  <c r="AA677" i="12"/>
  <c r="Z677" i="12"/>
  <c r="Y677" i="12"/>
  <c r="X677" i="12"/>
  <c r="W677" i="12"/>
  <c r="V677" i="12"/>
  <c r="AC676" i="12"/>
  <c r="AB676" i="12"/>
  <c r="AA676" i="12"/>
  <c r="Z676" i="12"/>
  <c r="Y676" i="12"/>
  <c r="X676" i="12"/>
  <c r="W676" i="12"/>
  <c r="V676" i="12"/>
  <c r="AC675" i="12"/>
  <c r="AB675" i="12"/>
  <c r="AA675" i="12"/>
  <c r="Z675" i="12"/>
  <c r="Y675" i="12"/>
  <c r="X675" i="12"/>
  <c r="W675" i="12"/>
  <c r="V675" i="12"/>
  <c r="AC674" i="12"/>
  <c r="AB674" i="12"/>
  <c r="AA674" i="12"/>
  <c r="Z674" i="12"/>
  <c r="Y674" i="12"/>
  <c r="X674" i="12"/>
  <c r="W674" i="12"/>
  <c r="V674" i="12"/>
  <c r="AC673" i="12"/>
  <c r="AB673" i="12"/>
  <c r="AA673" i="12"/>
  <c r="Z673" i="12"/>
  <c r="Y673" i="12"/>
  <c r="X673" i="12"/>
  <c r="W673" i="12"/>
  <c r="V673" i="12"/>
  <c r="AC672" i="12"/>
  <c r="AB672" i="12"/>
  <c r="AA672" i="12"/>
  <c r="Z672" i="12"/>
  <c r="Y672" i="12"/>
  <c r="X672" i="12"/>
  <c r="W672" i="12"/>
  <c r="V672" i="12"/>
  <c r="AC671" i="12"/>
  <c r="AB671" i="12"/>
  <c r="AA671" i="12"/>
  <c r="Z671" i="12"/>
  <c r="Y671" i="12"/>
  <c r="X671" i="12"/>
  <c r="W671" i="12"/>
  <c r="V671" i="12"/>
  <c r="AC670" i="12"/>
  <c r="AB670" i="12"/>
  <c r="AA670" i="12"/>
  <c r="Z670" i="12"/>
  <c r="Y670" i="12"/>
  <c r="X670" i="12"/>
  <c r="W670" i="12"/>
  <c r="V670" i="12"/>
  <c r="AC669" i="12"/>
  <c r="AB669" i="12"/>
  <c r="AA669" i="12"/>
  <c r="Z669" i="12"/>
  <c r="Y669" i="12"/>
  <c r="X669" i="12"/>
  <c r="W669" i="12"/>
  <c r="V669" i="12"/>
  <c r="AC668" i="12"/>
  <c r="AB668" i="12"/>
  <c r="AA668" i="12"/>
  <c r="Z668" i="12"/>
  <c r="Y668" i="12"/>
  <c r="X668" i="12"/>
  <c r="W668" i="12"/>
  <c r="V668" i="12"/>
  <c r="AC667" i="12"/>
  <c r="AB667" i="12"/>
  <c r="AA667" i="12"/>
  <c r="Z667" i="12"/>
  <c r="Y667" i="12"/>
  <c r="X667" i="12"/>
  <c r="W667" i="12"/>
  <c r="V667" i="12"/>
  <c r="AC666" i="12"/>
  <c r="AB666" i="12"/>
  <c r="AA666" i="12"/>
  <c r="Z666" i="12"/>
  <c r="Y666" i="12"/>
  <c r="X666" i="12"/>
  <c r="W666" i="12"/>
  <c r="V666" i="12"/>
  <c r="AC665" i="12"/>
  <c r="AB665" i="12"/>
  <c r="AA665" i="12"/>
  <c r="Z665" i="12"/>
  <c r="Y665" i="12"/>
  <c r="X665" i="12"/>
  <c r="W665" i="12"/>
  <c r="V665" i="12"/>
  <c r="AC664" i="12"/>
  <c r="AB664" i="12"/>
  <c r="AA664" i="12"/>
  <c r="Z664" i="12"/>
  <c r="Y664" i="12"/>
  <c r="X664" i="12"/>
  <c r="W664" i="12"/>
  <c r="V664" i="12"/>
  <c r="AC663" i="12"/>
  <c r="AB663" i="12"/>
  <c r="AA663" i="12"/>
  <c r="Z663" i="12"/>
  <c r="Y663" i="12"/>
  <c r="X663" i="12"/>
  <c r="W663" i="12"/>
  <c r="V663" i="12"/>
  <c r="AC662" i="12"/>
  <c r="AB662" i="12"/>
  <c r="AA662" i="12"/>
  <c r="Z662" i="12"/>
  <c r="Y662" i="12"/>
  <c r="X662" i="12"/>
  <c r="W662" i="12"/>
  <c r="V662" i="12"/>
  <c r="AC661" i="12"/>
  <c r="AB661" i="12"/>
  <c r="AA661" i="12"/>
  <c r="Z661" i="12"/>
  <c r="Y661" i="12"/>
  <c r="X661" i="12"/>
  <c r="W661" i="12"/>
  <c r="V661" i="12"/>
  <c r="AC660" i="12"/>
  <c r="AB660" i="12"/>
  <c r="AA660" i="12"/>
  <c r="Z660" i="12"/>
  <c r="Y660" i="12"/>
  <c r="X660" i="12"/>
  <c r="W660" i="12"/>
  <c r="V660" i="12"/>
  <c r="AC659" i="12"/>
  <c r="AB659" i="12"/>
  <c r="AA659" i="12"/>
  <c r="Z659" i="12"/>
  <c r="Y659" i="12"/>
  <c r="X659" i="12"/>
  <c r="W659" i="12"/>
  <c r="V659" i="12"/>
  <c r="AC658" i="12"/>
  <c r="AB658" i="12"/>
  <c r="AA658" i="12"/>
  <c r="Z658" i="12"/>
  <c r="Y658" i="12"/>
  <c r="X658" i="12"/>
  <c r="W658" i="12"/>
  <c r="V658" i="12"/>
  <c r="AC657" i="12"/>
  <c r="AB657" i="12"/>
  <c r="AA657" i="12"/>
  <c r="Z657" i="12"/>
  <c r="Y657" i="12"/>
  <c r="X657" i="12"/>
  <c r="W657" i="12"/>
  <c r="V657" i="12"/>
  <c r="AC656" i="12"/>
  <c r="AB656" i="12"/>
  <c r="AA656" i="12"/>
  <c r="Z656" i="12"/>
  <c r="Y656" i="12"/>
  <c r="X656" i="12"/>
  <c r="W656" i="12"/>
  <c r="V656" i="12"/>
  <c r="AC655" i="12"/>
  <c r="AB655" i="12"/>
  <c r="AA655" i="12"/>
  <c r="Z655" i="12"/>
  <c r="Y655" i="12"/>
  <c r="X655" i="12"/>
  <c r="W655" i="12"/>
  <c r="V655" i="12"/>
  <c r="AC654" i="12"/>
  <c r="AB654" i="12"/>
  <c r="AA654" i="12"/>
  <c r="Z654" i="12"/>
  <c r="Y654" i="12"/>
  <c r="X654" i="12"/>
  <c r="W654" i="12"/>
  <c r="V654" i="12"/>
  <c r="AC653" i="12"/>
  <c r="AB653" i="12"/>
  <c r="AA653" i="12"/>
  <c r="Z653" i="12"/>
  <c r="Y653" i="12"/>
  <c r="X653" i="12"/>
  <c r="W653" i="12"/>
  <c r="V653" i="12"/>
  <c r="AC652" i="12"/>
  <c r="AB652" i="12"/>
  <c r="AA652" i="12"/>
  <c r="Z652" i="12"/>
  <c r="Y652" i="12"/>
  <c r="X652" i="12"/>
  <c r="W652" i="12"/>
  <c r="V652" i="12"/>
  <c r="AC651" i="12"/>
  <c r="AB651" i="12"/>
  <c r="AA651" i="12"/>
  <c r="Z651" i="12"/>
  <c r="Y651" i="12"/>
  <c r="X651" i="12"/>
  <c r="W651" i="12"/>
  <c r="V651" i="12"/>
  <c r="AC650" i="12"/>
  <c r="AB650" i="12"/>
  <c r="AA650" i="12"/>
  <c r="Z650" i="12"/>
  <c r="Y650" i="12"/>
  <c r="X650" i="12"/>
  <c r="W650" i="12"/>
  <c r="V650" i="12"/>
  <c r="AC649" i="12"/>
  <c r="AB649" i="12"/>
  <c r="AA649" i="12"/>
  <c r="Z649" i="12"/>
  <c r="Y649" i="12"/>
  <c r="X649" i="12"/>
  <c r="W649" i="12"/>
  <c r="V649" i="12"/>
  <c r="AC648" i="12"/>
  <c r="AB648" i="12"/>
  <c r="AA648" i="12"/>
  <c r="Z648" i="12"/>
  <c r="Y648" i="12"/>
  <c r="X648" i="12"/>
  <c r="W648" i="12"/>
  <c r="V648" i="12"/>
  <c r="AC647" i="12"/>
  <c r="AB647" i="12"/>
  <c r="AA647" i="12"/>
  <c r="Z647" i="12"/>
  <c r="Y647" i="12"/>
  <c r="X647" i="12"/>
  <c r="W647" i="12"/>
  <c r="V647" i="12"/>
  <c r="AC646" i="12"/>
  <c r="AB646" i="12"/>
  <c r="AA646" i="12"/>
  <c r="Z646" i="12"/>
  <c r="Y646" i="12"/>
  <c r="X646" i="12"/>
  <c r="W646" i="12"/>
  <c r="V646" i="12"/>
  <c r="AC645" i="12"/>
  <c r="AB645" i="12"/>
  <c r="AA645" i="12"/>
  <c r="Z645" i="12"/>
  <c r="Y645" i="12"/>
  <c r="X645" i="12"/>
  <c r="W645" i="12"/>
  <c r="V645" i="12"/>
  <c r="AC644" i="12"/>
  <c r="AB644" i="12"/>
  <c r="AA644" i="12"/>
  <c r="Z644" i="12"/>
  <c r="Y644" i="12"/>
  <c r="X644" i="12"/>
  <c r="W644" i="12"/>
  <c r="V644" i="12"/>
  <c r="AC643" i="12"/>
  <c r="AB643" i="12"/>
  <c r="AA643" i="12"/>
  <c r="Z643" i="12"/>
  <c r="Y643" i="12"/>
  <c r="X643" i="12"/>
  <c r="W643" i="12"/>
  <c r="V643" i="12"/>
  <c r="AC642" i="12"/>
  <c r="AB642" i="12"/>
  <c r="AA642" i="12"/>
  <c r="Z642" i="12"/>
  <c r="Y642" i="12"/>
  <c r="X642" i="12"/>
  <c r="W642" i="12"/>
  <c r="V642" i="12"/>
  <c r="AC641" i="12"/>
  <c r="AB641" i="12"/>
  <c r="AA641" i="12"/>
  <c r="Z641" i="12"/>
  <c r="Y641" i="12"/>
  <c r="X641" i="12"/>
  <c r="W641" i="12"/>
  <c r="V641" i="12"/>
  <c r="AC640" i="12"/>
  <c r="AB640" i="12"/>
  <c r="AA640" i="12"/>
  <c r="Z640" i="12"/>
  <c r="Y640" i="12"/>
  <c r="X640" i="12"/>
  <c r="W640" i="12"/>
  <c r="V640" i="12"/>
  <c r="AC639" i="12"/>
  <c r="AB639" i="12"/>
  <c r="AA639" i="12"/>
  <c r="Z639" i="12"/>
  <c r="Y639" i="12"/>
  <c r="X639" i="12"/>
  <c r="W639" i="12"/>
  <c r="V639" i="12"/>
  <c r="AC638" i="12"/>
  <c r="AB638" i="12"/>
  <c r="AA638" i="12"/>
  <c r="Z638" i="12"/>
  <c r="Y638" i="12"/>
  <c r="X638" i="12"/>
  <c r="W638" i="12"/>
  <c r="V638" i="12"/>
  <c r="AC637" i="12"/>
  <c r="AB637" i="12"/>
  <c r="AA637" i="12"/>
  <c r="Z637" i="12"/>
  <c r="Y637" i="12"/>
  <c r="X637" i="12"/>
  <c r="W637" i="12"/>
  <c r="V637" i="12"/>
  <c r="AC636" i="12"/>
  <c r="AB636" i="12"/>
  <c r="AA636" i="12"/>
  <c r="Z636" i="12"/>
  <c r="Y636" i="12"/>
  <c r="X636" i="12"/>
  <c r="W636" i="12"/>
  <c r="V636" i="12"/>
  <c r="AC635" i="12"/>
  <c r="AB635" i="12"/>
  <c r="AA635" i="12"/>
  <c r="Z635" i="12"/>
  <c r="Y635" i="12"/>
  <c r="X635" i="12"/>
  <c r="W635" i="12"/>
  <c r="V635" i="12"/>
  <c r="AC634" i="12"/>
  <c r="AB634" i="12"/>
  <c r="AA634" i="12"/>
  <c r="Z634" i="12"/>
  <c r="Y634" i="12"/>
  <c r="X634" i="12"/>
  <c r="W634" i="12"/>
  <c r="V634" i="12"/>
  <c r="AC633" i="12"/>
  <c r="AB633" i="12"/>
  <c r="AA633" i="12"/>
  <c r="Z633" i="12"/>
  <c r="Y633" i="12"/>
  <c r="X633" i="12"/>
  <c r="W633" i="12"/>
  <c r="V633" i="12"/>
  <c r="AC632" i="12"/>
  <c r="AB632" i="12"/>
  <c r="AA632" i="12"/>
  <c r="Z632" i="12"/>
  <c r="Y632" i="12"/>
  <c r="X632" i="12"/>
  <c r="W632" i="12"/>
  <c r="V632" i="12"/>
  <c r="AC631" i="12"/>
  <c r="AB631" i="12"/>
  <c r="AA631" i="12"/>
  <c r="Z631" i="12"/>
  <c r="Y631" i="12"/>
  <c r="X631" i="12"/>
  <c r="W631" i="12"/>
  <c r="V631" i="12"/>
  <c r="AC630" i="12"/>
  <c r="AB630" i="12"/>
  <c r="AA630" i="12"/>
  <c r="Z630" i="12"/>
  <c r="Y630" i="12"/>
  <c r="X630" i="12"/>
  <c r="W630" i="12"/>
  <c r="V630" i="12"/>
  <c r="AC629" i="12"/>
  <c r="AB629" i="12"/>
  <c r="AA629" i="12"/>
  <c r="Z629" i="12"/>
  <c r="Y629" i="12"/>
  <c r="X629" i="12"/>
  <c r="W629" i="12"/>
  <c r="V629" i="12"/>
  <c r="AC628" i="12"/>
  <c r="AB628" i="12"/>
  <c r="AA628" i="12"/>
  <c r="Z628" i="12"/>
  <c r="Y628" i="12"/>
  <c r="X628" i="12"/>
  <c r="W628" i="12"/>
  <c r="V628" i="12"/>
  <c r="AC627" i="12"/>
  <c r="AB627" i="12"/>
  <c r="AA627" i="12"/>
  <c r="Z627" i="12"/>
  <c r="Y627" i="12"/>
  <c r="X627" i="12"/>
  <c r="W627" i="12"/>
  <c r="V627" i="12"/>
  <c r="AC626" i="12"/>
  <c r="AB626" i="12"/>
  <c r="AA626" i="12"/>
  <c r="Z626" i="12"/>
  <c r="Y626" i="12"/>
  <c r="X626" i="12"/>
  <c r="W626" i="12"/>
  <c r="V626" i="12"/>
  <c r="AC625" i="12"/>
  <c r="AB625" i="12"/>
  <c r="AA625" i="12"/>
  <c r="Z625" i="12"/>
  <c r="Y625" i="12"/>
  <c r="X625" i="12"/>
  <c r="W625" i="12"/>
  <c r="V625" i="12"/>
  <c r="AC624" i="12"/>
  <c r="AB624" i="12"/>
  <c r="AA624" i="12"/>
  <c r="Z624" i="12"/>
  <c r="Y624" i="12"/>
  <c r="X624" i="12"/>
  <c r="W624" i="12"/>
  <c r="V624" i="12"/>
  <c r="AC623" i="12"/>
  <c r="AB623" i="12"/>
  <c r="AA623" i="12"/>
  <c r="Z623" i="12"/>
  <c r="Y623" i="12"/>
  <c r="X623" i="12"/>
  <c r="W623" i="12"/>
  <c r="V623" i="12"/>
  <c r="AC622" i="12"/>
  <c r="AB622" i="12"/>
  <c r="AA622" i="12"/>
  <c r="Z622" i="12"/>
  <c r="Y622" i="12"/>
  <c r="X622" i="12"/>
  <c r="W622" i="12"/>
  <c r="V622" i="12"/>
  <c r="AC621" i="12"/>
  <c r="AB621" i="12"/>
  <c r="AA621" i="12"/>
  <c r="Z621" i="12"/>
  <c r="Y621" i="12"/>
  <c r="X621" i="12"/>
  <c r="W621" i="12"/>
  <c r="V621" i="12"/>
  <c r="AC620" i="12"/>
  <c r="AB620" i="12"/>
  <c r="AA620" i="12"/>
  <c r="Z620" i="12"/>
  <c r="Y620" i="12"/>
  <c r="X620" i="12"/>
  <c r="W620" i="12"/>
  <c r="V620" i="12"/>
  <c r="AC619" i="12"/>
  <c r="AB619" i="12"/>
  <c r="AA619" i="12"/>
  <c r="Z619" i="12"/>
  <c r="Y619" i="12"/>
  <c r="X619" i="12"/>
  <c r="W619" i="12"/>
  <c r="V619" i="12"/>
  <c r="AC618" i="12"/>
  <c r="AB618" i="12"/>
  <c r="AA618" i="12"/>
  <c r="Z618" i="12"/>
  <c r="Y618" i="12"/>
  <c r="X618" i="12"/>
  <c r="W618" i="12"/>
  <c r="V618" i="12"/>
  <c r="AC617" i="12"/>
  <c r="AB617" i="12"/>
  <c r="AA617" i="12"/>
  <c r="Z617" i="12"/>
  <c r="Y617" i="12"/>
  <c r="X617" i="12"/>
  <c r="W617" i="12"/>
  <c r="V617" i="12"/>
  <c r="AC616" i="12"/>
  <c r="AB616" i="12"/>
  <c r="AA616" i="12"/>
  <c r="Z616" i="12"/>
  <c r="Y616" i="12"/>
  <c r="X616" i="12"/>
  <c r="W616" i="12"/>
  <c r="V616" i="12"/>
  <c r="AC615" i="12"/>
  <c r="AB615" i="12"/>
  <c r="AA615" i="12"/>
  <c r="Z615" i="12"/>
  <c r="Y615" i="12"/>
  <c r="X615" i="12"/>
  <c r="W615" i="12"/>
  <c r="V615" i="12"/>
  <c r="AC614" i="12"/>
  <c r="AB614" i="12"/>
  <c r="AA614" i="12"/>
  <c r="Z614" i="12"/>
  <c r="Y614" i="12"/>
  <c r="X614" i="12"/>
  <c r="W614" i="12"/>
  <c r="V614" i="12"/>
  <c r="AC613" i="12"/>
  <c r="AB613" i="12"/>
  <c r="AA613" i="12"/>
  <c r="Z613" i="12"/>
  <c r="Y613" i="12"/>
  <c r="X613" i="12"/>
  <c r="W613" i="12"/>
  <c r="V613" i="12"/>
  <c r="AC612" i="12"/>
  <c r="AB612" i="12"/>
  <c r="AA612" i="12"/>
  <c r="Z612" i="12"/>
  <c r="Y612" i="12"/>
  <c r="X612" i="12"/>
  <c r="W612" i="12"/>
  <c r="V612" i="12"/>
  <c r="AC611" i="12"/>
  <c r="AB611" i="12"/>
  <c r="AA611" i="12"/>
  <c r="Z611" i="12"/>
  <c r="Y611" i="12"/>
  <c r="X611" i="12"/>
  <c r="W611" i="12"/>
  <c r="V611" i="12"/>
  <c r="AC610" i="12"/>
  <c r="AB610" i="12"/>
  <c r="AA610" i="12"/>
  <c r="Z610" i="12"/>
  <c r="Y610" i="12"/>
  <c r="X610" i="12"/>
  <c r="W610" i="12"/>
  <c r="V610" i="12"/>
  <c r="AC609" i="12"/>
  <c r="AB609" i="12"/>
  <c r="AA609" i="12"/>
  <c r="Z609" i="12"/>
  <c r="Y609" i="12"/>
  <c r="X609" i="12"/>
  <c r="W609" i="12"/>
  <c r="V609" i="12"/>
  <c r="AC608" i="12"/>
  <c r="AB608" i="12"/>
  <c r="AA608" i="12"/>
  <c r="Z608" i="12"/>
  <c r="Y608" i="12"/>
  <c r="X608" i="12"/>
  <c r="W608" i="12"/>
  <c r="V608" i="12"/>
  <c r="AC607" i="12"/>
  <c r="AB607" i="12"/>
  <c r="AA607" i="12"/>
  <c r="Z607" i="12"/>
  <c r="Y607" i="12"/>
  <c r="X607" i="12"/>
  <c r="W607" i="12"/>
  <c r="V607" i="12"/>
  <c r="AC606" i="12"/>
  <c r="AB606" i="12"/>
  <c r="AA606" i="12"/>
  <c r="Z606" i="12"/>
  <c r="Y606" i="12"/>
  <c r="X606" i="12"/>
  <c r="W606" i="12"/>
  <c r="V606" i="12"/>
  <c r="AC605" i="12"/>
  <c r="AB605" i="12"/>
  <c r="AA605" i="12"/>
  <c r="Z605" i="12"/>
  <c r="Y605" i="12"/>
  <c r="X605" i="12"/>
  <c r="W605" i="12"/>
  <c r="V605" i="12"/>
  <c r="AC604" i="12"/>
  <c r="AB604" i="12"/>
  <c r="AA604" i="12"/>
  <c r="Z604" i="12"/>
  <c r="Y604" i="12"/>
  <c r="X604" i="12"/>
  <c r="W604" i="12"/>
  <c r="V604" i="12"/>
  <c r="AC603" i="12"/>
  <c r="AB603" i="12"/>
  <c r="AA603" i="12"/>
  <c r="Z603" i="12"/>
  <c r="Y603" i="12"/>
  <c r="X603" i="12"/>
  <c r="W603" i="12"/>
  <c r="V603" i="12"/>
  <c r="AC602" i="12"/>
  <c r="AB602" i="12"/>
  <c r="AA602" i="12"/>
  <c r="Z602" i="12"/>
  <c r="Y602" i="12"/>
  <c r="X602" i="12"/>
  <c r="W602" i="12"/>
  <c r="V602" i="12"/>
  <c r="AC601" i="12"/>
  <c r="AB601" i="12"/>
  <c r="AA601" i="12"/>
  <c r="Z601" i="12"/>
  <c r="Y601" i="12"/>
  <c r="X601" i="12"/>
  <c r="W601" i="12"/>
  <c r="V601" i="12"/>
  <c r="AC600" i="12"/>
  <c r="AB600" i="12"/>
  <c r="AA600" i="12"/>
  <c r="Z600" i="12"/>
  <c r="Y600" i="12"/>
  <c r="X600" i="12"/>
  <c r="W600" i="12"/>
  <c r="V600" i="12"/>
  <c r="AC599" i="12"/>
  <c r="AB599" i="12"/>
  <c r="AA599" i="12"/>
  <c r="Z599" i="12"/>
  <c r="Y599" i="12"/>
  <c r="X599" i="12"/>
  <c r="W599" i="12"/>
  <c r="V599" i="12"/>
  <c r="AC598" i="12"/>
  <c r="AB598" i="12"/>
  <c r="AA598" i="12"/>
  <c r="Z598" i="12"/>
  <c r="Y598" i="12"/>
  <c r="X598" i="12"/>
  <c r="W598" i="12"/>
  <c r="V598" i="12"/>
  <c r="AC597" i="12"/>
  <c r="AB597" i="12"/>
  <c r="AA597" i="12"/>
  <c r="Z597" i="12"/>
  <c r="Y597" i="12"/>
  <c r="X597" i="12"/>
  <c r="W597" i="12"/>
  <c r="V597" i="12"/>
  <c r="AC596" i="12"/>
  <c r="AB596" i="12"/>
  <c r="AA596" i="12"/>
  <c r="Z596" i="12"/>
  <c r="Y596" i="12"/>
  <c r="X596" i="12"/>
  <c r="W596" i="12"/>
  <c r="V596" i="12"/>
  <c r="AC595" i="12"/>
  <c r="AB595" i="12"/>
  <c r="AA595" i="12"/>
  <c r="Z595" i="12"/>
  <c r="Y595" i="12"/>
  <c r="X595" i="12"/>
  <c r="W595" i="12"/>
  <c r="V595" i="12"/>
  <c r="AC594" i="12"/>
  <c r="AB594" i="12"/>
  <c r="AA594" i="12"/>
  <c r="Z594" i="12"/>
  <c r="Y594" i="12"/>
  <c r="X594" i="12"/>
  <c r="W594" i="12"/>
  <c r="V594" i="12"/>
  <c r="AC593" i="12"/>
  <c r="AB593" i="12"/>
  <c r="AA593" i="12"/>
  <c r="Z593" i="12"/>
  <c r="Y593" i="12"/>
  <c r="X593" i="12"/>
  <c r="W593" i="12"/>
  <c r="V593" i="12"/>
  <c r="AC592" i="12"/>
  <c r="AB592" i="12"/>
  <c r="AA592" i="12"/>
  <c r="Z592" i="12"/>
  <c r="Y592" i="12"/>
  <c r="X592" i="12"/>
  <c r="W592" i="12"/>
  <c r="V592" i="12"/>
  <c r="AC591" i="12"/>
  <c r="AB591" i="12"/>
  <c r="AA591" i="12"/>
  <c r="Z591" i="12"/>
  <c r="Y591" i="12"/>
  <c r="X591" i="12"/>
  <c r="W591" i="12"/>
  <c r="V591" i="12"/>
  <c r="AC590" i="12"/>
  <c r="AB590" i="12"/>
  <c r="AA590" i="12"/>
  <c r="Z590" i="12"/>
  <c r="Y590" i="12"/>
  <c r="X590" i="12"/>
  <c r="W590" i="12"/>
  <c r="V590" i="12"/>
  <c r="AC589" i="12"/>
  <c r="AB589" i="12"/>
  <c r="AA589" i="12"/>
  <c r="Z589" i="12"/>
  <c r="Y589" i="12"/>
  <c r="X589" i="12"/>
  <c r="W589" i="12"/>
  <c r="V589" i="12"/>
  <c r="AC588" i="12"/>
  <c r="AB588" i="12"/>
  <c r="AA588" i="12"/>
  <c r="Z588" i="12"/>
  <c r="Y588" i="12"/>
  <c r="X588" i="12"/>
  <c r="W588" i="12"/>
  <c r="V588" i="12"/>
  <c r="AC587" i="12"/>
  <c r="AB587" i="12"/>
  <c r="AA587" i="12"/>
  <c r="Z587" i="12"/>
  <c r="Y587" i="12"/>
  <c r="X587" i="12"/>
  <c r="W587" i="12"/>
  <c r="V587" i="12"/>
  <c r="AC586" i="12"/>
  <c r="AB586" i="12"/>
  <c r="AA586" i="12"/>
  <c r="Z586" i="12"/>
  <c r="Y586" i="12"/>
  <c r="X586" i="12"/>
  <c r="W586" i="12"/>
  <c r="V586" i="12"/>
  <c r="AC585" i="12"/>
  <c r="AB585" i="12"/>
  <c r="AA585" i="12"/>
  <c r="Z585" i="12"/>
  <c r="Y585" i="12"/>
  <c r="X585" i="12"/>
  <c r="W585" i="12"/>
  <c r="V585" i="12"/>
  <c r="AC584" i="12"/>
  <c r="AB584" i="12"/>
  <c r="AA584" i="12"/>
  <c r="Z584" i="12"/>
  <c r="Y584" i="12"/>
  <c r="X584" i="12"/>
  <c r="W584" i="12"/>
  <c r="V584" i="12"/>
  <c r="AC583" i="12"/>
  <c r="AB583" i="12"/>
  <c r="AA583" i="12"/>
  <c r="Z583" i="12"/>
  <c r="Y583" i="12"/>
  <c r="X583" i="12"/>
  <c r="W583" i="12"/>
  <c r="V583" i="12"/>
  <c r="AC582" i="12"/>
  <c r="AB582" i="12"/>
  <c r="AA582" i="12"/>
  <c r="Z582" i="12"/>
  <c r="Y582" i="12"/>
  <c r="X582" i="12"/>
  <c r="W582" i="12"/>
  <c r="V582" i="12"/>
  <c r="AC581" i="12"/>
  <c r="AB581" i="12"/>
  <c r="AA581" i="12"/>
  <c r="Z581" i="12"/>
  <c r="Y581" i="12"/>
  <c r="X581" i="12"/>
  <c r="W581" i="12"/>
  <c r="V581" i="12"/>
  <c r="AC580" i="12"/>
  <c r="AB580" i="12"/>
  <c r="AA580" i="12"/>
  <c r="Z580" i="12"/>
  <c r="Y580" i="12"/>
  <c r="X580" i="12"/>
  <c r="W580" i="12"/>
  <c r="V580" i="12"/>
  <c r="AC579" i="12"/>
  <c r="AB579" i="12"/>
  <c r="AA579" i="12"/>
  <c r="Z579" i="12"/>
  <c r="Y579" i="12"/>
  <c r="X579" i="12"/>
  <c r="W579" i="12"/>
  <c r="V579" i="12"/>
  <c r="AC578" i="12"/>
  <c r="AB578" i="12"/>
  <c r="AA578" i="12"/>
  <c r="Z578" i="12"/>
  <c r="Y578" i="12"/>
  <c r="X578" i="12"/>
  <c r="W578" i="12"/>
  <c r="V578" i="12"/>
  <c r="AC577" i="12"/>
  <c r="AB577" i="12"/>
  <c r="AA577" i="12"/>
  <c r="Z577" i="12"/>
  <c r="Y577" i="12"/>
  <c r="X577" i="12"/>
  <c r="W577" i="12"/>
  <c r="V577" i="12"/>
  <c r="AC576" i="12"/>
  <c r="AB576" i="12"/>
  <c r="AA576" i="12"/>
  <c r="Z576" i="12"/>
  <c r="Y576" i="12"/>
  <c r="X576" i="12"/>
  <c r="W576" i="12"/>
  <c r="V576" i="12"/>
  <c r="AC575" i="12"/>
  <c r="AB575" i="12"/>
  <c r="AA575" i="12"/>
  <c r="Z575" i="12"/>
  <c r="Y575" i="12"/>
  <c r="X575" i="12"/>
  <c r="W575" i="12"/>
  <c r="V575" i="12"/>
  <c r="AC574" i="12"/>
  <c r="AB574" i="12"/>
  <c r="AA574" i="12"/>
  <c r="Z574" i="12"/>
  <c r="Y574" i="12"/>
  <c r="X574" i="12"/>
  <c r="W574" i="12"/>
  <c r="V574" i="12"/>
  <c r="AC573" i="12"/>
  <c r="AB573" i="12"/>
  <c r="AA573" i="12"/>
  <c r="Z573" i="12"/>
  <c r="Y573" i="12"/>
  <c r="X573" i="12"/>
  <c r="W573" i="12"/>
  <c r="V573" i="12"/>
  <c r="AC572" i="12"/>
  <c r="AB572" i="12"/>
  <c r="AA572" i="12"/>
  <c r="Z572" i="12"/>
  <c r="Y572" i="12"/>
  <c r="X572" i="12"/>
  <c r="W572" i="12"/>
  <c r="V572" i="12"/>
  <c r="AC571" i="12"/>
  <c r="AB571" i="12"/>
  <c r="AA571" i="12"/>
  <c r="Z571" i="12"/>
  <c r="Y571" i="12"/>
  <c r="X571" i="12"/>
  <c r="W571" i="12"/>
  <c r="V571" i="12"/>
  <c r="AC570" i="12"/>
  <c r="AB570" i="12"/>
  <c r="AA570" i="12"/>
  <c r="Z570" i="12"/>
  <c r="Y570" i="12"/>
  <c r="X570" i="12"/>
  <c r="W570" i="12"/>
  <c r="V570" i="12"/>
  <c r="AC569" i="12"/>
  <c r="AB569" i="12"/>
  <c r="AA569" i="12"/>
  <c r="Z569" i="12"/>
  <c r="Y569" i="12"/>
  <c r="X569" i="12"/>
  <c r="W569" i="12"/>
  <c r="V569" i="12"/>
  <c r="AC568" i="12"/>
  <c r="AB568" i="12"/>
  <c r="AA568" i="12"/>
  <c r="Z568" i="12"/>
  <c r="Y568" i="12"/>
  <c r="X568" i="12"/>
  <c r="W568" i="12"/>
  <c r="V568" i="12"/>
  <c r="AC567" i="12"/>
  <c r="AB567" i="12"/>
  <c r="AA567" i="12"/>
  <c r="Z567" i="12"/>
  <c r="Y567" i="12"/>
  <c r="X567" i="12"/>
  <c r="W567" i="12"/>
  <c r="V567" i="12"/>
  <c r="AC566" i="12"/>
  <c r="AB566" i="12"/>
  <c r="AA566" i="12"/>
  <c r="Z566" i="12"/>
  <c r="Y566" i="12"/>
  <c r="X566" i="12"/>
  <c r="W566" i="12"/>
  <c r="V566" i="12"/>
  <c r="AC565" i="12"/>
  <c r="AB565" i="12"/>
  <c r="AA565" i="12"/>
  <c r="Z565" i="12"/>
  <c r="Y565" i="12"/>
  <c r="X565" i="12"/>
  <c r="W565" i="12"/>
  <c r="V565" i="12"/>
  <c r="AC564" i="12"/>
  <c r="AB564" i="12"/>
  <c r="AA564" i="12"/>
  <c r="Z564" i="12"/>
  <c r="Y564" i="12"/>
  <c r="X564" i="12"/>
  <c r="W564" i="12"/>
  <c r="V564" i="12"/>
  <c r="AC563" i="12"/>
  <c r="AB563" i="12"/>
  <c r="AA563" i="12"/>
  <c r="Z563" i="12"/>
  <c r="Y563" i="12"/>
  <c r="X563" i="12"/>
  <c r="W563" i="12"/>
  <c r="V563" i="12"/>
  <c r="AC562" i="12"/>
  <c r="AB562" i="12"/>
  <c r="AA562" i="12"/>
  <c r="Z562" i="12"/>
  <c r="Y562" i="12"/>
  <c r="X562" i="12"/>
  <c r="W562" i="12"/>
  <c r="V562" i="12"/>
  <c r="AC561" i="12"/>
  <c r="AB561" i="12"/>
  <c r="AA561" i="12"/>
  <c r="Z561" i="12"/>
  <c r="Y561" i="12"/>
  <c r="X561" i="12"/>
  <c r="W561" i="12"/>
  <c r="V561" i="12"/>
  <c r="AC560" i="12"/>
  <c r="AB560" i="12"/>
  <c r="AA560" i="12"/>
  <c r="Z560" i="12"/>
  <c r="Y560" i="12"/>
  <c r="X560" i="12"/>
  <c r="W560" i="12"/>
  <c r="V560" i="12"/>
  <c r="AC559" i="12"/>
  <c r="AB559" i="12"/>
  <c r="AA559" i="12"/>
  <c r="Z559" i="12"/>
  <c r="Y559" i="12"/>
  <c r="X559" i="12"/>
  <c r="W559" i="12"/>
  <c r="V559" i="12"/>
  <c r="AC558" i="12"/>
  <c r="AB558" i="12"/>
  <c r="AA558" i="12"/>
  <c r="Z558" i="12"/>
  <c r="Y558" i="12"/>
  <c r="X558" i="12"/>
  <c r="W558" i="12"/>
  <c r="V558" i="12"/>
  <c r="AC557" i="12"/>
  <c r="AB557" i="12"/>
  <c r="AA557" i="12"/>
  <c r="Z557" i="12"/>
  <c r="Y557" i="12"/>
  <c r="X557" i="12"/>
  <c r="W557" i="12"/>
  <c r="V557" i="12"/>
  <c r="AC556" i="12"/>
  <c r="AB556" i="12"/>
  <c r="AA556" i="12"/>
  <c r="Z556" i="12"/>
  <c r="Y556" i="12"/>
  <c r="X556" i="12"/>
  <c r="W556" i="12"/>
  <c r="V556" i="12"/>
  <c r="AC555" i="12"/>
  <c r="AB555" i="12"/>
  <c r="AA555" i="12"/>
  <c r="Z555" i="12"/>
  <c r="Y555" i="12"/>
  <c r="X555" i="12"/>
  <c r="W555" i="12"/>
  <c r="V555" i="12"/>
  <c r="AC554" i="12"/>
  <c r="AB554" i="12"/>
  <c r="AA554" i="12"/>
  <c r="Z554" i="12"/>
  <c r="Y554" i="12"/>
  <c r="X554" i="12"/>
  <c r="W554" i="12"/>
  <c r="V554" i="12"/>
  <c r="AC553" i="12"/>
  <c r="AB553" i="12"/>
  <c r="AA553" i="12"/>
  <c r="Z553" i="12"/>
  <c r="Y553" i="12"/>
  <c r="X553" i="12"/>
  <c r="W553" i="12"/>
  <c r="V553" i="12"/>
  <c r="AC552" i="12"/>
  <c r="AB552" i="12"/>
  <c r="AA552" i="12"/>
  <c r="Z552" i="12"/>
  <c r="Y552" i="12"/>
  <c r="X552" i="12"/>
  <c r="W552" i="12"/>
  <c r="V552" i="12"/>
  <c r="AC551" i="12"/>
  <c r="AB551" i="12"/>
  <c r="AA551" i="12"/>
  <c r="Z551" i="12"/>
  <c r="Y551" i="12"/>
  <c r="X551" i="12"/>
  <c r="W551" i="12"/>
  <c r="V551" i="12"/>
  <c r="AC550" i="12"/>
  <c r="AB550" i="12"/>
  <c r="AA550" i="12"/>
  <c r="Z550" i="12"/>
  <c r="Y550" i="12"/>
  <c r="X550" i="12"/>
  <c r="W550" i="12"/>
  <c r="V550" i="12"/>
  <c r="AC549" i="12"/>
  <c r="AB549" i="12"/>
  <c r="AA549" i="12"/>
  <c r="Z549" i="12"/>
  <c r="Y549" i="12"/>
  <c r="X549" i="12"/>
  <c r="W549" i="12"/>
  <c r="V549" i="12"/>
  <c r="AC548" i="12"/>
  <c r="AB548" i="12"/>
  <c r="AA548" i="12"/>
  <c r="Z548" i="12"/>
  <c r="Y548" i="12"/>
  <c r="X548" i="12"/>
  <c r="W548" i="12"/>
  <c r="V548" i="12"/>
  <c r="AC547" i="12"/>
  <c r="AB547" i="12"/>
  <c r="AA547" i="12"/>
  <c r="Z547" i="12"/>
  <c r="Y547" i="12"/>
  <c r="X547" i="12"/>
  <c r="W547" i="12"/>
  <c r="V547" i="12"/>
  <c r="AC546" i="12"/>
  <c r="AB546" i="12"/>
  <c r="AA546" i="12"/>
  <c r="Z546" i="12"/>
  <c r="Y546" i="12"/>
  <c r="X546" i="12"/>
  <c r="W546" i="12"/>
  <c r="V546" i="12"/>
  <c r="AC545" i="12"/>
  <c r="AB545" i="12"/>
  <c r="AA545" i="12"/>
  <c r="Z545" i="12"/>
  <c r="Y545" i="12"/>
  <c r="X545" i="12"/>
  <c r="W545" i="12"/>
  <c r="V545" i="12"/>
  <c r="AC544" i="12"/>
  <c r="AB544" i="12"/>
  <c r="AA544" i="12"/>
  <c r="Z544" i="12"/>
  <c r="Y544" i="12"/>
  <c r="X544" i="12"/>
  <c r="W544" i="12"/>
  <c r="V544" i="12"/>
  <c r="AC543" i="12"/>
  <c r="AB543" i="12"/>
  <c r="AA543" i="12"/>
  <c r="Z543" i="12"/>
  <c r="Y543" i="12"/>
  <c r="X543" i="12"/>
  <c r="W543" i="12"/>
  <c r="V543" i="12"/>
  <c r="AC542" i="12"/>
  <c r="AB542" i="12"/>
  <c r="AA542" i="12"/>
  <c r="Z542" i="12"/>
  <c r="Y542" i="12"/>
  <c r="X542" i="12"/>
  <c r="W542" i="12"/>
  <c r="V542" i="12"/>
  <c r="AC541" i="12"/>
  <c r="AB541" i="12"/>
  <c r="AA541" i="12"/>
  <c r="Z541" i="12"/>
  <c r="Y541" i="12"/>
  <c r="X541" i="12"/>
  <c r="W541" i="12"/>
  <c r="V541" i="12"/>
  <c r="AC540" i="12"/>
  <c r="AB540" i="12"/>
  <c r="AA540" i="12"/>
  <c r="Z540" i="12"/>
  <c r="Y540" i="12"/>
  <c r="X540" i="12"/>
  <c r="W540" i="12"/>
  <c r="V540" i="12"/>
  <c r="AC539" i="12"/>
  <c r="AB539" i="12"/>
  <c r="AA539" i="12"/>
  <c r="Z539" i="12"/>
  <c r="Y539" i="12"/>
  <c r="X539" i="12"/>
  <c r="W539" i="12"/>
  <c r="V539" i="12"/>
  <c r="AC538" i="12"/>
  <c r="AB538" i="12"/>
  <c r="AA538" i="12"/>
  <c r="Z538" i="12"/>
  <c r="Y538" i="12"/>
  <c r="X538" i="12"/>
  <c r="W538" i="12"/>
  <c r="V538" i="12"/>
  <c r="AC537" i="12"/>
  <c r="AB537" i="12"/>
  <c r="AA537" i="12"/>
  <c r="Z537" i="12"/>
  <c r="Y537" i="12"/>
  <c r="X537" i="12"/>
  <c r="W537" i="12"/>
  <c r="V537" i="12"/>
  <c r="AC536" i="12"/>
  <c r="AB536" i="12"/>
  <c r="AA536" i="12"/>
  <c r="Z536" i="12"/>
  <c r="Y536" i="12"/>
  <c r="X536" i="12"/>
  <c r="W536" i="12"/>
  <c r="V536" i="12"/>
  <c r="AC535" i="12"/>
  <c r="AB535" i="12"/>
  <c r="AA535" i="12"/>
  <c r="Z535" i="12"/>
  <c r="Y535" i="12"/>
  <c r="X535" i="12"/>
  <c r="W535" i="12"/>
  <c r="V535" i="12"/>
  <c r="AC534" i="12"/>
  <c r="AB534" i="12"/>
  <c r="AA534" i="12"/>
  <c r="Z534" i="12"/>
  <c r="Y534" i="12"/>
  <c r="X534" i="12"/>
  <c r="W534" i="12"/>
  <c r="V534" i="12"/>
  <c r="AC533" i="12"/>
  <c r="AB533" i="12"/>
  <c r="AA533" i="12"/>
  <c r="Z533" i="12"/>
  <c r="Y533" i="12"/>
  <c r="X533" i="12"/>
  <c r="W533" i="12"/>
  <c r="V533" i="12"/>
  <c r="AC532" i="12"/>
  <c r="AB532" i="12"/>
  <c r="AA532" i="12"/>
  <c r="Z532" i="12"/>
  <c r="Y532" i="12"/>
  <c r="X532" i="12"/>
  <c r="W532" i="12"/>
  <c r="V532" i="12"/>
  <c r="AC531" i="12"/>
  <c r="AB531" i="12"/>
  <c r="AA531" i="12"/>
  <c r="Z531" i="12"/>
  <c r="Y531" i="12"/>
  <c r="X531" i="12"/>
  <c r="W531" i="12"/>
  <c r="V531" i="12"/>
  <c r="AC530" i="12"/>
  <c r="AB530" i="12"/>
  <c r="AA530" i="12"/>
  <c r="Z530" i="12"/>
  <c r="Y530" i="12"/>
  <c r="X530" i="12"/>
  <c r="W530" i="12"/>
  <c r="V530" i="12"/>
  <c r="AC529" i="12"/>
  <c r="AB529" i="12"/>
  <c r="AA529" i="12"/>
  <c r="Z529" i="12"/>
  <c r="Y529" i="12"/>
  <c r="X529" i="12"/>
  <c r="W529" i="12"/>
  <c r="V529" i="12"/>
  <c r="AC528" i="12"/>
  <c r="AB528" i="12"/>
  <c r="AA528" i="12"/>
  <c r="Z528" i="12"/>
  <c r="Y528" i="12"/>
  <c r="X528" i="12"/>
  <c r="W528" i="12"/>
  <c r="V528" i="12"/>
  <c r="AC527" i="12"/>
  <c r="AB527" i="12"/>
  <c r="AA527" i="12"/>
  <c r="Z527" i="12"/>
  <c r="Y527" i="12"/>
  <c r="X527" i="12"/>
  <c r="W527" i="12"/>
  <c r="V527" i="12"/>
  <c r="AC526" i="12"/>
  <c r="AB526" i="12"/>
  <c r="AA526" i="12"/>
  <c r="Z526" i="12"/>
  <c r="Y526" i="12"/>
  <c r="X526" i="12"/>
  <c r="W526" i="12"/>
  <c r="V526" i="12"/>
  <c r="AC525" i="12"/>
  <c r="AB525" i="12"/>
  <c r="AA525" i="12"/>
  <c r="Z525" i="12"/>
  <c r="Y525" i="12"/>
  <c r="X525" i="12"/>
  <c r="W525" i="12"/>
  <c r="V525" i="12"/>
  <c r="AC524" i="12"/>
  <c r="AB524" i="12"/>
  <c r="AA524" i="12"/>
  <c r="Z524" i="12"/>
  <c r="Y524" i="12"/>
  <c r="X524" i="12"/>
  <c r="W524" i="12"/>
  <c r="V524" i="12"/>
  <c r="AC523" i="12"/>
  <c r="AB523" i="12"/>
  <c r="AA523" i="12"/>
  <c r="Z523" i="12"/>
  <c r="Y523" i="12"/>
  <c r="X523" i="12"/>
  <c r="W523" i="12"/>
  <c r="V523" i="12"/>
  <c r="AC522" i="12"/>
  <c r="AB522" i="12"/>
  <c r="AA522" i="12"/>
  <c r="Z522" i="12"/>
  <c r="Y522" i="12"/>
  <c r="X522" i="12"/>
  <c r="W522" i="12"/>
  <c r="V522" i="12"/>
  <c r="AC521" i="12"/>
  <c r="AB521" i="12"/>
  <c r="AA521" i="12"/>
  <c r="Z521" i="12"/>
  <c r="Y521" i="12"/>
  <c r="X521" i="12"/>
  <c r="W521" i="12"/>
  <c r="V521" i="12"/>
  <c r="AC520" i="12"/>
  <c r="AB520" i="12"/>
  <c r="AA520" i="12"/>
  <c r="Z520" i="12"/>
  <c r="Y520" i="12"/>
  <c r="X520" i="12"/>
  <c r="W520" i="12"/>
  <c r="V520" i="12"/>
  <c r="AC519" i="12"/>
  <c r="AB519" i="12"/>
  <c r="AA519" i="12"/>
  <c r="Z519" i="12"/>
  <c r="Y519" i="12"/>
  <c r="X519" i="12"/>
  <c r="W519" i="12"/>
  <c r="V519" i="12"/>
  <c r="AC518" i="12"/>
  <c r="AB518" i="12"/>
  <c r="AA518" i="12"/>
  <c r="Z518" i="12"/>
  <c r="Y518" i="12"/>
  <c r="X518" i="12"/>
  <c r="W518" i="12"/>
  <c r="V518" i="12"/>
  <c r="AC517" i="12"/>
  <c r="AB517" i="12"/>
  <c r="AA517" i="12"/>
  <c r="Z517" i="12"/>
  <c r="Y517" i="12"/>
  <c r="X517" i="12"/>
  <c r="W517" i="12"/>
  <c r="V517" i="12"/>
  <c r="AC516" i="12"/>
  <c r="AB516" i="12"/>
  <c r="AA516" i="12"/>
  <c r="Z516" i="12"/>
  <c r="Y516" i="12"/>
  <c r="X516" i="12"/>
  <c r="W516" i="12"/>
  <c r="V516" i="12"/>
  <c r="AC515" i="12"/>
  <c r="AB515" i="12"/>
  <c r="AA515" i="12"/>
  <c r="Z515" i="12"/>
  <c r="Y515" i="12"/>
  <c r="X515" i="12"/>
  <c r="W515" i="12"/>
  <c r="V515" i="12"/>
  <c r="AC514" i="12"/>
  <c r="AB514" i="12"/>
  <c r="AA514" i="12"/>
  <c r="Z514" i="12"/>
  <c r="Y514" i="12"/>
  <c r="X514" i="12"/>
  <c r="W514" i="12"/>
  <c r="V514" i="12"/>
  <c r="AC513" i="12"/>
  <c r="AB513" i="12"/>
  <c r="AA513" i="12"/>
  <c r="Z513" i="12"/>
  <c r="Y513" i="12"/>
  <c r="X513" i="12"/>
  <c r="W513" i="12"/>
  <c r="V513" i="12"/>
  <c r="AC512" i="12"/>
  <c r="AB512" i="12"/>
  <c r="AA512" i="12"/>
  <c r="Z512" i="12"/>
  <c r="Y512" i="12"/>
  <c r="X512" i="12"/>
  <c r="W512" i="12"/>
  <c r="V512" i="12"/>
  <c r="AC511" i="12"/>
  <c r="AB511" i="12"/>
  <c r="AA511" i="12"/>
  <c r="Z511" i="12"/>
  <c r="Y511" i="12"/>
  <c r="X511" i="12"/>
  <c r="W511" i="12"/>
  <c r="V511" i="12"/>
  <c r="AC510" i="12"/>
  <c r="AB510" i="12"/>
  <c r="AA510" i="12"/>
  <c r="Z510" i="12"/>
  <c r="Y510" i="12"/>
  <c r="X510" i="12"/>
  <c r="W510" i="12"/>
  <c r="V510" i="12"/>
  <c r="AC509" i="12"/>
  <c r="AB509" i="12"/>
  <c r="AA509" i="12"/>
  <c r="Z509" i="12"/>
  <c r="Y509" i="12"/>
  <c r="X509" i="12"/>
  <c r="W509" i="12"/>
  <c r="V509" i="12"/>
  <c r="AC508" i="12"/>
  <c r="AB508" i="12"/>
  <c r="AA508" i="12"/>
  <c r="Z508" i="12"/>
  <c r="Y508" i="12"/>
  <c r="X508" i="12"/>
  <c r="W508" i="12"/>
  <c r="V508" i="12"/>
  <c r="AC507" i="12"/>
  <c r="AB507" i="12"/>
  <c r="AA507" i="12"/>
  <c r="Z507" i="12"/>
  <c r="Y507" i="12"/>
  <c r="X507" i="12"/>
  <c r="W507" i="12"/>
  <c r="V507" i="12"/>
  <c r="AC506" i="12"/>
  <c r="AB506" i="12"/>
  <c r="AA506" i="12"/>
  <c r="Z506" i="12"/>
  <c r="Y506" i="12"/>
  <c r="X506" i="12"/>
  <c r="W506" i="12"/>
  <c r="V506" i="12"/>
  <c r="AC505" i="12"/>
  <c r="AB505" i="12"/>
  <c r="AA505" i="12"/>
  <c r="Z505" i="12"/>
  <c r="Y505" i="12"/>
  <c r="X505" i="12"/>
  <c r="W505" i="12"/>
  <c r="V505" i="12"/>
  <c r="AC504" i="12"/>
  <c r="AB504" i="12"/>
  <c r="AA504" i="12"/>
  <c r="Z504" i="12"/>
  <c r="Y504" i="12"/>
  <c r="X504" i="12"/>
  <c r="W504" i="12"/>
  <c r="V504" i="12"/>
  <c r="AC503" i="12"/>
  <c r="AB503" i="12"/>
  <c r="AA503" i="12"/>
  <c r="Z503" i="12"/>
  <c r="Y503" i="12"/>
  <c r="X503" i="12"/>
  <c r="W503" i="12"/>
  <c r="V503" i="12"/>
  <c r="AC502" i="12"/>
  <c r="AB502" i="12"/>
  <c r="AA502" i="12"/>
  <c r="Z502" i="12"/>
  <c r="Y502" i="12"/>
  <c r="X502" i="12"/>
  <c r="W502" i="12"/>
  <c r="V502" i="12"/>
  <c r="AC501" i="12"/>
  <c r="AB501" i="12"/>
  <c r="AA501" i="12"/>
  <c r="Z501" i="12"/>
  <c r="Y501" i="12"/>
  <c r="X501" i="12"/>
  <c r="W501" i="12"/>
  <c r="V501" i="12"/>
  <c r="AC500" i="12"/>
  <c r="AB500" i="12"/>
  <c r="AA500" i="12"/>
  <c r="Z500" i="12"/>
  <c r="Y500" i="12"/>
  <c r="X500" i="12"/>
  <c r="W500" i="12"/>
  <c r="V500" i="12"/>
  <c r="AC499" i="12"/>
  <c r="AB499" i="12"/>
  <c r="AA499" i="12"/>
  <c r="Z499" i="12"/>
  <c r="Y499" i="12"/>
  <c r="X499" i="12"/>
  <c r="W499" i="12"/>
  <c r="V499" i="12"/>
  <c r="AC498" i="12"/>
  <c r="AB498" i="12"/>
  <c r="AA498" i="12"/>
  <c r="Z498" i="12"/>
  <c r="Y498" i="12"/>
  <c r="X498" i="12"/>
  <c r="W498" i="12"/>
  <c r="V498" i="12"/>
  <c r="AC497" i="12"/>
  <c r="AB497" i="12"/>
  <c r="AA497" i="12"/>
  <c r="Z497" i="12"/>
  <c r="Y497" i="12"/>
  <c r="X497" i="12"/>
  <c r="W497" i="12"/>
  <c r="V497" i="12"/>
  <c r="AC496" i="12"/>
  <c r="AB496" i="12"/>
  <c r="AA496" i="12"/>
  <c r="Z496" i="12"/>
  <c r="Y496" i="12"/>
  <c r="X496" i="12"/>
  <c r="W496" i="12"/>
  <c r="V496" i="12"/>
  <c r="AC495" i="12"/>
  <c r="AB495" i="12"/>
  <c r="AA495" i="12"/>
  <c r="Z495" i="12"/>
  <c r="Y495" i="12"/>
  <c r="X495" i="12"/>
  <c r="W495" i="12"/>
  <c r="V495" i="12"/>
  <c r="AC494" i="12"/>
  <c r="AB494" i="12"/>
  <c r="AA494" i="12"/>
  <c r="Z494" i="12"/>
  <c r="Y494" i="12"/>
  <c r="X494" i="12"/>
  <c r="W494" i="12"/>
  <c r="V494" i="12"/>
  <c r="AC493" i="12"/>
  <c r="AB493" i="12"/>
  <c r="AA493" i="12"/>
  <c r="Z493" i="12"/>
  <c r="Y493" i="12"/>
  <c r="X493" i="12"/>
  <c r="W493" i="12"/>
  <c r="V493" i="12"/>
  <c r="AC492" i="12"/>
  <c r="AB492" i="12"/>
  <c r="AA492" i="12"/>
  <c r="Z492" i="12"/>
  <c r="Y492" i="12"/>
  <c r="X492" i="12"/>
  <c r="W492" i="12"/>
  <c r="V492" i="12"/>
  <c r="AC491" i="12"/>
  <c r="AB491" i="12"/>
  <c r="AA491" i="12"/>
  <c r="Z491" i="12"/>
  <c r="Y491" i="12"/>
  <c r="X491" i="12"/>
  <c r="W491" i="12"/>
  <c r="V491" i="12"/>
  <c r="AC490" i="12"/>
  <c r="AB490" i="12"/>
  <c r="AA490" i="12"/>
  <c r="Z490" i="12"/>
  <c r="Y490" i="12"/>
  <c r="X490" i="12"/>
  <c r="W490" i="12"/>
  <c r="V490" i="12"/>
  <c r="AC489" i="12"/>
  <c r="AB489" i="12"/>
  <c r="AA489" i="12"/>
  <c r="Z489" i="12"/>
  <c r="Y489" i="12"/>
  <c r="X489" i="12"/>
  <c r="W489" i="12"/>
  <c r="V489" i="12"/>
  <c r="AC488" i="12"/>
  <c r="AB488" i="12"/>
  <c r="AA488" i="12"/>
  <c r="Z488" i="12"/>
  <c r="Y488" i="12"/>
  <c r="X488" i="12"/>
  <c r="W488" i="12"/>
  <c r="V488" i="12"/>
  <c r="AC487" i="12"/>
  <c r="AB487" i="12"/>
  <c r="AA487" i="12"/>
  <c r="Z487" i="12"/>
  <c r="Y487" i="12"/>
  <c r="X487" i="12"/>
  <c r="W487" i="12"/>
  <c r="V487" i="12"/>
  <c r="AC486" i="12"/>
  <c r="AB486" i="12"/>
  <c r="AA486" i="12"/>
  <c r="Z486" i="12"/>
  <c r="Y486" i="12"/>
  <c r="X486" i="12"/>
  <c r="W486" i="12"/>
  <c r="V486" i="12"/>
  <c r="AC485" i="12"/>
  <c r="AB485" i="12"/>
  <c r="AA485" i="12"/>
  <c r="Z485" i="12"/>
  <c r="Y485" i="12"/>
  <c r="X485" i="12"/>
  <c r="W485" i="12"/>
  <c r="V485" i="12"/>
  <c r="AC484" i="12"/>
  <c r="AB484" i="12"/>
  <c r="AA484" i="12"/>
  <c r="Z484" i="12"/>
  <c r="Y484" i="12"/>
  <c r="X484" i="12"/>
  <c r="W484" i="12"/>
  <c r="V484" i="12"/>
  <c r="AC483" i="12"/>
  <c r="AB483" i="12"/>
  <c r="AA483" i="12"/>
  <c r="Z483" i="12"/>
  <c r="Y483" i="12"/>
  <c r="X483" i="12"/>
  <c r="W483" i="12"/>
  <c r="V483" i="12"/>
  <c r="AC482" i="12"/>
  <c r="AB482" i="12"/>
  <c r="AA482" i="12"/>
  <c r="Z482" i="12"/>
  <c r="Y482" i="12"/>
  <c r="X482" i="12"/>
  <c r="W482" i="12"/>
  <c r="V482" i="12"/>
  <c r="AC481" i="12"/>
  <c r="AB481" i="12"/>
  <c r="AA481" i="12"/>
  <c r="Z481" i="12"/>
  <c r="Y481" i="12"/>
  <c r="X481" i="12"/>
  <c r="W481" i="12"/>
  <c r="V481" i="12"/>
  <c r="AC480" i="12"/>
  <c r="AB480" i="12"/>
  <c r="AA480" i="12"/>
  <c r="Z480" i="12"/>
  <c r="Y480" i="12"/>
  <c r="X480" i="12"/>
  <c r="W480" i="12"/>
  <c r="V480" i="12"/>
  <c r="AC479" i="12"/>
  <c r="AB479" i="12"/>
  <c r="AA479" i="12"/>
  <c r="Z479" i="12"/>
  <c r="Y479" i="12"/>
  <c r="X479" i="12"/>
  <c r="W479" i="12"/>
  <c r="V479" i="12"/>
  <c r="AC478" i="12"/>
  <c r="AB478" i="12"/>
  <c r="AA478" i="12"/>
  <c r="Z478" i="12"/>
  <c r="Y478" i="12"/>
  <c r="X478" i="12"/>
  <c r="W478" i="12"/>
  <c r="V478" i="12"/>
  <c r="AC477" i="12"/>
  <c r="AB477" i="12"/>
  <c r="AA477" i="12"/>
  <c r="Z477" i="12"/>
  <c r="Y477" i="12"/>
  <c r="X477" i="12"/>
  <c r="W477" i="12"/>
  <c r="V477" i="12"/>
  <c r="AC476" i="12"/>
  <c r="AB476" i="12"/>
  <c r="AA476" i="12"/>
  <c r="Z476" i="12"/>
  <c r="Y476" i="12"/>
  <c r="X476" i="12"/>
  <c r="W476" i="12"/>
  <c r="V476" i="12"/>
  <c r="AC475" i="12"/>
  <c r="AB475" i="12"/>
  <c r="AA475" i="12"/>
  <c r="Z475" i="12"/>
  <c r="Y475" i="12"/>
  <c r="X475" i="12"/>
  <c r="W475" i="12"/>
  <c r="V475" i="12"/>
  <c r="AC474" i="12"/>
  <c r="AB474" i="12"/>
  <c r="AA474" i="12"/>
  <c r="Z474" i="12"/>
  <c r="Y474" i="12"/>
  <c r="X474" i="12"/>
  <c r="W474" i="12"/>
  <c r="V474" i="12"/>
  <c r="AC473" i="12"/>
  <c r="AB473" i="12"/>
  <c r="AA473" i="12"/>
  <c r="Z473" i="12"/>
  <c r="Y473" i="12"/>
  <c r="X473" i="12"/>
  <c r="W473" i="12"/>
  <c r="V473" i="12"/>
  <c r="AC472" i="12"/>
  <c r="AB472" i="12"/>
  <c r="AA472" i="12"/>
  <c r="Z472" i="12"/>
  <c r="Y472" i="12"/>
  <c r="X472" i="12"/>
  <c r="W472" i="12"/>
  <c r="V472" i="12"/>
  <c r="AC471" i="12"/>
  <c r="AB471" i="12"/>
  <c r="AA471" i="12"/>
  <c r="Z471" i="12"/>
  <c r="Y471" i="12"/>
  <c r="X471" i="12"/>
  <c r="W471" i="12"/>
  <c r="V471" i="12"/>
  <c r="AC470" i="12"/>
  <c r="AB470" i="12"/>
  <c r="AA470" i="12"/>
  <c r="Z470" i="12"/>
  <c r="Y470" i="12"/>
  <c r="X470" i="12"/>
  <c r="W470" i="12"/>
  <c r="V470" i="12"/>
  <c r="AC469" i="12"/>
  <c r="AB469" i="12"/>
  <c r="AA469" i="12"/>
  <c r="Z469" i="12"/>
  <c r="Y469" i="12"/>
  <c r="X469" i="12"/>
  <c r="W469" i="12"/>
  <c r="V469" i="12"/>
  <c r="AC468" i="12"/>
  <c r="AB468" i="12"/>
  <c r="AA468" i="12"/>
  <c r="Z468" i="12"/>
  <c r="Y468" i="12"/>
  <c r="X468" i="12"/>
  <c r="W468" i="12"/>
  <c r="V468" i="12"/>
  <c r="AC467" i="12"/>
  <c r="AB467" i="12"/>
  <c r="AA467" i="12"/>
  <c r="Z467" i="12"/>
  <c r="Y467" i="12"/>
  <c r="X467" i="12"/>
  <c r="W467" i="12"/>
  <c r="V467" i="12"/>
  <c r="AC466" i="12"/>
  <c r="AB466" i="12"/>
  <c r="AA466" i="12"/>
  <c r="Z466" i="12"/>
  <c r="Y466" i="12"/>
  <c r="X466" i="12"/>
  <c r="W466" i="12"/>
  <c r="V466" i="12"/>
  <c r="AC465" i="12"/>
  <c r="AB465" i="12"/>
  <c r="AA465" i="12"/>
  <c r="Z465" i="12"/>
  <c r="Y465" i="12"/>
  <c r="X465" i="12"/>
  <c r="W465" i="12"/>
  <c r="V465" i="12"/>
  <c r="AC464" i="12"/>
  <c r="AB464" i="12"/>
  <c r="AA464" i="12"/>
  <c r="Z464" i="12"/>
  <c r="Y464" i="12"/>
  <c r="X464" i="12"/>
  <c r="W464" i="12"/>
  <c r="V464" i="12"/>
  <c r="AC463" i="12"/>
  <c r="AB463" i="12"/>
  <c r="AA463" i="12"/>
  <c r="Z463" i="12"/>
  <c r="Y463" i="12"/>
  <c r="X463" i="12"/>
  <c r="W463" i="12"/>
  <c r="V463" i="12"/>
  <c r="AC462" i="12"/>
  <c r="AB462" i="12"/>
  <c r="AA462" i="12"/>
  <c r="Z462" i="12"/>
  <c r="Y462" i="12"/>
  <c r="X462" i="12"/>
  <c r="W462" i="12"/>
  <c r="V462" i="12"/>
  <c r="AC461" i="12"/>
  <c r="AB461" i="12"/>
  <c r="AA461" i="12"/>
  <c r="Z461" i="12"/>
  <c r="Y461" i="12"/>
  <c r="X461" i="12"/>
  <c r="W461" i="12"/>
  <c r="V461" i="12"/>
  <c r="AC460" i="12"/>
  <c r="AB460" i="12"/>
  <c r="AA460" i="12"/>
  <c r="Z460" i="12"/>
  <c r="Y460" i="12"/>
  <c r="X460" i="12"/>
  <c r="W460" i="12"/>
  <c r="V460" i="12"/>
  <c r="AC459" i="12"/>
  <c r="AB459" i="12"/>
  <c r="AA459" i="12"/>
  <c r="Z459" i="12"/>
  <c r="Y459" i="12"/>
  <c r="X459" i="12"/>
  <c r="W459" i="12"/>
  <c r="V459" i="12"/>
  <c r="AC458" i="12"/>
  <c r="AB458" i="12"/>
  <c r="AA458" i="12"/>
  <c r="Z458" i="12"/>
  <c r="Y458" i="12"/>
  <c r="X458" i="12"/>
  <c r="W458" i="12"/>
  <c r="V458" i="12"/>
  <c r="AC457" i="12"/>
  <c r="AB457" i="12"/>
  <c r="AA457" i="12"/>
  <c r="Z457" i="12"/>
  <c r="Y457" i="12"/>
  <c r="X457" i="12"/>
  <c r="W457" i="12"/>
  <c r="V457" i="12"/>
  <c r="AC456" i="12"/>
  <c r="AB456" i="12"/>
  <c r="AA456" i="12"/>
  <c r="Z456" i="12"/>
  <c r="Y456" i="12"/>
  <c r="X456" i="12"/>
  <c r="W456" i="12"/>
  <c r="V456" i="12"/>
  <c r="AC455" i="12"/>
  <c r="AB455" i="12"/>
  <c r="AA455" i="12"/>
  <c r="Z455" i="12"/>
  <c r="Y455" i="12"/>
  <c r="X455" i="12"/>
  <c r="W455" i="12"/>
  <c r="V455" i="12"/>
  <c r="AC454" i="12"/>
  <c r="AB454" i="12"/>
  <c r="AA454" i="12"/>
  <c r="Z454" i="12"/>
  <c r="Y454" i="12"/>
  <c r="X454" i="12"/>
  <c r="W454" i="12"/>
  <c r="V454" i="12"/>
  <c r="AC453" i="12"/>
  <c r="AB453" i="12"/>
  <c r="AA453" i="12"/>
  <c r="Z453" i="12"/>
  <c r="Y453" i="12"/>
  <c r="X453" i="12"/>
  <c r="W453" i="12"/>
  <c r="V453" i="12"/>
  <c r="AC452" i="12"/>
  <c r="AB452" i="12"/>
  <c r="AA452" i="12"/>
  <c r="Z452" i="12"/>
  <c r="Y452" i="12"/>
  <c r="X452" i="12"/>
  <c r="W452" i="12"/>
  <c r="V452" i="12"/>
  <c r="AC451" i="12"/>
  <c r="AB451" i="12"/>
  <c r="AA451" i="12"/>
  <c r="Z451" i="12"/>
  <c r="Y451" i="12"/>
  <c r="X451" i="12"/>
  <c r="W451" i="12"/>
  <c r="V451" i="12"/>
  <c r="AC450" i="12"/>
  <c r="AB450" i="12"/>
  <c r="AA450" i="12"/>
  <c r="Z450" i="12"/>
  <c r="Y450" i="12"/>
  <c r="X450" i="12"/>
  <c r="W450" i="12"/>
  <c r="V450" i="12"/>
  <c r="AC449" i="12"/>
  <c r="AB449" i="12"/>
  <c r="AA449" i="12"/>
  <c r="Z449" i="12"/>
  <c r="Y449" i="12"/>
  <c r="X449" i="12"/>
  <c r="W449" i="12"/>
  <c r="V449" i="12"/>
  <c r="AC448" i="12"/>
  <c r="AB448" i="12"/>
  <c r="AA448" i="12"/>
  <c r="Z448" i="12"/>
  <c r="Y448" i="12"/>
  <c r="X448" i="12"/>
  <c r="W448" i="12"/>
  <c r="V448" i="12"/>
  <c r="AC447" i="12"/>
  <c r="AB447" i="12"/>
  <c r="AA447" i="12"/>
  <c r="Z447" i="12"/>
  <c r="Y447" i="12"/>
  <c r="X447" i="12"/>
  <c r="W447" i="12"/>
  <c r="V447" i="12"/>
  <c r="AC446" i="12"/>
  <c r="AB446" i="12"/>
  <c r="AA446" i="12"/>
  <c r="Z446" i="12"/>
  <c r="Y446" i="12"/>
  <c r="X446" i="12"/>
  <c r="W446" i="12"/>
  <c r="V446" i="12"/>
  <c r="AC445" i="12"/>
  <c r="AB445" i="12"/>
  <c r="AA445" i="12"/>
  <c r="Z445" i="12"/>
  <c r="Y445" i="12"/>
  <c r="X445" i="12"/>
  <c r="W445" i="12"/>
  <c r="V445" i="12"/>
  <c r="AC444" i="12"/>
  <c r="AB444" i="12"/>
  <c r="AA444" i="12"/>
  <c r="Z444" i="12"/>
  <c r="Y444" i="12"/>
  <c r="X444" i="12"/>
  <c r="W444" i="12"/>
  <c r="V444" i="12"/>
  <c r="AC443" i="12"/>
  <c r="AB443" i="12"/>
  <c r="AA443" i="12"/>
  <c r="Z443" i="12"/>
  <c r="Y443" i="12"/>
  <c r="X443" i="12"/>
  <c r="W443" i="12"/>
  <c r="V443" i="12"/>
  <c r="AC442" i="12"/>
  <c r="AB442" i="12"/>
  <c r="AA442" i="12"/>
  <c r="Z442" i="12"/>
  <c r="Y442" i="12"/>
  <c r="X442" i="12"/>
  <c r="W442" i="12"/>
  <c r="V442" i="12"/>
  <c r="AC441" i="12"/>
  <c r="AB441" i="12"/>
  <c r="AA441" i="12"/>
  <c r="Z441" i="12"/>
  <c r="Y441" i="12"/>
  <c r="X441" i="12"/>
  <c r="W441" i="12"/>
  <c r="V441" i="12"/>
  <c r="AC440" i="12"/>
  <c r="AB440" i="12"/>
  <c r="AA440" i="12"/>
  <c r="Z440" i="12"/>
  <c r="Y440" i="12"/>
  <c r="X440" i="12"/>
  <c r="W440" i="12"/>
  <c r="V440" i="12"/>
  <c r="AC439" i="12"/>
  <c r="AB439" i="12"/>
  <c r="AA439" i="12"/>
  <c r="Z439" i="12"/>
  <c r="Y439" i="12"/>
  <c r="X439" i="12"/>
  <c r="W439" i="12"/>
  <c r="V439" i="12"/>
  <c r="AC438" i="12"/>
  <c r="AB438" i="12"/>
  <c r="AA438" i="12"/>
  <c r="Z438" i="12"/>
  <c r="Y438" i="12"/>
  <c r="X438" i="12"/>
  <c r="W438" i="12"/>
  <c r="V438" i="12"/>
  <c r="AC437" i="12"/>
  <c r="AB437" i="12"/>
  <c r="AA437" i="12"/>
  <c r="Z437" i="12"/>
  <c r="Y437" i="12"/>
  <c r="X437" i="12"/>
  <c r="W437" i="12"/>
  <c r="V437" i="12"/>
  <c r="AC436" i="12"/>
  <c r="AB436" i="12"/>
  <c r="AA436" i="12"/>
  <c r="Z436" i="12"/>
  <c r="Y436" i="12"/>
  <c r="X436" i="12"/>
  <c r="W436" i="12"/>
  <c r="V436" i="12"/>
  <c r="AC435" i="12"/>
  <c r="AB435" i="12"/>
  <c r="AA435" i="12"/>
  <c r="Z435" i="12"/>
  <c r="Y435" i="12"/>
  <c r="X435" i="12"/>
  <c r="W435" i="12"/>
  <c r="V435" i="12"/>
  <c r="AC434" i="12"/>
  <c r="AB434" i="12"/>
  <c r="AA434" i="12"/>
  <c r="Z434" i="12"/>
  <c r="Y434" i="12"/>
  <c r="X434" i="12"/>
  <c r="W434" i="12"/>
  <c r="V434" i="12"/>
  <c r="AC433" i="12"/>
  <c r="AB433" i="12"/>
  <c r="AA433" i="12"/>
  <c r="Z433" i="12"/>
  <c r="Y433" i="12"/>
  <c r="X433" i="12"/>
  <c r="W433" i="12"/>
  <c r="V433" i="12"/>
  <c r="AC432" i="12"/>
  <c r="AB432" i="12"/>
  <c r="AA432" i="12"/>
  <c r="Z432" i="12"/>
  <c r="Y432" i="12"/>
  <c r="X432" i="12"/>
  <c r="W432" i="12"/>
  <c r="V432" i="12"/>
  <c r="AC431" i="12"/>
  <c r="AB431" i="12"/>
  <c r="AA431" i="12"/>
  <c r="Z431" i="12"/>
  <c r="Y431" i="12"/>
  <c r="X431" i="12"/>
  <c r="W431" i="12"/>
  <c r="V431" i="12"/>
  <c r="AC430" i="12"/>
  <c r="AB430" i="12"/>
  <c r="AA430" i="12"/>
  <c r="Z430" i="12"/>
  <c r="Y430" i="12"/>
  <c r="X430" i="12"/>
  <c r="W430" i="12"/>
  <c r="V430" i="12"/>
  <c r="AC429" i="12"/>
  <c r="AB429" i="12"/>
  <c r="AA429" i="12"/>
  <c r="Z429" i="12"/>
  <c r="Y429" i="12"/>
  <c r="X429" i="12"/>
  <c r="W429" i="12"/>
  <c r="V429" i="12"/>
  <c r="AC428" i="12"/>
  <c r="AB428" i="12"/>
  <c r="AA428" i="12"/>
  <c r="Z428" i="12"/>
  <c r="Y428" i="12"/>
  <c r="X428" i="12"/>
  <c r="W428" i="12"/>
  <c r="V428" i="12"/>
  <c r="AC427" i="12"/>
  <c r="AB427" i="12"/>
  <c r="AA427" i="12"/>
  <c r="Z427" i="12"/>
  <c r="Y427" i="12"/>
  <c r="X427" i="12"/>
  <c r="W427" i="12"/>
  <c r="V427" i="12"/>
  <c r="AC426" i="12"/>
  <c r="AB426" i="12"/>
  <c r="AA426" i="12"/>
  <c r="Z426" i="12"/>
  <c r="Y426" i="12"/>
  <c r="X426" i="12"/>
  <c r="W426" i="12"/>
  <c r="V426" i="12"/>
  <c r="AC425" i="12"/>
  <c r="AB425" i="12"/>
  <c r="AA425" i="12"/>
  <c r="Z425" i="12"/>
  <c r="Y425" i="12"/>
  <c r="X425" i="12"/>
  <c r="W425" i="12"/>
  <c r="V425" i="12"/>
  <c r="AC424" i="12"/>
  <c r="AB424" i="12"/>
  <c r="AA424" i="12"/>
  <c r="Z424" i="12"/>
  <c r="Y424" i="12"/>
  <c r="X424" i="12"/>
  <c r="W424" i="12"/>
  <c r="V424" i="12"/>
  <c r="AC423" i="12"/>
  <c r="AB423" i="12"/>
  <c r="AA423" i="12"/>
  <c r="Z423" i="12"/>
  <c r="Y423" i="12"/>
  <c r="X423" i="12"/>
  <c r="W423" i="12"/>
  <c r="V423" i="12"/>
  <c r="AC422" i="12"/>
  <c r="AB422" i="12"/>
  <c r="AA422" i="12"/>
  <c r="Z422" i="12"/>
  <c r="Y422" i="12"/>
  <c r="X422" i="12"/>
  <c r="W422" i="12"/>
  <c r="V422" i="12"/>
  <c r="AC421" i="12"/>
  <c r="AB421" i="12"/>
  <c r="AA421" i="12"/>
  <c r="Z421" i="12"/>
  <c r="Y421" i="12"/>
  <c r="X421" i="12"/>
  <c r="W421" i="12"/>
  <c r="V421" i="12"/>
  <c r="AC420" i="12"/>
  <c r="AB420" i="12"/>
  <c r="AA420" i="12"/>
  <c r="Z420" i="12"/>
  <c r="Y420" i="12"/>
  <c r="X420" i="12"/>
  <c r="W420" i="12"/>
  <c r="V420" i="12"/>
  <c r="AC419" i="12"/>
  <c r="AB419" i="12"/>
  <c r="AA419" i="12"/>
  <c r="Z419" i="12"/>
  <c r="Y419" i="12"/>
  <c r="X419" i="12"/>
  <c r="W419" i="12"/>
  <c r="V419" i="12"/>
  <c r="AC418" i="12"/>
  <c r="AB418" i="12"/>
  <c r="AA418" i="12"/>
  <c r="Z418" i="12"/>
  <c r="Y418" i="12"/>
  <c r="X418" i="12"/>
  <c r="W418" i="12"/>
  <c r="V418" i="12"/>
  <c r="AC417" i="12"/>
  <c r="AB417" i="12"/>
  <c r="AA417" i="12"/>
  <c r="Z417" i="12"/>
  <c r="Y417" i="12"/>
  <c r="X417" i="12"/>
  <c r="W417" i="12"/>
  <c r="V417" i="12"/>
  <c r="AC416" i="12"/>
  <c r="AB416" i="12"/>
  <c r="AA416" i="12"/>
  <c r="Z416" i="12"/>
  <c r="Y416" i="12"/>
  <c r="X416" i="12"/>
  <c r="W416" i="12"/>
  <c r="V416" i="12"/>
  <c r="AC415" i="12"/>
  <c r="AB415" i="12"/>
  <c r="AA415" i="12"/>
  <c r="Z415" i="12"/>
  <c r="Y415" i="12"/>
  <c r="X415" i="12"/>
  <c r="W415" i="12"/>
  <c r="V415" i="12"/>
  <c r="AC414" i="12"/>
  <c r="AB414" i="12"/>
  <c r="AA414" i="12"/>
  <c r="Z414" i="12"/>
  <c r="Y414" i="12"/>
  <c r="X414" i="12"/>
  <c r="W414" i="12"/>
  <c r="V414" i="12"/>
  <c r="AC413" i="12"/>
  <c r="AB413" i="12"/>
  <c r="AA413" i="12"/>
  <c r="Z413" i="12"/>
  <c r="Y413" i="12"/>
  <c r="X413" i="12"/>
  <c r="W413" i="12"/>
  <c r="V413" i="12"/>
  <c r="AC412" i="12"/>
  <c r="AB412" i="12"/>
  <c r="AA412" i="12"/>
  <c r="Z412" i="12"/>
  <c r="Y412" i="12"/>
  <c r="X412" i="12"/>
  <c r="W412" i="12"/>
  <c r="V412" i="12"/>
  <c r="AC411" i="12"/>
  <c r="AB411" i="12"/>
  <c r="AA411" i="12"/>
  <c r="Z411" i="12"/>
  <c r="Y411" i="12"/>
  <c r="X411" i="12"/>
  <c r="W411" i="12"/>
  <c r="V411" i="12"/>
  <c r="AC410" i="12"/>
  <c r="AB410" i="12"/>
  <c r="AA410" i="12"/>
  <c r="Z410" i="12"/>
  <c r="Y410" i="12"/>
  <c r="X410" i="12"/>
  <c r="W410" i="12"/>
  <c r="V410" i="12"/>
  <c r="AC409" i="12"/>
  <c r="AB409" i="12"/>
  <c r="AA409" i="12"/>
  <c r="Z409" i="12"/>
  <c r="Y409" i="12"/>
  <c r="X409" i="12"/>
  <c r="W409" i="12"/>
  <c r="V409" i="12"/>
  <c r="AC408" i="12"/>
  <c r="AB408" i="12"/>
  <c r="AA408" i="12"/>
  <c r="Z408" i="12"/>
  <c r="Y408" i="12"/>
  <c r="X408" i="12"/>
  <c r="W408" i="12"/>
  <c r="V408" i="12"/>
  <c r="AC407" i="12"/>
  <c r="AB407" i="12"/>
  <c r="AA407" i="12"/>
  <c r="Z407" i="12"/>
  <c r="Y407" i="12"/>
  <c r="X407" i="12"/>
  <c r="W407" i="12"/>
  <c r="V407" i="12"/>
  <c r="AC406" i="12"/>
  <c r="AB406" i="12"/>
  <c r="AA406" i="12"/>
  <c r="Z406" i="12"/>
  <c r="Y406" i="12"/>
  <c r="X406" i="12"/>
  <c r="W406" i="12"/>
  <c r="V406" i="12"/>
  <c r="AC405" i="12"/>
  <c r="AB405" i="12"/>
  <c r="AA405" i="12"/>
  <c r="Z405" i="12"/>
  <c r="Y405" i="12"/>
  <c r="X405" i="12"/>
  <c r="W405" i="12"/>
  <c r="V405" i="12"/>
  <c r="AC404" i="12"/>
  <c r="AB404" i="12"/>
  <c r="AA404" i="12"/>
  <c r="Z404" i="12"/>
  <c r="Y404" i="12"/>
  <c r="X404" i="12"/>
  <c r="W404" i="12"/>
  <c r="V404" i="12"/>
  <c r="AC403" i="12"/>
  <c r="AB403" i="12"/>
  <c r="AA403" i="12"/>
  <c r="Z403" i="12"/>
  <c r="Y403" i="12"/>
  <c r="X403" i="12"/>
  <c r="W403" i="12"/>
  <c r="V403" i="12"/>
  <c r="AC402" i="12"/>
  <c r="AB402" i="12"/>
  <c r="AA402" i="12"/>
  <c r="Z402" i="12"/>
  <c r="Y402" i="12"/>
  <c r="X402" i="12"/>
  <c r="W402" i="12"/>
  <c r="V402" i="12"/>
  <c r="AC401" i="12"/>
  <c r="AB401" i="12"/>
  <c r="AA401" i="12"/>
  <c r="Z401" i="12"/>
  <c r="Y401" i="12"/>
  <c r="X401" i="12"/>
  <c r="W401" i="12"/>
  <c r="V401" i="12"/>
  <c r="AC400" i="12"/>
  <c r="AB400" i="12"/>
  <c r="AA400" i="12"/>
  <c r="Z400" i="12"/>
  <c r="Y400" i="12"/>
  <c r="X400" i="12"/>
  <c r="W400" i="12"/>
  <c r="V400" i="12"/>
  <c r="AC399" i="12"/>
  <c r="AB399" i="12"/>
  <c r="AA399" i="12"/>
  <c r="Z399" i="12"/>
  <c r="Y399" i="12"/>
  <c r="X399" i="12"/>
  <c r="W399" i="12"/>
  <c r="V399" i="12"/>
  <c r="AC398" i="12"/>
  <c r="AB398" i="12"/>
  <c r="AA398" i="12"/>
  <c r="Z398" i="12"/>
  <c r="Y398" i="12"/>
  <c r="X398" i="12"/>
  <c r="W398" i="12"/>
  <c r="V398" i="12"/>
  <c r="AC397" i="12"/>
  <c r="AB397" i="12"/>
  <c r="AA397" i="12"/>
  <c r="Z397" i="12"/>
  <c r="Y397" i="12"/>
  <c r="X397" i="12"/>
  <c r="W397" i="12"/>
  <c r="V397" i="12"/>
  <c r="AC396" i="12"/>
  <c r="AB396" i="12"/>
  <c r="AA396" i="12"/>
  <c r="Z396" i="12"/>
  <c r="Y396" i="12"/>
  <c r="X396" i="12"/>
  <c r="W396" i="12"/>
  <c r="V396" i="12"/>
  <c r="AC395" i="12"/>
  <c r="AB395" i="12"/>
  <c r="AA395" i="12"/>
  <c r="Z395" i="12"/>
  <c r="Y395" i="12"/>
  <c r="X395" i="12"/>
  <c r="W395" i="12"/>
  <c r="V395" i="12"/>
  <c r="AC394" i="12"/>
  <c r="AB394" i="12"/>
  <c r="AA394" i="12"/>
  <c r="Z394" i="12"/>
  <c r="Y394" i="12"/>
  <c r="X394" i="12"/>
  <c r="W394" i="12"/>
  <c r="V394" i="12"/>
  <c r="AC393" i="12"/>
  <c r="AB393" i="12"/>
  <c r="AA393" i="12"/>
  <c r="Z393" i="12"/>
  <c r="Y393" i="12"/>
  <c r="X393" i="12"/>
  <c r="W393" i="12"/>
  <c r="V393" i="12"/>
  <c r="AC392" i="12"/>
  <c r="AB392" i="12"/>
  <c r="AA392" i="12"/>
  <c r="Z392" i="12"/>
  <c r="Y392" i="12"/>
  <c r="X392" i="12"/>
  <c r="W392" i="12"/>
  <c r="V392" i="12"/>
  <c r="AC391" i="12"/>
  <c r="AB391" i="12"/>
  <c r="AA391" i="12"/>
  <c r="Z391" i="12"/>
  <c r="Y391" i="12"/>
  <c r="X391" i="12"/>
  <c r="W391" i="12"/>
  <c r="V391" i="12"/>
  <c r="AC390" i="12"/>
  <c r="AB390" i="12"/>
  <c r="AA390" i="12"/>
  <c r="Z390" i="12"/>
  <c r="Y390" i="12"/>
  <c r="X390" i="12"/>
  <c r="W390" i="12"/>
  <c r="V390" i="12"/>
  <c r="AC389" i="12"/>
  <c r="AB389" i="12"/>
  <c r="AA389" i="12"/>
  <c r="Z389" i="12"/>
  <c r="Y389" i="12"/>
  <c r="X389" i="12"/>
  <c r="W389" i="12"/>
  <c r="V389" i="12"/>
  <c r="AC388" i="12"/>
  <c r="AB388" i="12"/>
  <c r="AA388" i="12"/>
  <c r="Z388" i="12"/>
  <c r="Y388" i="12"/>
  <c r="X388" i="12"/>
  <c r="W388" i="12"/>
  <c r="V388" i="12"/>
  <c r="AC387" i="12"/>
  <c r="AB387" i="12"/>
  <c r="AA387" i="12"/>
  <c r="Z387" i="12"/>
  <c r="Y387" i="12"/>
  <c r="X387" i="12"/>
  <c r="W387" i="12"/>
  <c r="V387" i="12"/>
  <c r="AC386" i="12"/>
  <c r="AB386" i="12"/>
  <c r="AA386" i="12"/>
  <c r="Z386" i="12"/>
  <c r="Y386" i="12"/>
  <c r="X386" i="12"/>
  <c r="W386" i="12"/>
  <c r="V386" i="12"/>
  <c r="AC385" i="12"/>
  <c r="AB385" i="12"/>
  <c r="AA385" i="12"/>
  <c r="Z385" i="12"/>
  <c r="Y385" i="12"/>
  <c r="X385" i="12"/>
  <c r="W385" i="12"/>
  <c r="V385" i="12"/>
  <c r="AC384" i="12"/>
  <c r="AB384" i="12"/>
  <c r="AA384" i="12"/>
  <c r="Z384" i="12"/>
  <c r="Y384" i="12"/>
  <c r="X384" i="12"/>
  <c r="W384" i="12"/>
  <c r="V384" i="12"/>
  <c r="AC383" i="12"/>
  <c r="AB383" i="12"/>
  <c r="AA383" i="12"/>
  <c r="Z383" i="12"/>
  <c r="Y383" i="12"/>
  <c r="X383" i="12"/>
  <c r="W383" i="12"/>
  <c r="V383" i="12"/>
  <c r="AC382" i="12"/>
  <c r="AB382" i="12"/>
  <c r="AA382" i="12"/>
  <c r="Z382" i="12"/>
  <c r="Y382" i="12"/>
  <c r="X382" i="12"/>
  <c r="W382" i="12"/>
  <c r="V382" i="12"/>
  <c r="AC381" i="12"/>
  <c r="AB381" i="12"/>
  <c r="AA381" i="12"/>
  <c r="Z381" i="12"/>
  <c r="Y381" i="12"/>
  <c r="X381" i="12"/>
  <c r="W381" i="12"/>
  <c r="V381" i="12"/>
  <c r="AC380" i="12"/>
  <c r="AB380" i="12"/>
  <c r="AA380" i="12"/>
  <c r="Z380" i="12"/>
  <c r="Y380" i="12"/>
  <c r="X380" i="12"/>
  <c r="W380" i="12"/>
  <c r="V380" i="12"/>
  <c r="AC379" i="12"/>
  <c r="AB379" i="12"/>
  <c r="AA379" i="12"/>
  <c r="Z379" i="12"/>
  <c r="Y379" i="12"/>
  <c r="X379" i="12"/>
  <c r="W379" i="12"/>
  <c r="V379" i="12"/>
  <c r="AC378" i="12"/>
  <c r="AB378" i="12"/>
  <c r="AA378" i="12"/>
  <c r="Z378" i="12"/>
  <c r="Y378" i="12"/>
  <c r="X378" i="12"/>
  <c r="W378" i="12"/>
  <c r="V378" i="12"/>
  <c r="AC377" i="12"/>
  <c r="AB377" i="12"/>
  <c r="AA377" i="12"/>
  <c r="Z377" i="12"/>
  <c r="Y377" i="12"/>
  <c r="X377" i="12"/>
  <c r="W377" i="12"/>
  <c r="V377" i="12"/>
  <c r="AC376" i="12"/>
  <c r="AB376" i="12"/>
  <c r="AA376" i="12"/>
  <c r="Z376" i="12"/>
  <c r="Y376" i="12"/>
  <c r="X376" i="12"/>
  <c r="W376" i="12"/>
  <c r="V376" i="12"/>
  <c r="AC375" i="12"/>
  <c r="AB375" i="12"/>
  <c r="AA375" i="12"/>
  <c r="Z375" i="12"/>
  <c r="Y375" i="12"/>
  <c r="X375" i="12"/>
  <c r="W375" i="12"/>
  <c r="V375" i="12"/>
  <c r="AC374" i="12"/>
  <c r="AB374" i="12"/>
  <c r="AA374" i="12"/>
  <c r="Z374" i="12"/>
  <c r="Y374" i="12"/>
  <c r="X374" i="12"/>
  <c r="W374" i="12"/>
  <c r="V374" i="12"/>
  <c r="AC373" i="12"/>
  <c r="AB373" i="12"/>
  <c r="AA373" i="12"/>
  <c r="Z373" i="12"/>
  <c r="Y373" i="12"/>
  <c r="X373" i="12"/>
  <c r="W373" i="12"/>
  <c r="V373" i="12"/>
  <c r="AC372" i="12"/>
  <c r="AB372" i="12"/>
  <c r="AA372" i="12"/>
  <c r="Z372" i="12"/>
  <c r="Y372" i="12"/>
  <c r="X372" i="12"/>
  <c r="W372" i="12"/>
  <c r="V372" i="12"/>
  <c r="AC371" i="12"/>
  <c r="AB371" i="12"/>
  <c r="AA371" i="12"/>
  <c r="Z371" i="12"/>
  <c r="Y371" i="12"/>
  <c r="X371" i="12"/>
  <c r="W371" i="12"/>
  <c r="V371" i="12"/>
  <c r="AC370" i="12"/>
  <c r="AB370" i="12"/>
  <c r="AA370" i="12"/>
  <c r="Z370" i="12"/>
  <c r="Y370" i="12"/>
  <c r="X370" i="12"/>
  <c r="W370" i="12"/>
  <c r="V370" i="12"/>
  <c r="AC369" i="12"/>
  <c r="AB369" i="12"/>
  <c r="AA369" i="12"/>
  <c r="Z369" i="12"/>
  <c r="Y369" i="12"/>
  <c r="X369" i="12"/>
  <c r="W369" i="12"/>
  <c r="V369" i="12"/>
  <c r="AC368" i="12"/>
  <c r="AB368" i="12"/>
  <c r="AA368" i="12"/>
  <c r="Z368" i="12"/>
  <c r="Y368" i="12"/>
  <c r="X368" i="12"/>
  <c r="W368" i="12"/>
  <c r="V368" i="12"/>
  <c r="AC367" i="12"/>
  <c r="AB367" i="12"/>
  <c r="AA367" i="12"/>
  <c r="Z367" i="12"/>
  <c r="Y367" i="12"/>
  <c r="X367" i="12"/>
  <c r="W367" i="12"/>
  <c r="V367" i="12"/>
  <c r="AC366" i="12"/>
  <c r="AB366" i="12"/>
  <c r="AA366" i="12"/>
  <c r="Z366" i="12"/>
  <c r="Y366" i="12"/>
  <c r="X366" i="12"/>
  <c r="W366" i="12"/>
  <c r="V366" i="12"/>
  <c r="AC365" i="12"/>
  <c r="AB365" i="12"/>
  <c r="AA365" i="12"/>
  <c r="Z365" i="12"/>
  <c r="Y365" i="12"/>
  <c r="X365" i="12"/>
  <c r="W365" i="12"/>
  <c r="V365" i="12"/>
  <c r="AC364" i="12"/>
  <c r="AB364" i="12"/>
  <c r="AA364" i="12"/>
  <c r="Z364" i="12"/>
  <c r="Y364" i="12"/>
  <c r="X364" i="12"/>
  <c r="W364" i="12"/>
  <c r="V364" i="12"/>
  <c r="AC363" i="12"/>
  <c r="AB363" i="12"/>
  <c r="AA363" i="12"/>
  <c r="Z363" i="12"/>
  <c r="Y363" i="12"/>
  <c r="X363" i="12"/>
  <c r="W363" i="12"/>
  <c r="V363" i="12"/>
  <c r="AC362" i="12"/>
  <c r="AB362" i="12"/>
  <c r="AA362" i="12"/>
  <c r="Z362" i="12"/>
  <c r="Y362" i="12"/>
  <c r="X362" i="12"/>
  <c r="W362" i="12"/>
  <c r="V362" i="12"/>
  <c r="AC361" i="12"/>
  <c r="AB361" i="12"/>
  <c r="AA361" i="12"/>
  <c r="Z361" i="12"/>
  <c r="Y361" i="12"/>
  <c r="X361" i="12"/>
  <c r="W361" i="12"/>
  <c r="V361" i="12"/>
  <c r="AC360" i="12"/>
  <c r="AB360" i="12"/>
  <c r="AA360" i="12"/>
  <c r="Z360" i="12"/>
  <c r="Y360" i="12"/>
  <c r="X360" i="12"/>
  <c r="W360" i="12"/>
  <c r="V360" i="12"/>
  <c r="AC359" i="12"/>
  <c r="AB359" i="12"/>
  <c r="AA359" i="12"/>
  <c r="Z359" i="12"/>
  <c r="Y359" i="12"/>
  <c r="X359" i="12"/>
  <c r="W359" i="12"/>
  <c r="V359" i="12"/>
  <c r="AC358" i="12"/>
  <c r="AB358" i="12"/>
  <c r="AA358" i="12"/>
  <c r="Z358" i="12"/>
  <c r="Y358" i="12"/>
  <c r="X358" i="12"/>
  <c r="W358" i="12"/>
  <c r="V358" i="12"/>
  <c r="AC357" i="12"/>
  <c r="AB357" i="12"/>
  <c r="AA357" i="12"/>
  <c r="Z357" i="12"/>
  <c r="Y357" i="12"/>
  <c r="X357" i="12"/>
  <c r="W357" i="12"/>
  <c r="V357" i="12"/>
  <c r="AC356" i="12"/>
  <c r="AB356" i="12"/>
  <c r="AA356" i="12"/>
  <c r="Z356" i="12"/>
  <c r="Y356" i="12"/>
  <c r="X356" i="12"/>
  <c r="W356" i="12"/>
  <c r="V356" i="12"/>
  <c r="AC355" i="12"/>
  <c r="AB355" i="12"/>
  <c r="AA355" i="12"/>
  <c r="Z355" i="12"/>
  <c r="Y355" i="12"/>
  <c r="X355" i="12"/>
  <c r="W355" i="12"/>
  <c r="V355" i="12"/>
  <c r="AC354" i="12"/>
  <c r="AB354" i="12"/>
  <c r="AA354" i="12"/>
  <c r="Z354" i="12"/>
  <c r="Y354" i="12"/>
  <c r="X354" i="12"/>
  <c r="W354" i="12"/>
  <c r="V354" i="12"/>
  <c r="AC353" i="12"/>
  <c r="AB353" i="12"/>
  <c r="AA353" i="12"/>
  <c r="Z353" i="12"/>
  <c r="Y353" i="12"/>
  <c r="X353" i="12"/>
  <c r="W353" i="12"/>
  <c r="V353" i="12"/>
  <c r="AC352" i="12"/>
  <c r="AB352" i="12"/>
  <c r="AA352" i="12"/>
  <c r="Z352" i="12"/>
  <c r="Y352" i="12"/>
  <c r="X352" i="12"/>
  <c r="W352" i="12"/>
  <c r="V352" i="12"/>
  <c r="AC351" i="12"/>
  <c r="AB351" i="12"/>
  <c r="AA351" i="12"/>
  <c r="Z351" i="12"/>
  <c r="Y351" i="12"/>
  <c r="X351" i="12"/>
  <c r="W351" i="12"/>
  <c r="V351" i="12"/>
  <c r="AC350" i="12"/>
  <c r="AB350" i="12"/>
  <c r="AA350" i="12"/>
  <c r="Z350" i="12"/>
  <c r="Y350" i="12"/>
  <c r="X350" i="12"/>
  <c r="W350" i="12"/>
  <c r="V350" i="12"/>
  <c r="AC349" i="12"/>
  <c r="AB349" i="12"/>
  <c r="AA349" i="12"/>
  <c r="Z349" i="12"/>
  <c r="Y349" i="12"/>
  <c r="X349" i="12"/>
  <c r="W349" i="12"/>
  <c r="V349" i="12"/>
  <c r="AC348" i="12"/>
  <c r="AB348" i="12"/>
  <c r="AA348" i="12"/>
  <c r="Z348" i="12"/>
  <c r="Y348" i="12"/>
  <c r="X348" i="12"/>
  <c r="W348" i="12"/>
  <c r="V348" i="12"/>
  <c r="AC347" i="12"/>
  <c r="AB347" i="12"/>
  <c r="AA347" i="12"/>
  <c r="Z347" i="12"/>
  <c r="Y347" i="12"/>
  <c r="X347" i="12"/>
  <c r="W347" i="12"/>
  <c r="V347" i="12"/>
  <c r="AC346" i="12"/>
  <c r="AB346" i="12"/>
  <c r="AA346" i="12"/>
  <c r="Z346" i="12"/>
  <c r="Y346" i="12"/>
  <c r="X346" i="12"/>
  <c r="W346" i="12"/>
  <c r="V346" i="12"/>
  <c r="AC345" i="12"/>
  <c r="AB345" i="12"/>
  <c r="AA345" i="12"/>
  <c r="Z345" i="12"/>
  <c r="Y345" i="12"/>
  <c r="X345" i="12"/>
  <c r="W345" i="12"/>
  <c r="V345" i="12"/>
  <c r="AC344" i="12"/>
  <c r="AB344" i="12"/>
  <c r="AA344" i="12"/>
  <c r="Z344" i="12"/>
  <c r="Y344" i="12"/>
  <c r="X344" i="12"/>
  <c r="W344" i="12"/>
  <c r="V344" i="12"/>
  <c r="AC343" i="12"/>
  <c r="AB343" i="12"/>
  <c r="AA343" i="12"/>
  <c r="Z343" i="12"/>
  <c r="Y343" i="12"/>
  <c r="X343" i="12"/>
  <c r="W343" i="12"/>
  <c r="V343" i="12"/>
  <c r="AC342" i="12"/>
  <c r="AB342" i="12"/>
  <c r="AA342" i="12"/>
  <c r="Z342" i="12"/>
  <c r="Y342" i="12"/>
  <c r="X342" i="12"/>
  <c r="W342" i="12"/>
  <c r="V342" i="12"/>
  <c r="AC341" i="12"/>
  <c r="AB341" i="12"/>
  <c r="AA341" i="12"/>
  <c r="Z341" i="12"/>
  <c r="Y341" i="12"/>
  <c r="X341" i="12"/>
  <c r="W341" i="12"/>
  <c r="V341" i="12"/>
  <c r="AC340" i="12"/>
  <c r="AB340" i="12"/>
  <c r="AA340" i="12"/>
  <c r="Z340" i="12"/>
  <c r="Y340" i="12"/>
  <c r="X340" i="12"/>
  <c r="W340" i="12"/>
  <c r="V340" i="12"/>
  <c r="AC339" i="12"/>
  <c r="AB339" i="12"/>
  <c r="AA339" i="12"/>
  <c r="Z339" i="12"/>
  <c r="Y339" i="12"/>
  <c r="X339" i="12"/>
  <c r="W339" i="12"/>
  <c r="V339" i="12"/>
  <c r="AC338" i="12"/>
  <c r="AB338" i="12"/>
  <c r="AA338" i="12"/>
  <c r="Z338" i="12"/>
  <c r="Y338" i="12"/>
  <c r="X338" i="12"/>
  <c r="W338" i="12"/>
  <c r="V338" i="12"/>
  <c r="AC337" i="12"/>
  <c r="AB337" i="12"/>
  <c r="AA337" i="12"/>
  <c r="Z337" i="12"/>
  <c r="Y337" i="12"/>
  <c r="X337" i="12"/>
  <c r="W337" i="12"/>
  <c r="V337" i="12"/>
  <c r="AC336" i="12"/>
  <c r="AB336" i="12"/>
  <c r="AA336" i="12"/>
  <c r="Z336" i="12"/>
  <c r="Y336" i="12"/>
  <c r="X336" i="12"/>
  <c r="W336" i="12"/>
  <c r="V336" i="12"/>
  <c r="AC335" i="12"/>
  <c r="AB335" i="12"/>
  <c r="AA335" i="12"/>
  <c r="Z335" i="12"/>
  <c r="Y335" i="12"/>
  <c r="X335" i="12"/>
  <c r="W335" i="12"/>
  <c r="V335" i="12"/>
  <c r="AC334" i="12"/>
  <c r="AB334" i="12"/>
  <c r="AA334" i="12"/>
  <c r="Z334" i="12"/>
  <c r="Y334" i="12"/>
  <c r="X334" i="12"/>
  <c r="W334" i="12"/>
  <c r="V334" i="12"/>
  <c r="AC333" i="12"/>
  <c r="AB333" i="12"/>
  <c r="AA333" i="12"/>
  <c r="Z333" i="12"/>
  <c r="Y333" i="12"/>
  <c r="X333" i="12"/>
  <c r="W333" i="12"/>
  <c r="V333" i="12"/>
  <c r="AC332" i="12"/>
  <c r="AB332" i="12"/>
  <c r="AA332" i="12"/>
  <c r="Z332" i="12"/>
  <c r="Y332" i="12"/>
  <c r="X332" i="12"/>
  <c r="W332" i="12"/>
  <c r="V332" i="12"/>
  <c r="AC331" i="12"/>
  <c r="AB331" i="12"/>
  <c r="AA331" i="12"/>
  <c r="Z331" i="12"/>
  <c r="Y331" i="12"/>
  <c r="X331" i="12"/>
  <c r="W331" i="12"/>
  <c r="V331" i="12"/>
  <c r="AC330" i="12"/>
  <c r="AB330" i="12"/>
  <c r="AA330" i="12"/>
  <c r="Z330" i="12"/>
  <c r="Y330" i="12"/>
  <c r="X330" i="12"/>
  <c r="W330" i="12"/>
  <c r="V330" i="12"/>
  <c r="AC329" i="12"/>
  <c r="AB329" i="12"/>
  <c r="AA329" i="12"/>
  <c r="Z329" i="12"/>
  <c r="Y329" i="12"/>
  <c r="X329" i="12"/>
  <c r="W329" i="12"/>
  <c r="V329" i="12"/>
  <c r="AC328" i="12"/>
  <c r="AB328" i="12"/>
  <c r="AA328" i="12"/>
  <c r="Z328" i="12"/>
  <c r="Y328" i="12"/>
  <c r="X328" i="12"/>
  <c r="W328" i="12"/>
  <c r="V328" i="12"/>
  <c r="AC327" i="12"/>
  <c r="AB327" i="12"/>
  <c r="AA327" i="12"/>
  <c r="Z327" i="12"/>
  <c r="Y327" i="12"/>
  <c r="X327" i="12"/>
  <c r="W327" i="12"/>
  <c r="V327" i="12"/>
  <c r="AC326" i="12"/>
  <c r="AB326" i="12"/>
  <c r="AA326" i="12"/>
  <c r="Z326" i="12"/>
  <c r="Y326" i="12"/>
  <c r="X326" i="12"/>
  <c r="W326" i="12"/>
  <c r="V326" i="12"/>
  <c r="AC325" i="12"/>
  <c r="AB325" i="12"/>
  <c r="AA325" i="12"/>
  <c r="Z325" i="12"/>
  <c r="Y325" i="12"/>
  <c r="X325" i="12"/>
  <c r="W325" i="12"/>
  <c r="V325" i="12"/>
  <c r="AC324" i="12"/>
  <c r="AB324" i="12"/>
  <c r="AA324" i="12"/>
  <c r="Z324" i="12"/>
  <c r="Y324" i="12"/>
  <c r="X324" i="12"/>
  <c r="W324" i="12"/>
  <c r="V324" i="12"/>
  <c r="AC323" i="12"/>
  <c r="AB323" i="12"/>
  <c r="AA323" i="12"/>
  <c r="Z323" i="12"/>
  <c r="Y323" i="12"/>
  <c r="X323" i="12"/>
  <c r="W323" i="12"/>
  <c r="V323" i="12"/>
  <c r="AC322" i="12"/>
  <c r="AB322" i="12"/>
  <c r="AA322" i="12"/>
  <c r="Z322" i="12"/>
  <c r="Y322" i="12"/>
  <c r="X322" i="12"/>
  <c r="W322" i="12"/>
  <c r="V322" i="12"/>
  <c r="AC321" i="12"/>
  <c r="AB321" i="12"/>
  <c r="AA321" i="12"/>
  <c r="Z321" i="12"/>
  <c r="Y321" i="12"/>
  <c r="X321" i="12"/>
  <c r="W321" i="12"/>
  <c r="V321" i="12"/>
  <c r="AC320" i="12"/>
  <c r="AB320" i="12"/>
  <c r="AA320" i="12"/>
  <c r="Z320" i="12"/>
  <c r="Y320" i="12"/>
  <c r="X320" i="12"/>
  <c r="W320" i="12"/>
  <c r="V320" i="12"/>
  <c r="AC319" i="12"/>
  <c r="AB319" i="12"/>
  <c r="AA319" i="12"/>
  <c r="Z319" i="12"/>
  <c r="Y319" i="12"/>
  <c r="X319" i="12"/>
  <c r="W319" i="12"/>
  <c r="V319" i="12"/>
  <c r="AC318" i="12"/>
  <c r="AB318" i="12"/>
  <c r="AA318" i="12"/>
  <c r="Z318" i="12"/>
  <c r="Y318" i="12"/>
  <c r="X318" i="12"/>
  <c r="W318" i="12"/>
  <c r="V318" i="12"/>
  <c r="AC317" i="12"/>
  <c r="AB317" i="12"/>
  <c r="AA317" i="12"/>
  <c r="Z317" i="12"/>
  <c r="Y317" i="12"/>
  <c r="X317" i="12"/>
  <c r="W317" i="12"/>
  <c r="V317" i="12"/>
  <c r="AC316" i="12"/>
  <c r="AB316" i="12"/>
  <c r="AA316" i="12"/>
  <c r="Z316" i="12"/>
  <c r="Y316" i="12"/>
  <c r="X316" i="12"/>
  <c r="W316" i="12"/>
  <c r="V316" i="12"/>
  <c r="AC315" i="12"/>
  <c r="AB315" i="12"/>
  <c r="AA315" i="12"/>
  <c r="Z315" i="12"/>
  <c r="Y315" i="12"/>
  <c r="X315" i="12"/>
  <c r="W315" i="12"/>
  <c r="V315" i="12"/>
  <c r="AC314" i="12"/>
  <c r="AB314" i="12"/>
  <c r="AA314" i="12"/>
  <c r="Z314" i="12"/>
  <c r="Y314" i="12"/>
  <c r="X314" i="12"/>
  <c r="W314" i="12"/>
  <c r="V314" i="12"/>
  <c r="AC313" i="12"/>
  <c r="AB313" i="12"/>
  <c r="AA313" i="12"/>
  <c r="Z313" i="12"/>
  <c r="Y313" i="12"/>
  <c r="X313" i="12"/>
  <c r="W313" i="12"/>
  <c r="V313" i="12"/>
  <c r="AC312" i="12"/>
  <c r="AB312" i="12"/>
  <c r="AA312" i="12"/>
  <c r="Z312" i="12"/>
  <c r="Y312" i="12"/>
  <c r="X312" i="12"/>
  <c r="W312" i="12"/>
  <c r="V312" i="12"/>
  <c r="AC311" i="12"/>
  <c r="AB311" i="12"/>
  <c r="AA311" i="12"/>
  <c r="Z311" i="12"/>
  <c r="Y311" i="12"/>
  <c r="X311" i="12"/>
  <c r="W311" i="12"/>
  <c r="V311" i="12"/>
  <c r="AC310" i="12"/>
  <c r="AB310" i="12"/>
  <c r="AA310" i="12"/>
  <c r="Z310" i="12"/>
  <c r="Y310" i="12"/>
  <c r="X310" i="12"/>
  <c r="W310" i="12"/>
  <c r="V310" i="12"/>
  <c r="AC309" i="12"/>
  <c r="AB309" i="12"/>
  <c r="AA309" i="12"/>
  <c r="Z309" i="12"/>
  <c r="Y309" i="12"/>
  <c r="X309" i="12"/>
  <c r="W309" i="12"/>
  <c r="V309" i="12"/>
  <c r="AC308" i="12"/>
  <c r="AB308" i="12"/>
  <c r="AA308" i="12"/>
  <c r="Z308" i="12"/>
  <c r="Y308" i="12"/>
  <c r="X308" i="12"/>
  <c r="W308" i="12"/>
  <c r="V308" i="12"/>
  <c r="AC307" i="12"/>
  <c r="AB307" i="12"/>
  <c r="AA307" i="12"/>
  <c r="Z307" i="12"/>
  <c r="Y307" i="12"/>
  <c r="X307" i="12"/>
  <c r="W307" i="12"/>
  <c r="V307" i="12"/>
  <c r="AC306" i="12"/>
  <c r="AB306" i="12"/>
  <c r="AA306" i="12"/>
  <c r="Z306" i="12"/>
  <c r="Y306" i="12"/>
  <c r="X306" i="12"/>
  <c r="W306" i="12"/>
  <c r="V306" i="12"/>
  <c r="AC305" i="12"/>
  <c r="AB305" i="12"/>
  <c r="AA305" i="12"/>
  <c r="Z305" i="12"/>
  <c r="Y305" i="12"/>
  <c r="X305" i="12"/>
  <c r="W305" i="12"/>
  <c r="V305" i="12"/>
  <c r="AC304" i="12"/>
  <c r="AB304" i="12"/>
  <c r="AA304" i="12"/>
  <c r="Z304" i="12"/>
  <c r="Y304" i="12"/>
  <c r="X304" i="12"/>
  <c r="W304" i="12"/>
  <c r="V304" i="12"/>
  <c r="AC303" i="12"/>
  <c r="AB303" i="12"/>
  <c r="AA303" i="12"/>
  <c r="Z303" i="12"/>
  <c r="Y303" i="12"/>
  <c r="X303" i="12"/>
  <c r="W303" i="12"/>
  <c r="V303" i="12"/>
  <c r="AC302" i="12"/>
  <c r="AB302" i="12"/>
  <c r="AA302" i="12"/>
  <c r="Z302" i="12"/>
  <c r="Y302" i="12"/>
  <c r="X302" i="12"/>
  <c r="W302" i="12"/>
  <c r="V302" i="12"/>
  <c r="AC301" i="12"/>
  <c r="AB301" i="12"/>
  <c r="AA301" i="12"/>
  <c r="Z301" i="12"/>
  <c r="Y301" i="12"/>
  <c r="X301" i="12"/>
  <c r="W301" i="12"/>
  <c r="V301" i="12"/>
  <c r="AC300" i="12"/>
  <c r="AB300" i="12"/>
  <c r="AA300" i="12"/>
  <c r="Z300" i="12"/>
  <c r="Y300" i="12"/>
  <c r="X300" i="12"/>
  <c r="W300" i="12"/>
  <c r="V300" i="12"/>
  <c r="AC299" i="12"/>
  <c r="AB299" i="12"/>
  <c r="AA299" i="12"/>
  <c r="Z299" i="12"/>
  <c r="Y299" i="12"/>
  <c r="X299" i="12"/>
  <c r="W299" i="12"/>
  <c r="V299" i="12"/>
  <c r="AC298" i="12"/>
  <c r="AB298" i="12"/>
  <c r="AA298" i="12"/>
  <c r="Z298" i="12"/>
  <c r="Y298" i="12"/>
  <c r="X298" i="12"/>
  <c r="W298" i="12"/>
  <c r="V298" i="12"/>
  <c r="AC297" i="12"/>
  <c r="AB297" i="12"/>
  <c r="AA297" i="12"/>
  <c r="Z297" i="12"/>
  <c r="Y297" i="12"/>
  <c r="X297" i="12"/>
  <c r="W297" i="12"/>
  <c r="V297" i="12"/>
  <c r="AC296" i="12"/>
  <c r="AB296" i="12"/>
  <c r="AA296" i="12"/>
  <c r="Z296" i="12"/>
  <c r="Y296" i="12"/>
  <c r="X296" i="12"/>
  <c r="W296" i="12"/>
  <c r="V296" i="12"/>
  <c r="AC295" i="12"/>
  <c r="AB295" i="12"/>
  <c r="AA295" i="12"/>
  <c r="Z295" i="12"/>
  <c r="Y295" i="12"/>
  <c r="X295" i="12"/>
  <c r="W295" i="12"/>
  <c r="V295" i="12"/>
  <c r="AC294" i="12"/>
  <c r="AB294" i="12"/>
  <c r="AA294" i="12"/>
  <c r="Z294" i="12"/>
  <c r="Y294" i="12"/>
  <c r="X294" i="12"/>
  <c r="W294" i="12"/>
  <c r="V294" i="12"/>
  <c r="AC293" i="12"/>
  <c r="AB293" i="12"/>
  <c r="AA293" i="12"/>
  <c r="Z293" i="12"/>
  <c r="Y293" i="12"/>
  <c r="X293" i="12"/>
  <c r="W293" i="12"/>
  <c r="V293" i="12"/>
  <c r="AC292" i="12"/>
  <c r="AB292" i="12"/>
  <c r="AA292" i="12"/>
  <c r="Z292" i="12"/>
  <c r="Y292" i="12"/>
  <c r="X292" i="12"/>
  <c r="W292" i="12"/>
  <c r="V292" i="12"/>
  <c r="AC291" i="12"/>
  <c r="AB291" i="12"/>
  <c r="AA291" i="12"/>
  <c r="Z291" i="12"/>
  <c r="Y291" i="12"/>
  <c r="X291" i="12"/>
  <c r="W291" i="12"/>
  <c r="V291" i="12"/>
  <c r="AC290" i="12"/>
  <c r="AB290" i="12"/>
  <c r="AA290" i="12"/>
  <c r="Z290" i="12"/>
  <c r="Y290" i="12"/>
  <c r="X290" i="12"/>
  <c r="W290" i="12"/>
  <c r="V290" i="12"/>
  <c r="AC289" i="12"/>
  <c r="AB289" i="12"/>
  <c r="AA289" i="12"/>
  <c r="Z289" i="12"/>
  <c r="Y289" i="12"/>
  <c r="X289" i="12"/>
  <c r="W289" i="12"/>
  <c r="V289" i="12"/>
  <c r="AC288" i="12"/>
  <c r="AB288" i="12"/>
  <c r="AA288" i="12"/>
  <c r="Z288" i="12"/>
  <c r="Y288" i="12"/>
  <c r="X288" i="12"/>
  <c r="W288" i="12"/>
  <c r="V288" i="12"/>
  <c r="AC287" i="12"/>
  <c r="AB287" i="12"/>
  <c r="AA287" i="12"/>
  <c r="Z287" i="12"/>
  <c r="Y287" i="12"/>
  <c r="X287" i="12"/>
  <c r="W287" i="12"/>
  <c r="V287" i="12"/>
  <c r="AC286" i="12"/>
  <c r="AB286" i="12"/>
  <c r="AA286" i="12"/>
  <c r="Z286" i="12"/>
  <c r="Y286" i="12"/>
  <c r="X286" i="12"/>
  <c r="W286" i="12"/>
  <c r="V286" i="12"/>
  <c r="AC285" i="12"/>
  <c r="AB285" i="12"/>
  <c r="AA285" i="12"/>
  <c r="Z285" i="12"/>
  <c r="Y285" i="12"/>
  <c r="X285" i="12"/>
  <c r="W285" i="12"/>
  <c r="V285" i="12"/>
  <c r="AC284" i="12"/>
  <c r="AB284" i="12"/>
  <c r="AA284" i="12"/>
  <c r="Z284" i="12"/>
  <c r="Y284" i="12"/>
  <c r="X284" i="12"/>
  <c r="W284" i="12"/>
  <c r="V284" i="12"/>
  <c r="AC283" i="12"/>
  <c r="AB283" i="12"/>
  <c r="AA283" i="12"/>
  <c r="Z283" i="12"/>
  <c r="Y283" i="12"/>
  <c r="X283" i="12"/>
  <c r="W283" i="12"/>
  <c r="V283" i="12"/>
  <c r="AC282" i="12"/>
  <c r="AB282" i="12"/>
  <c r="AA282" i="12"/>
  <c r="Z282" i="12"/>
  <c r="Y282" i="12"/>
  <c r="X282" i="12"/>
  <c r="W282" i="12"/>
  <c r="V282" i="12"/>
  <c r="AC281" i="12"/>
  <c r="AB281" i="12"/>
  <c r="AA281" i="12"/>
  <c r="Z281" i="12"/>
  <c r="Y281" i="12"/>
  <c r="X281" i="12"/>
  <c r="W281" i="12"/>
  <c r="V281" i="12"/>
  <c r="AC280" i="12"/>
  <c r="AB280" i="12"/>
  <c r="AA280" i="12"/>
  <c r="Z280" i="12"/>
  <c r="Y280" i="12"/>
  <c r="X280" i="12"/>
  <c r="W280" i="12"/>
  <c r="V280" i="12"/>
  <c r="AC279" i="12"/>
  <c r="AB279" i="12"/>
  <c r="AA279" i="12"/>
  <c r="Z279" i="12"/>
  <c r="Y279" i="12"/>
  <c r="X279" i="12"/>
  <c r="W279" i="12"/>
  <c r="V279" i="12"/>
  <c r="AC278" i="12"/>
  <c r="AB278" i="12"/>
  <c r="AA278" i="12"/>
  <c r="Z278" i="12"/>
  <c r="Y278" i="12"/>
  <c r="X278" i="12"/>
  <c r="W278" i="12"/>
  <c r="V278" i="12"/>
  <c r="AC277" i="12"/>
  <c r="AB277" i="12"/>
  <c r="AA277" i="12"/>
  <c r="Z277" i="12"/>
  <c r="Y277" i="12"/>
  <c r="X277" i="12"/>
  <c r="W277" i="12"/>
  <c r="V277" i="12"/>
  <c r="AC276" i="12"/>
  <c r="AB276" i="12"/>
  <c r="AA276" i="12"/>
  <c r="Z276" i="12"/>
  <c r="Y276" i="12"/>
  <c r="X276" i="12"/>
  <c r="W276" i="12"/>
  <c r="V276" i="12"/>
  <c r="AC275" i="12"/>
  <c r="AB275" i="12"/>
  <c r="AA275" i="12"/>
  <c r="Z275" i="12"/>
  <c r="Y275" i="12"/>
  <c r="X275" i="12"/>
  <c r="W275" i="12"/>
  <c r="V275" i="12"/>
  <c r="AC274" i="12"/>
  <c r="AB274" i="12"/>
  <c r="AA274" i="12"/>
  <c r="Z274" i="12"/>
  <c r="Y274" i="12"/>
  <c r="X274" i="12"/>
  <c r="W274" i="12"/>
  <c r="V274" i="12"/>
  <c r="AC273" i="12"/>
  <c r="AB273" i="12"/>
  <c r="AA273" i="12"/>
  <c r="Z273" i="12"/>
  <c r="Y273" i="12"/>
  <c r="X273" i="12"/>
  <c r="W273" i="12"/>
  <c r="V273" i="12"/>
  <c r="AC272" i="12"/>
  <c r="AB272" i="12"/>
  <c r="AA272" i="12"/>
  <c r="Z272" i="12"/>
  <c r="Y272" i="12"/>
  <c r="X272" i="12"/>
  <c r="W272" i="12"/>
  <c r="V272" i="12"/>
  <c r="AC271" i="12"/>
  <c r="AB271" i="12"/>
  <c r="AA271" i="12"/>
  <c r="Z271" i="12"/>
  <c r="Y271" i="12"/>
  <c r="X271" i="12"/>
  <c r="W271" i="12"/>
  <c r="V271" i="12"/>
  <c r="AC270" i="12"/>
  <c r="AB270" i="12"/>
  <c r="AA270" i="12"/>
  <c r="Z270" i="12"/>
  <c r="Y270" i="12"/>
  <c r="X270" i="12"/>
  <c r="W270" i="12"/>
  <c r="V270" i="12"/>
  <c r="AC269" i="12"/>
  <c r="AB269" i="12"/>
  <c r="AA269" i="12"/>
  <c r="Z269" i="12"/>
  <c r="Y269" i="12"/>
  <c r="X269" i="12"/>
  <c r="W269" i="12"/>
  <c r="V269" i="12"/>
  <c r="AC268" i="12"/>
  <c r="AB268" i="12"/>
  <c r="AA268" i="12"/>
  <c r="Z268" i="12"/>
  <c r="Y268" i="12"/>
  <c r="X268" i="12"/>
  <c r="W268" i="12"/>
  <c r="V268" i="12"/>
  <c r="AC267" i="12"/>
  <c r="AB267" i="12"/>
  <c r="AA267" i="12"/>
  <c r="Z267" i="12"/>
  <c r="Y267" i="12"/>
  <c r="X267" i="12"/>
  <c r="W267" i="12"/>
  <c r="V267" i="12"/>
  <c r="AC266" i="12"/>
  <c r="AB266" i="12"/>
  <c r="AA266" i="12"/>
  <c r="Z266" i="12"/>
  <c r="Y266" i="12"/>
  <c r="X266" i="12"/>
  <c r="W266" i="12"/>
  <c r="V266" i="12"/>
  <c r="AC265" i="12"/>
  <c r="AB265" i="12"/>
  <c r="AA265" i="12"/>
  <c r="Z265" i="12"/>
  <c r="Y265" i="12"/>
  <c r="X265" i="12"/>
  <c r="W265" i="12"/>
  <c r="V265" i="12"/>
  <c r="AC264" i="12"/>
  <c r="AB264" i="12"/>
  <c r="AA264" i="12"/>
  <c r="Z264" i="12"/>
  <c r="Y264" i="12"/>
  <c r="X264" i="12"/>
  <c r="W264" i="12"/>
  <c r="V264" i="12"/>
  <c r="AC263" i="12"/>
  <c r="AB263" i="12"/>
  <c r="AA263" i="12"/>
  <c r="Z263" i="12"/>
  <c r="Y263" i="12"/>
  <c r="X263" i="12"/>
  <c r="W263" i="12"/>
  <c r="V263" i="12"/>
  <c r="AC262" i="12"/>
  <c r="AB262" i="12"/>
  <c r="AA262" i="12"/>
  <c r="Z262" i="12"/>
  <c r="Y262" i="12"/>
  <c r="X262" i="12"/>
  <c r="W262" i="12"/>
  <c r="V262" i="12"/>
  <c r="AC261" i="12"/>
  <c r="AB261" i="12"/>
  <c r="AA261" i="12"/>
  <c r="Z261" i="12"/>
  <c r="Y261" i="12"/>
  <c r="X261" i="12"/>
  <c r="W261" i="12"/>
  <c r="V261" i="12"/>
  <c r="AC260" i="12"/>
  <c r="AB260" i="12"/>
  <c r="AA260" i="12"/>
  <c r="Z260" i="12"/>
  <c r="Y260" i="12"/>
  <c r="X260" i="12"/>
  <c r="W260" i="12"/>
  <c r="V260" i="12"/>
  <c r="AC259" i="12"/>
  <c r="AB259" i="12"/>
  <c r="AA259" i="12"/>
  <c r="Z259" i="12"/>
  <c r="Y259" i="12"/>
  <c r="X259" i="12"/>
  <c r="W259" i="12"/>
  <c r="V259" i="12"/>
  <c r="AC258" i="12"/>
  <c r="AB258" i="12"/>
  <c r="AA258" i="12"/>
  <c r="Z258" i="12"/>
  <c r="Y258" i="12"/>
  <c r="X258" i="12"/>
  <c r="W258" i="12"/>
  <c r="V258" i="12"/>
  <c r="AC257" i="12"/>
  <c r="AB257" i="12"/>
  <c r="AA257" i="12"/>
  <c r="Z257" i="12"/>
  <c r="Y257" i="12"/>
  <c r="X257" i="12"/>
  <c r="W257" i="12"/>
  <c r="V257" i="12"/>
  <c r="AC256" i="12"/>
  <c r="AB256" i="12"/>
  <c r="AA256" i="12"/>
  <c r="Z256" i="12"/>
  <c r="Y256" i="12"/>
  <c r="X256" i="12"/>
  <c r="W256" i="12"/>
  <c r="V256" i="12"/>
  <c r="AC255" i="12"/>
  <c r="AB255" i="12"/>
  <c r="AA255" i="12"/>
  <c r="Z255" i="12"/>
  <c r="Y255" i="12"/>
  <c r="X255" i="12"/>
  <c r="W255" i="12"/>
  <c r="V255" i="12"/>
  <c r="AC254" i="12"/>
  <c r="AB254" i="12"/>
  <c r="AA254" i="12"/>
  <c r="Z254" i="12"/>
  <c r="Y254" i="12"/>
  <c r="X254" i="12"/>
  <c r="W254" i="12"/>
  <c r="V254" i="12"/>
  <c r="AC253" i="12"/>
  <c r="AB253" i="12"/>
  <c r="AA253" i="12"/>
  <c r="Z253" i="12"/>
  <c r="Y253" i="12"/>
  <c r="X253" i="12"/>
  <c r="W253" i="12"/>
  <c r="V253" i="12"/>
  <c r="AC252" i="12"/>
  <c r="AB252" i="12"/>
  <c r="AA252" i="12"/>
  <c r="Z252" i="12"/>
  <c r="Y252" i="12"/>
  <c r="X252" i="12"/>
  <c r="W252" i="12"/>
  <c r="V252" i="12"/>
  <c r="AC251" i="12"/>
  <c r="AB251" i="12"/>
  <c r="AA251" i="12"/>
  <c r="Z251" i="12"/>
  <c r="Y251" i="12"/>
  <c r="X251" i="12"/>
  <c r="W251" i="12"/>
  <c r="V251" i="12"/>
  <c r="AC250" i="12"/>
  <c r="AB250" i="12"/>
  <c r="AA250" i="12"/>
  <c r="Z250" i="12"/>
  <c r="Y250" i="12"/>
  <c r="X250" i="12"/>
  <c r="W250" i="12"/>
  <c r="V250" i="12"/>
  <c r="AC249" i="12"/>
  <c r="AB249" i="12"/>
  <c r="AA249" i="12"/>
  <c r="Z249" i="12"/>
  <c r="Y249" i="12"/>
  <c r="X249" i="12"/>
  <c r="W249" i="12"/>
  <c r="V249" i="12"/>
  <c r="AC248" i="12"/>
  <c r="AB248" i="12"/>
  <c r="AA248" i="12"/>
  <c r="Z248" i="12"/>
  <c r="Y248" i="12"/>
  <c r="X248" i="12"/>
  <c r="W248" i="12"/>
  <c r="V248" i="12"/>
  <c r="AC247" i="12"/>
  <c r="AB247" i="12"/>
  <c r="AA247" i="12"/>
  <c r="Z247" i="12"/>
  <c r="Y247" i="12"/>
  <c r="X247" i="12"/>
  <c r="W247" i="12"/>
  <c r="V247" i="12"/>
  <c r="AC246" i="12"/>
  <c r="AB246" i="12"/>
  <c r="AA246" i="12"/>
  <c r="Z246" i="12"/>
  <c r="Y246" i="12"/>
  <c r="X246" i="12"/>
  <c r="W246" i="12"/>
  <c r="V246" i="12"/>
  <c r="AC245" i="12"/>
  <c r="AB245" i="12"/>
  <c r="AA245" i="12"/>
  <c r="Z245" i="12"/>
  <c r="Y245" i="12"/>
  <c r="X245" i="12"/>
  <c r="W245" i="12"/>
  <c r="V245" i="12"/>
  <c r="AC244" i="12"/>
  <c r="AB244" i="12"/>
  <c r="AA244" i="12"/>
  <c r="Z244" i="12"/>
  <c r="Y244" i="12"/>
  <c r="X244" i="12"/>
  <c r="W244" i="12"/>
  <c r="V244" i="12"/>
  <c r="AC243" i="12"/>
  <c r="AB243" i="12"/>
  <c r="AA243" i="12"/>
  <c r="Z243" i="12"/>
  <c r="Y243" i="12"/>
  <c r="X243" i="12"/>
  <c r="W243" i="12"/>
  <c r="V243" i="12"/>
  <c r="AC242" i="12"/>
  <c r="AB242" i="12"/>
  <c r="AA242" i="12"/>
  <c r="Z242" i="12"/>
  <c r="Y242" i="12"/>
  <c r="X242" i="12"/>
  <c r="W242" i="12"/>
  <c r="V242" i="12"/>
  <c r="AC241" i="12"/>
  <c r="AB241" i="12"/>
  <c r="AA241" i="12"/>
  <c r="Z241" i="12"/>
  <c r="Y241" i="12"/>
  <c r="X241" i="12"/>
  <c r="W241" i="12"/>
  <c r="V241" i="12"/>
  <c r="AC240" i="12"/>
  <c r="AB240" i="12"/>
  <c r="AA240" i="12"/>
  <c r="Z240" i="12"/>
  <c r="Y240" i="12"/>
  <c r="X240" i="12"/>
  <c r="W240" i="12"/>
  <c r="V240" i="12"/>
  <c r="AC239" i="12"/>
  <c r="AB239" i="12"/>
  <c r="AA239" i="12"/>
  <c r="Z239" i="12"/>
  <c r="Y239" i="12"/>
  <c r="X239" i="12"/>
  <c r="W239" i="12"/>
  <c r="V239" i="12"/>
  <c r="AC238" i="12"/>
  <c r="AB238" i="12"/>
  <c r="AA238" i="12"/>
  <c r="Z238" i="12"/>
  <c r="Y238" i="12"/>
  <c r="X238" i="12"/>
  <c r="W238" i="12"/>
  <c r="V238" i="12"/>
  <c r="AC237" i="12"/>
  <c r="AB237" i="12"/>
  <c r="AA237" i="12"/>
  <c r="Z237" i="12"/>
  <c r="Y237" i="12"/>
  <c r="X237" i="12"/>
  <c r="W237" i="12"/>
  <c r="V237" i="12"/>
  <c r="AC236" i="12"/>
  <c r="AB236" i="12"/>
  <c r="AA236" i="12"/>
  <c r="Z236" i="12"/>
  <c r="Y236" i="12"/>
  <c r="X236" i="12"/>
  <c r="W236" i="12"/>
  <c r="V236" i="12"/>
  <c r="AC235" i="12"/>
  <c r="AB235" i="12"/>
  <c r="AA235" i="12"/>
  <c r="Z235" i="12"/>
  <c r="Y235" i="12"/>
  <c r="X235" i="12"/>
  <c r="W235" i="12"/>
  <c r="V235" i="12"/>
  <c r="AC234" i="12"/>
  <c r="AB234" i="12"/>
  <c r="AA234" i="12"/>
  <c r="Z234" i="12"/>
  <c r="Y234" i="12"/>
  <c r="X234" i="12"/>
  <c r="W234" i="12"/>
  <c r="V234" i="12"/>
  <c r="AC233" i="12"/>
  <c r="AB233" i="12"/>
  <c r="AA233" i="12"/>
  <c r="Z233" i="12"/>
  <c r="Y233" i="12"/>
  <c r="X233" i="12"/>
  <c r="W233" i="12"/>
  <c r="V233" i="12"/>
  <c r="AC232" i="12"/>
  <c r="AB232" i="12"/>
  <c r="AA232" i="12"/>
  <c r="Z232" i="12"/>
  <c r="Y232" i="12"/>
  <c r="X232" i="12"/>
  <c r="W232" i="12"/>
  <c r="V232" i="12"/>
  <c r="AC231" i="12"/>
  <c r="AB231" i="12"/>
  <c r="AA231" i="12"/>
  <c r="Z231" i="12"/>
  <c r="Y231" i="12"/>
  <c r="X231" i="12"/>
  <c r="W231" i="12"/>
  <c r="V231" i="12"/>
  <c r="AC230" i="12"/>
  <c r="AB230" i="12"/>
  <c r="AA230" i="12"/>
  <c r="Z230" i="12"/>
  <c r="Y230" i="12"/>
  <c r="X230" i="12"/>
  <c r="W230" i="12"/>
  <c r="V230" i="12"/>
  <c r="AC229" i="12"/>
  <c r="AB229" i="12"/>
  <c r="AA229" i="12"/>
  <c r="Z229" i="12"/>
  <c r="Y229" i="12"/>
  <c r="X229" i="12"/>
  <c r="W229" i="12"/>
  <c r="V229" i="12"/>
  <c r="AC228" i="12"/>
  <c r="AB228" i="12"/>
  <c r="AA228" i="12"/>
  <c r="Z228" i="12"/>
  <c r="Y228" i="12"/>
  <c r="X228" i="12"/>
  <c r="W228" i="12"/>
  <c r="V228" i="12"/>
  <c r="AC227" i="12"/>
  <c r="AB227" i="12"/>
  <c r="AA227" i="12"/>
  <c r="Z227" i="12"/>
  <c r="Y227" i="12"/>
  <c r="X227" i="12"/>
  <c r="W227" i="12"/>
  <c r="V227" i="12"/>
  <c r="AC226" i="12"/>
  <c r="AB226" i="12"/>
  <c r="AA226" i="12"/>
  <c r="Z226" i="12"/>
  <c r="Y226" i="12"/>
  <c r="X226" i="12"/>
  <c r="W226" i="12"/>
  <c r="V226" i="12"/>
  <c r="AC225" i="12"/>
  <c r="AB225" i="12"/>
  <c r="AA225" i="12"/>
  <c r="Z225" i="12"/>
  <c r="Y225" i="12"/>
  <c r="X225" i="12"/>
  <c r="W225" i="12"/>
  <c r="V225" i="12"/>
  <c r="AC224" i="12"/>
  <c r="AB224" i="12"/>
  <c r="AA224" i="12"/>
  <c r="Z224" i="12"/>
  <c r="Y224" i="12"/>
  <c r="X224" i="12"/>
  <c r="W224" i="12"/>
  <c r="V224" i="12"/>
  <c r="AC223" i="12"/>
  <c r="AB223" i="12"/>
  <c r="AA223" i="12"/>
  <c r="Z223" i="12"/>
  <c r="Y223" i="12"/>
  <c r="X223" i="12"/>
  <c r="W223" i="12"/>
  <c r="V223" i="12"/>
  <c r="AC222" i="12"/>
  <c r="AB222" i="12"/>
  <c r="AA222" i="12"/>
  <c r="Z222" i="12"/>
  <c r="Y222" i="12"/>
  <c r="X222" i="12"/>
  <c r="W222" i="12"/>
  <c r="V222" i="12"/>
  <c r="AC221" i="12"/>
  <c r="AB221" i="12"/>
  <c r="AA221" i="12"/>
  <c r="Z221" i="12"/>
  <c r="Y221" i="12"/>
  <c r="X221" i="12"/>
  <c r="W221" i="12"/>
  <c r="V221" i="12"/>
  <c r="AC220" i="12"/>
  <c r="AB220" i="12"/>
  <c r="AA220" i="12"/>
  <c r="Z220" i="12"/>
  <c r="Y220" i="12"/>
  <c r="X220" i="12"/>
  <c r="W220" i="12"/>
  <c r="V220" i="12"/>
  <c r="AC219" i="12"/>
  <c r="AB219" i="12"/>
  <c r="AA219" i="12"/>
  <c r="Z219" i="12"/>
  <c r="Y219" i="12"/>
  <c r="X219" i="12"/>
  <c r="W219" i="12"/>
  <c r="V219" i="12"/>
  <c r="AC218" i="12"/>
  <c r="AB218" i="12"/>
  <c r="AA218" i="12"/>
  <c r="Z218" i="12"/>
  <c r="Y218" i="12"/>
  <c r="X218" i="12"/>
  <c r="W218" i="12"/>
  <c r="V218" i="12"/>
  <c r="AC217" i="12"/>
  <c r="AB217" i="12"/>
  <c r="AA217" i="12"/>
  <c r="Z217" i="12"/>
  <c r="Y217" i="12"/>
  <c r="X217" i="12"/>
  <c r="W217" i="12"/>
  <c r="V217" i="12"/>
  <c r="AC216" i="12"/>
  <c r="AB216" i="12"/>
  <c r="AA216" i="12"/>
  <c r="Z216" i="12"/>
  <c r="Y216" i="12"/>
  <c r="X216" i="12"/>
  <c r="W216" i="12"/>
  <c r="V216" i="12"/>
  <c r="AC215" i="12"/>
  <c r="AB215" i="12"/>
  <c r="AA215" i="12"/>
  <c r="Z215" i="12"/>
  <c r="Y215" i="12"/>
  <c r="X215" i="12"/>
  <c r="W215" i="12"/>
  <c r="V215" i="12"/>
  <c r="AC214" i="12"/>
  <c r="AB214" i="12"/>
  <c r="AA214" i="12"/>
  <c r="Z214" i="12"/>
  <c r="Y214" i="12"/>
  <c r="X214" i="12"/>
  <c r="W214" i="12"/>
  <c r="V214" i="12"/>
  <c r="AC213" i="12"/>
  <c r="AB213" i="12"/>
  <c r="AA213" i="12"/>
  <c r="Z213" i="12"/>
  <c r="Y213" i="12"/>
  <c r="X213" i="12"/>
  <c r="W213" i="12"/>
  <c r="V213" i="12"/>
  <c r="AC212" i="12"/>
  <c r="AB212" i="12"/>
  <c r="AA212" i="12"/>
  <c r="Z212" i="12"/>
  <c r="Y212" i="12"/>
  <c r="X212" i="12"/>
  <c r="W212" i="12"/>
  <c r="V212" i="12"/>
  <c r="AC211" i="12"/>
  <c r="AB211" i="12"/>
  <c r="AA211" i="12"/>
  <c r="Z211" i="12"/>
  <c r="Y211" i="12"/>
  <c r="X211" i="12"/>
  <c r="W211" i="12"/>
  <c r="V211" i="12"/>
  <c r="AC210" i="12"/>
  <c r="AB210" i="12"/>
  <c r="AA210" i="12"/>
  <c r="Z210" i="12"/>
  <c r="Y210" i="12"/>
  <c r="X210" i="12"/>
  <c r="W210" i="12"/>
  <c r="V210" i="12"/>
  <c r="AC209" i="12"/>
  <c r="AB209" i="12"/>
  <c r="AA209" i="12"/>
  <c r="Z209" i="12"/>
  <c r="Y209" i="12"/>
  <c r="X209" i="12"/>
  <c r="W209" i="12"/>
  <c r="V209" i="12"/>
  <c r="AC208" i="12"/>
  <c r="AB208" i="12"/>
  <c r="AA208" i="12"/>
  <c r="Z208" i="12"/>
  <c r="Y208" i="12"/>
  <c r="X208" i="12"/>
  <c r="W208" i="12"/>
  <c r="V208" i="12"/>
  <c r="AC207" i="12"/>
  <c r="AB207" i="12"/>
  <c r="AA207" i="12"/>
  <c r="Z207" i="12"/>
  <c r="Y207" i="12"/>
  <c r="X207" i="12"/>
  <c r="W207" i="12"/>
  <c r="V207" i="12"/>
  <c r="AC206" i="12"/>
  <c r="AB206" i="12"/>
  <c r="AA206" i="12"/>
  <c r="Z206" i="12"/>
  <c r="Y206" i="12"/>
  <c r="X206" i="12"/>
  <c r="W206" i="12"/>
  <c r="V206" i="12"/>
  <c r="AC205" i="12"/>
  <c r="AB205" i="12"/>
  <c r="AA205" i="12"/>
  <c r="Z205" i="12"/>
  <c r="Y205" i="12"/>
  <c r="X205" i="12"/>
  <c r="W205" i="12"/>
  <c r="V205" i="12"/>
  <c r="AC204" i="12"/>
  <c r="AB204" i="12"/>
  <c r="AA204" i="12"/>
  <c r="Z204" i="12"/>
  <c r="Y204" i="12"/>
  <c r="X204" i="12"/>
  <c r="W204" i="12"/>
  <c r="V204" i="12"/>
  <c r="AC203" i="12"/>
  <c r="AB203" i="12"/>
  <c r="AA203" i="12"/>
  <c r="Z203" i="12"/>
  <c r="Y203" i="12"/>
  <c r="X203" i="12"/>
  <c r="W203" i="12"/>
  <c r="V203" i="12"/>
  <c r="AC202" i="12"/>
  <c r="AB202" i="12"/>
  <c r="AA202" i="12"/>
  <c r="Z202" i="12"/>
  <c r="Y202" i="12"/>
  <c r="X202" i="12"/>
  <c r="W202" i="12"/>
  <c r="V202" i="12"/>
  <c r="AC201" i="12"/>
  <c r="AB201" i="12"/>
  <c r="AA201" i="12"/>
  <c r="Z201" i="12"/>
  <c r="Y201" i="12"/>
  <c r="X201" i="12"/>
  <c r="W201" i="12"/>
  <c r="V201" i="12"/>
  <c r="AC200" i="12"/>
  <c r="AB200" i="12"/>
  <c r="AA200" i="12"/>
  <c r="Z200" i="12"/>
  <c r="Y200" i="12"/>
  <c r="X200" i="12"/>
  <c r="W200" i="12"/>
  <c r="V200" i="12"/>
  <c r="AC199" i="12"/>
  <c r="AB199" i="12"/>
  <c r="AA199" i="12"/>
  <c r="Z199" i="12"/>
  <c r="Y199" i="12"/>
  <c r="X199" i="12"/>
  <c r="W199" i="12"/>
  <c r="V199" i="12"/>
  <c r="AC198" i="12"/>
  <c r="AB198" i="12"/>
  <c r="AA198" i="12"/>
  <c r="Z198" i="12"/>
  <c r="Y198" i="12"/>
  <c r="X198" i="12"/>
  <c r="W198" i="12"/>
  <c r="V198" i="12"/>
  <c r="AC197" i="12"/>
  <c r="AB197" i="12"/>
  <c r="AA197" i="12"/>
  <c r="Z197" i="12"/>
  <c r="Y197" i="12"/>
  <c r="X197" i="12"/>
  <c r="W197" i="12"/>
  <c r="V197" i="12"/>
  <c r="AC196" i="12"/>
  <c r="AB196" i="12"/>
  <c r="AA196" i="12"/>
  <c r="Z196" i="12"/>
  <c r="Y196" i="12"/>
  <c r="X196" i="12"/>
  <c r="W196" i="12"/>
  <c r="V196" i="12"/>
  <c r="AC195" i="12"/>
  <c r="AB195" i="12"/>
  <c r="AA195" i="12"/>
  <c r="Z195" i="12"/>
  <c r="Y195" i="12"/>
  <c r="X195" i="12"/>
  <c r="W195" i="12"/>
  <c r="V195" i="12"/>
  <c r="AC194" i="12"/>
  <c r="AB194" i="12"/>
  <c r="AA194" i="12"/>
  <c r="Z194" i="12"/>
  <c r="Y194" i="12"/>
  <c r="X194" i="12"/>
  <c r="W194" i="12"/>
  <c r="V194" i="12"/>
  <c r="AC193" i="12"/>
  <c r="AB193" i="12"/>
  <c r="AA193" i="12"/>
  <c r="Z193" i="12"/>
  <c r="Y193" i="12"/>
  <c r="X193" i="12"/>
  <c r="W193" i="12"/>
  <c r="V193" i="12"/>
  <c r="AC192" i="12"/>
  <c r="AB192" i="12"/>
  <c r="AA192" i="12"/>
  <c r="Z192" i="12"/>
  <c r="Y192" i="12"/>
  <c r="X192" i="12"/>
  <c r="W192" i="12"/>
  <c r="V192" i="12"/>
  <c r="AC191" i="12"/>
  <c r="AB191" i="12"/>
  <c r="AA191" i="12"/>
  <c r="Z191" i="12"/>
  <c r="Y191" i="12"/>
  <c r="X191" i="12"/>
  <c r="W191" i="12"/>
  <c r="V191" i="12"/>
  <c r="AC190" i="12"/>
  <c r="AB190" i="12"/>
  <c r="AA190" i="12"/>
  <c r="Z190" i="12"/>
  <c r="Y190" i="12"/>
  <c r="X190" i="12"/>
  <c r="W190" i="12"/>
  <c r="V190" i="12"/>
  <c r="AC189" i="12"/>
  <c r="AB189" i="12"/>
  <c r="AA189" i="12"/>
  <c r="Z189" i="12"/>
  <c r="Y189" i="12"/>
  <c r="X189" i="12"/>
  <c r="W189" i="12"/>
  <c r="V189" i="12"/>
  <c r="AC188" i="12"/>
  <c r="AB188" i="12"/>
  <c r="AA188" i="12"/>
  <c r="Z188" i="12"/>
  <c r="Y188" i="12"/>
  <c r="X188" i="12"/>
  <c r="W188" i="12"/>
  <c r="V188" i="12"/>
  <c r="AC187" i="12"/>
  <c r="AB187" i="12"/>
  <c r="AA187" i="12"/>
  <c r="Z187" i="12"/>
  <c r="Y187" i="12"/>
  <c r="X187" i="12"/>
  <c r="W187" i="12"/>
  <c r="V187" i="12"/>
  <c r="AC186" i="12"/>
  <c r="AB186" i="12"/>
  <c r="AA186" i="12"/>
  <c r="Z186" i="12"/>
  <c r="Y186" i="12"/>
  <c r="X186" i="12"/>
  <c r="W186" i="12"/>
  <c r="V186" i="12"/>
  <c r="AC185" i="12"/>
  <c r="AB185" i="12"/>
  <c r="AA185" i="12"/>
  <c r="Z185" i="12"/>
  <c r="Y185" i="12"/>
  <c r="X185" i="12"/>
  <c r="W185" i="12"/>
  <c r="V185" i="12"/>
  <c r="AC184" i="12"/>
  <c r="AB184" i="12"/>
  <c r="AA184" i="12"/>
  <c r="Z184" i="12"/>
  <c r="Y184" i="12"/>
  <c r="X184" i="12"/>
  <c r="W184" i="12"/>
  <c r="V184" i="12"/>
  <c r="AC183" i="12"/>
  <c r="AB183" i="12"/>
  <c r="AA183" i="12"/>
  <c r="Z183" i="12"/>
  <c r="Y183" i="12"/>
  <c r="X183" i="12"/>
  <c r="W183" i="12"/>
  <c r="V183" i="12"/>
  <c r="AC182" i="12"/>
  <c r="AB182" i="12"/>
  <c r="AA182" i="12"/>
  <c r="Z182" i="12"/>
  <c r="Y182" i="12"/>
  <c r="X182" i="12"/>
  <c r="W182" i="12"/>
  <c r="V182" i="12"/>
  <c r="AC181" i="12"/>
  <c r="AB181" i="12"/>
  <c r="AA181" i="12"/>
  <c r="Z181" i="12"/>
  <c r="Y181" i="12"/>
  <c r="X181" i="12"/>
  <c r="W181" i="12"/>
  <c r="V181" i="12"/>
  <c r="AC180" i="12"/>
  <c r="AB180" i="12"/>
  <c r="AA180" i="12"/>
  <c r="Z180" i="12"/>
  <c r="Y180" i="12"/>
  <c r="X180" i="12"/>
  <c r="W180" i="12"/>
  <c r="V180" i="12"/>
  <c r="AC179" i="12"/>
  <c r="AB179" i="12"/>
  <c r="AA179" i="12"/>
  <c r="Z179" i="12"/>
  <c r="Y179" i="12"/>
  <c r="X179" i="12"/>
  <c r="W179" i="12"/>
  <c r="V179" i="12"/>
  <c r="AC178" i="12"/>
  <c r="AB178" i="12"/>
  <c r="AA178" i="12"/>
  <c r="Z178" i="12"/>
  <c r="Y178" i="12"/>
  <c r="X178" i="12"/>
  <c r="W178" i="12"/>
  <c r="V178" i="12"/>
  <c r="AC177" i="12"/>
  <c r="AB177" i="12"/>
  <c r="AA177" i="12"/>
  <c r="Z177" i="12"/>
  <c r="Y177" i="12"/>
  <c r="X177" i="12"/>
  <c r="W177" i="12"/>
  <c r="V177" i="12"/>
  <c r="AC176" i="12"/>
  <c r="AB176" i="12"/>
  <c r="AA176" i="12"/>
  <c r="Z176" i="12"/>
  <c r="Y176" i="12"/>
  <c r="X176" i="12"/>
  <c r="W176" i="12"/>
  <c r="V176" i="12"/>
  <c r="I6000" i="9"/>
  <c r="H6000" i="9"/>
  <c r="I5999" i="9"/>
  <c r="H5999" i="9"/>
  <c r="I5998" i="9"/>
  <c r="H5998" i="9"/>
  <c r="I5997" i="9"/>
  <c r="H5997" i="9"/>
  <c r="I5996" i="9"/>
  <c r="H5996" i="9"/>
  <c r="I5995" i="9"/>
  <c r="H5995" i="9"/>
  <c r="I5994" i="9"/>
  <c r="H5994" i="9"/>
  <c r="I5993" i="9"/>
  <c r="H5993" i="9"/>
  <c r="I5992" i="9"/>
  <c r="H5992" i="9"/>
  <c r="I5991" i="9"/>
  <c r="H5991" i="9"/>
  <c r="I5990" i="9"/>
  <c r="H5990" i="9"/>
  <c r="I5989" i="9"/>
  <c r="H5989" i="9"/>
  <c r="I5988" i="9"/>
  <c r="H5988" i="9"/>
  <c r="I5987" i="9"/>
  <c r="H5987" i="9"/>
  <c r="I5986" i="9"/>
  <c r="H5986" i="9"/>
  <c r="I5985" i="9"/>
  <c r="H5985" i="9"/>
  <c r="I5984" i="9"/>
  <c r="H5984" i="9"/>
  <c r="I5983" i="9"/>
  <c r="H5983" i="9"/>
  <c r="I5982" i="9"/>
  <c r="H5982" i="9"/>
  <c r="I5981" i="9"/>
  <c r="H5981" i="9"/>
  <c r="I5980" i="9"/>
  <c r="H5980" i="9"/>
  <c r="I5979" i="9"/>
  <c r="H5979" i="9"/>
  <c r="I5978" i="9"/>
  <c r="H5978" i="9"/>
  <c r="I5977" i="9"/>
  <c r="H5977" i="9"/>
  <c r="I5976" i="9"/>
  <c r="H5976" i="9"/>
  <c r="I5975" i="9"/>
  <c r="H5975" i="9"/>
  <c r="I5974" i="9"/>
  <c r="H5974" i="9"/>
  <c r="I5973" i="9"/>
  <c r="H5973" i="9"/>
  <c r="I5972" i="9"/>
  <c r="H5972" i="9"/>
  <c r="I5971" i="9"/>
  <c r="H5971" i="9"/>
  <c r="I5970" i="9"/>
  <c r="H5970" i="9"/>
  <c r="I5969" i="9"/>
  <c r="H5969" i="9"/>
  <c r="I5968" i="9"/>
  <c r="H5968" i="9"/>
  <c r="I5967" i="9"/>
  <c r="H5967" i="9"/>
  <c r="I5966" i="9"/>
  <c r="H5966" i="9"/>
  <c r="I5965" i="9"/>
  <c r="H5965" i="9"/>
  <c r="I5964" i="9"/>
  <c r="H5964" i="9"/>
  <c r="I5963" i="9"/>
  <c r="H5963" i="9"/>
  <c r="I5962" i="9"/>
  <c r="H5962" i="9"/>
  <c r="I5961" i="9"/>
  <c r="H5961" i="9"/>
  <c r="I5960" i="9"/>
  <c r="H5960" i="9"/>
  <c r="I5959" i="9"/>
  <c r="H5959" i="9"/>
  <c r="I5958" i="9"/>
  <c r="H5958" i="9"/>
  <c r="I5957" i="9"/>
  <c r="H5957" i="9"/>
  <c r="I5956" i="9"/>
  <c r="H5956" i="9"/>
  <c r="I5955" i="9"/>
  <c r="H5955" i="9"/>
  <c r="I5954" i="9"/>
  <c r="H5954" i="9"/>
  <c r="I5953" i="9"/>
  <c r="H5953" i="9"/>
  <c r="I5952" i="9"/>
  <c r="H5952" i="9"/>
  <c r="I5951" i="9"/>
  <c r="H5951" i="9"/>
  <c r="I5950" i="9"/>
  <c r="H5950" i="9"/>
  <c r="I5949" i="9"/>
  <c r="H5949" i="9"/>
  <c r="I5948" i="9"/>
  <c r="H5948" i="9"/>
  <c r="I5947" i="9"/>
  <c r="H5947" i="9"/>
  <c r="I5946" i="9"/>
  <c r="H5946" i="9"/>
  <c r="I5945" i="9"/>
  <c r="H5945" i="9"/>
  <c r="I5944" i="9"/>
  <c r="H5944" i="9"/>
  <c r="I5943" i="9"/>
  <c r="H5943" i="9"/>
  <c r="I5942" i="9"/>
  <c r="H5942" i="9"/>
  <c r="I5941" i="9"/>
  <c r="H5941" i="9"/>
  <c r="I5940" i="9"/>
  <c r="H5940" i="9"/>
  <c r="I5939" i="9"/>
  <c r="H5939" i="9"/>
  <c r="I5938" i="9"/>
  <c r="H5938" i="9"/>
  <c r="I5937" i="9"/>
  <c r="H5937" i="9"/>
  <c r="I5936" i="9"/>
  <c r="H5936" i="9"/>
  <c r="I5935" i="9"/>
  <c r="H5935" i="9"/>
  <c r="I5934" i="9"/>
  <c r="H5934" i="9"/>
  <c r="I5933" i="9"/>
  <c r="H5933" i="9"/>
  <c r="I5932" i="9"/>
  <c r="H5932" i="9"/>
  <c r="I5931" i="9"/>
  <c r="H5931" i="9"/>
  <c r="I5930" i="9"/>
  <c r="H5930" i="9"/>
  <c r="I5929" i="9"/>
  <c r="H5929" i="9"/>
  <c r="I5928" i="9"/>
  <c r="H5928" i="9"/>
  <c r="I5927" i="9"/>
  <c r="H5927" i="9"/>
  <c r="I5926" i="9"/>
  <c r="H5926" i="9"/>
  <c r="I5925" i="9"/>
  <c r="H5925" i="9"/>
  <c r="I5924" i="9"/>
  <c r="H5924" i="9"/>
  <c r="I5923" i="9"/>
  <c r="H5923" i="9"/>
  <c r="I5922" i="9"/>
  <c r="H5922" i="9"/>
  <c r="I5921" i="9"/>
  <c r="H5921" i="9"/>
  <c r="I5920" i="9"/>
  <c r="H5920" i="9"/>
  <c r="I5919" i="9"/>
  <c r="H5919" i="9"/>
  <c r="I5918" i="9"/>
  <c r="H5918" i="9"/>
  <c r="I5917" i="9"/>
  <c r="H5917" i="9"/>
  <c r="I5916" i="9"/>
  <c r="H5916" i="9"/>
  <c r="I5915" i="9"/>
  <c r="H5915" i="9"/>
  <c r="I5914" i="9"/>
  <c r="H5914" i="9"/>
  <c r="I5913" i="9"/>
  <c r="H5913" i="9"/>
  <c r="I5912" i="9"/>
  <c r="H5912" i="9"/>
  <c r="I5911" i="9"/>
  <c r="H5911" i="9"/>
  <c r="I5910" i="9"/>
  <c r="H5910" i="9"/>
  <c r="I5909" i="9"/>
  <c r="H5909" i="9"/>
  <c r="I5908" i="9"/>
  <c r="H5908" i="9"/>
  <c r="I5907" i="9"/>
  <c r="H5907" i="9"/>
  <c r="I5906" i="9"/>
  <c r="H5906" i="9"/>
  <c r="I5905" i="9"/>
  <c r="H5905" i="9"/>
  <c r="I5904" i="9"/>
  <c r="H5904" i="9"/>
  <c r="I5903" i="9"/>
  <c r="H5903" i="9"/>
  <c r="I5902" i="9"/>
  <c r="H5902" i="9"/>
  <c r="I5901" i="9"/>
  <c r="H5901" i="9"/>
  <c r="I5900" i="9"/>
  <c r="H5900" i="9"/>
  <c r="I5899" i="9"/>
  <c r="H5899" i="9"/>
  <c r="I5898" i="9"/>
  <c r="H5898" i="9"/>
  <c r="I5897" i="9"/>
  <c r="H5897" i="9"/>
  <c r="I5896" i="9"/>
  <c r="H5896" i="9"/>
  <c r="I5895" i="9"/>
  <c r="H5895" i="9"/>
  <c r="I5894" i="9"/>
  <c r="H5894" i="9"/>
  <c r="I5893" i="9"/>
  <c r="H5893" i="9"/>
  <c r="I5892" i="9"/>
  <c r="H5892" i="9"/>
  <c r="I5891" i="9"/>
  <c r="H5891" i="9"/>
  <c r="I5890" i="9"/>
  <c r="H5890" i="9"/>
  <c r="I5889" i="9"/>
  <c r="H5889" i="9"/>
  <c r="I5888" i="9"/>
  <c r="H5888" i="9"/>
  <c r="I5887" i="9"/>
  <c r="H5887" i="9"/>
  <c r="I5886" i="9"/>
  <c r="H5886" i="9"/>
  <c r="I5885" i="9"/>
  <c r="H5885" i="9"/>
  <c r="I5884" i="9"/>
  <c r="H5884" i="9"/>
  <c r="I5883" i="9"/>
  <c r="H5883" i="9"/>
  <c r="I5882" i="9"/>
  <c r="H5882" i="9"/>
  <c r="I5881" i="9"/>
  <c r="H5881" i="9"/>
  <c r="I5880" i="9"/>
  <c r="H5880" i="9"/>
  <c r="I5879" i="9"/>
  <c r="H5879" i="9"/>
  <c r="I5878" i="9"/>
  <c r="H5878" i="9"/>
  <c r="I5877" i="9"/>
  <c r="H5877" i="9"/>
  <c r="I5876" i="9"/>
  <c r="H5876" i="9"/>
  <c r="I5875" i="9"/>
  <c r="H5875" i="9"/>
  <c r="I5874" i="9"/>
  <c r="H5874" i="9"/>
  <c r="I5873" i="9"/>
  <c r="H5873" i="9"/>
  <c r="I5872" i="9"/>
  <c r="H5872" i="9"/>
  <c r="I5871" i="9"/>
  <c r="H5871" i="9"/>
  <c r="I5870" i="9"/>
  <c r="H5870" i="9"/>
  <c r="I5869" i="9"/>
  <c r="H5869" i="9"/>
  <c r="I5868" i="9"/>
  <c r="H5868" i="9"/>
  <c r="I5867" i="9"/>
  <c r="H5867" i="9"/>
  <c r="I5866" i="9"/>
  <c r="H5866" i="9"/>
  <c r="I5865" i="9"/>
  <c r="H5865" i="9"/>
  <c r="I5864" i="9"/>
  <c r="H5864" i="9"/>
  <c r="I5863" i="9"/>
  <c r="H5863" i="9"/>
  <c r="I5862" i="9"/>
  <c r="H5862" i="9"/>
  <c r="I5861" i="9"/>
  <c r="H5861" i="9"/>
  <c r="I5860" i="9"/>
  <c r="H5860" i="9"/>
  <c r="I5859" i="9"/>
  <c r="H5859" i="9"/>
  <c r="I5858" i="9"/>
  <c r="H5858" i="9"/>
  <c r="I5857" i="9"/>
  <c r="H5857" i="9"/>
  <c r="I5856" i="9"/>
  <c r="H5856" i="9"/>
  <c r="I5855" i="9"/>
  <c r="H5855" i="9"/>
  <c r="I5854" i="9"/>
  <c r="H5854" i="9"/>
  <c r="I5853" i="9"/>
  <c r="H5853" i="9"/>
  <c r="I5852" i="9"/>
  <c r="H5852" i="9"/>
  <c r="I5851" i="9"/>
  <c r="H5851" i="9"/>
  <c r="I5850" i="9"/>
  <c r="H5850" i="9"/>
  <c r="I5849" i="9"/>
  <c r="H5849" i="9"/>
  <c r="I5848" i="9"/>
  <c r="H5848" i="9"/>
  <c r="I5847" i="9"/>
  <c r="H5847" i="9"/>
  <c r="I5846" i="9"/>
  <c r="H5846" i="9"/>
  <c r="I5845" i="9"/>
  <c r="H5845" i="9"/>
  <c r="I5844" i="9"/>
  <c r="H5844" i="9"/>
  <c r="I5843" i="9"/>
  <c r="H5843" i="9"/>
  <c r="I5842" i="9"/>
  <c r="H5842" i="9"/>
  <c r="I5841" i="9"/>
  <c r="H5841" i="9"/>
  <c r="I5840" i="9"/>
  <c r="H5840" i="9"/>
  <c r="I5839" i="9"/>
  <c r="H5839" i="9"/>
  <c r="I5838" i="9"/>
  <c r="H5838" i="9"/>
  <c r="I5837" i="9"/>
  <c r="H5837" i="9"/>
  <c r="I5836" i="9"/>
  <c r="H5836" i="9"/>
  <c r="I5835" i="9"/>
  <c r="H5835" i="9"/>
  <c r="I5834" i="9"/>
  <c r="H5834" i="9"/>
  <c r="I5833" i="9"/>
  <c r="H5833" i="9"/>
  <c r="I5832" i="9"/>
  <c r="H5832" i="9"/>
  <c r="I5831" i="9"/>
  <c r="H5831" i="9"/>
  <c r="I5830" i="9"/>
  <c r="H5830" i="9"/>
  <c r="I5829" i="9"/>
  <c r="H5829" i="9"/>
  <c r="I5828" i="9"/>
  <c r="H5828" i="9"/>
  <c r="I5827" i="9"/>
  <c r="H5827" i="9"/>
  <c r="I5826" i="9"/>
  <c r="H5826" i="9"/>
  <c r="I5825" i="9"/>
  <c r="H5825" i="9"/>
  <c r="I5824" i="9"/>
  <c r="H5824" i="9"/>
  <c r="I5823" i="9"/>
  <c r="H5823" i="9"/>
  <c r="I5822" i="9"/>
  <c r="H5822" i="9"/>
  <c r="I5821" i="9"/>
  <c r="H5821" i="9"/>
  <c r="I5820" i="9"/>
  <c r="H5820" i="9"/>
  <c r="I5819" i="9"/>
  <c r="H5819" i="9"/>
  <c r="I5818" i="9"/>
  <c r="H5818" i="9"/>
  <c r="I5817" i="9"/>
  <c r="H5817" i="9"/>
  <c r="I5816" i="9"/>
  <c r="H5816" i="9"/>
  <c r="I5815" i="9"/>
  <c r="H5815" i="9"/>
  <c r="I5814" i="9"/>
  <c r="H5814" i="9"/>
  <c r="I5813" i="9"/>
  <c r="H5813" i="9"/>
  <c r="I5812" i="9"/>
  <c r="H5812" i="9"/>
  <c r="I5811" i="9"/>
  <c r="H5811" i="9"/>
  <c r="I5810" i="9"/>
  <c r="H5810" i="9"/>
  <c r="I5809" i="9"/>
  <c r="H5809" i="9"/>
  <c r="I5808" i="9"/>
  <c r="H5808" i="9"/>
  <c r="I5807" i="9"/>
  <c r="H5807" i="9"/>
  <c r="I5806" i="9"/>
  <c r="H5806" i="9"/>
  <c r="I5805" i="9"/>
  <c r="H5805" i="9"/>
  <c r="I5804" i="9"/>
  <c r="H5804" i="9"/>
  <c r="I5803" i="9"/>
  <c r="H5803" i="9"/>
  <c r="I5802" i="9"/>
  <c r="H5802" i="9"/>
  <c r="I5801" i="9"/>
  <c r="H5801" i="9"/>
  <c r="I5800" i="9"/>
  <c r="H5800" i="9"/>
  <c r="I5799" i="9"/>
  <c r="H5799" i="9"/>
  <c r="I5798" i="9"/>
  <c r="H5798" i="9"/>
  <c r="I5797" i="9"/>
  <c r="H5797" i="9"/>
  <c r="I5796" i="9"/>
  <c r="H5796" i="9"/>
  <c r="I5795" i="9"/>
  <c r="H5795" i="9"/>
  <c r="I5794" i="9"/>
  <c r="H5794" i="9"/>
  <c r="I5793" i="9"/>
  <c r="H5793" i="9"/>
  <c r="I5792" i="9"/>
  <c r="H5792" i="9"/>
  <c r="I5791" i="9"/>
  <c r="H5791" i="9"/>
  <c r="I5790" i="9"/>
  <c r="H5790" i="9"/>
  <c r="I5789" i="9"/>
  <c r="H5789" i="9"/>
  <c r="I5788" i="9"/>
  <c r="H5788" i="9"/>
  <c r="I5787" i="9"/>
  <c r="H5787" i="9"/>
  <c r="I5786" i="9"/>
  <c r="H5786" i="9"/>
  <c r="I5785" i="9"/>
  <c r="H5785" i="9"/>
  <c r="I5784" i="9"/>
  <c r="H5784" i="9"/>
  <c r="I5783" i="9"/>
  <c r="H5783" i="9"/>
  <c r="I5782" i="9"/>
  <c r="H5782" i="9"/>
  <c r="I5781" i="9"/>
  <c r="H5781" i="9"/>
  <c r="I5780" i="9"/>
  <c r="H5780" i="9"/>
  <c r="I5779" i="9"/>
  <c r="H5779" i="9"/>
  <c r="I5778" i="9"/>
  <c r="H5778" i="9"/>
  <c r="I5777" i="9"/>
  <c r="H5777" i="9"/>
  <c r="I5776" i="9"/>
  <c r="H5776" i="9"/>
  <c r="I5775" i="9"/>
  <c r="H5775" i="9"/>
  <c r="I5774" i="9"/>
  <c r="H5774" i="9"/>
  <c r="I5773" i="9"/>
  <c r="H5773" i="9"/>
  <c r="I5772" i="9"/>
  <c r="H5772" i="9"/>
  <c r="I5771" i="9"/>
  <c r="H5771" i="9"/>
  <c r="I5770" i="9"/>
  <c r="H5770" i="9"/>
  <c r="I5769" i="9"/>
  <c r="H5769" i="9"/>
  <c r="I5768" i="9"/>
  <c r="H5768" i="9"/>
  <c r="I5767" i="9"/>
  <c r="H5767" i="9"/>
  <c r="I5766" i="9"/>
  <c r="H5766" i="9"/>
  <c r="I5765" i="9"/>
  <c r="H5765" i="9"/>
  <c r="I5764" i="9"/>
  <c r="H5764" i="9"/>
  <c r="I5763" i="9"/>
  <c r="H5763" i="9"/>
  <c r="I5762" i="9"/>
  <c r="H5762" i="9"/>
  <c r="I5761" i="9"/>
  <c r="H5761" i="9"/>
  <c r="I5760" i="9"/>
  <c r="H5760" i="9"/>
  <c r="I5759" i="9"/>
  <c r="H5759" i="9"/>
  <c r="I5758" i="9"/>
  <c r="H5758" i="9"/>
  <c r="I5757" i="9"/>
  <c r="H5757" i="9"/>
  <c r="I5756" i="9"/>
  <c r="H5756" i="9"/>
  <c r="I5755" i="9"/>
  <c r="H5755" i="9"/>
  <c r="I5754" i="9"/>
  <c r="H5754" i="9"/>
  <c r="I5753" i="9"/>
  <c r="H5753" i="9"/>
  <c r="I5752" i="9"/>
  <c r="H5752" i="9"/>
  <c r="I5751" i="9"/>
  <c r="H5751" i="9"/>
  <c r="I5750" i="9"/>
  <c r="H5750" i="9"/>
  <c r="I5749" i="9"/>
  <c r="H5749" i="9"/>
  <c r="I5748" i="9"/>
  <c r="H5748" i="9"/>
  <c r="I5747" i="9"/>
  <c r="H5747" i="9"/>
  <c r="I5746" i="9"/>
  <c r="H5746" i="9"/>
  <c r="I5745" i="9"/>
  <c r="H5745" i="9"/>
  <c r="I5744" i="9"/>
  <c r="H5744" i="9"/>
  <c r="I5743" i="9"/>
  <c r="H5743" i="9"/>
  <c r="I5742" i="9"/>
  <c r="H5742" i="9"/>
  <c r="I5741" i="9"/>
  <c r="H5741" i="9"/>
  <c r="I5740" i="9"/>
  <c r="H5740" i="9"/>
  <c r="I5739" i="9"/>
  <c r="H5739" i="9"/>
  <c r="I5738" i="9"/>
  <c r="H5738" i="9"/>
  <c r="I5737" i="9"/>
  <c r="H5737" i="9"/>
  <c r="I5736" i="9"/>
  <c r="H5736" i="9"/>
  <c r="I5735" i="9"/>
  <c r="H5735" i="9"/>
  <c r="I5734" i="9"/>
  <c r="H5734" i="9"/>
  <c r="I5733" i="9"/>
  <c r="H5733" i="9"/>
  <c r="I5732" i="9"/>
  <c r="H5732" i="9"/>
  <c r="I5731" i="9"/>
  <c r="H5731" i="9"/>
  <c r="I5730" i="9"/>
  <c r="H5730" i="9"/>
  <c r="I5729" i="9"/>
  <c r="H5729" i="9"/>
  <c r="I5728" i="9"/>
  <c r="H5728" i="9"/>
  <c r="I5727" i="9"/>
  <c r="H5727" i="9"/>
  <c r="I5726" i="9"/>
  <c r="H5726" i="9"/>
  <c r="I5725" i="9"/>
  <c r="H5725" i="9"/>
  <c r="I5724" i="9"/>
  <c r="H5724" i="9"/>
  <c r="I5723" i="9"/>
  <c r="H5723" i="9"/>
  <c r="I5722" i="9"/>
  <c r="H5722" i="9"/>
  <c r="I5721" i="9"/>
  <c r="H5721" i="9"/>
  <c r="I5720" i="9"/>
  <c r="H5720" i="9"/>
  <c r="I5719" i="9"/>
  <c r="H5719" i="9"/>
  <c r="I5718" i="9"/>
  <c r="H5718" i="9"/>
  <c r="I5717" i="9"/>
  <c r="H5717" i="9"/>
  <c r="I5716" i="9"/>
  <c r="H5716" i="9"/>
  <c r="I5715" i="9"/>
  <c r="H5715" i="9"/>
  <c r="I5714" i="9"/>
  <c r="H5714" i="9"/>
  <c r="I5713" i="9"/>
  <c r="H5713" i="9"/>
  <c r="I5712" i="9"/>
  <c r="H5712" i="9"/>
  <c r="I5711" i="9"/>
  <c r="H5711" i="9"/>
  <c r="I5710" i="9"/>
  <c r="H5710" i="9"/>
  <c r="I5709" i="9"/>
  <c r="H5709" i="9"/>
  <c r="I5708" i="9"/>
  <c r="H5708" i="9"/>
  <c r="I5707" i="9"/>
  <c r="H5707" i="9"/>
  <c r="I5706" i="9"/>
  <c r="H5706" i="9"/>
  <c r="I5705" i="9"/>
  <c r="H5705" i="9"/>
  <c r="I5704" i="9"/>
  <c r="H5704" i="9"/>
  <c r="I5703" i="9"/>
  <c r="H5703" i="9"/>
  <c r="I5702" i="9"/>
  <c r="H5702" i="9"/>
  <c r="I5701" i="9"/>
  <c r="H5701" i="9"/>
  <c r="I5700" i="9"/>
  <c r="H5700" i="9"/>
  <c r="I5699" i="9"/>
  <c r="H5699" i="9"/>
  <c r="I5698" i="9"/>
  <c r="H5698" i="9"/>
  <c r="I5697" i="9"/>
  <c r="H5697" i="9"/>
  <c r="I5696" i="9"/>
  <c r="H5696" i="9"/>
  <c r="I5695" i="9"/>
  <c r="H5695" i="9"/>
  <c r="I5694" i="9"/>
  <c r="H5694" i="9"/>
  <c r="I5693" i="9"/>
  <c r="H5693" i="9"/>
  <c r="I5692" i="9"/>
  <c r="H5692" i="9"/>
  <c r="I5691" i="9"/>
  <c r="H5691" i="9"/>
  <c r="I5690" i="9"/>
  <c r="H5690" i="9"/>
  <c r="I5689" i="9"/>
  <c r="H5689" i="9"/>
  <c r="I5688" i="9"/>
  <c r="H5688" i="9"/>
  <c r="I5687" i="9"/>
  <c r="H5687" i="9"/>
  <c r="I5686" i="9"/>
  <c r="H5686" i="9"/>
  <c r="I5685" i="9"/>
  <c r="H5685" i="9"/>
  <c r="I5684" i="9"/>
  <c r="H5684" i="9"/>
  <c r="I5683" i="9"/>
  <c r="H5683" i="9"/>
  <c r="I5682" i="9"/>
  <c r="H5682" i="9"/>
  <c r="I5681" i="9"/>
  <c r="H5681" i="9"/>
  <c r="I5680" i="9"/>
  <c r="H5680" i="9"/>
  <c r="I5679" i="9"/>
  <c r="H5679" i="9"/>
  <c r="I5678" i="9"/>
  <c r="H5678" i="9"/>
  <c r="I5677" i="9"/>
  <c r="H5677" i="9"/>
  <c r="I5676" i="9"/>
  <c r="H5676" i="9"/>
  <c r="I5675" i="9"/>
  <c r="H5675" i="9"/>
  <c r="I5674" i="9"/>
  <c r="H5674" i="9"/>
  <c r="I5673" i="9"/>
  <c r="H5673" i="9"/>
  <c r="I5672" i="9"/>
  <c r="H5672" i="9"/>
  <c r="I5671" i="9"/>
  <c r="H5671" i="9"/>
  <c r="I5670" i="9"/>
  <c r="H5670" i="9"/>
  <c r="I5669" i="9"/>
  <c r="H5669" i="9"/>
  <c r="I5668" i="9"/>
  <c r="H5668" i="9"/>
  <c r="I5667" i="9"/>
  <c r="H5667" i="9"/>
  <c r="I5666" i="9"/>
  <c r="H5666" i="9"/>
  <c r="I5665" i="9"/>
  <c r="H5665" i="9"/>
  <c r="I5664" i="9"/>
  <c r="H5664" i="9"/>
  <c r="I5663" i="9"/>
  <c r="H5663" i="9"/>
  <c r="I5662" i="9"/>
  <c r="H5662" i="9"/>
  <c r="I5661" i="9"/>
  <c r="H5661" i="9"/>
  <c r="I5660" i="9"/>
  <c r="H5660" i="9"/>
  <c r="I5659" i="9"/>
  <c r="H5659" i="9"/>
  <c r="I5658" i="9"/>
  <c r="H5658" i="9"/>
  <c r="I5657" i="9"/>
  <c r="H5657" i="9"/>
  <c r="I5656" i="9"/>
  <c r="H5656" i="9"/>
  <c r="I5655" i="9"/>
  <c r="H5655" i="9"/>
  <c r="I5654" i="9"/>
  <c r="H5654" i="9"/>
  <c r="I5653" i="9"/>
  <c r="H5653" i="9"/>
  <c r="I5652" i="9"/>
  <c r="H5652" i="9"/>
  <c r="I5651" i="9"/>
  <c r="H5651" i="9"/>
  <c r="I5650" i="9"/>
  <c r="H5650" i="9"/>
  <c r="I5649" i="9"/>
  <c r="H5649" i="9"/>
  <c r="I5648" i="9"/>
  <c r="H5648" i="9"/>
  <c r="I5647" i="9"/>
  <c r="H5647" i="9"/>
  <c r="I5646" i="9"/>
  <c r="H5646" i="9"/>
  <c r="I5645" i="9"/>
  <c r="H5645" i="9"/>
  <c r="I5644" i="9"/>
  <c r="H5644" i="9"/>
  <c r="I5643" i="9"/>
  <c r="H5643" i="9"/>
  <c r="I5642" i="9"/>
  <c r="H5642" i="9"/>
  <c r="I5641" i="9"/>
  <c r="H5641" i="9"/>
  <c r="I5640" i="9"/>
  <c r="H5640" i="9"/>
  <c r="I5639" i="9"/>
  <c r="H5639" i="9"/>
  <c r="I5638" i="9"/>
  <c r="H5638" i="9"/>
  <c r="I5637" i="9"/>
  <c r="H5637" i="9"/>
  <c r="I5636" i="9"/>
  <c r="H5636" i="9"/>
  <c r="I5635" i="9"/>
  <c r="H5635" i="9"/>
  <c r="I5634" i="9"/>
  <c r="H5634" i="9"/>
  <c r="I5633" i="9"/>
  <c r="H5633" i="9"/>
  <c r="I5632" i="9"/>
  <c r="H5632" i="9"/>
  <c r="I5631" i="9"/>
  <c r="H5631" i="9"/>
  <c r="I5630" i="9"/>
  <c r="H5630" i="9"/>
  <c r="I5629" i="9"/>
  <c r="H5629" i="9"/>
  <c r="I5628" i="9"/>
  <c r="H5628" i="9"/>
  <c r="I5627" i="9"/>
  <c r="H5627" i="9"/>
  <c r="I5626" i="9"/>
  <c r="H5626" i="9"/>
  <c r="I5625" i="9"/>
  <c r="H5625" i="9"/>
  <c r="I5624" i="9"/>
  <c r="H5624" i="9"/>
  <c r="I5623" i="9"/>
  <c r="H5623" i="9"/>
  <c r="I5622" i="9"/>
  <c r="H5622" i="9"/>
  <c r="I5621" i="9"/>
  <c r="H5621" i="9"/>
  <c r="I5620" i="9"/>
  <c r="H5620" i="9"/>
  <c r="I5619" i="9"/>
  <c r="H5619" i="9"/>
  <c r="I5618" i="9"/>
  <c r="H5618" i="9"/>
  <c r="I5617" i="9"/>
  <c r="H5617" i="9"/>
  <c r="I5616" i="9"/>
  <c r="H5616" i="9"/>
  <c r="I5615" i="9"/>
  <c r="H5615" i="9"/>
  <c r="I5614" i="9"/>
  <c r="H5614" i="9"/>
  <c r="I5613" i="9"/>
  <c r="H5613" i="9"/>
  <c r="I5612" i="9"/>
  <c r="H5612" i="9"/>
  <c r="I5611" i="9"/>
  <c r="H5611" i="9"/>
  <c r="I5610" i="9"/>
  <c r="H5610" i="9"/>
  <c r="I5609" i="9"/>
  <c r="H5609" i="9"/>
  <c r="I5608" i="9"/>
  <c r="H5608" i="9"/>
  <c r="I5607" i="9"/>
  <c r="H5607" i="9"/>
  <c r="I5606" i="9"/>
  <c r="H5606" i="9"/>
  <c r="I5605" i="9"/>
  <c r="H5605" i="9"/>
  <c r="I5604" i="9"/>
  <c r="H5604" i="9"/>
  <c r="I5603" i="9"/>
  <c r="H5603" i="9"/>
  <c r="I5602" i="9"/>
  <c r="H5602" i="9"/>
  <c r="I5601" i="9"/>
  <c r="H5601" i="9"/>
  <c r="I5600" i="9"/>
  <c r="H5600" i="9"/>
  <c r="I5599" i="9"/>
  <c r="H5599" i="9"/>
  <c r="I5598" i="9"/>
  <c r="H5598" i="9"/>
  <c r="I5597" i="9"/>
  <c r="H5597" i="9"/>
  <c r="I5596" i="9"/>
  <c r="H5596" i="9"/>
  <c r="I5595" i="9"/>
  <c r="H5595" i="9"/>
  <c r="I5594" i="9"/>
  <c r="H5594" i="9"/>
  <c r="I5593" i="9"/>
  <c r="H5593" i="9"/>
  <c r="I5592" i="9"/>
  <c r="H5592" i="9"/>
  <c r="I5591" i="9"/>
  <c r="H5591" i="9"/>
  <c r="I5590" i="9"/>
  <c r="H5590" i="9"/>
  <c r="I5589" i="9"/>
  <c r="H5589" i="9"/>
  <c r="I5588" i="9"/>
  <c r="H5588" i="9"/>
  <c r="I5587" i="9"/>
  <c r="H5587" i="9"/>
  <c r="I5586" i="9"/>
  <c r="H5586" i="9"/>
  <c r="I5585" i="9"/>
  <c r="H5585" i="9"/>
  <c r="I5584" i="9"/>
  <c r="H5584" i="9"/>
  <c r="I5583" i="9"/>
  <c r="H5583" i="9"/>
  <c r="I5582" i="9"/>
  <c r="H5582" i="9"/>
  <c r="I5581" i="9"/>
  <c r="H5581" i="9"/>
  <c r="I5580" i="9"/>
  <c r="H5580" i="9"/>
  <c r="I5579" i="9"/>
  <c r="H5579" i="9"/>
  <c r="I5578" i="9"/>
  <c r="H5578" i="9"/>
  <c r="I5577" i="9"/>
  <c r="H5577" i="9"/>
  <c r="I5576" i="9"/>
  <c r="H5576" i="9"/>
  <c r="I5575" i="9"/>
  <c r="H5575" i="9"/>
  <c r="I5574" i="9"/>
  <c r="H5574" i="9"/>
  <c r="I5573" i="9"/>
  <c r="H5573" i="9"/>
  <c r="I5572" i="9"/>
  <c r="H5572" i="9"/>
  <c r="I5571" i="9"/>
  <c r="H5571" i="9"/>
  <c r="I5570" i="9"/>
  <c r="H5570" i="9"/>
  <c r="I5569" i="9"/>
  <c r="H5569" i="9"/>
  <c r="I5568" i="9"/>
  <c r="H5568" i="9"/>
  <c r="I5567" i="9"/>
  <c r="H5567" i="9"/>
  <c r="I5566" i="9"/>
  <c r="H5566" i="9"/>
  <c r="I5565" i="9"/>
  <c r="H5565" i="9"/>
  <c r="I5564" i="9"/>
  <c r="H5564" i="9"/>
  <c r="I5563" i="9"/>
  <c r="H5563" i="9"/>
  <c r="I5562" i="9"/>
  <c r="H5562" i="9"/>
  <c r="I5561" i="9"/>
  <c r="H5561" i="9"/>
  <c r="I5560" i="9"/>
  <c r="H5560" i="9"/>
  <c r="I5559" i="9"/>
  <c r="H5559" i="9"/>
  <c r="I5558" i="9"/>
  <c r="H5558" i="9"/>
  <c r="I5557" i="9"/>
  <c r="H5557" i="9"/>
  <c r="I5556" i="9"/>
  <c r="H5556" i="9"/>
  <c r="I5555" i="9"/>
  <c r="H5555" i="9"/>
  <c r="I5554" i="9"/>
  <c r="H5554" i="9"/>
  <c r="I5553" i="9"/>
  <c r="H5553" i="9"/>
  <c r="I5552" i="9"/>
  <c r="H5552" i="9"/>
  <c r="I5551" i="9"/>
  <c r="H5551" i="9"/>
  <c r="I5550" i="9"/>
  <c r="H5550" i="9"/>
  <c r="I5549" i="9"/>
  <c r="H5549" i="9"/>
  <c r="I5548" i="9"/>
  <c r="H5548" i="9"/>
  <c r="I5547" i="9"/>
  <c r="H5547" i="9"/>
  <c r="I5546" i="9"/>
  <c r="H5546" i="9"/>
  <c r="I5545" i="9"/>
  <c r="H5545" i="9"/>
  <c r="I5544" i="9"/>
  <c r="H5544" i="9"/>
  <c r="I5543" i="9"/>
  <c r="H5543" i="9"/>
  <c r="I5542" i="9"/>
  <c r="H5542" i="9"/>
  <c r="I5541" i="9"/>
  <c r="H5541" i="9"/>
  <c r="I5540" i="9"/>
  <c r="H5540" i="9"/>
  <c r="I5539" i="9"/>
  <c r="H5539" i="9"/>
  <c r="I5538" i="9"/>
  <c r="H5538" i="9"/>
  <c r="I5537" i="9"/>
  <c r="H5537" i="9"/>
  <c r="I5536" i="9"/>
  <c r="H5536" i="9"/>
  <c r="I5535" i="9"/>
  <c r="H5535" i="9"/>
  <c r="I5534" i="9"/>
  <c r="H5534" i="9"/>
  <c r="I5533" i="9"/>
  <c r="H5533" i="9"/>
  <c r="I5532" i="9"/>
  <c r="H5532" i="9"/>
  <c r="I5531" i="9"/>
  <c r="H5531" i="9"/>
  <c r="I5530" i="9"/>
  <c r="H5530" i="9"/>
  <c r="I5529" i="9"/>
  <c r="H5529" i="9"/>
  <c r="I5528" i="9"/>
  <c r="H5528" i="9"/>
  <c r="I5527" i="9"/>
  <c r="H5527" i="9"/>
  <c r="I5526" i="9"/>
  <c r="H5526" i="9"/>
  <c r="I5525" i="9"/>
  <c r="H5525" i="9"/>
  <c r="I5524" i="9"/>
  <c r="H5524" i="9"/>
  <c r="I5523" i="9"/>
  <c r="H5523" i="9"/>
  <c r="I5522" i="9"/>
  <c r="H5522" i="9"/>
  <c r="I5521" i="9"/>
  <c r="H5521" i="9"/>
  <c r="I5520" i="9"/>
  <c r="H5520" i="9"/>
  <c r="I5519" i="9"/>
  <c r="H5519" i="9"/>
  <c r="I5518" i="9"/>
  <c r="H5518" i="9"/>
  <c r="I5517" i="9"/>
  <c r="H5517" i="9"/>
  <c r="I5516" i="9"/>
  <c r="H5516" i="9"/>
  <c r="I5515" i="9"/>
  <c r="H5515" i="9"/>
  <c r="I5514" i="9"/>
  <c r="H5514" i="9"/>
  <c r="I5513" i="9"/>
  <c r="H5513" i="9"/>
  <c r="I5512" i="9"/>
  <c r="H5512" i="9"/>
  <c r="I5511" i="9"/>
  <c r="H5511" i="9"/>
  <c r="I5510" i="9"/>
  <c r="H5510" i="9"/>
  <c r="I5509" i="9"/>
  <c r="H5509" i="9"/>
  <c r="I5508" i="9"/>
  <c r="H5508" i="9"/>
  <c r="I5507" i="9"/>
  <c r="H5507" i="9"/>
  <c r="I5506" i="9"/>
  <c r="H5506" i="9"/>
  <c r="I5505" i="9"/>
  <c r="H5505" i="9"/>
  <c r="I5504" i="9"/>
  <c r="H5504" i="9"/>
  <c r="I5503" i="9"/>
  <c r="H5503" i="9"/>
  <c r="I5502" i="9"/>
  <c r="H5502" i="9"/>
  <c r="I5501" i="9"/>
  <c r="H5501" i="9"/>
  <c r="I5500" i="9"/>
  <c r="H5500" i="9"/>
  <c r="I5499" i="9"/>
  <c r="H5499" i="9"/>
  <c r="I5498" i="9"/>
  <c r="H5498" i="9"/>
  <c r="I5497" i="9"/>
  <c r="H5497" i="9"/>
  <c r="I5496" i="9"/>
  <c r="H5496" i="9"/>
  <c r="I5495" i="9"/>
  <c r="H5495" i="9"/>
  <c r="I5494" i="9"/>
  <c r="H5494" i="9"/>
  <c r="I5493" i="9"/>
  <c r="H5493" i="9"/>
  <c r="I5492" i="9"/>
  <c r="H5492" i="9"/>
  <c r="I5491" i="9"/>
  <c r="H5491" i="9"/>
  <c r="I5490" i="9"/>
  <c r="H5490" i="9"/>
  <c r="I5489" i="9"/>
  <c r="H5489" i="9"/>
  <c r="I5488" i="9"/>
  <c r="H5488" i="9"/>
  <c r="I5487" i="9"/>
  <c r="H5487" i="9"/>
  <c r="I5486" i="9"/>
  <c r="H5486" i="9"/>
  <c r="I5485" i="9"/>
  <c r="H5485" i="9"/>
  <c r="I5484" i="9"/>
  <c r="H5484" i="9"/>
  <c r="I5483" i="9"/>
  <c r="H5483" i="9"/>
  <c r="I5482" i="9"/>
  <c r="H5482" i="9"/>
  <c r="I5481" i="9"/>
  <c r="H5481" i="9"/>
  <c r="I5480" i="9"/>
  <c r="H5480" i="9"/>
  <c r="I5479" i="9"/>
  <c r="H5479" i="9"/>
  <c r="I5478" i="9"/>
  <c r="H5478" i="9"/>
  <c r="I5477" i="9"/>
  <c r="H5477" i="9"/>
  <c r="I5476" i="9"/>
  <c r="H5476" i="9"/>
  <c r="I5475" i="9"/>
  <c r="H5475" i="9"/>
  <c r="I5474" i="9"/>
  <c r="H5474" i="9"/>
  <c r="I5473" i="9"/>
  <c r="H5473" i="9"/>
  <c r="I5472" i="9"/>
  <c r="H5472" i="9"/>
  <c r="I5471" i="9"/>
  <c r="H5471" i="9"/>
  <c r="I5470" i="9"/>
  <c r="H5470" i="9"/>
  <c r="I5469" i="9"/>
  <c r="H5469" i="9"/>
  <c r="I5468" i="9"/>
  <c r="H5468" i="9"/>
  <c r="I5467" i="9"/>
  <c r="H5467" i="9"/>
  <c r="I5466" i="9"/>
  <c r="H5466" i="9"/>
  <c r="I5465" i="9"/>
  <c r="H5465" i="9"/>
  <c r="I5464" i="9"/>
  <c r="H5464" i="9"/>
  <c r="I5463" i="9"/>
  <c r="H5463" i="9"/>
  <c r="I5462" i="9"/>
  <c r="H5462" i="9"/>
  <c r="I5461" i="9"/>
  <c r="H5461" i="9"/>
  <c r="I5460" i="9"/>
  <c r="H5460" i="9"/>
  <c r="I5459" i="9"/>
  <c r="H5459" i="9"/>
  <c r="I5458" i="9"/>
  <c r="H5458" i="9"/>
  <c r="I5457" i="9"/>
  <c r="H5457" i="9"/>
  <c r="I5456" i="9"/>
  <c r="H5456" i="9"/>
  <c r="I5455" i="9"/>
  <c r="H5455" i="9"/>
  <c r="I5454" i="9"/>
  <c r="H5454" i="9"/>
  <c r="I5453" i="9"/>
  <c r="H5453" i="9"/>
  <c r="I5452" i="9"/>
  <c r="H5452" i="9"/>
  <c r="I5451" i="9"/>
  <c r="H5451" i="9"/>
  <c r="I5450" i="9"/>
  <c r="H5450" i="9"/>
  <c r="I5449" i="9"/>
  <c r="H5449" i="9"/>
  <c r="I5448" i="9"/>
  <c r="H5448" i="9"/>
  <c r="I5447" i="9"/>
  <c r="H5447" i="9"/>
  <c r="I5446" i="9"/>
  <c r="H5446" i="9"/>
  <c r="I5445" i="9"/>
  <c r="H5445" i="9"/>
  <c r="I5444" i="9"/>
  <c r="H5444" i="9"/>
  <c r="I5443" i="9"/>
  <c r="H5443" i="9"/>
  <c r="I5442" i="9"/>
  <c r="H5442" i="9"/>
  <c r="I5441" i="9"/>
  <c r="H5441" i="9"/>
  <c r="I5440" i="9"/>
  <c r="H5440" i="9"/>
  <c r="I5439" i="9"/>
  <c r="H5439" i="9"/>
  <c r="I5438" i="9"/>
  <c r="H5438" i="9"/>
  <c r="I5437" i="9"/>
  <c r="H5437" i="9"/>
  <c r="I5436" i="9"/>
  <c r="H5436" i="9"/>
  <c r="I5435" i="9"/>
  <c r="H5435" i="9"/>
  <c r="I5434" i="9"/>
  <c r="H5434" i="9"/>
  <c r="I5433" i="9"/>
  <c r="H5433" i="9"/>
  <c r="I5432" i="9"/>
  <c r="H5432" i="9"/>
  <c r="I5431" i="9"/>
  <c r="H5431" i="9"/>
  <c r="I5430" i="9"/>
  <c r="H5430" i="9"/>
  <c r="I5429" i="9"/>
  <c r="H5429" i="9"/>
  <c r="I5428" i="9"/>
  <c r="H5428" i="9"/>
  <c r="I5427" i="9"/>
  <c r="H5427" i="9"/>
  <c r="I5426" i="9"/>
  <c r="H5426" i="9"/>
  <c r="I5425" i="9"/>
  <c r="H5425" i="9"/>
  <c r="I5424" i="9"/>
  <c r="H5424" i="9"/>
  <c r="I5423" i="9"/>
  <c r="H5423" i="9"/>
  <c r="I5422" i="9"/>
  <c r="H5422" i="9"/>
  <c r="I5421" i="9"/>
  <c r="H5421" i="9"/>
  <c r="I5420" i="9"/>
  <c r="H5420" i="9"/>
  <c r="I5419" i="9"/>
  <c r="H5419" i="9"/>
  <c r="I5418" i="9"/>
  <c r="H5418" i="9"/>
  <c r="I5417" i="9"/>
  <c r="H5417" i="9"/>
  <c r="I5416" i="9"/>
  <c r="H5416" i="9"/>
  <c r="I5415" i="9"/>
  <c r="H5415" i="9"/>
  <c r="I5414" i="9"/>
  <c r="H5414" i="9"/>
  <c r="I5413" i="9"/>
  <c r="H5413" i="9"/>
  <c r="I5412" i="9"/>
  <c r="H5412" i="9"/>
  <c r="I5411" i="9"/>
  <c r="H5411" i="9"/>
  <c r="I5410" i="9"/>
  <c r="H5410" i="9"/>
  <c r="I5409" i="9"/>
  <c r="H5409" i="9"/>
  <c r="I5408" i="9"/>
  <c r="H5408" i="9"/>
  <c r="I5407" i="9"/>
  <c r="H5407" i="9"/>
  <c r="I5406" i="9"/>
  <c r="H5406" i="9"/>
  <c r="I5405" i="9"/>
  <c r="H5405" i="9"/>
  <c r="I5404" i="9"/>
  <c r="H5404" i="9"/>
  <c r="I5403" i="9"/>
  <c r="H5403" i="9"/>
  <c r="I5402" i="9"/>
  <c r="H5402" i="9"/>
  <c r="I5401" i="9"/>
  <c r="H5401" i="9"/>
  <c r="I5400" i="9"/>
  <c r="H5400" i="9"/>
  <c r="I5399" i="9"/>
  <c r="H5399" i="9"/>
  <c r="I5398" i="9"/>
  <c r="H5398" i="9"/>
  <c r="I5397" i="9"/>
  <c r="H5397" i="9"/>
  <c r="I5396" i="9"/>
  <c r="H5396" i="9"/>
  <c r="I5395" i="9"/>
  <c r="H5395" i="9"/>
  <c r="I5394" i="9"/>
  <c r="H5394" i="9"/>
  <c r="I5393" i="9"/>
  <c r="H5393" i="9"/>
  <c r="I5392" i="9"/>
  <c r="H5392" i="9"/>
  <c r="I5391" i="9"/>
  <c r="H5391" i="9"/>
  <c r="I5390" i="9"/>
  <c r="H5390" i="9"/>
  <c r="I5389" i="9"/>
  <c r="H5389" i="9"/>
  <c r="I5388" i="9"/>
  <c r="H5388" i="9"/>
  <c r="I5387" i="9"/>
  <c r="H5387" i="9"/>
  <c r="I5386" i="9"/>
  <c r="H5386" i="9"/>
  <c r="I5385" i="9"/>
  <c r="H5385" i="9"/>
  <c r="I5384" i="9"/>
  <c r="H5384" i="9"/>
  <c r="I5383" i="9"/>
  <c r="H5383" i="9"/>
  <c r="I5382" i="9"/>
  <c r="H5382" i="9"/>
  <c r="I5381" i="9"/>
  <c r="H5381" i="9"/>
  <c r="I5380" i="9"/>
  <c r="H5380" i="9"/>
  <c r="I5379" i="9"/>
  <c r="H5379" i="9"/>
  <c r="I5378" i="9"/>
  <c r="H5378" i="9"/>
  <c r="I5377" i="9"/>
  <c r="H5377" i="9"/>
  <c r="I5376" i="9"/>
  <c r="H5376" i="9"/>
  <c r="I5375" i="9"/>
  <c r="H5375" i="9"/>
  <c r="I5374" i="9"/>
  <c r="H5374" i="9"/>
  <c r="I5373" i="9"/>
  <c r="H5373" i="9"/>
  <c r="I5372" i="9"/>
  <c r="H5372" i="9"/>
  <c r="I5371" i="9"/>
  <c r="H5371" i="9"/>
  <c r="I5370" i="9"/>
  <c r="H5370" i="9"/>
  <c r="I5369" i="9"/>
  <c r="H5369" i="9"/>
  <c r="I5368" i="9"/>
  <c r="H5368" i="9"/>
  <c r="I5367" i="9"/>
  <c r="H5367" i="9"/>
  <c r="I5366" i="9"/>
  <c r="H5366" i="9"/>
  <c r="I5365" i="9"/>
  <c r="H5365" i="9"/>
  <c r="I5364" i="9"/>
  <c r="H5364" i="9"/>
  <c r="I5363" i="9"/>
  <c r="H5363" i="9"/>
  <c r="I5362" i="9"/>
  <c r="H5362" i="9"/>
  <c r="I5361" i="9"/>
  <c r="H5361" i="9"/>
  <c r="I5360" i="9"/>
  <c r="H5360" i="9"/>
  <c r="I5359" i="9"/>
  <c r="H5359" i="9"/>
  <c r="I5358" i="9"/>
  <c r="H5358" i="9"/>
  <c r="I5357" i="9"/>
  <c r="H5357" i="9"/>
  <c r="I5356" i="9"/>
  <c r="H5356" i="9"/>
  <c r="I5355" i="9"/>
  <c r="H5355" i="9"/>
  <c r="I5354" i="9"/>
  <c r="H5354" i="9"/>
  <c r="I5353" i="9"/>
  <c r="H5353" i="9"/>
  <c r="I5352" i="9"/>
  <c r="H5352" i="9"/>
  <c r="I5351" i="9"/>
  <c r="H5351" i="9"/>
  <c r="I5350" i="9"/>
  <c r="H5350" i="9"/>
  <c r="I5349" i="9"/>
  <c r="H5349" i="9"/>
  <c r="I5348" i="9"/>
  <c r="H5348" i="9"/>
  <c r="I5347" i="9"/>
  <c r="H5347" i="9"/>
  <c r="I5346" i="9"/>
  <c r="H5346" i="9"/>
  <c r="I5345" i="9"/>
  <c r="H5345" i="9"/>
  <c r="I5344" i="9"/>
  <c r="H5344" i="9"/>
  <c r="I5343" i="9"/>
  <c r="H5343" i="9"/>
  <c r="I5342" i="9"/>
  <c r="H5342" i="9"/>
  <c r="I5341" i="9"/>
  <c r="H5341" i="9"/>
  <c r="I5340" i="9"/>
  <c r="H5340" i="9"/>
  <c r="I5339" i="9"/>
  <c r="H5339" i="9"/>
  <c r="I5338" i="9"/>
  <c r="H5338" i="9"/>
  <c r="I5337" i="9"/>
  <c r="H5337" i="9"/>
  <c r="I5336" i="9"/>
  <c r="H5336" i="9"/>
  <c r="I5335" i="9"/>
  <c r="H5335" i="9"/>
  <c r="I5334" i="9"/>
  <c r="H5334" i="9"/>
  <c r="I5333" i="9"/>
  <c r="H5333" i="9"/>
  <c r="I5332" i="9"/>
  <c r="H5332" i="9"/>
  <c r="I5331" i="9"/>
  <c r="H5331" i="9"/>
  <c r="I5330" i="9"/>
  <c r="H5330" i="9"/>
  <c r="I5329" i="9"/>
  <c r="H5329" i="9"/>
  <c r="I5328" i="9"/>
  <c r="H5328" i="9"/>
  <c r="I5327" i="9"/>
  <c r="H5327" i="9"/>
  <c r="I5326" i="9"/>
  <c r="H5326" i="9"/>
  <c r="I5325" i="9"/>
  <c r="H5325" i="9"/>
  <c r="I5324" i="9"/>
  <c r="H5324" i="9"/>
  <c r="I5323" i="9"/>
  <c r="H5323" i="9"/>
  <c r="I5322" i="9"/>
  <c r="H5322" i="9"/>
  <c r="I5321" i="9"/>
  <c r="H5321" i="9"/>
  <c r="I5320" i="9"/>
  <c r="H5320" i="9"/>
  <c r="I5319" i="9"/>
  <c r="H5319" i="9"/>
  <c r="I5318" i="9"/>
  <c r="H5318" i="9"/>
  <c r="I5317" i="9"/>
  <c r="H5317" i="9"/>
  <c r="I5316" i="9"/>
  <c r="H5316" i="9"/>
  <c r="I5315" i="9"/>
  <c r="H5315" i="9"/>
  <c r="I5314" i="9"/>
  <c r="H5314" i="9"/>
  <c r="I5313" i="9"/>
  <c r="H5313" i="9"/>
  <c r="I5312" i="9"/>
  <c r="H5312" i="9"/>
  <c r="I5311" i="9"/>
  <c r="H5311" i="9"/>
  <c r="I5310" i="9"/>
  <c r="H5310" i="9"/>
  <c r="I5309" i="9"/>
  <c r="H5309" i="9"/>
  <c r="I5308" i="9"/>
  <c r="H5308" i="9"/>
  <c r="I5307" i="9"/>
  <c r="H5307" i="9"/>
  <c r="I5306" i="9"/>
  <c r="H5306" i="9"/>
  <c r="I5305" i="9"/>
  <c r="H5305" i="9"/>
  <c r="I5304" i="9"/>
  <c r="H5304" i="9"/>
  <c r="I5303" i="9"/>
  <c r="H5303" i="9"/>
  <c r="I5302" i="9"/>
  <c r="H5302" i="9"/>
  <c r="I5301" i="9"/>
  <c r="H5301" i="9"/>
  <c r="I5300" i="9"/>
  <c r="H5300" i="9"/>
  <c r="I5299" i="9"/>
  <c r="H5299" i="9"/>
  <c r="I5298" i="9"/>
  <c r="H5298" i="9"/>
  <c r="I5297" i="9"/>
  <c r="H5297" i="9"/>
  <c r="I5296" i="9"/>
  <c r="H5296" i="9"/>
  <c r="I5295" i="9"/>
  <c r="H5295" i="9"/>
  <c r="I5294" i="9"/>
  <c r="H5294" i="9"/>
  <c r="I5293" i="9"/>
  <c r="H5293" i="9"/>
  <c r="I5292" i="9"/>
  <c r="H5292" i="9"/>
  <c r="I5291" i="9"/>
  <c r="H5291" i="9"/>
  <c r="I5290" i="9"/>
  <c r="H5290" i="9"/>
  <c r="I5289" i="9"/>
  <c r="H5289" i="9"/>
  <c r="I5288" i="9"/>
  <c r="H5288" i="9"/>
  <c r="I5287" i="9"/>
  <c r="H5287" i="9"/>
  <c r="I5286" i="9"/>
  <c r="H5286" i="9"/>
  <c r="I5285" i="9"/>
  <c r="H5285" i="9"/>
  <c r="I5284" i="9"/>
  <c r="H5284" i="9"/>
  <c r="I5283" i="9"/>
  <c r="H5283" i="9"/>
  <c r="I5282" i="9"/>
  <c r="H5282" i="9"/>
  <c r="I5281" i="9"/>
  <c r="H5281" i="9"/>
  <c r="I5280" i="9"/>
  <c r="H5280" i="9"/>
  <c r="I5279" i="9"/>
  <c r="H5279" i="9"/>
  <c r="I5278" i="9"/>
  <c r="H5278" i="9"/>
  <c r="I5277" i="9"/>
  <c r="H5277" i="9"/>
  <c r="I5276" i="9"/>
  <c r="H5276" i="9"/>
  <c r="I5275" i="9"/>
  <c r="H5275" i="9"/>
  <c r="I5274" i="9"/>
  <c r="H5274" i="9"/>
  <c r="I5273" i="9"/>
  <c r="H5273" i="9"/>
  <c r="I5272" i="9"/>
  <c r="H5272" i="9"/>
  <c r="I5271" i="9"/>
  <c r="H5271" i="9"/>
  <c r="I5270" i="9"/>
  <c r="H5270" i="9"/>
  <c r="I5269" i="9"/>
  <c r="H5269" i="9"/>
  <c r="I5268" i="9"/>
  <c r="H5268" i="9"/>
  <c r="I5267" i="9"/>
  <c r="H5267" i="9"/>
  <c r="I5266" i="9"/>
  <c r="H5266" i="9"/>
  <c r="I5265" i="9"/>
  <c r="H5265" i="9"/>
  <c r="I5264" i="9"/>
  <c r="H5264" i="9"/>
  <c r="I5263" i="9"/>
  <c r="H5263" i="9"/>
  <c r="I5262" i="9"/>
  <c r="H5262" i="9"/>
  <c r="I5261" i="9"/>
  <c r="H5261" i="9"/>
  <c r="I5260" i="9"/>
  <c r="H5260" i="9"/>
  <c r="I5259" i="9"/>
  <c r="H5259" i="9"/>
  <c r="I5258" i="9"/>
  <c r="H5258" i="9"/>
  <c r="I5257" i="9"/>
  <c r="H5257" i="9"/>
  <c r="I5256" i="9"/>
  <c r="H5256" i="9"/>
  <c r="I5255" i="9"/>
  <c r="H5255" i="9"/>
  <c r="I5254" i="9"/>
  <c r="H5254" i="9"/>
  <c r="I5253" i="9"/>
  <c r="H5253" i="9"/>
  <c r="I5252" i="9"/>
  <c r="H5252" i="9"/>
  <c r="I5251" i="9"/>
  <c r="H5251" i="9"/>
  <c r="I5250" i="9"/>
  <c r="H5250" i="9"/>
  <c r="I5249" i="9"/>
  <c r="H5249" i="9"/>
  <c r="I5248" i="9"/>
  <c r="H5248" i="9"/>
  <c r="I5247" i="9"/>
  <c r="H5247" i="9"/>
  <c r="I5246" i="9"/>
  <c r="H5246" i="9"/>
  <c r="I5245" i="9"/>
  <c r="H5245" i="9"/>
  <c r="I5244" i="9"/>
  <c r="H5244" i="9"/>
  <c r="I5243" i="9"/>
  <c r="H5243" i="9"/>
  <c r="I5242" i="9"/>
  <c r="H5242" i="9"/>
  <c r="I5241" i="9"/>
  <c r="H5241" i="9"/>
  <c r="I5240" i="9"/>
  <c r="H5240" i="9"/>
  <c r="I5239" i="9"/>
  <c r="H5239" i="9"/>
  <c r="I5238" i="9"/>
  <c r="H5238" i="9"/>
  <c r="I5237" i="9"/>
  <c r="H5237" i="9"/>
  <c r="I5236" i="9"/>
  <c r="H5236" i="9"/>
  <c r="I5235" i="9"/>
  <c r="H5235" i="9"/>
  <c r="I5234" i="9"/>
  <c r="H5234" i="9"/>
  <c r="I5233" i="9"/>
  <c r="H5233" i="9"/>
  <c r="I5232" i="9"/>
  <c r="H5232" i="9"/>
  <c r="I5231" i="9"/>
  <c r="H5231" i="9"/>
  <c r="I5230" i="9"/>
  <c r="H5230" i="9"/>
  <c r="I5229" i="9"/>
  <c r="H5229" i="9"/>
  <c r="I5228" i="9"/>
  <c r="H5228" i="9"/>
  <c r="I5227" i="9"/>
  <c r="H5227" i="9"/>
  <c r="I5226" i="9"/>
  <c r="H5226" i="9"/>
  <c r="I5225" i="9"/>
  <c r="H5225" i="9"/>
  <c r="I5224" i="9"/>
  <c r="H5224" i="9"/>
  <c r="I5223" i="9"/>
  <c r="H5223" i="9"/>
  <c r="I5222" i="9"/>
  <c r="H5222" i="9"/>
  <c r="I5221" i="9"/>
  <c r="H5221" i="9"/>
  <c r="I5220" i="9"/>
  <c r="H5220" i="9"/>
  <c r="I5219" i="9"/>
  <c r="H5219" i="9"/>
  <c r="I5218" i="9"/>
  <c r="H5218" i="9"/>
  <c r="I5217" i="9"/>
  <c r="H5217" i="9"/>
  <c r="I5216" i="9"/>
  <c r="H5216" i="9"/>
  <c r="I5215" i="9"/>
  <c r="H5215" i="9"/>
  <c r="I5214" i="9"/>
  <c r="H5214" i="9"/>
  <c r="I5213" i="9"/>
  <c r="H5213" i="9"/>
  <c r="I5212" i="9"/>
  <c r="H5212" i="9"/>
  <c r="I5211" i="9"/>
  <c r="H5211" i="9"/>
  <c r="I5210" i="9"/>
  <c r="H5210" i="9"/>
  <c r="I5209" i="9"/>
  <c r="H5209" i="9"/>
  <c r="I5208" i="9"/>
  <c r="H5208" i="9"/>
  <c r="I5207" i="9"/>
  <c r="H5207" i="9"/>
  <c r="I5206" i="9"/>
  <c r="H5206" i="9"/>
  <c r="I5205" i="9"/>
  <c r="H5205" i="9"/>
  <c r="I5204" i="9"/>
  <c r="H5204" i="9"/>
  <c r="I5203" i="9"/>
  <c r="H5203" i="9"/>
  <c r="I5202" i="9"/>
  <c r="H5202" i="9"/>
  <c r="I5201" i="9"/>
  <c r="H5201" i="9"/>
  <c r="I5200" i="9"/>
  <c r="H5200" i="9"/>
  <c r="I5199" i="9"/>
  <c r="H5199" i="9"/>
  <c r="I5198" i="9"/>
  <c r="H5198" i="9"/>
  <c r="I5197" i="9"/>
  <c r="H5197" i="9"/>
  <c r="I5196" i="9"/>
  <c r="H5196" i="9"/>
  <c r="I5195" i="9"/>
  <c r="H5195" i="9"/>
  <c r="I5194" i="9"/>
  <c r="H5194" i="9"/>
  <c r="I5193" i="9"/>
  <c r="H5193" i="9"/>
  <c r="I5192" i="9"/>
  <c r="H5192" i="9"/>
  <c r="I5191" i="9"/>
  <c r="H5191" i="9"/>
  <c r="I5190" i="9"/>
  <c r="H5190" i="9"/>
  <c r="I5189" i="9"/>
  <c r="H5189" i="9"/>
  <c r="I5188" i="9"/>
  <c r="H5188" i="9"/>
  <c r="I5187" i="9"/>
  <c r="H5187" i="9"/>
  <c r="I5186" i="9"/>
  <c r="H5186" i="9"/>
  <c r="I5185" i="9"/>
  <c r="H5185" i="9"/>
  <c r="I5184" i="9"/>
  <c r="H5184" i="9"/>
  <c r="I5183" i="9"/>
  <c r="H5183" i="9"/>
  <c r="I5182" i="9"/>
  <c r="H5182" i="9"/>
  <c r="I5181" i="9"/>
  <c r="H5181" i="9"/>
  <c r="I5180" i="9"/>
  <c r="H5180" i="9"/>
  <c r="I5179" i="9"/>
  <c r="H5179" i="9"/>
  <c r="I5178" i="9"/>
  <c r="H5178" i="9"/>
  <c r="I5177" i="9"/>
  <c r="H5177" i="9"/>
  <c r="I5176" i="9"/>
  <c r="H5176" i="9"/>
  <c r="I5175" i="9"/>
  <c r="H5175" i="9"/>
  <c r="I5174" i="9"/>
  <c r="H5174" i="9"/>
  <c r="I5173" i="9"/>
  <c r="H5173" i="9"/>
  <c r="I5172" i="9"/>
  <c r="H5172" i="9"/>
  <c r="I5171" i="9"/>
  <c r="H5171" i="9"/>
  <c r="I5170" i="9"/>
  <c r="H5170" i="9"/>
  <c r="I5169" i="9"/>
  <c r="H5169" i="9"/>
  <c r="I5168" i="9"/>
  <c r="H5168" i="9"/>
  <c r="I5167" i="9"/>
  <c r="H5167" i="9"/>
  <c r="I5166" i="9"/>
  <c r="H5166" i="9"/>
  <c r="I5165" i="9"/>
  <c r="H5165" i="9"/>
  <c r="I5164" i="9"/>
  <c r="H5164" i="9"/>
  <c r="I5163" i="9"/>
  <c r="H5163" i="9"/>
  <c r="I5162" i="9"/>
  <c r="H5162" i="9"/>
  <c r="I5161" i="9"/>
  <c r="H5161" i="9"/>
  <c r="I5160" i="9"/>
  <c r="H5160" i="9"/>
  <c r="I5159" i="9"/>
  <c r="H5159" i="9"/>
  <c r="I5158" i="9"/>
  <c r="H5158" i="9"/>
  <c r="I5157" i="9"/>
  <c r="H5157" i="9"/>
  <c r="I5156" i="9"/>
  <c r="H5156" i="9"/>
  <c r="I5155" i="9"/>
  <c r="H5155" i="9"/>
  <c r="I5154" i="9"/>
  <c r="H5154" i="9"/>
  <c r="I5153" i="9"/>
  <c r="H5153" i="9"/>
  <c r="I5152" i="9"/>
  <c r="H5152" i="9"/>
  <c r="I5151" i="9"/>
  <c r="H5151" i="9"/>
  <c r="I5150" i="9"/>
  <c r="H5150" i="9"/>
  <c r="I5149" i="9"/>
  <c r="H5149" i="9"/>
  <c r="I5148" i="9"/>
  <c r="H5148" i="9"/>
  <c r="I5147" i="9"/>
  <c r="H5147" i="9"/>
  <c r="I5146" i="9"/>
  <c r="H5146" i="9"/>
  <c r="I5145" i="9"/>
  <c r="H5145" i="9"/>
  <c r="I5144" i="9"/>
  <c r="H5144" i="9"/>
  <c r="I5143" i="9"/>
  <c r="H5143" i="9"/>
  <c r="I5142" i="9"/>
  <c r="H5142" i="9"/>
  <c r="I5141" i="9"/>
  <c r="H5141" i="9"/>
  <c r="I5140" i="9"/>
  <c r="H5140" i="9"/>
  <c r="I5139" i="9"/>
  <c r="H5139" i="9"/>
  <c r="I5138" i="9"/>
  <c r="H5138" i="9"/>
  <c r="I5137" i="9"/>
  <c r="H5137" i="9"/>
  <c r="I5136" i="9"/>
  <c r="H5136" i="9"/>
  <c r="I5135" i="9"/>
  <c r="H5135" i="9"/>
  <c r="I5134" i="9"/>
  <c r="H5134" i="9"/>
  <c r="I5133" i="9"/>
  <c r="H5133" i="9"/>
  <c r="I5132" i="9"/>
  <c r="H5132" i="9"/>
  <c r="I5131" i="9"/>
  <c r="H5131" i="9"/>
  <c r="I5130" i="9"/>
  <c r="H5130" i="9"/>
  <c r="I5129" i="9"/>
  <c r="H5129" i="9"/>
  <c r="I5128" i="9"/>
  <c r="H5128" i="9"/>
  <c r="I5127" i="9"/>
  <c r="H5127" i="9"/>
  <c r="I5126" i="9"/>
  <c r="H5126" i="9"/>
  <c r="I5125" i="9"/>
  <c r="H5125" i="9"/>
  <c r="I5124" i="9"/>
  <c r="H5124" i="9"/>
  <c r="I5123" i="9"/>
  <c r="H5123" i="9"/>
  <c r="I5122" i="9"/>
  <c r="H5122" i="9"/>
  <c r="I5121" i="9"/>
  <c r="H5121" i="9"/>
  <c r="I5120" i="9"/>
  <c r="H5120" i="9"/>
  <c r="I5119" i="9"/>
  <c r="H5119" i="9"/>
  <c r="I5118" i="9"/>
  <c r="H5118" i="9"/>
  <c r="I5117" i="9"/>
  <c r="H5117" i="9"/>
  <c r="I5116" i="9"/>
  <c r="H5116" i="9"/>
  <c r="I5115" i="9"/>
  <c r="H5115" i="9"/>
  <c r="I5114" i="9"/>
  <c r="H5114" i="9"/>
  <c r="I5113" i="9"/>
  <c r="H5113" i="9"/>
  <c r="I5112" i="9"/>
  <c r="H5112" i="9"/>
  <c r="I5111" i="9"/>
  <c r="H5111" i="9"/>
  <c r="I5110" i="9"/>
  <c r="H5110" i="9"/>
  <c r="I5109" i="9"/>
  <c r="H5109" i="9"/>
  <c r="I5108" i="9"/>
  <c r="H5108" i="9"/>
  <c r="I5107" i="9"/>
  <c r="H5107" i="9"/>
  <c r="I5106" i="9"/>
  <c r="H5106" i="9"/>
  <c r="I5105" i="9"/>
  <c r="H5105" i="9"/>
  <c r="I5104" i="9"/>
  <c r="H5104" i="9"/>
  <c r="I5103" i="9"/>
  <c r="H5103" i="9"/>
  <c r="I5102" i="9"/>
  <c r="H5102" i="9"/>
  <c r="I5101" i="9"/>
  <c r="H5101" i="9"/>
  <c r="I5100" i="9"/>
  <c r="H5100" i="9"/>
  <c r="I5099" i="9"/>
  <c r="H5099" i="9"/>
  <c r="I5098" i="9"/>
  <c r="H5098" i="9"/>
  <c r="I5097" i="9"/>
  <c r="H5097" i="9"/>
  <c r="I5096" i="9"/>
  <c r="H5096" i="9"/>
  <c r="I5095" i="9"/>
  <c r="H5095" i="9"/>
  <c r="I5094" i="9"/>
  <c r="H5094" i="9"/>
  <c r="I5093" i="9"/>
  <c r="H5093" i="9"/>
  <c r="I5092" i="9"/>
  <c r="H5092" i="9"/>
  <c r="I5091" i="9"/>
  <c r="H5091" i="9"/>
  <c r="I5090" i="9"/>
  <c r="H5090" i="9"/>
  <c r="I5089" i="9"/>
  <c r="H5089" i="9"/>
  <c r="I5088" i="9"/>
  <c r="H5088" i="9"/>
  <c r="I5087" i="9"/>
  <c r="H5087" i="9"/>
  <c r="I5086" i="9"/>
  <c r="H5086" i="9"/>
  <c r="I5085" i="9"/>
  <c r="H5085" i="9"/>
  <c r="I5084" i="9"/>
  <c r="H5084" i="9"/>
  <c r="I5083" i="9"/>
  <c r="H5083" i="9"/>
  <c r="I5082" i="9"/>
  <c r="H5082" i="9"/>
  <c r="I5081" i="9"/>
  <c r="H5081" i="9"/>
  <c r="I5080" i="9"/>
  <c r="H5080" i="9"/>
  <c r="I5079" i="9"/>
  <c r="H5079" i="9"/>
  <c r="I5078" i="9"/>
  <c r="H5078" i="9"/>
  <c r="I5077" i="9"/>
  <c r="H5077" i="9"/>
  <c r="I5076" i="9"/>
  <c r="H5076" i="9"/>
  <c r="I5075" i="9"/>
  <c r="H5075" i="9"/>
  <c r="I5074" i="9"/>
  <c r="H5074" i="9"/>
  <c r="I5073" i="9"/>
  <c r="H5073" i="9"/>
  <c r="I5072" i="9"/>
  <c r="H5072" i="9"/>
  <c r="I5071" i="9"/>
  <c r="H5071" i="9"/>
  <c r="I5070" i="9"/>
  <c r="H5070" i="9"/>
  <c r="I5069" i="9"/>
  <c r="H5069" i="9"/>
  <c r="I5068" i="9"/>
  <c r="H5068" i="9"/>
  <c r="I5067" i="9"/>
  <c r="H5067" i="9"/>
  <c r="I5066" i="9"/>
  <c r="H5066" i="9"/>
  <c r="I5065" i="9"/>
  <c r="H5065" i="9"/>
  <c r="I5064" i="9"/>
  <c r="H5064" i="9"/>
  <c r="I5063" i="9"/>
  <c r="H5063" i="9"/>
  <c r="I5062" i="9"/>
  <c r="H5062" i="9"/>
  <c r="I5061" i="9"/>
  <c r="H5061" i="9"/>
  <c r="I5060" i="9"/>
  <c r="H5060" i="9"/>
  <c r="I5059" i="9"/>
  <c r="H5059" i="9"/>
  <c r="I5058" i="9"/>
  <c r="H5058" i="9"/>
  <c r="I5057" i="9"/>
  <c r="H5057" i="9"/>
  <c r="I5056" i="9"/>
  <c r="H5056" i="9"/>
  <c r="I5055" i="9"/>
  <c r="H5055" i="9"/>
  <c r="I5054" i="9"/>
  <c r="H5054" i="9"/>
  <c r="I5053" i="9"/>
  <c r="H5053" i="9"/>
  <c r="I5052" i="9"/>
  <c r="H5052" i="9"/>
  <c r="I5051" i="9"/>
  <c r="H5051" i="9"/>
  <c r="I5050" i="9"/>
  <c r="H5050" i="9"/>
  <c r="I5049" i="9"/>
  <c r="H5049" i="9"/>
  <c r="I5048" i="9"/>
  <c r="H5048" i="9"/>
  <c r="I5047" i="9"/>
  <c r="H5047" i="9"/>
  <c r="I5046" i="9"/>
  <c r="H5046" i="9"/>
  <c r="I5045" i="9"/>
  <c r="H5045" i="9"/>
  <c r="I5044" i="9"/>
  <c r="H5044" i="9"/>
  <c r="I5043" i="9"/>
  <c r="H5043" i="9"/>
  <c r="I5042" i="9"/>
  <c r="H5042" i="9"/>
  <c r="I5041" i="9"/>
  <c r="H5041" i="9"/>
  <c r="I5040" i="9"/>
  <c r="H5040" i="9"/>
  <c r="I5039" i="9"/>
  <c r="H5039" i="9"/>
  <c r="I5038" i="9"/>
  <c r="H5038" i="9"/>
  <c r="I5037" i="9"/>
  <c r="H5037" i="9"/>
  <c r="I5036" i="9"/>
  <c r="H5036" i="9"/>
  <c r="I5035" i="9"/>
  <c r="H5035" i="9"/>
  <c r="I5034" i="9"/>
  <c r="H5034" i="9"/>
  <c r="I5033" i="9"/>
  <c r="H5033" i="9"/>
  <c r="I5032" i="9"/>
  <c r="H5032" i="9"/>
  <c r="I5031" i="9"/>
  <c r="H5031" i="9"/>
  <c r="I5030" i="9"/>
  <c r="H5030" i="9"/>
  <c r="I5029" i="9"/>
  <c r="H5029" i="9"/>
  <c r="I5028" i="9"/>
  <c r="H5028" i="9"/>
  <c r="I5027" i="9"/>
  <c r="H5027" i="9"/>
  <c r="I5026" i="9"/>
  <c r="H5026" i="9"/>
  <c r="I5025" i="9"/>
  <c r="H5025" i="9"/>
  <c r="I5024" i="9"/>
  <c r="H5024" i="9"/>
  <c r="I5023" i="9"/>
  <c r="H5023" i="9"/>
  <c r="I5022" i="9"/>
  <c r="H5022" i="9"/>
  <c r="I5021" i="9"/>
  <c r="H5021" i="9"/>
  <c r="I5020" i="9"/>
  <c r="H5020" i="9"/>
  <c r="I5019" i="9"/>
  <c r="H5019" i="9"/>
  <c r="I5018" i="9"/>
  <c r="H5018" i="9"/>
  <c r="I5017" i="9"/>
  <c r="H5017" i="9"/>
  <c r="I5016" i="9"/>
  <c r="H5016" i="9"/>
  <c r="I5015" i="9"/>
  <c r="H5015" i="9"/>
  <c r="I5014" i="9"/>
  <c r="H5014" i="9"/>
  <c r="I5013" i="9"/>
  <c r="H5013" i="9"/>
  <c r="I5012" i="9"/>
  <c r="H5012" i="9"/>
  <c r="I5011" i="9"/>
  <c r="H5011" i="9"/>
  <c r="I5010" i="9"/>
  <c r="H5010" i="9"/>
  <c r="I5009" i="9"/>
  <c r="H5009" i="9"/>
  <c r="I5008" i="9"/>
  <c r="H5008" i="9"/>
  <c r="I5007" i="9"/>
  <c r="H5007" i="9"/>
  <c r="I5006" i="9"/>
  <c r="H5006" i="9"/>
  <c r="I5005" i="9"/>
  <c r="H5005" i="9"/>
  <c r="I5004" i="9"/>
  <c r="H5004" i="9"/>
  <c r="I5003" i="9"/>
  <c r="H5003" i="9"/>
  <c r="I5002" i="9"/>
  <c r="H5002" i="9"/>
  <c r="I5001" i="9"/>
  <c r="H5001" i="9"/>
  <c r="I5000" i="9"/>
  <c r="H5000" i="9"/>
  <c r="I4999" i="9"/>
  <c r="H4999" i="9"/>
  <c r="I4998" i="9"/>
  <c r="H4998" i="9"/>
  <c r="I4997" i="9"/>
  <c r="H4997" i="9"/>
  <c r="I4996" i="9"/>
  <c r="H4996" i="9"/>
  <c r="I4995" i="9"/>
  <c r="H4995" i="9"/>
  <c r="I4994" i="9"/>
  <c r="H4994" i="9"/>
  <c r="I4993" i="9"/>
  <c r="H4993" i="9"/>
  <c r="I4992" i="9"/>
  <c r="H4992" i="9"/>
  <c r="I4991" i="9"/>
  <c r="H4991" i="9"/>
  <c r="I4990" i="9"/>
  <c r="H4990" i="9"/>
  <c r="I4989" i="9"/>
  <c r="H4989" i="9"/>
  <c r="I4988" i="9"/>
  <c r="H4988" i="9"/>
  <c r="I4987" i="9"/>
  <c r="H4987" i="9"/>
  <c r="I4986" i="9"/>
  <c r="H4986" i="9"/>
  <c r="I4985" i="9"/>
  <c r="H4985" i="9"/>
  <c r="I4984" i="9"/>
  <c r="H4984" i="9"/>
  <c r="I4983" i="9"/>
  <c r="H4983" i="9"/>
  <c r="I4982" i="9"/>
  <c r="H4982" i="9"/>
  <c r="I4981" i="9"/>
  <c r="H4981" i="9"/>
  <c r="I4980" i="9"/>
  <c r="H4980" i="9"/>
  <c r="I4979" i="9"/>
  <c r="H4979" i="9"/>
  <c r="I4978" i="9"/>
  <c r="H4978" i="9"/>
  <c r="I4977" i="9"/>
  <c r="H4977" i="9"/>
  <c r="I4976" i="9"/>
  <c r="H4976" i="9"/>
  <c r="I4975" i="9"/>
  <c r="H4975" i="9"/>
  <c r="I4974" i="9"/>
  <c r="H4974" i="9"/>
  <c r="I4973" i="9"/>
  <c r="H4973" i="9"/>
  <c r="I4972" i="9"/>
  <c r="H4972" i="9"/>
  <c r="I4971" i="9"/>
  <c r="H4971" i="9"/>
  <c r="I4970" i="9"/>
  <c r="H4970" i="9"/>
  <c r="I4969" i="9"/>
  <c r="H4969" i="9"/>
  <c r="I4968" i="9"/>
  <c r="H4968" i="9"/>
  <c r="I4967" i="9"/>
  <c r="H4967" i="9"/>
  <c r="I4966" i="9"/>
  <c r="H4966" i="9"/>
  <c r="I4965" i="9"/>
  <c r="H4965" i="9"/>
  <c r="I4964" i="9"/>
  <c r="H4964" i="9"/>
  <c r="I4963" i="9"/>
  <c r="H4963" i="9"/>
  <c r="I4962" i="9"/>
  <c r="H4962" i="9"/>
  <c r="I4961" i="9"/>
  <c r="H4961" i="9"/>
  <c r="I4960" i="9"/>
  <c r="H4960" i="9"/>
  <c r="I4959" i="9"/>
  <c r="H4959" i="9"/>
  <c r="I4958" i="9"/>
  <c r="H4958" i="9"/>
  <c r="I4957" i="9"/>
  <c r="H4957" i="9"/>
  <c r="I4956" i="9"/>
  <c r="H4956" i="9"/>
  <c r="I4955" i="9"/>
  <c r="H4955" i="9"/>
  <c r="I4954" i="9"/>
  <c r="H4954" i="9"/>
  <c r="I4953" i="9"/>
  <c r="H4953" i="9"/>
  <c r="I4952" i="9"/>
  <c r="H4952" i="9"/>
  <c r="I4951" i="9"/>
  <c r="H4951" i="9"/>
  <c r="I4950" i="9"/>
  <c r="H4950" i="9"/>
  <c r="I4949" i="9"/>
  <c r="H4949" i="9"/>
  <c r="I4948" i="9"/>
  <c r="H4948" i="9"/>
  <c r="I4947" i="9"/>
  <c r="H4947" i="9"/>
  <c r="I4946" i="9"/>
  <c r="H4946" i="9"/>
  <c r="I4945" i="9"/>
  <c r="H4945" i="9"/>
  <c r="I4944" i="9"/>
  <c r="H4944" i="9"/>
  <c r="I4943" i="9"/>
  <c r="H4943" i="9"/>
  <c r="I4942" i="9"/>
  <c r="H4942" i="9"/>
  <c r="I4941" i="9"/>
  <c r="H4941" i="9"/>
  <c r="I4940" i="9"/>
  <c r="H4940" i="9"/>
  <c r="I4939" i="9"/>
  <c r="H4939" i="9"/>
  <c r="I4938" i="9"/>
  <c r="H4938" i="9"/>
  <c r="I4937" i="9"/>
  <c r="H4937" i="9"/>
  <c r="I4936" i="9"/>
  <c r="H4936" i="9"/>
  <c r="I4935" i="9"/>
  <c r="H4935" i="9"/>
  <c r="I4934" i="9"/>
  <c r="H4934" i="9"/>
  <c r="I4933" i="9"/>
  <c r="H4933" i="9"/>
  <c r="I4932" i="9"/>
  <c r="H4932" i="9"/>
  <c r="I4931" i="9"/>
  <c r="H4931" i="9"/>
  <c r="I4930" i="9"/>
  <c r="H4930" i="9"/>
  <c r="I4929" i="9"/>
  <c r="H4929" i="9"/>
  <c r="I4928" i="9"/>
  <c r="H4928" i="9"/>
  <c r="I4927" i="9"/>
  <c r="H4927" i="9"/>
  <c r="I4926" i="9"/>
  <c r="H4926" i="9"/>
  <c r="I4925" i="9"/>
  <c r="H4925" i="9"/>
  <c r="I4924" i="9"/>
  <c r="H4924" i="9"/>
  <c r="I4923" i="9"/>
  <c r="H4923" i="9"/>
  <c r="I4922" i="9"/>
  <c r="H4922" i="9"/>
  <c r="I4921" i="9"/>
  <c r="H4921" i="9"/>
  <c r="I4920" i="9"/>
  <c r="H4920" i="9"/>
  <c r="I4919" i="9"/>
  <c r="H4919" i="9"/>
  <c r="I4918" i="9"/>
  <c r="H4918" i="9"/>
  <c r="I4917" i="9"/>
  <c r="H4917" i="9"/>
  <c r="I4916" i="9"/>
  <c r="H4916" i="9"/>
  <c r="I4915" i="9"/>
  <c r="H4915" i="9"/>
  <c r="I4914" i="9"/>
  <c r="H4914" i="9"/>
  <c r="I4913" i="9"/>
  <c r="H4913" i="9"/>
  <c r="I4912" i="9"/>
  <c r="H4912" i="9"/>
  <c r="I4911" i="9"/>
  <c r="H4911" i="9"/>
  <c r="I4910" i="9"/>
  <c r="H4910" i="9"/>
  <c r="I4909" i="9"/>
  <c r="H4909" i="9"/>
  <c r="I4908" i="9"/>
  <c r="H4908" i="9"/>
  <c r="I4907" i="9"/>
  <c r="H4907" i="9"/>
  <c r="I4906" i="9"/>
  <c r="H4906" i="9"/>
  <c r="I4905" i="9"/>
  <c r="H4905" i="9"/>
  <c r="I4904" i="9"/>
  <c r="H4904" i="9"/>
  <c r="I4903" i="9"/>
  <c r="H4903" i="9"/>
  <c r="I4902" i="9"/>
  <c r="H4902" i="9"/>
  <c r="I4901" i="9"/>
  <c r="H4901" i="9"/>
  <c r="I4900" i="9"/>
  <c r="H4900" i="9"/>
  <c r="I4899" i="9"/>
  <c r="H4899" i="9"/>
  <c r="I4898" i="9"/>
  <c r="H4898" i="9"/>
  <c r="I4897" i="9"/>
  <c r="H4897" i="9"/>
  <c r="I4896" i="9"/>
  <c r="H4896" i="9"/>
  <c r="I4895" i="9"/>
  <c r="H4895" i="9"/>
  <c r="I4894" i="9"/>
  <c r="H4894" i="9"/>
  <c r="I4893" i="9"/>
  <c r="H4893" i="9"/>
  <c r="I4892" i="9"/>
  <c r="H4892" i="9"/>
  <c r="I4891" i="9"/>
  <c r="H4891" i="9"/>
  <c r="I4890" i="9"/>
  <c r="H4890" i="9"/>
  <c r="I4889" i="9"/>
  <c r="H4889" i="9"/>
  <c r="I4888" i="9"/>
  <c r="H4888" i="9"/>
  <c r="I4887" i="9"/>
  <c r="H4887" i="9"/>
  <c r="I4886" i="9"/>
  <c r="H4886" i="9"/>
  <c r="I4885" i="9"/>
  <c r="H4885" i="9"/>
  <c r="I4884" i="9"/>
  <c r="H4884" i="9"/>
  <c r="I4883" i="9"/>
  <c r="H4883" i="9"/>
  <c r="I4882" i="9"/>
  <c r="H4882" i="9"/>
  <c r="I4881" i="9"/>
  <c r="H4881" i="9"/>
  <c r="I4880" i="9"/>
  <c r="H4880" i="9"/>
  <c r="I4879" i="9"/>
  <c r="H4879" i="9"/>
  <c r="I4878" i="9"/>
  <c r="H4878" i="9"/>
  <c r="I4877" i="9"/>
  <c r="H4877" i="9"/>
  <c r="I4876" i="9"/>
  <c r="H4876" i="9"/>
  <c r="I4875" i="9"/>
  <c r="H4875" i="9"/>
  <c r="I4874" i="9"/>
  <c r="H4874" i="9"/>
  <c r="I4873" i="9"/>
  <c r="H4873" i="9"/>
  <c r="I4872" i="9"/>
  <c r="H4872" i="9"/>
  <c r="I4871" i="9"/>
  <c r="H4871" i="9"/>
  <c r="I4870" i="9"/>
  <c r="H4870" i="9"/>
  <c r="I4869" i="9"/>
  <c r="H4869" i="9"/>
  <c r="I4868" i="9"/>
  <c r="H4868" i="9"/>
  <c r="I4867" i="9"/>
  <c r="H4867" i="9"/>
  <c r="I4866" i="9"/>
  <c r="H4866" i="9"/>
  <c r="I4865" i="9"/>
  <c r="H4865" i="9"/>
  <c r="I4864" i="9"/>
  <c r="H4864" i="9"/>
  <c r="I4863" i="9"/>
  <c r="H4863" i="9"/>
  <c r="I4862" i="9"/>
  <c r="H4862" i="9"/>
  <c r="I4861" i="9"/>
  <c r="H4861" i="9"/>
  <c r="I4860" i="9"/>
  <c r="H4860" i="9"/>
  <c r="I4859" i="9"/>
  <c r="H4859" i="9"/>
  <c r="I4858" i="9"/>
  <c r="H4858" i="9"/>
  <c r="I4857" i="9"/>
  <c r="H4857" i="9"/>
  <c r="I4856" i="9"/>
  <c r="H4856" i="9"/>
  <c r="I4855" i="9"/>
  <c r="H4855" i="9"/>
  <c r="I4854" i="9"/>
  <c r="H4854" i="9"/>
  <c r="I4853" i="9"/>
  <c r="H4853" i="9"/>
  <c r="I4852" i="9"/>
  <c r="H4852" i="9"/>
  <c r="I4851" i="9"/>
  <c r="H4851" i="9"/>
  <c r="I4850" i="9"/>
  <c r="H4850" i="9"/>
  <c r="I4849" i="9"/>
  <c r="H4849" i="9"/>
  <c r="I4848" i="9"/>
  <c r="H4848" i="9"/>
  <c r="I4847" i="9"/>
  <c r="H4847" i="9"/>
  <c r="I4846" i="9"/>
  <c r="H4846" i="9"/>
  <c r="I4845" i="9"/>
  <c r="H4845" i="9"/>
  <c r="I4844" i="9"/>
  <c r="H4844" i="9"/>
  <c r="I4843" i="9"/>
  <c r="H4843" i="9"/>
  <c r="I4842" i="9"/>
  <c r="H4842" i="9"/>
  <c r="I4841" i="9"/>
  <c r="H4841" i="9"/>
  <c r="I4840" i="9"/>
  <c r="H4840" i="9"/>
  <c r="I4839" i="9"/>
  <c r="H4839" i="9"/>
  <c r="I4838" i="9"/>
  <c r="H4838" i="9"/>
  <c r="I4837" i="9"/>
  <c r="H4837" i="9"/>
  <c r="I4836" i="9"/>
  <c r="H4836" i="9"/>
  <c r="I4835" i="9"/>
  <c r="H4835" i="9"/>
  <c r="I4834" i="9"/>
  <c r="H4834" i="9"/>
  <c r="I4833" i="9"/>
  <c r="H4833" i="9"/>
  <c r="I4832" i="9"/>
  <c r="H4832" i="9"/>
  <c r="I4831" i="9"/>
  <c r="H4831" i="9"/>
  <c r="I4830" i="9"/>
  <c r="H4830" i="9"/>
  <c r="I4829" i="9"/>
  <c r="H4829" i="9"/>
  <c r="I4828" i="9"/>
  <c r="H4828" i="9"/>
  <c r="I4827" i="9"/>
  <c r="H4827" i="9"/>
  <c r="I4826" i="9"/>
  <c r="H4826" i="9"/>
  <c r="I4825" i="9"/>
  <c r="H4825" i="9"/>
  <c r="I4824" i="9"/>
  <c r="H4824" i="9"/>
  <c r="I4823" i="9"/>
  <c r="H4823" i="9"/>
  <c r="I4822" i="9"/>
  <c r="H4822" i="9"/>
  <c r="I4821" i="9"/>
  <c r="H4821" i="9"/>
  <c r="I4820" i="9"/>
  <c r="H4820" i="9"/>
  <c r="I4819" i="9"/>
  <c r="H4819" i="9"/>
  <c r="I4818" i="9"/>
  <c r="H4818" i="9"/>
  <c r="I4817" i="9"/>
  <c r="H4817" i="9"/>
  <c r="I4816" i="9"/>
  <c r="H4816" i="9"/>
  <c r="I4815" i="9"/>
  <c r="H4815" i="9"/>
  <c r="I4814" i="9"/>
  <c r="H4814" i="9"/>
  <c r="I4813" i="9"/>
  <c r="H4813" i="9"/>
  <c r="I4812" i="9"/>
  <c r="H4812" i="9"/>
  <c r="I4811" i="9"/>
  <c r="H4811" i="9"/>
  <c r="I4810" i="9"/>
  <c r="H4810" i="9"/>
  <c r="I4809" i="9"/>
  <c r="H4809" i="9"/>
  <c r="I4808" i="9"/>
  <c r="H4808" i="9"/>
  <c r="I4807" i="9"/>
  <c r="H4807" i="9"/>
  <c r="I4806" i="9"/>
  <c r="H4806" i="9"/>
  <c r="I4805" i="9"/>
  <c r="H4805" i="9"/>
  <c r="I4804" i="9"/>
  <c r="H4804" i="9"/>
  <c r="I4803" i="9"/>
  <c r="H4803" i="9"/>
  <c r="I4802" i="9"/>
  <c r="H4802" i="9"/>
  <c r="I4801" i="9"/>
  <c r="H4801" i="9"/>
  <c r="I4800" i="9"/>
  <c r="H4800" i="9"/>
  <c r="I4799" i="9"/>
  <c r="H4799" i="9"/>
  <c r="I4798" i="9"/>
  <c r="H4798" i="9"/>
  <c r="I4797" i="9"/>
  <c r="H4797" i="9"/>
  <c r="I4796" i="9"/>
  <c r="H4796" i="9"/>
  <c r="I4795" i="9"/>
  <c r="H4795" i="9"/>
  <c r="I4794" i="9"/>
  <c r="H4794" i="9"/>
  <c r="I4793" i="9"/>
  <c r="H4793" i="9"/>
  <c r="I4792" i="9"/>
  <c r="H4792" i="9"/>
  <c r="I4791" i="9"/>
  <c r="H4791" i="9"/>
  <c r="I4790" i="9"/>
  <c r="H4790" i="9"/>
  <c r="I4789" i="9"/>
  <c r="H4789" i="9"/>
  <c r="I4788" i="9"/>
  <c r="H4788" i="9"/>
  <c r="I4787" i="9"/>
  <c r="H4787" i="9"/>
  <c r="I4786" i="9"/>
  <c r="H4786" i="9"/>
  <c r="I4785" i="9"/>
  <c r="H4785" i="9"/>
  <c r="I4784" i="9"/>
  <c r="H4784" i="9"/>
  <c r="I4783" i="9"/>
  <c r="H4783" i="9"/>
  <c r="I4782" i="9"/>
  <c r="H4782" i="9"/>
  <c r="I4781" i="9"/>
  <c r="H4781" i="9"/>
  <c r="I4780" i="9"/>
  <c r="H4780" i="9"/>
  <c r="I4779" i="9"/>
  <c r="H4779" i="9"/>
  <c r="I4778" i="9"/>
  <c r="H4778" i="9"/>
  <c r="I4777" i="9"/>
  <c r="H4777" i="9"/>
  <c r="I4776" i="9"/>
  <c r="H4776" i="9"/>
  <c r="I4775" i="9"/>
  <c r="H4775" i="9"/>
  <c r="I4774" i="9"/>
  <c r="H4774" i="9"/>
  <c r="I4773" i="9"/>
  <c r="H4773" i="9"/>
  <c r="I4772" i="9"/>
  <c r="H4772" i="9"/>
  <c r="I4771" i="9"/>
  <c r="H4771" i="9"/>
  <c r="I4770" i="9"/>
  <c r="H4770" i="9"/>
  <c r="I4769" i="9"/>
  <c r="H4769" i="9"/>
  <c r="I4768" i="9"/>
  <c r="H4768" i="9"/>
  <c r="I4767" i="9"/>
  <c r="H4767" i="9"/>
  <c r="I4766" i="9"/>
  <c r="H4766" i="9"/>
  <c r="I4765" i="9"/>
  <c r="H4765" i="9"/>
  <c r="I4764" i="9"/>
  <c r="H4764" i="9"/>
  <c r="I4763" i="9"/>
  <c r="H4763" i="9"/>
  <c r="I4762" i="9"/>
  <c r="H4762" i="9"/>
  <c r="I4761" i="9"/>
  <c r="H4761" i="9"/>
  <c r="I4760" i="9"/>
  <c r="H4760" i="9"/>
  <c r="I4759" i="9"/>
  <c r="H4759" i="9"/>
  <c r="I4758" i="9"/>
  <c r="H4758" i="9"/>
  <c r="I4757" i="9"/>
  <c r="H4757" i="9"/>
  <c r="I4756" i="9"/>
  <c r="H4756" i="9"/>
  <c r="I4755" i="9"/>
  <c r="H4755" i="9"/>
  <c r="I4754" i="9"/>
  <c r="H4754" i="9"/>
  <c r="I4753" i="9"/>
  <c r="H4753" i="9"/>
  <c r="I4752" i="9"/>
  <c r="H4752" i="9"/>
  <c r="I4751" i="9"/>
  <c r="H4751" i="9"/>
  <c r="I4750" i="9"/>
  <c r="H4750" i="9"/>
  <c r="I4749" i="9"/>
  <c r="H4749" i="9"/>
  <c r="I4748" i="9"/>
  <c r="H4748" i="9"/>
  <c r="I4747" i="9"/>
  <c r="H4747" i="9"/>
  <c r="I4746" i="9"/>
  <c r="H4746" i="9"/>
  <c r="I4745" i="9"/>
  <c r="H4745" i="9"/>
  <c r="I4744" i="9"/>
  <c r="H4744" i="9"/>
  <c r="I4743" i="9"/>
  <c r="H4743" i="9"/>
  <c r="I4742" i="9"/>
  <c r="H4742" i="9"/>
  <c r="I4741" i="9"/>
  <c r="H4741" i="9"/>
  <c r="I4740" i="9"/>
  <c r="H4740" i="9"/>
  <c r="I4739" i="9"/>
  <c r="H4739" i="9"/>
  <c r="I4738" i="9"/>
  <c r="H4738" i="9"/>
  <c r="I4737" i="9"/>
  <c r="H4737" i="9"/>
  <c r="I4736" i="9"/>
  <c r="H4736" i="9"/>
  <c r="I4735" i="9"/>
  <c r="H4735" i="9"/>
  <c r="I4734" i="9"/>
  <c r="H4734" i="9"/>
  <c r="I4733" i="9"/>
  <c r="H4733" i="9"/>
  <c r="I4732" i="9"/>
  <c r="H4732" i="9"/>
  <c r="I4731" i="9"/>
  <c r="H4731" i="9"/>
  <c r="I4730" i="9"/>
  <c r="H4730" i="9"/>
  <c r="I4729" i="9"/>
  <c r="H4729" i="9"/>
  <c r="I4728" i="9"/>
  <c r="H4728" i="9"/>
  <c r="I4727" i="9"/>
  <c r="H4727" i="9"/>
  <c r="I4726" i="9"/>
  <c r="H4726" i="9"/>
  <c r="I4725" i="9"/>
  <c r="H4725" i="9"/>
  <c r="I4724" i="9"/>
  <c r="H4724" i="9"/>
  <c r="I4723" i="9"/>
  <c r="H4723" i="9"/>
  <c r="I4722" i="9"/>
  <c r="H4722" i="9"/>
  <c r="I4721" i="9"/>
  <c r="H4721" i="9"/>
  <c r="I4720" i="9"/>
  <c r="H4720" i="9"/>
  <c r="I4719" i="9"/>
  <c r="H4719" i="9"/>
  <c r="I4718" i="9"/>
  <c r="H4718" i="9"/>
  <c r="I4717" i="9"/>
  <c r="H4717" i="9"/>
  <c r="I4716" i="9"/>
  <c r="H4716" i="9"/>
  <c r="I4715" i="9"/>
  <c r="H4715" i="9"/>
  <c r="I4714" i="9"/>
  <c r="H4714" i="9"/>
  <c r="I4713" i="9"/>
  <c r="H4713" i="9"/>
  <c r="I4712" i="9"/>
  <c r="H4712" i="9"/>
  <c r="I4711" i="9"/>
  <c r="H4711" i="9"/>
  <c r="I4710" i="9"/>
  <c r="H4710" i="9"/>
  <c r="I4709" i="9"/>
  <c r="H4709" i="9"/>
  <c r="I4708" i="9"/>
  <c r="H4708" i="9"/>
  <c r="I4707" i="9"/>
  <c r="H4707" i="9"/>
  <c r="I4706" i="9"/>
  <c r="H4706" i="9"/>
  <c r="I4705" i="9"/>
  <c r="H4705" i="9"/>
  <c r="I4704" i="9"/>
  <c r="H4704" i="9"/>
  <c r="I4703" i="9"/>
  <c r="H4703" i="9"/>
  <c r="I4702" i="9"/>
  <c r="H4702" i="9"/>
  <c r="I4701" i="9"/>
  <c r="H4701" i="9"/>
  <c r="I4700" i="9"/>
  <c r="H4700" i="9"/>
  <c r="I4699" i="9"/>
  <c r="H4699" i="9"/>
  <c r="I4698" i="9"/>
  <c r="H4698" i="9"/>
  <c r="I4697" i="9"/>
  <c r="H4697" i="9"/>
  <c r="I4696" i="9"/>
  <c r="H4696" i="9"/>
  <c r="I4695" i="9"/>
  <c r="H4695" i="9"/>
  <c r="I4694" i="9"/>
  <c r="H4694" i="9"/>
  <c r="I4693" i="9"/>
  <c r="H4693" i="9"/>
  <c r="I4692" i="9"/>
  <c r="H4692" i="9"/>
  <c r="I4691" i="9"/>
  <c r="H4691" i="9"/>
  <c r="I4690" i="9"/>
  <c r="H4690" i="9"/>
  <c r="I4689" i="9"/>
  <c r="H4689" i="9"/>
  <c r="I4688" i="9"/>
  <c r="H4688" i="9"/>
  <c r="I4687" i="9"/>
  <c r="H4687" i="9"/>
  <c r="I4686" i="9"/>
  <c r="H4686" i="9"/>
  <c r="I4685" i="9"/>
  <c r="H4685" i="9"/>
  <c r="I4684" i="9"/>
  <c r="H4684" i="9"/>
  <c r="I4683" i="9"/>
  <c r="H4683" i="9"/>
  <c r="I4682" i="9"/>
  <c r="H4682" i="9"/>
  <c r="I4681" i="9"/>
  <c r="H4681" i="9"/>
  <c r="I4680" i="9"/>
  <c r="H4680" i="9"/>
  <c r="I4679" i="9"/>
  <c r="H4679" i="9"/>
  <c r="I4678" i="9"/>
  <c r="H4678" i="9"/>
  <c r="I4677" i="9"/>
  <c r="H4677" i="9"/>
  <c r="I4676" i="9"/>
  <c r="H4676" i="9"/>
  <c r="I4675" i="9"/>
  <c r="H4675" i="9"/>
  <c r="I4674" i="9"/>
  <c r="H4674" i="9"/>
  <c r="I4673" i="9"/>
  <c r="H4673" i="9"/>
  <c r="I4672" i="9"/>
  <c r="H4672" i="9"/>
  <c r="I4671" i="9"/>
  <c r="H4671" i="9"/>
  <c r="I4670" i="9"/>
  <c r="H4670" i="9"/>
  <c r="I4669" i="9"/>
  <c r="H4669" i="9"/>
  <c r="I4668" i="9"/>
  <c r="H4668" i="9"/>
  <c r="I4667" i="9"/>
  <c r="H4667" i="9"/>
  <c r="I4666" i="9"/>
  <c r="H4666" i="9"/>
  <c r="I4665" i="9"/>
  <c r="H4665" i="9"/>
  <c r="I4664" i="9"/>
  <c r="H4664" i="9"/>
  <c r="I4663" i="9"/>
  <c r="H4663" i="9"/>
  <c r="I4662" i="9"/>
  <c r="H4662" i="9"/>
  <c r="I4661" i="9"/>
  <c r="H4661" i="9"/>
  <c r="I4660" i="9"/>
  <c r="H4660" i="9"/>
  <c r="I4659" i="9"/>
  <c r="H4659" i="9"/>
  <c r="I4658" i="9"/>
  <c r="H4658" i="9"/>
  <c r="I4657" i="9"/>
  <c r="H4657" i="9"/>
  <c r="I4656" i="9"/>
  <c r="H4656" i="9"/>
  <c r="I4655" i="9"/>
  <c r="H4655" i="9"/>
  <c r="I4654" i="9"/>
  <c r="H4654" i="9"/>
  <c r="I4653" i="9"/>
  <c r="H4653" i="9"/>
  <c r="I4652" i="9"/>
  <c r="H4652" i="9"/>
  <c r="I4651" i="9"/>
  <c r="H4651" i="9"/>
  <c r="I4650" i="9"/>
  <c r="H4650" i="9"/>
  <c r="I4649" i="9"/>
  <c r="H4649" i="9"/>
  <c r="I4648" i="9"/>
  <c r="H4648" i="9"/>
  <c r="I4647" i="9"/>
  <c r="H4647" i="9"/>
  <c r="I4646" i="9"/>
  <c r="H4646" i="9"/>
  <c r="I4645" i="9"/>
  <c r="H4645" i="9"/>
  <c r="I4644" i="9"/>
  <c r="H4644" i="9"/>
  <c r="I4643" i="9"/>
  <c r="H4643" i="9"/>
  <c r="I4642" i="9"/>
  <c r="H4642" i="9"/>
  <c r="I4641" i="9"/>
  <c r="H4641" i="9"/>
  <c r="I4640" i="9"/>
  <c r="H4640" i="9"/>
  <c r="I4639" i="9"/>
  <c r="H4639" i="9"/>
  <c r="I4638" i="9"/>
  <c r="H4638" i="9"/>
  <c r="I4637" i="9"/>
  <c r="H4637" i="9"/>
  <c r="I4636" i="9"/>
  <c r="H4636" i="9"/>
  <c r="I4635" i="9"/>
  <c r="H4635" i="9"/>
  <c r="I4634" i="9"/>
  <c r="H4634" i="9"/>
  <c r="I4633" i="9"/>
  <c r="H4633" i="9"/>
  <c r="I4632" i="9"/>
  <c r="H4632" i="9"/>
  <c r="I4631" i="9"/>
  <c r="H4631" i="9"/>
  <c r="I4630" i="9"/>
  <c r="H4630" i="9"/>
  <c r="I4629" i="9"/>
  <c r="H4629" i="9"/>
  <c r="I4628" i="9"/>
  <c r="H4628" i="9"/>
  <c r="I4627" i="9"/>
  <c r="H4627" i="9"/>
  <c r="I4626" i="9"/>
  <c r="H4626" i="9"/>
  <c r="I4625" i="9"/>
  <c r="H4625" i="9"/>
  <c r="I4624" i="9"/>
  <c r="H4624" i="9"/>
  <c r="I4623" i="9"/>
  <c r="H4623" i="9"/>
  <c r="I4622" i="9"/>
  <c r="H4622" i="9"/>
  <c r="I4621" i="9"/>
  <c r="H4621" i="9"/>
  <c r="I4620" i="9"/>
  <c r="H4620" i="9"/>
  <c r="I4619" i="9"/>
  <c r="H4619" i="9"/>
  <c r="I4618" i="9"/>
  <c r="H4618" i="9"/>
  <c r="I4617" i="9"/>
  <c r="H4617" i="9"/>
  <c r="I4616" i="9"/>
  <c r="H4616" i="9"/>
  <c r="I4615" i="9"/>
  <c r="H4615" i="9"/>
  <c r="I4614" i="9"/>
  <c r="H4614" i="9"/>
  <c r="I4613" i="9"/>
  <c r="H4613" i="9"/>
  <c r="I4612" i="9"/>
  <c r="H4612" i="9"/>
  <c r="I4611" i="9"/>
  <c r="H4611" i="9"/>
  <c r="I4610" i="9"/>
  <c r="H4610" i="9"/>
  <c r="I4609" i="9"/>
  <c r="H4609" i="9"/>
  <c r="I4608" i="9"/>
  <c r="H4608" i="9"/>
  <c r="I4607" i="9"/>
  <c r="H4607" i="9"/>
  <c r="I4606" i="9"/>
  <c r="H4606" i="9"/>
  <c r="I4605" i="9"/>
  <c r="H4605" i="9"/>
  <c r="I4604" i="9"/>
  <c r="H4604" i="9"/>
  <c r="I4603" i="9"/>
  <c r="H4603" i="9"/>
  <c r="I4602" i="9"/>
  <c r="H4602" i="9"/>
  <c r="I4601" i="9"/>
  <c r="H4601" i="9"/>
  <c r="I4600" i="9"/>
  <c r="H4600" i="9"/>
  <c r="I4599" i="9"/>
  <c r="H4599" i="9"/>
  <c r="I4598" i="9"/>
  <c r="H4598" i="9"/>
  <c r="I4597" i="9"/>
  <c r="H4597" i="9"/>
  <c r="I4596" i="9"/>
  <c r="H4596" i="9"/>
  <c r="I4595" i="9"/>
  <c r="H4595" i="9"/>
  <c r="I4594" i="9"/>
  <c r="H4594" i="9"/>
  <c r="I4593" i="9"/>
  <c r="H4593" i="9"/>
  <c r="I4592" i="9"/>
  <c r="H4592" i="9"/>
  <c r="I4591" i="9"/>
  <c r="H4591" i="9"/>
  <c r="I4590" i="9"/>
  <c r="H4590" i="9"/>
  <c r="I4589" i="9"/>
  <c r="H4589" i="9"/>
  <c r="I4588" i="9"/>
  <c r="H4588" i="9"/>
  <c r="I4587" i="9"/>
  <c r="H4587" i="9"/>
  <c r="I4586" i="9"/>
  <c r="H4586" i="9"/>
  <c r="I4585" i="9"/>
  <c r="H4585" i="9"/>
  <c r="I4584" i="9"/>
  <c r="H4584" i="9"/>
  <c r="I4583" i="9"/>
  <c r="H4583" i="9"/>
  <c r="I4582" i="9"/>
  <c r="H4582" i="9"/>
  <c r="I4581" i="9"/>
  <c r="H4581" i="9"/>
  <c r="I4580" i="9"/>
  <c r="H4580" i="9"/>
  <c r="I4579" i="9"/>
  <c r="H4579" i="9"/>
  <c r="I4578" i="9"/>
  <c r="H4578" i="9"/>
  <c r="I4577" i="9"/>
  <c r="H4577" i="9"/>
  <c r="I4576" i="9"/>
  <c r="H4576" i="9"/>
  <c r="I4575" i="9"/>
  <c r="H4575" i="9"/>
  <c r="I4574" i="9"/>
  <c r="H4574" i="9"/>
  <c r="I4573" i="9"/>
  <c r="H4573" i="9"/>
  <c r="I4572" i="9"/>
  <c r="H4572" i="9"/>
  <c r="I4571" i="9"/>
  <c r="H4571" i="9"/>
  <c r="I4570" i="9"/>
  <c r="H4570" i="9"/>
  <c r="I4569" i="9"/>
  <c r="H4569" i="9"/>
  <c r="I4568" i="9"/>
  <c r="H4568" i="9"/>
  <c r="I4567" i="9"/>
  <c r="H4567" i="9"/>
  <c r="I4566" i="9"/>
  <c r="H4566" i="9"/>
  <c r="I4565" i="9"/>
  <c r="H4565" i="9"/>
  <c r="I4564" i="9"/>
  <c r="H4564" i="9"/>
  <c r="I4563" i="9"/>
  <c r="H4563" i="9"/>
  <c r="I4562" i="9"/>
  <c r="H4562" i="9"/>
  <c r="I4561" i="9"/>
  <c r="H4561" i="9"/>
  <c r="I4560" i="9"/>
  <c r="H4560" i="9"/>
  <c r="I4559" i="9"/>
  <c r="H4559" i="9"/>
  <c r="I4558" i="9"/>
  <c r="H4558" i="9"/>
  <c r="I4557" i="9"/>
  <c r="H4557" i="9"/>
  <c r="I4556" i="9"/>
  <c r="H4556" i="9"/>
  <c r="I4555" i="9"/>
  <c r="H4555" i="9"/>
  <c r="I4554" i="9"/>
  <c r="H4554" i="9"/>
  <c r="I4553" i="9"/>
  <c r="H4553" i="9"/>
  <c r="I4552" i="9"/>
  <c r="H4552" i="9"/>
  <c r="I4551" i="9"/>
  <c r="H4551" i="9"/>
  <c r="I4550" i="9"/>
  <c r="H4550" i="9"/>
  <c r="I4549" i="9"/>
  <c r="H4549" i="9"/>
  <c r="I4548" i="9"/>
  <c r="H4548" i="9"/>
  <c r="I4547" i="9"/>
  <c r="H4547" i="9"/>
  <c r="I4546" i="9"/>
  <c r="H4546" i="9"/>
  <c r="I4545" i="9"/>
  <c r="H4545" i="9"/>
  <c r="I4544" i="9"/>
  <c r="H4544" i="9"/>
  <c r="I4543" i="9"/>
  <c r="H4543" i="9"/>
  <c r="I4542" i="9"/>
  <c r="H4542" i="9"/>
  <c r="I4541" i="9"/>
  <c r="H4541" i="9"/>
  <c r="I4540" i="9"/>
  <c r="H4540" i="9"/>
  <c r="I4539" i="9"/>
  <c r="H4539" i="9"/>
  <c r="I4538" i="9"/>
  <c r="H4538" i="9"/>
  <c r="I4537" i="9"/>
  <c r="H4537" i="9"/>
  <c r="I4536" i="9"/>
  <c r="H4536" i="9"/>
  <c r="I4535" i="9"/>
  <c r="H4535" i="9"/>
  <c r="I4534" i="9"/>
  <c r="H4534" i="9"/>
  <c r="I4533" i="9"/>
  <c r="H4533" i="9"/>
  <c r="I4532" i="9"/>
  <c r="H4532" i="9"/>
  <c r="I4531" i="9"/>
  <c r="H4531" i="9"/>
  <c r="I4530" i="9"/>
  <c r="H4530" i="9"/>
  <c r="I4529" i="9"/>
  <c r="H4529" i="9"/>
  <c r="I4528" i="9"/>
  <c r="H4528" i="9"/>
  <c r="I4527" i="9"/>
  <c r="H4527" i="9"/>
  <c r="I4526" i="9"/>
  <c r="H4526" i="9"/>
  <c r="I4525" i="9"/>
  <c r="H4525" i="9"/>
  <c r="I4524" i="9"/>
  <c r="H4524" i="9"/>
  <c r="I4523" i="9"/>
  <c r="H4523" i="9"/>
  <c r="I4522" i="9"/>
  <c r="H4522" i="9"/>
  <c r="I4521" i="9"/>
  <c r="H4521" i="9"/>
  <c r="I4520" i="9"/>
  <c r="H4520" i="9"/>
  <c r="I4519" i="9"/>
  <c r="H4519" i="9"/>
  <c r="I4518" i="9"/>
  <c r="H4518" i="9"/>
  <c r="I4517" i="9"/>
  <c r="H4517" i="9"/>
  <c r="I4516" i="9"/>
  <c r="H4516" i="9"/>
  <c r="I4515" i="9"/>
  <c r="H4515" i="9"/>
  <c r="I4514" i="9"/>
  <c r="H4514" i="9"/>
  <c r="I4513" i="9"/>
  <c r="H4513" i="9"/>
  <c r="I4512" i="9"/>
  <c r="H4512" i="9"/>
  <c r="I4511" i="9"/>
  <c r="H4511" i="9"/>
  <c r="I4510" i="9"/>
  <c r="H4510" i="9"/>
  <c r="I4509" i="9"/>
  <c r="H4509" i="9"/>
  <c r="I4508" i="9"/>
  <c r="H4508" i="9"/>
  <c r="I4507" i="9"/>
  <c r="H4507" i="9"/>
  <c r="I4506" i="9"/>
  <c r="H4506" i="9"/>
  <c r="I4505" i="9"/>
  <c r="H4505" i="9"/>
  <c r="I4504" i="9"/>
  <c r="H4504" i="9"/>
  <c r="I4503" i="9"/>
  <c r="H4503" i="9"/>
  <c r="I4502" i="9"/>
  <c r="H4502" i="9"/>
  <c r="I4501" i="9"/>
  <c r="H4501" i="9"/>
  <c r="I4500" i="9"/>
  <c r="H4500" i="9"/>
  <c r="I4499" i="9"/>
  <c r="H4499" i="9"/>
  <c r="I4498" i="9"/>
  <c r="H4498" i="9"/>
  <c r="I4497" i="9"/>
  <c r="H4497" i="9"/>
  <c r="I4496" i="9"/>
  <c r="H4496" i="9"/>
  <c r="I4495" i="9"/>
  <c r="H4495" i="9"/>
  <c r="I4494" i="9"/>
  <c r="H4494" i="9"/>
  <c r="I4493" i="9"/>
  <c r="H4493" i="9"/>
  <c r="I4492" i="9"/>
  <c r="H4492" i="9"/>
  <c r="I4491" i="9"/>
  <c r="H4491" i="9"/>
  <c r="I4490" i="9"/>
  <c r="H4490" i="9"/>
  <c r="I4489" i="9"/>
  <c r="H4489" i="9"/>
  <c r="I4488" i="9"/>
  <c r="H4488" i="9"/>
  <c r="I4487" i="9"/>
  <c r="H4487" i="9"/>
  <c r="I4486" i="9"/>
  <c r="H4486" i="9"/>
  <c r="I4485" i="9"/>
  <c r="H4485" i="9"/>
  <c r="I4484" i="9"/>
  <c r="H4484" i="9"/>
  <c r="I4483" i="9"/>
  <c r="H4483" i="9"/>
  <c r="I4482" i="9"/>
  <c r="H4482" i="9"/>
  <c r="I4481" i="9"/>
  <c r="H4481" i="9"/>
  <c r="I4480" i="9"/>
  <c r="H4480" i="9"/>
  <c r="I4479" i="9"/>
  <c r="H4479" i="9"/>
  <c r="I4478" i="9"/>
  <c r="H4478" i="9"/>
  <c r="I4477" i="9"/>
  <c r="H4477" i="9"/>
  <c r="I4476" i="9"/>
  <c r="H4476" i="9"/>
  <c r="I4475" i="9"/>
  <c r="H4475" i="9"/>
  <c r="I4474" i="9"/>
  <c r="H4474" i="9"/>
  <c r="I4473" i="9"/>
  <c r="H4473" i="9"/>
  <c r="I4472" i="9"/>
  <c r="H4472" i="9"/>
  <c r="I4471" i="9"/>
  <c r="H4471" i="9"/>
  <c r="I4470" i="9"/>
  <c r="H4470" i="9"/>
  <c r="I4469" i="9"/>
  <c r="H4469" i="9"/>
  <c r="I4468" i="9"/>
  <c r="H4468" i="9"/>
  <c r="I4467" i="9"/>
  <c r="H4467" i="9"/>
  <c r="I4466" i="9"/>
  <c r="H4466" i="9"/>
  <c r="I4465" i="9"/>
  <c r="H4465" i="9"/>
  <c r="I4464" i="9"/>
  <c r="H4464" i="9"/>
  <c r="I4463" i="9"/>
  <c r="H4463" i="9"/>
  <c r="I4462" i="9"/>
  <c r="H4462" i="9"/>
  <c r="I4461" i="9"/>
  <c r="H4461" i="9"/>
  <c r="I4460" i="9"/>
  <c r="H4460" i="9"/>
  <c r="I4459" i="9"/>
  <c r="H4459" i="9"/>
  <c r="I4458" i="9"/>
  <c r="H4458" i="9"/>
  <c r="I4457" i="9"/>
  <c r="H4457" i="9"/>
  <c r="I4456" i="9"/>
  <c r="H4456" i="9"/>
  <c r="I4455" i="9"/>
  <c r="H4455" i="9"/>
  <c r="I4454" i="9"/>
  <c r="H4454" i="9"/>
  <c r="I4453" i="9"/>
  <c r="H4453" i="9"/>
  <c r="I4452" i="9"/>
  <c r="H4452" i="9"/>
  <c r="I4451" i="9"/>
  <c r="H4451" i="9"/>
  <c r="I4450" i="9"/>
  <c r="H4450" i="9"/>
  <c r="I4449" i="9"/>
  <c r="H4449" i="9"/>
  <c r="I4448" i="9"/>
  <c r="H4448" i="9"/>
  <c r="I4447" i="9"/>
  <c r="H4447" i="9"/>
  <c r="I4446" i="9"/>
  <c r="H4446" i="9"/>
  <c r="I4445" i="9"/>
  <c r="H4445" i="9"/>
  <c r="I4444" i="9"/>
  <c r="H4444" i="9"/>
  <c r="I4443" i="9"/>
  <c r="H4443" i="9"/>
  <c r="I4442" i="9"/>
  <c r="H4442" i="9"/>
  <c r="I4441" i="9"/>
  <c r="H4441" i="9"/>
  <c r="I4440" i="9"/>
  <c r="H4440" i="9"/>
  <c r="I4439" i="9"/>
  <c r="H4439" i="9"/>
  <c r="I4438" i="9"/>
  <c r="H4438" i="9"/>
  <c r="I4437" i="9"/>
  <c r="H4437" i="9"/>
  <c r="I4436" i="9"/>
  <c r="H4436" i="9"/>
  <c r="I4435" i="9"/>
  <c r="H4435" i="9"/>
  <c r="I4434" i="9"/>
  <c r="H4434" i="9"/>
  <c r="I4433" i="9"/>
  <c r="H4433" i="9"/>
  <c r="I4432" i="9"/>
  <c r="H4432" i="9"/>
  <c r="I4431" i="9"/>
  <c r="H4431" i="9"/>
  <c r="I4430" i="9"/>
  <c r="H4430" i="9"/>
  <c r="I4429" i="9"/>
  <c r="H4429" i="9"/>
  <c r="I4428" i="9"/>
  <c r="H4428" i="9"/>
  <c r="I4427" i="9"/>
  <c r="H4427" i="9"/>
  <c r="I4426" i="9"/>
  <c r="H4426" i="9"/>
  <c r="I4425" i="9"/>
  <c r="H4425" i="9"/>
  <c r="I4424" i="9"/>
  <c r="H4424" i="9"/>
  <c r="I4423" i="9"/>
  <c r="H4423" i="9"/>
  <c r="I4422" i="9"/>
  <c r="H4422" i="9"/>
  <c r="I4421" i="9"/>
  <c r="H4421" i="9"/>
  <c r="I4420" i="9"/>
  <c r="H4420" i="9"/>
  <c r="I4419" i="9"/>
  <c r="H4419" i="9"/>
  <c r="I4418" i="9"/>
  <c r="H4418" i="9"/>
  <c r="I4417" i="9"/>
  <c r="H4417" i="9"/>
  <c r="I4416" i="9"/>
  <c r="H4416" i="9"/>
  <c r="I4415" i="9"/>
  <c r="H4415" i="9"/>
  <c r="I4414" i="9"/>
  <c r="H4414" i="9"/>
  <c r="I4413" i="9"/>
  <c r="H4413" i="9"/>
  <c r="I4412" i="9"/>
  <c r="H4412" i="9"/>
  <c r="I4411" i="9"/>
  <c r="H4411" i="9"/>
  <c r="I4410" i="9"/>
  <c r="H4410" i="9"/>
  <c r="I4409" i="9"/>
  <c r="H4409" i="9"/>
  <c r="I4408" i="9"/>
  <c r="H4408" i="9"/>
  <c r="I4407" i="9"/>
  <c r="H4407" i="9"/>
  <c r="I4406" i="9"/>
  <c r="H4406" i="9"/>
  <c r="I4405" i="9"/>
  <c r="H4405" i="9"/>
  <c r="I4404" i="9"/>
  <c r="H4404" i="9"/>
  <c r="I4403" i="9"/>
  <c r="H4403" i="9"/>
  <c r="I4402" i="9"/>
  <c r="H4402" i="9"/>
  <c r="I4401" i="9"/>
  <c r="H4401" i="9"/>
  <c r="I4400" i="9"/>
  <c r="H4400" i="9"/>
  <c r="I4399" i="9"/>
  <c r="H4399" i="9"/>
  <c r="I4398" i="9"/>
  <c r="H4398" i="9"/>
  <c r="I4397" i="9"/>
  <c r="H4397" i="9"/>
  <c r="I4396" i="9"/>
  <c r="H4396" i="9"/>
  <c r="I4395" i="9"/>
  <c r="H4395" i="9"/>
  <c r="I4394" i="9"/>
  <c r="H4394" i="9"/>
  <c r="I4393" i="9"/>
  <c r="H4393" i="9"/>
  <c r="I4392" i="9"/>
  <c r="H4392" i="9"/>
  <c r="I4391" i="9"/>
  <c r="H4391" i="9"/>
  <c r="I4390" i="9"/>
  <c r="H4390" i="9"/>
  <c r="I4389" i="9"/>
  <c r="H4389" i="9"/>
  <c r="I4388" i="9"/>
  <c r="H4388" i="9"/>
  <c r="I4387" i="9"/>
  <c r="H4387" i="9"/>
  <c r="I4386" i="9"/>
  <c r="H4386" i="9"/>
  <c r="I4385" i="9"/>
  <c r="H4385" i="9"/>
  <c r="I4384" i="9"/>
  <c r="H4384" i="9"/>
  <c r="I4383" i="9"/>
  <c r="H4383" i="9"/>
  <c r="I4382" i="9"/>
  <c r="H4382" i="9"/>
  <c r="I4381" i="9"/>
  <c r="H4381" i="9"/>
  <c r="I4380" i="9"/>
  <c r="H4380" i="9"/>
  <c r="I4379" i="9"/>
  <c r="H4379" i="9"/>
  <c r="I4378" i="9"/>
  <c r="H4378" i="9"/>
  <c r="I4377" i="9"/>
  <c r="H4377" i="9"/>
  <c r="I4376" i="9"/>
  <c r="H4376" i="9"/>
  <c r="I4375" i="9"/>
  <c r="H4375" i="9"/>
  <c r="I4374" i="9"/>
  <c r="H4374" i="9"/>
  <c r="I4373" i="9"/>
  <c r="H4373" i="9"/>
  <c r="I4372" i="9"/>
  <c r="H4372" i="9"/>
  <c r="I4371" i="9"/>
  <c r="H4371" i="9"/>
  <c r="I4370" i="9"/>
  <c r="H4370" i="9"/>
  <c r="I4369" i="9"/>
  <c r="H4369" i="9"/>
  <c r="I4368" i="9"/>
  <c r="H4368" i="9"/>
  <c r="I4367" i="9"/>
  <c r="H4367" i="9"/>
  <c r="I4366" i="9"/>
  <c r="H4366" i="9"/>
  <c r="I4365" i="9"/>
  <c r="H4365" i="9"/>
  <c r="I4364" i="9"/>
  <c r="H4364" i="9"/>
  <c r="I4363" i="9"/>
  <c r="H4363" i="9"/>
  <c r="I4362" i="9"/>
  <c r="H4362" i="9"/>
  <c r="I4361" i="9"/>
  <c r="H4361" i="9"/>
  <c r="I4360" i="9"/>
  <c r="H4360" i="9"/>
  <c r="I4359" i="9"/>
  <c r="H4359" i="9"/>
  <c r="I4358" i="9"/>
  <c r="H4358" i="9"/>
  <c r="I4357" i="9"/>
  <c r="H4357" i="9"/>
  <c r="I4356" i="9"/>
  <c r="H4356" i="9"/>
  <c r="I4355" i="9"/>
  <c r="H4355" i="9"/>
  <c r="I4354" i="9"/>
  <c r="H4354" i="9"/>
  <c r="I4353" i="9"/>
  <c r="H4353" i="9"/>
  <c r="I4352" i="9"/>
  <c r="H4352" i="9"/>
  <c r="I4351" i="9"/>
  <c r="H4351" i="9"/>
  <c r="I4350" i="9"/>
  <c r="H4350" i="9"/>
  <c r="I4349" i="9"/>
  <c r="H4349" i="9"/>
  <c r="I4348" i="9"/>
  <c r="H4348" i="9"/>
  <c r="I4347" i="9"/>
  <c r="H4347" i="9"/>
  <c r="I4346" i="9"/>
  <c r="H4346" i="9"/>
  <c r="I4345" i="9"/>
  <c r="H4345" i="9"/>
  <c r="I4344" i="9"/>
  <c r="H4344" i="9"/>
  <c r="I4343" i="9"/>
  <c r="H4343" i="9"/>
  <c r="I4342" i="9"/>
  <c r="H4342" i="9"/>
  <c r="I4341" i="9"/>
  <c r="H4341" i="9"/>
  <c r="I4340" i="9"/>
  <c r="H4340" i="9"/>
  <c r="I4339" i="9"/>
  <c r="H4339" i="9"/>
  <c r="I4338" i="9"/>
  <c r="H4338" i="9"/>
  <c r="I4337" i="9"/>
  <c r="H4337" i="9"/>
  <c r="I4336" i="9"/>
  <c r="H4336" i="9"/>
  <c r="I4335" i="9"/>
  <c r="H4335" i="9"/>
  <c r="I4334" i="9"/>
  <c r="H4334" i="9"/>
  <c r="I4333" i="9"/>
  <c r="H4333" i="9"/>
  <c r="I4332" i="9"/>
  <c r="H4332" i="9"/>
  <c r="I4331" i="9"/>
  <c r="H4331" i="9"/>
  <c r="I4330" i="9"/>
  <c r="H4330" i="9"/>
  <c r="I4329" i="9"/>
  <c r="H4329" i="9"/>
  <c r="I4328" i="9"/>
  <c r="H4328" i="9"/>
  <c r="I4327" i="9"/>
  <c r="H4327" i="9"/>
  <c r="I4326" i="9"/>
  <c r="H4326" i="9"/>
  <c r="I4325" i="9"/>
  <c r="H4325" i="9"/>
  <c r="I4324" i="9"/>
  <c r="H4324" i="9"/>
  <c r="I4323" i="9"/>
  <c r="H4323" i="9"/>
  <c r="I4322" i="9"/>
  <c r="H4322" i="9"/>
  <c r="I4321" i="9"/>
  <c r="H4321" i="9"/>
  <c r="I4320" i="9"/>
  <c r="H4320" i="9"/>
  <c r="I4319" i="9"/>
  <c r="H4319" i="9"/>
  <c r="I4318" i="9"/>
  <c r="H4318" i="9"/>
  <c r="I4317" i="9"/>
  <c r="H4317" i="9"/>
  <c r="I4316" i="9"/>
  <c r="H4316" i="9"/>
  <c r="I4315" i="9"/>
  <c r="H4315" i="9"/>
  <c r="I4314" i="9"/>
  <c r="H4314" i="9"/>
  <c r="I4313" i="9"/>
  <c r="H4313" i="9"/>
  <c r="I4312" i="9"/>
  <c r="H4312" i="9"/>
  <c r="I4311" i="9"/>
  <c r="H4311" i="9"/>
  <c r="I4310" i="9"/>
  <c r="H4310" i="9"/>
  <c r="I4309" i="9"/>
  <c r="H4309" i="9"/>
  <c r="I4308" i="9"/>
  <c r="H4308" i="9"/>
  <c r="I4307" i="9"/>
  <c r="H4307" i="9"/>
  <c r="I4306" i="9"/>
  <c r="H4306" i="9"/>
  <c r="I4305" i="9"/>
  <c r="H4305" i="9"/>
  <c r="I4304" i="9"/>
  <c r="H4304" i="9"/>
  <c r="I4303" i="9"/>
  <c r="H4303" i="9"/>
  <c r="I4302" i="9"/>
  <c r="H4302" i="9"/>
  <c r="I4301" i="9"/>
  <c r="H4301" i="9"/>
  <c r="I4300" i="9"/>
  <c r="H4300" i="9"/>
  <c r="I4299" i="9"/>
  <c r="H4299" i="9"/>
  <c r="I4298" i="9"/>
  <c r="H4298" i="9"/>
  <c r="I4297" i="9"/>
  <c r="H4297" i="9"/>
  <c r="I4296" i="9"/>
  <c r="H4296" i="9"/>
  <c r="I4295" i="9"/>
  <c r="H4295" i="9"/>
  <c r="I4294" i="9"/>
  <c r="H4294" i="9"/>
  <c r="I4293" i="9"/>
  <c r="H4293" i="9"/>
  <c r="I4292" i="9"/>
  <c r="H4292" i="9"/>
  <c r="I4291" i="9"/>
  <c r="H4291" i="9"/>
  <c r="I4290" i="9"/>
  <c r="H4290" i="9"/>
  <c r="I4289" i="9"/>
  <c r="H4289" i="9"/>
  <c r="I4288" i="9"/>
  <c r="H4288" i="9"/>
  <c r="I4287" i="9"/>
  <c r="H4287" i="9"/>
  <c r="I4286" i="9"/>
  <c r="H4286" i="9"/>
  <c r="I4285" i="9"/>
  <c r="H4285" i="9"/>
  <c r="I4284" i="9"/>
  <c r="H4284" i="9"/>
  <c r="I4283" i="9"/>
  <c r="H4283" i="9"/>
  <c r="I4282" i="9"/>
  <c r="H4282" i="9"/>
  <c r="I4281" i="9"/>
  <c r="H4281" i="9"/>
  <c r="I4280" i="9"/>
  <c r="H4280" i="9"/>
  <c r="I4279" i="9"/>
  <c r="H4279" i="9"/>
  <c r="I4278" i="9"/>
  <c r="H4278" i="9"/>
  <c r="I4277" i="9"/>
  <c r="H4277" i="9"/>
  <c r="I4276" i="9"/>
  <c r="H4276" i="9"/>
  <c r="I4275" i="9"/>
  <c r="H4275" i="9"/>
  <c r="I4274" i="9"/>
  <c r="H4274" i="9"/>
  <c r="I4273" i="9"/>
  <c r="H4273" i="9"/>
  <c r="I4272" i="9"/>
  <c r="H4272" i="9"/>
  <c r="I4271" i="9"/>
  <c r="H4271" i="9"/>
  <c r="I4270" i="9"/>
  <c r="H4270" i="9"/>
  <c r="I4269" i="9"/>
  <c r="H4269" i="9"/>
  <c r="I4268" i="9"/>
  <c r="H4268" i="9"/>
  <c r="I4267" i="9"/>
  <c r="H4267" i="9"/>
  <c r="I4266" i="9"/>
  <c r="H4266" i="9"/>
  <c r="I4265" i="9"/>
  <c r="H4265" i="9"/>
  <c r="I4264" i="9"/>
  <c r="H4264" i="9"/>
  <c r="I4263" i="9"/>
  <c r="H4263" i="9"/>
  <c r="I4262" i="9"/>
  <c r="H4262" i="9"/>
  <c r="I4261" i="9"/>
  <c r="H4261" i="9"/>
  <c r="I4260" i="9"/>
  <c r="H4260" i="9"/>
  <c r="I4259" i="9"/>
  <c r="H4259" i="9"/>
  <c r="I4258" i="9"/>
  <c r="H4258" i="9"/>
  <c r="I4257" i="9"/>
  <c r="H4257" i="9"/>
  <c r="I4256" i="9"/>
  <c r="H4256" i="9"/>
  <c r="I4255" i="9"/>
  <c r="H4255" i="9"/>
  <c r="I4254" i="9"/>
  <c r="H4254" i="9"/>
  <c r="I4253" i="9"/>
  <c r="H4253" i="9"/>
  <c r="I4252" i="9"/>
  <c r="H4252" i="9"/>
  <c r="I4251" i="9"/>
  <c r="H4251" i="9"/>
  <c r="I4250" i="9"/>
  <c r="H4250" i="9"/>
  <c r="I4249" i="9"/>
  <c r="H4249" i="9"/>
  <c r="I4248" i="9"/>
  <c r="H4248" i="9"/>
  <c r="I4247" i="9"/>
  <c r="H4247" i="9"/>
  <c r="I4246" i="9"/>
  <c r="H4246" i="9"/>
  <c r="I4245" i="9"/>
  <c r="H4245" i="9"/>
  <c r="I4244" i="9"/>
  <c r="H4244" i="9"/>
  <c r="I4243" i="9"/>
  <c r="H4243" i="9"/>
  <c r="I4242" i="9"/>
  <c r="H4242" i="9"/>
  <c r="I4241" i="9"/>
  <c r="H4241" i="9"/>
  <c r="I4240" i="9"/>
  <c r="H4240" i="9"/>
  <c r="I4239" i="9"/>
  <c r="H4239" i="9"/>
  <c r="I4238" i="9"/>
  <c r="H4238" i="9"/>
  <c r="I4237" i="9"/>
  <c r="H4237" i="9"/>
  <c r="I4236" i="9"/>
  <c r="H4236" i="9"/>
  <c r="I4235" i="9"/>
  <c r="H4235" i="9"/>
  <c r="I4234" i="9"/>
  <c r="H4234" i="9"/>
  <c r="I4233" i="9"/>
  <c r="H4233" i="9"/>
  <c r="I4232" i="9"/>
  <c r="H4232" i="9"/>
  <c r="I4231" i="9"/>
  <c r="H4231" i="9"/>
  <c r="I4230" i="9"/>
  <c r="H4230" i="9"/>
  <c r="I4229" i="9"/>
  <c r="H4229" i="9"/>
  <c r="I4228" i="9"/>
  <c r="H4228" i="9"/>
  <c r="I4227" i="9"/>
  <c r="H4227" i="9"/>
  <c r="I4226" i="9"/>
  <c r="H4226" i="9"/>
  <c r="I4225" i="9"/>
  <c r="H4225" i="9"/>
  <c r="I4224" i="9"/>
  <c r="H4224" i="9"/>
  <c r="I4223" i="9"/>
  <c r="H4223" i="9"/>
  <c r="I4222" i="9"/>
  <c r="H4222" i="9"/>
  <c r="I4221" i="9"/>
  <c r="H4221" i="9"/>
  <c r="I4220" i="9"/>
  <c r="H4220" i="9"/>
  <c r="I4219" i="9"/>
  <c r="H4219" i="9"/>
  <c r="I4218" i="9"/>
  <c r="H4218" i="9"/>
  <c r="I4217" i="9"/>
  <c r="H4217" i="9"/>
  <c r="I4216" i="9"/>
  <c r="H4216" i="9"/>
  <c r="I4215" i="9"/>
  <c r="H4215" i="9"/>
  <c r="I4214" i="9"/>
  <c r="H4214" i="9"/>
  <c r="I4213" i="9"/>
  <c r="H4213" i="9"/>
  <c r="I4212" i="9"/>
  <c r="H4212" i="9"/>
  <c r="I4211" i="9"/>
  <c r="H4211" i="9"/>
  <c r="I4210" i="9"/>
  <c r="H4210" i="9"/>
  <c r="I4209" i="9"/>
  <c r="H4209" i="9"/>
  <c r="I4208" i="9"/>
  <c r="H4208" i="9"/>
  <c r="I4207" i="9"/>
  <c r="H4207" i="9"/>
  <c r="I4206" i="9"/>
  <c r="H4206" i="9"/>
  <c r="I4205" i="9"/>
  <c r="H4205" i="9"/>
  <c r="I4204" i="9"/>
  <c r="H4204" i="9"/>
  <c r="I4203" i="9"/>
  <c r="H4203" i="9"/>
  <c r="I4202" i="9"/>
  <c r="H4202" i="9"/>
  <c r="I4201" i="9"/>
  <c r="H4201" i="9"/>
  <c r="I4200" i="9"/>
  <c r="H4200" i="9"/>
  <c r="I4199" i="9"/>
  <c r="H4199" i="9"/>
  <c r="I4198" i="9"/>
  <c r="H4198" i="9"/>
  <c r="I4197" i="9"/>
  <c r="H4197" i="9"/>
  <c r="I4196" i="9"/>
  <c r="H4196" i="9"/>
  <c r="I4195" i="9"/>
  <c r="H4195" i="9"/>
  <c r="I4194" i="9"/>
  <c r="H4194" i="9"/>
  <c r="I4193" i="9"/>
  <c r="H4193" i="9"/>
  <c r="I4192" i="9"/>
  <c r="H4192" i="9"/>
  <c r="I4191" i="9"/>
  <c r="H4191" i="9"/>
  <c r="I4190" i="9"/>
  <c r="H4190" i="9"/>
  <c r="I4189" i="9"/>
  <c r="H4189" i="9"/>
  <c r="I4188" i="9"/>
  <c r="H4188" i="9"/>
  <c r="I4187" i="9"/>
  <c r="H4187" i="9"/>
  <c r="I4186" i="9"/>
  <c r="H4186" i="9"/>
  <c r="I4185" i="9"/>
  <c r="H4185" i="9"/>
  <c r="I4184" i="9"/>
  <c r="H4184" i="9"/>
  <c r="I4183" i="9"/>
  <c r="H4183" i="9"/>
  <c r="I4182" i="9"/>
  <c r="H4182" i="9"/>
  <c r="I4181" i="9"/>
  <c r="H4181" i="9"/>
  <c r="I4180" i="9"/>
  <c r="H4180" i="9"/>
  <c r="I4179" i="9"/>
  <c r="H4179" i="9"/>
  <c r="I4178" i="9"/>
  <c r="H4178" i="9"/>
  <c r="I4177" i="9"/>
  <c r="H4177" i="9"/>
  <c r="I4176" i="9"/>
  <c r="H4176" i="9"/>
  <c r="I4175" i="9"/>
  <c r="H4175" i="9"/>
  <c r="I4174" i="9"/>
  <c r="H4174" i="9"/>
  <c r="I4173" i="9"/>
  <c r="H4173" i="9"/>
  <c r="I4172" i="9"/>
  <c r="H4172" i="9"/>
  <c r="I4171" i="9"/>
  <c r="H4171" i="9"/>
  <c r="I4170" i="9"/>
  <c r="H4170" i="9"/>
  <c r="I4169" i="9"/>
  <c r="H4169" i="9"/>
  <c r="I4168" i="9"/>
  <c r="H4168" i="9"/>
  <c r="I4167" i="9"/>
  <c r="H4167" i="9"/>
  <c r="I4166" i="9"/>
  <c r="H4166" i="9"/>
  <c r="I4165" i="9"/>
  <c r="H4165" i="9"/>
  <c r="I4164" i="9"/>
  <c r="H4164" i="9"/>
  <c r="I4163" i="9"/>
  <c r="H4163" i="9"/>
  <c r="I4162" i="9"/>
  <c r="H4162" i="9"/>
  <c r="I4161" i="9"/>
  <c r="H4161" i="9"/>
  <c r="I4160" i="9"/>
  <c r="H4160" i="9"/>
  <c r="I4159" i="9"/>
  <c r="H4159" i="9"/>
  <c r="I4158" i="9"/>
  <c r="H4158" i="9"/>
  <c r="I4157" i="9"/>
  <c r="H4157" i="9"/>
  <c r="I4156" i="9"/>
  <c r="H4156" i="9"/>
  <c r="I4155" i="9"/>
  <c r="H4155" i="9"/>
  <c r="I4154" i="9"/>
  <c r="H4154" i="9"/>
  <c r="I4153" i="9"/>
  <c r="H4153" i="9"/>
  <c r="I4152" i="9"/>
  <c r="H4152" i="9"/>
  <c r="I4151" i="9"/>
  <c r="H4151" i="9"/>
  <c r="I4150" i="9"/>
  <c r="H4150" i="9"/>
  <c r="I4149" i="9"/>
  <c r="H4149" i="9"/>
  <c r="I4148" i="9"/>
  <c r="H4148" i="9"/>
  <c r="I4147" i="9"/>
  <c r="H4147" i="9"/>
  <c r="I4146" i="9"/>
  <c r="H4146" i="9"/>
  <c r="I4145" i="9"/>
  <c r="H4145" i="9"/>
  <c r="I4144" i="9"/>
  <c r="H4144" i="9"/>
  <c r="I4143" i="9"/>
  <c r="H4143" i="9"/>
  <c r="I4142" i="9"/>
  <c r="H4142" i="9"/>
  <c r="I4141" i="9"/>
  <c r="H4141" i="9"/>
  <c r="I4140" i="9"/>
  <c r="H4140" i="9"/>
  <c r="I4139" i="9"/>
  <c r="H4139" i="9"/>
  <c r="I4138" i="9"/>
  <c r="H4138" i="9"/>
  <c r="I4137" i="9"/>
  <c r="H4137" i="9"/>
  <c r="I4136" i="9"/>
  <c r="H4136" i="9"/>
  <c r="I4135" i="9"/>
  <c r="H4135" i="9"/>
  <c r="I4134" i="9"/>
  <c r="H4134" i="9"/>
  <c r="I4133" i="9"/>
  <c r="H4133" i="9"/>
  <c r="I4132" i="9"/>
  <c r="H4132" i="9"/>
  <c r="I4131" i="9"/>
  <c r="H4131" i="9"/>
  <c r="I4130" i="9"/>
  <c r="H4130" i="9"/>
  <c r="I4129" i="9"/>
  <c r="H4129" i="9"/>
  <c r="I4128" i="9"/>
  <c r="H4128" i="9"/>
  <c r="I4127" i="9"/>
  <c r="H4127" i="9"/>
  <c r="I4126" i="9"/>
  <c r="H4126" i="9"/>
  <c r="I4125" i="9"/>
  <c r="H4125" i="9"/>
  <c r="I4124" i="9"/>
  <c r="H4124" i="9"/>
  <c r="I4123" i="9"/>
  <c r="H4123" i="9"/>
  <c r="I4122" i="9"/>
  <c r="H4122" i="9"/>
  <c r="I4121" i="9"/>
  <c r="H4121" i="9"/>
  <c r="I4120" i="9"/>
  <c r="H4120" i="9"/>
  <c r="I4119" i="9"/>
  <c r="H4119" i="9"/>
  <c r="I4118" i="9"/>
  <c r="H4118" i="9"/>
  <c r="I4117" i="9"/>
  <c r="H4117" i="9"/>
  <c r="I4116" i="9"/>
  <c r="H4116" i="9"/>
  <c r="I4115" i="9"/>
  <c r="H4115" i="9"/>
  <c r="I4114" i="9"/>
  <c r="H4114" i="9"/>
  <c r="I4113" i="9"/>
  <c r="H4113" i="9"/>
  <c r="I4112" i="9"/>
  <c r="H4112" i="9"/>
  <c r="I4111" i="9"/>
  <c r="H4111" i="9"/>
  <c r="I4110" i="9"/>
  <c r="H4110" i="9"/>
  <c r="I4109" i="9"/>
  <c r="H4109" i="9"/>
  <c r="I4108" i="9"/>
  <c r="H4108" i="9"/>
  <c r="I4107" i="9"/>
  <c r="H4107" i="9"/>
  <c r="I4106" i="9"/>
  <c r="H4106" i="9"/>
  <c r="I4105" i="9"/>
  <c r="H4105" i="9"/>
  <c r="I4104" i="9"/>
  <c r="H4104" i="9"/>
  <c r="I4103" i="9"/>
  <c r="H4103" i="9"/>
  <c r="I4102" i="9"/>
  <c r="H4102" i="9"/>
  <c r="I4101" i="9"/>
  <c r="H4101" i="9"/>
  <c r="I4100" i="9"/>
  <c r="H4100" i="9"/>
  <c r="I4099" i="9"/>
  <c r="H4099" i="9"/>
  <c r="I4098" i="9"/>
  <c r="H4098" i="9"/>
  <c r="I4097" i="9"/>
  <c r="H4097" i="9"/>
  <c r="I4096" i="9"/>
  <c r="H4096" i="9"/>
  <c r="I4095" i="9"/>
  <c r="H4095" i="9"/>
  <c r="I4094" i="9"/>
  <c r="H4094" i="9"/>
  <c r="I4093" i="9"/>
  <c r="H4093" i="9"/>
  <c r="I4092" i="9"/>
  <c r="H4092" i="9"/>
  <c r="I4091" i="9"/>
  <c r="H4091" i="9"/>
  <c r="I4090" i="9"/>
  <c r="H4090" i="9"/>
  <c r="I4089" i="9"/>
  <c r="H4089" i="9"/>
  <c r="I4088" i="9"/>
  <c r="H4088" i="9"/>
  <c r="I4087" i="9"/>
  <c r="H4087" i="9"/>
  <c r="I4086" i="9"/>
  <c r="H4086" i="9"/>
  <c r="I4085" i="9"/>
  <c r="H4085" i="9"/>
  <c r="I4084" i="9"/>
  <c r="H4084" i="9"/>
  <c r="I4083" i="9"/>
  <c r="H4083" i="9"/>
  <c r="I4082" i="9"/>
  <c r="H4082" i="9"/>
  <c r="I4081" i="9"/>
  <c r="H4081" i="9"/>
  <c r="I4080" i="9"/>
  <c r="H4080" i="9"/>
  <c r="I4079" i="9"/>
  <c r="H4079" i="9"/>
  <c r="I4078" i="9"/>
  <c r="H4078" i="9"/>
  <c r="I4077" i="9"/>
  <c r="H4077" i="9"/>
  <c r="I4076" i="9"/>
  <c r="H4076" i="9"/>
  <c r="I4075" i="9"/>
  <c r="H4075" i="9"/>
  <c r="I4074" i="9"/>
  <c r="H4074" i="9"/>
  <c r="I4073" i="9"/>
  <c r="H4073" i="9"/>
  <c r="I4072" i="9"/>
  <c r="H4072" i="9"/>
  <c r="I4071" i="9"/>
  <c r="H4071" i="9"/>
  <c r="I4070" i="9"/>
  <c r="H4070" i="9"/>
  <c r="I4069" i="9"/>
  <c r="H4069" i="9"/>
  <c r="I4068" i="9"/>
  <c r="H4068" i="9"/>
  <c r="I4067" i="9"/>
  <c r="H4067" i="9"/>
  <c r="I4066" i="9"/>
  <c r="H4066" i="9"/>
  <c r="I4065" i="9"/>
  <c r="H4065" i="9"/>
  <c r="I4064" i="9"/>
  <c r="H4064" i="9"/>
  <c r="I4063" i="9"/>
  <c r="H4063" i="9"/>
  <c r="I4062" i="9"/>
  <c r="H4062" i="9"/>
  <c r="I4061" i="9"/>
  <c r="H4061" i="9"/>
  <c r="I4060" i="9"/>
  <c r="H4060" i="9"/>
  <c r="I4059" i="9"/>
  <c r="H4059" i="9"/>
  <c r="I4058" i="9"/>
  <c r="H4058" i="9"/>
  <c r="I4057" i="9"/>
  <c r="H4057" i="9"/>
  <c r="I4056" i="9"/>
  <c r="H4056" i="9"/>
  <c r="I4055" i="9"/>
  <c r="H4055" i="9"/>
  <c r="I4054" i="9"/>
  <c r="H4054" i="9"/>
  <c r="I4053" i="9"/>
  <c r="H4053" i="9"/>
  <c r="I4052" i="9"/>
  <c r="H4052" i="9"/>
  <c r="I4051" i="9"/>
  <c r="H4051" i="9"/>
  <c r="I4050" i="9"/>
  <c r="H4050" i="9"/>
  <c r="I4049" i="9"/>
  <c r="H4049" i="9"/>
  <c r="I4048" i="9"/>
  <c r="H4048" i="9"/>
  <c r="I4047" i="9"/>
  <c r="H4047" i="9"/>
  <c r="I4046" i="9"/>
  <c r="H4046" i="9"/>
  <c r="I4045" i="9"/>
  <c r="H4045" i="9"/>
  <c r="I4044" i="9"/>
  <c r="H4044" i="9"/>
  <c r="I4043" i="9"/>
  <c r="H4043" i="9"/>
  <c r="I4042" i="9"/>
  <c r="H4042" i="9"/>
  <c r="I4041" i="9"/>
  <c r="H4041" i="9"/>
  <c r="I4040" i="9"/>
  <c r="H4040" i="9"/>
  <c r="I4039" i="9"/>
  <c r="H4039" i="9"/>
  <c r="I4038" i="9"/>
  <c r="H4038" i="9"/>
  <c r="I4037" i="9"/>
  <c r="H4037" i="9"/>
  <c r="I4036" i="9"/>
  <c r="H4036" i="9"/>
  <c r="I4035" i="9"/>
  <c r="H4035" i="9"/>
  <c r="I4034" i="9"/>
  <c r="H4034" i="9"/>
  <c r="I4033" i="9"/>
  <c r="H4033" i="9"/>
  <c r="I4032" i="9"/>
  <c r="H4032" i="9"/>
  <c r="I4031" i="9"/>
  <c r="H4031" i="9"/>
  <c r="I4030" i="9"/>
  <c r="H4030" i="9"/>
  <c r="I4029" i="9"/>
  <c r="H4029" i="9"/>
  <c r="I4028" i="9"/>
  <c r="H4028" i="9"/>
  <c r="I4027" i="9"/>
  <c r="H4027" i="9"/>
  <c r="I4026" i="9"/>
  <c r="H4026" i="9"/>
  <c r="I4025" i="9"/>
  <c r="H4025" i="9"/>
  <c r="I4024" i="9"/>
  <c r="H4024" i="9"/>
  <c r="I4023" i="9"/>
  <c r="H4023" i="9"/>
  <c r="I4022" i="9"/>
  <c r="H4022" i="9"/>
  <c r="I4021" i="9"/>
  <c r="H4021" i="9"/>
  <c r="I4020" i="9"/>
  <c r="H4020" i="9"/>
  <c r="I4019" i="9"/>
  <c r="H4019" i="9"/>
  <c r="I4018" i="9"/>
  <c r="H4018" i="9"/>
  <c r="I4017" i="9"/>
  <c r="H4017" i="9"/>
  <c r="I4016" i="9"/>
  <c r="H4016" i="9"/>
  <c r="I4015" i="9"/>
  <c r="H4015" i="9"/>
  <c r="I4014" i="9"/>
  <c r="H4014" i="9"/>
  <c r="I4013" i="9"/>
  <c r="H4013" i="9"/>
  <c r="I4012" i="9"/>
  <c r="H4012" i="9"/>
  <c r="I4011" i="9"/>
  <c r="H4011" i="9"/>
  <c r="I4010" i="9"/>
  <c r="H4010" i="9"/>
  <c r="I4009" i="9"/>
  <c r="H4009" i="9"/>
  <c r="I4008" i="9"/>
  <c r="H4008" i="9"/>
  <c r="I4007" i="9"/>
  <c r="H4007" i="9"/>
  <c r="I4006" i="9"/>
  <c r="H4006" i="9"/>
  <c r="I4005" i="9"/>
  <c r="H4005" i="9"/>
  <c r="I4004" i="9"/>
  <c r="H4004" i="9"/>
  <c r="I4003" i="9"/>
  <c r="H4003" i="9"/>
  <c r="I4002" i="9"/>
  <c r="H4002" i="9"/>
  <c r="I4001" i="9"/>
  <c r="H4001" i="9"/>
  <c r="I4000" i="9"/>
  <c r="H4000" i="9"/>
  <c r="I3999" i="9"/>
  <c r="H3999" i="9"/>
  <c r="I3998" i="9"/>
  <c r="H3998" i="9"/>
  <c r="I3997" i="9"/>
  <c r="H3997" i="9"/>
  <c r="I3996" i="9"/>
  <c r="H3996" i="9"/>
  <c r="I3995" i="9"/>
  <c r="H3995" i="9"/>
  <c r="I3994" i="9"/>
  <c r="H3994" i="9"/>
  <c r="I3993" i="9"/>
  <c r="H3993" i="9"/>
  <c r="I3992" i="9"/>
  <c r="H3992" i="9"/>
  <c r="I3991" i="9"/>
  <c r="H3991" i="9"/>
  <c r="I3990" i="9"/>
  <c r="H3990" i="9"/>
  <c r="I3989" i="9"/>
  <c r="H3989" i="9"/>
  <c r="I3988" i="9"/>
  <c r="H3988" i="9"/>
  <c r="I3987" i="9"/>
  <c r="H3987" i="9"/>
  <c r="I3986" i="9"/>
  <c r="H3986" i="9"/>
  <c r="I3985" i="9"/>
  <c r="H3985" i="9"/>
  <c r="I3984" i="9"/>
  <c r="H3984" i="9"/>
  <c r="I3983" i="9"/>
  <c r="H3983" i="9"/>
  <c r="I3982" i="9"/>
  <c r="H3982" i="9"/>
  <c r="I3981" i="9"/>
  <c r="H3981" i="9"/>
  <c r="I3980" i="9"/>
  <c r="H3980" i="9"/>
  <c r="I3979" i="9"/>
  <c r="H3979" i="9"/>
  <c r="I3978" i="9"/>
  <c r="H3978" i="9"/>
  <c r="I3977" i="9"/>
  <c r="H3977" i="9"/>
  <c r="I3976" i="9"/>
  <c r="H3976" i="9"/>
  <c r="I3975" i="9"/>
  <c r="H3975" i="9"/>
  <c r="I3974" i="9"/>
  <c r="H3974" i="9"/>
  <c r="I3973" i="9"/>
  <c r="H3973" i="9"/>
  <c r="I3972" i="9"/>
  <c r="H3972" i="9"/>
  <c r="I3971" i="9"/>
  <c r="H3971" i="9"/>
  <c r="I3970" i="9"/>
  <c r="H3970" i="9"/>
  <c r="I3969" i="9"/>
  <c r="H3969" i="9"/>
  <c r="I3968" i="9"/>
  <c r="H3968" i="9"/>
  <c r="I3967" i="9"/>
  <c r="H3967" i="9"/>
  <c r="I3966" i="9"/>
  <c r="H3966" i="9"/>
  <c r="I3965" i="9"/>
  <c r="H3965" i="9"/>
  <c r="I3964" i="9"/>
  <c r="H3964" i="9"/>
  <c r="I3963" i="9"/>
  <c r="H3963" i="9"/>
  <c r="I3962" i="9"/>
  <c r="H3962" i="9"/>
  <c r="I3961" i="9"/>
  <c r="H3961" i="9"/>
  <c r="I3960" i="9"/>
  <c r="H3960" i="9"/>
  <c r="I3959" i="9"/>
  <c r="H3959" i="9"/>
  <c r="I3958" i="9"/>
  <c r="H3958" i="9"/>
  <c r="I3957" i="9"/>
  <c r="H3957" i="9"/>
  <c r="I3956" i="9"/>
  <c r="H3956" i="9"/>
  <c r="I3955" i="9"/>
  <c r="H3955" i="9"/>
  <c r="I3954" i="9"/>
  <c r="H3954" i="9"/>
  <c r="I3953" i="9"/>
  <c r="H3953" i="9"/>
  <c r="I3952" i="9"/>
  <c r="H3952" i="9"/>
  <c r="I3951" i="9"/>
  <c r="H3951" i="9"/>
  <c r="I3950" i="9"/>
  <c r="H3950" i="9"/>
  <c r="I3949" i="9"/>
  <c r="H3949" i="9"/>
  <c r="I3948" i="9"/>
  <c r="H3948" i="9"/>
  <c r="I3947" i="9"/>
  <c r="H3947" i="9"/>
  <c r="I3946" i="9"/>
  <c r="H3946" i="9"/>
  <c r="I3945" i="9"/>
  <c r="H3945" i="9"/>
  <c r="I3944" i="9"/>
  <c r="H3944" i="9"/>
  <c r="I3943" i="9"/>
  <c r="H3943" i="9"/>
  <c r="I3942" i="9"/>
  <c r="H3942" i="9"/>
  <c r="I3941" i="9"/>
  <c r="H3941" i="9"/>
  <c r="I3940" i="9"/>
  <c r="H3940" i="9"/>
  <c r="I3939" i="9"/>
  <c r="H3939" i="9"/>
  <c r="I3938" i="9"/>
  <c r="H3938" i="9"/>
  <c r="I3937" i="9"/>
  <c r="H3937" i="9"/>
  <c r="I3936" i="9"/>
  <c r="H3936" i="9"/>
  <c r="I3935" i="9"/>
  <c r="H3935" i="9"/>
  <c r="I3934" i="9"/>
  <c r="H3934" i="9"/>
  <c r="I3933" i="9"/>
  <c r="H3933" i="9"/>
  <c r="I3932" i="9"/>
  <c r="H3932" i="9"/>
  <c r="I3931" i="9"/>
  <c r="H3931" i="9"/>
  <c r="I3930" i="9"/>
  <c r="H3930" i="9"/>
  <c r="I3929" i="9"/>
  <c r="H3929" i="9"/>
  <c r="I3928" i="9"/>
  <c r="H3928" i="9"/>
  <c r="I3927" i="9"/>
  <c r="H3927" i="9"/>
  <c r="I3926" i="9"/>
  <c r="H3926" i="9"/>
  <c r="I3925" i="9"/>
  <c r="H3925" i="9"/>
  <c r="I3924" i="9"/>
  <c r="H3924" i="9"/>
  <c r="I3923" i="9"/>
  <c r="H3923" i="9"/>
  <c r="I3922" i="9"/>
  <c r="H3922" i="9"/>
  <c r="I3921" i="9"/>
  <c r="H3921" i="9"/>
  <c r="I3920" i="9"/>
  <c r="H3920" i="9"/>
  <c r="I3919" i="9"/>
  <c r="H3919" i="9"/>
  <c r="I3918" i="9"/>
  <c r="H3918" i="9"/>
  <c r="I3917" i="9"/>
  <c r="H3917" i="9"/>
  <c r="I3916" i="9"/>
  <c r="H3916" i="9"/>
  <c r="I3915" i="9"/>
  <c r="H3915" i="9"/>
  <c r="I3914" i="9"/>
  <c r="H3914" i="9"/>
  <c r="I3913" i="9"/>
  <c r="H3913" i="9"/>
  <c r="I3912" i="9"/>
  <c r="H3912" i="9"/>
  <c r="I3911" i="9"/>
  <c r="H3911" i="9"/>
  <c r="I3910" i="9"/>
  <c r="H3910" i="9"/>
  <c r="I3909" i="9"/>
  <c r="H3909" i="9"/>
  <c r="I3908" i="9"/>
  <c r="H3908" i="9"/>
  <c r="I3907" i="9"/>
  <c r="H3907" i="9"/>
  <c r="I3906" i="9"/>
  <c r="H3906" i="9"/>
  <c r="I3905" i="9"/>
  <c r="H3905" i="9"/>
  <c r="I3904" i="9"/>
  <c r="H3904" i="9"/>
  <c r="I3903" i="9"/>
  <c r="H3903" i="9"/>
  <c r="I3902" i="9"/>
  <c r="H3902" i="9"/>
  <c r="I3901" i="9"/>
  <c r="H3901" i="9"/>
  <c r="I3900" i="9"/>
  <c r="H3900" i="9"/>
  <c r="I3899" i="9"/>
  <c r="H3899" i="9"/>
  <c r="I3898" i="9"/>
  <c r="H3898" i="9"/>
  <c r="I3897" i="9"/>
  <c r="H3897" i="9"/>
  <c r="I3896" i="9"/>
  <c r="H3896" i="9"/>
  <c r="I3895" i="9"/>
  <c r="H3895" i="9"/>
  <c r="I3894" i="9"/>
  <c r="H3894" i="9"/>
  <c r="I3893" i="9"/>
  <c r="H3893" i="9"/>
  <c r="I3892" i="9"/>
  <c r="H3892" i="9"/>
  <c r="I3891" i="9"/>
  <c r="H3891" i="9"/>
  <c r="I3890" i="9"/>
  <c r="H3890" i="9"/>
  <c r="I3889" i="9"/>
  <c r="H3889" i="9"/>
  <c r="I3888" i="9"/>
  <c r="H3888" i="9"/>
  <c r="I3887" i="9"/>
  <c r="H3887" i="9"/>
  <c r="I3886" i="9"/>
  <c r="H3886" i="9"/>
  <c r="I3885" i="9"/>
  <c r="H3885" i="9"/>
  <c r="I3884" i="9"/>
  <c r="H3884" i="9"/>
  <c r="I3883" i="9"/>
  <c r="H3883" i="9"/>
  <c r="I3882" i="9"/>
  <c r="H3882" i="9"/>
  <c r="I3881" i="9"/>
  <c r="H3881" i="9"/>
  <c r="I3880" i="9"/>
  <c r="H3880" i="9"/>
  <c r="I3879" i="9"/>
  <c r="H3879" i="9"/>
  <c r="I3878" i="9"/>
  <c r="H3878" i="9"/>
  <c r="I3877" i="9"/>
  <c r="H3877" i="9"/>
  <c r="I3876" i="9"/>
  <c r="H3876" i="9"/>
  <c r="I3875" i="9"/>
  <c r="H3875" i="9"/>
  <c r="I3874" i="9"/>
  <c r="H3874" i="9"/>
  <c r="I3873" i="9"/>
  <c r="H3873" i="9"/>
  <c r="I3872" i="9"/>
  <c r="H3872" i="9"/>
  <c r="I3871" i="9"/>
  <c r="H3871" i="9"/>
  <c r="I3870" i="9"/>
  <c r="H3870" i="9"/>
  <c r="I3869" i="9"/>
  <c r="H3869" i="9"/>
  <c r="I3868" i="9"/>
  <c r="H3868" i="9"/>
  <c r="I3867" i="9"/>
  <c r="H3867" i="9"/>
  <c r="I3866" i="9"/>
  <c r="H3866" i="9"/>
  <c r="I3865" i="9"/>
  <c r="H3865" i="9"/>
  <c r="I3864" i="9"/>
  <c r="H3864" i="9"/>
  <c r="I3863" i="9"/>
  <c r="H3863" i="9"/>
  <c r="I3862" i="9"/>
  <c r="H3862" i="9"/>
  <c r="I3861" i="9"/>
  <c r="H3861" i="9"/>
  <c r="I3860" i="9"/>
  <c r="H3860" i="9"/>
  <c r="I3859" i="9"/>
  <c r="H3859" i="9"/>
  <c r="I3858" i="9"/>
  <c r="H3858" i="9"/>
  <c r="I3857" i="9"/>
  <c r="H3857" i="9"/>
  <c r="I3856" i="9"/>
  <c r="H3856" i="9"/>
  <c r="I3855" i="9"/>
  <c r="H3855" i="9"/>
  <c r="I3854" i="9"/>
  <c r="H3854" i="9"/>
  <c r="I3853" i="9"/>
  <c r="H3853" i="9"/>
  <c r="I3852" i="9"/>
  <c r="H3852" i="9"/>
  <c r="I3851" i="9"/>
  <c r="H3851" i="9"/>
  <c r="I3850" i="9"/>
  <c r="H3850" i="9"/>
  <c r="I3849" i="9"/>
  <c r="H3849" i="9"/>
  <c r="I3848" i="9"/>
  <c r="H3848" i="9"/>
  <c r="I3847" i="9"/>
  <c r="H3847" i="9"/>
  <c r="I3846" i="9"/>
  <c r="H3846" i="9"/>
  <c r="I3845" i="9"/>
  <c r="H3845" i="9"/>
  <c r="I3844" i="9"/>
  <c r="H3844" i="9"/>
  <c r="I3843" i="9"/>
  <c r="H3843" i="9"/>
  <c r="I3842" i="9"/>
  <c r="H3842" i="9"/>
  <c r="I3841" i="9"/>
  <c r="H3841" i="9"/>
  <c r="I3840" i="9"/>
  <c r="H3840" i="9"/>
  <c r="I3839" i="9"/>
  <c r="H3839" i="9"/>
  <c r="I3838" i="9"/>
  <c r="H3838" i="9"/>
  <c r="I3837" i="9"/>
  <c r="H3837" i="9"/>
  <c r="I3836" i="9"/>
  <c r="H3836" i="9"/>
  <c r="I3835" i="9"/>
  <c r="H3835" i="9"/>
  <c r="I3834" i="9"/>
  <c r="H3834" i="9"/>
  <c r="I3833" i="9"/>
  <c r="H3833" i="9"/>
  <c r="I3832" i="9"/>
  <c r="H3832" i="9"/>
  <c r="I3831" i="9"/>
  <c r="H3831" i="9"/>
  <c r="I3830" i="9"/>
  <c r="H3830" i="9"/>
  <c r="I3829" i="9"/>
  <c r="H3829" i="9"/>
  <c r="I3828" i="9"/>
  <c r="H3828" i="9"/>
  <c r="I3827" i="9"/>
  <c r="H3827" i="9"/>
  <c r="I3826" i="9"/>
  <c r="H3826" i="9"/>
  <c r="I3825" i="9"/>
  <c r="H3825" i="9"/>
  <c r="I3824" i="9"/>
  <c r="H3824" i="9"/>
  <c r="I3823" i="9"/>
  <c r="H3823" i="9"/>
  <c r="I3822" i="9"/>
  <c r="H3822" i="9"/>
  <c r="I3821" i="9"/>
  <c r="H3821" i="9"/>
  <c r="I3820" i="9"/>
  <c r="H3820" i="9"/>
  <c r="I3819" i="9"/>
  <c r="H3819" i="9"/>
  <c r="I3818" i="9"/>
  <c r="H3818" i="9"/>
  <c r="I3817" i="9"/>
  <c r="H3817" i="9"/>
  <c r="I3816" i="9"/>
  <c r="H3816" i="9"/>
  <c r="I3815" i="9"/>
  <c r="H3815" i="9"/>
  <c r="I3814" i="9"/>
  <c r="H3814" i="9"/>
  <c r="I3813" i="9"/>
  <c r="H3813" i="9"/>
  <c r="I3812" i="9"/>
  <c r="H3812" i="9"/>
  <c r="I3811" i="9"/>
  <c r="H3811" i="9"/>
  <c r="I3810" i="9"/>
  <c r="H3810" i="9"/>
  <c r="I3809" i="9"/>
  <c r="H3809" i="9"/>
  <c r="I3808" i="9"/>
  <c r="H3808" i="9"/>
  <c r="I3807" i="9"/>
  <c r="H3807" i="9"/>
  <c r="I3806" i="9"/>
  <c r="H3806" i="9"/>
  <c r="I3805" i="9"/>
  <c r="H3805" i="9"/>
  <c r="I3804" i="9"/>
  <c r="H3804" i="9"/>
  <c r="I3803" i="9"/>
  <c r="H3803" i="9"/>
  <c r="I3802" i="9"/>
  <c r="H3802" i="9"/>
  <c r="I3801" i="9"/>
  <c r="H3801" i="9"/>
  <c r="I3800" i="9"/>
  <c r="H3800" i="9"/>
  <c r="I3799" i="9"/>
  <c r="H3799" i="9"/>
  <c r="I3798" i="9"/>
  <c r="H3798" i="9"/>
  <c r="I3797" i="9"/>
  <c r="H3797" i="9"/>
  <c r="I3796" i="9"/>
  <c r="H3796" i="9"/>
  <c r="I3795" i="9"/>
  <c r="H3795" i="9"/>
  <c r="I3794" i="9"/>
  <c r="H3794" i="9"/>
  <c r="I3793" i="9"/>
  <c r="H3793" i="9"/>
  <c r="I3792" i="9"/>
  <c r="H3792" i="9"/>
  <c r="I3791" i="9"/>
  <c r="H3791" i="9"/>
  <c r="I3790" i="9"/>
  <c r="H3790" i="9"/>
  <c r="I3789" i="9"/>
  <c r="H3789" i="9"/>
  <c r="I3788" i="9"/>
  <c r="H3788" i="9"/>
  <c r="I3787" i="9"/>
  <c r="H3787" i="9"/>
  <c r="I3786" i="9"/>
  <c r="H3786" i="9"/>
  <c r="I3785" i="9"/>
  <c r="H3785" i="9"/>
  <c r="I3784" i="9"/>
  <c r="H3784" i="9"/>
  <c r="I3783" i="9"/>
  <c r="H3783" i="9"/>
  <c r="I3782" i="9"/>
  <c r="H3782" i="9"/>
  <c r="I3781" i="9"/>
  <c r="H3781" i="9"/>
  <c r="I3780" i="9"/>
  <c r="H3780" i="9"/>
  <c r="I3779" i="9"/>
  <c r="H3779" i="9"/>
  <c r="I3778" i="9"/>
  <c r="H3778" i="9"/>
  <c r="I3777" i="9"/>
  <c r="H3777" i="9"/>
  <c r="I3776" i="9"/>
  <c r="H3776" i="9"/>
  <c r="I3775" i="9"/>
  <c r="H3775" i="9"/>
  <c r="I3774" i="9"/>
  <c r="H3774" i="9"/>
  <c r="I3773" i="9"/>
  <c r="H3773" i="9"/>
  <c r="I3772" i="9"/>
  <c r="H3772" i="9"/>
  <c r="I3771" i="9"/>
  <c r="H3771" i="9"/>
  <c r="I3770" i="9"/>
  <c r="H3770" i="9"/>
  <c r="I3769" i="9"/>
  <c r="H3769" i="9"/>
  <c r="I3768" i="9"/>
  <c r="H3768" i="9"/>
  <c r="I3767" i="9"/>
  <c r="H3767" i="9"/>
  <c r="I3766" i="9"/>
  <c r="H3766" i="9"/>
  <c r="I3765" i="9"/>
  <c r="H3765" i="9"/>
  <c r="I3764" i="9"/>
  <c r="H3764" i="9"/>
  <c r="I3763" i="9"/>
  <c r="H3763" i="9"/>
  <c r="I3762" i="9"/>
  <c r="H3762" i="9"/>
  <c r="I3761" i="9"/>
  <c r="H3761" i="9"/>
  <c r="I3760" i="9"/>
  <c r="H3760" i="9"/>
  <c r="I3759" i="9"/>
  <c r="H3759" i="9"/>
  <c r="I3758" i="9"/>
  <c r="H3758" i="9"/>
  <c r="I3757" i="9"/>
  <c r="H3757" i="9"/>
  <c r="I3756" i="9"/>
  <c r="H3756" i="9"/>
  <c r="I3755" i="9"/>
  <c r="H3755" i="9"/>
  <c r="I3754" i="9"/>
  <c r="H3754" i="9"/>
  <c r="I3753" i="9"/>
  <c r="H3753" i="9"/>
  <c r="I3752" i="9"/>
  <c r="H3752" i="9"/>
  <c r="I3751" i="9"/>
  <c r="H3751" i="9"/>
  <c r="I3750" i="9"/>
  <c r="H3750" i="9"/>
  <c r="I3749" i="9"/>
  <c r="H3749" i="9"/>
  <c r="I3748" i="9"/>
  <c r="H3748" i="9"/>
  <c r="I3747" i="9"/>
  <c r="H3747" i="9"/>
  <c r="I3746" i="9"/>
  <c r="H3746" i="9"/>
  <c r="I3745" i="9"/>
  <c r="H3745" i="9"/>
  <c r="I3744" i="9"/>
  <c r="H3744" i="9"/>
  <c r="I3743" i="9"/>
  <c r="H3743" i="9"/>
  <c r="I3742" i="9"/>
  <c r="H3742" i="9"/>
  <c r="I3741" i="9"/>
  <c r="H3741" i="9"/>
  <c r="I3740" i="9"/>
  <c r="H3740" i="9"/>
  <c r="I3739" i="9"/>
  <c r="H3739" i="9"/>
  <c r="I3738" i="9"/>
  <c r="H3738" i="9"/>
  <c r="I3737" i="9"/>
  <c r="H3737" i="9"/>
  <c r="I3736" i="9"/>
  <c r="H3736" i="9"/>
  <c r="I3735" i="9"/>
  <c r="H3735" i="9"/>
  <c r="I3734" i="9"/>
  <c r="H3734" i="9"/>
  <c r="I3733" i="9"/>
  <c r="H3733" i="9"/>
  <c r="I3732" i="9"/>
  <c r="H3732" i="9"/>
  <c r="I3731" i="9"/>
  <c r="H3731" i="9"/>
  <c r="I3730" i="9"/>
  <c r="H3730" i="9"/>
  <c r="I3729" i="9"/>
  <c r="H3729" i="9"/>
  <c r="I3728" i="9"/>
  <c r="H3728" i="9"/>
  <c r="I3727" i="9"/>
  <c r="H3727" i="9"/>
  <c r="I3726" i="9"/>
  <c r="H3726" i="9"/>
  <c r="I3725" i="9"/>
  <c r="H3725" i="9"/>
  <c r="I3724" i="9"/>
  <c r="H3724" i="9"/>
  <c r="I3723" i="9"/>
  <c r="H3723" i="9"/>
  <c r="I3722" i="9"/>
  <c r="H3722" i="9"/>
  <c r="I3721" i="9"/>
  <c r="H3721" i="9"/>
  <c r="I3720" i="9"/>
  <c r="H3720" i="9"/>
  <c r="I3719" i="9"/>
  <c r="H3719" i="9"/>
  <c r="I3718" i="9"/>
  <c r="H3718" i="9"/>
  <c r="I3717" i="9"/>
  <c r="H3717" i="9"/>
  <c r="I3716" i="9"/>
  <c r="H3716" i="9"/>
  <c r="I3715" i="9"/>
  <c r="H3715" i="9"/>
  <c r="I3714" i="9"/>
  <c r="H3714" i="9"/>
  <c r="I3713" i="9"/>
  <c r="H3713" i="9"/>
  <c r="I3712" i="9"/>
  <c r="H3712" i="9"/>
  <c r="I3711" i="9"/>
  <c r="H3711" i="9"/>
  <c r="I3710" i="9"/>
  <c r="H3710" i="9"/>
  <c r="I3709" i="9"/>
  <c r="H3709" i="9"/>
  <c r="I3708" i="9"/>
  <c r="H3708" i="9"/>
  <c r="I3707" i="9"/>
  <c r="H3707" i="9"/>
  <c r="I3706" i="9"/>
  <c r="H3706" i="9"/>
  <c r="I3705" i="9"/>
  <c r="H3705" i="9"/>
  <c r="I3704" i="9"/>
  <c r="H3704" i="9"/>
  <c r="I3703" i="9"/>
  <c r="H3703" i="9"/>
  <c r="I3702" i="9"/>
  <c r="H3702" i="9"/>
  <c r="I3701" i="9"/>
  <c r="H3701" i="9"/>
  <c r="I3700" i="9"/>
  <c r="H3700" i="9"/>
  <c r="I3699" i="9"/>
  <c r="H3699" i="9"/>
  <c r="I3698" i="9"/>
  <c r="H3698" i="9"/>
  <c r="I3697" i="9"/>
  <c r="H3697" i="9"/>
  <c r="I3696" i="9"/>
  <c r="H3696" i="9"/>
  <c r="I3695" i="9"/>
  <c r="H3695" i="9"/>
  <c r="I3694" i="9"/>
  <c r="H3694" i="9"/>
  <c r="I3693" i="9"/>
  <c r="H3693" i="9"/>
  <c r="I3692" i="9"/>
  <c r="H3692" i="9"/>
  <c r="I3691" i="9"/>
  <c r="H3691" i="9"/>
  <c r="I3690" i="9"/>
  <c r="H3690" i="9"/>
  <c r="I3689" i="9"/>
  <c r="H3689" i="9"/>
  <c r="I3688" i="9"/>
  <c r="H3688" i="9"/>
  <c r="I3687" i="9"/>
  <c r="H3687" i="9"/>
  <c r="I3686" i="9"/>
  <c r="H3686" i="9"/>
  <c r="I3685" i="9"/>
  <c r="H3685" i="9"/>
  <c r="I3684" i="9"/>
  <c r="H3684" i="9"/>
  <c r="I3683" i="9"/>
  <c r="H3683" i="9"/>
  <c r="I3682" i="9"/>
  <c r="H3682" i="9"/>
  <c r="I3681" i="9"/>
  <c r="H3681" i="9"/>
  <c r="I3680" i="9"/>
  <c r="H3680" i="9"/>
  <c r="I3679" i="9"/>
  <c r="H3679" i="9"/>
  <c r="I3678" i="9"/>
  <c r="H3678" i="9"/>
  <c r="I3677" i="9"/>
  <c r="H3677" i="9"/>
  <c r="I3676" i="9"/>
  <c r="H3676" i="9"/>
  <c r="I3675" i="9"/>
  <c r="H3675" i="9"/>
  <c r="I3674" i="9"/>
  <c r="H3674" i="9"/>
  <c r="I3673" i="9"/>
  <c r="H3673" i="9"/>
  <c r="I3672" i="9"/>
  <c r="H3672" i="9"/>
  <c r="I3671" i="9"/>
  <c r="H3671" i="9"/>
  <c r="I3670" i="9"/>
  <c r="H3670" i="9"/>
  <c r="I3669" i="9"/>
  <c r="H3669" i="9"/>
  <c r="I3668" i="9"/>
  <c r="H3668" i="9"/>
  <c r="I3667" i="9"/>
  <c r="H3667" i="9"/>
  <c r="I3666" i="9"/>
  <c r="H3666" i="9"/>
  <c r="I3665" i="9"/>
  <c r="H3665" i="9"/>
  <c r="I3664" i="9"/>
  <c r="H3664" i="9"/>
  <c r="I3663" i="9"/>
  <c r="H3663" i="9"/>
  <c r="I3662" i="9"/>
  <c r="H3662" i="9"/>
  <c r="I3661" i="9"/>
  <c r="H3661" i="9"/>
  <c r="I3660" i="9"/>
  <c r="H3660" i="9"/>
  <c r="I3659" i="9"/>
  <c r="H3659" i="9"/>
  <c r="I3658" i="9"/>
  <c r="H3658" i="9"/>
  <c r="I3657" i="9"/>
  <c r="H3657" i="9"/>
  <c r="I3656" i="9"/>
  <c r="H3656" i="9"/>
  <c r="I3655" i="9"/>
  <c r="H3655" i="9"/>
  <c r="I3654" i="9"/>
  <c r="H3654" i="9"/>
  <c r="I3653" i="9"/>
  <c r="H3653" i="9"/>
  <c r="I3652" i="9"/>
  <c r="H3652" i="9"/>
  <c r="I3651" i="9"/>
  <c r="H3651" i="9"/>
  <c r="I3650" i="9"/>
  <c r="H3650" i="9"/>
  <c r="I3649" i="9"/>
  <c r="H3649" i="9"/>
  <c r="I3648" i="9"/>
  <c r="H3648" i="9"/>
  <c r="I3647" i="9"/>
  <c r="H3647" i="9"/>
  <c r="I3646" i="9"/>
  <c r="H3646" i="9"/>
  <c r="I3645" i="9"/>
  <c r="H3645" i="9"/>
  <c r="I3644" i="9"/>
  <c r="H3644" i="9"/>
  <c r="I3643" i="9"/>
  <c r="H3643" i="9"/>
  <c r="I3642" i="9"/>
  <c r="H3642" i="9"/>
  <c r="I3641" i="9"/>
  <c r="H3641" i="9"/>
  <c r="I3640" i="9"/>
  <c r="H3640" i="9"/>
  <c r="I3639" i="9"/>
  <c r="H3639" i="9"/>
  <c r="I3638" i="9"/>
  <c r="H3638" i="9"/>
  <c r="I3637" i="9"/>
  <c r="H3637" i="9"/>
  <c r="I3636" i="9"/>
  <c r="H3636" i="9"/>
  <c r="I3635" i="9"/>
  <c r="H3635" i="9"/>
  <c r="I3634" i="9"/>
  <c r="H3634" i="9"/>
  <c r="I3633" i="9"/>
  <c r="H3633" i="9"/>
  <c r="I3632" i="9"/>
  <c r="H3632" i="9"/>
  <c r="I3631" i="9"/>
  <c r="H3631" i="9"/>
  <c r="I3630" i="9"/>
  <c r="H3630" i="9"/>
  <c r="I3629" i="9"/>
  <c r="H3629" i="9"/>
  <c r="I3628" i="9"/>
  <c r="H3628" i="9"/>
  <c r="I3627" i="9"/>
  <c r="H3627" i="9"/>
  <c r="I3626" i="9"/>
  <c r="H3626" i="9"/>
  <c r="I3625" i="9"/>
  <c r="H3625" i="9"/>
  <c r="I3624" i="9"/>
  <c r="H3624" i="9"/>
  <c r="I3623" i="9"/>
  <c r="H3623" i="9"/>
  <c r="I3622" i="9"/>
  <c r="H3622" i="9"/>
  <c r="I3621" i="9"/>
  <c r="H3621" i="9"/>
  <c r="I3620" i="9"/>
  <c r="H3620" i="9"/>
  <c r="I3619" i="9"/>
  <c r="H3619" i="9"/>
  <c r="I3618" i="9"/>
  <c r="H3618" i="9"/>
  <c r="I3617" i="9"/>
  <c r="H3617" i="9"/>
  <c r="I3616" i="9"/>
  <c r="H3616" i="9"/>
  <c r="I3615" i="9"/>
  <c r="H3615" i="9"/>
  <c r="I3614" i="9"/>
  <c r="H3614" i="9"/>
  <c r="I3613" i="9"/>
  <c r="H3613" i="9"/>
  <c r="I3612" i="9"/>
  <c r="H3612" i="9"/>
  <c r="I3611" i="9"/>
  <c r="H3611" i="9"/>
  <c r="I3610" i="9"/>
  <c r="H3610" i="9"/>
  <c r="I3609" i="9"/>
  <c r="H3609" i="9"/>
  <c r="I3608" i="9"/>
  <c r="H3608" i="9"/>
  <c r="I3607" i="9"/>
  <c r="H3607" i="9"/>
  <c r="I3606" i="9"/>
  <c r="H3606" i="9"/>
  <c r="I3605" i="9"/>
  <c r="H3605" i="9"/>
  <c r="I3604" i="9"/>
  <c r="H3604" i="9"/>
  <c r="I3603" i="9"/>
  <c r="H3603" i="9"/>
  <c r="I3602" i="9"/>
  <c r="H3602" i="9"/>
  <c r="I3601" i="9"/>
  <c r="H3601" i="9"/>
  <c r="I3600" i="9"/>
  <c r="H3600" i="9"/>
  <c r="I3599" i="9"/>
  <c r="H3599" i="9"/>
  <c r="I3598" i="9"/>
  <c r="H3598" i="9"/>
  <c r="I3597" i="9"/>
  <c r="H3597" i="9"/>
  <c r="I3596" i="9"/>
  <c r="H3596" i="9"/>
  <c r="I3595" i="9"/>
  <c r="H3595" i="9"/>
  <c r="I3594" i="9"/>
  <c r="H3594" i="9"/>
  <c r="I3593" i="9"/>
  <c r="H3593" i="9"/>
  <c r="I3592" i="9"/>
  <c r="H3592" i="9"/>
  <c r="I3591" i="9"/>
  <c r="H3591" i="9"/>
  <c r="I3590" i="9"/>
  <c r="H3590" i="9"/>
  <c r="I3589" i="9"/>
  <c r="H3589" i="9"/>
  <c r="I3588" i="9"/>
  <c r="H3588" i="9"/>
  <c r="I3587" i="9"/>
  <c r="H3587" i="9"/>
  <c r="I3586" i="9"/>
  <c r="H3586" i="9"/>
  <c r="I3585" i="9"/>
  <c r="H3585" i="9"/>
  <c r="I3584" i="9"/>
  <c r="H3584" i="9"/>
  <c r="I3583" i="9"/>
  <c r="H3583" i="9"/>
  <c r="I3582" i="9"/>
  <c r="H3582" i="9"/>
  <c r="I3581" i="9"/>
  <c r="H3581" i="9"/>
  <c r="I3580" i="9"/>
  <c r="H3580" i="9"/>
  <c r="I3579" i="9"/>
  <c r="H3579" i="9"/>
  <c r="I3578" i="9"/>
  <c r="H3578" i="9"/>
  <c r="I3577" i="9"/>
  <c r="H3577" i="9"/>
  <c r="I3576" i="9"/>
  <c r="H3576" i="9"/>
  <c r="I3575" i="9"/>
  <c r="H3575" i="9"/>
  <c r="I3574" i="9"/>
  <c r="H3574" i="9"/>
  <c r="I3573" i="9"/>
  <c r="H3573" i="9"/>
  <c r="I3572" i="9"/>
  <c r="H3572" i="9"/>
  <c r="I3571" i="9"/>
  <c r="H3571" i="9"/>
  <c r="I3570" i="9"/>
  <c r="H3570" i="9"/>
  <c r="I3569" i="9"/>
  <c r="H3569" i="9"/>
  <c r="I3568" i="9"/>
  <c r="H3568" i="9"/>
  <c r="I3567" i="9"/>
  <c r="H3567" i="9"/>
  <c r="I3566" i="9"/>
  <c r="H3566" i="9"/>
  <c r="I3565" i="9"/>
  <c r="H3565" i="9"/>
  <c r="I3564" i="9"/>
  <c r="H3564" i="9"/>
  <c r="I3563" i="9"/>
  <c r="H3563" i="9"/>
  <c r="I3562" i="9"/>
  <c r="H3562" i="9"/>
  <c r="I3561" i="9"/>
  <c r="H3561" i="9"/>
  <c r="I3560" i="9"/>
  <c r="H3560" i="9"/>
  <c r="I3559" i="9"/>
  <c r="H3559" i="9"/>
  <c r="I3558" i="9"/>
  <c r="H3558" i="9"/>
  <c r="I3557" i="9"/>
  <c r="H3557" i="9"/>
  <c r="I3556" i="9"/>
  <c r="H3556" i="9"/>
  <c r="I3555" i="9"/>
  <c r="H3555" i="9"/>
  <c r="I3554" i="9"/>
  <c r="H3554" i="9"/>
  <c r="I3553" i="9"/>
  <c r="H3553" i="9"/>
  <c r="I3552" i="9"/>
  <c r="H3552" i="9"/>
  <c r="I3551" i="9"/>
  <c r="H3551" i="9"/>
  <c r="I3550" i="9"/>
  <c r="H3550" i="9"/>
  <c r="I3549" i="9"/>
  <c r="H3549" i="9"/>
  <c r="I3548" i="9"/>
  <c r="H3548" i="9"/>
  <c r="I3547" i="9"/>
  <c r="H3547" i="9"/>
  <c r="I3546" i="9"/>
  <c r="H3546" i="9"/>
  <c r="I3545" i="9"/>
  <c r="H3545" i="9"/>
  <c r="I3544" i="9"/>
  <c r="H3544" i="9"/>
  <c r="I3543" i="9"/>
  <c r="H3543" i="9"/>
  <c r="I3542" i="9"/>
  <c r="H3542" i="9"/>
  <c r="I3541" i="9"/>
  <c r="H3541" i="9"/>
  <c r="I3540" i="9"/>
  <c r="H3540" i="9"/>
  <c r="I3539" i="9"/>
  <c r="H3539" i="9"/>
  <c r="I3538" i="9"/>
  <c r="H3538" i="9"/>
  <c r="I3537" i="9"/>
  <c r="H3537" i="9"/>
  <c r="I3536" i="9"/>
  <c r="H3536" i="9"/>
  <c r="I3535" i="9"/>
  <c r="H3535" i="9"/>
  <c r="I3534" i="9"/>
  <c r="H3534" i="9"/>
  <c r="I3533" i="9"/>
  <c r="H3533" i="9"/>
  <c r="I3532" i="9"/>
  <c r="H3532" i="9"/>
  <c r="I3531" i="9"/>
  <c r="H3531" i="9"/>
  <c r="I3530" i="9"/>
  <c r="H3530" i="9"/>
  <c r="I3529" i="9"/>
  <c r="H3529" i="9"/>
  <c r="I3528" i="9"/>
  <c r="H3528" i="9"/>
  <c r="I3527" i="9"/>
  <c r="H3527" i="9"/>
  <c r="I3526" i="9"/>
  <c r="H3526" i="9"/>
  <c r="I3525" i="9"/>
  <c r="H3525" i="9"/>
  <c r="I3524" i="9"/>
  <c r="H3524" i="9"/>
  <c r="I3523" i="9"/>
  <c r="H3523" i="9"/>
  <c r="I3522" i="9"/>
  <c r="H3522" i="9"/>
  <c r="I3521" i="9"/>
  <c r="H3521" i="9"/>
  <c r="I3520" i="9"/>
  <c r="H3520" i="9"/>
  <c r="I3519" i="9"/>
  <c r="H3519" i="9"/>
  <c r="I3518" i="9"/>
  <c r="H3518" i="9"/>
  <c r="I3517" i="9"/>
  <c r="H3517" i="9"/>
  <c r="I3516" i="9"/>
  <c r="H3516" i="9"/>
  <c r="I3515" i="9"/>
  <c r="H3515" i="9"/>
  <c r="I3514" i="9"/>
  <c r="H3514" i="9"/>
  <c r="I3513" i="9"/>
  <c r="H3513" i="9"/>
  <c r="I3512" i="9"/>
  <c r="H3512" i="9"/>
  <c r="I3511" i="9"/>
  <c r="H3511" i="9"/>
  <c r="I3510" i="9"/>
  <c r="H3510" i="9"/>
  <c r="I3509" i="9"/>
  <c r="H3509" i="9"/>
  <c r="I3508" i="9"/>
  <c r="H3508" i="9"/>
  <c r="I3507" i="9"/>
  <c r="H3507" i="9"/>
  <c r="I3506" i="9"/>
  <c r="H3506" i="9"/>
  <c r="I3505" i="9"/>
  <c r="H3505" i="9"/>
  <c r="I3504" i="9"/>
  <c r="H3504" i="9"/>
  <c r="I3503" i="9"/>
  <c r="H3503" i="9"/>
  <c r="I3502" i="9"/>
  <c r="H3502" i="9"/>
  <c r="I3501" i="9"/>
  <c r="H3501" i="9"/>
  <c r="I3500" i="9"/>
  <c r="H3500" i="9"/>
  <c r="I3499" i="9"/>
  <c r="H3499" i="9"/>
  <c r="I3498" i="9"/>
  <c r="H3498" i="9"/>
  <c r="I3497" i="9"/>
  <c r="H3497" i="9"/>
  <c r="I3496" i="9"/>
  <c r="H3496" i="9"/>
  <c r="I3495" i="9"/>
  <c r="H3495" i="9"/>
  <c r="I3494" i="9"/>
  <c r="H3494" i="9"/>
  <c r="I3493" i="9"/>
  <c r="H3493" i="9"/>
  <c r="I3492" i="9"/>
  <c r="H3492" i="9"/>
  <c r="I3491" i="9"/>
  <c r="H3491" i="9"/>
  <c r="I3490" i="9"/>
  <c r="H3490" i="9"/>
  <c r="I3489" i="9"/>
  <c r="H3489" i="9"/>
  <c r="I3488" i="9"/>
  <c r="H3488" i="9"/>
  <c r="I3487" i="9"/>
  <c r="H3487" i="9"/>
  <c r="I3486" i="9"/>
  <c r="H3486" i="9"/>
  <c r="I3485" i="9"/>
  <c r="H3485" i="9"/>
  <c r="I3484" i="9"/>
  <c r="H3484" i="9"/>
  <c r="I3483" i="9"/>
  <c r="H3483" i="9"/>
  <c r="I3482" i="9"/>
  <c r="H3482" i="9"/>
  <c r="I3481" i="9"/>
  <c r="H3481" i="9"/>
  <c r="I3480" i="9"/>
  <c r="H3480" i="9"/>
  <c r="I3479" i="9"/>
  <c r="H3479" i="9"/>
  <c r="I3478" i="9"/>
  <c r="H3478" i="9"/>
  <c r="I3477" i="9"/>
  <c r="H3477" i="9"/>
  <c r="I3476" i="9"/>
  <c r="H3476" i="9"/>
  <c r="I3475" i="9"/>
  <c r="H3475" i="9"/>
  <c r="I3474" i="9"/>
  <c r="H3474" i="9"/>
  <c r="I3473" i="9"/>
  <c r="H3473" i="9"/>
  <c r="I3472" i="9"/>
  <c r="H3472" i="9"/>
  <c r="I3471" i="9"/>
  <c r="H3471" i="9"/>
  <c r="I3470" i="9"/>
  <c r="H3470" i="9"/>
  <c r="I3469" i="9"/>
  <c r="H3469" i="9"/>
  <c r="I3468" i="9"/>
  <c r="H3468" i="9"/>
  <c r="I3467" i="9"/>
  <c r="H3467" i="9"/>
  <c r="I3466" i="9"/>
  <c r="H3466" i="9"/>
  <c r="I3465" i="9"/>
  <c r="H3465" i="9"/>
  <c r="I3464" i="9"/>
  <c r="H3464" i="9"/>
  <c r="I3463" i="9"/>
  <c r="H3463" i="9"/>
  <c r="I3462" i="9"/>
  <c r="H3462" i="9"/>
  <c r="I3461" i="9"/>
  <c r="H3461" i="9"/>
  <c r="I3460" i="9"/>
  <c r="H3460" i="9"/>
  <c r="I3459" i="9"/>
  <c r="H3459" i="9"/>
  <c r="I3458" i="9"/>
  <c r="H3458" i="9"/>
  <c r="I3457" i="9"/>
  <c r="H3457" i="9"/>
  <c r="I3456" i="9"/>
  <c r="H3456" i="9"/>
  <c r="I3455" i="9"/>
  <c r="H3455" i="9"/>
  <c r="I3454" i="9"/>
  <c r="H3454" i="9"/>
  <c r="I3453" i="9"/>
  <c r="H3453" i="9"/>
  <c r="I3452" i="9"/>
  <c r="H3452" i="9"/>
  <c r="I3451" i="9"/>
  <c r="H3451" i="9"/>
  <c r="I3450" i="9"/>
  <c r="H3450" i="9"/>
  <c r="I3449" i="9"/>
  <c r="H3449" i="9"/>
  <c r="I3448" i="9"/>
  <c r="H3448" i="9"/>
  <c r="I3447" i="9"/>
  <c r="H3447" i="9"/>
  <c r="I3446" i="9"/>
  <c r="H3446" i="9"/>
  <c r="I3445" i="9"/>
  <c r="H3445" i="9"/>
  <c r="I3444" i="9"/>
  <c r="H3444" i="9"/>
  <c r="I3443" i="9"/>
  <c r="H3443" i="9"/>
  <c r="I3442" i="9"/>
  <c r="H3442" i="9"/>
  <c r="I3441" i="9"/>
  <c r="H3441" i="9"/>
  <c r="I3440" i="9"/>
  <c r="H3440" i="9"/>
  <c r="I3439" i="9"/>
  <c r="H3439" i="9"/>
  <c r="I3438" i="9"/>
  <c r="H3438" i="9"/>
  <c r="I3437" i="9"/>
  <c r="H3437" i="9"/>
  <c r="I3436" i="9"/>
  <c r="H3436" i="9"/>
  <c r="I3435" i="9"/>
  <c r="H3435" i="9"/>
  <c r="I3434" i="9"/>
  <c r="H3434" i="9"/>
  <c r="I3433" i="9"/>
  <c r="H3433" i="9"/>
  <c r="I3432" i="9"/>
  <c r="H3432" i="9"/>
  <c r="I3431" i="9"/>
  <c r="H3431" i="9"/>
  <c r="I3430" i="9"/>
  <c r="H3430" i="9"/>
  <c r="I3429" i="9"/>
  <c r="H3429" i="9"/>
  <c r="I3428" i="9"/>
  <c r="H3428" i="9"/>
  <c r="I3427" i="9"/>
  <c r="H3427" i="9"/>
  <c r="I3426" i="9"/>
  <c r="H3426" i="9"/>
  <c r="I3425" i="9"/>
  <c r="H3425" i="9"/>
  <c r="I3424" i="9"/>
  <c r="H3424" i="9"/>
  <c r="I3423" i="9"/>
  <c r="H3423" i="9"/>
  <c r="I3422" i="9"/>
  <c r="H3422" i="9"/>
  <c r="I3421" i="9"/>
  <c r="H3421" i="9"/>
  <c r="I3420" i="9"/>
  <c r="H3420" i="9"/>
  <c r="I3419" i="9"/>
  <c r="H3419" i="9"/>
  <c r="I3418" i="9"/>
  <c r="H3418" i="9"/>
  <c r="I3417" i="9"/>
  <c r="H3417" i="9"/>
  <c r="I3416" i="9"/>
  <c r="H3416" i="9"/>
  <c r="I3415" i="9"/>
  <c r="H3415" i="9"/>
  <c r="I3414" i="9"/>
  <c r="H3414" i="9"/>
  <c r="I3413" i="9"/>
  <c r="H3413" i="9"/>
  <c r="I3412" i="9"/>
  <c r="H3412" i="9"/>
  <c r="I3411" i="9"/>
  <c r="H3411" i="9"/>
  <c r="I3410" i="9"/>
  <c r="H3410" i="9"/>
  <c r="I3409" i="9"/>
  <c r="H3409" i="9"/>
  <c r="I3408" i="9"/>
  <c r="H3408" i="9"/>
  <c r="I3407" i="9"/>
  <c r="H3407" i="9"/>
  <c r="I3406" i="9"/>
  <c r="H3406" i="9"/>
  <c r="I3405" i="9"/>
  <c r="H3405" i="9"/>
  <c r="I3404" i="9"/>
  <c r="H3404" i="9"/>
  <c r="I3403" i="9"/>
  <c r="H3403" i="9"/>
  <c r="I3402" i="9"/>
  <c r="H3402" i="9"/>
  <c r="I3401" i="9"/>
  <c r="H3401" i="9"/>
  <c r="I3400" i="9"/>
  <c r="H3400" i="9"/>
  <c r="I3399" i="9"/>
  <c r="H3399" i="9"/>
  <c r="I3398" i="9"/>
  <c r="H3398" i="9"/>
  <c r="I3397" i="9"/>
  <c r="H3397" i="9"/>
  <c r="I3396" i="9"/>
  <c r="H3396" i="9"/>
  <c r="I3395" i="9"/>
  <c r="H3395" i="9"/>
  <c r="I3394" i="9"/>
  <c r="H3394" i="9"/>
  <c r="I3393" i="9"/>
  <c r="H3393" i="9"/>
  <c r="I3392" i="9"/>
  <c r="H3392" i="9"/>
  <c r="I3391" i="9"/>
  <c r="H3391" i="9"/>
  <c r="I3390" i="9"/>
  <c r="H3390" i="9"/>
  <c r="I3389" i="9"/>
  <c r="H3389" i="9"/>
  <c r="I3388" i="9"/>
  <c r="H3388" i="9"/>
  <c r="I3387" i="9"/>
  <c r="H3387" i="9"/>
  <c r="I3386" i="9"/>
  <c r="H3386" i="9"/>
  <c r="I3385" i="9"/>
  <c r="H3385" i="9"/>
  <c r="I3384" i="9"/>
  <c r="H3384" i="9"/>
  <c r="I3383" i="9"/>
  <c r="H3383" i="9"/>
  <c r="I3382" i="9"/>
  <c r="H3382" i="9"/>
  <c r="I3381" i="9"/>
  <c r="H3381" i="9"/>
  <c r="I3380" i="9"/>
  <c r="H3380" i="9"/>
  <c r="I3379" i="9"/>
  <c r="H3379" i="9"/>
  <c r="I3378" i="9"/>
  <c r="H3378" i="9"/>
  <c r="I3377" i="9"/>
  <c r="H3377" i="9"/>
  <c r="I3376" i="9"/>
  <c r="H3376" i="9"/>
  <c r="I3375" i="9"/>
  <c r="H3375" i="9"/>
  <c r="I3374" i="9"/>
  <c r="H3374" i="9"/>
  <c r="I3373" i="9"/>
  <c r="H3373" i="9"/>
  <c r="I3372" i="9"/>
  <c r="H3372" i="9"/>
  <c r="I3371" i="9"/>
  <c r="H3371" i="9"/>
  <c r="I3370" i="9"/>
  <c r="H3370" i="9"/>
  <c r="I3369" i="9"/>
  <c r="H3369" i="9"/>
  <c r="I3368" i="9"/>
  <c r="H3368" i="9"/>
  <c r="I3367" i="9"/>
  <c r="H3367" i="9"/>
  <c r="I3366" i="9"/>
  <c r="H3366" i="9"/>
  <c r="I3365" i="9"/>
  <c r="H3365" i="9"/>
  <c r="I3364" i="9"/>
  <c r="H3364" i="9"/>
  <c r="I3363" i="9"/>
  <c r="H3363" i="9"/>
  <c r="I3362" i="9"/>
  <c r="H3362" i="9"/>
  <c r="I3361" i="9"/>
  <c r="H3361" i="9"/>
  <c r="I3360" i="9"/>
  <c r="H3360" i="9"/>
  <c r="I3359" i="9"/>
  <c r="H3359" i="9"/>
  <c r="I3358" i="9"/>
  <c r="H3358" i="9"/>
  <c r="I3357" i="9"/>
  <c r="H3357" i="9"/>
  <c r="I3356" i="9"/>
  <c r="H3356" i="9"/>
  <c r="I3355" i="9"/>
  <c r="H3355" i="9"/>
  <c r="I3354" i="9"/>
  <c r="H3354" i="9"/>
  <c r="I3353" i="9"/>
  <c r="H3353" i="9"/>
  <c r="I3352" i="9"/>
  <c r="H3352" i="9"/>
  <c r="I3351" i="9"/>
  <c r="H3351" i="9"/>
  <c r="I3350" i="9"/>
  <c r="H3350" i="9"/>
  <c r="I3349" i="9"/>
  <c r="H3349" i="9"/>
  <c r="I3348" i="9"/>
  <c r="H3348" i="9"/>
  <c r="I3347" i="9"/>
  <c r="H3347" i="9"/>
  <c r="I3346" i="9"/>
  <c r="H3346" i="9"/>
  <c r="I3345" i="9"/>
  <c r="H3345" i="9"/>
  <c r="I3344" i="9"/>
  <c r="H3344" i="9"/>
  <c r="I3343" i="9"/>
  <c r="H3343" i="9"/>
  <c r="I3342" i="9"/>
  <c r="H3342" i="9"/>
  <c r="I3341" i="9"/>
  <c r="H3341" i="9"/>
  <c r="I3340" i="9"/>
  <c r="H3340" i="9"/>
  <c r="I3339" i="9"/>
  <c r="H3339" i="9"/>
  <c r="I3338" i="9"/>
  <c r="H3338" i="9"/>
  <c r="I3337" i="9"/>
  <c r="H3337" i="9"/>
  <c r="I3336" i="9"/>
  <c r="H3336" i="9"/>
  <c r="I3335" i="9"/>
  <c r="H3335" i="9"/>
  <c r="I3334" i="9"/>
  <c r="H3334" i="9"/>
  <c r="I3333" i="9"/>
  <c r="H3333" i="9"/>
  <c r="I3332" i="9"/>
  <c r="H3332" i="9"/>
  <c r="I3331" i="9"/>
  <c r="H3331" i="9"/>
  <c r="I3330" i="9"/>
  <c r="H3330" i="9"/>
  <c r="I3329" i="9"/>
  <c r="H3329" i="9"/>
  <c r="I3328" i="9"/>
  <c r="H3328" i="9"/>
  <c r="I3327" i="9"/>
  <c r="H3327" i="9"/>
  <c r="I3326" i="9"/>
  <c r="H3326" i="9"/>
  <c r="I3325" i="9"/>
  <c r="H3325" i="9"/>
  <c r="I3324" i="9"/>
  <c r="H3324" i="9"/>
  <c r="I3323" i="9"/>
  <c r="H3323" i="9"/>
  <c r="I3322" i="9"/>
  <c r="H3322" i="9"/>
  <c r="I3321" i="9"/>
  <c r="H3321" i="9"/>
  <c r="I3320" i="9"/>
  <c r="H3320" i="9"/>
  <c r="I3319" i="9"/>
  <c r="H3319" i="9"/>
  <c r="I3318" i="9"/>
  <c r="H3318" i="9"/>
  <c r="I3317" i="9"/>
  <c r="H3317" i="9"/>
  <c r="I3316" i="9"/>
  <c r="H3316" i="9"/>
  <c r="I3315" i="9"/>
  <c r="H3315" i="9"/>
  <c r="I3314" i="9"/>
  <c r="H3314" i="9"/>
  <c r="I3313" i="9"/>
  <c r="H3313" i="9"/>
  <c r="I3312" i="9"/>
  <c r="H3312" i="9"/>
  <c r="I3311" i="9"/>
  <c r="H3311" i="9"/>
  <c r="I3310" i="9"/>
  <c r="H3310" i="9"/>
  <c r="I3309" i="9"/>
  <c r="H3309" i="9"/>
  <c r="I3308" i="9"/>
  <c r="H3308" i="9"/>
  <c r="I3307" i="9"/>
  <c r="H3307" i="9"/>
  <c r="I3306" i="9"/>
  <c r="H3306" i="9"/>
  <c r="I3305" i="9"/>
  <c r="H3305" i="9"/>
  <c r="I3304" i="9"/>
  <c r="H3304" i="9"/>
  <c r="I3303" i="9"/>
  <c r="H3303" i="9"/>
  <c r="I3302" i="9"/>
  <c r="H3302" i="9"/>
  <c r="I3301" i="9"/>
  <c r="H3301" i="9"/>
  <c r="I3300" i="9"/>
  <c r="H3300" i="9"/>
  <c r="I3299" i="9"/>
  <c r="H3299" i="9"/>
  <c r="I3298" i="9"/>
  <c r="H3298" i="9"/>
  <c r="I3297" i="9"/>
  <c r="H3297" i="9"/>
  <c r="I3296" i="9"/>
  <c r="H3296" i="9"/>
  <c r="I3295" i="9"/>
  <c r="H3295" i="9"/>
  <c r="I3294" i="9"/>
  <c r="H3294" i="9"/>
  <c r="I3293" i="9"/>
  <c r="H3293" i="9"/>
  <c r="I3292" i="9"/>
  <c r="H3292" i="9"/>
  <c r="I3291" i="9"/>
  <c r="H3291" i="9"/>
  <c r="I3290" i="9"/>
  <c r="H3290" i="9"/>
  <c r="I3289" i="9"/>
  <c r="H3289" i="9"/>
  <c r="I3288" i="9"/>
  <c r="H3288" i="9"/>
  <c r="I3287" i="9"/>
  <c r="H3287" i="9"/>
  <c r="I3286" i="9"/>
  <c r="H3286" i="9"/>
  <c r="I3285" i="9"/>
  <c r="H3285" i="9"/>
  <c r="I3284" i="9"/>
  <c r="H3284" i="9"/>
  <c r="I3283" i="9"/>
  <c r="H3283" i="9"/>
  <c r="I3282" i="9"/>
  <c r="H3282" i="9"/>
  <c r="I3281" i="9"/>
  <c r="H3281" i="9"/>
  <c r="I3280" i="9"/>
  <c r="H3280" i="9"/>
  <c r="I3279" i="9"/>
  <c r="H3279" i="9"/>
  <c r="I3278" i="9"/>
  <c r="H3278" i="9"/>
  <c r="I3277" i="9"/>
  <c r="H3277" i="9"/>
  <c r="I3276" i="9"/>
  <c r="H3276" i="9"/>
  <c r="I3275" i="9"/>
  <c r="H3275" i="9"/>
  <c r="I3274" i="9"/>
  <c r="H3274" i="9"/>
  <c r="I3273" i="9"/>
  <c r="H3273" i="9"/>
  <c r="I3272" i="9"/>
  <c r="H3272" i="9"/>
  <c r="I3271" i="9"/>
  <c r="H3271" i="9"/>
  <c r="I3270" i="9"/>
  <c r="H3270" i="9"/>
  <c r="I3269" i="9"/>
  <c r="H3269" i="9"/>
  <c r="I3268" i="9"/>
  <c r="H3268" i="9"/>
  <c r="I3267" i="9"/>
  <c r="H3267" i="9"/>
  <c r="I3266" i="9"/>
  <c r="H3266" i="9"/>
  <c r="I3265" i="9"/>
  <c r="H3265" i="9"/>
  <c r="I3264" i="9"/>
  <c r="H3264" i="9"/>
  <c r="I3263" i="9"/>
  <c r="H3263" i="9"/>
  <c r="I3262" i="9"/>
  <c r="H3262" i="9"/>
  <c r="I3261" i="9"/>
  <c r="H3261" i="9"/>
  <c r="I3260" i="9"/>
  <c r="H3260" i="9"/>
  <c r="I3259" i="9"/>
  <c r="H3259" i="9"/>
  <c r="I3258" i="9"/>
  <c r="H3258" i="9"/>
  <c r="I3257" i="9"/>
  <c r="H3257" i="9"/>
  <c r="I3256" i="9"/>
  <c r="H3256" i="9"/>
  <c r="I3255" i="9"/>
  <c r="H3255" i="9"/>
  <c r="I3254" i="9"/>
  <c r="H3254" i="9"/>
  <c r="I3253" i="9"/>
  <c r="H3253" i="9"/>
  <c r="I3252" i="9"/>
  <c r="H3252" i="9"/>
  <c r="I3251" i="9"/>
  <c r="H3251" i="9"/>
  <c r="I3250" i="9"/>
  <c r="H3250" i="9"/>
  <c r="I3249" i="9"/>
  <c r="H3249" i="9"/>
  <c r="I3248" i="9"/>
  <c r="H3248" i="9"/>
  <c r="I3247" i="9"/>
  <c r="H3247" i="9"/>
  <c r="I3246" i="9"/>
  <c r="H3246" i="9"/>
  <c r="I3245" i="9"/>
  <c r="H3245" i="9"/>
  <c r="I3244" i="9"/>
  <c r="H3244" i="9"/>
  <c r="I3243" i="9"/>
  <c r="H3243" i="9"/>
  <c r="I3242" i="9"/>
  <c r="H3242" i="9"/>
  <c r="I3241" i="9"/>
  <c r="H3241" i="9"/>
  <c r="I3240" i="9"/>
  <c r="H3240" i="9"/>
  <c r="I3239" i="9"/>
  <c r="H3239" i="9"/>
  <c r="I3238" i="9"/>
  <c r="H3238" i="9"/>
  <c r="I3237" i="9"/>
  <c r="H3237" i="9"/>
  <c r="I3236" i="9"/>
  <c r="H3236" i="9"/>
  <c r="I3235" i="9"/>
  <c r="H3235" i="9"/>
  <c r="I3234" i="9"/>
  <c r="H3234" i="9"/>
  <c r="I3233" i="9"/>
  <c r="H3233" i="9"/>
  <c r="I3232" i="9"/>
  <c r="H3232" i="9"/>
  <c r="I3231" i="9"/>
  <c r="H3231" i="9"/>
  <c r="I3230" i="9"/>
  <c r="H3230" i="9"/>
  <c r="I3229" i="9"/>
  <c r="H3229" i="9"/>
  <c r="I3228" i="9"/>
  <c r="H3228" i="9"/>
  <c r="I3227" i="9"/>
  <c r="H3227" i="9"/>
  <c r="I3226" i="9"/>
  <c r="H3226" i="9"/>
  <c r="I3225" i="9"/>
  <c r="H3225" i="9"/>
  <c r="I3224" i="9"/>
  <c r="H3224" i="9"/>
  <c r="I3223" i="9"/>
  <c r="H3223" i="9"/>
  <c r="I3222" i="9"/>
  <c r="H3222" i="9"/>
  <c r="I3221" i="9"/>
  <c r="H3221" i="9"/>
  <c r="I3220" i="9"/>
  <c r="H3220" i="9"/>
  <c r="I3219" i="9"/>
  <c r="H3219" i="9"/>
  <c r="I3218" i="9"/>
  <c r="H3218" i="9"/>
  <c r="I3217" i="9"/>
  <c r="H3217" i="9"/>
  <c r="I3216" i="9"/>
  <c r="H3216" i="9"/>
  <c r="I3215" i="9"/>
  <c r="H3215" i="9"/>
  <c r="I3214" i="9"/>
  <c r="H3214" i="9"/>
  <c r="I3213" i="9"/>
  <c r="H3213" i="9"/>
  <c r="I3212" i="9"/>
  <c r="H3212" i="9"/>
  <c r="I3211" i="9"/>
  <c r="H3211" i="9"/>
  <c r="I3210" i="9"/>
  <c r="H3210" i="9"/>
  <c r="I3209" i="9"/>
  <c r="H3209" i="9"/>
  <c r="I3208" i="9"/>
  <c r="H3208" i="9"/>
  <c r="I3207" i="9"/>
  <c r="H3207" i="9"/>
  <c r="I3206" i="9"/>
  <c r="H3206" i="9"/>
  <c r="I3205" i="9"/>
  <c r="H3205" i="9"/>
  <c r="I3204" i="9"/>
  <c r="H3204" i="9"/>
  <c r="I3203" i="9"/>
  <c r="H3203" i="9"/>
  <c r="I3202" i="9"/>
  <c r="H3202" i="9"/>
  <c r="I3201" i="9"/>
  <c r="H3201" i="9"/>
  <c r="I3200" i="9"/>
  <c r="H3200" i="9"/>
  <c r="I3199" i="9"/>
  <c r="H3199" i="9"/>
  <c r="I3198" i="9"/>
  <c r="H3198" i="9"/>
  <c r="I3197" i="9"/>
  <c r="H3197" i="9"/>
  <c r="I3196" i="9"/>
  <c r="H3196" i="9"/>
  <c r="I3195" i="9"/>
  <c r="H3195" i="9"/>
  <c r="I3194" i="9"/>
  <c r="H3194" i="9"/>
  <c r="I3193" i="9"/>
  <c r="H3193" i="9"/>
  <c r="I3192" i="9"/>
  <c r="H3192" i="9"/>
  <c r="I3191" i="9"/>
  <c r="H3191" i="9"/>
  <c r="I3190" i="9"/>
  <c r="H3190" i="9"/>
  <c r="I3189" i="9"/>
  <c r="H3189" i="9"/>
  <c r="I3188" i="9"/>
  <c r="H3188" i="9"/>
  <c r="I3187" i="9"/>
  <c r="H3187" i="9"/>
  <c r="I3186" i="9"/>
  <c r="H3186" i="9"/>
  <c r="I3185" i="9"/>
  <c r="H3185" i="9"/>
  <c r="I3184" i="9"/>
  <c r="H3184" i="9"/>
  <c r="I3183" i="9"/>
  <c r="H3183" i="9"/>
  <c r="I3182" i="9"/>
  <c r="H3182" i="9"/>
  <c r="I3181" i="9"/>
  <c r="H3181" i="9"/>
  <c r="I3180" i="9"/>
  <c r="H3180" i="9"/>
  <c r="I3179" i="9"/>
  <c r="H3179" i="9"/>
  <c r="I3178" i="9"/>
  <c r="H3178" i="9"/>
  <c r="I3177" i="9"/>
  <c r="H3177" i="9"/>
  <c r="I3176" i="9"/>
  <c r="H3176" i="9"/>
  <c r="I3175" i="9"/>
  <c r="H3175" i="9"/>
  <c r="I3174" i="9"/>
  <c r="H3174" i="9"/>
  <c r="I3173" i="9"/>
  <c r="H3173" i="9"/>
  <c r="I3172" i="9"/>
  <c r="H3172" i="9"/>
  <c r="I3171" i="9"/>
  <c r="H3171" i="9"/>
  <c r="I3170" i="9"/>
  <c r="H3170" i="9"/>
  <c r="I3169" i="9"/>
  <c r="H3169" i="9"/>
  <c r="I3168" i="9"/>
  <c r="H3168" i="9"/>
  <c r="I3167" i="9"/>
  <c r="H3167" i="9"/>
  <c r="I3166" i="9"/>
  <c r="H3166" i="9"/>
  <c r="I3165" i="9"/>
  <c r="H3165" i="9"/>
  <c r="I3164" i="9"/>
  <c r="H3164" i="9"/>
  <c r="I3163" i="9"/>
  <c r="H3163" i="9"/>
  <c r="I3162" i="9"/>
  <c r="H3162" i="9"/>
  <c r="I3161" i="9"/>
  <c r="H3161" i="9"/>
  <c r="I3160" i="9"/>
  <c r="H3160" i="9"/>
  <c r="I3159" i="9"/>
  <c r="H3159" i="9"/>
  <c r="I3158" i="9"/>
  <c r="H3158" i="9"/>
  <c r="I3157" i="9"/>
  <c r="H3157" i="9"/>
  <c r="I3156" i="9"/>
  <c r="H3156" i="9"/>
  <c r="I3155" i="9"/>
  <c r="H3155" i="9"/>
  <c r="I3154" i="9"/>
  <c r="H3154" i="9"/>
  <c r="I3153" i="9"/>
  <c r="H3153" i="9"/>
  <c r="I3152" i="9"/>
  <c r="H3152" i="9"/>
  <c r="I3151" i="9"/>
  <c r="H3151" i="9"/>
  <c r="I3150" i="9"/>
  <c r="H3150" i="9"/>
  <c r="I3149" i="9"/>
  <c r="H3149" i="9"/>
  <c r="I3148" i="9"/>
  <c r="H3148" i="9"/>
  <c r="I3147" i="9"/>
  <c r="H3147" i="9"/>
  <c r="I3146" i="9"/>
  <c r="H3146" i="9"/>
  <c r="I3145" i="9"/>
  <c r="H3145" i="9"/>
  <c r="I3144" i="9"/>
  <c r="H3144" i="9"/>
  <c r="I3143" i="9"/>
  <c r="H3143" i="9"/>
  <c r="I3142" i="9"/>
  <c r="H3142" i="9"/>
  <c r="I3141" i="9"/>
  <c r="H3141" i="9"/>
  <c r="I3140" i="9"/>
  <c r="H3140" i="9"/>
  <c r="I3139" i="9"/>
  <c r="H3139" i="9"/>
  <c r="I3138" i="9"/>
  <c r="H3138" i="9"/>
  <c r="I3137" i="9"/>
  <c r="H3137" i="9"/>
  <c r="I3136" i="9"/>
  <c r="H3136" i="9"/>
  <c r="I3135" i="9"/>
  <c r="H3135" i="9"/>
  <c r="I3134" i="9"/>
  <c r="H3134" i="9"/>
  <c r="I3133" i="9"/>
  <c r="H3133" i="9"/>
  <c r="I3132" i="9"/>
  <c r="H3132" i="9"/>
  <c r="I3131" i="9"/>
  <c r="H3131" i="9"/>
  <c r="I3130" i="9"/>
  <c r="H3130" i="9"/>
  <c r="I3129" i="9"/>
  <c r="H3129" i="9"/>
  <c r="I3128" i="9"/>
  <c r="H3128" i="9"/>
  <c r="I3127" i="9"/>
  <c r="H3127" i="9"/>
  <c r="I3126" i="9"/>
  <c r="H3126" i="9"/>
  <c r="I3125" i="9"/>
  <c r="H3125" i="9"/>
  <c r="I3124" i="9"/>
  <c r="H3124" i="9"/>
  <c r="I3123" i="9"/>
  <c r="H3123" i="9"/>
  <c r="I3122" i="9"/>
  <c r="H3122" i="9"/>
  <c r="I3121" i="9"/>
  <c r="H3121" i="9"/>
  <c r="I3120" i="9"/>
  <c r="H3120" i="9"/>
  <c r="I3119" i="9"/>
  <c r="H3119" i="9"/>
  <c r="I3118" i="9"/>
  <c r="H3118" i="9"/>
  <c r="I3117" i="9"/>
  <c r="H3117" i="9"/>
  <c r="I3116" i="9"/>
  <c r="H3116" i="9"/>
  <c r="I3115" i="9"/>
  <c r="H3115" i="9"/>
  <c r="I3114" i="9"/>
  <c r="H3114" i="9"/>
  <c r="I3113" i="9"/>
  <c r="H3113" i="9"/>
  <c r="I3112" i="9"/>
  <c r="H3112" i="9"/>
  <c r="I3111" i="9"/>
  <c r="H3111" i="9"/>
  <c r="I3110" i="9"/>
  <c r="H3110" i="9"/>
  <c r="I3109" i="9"/>
  <c r="H3109" i="9"/>
  <c r="I3108" i="9"/>
  <c r="H3108" i="9"/>
  <c r="I3107" i="9"/>
  <c r="H3107" i="9"/>
  <c r="I3106" i="9"/>
  <c r="H3106" i="9"/>
  <c r="I3105" i="9"/>
  <c r="H3105" i="9"/>
  <c r="I3104" i="9"/>
  <c r="H3104" i="9"/>
  <c r="I3103" i="9"/>
  <c r="H3103" i="9"/>
  <c r="I3102" i="9"/>
  <c r="H3102" i="9"/>
  <c r="I3101" i="9"/>
  <c r="H3101" i="9"/>
  <c r="I3100" i="9"/>
  <c r="H3100" i="9"/>
  <c r="I3099" i="9"/>
  <c r="H3099" i="9"/>
  <c r="I3098" i="9"/>
  <c r="H3098" i="9"/>
  <c r="I3097" i="9"/>
  <c r="H3097" i="9"/>
  <c r="I3096" i="9"/>
  <c r="H3096" i="9"/>
  <c r="I3095" i="9"/>
  <c r="H3095" i="9"/>
  <c r="I3094" i="9"/>
  <c r="H3094" i="9"/>
  <c r="I3093" i="9"/>
  <c r="H3093" i="9"/>
  <c r="I3092" i="9"/>
  <c r="H3092" i="9"/>
  <c r="I3091" i="9"/>
  <c r="H3091" i="9"/>
  <c r="I3090" i="9"/>
  <c r="H3090" i="9"/>
  <c r="I3089" i="9"/>
  <c r="H3089" i="9"/>
  <c r="I3088" i="9"/>
  <c r="H3088" i="9"/>
  <c r="I3087" i="9"/>
  <c r="H3087" i="9"/>
  <c r="I3086" i="9"/>
  <c r="H3086" i="9"/>
  <c r="I3085" i="9"/>
  <c r="H3085" i="9"/>
  <c r="I3084" i="9"/>
  <c r="H3084" i="9"/>
  <c r="I3083" i="9"/>
  <c r="H3083" i="9"/>
  <c r="I3082" i="9"/>
  <c r="H3082" i="9"/>
  <c r="I3081" i="9"/>
  <c r="H3081" i="9"/>
  <c r="I3080" i="9"/>
  <c r="H3080" i="9"/>
  <c r="I3079" i="9"/>
  <c r="H3079" i="9"/>
  <c r="I3078" i="9"/>
  <c r="H3078" i="9"/>
  <c r="I3077" i="9"/>
  <c r="H3077" i="9"/>
  <c r="I3076" i="9"/>
  <c r="H3076" i="9"/>
  <c r="I3075" i="9"/>
  <c r="H3075" i="9"/>
  <c r="I3074" i="9"/>
  <c r="H3074" i="9"/>
  <c r="I3073" i="9"/>
  <c r="H3073" i="9"/>
  <c r="I3072" i="9"/>
  <c r="H3072" i="9"/>
  <c r="I3071" i="9"/>
  <c r="H3071" i="9"/>
  <c r="I3070" i="9"/>
  <c r="H3070" i="9"/>
  <c r="I3069" i="9"/>
  <c r="H3069" i="9"/>
  <c r="I3068" i="9"/>
  <c r="H3068" i="9"/>
  <c r="I3067" i="9"/>
  <c r="H3067" i="9"/>
  <c r="I3066" i="9"/>
  <c r="H3066" i="9"/>
  <c r="I3065" i="9"/>
  <c r="H3065" i="9"/>
  <c r="I3064" i="9"/>
  <c r="H3064" i="9"/>
  <c r="I3063" i="9"/>
  <c r="H3063" i="9"/>
  <c r="I3062" i="9"/>
  <c r="H3062" i="9"/>
  <c r="I3061" i="9"/>
  <c r="H3061" i="9"/>
  <c r="I3060" i="9"/>
  <c r="H3060" i="9"/>
  <c r="I3059" i="9"/>
  <c r="H3059" i="9"/>
  <c r="I3058" i="9"/>
  <c r="H3058" i="9"/>
  <c r="I3057" i="9"/>
  <c r="H3057" i="9"/>
  <c r="I3056" i="9"/>
  <c r="H3056" i="9"/>
  <c r="I3055" i="9"/>
  <c r="H3055" i="9"/>
  <c r="I3054" i="9"/>
  <c r="H3054" i="9"/>
  <c r="I3053" i="9"/>
  <c r="H3053" i="9"/>
  <c r="I3052" i="9"/>
  <c r="H3052" i="9"/>
  <c r="I3051" i="9"/>
  <c r="H3051" i="9"/>
  <c r="I3050" i="9"/>
  <c r="H3050" i="9"/>
  <c r="I3049" i="9"/>
  <c r="H3049" i="9"/>
  <c r="I3048" i="9"/>
  <c r="H3048" i="9"/>
  <c r="I3047" i="9"/>
  <c r="H3047" i="9"/>
  <c r="I3046" i="9"/>
  <c r="H3046" i="9"/>
  <c r="I3045" i="9"/>
  <c r="H3045" i="9"/>
  <c r="I3044" i="9"/>
  <c r="H3044" i="9"/>
  <c r="I3043" i="9"/>
  <c r="H3043" i="9"/>
  <c r="I3042" i="9"/>
  <c r="H3042" i="9"/>
  <c r="I3041" i="9"/>
  <c r="H3041" i="9"/>
  <c r="I3040" i="9"/>
  <c r="H3040" i="9"/>
  <c r="I3039" i="9"/>
  <c r="H3039" i="9"/>
  <c r="I3038" i="9"/>
  <c r="H3038" i="9"/>
  <c r="I3037" i="9"/>
  <c r="H3037" i="9"/>
  <c r="I3036" i="9"/>
  <c r="H3036" i="9"/>
  <c r="I3035" i="9"/>
  <c r="H3035" i="9"/>
  <c r="I3034" i="9"/>
  <c r="H3034" i="9"/>
  <c r="I3033" i="9"/>
  <c r="H3033" i="9"/>
  <c r="I3032" i="9"/>
  <c r="H3032" i="9"/>
  <c r="I3031" i="9"/>
  <c r="H3031" i="9"/>
  <c r="I3030" i="9"/>
  <c r="H3030" i="9"/>
  <c r="I3029" i="9"/>
  <c r="H3029" i="9"/>
  <c r="I3028" i="9"/>
  <c r="H3028" i="9"/>
  <c r="I3027" i="9"/>
  <c r="H3027" i="9"/>
  <c r="I3026" i="9"/>
  <c r="H3026" i="9"/>
  <c r="I3025" i="9"/>
  <c r="H3025" i="9"/>
  <c r="I3024" i="9"/>
  <c r="H3024" i="9"/>
  <c r="I3023" i="9"/>
  <c r="H3023" i="9"/>
  <c r="I3022" i="9"/>
  <c r="H3022" i="9"/>
  <c r="I3021" i="9"/>
  <c r="H3021" i="9"/>
  <c r="I3020" i="9"/>
  <c r="H3020" i="9"/>
  <c r="I3019" i="9"/>
  <c r="H3019" i="9"/>
  <c r="I3018" i="9"/>
  <c r="H3018" i="9"/>
  <c r="I3017" i="9"/>
  <c r="H3017" i="9"/>
  <c r="I3016" i="9"/>
  <c r="H3016" i="9"/>
  <c r="I3015" i="9"/>
  <c r="H3015" i="9"/>
  <c r="I3014" i="9"/>
  <c r="H3014" i="9"/>
  <c r="I3013" i="9"/>
  <c r="H3013" i="9"/>
  <c r="I3012" i="9"/>
  <c r="H3012" i="9"/>
  <c r="I3011" i="9"/>
  <c r="H3011" i="9"/>
  <c r="I3010" i="9"/>
  <c r="H3010" i="9"/>
  <c r="I3009" i="9"/>
  <c r="H3009" i="9"/>
  <c r="I3008" i="9"/>
  <c r="H3008" i="9"/>
  <c r="I3007" i="9"/>
  <c r="H3007" i="9"/>
  <c r="I3006" i="9"/>
  <c r="H3006" i="9"/>
  <c r="I3005" i="9"/>
  <c r="H3005" i="9"/>
  <c r="I3004" i="9"/>
  <c r="H3004" i="9"/>
  <c r="I3003" i="9"/>
  <c r="H3003" i="9"/>
  <c r="I3002" i="9"/>
  <c r="H3002" i="9"/>
  <c r="I3001" i="9"/>
  <c r="H3001" i="9"/>
  <c r="I3000" i="9"/>
  <c r="H3000" i="9"/>
  <c r="I2999" i="9"/>
  <c r="H2999" i="9"/>
  <c r="I2998" i="9"/>
  <c r="H2998" i="9"/>
  <c r="I2997" i="9"/>
  <c r="H2997" i="9"/>
  <c r="I2996" i="9"/>
  <c r="H2996" i="9"/>
  <c r="I2995" i="9"/>
  <c r="H2995" i="9"/>
  <c r="I2994" i="9"/>
  <c r="H2994" i="9"/>
  <c r="I2993" i="9"/>
  <c r="H2993" i="9"/>
  <c r="I2992" i="9"/>
  <c r="H2992" i="9"/>
  <c r="I2991" i="9"/>
  <c r="H2991" i="9"/>
  <c r="I2990" i="9"/>
  <c r="H2990" i="9"/>
  <c r="I2989" i="9"/>
  <c r="H2989" i="9"/>
  <c r="I2988" i="9"/>
  <c r="H2988" i="9"/>
  <c r="I2987" i="9"/>
  <c r="H2987" i="9"/>
  <c r="I2986" i="9"/>
  <c r="H2986" i="9"/>
  <c r="I2985" i="9"/>
  <c r="H2985" i="9"/>
  <c r="I2984" i="9"/>
  <c r="H2984" i="9"/>
  <c r="I2983" i="9"/>
  <c r="H2983" i="9"/>
  <c r="I2982" i="9"/>
  <c r="H2982" i="9"/>
  <c r="I2981" i="9"/>
  <c r="H2981" i="9"/>
  <c r="I2980" i="9"/>
  <c r="H2980" i="9"/>
  <c r="I2979" i="9"/>
  <c r="H2979" i="9"/>
  <c r="I2978" i="9"/>
  <c r="H2978" i="9"/>
  <c r="I2977" i="9"/>
  <c r="H2977" i="9"/>
  <c r="I2976" i="9"/>
  <c r="H2976" i="9"/>
  <c r="I2975" i="9"/>
  <c r="H2975" i="9"/>
  <c r="I2974" i="9"/>
  <c r="H2974" i="9"/>
  <c r="I2973" i="9"/>
  <c r="H2973" i="9"/>
  <c r="I2972" i="9"/>
  <c r="H2972" i="9"/>
  <c r="I2971" i="9"/>
  <c r="H2971" i="9"/>
  <c r="I2970" i="9"/>
  <c r="H2970" i="9"/>
  <c r="I2969" i="9"/>
  <c r="H2969" i="9"/>
  <c r="I2968" i="9"/>
  <c r="H2968" i="9"/>
  <c r="I2967" i="9"/>
  <c r="H2967" i="9"/>
  <c r="I2966" i="9"/>
  <c r="H2966" i="9"/>
  <c r="I2965" i="9"/>
  <c r="H2965" i="9"/>
  <c r="I2964" i="9"/>
  <c r="H2964" i="9"/>
  <c r="I2963" i="9"/>
  <c r="H2963" i="9"/>
  <c r="I2962" i="9"/>
  <c r="H2962" i="9"/>
  <c r="I2961" i="9"/>
  <c r="H2961" i="9"/>
  <c r="I2960" i="9"/>
  <c r="H2960" i="9"/>
  <c r="I2959" i="9"/>
  <c r="H2959" i="9"/>
  <c r="I2958" i="9"/>
  <c r="H2958" i="9"/>
  <c r="I2957" i="9"/>
  <c r="H2957" i="9"/>
  <c r="I2956" i="9"/>
  <c r="H2956" i="9"/>
  <c r="I2955" i="9"/>
  <c r="H2955" i="9"/>
  <c r="I2954" i="9"/>
  <c r="H2954" i="9"/>
  <c r="I2953" i="9"/>
  <c r="H2953" i="9"/>
  <c r="I2952" i="9"/>
  <c r="H2952" i="9"/>
  <c r="I2951" i="9"/>
  <c r="H2951" i="9"/>
  <c r="I2950" i="9"/>
  <c r="H2950" i="9"/>
  <c r="I2949" i="9"/>
  <c r="H2949" i="9"/>
  <c r="I2948" i="9"/>
  <c r="H2948" i="9"/>
  <c r="I2947" i="9"/>
  <c r="H2947" i="9"/>
  <c r="I2946" i="9"/>
  <c r="H2946" i="9"/>
  <c r="I2945" i="9"/>
  <c r="H2945" i="9"/>
  <c r="I2944" i="9"/>
  <c r="H2944" i="9"/>
  <c r="I2943" i="9"/>
  <c r="H2943" i="9"/>
  <c r="I2942" i="9"/>
  <c r="H2942" i="9"/>
  <c r="I2941" i="9"/>
  <c r="H2941" i="9"/>
  <c r="I2940" i="9"/>
  <c r="H2940" i="9"/>
  <c r="I2939" i="9"/>
  <c r="H2939" i="9"/>
  <c r="I2938" i="9"/>
  <c r="H2938" i="9"/>
  <c r="I2937" i="9"/>
  <c r="H2937" i="9"/>
  <c r="I2936" i="9"/>
  <c r="H2936" i="9"/>
  <c r="I2935" i="9"/>
  <c r="H2935" i="9"/>
  <c r="I2934" i="9"/>
  <c r="H2934" i="9"/>
  <c r="I2933" i="9"/>
  <c r="H2933" i="9"/>
  <c r="I2932" i="9"/>
  <c r="H2932" i="9"/>
  <c r="I2931" i="9"/>
  <c r="H2931" i="9"/>
  <c r="I2930" i="9"/>
  <c r="H2930" i="9"/>
  <c r="I2929" i="9"/>
  <c r="H2929" i="9"/>
  <c r="I2928" i="9"/>
  <c r="H2928" i="9"/>
  <c r="I2927" i="9"/>
  <c r="H2927" i="9"/>
  <c r="I2926" i="9"/>
  <c r="H2926" i="9"/>
  <c r="I2925" i="9"/>
  <c r="H2925" i="9"/>
  <c r="I2924" i="9"/>
  <c r="H2924" i="9"/>
  <c r="I2923" i="9"/>
  <c r="H2923" i="9"/>
  <c r="I2922" i="9"/>
  <c r="H2922" i="9"/>
  <c r="I2921" i="9"/>
  <c r="H2921" i="9"/>
  <c r="I2920" i="9"/>
  <c r="H2920" i="9"/>
  <c r="I2919" i="9"/>
  <c r="H2919" i="9"/>
  <c r="I2918" i="9"/>
  <c r="H2918" i="9"/>
  <c r="I2917" i="9"/>
  <c r="H2917" i="9"/>
  <c r="I2916" i="9"/>
  <c r="H2916" i="9"/>
  <c r="I2915" i="9"/>
  <c r="H2915" i="9"/>
  <c r="I2914" i="9"/>
  <c r="H2914" i="9"/>
  <c r="I2913" i="9"/>
  <c r="H2913" i="9"/>
  <c r="I2912" i="9"/>
  <c r="H2912" i="9"/>
  <c r="I2911" i="9"/>
  <c r="H2911" i="9"/>
  <c r="I2910" i="9"/>
  <c r="H2910" i="9"/>
  <c r="I2909" i="9"/>
  <c r="H2909" i="9"/>
  <c r="I2908" i="9"/>
  <c r="H2908" i="9"/>
  <c r="I2907" i="9"/>
  <c r="H2907" i="9"/>
  <c r="I2906" i="9"/>
  <c r="H2906" i="9"/>
  <c r="I2905" i="9"/>
  <c r="H2905" i="9"/>
  <c r="I2904" i="9"/>
  <c r="H2904" i="9"/>
  <c r="I2903" i="9"/>
  <c r="H2903" i="9"/>
  <c r="I2902" i="9"/>
  <c r="H2902" i="9"/>
  <c r="I2901" i="9"/>
  <c r="H2901" i="9"/>
  <c r="I2900" i="9"/>
  <c r="H2900" i="9"/>
  <c r="I2899" i="9"/>
  <c r="H2899" i="9"/>
  <c r="I2898" i="9"/>
  <c r="H2898" i="9"/>
  <c r="I2897" i="9"/>
  <c r="H2897" i="9"/>
  <c r="I2896" i="9"/>
  <c r="H2896" i="9"/>
  <c r="I2895" i="9"/>
  <c r="H2895" i="9"/>
  <c r="I2894" i="9"/>
  <c r="H2894" i="9"/>
  <c r="I2893" i="9"/>
  <c r="H2893" i="9"/>
  <c r="I2892" i="9"/>
  <c r="H2892" i="9"/>
  <c r="I2891" i="9"/>
  <c r="H2891" i="9"/>
  <c r="I2890" i="9"/>
  <c r="H2890" i="9"/>
  <c r="I2889" i="9"/>
  <c r="H2889" i="9"/>
  <c r="I2888" i="9"/>
  <c r="H2888" i="9"/>
  <c r="I2887" i="9"/>
  <c r="H2887" i="9"/>
  <c r="I2886" i="9"/>
  <c r="H2886" i="9"/>
  <c r="I2885" i="9"/>
  <c r="H2885" i="9"/>
  <c r="I2884" i="9"/>
  <c r="H2884" i="9"/>
  <c r="I2883" i="9"/>
  <c r="H2883" i="9"/>
  <c r="I2882" i="9"/>
  <c r="H2882" i="9"/>
  <c r="I2881" i="9"/>
  <c r="H2881" i="9"/>
  <c r="I2880" i="9"/>
  <c r="H2880" i="9"/>
  <c r="I2879" i="9"/>
  <c r="H2879" i="9"/>
  <c r="I2878" i="9"/>
  <c r="H2878" i="9"/>
  <c r="I2877" i="9"/>
  <c r="H2877" i="9"/>
  <c r="I2876" i="9"/>
  <c r="H2876" i="9"/>
  <c r="I2875" i="9"/>
  <c r="H2875" i="9"/>
  <c r="I2874" i="9"/>
  <c r="H2874" i="9"/>
  <c r="I2873" i="9"/>
  <c r="H2873" i="9"/>
  <c r="I2872" i="9"/>
  <c r="H2872" i="9"/>
  <c r="I2871" i="9"/>
  <c r="H2871" i="9"/>
  <c r="I2870" i="9"/>
  <c r="H2870" i="9"/>
  <c r="I2869" i="9"/>
  <c r="H2869" i="9"/>
  <c r="I2868" i="9"/>
  <c r="H2868" i="9"/>
  <c r="I2867" i="9"/>
  <c r="H2867" i="9"/>
  <c r="I2866" i="9"/>
  <c r="H2866" i="9"/>
  <c r="I2865" i="9"/>
  <c r="H2865" i="9"/>
  <c r="I2864" i="9"/>
  <c r="H2864" i="9"/>
  <c r="I2863" i="9"/>
  <c r="H2863" i="9"/>
  <c r="I2862" i="9"/>
  <c r="H2862" i="9"/>
  <c r="I2861" i="9"/>
  <c r="H2861" i="9"/>
  <c r="I2860" i="9"/>
  <c r="H2860" i="9"/>
  <c r="I2859" i="9"/>
  <c r="H2859" i="9"/>
  <c r="I2858" i="9"/>
  <c r="H2858" i="9"/>
  <c r="I2857" i="9"/>
  <c r="H2857" i="9"/>
  <c r="I2856" i="9"/>
  <c r="H2856" i="9"/>
  <c r="I2855" i="9"/>
  <c r="H2855" i="9"/>
  <c r="I2854" i="9"/>
  <c r="H2854" i="9"/>
  <c r="I2853" i="9"/>
  <c r="H2853" i="9"/>
  <c r="I2852" i="9"/>
  <c r="H2852" i="9"/>
  <c r="I2851" i="9"/>
  <c r="H2851" i="9"/>
  <c r="I2850" i="9"/>
  <c r="H2850" i="9"/>
  <c r="I2849" i="9"/>
  <c r="H2849" i="9"/>
  <c r="I2848" i="9"/>
  <c r="H2848" i="9"/>
  <c r="I2847" i="9"/>
  <c r="H2847" i="9"/>
  <c r="I2846" i="9"/>
  <c r="H2846" i="9"/>
  <c r="I2845" i="9"/>
  <c r="H2845" i="9"/>
  <c r="I2844" i="9"/>
  <c r="H2844" i="9"/>
  <c r="I2843" i="9"/>
  <c r="H2843" i="9"/>
  <c r="I2842" i="9"/>
  <c r="H2842" i="9"/>
  <c r="I2841" i="9"/>
  <c r="H2841" i="9"/>
  <c r="I2840" i="9"/>
  <c r="H2840" i="9"/>
  <c r="I2839" i="9"/>
  <c r="H2839" i="9"/>
  <c r="I2838" i="9"/>
  <c r="H2838" i="9"/>
  <c r="I2837" i="9"/>
  <c r="H2837" i="9"/>
  <c r="I2836" i="9"/>
  <c r="H2836" i="9"/>
  <c r="I2835" i="9"/>
  <c r="H2835" i="9"/>
  <c r="I2834" i="9"/>
  <c r="H2834" i="9"/>
  <c r="I2833" i="9"/>
  <c r="H2833" i="9"/>
  <c r="I2832" i="9"/>
  <c r="H2832" i="9"/>
  <c r="I2831" i="9"/>
  <c r="H2831" i="9"/>
  <c r="I2830" i="9"/>
  <c r="H2830" i="9"/>
  <c r="I2829" i="9"/>
  <c r="H2829" i="9"/>
  <c r="I2828" i="9"/>
  <c r="H2828" i="9"/>
  <c r="I2827" i="9"/>
  <c r="H2827" i="9"/>
  <c r="I2826" i="9"/>
  <c r="H2826" i="9"/>
  <c r="I2825" i="9"/>
  <c r="H2825" i="9"/>
  <c r="I2824" i="9"/>
  <c r="H2824" i="9"/>
  <c r="I2823" i="9"/>
  <c r="H2823" i="9"/>
  <c r="I2822" i="9"/>
  <c r="H2822" i="9"/>
  <c r="I2821" i="9"/>
  <c r="H2821" i="9"/>
  <c r="I2820" i="9"/>
  <c r="H2820" i="9"/>
  <c r="I2819" i="9"/>
  <c r="H2819" i="9"/>
  <c r="I2818" i="9"/>
  <c r="H2818" i="9"/>
  <c r="I2817" i="9"/>
  <c r="H2817" i="9"/>
  <c r="I2816" i="9"/>
  <c r="H2816" i="9"/>
  <c r="I2815" i="9"/>
  <c r="H2815" i="9"/>
  <c r="I2814" i="9"/>
  <c r="H2814" i="9"/>
  <c r="I2813" i="9"/>
  <c r="H2813" i="9"/>
  <c r="I2812" i="9"/>
  <c r="H2812" i="9"/>
  <c r="I2811" i="9"/>
  <c r="H2811" i="9"/>
  <c r="I2810" i="9"/>
  <c r="H2810" i="9"/>
  <c r="I2809" i="9"/>
  <c r="H2809" i="9"/>
  <c r="I2808" i="9"/>
  <c r="H2808" i="9"/>
  <c r="I2807" i="9"/>
  <c r="H2807" i="9"/>
  <c r="I2806" i="9"/>
  <c r="H2806" i="9"/>
  <c r="I2805" i="9"/>
  <c r="H2805" i="9"/>
  <c r="I2804" i="9"/>
  <c r="H2804" i="9"/>
  <c r="I2803" i="9"/>
  <c r="H2803" i="9"/>
  <c r="I2802" i="9"/>
  <c r="H2802" i="9"/>
  <c r="I2801" i="9"/>
  <c r="H2801" i="9"/>
  <c r="I2800" i="9"/>
  <c r="H2800" i="9"/>
  <c r="I2799" i="9"/>
  <c r="H2799" i="9"/>
  <c r="I2798" i="9"/>
  <c r="H2798" i="9"/>
  <c r="I2797" i="9"/>
  <c r="H2797" i="9"/>
  <c r="I2796" i="9"/>
  <c r="H2796" i="9"/>
  <c r="I2795" i="9"/>
  <c r="H2795" i="9"/>
  <c r="I2794" i="9"/>
  <c r="H2794" i="9"/>
  <c r="I2793" i="9"/>
  <c r="H2793" i="9"/>
  <c r="I2792" i="9"/>
  <c r="H2792" i="9"/>
  <c r="I2791" i="9"/>
  <c r="H2791" i="9"/>
  <c r="I2790" i="9"/>
  <c r="H2790" i="9"/>
  <c r="I2789" i="9"/>
  <c r="H2789" i="9"/>
  <c r="I2788" i="9"/>
  <c r="H2788" i="9"/>
  <c r="I2787" i="9"/>
  <c r="H2787" i="9"/>
  <c r="I2786" i="9"/>
  <c r="H2786" i="9"/>
  <c r="I2785" i="9"/>
  <c r="H2785" i="9"/>
  <c r="I2784" i="9"/>
  <c r="H2784" i="9"/>
  <c r="I2783" i="9"/>
  <c r="H2783" i="9"/>
  <c r="I2782" i="9"/>
  <c r="H2782" i="9"/>
  <c r="I2781" i="9"/>
  <c r="H2781" i="9"/>
  <c r="I2780" i="9"/>
  <c r="H2780" i="9"/>
  <c r="I2779" i="9"/>
  <c r="H2779" i="9"/>
  <c r="I2778" i="9"/>
  <c r="H2778" i="9"/>
  <c r="I2777" i="9"/>
  <c r="H2777" i="9"/>
  <c r="I2776" i="9"/>
  <c r="H2776" i="9"/>
  <c r="I2775" i="9"/>
  <c r="H2775" i="9"/>
  <c r="I2774" i="9"/>
  <c r="H2774" i="9"/>
  <c r="I2773" i="9"/>
  <c r="H2773" i="9"/>
  <c r="I2772" i="9"/>
  <c r="H2772" i="9"/>
  <c r="I2771" i="9"/>
  <c r="H2771" i="9"/>
  <c r="I2770" i="9"/>
  <c r="H2770" i="9"/>
  <c r="I2769" i="9"/>
  <c r="H2769" i="9"/>
  <c r="I2768" i="9"/>
  <c r="H2768" i="9"/>
  <c r="I2767" i="9"/>
  <c r="H2767" i="9"/>
  <c r="I2766" i="9"/>
  <c r="H2766" i="9"/>
  <c r="I2765" i="9"/>
  <c r="H2765" i="9"/>
  <c r="I2764" i="9"/>
  <c r="H2764" i="9"/>
  <c r="I2763" i="9"/>
  <c r="H2763" i="9"/>
  <c r="I2762" i="9"/>
  <c r="H2762" i="9"/>
  <c r="I2761" i="9"/>
  <c r="H2761" i="9"/>
  <c r="I2760" i="9"/>
  <c r="H2760" i="9"/>
  <c r="I2759" i="9"/>
  <c r="H2759" i="9"/>
  <c r="I2758" i="9"/>
  <c r="H2758" i="9"/>
  <c r="I2757" i="9"/>
  <c r="H2757" i="9"/>
  <c r="I2756" i="9"/>
  <c r="H2756" i="9"/>
  <c r="I2755" i="9"/>
  <c r="H2755" i="9"/>
  <c r="I2754" i="9"/>
  <c r="H2754" i="9"/>
  <c r="I2753" i="9"/>
  <c r="H2753" i="9"/>
  <c r="I2752" i="9"/>
  <c r="H2752" i="9"/>
  <c r="I2751" i="9"/>
  <c r="H2751" i="9"/>
  <c r="I2750" i="9"/>
  <c r="H2750" i="9"/>
  <c r="I2749" i="9"/>
  <c r="H2749" i="9"/>
  <c r="I2748" i="9"/>
  <c r="H2748" i="9"/>
  <c r="I2747" i="9"/>
  <c r="H2747" i="9"/>
  <c r="I2746" i="9"/>
  <c r="H2746" i="9"/>
  <c r="I2745" i="9"/>
  <c r="H2745" i="9"/>
  <c r="I2744" i="9"/>
  <c r="H2744" i="9"/>
  <c r="I2743" i="9"/>
  <c r="H2743" i="9"/>
  <c r="I2742" i="9"/>
  <c r="H2742" i="9"/>
  <c r="I2741" i="9"/>
  <c r="H2741" i="9"/>
  <c r="I2740" i="9"/>
  <c r="H2740" i="9"/>
  <c r="I2739" i="9"/>
  <c r="H2739" i="9"/>
  <c r="I2738" i="9"/>
  <c r="H2738" i="9"/>
  <c r="I2737" i="9"/>
  <c r="H2737" i="9"/>
  <c r="I2736" i="9"/>
  <c r="H2736" i="9"/>
  <c r="I2735" i="9"/>
  <c r="H2735" i="9"/>
  <c r="I2734" i="9"/>
  <c r="H2734" i="9"/>
  <c r="I2733" i="9"/>
  <c r="H2733" i="9"/>
  <c r="I2732" i="9"/>
  <c r="H2732" i="9"/>
  <c r="I2731" i="9"/>
  <c r="H2731" i="9"/>
  <c r="I2730" i="9"/>
  <c r="H2730" i="9"/>
  <c r="I2729" i="9"/>
  <c r="H2729" i="9"/>
  <c r="I2728" i="9"/>
  <c r="H2728" i="9"/>
  <c r="I2727" i="9"/>
  <c r="H2727" i="9"/>
  <c r="I2726" i="9"/>
  <c r="H2726" i="9"/>
  <c r="I2725" i="9"/>
  <c r="H2725" i="9"/>
  <c r="I2724" i="9"/>
  <c r="H2724" i="9"/>
  <c r="I2723" i="9"/>
  <c r="H2723" i="9"/>
  <c r="I2722" i="9"/>
  <c r="H2722" i="9"/>
  <c r="I2721" i="9"/>
  <c r="H2721" i="9"/>
  <c r="I2720" i="9"/>
  <c r="H2720" i="9"/>
  <c r="I2719" i="9"/>
  <c r="H2719" i="9"/>
  <c r="I2718" i="9"/>
  <c r="H2718" i="9"/>
  <c r="I2717" i="9"/>
  <c r="H2717" i="9"/>
  <c r="I2716" i="9"/>
  <c r="H2716" i="9"/>
  <c r="I2715" i="9"/>
  <c r="H2715" i="9"/>
  <c r="I2714" i="9"/>
  <c r="H2714" i="9"/>
  <c r="I2713" i="9"/>
  <c r="H2713" i="9"/>
  <c r="I2712" i="9"/>
  <c r="H2712" i="9"/>
  <c r="I2711" i="9"/>
  <c r="H2711" i="9"/>
  <c r="I2710" i="9"/>
  <c r="H2710" i="9"/>
  <c r="I2709" i="9"/>
  <c r="H2709" i="9"/>
  <c r="I2708" i="9"/>
  <c r="H2708" i="9"/>
  <c r="I2707" i="9"/>
  <c r="H2707" i="9"/>
  <c r="I2706" i="9"/>
  <c r="H2706" i="9"/>
  <c r="I2705" i="9"/>
  <c r="H2705" i="9"/>
  <c r="I2704" i="9"/>
  <c r="H2704" i="9"/>
  <c r="I2703" i="9"/>
  <c r="H2703" i="9"/>
  <c r="I2702" i="9"/>
  <c r="H2702" i="9"/>
  <c r="I2701" i="9"/>
  <c r="H2701" i="9"/>
  <c r="I2700" i="9"/>
  <c r="H2700" i="9"/>
  <c r="I2699" i="9"/>
  <c r="H2699" i="9"/>
  <c r="I2698" i="9"/>
  <c r="H2698" i="9"/>
  <c r="I2697" i="9"/>
  <c r="H2697" i="9"/>
  <c r="I2696" i="9"/>
  <c r="H2696" i="9"/>
  <c r="I2695" i="9"/>
  <c r="H2695" i="9"/>
  <c r="I2694" i="9"/>
  <c r="H2694" i="9"/>
  <c r="I2693" i="9"/>
  <c r="H2693" i="9"/>
  <c r="I2692" i="9"/>
  <c r="H2692" i="9"/>
  <c r="I2691" i="9"/>
  <c r="H2691" i="9"/>
  <c r="I2690" i="9"/>
  <c r="H2690" i="9"/>
  <c r="I2689" i="9"/>
  <c r="H2689" i="9"/>
  <c r="I2688" i="9"/>
  <c r="H2688" i="9"/>
  <c r="I2687" i="9"/>
  <c r="H2687" i="9"/>
  <c r="I2686" i="9"/>
  <c r="H2686" i="9"/>
  <c r="I2685" i="9"/>
  <c r="H2685" i="9"/>
  <c r="I2684" i="9"/>
  <c r="H2684" i="9"/>
  <c r="I2683" i="9"/>
  <c r="H2683" i="9"/>
  <c r="I2682" i="9"/>
  <c r="H2682" i="9"/>
  <c r="I2681" i="9"/>
  <c r="H2681" i="9"/>
  <c r="I2680" i="9"/>
  <c r="H2680" i="9"/>
  <c r="I2679" i="9"/>
  <c r="H2679" i="9"/>
  <c r="I2678" i="9"/>
  <c r="H2678" i="9"/>
  <c r="I2677" i="9"/>
  <c r="H2677" i="9"/>
  <c r="I2676" i="9"/>
  <c r="H2676" i="9"/>
  <c r="I2675" i="9"/>
  <c r="H2675" i="9"/>
  <c r="I2674" i="9"/>
  <c r="H2674" i="9"/>
  <c r="I2673" i="9"/>
  <c r="H2673" i="9"/>
  <c r="I2672" i="9"/>
  <c r="H2672" i="9"/>
  <c r="I2671" i="9"/>
  <c r="H2671" i="9"/>
  <c r="I2670" i="9"/>
  <c r="H2670" i="9"/>
  <c r="I2669" i="9"/>
  <c r="H2669" i="9"/>
  <c r="I2668" i="9"/>
  <c r="H2668" i="9"/>
  <c r="I2667" i="9"/>
  <c r="H2667" i="9"/>
  <c r="I2666" i="9"/>
  <c r="H2666" i="9"/>
  <c r="I2665" i="9"/>
  <c r="H2665" i="9"/>
  <c r="I2664" i="9"/>
  <c r="H2664" i="9"/>
  <c r="I2663" i="9"/>
  <c r="H2663" i="9"/>
  <c r="I2662" i="9"/>
  <c r="H2662" i="9"/>
  <c r="I2661" i="9"/>
  <c r="H2661" i="9"/>
  <c r="I2660" i="9"/>
  <c r="H2660" i="9"/>
  <c r="I2659" i="9"/>
  <c r="H2659" i="9"/>
  <c r="I2658" i="9"/>
  <c r="H2658" i="9"/>
  <c r="I2657" i="9"/>
  <c r="H2657" i="9"/>
  <c r="I2656" i="9"/>
  <c r="H2656" i="9"/>
  <c r="I2655" i="9"/>
  <c r="H2655" i="9"/>
  <c r="I2654" i="9"/>
  <c r="H2654" i="9"/>
  <c r="I2653" i="9"/>
  <c r="H2653" i="9"/>
  <c r="I2652" i="9"/>
  <c r="H2652" i="9"/>
  <c r="I2651" i="9"/>
  <c r="H2651" i="9"/>
  <c r="I2650" i="9"/>
  <c r="H2650" i="9"/>
  <c r="I2649" i="9"/>
  <c r="H2649" i="9"/>
  <c r="I2648" i="9"/>
  <c r="H2648" i="9"/>
  <c r="I2647" i="9"/>
  <c r="H2647" i="9"/>
  <c r="I2646" i="9"/>
  <c r="H2646" i="9"/>
  <c r="I2645" i="9"/>
  <c r="H2645" i="9"/>
  <c r="I2644" i="9"/>
  <c r="H2644" i="9"/>
  <c r="I2643" i="9"/>
  <c r="H2643" i="9"/>
  <c r="I2642" i="9"/>
  <c r="H2642" i="9"/>
  <c r="I2641" i="9"/>
  <c r="H2641" i="9"/>
  <c r="I2640" i="9"/>
  <c r="H2640" i="9"/>
  <c r="I2639" i="9"/>
  <c r="H2639" i="9"/>
  <c r="I2638" i="9"/>
  <c r="H2638" i="9"/>
  <c r="I2637" i="9"/>
  <c r="H2637" i="9"/>
  <c r="I2636" i="9"/>
  <c r="H2636" i="9"/>
  <c r="I2635" i="9"/>
  <c r="H2635" i="9"/>
  <c r="I2634" i="9"/>
  <c r="H2634" i="9"/>
  <c r="I2633" i="9"/>
  <c r="H2633" i="9"/>
  <c r="I2632" i="9"/>
  <c r="H2632" i="9"/>
  <c r="I2631" i="9"/>
  <c r="H2631" i="9"/>
  <c r="I2630" i="9"/>
  <c r="H2630" i="9"/>
  <c r="I2629" i="9"/>
  <c r="H2629" i="9"/>
  <c r="I2628" i="9"/>
  <c r="H2628" i="9"/>
  <c r="I2627" i="9"/>
  <c r="H2627" i="9"/>
  <c r="I2626" i="9"/>
  <c r="H2626" i="9"/>
  <c r="I2625" i="9"/>
  <c r="H2625" i="9"/>
  <c r="I2624" i="9"/>
  <c r="H2624" i="9"/>
  <c r="I2623" i="9"/>
  <c r="H2623" i="9"/>
  <c r="I2622" i="9"/>
  <c r="H2622" i="9"/>
  <c r="I2621" i="9"/>
  <c r="H2621" i="9"/>
  <c r="I2620" i="9"/>
  <c r="H2620" i="9"/>
  <c r="I2619" i="9"/>
  <c r="H2619" i="9"/>
  <c r="I2618" i="9"/>
  <c r="H2618" i="9"/>
  <c r="I2617" i="9"/>
  <c r="H2617" i="9"/>
  <c r="I2616" i="9"/>
  <c r="H2616" i="9"/>
  <c r="I2615" i="9"/>
  <c r="H2615" i="9"/>
  <c r="I2614" i="9"/>
  <c r="H2614" i="9"/>
  <c r="I2613" i="9"/>
  <c r="H2613" i="9"/>
  <c r="I2612" i="9"/>
  <c r="H2612" i="9"/>
  <c r="I2611" i="9"/>
  <c r="H2611" i="9"/>
  <c r="I2610" i="9"/>
  <c r="H2610" i="9"/>
  <c r="I2609" i="9"/>
  <c r="H2609" i="9"/>
  <c r="I2608" i="9"/>
  <c r="H2608" i="9"/>
  <c r="I2607" i="9"/>
  <c r="H2607" i="9"/>
  <c r="I2606" i="9"/>
  <c r="H2606" i="9"/>
  <c r="I2605" i="9"/>
  <c r="H2605" i="9"/>
  <c r="I2604" i="9"/>
  <c r="H2604" i="9"/>
  <c r="I2603" i="9"/>
  <c r="H2603" i="9"/>
  <c r="I2602" i="9"/>
  <c r="H2602" i="9"/>
  <c r="I2601" i="9"/>
  <c r="H2601" i="9"/>
  <c r="I2600" i="9"/>
  <c r="H2600" i="9"/>
  <c r="I2599" i="9"/>
  <c r="H2599" i="9"/>
  <c r="I2598" i="9"/>
  <c r="H2598" i="9"/>
  <c r="I2597" i="9"/>
  <c r="H2597" i="9"/>
  <c r="I2596" i="9"/>
  <c r="H2596" i="9"/>
  <c r="I2595" i="9"/>
  <c r="H2595" i="9"/>
  <c r="I2594" i="9"/>
  <c r="H2594" i="9"/>
  <c r="I2593" i="9"/>
  <c r="H2593" i="9"/>
  <c r="I2592" i="9"/>
  <c r="H2592" i="9"/>
  <c r="I2591" i="9"/>
  <c r="H2591" i="9"/>
  <c r="I2590" i="9"/>
  <c r="H2590" i="9"/>
  <c r="I2589" i="9"/>
  <c r="H2589" i="9"/>
  <c r="I2588" i="9"/>
  <c r="H2588" i="9"/>
  <c r="I2587" i="9"/>
  <c r="H2587" i="9"/>
  <c r="I2586" i="9"/>
  <c r="H2586" i="9"/>
  <c r="I2585" i="9"/>
  <c r="H2585" i="9"/>
  <c r="I2584" i="9"/>
  <c r="H2584" i="9"/>
  <c r="I2583" i="9"/>
  <c r="H2583" i="9"/>
  <c r="I2582" i="9"/>
  <c r="H2582" i="9"/>
  <c r="I2581" i="9"/>
  <c r="H2581" i="9"/>
  <c r="I2580" i="9"/>
  <c r="H2580" i="9"/>
  <c r="I2579" i="9"/>
  <c r="H2579" i="9"/>
  <c r="I2578" i="9"/>
  <c r="H2578" i="9"/>
  <c r="I2577" i="9"/>
  <c r="H2577" i="9"/>
  <c r="I2576" i="9"/>
  <c r="H2576" i="9"/>
  <c r="I2575" i="9"/>
  <c r="H2575" i="9"/>
  <c r="I2574" i="9"/>
  <c r="H2574" i="9"/>
  <c r="I2573" i="9"/>
  <c r="H2573" i="9"/>
  <c r="I2572" i="9"/>
  <c r="H2572" i="9"/>
  <c r="I2571" i="9"/>
  <c r="H2571" i="9"/>
  <c r="I2570" i="9"/>
  <c r="H2570" i="9"/>
  <c r="I2569" i="9"/>
  <c r="H2569" i="9"/>
  <c r="I2568" i="9"/>
  <c r="H2568" i="9"/>
  <c r="I2567" i="9"/>
  <c r="H2567" i="9"/>
  <c r="I2566" i="9"/>
  <c r="H2566" i="9"/>
  <c r="I2565" i="9"/>
  <c r="H2565" i="9"/>
  <c r="I2564" i="9"/>
  <c r="H2564" i="9"/>
  <c r="I2563" i="9"/>
  <c r="H2563" i="9"/>
  <c r="I2562" i="9"/>
  <c r="H2562" i="9"/>
  <c r="I2561" i="9"/>
  <c r="H2561" i="9"/>
  <c r="I2560" i="9"/>
  <c r="H2560" i="9"/>
  <c r="I2559" i="9"/>
  <c r="H2559" i="9"/>
  <c r="I2558" i="9"/>
  <c r="H2558" i="9"/>
  <c r="I2557" i="9"/>
  <c r="H2557" i="9"/>
  <c r="I2556" i="9"/>
  <c r="H2556" i="9"/>
  <c r="I2555" i="9"/>
  <c r="H2555" i="9"/>
  <c r="I2554" i="9"/>
  <c r="H2554" i="9"/>
  <c r="I2553" i="9"/>
  <c r="H2553" i="9"/>
  <c r="I2552" i="9"/>
  <c r="H2552" i="9"/>
  <c r="I2551" i="9"/>
  <c r="H2551" i="9"/>
  <c r="I2550" i="9"/>
  <c r="H2550" i="9"/>
  <c r="I2549" i="9"/>
  <c r="H2549" i="9"/>
  <c r="I2548" i="9"/>
  <c r="H2548" i="9"/>
  <c r="I2547" i="9"/>
  <c r="H2547" i="9"/>
  <c r="I2546" i="9"/>
  <c r="H2546" i="9"/>
  <c r="I2545" i="9"/>
  <c r="H2545" i="9"/>
  <c r="I2544" i="9"/>
  <c r="H2544" i="9"/>
  <c r="I2543" i="9"/>
  <c r="H2543" i="9"/>
  <c r="I2542" i="9"/>
  <c r="H2542" i="9"/>
  <c r="I2541" i="9"/>
  <c r="H2541" i="9"/>
  <c r="I2540" i="9"/>
  <c r="H2540" i="9"/>
  <c r="I2539" i="9"/>
  <c r="H2539" i="9"/>
  <c r="I2538" i="9"/>
  <c r="H2538" i="9"/>
  <c r="I2537" i="9"/>
  <c r="H2537" i="9"/>
  <c r="I2536" i="9"/>
  <c r="H2536" i="9"/>
  <c r="I2535" i="9"/>
  <c r="H2535" i="9"/>
  <c r="I2534" i="9"/>
  <c r="H2534" i="9"/>
  <c r="I2533" i="9"/>
  <c r="H2533" i="9"/>
  <c r="I2532" i="9"/>
  <c r="H2532" i="9"/>
  <c r="I2531" i="9"/>
  <c r="H2531" i="9"/>
  <c r="I2530" i="9"/>
  <c r="H2530" i="9"/>
  <c r="I2529" i="9"/>
  <c r="H2529" i="9"/>
  <c r="I2528" i="9"/>
  <c r="H2528" i="9"/>
  <c r="I2527" i="9"/>
  <c r="H2527" i="9"/>
  <c r="I2526" i="9"/>
  <c r="H2526" i="9"/>
  <c r="I2525" i="9"/>
  <c r="H2525" i="9"/>
  <c r="I2524" i="9"/>
  <c r="H2524" i="9"/>
  <c r="I2523" i="9"/>
  <c r="H2523" i="9"/>
  <c r="I2522" i="9"/>
  <c r="H2522" i="9"/>
  <c r="I2521" i="9"/>
  <c r="H2521" i="9"/>
  <c r="I2520" i="9"/>
  <c r="H2520" i="9"/>
  <c r="I2519" i="9"/>
  <c r="H2519" i="9"/>
  <c r="I2518" i="9"/>
  <c r="H2518" i="9"/>
  <c r="I2517" i="9"/>
  <c r="H2517" i="9"/>
  <c r="I2516" i="9"/>
  <c r="H2516" i="9"/>
  <c r="I2515" i="9"/>
  <c r="H2515" i="9"/>
  <c r="I2514" i="9"/>
  <c r="H2514" i="9"/>
  <c r="I2513" i="9"/>
  <c r="H2513" i="9"/>
  <c r="I2512" i="9"/>
  <c r="H2512" i="9"/>
  <c r="I2511" i="9"/>
  <c r="H2511" i="9"/>
  <c r="I2510" i="9"/>
  <c r="H2510" i="9"/>
  <c r="I2509" i="9"/>
  <c r="H2509" i="9"/>
  <c r="I2508" i="9"/>
  <c r="H2508" i="9"/>
  <c r="I2507" i="9"/>
  <c r="H2507" i="9"/>
  <c r="I2506" i="9"/>
  <c r="H2506" i="9"/>
  <c r="I2505" i="9"/>
  <c r="H2505" i="9"/>
  <c r="I2504" i="9"/>
  <c r="H2504" i="9"/>
  <c r="I2503" i="9"/>
  <c r="H2503" i="9"/>
  <c r="I2502" i="9"/>
  <c r="H2502" i="9"/>
  <c r="I2501" i="9"/>
  <c r="H2501" i="9"/>
  <c r="I2500" i="9"/>
  <c r="H2500" i="9"/>
  <c r="I2499" i="9"/>
  <c r="H2499" i="9"/>
  <c r="I2498" i="9"/>
  <c r="H2498" i="9"/>
  <c r="I2497" i="9"/>
  <c r="H2497" i="9"/>
  <c r="I2496" i="9"/>
  <c r="H2496" i="9"/>
  <c r="I2495" i="9"/>
  <c r="H2495" i="9"/>
  <c r="I2494" i="9"/>
  <c r="H2494" i="9"/>
  <c r="I2493" i="9"/>
  <c r="H2493" i="9"/>
  <c r="I2492" i="9"/>
  <c r="H2492" i="9"/>
  <c r="I2491" i="9"/>
  <c r="H2491" i="9"/>
  <c r="I2490" i="9"/>
  <c r="H2490" i="9"/>
  <c r="I2489" i="9"/>
  <c r="H2489" i="9"/>
  <c r="I2488" i="9"/>
  <c r="H2488" i="9"/>
  <c r="I2487" i="9"/>
  <c r="H2487" i="9"/>
  <c r="I2486" i="9"/>
  <c r="H2486" i="9"/>
  <c r="I2485" i="9"/>
  <c r="H2485" i="9"/>
  <c r="I2484" i="9"/>
  <c r="H2484" i="9"/>
  <c r="I2483" i="9"/>
  <c r="H2483" i="9"/>
  <c r="I2482" i="9"/>
  <c r="H2482" i="9"/>
  <c r="I2481" i="9"/>
  <c r="H2481" i="9"/>
  <c r="I2480" i="9"/>
  <c r="H2480" i="9"/>
  <c r="I2479" i="9"/>
  <c r="H2479" i="9"/>
  <c r="I2478" i="9"/>
  <c r="H2478" i="9"/>
  <c r="I2477" i="9"/>
  <c r="H2477" i="9"/>
  <c r="I2476" i="9"/>
  <c r="H2476" i="9"/>
  <c r="I2475" i="9"/>
  <c r="H2475" i="9"/>
  <c r="I2474" i="9"/>
  <c r="H2474" i="9"/>
  <c r="I2473" i="9"/>
  <c r="H2473" i="9"/>
  <c r="I2472" i="9"/>
  <c r="H2472" i="9"/>
  <c r="I2471" i="9"/>
  <c r="H2471" i="9"/>
  <c r="I2470" i="9"/>
  <c r="H2470" i="9"/>
  <c r="I2469" i="9"/>
  <c r="H2469" i="9"/>
  <c r="I2468" i="9"/>
  <c r="H2468" i="9"/>
  <c r="I2467" i="9"/>
  <c r="H2467" i="9"/>
  <c r="I2466" i="9"/>
  <c r="H2466" i="9"/>
  <c r="I2465" i="9"/>
  <c r="H2465" i="9"/>
  <c r="I2464" i="9"/>
  <c r="H2464" i="9"/>
  <c r="I2463" i="9"/>
  <c r="H2463" i="9"/>
  <c r="I2462" i="9"/>
  <c r="H2462" i="9"/>
  <c r="I2461" i="9"/>
  <c r="H2461" i="9"/>
  <c r="I2460" i="9"/>
  <c r="H2460" i="9"/>
  <c r="I2459" i="9"/>
  <c r="H2459" i="9"/>
  <c r="I2458" i="9"/>
  <c r="H2458" i="9"/>
  <c r="I2457" i="9"/>
  <c r="H2457" i="9"/>
  <c r="I2456" i="9"/>
  <c r="H2456" i="9"/>
  <c r="I2455" i="9"/>
  <c r="H2455" i="9"/>
  <c r="I2454" i="9"/>
  <c r="H2454" i="9"/>
  <c r="I2453" i="9"/>
  <c r="H2453" i="9"/>
  <c r="I2452" i="9"/>
  <c r="H2452" i="9"/>
  <c r="I2451" i="9"/>
  <c r="H2451" i="9"/>
  <c r="I2450" i="9"/>
  <c r="H2450" i="9"/>
  <c r="I2449" i="9"/>
  <c r="H2449" i="9"/>
  <c r="I2448" i="9"/>
  <c r="H2448" i="9"/>
  <c r="I2447" i="9"/>
  <c r="H2447" i="9"/>
  <c r="I2446" i="9"/>
  <c r="H2446" i="9"/>
  <c r="I2445" i="9"/>
  <c r="H2445" i="9"/>
  <c r="I2444" i="9"/>
  <c r="H2444" i="9"/>
  <c r="I2443" i="9"/>
  <c r="H2443" i="9"/>
  <c r="I2442" i="9"/>
  <c r="H2442" i="9"/>
  <c r="I2441" i="9"/>
  <c r="H2441" i="9"/>
  <c r="I2440" i="9"/>
  <c r="H2440" i="9"/>
  <c r="I2439" i="9"/>
  <c r="H2439" i="9"/>
  <c r="I2438" i="9"/>
  <c r="H2438" i="9"/>
  <c r="I2437" i="9"/>
  <c r="H2437" i="9"/>
  <c r="I2436" i="9"/>
  <c r="H2436" i="9"/>
  <c r="I2435" i="9"/>
  <c r="H2435" i="9"/>
  <c r="I2434" i="9"/>
  <c r="H2434" i="9"/>
  <c r="I2433" i="9"/>
  <c r="H2433" i="9"/>
  <c r="I2432" i="9"/>
  <c r="H2432" i="9"/>
  <c r="I2431" i="9"/>
  <c r="H2431" i="9"/>
  <c r="I2430" i="9"/>
  <c r="H2430" i="9"/>
  <c r="I2429" i="9"/>
  <c r="H2429" i="9"/>
  <c r="I2428" i="9"/>
  <c r="H2428" i="9"/>
  <c r="I2427" i="9"/>
  <c r="H2427" i="9"/>
  <c r="I2426" i="9"/>
  <c r="H2426" i="9"/>
  <c r="I2425" i="9"/>
  <c r="H2425" i="9"/>
  <c r="I2424" i="9"/>
  <c r="H2424" i="9"/>
  <c r="I2423" i="9"/>
  <c r="H2423" i="9"/>
  <c r="I2422" i="9"/>
  <c r="H2422" i="9"/>
  <c r="I2421" i="9"/>
  <c r="H2421" i="9"/>
  <c r="I2420" i="9"/>
  <c r="H2420" i="9"/>
  <c r="I2419" i="9"/>
  <c r="H2419" i="9"/>
  <c r="I2418" i="9"/>
  <c r="H2418" i="9"/>
  <c r="I2417" i="9"/>
  <c r="H2417" i="9"/>
  <c r="I2416" i="9"/>
  <c r="H2416" i="9"/>
  <c r="I2415" i="9"/>
  <c r="H2415" i="9"/>
  <c r="I2414" i="9"/>
  <c r="H2414" i="9"/>
  <c r="I2413" i="9"/>
  <c r="H2413" i="9"/>
  <c r="I2412" i="9"/>
  <c r="H2412" i="9"/>
  <c r="I2411" i="9"/>
  <c r="H2411" i="9"/>
  <c r="I2410" i="9"/>
  <c r="H2410" i="9"/>
  <c r="I2409" i="9"/>
  <c r="H2409" i="9"/>
  <c r="I2408" i="9"/>
  <c r="H2408" i="9"/>
  <c r="I2407" i="9"/>
  <c r="H2407" i="9"/>
  <c r="I2406" i="9"/>
  <c r="H2406" i="9"/>
  <c r="I2405" i="9"/>
  <c r="H2405" i="9"/>
  <c r="I2404" i="9"/>
  <c r="H2404" i="9"/>
  <c r="I2403" i="9"/>
  <c r="H2403" i="9"/>
  <c r="I2402" i="9"/>
  <c r="H2402" i="9"/>
  <c r="I2401" i="9"/>
  <c r="H2401" i="9"/>
  <c r="I2400" i="9"/>
  <c r="H2400" i="9"/>
  <c r="I2399" i="9"/>
  <c r="H2399" i="9"/>
  <c r="I2398" i="9"/>
  <c r="H2398" i="9"/>
  <c r="I2397" i="9"/>
  <c r="H2397" i="9"/>
  <c r="I2396" i="9"/>
  <c r="H2396" i="9"/>
  <c r="I2395" i="9"/>
  <c r="H2395" i="9"/>
  <c r="I2394" i="9"/>
  <c r="H2394" i="9"/>
  <c r="I2393" i="9"/>
  <c r="H2393" i="9"/>
  <c r="I2392" i="9"/>
  <c r="H2392" i="9"/>
  <c r="I2391" i="9"/>
  <c r="H2391" i="9"/>
  <c r="I2390" i="9"/>
  <c r="H2390" i="9"/>
  <c r="I2389" i="9"/>
  <c r="H2389" i="9"/>
  <c r="I2388" i="9"/>
  <c r="H2388" i="9"/>
  <c r="I2387" i="9"/>
  <c r="H2387" i="9"/>
  <c r="I2386" i="9"/>
  <c r="H2386" i="9"/>
  <c r="I2385" i="9"/>
  <c r="H2385" i="9"/>
  <c r="I2384" i="9"/>
  <c r="H2384" i="9"/>
  <c r="I2383" i="9"/>
  <c r="H2383" i="9"/>
  <c r="I2382" i="9"/>
  <c r="H2382" i="9"/>
  <c r="I2381" i="9"/>
  <c r="H2381" i="9"/>
  <c r="I2380" i="9"/>
  <c r="H2380" i="9"/>
  <c r="I2379" i="9"/>
  <c r="H2379" i="9"/>
  <c r="I2378" i="9"/>
  <c r="H2378" i="9"/>
  <c r="I2377" i="9"/>
  <c r="H2377" i="9"/>
  <c r="I2376" i="9"/>
  <c r="H2376" i="9"/>
  <c r="I2375" i="9"/>
  <c r="H2375" i="9"/>
  <c r="I2374" i="9"/>
  <c r="H2374" i="9"/>
  <c r="I2373" i="9"/>
  <c r="H2373" i="9"/>
  <c r="I2372" i="9"/>
  <c r="H2372" i="9"/>
  <c r="I2371" i="9"/>
  <c r="H2371" i="9"/>
  <c r="I2370" i="9"/>
  <c r="H2370" i="9"/>
  <c r="I2369" i="9"/>
  <c r="H2369" i="9"/>
  <c r="I2368" i="9"/>
  <c r="H2368" i="9"/>
  <c r="I2367" i="9"/>
  <c r="H2367" i="9"/>
  <c r="I2366" i="9"/>
  <c r="H2366" i="9"/>
  <c r="I2365" i="9"/>
  <c r="H2365" i="9"/>
  <c r="I2364" i="9"/>
  <c r="H2364" i="9"/>
  <c r="I2363" i="9"/>
  <c r="H2363" i="9"/>
  <c r="I2362" i="9"/>
  <c r="H2362" i="9"/>
  <c r="I2361" i="9"/>
  <c r="H2361" i="9"/>
  <c r="I2360" i="9"/>
  <c r="H2360" i="9"/>
  <c r="I2359" i="9"/>
  <c r="H2359" i="9"/>
  <c r="I2358" i="9"/>
  <c r="H2358" i="9"/>
  <c r="I2357" i="9"/>
  <c r="H2357" i="9"/>
  <c r="I2356" i="9"/>
  <c r="H2356" i="9"/>
  <c r="I2355" i="9"/>
  <c r="H2355" i="9"/>
  <c r="I2354" i="9"/>
  <c r="H2354" i="9"/>
  <c r="I2353" i="9"/>
  <c r="H2353" i="9"/>
  <c r="I2352" i="9"/>
  <c r="H2352" i="9"/>
  <c r="I2351" i="9"/>
  <c r="H2351" i="9"/>
  <c r="I2350" i="9"/>
  <c r="H2350" i="9"/>
  <c r="I2349" i="9"/>
  <c r="H2349" i="9"/>
  <c r="I2348" i="9"/>
  <c r="H2348" i="9"/>
  <c r="I2347" i="9"/>
  <c r="H2347" i="9"/>
  <c r="I2346" i="9"/>
  <c r="H2346" i="9"/>
  <c r="I2345" i="9"/>
  <c r="H2345" i="9"/>
  <c r="I2344" i="9"/>
  <c r="H2344" i="9"/>
  <c r="I2343" i="9"/>
  <c r="H2343" i="9"/>
  <c r="I2342" i="9"/>
  <c r="H2342" i="9"/>
  <c r="I2341" i="9"/>
  <c r="H2341" i="9"/>
  <c r="I2340" i="9"/>
  <c r="H2340" i="9"/>
  <c r="I2339" i="9"/>
  <c r="H2339" i="9"/>
  <c r="I2338" i="9"/>
  <c r="H2338" i="9"/>
  <c r="I2337" i="9"/>
  <c r="H2337" i="9"/>
  <c r="I2336" i="9"/>
  <c r="H2336" i="9"/>
  <c r="I2335" i="9"/>
  <c r="H2335" i="9"/>
  <c r="I2334" i="9"/>
  <c r="H2334" i="9"/>
  <c r="I2333" i="9"/>
  <c r="H2333" i="9"/>
  <c r="I2332" i="9"/>
  <c r="H2332" i="9"/>
  <c r="I2331" i="9"/>
  <c r="H2331" i="9"/>
  <c r="I2330" i="9"/>
  <c r="H2330" i="9"/>
  <c r="I2329" i="9"/>
  <c r="H2329" i="9"/>
  <c r="I2328" i="9"/>
  <c r="H2328" i="9"/>
  <c r="I2327" i="9"/>
  <c r="H2327" i="9"/>
  <c r="I2326" i="9"/>
  <c r="H2326" i="9"/>
  <c r="I2325" i="9"/>
  <c r="H2325" i="9"/>
  <c r="I2324" i="9"/>
  <c r="H2324" i="9"/>
  <c r="I2323" i="9"/>
  <c r="H2323" i="9"/>
  <c r="I2322" i="9"/>
  <c r="H2322" i="9"/>
  <c r="I2321" i="9"/>
  <c r="H2321" i="9"/>
  <c r="I2320" i="9"/>
  <c r="H2320" i="9"/>
  <c r="I2319" i="9"/>
  <c r="H2319" i="9"/>
  <c r="I2318" i="9"/>
  <c r="H2318" i="9"/>
  <c r="I2317" i="9"/>
  <c r="H2317" i="9"/>
  <c r="I2316" i="9"/>
  <c r="H2316" i="9"/>
  <c r="I2315" i="9"/>
  <c r="H2315" i="9"/>
  <c r="I2314" i="9"/>
  <c r="H2314" i="9"/>
  <c r="I2313" i="9"/>
  <c r="H2313" i="9"/>
  <c r="I2312" i="9"/>
  <c r="H2312" i="9"/>
  <c r="I2311" i="9"/>
  <c r="H2311" i="9"/>
  <c r="I2310" i="9"/>
  <c r="H2310" i="9"/>
  <c r="I2309" i="9"/>
  <c r="H2309" i="9"/>
  <c r="I2308" i="9"/>
  <c r="H2308" i="9"/>
  <c r="I2307" i="9"/>
  <c r="H2307" i="9"/>
  <c r="I2306" i="9"/>
  <c r="H2306" i="9"/>
  <c r="I2305" i="9"/>
  <c r="H2305" i="9"/>
  <c r="I2304" i="9"/>
  <c r="H2304" i="9"/>
  <c r="I2303" i="9"/>
  <c r="H2303" i="9"/>
  <c r="I2302" i="9"/>
  <c r="H2302" i="9"/>
  <c r="I2301" i="9"/>
  <c r="H2301" i="9"/>
  <c r="I2300" i="9"/>
  <c r="H2300" i="9"/>
  <c r="I2299" i="9"/>
  <c r="H2299" i="9"/>
  <c r="I2298" i="9"/>
  <c r="H2298" i="9"/>
  <c r="I2297" i="9"/>
  <c r="H2297" i="9"/>
  <c r="I2296" i="9"/>
  <c r="H2296" i="9"/>
  <c r="I2295" i="9"/>
  <c r="H2295" i="9"/>
  <c r="I2294" i="9"/>
  <c r="H2294" i="9"/>
  <c r="I2293" i="9"/>
  <c r="H2293" i="9"/>
  <c r="I2292" i="9"/>
  <c r="H2292" i="9"/>
  <c r="I2291" i="9"/>
  <c r="H2291" i="9"/>
  <c r="I2290" i="9"/>
  <c r="H2290" i="9"/>
  <c r="I2289" i="9"/>
  <c r="H2289" i="9"/>
  <c r="I2288" i="9"/>
  <c r="H2288" i="9"/>
  <c r="I2287" i="9"/>
  <c r="H2287" i="9"/>
  <c r="I2286" i="9"/>
  <c r="H2286" i="9"/>
  <c r="I2285" i="9"/>
  <c r="H2285" i="9"/>
  <c r="I2284" i="9"/>
  <c r="H2284" i="9"/>
  <c r="I2283" i="9"/>
  <c r="H2283" i="9"/>
  <c r="I2282" i="9"/>
  <c r="H2282" i="9"/>
  <c r="I2281" i="9"/>
  <c r="H2281" i="9"/>
  <c r="I2280" i="9"/>
  <c r="H2280" i="9"/>
  <c r="I2279" i="9"/>
  <c r="H2279" i="9"/>
  <c r="I2278" i="9"/>
  <c r="H2278" i="9"/>
  <c r="I2277" i="9"/>
  <c r="H2277" i="9"/>
  <c r="I2276" i="9"/>
  <c r="H2276" i="9"/>
  <c r="I2275" i="9"/>
  <c r="H2275" i="9"/>
  <c r="I2274" i="9"/>
  <c r="H2274" i="9"/>
  <c r="I2273" i="9"/>
  <c r="H2273" i="9"/>
  <c r="I2272" i="9"/>
  <c r="H2272" i="9"/>
  <c r="I2271" i="9"/>
  <c r="H2271" i="9"/>
  <c r="I2270" i="9"/>
  <c r="H2270" i="9"/>
  <c r="I2269" i="9"/>
  <c r="H2269" i="9"/>
  <c r="I2268" i="9"/>
  <c r="H2268" i="9"/>
  <c r="I2267" i="9"/>
  <c r="H2267" i="9"/>
  <c r="I2266" i="9"/>
  <c r="H2266" i="9"/>
  <c r="I2265" i="9"/>
  <c r="H2265" i="9"/>
  <c r="I2264" i="9"/>
  <c r="H2264" i="9"/>
  <c r="I2263" i="9"/>
  <c r="H2263" i="9"/>
  <c r="I2262" i="9"/>
  <c r="H2262" i="9"/>
  <c r="I2261" i="9"/>
  <c r="H2261" i="9"/>
  <c r="I2260" i="9"/>
  <c r="H2260" i="9"/>
  <c r="I2259" i="9"/>
  <c r="H2259" i="9"/>
  <c r="I2258" i="9"/>
  <c r="H2258" i="9"/>
  <c r="I2257" i="9"/>
  <c r="H2257" i="9"/>
  <c r="I2256" i="9"/>
  <c r="H2256" i="9"/>
  <c r="I2255" i="9"/>
  <c r="H2255" i="9"/>
  <c r="I2254" i="9"/>
  <c r="H2254" i="9"/>
  <c r="I2253" i="9"/>
  <c r="H2253" i="9"/>
  <c r="I2252" i="9"/>
  <c r="H2252" i="9"/>
  <c r="I2251" i="9"/>
  <c r="H2251" i="9"/>
  <c r="I2250" i="9"/>
  <c r="H2250" i="9"/>
  <c r="I2249" i="9"/>
  <c r="H2249" i="9"/>
  <c r="I2248" i="9"/>
  <c r="H2248" i="9"/>
  <c r="I2247" i="9"/>
  <c r="H2247" i="9"/>
  <c r="I2246" i="9"/>
  <c r="H2246" i="9"/>
  <c r="I2245" i="9"/>
  <c r="H2245" i="9"/>
  <c r="I2244" i="9"/>
  <c r="H2244" i="9"/>
  <c r="I2243" i="9"/>
  <c r="H2243" i="9"/>
  <c r="I2242" i="9"/>
  <c r="H2242" i="9"/>
  <c r="I2241" i="9"/>
  <c r="H2241" i="9"/>
  <c r="I2240" i="9"/>
  <c r="H2240" i="9"/>
  <c r="I2239" i="9"/>
  <c r="H2239" i="9"/>
  <c r="I2238" i="9"/>
  <c r="H2238" i="9"/>
  <c r="I2237" i="9"/>
  <c r="H2237" i="9"/>
  <c r="I2236" i="9"/>
  <c r="H2236" i="9"/>
  <c r="I2235" i="9"/>
  <c r="H2235" i="9"/>
  <c r="I2234" i="9"/>
  <c r="H2234" i="9"/>
  <c r="I2233" i="9"/>
  <c r="H2233" i="9"/>
  <c r="I2232" i="9"/>
  <c r="H2232" i="9"/>
  <c r="I2231" i="9"/>
  <c r="H2231" i="9"/>
  <c r="I2230" i="9"/>
  <c r="H2230" i="9"/>
  <c r="I2229" i="9"/>
  <c r="H2229" i="9"/>
  <c r="I2228" i="9"/>
  <c r="H2228" i="9"/>
  <c r="I2227" i="9"/>
  <c r="H2227" i="9"/>
  <c r="I2226" i="9"/>
  <c r="H2226" i="9"/>
  <c r="I2225" i="9"/>
  <c r="H2225" i="9"/>
  <c r="I2224" i="9"/>
  <c r="H2224" i="9"/>
  <c r="I2223" i="9"/>
  <c r="H2223" i="9"/>
  <c r="I2222" i="9"/>
  <c r="H2222" i="9"/>
  <c r="I2221" i="9"/>
  <c r="H2221" i="9"/>
  <c r="I2220" i="9"/>
  <c r="H2220" i="9"/>
  <c r="I2219" i="9"/>
  <c r="H2219" i="9"/>
  <c r="I2218" i="9"/>
  <c r="H2218" i="9"/>
  <c r="I2217" i="9"/>
  <c r="H2217" i="9"/>
  <c r="I2216" i="9"/>
  <c r="H2216" i="9"/>
  <c r="I2215" i="9"/>
  <c r="H2215" i="9"/>
  <c r="I2214" i="9"/>
  <c r="H2214" i="9"/>
  <c r="I2213" i="9"/>
  <c r="H2213" i="9"/>
  <c r="I2212" i="9"/>
  <c r="H2212" i="9"/>
  <c r="I2211" i="9"/>
  <c r="H2211" i="9"/>
  <c r="I2210" i="9"/>
  <c r="H2210" i="9"/>
  <c r="I2209" i="9"/>
  <c r="H2209" i="9"/>
  <c r="I2208" i="9"/>
  <c r="H2208" i="9"/>
  <c r="I2207" i="9"/>
  <c r="H2207" i="9"/>
  <c r="I2206" i="9"/>
  <c r="H2206" i="9"/>
  <c r="I2205" i="9"/>
  <c r="H2205" i="9"/>
  <c r="I2204" i="9"/>
  <c r="H2204" i="9"/>
  <c r="I2203" i="9"/>
  <c r="H2203" i="9"/>
  <c r="I2202" i="9"/>
  <c r="H2202" i="9"/>
  <c r="I2201" i="9"/>
  <c r="H2201" i="9"/>
  <c r="I2200" i="9"/>
  <c r="H2200" i="9"/>
  <c r="I2199" i="9"/>
  <c r="H2199" i="9"/>
  <c r="I2198" i="9"/>
  <c r="H2198" i="9"/>
  <c r="I2197" i="9"/>
  <c r="H2197" i="9"/>
  <c r="I2196" i="9"/>
  <c r="H2196" i="9"/>
  <c r="I2195" i="9"/>
  <c r="H2195" i="9"/>
  <c r="I2194" i="9"/>
  <c r="H2194" i="9"/>
  <c r="I2193" i="9"/>
  <c r="H2193" i="9"/>
  <c r="I2192" i="9"/>
  <c r="H2192" i="9"/>
  <c r="I2191" i="9"/>
  <c r="H2191" i="9"/>
  <c r="I2190" i="9"/>
  <c r="H2190" i="9"/>
  <c r="I2189" i="9"/>
  <c r="H2189" i="9"/>
  <c r="I2188" i="9"/>
  <c r="H2188" i="9"/>
  <c r="I2187" i="9"/>
  <c r="H2187" i="9"/>
  <c r="I2186" i="9"/>
  <c r="H2186" i="9"/>
  <c r="I2185" i="9"/>
  <c r="H2185" i="9"/>
  <c r="I2184" i="9"/>
  <c r="H2184" i="9"/>
  <c r="I2183" i="9"/>
  <c r="H2183" i="9"/>
  <c r="I2182" i="9"/>
  <c r="H2182" i="9"/>
  <c r="I2181" i="9"/>
  <c r="H2181" i="9"/>
  <c r="I2180" i="9"/>
  <c r="H2180" i="9"/>
  <c r="I2179" i="9"/>
  <c r="H2179" i="9"/>
  <c r="I2178" i="9"/>
  <c r="H2178" i="9"/>
  <c r="I2177" i="9"/>
  <c r="H2177" i="9"/>
  <c r="I2176" i="9"/>
  <c r="H2176" i="9"/>
  <c r="I2175" i="9"/>
  <c r="H2175" i="9"/>
  <c r="I2174" i="9"/>
  <c r="H2174" i="9"/>
  <c r="I2173" i="9"/>
  <c r="H2173" i="9"/>
  <c r="I2172" i="9"/>
  <c r="H2172" i="9"/>
  <c r="I2171" i="9"/>
  <c r="H2171" i="9"/>
  <c r="I2170" i="9"/>
  <c r="H2170" i="9"/>
  <c r="I2169" i="9"/>
  <c r="H2169" i="9"/>
  <c r="I2168" i="9"/>
  <c r="H2168" i="9"/>
  <c r="I2167" i="9"/>
  <c r="H2167" i="9"/>
  <c r="I2166" i="9"/>
  <c r="H2166" i="9"/>
  <c r="I2165" i="9"/>
  <c r="H2165" i="9"/>
  <c r="I2164" i="9"/>
  <c r="H2164" i="9"/>
  <c r="I2163" i="9"/>
  <c r="H2163" i="9"/>
  <c r="I2162" i="9"/>
  <c r="H2162" i="9"/>
  <c r="I2161" i="9"/>
  <c r="H2161" i="9"/>
  <c r="I2160" i="9"/>
  <c r="H2160" i="9"/>
  <c r="I2159" i="9"/>
  <c r="H2159" i="9"/>
  <c r="I2158" i="9"/>
  <c r="H2158" i="9"/>
  <c r="I2157" i="9"/>
  <c r="H2157" i="9"/>
  <c r="I2156" i="9"/>
  <c r="H2156" i="9"/>
  <c r="I2155" i="9"/>
  <c r="H2155" i="9"/>
  <c r="I2154" i="9"/>
  <c r="H2154" i="9"/>
  <c r="I2153" i="9"/>
  <c r="H2153" i="9"/>
  <c r="I2152" i="9"/>
  <c r="H2152" i="9"/>
  <c r="I2151" i="9"/>
  <c r="H2151" i="9"/>
  <c r="I2150" i="9"/>
  <c r="H2150" i="9"/>
  <c r="I2149" i="9"/>
  <c r="H2149" i="9"/>
  <c r="I2148" i="9"/>
  <c r="H2148" i="9"/>
  <c r="I2147" i="9"/>
  <c r="H2147" i="9"/>
  <c r="I2146" i="9"/>
  <c r="H2146" i="9"/>
  <c r="I2145" i="9"/>
  <c r="H2145" i="9"/>
  <c r="I2144" i="9"/>
  <c r="H2144" i="9"/>
  <c r="I2143" i="9"/>
  <c r="H2143" i="9"/>
  <c r="I2142" i="9"/>
  <c r="H2142" i="9"/>
  <c r="I2141" i="9"/>
  <c r="H2141" i="9"/>
  <c r="I2140" i="9"/>
  <c r="H2140" i="9"/>
  <c r="I2139" i="9"/>
  <c r="H2139" i="9"/>
  <c r="I2138" i="9"/>
  <c r="H2138" i="9"/>
  <c r="I2137" i="9"/>
  <c r="H2137" i="9"/>
  <c r="I2136" i="9"/>
  <c r="H2136" i="9"/>
  <c r="I2135" i="9"/>
  <c r="H2135" i="9"/>
  <c r="I2134" i="9"/>
  <c r="H2134" i="9"/>
  <c r="I2133" i="9"/>
  <c r="H2133" i="9"/>
  <c r="I2132" i="9"/>
  <c r="H2132" i="9"/>
  <c r="I2131" i="9"/>
  <c r="H2131" i="9"/>
  <c r="I2130" i="9"/>
  <c r="H2130" i="9"/>
  <c r="I2129" i="9"/>
  <c r="H2129" i="9"/>
  <c r="I2128" i="9"/>
  <c r="H2128" i="9"/>
  <c r="I2127" i="9"/>
  <c r="H2127" i="9"/>
  <c r="I2126" i="9"/>
  <c r="H2126" i="9"/>
  <c r="I2125" i="9"/>
  <c r="H2125" i="9"/>
  <c r="I2124" i="9"/>
  <c r="H2124" i="9"/>
  <c r="I2123" i="9"/>
  <c r="H2123" i="9"/>
  <c r="I2122" i="9"/>
  <c r="H2122" i="9"/>
  <c r="I2121" i="9"/>
  <c r="H2121" i="9"/>
  <c r="I2120" i="9"/>
  <c r="H2120" i="9"/>
  <c r="I2119" i="9"/>
  <c r="H2119" i="9"/>
  <c r="I2118" i="9"/>
  <c r="H2118" i="9"/>
  <c r="I2117" i="9"/>
  <c r="H2117" i="9"/>
  <c r="I2116" i="9"/>
  <c r="H2116" i="9"/>
  <c r="I2115" i="9"/>
  <c r="H2115" i="9"/>
  <c r="I2114" i="9"/>
  <c r="H2114" i="9"/>
  <c r="I2113" i="9"/>
  <c r="H2113" i="9"/>
  <c r="I2112" i="9"/>
  <c r="H2112" i="9"/>
  <c r="I2111" i="9"/>
  <c r="H2111" i="9"/>
  <c r="I2110" i="9"/>
  <c r="H2110" i="9"/>
  <c r="I2109" i="9"/>
  <c r="H2109" i="9"/>
  <c r="I2108" i="9"/>
  <c r="H2108" i="9"/>
  <c r="I2107" i="9"/>
  <c r="H2107" i="9"/>
  <c r="I2106" i="9"/>
  <c r="H2106" i="9"/>
  <c r="I2105" i="9"/>
  <c r="H2105" i="9"/>
  <c r="I2104" i="9"/>
  <c r="H2104" i="9"/>
  <c r="I2103" i="9"/>
  <c r="H2103" i="9"/>
  <c r="I2102" i="9"/>
  <c r="H2102" i="9"/>
  <c r="I2101" i="9"/>
  <c r="H2101" i="9"/>
  <c r="I2100" i="9"/>
  <c r="H2100" i="9"/>
  <c r="I2099" i="9"/>
  <c r="H2099" i="9"/>
  <c r="I2098" i="9"/>
  <c r="H2098" i="9"/>
  <c r="I2097" i="9"/>
  <c r="H2097" i="9"/>
  <c r="I2096" i="9"/>
  <c r="H2096" i="9"/>
  <c r="I2095" i="9"/>
  <c r="H2095" i="9"/>
  <c r="I2094" i="9"/>
  <c r="H2094" i="9"/>
  <c r="I2093" i="9"/>
  <c r="H2093" i="9"/>
  <c r="I2092" i="9"/>
  <c r="H2092" i="9"/>
  <c r="I2091" i="9"/>
  <c r="H2091" i="9"/>
  <c r="I2090" i="9"/>
  <c r="H2090" i="9"/>
  <c r="I2089" i="9"/>
  <c r="H2089" i="9"/>
  <c r="I2088" i="9"/>
  <c r="H2088" i="9"/>
  <c r="I2087" i="9"/>
  <c r="H2087" i="9"/>
  <c r="I2086" i="9"/>
  <c r="H2086" i="9"/>
  <c r="I2085" i="9"/>
  <c r="H2085" i="9"/>
  <c r="I2084" i="9"/>
  <c r="H2084" i="9"/>
  <c r="I2083" i="9"/>
  <c r="H2083" i="9"/>
  <c r="I2082" i="9"/>
  <c r="H2082" i="9"/>
  <c r="I2081" i="9"/>
  <c r="H2081" i="9"/>
  <c r="I2080" i="9"/>
  <c r="H2080" i="9"/>
  <c r="I2079" i="9"/>
  <c r="H2079" i="9"/>
  <c r="I2078" i="9"/>
  <c r="H2078" i="9"/>
  <c r="I2077" i="9"/>
  <c r="H2077" i="9"/>
  <c r="I2076" i="9"/>
  <c r="H2076" i="9"/>
  <c r="I2075" i="9"/>
  <c r="H2075" i="9"/>
  <c r="I2074" i="9"/>
  <c r="H2074" i="9"/>
  <c r="I2073" i="9"/>
  <c r="H2073" i="9"/>
  <c r="I2072" i="9"/>
  <c r="H2072" i="9"/>
  <c r="I2071" i="9"/>
  <c r="H2071" i="9"/>
  <c r="I2070" i="9"/>
  <c r="H2070" i="9"/>
  <c r="I2069" i="9"/>
  <c r="H2069" i="9"/>
  <c r="I2068" i="9"/>
  <c r="H2068" i="9"/>
  <c r="I2067" i="9"/>
  <c r="H2067" i="9"/>
  <c r="I2066" i="9"/>
  <c r="H2066" i="9"/>
  <c r="I2065" i="9"/>
  <c r="H2065" i="9"/>
  <c r="I2064" i="9"/>
  <c r="H2064" i="9"/>
  <c r="I2063" i="9"/>
  <c r="H2063" i="9"/>
  <c r="I2062" i="9"/>
  <c r="H2062" i="9"/>
  <c r="I2061" i="9"/>
  <c r="H2061" i="9"/>
  <c r="I2060" i="9"/>
  <c r="H2060" i="9"/>
  <c r="I2059" i="9"/>
  <c r="H2059" i="9"/>
  <c r="I2058" i="9"/>
  <c r="H2058" i="9"/>
  <c r="I2057" i="9"/>
  <c r="H2057" i="9"/>
  <c r="I2056" i="9"/>
  <c r="H2056" i="9"/>
  <c r="I2055" i="9"/>
  <c r="H2055" i="9"/>
  <c r="I2054" i="9"/>
  <c r="H2054" i="9"/>
  <c r="I2053" i="9"/>
  <c r="H2053" i="9"/>
  <c r="I2052" i="9"/>
  <c r="H2052" i="9"/>
  <c r="I2051" i="9"/>
  <c r="H2051" i="9"/>
  <c r="I2050" i="9"/>
  <c r="H2050" i="9"/>
  <c r="I2049" i="9"/>
  <c r="H2049" i="9"/>
  <c r="I2048" i="9"/>
  <c r="H2048" i="9"/>
  <c r="I2047" i="9"/>
  <c r="H2047" i="9"/>
  <c r="I2046" i="9"/>
  <c r="H2046" i="9"/>
  <c r="I2045" i="9"/>
  <c r="H2045" i="9"/>
  <c r="I2044" i="9"/>
  <c r="H2044" i="9"/>
  <c r="I2043" i="9"/>
  <c r="H2043" i="9"/>
  <c r="I2042" i="9"/>
  <c r="H2042" i="9"/>
  <c r="I2041" i="9"/>
  <c r="H2041" i="9"/>
  <c r="I2040" i="9"/>
  <c r="H2040" i="9"/>
  <c r="I2039" i="9"/>
  <c r="H2039" i="9"/>
  <c r="I2038" i="9"/>
  <c r="H2038" i="9"/>
  <c r="I2037" i="9"/>
  <c r="H2037" i="9"/>
  <c r="I2036" i="9"/>
  <c r="H2036" i="9"/>
  <c r="I2035" i="9"/>
  <c r="H2035" i="9"/>
  <c r="I2034" i="9"/>
  <c r="H2034" i="9"/>
  <c r="I2033" i="9"/>
  <c r="H2033" i="9"/>
  <c r="I2032" i="9"/>
  <c r="H2032" i="9"/>
  <c r="I2031" i="9"/>
  <c r="H2031" i="9"/>
  <c r="I2030" i="9"/>
  <c r="H2030" i="9"/>
  <c r="I2029" i="9"/>
  <c r="H2029" i="9"/>
  <c r="I2028" i="9"/>
  <c r="H2028" i="9"/>
  <c r="I2027" i="9"/>
  <c r="H2027" i="9"/>
  <c r="I2026" i="9"/>
  <c r="H2026" i="9"/>
  <c r="I2025" i="9"/>
  <c r="H2025" i="9"/>
  <c r="I2024" i="9"/>
  <c r="H2024" i="9"/>
  <c r="I2023" i="9"/>
  <c r="H2023" i="9"/>
  <c r="I2022" i="9"/>
  <c r="H2022" i="9"/>
  <c r="I2021" i="9"/>
  <c r="H2021" i="9"/>
  <c r="I2020" i="9"/>
  <c r="H2020" i="9"/>
  <c r="I2019" i="9"/>
  <c r="H2019" i="9"/>
  <c r="I2018" i="9"/>
  <c r="H2018" i="9"/>
  <c r="I2017" i="9"/>
  <c r="H2017" i="9"/>
  <c r="I2016" i="9"/>
  <c r="H2016" i="9"/>
  <c r="I2015" i="9"/>
  <c r="H2015" i="9"/>
  <c r="I2014" i="9"/>
  <c r="H2014" i="9"/>
  <c r="I2013" i="9"/>
  <c r="H2013" i="9"/>
  <c r="I2012" i="9"/>
  <c r="H2012" i="9"/>
  <c r="I2011" i="9"/>
  <c r="H2011" i="9"/>
  <c r="I2010" i="9"/>
  <c r="H2010" i="9"/>
  <c r="I2009" i="9"/>
  <c r="H2009" i="9"/>
  <c r="I2008" i="9"/>
  <c r="H2008" i="9"/>
  <c r="I2007" i="9"/>
  <c r="H2007" i="9"/>
  <c r="I2006" i="9"/>
  <c r="H2006" i="9"/>
  <c r="I2005" i="9"/>
  <c r="H2005" i="9"/>
  <c r="I2004" i="9"/>
  <c r="H2004" i="9"/>
  <c r="I2003" i="9"/>
  <c r="H2003" i="9"/>
  <c r="I2002" i="9"/>
  <c r="H2002" i="9"/>
  <c r="I2001" i="9"/>
  <c r="H2001" i="9"/>
  <c r="I2000" i="9"/>
  <c r="H2000" i="9"/>
  <c r="I1999" i="9"/>
  <c r="H1999" i="9"/>
  <c r="I1998" i="9"/>
  <c r="H1998" i="9"/>
  <c r="I1997" i="9"/>
  <c r="H1997" i="9"/>
  <c r="I1996" i="9"/>
  <c r="H1996" i="9"/>
  <c r="I1995" i="9"/>
  <c r="H1995" i="9"/>
  <c r="I1994" i="9"/>
  <c r="H1994" i="9"/>
  <c r="I1993" i="9"/>
  <c r="H1993" i="9"/>
  <c r="I1992" i="9"/>
  <c r="H1992" i="9"/>
  <c r="I1991" i="9"/>
  <c r="H1991" i="9"/>
  <c r="I1990" i="9"/>
  <c r="H1990" i="9"/>
  <c r="I1989" i="9"/>
  <c r="H1989" i="9"/>
  <c r="I1988" i="9"/>
  <c r="H1988" i="9"/>
  <c r="I1987" i="9"/>
  <c r="H1987" i="9"/>
  <c r="I1986" i="9"/>
  <c r="H1986" i="9"/>
  <c r="I1985" i="9"/>
  <c r="H1985" i="9"/>
  <c r="I1984" i="9"/>
  <c r="H1984" i="9"/>
  <c r="I1983" i="9"/>
  <c r="H1983" i="9"/>
  <c r="I1982" i="9"/>
  <c r="H1982" i="9"/>
  <c r="I1981" i="9"/>
  <c r="H1981" i="9"/>
  <c r="I1980" i="9"/>
  <c r="H1980" i="9"/>
  <c r="I1979" i="9"/>
  <c r="H1979" i="9"/>
  <c r="I1978" i="9"/>
  <c r="H1978" i="9"/>
  <c r="I1977" i="9"/>
  <c r="H1977" i="9"/>
  <c r="I1976" i="9"/>
  <c r="H1976" i="9"/>
  <c r="I1975" i="9"/>
  <c r="H1975" i="9"/>
  <c r="I1974" i="9"/>
  <c r="H1974" i="9"/>
  <c r="I1973" i="9"/>
  <c r="H1973" i="9"/>
  <c r="I1972" i="9"/>
  <c r="H1972" i="9"/>
  <c r="I1971" i="9"/>
  <c r="H1971" i="9"/>
  <c r="I1970" i="9"/>
  <c r="H1970" i="9"/>
  <c r="I1969" i="9"/>
  <c r="H1969" i="9"/>
  <c r="I1968" i="9"/>
  <c r="H1968" i="9"/>
  <c r="I1967" i="9"/>
  <c r="H1967" i="9"/>
  <c r="I1966" i="9"/>
  <c r="H1966" i="9"/>
  <c r="I1965" i="9"/>
  <c r="H1965" i="9"/>
  <c r="I1964" i="9"/>
  <c r="H1964" i="9"/>
  <c r="I1963" i="9"/>
  <c r="H1963" i="9"/>
  <c r="I1962" i="9"/>
  <c r="H1962" i="9"/>
  <c r="I1961" i="9"/>
  <c r="H1961" i="9"/>
  <c r="I1960" i="9"/>
  <c r="H1960" i="9"/>
  <c r="I1959" i="9"/>
  <c r="H1959" i="9"/>
  <c r="I1958" i="9"/>
  <c r="H1958" i="9"/>
  <c r="I1957" i="9"/>
  <c r="H1957" i="9"/>
  <c r="I1956" i="9"/>
  <c r="H1956" i="9"/>
  <c r="I1955" i="9"/>
  <c r="H1955" i="9"/>
  <c r="I1954" i="9"/>
  <c r="H1954" i="9"/>
  <c r="I1953" i="9"/>
  <c r="H1953" i="9"/>
  <c r="I1952" i="9"/>
  <c r="H1952" i="9"/>
  <c r="I1951" i="9"/>
  <c r="H1951" i="9"/>
  <c r="I1950" i="9"/>
  <c r="H1950" i="9"/>
  <c r="I1949" i="9"/>
  <c r="H1949" i="9"/>
  <c r="I1948" i="9"/>
  <c r="H1948" i="9"/>
  <c r="I1947" i="9"/>
  <c r="H1947" i="9"/>
  <c r="I1946" i="9"/>
  <c r="H1946" i="9"/>
  <c r="I1945" i="9"/>
  <c r="H1945" i="9"/>
  <c r="I1944" i="9"/>
  <c r="H1944" i="9"/>
  <c r="I1943" i="9"/>
  <c r="H1943" i="9"/>
  <c r="I1942" i="9"/>
  <c r="H1942" i="9"/>
  <c r="I1941" i="9"/>
  <c r="H1941" i="9"/>
  <c r="I1940" i="9"/>
  <c r="H1940" i="9"/>
  <c r="I1939" i="9"/>
  <c r="H1939" i="9"/>
  <c r="I1938" i="9"/>
  <c r="H1938" i="9"/>
  <c r="I1937" i="9"/>
  <c r="H1937" i="9"/>
  <c r="I1936" i="9"/>
  <c r="H1936" i="9"/>
  <c r="I1935" i="9"/>
  <c r="H1935" i="9"/>
  <c r="I1934" i="9"/>
  <c r="H1934" i="9"/>
  <c r="I1933" i="9"/>
  <c r="H1933" i="9"/>
  <c r="I1932" i="9"/>
  <c r="H1932" i="9"/>
  <c r="I1931" i="9"/>
  <c r="H1931" i="9"/>
  <c r="I1930" i="9"/>
  <c r="H1930" i="9"/>
  <c r="I1929" i="9"/>
  <c r="H1929" i="9"/>
  <c r="I1928" i="9"/>
  <c r="H1928" i="9"/>
  <c r="I1927" i="9"/>
  <c r="H1927" i="9"/>
  <c r="I1926" i="9"/>
  <c r="H1926" i="9"/>
  <c r="I1925" i="9"/>
  <c r="H1925" i="9"/>
  <c r="I1924" i="9"/>
  <c r="H1924" i="9"/>
  <c r="I1923" i="9"/>
  <c r="H1923" i="9"/>
  <c r="I1922" i="9"/>
  <c r="H1922" i="9"/>
  <c r="I1921" i="9"/>
  <c r="H1921" i="9"/>
  <c r="I1920" i="9"/>
  <c r="H1920" i="9"/>
  <c r="I1919" i="9"/>
  <c r="H1919" i="9"/>
  <c r="I1918" i="9"/>
  <c r="H1918" i="9"/>
  <c r="I1917" i="9"/>
  <c r="H1917" i="9"/>
  <c r="I1916" i="9"/>
  <c r="H1916" i="9"/>
  <c r="I1915" i="9"/>
  <c r="H1915" i="9"/>
  <c r="I1914" i="9"/>
  <c r="H1914" i="9"/>
  <c r="I1913" i="9"/>
  <c r="H1913" i="9"/>
  <c r="I1912" i="9"/>
  <c r="H1912" i="9"/>
  <c r="I1911" i="9"/>
  <c r="H1911" i="9"/>
  <c r="I1910" i="9"/>
  <c r="H1910" i="9"/>
  <c r="I1909" i="9"/>
  <c r="H1909" i="9"/>
  <c r="I1908" i="9"/>
  <c r="H1908" i="9"/>
  <c r="I1907" i="9"/>
  <c r="H1907" i="9"/>
  <c r="I1906" i="9"/>
  <c r="H1906" i="9"/>
  <c r="I1905" i="9"/>
  <c r="H1905" i="9"/>
  <c r="I1904" i="9"/>
  <c r="H1904" i="9"/>
  <c r="I1903" i="9"/>
  <c r="H1903" i="9"/>
  <c r="I1902" i="9"/>
  <c r="H1902" i="9"/>
  <c r="I1901" i="9"/>
  <c r="H1901" i="9"/>
  <c r="I1900" i="9"/>
  <c r="H1900" i="9"/>
  <c r="I1899" i="9"/>
  <c r="H1899" i="9"/>
  <c r="I1898" i="9"/>
  <c r="H1898" i="9"/>
  <c r="I1897" i="9"/>
  <c r="H1897" i="9"/>
  <c r="I1896" i="9"/>
  <c r="H1896" i="9"/>
  <c r="I1895" i="9"/>
  <c r="H1895" i="9"/>
  <c r="I1894" i="9"/>
  <c r="H1894" i="9"/>
  <c r="I1893" i="9"/>
  <c r="H1893" i="9"/>
  <c r="I1892" i="9"/>
  <c r="H1892" i="9"/>
  <c r="I1891" i="9"/>
  <c r="H1891" i="9"/>
  <c r="I1890" i="9"/>
  <c r="H1890" i="9"/>
  <c r="I1889" i="9"/>
  <c r="H1889" i="9"/>
  <c r="I1888" i="9"/>
  <c r="H1888" i="9"/>
  <c r="I1887" i="9"/>
  <c r="H1887" i="9"/>
  <c r="I1886" i="9"/>
  <c r="H1886" i="9"/>
  <c r="I1885" i="9"/>
  <c r="H1885" i="9"/>
  <c r="I1884" i="9"/>
  <c r="H1884" i="9"/>
  <c r="I1883" i="9"/>
  <c r="H1883" i="9"/>
  <c r="I1882" i="9"/>
  <c r="H1882" i="9"/>
  <c r="I1881" i="9"/>
  <c r="H1881" i="9"/>
  <c r="I1880" i="9"/>
  <c r="H1880" i="9"/>
  <c r="I1879" i="9"/>
  <c r="H1879" i="9"/>
  <c r="I1878" i="9"/>
  <c r="H1878" i="9"/>
  <c r="I1877" i="9"/>
  <c r="H1877" i="9"/>
  <c r="I1876" i="9"/>
  <c r="H1876" i="9"/>
  <c r="I1875" i="9"/>
  <c r="H1875" i="9"/>
  <c r="I1874" i="9"/>
  <c r="H1874" i="9"/>
  <c r="I1873" i="9"/>
  <c r="H1873" i="9"/>
  <c r="I1872" i="9"/>
  <c r="H1872" i="9"/>
  <c r="I1871" i="9"/>
  <c r="H1871" i="9"/>
  <c r="I1870" i="9"/>
  <c r="H1870" i="9"/>
  <c r="I1869" i="9"/>
  <c r="H1869" i="9"/>
  <c r="I1868" i="9"/>
  <c r="H1868" i="9"/>
  <c r="I1867" i="9"/>
  <c r="H1867" i="9"/>
  <c r="I1866" i="9"/>
  <c r="H1866" i="9"/>
  <c r="I1865" i="9"/>
  <c r="H1865" i="9"/>
  <c r="I1864" i="9"/>
  <c r="H1864" i="9"/>
  <c r="I1863" i="9"/>
  <c r="H1863" i="9"/>
  <c r="I1862" i="9"/>
  <c r="H1862" i="9"/>
  <c r="I1861" i="9"/>
  <c r="H1861" i="9"/>
  <c r="I1860" i="9"/>
  <c r="H1860" i="9"/>
  <c r="I1859" i="9"/>
  <c r="H1859" i="9"/>
  <c r="I1858" i="9"/>
  <c r="H1858" i="9"/>
  <c r="I1857" i="9"/>
  <c r="H1857" i="9"/>
  <c r="I1856" i="9"/>
  <c r="H1856" i="9"/>
  <c r="I1855" i="9"/>
  <c r="H1855" i="9"/>
  <c r="I1854" i="9"/>
  <c r="H1854" i="9"/>
  <c r="I1853" i="9"/>
  <c r="H1853" i="9"/>
  <c r="I1852" i="9"/>
  <c r="H1852" i="9"/>
  <c r="I1851" i="9"/>
  <c r="H1851" i="9"/>
  <c r="I1850" i="9"/>
  <c r="H1850" i="9"/>
  <c r="I1849" i="9"/>
  <c r="H1849" i="9"/>
  <c r="I1848" i="9"/>
  <c r="H1848" i="9"/>
  <c r="I1847" i="9"/>
  <c r="H1847" i="9"/>
  <c r="I1846" i="9"/>
  <c r="H1846" i="9"/>
  <c r="I1845" i="9"/>
  <c r="H1845" i="9"/>
  <c r="I1844" i="9"/>
  <c r="H1844" i="9"/>
  <c r="I1843" i="9"/>
  <c r="H1843" i="9"/>
  <c r="I1842" i="9"/>
  <c r="H1842" i="9"/>
  <c r="I1841" i="9"/>
  <c r="H1841" i="9"/>
  <c r="I1840" i="9"/>
  <c r="H1840" i="9"/>
  <c r="I1839" i="9"/>
  <c r="H1839" i="9"/>
  <c r="I1838" i="9"/>
  <c r="H1838" i="9"/>
  <c r="I1837" i="9"/>
  <c r="H1837" i="9"/>
  <c r="I1836" i="9"/>
  <c r="H1836" i="9"/>
  <c r="I1835" i="9"/>
  <c r="H1835" i="9"/>
  <c r="I1834" i="9"/>
  <c r="H1834" i="9"/>
  <c r="I1833" i="9"/>
  <c r="H1833" i="9"/>
  <c r="I1832" i="9"/>
  <c r="H1832" i="9"/>
  <c r="I1831" i="9"/>
  <c r="H1831" i="9"/>
  <c r="I1830" i="9"/>
  <c r="H1830" i="9"/>
  <c r="I1829" i="9"/>
  <c r="H1829" i="9"/>
  <c r="I1828" i="9"/>
  <c r="H1828" i="9"/>
  <c r="I1827" i="9"/>
  <c r="H1827" i="9"/>
  <c r="I1826" i="9"/>
  <c r="H1826" i="9"/>
  <c r="I1825" i="9"/>
  <c r="H1825" i="9"/>
  <c r="I1824" i="9"/>
  <c r="H1824" i="9"/>
  <c r="I1823" i="9"/>
  <c r="H1823" i="9"/>
  <c r="I1822" i="9"/>
  <c r="H1822" i="9"/>
  <c r="I1821" i="9"/>
  <c r="H1821" i="9"/>
  <c r="I1820" i="9"/>
  <c r="H1820" i="9"/>
  <c r="I1819" i="9"/>
  <c r="H1819" i="9"/>
  <c r="I1818" i="9"/>
  <c r="H1818" i="9"/>
  <c r="I1817" i="9"/>
  <c r="H1817" i="9"/>
  <c r="I1816" i="9"/>
  <c r="H1816" i="9"/>
  <c r="I1815" i="9"/>
  <c r="H1815" i="9"/>
  <c r="I1814" i="9"/>
  <c r="H1814" i="9"/>
  <c r="I1813" i="9"/>
  <c r="H1813" i="9"/>
  <c r="I1812" i="9"/>
  <c r="H1812" i="9"/>
  <c r="I1811" i="9"/>
  <c r="H1811" i="9"/>
  <c r="I1810" i="9"/>
  <c r="H1810" i="9"/>
  <c r="I1809" i="9"/>
  <c r="H1809" i="9"/>
  <c r="I1808" i="9"/>
  <c r="H1808" i="9"/>
  <c r="I1807" i="9"/>
  <c r="H1807" i="9"/>
  <c r="I1806" i="9"/>
  <c r="H1806" i="9"/>
  <c r="I1805" i="9"/>
  <c r="H1805" i="9"/>
  <c r="I1804" i="9"/>
  <c r="H1804" i="9"/>
  <c r="I1803" i="9"/>
  <c r="H1803" i="9"/>
  <c r="I1802" i="9"/>
  <c r="H1802" i="9"/>
  <c r="I1801" i="9"/>
  <c r="H1801" i="9"/>
  <c r="I1800" i="9"/>
  <c r="H1800" i="9"/>
  <c r="I1799" i="9"/>
  <c r="H1799" i="9"/>
  <c r="I1798" i="9"/>
  <c r="H1798" i="9"/>
  <c r="I1797" i="9"/>
  <c r="H1797" i="9"/>
  <c r="I1796" i="9"/>
  <c r="H1796" i="9"/>
  <c r="I1795" i="9"/>
  <c r="H1795" i="9"/>
  <c r="I1794" i="9"/>
  <c r="H1794" i="9"/>
  <c r="I1793" i="9"/>
  <c r="H1793" i="9"/>
  <c r="I1792" i="9"/>
  <c r="H1792" i="9"/>
  <c r="I1791" i="9"/>
  <c r="H1791" i="9"/>
  <c r="I1790" i="9"/>
  <c r="H1790" i="9"/>
  <c r="I1789" i="9"/>
  <c r="H1789" i="9"/>
  <c r="I1788" i="9"/>
  <c r="H1788" i="9"/>
  <c r="I1787" i="9"/>
  <c r="H1787" i="9"/>
  <c r="I1786" i="9"/>
  <c r="H1786" i="9"/>
  <c r="I1785" i="9"/>
  <c r="H1785" i="9"/>
  <c r="I1784" i="9"/>
  <c r="H1784" i="9"/>
  <c r="I1783" i="9"/>
  <c r="H1783" i="9"/>
  <c r="I1782" i="9"/>
  <c r="H1782" i="9"/>
  <c r="I1781" i="9"/>
  <c r="H1781" i="9"/>
  <c r="I1780" i="9"/>
  <c r="H1780" i="9"/>
  <c r="I1779" i="9"/>
  <c r="H1779" i="9"/>
  <c r="I1778" i="9"/>
  <c r="H1778" i="9"/>
  <c r="I1777" i="9"/>
  <c r="H1777" i="9"/>
  <c r="I1776" i="9"/>
  <c r="H1776" i="9"/>
  <c r="I1775" i="9"/>
  <c r="H1775" i="9"/>
  <c r="I1774" i="9"/>
  <c r="H1774" i="9"/>
  <c r="I1773" i="9"/>
  <c r="H1773" i="9"/>
  <c r="I1772" i="9"/>
  <c r="H1772" i="9"/>
  <c r="I1771" i="9"/>
  <c r="H1771" i="9"/>
  <c r="I1770" i="9"/>
  <c r="H1770" i="9"/>
  <c r="I1769" i="9"/>
  <c r="H1769" i="9"/>
  <c r="I1768" i="9"/>
  <c r="H1768" i="9"/>
  <c r="I1767" i="9"/>
  <c r="H1767" i="9"/>
  <c r="I1766" i="9"/>
  <c r="H1766" i="9"/>
  <c r="I1765" i="9"/>
  <c r="H1765" i="9"/>
  <c r="I1764" i="9"/>
  <c r="H1764" i="9"/>
  <c r="I1763" i="9"/>
  <c r="H1763" i="9"/>
  <c r="I1762" i="9"/>
  <c r="H1762" i="9"/>
  <c r="I1761" i="9"/>
  <c r="H1761" i="9"/>
  <c r="I1760" i="9"/>
  <c r="H1760" i="9"/>
  <c r="I1759" i="9"/>
  <c r="H1759" i="9"/>
  <c r="I1758" i="9"/>
  <c r="H1758" i="9"/>
  <c r="I1757" i="9"/>
  <c r="H1757" i="9"/>
  <c r="I1756" i="9"/>
  <c r="H1756" i="9"/>
  <c r="I1755" i="9"/>
  <c r="H1755" i="9"/>
  <c r="I1754" i="9"/>
  <c r="H1754" i="9"/>
  <c r="I1753" i="9"/>
  <c r="H1753" i="9"/>
  <c r="I1752" i="9"/>
  <c r="H1752" i="9"/>
  <c r="I1751" i="9"/>
  <c r="H1751" i="9"/>
  <c r="I1750" i="9"/>
  <c r="H1750" i="9"/>
  <c r="I1749" i="9"/>
  <c r="H1749" i="9"/>
  <c r="I1748" i="9"/>
  <c r="H1748" i="9"/>
  <c r="I1747" i="9"/>
  <c r="H1747" i="9"/>
  <c r="I1746" i="9"/>
  <c r="H1746" i="9"/>
  <c r="I1745" i="9"/>
  <c r="H1745" i="9"/>
  <c r="I1744" i="9"/>
  <c r="H1744" i="9"/>
  <c r="I1743" i="9"/>
  <c r="H1743" i="9"/>
  <c r="I1742" i="9"/>
  <c r="H1742" i="9"/>
  <c r="I1741" i="9"/>
  <c r="H1741" i="9"/>
  <c r="I1740" i="9"/>
  <c r="H1740" i="9"/>
  <c r="I1739" i="9"/>
  <c r="H1739" i="9"/>
  <c r="I1738" i="9"/>
  <c r="H1738" i="9"/>
  <c r="I1737" i="9"/>
  <c r="H1737" i="9"/>
  <c r="I1736" i="9"/>
  <c r="H1736" i="9"/>
  <c r="I1735" i="9"/>
  <c r="H1735" i="9"/>
  <c r="I1734" i="9"/>
  <c r="H1734" i="9"/>
  <c r="I1733" i="9"/>
  <c r="H1733" i="9"/>
  <c r="I1732" i="9"/>
  <c r="H1732" i="9"/>
  <c r="I1731" i="9"/>
  <c r="H1731" i="9"/>
  <c r="I1730" i="9"/>
  <c r="H1730" i="9"/>
  <c r="I1729" i="9"/>
  <c r="H1729" i="9"/>
  <c r="I1728" i="9"/>
  <c r="H1728" i="9"/>
  <c r="I1727" i="9"/>
  <c r="H1727" i="9"/>
  <c r="I1726" i="9"/>
  <c r="H1726" i="9"/>
  <c r="I1725" i="9"/>
  <c r="H1725" i="9"/>
  <c r="I1724" i="9"/>
  <c r="H1724" i="9"/>
  <c r="I1723" i="9"/>
  <c r="H1723" i="9"/>
  <c r="I1722" i="9"/>
  <c r="H1722" i="9"/>
  <c r="I1721" i="9"/>
  <c r="H1721" i="9"/>
  <c r="I1720" i="9"/>
  <c r="H1720" i="9"/>
  <c r="I1719" i="9"/>
  <c r="H1719" i="9"/>
  <c r="I1718" i="9"/>
  <c r="H1718" i="9"/>
  <c r="I1717" i="9"/>
  <c r="H1717" i="9"/>
  <c r="I1716" i="9"/>
  <c r="H1716" i="9"/>
  <c r="I1715" i="9"/>
  <c r="H1715" i="9"/>
  <c r="I1714" i="9"/>
  <c r="H1714" i="9"/>
  <c r="I1713" i="9"/>
  <c r="H1713" i="9"/>
  <c r="I1712" i="9"/>
  <c r="H1712" i="9"/>
  <c r="I1711" i="9"/>
  <c r="H1711" i="9"/>
  <c r="I1710" i="9"/>
  <c r="H1710" i="9"/>
  <c r="I1709" i="9"/>
  <c r="H1709" i="9"/>
  <c r="I1708" i="9"/>
  <c r="H1708" i="9"/>
  <c r="I1707" i="9"/>
  <c r="H1707" i="9"/>
  <c r="I1706" i="9"/>
  <c r="H1706" i="9"/>
  <c r="I1705" i="9"/>
  <c r="H1705" i="9"/>
  <c r="I1704" i="9"/>
  <c r="H1704" i="9"/>
  <c r="I1703" i="9"/>
  <c r="H1703" i="9"/>
  <c r="I1702" i="9"/>
  <c r="H1702" i="9"/>
  <c r="I1701" i="9"/>
  <c r="H1701" i="9"/>
  <c r="I1700" i="9"/>
  <c r="H1700" i="9"/>
  <c r="I1699" i="9"/>
  <c r="H1699" i="9"/>
  <c r="I1698" i="9"/>
  <c r="H1698" i="9"/>
  <c r="I1697" i="9"/>
  <c r="H1697" i="9"/>
  <c r="I1696" i="9"/>
  <c r="H1696" i="9"/>
  <c r="I1695" i="9"/>
  <c r="H1695" i="9"/>
  <c r="I1694" i="9"/>
  <c r="H1694" i="9"/>
  <c r="I1693" i="9"/>
  <c r="H1693" i="9"/>
  <c r="I1692" i="9"/>
  <c r="H1692" i="9"/>
  <c r="I1691" i="9"/>
  <c r="H1691" i="9"/>
  <c r="I1690" i="9"/>
  <c r="H1690" i="9"/>
  <c r="I1689" i="9"/>
  <c r="H1689" i="9"/>
  <c r="I1688" i="9"/>
  <c r="H1688" i="9"/>
  <c r="I1687" i="9"/>
  <c r="H1687" i="9"/>
  <c r="I1686" i="9"/>
  <c r="H1686" i="9"/>
  <c r="I1685" i="9"/>
  <c r="H1685" i="9"/>
  <c r="I1684" i="9"/>
  <c r="H1684" i="9"/>
  <c r="I1683" i="9"/>
  <c r="H1683" i="9"/>
  <c r="I1682" i="9"/>
  <c r="H1682" i="9"/>
  <c r="I1681" i="9"/>
  <c r="H1681" i="9"/>
  <c r="I1680" i="9"/>
  <c r="H1680" i="9"/>
  <c r="I1679" i="9"/>
  <c r="H1679" i="9"/>
  <c r="I1678" i="9"/>
  <c r="H1678" i="9"/>
  <c r="I1677" i="9"/>
  <c r="H1677" i="9"/>
  <c r="I1676" i="9"/>
  <c r="H1676" i="9"/>
  <c r="I1675" i="9"/>
  <c r="H1675" i="9"/>
  <c r="I1674" i="9"/>
  <c r="H1674" i="9"/>
  <c r="I1673" i="9"/>
  <c r="H1673" i="9"/>
  <c r="I1672" i="9"/>
  <c r="H1672" i="9"/>
  <c r="I1671" i="9"/>
  <c r="H1671" i="9"/>
  <c r="I1670" i="9"/>
  <c r="H1670" i="9"/>
  <c r="I1669" i="9"/>
  <c r="H1669" i="9"/>
  <c r="I1668" i="9"/>
  <c r="H1668" i="9"/>
  <c r="I1667" i="9"/>
  <c r="H1667" i="9"/>
  <c r="I1666" i="9"/>
  <c r="H1666" i="9"/>
  <c r="I1665" i="9"/>
  <c r="H1665" i="9"/>
  <c r="I1664" i="9"/>
  <c r="H1664" i="9"/>
  <c r="I1663" i="9"/>
  <c r="H1663" i="9"/>
  <c r="I1662" i="9"/>
  <c r="H1662" i="9"/>
  <c r="I1661" i="9"/>
  <c r="H1661" i="9"/>
  <c r="I1660" i="9"/>
  <c r="H1660" i="9"/>
  <c r="I1659" i="9"/>
  <c r="H1659" i="9"/>
  <c r="I1658" i="9"/>
  <c r="H1658" i="9"/>
  <c r="I1657" i="9"/>
  <c r="H1657" i="9"/>
  <c r="I1656" i="9"/>
  <c r="H1656" i="9"/>
  <c r="I1655" i="9"/>
  <c r="H1655" i="9"/>
  <c r="I1654" i="9"/>
  <c r="H1654" i="9"/>
  <c r="I1653" i="9"/>
  <c r="H1653" i="9"/>
  <c r="I1652" i="9"/>
  <c r="H1652" i="9"/>
  <c r="I1651" i="9"/>
  <c r="H1651" i="9"/>
  <c r="I1650" i="9"/>
  <c r="H1650" i="9"/>
  <c r="I1649" i="9"/>
  <c r="H1649" i="9"/>
  <c r="I1648" i="9"/>
  <c r="H1648" i="9"/>
  <c r="I1647" i="9"/>
  <c r="H1647" i="9"/>
  <c r="I1646" i="9"/>
  <c r="H1646" i="9"/>
  <c r="I1645" i="9"/>
  <c r="H1645" i="9"/>
  <c r="I1644" i="9"/>
  <c r="H1644" i="9"/>
  <c r="I1643" i="9"/>
  <c r="H1643" i="9"/>
  <c r="I1642" i="9"/>
  <c r="H1642" i="9"/>
  <c r="I1641" i="9"/>
  <c r="H1641" i="9"/>
  <c r="I1640" i="9"/>
  <c r="H1640" i="9"/>
  <c r="I1639" i="9"/>
  <c r="H1639" i="9"/>
  <c r="I1638" i="9"/>
  <c r="H1638" i="9"/>
  <c r="I1637" i="9"/>
  <c r="H1637" i="9"/>
  <c r="I1636" i="9"/>
  <c r="H1636" i="9"/>
  <c r="I1635" i="9"/>
  <c r="H1635" i="9"/>
  <c r="I1634" i="9"/>
  <c r="H1634" i="9"/>
  <c r="I1633" i="9"/>
  <c r="H1633" i="9"/>
  <c r="I1632" i="9"/>
  <c r="H1632" i="9"/>
  <c r="I1631" i="9"/>
  <c r="H1631" i="9"/>
  <c r="I1630" i="9"/>
  <c r="H1630" i="9"/>
  <c r="I1629" i="9"/>
  <c r="H1629" i="9"/>
  <c r="I1628" i="9"/>
  <c r="H1628" i="9"/>
  <c r="I1627" i="9"/>
  <c r="H1627" i="9"/>
  <c r="I1626" i="9"/>
  <c r="H1626" i="9"/>
  <c r="I1625" i="9"/>
  <c r="H1625" i="9"/>
  <c r="I1624" i="9"/>
  <c r="H1624" i="9"/>
  <c r="I1623" i="9"/>
  <c r="H1623" i="9"/>
  <c r="I1622" i="9"/>
  <c r="H1622" i="9"/>
  <c r="I1621" i="9"/>
  <c r="H1621" i="9"/>
  <c r="I1620" i="9"/>
  <c r="H1620" i="9"/>
  <c r="I1619" i="9"/>
  <c r="H1619" i="9"/>
  <c r="I1618" i="9"/>
  <c r="H1618" i="9"/>
  <c r="I1617" i="9"/>
  <c r="H1617" i="9"/>
  <c r="I1616" i="9"/>
  <c r="H1616" i="9"/>
  <c r="I1615" i="9"/>
  <c r="H1615" i="9"/>
  <c r="I1614" i="9"/>
  <c r="H1614" i="9"/>
  <c r="I1613" i="9"/>
  <c r="H1613" i="9"/>
  <c r="I1612" i="9"/>
  <c r="H1612" i="9"/>
  <c r="I1611" i="9"/>
  <c r="H1611" i="9"/>
  <c r="I1610" i="9"/>
  <c r="H1610" i="9"/>
  <c r="I1609" i="9"/>
  <c r="H1609" i="9"/>
  <c r="I1608" i="9"/>
  <c r="H1608" i="9"/>
  <c r="I1607" i="9"/>
  <c r="H1607" i="9"/>
  <c r="I1606" i="9"/>
  <c r="H1606" i="9"/>
  <c r="I1605" i="9"/>
  <c r="H1605" i="9"/>
  <c r="I1604" i="9"/>
  <c r="H1604" i="9"/>
  <c r="I1603" i="9"/>
  <c r="H1603" i="9"/>
  <c r="I1602" i="9"/>
  <c r="H1602" i="9"/>
  <c r="I1601" i="9"/>
  <c r="H1601" i="9"/>
  <c r="I1600" i="9"/>
  <c r="H1600" i="9"/>
  <c r="I1599" i="9"/>
  <c r="H1599" i="9"/>
  <c r="I1598" i="9"/>
  <c r="H1598" i="9"/>
  <c r="I1597" i="9"/>
  <c r="H1597" i="9"/>
  <c r="I1596" i="9"/>
  <c r="H1596" i="9"/>
  <c r="I1595" i="9"/>
  <c r="H1595" i="9"/>
  <c r="I1594" i="9"/>
  <c r="H1594" i="9"/>
  <c r="I1593" i="9"/>
  <c r="H1593" i="9"/>
  <c r="I1592" i="9"/>
  <c r="H1592" i="9"/>
  <c r="I1591" i="9"/>
  <c r="H1591" i="9"/>
  <c r="I1590" i="9"/>
  <c r="H1590" i="9"/>
  <c r="I1589" i="9"/>
  <c r="H1589" i="9"/>
  <c r="I1588" i="9"/>
  <c r="H1588" i="9"/>
  <c r="I1587" i="9"/>
  <c r="H1587" i="9"/>
  <c r="I1586" i="9"/>
  <c r="H1586" i="9"/>
  <c r="I1585" i="9"/>
  <c r="H1585" i="9"/>
  <c r="I1584" i="9"/>
  <c r="H1584" i="9"/>
  <c r="I1583" i="9"/>
  <c r="H1583" i="9"/>
  <c r="I1582" i="9"/>
  <c r="H1582" i="9"/>
  <c r="I1581" i="9"/>
  <c r="H1581" i="9"/>
  <c r="I1580" i="9"/>
  <c r="H1580" i="9"/>
  <c r="I1579" i="9"/>
  <c r="H1579" i="9"/>
  <c r="I1578" i="9"/>
  <c r="H1578" i="9"/>
  <c r="I1577" i="9"/>
  <c r="H1577" i="9"/>
  <c r="I1576" i="9"/>
  <c r="H1576" i="9"/>
  <c r="I1575" i="9"/>
  <c r="H1575" i="9"/>
  <c r="I1574" i="9"/>
  <c r="H1574" i="9"/>
  <c r="I1573" i="9"/>
  <c r="H1573" i="9"/>
  <c r="I1572" i="9"/>
  <c r="H1572" i="9"/>
  <c r="I1571" i="9"/>
  <c r="H1571" i="9"/>
  <c r="I1570" i="9"/>
  <c r="H1570" i="9"/>
  <c r="I1569" i="9"/>
  <c r="H1569" i="9"/>
  <c r="I1568" i="9"/>
  <c r="H1568" i="9"/>
  <c r="I1567" i="9"/>
  <c r="H1567" i="9"/>
  <c r="I1566" i="9"/>
  <c r="H1566" i="9"/>
  <c r="I1565" i="9"/>
  <c r="H1565" i="9"/>
  <c r="I1564" i="9"/>
  <c r="H1564" i="9"/>
  <c r="I1563" i="9"/>
  <c r="H1563" i="9"/>
  <c r="I1562" i="9"/>
  <c r="H1562" i="9"/>
  <c r="I1561" i="9"/>
  <c r="H1561" i="9"/>
  <c r="I1560" i="9"/>
  <c r="H1560" i="9"/>
  <c r="I1559" i="9"/>
  <c r="H1559" i="9"/>
  <c r="I1558" i="9"/>
  <c r="H1558" i="9"/>
  <c r="I1557" i="9"/>
  <c r="H1557" i="9"/>
  <c r="I1556" i="9"/>
  <c r="H1556" i="9"/>
  <c r="I1555" i="9"/>
  <c r="H1555" i="9"/>
  <c r="I1554" i="9"/>
  <c r="H1554" i="9"/>
  <c r="I1553" i="9"/>
  <c r="H1553" i="9"/>
  <c r="I1552" i="9"/>
  <c r="H1552" i="9"/>
  <c r="I1551" i="9"/>
  <c r="H1551" i="9"/>
  <c r="I1550" i="9"/>
  <c r="H1550" i="9"/>
  <c r="I1549" i="9"/>
  <c r="H1549" i="9"/>
  <c r="I1548" i="9"/>
  <c r="H1548" i="9"/>
  <c r="I1547" i="9"/>
  <c r="H1547" i="9"/>
  <c r="I1546" i="9"/>
  <c r="H1546" i="9"/>
  <c r="I1545" i="9"/>
  <c r="H1545" i="9"/>
  <c r="I1544" i="9"/>
  <c r="H1544" i="9"/>
  <c r="I1543" i="9"/>
  <c r="H1543" i="9"/>
  <c r="I1542" i="9"/>
  <c r="H1542" i="9"/>
  <c r="I1541" i="9"/>
  <c r="H1541" i="9"/>
  <c r="I1540" i="9"/>
  <c r="H1540" i="9"/>
  <c r="I1539" i="9"/>
  <c r="H1539" i="9"/>
  <c r="I1538" i="9"/>
  <c r="H1538" i="9"/>
  <c r="I1537" i="9"/>
  <c r="H1537" i="9"/>
  <c r="I1536" i="9"/>
  <c r="H1536" i="9"/>
  <c r="I1535" i="9"/>
  <c r="H1535" i="9"/>
  <c r="I1534" i="9"/>
  <c r="H1534" i="9"/>
  <c r="I1533" i="9"/>
  <c r="H1533" i="9"/>
  <c r="I1532" i="9"/>
  <c r="H1532" i="9"/>
  <c r="I1531" i="9"/>
  <c r="H1531" i="9"/>
  <c r="I1530" i="9"/>
  <c r="H1530" i="9"/>
  <c r="I1529" i="9"/>
  <c r="H1529" i="9"/>
  <c r="I1528" i="9"/>
  <c r="H1528" i="9"/>
  <c r="I1527" i="9"/>
  <c r="H1527" i="9"/>
  <c r="I1526" i="9"/>
  <c r="H1526" i="9"/>
  <c r="I1525" i="9"/>
  <c r="H1525" i="9"/>
  <c r="I1524" i="9"/>
  <c r="H1524" i="9"/>
  <c r="I1523" i="9"/>
  <c r="H1523" i="9"/>
  <c r="I1522" i="9"/>
  <c r="H1522" i="9"/>
  <c r="I1521" i="9"/>
  <c r="H1521" i="9"/>
  <c r="I1520" i="9"/>
  <c r="H1520" i="9"/>
  <c r="I1519" i="9"/>
  <c r="H1519" i="9"/>
  <c r="I1518" i="9"/>
  <c r="H1518" i="9"/>
  <c r="I1517" i="9"/>
  <c r="H1517" i="9"/>
  <c r="I1516" i="9"/>
  <c r="H1516" i="9"/>
  <c r="I1515" i="9"/>
  <c r="H1515" i="9"/>
  <c r="I1514" i="9"/>
  <c r="H1514" i="9"/>
  <c r="I1513" i="9"/>
  <c r="H1513" i="9"/>
  <c r="I1512" i="9"/>
  <c r="H1512" i="9"/>
  <c r="I1511" i="9"/>
  <c r="H1511" i="9"/>
  <c r="I1510" i="9"/>
  <c r="H1510" i="9"/>
  <c r="I1509" i="9"/>
  <c r="H1509" i="9"/>
  <c r="I1508" i="9"/>
  <c r="H1508" i="9"/>
  <c r="I1507" i="9"/>
  <c r="H1507" i="9"/>
  <c r="I1506" i="9"/>
  <c r="H1506" i="9"/>
  <c r="I1505" i="9"/>
  <c r="H1505" i="9"/>
  <c r="I1504" i="9"/>
  <c r="H1504" i="9"/>
  <c r="I1503" i="9"/>
  <c r="H1503" i="9"/>
  <c r="I1502" i="9"/>
  <c r="H1502" i="9"/>
  <c r="I1501" i="9"/>
  <c r="H1501" i="9"/>
  <c r="I1500" i="9"/>
  <c r="H1500" i="9"/>
  <c r="I1499" i="9"/>
  <c r="H1499" i="9"/>
  <c r="I1498" i="9"/>
  <c r="H1498" i="9"/>
  <c r="I1497" i="9"/>
  <c r="H1497" i="9"/>
  <c r="I1496" i="9"/>
  <c r="H1496" i="9"/>
  <c r="I1495" i="9"/>
  <c r="H1495" i="9"/>
  <c r="I1494" i="9"/>
  <c r="H1494" i="9"/>
  <c r="I1493" i="9"/>
  <c r="H1493" i="9"/>
  <c r="I1492" i="9"/>
  <c r="H1492" i="9"/>
  <c r="I1491" i="9"/>
  <c r="H1491" i="9"/>
  <c r="I1490" i="9"/>
  <c r="H1490" i="9"/>
  <c r="I1489" i="9"/>
  <c r="H1489" i="9"/>
  <c r="I1488" i="9"/>
  <c r="H1488" i="9"/>
  <c r="I1487" i="9"/>
  <c r="H1487" i="9"/>
  <c r="I1486" i="9"/>
  <c r="H1486" i="9"/>
  <c r="I1485" i="9"/>
  <c r="H1485" i="9"/>
  <c r="I1484" i="9"/>
  <c r="H1484" i="9"/>
  <c r="I1483" i="9"/>
  <c r="H1483" i="9"/>
  <c r="I1482" i="9"/>
  <c r="H1482" i="9"/>
  <c r="I1481" i="9"/>
  <c r="H1481" i="9"/>
  <c r="I1480" i="9"/>
  <c r="H1480" i="9"/>
  <c r="I1479" i="9"/>
  <c r="H1479" i="9"/>
  <c r="I1478" i="9"/>
  <c r="H1478" i="9"/>
  <c r="I1477" i="9"/>
  <c r="H1477" i="9"/>
  <c r="I1476" i="9"/>
  <c r="H1476" i="9"/>
  <c r="I1475" i="9"/>
  <c r="H1475" i="9"/>
  <c r="I1474" i="9"/>
  <c r="H1474" i="9"/>
  <c r="I1473" i="9"/>
  <c r="H1473" i="9"/>
  <c r="I1472" i="9"/>
  <c r="H1472" i="9"/>
  <c r="I1471" i="9"/>
  <c r="H1471" i="9"/>
  <c r="I1470" i="9"/>
  <c r="H1470" i="9"/>
  <c r="I1469" i="9"/>
  <c r="H1469" i="9"/>
  <c r="I1468" i="9"/>
  <c r="H1468" i="9"/>
  <c r="I1467" i="9"/>
  <c r="H1467" i="9"/>
  <c r="I1466" i="9"/>
  <c r="H1466" i="9"/>
  <c r="I1465" i="9"/>
  <c r="H1465" i="9"/>
  <c r="I1464" i="9"/>
  <c r="H1464" i="9"/>
  <c r="I1463" i="9"/>
  <c r="H1463" i="9"/>
  <c r="I1462" i="9"/>
  <c r="H1462" i="9"/>
  <c r="I1461" i="9"/>
  <c r="H1461" i="9"/>
  <c r="I1460" i="9"/>
  <c r="H1460" i="9"/>
  <c r="I1459" i="9"/>
  <c r="H1459" i="9"/>
  <c r="I1458" i="9"/>
  <c r="H1458" i="9"/>
  <c r="I1457" i="9"/>
  <c r="H1457" i="9"/>
  <c r="I1456" i="9"/>
  <c r="H1456" i="9"/>
  <c r="I1455" i="9"/>
  <c r="H1455" i="9"/>
  <c r="I1454" i="9"/>
  <c r="H1454" i="9"/>
  <c r="I1453" i="9"/>
  <c r="H1453" i="9"/>
  <c r="I1452" i="9"/>
  <c r="H1452" i="9"/>
  <c r="I1451" i="9"/>
  <c r="H1451" i="9"/>
  <c r="I1450" i="9"/>
  <c r="H1450" i="9"/>
  <c r="I1449" i="9"/>
  <c r="H1449" i="9"/>
  <c r="I1448" i="9"/>
  <c r="H1448" i="9"/>
  <c r="I1447" i="9"/>
  <c r="H1447" i="9"/>
  <c r="I1446" i="9"/>
  <c r="H1446" i="9"/>
  <c r="I1445" i="9"/>
  <c r="H1445" i="9"/>
  <c r="I1444" i="9"/>
  <c r="H1444" i="9"/>
  <c r="I1443" i="9"/>
  <c r="H1443" i="9"/>
  <c r="I1442" i="9"/>
  <c r="H1442" i="9"/>
  <c r="I1441" i="9"/>
  <c r="H1441" i="9"/>
  <c r="I1440" i="9"/>
  <c r="H1440" i="9"/>
  <c r="I1439" i="9"/>
  <c r="H1439" i="9"/>
  <c r="I1438" i="9"/>
  <c r="H1438" i="9"/>
  <c r="I1437" i="9"/>
  <c r="H1437" i="9"/>
  <c r="I1436" i="9"/>
  <c r="H1436" i="9"/>
  <c r="I1435" i="9"/>
  <c r="H1435" i="9"/>
  <c r="I1434" i="9"/>
  <c r="H1434" i="9"/>
  <c r="I1433" i="9"/>
  <c r="H1433" i="9"/>
  <c r="I1432" i="9"/>
  <c r="H1432" i="9"/>
  <c r="I1431" i="9"/>
  <c r="H1431" i="9"/>
  <c r="I1430" i="9"/>
  <c r="H1430" i="9"/>
  <c r="I1429" i="9"/>
  <c r="H1429" i="9"/>
  <c r="I1428" i="9"/>
  <c r="H1428" i="9"/>
  <c r="I1427" i="9"/>
  <c r="H1427" i="9"/>
  <c r="I1426" i="9"/>
  <c r="H1426" i="9"/>
  <c r="I1425" i="9"/>
  <c r="H1425" i="9"/>
  <c r="I1424" i="9"/>
  <c r="H1424" i="9"/>
  <c r="I1423" i="9"/>
  <c r="H1423" i="9"/>
  <c r="I1422" i="9"/>
  <c r="H1422" i="9"/>
  <c r="I1421" i="9"/>
  <c r="H1421" i="9"/>
  <c r="I1420" i="9"/>
  <c r="H1420" i="9"/>
  <c r="I1419" i="9"/>
  <c r="H1419" i="9"/>
  <c r="I1418" i="9"/>
  <c r="H1418" i="9"/>
  <c r="I1417" i="9"/>
  <c r="H1417" i="9"/>
  <c r="I1416" i="9"/>
  <c r="H1416" i="9"/>
  <c r="I1415" i="9"/>
  <c r="H1415" i="9"/>
  <c r="I1414" i="9"/>
  <c r="H1414" i="9"/>
  <c r="I1413" i="9"/>
  <c r="H1413" i="9"/>
  <c r="I1412" i="9"/>
  <c r="H1412" i="9"/>
  <c r="I1411" i="9"/>
  <c r="H1411" i="9"/>
  <c r="I1410" i="9"/>
  <c r="H1410" i="9"/>
  <c r="I1409" i="9"/>
  <c r="H1409" i="9"/>
  <c r="I1408" i="9"/>
  <c r="H1408" i="9"/>
  <c r="I1407" i="9"/>
  <c r="H1407" i="9"/>
  <c r="I1406" i="9"/>
  <c r="H1406" i="9"/>
  <c r="I1405" i="9"/>
  <c r="H1405" i="9"/>
  <c r="I1404" i="9"/>
  <c r="H1404" i="9"/>
  <c r="I1403" i="9"/>
  <c r="H1403" i="9"/>
  <c r="I1402" i="9"/>
  <c r="H1402" i="9"/>
  <c r="I1401" i="9"/>
  <c r="H1401" i="9"/>
  <c r="I1400" i="9"/>
  <c r="H1400" i="9"/>
  <c r="I1399" i="9"/>
  <c r="H1399" i="9"/>
  <c r="I1398" i="9"/>
  <c r="H1398" i="9"/>
  <c r="I1397" i="9"/>
  <c r="H1397" i="9"/>
  <c r="I1396" i="9"/>
  <c r="H1396" i="9"/>
  <c r="I1395" i="9"/>
  <c r="H1395" i="9"/>
  <c r="I1394" i="9"/>
  <c r="H1394" i="9"/>
  <c r="I1393" i="9"/>
  <c r="H1393" i="9"/>
  <c r="I1392" i="9"/>
  <c r="H1392" i="9"/>
  <c r="I1391" i="9"/>
  <c r="H1391" i="9"/>
  <c r="I1390" i="9"/>
  <c r="H1390" i="9"/>
  <c r="I1389" i="9"/>
  <c r="H1389" i="9"/>
  <c r="I1388" i="9"/>
  <c r="H1388" i="9"/>
  <c r="I1387" i="9"/>
  <c r="H1387" i="9"/>
  <c r="I1386" i="9"/>
  <c r="H1386" i="9"/>
  <c r="I1385" i="9"/>
  <c r="H1385" i="9"/>
  <c r="I1384" i="9"/>
  <c r="H1384" i="9"/>
  <c r="I1383" i="9"/>
  <c r="H1383" i="9"/>
  <c r="I1382" i="9"/>
  <c r="H1382" i="9"/>
  <c r="I1381" i="9"/>
  <c r="H1381" i="9"/>
  <c r="I1380" i="9"/>
  <c r="H1380" i="9"/>
  <c r="I1379" i="9"/>
  <c r="H1379" i="9"/>
  <c r="I1378" i="9"/>
  <c r="H1378" i="9"/>
  <c r="I1377" i="9"/>
  <c r="H1377" i="9"/>
  <c r="I1376" i="9"/>
  <c r="H1376" i="9"/>
  <c r="I1375" i="9"/>
  <c r="H1375" i="9"/>
  <c r="I1374" i="9"/>
  <c r="H1374" i="9"/>
  <c r="I1373" i="9"/>
  <c r="H1373" i="9"/>
  <c r="I1372" i="9"/>
  <c r="H1372" i="9"/>
  <c r="I1371" i="9"/>
  <c r="H1371" i="9"/>
  <c r="I1370" i="9"/>
  <c r="H1370" i="9"/>
  <c r="I1369" i="9"/>
  <c r="H1369" i="9"/>
  <c r="I1368" i="9"/>
  <c r="H1368" i="9"/>
  <c r="I1367" i="9"/>
  <c r="H1367" i="9"/>
  <c r="I1366" i="9"/>
  <c r="H1366" i="9"/>
  <c r="I1365" i="9"/>
  <c r="H1365" i="9"/>
  <c r="I1364" i="9"/>
  <c r="H1364" i="9"/>
  <c r="I1363" i="9"/>
  <c r="H1363" i="9"/>
  <c r="I1362" i="9"/>
  <c r="H1362" i="9"/>
  <c r="I1361" i="9"/>
  <c r="H1361" i="9"/>
  <c r="I1360" i="9"/>
  <c r="H1360" i="9"/>
  <c r="I1359" i="9"/>
  <c r="H1359" i="9"/>
  <c r="I1358" i="9"/>
  <c r="H1358" i="9"/>
  <c r="I1357" i="9"/>
  <c r="H1357" i="9"/>
  <c r="I1356" i="9"/>
  <c r="H1356" i="9"/>
  <c r="I1355" i="9"/>
  <c r="H1355" i="9"/>
  <c r="I1354" i="9"/>
  <c r="H1354" i="9"/>
  <c r="I1353" i="9"/>
  <c r="H1353" i="9"/>
  <c r="I1352" i="9"/>
  <c r="H1352" i="9"/>
  <c r="I1351" i="9"/>
  <c r="H1351" i="9"/>
  <c r="I1350" i="9"/>
  <c r="H1350" i="9"/>
  <c r="I1349" i="9"/>
  <c r="H1349" i="9"/>
  <c r="I1348" i="9"/>
  <c r="H1348" i="9"/>
  <c r="I672" i="9"/>
  <c r="I670" i="9"/>
  <c r="I669" i="9"/>
  <c r="H669" i="9"/>
  <c r="I668" i="9"/>
  <c r="I664" i="9"/>
  <c r="I663" i="9"/>
  <c r="I662" i="9"/>
  <c r="I661" i="9"/>
  <c r="I660" i="9"/>
  <c r="H660" i="9"/>
  <c r="I655" i="9"/>
  <c r="I654" i="9"/>
  <c r="I653" i="9"/>
  <c r="I648" i="9"/>
  <c r="I647" i="9"/>
  <c r="I646" i="9"/>
  <c r="I638" i="9"/>
  <c r="I637" i="9"/>
  <c r="I630" i="9"/>
  <c r="I623" i="9"/>
  <c r="I622" i="9"/>
  <c r="I620" i="9"/>
  <c r="H620" i="9"/>
  <c r="I614" i="9"/>
  <c r="I613" i="9"/>
  <c r="I612" i="9"/>
  <c r="H612" i="9"/>
  <c r="I608" i="9"/>
  <c r="I605" i="9"/>
  <c r="I604" i="9"/>
  <c r="I600" i="9"/>
  <c r="I599" i="9"/>
  <c r="I598" i="9"/>
  <c r="I596" i="9"/>
  <c r="I589" i="9"/>
  <c r="I584" i="9"/>
  <c r="I583" i="9"/>
  <c r="I575" i="9"/>
  <c r="I574" i="9"/>
  <c r="I567" i="9"/>
  <c r="I566" i="9"/>
  <c r="I559" i="9"/>
  <c r="I558" i="9"/>
  <c r="I556" i="9"/>
  <c r="H556" i="9"/>
  <c r="I550" i="9"/>
  <c r="I549" i="9"/>
  <c r="I548" i="9"/>
  <c r="I544" i="9"/>
  <c r="I543" i="9"/>
  <c r="I542" i="9"/>
  <c r="I541" i="9"/>
  <c r="H541" i="9"/>
  <c r="I540" i="9"/>
  <c r="I535" i="9"/>
  <c r="I533" i="9"/>
  <c r="I532" i="9"/>
  <c r="I528" i="9"/>
  <c r="I527" i="9"/>
  <c r="I525" i="9"/>
  <c r="I520" i="9"/>
  <c r="I519" i="9"/>
  <c r="I510" i="9"/>
  <c r="I502" i="9"/>
  <c r="I494" i="9"/>
  <c r="I492" i="9"/>
  <c r="I485" i="9"/>
  <c r="H485" i="9"/>
  <c r="I484" i="9"/>
  <c r="I480" i="9"/>
  <c r="I479" i="9"/>
  <c r="I478" i="9"/>
  <c r="I477" i="9"/>
  <c r="I476" i="9"/>
  <c r="I472" i="9"/>
  <c r="I471" i="9"/>
  <c r="I470" i="9"/>
  <c r="I468" i="9"/>
  <c r="I463" i="9"/>
  <c r="I462" i="9"/>
  <c r="I461" i="9"/>
  <c r="I456" i="9"/>
  <c r="I455" i="9"/>
  <c r="I454" i="9"/>
  <c r="H454" i="9"/>
  <c r="I445" i="9"/>
  <c r="I438" i="9"/>
  <c r="I431" i="9"/>
  <c r="I430" i="9"/>
  <c r="I428" i="9"/>
  <c r="I422" i="9"/>
  <c r="I421" i="9"/>
  <c r="I420" i="9"/>
  <c r="H420" i="9"/>
  <c r="I416" i="9"/>
  <c r="I415" i="9"/>
  <c r="I414" i="9"/>
  <c r="I413" i="9"/>
  <c r="H413" i="9"/>
  <c r="I412" i="9"/>
  <c r="I408" i="9"/>
  <c r="I407" i="9"/>
  <c r="I404" i="9"/>
  <c r="H404" i="9"/>
  <c r="I400" i="9"/>
  <c r="I399" i="9"/>
  <c r="I398" i="9"/>
  <c r="I397" i="9"/>
  <c r="I392" i="9"/>
  <c r="I383" i="9"/>
  <c r="I382" i="9"/>
  <c r="I375" i="9"/>
  <c r="I374" i="9"/>
  <c r="I373" i="9"/>
  <c r="H373" i="9"/>
  <c r="I367" i="9"/>
  <c r="I366" i="9"/>
  <c r="I365" i="9"/>
  <c r="I364" i="9"/>
  <c r="I358" i="9"/>
  <c r="I357" i="9"/>
  <c r="I356" i="9"/>
  <c r="I349" i="9"/>
  <c r="H349" i="9"/>
  <c r="I348" i="9"/>
  <c r="I344" i="9"/>
  <c r="I343" i="9"/>
  <c r="I342" i="9"/>
  <c r="I341" i="9"/>
  <c r="I340" i="9"/>
  <c r="I335" i="9"/>
  <c r="I333" i="9"/>
  <c r="I328" i="9"/>
  <c r="I319" i="9"/>
  <c r="I318" i="9"/>
  <c r="I311" i="9"/>
  <c r="I310" i="9"/>
  <c r="I302" i="9"/>
  <c r="I301" i="9"/>
  <c r="H301" i="9"/>
  <c r="I300" i="9"/>
  <c r="I294" i="9"/>
  <c r="I293" i="9"/>
  <c r="I292" i="9"/>
  <c r="H292" i="9"/>
  <c r="I288" i="9"/>
  <c r="I287" i="9"/>
  <c r="I285" i="9"/>
  <c r="I284" i="9"/>
  <c r="I280" i="9"/>
  <c r="I279" i="9"/>
  <c r="I278" i="9"/>
  <c r="I277" i="9"/>
  <c r="I276" i="9"/>
  <c r="I271" i="9"/>
  <c r="I270" i="9"/>
  <c r="I269" i="9"/>
  <c r="I264" i="9"/>
  <c r="I263" i="9"/>
  <c r="I255" i="9"/>
  <c r="I254" i="9"/>
  <c r="I247" i="9"/>
  <c r="I246" i="9"/>
  <c r="I238" i="9"/>
  <c r="I230" i="9"/>
  <c r="I228" i="9"/>
  <c r="I222" i="9"/>
  <c r="I221" i="9"/>
  <c r="I220" i="9"/>
  <c r="I216" i="9"/>
  <c r="I215" i="9"/>
  <c r="I213" i="9"/>
  <c r="H213" i="9"/>
  <c r="I212" i="9"/>
  <c r="I208" i="9"/>
  <c r="I205" i="9"/>
  <c r="I199" i="9"/>
  <c r="I191" i="9"/>
  <c r="I182" i="9"/>
  <c r="I175" i="9"/>
  <c r="I174" i="9"/>
  <c r="I172" i="9"/>
  <c r="I167" i="9"/>
  <c r="I166" i="9"/>
  <c r="I164" i="9"/>
  <c r="H164" i="9"/>
  <c r="I160" i="9"/>
  <c r="I158" i="9"/>
  <c r="I157" i="9"/>
  <c r="I156" i="9"/>
  <c r="I147" i="9"/>
  <c r="I140" i="9"/>
  <c r="I139" i="9"/>
  <c r="I137" i="9"/>
  <c r="I132" i="9"/>
  <c r="I131" i="9"/>
  <c r="I130" i="9"/>
  <c r="I129" i="9"/>
  <c r="H129" i="9"/>
  <c r="I125" i="9"/>
  <c r="I124" i="9"/>
  <c r="H124" i="9"/>
  <c r="I121" i="9"/>
  <c r="I117" i="9"/>
  <c r="I113" i="9"/>
  <c r="I108" i="9"/>
  <c r="I101" i="9"/>
  <c r="I100" i="9"/>
  <c r="I92" i="9"/>
  <c r="I83" i="9"/>
  <c r="I82" i="9"/>
  <c r="H82" i="9"/>
  <c r="I76" i="9"/>
  <c r="I74" i="9"/>
  <c r="I60" i="9"/>
  <c r="I58" i="9"/>
  <c r="I57" i="9"/>
  <c r="H57" i="9"/>
  <c r="I53" i="9"/>
  <c r="I52" i="9"/>
  <c r="I46" i="9"/>
  <c r="I41" i="9"/>
  <c r="I40" i="9"/>
  <c r="I39" i="9"/>
  <c r="I38" i="9"/>
  <c r="I33" i="9"/>
  <c r="I30" i="9"/>
  <c r="H30" i="9"/>
  <c r="I24" i="9"/>
  <c r="I22" i="9"/>
  <c r="H22" i="9"/>
  <c r="I14" i="9"/>
  <c r="I9" i="9"/>
  <c r="I8" i="9"/>
  <c r="I6" i="9"/>
  <c r="I3" i="9"/>
  <c r="S2000" i="7"/>
  <c r="R2000" i="7"/>
  <c r="Q2000" i="7"/>
  <c r="P2000" i="7"/>
  <c r="O2000" i="7"/>
  <c r="S1999" i="7"/>
  <c r="R1999" i="7"/>
  <c r="Q1999" i="7"/>
  <c r="P1999" i="7"/>
  <c r="O1999" i="7"/>
  <c r="S1998" i="7"/>
  <c r="R1998" i="7"/>
  <c r="Q1998" i="7"/>
  <c r="P1998" i="7"/>
  <c r="O1998" i="7"/>
  <c r="S1997" i="7"/>
  <c r="R1997" i="7"/>
  <c r="Q1997" i="7"/>
  <c r="P1997" i="7"/>
  <c r="O1997" i="7"/>
  <c r="S1996" i="7"/>
  <c r="R1996" i="7"/>
  <c r="Q1996" i="7"/>
  <c r="P1996" i="7"/>
  <c r="O1996" i="7"/>
  <c r="S1995" i="7"/>
  <c r="R1995" i="7"/>
  <c r="Q1995" i="7"/>
  <c r="P1995" i="7"/>
  <c r="O1995" i="7"/>
  <c r="S1994" i="7"/>
  <c r="R1994" i="7"/>
  <c r="Q1994" i="7"/>
  <c r="P1994" i="7"/>
  <c r="O1994" i="7"/>
  <c r="S1993" i="7"/>
  <c r="R1993" i="7"/>
  <c r="Q1993" i="7"/>
  <c r="P1993" i="7"/>
  <c r="O1993" i="7"/>
  <c r="S1992" i="7"/>
  <c r="R1992" i="7"/>
  <c r="Q1992" i="7"/>
  <c r="P1992" i="7"/>
  <c r="O1992" i="7"/>
  <c r="S1991" i="7"/>
  <c r="R1991" i="7"/>
  <c r="Q1991" i="7"/>
  <c r="P1991" i="7"/>
  <c r="O1991" i="7"/>
  <c r="S1990" i="7"/>
  <c r="R1990" i="7"/>
  <c r="Q1990" i="7"/>
  <c r="P1990" i="7"/>
  <c r="O1990" i="7"/>
  <c r="S1989" i="7"/>
  <c r="R1989" i="7"/>
  <c r="Q1989" i="7"/>
  <c r="P1989" i="7"/>
  <c r="O1989" i="7"/>
  <c r="S1988" i="7"/>
  <c r="R1988" i="7"/>
  <c r="Q1988" i="7"/>
  <c r="P1988" i="7"/>
  <c r="O1988" i="7"/>
  <c r="S1987" i="7"/>
  <c r="R1987" i="7"/>
  <c r="Q1987" i="7"/>
  <c r="P1987" i="7"/>
  <c r="O1987" i="7"/>
  <c r="S1986" i="7"/>
  <c r="R1986" i="7"/>
  <c r="Q1986" i="7"/>
  <c r="P1986" i="7"/>
  <c r="O1986" i="7"/>
  <c r="S1985" i="7"/>
  <c r="R1985" i="7"/>
  <c r="Q1985" i="7"/>
  <c r="P1985" i="7"/>
  <c r="O1985" i="7"/>
  <c r="S1984" i="7"/>
  <c r="R1984" i="7"/>
  <c r="Q1984" i="7"/>
  <c r="P1984" i="7"/>
  <c r="O1984" i="7"/>
  <c r="S1983" i="7"/>
  <c r="R1983" i="7"/>
  <c r="Q1983" i="7"/>
  <c r="P1983" i="7"/>
  <c r="O1983" i="7"/>
  <c r="S1982" i="7"/>
  <c r="R1982" i="7"/>
  <c r="Q1982" i="7"/>
  <c r="P1982" i="7"/>
  <c r="O1982" i="7"/>
  <c r="S1981" i="7"/>
  <c r="R1981" i="7"/>
  <c r="Q1981" i="7"/>
  <c r="P1981" i="7"/>
  <c r="O1981" i="7"/>
  <c r="S1980" i="7"/>
  <c r="R1980" i="7"/>
  <c r="Q1980" i="7"/>
  <c r="P1980" i="7"/>
  <c r="O1980" i="7"/>
  <c r="S1979" i="7"/>
  <c r="R1979" i="7"/>
  <c r="Q1979" i="7"/>
  <c r="P1979" i="7"/>
  <c r="O1979" i="7"/>
  <c r="S1978" i="7"/>
  <c r="R1978" i="7"/>
  <c r="Q1978" i="7"/>
  <c r="P1978" i="7"/>
  <c r="O1978" i="7"/>
  <c r="S1977" i="7"/>
  <c r="R1977" i="7"/>
  <c r="Q1977" i="7"/>
  <c r="P1977" i="7"/>
  <c r="O1977" i="7"/>
  <c r="S1976" i="7"/>
  <c r="R1976" i="7"/>
  <c r="Q1976" i="7"/>
  <c r="P1976" i="7"/>
  <c r="O1976" i="7"/>
  <c r="S1975" i="7"/>
  <c r="R1975" i="7"/>
  <c r="Q1975" i="7"/>
  <c r="P1975" i="7"/>
  <c r="O1975" i="7"/>
  <c r="S1974" i="7"/>
  <c r="R1974" i="7"/>
  <c r="Q1974" i="7"/>
  <c r="P1974" i="7"/>
  <c r="O1974" i="7"/>
  <c r="S1973" i="7"/>
  <c r="R1973" i="7"/>
  <c r="Q1973" i="7"/>
  <c r="P1973" i="7"/>
  <c r="O1973" i="7"/>
  <c r="S1972" i="7"/>
  <c r="R1972" i="7"/>
  <c r="Q1972" i="7"/>
  <c r="P1972" i="7"/>
  <c r="O1972" i="7"/>
  <c r="S1971" i="7"/>
  <c r="R1971" i="7"/>
  <c r="Q1971" i="7"/>
  <c r="P1971" i="7"/>
  <c r="O1971" i="7"/>
  <c r="S1970" i="7"/>
  <c r="R1970" i="7"/>
  <c r="Q1970" i="7"/>
  <c r="P1970" i="7"/>
  <c r="O1970" i="7"/>
  <c r="S1969" i="7"/>
  <c r="R1969" i="7"/>
  <c r="Q1969" i="7"/>
  <c r="P1969" i="7"/>
  <c r="O1969" i="7"/>
  <c r="S1968" i="7"/>
  <c r="R1968" i="7"/>
  <c r="Q1968" i="7"/>
  <c r="P1968" i="7"/>
  <c r="O1968" i="7"/>
  <c r="S1967" i="7"/>
  <c r="R1967" i="7"/>
  <c r="Q1967" i="7"/>
  <c r="P1967" i="7"/>
  <c r="O1967" i="7"/>
  <c r="S1966" i="7"/>
  <c r="R1966" i="7"/>
  <c r="Q1966" i="7"/>
  <c r="P1966" i="7"/>
  <c r="O1966" i="7"/>
  <c r="S1965" i="7"/>
  <c r="R1965" i="7"/>
  <c r="Q1965" i="7"/>
  <c r="P1965" i="7"/>
  <c r="O1965" i="7"/>
  <c r="S1964" i="7"/>
  <c r="R1964" i="7"/>
  <c r="Q1964" i="7"/>
  <c r="P1964" i="7"/>
  <c r="O1964" i="7"/>
  <c r="S1963" i="7"/>
  <c r="R1963" i="7"/>
  <c r="Q1963" i="7"/>
  <c r="P1963" i="7"/>
  <c r="O1963" i="7"/>
  <c r="S1962" i="7"/>
  <c r="R1962" i="7"/>
  <c r="Q1962" i="7"/>
  <c r="P1962" i="7"/>
  <c r="O1962" i="7"/>
  <c r="S1961" i="7"/>
  <c r="R1961" i="7"/>
  <c r="Q1961" i="7"/>
  <c r="P1961" i="7"/>
  <c r="O1961" i="7"/>
  <c r="S1960" i="7"/>
  <c r="R1960" i="7"/>
  <c r="Q1960" i="7"/>
  <c r="P1960" i="7"/>
  <c r="O1960" i="7"/>
  <c r="S1959" i="7"/>
  <c r="R1959" i="7"/>
  <c r="Q1959" i="7"/>
  <c r="P1959" i="7"/>
  <c r="O1959" i="7"/>
  <c r="S1958" i="7"/>
  <c r="R1958" i="7"/>
  <c r="Q1958" i="7"/>
  <c r="P1958" i="7"/>
  <c r="O1958" i="7"/>
  <c r="S1957" i="7"/>
  <c r="R1957" i="7"/>
  <c r="Q1957" i="7"/>
  <c r="P1957" i="7"/>
  <c r="O1957" i="7"/>
  <c r="S1956" i="7"/>
  <c r="R1956" i="7"/>
  <c r="Q1956" i="7"/>
  <c r="P1956" i="7"/>
  <c r="O1956" i="7"/>
  <c r="S1955" i="7"/>
  <c r="R1955" i="7"/>
  <c r="Q1955" i="7"/>
  <c r="P1955" i="7"/>
  <c r="O1955" i="7"/>
  <c r="S1954" i="7"/>
  <c r="R1954" i="7"/>
  <c r="Q1954" i="7"/>
  <c r="P1954" i="7"/>
  <c r="O1954" i="7"/>
  <c r="S1953" i="7"/>
  <c r="R1953" i="7"/>
  <c r="Q1953" i="7"/>
  <c r="P1953" i="7"/>
  <c r="O1953" i="7"/>
  <c r="S1952" i="7"/>
  <c r="R1952" i="7"/>
  <c r="Q1952" i="7"/>
  <c r="P1952" i="7"/>
  <c r="O1952" i="7"/>
  <c r="S1951" i="7"/>
  <c r="R1951" i="7"/>
  <c r="Q1951" i="7"/>
  <c r="P1951" i="7"/>
  <c r="O1951" i="7"/>
  <c r="S1950" i="7"/>
  <c r="R1950" i="7"/>
  <c r="Q1950" i="7"/>
  <c r="P1950" i="7"/>
  <c r="O1950" i="7"/>
  <c r="S1949" i="7"/>
  <c r="R1949" i="7"/>
  <c r="Q1949" i="7"/>
  <c r="P1949" i="7"/>
  <c r="O1949" i="7"/>
  <c r="S1948" i="7"/>
  <c r="R1948" i="7"/>
  <c r="Q1948" i="7"/>
  <c r="P1948" i="7"/>
  <c r="O1948" i="7"/>
  <c r="S1947" i="7"/>
  <c r="R1947" i="7"/>
  <c r="Q1947" i="7"/>
  <c r="P1947" i="7"/>
  <c r="O1947" i="7"/>
  <c r="S1946" i="7"/>
  <c r="R1946" i="7"/>
  <c r="Q1946" i="7"/>
  <c r="P1946" i="7"/>
  <c r="O1946" i="7"/>
  <c r="S1945" i="7"/>
  <c r="R1945" i="7"/>
  <c r="Q1945" i="7"/>
  <c r="P1945" i="7"/>
  <c r="O1945" i="7"/>
  <c r="S1944" i="7"/>
  <c r="R1944" i="7"/>
  <c r="Q1944" i="7"/>
  <c r="P1944" i="7"/>
  <c r="O1944" i="7"/>
  <c r="S1943" i="7"/>
  <c r="R1943" i="7"/>
  <c r="Q1943" i="7"/>
  <c r="P1943" i="7"/>
  <c r="O1943" i="7"/>
  <c r="S1942" i="7"/>
  <c r="R1942" i="7"/>
  <c r="Q1942" i="7"/>
  <c r="P1942" i="7"/>
  <c r="O1942" i="7"/>
  <c r="S1941" i="7"/>
  <c r="R1941" i="7"/>
  <c r="Q1941" i="7"/>
  <c r="P1941" i="7"/>
  <c r="O1941" i="7"/>
  <c r="S1940" i="7"/>
  <c r="R1940" i="7"/>
  <c r="Q1940" i="7"/>
  <c r="P1940" i="7"/>
  <c r="O1940" i="7"/>
  <c r="S1939" i="7"/>
  <c r="R1939" i="7"/>
  <c r="Q1939" i="7"/>
  <c r="P1939" i="7"/>
  <c r="O1939" i="7"/>
  <c r="S1938" i="7"/>
  <c r="R1938" i="7"/>
  <c r="Q1938" i="7"/>
  <c r="P1938" i="7"/>
  <c r="O1938" i="7"/>
  <c r="S1937" i="7"/>
  <c r="R1937" i="7"/>
  <c r="Q1937" i="7"/>
  <c r="P1937" i="7"/>
  <c r="O1937" i="7"/>
  <c r="S1936" i="7"/>
  <c r="R1936" i="7"/>
  <c r="Q1936" i="7"/>
  <c r="P1936" i="7"/>
  <c r="O1936" i="7"/>
  <c r="S1935" i="7"/>
  <c r="R1935" i="7"/>
  <c r="Q1935" i="7"/>
  <c r="P1935" i="7"/>
  <c r="O1935" i="7"/>
  <c r="S1934" i="7"/>
  <c r="R1934" i="7"/>
  <c r="Q1934" i="7"/>
  <c r="P1934" i="7"/>
  <c r="O1934" i="7"/>
  <c r="S1933" i="7"/>
  <c r="R1933" i="7"/>
  <c r="Q1933" i="7"/>
  <c r="P1933" i="7"/>
  <c r="O1933" i="7"/>
  <c r="S1932" i="7"/>
  <c r="R1932" i="7"/>
  <c r="Q1932" i="7"/>
  <c r="P1932" i="7"/>
  <c r="O1932" i="7"/>
  <c r="S1931" i="7"/>
  <c r="R1931" i="7"/>
  <c r="Q1931" i="7"/>
  <c r="P1931" i="7"/>
  <c r="O1931" i="7"/>
  <c r="S1930" i="7"/>
  <c r="R1930" i="7"/>
  <c r="Q1930" i="7"/>
  <c r="P1930" i="7"/>
  <c r="O1930" i="7"/>
  <c r="S1929" i="7"/>
  <c r="R1929" i="7"/>
  <c r="Q1929" i="7"/>
  <c r="P1929" i="7"/>
  <c r="O1929" i="7"/>
  <c r="S1928" i="7"/>
  <c r="R1928" i="7"/>
  <c r="Q1928" i="7"/>
  <c r="P1928" i="7"/>
  <c r="O1928" i="7"/>
  <c r="S1927" i="7"/>
  <c r="R1927" i="7"/>
  <c r="Q1927" i="7"/>
  <c r="P1927" i="7"/>
  <c r="O1927" i="7"/>
  <c r="S1926" i="7"/>
  <c r="R1926" i="7"/>
  <c r="Q1926" i="7"/>
  <c r="P1926" i="7"/>
  <c r="O1926" i="7"/>
  <c r="S1925" i="7"/>
  <c r="R1925" i="7"/>
  <c r="Q1925" i="7"/>
  <c r="P1925" i="7"/>
  <c r="O1925" i="7"/>
  <c r="S1924" i="7"/>
  <c r="R1924" i="7"/>
  <c r="Q1924" i="7"/>
  <c r="P1924" i="7"/>
  <c r="O1924" i="7"/>
  <c r="S1923" i="7"/>
  <c r="R1923" i="7"/>
  <c r="Q1923" i="7"/>
  <c r="P1923" i="7"/>
  <c r="O1923" i="7"/>
  <c r="S1922" i="7"/>
  <c r="R1922" i="7"/>
  <c r="Q1922" i="7"/>
  <c r="P1922" i="7"/>
  <c r="O1922" i="7"/>
  <c r="S1921" i="7"/>
  <c r="R1921" i="7"/>
  <c r="Q1921" i="7"/>
  <c r="P1921" i="7"/>
  <c r="O1921" i="7"/>
  <c r="S1920" i="7"/>
  <c r="R1920" i="7"/>
  <c r="Q1920" i="7"/>
  <c r="P1920" i="7"/>
  <c r="O1920" i="7"/>
  <c r="S1919" i="7"/>
  <c r="R1919" i="7"/>
  <c r="Q1919" i="7"/>
  <c r="P1919" i="7"/>
  <c r="O1919" i="7"/>
  <c r="S1918" i="7"/>
  <c r="R1918" i="7"/>
  <c r="Q1918" i="7"/>
  <c r="P1918" i="7"/>
  <c r="O1918" i="7"/>
  <c r="S1917" i="7"/>
  <c r="R1917" i="7"/>
  <c r="Q1917" i="7"/>
  <c r="P1917" i="7"/>
  <c r="O1917" i="7"/>
  <c r="S1916" i="7"/>
  <c r="R1916" i="7"/>
  <c r="Q1916" i="7"/>
  <c r="P1916" i="7"/>
  <c r="O1916" i="7"/>
  <c r="S1915" i="7"/>
  <c r="R1915" i="7"/>
  <c r="Q1915" i="7"/>
  <c r="P1915" i="7"/>
  <c r="O1915" i="7"/>
  <c r="S1914" i="7"/>
  <c r="R1914" i="7"/>
  <c r="Q1914" i="7"/>
  <c r="P1914" i="7"/>
  <c r="O1914" i="7"/>
  <c r="S1913" i="7"/>
  <c r="R1913" i="7"/>
  <c r="Q1913" i="7"/>
  <c r="P1913" i="7"/>
  <c r="O1913" i="7"/>
  <c r="S1912" i="7"/>
  <c r="R1912" i="7"/>
  <c r="Q1912" i="7"/>
  <c r="P1912" i="7"/>
  <c r="O1912" i="7"/>
  <c r="S1911" i="7"/>
  <c r="R1911" i="7"/>
  <c r="Q1911" i="7"/>
  <c r="P1911" i="7"/>
  <c r="O1911" i="7"/>
  <c r="S1910" i="7"/>
  <c r="R1910" i="7"/>
  <c r="Q1910" i="7"/>
  <c r="P1910" i="7"/>
  <c r="O1910" i="7"/>
  <c r="S1909" i="7"/>
  <c r="R1909" i="7"/>
  <c r="Q1909" i="7"/>
  <c r="P1909" i="7"/>
  <c r="O1909" i="7"/>
  <c r="S1908" i="7"/>
  <c r="R1908" i="7"/>
  <c r="Q1908" i="7"/>
  <c r="P1908" i="7"/>
  <c r="O1908" i="7"/>
  <c r="S1907" i="7"/>
  <c r="R1907" i="7"/>
  <c r="Q1907" i="7"/>
  <c r="P1907" i="7"/>
  <c r="O1907" i="7"/>
  <c r="S1906" i="7"/>
  <c r="R1906" i="7"/>
  <c r="Q1906" i="7"/>
  <c r="P1906" i="7"/>
  <c r="O1906" i="7"/>
  <c r="S1905" i="7"/>
  <c r="R1905" i="7"/>
  <c r="Q1905" i="7"/>
  <c r="P1905" i="7"/>
  <c r="O1905" i="7"/>
  <c r="S1904" i="7"/>
  <c r="R1904" i="7"/>
  <c r="Q1904" i="7"/>
  <c r="P1904" i="7"/>
  <c r="O1904" i="7"/>
  <c r="S1903" i="7"/>
  <c r="R1903" i="7"/>
  <c r="Q1903" i="7"/>
  <c r="P1903" i="7"/>
  <c r="O1903" i="7"/>
  <c r="S1902" i="7"/>
  <c r="R1902" i="7"/>
  <c r="Q1902" i="7"/>
  <c r="P1902" i="7"/>
  <c r="O1902" i="7"/>
  <c r="S1901" i="7"/>
  <c r="R1901" i="7"/>
  <c r="Q1901" i="7"/>
  <c r="P1901" i="7"/>
  <c r="O1901" i="7"/>
  <c r="S1900" i="7"/>
  <c r="R1900" i="7"/>
  <c r="Q1900" i="7"/>
  <c r="P1900" i="7"/>
  <c r="O1900" i="7"/>
  <c r="S1899" i="7"/>
  <c r="R1899" i="7"/>
  <c r="Q1899" i="7"/>
  <c r="P1899" i="7"/>
  <c r="O1899" i="7"/>
  <c r="S1898" i="7"/>
  <c r="R1898" i="7"/>
  <c r="Q1898" i="7"/>
  <c r="P1898" i="7"/>
  <c r="O1898" i="7"/>
  <c r="S1897" i="7"/>
  <c r="R1897" i="7"/>
  <c r="Q1897" i="7"/>
  <c r="P1897" i="7"/>
  <c r="O1897" i="7"/>
  <c r="S1896" i="7"/>
  <c r="R1896" i="7"/>
  <c r="Q1896" i="7"/>
  <c r="P1896" i="7"/>
  <c r="O1896" i="7"/>
  <c r="S1895" i="7"/>
  <c r="R1895" i="7"/>
  <c r="Q1895" i="7"/>
  <c r="P1895" i="7"/>
  <c r="O1895" i="7"/>
  <c r="S1894" i="7"/>
  <c r="R1894" i="7"/>
  <c r="Q1894" i="7"/>
  <c r="P1894" i="7"/>
  <c r="O1894" i="7"/>
  <c r="S1893" i="7"/>
  <c r="R1893" i="7"/>
  <c r="Q1893" i="7"/>
  <c r="P1893" i="7"/>
  <c r="O1893" i="7"/>
  <c r="S1892" i="7"/>
  <c r="R1892" i="7"/>
  <c r="Q1892" i="7"/>
  <c r="P1892" i="7"/>
  <c r="O1892" i="7"/>
  <c r="S1891" i="7"/>
  <c r="R1891" i="7"/>
  <c r="Q1891" i="7"/>
  <c r="P1891" i="7"/>
  <c r="O1891" i="7"/>
  <c r="S1890" i="7"/>
  <c r="R1890" i="7"/>
  <c r="Q1890" i="7"/>
  <c r="P1890" i="7"/>
  <c r="O1890" i="7"/>
  <c r="S1889" i="7"/>
  <c r="R1889" i="7"/>
  <c r="Q1889" i="7"/>
  <c r="P1889" i="7"/>
  <c r="O1889" i="7"/>
  <c r="S1888" i="7"/>
  <c r="R1888" i="7"/>
  <c r="Q1888" i="7"/>
  <c r="P1888" i="7"/>
  <c r="O1888" i="7"/>
  <c r="S1887" i="7"/>
  <c r="R1887" i="7"/>
  <c r="Q1887" i="7"/>
  <c r="P1887" i="7"/>
  <c r="O1887" i="7"/>
  <c r="S1886" i="7"/>
  <c r="R1886" i="7"/>
  <c r="Q1886" i="7"/>
  <c r="P1886" i="7"/>
  <c r="O1886" i="7"/>
  <c r="S1885" i="7"/>
  <c r="R1885" i="7"/>
  <c r="Q1885" i="7"/>
  <c r="P1885" i="7"/>
  <c r="O1885" i="7"/>
  <c r="S1884" i="7"/>
  <c r="R1884" i="7"/>
  <c r="Q1884" i="7"/>
  <c r="P1884" i="7"/>
  <c r="O1884" i="7"/>
  <c r="S1883" i="7"/>
  <c r="R1883" i="7"/>
  <c r="Q1883" i="7"/>
  <c r="P1883" i="7"/>
  <c r="O1883" i="7"/>
  <c r="S1882" i="7"/>
  <c r="R1882" i="7"/>
  <c r="Q1882" i="7"/>
  <c r="P1882" i="7"/>
  <c r="O1882" i="7"/>
  <c r="S1881" i="7"/>
  <c r="R1881" i="7"/>
  <c r="Q1881" i="7"/>
  <c r="P1881" i="7"/>
  <c r="O1881" i="7"/>
  <c r="S1880" i="7"/>
  <c r="R1880" i="7"/>
  <c r="Q1880" i="7"/>
  <c r="P1880" i="7"/>
  <c r="O1880" i="7"/>
  <c r="S1879" i="7"/>
  <c r="R1879" i="7"/>
  <c r="Q1879" i="7"/>
  <c r="P1879" i="7"/>
  <c r="O1879" i="7"/>
  <c r="S1878" i="7"/>
  <c r="R1878" i="7"/>
  <c r="Q1878" i="7"/>
  <c r="P1878" i="7"/>
  <c r="O1878" i="7"/>
  <c r="S1877" i="7"/>
  <c r="R1877" i="7"/>
  <c r="Q1877" i="7"/>
  <c r="P1877" i="7"/>
  <c r="O1877" i="7"/>
  <c r="S1876" i="7"/>
  <c r="R1876" i="7"/>
  <c r="Q1876" i="7"/>
  <c r="P1876" i="7"/>
  <c r="O1876" i="7"/>
  <c r="S1875" i="7"/>
  <c r="R1875" i="7"/>
  <c r="Q1875" i="7"/>
  <c r="P1875" i="7"/>
  <c r="O1875" i="7"/>
  <c r="S1874" i="7"/>
  <c r="R1874" i="7"/>
  <c r="Q1874" i="7"/>
  <c r="P1874" i="7"/>
  <c r="O1874" i="7"/>
  <c r="S1873" i="7"/>
  <c r="R1873" i="7"/>
  <c r="Q1873" i="7"/>
  <c r="P1873" i="7"/>
  <c r="O1873" i="7"/>
  <c r="S1872" i="7"/>
  <c r="R1872" i="7"/>
  <c r="Q1872" i="7"/>
  <c r="P1872" i="7"/>
  <c r="O1872" i="7"/>
  <c r="S1871" i="7"/>
  <c r="R1871" i="7"/>
  <c r="Q1871" i="7"/>
  <c r="P1871" i="7"/>
  <c r="O1871" i="7"/>
  <c r="S1870" i="7"/>
  <c r="R1870" i="7"/>
  <c r="Q1870" i="7"/>
  <c r="P1870" i="7"/>
  <c r="O1870" i="7"/>
  <c r="S1869" i="7"/>
  <c r="R1869" i="7"/>
  <c r="Q1869" i="7"/>
  <c r="P1869" i="7"/>
  <c r="O1869" i="7"/>
  <c r="S1868" i="7"/>
  <c r="R1868" i="7"/>
  <c r="Q1868" i="7"/>
  <c r="P1868" i="7"/>
  <c r="O1868" i="7"/>
  <c r="S1867" i="7"/>
  <c r="R1867" i="7"/>
  <c r="Q1867" i="7"/>
  <c r="P1867" i="7"/>
  <c r="O1867" i="7"/>
  <c r="S1866" i="7"/>
  <c r="R1866" i="7"/>
  <c r="Q1866" i="7"/>
  <c r="P1866" i="7"/>
  <c r="O1866" i="7"/>
  <c r="S1865" i="7"/>
  <c r="R1865" i="7"/>
  <c r="Q1865" i="7"/>
  <c r="P1865" i="7"/>
  <c r="O1865" i="7"/>
  <c r="S1864" i="7"/>
  <c r="R1864" i="7"/>
  <c r="Q1864" i="7"/>
  <c r="P1864" i="7"/>
  <c r="O1864" i="7"/>
  <c r="S1863" i="7"/>
  <c r="R1863" i="7"/>
  <c r="Q1863" i="7"/>
  <c r="P1863" i="7"/>
  <c r="O1863" i="7"/>
  <c r="S1862" i="7"/>
  <c r="R1862" i="7"/>
  <c r="Q1862" i="7"/>
  <c r="P1862" i="7"/>
  <c r="O1862" i="7"/>
  <c r="S1861" i="7"/>
  <c r="R1861" i="7"/>
  <c r="Q1861" i="7"/>
  <c r="P1861" i="7"/>
  <c r="O1861" i="7"/>
  <c r="S1860" i="7"/>
  <c r="R1860" i="7"/>
  <c r="Q1860" i="7"/>
  <c r="P1860" i="7"/>
  <c r="O1860" i="7"/>
  <c r="S1859" i="7"/>
  <c r="R1859" i="7"/>
  <c r="Q1859" i="7"/>
  <c r="P1859" i="7"/>
  <c r="O1859" i="7"/>
  <c r="S1858" i="7"/>
  <c r="R1858" i="7"/>
  <c r="Q1858" i="7"/>
  <c r="P1858" i="7"/>
  <c r="O1858" i="7"/>
  <c r="S1857" i="7"/>
  <c r="R1857" i="7"/>
  <c r="Q1857" i="7"/>
  <c r="P1857" i="7"/>
  <c r="O1857" i="7"/>
  <c r="S1856" i="7"/>
  <c r="R1856" i="7"/>
  <c r="Q1856" i="7"/>
  <c r="P1856" i="7"/>
  <c r="O1856" i="7"/>
  <c r="S1855" i="7"/>
  <c r="R1855" i="7"/>
  <c r="Q1855" i="7"/>
  <c r="P1855" i="7"/>
  <c r="O1855" i="7"/>
  <c r="S1854" i="7"/>
  <c r="R1854" i="7"/>
  <c r="Q1854" i="7"/>
  <c r="P1854" i="7"/>
  <c r="O1854" i="7"/>
  <c r="S1853" i="7"/>
  <c r="R1853" i="7"/>
  <c r="Q1853" i="7"/>
  <c r="P1853" i="7"/>
  <c r="O1853" i="7"/>
  <c r="S1852" i="7"/>
  <c r="R1852" i="7"/>
  <c r="Q1852" i="7"/>
  <c r="P1852" i="7"/>
  <c r="O1852" i="7"/>
  <c r="S1851" i="7"/>
  <c r="R1851" i="7"/>
  <c r="Q1851" i="7"/>
  <c r="P1851" i="7"/>
  <c r="O1851" i="7"/>
  <c r="S1850" i="7"/>
  <c r="R1850" i="7"/>
  <c r="Q1850" i="7"/>
  <c r="P1850" i="7"/>
  <c r="O1850" i="7"/>
  <c r="S1849" i="7"/>
  <c r="R1849" i="7"/>
  <c r="Q1849" i="7"/>
  <c r="P1849" i="7"/>
  <c r="O1849" i="7"/>
  <c r="S1848" i="7"/>
  <c r="R1848" i="7"/>
  <c r="Q1848" i="7"/>
  <c r="P1848" i="7"/>
  <c r="O1848" i="7"/>
  <c r="S1847" i="7"/>
  <c r="R1847" i="7"/>
  <c r="Q1847" i="7"/>
  <c r="P1847" i="7"/>
  <c r="O1847" i="7"/>
  <c r="S1846" i="7"/>
  <c r="R1846" i="7"/>
  <c r="Q1846" i="7"/>
  <c r="P1846" i="7"/>
  <c r="O1846" i="7"/>
  <c r="S1845" i="7"/>
  <c r="R1845" i="7"/>
  <c r="Q1845" i="7"/>
  <c r="P1845" i="7"/>
  <c r="O1845" i="7"/>
  <c r="S1844" i="7"/>
  <c r="R1844" i="7"/>
  <c r="Q1844" i="7"/>
  <c r="P1844" i="7"/>
  <c r="O1844" i="7"/>
  <c r="S1843" i="7"/>
  <c r="R1843" i="7"/>
  <c r="Q1843" i="7"/>
  <c r="P1843" i="7"/>
  <c r="O1843" i="7"/>
  <c r="S1842" i="7"/>
  <c r="R1842" i="7"/>
  <c r="Q1842" i="7"/>
  <c r="P1842" i="7"/>
  <c r="O1842" i="7"/>
  <c r="S1841" i="7"/>
  <c r="R1841" i="7"/>
  <c r="Q1841" i="7"/>
  <c r="P1841" i="7"/>
  <c r="O1841" i="7"/>
  <c r="S1840" i="7"/>
  <c r="R1840" i="7"/>
  <c r="Q1840" i="7"/>
  <c r="P1840" i="7"/>
  <c r="O1840" i="7"/>
  <c r="S1839" i="7"/>
  <c r="R1839" i="7"/>
  <c r="Q1839" i="7"/>
  <c r="P1839" i="7"/>
  <c r="O1839" i="7"/>
  <c r="S1838" i="7"/>
  <c r="R1838" i="7"/>
  <c r="Q1838" i="7"/>
  <c r="P1838" i="7"/>
  <c r="O1838" i="7"/>
  <c r="S1837" i="7"/>
  <c r="R1837" i="7"/>
  <c r="Q1837" i="7"/>
  <c r="P1837" i="7"/>
  <c r="O1837" i="7"/>
  <c r="S1836" i="7"/>
  <c r="R1836" i="7"/>
  <c r="Q1836" i="7"/>
  <c r="P1836" i="7"/>
  <c r="O1836" i="7"/>
  <c r="S1835" i="7"/>
  <c r="R1835" i="7"/>
  <c r="Q1835" i="7"/>
  <c r="P1835" i="7"/>
  <c r="O1835" i="7"/>
  <c r="S1834" i="7"/>
  <c r="R1834" i="7"/>
  <c r="Q1834" i="7"/>
  <c r="P1834" i="7"/>
  <c r="O1834" i="7"/>
  <c r="S1833" i="7"/>
  <c r="R1833" i="7"/>
  <c r="Q1833" i="7"/>
  <c r="P1833" i="7"/>
  <c r="O1833" i="7"/>
  <c r="S1832" i="7"/>
  <c r="R1832" i="7"/>
  <c r="Q1832" i="7"/>
  <c r="P1832" i="7"/>
  <c r="O1832" i="7"/>
  <c r="S1831" i="7"/>
  <c r="R1831" i="7"/>
  <c r="Q1831" i="7"/>
  <c r="P1831" i="7"/>
  <c r="O1831" i="7"/>
  <c r="S1830" i="7"/>
  <c r="R1830" i="7"/>
  <c r="Q1830" i="7"/>
  <c r="P1830" i="7"/>
  <c r="O1830" i="7"/>
  <c r="S1829" i="7"/>
  <c r="R1829" i="7"/>
  <c r="Q1829" i="7"/>
  <c r="P1829" i="7"/>
  <c r="O1829" i="7"/>
  <c r="S1828" i="7"/>
  <c r="R1828" i="7"/>
  <c r="Q1828" i="7"/>
  <c r="P1828" i="7"/>
  <c r="O1828" i="7"/>
  <c r="S1827" i="7"/>
  <c r="R1827" i="7"/>
  <c r="Q1827" i="7"/>
  <c r="P1827" i="7"/>
  <c r="O1827" i="7"/>
  <c r="S1826" i="7"/>
  <c r="R1826" i="7"/>
  <c r="Q1826" i="7"/>
  <c r="P1826" i="7"/>
  <c r="O1826" i="7"/>
  <c r="S1825" i="7"/>
  <c r="R1825" i="7"/>
  <c r="Q1825" i="7"/>
  <c r="P1825" i="7"/>
  <c r="O1825" i="7"/>
  <c r="S1824" i="7"/>
  <c r="R1824" i="7"/>
  <c r="Q1824" i="7"/>
  <c r="P1824" i="7"/>
  <c r="O1824" i="7"/>
  <c r="S1823" i="7"/>
  <c r="R1823" i="7"/>
  <c r="Q1823" i="7"/>
  <c r="P1823" i="7"/>
  <c r="O1823" i="7"/>
  <c r="S1822" i="7"/>
  <c r="R1822" i="7"/>
  <c r="Q1822" i="7"/>
  <c r="P1822" i="7"/>
  <c r="O1822" i="7"/>
  <c r="S1821" i="7"/>
  <c r="R1821" i="7"/>
  <c r="Q1821" i="7"/>
  <c r="P1821" i="7"/>
  <c r="O1821" i="7"/>
  <c r="S1820" i="7"/>
  <c r="R1820" i="7"/>
  <c r="Q1820" i="7"/>
  <c r="P1820" i="7"/>
  <c r="O1820" i="7"/>
  <c r="S1819" i="7"/>
  <c r="R1819" i="7"/>
  <c r="Q1819" i="7"/>
  <c r="P1819" i="7"/>
  <c r="O1819" i="7"/>
  <c r="S1818" i="7"/>
  <c r="R1818" i="7"/>
  <c r="Q1818" i="7"/>
  <c r="P1818" i="7"/>
  <c r="O1818" i="7"/>
  <c r="S1817" i="7"/>
  <c r="R1817" i="7"/>
  <c r="Q1817" i="7"/>
  <c r="P1817" i="7"/>
  <c r="O1817" i="7"/>
  <c r="S1816" i="7"/>
  <c r="R1816" i="7"/>
  <c r="Q1816" i="7"/>
  <c r="P1816" i="7"/>
  <c r="O1816" i="7"/>
  <c r="S1815" i="7"/>
  <c r="R1815" i="7"/>
  <c r="Q1815" i="7"/>
  <c r="P1815" i="7"/>
  <c r="O1815" i="7"/>
  <c r="S1814" i="7"/>
  <c r="R1814" i="7"/>
  <c r="Q1814" i="7"/>
  <c r="P1814" i="7"/>
  <c r="O1814" i="7"/>
  <c r="S1813" i="7"/>
  <c r="R1813" i="7"/>
  <c r="Q1813" i="7"/>
  <c r="P1813" i="7"/>
  <c r="O1813" i="7"/>
  <c r="S1812" i="7"/>
  <c r="R1812" i="7"/>
  <c r="Q1812" i="7"/>
  <c r="P1812" i="7"/>
  <c r="O1812" i="7"/>
  <c r="S1811" i="7"/>
  <c r="R1811" i="7"/>
  <c r="Q1811" i="7"/>
  <c r="P1811" i="7"/>
  <c r="O1811" i="7"/>
  <c r="S1810" i="7"/>
  <c r="R1810" i="7"/>
  <c r="Q1810" i="7"/>
  <c r="P1810" i="7"/>
  <c r="O1810" i="7"/>
  <c r="S1809" i="7"/>
  <c r="R1809" i="7"/>
  <c r="Q1809" i="7"/>
  <c r="P1809" i="7"/>
  <c r="O1809" i="7"/>
  <c r="S1808" i="7"/>
  <c r="R1808" i="7"/>
  <c r="Q1808" i="7"/>
  <c r="P1808" i="7"/>
  <c r="O1808" i="7"/>
  <c r="S1807" i="7"/>
  <c r="R1807" i="7"/>
  <c r="Q1807" i="7"/>
  <c r="P1807" i="7"/>
  <c r="O1807" i="7"/>
  <c r="S1806" i="7"/>
  <c r="R1806" i="7"/>
  <c r="Q1806" i="7"/>
  <c r="P1806" i="7"/>
  <c r="O1806" i="7"/>
  <c r="S1805" i="7"/>
  <c r="R1805" i="7"/>
  <c r="Q1805" i="7"/>
  <c r="P1805" i="7"/>
  <c r="O1805" i="7"/>
  <c r="S1804" i="7"/>
  <c r="R1804" i="7"/>
  <c r="Q1804" i="7"/>
  <c r="P1804" i="7"/>
  <c r="O1804" i="7"/>
  <c r="S1803" i="7"/>
  <c r="R1803" i="7"/>
  <c r="Q1803" i="7"/>
  <c r="P1803" i="7"/>
  <c r="O1803" i="7"/>
  <c r="S1802" i="7"/>
  <c r="R1802" i="7"/>
  <c r="Q1802" i="7"/>
  <c r="P1802" i="7"/>
  <c r="O1802" i="7"/>
  <c r="S1801" i="7"/>
  <c r="R1801" i="7"/>
  <c r="Q1801" i="7"/>
  <c r="P1801" i="7"/>
  <c r="O1801" i="7"/>
  <c r="S1800" i="7"/>
  <c r="R1800" i="7"/>
  <c r="Q1800" i="7"/>
  <c r="P1800" i="7"/>
  <c r="O1800" i="7"/>
  <c r="S1799" i="7"/>
  <c r="R1799" i="7"/>
  <c r="Q1799" i="7"/>
  <c r="P1799" i="7"/>
  <c r="O1799" i="7"/>
  <c r="S1798" i="7"/>
  <c r="R1798" i="7"/>
  <c r="Q1798" i="7"/>
  <c r="P1798" i="7"/>
  <c r="O1798" i="7"/>
  <c r="S1797" i="7"/>
  <c r="R1797" i="7"/>
  <c r="Q1797" i="7"/>
  <c r="P1797" i="7"/>
  <c r="O1797" i="7"/>
  <c r="S1796" i="7"/>
  <c r="R1796" i="7"/>
  <c r="Q1796" i="7"/>
  <c r="P1796" i="7"/>
  <c r="O1796" i="7"/>
  <c r="S1795" i="7"/>
  <c r="R1795" i="7"/>
  <c r="Q1795" i="7"/>
  <c r="P1795" i="7"/>
  <c r="O1795" i="7"/>
  <c r="S1794" i="7"/>
  <c r="R1794" i="7"/>
  <c r="Q1794" i="7"/>
  <c r="P1794" i="7"/>
  <c r="O1794" i="7"/>
  <c r="S1793" i="7"/>
  <c r="R1793" i="7"/>
  <c r="Q1793" i="7"/>
  <c r="P1793" i="7"/>
  <c r="O1793" i="7"/>
  <c r="S1792" i="7"/>
  <c r="R1792" i="7"/>
  <c r="Q1792" i="7"/>
  <c r="P1792" i="7"/>
  <c r="O1792" i="7"/>
  <c r="S1791" i="7"/>
  <c r="R1791" i="7"/>
  <c r="Q1791" i="7"/>
  <c r="P1791" i="7"/>
  <c r="O1791" i="7"/>
  <c r="S1790" i="7"/>
  <c r="R1790" i="7"/>
  <c r="Q1790" i="7"/>
  <c r="P1790" i="7"/>
  <c r="O1790" i="7"/>
  <c r="S1789" i="7"/>
  <c r="R1789" i="7"/>
  <c r="Q1789" i="7"/>
  <c r="P1789" i="7"/>
  <c r="O1789" i="7"/>
  <c r="S1788" i="7"/>
  <c r="R1788" i="7"/>
  <c r="Q1788" i="7"/>
  <c r="P1788" i="7"/>
  <c r="O1788" i="7"/>
  <c r="S1787" i="7"/>
  <c r="R1787" i="7"/>
  <c r="Q1787" i="7"/>
  <c r="P1787" i="7"/>
  <c r="O1787" i="7"/>
  <c r="S1786" i="7"/>
  <c r="R1786" i="7"/>
  <c r="Q1786" i="7"/>
  <c r="P1786" i="7"/>
  <c r="O1786" i="7"/>
  <c r="S1785" i="7"/>
  <c r="R1785" i="7"/>
  <c r="Q1785" i="7"/>
  <c r="P1785" i="7"/>
  <c r="O1785" i="7"/>
  <c r="S1784" i="7"/>
  <c r="R1784" i="7"/>
  <c r="Q1784" i="7"/>
  <c r="P1784" i="7"/>
  <c r="O1784" i="7"/>
  <c r="S1783" i="7"/>
  <c r="R1783" i="7"/>
  <c r="Q1783" i="7"/>
  <c r="P1783" i="7"/>
  <c r="O1783" i="7"/>
  <c r="S1782" i="7"/>
  <c r="R1782" i="7"/>
  <c r="Q1782" i="7"/>
  <c r="P1782" i="7"/>
  <c r="O1782" i="7"/>
  <c r="S1781" i="7"/>
  <c r="R1781" i="7"/>
  <c r="Q1781" i="7"/>
  <c r="P1781" i="7"/>
  <c r="O1781" i="7"/>
  <c r="S1780" i="7"/>
  <c r="R1780" i="7"/>
  <c r="Q1780" i="7"/>
  <c r="P1780" i="7"/>
  <c r="O1780" i="7"/>
  <c r="S1779" i="7"/>
  <c r="R1779" i="7"/>
  <c r="Q1779" i="7"/>
  <c r="P1779" i="7"/>
  <c r="O1779" i="7"/>
  <c r="S1778" i="7"/>
  <c r="R1778" i="7"/>
  <c r="Q1778" i="7"/>
  <c r="P1778" i="7"/>
  <c r="O1778" i="7"/>
  <c r="S1777" i="7"/>
  <c r="R1777" i="7"/>
  <c r="Q1777" i="7"/>
  <c r="P1777" i="7"/>
  <c r="O1777" i="7"/>
  <c r="S1776" i="7"/>
  <c r="R1776" i="7"/>
  <c r="Q1776" i="7"/>
  <c r="P1776" i="7"/>
  <c r="O1776" i="7"/>
  <c r="S1775" i="7"/>
  <c r="R1775" i="7"/>
  <c r="Q1775" i="7"/>
  <c r="P1775" i="7"/>
  <c r="O1775" i="7"/>
  <c r="S1774" i="7"/>
  <c r="R1774" i="7"/>
  <c r="Q1774" i="7"/>
  <c r="P1774" i="7"/>
  <c r="O1774" i="7"/>
  <c r="S1773" i="7"/>
  <c r="R1773" i="7"/>
  <c r="Q1773" i="7"/>
  <c r="P1773" i="7"/>
  <c r="O1773" i="7"/>
  <c r="S1772" i="7"/>
  <c r="R1772" i="7"/>
  <c r="Q1772" i="7"/>
  <c r="P1772" i="7"/>
  <c r="O1772" i="7"/>
  <c r="S1771" i="7"/>
  <c r="R1771" i="7"/>
  <c r="Q1771" i="7"/>
  <c r="P1771" i="7"/>
  <c r="O1771" i="7"/>
  <c r="S1770" i="7"/>
  <c r="R1770" i="7"/>
  <c r="Q1770" i="7"/>
  <c r="P1770" i="7"/>
  <c r="O1770" i="7"/>
  <c r="S1769" i="7"/>
  <c r="R1769" i="7"/>
  <c r="Q1769" i="7"/>
  <c r="P1769" i="7"/>
  <c r="O1769" i="7"/>
  <c r="S1768" i="7"/>
  <c r="R1768" i="7"/>
  <c r="Q1768" i="7"/>
  <c r="P1768" i="7"/>
  <c r="O1768" i="7"/>
  <c r="S1767" i="7"/>
  <c r="R1767" i="7"/>
  <c r="Q1767" i="7"/>
  <c r="P1767" i="7"/>
  <c r="O1767" i="7"/>
  <c r="S1766" i="7"/>
  <c r="R1766" i="7"/>
  <c r="Q1766" i="7"/>
  <c r="P1766" i="7"/>
  <c r="O1766" i="7"/>
  <c r="S1765" i="7"/>
  <c r="R1765" i="7"/>
  <c r="Q1765" i="7"/>
  <c r="P1765" i="7"/>
  <c r="O1765" i="7"/>
  <c r="S1764" i="7"/>
  <c r="R1764" i="7"/>
  <c r="Q1764" i="7"/>
  <c r="P1764" i="7"/>
  <c r="O1764" i="7"/>
  <c r="S1763" i="7"/>
  <c r="R1763" i="7"/>
  <c r="Q1763" i="7"/>
  <c r="P1763" i="7"/>
  <c r="O1763" i="7"/>
  <c r="S1762" i="7"/>
  <c r="R1762" i="7"/>
  <c r="Q1762" i="7"/>
  <c r="P1762" i="7"/>
  <c r="O1762" i="7"/>
  <c r="S1761" i="7"/>
  <c r="R1761" i="7"/>
  <c r="Q1761" i="7"/>
  <c r="P1761" i="7"/>
  <c r="O1761" i="7"/>
  <c r="S1760" i="7"/>
  <c r="R1760" i="7"/>
  <c r="Q1760" i="7"/>
  <c r="P1760" i="7"/>
  <c r="O1760" i="7"/>
  <c r="S1759" i="7"/>
  <c r="R1759" i="7"/>
  <c r="Q1759" i="7"/>
  <c r="P1759" i="7"/>
  <c r="O1759" i="7"/>
  <c r="S1758" i="7"/>
  <c r="R1758" i="7"/>
  <c r="Q1758" i="7"/>
  <c r="P1758" i="7"/>
  <c r="O1758" i="7"/>
  <c r="S1757" i="7"/>
  <c r="R1757" i="7"/>
  <c r="Q1757" i="7"/>
  <c r="P1757" i="7"/>
  <c r="O1757" i="7"/>
  <c r="S1756" i="7"/>
  <c r="R1756" i="7"/>
  <c r="Q1756" i="7"/>
  <c r="P1756" i="7"/>
  <c r="O1756" i="7"/>
  <c r="S1755" i="7"/>
  <c r="R1755" i="7"/>
  <c r="Q1755" i="7"/>
  <c r="P1755" i="7"/>
  <c r="O1755" i="7"/>
  <c r="S1754" i="7"/>
  <c r="R1754" i="7"/>
  <c r="Q1754" i="7"/>
  <c r="P1754" i="7"/>
  <c r="O1754" i="7"/>
  <c r="S1753" i="7"/>
  <c r="R1753" i="7"/>
  <c r="Q1753" i="7"/>
  <c r="P1753" i="7"/>
  <c r="O1753" i="7"/>
  <c r="S1752" i="7"/>
  <c r="R1752" i="7"/>
  <c r="Q1752" i="7"/>
  <c r="P1752" i="7"/>
  <c r="O1752" i="7"/>
  <c r="S1751" i="7"/>
  <c r="R1751" i="7"/>
  <c r="Q1751" i="7"/>
  <c r="P1751" i="7"/>
  <c r="O1751" i="7"/>
  <c r="S1750" i="7"/>
  <c r="R1750" i="7"/>
  <c r="Q1750" i="7"/>
  <c r="P1750" i="7"/>
  <c r="O1750" i="7"/>
  <c r="S1749" i="7"/>
  <c r="R1749" i="7"/>
  <c r="Q1749" i="7"/>
  <c r="P1749" i="7"/>
  <c r="O1749" i="7"/>
  <c r="S1748" i="7"/>
  <c r="R1748" i="7"/>
  <c r="Q1748" i="7"/>
  <c r="P1748" i="7"/>
  <c r="O1748" i="7"/>
  <c r="S1747" i="7"/>
  <c r="R1747" i="7"/>
  <c r="Q1747" i="7"/>
  <c r="P1747" i="7"/>
  <c r="O1747" i="7"/>
  <c r="S1746" i="7"/>
  <c r="R1746" i="7"/>
  <c r="Q1746" i="7"/>
  <c r="P1746" i="7"/>
  <c r="O1746" i="7"/>
  <c r="S1745" i="7"/>
  <c r="R1745" i="7"/>
  <c r="Q1745" i="7"/>
  <c r="P1745" i="7"/>
  <c r="O1745" i="7"/>
  <c r="S1744" i="7"/>
  <c r="R1744" i="7"/>
  <c r="Q1744" i="7"/>
  <c r="P1744" i="7"/>
  <c r="O1744" i="7"/>
  <c r="S1743" i="7"/>
  <c r="R1743" i="7"/>
  <c r="Q1743" i="7"/>
  <c r="P1743" i="7"/>
  <c r="O1743" i="7"/>
  <c r="S1742" i="7"/>
  <c r="R1742" i="7"/>
  <c r="Q1742" i="7"/>
  <c r="P1742" i="7"/>
  <c r="O1742" i="7"/>
  <c r="S1741" i="7"/>
  <c r="R1741" i="7"/>
  <c r="Q1741" i="7"/>
  <c r="P1741" i="7"/>
  <c r="O1741" i="7"/>
  <c r="S1740" i="7"/>
  <c r="R1740" i="7"/>
  <c r="Q1740" i="7"/>
  <c r="P1740" i="7"/>
  <c r="O1740" i="7"/>
  <c r="S1739" i="7"/>
  <c r="R1739" i="7"/>
  <c r="Q1739" i="7"/>
  <c r="P1739" i="7"/>
  <c r="O1739" i="7"/>
  <c r="S1738" i="7"/>
  <c r="R1738" i="7"/>
  <c r="Q1738" i="7"/>
  <c r="P1738" i="7"/>
  <c r="O1738" i="7"/>
  <c r="S1737" i="7"/>
  <c r="R1737" i="7"/>
  <c r="Q1737" i="7"/>
  <c r="P1737" i="7"/>
  <c r="O1737" i="7"/>
  <c r="S1736" i="7"/>
  <c r="R1736" i="7"/>
  <c r="Q1736" i="7"/>
  <c r="P1736" i="7"/>
  <c r="O1736" i="7"/>
  <c r="S1735" i="7"/>
  <c r="R1735" i="7"/>
  <c r="Q1735" i="7"/>
  <c r="P1735" i="7"/>
  <c r="O1735" i="7"/>
  <c r="S1734" i="7"/>
  <c r="R1734" i="7"/>
  <c r="Q1734" i="7"/>
  <c r="P1734" i="7"/>
  <c r="O1734" i="7"/>
  <c r="S1733" i="7"/>
  <c r="R1733" i="7"/>
  <c r="Q1733" i="7"/>
  <c r="P1733" i="7"/>
  <c r="O1733" i="7"/>
  <c r="S1732" i="7"/>
  <c r="R1732" i="7"/>
  <c r="Q1732" i="7"/>
  <c r="P1732" i="7"/>
  <c r="O1732" i="7"/>
  <c r="S1731" i="7"/>
  <c r="R1731" i="7"/>
  <c r="Q1731" i="7"/>
  <c r="P1731" i="7"/>
  <c r="O1731" i="7"/>
  <c r="S1730" i="7"/>
  <c r="R1730" i="7"/>
  <c r="Q1730" i="7"/>
  <c r="P1730" i="7"/>
  <c r="O1730" i="7"/>
  <c r="S1729" i="7"/>
  <c r="R1729" i="7"/>
  <c r="Q1729" i="7"/>
  <c r="P1729" i="7"/>
  <c r="O1729" i="7"/>
  <c r="S1728" i="7"/>
  <c r="R1728" i="7"/>
  <c r="Q1728" i="7"/>
  <c r="P1728" i="7"/>
  <c r="O1728" i="7"/>
  <c r="S1727" i="7"/>
  <c r="R1727" i="7"/>
  <c r="Q1727" i="7"/>
  <c r="P1727" i="7"/>
  <c r="O1727" i="7"/>
  <c r="S1726" i="7"/>
  <c r="R1726" i="7"/>
  <c r="Q1726" i="7"/>
  <c r="P1726" i="7"/>
  <c r="O1726" i="7"/>
  <c r="S1725" i="7"/>
  <c r="R1725" i="7"/>
  <c r="Q1725" i="7"/>
  <c r="P1725" i="7"/>
  <c r="O1725" i="7"/>
  <c r="S1724" i="7"/>
  <c r="R1724" i="7"/>
  <c r="Q1724" i="7"/>
  <c r="P1724" i="7"/>
  <c r="O1724" i="7"/>
  <c r="S1723" i="7"/>
  <c r="R1723" i="7"/>
  <c r="Q1723" i="7"/>
  <c r="P1723" i="7"/>
  <c r="O1723" i="7"/>
  <c r="S1722" i="7"/>
  <c r="R1722" i="7"/>
  <c r="Q1722" i="7"/>
  <c r="P1722" i="7"/>
  <c r="O1722" i="7"/>
  <c r="S1721" i="7"/>
  <c r="R1721" i="7"/>
  <c r="Q1721" i="7"/>
  <c r="P1721" i="7"/>
  <c r="O1721" i="7"/>
  <c r="S1720" i="7"/>
  <c r="R1720" i="7"/>
  <c r="Q1720" i="7"/>
  <c r="P1720" i="7"/>
  <c r="O1720" i="7"/>
  <c r="S1719" i="7"/>
  <c r="R1719" i="7"/>
  <c r="Q1719" i="7"/>
  <c r="P1719" i="7"/>
  <c r="O1719" i="7"/>
  <c r="S1718" i="7"/>
  <c r="R1718" i="7"/>
  <c r="Q1718" i="7"/>
  <c r="P1718" i="7"/>
  <c r="O1718" i="7"/>
  <c r="S1717" i="7"/>
  <c r="R1717" i="7"/>
  <c r="Q1717" i="7"/>
  <c r="P1717" i="7"/>
  <c r="O1717" i="7"/>
  <c r="S1716" i="7"/>
  <c r="R1716" i="7"/>
  <c r="Q1716" i="7"/>
  <c r="P1716" i="7"/>
  <c r="O1716" i="7"/>
  <c r="S1715" i="7"/>
  <c r="R1715" i="7"/>
  <c r="Q1715" i="7"/>
  <c r="P1715" i="7"/>
  <c r="O1715" i="7"/>
  <c r="S1714" i="7"/>
  <c r="R1714" i="7"/>
  <c r="Q1714" i="7"/>
  <c r="P1714" i="7"/>
  <c r="O1714" i="7"/>
  <c r="S1713" i="7"/>
  <c r="R1713" i="7"/>
  <c r="Q1713" i="7"/>
  <c r="P1713" i="7"/>
  <c r="O1713" i="7"/>
  <c r="S1712" i="7"/>
  <c r="R1712" i="7"/>
  <c r="Q1712" i="7"/>
  <c r="P1712" i="7"/>
  <c r="O1712" i="7"/>
  <c r="S1711" i="7"/>
  <c r="R1711" i="7"/>
  <c r="Q1711" i="7"/>
  <c r="P1711" i="7"/>
  <c r="O1711" i="7"/>
  <c r="S1710" i="7"/>
  <c r="R1710" i="7"/>
  <c r="Q1710" i="7"/>
  <c r="P1710" i="7"/>
  <c r="O1710" i="7"/>
  <c r="S1709" i="7"/>
  <c r="R1709" i="7"/>
  <c r="Q1709" i="7"/>
  <c r="P1709" i="7"/>
  <c r="O1709" i="7"/>
  <c r="S1708" i="7"/>
  <c r="R1708" i="7"/>
  <c r="Q1708" i="7"/>
  <c r="P1708" i="7"/>
  <c r="O1708" i="7"/>
  <c r="S1707" i="7"/>
  <c r="R1707" i="7"/>
  <c r="Q1707" i="7"/>
  <c r="P1707" i="7"/>
  <c r="O1707" i="7"/>
  <c r="S1706" i="7"/>
  <c r="R1706" i="7"/>
  <c r="Q1706" i="7"/>
  <c r="P1706" i="7"/>
  <c r="O1706" i="7"/>
  <c r="S1705" i="7"/>
  <c r="R1705" i="7"/>
  <c r="Q1705" i="7"/>
  <c r="P1705" i="7"/>
  <c r="O1705" i="7"/>
  <c r="S1704" i="7"/>
  <c r="R1704" i="7"/>
  <c r="Q1704" i="7"/>
  <c r="P1704" i="7"/>
  <c r="O1704" i="7"/>
  <c r="S1703" i="7"/>
  <c r="R1703" i="7"/>
  <c r="Q1703" i="7"/>
  <c r="P1703" i="7"/>
  <c r="O1703" i="7"/>
  <c r="S1702" i="7"/>
  <c r="R1702" i="7"/>
  <c r="Q1702" i="7"/>
  <c r="P1702" i="7"/>
  <c r="O1702" i="7"/>
  <c r="S1701" i="7"/>
  <c r="R1701" i="7"/>
  <c r="Q1701" i="7"/>
  <c r="P1701" i="7"/>
  <c r="O1701" i="7"/>
  <c r="S1700" i="7"/>
  <c r="R1700" i="7"/>
  <c r="Q1700" i="7"/>
  <c r="P1700" i="7"/>
  <c r="O1700" i="7"/>
  <c r="S1699" i="7"/>
  <c r="R1699" i="7"/>
  <c r="Q1699" i="7"/>
  <c r="P1699" i="7"/>
  <c r="O1699" i="7"/>
  <c r="S1698" i="7"/>
  <c r="R1698" i="7"/>
  <c r="Q1698" i="7"/>
  <c r="P1698" i="7"/>
  <c r="O1698" i="7"/>
  <c r="S1697" i="7"/>
  <c r="R1697" i="7"/>
  <c r="Q1697" i="7"/>
  <c r="P1697" i="7"/>
  <c r="O1697" i="7"/>
  <c r="S1696" i="7"/>
  <c r="R1696" i="7"/>
  <c r="Q1696" i="7"/>
  <c r="P1696" i="7"/>
  <c r="O1696" i="7"/>
  <c r="S1695" i="7"/>
  <c r="R1695" i="7"/>
  <c r="Q1695" i="7"/>
  <c r="P1695" i="7"/>
  <c r="O1695" i="7"/>
  <c r="S1694" i="7"/>
  <c r="R1694" i="7"/>
  <c r="Q1694" i="7"/>
  <c r="P1694" i="7"/>
  <c r="O1694" i="7"/>
  <c r="S1693" i="7"/>
  <c r="R1693" i="7"/>
  <c r="Q1693" i="7"/>
  <c r="P1693" i="7"/>
  <c r="O1693" i="7"/>
  <c r="S1692" i="7"/>
  <c r="R1692" i="7"/>
  <c r="Q1692" i="7"/>
  <c r="P1692" i="7"/>
  <c r="O1692" i="7"/>
  <c r="S1691" i="7"/>
  <c r="R1691" i="7"/>
  <c r="Q1691" i="7"/>
  <c r="P1691" i="7"/>
  <c r="O1691" i="7"/>
  <c r="S1690" i="7"/>
  <c r="R1690" i="7"/>
  <c r="Q1690" i="7"/>
  <c r="P1690" i="7"/>
  <c r="O1690" i="7"/>
  <c r="S1689" i="7"/>
  <c r="R1689" i="7"/>
  <c r="Q1689" i="7"/>
  <c r="P1689" i="7"/>
  <c r="O1689" i="7"/>
  <c r="S1688" i="7"/>
  <c r="R1688" i="7"/>
  <c r="Q1688" i="7"/>
  <c r="P1688" i="7"/>
  <c r="O1688" i="7"/>
  <c r="S1687" i="7"/>
  <c r="R1687" i="7"/>
  <c r="Q1687" i="7"/>
  <c r="P1687" i="7"/>
  <c r="O1687" i="7"/>
  <c r="S1686" i="7"/>
  <c r="R1686" i="7"/>
  <c r="Q1686" i="7"/>
  <c r="P1686" i="7"/>
  <c r="O1686" i="7"/>
  <c r="S1685" i="7"/>
  <c r="R1685" i="7"/>
  <c r="Q1685" i="7"/>
  <c r="P1685" i="7"/>
  <c r="O1685" i="7"/>
  <c r="S1684" i="7"/>
  <c r="R1684" i="7"/>
  <c r="Q1684" i="7"/>
  <c r="P1684" i="7"/>
  <c r="O1684" i="7"/>
  <c r="S1683" i="7"/>
  <c r="R1683" i="7"/>
  <c r="Q1683" i="7"/>
  <c r="P1683" i="7"/>
  <c r="O1683" i="7"/>
  <c r="S1682" i="7"/>
  <c r="R1682" i="7"/>
  <c r="Q1682" i="7"/>
  <c r="P1682" i="7"/>
  <c r="O1682" i="7"/>
  <c r="S1681" i="7"/>
  <c r="R1681" i="7"/>
  <c r="Q1681" i="7"/>
  <c r="P1681" i="7"/>
  <c r="O1681" i="7"/>
  <c r="S1680" i="7"/>
  <c r="R1680" i="7"/>
  <c r="Q1680" i="7"/>
  <c r="P1680" i="7"/>
  <c r="O1680" i="7"/>
  <c r="S1679" i="7"/>
  <c r="R1679" i="7"/>
  <c r="Q1679" i="7"/>
  <c r="P1679" i="7"/>
  <c r="O1679" i="7"/>
  <c r="S1678" i="7"/>
  <c r="R1678" i="7"/>
  <c r="Q1678" i="7"/>
  <c r="P1678" i="7"/>
  <c r="O1678" i="7"/>
  <c r="S1677" i="7"/>
  <c r="R1677" i="7"/>
  <c r="Q1677" i="7"/>
  <c r="P1677" i="7"/>
  <c r="O1677" i="7"/>
  <c r="S1676" i="7"/>
  <c r="R1676" i="7"/>
  <c r="Q1676" i="7"/>
  <c r="P1676" i="7"/>
  <c r="O1676" i="7"/>
  <c r="S1675" i="7"/>
  <c r="R1675" i="7"/>
  <c r="Q1675" i="7"/>
  <c r="P1675" i="7"/>
  <c r="O1675" i="7"/>
  <c r="S1674" i="7"/>
  <c r="R1674" i="7"/>
  <c r="Q1674" i="7"/>
  <c r="P1674" i="7"/>
  <c r="O1674" i="7"/>
  <c r="S1673" i="7"/>
  <c r="R1673" i="7"/>
  <c r="Q1673" i="7"/>
  <c r="P1673" i="7"/>
  <c r="O1673" i="7"/>
  <c r="S1672" i="7"/>
  <c r="R1672" i="7"/>
  <c r="Q1672" i="7"/>
  <c r="P1672" i="7"/>
  <c r="O1672" i="7"/>
  <c r="S1671" i="7"/>
  <c r="R1671" i="7"/>
  <c r="Q1671" i="7"/>
  <c r="P1671" i="7"/>
  <c r="O1671" i="7"/>
  <c r="S1670" i="7"/>
  <c r="R1670" i="7"/>
  <c r="Q1670" i="7"/>
  <c r="P1670" i="7"/>
  <c r="O1670" i="7"/>
  <c r="S1669" i="7"/>
  <c r="R1669" i="7"/>
  <c r="Q1669" i="7"/>
  <c r="P1669" i="7"/>
  <c r="O1669" i="7"/>
  <c r="S1668" i="7"/>
  <c r="R1668" i="7"/>
  <c r="Q1668" i="7"/>
  <c r="P1668" i="7"/>
  <c r="O1668" i="7"/>
  <c r="S1667" i="7"/>
  <c r="R1667" i="7"/>
  <c r="Q1667" i="7"/>
  <c r="P1667" i="7"/>
  <c r="O1667" i="7"/>
  <c r="S1666" i="7"/>
  <c r="R1666" i="7"/>
  <c r="Q1666" i="7"/>
  <c r="P1666" i="7"/>
  <c r="O1666" i="7"/>
  <c r="S1665" i="7"/>
  <c r="R1665" i="7"/>
  <c r="Q1665" i="7"/>
  <c r="P1665" i="7"/>
  <c r="O1665" i="7"/>
  <c r="S1664" i="7"/>
  <c r="R1664" i="7"/>
  <c r="Q1664" i="7"/>
  <c r="P1664" i="7"/>
  <c r="O1664" i="7"/>
  <c r="S1663" i="7"/>
  <c r="R1663" i="7"/>
  <c r="Q1663" i="7"/>
  <c r="P1663" i="7"/>
  <c r="O1663" i="7"/>
  <c r="S1662" i="7"/>
  <c r="R1662" i="7"/>
  <c r="Q1662" i="7"/>
  <c r="P1662" i="7"/>
  <c r="O1662" i="7"/>
  <c r="S1661" i="7"/>
  <c r="R1661" i="7"/>
  <c r="Q1661" i="7"/>
  <c r="P1661" i="7"/>
  <c r="O1661" i="7"/>
  <c r="S1660" i="7"/>
  <c r="R1660" i="7"/>
  <c r="Q1660" i="7"/>
  <c r="P1660" i="7"/>
  <c r="O1660" i="7"/>
  <c r="S1659" i="7"/>
  <c r="R1659" i="7"/>
  <c r="Q1659" i="7"/>
  <c r="P1659" i="7"/>
  <c r="O1659" i="7"/>
  <c r="S1658" i="7"/>
  <c r="R1658" i="7"/>
  <c r="Q1658" i="7"/>
  <c r="P1658" i="7"/>
  <c r="O1658" i="7"/>
  <c r="S1657" i="7"/>
  <c r="R1657" i="7"/>
  <c r="Q1657" i="7"/>
  <c r="P1657" i="7"/>
  <c r="O1657" i="7"/>
  <c r="S1656" i="7"/>
  <c r="R1656" i="7"/>
  <c r="Q1656" i="7"/>
  <c r="P1656" i="7"/>
  <c r="O1656" i="7"/>
  <c r="S1655" i="7"/>
  <c r="R1655" i="7"/>
  <c r="Q1655" i="7"/>
  <c r="P1655" i="7"/>
  <c r="O1655" i="7"/>
  <c r="S1654" i="7"/>
  <c r="R1654" i="7"/>
  <c r="Q1654" i="7"/>
  <c r="P1654" i="7"/>
  <c r="O1654" i="7"/>
  <c r="S1653" i="7"/>
  <c r="R1653" i="7"/>
  <c r="Q1653" i="7"/>
  <c r="P1653" i="7"/>
  <c r="O1653" i="7"/>
  <c r="S1652" i="7"/>
  <c r="R1652" i="7"/>
  <c r="Q1652" i="7"/>
  <c r="P1652" i="7"/>
  <c r="O1652" i="7"/>
  <c r="S1651" i="7"/>
  <c r="R1651" i="7"/>
  <c r="Q1651" i="7"/>
  <c r="P1651" i="7"/>
  <c r="O1651" i="7"/>
  <c r="S1650" i="7"/>
  <c r="R1650" i="7"/>
  <c r="Q1650" i="7"/>
  <c r="P1650" i="7"/>
  <c r="O1650" i="7"/>
  <c r="S1649" i="7"/>
  <c r="R1649" i="7"/>
  <c r="Q1649" i="7"/>
  <c r="P1649" i="7"/>
  <c r="O1649" i="7"/>
  <c r="S1648" i="7"/>
  <c r="R1648" i="7"/>
  <c r="Q1648" i="7"/>
  <c r="P1648" i="7"/>
  <c r="O1648" i="7"/>
  <c r="S1647" i="7"/>
  <c r="R1647" i="7"/>
  <c r="Q1647" i="7"/>
  <c r="P1647" i="7"/>
  <c r="O1647" i="7"/>
  <c r="S1646" i="7"/>
  <c r="R1646" i="7"/>
  <c r="Q1646" i="7"/>
  <c r="P1646" i="7"/>
  <c r="O1646" i="7"/>
  <c r="S1645" i="7"/>
  <c r="R1645" i="7"/>
  <c r="Q1645" i="7"/>
  <c r="P1645" i="7"/>
  <c r="O1645" i="7"/>
  <c r="S1644" i="7"/>
  <c r="R1644" i="7"/>
  <c r="Q1644" i="7"/>
  <c r="P1644" i="7"/>
  <c r="O1644" i="7"/>
  <c r="S1643" i="7"/>
  <c r="R1643" i="7"/>
  <c r="Q1643" i="7"/>
  <c r="P1643" i="7"/>
  <c r="O1643" i="7"/>
  <c r="S1642" i="7"/>
  <c r="R1642" i="7"/>
  <c r="Q1642" i="7"/>
  <c r="P1642" i="7"/>
  <c r="O1642" i="7"/>
  <c r="S1641" i="7"/>
  <c r="R1641" i="7"/>
  <c r="Q1641" i="7"/>
  <c r="P1641" i="7"/>
  <c r="O1641" i="7"/>
  <c r="S1640" i="7"/>
  <c r="R1640" i="7"/>
  <c r="Q1640" i="7"/>
  <c r="P1640" i="7"/>
  <c r="O1640" i="7"/>
  <c r="S1639" i="7"/>
  <c r="R1639" i="7"/>
  <c r="Q1639" i="7"/>
  <c r="P1639" i="7"/>
  <c r="O1639" i="7"/>
  <c r="S1638" i="7"/>
  <c r="R1638" i="7"/>
  <c r="Q1638" i="7"/>
  <c r="P1638" i="7"/>
  <c r="O1638" i="7"/>
  <c r="S1637" i="7"/>
  <c r="R1637" i="7"/>
  <c r="Q1637" i="7"/>
  <c r="P1637" i="7"/>
  <c r="O1637" i="7"/>
  <c r="S1636" i="7"/>
  <c r="R1636" i="7"/>
  <c r="Q1636" i="7"/>
  <c r="P1636" i="7"/>
  <c r="O1636" i="7"/>
  <c r="S1635" i="7"/>
  <c r="R1635" i="7"/>
  <c r="Q1635" i="7"/>
  <c r="P1635" i="7"/>
  <c r="O1635" i="7"/>
  <c r="S1634" i="7"/>
  <c r="R1634" i="7"/>
  <c r="Q1634" i="7"/>
  <c r="P1634" i="7"/>
  <c r="O1634" i="7"/>
  <c r="S1633" i="7"/>
  <c r="R1633" i="7"/>
  <c r="Q1633" i="7"/>
  <c r="P1633" i="7"/>
  <c r="O1633" i="7"/>
  <c r="S1632" i="7"/>
  <c r="R1632" i="7"/>
  <c r="Q1632" i="7"/>
  <c r="P1632" i="7"/>
  <c r="O1632" i="7"/>
  <c r="S1631" i="7"/>
  <c r="R1631" i="7"/>
  <c r="Q1631" i="7"/>
  <c r="P1631" i="7"/>
  <c r="O1631" i="7"/>
  <c r="S1630" i="7"/>
  <c r="R1630" i="7"/>
  <c r="Q1630" i="7"/>
  <c r="P1630" i="7"/>
  <c r="O1630" i="7"/>
  <c r="S1629" i="7"/>
  <c r="R1629" i="7"/>
  <c r="Q1629" i="7"/>
  <c r="P1629" i="7"/>
  <c r="O1629" i="7"/>
  <c r="S1628" i="7"/>
  <c r="R1628" i="7"/>
  <c r="Q1628" i="7"/>
  <c r="P1628" i="7"/>
  <c r="O1628" i="7"/>
  <c r="S1627" i="7"/>
  <c r="R1627" i="7"/>
  <c r="Q1627" i="7"/>
  <c r="P1627" i="7"/>
  <c r="O1627" i="7"/>
  <c r="S1626" i="7"/>
  <c r="R1626" i="7"/>
  <c r="Q1626" i="7"/>
  <c r="P1626" i="7"/>
  <c r="O1626" i="7"/>
  <c r="S1625" i="7"/>
  <c r="R1625" i="7"/>
  <c r="Q1625" i="7"/>
  <c r="P1625" i="7"/>
  <c r="O1625" i="7"/>
  <c r="S1624" i="7"/>
  <c r="R1624" i="7"/>
  <c r="Q1624" i="7"/>
  <c r="P1624" i="7"/>
  <c r="O1624" i="7"/>
  <c r="S1623" i="7"/>
  <c r="R1623" i="7"/>
  <c r="Q1623" i="7"/>
  <c r="P1623" i="7"/>
  <c r="O1623" i="7"/>
  <c r="S1622" i="7"/>
  <c r="R1622" i="7"/>
  <c r="Q1622" i="7"/>
  <c r="P1622" i="7"/>
  <c r="O1622" i="7"/>
  <c r="S1621" i="7"/>
  <c r="R1621" i="7"/>
  <c r="Q1621" i="7"/>
  <c r="P1621" i="7"/>
  <c r="O1621" i="7"/>
  <c r="S1620" i="7"/>
  <c r="R1620" i="7"/>
  <c r="Q1620" i="7"/>
  <c r="P1620" i="7"/>
  <c r="O1620" i="7"/>
  <c r="S1619" i="7"/>
  <c r="R1619" i="7"/>
  <c r="Q1619" i="7"/>
  <c r="P1619" i="7"/>
  <c r="O1619" i="7"/>
  <c r="S1618" i="7"/>
  <c r="R1618" i="7"/>
  <c r="Q1618" i="7"/>
  <c r="P1618" i="7"/>
  <c r="O1618" i="7"/>
  <c r="S1617" i="7"/>
  <c r="R1617" i="7"/>
  <c r="Q1617" i="7"/>
  <c r="P1617" i="7"/>
  <c r="O1617" i="7"/>
  <c r="S1616" i="7"/>
  <c r="R1616" i="7"/>
  <c r="Q1616" i="7"/>
  <c r="P1616" i="7"/>
  <c r="O1616" i="7"/>
  <c r="S1615" i="7"/>
  <c r="R1615" i="7"/>
  <c r="Q1615" i="7"/>
  <c r="P1615" i="7"/>
  <c r="O1615" i="7"/>
  <c r="S1614" i="7"/>
  <c r="R1614" i="7"/>
  <c r="Q1614" i="7"/>
  <c r="P1614" i="7"/>
  <c r="O1614" i="7"/>
  <c r="S1613" i="7"/>
  <c r="R1613" i="7"/>
  <c r="Q1613" i="7"/>
  <c r="P1613" i="7"/>
  <c r="O1613" i="7"/>
  <c r="S1612" i="7"/>
  <c r="R1612" i="7"/>
  <c r="Q1612" i="7"/>
  <c r="P1612" i="7"/>
  <c r="O1612" i="7"/>
  <c r="S1611" i="7"/>
  <c r="R1611" i="7"/>
  <c r="Q1611" i="7"/>
  <c r="P1611" i="7"/>
  <c r="O1611" i="7"/>
  <c r="S1610" i="7"/>
  <c r="R1610" i="7"/>
  <c r="Q1610" i="7"/>
  <c r="P1610" i="7"/>
  <c r="O1610" i="7"/>
  <c r="S1609" i="7"/>
  <c r="R1609" i="7"/>
  <c r="Q1609" i="7"/>
  <c r="P1609" i="7"/>
  <c r="O1609" i="7"/>
  <c r="S1608" i="7"/>
  <c r="R1608" i="7"/>
  <c r="Q1608" i="7"/>
  <c r="P1608" i="7"/>
  <c r="O1608" i="7"/>
  <c r="S1607" i="7"/>
  <c r="R1607" i="7"/>
  <c r="Q1607" i="7"/>
  <c r="P1607" i="7"/>
  <c r="O1607" i="7"/>
  <c r="S1606" i="7"/>
  <c r="R1606" i="7"/>
  <c r="Q1606" i="7"/>
  <c r="P1606" i="7"/>
  <c r="O1606" i="7"/>
  <c r="S1605" i="7"/>
  <c r="R1605" i="7"/>
  <c r="Q1605" i="7"/>
  <c r="P1605" i="7"/>
  <c r="O1605" i="7"/>
  <c r="S1604" i="7"/>
  <c r="R1604" i="7"/>
  <c r="Q1604" i="7"/>
  <c r="P1604" i="7"/>
  <c r="O1604" i="7"/>
  <c r="S1603" i="7"/>
  <c r="R1603" i="7"/>
  <c r="Q1603" i="7"/>
  <c r="P1603" i="7"/>
  <c r="O1603" i="7"/>
  <c r="S1602" i="7"/>
  <c r="R1602" i="7"/>
  <c r="Q1602" i="7"/>
  <c r="P1602" i="7"/>
  <c r="O1602" i="7"/>
  <c r="S1601" i="7"/>
  <c r="R1601" i="7"/>
  <c r="Q1601" i="7"/>
  <c r="P1601" i="7"/>
  <c r="O1601" i="7"/>
  <c r="S1600" i="7"/>
  <c r="R1600" i="7"/>
  <c r="Q1600" i="7"/>
  <c r="P1600" i="7"/>
  <c r="O1600" i="7"/>
  <c r="S1599" i="7"/>
  <c r="R1599" i="7"/>
  <c r="Q1599" i="7"/>
  <c r="P1599" i="7"/>
  <c r="O1599" i="7"/>
  <c r="S1598" i="7"/>
  <c r="R1598" i="7"/>
  <c r="Q1598" i="7"/>
  <c r="P1598" i="7"/>
  <c r="O1598" i="7"/>
  <c r="S1597" i="7"/>
  <c r="R1597" i="7"/>
  <c r="Q1597" i="7"/>
  <c r="P1597" i="7"/>
  <c r="O1597" i="7"/>
  <c r="S1596" i="7"/>
  <c r="R1596" i="7"/>
  <c r="Q1596" i="7"/>
  <c r="P1596" i="7"/>
  <c r="O1596" i="7"/>
  <c r="S1595" i="7"/>
  <c r="R1595" i="7"/>
  <c r="Q1595" i="7"/>
  <c r="P1595" i="7"/>
  <c r="O1595" i="7"/>
  <c r="S1594" i="7"/>
  <c r="R1594" i="7"/>
  <c r="Q1594" i="7"/>
  <c r="P1594" i="7"/>
  <c r="O1594" i="7"/>
  <c r="S1593" i="7"/>
  <c r="R1593" i="7"/>
  <c r="Q1593" i="7"/>
  <c r="P1593" i="7"/>
  <c r="O1593" i="7"/>
  <c r="S1592" i="7"/>
  <c r="R1592" i="7"/>
  <c r="Q1592" i="7"/>
  <c r="P1592" i="7"/>
  <c r="O1592" i="7"/>
  <c r="S1591" i="7"/>
  <c r="R1591" i="7"/>
  <c r="Q1591" i="7"/>
  <c r="P1591" i="7"/>
  <c r="O1591" i="7"/>
  <c r="S1590" i="7"/>
  <c r="R1590" i="7"/>
  <c r="Q1590" i="7"/>
  <c r="P1590" i="7"/>
  <c r="O1590" i="7"/>
  <c r="S1589" i="7"/>
  <c r="R1589" i="7"/>
  <c r="Q1589" i="7"/>
  <c r="P1589" i="7"/>
  <c r="O1589" i="7"/>
  <c r="S1588" i="7"/>
  <c r="R1588" i="7"/>
  <c r="Q1588" i="7"/>
  <c r="P1588" i="7"/>
  <c r="O1588" i="7"/>
  <c r="S1587" i="7"/>
  <c r="R1587" i="7"/>
  <c r="Q1587" i="7"/>
  <c r="P1587" i="7"/>
  <c r="O1587" i="7"/>
  <c r="S1586" i="7"/>
  <c r="R1586" i="7"/>
  <c r="Q1586" i="7"/>
  <c r="P1586" i="7"/>
  <c r="O1586" i="7"/>
  <c r="S1585" i="7"/>
  <c r="R1585" i="7"/>
  <c r="Q1585" i="7"/>
  <c r="P1585" i="7"/>
  <c r="O1585" i="7"/>
  <c r="S1584" i="7"/>
  <c r="R1584" i="7"/>
  <c r="Q1584" i="7"/>
  <c r="P1584" i="7"/>
  <c r="O1584" i="7"/>
  <c r="S1583" i="7"/>
  <c r="R1583" i="7"/>
  <c r="Q1583" i="7"/>
  <c r="P1583" i="7"/>
  <c r="O1583" i="7"/>
  <c r="S1582" i="7"/>
  <c r="R1582" i="7"/>
  <c r="Q1582" i="7"/>
  <c r="P1582" i="7"/>
  <c r="O1582" i="7"/>
  <c r="S1581" i="7"/>
  <c r="R1581" i="7"/>
  <c r="Q1581" i="7"/>
  <c r="P1581" i="7"/>
  <c r="O1581" i="7"/>
  <c r="S1580" i="7"/>
  <c r="R1580" i="7"/>
  <c r="Q1580" i="7"/>
  <c r="P1580" i="7"/>
  <c r="O1580" i="7"/>
  <c r="S1579" i="7"/>
  <c r="R1579" i="7"/>
  <c r="Q1579" i="7"/>
  <c r="P1579" i="7"/>
  <c r="O1579" i="7"/>
  <c r="S1578" i="7"/>
  <c r="R1578" i="7"/>
  <c r="Q1578" i="7"/>
  <c r="P1578" i="7"/>
  <c r="O1578" i="7"/>
  <c r="S1577" i="7"/>
  <c r="R1577" i="7"/>
  <c r="Q1577" i="7"/>
  <c r="P1577" i="7"/>
  <c r="O1577" i="7"/>
  <c r="S1576" i="7"/>
  <c r="R1576" i="7"/>
  <c r="Q1576" i="7"/>
  <c r="P1576" i="7"/>
  <c r="O1576" i="7"/>
  <c r="S1575" i="7"/>
  <c r="R1575" i="7"/>
  <c r="Q1575" i="7"/>
  <c r="P1575" i="7"/>
  <c r="O1575" i="7"/>
  <c r="S1574" i="7"/>
  <c r="R1574" i="7"/>
  <c r="Q1574" i="7"/>
  <c r="P1574" i="7"/>
  <c r="O1574" i="7"/>
  <c r="S1573" i="7"/>
  <c r="R1573" i="7"/>
  <c r="Q1573" i="7"/>
  <c r="P1573" i="7"/>
  <c r="O1573" i="7"/>
  <c r="S1572" i="7"/>
  <c r="R1572" i="7"/>
  <c r="Q1572" i="7"/>
  <c r="P1572" i="7"/>
  <c r="O1572" i="7"/>
  <c r="S1571" i="7"/>
  <c r="R1571" i="7"/>
  <c r="Q1571" i="7"/>
  <c r="P1571" i="7"/>
  <c r="O1571" i="7"/>
  <c r="S1570" i="7"/>
  <c r="R1570" i="7"/>
  <c r="Q1570" i="7"/>
  <c r="P1570" i="7"/>
  <c r="O1570" i="7"/>
  <c r="S1569" i="7"/>
  <c r="R1569" i="7"/>
  <c r="Q1569" i="7"/>
  <c r="P1569" i="7"/>
  <c r="O1569" i="7"/>
  <c r="S1568" i="7"/>
  <c r="R1568" i="7"/>
  <c r="Q1568" i="7"/>
  <c r="P1568" i="7"/>
  <c r="O1568" i="7"/>
  <c r="S1567" i="7"/>
  <c r="R1567" i="7"/>
  <c r="Q1567" i="7"/>
  <c r="P1567" i="7"/>
  <c r="O1567" i="7"/>
  <c r="S1566" i="7"/>
  <c r="R1566" i="7"/>
  <c r="Q1566" i="7"/>
  <c r="P1566" i="7"/>
  <c r="O1566" i="7"/>
  <c r="S1565" i="7"/>
  <c r="R1565" i="7"/>
  <c r="Q1565" i="7"/>
  <c r="P1565" i="7"/>
  <c r="O1565" i="7"/>
  <c r="S1564" i="7"/>
  <c r="R1564" i="7"/>
  <c r="Q1564" i="7"/>
  <c r="P1564" i="7"/>
  <c r="O1564" i="7"/>
  <c r="S1563" i="7"/>
  <c r="R1563" i="7"/>
  <c r="Q1563" i="7"/>
  <c r="P1563" i="7"/>
  <c r="O1563" i="7"/>
  <c r="S1562" i="7"/>
  <c r="R1562" i="7"/>
  <c r="Q1562" i="7"/>
  <c r="P1562" i="7"/>
  <c r="O1562" i="7"/>
  <c r="S1561" i="7"/>
  <c r="R1561" i="7"/>
  <c r="Q1561" i="7"/>
  <c r="P1561" i="7"/>
  <c r="O1561" i="7"/>
  <c r="S1560" i="7"/>
  <c r="R1560" i="7"/>
  <c r="Q1560" i="7"/>
  <c r="P1560" i="7"/>
  <c r="O1560" i="7"/>
  <c r="S1559" i="7"/>
  <c r="R1559" i="7"/>
  <c r="Q1559" i="7"/>
  <c r="P1559" i="7"/>
  <c r="O1559" i="7"/>
  <c r="S1558" i="7"/>
  <c r="R1558" i="7"/>
  <c r="Q1558" i="7"/>
  <c r="P1558" i="7"/>
  <c r="O1558" i="7"/>
  <c r="S1557" i="7"/>
  <c r="R1557" i="7"/>
  <c r="Q1557" i="7"/>
  <c r="P1557" i="7"/>
  <c r="O1557" i="7"/>
  <c r="S1556" i="7"/>
  <c r="R1556" i="7"/>
  <c r="Q1556" i="7"/>
  <c r="P1556" i="7"/>
  <c r="O1556" i="7"/>
  <c r="S1555" i="7"/>
  <c r="R1555" i="7"/>
  <c r="Q1555" i="7"/>
  <c r="P1555" i="7"/>
  <c r="O1555" i="7"/>
  <c r="S1554" i="7"/>
  <c r="R1554" i="7"/>
  <c r="Q1554" i="7"/>
  <c r="P1554" i="7"/>
  <c r="O1554" i="7"/>
  <c r="S1553" i="7"/>
  <c r="R1553" i="7"/>
  <c r="Q1553" i="7"/>
  <c r="P1553" i="7"/>
  <c r="O1553" i="7"/>
  <c r="S1552" i="7"/>
  <c r="R1552" i="7"/>
  <c r="Q1552" i="7"/>
  <c r="P1552" i="7"/>
  <c r="O1552" i="7"/>
  <c r="S1551" i="7"/>
  <c r="R1551" i="7"/>
  <c r="Q1551" i="7"/>
  <c r="P1551" i="7"/>
  <c r="O1551" i="7"/>
  <c r="S1550" i="7"/>
  <c r="R1550" i="7"/>
  <c r="Q1550" i="7"/>
  <c r="P1550" i="7"/>
  <c r="O1550" i="7"/>
  <c r="S1549" i="7"/>
  <c r="R1549" i="7"/>
  <c r="Q1549" i="7"/>
  <c r="P1549" i="7"/>
  <c r="O1549" i="7"/>
  <c r="S1548" i="7"/>
  <c r="R1548" i="7"/>
  <c r="Q1548" i="7"/>
  <c r="P1548" i="7"/>
  <c r="O1548" i="7"/>
  <c r="S1547" i="7"/>
  <c r="R1547" i="7"/>
  <c r="Q1547" i="7"/>
  <c r="P1547" i="7"/>
  <c r="O1547" i="7"/>
  <c r="S1546" i="7"/>
  <c r="R1546" i="7"/>
  <c r="Q1546" i="7"/>
  <c r="P1546" i="7"/>
  <c r="O1546" i="7"/>
  <c r="S1545" i="7"/>
  <c r="R1545" i="7"/>
  <c r="Q1545" i="7"/>
  <c r="P1545" i="7"/>
  <c r="O1545" i="7"/>
  <c r="S1544" i="7"/>
  <c r="R1544" i="7"/>
  <c r="Q1544" i="7"/>
  <c r="P1544" i="7"/>
  <c r="O1544" i="7"/>
  <c r="S1543" i="7"/>
  <c r="R1543" i="7"/>
  <c r="Q1543" i="7"/>
  <c r="P1543" i="7"/>
  <c r="O1543" i="7"/>
  <c r="S1542" i="7"/>
  <c r="R1542" i="7"/>
  <c r="Q1542" i="7"/>
  <c r="P1542" i="7"/>
  <c r="O1542" i="7"/>
  <c r="S1541" i="7"/>
  <c r="R1541" i="7"/>
  <c r="Q1541" i="7"/>
  <c r="P1541" i="7"/>
  <c r="O1541" i="7"/>
  <c r="S1540" i="7"/>
  <c r="R1540" i="7"/>
  <c r="Q1540" i="7"/>
  <c r="P1540" i="7"/>
  <c r="O1540" i="7"/>
  <c r="S1539" i="7"/>
  <c r="R1539" i="7"/>
  <c r="Q1539" i="7"/>
  <c r="P1539" i="7"/>
  <c r="O1539" i="7"/>
  <c r="S1538" i="7"/>
  <c r="R1538" i="7"/>
  <c r="Q1538" i="7"/>
  <c r="P1538" i="7"/>
  <c r="O1538" i="7"/>
  <c r="S1537" i="7"/>
  <c r="R1537" i="7"/>
  <c r="Q1537" i="7"/>
  <c r="P1537" i="7"/>
  <c r="O1537" i="7"/>
  <c r="S1536" i="7"/>
  <c r="R1536" i="7"/>
  <c r="Q1536" i="7"/>
  <c r="P1536" i="7"/>
  <c r="O1536" i="7"/>
  <c r="S1535" i="7"/>
  <c r="R1535" i="7"/>
  <c r="Q1535" i="7"/>
  <c r="P1535" i="7"/>
  <c r="O1535" i="7"/>
  <c r="S1534" i="7"/>
  <c r="R1534" i="7"/>
  <c r="Q1534" i="7"/>
  <c r="P1534" i="7"/>
  <c r="O1534" i="7"/>
  <c r="S1533" i="7"/>
  <c r="R1533" i="7"/>
  <c r="Q1533" i="7"/>
  <c r="P1533" i="7"/>
  <c r="O1533" i="7"/>
  <c r="S1532" i="7"/>
  <c r="R1532" i="7"/>
  <c r="Q1532" i="7"/>
  <c r="P1532" i="7"/>
  <c r="O1532" i="7"/>
  <c r="S1531" i="7"/>
  <c r="R1531" i="7"/>
  <c r="Q1531" i="7"/>
  <c r="P1531" i="7"/>
  <c r="O1531" i="7"/>
  <c r="S1530" i="7"/>
  <c r="R1530" i="7"/>
  <c r="Q1530" i="7"/>
  <c r="P1530" i="7"/>
  <c r="O1530" i="7"/>
  <c r="S1529" i="7"/>
  <c r="R1529" i="7"/>
  <c r="Q1529" i="7"/>
  <c r="P1529" i="7"/>
  <c r="O1529" i="7"/>
  <c r="S1528" i="7"/>
  <c r="R1528" i="7"/>
  <c r="Q1528" i="7"/>
  <c r="P1528" i="7"/>
  <c r="O1528" i="7"/>
  <c r="S1527" i="7"/>
  <c r="R1527" i="7"/>
  <c r="Q1527" i="7"/>
  <c r="P1527" i="7"/>
  <c r="O1527" i="7"/>
  <c r="S1526" i="7"/>
  <c r="R1526" i="7"/>
  <c r="Q1526" i="7"/>
  <c r="P1526" i="7"/>
  <c r="O1526" i="7"/>
  <c r="S1525" i="7"/>
  <c r="R1525" i="7"/>
  <c r="Q1525" i="7"/>
  <c r="P1525" i="7"/>
  <c r="O1525" i="7"/>
  <c r="S1524" i="7"/>
  <c r="R1524" i="7"/>
  <c r="Q1524" i="7"/>
  <c r="P1524" i="7"/>
  <c r="O1524" i="7"/>
  <c r="S1523" i="7"/>
  <c r="R1523" i="7"/>
  <c r="Q1523" i="7"/>
  <c r="P1523" i="7"/>
  <c r="O1523" i="7"/>
  <c r="S1522" i="7"/>
  <c r="R1522" i="7"/>
  <c r="Q1522" i="7"/>
  <c r="P1522" i="7"/>
  <c r="O1522" i="7"/>
  <c r="S1521" i="7"/>
  <c r="R1521" i="7"/>
  <c r="Q1521" i="7"/>
  <c r="P1521" i="7"/>
  <c r="O1521" i="7"/>
  <c r="S1520" i="7"/>
  <c r="R1520" i="7"/>
  <c r="Q1520" i="7"/>
  <c r="P1520" i="7"/>
  <c r="O1520" i="7"/>
  <c r="S1519" i="7"/>
  <c r="R1519" i="7"/>
  <c r="Q1519" i="7"/>
  <c r="P1519" i="7"/>
  <c r="O1519" i="7"/>
  <c r="S1518" i="7"/>
  <c r="R1518" i="7"/>
  <c r="Q1518" i="7"/>
  <c r="P1518" i="7"/>
  <c r="O1518" i="7"/>
  <c r="S1517" i="7"/>
  <c r="R1517" i="7"/>
  <c r="Q1517" i="7"/>
  <c r="P1517" i="7"/>
  <c r="O1517" i="7"/>
  <c r="S1516" i="7"/>
  <c r="R1516" i="7"/>
  <c r="Q1516" i="7"/>
  <c r="P1516" i="7"/>
  <c r="O1516" i="7"/>
  <c r="S1515" i="7"/>
  <c r="R1515" i="7"/>
  <c r="Q1515" i="7"/>
  <c r="P1515" i="7"/>
  <c r="O1515" i="7"/>
  <c r="S1514" i="7"/>
  <c r="R1514" i="7"/>
  <c r="Q1514" i="7"/>
  <c r="P1514" i="7"/>
  <c r="O1514" i="7"/>
  <c r="S1513" i="7"/>
  <c r="R1513" i="7"/>
  <c r="Q1513" i="7"/>
  <c r="P1513" i="7"/>
  <c r="O1513" i="7"/>
  <c r="S1512" i="7"/>
  <c r="R1512" i="7"/>
  <c r="Q1512" i="7"/>
  <c r="P1512" i="7"/>
  <c r="O1512" i="7"/>
  <c r="S1511" i="7"/>
  <c r="R1511" i="7"/>
  <c r="Q1511" i="7"/>
  <c r="P1511" i="7"/>
  <c r="O1511" i="7"/>
  <c r="S1510" i="7"/>
  <c r="R1510" i="7"/>
  <c r="Q1510" i="7"/>
  <c r="P1510" i="7"/>
  <c r="O1510" i="7"/>
  <c r="S1509" i="7"/>
  <c r="R1509" i="7"/>
  <c r="Q1509" i="7"/>
  <c r="P1509" i="7"/>
  <c r="O1509" i="7"/>
  <c r="S1508" i="7"/>
  <c r="R1508" i="7"/>
  <c r="Q1508" i="7"/>
  <c r="P1508" i="7"/>
  <c r="O1508" i="7"/>
  <c r="S1507" i="7"/>
  <c r="R1507" i="7"/>
  <c r="Q1507" i="7"/>
  <c r="P1507" i="7"/>
  <c r="O1507" i="7"/>
  <c r="S1506" i="7"/>
  <c r="R1506" i="7"/>
  <c r="Q1506" i="7"/>
  <c r="P1506" i="7"/>
  <c r="O1506" i="7"/>
  <c r="S1505" i="7"/>
  <c r="R1505" i="7"/>
  <c r="Q1505" i="7"/>
  <c r="P1505" i="7"/>
  <c r="O1505" i="7"/>
  <c r="S1504" i="7"/>
  <c r="R1504" i="7"/>
  <c r="Q1504" i="7"/>
  <c r="P1504" i="7"/>
  <c r="O1504" i="7"/>
  <c r="S1503" i="7"/>
  <c r="R1503" i="7"/>
  <c r="Q1503" i="7"/>
  <c r="P1503" i="7"/>
  <c r="O1503" i="7"/>
  <c r="S1502" i="7"/>
  <c r="R1502" i="7"/>
  <c r="Q1502" i="7"/>
  <c r="P1502" i="7"/>
  <c r="O1502" i="7"/>
  <c r="S1501" i="7"/>
  <c r="R1501" i="7"/>
  <c r="Q1501" i="7"/>
  <c r="P1501" i="7"/>
  <c r="O1501" i="7"/>
  <c r="S1500" i="7"/>
  <c r="R1500" i="7"/>
  <c r="Q1500" i="7"/>
  <c r="P1500" i="7"/>
  <c r="O1500" i="7"/>
  <c r="S1499" i="7"/>
  <c r="R1499" i="7"/>
  <c r="Q1499" i="7"/>
  <c r="P1499" i="7"/>
  <c r="O1499" i="7"/>
  <c r="S1498" i="7"/>
  <c r="R1498" i="7"/>
  <c r="Q1498" i="7"/>
  <c r="P1498" i="7"/>
  <c r="O1498" i="7"/>
  <c r="S1497" i="7"/>
  <c r="R1497" i="7"/>
  <c r="Q1497" i="7"/>
  <c r="P1497" i="7"/>
  <c r="O1497" i="7"/>
  <c r="S1496" i="7"/>
  <c r="R1496" i="7"/>
  <c r="Q1496" i="7"/>
  <c r="P1496" i="7"/>
  <c r="O1496" i="7"/>
  <c r="S1495" i="7"/>
  <c r="R1495" i="7"/>
  <c r="Q1495" i="7"/>
  <c r="P1495" i="7"/>
  <c r="O1495" i="7"/>
  <c r="S1494" i="7"/>
  <c r="R1494" i="7"/>
  <c r="Q1494" i="7"/>
  <c r="P1494" i="7"/>
  <c r="O1494" i="7"/>
  <c r="S1493" i="7"/>
  <c r="R1493" i="7"/>
  <c r="Q1493" i="7"/>
  <c r="P1493" i="7"/>
  <c r="O1493" i="7"/>
  <c r="S1492" i="7"/>
  <c r="R1492" i="7"/>
  <c r="Q1492" i="7"/>
  <c r="P1492" i="7"/>
  <c r="O1492" i="7"/>
  <c r="S1491" i="7"/>
  <c r="R1491" i="7"/>
  <c r="Q1491" i="7"/>
  <c r="P1491" i="7"/>
  <c r="O1491" i="7"/>
  <c r="S1490" i="7"/>
  <c r="R1490" i="7"/>
  <c r="Q1490" i="7"/>
  <c r="P1490" i="7"/>
  <c r="O1490" i="7"/>
  <c r="S1489" i="7"/>
  <c r="R1489" i="7"/>
  <c r="Q1489" i="7"/>
  <c r="P1489" i="7"/>
  <c r="O1489" i="7"/>
  <c r="S1488" i="7"/>
  <c r="R1488" i="7"/>
  <c r="Q1488" i="7"/>
  <c r="P1488" i="7"/>
  <c r="O1488" i="7"/>
  <c r="S1487" i="7"/>
  <c r="R1487" i="7"/>
  <c r="Q1487" i="7"/>
  <c r="P1487" i="7"/>
  <c r="O1487" i="7"/>
  <c r="S1486" i="7"/>
  <c r="R1486" i="7"/>
  <c r="Q1486" i="7"/>
  <c r="P1486" i="7"/>
  <c r="O1486" i="7"/>
  <c r="S1485" i="7"/>
  <c r="R1485" i="7"/>
  <c r="Q1485" i="7"/>
  <c r="P1485" i="7"/>
  <c r="O1485" i="7"/>
  <c r="S1484" i="7"/>
  <c r="R1484" i="7"/>
  <c r="Q1484" i="7"/>
  <c r="P1484" i="7"/>
  <c r="O1484" i="7"/>
  <c r="S1483" i="7"/>
  <c r="R1483" i="7"/>
  <c r="Q1483" i="7"/>
  <c r="P1483" i="7"/>
  <c r="O1483" i="7"/>
  <c r="S1482" i="7"/>
  <c r="R1482" i="7"/>
  <c r="Q1482" i="7"/>
  <c r="P1482" i="7"/>
  <c r="O1482" i="7"/>
  <c r="S1481" i="7"/>
  <c r="R1481" i="7"/>
  <c r="Q1481" i="7"/>
  <c r="P1481" i="7"/>
  <c r="O1481" i="7"/>
  <c r="S1480" i="7"/>
  <c r="R1480" i="7"/>
  <c r="Q1480" i="7"/>
  <c r="P1480" i="7"/>
  <c r="O1480" i="7"/>
  <c r="S1479" i="7"/>
  <c r="R1479" i="7"/>
  <c r="Q1479" i="7"/>
  <c r="P1479" i="7"/>
  <c r="O1479" i="7"/>
  <c r="S1478" i="7"/>
  <c r="R1478" i="7"/>
  <c r="Q1478" i="7"/>
  <c r="P1478" i="7"/>
  <c r="O1478" i="7"/>
  <c r="S1477" i="7"/>
  <c r="R1477" i="7"/>
  <c r="Q1477" i="7"/>
  <c r="P1477" i="7"/>
  <c r="O1477" i="7"/>
  <c r="S1476" i="7"/>
  <c r="R1476" i="7"/>
  <c r="Q1476" i="7"/>
  <c r="P1476" i="7"/>
  <c r="O1476" i="7"/>
  <c r="S1475" i="7"/>
  <c r="R1475" i="7"/>
  <c r="Q1475" i="7"/>
  <c r="P1475" i="7"/>
  <c r="O1475" i="7"/>
  <c r="S1474" i="7"/>
  <c r="R1474" i="7"/>
  <c r="Q1474" i="7"/>
  <c r="P1474" i="7"/>
  <c r="O1474" i="7"/>
  <c r="S1473" i="7"/>
  <c r="R1473" i="7"/>
  <c r="Q1473" i="7"/>
  <c r="P1473" i="7"/>
  <c r="O1473" i="7"/>
  <c r="S1472" i="7"/>
  <c r="R1472" i="7"/>
  <c r="Q1472" i="7"/>
  <c r="P1472" i="7"/>
  <c r="O1472" i="7"/>
  <c r="S1471" i="7"/>
  <c r="R1471" i="7"/>
  <c r="Q1471" i="7"/>
  <c r="P1471" i="7"/>
  <c r="O1471" i="7"/>
  <c r="S1470" i="7"/>
  <c r="R1470" i="7"/>
  <c r="Q1470" i="7"/>
  <c r="P1470" i="7"/>
  <c r="O1470" i="7"/>
  <c r="S1469" i="7"/>
  <c r="R1469" i="7"/>
  <c r="Q1469" i="7"/>
  <c r="P1469" i="7"/>
  <c r="O1469" i="7"/>
  <c r="S1468" i="7"/>
  <c r="R1468" i="7"/>
  <c r="Q1468" i="7"/>
  <c r="P1468" i="7"/>
  <c r="O1468" i="7"/>
  <c r="S1467" i="7"/>
  <c r="R1467" i="7"/>
  <c r="Q1467" i="7"/>
  <c r="P1467" i="7"/>
  <c r="O1467" i="7"/>
  <c r="S1466" i="7"/>
  <c r="R1466" i="7"/>
  <c r="Q1466" i="7"/>
  <c r="P1466" i="7"/>
  <c r="O1466" i="7"/>
  <c r="S1465" i="7"/>
  <c r="R1465" i="7"/>
  <c r="Q1465" i="7"/>
  <c r="P1465" i="7"/>
  <c r="O1465" i="7"/>
  <c r="S1464" i="7"/>
  <c r="R1464" i="7"/>
  <c r="Q1464" i="7"/>
  <c r="P1464" i="7"/>
  <c r="O1464" i="7"/>
  <c r="S1463" i="7"/>
  <c r="R1463" i="7"/>
  <c r="Q1463" i="7"/>
  <c r="P1463" i="7"/>
  <c r="O1463" i="7"/>
  <c r="S1462" i="7"/>
  <c r="R1462" i="7"/>
  <c r="Q1462" i="7"/>
  <c r="P1462" i="7"/>
  <c r="O1462" i="7"/>
  <c r="S1461" i="7"/>
  <c r="R1461" i="7"/>
  <c r="Q1461" i="7"/>
  <c r="P1461" i="7"/>
  <c r="O1461" i="7"/>
  <c r="S1460" i="7"/>
  <c r="R1460" i="7"/>
  <c r="Q1460" i="7"/>
  <c r="P1460" i="7"/>
  <c r="O1460" i="7"/>
  <c r="S1459" i="7"/>
  <c r="R1459" i="7"/>
  <c r="Q1459" i="7"/>
  <c r="P1459" i="7"/>
  <c r="O1459" i="7"/>
  <c r="S1458" i="7"/>
  <c r="R1458" i="7"/>
  <c r="Q1458" i="7"/>
  <c r="P1458" i="7"/>
  <c r="O1458" i="7"/>
  <c r="S1457" i="7"/>
  <c r="R1457" i="7"/>
  <c r="Q1457" i="7"/>
  <c r="P1457" i="7"/>
  <c r="O1457" i="7"/>
  <c r="S1456" i="7"/>
  <c r="R1456" i="7"/>
  <c r="Q1456" i="7"/>
  <c r="P1456" i="7"/>
  <c r="O1456" i="7"/>
  <c r="S1455" i="7"/>
  <c r="R1455" i="7"/>
  <c r="Q1455" i="7"/>
  <c r="P1455" i="7"/>
  <c r="O1455" i="7"/>
  <c r="S1454" i="7"/>
  <c r="R1454" i="7"/>
  <c r="Q1454" i="7"/>
  <c r="P1454" i="7"/>
  <c r="O1454" i="7"/>
  <c r="S1453" i="7"/>
  <c r="R1453" i="7"/>
  <c r="Q1453" i="7"/>
  <c r="P1453" i="7"/>
  <c r="O1453" i="7"/>
  <c r="S1452" i="7"/>
  <c r="R1452" i="7"/>
  <c r="Q1452" i="7"/>
  <c r="P1452" i="7"/>
  <c r="O1452" i="7"/>
  <c r="S1451" i="7"/>
  <c r="R1451" i="7"/>
  <c r="Q1451" i="7"/>
  <c r="P1451" i="7"/>
  <c r="O1451" i="7"/>
  <c r="S1450" i="7"/>
  <c r="R1450" i="7"/>
  <c r="Q1450" i="7"/>
  <c r="P1450" i="7"/>
  <c r="O1450" i="7"/>
  <c r="S1449" i="7"/>
  <c r="R1449" i="7"/>
  <c r="Q1449" i="7"/>
  <c r="P1449" i="7"/>
  <c r="O1449" i="7"/>
  <c r="S1448" i="7"/>
  <c r="R1448" i="7"/>
  <c r="Q1448" i="7"/>
  <c r="P1448" i="7"/>
  <c r="O1448" i="7"/>
  <c r="S1447" i="7"/>
  <c r="R1447" i="7"/>
  <c r="Q1447" i="7"/>
  <c r="P1447" i="7"/>
  <c r="O1447" i="7"/>
  <c r="S1446" i="7"/>
  <c r="R1446" i="7"/>
  <c r="Q1446" i="7"/>
  <c r="P1446" i="7"/>
  <c r="O1446" i="7"/>
  <c r="S1445" i="7"/>
  <c r="R1445" i="7"/>
  <c r="Q1445" i="7"/>
  <c r="P1445" i="7"/>
  <c r="O1445" i="7"/>
  <c r="S1444" i="7"/>
  <c r="R1444" i="7"/>
  <c r="Q1444" i="7"/>
  <c r="P1444" i="7"/>
  <c r="O1444" i="7"/>
  <c r="S1443" i="7"/>
  <c r="R1443" i="7"/>
  <c r="Q1443" i="7"/>
  <c r="P1443" i="7"/>
  <c r="O1443" i="7"/>
  <c r="S1442" i="7"/>
  <c r="R1442" i="7"/>
  <c r="Q1442" i="7"/>
  <c r="P1442" i="7"/>
  <c r="O1442" i="7"/>
  <c r="S1441" i="7"/>
  <c r="R1441" i="7"/>
  <c r="Q1441" i="7"/>
  <c r="P1441" i="7"/>
  <c r="O1441" i="7"/>
  <c r="S1440" i="7"/>
  <c r="R1440" i="7"/>
  <c r="Q1440" i="7"/>
  <c r="P1440" i="7"/>
  <c r="O1440" i="7"/>
  <c r="S1439" i="7"/>
  <c r="R1439" i="7"/>
  <c r="Q1439" i="7"/>
  <c r="P1439" i="7"/>
  <c r="O1439" i="7"/>
  <c r="S1438" i="7"/>
  <c r="R1438" i="7"/>
  <c r="Q1438" i="7"/>
  <c r="P1438" i="7"/>
  <c r="O1438" i="7"/>
  <c r="S1437" i="7"/>
  <c r="R1437" i="7"/>
  <c r="Q1437" i="7"/>
  <c r="P1437" i="7"/>
  <c r="O1437" i="7"/>
  <c r="S1436" i="7"/>
  <c r="R1436" i="7"/>
  <c r="Q1436" i="7"/>
  <c r="P1436" i="7"/>
  <c r="O1436" i="7"/>
  <c r="S1435" i="7"/>
  <c r="R1435" i="7"/>
  <c r="Q1435" i="7"/>
  <c r="P1435" i="7"/>
  <c r="O1435" i="7"/>
  <c r="S1434" i="7"/>
  <c r="R1434" i="7"/>
  <c r="Q1434" i="7"/>
  <c r="P1434" i="7"/>
  <c r="O1434" i="7"/>
  <c r="S1433" i="7"/>
  <c r="R1433" i="7"/>
  <c r="Q1433" i="7"/>
  <c r="P1433" i="7"/>
  <c r="O1433" i="7"/>
  <c r="S1432" i="7"/>
  <c r="R1432" i="7"/>
  <c r="Q1432" i="7"/>
  <c r="P1432" i="7"/>
  <c r="O1432" i="7"/>
  <c r="S1431" i="7"/>
  <c r="R1431" i="7"/>
  <c r="Q1431" i="7"/>
  <c r="P1431" i="7"/>
  <c r="O1431" i="7"/>
  <c r="S1430" i="7"/>
  <c r="R1430" i="7"/>
  <c r="Q1430" i="7"/>
  <c r="P1430" i="7"/>
  <c r="O1430" i="7"/>
  <c r="S1429" i="7"/>
  <c r="R1429" i="7"/>
  <c r="Q1429" i="7"/>
  <c r="P1429" i="7"/>
  <c r="O1429" i="7"/>
  <c r="S1428" i="7"/>
  <c r="R1428" i="7"/>
  <c r="Q1428" i="7"/>
  <c r="P1428" i="7"/>
  <c r="O1428" i="7"/>
  <c r="S1427" i="7"/>
  <c r="R1427" i="7"/>
  <c r="Q1427" i="7"/>
  <c r="P1427" i="7"/>
  <c r="O1427" i="7"/>
  <c r="S1426" i="7"/>
  <c r="R1426" i="7"/>
  <c r="Q1426" i="7"/>
  <c r="P1426" i="7"/>
  <c r="O1426" i="7"/>
  <c r="S1425" i="7"/>
  <c r="R1425" i="7"/>
  <c r="Q1425" i="7"/>
  <c r="P1425" i="7"/>
  <c r="O1425" i="7"/>
  <c r="S1424" i="7"/>
  <c r="R1424" i="7"/>
  <c r="Q1424" i="7"/>
  <c r="P1424" i="7"/>
  <c r="O1424" i="7"/>
  <c r="S1423" i="7"/>
  <c r="R1423" i="7"/>
  <c r="Q1423" i="7"/>
  <c r="P1423" i="7"/>
  <c r="O1423" i="7"/>
  <c r="S1422" i="7"/>
  <c r="R1422" i="7"/>
  <c r="Q1422" i="7"/>
  <c r="P1422" i="7"/>
  <c r="O1422" i="7"/>
  <c r="S1421" i="7"/>
  <c r="R1421" i="7"/>
  <c r="Q1421" i="7"/>
  <c r="P1421" i="7"/>
  <c r="O1421" i="7"/>
  <c r="S1420" i="7"/>
  <c r="R1420" i="7"/>
  <c r="Q1420" i="7"/>
  <c r="P1420" i="7"/>
  <c r="O1420" i="7"/>
  <c r="S1419" i="7"/>
  <c r="R1419" i="7"/>
  <c r="Q1419" i="7"/>
  <c r="P1419" i="7"/>
  <c r="O1419" i="7"/>
  <c r="S1418" i="7"/>
  <c r="R1418" i="7"/>
  <c r="Q1418" i="7"/>
  <c r="P1418" i="7"/>
  <c r="O1418" i="7"/>
  <c r="S1417" i="7"/>
  <c r="R1417" i="7"/>
  <c r="Q1417" i="7"/>
  <c r="P1417" i="7"/>
  <c r="O1417" i="7"/>
  <c r="S1416" i="7"/>
  <c r="R1416" i="7"/>
  <c r="Q1416" i="7"/>
  <c r="P1416" i="7"/>
  <c r="O1416" i="7"/>
  <c r="S1415" i="7"/>
  <c r="R1415" i="7"/>
  <c r="Q1415" i="7"/>
  <c r="P1415" i="7"/>
  <c r="O1415" i="7"/>
  <c r="S1414" i="7"/>
  <c r="R1414" i="7"/>
  <c r="Q1414" i="7"/>
  <c r="P1414" i="7"/>
  <c r="O1414" i="7"/>
  <c r="S1413" i="7"/>
  <c r="R1413" i="7"/>
  <c r="Q1413" i="7"/>
  <c r="P1413" i="7"/>
  <c r="O1413" i="7"/>
  <c r="S1412" i="7"/>
  <c r="R1412" i="7"/>
  <c r="Q1412" i="7"/>
  <c r="P1412" i="7"/>
  <c r="O1412" i="7"/>
  <c r="S1411" i="7"/>
  <c r="R1411" i="7"/>
  <c r="Q1411" i="7"/>
  <c r="P1411" i="7"/>
  <c r="O1411" i="7"/>
  <c r="S1410" i="7"/>
  <c r="R1410" i="7"/>
  <c r="Q1410" i="7"/>
  <c r="P1410" i="7"/>
  <c r="O1410" i="7"/>
  <c r="S1409" i="7"/>
  <c r="R1409" i="7"/>
  <c r="Q1409" i="7"/>
  <c r="P1409" i="7"/>
  <c r="O1409" i="7"/>
  <c r="S1408" i="7"/>
  <c r="R1408" i="7"/>
  <c r="Q1408" i="7"/>
  <c r="P1408" i="7"/>
  <c r="O1408" i="7"/>
  <c r="S1407" i="7"/>
  <c r="R1407" i="7"/>
  <c r="Q1407" i="7"/>
  <c r="P1407" i="7"/>
  <c r="O1407" i="7"/>
  <c r="S1406" i="7"/>
  <c r="R1406" i="7"/>
  <c r="Q1406" i="7"/>
  <c r="P1406" i="7"/>
  <c r="O1406" i="7"/>
  <c r="S1405" i="7"/>
  <c r="R1405" i="7"/>
  <c r="Q1405" i="7"/>
  <c r="P1405" i="7"/>
  <c r="O1405" i="7"/>
  <c r="S1404" i="7"/>
  <c r="R1404" i="7"/>
  <c r="Q1404" i="7"/>
  <c r="P1404" i="7"/>
  <c r="O1404" i="7"/>
  <c r="S1403" i="7"/>
  <c r="R1403" i="7"/>
  <c r="Q1403" i="7"/>
  <c r="P1403" i="7"/>
  <c r="O1403" i="7"/>
  <c r="S1402" i="7"/>
  <c r="R1402" i="7"/>
  <c r="Q1402" i="7"/>
  <c r="P1402" i="7"/>
  <c r="O1402" i="7"/>
  <c r="S1401" i="7"/>
  <c r="R1401" i="7"/>
  <c r="Q1401" i="7"/>
  <c r="P1401" i="7"/>
  <c r="O1401" i="7"/>
  <c r="S1400" i="7"/>
  <c r="R1400" i="7"/>
  <c r="Q1400" i="7"/>
  <c r="P1400" i="7"/>
  <c r="O1400" i="7"/>
  <c r="S1399" i="7"/>
  <c r="R1399" i="7"/>
  <c r="Q1399" i="7"/>
  <c r="P1399" i="7"/>
  <c r="O1399" i="7"/>
  <c r="S1398" i="7"/>
  <c r="R1398" i="7"/>
  <c r="Q1398" i="7"/>
  <c r="P1398" i="7"/>
  <c r="O1398" i="7"/>
  <c r="S1397" i="7"/>
  <c r="R1397" i="7"/>
  <c r="Q1397" i="7"/>
  <c r="P1397" i="7"/>
  <c r="O1397" i="7"/>
  <c r="S1396" i="7"/>
  <c r="R1396" i="7"/>
  <c r="Q1396" i="7"/>
  <c r="P1396" i="7"/>
  <c r="O1396" i="7"/>
  <c r="S1395" i="7"/>
  <c r="R1395" i="7"/>
  <c r="Q1395" i="7"/>
  <c r="P1395" i="7"/>
  <c r="O1395" i="7"/>
  <c r="S1394" i="7"/>
  <c r="R1394" i="7"/>
  <c r="Q1394" i="7"/>
  <c r="P1394" i="7"/>
  <c r="O1394" i="7"/>
  <c r="S1393" i="7"/>
  <c r="R1393" i="7"/>
  <c r="Q1393" i="7"/>
  <c r="P1393" i="7"/>
  <c r="O1393" i="7"/>
  <c r="S1392" i="7"/>
  <c r="R1392" i="7"/>
  <c r="Q1392" i="7"/>
  <c r="P1392" i="7"/>
  <c r="O1392" i="7"/>
  <c r="S1391" i="7"/>
  <c r="R1391" i="7"/>
  <c r="Q1391" i="7"/>
  <c r="P1391" i="7"/>
  <c r="O1391" i="7"/>
  <c r="S1390" i="7"/>
  <c r="R1390" i="7"/>
  <c r="Q1390" i="7"/>
  <c r="P1390" i="7"/>
  <c r="O1390" i="7"/>
  <c r="S1389" i="7"/>
  <c r="R1389" i="7"/>
  <c r="Q1389" i="7"/>
  <c r="P1389" i="7"/>
  <c r="O1389" i="7"/>
  <c r="S1388" i="7"/>
  <c r="R1388" i="7"/>
  <c r="Q1388" i="7"/>
  <c r="P1388" i="7"/>
  <c r="O1388" i="7"/>
  <c r="S1387" i="7"/>
  <c r="R1387" i="7"/>
  <c r="Q1387" i="7"/>
  <c r="P1387" i="7"/>
  <c r="O1387" i="7"/>
  <c r="S1386" i="7"/>
  <c r="R1386" i="7"/>
  <c r="Q1386" i="7"/>
  <c r="P1386" i="7"/>
  <c r="O1386" i="7"/>
  <c r="S1385" i="7"/>
  <c r="R1385" i="7"/>
  <c r="Q1385" i="7"/>
  <c r="P1385" i="7"/>
  <c r="O1385" i="7"/>
  <c r="S1384" i="7"/>
  <c r="R1384" i="7"/>
  <c r="Q1384" i="7"/>
  <c r="P1384" i="7"/>
  <c r="O1384" i="7"/>
  <c r="S1383" i="7"/>
  <c r="R1383" i="7"/>
  <c r="Q1383" i="7"/>
  <c r="P1383" i="7"/>
  <c r="O1383" i="7"/>
  <c r="S1382" i="7"/>
  <c r="R1382" i="7"/>
  <c r="Q1382" i="7"/>
  <c r="P1382" i="7"/>
  <c r="O1382" i="7"/>
  <c r="S1381" i="7"/>
  <c r="R1381" i="7"/>
  <c r="Q1381" i="7"/>
  <c r="P1381" i="7"/>
  <c r="O1381" i="7"/>
  <c r="S1380" i="7"/>
  <c r="R1380" i="7"/>
  <c r="Q1380" i="7"/>
  <c r="P1380" i="7"/>
  <c r="O1380" i="7"/>
  <c r="S1379" i="7"/>
  <c r="R1379" i="7"/>
  <c r="Q1379" i="7"/>
  <c r="P1379" i="7"/>
  <c r="O1379" i="7"/>
  <c r="S1378" i="7"/>
  <c r="R1378" i="7"/>
  <c r="Q1378" i="7"/>
  <c r="P1378" i="7"/>
  <c r="O1378" i="7"/>
  <c r="S1377" i="7"/>
  <c r="R1377" i="7"/>
  <c r="Q1377" i="7"/>
  <c r="P1377" i="7"/>
  <c r="O1377" i="7"/>
  <c r="S1376" i="7"/>
  <c r="R1376" i="7"/>
  <c r="Q1376" i="7"/>
  <c r="P1376" i="7"/>
  <c r="O1376" i="7"/>
  <c r="S1375" i="7"/>
  <c r="R1375" i="7"/>
  <c r="Q1375" i="7"/>
  <c r="P1375" i="7"/>
  <c r="O1375" i="7"/>
  <c r="S1374" i="7"/>
  <c r="R1374" i="7"/>
  <c r="Q1374" i="7"/>
  <c r="P1374" i="7"/>
  <c r="O1374" i="7"/>
  <c r="S1373" i="7"/>
  <c r="R1373" i="7"/>
  <c r="Q1373" i="7"/>
  <c r="P1373" i="7"/>
  <c r="O1373" i="7"/>
  <c r="S1372" i="7"/>
  <c r="R1372" i="7"/>
  <c r="Q1372" i="7"/>
  <c r="P1372" i="7"/>
  <c r="O1372" i="7"/>
  <c r="S1371" i="7"/>
  <c r="R1371" i="7"/>
  <c r="Q1371" i="7"/>
  <c r="P1371" i="7"/>
  <c r="O1371" i="7"/>
  <c r="S1370" i="7"/>
  <c r="R1370" i="7"/>
  <c r="Q1370" i="7"/>
  <c r="P1370" i="7"/>
  <c r="O1370" i="7"/>
  <c r="S1369" i="7"/>
  <c r="R1369" i="7"/>
  <c r="Q1369" i="7"/>
  <c r="P1369" i="7"/>
  <c r="O1369" i="7"/>
  <c r="S1368" i="7"/>
  <c r="R1368" i="7"/>
  <c r="Q1368" i="7"/>
  <c r="P1368" i="7"/>
  <c r="O1368" i="7"/>
  <c r="S1367" i="7"/>
  <c r="R1367" i="7"/>
  <c r="Q1367" i="7"/>
  <c r="P1367" i="7"/>
  <c r="O1367" i="7"/>
  <c r="S1366" i="7"/>
  <c r="R1366" i="7"/>
  <c r="Q1366" i="7"/>
  <c r="P1366" i="7"/>
  <c r="O1366" i="7"/>
  <c r="S1365" i="7"/>
  <c r="R1365" i="7"/>
  <c r="Q1365" i="7"/>
  <c r="P1365" i="7"/>
  <c r="O1365" i="7"/>
  <c r="S1364" i="7"/>
  <c r="R1364" i="7"/>
  <c r="Q1364" i="7"/>
  <c r="P1364" i="7"/>
  <c r="O1364" i="7"/>
  <c r="S1363" i="7"/>
  <c r="R1363" i="7"/>
  <c r="Q1363" i="7"/>
  <c r="P1363" i="7"/>
  <c r="O1363" i="7"/>
  <c r="S1362" i="7"/>
  <c r="R1362" i="7"/>
  <c r="Q1362" i="7"/>
  <c r="P1362" i="7"/>
  <c r="O1362" i="7"/>
  <c r="S1361" i="7"/>
  <c r="R1361" i="7"/>
  <c r="Q1361" i="7"/>
  <c r="P1361" i="7"/>
  <c r="O1361" i="7"/>
  <c r="S1360" i="7"/>
  <c r="R1360" i="7"/>
  <c r="Q1360" i="7"/>
  <c r="P1360" i="7"/>
  <c r="O1360" i="7"/>
  <c r="S1359" i="7"/>
  <c r="R1359" i="7"/>
  <c r="Q1359" i="7"/>
  <c r="P1359" i="7"/>
  <c r="O1359" i="7"/>
  <c r="S1358" i="7"/>
  <c r="R1358" i="7"/>
  <c r="Q1358" i="7"/>
  <c r="P1358" i="7"/>
  <c r="O1358" i="7"/>
  <c r="S1357" i="7"/>
  <c r="R1357" i="7"/>
  <c r="Q1357" i="7"/>
  <c r="P1357" i="7"/>
  <c r="O1357" i="7"/>
  <c r="S1356" i="7"/>
  <c r="R1356" i="7"/>
  <c r="Q1356" i="7"/>
  <c r="P1356" i="7"/>
  <c r="O1356" i="7"/>
  <c r="S1355" i="7"/>
  <c r="R1355" i="7"/>
  <c r="Q1355" i="7"/>
  <c r="P1355" i="7"/>
  <c r="O1355" i="7"/>
  <c r="S1354" i="7"/>
  <c r="R1354" i="7"/>
  <c r="Q1354" i="7"/>
  <c r="P1354" i="7"/>
  <c r="O1354" i="7"/>
  <c r="S1353" i="7"/>
  <c r="R1353" i="7"/>
  <c r="Q1353" i="7"/>
  <c r="P1353" i="7"/>
  <c r="O1353" i="7"/>
  <c r="S1352" i="7"/>
  <c r="R1352" i="7"/>
  <c r="Q1352" i="7"/>
  <c r="P1352" i="7"/>
  <c r="O1352" i="7"/>
  <c r="S1351" i="7"/>
  <c r="R1351" i="7"/>
  <c r="Q1351" i="7"/>
  <c r="P1351" i="7"/>
  <c r="O1351" i="7"/>
  <c r="S1350" i="7"/>
  <c r="R1350" i="7"/>
  <c r="Q1350" i="7"/>
  <c r="P1350" i="7"/>
  <c r="O1350" i="7"/>
  <c r="S1349" i="7"/>
  <c r="R1349" i="7"/>
  <c r="Q1349" i="7"/>
  <c r="P1349" i="7"/>
  <c r="O1349" i="7"/>
  <c r="S1348" i="7"/>
  <c r="R1348" i="7"/>
  <c r="Q1348" i="7"/>
  <c r="P1348" i="7"/>
  <c r="O1348" i="7"/>
  <c r="S1347" i="7"/>
  <c r="R1347" i="7"/>
  <c r="Q1347" i="7"/>
  <c r="P1347" i="7"/>
  <c r="O1347" i="7"/>
  <c r="S1346" i="7"/>
  <c r="R1346" i="7"/>
  <c r="Q1346" i="7"/>
  <c r="P1346" i="7"/>
  <c r="O1346" i="7"/>
  <c r="S1345" i="7"/>
  <c r="R1345" i="7"/>
  <c r="Q1345" i="7"/>
  <c r="P1345" i="7"/>
  <c r="O1345" i="7"/>
  <c r="S1344" i="7"/>
  <c r="R1344" i="7"/>
  <c r="Q1344" i="7"/>
  <c r="P1344" i="7"/>
  <c r="O1344" i="7"/>
  <c r="S1343" i="7"/>
  <c r="R1343" i="7"/>
  <c r="Q1343" i="7"/>
  <c r="P1343" i="7"/>
  <c r="O1343" i="7"/>
  <c r="S1342" i="7"/>
  <c r="R1342" i="7"/>
  <c r="Q1342" i="7"/>
  <c r="P1342" i="7"/>
  <c r="O1342" i="7"/>
  <c r="S1341" i="7"/>
  <c r="R1341" i="7"/>
  <c r="Q1341" i="7"/>
  <c r="P1341" i="7"/>
  <c r="O1341" i="7"/>
  <c r="S1340" i="7"/>
  <c r="R1340" i="7"/>
  <c r="Q1340" i="7"/>
  <c r="P1340" i="7"/>
  <c r="O1340" i="7"/>
  <c r="S1339" i="7"/>
  <c r="R1339" i="7"/>
  <c r="Q1339" i="7"/>
  <c r="P1339" i="7"/>
  <c r="O1339" i="7"/>
  <c r="S1338" i="7"/>
  <c r="R1338" i="7"/>
  <c r="Q1338" i="7"/>
  <c r="P1338" i="7"/>
  <c r="O1338" i="7"/>
  <c r="S1337" i="7"/>
  <c r="R1337" i="7"/>
  <c r="Q1337" i="7"/>
  <c r="P1337" i="7"/>
  <c r="O1337" i="7"/>
  <c r="S1336" i="7"/>
  <c r="R1336" i="7"/>
  <c r="Q1336" i="7"/>
  <c r="P1336" i="7"/>
  <c r="O1336" i="7"/>
  <c r="S1335" i="7"/>
  <c r="R1335" i="7"/>
  <c r="Q1335" i="7"/>
  <c r="P1335" i="7"/>
  <c r="O1335" i="7"/>
  <c r="S1334" i="7"/>
  <c r="R1334" i="7"/>
  <c r="Q1334" i="7"/>
  <c r="P1334" i="7"/>
  <c r="O1334" i="7"/>
  <c r="S1333" i="7"/>
  <c r="R1333" i="7"/>
  <c r="Q1333" i="7"/>
  <c r="P1333" i="7"/>
  <c r="O1333" i="7"/>
  <c r="S1332" i="7"/>
  <c r="R1332" i="7"/>
  <c r="Q1332" i="7"/>
  <c r="P1332" i="7"/>
  <c r="O1332" i="7"/>
  <c r="S1331" i="7"/>
  <c r="R1331" i="7"/>
  <c r="Q1331" i="7"/>
  <c r="P1331" i="7"/>
  <c r="O1331" i="7"/>
  <c r="S1330" i="7"/>
  <c r="R1330" i="7"/>
  <c r="Q1330" i="7"/>
  <c r="P1330" i="7"/>
  <c r="O1330" i="7"/>
  <c r="S1329" i="7"/>
  <c r="R1329" i="7"/>
  <c r="Q1329" i="7"/>
  <c r="P1329" i="7"/>
  <c r="O1329" i="7"/>
  <c r="S1328" i="7"/>
  <c r="R1328" i="7"/>
  <c r="Q1328" i="7"/>
  <c r="P1328" i="7"/>
  <c r="O1328" i="7"/>
  <c r="S1327" i="7"/>
  <c r="R1327" i="7"/>
  <c r="Q1327" i="7"/>
  <c r="P1327" i="7"/>
  <c r="O1327" i="7"/>
  <c r="S1326" i="7"/>
  <c r="R1326" i="7"/>
  <c r="Q1326" i="7"/>
  <c r="P1326" i="7"/>
  <c r="O1326" i="7"/>
  <c r="S1325" i="7"/>
  <c r="R1325" i="7"/>
  <c r="Q1325" i="7"/>
  <c r="P1325" i="7"/>
  <c r="O1325" i="7"/>
  <c r="S1324" i="7"/>
  <c r="R1324" i="7"/>
  <c r="Q1324" i="7"/>
  <c r="P1324" i="7"/>
  <c r="O1324" i="7"/>
  <c r="S1323" i="7"/>
  <c r="R1323" i="7"/>
  <c r="Q1323" i="7"/>
  <c r="P1323" i="7"/>
  <c r="O1323" i="7"/>
  <c r="S1322" i="7"/>
  <c r="R1322" i="7"/>
  <c r="Q1322" i="7"/>
  <c r="P1322" i="7"/>
  <c r="O1322" i="7"/>
  <c r="S1321" i="7"/>
  <c r="R1321" i="7"/>
  <c r="Q1321" i="7"/>
  <c r="P1321" i="7"/>
  <c r="O1321" i="7"/>
  <c r="S1320" i="7"/>
  <c r="R1320" i="7"/>
  <c r="Q1320" i="7"/>
  <c r="P1320" i="7"/>
  <c r="O1320" i="7"/>
  <c r="S1319" i="7"/>
  <c r="R1319" i="7"/>
  <c r="Q1319" i="7"/>
  <c r="P1319" i="7"/>
  <c r="O1319" i="7"/>
  <c r="S1318" i="7"/>
  <c r="R1318" i="7"/>
  <c r="Q1318" i="7"/>
  <c r="P1318" i="7"/>
  <c r="O1318" i="7"/>
  <c r="S1317" i="7"/>
  <c r="R1317" i="7"/>
  <c r="Q1317" i="7"/>
  <c r="P1317" i="7"/>
  <c r="O1317" i="7"/>
  <c r="S1316" i="7"/>
  <c r="R1316" i="7"/>
  <c r="Q1316" i="7"/>
  <c r="P1316" i="7"/>
  <c r="O1316" i="7"/>
  <c r="S1315" i="7"/>
  <c r="R1315" i="7"/>
  <c r="Q1315" i="7"/>
  <c r="P1315" i="7"/>
  <c r="O1315" i="7"/>
  <c r="S1314" i="7"/>
  <c r="R1314" i="7"/>
  <c r="Q1314" i="7"/>
  <c r="P1314" i="7"/>
  <c r="O1314" i="7"/>
  <c r="S1313" i="7"/>
  <c r="R1313" i="7"/>
  <c r="Q1313" i="7"/>
  <c r="P1313" i="7"/>
  <c r="O1313" i="7"/>
  <c r="S1312" i="7"/>
  <c r="R1312" i="7"/>
  <c r="Q1312" i="7"/>
  <c r="P1312" i="7"/>
  <c r="O1312" i="7"/>
  <c r="S1311" i="7"/>
  <c r="R1311" i="7"/>
  <c r="Q1311" i="7"/>
  <c r="P1311" i="7"/>
  <c r="O1311" i="7"/>
  <c r="S1310" i="7"/>
  <c r="R1310" i="7"/>
  <c r="Q1310" i="7"/>
  <c r="P1310" i="7"/>
  <c r="O1310" i="7"/>
  <c r="S1309" i="7"/>
  <c r="R1309" i="7"/>
  <c r="Q1309" i="7"/>
  <c r="P1309" i="7"/>
  <c r="O1309" i="7"/>
  <c r="S1308" i="7"/>
  <c r="R1308" i="7"/>
  <c r="Q1308" i="7"/>
  <c r="P1308" i="7"/>
  <c r="O1308" i="7"/>
  <c r="S1307" i="7"/>
  <c r="R1307" i="7"/>
  <c r="Q1307" i="7"/>
  <c r="P1307" i="7"/>
  <c r="O1307" i="7"/>
  <c r="S1306" i="7"/>
  <c r="R1306" i="7"/>
  <c r="Q1306" i="7"/>
  <c r="P1306" i="7"/>
  <c r="O1306" i="7"/>
  <c r="S1305" i="7"/>
  <c r="R1305" i="7"/>
  <c r="Q1305" i="7"/>
  <c r="P1305" i="7"/>
  <c r="O1305" i="7"/>
  <c r="S1304" i="7"/>
  <c r="R1304" i="7"/>
  <c r="Q1304" i="7"/>
  <c r="P1304" i="7"/>
  <c r="O1304" i="7"/>
  <c r="S1303" i="7"/>
  <c r="R1303" i="7"/>
  <c r="Q1303" i="7"/>
  <c r="P1303" i="7"/>
  <c r="O1303" i="7"/>
  <c r="S1302" i="7"/>
  <c r="R1302" i="7"/>
  <c r="Q1302" i="7"/>
  <c r="P1302" i="7"/>
  <c r="O1302" i="7"/>
  <c r="S1301" i="7"/>
  <c r="R1301" i="7"/>
  <c r="Q1301" i="7"/>
  <c r="P1301" i="7"/>
  <c r="O1301" i="7"/>
  <c r="S1300" i="7"/>
  <c r="R1300" i="7"/>
  <c r="Q1300" i="7"/>
  <c r="P1300" i="7"/>
  <c r="O1300" i="7"/>
  <c r="S1299" i="7"/>
  <c r="R1299" i="7"/>
  <c r="Q1299" i="7"/>
  <c r="P1299" i="7"/>
  <c r="O1299" i="7"/>
  <c r="S1298" i="7"/>
  <c r="R1298" i="7"/>
  <c r="Q1298" i="7"/>
  <c r="P1298" i="7"/>
  <c r="O1298" i="7"/>
  <c r="S1297" i="7"/>
  <c r="R1297" i="7"/>
  <c r="Q1297" i="7"/>
  <c r="P1297" i="7"/>
  <c r="O1297" i="7"/>
  <c r="S1296" i="7"/>
  <c r="R1296" i="7"/>
  <c r="Q1296" i="7"/>
  <c r="P1296" i="7"/>
  <c r="O1296" i="7"/>
  <c r="S1295" i="7"/>
  <c r="R1295" i="7"/>
  <c r="Q1295" i="7"/>
  <c r="P1295" i="7"/>
  <c r="O1295" i="7"/>
  <c r="S1294" i="7"/>
  <c r="R1294" i="7"/>
  <c r="Q1294" i="7"/>
  <c r="P1294" i="7"/>
  <c r="O1294" i="7"/>
  <c r="S1293" i="7"/>
  <c r="R1293" i="7"/>
  <c r="Q1293" i="7"/>
  <c r="P1293" i="7"/>
  <c r="O1293" i="7"/>
  <c r="S1292" i="7"/>
  <c r="R1292" i="7"/>
  <c r="Q1292" i="7"/>
  <c r="P1292" i="7"/>
  <c r="O1292" i="7"/>
  <c r="S1291" i="7"/>
  <c r="R1291" i="7"/>
  <c r="Q1291" i="7"/>
  <c r="P1291" i="7"/>
  <c r="O1291" i="7"/>
  <c r="S1290" i="7"/>
  <c r="R1290" i="7"/>
  <c r="Q1290" i="7"/>
  <c r="P1290" i="7"/>
  <c r="O1290" i="7"/>
  <c r="S1289" i="7"/>
  <c r="R1289" i="7"/>
  <c r="Q1289" i="7"/>
  <c r="P1289" i="7"/>
  <c r="O1289" i="7"/>
  <c r="S1288" i="7"/>
  <c r="R1288" i="7"/>
  <c r="Q1288" i="7"/>
  <c r="P1288" i="7"/>
  <c r="O1288" i="7"/>
  <c r="S1287" i="7"/>
  <c r="R1287" i="7"/>
  <c r="Q1287" i="7"/>
  <c r="P1287" i="7"/>
  <c r="O1287" i="7"/>
  <c r="S1286" i="7"/>
  <c r="R1286" i="7"/>
  <c r="Q1286" i="7"/>
  <c r="P1286" i="7"/>
  <c r="O1286" i="7"/>
  <c r="S1285" i="7"/>
  <c r="R1285" i="7"/>
  <c r="Q1285" i="7"/>
  <c r="P1285" i="7"/>
  <c r="O1285" i="7"/>
  <c r="S1284" i="7"/>
  <c r="R1284" i="7"/>
  <c r="Q1284" i="7"/>
  <c r="P1284" i="7"/>
  <c r="O1284" i="7"/>
  <c r="S1283" i="7"/>
  <c r="R1283" i="7"/>
  <c r="Q1283" i="7"/>
  <c r="P1283" i="7"/>
  <c r="O1283" i="7"/>
  <c r="S1282" i="7"/>
  <c r="R1282" i="7"/>
  <c r="Q1282" i="7"/>
  <c r="P1282" i="7"/>
  <c r="O1282" i="7"/>
  <c r="S1281" i="7"/>
  <c r="R1281" i="7"/>
  <c r="Q1281" i="7"/>
  <c r="P1281" i="7"/>
  <c r="O1281" i="7"/>
  <c r="S1280" i="7"/>
  <c r="R1280" i="7"/>
  <c r="Q1280" i="7"/>
  <c r="P1280" i="7"/>
  <c r="O1280" i="7"/>
  <c r="S1279" i="7"/>
  <c r="R1279" i="7"/>
  <c r="Q1279" i="7"/>
  <c r="P1279" i="7"/>
  <c r="O1279" i="7"/>
  <c r="S1278" i="7"/>
  <c r="R1278" i="7"/>
  <c r="Q1278" i="7"/>
  <c r="P1278" i="7"/>
  <c r="O1278" i="7"/>
  <c r="S1277" i="7"/>
  <c r="R1277" i="7"/>
  <c r="Q1277" i="7"/>
  <c r="P1277" i="7"/>
  <c r="O1277" i="7"/>
  <c r="S1276" i="7"/>
  <c r="R1276" i="7"/>
  <c r="Q1276" i="7"/>
  <c r="P1276" i="7"/>
  <c r="O1276" i="7"/>
  <c r="S1275" i="7"/>
  <c r="R1275" i="7"/>
  <c r="Q1275" i="7"/>
  <c r="P1275" i="7"/>
  <c r="O1275" i="7"/>
  <c r="S1274" i="7"/>
  <c r="R1274" i="7"/>
  <c r="Q1274" i="7"/>
  <c r="P1274" i="7"/>
  <c r="O1274" i="7"/>
  <c r="S1273" i="7"/>
  <c r="R1273" i="7"/>
  <c r="Q1273" i="7"/>
  <c r="P1273" i="7"/>
  <c r="O1273" i="7"/>
  <c r="S1272" i="7"/>
  <c r="R1272" i="7"/>
  <c r="Q1272" i="7"/>
  <c r="P1272" i="7"/>
  <c r="O1272" i="7"/>
  <c r="S1271" i="7"/>
  <c r="R1271" i="7"/>
  <c r="Q1271" i="7"/>
  <c r="P1271" i="7"/>
  <c r="O1271" i="7"/>
  <c r="S1270" i="7"/>
  <c r="R1270" i="7"/>
  <c r="Q1270" i="7"/>
  <c r="P1270" i="7"/>
  <c r="O1270" i="7"/>
  <c r="S1269" i="7"/>
  <c r="R1269" i="7"/>
  <c r="Q1269" i="7"/>
  <c r="P1269" i="7"/>
  <c r="O1269" i="7"/>
  <c r="S1268" i="7"/>
  <c r="R1268" i="7"/>
  <c r="Q1268" i="7"/>
  <c r="P1268" i="7"/>
  <c r="O1268" i="7"/>
  <c r="S1267" i="7"/>
  <c r="R1267" i="7"/>
  <c r="Q1267" i="7"/>
  <c r="P1267" i="7"/>
  <c r="O1267" i="7"/>
  <c r="S1266" i="7"/>
  <c r="R1266" i="7"/>
  <c r="Q1266" i="7"/>
  <c r="P1266" i="7"/>
  <c r="O1266" i="7"/>
  <c r="S1265" i="7"/>
  <c r="R1265" i="7"/>
  <c r="Q1265" i="7"/>
  <c r="P1265" i="7"/>
  <c r="O1265" i="7"/>
  <c r="S1264" i="7"/>
  <c r="R1264" i="7"/>
  <c r="Q1264" i="7"/>
  <c r="P1264" i="7"/>
  <c r="O1264" i="7"/>
  <c r="S1263" i="7"/>
  <c r="R1263" i="7"/>
  <c r="Q1263" i="7"/>
  <c r="P1263" i="7"/>
  <c r="O1263" i="7"/>
  <c r="S1262" i="7"/>
  <c r="R1262" i="7"/>
  <c r="Q1262" i="7"/>
  <c r="P1262" i="7"/>
  <c r="O1262" i="7"/>
  <c r="S1261" i="7"/>
  <c r="R1261" i="7"/>
  <c r="Q1261" i="7"/>
  <c r="P1261" i="7"/>
  <c r="O1261" i="7"/>
  <c r="S1260" i="7"/>
  <c r="R1260" i="7"/>
  <c r="Q1260" i="7"/>
  <c r="P1260" i="7"/>
  <c r="O1260" i="7"/>
  <c r="S1259" i="7"/>
  <c r="R1259" i="7"/>
  <c r="Q1259" i="7"/>
  <c r="P1259" i="7"/>
  <c r="O1259" i="7"/>
  <c r="S1258" i="7"/>
  <c r="R1258" i="7"/>
  <c r="Q1258" i="7"/>
  <c r="P1258" i="7"/>
  <c r="O1258" i="7"/>
  <c r="S1257" i="7"/>
  <c r="R1257" i="7"/>
  <c r="Q1257" i="7"/>
  <c r="P1257" i="7"/>
  <c r="O1257" i="7"/>
  <c r="S1256" i="7"/>
  <c r="R1256" i="7"/>
  <c r="Q1256" i="7"/>
  <c r="P1256" i="7"/>
  <c r="O1256" i="7"/>
  <c r="S1255" i="7"/>
  <c r="R1255" i="7"/>
  <c r="Q1255" i="7"/>
  <c r="P1255" i="7"/>
  <c r="O1255" i="7"/>
  <c r="S1254" i="7"/>
  <c r="R1254" i="7"/>
  <c r="Q1254" i="7"/>
  <c r="P1254" i="7"/>
  <c r="O1254" i="7"/>
  <c r="S1253" i="7"/>
  <c r="R1253" i="7"/>
  <c r="Q1253" i="7"/>
  <c r="P1253" i="7"/>
  <c r="O1253" i="7"/>
  <c r="S1252" i="7"/>
  <c r="R1252" i="7"/>
  <c r="Q1252" i="7"/>
  <c r="P1252" i="7"/>
  <c r="O1252" i="7"/>
  <c r="S1251" i="7"/>
  <c r="R1251" i="7"/>
  <c r="Q1251" i="7"/>
  <c r="P1251" i="7"/>
  <c r="O1251" i="7"/>
  <c r="S1250" i="7"/>
  <c r="R1250" i="7"/>
  <c r="Q1250" i="7"/>
  <c r="P1250" i="7"/>
  <c r="O1250" i="7"/>
  <c r="S1249" i="7"/>
  <c r="R1249" i="7"/>
  <c r="Q1249" i="7"/>
  <c r="P1249" i="7"/>
  <c r="O1249" i="7"/>
  <c r="S1248" i="7"/>
  <c r="R1248" i="7"/>
  <c r="Q1248" i="7"/>
  <c r="P1248" i="7"/>
  <c r="O1248" i="7"/>
  <c r="S1247" i="7"/>
  <c r="R1247" i="7"/>
  <c r="Q1247" i="7"/>
  <c r="P1247" i="7"/>
  <c r="O1247" i="7"/>
  <c r="S1246" i="7"/>
  <c r="R1246" i="7"/>
  <c r="Q1246" i="7"/>
  <c r="P1246" i="7"/>
  <c r="O1246" i="7"/>
  <c r="S1245" i="7"/>
  <c r="R1245" i="7"/>
  <c r="Q1245" i="7"/>
  <c r="P1245" i="7"/>
  <c r="O1245" i="7"/>
  <c r="S1244" i="7"/>
  <c r="R1244" i="7"/>
  <c r="Q1244" i="7"/>
  <c r="P1244" i="7"/>
  <c r="O1244" i="7"/>
  <c r="S1243" i="7"/>
  <c r="R1243" i="7"/>
  <c r="Q1243" i="7"/>
  <c r="P1243" i="7"/>
  <c r="O1243" i="7"/>
  <c r="S1242" i="7"/>
  <c r="R1242" i="7"/>
  <c r="Q1242" i="7"/>
  <c r="P1242" i="7"/>
  <c r="O1242" i="7"/>
  <c r="S1241" i="7"/>
  <c r="R1241" i="7"/>
  <c r="Q1241" i="7"/>
  <c r="P1241" i="7"/>
  <c r="O1241" i="7"/>
  <c r="S1240" i="7"/>
  <c r="R1240" i="7"/>
  <c r="Q1240" i="7"/>
  <c r="P1240" i="7"/>
  <c r="O1240" i="7"/>
  <c r="S1239" i="7"/>
  <c r="R1239" i="7"/>
  <c r="Q1239" i="7"/>
  <c r="P1239" i="7"/>
  <c r="O1239" i="7"/>
  <c r="S1238" i="7"/>
  <c r="R1238" i="7"/>
  <c r="Q1238" i="7"/>
  <c r="P1238" i="7"/>
  <c r="O1238" i="7"/>
  <c r="S1237" i="7"/>
  <c r="R1237" i="7"/>
  <c r="Q1237" i="7"/>
  <c r="P1237" i="7"/>
  <c r="O1237" i="7"/>
  <c r="S1236" i="7"/>
  <c r="R1236" i="7"/>
  <c r="Q1236" i="7"/>
  <c r="P1236" i="7"/>
  <c r="O1236" i="7"/>
  <c r="S1235" i="7"/>
  <c r="R1235" i="7"/>
  <c r="Q1235" i="7"/>
  <c r="P1235" i="7"/>
  <c r="O1235" i="7"/>
  <c r="S1234" i="7"/>
  <c r="R1234" i="7"/>
  <c r="Q1234" i="7"/>
  <c r="P1234" i="7"/>
  <c r="O1234" i="7"/>
  <c r="S1233" i="7"/>
  <c r="R1233" i="7"/>
  <c r="Q1233" i="7"/>
  <c r="P1233" i="7"/>
  <c r="O1233" i="7"/>
  <c r="S1232" i="7"/>
  <c r="R1232" i="7"/>
  <c r="Q1232" i="7"/>
  <c r="P1232" i="7"/>
  <c r="O1232" i="7"/>
  <c r="S1231" i="7"/>
  <c r="R1231" i="7"/>
  <c r="Q1231" i="7"/>
  <c r="P1231" i="7"/>
  <c r="O1231" i="7"/>
  <c r="S1230" i="7"/>
  <c r="R1230" i="7"/>
  <c r="Q1230" i="7"/>
  <c r="P1230" i="7"/>
  <c r="O1230" i="7"/>
  <c r="S1229" i="7"/>
  <c r="R1229" i="7"/>
  <c r="Q1229" i="7"/>
  <c r="P1229" i="7"/>
  <c r="O1229" i="7"/>
  <c r="S1228" i="7"/>
  <c r="R1228" i="7"/>
  <c r="Q1228" i="7"/>
  <c r="P1228" i="7"/>
  <c r="O1228" i="7"/>
  <c r="S1227" i="7"/>
  <c r="R1227" i="7"/>
  <c r="Q1227" i="7"/>
  <c r="P1227" i="7"/>
  <c r="O1227" i="7"/>
  <c r="S1226" i="7"/>
  <c r="R1226" i="7"/>
  <c r="Q1226" i="7"/>
  <c r="P1226" i="7"/>
  <c r="O1226" i="7"/>
  <c r="S1225" i="7"/>
  <c r="R1225" i="7"/>
  <c r="Q1225" i="7"/>
  <c r="P1225" i="7"/>
  <c r="O1225" i="7"/>
  <c r="S1224" i="7"/>
  <c r="R1224" i="7"/>
  <c r="Q1224" i="7"/>
  <c r="P1224" i="7"/>
  <c r="O1224" i="7"/>
  <c r="S1223" i="7"/>
  <c r="R1223" i="7"/>
  <c r="Q1223" i="7"/>
  <c r="P1223" i="7"/>
  <c r="O1223" i="7"/>
  <c r="S1222" i="7"/>
  <c r="R1222" i="7"/>
  <c r="Q1222" i="7"/>
  <c r="P1222" i="7"/>
  <c r="O1222" i="7"/>
  <c r="S1221" i="7"/>
  <c r="R1221" i="7"/>
  <c r="Q1221" i="7"/>
  <c r="P1221" i="7"/>
  <c r="O1221" i="7"/>
  <c r="S1220" i="7"/>
  <c r="R1220" i="7"/>
  <c r="Q1220" i="7"/>
  <c r="P1220" i="7"/>
  <c r="O1220" i="7"/>
  <c r="S1219" i="7"/>
  <c r="R1219" i="7"/>
  <c r="Q1219" i="7"/>
  <c r="P1219" i="7"/>
  <c r="O1219" i="7"/>
  <c r="S1218" i="7"/>
  <c r="R1218" i="7"/>
  <c r="Q1218" i="7"/>
  <c r="P1218" i="7"/>
  <c r="O1218" i="7"/>
  <c r="S1217" i="7"/>
  <c r="R1217" i="7"/>
  <c r="Q1217" i="7"/>
  <c r="P1217" i="7"/>
  <c r="O1217" i="7"/>
  <c r="S1216" i="7"/>
  <c r="R1216" i="7"/>
  <c r="Q1216" i="7"/>
  <c r="P1216" i="7"/>
  <c r="O1216" i="7"/>
  <c r="S1215" i="7"/>
  <c r="R1215" i="7"/>
  <c r="Q1215" i="7"/>
  <c r="P1215" i="7"/>
  <c r="O1215" i="7"/>
  <c r="S1214" i="7"/>
  <c r="R1214" i="7"/>
  <c r="Q1214" i="7"/>
  <c r="P1214" i="7"/>
  <c r="O1214" i="7"/>
  <c r="S1213" i="7"/>
  <c r="R1213" i="7"/>
  <c r="Q1213" i="7"/>
  <c r="P1213" i="7"/>
  <c r="O1213" i="7"/>
  <c r="S1212" i="7"/>
  <c r="R1212" i="7"/>
  <c r="Q1212" i="7"/>
  <c r="P1212" i="7"/>
  <c r="O1212" i="7"/>
  <c r="S1211" i="7"/>
  <c r="R1211" i="7"/>
  <c r="Q1211" i="7"/>
  <c r="P1211" i="7"/>
  <c r="O1211" i="7"/>
  <c r="S1210" i="7"/>
  <c r="R1210" i="7"/>
  <c r="Q1210" i="7"/>
  <c r="P1210" i="7"/>
  <c r="O1210" i="7"/>
  <c r="S1209" i="7"/>
  <c r="R1209" i="7"/>
  <c r="Q1209" i="7"/>
  <c r="P1209" i="7"/>
  <c r="O1209" i="7"/>
  <c r="S1208" i="7"/>
  <c r="R1208" i="7"/>
  <c r="Q1208" i="7"/>
  <c r="P1208" i="7"/>
  <c r="O1208" i="7"/>
  <c r="S1207" i="7"/>
  <c r="R1207" i="7"/>
  <c r="Q1207" i="7"/>
  <c r="P1207" i="7"/>
  <c r="O1207" i="7"/>
  <c r="S1206" i="7"/>
  <c r="R1206" i="7"/>
  <c r="Q1206" i="7"/>
  <c r="P1206" i="7"/>
  <c r="O1206" i="7"/>
  <c r="S1205" i="7"/>
  <c r="R1205" i="7"/>
  <c r="Q1205" i="7"/>
  <c r="P1205" i="7"/>
  <c r="O1205" i="7"/>
  <c r="S1204" i="7"/>
  <c r="R1204" i="7"/>
  <c r="Q1204" i="7"/>
  <c r="P1204" i="7"/>
  <c r="O1204" i="7"/>
  <c r="S1203" i="7"/>
  <c r="R1203" i="7"/>
  <c r="Q1203" i="7"/>
  <c r="P1203" i="7"/>
  <c r="O1203" i="7"/>
  <c r="S1202" i="7"/>
  <c r="R1202" i="7"/>
  <c r="Q1202" i="7"/>
  <c r="P1202" i="7"/>
  <c r="O1202" i="7"/>
  <c r="S1201" i="7"/>
  <c r="R1201" i="7"/>
  <c r="Q1201" i="7"/>
  <c r="P1201" i="7"/>
  <c r="O1201" i="7"/>
  <c r="S1200" i="7"/>
  <c r="R1200" i="7"/>
  <c r="Q1200" i="7"/>
  <c r="P1200" i="7"/>
  <c r="O1200" i="7"/>
  <c r="S1199" i="7"/>
  <c r="R1199" i="7"/>
  <c r="Q1199" i="7"/>
  <c r="P1199" i="7"/>
  <c r="O1199" i="7"/>
  <c r="S1198" i="7"/>
  <c r="R1198" i="7"/>
  <c r="Q1198" i="7"/>
  <c r="P1198" i="7"/>
  <c r="O1198" i="7"/>
  <c r="S1197" i="7"/>
  <c r="R1197" i="7"/>
  <c r="Q1197" i="7"/>
  <c r="P1197" i="7"/>
  <c r="O1197" i="7"/>
  <c r="S1196" i="7"/>
  <c r="R1196" i="7"/>
  <c r="Q1196" i="7"/>
  <c r="P1196" i="7"/>
  <c r="O1196" i="7"/>
  <c r="S1195" i="7"/>
  <c r="R1195" i="7"/>
  <c r="Q1195" i="7"/>
  <c r="P1195" i="7"/>
  <c r="O1195" i="7"/>
  <c r="S1194" i="7"/>
  <c r="R1194" i="7"/>
  <c r="Q1194" i="7"/>
  <c r="P1194" i="7"/>
  <c r="O1194" i="7"/>
  <c r="S1193" i="7"/>
  <c r="R1193" i="7"/>
  <c r="Q1193" i="7"/>
  <c r="P1193" i="7"/>
  <c r="O1193" i="7"/>
  <c r="S1192" i="7"/>
  <c r="R1192" i="7"/>
  <c r="Q1192" i="7"/>
  <c r="P1192" i="7"/>
  <c r="O1192" i="7"/>
  <c r="S1191" i="7"/>
  <c r="R1191" i="7"/>
  <c r="Q1191" i="7"/>
  <c r="P1191" i="7"/>
  <c r="O1191" i="7"/>
  <c r="S1190" i="7"/>
  <c r="R1190" i="7"/>
  <c r="Q1190" i="7"/>
  <c r="P1190" i="7"/>
  <c r="O1190" i="7"/>
  <c r="S1189" i="7"/>
  <c r="R1189" i="7"/>
  <c r="Q1189" i="7"/>
  <c r="P1189" i="7"/>
  <c r="O1189" i="7"/>
  <c r="S1188" i="7"/>
  <c r="R1188" i="7"/>
  <c r="Q1188" i="7"/>
  <c r="P1188" i="7"/>
  <c r="O1188" i="7"/>
  <c r="S1187" i="7"/>
  <c r="R1187" i="7"/>
  <c r="Q1187" i="7"/>
  <c r="P1187" i="7"/>
  <c r="O1187" i="7"/>
  <c r="S1186" i="7"/>
  <c r="R1186" i="7"/>
  <c r="Q1186" i="7"/>
  <c r="P1186" i="7"/>
  <c r="O1186" i="7"/>
  <c r="S1185" i="7"/>
  <c r="R1185" i="7"/>
  <c r="Q1185" i="7"/>
  <c r="P1185" i="7"/>
  <c r="O1185" i="7"/>
  <c r="S1184" i="7"/>
  <c r="R1184" i="7"/>
  <c r="Q1184" i="7"/>
  <c r="P1184" i="7"/>
  <c r="O1184" i="7"/>
  <c r="S1183" i="7"/>
  <c r="R1183" i="7"/>
  <c r="Q1183" i="7"/>
  <c r="P1183" i="7"/>
  <c r="O1183" i="7"/>
  <c r="S1182" i="7"/>
  <c r="R1182" i="7"/>
  <c r="Q1182" i="7"/>
  <c r="P1182" i="7"/>
  <c r="O1182" i="7"/>
  <c r="S1181" i="7"/>
  <c r="R1181" i="7"/>
  <c r="Q1181" i="7"/>
  <c r="P1181" i="7"/>
  <c r="O1181" i="7"/>
  <c r="S1180" i="7"/>
  <c r="R1180" i="7"/>
  <c r="Q1180" i="7"/>
  <c r="P1180" i="7"/>
  <c r="O1180" i="7"/>
  <c r="S1179" i="7"/>
  <c r="R1179" i="7"/>
  <c r="Q1179" i="7"/>
  <c r="P1179" i="7"/>
  <c r="O1179" i="7"/>
  <c r="S1178" i="7"/>
  <c r="R1178" i="7"/>
  <c r="Q1178" i="7"/>
  <c r="P1178" i="7"/>
  <c r="O1178" i="7"/>
  <c r="S1177" i="7"/>
  <c r="R1177" i="7"/>
  <c r="Q1177" i="7"/>
  <c r="P1177" i="7"/>
  <c r="O1177" i="7"/>
  <c r="S1176" i="7"/>
  <c r="R1176" i="7"/>
  <c r="Q1176" i="7"/>
  <c r="P1176" i="7"/>
  <c r="O1176" i="7"/>
  <c r="S1175" i="7"/>
  <c r="R1175" i="7"/>
  <c r="Q1175" i="7"/>
  <c r="P1175" i="7"/>
  <c r="O1175" i="7"/>
  <c r="S1174" i="7"/>
  <c r="R1174" i="7"/>
  <c r="Q1174" i="7"/>
  <c r="P1174" i="7"/>
  <c r="O1174" i="7"/>
  <c r="S1173" i="7"/>
  <c r="R1173" i="7"/>
  <c r="Q1173" i="7"/>
  <c r="P1173" i="7"/>
  <c r="O1173" i="7"/>
  <c r="S1172" i="7"/>
  <c r="R1172" i="7"/>
  <c r="Q1172" i="7"/>
  <c r="P1172" i="7"/>
  <c r="O1172" i="7"/>
  <c r="S1171" i="7"/>
  <c r="R1171" i="7"/>
  <c r="Q1171" i="7"/>
  <c r="P1171" i="7"/>
  <c r="O1171" i="7"/>
  <c r="S1170" i="7"/>
  <c r="R1170" i="7"/>
  <c r="Q1170" i="7"/>
  <c r="P1170" i="7"/>
  <c r="O1170" i="7"/>
  <c r="S1169" i="7"/>
  <c r="R1169" i="7"/>
  <c r="Q1169" i="7"/>
  <c r="P1169" i="7"/>
  <c r="O1169" i="7"/>
  <c r="S1168" i="7"/>
  <c r="R1168" i="7"/>
  <c r="Q1168" i="7"/>
  <c r="P1168" i="7"/>
  <c r="O1168" i="7"/>
  <c r="S1167" i="7"/>
  <c r="R1167" i="7"/>
  <c r="Q1167" i="7"/>
  <c r="P1167" i="7"/>
  <c r="O1167" i="7"/>
  <c r="S1166" i="7"/>
  <c r="R1166" i="7"/>
  <c r="Q1166" i="7"/>
  <c r="P1166" i="7"/>
  <c r="O1166" i="7"/>
  <c r="S1165" i="7"/>
  <c r="R1165" i="7"/>
  <c r="Q1165" i="7"/>
  <c r="P1165" i="7"/>
  <c r="O1165" i="7"/>
  <c r="S1164" i="7"/>
  <c r="R1164" i="7"/>
  <c r="Q1164" i="7"/>
  <c r="P1164" i="7"/>
  <c r="O1164" i="7"/>
  <c r="S1163" i="7"/>
  <c r="R1163" i="7"/>
  <c r="Q1163" i="7"/>
  <c r="P1163" i="7"/>
  <c r="O1163" i="7"/>
  <c r="S1162" i="7"/>
  <c r="R1162" i="7"/>
  <c r="Q1162" i="7"/>
  <c r="P1162" i="7"/>
  <c r="O1162" i="7"/>
  <c r="S1161" i="7"/>
  <c r="R1161" i="7"/>
  <c r="Q1161" i="7"/>
  <c r="P1161" i="7"/>
  <c r="O1161" i="7"/>
  <c r="S1160" i="7"/>
  <c r="R1160" i="7"/>
  <c r="Q1160" i="7"/>
  <c r="P1160" i="7"/>
  <c r="O1160" i="7"/>
  <c r="S1159" i="7"/>
  <c r="R1159" i="7"/>
  <c r="Q1159" i="7"/>
  <c r="P1159" i="7"/>
  <c r="O1159" i="7"/>
  <c r="S1158" i="7"/>
  <c r="R1158" i="7"/>
  <c r="Q1158" i="7"/>
  <c r="P1158" i="7"/>
  <c r="O1158" i="7"/>
  <c r="S1157" i="7"/>
  <c r="R1157" i="7"/>
  <c r="Q1157" i="7"/>
  <c r="P1157" i="7"/>
  <c r="O1157" i="7"/>
  <c r="S1156" i="7"/>
  <c r="R1156" i="7"/>
  <c r="Q1156" i="7"/>
  <c r="P1156" i="7"/>
  <c r="O1156" i="7"/>
  <c r="S1155" i="7"/>
  <c r="R1155" i="7"/>
  <c r="Q1155" i="7"/>
  <c r="P1155" i="7"/>
  <c r="O1155" i="7"/>
  <c r="S1154" i="7"/>
  <c r="R1154" i="7"/>
  <c r="Q1154" i="7"/>
  <c r="P1154" i="7"/>
  <c r="O1154" i="7"/>
  <c r="S1153" i="7"/>
  <c r="R1153" i="7"/>
  <c r="Q1153" i="7"/>
  <c r="P1153" i="7"/>
  <c r="O1153" i="7"/>
  <c r="S1152" i="7"/>
  <c r="R1152" i="7"/>
  <c r="Q1152" i="7"/>
  <c r="P1152" i="7"/>
  <c r="O1152" i="7"/>
  <c r="S1151" i="7"/>
  <c r="R1151" i="7"/>
  <c r="Q1151" i="7"/>
  <c r="P1151" i="7"/>
  <c r="O1151" i="7"/>
  <c r="S1150" i="7"/>
  <c r="R1150" i="7"/>
  <c r="Q1150" i="7"/>
  <c r="P1150" i="7"/>
  <c r="O1150" i="7"/>
  <c r="S1149" i="7"/>
  <c r="R1149" i="7"/>
  <c r="Q1149" i="7"/>
  <c r="P1149" i="7"/>
  <c r="O1149" i="7"/>
  <c r="S1148" i="7"/>
  <c r="R1148" i="7"/>
  <c r="Q1148" i="7"/>
  <c r="P1148" i="7"/>
  <c r="O1148" i="7"/>
  <c r="S1147" i="7"/>
  <c r="R1147" i="7"/>
  <c r="Q1147" i="7"/>
  <c r="P1147" i="7"/>
  <c r="O1147" i="7"/>
  <c r="S1146" i="7"/>
  <c r="R1146" i="7"/>
  <c r="Q1146" i="7"/>
  <c r="P1146" i="7"/>
  <c r="O1146" i="7"/>
  <c r="S1145" i="7"/>
  <c r="R1145" i="7"/>
  <c r="Q1145" i="7"/>
  <c r="P1145" i="7"/>
  <c r="O1145" i="7"/>
  <c r="S1144" i="7"/>
  <c r="R1144" i="7"/>
  <c r="Q1144" i="7"/>
  <c r="P1144" i="7"/>
  <c r="O1144" i="7"/>
  <c r="S1143" i="7"/>
  <c r="R1143" i="7"/>
  <c r="Q1143" i="7"/>
  <c r="P1143" i="7"/>
  <c r="O1143" i="7"/>
  <c r="S1142" i="7"/>
  <c r="R1142" i="7"/>
  <c r="Q1142" i="7"/>
  <c r="P1142" i="7"/>
  <c r="O1142" i="7"/>
  <c r="S1141" i="7"/>
  <c r="R1141" i="7"/>
  <c r="Q1141" i="7"/>
  <c r="P1141" i="7"/>
  <c r="O1141" i="7"/>
  <c r="S1140" i="7"/>
  <c r="R1140" i="7"/>
  <c r="Q1140" i="7"/>
  <c r="P1140" i="7"/>
  <c r="O1140" i="7"/>
  <c r="S1139" i="7"/>
  <c r="R1139" i="7"/>
  <c r="Q1139" i="7"/>
  <c r="P1139" i="7"/>
  <c r="O1139" i="7"/>
  <c r="S1138" i="7"/>
  <c r="R1138" i="7"/>
  <c r="Q1138" i="7"/>
  <c r="P1138" i="7"/>
  <c r="O1138" i="7"/>
  <c r="S1137" i="7"/>
  <c r="R1137" i="7"/>
  <c r="Q1137" i="7"/>
  <c r="P1137" i="7"/>
  <c r="O1137" i="7"/>
  <c r="S1136" i="7"/>
  <c r="R1136" i="7"/>
  <c r="Q1136" i="7"/>
  <c r="P1136" i="7"/>
  <c r="O1136" i="7"/>
  <c r="S1135" i="7"/>
  <c r="R1135" i="7"/>
  <c r="Q1135" i="7"/>
  <c r="P1135" i="7"/>
  <c r="O1135" i="7"/>
  <c r="S1134" i="7"/>
  <c r="R1134" i="7"/>
  <c r="Q1134" i="7"/>
  <c r="P1134" i="7"/>
  <c r="O1134" i="7"/>
  <c r="S1133" i="7"/>
  <c r="R1133" i="7"/>
  <c r="Q1133" i="7"/>
  <c r="P1133" i="7"/>
  <c r="O1133" i="7"/>
  <c r="S1132" i="7"/>
  <c r="R1132" i="7"/>
  <c r="Q1132" i="7"/>
  <c r="P1132" i="7"/>
  <c r="O1132" i="7"/>
  <c r="S1131" i="7"/>
  <c r="R1131" i="7"/>
  <c r="Q1131" i="7"/>
  <c r="P1131" i="7"/>
  <c r="O1131" i="7"/>
  <c r="S1130" i="7"/>
  <c r="R1130" i="7"/>
  <c r="Q1130" i="7"/>
  <c r="P1130" i="7"/>
  <c r="O1130" i="7"/>
  <c r="S1129" i="7"/>
  <c r="R1129" i="7"/>
  <c r="Q1129" i="7"/>
  <c r="P1129" i="7"/>
  <c r="O1129" i="7"/>
  <c r="S1128" i="7"/>
  <c r="R1128" i="7"/>
  <c r="Q1128" i="7"/>
  <c r="P1128" i="7"/>
  <c r="O1128" i="7"/>
  <c r="S1127" i="7"/>
  <c r="R1127" i="7"/>
  <c r="Q1127" i="7"/>
  <c r="P1127" i="7"/>
  <c r="O1127" i="7"/>
  <c r="S1126" i="7"/>
  <c r="R1126" i="7"/>
  <c r="Q1126" i="7"/>
  <c r="P1126" i="7"/>
  <c r="O1126" i="7"/>
  <c r="S1125" i="7"/>
  <c r="R1125" i="7"/>
  <c r="Q1125" i="7"/>
  <c r="P1125" i="7"/>
  <c r="O1125" i="7"/>
  <c r="S1124" i="7"/>
  <c r="R1124" i="7"/>
  <c r="Q1124" i="7"/>
  <c r="P1124" i="7"/>
  <c r="O1124" i="7"/>
  <c r="S1123" i="7"/>
  <c r="R1123" i="7"/>
  <c r="Q1123" i="7"/>
  <c r="P1123" i="7"/>
  <c r="O1123" i="7"/>
  <c r="S1122" i="7"/>
  <c r="R1122" i="7"/>
  <c r="Q1122" i="7"/>
  <c r="P1122" i="7"/>
  <c r="O1122" i="7"/>
  <c r="S1121" i="7"/>
  <c r="R1121" i="7"/>
  <c r="Q1121" i="7"/>
  <c r="P1121" i="7"/>
  <c r="O1121" i="7"/>
  <c r="S1120" i="7"/>
  <c r="R1120" i="7"/>
  <c r="Q1120" i="7"/>
  <c r="P1120" i="7"/>
  <c r="O1120" i="7"/>
  <c r="S1119" i="7"/>
  <c r="R1119" i="7"/>
  <c r="Q1119" i="7"/>
  <c r="P1119" i="7"/>
  <c r="O1119" i="7"/>
  <c r="S1118" i="7"/>
  <c r="R1118" i="7"/>
  <c r="Q1118" i="7"/>
  <c r="P1118" i="7"/>
  <c r="O1118" i="7"/>
  <c r="S1117" i="7"/>
  <c r="R1117" i="7"/>
  <c r="Q1117" i="7"/>
  <c r="P1117" i="7"/>
  <c r="O1117" i="7"/>
  <c r="S1116" i="7"/>
  <c r="R1116" i="7"/>
  <c r="Q1116" i="7"/>
  <c r="P1116" i="7"/>
  <c r="O1116" i="7"/>
  <c r="S1115" i="7"/>
  <c r="R1115" i="7"/>
  <c r="Q1115" i="7"/>
  <c r="P1115" i="7"/>
  <c r="O1115" i="7"/>
  <c r="S1114" i="7"/>
  <c r="R1114" i="7"/>
  <c r="Q1114" i="7"/>
  <c r="P1114" i="7"/>
  <c r="O1114" i="7"/>
  <c r="S1113" i="7"/>
  <c r="R1113" i="7"/>
  <c r="Q1113" i="7"/>
  <c r="P1113" i="7"/>
  <c r="O1113" i="7"/>
  <c r="S1112" i="7"/>
  <c r="R1112" i="7"/>
  <c r="Q1112" i="7"/>
  <c r="P1112" i="7"/>
  <c r="O1112" i="7"/>
  <c r="S1111" i="7"/>
  <c r="R1111" i="7"/>
  <c r="Q1111" i="7"/>
  <c r="P1111" i="7"/>
  <c r="O1111" i="7"/>
  <c r="S1110" i="7"/>
  <c r="R1110" i="7"/>
  <c r="Q1110" i="7"/>
  <c r="P1110" i="7"/>
  <c r="O1110" i="7"/>
  <c r="S1109" i="7"/>
  <c r="R1109" i="7"/>
  <c r="Q1109" i="7"/>
  <c r="P1109" i="7"/>
  <c r="O1109" i="7"/>
  <c r="S1108" i="7"/>
  <c r="R1108" i="7"/>
  <c r="Q1108" i="7"/>
  <c r="P1108" i="7"/>
  <c r="O1108" i="7"/>
  <c r="S1107" i="7"/>
  <c r="R1107" i="7"/>
  <c r="Q1107" i="7"/>
  <c r="P1107" i="7"/>
  <c r="O1107" i="7"/>
  <c r="S1106" i="7"/>
  <c r="R1106" i="7"/>
  <c r="Q1106" i="7"/>
  <c r="P1106" i="7"/>
  <c r="O1106" i="7"/>
  <c r="S1105" i="7"/>
  <c r="R1105" i="7"/>
  <c r="Q1105" i="7"/>
  <c r="P1105" i="7"/>
  <c r="O1105" i="7"/>
  <c r="S1104" i="7"/>
  <c r="R1104" i="7"/>
  <c r="Q1104" i="7"/>
  <c r="P1104" i="7"/>
  <c r="O1104" i="7"/>
  <c r="S1103" i="7"/>
  <c r="R1103" i="7"/>
  <c r="Q1103" i="7"/>
  <c r="P1103" i="7"/>
  <c r="O1103" i="7"/>
  <c r="S1102" i="7"/>
  <c r="R1102" i="7"/>
  <c r="Q1102" i="7"/>
  <c r="P1102" i="7"/>
  <c r="O1102" i="7"/>
  <c r="S1101" i="7"/>
  <c r="R1101" i="7"/>
  <c r="Q1101" i="7"/>
  <c r="P1101" i="7"/>
  <c r="O1101" i="7"/>
  <c r="S1100" i="7"/>
  <c r="R1100" i="7"/>
  <c r="Q1100" i="7"/>
  <c r="P1100" i="7"/>
  <c r="O1100" i="7"/>
  <c r="S1099" i="7"/>
  <c r="R1099" i="7"/>
  <c r="Q1099" i="7"/>
  <c r="P1099" i="7"/>
  <c r="O1099" i="7"/>
  <c r="S1098" i="7"/>
  <c r="R1098" i="7"/>
  <c r="Q1098" i="7"/>
  <c r="P1098" i="7"/>
  <c r="O1098" i="7"/>
  <c r="S1097" i="7"/>
  <c r="R1097" i="7"/>
  <c r="Q1097" i="7"/>
  <c r="P1097" i="7"/>
  <c r="O1097" i="7"/>
  <c r="S1096" i="7"/>
  <c r="R1096" i="7"/>
  <c r="Q1096" i="7"/>
  <c r="P1096" i="7"/>
  <c r="O1096" i="7"/>
  <c r="S1095" i="7"/>
  <c r="R1095" i="7"/>
  <c r="Q1095" i="7"/>
  <c r="P1095" i="7"/>
  <c r="O1095" i="7"/>
  <c r="S1094" i="7"/>
  <c r="R1094" i="7"/>
  <c r="Q1094" i="7"/>
  <c r="P1094" i="7"/>
  <c r="O1094" i="7"/>
  <c r="S1093" i="7"/>
  <c r="R1093" i="7"/>
  <c r="Q1093" i="7"/>
  <c r="P1093" i="7"/>
  <c r="O1093" i="7"/>
  <c r="S1092" i="7"/>
  <c r="R1092" i="7"/>
  <c r="Q1092" i="7"/>
  <c r="P1092" i="7"/>
  <c r="O1092" i="7"/>
  <c r="S1091" i="7"/>
  <c r="R1091" i="7"/>
  <c r="Q1091" i="7"/>
  <c r="P1091" i="7"/>
  <c r="O1091" i="7"/>
  <c r="S1090" i="7"/>
  <c r="R1090" i="7"/>
  <c r="Q1090" i="7"/>
  <c r="P1090" i="7"/>
  <c r="O1090" i="7"/>
  <c r="S1089" i="7"/>
  <c r="R1089" i="7"/>
  <c r="Q1089" i="7"/>
  <c r="P1089" i="7"/>
  <c r="O1089" i="7"/>
  <c r="S1088" i="7"/>
  <c r="R1088" i="7"/>
  <c r="Q1088" i="7"/>
  <c r="P1088" i="7"/>
  <c r="O1088" i="7"/>
  <c r="S1087" i="7"/>
  <c r="R1087" i="7"/>
  <c r="Q1087" i="7"/>
  <c r="P1087" i="7"/>
  <c r="O1087" i="7"/>
  <c r="S1086" i="7"/>
  <c r="R1086" i="7"/>
  <c r="Q1086" i="7"/>
  <c r="P1086" i="7"/>
  <c r="O1086" i="7"/>
  <c r="S1085" i="7"/>
  <c r="R1085" i="7"/>
  <c r="Q1085" i="7"/>
  <c r="P1085" i="7"/>
  <c r="O1085" i="7"/>
  <c r="S1084" i="7"/>
  <c r="R1084" i="7"/>
  <c r="Q1084" i="7"/>
  <c r="P1084" i="7"/>
  <c r="O1084" i="7"/>
  <c r="S1083" i="7"/>
  <c r="R1083" i="7"/>
  <c r="Q1083" i="7"/>
  <c r="P1083" i="7"/>
  <c r="O1083" i="7"/>
  <c r="S1082" i="7"/>
  <c r="R1082" i="7"/>
  <c r="Q1082" i="7"/>
  <c r="P1082" i="7"/>
  <c r="O1082" i="7"/>
  <c r="S1081" i="7"/>
  <c r="R1081" i="7"/>
  <c r="Q1081" i="7"/>
  <c r="P1081" i="7"/>
  <c r="O1081" i="7"/>
  <c r="S1080" i="7"/>
  <c r="R1080" i="7"/>
  <c r="Q1080" i="7"/>
  <c r="P1080" i="7"/>
  <c r="O1080" i="7"/>
  <c r="S1079" i="7"/>
  <c r="R1079" i="7"/>
  <c r="Q1079" i="7"/>
  <c r="P1079" i="7"/>
  <c r="O1079" i="7"/>
  <c r="S1078" i="7"/>
  <c r="R1078" i="7"/>
  <c r="Q1078" i="7"/>
  <c r="P1078" i="7"/>
  <c r="O1078" i="7"/>
  <c r="S1077" i="7"/>
  <c r="R1077" i="7"/>
  <c r="Q1077" i="7"/>
  <c r="P1077" i="7"/>
  <c r="O1077" i="7"/>
  <c r="S1076" i="7"/>
  <c r="R1076" i="7"/>
  <c r="Q1076" i="7"/>
  <c r="P1076" i="7"/>
  <c r="O1076" i="7"/>
  <c r="S1075" i="7"/>
  <c r="R1075" i="7"/>
  <c r="Q1075" i="7"/>
  <c r="P1075" i="7"/>
  <c r="O1075" i="7"/>
  <c r="S1074" i="7"/>
  <c r="R1074" i="7"/>
  <c r="Q1074" i="7"/>
  <c r="P1074" i="7"/>
  <c r="O1074" i="7"/>
  <c r="S1073" i="7"/>
  <c r="R1073" i="7"/>
  <c r="Q1073" i="7"/>
  <c r="P1073" i="7"/>
  <c r="O1073" i="7"/>
  <c r="S1072" i="7"/>
  <c r="R1072" i="7"/>
  <c r="Q1072" i="7"/>
  <c r="P1072" i="7"/>
  <c r="O1072" i="7"/>
  <c r="S1071" i="7"/>
  <c r="R1071" i="7"/>
  <c r="Q1071" i="7"/>
  <c r="P1071" i="7"/>
  <c r="O1071" i="7"/>
  <c r="S1070" i="7"/>
  <c r="R1070" i="7"/>
  <c r="Q1070" i="7"/>
  <c r="P1070" i="7"/>
  <c r="O1070" i="7"/>
  <c r="S1069" i="7"/>
  <c r="R1069" i="7"/>
  <c r="Q1069" i="7"/>
  <c r="P1069" i="7"/>
  <c r="O1069" i="7"/>
  <c r="S1068" i="7"/>
  <c r="R1068" i="7"/>
  <c r="Q1068" i="7"/>
  <c r="P1068" i="7"/>
  <c r="O1068" i="7"/>
  <c r="S1067" i="7"/>
  <c r="R1067" i="7"/>
  <c r="Q1067" i="7"/>
  <c r="P1067" i="7"/>
  <c r="O1067" i="7"/>
  <c r="S1066" i="7"/>
  <c r="R1066" i="7"/>
  <c r="Q1066" i="7"/>
  <c r="P1066" i="7"/>
  <c r="O1066" i="7"/>
  <c r="S1065" i="7"/>
  <c r="R1065" i="7"/>
  <c r="Q1065" i="7"/>
  <c r="P1065" i="7"/>
  <c r="O1065" i="7"/>
  <c r="S1064" i="7"/>
  <c r="R1064" i="7"/>
  <c r="Q1064" i="7"/>
  <c r="P1064" i="7"/>
  <c r="O1064" i="7"/>
  <c r="S1063" i="7"/>
  <c r="R1063" i="7"/>
  <c r="Q1063" i="7"/>
  <c r="P1063" i="7"/>
  <c r="O1063" i="7"/>
  <c r="S1062" i="7"/>
  <c r="R1062" i="7"/>
  <c r="Q1062" i="7"/>
  <c r="P1062" i="7"/>
  <c r="O1062" i="7"/>
  <c r="S1061" i="7"/>
  <c r="R1061" i="7"/>
  <c r="Q1061" i="7"/>
  <c r="P1061" i="7"/>
  <c r="O1061" i="7"/>
  <c r="S1060" i="7"/>
  <c r="R1060" i="7"/>
  <c r="Q1060" i="7"/>
  <c r="P1060" i="7"/>
  <c r="O1060" i="7"/>
  <c r="S1059" i="7"/>
  <c r="R1059" i="7"/>
  <c r="Q1059" i="7"/>
  <c r="P1059" i="7"/>
  <c r="O1059" i="7"/>
  <c r="S1058" i="7"/>
  <c r="R1058" i="7"/>
  <c r="Q1058" i="7"/>
  <c r="P1058" i="7"/>
  <c r="O1058" i="7"/>
  <c r="S1057" i="7"/>
  <c r="R1057" i="7"/>
  <c r="Q1057" i="7"/>
  <c r="P1057" i="7"/>
  <c r="O1057" i="7"/>
  <c r="S1056" i="7"/>
  <c r="R1056" i="7"/>
  <c r="Q1056" i="7"/>
  <c r="P1056" i="7"/>
  <c r="O1056" i="7"/>
  <c r="S1055" i="7"/>
  <c r="R1055" i="7"/>
  <c r="Q1055" i="7"/>
  <c r="P1055" i="7"/>
  <c r="O1055" i="7"/>
  <c r="S1054" i="7"/>
  <c r="R1054" i="7"/>
  <c r="Q1054" i="7"/>
  <c r="P1054" i="7"/>
  <c r="O1054" i="7"/>
  <c r="S1053" i="7"/>
  <c r="R1053" i="7"/>
  <c r="Q1053" i="7"/>
  <c r="P1053" i="7"/>
  <c r="O1053" i="7"/>
  <c r="S1052" i="7"/>
  <c r="R1052" i="7"/>
  <c r="Q1052" i="7"/>
  <c r="P1052" i="7"/>
  <c r="O1052" i="7"/>
  <c r="S1051" i="7"/>
  <c r="R1051" i="7"/>
  <c r="Q1051" i="7"/>
  <c r="P1051" i="7"/>
  <c r="O1051" i="7"/>
  <c r="S1050" i="7"/>
  <c r="R1050" i="7"/>
  <c r="Q1050" i="7"/>
  <c r="P1050" i="7"/>
  <c r="O1050" i="7"/>
  <c r="S1049" i="7"/>
  <c r="R1049" i="7"/>
  <c r="Q1049" i="7"/>
  <c r="P1049" i="7"/>
  <c r="O1049" i="7"/>
  <c r="S1048" i="7"/>
  <c r="R1048" i="7"/>
  <c r="Q1048" i="7"/>
  <c r="P1048" i="7"/>
  <c r="O1048" i="7"/>
  <c r="S1047" i="7"/>
  <c r="R1047" i="7"/>
  <c r="Q1047" i="7"/>
  <c r="P1047" i="7"/>
  <c r="O1047" i="7"/>
  <c r="S1046" i="7"/>
  <c r="R1046" i="7"/>
  <c r="Q1046" i="7"/>
  <c r="P1046" i="7"/>
  <c r="O1046" i="7"/>
  <c r="S1045" i="7"/>
  <c r="R1045" i="7"/>
  <c r="Q1045" i="7"/>
  <c r="P1045" i="7"/>
  <c r="O1045" i="7"/>
  <c r="S1044" i="7"/>
  <c r="R1044" i="7"/>
  <c r="Q1044" i="7"/>
  <c r="P1044" i="7"/>
  <c r="O1044" i="7"/>
  <c r="S1043" i="7"/>
  <c r="R1043" i="7"/>
  <c r="Q1043" i="7"/>
  <c r="P1043" i="7"/>
  <c r="O1043" i="7"/>
  <c r="S1042" i="7"/>
  <c r="R1042" i="7"/>
  <c r="Q1042" i="7"/>
  <c r="P1042" i="7"/>
  <c r="O1042" i="7"/>
  <c r="S1041" i="7"/>
  <c r="R1041" i="7"/>
  <c r="Q1041" i="7"/>
  <c r="P1041" i="7"/>
  <c r="O1041" i="7"/>
  <c r="S1040" i="7"/>
  <c r="R1040" i="7"/>
  <c r="Q1040" i="7"/>
  <c r="P1040" i="7"/>
  <c r="O1040" i="7"/>
  <c r="S1039" i="7"/>
  <c r="R1039" i="7"/>
  <c r="Q1039" i="7"/>
  <c r="P1039" i="7"/>
  <c r="O1039" i="7"/>
  <c r="S1038" i="7"/>
  <c r="R1038" i="7"/>
  <c r="Q1038" i="7"/>
  <c r="P1038" i="7"/>
  <c r="O1038" i="7"/>
  <c r="S1037" i="7"/>
  <c r="R1037" i="7"/>
  <c r="Q1037" i="7"/>
  <c r="P1037" i="7"/>
  <c r="O1037" i="7"/>
  <c r="S1036" i="7"/>
  <c r="R1036" i="7"/>
  <c r="Q1036" i="7"/>
  <c r="P1036" i="7"/>
  <c r="O1036" i="7"/>
  <c r="S1035" i="7"/>
  <c r="R1035" i="7"/>
  <c r="Q1035" i="7"/>
  <c r="P1035" i="7"/>
  <c r="O1035" i="7"/>
  <c r="S1034" i="7"/>
  <c r="R1034" i="7"/>
  <c r="Q1034" i="7"/>
  <c r="P1034" i="7"/>
  <c r="O1034" i="7"/>
  <c r="S1033" i="7"/>
  <c r="R1033" i="7"/>
  <c r="Q1033" i="7"/>
  <c r="P1033" i="7"/>
  <c r="O1033" i="7"/>
  <c r="S1032" i="7"/>
  <c r="R1032" i="7"/>
  <c r="Q1032" i="7"/>
  <c r="P1032" i="7"/>
  <c r="O1032" i="7"/>
  <c r="S1031" i="7"/>
  <c r="R1031" i="7"/>
  <c r="Q1031" i="7"/>
  <c r="P1031" i="7"/>
  <c r="O1031" i="7"/>
  <c r="S1030" i="7"/>
  <c r="R1030" i="7"/>
  <c r="Q1030" i="7"/>
  <c r="P1030" i="7"/>
  <c r="O1030" i="7"/>
  <c r="S1029" i="7"/>
  <c r="R1029" i="7"/>
  <c r="Q1029" i="7"/>
  <c r="P1029" i="7"/>
  <c r="O1029" i="7"/>
  <c r="S1028" i="7"/>
  <c r="R1028" i="7"/>
  <c r="Q1028" i="7"/>
  <c r="P1028" i="7"/>
  <c r="O1028" i="7"/>
  <c r="S1027" i="7"/>
  <c r="R1027" i="7"/>
  <c r="Q1027" i="7"/>
  <c r="P1027" i="7"/>
  <c r="O1027" i="7"/>
  <c r="S1026" i="7"/>
  <c r="R1026" i="7"/>
  <c r="Q1026" i="7"/>
  <c r="P1026" i="7"/>
  <c r="O1026" i="7"/>
  <c r="S1025" i="7"/>
  <c r="R1025" i="7"/>
  <c r="Q1025" i="7"/>
  <c r="P1025" i="7"/>
  <c r="O1025" i="7"/>
  <c r="S1024" i="7"/>
  <c r="R1024" i="7"/>
  <c r="Q1024" i="7"/>
  <c r="P1024" i="7"/>
  <c r="O1024" i="7"/>
  <c r="S1023" i="7"/>
  <c r="R1023" i="7"/>
  <c r="Q1023" i="7"/>
  <c r="P1023" i="7"/>
  <c r="O1023" i="7"/>
  <c r="S1022" i="7"/>
  <c r="R1022" i="7"/>
  <c r="Q1022" i="7"/>
  <c r="P1022" i="7"/>
  <c r="O1022" i="7"/>
  <c r="S1021" i="7"/>
  <c r="R1021" i="7"/>
  <c r="Q1021" i="7"/>
  <c r="P1021" i="7"/>
  <c r="O1021" i="7"/>
  <c r="S1020" i="7"/>
  <c r="R1020" i="7"/>
  <c r="Q1020" i="7"/>
  <c r="P1020" i="7"/>
  <c r="O1020" i="7"/>
  <c r="S1019" i="7"/>
  <c r="R1019" i="7"/>
  <c r="Q1019" i="7"/>
  <c r="P1019" i="7"/>
  <c r="O1019" i="7"/>
  <c r="S1018" i="7"/>
  <c r="R1018" i="7"/>
  <c r="Q1018" i="7"/>
  <c r="P1018" i="7"/>
  <c r="O1018" i="7"/>
  <c r="S1017" i="7"/>
  <c r="R1017" i="7"/>
  <c r="Q1017" i="7"/>
  <c r="P1017" i="7"/>
  <c r="O1017" i="7"/>
  <c r="S1016" i="7"/>
  <c r="R1016" i="7"/>
  <c r="Q1016" i="7"/>
  <c r="P1016" i="7"/>
  <c r="O1016" i="7"/>
  <c r="S1015" i="7"/>
  <c r="R1015" i="7"/>
  <c r="Q1015" i="7"/>
  <c r="P1015" i="7"/>
  <c r="O1015" i="7"/>
  <c r="S1014" i="7"/>
  <c r="R1014" i="7"/>
  <c r="Q1014" i="7"/>
  <c r="P1014" i="7"/>
  <c r="O1014" i="7"/>
  <c r="S1013" i="7"/>
  <c r="R1013" i="7"/>
  <c r="Q1013" i="7"/>
  <c r="P1013" i="7"/>
  <c r="O1013" i="7"/>
  <c r="S1012" i="7"/>
  <c r="R1012" i="7"/>
  <c r="Q1012" i="7"/>
  <c r="P1012" i="7"/>
  <c r="O1012" i="7"/>
  <c r="S1011" i="7"/>
  <c r="R1011" i="7"/>
  <c r="Q1011" i="7"/>
  <c r="P1011" i="7"/>
  <c r="O1011" i="7"/>
  <c r="S1010" i="7"/>
  <c r="R1010" i="7"/>
  <c r="Q1010" i="7"/>
  <c r="P1010" i="7"/>
  <c r="O1010" i="7"/>
  <c r="S1009" i="7"/>
  <c r="R1009" i="7"/>
  <c r="Q1009" i="7"/>
  <c r="P1009" i="7"/>
  <c r="O1009" i="7"/>
  <c r="S1008" i="7"/>
  <c r="R1008" i="7"/>
  <c r="Q1008" i="7"/>
  <c r="P1008" i="7"/>
  <c r="O1008" i="7"/>
  <c r="S1007" i="7"/>
  <c r="R1007" i="7"/>
  <c r="Q1007" i="7"/>
  <c r="P1007" i="7"/>
  <c r="O1007" i="7"/>
  <c r="S1006" i="7"/>
  <c r="R1006" i="7"/>
  <c r="Q1006" i="7"/>
  <c r="P1006" i="7"/>
  <c r="O1006" i="7"/>
  <c r="S1005" i="7"/>
  <c r="R1005" i="7"/>
  <c r="Q1005" i="7"/>
  <c r="P1005" i="7"/>
  <c r="O1005" i="7"/>
  <c r="S1004" i="7"/>
  <c r="R1004" i="7"/>
  <c r="Q1004" i="7"/>
  <c r="P1004" i="7"/>
  <c r="O1004" i="7"/>
  <c r="S1003" i="7"/>
  <c r="R1003" i="7"/>
  <c r="Q1003" i="7"/>
  <c r="P1003" i="7"/>
  <c r="O1003" i="7"/>
  <c r="S1002" i="7"/>
  <c r="R1002" i="7"/>
  <c r="Q1002" i="7"/>
  <c r="P1002" i="7"/>
  <c r="O1002" i="7"/>
  <c r="S1001" i="7"/>
  <c r="R1001" i="7"/>
  <c r="Q1001" i="7"/>
  <c r="P1001" i="7"/>
  <c r="O1001" i="7"/>
  <c r="S1000" i="7"/>
  <c r="R1000" i="7"/>
  <c r="Q1000" i="7"/>
  <c r="P1000" i="7"/>
  <c r="O1000" i="7"/>
  <c r="S999" i="7"/>
  <c r="R999" i="7"/>
  <c r="Q999" i="7"/>
  <c r="P999" i="7"/>
  <c r="O999" i="7"/>
  <c r="S998" i="7"/>
  <c r="R998" i="7"/>
  <c r="Q998" i="7"/>
  <c r="P998" i="7"/>
  <c r="O998" i="7"/>
  <c r="S997" i="7"/>
  <c r="R997" i="7"/>
  <c r="Q997" i="7"/>
  <c r="P997" i="7"/>
  <c r="O997" i="7"/>
  <c r="S996" i="7"/>
  <c r="R996" i="7"/>
  <c r="Q996" i="7"/>
  <c r="P996" i="7"/>
  <c r="O996" i="7"/>
  <c r="S995" i="7"/>
  <c r="R995" i="7"/>
  <c r="Q995" i="7"/>
  <c r="P995" i="7"/>
  <c r="O995" i="7"/>
  <c r="S994" i="7"/>
  <c r="R994" i="7"/>
  <c r="Q994" i="7"/>
  <c r="P994" i="7"/>
  <c r="O994" i="7"/>
  <c r="S993" i="7"/>
  <c r="R993" i="7"/>
  <c r="Q993" i="7"/>
  <c r="P993" i="7"/>
  <c r="O993" i="7"/>
  <c r="S992" i="7"/>
  <c r="R992" i="7"/>
  <c r="Q992" i="7"/>
  <c r="P992" i="7"/>
  <c r="O992" i="7"/>
  <c r="S991" i="7"/>
  <c r="R991" i="7"/>
  <c r="Q991" i="7"/>
  <c r="P991" i="7"/>
  <c r="O991" i="7"/>
  <c r="S990" i="7"/>
  <c r="R990" i="7"/>
  <c r="Q990" i="7"/>
  <c r="P990" i="7"/>
  <c r="O990" i="7"/>
  <c r="S989" i="7"/>
  <c r="R989" i="7"/>
  <c r="Q989" i="7"/>
  <c r="P989" i="7"/>
  <c r="O989" i="7"/>
  <c r="S988" i="7"/>
  <c r="R988" i="7"/>
  <c r="Q988" i="7"/>
  <c r="P988" i="7"/>
  <c r="O988" i="7"/>
  <c r="S987" i="7"/>
  <c r="R987" i="7"/>
  <c r="Q987" i="7"/>
  <c r="P987" i="7"/>
  <c r="O987" i="7"/>
  <c r="S986" i="7"/>
  <c r="R986" i="7"/>
  <c r="Q986" i="7"/>
  <c r="P986" i="7"/>
  <c r="O986" i="7"/>
  <c r="S985" i="7"/>
  <c r="R985" i="7"/>
  <c r="Q985" i="7"/>
  <c r="P985" i="7"/>
  <c r="O985" i="7"/>
  <c r="S984" i="7"/>
  <c r="R984" i="7"/>
  <c r="Q984" i="7"/>
  <c r="P984" i="7"/>
  <c r="O984" i="7"/>
  <c r="S983" i="7"/>
  <c r="R983" i="7"/>
  <c r="Q983" i="7"/>
  <c r="P983" i="7"/>
  <c r="O983" i="7"/>
  <c r="S982" i="7"/>
  <c r="R982" i="7"/>
  <c r="Q982" i="7"/>
  <c r="P982" i="7"/>
  <c r="O982" i="7"/>
  <c r="S981" i="7"/>
  <c r="R981" i="7"/>
  <c r="Q981" i="7"/>
  <c r="P981" i="7"/>
  <c r="O981" i="7"/>
  <c r="S980" i="7"/>
  <c r="R980" i="7"/>
  <c r="Q980" i="7"/>
  <c r="P980" i="7"/>
  <c r="O980" i="7"/>
  <c r="S979" i="7"/>
  <c r="R979" i="7"/>
  <c r="Q979" i="7"/>
  <c r="P979" i="7"/>
  <c r="O979" i="7"/>
  <c r="S978" i="7"/>
  <c r="R978" i="7"/>
  <c r="Q978" i="7"/>
  <c r="P978" i="7"/>
  <c r="O978" i="7"/>
  <c r="S977" i="7"/>
  <c r="R977" i="7"/>
  <c r="Q977" i="7"/>
  <c r="P977" i="7"/>
  <c r="O977" i="7"/>
  <c r="S976" i="7"/>
  <c r="R976" i="7"/>
  <c r="Q976" i="7"/>
  <c r="P976" i="7"/>
  <c r="O976" i="7"/>
  <c r="S975" i="7"/>
  <c r="R975" i="7"/>
  <c r="Q975" i="7"/>
  <c r="P975" i="7"/>
  <c r="O975" i="7"/>
  <c r="S974" i="7"/>
  <c r="R974" i="7"/>
  <c r="Q974" i="7"/>
  <c r="P974" i="7"/>
  <c r="O974" i="7"/>
  <c r="S973" i="7"/>
  <c r="R973" i="7"/>
  <c r="Q973" i="7"/>
  <c r="P973" i="7"/>
  <c r="O973" i="7"/>
  <c r="S972" i="7"/>
  <c r="R972" i="7"/>
  <c r="Q972" i="7"/>
  <c r="P972" i="7"/>
  <c r="O972" i="7"/>
  <c r="S971" i="7"/>
  <c r="R971" i="7"/>
  <c r="Q971" i="7"/>
  <c r="P971" i="7"/>
  <c r="O971" i="7"/>
  <c r="S970" i="7"/>
  <c r="R970" i="7"/>
  <c r="Q970" i="7"/>
  <c r="P970" i="7"/>
  <c r="O970" i="7"/>
  <c r="S969" i="7"/>
  <c r="R969" i="7"/>
  <c r="Q969" i="7"/>
  <c r="P969" i="7"/>
  <c r="O969" i="7"/>
  <c r="S968" i="7"/>
  <c r="R968" i="7"/>
  <c r="Q968" i="7"/>
  <c r="P968" i="7"/>
  <c r="O968" i="7"/>
  <c r="S967" i="7"/>
  <c r="R967" i="7"/>
  <c r="Q967" i="7"/>
  <c r="P967" i="7"/>
  <c r="O967" i="7"/>
  <c r="S966" i="7"/>
  <c r="R966" i="7"/>
  <c r="Q966" i="7"/>
  <c r="P966" i="7"/>
  <c r="O966" i="7"/>
  <c r="S965" i="7"/>
  <c r="R965" i="7"/>
  <c r="Q965" i="7"/>
  <c r="P965" i="7"/>
  <c r="O965" i="7"/>
  <c r="S964" i="7"/>
  <c r="R964" i="7"/>
  <c r="Q964" i="7"/>
  <c r="P964" i="7"/>
  <c r="O964" i="7"/>
  <c r="S963" i="7"/>
  <c r="R963" i="7"/>
  <c r="Q963" i="7"/>
  <c r="P963" i="7"/>
  <c r="O963" i="7"/>
  <c r="S962" i="7"/>
  <c r="R962" i="7"/>
  <c r="Q962" i="7"/>
  <c r="P962" i="7"/>
  <c r="O962" i="7"/>
  <c r="S961" i="7"/>
  <c r="R961" i="7"/>
  <c r="Q961" i="7"/>
  <c r="P961" i="7"/>
  <c r="O961" i="7"/>
  <c r="S960" i="7"/>
  <c r="R960" i="7"/>
  <c r="Q960" i="7"/>
  <c r="P960" i="7"/>
  <c r="O960" i="7"/>
  <c r="S959" i="7"/>
  <c r="R959" i="7"/>
  <c r="Q959" i="7"/>
  <c r="P959" i="7"/>
  <c r="O959" i="7"/>
  <c r="S958" i="7"/>
  <c r="R958" i="7"/>
  <c r="Q958" i="7"/>
  <c r="P958" i="7"/>
  <c r="O958" i="7"/>
  <c r="S957" i="7"/>
  <c r="R957" i="7"/>
  <c r="Q957" i="7"/>
  <c r="P957" i="7"/>
  <c r="O957" i="7"/>
  <c r="S956" i="7"/>
  <c r="R956" i="7"/>
  <c r="Q956" i="7"/>
  <c r="P956" i="7"/>
  <c r="O956" i="7"/>
  <c r="S955" i="7"/>
  <c r="R955" i="7"/>
  <c r="Q955" i="7"/>
  <c r="P955" i="7"/>
  <c r="O955" i="7"/>
  <c r="S954" i="7"/>
  <c r="R954" i="7"/>
  <c r="Q954" i="7"/>
  <c r="P954" i="7"/>
  <c r="O954" i="7"/>
  <c r="S953" i="7"/>
  <c r="R953" i="7"/>
  <c r="Q953" i="7"/>
  <c r="P953" i="7"/>
  <c r="O953" i="7"/>
  <c r="S952" i="7"/>
  <c r="R952" i="7"/>
  <c r="Q952" i="7"/>
  <c r="P952" i="7"/>
  <c r="O952" i="7"/>
  <c r="S951" i="7"/>
  <c r="R951" i="7"/>
  <c r="Q951" i="7"/>
  <c r="P951" i="7"/>
  <c r="O951" i="7"/>
  <c r="S950" i="7"/>
  <c r="R950" i="7"/>
  <c r="Q950" i="7"/>
  <c r="P950" i="7"/>
  <c r="O950" i="7"/>
  <c r="S949" i="7"/>
  <c r="R949" i="7"/>
  <c r="Q949" i="7"/>
  <c r="P949" i="7"/>
  <c r="O949" i="7"/>
  <c r="S948" i="7"/>
  <c r="R948" i="7"/>
  <c r="Q948" i="7"/>
  <c r="P948" i="7"/>
  <c r="O948" i="7"/>
  <c r="S947" i="7"/>
  <c r="R947" i="7"/>
  <c r="Q947" i="7"/>
  <c r="P947" i="7"/>
  <c r="O947" i="7"/>
  <c r="S946" i="7"/>
  <c r="R946" i="7"/>
  <c r="Q946" i="7"/>
  <c r="P946" i="7"/>
  <c r="O946" i="7"/>
  <c r="S945" i="7"/>
  <c r="R945" i="7"/>
  <c r="Q945" i="7"/>
  <c r="P945" i="7"/>
  <c r="O945" i="7"/>
  <c r="S944" i="7"/>
  <c r="R944" i="7"/>
  <c r="Q944" i="7"/>
  <c r="P944" i="7"/>
  <c r="O944" i="7"/>
  <c r="S943" i="7"/>
  <c r="R943" i="7"/>
  <c r="Q943" i="7"/>
  <c r="P943" i="7"/>
  <c r="O943" i="7"/>
  <c r="S942" i="7"/>
  <c r="R942" i="7"/>
  <c r="Q942" i="7"/>
  <c r="P942" i="7"/>
  <c r="O942" i="7"/>
  <c r="S941" i="7"/>
  <c r="R941" i="7"/>
  <c r="Q941" i="7"/>
  <c r="P941" i="7"/>
  <c r="O941" i="7"/>
  <c r="S940" i="7"/>
  <c r="R940" i="7"/>
  <c r="Q940" i="7"/>
  <c r="P940" i="7"/>
  <c r="O940" i="7"/>
  <c r="S939" i="7"/>
  <c r="R939" i="7"/>
  <c r="Q939" i="7"/>
  <c r="P939" i="7"/>
  <c r="O939" i="7"/>
  <c r="S938" i="7"/>
  <c r="R938" i="7"/>
  <c r="Q938" i="7"/>
  <c r="P938" i="7"/>
  <c r="O938" i="7"/>
  <c r="S937" i="7"/>
  <c r="R937" i="7"/>
  <c r="Q937" i="7"/>
  <c r="P937" i="7"/>
  <c r="O937" i="7"/>
  <c r="S936" i="7"/>
  <c r="R936" i="7"/>
  <c r="Q936" i="7"/>
  <c r="P936" i="7"/>
  <c r="O936" i="7"/>
  <c r="S935" i="7"/>
  <c r="R935" i="7"/>
  <c r="Q935" i="7"/>
  <c r="P935" i="7"/>
  <c r="O935" i="7"/>
  <c r="S934" i="7"/>
  <c r="R934" i="7"/>
  <c r="Q934" i="7"/>
  <c r="P934" i="7"/>
  <c r="O934" i="7"/>
  <c r="S933" i="7"/>
  <c r="R933" i="7"/>
  <c r="Q933" i="7"/>
  <c r="P933" i="7"/>
  <c r="O933" i="7"/>
  <c r="S932" i="7"/>
  <c r="R932" i="7"/>
  <c r="Q932" i="7"/>
  <c r="P932" i="7"/>
  <c r="O932" i="7"/>
  <c r="S931" i="7"/>
  <c r="R931" i="7"/>
  <c r="Q931" i="7"/>
  <c r="P931" i="7"/>
  <c r="O931" i="7"/>
  <c r="S930" i="7"/>
  <c r="R930" i="7"/>
  <c r="Q930" i="7"/>
  <c r="P930" i="7"/>
  <c r="O930" i="7"/>
  <c r="S929" i="7"/>
  <c r="R929" i="7"/>
  <c r="Q929" i="7"/>
  <c r="P929" i="7"/>
  <c r="O929" i="7"/>
  <c r="S928" i="7"/>
  <c r="R928" i="7"/>
  <c r="Q928" i="7"/>
  <c r="P928" i="7"/>
  <c r="O928" i="7"/>
  <c r="S927" i="7"/>
  <c r="R927" i="7"/>
  <c r="Q927" i="7"/>
  <c r="P927" i="7"/>
  <c r="O927" i="7"/>
  <c r="S926" i="7"/>
  <c r="R926" i="7"/>
  <c r="Q926" i="7"/>
  <c r="P926" i="7"/>
  <c r="O926" i="7"/>
  <c r="S925" i="7"/>
  <c r="R925" i="7"/>
  <c r="Q925" i="7"/>
  <c r="P925" i="7"/>
  <c r="O925" i="7"/>
  <c r="S924" i="7"/>
  <c r="R924" i="7"/>
  <c r="Q924" i="7"/>
  <c r="P924" i="7"/>
  <c r="O924" i="7"/>
  <c r="S923" i="7"/>
  <c r="R923" i="7"/>
  <c r="Q923" i="7"/>
  <c r="P923" i="7"/>
  <c r="O923" i="7"/>
  <c r="S922" i="7"/>
  <c r="R922" i="7"/>
  <c r="Q922" i="7"/>
  <c r="P922" i="7"/>
  <c r="O922" i="7"/>
  <c r="S921" i="7"/>
  <c r="R921" i="7"/>
  <c r="Q921" i="7"/>
  <c r="P921" i="7"/>
  <c r="O921" i="7"/>
  <c r="S920" i="7"/>
  <c r="R920" i="7"/>
  <c r="Q920" i="7"/>
  <c r="P920" i="7"/>
  <c r="O920" i="7"/>
  <c r="S919" i="7"/>
  <c r="R919" i="7"/>
  <c r="Q919" i="7"/>
  <c r="P919" i="7"/>
  <c r="O919" i="7"/>
  <c r="S918" i="7"/>
  <c r="R918" i="7"/>
  <c r="Q918" i="7"/>
  <c r="P918" i="7"/>
  <c r="O918" i="7"/>
  <c r="S917" i="7"/>
  <c r="R917" i="7"/>
  <c r="Q917" i="7"/>
  <c r="P917" i="7"/>
  <c r="O917" i="7"/>
  <c r="S916" i="7"/>
  <c r="R916" i="7"/>
  <c r="Q916" i="7"/>
  <c r="P916" i="7"/>
  <c r="O916" i="7"/>
  <c r="S915" i="7"/>
  <c r="R915" i="7"/>
  <c r="Q915" i="7"/>
  <c r="P915" i="7"/>
  <c r="O915" i="7"/>
  <c r="S914" i="7"/>
  <c r="R914" i="7"/>
  <c r="Q914" i="7"/>
  <c r="P914" i="7"/>
  <c r="O914" i="7"/>
  <c r="S913" i="7"/>
  <c r="R913" i="7"/>
  <c r="Q913" i="7"/>
  <c r="P913" i="7"/>
  <c r="O913" i="7"/>
  <c r="S912" i="7"/>
  <c r="R912" i="7"/>
  <c r="Q912" i="7"/>
  <c r="P912" i="7"/>
  <c r="O912" i="7"/>
  <c r="S911" i="7"/>
  <c r="R911" i="7"/>
  <c r="Q911" i="7"/>
  <c r="P911" i="7"/>
  <c r="O911" i="7"/>
  <c r="S910" i="7"/>
  <c r="R910" i="7"/>
  <c r="Q910" i="7"/>
  <c r="P910" i="7"/>
  <c r="O910" i="7"/>
  <c r="S909" i="7"/>
  <c r="R909" i="7"/>
  <c r="Q909" i="7"/>
  <c r="P909" i="7"/>
  <c r="O909" i="7"/>
  <c r="S908" i="7"/>
  <c r="R908" i="7"/>
  <c r="Q908" i="7"/>
  <c r="P908" i="7"/>
  <c r="O908" i="7"/>
  <c r="S907" i="7"/>
  <c r="R907" i="7"/>
  <c r="Q907" i="7"/>
  <c r="P907" i="7"/>
  <c r="O907" i="7"/>
  <c r="S906" i="7"/>
  <c r="R906" i="7"/>
  <c r="Q906" i="7"/>
  <c r="P906" i="7"/>
  <c r="O906" i="7"/>
  <c r="S905" i="7"/>
  <c r="R905" i="7"/>
  <c r="Q905" i="7"/>
  <c r="P905" i="7"/>
  <c r="O905" i="7"/>
  <c r="S904" i="7"/>
  <c r="R904" i="7"/>
  <c r="Q904" i="7"/>
  <c r="P904" i="7"/>
  <c r="O904" i="7"/>
  <c r="S903" i="7"/>
  <c r="R903" i="7"/>
  <c r="Q903" i="7"/>
  <c r="P903" i="7"/>
  <c r="O903" i="7"/>
  <c r="S902" i="7"/>
  <c r="R902" i="7"/>
  <c r="Q902" i="7"/>
  <c r="P902" i="7"/>
  <c r="O902" i="7"/>
  <c r="S901" i="7"/>
  <c r="R901" i="7"/>
  <c r="Q901" i="7"/>
  <c r="P901" i="7"/>
  <c r="O901" i="7"/>
  <c r="S900" i="7"/>
  <c r="R900" i="7"/>
  <c r="Q900" i="7"/>
  <c r="P900" i="7"/>
  <c r="O900" i="7"/>
  <c r="S899" i="7"/>
  <c r="R899" i="7"/>
  <c r="Q899" i="7"/>
  <c r="P899" i="7"/>
  <c r="O899" i="7"/>
  <c r="S898" i="7"/>
  <c r="R898" i="7"/>
  <c r="Q898" i="7"/>
  <c r="P898" i="7"/>
  <c r="O898" i="7"/>
  <c r="S897" i="7"/>
  <c r="R897" i="7"/>
  <c r="Q897" i="7"/>
  <c r="P897" i="7"/>
  <c r="O897" i="7"/>
  <c r="S896" i="7"/>
  <c r="R896" i="7"/>
  <c r="Q896" i="7"/>
  <c r="P896" i="7"/>
  <c r="O896" i="7"/>
  <c r="S895" i="7"/>
  <c r="R895" i="7"/>
  <c r="Q895" i="7"/>
  <c r="P895" i="7"/>
  <c r="O895" i="7"/>
  <c r="S894" i="7"/>
  <c r="R894" i="7"/>
  <c r="Q894" i="7"/>
  <c r="P894" i="7"/>
  <c r="O894" i="7"/>
  <c r="S893" i="7"/>
  <c r="R893" i="7"/>
  <c r="Q893" i="7"/>
  <c r="P893" i="7"/>
  <c r="O893" i="7"/>
  <c r="S892" i="7"/>
  <c r="R892" i="7"/>
  <c r="Q892" i="7"/>
  <c r="P892" i="7"/>
  <c r="O892" i="7"/>
  <c r="S891" i="7"/>
  <c r="R891" i="7"/>
  <c r="Q891" i="7"/>
  <c r="P891" i="7"/>
  <c r="O891" i="7"/>
  <c r="S890" i="7"/>
  <c r="R890" i="7"/>
  <c r="Q890" i="7"/>
  <c r="P890" i="7"/>
  <c r="O890" i="7"/>
  <c r="S889" i="7"/>
  <c r="R889" i="7"/>
  <c r="Q889" i="7"/>
  <c r="P889" i="7"/>
  <c r="O889" i="7"/>
  <c r="S888" i="7"/>
  <c r="R888" i="7"/>
  <c r="Q888" i="7"/>
  <c r="P888" i="7"/>
  <c r="O888" i="7"/>
  <c r="S887" i="7"/>
  <c r="R887" i="7"/>
  <c r="Q887" i="7"/>
  <c r="P887" i="7"/>
  <c r="O887" i="7"/>
  <c r="S886" i="7"/>
  <c r="R886" i="7"/>
  <c r="Q886" i="7"/>
  <c r="P886" i="7"/>
  <c r="O886" i="7"/>
  <c r="S885" i="7"/>
  <c r="R885" i="7"/>
  <c r="Q885" i="7"/>
  <c r="P885" i="7"/>
  <c r="O885" i="7"/>
  <c r="S884" i="7"/>
  <c r="R884" i="7"/>
  <c r="Q884" i="7"/>
  <c r="P884" i="7"/>
  <c r="O884" i="7"/>
  <c r="S883" i="7"/>
  <c r="R883" i="7"/>
  <c r="Q883" i="7"/>
  <c r="P883" i="7"/>
  <c r="O883" i="7"/>
  <c r="S882" i="7"/>
  <c r="R882" i="7"/>
  <c r="Q882" i="7"/>
  <c r="P882" i="7"/>
  <c r="O882" i="7"/>
  <c r="S881" i="7"/>
  <c r="R881" i="7"/>
  <c r="Q881" i="7"/>
  <c r="P881" i="7"/>
  <c r="O881" i="7"/>
  <c r="S880" i="7"/>
  <c r="R880" i="7"/>
  <c r="Q880" i="7"/>
  <c r="P880" i="7"/>
  <c r="O880" i="7"/>
  <c r="S879" i="7"/>
  <c r="R879" i="7"/>
  <c r="Q879" i="7"/>
  <c r="P879" i="7"/>
  <c r="O879" i="7"/>
  <c r="S878" i="7"/>
  <c r="R878" i="7"/>
  <c r="Q878" i="7"/>
  <c r="P878" i="7"/>
  <c r="O878" i="7"/>
  <c r="S877" i="7"/>
  <c r="R877" i="7"/>
  <c r="Q877" i="7"/>
  <c r="P877" i="7"/>
  <c r="O877" i="7"/>
  <c r="S876" i="7"/>
  <c r="R876" i="7"/>
  <c r="Q876" i="7"/>
  <c r="P876" i="7"/>
  <c r="O876" i="7"/>
  <c r="S875" i="7"/>
  <c r="R875" i="7"/>
  <c r="Q875" i="7"/>
  <c r="P875" i="7"/>
  <c r="O875" i="7"/>
  <c r="S874" i="7"/>
  <c r="R874" i="7"/>
  <c r="Q874" i="7"/>
  <c r="P874" i="7"/>
  <c r="O874" i="7"/>
  <c r="S873" i="7"/>
  <c r="R873" i="7"/>
  <c r="Q873" i="7"/>
  <c r="P873" i="7"/>
  <c r="O873" i="7"/>
  <c r="S872" i="7"/>
  <c r="R872" i="7"/>
  <c r="Q872" i="7"/>
  <c r="P872" i="7"/>
  <c r="O872" i="7"/>
  <c r="S871" i="7"/>
  <c r="R871" i="7"/>
  <c r="Q871" i="7"/>
  <c r="P871" i="7"/>
  <c r="O871" i="7"/>
  <c r="S870" i="7"/>
  <c r="R870" i="7"/>
  <c r="Q870" i="7"/>
  <c r="P870" i="7"/>
  <c r="O870" i="7"/>
  <c r="S869" i="7"/>
  <c r="R869" i="7"/>
  <c r="Q869" i="7"/>
  <c r="P869" i="7"/>
  <c r="O869" i="7"/>
  <c r="S868" i="7"/>
  <c r="R868" i="7"/>
  <c r="Q868" i="7"/>
  <c r="P868" i="7"/>
  <c r="O868" i="7"/>
  <c r="S867" i="7"/>
  <c r="R867" i="7"/>
  <c r="Q867" i="7"/>
  <c r="P867" i="7"/>
  <c r="O867" i="7"/>
  <c r="S866" i="7"/>
  <c r="R866" i="7"/>
  <c r="Q866" i="7"/>
  <c r="P866" i="7"/>
  <c r="O866" i="7"/>
  <c r="S865" i="7"/>
  <c r="R865" i="7"/>
  <c r="Q865" i="7"/>
  <c r="P865" i="7"/>
  <c r="O865" i="7"/>
  <c r="S864" i="7"/>
  <c r="R864" i="7"/>
  <c r="Q864" i="7"/>
  <c r="P864" i="7"/>
  <c r="O864" i="7"/>
  <c r="S863" i="7"/>
  <c r="R863" i="7"/>
  <c r="Q863" i="7"/>
  <c r="P863" i="7"/>
  <c r="O863" i="7"/>
  <c r="S862" i="7"/>
  <c r="R862" i="7"/>
  <c r="Q862" i="7"/>
  <c r="P862" i="7"/>
  <c r="O862" i="7"/>
  <c r="S861" i="7"/>
  <c r="R861" i="7"/>
  <c r="Q861" i="7"/>
  <c r="P861" i="7"/>
  <c r="O861" i="7"/>
  <c r="S860" i="7"/>
  <c r="R860" i="7"/>
  <c r="Q860" i="7"/>
  <c r="P860" i="7"/>
  <c r="O860" i="7"/>
  <c r="S859" i="7"/>
  <c r="R859" i="7"/>
  <c r="Q859" i="7"/>
  <c r="P859" i="7"/>
  <c r="O859" i="7"/>
  <c r="S858" i="7"/>
  <c r="R858" i="7"/>
  <c r="Q858" i="7"/>
  <c r="P858" i="7"/>
  <c r="O858" i="7"/>
  <c r="S857" i="7"/>
  <c r="R857" i="7"/>
  <c r="Q857" i="7"/>
  <c r="P857" i="7"/>
  <c r="O857" i="7"/>
  <c r="S856" i="7"/>
  <c r="R856" i="7"/>
  <c r="Q856" i="7"/>
  <c r="P856" i="7"/>
  <c r="O856" i="7"/>
  <c r="S855" i="7"/>
  <c r="R855" i="7"/>
  <c r="Q855" i="7"/>
  <c r="P855" i="7"/>
  <c r="O855" i="7"/>
  <c r="S854" i="7"/>
  <c r="R854" i="7"/>
  <c r="Q854" i="7"/>
  <c r="P854" i="7"/>
  <c r="O854" i="7"/>
  <c r="S853" i="7"/>
  <c r="R853" i="7"/>
  <c r="Q853" i="7"/>
  <c r="P853" i="7"/>
  <c r="O853" i="7"/>
  <c r="S852" i="7"/>
  <c r="R852" i="7"/>
  <c r="Q852" i="7"/>
  <c r="P852" i="7"/>
  <c r="O852" i="7"/>
  <c r="S851" i="7"/>
  <c r="R851" i="7"/>
  <c r="Q851" i="7"/>
  <c r="P851" i="7"/>
  <c r="O851" i="7"/>
  <c r="S850" i="7"/>
  <c r="R850" i="7"/>
  <c r="Q850" i="7"/>
  <c r="P850" i="7"/>
  <c r="O850" i="7"/>
  <c r="S849" i="7"/>
  <c r="R849" i="7"/>
  <c r="Q849" i="7"/>
  <c r="P849" i="7"/>
  <c r="O849" i="7"/>
  <c r="S848" i="7"/>
  <c r="R848" i="7"/>
  <c r="Q848" i="7"/>
  <c r="P848" i="7"/>
  <c r="O848" i="7"/>
  <c r="S847" i="7"/>
  <c r="R847" i="7"/>
  <c r="Q847" i="7"/>
  <c r="P847" i="7"/>
  <c r="O847" i="7"/>
  <c r="S846" i="7"/>
  <c r="R846" i="7"/>
  <c r="Q846" i="7"/>
  <c r="P846" i="7"/>
  <c r="O846" i="7"/>
  <c r="S845" i="7"/>
  <c r="R845" i="7"/>
  <c r="Q845" i="7"/>
  <c r="P845" i="7"/>
  <c r="O845" i="7"/>
  <c r="S844" i="7"/>
  <c r="R844" i="7"/>
  <c r="Q844" i="7"/>
  <c r="P844" i="7"/>
  <c r="O844" i="7"/>
  <c r="S843" i="7"/>
  <c r="R843" i="7"/>
  <c r="Q843" i="7"/>
  <c r="P843" i="7"/>
  <c r="O843" i="7"/>
  <c r="S842" i="7"/>
  <c r="R842" i="7"/>
  <c r="Q842" i="7"/>
  <c r="P842" i="7"/>
  <c r="O842" i="7"/>
  <c r="S841" i="7"/>
  <c r="R841" i="7"/>
  <c r="Q841" i="7"/>
  <c r="P841" i="7"/>
  <c r="O841" i="7"/>
  <c r="S840" i="7"/>
  <c r="R840" i="7"/>
  <c r="Q840" i="7"/>
  <c r="P840" i="7"/>
  <c r="O840" i="7"/>
  <c r="S839" i="7"/>
  <c r="R839" i="7"/>
  <c r="Q839" i="7"/>
  <c r="P839" i="7"/>
  <c r="O839" i="7"/>
  <c r="S838" i="7"/>
  <c r="R838" i="7"/>
  <c r="Q838" i="7"/>
  <c r="P838" i="7"/>
  <c r="O838" i="7"/>
  <c r="S837" i="7"/>
  <c r="R837" i="7"/>
  <c r="Q837" i="7"/>
  <c r="P837" i="7"/>
  <c r="O837" i="7"/>
  <c r="S836" i="7"/>
  <c r="R836" i="7"/>
  <c r="Q836" i="7"/>
  <c r="P836" i="7"/>
  <c r="O836" i="7"/>
  <c r="S835" i="7"/>
  <c r="R835" i="7"/>
  <c r="Q835" i="7"/>
  <c r="P835" i="7"/>
  <c r="O835" i="7"/>
  <c r="S834" i="7"/>
  <c r="R834" i="7"/>
  <c r="Q834" i="7"/>
  <c r="P834" i="7"/>
  <c r="O834" i="7"/>
  <c r="S833" i="7"/>
  <c r="R833" i="7"/>
  <c r="Q833" i="7"/>
  <c r="P833" i="7"/>
  <c r="O833" i="7"/>
  <c r="S832" i="7"/>
  <c r="R832" i="7"/>
  <c r="Q832" i="7"/>
  <c r="P832" i="7"/>
  <c r="O832" i="7"/>
  <c r="S831" i="7"/>
  <c r="R831" i="7"/>
  <c r="Q831" i="7"/>
  <c r="P831" i="7"/>
  <c r="O831" i="7"/>
  <c r="S830" i="7"/>
  <c r="R830" i="7"/>
  <c r="Q830" i="7"/>
  <c r="P830" i="7"/>
  <c r="O830" i="7"/>
  <c r="S829" i="7"/>
  <c r="R829" i="7"/>
  <c r="Q829" i="7"/>
  <c r="P829" i="7"/>
  <c r="O829" i="7"/>
  <c r="S828" i="7"/>
  <c r="R828" i="7"/>
  <c r="Q828" i="7"/>
  <c r="P828" i="7"/>
  <c r="O828" i="7"/>
  <c r="S827" i="7"/>
  <c r="R827" i="7"/>
  <c r="Q827" i="7"/>
  <c r="P827" i="7"/>
  <c r="O827" i="7"/>
  <c r="S826" i="7"/>
  <c r="R826" i="7"/>
  <c r="Q826" i="7"/>
  <c r="P826" i="7"/>
  <c r="O826" i="7"/>
  <c r="S825" i="7"/>
  <c r="R825" i="7"/>
  <c r="Q825" i="7"/>
  <c r="P825" i="7"/>
  <c r="O825" i="7"/>
  <c r="S824" i="7"/>
  <c r="R824" i="7"/>
  <c r="Q824" i="7"/>
  <c r="P824" i="7"/>
  <c r="O824" i="7"/>
  <c r="S823" i="7"/>
  <c r="R823" i="7"/>
  <c r="Q823" i="7"/>
  <c r="P823" i="7"/>
  <c r="O823" i="7"/>
  <c r="S822" i="7"/>
  <c r="R822" i="7"/>
  <c r="Q822" i="7"/>
  <c r="P822" i="7"/>
  <c r="O822" i="7"/>
  <c r="S821" i="7"/>
  <c r="R821" i="7"/>
  <c r="Q821" i="7"/>
  <c r="P821" i="7"/>
  <c r="O821" i="7"/>
  <c r="S820" i="7"/>
  <c r="R820" i="7"/>
  <c r="Q820" i="7"/>
  <c r="P820" i="7"/>
  <c r="O820" i="7"/>
  <c r="S819" i="7"/>
  <c r="R819" i="7"/>
  <c r="Q819" i="7"/>
  <c r="P819" i="7"/>
  <c r="O819" i="7"/>
  <c r="S818" i="7"/>
  <c r="R818" i="7"/>
  <c r="Q818" i="7"/>
  <c r="P818" i="7"/>
  <c r="O818" i="7"/>
  <c r="S817" i="7"/>
  <c r="R817" i="7"/>
  <c r="Q817" i="7"/>
  <c r="P817" i="7"/>
  <c r="O817" i="7"/>
  <c r="S816" i="7"/>
  <c r="R816" i="7"/>
  <c r="Q816" i="7"/>
  <c r="P816" i="7"/>
  <c r="O816" i="7"/>
  <c r="S815" i="7"/>
  <c r="R815" i="7"/>
  <c r="Q815" i="7"/>
  <c r="P815" i="7"/>
  <c r="O815" i="7"/>
  <c r="S814" i="7"/>
  <c r="R814" i="7"/>
  <c r="Q814" i="7"/>
  <c r="P814" i="7"/>
  <c r="O814" i="7"/>
  <c r="S813" i="7"/>
  <c r="R813" i="7"/>
  <c r="Q813" i="7"/>
  <c r="P813" i="7"/>
  <c r="O813" i="7"/>
  <c r="S812" i="7"/>
  <c r="R812" i="7"/>
  <c r="Q812" i="7"/>
  <c r="P812" i="7"/>
  <c r="O812" i="7"/>
  <c r="S811" i="7"/>
  <c r="R811" i="7"/>
  <c r="Q811" i="7"/>
  <c r="P811" i="7"/>
  <c r="O811" i="7"/>
  <c r="S810" i="7"/>
  <c r="R810" i="7"/>
  <c r="Q810" i="7"/>
  <c r="P810" i="7"/>
  <c r="O810" i="7"/>
  <c r="S809" i="7"/>
  <c r="R809" i="7"/>
  <c r="Q809" i="7"/>
  <c r="P809" i="7"/>
  <c r="O809" i="7"/>
  <c r="S808" i="7"/>
  <c r="R808" i="7"/>
  <c r="Q808" i="7"/>
  <c r="P808" i="7"/>
  <c r="O808" i="7"/>
  <c r="S807" i="7"/>
  <c r="R807" i="7"/>
  <c r="Q807" i="7"/>
  <c r="P807" i="7"/>
  <c r="O807" i="7"/>
  <c r="S806" i="7"/>
  <c r="R806" i="7"/>
  <c r="Q806" i="7"/>
  <c r="P806" i="7"/>
  <c r="O806" i="7"/>
  <c r="S805" i="7"/>
  <c r="R805" i="7"/>
  <c r="Q805" i="7"/>
  <c r="P805" i="7"/>
  <c r="O805" i="7"/>
  <c r="S804" i="7"/>
  <c r="R804" i="7"/>
  <c r="Q804" i="7"/>
  <c r="P804" i="7"/>
  <c r="O804" i="7"/>
  <c r="S803" i="7"/>
  <c r="R803" i="7"/>
  <c r="Q803" i="7"/>
  <c r="P803" i="7"/>
  <c r="O803" i="7"/>
  <c r="S802" i="7"/>
  <c r="R802" i="7"/>
  <c r="Q802" i="7"/>
  <c r="P802" i="7"/>
  <c r="O802" i="7"/>
  <c r="S801" i="7"/>
  <c r="R801" i="7"/>
  <c r="Q801" i="7"/>
  <c r="P801" i="7"/>
  <c r="O801" i="7"/>
  <c r="S800" i="7"/>
  <c r="R800" i="7"/>
  <c r="Q800" i="7"/>
  <c r="P800" i="7"/>
  <c r="O800" i="7"/>
  <c r="S799" i="7"/>
  <c r="R799" i="7"/>
  <c r="Q799" i="7"/>
  <c r="P799" i="7"/>
  <c r="O799" i="7"/>
  <c r="S798" i="7"/>
  <c r="R798" i="7"/>
  <c r="Q798" i="7"/>
  <c r="P798" i="7"/>
  <c r="O798" i="7"/>
  <c r="S797" i="7"/>
  <c r="R797" i="7"/>
  <c r="Q797" i="7"/>
  <c r="P797" i="7"/>
  <c r="O797" i="7"/>
  <c r="S796" i="7"/>
  <c r="R796" i="7"/>
  <c r="Q796" i="7"/>
  <c r="P796" i="7"/>
  <c r="O796" i="7"/>
  <c r="S795" i="7"/>
  <c r="R795" i="7"/>
  <c r="Q795" i="7"/>
  <c r="P795" i="7"/>
  <c r="O795" i="7"/>
  <c r="S794" i="7"/>
  <c r="R794" i="7"/>
  <c r="Q794" i="7"/>
  <c r="P794" i="7"/>
  <c r="O794" i="7"/>
  <c r="S793" i="7"/>
  <c r="R793" i="7"/>
  <c r="Q793" i="7"/>
  <c r="P793" i="7"/>
  <c r="O793" i="7"/>
  <c r="S792" i="7"/>
  <c r="R792" i="7"/>
  <c r="Q792" i="7"/>
  <c r="P792" i="7"/>
  <c r="O792" i="7"/>
  <c r="S791" i="7"/>
  <c r="R791" i="7"/>
  <c r="Q791" i="7"/>
  <c r="P791" i="7"/>
  <c r="O791" i="7"/>
  <c r="S790" i="7"/>
  <c r="R790" i="7"/>
  <c r="Q790" i="7"/>
  <c r="P790" i="7"/>
  <c r="O790" i="7"/>
  <c r="S789" i="7"/>
  <c r="R789" i="7"/>
  <c r="Q789" i="7"/>
  <c r="P789" i="7"/>
  <c r="O789" i="7"/>
  <c r="S788" i="7"/>
  <c r="R788" i="7"/>
  <c r="Q788" i="7"/>
  <c r="P788" i="7"/>
  <c r="O788" i="7"/>
  <c r="S787" i="7"/>
  <c r="R787" i="7"/>
  <c r="Q787" i="7"/>
  <c r="P787" i="7"/>
  <c r="O787" i="7"/>
  <c r="S786" i="7"/>
  <c r="R786" i="7"/>
  <c r="Q786" i="7"/>
  <c r="P786" i="7"/>
  <c r="O786" i="7"/>
  <c r="S785" i="7"/>
  <c r="R785" i="7"/>
  <c r="Q785" i="7"/>
  <c r="P785" i="7"/>
  <c r="O785" i="7"/>
  <c r="S784" i="7"/>
  <c r="R784" i="7"/>
  <c r="Q784" i="7"/>
  <c r="P784" i="7"/>
  <c r="O784" i="7"/>
  <c r="S783" i="7"/>
  <c r="R783" i="7"/>
  <c r="Q783" i="7"/>
  <c r="P783" i="7"/>
  <c r="O783" i="7"/>
  <c r="S782" i="7"/>
  <c r="R782" i="7"/>
  <c r="Q782" i="7"/>
  <c r="P782" i="7"/>
  <c r="O782" i="7"/>
  <c r="S781" i="7"/>
  <c r="R781" i="7"/>
  <c r="Q781" i="7"/>
  <c r="P781" i="7"/>
  <c r="O781" i="7"/>
  <c r="S780" i="7"/>
  <c r="R780" i="7"/>
  <c r="Q780" i="7"/>
  <c r="P780" i="7"/>
  <c r="O780" i="7"/>
  <c r="S779" i="7"/>
  <c r="R779" i="7"/>
  <c r="Q779" i="7"/>
  <c r="P779" i="7"/>
  <c r="O779" i="7"/>
  <c r="S778" i="7"/>
  <c r="R778" i="7"/>
  <c r="Q778" i="7"/>
  <c r="P778" i="7"/>
  <c r="O778" i="7"/>
  <c r="S777" i="7"/>
  <c r="R777" i="7"/>
  <c r="Q777" i="7"/>
  <c r="P777" i="7"/>
  <c r="O777" i="7"/>
  <c r="S776" i="7"/>
  <c r="R776" i="7"/>
  <c r="Q776" i="7"/>
  <c r="P776" i="7"/>
  <c r="O776" i="7"/>
  <c r="S775" i="7"/>
  <c r="R775" i="7"/>
  <c r="Q775" i="7"/>
  <c r="P775" i="7"/>
  <c r="O775" i="7"/>
  <c r="S774" i="7"/>
  <c r="R774" i="7"/>
  <c r="Q774" i="7"/>
  <c r="P774" i="7"/>
  <c r="O774" i="7"/>
  <c r="S773" i="7"/>
  <c r="R773" i="7"/>
  <c r="Q773" i="7"/>
  <c r="P773" i="7"/>
  <c r="O773" i="7"/>
  <c r="S772" i="7"/>
  <c r="R772" i="7"/>
  <c r="Q772" i="7"/>
  <c r="P772" i="7"/>
  <c r="O772" i="7"/>
  <c r="S771" i="7"/>
  <c r="R771" i="7"/>
  <c r="Q771" i="7"/>
  <c r="P771" i="7"/>
  <c r="O771" i="7"/>
  <c r="S770" i="7"/>
  <c r="R770" i="7"/>
  <c r="Q770" i="7"/>
  <c r="P770" i="7"/>
  <c r="O770" i="7"/>
  <c r="S769" i="7"/>
  <c r="R769" i="7"/>
  <c r="Q769" i="7"/>
  <c r="P769" i="7"/>
  <c r="O769" i="7"/>
  <c r="S768" i="7"/>
  <c r="R768" i="7"/>
  <c r="Q768" i="7"/>
  <c r="P768" i="7"/>
  <c r="O768" i="7"/>
  <c r="S767" i="7"/>
  <c r="R767" i="7"/>
  <c r="Q767" i="7"/>
  <c r="P767" i="7"/>
  <c r="O767" i="7"/>
  <c r="S766" i="7"/>
  <c r="R766" i="7"/>
  <c r="Q766" i="7"/>
  <c r="P766" i="7"/>
  <c r="O766" i="7"/>
  <c r="S765" i="7"/>
  <c r="R765" i="7"/>
  <c r="Q765" i="7"/>
  <c r="P765" i="7"/>
  <c r="O765" i="7"/>
  <c r="S764" i="7"/>
  <c r="R764" i="7"/>
  <c r="Q764" i="7"/>
  <c r="P764" i="7"/>
  <c r="O764" i="7"/>
  <c r="S763" i="7"/>
  <c r="R763" i="7"/>
  <c r="Q763" i="7"/>
  <c r="P763" i="7"/>
  <c r="O763" i="7"/>
  <c r="S762" i="7"/>
  <c r="R762" i="7"/>
  <c r="Q762" i="7"/>
  <c r="P762" i="7"/>
  <c r="O762" i="7"/>
  <c r="S761" i="7"/>
  <c r="R761" i="7"/>
  <c r="Q761" i="7"/>
  <c r="P761" i="7"/>
  <c r="O761" i="7"/>
  <c r="S760" i="7"/>
  <c r="R760" i="7"/>
  <c r="Q760" i="7"/>
  <c r="P760" i="7"/>
  <c r="O760" i="7"/>
  <c r="S759" i="7"/>
  <c r="R759" i="7"/>
  <c r="Q759" i="7"/>
  <c r="P759" i="7"/>
  <c r="O759" i="7"/>
  <c r="S758" i="7"/>
  <c r="R758" i="7"/>
  <c r="Q758" i="7"/>
  <c r="P758" i="7"/>
  <c r="O758" i="7"/>
  <c r="S757" i="7"/>
  <c r="R757" i="7"/>
  <c r="Q757" i="7"/>
  <c r="P757" i="7"/>
  <c r="O757" i="7"/>
  <c r="S756" i="7"/>
  <c r="R756" i="7"/>
  <c r="Q756" i="7"/>
  <c r="P756" i="7"/>
  <c r="O756" i="7"/>
  <c r="S755" i="7"/>
  <c r="R755" i="7"/>
  <c r="Q755" i="7"/>
  <c r="P755" i="7"/>
  <c r="O755" i="7"/>
  <c r="S754" i="7"/>
  <c r="R754" i="7"/>
  <c r="Q754" i="7"/>
  <c r="P754" i="7"/>
  <c r="O754" i="7"/>
  <c r="S753" i="7"/>
  <c r="R753" i="7"/>
  <c r="Q753" i="7"/>
  <c r="P753" i="7"/>
  <c r="O753" i="7"/>
  <c r="S752" i="7"/>
  <c r="R752" i="7"/>
  <c r="Q752" i="7"/>
  <c r="P752" i="7"/>
  <c r="O752" i="7"/>
  <c r="S751" i="7"/>
  <c r="R751" i="7"/>
  <c r="Q751" i="7"/>
  <c r="P751" i="7"/>
  <c r="O751" i="7"/>
  <c r="S750" i="7"/>
  <c r="R750" i="7"/>
  <c r="Q750" i="7"/>
  <c r="P750" i="7"/>
  <c r="O750" i="7"/>
  <c r="S749" i="7"/>
  <c r="R749" i="7"/>
  <c r="Q749" i="7"/>
  <c r="P749" i="7"/>
  <c r="O749" i="7"/>
  <c r="S748" i="7"/>
  <c r="R748" i="7"/>
  <c r="Q748" i="7"/>
  <c r="P748" i="7"/>
  <c r="O748" i="7"/>
  <c r="S747" i="7"/>
  <c r="R747" i="7"/>
  <c r="Q747" i="7"/>
  <c r="P747" i="7"/>
  <c r="O747" i="7"/>
  <c r="S746" i="7"/>
  <c r="R746" i="7"/>
  <c r="Q746" i="7"/>
  <c r="P746" i="7"/>
  <c r="O746" i="7"/>
  <c r="S745" i="7"/>
  <c r="R745" i="7"/>
  <c r="Q745" i="7"/>
  <c r="P745" i="7"/>
  <c r="O745" i="7"/>
  <c r="S744" i="7"/>
  <c r="R744" i="7"/>
  <c r="Q744" i="7"/>
  <c r="P744" i="7"/>
  <c r="O744" i="7"/>
  <c r="S743" i="7"/>
  <c r="R743" i="7"/>
  <c r="Q743" i="7"/>
  <c r="P743" i="7"/>
  <c r="O743" i="7"/>
  <c r="S742" i="7"/>
  <c r="R742" i="7"/>
  <c r="Q742" i="7"/>
  <c r="P742" i="7"/>
  <c r="O742" i="7"/>
  <c r="S741" i="7"/>
  <c r="R741" i="7"/>
  <c r="Q741" i="7"/>
  <c r="P741" i="7"/>
  <c r="O741" i="7"/>
  <c r="S740" i="7"/>
  <c r="R740" i="7"/>
  <c r="Q740" i="7"/>
  <c r="P740" i="7"/>
  <c r="O740" i="7"/>
  <c r="S739" i="7"/>
  <c r="R739" i="7"/>
  <c r="Q739" i="7"/>
  <c r="P739" i="7"/>
  <c r="O739" i="7"/>
  <c r="S738" i="7"/>
  <c r="R738" i="7"/>
  <c r="Q738" i="7"/>
  <c r="P738" i="7"/>
  <c r="O738" i="7"/>
  <c r="S737" i="7"/>
  <c r="R737" i="7"/>
  <c r="Q737" i="7"/>
  <c r="P737" i="7"/>
  <c r="O737" i="7"/>
  <c r="S736" i="7"/>
  <c r="R736" i="7"/>
  <c r="Q736" i="7"/>
  <c r="P736" i="7"/>
  <c r="O736" i="7"/>
  <c r="S735" i="7"/>
  <c r="R735" i="7"/>
  <c r="Q735" i="7"/>
  <c r="P735" i="7"/>
  <c r="O735" i="7"/>
  <c r="S734" i="7"/>
  <c r="R734" i="7"/>
  <c r="Q734" i="7"/>
  <c r="P734" i="7"/>
  <c r="O734" i="7"/>
  <c r="S733" i="7"/>
  <c r="R733" i="7"/>
  <c r="Q733" i="7"/>
  <c r="P733" i="7"/>
  <c r="O733" i="7"/>
  <c r="S732" i="7"/>
  <c r="R732" i="7"/>
  <c r="Q732" i="7"/>
  <c r="P732" i="7"/>
  <c r="O732" i="7"/>
  <c r="S731" i="7"/>
  <c r="R731" i="7"/>
  <c r="Q731" i="7"/>
  <c r="P731" i="7"/>
  <c r="O731" i="7"/>
  <c r="S730" i="7"/>
  <c r="R730" i="7"/>
  <c r="Q730" i="7"/>
  <c r="P730" i="7"/>
  <c r="O730" i="7"/>
  <c r="S729" i="7"/>
  <c r="R729" i="7"/>
  <c r="Q729" i="7"/>
  <c r="P729" i="7"/>
  <c r="O729" i="7"/>
  <c r="S728" i="7"/>
  <c r="R728" i="7"/>
  <c r="Q728" i="7"/>
  <c r="P728" i="7"/>
  <c r="O728" i="7"/>
  <c r="S727" i="7"/>
  <c r="R727" i="7"/>
  <c r="Q727" i="7"/>
  <c r="P727" i="7"/>
  <c r="O727" i="7"/>
  <c r="S726" i="7"/>
  <c r="R726" i="7"/>
  <c r="Q726" i="7"/>
  <c r="P726" i="7"/>
  <c r="O726" i="7"/>
  <c r="S725" i="7"/>
  <c r="R725" i="7"/>
  <c r="Q725" i="7"/>
  <c r="P725" i="7"/>
  <c r="O725" i="7"/>
  <c r="S724" i="7"/>
  <c r="R724" i="7"/>
  <c r="Q724" i="7"/>
  <c r="P724" i="7"/>
  <c r="O724" i="7"/>
  <c r="S723" i="7"/>
  <c r="R723" i="7"/>
  <c r="Q723" i="7"/>
  <c r="P723" i="7"/>
  <c r="O723" i="7"/>
  <c r="S722" i="7"/>
  <c r="R722" i="7"/>
  <c r="Q722" i="7"/>
  <c r="P722" i="7"/>
  <c r="O722" i="7"/>
  <c r="S721" i="7"/>
  <c r="R721" i="7"/>
  <c r="Q721" i="7"/>
  <c r="P721" i="7"/>
  <c r="O721" i="7"/>
  <c r="S720" i="7"/>
  <c r="R720" i="7"/>
  <c r="Q720" i="7"/>
  <c r="P720" i="7"/>
  <c r="O720" i="7"/>
  <c r="S719" i="7"/>
  <c r="R719" i="7"/>
  <c r="Q719" i="7"/>
  <c r="P719" i="7"/>
  <c r="O719" i="7"/>
  <c r="S718" i="7"/>
  <c r="R718" i="7"/>
  <c r="Q718" i="7"/>
  <c r="P718" i="7"/>
  <c r="O718" i="7"/>
  <c r="S717" i="7"/>
  <c r="R717" i="7"/>
  <c r="Q717" i="7"/>
  <c r="P717" i="7"/>
  <c r="O717" i="7"/>
  <c r="S716" i="7"/>
  <c r="R716" i="7"/>
  <c r="Q716" i="7"/>
  <c r="P716" i="7"/>
  <c r="O716" i="7"/>
  <c r="S715" i="7"/>
  <c r="R715" i="7"/>
  <c r="Q715" i="7"/>
  <c r="P715" i="7"/>
  <c r="O715" i="7"/>
  <c r="S714" i="7"/>
  <c r="R714" i="7"/>
  <c r="Q714" i="7"/>
  <c r="P714" i="7"/>
  <c r="O714" i="7"/>
  <c r="S713" i="7"/>
  <c r="R713" i="7"/>
  <c r="Q713" i="7"/>
  <c r="P713" i="7"/>
  <c r="O713" i="7"/>
  <c r="S712" i="7"/>
  <c r="R712" i="7"/>
  <c r="Q712" i="7"/>
  <c r="P712" i="7"/>
  <c r="O712" i="7"/>
  <c r="S711" i="7"/>
  <c r="R711" i="7"/>
  <c r="Q711" i="7"/>
  <c r="P711" i="7"/>
  <c r="O711" i="7"/>
  <c r="S710" i="7"/>
  <c r="R710" i="7"/>
  <c r="Q710" i="7"/>
  <c r="P710" i="7"/>
  <c r="O710" i="7"/>
  <c r="S709" i="7"/>
  <c r="R709" i="7"/>
  <c r="Q709" i="7"/>
  <c r="P709" i="7"/>
  <c r="O709" i="7"/>
  <c r="S708" i="7"/>
  <c r="R708" i="7"/>
  <c r="Q708" i="7"/>
  <c r="P708" i="7"/>
  <c r="O708" i="7"/>
  <c r="S707" i="7"/>
  <c r="R707" i="7"/>
  <c r="Q707" i="7"/>
  <c r="P707" i="7"/>
  <c r="O707" i="7"/>
  <c r="S706" i="7"/>
  <c r="R706" i="7"/>
  <c r="Q706" i="7"/>
  <c r="P706" i="7"/>
  <c r="O706" i="7"/>
  <c r="S705" i="7"/>
  <c r="R705" i="7"/>
  <c r="Q705" i="7"/>
  <c r="P705" i="7"/>
  <c r="O705" i="7"/>
  <c r="S704" i="7"/>
  <c r="R704" i="7"/>
  <c r="Q704" i="7"/>
  <c r="P704" i="7"/>
  <c r="O704" i="7"/>
  <c r="S703" i="7"/>
  <c r="R703" i="7"/>
  <c r="Q703" i="7"/>
  <c r="P703" i="7"/>
  <c r="O703" i="7"/>
  <c r="S702" i="7"/>
  <c r="R702" i="7"/>
  <c r="Q702" i="7"/>
  <c r="P702" i="7"/>
  <c r="O702" i="7"/>
  <c r="S701" i="7"/>
  <c r="R701" i="7"/>
  <c r="Q701" i="7"/>
  <c r="P701" i="7"/>
  <c r="O701" i="7"/>
  <c r="S700" i="7"/>
  <c r="R700" i="7"/>
  <c r="Q700" i="7"/>
  <c r="P700" i="7"/>
  <c r="O700" i="7"/>
  <c r="S699" i="7"/>
  <c r="R699" i="7"/>
  <c r="Q699" i="7"/>
  <c r="P699" i="7"/>
  <c r="O699" i="7"/>
  <c r="S698" i="7"/>
  <c r="R698" i="7"/>
  <c r="Q698" i="7"/>
  <c r="P698" i="7"/>
  <c r="O698" i="7"/>
  <c r="S697" i="7"/>
  <c r="R697" i="7"/>
  <c r="Q697" i="7"/>
  <c r="P697" i="7"/>
  <c r="O697" i="7"/>
  <c r="S696" i="7"/>
  <c r="R696" i="7"/>
  <c r="Q696" i="7"/>
  <c r="P696" i="7"/>
  <c r="O696" i="7"/>
  <c r="S695" i="7"/>
  <c r="R695" i="7"/>
  <c r="Q695" i="7"/>
  <c r="P695" i="7"/>
  <c r="O695" i="7"/>
  <c r="S694" i="7"/>
  <c r="R694" i="7"/>
  <c r="Q694" i="7"/>
  <c r="P694" i="7"/>
  <c r="O694" i="7"/>
  <c r="S693" i="7"/>
  <c r="R693" i="7"/>
  <c r="Q693" i="7"/>
  <c r="P693" i="7"/>
  <c r="O693" i="7"/>
  <c r="S692" i="7"/>
  <c r="R692" i="7"/>
  <c r="Q692" i="7"/>
  <c r="P692" i="7"/>
  <c r="O692" i="7"/>
  <c r="S691" i="7"/>
  <c r="R691" i="7"/>
  <c r="Q691" i="7"/>
  <c r="P691" i="7"/>
  <c r="O691" i="7"/>
  <c r="S690" i="7"/>
  <c r="R690" i="7"/>
  <c r="Q690" i="7"/>
  <c r="P690" i="7"/>
  <c r="O690" i="7"/>
  <c r="S689" i="7"/>
  <c r="R689" i="7"/>
  <c r="Q689" i="7"/>
  <c r="P689" i="7"/>
  <c r="O689" i="7"/>
  <c r="S688" i="7"/>
  <c r="R688" i="7"/>
  <c r="Q688" i="7"/>
  <c r="P688" i="7"/>
  <c r="O688" i="7"/>
  <c r="S687" i="7"/>
  <c r="R687" i="7"/>
  <c r="Q687" i="7"/>
  <c r="P687" i="7"/>
  <c r="O687" i="7"/>
  <c r="S686" i="7"/>
  <c r="R686" i="7"/>
  <c r="Q686" i="7"/>
  <c r="P686" i="7"/>
  <c r="O686" i="7"/>
  <c r="S685" i="7"/>
  <c r="R685" i="7"/>
  <c r="Q685" i="7"/>
  <c r="P685" i="7"/>
  <c r="O685" i="7"/>
  <c r="S684" i="7"/>
  <c r="R684" i="7"/>
  <c r="Q684" i="7"/>
  <c r="P684" i="7"/>
  <c r="O684" i="7"/>
  <c r="S683" i="7"/>
  <c r="R683" i="7"/>
  <c r="Q683" i="7"/>
  <c r="P683" i="7"/>
  <c r="O683" i="7"/>
  <c r="S682" i="7"/>
  <c r="R682" i="7"/>
  <c r="Q682" i="7"/>
  <c r="P682" i="7"/>
  <c r="O682" i="7"/>
  <c r="S681" i="7"/>
  <c r="R681" i="7"/>
  <c r="Q681" i="7"/>
  <c r="P681" i="7"/>
  <c r="O681" i="7"/>
  <c r="S680" i="7"/>
  <c r="R680" i="7"/>
  <c r="Q680" i="7"/>
  <c r="P680" i="7"/>
  <c r="O680" i="7"/>
  <c r="S679" i="7"/>
  <c r="R679" i="7"/>
  <c r="Q679" i="7"/>
  <c r="P679" i="7"/>
  <c r="O679" i="7"/>
  <c r="S678" i="7"/>
  <c r="R678" i="7"/>
  <c r="Q678" i="7"/>
  <c r="P678" i="7"/>
  <c r="O678" i="7"/>
  <c r="S677" i="7"/>
  <c r="R677" i="7"/>
  <c r="Q677" i="7"/>
  <c r="P677" i="7"/>
  <c r="O677" i="7"/>
  <c r="S676" i="7"/>
  <c r="R676" i="7"/>
  <c r="Q676" i="7"/>
  <c r="P676" i="7"/>
  <c r="O676" i="7"/>
  <c r="S675" i="7"/>
  <c r="R675" i="7"/>
  <c r="Q675" i="7"/>
  <c r="P675" i="7"/>
  <c r="O675" i="7"/>
  <c r="S674" i="7"/>
  <c r="R674" i="7"/>
  <c r="Q674" i="7"/>
  <c r="P674" i="7"/>
  <c r="O674" i="7"/>
  <c r="S673" i="7"/>
  <c r="R673" i="7"/>
  <c r="Q673" i="7"/>
  <c r="P673" i="7"/>
  <c r="O673" i="7"/>
  <c r="S672" i="7"/>
  <c r="R672" i="7"/>
  <c r="Q672" i="7"/>
  <c r="P672" i="7"/>
  <c r="O672" i="7"/>
  <c r="S671" i="7"/>
  <c r="R671" i="7"/>
  <c r="Q671" i="7"/>
  <c r="P671" i="7"/>
  <c r="O671" i="7"/>
  <c r="S670" i="7"/>
  <c r="R670" i="7"/>
  <c r="Q670" i="7"/>
  <c r="P670" i="7"/>
  <c r="O670" i="7"/>
  <c r="S669" i="7"/>
  <c r="R669" i="7"/>
  <c r="Q669" i="7"/>
  <c r="P669" i="7"/>
  <c r="O669" i="7"/>
  <c r="S668" i="7"/>
  <c r="R668" i="7"/>
  <c r="Q668" i="7"/>
  <c r="P668" i="7"/>
  <c r="O668" i="7"/>
  <c r="S667" i="7"/>
  <c r="R667" i="7"/>
  <c r="Q667" i="7"/>
  <c r="P667" i="7"/>
  <c r="O667" i="7"/>
  <c r="S666" i="7"/>
  <c r="R666" i="7"/>
  <c r="Q666" i="7"/>
  <c r="P666" i="7"/>
  <c r="O666" i="7"/>
  <c r="S665" i="7"/>
  <c r="R665" i="7"/>
  <c r="Q665" i="7"/>
  <c r="P665" i="7"/>
  <c r="O665" i="7"/>
  <c r="S664" i="7"/>
  <c r="R664" i="7"/>
  <c r="Q664" i="7"/>
  <c r="P664" i="7"/>
  <c r="O664" i="7"/>
  <c r="S663" i="7"/>
  <c r="R663" i="7"/>
  <c r="Q663" i="7"/>
  <c r="P663" i="7"/>
  <c r="O663" i="7"/>
  <c r="S662" i="7"/>
  <c r="R662" i="7"/>
  <c r="Q662" i="7"/>
  <c r="P662" i="7"/>
  <c r="O662" i="7"/>
  <c r="S661" i="7"/>
  <c r="R661" i="7"/>
  <c r="Q661" i="7"/>
  <c r="P661" i="7"/>
  <c r="O661" i="7"/>
  <c r="S660" i="7"/>
  <c r="R660" i="7"/>
  <c r="Q660" i="7"/>
  <c r="P660" i="7"/>
  <c r="O660" i="7"/>
  <c r="S659" i="7"/>
  <c r="R659" i="7"/>
  <c r="Q659" i="7"/>
  <c r="P659" i="7"/>
  <c r="O659" i="7"/>
  <c r="S658" i="7"/>
  <c r="R658" i="7"/>
  <c r="Q658" i="7"/>
  <c r="P658" i="7"/>
  <c r="O658" i="7"/>
  <c r="S657" i="7"/>
  <c r="R657" i="7"/>
  <c r="Q657" i="7"/>
  <c r="P657" i="7"/>
  <c r="O657" i="7"/>
  <c r="S656" i="7"/>
  <c r="R656" i="7"/>
  <c r="Q656" i="7"/>
  <c r="P656" i="7"/>
  <c r="O656" i="7"/>
  <c r="S655" i="7"/>
  <c r="R655" i="7"/>
  <c r="Q655" i="7"/>
  <c r="P655" i="7"/>
  <c r="O655" i="7"/>
  <c r="S654" i="7"/>
  <c r="R654" i="7"/>
  <c r="Q654" i="7"/>
  <c r="P654" i="7"/>
  <c r="O654" i="7"/>
  <c r="S653" i="7"/>
  <c r="R653" i="7"/>
  <c r="Q653" i="7"/>
  <c r="P653" i="7"/>
  <c r="O653" i="7"/>
  <c r="S652" i="7"/>
  <c r="R652" i="7"/>
  <c r="Q652" i="7"/>
  <c r="P652" i="7"/>
  <c r="O652" i="7"/>
  <c r="S651" i="7"/>
  <c r="R651" i="7"/>
  <c r="Q651" i="7"/>
  <c r="P651" i="7"/>
  <c r="O651" i="7"/>
  <c r="S650" i="7"/>
  <c r="R650" i="7"/>
  <c r="Q650" i="7"/>
  <c r="P650" i="7"/>
  <c r="O650" i="7"/>
  <c r="S649" i="7"/>
  <c r="R649" i="7"/>
  <c r="Q649" i="7"/>
  <c r="P649" i="7"/>
  <c r="O649" i="7"/>
  <c r="S648" i="7"/>
  <c r="R648" i="7"/>
  <c r="Q648" i="7"/>
  <c r="P648" i="7"/>
  <c r="O648" i="7"/>
  <c r="S647" i="7"/>
  <c r="R647" i="7"/>
  <c r="Q647" i="7"/>
  <c r="P647" i="7"/>
  <c r="O647" i="7"/>
  <c r="S646" i="7"/>
  <c r="R646" i="7"/>
  <c r="Q646" i="7"/>
  <c r="P646" i="7"/>
  <c r="O646" i="7"/>
  <c r="S645" i="7"/>
  <c r="R645" i="7"/>
  <c r="Q645" i="7"/>
  <c r="P645" i="7"/>
  <c r="O645" i="7"/>
  <c r="S644" i="7"/>
  <c r="R644" i="7"/>
  <c r="Q644" i="7"/>
  <c r="P644" i="7"/>
  <c r="O644" i="7"/>
  <c r="S643" i="7"/>
  <c r="R643" i="7"/>
  <c r="Q643" i="7"/>
  <c r="P643" i="7"/>
  <c r="O643" i="7"/>
  <c r="S642" i="7"/>
  <c r="R642" i="7"/>
  <c r="Q642" i="7"/>
  <c r="P642" i="7"/>
  <c r="O642" i="7"/>
  <c r="S641" i="7"/>
  <c r="R641" i="7"/>
  <c r="Q641" i="7"/>
  <c r="P641" i="7"/>
  <c r="O641" i="7"/>
  <c r="S640" i="7"/>
  <c r="R640" i="7"/>
  <c r="Q640" i="7"/>
  <c r="P640" i="7"/>
  <c r="O640" i="7"/>
  <c r="S639" i="7"/>
  <c r="R639" i="7"/>
  <c r="Q639" i="7"/>
  <c r="P639" i="7"/>
  <c r="O639" i="7"/>
  <c r="S638" i="7"/>
  <c r="R638" i="7"/>
  <c r="Q638" i="7"/>
  <c r="P638" i="7"/>
  <c r="O638" i="7"/>
  <c r="S637" i="7"/>
  <c r="R637" i="7"/>
  <c r="Q637" i="7"/>
  <c r="P637" i="7"/>
  <c r="O637" i="7"/>
  <c r="S636" i="7"/>
  <c r="R636" i="7"/>
  <c r="Q636" i="7"/>
  <c r="P636" i="7"/>
  <c r="O636" i="7"/>
  <c r="S635" i="7"/>
  <c r="R635" i="7"/>
  <c r="Q635" i="7"/>
  <c r="P635" i="7"/>
  <c r="O635" i="7"/>
  <c r="S634" i="7"/>
  <c r="R634" i="7"/>
  <c r="Q634" i="7"/>
  <c r="P634" i="7"/>
  <c r="O634" i="7"/>
  <c r="S633" i="7"/>
  <c r="R633" i="7"/>
  <c r="Q633" i="7"/>
  <c r="P633" i="7"/>
  <c r="O633" i="7"/>
  <c r="S632" i="7"/>
  <c r="R632" i="7"/>
  <c r="Q632" i="7"/>
  <c r="P632" i="7"/>
  <c r="O632" i="7"/>
  <c r="S631" i="7"/>
  <c r="R631" i="7"/>
  <c r="Q631" i="7"/>
  <c r="P631" i="7"/>
  <c r="O631" i="7"/>
  <c r="S630" i="7"/>
  <c r="R630" i="7"/>
  <c r="Q630" i="7"/>
  <c r="P630" i="7"/>
  <c r="O630" i="7"/>
  <c r="S629" i="7"/>
  <c r="R629" i="7"/>
  <c r="Q629" i="7"/>
  <c r="P629" i="7"/>
  <c r="O629" i="7"/>
  <c r="S628" i="7"/>
  <c r="R628" i="7"/>
  <c r="Q628" i="7"/>
  <c r="P628" i="7"/>
  <c r="O628" i="7"/>
  <c r="S627" i="7"/>
  <c r="R627" i="7"/>
  <c r="Q627" i="7"/>
  <c r="P627" i="7"/>
  <c r="O627" i="7"/>
  <c r="S626" i="7"/>
  <c r="R626" i="7"/>
  <c r="Q626" i="7"/>
  <c r="P626" i="7"/>
  <c r="O626" i="7"/>
  <c r="S625" i="7"/>
  <c r="R625" i="7"/>
  <c r="Q625" i="7"/>
  <c r="P625" i="7"/>
  <c r="O625" i="7"/>
  <c r="S624" i="7"/>
  <c r="R624" i="7"/>
  <c r="Q624" i="7"/>
  <c r="P624" i="7"/>
  <c r="O624" i="7"/>
  <c r="S623" i="7"/>
  <c r="R623" i="7"/>
  <c r="Q623" i="7"/>
  <c r="P623" i="7"/>
  <c r="O623" i="7"/>
  <c r="S622" i="7"/>
  <c r="R622" i="7"/>
  <c r="Q622" i="7"/>
  <c r="P622" i="7"/>
  <c r="O622" i="7"/>
  <c r="S621" i="7"/>
  <c r="R621" i="7"/>
  <c r="Q621" i="7"/>
  <c r="P621" i="7"/>
  <c r="O621" i="7"/>
  <c r="S620" i="7"/>
  <c r="R620" i="7"/>
  <c r="Q620" i="7"/>
  <c r="P620" i="7"/>
  <c r="O620" i="7"/>
  <c r="S619" i="7"/>
  <c r="R619" i="7"/>
  <c r="Q619" i="7"/>
  <c r="P619" i="7"/>
  <c r="O619" i="7"/>
  <c r="S618" i="7"/>
  <c r="R618" i="7"/>
  <c r="Q618" i="7"/>
  <c r="P618" i="7"/>
  <c r="O618" i="7"/>
  <c r="S617" i="7"/>
  <c r="R617" i="7"/>
  <c r="Q617" i="7"/>
  <c r="P617" i="7"/>
  <c r="O617" i="7"/>
  <c r="S616" i="7"/>
  <c r="R616" i="7"/>
  <c r="Q616" i="7"/>
  <c r="P616" i="7"/>
  <c r="O616" i="7"/>
  <c r="S615" i="7"/>
  <c r="R615" i="7"/>
  <c r="Q615" i="7"/>
  <c r="P615" i="7"/>
  <c r="O615" i="7"/>
  <c r="S614" i="7"/>
  <c r="R614" i="7"/>
  <c r="Q614" i="7"/>
  <c r="P614" i="7"/>
  <c r="O614" i="7"/>
  <c r="S613" i="7"/>
  <c r="R613" i="7"/>
  <c r="Q613" i="7"/>
  <c r="P613" i="7"/>
  <c r="O613" i="7"/>
  <c r="S612" i="7"/>
  <c r="R612" i="7"/>
  <c r="Q612" i="7"/>
  <c r="P612" i="7"/>
  <c r="O612" i="7"/>
  <c r="S611" i="7"/>
  <c r="R611" i="7"/>
  <c r="Q611" i="7"/>
  <c r="P611" i="7"/>
  <c r="O611" i="7"/>
  <c r="S610" i="7"/>
  <c r="R610" i="7"/>
  <c r="Q610" i="7"/>
  <c r="P610" i="7"/>
  <c r="O610" i="7"/>
  <c r="S609" i="7"/>
  <c r="R609" i="7"/>
  <c r="Q609" i="7"/>
  <c r="P609" i="7"/>
  <c r="O609" i="7"/>
  <c r="S608" i="7"/>
  <c r="R608" i="7"/>
  <c r="Q608" i="7"/>
  <c r="P608" i="7"/>
  <c r="O608" i="7"/>
  <c r="S607" i="7"/>
  <c r="R607" i="7"/>
  <c r="Q607" i="7"/>
  <c r="P607" i="7"/>
  <c r="O607" i="7"/>
  <c r="S606" i="7"/>
  <c r="R606" i="7"/>
  <c r="Q606" i="7"/>
  <c r="P606" i="7"/>
  <c r="O606" i="7"/>
  <c r="S605" i="7"/>
  <c r="R605" i="7"/>
  <c r="Q605" i="7"/>
  <c r="P605" i="7"/>
  <c r="O605" i="7"/>
  <c r="S604" i="7"/>
  <c r="R604" i="7"/>
  <c r="Q604" i="7"/>
  <c r="P604" i="7"/>
  <c r="O604" i="7"/>
  <c r="S603" i="7"/>
  <c r="R603" i="7"/>
  <c r="Q603" i="7"/>
  <c r="P603" i="7"/>
  <c r="O603" i="7"/>
  <c r="S602" i="7"/>
  <c r="R602" i="7"/>
  <c r="Q602" i="7"/>
  <c r="P602" i="7"/>
  <c r="O602" i="7"/>
  <c r="S601" i="7"/>
  <c r="R601" i="7"/>
  <c r="Q601" i="7"/>
  <c r="P601" i="7"/>
  <c r="O601" i="7"/>
  <c r="S600" i="7"/>
  <c r="R600" i="7"/>
  <c r="Q600" i="7"/>
  <c r="P600" i="7"/>
  <c r="O600" i="7"/>
  <c r="S599" i="7"/>
  <c r="R599" i="7"/>
  <c r="Q599" i="7"/>
  <c r="P599" i="7"/>
  <c r="O599" i="7"/>
  <c r="S598" i="7"/>
  <c r="R598" i="7"/>
  <c r="Q598" i="7"/>
  <c r="P598" i="7"/>
  <c r="O598" i="7"/>
  <c r="S597" i="7"/>
  <c r="R597" i="7"/>
  <c r="Q597" i="7"/>
  <c r="P597" i="7"/>
  <c r="O597" i="7"/>
  <c r="S596" i="7"/>
  <c r="R596" i="7"/>
  <c r="Q596" i="7"/>
  <c r="P596" i="7"/>
  <c r="O596" i="7"/>
  <c r="S595" i="7"/>
  <c r="R595" i="7"/>
  <c r="Q595" i="7"/>
  <c r="P595" i="7"/>
  <c r="O595" i="7"/>
  <c r="S594" i="7"/>
  <c r="R594" i="7"/>
  <c r="Q594" i="7"/>
  <c r="P594" i="7"/>
  <c r="O594" i="7"/>
  <c r="S593" i="7"/>
  <c r="R593" i="7"/>
  <c r="Q593" i="7"/>
  <c r="P593" i="7"/>
  <c r="O593" i="7"/>
  <c r="S592" i="7"/>
  <c r="R592" i="7"/>
  <c r="Q592" i="7"/>
  <c r="P592" i="7"/>
  <c r="O592" i="7"/>
  <c r="S591" i="7"/>
  <c r="R591" i="7"/>
  <c r="Q591" i="7"/>
  <c r="P591" i="7"/>
  <c r="O591" i="7"/>
  <c r="S590" i="7"/>
  <c r="R590" i="7"/>
  <c r="Q590" i="7"/>
  <c r="P590" i="7"/>
  <c r="O590" i="7"/>
  <c r="S589" i="7"/>
  <c r="R589" i="7"/>
  <c r="Q589" i="7"/>
  <c r="P589" i="7"/>
  <c r="O589" i="7"/>
  <c r="S588" i="7"/>
  <c r="R588" i="7"/>
  <c r="Q588" i="7"/>
  <c r="P588" i="7"/>
  <c r="O588" i="7"/>
  <c r="S587" i="7"/>
  <c r="R587" i="7"/>
  <c r="Q587" i="7"/>
  <c r="P587" i="7"/>
  <c r="O587" i="7"/>
  <c r="S586" i="7"/>
  <c r="R586" i="7"/>
  <c r="Q586" i="7"/>
  <c r="P586" i="7"/>
  <c r="O586" i="7"/>
  <c r="S585" i="7"/>
  <c r="R585" i="7"/>
  <c r="Q585" i="7"/>
  <c r="P585" i="7"/>
  <c r="O585" i="7"/>
  <c r="S584" i="7"/>
  <c r="R584" i="7"/>
  <c r="Q584" i="7"/>
  <c r="P584" i="7"/>
  <c r="O584" i="7"/>
  <c r="S583" i="7"/>
  <c r="R583" i="7"/>
  <c r="Q583" i="7"/>
  <c r="P583" i="7"/>
  <c r="O583" i="7"/>
  <c r="S582" i="7"/>
  <c r="R582" i="7"/>
  <c r="Q582" i="7"/>
  <c r="P582" i="7"/>
  <c r="O582" i="7"/>
  <c r="S581" i="7"/>
  <c r="R581" i="7"/>
  <c r="Q581" i="7"/>
  <c r="P581" i="7"/>
  <c r="O581" i="7"/>
  <c r="S580" i="7"/>
  <c r="R580" i="7"/>
  <c r="Q580" i="7"/>
  <c r="P580" i="7"/>
  <c r="O580" i="7"/>
  <c r="S579" i="7"/>
  <c r="R579" i="7"/>
  <c r="Q579" i="7"/>
  <c r="P579" i="7"/>
  <c r="O579" i="7"/>
  <c r="S578" i="7"/>
  <c r="R578" i="7"/>
  <c r="Q578" i="7"/>
  <c r="P578" i="7"/>
  <c r="O578" i="7"/>
  <c r="S577" i="7"/>
  <c r="R577" i="7"/>
  <c r="Q577" i="7"/>
  <c r="P577" i="7"/>
  <c r="O577" i="7"/>
  <c r="S576" i="7"/>
  <c r="R576" i="7"/>
  <c r="Q576" i="7"/>
  <c r="P576" i="7"/>
  <c r="O576" i="7"/>
  <c r="S575" i="7"/>
  <c r="R575" i="7"/>
  <c r="Q575" i="7"/>
  <c r="P575" i="7"/>
  <c r="O575" i="7"/>
  <c r="S574" i="7"/>
  <c r="R574" i="7"/>
  <c r="Q574" i="7"/>
  <c r="P574" i="7"/>
  <c r="O574" i="7"/>
  <c r="S573" i="7"/>
  <c r="R573" i="7"/>
  <c r="Q573" i="7"/>
  <c r="P573" i="7"/>
  <c r="O573" i="7"/>
  <c r="S572" i="7"/>
  <c r="R572" i="7"/>
  <c r="Q572" i="7"/>
  <c r="P572" i="7"/>
  <c r="O572" i="7"/>
  <c r="S571" i="7"/>
  <c r="R571" i="7"/>
  <c r="Q571" i="7"/>
  <c r="P571" i="7"/>
  <c r="O571" i="7"/>
  <c r="S570" i="7"/>
  <c r="R570" i="7"/>
  <c r="Q570" i="7"/>
  <c r="P570" i="7"/>
  <c r="O570" i="7"/>
  <c r="S569" i="7"/>
  <c r="R569" i="7"/>
  <c r="Q569" i="7"/>
  <c r="P569" i="7"/>
  <c r="O569" i="7"/>
  <c r="S568" i="7"/>
  <c r="R568" i="7"/>
  <c r="Q568" i="7"/>
  <c r="P568" i="7"/>
  <c r="O568" i="7"/>
  <c r="S567" i="7"/>
  <c r="R567" i="7"/>
  <c r="Q567" i="7"/>
  <c r="P567" i="7"/>
  <c r="O567" i="7"/>
  <c r="S566" i="7"/>
  <c r="R566" i="7"/>
  <c r="Q566" i="7"/>
  <c r="P566" i="7"/>
  <c r="O566" i="7"/>
  <c r="S565" i="7"/>
  <c r="R565" i="7"/>
  <c r="Q565" i="7"/>
  <c r="P565" i="7"/>
  <c r="O565" i="7"/>
  <c r="S564" i="7"/>
  <c r="R564" i="7"/>
  <c r="Q564" i="7"/>
  <c r="P564" i="7"/>
  <c r="O564" i="7"/>
  <c r="S563" i="7"/>
  <c r="R563" i="7"/>
  <c r="Q563" i="7"/>
  <c r="P563" i="7"/>
  <c r="O563" i="7"/>
  <c r="S562" i="7"/>
  <c r="R562" i="7"/>
  <c r="Q562" i="7"/>
  <c r="P562" i="7"/>
  <c r="O562" i="7"/>
  <c r="S561" i="7"/>
  <c r="R561" i="7"/>
  <c r="Q561" i="7"/>
  <c r="P561" i="7"/>
  <c r="O561" i="7"/>
  <c r="S560" i="7"/>
  <c r="R560" i="7"/>
  <c r="Q560" i="7"/>
  <c r="P560" i="7"/>
  <c r="O560" i="7"/>
  <c r="S559" i="7"/>
  <c r="R559" i="7"/>
  <c r="Q559" i="7"/>
  <c r="P559" i="7"/>
  <c r="O559" i="7"/>
  <c r="S558" i="7"/>
  <c r="R558" i="7"/>
  <c r="Q558" i="7"/>
  <c r="P558" i="7"/>
  <c r="O558" i="7"/>
  <c r="S557" i="7"/>
  <c r="R557" i="7"/>
  <c r="Q557" i="7"/>
  <c r="P557" i="7"/>
  <c r="O557" i="7"/>
  <c r="S556" i="7"/>
  <c r="R556" i="7"/>
  <c r="Q556" i="7"/>
  <c r="P556" i="7"/>
  <c r="O556" i="7"/>
  <c r="S555" i="7"/>
  <c r="R555" i="7"/>
  <c r="Q555" i="7"/>
  <c r="P555" i="7"/>
  <c r="O555" i="7"/>
  <c r="S554" i="7"/>
  <c r="R554" i="7"/>
  <c r="Q554" i="7"/>
  <c r="P554" i="7"/>
  <c r="O554" i="7"/>
  <c r="S553" i="7"/>
  <c r="R553" i="7"/>
  <c r="Q553" i="7"/>
  <c r="P553" i="7"/>
  <c r="O553" i="7"/>
  <c r="S552" i="7"/>
  <c r="R552" i="7"/>
  <c r="Q552" i="7"/>
  <c r="P552" i="7"/>
  <c r="O552" i="7"/>
  <c r="S551" i="7"/>
  <c r="R551" i="7"/>
  <c r="Q551" i="7"/>
  <c r="P551" i="7"/>
  <c r="O551" i="7"/>
  <c r="S550" i="7"/>
  <c r="R550" i="7"/>
  <c r="Q550" i="7"/>
  <c r="P550" i="7"/>
  <c r="O550" i="7"/>
  <c r="S549" i="7"/>
  <c r="R549" i="7"/>
  <c r="Q549" i="7"/>
  <c r="P549" i="7"/>
  <c r="O549" i="7"/>
  <c r="S548" i="7"/>
  <c r="R548" i="7"/>
  <c r="Q548" i="7"/>
  <c r="P548" i="7"/>
  <c r="O548" i="7"/>
  <c r="S547" i="7"/>
  <c r="R547" i="7"/>
  <c r="Q547" i="7"/>
  <c r="P547" i="7"/>
  <c r="O547" i="7"/>
  <c r="S546" i="7"/>
  <c r="R546" i="7"/>
  <c r="Q546" i="7"/>
  <c r="P546" i="7"/>
  <c r="O546" i="7"/>
  <c r="S545" i="7"/>
  <c r="R545" i="7"/>
  <c r="Q545" i="7"/>
  <c r="P545" i="7"/>
  <c r="O545" i="7"/>
  <c r="S544" i="7"/>
  <c r="R544" i="7"/>
  <c r="Q544" i="7"/>
  <c r="P544" i="7"/>
  <c r="O544" i="7"/>
  <c r="S543" i="7"/>
  <c r="R543" i="7"/>
  <c r="Q543" i="7"/>
  <c r="P543" i="7"/>
  <c r="O543" i="7"/>
  <c r="S542" i="7"/>
  <c r="R542" i="7"/>
  <c r="Q542" i="7"/>
  <c r="P542" i="7"/>
  <c r="O542" i="7"/>
  <c r="S541" i="7"/>
  <c r="R541" i="7"/>
  <c r="Q541" i="7"/>
  <c r="P541" i="7"/>
  <c r="O541" i="7"/>
  <c r="S540" i="7"/>
  <c r="R540" i="7"/>
  <c r="Q540" i="7"/>
  <c r="P540" i="7"/>
  <c r="O540" i="7"/>
  <c r="S539" i="7"/>
  <c r="R539" i="7"/>
  <c r="Q539" i="7"/>
  <c r="P539" i="7"/>
  <c r="O539" i="7"/>
  <c r="S538" i="7"/>
  <c r="R538" i="7"/>
  <c r="Q538" i="7"/>
  <c r="P538" i="7"/>
  <c r="O538" i="7"/>
  <c r="S537" i="7"/>
  <c r="R537" i="7"/>
  <c r="Q537" i="7"/>
  <c r="P537" i="7"/>
  <c r="O537" i="7"/>
  <c r="S536" i="7"/>
  <c r="R536" i="7"/>
  <c r="Q536" i="7"/>
  <c r="P536" i="7"/>
  <c r="O536" i="7"/>
  <c r="S535" i="7"/>
  <c r="R535" i="7"/>
  <c r="Q535" i="7"/>
  <c r="P535" i="7"/>
  <c r="O535" i="7"/>
  <c r="S534" i="7"/>
  <c r="R534" i="7"/>
  <c r="Q534" i="7"/>
  <c r="P534" i="7"/>
  <c r="O534" i="7"/>
  <c r="S533" i="7"/>
  <c r="R533" i="7"/>
  <c r="Q533" i="7"/>
  <c r="P533" i="7"/>
  <c r="O533" i="7"/>
  <c r="S532" i="7"/>
  <c r="R532" i="7"/>
  <c r="Q532" i="7"/>
  <c r="P532" i="7"/>
  <c r="O532" i="7"/>
  <c r="S531" i="7"/>
  <c r="R531" i="7"/>
  <c r="Q531" i="7"/>
  <c r="P531" i="7"/>
  <c r="O531" i="7"/>
  <c r="S530" i="7"/>
  <c r="R530" i="7"/>
  <c r="Q530" i="7"/>
  <c r="P530" i="7"/>
  <c r="O530" i="7"/>
  <c r="S529" i="7"/>
  <c r="R529" i="7"/>
  <c r="Q529" i="7"/>
  <c r="P529" i="7"/>
  <c r="O529" i="7"/>
  <c r="S528" i="7"/>
  <c r="R528" i="7"/>
  <c r="Q528" i="7"/>
  <c r="P528" i="7"/>
  <c r="O528" i="7"/>
  <c r="S527" i="7"/>
  <c r="R527" i="7"/>
  <c r="Q527" i="7"/>
  <c r="P527" i="7"/>
  <c r="O527" i="7"/>
  <c r="S526" i="7"/>
  <c r="R526" i="7"/>
  <c r="Q526" i="7"/>
  <c r="P526" i="7"/>
  <c r="O526" i="7"/>
  <c r="S525" i="7"/>
  <c r="R525" i="7"/>
  <c r="Q525" i="7"/>
  <c r="P525" i="7"/>
  <c r="O525" i="7"/>
  <c r="S524" i="7"/>
  <c r="R524" i="7"/>
  <c r="Q524" i="7"/>
  <c r="P524" i="7"/>
  <c r="O524" i="7"/>
  <c r="S523" i="7"/>
  <c r="R523" i="7"/>
  <c r="Q523" i="7"/>
  <c r="P523" i="7"/>
  <c r="O523" i="7"/>
  <c r="S522" i="7"/>
  <c r="R522" i="7"/>
  <c r="Q522" i="7"/>
  <c r="P522" i="7"/>
  <c r="O522" i="7"/>
  <c r="S521" i="7"/>
  <c r="R521" i="7"/>
  <c r="Q521" i="7"/>
  <c r="P521" i="7"/>
  <c r="O521" i="7"/>
  <c r="S520" i="7"/>
  <c r="R520" i="7"/>
  <c r="Q520" i="7"/>
  <c r="P520" i="7"/>
  <c r="O520" i="7"/>
  <c r="S519" i="7"/>
  <c r="R519" i="7"/>
  <c r="Q519" i="7"/>
  <c r="P519" i="7"/>
  <c r="O519" i="7"/>
  <c r="S518" i="7"/>
  <c r="R518" i="7"/>
  <c r="Q518" i="7"/>
  <c r="P518" i="7"/>
  <c r="O518" i="7"/>
  <c r="S517" i="7"/>
  <c r="R517" i="7"/>
  <c r="Q517" i="7"/>
  <c r="P517" i="7"/>
  <c r="O517" i="7"/>
  <c r="S516" i="7"/>
  <c r="R516" i="7"/>
  <c r="Q516" i="7"/>
  <c r="P516" i="7"/>
  <c r="O516" i="7"/>
  <c r="S515" i="7"/>
  <c r="R515" i="7"/>
  <c r="Q515" i="7"/>
  <c r="P515" i="7"/>
  <c r="O515" i="7"/>
  <c r="S514" i="7"/>
  <c r="R514" i="7"/>
  <c r="Q514" i="7"/>
  <c r="P514" i="7"/>
  <c r="O514" i="7"/>
  <c r="S513" i="7"/>
  <c r="R513" i="7"/>
  <c r="Q513" i="7"/>
  <c r="P513" i="7"/>
  <c r="O513" i="7"/>
  <c r="S512" i="7"/>
  <c r="R512" i="7"/>
  <c r="Q512" i="7"/>
  <c r="P512" i="7"/>
  <c r="O512" i="7"/>
  <c r="S511" i="7"/>
  <c r="R511" i="7"/>
  <c r="Q511" i="7"/>
  <c r="P511" i="7"/>
  <c r="O511" i="7"/>
  <c r="S510" i="7"/>
  <c r="R510" i="7"/>
  <c r="Q510" i="7"/>
  <c r="P510" i="7"/>
  <c r="O510" i="7"/>
  <c r="S509" i="7"/>
  <c r="R509" i="7"/>
  <c r="Q509" i="7"/>
  <c r="P509" i="7"/>
  <c r="O509" i="7"/>
  <c r="S508" i="7"/>
  <c r="R508" i="7"/>
  <c r="Q508" i="7"/>
  <c r="P508" i="7"/>
  <c r="O508" i="7"/>
  <c r="S507" i="7"/>
  <c r="R507" i="7"/>
  <c r="Q507" i="7"/>
  <c r="P507" i="7"/>
  <c r="O507" i="7"/>
  <c r="S506" i="7"/>
  <c r="R506" i="7"/>
  <c r="Q506" i="7"/>
  <c r="P506" i="7"/>
  <c r="O506" i="7"/>
  <c r="S505" i="7"/>
  <c r="R505" i="7"/>
  <c r="Q505" i="7"/>
  <c r="P505" i="7"/>
  <c r="O505" i="7"/>
  <c r="S504" i="7"/>
  <c r="R504" i="7"/>
  <c r="Q504" i="7"/>
  <c r="P504" i="7"/>
  <c r="O504" i="7"/>
  <c r="S503" i="7"/>
  <c r="R503" i="7"/>
  <c r="Q503" i="7"/>
  <c r="P503" i="7"/>
  <c r="O503" i="7"/>
  <c r="S502" i="7"/>
  <c r="R502" i="7"/>
  <c r="Q502" i="7"/>
  <c r="P502" i="7"/>
  <c r="O502" i="7"/>
  <c r="S501" i="7"/>
  <c r="R501" i="7"/>
  <c r="Q501" i="7"/>
  <c r="P501" i="7"/>
  <c r="O501" i="7"/>
  <c r="S500" i="7"/>
  <c r="R500" i="7"/>
  <c r="Q500" i="7"/>
  <c r="P500" i="7"/>
  <c r="O500" i="7"/>
  <c r="S499" i="7"/>
  <c r="R499" i="7"/>
  <c r="Q499" i="7"/>
  <c r="P499" i="7"/>
  <c r="O499" i="7"/>
  <c r="S498" i="7"/>
  <c r="R498" i="7"/>
  <c r="Q498" i="7"/>
  <c r="P498" i="7"/>
  <c r="O498" i="7"/>
  <c r="S497" i="7"/>
  <c r="R497" i="7"/>
  <c r="Q497" i="7"/>
  <c r="P497" i="7"/>
  <c r="O497" i="7"/>
  <c r="S496" i="7"/>
  <c r="R496" i="7"/>
  <c r="Q496" i="7"/>
  <c r="P496" i="7"/>
  <c r="O496" i="7"/>
  <c r="S495" i="7"/>
  <c r="R495" i="7"/>
  <c r="Q495" i="7"/>
  <c r="P495" i="7"/>
  <c r="O495" i="7"/>
  <c r="S494" i="7"/>
  <c r="R494" i="7"/>
  <c r="Q494" i="7"/>
  <c r="P494" i="7"/>
  <c r="O494" i="7"/>
  <c r="S493" i="7"/>
  <c r="R493" i="7"/>
  <c r="Q493" i="7"/>
  <c r="P493" i="7"/>
  <c r="O493" i="7"/>
  <c r="S492" i="7"/>
  <c r="R492" i="7"/>
  <c r="Q492" i="7"/>
  <c r="P492" i="7"/>
  <c r="O492" i="7"/>
  <c r="S491" i="7"/>
  <c r="R491" i="7"/>
  <c r="Q491" i="7"/>
  <c r="P491" i="7"/>
  <c r="O491" i="7"/>
  <c r="S490" i="7"/>
  <c r="R490" i="7"/>
  <c r="Q490" i="7"/>
  <c r="P490" i="7"/>
  <c r="O490" i="7"/>
  <c r="S489" i="7"/>
  <c r="R489" i="7"/>
  <c r="Q489" i="7"/>
  <c r="P489" i="7"/>
  <c r="O489" i="7"/>
  <c r="S488" i="7"/>
  <c r="R488" i="7"/>
  <c r="Q488" i="7"/>
  <c r="P488" i="7"/>
  <c r="O488" i="7"/>
  <c r="S487" i="7"/>
  <c r="R487" i="7"/>
  <c r="Q487" i="7"/>
  <c r="P487" i="7"/>
  <c r="O487" i="7"/>
  <c r="S486" i="7"/>
  <c r="R486" i="7"/>
  <c r="Q486" i="7"/>
  <c r="P486" i="7"/>
  <c r="O486" i="7"/>
  <c r="S485" i="7"/>
  <c r="R485" i="7"/>
  <c r="Q485" i="7"/>
  <c r="P485" i="7"/>
  <c r="O485" i="7"/>
  <c r="S484" i="7"/>
  <c r="R484" i="7"/>
  <c r="Q484" i="7"/>
  <c r="P484" i="7"/>
  <c r="O484" i="7"/>
  <c r="S483" i="7"/>
  <c r="R483" i="7"/>
  <c r="Q483" i="7"/>
  <c r="P483" i="7"/>
  <c r="O483" i="7"/>
  <c r="S482" i="7"/>
  <c r="R482" i="7"/>
  <c r="Q482" i="7"/>
  <c r="P482" i="7"/>
  <c r="O482" i="7"/>
  <c r="S481" i="7"/>
  <c r="R481" i="7"/>
  <c r="Q481" i="7"/>
  <c r="P481" i="7"/>
  <c r="O481" i="7"/>
  <c r="S480" i="7"/>
  <c r="R480" i="7"/>
  <c r="Q480" i="7"/>
  <c r="P480" i="7"/>
  <c r="O480" i="7"/>
  <c r="S479" i="7"/>
  <c r="R479" i="7"/>
  <c r="Q479" i="7"/>
  <c r="P479" i="7"/>
  <c r="O479" i="7"/>
  <c r="S478" i="7"/>
  <c r="R478" i="7"/>
  <c r="Q478" i="7"/>
  <c r="P478" i="7"/>
  <c r="O478" i="7"/>
  <c r="S477" i="7"/>
  <c r="R477" i="7"/>
  <c r="Q477" i="7"/>
  <c r="P477" i="7"/>
  <c r="O477" i="7"/>
  <c r="S476" i="7"/>
  <c r="R476" i="7"/>
  <c r="Q476" i="7"/>
  <c r="P476" i="7"/>
  <c r="O476" i="7"/>
  <c r="S475" i="7"/>
  <c r="R475" i="7"/>
  <c r="Q475" i="7"/>
  <c r="P475" i="7"/>
  <c r="O475" i="7"/>
  <c r="S474" i="7"/>
  <c r="R474" i="7"/>
  <c r="Q474" i="7"/>
  <c r="P474" i="7"/>
  <c r="O474" i="7"/>
  <c r="S473" i="7"/>
  <c r="R473" i="7"/>
  <c r="Q473" i="7"/>
  <c r="P473" i="7"/>
  <c r="O473" i="7"/>
  <c r="S472" i="7"/>
  <c r="R472" i="7"/>
  <c r="Q472" i="7"/>
  <c r="P472" i="7"/>
  <c r="O472" i="7"/>
  <c r="S471" i="7"/>
  <c r="R471" i="7"/>
  <c r="Q471" i="7"/>
  <c r="P471" i="7"/>
  <c r="O471" i="7"/>
  <c r="S470" i="7"/>
  <c r="R470" i="7"/>
  <c r="Q470" i="7"/>
  <c r="P470" i="7"/>
  <c r="O470" i="7"/>
  <c r="S469" i="7"/>
  <c r="R469" i="7"/>
  <c r="Q469" i="7"/>
  <c r="P469" i="7"/>
  <c r="O469" i="7"/>
  <c r="S468" i="7"/>
  <c r="R468" i="7"/>
  <c r="Q468" i="7"/>
  <c r="P468" i="7"/>
  <c r="O468" i="7"/>
  <c r="S467" i="7"/>
  <c r="R467" i="7"/>
  <c r="Q467" i="7"/>
  <c r="P467" i="7"/>
  <c r="O467" i="7"/>
  <c r="S466" i="7"/>
  <c r="R466" i="7"/>
  <c r="Q466" i="7"/>
  <c r="P466" i="7"/>
  <c r="O466" i="7"/>
  <c r="S465" i="7"/>
  <c r="R465" i="7"/>
  <c r="Q465" i="7"/>
  <c r="P465" i="7"/>
  <c r="O465" i="7"/>
  <c r="S464" i="7"/>
  <c r="R464" i="7"/>
  <c r="Q464" i="7"/>
  <c r="P464" i="7"/>
  <c r="O464" i="7"/>
  <c r="S463" i="7"/>
  <c r="R463" i="7"/>
  <c r="Q463" i="7"/>
  <c r="P463" i="7"/>
  <c r="O463" i="7"/>
  <c r="S462" i="7"/>
  <c r="R462" i="7"/>
  <c r="Q462" i="7"/>
  <c r="P462" i="7"/>
  <c r="O462" i="7"/>
  <c r="S461" i="7"/>
  <c r="R461" i="7"/>
  <c r="Q461" i="7"/>
  <c r="P461" i="7"/>
  <c r="O461" i="7"/>
  <c r="S460" i="7"/>
  <c r="R460" i="7"/>
  <c r="Q460" i="7"/>
  <c r="P460" i="7"/>
  <c r="O460" i="7"/>
  <c r="S459" i="7"/>
  <c r="R459" i="7"/>
  <c r="Q459" i="7"/>
  <c r="P459" i="7"/>
  <c r="O459" i="7"/>
  <c r="S458" i="7"/>
  <c r="R458" i="7"/>
  <c r="Q458" i="7"/>
  <c r="P458" i="7"/>
  <c r="O458" i="7"/>
  <c r="S457" i="7"/>
  <c r="R457" i="7"/>
  <c r="Q457" i="7"/>
  <c r="P457" i="7"/>
  <c r="O457" i="7"/>
  <c r="S456" i="7"/>
  <c r="R456" i="7"/>
  <c r="Q456" i="7"/>
  <c r="P456" i="7"/>
  <c r="O456" i="7"/>
  <c r="S455" i="7"/>
  <c r="R455" i="7"/>
  <c r="Q455" i="7"/>
  <c r="P455" i="7"/>
  <c r="O455" i="7"/>
  <c r="S454" i="7"/>
  <c r="R454" i="7"/>
  <c r="Q454" i="7"/>
  <c r="P454" i="7"/>
  <c r="O454" i="7"/>
  <c r="S453" i="7"/>
  <c r="R453" i="7"/>
  <c r="Q453" i="7"/>
  <c r="P453" i="7"/>
  <c r="O453" i="7"/>
  <c r="S452" i="7"/>
  <c r="R452" i="7"/>
  <c r="Q452" i="7"/>
  <c r="P452" i="7"/>
  <c r="O452" i="7"/>
  <c r="S451" i="7"/>
  <c r="R451" i="7"/>
  <c r="Q451" i="7"/>
  <c r="P451" i="7"/>
  <c r="O451" i="7"/>
  <c r="S450" i="7"/>
  <c r="R450" i="7"/>
  <c r="Q450" i="7"/>
  <c r="P450" i="7"/>
  <c r="O450" i="7"/>
  <c r="S449" i="7"/>
  <c r="R449" i="7"/>
  <c r="Q449" i="7"/>
  <c r="P449" i="7"/>
  <c r="O449" i="7"/>
  <c r="S448" i="7"/>
  <c r="R448" i="7"/>
  <c r="Q448" i="7"/>
  <c r="P448" i="7"/>
  <c r="O448" i="7"/>
  <c r="S447" i="7"/>
  <c r="R447" i="7"/>
  <c r="Q447" i="7"/>
  <c r="P447" i="7"/>
  <c r="O447" i="7"/>
  <c r="S446" i="7"/>
  <c r="R446" i="7"/>
  <c r="Q446" i="7"/>
  <c r="P446" i="7"/>
  <c r="O446" i="7"/>
  <c r="S445" i="7"/>
  <c r="R445" i="7"/>
  <c r="Q445" i="7"/>
  <c r="P445" i="7"/>
  <c r="O445" i="7"/>
  <c r="S444" i="7"/>
  <c r="R444" i="7"/>
  <c r="Q444" i="7"/>
  <c r="P444" i="7"/>
  <c r="O444" i="7"/>
  <c r="S443" i="7"/>
  <c r="R443" i="7"/>
  <c r="Q443" i="7"/>
  <c r="P443" i="7"/>
  <c r="O443" i="7"/>
  <c r="S442" i="7"/>
  <c r="R442" i="7"/>
  <c r="Q442" i="7"/>
  <c r="P442" i="7"/>
  <c r="O442" i="7"/>
  <c r="S441" i="7"/>
  <c r="R441" i="7"/>
  <c r="Q441" i="7"/>
  <c r="P441" i="7"/>
  <c r="O441" i="7"/>
  <c r="S440" i="7"/>
  <c r="R440" i="7"/>
  <c r="Q440" i="7"/>
  <c r="P440" i="7"/>
  <c r="O440" i="7"/>
  <c r="S439" i="7"/>
  <c r="R439" i="7"/>
  <c r="Q439" i="7"/>
  <c r="P439" i="7"/>
  <c r="O439" i="7"/>
  <c r="S438" i="7"/>
  <c r="R438" i="7"/>
  <c r="Q438" i="7"/>
  <c r="P438" i="7"/>
  <c r="O438" i="7"/>
  <c r="S437" i="7"/>
  <c r="R437" i="7"/>
  <c r="Q437" i="7"/>
  <c r="P437" i="7"/>
  <c r="O437" i="7"/>
  <c r="S436" i="7"/>
  <c r="R436" i="7"/>
  <c r="Q436" i="7"/>
  <c r="P436" i="7"/>
  <c r="O436" i="7"/>
  <c r="S435" i="7"/>
  <c r="R435" i="7"/>
  <c r="Q435" i="7"/>
  <c r="P435" i="7"/>
  <c r="O435" i="7"/>
  <c r="S434" i="7"/>
  <c r="R434" i="7"/>
  <c r="Q434" i="7"/>
  <c r="P434" i="7"/>
  <c r="O434" i="7"/>
  <c r="S433" i="7"/>
  <c r="R433" i="7"/>
  <c r="Q433" i="7"/>
  <c r="P433" i="7"/>
  <c r="O433" i="7"/>
  <c r="S432" i="7"/>
  <c r="R432" i="7"/>
  <c r="Q432" i="7"/>
  <c r="P432" i="7"/>
  <c r="O432" i="7"/>
  <c r="S431" i="7"/>
  <c r="R431" i="7"/>
  <c r="Q431" i="7"/>
  <c r="P431" i="7"/>
  <c r="O431" i="7"/>
  <c r="S430" i="7"/>
  <c r="R430" i="7"/>
  <c r="Q430" i="7"/>
  <c r="P430" i="7"/>
  <c r="O430" i="7"/>
  <c r="S429" i="7"/>
  <c r="R429" i="7"/>
  <c r="Q429" i="7"/>
  <c r="P429" i="7"/>
  <c r="O429" i="7"/>
  <c r="S428" i="7"/>
  <c r="R428" i="7"/>
  <c r="Q428" i="7"/>
  <c r="P428" i="7"/>
  <c r="O428" i="7"/>
  <c r="S427" i="7"/>
  <c r="R427" i="7"/>
  <c r="Q427" i="7"/>
  <c r="P427" i="7"/>
  <c r="O427" i="7"/>
  <c r="S426" i="7"/>
  <c r="R426" i="7"/>
  <c r="Q426" i="7"/>
  <c r="P426" i="7"/>
  <c r="O426" i="7"/>
  <c r="S425" i="7"/>
  <c r="R425" i="7"/>
  <c r="Q425" i="7"/>
  <c r="P425" i="7"/>
  <c r="O425" i="7"/>
  <c r="S424" i="7"/>
  <c r="R424" i="7"/>
  <c r="Q424" i="7"/>
  <c r="P424" i="7"/>
  <c r="O424" i="7"/>
  <c r="S423" i="7"/>
  <c r="R423" i="7"/>
  <c r="Q423" i="7"/>
  <c r="P423" i="7"/>
  <c r="O423" i="7"/>
  <c r="S422" i="7"/>
  <c r="R422" i="7"/>
  <c r="Q422" i="7"/>
  <c r="P422" i="7"/>
  <c r="O422" i="7"/>
  <c r="S421" i="7"/>
  <c r="R421" i="7"/>
  <c r="Q421" i="7"/>
  <c r="P421" i="7"/>
  <c r="O421" i="7"/>
  <c r="S420" i="7"/>
  <c r="R420" i="7"/>
  <c r="Q420" i="7"/>
  <c r="P420" i="7"/>
  <c r="O420" i="7"/>
  <c r="S419" i="7"/>
  <c r="R419" i="7"/>
  <c r="Q419" i="7"/>
  <c r="P419" i="7"/>
  <c r="O419" i="7"/>
  <c r="S418" i="7"/>
  <c r="R418" i="7"/>
  <c r="Q418" i="7"/>
  <c r="P418" i="7"/>
  <c r="O418" i="7"/>
  <c r="S417" i="7"/>
  <c r="R417" i="7"/>
  <c r="Q417" i="7"/>
  <c r="P417" i="7"/>
  <c r="O417" i="7"/>
  <c r="S416" i="7"/>
  <c r="R416" i="7"/>
  <c r="Q416" i="7"/>
  <c r="P416" i="7"/>
  <c r="O416" i="7"/>
  <c r="S415" i="7"/>
  <c r="R415" i="7"/>
  <c r="Q415" i="7"/>
  <c r="P415" i="7"/>
  <c r="O415" i="7"/>
  <c r="S414" i="7"/>
  <c r="R414" i="7"/>
  <c r="Q414" i="7"/>
  <c r="P414" i="7"/>
  <c r="O414" i="7"/>
  <c r="S413" i="7"/>
  <c r="R413" i="7"/>
  <c r="Q413" i="7"/>
  <c r="P413" i="7"/>
  <c r="O413" i="7"/>
  <c r="S412" i="7"/>
  <c r="R412" i="7"/>
  <c r="Q412" i="7"/>
  <c r="P412" i="7"/>
  <c r="O412" i="7"/>
  <c r="S411" i="7"/>
  <c r="R411" i="7"/>
  <c r="Q411" i="7"/>
  <c r="P411" i="7"/>
  <c r="O411" i="7"/>
  <c r="S410" i="7"/>
  <c r="R410" i="7"/>
  <c r="Q410" i="7"/>
  <c r="P410" i="7"/>
  <c r="O410" i="7"/>
  <c r="S409" i="7"/>
  <c r="R409" i="7"/>
  <c r="Q409" i="7"/>
  <c r="P409" i="7"/>
  <c r="O409" i="7"/>
  <c r="S408" i="7"/>
  <c r="R408" i="7"/>
  <c r="Q408" i="7"/>
  <c r="P408" i="7"/>
  <c r="O408" i="7"/>
  <c r="S407" i="7"/>
  <c r="R407" i="7"/>
  <c r="Q407" i="7"/>
  <c r="P407" i="7"/>
  <c r="O407" i="7"/>
  <c r="S406" i="7"/>
  <c r="R406" i="7"/>
  <c r="Q406" i="7"/>
  <c r="P406" i="7"/>
  <c r="O406" i="7"/>
  <c r="S405" i="7"/>
  <c r="R405" i="7"/>
  <c r="Q405" i="7"/>
  <c r="P405" i="7"/>
  <c r="O405" i="7"/>
  <c r="S404" i="7"/>
  <c r="R404" i="7"/>
  <c r="Q404" i="7"/>
  <c r="P404" i="7"/>
  <c r="O404" i="7"/>
  <c r="S403" i="7"/>
  <c r="R403" i="7"/>
  <c r="Q403" i="7"/>
  <c r="P403" i="7"/>
  <c r="O403" i="7"/>
  <c r="S402" i="7"/>
  <c r="R402" i="7"/>
  <c r="Q402" i="7"/>
  <c r="P402" i="7"/>
  <c r="O402" i="7"/>
  <c r="S401" i="7"/>
  <c r="R401" i="7"/>
  <c r="Q401" i="7"/>
  <c r="P401" i="7"/>
  <c r="O401" i="7"/>
  <c r="S400" i="7"/>
  <c r="R400" i="7"/>
  <c r="Q400" i="7"/>
  <c r="P400" i="7"/>
  <c r="O400" i="7"/>
  <c r="S399" i="7"/>
  <c r="R399" i="7"/>
  <c r="Q399" i="7"/>
  <c r="P399" i="7"/>
  <c r="O399" i="7"/>
  <c r="S398" i="7"/>
  <c r="R398" i="7"/>
  <c r="Q398" i="7"/>
  <c r="P398" i="7"/>
  <c r="O398" i="7"/>
  <c r="S397" i="7"/>
  <c r="R397" i="7"/>
  <c r="Q397" i="7"/>
  <c r="P397" i="7"/>
  <c r="O397" i="7"/>
  <c r="S396" i="7"/>
  <c r="R396" i="7"/>
  <c r="Q396" i="7"/>
  <c r="P396" i="7"/>
  <c r="O396" i="7"/>
  <c r="S395" i="7"/>
  <c r="R395" i="7"/>
  <c r="Q395" i="7"/>
  <c r="P395" i="7"/>
  <c r="O395" i="7"/>
  <c r="S394" i="7"/>
  <c r="R394" i="7"/>
  <c r="Q394" i="7"/>
  <c r="P394" i="7"/>
  <c r="O394" i="7"/>
  <c r="S393" i="7"/>
  <c r="R393" i="7"/>
  <c r="Q393" i="7"/>
  <c r="P393" i="7"/>
  <c r="O393" i="7"/>
  <c r="S392" i="7"/>
  <c r="R392" i="7"/>
  <c r="Q392" i="7"/>
  <c r="P392" i="7"/>
  <c r="O392" i="7"/>
  <c r="S391" i="7"/>
  <c r="R391" i="7"/>
  <c r="Q391" i="7"/>
  <c r="P391" i="7"/>
  <c r="O391" i="7"/>
  <c r="S390" i="7"/>
  <c r="R390" i="7"/>
  <c r="Q390" i="7"/>
  <c r="P390" i="7"/>
  <c r="O390" i="7"/>
  <c r="S389" i="7"/>
  <c r="R389" i="7"/>
  <c r="Q389" i="7"/>
  <c r="P389" i="7"/>
  <c r="O389" i="7"/>
  <c r="S388" i="7"/>
  <c r="R388" i="7"/>
  <c r="Q388" i="7"/>
  <c r="P388" i="7"/>
  <c r="O388" i="7"/>
  <c r="S387" i="7"/>
  <c r="R387" i="7"/>
  <c r="Q387" i="7"/>
  <c r="P387" i="7"/>
  <c r="O387" i="7"/>
  <c r="S386" i="7"/>
  <c r="R386" i="7"/>
  <c r="Q386" i="7"/>
  <c r="P386" i="7"/>
  <c r="O386" i="7"/>
  <c r="S385" i="7"/>
  <c r="R385" i="7"/>
  <c r="Q385" i="7"/>
  <c r="P385" i="7"/>
  <c r="O385" i="7"/>
  <c r="S384" i="7"/>
  <c r="R384" i="7"/>
  <c r="Q384" i="7"/>
  <c r="P384" i="7"/>
  <c r="O384" i="7"/>
  <c r="S383" i="7"/>
  <c r="R383" i="7"/>
  <c r="Q383" i="7"/>
  <c r="P383" i="7"/>
  <c r="O383" i="7"/>
  <c r="S382" i="7"/>
  <c r="R382" i="7"/>
  <c r="Q382" i="7"/>
  <c r="P382" i="7"/>
  <c r="O382" i="7"/>
  <c r="S381" i="7"/>
  <c r="R381" i="7"/>
  <c r="Q381" i="7"/>
  <c r="P381" i="7"/>
  <c r="O381" i="7"/>
  <c r="S380" i="7"/>
  <c r="R380" i="7"/>
  <c r="Q380" i="7"/>
  <c r="P380" i="7"/>
  <c r="O380" i="7"/>
  <c r="S379" i="7"/>
  <c r="R379" i="7"/>
  <c r="Q379" i="7"/>
  <c r="P379" i="7"/>
  <c r="O379" i="7"/>
  <c r="S378" i="7"/>
  <c r="R378" i="7"/>
  <c r="Q378" i="7"/>
  <c r="P378" i="7"/>
  <c r="O378" i="7"/>
  <c r="S377" i="7"/>
  <c r="R377" i="7"/>
  <c r="Q377" i="7"/>
  <c r="P377" i="7"/>
  <c r="O377" i="7"/>
  <c r="S376" i="7"/>
  <c r="R376" i="7"/>
  <c r="Q376" i="7"/>
  <c r="P376" i="7"/>
  <c r="O376" i="7"/>
  <c r="S375" i="7"/>
  <c r="R375" i="7"/>
  <c r="Q375" i="7"/>
  <c r="P375" i="7"/>
  <c r="O375" i="7"/>
  <c r="S374" i="7"/>
  <c r="R374" i="7"/>
  <c r="Q374" i="7"/>
  <c r="P374" i="7"/>
  <c r="O374" i="7"/>
  <c r="S373" i="7"/>
  <c r="R373" i="7"/>
  <c r="Q373" i="7"/>
  <c r="P373" i="7"/>
  <c r="O373" i="7"/>
  <c r="S372" i="7"/>
  <c r="R372" i="7"/>
  <c r="Q372" i="7"/>
  <c r="P372" i="7"/>
  <c r="O372" i="7"/>
  <c r="S371" i="7"/>
  <c r="R371" i="7"/>
  <c r="Q371" i="7"/>
  <c r="P371" i="7"/>
  <c r="O371" i="7"/>
  <c r="S370" i="7"/>
  <c r="R370" i="7"/>
  <c r="Q370" i="7"/>
  <c r="P370" i="7"/>
  <c r="O370" i="7"/>
  <c r="S369" i="7"/>
  <c r="R369" i="7"/>
  <c r="Q369" i="7"/>
  <c r="P369" i="7"/>
  <c r="O369" i="7"/>
  <c r="S368" i="7"/>
  <c r="R368" i="7"/>
  <c r="Q368" i="7"/>
  <c r="P368" i="7"/>
  <c r="O368" i="7"/>
  <c r="S367" i="7"/>
  <c r="R367" i="7"/>
  <c r="Q367" i="7"/>
  <c r="P367" i="7"/>
  <c r="O367" i="7"/>
  <c r="S366" i="7"/>
  <c r="R366" i="7"/>
  <c r="Q366" i="7"/>
  <c r="P366" i="7"/>
  <c r="O366" i="7"/>
  <c r="S365" i="7"/>
  <c r="R365" i="7"/>
  <c r="Q365" i="7"/>
  <c r="P365" i="7"/>
  <c r="O365" i="7"/>
  <c r="S364" i="7"/>
  <c r="R364" i="7"/>
  <c r="Q364" i="7"/>
  <c r="P364" i="7"/>
  <c r="O364" i="7"/>
  <c r="S363" i="7"/>
  <c r="R363" i="7"/>
  <c r="Q363" i="7"/>
  <c r="P363" i="7"/>
  <c r="O363" i="7"/>
  <c r="S362" i="7"/>
  <c r="R362" i="7"/>
  <c r="Q362" i="7"/>
  <c r="P362" i="7"/>
  <c r="O362" i="7"/>
  <c r="S361" i="7"/>
  <c r="R361" i="7"/>
  <c r="Q361" i="7"/>
  <c r="P361" i="7"/>
  <c r="O361" i="7"/>
  <c r="S360" i="7"/>
  <c r="R360" i="7"/>
  <c r="Q360" i="7"/>
  <c r="P360" i="7"/>
  <c r="O360" i="7"/>
  <c r="S359" i="7"/>
  <c r="R359" i="7"/>
  <c r="Q359" i="7"/>
  <c r="P359" i="7"/>
  <c r="O359" i="7"/>
  <c r="S358" i="7"/>
  <c r="R358" i="7"/>
  <c r="Q358" i="7"/>
  <c r="P358" i="7"/>
  <c r="O358" i="7"/>
  <c r="S357" i="7"/>
  <c r="R357" i="7"/>
  <c r="Q357" i="7"/>
  <c r="P357" i="7"/>
  <c r="O357" i="7"/>
  <c r="S356" i="7"/>
  <c r="R356" i="7"/>
  <c r="Q356" i="7"/>
  <c r="P356" i="7"/>
  <c r="O356" i="7"/>
  <c r="S355" i="7"/>
  <c r="R355" i="7"/>
  <c r="Q355" i="7"/>
  <c r="P355" i="7"/>
  <c r="O355" i="7"/>
  <c r="S354" i="7"/>
  <c r="R354" i="7"/>
  <c r="Q354" i="7"/>
  <c r="P354" i="7"/>
  <c r="O354" i="7"/>
  <c r="S353" i="7"/>
  <c r="R353" i="7"/>
  <c r="Q353" i="7"/>
  <c r="P353" i="7"/>
  <c r="O353" i="7"/>
  <c r="S352" i="7"/>
  <c r="R352" i="7"/>
  <c r="Q352" i="7"/>
  <c r="P352" i="7"/>
  <c r="O352" i="7"/>
  <c r="S351" i="7"/>
  <c r="R351" i="7"/>
  <c r="Q351" i="7"/>
  <c r="P351" i="7"/>
  <c r="O351" i="7"/>
  <c r="S350" i="7"/>
  <c r="R350" i="7"/>
  <c r="Q350" i="7"/>
  <c r="P350" i="7"/>
  <c r="O350" i="7"/>
  <c r="S349" i="7"/>
  <c r="R349" i="7"/>
  <c r="Q349" i="7"/>
  <c r="P349" i="7"/>
  <c r="O349" i="7"/>
  <c r="S348" i="7"/>
  <c r="R348" i="7"/>
  <c r="Q348" i="7"/>
  <c r="P348" i="7"/>
  <c r="O348" i="7"/>
  <c r="S347" i="7"/>
  <c r="R347" i="7"/>
  <c r="Q347" i="7"/>
  <c r="P347" i="7"/>
  <c r="O347" i="7"/>
  <c r="S346" i="7"/>
  <c r="R346" i="7"/>
  <c r="Q346" i="7"/>
  <c r="P346" i="7"/>
  <c r="O346" i="7"/>
  <c r="S345" i="7"/>
  <c r="R345" i="7"/>
  <c r="Q345" i="7"/>
  <c r="P345" i="7"/>
  <c r="O345" i="7"/>
  <c r="S344" i="7"/>
  <c r="R344" i="7"/>
  <c r="Q344" i="7"/>
  <c r="P344" i="7"/>
  <c r="O344" i="7"/>
  <c r="S343" i="7"/>
  <c r="R343" i="7"/>
  <c r="Q343" i="7"/>
  <c r="P343" i="7"/>
  <c r="O343" i="7"/>
  <c r="S342" i="7"/>
  <c r="R342" i="7"/>
  <c r="Q342" i="7"/>
  <c r="P342" i="7"/>
  <c r="O342" i="7"/>
  <c r="S341" i="7"/>
  <c r="R341" i="7"/>
  <c r="Q341" i="7"/>
  <c r="P341" i="7"/>
  <c r="O341" i="7"/>
  <c r="S340" i="7"/>
  <c r="R340" i="7"/>
  <c r="Q340" i="7"/>
  <c r="P340" i="7"/>
  <c r="O340" i="7"/>
  <c r="S339" i="7"/>
  <c r="R339" i="7"/>
  <c r="Q339" i="7"/>
  <c r="P339" i="7"/>
  <c r="O339" i="7"/>
  <c r="S338" i="7"/>
  <c r="R338" i="7"/>
  <c r="Q338" i="7"/>
  <c r="P338" i="7"/>
  <c r="O338" i="7"/>
  <c r="S337" i="7"/>
  <c r="R337" i="7"/>
  <c r="Q337" i="7"/>
  <c r="P337" i="7"/>
  <c r="O337" i="7"/>
  <c r="S336" i="7"/>
  <c r="R336" i="7"/>
  <c r="Q336" i="7"/>
  <c r="P336" i="7"/>
  <c r="O336" i="7"/>
  <c r="S335" i="7"/>
  <c r="R335" i="7"/>
  <c r="Q335" i="7"/>
  <c r="P335" i="7"/>
  <c r="O335" i="7"/>
  <c r="S334" i="7"/>
  <c r="R334" i="7"/>
  <c r="Q334" i="7"/>
  <c r="P334" i="7"/>
  <c r="O334" i="7"/>
  <c r="S333" i="7"/>
  <c r="R333" i="7"/>
  <c r="Q333" i="7"/>
  <c r="P333" i="7"/>
  <c r="O333" i="7"/>
  <c r="S332" i="7"/>
  <c r="R332" i="7"/>
  <c r="Q332" i="7"/>
  <c r="P332" i="7"/>
  <c r="O332" i="7"/>
  <c r="S331" i="7"/>
  <c r="R331" i="7"/>
  <c r="Q331" i="7"/>
  <c r="P331" i="7"/>
  <c r="O331" i="7"/>
  <c r="S330" i="7"/>
  <c r="R330" i="7"/>
  <c r="Q330" i="7"/>
  <c r="P330" i="7"/>
  <c r="O330" i="7"/>
  <c r="S329" i="7"/>
  <c r="R329" i="7"/>
  <c r="Q329" i="7"/>
  <c r="P329" i="7"/>
  <c r="O329" i="7"/>
  <c r="S328" i="7"/>
  <c r="R328" i="7"/>
  <c r="Q328" i="7"/>
  <c r="P328" i="7"/>
  <c r="O328" i="7"/>
  <c r="S327" i="7"/>
  <c r="R327" i="7"/>
  <c r="Q327" i="7"/>
  <c r="P327" i="7"/>
  <c r="O327" i="7"/>
  <c r="S326" i="7"/>
  <c r="R326" i="7"/>
  <c r="Q326" i="7"/>
  <c r="P326" i="7"/>
  <c r="O326" i="7"/>
  <c r="S325" i="7"/>
  <c r="R325" i="7"/>
  <c r="Q325" i="7"/>
  <c r="P325" i="7"/>
  <c r="O325" i="7"/>
  <c r="S324" i="7"/>
  <c r="R324" i="7"/>
  <c r="Q324" i="7"/>
  <c r="P324" i="7"/>
  <c r="O324" i="7"/>
  <c r="S323" i="7"/>
  <c r="R323" i="7"/>
  <c r="Q323" i="7"/>
  <c r="P323" i="7"/>
  <c r="O323" i="7"/>
  <c r="S322" i="7"/>
  <c r="R322" i="7"/>
  <c r="Q322" i="7"/>
  <c r="P322" i="7"/>
  <c r="O322" i="7"/>
  <c r="S321" i="7"/>
  <c r="R321" i="7"/>
  <c r="Q321" i="7"/>
  <c r="P321" i="7"/>
  <c r="O321" i="7"/>
  <c r="S320" i="7"/>
  <c r="R320" i="7"/>
  <c r="Q320" i="7"/>
  <c r="P320" i="7"/>
  <c r="O320" i="7"/>
  <c r="S319" i="7"/>
  <c r="R319" i="7"/>
  <c r="Q319" i="7"/>
  <c r="P319" i="7"/>
  <c r="O319" i="7"/>
  <c r="S318" i="7"/>
  <c r="R318" i="7"/>
  <c r="Q318" i="7"/>
  <c r="P318" i="7"/>
  <c r="O318" i="7"/>
  <c r="S317" i="7"/>
  <c r="R317" i="7"/>
  <c r="Q317" i="7"/>
  <c r="P317" i="7"/>
  <c r="O317" i="7"/>
  <c r="S316" i="7"/>
  <c r="R316" i="7"/>
  <c r="Q316" i="7"/>
  <c r="P316" i="7"/>
  <c r="O316" i="7"/>
  <c r="S315" i="7"/>
  <c r="R315" i="7"/>
  <c r="Q315" i="7"/>
  <c r="P315" i="7"/>
  <c r="O315" i="7"/>
  <c r="S314" i="7"/>
  <c r="R314" i="7"/>
  <c r="Q314" i="7"/>
  <c r="P314" i="7"/>
  <c r="O314" i="7"/>
  <c r="S313" i="7"/>
  <c r="R313" i="7"/>
  <c r="Q313" i="7"/>
  <c r="P313" i="7"/>
  <c r="O313" i="7"/>
  <c r="S312" i="7"/>
  <c r="R312" i="7"/>
  <c r="Q312" i="7"/>
  <c r="P312" i="7"/>
  <c r="O312" i="7"/>
  <c r="S311" i="7"/>
  <c r="R311" i="7"/>
  <c r="Q311" i="7"/>
  <c r="P311" i="7"/>
  <c r="O311" i="7"/>
  <c r="S310" i="7"/>
  <c r="R310" i="7"/>
  <c r="Q310" i="7"/>
  <c r="P310" i="7"/>
  <c r="O310" i="7"/>
  <c r="S309" i="7"/>
  <c r="R309" i="7"/>
  <c r="Q309" i="7"/>
  <c r="P309" i="7"/>
  <c r="O309" i="7"/>
  <c r="S308" i="7"/>
  <c r="R308" i="7"/>
  <c r="Q308" i="7"/>
  <c r="P308" i="7"/>
  <c r="O308" i="7"/>
  <c r="S307" i="7"/>
  <c r="R307" i="7"/>
  <c r="Q307" i="7"/>
  <c r="P307" i="7"/>
  <c r="O307" i="7"/>
  <c r="S306" i="7"/>
  <c r="R306" i="7"/>
  <c r="Q306" i="7"/>
  <c r="P306" i="7"/>
  <c r="O306" i="7"/>
  <c r="S305" i="7"/>
  <c r="R305" i="7"/>
  <c r="Q305" i="7"/>
  <c r="P305" i="7"/>
  <c r="O305" i="7"/>
  <c r="S304" i="7"/>
  <c r="R304" i="7"/>
  <c r="Q304" i="7"/>
  <c r="P304" i="7"/>
  <c r="O304" i="7"/>
  <c r="S303" i="7"/>
  <c r="R303" i="7"/>
  <c r="Q303" i="7"/>
  <c r="P303" i="7"/>
  <c r="O303" i="7"/>
  <c r="S302" i="7"/>
  <c r="R302" i="7"/>
  <c r="Q302" i="7"/>
  <c r="P302" i="7"/>
  <c r="O302" i="7"/>
  <c r="S301" i="7"/>
  <c r="R301" i="7"/>
  <c r="Q301" i="7"/>
  <c r="P301" i="7"/>
  <c r="O301" i="7"/>
  <c r="S300" i="7"/>
  <c r="R300" i="7"/>
  <c r="Q300" i="7"/>
  <c r="P300" i="7"/>
  <c r="O300" i="7"/>
  <c r="S299" i="7"/>
  <c r="R299" i="7"/>
  <c r="Q299" i="7"/>
  <c r="P299" i="7"/>
  <c r="O299" i="7"/>
  <c r="S298" i="7"/>
  <c r="R298" i="7"/>
  <c r="Q298" i="7"/>
  <c r="P298" i="7"/>
  <c r="O298" i="7"/>
  <c r="S297" i="7"/>
  <c r="R297" i="7"/>
  <c r="Q297" i="7"/>
  <c r="P297" i="7"/>
  <c r="O297" i="7"/>
  <c r="S296" i="7"/>
  <c r="R296" i="7"/>
  <c r="Q296" i="7"/>
  <c r="P296" i="7"/>
  <c r="O296" i="7"/>
  <c r="S295" i="7"/>
  <c r="R295" i="7"/>
  <c r="Q295" i="7"/>
  <c r="P295" i="7"/>
  <c r="O295" i="7"/>
  <c r="S294" i="7"/>
  <c r="R294" i="7"/>
  <c r="Q294" i="7"/>
  <c r="P294" i="7"/>
  <c r="O294" i="7"/>
  <c r="S293" i="7"/>
  <c r="R293" i="7"/>
  <c r="Q293" i="7"/>
  <c r="P293" i="7"/>
  <c r="O293" i="7"/>
  <c r="S292" i="7"/>
  <c r="R292" i="7"/>
  <c r="Q292" i="7"/>
  <c r="P292" i="7"/>
  <c r="O292" i="7"/>
  <c r="S291" i="7"/>
  <c r="R291" i="7"/>
  <c r="Q291" i="7"/>
  <c r="P291" i="7"/>
  <c r="O291" i="7"/>
  <c r="S290" i="7"/>
  <c r="R290" i="7"/>
  <c r="Q290" i="7"/>
  <c r="P290" i="7"/>
  <c r="O290" i="7"/>
  <c r="S289" i="7"/>
  <c r="R289" i="7"/>
  <c r="Q289" i="7"/>
  <c r="P289" i="7"/>
  <c r="O289" i="7"/>
  <c r="S288" i="7"/>
  <c r="R288" i="7"/>
  <c r="Q288" i="7"/>
  <c r="P288" i="7"/>
  <c r="O288" i="7"/>
  <c r="S287" i="7"/>
  <c r="R287" i="7"/>
  <c r="Q287" i="7"/>
  <c r="P287" i="7"/>
  <c r="O287" i="7"/>
  <c r="S286" i="7"/>
  <c r="R286" i="7"/>
  <c r="Q286" i="7"/>
  <c r="P286" i="7"/>
  <c r="O286" i="7"/>
  <c r="S285" i="7"/>
  <c r="R285" i="7"/>
  <c r="Q285" i="7"/>
  <c r="P285" i="7"/>
  <c r="O285" i="7"/>
  <c r="S284" i="7"/>
  <c r="R284" i="7"/>
  <c r="Q284" i="7"/>
  <c r="P284" i="7"/>
  <c r="O284" i="7"/>
  <c r="S283" i="7"/>
  <c r="R283" i="7"/>
  <c r="Q283" i="7"/>
  <c r="P283" i="7"/>
  <c r="O283" i="7"/>
  <c r="S282" i="7"/>
  <c r="R282" i="7"/>
  <c r="Q282" i="7"/>
  <c r="P282" i="7"/>
  <c r="O282" i="7"/>
  <c r="S281" i="7"/>
  <c r="R281" i="7"/>
  <c r="Q281" i="7"/>
  <c r="P281" i="7"/>
  <c r="O281" i="7"/>
  <c r="S280" i="7"/>
  <c r="R280" i="7"/>
  <c r="Q280" i="7"/>
  <c r="P280" i="7"/>
  <c r="O280" i="7"/>
  <c r="S279" i="7"/>
  <c r="R279" i="7"/>
  <c r="Q279" i="7"/>
  <c r="P279" i="7"/>
  <c r="O279" i="7"/>
  <c r="S278" i="7"/>
  <c r="R278" i="7"/>
  <c r="Q278" i="7"/>
  <c r="P278" i="7"/>
  <c r="O278" i="7"/>
  <c r="S277" i="7"/>
  <c r="R277" i="7"/>
  <c r="Q277" i="7"/>
  <c r="P277" i="7"/>
  <c r="O277" i="7"/>
  <c r="S276" i="7"/>
  <c r="R276" i="7"/>
  <c r="Q276" i="7"/>
  <c r="P276" i="7"/>
  <c r="O276" i="7"/>
  <c r="S275" i="7"/>
  <c r="R275" i="7"/>
  <c r="Q275" i="7"/>
  <c r="P275" i="7"/>
  <c r="O275" i="7"/>
  <c r="S274" i="7"/>
  <c r="R274" i="7"/>
  <c r="Q274" i="7"/>
  <c r="P274" i="7"/>
  <c r="O274" i="7"/>
  <c r="S273" i="7"/>
  <c r="R273" i="7"/>
  <c r="Q273" i="7"/>
  <c r="P273" i="7"/>
  <c r="O273" i="7"/>
  <c r="S272" i="7"/>
  <c r="R272" i="7"/>
  <c r="Q272" i="7"/>
  <c r="P272" i="7"/>
  <c r="O272" i="7"/>
  <c r="S271" i="7"/>
  <c r="R271" i="7"/>
  <c r="Q271" i="7"/>
  <c r="P271" i="7"/>
  <c r="O271" i="7"/>
  <c r="S270" i="7"/>
  <c r="R270" i="7"/>
  <c r="Q270" i="7"/>
  <c r="P270" i="7"/>
  <c r="O270" i="7"/>
  <c r="S269" i="7"/>
  <c r="R269" i="7"/>
  <c r="Q269" i="7"/>
  <c r="P269" i="7"/>
  <c r="O269" i="7"/>
  <c r="S268" i="7"/>
  <c r="R268" i="7"/>
  <c r="Q268" i="7"/>
  <c r="P268" i="7"/>
  <c r="O268" i="7"/>
  <c r="S267" i="7"/>
  <c r="R267" i="7"/>
  <c r="Q267" i="7"/>
  <c r="P267" i="7"/>
  <c r="O267" i="7"/>
  <c r="S266" i="7"/>
  <c r="R266" i="7"/>
  <c r="Q266" i="7"/>
  <c r="P266" i="7"/>
  <c r="O266" i="7"/>
  <c r="S265" i="7"/>
  <c r="R265" i="7"/>
  <c r="Q265" i="7"/>
  <c r="P265" i="7"/>
  <c r="O265" i="7"/>
  <c r="S264" i="7"/>
  <c r="R264" i="7"/>
  <c r="Q264" i="7"/>
  <c r="P264" i="7"/>
  <c r="O264" i="7"/>
  <c r="S263" i="7"/>
  <c r="R263" i="7"/>
  <c r="Q263" i="7"/>
  <c r="P263" i="7"/>
  <c r="O263" i="7"/>
  <c r="S262" i="7"/>
  <c r="R262" i="7"/>
  <c r="Q262" i="7"/>
  <c r="P262" i="7"/>
  <c r="O262" i="7"/>
  <c r="S261" i="7"/>
  <c r="R261" i="7"/>
  <c r="Q261" i="7"/>
  <c r="P261" i="7"/>
  <c r="O261" i="7"/>
  <c r="S260" i="7"/>
  <c r="R260" i="7"/>
  <c r="Q260" i="7"/>
  <c r="P260" i="7"/>
  <c r="O260" i="7"/>
  <c r="S259" i="7"/>
  <c r="R259" i="7"/>
  <c r="Q259" i="7"/>
  <c r="P259" i="7"/>
  <c r="O259" i="7"/>
  <c r="S258" i="7"/>
  <c r="R258" i="7"/>
  <c r="Q258" i="7"/>
  <c r="P258" i="7"/>
  <c r="O258" i="7"/>
  <c r="S257" i="7"/>
  <c r="R257" i="7"/>
  <c r="Q257" i="7"/>
  <c r="P257" i="7"/>
  <c r="O257" i="7"/>
  <c r="S256" i="7"/>
  <c r="R256" i="7"/>
  <c r="Q256" i="7"/>
  <c r="P256" i="7"/>
  <c r="O256" i="7"/>
  <c r="S255" i="7"/>
  <c r="R255" i="7"/>
  <c r="Q255" i="7"/>
  <c r="P255" i="7"/>
  <c r="O255" i="7"/>
  <c r="S254" i="7"/>
  <c r="R254" i="7"/>
  <c r="Q254" i="7"/>
  <c r="P254" i="7"/>
  <c r="O254" i="7"/>
  <c r="S253" i="7"/>
  <c r="R253" i="7"/>
  <c r="Q253" i="7"/>
  <c r="P253" i="7"/>
  <c r="O253" i="7"/>
  <c r="S252" i="7"/>
  <c r="R252" i="7"/>
  <c r="Q252" i="7"/>
  <c r="P252" i="7"/>
  <c r="O252" i="7"/>
  <c r="S251" i="7"/>
  <c r="R251" i="7"/>
  <c r="Q251" i="7"/>
  <c r="P251" i="7"/>
  <c r="O251" i="7"/>
  <c r="S250" i="7"/>
  <c r="R250" i="7"/>
  <c r="Q250" i="7"/>
  <c r="P250" i="7"/>
  <c r="O250" i="7"/>
  <c r="S249" i="7"/>
  <c r="R249" i="7"/>
  <c r="Q249" i="7"/>
  <c r="P249" i="7"/>
  <c r="O249" i="7"/>
  <c r="S248" i="7"/>
  <c r="R248" i="7"/>
  <c r="Q248" i="7"/>
  <c r="P248" i="7"/>
  <c r="O248" i="7"/>
  <c r="S247" i="7"/>
  <c r="R247" i="7"/>
  <c r="Q247" i="7"/>
  <c r="P247" i="7"/>
  <c r="O247" i="7"/>
  <c r="S246" i="7"/>
  <c r="R246" i="7"/>
  <c r="Q246" i="7"/>
  <c r="P246" i="7"/>
  <c r="O246" i="7"/>
  <c r="S245" i="7"/>
  <c r="R245" i="7"/>
  <c r="Q245" i="7"/>
  <c r="P245" i="7"/>
  <c r="O245" i="7"/>
  <c r="S244" i="7"/>
  <c r="R244" i="7"/>
  <c r="Q244" i="7"/>
  <c r="P244" i="7"/>
  <c r="O244" i="7"/>
  <c r="S243" i="7"/>
  <c r="R243" i="7"/>
  <c r="Q243" i="7"/>
  <c r="P243" i="7"/>
  <c r="O243" i="7"/>
  <c r="S242" i="7"/>
  <c r="R242" i="7"/>
  <c r="Q242" i="7"/>
  <c r="P242" i="7"/>
  <c r="O242" i="7"/>
  <c r="S241" i="7"/>
  <c r="R241" i="7"/>
  <c r="Q241" i="7"/>
  <c r="P241" i="7"/>
  <c r="O241" i="7"/>
  <c r="S240" i="7"/>
  <c r="R240" i="7"/>
  <c r="Q240" i="7"/>
  <c r="P240" i="7"/>
  <c r="O240" i="7"/>
  <c r="S239" i="7"/>
  <c r="R239" i="7"/>
  <c r="Q239" i="7"/>
  <c r="P239" i="7"/>
  <c r="O239" i="7"/>
  <c r="S238" i="7"/>
  <c r="R238" i="7"/>
  <c r="Q238" i="7"/>
  <c r="P238" i="7"/>
  <c r="O238" i="7"/>
  <c r="S237" i="7"/>
  <c r="R237" i="7"/>
  <c r="Q237" i="7"/>
  <c r="P237" i="7"/>
  <c r="O237" i="7"/>
  <c r="S236" i="7"/>
  <c r="R236" i="7"/>
  <c r="Q236" i="7"/>
  <c r="P236" i="7"/>
  <c r="O236" i="7"/>
  <c r="S235" i="7"/>
  <c r="R235" i="7"/>
  <c r="Q235" i="7"/>
  <c r="P235" i="7"/>
  <c r="O235" i="7"/>
  <c r="S234" i="7"/>
  <c r="R234" i="7"/>
  <c r="Q234" i="7"/>
  <c r="P234" i="7"/>
  <c r="O234" i="7"/>
  <c r="S233" i="7"/>
  <c r="R233" i="7"/>
  <c r="Q233" i="7"/>
  <c r="P233" i="7"/>
  <c r="O233" i="7"/>
  <c r="S232" i="7"/>
  <c r="R232" i="7"/>
  <c r="Q232" i="7"/>
  <c r="P232" i="7"/>
  <c r="O232" i="7"/>
  <c r="S231" i="7"/>
  <c r="R231" i="7"/>
  <c r="Q231" i="7"/>
  <c r="P231" i="7"/>
  <c r="O231" i="7"/>
  <c r="S230" i="7"/>
  <c r="R230" i="7"/>
  <c r="Q230" i="7"/>
  <c r="P230" i="7"/>
  <c r="O230" i="7"/>
  <c r="S229" i="7"/>
  <c r="R229" i="7"/>
  <c r="Q229" i="7"/>
  <c r="P229" i="7"/>
  <c r="O229" i="7"/>
  <c r="S228" i="7"/>
  <c r="R228" i="7"/>
  <c r="Q228" i="7"/>
  <c r="P228" i="7"/>
  <c r="O228" i="7"/>
  <c r="S227" i="7"/>
  <c r="R227" i="7"/>
  <c r="Q227" i="7"/>
  <c r="P227" i="7"/>
  <c r="O227" i="7"/>
  <c r="S226" i="7"/>
  <c r="R226" i="7"/>
  <c r="Q226" i="7"/>
  <c r="P226" i="7"/>
  <c r="O226" i="7"/>
  <c r="S225" i="7"/>
  <c r="R225" i="7"/>
  <c r="Q225" i="7"/>
  <c r="P225" i="7"/>
  <c r="O225" i="7"/>
  <c r="S224" i="7"/>
  <c r="R224" i="7"/>
  <c r="Q224" i="7"/>
  <c r="P224" i="7"/>
  <c r="O224" i="7"/>
  <c r="S223" i="7"/>
  <c r="R223" i="7"/>
  <c r="Q223" i="7"/>
  <c r="P223" i="7"/>
  <c r="O223" i="7"/>
  <c r="S222" i="7"/>
  <c r="R222" i="7"/>
  <c r="Q222" i="7"/>
  <c r="P222" i="7"/>
  <c r="O222" i="7"/>
  <c r="S221" i="7"/>
  <c r="R221" i="7"/>
  <c r="Q221" i="7"/>
  <c r="P221" i="7"/>
  <c r="O221" i="7"/>
  <c r="S220" i="7"/>
  <c r="R220" i="7"/>
  <c r="Q220" i="7"/>
  <c r="P220" i="7"/>
  <c r="O220" i="7"/>
  <c r="S219" i="7"/>
  <c r="R219" i="7"/>
  <c r="Q219" i="7"/>
  <c r="P219" i="7"/>
  <c r="O219" i="7"/>
  <c r="S218" i="7"/>
  <c r="R218" i="7"/>
  <c r="Q218" i="7"/>
  <c r="P218" i="7"/>
  <c r="O218" i="7"/>
  <c r="S217" i="7"/>
  <c r="R217" i="7"/>
  <c r="Q217" i="7"/>
  <c r="P217" i="7"/>
  <c r="O217" i="7"/>
  <c r="S216" i="7"/>
  <c r="R216" i="7"/>
  <c r="Q216" i="7"/>
  <c r="P216" i="7"/>
  <c r="O216" i="7"/>
  <c r="S215" i="7"/>
  <c r="R215" i="7"/>
  <c r="Q215" i="7"/>
  <c r="P215" i="7"/>
  <c r="O215" i="7"/>
  <c r="S214" i="7"/>
  <c r="R214" i="7"/>
  <c r="Q214" i="7"/>
  <c r="P214" i="7"/>
  <c r="O214" i="7"/>
  <c r="S213" i="7"/>
  <c r="R213" i="7"/>
  <c r="Q213" i="7"/>
  <c r="P213" i="7"/>
  <c r="O213" i="7"/>
  <c r="S212" i="7"/>
  <c r="R212" i="7"/>
  <c r="Q212" i="7"/>
  <c r="P212" i="7"/>
  <c r="O212" i="7"/>
  <c r="S211" i="7"/>
  <c r="R211" i="7"/>
  <c r="Q211" i="7"/>
  <c r="P211" i="7"/>
  <c r="O211" i="7"/>
  <c r="S210" i="7"/>
  <c r="R210" i="7"/>
  <c r="Q210" i="7"/>
  <c r="P210" i="7"/>
  <c r="O210" i="7"/>
  <c r="S209" i="7"/>
  <c r="R209" i="7"/>
  <c r="Q209" i="7"/>
  <c r="P209" i="7"/>
  <c r="O209" i="7"/>
  <c r="S208" i="7"/>
  <c r="R208" i="7"/>
  <c r="Q208" i="7"/>
  <c r="P208" i="7"/>
  <c r="O208" i="7"/>
  <c r="S207" i="7"/>
  <c r="R207" i="7"/>
  <c r="Q207" i="7"/>
  <c r="P207" i="7"/>
  <c r="O207" i="7"/>
  <c r="S206" i="7"/>
  <c r="R206" i="7"/>
  <c r="Q206" i="7"/>
  <c r="P206" i="7"/>
  <c r="O206" i="7"/>
  <c r="S205" i="7"/>
  <c r="R205" i="7"/>
  <c r="Q205" i="7"/>
  <c r="P205" i="7"/>
  <c r="O205" i="7"/>
  <c r="S204" i="7"/>
  <c r="R204" i="7"/>
  <c r="Q204" i="7"/>
  <c r="P204" i="7"/>
  <c r="O204" i="7"/>
  <c r="S203" i="7"/>
  <c r="R203" i="7"/>
  <c r="Q203" i="7"/>
  <c r="P203" i="7"/>
  <c r="O203" i="7"/>
  <c r="S202" i="7"/>
  <c r="R202" i="7"/>
  <c r="Q202" i="7"/>
  <c r="P202" i="7"/>
  <c r="O202" i="7"/>
  <c r="S201" i="7"/>
  <c r="R201" i="7"/>
  <c r="Q201" i="7"/>
  <c r="P201" i="7"/>
  <c r="O201" i="7"/>
  <c r="S200" i="7"/>
  <c r="R200" i="7"/>
  <c r="Q200" i="7"/>
  <c r="P200" i="7"/>
  <c r="O200" i="7"/>
  <c r="S199" i="7"/>
  <c r="R199" i="7"/>
  <c r="Q199" i="7"/>
  <c r="P199" i="7"/>
  <c r="O199" i="7"/>
  <c r="S198" i="7"/>
  <c r="R198" i="7"/>
  <c r="Q198" i="7"/>
  <c r="P198" i="7"/>
  <c r="O198" i="7"/>
  <c r="S197" i="7"/>
  <c r="R197" i="7"/>
  <c r="Q197" i="7"/>
  <c r="P197" i="7"/>
  <c r="O197" i="7"/>
  <c r="S196" i="7"/>
  <c r="R196" i="7"/>
  <c r="Q196" i="7"/>
  <c r="P196" i="7"/>
  <c r="O196" i="7"/>
  <c r="S195" i="7"/>
  <c r="R195" i="7"/>
  <c r="Q195" i="7"/>
  <c r="P195" i="7"/>
  <c r="O195" i="7"/>
  <c r="S194" i="7"/>
  <c r="R194" i="7"/>
  <c r="Q194" i="7"/>
  <c r="P194" i="7"/>
  <c r="O194" i="7"/>
  <c r="S193" i="7"/>
  <c r="R193" i="7"/>
  <c r="Q193" i="7"/>
  <c r="P193" i="7"/>
  <c r="O193" i="7"/>
  <c r="S192" i="7"/>
  <c r="R192" i="7"/>
  <c r="Q192" i="7"/>
  <c r="P192" i="7"/>
  <c r="O192" i="7"/>
  <c r="S191" i="7"/>
  <c r="R191" i="7"/>
  <c r="Q191" i="7"/>
  <c r="P191" i="7"/>
  <c r="O191" i="7"/>
  <c r="S190" i="7"/>
  <c r="R190" i="7"/>
  <c r="Q190" i="7"/>
  <c r="P190" i="7"/>
  <c r="O190" i="7"/>
  <c r="S189" i="7"/>
  <c r="R189" i="7"/>
  <c r="Q189" i="7"/>
  <c r="P189" i="7"/>
  <c r="O189" i="7"/>
  <c r="S188" i="7"/>
  <c r="R188" i="7"/>
  <c r="Q188" i="7"/>
  <c r="P188" i="7"/>
  <c r="O188" i="7"/>
  <c r="S187" i="7"/>
  <c r="R187" i="7"/>
  <c r="Q187" i="7"/>
  <c r="P187" i="7"/>
  <c r="O187" i="7"/>
  <c r="S186" i="7"/>
  <c r="R186" i="7"/>
  <c r="Q186" i="7"/>
  <c r="P186" i="7"/>
  <c r="O186" i="7"/>
  <c r="S185" i="7"/>
  <c r="R185" i="7"/>
  <c r="Q185" i="7"/>
  <c r="P185" i="7"/>
  <c r="O185" i="7"/>
  <c r="S184" i="7"/>
  <c r="R184" i="7"/>
  <c r="Q184" i="7"/>
  <c r="P184" i="7"/>
  <c r="O184" i="7"/>
  <c r="S183" i="7"/>
  <c r="R183" i="7"/>
  <c r="Q183" i="7"/>
  <c r="P183" i="7"/>
  <c r="O183" i="7"/>
  <c r="S182" i="7"/>
  <c r="R182" i="7"/>
  <c r="Q182" i="7"/>
  <c r="P182" i="7"/>
  <c r="O182" i="7"/>
  <c r="S181" i="7"/>
  <c r="R181" i="7"/>
  <c r="Q181" i="7"/>
  <c r="P181" i="7"/>
  <c r="O181" i="7"/>
  <c r="S180" i="7"/>
  <c r="R180" i="7"/>
  <c r="Q180" i="7"/>
  <c r="P180" i="7"/>
  <c r="O180" i="7"/>
  <c r="S179" i="7"/>
  <c r="R179" i="7"/>
  <c r="Q179" i="7"/>
  <c r="P179" i="7"/>
  <c r="O179" i="7"/>
  <c r="S178" i="7"/>
  <c r="R178" i="7"/>
  <c r="Q178" i="7"/>
  <c r="P178" i="7"/>
  <c r="O178" i="7"/>
  <c r="S177" i="7"/>
  <c r="R177" i="7"/>
  <c r="Q177" i="7"/>
  <c r="P177" i="7"/>
  <c r="O177" i="7"/>
  <c r="S176" i="7"/>
  <c r="R176" i="7"/>
  <c r="Q176" i="7"/>
  <c r="P176" i="7"/>
  <c r="O176" i="7"/>
  <c r="O137" i="7"/>
  <c r="O68" i="7"/>
  <c r="D95" i="14"/>
  <c r="C95" i="14"/>
  <c r="D94" i="14"/>
  <c r="C94" i="14"/>
  <c r="D93" i="14"/>
  <c r="C93" i="14"/>
  <c r="D92" i="14"/>
  <c r="C92" i="14"/>
  <c r="D91" i="14"/>
  <c r="C91" i="14"/>
  <c r="D90" i="14"/>
  <c r="C90" i="14"/>
  <c r="D89" i="14"/>
  <c r="C89" i="14"/>
  <c r="D88" i="14"/>
  <c r="C88" i="14"/>
  <c r="D87" i="14"/>
  <c r="C87" i="14"/>
  <c r="D86" i="14"/>
  <c r="C86" i="14"/>
  <c r="D85" i="14"/>
  <c r="C85" i="14"/>
  <c r="D84" i="14"/>
  <c r="C84" i="14"/>
  <c r="D83" i="14"/>
  <c r="C83" i="14"/>
  <c r="D82" i="14"/>
  <c r="C82" i="14"/>
  <c r="D81" i="14"/>
  <c r="C81" i="14"/>
  <c r="D80" i="14"/>
  <c r="C80" i="14"/>
  <c r="D79" i="14"/>
  <c r="C79" i="14"/>
  <c r="D78" i="14"/>
  <c r="C78" i="14"/>
  <c r="D77" i="14"/>
  <c r="C77" i="14"/>
  <c r="D76" i="14"/>
  <c r="C76" i="14"/>
  <c r="D75" i="14"/>
  <c r="C75" i="14"/>
  <c r="D74" i="14"/>
  <c r="C74" i="14"/>
  <c r="D73" i="14"/>
  <c r="C73" i="14"/>
  <c r="D72" i="14"/>
  <c r="C72" i="14"/>
  <c r="D71" i="14"/>
  <c r="C71" i="14"/>
  <c r="D70" i="14"/>
  <c r="C70" i="14"/>
  <c r="D69" i="14"/>
  <c r="C69" i="14"/>
  <c r="D68" i="14"/>
  <c r="C68" i="14"/>
  <c r="D67" i="14"/>
  <c r="C67" i="14"/>
  <c r="D66" i="14"/>
  <c r="C66" i="14"/>
  <c r="D65" i="14"/>
  <c r="C65" i="14"/>
  <c r="D64" i="14"/>
  <c r="C64" i="14"/>
  <c r="D63" i="14"/>
  <c r="C63" i="14"/>
  <c r="D62" i="14"/>
  <c r="C62" i="14"/>
  <c r="D61" i="14"/>
  <c r="C61" i="14"/>
  <c r="D60" i="14"/>
  <c r="C60" i="14"/>
  <c r="D59" i="14"/>
  <c r="C59" i="14"/>
  <c r="D58" i="14"/>
  <c r="C58" i="14"/>
  <c r="D57" i="14"/>
  <c r="C57" i="14"/>
  <c r="D56" i="14"/>
  <c r="C56" i="14"/>
  <c r="D55" i="14"/>
  <c r="C55" i="14"/>
  <c r="D54" i="14"/>
  <c r="C54" i="14"/>
  <c r="D53" i="14"/>
  <c r="C53" i="14"/>
  <c r="D52" i="14"/>
  <c r="C52" i="14"/>
  <c r="D51" i="14"/>
  <c r="C51" i="14"/>
  <c r="D50" i="14"/>
  <c r="C50" i="14"/>
  <c r="D49" i="14"/>
  <c r="C49" i="14"/>
  <c r="D48" i="14"/>
  <c r="C48" i="14"/>
  <c r="D47" i="14"/>
  <c r="C47" i="14"/>
  <c r="D46" i="14"/>
  <c r="C46" i="14"/>
  <c r="D45" i="14"/>
  <c r="C45" i="14"/>
  <c r="D44" i="14"/>
  <c r="C44" i="14"/>
  <c r="D43" i="14"/>
  <c r="C43" i="14"/>
  <c r="D42" i="14"/>
  <c r="C42" i="14"/>
  <c r="D41" i="14"/>
  <c r="C41" i="14"/>
  <c r="D40" i="14"/>
  <c r="C40" i="14"/>
  <c r="D39" i="14"/>
  <c r="C39" i="14"/>
  <c r="D38" i="14"/>
  <c r="C38" i="14"/>
  <c r="D37" i="14"/>
  <c r="C37" i="14"/>
  <c r="D36" i="14"/>
  <c r="C36" i="14"/>
  <c r="D35" i="14"/>
  <c r="C35" i="14"/>
  <c r="D34" i="14"/>
  <c r="C34" i="14"/>
  <c r="D33" i="14"/>
  <c r="C33" i="14"/>
  <c r="D32" i="14"/>
  <c r="C32" i="14"/>
  <c r="D31" i="14"/>
  <c r="C31" i="14"/>
  <c r="D30" i="14"/>
  <c r="C30" i="14"/>
  <c r="D29" i="14"/>
  <c r="C29" i="14"/>
  <c r="D28" i="14"/>
  <c r="C28" i="14"/>
  <c r="D27" i="14"/>
  <c r="C27" i="14"/>
  <c r="D26" i="14"/>
  <c r="C26" i="14"/>
  <c r="D25" i="14"/>
  <c r="C25" i="14"/>
  <c r="D24" i="14"/>
  <c r="C24" i="14"/>
  <c r="D23" i="14"/>
  <c r="C23" i="14"/>
  <c r="D22" i="14"/>
  <c r="C22" i="14"/>
  <c r="D21" i="14"/>
  <c r="C21" i="14"/>
  <c r="D20" i="14"/>
  <c r="C20" i="14"/>
  <c r="D19" i="14"/>
  <c r="C19" i="14"/>
  <c r="D18" i="14"/>
  <c r="C18" i="14"/>
  <c r="N4" i="14"/>
  <c r="N3" i="14"/>
  <c r="N2" i="14"/>
  <c r="N1" i="14"/>
  <c r="L46" i="13"/>
  <c r="K46" i="13"/>
  <c r="L45" i="13"/>
  <c r="K45" i="13"/>
  <c r="L44" i="13"/>
  <c r="K44" i="13"/>
  <c r="L43" i="13"/>
  <c r="K43" i="13"/>
  <c r="U140" i="15" s="1"/>
  <c r="L42" i="13"/>
  <c r="K42" i="13"/>
  <c r="L41" i="13"/>
  <c r="K41" i="13"/>
  <c r="L40" i="13"/>
  <c r="K40" i="13"/>
  <c r="L39" i="13"/>
  <c r="K39" i="13"/>
  <c r="L38" i="13"/>
  <c r="K38" i="13"/>
  <c r="L37" i="13"/>
  <c r="K37" i="13"/>
  <c r="L36" i="13"/>
  <c r="K36" i="13"/>
  <c r="L35" i="13"/>
  <c r="K35" i="13"/>
  <c r="L34" i="13"/>
  <c r="K34" i="13"/>
  <c r="L33" i="13"/>
  <c r="K33" i="13"/>
  <c r="F39" i="3"/>
  <c r="F36" i="3"/>
  <c r="F35" i="3"/>
  <c r="F34" i="3"/>
  <c r="F33" i="3"/>
  <c r="F32" i="3"/>
  <c r="F28" i="3"/>
  <c r="F27" i="3"/>
  <c r="F26" i="3"/>
  <c r="F25" i="3"/>
  <c r="F24" i="3"/>
  <c r="F23" i="3"/>
  <c r="P1" i="3"/>
  <c r="H186" i="15" l="1"/>
  <c r="G186" i="15"/>
  <c r="Z186" i="15"/>
  <c r="Q186" i="15"/>
  <c r="Y186" i="15"/>
  <c r="AE206" i="15"/>
  <c r="O206" i="15"/>
  <c r="Z206" i="15"/>
  <c r="M206" i="15"/>
  <c r="AF206" i="15"/>
  <c r="H206" i="15"/>
  <c r="X206" i="15"/>
  <c r="AG206" i="15"/>
  <c r="Y206" i="15"/>
  <c r="Z227" i="15"/>
  <c r="W227" i="15"/>
  <c r="H227" i="15"/>
  <c r="AH227" i="15"/>
  <c r="V227" i="15"/>
  <c r="G227" i="15"/>
  <c r="AG227" i="15"/>
  <c r="O227" i="15"/>
  <c r="AE227" i="15"/>
  <c r="M227" i="15"/>
  <c r="AD227" i="15"/>
  <c r="Y227" i="15"/>
  <c r="AE276" i="15"/>
  <c r="O276" i="15"/>
  <c r="AA276" i="15"/>
  <c r="N276" i="15"/>
  <c r="X276" i="15"/>
  <c r="V276" i="15"/>
  <c r="H276" i="15"/>
  <c r="AG276" i="15"/>
  <c r="G276" i="15"/>
  <c r="AA285" i="15"/>
  <c r="W285" i="15"/>
  <c r="K285" i="15"/>
  <c r="V285" i="15"/>
  <c r="AH285" i="15"/>
  <c r="O285" i="15"/>
  <c r="AE285" i="15"/>
  <c r="M285" i="15"/>
  <c r="L285" i="15"/>
  <c r="AG285" i="15"/>
  <c r="AH319" i="15"/>
  <c r="P319" i="15"/>
  <c r="AG319" i="15"/>
  <c r="O319" i="15"/>
  <c r="AF319" i="15"/>
  <c r="G319" i="15"/>
  <c r="Y319" i="15"/>
  <c r="Z319" i="15"/>
  <c r="AB400" i="15"/>
  <c r="H400" i="15"/>
  <c r="G400" i="15"/>
  <c r="AA416" i="15"/>
  <c r="AG416" i="15"/>
  <c r="Y416" i="15"/>
  <c r="X416" i="15"/>
  <c r="O416" i="15"/>
  <c r="G416" i="15"/>
  <c r="AB438" i="15"/>
  <c r="J438" i="15"/>
  <c r="AA448" i="15"/>
  <c r="Y448" i="15"/>
  <c r="Q448" i="15"/>
  <c r="H448" i="15"/>
  <c r="X448" i="15"/>
  <c r="AC481" i="15"/>
  <c r="K481" i="15"/>
  <c r="X510" i="15"/>
  <c r="H510" i="15"/>
  <c r="W510" i="15"/>
  <c r="G510" i="15"/>
  <c r="AE510" i="15"/>
  <c r="L510" i="15"/>
  <c r="Y510" i="15"/>
  <c r="Z510" i="15"/>
  <c r="U510" i="15"/>
  <c r="Q510" i="15"/>
  <c r="AA632" i="15"/>
  <c r="X632" i="15"/>
  <c r="L632" i="15"/>
  <c r="W632" i="15"/>
  <c r="K632" i="15"/>
  <c r="AC632" i="15"/>
  <c r="U632" i="15"/>
  <c r="N632" i="15"/>
  <c r="AG632" i="15"/>
  <c r="M632" i="15"/>
  <c r="AF632" i="15"/>
  <c r="V632" i="15"/>
  <c r="U836" i="15"/>
  <c r="I836" i="15"/>
  <c r="R891" i="15"/>
  <c r="Q891" i="15"/>
  <c r="Z891" i="15"/>
  <c r="P891" i="15"/>
  <c r="G891" i="15"/>
  <c r="Q926" i="15"/>
  <c r="AC926" i="15"/>
  <c r="O926" i="15"/>
  <c r="AB926" i="15"/>
  <c r="G926" i="15"/>
  <c r="Z926" i="15"/>
  <c r="I926" i="15"/>
  <c r="AD929" i="15"/>
  <c r="S929" i="15"/>
  <c r="AG929" i="15"/>
  <c r="Q929" i="15"/>
  <c r="AB929" i="15"/>
  <c r="L929" i="15"/>
  <c r="Y929" i="15"/>
  <c r="AA929" i="15"/>
  <c r="W929" i="15"/>
  <c r="V929" i="15"/>
  <c r="Y963" i="15"/>
  <c r="R963" i="15"/>
  <c r="G963" i="15"/>
  <c r="AA963" i="15"/>
  <c r="AC963" i="15"/>
  <c r="Z963" i="15"/>
  <c r="Q963" i="15"/>
  <c r="AD1001" i="15"/>
  <c r="V1001" i="15"/>
  <c r="Q1001" i="15"/>
  <c r="AA1001" i="15"/>
  <c r="W1001" i="15"/>
  <c r="M1001" i="15"/>
  <c r="L1001" i="15"/>
  <c r="AG1001" i="15"/>
  <c r="AD1085" i="15"/>
  <c r="AB1085" i="15"/>
  <c r="U1085" i="15"/>
  <c r="T1085" i="15"/>
  <c r="V1100" i="15"/>
  <c r="AF1100" i="15"/>
  <c r="AE1100" i="15"/>
  <c r="AC1138" i="15"/>
  <c r="I1138" i="15"/>
  <c r="AB1138" i="15"/>
  <c r="U1138" i="15"/>
  <c r="S1138" i="15"/>
  <c r="J1138" i="15"/>
  <c r="AH1138" i="15"/>
  <c r="AE1138" i="15"/>
  <c r="AC1310" i="15"/>
  <c r="R1310" i="15"/>
  <c r="Y1310" i="15"/>
  <c r="J1310" i="15"/>
  <c r="V1310" i="15"/>
  <c r="I1310" i="15"/>
  <c r="Z1310" i="15"/>
  <c r="S1310" i="15"/>
  <c r="Q1310" i="15"/>
  <c r="AH1310" i="15"/>
  <c r="AD1310" i="15"/>
  <c r="AB1310" i="15"/>
  <c r="AA1310" i="15"/>
  <c r="AF1356" i="15"/>
  <c r="Z1356" i="15"/>
  <c r="J1356" i="15"/>
  <c r="X1356" i="15"/>
  <c r="V1356" i="15"/>
  <c r="P1356" i="15"/>
  <c r="N1356" i="15"/>
  <c r="AG1356" i="15"/>
  <c r="H1356" i="15"/>
  <c r="AE1356" i="15"/>
  <c r="AD1356" i="15"/>
  <c r="AH1401" i="15"/>
  <c r="AC1401" i="15"/>
  <c r="S1401" i="15"/>
  <c r="G1401" i="15"/>
  <c r="AF1401" i="15"/>
  <c r="U1401" i="15"/>
  <c r="H1401" i="15"/>
  <c r="AE1401" i="15"/>
  <c r="T1401" i="15"/>
  <c r="V1401" i="15"/>
  <c r="O1401" i="15"/>
  <c r="AD1401" i="15"/>
  <c r="N1401" i="15"/>
  <c r="K1401" i="15"/>
  <c r="AB1401" i="15"/>
  <c r="AA1401" i="15"/>
  <c r="X1401" i="15"/>
  <c r="AB1681" i="15"/>
  <c r="X1681" i="15"/>
  <c r="H1681" i="15"/>
  <c r="U1681" i="15"/>
  <c r="AF1681" i="15"/>
  <c r="O1681" i="15"/>
  <c r="V1681" i="15"/>
  <c r="P1681" i="15"/>
  <c r="AD1681" i="15"/>
  <c r="AC1681" i="15"/>
  <c r="G1681" i="15"/>
  <c r="AB1685" i="15"/>
  <c r="AE1685" i="15"/>
  <c r="O1685" i="15"/>
  <c r="U1685" i="15"/>
  <c r="AF1685" i="15"/>
  <c r="N1685" i="15"/>
  <c r="X1685" i="15"/>
  <c r="W1685" i="15"/>
  <c r="G1685" i="15"/>
  <c r="AD1685" i="15"/>
  <c r="AC1685" i="15"/>
  <c r="P1685" i="15"/>
  <c r="AB1697" i="15"/>
  <c r="AF1697" i="15"/>
  <c r="P1697" i="15"/>
  <c r="W1697" i="15"/>
  <c r="U1697" i="15"/>
  <c r="O1697" i="15"/>
  <c r="N1697" i="15"/>
  <c r="V1697" i="15"/>
  <c r="H1697" i="15"/>
  <c r="G1697" i="15"/>
  <c r="M1697" i="15"/>
  <c r="AH1834" i="15"/>
  <c r="X1834" i="15"/>
  <c r="N1834" i="15"/>
  <c r="AC1834" i="15"/>
  <c r="P1834" i="15"/>
  <c r="AA1834" i="15"/>
  <c r="M1834" i="15"/>
  <c r="W1834" i="15"/>
  <c r="H1834" i="15"/>
  <c r="V1834" i="15"/>
  <c r="G1834" i="15"/>
  <c r="U1834" i="15"/>
  <c r="L1834" i="15"/>
  <c r="AE1834" i="15"/>
  <c r="AD1834" i="15"/>
  <c r="K1834" i="15"/>
  <c r="AF1834" i="15"/>
  <c r="X1852" i="15"/>
  <c r="AF1852" i="15"/>
  <c r="G1852" i="15"/>
  <c r="W1852" i="15"/>
  <c r="O1852" i="15"/>
  <c r="H1852" i="15"/>
  <c r="AH1852" i="15"/>
  <c r="P1852" i="15"/>
  <c r="AH1986" i="15"/>
  <c r="AF1986" i="15"/>
  <c r="V1986" i="15"/>
  <c r="L1986" i="15"/>
  <c r="U1986" i="15"/>
  <c r="H1986" i="15"/>
  <c r="AD1986" i="15"/>
  <c r="S1986" i="15"/>
  <c r="W1986" i="15"/>
  <c r="T1986" i="15"/>
  <c r="P1986" i="15"/>
  <c r="AE1986" i="15"/>
  <c r="O1986" i="15"/>
  <c r="AB1986" i="15"/>
  <c r="X1986" i="15"/>
  <c r="N1986" i="15"/>
  <c r="AC1986" i="15"/>
  <c r="E287" i="16"/>
  <c r="F287" i="16" s="1"/>
  <c r="K287" i="16"/>
  <c r="J287" i="16"/>
  <c r="M477" i="16"/>
  <c r="L477" i="16"/>
  <c r="H477" i="16"/>
  <c r="J858" i="16"/>
  <c r="I858" i="16"/>
  <c r="H858" i="16"/>
  <c r="G858" i="16"/>
  <c r="H988" i="16"/>
  <c r="G988" i="16"/>
  <c r="F988" i="16"/>
  <c r="E988" i="16"/>
  <c r="M1839" i="16"/>
  <c r="L1839" i="16"/>
  <c r="I1839" i="16"/>
  <c r="K1839" i="16"/>
  <c r="T2332" i="16"/>
  <c r="O2332" i="16"/>
  <c r="J2332" i="16"/>
  <c r="L3196" i="16"/>
  <c r="K3196" i="16"/>
  <c r="J3196" i="16"/>
  <c r="O3196" i="16"/>
  <c r="K3381" i="16"/>
  <c r="J3381" i="16"/>
  <c r="F3381" i="16"/>
  <c r="O3381" i="16"/>
  <c r="AF468" i="15"/>
  <c r="P468" i="15"/>
  <c r="AE468" i="15"/>
  <c r="O468" i="15"/>
  <c r="AA468" i="15"/>
  <c r="H468" i="15"/>
  <c r="X468" i="15"/>
  <c r="W468" i="15"/>
  <c r="V468" i="15"/>
  <c r="Q468" i="15"/>
  <c r="H27" i="15"/>
  <c r="Z27" i="15"/>
  <c r="AC39" i="15"/>
  <c r="J39" i="15"/>
  <c r="U60" i="15"/>
  <c r="Q60" i="15"/>
  <c r="AB60" i="15"/>
  <c r="V116" i="15"/>
  <c r="Q116" i="15"/>
  <c r="O116" i="15"/>
  <c r="AC162" i="15"/>
  <c r="Q162" i="15"/>
  <c r="O162" i="15"/>
  <c r="AB188" i="15"/>
  <c r="AA188" i="15"/>
  <c r="I188" i="15"/>
  <c r="X190" i="15"/>
  <c r="H190" i="15"/>
  <c r="W190" i="15"/>
  <c r="G190" i="15"/>
  <c r="AE190" i="15"/>
  <c r="L190" i="15"/>
  <c r="Y190" i="15"/>
  <c r="AG190" i="15"/>
  <c r="AF190" i="15"/>
  <c r="P206" i="15"/>
  <c r="AG217" i="15"/>
  <c r="Q217" i="15"/>
  <c r="AE217" i="15"/>
  <c r="O217" i="15"/>
  <c r="Z217" i="15"/>
  <c r="G217" i="15"/>
  <c r="W217" i="15"/>
  <c r="Y217" i="15"/>
  <c r="V217" i="15"/>
  <c r="P227" i="15"/>
  <c r="Q276" i="15"/>
  <c r="AA280" i="15"/>
  <c r="AE280" i="15"/>
  <c r="O280" i="15"/>
  <c r="AD280" i="15"/>
  <c r="N280" i="15"/>
  <c r="V280" i="15"/>
  <c r="T280" i="15"/>
  <c r="W280" i="15"/>
  <c r="U280" i="15"/>
  <c r="U285" i="15"/>
  <c r="V311" i="15"/>
  <c r="Q319" i="15"/>
  <c r="R337" i="15"/>
  <c r="AA337" i="15"/>
  <c r="J337" i="15"/>
  <c r="I347" i="15"/>
  <c r="AA347" i="15"/>
  <c r="V393" i="15"/>
  <c r="AH393" i="15"/>
  <c r="R393" i="15"/>
  <c r="AG393" i="15"/>
  <c r="N393" i="15"/>
  <c r="AA393" i="15"/>
  <c r="I393" i="15"/>
  <c r="G393" i="15"/>
  <c r="AE393" i="15"/>
  <c r="Z393" i="15"/>
  <c r="I396" i="15"/>
  <c r="H396" i="15"/>
  <c r="AB396" i="15"/>
  <c r="R401" i="15"/>
  <c r="AA401" i="15"/>
  <c r="S416" i="15"/>
  <c r="I433" i="15"/>
  <c r="AB433" i="15"/>
  <c r="S448" i="15"/>
  <c r="AG462" i="15"/>
  <c r="Q462" i="15"/>
  <c r="AF462" i="15"/>
  <c r="P462" i="15"/>
  <c r="X462" i="15"/>
  <c r="U462" i="15"/>
  <c r="AE462" i="15"/>
  <c r="G462" i="15"/>
  <c r="Z462" i="15"/>
  <c r="Y462" i="15"/>
  <c r="P510" i="15"/>
  <c r="Z594" i="15"/>
  <c r="U594" i="15"/>
  <c r="AG594" i="15"/>
  <c r="T594" i="15"/>
  <c r="AC594" i="15"/>
  <c r="K594" i="15"/>
  <c r="X594" i="15"/>
  <c r="AB594" i="15"/>
  <c r="W594" i="15"/>
  <c r="S594" i="15"/>
  <c r="Z611" i="15"/>
  <c r="AF611" i="15"/>
  <c r="U611" i="15"/>
  <c r="H611" i="15"/>
  <c r="AE611" i="15"/>
  <c r="S611" i="15"/>
  <c r="G611" i="15"/>
  <c r="AD611" i="15"/>
  <c r="N611" i="15"/>
  <c r="Y611" i="15"/>
  <c r="K611" i="15"/>
  <c r="AH611" i="15"/>
  <c r="M611" i="15"/>
  <c r="AG611" i="15"/>
  <c r="J611" i="15"/>
  <c r="AC611" i="15"/>
  <c r="Q623" i="15"/>
  <c r="AH623" i="15"/>
  <c r="P623" i="15"/>
  <c r="AG623" i="15"/>
  <c r="H623" i="15"/>
  <c r="Z623" i="15"/>
  <c r="N623" i="15"/>
  <c r="G623" i="15"/>
  <c r="R679" i="15"/>
  <c r="AC679" i="15"/>
  <c r="AA679" i="15"/>
  <c r="I679" i="15"/>
  <c r="J679" i="15"/>
  <c r="AE729" i="15"/>
  <c r="O729" i="15"/>
  <c r="AA729" i="15"/>
  <c r="N729" i="15"/>
  <c r="Z729" i="15"/>
  <c r="G729" i="15"/>
  <c r="W729" i="15"/>
  <c r="Y729" i="15"/>
  <c r="V729" i="15"/>
  <c r="R729" i="15"/>
  <c r="W740" i="15"/>
  <c r="H740" i="15"/>
  <c r="V740" i="15"/>
  <c r="G740" i="15"/>
  <c r="AE740" i="15"/>
  <c r="M740" i="15"/>
  <c r="Y740" i="15"/>
  <c r="X740" i="15"/>
  <c r="Q740" i="15"/>
  <c r="P740" i="15"/>
  <c r="O740" i="15"/>
  <c r="AA755" i="15"/>
  <c r="G755" i="15"/>
  <c r="Z755" i="15"/>
  <c r="H755" i="15"/>
  <c r="AC755" i="15"/>
  <c r="O755" i="15"/>
  <c r="R755" i="15"/>
  <c r="AG772" i="15"/>
  <c r="AF772" i="15"/>
  <c r="K772" i="15"/>
  <c r="AC776" i="15"/>
  <c r="G776" i="15"/>
  <c r="AA776" i="15"/>
  <c r="AD776" i="15"/>
  <c r="S776" i="15"/>
  <c r="O776" i="15"/>
  <c r="H776" i="15"/>
  <c r="Y776" i="15"/>
  <c r="AG828" i="15"/>
  <c r="M828" i="15"/>
  <c r="AE836" i="15"/>
  <c r="Y891" i="15"/>
  <c r="S926" i="15"/>
  <c r="N929" i="15"/>
  <c r="AD941" i="15"/>
  <c r="AB941" i="15"/>
  <c r="AC941" i="15"/>
  <c r="AD945" i="15"/>
  <c r="AC945" i="15"/>
  <c r="O945" i="15"/>
  <c r="AB945" i="15"/>
  <c r="N945" i="15"/>
  <c r="Q945" i="15"/>
  <c r="AG945" i="15"/>
  <c r="L945" i="15"/>
  <c r="M945" i="15"/>
  <c r="G945" i="15"/>
  <c r="AA945" i="15"/>
  <c r="P963" i="15"/>
  <c r="Y1001" i="15"/>
  <c r="AF1084" i="15"/>
  <c r="I1084" i="15"/>
  <c r="V1084" i="15"/>
  <c r="W1084" i="15"/>
  <c r="U1084" i="15"/>
  <c r="AG1090" i="15"/>
  <c r="K1090" i="15"/>
  <c r="X1100" i="15"/>
  <c r="T1138" i="15"/>
  <c r="Z1230" i="15"/>
  <c r="AG1230" i="15"/>
  <c r="U1230" i="15"/>
  <c r="I1230" i="15"/>
  <c r="V1230" i="15"/>
  <c r="AH1230" i="15"/>
  <c r="T1230" i="15"/>
  <c r="AC1230" i="15"/>
  <c r="L1230" i="15"/>
  <c r="Y1230" i="15"/>
  <c r="W1230" i="15"/>
  <c r="M1230" i="15"/>
  <c r="K1230" i="15"/>
  <c r="AE1230" i="15"/>
  <c r="AD1230" i="15"/>
  <c r="N1310" i="15"/>
  <c r="AC1316" i="15"/>
  <c r="AF1316" i="15"/>
  <c r="P1316" i="15"/>
  <c r="Y1316" i="15"/>
  <c r="J1316" i="15"/>
  <c r="X1316" i="15"/>
  <c r="H1316" i="15"/>
  <c r="AH1316" i="15"/>
  <c r="N1316" i="15"/>
  <c r="AD1316" i="15"/>
  <c r="Z1316" i="15"/>
  <c r="AG1316" i="15"/>
  <c r="W1316" i="15"/>
  <c r="Y1356" i="15"/>
  <c r="X1364" i="15"/>
  <c r="H1364" i="15"/>
  <c r="R1380" i="15"/>
  <c r="Q1380" i="15"/>
  <c r="AG1380" i="15"/>
  <c r="P1380" i="15"/>
  <c r="AF1380" i="15"/>
  <c r="H1380" i="15"/>
  <c r="AD1380" i="15"/>
  <c r="Z1380" i="15"/>
  <c r="AE1380" i="15"/>
  <c r="X1380" i="15"/>
  <c r="AG1398" i="15"/>
  <c r="AB1398" i="15"/>
  <c r="N1398" i="15"/>
  <c r="V1398" i="15"/>
  <c r="J1398" i="15"/>
  <c r="U1398" i="15"/>
  <c r="AD1398" i="15"/>
  <c r="L1398" i="15"/>
  <c r="AA1398" i="15"/>
  <c r="Z1398" i="15"/>
  <c r="AH1398" i="15"/>
  <c r="AC1398" i="15"/>
  <c r="T1398" i="15"/>
  <c r="S1398" i="15"/>
  <c r="P1401" i="15"/>
  <c r="Y1492" i="15"/>
  <c r="AG1492" i="15"/>
  <c r="X1492" i="15"/>
  <c r="V1492" i="15"/>
  <c r="O1492" i="15"/>
  <c r="H1492" i="15"/>
  <c r="Q1492" i="15"/>
  <c r="AH1492" i="15"/>
  <c r="W1492" i="15"/>
  <c r="AB1617" i="15"/>
  <c r="AE1617" i="15"/>
  <c r="O1617" i="15"/>
  <c r="U1617" i="15"/>
  <c r="AF1617" i="15"/>
  <c r="N1617" i="15"/>
  <c r="W1617" i="15"/>
  <c r="V1617" i="15"/>
  <c r="G1617" i="15"/>
  <c r="AD1617" i="15"/>
  <c r="AC1617" i="15"/>
  <c r="P1617" i="15"/>
  <c r="W1681" i="15"/>
  <c r="AF1684" i="15"/>
  <c r="O1684" i="15"/>
  <c r="P1684" i="15"/>
  <c r="Y1684" i="15"/>
  <c r="AD1697" i="15"/>
  <c r="Y1707" i="15"/>
  <c r="Z1707" i="15"/>
  <c r="S1707" i="15"/>
  <c r="I1707" i="15"/>
  <c r="AH1707" i="15"/>
  <c r="T1834" i="15"/>
  <c r="AE1852" i="15"/>
  <c r="M1986" i="15"/>
  <c r="J289" i="16"/>
  <c r="L289" i="16"/>
  <c r="K289" i="16"/>
  <c r="L921" i="16"/>
  <c r="K921" i="16"/>
  <c r="L1054" i="16"/>
  <c r="K1054" i="16"/>
  <c r="J1114" i="16"/>
  <c r="H1114" i="16"/>
  <c r="I1114" i="16"/>
  <c r="G1114" i="16"/>
  <c r="K1162" i="16"/>
  <c r="H1162" i="16"/>
  <c r="J1162" i="16"/>
  <c r="O1252" i="16"/>
  <c r="M1252" i="16"/>
  <c r="G1252" i="16"/>
  <c r="E1252" i="16"/>
  <c r="H1252" i="16"/>
  <c r="K1510" i="16"/>
  <c r="P1510" i="16"/>
  <c r="F1510" i="16"/>
  <c r="T1510" i="16"/>
  <c r="E1510" i="16"/>
  <c r="N1510" i="16"/>
  <c r="G1510" i="16"/>
  <c r="O1510" i="16"/>
  <c r="L1510" i="16"/>
  <c r="J1510" i="16"/>
  <c r="H1510" i="16"/>
  <c r="M1510" i="16"/>
  <c r="J1835" i="16"/>
  <c r="I1835" i="16"/>
  <c r="K1835" i="16"/>
  <c r="P1835" i="16"/>
  <c r="I1837" i="16"/>
  <c r="H1837" i="16"/>
  <c r="T1837" i="16"/>
  <c r="J1837" i="16"/>
  <c r="K1837" i="16"/>
  <c r="L1879" i="16"/>
  <c r="N1879" i="16"/>
  <c r="M1879" i="16"/>
  <c r="J2195" i="16"/>
  <c r="I2195" i="16"/>
  <c r="K2195" i="16"/>
  <c r="H2195" i="16"/>
  <c r="O3325" i="16"/>
  <c r="N3325" i="16"/>
  <c r="F3325" i="16"/>
  <c r="H3325" i="16"/>
  <c r="G3325" i="16"/>
  <c r="K3325" i="16"/>
  <c r="I3325" i="16"/>
  <c r="T3325" i="16"/>
  <c r="P3325" i="16"/>
  <c r="H3397" i="16"/>
  <c r="G3397" i="16"/>
  <c r="N3397" i="16"/>
  <c r="I3397" i="16"/>
  <c r="F3397" i="16"/>
  <c r="P3397" i="16"/>
  <c r="O3397" i="16"/>
  <c r="T3397" i="16"/>
  <c r="Q46" i="15"/>
  <c r="Z46" i="15"/>
  <c r="Y46" i="15"/>
  <c r="U46" i="15"/>
  <c r="P46" i="15"/>
  <c r="W46" i="15"/>
  <c r="AC61" i="15"/>
  <c r="W61" i="15"/>
  <c r="U61" i="15"/>
  <c r="I87" i="15"/>
  <c r="AC87" i="15"/>
  <c r="U87" i="15"/>
  <c r="AC135" i="15"/>
  <c r="R135" i="15"/>
  <c r="M135" i="15"/>
  <c r="Q190" i="15"/>
  <c r="AA197" i="15"/>
  <c r="G197" i="15"/>
  <c r="Q206" i="15"/>
  <c r="R217" i="15"/>
  <c r="U227" i="15"/>
  <c r="AG238" i="15"/>
  <c r="Q238" i="15"/>
  <c r="AF238" i="15"/>
  <c r="P238" i="15"/>
  <c r="AH238" i="15"/>
  <c r="M238" i="15"/>
  <c r="Z238" i="15"/>
  <c r="H238" i="15"/>
  <c r="Y238" i="15"/>
  <c r="X238" i="15"/>
  <c r="O238" i="15"/>
  <c r="AB257" i="15"/>
  <c r="AA257" i="15"/>
  <c r="AD257" i="15"/>
  <c r="T257" i="15"/>
  <c r="L257" i="15"/>
  <c r="AA264" i="15"/>
  <c r="AF264" i="15"/>
  <c r="T264" i="15"/>
  <c r="AE264" i="15"/>
  <c r="O264" i="15"/>
  <c r="W264" i="15"/>
  <c r="U264" i="15"/>
  <c r="AG264" i="15"/>
  <c r="K264" i="15"/>
  <c r="AD264" i="15"/>
  <c r="N264" i="15"/>
  <c r="W276" i="15"/>
  <c r="X280" i="15"/>
  <c r="Y285" i="15"/>
  <c r="AA311" i="15"/>
  <c r="W319" i="15"/>
  <c r="Z322" i="15"/>
  <c r="AF322" i="15"/>
  <c r="S322" i="15"/>
  <c r="AE322" i="15"/>
  <c r="O322" i="15"/>
  <c r="X322" i="15"/>
  <c r="U322" i="15"/>
  <c r="K322" i="15"/>
  <c r="AG322" i="15"/>
  <c r="J322" i="15"/>
  <c r="T322" i="15"/>
  <c r="Z355" i="15"/>
  <c r="X355" i="15"/>
  <c r="K355" i="15"/>
  <c r="W355" i="15"/>
  <c r="G355" i="15"/>
  <c r="AH355" i="15"/>
  <c r="P355" i="15"/>
  <c r="AF355" i="15"/>
  <c r="N355" i="15"/>
  <c r="M355" i="15"/>
  <c r="AG355" i="15"/>
  <c r="AE355" i="15"/>
  <c r="V355" i="15"/>
  <c r="W393" i="15"/>
  <c r="U401" i="15"/>
  <c r="AC417" i="15"/>
  <c r="K417" i="15"/>
  <c r="H432" i="15"/>
  <c r="G432" i="15"/>
  <c r="Y432" i="15"/>
  <c r="AA433" i="15"/>
  <c r="Z450" i="15"/>
  <c r="AF450" i="15"/>
  <c r="S450" i="15"/>
  <c r="AE450" i="15"/>
  <c r="O450" i="15"/>
  <c r="U450" i="15"/>
  <c r="M450" i="15"/>
  <c r="K450" i="15"/>
  <c r="AG450" i="15"/>
  <c r="J450" i="15"/>
  <c r="AC450" i="15"/>
  <c r="W450" i="15"/>
  <c r="O462" i="15"/>
  <c r="N468" i="15"/>
  <c r="AF510" i="15"/>
  <c r="Z515" i="15"/>
  <c r="AD515" i="15"/>
  <c r="N515" i="15"/>
  <c r="Y515" i="15"/>
  <c r="M515" i="15"/>
  <c r="W515" i="15"/>
  <c r="G515" i="15"/>
  <c r="U515" i="15"/>
  <c r="AG515" i="15"/>
  <c r="J515" i="15"/>
  <c r="AF515" i="15"/>
  <c r="H515" i="15"/>
  <c r="AE515" i="15"/>
  <c r="P515" i="15"/>
  <c r="AA541" i="15"/>
  <c r="AH541" i="15"/>
  <c r="U541" i="15"/>
  <c r="AG541" i="15"/>
  <c r="T541" i="15"/>
  <c r="W541" i="15"/>
  <c r="O541" i="15"/>
  <c r="AE541" i="15"/>
  <c r="K541" i="15"/>
  <c r="AD541" i="15"/>
  <c r="AC541" i="15"/>
  <c r="N541" i="15"/>
  <c r="Y560" i="15"/>
  <c r="X560" i="15"/>
  <c r="S560" i="15"/>
  <c r="Q560" i="15"/>
  <c r="O560" i="15"/>
  <c r="H560" i="15"/>
  <c r="AG560" i="15"/>
  <c r="Z571" i="15"/>
  <c r="AH571" i="15"/>
  <c r="Y571" i="15"/>
  <c r="R571" i="15"/>
  <c r="P571" i="15"/>
  <c r="S571" i="15"/>
  <c r="O594" i="15"/>
  <c r="AB604" i="15"/>
  <c r="I604" i="15"/>
  <c r="W611" i="15"/>
  <c r="Y623" i="15"/>
  <c r="AD632" i="15"/>
  <c r="K678" i="15"/>
  <c r="I678" i="15"/>
  <c r="AG692" i="15"/>
  <c r="Q692" i="15"/>
  <c r="AF692" i="15"/>
  <c r="P692" i="15"/>
  <c r="AA692" i="15"/>
  <c r="H692" i="15"/>
  <c r="X692" i="15"/>
  <c r="Y692" i="15"/>
  <c r="W692" i="15"/>
  <c r="V692" i="15"/>
  <c r="N692" i="15"/>
  <c r="Z706" i="15"/>
  <c r="U706" i="15"/>
  <c r="AG706" i="15"/>
  <c r="T706" i="15"/>
  <c r="X706" i="15"/>
  <c r="S706" i="15"/>
  <c r="AB706" i="15"/>
  <c r="W706" i="15"/>
  <c r="O706" i="15"/>
  <c r="L706" i="15"/>
  <c r="AG729" i="15"/>
  <c r="Q735" i="15"/>
  <c r="AH735" i="15"/>
  <c r="P735" i="15"/>
  <c r="Y735" i="15"/>
  <c r="W735" i="15"/>
  <c r="H735" i="15"/>
  <c r="G735" i="15"/>
  <c r="AG735" i="15"/>
  <c r="X735" i="15"/>
  <c r="AA740" i="15"/>
  <c r="S746" i="15"/>
  <c r="AE746" i="15"/>
  <c r="AC746" i="15"/>
  <c r="J746" i="15"/>
  <c r="W746" i="15"/>
  <c r="AC754" i="15"/>
  <c r="W754" i="15"/>
  <c r="U754" i="15"/>
  <c r="J754" i="15"/>
  <c r="T754" i="15"/>
  <c r="I754" i="15"/>
  <c r="Y755" i="15"/>
  <c r="R758" i="15"/>
  <c r="Q758" i="15"/>
  <c r="AC758" i="15"/>
  <c r="I758" i="15"/>
  <c r="AA758" i="15"/>
  <c r="AB758" i="15"/>
  <c r="Z758" i="15"/>
  <c r="Y758" i="15"/>
  <c r="O758" i="15"/>
  <c r="AD777" i="15"/>
  <c r="AA777" i="15"/>
  <c r="L777" i="15"/>
  <c r="Y777" i="15"/>
  <c r="N777" i="15"/>
  <c r="AG777" i="15"/>
  <c r="AB777" i="15"/>
  <c r="W777" i="15"/>
  <c r="Q777" i="15"/>
  <c r="AF836" i="15"/>
  <c r="AA891" i="15"/>
  <c r="W914" i="15"/>
  <c r="U914" i="15"/>
  <c r="I914" i="15"/>
  <c r="AE914" i="15"/>
  <c r="AC914" i="15"/>
  <c r="G925" i="15"/>
  <c r="AC925" i="15"/>
  <c r="U925" i="15"/>
  <c r="AB925" i="15"/>
  <c r="I925" i="15"/>
  <c r="Y926" i="15"/>
  <c r="O929" i="15"/>
  <c r="Y945" i="15"/>
  <c r="AB1001" i="15"/>
  <c r="S1024" i="15"/>
  <c r="Q1024" i="15"/>
  <c r="G1024" i="15"/>
  <c r="AC1024" i="15"/>
  <c r="AD1024" i="15"/>
  <c r="AA1024" i="15"/>
  <c r="P1024" i="15"/>
  <c r="AA1086" i="15"/>
  <c r="I1086" i="15"/>
  <c r="Z1086" i="15"/>
  <c r="G1086" i="15"/>
  <c r="Y1086" i="15"/>
  <c r="R1086" i="15"/>
  <c r="AC1086" i="15"/>
  <c r="AB1086" i="15"/>
  <c r="S1086" i="15"/>
  <c r="Q1086" i="15"/>
  <c r="AG1124" i="15"/>
  <c r="M1124" i="15"/>
  <c r="AD1138" i="15"/>
  <c r="AH1142" i="15"/>
  <c r="R1142" i="15"/>
  <c r="Q1142" i="15"/>
  <c r="AB1142" i="15"/>
  <c r="Z1142" i="15"/>
  <c r="M1142" i="15"/>
  <c r="G1142" i="15"/>
  <c r="AE1142" i="15"/>
  <c r="AA1142" i="15"/>
  <c r="AE1151" i="15"/>
  <c r="Q1151" i="15"/>
  <c r="AB1151" i="15"/>
  <c r="P1151" i="15"/>
  <c r="X1151" i="15"/>
  <c r="H1151" i="15"/>
  <c r="U1151" i="15"/>
  <c r="Z1151" i="15"/>
  <c r="G1151" i="15"/>
  <c r="Y1151" i="15"/>
  <c r="W1151" i="15"/>
  <c r="S1151" i="15"/>
  <c r="M1151" i="15"/>
  <c r="AE1160" i="15"/>
  <c r="G1160" i="15"/>
  <c r="AD1160" i="15"/>
  <c r="AC1160" i="15"/>
  <c r="S1160" i="15"/>
  <c r="P1160" i="15"/>
  <c r="I1160" i="15"/>
  <c r="AF1160" i="15"/>
  <c r="AF1164" i="15"/>
  <c r="Q1164" i="15"/>
  <c r="P1164" i="15"/>
  <c r="K1164" i="15"/>
  <c r="AC1164" i="15"/>
  <c r="AD1164" i="15"/>
  <c r="AA1164" i="15"/>
  <c r="Z1164" i="15"/>
  <c r="R1164" i="15"/>
  <c r="AE1186" i="15"/>
  <c r="AH1186" i="15"/>
  <c r="R1186" i="15"/>
  <c r="AD1186" i="15"/>
  <c r="O1186" i="15"/>
  <c r="AB1186" i="15"/>
  <c r="Y1186" i="15"/>
  <c r="U1186" i="15"/>
  <c r="AC1186" i="15"/>
  <c r="AA1186" i="15"/>
  <c r="M1186" i="15"/>
  <c r="Y1225" i="15"/>
  <c r="AC1225" i="15"/>
  <c r="O1225" i="15"/>
  <c r="AE1225" i="15"/>
  <c r="Q1225" i="15"/>
  <c r="AD1225" i="15"/>
  <c r="N1225" i="15"/>
  <c r="AG1225" i="15"/>
  <c r="M1225" i="15"/>
  <c r="AA1225" i="15"/>
  <c r="K1225" i="15"/>
  <c r="X1225" i="15"/>
  <c r="H1225" i="15"/>
  <c r="AF1225" i="15"/>
  <c r="W1225" i="15"/>
  <c r="V1225" i="15"/>
  <c r="U1225" i="15"/>
  <c r="AA1230" i="15"/>
  <c r="AA1255" i="15"/>
  <c r="X1255" i="15"/>
  <c r="J1255" i="15"/>
  <c r="AG1255" i="15"/>
  <c r="P1255" i="15"/>
  <c r="AF1255" i="15"/>
  <c r="O1255" i="15"/>
  <c r="Y1255" i="15"/>
  <c r="T1255" i="15"/>
  <c r="R1255" i="15"/>
  <c r="AH1255" i="15"/>
  <c r="AB1255" i="15"/>
  <c r="Z1255" i="15"/>
  <c r="L1255" i="15"/>
  <c r="V1272" i="15"/>
  <c r="AC1272" i="15"/>
  <c r="AD1272" i="15"/>
  <c r="Z1272" i="15"/>
  <c r="N1272" i="15"/>
  <c r="AF1272" i="15"/>
  <c r="J1272" i="15"/>
  <c r="R1272" i="15"/>
  <c r="T1310" i="15"/>
  <c r="V1316" i="15"/>
  <c r="V1336" i="15"/>
  <c r="AD1336" i="15"/>
  <c r="AC1336" i="15"/>
  <c r="Z1336" i="15"/>
  <c r="AE1336" i="15"/>
  <c r="R1336" i="15"/>
  <c r="J1336" i="15"/>
  <c r="Q1336" i="15"/>
  <c r="AC1340" i="15"/>
  <c r="X1340" i="15"/>
  <c r="J1340" i="15"/>
  <c r="AH1340" i="15"/>
  <c r="R1340" i="15"/>
  <c r="AG1340" i="15"/>
  <c r="P1340" i="15"/>
  <c r="Y1340" i="15"/>
  <c r="V1340" i="15"/>
  <c r="O1340" i="15"/>
  <c r="AF1340" i="15"/>
  <c r="AD1340" i="15"/>
  <c r="Z1340" i="15"/>
  <c r="W1340" i="15"/>
  <c r="N1340" i="15"/>
  <c r="L1363" i="15"/>
  <c r="R1363" i="15"/>
  <c r="AF1363" i="15"/>
  <c r="AA1363" i="15"/>
  <c r="V1380" i="15"/>
  <c r="Y1399" i="15"/>
  <c r="T1399" i="15"/>
  <c r="S1399" i="15"/>
  <c r="H1399" i="15"/>
  <c r="Q1399" i="15"/>
  <c r="I1399" i="15"/>
  <c r="W1401" i="15"/>
  <c r="Z1407" i="15"/>
  <c r="T1407" i="15"/>
  <c r="S1407" i="15"/>
  <c r="AG1407" i="15"/>
  <c r="AF1407" i="15"/>
  <c r="Q1407" i="15"/>
  <c r="AH1407" i="15"/>
  <c r="AH1409" i="15"/>
  <c r="AA1409" i="15"/>
  <c r="O1409" i="15"/>
  <c r="AC1409" i="15"/>
  <c r="P1409" i="15"/>
  <c r="U1409" i="15"/>
  <c r="G1409" i="15"/>
  <c r="AF1409" i="15"/>
  <c r="T1409" i="15"/>
  <c r="X1409" i="15"/>
  <c r="H1409" i="15"/>
  <c r="V1409" i="15"/>
  <c r="S1409" i="15"/>
  <c r="AD1409" i="15"/>
  <c r="AB1409" i="15"/>
  <c r="W1409" i="15"/>
  <c r="N1409" i="15"/>
  <c r="M1409" i="15"/>
  <c r="AG1446" i="15"/>
  <c r="AA1446" i="15"/>
  <c r="M1446" i="15"/>
  <c r="AD1446" i="15"/>
  <c r="R1446" i="15"/>
  <c r="U1446" i="15"/>
  <c r="T1446" i="15"/>
  <c r="AC1446" i="15"/>
  <c r="J1446" i="15"/>
  <c r="Z1446" i="15"/>
  <c r="V1446" i="15"/>
  <c r="L1446" i="15"/>
  <c r="K1446" i="15"/>
  <c r="AB1446" i="15"/>
  <c r="V1476" i="15"/>
  <c r="Z1476" i="15"/>
  <c r="G1476" i="15"/>
  <c r="AF1476" i="15"/>
  <c r="J1476" i="15"/>
  <c r="AE1476" i="15"/>
  <c r="H1476" i="15"/>
  <c r="AD1476" i="15"/>
  <c r="X1476" i="15"/>
  <c r="AG1476" i="15"/>
  <c r="Q1476" i="15"/>
  <c r="X1617" i="15"/>
  <c r="AE1681" i="15"/>
  <c r="V1685" i="15"/>
  <c r="W1696" i="15"/>
  <c r="AF1696" i="15"/>
  <c r="R1696" i="15"/>
  <c r="H1696" i="15"/>
  <c r="G1696" i="15"/>
  <c r="AH1696" i="15"/>
  <c r="AG1696" i="15"/>
  <c r="Q1696" i="15"/>
  <c r="P1696" i="15"/>
  <c r="AE1697" i="15"/>
  <c r="AH1747" i="15"/>
  <c r="S1747" i="15"/>
  <c r="J1747" i="15"/>
  <c r="Z1747" i="15"/>
  <c r="Y1747" i="15"/>
  <c r="R1747" i="15"/>
  <c r="I1747" i="15"/>
  <c r="AB1793" i="15"/>
  <c r="X1793" i="15"/>
  <c r="H1793" i="15"/>
  <c r="U1793" i="15"/>
  <c r="AF1793" i="15"/>
  <c r="O1793" i="15"/>
  <c r="W1793" i="15"/>
  <c r="V1793" i="15"/>
  <c r="P1793" i="15"/>
  <c r="AC1793" i="15"/>
  <c r="M1793" i="15"/>
  <c r="G1793" i="15"/>
  <c r="AE1793" i="15"/>
  <c r="J1823" i="15"/>
  <c r="I1823" i="15"/>
  <c r="AB1834" i="15"/>
  <c r="AG1852" i="15"/>
  <c r="AB1893" i="15"/>
  <c r="AE1893" i="15"/>
  <c r="O1893" i="15"/>
  <c r="AF1893" i="15"/>
  <c r="N1893" i="15"/>
  <c r="AC1893" i="15"/>
  <c r="H1893" i="15"/>
  <c r="X1893" i="15"/>
  <c r="W1893" i="15"/>
  <c r="V1893" i="15"/>
  <c r="M1893" i="15"/>
  <c r="G1893" i="15"/>
  <c r="AD1893" i="15"/>
  <c r="Z1903" i="15"/>
  <c r="J1903" i="15"/>
  <c r="AG1903" i="15"/>
  <c r="I1903" i="15"/>
  <c r="AH1903" i="15"/>
  <c r="R1903" i="15"/>
  <c r="Y1903" i="15"/>
  <c r="T1903" i="15"/>
  <c r="AA1986" i="15"/>
  <c r="G203" i="16"/>
  <c r="H203" i="16"/>
  <c r="I203" i="16"/>
  <c r="J230" i="16"/>
  <c r="G230" i="16"/>
  <c r="K230" i="16"/>
  <c r="I299" i="16"/>
  <c r="J299" i="16"/>
  <c r="H299" i="16"/>
  <c r="H338" i="16"/>
  <c r="K338" i="16"/>
  <c r="J338" i="16"/>
  <c r="I338" i="16"/>
  <c r="M340" i="16"/>
  <c r="E340" i="16"/>
  <c r="G340" i="16"/>
  <c r="F340" i="16"/>
  <c r="H340" i="16"/>
  <c r="G388" i="16"/>
  <c r="M388" i="16"/>
  <c r="K530" i="16"/>
  <c r="H530" i="16"/>
  <c r="I530" i="16"/>
  <c r="J690" i="16"/>
  <c r="G690" i="16"/>
  <c r="J694" i="16"/>
  <c r="K694" i="16"/>
  <c r="F694" i="16"/>
  <c r="G694" i="16"/>
  <c r="E694" i="16"/>
  <c r="J750" i="16"/>
  <c r="M750" i="16"/>
  <c r="G750" i="16"/>
  <c r="L750" i="16"/>
  <c r="K750" i="16"/>
  <c r="J818" i="16"/>
  <c r="G818" i="16"/>
  <c r="L832" i="16"/>
  <c r="K832" i="16"/>
  <c r="N1379" i="16"/>
  <c r="I1379" i="16"/>
  <c r="J1379" i="16"/>
  <c r="H1379" i="16"/>
  <c r="K1470" i="16"/>
  <c r="O1470" i="16"/>
  <c r="L1470" i="16"/>
  <c r="M1470" i="16"/>
  <c r="F1470" i="16"/>
  <c r="E1470" i="16"/>
  <c r="N1470" i="16"/>
  <c r="J1470" i="16"/>
  <c r="I1473" i="16"/>
  <c r="F1473" i="16"/>
  <c r="L1473" i="16"/>
  <c r="T1473" i="16"/>
  <c r="N1473" i="16"/>
  <c r="E1473" i="16"/>
  <c r="G1473" i="16"/>
  <c r="O1473" i="16"/>
  <c r="M1473" i="16"/>
  <c r="N1705" i="16"/>
  <c r="F1705" i="16"/>
  <c r="T1705" i="16"/>
  <c r="E1705" i="16"/>
  <c r="O1705" i="16"/>
  <c r="M1705" i="16"/>
  <c r="I1705" i="16"/>
  <c r="G1705" i="16"/>
  <c r="M1813" i="16"/>
  <c r="J1813" i="16"/>
  <c r="P1886" i="16"/>
  <c r="O1886" i="16"/>
  <c r="J1886" i="16"/>
  <c r="I1886" i="16"/>
  <c r="T2152" i="16"/>
  <c r="H2152" i="16"/>
  <c r="P2152" i="16"/>
  <c r="G2152" i="16"/>
  <c r="K2152" i="16"/>
  <c r="J2152" i="16"/>
  <c r="F2152" i="16"/>
  <c r="E2152" i="16"/>
  <c r="M2152" i="16"/>
  <c r="L2152" i="16"/>
  <c r="N2152" i="16"/>
  <c r="O2152" i="16"/>
  <c r="G2252" i="16"/>
  <c r="T2252" i="16"/>
  <c r="F2252" i="16"/>
  <c r="I2252" i="16"/>
  <c r="H2252" i="16"/>
  <c r="O2252" i="16"/>
  <c r="N2252" i="16"/>
  <c r="L2252" i="16"/>
  <c r="P2252" i="16"/>
  <c r="T2288" i="16"/>
  <c r="P2288" i="16"/>
  <c r="G2288" i="16"/>
  <c r="O2288" i="16"/>
  <c r="F2288" i="16"/>
  <c r="N2288" i="16"/>
  <c r="K2288" i="16"/>
  <c r="J2288" i="16"/>
  <c r="H2288" i="16"/>
  <c r="E2288" i="16"/>
  <c r="M2288" i="16"/>
  <c r="L2288" i="16"/>
  <c r="J2603" i="16"/>
  <c r="M2603" i="16"/>
  <c r="L2603" i="16"/>
  <c r="T2603" i="16"/>
  <c r="P2603" i="16"/>
  <c r="H2603" i="16"/>
  <c r="E2603" i="16"/>
  <c r="I2621" i="16"/>
  <c r="T2621" i="16"/>
  <c r="N2621" i="16"/>
  <c r="K2621" i="16"/>
  <c r="F2621" i="16"/>
  <c r="P2621" i="16"/>
  <c r="O2621" i="16"/>
  <c r="G2621" i="16"/>
  <c r="T2776" i="16"/>
  <c r="P2776" i="16"/>
  <c r="G2776" i="16"/>
  <c r="O2776" i="16"/>
  <c r="F2776" i="16"/>
  <c r="H2776" i="16"/>
  <c r="E2776" i="16"/>
  <c r="M2776" i="16"/>
  <c r="L2776" i="16"/>
  <c r="K2776" i="16"/>
  <c r="J2776" i="16"/>
  <c r="N2776" i="16"/>
  <c r="J2916" i="16"/>
  <c r="I2916" i="16"/>
  <c r="G2916" i="16"/>
  <c r="P2916" i="16"/>
  <c r="L2916" i="16"/>
  <c r="T2916" i="16"/>
  <c r="H2916" i="16"/>
  <c r="T2976" i="16"/>
  <c r="M2976" i="16"/>
  <c r="L2976" i="16"/>
  <c r="H2976" i="16"/>
  <c r="G2976" i="16"/>
  <c r="F2976" i="16"/>
  <c r="E2976" i="16"/>
  <c r="K2976" i="16"/>
  <c r="J2976" i="16"/>
  <c r="P2976" i="16"/>
  <c r="O2976" i="16"/>
  <c r="N2976" i="16"/>
  <c r="T3193" i="16"/>
  <c r="M3193" i="16"/>
  <c r="L3193" i="16"/>
  <c r="O3193" i="16"/>
  <c r="N3193" i="16"/>
  <c r="F3193" i="16"/>
  <c r="E3193" i="16"/>
  <c r="K3193" i="16"/>
  <c r="J3193" i="16"/>
  <c r="G3193" i="16"/>
  <c r="J4231" i="16"/>
  <c r="I4231" i="16"/>
  <c r="G4231" i="16"/>
  <c r="T4231" i="16"/>
  <c r="H4231" i="16"/>
  <c r="K4412" i="16"/>
  <c r="J4412" i="16"/>
  <c r="E4412" i="16"/>
  <c r="G4412" i="16"/>
  <c r="P4412" i="16"/>
  <c r="T4412" i="16"/>
  <c r="H4462" i="16"/>
  <c r="F4462" i="16"/>
  <c r="T4462" i="16"/>
  <c r="E4462" i="16"/>
  <c r="P4462" i="16"/>
  <c r="N4462" i="16"/>
  <c r="O4462" i="16"/>
  <c r="K4462" i="16"/>
  <c r="J4462" i="16"/>
  <c r="G4462" i="16"/>
  <c r="T4464" i="16"/>
  <c r="G4464" i="16"/>
  <c r="F4464" i="16"/>
  <c r="H4464" i="16"/>
  <c r="E4464" i="16"/>
  <c r="P4464" i="16"/>
  <c r="K4494" i="16"/>
  <c r="G4494" i="16"/>
  <c r="J4494" i="16"/>
  <c r="I4494" i="16"/>
  <c r="I4501" i="16"/>
  <c r="T4501" i="16"/>
  <c r="P4501" i="16"/>
  <c r="F4501" i="16"/>
  <c r="K4501" i="16"/>
  <c r="H4501" i="16"/>
  <c r="L4501" i="16"/>
  <c r="G4501" i="16"/>
  <c r="O4501" i="16"/>
  <c r="J4806" i="16"/>
  <c r="I4806" i="16"/>
  <c r="H4806" i="16"/>
  <c r="G4806" i="16"/>
  <c r="J4840" i="16"/>
  <c r="L4840" i="16"/>
  <c r="K4840" i="16"/>
  <c r="E4840" i="16"/>
  <c r="O4840" i="16"/>
  <c r="N4840" i="16"/>
  <c r="M4840" i="16"/>
  <c r="F4840" i="16"/>
  <c r="AG1841" i="17"/>
  <c r="Q1841" i="17"/>
  <c r="P1841" i="17"/>
  <c r="AH1841" i="17"/>
  <c r="Z1841" i="17"/>
  <c r="AN1841" i="17"/>
  <c r="R1841" i="17"/>
  <c r="AR1897" i="17"/>
  <c r="K1897" i="17"/>
  <c r="J1897" i="17"/>
  <c r="M14" i="15"/>
  <c r="L14" i="15"/>
  <c r="S21" i="15"/>
  <c r="G21" i="15"/>
  <c r="AA21" i="15"/>
  <c r="Z21" i="15"/>
  <c r="Z26" i="15"/>
  <c r="H26" i="15"/>
  <c r="Y26" i="15"/>
  <c r="G26" i="15"/>
  <c r="R38" i="15"/>
  <c r="K38" i="15"/>
  <c r="X46" i="15"/>
  <c r="N77" i="15"/>
  <c r="L77" i="15"/>
  <c r="W77" i="15"/>
  <c r="O77" i="15"/>
  <c r="U77" i="15"/>
  <c r="R86" i="15"/>
  <c r="AA86" i="15"/>
  <c r="Z127" i="15"/>
  <c r="Z157" i="15"/>
  <c r="U157" i="15"/>
  <c r="R157" i="15"/>
  <c r="AC157" i="15"/>
  <c r="O157" i="15"/>
  <c r="I161" i="15"/>
  <c r="AA161" i="15"/>
  <c r="J161" i="15"/>
  <c r="U173" i="15"/>
  <c r="R173" i="15"/>
  <c r="U190" i="15"/>
  <c r="U206" i="15"/>
  <c r="AA217" i="15"/>
  <c r="X227" i="15"/>
  <c r="H236" i="15"/>
  <c r="I236" i="15"/>
  <c r="AA237" i="15"/>
  <c r="AD237" i="15"/>
  <c r="O237" i="15"/>
  <c r="AC237" i="15"/>
  <c r="N237" i="15"/>
  <c r="U237" i="15"/>
  <c r="AH237" i="15"/>
  <c r="Q237" i="15"/>
  <c r="W237" i="15"/>
  <c r="V237" i="15"/>
  <c r="K237" i="15"/>
  <c r="U238" i="15"/>
  <c r="AC246" i="15"/>
  <c r="AA246" i="15"/>
  <c r="Z246" i="15"/>
  <c r="H246" i="15"/>
  <c r="T246" i="15"/>
  <c r="S257" i="15"/>
  <c r="U263" i="15"/>
  <c r="J263" i="15"/>
  <c r="V264" i="15"/>
  <c r="Y276" i="15"/>
  <c r="AC280" i="15"/>
  <c r="AC285" i="15"/>
  <c r="H298" i="15"/>
  <c r="G298" i="15"/>
  <c r="Z298" i="15"/>
  <c r="X298" i="15"/>
  <c r="AE302" i="15"/>
  <c r="O302" i="15"/>
  <c r="Z302" i="15"/>
  <c r="M302" i="15"/>
  <c r="AF302" i="15"/>
  <c r="H302" i="15"/>
  <c r="X302" i="15"/>
  <c r="W302" i="15"/>
  <c r="U302" i="15"/>
  <c r="P302" i="15"/>
  <c r="Z307" i="15"/>
  <c r="AF307" i="15"/>
  <c r="P307" i="15"/>
  <c r="AE307" i="15"/>
  <c r="O307" i="15"/>
  <c r="W307" i="15"/>
  <c r="U307" i="15"/>
  <c r="AH307" i="15"/>
  <c r="K307" i="15"/>
  <c r="AG307" i="15"/>
  <c r="G307" i="15"/>
  <c r="V307" i="15"/>
  <c r="AC311" i="15"/>
  <c r="Q315" i="15"/>
  <c r="H315" i="15"/>
  <c r="G315" i="15"/>
  <c r="Y315" i="15"/>
  <c r="X319" i="15"/>
  <c r="W322" i="15"/>
  <c r="Z339" i="15"/>
  <c r="AG339" i="15"/>
  <c r="U339" i="15"/>
  <c r="AF339" i="15"/>
  <c r="P339" i="15"/>
  <c r="X339" i="15"/>
  <c r="V339" i="15"/>
  <c r="W339" i="15"/>
  <c r="O339" i="15"/>
  <c r="N339" i="15"/>
  <c r="M339" i="15"/>
  <c r="T353" i="15"/>
  <c r="S353" i="15"/>
  <c r="I353" i="15"/>
  <c r="R353" i="15"/>
  <c r="J353" i="15"/>
  <c r="AB353" i="15"/>
  <c r="Y355" i="15"/>
  <c r="AA365" i="15"/>
  <c r="AD365" i="15"/>
  <c r="N365" i="15"/>
  <c r="AC365" i="15"/>
  <c r="M365" i="15"/>
  <c r="W365" i="15"/>
  <c r="U365" i="15"/>
  <c r="V365" i="15"/>
  <c r="T365" i="15"/>
  <c r="O365" i="15"/>
  <c r="L365" i="15"/>
  <c r="Y393" i="15"/>
  <c r="AB401" i="15"/>
  <c r="AA408" i="15"/>
  <c r="AE408" i="15"/>
  <c r="O408" i="15"/>
  <c r="AD408" i="15"/>
  <c r="N408" i="15"/>
  <c r="AC408" i="15"/>
  <c r="K408" i="15"/>
  <c r="W408" i="15"/>
  <c r="L408" i="15"/>
  <c r="AG408" i="15"/>
  <c r="AF408" i="15"/>
  <c r="U408" i="15"/>
  <c r="V420" i="15"/>
  <c r="AG420" i="15"/>
  <c r="Q420" i="15"/>
  <c r="Y420" i="15"/>
  <c r="G420" i="15"/>
  <c r="W420" i="15"/>
  <c r="X420" i="15"/>
  <c r="P420" i="15"/>
  <c r="O420" i="15"/>
  <c r="N420" i="15"/>
  <c r="W446" i="15"/>
  <c r="G446" i="15"/>
  <c r="AH446" i="15"/>
  <c r="U446" i="15"/>
  <c r="X446" i="15"/>
  <c r="P446" i="15"/>
  <c r="Z446" i="15"/>
  <c r="Y446" i="15"/>
  <c r="Q446" i="15"/>
  <c r="M446" i="15"/>
  <c r="X450" i="15"/>
  <c r="W462" i="15"/>
  <c r="Y468" i="15"/>
  <c r="W484" i="15"/>
  <c r="G484" i="15"/>
  <c r="V484" i="15"/>
  <c r="X484" i="15"/>
  <c r="P484" i="15"/>
  <c r="AF484" i="15"/>
  <c r="H484" i="15"/>
  <c r="AE484" i="15"/>
  <c r="AA484" i="15"/>
  <c r="O484" i="15"/>
  <c r="AG510" i="15"/>
  <c r="V515" i="15"/>
  <c r="AH521" i="15"/>
  <c r="R521" i="15"/>
  <c r="AG521" i="15"/>
  <c r="Q521" i="15"/>
  <c r="Z521" i="15"/>
  <c r="G521" i="15"/>
  <c r="W521" i="15"/>
  <c r="M521" i="15"/>
  <c r="I521" i="15"/>
  <c r="AE521" i="15"/>
  <c r="V521" i="15"/>
  <c r="V541" i="15"/>
  <c r="Z562" i="15"/>
  <c r="U562" i="15"/>
  <c r="AG562" i="15"/>
  <c r="T562" i="15"/>
  <c r="X562" i="15"/>
  <c r="S562" i="15"/>
  <c r="AB562" i="15"/>
  <c r="W562" i="15"/>
  <c r="O562" i="15"/>
  <c r="L562" i="15"/>
  <c r="AE594" i="15"/>
  <c r="AD596" i="15"/>
  <c r="P596" i="15"/>
  <c r="AA596" i="15"/>
  <c r="O596" i="15"/>
  <c r="X596" i="15"/>
  <c r="H596" i="15"/>
  <c r="V596" i="15"/>
  <c r="AF596" i="15"/>
  <c r="L596" i="15"/>
  <c r="AE596" i="15"/>
  <c r="G596" i="15"/>
  <c r="Y596" i="15"/>
  <c r="Q596" i="15"/>
  <c r="X611" i="15"/>
  <c r="AF623" i="15"/>
  <c r="AA630" i="15"/>
  <c r="AC630" i="15"/>
  <c r="T630" i="15"/>
  <c r="Q630" i="15"/>
  <c r="K630" i="15"/>
  <c r="AE632" i="15"/>
  <c r="AA637" i="15"/>
  <c r="V637" i="15"/>
  <c r="AH637" i="15"/>
  <c r="U637" i="15"/>
  <c r="W637" i="15"/>
  <c r="O637" i="15"/>
  <c r="AG637" i="15"/>
  <c r="L637" i="15"/>
  <c r="AE637" i="15"/>
  <c r="K637" i="15"/>
  <c r="AD637" i="15"/>
  <c r="T637" i="15"/>
  <c r="AE681" i="15"/>
  <c r="O681" i="15"/>
  <c r="AA681" i="15"/>
  <c r="N681" i="15"/>
  <c r="W681" i="15"/>
  <c r="R681" i="15"/>
  <c r="I681" i="15"/>
  <c r="AH681" i="15"/>
  <c r="G681" i="15"/>
  <c r="AG681" i="15"/>
  <c r="V681" i="15"/>
  <c r="O692" i="15"/>
  <c r="V697" i="15"/>
  <c r="AH697" i="15"/>
  <c r="R697" i="15"/>
  <c r="Y697" i="15"/>
  <c r="Q697" i="15"/>
  <c r="Z697" i="15"/>
  <c r="W697" i="15"/>
  <c r="O697" i="15"/>
  <c r="M697" i="15"/>
  <c r="M706" i="15"/>
  <c r="AH729" i="15"/>
  <c r="Z735" i="15"/>
  <c r="AF740" i="15"/>
  <c r="AC747" i="15"/>
  <c r="H747" i="15"/>
  <c r="AA747" i="15"/>
  <c r="G747" i="15"/>
  <c r="Z747" i="15"/>
  <c r="Y747" i="15"/>
  <c r="R747" i="15"/>
  <c r="Q747" i="15"/>
  <c r="AF756" i="15"/>
  <c r="N756" i="15"/>
  <c r="X756" i="15"/>
  <c r="V756" i="15"/>
  <c r="S758" i="15"/>
  <c r="V777" i="15"/>
  <c r="AA795" i="15"/>
  <c r="G795" i="15"/>
  <c r="Z795" i="15"/>
  <c r="Y795" i="15"/>
  <c r="Q795" i="15"/>
  <c r="AC795" i="15"/>
  <c r="R795" i="15"/>
  <c r="P795" i="15"/>
  <c r="T805" i="15"/>
  <c r="S805" i="15"/>
  <c r="AC805" i="15"/>
  <c r="U805" i="15"/>
  <c r="G805" i="15"/>
  <c r="AB805" i="15"/>
  <c r="AD817" i="15"/>
  <c r="Y817" i="15"/>
  <c r="W817" i="15"/>
  <c r="AB817" i="15"/>
  <c r="V817" i="15"/>
  <c r="AG817" i="15"/>
  <c r="AA817" i="15"/>
  <c r="Q817" i="15"/>
  <c r="N817" i="15"/>
  <c r="AC824" i="15"/>
  <c r="G824" i="15"/>
  <c r="AA824" i="15"/>
  <c r="AD824" i="15"/>
  <c r="S824" i="15"/>
  <c r="Y824" i="15"/>
  <c r="Q824" i="15"/>
  <c r="P824" i="15"/>
  <c r="AD841" i="15"/>
  <c r="Y841" i="15"/>
  <c r="W841" i="15"/>
  <c r="M841" i="15"/>
  <c r="AB841" i="15"/>
  <c r="L841" i="15"/>
  <c r="AG841" i="15"/>
  <c r="Q841" i="15"/>
  <c r="G845" i="15"/>
  <c r="I845" i="15"/>
  <c r="AD845" i="15"/>
  <c r="AC845" i="15"/>
  <c r="AB845" i="15"/>
  <c r="R867" i="15"/>
  <c r="Q867" i="15"/>
  <c r="Z867" i="15"/>
  <c r="P867" i="15"/>
  <c r="G867" i="15"/>
  <c r="Y867" i="15"/>
  <c r="AC891" i="15"/>
  <c r="AD905" i="15"/>
  <c r="Y905" i="15"/>
  <c r="L905" i="15"/>
  <c r="W905" i="15"/>
  <c r="G905" i="15"/>
  <c r="Q905" i="15"/>
  <c r="AG905" i="15"/>
  <c r="N905" i="15"/>
  <c r="M905" i="15"/>
  <c r="AC905" i="15"/>
  <c r="V905" i="15"/>
  <c r="AF911" i="15"/>
  <c r="X911" i="15"/>
  <c r="W911" i="15"/>
  <c r="M911" i="15"/>
  <c r="AH911" i="15"/>
  <c r="AA926" i="15"/>
  <c r="AC929" i="15"/>
  <c r="Q966" i="15"/>
  <c r="AC966" i="15"/>
  <c r="O966" i="15"/>
  <c r="AB966" i="15"/>
  <c r="G966" i="15"/>
  <c r="Z966" i="15"/>
  <c r="M966" i="15"/>
  <c r="I966" i="15"/>
  <c r="Y966" i="15"/>
  <c r="AD969" i="15"/>
  <c r="V969" i="15"/>
  <c r="Q969" i="15"/>
  <c r="AG969" i="15"/>
  <c r="L969" i="15"/>
  <c r="AA969" i="15"/>
  <c r="AB969" i="15"/>
  <c r="Y969" i="15"/>
  <c r="W969" i="15"/>
  <c r="O969" i="15"/>
  <c r="G997" i="15"/>
  <c r="I997" i="15"/>
  <c r="AC997" i="15"/>
  <c r="AF999" i="15"/>
  <c r="S999" i="15"/>
  <c r="M999" i="15"/>
  <c r="X999" i="15"/>
  <c r="Y1024" i="15"/>
  <c r="AD1073" i="15"/>
  <c r="V1073" i="15"/>
  <c r="Q1073" i="15"/>
  <c r="AA1073" i="15"/>
  <c r="W1073" i="15"/>
  <c r="L1073" i="15"/>
  <c r="AG1073" i="15"/>
  <c r="AB1073" i="15"/>
  <c r="O1073" i="15"/>
  <c r="AD1097" i="15"/>
  <c r="W1097" i="15"/>
  <c r="V1097" i="15"/>
  <c r="O1097" i="15"/>
  <c r="M1097" i="15"/>
  <c r="AG1097" i="15"/>
  <c r="AB1097" i="15"/>
  <c r="AA1097" i="15"/>
  <c r="Q1097" i="15"/>
  <c r="U1108" i="15"/>
  <c r="AF1108" i="15"/>
  <c r="AE1108" i="15"/>
  <c r="X1108" i="15"/>
  <c r="W1108" i="15"/>
  <c r="AC1142" i="15"/>
  <c r="O1151" i="15"/>
  <c r="Y1161" i="15"/>
  <c r="AF1161" i="15"/>
  <c r="U1161" i="15"/>
  <c r="H1161" i="15"/>
  <c r="AE1161" i="15"/>
  <c r="T1161" i="15"/>
  <c r="X1161" i="15"/>
  <c r="K1161" i="15"/>
  <c r="V1161" i="15"/>
  <c r="AA1161" i="15"/>
  <c r="W1161" i="15"/>
  <c r="Q1161" i="15"/>
  <c r="O1161" i="15"/>
  <c r="N1161" i="15"/>
  <c r="Y1164" i="15"/>
  <c r="AH1174" i="15"/>
  <c r="Y1174" i="15"/>
  <c r="T1174" i="15"/>
  <c r="AG1183" i="15"/>
  <c r="U1183" i="15"/>
  <c r="H1183" i="15"/>
  <c r="AF1183" i="15"/>
  <c r="S1183" i="15"/>
  <c r="G1183" i="15"/>
  <c r="Z1183" i="15"/>
  <c r="L1183" i="15"/>
  <c r="X1183" i="15"/>
  <c r="W1183" i="15"/>
  <c r="AB1183" i="15"/>
  <c r="Y1183" i="15"/>
  <c r="Q1183" i="15"/>
  <c r="P1183" i="15"/>
  <c r="O1183" i="15"/>
  <c r="S1186" i="15"/>
  <c r="Y1193" i="15"/>
  <c r="AE1193" i="15"/>
  <c r="T1193" i="15"/>
  <c r="G1193" i="15"/>
  <c r="AD1193" i="15"/>
  <c r="Q1193" i="15"/>
  <c r="V1193" i="15"/>
  <c r="AG1193" i="15"/>
  <c r="O1193" i="15"/>
  <c r="AF1193" i="15"/>
  <c r="N1193" i="15"/>
  <c r="K1193" i="15"/>
  <c r="AC1193" i="15"/>
  <c r="H1193" i="15"/>
  <c r="AA1193" i="15"/>
  <c r="X1193" i="15"/>
  <c r="U1193" i="15"/>
  <c r="AG1213" i="15"/>
  <c r="I1213" i="15"/>
  <c r="AE1213" i="15"/>
  <c r="H1213" i="15"/>
  <c r="U1213" i="15"/>
  <c r="S1213" i="15"/>
  <c r="Q1213" i="15"/>
  <c r="T1213" i="15"/>
  <c r="Z1214" i="15"/>
  <c r="AH1214" i="15"/>
  <c r="V1214" i="15"/>
  <c r="K1214" i="15"/>
  <c r="AG1214" i="15"/>
  <c r="U1214" i="15"/>
  <c r="I1214" i="15"/>
  <c r="Y1214" i="15"/>
  <c r="T1214" i="15"/>
  <c r="R1214" i="15"/>
  <c r="AD1214" i="15"/>
  <c r="AC1214" i="15"/>
  <c r="AA1214" i="15"/>
  <c r="W1214" i="15"/>
  <c r="N1214" i="15"/>
  <c r="W1255" i="15"/>
  <c r="R1264" i="15"/>
  <c r="AE1264" i="15"/>
  <c r="AD1264" i="15"/>
  <c r="Q1264" i="15"/>
  <c r="H1264" i="15"/>
  <c r="G1264" i="15"/>
  <c r="AH1264" i="15"/>
  <c r="AF1264" i="15"/>
  <c r="V1264" i="15"/>
  <c r="AE1272" i="15"/>
  <c r="AF1336" i="15"/>
  <c r="AH1341" i="15"/>
  <c r="AF1341" i="15"/>
  <c r="V1341" i="15"/>
  <c r="L1341" i="15"/>
  <c r="U1341" i="15"/>
  <c r="H1341" i="15"/>
  <c r="AE1341" i="15"/>
  <c r="T1341" i="15"/>
  <c r="G1341" i="15"/>
  <c r="W1341" i="15"/>
  <c r="P1341" i="15"/>
  <c r="AD1341" i="15"/>
  <c r="O1341" i="15"/>
  <c r="M1341" i="15"/>
  <c r="K1341" i="15"/>
  <c r="AC1341" i="15"/>
  <c r="AB1341" i="15"/>
  <c r="X1341" i="15"/>
  <c r="AF1388" i="15"/>
  <c r="X1388" i="15"/>
  <c r="Q1388" i="15"/>
  <c r="P1388" i="15"/>
  <c r="Z1388" i="15"/>
  <c r="V1388" i="15"/>
  <c r="O1388" i="15"/>
  <c r="J1388" i="15"/>
  <c r="H1388" i="15"/>
  <c r="AG1388" i="15"/>
  <c r="AH1446" i="15"/>
  <c r="R1476" i="15"/>
  <c r="AG1483" i="15"/>
  <c r="AH1483" i="15"/>
  <c r="Q1483" i="15"/>
  <c r="AA1483" i="15"/>
  <c r="I1483" i="15"/>
  <c r="R1483" i="15"/>
  <c r="P1483" i="15"/>
  <c r="T1483" i="15"/>
  <c r="K1483" i="15"/>
  <c r="H1483" i="15"/>
  <c r="Y1483" i="15"/>
  <c r="L1483" i="15"/>
  <c r="AH1545" i="15"/>
  <c r="AD1545" i="15"/>
  <c r="T1545" i="15"/>
  <c r="H1545" i="15"/>
  <c r="V1545" i="15"/>
  <c r="K1545" i="15"/>
  <c r="AE1545" i="15"/>
  <c r="S1545" i="15"/>
  <c r="X1545" i="15"/>
  <c r="G1545" i="15"/>
  <c r="W1545" i="15"/>
  <c r="AF1545" i="15"/>
  <c r="M1545" i="15"/>
  <c r="AB1545" i="15"/>
  <c r="AA1545" i="15"/>
  <c r="AC1545" i="15"/>
  <c r="U1545" i="15"/>
  <c r="AH1752" i="15"/>
  <c r="P1752" i="15"/>
  <c r="W1752" i="15"/>
  <c r="Q1752" i="15"/>
  <c r="AF1752" i="15"/>
  <c r="Z1752" i="15"/>
  <c r="X1752" i="15"/>
  <c r="H1752" i="15"/>
  <c r="AG1752" i="15"/>
  <c r="AH1794" i="15"/>
  <c r="AC1794" i="15"/>
  <c r="O1794" i="15"/>
  <c r="AB1794" i="15"/>
  <c r="M1794" i="15"/>
  <c r="W1794" i="15"/>
  <c r="K1794" i="15"/>
  <c r="V1794" i="15"/>
  <c r="U1794" i="15"/>
  <c r="T1794" i="15"/>
  <c r="AD1794" i="15"/>
  <c r="AA1794" i="15"/>
  <c r="AE1794" i="15"/>
  <c r="S1794" i="15"/>
  <c r="AG1894" i="15"/>
  <c r="Z1894" i="15"/>
  <c r="P1894" i="15"/>
  <c r="G1894" i="15"/>
  <c r="AD1894" i="15"/>
  <c r="T1894" i="15"/>
  <c r="J1894" i="15"/>
  <c r="AB1894" i="15"/>
  <c r="R1894" i="15"/>
  <c r="V1894" i="15"/>
  <c r="H1894" i="15"/>
  <c r="AH1894" i="15"/>
  <c r="U1894" i="15"/>
  <c r="AF1894" i="15"/>
  <c r="S1894" i="15"/>
  <c r="X1894" i="15"/>
  <c r="O1894" i="15"/>
  <c r="N1894" i="15"/>
  <c r="AE1894" i="15"/>
  <c r="AC1894" i="15"/>
  <c r="AA1894" i="15"/>
  <c r="W1894" i="15"/>
  <c r="J207" i="16"/>
  <c r="L207" i="16"/>
  <c r="K207" i="16"/>
  <c r="E454" i="16"/>
  <c r="P454" i="16" s="1"/>
  <c r="G454" i="16"/>
  <c r="F454" i="16"/>
  <c r="G507" i="16"/>
  <c r="I507" i="16"/>
  <c r="H507" i="16"/>
  <c r="G558" i="16"/>
  <c r="M558" i="16"/>
  <c r="L558" i="16"/>
  <c r="I584" i="16"/>
  <c r="E584" i="16"/>
  <c r="K584" i="16"/>
  <c r="J584" i="16"/>
  <c r="K607" i="16"/>
  <c r="E607" i="16"/>
  <c r="I607" i="9" s="1"/>
  <c r="J607" i="16"/>
  <c r="F646" i="16"/>
  <c r="G646" i="16"/>
  <c r="E646" i="16"/>
  <c r="I1456" i="16"/>
  <c r="K1456" i="16"/>
  <c r="E1456" i="16"/>
  <c r="J1456" i="16"/>
  <c r="J1895" i="16"/>
  <c r="G1895" i="16"/>
  <c r="T1895" i="16"/>
  <c r="F1895" i="16"/>
  <c r="P1895" i="16"/>
  <c r="E1895" i="16"/>
  <c r="L1895" i="16"/>
  <c r="H1895" i="16"/>
  <c r="M1895" i="16"/>
  <c r="N1895" i="16"/>
  <c r="O1895" i="16"/>
  <c r="L2125" i="16"/>
  <c r="H2125" i="16"/>
  <c r="G2125" i="16"/>
  <c r="T2125" i="16"/>
  <c r="P2125" i="16"/>
  <c r="E2125" i="16"/>
  <c r="M2125" i="16"/>
  <c r="F2125" i="16"/>
  <c r="O2125" i="16"/>
  <c r="N2125" i="16"/>
  <c r="H2130" i="16"/>
  <c r="F2130" i="16"/>
  <c r="I2130" i="16"/>
  <c r="J2130" i="16"/>
  <c r="M2285" i="16"/>
  <c r="T2285" i="16"/>
  <c r="O51" i="15"/>
  <c r="AE51" i="15"/>
  <c r="O51" i="7" s="1"/>
  <c r="Y51" i="15"/>
  <c r="Y133" i="15"/>
  <c r="AA133" i="15"/>
  <c r="I133" i="15"/>
  <c r="Z190" i="15"/>
  <c r="U204" i="15"/>
  <c r="W238" i="15"/>
  <c r="AD1388" i="15"/>
  <c r="AE1409" i="15"/>
  <c r="AF1483" i="15"/>
  <c r="W1500" i="15"/>
  <c r="AF1500" i="15"/>
  <c r="H1500" i="15"/>
  <c r="X1500" i="15"/>
  <c r="R1500" i="15"/>
  <c r="AH1500" i="15"/>
  <c r="AE1500" i="15"/>
  <c r="V1500" i="15"/>
  <c r="O1545" i="15"/>
  <c r="AH1727" i="15"/>
  <c r="AB1727" i="15"/>
  <c r="Q1727" i="15"/>
  <c r="R1752" i="15"/>
  <c r="N1794" i="15"/>
  <c r="M1894" i="15"/>
  <c r="M399" i="16"/>
  <c r="L399" i="16"/>
  <c r="J399" i="16"/>
  <c r="H635" i="16"/>
  <c r="I635" i="16"/>
  <c r="G635" i="16"/>
  <c r="H651" i="16"/>
  <c r="I651" i="16"/>
  <c r="G651" i="16"/>
  <c r="O651" i="16"/>
  <c r="G1604" i="16"/>
  <c r="J1604" i="16"/>
  <c r="H1604" i="16"/>
  <c r="I1604" i="16"/>
  <c r="P1651" i="16"/>
  <c r="M1651" i="16"/>
  <c r="O1651" i="16"/>
  <c r="G1651" i="16"/>
  <c r="E1651" i="16"/>
  <c r="L1651" i="16"/>
  <c r="I1651" i="16"/>
  <c r="H1651" i="16"/>
  <c r="T1651" i="16"/>
  <c r="O34" i="15"/>
  <c r="AC34" i="15"/>
  <c r="W34" i="15"/>
  <c r="Q34" i="15"/>
  <c r="L34" i="15"/>
  <c r="Z38" i="15"/>
  <c r="N47" i="15"/>
  <c r="H47" i="15"/>
  <c r="X51" i="15"/>
  <c r="V77" i="15"/>
  <c r="V157" i="15"/>
  <c r="M185" i="15"/>
  <c r="AC199" i="15"/>
  <c r="AA199" i="15"/>
  <c r="U199" i="15"/>
  <c r="R199" i="15"/>
  <c r="AC219" i="15"/>
  <c r="G219" i="15"/>
  <c r="H219" i="15"/>
  <c r="R219" i="15"/>
  <c r="Q223" i="15"/>
  <c r="AH223" i="15"/>
  <c r="P223" i="15"/>
  <c r="Z223" i="15"/>
  <c r="X223" i="15"/>
  <c r="Y223" i="15"/>
  <c r="W223" i="15"/>
  <c r="AF227" i="15"/>
  <c r="L237" i="15"/>
  <c r="U257" i="15"/>
  <c r="X264" i="15"/>
  <c r="AD273" i="15"/>
  <c r="I273" i="15"/>
  <c r="AB273" i="15"/>
  <c r="J273" i="15"/>
  <c r="T273" i="15"/>
  <c r="AF276" i="15"/>
  <c r="AF280" i="15"/>
  <c r="AD285" i="15"/>
  <c r="Y298" i="15"/>
  <c r="AB300" i="15"/>
  <c r="AA300" i="15"/>
  <c r="I300" i="15"/>
  <c r="Q302" i="15"/>
  <c r="X307" i="15"/>
  <c r="AB321" i="15"/>
  <c r="J321" i="15"/>
  <c r="AB322" i="15"/>
  <c r="Y330" i="15"/>
  <c r="G330" i="15"/>
  <c r="Z330" i="15"/>
  <c r="Y339" i="15"/>
  <c r="AD355" i="15"/>
  <c r="Y365" i="15"/>
  <c r="Y367" i="15"/>
  <c r="G367" i="15"/>
  <c r="X367" i="15"/>
  <c r="P367" i="15"/>
  <c r="AH367" i="15"/>
  <c r="N367" i="15"/>
  <c r="AG367" i="15"/>
  <c r="AF367" i="15"/>
  <c r="Z367" i="15"/>
  <c r="Q367" i="15"/>
  <c r="AC369" i="15"/>
  <c r="AB369" i="15"/>
  <c r="J369" i="15"/>
  <c r="AB384" i="15"/>
  <c r="I384" i="15"/>
  <c r="V408" i="15"/>
  <c r="AA420" i="15"/>
  <c r="AA424" i="15"/>
  <c r="AG424" i="15"/>
  <c r="U424" i="15"/>
  <c r="AF424" i="15"/>
  <c r="T424" i="15"/>
  <c r="W424" i="15"/>
  <c r="O424" i="15"/>
  <c r="AE424" i="15"/>
  <c r="K424" i="15"/>
  <c r="AD424" i="15"/>
  <c r="AC424" i="15"/>
  <c r="N424" i="15"/>
  <c r="O446" i="15"/>
  <c r="AB450" i="15"/>
  <c r="AH462" i="15"/>
  <c r="AG468" i="15"/>
  <c r="Q484" i="15"/>
  <c r="AH510" i="15"/>
  <c r="AA512" i="15"/>
  <c r="X515" i="15"/>
  <c r="Y521" i="15"/>
  <c r="Y541" i="15"/>
  <c r="AE547" i="15"/>
  <c r="S547" i="15"/>
  <c r="H547" i="15"/>
  <c r="AD547" i="15"/>
  <c r="Q547" i="15"/>
  <c r="G547" i="15"/>
  <c r="Z547" i="15"/>
  <c r="N547" i="15"/>
  <c r="X547" i="15"/>
  <c r="K547" i="15"/>
  <c r="V547" i="15"/>
  <c r="U547" i="15"/>
  <c r="P547" i="15"/>
  <c r="O547" i="15"/>
  <c r="Q550" i="15"/>
  <c r="I550" i="15"/>
  <c r="H550" i="15"/>
  <c r="AA550" i="15"/>
  <c r="M562" i="15"/>
  <c r="W575" i="15"/>
  <c r="Q575" i="15"/>
  <c r="Z575" i="15"/>
  <c r="X575" i="15"/>
  <c r="AH575" i="15"/>
  <c r="G575" i="15"/>
  <c r="AG575" i="15"/>
  <c r="AF575" i="15"/>
  <c r="O575" i="15"/>
  <c r="AH587" i="15"/>
  <c r="G587" i="15"/>
  <c r="Z587" i="15"/>
  <c r="S587" i="15"/>
  <c r="P587" i="15"/>
  <c r="H587" i="15"/>
  <c r="Y587" i="15"/>
  <c r="AF594" i="15"/>
  <c r="U596" i="15"/>
  <c r="AE612" i="15"/>
  <c r="Q612" i="15"/>
  <c r="AD612" i="15"/>
  <c r="P612" i="15"/>
  <c r="V612" i="15"/>
  <c r="AG612" i="15"/>
  <c r="O612" i="15"/>
  <c r="AA612" i="15"/>
  <c r="H612" i="15"/>
  <c r="Y612" i="15"/>
  <c r="G612" i="15"/>
  <c r="X612" i="15"/>
  <c r="N612" i="15"/>
  <c r="Y637" i="15"/>
  <c r="AE654" i="15"/>
  <c r="O654" i="15"/>
  <c r="Z654" i="15"/>
  <c r="M654" i="15"/>
  <c r="AF654" i="15"/>
  <c r="H654" i="15"/>
  <c r="X654" i="15"/>
  <c r="W654" i="15"/>
  <c r="U654" i="15"/>
  <c r="Q654" i="15"/>
  <c r="P654" i="15"/>
  <c r="Z658" i="15"/>
  <c r="W658" i="15"/>
  <c r="J658" i="15"/>
  <c r="U658" i="15"/>
  <c r="G658" i="15"/>
  <c r="X658" i="15"/>
  <c r="S658" i="15"/>
  <c r="AE658" i="15"/>
  <c r="AC658" i="15"/>
  <c r="AB658" i="15"/>
  <c r="M658" i="15"/>
  <c r="AH666" i="15"/>
  <c r="Z666" i="15"/>
  <c r="Y666" i="15"/>
  <c r="G666" i="15"/>
  <c r="X666" i="15"/>
  <c r="Y681" i="15"/>
  <c r="AE692" i="15"/>
  <c r="N697" i="15"/>
  <c r="AC706" i="15"/>
  <c r="S731" i="15"/>
  <c r="AF735" i="15"/>
  <c r="AG740" i="15"/>
  <c r="AD805" i="15"/>
  <c r="O817" i="15"/>
  <c r="AD833" i="15"/>
  <c r="Y833" i="15"/>
  <c r="W833" i="15"/>
  <c r="V833" i="15"/>
  <c r="O833" i="15"/>
  <c r="L833" i="15"/>
  <c r="AG833" i="15"/>
  <c r="Q833" i="15"/>
  <c r="V841" i="15"/>
  <c r="AA867" i="15"/>
  <c r="S870" i="15"/>
  <c r="R870" i="15"/>
  <c r="AB870" i="15"/>
  <c r="G870" i="15"/>
  <c r="Z870" i="15"/>
  <c r="AC870" i="15"/>
  <c r="AA870" i="15"/>
  <c r="Y870" i="15"/>
  <c r="O870" i="15"/>
  <c r="AA905" i="15"/>
  <c r="AC912" i="15"/>
  <c r="G912" i="15"/>
  <c r="AA912" i="15"/>
  <c r="AD912" i="15"/>
  <c r="S912" i="15"/>
  <c r="Y912" i="15"/>
  <c r="P912" i="15"/>
  <c r="S936" i="15"/>
  <c r="Q936" i="15"/>
  <c r="AC936" i="15"/>
  <c r="Y936" i="15"/>
  <c r="H936" i="15"/>
  <c r="G936" i="15"/>
  <c r="AA936" i="15"/>
  <c r="AA966" i="15"/>
  <c r="S978" i="15"/>
  <c r="AE978" i="15"/>
  <c r="J978" i="15"/>
  <c r="AC978" i="15"/>
  <c r="J991" i="15"/>
  <c r="I991" i="15"/>
  <c r="AE991" i="15"/>
  <c r="W991" i="15"/>
  <c r="U991" i="15"/>
  <c r="AD997" i="15"/>
  <c r="AH999" i="15"/>
  <c r="AD1017" i="15"/>
  <c r="S1017" i="15"/>
  <c r="AG1017" i="15"/>
  <c r="Q1017" i="15"/>
  <c r="O1017" i="15"/>
  <c r="AC1017" i="15"/>
  <c r="M1017" i="15"/>
  <c r="AB1017" i="15"/>
  <c r="G1017" i="15"/>
  <c r="AA1017" i="15"/>
  <c r="Y1017" i="15"/>
  <c r="W1017" i="15"/>
  <c r="N1017" i="15"/>
  <c r="AE1042" i="15"/>
  <c r="S1042" i="15"/>
  <c r="L1042" i="15"/>
  <c r="AH1042" i="15"/>
  <c r="U1042" i="15"/>
  <c r="R1043" i="15"/>
  <c r="Q1043" i="15"/>
  <c r="H1043" i="15"/>
  <c r="AC1043" i="15"/>
  <c r="AA1043" i="15"/>
  <c r="Z1043" i="15"/>
  <c r="Y1043" i="15"/>
  <c r="P1043" i="15"/>
  <c r="Q1048" i="15"/>
  <c r="P1048" i="15"/>
  <c r="AC1048" i="15"/>
  <c r="Y1048" i="15"/>
  <c r="H1048" i="15"/>
  <c r="G1048" i="15"/>
  <c r="AA1048" i="15"/>
  <c r="Y1073" i="15"/>
  <c r="Y1080" i="15"/>
  <c r="S1080" i="15"/>
  <c r="AC1080" i="15"/>
  <c r="Q1080" i="15"/>
  <c r="AD1080" i="15"/>
  <c r="AA1080" i="15"/>
  <c r="P1080" i="15"/>
  <c r="O1080" i="15"/>
  <c r="S1088" i="15"/>
  <c r="Q1088" i="15"/>
  <c r="AA1088" i="15"/>
  <c r="P1088" i="15"/>
  <c r="G1088" i="15"/>
  <c r="AD1088" i="15"/>
  <c r="Y1088" i="15"/>
  <c r="Y1097" i="15"/>
  <c r="AF1151" i="15"/>
  <c r="AE1158" i="15"/>
  <c r="G1158" i="15"/>
  <c r="AC1158" i="15"/>
  <c r="AB1158" i="15"/>
  <c r="Q1158" i="15"/>
  <c r="I1158" i="15"/>
  <c r="T1158" i="15"/>
  <c r="AC1161" i="15"/>
  <c r="V1174" i="15"/>
  <c r="AE1183" i="15"/>
  <c r="W1193" i="15"/>
  <c r="AG1211" i="15"/>
  <c r="H1211" i="15"/>
  <c r="G1211" i="15"/>
  <c r="O1214" i="15"/>
  <c r="AH1249" i="15"/>
  <c r="AC1249" i="15"/>
  <c r="S1249" i="15"/>
  <c r="G1249" i="15"/>
  <c r="AF1249" i="15"/>
  <c r="U1249" i="15"/>
  <c r="H1249" i="15"/>
  <c r="AE1249" i="15"/>
  <c r="T1249" i="15"/>
  <c r="X1249" i="15"/>
  <c r="K1249" i="15"/>
  <c r="V1249" i="15"/>
  <c r="P1249" i="15"/>
  <c r="AB1249" i="15"/>
  <c r="AA1249" i="15"/>
  <c r="W1249" i="15"/>
  <c r="O1249" i="15"/>
  <c r="N1249" i="15"/>
  <c r="AG1306" i="15"/>
  <c r="M1306" i="15"/>
  <c r="AD1306" i="15"/>
  <c r="H1320" i="15"/>
  <c r="G1320" i="15"/>
  <c r="AH1320" i="15"/>
  <c r="AF1320" i="15"/>
  <c r="V1320" i="15"/>
  <c r="U1320" i="15"/>
  <c r="X1320" i="15"/>
  <c r="AA1341" i="15"/>
  <c r="K1359" i="15"/>
  <c r="J1359" i="15"/>
  <c r="AA1359" i="15"/>
  <c r="W1360" i="15"/>
  <c r="Y1360" i="15"/>
  <c r="R1360" i="15"/>
  <c r="AG1374" i="15"/>
  <c r="AA1374" i="15"/>
  <c r="M1374" i="15"/>
  <c r="U1374" i="15"/>
  <c r="T1374" i="15"/>
  <c r="AC1374" i="15"/>
  <c r="K1374" i="15"/>
  <c r="Z1374" i="15"/>
  <c r="V1374" i="15"/>
  <c r="L1374" i="15"/>
  <c r="J1374" i="15"/>
  <c r="AH1374" i="15"/>
  <c r="AD1374" i="15"/>
  <c r="S1374" i="15"/>
  <c r="AE1388" i="15"/>
  <c r="AH1405" i="15"/>
  <c r="W1405" i="15"/>
  <c r="M1405" i="15"/>
  <c r="AD1405" i="15"/>
  <c r="S1405" i="15"/>
  <c r="AE1405" i="15"/>
  <c r="P1405" i="15"/>
  <c r="AC1405" i="15"/>
  <c r="O1405" i="15"/>
  <c r="V1405" i="15"/>
  <c r="T1405" i="15"/>
  <c r="N1405" i="15"/>
  <c r="H1405" i="15"/>
  <c r="AF1405" i="15"/>
  <c r="G1405" i="15"/>
  <c r="AB1405" i="15"/>
  <c r="AA1405" i="15"/>
  <c r="U1405" i="15"/>
  <c r="T1435" i="15"/>
  <c r="X1435" i="15"/>
  <c r="H1435" i="15"/>
  <c r="AH1435" i="15"/>
  <c r="Y1435" i="15"/>
  <c r="S1435" i="15"/>
  <c r="AG1500" i="15"/>
  <c r="P1545" i="15"/>
  <c r="AH1674" i="15"/>
  <c r="AB1674" i="15"/>
  <c r="N1674" i="15"/>
  <c r="U1674" i="15"/>
  <c r="AE1674" i="15"/>
  <c r="S1674" i="15"/>
  <c r="W1674" i="15"/>
  <c r="V1674" i="15"/>
  <c r="AA1674" i="15"/>
  <c r="O1674" i="15"/>
  <c r="M1674" i="15"/>
  <c r="K1674" i="15"/>
  <c r="G1674" i="15"/>
  <c r="AC1674" i="15"/>
  <c r="I1772" i="15"/>
  <c r="AE1772" i="15"/>
  <c r="H1772" i="15"/>
  <c r="Z1772" i="15"/>
  <c r="X1772" i="15"/>
  <c r="P1772" i="15"/>
  <c r="AB1789" i="15"/>
  <c r="X1789" i="15"/>
  <c r="H1789" i="15"/>
  <c r="W1789" i="15"/>
  <c r="U1789" i="15"/>
  <c r="AC1789" i="15"/>
  <c r="V1789" i="15"/>
  <c r="P1789" i="15"/>
  <c r="O1789" i="15"/>
  <c r="M1789" i="15"/>
  <c r="G1789" i="15"/>
  <c r="N1789" i="15"/>
  <c r="AF1789" i="15"/>
  <c r="R1840" i="15"/>
  <c r="W1840" i="15"/>
  <c r="P1840" i="15"/>
  <c r="AE1840" i="15"/>
  <c r="X1840" i="15"/>
  <c r="Q1840" i="15"/>
  <c r="AH1840" i="15"/>
  <c r="AG1840" i="15"/>
  <c r="O1840" i="15"/>
  <c r="AG1906" i="15"/>
  <c r="AE1906" i="15"/>
  <c r="V1906" i="15"/>
  <c r="M1906" i="15"/>
  <c r="AF1906" i="15"/>
  <c r="U1906" i="15"/>
  <c r="K1906" i="15"/>
  <c r="AC1906" i="15"/>
  <c r="S1906" i="15"/>
  <c r="H1906" i="15"/>
  <c r="X1906" i="15"/>
  <c r="J1906" i="15"/>
  <c r="W1906" i="15"/>
  <c r="G1906" i="15"/>
  <c r="T1906" i="15"/>
  <c r="AD1906" i="15"/>
  <c r="L1906" i="15"/>
  <c r="AA1906" i="15"/>
  <c r="Z1906" i="15"/>
  <c r="O1906" i="15"/>
  <c r="N1906" i="15"/>
  <c r="AB1906" i="15"/>
  <c r="AH1919" i="15"/>
  <c r="J1919" i="15"/>
  <c r="Z1919" i="15"/>
  <c r="T1919" i="15"/>
  <c r="AG1919" i="15"/>
  <c r="Y1919" i="15"/>
  <c r="S1919" i="15"/>
  <c r="R1919" i="15"/>
  <c r="AG1942" i="15"/>
  <c r="AA1942" i="15"/>
  <c r="R1942" i="15"/>
  <c r="H1942" i="15"/>
  <c r="X1942" i="15"/>
  <c r="N1942" i="15"/>
  <c r="AF1942" i="15"/>
  <c r="V1942" i="15"/>
  <c r="L1942" i="15"/>
  <c r="AE1942" i="15"/>
  <c r="S1942" i="15"/>
  <c r="AD1942" i="15"/>
  <c r="P1942" i="15"/>
  <c r="AC1942" i="15"/>
  <c r="O1942" i="15"/>
  <c r="AB1942" i="15"/>
  <c r="M1942" i="15"/>
  <c r="Z1942" i="15"/>
  <c r="U1942" i="15"/>
  <c r="T1942" i="15"/>
  <c r="AH1942" i="15"/>
  <c r="W1942" i="15"/>
  <c r="K1942" i="15"/>
  <c r="K66" i="16"/>
  <c r="J66" i="16"/>
  <c r="M66" i="16"/>
  <c r="L66" i="16"/>
  <c r="H66" i="16"/>
  <c r="K178" i="16"/>
  <c r="G178" i="16"/>
  <c r="J182" i="16"/>
  <c r="E182" i="16"/>
  <c r="F182" i="16" s="1"/>
  <c r="G182" i="16"/>
  <c r="K182" i="16"/>
  <c r="G269" i="16"/>
  <c r="O269" i="16" s="1"/>
  <c r="M269" i="16"/>
  <c r="L269" i="16"/>
  <c r="H269" i="16"/>
  <c r="T279" i="16"/>
  <c r="F279" i="16"/>
  <c r="E279" i="16"/>
  <c r="K279" i="16"/>
  <c r="J279" i="16"/>
  <c r="M279" i="16"/>
  <c r="I1371" i="16"/>
  <c r="H1371" i="16"/>
  <c r="G1371" i="16"/>
  <c r="F1371" i="16"/>
  <c r="T1371" i="16"/>
  <c r="P1371" i="16"/>
  <c r="K1413" i="16"/>
  <c r="F1413" i="16"/>
  <c r="H1413" i="16"/>
  <c r="O1413" i="16"/>
  <c r="M1413" i="16"/>
  <c r="L1413" i="16"/>
  <c r="G1413" i="16"/>
  <c r="E1413" i="16"/>
  <c r="P1413" i="16"/>
  <c r="N1413" i="16"/>
  <c r="J1575" i="16"/>
  <c r="H1575" i="16"/>
  <c r="N1575" i="16"/>
  <c r="F1575" i="16"/>
  <c r="T1575" i="16"/>
  <c r="G1575" i="16"/>
  <c r="E1575" i="16"/>
  <c r="P1575" i="16"/>
  <c r="O1575" i="16"/>
  <c r="M1575" i="16"/>
  <c r="L1575" i="16"/>
  <c r="G1668" i="16"/>
  <c r="T1668" i="16"/>
  <c r="J1668" i="16"/>
  <c r="I1668" i="16"/>
  <c r="H1668" i="16"/>
  <c r="I1721" i="16"/>
  <c r="O1721" i="16"/>
  <c r="J1721" i="16"/>
  <c r="G1721" i="16"/>
  <c r="F1721" i="16"/>
  <c r="T1721" i="16"/>
  <c r="Y30" i="15"/>
  <c r="W30" i="15"/>
  <c r="U30" i="15"/>
  <c r="P30" i="15"/>
  <c r="L30" i="15"/>
  <c r="X30" i="15"/>
  <c r="S30" i="15"/>
  <c r="Q30" i="15"/>
  <c r="O31" i="15"/>
  <c r="AB33" i="15"/>
  <c r="R33" i="15"/>
  <c r="M36" i="15"/>
  <c r="P36" i="15"/>
  <c r="AA70" i="15"/>
  <c r="I139" i="15"/>
  <c r="AA139" i="15"/>
  <c r="W157" i="15"/>
  <c r="I160" i="15"/>
  <c r="AB160" i="15"/>
  <c r="N185" i="15"/>
  <c r="AH190" i="15"/>
  <c r="P192" i="15"/>
  <c r="X196" i="15"/>
  <c r="H196" i="15"/>
  <c r="W196" i="15"/>
  <c r="G196" i="15"/>
  <c r="AA196" i="15"/>
  <c r="V196" i="15"/>
  <c r="AF196" i="15"/>
  <c r="AE196" i="15"/>
  <c r="O196" i="15"/>
  <c r="AH206" i="15"/>
  <c r="AB209" i="15"/>
  <c r="AD209" i="15"/>
  <c r="T209" i="15"/>
  <c r="R209" i="15"/>
  <c r="U209" i="15"/>
  <c r="AB220" i="15"/>
  <c r="U220" i="15"/>
  <c r="T220" i="15"/>
  <c r="AD220" i="15"/>
  <c r="S220" i="15"/>
  <c r="O223" i="15"/>
  <c r="M237" i="15"/>
  <c r="AE238" i="15"/>
  <c r="Q255" i="15"/>
  <c r="AH255" i="15"/>
  <c r="P255" i="15"/>
  <c r="AF255" i="15"/>
  <c r="G255" i="15"/>
  <c r="Y255" i="15"/>
  <c r="Z255" i="15"/>
  <c r="X255" i="15"/>
  <c r="O255" i="15"/>
  <c r="AC264" i="15"/>
  <c r="I267" i="15"/>
  <c r="H268" i="15"/>
  <c r="U273" i="15"/>
  <c r="AG280" i="15"/>
  <c r="H287" i="15"/>
  <c r="X292" i="15"/>
  <c r="H292" i="15"/>
  <c r="W292" i="15"/>
  <c r="G292" i="15"/>
  <c r="AE292" i="15"/>
  <c r="M292" i="15"/>
  <c r="Y292" i="15"/>
  <c r="N292" i="15"/>
  <c r="AG292" i="15"/>
  <c r="Q292" i="15"/>
  <c r="Y302" i="15"/>
  <c r="Y307" i="15"/>
  <c r="AC322" i="15"/>
  <c r="N328" i="15"/>
  <c r="AD339" i="15"/>
  <c r="AE365" i="15"/>
  <c r="W367" i="15"/>
  <c r="J371" i="15"/>
  <c r="AA376" i="15"/>
  <c r="AG376" i="15"/>
  <c r="U376" i="15"/>
  <c r="AF376" i="15"/>
  <c r="T376" i="15"/>
  <c r="N376" i="15"/>
  <c r="AD376" i="15"/>
  <c r="L376" i="15"/>
  <c r="AE376" i="15"/>
  <c r="AC376" i="15"/>
  <c r="X376" i="15"/>
  <c r="O376" i="15"/>
  <c r="M387" i="15"/>
  <c r="J395" i="15"/>
  <c r="X408" i="15"/>
  <c r="AE420" i="15"/>
  <c r="V424" i="15"/>
  <c r="M425" i="15"/>
  <c r="Z427" i="15"/>
  <c r="AH427" i="15"/>
  <c r="AC427" i="15"/>
  <c r="J427" i="15"/>
  <c r="R427" i="15"/>
  <c r="AA428" i="15"/>
  <c r="K429" i="15"/>
  <c r="K445" i="15"/>
  <c r="AE446" i="15"/>
  <c r="AA453" i="15"/>
  <c r="Y463" i="15"/>
  <c r="G463" i="15"/>
  <c r="X463" i="15"/>
  <c r="W463" i="15"/>
  <c r="P463" i="15"/>
  <c r="H463" i="15"/>
  <c r="AH463" i="15"/>
  <c r="AG463" i="15"/>
  <c r="Q463" i="15"/>
  <c r="AH469" i="15"/>
  <c r="G469" i="15"/>
  <c r="I469" i="15"/>
  <c r="Z469" i="15"/>
  <c r="H470" i="15"/>
  <c r="N483" i="15"/>
  <c r="Y484" i="15"/>
  <c r="AH505" i="15"/>
  <c r="R505" i="15"/>
  <c r="AG505" i="15"/>
  <c r="Q505" i="15"/>
  <c r="V505" i="15"/>
  <c r="N505" i="15"/>
  <c r="Y505" i="15"/>
  <c r="W505" i="15"/>
  <c r="O505" i="15"/>
  <c r="M505" i="15"/>
  <c r="S507" i="15"/>
  <c r="AD513" i="15"/>
  <c r="AB513" i="15"/>
  <c r="AA513" i="15"/>
  <c r="T513" i="15"/>
  <c r="AH515" i="15"/>
  <c r="AA521" i="15"/>
  <c r="X542" i="15"/>
  <c r="H542" i="15"/>
  <c r="W542" i="15"/>
  <c r="G542" i="15"/>
  <c r="U542" i="15"/>
  <c r="AH542" i="15"/>
  <c r="P542" i="15"/>
  <c r="M542" i="15"/>
  <c r="AG542" i="15"/>
  <c r="L542" i="15"/>
  <c r="AF542" i="15"/>
  <c r="Y542" i="15"/>
  <c r="W547" i="15"/>
  <c r="AA551" i="15"/>
  <c r="V551" i="15"/>
  <c r="AE551" i="15"/>
  <c r="U551" i="15"/>
  <c r="AC551" i="15"/>
  <c r="M551" i="15"/>
  <c r="AC562" i="15"/>
  <c r="P575" i="15"/>
  <c r="W596" i="15"/>
  <c r="AB597" i="15"/>
  <c r="U612" i="15"/>
  <c r="AC637" i="15"/>
  <c r="Y654" i="15"/>
  <c r="O658" i="15"/>
  <c r="I661" i="15"/>
  <c r="Z667" i="15"/>
  <c r="AH667" i="15"/>
  <c r="H667" i="15"/>
  <c r="AC667" i="15"/>
  <c r="G667" i="15"/>
  <c r="Y667" i="15"/>
  <c r="R667" i="15"/>
  <c r="Q667" i="15"/>
  <c r="Z681" i="15"/>
  <c r="Q693" i="15"/>
  <c r="I693" i="15"/>
  <c r="G693" i="15"/>
  <c r="J693" i="15"/>
  <c r="Y693" i="15"/>
  <c r="Z694" i="15"/>
  <c r="T694" i="15"/>
  <c r="AA694" i="15"/>
  <c r="R694" i="15"/>
  <c r="R695" i="15"/>
  <c r="AA697" i="15"/>
  <c r="X702" i="15"/>
  <c r="H702" i="15"/>
  <c r="W702" i="15"/>
  <c r="G702" i="15"/>
  <c r="Y702" i="15"/>
  <c r="Q702" i="15"/>
  <c r="AH702" i="15"/>
  <c r="M702" i="15"/>
  <c r="AG702" i="15"/>
  <c r="L702" i="15"/>
  <c r="AF702" i="15"/>
  <c r="U702" i="15"/>
  <c r="AE706" i="15"/>
  <c r="Y731" i="15"/>
  <c r="Y744" i="15"/>
  <c r="S744" i="15"/>
  <c r="AC744" i="15"/>
  <c r="Q744" i="15"/>
  <c r="AD744" i="15"/>
  <c r="AA744" i="15"/>
  <c r="O744" i="15"/>
  <c r="AC760" i="15"/>
  <c r="G760" i="15"/>
  <c r="AA760" i="15"/>
  <c r="H760" i="15"/>
  <c r="AD760" i="15"/>
  <c r="O760" i="15"/>
  <c r="S760" i="15"/>
  <c r="M761" i="15"/>
  <c r="S770" i="15"/>
  <c r="O771" i="15"/>
  <c r="V780" i="15"/>
  <c r="AF780" i="15"/>
  <c r="AE780" i="15"/>
  <c r="G789" i="15"/>
  <c r="AD789" i="15"/>
  <c r="AB789" i="15"/>
  <c r="AF791" i="15"/>
  <c r="M791" i="15"/>
  <c r="I791" i="15"/>
  <c r="AE791" i="15"/>
  <c r="AH791" i="15"/>
  <c r="X791" i="15"/>
  <c r="W791" i="15"/>
  <c r="AB797" i="15"/>
  <c r="U797" i="15"/>
  <c r="AC797" i="15"/>
  <c r="G797" i="15"/>
  <c r="AD797" i="15"/>
  <c r="I802" i="15"/>
  <c r="R806" i="15"/>
  <c r="Q806" i="15"/>
  <c r="AB806" i="15"/>
  <c r="G806" i="15"/>
  <c r="Z806" i="15"/>
  <c r="AA806" i="15"/>
  <c r="Y806" i="15"/>
  <c r="S806" i="15"/>
  <c r="O806" i="15"/>
  <c r="AE818" i="15"/>
  <c r="AC818" i="15"/>
  <c r="I818" i="15"/>
  <c r="T818" i="15"/>
  <c r="J818" i="15"/>
  <c r="AC819" i="15"/>
  <c r="H819" i="15"/>
  <c r="AA819" i="15"/>
  <c r="G819" i="15"/>
  <c r="Z819" i="15"/>
  <c r="R819" i="15"/>
  <c r="Q819" i="15"/>
  <c r="U820" i="15"/>
  <c r="I826" i="15"/>
  <c r="Y830" i="15"/>
  <c r="I830" i="15"/>
  <c r="W830" i="15"/>
  <c r="G830" i="15"/>
  <c r="AA830" i="15"/>
  <c r="S830" i="15"/>
  <c r="Z830" i="15"/>
  <c r="R830" i="15"/>
  <c r="Q830" i="15"/>
  <c r="O830" i="15"/>
  <c r="AA833" i="15"/>
  <c r="AA841" i="15"/>
  <c r="AC867" i="15"/>
  <c r="Q870" i="15"/>
  <c r="AC872" i="15"/>
  <c r="G872" i="15"/>
  <c r="AA872" i="15"/>
  <c r="AD872" i="15"/>
  <c r="S872" i="15"/>
  <c r="H872" i="15"/>
  <c r="Q872" i="15"/>
  <c r="M873" i="15"/>
  <c r="AC883" i="15"/>
  <c r="H883" i="15"/>
  <c r="AA883" i="15"/>
  <c r="G883" i="15"/>
  <c r="R883" i="15"/>
  <c r="P883" i="15"/>
  <c r="Y883" i="15"/>
  <c r="AE884" i="15"/>
  <c r="G885" i="15"/>
  <c r="O896" i="15"/>
  <c r="M902" i="15"/>
  <c r="AB905" i="15"/>
  <c r="Q912" i="15"/>
  <c r="V916" i="15"/>
  <c r="V932" i="15"/>
  <c r="AD936" i="15"/>
  <c r="AF972" i="15"/>
  <c r="K972" i="15"/>
  <c r="AF988" i="15"/>
  <c r="V1017" i="15"/>
  <c r="K1020" i="15"/>
  <c r="V1033" i="15"/>
  <c r="I1033" i="15"/>
  <c r="AG1033" i="15"/>
  <c r="T1033" i="15"/>
  <c r="G1033" i="15"/>
  <c r="W1033" i="15"/>
  <c r="Q1033" i="15"/>
  <c r="AC1033" i="15"/>
  <c r="L1033" i="15"/>
  <c r="AB1033" i="15"/>
  <c r="AA1033" i="15"/>
  <c r="Y1033" i="15"/>
  <c r="O1033" i="15"/>
  <c r="AD1048" i="15"/>
  <c r="AA1059" i="15"/>
  <c r="G1059" i="15"/>
  <c r="Z1059" i="15"/>
  <c r="Y1059" i="15"/>
  <c r="Q1059" i="15"/>
  <c r="O1059" i="15"/>
  <c r="H1059" i="15"/>
  <c r="AC1059" i="15"/>
  <c r="AC1088" i="15"/>
  <c r="Q1091" i="15"/>
  <c r="K1150" i="15"/>
  <c r="AG1151" i="15"/>
  <c r="AH1158" i="15"/>
  <c r="AD1161" i="15"/>
  <c r="I1162" i="15"/>
  <c r="I1179" i="15"/>
  <c r="AH1183" i="15"/>
  <c r="AC1197" i="15"/>
  <c r="U1197" i="15"/>
  <c r="H1197" i="15"/>
  <c r="AE1197" i="15"/>
  <c r="AD1197" i="15"/>
  <c r="AG1197" i="15"/>
  <c r="S1197" i="15"/>
  <c r="AE1214" i="15"/>
  <c r="AD1249" i="15"/>
  <c r="T1262" i="15"/>
  <c r="I1262" i="15"/>
  <c r="V1262" i="15"/>
  <c r="S1262" i="15"/>
  <c r="AC1262" i="15"/>
  <c r="L1262" i="15"/>
  <c r="AA1262" i="15"/>
  <c r="Z1262" i="15"/>
  <c r="J1262" i="15"/>
  <c r="AH1262" i="15"/>
  <c r="AD1262" i="15"/>
  <c r="AB1262" i="15"/>
  <c r="Q1262" i="15"/>
  <c r="AC1276" i="15"/>
  <c r="AG1276" i="15"/>
  <c r="R1276" i="15"/>
  <c r="AF1276" i="15"/>
  <c r="O1276" i="15"/>
  <c r="AD1276" i="15"/>
  <c r="N1276" i="15"/>
  <c r="Y1276" i="15"/>
  <c r="W1276" i="15"/>
  <c r="V1276" i="15"/>
  <c r="H1276" i="15"/>
  <c r="AH1276" i="15"/>
  <c r="Z1276" i="15"/>
  <c r="P1276" i="15"/>
  <c r="S1281" i="15"/>
  <c r="R1298" i="15"/>
  <c r="AC1308" i="15"/>
  <c r="AG1308" i="15"/>
  <c r="R1308" i="15"/>
  <c r="AF1308" i="15"/>
  <c r="O1308" i="15"/>
  <c r="AD1308" i="15"/>
  <c r="N1308" i="15"/>
  <c r="Z1308" i="15"/>
  <c r="H1308" i="15"/>
  <c r="X1308" i="15"/>
  <c r="W1308" i="15"/>
  <c r="M1308" i="15"/>
  <c r="J1308" i="15"/>
  <c r="Y1308" i="15"/>
  <c r="L1334" i="15"/>
  <c r="X1360" i="15"/>
  <c r="AB1374" i="15"/>
  <c r="X1405" i="15"/>
  <c r="AG1418" i="15"/>
  <c r="V1418" i="15"/>
  <c r="K1418" i="15"/>
  <c r="U1418" i="15"/>
  <c r="S1418" i="15"/>
  <c r="AH1418" i="15"/>
  <c r="R1418" i="15"/>
  <c r="AC1418" i="15"/>
  <c r="J1418" i="15"/>
  <c r="AA1418" i="15"/>
  <c r="Z1418" i="15"/>
  <c r="AD1418" i="15"/>
  <c r="AB1418" i="15"/>
  <c r="N1418" i="15"/>
  <c r="AH1453" i="15"/>
  <c r="AB1453" i="15"/>
  <c r="P1453" i="15"/>
  <c r="W1453" i="15"/>
  <c r="L1453" i="15"/>
  <c r="AD1453" i="15"/>
  <c r="O1453" i="15"/>
  <c r="AC1453" i="15"/>
  <c r="N1453" i="15"/>
  <c r="V1453" i="15"/>
  <c r="T1453" i="15"/>
  <c r="S1453" i="15"/>
  <c r="AF1453" i="15"/>
  <c r="G1453" i="15"/>
  <c r="AE1453" i="15"/>
  <c r="AA1453" i="15"/>
  <c r="X1453" i="15"/>
  <c r="M1453" i="15"/>
  <c r="N1462" i="15"/>
  <c r="M1493" i="15"/>
  <c r="P1511" i="15"/>
  <c r="T1518" i="15"/>
  <c r="J1532" i="15"/>
  <c r="AH1574" i="15"/>
  <c r="U1574" i="15"/>
  <c r="G1574" i="15"/>
  <c r="AA1574" i="15"/>
  <c r="L1574" i="15"/>
  <c r="V1574" i="15"/>
  <c r="S1574" i="15"/>
  <c r="O1574" i="15"/>
  <c r="AD1574" i="15"/>
  <c r="AB1574" i="15"/>
  <c r="W1574" i="15"/>
  <c r="AE1574" i="15"/>
  <c r="AC1574" i="15"/>
  <c r="T1574" i="15"/>
  <c r="N1574" i="15"/>
  <c r="AB1597" i="15"/>
  <c r="W1597" i="15"/>
  <c r="G1597" i="15"/>
  <c r="X1597" i="15"/>
  <c r="U1597" i="15"/>
  <c r="AE1597" i="15"/>
  <c r="H1597" i="15"/>
  <c r="AD1597" i="15"/>
  <c r="P1597" i="15"/>
  <c r="N1597" i="15"/>
  <c r="M1597" i="15"/>
  <c r="O1597" i="15"/>
  <c r="AF1597" i="15"/>
  <c r="AB1633" i="15"/>
  <c r="AE1633" i="15"/>
  <c r="O1633" i="15"/>
  <c r="AC1633" i="15"/>
  <c r="H1633" i="15"/>
  <c r="W1633" i="15"/>
  <c r="M1633" i="15"/>
  <c r="AF1633" i="15"/>
  <c r="G1633" i="15"/>
  <c r="V1633" i="15"/>
  <c r="P1633" i="15"/>
  <c r="N1633" i="15"/>
  <c r="U1633" i="15"/>
  <c r="AD1674" i="15"/>
  <c r="G1725" i="15"/>
  <c r="AB1745" i="15"/>
  <c r="X1745" i="15"/>
  <c r="H1745" i="15"/>
  <c r="AD1745" i="15"/>
  <c r="M1745" i="15"/>
  <c r="W1745" i="15"/>
  <c r="V1745" i="15"/>
  <c r="U1745" i="15"/>
  <c r="P1745" i="15"/>
  <c r="N1745" i="15"/>
  <c r="AF1745" i="15"/>
  <c r="AC1745" i="15"/>
  <c r="V1781" i="15"/>
  <c r="AH1784" i="15"/>
  <c r="P1784" i="15"/>
  <c r="O1784" i="15"/>
  <c r="AF1784" i="15"/>
  <c r="H1784" i="15"/>
  <c r="AG1784" i="15"/>
  <c r="Z1784" i="15"/>
  <c r="X1784" i="15"/>
  <c r="W1784" i="15"/>
  <c r="R1784" i="15"/>
  <c r="J1784" i="15"/>
  <c r="G1784" i="15"/>
  <c r="AH1790" i="15"/>
  <c r="AC1790" i="15"/>
  <c r="O1790" i="15"/>
  <c r="AE1790" i="15"/>
  <c r="S1790" i="15"/>
  <c r="AB1790" i="15"/>
  <c r="M1790" i="15"/>
  <c r="V1790" i="15"/>
  <c r="U1790" i="15"/>
  <c r="T1790" i="15"/>
  <c r="AD1790" i="15"/>
  <c r="W1790" i="15"/>
  <c r="N1790" i="15"/>
  <c r="AA1790" i="15"/>
  <c r="L1790" i="15"/>
  <c r="AF1840" i="15"/>
  <c r="O1857" i="15"/>
  <c r="O1897" i="15"/>
  <c r="M1898" i="15"/>
  <c r="AH1906" i="15"/>
  <c r="AA1939" i="15"/>
  <c r="AB1939" i="15"/>
  <c r="Y1939" i="15"/>
  <c r="I1939" i="15"/>
  <c r="AG1939" i="15"/>
  <c r="Z1939" i="15"/>
  <c r="Q1939" i="15"/>
  <c r="J40" i="16"/>
  <c r="M40" i="16"/>
  <c r="L40" i="16"/>
  <c r="K40" i="16"/>
  <c r="G81" i="16"/>
  <c r="H81" i="16"/>
  <c r="M81" i="16"/>
  <c r="H88" i="16"/>
  <c r="G88" i="16"/>
  <c r="I88" i="16"/>
  <c r="E125" i="16"/>
  <c r="T125" i="16" s="1"/>
  <c r="M125" i="16"/>
  <c r="T129" i="16"/>
  <c r="H129" i="16"/>
  <c r="G129" i="16"/>
  <c r="E129" i="16"/>
  <c r="F129" i="16" s="1"/>
  <c r="P129" i="16"/>
  <c r="I195" i="16"/>
  <c r="G195" i="16"/>
  <c r="H195" i="16"/>
  <c r="P1542" i="16"/>
  <c r="L1542" i="16"/>
  <c r="I1542" i="16"/>
  <c r="J1542" i="16"/>
  <c r="L1637" i="16"/>
  <c r="O1637" i="16"/>
  <c r="G1637" i="16"/>
  <c r="N1637" i="16"/>
  <c r="K1637" i="16"/>
  <c r="M1637" i="16"/>
  <c r="H1637" i="16"/>
  <c r="F1637" i="16"/>
  <c r="E1637" i="16"/>
  <c r="T1637" i="16"/>
  <c r="P1637" i="16"/>
  <c r="M1687" i="16"/>
  <c r="I1687" i="16"/>
  <c r="J1727" i="16"/>
  <c r="H1727" i="16"/>
  <c r="G1727" i="16"/>
  <c r="P1727" i="16"/>
  <c r="F1727" i="16"/>
  <c r="T1727" i="16"/>
  <c r="M1727" i="16"/>
  <c r="L1727" i="16"/>
  <c r="K1727" i="16"/>
  <c r="E1727" i="16"/>
  <c r="O1727" i="16"/>
  <c r="N1727" i="16"/>
  <c r="J1767" i="16"/>
  <c r="O1767" i="16"/>
  <c r="N1767" i="16"/>
  <c r="P1767" i="16"/>
  <c r="G1767" i="16"/>
  <c r="L1767" i="16"/>
  <c r="F1767" i="16"/>
  <c r="T1767" i="16"/>
  <c r="M1767" i="16"/>
  <c r="H1767" i="16"/>
  <c r="E1767" i="16"/>
  <c r="F1788" i="16"/>
  <c r="K1788" i="16"/>
  <c r="L1788" i="16"/>
  <c r="J1788" i="16"/>
  <c r="O1788" i="16"/>
  <c r="L1802" i="16"/>
  <c r="E1802" i="16"/>
  <c r="J1802" i="16"/>
  <c r="K1802" i="16"/>
  <c r="Z30" i="15"/>
  <c r="Y32" i="15"/>
  <c r="S32" i="15"/>
  <c r="O64" i="15"/>
  <c r="X64" i="15"/>
  <c r="S64" i="15"/>
  <c r="AA64" i="15"/>
  <c r="P64" i="15"/>
  <c r="AA68" i="15"/>
  <c r="Y68" i="15"/>
  <c r="M68" i="15"/>
  <c r="R71" i="15"/>
  <c r="I71" i="15"/>
  <c r="AC71" i="15"/>
  <c r="AC124" i="15"/>
  <c r="H124" i="15"/>
  <c r="I124" i="15"/>
  <c r="G131" i="15"/>
  <c r="P143" i="15"/>
  <c r="G144" i="15"/>
  <c r="S158" i="15"/>
  <c r="Z158" i="15"/>
  <c r="Y158" i="15"/>
  <c r="W158" i="15"/>
  <c r="P158" i="15"/>
  <c r="X158" i="15"/>
  <c r="AA184" i="15"/>
  <c r="AD184" i="15"/>
  <c r="O184" i="15"/>
  <c r="AC184" i="15"/>
  <c r="N184" i="15"/>
  <c r="AE184" i="15"/>
  <c r="L184" i="15"/>
  <c r="W184" i="15"/>
  <c r="H184" i="15"/>
  <c r="X184" i="15"/>
  <c r="V184" i="15"/>
  <c r="M184" i="15"/>
  <c r="P196" i="15"/>
  <c r="W207" i="15"/>
  <c r="Q207" i="15"/>
  <c r="Z207" i="15"/>
  <c r="X207" i="15"/>
  <c r="AH207" i="15"/>
  <c r="G207" i="15"/>
  <c r="AG207" i="15"/>
  <c r="O207" i="15"/>
  <c r="AA221" i="15"/>
  <c r="W221" i="15"/>
  <c r="K221" i="15"/>
  <c r="V221" i="15"/>
  <c r="AH221" i="15"/>
  <c r="O221" i="15"/>
  <c r="AE221" i="15"/>
  <c r="M221" i="15"/>
  <c r="AC221" i="15"/>
  <c r="Y221" i="15"/>
  <c r="T221" i="15"/>
  <c r="AF223" i="15"/>
  <c r="T237" i="15"/>
  <c r="Y239" i="15"/>
  <c r="G239" i="15"/>
  <c r="X239" i="15"/>
  <c r="AH239" i="15"/>
  <c r="N239" i="15"/>
  <c r="AF239" i="15"/>
  <c r="H239" i="15"/>
  <c r="Q239" i="15"/>
  <c r="Z242" i="15"/>
  <c r="W242" i="15"/>
  <c r="J242" i="15"/>
  <c r="U242" i="15"/>
  <c r="AC242" i="15"/>
  <c r="K242" i="15"/>
  <c r="X242" i="15"/>
  <c r="AB242" i="15"/>
  <c r="T242" i="15"/>
  <c r="O242" i="15"/>
  <c r="H251" i="15"/>
  <c r="AC251" i="15"/>
  <c r="G251" i="15"/>
  <c r="Q251" i="15"/>
  <c r="Z251" i="15"/>
  <c r="S251" i="15"/>
  <c r="W255" i="15"/>
  <c r="W265" i="15"/>
  <c r="G265" i="15"/>
  <c r="V265" i="15"/>
  <c r="R265" i="15"/>
  <c r="AH265" i="15"/>
  <c r="O265" i="15"/>
  <c r="M265" i="15"/>
  <c r="AG265" i="15"/>
  <c r="I265" i="15"/>
  <c r="Y265" i="15"/>
  <c r="AA273" i="15"/>
  <c r="S279" i="15"/>
  <c r="R279" i="15"/>
  <c r="U279" i="15"/>
  <c r="J279" i="15"/>
  <c r="I279" i="15"/>
  <c r="AA279" i="15"/>
  <c r="V292" i="15"/>
  <c r="AH297" i="15"/>
  <c r="R297" i="15"/>
  <c r="AG297" i="15"/>
  <c r="Q297" i="15"/>
  <c r="Y297" i="15"/>
  <c r="V297" i="15"/>
  <c r="O297" i="15"/>
  <c r="N297" i="15"/>
  <c r="M297" i="15"/>
  <c r="AG302" i="15"/>
  <c r="I305" i="15"/>
  <c r="AB305" i="15"/>
  <c r="AA305" i="15"/>
  <c r="T305" i="15"/>
  <c r="S305" i="15"/>
  <c r="AD307" i="15"/>
  <c r="AE339" i="15"/>
  <c r="AA357" i="15"/>
  <c r="AH357" i="15"/>
  <c r="O357" i="15"/>
  <c r="R357" i="15"/>
  <c r="Q357" i="15"/>
  <c r="AG365" i="15"/>
  <c r="AA368" i="15"/>
  <c r="AG368" i="15"/>
  <c r="X368" i="15"/>
  <c r="S368" i="15"/>
  <c r="P368" i="15"/>
  <c r="Q368" i="15"/>
  <c r="O368" i="15"/>
  <c r="V376" i="15"/>
  <c r="AF420" i="15"/>
  <c r="X424" i="15"/>
  <c r="S427" i="15"/>
  <c r="AF446" i="15"/>
  <c r="Q454" i="15"/>
  <c r="AA454" i="15"/>
  <c r="H454" i="15"/>
  <c r="Z454" i="15"/>
  <c r="Z463" i="15"/>
  <c r="AA469" i="15"/>
  <c r="V473" i="15"/>
  <c r="AH473" i="15"/>
  <c r="R473" i="15"/>
  <c r="Q473" i="15"/>
  <c r="AG473" i="15"/>
  <c r="N473" i="15"/>
  <c r="Z473" i="15"/>
  <c r="Y473" i="15"/>
  <c r="W473" i="15"/>
  <c r="M473" i="15"/>
  <c r="AG484" i="15"/>
  <c r="Z505" i="15"/>
  <c r="U513" i="15"/>
  <c r="Z542" i="15"/>
  <c r="Y547" i="15"/>
  <c r="S549" i="15"/>
  <c r="AA549" i="15"/>
  <c r="I549" i="15"/>
  <c r="S551" i="15"/>
  <c r="AE562" i="15"/>
  <c r="Y575" i="15"/>
  <c r="AG596" i="15"/>
  <c r="R598" i="15"/>
  <c r="AA598" i="15"/>
  <c r="H598" i="15"/>
  <c r="AE599" i="15"/>
  <c r="AA599" i="15"/>
  <c r="V599" i="15"/>
  <c r="AC599" i="15"/>
  <c r="J599" i="15"/>
  <c r="AA600" i="15"/>
  <c r="W600" i="15"/>
  <c r="K600" i="15"/>
  <c r="V600" i="15"/>
  <c r="AE600" i="15"/>
  <c r="M600" i="15"/>
  <c r="AC600" i="15"/>
  <c r="AF600" i="15"/>
  <c r="AD600" i="15"/>
  <c r="X600" i="15"/>
  <c r="O600" i="15"/>
  <c r="W612" i="15"/>
  <c r="AA640" i="15"/>
  <c r="P640" i="15"/>
  <c r="G640" i="15"/>
  <c r="Y640" i="15"/>
  <c r="S640" i="15"/>
  <c r="X640" i="15"/>
  <c r="Q640" i="15"/>
  <c r="AG654" i="15"/>
  <c r="T658" i="15"/>
  <c r="S667" i="15"/>
  <c r="AA669" i="15"/>
  <c r="V669" i="15"/>
  <c r="AH669" i="15"/>
  <c r="U669" i="15"/>
  <c r="AD669" i="15"/>
  <c r="L669" i="15"/>
  <c r="Y669" i="15"/>
  <c r="W669" i="15"/>
  <c r="T669" i="15"/>
  <c r="O669" i="15"/>
  <c r="N669" i="15"/>
  <c r="Q672" i="15"/>
  <c r="H672" i="15"/>
  <c r="G672" i="15"/>
  <c r="T673" i="15"/>
  <c r="S694" i="15"/>
  <c r="AE697" i="15"/>
  <c r="Z702" i="15"/>
  <c r="AF706" i="15"/>
  <c r="Z731" i="15"/>
  <c r="P744" i="15"/>
  <c r="Y760" i="15"/>
  <c r="Y774" i="15"/>
  <c r="S774" i="15"/>
  <c r="AC774" i="15"/>
  <c r="I774" i="15"/>
  <c r="AA774" i="15"/>
  <c r="G774" i="15"/>
  <c r="AB774" i="15"/>
  <c r="Q774" i="15"/>
  <c r="S781" i="15"/>
  <c r="AD781" i="15"/>
  <c r="AC781" i="15"/>
  <c r="I781" i="15"/>
  <c r="AF783" i="15"/>
  <c r="I783" i="15"/>
  <c r="S783" i="15"/>
  <c r="AE783" i="15"/>
  <c r="W783" i="15"/>
  <c r="AC789" i="15"/>
  <c r="AC806" i="15"/>
  <c r="Y811" i="15"/>
  <c r="R811" i="15"/>
  <c r="H811" i="15"/>
  <c r="AC811" i="15"/>
  <c r="O811" i="15"/>
  <c r="G811" i="15"/>
  <c r="Z811" i="15"/>
  <c r="Y819" i="15"/>
  <c r="AB830" i="15"/>
  <c r="AB833" i="15"/>
  <c r="U850" i="15"/>
  <c r="AE871" i="15"/>
  <c r="X871" i="15"/>
  <c r="I871" i="15"/>
  <c r="W871" i="15"/>
  <c r="J871" i="15"/>
  <c r="Y872" i="15"/>
  <c r="AA878" i="15"/>
  <c r="I878" i="15"/>
  <c r="Z878" i="15"/>
  <c r="G878" i="15"/>
  <c r="O878" i="15"/>
  <c r="AC878" i="15"/>
  <c r="Q878" i="15"/>
  <c r="M878" i="15"/>
  <c r="Y878" i="15"/>
  <c r="Z883" i="15"/>
  <c r="V908" i="15"/>
  <c r="AF908" i="15"/>
  <c r="AE908" i="15"/>
  <c r="I908" i="15"/>
  <c r="W916" i="15"/>
  <c r="Q952" i="15"/>
  <c r="P952" i="15"/>
  <c r="H952" i="15"/>
  <c r="AD952" i="15"/>
  <c r="AC952" i="15"/>
  <c r="AA952" i="15"/>
  <c r="S952" i="15"/>
  <c r="T989" i="15"/>
  <c r="AD989" i="15"/>
  <c r="G989" i="15"/>
  <c r="AA1019" i="15"/>
  <c r="G1019" i="15"/>
  <c r="Z1019" i="15"/>
  <c r="Q1019" i="15"/>
  <c r="O1019" i="15"/>
  <c r="P1019" i="15"/>
  <c r="H1019" i="15"/>
  <c r="AC1019" i="15"/>
  <c r="S1033" i="15"/>
  <c r="Q1056" i="15"/>
  <c r="P1056" i="15"/>
  <c r="H1056" i="15"/>
  <c r="AD1056" i="15"/>
  <c r="AC1056" i="15"/>
  <c r="AA1056" i="15"/>
  <c r="Y1056" i="15"/>
  <c r="S1056" i="15"/>
  <c r="AF1060" i="15"/>
  <c r="N1060" i="15"/>
  <c r="U1060" i="15"/>
  <c r="X1060" i="15"/>
  <c r="S1062" i="15"/>
  <c r="R1062" i="15"/>
  <c r="AA1062" i="15"/>
  <c r="Y1062" i="15"/>
  <c r="AB1062" i="15"/>
  <c r="Z1062" i="15"/>
  <c r="Q1062" i="15"/>
  <c r="O1062" i="15"/>
  <c r="M1062" i="15"/>
  <c r="AD1105" i="15"/>
  <c r="AA1105" i="15"/>
  <c r="L1105" i="15"/>
  <c r="Y1105" i="15"/>
  <c r="Q1105" i="15"/>
  <c r="N1105" i="15"/>
  <c r="AG1105" i="15"/>
  <c r="AB1105" i="15"/>
  <c r="V1105" i="15"/>
  <c r="S1126" i="15"/>
  <c r="R1126" i="15"/>
  <c r="AC1126" i="15"/>
  <c r="I1126" i="15"/>
  <c r="AA1126" i="15"/>
  <c r="M1126" i="15"/>
  <c r="G1126" i="15"/>
  <c r="AB1126" i="15"/>
  <c r="Y1126" i="15"/>
  <c r="AH1151" i="15"/>
  <c r="AG1161" i="15"/>
  <c r="AF1167" i="15"/>
  <c r="S1167" i="15"/>
  <c r="G1167" i="15"/>
  <c r="AE1167" i="15"/>
  <c r="Q1167" i="15"/>
  <c r="X1167" i="15"/>
  <c r="H1167" i="15"/>
  <c r="U1167" i="15"/>
  <c r="AH1167" i="15"/>
  <c r="P1167" i="15"/>
  <c r="Z1167" i="15"/>
  <c r="Y1167" i="15"/>
  <c r="W1167" i="15"/>
  <c r="O1167" i="15"/>
  <c r="M1167" i="15"/>
  <c r="S1180" i="15"/>
  <c r="R1180" i="15"/>
  <c r="H1180" i="15"/>
  <c r="AF1180" i="15"/>
  <c r="AD1180" i="15"/>
  <c r="G1180" i="15"/>
  <c r="AA1180" i="15"/>
  <c r="AG1184" i="15"/>
  <c r="AA1184" i="15"/>
  <c r="G1184" i="15"/>
  <c r="Z1184" i="15"/>
  <c r="AD1184" i="15"/>
  <c r="R1184" i="15"/>
  <c r="Q1184" i="15"/>
  <c r="AF1184" i="15"/>
  <c r="P1184" i="15"/>
  <c r="T1197" i="15"/>
  <c r="Y1250" i="15"/>
  <c r="K1250" i="15"/>
  <c r="J1250" i="15"/>
  <c r="AG1250" i="15"/>
  <c r="V1250" i="15"/>
  <c r="R1250" i="15"/>
  <c r="AH1250" i="15"/>
  <c r="Z1259" i="15"/>
  <c r="AH1259" i="15"/>
  <c r="H1259" i="15"/>
  <c r="R1262" i="15"/>
  <c r="X1276" i="15"/>
  <c r="AH1308" i="15"/>
  <c r="T1418" i="15"/>
  <c r="AH1433" i="15"/>
  <c r="W1433" i="15"/>
  <c r="M1433" i="15"/>
  <c r="AE1433" i="15"/>
  <c r="T1433" i="15"/>
  <c r="G1433" i="15"/>
  <c r="V1433" i="15"/>
  <c r="H1433" i="15"/>
  <c r="U1433" i="15"/>
  <c r="X1433" i="15"/>
  <c r="P1433" i="15"/>
  <c r="AF1433" i="15"/>
  <c r="O1433" i="15"/>
  <c r="K1433" i="15"/>
  <c r="AD1433" i="15"/>
  <c r="AC1433" i="15"/>
  <c r="AB1433" i="15"/>
  <c r="S1433" i="15"/>
  <c r="Z1439" i="15"/>
  <c r="S1439" i="15"/>
  <c r="Q1439" i="15"/>
  <c r="R1439" i="15"/>
  <c r="H1439" i="15"/>
  <c r="AH1439" i="15"/>
  <c r="X1439" i="15"/>
  <c r="T1439" i="15"/>
  <c r="AG1439" i="15"/>
  <c r="U1453" i="15"/>
  <c r="AH1473" i="15"/>
  <c r="AF1473" i="15"/>
  <c r="V1473" i="15"/>
  <c r="L1473" i="15"/>
  <c r="AB1473" i="15"/>
  <c r="O1473" i="15"/>
  <c r="W1473" i="15"/>
  <c r="H1473" i="15"/>
  <c r="U1473" i="15"/>
  <c r="G1473" i="15"/>
  <c r="AA1473" i="15"/>
  <c r="T1473" i="15"/>
  <c r="S1473" i="15"/>
  <c r="M1473" i="15"/>
  <c r="K1473" i="15"/>
  <c r="AE1473" i="15"/>
  <c r="AD1473" i="15"/>
  <c r="X1473" i="15"/>
  <c r="AH1598" i="15"/>
  <c r="AB1598" i="15"/>
  <c r="N1598" i="15"/>
  <c r="AE1598" i="15"/>
  <c r="S1598" i="15"/>
  <c r="AC1598" i="15"/>
  <c r="M1598" i="15"/>
  <c r="AA1598" i="15"/>
  <c r="G1598" i="15"/>
  <c r="W1598" i="15"/>
  <c r="AD1598" i="15"/>
  <c r="U1598" i="15"/>
  <c r="T1598" i="15"/>
  <c r="V1598" i="15"/>
  <c r="O1598" i="15"/>
  <c r="L1623" i="15"/>
  <c r="K1623" i="15"/>
  <c r="AA1623" i="15"/>
  <c r="AG1623" i="15"/>
  <c r="AB1637" i="15"/>
  <c r="U1637" i="15"/>
  <c r="X1637" i="15"/>
  <c r="G1637" i="15"/>
  <c r="V1637" i="15"/>
  <c r="AC1637" i="15"/>
  <c r="W1637" i="15"/>
  <c r="AE1637" i="15"/>
  <c r="P1637" i="15"/>
  <c r="O1637" i="15"/>
  <c r="AF1637" i="15"/>
  <c r="AD1637" i="15"/>
  <c r="N1637" i="15"/>
  <c r="AH1744" i="15"/>
  <c r="H1744" i="15"/>
  <c r="AG1744" i="15"/>
  <c r="X1744" i="15"/>
  <c r="P1744" i="15"/>
  <c r="G1744" i="15"/>
  <c r="AF1744" i="15"/>
  <c r="R1744" i="15"/>
  <c r="Q1744" i="15"/>
  <c r="AE1745" i="15"/>
  <c r="AH1874" i="15"/>
  <c r="AF1874" i="15"/>
  <c r="V1874" i="15"/>
  <c r="L1874" i="15"/>
  <c r="AE1874" i="15"/>
  <c r="T1874" i="15"/>
  <c r="G1874" i="15"/>
  <c r="AC1874" i="15"/>
  <c r="P1874" i="15"/>
  <c r="S1874" i="15"/>
  <c r="O1874" i="15"/>
  <c r="AD1874" i="15"/>
  <c r="N1874" i="15"/>
  <c r="AB1874" i="15"/>
  <c r="X1874" i="15"/>
  <c r="W1874" i="15"/>
  <c r="AA1874" i="15"/>
  <c r="M1874" i="15"/>
  <c r="AB1905" i="15"/>
  <c r="X1905" i="15"/>
  <c r="H1905" i="15"/>
  <c r="U1905" i="15"/>
  <c r="AF1905" i="15"/>
  <c r="O1905" i="15"/>
  <c r="AE1905" i="15"/>
  <c r="G1905" i="15"/>
  <c r="AD1905" i="15"/>
  <c r="AC1905" i="15"/>
  <c r="V1905" i="15"/>
  <c r="N1905" i="15"/>
  <c r="M1905" i="15"/>
  <c r="W1905" i="15"/>
  <c r="P1905" i="15"/>
  <c r="AG1930" i="15"/>
  <c r="Z1930" i="15"/>
  <c r="P1930" i="15"/>
  <c r="G1930" i="15"/>
  <c r="AB1930" i="15"/>
  <c r="R1930" i="15"/>
  <c r="X1930" i="15"/>
  <c r="N1930" i="15"/>
  <c r="AF1930" i="15"/>
  <c r="T1930" i="15"/>
  <c r="AE1930" i="15"/>
  <c r="S1930" i="15"/>
  <c r="AD1930" i="15"/>
  <c r="O1930" i="15"/>
  <c r="AC1930" i="15"/>
  <c r="J1930" i="15"/>
  <c r="W1930" i="15"/>
  <c r="V1930" i="15"/>
  <c r="H1930" i="15"/>
  <c r="AH1930" i="15"/>
  <c r="AA1930" i="15"/>
  <c r="M1930" i="15"/>
  <c r="AH1962" i="15"/>
  <c r="X1962" i="15"/>
  <c r="N1962" i="15"/>
  <c r="W1962" i="15"/>
  <c r="L1962" i="15"/>
  <c r="AF1962" i="15"/>
  <c r="U1962" i="15"/>
  <c r="H1962" i="15"/>
  <c r="V1962" i="15"/>
  <c r="T1962" i="15"/>
  <c r="S1962" i="15"/>
  <c r="AE1962" i="15"/>
  <c r="P1962" i="15"/>
  <c r="O1962" i="15"/>
  <c r="K1962" i="15"/>
  <c r="G1962" i="15"/>
  <c r="AA1962" i="15"/>
  <c r="M1962" i="15"/>
  <c r="AD1962" i="15"/>
  <c r="AB1965" i="15"/>
  <c r="AE1965" i="15"/>
  <c r="O1965" i="15"/>
  <c r="U1965" i="15"/>
  <c r="AF1965" i="15"/>
  <c r="N1965" i="15"/>
  <c r="H1965" i="15"/>
  <c r="AD1965" i="15"/>
  <c r="G1965" i="15"/>
  <c r="AC1965" i="15"/>
  <c r="X1965" i="15"/>
  <c r="W1965" i="15"/>
  <c r="V1965" i="15"/>
  <c r="I1562" i="16"/>
  <c r="N1562" i="16"/>
  <c r="L1562" i="16"/>
  <c r="T1562" i="16"/>
  <c r="H1562" i="16"/>
  <c r="F1562" i="16"/>
  <c r="E1562" i="16"/>
  <c r="P1562" i="16"/>
  <c r="M1562" i="16"/>
  <c r="T1616" i="16"/>
  <c r="H1616" i="16"/>
  <c r="N1616" i="16"/>
  <c r="G1616" i="16"/>
  <c r="P1616" i="16"/>
  <c r="E1616" i="16"/>
  <c r="L1616" i="16"/>
  <c r="K1616" i="16"/>
  <c r="J1616" i="16"/>
  <c r="F1616" i="16"/>
  <c r="O1616" i="16"/>
  <c r="M1616" i="16"/>
  <c r="G1515" i="16"/>
  <c r="I1515" i="16"/>
  <c r="H1515" i="16"/>
  <c r="J1515" i="16"/>
  <c r="T1515" i="16"/>
  <c r="P1515" i="16"/>
  <c r="H1517" i="16"/>
  <c r="J1517" i="16"/>
  <c r="I1517" i="16"/>
  <c r="K1517" i="16"/>
  <c r="M1519" i="16"/>
  <c r="T1519" i="16"/>
  <c r="I1547" i="16"/>
  <c r="O1547" i="16"/>
  <c r="G1547" i="16"/>
  <c r="K1547" i="16"/>
  <c r="E1547" i="16"/>
  <c r="P1547" i="16"/>
  <c r="M1547" i="16"/>
  <c r="L1547" i="16"/>
  <c r="H1547" i="16"/>
  <c r="T1547" i="16"/>
  <c r="J1599" i="16"/>
  <c r="P1599" i="16"/>
  <c r="F1599" i="16"/>
  <c r="N1599" i="16"/>
  <c r="M1599" i="16"/>
  <c r="K1599" i="16"/>
  <c r="E1599" i="16"/>
  <c r="H1599" i="16"/>
  <c r="G1599" i="16"/>
  <c r="L1599" i="16"/>
  <c r="R73" i="15"/>
  <c r="Y73" i="15"/>
  <c r="W73" i="15"/>
  <c r="Q73" i="15"/>
  <c r="V73" i="15"/>
  <c r="O73" i="15"/>
  <c r="R125" i="15"/>
  <c r="N125" i="15"/>
  <c r="U125" i="15"/>
  <c r="V125" i="15"/>
  <c r="O125" i="15"/>
  <c r="K131" i="15"/>
  <c r="V131" i="15"/>
  <c r="AH185" i="15"/>
  <c r="R185" i="15"/>
  <c r="AG185" i="15"/>
  <c r="Q185" i="15"/>
  <c r="Y185" i="15"/>
  <c r="V185" i="15"/>
  <c r="AA185" i="15"/>
  <c r="Z185" i="15"/>
  <c r="V199" i="15"/>
  <c r="S204" i="15"/>
  <c r="AB204" i="15"/>
  <c r="W206" i="15"/>
  <c r="AH217" i="15"/>
  <c r="S17" i="15"/>
  <c r="J17" i="15"/>
  <c r="I17" i="15"/>
  <c r="S60" i="15"/>
  <c r="K65" i="15"/>
  <c r="Z117" i="15"/>
  <c r="I117" i="15"/>
  <c r="G117" i="15"/>
  <c r="AA117" i="15"/>
  <c r="H127" i="15"/>
  <c r="H138" i="15"/>
  <c r="Q138" i="15"/>
  <c r="Z138" i="15"/>
  <c r="L142" i="15"/>
  <c r="W185" i="15"/>
  <c r="R186" i="15"/>
  <c r="H188" i="15"/>
  <c r="M190" i="15"/>
  <c r="AA192" i="15"/>
  <c r="G192" i="15"/>
  <c r="X192" i="15"/>
  <c r="S192" i="15"/>
  <c r="G206" i="15"/>
  <c r="I217" i="15"/>
  <c r="AG223" i="15"/>
  <c r="K227" i="15"/>
  <c r="Y237" i="15"/>
  <c r="S268" i="15"/>
  <c r="AB268" i="15"/>
  <c r="AA268" i="15"/>
  <c r="U268" i="15"/>
  <c r="M276" i="15"/>
  <c r="K280" i="15"/>
  <c r="N285" i="15"/>
  <c r="Q287" i="15"/>
  <c r="AH287" i="15"/>
  <c r="P287" i="15"/>
  <c r="Z287" i="15"/>
  <c r="X287" i="15"/>
  <c r="G287" i="15"/>
  <c r="AG287" i="15"/>
  <c r="O287" i="15"/>
  <c r="AH302" i="15"/>
  <c r="I310" i="15"/>
  <c r="I311" i="15"/>
  <c r="H319" i="15"/>
  <c r="AA328" i="15"/>
  <c r="W328" i="15"/>
  <c r="K328" i="15"/>
  <c r="V328" i="15"/>
  <c r="AD328" i="15"/>
  <c r="L328" i="15"/>
  <c r="X328" i="15"/>
  <c r="AG328" i="15"/>
  <c r="M328" i="15"/>
  <c r="AF328" i="15"/>
  <c r="T328" i="15"/>
  <c r="I337" i="15"/>
  <c r="AH339" i="15"/>
  <c r="AH365" i="15"/>
  <c r="AF371" i="15"/>
  <c r="U371" i="15"/>
  <c r="H371" i="15"/>
  <c r="AE371" i="15"/>
  <c r="Q371" i="15"/>
  <c r="G371" i="15"/>
  <c r="Y371" i="15"/>
  <c r="K371" i="15"/>
  <c r="W371" i="15"/>
  <c r="V371" i="15"/>
  <c r="P371" i="15"/>
  <c r="O371" i="15"/>
  <c r="N371" i="15"/>
  <c r="Z387" i="15"/>
  <c r="X387" i="15"/>
  <c r="K387" i="15"/>
  <c r="W387" i="15"/>
  <c r="G387" i="15"/>
  <c r="AD387" i="15"/>
  <c r="V387" i="15"/>
  <c r="Y387" i="15"/>
  <c r="U387" i="15"/>
  <c r="P387" i="15"/>
  <c r="O387" i="15"/>
  <c r="M393" i="15"/>
  <c r="Z395" i="15"/>
  <c r="AH395" i="15"/>
  <c r="AC395" i="15"/>
  <c r="S395" i="15"/>
  <c r="Q395" i="15"/>
  <c r="AA396" i="15"/>
  <c r="Y400" i="15"/>
  <c r="I401" i="15"/>
  <c r="P416" i="15"/>
  <c r="V425" i="15"/>
  <c r="I425" i="15"/>
  <c r="AH425" i="15"/>
  <c r="R425" i="15"/>
  <c r="G425" i="15"/>
  <c r="Q425" i="15"/>
  <c r="AG425" i="15"/>
  <c r="N425" i="15"/>
  <c r="L425" i="15"/>
  <c r="AE425" i="15"/>
  <c r="K425" i="15"/>
  <c r="AA425" i="15"/>
  <c r="W425" i="15"/>
  <c r="I428" i="15"/>
  <c r="H428" i="15"/>
  <c r="AA429" i="15"/>
  <c r="V429" i="15"/>
  <c r="AH429" i="15"/>
  <c r="U429" i="15"/>
  <c r="T429" i="15"/>
  <c r="AG429" i="15"/>
  <c r="N429" i="15"/>
  <c r="Y429" i="15"/>
  <c r="W429" i="15"/>
  <c r="O429" i="15"/>
  <c r="M429" i="15"/>
  <c r="J433" i="15"/>
  <c r="AA445" i="15"/>
  <c r="AG445" i="15"/>
  <c r="T445" i="15"/>
  <c r="AE445" i="15"/>
  <c r="O445" i="15"/>
  <c r="Y445" i="15"/>
  <c r="G445" i="15"/>
  <c r="V445" i="15"/>
  <c r="W445" i="15"/>
  <c r="U445" i="15"/>
  <c r="N445" i="15"/>
  <c r="M445" i="15"/>
  <c r="AG446" i="15"/>
  <c r="G448" i="15"/>
  <c r="H462" i="15"/>
  <c r="AA470" i="15"/>
  <c r="T470" i="15"/>
  <c r="S470" i="15"/>
  <c r="Z470" i="15"/>
  <c r="R470" i="15"/>
  <c r="AG483" i="15"/>
  <c r="V483" i="15"/>
  <c r="H483" i="15"/>
  <c r="AF483" i="15"/>
  <c r="U483" i="15"/>
  <c r="G483" i="15"/>
  <c r="Z483" i="15"/>
  <c r="M483" i="15"/>
  <c r="X483" i="15"/>
  <c r="AE483" i="15"/>
  <c r="K483" i="15"/>
  <c r="AD483" i="15"/>
  <c r="Y483" i="15"/>
  <c r="P483" i="15"/>
  <c r="H507" i="15"/>
  <c r="G507" i="15"/>
  <c r="R507" i="15"/>
  <c r="Z507" i="15"/>
  <c r="M510" i="15"/>
  <c r="AF547" i="15"/>
  <c r="AF562" i="15"/>
  <c r="J594" i="15"/>
  <c r="O611" i="15"/>
  <c r="AF612" i="15"/>
  <c r="O623" i="15"/>
  <c r="O632" i="15"/>
  <c r="AH654" i="15"/>
  <c r="AF658" i="15"/>
  <c r="AH661" i="15"/>
  <c r="G661" i="15"/>
  <c r="AA661" i="15"/>
  <c r="Y661" i="15"/>
  <c r="V679" i="15"/>
  <c r="AC695" i="15"/>
  <c r="M695" i="15"/>
  <c r="V695" i="15"/>
  <c r="S695" i="15"/>
  <c r="AE695" i="15"/>
  <c r="AG697" i="15"/>
  <c r="I729" i="15"/>
  <c r="L740" i="15"/>
  <c r="P755" i="15"/>
  <c r="AD761" i="15"/>
  <c r="AA761" i="15"/>
  <c r="L761" i="15"/>
  <c r="Y761" i="15"/>
  <c r="Q761" i="15"/>
  <c r="N761" i="15"/>
  <c r="AG761" i="15"/>
  <c r="AB761" i="15"/>
  <c r="W761" i="15"/>
  <c r="V761" i="15"/>
  <c r="AE770" i="15"/>
  <c r="AH770" i="15"/>
  <c r="W770" i="15"/>
  <c r="U770" i="15"/>
  <c r="L770" i="15"/>
  <c r="AC771" i="15"/>
  <c r="H771" i="15"/>
  <c r="AA771" i="15"/>
  <c r="G771" i="15"/>
  <c r="R771" i="15"/>
  <c r="P771" i="15"/>
  <c r="Y771" i="15"/>
  <c r="T773" i="15"/>
  <c r="I773" i="15"/>
  <c r="G773" i="15"/>
  <c r="AD773" i="15"/>
  <c r="P776" i="15"/>
  <c r="S802" i="15"/>
  <c r="AE802" i="15"/>
  <c r="AC802" i="15"/>
  <c r="W802" i="15"/>
  <c r="AF820" i="15"/>
  <c r="N820" i="15"/>
  <c r="I820" i="15"/>
  <c r="V820" i="15"/>
  <c r="AE820" i="15"/>
  <c r="X820" i="15"/>
  <c r="AE826" i="15"/>
  <c r="AC826" i="15"/>
  <c r="T826" i="15"/>
  <c r="J826" i="15"/>
  <c r="U826" i="15"/>
  <c r="K836" i="15"/>
  <c r="AE861" i="15"/>
  <c r="AD873" i="15"/>
  <c r="AA873" i="15"/>
  <c r="L873" i="15"/>
  <c r="Y873" i="15"/>
  <c r="N873" i="15"/>
  <c r="AG873" i="15"/>
  <c r="AB873" i="15"/>
  <c r="W873" i="15"/>
  <c r="V873" i="15"/>
  <c r="Q873" i="15"/>
  <c r="AG882" i="15"/>
  <c r="K882" i="15"/>
  <c r="K884" i="15"/>
  <c r="I884" i="15"/>
  <c r="S885" i="15"/>
  <c r="AD885" i="15"/>
  <c r="AC885" i="15"/>
  <c r="AB885" i="15"/>
  <c r="H891" i="15"/>
  <c r="AC896" i="15"/>
  <c r="G896" i="15"/>
  <c r="AA896" i="15"/>
  <c r="H896" i="15"/>
  <c r="AD896" i="15"/>
  <c r="Q896" i="15"/>
  <c r="S902" i="15"/>
  <c r="R902" i="15"/>
  <c r="AB902" i="15"/>
  <c r="G902" i="15"/>
  <c r="Z902" i="15"/>
  <c r="I902" i="15"/>
  <c r="AC902" i="15"/>
  <c r="Q902" i="15"/>
  <c r="M926" i="15"/>
  <c r="G929" i="15"/>
  <c r="AF932" i="15"/>
  <c r="X932" i="15"/>
  <c r="U932" i="15"/>
  <c r="N932" i="15"/>
  <c r="AE938" i="15"/>
  <c r="J938" i="15"/>
  <c r="G941" i="15"/>
  <c r="S945" i="15"/>
  <c r="H963" i="15"/>
  <c r="J983" i="15"/>
  <c r="N1001" i="15"/>
  <c r="I1020" i="15"/>
  <c r="AF1020" i="15"/>
  <c r="AE1020" i="15"/>
  <c r="X1020" i="15"/>
  <c r="I1037" i="15"/>
  <c r="G1037" i="15"/>
  <c r="AC1037" i="15"/>
  <c r="AB1037" i="15"/>
  <c r="X1084" i="15"/>
  <c r="Q1085" i="15"/>
  <c r="AC1091" i="15"/>
  <c r="H1091" i="15"/>
  <c r="AA1091" i="15"/>
  <c r="G1091" i="15"/>
  <c r="P1091" i="15"/>
  <c r="O1091" i="15"/>
  <c r="Y1091" i="15"/>
  <c r="I1100" i="15"/>
  <c r="O1138" i="15"/>
  <c r="Z1150" i="15"/>
  <c r="AE1150" i="15"/>
  <c r="T1150" i="15"/>
  <c r="AD1150" i="15"/>
  <c r="R1150" i="15"/>
  <c r="AH1150" i="15"/>
  <c r="O1150" i="15"/>
  <c r="AC1150" i="15"/>
  <c r="M1150" i="15"/>
  <c r="AA1150" i="15"/>
  <c r="I1150" i="15"/>
  <c r="Y1150" i="15"/>
  <c r="W1150" i="15"/>
  <c r="V1150" i="15"/>
  <c r="N1150" i="15"/>
  <c r="AG1162" i="15"/>
  <c r="T1162" i="15"/>
  <c r="G1162" i="15"/>
  <c r="AE1162" i="15"/>
  <c r="R1162" i="15"/>
  <c r="Q1162" i="15"/>
  <c r="AC1162" i="15"/>
  <c r="N1162" i="15"/>
  <c r="Y1162" i="15"/>
  <c r="W1162" i="15"/>
  <c r="V1162" i="15"/>
  <c r="O1162" i="15"/>
  <c r="M1162" i="15"/>
  <c r="N1230" i="15"/>
  <c r="AH1281" i="15"/>
  <c r="AA1281" i="15"/>
  <c r="O1281" i="15"/>
  <c r="AC1281" i="15"/>
  <c r="P1281" i="15"/>
  <c r="AB1281" i="15"/>
  <c r="N1281" i="15"/>
  <c r="AD1281" i="15"/>
  <c r="L1281" i="15"/>
  <c r="W1281" i="15"/>
  <c r="H1281" i="15"/>
  <c r="V1281" i="15"/>
  <c r="G1281" i="15"/>
  <c r="M1281" i="15"/>
  <c r="K1281" i="15"/>
  <c r="AF1281" i="15"/>
  <c r="AE1281" i="15"/>
  <c r="U1281" i="15"/>
  <c r="Y1298" i="15"/>
  <c r="AB1298" i="15"/>
  <c r="V1298" i="15"/>
  <c r="U1298" i="15"/>
  <c r="M1298" i="15"/>
  <c r="AH1298" i="15"/>
  <c r="AG1298" i="15"/>
  <c r="N1298" i="15"/>
  <c r="J1298" i="15"/>
  <c r="AD1298" i="15"/>
  <c r="L1310" i="15"/>
  <c r="M1316" i="15"/>
  <c r="AA1334" i="15"/>
  <c r="N1334" i="15"/>
  <c r="T1334" i="15"/>
  <c r="AH1334" i="15"/>
  <c r="S1334" i="15"/>
  <c r="AD1334" i="15"/>
  <c r="M1334" i="15"/>
  <c r="AB1334" i="15"/>
  <c r="J1334" i="15"/>
  <c r="Z1334" i="15"/>
  <c r="I1334" i="15"/>
  <c r="AC1334" i="15"/>
  <c r="Y1334" i="15"/>
  <c r="V1334" i="15"/>
  <c r="R1334" i="15"/>
  <c r="O1356" i="15"/>
  <c r="I1364" i="15"/>
  <c r="G1380" i="15"/>
  <c r="K1398" i="15"/>
  <c r="L1401" i="15"/>
  <c r="AG1462" i="15"/>
  <c r="AC1462" i="15"/>
  <c r="R1462" i="15"/>
  <c r="V1462" i="15"/>
  <c r="J1462" i="15"/>
  <c r="AA1462" i="15"/>
  <c r="K1462" i="15"/>
  <c r="Z1462" i="15"/>
  <c r="S1462" i="15"/>
  <c r="M1462" i="15"/>
  <c r="AH1462" i="15"/>
  <c r="L1462" i="15"/>
  <c r="AD1462" i="15"/>
  <c r="AB1462" i="15"/>
  <c r="U1462" i="15"/>
  <c r="AH1493" i="15"/>
  <c r="AC1493" i="15"/>
  <c r="S1493" i="15"/>
  <c r="G1493" i="15"/>
  <c r="AF1493" i="15"/>
  <c r="U1493" i="15"/>
  <c r="H1493" i="15"/>
  <c r="AD1493" i="15"/>
  <c r="P1493" i="15"/>
  <c r="V1493" i="15"/>
  <c r="T1493" i="15"/>
  <c r="AA1493" i="15"/>
  <c r="W1493" i="15"/>
  <c r="O1493" i="15"/>
  <c r="L1493" i="15"/>
  <c r="K1493" i="15"/>
  <c r="AE1493" i="15"/>
  <c r="X1493" i="15"/>
  <c r="S1511" i="15"/>
  <c r="R1511" i="15"/>
  <c r="J1511" i="15"/>
  <c r="AF1511" i="15"/>
  <c r="AA1511" i="15"/>
  <c r="H1511" i="15"/>
  <c r="Z1511" i="15"/>
  <c r="AG1518" i="15"/>
  <c r="V1518" i="15"/>
  <c r="K1518" i="15"/>
  <c r="AH1518" i="15"/>
  <c r="S1518" i="15"/>
  <c r="AC1518" i="15"/>
  <c r="N1518" i="15"/>
  <c r="AD1518" i="15"/>
  <c r="L1518" i="15"/>
  <c r="AB1518" i="15"/>
  <c r="J1518" i="15"/>
  <c r="U1518" i="15"/>
  <c r="R1518" i="15"/>
  <c r="M1518" i="15"/>
  <c r="AA1518" i="15"/>
  <c r="R1532" i="15"/>
  <c r="V1532" i="15"/>
  <c r="AH1532" i="15"/>
  <c r="O1532" i="15"/>
  <c r="W1532" i="15"/>
  <c r="Q1532" i="15"/>
  <c r="X1532" i="15"/>
  <c r="H1532" i="15"/>
  <c r="G1532" i="15"/>
  <c r="AF1532" i="15"/>
  <c r="Q1603" i="15"/>
  <c r="K1603" i="15"/>
  <c r="H1617" i="15"/>
  <c r="M1681" i="15"/>
  <c r="X1684" i="15"/>
  <c r="H1685" i="15"/>
  <c r="X1697" i="15"/>
  <c r="J1707" i="15"/>
  <c r="AB1725" i="15"/>
  <c r="V1725" i="15"/>
  <c r="U1725" i="15"/>
  <c r="AF1725" i="15"/>
  <c r="O1725" i="15"/>
  <c r="AC1725" i="15"/>
  <c r="X1725" i="15"/>
  <c r="W1725" i="15"/>
  <c r="H1725" i="15"/>
  <c r="AE1725" i="15"/>
  <c r="AD1725" i="15"/>
  <c r="P1725" i="15"/>
  <c r="N1725" i="15"/>
  <c r="AB1781" i="15"/>
  <c r="AD1781" i="15"/>
  <c r="N1781" i="15"/>
  <c r="U1781" i="15"/>
  <c r="AF1781" i="15"/>
  <c r="O1781" i="15"/>
  <c r="H1781" i="15"/>
  <c r="AE1781" i="15"/>
  <c r="G1781" i="15"/>
  <c r="AC1781" i="15"/>
  <c r="X1781" i="15"/>
  <c r="P1781" i="15"/>
  <c r="M1781" i="15"/>
  <c r="O1834" i="15"/>
  <c r="Q1852" i="15"/>
  <c r="AB1857" i="15"/>
  <c r="AF1857" i="15"/>
  <c r="P1857" i="15"/>
  <c r="U1857" i="15"/>
  <c r="AE1857" i="15"/>
  <c r="N1857" i="15"/>
  <c r="H1857" i="15"/>
  <c r="AD1857" i="15"/>
  <c r="G1857" i="15"/>
  <c r="AC1857" i="15"/>
  <c r="X1857" i="15"/>
  <c r="W1857" i="15"/>
  <c r="M1857" i="15"/>
  <c r="AB1897" i="15"/>
  <c r="AF1897" i="15"/>
  <c r="P1897" i="15"/>
  <c r="AE1897" i="15"/>
  <c r="N1897" i="15"/>
  <c r="AC1897" i="15"/>
  <c r="H1897" i="15"/>
  <c r="AD1897" i="15"/>
  <c r="X1897" i="15"/>
  <c r="W1897" i="15"/>
  <c r="U1897" i="15"/>
  <c r="M1897" i="15"/>
  <c r="G1897" i="15"/>
  <c r="AG1898" i="15"/>
  <c r="AA1898" i="15"/>
  <c r="R1898" i="15"/>
  <c r="H1898" i="15"/>
  <c r="AD1898" i="15"/>
  <c r="T1898" i="15"/>
  <c r="J1898" i="15"/>
  <c r="AB1898" i="15"/>
  <c r="P1898" i="15"/>
  <c r="W1898" i="15"/>
  <c r="K1898" i="15"/>
  <c r="V1898" i="15"/>
  <c r="G1898" i="15"/>
  <c r="AH1898" i="15"/>
  <c r="U1898" i="15"/>
  <c r="AE1898" i="15"/>
  <c r="L1898" i="15"/>
  <c r="Z1898" i="15"/>
  <c r="X1898" i="15"/>
  <c r="AF1898" i="15"/>
  <c r="AC1898" i="15"/>
  <c r="S1898" i="15"/>
  <c r="O1898" i="15"/>
  <c r="G1986" i="15"/>
  <c r="AC7" i="15"/>
  <c r="R7" i="15"/>
  <c r="M7" i="15"/>
  <c r="X10" i="15"/>
  <c r="G10" i="15"/>
  <c r="H10" i="15"/>
  <c r="O46" i="15"/>
  <c r="S59" i="15"/>
  <c r="AA60" i="15"/>
  <c r="M61" i="15"/>
  <c r="Y64" i="15"/>
  <c r="M66" i="15"/>
  <c r="AC66" i="15"/>
  <c r="S66" i="15"/>
  <c r="K66" i="15"/>
  <c r="U66" i="15"/>
  <c r="J87" i="15"/>
  <c r="O88" i="15"/>
  <c r="Q104" i="15"/>
  <c r="O104" i="15"/>
  <c r="N104" i="15"/>
  <c r="V104" i="15"/>
  <c r="X104" i="15"/>
  <c r="W104" i="15"/>
  <c r="AC104" i="15"/>
  <c r="AA136" i="15"/>
  <c r="V136" i="15"/>
  <c r="Q136" i="15"/>
  <c r="P136" i="15"/>
  <c r="M136" i="15"/>
  <c r="O136" i="15"/>
  <c r="L136" i="15"/>
  <c r="AC136" i="15"/>
  <c r="Y144" i="15"/>
  <c r="T184" i="15"/>
  <c r="AE185" i="15"/>
  <c r="X186" i="15"/>
  <c r="I187" i="15"/>
  <c r="U188" i="15"/>
  <c r="O190" i="15"/>
  <c r="Y192" i="15"/>
  <c r="Z195" i="15"/>
  <c r="AH195" i="15"/>
  <c r="V195" i="15"/>
  <c r="AG195" i="15"/>
  <c r="U195" i="15"/>
  <c r="AD195" i="15"/>
  <c r="K195" i="15"/>
  <c r="X195" i="15"/>
  <c r="Y195" i="15"/>
  <c r="W195" i="15"/>
  <c r="N195" i="15"/>
  <c r="Y196" i="15"/>
  <c r="I197" i="15"/>
  <c r="L206" i="15"/>
  <c r="Y207" i="15"/>
  <c r="M217" i="15"/>
  <c r="N227" i="15"/>
  <c r="AA229" i="15"/>
  <c r="Z229" i="15"/>
  <c r="S229" i="15"/>
  <c r="AE237" i="15"/>
  <c r="G238" i="15"/>
  <c r="Z239" i="15"/>
  <c r="I257" i="15"/>
  <c r="L264" i="15"/>
  <c r="AA265" i="15"/>
  <c r="AA269" i="15"/>
  <c r="Y269" i="15"/>
  <c r="L269" i="15"/>
  <c r="W269" i="15"/>
  <c r="K269" i="15"/>
  <c r="V269" i="15"/>
  <c r="T269" i="15"/>
  <c r="AC269" i="15"/>
  <c r="U269" i="15"/>
  <c r="O269" i="15"/>
  <c r="P276" i="15"/>
  <c r="AE279" i="15"/>
  <c r="L280" i="15"/>
  <c r="T285" i="15"/>
  <c r="W287" i="15"/>
  <c r="AF292" i="15"/>
  <c r="W303" i="15"/>
  <c r="Q303" i="15"/>
  <c r="Z303" i="15"/>
  <c r="X303" i="15"/>
  <c r="AF303" i="15"/>
  <c r="Y303" i="15"/>
  <c r="N303" i="15"/>
  <c r="J311" i="15"/>
  <c r="N319" i="15"/>
  <c r="L322" i="15"/>
  <c r="Q325" i="15"/>
  <c r="AA325" i="15"/>
  <c r="I325" i="15"/>
  <c r="Z325" i="15"/>
  <c r="U328" i="15"/>
  <c r="H336" i="15"/>
  <c r="U337" i="15"/>
  <c r="W340" i="15"/>
  <c r="G340" i="15"/>
  <c r="V340" i="15"/>
  <c r="Q340" i="15"/>
  <c r="AG340" i="15"/>
  <c r="O340" i="15"/>
  <c r="Y340" i="15"/>
  <c r="X340" i="15"/>
  <c r="P340" i="15"/>
  <c r="N340" i="15"/>
  <c r="U343" i="15"/>
  <c r="AC343" i="15"/>
  <c r="J343" i="15"/>
  <c r="O355" i="15"/>
  <c r="AA360" i="15"/>
  <c r="V360" i="15"/>
  <c r="AG360" i="15"/>
  <c r="U360" i="15"/>
  <c r="AF360" i="15"/>
  <c r="N360" i="15"/>
  <c r="AD360" i="15"/>
  <c r="L360" i="15"/>
  <c r="X360" i="15"/>
  <c r="W360" i="15"/>
  <c r="T360" i="15"/>
  <c r="O360" i="15"/>
  <c r="AG366" i="15"/>
  <c r="Q366" i="15"/>
  <c r="AF366" i="15"/>
  <c r="P366" i="15"/>
  <c r="U366" i="15"/>
  <c r="AH366" i="15"/>
  <c r="M366" i="15"/>
  <c r="X366" i="15"/>
  <c r="W366" i="15"/>
  <c r="O366" i="15"/>
  <c r="L366" i="15"/>
  <c r="X371" i="15"/>
  <c r="W382" i="15"/>
  <c r="G382" i="15"/>
  <c r="AH382" i="15"/>
  <c r="U382" i="15"/>
  <c r="AG382" i="15"/>
  <c r="O382" i="15"/>
  <c r="AE382" i="15"/>
  <c r="L382" i="15"/>
  <c r="H382" i="15"/>
  <c r="AF382" i="15"/>
  <c r="Z382" i="15"/>
  <c r="Q382" i="15"/>
  <c r="AE387" i="15"/>
  <c r="O393" i="15"/>
  <c r="R395" i="15"/>
  <c r="AA397" i="15"/>
  <c r="V397" i="15"/>
  <c r="AH397" i="15"/>
  <c r="U397" i="15"/>
  <c r="AG397" i="15"/>
  <c r="N397" i="15"/>
  <c r="AD397" i="15"/>
  <c r="L397" i="15"/>
  <c r="AC397" i="15"/>
  <c r="Y397" i="15"/>
  <c r="W397" i="15"/>
  <c r="O397" i="15"/>
  <c r="AA400" i="15"/>
  <c r="J401" i="15"/>
  <c r="Q416" i="15"/>
  <c r="H422" i="15"/>
  <c r="Z422" i="15"/>
  <c r="AA422" i="15"/>
  <c r="T422" i="15"/>
  <c r="Y425" i="15"/>
  <c r="AC429" i="15"/>
  <c r="AA432" i="15"/>
  <c r="T433" i="15"/>
  <c r="AH441" i="15"/>
  <c r="R441" i="15"/>
  <c r="AG441" i="15"/>
  <c r="Q441" i="15"/>
  <c r="Z441" i="15"/>
  <c r="G441" i="15"/>
  <c r="W441" i="15"/>
  <c r="M441" i="15"/>
  <c r="I441" i="15"/>
  <c r="AE441" i="15"/>
  <c r="V441" i="15"/>
  <c r="AC445" i="15"/>
  <c r="P448" i="15"/>
  <c r="L450" i="15"/>
  <c r="L462" i="15"/>
  <c r="AD465" i="15"/>
  <c r="AB465" i="15"/>
  <c r="J465" i="15"/>
  <c r="G468" i="15"/>
  <c r="AA473" i="15"/>
  <c r="Q483" i="15"/>
  <c r="AE505" i="15"/>
  <c r="O510" i="15"/>
  <c r="K515" i="15"/>
  <c r="Y527" i="15"/>
  <c r="G527" i="15"/>
  <c r="X527" i="15"/>
  <c r="AG527" i="15"/>
  <c r="H527" i="15"/>
  <c r="Z527" i="15"/>
  <c r="AH527" i="15"/>
  <c r="AF527" i="15"/>
  <c r="P527" i="15"/>
  <c r="L541" i="15"/>
  <c r="AG547" i="15"/>
  <c r="Y559" i="15"/>
  <c r="G559" i="15"/>
  <c r="X559" i="15"/>
  <c r="P559" i="15"/>
  <c r="AH559" i="15"/>
  <c r="N559" i="15"/>
  <c r="AF559" i="15"/>
  <c r="Z559" i="15"/>
  <c r="W559" i="15"/>
  <c r="Q559" i="15"/>
  <c r="P560" i="15"/>
  <c r="G571" i="15"/>
  <c r="AE574" i="15"/>
  <c r="O574" i="15"/>
  <c r="Z574" i="15"/>
  <c r="M574" i="15"/>
  <c r="AF574" i="15"/>
  <c r="H574" i="15"/>
  <c r="X574" i="15"/>
  <c r="AG574" i="15"/>
  <c r="Y574" i="15"/>
  <c r="W574" i="15"/>
  <c r="P574" i="15"/>
  <c r="U593" i="15"/>
  <c r="T593" i="15"/>
  <c r="AB593" i="15"/>
  <c r="S593" i="15"/>
  <c r="I593" i="15"/>
  <c r="AA593" i="15"/>
  <c r="L594" i="15"/>
  <c r="U600" i="15"/>
  <c r="P611" i="15"/>
  <c r="AA613" i="15"/>
  <c r="S613" i="15"/>
  <c r="Q613" i="15"/>
  <c r="O613" i="15"/>
  <c r="AH613" i="15"/>
  <c r="W623" i="15"/>
  <c r="T632" i="15"/>
  <c r="W655" i="15"/>
  <c r="Q655" i="15"/>
  <c r="Z655" i="15"/>
  <c r="X655" i="15"/>
  <c r="AF655" i="15"/>
  <c r="Y655" i="15"/>
  <c r="P655" i="15"/>
  <c r="N655" i="15"/>
  <c r="AG658" i="15"/>
  <c r="Z661" i="15"/>
  <c r="AE669" i="15"/>
  <c r="AB673" i="15"/>
  <c r="AA678" i="15"/>
  <c r="AA680" i="15"/>
  <c r="X680" i="15"/>
  <c r="L680" i="15"/>
  <c r="W680" i="15"/>
  <c r="K680" i="15"/>
  <c r="AD680" i="15"/>
  <c r="V680" i="15"/>
  <c r="AG680" i="15"/>
  <c r="M680" i="15"/>
  <c r="AF680" i="15"/>
  <c r="AE680" i="15"/>
  <c r="T680" i="15"/>
  <c r="G683" i="15"/>
  <c r="H683" i="15"/>
  <c r="AA684" i="15"/>
  <c r="U684" i="15"/>
  <c r="AB684" i="15"/>
  <c r="AD684" i="15"/>
  <c r="L684" i="15"/>
  <c r="G692" i="15"/>
  <c r="J706" i="15"/>
  <c r="W718" i="15"/>
  <c r="G718" i="15"/>
  <c r="AH718" i="15"/>
  <c r="U718" i="15"/>
  <c r="AE718" i="15"/>
  <c r="L718" i="15"/>
  <c r="Y718" i="15"/>
  <c r="AG718" i="15"/>
  <c r="H718" i="15"/>
  <c r="AF718" i="15"/>
  <c r="Z718" i="15"/>
  <c r="P718" i="15"/>
  <c r="M729" i="15"/>
  <c r="N735" i="15"/>
  <c r="N740" i="15"/>
  <c r="I746" i="15"/>
  <c r="AE754" i="15"/>
  <c r="Q755" i="15"/>
  <c r="G758" i="15"/>
  <c r="AE762" i="15"/>
  <c r="AC762" i="15"/>
  <c r="U762" i="15"/>
  <c r="S762" i="15"/>
  <c r="I762" i="15"/>
  <c r="Z771" i="15"/>
  <c r="Z774" i="15"/>
  <c r="Q776" i="15"/>
  <c r="M777" i="15"/>
  <c r="AE812" i="15"/>
  <c r="X812" i="15"/>
  <c r="V812" i="15"/>
  <c r="K812" i="15"/>
  <c r="AF812" i="15"/>
  <c r="W812" i="15"/>
  <c r="W826" i="15"/>
  <c r="X831" i="15"/>
  <c r="W831" i="15"/>
  <c r="AF831" i="15"/>
  <c r="S831" i="15"/>
  <c r="X836" i="15"/>
  <c r="AF839" i="15"/>
  <c r="X839" i="15"/>
  <c r="W839" i="15"/>
  <c r="U839" i="15"/>
  <c r="M839" i="15"/>
  <c r="AE839" i="15"/>
  <c r="AD848" i="15"/>
  <c r="H848" i="15"/>
  <c r="AC848" i="15"/>
  <c r="G848" i="15"/>
  <c r="O848" i="15"/>
  <c r="AA848" i="15"/>
  <c r="S848" i="15"/>
  <c r="AE850" i="15"/>
  <c r="Y862" i="15"/>
  <c r="S862" i="15"/>
  <c r="AA862" i="15"/>
  <c r="R862" i="15"/>
  <c r="G862" i="15"/>
  <c r="AC862" i="15"/>
  <c r="AB862" i="15"/>
  <c r="O862" i="15"/>
  <c r="AE874" i="15"/>
  <c r="U874" i="15"/>
  <c r="S874" i="15"/>
  <c r="T874" i="15"/>
  <c r="L874" i="15"/>
  <c r="AF879" i="15"/>
  <c r="W879" i="15"/>
  <c r="J879" i="15"/>
  <c r="AE879" i="15"/>
  <c r="X879" i="15"/>
  <c r="AE890" i="15"/>
  <c r="O891" i="15"/>
  <c r="S896" i="15"/>
  <c r="AF900" i="15"/>
  <c r="U900" i="15"/>
  <c r="N900" i="15"/>
  <c r="X900" i="15"/>
  <c r="Y902" i="15"/>
  <c r="J914" i="15"/>
  <c r="AD925" i="15"/>
  <c r="R926" i="15"/>
  <c r="M929" i="15"/>
  <c r="K940" i="15"/>
  <c r="I940" i="15"/>
  <c r="AF940" i="15"/>
  <c r="I941" i="15"/>
  <c r="V945" i="15"/>
  <c r="Q957" i="15"/>
  <c r="AD957" i="15"/>
  <c r="I957" i="15"/>
  <c r="O963" i="15"/>
  <c r="AF975" i="15"/>
  <c r="X975" i="15"/>
  <c r="W975" i="15"/>
  <c r="I975" i="15"/>
  <c r="S975" i="15"/>
  <c r="AC976" i="15"/>
  <c r="G976" i="15"/>
  <c r="AA976" i="15"/>
  <c r="AD976" i="15"/>
  <c r="S976" i="15"/>
  <c r="Y976" i="15"/>
  <c r="P976" i="15"/>
  <c r="S984" i="15"/>
  <c r="Q984" i="15"/>
  <c r="P984" i="15"/>
  <c r="H984" i="15"/>
  <c r="AD984" i="15"/>
  <c r="AC984" i="15"/>
  <c r="Y984" i="15"/>
  <c r="O1001" i="15"/>
  <c r="AD1009" i="15"/>
  <c r="V1009" i="15"/>
  <c r="Q1009" i="15"/>
  <c r="AA1009" i="15"/>
  <c r="W1009" i="15"/>
  <c r="G1009" i="15"/>
  <c r="AG1009" i="15"/>
  <c r="AB1009" i="15"/>
  <c r="Y1009" i="15"/>
  <c r="N1009" i="15"/>
  <c r="AE1013" i="15"/>
  <c r="K1013" i="15"/>
  <c r="H1024" i="15"/>
  <c r="K1028" i="15"/>
  <c r="AF1028" i="15"/>
  <c r="AE1028" i="15"/>
  <c r="S1063" i="15"/>
  <c r="AF1063" i="15"/>
  <c r="AE1063" i="15"/>
  <c r="I1063" i="15"/>
  <c r="AD1064" i="15"/>
  <c r="H1064" i="15"/>
  <c r="AC1064" i="15"/>
  <c r="G1064" i="15"/>
  <c r="Y1064" i="15"/>
  <c r="AA1064" i="15"/>
  <c r="Q1064" i="15"/>
  <c r="AB1069" i="15"/>
  <c r="U1069" i="15"/>
  <c r="I1069" i="15"/>
  <c r="AD1069" i="15"/>
  <c r="AC1069" i="15"/>
  <c r="T1069" i="15"/>
  <c r="S1069" i="15"/>
  <c r="AH1082" i="15"/>
  <c r="AC1082" i="15"/>
  <c r="W1082" i="15"/>
  <c r="J1082" i="15"/>
  <c r="AE1082" i="15"/>
  <c r="U1082" i="15"/>
  <c r="AE1084" i="15"/>
  <c r="S1085" i="15"/>
  <c r="M1086" i="15"/>
  <c r="Z1091" i="15"/>
  <c r="K1100" i="15"/>
  <c r="U1125" i="15"/>
  <c r="AD1125" i="15"/>
  <c r="I1125" i="15"/>
  <c r="R1138" i="15"/>
  <c r="O1142" i="15"/>
  <c r="U1150" i="15"/>
  <c r="J1151" i="15"/>
  <c r="R1160" i="15"/>
  <c r="Z1162" i="15"/>
  <c r="G1164" i="15"/>
  <c r="AG1167" i="15"/>
  <c r="J1186" i="15"/>
  <c r="AC1189" i="15"/>
  <c r="P1189" i="15"/>
  <c r="AA1189" i="15"/>
  <c r="O1189" i="15"/>
  <c r="V1189" i="15"/>
  <c r="AG1189" i="15"/>
  <c r="Q1189" i="15"/>
  <c r="AF1189" i="15"/>
  <c r="N1189" i="15"/>
  <c r="H1189" i="15"/>
  <c r="AE1189" i="15"/>
  <c r="G1189" i="15"/>
  <c r="Y1189" i="15"/>
  <c r="X1189" i="15"/>
  <c r="T1189" i="15"/>
  <c r="L1225" i="15"/>
  <c r="O1230" i="15"/>
  <c r="X1236" i="15"/>
  <c r="M1236" i="15"/>
  <c r="AH1236" i="15"/>
  <c r="AH1243" i="15"/>
  <c r="I1243" i="15"/>
  <c r="AF1247" i="15"/>
  <c r="Q1247" i="15"/>
  <c r="Z1247" i="15"/>
  <c r="M1247" i="15"/>
  <c r="Y1247" i="15"/>
  <c r="L1247" i="15"/>
  <c r="U1247" i="15"/>
  <c r="P1247" i="15"/>
  <c r="AH1247" i="15"/>
  <c r="O1247" i="15"/>
  <c r="AB1247" i="15"/>
  <c r="X1247" i="15"/>
  <c r="W1247" i="15"/>
  <c r="S1247" i="15"/>
  <c r="J1247" i="15"/>
  <c r="H1255" i="15"/>
  <c r="P1272" i="15"/>
  <c r="X1281" i="15"/>
  <c r="H1299" i="15"/>
  <c r="X1299" i="15"/>
  <c r="S1299" i="15"/>
  <c r="R1299" i="15"/>
  <c r="AH1301" i="15"/>
  <c r="X1301" i="15"/>
  <c r="N1301" i="15"/>
  <c r="AD1301" i="15"/>
  <c r="S1301" i="15"/>
  <c r="AC1301" i="15"/>
  <c r="P1301" i="15"/>
  <c r="V1301" i="15"/>
  <c r="G1301" i="15"/>
  <c r="T1301" i="15"/>
  <c r="AF1301" i="15"/>
  <c r="O1301" i="15"/>
  <c r="AA1301" i="15"/>
  <c r="W1301" i="15"/>
  <c r="U1301" i="15"/>
  <c r="M1301" i="15"/>
  <c r="L1301" i="15"/>
  <c r="M1310" i="15"/>
  <c r="O1316" i="15"/>
  <c r="N1336" i="15"/>
  <c r="H1340" i="15"/>
  <c r="Q1356" i="15"/>
  <c r="AH1363" i="15"/>
  <c r="Z1364" i="15"/>
  <c r="J1380" i="15"/>
  <c r="Z1395" i="15"/>
  <c r="AH1395" i="15"/>
  <c r="Y1395" i="15"/>
  <c r="X1395" i="15"/>
  <c r="R1395" i="15"/>
  <c r="M1398" i="15"/>
  <c r="X1399" i="15"/>
  <c r="M1401" i="15"/>
  <c r="L1407" i="15"/>
  <c r="K1409" i="15"/>
  <c r="AH1443" i="15"/>
  <c r="R1443" i="15"/>
  <c r="AA1443" i="15"/>
  <c r="H1443" i="15"/>
  <c r="T1443" i="15"/>
  <c r="S1443" i="15"/>
  <c r="AG1443" i="15"/>
  <c r="AB1443" i="15"/>
  <c r="Y1443" i="15"/>
  <c r="I1443" i="15"/>
  <c r="Q1443" i="15"/>
  <c r="N1446" i="15"/>
  <c r="O1476" i="15"/>
  <c r="AB1493" i="15"/>
  <c r="AG1532" i="15"/>
  <c r="AH1558" i="15"/>
  <c r="AD1558" i="15"/>
  <c r="S1558" i="15"/>
  <c r="AB1558" i="15"/>
  <c r="M1558" i="15"/>
  <c r="W1558" i="15"/>
  <c r="K1558" i="15"/>
  <c r="AA1558" i="15"/>
  <c r="V1558" i="15"/>
  <c r="L1558" i="15"/>
  <c r="AE1558" i="15"/>
  <c r="AC1558" i="15"/>
  <c r="G1558" i="15"/>
  <c r="T1558" i="15"/>
  <c r="I1563" i="15"/>
  <c r="AA1563" i="15"/>
  <c r="J1563" i="15"/>
  <c r="L1583" i="15"/>
  <c r="AG1583" i="15"/>
  <c r="K1583" i="15"/>
  <c r="AB1593" i="15"/>
  <c r="X1593" i="15"/>
  <c r="H1593" i="15"/>
  <c r="AD1593" i="15"/>
  <c r="M1593" i="15"/>
  <c r="W1593" i="15"/>
  <c r="AF1593" i="15"/>
  <c r="G1593" i="15"/>
  <c r="AE1593" i="15"/>
  <c r="O1593" i="15"/>
  <c r="AC1593" i="15"/>
  <c r="U1593" i="15"/>
  <c r="M1617" i="15"/>
  <c r="J1651" i="15"/>
  <c r="I1651" i="15"/>
  <c r="N1681" i="15"/>
  <c r="Z1684" i="15"/>
  <c r="M1685" i="15"/>
  <c r="X1696" i="15"/>
  <c r="AC1697" i="15"/>
  <c r="L1703" i="15"/>
  <c r="K1703" i="15"/>
  <c r="AH1703" i="15"/>
  <c r="R1703" i="15"/>
  <c r="R1707" i="15"/>
  <c r="AB1709" i="15"/>
  <c r="W1709" i="15"/>
  <c r="G1709" i="15"/>
  <c r="AD1709" i="15"/>
  <c r="M1709" i="15"/>
  <c r="X1709" i="15"/>
  <c r="AE1709" i="15"/>
  <c r="AC1709" i="15"/>
  <c r="V1709" i="15"/>
  <c r="U1709" i="15"/>
  <c r="P1709" i="15"/>
  <c r="O1709" i="15"/>
  <c r="T1747" i="15"/>
  <c r="N1793" i="15"/>
  <c r="S1834" i="15"/>
  <c r="R1852" i="15"/>
  <c r="I1855" i="15"/>
  <c r="J1855" i="15"/>
  <c r="P1893" i="15"/>
  <c r="Q1903" i="15"/>
  <c r="Q1980" i="15"/>
  <c r="J1980" i="15"/>
  <c r="AG1980" i="15"/>
  <c r="AF1980" i="15"/>
  <c r="AE1980" i="15"/>
  <c r="Z1980" i="15"/>
  <c r="P1980" i="15"/>
  <c r="I1980" i="15"/>
  <c r="Y1980" i="15"/>
  <c r="K1986" i="15"/>
  <c r="T1945" i="16"/>
  <c r="F1945" i="16"/>
  <c r="O1945" i="16"/>
  <c r="E1945" i="16"/>
  <c r="L1945" i="16"/>
  <c r="K1945" i="16"/>
  <c r="I1945" i="16"/>
  <c r="G1945" i="16"/>
  <c r="N1945" i="16"/>
  <c r="M1945" i="16"/>
  <c r="K2618" i="16"/>
  <c r="E2618" i="16"/>
  <c r="T2618" i="16"/>
  <c r="N2618" i="16"/>
  <c r="J2714" i="16"/>
  <c r="T2714" i="16"/>
  <c r="I2714" i="16"/>
  <c r="F2714" i="16"/>
  <c r="E2714" i="16"/>
  <c r="T2744" i="16"/>
  <c r="N2744" i="16"/>
  <c r="E2744" i="16"/>
  <c r="M2744" i="16"/>
  <c r="G2744" i="16"/>
  <c r="F2744" i="16"/>
  <c r="L2744" i="16"/>
  <c r="K2744" i="16"/>
  <c r="J2744" i="16"/>
  <c r="H2744" i="16"/>
  <c r="P2744" i="16"/>
  <c r="O2744" i="16"/>
  <c r="P2764" i="16"/>
  <c r="O2764" i="16"/>
  <c r="K2764" i="16"/>
  <c r="L2764" i="16"/>
  <c r="P2863" i="16"/>
  <c r="O2863" i="16"/>
  <c r="T2863" i="16"/>
  <c r="N2863" i="16"/>
  <c r="H2863" i="16"/>
  <c r="G2863" i="16"/>
  <c r="F2863" i="16"/>
  <c r="E2863" i="16"/>
  <c r="M2863" i="16"/>
  <c r="I2965" i="16"/>
  <c r="H2965" i="16"/>
  <c r="F2965" i="16"/>
  <c r="P2965" i="16"/>
  <c r="G2965" i="16"/>
  <c r="I3093" i="16"/>
  <c r="H3093" i="16"/>
  <c r="P3093" i="16"/>
  <c r="J3093" i="16"/>
  <c r="O3127" i="16"/>
  <c r="N3127" i="16"/>
  <c r="H3127" i="16"/>
  <c r="G3127" i="16"/>
  <c r="F3127" i="16"/>
  <c r="E3127" i="16"/>
  <c r="P3127" i="16"/>
  <c r="L3127" i="16"/>
  <c r="T3127" i="16"/>
  <c r="K3211" i="16"/>
  <c r="J3211" i="16"/>
  <c r="I3211" i="16"/>
  <c r="H3211" i="16"/>
  <c r="T3213" i="16"/>
  <c r="F3213" i="16"/>
  <c r="H3213" i="16"/>
  <c r="G3213" i="16"/>
  <c r="P3213" i="16"/>
  <c r="O3213" i="16"/>
  <c r="I3213" i="16"/>
  <c r="H3725" i="16"/>
  <c r="G3725" i="16"/>
  <c r="I3725" i="16"/>
  <c r="F3725" i="16"/>
  <c r="O3725" i="16"/>
  <c r="T3725" i="16"/>
  <c r="P3725" i="16"/>
  <c r="J3763" i="16"/>
  <c r="H3763" i="16"/>
  <c r="E3763" i="16"/>
  <c r="P3763" i="16"/>
  <c r="M3763" i="16"/>
  <c r="T3763" i="16"/>
  <c r="I3763" i="16"/>
  <c r="T4329" i="16"/>
  <c r="P4329" i="16"/>
  <c r="G4329" i="16"/>
  <c r="N4329" i="16"/>
  <c r="E4329" i="16"/>
  <c r="H4329" i="16"/>
  <c r="F4329" i="16"/>
  <c r="K4329" i="16"/>
  <c r="J4329" i="16"/>
  <c r="M4329" i="16"/>
  <c r="L4329" i="16"/>
  <c r="O4329" i="16"/>
  <c r="K4343" i="16"/>
  <c r="N4343" i="16"/>
  <c r="L4343" i="16"/>
  <c r="F4343" i="16"/>
  <c r="T4343" i="16"/>
  <c r="E4343" i="16"/>
  <c r="M4343" i="16"/>
  <c r="J4343" i="16"/>
  <c r="O4343" i="16"/>
  <c r="H4343" i="16"/>
  <c r="G4343" i="16"/>
  <c r="P4343" i="16"/>
  <c r="K4693" i="16"/>
  <c r="T4693" i="16"/>
  <c r="H4693" i="16"/>
  <c r="I4693" i="16"/>
  <c r="J4712" i="16"/>
  <c r="O4712" i="16"/>
  <c r="N4712" i="16"/>
  <c r="E4712" i="16"/>
  <c r="F4712" i="16"/>
  <c r="M4712" i="16"/>
  <c r="L4712" i="16"/>
  <c r="K4712" i="16"/>
  <c r="I4738" i="16"/>
  <c r="F4738" i="16"/>
  <c r="E4738" i="16"/>
  <c r="N4738" i="16"/>
  <c r="L4738" i="16"/>
  <c r="K4738" i="16"/>
  <c r="O4738" i="16"/>
  <c r="M4738" i="16"/>
  <c r="K4748" i="16"/>
  <c r="M4748" i="16"/>
  <c r="L4748" i="16"/>
  <c r="H4759" i="16"/>
  <c r="T4759" i="16"/>
  <c r="M4759" i="16"/>
  <c r="P4767" i="16"/>
  <c r="O4767" i="16"/>
  <c r="I4858" i="16"/>
  <c r="F4858" i="16"/>
  <c r="N4858" i="16"/>
  <c r="E4858" i="16"/>
  <c r="T4858" i="16"/>
  <c r="O4858" i="16"/>
  <c r="I4867" i="16"/>
  <c r="N4867" i="16"/>
  <c r="M4867" i="16"/>
  <c r="P4867" i="16"/>
  <c r="E4867" i="16"/>
  <c r="F4867" i="16"/>
  <c r="L4867" i="16"/>
  <c r="K4867" i="16"/>
  <c r="H4867" i="16"/>
  <c r="T4867" i="16"/>
  <c r="T5495" i="16"/>
  <c r="H5495" i="16"/>
  <c r="F5495" i="16"/>
  <c r="E5495" i="16"/>
  <c r="N5495" i="16"/>
  <c r="M5495" i="16"/>
  <c r="P5495" i="16"/>
  <c r="O5495" i="16"/>
  <c r="L5495" i="16"/>
  <c r="J5506" i="16"/>
  <c r="I5506" i="16"/>
  <c r="F5506" i="16"/>
  <c r="K5506" i="16"/>
  <c r="P5771" i="16"/>
  <c r="K5771" i="16"/>
  <c r="J5771" i="16"/>
  <c r="AC1725" i="17"/>
  <c r="AA1725" i="17"/>
  <c r="M1725" i="17"/>
  <c r="AI1725" i="17"/>
  <c r="AF1725" i="17"/>
  <c r="AM1758" i="17"/>
  <c r="L1758" i="17"/>
  <c r="R931" i="15"/>
  <c r="Q931" i="15"/>
  <c r="Z931" i="15"/>
  <c r="P931" i="15"/>
  <c r="O931" i="15"/>
  <c r="AD937" i="15"/>
  <c r="AG937" i="15"/>
  <c r="Q937" i="15"/>
  <c r="AC937" i="15"/>
  <c r="O937" i="15"/>
  <c r="AA937" i="15"/>
  <c r="G937" i="15"/>
  <c r="W937" i="15"/>
  <c r="N937" i="15"/>
  <c r="Q944" i="15"/>
  <c r="P944" i="15"/>
  <c r="H944" i="15"/>
  <c r="AD944" i="15"/>
  <c r="S944" i="15"/>
  <c r="S974" i="15"/>
  <c r="R974" i="15"/>
  <c r="AB974" i="15"/>
  <c r="G974" i="15"/>
  <c r="Z974" i="15"/>
  <c r="O974" i="15"/>
  <c r="AD981" i="15"/>
  <c r="U981" i="15"/>
  <c r="T981" i="15"/>
  <c r="AC981" i="15"/>
  <c r="S981" i="15"/>
  <c r="AE986" i="15"/>
  <c r="S986" i="15"/>
  <c r="L986" i="15"/>
  <c r="AH986" i="15"/>
  <c r="W986" i="15"/>
  <c r="AG1041" i="15"/>
  <c r="T1041" i="15"/>
  <c r="G1041" i="15"/>
  <c r="AD1041" i="15"/>
  <c r="S1041" i="15"/>
  <c r="Q1041" i="15"/>
  <c r="AC1041" i="15"/>
  <c r="N1041" i="15"/>
  <c r="M1041" i="15"/>
  <c r="AA1049" i="15"/>
  <c r="N1049" i="15"/>
  <c r="Y1049" i="15"/>
  <c r="M1049" i="15"/>
  <c r="W1049" i="15"/>
  <c r="G1049" i="15"/>
  <c r="T1049" i="15"/>
  <c r="O1049" i="15"/>
  <c r="AE1050" i="15"/>
  <c r="AC1050" i="15"/>
  <c r="W1050" i="15"/>
  <c r="U1050" i="15"/>
  <c r="T1050" i="15"/>
  <c r="AE1066" i="15"/>
  <c r="J1066" i="15"/>
  <c r="AD1077" i="15"/>
  <c r="AB1077" i="15"/>
  <c r="U1077" i="15"/>
  <c r="T1077" i="15"/>
  <c r="K1092" i="15"/>
  <c r="I1092" i="15"/>
  <c r="T1093" i="15"/>
  <c r="AC1093" i="15"/>
  <c r="AB1093" i="15"/>
  <c r="I1109" i="15"/>
  <c r="G1109" i="15"/>
  <c r="AC1109" i="15"/>
  <c r="U1109" i="15"/>
  <c r="AD1109" i="15"/>
  <c r="AE1114" i="15"/>
  <c r="W1114" i="15"/>
  <c r="T1114" i="15"/>
  <c r="AC1173" i="15"/>
  <c r="P1173" i="15"/>
  <c r="AA1173" i="15"/>
  <c r="O1173" i="15"/>
  <c r="AE1173" i="15"/>
  <c r="M1173" i="15"/>
  <c r="X1173" i="15"/>
  <c r="H1173" i="15"/>
  <c r="W1173" i="15"/>
  <c r="G1173" i="15"/>
  <c r="Q1173" i="15"/>
  <c r="Y1177" i="15"/>
  <c r="AC1177" i="15"/>
  <c r="O1177" i="15"/>
  <c r="AA1177" i="15"/>
  <c r="N1177" i="15"/>
  <c r="X1177" i="15"/>
  <c r="K1177" i="15"/>
  <c r="V1177" i="15"/>
  <c r="U1177" i="15"/>
  <c r="M1177" i="15"/>
  <c r="AG1181" i="15"/>
  <c r="S1181" i="15"/>
  <c r="AE1181" i="15"/>
  <c r="Q1181" i="15"/>
  <c r="O1181" i="15"/>
  <c r="AD1181" i="15"/>
  <c r="I1181" i="15"/>
  <c r="AC1181" i="15"/>
  <c r="H1181" i="15"/>
  <c r="U1181" i="15"/>
  <c r="AF1188" i="15"/>
  <c r="AA1188" i="15"/>
  <c r="M1188" i="15"/>
  <c r="Y1188" i="15"/>
  <c r="I1188" i="15"/>
  <c r="AD1188" i="15"/>
  <c r="V1188" i="15"/>
  <c r="R1188" i="15"/>
  <c r="P1188" i="15"/>
  <c r="Y1221" i="15"/>
  <c r="N1221" i="15"/>
  <c r="V1221" i="15"/>
  <c r="G1221" i="15"/>
  <c r="AG1221" i="15"/>
  <c r="T1221" i="15"/>
  <c r="AA1221" i="15"/>
  <c r="H1221" i="15"/>
  <c r="W1221" i="15"/>
  <c r="Q1221" i="15"/>
  <c r="O1221" i="15"/>
  <c r="AH1254" i="15"/>
  <c r="S1254" i="15"/>
  <c r="V1254" i="15"/>
  <c r="T1254" i="15"/>
  <c r="AA1254" i="15"/>
  <c r="R1254" i="15"/>
  <c r="Q1254" i="15"/>
  <c r="L1254" i="15"/>
  <c r="M1274" i="15"/>
  <c r="AG1274" i="15"/>
  <c r="R1274" i="15"/>
  <c r="AD1274" i="15"/>
  <c r="I1291" i="15"/>
  <c r="AA1291" i="15"/>
  <c r="Z1291" i="15"/>
  <c r="X1291" i="15"/>
  <c r="T1291" i="15"/>
  <c r="V1294" i="15"/>
  <c r="J1294" i="15"/>
  <c r="T1294" i="15"/>
  <c r="AH1294" i="15"/>
  <c r="S1294" i="15"/>
  <c r="AB1294" i="15"/>
  <c r="L1294" i="15"/>
  <c r="Z1294" i="15"/>
  <c r="Y1294" i="15"/>
  <c r="N1294" i="15"/>
  <c r="AB1307" i="15"/>
  <c r="H1307" i="15"/>
  <c r="S1307" i="15"/>
  <c r="R1307" i="15"/>
  <c r="AF1307" i="15"/>
  <c r="AA1307" i="15"/>
  <c r="T1307" i="15"/>
  <c r="P1307" i="15"/>
  <c r="AH1309" i="15"/>
  <c r="AC1309" i="15"/>
  <c r="S1309" i="15"/>
  <c r="G1309" i="15"/>
  <c r="AF1309" i="15"/>
  <c r="U1309" i="15"/>
  <c r="H1309" i="15"/>
  <c r="AE1309" i="15"/>
  <c r="T1309" i="15"/>
  <c r="X1309" i="15"/>
  <c r="K1309" i="15"/>
  <c r="V1309" i="15"/>
  <c r="P1309" i="15"/>
  <c r="N1309" i="15"/>
  <c r="AH1313" i="15"/>
  <c r="AC1313" i="15"/>
  <c r="S1313" i="15"/>
  <c r="G1313" i="15"/>
  <c r="AF1313" i="15"/>
  <c r="U1313" i="15"/>
  <c r="H1313" i="15"/>
  <c r="AE1313" i="15"/>
  <c r="T1313" i="15"/>
  <c r="V1313" i="15"/>
  <c r="O1313" i="15"/>
  <c r="AD1313" i="15"/>
  <c r="N1313" i="15"/>
  <c r="M1313" i="15"/>
  <c r="AH1333" i="15"/>
  <c r="AA1333" i="15"/>
  <c r="O1333" i="15"/>
  <c r="AD1333" i="15"/>
  <c r="S1333" i="15"/>
  <c r="AC1333" i="15"/>
  <c r="P1333" i="15"/>
  <c r="U1333" i="15"/>
  <c r="AF1333" i="15"/>
  <c r="N1333" i="15"/>
  <c r="AE1333" i="15"/>
  <c r="M1333" i="15"/>
  <c r="K1333" i="15"/>
  <c r="W1408" i="15"/>
  <c r="G1408" i="15"/>
  <c r="AG1442" i="15"/>
  <c r="AA1442" i="15"/>
  <c r="M1442" i="15"/>
  <c r="AD1442" i="15"/>
  <c r="R1442" i="15"/>
  <c r="V1442" i="15"/>
  <c r="U1442" i="15"/>
  <c r="AB1442" i="15"/>
  <c r="T1442" i="15"/>
  <c r="S1442" i="15"/>
  <c r="L1442" i="15"/>
  <c r="Z1444" i="15"/>
  <c r="H1444" i="15"/>
  <c r="V1444" i="15"/>
  <c r="R1444" i="15"/>
  <c r="Q1444" i="15"/>
  <c r="J1444" i="15"/>
  <c r="AF1444" i="15"/>
  <c r="AE1444" i="15"/>
  <c r="P1444" i="15"/>
  <c r="AA1447" i="15"/>
  <c r="AF1447" i="15"/>
  <c r="P1447" i="15"/>
  <c r="AG1447" i="15"/>
  <c r="X1447" i="15"/>
  <c r="Q1447" i="15"/>
  <c r="G1448" i="15"/>
  <c r="Z1448" i="15"/>
  <c r="I1448" i="15"/>
  <c r="AG1451" i="15"/>
  <c r="R1451" i="15"/>
  <c r="Y1451" i="15"/>
  <c r="AA1451" i="15"/>
  <c r="Z1451" i="15"/>
  <c r="AF1451" i="15"/>
  <c r="T1451" i="15"/>
  <c r="Q1451" i="15"/>
  <c r="L1451" i="15"/>
  <c r="Y1460" i="15"/>
  <c r="X1460" i="15"/>
  <c r="AG1460" i="15"/>
  <c r="O1460" i="15"/>
  <c r="H1460" i="15"/>
  <c r="AH1460" i="15"/>
  <c r="W1460" i="15"/>
  <c r="AG1466" i="15"/>
  <c r="AD1466" i="15"/>
  <c r="S1466" i="15"/>
  <c r="U1466" i="15"/>
  <c r="AH1466" i="15"/>
  <c r="N1466" i="15"/>
  <c r="AC1466" i="15"/>
  <c r="M1466" i="15"/>
  <c r="AB1466" i="15"/>
  <c r="J1466" i="15"/>
  <c r="Z1466" i="15"/>
  <c r="V1466" i="15"/>
  <c r="R1466" i="15"/>
  <c r="X1508" i="15"/>
  <c r="G1508" i="15"/>
  <c r="AE1508" i="15"/>
  <c r="J1508" i="15"/>
  <c r="Z1508" i="15"/>
  <c r="V1508" i="15"/>
  <c r="R1508" i="15"/>
  <c r="O1508" i="15"/>
  <c r="AG1508" i="15"/>
  <c r="Q1508" i="15"/>
  <c r="I1559" i="15"/>
  <c r="AB1559" i="15"/>
  <c r="Y1559" i="15"/>
  <c r="R1559" i="15"/>
  <c r="K1559" i="15"/>
  <c r="AG1559" i="15"/>
  <c r="AH1618" i="15"/>
  <c r="U1618" i="15"/>
  <c r="G1618" i="15"/>
  <c r="AC1618" i="15"/>
  <c r="N1618" i="15"/>
  <c r="AA1618" i="15"/>
  <c r="L1618" i="15"/>
  <c r="W1618" i="15"/>
  <c r="V1618" i="15"/>
  <c r="S1618" i="15"/>
  <c r="M1618" i="15"/>
  <c r="K1618" i="15"/>
  <c r="AB1618" i="15"/>
  <c r="AB1653" i="15"/>
  <c r="U1653" i="15"/>
  <c r="AC1653" i="15"/>
  <c r="H1653" i="15"/>
  <c r="W1653" i="15"/>
  <c r="AF1653" i="15"/>
  <c r="M1653" i="15"/>
  <c r="AE1653" i="15"/>
  <c r="G1653" i="15"/>
  <c r="X1653" i="15"/>
  <c r="V1653" i="15"/>
  <c r="P1653" i="15"/>
  <c r="Q1663" i="15"/>
  <c r="K1663" i="15"/>
  <c r="L1663" i="15"/>
  <c r="Y1675" i="15"/>
  <c r="R1675" i="15"/>
  <c r="J1675" i="15"/>
  <c r="AH1675" i="15"/>
  <c r="AG1675" i="15"/>
  <c r="Z1675" i="15"/>
  <c r="S1675" i="15"/>
  <c r="AH1686" i="15"/>
  <c r="U1686" i="15"/>
  <c r="G1686" i="15"/>
  <c r="AC1686" i="15"/>
  <c r="N1686" i="15"/>
  <c r="AA1686" i="15"/>
  <c r="L1686" i="15"/>
  <c r="AB1686" i="15"/>
  <c r="W1686" i="15"/>
  <c r="S1686" i="15"/>
  <c r="M1686" i="15"/>
  <c r="K1686" i="15"/>
  <c r="V1686" i="15"/>
  <c r="R1736" i="15"/>
  <c r="AH1736" i="15"/>
  <c r="G1736" i="15"/>
  <c r="AF1736" i="15"/>
  <c r="AG1736" i="15"/>
  <c r="X1736" i="15"/>
  <c r="W1736" i="15"/>
  <c r="Q1736" i="15"/>
  <c r="AH1758" i="15"/>
  <c r="AC1758" i="15"/>
  <c r="O1758" i="15"/>
  <c r="V1758" i="15"/>
  <c r="G1758" i="15"/>
  <c r="T1758" i="15"/>
  <c r="AB1758" i="15"/>
  <c r="K1758" i="15"/>
  <c r="AA1758" i="15"/>
  <c r="W1758" i="15"/>
  <c r="M1758" i="15"/>
  <c r="AE1758" i="15"/>
  <c r="S1758" i="15"/>
  <c r="AB1777" i="15"/>
  <c r="AE1777" i="15"/>
  <c r="O1777" i="15"/>
  <c r="AC1777" i="15"/>
  <c r="H1777" i="15"/>
  <c r="W1777" i="15"/>
  <c r="AD1777" i="15"/>
  <c r="X1777" i="15"/>
  <c r="V1777" i="15"/>
  <c r="U1777" i="15"/>
  <c r="P1777" i="15"/>
  <c r="N1777" i="15"/>
  <c r="AB1837" i="15"/>
  <c r="AD1837" i="15"/>
  <c r="N1837" i="15"/>
  <c r="W1837" i="15"/>
  <c r="U1837" i="15"/>
  <c r="AF1837" i="15"/>
  <c r="H1837" i="15"/>
  <c r="AE1837" i="15"/>
  <c r="G1837" i="15"/>
  <c r="AC1837" i="15"/>
  <c r="O1837" i="15"/>
  <c r="V1837" i="15"/>
  <c r="AB1901" i="15"/>
  <c r="X1901" i="15"/>
  <c r="H1901" i="15"/>
  <c r="V1901" i="15"/>
  <c r="P1901" i="15"/>
  <c r="W1901" i="15"/>
  <c r="U1901" i="15"/>
  <c r="O1901" i="15"/>
  <c r="AC1901" i="15"/>
  <c r="M1901" i="15"/>
  <c r="G1901" i="15"/>
  <c r="AE1901" i="15"/>
  <c r="AG1922" i="15"/>
  <c r="AF1922" i="15"/>
  <c r="W1922" i="15"/>
  <c r="N1922" i="15"/>
  <c r="AA1922" i="15"/>
  <c r="P1922" i="15"/>
  <c r="X1922" i="15"/>
  <c r="M1922" i="15"/>
  <c r="U1922" i="15"/>
  <c r="H1922" i="15"/>
  <c r="AH1922" i="15"/>
  <c r="T1922" i="15"/>
  <c r="G1922" i="15"/>
  <c r="AE1922" i="15"/>
  <c r="S1922" i="15"/>
  <c r="Z1922" i="15"/>
  <c r="R1922" i="15"/>
  <c r="O1922" i="15"/>
  <c r="L1922" i="15"/>
  <c r="AB1993" i="15"/>
  <c r="X1993" i="15"/>
  <c r="H1993" i="15"/>
  <c r="AD1993" i="15"/>
  <c r="M1993" i="15"/>
  <c r="W1993" i="15"/>
  <c r="AE1993" i="15"/>
  <c r="AC1993" i="15"/>
  <c r="V1993" i="15"/>
  <c r="U1993" i="15"/>
  <c r="AF1993" i="15"/>
  <c r="P1993" i="15"/>
  <c r="O1993" i="15"/>
  <c r="J35" i="16"/>
  <c r="K35" i="16"/>
  <c r="G61" i="16"/>
  <c r="J61" i="16"/>
  <c r="I61" i="16"/>
  <c r="J83" i="16"/>
  <c r="M83" i="16"/>
  <c r="H154" i="16"/>
  <c r="J154" i="16"/>
  <c r="I154" i="16"/>
  <c r="M686" i="16"/>
  <c r="L686" i="16"/>
  <c r="K686" i="16"/>
  <c r="O1253" i="16"/>
  <c r="G1253" i="16"/>
  <c r="K1279" i="16"/>
  <c r="L1279" i="16"/>
  <c r="M1279" i="16"/>
  <c r="P1361" i="16"/>
  <c r="K1361" i="16"/>
  <c r="T1361" i="16"/>
  <c r="L1361" i="16"/>
  <c r="M1424" i="16"/>
  <c r="J1424" i="16"/>
  <c r="K1450" i="16"/>
  <c r="I1450" i="16"/>
  <c r="J1450" i="16"/>
  <c r="H1450" i="16"/>
  <c r="H1452" i="16"/>
  <c r="P1452" i="16"/>
  <c r="F1452" i="16"/>
  <c r="T1452" i="16"/>
  <c r="G1452" i="16"/>
  <c r="E1452" i="16"/>
  <c r="T1464" i="16"/>
  <c r="O1464" i="16"/>
  <c r="F1464" i="16"/>
  <c r="G1464" i="16"/>
  <c r="P1464" i="16"/>
  <c r="M1464" i="16"/>
  <c r="H1464" i="16"/>
  <c r="E1464" i="16"/>
  <c r="J1464" i="16"/>
  <c r="H1503" i="16"/>
  <c r="P1503" i="16"/>
  <c r="G1503" i="16"/>
  <c r="T1503" i="16"/>
  <c r="I1503" i="16"/>
  <c r="F1503" i="16"/>
  <c r="E1538" i="16"/>
  <c r="T1538" i="16"/>
  <c r="P1538" i="16"/>
  <c r="M1538" i="16"/>
  <c r="H1538" i="16"/>
  <c r="F1538" i="16"/>
  <c r="N1538" i="16"/>
  <c r="I1538" i="16"/>
  <c r="E1590" i="16"/>
  <c r="P1590" i="16"/>
  <c r="F1590" i="16"/>
  <c r="N1590" i="16"/>
  <c r="H1590" i="16"/>
  <c r="G1590" i="16"/>
  <c r="T1590" i="16"/>
  <c r="O1590" i="16"/>
  <c r="L1677" i="16"/>
  <c r="P1677" i="16"/>
  <c r="F1677" i="16"/>
  <c r="G1677" i="16"/>
  <c r="H1677" i="16"/>
  <c r="E1677" i="16"/>
  <c r="M1677" i="16"/>
  <c r="G1769" i="16"/>
  <c r="F1769" i="16"/>
  <c r="T1769" i="16"/>
  <c r="M1769" i="16"/>
  <c r="I1769" i="16"/>
  <c r="E1769" i="16"/>
  <c r="O1769" i="16"/>
  <c r="N1769" i="16"/>
  <c r="I2078" i="16"/>
  <c r="H2078" i="16"/>
  <c r="G2078" i="16"/>
  <c r="F2078" i="16"/>
  <c r="I2532" i="16"/>
  <c r="H2532" i="16"/>
  <c r="G2532" i="16"/>
  <c r="P2532" i="16"/>
  <c r="J2532" i="16"/>
  <c r="T2532" i="16"/>
  <c r="T2704" i="16"/>
  <c r="O2704" i="16"/>
  <c r="F2704" i="16"/>
  <c r="N2704" i="16"/>
  <c r="E2704" i="16"/>
  <c r="P2704" i="16"/>
  <c r="M2704" i="16"/>
  <c r="G2704" i="16"/>
  <c r="K2704" i="16"/>
  <c r="J2704" i="16"/>
  <c r="H2704" i="16"/>
  <c r="L2704" i="16"/>
  <c r="I2708" i="16"/>
  <c r="T2708" i="16"/>
  <c r="P2708" i="16"/>
  <c r="J2708" i="16"/>
  <c r="H2708" i="16"/>
  <c r="G2708" i="16"/>
  <c r="O2708" i="16"/>
  <c r="L2708" i="16"/>
  <c r="T2857" i="16"/>
  <c r="J2857" i="16"/>
  <c r="G2857" i="16"/>
  <c r="K2857" i="16"/>
  <c r="F2857" i="16"/>
  <c r="N2857" i="16"/>
  <c r="M2857" i="16"/>
  <c r="L2857" i="16"/>
  <c r="E2857" i="16"/>
  <c r="O2857" i="16"/>
  <c r="J2947" i="16"/>
  <c r="E2947" i="16"/>
  <c r="T2947" i="16"/>
  <c r="K2947" i="16"/>
  <c r="I3103" i="16"/>
  <c r="E3103" i="16"/>
  <c r="O3103" i="16"/>
  <c r="M3103" i="16"/>
  <c r="L3103" i="16"/>
  <c r="T3153" i="16"/>
  <c r="N3153" i="16"/>
  <c r="M3153" i="16"/>
  <c r="G3153" i="16"/>
  <c r="F3153" i="16"/>
  <c r="K3153" i="16"/>
  <c r="J3153" i="16"/>
  <c r="O3153" i="16"/>
  <c r="L3153" i="16"/>
  <c r="E3153" i="16"/>
  <c r="O3175" i="16"/>
  <c r="N3175" i="16"/>
  <c r="T3175" i="16"/>
  <c r="P3175" i="16"/>
  <c r="H3175" i="16"/>
  <c r="G3175" i="16"/>
  <c r="L3175" i="16"/>
  <c r="F3175" i="16"/>
  <c r="E3175" i="16"/>
  <c r="M3175" i="16"/>
  <c r="T3177" i="16"/>
  <c r="G3177" i="16"/>
  <c r="F3177" i="16"/>
  <c r="E3177" i="16"/>
  <c r="J3177" i="16"/>
  <c r="N3177" i="16"/>
  <c r="M3177" i="16"/>
  <c r="L3177" i="16"/>
  <c r="K3177" i="16"/>
  <c r="O3177" i="16"/>
  <c r="J3245" i="16"/>
  <c r="K3245" i="16"/>
  <c r="O3245" i="16"/>
  <c r="N3245" i="16"/>
  <c r="J3267" i="16"/>
  <c r="I3267" i="16"/>
  <c r="H3267" i="16"/>
  <c r="T3267" i="16"/>
  <c r="E3267" i="16"/>
  <c r="J3674" i="16"/>
  <c r="I3674" i="16"/>
  <c r="T3674" i="16"/>
  <c r="K3674" i="16"/>
  <c r="T3849" i="16"/>
  <c r="O3849" i="16"/>
  <c r="E3849" i="16"/>
  <c r="M3849" i="16"/>
  <c r="F3849" i="16"/>
  <c r="J3849" i="16"/>
  <c r="G3849" i="16"/>
  <c r="L3849" i="16"/>
  <c r="K3849" i="16"/>
  <c r="N3849" i="16"/>
  <c r="I3851" i="16"/>
  <c r="H3851" i="16"/>
  <c r="K3851" i="16"/>
  <c r="J3851" i="16"/>
  <c r="H3886" i="16"/>
  <c r="O3886" i="16"/>
  <c r="M3886" i="16"/>
  <c r="N3886" i="16"/>
  <c r="J3886" i="16"/>
  <c r="P3886" i="16"/>
  <c r="F3886" i="16"/>
  <c r="E3886" i="16"/>
  <c r="O3900" i="16"/>
  <c r="I3900" i="16"/>
  <c r="L3900" i="16"/>
  <c r="T3904" i="16"/>
  <c r="P3904" i="16"/>
  <c r="G3904" i="16"/>
  <c r="N3904" i="16"/>
  <c r="E3904" i="16"/>
  <c r="K3904" i="16"/>
  <c r="J3904" i="16"/>
  <c r="L3904" i="16"/>
  <c r="H3904" i="16"/>
  <c r="F3904" i="16"/>
  <c r="O3904" i="16"/>
  <c r="M3904" i="16"/>
  <c r="K4014" i="16"/>
  <c r="M4014" i="16"/>
  <c r="H4014" i="16"/>
  <c r="I4014" i="16"/>
  <c r="T4014" i="16"/>
  <c r="T4019" i="16"/>
  <c r="P4019" i="16"/>
  <c r="G4019" i="16"/>
  <c r="N4019" i="16"/>
  <c r="E4019" i="16"/>
  <c r="J4019" i="16"/>
  <c r="H4019" i="16"/>
  <c r="M4019" i="16"/>
  <c r="L4019" i="16"/>
  <c r="K4019" i="16"/>
  <c r="F4019" i="16"/>
  <c r="O4019" i="16"/>
  <c r="T4433" i="16"/>
  <c r="O4433" i="16"/>
  <c r="F4433" i="16"/>
  <c r="N4433" i="16"/>
  <c r="E4433" i="16"/>
  <c r="J4433" i="16"/>
  <c r="G4433" i="16"/>
  <c r="K4433" i="16"/>
  <c r="H4433" i="16"/>
  <c r="P4433" i="16"/>
  <c r="M4433" i="16"/>
  <c r="L4433" i="16"/>
  <c r="O4450" i="16"/>
  <c r="K4450" i="16"/>
  <c r="H4755" i="16"/>
  <c r="F4755" i="16"/>
  <c r="T4755" i="16"/>
  <c r="I4755" i="16"/>
  <c r="E4755" i="16"/>
  <c r="P4755" i="16"/>
  <c r="J4797" i="16"/>
  <c r="N4797" i="16"/>
  <c r="K4797" i="16"/>
  <c r="L4797" i="16"/>
  <c r="N4819" i="16"/>
  <c r="J4819" i="16"/>
  <c r="P4819" i="16"/>
  <c r="I4819" i="16"/>
  <c r="J5512" i="16"/>
  <c r="G5512" i="16"/>
  <c r="P5512" i="16"/>
  <c r="F5512" i="16"/>
  <c r="O5512" i="16"/>
  <c r="E5512" i="16"/>
  <c r="H5512" i="16"/>
  <c r="L5512" i="16"/>
  <c r="K5512" i="16"/>
  <c r="N5512" i="16"/>
  <c r="M5512" i="16"/>
  <c r="G5524" i="16"/>
  <c r="T5524" i="16"/>
  <c r="P5524" i="16"/>
  <c r="J5524" i="16"/>
  <c r="I5524" i="16"/>
  <c r="O5524" i="16"/>
  <c r="L5524" i="16"/>
  <c r="H5524" i="16"/>
  <c r="K5530" i="16"/>
  <c r="I5530" i="16"/>
  <c r="F5530" i="16"/>
  <c r="AH1722" i="17"/>
  <c r="AA1722" i="17"/>
  <c r="AN1722" i="17"/>
  <c r="W1722" i="17"/>
  <c r="AQ1722" i="17"/>
  <c r="R1722" i="17"/>
  <c r="Q1722" i="17"/>
  <c r="P1722" i="17"/>
  <c r="AA24" i="15"/>
  <c r="V24" i="15"/>
  <c r="Q24" i="15"/>
  <c r="AC24" i="15"/>
  <c r="P24" i="15"/>
  <c r="AC29" i="15"/>
  <c r="Q29" i="15"/>
  <c r="Q52" i="15"/>
  <c r="M52" i="15"/>
  <c r="G52" i="15"/>
  <c r="Y52" i="15"/>
  <c r="AB145" i="15"/>
  <c r="L152" i="15"/>
  <c r="AC152" i="15"/>
  <c r="AA152" i="15"/>
  <c r="W152" i="15"/>
  <c r="V152" i="15"/>
  <c r="O159" i="15"/>
  <c r="N159" i="15"/>
  <c r="Z159" i="15"/>
  <c r="O163" i="15"/>
  <c r="N163" i="15"/>
  <c r="W163" i="15"/>
  <c r="J181" i="15"/>
  <c r="G181" i="15"/>
  <c r="Z181" i="15"/>
  <c r="Q182" i="15"/>
  <c r="AA182" i="15"/>
  <c r="H182" i="15"/>
  <c r="T182" i="15"/>
  <c r="V212" i="15"/>
  <c r="AG212" i="15"/>
  <c r="Q212" i="15"/>
  <c r="AF212" i="15"/>
  <c r="N212" i="15"/>
  <c r="AA212" i="15"/>
  <c r="H212" i="15"/>
  <c r="O212" i="15"/>
  <c r="AC215" i="15"/>
  <c r="AA215" i="15"/>
  <c r="S215" i="15"/>
  <c r="W233" i="15"/>
  <c r="G233" i="15"/>
  <c r="V233" i="15"/>
  <c r="AE233" i="15"/>
  <c r="M233" i="15"/>
  <c r="Z233" i="15"/>
  <c r="O233" i="15"/>
  <c r="X240" i="15"/>
  <c r="S240" i="15"/>
  <c r="H240" i="15"/>
  <c r="Q240" i="15"/>
  <c r="AE244" i="15"/>
  <c r="O244" i="15"/>
  <c r="AA244" i="15"/>
  <c r="N244" i="15"/>
  <c r="P244" i="15"/>
  <c r="AF244" i="15"/>
  <c r="H244" i="15"/>
  <c r="Q244" i="15"/>
  <c r="AC247" i="15"/>
  <c r="R247" i="15"/>
  <c r="I247" i="15"/>
  <c r="V247" i="15"/>
  <c r="W249" i="15"/>
  <c r="G249" i="15"/>
  <c r="V249" i="15"/>
  <c r="AH249" i="15"/>
  <c r="O249" i="15"/>
  <c r="AE249" i="15"/>
  <c r="M249" i="15"/>
  <c r="Q249" i="15"/>
  <c r="Z258" i="15"/>
  <c r="AF258" i="15"/>
  <c r="T258" i="15"/>
  <c r="G258" i="15"/>
  <c r="AE258" i="15"/>
  <c r="S258" i="15"/>
  <c r="Y258" i="15"/>
  <c r="K258" i="15"/>
  <c r="W258" i="15"/>
  <c r="M258" i="15"/>
  <c r="AF259" i="15"/>
  <c r="U259" i="15"/>
  <c r="G259" i="15"/>
  <c r="AE259" i="15"/>
  <c r="Q259" i="15"/>
  <c r="V259" i="15"/>
  <c r="AG259" i="15"/>
  <c r="O259" i="15"/>
  <c r="M259" i="15"/>
  <c r="AH259" i="15"/>
  <c r="AA284" i="15"/>
  <c r="AB284" i="15"/>
  <c r="U284" i="15"/>
  <c r="AD284" i="15"/>
  <c r="Q284" i="15"/>
  <c r="I332" i="15"/>
  <c r="Z346" i="15"/>
  <c r="Y346" i="15"/>
  <c r="X346" i="15"/>
  <c r="Q346" i="15"/>
  <c r="P346" i="15"/>
  <c r="S363" i="15"/>
  <c r="V372" i="15"/>
  <c r="AG372" i="15"/>
  <c r="Q372" i="15"/>
  <c r="P372" i="15"/>
  <c r="AF372" i="15"/>
  <c r="N372" i="15"/>
  <c r="M372" i="15"/>
  <c r="AH399" i="15"/>
  <c r="P399" i="15"/>
  <c r="AG399" i="15"/>
  <c r="O399" i="15"/>
  <c r="X399" i="15"/>
  <c r="Q399" i="15"/>
  <c r="N399" i="15"/>
  <c r="W404" i="15"/>
  <c r="G404" i="15"/>
  <c r="V404" i="15"/>
  <c r="Y404" i="15"/>
  <c r="Q404" i="15"/>
  <c r="N404" i="15"/>
  <c r="W436" i="15"/>
  <c r="G436" i="15"/>
  <c r="V436" i="15"/>
  <c r="AE436" i="15"/>
  <c r="M436" i="15"/>
  <c r="Y436" i="15"/>
  <c r="O436" i="15"/>
  <c r="W457" i="15"/>
  <c r="G457" i="15"/>
  <c r="V457" i="15"/>
  <c r="AA457" i="15"/>
  <c r="I457" i="15"/>
  <c r="Y457" i="15"/>
  <c r="O457" i="15"/>
  <c r="AH477" i="15"/>
  <c r="W477" i="15"/>
  <c r="M477" i="15"/>
  <c r="AG477" i="15"/>
  <c r="V477" i="15"/>
  <c r="L477" i="15"/>
  <c r="T477" i="15"/>
  <c r="AD477" i="15"/>
  <c r="Q477" i="15"/>
  <c r="K477" i="15"/>
  <c r="AC477" i="15"/>
  <c r="AG488" i="15"/>
  <c r="W488" i="15"/>
  <c r="M488" i="15"/>
  <c r="AF488" i="15"/>
  <c r="V488" i="15"/>
  <c r="L488" i="15"/>
  <c r="T488" i="15"/>
  <c r="AD488" i="15"/>
  <c r="P488" i="15"/>
  <c r="K488" i="15"/>
  <c r="AC488" i="15"/>
  <c r="I518" i="15"/>
  <c r="H518" i="15"/>
  <c r="R519" i="15"/>
  <c r="AC519" i="15"/>
  <c r="V519" i="15"/>
  <c r="U519" i="15"/>
  <c r="I538" i="15"/>
  <c r="Z538" i="15"/>
  <c r="Y538" i="15"/>
  <c r="AC545" i="15"/>
  <c r="I545" i="15"/>
  <c r="AB545" i="15"/>
  <c r="AG548" i="15"/>
  <c r="Q548" i="15"/>
  <c r="AF548" i="15"/>
  <c r="P548" i="15"/>
  <c r="W548" i="15"/>
  <c r="O548" i="15"/>
  <c r="M548" i="15"/>
  <c r="AG558" i="15"/>
  <c r="Q558" i="15"/>
  <c r="AF558" i="15"/>
  <c r="P558" i="15"/>
  <c r="U558" i="15"/>
  <c r="AH558" i="15"/>
  <c r="M558" i="15"/>
  <c r="L558" i="15"/>
  <c r="Z565" i="15"/>
  <c r="AH569" i="15"/>
  <c r="R569" i="15"/>
  <c r="AG569" i="15"/>
  <c r="Q569" i="15"/>
  <c r="V569" i="15"/>
  <c r="N569" i="15"/>
  <c r="M569" i="15"/>
  <c r="T572" i="15"/>
  <c r="AB572" i="15"/>
  <c r="I572" i="15"/>
  <c r="AA581" i="15"/>
  <c r="AH581" i="15"/>
  <c r="Y581" i="15"/>
  <c r="R581" i="15"/>
  <c r="Y606" i="15"/>
  <c r="M606" i="15"/>
  <c r="X606" i="15"/>
  <c r="L606" i="15"/>
  <c r="U606" i="15"/>
  <c r="AG606" i="15"/>
  <c r="Q606" i="15"/>
  <c r="K606" i="15"/>
  <c r="AF606" i="15"/>
  <c r="AA616" i="15"/>
  <c r="W616" i="15"/>
  <c r="K616" i="15"/>
  <c r="V616" i="15"/>
  <c r="U616" i="15"/>
  <c r="AG616" i="15"/>
  <c r="O616" i="15"/>
  <c r="N616" i="15"/>
  <c r="Y635" i="15"/>
  <c r="H635" i="15"/>
  <c r="Z635" i="15"/>
  <c r="Z645" i="15"/>
  <c r="Y645" i="15"/>
  <c r="AA645" i="15"/>
  <c r="S645" i="15"/>
  <c r="Z650" i="15"/>
  <c r="AH650" i="15"/>
  <c r="R650" i="15"/>
  <c r="P650" i="15"/>
  <c r="X650" i="15"/>
  <c r="AE660" i="15"/>
  <c r="O660" i="15"/>
  <c r="AA660" i="15"/>
  <c r="N660" i="15"/>
  <c r="AF660" i="15"/>
  <c r="H660" i="15"/>
  <c r="X660" i="15"/>
  <c r="P660" i="15"/>
  <c r="AC668" i="15"/>
  <c r="I668" i="15"/>
  <c r="H668" i="15"/>
  <c r="AB668" i="15"/>
  <c r="AH671" i="15"/>
  <c r="P671" i="15"/>
  <c r="AG671" i="15"/>
  <c r="O671" i="15"/>
  <c r="X671" i="15"/>
  <c r="Q671" i="15"/>
  <c r="N671" i="15"/>
  <c r="Z691" i="15"/>
  <c r="AE691" i="15"/>
  <c r="O691" i="15"/>
  <c r="AD691" i="15"/>
  <c r="N691" i="15"/>
  <c r="AH691" i="15"/>
  <c r="P691" i="15"/>
  <c r="AF691" i="15"/>
  <c r="K691" i="15"/>
  <c r="U691" i="15"/>
  <c r="AA696" i="15"/>
  <c r="AE696" i="15"/>
  <c r="O696" i="15"/>
  <c r="AD696" i="15"/>
  <c r="N696" i="15"/>
  <c r="AC696" i="15"/>
  <c r="K696" i="15"/>
  <c r="W696" i="15"/>
  <c r="T696" i="15"/>
  <c r="Q709" i="15"/>
  <c r="Z709" i="15"/>
  <c r="Y709" i="15"/>
  <c r="I709" i="15"/>
  <c r="AA709" i="15"/>
  <c r="Z726" i="15"/>
  <c r="R822" i="15"/>
  <c r="Q822" i="15"/>
  <c r="AA822" i="15"/>
  <c r="Y822" i="15"/>
  <c r="M822" i="15"/>
  <c r="AC827" i="15"/>
  <c r="H827" i="15"/>
  <c r="AA827" i="15"/>
  <c r="G827" i="15"/>
  <c r="Z827" i="15"/>
  <c r="Q827" i="15"/>
  <c r="AA832" i="15"/>
  <c r="Y832" i="15"/>
  <c r="P832" i="15"/>
  <c r="H832" i="15"/>
  <c r="Q832" i="15"/>
  <c r="AA840" i="15"/>
  <c r="Y840" i="15"/>
  <c r="AD840" i="15"/>
  <c r="S840" i="15"/>
  <c r="O840" i="15"/>
  <c r="AG847" i="15"/>
  <c r="K847" i="15"/>
  <c r="AC856" i="15"/>
  <c r="G856" i="15"/>
  <c r="AA856" i="15"/>
  <c r="Y856" i="15"/>
  <c r="P856" i="15"/>
  <c r="X892" i="15"/>
  <c r="AD897" i="15"/>
  <c r="W897" i="15"/>
  <c r="G897" i="15"/>
  <c r="V897" i="15"/>
  <c r="O897" i="15"/>
  <c r="AC897" i="15"/>
  <c r="M897" i="15"/>
  <c r="Q897" i="15"/>
  <c r="Z899" i="15"/>
  <c r="Y899" i="15"/>
  <c r="AC899" i="15"/>
  <c r="R899" i="15"/>
  <c r="O899" i="15"/>
  <c r="R907" i="15"/>
  <c r="Q907" i="15"/>
  <c r="P907" i="15"/>
  <c r="H907" i="15"/>
  <c r="Y907" i="15"/>
  <c r="S910" i="15"/>
  <c r="R910" i="15"/>
  <c r="AB910" i="15"/>
  <c r="G910" i="15"/>
  <c r="Z910" i="15"/>
  <c r="O910" i="15"/>
  <c r="Y931" i="15"/>
  <c r="S937" i="15"/>
  <c r="Y944" i="15"/>
  <c r="I946" i="15"/>
  <c r="W946" i="15"/>
  <c r="T946" i="15"/>
  <c r="AC946" i="15"/>
  <c r="Q974" i="15"/>
  <c r="AD977" i="15"/>
  <c r="W977" i="15"/>
  <c r="G977" i="15"/>
  <c r="V977" i="15"/>
  <c r="AG977" i="15"/>
  <c r="L977" i="15"/>
  <c r="AA977" i="15"/>
  <c r="N977" i="15"/>
  <c r="AB981" i="15"/>
  <c r="R987" i="15"/>
  <c r="Q987" i="15"/>
  <c r="P987" i="15"/>
  <c r="H987" i="15"/>
  <c r="Y987" i="15"/>
  <c r="T1002" i="15"/>
  <c r="AE1002" i="15"/>
  <c r="AC1002" i="15"/>
  <c r="AD1005" i="15"/>
  <c r="AC1005" i="15"/>
  <c r="T1005" i="15"/>
  <c r="Y1008" i="15"/>
  <c r="S1008" i="15"/>
  <c r="AA1008" i="15"/>
  <c r="P1008" i="15"/>
  <c r="O1008" i="15"/>
  <c r="AA1016" i="15"/>
  <c r="Y1016" i="15"/>
  <c r="P1016" i="15"/>
  <c r="H1016" i="15"/>
  <c r="Q1016" i="15"/>
  <c r="AB1021" i="15"/>
  <c r="U1021" i="15"/>
  <c r="AC1021" i="15"/>
  <c r="I1021" i="15"/>
  <c r="AD1021" i="15"/>
  <c r="O1041" i="15"/>
  <c r="Q1049" i="15"/>
  <c r="AC1051" i="15"/>
  <c r="H1051" i="15"/>
  <c r="AA1051" i="15"/>
  <c r="G1051" i="15"/>
  <c r="R1051" i="15"/>
  <c r="P1051" i="15"/>
  <c r="Y1051" i="15"/>
  <c r="AC1077" i="15"/>
  <c r="AA1083" i="15"/>
  <c r="G1083" i="15"/>
  <c r="Z1083" i="15"/>
  <c r="AC1083" i="15"/>
  <c r="R1083" i="15"/>
  <c r="P1083" i="15"/>
  <c r="AD1089" i="15"/>
  <c r="AG1089" i="15"/>
  <c r="O1089" i="15"/>
  <c r="AB1089" i="15"/>
  <c r="N1089" i="15"/>
  <c r="W1089" i="15"/>
  <c r="S1089" i="15"/>
  <c r="L1089" i="15"/>
  <c r="AD1093" i="15"/>
  <c r="Q1110" i="15"/>
  <c r="AC1110" i="15"/>
  <c r="O1110" i="15"/>
  <c r="AB1110" i="15"/>
  <c r="G1110" i="15"/>
  <c r="Z1110" i="15"/>
  <c r="R1110" i="15"/>
  <c r="U1114" i="15"/>
  <c r="S1127" i="15"/>
  <c r="AE1127" i="15"/>
  <c r="X1127" i="15"/>
  <c r="J1127" i="15"/>
  <c r="AF1127" i="15"/>
  <c r="T1173" i="15"/>
  <c r="AF1176" i="15"/>
  <c r="K1176" i="15"/>
  <c r="W1176" i="15"/>
  <c r="U1176" i="15"/>
  <c r="S1176" i="15"/>
  <c r="Q1177" i="15"/>
  <c r="X1181" i="15"/>
  <c r="AE1185" i="15"/>
  <c r="X1185" i="15"/>
  <c r="T1185" i="15"/>
  <c r="AB1185" i="15"/>
  <c r="H1185" i="15"/>
  <c r="Y1185" i="15"/>
  <c r="Q1185" i="15"/>
  <c r="O1185" i="15"/>
  <c r="X1188" i="15"/>
  <c r="AG1195" i="15"/>
  <c r="AE1195" i="15"/>
  <c r="U1195" i="15"/>
  <c r="M1204" i="15"/>
  <c r="K1204" i="15"/>
  <c r="AA1204" i="15"/>
  <c r="AH1206" i="15"/>
  <c r="J1206" i="15"/>
  <c r="Z1206" i="15"/>
  <c r="P1221" i="15"/>
  <c r="S1227" i="15"/>
  <c r="H1227" i="15"/>
  <c r="G1227" i="15"/>
  <c r="S1228" i="15"/>
  <c r="AD1228" i="15"/>
  <c r="AC1228" i="15"/>
  <c r="N1254" i="15"/>
  <c r="Z1270" i="15"/>
  <c r="M1270" i="15"/>
  <c r="T1270" i="15"/>
  <c r="AH1270" i="15"/>
  <c r="S1270" i="15"/>
  <c r="AD1270" i="15"/>
  <c r="N1270" i="15"/>
  <c r="AB1270" i="15"/>
  <c r="J1270" i="15"/>
  <c r="AA1270" i="15"/>
  <c r="I1270" i="15"/>
  <c r="R1270" i="15"/>
  <c r="AB1275" i="15"/>
  <c r="H1275" i="15"/>
  <c r="S1275" i="15"/>
  <c r="R1275" i="15"/>
  <c r="AE1275" i="15"/>
  <c r="T1275" i="15"/>
  <c r="Q1275" i="15"/>
  <c r="P1275" i="15"/>
  <c r="AH1285" i="15"/>
  <c r="AD1285" i="15"/>
  <c r="T1285" i="15"/>
  <c r="H1285" i="15"/>
  <c r="AE1285" i="15"/>
  <c r="S1285" i="15"/>
  <c r="AC1285" i="15"/>
  <c r="P1285" i="15"/>
  <c r="V1285" i="15"/>
  <c r="O1285" i="15"/>
  <c r="AF1285" i="15"/>
  <c r="N1285" i="15"/>
  <c r="L1285" i="15"/>
  <c r="Q1294" i="15"/>
  <c r="Q1307" i="15"/>
  <c r="O1309" i="15"/>
  <c r="P1313" i="15"/>
  <c r="L1333" i="15"/>
  <c r="AH1369" i="15"/>
  <c r="W1369" i="15"/>
  <c r="M1369" i="15"/>
  <c r="AF1369" i="15"/>
  <c r="U1369" i="15"/>
  <c r="H1369" i="15"/>
  <c r="AE1369" i="15"/>
  <c r="T1369" i="15"/>
  <c r="G1369" i="15"/>
  <c r="AB1369" i="15"/>
  <c r="L1369" i="15"/>
  <c r="X1369" i="15"/>
  <c r="V1369" i="15"/>
  <c r="O1369" i="15"/>
  <c r="Z1391" i="15"/>
  <c r="X1391" i="15"/>
  <c r="AB1391" i="15"/>
  <c r="S1391" i="15"/>
  <c r="Q1391" i="15"/>
  <c r="N1442" i="15"/>
  <c r="X1444" i="15"/>
  <c r="P1451" i="15"/>
  <c r="AH1456" i="15"/>
  <c r="O1456" i="15"/>
  <c r="P1456" i="15"/>
  <c r="I1456" i="15"/>
  <c r="AF1456" i="15"/>
  <c r="G1456" i="15"/>
  <c r="X1456" i="15"/>
  <c r="R1456" i="15"/>
  <c r="N1456" i="15"/>
  <c r="AD1456" i="15"/>
  <c r="T1466" i="15"/>
  <c r="AG1482" i="15"/>
  <c r="AA1482" i="15"/>
  <c r="M1482" i="15"/>
  <c r="AH1482" i="15"/>
  <c r="S1482" i="15"/>
  <c r="U1482" i="15"/>
  <c r="T1482" i="15"/>
  <c r="N1482" i="15"/>
  <c r="AD1482" i="15"/>
  <c r="K1482" i="15"/>
  <c r="AC1482" i="15"/>
  <c r="J1482" i="15"/>
  <c r="V1482" i="15"/>
  <c r="AG1494" i="15"/>
  <c r="AD1494" i="15"/>
  <c r="S1494" i="15"/>
  <c r="Z1494" i="15"/>
  <c r="K1494" i="15"/>
  <c r="U1494" i="15"/>
  <c r="R1494" i="15"/>
  <c r="N1494" i="15"/>
  <c r="AC1494" i="15"/>
  <c r="AA1494" i="15"/>
  <c r="V1494" i="15"/>
  <c r="M1494" i="15"/>
  <c r="AD1508" i="15"/>
  <c r="AH1537" i="15"/>
  <c r="AC1537" i="15"/>
  <c r="S1537" i="15"/>
  <c r="G1537" i="15"/>
  <c r="AF1537" i="15"/>
  <c r="U1537" i="15"/>
  <c r="H1537" i="15"/>
  <c r="AD1537" i="15"/>
  <c r="P1537" i="15"/>
  <c r="X1537" i="15"/>
  <c r="K1537" i="15"/>
  <c r="W1537" i="15"/>
  <c r="O1537" i="15"/>
  <c r="M1537" i="15"/>
  <c r="AE1537" i="15"/>
  <c r="L1537" i="15"/>
  <c r="V1537" i="15"/>
  <c r="S1567" i="15"/>
  <c r="AA1567" i="15"/>
  <c r="R1567" i="15"/>
  <c r="AG1567" i="15"/>
  <c r="AB1567" i="15"/>
  <c r="Q1567" i="15"/>
  <c r="AH1599" i="15"/>
  <c r="K1599" i="15"/>
  <c r="AB1601" i="15"/>
  <c r="AD1601" i="15"/>
  <c r="N1601" i="15"/>
  <c r="V1601" i="15"/>
  <c r="P1601" i="15"/>
  <c r="AC1601" i="15"/>
  <c r="X1601" i="15"/>
  <c r="H1601" i="15"/>
  <c r="AF1601" i="15"/>
  <c r="AE1601" i="15"/>
  <c r="O1601" i="15"/>
  <c r="AD1618" i="15"/>
  <c r="I1620" i="15"/>
  <c r="G1620" i="15"/>
  <c r="AD1653" i="15"/>
  <c r="T1675" i="15"/>
  <c r="AD1686" i="15"/>
  <c r="AB1737" i="15"/>
  <c r="AE1737" i="15"/>
  <c r="O1737" i="15"/>
  <c r="AC1737" i="15"/>
  <c r="H1737" i="15"/>
  <c r="W1737" i="15"/>
  <c r="M1737" i="15"/>
  <c r="AF1737" i="15"/>
  <c r="G1737" i="15"/>
  <c r="AD1737" i="15"/>
  <c r="X1737" i="15"/>
  <c r="V1737" i="15"/>
  <c r="U1737" i="15"/>
  <c r="AB1753" i="15"/>
  <c r="X1753" i="15"/>
  <c r="H1753" i="15"/>
  <c r="U1753" i="15"/>
  <c r="AF1753" i="15"/>
  <c r="O1753" i="15"/>
  <c r="AE1753" i="15"/>
  <c r="G1753" i="15"/>
  <c r="AD1753" i="15"/>
  <c r="AC1753" i="15"/>
  <c r="W1753" i="15"/>
  <c r="V1753" i="15"/>
  <c r="P1753" i="15"/>
  <c r="U1758" i="15"/>
  <c r="AF1777" i="15"/>
  <c r="K1791" i="15"/>
  <c r="AH1791" i="15"/>
  <c r="AA1791" i="15"/>
  <c r="AG1791" i="15"/>
  <c r="X1837" i="15"/>
  <c r="AH1846" i="15"/>
  <c r="AC1846" i="15"/>
  <c r="S1846" i="15"/>
  <c r="G1846" i="15"/>
  <c r="AF1846" i="15"/>
  <c r="U1846" i="15"/>
  <c r="H1846" i="15"/>
  <c r="AD1846" i="15"/>
  <c r="P1846" i="15"/>
  <c r="AA1846" i="15"/>
  <c r="L1846" i="15"/>
  <c r="X1846" i="15"/>
  <c r="K1846" i="15"/>
  <c r="W1846" i="15"/>
  <c r="N1846" i="15"/>
  <c r="AE1846" i="15"/>
  <c r="T1846" i="15"/>
  <c r="AF1872" i="15"/>
  <c r="H1872" i="15"/>
  <c r="Q1872" i="15"/>
  <c r="AH1872" i="15"/>
  <c r="O1872" i="15"/>
  <c r="P1872" i="15"/>
  <c r="G1872" i="15"/>
  <c r="AG1872" i="15"/>
  <c r="AE1872" i="15"/>
  <c r="X1872" i="15"/>
  <c r="AF1901" i="15"/>
  <c r="V1922" i="15"/>
  <c r="AB1977" i="15"/>
  <c r="X1977" i="15"/>
  <c r="H1977" i="15"/>
  <c r="AF1977" i="15"/>
  <c r="O1977" i="15"/>
  <c r="AD1977" i="15"/>
  <c r="M1977" i="15"/>
  <c r="AE1977" i="15"/>
  <c r="AC1977" i="15"/>
  <c r="W1977" i="15"/>
  <c r="V1977" i="15"/>
  <c r="N1977" i="15"/>
  <c r="U1977" i="15"/>
  <c r="AH1994" i="15"/>
  <c r="X1994" i="15"/>
  <c r="N1994" i="15"/>
  <c r="AD1994" i="15"/>
  <c r="S1994" i="15"/>
  <c r="AB1994" i="15"/>
  <c r="O1994" i="15"/>
  <c r="V1994" i="15"/>
  <c r="G1994" i="15"/>
  <c r="U1994" i="15"/>
  <c r="T1994" i="15"/>
  <c r="AF1994" i="15"/>
  <c r="P1994" i="15"/>
  <c r="M1994" i="15"/>
  <c r="K1994" i="15"/>
  <c r="H1994" i="15"/>
  <c r="AA1994" i="15"/>
  <c r="K58" i="16"/>
  <c r="J58" i="16"/>
  <c r="L58" i="16"/>
  <c r="H58" i="16"/>
  <c r="I379" i="16"/>
  <c r="H379" i="16"/>
  <c r="G379" i="16"/>
  <c r="T535" i="16"/>
  <c r="E535" i="16"/>
  <c r="J535" i="16"/>
  <c r="F535" i="16"/>
  <c r="M584" i="16"/>
  <c r="E620" i="16"/>
  <c r="P620" i="16"/>
  <c r="L622" i="16"/>
  <c r="G622" i="16"/>
  <c r="K622" i="16"/>
  <c r="K632" i="16"/>
  <c r="J632" i="16"/>
  <c r="K976" i="16"/>
  <c r="I976" i="16"/>
  <c r="J976" i="16"/>
  <c r="M1079" i="16"/>
  <c r="L1079" i="16"/>
  <c r="K1095" i="16"/>
  <c r="L1095" i="16"/>
  <c r="M1095" i="16"/>
  <c r="J1095" i="16"/>
  <c r="H1131" i="16"/>
  <c r="J1131" i="16"/>
  <c r="I1131" i="16"/>
  <c r="J1206" i="16"/>
  <c r="K1206" i="16"/>
  <c r="F1206" i="16"/>
  <c r="G1206" i="16"/>
  <c r="E1206" i="16"/>
  <c r="K1365" i="16"/>
  <c r="N1365" i="16"/>
  <c r="M1365" i="16"/>
  <c r="G1365" i="16"/>
  <c r="E1365" i="16"/>
  <c r="F1365" i="16"/>
  <c r="O1365" i="16"/>
  <c r="L1365" i="16"/>
  <c r="H1365" i="16"/>
  <c r="L1509" i="16"/>
  <c r="O1509" i="16"/>
  <c r="E1509" i="16"/>
  <c r="M1509" i="16"/>
  <c r="J1509" i="16"/>
  <c r="G1509" i="16"/>
  <c r="K1509" i="16"/>
  <c r="H1509" i="16"/>
  <c r="F1509" i="16"/>
  <c r="P1509" i="16"/>
  <c r="N1509" i="16"/>
  <c r="K1598" i="16"/>
  <c r="N1598" i="16"/>
  <c r="G1598" i="16"/>
  <c r="E1598" i="16"/>
  <c r="P1598" i="16"/>
  <c r="J1598" i="16"/>
  <c r="F1598" i="16"/>
  <c r="L1598" i="16"/>
  <c r="K1662" i="16"/>
  <c r="G1662" i="16"/>
  <c r="O1662" i="16"/>
  <c r="N1662" i="16"/>
  <c r="L1662" i="16"/>
  <c r="E1662" i="16"/>
  <c r="J1662" i="16"/>
  <c r="F1662" i="16"/>
  <c r="I1714" i="16"/>
  <c r="F1714" i="16"/>
  <c r="N1714" i="16"/>
  <c r="L1714" i="16"/>
  <c r="M1714" i="16"/>
  <c r="K1714" i="16"/>
  <c r="H1714" i="16"/>
  <c r="E1714" i="16"/>
  <c r="T1714" i="16"/>
  <c r="P1714" i="16"/>
  <c r="K1763" i="16"/>
  <c r="J1763" i="16"/>
  <c r="E1763" i="16"/>
  <c r="O1763" i="16"/>
  <c r="L1763" i="16"/>
  <c r="P1947" i="16"/>
  <c r="O1947" i="16"/>
  <c r="H1947" i="16"/>
  <c r="G1947" i="16"/>
  <c r="E1947" i="16"/>
  <c r="I1947" i="16"/>
  <c r="T1947" i="16"/>
  <c r="M1947" i="16"/>
  <c r="T2080" i="16"/>
  <c r="L2080" i="16"/>
  <c r="K2080" i="16"/>
  <c r="O2080" i="16"/>
  <c r="N2080" i="16"/>
  <c r="P2080" i="16"/>
  <c r="M2080" i="16"/>
  <c r="E2080" i="16"/>
  <c r="G2080" i="16"/>
  <c r="F2080" i="16"/>
  <c r="J2080" i="16"/>
  <c r="H2080" i="16"/>
  <c r="G2117" i="16"/>
  <c r="J2117" i="16"/>
  <c r="I2117" i="16"/>
  <c r="H2117" i="16"/>
  <c r="Z3" i="15"/>
  <c r="Y3" i="15"/>
  <c r="X3" i="15"/>
  <c r="V3" i="15"/>
  <c r="Q18" i="15"/>
  <c r="S18" i="15"/>
  <c r="M18" i="15"/>
  <c r="AC18" i="15"/>
  <c r="W24" i="15"/>
  <c r="W40" i="15"/>
  <c r="V40" i="15"/>
  <c r="L40" i="15"/>
  <c r="AA40" i="15"/>
  <c r="O40" i="15"/>
  <c r="AA52" i="15"/>
  <c r="AC68" i="15"/>
  <c r="Q79" i="15"/>
  <c r="Z79" i="15"/>
  <c r="N79" i="15"/>
  <c r="X79" i="15"/>
  <c r="U119" i="15"/>
  <c r="R119" i="15"/>
  <c r="AC119" i="15"/>
  <c r="Q140" i="15"/>
  <c r="H140" i="15"/>
  <c r="X152" i="15"/>
  <c r="Z179" i="15"/>
  <c r="AD179" i="15"/>
  <c r="N179" i="15"/>
  <c r="Y179" i="15"/>
  <c r="M179" i="15"/>
  <c r="U179" i="15"/>
  <c r="AG179" i="15"/>
  <c r="O179" i="15"/>
  <c r="K179" i="15"/>
  <c r="Z182" i="15"/>
  <c r="Z211" i="15"/>
  <c r="AF211" i="15"/>
  <c r="P211" i="15"/>
  <c r="AE211" i="15"/>
  <c r="O211" i="15"/>
  <c r="V211" i="15"/>
  <c r="AH211" i="15"/>
  <c r="N211" i="15"/>
  <c r="M211" i="15"/>
  <c r="P212" i="15"/>
  <c r="U215" i="15"/>
  <c r="Q233" i="15"/>
  <c r="Y235" i="15"/>
  <c r="AC235" i="15"/>
  <c r="Z235" i="15"/>
  <c r="S235" i="15"/>
  <c r="Q235" i="15"/>
  <c r="P235" i="15"/>
  <c r="Y240" i="15"/>
  <c r="V244" i="15"/>
  <c r="AA247" i="15"/>
  <c r="R249" i="15"/>
  <c r="O258" i="15"/>
  <c r="N259" i="15"/>
  <c r="Q278" i="15"/>
  <c r="AA278" i="15"/>
  <c r="T278" i="15"/>
  <c r="S284" i="15"/>
  <c r="Y293" i="15"/>
  <c r="S293" i="15"/>
  <c r="R293" i="15"/>
  <c r="AA317" i="15"/>
  <c r="V317" i="15"/>
  <c r="G317" i="15"/>
  <c r="AH317" i="15"/>
  <c r="U317" i="15"/>
  <c r="W317" i="15"/>
  <c r="O317" i="15"/>
  <c r="M317" i="15"/>
  <c r="AA320" i="15"/>
  <c r="P320" i="15"/>
  <c r="O320" i="15"/>
  <c r="S320" i="15"/>
  <c r="AG320" i="15"/>
  <c r="Z323" i="15"/>
  <c r="W323" i="15"/>
  <c r="G323" i="15"/>
  <c r="AH323" i="15"/>
  <c r="V323" i="15"/>
  <c r="X323" i="15"/>
  <c r="P323" i="15"/>
  <c r="N323" i="15"/>
  <c r="AB332" i="15"/>
  <c r="AE345" i="15"/>
  <c r="O345" i="15"/>
  <c r="AA345" i="15"/>
  <c r="N345" i="15"/>
  <c r="W345" i="15"/>
  <c r="R345" i="15"/>
  <c r="M345" i="15"/>
  <c r="R346" i="15"/>
  <c r="Q348" i="15"/>
  <c r="H348" i="15"/>
  <c r="U348" i="15"/>
  <c r="AB348" i="15"/>
  <c r="W350" i="15"/>
  <c r="G350" i="15"/>
  <c r="AH350" i="15"/>
  <c r="U350" i="15"/>
  <c r="X350" i="15"/>
  <c r="P350" i="15"/>
  <c r="M350" i="15"/>
  <c r="Y363" i="15"/>
  <c r="Z370" i="15"/>
  <c r="AG370" i="15"/>
  <c r="U370" i="15"/>
  <c r="J370" i="15"/>
  <c r="AF370" i="15"/>
  <c r="T370" i="15"/>
  <c r="G370" i="15"/>
  <c r="AE370" i="15"/>
  <c r="O370" i="15"/>
  <c r="AB370" i="15"/>
  <c r="L370" i="15"/>
  <c r="P370" i="15"/>
  <c r="O372" i="15"/>
  <c r="I385" i="15"/>
  <c r="AA385" i="15"/>
  <c r="Z386" i="15"/>
  <c r="AG386" i="15"/>
  <c r="T386" i="15"/>
  <c r="AF386" i="15"/>
  <c r="S386" i="15"/>
  <c r="AB386" i="15"/>
  <c r="J386" i="15"/>
  <c r="W386" i="15"/>
  <c r="M386" i="15"/>
  <c r="W399" i="15"/>
  <c r="Z403" i="15"/>
  <c r="AG403" i="15"/>
  <c r="U403" i="15"/>
  <c r="AF403" i="15"/>
  <c r="P403" i="15"/>
  <c r="AD403" i="15"/>
  <c r="K403" i="15"/>
  <c r="X403" i="15"/>
  <c r="N403" i="15"/>
  <c r="O404" i="15"/>
  <c r="I409" i="15"/>
  <c r="I413" i="15"/>
  <c r="P436" i="15"/>
  <c r="Z442" i="15"/>
  <c r="O442" i="15"/>
  <c r="AH442" i="15"/>
  <c r="G442" i="15"/>
  <c r="AG442" i="15"/>
  <c r="R442" i="15"/>
  <c r="AB449" i="15"/>
  <c r="R449" i="15"/>
  <c r="L449" i="15"/>
  <c r="U449" i="15"/>
  <c r="Q457" i="15"/>
  <c r="Z466" i="15"/>
  <c r="X466" i="15"/>
  <c r="K466" i="15"/>
  <c r="W466" i="15"/>
  <c r="J466" i="15"/>
  <c r="U466" i="15"/>
  <c r="S466" i="15"/>
  <c r="O466" i="15"/>
  <c r="N477" i="15"/>
  <c r="AE477" i="15"/>
  <c r="AA480" i="15"/>
  <c r="G480" i="15"/>
  <c r="Q480" i="15"/>
  <c r="X480" i="15"/>
  <c r="N488" i="15"/>
  <c r="AE488" i="15"/>
  <c r="Z490" i="15"/>
  <c r="H490" i="15"/>
  <c r="AA496" i="15"/>
  <c r="P496" i="15"/>
  <c r="G496" i="15"/>
  <c r="Y496" i="15"/>
  <c r="S496" i="15"/>
  <c r="AA519" i="15"/>
  <c r="I522" i="15"/>
  <c r="AA522" i="15"/>
  <c r="AB524" i="15"/>
  <c r="AA524" i="15"/>
  <c r="S524" i="15"/>
  <c r="AC534" i="15"/>
  <c r="I534" i="15"/>
  <c r="H534" i="15"/>
  <c r="AA534" i="15"/>
  <c r="T534" i="15"/>
  <c r="AC535" i="15"/>
  <c r="AA535" i="15"/>
  <c r="V535" i="15"/>
  <c r="R535" i="15"/>
  <c r="U535" i="15"/>
  <c r="AE537" i="15"/>
  <c r="O537" i="15"/>
  <c r="AA537" i="15"/>
  <c r="N537" i="15"/>
  <c r="W537" i="15"/>
  <c r="R537" i="15"/>
  <c r="M537" i="15"/>
  <c r="S539" i="15"/>
  <c r="R539" i="15"/>
  <c r="Q539" i="15"/>
  <c r="H539" i="15"/>
  <c r="Y539" i="15"/>
  <c r="N548" i="15"/>
  <c r="AA552" i="15"/>
  <c r="V552" i="15"/>
  <c r="AG552" i="15"/>
  <c r="U552" i="15"/>
  <c r="AD552" i="15"/>
  <c r="L552" i="15"/>
  <c r="X552" i="15"/>
  <c r="N552" i="15"/>
  <c r="O558" i="15"/>
  <c r="AA565" i="15"/>
  <c r="O569" i="15"/>
  <c r="S581" i="15"/>
  <c r="O606" i="15"/>
  <c r="AH606" i="15"/>
  <c r="G608" i="15"/>
  <c r="Y608" i="15"/>
  <c r="S608" i="15"/>
  <c r="AA608" i="15"/>
  <c r="T616" i="15"/>
  <c r="AB625" i="15"/>
  <c r="AA625" i="15"/>
  <c r="I625" i="15"/>
  <c r="S625" i="15"/>
  <c r="X644" i="15"/>
  <c r="H644" i="15"/>
  <c r="W644" i="15"/>
  <c r="G644" i="15"/>
  <c r="Y644" i="15"/>
  <c r="Q644" i="15"/>
  <c r="O644" i="15"/>
  <c r="AA646" i="15"/>
  <c r="H646" i="15"/>
  <c r="T646" i="15"/>
  <c r="R646" i="15"/>
  <c r="Z646" i="15"/>
  <c r="AA648" i="15"/>
  <c r="X648" i="15"/>
  <c r="M648" i="15"/>
  <c r="W648" i="15"/>
  <c r="L648" i="15"/>
  <c r="V648" i="15"/>
  <c r="G648" i="15"/>
  <c r="T648" i="15"/>
  <c r="N648" i="15"/>
  <c r="AG648" i="15"/>
  <c r="AG650" i="15"/>
  <c r="Q660" i="15"/>
  <c r="W671" i="15"/>
  <c r="Z675" i="15"/>
  <c r="AF675" i="15"/>
  <c r="P675" i="15"/>
  <c r="AE675" i="15"/>
  <c r="O675" i="15"/>
  <c r="Y675" i="15"/>
  <c r="H675" i="15"/>
  <c r="W675" i="15"/>
  <c r="M675" i="15"/>
  <c r="V676" i="15"/>
  <c r="AG676" i="15"/>
  <c r="Q676" i="15"/>
  <c r="W676" i="15"/>
  <c r="O676" i="15"/>
  <c r="M676" i="15"/>
  <c r="Y688" i="15"/>
  <c r="AG688" i="15"/>
  <c r="AA688" i="15"/>
  <c r="S688" i="15"/>
  <c r="P688" i="15"/>
  <c r="V691" i="15"/>
  <c r="U696" i="15"/>
  <c r="AA710" i="15"/>
  <c r="H710" i="15"/>
  <c r="S710" i="15"/>
  <c r="AE724" i="15"/>
  <c r="O724" i="15"/>
  <c r="AA724" i="15"/>
  <c r="N724" i="15"/>
  <c r="W724" i="15"/>
  <c r="Q724" i="15"/>
  <c r="M724" i="15"/>
  <c r="R727" i="15"/>
  <c r="AC727" i="15"/>
  <c r="AA727" i="15"/>
  <c r="V727" i="15"/>
  <c r="J727" i="15"/>
  <c r="AA728" i="15"/>
  <c r="X728" i="15"/>
  <c r="L728" i="15"/>
  <c r="W728" i="15"/>
  <c r="K728" i="15"/>
  <c r="AF728" i="15"/>
  <c r="N728" i="15"/>
  <c r="AD728" i="15"/>
  <c r="T728" i="15"/>
  <c r="Z739" i="15"/>
  <c r="AH739" i="15"/>
  <c r="V739" i="15"/>
  <c r="J739" i="15"/>
  <c r="AG739" i="15"/>
  <c r="U739" i="15"/>
  <c r="G739" i="15"/>
  <c r="AF739" i="15"/>
  <c r="O739" i="15"/>
  <c r="AD739" i="15"/>
  <c r="M739" i="15"/>
  <c r="P739" i="15"/>
  <c r="I751" i="15"/>
  <c r="AE751" i="15"/>
  <c r="Y752" i="15"/>
  <c r="S752" i="15"/>
  <c r="G752" i="15"/>
  <c r="AC752" i="15"/>
  <c r="P752" i="15"/>
  <c r="AE775" i="15"/>
  <c r="X775" i="15"/>
  <c r="J775" i="15"/>
  <c r="W775" i="15"/>
  <c r="Z779" i="15"/>
  <c r="Y779" i="15"/>
  <c r="P779" i="15"/>
  <c r="H779" i="15"/>
  <c r="Q779" i="15"/>
  <c r="AD813" i="15"/>
  <c r="G813" i="15"/>
  <c r="AC813" i="15"/>
  <c r="T813" i="15"/>
  <c r="O822" i="15"/>
  <c r="R827" i="15"/>
  <c r="AD829" i="15"/>
  <c r="I829" i="15"/>
  <c r="S832" i="15"/>
  <c r="Y835" i="15"/>
  <c r="R835" i="15"/>
  <c r="AA835" i="15"/>
  <c r="Q835" i="15"/>
  <c r="O835" i="15"/>
  <c r="Y838" i="15"/>
  <c r="S838" i="15"/>
  <c r="O838" i="15"/>
  <c r="AC838" i="15"/>
  <c r="I838" i="15"/>
  <c r="Q838" i="15"/>
  <c r="P840" i="15"/>
  <c r="Q856" i="15"/>
  <c r="AE892" i="15"/>
  <c r="S897" i="15"/>
  <c r="P899" i="15"/>
  <c r="U903" i="15"/>
  <c r="AF903" i="15"/>
  <c r="AE903" i="15"/>
  <c r="I903" i="15"/>
  <c r="AD904" i="15"/>
  <c r="H904" i="15"/>
  <c r="AC904" i="15"/>
  <c r="G904" i="15"/>
  <c r="AA904" i="15"/>
  <c r="Q904" i="15"/>
  <c r="U906" i="15"/>
  <c r="AE906" i="15"/>
  <c r="Z907" i="15"/>
  <c r="Q910" i="15"/>
  <c r="AD913" i="15"/>
  <c r="W913" i="15"/>
  <c r="G913" i="15"/>
  <c r="V913" i="15"/>
  <c r="AC913" i="15"/>
  <c r="M913" i="15"/>
  <c r="AA913" i="15"/>
  <c r="O913" i="15"/>
  <c r="Z915" i="15"/>
  <c r="Y915" i="15"/>
  <c r="R915" i="15"/>
  <c r="P915" i="15"/>
  <c r="O915" i="15"/>
  <c r="AA931" i="15"/>
  <c r="V937" i="15"/>
  <c r="AA944" i="15"/>
  <c r="AE946" i="15"/>
  <c r="AE949" i="15"/>
  <c r="K949" i="15"/>
  <c r="AD953" i="15"/>
  <c r="Q953" i="15"/>
  <c r="O953" i="15"/>
  <c r="V953" i="15"/>
  <c r="M953" i="15"/>
  <c r="W953" i="15"/>
  <c r="AA958" i="15"/>
  <c r="I958" i="15"/>
  <c r="Z958" i="15"/>
  <c r="G958" i="15"/>
  <c r="M958" i="15"/>
  <c r="AB958" i="15"/>
  <c r="R958" i="15"/>
  <c r="Q971" i="15"/>
  <c r="P971" i="15"/>
  <c r="H971" i="15"/>
  <c r="AC971" i="15"/>
  <c r="R971" i="15"/>
  <c r="Y974" i="15"/>
  <c r="O977" i="15"/>
  <c r="Y982" i="15"/>
  <c r="S982" i="15"/>
  <c r="O982" i="15"/>
  <c r="AC982" i="15"/>
  <c r="I982" i="15"/>
  <c r="Q982" i="15"/>
  <c r="AD985" i="15"/>
  <c r="AG985" i="15"/>
  <c r="O985" i="15"/>
  <c r="AB985" i="15"/>
  <c r="N985" i="15"/>
  <c r="S985" i="15"/>
  <c r="M985" i="15"/>
  <c r="L985" i="15"/>
  <c r="Z987" i="15"/>
  <c r="U1005" i="15"/>
  <c r="Q1008" i="15"/>
  <c r="AF1012" i="15"/>
  <c r="X1012" i="15"/>
  <c r="V1012" i="15"/>
  <c r="S1016" i="15"/>
  <c r="Y1022" i="15"/>
  <c r="S1022" i="15"/>
  <c r="AB1022" i="15"/>
  <c r="G1022" i="15"/>
  <c r="Z1022" i="15"/>
  <c r="O1022" i="15"/>
  <c r="V1041" i="15"/>
  <c r="AD1045" i="15"/>
  <c r="I1045" i="15"/>
  <c r="J1047" i="15"/>
  <c r="I1047" i="15"/>
  <c r="W1047" i="15"/>
  <c r="AE1047" i="15"/>
  <c r="S1049" i="15"/>
  <c r="Z1051" i="15"/>
  <c r="AC1058" i="15"/>
  <c r="W1058" i="15"/>
  <c r="I1058" i="15"/>
  <c r="U1058" i="15"/>
  <c r="S1074" i="15"/>
  <c r="AE1074" i="15"/>
  <c r="AC1074" i="15"/>
  <c r="W1074" i="15"/>
  <c r="Z1078" i="15"/>
  <c r="G1078" i="15"/>
  <c r="Y1078" i="15"/>
  <c r="S1078" i="15"/>
  <c r="Q1078" i="15"/>
  <c r="O1078" i="15"/>
  <c r="Q1083" i="15"/>
  <c r="M1089" i="15"/>
  <c r="Y1096" i="15"/>
  <c r="S1096" i="15"/>
  <c r="H1096" i="15"/>
  <c r="AD1096" i="15"/>
  <c r="P1096" i="15"/>
  <c r="T1106" i="15"/>
  <c r="AE1106" i="15"/>
  <c r="AC1106" i="15"/>
  <c r="S1110" i="15"/>
  <c r="AC1114" i="15"/>
  <c r="AE1122" i="15"/>
  <c r="S1122" i="15"/>
  <c r="I1122" i="15"/>
  <c r="T1122" i="15"/>
  <c r="AC1122" i="15"/>
  <c r="AC1128" i="15"/>
  <c r="G1128" i="15"/>
  <c r="AA1128" i="15"/>
  <c r="Y1128" i="15"/>
  <c r="P1128" i="15"/>
  <c r="AH1139" i="15"/>
  <c r="AC1139" i="15"/>
  <c r="Q1139" i="15"/>
  <c r="AB1139" i="15"/>
  <c r="O1139" i="15"/>
  <c r="T1139" i="15"/>
  <c r="AF1139" i="15"/>
  <c r="M1139" i="15"/>
  <c r="K1139" i="15"/>
  <c r="AG1139" i="15"/>
  <c r="Z1166" i="15"/>
  <c r="AG1166" i="15"/>
  <c r="U1166" i="15"/>
  <c r="I1166" i="15"/>
  <c r="AE1166" i="15"/>
  <c r="T1166" i="15"/>
  <c r="AD1166" i="15"/>
  <c r="N1166" i="15"/>
  <c r="AA1166" i="15"/>
  <c r="L1166" i="15"/>
  <c r="Y1166" i="15"/>
  <c r="K1166" i="15"/>
  <c r="R1166" i="15"/>
  <c r="AH1171" i="15"/>
  <c r="AG1171" i="15"/>
  <c r="U1171" i="15"/>
  <c r="J1171" i="15"/>
  <c r="AF1171" i="15"/>
  <c r="T1171" i="15"/>
  <c r="H1171" i="15"/>
  <c r="W1171" i="15"/>
  <c r="Q1171" i="15"/>
  <c r="AE1171" i="15"/>
  <c r="O1171" i="15"/>
  <c r="M1171" i="15"/>
  <c r="V1173" i="15"/>
  <c r="T1177" i="15"/>
  <c r="AB1181" i="15"/>
  <c r="P1185" i="15"/>
  <c r="AH1187" i="15"/>
  <c r="AG1187" i="15"/>
  <c r="U1187" i="15"/>
  <c r="J1187" i="15"/>
  <c r="AF1187" i="15"/>
  <c r="T1187" i="15"/>
  <c r="H1187" i="15"/>
  <c r="Z1187" i="15"/>
  <c r="K1187" i="15"/>
  <c r="W1187" i="15"/>
  <c r="S1187" i="15"/>
  <c r="O1187" i="15"/>
  <c r="AE1188" i="15"/>
  <c r="X1195" i="15"/>
  <c r="AH1204" i="15"/>
  <c r="V1208" i="15"/>
  <c r="I1208" i="15"/>
  <c r="AH1208" i="15"/>
  <c r="AG1217" i="15"/>
  <c r="Q1217" i="15"/>
  <c r="P1217" i="15"/>
  <c r="M1217" i="15"/>
  <c r="AC1217" i="15"/>
  <c r="AB1217" i="15"/>
  <c r="S1217" i="15"/>
  <c r="X1221" i="15"/>
  <c r="AF1228" i="15"/>
  <c r="Z1254" i="15"/>
  <c r="AH1269" i="15"/>
  <c r="X1269" i="15"/>
  <c r="N1269" i="15"/>
  <c r="AD1269" i="15"/>
  <c r="S1269" i="15"/>
  <c r="AC1269" i="15"/>
  <c r="P1269" i="15"/>
  <c r="U1269" i="15"/>
  <c r="AF1269" i="15"/>
  <c r="O1269" i="15"/>
  <c r="AE1269" i="15"/>
  <c r="M1269" i="15"/>
  <c r="K1269" i="15"/>
  <c r="V1270" i="15"/>
  <c r="AA1275" i="15"/>
  <c r="AH1277" i="15"/>
  <c r="AC1277" i="15"/>
  <c r="S1277" i="15"/>
  <c r="G1277" i="15"/>
  <c r="AF1277" i="15"/>
  <c r="U1277" i="15"/>
  <c r="H1277" i="15"/>
  <c r="AE1277" i="15"/>
  <c r="T1277" i="15"/>
  <c r="W1277" i="15"/>
  <c r="P1277" i="15"/>
  <c r="O1277" i="15"/>
  <c r="M1277" i="15"/>
  <c r="Y1282" i="15"/>
  <c r="AB1282" i="15"/>
  <c r="Z1282" i="15"/>
  <c r="M1282" i="15"/>
  <c r="M1285" i="15"/>
  <c r="R1294" i="15"/>
  <c r="AH1296" i="15"/>
  <c r="Q1296" i="15"/>
  <c r="V1296" i="15"/>
  <c r="U1296" i="15"/>
  <c r="P1296" i="15"/>
  <c r="H1296" i="15"/>
  <c r="AF1296" i="15"/>
  <c r="G1296" i="15"/>
  <c r="AC1296" i="15"/>
  <c r="AE1307" i="15"/>
  <c r="W1309" i="15"/>
  <c r="W1313" i="15"/>
  <c r="AH1317" i="15"/>
  <c r="AB1317" i="15"/>
  <c r="P1317" i="15"/>
  <c r="AA1317" i="15"/>
  <c r="N1317" i="15"/>
  <c r="X1317" i="15"/>
  <c r="M1317" i="15"/>
  <c r="W1317" i="15"/>
  <c r="H1317" i="15"/>
  <c r="U1317" i="15"/>
  <c r="T1317" i="15"/>
  <c r="L1317" i="15"/>
  <c r="T1333" i="15"/>
  <c r="AG1338" i="15"/>
  <c r="AG1358" i="15"/>
  <c r="AB1358" i="15"/>
  <c r="N1358" i="15"/>
  <c r="AH1358" i="15"/>
  <c r="S1358" i="15"/>
  <c r="AD1358" i="15"/>
  <c r="R1358" i="15"/>
  <c r="AA1358" i="15"/>
  <c r="J1358" i="15"/>
  <c r="V1358" i="15"/>
  <c r="U1358" i="15"/>
  <c r="M1358" i="15"/>
  <c r="P1369" i="15"/>
  <c r="G1384" i="15"/>
  <c r="AH1384" i="15"/>
  <c r="Z1384" i="15"/>
  <c r="Q1384" i="15"/>
  <c r="W1384" i="15"/>
  <c r="AG1391" i="15"/>
  <c r="Z1423" i="15"/>
  <c r="X1423" i="15"/>
  <c r="S1423" i="15"/>
  <c r="H1423" i="15"/>
  <c r="P1423" i="15"/>
  <c r="AG1423" i="15"/>
  <c r="AG1426" i="15"/>
  <c r="V1426" i="15"/>
  <c r="K1426" i="15"/>
  <c r="AD1426" i="15"/>
  <c r="R1426" i="15"/>
  <c r="S1426" i="15"/>
  <c r="AH1426" i="15"/>
  <c r="N1426" i="15"/>
  <c r="T1426" i="15"/>
  <c r="L1426" i="15"/>
  <c r="AC1426" i="15"/>
  <c r="J1426" i="15"/>
  <c r="Z1426" i="15"/>
  <c r="AH1437" i="15"/>
  <c r="AF1437" i="15"/>
  <c r="V1437" i="15"/>
  <c r="L1437" i="15"/>
  <c r="AA1437" i="15"/>
  <c r="N1437" i="15"/>
  <c r="U1437" i="15"/>
  <c r="G1437" i="15"/>
  <c r="T1437" i="15"/>
  <c r="AE1437" i="15"/>
  <c r="O1437" i="15"/>
  <c r="AC1437" i="15"/>
  <c r="K1437" i="15"/>
  <c r="AB1437" i="15"/>
  <c r="H1437" i="15"/>
  <c r="S1437" i="15"/>
  <c r="AH1441" i="15"/>
  <c r="X1441" i="15"/>
  <c r="N1441" i="15"/>
  <c r="AA1441" i="15"/>
  <c r="M1441" i="15"/>
  <c r="AD1441" i="15"/>
  <c r="P1441" i="15"/>
  <c r="AC1441" i="15"/>
  <c r="O1441" i="15"/>
  <c r="AB1441" i="15"/>
  <c r="H1441" i="15"/>
  <c r="V1441" i="15"/>
  <c r="U1441" i="15"/>
  <c r="L1441" i="15"/>
  <c r="Z1442" i="15"/>
  <c r="AD1444" i="15"/>
  <c r="AB1451" i="15"/>
  <c r="AA1466" i="15"/>
  <c r="AG1474" i="15"/>
  <c r="V1474" i="15"/>
  <c r="K1474" i="15"/>
  <c r="T1474" i="15"/>
  <c r="AH1474" i="15"/>
  <c r="R1474" i="15"/>
  <c r="AD1474" i="15"/>
  <c r="N1474" i="15"/>
  <c r="AA1474" i="15"/>
  <c r="U1474" i="15"/>
  <c r="S1474" i="15"/>
  <c r="M1474" i="15"/>
  <c r="Z1482" i="15"/>
  <c r="T1494" i="15"/>
  <c r="AF1508" i="15"/>
  <c r="AA1537" i="15"/>
  <c r="Y1567" i="15"/>
  <c r="AA1571" i="15"/>
  <c r="J1571" i="15"/>
  <c r="AG1571" i="15"/>
  <c r="Z1571" i="15"/>
  <c r="U1601" i="15"/>
  <c r="AE1618" i="15"/>
  <c r="J1627" i="15"/>
  <c r="Z1627" i="15"/>
  <c r="T1627" i="15"/>
  <c r="S1627" i="15"/>
  <c r="Y1627" i="15"/>
  <c r="AB1673" i="15"/>
  <c r="W1673" i="15"/>
  <c r="G1673" i="15"/>
  <c r="AD1673" i="15"/>
  <c r="M1673" i="15"/>
  <c r="X1673" i="15"/>
  <c r="AC1673" i="15"/>
  <c r="V1673" i="15"/>
  <c r="P1673" i="15"/>
  <c r="N1673" i="15"/>
  <c r="H1673" i="15"/>
  <c r="AE1673" i="15"/>
  <c r="AE1686" i="15"/>
  <c r="AH1688" i="15"/>
  <c r="P1688" i="15"/>
  <c r="AF1688" i="15"/>
  <c r="G1688" i="15"/>
  <c r="X1688" i="15"/>
  <c r="H1688" i="15"/>
  <c r="AE1688" i="15"/>
  <c r="W1688" i="15"/>
  <c r="R1688" i="15"/>
  <c r="AB1721" i="15"/>
  <c r="AF1721" i="15"/>
  <c r="P1721" i="15"/>
  <c r="V1721" i="15"/>
  <c r="O1721" i="15"/>
  <c r="W1721" i="15"/>
  <c r="U1721" i="15"/>
  <c r="N1721" i="15"/>
  <c r="H1721" i="15"/>
  <c r="AE1721" i="15"/>
  <c r="X1721" i="15"/>
  <c r="AB1733" i="15"/>
  <c r="V1733" i="15"/>
  <c r="X1733" i="15"/>
  <c r="G1733" i="15"/>
  <c r="U1733" i="15"/>
  <c r="W1733" i="15"/>
  <c r="P1733" i="15"/>
  <c r="O1733" i="15"/>
  <c r="M1733" i="15"/>
  <c r="AF1733" i="15"/>
  <c r="AC1733" i="15"/>
  <c r="AB1741" i="15"/>
  <c r="U1741" i="15"/>
  <c r="X1741" i="15"/>
  <c r="G1741" i="15"/>
  <c r="V1741" i="15"/>
  <c r="AC1741" i="15"/>
  <c r="W1741" i="15"/>
  <c r="P1741" i="15"/>
  <c r="O1741" i="15"/>
  <c r="M1741" i="15"/>
  <c r="H1741" i="15"/>
  <c r="AE1741" i="15"/>
  <c r="AH1754" i="15"/>
  <c r="AC1754" i="15"/>
  <c r="O1754" i="15"/>
  <c r="AB1754" i="15"/>
  <c r="M1754" i="15"/>
  <c r="W1754" i="15"/>
  <c r="K1754" i="15"/>
  <c r="AE1754" i="15"/>
  <c r="L1754" i="15"/>
  <c r="AD1754" i="15"/>
  <c r="G1754" i="15"/>
  <c r="AA1754" i="15"/>
  <c r="U1754" i="15"/>
  <c r="S1754" i="15"/>
  <c r="N1754" i="15"/>
  <c r="Z1755" i="15"/>
  <c r="AB1755" i="15"/>
  <c r="T1755" i="15"/>
  <c r="J1755" i="15"/>
  <c r="I1755" i="15"/>
  <c r="L1755" i="15"/>
  <c r="Y1755" i="15"/>
  <c r="AD1758" i="15"/>
  <c r="Z1803" i="15"/>
  <c r="S1803" i="15"/>
  <c r="AG1803" i="15"/>
  <c r="T1803" i="15"/>
  <c r="I1803" i="15"/>
  <c r="AH1803" i="15"/>
  <c r="Y1803" i="15"/>
  <c r="X1816" i="15"/>
  <c r="P1816" i="15"/>
  <c r="AG1816" i="15"/>
  <c r="H1816" i="15"/>
  <c r="G1816" i="15"/>
  <c r="AH1816" i="15"/>
  <c r="AF1816" i="15"/>
  <c r="O1816" i="15"/>
  <c r="W1816" i="15"/>
  <c r="AH1822" i="15"/>
  <c r="AF1822" i="15"/>
  <c r="V1822" i="15"/>
  <c r="L1822" i="15"/>
  <c r="AE1822" i="15"/>
  <c r="T1822" i="15"/>
  <c r="G1822" i="15"/>
  <c r="AC1822" i="15"/>
  <c r="P1822" i="15"/>
  <c r="X1822" i="15"/>
  <c r="H1822" i="15"/>
  <c r="W1822" i="15"/>
  <c r="U1822" i="15"/>
  <c r="AB1822" i="15"/>
  <c r="S1822" i="15"/>
  <c r="O1822" i="15"/>
  <c r="N1822" i="15"/>
  <c r="AH1838" i="15"/>
  <c r="AB1838" i="15"/>
  <c r="P1838" i="15"/>
  <c r="AA1838" i="15"/>
  <c r="N1838" i="15"/>
  <c r="W1838" i="15"/>
  <c r="L1838" i="15"/>
  <c r="X1838" i="15"/>
  <c r="H1838" i="15"/>
  <c r="V1838" i="15"/>
  <c r="G1838" i="15"/>
  <c r="U1838" i="15"/>
  <c r="AD1838" i="15"/>
  <c r="T1838" i="15"/>
  <c r="S1838" i="15"/>
  <c r="O1838" i="15"/>
  <c r="V1846" i="15"/>
  <c r="Q1888" i="15"/>
  <c r="W1888" i="15"/>
  <c r="P1888" i="15"/>
  <c r="AF1888" i="15"/>
  <c r="AE1888" i="15"/>
  <c r="X1888" i="15"/>
  <c r="AG1888" i="15"/>
  <c r="R1888" i="15"/>
  <c r="O1888" i="15"/>
  <c r="AB1917" i="15"/>
  <c r="AD1917" i="15"/>
  <c r="N1917" i="15"/>
  <c r="AF1917" i="15"/>
  <c r="O1917" i="15"/>
  <c r="AC1917" i="15"/>
  <c r="H1917" i="15"/>
  <c r="M1917" i="15"/>
  <c r="G1917" i="15"/>
  <c r="AE1917" i="15"/>
  <c r="X1917" i="15"/>
  <c r="W1917" i="15"/>
  <c r="V1917" i="15"/>
  <c r="AB1922" i="15"/>
  <c r="AA1975" i="15"/>
  <c r="Y1975" i="15"/>
  <c r="J1975" i="15"/>
  <c r="Z1975" i="15"/>
  <c r="AH1978" i="15"/>
  <c r="X1978" i="15"/>
  <c r="N1978" i="15"/>
  <c r="AF1978" i="15"/>
  <c r="U1978" i="15"/>
  <c r="H1978" i="15"/>
  <c r="AD1978" i="15"/>
  <c r="S1978" i="15"/>
  <c r="AA1978" i="15"/>
  <c r="K1978" i="15"/>
  <c r="W1978" i="15"/>
  <c r="G1978" i="15"/>
  <c r="V1978" i="15"/>
  <c r="T1978" i="15"/>
  <c r="AC1978" i="15"/>
  <c r="AB1978" i="15"/>
  <c r="O1978" i="15"/>
  <c r="AC1994" i="15"/>
  <c r="L183" i="16"/>
  <c r="M183" i="16"/>
  <c r="M188" i="16"/>
  <c r="G188" i="16"/>
  <c r="I188" i="16"/>
  <c r="H188" i="16"/>
  <c r="I251" i="16"/>
  <c r="G251" i="16"/>
  <c r="H251" i="16"/>
  <c r="H652" i="16"/>
  <c r="G652" i="16"/>
  <c r="I652" i="16"/>
  <c r="K663" i="16"/>
  <c r="J663" i="16"/>
  <c r="J675" i="16"/>
  <c r="I675" i="16"/>
  <c r="O675" i="16"/>
  <c r="I708" i="16"/>
  <c r="H708" i="16"/>
  <c r="M708" i="16"/>
  <c r="G708" i="16"/>
  <c r="J755" i="16"/>
  <c r="I755" i="16"/>
  <c r="G755" i="16"/>
  <c r="H755" i="16"/>
  <c r="I771" i="16"/>
  <c r="H771" i="16"/>
  <c r="G771" i="16"/>
  <c r="I931" i="16"/>
  <c r="J931" i="16"/>
  <c r="M1007" i="16"/>
  <c r="E1007" i="16"/>
  <c r="M1013" i="16"/>
  <c r="E1013" i="16"/>
  <c r="E1141" i="16"/>
  <c r="M1141" i="16"/>
  <c r="L1175" i="16"/>
  <c r="J1175" i="16"/>
  <c r="K1175" i="16"/>
  <c r="E1175" i="16"/>
  <c r="M1184" i="16"/>
  <c r="L1184" i="16"/>
  <c r="K1290" i="16"/>
  <c r="J1290" i="16"/>
  <c r="J1551" i="16"/>
  <c r="G1551" i="16"/>
  <c r="F1551" i="16"/>
  <c r="P1551" i="16"/>
  <c r="N1551" i="16"/>
  <c r="O1551" i="16"/>
  <c r="M1551" i="16"/>
  <c r="H1551" i="16"/>
  <c r="E1551" i="16"/>
  <c r="T1551" i="16"/>
  <c r="I1561" i="16"/>
  <c r="T1561" i="16"/>
  <c r="E1561" i="16"/>
  <c r="K1561" i="16"/>
  <c r="F1561" i="16"/>
  <c r="N1561" i="16"/>
  <c r="M1561" i="16"/>
  <c r="L1561" i="16"/>
  <c r="G1561" i="16"/>
  <c r="O1561" i="16"/>
  <c r="K1901" i="16"/>
  <c r="T1901" i="16"/>
  <c r="M1901" i="16"/>
  <c r="T1904" i="16"/>
  <c r="O1904" i="16"/>
  <c r="F1904" i="16"/>
  <c r="N1904" i="16"/>
  <c r="E1904" i="16"/>
  <c r="G1904" i="16"/>
  <c r="P1904" i="16"/>
  <c r="H1904" i="16"/>
  <c r="L1904" i="16"/>
  <c r="K1904" i="16"/>
  <c r="J1904" i="16"/>
  <c r="M1904" i="16"/>
  <c r="I1941" i="16"/>
  <c r="E1941" i="16"/>
  <c r="N1941" i="16"/>
  <c r="K1941" i="16"/>
  <c r="J1941" i="16"/>
  <c r="L1981" i="16"/>
  <c r="T1981" i="16"/>
  <c r="G1981" i="16"/>
  <c r="P1981" i="16"/>
  <c r="F1981" i="16"/>
  <c r="E1981" i="16"/>
  <c r="K1981" i="16"/>
  <c r="H1981" i="16"/>
  <c r="N1981" i="16"/>
  <c r="M1981" i="16"/>
  <c r="J1981" i="16"/>
  <c r="O1981" i="16"/>
  <c r="L2044" i="16"/>
  <c r="K2044" i="16"/>
  <c r="J2044" i="16"/>
  <c r="F2044" i="16"/>
  <c r="T2048" i="16"/>
  <c r="L2048" i="16"/>
  <c r="K2048" i="16"/>
  <c r="N2048" i="16"/>
  <c r="M2048" i="16"/>
  <c r="E2048" i="16"/>
  <c r="P2048" i="16"/>
  <c r="J2048" i="16"/>
  <c r="H2048" i="16"/>
  <c r="G2048" i="16"/>
  <c r="O2048" i="16"/>
  <c r="F2048" i="16"/>
  <c r="T2064" i="16"/>
  <c r="N2064" i="16"/>
  <c r="E2064" i="16"/>
  <c r="M2064" i="16"/>
  <c r="F2064" i="16"/>
  <c r="P2064" i="16"/>
  <c r="H2064" i="16"/>
  <c r="G2064" i="16"/>
  <c r="O2064" i="16"/>
  <c r="L2064" i="16"/>
  <c r="K2064" i="16"/>
  <c r="J2064" i="16"/>
  <c r="AA333" i="15"/>
  <c r="AE333" i="15"/>
  <c r="O333" i="15"/>
  <c r="AD333" i="15"/>
  <c r="N333" i="15"/>
  <c r="V333" i="15"/>
  <c r="T333" i="15"/>
  <c r="M333" i="15"/>
  <c r="AA342" i="15"/>
  <c r="AC342" i="15"/>
  <c r="T342" i="15"/>
  <c r="R342" i="15"/>
  <c r="AA344" i="15"/>
  <c r="X344" i="15"/>
  <c r="L344" i="15"/>
  <c r="W344" i="15"/>
  <c r="K344" i="15"/>
  <c r="AD344" i="15"/>
  <c r="V344" i="15"/>
  <c r="O344" i="15"/>
  <c r="AH346" i="15"/>
  <c r="AA349" i="15"/>
  <c r="AG349" i="15"/>
  <c r="T349" i="15"/>
  <c r="AE349" i="15"/>
  <c r="O349" i="15"/>
  <c r="Y349" i="15"/>
  <c r="V349" i="15"/>
  <c r="M349" i="15"/>
  <c r="Q352" i="15"/>
  <c r="Y352" i="15"/>
  <c r="H352" i="15"/>
  <c r="AA352" i="15"/>
  <c r="W372" i="15"/>
  <c r="AC375" i="15"/>
  <c r="U375" i="15"/>
  <c r="S375" i="15"/>
  <c r="AE375" i="15"/>
  <c r="R375" i="15"/>
  <c r="Q378" i="15"/>
  <c r="Z378" i="15"/>
  <c r="H378" i="15"/>
  <c r="Y399" i="15"/>
  <c r="P404" i="15"/>
  <c r="V409" i="15"/>
  <c r="AH409" i="15"/>
  <c r="R409" i="15"/>
  <c r="Y409" i="15"/>
  <c r="Q409" i="15"/>
  <c r="M409" i="15"/>
  <c r="AA413" i="15"/>
  <c r="AG413" i="15"/>
  <c r="T413" i="15"/>
  <c r="AE413" i="15"/>
  <c r="O413" i="15"/>
  <c r="N413" i="15"/>
  <c r="AD413" i="15"/>
  <c r="L413" i="15"/>
  <c r="K413" i="15"/>
  <c r="AH431" i="15"/>
  <c r="P431" i="15"/>
  <c r="AG431" i="15"/>
  <c r="O431" i="15"/>
  <c r="Z431" i="15"/>
  <c r="X431" i="15"/>
  <c r="N431" i="15"/>
  <c r="Z435" i="15"/>
  <c r="AG435" i="15"/>
  <c r="U435" i="15"/>
  <c r="AF435" i="15"/>
  <c r="P435" i="15"/>
  <c r="AH435" i="15"/>
  <c r="N435" i="15"/>
  <c r="AD435" i="15"/>
  <c r="K435" i="15"/>
  <c r="O435" i="15"/>
  <c r="Q436" i="15"/>
  <c r="S439" i="15"/>
  <c r="AC439" i="15"/>
  <c r="J439" i="15"/>
  <c r="X442" i="15"/>
  <c r="AD449" i="15"/>
  <c r="AA456" i="15"/>
  <c r="AF456" i="15"/>
  <c r="T456" i="15"/>
  <c r="AE456" i="15"/>
  <c r="O456" i="15"/>
  <c r="AD456" i="15"/>
  <c r="L456" i="15"/>
  <c r="X456" i="15"/>
  <c r="N456" i="15"/>
  <c r="R457" i="15"/>
  <c r="AA464" i="15"/>
  <c r="AG464" i="15"/>
  <c r="X464" i="15"/>
  <c r="S464" i="15"/>
  <c r="Q464" i="15"/>
  <c r="T466" i="15"/>
  <c r="O477" i="15"/>
  <c r="Y480" i="15"/>
  <c r="AH482" i="15"/>
  <c r="X482" i="15"/>
  <c r="M482" i="15"/>
  <c r="AG482" i="15"/>
  <c r="W482" i="15"/>
  <c r="L482" i="15"/>
  <c r="AF482" i="15"/>
  <c r="S482" i="15"/>
  <c r="AC482" i="15"/>
  <c r="P482" i="15"/>
  <c r="J482" i="15"/>
  <c r="AB482" i="15"/>
  <c r="O488" i="15"/>
  <c r="J517" i="15"/>
  <c r="AB517" i="15"/>
  <c r="T524" i="15"/>
  <c r="AA528" i="15"/>
  <c r="Y528" i="15"/>
  <c r="X528" i="15"/>
  <c r="G528" i="15"/>
  <c r="S528" i="15"/>
  <c r="Z531" i="15"/>
  <c r="AG531" i="15"/>
  <c r="U531" i="15"/>
  <c r="AF531" i="15"/>
  <c r="P531" i="15"/>
  <c r="X531" i="15"/>
  <c r="V531" i="15"/>
  <c r="M531" i="15"/>
  <c r="W532" i="15"/>
  <c r="G532" i="15"/>
  <c r="V532" i="15"/>
  <c r="Q532" i="15"/>
  <c r="AG532" i="15"/>
  <c r="O532" i="15"/>
  <c r="N532" i="15"/>
  <c r="AA536" i="15"/>
  <c r="X536" i="15"/>
  <c r="L536" i="15"/>
  <c r="W536" i="15"/>
  <c r="K536" i="15"/>
  <c r="AD536" i="15"/>
  <c r="V536" i="15"/>
  <c r="O536" i="15"/>
  <c r="Q537" i="15"/>
  <c r="Z539" i="15"/>
  <c r="V548" i="15"/>
  <c r="O552" i="15"/>
  <c r="W558" i="15"/>
  <c r="AE564" i="15"/>
  <c r="O564" i="15"/>
  <c r="AA564" i="15"/>
  <c r="N564" i="15"/>
  <c r="AF564" i="15"/>
  <c r="H564" i="15"/>
  <c r="X564" i="15"/>
  <c r="P564" i="15"/>
  <c r="T566" i="15"/>
  <c r="S566" i="15"/>
  <c r="Z566" i="15"/>
  <c r="R566" i="15"/>
  <c r="W569" i="15"/>
  <c r="AA584" i="15"/>
  <c r="V584" i="15"/>
  <c r="AG584" i="15"/>
  <c r="U584" i="15"/>
  <c r="AF584" i="15"/>
  <c r="N584" i="15"/>
  <c r="AD584" i="15"/>
  <c r="L584" i="15"/>
  <c r="O584" i="15"/>
  <c r="Y590" i="15"/>
  <c r="M590" i="15"/>
  <c r="X590" i="15"/>
  <c r="L590" i="15"/>
  <c r="AE590" i="15"/>
  <c r="O590" i="15"/>
  <c r="Z590" i="15"/>
  <c r="H590" i="15"/>
  <c r="P590" i="15"/>
  <c r="AH590" i="15"/>
  <c r="P592" i="15"/>
  <c r="G592" i="15"/>
  <c r="Y592" i="15"/>
  <c r="AA605" i="15"/>
  <c r="Y605" i="15"/>
  <c r="L605" i="15"/>
  <c r="W605" i="15"/>
  <c r="K605" i="15"/>
  <c r="AE605" i="15"/>
  <c r="M605" i="15"/>
  <c r="AC605" i="15"/>
  <c r="T605" i="15"/>
  <c r="P606" i="15"/>
  <c r="AB609" i="15"/>
  <c r="T609" i="15"/>
  <c r="S609" i="15"/>
  <c r="I609" i="15"/>
  <c r="U609" i="15"/>
  <c r="X616" i="15"/>
  <c r="AC622" i="15"/>
  <c r="P622" i="15"/>
  <c r="Z622" i="15"/>
  <c r="O622" i="15"/>
  <c r="AH622" i="15"/>
  <c r="T622" i="15"/>
  <c r="AF622" i="15"/>
  <c r="M622" i="15"/>
  <c r="K622" i="15"/>
  <c r="AG622" i="15"/>
  <c r="T625" i="15"/>
  <c r="Z627" i="15"/>
  <c r="Y627" i="15"/>
  <c r="N627" i="15"/>
  <c r="X627" i="15"/>
  <c r="M627" i="15"/>
  <c r="AE627" i="15"/>
  <c r="O627" i="15"/>
  <c r="AC627" i="15"/>
  <c r="J627" i="15"/>
  <c r="P627" i="15"/>
  <c r="AH627" i="15"/>
  <c r="Z633" i="15"/>
  <c r="N633" i="15"/>
  <c r="Y633" i="15"/>
  <c r="M633" i="15"/>
  <c r="AH633" i="15"/>
  <c r="R633" i="15"/>
  <c r="AE633" i="15"/>
  <c r="O633" i="15"/>
  <c r="L633" i="15"/>
  <c r="Z643" i="15"/>
  <c r="AH643" i="15"/>
  <c r="V643" i="15"/>
  <c r="G643" i="15"/>
  <c r="AG643" i="15"/>
  <c r="U643" i="15"/>
  <c r="Y643" i="15"/>
  <c r="H643" i="15"/>
  <c r="W643" i="15"/>
  <c r="N643" i="15"/>
  <c r="P644" i="15"/>
  <c r="O648" i="15"/>
  <c r="H652" i="15"/>
  <c r="AB652" i="15"/>
  <c r="AA652" i="15"/>
  <c r="S652" i="15"/>
  <c r="V660" i="15"/>
  <c r="Y671" i="15"/>
  <c r="N675" i="15"/>
  <c r="N676" i="15"/>
  <c r="Y682" i="15"/>
  <c r="AG682" i="15"/>
  <c r="Z682" i="15"/>
  <c r="X682" i="15"/>
  <c r="Q682" i="15"/>
  <c r="P682" i="15"/>
  <c r="W686" i="15"/>
  <c r="G686" i="15"/>
  <c r="AH686" i="15"/>
  <c r="U686" i="15"/>
  <c r="Y686" i="15"/>
  <c r="Q686" i="15"/>
  <c r="M686" i="15"/>
  <c r="Q688" i="15"/>
  <c r="W691" i="15"/>
  <c r="V696" i="15"/>
  <c r="G704" i="15"/>
  <c r="AA704" i="15"/>
  <c r="X704" i="15"/>
  <c r="S704" i="15"/>
  <c r="T710" i="15"/>
  <c r="V713" i="15"/>
  <c r="AH713" i="15"/>
  <c r="R713" i="15"/>
  <c r="AG713" i="15"/>
  <c r="N713" i="15"/>
  <c r="AA713" i="15"/>
  <c r="I713" i="15"/>
  <c r="O713" i="15"/>
  <c r="Z715" i="15"/>
  <c r="AH715" i="15"/>
  <c r="AC715" i="15"/>
  <c r="Q715" i="15"/>
  <c r="X720" i="15"/>
  <c r="P724" i="15"/>
  <c r="U728" i="15"/>
  <c r="S739" i="15"/>
  <c r="AD745" i="15"/>
  <c r="W745" i="15"/>
  <c r="V745" i="15"/>
  <c r="AG745" i="15"/>
  <c r="L745" i="15"/>
  <c r="AA745" i="15"/>
  <c r="O745" i="15"/>
  <c r="AF748" i="15"/>
  <c r="U748" i="15"/>
  <c r="I748" i="15"/>
  <c r="AE748" i="15"/>
  <c r="W748" i="15"/>
  <c r="AD749" i="15"/>
  <c r="AB749" i="15"/>
  <c r="S749" i="15"/>
  <c r="U749" i="15"/>
  <c r="Q752" i="15"/>
  <c r="AF775" i="15"/>
  <c r="R779" i="15"/>
  <c r="I796" i="15"/>
  <c r="K796" i="15"/>
  <c r="AE796" i="15"/>
  <c r="K804" i="15"/>
  <c r="I804" i="15"/>
  <c r="V804" i="15"/>
  <c r="AE804" i="15"/>
  <c r="U813" i="15"/>
  <c r="AG815" i="15"/>
  <c r="J815" i="15"/>
  <c r="I815" i="15"/>
  <c r="AA816" i="15"/>
  <c r="Y816" i="15"/>
  <c r="S816" i="15"/>
  <c r="P816" i="15"/>
  <c r="O816" i="15"/>
  <c r="S822" i="15"/>
  <c r="AD825" i="15"/>
  <c r="AA825" i="15"/>
  <c r="L825" i="15"/>
  <c r="Y825" i="15"/>
  <c r="N825" i="15"/>
  <c r="AG825" i="15"/>
  <c r="Q825" i="15"/>
  <c r="Y827" i="15"/>
  <c r="AC832" i="15"/>
  <c r="P835" i="15"/>
  <c r="R838" i="15"/>
  <c r="Q840" i="15"/>
  <c r="Q843" i="15"/>
  <c r="P843" i="15"/>
  <c r="G843" i="15"/>
  <c r="AA843" i="15"/>
  <c r="R843" i="15"/>
  <c r="Q854" i="15"/>
  <c r="AC854" i="15"/>
  <c r="O854" i="15"/>
  <c r="AA854" i="15"/>
  <c r="Y854" i="15"/>
  <c r="M854" i="15"/>
  <c r="S856" i="15"/>
  <c r="S863" i="15"/>
  <c r="AF863" i="15"/>
  <c r="X863" i="15"/>
  <c r="AE866" i="15"/>
  <c r="S866" i="15"/>
  <c r="I866" i="15"/>
  <c r="W866" i="15"/>
  <c r="Y897" i="15"/>
  <c r="Q899" i="15"/>
  <c r="S904" i="15"/>
  <c r="AA907" i="15"/>
  <c r="Y910" i="15"/>
  <c r="Q913" i="15"/>
  <c r="Q915" i="15"/>
  <c r="AD921" i="15"/>
  <c r="V921" i="15"/>
  <c r="S921" i="15"/>
  <c r="W921" i="15"/>
  <c r="O921" i="15"/>
  <c r="M921" i="15"/>
  <c r="Y928" i="15"/>
  <c r="S928" i="15"/>
  <c r="AD928" i="15"/>
  <c r="AA928" i="15"/>
  <c r="O928" i="15"/>
  <c r="AC931" i="15"/>
  <c r="I935" i="15"/>
  <c r="J935" i="15"/>
  <c r="AF935" i="15"/>
  <c r="Y937" i="15"/>
  <c r="AC944" i="15"/>
  <c r="Y953" i="15"/>
  <c r="S958" i="15"/>
  <c r="S968" i="15"/>
  <c r="Q968" i="15"/>
  <c r="AC968" i="15"/>
  <c r="Y968" i="15"/>
  <c r="O968" i="15"/>
  <c r="Y971" i="15"/>
  <c r="AA974" i="15"/>
  <c r="Q977" i="15"/>
  <c r="R982" i="15"/>
  <c r="Q985" i="15"/>
  <c r="AA987" i="15"/>
  <c r="AB1005" i="15"/>
  <c r="AC1008" i="15"/>
  <c r="W1010" i="15"/>
  <c r="U1010" i="15"/>
  <c r="T1010" i="15"/>
  <c r="W1012" i="15"/>
  <c r="Q1014" i="15"/>
  <c r="AC1014" i="15"/>
  <c r="O1014" i="15"/>
  <c r="R1014" i="15"/>
  <c r="I1014" i="15"/>
  <c r="S1014" i="15"/>
  <c r="AC1016" i="15"/>
  <c r="Q1022" i="15"/>
  <c r="Y1027" i="15"/>
  <c r="R1027" i="15"/>
  <c r="AC1027" i="15"/>
  <c r="Z1027" i="15"/>
  <c r="O1027" i="15"/>
  <c r="W1041" i="15"/>
  <c r="M1044" i="15"/>
  <c r="AF1044" i="15"/>
  <c r="AF1047" i="15"/>
  <c r="V1049" i="15"/>
  <c r="AA1057" i="15"/>
  <c r="N1057" i="15"/>
  <c r="Y1057" i="15"/>
  <c r="M1057" i="15"/>
  <c r="AD1057" i="15"/>
  <c r="O1057" i="15"/>
  <c r="AB1057" i="15"/>
  <c r="I1057" i="15"/>
  <c r="Q1057" i="15"/>
  <c r="AE1058" i="15"/>
  <c r="AC1075" i="15"/>
  <c r="H1075" i="15"/>
  <c r="AA1075" i="15"/>
  <c r="G1075" i="15"/>
  <c r="Y1075" i="15"/>
  <c r="Q1075" i="15"/>
  <c r="R1078" i="15"/>
  <c r="AD1081" i="15"/>
  <c r="W1081" i="15"/>
  <c r="V1081" i="15"/>
  <c r="AG1081" i="15"/>
  <c r="L1081" i="15"/>
  <c r="AA1081" i="15"/>
  <c r="O1081" i="15"/>
  <c r="Y1083" i="15"/>
  <c r="AE1087" i="15"/>
  <c r="Q1089" i="15"/>
  <c r="Q1096" i="15"/>
  <c r="AC1104" i="15"/>
  <c r="G1104" i="15"/>
  <c r="AA1104" i="15"/>
  <c r="H1104" i="15"/>
  <c r="AD1104" i="15"/>
  <c r="Q1104" i="15"/>
  <c r="R1107" i="15"/>
  <c r="Q1107" i="15"/>
  <c r="P1107" i="15"/>
  <c r="H1107" i="15"/>
  <c r="Y1107" i="15"/>
  <c r="Y1110" i="15"/>
  <c r="R1123" i="15"/>
  <c r="Q1123" i="15"/>
  <c r="AA1123" i="15"/>
  <c r="Y1123" i="15"/>
  <c r="O1123" i="15"/>
  <c r="Q1128" i="15"/>
  <c r="L1139" i="15"/>
  <c r="AG1147" i="15"/>
  <c r="AB1147" i="15"/>
  <c r="L1147" i="15"/>
  <c r="AA1147" i="15"/>
  <c r="J1147" i="15"/>
  <c r="O1147" i="15"/>
  <c r="X1147" i="15"/>
  <c r="V1166" i="15"/>
  <c r="S1171" i="15"/>
  <c r="Y1173" i="15"/>
  <c r="W1177" i="15"/>
  <c r="Z1182" i="15"/>
  <c r="AH1182" i="15"/>
  <c r="V1182" i="15"/>
  <c r="K1182" i="15"/>
  <c r="AG1182" i="15"/>
  <c r="U1182" i="15"/>
  <c r="I1182" i="15"/>
  <c r="AE1182" i="15"/>
  <c r="O1182" i="15"/>
  <c r="AC1182" i="15"/>
  <c r="M1182" i="15"/>
  <c r="AA1182" i="15"/>
  <c r="L1182" i="15"/>
  <c r="T1182" i="15"/>
  <c r="AA1185" i="15"/>
  <c r="Q1187" i="15"/>
  <c r="AG1188" i="15"/>
  <c r="AE1194" i="15"/>
  <c r="R1194" i="15"/>
  <c r="AC1194" i="15"/>
  <c r="Q1194" i="15"/>
  <c r="AA1194" i="15"/>
  <c r="M1194" i="15"/>
  <c r="Y1194" i="15"/>
  <c r="I1194" i="15"/>
  <c r="W1194" i="15"/>
  <c r="G1194" i="15"/>
  <c r="O1194" i="15"/>
  <c r="AH1203" i="15"/>
  <c r="AG1203" i="15"/>
  <c r="U1203" i="15"/>
  <c r="J1203" i="15"/>
  <c r="AF1203" i="15"/>
  <c r="T1203" i="15"/>
  <c r="H1203" i="15"/>
  <c r="AB1203" i="15"/>
  <c r="L1203" i="15"/>
  <c r="X1203" i="15"/>
  <c r="W1203" i="15"/>
  <c r="O1203" i="15"/>
  <c r="Y1209" i="15"/>
  <c r="AD1209" i="15"/>
  <c r="Q1209" i="15"/>
  <c r="AC1209" i="15"/>
  <c r="O1209" i="15"/>
  <c r="U1209" i="15"/>
  <c r="AF1209" i="15"/>
  <c r="N1209" i="15"/>
  <c r="AE1209" i="15"/>
  <c r="M1209" i="15"/>
  <c r="L1209" i="15"/>
  <c r="Y1217" i="15"/>
  <c r="AC1221" i="15"/>
  <c r="AA1226" i="15"/>
  <c r="O1226" i="15"/>
  <c r="AH1226" i="15"/>
  <c r="T1226" i="15"/>
  <c r="AG1226" i="15"/>
  <c r="R1226" i="15"/>
  <c r="Z1226" i="15"/>
  <c r="I1226" i="15"/>
  <c r="W1226" i="15"/>
  <c r="V1226" i="15"/>
  <c r="M1226" i="15"/>
  <c r="AB1254" i="15"/>
  <c r="R1256" i="15"/>
  <c r="G1256" i="15"/>
  <c r="AH1256" i="15"/>
  <c r="AE1256" i="15"/>
  <c r="V1256" i="15"/>
  <c r="U1256" i="15"/>
  <c r="L1269" i="15"/>
  <c r="Y1270" i="15"/>
  <c r="AF1275" i="15"/>
  <c r="N1277" i="15"/>
  <c r="V1282" i="15"/>
  <c r="U1285" i="15"/>
  <c r="AA1294" i="15"/>
  <c r="AD1296" i="15"/>
  <c r="AH1307" i="15"/>
  <c r="AA1309" i="15"/>
  <c r="X1313" i="15"/>
  <c r="O1317" i="15"/>
  <c r="Z1326" i="15"/>
  <c r="M1326" i="15"/>
  <c r="T1326" i="15"/>
  <c r="AH1326" i="15"/>
  <c r="S1326" i="15"/>
  <c r="V1326" i="15"/>
  <c r="Q1326" i="15"/>
  <c r="AD1326" i="15"/>
  <c r="N1326" i="15"/>
  <c r="L1326" i="15"/>
  <c r="Y1330" i="15"/>
  <c r="AG1330" i="15"/>
  <c r="M1330" i="15"/>
  <c r="V1330" i="15"/>
  <c r="U1330" i="15"/>
  <c r="AD1330" i="15"/>
  <c r="AB1330" i="15"/>
  <c r="R1330" i="15"/>
  <c r="V1333" i="15"/>
  <c r="Z1351" i="15"/>
  <c r="X1351" i="15"/>
  <c r="J1351" i="15"/>
  <c r="AA1351" i="15"/>
  <c r="T1358" i="15"/>
  <c r="S1369" i="15"/>
  <c r="AH1371" i="15"/>
  <c r="K1371" i="15"/>
  <c r="J1371" i="15"/>
  <c r="H1376" i="15"/>
  <c r="G1376" i="15"/>
  <c r="AH1376" i="15"/>
  <c r="Y1376" i="15"/>
  <c r="W1376" i="15"/>
  <c r="V1376" i="15"/>
  <c r="Y1384" i="15"/>
  <c r="AF1424" i="15"/>
  <c r="AD1424" i="15"/>
  <c r="Z1424" i="15"/>
  <c r="O1424" i="15"/>
  <c r="AA1426" i="15"/>
  <c r="W1437" i="15"/>
  <c r="W1440" i="15"/>
  <c r="H1440" i="15"/>
  <c r="S1441" i="15"/>
  <c r="AC1442" i="15"/>
  <c r="AG1444" i="15"/>
  <c r="AH1451" i="15"/>
  <c r="AG1458" i="15"/>
  <c r="AH1458" i="15"/>
  <c r="T1458" i="15"/>
  <c r="AC1458" i="15"/>
  <c r="N1458" i="15"/>
  <c r="S1458" i="15"/>
  <c r="R1458" i="15"/>
  <c r="Z1458" i="15"/>
  <c r="U1458" i="15"/>
  <c r="M1458" i="15"/>
  <c r="L1458" i="15"/>
  <c r="AH1465" i="15"/>
  <c r="AC1465" i="15"/>
  <c r="S1465" i="15"/>
  <c r="G1465" i="15"/>
  <c r="AD1465" i="15"/>
  <c r="P1465" i="15"/>
  <c r="W1465" i="15"/>
  <c r="K1465" i="15"/>
  <c r="V1465" i="15"/>
  <c r="H1465" i="15"/>
  <c r="AE1465" i="15"/>
  <c r="M1465" i="15"/>
  <c r="AA1465" i="15"/>
  <c r="X1465" i="15"/>
  <c r="O1465" i="15"/>
  <c r="I1467" i="15"/>
  <c r="H1467" i="15"/>
  <c r="AA1467" i="15"/>
  <c r="X1467" i="15"/>
  <c r="T1467" i="15"/>
  <c r="Z1474" i="15"/>
  <c r="AH1480" i="15"/>
  <c r="AB1482" i="15"/>
  <c r="AB1494" i="15"/>
  <c r="AB1537" i="15"/>
  <c r="AF1540" i="15"/>
  <c r="P1540" i="15"/>
  <c r="AG1540" i="15"/>
  <c r="O1540" i="15"/>
  <c r="AD1540" i="15"/>
  <c r="H1540" i="15"/>
  <c r="Z1540" i="15"/>
  <c r="X1540" i="15"/>
  <c r="G1540" i="15"/>
  <c r="AE1540" i="15"/>
  <c r="R1540" i="15"/>
  <c r="AA1595" i="15"/>
  <c r="S1595" i="15"/>
  <c r="J1595" i="15"/>
  <c r="I1595" i="15"/>
  <c r="Q1595" i="15"/>
  <c r="Z1595" i="15"/>
  <c r="W1601" i="15"/>
  <c r="AH1646" i="15"/>
  <c r="V1646" i="15"/>
  <c r="K1646" i="15"/>
  <c r="T1646" i="15"/>
  <c r="AD1646" i="15"/>
  <c r="O1646" i="15"/>
  <c r="S1646" i="15"/>
  <c r="N1646" i="15"/>
  <c r="AC1646" i="15"/>
  <c r="AA1646" i="15"/>
  <c r="W1646" i="15"/>
  <c r="M1646" i="15"/>
  <c r="AF1673" i="15"/>
  <c r="AG1688" i="15"/>
  <c r="S1699" i="15"/>
  <c r="J1699" i="15"/>
  <c r="Z1699" i="15"/>
  <c r="Y1699" i="15"/>
  <c r="T1699" i="15"/>
  <c r="AC1721" i="15"/>
  <c r="AD1733" i="15"/>
  <c r="AF1741" i="15"/>
  <c r="AH1755" i="15"/>
  <c r="O1796" i="15"/>
  <c r="J1796" i="15"/>
  <c r="AE1816" i="15"/>
  <c r="AA1822" i="15"/>
  <c r="AH1832" i="15"/>
  <c r="P1832" i="15"/>
  <c r="AF1832" i="15"/>
  <c r="G1832" i="15"/>
  <c r="X1832" i="15"/>
  <c r="AE1832" i="15"/>
  <c r="W1832" i="15"/>
  <c r="R1832" i="15"/>
  <c r="AG1832" i="15"/>
  <c r="Q1832" i="15"/>
  <c r="AC1838" i="15"/>
  <c r="AB1846" i="15"/>
  <c r="X1856" i="15"/>
  <c r="W1856" i="15"/>
  <c r="Q1856" i="15"/>
  <c r="AH1856" i="15"/>
  <c r="G1856" i="15"/>
  <c r="AG1856" i="15"/>
  <c r="AF1856" i="15"/>
  <c r="O1856" i="15"/>
  <c r="R1856" i="15"/>
  <c r="AH1888" i="15"/>
  <c r="AC1922" i="15"/>
  <c r="AB1961" i="15"/>
  <c r="X1961" i="15"/>
  <c r="H1961" i="15"/>
  <c r="U1961" i="15"/>
  <c r="AF1961" i="15"/>
  <c r="O1961" i="15"/>
  <c r="AC1961" i="15"/>
  <c r="W1961" i="15"/>
  <c r="V1961" i="15"/>
  <c r="P1961" i="15"/>
  <c r="AE1961" i="15"/>
  <c r="AD1961" i="15"/>
  <c r="N1961" i="15"/>
  <c r="P1978" i="15"/>
  <c r="AE1994" i="15"/>
  <c r="T404" i="16"/>
  <c r="F404" i="16"/>
  <c r="E404" i="16"/>
  <c r="P404" i="16"/>
  <c r="L413" i="16"/>
  <c r="M413" i="16"/>
  <c r="J482" i="16"/>
  <c r="G482" i="16"/>
  <c r="H482" i="16"/>
  <c r="I482" i="16"/>
  <c r="I523" i="16"/>
  <c r="G523" i="16"/>
  <c r="H523" i="16"/>
  <c r="K569" i="16"/>
  <c r="J569" i="16"/>
  <c r="I571" i="16"/>
  <c r="G571" i="16"/>
  <c r="H571" i="16"/>
  <c r="M612" i="16"/>
  <c r="G612" i="16"/>
  <c r="E612" i="16"/>
  <c r="P612" i="16" s="1"/>
  <c r="F612" i="16"/>
  <c r="M868" i="16"/>
  <c r="F868" i="16"/>
  <c r="E868" i="16"/>
  <c r="G868" i="16"/>
  <c r="H897" i="16"/>
  <c r="I897" i="16"/>
  <c r="K1065" i="16"/>
  <c r="I1065" i="16"/>
  <c r="J1065" i="16"/>
  <c r="H1065" i="16"/>
  <c r="E1079" i="16"/>
  <c r="K1305" i="16"/>
  <c r="L1305" i="16"/>
  <c r="J1305" i="16"/>
  <c r="G1308" i="16"/>
  <c r="H1308" i="16"/>
  <c r="E1308" i="16"/>
  <c r="J1382" i="16"/>
  <c r="E1382" i="16"/>
  <c r="F1382" i="16"/>
  <c r="O1382" i="16"/>
  <c r="M1382" i="16"/>
  <c r="G1382" i="16"/>
  <c r="N1382" i="16"/>
  <c r="L1382" i="16"/>
  <c r="K1382" i="16"/>
  <c r="O1412" i="16"/>
  <c r="P1412" i="16"/>
  <c r="E1412" i="16"/>
  <c r="T1412" i="16"/>
  <c r="M1412" i="16"/>
  <c r="H1412" i="16"/>
  <c r="G1412" i="16"/>
  <c r="F1412" i="16"/>
  <c r="N1412" i="16"/>
  <c r="N1474" i="16"/>
  <c r="I1474" i="16"/>
  <c r="F1474" i="16"/>
  <c r="E1474" i="16"/>
  <c r="M1474" i="16"/>
  <c r="H1474" i="16"/>
  <c r="J1516" i="16"/>
  <c r="K1516" i="16"/>
  <c r="T1516" i="16"/>
  <c r="L1516" i="16"/>
  <c r="G1548" i="16"/>
  <c r="O1548" i="16"/>
  <c r="P1548" i="16"/>
  <c r="I1548" i="16"/>
  <c r="H1548" i="16"/>
  <c r="F1548" i="16"/>
  <c r="T1548" i="16"/>
  <c r="N1548" i="16"/>
  <c r="L1548" i="16"/>
  <c r="L1611" i="16"/>
  <c r="I1611" i="16"/>
  <c r="G1611" i="16"/>
  <c r="T1611" i="16"/>
  <c r="H1611" i="16"/>
  <c r="E1611" i="16"/>
  <c r="P1611" i="16"/>
  <c r="O1611" i="16"/>
  <c r="M1611" i="16"/>
  <c r="K1611" i="16"/>
  <c r="L1661" i="16"/>
  <c r="O1661" i="16"/>
  <c r="G1661" i="16"/>
  <c r="E1661" i="16"/>
  <c r="P1661" i="16"/>
  <c r="J1661" i="16"/>
  <c r="F1661" i="16"/>
  <c r="K1661" i="16"/>
  <c r="T1736" i="16"/>
  <c r="M1736" i="16"/>
  <c r="L1736" i="16"/>
  <c r="O1736" i="16"/>
  <c r="E1736" i="16"/>
  <c r="N1736" i="16"/>
  <c r="J1736" i="16"/>
  <c r="G1736" i="16"/>
  <c r="F1736" i="16"/>
  <c r="P1736" i="16"/>
  <c r="K1736" i="16"/>
  <c r="H1736" i="16"/>
  <c r="H1755" i="16"/>
  <c r="G1755" i="16"/>
  <c r="O1755" i="16"/>
  <c r="I1755" i="16"/>
  <c r="M1755" i="16"/>
  <c r="E1755" i="16"/>
  <c r="P1755" i="16"/>
  <c r="N1818" i="16"/>
  <c r="M1818" i="16"/>
  <c r="F1818" i="16"/>
  <c r="E1818" i="16"/>
  <c r="I1818" i="16"/>
  <c r="P1818" i="16"/>
  <c r="H1818" i="16"/>
  <c r="T1818" i="16"/>
  <c r="L1818" i="16"/>
  <c r="T1978" i="16"/>
  <c r="K1978" i="16"/>
  <c r="J1978" i="16"/>
  <c r="L1978" i="16"/>
  <c r="AA1178" i="15"/>
  <c r="O1178" i="15"/>
  <c r="Z1178" i="15"/>
  <c r="N1178" i="15"/>
  <c r="K1178" i="15"/>
  <c r="AC1178" i="15"/>
  <c r="AA1205" i="15"/>
  <c r="O1205" i="15"/>
  <c r="Y1205" i="15"/>
  <c r="N1205" i="15"/>
  <c r="K1205" i="15"/>
  <c r="AC1205" i="15"/>
  <c r="AG1215" i="15"/>
  <c r="U1215" i="15"/>
  <c r="H1215" i="15"/>
  <c r="AF1215" i="15"/>
  <c r="S1215" i="15"/>
  <c r="G1215" i="15"/>
  <c r="M1215" i="15"/>
  <c r="AB1215" i="15"/>
  <c r="U1223" i="15"/>
  <c r="J1223" i="15"/>
  <c r="I1223" i="15"/>
  <c r="AF1224" i="15"/>
  <c r="AE1229" i="15"/>
  <c r="H1229" i="15"/>
  <c r="AC1229" i="15"/>
  <c r="U1229" i="15"/>
  <c r="S1229" i="15"/>
  <c r="Z1232" i="15"/>
  <c r="Q1232" i="15"/>
  <c r="P1232" i="15"/>
  <c r="O1232" i="15"/>
  <c r="AH1265" i="15"/>
  <c r="AF1265" i="15"/>
  <c r="V1265" i="15"/>
  <c r="L1265" i="15"/>
  <c r="AD1265" i="15"/>
  <c r="S1265" i="15"/>
  <c r="AC1265" i="15"/>
  <c r="P1265" i="15"/>
  <c r="K1265" i="15"/>
  <c r="AA1265" i="15"/>
  <c r="AC1278" i="15"/>
  <c r="R1278" i="15"/>
  <c r="Y1278" i="15"/>
  <c r="J1278" i="15"/>
  <c r="V1278" i="15"/>
  <c r="I1278" i="15"/>
  <c r="N1278" i="15"/>
  <c r="AH1278" i="15"/>
  <c r="AH1305" i="15"/>
  <c r="AA1305" i="15"/>
  <c r="O1305" i="15"/>
  <c r="AD1305" i="15"/>
  <c r="S1305" i="15"/>
  <c r="AC1305" i="15"/>
  <c r="P1305" i="15"/>
  <c r="K1305" i="15"/>
  <c r="X1305" i="15"/>
  <c r="AA1311" i="15"/>
  <c r="AH1311" i="15"/>
  <c r="T1311" i="15"/>
  <c r="AF1311" i="15"/>
  <c r="O1311" i="15"/>
  <c r="AB1311" i="15"/>
  <c r="L1311" i="15"/>
  <c r="K1311" i="15"/>
  <c r="I1312" i="15"/>
  <c r="H1312" i="15"/>
  <c r="T1315" i="15"/>
  <c r="Z1315" i="15"/>
  <c r="AF1315" i="15"/>
  <c r="J1315" i="15"/>
  <c r="AE1315" i="15"/>
  <c r="Q1315" i="15"/>
  <c r="AB1318" i="15"/>
  <c r="Q1318" i="15"/>
  <c r="AD1318" i="15"/>
  <c r="R1318" i="15"/>
  <c r="AC1318" i="15"/>
  <c r="N1318" i="15"/>
  <c r="L1318" i="15"/>
  <c r="AH1318" i="15"/>
  <c r="AH1339" i="15"/>
  <c r="Q1339" i="15"/>
  <c r="T1339" i="15"/>
  <c r="S1339" i="15"/>
  <c r="L1339" i="15"/>
  <c r="X1344" i="15"/>
  <c r="I1344" i="15"/>
  <c r="AC1348" i="15"/>
  <c r="AD1348" i="15"/>
  <c r="O1348" i="15"/>
  <c r="AG1348" i="15"/>
  <c r="P1348" i="15"/>
  <c r="AF1348" i="15"/>
  <c r="N1348" i="15"/>
  <c r="M1348" i="15"/>
  <c r="AH1349" i="15"/>
  <c r="AA1349" i="15"/>
  <c r="O1349" i="15"/>
  <c r="AE1349" i="15"/>
  <c r="T1349" i="15"/>
  <c r="G1349" i="15"/>
  <c r="AD1349" i="15"/>
  <c r="S1349" i="15"/>
  <c r="L1349" i="15"/>
  <c r="AB1349" i="15"/>
  <c r="AH1365" i="15"/>
  <c r="W1365" i="15"/>
  <c r="M1365" i="15"/>
  <c r="AA1365" i="15"/>
  <c r="N1365" i="15"/>
  <c r="X1365" i="15"/>
  <c r="L1365" i="15"/>
  <c r="K1365" i="15"/>
  <c r="AC1365" i="15"/>
  <c r="Y1367" i="15"/>
  <c r="T1367" i="15"/>
  <c r="K1367" i="15"/>
  <c r="S1367" i="15"/>
  <c r="AH1373" i="15"/>
  <c r="X1373" i="15"/>
  <c r="N1373" i="15"/>
  <c r="AD1373" i="15"/>
  <c r="S1373" i="15"/>
  <c r="AC1373" i="15"/>
  <c r="P1373" i="15"/>
  <c r="K1373" i="15"/>
  <c r="AA1373" i="15"/>
  <c r="X1400" i="15"/>
  <c r="H1400" i="15"/>
  <c r="AH1429" i="15"/>
  <c r="AC1429" i="15"/>
  <c r="S1429" i="15"/>
  <c r="G1429" i="15"/>
  <c r="AD1429" i="15"/>
  <c r="P1429" i="15"/>
  <c r="W1429" i="15"/>
  <c r="K1429" i="15"/>
  <c r="V1429" i="15"/>
  <c r="H1429" i="15"/>
  <c r="N1429" i="15"/>
  <c r="AF1429" i="15"/>
  <c r="H1431" i="15"/>
  <c r="X1431" i="15"/>
  <c r="S1431" i="15"/>
  <c r="I1431" i="15"/>
  <c r="Y1432" i="15"/>
  <c r="I1432" i="15"/>
  <c r="AG1454" i="15"/>
  <c r="AC1454" i="15"/>
  <c r="R1454" i="15"/>
  <c r="AB1454" i="15"/>
  <c r="M1454" i="15"/>
  <c r="V1454" i="15"/>
  <c r="U1454" i="15"/>
  <c r="L1454" i="15"/>
  <c r="Z1455" i="15"/>
  <c r="Y1455" i="15"/>
  <c r="S1455" i="15"/>
  <c r="AH1481" i="15"/>
  <c r="X1481" i="15"/>
  <c r="N1481" i="15"/>
  <c r="AB1481" i="15"/>
  <c r="O1481" i="15"/>
  <c r="AC1481" i="15"/>
  <c r="M1481" i="15"/>
  <c r="AA1481" i="15"/>
  <c r="L1481" i="15"/>
  <c r="K1481" i="15"/>
  <c r="AE1481" i="15"/>
  <c r="AF1484" i="15"/>
  <c r="Y1484" i="15"/>
  <c r="H1484" i="15"/>
  <c r="X1484" i="15"/>
  <c r="P1484" i="15"/>
  <c r="O1484" i="15"/>
  <c r="N1484" i="15"/>
  <c r="Z1487" i="15"/>
  <c r="X1487" i="15"/>
  <c r="J1487" i="15"/>
  <c r="Y1487" i="15"/>
  <c r="Z1527" i="15"/>
  <c r="J1527" i="15"/>
  <c r="AH1528" i="15"/>
  <c r="X1528" i="15"/>
  <c r="W1528" i="15"/>
  <c r="V1528" i="15"/>
  <c r="R1528" i="15"/>
  <c r="J1531" i="15"/>
  <c r="P1531" i="15"/>
  <c r="I1531" i="15"/>
  <c r="AF1531" i="15"/>
  <c r="Y1536" i="15"/>
  <c r="AG1536" i="15"/>
  <c r="AF1536" i="15"/>
  <c r="V1536" i="15"/>
  <c r="W1536" i="15"/>
  <c r="R1536" i="15"/>
  <c r="Q1536" i="15"/>
  <c r="Y1539" i="15"/>
  <c r="H1539" i="15"/>
  <c r="S1539" i="15"/>
  <c r="AH1539" i="15"/>
  <c r="Q1539" i="15"/>
  <c r="AA1539" i="15"/>
  <c r="T1539" i="15"/>
  <c r="P1539" i="15"/>
  <c r="AH1549" i="15"/>
  <c r="AF1549" i="15"/>
  <c r="V1549" i="15"/>
  <c r="L1549" i="15"/>
  <c r="X1549" i="15"/>
  <c r="M1549" i="15"/>
  <c r="U1549" i="15"/>
  <c r="H1549" i="15"/>
  <c r="S1549" i="15"/>
  <c r="AE1549" i="15"/>
  <c r="P1549" i="15"/>
  <c r="N1549" i="15"/>
  <c r="AH1582" i="15"/>
  <c r="AB1582" i="15"/>
  <c r="N1582" i="15"/>
  <c r="U1582" i="15"/>
  <c r="AE1582" i="15"/>
  <c r="S1582" i="15"/>
  <c r="AA1582" i="15"/>
  <c r="G1582" i="15"/>
  <c r="W1582" i="15"/>
  <c r="M1582" i="15"/>
  <c r="AH1590" i="15"/>
  <c r="AE1590" i="15"/>
  <c r="T1590" i="15"/>
  <c r="AB1590" i="15"/>
  <c r="M1590" i="15"/>
  <c r="W1590" i="15"/>
  <c r="K1590" i="15"/>
  <c r="V1590" i="15"/>
  <c r="U1590" i="15"/>
  <c r="N1590" i="15"/>
  <c r="AH1594" i="15"/>
  <c r="AC1594" i="15"/>
  <c r="O1594" i="15"/>
  <c r="U1594" i="15"/>
  <c r="AE1594" i="15"/>
  <c r="S1594" i="15"/>
  <c r="AB1594" i="15"/>
  <c r="K1594" i="15"/>
  <c r="AA1594" i="15"/>
  <c r="G1594" i="15"/>
  <c r="N1594" i="15"/>
  <c r="AE1596" i="15"/>
  <c r="G1596" i="15"/>
  <c r="Y1596" i="15"/>
  <c r="Q1596" i="15"/>
  <c r="Z1596" i="15"/>
  <c r="W1596" i="15"/>
  <c r="P1596" i="15"/>
  <c r="O1604" i="15"/>
  <c r="AF1604" i="15"/>
  <c r="AG1604" i="15"/>
  <c r="J1604" i="15"/>
  <c r="AH1622" i="15"/>
  <c r="AD1622" i="15"/>
  <c r="S1622" i="15"/>
  <c r="AE1622" i="15"/>
  <c r="O1622" i="15"/>
  <c r="AB1622" i="15"/>
  <c r="M1622" i="15"/>
  <c r="U1622" i="15"/>
  <c r="T1622" i="15"/>
  <c r="L1622" i="15"/>
  <c r="AH1626" i="15"/>
  <c r="AA1626" i="15"/>
  <c r="M1626" i="15"/>
  <c r="U1626" i="15"/>
  <c r="AE1626" i="15"/>
  <c r="S1626" i="15"/>
  <c r="AC1626" i="15"/>
  <c r="K1626" i="15"/>
  <c r="AB1626" i="15"/>
  <c r="G1626" i="15"/>
  <c r="O1626" i="15"/>
  <c r="L1631" i="15"/>
  <c r="AB1631" i="15"/>
  <c r="AG1631" i="15"/>
  <c r="AA1631" i="15"/>
  <c r="AA1667" i="15"/>
  <c r="AH1690" i="15"/>
  <c r="AC1690" i="15"/>
  <c r="O1690" i="15"/>
  <c r="T1690" i="15"/>
  <c r="AD1690" i="15"/>
  <c r="N1690" i="15"/>
  <c r="S1690" i="15"/>
  <c r="M1690" i="15"/>
  <c r="L1690" i="15"/>
  <c r="AH1698" i="15"/>
  <c r="V1698" i="15"/>
  <c r="K1698" i="15"/>
  <c r="AE1698" i="15"/>
  <c r="S1698" i="15"/>
  <c r="AC1698" i="15"/>
  <c r="N1698" i="15"/>
  <c r="T1698" i="15"/>
  <c r="O1698" i="15"/>
  <c r="M1698" i="15"/>
  <c r="K1711" i="15"/>
  <c r="AH1711" i="15"/>
  <c r="AB1711" i="15"/>
  <c r="R1712" i="15"/>
  <c r="H1712" i="15"/>
  <c r="AG1712" i="15"/>
  <c r="AH1712" i="15"/>
  <c r="AF1712" i="15"/>
  <c r="Q1712" i="15"/>
  <c r="AH1718" i="15"/>
  <c r="U1718" i="15"/>
  <c r="G1718" i="15"/>
  <c r="AE1718" i="15"/>
  <c r="S1718" i="15"/>
  <c r="AC1718" i="15"/>
  <c r="N1718" i="15"/>
  <c r="W1718" i="15"/>
  <c r="V1718" i="15"/>
  <c r="T1718" i="15"/>
  <c r="M1718" i="15"/>
  <c r="AH1746" i="15"/>
  <c r="AC1746" i="15"/>
  <c r="O1746" i="15"/>
  <c r="U1746" i="15"/>
  <c r="AE1746" i="15"/>
  <c r="S1746" i="15"/>
  <c r="V1746" i="15"/>
  <c r="T1746" i="15"/>
  <c r="N1746" i="15"/>
  <c r="L1746" i="15"/>
  <c r="AH1750" i="15"/>
  <c r="AD1750" i="15"/>
  <c r="S1750" i="15"/>
  <c r="AE1750" i="15"/>
  <c r="O1750" i="15"/>
  <c r="AB1750" i="15"/>
  <c r="M1750" i="15"/>
  <c r="AC1750" i="15"/>
  <c r="K1750" i="15"/>
  <c r="AA1750" i="15"/>
  <c r="G1750" i="15"/>
  <c r="W1750" i="15"/>
  <c r="T1750" i="15"/>
  <c r="AB1801" i="15"/>
  <c r="AF1801" i="15"/>
  <c r="P1801" i="15"/>
  <c r="AE1801" i="15"/>
  <c r="N1801" i="15"/>
  <c r="AC1801" i="15"/>
  <c r="H1801" i="15"/>
  <c r="AD1801" i="15"/>
  <c r="X1801" i="15"/>
  <c r="W1801" i="15"/>
  <c r="O1801" i="15"/>
  <c r="AB1809" i="15"/>
  <c r="AE1809" i="15"/>
  <c r="O1809" i="15"/>
  <c r="U1809" i="15"/>
  <c r="AF1809" i="15"/>
  <c r="N1809" i="15"/>
  <c r="H1809" i="15"/>
  <c r="AD1809" i="15"/>
  <c r="G1809" i="15"/>
  <c r="AC1809" i="15"/>
  <c r="V1809" i="15"/>
  <c r="AH1830" i="15"/>
  <c r="X1830" i="15"/>
  <c r="N1830" i="15"/>
  <c r="AE1830" i="15"/>
  <c r="T1830" i="15"/>
  <c r="G1830" i="15"/>
  <c r="AC1830" i="15"/>
  <c r="P1830" i="15"/>
  <c r="V1830" i="15"/>
  <c r="U1830" i="15"/>
  <c r="S1830" i="15"/>
  <c r="L1830" i="15"/>
  <c r="W1848" i="15"/>
  <c r="AG1848" i="15"/>
  <c r="H1848" i="15"/>
  <c r="AE1848" i="15"/>
  <c r="G1848" i="15"/>
  <c r="AH1848" i="15"/>
  <c r="AF1848" i="15"/>
  <c r="Q1848" i="15"/>
  <c r="AB1929" i="15"/>
  <c r="AE1929" i="15"/>
  <c r="O1929" i="15"/>
  <c r="AC1929" i="15"/>
  <c r="H1929" i="15"/>
  <c r="W1929" i="15"/>
  <c r="X1929" i="15"/>
  <c r="V1929" i="15"/>
  <c r="U1929" i="15"/>
  <c r="N1929" i="15"/>
  <c r="AG1938" i="15"/>
  <c r="AD1938" i="15"/>
  <c r="U1938" i="15"/>
  <c r="L1938" i="15"/>
  <c r="AC1938" i="15"/>
  <c r="S1938" i="15"/>
  <c r="H1938" i="15"/>
  <c r="AA1938" i="15"/>
  <c r="P1938" i="15"/>
  <c r="AF1938" i="15"/>
  <c r="R1938" i="15"/>
  <c r="AE1938" i="15"/>
  <c r="O1938" i="15"/>
  <c r="AB1938" i="15"/>
  <c r="N1938" i="15"/>
  <c r="Z1938" i="15"/>
  <c r="M1938" i="15"/>
  <c r="K1938" i="15"/>
  <c r="Z1959" i="15"/>
  <c r="AA1959" i="15"/>
  <c r="Y1959" i="15"/>
  <c r="S1959" i="15"/>
  <c r="AA1991" i="15"/>
  <c r="Y1991" i="15"/>
  <c r="J1991" i="15"/>
  <c r="Z1991" i="15"/>
  <c r="I21" i="16"/>
  <c r="G21" i="16"/>
  <c r="H29" i="16"/>
  <c r="I29" i="16"/>
  <c r="G29" i="16"/>
  <c r="G113" i="16"/>
  <c r="H113" i="16"/>
  <c r="H202" i="16"/>
  <c r="K202" i="16"/>
  <c r="J202" i="16"/>
  <c r="I202" i="16"/>
  <c r="J290" i="16"/>
  <c r="H290" i="16"/>
  <c r="G290" i="16"/>
  <c r="I290" i="16"/>
  <c r="G459" i="16"/>
  <c r="I459" i="16"/>
  <c r="H459" i="16"/>
  <c r="J474" i="16"/>
  <c r="H474" i="16"/>
  <c r="I474" i="16"/>
  <c r="G474" i="16"/>
  <c r="K497" i="16"/>
  <c r="H497" i="16"/>
  <c r="I497" i="16"/>
  <c r="J562" i="16"/>
  <c r="G562" i="16"/>
  <c r="G566" i="16"/>
  <c r="L566" i="16"/>
  <c r="K566" i="16"/>
  <c r="F566" i="16"/>
  <c r="I588" i="16"/>
  <c r="H588" i="16"/>
  <c r="G588" i="16"/>
  <c r="M637" i="16"/>
  <c r="E637" i="16"/>
  <c r="L709" i="16"/>
  <c r="M709" i="16"/>
  <c r="K711" i="16"/>
  <c r="J711" i="16"/>
  <c r="L711" i="16"/>
  <c r="L727" i="16"/>
  <c r="F727" i="16"/>
  <c r="K727" i="16"/>
  <c r="J727" i="16"/>
  <c r="E727" i="16"/>
  <c r="J881" i="16"/>
  <c r="I881" i="16"/>
  <c r="K881" i="16"/>
  <c r="H881" i="16"/>
  <c r="I892" i="16"/>
  <c r="H892" i="16"/>
  <c r="E926" i="16"/>
  <c r="F926" i="16" s="1"/>
  <c r="L998" i="16"/>
  <c r="M998" i="16"/>
  <c r="J1098" i="16"/>
  <c r="I1098" i="16"/>
  <c r="K1098" i="16"/>
  <c r="L1207" i="16"/>
  <c r="M1207" i="16"/>
  <c r="E1360" i="16"/>
  <c r="T1360" i="16"/>
  <c r="K1360" i="16"/>
  <c r="J1360" i="16"/>
  <c r="I1360" i="16"/>
  <c r="J1378" i="16"/>
  <c r="I1378" i="16"/>
  <c r="G1378" i="16"/>
  <c r="H1378" i="16"/>
  <c r="K1389" i="16"/>
  <c r="N1389" i="16"/>
  <c r="G1389" i="16"/>
  <c r="F1389" i="16"/>
  <c r="E1389" i="16"/>
  <c r="P1389" i="16"/>
  <c r="T1472" i="16"/>
  <c r="N1472" i="16"/>
  <c r="E1472" i="16"/>
  <c r="O1472" i="16"/>
  <c r="G1472" i="16"/>
  <c r="P1472" i="16"/>
  <c r="J1472" i="16"/>
  <c r="H1472" i="16"/>
  <c r="F1472" i="16"/>
  <c r="L1485" i="16"/>
  <c r="P1485" i="16"/>
  <c r="T1485" i="16"/>
  <c r="N1485" i="16"/>
  <c r="G1485" i="16"/>
  <c r="F1485" i="16"/>
  <c r="E1485" i="16"/>
  <c r="T1512" i="16"/>
  <c r="H1512" i="16"/>
  <c r="M1512" i="16"/>
  <c r="P1512" i="16"/>
  <c r="E1512" i="16"/>
  <c r="N1512" i="16"/>
  <c r="K1512" i="16"/>
  <c r="J1512" i="16"/>
  <c r="G1512" i="16"/>
  <c r="F1512" i="16"/>
  <c r="M1537" i="16"/>
  <c r="I1537" i="16"/>
  <c r="F1537" i="16"/>
  <c r="T1537" i="16"/>
  <c r="L1537" i="16"/>
  <c r="K1537" i="16"/>
  <c r="G1537" i="16"/>
  <c r="E1537" i="16"/>
  <c r="P1564" i="16"/>
  <c r="T1564" i="16"/>
  <c r="I1564" i="16"/>
  <c r="G1564" i="16"/>
  <c r="H1564" i="16"/>
  <c r="F1564" i="16"/>
  <c r="H1667" i="16"/>
  <c r="O1667" i="16"/>
  <c r="I1667" i="16"/>
  <c r="F1719" i="16"/>
  <c r="G1719" i="16"/>
  <c r="I1719" i="16"/>
  <c r="H1719" i="16"/>
  <c r="T1744" i="16"/>
  <c r="P1744" i="16"/>
  <c r="G1744" i="16"/>
  <c r="O1744" i="16"/>
  <c r="F1744" i="16"/>
  <c r="N1744" i="16"/>
  <c r="J1744" i="16"/>
  <c r="L1744" i="16"/>
  <c r="H1744" i="16"/>
  <c r="M1744" i="16"/>
  <c r="K1744" i="16"/>
  <c r="E1744" i="16"/>
  <c r="L1765" i="16"/>
  <c r="H1765" i="16"/>
  <c r="G1765" i="16"/>
  <c r="T1765" i="16"/>
  <c r="K1765" i="16"/>
  <c r="M1765" i="16"/>
  <c r="E1765" i="16"/>
  <c r="F1765" i="16"/>
  <c r="T1768" i="16"/>
  <c r="O1768" i="16"/>
  <c r="F1768" i="16"/>
  <c r="N1768" i="16"/>
  <c r="E1768" i="16"/>
  <c r="J1768" i="16"/>
  <c r="H1768" i="16"/>
  <c r="M1768" i="16"/>
  <c r="L1768" i="16"/>
  <c r="K1768" i="16"/>
  <c r="G1768" i="16"/>
  <c r="T1784" i="16"/>
  <c r="P1784" i="16"/>
  <c r="G1784" i="16"/>
  <c r="O1784" i="16"/>
  <c r="F1784" i="16"/>
  <c r="M1784" i="16"/>
  <c r="N1784" i="16"/>
  <c r="K1784" i="16"/>
  <c r="J1784" i="16"/>
  <c r="H1784" i="16"/>
  <c r="E1784" i="16"/>
  <c r="I1795" i="16"/>
  <c r="G1795" i="16"/>
  <c r="E1795" i="16"/>
  <c r="P1795" i="16"/>
  <c r="T1795" i="16"/>
  <c r="H1795" i="16"/>
  <c r="J1797" i="16"/>
  <c r="I1797" i="16"/>
  <c r="G1797" i="16"/>
  <c r="H1797" i="16"/>
  <c r="J1807" i="16"/>
  <c r="G1807" i="16"/>
  <c r="F1807" i="16"/>
  <c r="P1807" i="16"/>
  <c r="T1807" i="16"/>
  <c r="N1807" i="16"/>
  <c r="M1807" i="16"/>
  <c r="H1807" i="16"/>
  <c r="E1807" i="16"/>
  <c r="P1972" i="16"/>
  <c r="O1972" i="16"/>
  <c r="H1972" i="16"/>
  <c r="G1972" i="16"/>
  <c r="I1972" i="16"/>
  <c r="F1972" i="16"/>
  <c r="N1972" i="16"/>
  <c r="K1972" i="16"/>
  <c r="T2012" i="16"/>
  <c r="G2012" i="16"/>
  <c r="F2012" i="16"/>
  <c r="H2012" i="16"/>
  <c r="I2012" i="16"/>
  <c r="P2012" i="16"/>
  <c r="O2012" i="16"/>
  <c r="T2105" i="16"/>
  <c r="K2105" i="16"/>
  <c r="O2105" i="16"/>
  <c r="T2124" i="16"/>
  <c r="F2124" i="16"/>
  <c r="P2124" i="16"/>
  <c r="G2124" i="16"/>
  <c r="I2124" i="16"/>
  <c r="H2124" i="16"/>
  <c r="L2124" i="16"/>
  <c r="N2124" i="16"/>
  <c r="K2156" i="16"/>
  <c r="I2156" i="16"/>
  <c r="H2156" i="16"/>
  <c r="J2156" i="16"/>
  <c r="J2191" i="16"/>
  <c r="H2191" i="16"/>
  <c r="G2191" i="16"/>
  <c r="K2191" i="16"/>
  <c r="F2191" i="16"/>
  <c r="T2191" i="16"/>
  <c r="M2191" i="16"/>
  <c r="E2191" i="16"/>
  <c r="P2191" i="16"/>
  <c r="O2191" i="16"/>
  <c r="N2191" i="16"/>
  <c r="T2400" i="16"/>
  <c r="H2400" i="16"/>
  <c r="P2400" i="16"/>
  <c r="G2400" i="16"/>
  <c r="E2400" i="16"/>
  <c r="O2400" i="16"/>
  <c r="J2400" i="16"/>
  <c r="F2400" i="16"/>
  <c r="N2400" i="16"/>
  <c r="M2400" i="16"/>
  <c r="L2400" i="16"/>
  <c r="K2400" i="16"/>
  <c r="T2689" i="16"/>
  <c r="O2689" i="16"/>
  <c r="E2689" i="16"/>
  <c r="N2689" i="16"/>
  <c r="M2689" i="16"/>
  <c r="J2689" i="16"/>
  <c r="G2689" i="16"/>
  <c r="F2689" i="16"/>
  <c r="L2689" i="16"/>
  <c r="K2689" i="16"/>
  <c r="E2923" i="16"/>
  <c r="T2923" i="16"/>
  <c r="I2923" i="16"/>
  <c r="H2923" i="16"/>
  <c r="J2923" i="16"/>
  <c r="P2923" i="16"/>
  <c r="M2923" i="16"/>
  <c r="L2923" i="16"/>
  <c r="E3010" i="16"/>
  <c r="T3010" i="16"/>
  <c r="J3010" i="16"/>
  <c r="I3010" i="16"/>
  <c r="F3010" i="16"/>
  <c r="N3010" i="16"/>
  <c r="M3010" i="16"/>
  <c r="L3010" i="16"/>
  <c r="J3061" i="16"/>
  <c r="F3061" i="16"/>
  <c r="N3061" i="16"/>
  <c r="K3061" i="16"/>
  <c r="P3061" i="16"/>
  <c r="T3088" i="16"/>
  <c r="O3088" i="16"/>
  <c r="F3088" i="16"/>
  <c r="N3088" i="16"/>
  <c r="E3088" i="16"/>
  <c r="P3088" i="16"/>
  <c r="M3088" i="16"/>
  <c r="J3088" i="16"/>
  <c r="H3088" i="16"/>
  <c r="G3088" i="16"/>
  <c r="L3088" i="16"/>
  <c r="K3088" i="16"/>
  <c r="W4" i="15"/>
  <c r="P4" i="15"/>
  <c r="O4" i="15"/>
  <c r="AA4" i="15"/>
  <c r="AA6" i="15"/>
  <c r="O15" i="15"/>
  <c r="N15" i="15"/>
  <c r="Z53" i="15"/>
  <c r="N63" i="15"/>
  <c r="Q63" i="15"/>
  <c r="P63" i="15"/>
  <c r="O63" i="15"/>
  <c r="AC73" i="15"/>
  <c r="W110" i="15"/>
  <c r="AC116" i="15"/>
  <c r="Y120" i="15"/>
  <c r="AC151" i="15"/>
  <c r="R151" i="15"/>
  <c r="M151" i="15"/>
  <c r="G159" i="15"/>
  <c r="N168" i="15"/>
  <c r="R202" i="15"/>
  <c r="Q202" i="15"/>
  <c r="O202" i="15"/>
  <c r="Z226" i="15"/>
  <c r="AG226" i="15"/>
  <c r="T226" i="15"/>
  <c r="AF226" i="15"/>
  <c r="S226" i="15"/>
  <c r="L226" i="15"/>
  <c r="AE226" i="15"/>
  <c r="AA230" i="15"/>
  <c r="Q230" i="15"/>
  <c r="H230" i="15"/>
  <c r="T230" i="15"/>
  <c r="AA241" i="15"/>
  <c r="AB241" i="15"/>
  <c r="U241" i="15"/>
  <c r="R241" i="15"/>
  <c r="AA248" i="15"/>
  <c r="AF248" i="15"/>
  <c r="T248" i="15"/>
  <c r="AE248" i="15"/>
  <c r="O248" i="15"/>
  <c r="M248" i="15"/>
  <c r="AG248" i="15"/>
  <c r="AE270" i="15"/>
  <c r="O270" i="15"/>
  <c r="Z270" i="15"/>
  <c r="M270" i="15"/>
  <c r="L270" i="15"/>
  <c r="AG270" i="15"/>
  <c r="Z274" i="15"/>
  <c r="W274" i="15"/>
  <c r="J274" i="15"/>
  <c r="U274" i="15"/>
  <c r="G274" i="15"/>
  <c r="M274" i="15"/>
  <c r="AF274" i="15"/>
  <c r="V281" i="15"/>
  <c r="AH281" i="15"/>
  <c r="R281" i="15"/>
  <c r="M281" i="15"/>
  <c r="AE281" i="15"/>
  <c r="Z290" i="15"/>
  <c r="AF290" i="15"/>
  <c r="S290" i="15"/>
  <c r="AE290" i="15"/>
  <c r="O290" i="15"/>
  <c r="K290" i="15"/>
  <c r="AC290" i="15"/>
  <c r="R294" i="15"/>
  <c r="V308" i="15"/>
  <c r="AG308" i="15"/>
  <c r="Q308" i="15"/>
  <c r="M308" i="15"/>
  <c r="AE308" i="15"/>
  <c r="AH334" i="15"/>
  <c r="U334" i="15"/>
  <c r="AG334" i="15"/>
  <c r="Q334" i="15"/>
  <c r="L334" i="15"/>
  <c r="AE334" i="15"/>
  <c r="Z354" i="15"/>
  <c r="AG354" i="15"/>
  <c r="T354" i="15"/>
  <c r="AF354" i="15"/>
  <c r="S354" i="15"/>
  <c r="L354" i="15"/>
  <c r="AE354" i="15"/>
  <c r="AA381" i="15"/>
  <c r="AG381" i="15"/>
  <c r="T381" i="15"/>
  <c r="AE381" i="15"/>
  <c r="O381" i="15"/>
  <c r="M381" i="15"/>
  <c r="AH381" i="15"/>
  <c r="Q389" i="15"/>
  <c r="AA389" i="15"/>
  <c r="S389" i="15"/>
  <c r="AA392" i="15"/>
  <c r="AE392" i="15"/>
  <c r="O392" i="15"/>
  <c r="AD392" i="15"/>
  <c r="N392" i="15"/>
  <c r="M392" i="15"/>
  <c r="AG392" i="15"/>
  <c r="Z451" i="15"/>
  <c r="W451" i="15"/>
  <c r="G451" i="15"/>
  <c r="AH451" i="15"/>
  <c r="V451" i="15"/>
  <c r="N451" i="15"/>
  <c r="AF451" i="15"/>
  <c r="S460" i="15"/>
  <c r="Z467" i="15"/>
  <c r="AD467" i="15"/>
  <c r="N467" i="15"/>
  <c r="Y467" i="15"/>
  <c r="M467" i="15"/>
  <c r="K467" i="15"/>
  <c r="AF467" i="15"/>
  <c r="Y493" i="15"/>
  <c r="N493" i="15"/>
  <c r="AH493" i="15"/>
  <c r="W493" i="15"/>
  <c r="M493" i="15"/>
  <c r="K493" i="15"/>
  <c r="Z493" i="15"/>
  <c r="AC503" i="15"/>
  <c r="AE503" i="15"/>
  <c r="V503" i="15"/>
  <c r="S503" i="15"/>
  <c r="AA506" i="15"/>
  <c r="Z506" i="15"/>
  <c r="H506" i="15"/>
  <c r="AB508" i="15"/>
  <c r="AD508" i="15"/>
  <c r="U508" i="15"/>
  <c r="S508" i="15"/>
  <c r="AF516" i="15"/>
  <c r="P516" i="15"/>
  <c r="AE516" i="15"/>
  <c r="O516" i="15"/>
  <c r="M516" i="15"/>
  <c r="AG516" i="15"/>
  <c r="Z546" i="15"/>
  <c r="AG546" i="15"/>
  <c r="T546" i="15"/>
  <c r="AF546" i="15"/>
  <c r="S546" i="15"/>
  <c r="L546" i="15"/>
  <c r="AE546" i="15"/>
  <c r="Z555" i="15"/>
  <c r="Y555" i="15"/>
  <c r="R555" i="15"/>
  <c r="Q570" i="15"/>
  <c r="H570" i="15"/>
  <c r="G570" i="15"/>
  <c r="Z570" i="15"/>
  <c r="Z578" i="15"/>
  <c r="U578" i="15"/>
  <c r="G578" i="15"/>
  <c r="AG578" i="15"/>
  <c r="T578" i="15"/>
  <c r="L578" i="15"/>
  <c r="AE578" i="15"/>
  <c r="AA589" i="15"/>
  <c r="Y589" i="15"/>
  <c r="L589" i="15"/>
  <c r="W589" i="15"/>
  <c r="K589" i="15"/>
  <c r="O589" i="15"/>
  <c r="AH589" i="15"/>
  <c r="Z610" i="15"/>
  <c r="AG610" i="15"/>
  <c r="T610" i="15"/>
  <c r="AF610" i="15"/>
  <c r="S610" i="15"/>
  <c r="L610" i="15"/>
  <c r="AE610" i="15"/>
  <c r="H619" i="15"/>
  <c r="AH619" i="15"/>
  <c r="G619" i="15"/>
  <c r="R619" i="15"/>
  <c r="Z626" i="15"/>
  <c r="X626" i="15"/>
  <c r="K626" i="15"/>
  <c r="W626" i="15"/>
  <c r="J626" i="15"/>
  <c r="O626" i="15"/>
  <c r="AG626" i="15"/>
  <c r="U631" i="15"/>
  <c r="AC631" i="15"/>
  <c r="J631" i="15"/>
  <c r="AE649" i="15"/>
  <c r="O649" i="15"/>
  <c r="AA649" i="15"/>
  <c r="N649" i="15"/>
  <c r="M649" i="15"/>
  <c r="AH649" i="15"/>
  <c r="Z690" i="15"/>
  <c r="X690" i="15"/>
  <c r="K690" i="15"/>
  <c r="W690" i="15"/>
  <c r="J690" i="15"/>
  <c r="O690" i="15"/>
  <c r="AG690" i="15"/>
  <c r="Z699" i="15"/>
  <c r="AH699" i="15"/>
  <c r="Q699" i="15"/>
  <c r="AA712" i="15"/>
  <c r="AE712" i="15"/>
  <c r="O712" i="15"/>
  <c r="AD712" i="15"/>
  <c r="N712" i="15"/>
  <c r="M712" i="15"/>
  <c r="AG712" i="15"/>
  <c r="I716" i="15"/>
  <c r="H716" i="15"/>
  <c r="AA717" i="15"/>
  <c r="AG717" i="15"/>
  <c r="T717" i="15"/>
  <c r="AE717" i="15"/>
  <c r="Q717" i="15"/>
  <c r="L717" i="15"/>
  <c r="AC717" i="15"/>
  <c r="AB732" i="15"/>
  <c r="U732" i="15"/>
  <c r="T732" i="15"/>
  <c r="S732" i="15"/>
  <c r="Z738" i="15"/>
  <c r="AG738" i="15"/>
  <c r="T738" i="15"/>
  <c r="AF738" i="15"/>
  <c r="S738" i="15"/>
  <c r="L738" i="15"/>
  <c r="AE738" i="15"/>
  <c r="Q766" i="15"/>
  <c r="AC766" i="15"/>
  <c r="O766" i="15"/>
  <c r="M766" i="15"/>
  <c r="AD769" i="15"/>
  <c r="W769" i="15"/>
  <c r="V769" i="15"/>
  <c r="N769" i="15"/>
  <c r="AD801" i="15"/>
  <c r="V801" i="15"/>
  <c r="Q801" i="15"/>
  <c r="N801" i="15"/>
  <c r="AC803" i="15"/>
  <c r="H803" i="15"/>
  <c r="AA803" i="15"/>
  <c r="G803" i="15"/>
  <c r="Q803" i="15"/>
  <c r="AD849" i="15"/>
  <c r="AA849" i="15"/>
  <c r="L849" i="15"/>
  <c r="Y849" i="15"/>
  <c r="G849" i="15"/>
  <c r="O849" i="15"/>
  <c r="T858" i="15"/>
  <c r="Q886" i="15"/>
  <c r="AC886" i="15"/>
  <c r="O886" i="15"/>
  <c r="M886" i="15"/>
  <c r="AD889" i="15"/>
  <c r="W889" i="15"/>
  <c r="V889" i="15"/>
  <c r="N889" i="15"/>
  <c r="Q918" i="15"/>
  <c r="AC918" i="15"/>
  <c r="O918" i="15"/>
  <c r="M918" i="15"/>
  <c r="AA920" i="15"/>
  <c r="Y920" i="15"/>
  <c r="O920" i="15"/>
  <c r="AF943" i="15"/>
  <c r="M943" i="15"/>
  <c r="W943" i="15"/>
  <c r="X951" i="15"/>
  <c r="AD993" i="15"/>
  <c r="O993" i="15"/>
  <c r="AG993" i="15"/>
  <c r="N993" i="15"/>
  <c r="M993" i="15"/>
  <c r="S1000" i="15"/>
  <c r="Q1000" i="15"/>
  <c r="O1000" i="15"/>
  <c r="Z1006" i="15"/>
  <c r="I1006" i="15"/>
  <c r="Y1006" i="15"/>
  <c r="G1006" i="15"/>
  <c r="O1006" i="15"/>
  <c r="Z1011" i="15"/>
  <c r="Y1011" i="15"/>
  <c r="O1011" i="15"/>
  <c r="Y1030" i="15"/>
  <c r="S1030" i="15"/>
  <c r="M1030" i="15"/>
  <c r="AF1031" i="15"/>
  <c r="AH1031" i="15"/>
  <c r="X1031" i="15"/>
  <c r="U1031" i="15"/>
  <c r="S1038" i="15"/>
  <c r="R1038" i="15"/>
  <c r="M1038" i="15"/>
  <c r="AF1039" i="15"/>
  <c r="X1039" i="15"/>
  <c r="W1039" i="15"/>
  <c r="U1039" i="15"/>
  <c r="X1055" i="15"/>
  <c r="Y1070" i="15"/>
  <c r="S1070" i="15"/>
  <c r="M1070" i="15"/>
  <c r="S1072" i="15"/>
  <c r="Q1072" i="15"/>
  <c r="O1072" i="15"/>
  <c r="R1099" i="15"/>
  <c r="Q1099" i="15"/>
  <c r="O1099" i="15"/>
  <c r="Y1118" i="15"/>
  <c r="S1118" i="15"/>
  <c r="M1118" i="15"/>
  <c r="U1119" i="15"/>
  <c r="AF1119" i="15"/>
  <c r="X1119" i="15"/>
  <c r="T1130" i="15"/>
  <c r="U1135" i="15"/>
  <c r="Y1145" i="15"/>
  <c r="AG1145" i="15"/>
  <c r="V1145" i="15"/>
  <c r="K1145" i="15"/>
  <c r="AF1145" i="15"/>
  <c r="U1145" i="15"/>
  <c r="H1145" i="15"/>
  <c r="N1145" i="15"/>
  <c r="AD1145" i="15"/>
  <c r="U1152" i="15"/>
  <c r="AH1155" i="15"/>
  <c r="AC1155" i="15"/>
  <c r="Q1155" i="15"/>
  <c r="AB1155" i="15"/>
  <c r="O1155" i="15"/>
  <c r="K1155" i="15"/>
  <c r="Z1155" i="15"/>
  <c r="AH1172" i="15"/>
  <c r="V1172" i="15"/>
  <c r="N1172" i="15"/>
  <c r="Y1172" i="15"/>
  <c r="M1178" i="15"/>
  <c r="AE1178" i="15"/>
  <c r="U1191" i="15"/>
  <c r="Y1199" i="15"/>
  <c r="M1199" i="15"/>
  <c r="X1199" i="15"/>
  <c r="L1199" i="15"/>
  <c r="J1199" i="15"/>
  <c r="AB1199" i="15"/>
  <c r="M1205" i="15"/>
  <c r="AE1205" i="15"/>
  <c r="R1212" i="15"/>
  <c r="AF1212" i="15"/>
  <c r="AD1212" i="15"/>
  <c r="AC1212" i="15"/>
  <c r="O1215" i="15"/>
  <c r="AE1215" i="15"/>
  <c r="T1229" i="15"/>
  <c r="R1232" i="15"/>
  <c r="Y1241" i="15"/>
  <c r="AE1241" i="15"/>
  <c r="T1241" i="15"/>
  <c r="AD1241" i="15"/>
  <c r="O1241" i="15"/>
  <c r="AC1241" i="15"/>
  <c r="N1241" i="15"/>
  <c r="L1241" i="15"/>
  <c r="AF1241" i="15"/>
  <c r="AD1245" i="15"/>
  <c r="I1245" i="15"/>
  <c r="AG1245" i="15"/>
  <c r="H1245" i="15"/>
  <c r="T1245" i="15"/>
  <c r="AF1248" i="15"/>
  <c r="AE1248" i="15"/>
  <c r="V1248" i="15"/>
  <c r="Q1248" i="15"/>
  <c r="M1265" i="15"/>
  <c r="AB1265" i="15"/>
  <c r="AH1273" i="15"/>
  <c r="AA1273" i="15"/>
  <c r="O1273" i="15"/>
  <c r="AD1273" i="15"/>
  <c r="S1273" i="15"/>
  <c r="AC1273" i="15"/>
  <c r="P1273" i="15"/>
  <c r="K1273" i="15"/>
  <c r="X1273" i="15"/>
  <c r="Q1278" i="15"/>
  <c r="AA1279" i="15"/>
  <c r="AH1279" i="15"/>
  <c r="T1279" i="15"/>
  <c r="AF1279" i="15"/>
  <c r="O1279" i="15"/>
  <c r="AB1279" i="15"/>
  <c r="L1279" i="15"/>
  <c r="K1279" i="15"/>
  <c r="I1280" i="15"/>
  <c r="H1280" i="15"/>
  <c r="AC1280" i="15"/>
  <c r="AD1286" i="15"/>
  <c r="S1286" i="15"/>
  <c r="V1286" i="15"/>
  <c r="I1286" i="15"/>
  <c r="T1286" i="15"/>
  <c r="M1286" i="15"/>
  <c r="AC1286" i="15"/>
  <c r="AH1289" i="15"/>
  <c r="W1289" i="15"/>
  <c r="M1289" i="15"/>
  <c r="AF1289" i="15"/>
  <c r="U1289" i="15"/>
  <c r="H1289" i="15"/>
  <c r="AE1289" i="15"/>
  <c r="T1289" i="15"/>
  <c r="G1289" i="15"/>
  <c r="N1289" i="15"/>
  <c r="AC1289" i="15"/>
  <c r="AH1293" i="15"/>
  <c r="AF1293" i="15"/>
  <c r="V1293" i="15"/>
  <c r="L1293" i="15"/>
  <c r="AC1293" i="15"/>
  <c r="P1293" i="15"/>
  <c r="AB1293" i="15"/>
  <c r="O1293" i="15"/>
  <c r="K1293" i="15"/>
  <c r="AA1293" i="15"/>
  <c r="AH1297" i="15"/>
  <c r="AD1297" i="15"/>
  <c r="T1297" i="15"/>
  <c r="H1297" i="15"/>
  <c r="AB1297" i="15"/>
  <c r="O1297" i="15"/>
  <c r="AA1297" i="15"/>
  <c r="N1297" i="15"/>
  <c r="L1297" i="15"/>
  <c r="AC1297" i="15"/>
  <c r="Z1302" i="15"/>
  <c r="M1302" i="15"/>
  <c r="T1302" i="15"/>
  <c r="AH1302" i="15"/>
  <c r="S1302" i="15"/>
  <c r="L1302" i="15"/>
  <c r="AC1302" i="15"/>
  <c r="L1305" i="15"/>
  <c r="AB1305" i="15"/>
  <c r="P1311" i="15"/>
  <c r="Y1314" i="15"/>
  <c r="K1314" i="15"/>
  <c r="J1314" i="15"/>
  <c r="R1315" i="15"/>
  <c r="M1318" i="15"/>
  <c r="AA1319" i="15"/>
  <c r="AG1319" i="15"/>
  <c r="R1319" i="15"/>
  <c r="X1319" i="15"/>
  <c r="H1319" i="15"/>
  <c r="W1319" i="15"/>
  <c r="L1319" i="15"/>
  <c r="AH1319" i="15"/>
  <c r="P1339" i="15"/>
  <c r="R1348" i="15"/>
  <c r="M1349" i="15"/>
  <c r="AC1349" i="15"/>
  <c r="AH1357" i="15"/>
  <c r="AA1357" i="15"/>
  <c r="O1357" i="15"/>
  <c r="AB1357" i="15"/>
  <c r="N1357" i="15"/>
  <c r="X1357" i="15"/>
  <c r="M1357" i="15"/>
  <c r="K1357" i="15"/>
  <c r="AC1357" i="15"/>
  <c r="O1365" i="15"/>
  <c r="AD1365" i="15"/>
  <c r="AB1367" i="15"/>
  <c r="L1373" i="15"/>
  <c r="AB1373" i="15"/>
  <c r="AH1397" i="15"/>
  <c r="AA1397" i="15"/>
  <c r="O1397" i="15"/>
  <c r="AE1397" i="15"/>
  <c r="T1397" i="15"/>
  <c r="G1397" i="15"/>
  <c r="AD1397" i="15"/>
  <c r="S1397" i="15"/>
  <c r="L1397" i="15"/>
  <c r="AB1397" i="15"/>
  <c r="AG1402" i="15"/>
  <c r="AD1402" i="15"/>
  <c r="S1402" i="15"/>
  <c r="Z1402" i="15"/>
  <c r="K1402" i="15"/>
  <c r="V1402" i="15"/>
  <c r="J1402" i="15"/>
  <c r="N1402" i="15"/>
  <c r="Y1403" i="15"/>
  <c r="H1403" i="15"/>
  <c r="AG1403" i="15"/>
  <c r="X1403" i="15"/>
  <c r="S1403" i="15"/>
  <c r="AH1413" i="15"/>
  <c r="AA1413" i="15"/>
  <c r="O1413" i="15"/>
  <c r="AB1413" i="15"/>
  <c r="N1413" i="15"/>
  <c r="AC1413" i="15"/>
  <c r="M1413" i="15"/>
  <c r="X1413" i="15"/>
  <c r="L1413" i="15"/>
  <c r="K1413" i="15"/>
  <c r="AE1413" i="15"/>
  <c r="AH1425" i="15"/>
  <c r="AF1425" i="15"/>
  <c r="V1425" i="15"/>
  <c r="L1425" i="15"/>
  <c r="X1425" i="15"/>
  <c r="M1425" i="15"/>
  <c r="W1425" i="15"/>
  <c r="H1425" i="15"/>
  <c r="U1425" i="15"/>
  <c r="G1425" i="15"/>
  <c r="O1425" i="15"/>
  <c r="AE1425" i="15"/>
  <c r="O1429" i="15"/>
  <c r="AG1430" i="15"/>
  <c r="AD1430" i="15"/>
  <c r="S1430" i="15"/>
  <c r="U1430" i="15"/>
  <c r="AH1430" i="15"/>
  <c r="N1430" i="15"/>
  <c r="AC1430" i="15"/>
  <c r="M1430" i="15"/>
  <c r="L1430" i="15"/>
  <c r="N1454" i="15"/>
  <c r="X1455" i="15"/>
  <c r="AH1461" i="15"/>
  <c r="AB1461" i="15"/>
  <c r="P1461" i="15"/>
  <c r="AE1461" i="15"/>
  <c r="T1461" i="15"/>
  <c r="G1461" i="15"/>
  <c r="AD1461" i="15"/>
  <c r="O1461" i="15"/>
  <c r="AC1461" i="15"/>
  <c r="N1461" i="15"/>
  <c r="L1461" i="15"/>
  <c r="AF1461" i="15"/>
  <c r="X1464" i="15"/>
  <c r="AG1464" i="15"/>
  <c r="V1464" i="15"/>
  <c r="AH1464" i="15"/>
  <c r="AF1464" i="15"/>
  <c r="P1464" i="15"/>
  <c r="P1481" i="15"/>
  <c r="AF1481" i="15"/>
  <c r="Q1484" i="15"/>
  <c r="AG1486" i="15"/>
  <c r="AA1486" i="15"/>
  <c r="M1486" i="15"/>
  <c r="U1486" i="15"/>
  <c r="AH1486" i="15"/>
  <c r="S1486" i="15"/>
  <c r="T1486" i="15"/>
  <c r="R1486" i="15"/>
  <c r="L1486" i="15"/>
  <c r="AH1509" i="15"/>
  <c r="W1509" i="15"/>
  <c r="M1509" i="15"/>
  <c r="AD1509" i="15"/>
  <c r="S1509" i="15"/>
  <c r="AB1509" i="15"/>
  <c r="O1509" i="15"/>
  <c r="T1509" i="15"/>
  <c r="AF1509" i="15"/>
  <c r="P1509" i="15"/>
  <c r="K1509" i="15"/>
  <c r="AE1509" i="15"/>
  <c r="AF1516" i="15"/>
  <c r="V1516" i="15"/>
  <c r="X1516" i="15"/>
  <c r="P1516" i="15"/>
  <c r="Q1516" i="15"/>
  <c r="O1516" i="15"/>
  <c r="N1516" i="15"/>
  <c r="AH1529" i="15"/>
  <c r="AD1529" i="15"/>
  <c r="T1529" i="15"/>
  <c r="H1529" i="15"/>
  <c r="X1529" i="15"/>
  <c r="M1529" i="15"/>
  <c r="V1529" i="15"/>
  <c r="K1529" i="15"/>
  <c r="AB1529" i="15"/>
  <c r="L1529" i="15"/>
  <c r="AA1529" i="15"/>
  <c r="G1529" i="15"/>
  <c r="P1529" i="15"/>
  <c r="AG1531" i="15"/>
  <c r="AH1536" i="15"/>
  <c r="AG1538" i="15"/>
  <c r="AD1538" i="15"/>
  <c r="S1538" i="15"/>
  <c r="Z1538" i="15"/>
  <c r="K1538" i="15"/>
  <c r="U1538" i="15"/>
  <c r="V1538" i="15"/>
  <c r="T1538" i="15"/>
  <c r="M1538" i="15"/>
  <c r="R1539" i="15"/>
  <c r="AH1541" i="15"/>
  <c r="AC1541" i="15"/>
  <c r="S1541" i="15"/>
  <c r="G1541" i="15"/>
  <c r="V1541" i="15"/>
  <c r="K1541" i="15"/>
  <c r="AE1541" i="15"/>
  <c r="T1541" i="15"/>
  <c r="X1541" i="15"/>
  <c r="H1541" i="15"/>
  <c r="W1541" i="15"/>
  <c r="N1541" i="15"/>
  <c r="O1549" i="15"/>
  <c r="I1556" i="15"/>
  <c r="O1556" i="15"/>
  <c r="AG1556" i="15"/>
  <c r="AF1556" i="15"/>
  <c r="AE1556" i="15"/>
  <c r="G1572" i="15"/>
  <c r="AE1572" i="15"/>
  <c r="Z1572" i="15"/>
  <c r="Y1572" i="15"/>
  <c r="AH1578" i="15"/>
  <c r="U1578" i="15"/>
  <c r="G1578" i="15"/>
  <c r="AE1578" i="15"/>
  <c r="S1578" i="15"/>
  <c r="AC1578" i="15"/>
  <c r="N1578" i="15"/>
  <c r="V1578" i="15"/>
  <c r="T1578" i="15"/>
  <c r="M1578" i="15"/>
  <c r="O1582" i="15"/>
  <c r="AE1588" i="15"/>
  <c r="P1588" i="15"/>
  <c r="G1588" i="15"/>
  <c r="Y1588" i="15"/>
  <c r="O1590" i="15"/>
  <c r="T1594" i="15"/>
  <c r="AG1596" i="15"/>
  <c r="N1622" i="15"/>
  <c r="T1626" i="15"/>
  <c r="H1664" i="15"/>
  <c r="G1664" i="15"/>
  <c r="AB1665" i="15"/>
  <c r="V1665" i="15"/>
  <c r="W1665" i="15"/>
  <c r="P1665" i="15"/>
  <c r="AC1665" i="15"/>
  <c r="X1665" i="15"/>
  <c r="M1665" i="15"/>
  <c r="AG1668" i="15"/>
  <c r="AH1671" i="15"/>
  <c r="AB1671" i="15"/>
  <c r="K1671" i="15"/>
  <c r="J1671" i="15"/>
  <c r="AG1671" i="15"/>
  <c r="AB1677" i="15"/>
  <c r="AF1677" i="15"/>
  <c r="P1677" i="15"/>
  <c r="AE1677" i="15"/>
  <c r="N1677" i="15"/>
  <c r="AC1677" i="15"/>
  <c r="H1677" i="15"/>
  <c r="M1677" i="15"/>
  <c r="G1677" i="15"/>
  <c r="V1677" i="15"/>
  <c r="Z1683" i="15"/>
  <c r="AG1683" i="15"/>
  <c r="T1683" i="15"/>
  <c r="Y1683" i="15"/>
  <c r="S1683" i="15"/>
  <c r="Q1683" i="15"/>
  <c r="U1690" i="15"/>
  <c r="U1698" i="15"/>
  <c r="AF1704" i="15"/>
  <c r="Q1704" i="15"/>
  <c r="H1704" i="15"/>
  <c r="AG1704" i="15"/>
  <c r="X1704" i="15"/>
  <c r="R1704" i="15"/>
  <c r="P1708" i="15"/>
  <c r="J1708" i="15"/>
  <c r="W1712" i="15"/>
  <c r="O1718" i="15"/>
  <c r="S1723" i="15"/>
  <c r="I1723" i="15"/>
  <c r="AH1723" i="15"/>
  <c r="Z1723" i="15"/>
  <c r="Y1723" i="15"/>
  <c r="T1723" i="15"/>
  <c r="AH1726" i="15"/>
  <c r="AA1726" i="15"/>
  <c r="M1726" i="15"/>
  <c r="AC1726" i="15"/>
  <c r="N1726" i="15"/>
  <c r="W1726" i="15"/>
  <c r="K1726" i="15"/>
  <c r="AB1726" i="15"/>
  <c r="V1726" i="15"/>
  <c r="U1726" i="15"/>
  <c r="O1726" i="15"/>
  <c r="AH1734" i="15"/>
  <c r="AA1734" i="15"/>
  <c r="M1734" i="15"/>
  <c r="AE1734" i="15"/>
  <c r="S1734" i="15"/>
  <c r="AC1734" i="15"/>
  <c r="N1734" i="15"/>
  <c r="U1734" i="15"/>
  <c r="T1734" i="15"/>
  <c r="O1734" i="15"/>
  <c r="L1734" i="15"/>
  <c r="M1746" i="15"/>
  <c r="U1750" i="15"/>
  <c r="W1760" i="15"/>
  <c r="P1760" i="15"/>
  <c r="AG1760" i="15"/>
  <c r="H1760" i="15"/>
  <c r="AH1760" i="15"/>
  <c r="AF1760" i="15"/>
  <c r="Z1760" i="15"/>
  <c r="Q1760" i="15"/>
  <c r="AB1765" i="15"/>
  <c r="V1765" i="15"/>
  <c r="AE1765" i="15"/>
  <c r="N1765" i="15"/>
  <c r="AC1765" i="15"/>
  <c r="H1765" i="15"/>
  <c r="M1765" i="15"/>
  <c r="AF1765" i="15"/>
  <c r="G1765" i="15"/>
  <c r="AD1765" i="15"/>
  <c r="U1765" i="15"/>
  <c r="U1801" i="15"/>
  <c r="G1804" i="15"/>
  <c r="H1804" i="15"/>
  <c r="AE1804" i="15"/>
  <c r="W1809" i="15"/>
  <c r="X1812" i="15"/>
  <c r="R1812" i="15"/>
  <c r="P1812" i="15"/>
  <c r="AH1812" i="15"/>
  <c r="G1812" i="15"/>
  <c r="AG1812" i="15"/>
  <c r="AF1812" i="15"/>
  <c r="Q1812" i="15"/>
  <c r="M1830" i="15"/>
  <c r="AB1833" i="15"/>
  <c r="X1833" i="15"/>
  <c r="H1833" i="15"/>
  <c r="AC1833" i="15"/>
  <c r="G1833" i="15"/>
  <c r="V1833" i="15"/>
  <c r="AF1833" i="15"/>
  <c r="M1833" i="15"/>
  <c r="AE1833" i="15"/>
  <c r="AD1833" i="15"/>
  <c r="P1833" i="15"/>
  <c r="R1836" i="15"/>
  <c r="AF1836" i="15"/>
  <c r="G1836" i="15"/>
  <c r="X1836" i="15"/>
  <c r="AH1836" i="15"/>
  <c r="AG1836" i="15"/>
  <c r="AE1836" i="15"/>
  <c r="P1836" i="15"/>
  <c r="R1848" i="15"/>
  <c r="AE1860" i="15"/>
  <c r="G1860" i="15"/>
  <c r="W1860" i="15"/>
  <c r="Q1860" i="15"/>
  <c r="H1860" i="15"/>
  <c r="AH1860" i="15"/>
  <c r="AG1860" i="15"/>
  <c r="R1860" i="15"/>
  <c r="AH1878" i="15"/>
  <c r="W1878" i="15"/>
  <c r="M1878" i="15"/>
  <c r="AE1878" i="15"/>
  <c r="T1878" i="15"/>
  <c r="G1878" i="15"/>
  <c r="AC1878" i="15"/>
  <c r="P1878" i="15"/>
  <c r="U1878" i="15"/>
  <c r="S1878" i="15"/>
  <c r="AF1878" i="15"/>
  <c r="O1878" i="15"/>
  <c r="L1878" i="15"/>
  <c r="P1929" i="15"/>
  <c r="T1938" i="15"/>
  <c r="AB1989" i="15"/>
  <c r="AD1989" i="15"/>
  <c r="N1989" i="15"/>
  <c r="U1989" i="15"/>
  <c r="AF1989" i="15"/>
  <c r="O1989" i="15"/>
  <c r="AE1989" i="15"/>
  <c r="G1989" i="15"/>
  <c r="AC1989" i="15"/>
  <c r="X1989" i="15"/>
  <c r="W1989" i="15"/>
  <c r="P1989" i="15"/>
  <c r="I3" i="16"/>
  <c r="M3" i="16"/>
  <c r="T3" i="16"/>
  <c r="E60" i="16"/>
  <c r="L60" i="16"/>
  <c r="M74" i="16"/>
  <c r="E74" i="16"/>
  <c r="L76" i="16"/>
  <c r="F76" i="16"/>
  <c r="H76" i="16"/>
  <c r="M76" i="16"/>
  <c r="J76" i="16"/>
  <c r="I96" i="16"/>
  <c r="H96" i="16"/>
  <c r="G96" i="16"/>
  <c r="T108" i="16"/>
  <c r="M108" i="16"/>
  <c r="O262" i="16"/>
  <c r="G262" i="16"/>
  <c r="J298" i="16"/>
  <c r="G298" i="16"/>
  <c r="I298" i="16"/>
  <c r="H298" i="16"/>
  <c r="M364" i="16"/>
  <c r="P364" i="16"/>
  <c r="H364" i="9" s="1"/>
  <c r="M368" i="16"/>
  <c r="L368" i="16"/>
  <c r="K368" i="16"/>
  <c r="L447" i="16"/>
  <c r="M447" i="16"/>
  <c r="I451" i="16"/>
  <c r="H451" i="16"/>
  <c r="G451" i="16"/>
  <c r="E558" i="16"/>
  <c r="F558" i="16" s="1"/>
  <c r="J794" i="16"/>
  <c r="G794" i="16"/>
  <c r="H794" i="16"/>
  <c r="J810" i="16"/>
  <c r="G810" i="16"/>
  <c r="E983" i="16"/>
  <c r="L983" i="16"/>
  <c r="L985" i="16"/>
  <c r="J985" i="16"/>
  <c r="H1036" i="16"/>
  <c r="G1036" i="16"/>
  <c r="E1054" i="16"/>
  <c r="F1054" i="16" s="1"/>
  <c r="J1059" i="16"/>
  <c r="H1059" i="16"/>
  <c r="M1109" i="16"/>
  <c r="L1109" i="16"/>
  <c r="E1168" i="16"/>
  <c r="I1168" i="16"/>
  <c r="K1213" i="16"/>
  <c r="L1213" i="16"/>
  <c r="M1213" i="16"/>
  <c r="O1244" i="16"/>
  <c r="H1244" i="16"/>
  <c r="E1244" i="16"/>
  <c r="L1287" i="16"/>
  <c r="J1287" i="16"/>
  <c r="M1287" i="16"/>
  <c r="K1287" i="16"/>
  <c r="M1343" i="16"/>
  <c r="L1343" i="16"/>
  <c r="K1343" i="16"/>
  <c r="K1384" i="16"/>
  <c r="J1384" i="16"/>
  <c r="I1384" i="16"/>
  <c r="E1384" i="16"/>
  <c r="H1402" i="16"/>
  <c r="J1402" i="16"/>
  <c r="T1402" i="16"/>
  <c r="I1402" i="16"/>
  <c r="G1402" i="16"/>
  <c r="I1417" i="16"/>
  <c r="K1417" i="16"/>
  <c r="H1417" i="16"/>
  <c r="J1417" i="16"/>
  <c r="P1434" i="16"/>
  <c r="O1434" i="16"/>
  <c r="K1434" i="16"/>
  <c r="J1434" i="16"/>
  <c r="N1457" i="16"/>
  <c r="M1457" i="16"/>
  <c r="F1460" i="16"/>
  <c r="P1460" i="16"/>
  <c r="H1460" i="16"/>
  <c r="N1460" i="16"/>
  <c r="I1460" i="16"/>
  <c r="G1460" i="16"/>
  <c r="G1501" i="16"/>
  <c r="H1501" i="16"/>
  <c r="F1501" i="16"/>
  <c r="J1507" i="16"/>
  <c r="L1507" i="16"/>
  <c r="K1507" i="16"/>
  <c r="E1507" i="16"/>
  <c r="H1518" i="16"/>
  <c r="L1518" i="16"/>
  <c r="J1518" i="16"/>
  <c r="I1518" i="16"/>
  <c r="H1527" i="16"/>
  <c r="F1527" i="16"/>
  <c r="G1527" i="16"/>
  <c r="T1527" i="16"/>
  <c r="E1527" i="16"/>
  <c r="L1594" i="16"/>
  <c r="I1594" i="16"/>
  <c r="L1597" i="16"/>
  <c r="J1597" i="16"/>
  <c r="O1597" i="16"/>
  <c r="K1597" i="16"/>
  <c r="F1597" i="16"/>
  <c r="M1597" i="16"/>
  <c r="G1597" i="16"/>
  <c r="E1597" i="16"/>
  <c r="T1603" i="16"/>
  <c r="J1603" i="16"/>
  <c r="I1622" i="16"/>
  <c r="E1622" i="16"/>
  <c r="N1622" i="16"/>
  <c r="L1622" i="16"/>
  <c r="J1622" i="16"/>
  <c r="H1642" i="16"/>
  <c r="N1642" i="16"/>
  <c r="P1642" i="16"/>
  <c r="F1642" i="16"/>
  <c r="E1642" i="16"/>
  <c r="H1658" i="16"/>
  <c r="K1658" i="16"/>
  <c r="I1658" i="16"/>
  <c r="T1669" i="16"/>
  <c r="J1669" i="16"/>
  <c r="P1669" i="16"/>
  <c r="K1669" i="16"/>
  <c r="L1684" i="16"/>
  <c r="K1684" i="16"/>
  <c r="I1684" i="16"/>
  <c r="J1684" i="16"/>
  <c r="I1711" i="16"/>
  <c r="T1711" i="16"/>
  <c r="K1711" i="16"/>
  <c r="H1711" i="16"/>
  <c r="K1830" i="16"/>
  <c r="T1830" i="16"/>
  <c r="F1830" i="16"/>
  <c r="P1830" i="16"/>
  <c r="E1830" i="16"/>
  <c r="M1830" i="16"/>
  <c r="L1830" i="16"/>
  <c r="H1830" i="16"/>
  <c r="O1830" i="16"/>
  <c r="N1830" i="16"/>
  <c r="G1830" i="16"/>
  <c r="I1834" i="16"/>
  <c r="H1834" i="16"/>
  <c r="F1834" i="16"/>
  <c r="P1834" i="16"/>
  <c r="E1834" i="16"/>
  <c r="T1834" i="16"/>
  <c r="I1878" i="16"/>
  <c r="E1878" i="16"/>
  <c r="J1878" i="16"/>
  <c r="N1878" i="16"/>
  <c r="L1878" i="16"/>
  <c r="K1934" i="16"/>
  <c r="P1934" i="16"/>
  <c r="O1934" i="16"/>
  <c r="E1934" i="16"/>
  <c r="M1934" i="16"/>
  <c r="F1934" i="16"/>
  <c r="N1934" i="16"/>
  <c r="H1934" i="16"/>
  <c r="G1934" i="16"/>
  <c r="L1964" i="16"/>
  <c r="K1964" i="16"/>
  <c r="T1964" i="16"/>
  <c r="K1967" i="16"/>
  <c r="I1967" i="16"/>
  <c r="T1967" i="16"/>
  <c r="L1967" i="16"/>
  <c r="H1967" i="16"/>
  <c r="I1996" i="16"/>
  <c r="T1996" i="16"/>
  <c r="P1996" i="16"/>
  <c r="G1996" i="16"/>
  <c r="F1996" i="16"/>
  <c r="N1996" i="16"/>
  <c r="O1996" i="16"/>
  <c r="L1996" i="16"/>
  <c r="H1996" i="16"/>
  <c r="T2095" i="16"/>
  <c r="M2095" i="16"/>
  <c r="L2107" i="16"/>
  <c r="K2107" i="16"/>
  <c r="I2107" i="16"/>
  <c r="J2107" i="16"/>
  <c r="T2112" i="16"/>
  <c r="M2112" i="16"/>
  <c r="L2112" i="16"/>
  <c r="G2112" i="16"/>
  <c r="F2112" i="16"/>
  <c r="P2112" i="16"/>
  <c r="O2112" i="16"/>
  <c r="K2112" i="16"/>
  <c r="J2112" i="16"/>
  <c r="H2112" i="16"/>
  <c r="E2112" i="16"/>
  <c r="O2251" i="16"/>
  <c r="M2251" i="16"/>
  <c r="I2251" i="16"/>
  <c r="H2251" i="16"/>
  <c r="L2251" i="16"/>
  <c r="K2251" i="16"/>
  <c r="G2251" i="16"/>
  <c r="P2251" i="16"/>
  <c r="E2251" i="16"/>
  <c r="T2251" i="16"/>
  <c r="P2370" i="16"/>
  <c r="N2370" i="16"/>
  <c r="F2370" i="16"/>
  <c r="E2370" i="16"/>
  <c r="I2370" i="16"/>
  <c r="H2370" i="16"/>
  <c r="T2370" i="16"/>
  <c r="M2370" i="16"/>
  <c r="J2447" i="16"/>
  <c r="O2447" i="16"/>
  <c r="N2447" i="16"/>
  <c r="E2447" i="16"/>
  <c r="H2447" i="16"/>
  <c r="G2447" i="16"/>
  <c r="F2447" i="16"/>
  <c r="T2447" i="16"/>
  <c r="P2447" i="16"/>
  <c r="M2447" i="16"/>
  <c r="I2502" i="16"/>
  <c r="H2502" i="16"/>
  <c r="G2502" i="16"/>
  <c r="F2502" i="16"/>
  <c r="P2502" i="16"/>
  <c r="T2511" i="16"/>
  <c r="L2511" i="16"/>
  <c r="L2556" i="16"/>
  <c r="K2556" i="16"/>
  <c r="J2556" i="16"/>
  <c r="I2556" i="16"/>
  <c r="T2576" i="16"/>
  <c r="P2576" i="16"/>
  <c r="G2576" i="16"/>
  <c r="O2576" i="16"/>
  <c r="F2576" i="16"/>
  <c r="N2576" i="16"/>
  <c r="E2576" i="16"/>
  <c r="K2576" i="16"/>
  <c r="J2576" i="16"/>
  <c r="H2576" i="16"/>
  <c r="L2576" i="16"/>
  <c r="M2576" i="16"/>
  <c r="J817" i="16"/>
  <c r="H817" i="16"/>
  <c r="I817" i="16"/>
  <c r="I1027" i="16"/>
  <c r="H1027" i="16"/>
  <c r="G1027" i="16"/>
  <c r="E1046" i="16"/>
  <c r="F1046" i="16" s="1"/>
  <c r="K1159" i="16"/>
  <c r="L1159" i="16"/>
  <c r="M1159" i="16"/>
  <c r="J1159" i="16"/>
  <c r="K1445" i="16"/>
  <c r="G1445" i="16"/>
  <c r="O1445" i="16"/>
  <c r="F1445" i="16"/>
  <c r="E1445" i="16"/>
  <c r="P1445" i="16"/>
  <c r="P1498" i="16"/>
  <c r="E1498" i="16"/>
  <c r="N1498" i="16"/>
  <c r="L1498" i="16"/>
  <c r="H1498" i="16"/>
  <c r="F1498" i="16"/>
  <c r="G1563" i="16"/>
  <c r="E1563" i="16"/>
  <c r="T1563" i="16"/>
  <c r="O1563" i="16"/>
  <c r="I1563" i="16"/>
  <c r="H1563" i="16"/>
  <c r="T1602" i="16"/>
  <c r="E1602" i="16"/>
  <c r="H1602" i="16"/>
  <c r="I1602" i="16"/>
  <c r="F1602" i="16"/>
  <c r="M1634" i="16"/>
  <c r="L1634" i="16"/>
  <c r="O1641" i="16"/>
  <c r="T1641" i="16"/>
  <c r="N1641" i="16"/>
  <c r="I1641" i="16"/>
  <c r="E1641" i="16"/>
  <c r="T1655" i="16"/>
  <c r="H1655" i="16"/>
  <c r="F1655" i="16"/>
  <c r="N1655" i="16"/>
  <c r="G1655" i="16"/>
  <c r="E1655" i="16"/>
  <c r="L1708" i="16"/>
  <c r="K1708" i="16"/>
  <c r="T1708" i="16"/>
  <c r="K1762" i="16"/>
  <c r="J1762" i="16"/>
  <c r="L1762" i="16"/>
  <c r="I1762" i="16"/>
  <c r="T1858" i="16"/>
  <c r="P1858" i="16"/>
  <c r="I1858" i="16"/>
  <c r="H1858" i="16"/>
  <c r="F1858" i="16"/>
  <c r="E1858" i="16"/>
  <c r="N1858" i="16"/>
  <c r="M1858" i="16"/>
  <c r="T1970" i="16"/>
  <c r="F1970" i="16"/>
  <c r="P1970" i="16"/>
  <c r="E1970" i="16"/>
  <c r="N1970" i="16"/>
  <c r="L1970" i="16"/>
  <c r="K1970" i="16"/>
  <c r="I1970" i="16"/>
  <c r="H1970" i="16"/>
  <c r="P2167" i="16"/>
  <c r="N2167" i="16"/>
  <c r="I2167" i="16"/>
  <c r="O2167" i="16"/>
  <c r="K2210" i="16"/>
  <c r="J2210" i="16"/>
  <c r="I2210" i="16"/>
  <c r="L2210" i="16"/>
  <c r="T2497" i="16"/>
  <c r="M2497" i="16"/>
  <c r="L2497" i="16"/>
  <c r="O2497" i="16"/>
  <c r="N2497" i="16"/>
  <c r="F2497" i="16"/>
  <c r="E2497" i="16"/>
  <c r="K2497" i="16"/>
  <c r="J2497" i="16"/>
  <c r="G2497" i="16"/>
  <c r="R9" i="15"/>
  <c r="Z9" i="15"/>
  <c r="Y9" i="15"/>
  <c r="V9" i="15"/>
  <c r="AB30" i="15"/>
  <c r="AB46" i="15"/>
  <c r="X63" i="15"/>
  <c r="AA69" i="15"/>
  <c r="O69" i="15"/>
  <c r="G69" i="15"/>
  <c r="Y69" i="15"/>
  <c r="R93" i="15"/>
  <c r="Y95" i="15"/>
  <c r="J107" i="15"/>
  <c r="Z107" i="15"/>
  <c r="Q107" i="15"/>
  <c r="Z123" i="15"/>
  <c r="S123" i="15"/>
  <c r="R123" i="15"/>
  <c r="Q123" i="15"/>
  <c r="AB177" i="15"/>
  <c r="AA177" i="15"/>
  <c r="S177" i="15"/>
  <c r="AF180" i="15"/>
  <c r="P180" i="15"/>
  <c r="AE180" i="15"/>
  <c r="O180" i="15"/>
  <c r="M180" i="15"/>
  <c r="AG180" i="15"/>
  <c r="AA189" i="15"/>
  <c r="AH189" i="15"/>
  <c r="U189" i="15"/>
  <c r="I189" i="15"/>
  <c r="AG189" i="15"/>
  <c r="T189" i="15"/>
  <c r="G189" i="15"/>
  <c r="M189" i="15"/>
  <c r="AD189" i="15"/>
  <c r="Z194" i="15"/>
  <c r="AE194" i="15"/>
  <c r="O194" i="15"/>
  <c r="AC194" i="15"/>
  <c r="M194" i="15"/>
  <c r="L194" i="15"/>
  <c r="AG194" i="15"/>
  <c r="X202" i="15"/>
  <c r="O226" i="15"/>
  <c r="AA232" i="15"/>
  <c r="AF232" i="15"/>
  <c r="T232" i="15"/>
  <c r="AE232" i="15"/>
  <c r="O232" i="15"/>
  <c r="M232" i="15"/>
  <c r="AG232" i="15"/>
  <c r="T241" i="15"/>
  <c r="U248" i="15"/>
  <c r="V260" i="15"/>
  <c r="AG260" i="15"/>
  <c r="Q260" i="15"/>
  <c r="M260" i="15"/>
  <c r="AE260" i="15"/>
  <c r="Q270" i="15"/>
  <c r="W271" i="15"/>
  <c r="Q271" i="15"/>
  <c r="N271" i="15"/>
  <c r="AH271" i="15"/>
  <c r="S274" i="15"/>
  <c r="O281" i="15"/>
  <c r="M290" i="15"/>
  <c r="Z291" i="15"/>
  <c r="AH291" i="15"/>
  <c r="V291" i="15"/>
  <c r="G291" i="15"/>
  <c r="AG291" i="15"/>
  <c r="U291" i="15"/>
  <c r="M291" i="15"/>
  <c r="AE291" i="15"/>
  <c r="T294" i="15"/>
  <c r="AA301" i="15"/>
  <c r="Y301" i="15"/>
  <c r="L301" i="15"/>
  <c r="W301" i="15"/>
  <c r="K301" i="15"/>
  <c r="O301" i="15"/>
  <c r="AH301" i="15"/>
  <c r="O308" i="15"/>
  <c r="AG313" i="15"/>
  <c r="Q313" i="15"/>
  <c r="AE313" i="15"/>
  <c r="O313" i="15"/>
  <c r="M313" i="15"/>
  <c r="AH313" i="15"/>
  <c r="AB316" i="15"/>
  <c r="AA316" i="15"/>
  <c r="U316" i="15"/>
  <c r="Q316" i="15"/>
  <c r="AC327" i="15"/>
  <c r="V327" i="15"/>
  <c r="U327" i="15"/>
  <c r="S327" i="15"/>
  <c r="O334" i="15"/>
  <c r="Z335" i="15"/>
  <c r="H335" i="15"/>
  <c r="Y335" i="15"/>
  <c r="G335" i="15"/>
  <c r="P335" i="15"/>
  <c r="O354" i="15"/>
  <c r="AC374" i="15"/>
  <c r="H374" i="15"/>
  <c r="T374" i="15"/>
  <c r="Y377" i="15"/>
  <c r="I377" i="15"/>
  <c r="W377" i="15"/>
  <c r="G377" i="15"/>
  <c r="O377" i="15"/>
  <c r="AH377" i="15"/>
  <c r="U381" i="15"/>
  <c r="Z389" i="15"/>
  <c r="U392" i="15"/>
  <c r="AA407" i="15"/>
  <c r="W414" i="15"/>
  <c r="G414" i="15"/>
  <c r="AH414" i="15"/>
  <c r="U414" i="15"/>
  <c r="M414" i="15"/>
  <c r="AF414" i="15"/>
  <c r="Z419" i="15"/>
  <c r="AF419" i="15"/>
  <c r="P419" i="15"/>
  <c r="AE419" i="15"/>
  <c r="O419" i="15"/>
  <c r="M419" i="15"/>
  <c r="AG419" i="15"/>
  <c r="AC423" i="15"/>
  <c r="U423" i="15"/>
  <c r="S423" i="15"/>
  <c r="R423" i="15"/>
  <c r="P451" i="15"/>
  <c r="U460" i="15"/>
  <c r="P467" i="15"/>
  <c r="AH467" i="15"/>
  <c r="R475" i="15"/>
  <c r="X478" i="15"/>
  <c r="H478" i="15"/>
  <c r="W478" i="15"/>
  <c r="G478" i="15"/>
  <c r="O478" i="15"/>
  <c r="AG478" i="15"/>
  <c r="R486" i="15"/>
  <c r="Y489" i="15"/>
  <c r="I489" i="15"/>
  <c r="W489" i="15"/>
  <c r="G489" i="15"/>
  <c r="O489" i="15"/>
  <c r="AH489" i="15"/>
  <c r="O493" i="15"/>
  <c r="AC493" i="15"/>
  <c r="AH495" i="15"/>
  <c r="P495" i="15"/>
  <c r="AG495" i="15"/>
  <c r="O495" i="15"/>
  <c r="N495" i="15"/>
  <c r="Y498" i="15"/>
  <c r="O498" i="15"/>
  <c r="AH498" i="15"/>
  <c r="X498" i="15"/>
  <c r="M498" i="15"/>
  <c r="J498" i="15"/>
  <c r="W498" i="15"/>
  <c r="Q501" i="15"/>
  <c r="AA501" i="15"/>
  <c r="Y501" i="15"/>
  <c r="AD504" i="15"/>
  <c r="T504" i="15"/>
  <c r="H504" i="15"/>
  <c r="AC504" i="15"/>
  <c r="Q504" i="15"/>
  <c r="G504" i="15"/>
  <c r="M504" i="15"/>
  <c r="Y504" i="15"/>
  <c r="AA509" i="15"/>
  <c r="AH509" i="15"/>
  <c r="U509" i="15"/>
  <c r="I509" i="15"/>
  <c r="AG509" i="15"/>
  <c r="T509" i="15"/>
  <c r="G509" i="15"/>
  <c r="M509" i="15"/>
  <c r="AD509" i="15"/>
  <c r="Q516" i="15"/>
  <c r="AG526" i="15"/>
  <c r="Q526" i="15"/>
  <c r="AF526" i="15"/>
  <c r="P526" i="15"/>
  <c r="L526" i="15"/>
  <c r="AE526" i="15"/>
  <c r="O546" i="15"/>
  <c r="AA556" i="15"/>
  <c r="L556" i="15"/>
  <c r="I556" i="15"/>
  <c r="T556" i="15"/>
  <c r="S567" i="15"/>
  <c r="AA573" i="15"/>
  <c r="Y573" i="15"/>
  <c r="L573" i="15"/>
  <c r="W573" i="15"/>
  <c r="K573" i="15"/>
  <c r="O573" i="15"/>
  <c r="AH573" i="15"/>
  <c r="O578" i="15"/>
  <c r="AC588" i="15"/>
  <c r="K588" i="15"/>
  <c r="U589" i="15"/>
  <c r="Z603" i="15"/>
  <c r="AH603" i="15"/>
  <c r="G603" i="15"/>
  <c r="AC603" i="15"/>
  <c r="Q603" i="15"/>
  <c r="O610" i="15"/>
  <c r="Y619" i="15"/>
  <c r="T626" i="15"/>
  <c r="AH639" i="15"/>
  <c r="P639" i="15"/>
  <c r="AG639" i="15"/>
  <c r="O639" i="15"/>
  <c r="N639" i="15"/>
  <c r="Z642" i="15"/>
  <c r="AF642" i="15"/>
  <c r="S642" i="15"/>
  <c r="AE642" i="15"/>
  <c r="O642" i="15"/>
  <c r="K642" i="15"/>
  <c r="AC642" i="15"/>
  <c r="R649" i="15"/>
  <c r="AA664" i="15"/>
  <c r="V664" i="15"/>
  <c r="AG664" i="15"/>
  <c r="U664" i="15"/>
  <c r="M664" i="15"/>
  <c r="AE664" i="15"/>
  <c r="AA685" i="15"/>
  <c r="AG685" i="15"/>
  <c r="T685" i="15"/>
  <c r="AE685" i="15"/>
  <c r="O685" i="15"/>
  <c r="K685" i="15"/>
  <c r="AC685" i="15"/>
  <c r="AB689" i="15"/>
  <c r="J689" i="15"/>
  <c r="T690" i="15"/>
  <c r="S699" i="15"/>
  <c r="X708" i="15"/>
  <c r="H708" i="15"/>
  <c r="W708" i="15"/>
  <c r="G708" i="15"/>
  <c r="O708" i="15"/>
  <c r="AG708" i="15"/>
  <c r="U712" i="15"/>
  <c r="N717" i="15"/>
  <c r="AH717" i="15"/>
  <c r="Z722" i="15"/>
  <c r="U722" i="15"/>
  <c r="AG722" i="15"/>
  <c r="T722" i="15"/>
  <c r="L722" i="15"/>
  <c r="AE722" i="15"/>
  <c r="AA733" i="15"/>
  <c r="W733" i="15"/>
  <c r="K733" i="15"/>
  <c r="V733" i="15"/>
  <c r="N733" i="15"/>
  <c r="AG733" i="15"/>
  <c r="O738" i="15"/>
  <c r="Z742" i="15"/>
  <c r="S742" i="15"/>
  <c r="R742" i="15"/>
  <c r="Q742" i="15"/>
  <c r="AD753" i="15"/>
  <c r="W753" i="15"/>
  <c r="V753" i="15"/>
  <c r="N753" i="15"/>
  <c r="S766" i="15"/>
  <c r="Y768" i="15"/>
  <c r="S768" i="15"/>
  <c r="O768" i="15"/>
  <c r="Q769" i="15"/>
  <c r="Y798" i="15"/>
  <c r="S798" i="15"/>
  <c r="M798" i="15"/>
  <c r="S800" i="15"/>
  <c r="Q800" i="15"/>
  <c r="O800" i="15"/>
  <c r="W801" i="15"/>
  <c r="Y803" i="15"/>
  <c r="AE844" i="15"/>
  <c r="X844" i="15"/>
  <c r="W844" i="15"/>
  <c r="V849" i="15"/>
  <c r="T853" i="15"/>
  <c r="AD857" i="15"/>
  <c r="AA857" i="15"/>
  <c r="L857" i="15"/>
  <c r="Y857" i="15"/>
  <c r="O857" i="15"/>
  <c r="W858" i="15"/>
  <c r="S886" i="15"/>
  <c r="Y888" i="15"/>
  <c r="S888" i="15"/>
  <c r="O888" i="15"/>
  <c r="Q889" i="15"/>
  <c r="S894" i="15"/>
  <c r="R894" i="15"/>
  <c r="M894" i="15"/>
  <c r="AF895" i="15"/>
  <c r="X895" i="15"/>
  <c r="W895" i="15"/>
  <c r="U895" i="15"/>
  <c r="W898" i="15"/>
  <c r="U898" i="15"/>
  <c r="T898" i="15"/>
  <c r="S918" i="15"/>
  <c r="Q920" i="15"/>
  <c r="AC939" i="15"/>
  <c r="H939" i="15"/>
  <c r="AA939" i="15"/>
  <c r="G939" i="15"/>
  <c r="Q939" i="15"/>
  <c r="AH943" i="15"/>
  <c r="AA950" i="15"/>
  <c r="I950" i="15"/>
  <c r="Z950" i="15"/>
  <c r="G950" i="15"/>
  <c r="Q950" i="15"/>
  <c r="AF951" i="15"/>
  <c r="Z955" i="15"/>
  <c r="Y955" i="15"/>
  <c r="O955" i="15"/>
  <c r="Q992" i="15"/>
  <c r="P992" i="15"/>
  <c r="O992" i="15"/>
  <c r="V993" i="15"/>
  <c r="Y1000" i="15"/>
  <c r="R1006" i="15"/>
  <c r="Q1011" i="15"/>
  <c r="AB1025" i="15"/>
  <c r="O1025" i="15"/>
  <c r="AA1025" i="15"/>
  <c r="N1025" i="15"/>
  <c r="L1025" i="15"/>
  <c r="AC1025" i="15"/>
  <c r="Q1030" i="15"/>
  <c r="AD1032" i="15"/>
  <c r="H1032" i="15"/>
  <c r="AC1032" i="15"/>
  <c r="G1032" i="15"/>
  <c r="Q1032" i="15"/>
  <c r="Q1038" i="15"/>
  <c r="AC1040" i="15"/>
  <c r="G1040" i="15"/>
  <c r="AA1040" i="15"/>
  <c r="P1040" i="15"/>
  <c r="AF1055" i="15"/>
  <c r="AD1065" i="15"/>
  <c r="W1065" i="15"/>
  <c r="I1065" i="15"/>
  <c r="V1065" i="15"/>
  <c r="G1065" i="15"/>
  <c r="N1065" i="15"/>
  <c r="AG1065" i="15"/>
  <c r="Q1070" i="15"/>
  <c r="Y1072" i="15"/>
  <c r="K1076" i="15"/>
  <c r="I1076" i="15"/>
  <c r="X1076" i="15"/>
  <c r="Q1094" i="15"/>
  <c r="AC1094" i="15"/>
  <c r="O1094" i="15"/>
  <c r="M1094" i="15"/>
  <c r="Y1099" i="15"/>
  <c r="S1102" i="15"/>
  <c r="R1102" i="15"/>
  <c r="M1102" i="15"/>
  <c r="AF1103" i="15"/>
  <c r="X1103" i="15"/>
  <c r="W1103" i="15"/>
  <c r="U1103" i="15"/>
  <c r="Q1118" i="15"/>
  <c r="AD1129" i="15"/>
  <c r="AA1129" i="15"/>
  <c r="L1129" i="15"/>
  <c r="Y1129" i="15"/>
  <c r="O1129" i="15"/>
  <c r="W1130" i="15"/>
  <c r="AA1134" i="15"/>
  <c r="I1134" i="15"/>
  <c r="Z1134" i="15"/>
  <c r="G1134" i="15"/>
  <c r="Q1134" i="15"/>
  <c r="X1135" i="15"/>
  <c r="V1140" i="15"/>
  <c r="U1140" i="15"/>
  <c r="O1140" i="15"/>
  <c r="Y1141" i="15"/>
  <c r="N1141" i="15"/>
  <c r="X1141" i="15"/>
  <c r="M1141" i="15"/>
  <c r="K1141" i="15"/>
  <c r="AC1141" i="15"/>
  <c r="Q1145" i="15"/>
  <c r="AH1146" i="15"/>
  <c r="V1146" i="15"/>
  <c r="I1146" i="15"/>
  <c r="AG1146" i="15"/>
  <c r="T1146" i="15"/>
  <c r="G1146" i="15"/>
  <c r="N1146" i="15"/>
  <c r="AC1146" i="15"/>
  <c r="X1152" i="15"/>
  <c r="M1155" i="15"/>
  <c r="AF1155" i="15"/>
  <c r="AF1157" i="15"/>
  <c r="T1157" i="15"/>
  <c r="G1157" i="15"/>
  <c r="AE1157" i="15"/>
  <c r="Q1157" i="15"/>
  <c r="M1157" i="15"/>
  <c r="AA1157" i="15"/>
  <c r="AE1159" i="15"/>
  <c r="H1159" i="15"/>
  <c r="AC1159" i="15"/>
  <c r="R1159" i="15"/>
  <c r="X1163" i="15"/>
  <c r="G1163" i="15"/>
  <c r="S1163" i="15"/>
  <c r="O1163" i="15"/>
  <c r="AG1163" i="15"/>
  <c r="R1178" i="15"/>
  <c r="AH1178" i="15"/>
  <c r="Z1198" i="15"/>
  <c r="AA1198" i="15"/>
  <c r="O1198" i="15"/>
  <c r="Y1198" i="15"/>
  <c r="N1198" i="15"/>
  <c r="K1198" i="15"/>
  <c r="W1198" i="15"/>
  <c r="P1199" i="15"/>
  <c r="AF1199" i="15"/>
  <c r="L1202" i="15"/>
  <c r="AB1202" i="15"/>
  <c r="AA1202" i="15"/>
  <c r="Y1202" i="15"/>
  <c r="Q1205" i="15"/>
  <c r="AG1205" i="15"/>
  <c r="AC1210" i="15"/>
  <c r="Q1210" i="15"/>
  <c r="AA1210" i="15"/>
  <c r="O1210" i="15"/>
  <c r="K1210" i="15"/>
  <c r="Z1210" i="15"/>
  <c r="Q1215" i="15"/>
  <c r="X1216" i="15"/>
  <c r="G1216" i="15"/>
  <c r="U1216" i="15"/>
  <c r="O1216" i="15"/>
  <c r="AG1216" i="15"/>
  <c r="AG1229" i="15"/>
  <c r="AA1232" i="15"/>
  <c r="Q1241" i="15"/>
  <c r="AE1242" i="15"/>
  <c r="R1242" i="15"/>
  <c r="AH1242" i="15"/>
  <c r="T1242" i="15"/>
  <c r="AG1242" i="15"/>
  <c r="Q1242" i="15"/>
  <c r="K1242" i="15"/>
  <c r="AA1242" i="15"/>
  <c r="AF1244" i="15"/>
  <c r="H1244" i="15"/>
  <c r="AC1245" i="15"/>
  <c r="U1248" i="15"/>
  <c r="AH1253" i="15"/>
  <c r="AC1253" i="15"/>
  <c r="S1253" i="15"/>
  <c r="G1253" i="15"/>
  <c r="AD1253" i="15"/>
  <c r="P1253" i="15"/>
  <c r="AB1253" i="15"/>
  <c r="O1253" i="15"/>
  <c r="L1253" i="15"/>
  <c r="AA1253" i="15"/>
  <c r="O1265" i="15"/>
  <c r="Y1266" i="15"/>
  <c r="N1266" i="15"/>
  <c r="J1266" i="15"/>
  <c r="AH1266" i="15"/>
  <c r="U1266" i="15"/>
  <c r="M1273" i="15"/>
  <c r="AE1273" i="15"/>
  <c r="T1278" i="15"/>
  <c r="R1279" i="15"/>
  <c r="Q1286" i="15"/>
  <c r="P1289" i="15"/>
  <c r="N1293" i="15"/>
  <c r="AE1293" i="15"/>
  <c r="P1297" i="15"/>
  <c r="AF1297" i="15"/>
  <c r="Q1302" i="15"/>
  <c r="V1304" i="15"/>
  <c r="AC1304" i="15"/>
  <c r="AD1304" i="15"/>
  <c r="Z1304" i="15"/>
  <c r="P1304" i="15"/>
  <c r="N1305" i="15"/>
  <c r="AF1305" i="15"/>
  <c r="W1311" i="15"/>
  <c r="AB1315" i="15"/>
  <c r="T1318" i="15"/>
  <c r="P1319" i="15"/>
  <c r="AH1321" i="15"/>
  <c r="W1321" i="15"/>
  <c r="M1321" i="15"/>
  <c r="AF1321" i="15"/>
  <c r="U1321" i="15"/>
  <c r="H1321" i="15"/>
  <c r="AE1321" i="15"/>
  <c r="T1321" i="15"/>
  <c r="G1321" i="15"/>
  <c r="N1321" i="15"/>
  <c r="AC1321" i="15"/>
  <c r="AH1325" i="15"/>
  <c r="X1325" i="15"/>
  <c r="N1325" i="15"/>
  <c r="AD1325" i="15"/>
  <c r="S1325" i="15"/>
  <c r="AC1325" i="15"/>
  <c r="P1325" i="15"/>
  <c r="K1325" i="15"/>
  <c r="AA1325" i="15"/>
  <c r="U1328" i="15"/>
  <c r="V1328" i="15"/>
  <c r="R1328" i="15"/>
  <c r="N1328" i="15"/>
  <c r="AH1329" i="15"/>
  <c r="AF1329" i="15"/>
  <c r="V1329" i="15"/>
  <c r="L1329" i="15"/>
  <c r="AA1329" i="15"/>
  <c r="N1329" i="15"/>
  <c r="X1329" i="15"/>
  <c r="M1329" i="15"/>
  <c r="K1329" i="15"/>
  <c r="AC1329" i="15"/>
  <c r="X1331" i="15"/>
  <c r="AH1337" i="15"/>
  <c r="AB1337" i="15"/>
  <c r="P1337" i="15"/>
  <c r="AD1337" i="15"/>
  <c r="S1337" i="15"/>
  <c r="AC1337" i="15"/>
  <c r="O1337" i="15"/>
  <c r="K1337" i="15"/>
  <c r="X1337" i="15"/>
  <c r="AA1339" i="15"/>
  <c r="W1348" i="15"/>
  <c r="P1349" i="15"/>
  <c r="AA1350" i="15"/>
  <c r="N1350" i="15"/>
  <c r="V1350" i="15"/>
  <c r="I1350" i="15"/>
  <c r="T1350" i="15"/>
  <c r="M1350" i="15"/>
  <c r="AD1350" i="15"/>
  <c r="AG1355" i="15"/>
  <c r="AH1355" i="15"/>
  <c r="Q1355" i="15"/>
  <c r="Z1355" i="15"/>
  <c r="Y1355" i="15"/>
  <c r="L1355" i="15"/>
  <c r="P1357" i="15"/>
  <c r="AE1357" i="15"/>
  <c r="S1365" i="15"/>
  <c r="AF1365" i="15"/>
  <c r="AH1367" i="15"/>
  <c r="O1373" i="15"/>
  <c r="AF1373" i="15"/>
  <c r="N1397" i="15"/>
  <c r="AF1397" i="15"/>
  <c r="T1402" i="15"/>
  <c r="AH1403" i="15"/>
  <c r="S1413" i="15"/>
  <c r="AG1414" i="15"/>
  <c r="AB1414" i="15"/>
  <c r="N1414" i="15"/>
  <c r="AH1414" i="15"/>
  <c r="S1414" i="15"/>
  <c r="U1414" i="15"/>
  <c r="T1414" i="15"/>
  <c r="L1414" i="15"/>
  <c r="P1415" i="15"/>
  <c r="AB1415" i="15"/>
  <c r="AG1415" i="15"/>
  <c r="S1425" i="15"/>
  <c r="U1429" i="15"/>
  <c r="T1430" i="15"/>
  <c r="AH1445" i="15"/>
  <c r="X1445" i="15"/>
  <c r="N1445" i="15"/>
  <c r="AA1445" i="15"/>
  <c r="M1445" i="15"/>
  <c r="AC1445" i="15"/>
  <c r="O1445" i="15"/>
  <c r="AB1445" i="15"/>
  <c r="L1445" i="15"/>
  <c r="K1445" i="15"/>
  <c r="AE1445" i="15"/>
  <c r="T1454" i="15"/>
  <c r="S1461" i="15"/>
  <c r="W1464" i="15"/>
  <c r="X1468" i="15"/>
  <c r="V1468" i="15"/>
  <c r="J1468" i="15"/>
  <c r="H1468" i="15"/>
  <c r="AH1468" i="15"/>
  <c r="R1468" i="15"/>
  <c r="AH1477" i="15"/>
  <c r="AF1477" i="15"/>
  <c r="V1477" i="15"/>
  <c r="L1477" i="15"/>
  <c r="AB1477" i="15"/>
  <c r="O1477" i="15"/>
  <c r="U1477" i="15"/>
  <c r="G1477" i="15"/>
  <c r="T1477" i="15"/>
  <c r="M1477" i="15"/>
  <c r="AD1477" i="15"/>
  <c r="T1481" i="15"/>
  <c r="Z1484" i="15"/>
  <c r="V1486" i="15"/>
  <c r="AH1489" i="15"/>
  <c r="AC1489" i="15"/>
  <c r="S1489" i="15"/>
  <c r="G1489" i="15"/>
  <c r="V1489" i="15"/>
  <c r="K1489" i="15"/>
  <c r="AE1489" i="15"/>
  <c r="T1489" i="15"/>
  <c r="W1489" i="15"/>
  <c r="U1489" i="15"/>
  <c r="M1489" i="15"/>
  <c r="AF1489" i="15"/>
  <c r="X1496" i="15"/>
  <c r="N1496" i="15"/>
  <c r="AH1496" i="15"/>
  <c r="AF1496" i="15"/>
  <c r="AG1496" i="15"/>
  <c r="W1496" i="15"/>
  <c r="R1496" i="15"/>
  <c r="AG1502" i="15"/>
  <c r="AC1502" i="15"/>
  <c r="R1502" i="15"/>
  <c r="T1502" i="15"/>
  <c r="AD1502" i="15"/>
  <c r="N1502" i="15"/>
  <c r="V1502" i="15"/>
  <c r="U1502" i="15"/>
  <c r="L1502" i="15"/>
  <c r="N1509" i="15"/>
  <c r="Z1516" i="15"/>
  <c r="U1529" i="15"/>
  <c r="R1538" i="15"/>
  <c r="AF1539" i="15"/>
  <c r="P1541" i="15"/>
  <c r="AF1548" i="15"/>
  <c r="V1548" i="15"/>
  <c r="Q1548" i="15"/>
  <c r="AG1548" i="15"/>
  <c r="O1548" i="15"/>
  <c r="X1548" i="15"/>
  <c r="P1548" i="15"/>
  <c r="N1548" i="15"/>
  <c r="W1549" i="15"/>
  <c r="AB1577" i="15"/>
  <c r="AE1577" i="15"/>
  <c r="O1577" i="15"/>
  <c r="W1577" i="15"/>
  <c r="U1577" i="15"/>
  <c r="V1577" i="15"/>
  <c r="P1577" i="15"/>
  <c r="M1577" i="15"/>
  <c r="W1578" i="15"/>
  <c r="Z1580" i="15"/>
  <c r="AE1580" i="15"/>
  <c r="W1580" i="15"/>
  <c r="I1580" i="15"/>
  <c r="G1580" i="15"/>
  <c r="AB1581" i="15"/>
  <c r="W1581" i="15"/>
  <c r="G1581" i="15"/>
  <c r="AD1581" i="15"/>
  <c r="M1581" i="15"/>
  <c r="X1581" i="15"/>
  <c r="AE1581" i="15"/>
  <c r="AC1581" i="15"/>
  <c r="O1581" i="15"/>
  <c r="V1582" i="15"/>
  <c r="AB1589" i="15"/>
  <c r="AD1589" i="15"/>
  <c r="N1589" i="15"/>
  <c r="U1589" i="15"/>
  <c r="AF1589" i="15"/>
  <c r="O1589" i="15"/>
  <c r="W1589" i="15"/>
  <c r="V1589" i="15"/>
  <c r="M1589" i="15"/>
  <c r="AA1590" i="15"/>
  <c r="W1594" i="15"/>
  <c r="AE1616" i="15"/>
  <c r="G1616" i="15"/>
  <c r="Q1616" i="15"/>
  <c r="X1616" i="15"/>
  <c r="W1622" i="15"/>
  <c r="W1626" i="15"/>
  <c r="AH1658" i="15"/>
  <c r="U1658" i="15"/>
  <c r="G1658" i="15"/>
  <c r="W1658" i="15"/>
  <c r="K1658" i="15"/>
  <c r="T1658" i="15"/>
  <c r="AD1658" i="15"/>
  <c r="M1658" i="15"/>
  <c r="AC1658" i="15"/>
  <c r="L1658" i="15"/>
  <c r="S1658" i="15"/>
  <c r="O1665" i="15"/>
  <c r="X1677" i="15"/>
  <c r="AH1682" i="15"/>
  <c r="AC1682" i="15"/>
  <c r="O1682" i="15"/>
  <c r="AB1682" i="15"/>
  <c r="M1682" i="15"/>
  <c r="W1682" i="15"/>
  <c r="K1682" i="15"/>
  <c r="U1682" i="15"/>
  <c r="T1682" i="15"/>
  <c r="N1682" i="15"/>
  <c r="AH1683" i="15"/>
  <c r="W1690" i="15"/>
  <c r="Y1692" i="15"/>
  <c r="I1692" i="15"/>
  <c r="Z1692" i="15"/>
  <c r="AA1698" i="15"/>
  <c r="AH1702" i="15"/>
  <c r="AD1702" i="15"/>
  <c r="S1702" i="15"/>
  <c r="U1702" i="15"/>
  <c r="AE1702" i="15"/>
  <c r="O1702" i="15"/>
  <c r="T1702" i="15"/>
  <c r="N1702" i="15"/>
  <c r="L1702" i="15"/>
  <c r="AH1704" i="15"/>
  <c r="AH1706" i="15"/>
  <c r="AA1706" i="15"/>
  <c r="M1706" i="15"/>
  <c r="W1706" i="15"/>
  <c r="K1706" i="15"/>
  <c r="U1706" i="15"/>
  <c r="AD1706" i="15"/>
  <c r="L1706" i="15"/>
  <c r="AC1706" i="15"/>
  <c r="G1706" i="15"/>
  <c r="AB1706" i="15"/>
  <c r="S1706" i="15"/>
  <c r="AH1710" i="15"/>
  <c r="AB1710" i="15"/>
  <c r="N1710" i="15"/>
  <c r="U1710" i="15"/>
  <c r="AE1710" i="15"/>
  <c r="S1710" i="15"/>
  <c r="AA1710" i="15"/>
  <c r="G1710" i="15"/>
  <c r="W1710" i="15"/>
  <c r="V1710" i="15"/>
  <c r="M1710" i="15"/>
  <c r="AB1717" i="15"/>
  <c r="AE1717" i="15"/>
  <c r="O1717" i="15"/>
  <c r="W1717" i="15"/>
  <c r="U1717" i="15"/>
  <c r="X1717" i="15"/>
  <c r="V1717" i="15"/>
  <c r="P1717" i="15"/>
  <c r="M1717" i="15"/>
  <c r="AB1718" i="15"/>
  <c r="T1726" i="15"/>
  <c r="W1734" i="15"/>
  <c r="AA1746" i="15"/>
  <c r="J1751" i="15"/>
  <c r="Z1751" i="15"/>
  <c r="AA1751" i="15"/>
  <c r="K1751" i="15"/>
  <c r="AH1751" i="15"/>
  <c r="X1760" i="15"/>
  <c r="X1765" i="15"/>
  <c r="AH1770" i="15"/>
  <c r="AE1770" i="15"/>
  <c r="T1770" i="15"/>
  <c r="W1770" i="15"/>
  <c r="K1770" i="15"/>
  <c r="U1770" i="15"/>
  <c r="S1770" i="15"/>
  <c r="O1770" i="15"/>
  <c r="N1770" i="15"/>
  <c r="M1770" i="15"/>
  <c r="AH1774" i="15"/>
  <c r="AE1774" i="15"/>
  <c r="T1774" i="15"/>
  <c r="V1774" i="15"/>
  <c r="G1774" i="15"/>
  <c r="S1774" i="15"/>
  <c r="W1774" i="15"/>
  <c r="U1774" i="15"/>
  <c r="O1774" i="15"/>
  <c r="M1774" i="15"/>
  <c r="AH1778" i="15"/>
  <c r="U1778" i="15"/>
  <c r="G1778" i="15"/>
  <c r="V1778" i="15"/>
  <c r="AE1778" i="15"/>
  <c r="S1778" i="15"/>
  <c r="AB1778" i="15"/>
  <c r="K1778" i="15"/>
  <c r="AA1778" i="15"/>
  <c r="W1778" i="15"/>
  <c r="N1778" i="15"/>
  <c r="Z1795" i="15"/>
  <c r="AB1795" i="15"/>
  <c r="T1795" i="15"/>
  <c r="AH1795" i="15"/>
  <c r="Y1795" i="15"/>
  <c r="S1795" i="15"/>
  <c r="L1795" i="15"/>
  <c r="AH1802" i="15"/>
  <c r="V1802" i="15"/>
  <c r="K1802" i="15"/>
  <c r="AA1802" i="15"/>
  <c r="L1802" i="15"/>
  <c r="U1802" i="15"/>
  <c r="AD1802" i="15"/>
  <c r="M1802" i="15"/>
  <c r="AC1802" i="15"/>
  <c r="G1802" i="15"/>
  <c r="AB1802" i="15"/>
  <c r="S1802" i="15"/>
  <c r="AE1812" i="15"/>
  <c r="AB1821" i="15"/>
  <c r="V1821" i="15"/>
  <c r="AE1821" i="15"/>
  <c r="N1821" i="15"/>
  <c r="AC1821" i="15"/>
  <c r="H1821" i="15"/>
  <c r="AD1821" i="15"/>
  <c r="X1821" i="15"/>
  <c r="W1821" i="15"/>
  <c r="O1821" i="15"/>
  <c r="W1830" i="15"/>
  <c r="W1833" i="15"/>
  <c r="W1836" i="15"/>
  <c r="W1844" i="15"/>
  <c r="P1844" i="15"/>
  <c r="AG1844" i="15"/>
  <c r="H1844" i="15"/>
  <c r="AE1844" i="15"/>
  <c r="X1844" i="15"/>
  <c r="R1844" i="15"/>
  <c r="Q1844" i="15"/>
  <c r="AF1860" i="15"/>
  <c r="V1878" i="15"/>
  <c r="AG1926" i="15"/>
  <c r="AA1926" i="15"/>
  <c r="R1926" i="15"/>
  <c r="H1926" i="15"/>
  <c r="AD1926" i="15"/>
  <c r="T1926" i="15"/>
  <c r="J1926" i="15"/>
  <c r="AB1926" i="15"/>
  <c r="P1926" i="15"/>
  <c r="AE1926" i="15"/>
  <c r="O1926" i="15"/>
  <c r="AC1926" i="15"/>
  <c r="N1926" i="15"/>
  <c r="Z1926" i="15"/>
  <c r="M1926" i="15"/>
  <c r="L1926" i="15"/>
  <c r="R1927" i="15"/>
  <c r="Z1927" i="15"/>
  <c r="T1927" i="15"/>
  <c r="AH1927" i="15"/>
  <c r="AG1927" i="15"/>
  <c r="Q1927" i="15"/>
  <c r="AF1929" i="15"/>
  <c r="Z1936" i="15"/>
  <c r="G1936" i="15"/>
  <c r="AE1936" i="15"/>
  <c r="Y1936" i="15"/>
  <c r="W1936" i="15"/>
  <c r="W1938" i="15"/>
  <c r="AB1941" i="15"/>
  <c r="AF1941" i="15"/>
  <c r="P1941" i="15"/>
  <c r="W1941" i="15"/>
  <c r="U1941" i="15"/>
  <c r="X1941" i="15"/>
  <c r="V1941" i="15"/>
  <c r="O1941" i="15"/>
  <c r="N1941" i="15"/>
  <c r="M1941" i="15"/>
  <c r="J1955" i="15"/>
  <c r="AB1955" i="15"/>
  <c r="AH1990" i="15"/>
  <c r="AB1990" i="15"/>
  <c r="P1990" i="15"/>
  <c r="W1990" i="15"/>
  <c r="L1990" i="15"/>
  <c r="AF1990" i="15"/>
  <c r="U1990" i="15"/>
  <c r="H1990" i="15"/>
  <c r="AA1990" i="15"/>
  <c r="K1990" i="15"/>
  <c r="X1990" i="15"/>
  <c r="G1990" i="15"/>
  <c r="V1990" i="15"/>
  <c r="T1990" i="15"/>
  <c r="O1990" i="15"/>
  <c r="J1999" i="15"/>
  <c r="S1999" i="15"/>
  <c r="I1999" i="15"/>
  <c r="AA1999" i="15"/>
  <c r="L46" i="16"/>
  <c r="H46" i="16"/>
  <c r="G46" i="16"/>
  <c r="F46" i="16"/>
  <c r="F57" i="16"/>
  <c r="H57" i="16"/>
  <c r="G57" i="16"/>
  <c r="P228" i="16"/>
  <c r="H228" i="9" s="1"/>
  <c r="G228" i="16"/>
  <c r="E228" i="16"/>
  <c r="F228" i="16" s="1"/>
  <c r="E352" i="16"/>
  <c r="M352" i="16"/>
  <c r="J435" i="16"/>
  <c r="I435" i="16"/>
  <c r="I491" i="16"/>
  <c r="J491" i="16"/>
  <c r="H491" i="16"/>
  <c r="K544" i="16"/>
  <c r="M544" i="16"/>
  <c r="T583" i="16"/>
  <c r="K583" i="16"/>
  <c r="M583" i="16"/>
  <c r="L583" i="16"/>
  <c r="J583" i="16"/>
  <c r="O659" i="16"/>
  <c r="E782" i="16"/>
  <c r="E792" i="16"/>
  <c r="H876" i="16"/>
  <c r="E876" i="16"/>
  <c r="M876" i="16"/>
  <c r="J904" i="16"/>
  <c r="K904" i="16"/>
  <c r="K906" i="16"/>
  <c r="J906" i="16"/>
  <c r="I906" i="16"/>
  <c r="H908" i="16"/>
  <c r="I908" i="16"/>
  <c r="G908" i="16"/>
  <c r="K937" i="16"/>
  <c r="L937" i="16"/>
  <c r="J947" i="16"/>
  <c r="G947" i="16"/>
  <c r="H947" i="16"/>
  <c r="I947" i="16"/>
  <c r="J1031" i="16"/>
  <c r="M1031" i="16"/>
  <c r="K1031" i="16"/>
  <c r="L1031" i="16"/>
  <c r="K1096" i="16"/>
  <c r="G1259" i="16"/>
  <c r="H1259" i="16"/>
  <c r="J1311" i="16"/>
  <c r="E1311" i="16"/>
  <c r="J1321" i="16"/>
  <c r="K1321" i="16"/>
  <c r="I1347" i="16"/>
  <c r="H1347" i="16"/>
  <c r="G1347" i="16"/>
  <c r="K1373" i="16"/>
  <c r="F1373" i="16"/>
  <c r="P1373" i="16"/>
  <c r="N1373" i="16"/>
  <c r="H1373" i="16"/>
  <c r="G1373" i="16"/>
  <c r="E1373" i="16"/>
  <c r="T1407" i="16"/>
  <c r="M1407" i="16"/>
  <c r="K1407" i="16"/>
  <c r="J1407" i="16"/>
  <c r="E1407" i="16"/>
  <c r="N1407" i="16"/>
  <c r="L1407" i="16"/>
  <c r="F1407" i="16"/>
  <c r="N1411" i="16"/>
  <c r="H1411" i="16"/>
  <c r="T1439" i="16"/>
  <c r="N1439" i="16"/>
  <c r="M1439" i="16"/>
  <c r="K1439" i="16"/>
  <c r="L1439" i="16"/>
  <c r="J1439" i="16"/>
  <c r="F1439" i="16"/>
  <c r="E1439" i="16"/>
  <c r="T1451" i="16"/>
  <c r="P1451" i="16"/>
  <c r="I1451" i="16"/>
  <c r="G1451" i="16"/>
  <c r="O1451" i="16"/>
  <c r="N1451" i="16"/>
  <c r="H1451" i="16"/>
  <c r="F1451" i="16"/>
  <c r="J1471" i="16"/>
  <c r="L1471" i="16"/>
  <c r="F1471" i="16"/>
  <c r="M1471" i="16"/>
  <c r="E1471" i="16"/>
  <c r="N1471" i="16"/>
  <c r="K1471" i="16"/>
  <c r="T1480" i="16"/>
  <c r="O1480" i="16"/>
  <c r="F1480" i="16"/>
  <c r="L1480" i="16"/>
  <c r="J1480" i="16"/>
  <c r="G1480" i="16"/>
  <c r="K1480" i="16"/>
  <c r="H1480" i="16"/>
  <c r="E1480" i="16"/>
  <c r="F1489" i="16"/>
  <c r="I1489" i="16"/>
  <c r="E1489" i="16"/>
  <c r="T1489" i="16"/>
  <c r="G1489" i="16"/>
  <c r="T1552" i="16"/>
  <c r="K1552" i="16"/>
  <c r="L1552" i="16"/>
  <c r="G1552" i="16"/>
  <c r="P1552" i="16"/>
  <c r="E1552" i="16"/>
  <c r="J1552" i="16"/>
  <c r="H1552" i="16"/>
  <c r="F1552" i="16"/>
  <c r="I1631" i="16"/>
  <c r="H1631" i="16"/>
  <c r="F1631" i="16"/>
  <c r="G1631" i="16"/>
  <c r="K1638" i="16"/>
  <c r="T1638" i="16"/>
  <c r="F1638" i="16"/>
  <c r="N1638" i="16"/>
  <c r="G1638" i="16"/>
  <c r="H1638" i="16"/>
  <c r="E1638" i="16"/>
  <c r="H1718" i="16"/>
  <c r="E1718" i="16"/>
  <c r="G1718" i="16"/>
  <c r="F1718" i="16"/>
  <c r="P1718" i="16"/>
  <c r="O1718" i="16"/>
  <c r="I1758" i="16"/>
  <c r="G1758" i="16"/>
  <c r="T1758" i="16"/>
  <c r="H1758" i="16"/>
  <c r="F1758" i="16"/>
  <c r="L1789" i="16"/>
  <c r="M1789" i="16"/>
  <c r="K1789" i="16"/>
  <c r="N1789" i="16"/>
  <c r="T1789" i="16"/>
  <c r="F1789" i="16"/>
  <c r="H1789" i="16"/>
  <c r="G1789" i="16"/>
  <c r="E1789" i="16"/>
  <c r="K1806" i="16"/>
  <c r="P1806" i="16"/>
  <c r="O1806" i="16"/>
  <c r="G1806" i="16"/>
  <c r="T1806" i="16"/>
  <c r="M1806" i="16"/>
  <c r="H1806" i="16"/>
  <c r="F1806" i="16"/>
  <c r="E1806" i="16"/>
  <c r="T1914" i="16"/>
  <c r="L1914" i="16"/>
  <c r="K2086" i="16"/>
  <c r="O2086" i="16"/>
  <c r="N2086" i="16"/>
  <c r="G2086" i="16"/>
  <c r="F2086" i="16"/>
  <c r="T2086" i="16"/>
  <c r="H2086" i="16"/>
  <c r="E2086" i="16"/>
  <c r="L2189" i="16"/>
  <c r="O2189" i="16"/>
  <c r="N2189" i="16"/>
  <c r="E2189" i="16"/>
  <c r="T2189" i="16"/>
  <c r="G2189" i="16"/>
  <c r="F2189" i="16"/>
  <c r="J2189" i="16"/>
  <c r="H2189" i="16"/>
  <c r="M2189" i="16"/>
  <c r="T2200" i="16"/>
  <c r="L2200" i="16"/>
  <c r="K2200" i="16"/>
  <c r="G2200" i="16"/>
  <c r="F2200" i="16"/>
  <c r="H2200" i="16"/>
  <c r="E2200" i="16"/>
  <c r="O2200" i="16"/>
  <c r="N2200" i="16"/>
  <c r="M2200" i="16"/>
  <c r="J2200" i="16"/>
  <c r="AG1950" i="15"/>
  <c r="AF1950" i="15"/>
  <c r="W1950" i="15"/>
  <c r="N1950" i="15"/>
  <c r="AA1950" i="15"/>
  <c r="P1950" i="15"/>
  <c r="X1950" i="15"/>
  <c r="M1950" i="15"/>
  <c r="J1950" i="15"/>
  <c r="V1950" i="15"/>
  <c r="AG1954" i="15"/>
  <c r="AE1954" i="15"/>
  <c r="V1954" i="15"/>
  <c r="M1954" i="15"/>
  <c r="Z1954" i="15"/>
  <c r="O1954" i="15"/>
  <c r="AH1954" i="15"/>
  <c r="W1954" i="15"/>
  <c r="L1954" i="15"/>
  <c r="J1954" i="15"/>
  <c r="X1954" i="15"/>
  <c r="Q1964" i="15"/>
  <c r="Y1964" i="15"/>
  <c r="J1964" i="15"/>
  <c r="Z1964" i="15"/>
  <c r="AH1982" i="15"/>
  <c r="AC1982" i="15"/>
  <c r="S1982" i="15"/>
  <c r="G1982" i="15"/>
  <c r="V1982" i="15"/>
  <c r="K1982" i="15"/>
  <c r="AE1982" i="15"/>
  <c r="T1982" i="15"/>
  <c r="M1982" i="15"/>
  <c r="AB1982" i="15"/>
  <c r="J1992" i="15"/>
  <c r="I1992" i="15"/>
  <c r="Y1996" i="15"/>
  <c r="I1996" i="15"/>
  <c r="AF1996" i="15"/>
  <c r="Q1996" i="15"/>
  <c r="E76" i="16"/>
  <c r="P76" i="16" s="1"/>
  <c r="H76" i="9" s="1"/>
  <c r="K95" i="16"/>
  <c r="J95" i="16"/>
  <c r="I177" i="16"/>
  <c r="H177" i="16"/>
  <c r="L349" i="16"/>
  <c r="G349" i="16"/>
  <c r="P428" i="16"/>
  <c r="H428" i="9" s="1"/>
  <c r="M428" i="16"/>
  <c r="J430" i="16"/>
  <c r="K430" i="16"/>
  <c r="L430" i="16"/>
  <c r="E431" i="16"/>
  <c r="F431" i="16" s="1"/>
  <c r="E446" i="16"/>
  <c r="I446" i="9" s="1"/>
  <c r="K446" i="16"/>
  <c r="K458" i="16"/>
  <c r="J458" i="16"/>
  <c r="G532" i="16"/>
  <c r="M532" i="16"/>
  <c r="G546" i="16"/>
  <c r="H546" i="16"/>
  <c r="I569" i="16"/>
  <c r="I611" i="16"/>
  <c r="J611" i="16"/>
  <c r="H636" i="16"/>
  <c r="M636" i="16"/>
  <c r="K719" i="16"/>
  <c r="L719" i="16"/>
  <c r="M727" i="16"/>
  <c r="J814" i="16"/>
  <c r="L814" i="16"/>
  <c r="L925" i="16"/>
  <c r="F925" i="16"/>
  <c r="M1012" i="16"/>
  <c r="I1012" i="16"/>
  <c r="M1023" i="16"/>
  <c r="K1023" i="16"/>
  <c r="J1078" i="16"/>
  <c r="G1078" i="16"/>
  <c r="K1078" i="16"/>
  <c r="E1078" i="16"/>
  <c r="J1093" i="16"/>
  <c r="E1095" i="16"/>
  <c r="E1102" i="16"/>
  <c r="E1159" i="16"/>
  <c r="J1198" i="16"/>
  <c r="G1198" i="16"/>
  <c r="J1258" i="16"/>
  <c r="G1258" i="16"/>
  <c r="I1258" i="16"/>
  <c r="M1340" i="16"/>
  <c r="G1340" i="16"/>
  <c r="K1349" i="16"/>
  <c r="O1349" i="16"/>
  <c r="F1349" i="16"/>
  <c r="N1349" i="16"/>
  <c r="M1349" i="16"/>
  <c r="K1357" i="16"/>
  <c r="P1357" i="16"/>
  <c r="E1357" i="16"/>
  <c r="F1357" i="16"/>
  <c r="O1357" i="16"/>
  <c r="N1357" i="16"/>
  <c r="J1366" i="16"/>
  <c r="F1366" i="16"/>
  <c r="G1366" i="16"/>
  <c r="O1366" i="16"/>
  <c r="N1366" i="16"/>
  <c r="E1388" i="16"/>
  <c r="P1388" i="16"/>
  <c r="G1388" i="16"/>
  <c r="P1401" i="16"/>
  <c r="J1401" i="16"/>
  <c r="K1401" i="16"/>
  <c r="L1401" i="16"/>
  <c r="G1404" i="16"/>
  <c r="P1404" i="16"/>
  <c r="F1404" i="16"/>
  <c r="T1404" i="16"/>
  <c r="F1427" i="16"/>
  <c r="H1427" i="16"/>
  <c r="I1427" i="16"/>
  <c r="T1455" i="16"/>
  <c r="E1455" i="16"/>
  <c r="L1455" i="16"/>
  <c r="M1455" i="16"/>
  <c r="J1455" i="16"/>
  <c r="I1522" i="16"/>
  <c r="K1522" i="16"/>
  <c r="N1522" i="16"/>
  <c r="F1522" i="16"/>
  <c r="P1522" i="16"/>
  <c r="K1534" i="16"/>
  <c r="O1534" i="16"/>
  <c r="F1534" i="16"/>
  <c r="L1534" i="16"/>
  <c r="G1534" i="16"/>
  <c r="P1534" i="16"/>
  <c r="I1558" i="16"/>
  <c r="J1558" i="16"/>
  <c r="I1572" i="16"/>
  <c r="G1572" i="16"/>
  <c r="K1572" i="16"/>
  <c r="F1572" i="16"/>
  <c r="P1572" i="16"/>
  <c r="T1576" i="16"/>
  <c r="K1576" i="16"/>
  <c r="O1576" i="16"/>
  <c r="E1576" i="16"/>
  <c r="M1576" i="16"/>
  <c r="J1576" i="16"/>
  <c r="N1576" i="16"/>
  <c r="L1596" i="16"/>
  <c r="K1596" i="16"/>
  <c r="F1596" i="16"/>
  <c r="T1600" i="16"/>
  <c r="H1600" i="16"/>
  <c r="G1600" i="16"/>
  <c r="J1600" i="16"/>
  <c r="P1600" i="16"/>
  <c r="E1600" i="16"/>
  <c r="N1600" i="16"/>
  <c r="P1612" i="16"/>
  <c r="O1612" i="16"/>
  <c r="N1612" i="16"/>
  <c r="I1612" i="16"/>
  <c r="T1612" i="16"/>
  <c r="J1620" i="16"/>
  <c r="K1620" i="16"/>
  <c r="T1626" i="16"/>
  <c r="E1626" i="16"/>
  <c r="I1626" i="16"/>
  <c r="H1626" i="16"/>
  <c r="P1626" i="16"/>
  <c r="T1630" i="16"/>
  <c r="O1630" i="16"/>
  <c r="T1648" i="16"/>
  <c r="H1648" i="16"/>
  <c r="N1648" i="16"/>
  <c r="P1648" i="16"/>
  <c r="E1648" i="16"/>
  <c r="M1648" i="16"/>
  <c r="L1648" i="16"/>
  <c r="G1653" i="16"/>
  <c r="E1653" i="16"/>
  <c r="J1663" i="16"/>
  <c r="M1663" i="16"/>
  <c r="G1663" i="16"/>
  <c r="K1663" i="16"/>
  <c r="E1663" i="16"/>
  <c r="P1663" i="16"/>
  <c r="H1675" i="16"/>
  <c r="I1675" i="16"/>
  <c r="G1675" i="16"/>
  <c r="T1675" i="16"/>
  <c r="O1675" i="16"/>
  <c r="T1691" i="16"/>
  <c r="O1691" i="16"/>
  <c r="M1691" i="16"/>
  <c r="N1713" i="16"/>
  <c r="M1713" i="16"/>
  <c r="O1740" i="16"/>
  <c r="N1740" i="16"/>
  <c r="G1740" i="16"/>
  <c r="L1740" i="16"/>
  <c r="H1740" i="16"/>
  <c r="L1741" i="16"/>
  <c r="F1741" i="16"/>
  <c r="T1741" i="16"/>
  <c r="E1741" i="16"/>
  <c r="H1741" i="16"/>
  <c r="G1741" i="16"/>
  <c r="H1746" i="16"/>
  <c r="K1746" i="16"/>
  <c r="I1746" i="16"/>
  <c r="T1760" i="16"/>
  <c r="O1760" i="16"/>
  <c r="F1760" i="16"/>
  <c r="N1760" i="16"/>
  <c r="E1760" i="16"/>
  <c r="G1760" i="16"/>
  <c r="P1760" i="16"/>
  <c r="L1760" i="16"/>
  <c r="I1787" i="16"/>
  <c r="J1787" i="16"/>
  <c r="T1792" i="16"/>
  <c r="O1792" i="16"/>
  <c r="F1792" i="16"/>
  <c r="N1792" i="16"/>
  <c r="E1792" i="16"/>
  <c r="M1792" i="16"/>
  <c r="J1792" i="16"/>
  <c r="G1792" i="16"/>
  <c r="T1816" i="16"/>
  <c r="H1816" i="16"/>
  <c r="P1816" i="16"/>
  <c r="G1816" i="16"/>
  <c r="F1816" i="16"/>
  <c r="E1816" i="16"/>
  <c r="J1816" i="16"/>
  <c r="O1816" i="16"/>
  <c r="O1833" i="16"/>
  <c r="N1833" i="16"/>
  <c r="E1833" i="16"/>
  <c r="I1833" i="16"/>
  <c r="F1833" i="16"/>
  <c r="T1875" i="16"/>
  <c r="J1875" i="16"/>
  <c r="K1875" i="16"/>
  <c r="L1875" i="16"/>
  <c r="G1881" i="16"/>
  <c r="T1881" i="16"/>
  <c r="F1881" i="16"/>
  <c r="O1881" i="16"/>
  <c r="N1881" i="16"/>
  <c r="K1881" i="16"/>
  <c r="E1881" i="16"/>
  <c r="G1921" i="16"/>
  <c r="F1921" i="16"/>
  <c r="L1921" i="16"/>
  <c r="I1921" i="16"/>
  <c r="E1921" i="16"/>
  <c r="T1944" i="16"/>
  <c r="N1944" i="16"/>
  <c r="E1944" i="16"/>
  <c r="M1944" i="16"/>
  <c r="J1944" i="16"/>
  <c r="H1944" i="16"/>
  <c r="P1944" i="16"/>
  <c r="L1944" i="16"/>
  <c r="K1944" i="16"/>
  <c r="G1944" i="16"/>
  <c r="E2007" i="16"/>
  <c r="N2007" i="16"/>
  <c r="K2007" i="16"/>
  <c r="I2007" i="16"/>
  <c r="T2014" i="16"/>
  <c r="P2014" i="16"/>
  <c r="G2014" i="16"/>
  <c r="F2014" i="16"/>
  <c r="O2014" i="16"/>
  <c r="I2014" i="16"/>
  <c r="T2028" i="16"/>
  <c r="L2028" i="16"/>
  <c r="I2035" i="16"/>
  <c r="T2035" i="16"/>
  <c r="P2035" i="16"/>
  <c r="O2035" i="16"/>
  <c r="H2035" i="16"/>
  <c r="G2035" i="16"/>
  <c r="E2035" i="16"/>
  <c r="M2035" i="16"/>
  <c r="L2035" i="16"/>
  <c r="J2146" i="16"/>
  <c r="I2146" i="16"/>
  <c r="L2146" i="16"/>
  <c r="K2146" i="16"/>
  <c r="I2177" i="16"/>
  <c r="T2177" i="16"/>
  <c r="O2177" i="16"/>
  <c r="F2177" i="16"/>
  <c r="E2177" i="16"/>
  <c r="L2177" i="16"/>
  <c r="G2177" i="16"/>
  <c r="N2177" i="16"/>
  <c r="M2177" i="16"/>
  <c r="P2230" i="16"/>
  <c r="O2230" i="16"/>
  <c r="N2230" i="16"/>
  <c r="I2230" i="16"/>
  <c r="I2274" i="16"/>
  <c r="K2274" i="16"/>
  <c r="J2274" i="16"/>
  <c r="L2274" i="16"/>
  <c r="T2282" i="16"/>
  <c r="H2282" i="16"/>
  <c r="F2282" i="16"/>
  <c r="E2282" i="16"/>
  <c r="N2282" i="16"/>
  <c r="I2282" i="16"/>
  <c r="L2365" i="16"/>
  <c r="N2365" i="16"/>
  <c r="M2365" i="16"/>
  <c r="H2365" i="16"/>
  <c r="G2365" i="16"/>
  <c r="J2365" i="16"/>
  <c r="F2365" i="16"/>
  <c r="E2365" i="16"/>
  <c r="T2365" i="16"/>
  <c r="K2365" i="16"/>
  <c r="T2408" i="16"/>
  <c r="H2408" i="16"/>
  <c r="P2408" i="16"/>
  <c r="G2408" i="16"/>
  <c r="K2408" i="16"/>
  <c r="J2408" i="16"/>
  <c r="L2408" i="16"/>
  <c r="F2408" i="16"/>
  <c r="E2408" i="16"/>
  <c r="O2408" i="16"/>
  <c r="N2408" i="16"/>
  <c r="I2433" i="16"/>
  <c r="E2433" i="16"/>
  <c r="T2433" i="16"/>
  <c r="O2433" i="16"/>
  <c r="L2433" i="16"/>
  <c r="G2433" i="16"/>
  <c r="F2433" i="16"/>
  <c r="N2433" i="16"/>
  <c r="M2433" i="16"/>
  <c r="K2446" i="16"/>
  <c r="H2446" i="16"/>
  <c r="G2446" i="16"/>
  <c r="N2446" i="16"/>
  <c r="M2446" i="16"/>
  <c r="P2446" i="16"/>
  <c r="O2446" i="16"/>
  <c r="F2446" i="16"/>
  <c r="E2446" i="16"/>
  <c r="T2509" i="16"/>
  <c r="F2509" i="16"/>
  <c r="H2509" i="16"/>
  <c r="G2509" i="16"/>
  <c r="I2573" i="16"/>
  <c r="H2573" i="16"/>
  <c r="P2573" i="16"/>
  <c r="O2573" i="16"/>
  <c r="T2573" i="16"/>
  <c r="G2573" i="16"/>
  <c r="F2573" i="16"/>
  <c r="O2662" i="16"/>
  <c r="N2662" i="16"/>
  <c r="T2777" i="16"/>
  <c r="J2777" i="16"/>
  <c r="G2777" i="16"/>
  <c r="O2777" i="16"/>
  <c r="N2777" i="16"/>
  <c r="K2777" i="16"/>
  <c r="F2777" i="16"/>
  <c r="E2777" i="16"/>
  <c r="M2777" i="16"/>
  <c r="P3197" i="16"/>
  <c r="O3197" i="16"/>
  <c r="T3197" i="16"/>
  <c r="N3197" i="16"/>
  <c r="H3197" i="16"/>
  <c r="G3197" i="16"/>
  <c r="F3197" i="16"/>
  <c r="K3197" i="16"/>
  <c r="I3197" i="16"/>
  <c r="T3261" i="16"/>
  <c r="F3261" i="16"/>
  <c r="P3261" i="16"/>
  <c r="O3261" i="16"/>
  <c r="H3261" i="16"/>
  <c r="G3261" i="16"/>
  <c r="K3261" i="16"/>
  <c r="I3261" i="16"/>
  <c r="T3504" i="16"/>
  <c r="N3504" i="16"/>
  <c r="E3504" i="16"/>
  <c r="M3504" i="16"/>
  <c r="J3504" i="16"/>
  <c r="H3504" i="16"/>
  <c r="G3504" i="16"/>
  <c r="F3504" i="16"/>
  <c r="P3504" i="16"/>
  <c r="O3504" i="16"/>
  <c r="L3504" i="16"/>
  <c r="K3504" i="16"/>
  <c r="T3632" i="16"/>
  <c r="H3632" i="16"/>
  <c r="P3632" i="16"/>
  <c r="G3632" i="16"/>
  <c r="O3632" i="16"/>
  <c r="N3632" i="16"/>
  <c r="J3632" i="16"/>
  <c r="F3632" i="16"/>
  <c r="E3632" i="16"/>
  <c r="M3632" i="16"/>
  <c r="L3632" i="16"/>
  <c r="K3632" i="16"/>
  <c r="G3853" i="16"/>
  <c r="F3853" i="16"/>
  <c r="O3853" i="16"/>
  <c r="I3853" i="16"/>
  <c r="H3853" i="16"/>
  <c r="T3853" i="16"/>
  <c r="P3853" i="16"/>
  <c r="T3873" i="16"/>
  <c r="O3873" i="16"/>
  <c r="E3873" i="16"/>
  <c r="M3873" i="16"/>
  <c r="J3873" i="16"/>
  <c r="G3873" i="16"/>
  <c r="N3873" i="16"/>
  <c r="L3873" i="16"/>
  <c r="F3873" i="16"/>
  <c r="K3873" i="16"/>
  <c r="O4180" i="16"/>
  <c r="K4180" i="16"/>
  <c r="M4180" i="16"/>
  <c r="J4180" i="16"/>
  <c r="F4184" i="16"/>
  <c r="P4184" i="16"/>
  <c r="O4184" i="16"/>
  <c r="M4184" i="16"/>
  <c r="T4201" i="16"/>
  <c r="H4201" i="16"/>
  <c r="O4201" i="16"/>
  <c r="F4201" i="16"/>
  <c r="G4201" i="16"/>
  <c r="E4201" i="16"/>
  <c r="J4201" i="16"/>
  <c r="K4201" i="16"/>
  <c r="N4201" i="16"/>
  <c r="M4201" i="16"/>
  <c r="L4201" i="16"/>
  <c r="P4201" i="16"/>
  <c r="T4305" i="16"/>
  <c r="H4305" i="16"/>
  <c r="O4305" i="16"/>
  <c r="F4305" i="16"/>
  <c r="E4305" i="16"/>
  <c r="P4305" i="16"/>
  <c r="J4305" i="16"/>
  <c r="G4305" i="16"/>
  <c r="K4305" i="16"/>
  <c r="N4305" i="16"/>
  <c r="M4305" i="16"/>
  <c r="L4305" i="16"/>
  <c r="T4387" i="16"/>
  <c r="E4387" i="16"/>
  <c r="N4387" i="16"/>
  <c r="I4387" i="16"/>
  <c r="H4387" i="16"/>
  <c r="F4387" i="16"/>
  <c r="P4387" i="16"/>
  <c r="L4387" i="16"/>
  <c r="K4387" i="16"/>
  <c r="I4802" i="16"/>
  <c r="K4802" i="16"/>
  <c r="F4802" i="16"/>
  <c r="N4802" i="16"/>
  <c r="L4802" i="16"/>
  <c r="M4802" i="16"/>
  <c r="E4802" i="16"/>
  <c r="O4802" i="16"/>
  <c r="AH1714" i="15"/>
  <c r="U1714" i="15"/>
  <c r="G1714" i="15"/>
  <c r="W1714" i="15"/>
  <c r="K1714" i="15"/>
  <c r="T1714" i="15"/>
  <c r="N1714" i="15"/>
  <c r="AE1714" i="15"/>
  <c r="AH1771" i="15"/>
  <c r="J1771" i="15"/>
  <c r="Y1771" i="15"/>
  <c r="S1771" i="15"/>
  <c r="R1771" i="15"/>
  <c r="AH1798" i="15"/>
  <c r="AA1798" i="15"/>
  <c r="M1798" i="15"/>
  <c r="T1798" i="15"/>
  <c r="AD1798" i="15"/>
  <c r="O1798" i="15"/>
  <c r="K1798" i="15"/>
  <c r="AC1798" i="15"/>
  <c r="AB1805" i="15"/>
  <c r="AD1805" i="15"/>
  <c r="N1805" i="15"/>
  <c r="V1805" i="15"/>
  <c r="P1805" i="15"/>
  <c r="M1805" i="15"/>
  <c r="AH1818" i="15"/>
  <c r="AD1818" i="15"/>
  <c r="T1818" i="15"/>
  <c r="H1818" i="15"/>
  <c r="AF1818" i="15"/>
  <c r="U1818" i="15"/>
  <c r="G1818" i="15"/>
  <c r="AC1818" i="15"/>
  <c r="P1818" i="15"/>
  <c r="M1818" i="15"/>
  <c r="AB1818" i="15"/>
  <c r="AF1820" i="15"/>
  <c r="H1820" i="15"/>
  <c r="Q1820" i="15"/>
  <c r="AH1820" i="15"/>
  <c r="O1820" i="15"/>
  <c r="R1820" i="15"/>
  <c r="AB1873" i="15"/>
  <c r="V1873" i="15"/>
  <c r="AE1873" i="15"/>
  <c r="N1873" i="15"/>
  <c r="AC1873" i="15"/>
  <c r="H1873" i="15"/>
  <c r="O1873" i="15"/>
  <c r="AH1882" i="15"/>
  <c r="W1882" i="15"/>
  <c r="M1882" i="15"/>
  <c r="AC1882" i="15"/>
  <c r="P1882" i="15"/>
  <c r="AA1882" i="15"/>
  <c r="N1882" i="15"/>
  <c r="K1882" i="15"/>
  <c r="AB1882" i="15"/>
  <c r="AB1907" i="15"/>
  <c r="I1907" i="15"/>
  <c r="AA1907" i="15"/>
  <c r="Q1907" i="15"/>
  <c r="AB1913" i="15"/>
  <c r="AF1913" i="15"/>
  <c r="P1913" i="15"/>
  <c r="V1913" i="15"/>
  <c r="O1913" i="15"/>
  <c r="M1913" i="15"/>
  <c r="Y1915" i="15"/>
  <c r="J1915" i="15"/>
  <c r="Z1915" i="15"/>
  <c r="Y1935" i="15"/>
  <c r="AG1935" i="15"/>
  <c r="T1935" i="15"/>
  <c r="Q1935" i="15"/>
  <c r="AB1937" i="15"/>
  <c r="W1937" i="15"/>
  <c r="G1937" i="15"/>
  <c r="AF1937" i="15"/>
  <c r="O1937" i="15"/>
  <c r="AD1937" i="15"/>
  <c r="M1937" i="15"/>
  <c r="P1937" i="15"/>
  <c r="X1940" i="15"/>
  <c r="AF1940" i="15"/>
  <c r="G1940" i="15"/>
  <c r="W1940" i="15"/>
  <c r="P1940" i="15"/>
  <c r="K1950" i="15"/>
  <c r="Z1950" i="15"/>
  <c r="AB1953" i="15"/>
  <c r="X1953" i="15"/>
  <c r="H1953" i="15"/>
  <c r="AC1953" i="15"/>
  <c r="G1953" i="15"/>
  <c r="V1953" i="15"/>
  <c r="O1953" i="15"/>
  <c r="K1954" i="15"/>
  <c r="AA1954" i="15"/>
  <c r="AE1964" i="15"/>
  <c r="N1982" i="15"/>
  <c r="AD1982" i="15"/>
  <c r="Z1996" i="15"/>
  <c r="T9" i="16"/>
  <c r="L9" i="16"/>
  <c r="J9" i="16"/>
  <c r="M25" i="16"/>
  <c r="L25" i="16"/>
  <c r="E25" i="16"/>
  <c r="K43" i="16"/>
  <c r="J43" i="16"/>
  <c r="M59" i="16"/>
  <c r="L59" i="16"/>
  <c r="G76" i="16"/>
  <c r="J119" i="16"/>
  <c r="H119" i="16"/>
  <c r="J147" i="16"/>
  <c r="G147" i="16"/>
  <c r="L147" i="16"/>
  <c r="J223" i="16"/>
  <c r="I249" i="16"/>
  <c r="H300" i="16"/>
  <c r="M300" i="16"/>
  <c r="J335" i="16"/>
  <c r="M335" i="16"/>
  <c r="K335" i="16"/>
  <c r="L335" i="16"/>
  <c r="K351" i="16"/>
  <c r="E351" i="16"/>
  <c r="L391" i="16"/>
  <c r="M391" i="16"/>
  <c r="M480" i="16"/>
  <c r="I561" i="16"/>
  <c r="J561" i="16"/>
  <c r="K561" i="16"/>
  <c r="K638" i="16"/>
  <c r="E638" i="16"/>
  <c r="F638" i="16" s="1"/>
  <c r="J650" i="16"/>
  <c r="I650" i="16"/>
  <c r="H694" i="16"/>
  <c r="I712" i="16"/>
  <c r="K712" i="16"/>
  <c r="J712" i="16"/>
  <c r="H713" i="16"/>
  <c r="H747" i="16"/>
  <c r="I747" i="16"/>
  <c r="K800" i="16"/>
  <c r="M800" i="16"/>
  <c r="J802" i="16"/>
  <c r="I802" i="16"/>
  <c r="H802" i="16"/>
  <c r="J809" i="16"/>
  <c r="I809" i="16"/>
  <c r="K809" i="16"/>
  <c r="J975" i="16"/>
  <c r="L975" i="16"/>
  <c r="E1031" i="16"/>
  <c r="K1064" i="16"/>
  <c r="M1064" i="16"/>
  <c r="H1108" i="16"/>
  <c r="E1108" i="16"/>
  <c r="F1108" i="16" s="1"/>
  <c r="M1151" i="16"/>
  <c r="L1151" i="16"/>
  <c r="K1154" i="16"/>
  <c r="J1154" i="16"/>
  <c r="I1154" i="16"/>
  <c r="I1193" i="16"/>
  <c r="H1193" i="16"/>
  <c r="I1291" i="16"/>
  <c r="G1291" i="16"/>
  <c r="H1332" i="16"/>
  <c r="M1332" i="16"/>
  <c r="E1344" i="16"/>
  <c r="I1344" i="16"/>
  <c r="P1349" i="16"/>
  <c r="H1354" i="16"/>
  <c r="G1354" i="16"/>
  <c r="T1354" i="16"/>
  <c r="O1363" i="16"/>
  <c r="J1363" i="16"/>
  <c r="N1363" i="16"/>
  <c r="T1367" i="16"/>
  <c r="K1367" i="16"/>
  <c r="M1367" i="16"/>
  <c r="L1367" i="16"/>
  <c r="H1367" i="16"/>
  <c r="N1367" i="16"/>
  <c r="J1392" i="16"/>
  <c r="I1392" i="16"/>
  <c r="K1392" i="16"/>
  <c r="K1405" i="16"/>
  <c r="N1405" i="16"/>
  <c r="G1405" i="16"/>
  <c r="O1405" i="16"/>
  <c r="M1405" i="16"/>
  <c r="T1415" i="16"/>
  <c r="E1415" i="16"/>
  <c r="L1415" i="16"/>
  <c r="N1415" i="16"/>
  <c r="T1449" i="16"/>
  <c r="L1449" i="16"/>
  <c r="J1487" i="16"/>
  <c r="N1487" i="16"/>
  <c r="T1487" i="16"/>
  <c r="F1487" i="16"/>
  <c r="O1487" i="16"/>
  <c r="I1500" i="16"/>
  <c r="H1500" i="16"/>
  <c r="M1506" i="16"/>
  <c r="J1506" i="16"/>
  <c r="F1514" i="16"/>
  <c r="H1514" i="16"/>
  <c r="T1520" i="16"/>
  <c r="N1520" i="16"/>
  <c r="E1520" i="16"/>
  <c r="O1520" i="16"/>
  <c r="H1520" i="16"/>
  <c r="F1520" i="16"/>
  <c r="M1520" i="16"/>
  <c r="T1522" i="16"/>
  <c r="J1535" i="16"/>
  <c r="G1535" i="16"/>
  <c r="N1535" i="16"/>
  <c r="E1535" i="16"/>
  <c r="P1535" i="16"/>
  <c r="O1535" i="16"/>
  <c r="L1555" i="16"/>
  <c r="K1555" i="16"/>
  <c r="P1566" i="16"/>
  <c r="T1566" i="16"/>
  <c r="I1566" i="16"/>
  <c r="T1572" i="16"/>
  <c r="P1576" i="16"/>
  <c r="I1586" i="16"/>
  <c r="N1586" i="16"/>
  <c r="T1586" i="16"/>
  <c r="E1586" i="16"/>
  <c r="P1586" i="16"/>
  <c r="M1586" i="16"/>
  <c r="O1600" i="16"/>
  <c r="G1605" i="16"/>
  <c r="P1605" i="16"/>
  <c r="I1605" i="16"/>
  <c r="L1613" i="16"/>
  <c r="G1613" i="16"/>
  <c r="H1613" i="16"/>
  <c r="M1613" i="16"/>
  <c r="E1613" i="16"/>
  <c r="T1613" i="16"/>
  <c r="I1627" i="16"/>
  <c r="P1627" i="16"/>
  <c r="O1627" i="16"/>
  <c r="O1648" i="16"/>
  <c r="T1664" i="16"/>
  <c r="N1664" i="16"/>
  <c r="E1664" i="16"/>
  <c r="M1664" i="16"/>
  <c r="P1664" i="16"/>
  <c r="L1664" i="16"/>
  <c r="K1664" i="16"/>
  <c r="G1671" i="16"/>
  <c r="K1671" i="16"/>
  <c r="H1671" i="16"/>
  <c r="P1675" i="16"/>
  <c r="J1679" i="16"/>
  <c r="N1679" i="16"/>
  <c r="F1679" i="16"/>
  <c r="M1679" i="16"/>
  <c r="G1679" i="16"/>
  <c r="T1679" i="16"/>
  <c r="T1688" i="16"/>
  <c r="O1688" i="16"/>
  <c r="F1688" i="16"/>
  <c r="L1688" i="16"/>
  <c r="H1688" i="16"/>
  <c r="E1688" i="16"/>
  <c r="N1688" i="16"/>
  <c r="P1691" i="16"/>
  <c r="I1693" i="16"/>
  <c r="T1693" i="16"/>
  <c r="O1693" i="16"/>
  <c r="L1697" i="16"/>
  <c r="T1697" i="16"/>
  <c r="L1725" i="16"/>
  <c r="P1725" i="16"/>
  <c r="K1725" i="16"/>
  <c r="T1725" i="16"/>
  <c r="E1725" i="16"/>
  <c r="N1725" i="16"/>
  <c r="M1725" i="16"/>
  <c r="T1764" i="16"/>
  <c r="G1764" i="16"/>
  <c r="P1764" i="16"/>
  <c r="F1764" i="16"/>
  <c r="I1764" i="16"/>
  <c r="N1764" i="16"/>
  <c r="L1764" i="16"/>
  <c r="H1764" i="16"/>
  <c r="P1782" i="16"/>
  <c r="I1782" i="16"/>
  <c r="K1812" i="16"/>
  <c r="L1812" i="16"/>
  <c r="O1852" i="16"/>
  <c r="L1852" i="16"/>
  <c r="K1854" i="16"/>
  <c r="P1854" i="16"/>
  <c r="F1854" i="16"/>
  <c r="O1854" i="16"/>
  <c r="E1854" i="16"/>
  <c r="G1854" i="16"/>
  <c r="J1854" i="16"/>
  <c r="T1854" i="16"/>
  <c r="T1880" i="16"/>
  <c r="O1880" i="16"/>
  <c r="F1880" i="16"/>
  <c r="N1880" i="16"/>
  <c r="E1880" i="16"/>
  <c r="H1880" i="16"/>
  <c r="G1880" i="16"/>
  <c r="M1880" i="16"/>
  <c r="J1880" i="16"/>
  <c r="K1894" i="16"/>
  <c r="P1894" i="16"/>
  <c r="E1894" i="16"/>
  <c r="O1894" i="16"/>
  <c r="H1894" i="16"/>
  <c r="G1894" i="16"/>
  <c r="L1894" i="16"/>
  <c r="M1894" i="16"/>
  <c r="F1894" i="16"/>
  <c r="T1912" i="16"/>
  <c r="O1912" i="16"/>
  <c r="F1912" i="16"/>
  <c r="N1912" i="16"/>
  <c r="E1912" i="16"/>
  <c r="P1912" i="16"/>
  <c r="H1912" i="16"/>
  <c r="G1912" i="16"/>
  <c r="J1919" i="16"/>
  <c r="O1919" i="16"/>
  <c r="E1919" i="16"/>
  <c r="N1919" i="16"/>
  <c r="G1919" i="16"/>
  <c r="F1919" i="16"/>
  <c r="H1919" i="16"/>
  <c r="M1919" i="16"/>
  <c r="L1919" i="16"/>
  <c r="K1919" i="16"/>
  <c r="J1963" i="16"/>
  <c r="H1963" i="16"/>
  <c r="G1963" i="16"/>
  <c r="T1963" i="16"/>
  <c r="I1963" i="16"/>
  <c r="J2002" i="16"/>
  <c r="I2002" i="16"/>
  <c r="H2002" i="16"/>
  <c r="F2002" i="16"/>
  <c r="K2150" i="16"/>
  <c r="L2150" i="16"/>
  <c r="G2150" i="16"/>
  <c r="N2150" i="16"/>
  <c r="M2150" i="16"/>
  <c r="F2150" i="16"/>
  <c r="E2150" i="16"/>
  <c r="L2171" i="16"/>
  <c r="M2171" i="16"/>
  <c r="I2180" i="16"/>
  <c r="H2180" i="16"/>
  <c r="G2180" i="16"/>
  <c r="J2180" i="16"/>
  <c r="I2188" i="16"/>
  <c r="L2188" i="16"/>
  <c r="H2188" i="16"/>
  <c r="N2188" i="16"/>
  <c r="G2188" i="16"/>
  <c r="O2188" i="16"/>
  <c r="F2188" i="16"/>
  <c r="F2193" i="16"/>
  <c r="E2193" i="16"/>
  <c r="G2193" i="16"/>
  <c r="T2193" i="16"/>
  <c r="T2320" i="16"/>
  <c r="N2320" i="16"/>
  <c r="E2320" i="16"/>
  <c r="M2320" i="16"/>
  <c r="G2320" i="16"/>
  <c r="F2320" i="16"/>
  <c r="K2320" i="16"/>
  <c r="J2320" i="16"/>
  <c r="H2320" i="16"/>
  <c r="T2331" i="16"/>
  <c r="P2331" i="16"/>
  <c r="E2331" i="16"/>
  <c r="I2331" i="16"/>
  <c r="H2331" i="16"/>
  <c r="G2331" i="16"/>
  <c r="T2349" i="16"/>
  <c r="J2349" i="16"/>
  <c r="K2490" i="16"/>
  <c r="M2490" i="16"/>
  <c r="L2490" i="16"/>
  <c r="N2490" i="16"/>
  <c r="H2686" i="16"/>
  <c r="G2686" i="16"/>
  <c r="T2686" i="16"/>
  <c r="F2686" i="16"/>
  <c r="E2686" i="16"/>
  <c r="P2686" i="16"/>
  <c r="O2686" i="16"/>
  <c r="N2686" i="16"/>
  <c r="T2785" i="16"/>
  <c r="J2785" i="16"/>
  <c r="G2785" i="16"/>
  <c r="E2785" i="16"/>
  <c r="M2785" i="16"/>
  <c r="L2785" i="16"/>
  <c r="N2785" i="16"/>
  <c r="K2785" i="16"/>
  <c r="F2785" i="16"/>
  <c r="O2785" i="16"/>
  <c r="T3049" i="16"/>
  <c r="J3049" i="16"/>
  <c r="G3049" i="16"/>
  <c r="O3049" i="16"/>
  <c r="F3049" i="16"/>
  <c r="E3049" i="16"/>
  <c r="N3049" i="16"/>
  <c r="L3049" i="16"/>
  <c r="K3049" i="16"/>
  <c r="T3648" i="16"/>
  <c r="O3648" i="16"/>
  <c r="F3648" i="16"/>
  <c r="N3648" i="16"/>
  <c r="E3648" i="16"/>
  <c r="G3648" i="16"/>
  <c r="L3648" i="16"/>
  <c r="K3648" i="16"/>
  <c r="J3648" i="16"/>
  <c r="H3648" i="16"/>
  <c r="P3648" i="16"/>
  <c r="M3648" i="16"/>
  <c r="N3821" i="16"/>
  <c r="K3821" i="16"/>
  <c r="I3821" i="16"/>
  <c r="J3821" i="16"/>
  <c r="I3975" i="16"/>
  <c r="K3975" i="16"/>
  <c r="J3975" i="16"/>
  <c r="H3975" i="16"/>
  <c r="T3987" i="16"/>
  <c r="O3987" i="16"/>
  <c r="F3987" i="16"/>
  <c r="M3987" i="16"/>
  <c r="J3987" i="16"/>
  <c r="H3987" i="16"/>
  <c r="K3987" i="16"/>
  <c r="G3987" i="16"/>
  <c r="L3987" i="16"/>
  <c r="E3987" i="16"/>
  <c r="P3987" i="16"/>
  <c r="N3987" i="16"/>
  <c r="G3" i="15"/>
  <c r="Q13" i="15"/>
  <c r="O35" i="15"/>
  <c r="R49" i="15"/>
  <c r="L50" i="15"/>
  <c r="O67" i="15"/>
  <c r="U72" i="15"/>
  <c r="U78" i="15"/>
  <c r="P80" i="15"/>
  <c r="J97" i="15"/>
  <c r="S98" i="15"/>
  <c r="P100" i="15"/>
  <c r="AA103" i="15"/>
  <c r="W105" i="15"/>
  <c r="O109" i="15"/>
  <c r="W111" i="15"/>
  <c r="Y123" i="15"/>
  <c r="AA129" i="15"/>
  <c r="P130" i="15"/>
  <c r="I135" i="15"/>
  <c r="Z150" i="15"/>
  <c r="Q153" i="15"/>
  <c r="H155" i="15"/>
  <c r="H176" i="15"/>
  <c r="J178" i="15"/>
  <c r="W178" i="15"/>
  <c r="R183" i="15"/>
  <c r="N191" i="15"/>
  <c r="I198" i="15"/>
  <c r="K200" i="15"/>
  <c r="V200" i="15"/>
  <c r="AG200" i="15"/>
  <c r="I201" i="15"/>
  <c r="Y201" i="15"/>
  <c r="K205" i="15"/>
  <c r="W205" i="15"/>
  <c r="Q208" i="15"/>
  <c r="L222" i="15"/>
  <c r="Y222" i="15"/>
  <c r="R234" i="15"/>
  <c r="K243" i="15"/>
  <c r="X243" i="15"/>
  <c r="Y250" i="15"/>
  <c r="L253" i="15"/>
  <c r="W253" i="15"/>
  <c r="L254" i="15"/>
  <c r="Y254" i="15"/>
  <c r="Q262" i="15"/>
  <c r="O266" i="15"/>
  <c r="X272" i="15"/>
  <c r="K275" i="15"/>
  <c r="X275" i="15"/>
  <c r="L286" i="15"/>
  <c r="Y286" i="15"/>
  <c r="M296" i="15"/>
  <c r="AC296" i="15"/>
  <c r="X304" i="15"/>
  <c r="L312" i="15"/>
  <c r="X312" i="15"/>
  <c r="M329" i="15"/>
  <c r="Z329" i="15"/>
  <c r="P331" i="15"/>
  <c r="L338" i="15"/>
  <c r="AB338" i="15"/>
  <c r="Q341" i="15"/>
  <c r="M356" i="15"/>
  <c r="Y356" i="15"/>
  <c r="M388" i="15"/>
  <c r="Y388" i="15"/>
  <c r="L402" i="15"/>
  <c r="AB402" i="15"/>
  <c r="Q405" i="15"/>
  <c r="T412" i="15"/>
  <c r="L434" i="15"/>
  <c r="AB434" i="15"/>
  <c r="Q437" i="15"/>
  <c r="M440" i="15"/>
  <c r="AC440" i="15"/>
  <c r="R459" i="15"/>
  <c r="M461" i="15"/>
  <c r="AC461" i="15"/>
  <c r="N479" i="15"/>
  <c r="AF479" i="15"/>
  <c r="S485" i="15"/>
  <c r="N511" i="15"/>
  <c r="AF511" i="15"/>
  <c r="M520" i="15"/>
  <c r="AC520" i="15"/>
  <c r="M525" i="15"/>
  <c r="AC525" i="15"/>
  <c r="L530" i="15"/>
  <c r="AB530" i="15"/>
  <c r="Z533" i="15"/>
  <c r="N543" i="15"/>
  <c r="AF543" i="15"/>
  <c r="M557" i="15"/>
  <c r="AC557" i="15"/>
  <c r="M568" i="15"/>
  <c r="AC568" i="15"/>
  <c r="H579" i="15"/>
  <c r="W579" i="15"/>
  <c r="M580" i="15"/>
  <c r="Y580" i="15"/>
  <c r="AA582" i="15"/>
  <c r="J583" i="15"/>
  <c r="I585" i="15"/>
  <c r="V585" i="15"/>
  <c r="AH585" i="15"/>
  <c r="H586" i="15"/>
  <c r="N591" i="15"/>
  <c r="AF591" i="15"/>
  <c r="H595" i="15"/>
  <c r="S595" i="15"/>
  <c r="AD595" i="15"/>
  <c r="L601" i="15"/>
  <c r="W601" i="15"/>
  <c r="X602" i="15"/>
  <c r="N607" i="15"/>
  <c r="AF607" i="15"/>
  <c r="V615" i="15"/>
  <c r="L617" i="15"/>
  <c r="Y618" i="15"/>
  <c r="M621" i="15"/>
  <c r="AC621" i="15"/>
  <c r="H624" i="15"/>
  <c r="L628" i="15"/>
  <c r="W628" i="15"/>
  <c r="Q629" i="15"/>
  <c r="S636" i="15"/>
  <c r="H638" i="15"/>
  <c r="X638" i="15"/>
  <c r="H651" i="15"/>
  <c r="K653" i="15"/>
  <c r="W653" i="15"/>
  <c r="Q656" i="15"/>
  <c r="K659" i="15"/>
  <c r="X659" i="15"/>
  <c r="R662" i="15"/>
  <c r="I665" i="15"/>
  <c r="Y665" i="15"/>
  <c r="H670" i="15"/>
  <c r="X670" i="15"/>
  <c r="L674" i="15"/>
  <c r="AB674" i="15"/>
  <c r="O677" i="15"/>
  <c r="H687" i="15"/>
  <c r="Z687" i="15"/>
  <c r="H698" i="15"/>
  <c r="I701" i="15"/>
  <c r="T701" i="15"/>
  <c r="AG701" i="15"/>
  <c r="N703" i="15"/>
  <c r="AF703" i="15"/>
  <c r="S705" i="15"/>
  <c r="H707" i="15"/>
  <c r="U707" i="15"/>
  <c r="AG707" i="15"/>
  <c r="H714" i="15"/>
  <c r="H719" i="15"/>
  <c r="Z719" i="15"/>
  <c r="S721" i="15"/>
  <c r="K723" i="15"/>
  <c r="X723" i="15"/>
  <c r="L734" i="15"/>
  <c r="Y734" i="15"/>
  <c r="P736" i="15"/>
  <c r="O741" i="15"/>
  <c r="I750" i="15"/>
  <c r="AA750" i="15"/>
  <c r="X759" i="15"/>
  <c r="O763" i="15"/>
  <c r="O784" i="15"/>
  <c r="N785" i="15"/>
  <c r="AG785" i="15"/>
  <c r="M790" i="15"/>
  <c r="AB790" i="15"/>
  <c r="O792" i="15"/>
  <c r="N793" i="15"/>
  <c r="AG793" i="15"/>
  <c r="O808" i="15"/>
  <c r="N809" i="15"/>
  <c r="AG809" i="15"/>
  <c r="M814" i="15"/>
  <c r="AB814" i="15"/>
  <c r="X823" i="15"/>
  <c r="U837" i="15"/>
  <c r="M846" i="15"/>
  <c r="AB846" i="15"/>
  <c r="O851" i="15"/>
  <c r="V852" i="15"/>
  <c r="O875" i="15"/>
  <c r="AC877" i="15"/>
  <c r="J919" i="15"/>
  <c r="S927" i="15"/>
  <c r="J930" i="15"/>
  <c r="I934" i="15"/>
  <c r="AA934" i="15"/>
  <c r="I942" i="15"/>
  <c r="AA942" i="15"/>
  <c r="O947" i="15"/>
  <c r="V948" i="15"/>
  <c r="T954" i="15"/>
  <c r="O960" i="15"/>
  <c r="N961" i="15"/>
  <c r="AG961" i="15"/>
  <c r="S962" i="15"/>
  <c r="J967" i="15"/>
  <c r="I973" i="15"/>
  <c r="H979" i="15"/>
  <c r="AC979" i="15"/>
  <c r="K980" i="15"/>
  <c r="M990" i="15"/>
  <c r="AB990" i="15"/>
  <c r="AE994" i="15"/>
  <c r="H995" i="15"/>
  <c r="AC995" i="15"/>
  <c r="K996" i="15"/>
  <c r="M998" i="15"/>
  <c r="AB998" i="15"/>
  <c r="H1003" i="15"/>
  <c r="AC1003" i="15"/>
  <c r="K1004" i="15"/>
  <c r="J1015" i="15"/>
  <c r="J1018" i="15"/>
  <c r="U1029" i="15"/>
  <c r="AE1036" i="15"/>
  <c r="M1046" i="15"/>
  <c r="AD1053" i="15"/>
  <c r="I1054" i="15"/>
  <c r="AA1054" i="15"/>
  <c r="H1067" i="15"/>
  <c r="AC1067" i="15"/>
  <c r="K1068" i="15"/>
  <c r="S1095" i="15"/>
  <c r="I1101" i="15"/>
  <c r="H1112" i="15"/>
  <c r="AD1112" i="15"/>
  <c r="I1113" i="15"/>
  <c r="Y1113" i="15"/>
  <c r="H1115" i="15"/>
  <c r="AC1115" i="15"/>
  <c r="U1116" i="15"/>
  <c r="H1120" i="15"/>
  <c r="AD1120" i="15"/>
  <c r="M1121" i="15"/>
  <c r="AB1121" i="15"/>
  <c r="O1131" i="15"/>
  <c r="AC1133" i="15"/>
  <c r="H1136" i="15"/>
  <c r="AG1136" i="15"/>
  <c r="H1137" i="15"/>
  <c r="AC1137" i="15"/>
  <c r="O1143" i="15"/>
  <c r="AE1143" i="15"/>
  <c r="M1144" i="15"/>
  <c r="AD1144" i="15"/>
  <c r="U1149" i="15"/>
  <c r="M1165" i="15"/>
  <c r="AC1165" i="15"/>
  <c r="T1175" i="15"/>
  <c r="Y1192" i="15"/>
  <c r="S1196" i="15"/>
  <c r="O1200" i="15"/>
  <c r="J1207" i="15"/>
  <c r="O1218" i="15"/>
  <c r="AE1218" i="15"/>
  <c r="H1219" i="15"/>
  <c r="Y1220" i="15"/>
  <c r="J1231" i="15"/>
  <c r="AG1233" i="15"/>
  <c r="S1233" i="15"/>
  <c r="O1233" i="15"/>
  <c r="AH1234" i="15"/>
  <c r="S1234" i="15"/>
  <c r="O1234" i="15"/>
  <c r="AH1235" i="15"/>
  <c r="AG1235" i="15"/>
  <c r="U1235" i="15"/>
  <c r="K1235" i="15"/>
  <c r="J1235" i="15"/>
  <c r="W1235" i="15"/>
  <c r="AE1237" i="15"/>
  <c r="Q1237" i="15"/>
  <c r="K1237" i="15"/>
  <c r="X1237" i="15"/>
  <c r="K1246" i="15"/>
  <c r="AH1251" i="15"/>
  <c r="J1252" i="15"/>
  <c r="H1257" i="15"/>
  <c r="U1257" i="15"/>
  <c r="M1260" i="15"/>
  <c r="AC1268" i="15"/>
  <c r="Z1268" i="15"/>
  <c r="N1268" i="15"/>
  <c r="M1268" i="15"/>
  <c r="AD1268" i="15"/>
  <c r="J1271" i="15"/>
  <c r="AC1284" i="15"/>
  <c r="AH1284" i="15"/>
  <c r="V1284" i="15"/>
  <c r="M1284" i="15"/>
  <c r="Z1284" i="15"/>
  <c r="AA1287" i="15"/>
  <c r="W1287" i="15"/>
  <c r="H1287" i="15"/>
  <c r="L1287" i="15"/>
  <c r="AB1287" i="15"/>
  <c r="M1292" i="15"/>
  <c r="AC1300" i="15"/>
  <c r="Z1300" i="15"/>
  <c r="N1300" i="15"/>
  <c r="M1300" i="15"/>
  <c r="AD1300" i="15"/>
  <c r="J1303" i="15"/>
  <c r="AC1324" i="15"/>
  <c r="Z1324" i="15"/>
  <c r="N1324" i="15"/>
  <c r="M1324" i="15"/>
  <c r="AD1324" i="15"/>
  <c r="AC1332" i="15"/>
  <c r="AD1332" i="15"/>
  <c r="O1332" i="15"/>
  <c r="M1332" i="15"/>
  <c r="Z1332" i="15"/>
  <c r="T1347" i="15"/>
  <c r="R1347" i="15"/>
  <c r="P1347" i="15"/>
  <c r="AH1353" i="15"/>
  <c r="W1353" i="15"/>
  <c r="M1353" i="15"/>
  <c r="K1353" i="15"/>
  <c r="V1353" i="15"/>
  <c r="AH1361" i="15"/>
  <c r="AB1361" i="15"/>
  <c r="P1361" i="15"/>
  <c r="K1361" i="15"/>
  <c r="V1361" i="15"/>
  <c r="AG1362" i="15"/>
  <c r="AC1362" i="15"/>
  <c r="R1362" i="15"/>
  <c r="L1362" i="15"/>
  <c r="AA1362" i="15"/>
  <c r="X1368" i="15"/>
  <c r="J1375" i="15"/>
  <c r="AG1375" i="15"/>
  <c r="Z1375" i="15"/>
  <c r="AG1378" i="15"/>
  <c r="U1378" i="15"/>
  <c r="J1378" i="15"/>
  <c r="M1378" i="15"/>
  <c r="AB1378" i="15"/>
  <c r="AG1382" i="15"/>
  <c r="U1382" i="15"/>
  <c r="J1382" i="15"/>
  <c r="M1382" i="15"/>
  <c r="AB1382" i="15"/>
  <c r="L1386" i="15"/>
  <c r="AH1389" i="15"/>
  <c r="W1389" i="15"/>
  <c r="M1389" i="15"/>
  <c r="K1389" i="15"/>
  <c r="V1389" i="15"/>
  <c r="AD1392" i="15"/>
  <c r="H1393" i="15"/>
  <c r="U1393" i="15"/>
  <c r="K1394" i="15"/>
  <c r="K1410" i="15"/>
  <c r="H1417" i="15"/>
  <c r="I1419" i="15"/>
  <c r="N1420" i="15"/>
  <c r="H1421" i="15"/>
  <c r="Z1436" i="15"/>
  <c r="AG1438" i="15"/>
  <c r="V1438" i="15"/>
  <c r="K1438" i="15"/>
  <c r="AH1438" i="15"/>
  <c r="S1438" i="15"/>
  <c r="M1438" i="15"/>
  <c r="AC1438" i="15"/>
  <c r="K1457" i="15"/>
  <c r="J1459" i="15"/>
  <c r="I1459" i="15"/>
  <c r="Z1459" i="15"/>
  <c r="I1471" i="15"/>
  <c r="AG1478" i="15"/>
  <c r="V1478" i="15"/>
  <c r="K1478" i="15"/>
  <c r="T1478" i="15"/>
  <c r="M1478" i="15"/>
  <c r="AC1478" i="15"/>
  <c r="AH1485" i="15"/>
  <c r="X1485" i="15"/>
  <c r="N1485" i="15"/>
  <c r="AB1485" i="15"/>
  <c r="O1485" i="15"/>
  <c r="K1485" i="15"/>
  <c r="W1485" i="15"/>
  <c r="X1488" i="15"/>
  <c r="AF1488" i="15"/>
  <c r="I1488" i="15"/>
  <c r="AH1488" i="15"/>
  <c r="G1488" i="15"/>
  <c r="Y1488" i="15"/>
  <c r="P1488" i="15"/>
  <c r="Y1495" i="15"/>
  <c r="I1495" i="15"/>
  <c r="H1501" i="15"/>
  <c r="AH1505" i="15"/>
  <c r="W1505" i="15"/>
  <c r="M1505" i="15"/>
  <c r="AD1505" i="15"/>
  <c r="S1505" i="15"/>
  <c r="AB1505" i="15"/>
  <c r="O1505" i="15"/>
  <c r="K1505" i="15"/>
  <c r="AA1505" i="15"/>
  <c r="AG1507" i="15"/>
  <c r="Q1507" i="15"/>
  <c r="AH1507" i="15"/>
  <c r="P1507" i="15"/>
  <c r="AB1507" i="15"/>
  <c r="I1507" i="15"/>
  <c r="R1507" i="15"/>
  <c r="AG1514" i="15"/>
  <c r="AH1514" i="15"/>
  <c r="T1514" i="15"/>
  <c r="AB1514" i="15"/>
  <c r="M1514" i="15"/>
  <c r="Z1514" i="15"/>
  <c r="K1514" i="15"/>
  <c r="N1514" i="15"/>
  <c r="AG1515" i="15"/>
  <c r="AA1515" i="15"/>
  <c r="K1515" i="15"/>
  <c r="Z1515" i="15"/>
  <c r="T1515" i="15"/>
  <c r="P1515" i="15"/>
  <c r="V1524" i="15"/>
  <c r="Z1544" i="15"/>
  <c r="AH1544" i="15"/>
  <c r="AF1544" i="15"/>
  <c r="W1544" i="15"/>
  <c r="Q1544" i="15"/>
  <c r="AG1547" i="15"/>
  <c r="AA1547" i="15"/>
  <c r="K1547" i="15"/>
  <c r="Y1547" i="15"/>
  <c r="R1547" i="15"/>
  <c r="P1547" i="15"/>
  <c r="AB1553" i="15"/>
  <c r="W1553" i="15"/>
  <c r="H1553" i="15"/>
  <c r="X1553" i="15"/>
  <c r="G1553" i="15"/>
  <c r="U1553" i="15"/>
  <c r="N1553" i="15"/>
  <c r="AH1554" i="15"/>
  <c r="AB1554" i="15"/>
  <c r="N1554" i="15"/>
  <c r="AE1554" i="15"/>
  <c r="S1554" i="15"/>
  <c r="AC1554" i="15"/>
  <c r="M1554" i="15"/>
  <c r="L1554" i="15"/>
  <c r="AG1555" i="15"/>
  <c r="J1555" i="15"/>
  <c r="L1562" i="15"/>
  <c r="M1569" i="15"/>
  <c r="M1586" i="15"/>
  <c r="AH1606" i="15"/>
  <c r="AB1606" i="15"/>
  <c r="N1606" i="15"/>
  <c r="U1606" i="15"/>
  <c r="AE1606" i="15"/>
  <c r="S1606" i="15"/>
  <c r="L1606" i="15"/>
  <c r="AD1606" i="15"/>
  <c r="AH1610" i="15"/>
  <c r="AE1610" i="15"/>
  <c r="T1610" i="15"/>
  <c r="U1610" i="15"/>
  <c r="AD1610" i="15"/>
  <c r="O1610" i="15"/>
  <c r="L1610" i="15"/>
  <c r="AC1610" i="15"/>
  <c r="AB1615" i="15"/>
  <c r="AA1615" i="15"/>
  <c r="S1615" i="15"/>
  <c r="Q1615" i="15"/>
  <c r="Y1624" i="15"/>
  <c r="AG1624" i="15"/>
  <c r="W1624" i="15"/>
  <c r="AH1640" i="15"/>
  <c r="Y1640" i="15"/>
  <c r="R1640" i="15"/>
  <c r="X1640" i="15"/>
  <c r="M1641" i="15"/>
  <c r="K1642" i="15"/>
  <c r="AB1645" i="15"/>
  <c r="AF1645" i="15"/>
  <c r="P1645" i="15"/>
  <c r="X1645" i="15"/>
  <c r="G1645" i="15"/>
  <c r="V1645" i="15"/>
  <c r="N1645" i="15"/>
  <c r="K1670" i="15"/>
  <c r="AH1678" i="15"/>
  <c r="V1678" i="15"/>
  <c r="K1678" i="15"/>
  <c r="AA1678" i="15"/>
  <c r="L1678" i="15"/>
  <c r="U1678" i="15"/>
  <c r="N1678" i="15"/>
  <c r="AE1678" i="15"/>
  <c r="K1679" i="15"/>
  <c r="AB1689" i="15"/>
  <c r="X1689" i="15"/>
  <c r="H1689" i="15"/>
  <c r="AC1689" i="15"/>
  <c r="G1689" i="15"/>
  <c r="V1689" i="15"/>
  <c r="O1689" i="15"/>
  <c r="O1714" i="15"/>
  <c r="AH1730" i="15"/>
  <c r="AD1730" i="15"/>
  <c r="S1730" i="15"/>
  <c r="AB1730" i="15"/>
  <c r="M1730" i="15"/>
  <c r="W1730" i="15"/>
  <c r="K1730" i="15"/>
  <c r="N1730" i="15"/>
  <c r="I1731" i="15"/>
  <c r="Z1731" i="15"/>
  <c r="S1731" i="15"/>
  <c r="L1738" i="15"/>
  <c r="AH1762" i="15"/>
  <c r="U1762" i="15"/>
  <c r="G1762" i="15"/>
  <c r="W1762" i="15"/>
  <c r="K1762" i="15"/>
  <c r="T1762" i="15"/>
  <c r="N1762" i="15"/>
  <c r="AE1762" i="15"/>
  <c r="L1766" i="15"/>
  <c r="AB1769" i="15"/>
  <c r="AD1769" i="15"/>
  <c r="N1769" i="15"/>
  <c r="AF1769" i="15"/>
  <c r="O1769" i="15"/>
  <c r="AC1769" i="15"/>
  <c r="H1769" i="15"/>
  <c r="P1769" i="15"/>
  <c r="T1771" i="15"/>
  <c r="L1782" i="15"/>
  <c r="AH1786" i="15"/>
  <c r="AC1786" i="15"/>
  <c r="O1786" i="15"/>
  <c r="V1786" i="15"/>
  <c r="G1786" i="15"/>
  <c r="T1786" i="15"/>
  <c r="M1786" i="15"/>
  <c r="AE1786" i="15"/>
  <c r="AH1792" i="15"/>
  <c r="P1792" i="15"/>
  <c r="W1792" i="15"/>
  <c r="Q1792" i="15"/>
  <c r="J1792" i="15"/>
  <c r="AB1797" i="15"/>
  <c r="W1797" i="15"/>
  <c r="G1797" i="15"/>
  <c r="AD1797" i="15"/>
  <c r="M1797" i="15"/>
  <c r="X1797" i="15"/>
  <c r="O1797" i="15"/>
  <c r="L1798" i="15"/>
  <c r="AE1798" i="15"/>
  <c r="O1805" i="15"/>
  <c r="L1810" i="15"/>
  <c r="N1818" i="15"/>
  <c r="AE1818" i="15"/>
  <c r="W1820" i="15"/>
  <c r="AH1826" i="15"/>
  <c r="AF1826" i="15"/>
  <c r="V1826" i="15"/>
  <c r="L1826" i="15"/>
  <c r="AD1826" i="15"/>
  <c r="S1826" i="15"/>
  <c r="AB1826" i="15"/>
  <c r="O1826" i="15"/>
  <c r="K1826" i="15"/>
  <c r="AA1826" i="15"/>
  <c r="AH1850" i="15"/>
  <c r="AC1850" i="15"/>
  <c r="S1850" i="15"/>
  <c r="G1850" i="15"/>
  <c r="AD1850" i="15"/>
  <c r="P1850" i="15"/>
  <c r="AA1850" i="15"/>
  <c r="N1850" i="15"/>
  <c r="L1850" i="15"/>
  <c r="AB1850" i="15"/>
  <c r="AB1853" i="15"/>
  <c r="AF1853" i="15"/>
  <c r="P1853" i="15"/>
  <c r="W1853" i="15"/>
  <c r="U1853" i="15"/>
  <c r="M1853" i="15"/>
  <c r="AH1854" i="15"/>
  <c r="AD1854" i="15"/>
  <c r="T1854" i="15"/>
  <c r="H1854" i="15"/>
  <c r="AB1854" i="15"/>
  <c r="O1854" i="15"/>
  <c r="X1854" i="15"/>
  <c r="M1854" i="15"/>
  <c r="L1854" i="15"/>
  <c r="AC1854" i="15"/>
  <c r="K1870" i="15"/>
  <c r="P1873" i="15"/>
  <c r="AB1881" i="15"/>
  <c r="W1881" i="15"/>
  <c r="G1881" i="15"/>
  <c r="AC1881" i="15"/>
  <c r="H1881" i="15"/>
  <c r="V1881" i="15"/>
  <c r="O1881" i="15"/>
  <c r="L1882" i="15"/>
  <c r="AD1882" i="15"/>
  <c r="H1886" i="15"/>
  <c r="AH1900" i="15"/>
  <c r="P1900" i="15"/>
  <c r="X1900" i="15"/>
  <c r="R1900" i="15"/>
  <c r="O1900" i="15"/>
  <c r="Y1907" i="15"/>
  <c r="N1913" i="15"/>
  <c r="AA1915" i="15"/>
  <c r="AG1918" i="15"/>
  <c r="AH1918" i="15"/>
  <c r="X1918" i="15"/>
  <c r="O1918" i="15"/>
  <c r="AC1918" i="15"/>
  <c r="S1918" i="15"/>
  <c r="H1918" i="15"/>
  <c r="AA1918" i="15"/>
  <c r="P1918" i="15"/>
  <c r="K1918" i="15"/>
  <c r="W1918" i="15"/>
  <c r="AB1925" i="15"/>
  <c r="AF1925" i="15"/>
  <c r="P1925" i="15"/>
  <c r="AE1925" i="15"/>
  <c r="N1925" i="15"/>
  <c r="AC1925" i="15"/>
  <c r="H1925" i="15"/>
  <c r="O1925" i="15"/>
  <c r="R1935" i="15"/>
  <c r="U1937" i="15"/>
  <c r="Q1940" i="15"/>
  <c r="L1950" i="15"/>
  <c r="AB1950" i="15"/>
  <c r="P1953" i="15"/>
  <c r="N1954" i="15"/>
  <c r="AB1954" i="15"/>
  <c r="AH1958" i="15"/>
  <c r="AA1958" i="15"/>
  <c r="P1958" i="15"/>
  <c r="G1958" i="15"/>
  <c r="AC1958" i="15"/>
  <c r="R1958" i="15"/>
  <c r="X1958" i="15"/>
  <c r="N1958" i="15"/>
  <c r="K1958" i="15"/>
  <c r="W1958" i="15"/>
  <c r="AF1964" i="15"/>
  <c r="L1966" i="15"/>
  <c r="AB1969" i="15"/>
  <c r="V1969" i="15"/>
  <c r="U1969" i="15"/>
  <c r="AF1969" i="15"/>
  <c r="O1969" i="15"/>
  <c r="M1969" i="15"/>
  <c r="AH1970" i="15"/>
  <c r="AF1970" i="15"/>
  <c r="V1970" i="15"/>
  <c r="L1970" i="15"/>
  <c r="X1970" i="15"/>
  <c r="M1970" i="15"/>
  <c r="U1970" i="15"/>
  <c r="H1970" i="15"/>
  <c r="N1970" i="15"/>
  <c r="AC1970" i="15"/>
  <c r="AB1973" i="15"/>
  <c r="AD1973" i="15"/>
  <c r="N1973" i="15"/>
  <c r="W1973" i="15"/>
  <c r="U1973" i="15"/>
  <c r="M1973" i="15"/>
  <c r="AH1974" i="15"/>
  <c r="AB1974" i="15"/>
  <c r="P1974" i="15"/>
  <c r="AA1974" i="15"/>
  <c r="N1974" i="15"/>
  <c r="W1974" i="15"/>
  <c r="L1974" i="15"/>
  <c r="K1974" i="15"/>
  <c r="AC1974" i="15"/>
  <c r="AB1981" i="15"/>
  <c r="AE1981" i="15"/>
  <c r="O1981" i="15"/>
  <c r="AF1981" i="15"/>
  <c r="N1981" i="15"/>
  <c r="AC1981" i="15"/>
  <c r="H1981" i="15"/>
  <c r="P1981" i="15"/>
  <c r="O1982" i="15"/>
  <c r="AF1982" i="15"/>
  <c r="AE1996" i="15"/>
  <c r="AH1998" i="15"/>
  <c r="AD1998" i="15"/>
  <c r="T1998" i="15"/>
  <c r="H1998" i="15"/>
  <c r="AF1998" i="15"/>
  <c r="U1998" i="15"/>
  <c r="G1998" i="15"/>
  <c r="AC1998" i="15"/>
  <c r="P1998" i="15"/>
  <c r="M1998" i="15"/>
  <c r="AB1998" i="15"/>
  <c r="L6" i="16"/>
  <c r="E6" i="16"/>
  <c r="P6" i="16" s="1"/>
  <c r="H6" i="9" s="1"/>
  <c r="G6" i="16"/>
  <c r="H130" i="16"/>
  <c r="G130" i="16"/>
  <c r="E130" i="16"/>
  <c r="J135" i="16"/>
  <c r="G135" i="16"/>
  <c r="G196" i="16"/>
  <c r="H196" i="16"/>
  <c r="I196" i="16"/>
  <c r="K376" i="16"/>
  <c r="M376" i="16"/>
  <c r="J376" i="16"/>
  <c r="K416" i="16"/>
  <c r="M416" i="16"/>
  <c r="E430" i="16"/>
  <c r="F430" i="16" s="1"/>
  <c r="M461" i="16"/>
  <c r="H461" i="16"/>
  <c r="H468" i="16"/>
  <c r="E468" i="16"/>
  <c r="F468" i="16" s="1"/>
  <c r="K469" i="16"/>
  <c r="H556" i="16"/>
  <c r="P556" i="16"/>
  <c r="H587" i="16"/>
  <c r="I587" i="16"/>
  <c r="I640" i="16"/>
  <c r="L640" i="16"/>
  <c r="J640" i="16"/>
  <c r="J671" i="16"/>
  <c r="E671" i="16"/>
  <c r="F693" i="16"/>
  <c r="E693" i="16"/>
  <c r="I738" i="16"/>
  <c r="G738" i="16"/>
  <c r="L919" i="16"/>
  <c r="J919" i="16"/>
  <c r="G922" i="16"/>
  <c r="I922" i="16"/>
  <c r="L960" i="16"/>
  <c r="K960" i="16"/>
  <c r="I960" i="16"/>
  <c r="M1039" i="16"/>
  <c r="L1039" i="16"/>
  <c r="I1075" i="16"/>
  <c r="G1075" i="16"/>
  <c r="M1103" i="16"/>
  <c r="K1103" i="16"/>
  <c r="M1134" i="16"/>
  <c r="G1134" i="16"/>
  <c r="L1134" i="16"/>
  <c r="J1167" i="16"/>
  <c r="M1167" i="16"/>
  <c r="K1167" i="16"/>
  <c r="J1168" i="16"/>
  <c r="E1174" i="16"/>
  <c r="F1174" i="16" s="1"/>
  <c r="E1255" i="16"/>
  <c r="F1255" i="16"/>
  <c r="K1257" i="16"/>
  <c r="H1257" i="16"/>
  <c r="E1271" i="16"/>
  <c r="T1351" i="16"/>
  <c r="L1351" i="16"/>
  <c r="G1351" i="16"/>
  <c r="H1351" i="16"/>
  <c r="P1351" i="16"/>
  <c r="E1351" i="16"/>
  <c r="N1351" i="16"/>
  <c r="O1367" i="16"/>
  <c r="T1375" i="16"/>
  <c r="N1375" i="16"/>
  <c r="E1375" i="16"/>
  <c r="P1375" i="16"/>
  <c r="F1375" i="16"/>
  <c r="H1375" i="16"/>
  <c r="M1375" i="16"/>
  <c r="L1377" i="16"/>
  <c r="J1377" i="16"/>
  <c r="K1397" i="16"/>
  <c r="N1397" i="16"/>
  <c r="G1397" i="16"/>
  <c r="E1397" i="16"/>
  <c r="P1397" i="16"/>
  <c r="O1397" i="16"/>
  <c r="J1400" i="16"/>
  <c r="I1400" i="16"/>
  <c r="M1400" i="16"/>
  <c r="E1400" i="16"/>
  <c r="P1405" i="16"/>
  <c r="P1487" i="16"/>
  <c r="P1520" i="16"/>
  <c r="T1536" i="16"/>
  <c r="K1536" i="16"/>
  <c r="P1536" i="16"/>
  <c r="F1536" i="16"/>
  <c r="M1536" i="16"/>
  <c r="J1536" i="16"/>
  <c r="N1536" i="16"/>
  <c r="I1557" i="16"/>
  <c r="E1557" i="16"/>
  <c r="O1577" i="16"/>
  <c r="G1577" i="16"/>
  <c r="F1577" i="16"/>
  <c r="T1577" i="16"/>
  <c r="I1582" i="16"/>
  <c r="H1582" i="16"/>
  <c r="J1582" i="16"/>
  <c r="G1587" i="16"/>
  <c r="L1587" i="16"/>
  <c r="P1587" i="16"/>
  <c r="M1587" i="16"/>
  <c r="T1587" i="16"/>
  <c r="T1608" i="16"/>
  <c r="N1608" i="16"/>
  <c r="E1608" i="16"/>
  <c r="J1608" i="16"/>
  <c r="F1608" i="16"/>
  <c r="O1608" i="16"/>
  <c r="M1608" i="16"/>
  <c r="K1614" i="16"/>
  <c r="N1614" i="16"/>
  <c r="P1614" i="16"/>
  <c r="O1614" i="16"/>
  <c r="M1614" i="16"/>
  <c r="T1627" i="16"/>
  <c r="L1636" i="16"/>
  <c r="P1636" i="16"/>
  <c r="G1636" i="16"/>
  <c r="T1636" i="16"/>
  <c r="N1636" i="16"/>
  <c r="O1664" i="16"/>
  <c r="M1674" i="16"/>
  <c r="L1674" i="16"/>
  <c r="T1680" i="16"/>
  <c r="N1680" i="16"/>
  <c r="E1680" i="16"/>
  <c r="L1680" i="16"/>
  <c r="F1680" i="16"/>
  <c r="O1680" i="16"/>
  <c r="M1680" i="16"/>
  <c r="T1682" i="16"/>
  <c r="J1682" i="16"/>
  <c r="K1685" i="16"/>
  <c r="N1685" i="16"/>
  <c r="I1685" i="16"/>
  <c r="P1688" i="16"/>
  <c r="L1701" i="16"/>
  <c r="N1701" i="16"/>
  <c r="M1701" i="16"/>
  <c r="E1701" i="16"/>
  <c r="P1701" i="16"/>
  <c r="O1701" i="16"/>
  <c r="O1725" i="16"/>
  <c r="T1776" i="16"/>
  <c r="N1776" i="16"/>
  <c r="E1776" i="16"/>
  <c r="M1776" i="16"/>
  <c r="F1776" i="16"/>
  <c r="P1776" i="16"/>
  <c r="J1776" i="16"/>
  <c r="G1776" i="16"/>
  <c r="T1840" i="16"/>
  <c r="H1840" i="16"/>
  <c r="P1840" i="16"/>
  <c r="G1840" i="16"/>
  <c r="J1840" i="16"/>
  <c r="F1840" i="16"/>
  <c r="K1840" i="16"/>
  <c r="M1840" i="16"/>
  <c r="E1840" i="16"/>
  <c r="T1848" i="16"/>
  <c r="M1848" i="16"/>
  <c r="L1848" i="16"/>
  <c r="N1848" i="16"/>
  <c r="K1848" i="16"/>
  <c r="H1848" i="16"/>
  <c r="E1848" i="16"/>
  <c r="P1848" i="16"/>
  <c r="I1874" i="16"/>
  <c r="H1874" i="16"/>
  <c r="F1874" i="16"/>
  <c r="P1874" i="16"/>
  <c r="T1968" i="16"/>
  <c r="L1968" i="16"/>
  <c r="K1968" i="16"/>
  <c r="F1968" i="16"/>
  <c r="P1968" i="16"/>
  <c r="E1968" i="16"/>
  <c r="M1968" i="16"/>
  <c r="J1968" i="16"/>
  <c r="H1968" i="16"/>
  <c r="H1975" i="16"/>
  <c r="G1975" i="16"/>
  <c r="I1975" i="16"/>
  <c r="I1985" i="16"/>
  <c r="O1985" i="16"/>
  <c r="N1985" i="16"/>
  <c r="T1985" i="16"/>
  <c r="L1985" i="16"/>
  <c r="G1985" i="16"/>
  <c r="F1985" i="16"/>
  <c r="E1985" i="16"/>
  <c r="E2006" i="16"/>
  <c r="L2006" i="16"/>
  <c r="I2054" i="16"/>
  <c r="H2054" i="16"/>
  <c r="J2054" i="16"/>
  <c r="G2054" i="16"/>
  <c r="T2056" i="16"/>
  <c r="L2056" i="16"/>
  <c r="K2056" i="16"/>
  <c r="O2056" i="16"/>
  <c r="N2056" i="16"/>
  <c r="E2056" i="16"/>
  <c r="P2056" i="16"/>
  <c r="H2056" i="16"/>
  <c r="G2056" i="16"/>
  <c r="F2056" i="16"/>
  <c r="H2059" i="16"/>
  <c r="T2059" i="16"/>
  <c r="G2059" i="16"/>
  <c r="P2059" i="16"/>
  <c r="L2059" i="16"/>
  <c r="K2059" i="16"/>
  <c r="I2059" i="16"/>
  <c r="L2082" i="16"/>
  <c r="K2082" i="16"/>
  <c r="I2082" i="16"/>
  <c r="J2111" i="16"/>
  <c r="M2111" i="16"/>
  <c r="L2111" i="16"/>
  <c r="P2111" i="16"/>
  <c r="O2111" i="16"/>
  <c r="G2111" i="16"/>
  <c r="F2111" i="16"/>
  <c r="E2111" i="16"/>
  <c r="T2111" i="16"/>
  <c r="N2111" i="16"/>
  <c r="K2111" i="16"/>
  <c r="L2135" i="16"/>
  <c r="K2135" i="16"/>
  <c r="I2135" i="16"/>
  <c r="E2135" i="16"/>
  <c r="T2144" i="16"/>
  <c r="N2144" i="16"/>
  <c r="E2144" i="16"/>
  <c r="M2144" i="16"/>
  <c r="G2144" i="16"/>
  <c r="F2144" i="16"/>
  <c r="J2144" i="16"/>
  <c r="H2144" i="16"/>
  <c r="T2168" i="16"/>
  <c r="N2168" i="16"/>
  <c r="E2168" i="16"/>
  <c r="M2168" i="16"/>
  <c r="F2168" i="16"/>
  <c r="P2168" i="16"/>
  <c r="J2168" i="16"/>
  <c r="H2168" i="16"/>
  <c r="G2168" i="16"/>
  <c r="O2168" i="16"/>
  <c r="L2168" i="16"/>
  <c r="T2208" i="16"/>
  <c r="O2208" i="16"/>
  <c r="F2208" i="16"/>
  <c r="N2208" i="16"/>
  <c r="E2208" i="16"/>
  <c r="H2208" i="16"/>
  <c r="G2208" i="16"/>
  <c r="K2208" i="16"/>
  <c r="J2208" i="16"/>
  <c r="T2224" i="16"/>
  <c r="N2224" i="16"/>
  <c r="E2224" i="16"/>
  <c r="M2224" i="16"/>
  <c r="P2224" i="16"/>
  <c r="O2224" i="16"/>
  <c r="L2224" i="16"/>
  <c r="K2224" i="16"/>
  <c r="G2228" i="16"/>
  <c r="F2228" i="16"/>
  <c r="O2228" i="16"/>
  <c r="N2228" i="16"/>
  <c r="I2228" i="16"/>
  <c r="J2255" i="16"/>
  <c r="G2255" i="16"/>
  <c r="F2255" i="16"/>
  <c r="T2255" i="16"/>
  <c r="N2255" i="16"/>
  <c r="M2255" i="16"/>
  <c r="H2255" i="16"/>
  <c r="O2255" i="16"/>
  <c r="E2255" i="16"/>
  <c r="T2264" i="16"/>
  <c r="L2264" i="16"/>
  <c r="K2264" i="16"/>
  <c r="P2264" i="16"/>
  <c r="E2264" i="16"/>
  <c r="O2264" i="16"/>
  <c r="G2264" i="16"/>
  <c r="F2264" i="16"/>
  <c r="N2265" i="16"/>
  <c r="M2265" i="16"/>
  <c r="I2265" i="16"/>
  <c r="G2265" i="16"/>
  <c r="T2265" i="16"/>
  <c r="O2265" i="16"/>
  <c r="I2290" i="16"/>
  <c r="H2290" i="16"/>
  <c r="P2290" i="16"/>
  <c r="N2290" i="16"/>
  <c r="L2290" i="16"/>
  <c r="K2290" i="16"/>
  <c r="F2290" i="16"/>
  <c r="T2290" i="16"/>
  <c r="M2290" i="16"/>
  <c r="T2464" i="16"/>
  <c r="M2464" i="16"/>
  <c r="L2464" i="16"/>
  <c r="F2464" i="16"/>
  <c r="P2464" i="16"/>
  <c r="E2464" i="16"/>
  <c r="J2464" i="16"/>
  <c r="H2464" i="16"/>
  <c r="G2464" i="16"/>
  <c r="O2464" i="16"/>
  <c r="N2464" i="16"/>
  <c r="K2464" i="16"/>
  <c r="O2493" i="16"/>
  <c r="N2493" i="16"/>
  <c r="G2493" i="16"/>
  <c r="F2493" i="16"/>
  <c r="I2493" i="16"/>
  <c r="H2493" i="16"/>
  <c r="E2623" i="16"/>
  <c r="G2623" i="16"/>
  <c r="F2623" i="16"/>
  <c r="H2623" i="16"/>
  <c r="T2680" i="16"/>
  <c r="H2680" i="16"/>
  <c r="P2680" i="16"/>
  <c r="G2680" i="16"/>
  <c r="O2680" i="16"/>
  <c r="N2680" i="16"/>
  <c r="M2680" i="16"/>
  <c r="F2680" i="16"/>
  <c r="E2680" i="16"/>
  <c r="J2680" i="16"/>
  <c r="T2768" i="16"/>
  <c r="N2768" i="16"/>
  <c r="E2768" i="16"/>
  <c r="M2768" i="16"/>
  <c r="G2768" i="16"/>
  <c r="F2768" i="16"/>
  <c r="J2768" i="16"/>
  <c r="H2768" i="16"/>
  <c r="P2768" i="16"/>
  <c r="O2768" i="16"/>
  <c r="L2768" i="16"/>
  <c r="K2768" i="16"/>
  <c r="N2981" i="16"/>
  <c r="K2981" i="16"/>
  <c r="J2981" i="16"/>
  <c r="T2985" i="16"/>
  <c r="M2985" i="16"/>
  <c r="L2985" i="16"/>
  <c r="J2985" i="16"/>
  <c r="G2985" i="16"/>
  <c r="K2985" i="16"/>
  <c r="F2985" i="16"/>
  <c r="E2985" i="16"/>
  <c r="O2985" i="16"/>
  <c r="N2985" i="16"/>
  <c r="K3004" i="16"/>
  <c r="J3004" i="16"/>
  <c r="O3004" i="16"/>
  <c r="I3004" i="16"/>
  <c r="P3020" i="16"/>
  <c r="K3020" i="16"/>
  <c r="T3020" i="16"/>
  <c r="T3160" i="16"/>
  <c r="L3160" i="16"/>
  <c r="K3160" i="16"/>
  <c r="O3160" i="16"/>
  <c r="N3160" i="16"/>
  <c r="G3160" i="16"/>
  <c r="F3160" i="16"/>
  <c r="H3160" i="16"/>
  <c r="E3160" i="16"/>
  <c r="J3160" i="16"/>
  <c r="J3346" i="16"/>
  <c r="I3346" i="16"/>
  <c r="T3346" i="16"/>
  <c r="N3346" i="16"/>
  <c r="F3346" i="16"/>
  <c r="E3346" i="16"/>
  <c r="J3613" i="16"/>
  <c r="H3613" i="16"/>
  <c r="G3613" i="16"/>
  <c r="I3613" i="16"/>
  <c r="T3613" i="16"/>
  <c r="T3713" i="16"/>
  <c r="N3713" i="16"/>
  <c r="M3713" i="16"/>
  <c r="E3713" i="16"/>
  <c r="F3713" i="16"/>
  <c r="O3713" i="16"/>
  <c r="K3713" i="16"/>
  <c r="J3713" i="16"/>
  <c r="G3713" i="16"/>
  <c r="L3713" i="16"/>
  <c r="AC13" i="15"/>
  <c r="O50" i="15"/>
  <c r="U67" i="15"/>
  <c r="V72" i="15"/>
  <c r="W78" i="15"/>
  <c r="W100" i="15"/>
  <c r="AC103" i="15"/>
  <c r="Y105" i="15"/>
  <c r="Q109" i="15"/>
  <c r="X111" i="15"/>
  <c r="S130" i="15"/>
  <c r="AA150" i="15"/>
  <c r="Q155" i="15"/>
  <c r="I157" i="15"/>
  <c r="S176" i="15"/>
  <c r="K178" i="15"/>
  <c r="X178" i="15"/>
  <c r="S183" i="15"/>
  <c r="L200" i="15"/>
  <c r="W200" i="15"/>
  <c r="M201" i="15"/>
  <c r="L205" i="15"/>
  <c r="Y205" i="15"/>
  <c r="L210" i="15"/>
  <c r="AB210" i="15"/>
  <c r="M216" i="15"/>
  <c r="AC216" i="15"/>
  <c r="M222" i="15"/>
  <c r="Q224" i="15"/>
  <c r="M228" i="15"/>
  <c r="M243" i="15"/>
  <c r="Y243" i="15"/>
  <c r="Z250" i="15"/>
  <c r="M253" i="15"/>
  <c r="Y253" i="15"/>
  <c r="M254" i="15"/>
  <c r="X256" i="15"/>
  <c r="R262" i="15"/>
  <c r="Y272" i="15"/>
  <c r="M275" i="15"/>
  <c r="Y275" i="15"/>
  <c r="M286" i="15"/>
  <c r="Q288" i="15"/>
  <c r="N296" i="15"/>
  <c r="AD296" i="15"/>
  <c r="L306" i="15"/>
  <c r="AB306" i="15"/>
  <c r="R309" i="15"/>
  <c r="M312" i="15"/>
  <c r="AC312" i="15"/>
  <c r="L318" i="15"/>
  <c r="M324" i="15"/>
  <c r="N329" i="15"/>
  <c r="Q331" i="15"/>
  <c r="M338" i="15"/>
  <c r="AC338" i="15"/>
  <c r="N351" i="15"/>
  <c r="N356" i="15"/>
  <c r="V359" i="15"/>
  <c r="K361" i="15"/>
  <c r="Q364" i="15"/>
  <c r="N383" i="15"/>
  <c r="N388" i="15"/>
  <c r="Q390" i="15"/>
  <c r="L398" i="15"/>
  <c r="M402" i="15"/>
  <c r="AC402" i="15"/>
  <c r="R405" i="15"/>
  <c r="P410" i="15"/>
  <c r="U412" i="15"/>
  <c r="N415" i="15"/>
  <c r="L418" i="15"/>
  <c r="AB418" i="15"/>
  <c r="Z421" i="15"/>
  <c r="R426" i="15"/>
  <c r="L430" i="15"/>
  <c r="M434" i="15"/>
  <c r="AC434" i="15"/>
  <c r="R437" i="15"/>
  <c r="N440" i="15"/>
  <c r="AD440" i="15"/>
  <c r="T444" i="15"/>
  <c r="N447" i="15"/>
  <c r="M452" i="15"/>
  <c r="S459" i="15"/>
  <c r="N461" i="15"/>
  <c r="AD461" i="15"/>
  <c r="K472" i="15"/>
  <c r="U472" i="15"/>
  <c r="Y474" i="15"/>
  <c r="O479" i="15"/>
  <c r="Y485" i="15"/>
  <c r="L494" i="15"/>
  <c r="K499" i="15"/>
  <c r="W499" i="15"/>
  <c r="M500" i="15"/>
  <c r="O511" i="15"/>
  <c r="L514" i="15"/>
  <c r="AB514" i="15"/>
  <c r="N520" i="15"/>
  <c r="AD520" i="15"/>
  <c r="S523" i="15"/>
  <c r="N525" i="15"/>
  <c r="AD525" i="15"/>
  <c r="M530" i="15"/>
  <c r="AC530" i="15"/>
  <c r="O543" i="15"/>
  <c r="M553" i="15"/>
  <c r="N557" i="15"/>
  <c r="AD557" i="15"/>
  <c r="M563" i="15"/>
  <c r="Y563" i="15"/>
  <c r="N568" i="15"/>
  <c r="AD568" i="15"/>
  <c r="K579" i="15"/>
  <c r="X579" i="15"/>
  <c r="N580" i="15"/>
  <c r="V583" i="15"/>
  <c r="L585" i="15"/>
  <c r="O591" i="15"/>
  <c r="J595" i="15"/>
  <c r="U595" i="15"/>
  <c r="M601" i="15"/>
  <c r="Y602" i="15"/>
  <c r="O607" i="15"/>
  <c r="X624" i="15"/>
  <c r="M628" i="15"/>
  <c r="T636" i="15"/>
  <c r="L638" i="15"/>
  <c r="Y651" i="15"/>
  <c r="L653" i="15"/>
  <c r="Y653" i="15"/>
  <c r="S656" i="15"/>
  <c r="M659" i="15"/>
  <c r="Y659" i="15"/>
  <c r="S662" i="15"/>
  <c r="M665" i="15"/>
  <c r="L670" i="15"/>
  <c r="M674" i="15"/>
  <c r="AC674" i="15"/>
  <c r="Q677" i="15"/>
  <c r="N687" i="15"/>
  <c r="X698" i="15"/>
  <c r="K701" i="15"/>
  <c r="U701" i="15"/>
  <c r="AH701" i="15"/>
  <c r="O703" i="15"/>
  <c r="T705" i="15"/>
  <c r="J707" i="15"/>
  <c r="V707" i="15"/>
  <c r="AH707" i="15"/>
  <c r="N719" i="15"/>
  <c r="T721" i="15"/>
  <c r="M723" i="15"/>
  <c r="Y723" i="15"/>
  <c r="M734" i="15"/>
  <c r="Q736" i="15"/>
  <c r="M750" i="15"/>
  <c r="AE759" i="15"/>
  <c r="M782" i="15"/>
  <c r="O785" i="15"/>
  <c r="O790" i="15"/>
  <c r="O793" i="15"/>
  <c r="AC794" i="15"/>
  <c r="O809" i="15"/>
  <c r="O814" i="15"/>
  <c r="AE823" i="15"/>
  <c r="O846" i="15"/>
  <c r="W852" i="15"/>
  <c r="AE855" i="15"/>
  <c r="V860" i="15"/>
  <c r="N865" i="15"/>
  <c r="AG865" i="15"/>
  <c r="N881" i="15"/>
  <c r="AG881" i="15"/>
  <c r="U887" i="15"/>
  <c r="X919" i="15"/>
  <c r="U927" i="15"/>
  <c r="M934" i="15"/>
  <c r="M942" i="15"/>
  <c r="W948" i="15"/>
  <c r="U954" i="15"/>
  <c r="O961" i="15"/>
  <c r="T962" i="15"/>
  <c r="K973" i="15"/>
  <c r="O990" i="15"/>
  <c r="O998" i="15"/>
  <c r="X1015" i="15"/>
  <c r="AC1018" i="15"/>
  <c r="M1054" i="15"/>
  <c r="U1095" i="15"/>
  <c r="U1101" i="15"/>
  <c r="L1113" i="15"/>
  <c r="AA1113" i="15"/>
  <c r="V1116" i="15"/>
  <c r="N1121" i="15"/>
  <c r="AG1121" i="15"/>
  <c r="AD1133" i="15"/>
  <c r="O1137" i="15"/>
  <c r="Q1143" i="15"/>
  <c r="N1144" i="15"/>
  <c r="AE1144" i="15"/>
  <c r="V1149" i="15"/>
  <c r="O1165" i="15"/>
  <c r="AD1165" i="15"/>
  <c r="U1175" i="15"/>
  <c r="AA1192" i="15"/>
  <c r="P1200" i="15"/>
  <c r="Z1207" i="15"/>
  <c r="R1218" i="15"/>
  <c r="AH1219" i="15"/>
  <c r="AF1219" i="15"/>
  <c r="T1219" i="15"/>
  <c r="J1219" i="15"/>
  <c r="K1219" i="15"/>
  <c r="W1219" i="15"/>
  <c r="AA1220" i="15"/>
  <c r="T1222" i="15"/>
  <c r="AH1222" i="15"/>
  <c r="Y1222" i="15"/>
  <c r="AF1231" i="15"/>
  <c r="S1231" i="15"/>
  <c r="G1231" i="15"/>
  <c r="L1231" i="15"/>
  <c r="Y1231" i="15"/>
  <c r="P1233" i="15"/>
  <c r="R1234" i="15"/>
  <c r="L1235" i="15"/>
  <c r="X1235" i="15"/>
  <c r="M1237" i="15"/>
  <c r="Y1237" i="15"/>
  <c r="Z1246" i="15"/>
  <c r="AE1246" i="15"/>
  <c r="T1246" i="15"/>
  <c r="L1246" i="15"/>
  <c r="Y1246" i="15"/>
  <c r="AC1252" i="15"/>
  <c r="AG1252" i="15"/>
  <c r="R1252" i="15"/>
  <c r="M1252" i="15"/>
  <c r="Z1252" i="15"/>
  <c r="AH1257" i="15"/>
  <c r="W1257" i="15"/>
  <c r="M1257" i="15"/>
  <c r="K1257" i="15"/>
  <c r="V1257" i="15"/>
  <c r="AC1260" i="15"/>
  <c r="W1260" i="15"/>
  <c r="H1260" i="15"/>
  <c r="N1260" i="15"/>
  <c r="AD1260" i="15"/>
  <c r="O1268" i="15"/>
  <c r="AF1268" i="15"/>
  <c r="AA1271" i="15"/>
  <c r="AB1271" i="15"/>
  <c r="O1271" i="15"/>
  <c r="K1271" i="15"/>
  <c r="Z1271" i="15"/>
  <c r="T1283" i="15"/>
  <c r="AB1283" i="15"/>
  <c r="P1283" i="15"/>
  <c r="N1284" i="15"/>
  <c r="AD1284" i="15"/>
  <c r="O1287" i="15"/>
  <c r="AF1287" i="15"/>
  <c r="AC1292" i="15"/>
  <c r="X1292" i="15"/>
  <c r="J1292" i="15"/>
  <c r="N1292" i="15"/>
  <c r="AD1292" i="15"/>
  <c r="O1300" i="15"/>
  <c r="AF1300" i="15"/>
  <c r="AA1303" i="15"/>
  <c r="AB1303" i="15"/>
  <c r="O1303" i="15"/>
  <c r="K1303" i="15"/>
  <c r="Z1303" i="15"/>
  <c r="O1324" i="15"/>
  <c r="AF1324" i="15"/>
  <c r="AA1327" i="15"/>
  <c r="AB1327" i="15"/>
  <c r="O1327" i="15"/>
  <c r="K1327" i="15"/>
  <c r="Z1327" i="15"/>
  <c r="N1332" i="15"/>
  <c r="AF1332" i="15"/>
  <c r="AA1335" i="15"/>
  <c r="AF1335" i="15"/>
  <c r="P1335" i="15"/>
  <c r="K1335" i="15"/>
  <c r="Z1335" i="15"/>
  <c r="V1342" i="15"/>
  <c r="J1342" i="15"/>
  <c r="M1342" i="15"/>
  <c r="AA1342" i="15"/>
  <c r="AH1345" i="15"/>
  <c r="X1345" i="15"/>
  <c r="N1345" i="15"/>
  <c r="K1345" i="15"/>
  <c r="V1345" i="15"/>
  <c r="Q1347" i="15"/>
  <c r="L1353" i="15"/>
  <c r="X1353" i="15"/>
  <c r="L1361" i="15"/>
  <c r="W1361" i="15"/>
  <c r="M1362" i="15"/>
  <c r="AB1362" i="15"/>
  <c r="Y1368" i="15"/>
  <c r="AB1375" i="15"/>
  <c r="N1378" i="15"/>
  <c r="AC1378" i="15"/>
  <c r="N1382" i="15"/>
  <c r="AC1382" i="15"/>
  <c r="AG1386" i="15"/>
  <c r="U1386" i="15"/>
  <c r="J1386" i="15"/>
  <c r="M1386" i="15"/>
  <c r="AB1386" i="15"/>
  <c r="L1389" i="15"/>
  <c r="X1389" i="15"/>
  <c r="AH1393" i="15"/>
  <c r="AA1393" i="15"/>
  <c r="O1393" i="15"/>
  <c r="K1393" i="15"/>
  <c r="V1393" i="15"/>
  <c r="AG1394" i="15"/>
  <c r="AB1394" i="15"/>
  <c r="N1394" i="15"/>
  <c r="L1394" i="15"/>
  <c r="AA1394" i="15"/>
  <c r="J1396" i="15"/>
  <c r="Y1396" i="15"/>
  <c r="AE1396" i="15"/>
  <c r="AG1410" i="15"/>
  <c r="AB1410" i="15"/>
  <c r="N1410" i="15"/>
  <c r="T1410" i="15"/>
  <c r="L1410" i="15"/>
  <c r="AC1410" i="15"/>
  <c r="AH1417" i="15"/>
  <c r="AF1417" i="15"/>
  <c r="V1417" i="15"/>
  <c r="L1417" i="15"/>
  <c r="AC1417" i="15"/>
  <c r="P1417" i="15"/>
  <c r="K1417" i="15"/>
  <c r="X1417" i="15"/>
  <c r="AG1419" i="15"/>
  <c r="AB1419" i="15"/>
  <c r="L1419" i="15"/>
  <c r="AH1419" i="15"/>
  <c r="P1419" i="15"/>
  <c r="K1419" i="15"/>
  <c r="AF1420" i="15"/>
  <c r="X1420" i="15"/>
  <c r="AD1420" i="15"/>
  <c r="J1420" i="15"/>
  <c r="O1420" i="15"/>
  <c r="AH1421" i="15"/>
  <c r="W1421" i="15"/>
  <c r="M1421" i="15"/>
  <c r="AD1421" i="15"/>
  <c r="S1421" i="15"/>
  <c r="K1421" i="15"/>
  <c r="X1421" i="15"/>
  <c r="T1427" i="15"/>
  <c r="I1427" i="15"/>
  <c r="X1427" i="15"/>
  <c r="AE1436" i="15"/>
  <c r="N1438" i="15"/>
  <c r="AD1438" i="15"/>
  <c r="AH1457" i="15"/>
  <c r="AD1457" i="15"/>
  <c r="T1457" i="15"/>
  <c r="H1457" i="15"/>
  <c r="X1457" i="15"/>
  <c r="M1457" i="15"/>
  <c r="L1457" i="15"/>
  <c r="AA1457" i="15"/>
  <c r="AA1459" i="15"/>
  <c r="S1471" i="15"/>
  <c r="N1478" i="15"/>
  <c r="AD1478" i="15"/>
  <c r="L1485" i="15"/>
  <c r="AA1485" i="15"/>
  <c r="R1488" i="15"/>
  <c r="J1491" i="15"/>
  <c r="I1491" i="15"/>
  <c r="AA1491" i="15"/>
  <c r="AH1501" i="15"/>
  <c r="AB1501" i="15"/>
  <c r="P1501" i="15"/>
  <c r="AC1501" i="15"/>
  <c r="O1501" i="15"/>
  <c r="X1501" i="15"/>
  <c r="M1501" i="15"/>
  <c r="K1501" i="15"/>
  <c r="AA1501" i="15"/>
  <c r="L1505" i="15"/>
  <c r="AC1505" i="15"/>
  <c r="S1507" i="15"/>
  <c r="AH1512" i="15"/>
  <c r="AE1512" i="15"/>
  <c r="AD1512" i="15"/>
  <c r="R1514" i="15"/>
  <c r="Q1515" i="15"/>
  <c r="X1524" i="15"/>
  <c r="R1544" i="15"/>
  <c r="Q1547" i="15"/>
  <c r="AG1551" i="15"/>
  <c r="K1551" i="15"/>
  <c r="Z1552" i="15"/>
  <c r="I1552" i="15"/>
  <c r="O1553" i="15"/>
  <c r="O1554" i="15"/>
  <c r="AH1562" i="15"/>
  <c r="AD1562" i="15"/>
  <c r="S1562" i="15"/>
  <c r="W1562" i="15"/>
  <c r="K1562" i="15"/>
  <c r="U1562" i="15"/>
  <c r="M1562" i="15"/>
  <c r="AE1562" i="15"/>
  <c r="AB1569" i="15"/>
  <c r="U1569" i="15"/>
  <c r="X1569" i="15"/>
  <c r="G1569" i="15"/>
  <c r="V1569" i="15"/>
  <c r="N1569" i="15"/>
  <c r="AB1573" i="15"/>
  <c r="AE1573" i="15"/>
  <c r="O1573" i="15"/>
  <c r="AF1573" i="15"/>
  <c r="N1573" i="15"/>
  <c r="AC1573" i="15"/>
  <c r="H1573" i="15"/>
  <c r="P1573" i="15"/>
  <c r="AH1586" i="15"/>
  <c r="V1586" i="15"/>
  <c r="K1586" i="15"/>
  <c r="W1586" i="15"/>
  <c r="G1586" i="15"/>
  <c r="T1586" i="15"/>
  <c r="N1586" i="15"/>
  <c r="AE1586" i="15"/>
  <c r="AB1605" i="15"/>
  <c r="W1605" i="15"/>
  <c r="G1605" i="15"/>
  <c r="AD1605" i="15"/>
  <c r="M1605" i="15"/>
  <c r="X1605" i="15"/>
  <c r="O1605" i="15"/>
  <c r="M1606" i="15"/>
  <c r="AA1607" i="15"/>
  <c r="K1607" i="15"/>
  <c r="AB1607" i="15"/>
  <c r="AB1609" i="15"/>
  <c r="AD1609" i="15"/>
  <c r="N1609" i="15"/>
  <c r="AC1609" i="15"/>
  <c r="H1609" i="15"/>
  <c r="W1609" i="15"/>
  <c r="O1609" i="15"/>
  <c r="M1610" i="15"/>
  <c r="R1615" i="15"/>
  <c r="X1624" i="15"/>
  <c r="AH1634" i="15"/>
  <c r="U1634" i="15"/>
  <c r="G1634" i="15"/>
  <c r="V1634" i="15"/>
  <c r="AE1634" i="15"/>
  <c r="S1634" i="15"/>
  <c r="M1634" i="15"/>
  <c r="AD1634" i="15"/>
  <c r="AB1641" i="15"/>
  <c r="X1641" i="15"/>
  <c r="H1641" i="15"/>
  <c r="W1641" i="15"/>
  <c r="U1641" i="15"/>
  <c r="N1641" i="15"/>
  <c r="AH1642" i="15"/>
  <c r="AC1642" i="15"/>
  <c r="O1642" i="15"/>
  <c r="AE1642" i="15"/>
  <c r="S1642" i="15"/>
  <c r="AB1642" i="15"/>
  <c r="M1642" i="15"/>
  <c r="L1642" i="15"/>
  <c r="O1645" i="15"/>
  <c r="AH1670" i="15"/>
  <c r="AC1670" i="15"/>
  <c r="O1670" i="15"/>
  <c r="AA1670" i="15"/>
  <c r="L1670" i="15"/>
  <c r="V1670" i="15"/>
  <c r="H1670" i="15"/>
  <c r="M1670" i="15"/>
  <c r="AE1670" i="15"/>
  <c r="O1678" i="15"/>
  <c r="AH1680" i="15"/>
  <c r="P1680" i="15"/>
  <c r="W1680" i="15"/>
  <c r="Q1680" i="15"/>
  <c r="O1680" i="15"/>
  <c r="P1689" i="15"/>
  <c r="AH1695" i="15"/>
  <c r="Q1695" i="15"/>
  <c r="R1695" i="15"/>
  <c r="AB1695" i="15"/>
  <c r="S1714" i="15"/>
  <c r="W1720" i="15"/>
  <c r="X1720" i="15"/>
  <c r="Q1720" i="15"/>
  <c r="P1720" i="15"/>
  <c r="Z1724" i="15"/>
  <c r="X1724" i="15"/>
  <c r="I1724" i="15"/>
  <c r="Y1724" i="15"/>
  <c r="O1730" i="15"/>
  <c r="T1731" i="15"/>
  <c r="AH1738" i="15"/>
  <c r="U1738" i="15"/>
  <c r="G1738" i="15"/>
  <c r="V1738" i="15"/>
  <c r="AE1738" i="15"/>
  <c r="S1738" i="15"/>
  <c r="M1738" i="15"/>
  <c r="AD1738" i="15"/>
  <c r="AH1743" i="15"/>
  <c r="K1743" i="15"/>
  <c r="AG1743" i="15"/>
  <c r="O1762" i="15"/>
  <c r="AH1766" i="15"/>
  <c r="AA1766" i="15"/>
  <c r="M1766" i="15"/>
  <c r="V1766" i="15"/>
  <c r="G1766" i="15"/>
  <c r="T1766" i="15"/>
  <c r="N1766" i="15"/>
  <c r="AE1766" i="15"/>
  <c r="U1769" i="15"/>
  <c r="Z1771" i="15"/>
  <c r="AH1782" i="15"/>
  <c r="AE1782" i="15"/>
  <c r="T1782" i="15"/>
  <c r="AB1782" i="15"/>
  <c r="M1782" i="15"/>
  <c r="W1782" i="15"/>
  <c r="K1782" i="15"/>
  <c r="N1782" i="15"/>
  <c r="K1783" i="15"/>
  <c r="AH1783" i="15"/>
  <c r="AA1783" i="15"/>
  <c r="N1786" i="15"/>
  <c r="R1792" i="15"/>
  <c r="P1797" i="15"/>
  <c r="N1798" i="15"/>
  <c r="U1805" i="15"/>
  <c r="J1807" i="15"/>
  <c r="I1807" i="15"/>
  <c r="AA1807" i="15"/>
  <c r="AH1810" i="15"/>
  <c r="AC1810" i="15"/>
  <c r="S1810" i="15"/>
  <c r="G1810" i="15"/>
  <c r="X1810" i="15"/>
  <c r="M1810" i="15"/>
  <c r="V1810" i="15"/>
  <c r="K1810" i="15"/>
  <c r="N1810" i="15"/>
  <c r="AD1810" i="15"/>
  <c r="O1818" i="15"/>
  <c r="X1820" i="15"/>
  <c r="M1826" i="15"/>
  <c r="AC1826" i="15"/>
  <c r="AB1849" i="15"/>
  <c r="AE1849" i="15"/>
  <c r="O1849" i="15"/>
  <c r="X1849" i="15"/>
  <c r="G1849" i="15"/>
  <c r="V1849" i="15"/>
  <c r="N1849" i="15"/>
  <c r="M1850" i="15"/>
  <c r="AE1850" i="15"/>
  <c r="N1853" i="15"/>
  <c r="N1854" i="15"/>
  <c r="AE1854" i="15"/>
  <c r="AH1858" i="15"/>
  <c r="AD1858" i="15"/>
  <c r="T1858" i="15"/>
  <c r="H1858" i="15"/>
  <c r="X1858" i="15"/>
  <c r="M1858" i="15"/>
  <c r="V1858" i="15"/>
  <c r="K1858" i="15"/>
  <c r="N1858" i="15"/>
  <c r="AC1858" i="15"/>
  <c r="AB1861" i="15"/>
  <c r="U1861" i="15"/>
  <c r="P1861" i="15"/>
  <c r="AE1861" i="15"/>
  <c r="N1861" i="15"/>
  <c r="M1861" i="15"/>
  <c r="AH1870" i="15"/>
  <c r="AF1870" i="15"/>
  <c r="V1870" i="15"/>
  <c r="L1870" i="15"/>
  <c r="U1870" i="15"/>
  <c r="H1870" i="15"/>
  <c r="AD1870" i="15"/>
  <c r="S1870" i="15"/>
  <c r="M1870" i="15"/>
  <c r="AB1870" i="15"/>
  <c r="U1873" i="15"/>
  <c r="P1881" i="15"/>
  <c r="O1882" i="15"/>
  <c r="AE1882" i="15"/>
  <c r="Q1884" i="15"/>
  <c r="AF1884" i="15"/>
  <c r="G1884" i="15"/>
  <c r="X1884" i="15"/>
  <c r="P1884" i="15"/>
  <c r="AH1886" i="15"/>
  <c r="AA1886" i="15"/>
  <c r="O1886" i="15"/>
  <c r="AB1886" i="15"/>
  <c r="N1886" i="15"/>
  <c r="W1886" i="15"/>
  <c r="L1886" i="15"/>
  <c r="K1886" i="15"/>
  <c r="AC1886" i="15"/>
  <c r="Z1907" i="15"/>
  <c r="U1913" i="15"/>
  <c r="AB1915" i="15"/>
  <c r="O1928" i="15"/>
  <c r="AE1928" i="15"/>
  <c r="Y1928" i="15"/>
  <c r="J1928" i="15"/>
  <c r="S1935" i="15"/>
  <c r="V1937" i="15"/>
  <c r="R1940" i="15"/>
  <c r="O1950" i="15"/>
  <c r="AC1950" i="15"/>
  <c r="O1952" i="15"/>
  <c r="I1952" i="15"/>
  <c r="U1953" i="15"/>
  <c r="P1954" i="15"/>
  <c r="AC1954" i="15"/>
  <c r="AB1957" i="15"/>
  <c r="AE1957" i="15"/>
  <c r="O1957" i="15"/>
  <c r="AC1957" i="15"/>
  <c r="H1957" i="15"/>
  <c r="W1957" i="15"/>
  <c r="N1957" i="15"/>
  <c r="AG1964" i="15"/>
  <c r="AH1966" i="15"/>
  <c r="AC1966" i="15"/>
  <c r="S1966" i="15"/>
  <c r="G1966" i="15"/>
  <c r="X1966" i="15"/>
  <c r="M1966" i="15"/>
  <c r="V1966" i="15"/>
  <c r="K1966" i="15"/>
  <c r="N1966" i="15"/>
  <c r="AD1966" i="15"/>
  <c r="N1969" i="15"/>
  <c r="O1970" i="15"/>
  <c r="AD1970" i="15"/>
  <c r="O1973" i="15"/>
  <c r="M1974" i="15"/>
  <c r="AD1974" i="15"/>
  <c r="U1981" i="15"/>
  <c r="P1982" i="15"/>
  <c r="AG1996" i="15"/>
  <c r="N1998" i="15"/>
  <c r="AE1998" i="15"/>
  <c r="J8" i="16"/>
  <c r="L8" i="16"/>
  <c r="L38" i="16"/>
  <c r="H38" i="16"/>
  <c r="F38" i="16"/>
  <c r="H201" i="16"/>
  <c r="L201" i="16"/>
  <c r="P212" i="16"/>
  <c r="H212" i="9" s="1"/>
  <c r="F212" i="16"/>
  <c r="T212" i="16"/>
  <c r="E239" i="16"/>
  <c r="L256" i="16"/>
  <c r="K256" i="16"/>
  <c r="J285" i="16"/>
  <c r="O285" i="16" s="1"/>
  <c r="E285" i="16"/>
  <c r="P285" i="16" s="1"/>
  <c r="H285" i="9" s="1"/>
  <c r="M285" i="16"/>
  <c r="E335" i="16"/>
  <c r="F335" i="16" s="1"/>
  <c r="J371" i="16"/>
  <c r="H371" i="16"/>
  <c r="P420" i="16"/>
  <c r="G420" i="16"/>
  <c r="H420" i="16"/>
  <c r="E420" i="16"/>
  <c r="F420" i="16" s="1"/>
  <c r="E470" i="16"/>
  <c r="F470" i="16" s="1"/>
  <c r="M470" i="16"/>
  <c r="G510" i="16"/>
  <c r="E510" i="16"/>
  <c r="F510" i="16" s="1"/>
  <c r="E559" i="16"/>
  <c r="F559" i="16" s="1"/>
  <c r="H668" i="16"/>
  <c r="F668" i="16"/>
  <c r="E668" i="16"/>
  <c r="E676" i="16"/>
  <c r="M676" i="16"/>
  <c r="G676" i="16"/>
  <c r="J758" i="16"/>
  <c r="F758" i="16"/>
  <c r="E758" i="16"/>
  <c r="I776" i="16"/>
  <c r="E776" i="16"/>
  <c r="E799" i="16"/>
  <c r="J799" i="16"/>
  <c r="E800" i="16"/>
  <c r="K839" i="16"/>
  <c r="J839" i="16"/>
  <c r="L839" i="16"/>
  <c r="I907" i="16"/>
  <c r="G907" i="16"/>
  <c r="H907" i="16"/>
  <c r="E951" i="16"/>
  <c r="E967" i="16"/>
  <c r="J1066" i="16"/>
  <c r="G1066" i="16"/>
  <c r="J1136" i="16"/>
  <c r="L1136" i="16"/>
  <c r="I1139" i="16"/>
  <c r="G1139" i="16"/>
  <c r="E1151" i="16"/>
  <c r="I1160" i="16"/>
  <c r="J1160" i="16"/>
  <c r="J1254" i="16"/>
  <c r="G1254" i="16"/>
  <c r="O1254" i="16" s="1"/>
  <c r="J1288" i="16"/>
  <c r="I1288" i="16"/>
  <c r="J1329" i="16"/>
  <c r="H1329" i="16"/>
  <c r="K1346" i="16"/>
  <c r="I1346" i="16"/>
  <c r="J1346" i="16"/>
  <c r="O1351" i="16"/>
  <c r="T1359" i="16"/>
  <c r="M1359" i="16"/>
  <c r="P1359" i="16"/>
  <c r="F1359" i="16"/>
  <c r="J1359" i="16"/>
  <c r="G1359" i="16"/>
  <c r="N1359" i="16"/>
  <c r="P1367" i="16"/>
  <c r="O1375" i="16"/>
  <c r="G1380" i="16"/>
  <c r="E1380" i="16"/>
  <c r="N1380" i="16"/>
  <c r="H1380" i="16"/>
  <c r="T1380" i="16"/>
  <c r="N1395" i="16"/>
  <c r="J1395" i="16"/>
  <c r="J1398" i="16"/>
  <c r="F1398" i="16"/>
  <c r="O1398" i="16"/>
  <c r="N1398" i="16"/>
  <c r="L1398" i="16"/>
  <c r="T1399" i="16"/>
  <c r="M1399" i="16"/>
  <c r="K1399" i="16"/>
  <c r="L1399" i="16"/>
  <c r="F1399" i="16"/>
  <c r="T1408" i="16"/>
  <c r="M1408" i="16"/>
  <c r="H1418" i="16"/>
  <c r="O1418" i="16"/>
  <c r="I1418" i="16"/>
  <c r="J1430" i="16"/>
  <c r="N1430" i="16"/>
  <c r="F1430" i="16"/>
  <c r="L1430" i="16"/>
  <c r="G1430" i="16"/>
  <c r="T1431" i="16"/>
  <c r="J1431" i="16"/>
  <c r="F1431" i="16"/>
  <c r="N1431" i="16"/>
  <c r="I1435" i="16"/>
  <c r="F1435" i="16"/>
  <c r="J1438" i="16"/>
  <c r="G1438" i="16"/>
  <c r="E1438" i="16"/>
  <c r="O1438" i="16"/>
  <c r="N1438" i="16"/>
  <c r="J1448" i="16"/>
  <c r="E1448" i="16"/>
  <c r="K1453" i="16"/>
  <c r="F1453" i="16"/>
  <c r="H1453" i="16"/>
  <c r="G1453" i="16"/>
  <c r="O1453" i="16"/>
  <c r="T1504" i="16"/>
  <c r="K1504" i="16"/>
  <c r="O1504" i="16"/>
  <c r="E1504" i="16"/>
  <c r="H1504" i="16"/>
  <c r="F1504" i="16"/>
  <c r="N1504" i="16"/>
  <c r="T1528" i="16"/>
  <c r="P1528" i="16"/>
  <c r="G1528" i="16"/>
  <c r="F1528" i="16"/>
  <c r="J1528" i="16"/>
  <c r="E1528" i="16"/>
  <c r="N1528" i="16"/>
  <c r="O1536" i="16"/>
  <c r="T1544" i="16"/>
  <c r="H1544" i="16"/>
  <c r="L1544" i="16"/>
  <c r="M1544" i="16"/>
  <c r="J1544" i="16"/>
  <c r="N1544" i="16"/>
  <c r="K1550" i="16"/>
  <c r="P1550" i="16"/>
  <c r="N1550" i="16"/>
  <c r="E1550" i="16"/>
  <c r="T1550" i="16"/>
  <c r="O1550" i="16"/>
  <c r="I1554" i="16"/>
  <c r="T1554" i="16"/>
  <c r="H1554" i="16"/>
  <c r="K1569" i="16"/>
  <c r="G1569" i="16"/>
  <c r="I1569" i="16"/>
  <c r="P1608" i="16"/>
  <c r="T1614" i="16"/>
  <c r="O1636" i="16"/>
  <c r="F1665" i="16"/>
  <c r="G1665" i="16"/>
  <c r="M1665" i="16"/>
  <c r="I1665" i="16"/>
  <c r="T1665" i="16"/>
  <c r="P1680" i="16"/>
  <c r="K1709" i="16"/>
  <c r="M1709" i="16"/>
  <c r="I1709" i="16"/>
  <c r="T1720" i="16"/>
  <c r="L1720" i="16"/>
  <c r="O1720" i="16"/>
  <c r="E1720" i="16"/>
  <c r="G1720" i="16"/>
  <c r="P1720" i="16"/>
  <c r="M1720" i="16"/>
  <c r="I1745" i="16"/>
  <c r="G1745" i="16"/>
  <c r="O1745" i="16"/>
  <c r="E1745" i="16"/>
  <c r="T1745" i="16"/>
  <c r="F1745" i="16"/>
  <c r="P1779" i="16"/>
  <c r="O1779" i="16"/>
  <c r="I1779" i="16"/>
  <c r="H1779" i="16"/>
  <c r="T1779" i="16"/>
  <c r="G1819" i="16"/>
  <c r="E1819" i="16"/>
  <c r="T1819" i="16"/>
  <c r="H1819" i="16"/>
  <c r="O1819" i="16"/>
  <c r="I1819" i="16"/>
  <c r="J1821" i="16"/>
  <c r="I1821" i="16"/>
  <c r="H1821" i="16"/>
  <c r="G1821" i="16"/>
  <c r="T1856" i="16"/>
  <c r="H1856" i="16"/>
  <c r="P1856" i="16"/>
  <c r="G1856" i="16"/>
  <c r="J1856" i="16"/>
  <c r="F1856" i="16"/>
  <c r="O1856" i="16"/>
  <c r="M1856" i="16"/>
  <c r="O1867" i="16"/>
  <c r="M1867" i="16"/>
  <c r="E1867" i="16"/>
  <c r="T1867" i="16"/>
  <c r="I1867" i="16"/>
  <c r="K1867" i="16"/>
  <c r="G1867" i="16"/>
  <c r="L1893" i="16"/>
  <c r="N1893" i="16"/>
  <c r="M1893" i="16"/>
  <c r="P1893" i="16"/>
  <c r="O1893" i="16"/>
  <c r="H1893" i="16"/>
  <c r="G1893" i="16"/>
  <c r="F1893" i="16"/>
  <c r="E1893" i="16"/>
  <c r="H1899" i="16"/>
  <c r="G1899" i="16"/>
  <c r="J1899" i="16"/>
  <c r="H1906" i="16"/>
  <c r="T1906" i="16"/>
  <c r="F1906" i="16"/>
  <c r="P1906" i="16"/>
  <c r="N1906" i="16"/>
  <c r="I1906" i="16"/>
  <c r="E1906" i="16"/>
  <c r="J1948" i="16"/>
  <c r="H1948" i="16"/>
  <c r="G1948" i="16"/>
  <c r="T1960" i="16"/>
  <c r="M1960" i="16"/>
  <c r="L1960" i="16"/>
  <c r="N1960" i="16"/>
  <c r="K1960" i="16"/>
  <c r="P1960" i="16"/>
  <c r="E1960" i="16"/>
  <c r="O1960" i="16"/>
  <c r="L2108" i="16"/>
  <c r="K2108" i="16"/>
  <c r="F2108" i="16"/>
  <c r="J2108" i="16"/>
  <c r="K2126" i="16"/>
  <c r="O2126" i="16"/>
  <c r="N2126" i="16"/>
  <c r="H2126" i="16"/>
  <c r="G2126" i="16"/>
  <c r="F2126" i="16"/>
  <c r="E2126" i="16"/>
  <c r="T2585" i="16"/>
  <c r="M2585" i="16"/>
  <c r="L2585" i="16"/>
  <c r="O2585" i="16"/>
  <c r="G2585" i="16"/>
  <c r="F2585" i="16"/>
  <c r="E2585" i="16"/>
  <c r="N2585" i="16"/>
  <c r="K2585" i="16"/>
  <c r="J2634" i="16"/>
  <c r="F2634" i="16"/>
  <c r="E2634" i="16"/>
  <c r="T2634" i="16"/>
  <c r="N2634" i="16"/>
  <c r="M2634" i="16"/>
  <c r="I2634" i="16"/>
  <c r="J2667" i="16"/>
  <c r="T2667" i="16"/>
  <c r="I2667" i="16"/>
  <c r="H2667" i="16"/>
  <c r="M2667" i="16"/>
  <c r="L2667" i="16"/>
  <c r="E2667" i="16"/>
  <c r="P2667" i="16"/>
  <c r="P2779" i="16"/>
  <c r="M2779" i="16"/>
  <c r="L2779" i="16"/>
  <c r="K2779" i="16"/>
  <c r="J3124" i="16"/>
  <c r="I3124" i="16"/>
  <c r="K3124" i="16"/>
  <c r="H3124" i="16"/>
  <c r="H3143" i="16"/>
  <c r="G3143" i="16"/>
  <c r="F3143" i="16"/>
  <c r="I3143" i="16"/>
  <c r="T3384" i="16"/>
  <c r="P3384" i="16"/>
  <c r="G3384" i="16"/>
  <c r="O3384" i="16"/>
  <c r="F3384" i="16"/>
  <c r="N3384" i="16"/>
  <c r="M3384" i="16"/>
  <c r="H3384" i="16"/>
  <c r="E3384" i="16"/>
  <c r="K3384" i="16"/>
  <c r="J3384" i="16"/>
  <c r="L3384" i="16"/>
  <c r="P3438" i="16"/>
  <c r="E3438" i="16"/>
  <c r="O3438" i="16"/>
  <c r="T3438" i="16"/>
  <c r="H3438" i="16"/>
  <c r="G3438" i="16"/>
  <c r="F3438" i="16"/>
  <c r="N3438" i="16"/>
  <c r="M3438" i="16"/>
  <c r="J3438" i="16"/>
  <c r="H3517" i="16"/>
  <c r="G3517" i="16"/>
  <c r="F3517" i="16"/>
  <c r="N3517" i="16"/>
  <c r="K3517" i="16"/>
  <c r="I3517" i="16"/>
  <c r="T3517" i="16"/>
  <c r="P3517" i="16"/>
  <c r="O3517" i="16"/>
  <c r="T3568" i="16"/>
  <c r="M3568" i="16"/>
  <c r="L3568" i="16"/>
  <c r="G3568" i="16"/>
  <c r="F3568" i="16"/>
  <c r="J3568" i="16"/>
  <c r="H3568" i="16"/>
  <c r="E3568" i="16"/>
  <c r="O3568" i="16"/>
  <c r="N3568" i="16"/>
  <c r="K3568" i="16"/>
  <c r="P3568" i="16"/>
  <c r="I2819" i="16"/>
  <c r="H2819" i="16"/>
  <c r="T2819" i="16"/>
  <c r="E2819" i="16"/>
  <c r="J2819" i="16"/>
  <c r="P2828" i="16"/>
  <c r="O2828" i="16"/>
  <c r="T2828" i="16"/>
  <c r="L2828" i="16"/>
  <c r="K2850" i="16"/>
  <c r="I2850" i="16"/>
  <c r="F2850" i="16"/>
  <c r="J2850" i="16"/>
  <c r="T2859" i="16"/>
  <c r="P2859" i="16"/>
  <c r="E2859" i="16"/>
  <c r="L2859" i="16"/>
  <c r="J2859" i="16"/>
  <c r="I2859" i="16"/>
  <c r="H2859" i="16"/>
  <c r="I2962" i="16"/>
  <c r="F2962" i="16"/>
  <c r="N2962" i="16"/>
  <c r="L2962" i="16"/>
  <c r="E2962" i="16"/>
  <c r="T2962" i="16"/>
  <c r="J2962" i="16"/>
  <c r="P2979" i="16"/>
  <c r="L2979" i="16"/>
  <c r="O3012" i="16"/>
  <c r="L3012" i="16"/>
  <c r="J3012" i="16"/>
  <c r="K3012" i="16"/>
  <c r="O3039" i="16"/>
  <c r="M3039" i="16"/>
  <c r="P3043" i="16"/>
  <c r="K3043" i="16"/>
  <c r="T3043" i="16"/>
  <c r="T3048" i="16"/>
  <c r="P3048" i="16"/>
  <c r="G3048" i="16"/>
  <c r="O3048" i="16"/>
  <c r="F3048" i="16"/>
  <c r="J3048" i="16"/>
  <c r="H3048" i="16"/>
  <c r="E3048" i="16"/>
  <c r="L3048" i="16"/>
  <c r="K3048" i="16"/>
  <c r="T3121" i="16"/>
  <c r="F3121" i="16"/>
  <c r="O3121" i="16"/>
  <c r="E3121" i="16"/>
  <c r="K3121" i="16"/>
  <c r="J3121" i="16"/>
  <c r="M3121" i="16"/>
  <c r="L3121" i="16"/>
  <c r="G3121" i="16"/>
  <c r="I3154" i="16"/>
  <c r="F3154" i="16"/>
  <c r="J3154" i="16"/>
  <c r="E3154" i="16"/>
  <c r="T3154" i="16"/>
  <c r="N3154" i="16"/>
  <c r="L3154" i="16"/>
  <c r="T3200" i="16"/>
  <c r="L3200" i="16"/>
  <c r="K3200" i="16"/>
  <c r="F3200" i="16"/>
  <c r="P3200" i="16"/>
  <c r="E3200" i="16"/>
  <c r="G3200" i="16"/>
  <c r="N3200" i="16"/>
  <c r="M3200" i="16"/>
  <c r="J3200" i="16"/>
  <c r="H3200" i="16"/>
  <c r="I3269" i="16"/>
  <c r="F3269" i="16"/>
  <c r="O3269" i="16"/>
  <c r="N3269" i="16"/>
  <c r="G3269" i="16"/>
  <c r="P3269" i="16"/>
  <c r="H3269" i="16"/>
  <c r="T3336" i="16"/>
  <c r="P3336" i="16"/>
  <c r="G3336" i="16"/>
  <c r="O3336" i="16"/>
  <c r="F3336" i="16"/>
  <c r="N3336" i="16"/>
  <c r="E3336" i="16"/>
  <c r="L3336" i="16"/>
  <c r="K3336" i="16"/>
  <c r="J3336" i="16"/>
  <c r="H3336" i="16"/>
  <c r="K3557" i="16"/>
  <c r="J3557" i="16"/>
  <c r="I3557" i="16"/>
  <c r="H3557" i="16"/>
  <c r="N3742" i="16"/>
  <c r="M3742" i="16"/>
  <c r="J3742" i="16"/>
  <c r="T3744" i="16"/>
  <c r="H3744" i="16"/>
  <c r="P3744" i="16"/>
  <c r="G3744" i="16"/>
  <c r="O3744" i="16"/>
  <c r="N3744" i="16"/>
  <c r="E3744" i="16"/>
  <c r="M3744" i="16"/>
  <c r="J3744" i="16"/>
  <c r="F3744" i="16"/>
  <c r="K3826" i="16"/>
  <c r="N3826" i="16"/>
  <c r="M3826" i="16"/>
  <c r="L3826" i="16"/>
  <c r="J3951" i="16"/>
  <c r="L3951" i="16"/>
  <c r="K3951" i="16"/>
  <c r="N3951" i="16"/>
  <c r="L4120" i="16"/>
  <c r="P4120" i="16"/>
  <c r="O4120" i="16"/>
  <c r="M4120" i="16"/>
  <c r="L4136" i="16"/>
  <c r="K4136" i="16"/>
  <c r="H4136" i="16"/>
  <c r="I4136" i="16"/>
  <c r="I5180" i="16"/>
  <c r="H5180" i="16"/>
  <c r="G5180" i="16"/>
  <c r="L5180" i="16"/>
  <c r="J5180" i="16"/>
  <c r="P5180" i="16"/>
  <c r="O5180" i="16"/>
  <c r="T5180" i="16"/>
  <c r="E5187" i="16"/>
  <c r="M5187" i="16"/>
  <c r="L5187" i="16"/>
  <c r="K5187" i="16"/>
  <c r="T5187" i="16"/>
  <c r="G5348" i="16"/>
  <c r="T5348" i="16"/>
  <c r="P5348" i="16"/>
  <c r="J5348" i="16"/>
  <c r="I5348" i="16"/>
  <c r="H5348" i="16"/>
  <c r="L5348" i="16"/>
  <c r="O5348" i="16"/>
  <c r="M5443" i="16"/>
  <c r="E5443" i="16"/>
  <c r="K5443" i="16"/>
  <c r="T5443" i="16"/>
  <c r="K1261" i="15"/>
  <c r="U1261" i="15"/>
  <c r="AE1261" i="15"/>
  <c r="K1263" i="15"/>
  <c r="Y1263" i="15"/>
  <c r="K1295" i="15"/>
  <c r="Y1295" i="15"/>
  <c r="K1343" i="15"/>
  <c r="Y1343" i="15"/>
  <c r="Q1352" i="15"/>
  <c r="L1354" i="15"/>
  <c r="Z1354" i="15"/>
  <c r="L1366" i="15"/>
  <c r="Z1366" i="15"/>
  <c r="L1370" i="15"/>
  <c r="Z1370" i="15"/>
  <c r="K1377" i="15"/>
  <c r="U1377" i="15"/>
  <c r="AE1377" i="15"/>
  <c r="K1379" i="15"/>
  <c r="K1381" i="15"/>
  <c r="U1381" i="15"/>
  <c r="AE1381" i="15"/>
  <c r="K1385" i="15"/>
  <c r="U1385" i="15"/>
  <c r="AE1385" i="15"/>
  <c r="L1387" i="15"/>
  <c r="AB1387" i="15"/>
  <c r="L1390" i="15"/>
  <c r="Z1390" i="15"/>
  <c r="X1404" i="15"/>
  <c r="K1411" i="15"/>
  <c r="AF1411" i="15"/>
  <c r="AH1449" i="15"/>
  <c r="X1449" i="15"/>
  <c r="N1449" i="15"/>
  <c r="K1449" i="15"/>
  <c r="V1449" i="15"/>
  <c r="AG1450" i="15"/>
  <c r="AA1450" i="15"/>
  <c r="M1450" i="15"/>
  <c r="L1450" i="15"/>
  <c r="AB1450" i="15"/>
  <c r="AH1469" i="15"/>
  <c r="X1469" i="15"/>
  <c r="N1469" i="15"/>
  <c r="K1469" i="15"/>
  <c r="V1469" i="15"/>
  <c r="AG1470" i="15"/>
  <c r="AA1470" i="15"/>
  <c r="M1470" i="15"/>
  <c r="L1470" i="15"/>
  <c r="AB1470" i="15"/>
  <c r="AF1475" i="15"/>
  <c r="P1475" i="15"/>
  <c r="K1475" i="15"/>
  <c r="AG1475" i="15"/>
  <c r="R1479" i="15"/>
  <c r="AH1517" i="15"/>
  <c r="AF1517" i="15"/>
  <c r="V1517" i="15"/>
  <c r="L1517" i="15"/>
  <c r="K1517" i="15"/>
  <c r="W1517" i="15"/>
  <c r="AH1525" i="15"/>
  <c r="AB1525" i="15"/>
  <c r="P1525" i="15"/>
  <c r="K1525" i="15"/>
  <c r="V1525" i="15"/>
  <c r="AG1526" i="15"/>
  <c r="AC1526" i="15"/>
  <c r="R1526" i="15"/>
  <c r="L1526" i="15"/>
  <c r="AA1526" i="15"/>
  <c r="AG1530" i="15"/>
  <c r="AH1530" i="15"/>
  <c r="T1530" i="15"/>
  <c r="L1530" i="15"/>
  <c r="AA1530" i="15"/>
  <c r="AG1534" i="15"/>
  <c r="U1534" i="15"/>
  <c r="J1534" i="15"/>
  <c r="M1534" i="15"/>
  <c r="AB1534" i="15"/>
  <c r="AG1550" i="15"/>
  <c r="V1550" i="15"/>
  <c r="K1550" i="15"/>
  <c r="M1550" i="15"/>
  <c r="AB1550" i="15"/>
  <c r="AB1565" i="15"/>
  <c r="U1565" i="15"/>
  <c r="M1565" i="15"/>
  <c r="AD1565" i="15"/>
  <c r="G1584" i="15"/>
  <c r="G1585" i="15"/>
  <c r="AG1587" i="15"/>
  <c r="Y1587" i="15"/>
  <c r="T1587" i="15"/>
  <c r="G1600" i="15"/>
  <c r="AH1602" i="15"/>
  <c r="AE1602" i="15"/>
  <c r="T1602" i="15"/>
  <c r="L1602" i="15"/>
  <c r="AA1602" i="15"/>
  <c r="AB1613" i="15"/>
  <c r="X1613" i="15"/>
  <c r="H1613" i="15"/>
  <c r="N1613" i="15"/>
  <c r="AE1613" i="15"/>
  <c r="G1614" i="15"/>
  <c r="G1625" i="15"/>
  <c r="AB1629" i="15"/>
  <c r="AF1629" i="15"/>
  <c r="P1629" i="15"/>
  <c r="M1629" i="15"/>
  <c r="AD1629" i="15"/>
  <c r="G1630" i="15"/>
  <c r="AH1632" i="15"/>
  <c r="G1632" i="15"/>
  <c r="X1632" i="15"/>
  <c r="AB1649" i="15"/>
  <c r="AF1649" i="15"/>
  <c r="P1649" i="15"/>
  <c r="M1649" i="15"/>
  <c r="AD1649" i="15"/>
  <c r="G1650" i="15"/>
  <c r="R1656" i="15"/>
  <c r="G1657" i="15"/>
  <c r="G1662" i="15"/>
  <c r="AH1666" i="15"/>
  <c r="AA1666" i="15"/>
  <c r="M1666" i="15"/>
  <c r="L1666" i="15"/>
  <c r="AB1666" i="15"/>
  <c r="AF1676" i="15"/>
  <c r="I1691" i="15"/>
  <c r="AH1691" i="15"/>
  <c r="AH1694" i="15"/>
  <c r="AD1694" i="15"/>
  <c r="S1694" i="15"/>
  <c r="L1694" i="15"/>
  <c r="AA1694" i="15"/>
  <c r="X1700" i="15"/>
  <c r="AB1705" i="15"/>
  <c r="V1705" i="15"/>
  <c r="M1705" i="15"/>
  <c r="AD1705" i="15"/>
  <c r="G1713" i="15"/>
  <c r="AH1722" i="15"/>
  <c r="V1722" i="15"/>
  <c r="K1722" i="15"/>
  <c r="M1722" i="15"/>
  <c r="AB1722" i="15"/>
  <c r="G1757" i="15"/>
  <c r="G1761" i="15"/>
  <c r="J1768" i="15"/>
  <c r="AH1768" i="15"/>
  <c r="G1773" i="15"/>
  <c r="AH1775" i="15"/>
  <c r="R1775" i="15"/>
  <c r="AA1775" i="15"/>
  <c r="G1776" i="15"/>
  <c r="AF1776" i="15"/>
  <c r="G1785" i="15"/>
  <c r="L1787" i="15"/>
  <c r="I1799" i="15"/>
  <c r="G1800" i="15"/>
  <c r="AH1806" i="15"/>
  <c r="AE1806" i="15"/>
  <c r="T1806" i="15"/>
  <c r="L1806" i="15"/>
  <c r="AA1806" i="15"/>
  <c r="X1808" i="15"/>
  <c r="R1808" i="15"/>
  <c r="P1808" i="15"/>
  <c r="AB1813" i="15"/>
  <c r="AF1813" i="15"/>
  <c r="P1813" i="15"/>
  <c r="M1813" i="15"/>
  <c r="AD1813" i="15"/>
  <c r="G1814" i="15"/>
  <c r="U1814" i="15"/>
  <c r="G1817" i="15"/>
  <c r="G1824" i="15"/>
  <c r="G1825" i="15"/>
  <c r="G1828" i="15"/>
  <c r="G1829" i="15"/>
  <c r="AB1841" i="15"/>
  <c r="AD1841" i="15"/>
  <c r="N1841" i="15"/>
  <c r="M1841" i="15"/>
  <c r="AE1841" i="15"/>
  <c r="G1842" i="15"/>
  <c r="T1842" i="15"/>
  <c r="G1845" i="15"/>
  <c r="AE1864" i="15"/>
  <c r="G1864" i="15"/>
  <c r="P1864" i="15"/>
  <c r="AB1865" i="15"/>
  <c r="U1865" i="15"/>
  <c r="M1865" i="15"/>
  <c r="AD1865" i="15"/>
  <c r="AF1868" i="15"/>
  <c r="H1868" i="15"/>
  <c r="P1868" i="15"/>
  <c r="AB1869" i="15"/>
  <c r="V1869" i="15"/>
  <c r="M1869" i="15"/>
  <c r="AD1869" i="15"/>
  <c r="I1871" i="15"/>
  <c r="H1877" i="15"/>
  <c r="G1890" i="15"/>
  <c r="T1890" i="15"/>
  <c r="O1892" i="15"/>
  <c r="AH1892" i="15"/>
  <c r="AG1902" i="15"/>
  <c r="AE1902" i="15"/>
  <c r="V1902" i="15"/>
  <c r="M1902" i="15"/>
  <c r="J1902" i="15"/>
  <c r="T1902" i="15"/>
  <c r="AD1902" i="15"/>
  <c r="G1904" i="15"/>
  <c r="H1908" i="15"/>
  <c r="G1909" i="15"/>
  <c r="Q1911" i="15"/>
  <c r="AG1914" i="15"/>
  <c r="AA1914" i="15"/>
  <c r="R1914" i="15"/>
  <c r="H1914" i="15"/>
  <c r="K1914" i="15"/>
  <c r="U1914" i="15"/>
  <c r="AE1914" i="15"/>
  <c r="O1916" i="15"/>
  <c r="AH1916" i="15"/>
  <c r="J1923" i="15"/>
  <c r="I1923" i="15"/>
  <c r="O1924" i="15"/>
  <c r="AH1924" i="15"/>
  <c r="AB1933" i="15"/>
  <c r="W1933" i="15"/>
  <c r="G1933" i="15"/>
  <c r="N1933" i="15"/>
  <c r="AE1933" i="15"/>
  <c r="G1934" i="15"/>
  <c r="R1934" i="15"/>
  <c r="I1943" i="15"/>
  <c r="AH1943" i="15"/>
  <c r="AB1945" i="15"/>
  <c r="AE1945" i="15"/>
  <c r="O1945" i="15"/>
  <c r="M1945" i="15"/>
  <c r="AD1945" i="15"/>
  <c r="H1946" i="15"/>
  <c r="S1946" i="15"/>
  <c r="G1948" i="15"/>
  <c r="AF1948" i="15"/>
  <c r="AG1951" i="15"/>
  <c r="I1951" i="15"/>
  <c r="R1951" i="15"/>
  <c r="G1956" i="15"/>
  <c r="AF1956" i="15"/>
  <c r="S1967" i="15"/>
  <c r="I1976" i="15"/>
  <c r="I1983" i="15"/>
  <c r="AB1985" i="15"/>
  <c r="V1985" i="15"/>
  <c r="M1985" i="15"/>
  <c r="AD1985" i="15"/>
  <c r="K1987" i="15"/>
  <c r="G1997" i="15"/>
  <c r="J24" i="16"/>
  <c r="M24" i="16"/>
  <c r="H30" i="16"/>
  <c r="M31" i="16"/>
  <c r="J124" i="16"/>
  <c r="L124" i="16"/>
  <c r="E200" i="16"/>
  <c r="I200" i="9" s="1"/>
  <c r="K200" i="16"/>
  <c r="K217" i="16"/>
  <c r="L217" i="16"/>
  <c r="G284" i="16"/>
  <c r="E342" i="16"/>
  <c r="F342" i="16" s="1"/>
  <c r="H346" i="16"/>
  <c r="I346" i="16"/>
  <c r="K349" i="16"/>
  <c r="E366" i="16"/>
  <c r="F366" i="16" s="1"/>
  <c r="H399" i="16"/>
  <c r="J410" i="16"/>
  <c r="H410" i="16"/>
  <c r="F415" i="16"/>
  <c r="J415" i="16"/>
  <c r="E415" i="16"/>
  <c r="E480" i="16"/>
  <c r="T480" i="16" s="1"/>
  <c r="T502" i="16"/>
  <c r="E502" i="16"/>
  <c r="J510" i="16"/>
  <c r="J549" i="16"/>
  <c r="H585" i="16"/>
  <c r="I707" i="16"/>
  <c r="G707" i="16"/>
  <c r="E711" i="16"/>
  <c r="F711" i="16" s="1"/>
  <c r="J791" i="16"/>
  <c r="E846" i="16"/>
  <c r="F846" i="16" s="1"/>
  <c r="J917" i="16"/>
  <c r="K950" i="16"/>
  <c r="M964" i="16"/>
  <c r="H964" i="16"/>
  <c r="I964" i="16"/>
  <c r="E976" i="16"/>
  <c r="K1085" i="16"/>
  <c r="L1085" i="16"/>
  <c r="J1122" i="16"/>
  <c r="J1130" i="16"/>
  <c r="H1130" i="16"/>
  <c r="L1225" i="16"/>
  <c r="M1248" i="16"/>
  <c r="O1283" i="16"/>
  <c r="K1288" i="16"/>
  <c r="E1296" i="16"/>
  <c r="L1302" i="16"/>
  <c r="M1302" i="16"/>
  <c r="J1390" i="16"/>
  <c r="F1390" i="16"/>
  <c r="O1390" i="16"/>
  <c r="M1390" i="16"/>
  <c r="H1394" i="16"/>
  <c r="J1394" i="16"/>
  <c r="O1403" i="16"/>
  <c r="I1403" i="16"/>
  <c r="J1422" i="16"/>
  <c r="F1422" i="16"/>
  <c r="E1422" i="16"/>
  <c r="N1422" i="16"/>
  <c r="K1429" i="16"/>
  <c r="H1429" i="16"/>
  <c r="N1429" i="16"/>
  <c r="M1429" i="16"/>
  <c r="J1446" i="16"/>
  <c r="M1446" i="16"/>
  <c r="G1446" i="16"/>
  <c r="N1446" i="16"/>
  <c r="I1458" i="16"/>
  <c r="L1458" i="16"/>
  <c r="N1458" i="16"/>
  <c r="I1483" i="16"/>
  <c r="G1483" i="16"/>
  <c r="T1483" i="16"/>
  <c r="M1483" i="16"/>
  <c r="T1488" i="16"/>
  <c r="N1488" i="16"/>
  <c r="E1488" i="16"/>
  <c r="J1488" i="16"/>
  <c r="L1488" i="16"/>
  <c r="T1496" i="16"/>
  <c r="H1496" i="16"/>
  <c r="G1496" i="16"/>
  <c r="L1496" i="16"/>
  <c r="I1508" i="16"/>
  <c r="N1508" i="16"/>
  <c r="G1508" i="16"/>
  <c r="O1508" i="16"/>
  <c r="M1523" i="16"/>
  <c r="G1523" i="16"/>
  <c r="L1523" i="16"/>
  <c r="T1560" i="16"/>
  <c r="P1560" i="16"/>
  <c r="G1560" i="16"/>
  <c r="L1560" i="16"/>
  <c r="K1560" i="16"/>
  <c r="T1592" i="16"/>
  <c r="H1592" i="16"/>
  <c r="G1592" i="16"/>
  <c r="L1592" i="16"/>
  <c r="G1607" i="16"/>
  <c r="K1607" i="16"/>
  <c r="L1609" i="16"/>
  <c r="J1639" i="16"/>
  <c r="H1639" i="16"/>
  <c r="F1639" i="16"/>
  <c r="N1639" i="16"/>
  <c r="K1678" i="16"/>
  <c r="G1678" i="16"/>
  <c r="O1678" i="16"/>
  <c r="N1678" i="16"/>
  <c r="G1689" i="16"/>
  <c r="T1689" i="16"/>
  <c r="E1689" i="16"/>
  <c r="M1689" i="16"/>
  <c r="T1696" i="16"/>
  <c r="O1696" i="16"/>
  <c r="F1696" i="16"/>
  <c r="L1696" i="16"/>
  <c r="K1696" i="16"/>
  <c r="J1707" i="16"/>
  <c r="H1707" i="16"/>
  <c r="T1712" i="16"/>
  <c r="N1712" i="16"/>
  <c r="E1712" i="16"/>
  <c r="J1712" i="16"/>
  <c r="L1712" i="16"/>
  <c r="F1716" i="16"/>
  <c r="G1716" i="16"/>
  <c r="P1716" i="16"/>
  <c r="T1722" i="16"/>
  <c r="E1730" i="16"/>
  <c r="T1730" i="16"/>
  <c r="M1730" i="16"/>
  <c r="I1730" i="16"/>
  <c r="J1734" i="16"/>
  <c r="T1734" i="16"/>
  <c r="I1734" i="16"/>
  <c r="H1734" i="16"/>
  <c r="K1747" i="16"/>
  <c r="H1747" i="16"/>
  <c r="H1780" i="16"/>
  <c r="G1780" i="16"/>
  <c r="F1780" i="16"/>
  <c r="I1780" i="16"/>
  <c r="K1790" i="16"/>
  <c r="N1790" i="16"/>
  <c r="M1790" i="16"/>
  <c r="T1790" i="16"/>
  <c r="E1790" i="16"/>
  <c r="J1790" i="16"/>
  <c r="O1790" i="16"/>
  <c r="T1800" i="16"/>
  <c r="L1800" i="16"/>
  <c r="K1800" i="16"/>
  <c r="P1800" i="16"/>
  <c r="E1800" i="16"/>
  <c r="F1800" i="16"/>
  <c r="N1800" i="16"/>
  <c r="K1801" i="16"/>
  <c r="O1803" i="16"/>
  <c r="M1803" i="16"/>
  <c r="I1803" i="16"/>
  <c r="L1803" i="16"/>
  <c r="L1829" i="16"/>
  <c r="O1829" i="16"/>
  <c r="N1829" i="16"/>
  <c r="T1829" i="16"/>
  <c r="P1829" i="16"/>
  <c r="H1829" i="16"/>
  <c r="M1829" i="16"/>
  <c r="J1831" i="16"/>
  <c r="H1831" i="16"/>
  <c r="G1831" i="16"/>
  <c r="F1831" i="16"/>
  <c r="E1831" i="16"/>
  <c r="M1831" i="16"/>
  <c r="T1831" i="16"/>
  <c r="G1844" i="16"/>
  <c r="F1844" i="16"/>
  <c r="H1844" i="16"/>
  <c r="P1844" i="16"/>
  <c r="N1846" i="16"/>
  <c r="I1846" i="16"/>
  <c r="J1876" i="16"/>
  <c r="I1876" i="16"/>
  <c r="L1876" i="16"/>
  <c r="I1900" i="16"/>
  <c r="H1900" i="16"/>
  <c r="K1900" i="16"/>
  <c r="J1900" i="16"/>
  <c r="I1903" i="16"/>
  <c r="H1903" i="16"/>
  <c r="H1909" i="16"/>
  <c r="G1909" i="16"/>
  <c r="E1909" i="16"/>
  <c r="T1909" i="16"/>
  <c r="L1917" i="16"/>
  <c r="M1917" i="16"/>
  <c r="K1917" i="16"/>
  <c r="H1917" i="16"/>
  <c r="G1917" i="16"/>
  <c r="T1917" i="16"/>
  <c r="O1917" i="16"/>
  <c r="L1957" i="16"/>
  <c r="T1957" i="16"/>
  <c r="F1957" i="16"/>
  <c r="P1957" i="16"/>
  <c r="E1957" i="16"/>
  <c r="H1957" i="16"/>
  <c r="G1957" i="16"/>
  <c r="K1958" i="16"/>
  <c r="H1958" i="16"/>
  <c r="G1958" i="16"/>
  <c r="T1958" i="16"/>
  <c r="P1958" i="16"/>
  <c r="O1958" i="16"/>
  <c r="N1958" i="16"/>
  <c r="E1961" i="16"/>
  <c r="T1961" i="16"/>
  <c r="G1961" i="16"/>
  <c r="F1961" i="16"/>
  <c r="O1961" i="16"/>
  <c r="K1965" i="16"/>
  <c r="J1965" i="16"/>
  <c r="T2000" i="16"/>
  <c r="O2000" i="16"/>
  <c r="F2000" i="16"/>
  <c r="N2000" i="16"/>
  <c r="E2000" i="16"/>
  <c r="K2000" i="16"/>
  <c r="J2000" i="16"/>
  <c r="L2000" i="16"/>
  <c r="O2001" i="16"/>
  <c r="N2001" i="16"/>
  <c r="J2001" i="16"/>
  <c r="H2027" i="16"/>
  <c r="G2027" i="16"/>
  <c r="I2027" i="16"/>
  <c r="T2072" i="16"/>
  <c r="M2072" i="16"/>
  <c r="L2072" i="16"/>
  <c r="F2072" i="16"/>
  <c r="P2072" i="16"/>
  <c r="E2072" i="16"/>
  <c r="H2072" i="16"/>
  <c r="G2072" i="16"/>
  <c r="L2083" i="16"/>
  <c r="K2083" i="16"/>
  <c r="E2083" i="16"/>
  <c r="J2083" i="16"/>
  <c r="T2092" i="16"/>
  <c r="J2092" i="16"/>
  <c r="I2131" i="16"/>
  <c r="H2131" i="16"/>
  <c r="T2131" i="16"/>
  <c r="K2131" i="16"/>
  <c r="J2131" i="16"/>
  <c r="J2134" i="16"/>
  <c r="I2134" i="16"/>
  <c r="T2157" i="16"/>
  <c r="M2157" i="16"/>
  <c r="I2166" i="16"/>
  <c r="F2166" i="16"/>
  <c r="I2170" i="16"/>
  <c r="H2170" i="16"/>
  <c r="T2170" i="16"/>
  <c r="K2170" i="16"/>
  <c r="J2170" i="16"/>
  <c r="K2211" i="16"/>
  <c r="J2211" i="16"/>
  <c r="L2211" i="16"/>
  <c r="G2273" i="16"/>
  <c r="I2273" i="16"/>
  <c r="J2273" i="16"/>
  <c r="I2281" i="16"/>
  <c r="G2281" i="16"/>
  <c r="F2281" i="16"/>
  <c r="E2281" i="16"/>
  <c r="O2281" i="16"/>
  <c r="N2281" i="16"/>
  <c r="M2281" i="16"/>
  <c r="M2299" i="16"/>
  <c r="L2299" i="16"/>
  <c r="I2395" i="16"/>
  <c r="H2395" i="16"/>
  <c r="K2395" i="16"/>
  <c r="G2395" i="16"/>
  <c r="P2395" i="16"/>
  <c r="O2395" i="16"/>
  <c r="M2395" i="16"/>
  <c r="E2395" i="16"/>
  <c r="J2467" i="16"/>
  <c r="E2467" i="16"/>
  <c r="O2467" i="16"/>
  <c r="M2467" i="16"/>
  <c r="I2501" i="16"/>
  <c r="T2501" i="16"/>
  <c r="P2501" i="16"/>
  <c r="H2501" i="16"/>
  <c r="G2501" i="16"/>
  <c r="N2501" i="16"/>
  <c r="F2501" i="16"/>
  <c r="H2533" i="16"/>
  <c r="I2533" i="16"/>
  <c r="K2533" i="16"/>
  <c r="J2533" i="16"/>
  <c r="T2679" i="16"/>
  <c r="P2679" i="16"/>
  <c r="F2679" i="16"/>
  <c r="E2679" i="16"/>
  <c r="H2679" i="16"/>
  <c r="G2679" i="16"/>
  <c r="K2692" i="16"/>
  <c r="J2692" i="16"/>
  <c r="O2692" i="16"/>
  <c r="L2692" i="16"/>
  <c r="L2771" i="16"/>
  <c r="K2771" i="16"/>
  <c r="M2771" i="16"/>
  <c r="J2771" i="16"/>
  <c r="K2884" i="16"/>
  <c r="P2884" i="16"/>
  <c r="T3000" i="16"/>
  <c r="N3000" i="16"/>
  <c r="E3000" i="16"/>
  <c r="M3000" i="16"/>
  <c r="G3000" i="16"/>
  <c r="F3000" i="16"/>
  <c r="J3000" i="16"/>
  <c r="H3000" i="16"/>
  <c r="L3000" i="16"/>
  <c r="K3000" i="16"/>
  <c r="I3051" i="16"/>
  <c r="H3051" i="16"/>
  <c r="E3051" i="16"/>
  <c r="L3051" i="16"/>
  <c r="J3051" i="16"/>
  <c r="T3051" i="16"/>
  <c r="P3051" i="16"/>
  <c r="M3051" i="16"/>
  <c r="O3110" i="16"/>
  <c r="N3110" i="16"/>
  <c r="T3168" i="16"/>
  <c r="P3168" i="16"/>
  <c r="G3168" i="16"/>
  <c r="O3168" i="16"/>
  <c r="F3168" i="16"/>
  <c r="E3168" i="16"/>
  <c r="J3168" i="16"/>
  <c r="H3168" i="16"/>
  <c r="M3168" i="16"/>
  <c r="L3168" i="16"/>
  <c r="K3168" i="16"/>
  <c r="I3230" i="16"/>
  <c r="N3230" i="16"/>
  <c r="M3230" i="16"/>
  <c r="J3230" i="16"/>
  <c r="N3246" i="16"/>
  <c r="M3246" i="16"/>
  <c r="E3246" i="16"/>
  <c r="T3246" i="16"/>
  <c r="G3246" i="16"/>
  <c r="F3246" i="16"/>
  <c r="P3246" i="16"/>
  <c r="O3246" i="16"/>
  <c r="J3246" i="16"/>
  <c r="H3246" i="16"/>
  <c r="I3463" i="16"/>
  <c r="H3463" i="16"/>
  <c r="G3463" i="16"/>
  <c r="F3463" i="16"/>
  <c r="L3475" i="16"/>
  <c r="I3475" i="16"/>
  <c r="K3475" i="16"/>
  <c r="J3475" i="16"/>
  <c r="K3508" i="16"/>
  <c r="H3508" i="16"/>
  <c r="J3508" i="16"/>
  <c r="I3508" i="16"/>
  <c r="H3559" i="16"/>
  <c r="M3559" i="16"/>
  <c r="L3559" i="16"/>
  <c r="N3559" i="16"/>
  <c r="F3559" i="16"/>
  <c r="E3559" i="16"/>
  <c r="P3559" i="16"/>
  <c r="O3559" i="16"/>
  <c r="M3607" i="16"/>
  <c r="L3607" i="16"/>
  <c r="H3607" i="16"/>
  <c r="I3607" i="16"/>
  <c r="P3701" i="16"/>
  <c r="O3701" i="16"/>
  <c r="N3701" i="16"/>
  <c r="T3705" i="16"/>
  <c r="J3705" i="16"/>
  <c r="G3705" i="16"/>
  <c r="L3705" i="16"/>
  <c r="K3705" i="16"/>
  <c r="N3705" i="16"/>
  <c r="M3705" i="16"/>
  <c r="F3705" i="16"/>
  <c r="E3705" i="16"/>
  <c r="O3705" i="16"/>
  <c r="I3836" i="16"/>
  <c r="L3836" i="16"/>
  <c r="O3836" i="16"/>
  <c r="T3840" i="16"/>
  <c r="H3840" i="16"/>
  <c r="O3840" i="16"/>
  <c r="F3840" i="16"/>
  <c r="G3840" i="16"/>
  <c r="E3840" i="16"/>
  <c r="M3840" i="16"/>
  <c r="L3840" i="16"/>
  <c r="K3840" i="16"/>
  <c r="J3840" i="16"/>
  <c r="P3840" i="16"/>
  <c r="N3840" i="16"/>
  <c r="K4130" i="16"/>
  <c r="F4130" i="16"/>
  <c r="E4130" i="16"/>
  <c r="T4130" i="16"/>
  <c r="O4130" i="16"/>
  <c r="J4130" i="16"/>
  <c r="J4140" i="16"/>
  <c r="T4140" i="16"/>
  <c r="M4140" i="16"/>
  <c r="L4140" i="16"/>
  <c r="I4253" i="16"/>
  <c r="T4253" i="16"/>
  <c r="G4253" i="16"/>
  <c r="P4253" i="16"/>
  <c r="O4253" i="16"/>
  <c r="H4253" i="16"/>
  <c r="F4253" i="16"/>
  <c r="N4253" i="16"/>
  <c r="L4253" i="16"/>
  <c r="K4253" i="16"/>
  <c r="I4272" i="16"/>
  <c r="E4272" i="16"/>
  <c r="O4272" i="16"/>
  <c r="N4272" i="16"/>
  <c r="K4372" i="16"/>
  <c r="P4372" i="16"/>
  <c r="E4372" i="16"/>
  <c r="O4372" i="16"/>
  <c r="I4372" i="16"/>
  <c r="I4375" i="16"/>
  <c r="M4375" i="16"/>
  <c r="J4375" i="16"/>
  <c r="L4375" i="16"/>
  <c r="L4512" i="16"/>
  <c r="I4512" i="16"/>
  <c r="H4512" i="16"/>
  <c r="G4512" i="16"/>
  <c r="T4512" i="16"/>
  <c r="L4530" i="16"/>
  <c r="G4530" i="16"/>
  <c r="M4530" i="16"/>
  <c r="F4592" i="16"/>
  <c r="T4592" i="16"/>
  <c r="G4592" i="16"/>
  <c r="L4592" i="16"/>
  <c r="I4592" i="16"/>
  <c r="H4592" i="16"/>
  <c r="P4592" i="16"/>
  <c r="O4592" i="16"/>
  <c r="I4679" i="16"/>
  <c r="G4679" i="16"/>
  <c r="P4679" i="16"/>
  <c r="H4679" i="16"/>
  <c r="T4679" i="16"/>
  <c r="F4679" i="16"/>
  <c r="T4681" i="16"/>
  <c r="O4681" i="16"/>
  <c r="F4681" i="16"/>
  <c r="N4681" i="16"/>
  <c r="E4681" i="16"/>
  <c r="M4681" i="16"/>
  <c r="K4681" i="16"/>
  <c r="G4681" i="16"/>
  <c r="J4681" i="16"/>
  <c r="H4681" i="16"/>
  <c r="P4681" i="16"/>
  <c r="L4681" i="16"/>
  <c r="J5165" i="16"/>
  <c r="I5165" i="16"/>
  <c r="H5165" i="16"/>
  <c r="K5165" i="16"/>
  <c r="T5169" i="16"/>
  <c r="P5169" i="16"/>
  <c r="G5169" i="16"/>
  <c r="O5169" i="16"/>
  <c r="F5169" i="16"/>
  <c r="N5169" i="16"/>
  <c r="E5169" i="16"/>
  <c r="L5169" i="16"/>
  <c r="K5169" i="16"/>
  <c r="J5169" i="16"/>
  <c r="M5169" i="16"/>
  <c r="H5169" i="16"/>
  <c r="T5313" i="16"/>
  <c r="N5313" i="16"/>
  <c r="E5313" i="16"/>
  <c r="M5313" i="16"/>
  <c r="L5313" i="16"/>
  <c r="G5313" i="16"/>
  <c r="F5313" i="16"/>
  <c r="H5313" i="16"/>
  <c r="O5313" i="16"/>
  <c r="K5313" i="16"/>
  <c r="J5313" i="16"/>
  <c r="P5313" i="16"/>
  <c r="L5362" i="16"/>
  <c r="F5362" i="16"/>
  <c r="J5381" i="16"/>
  <c r="I5381" i="16"/>
  <c r="H5381" i="16"/>
  <c r="K5381" i="16"/>
  <c r="T5387" i="16"/>
  <c r="P5387" i="16"/>
  <c r="M5387" i="16"/>
  <c r="L5387" i="16"/>
  <c r="T1883" i="16"/>
  <c r="P1883" i="16"/>
  <c r="E1883" i="16"/>
  <c r="O1883" i="16"/>
  <c r="T1908" i="16"/>
  <c r="P1908" i="16"/>
  <c r="G1908" i="16"/>
  <c r="F1908" i="16"/>
  <c r="H1908" i="16"/>
  <c r="P1917" i="16"/>
  <c r="L1940" i="16"/>
  <c r="I1940" i="16"/>
  <c r="J1940" i="16"/>
  <c r="K1980" i="16"/>
  <c r="J1980" i="16"/>
  <c r="F1980" i="16"/>
  <c r="T1992" i="16"/>
  <c r="N1992" i="16"/>
  <c r="E1992" i="16"/>
  <c r="M1992" i="16"/>
  <c r="O1992" i="16"/>
  <c r="L1992" i="16"/>
  <c r="P1992" i="16"/>
  <c r="K1992" i="16"/>
  <c r="M2009" i="16"/>
  <c r="L2009" i="16"/>
  <c r="G2009" i="16"/>
  <c r="F2009" i="16"/>
  <c r="O2009" i="16"/>
  <c r="L2021" i="16"/>
  <c r="E2021" i="16"/>
  <c r="P2021" i="16"/>
  <c r="K2021" i="16"/>
  <c r="G2021" i="16"/>
  <c r="M2021" i="16"/>
  <c r="F2021" i="16"/>
  <c r="J2023" i="16"/>
  <c r="E2023" i="16"/>
  <c r="P2023" i="16"/>
  <c r="O2023" i="16"/>
  <c r="N2023" i="16"/>
  <c r="G2118" i="16"/>
  <c r="P2118" i="16"/>
  <c r="J2118" i="16"/>
  <c r="T2118" i="16"/>
  <c r="I2118" i="16"/>
  <c r="T2137" i="16"/>
  <c r="F2137" i="16"/>
  <c r="O2137" i="16"/>
  <c r="E2137" i="16"/>
  <c r="K2137" i="16"/>
  <c r="I2137" i="16"/>
  <c r="G2137" i="16"/>
  <c r="P2139" i="16"/>
  <c r="O2139" i="16"/>
  <c r="H2139" i="16"/>
  <c r="G2139" i="16"/>
  <c r="I2140" i="16"/>
  <c r="H2140" i="16"/>
  <c r="G2140" i="16"/>
  <c r="F2140" i="16"/>
  <c r="L2149" i="16"/>
  <c r="P2149" i="16"/>
  <c r="O2149" i="16"/>
  <c r="F2149" i="16"/>
  <c r="E2149" i="16"/>
  <c r="N2149" i="16"/>
  <c r="M2149" i="16"/>
  <c r="K2149" i="16"/>
  <c r="H2165" i="16"/>
  <c r="E2165" i="16"/>
  <c r="G2165" i="16"/>
  <c r="F2165" i="16"/>
  <c r="E2197" i="16"/>
  <c r="N2197" i="16"/>
  <c r="K2197" i="16"/>
  <c r="I2197" i="16"/>
  <c r="K2214" i="16"/>
  <c r="E2214" i="16"/>
  <c r="P2214" i="16"/>
  <c r="O2214" i="16"/>
  <c r="L2214" i="16"/>
  <c r="G2214" i="16"/>
  <c r="F2214" i="16"/>
  <c r="T2231" i="16"/>
  <c r="H2231" i="16"/>
  <c r="G2231" i="16"/>
  <c r="F2231" i="16"/>
  <c r="L2250" i="16"/>
  <c r="K2250" i="16"/>
  <c r="J2250" i="16"/>
  <c r="E2250" i="16"/>
  <c r="I2263" i="16"/>
  <c r="E2263" i="16"/>
  <c r="K2263" i="16"/>
  <c r="I2268" i="16"/>
  <c r="G2268" i="16"/>
  <c r="F2268" i="16"/>
  <c r="T2268" i="16"/>
  <c r="P2268" i="16"/>
  <c r="H2268" i="16"/>
  <c r="J2298" i="16"/>
  <c r="I2298" i="16"/>
  <c r="L2301" i="16"/>
  <c r="M2301" i="16"/>
  <c r="K2301" i="16"/>
  <c r="P2301" i="16"/>
  <c r="O2301" i="16"/>
  <c r="T2301" i="16"/>
  <c r="N2301" i="16"/>
  <c r="J2301" i="16"/>
  <c r="O2371" i="16"/>
  <c r="J2371" i="16"/>
  <c r="K2382" i="16"/>
  <c r="F2382" i="16"/>
  <c r="T2382" i="16"/>
  <c r="E2382" i="16"/>
  <c r="H2382" i="16"/>
  <c r="G2382" i="16"/>
  <c r="O2382" i="16"/>
  <c r="N2382" i="16"/>
  <c r="M2382" i="16"/>
  <c r="T2553" i="16"/>
  <c r="G2553" i="16"/>
  <c r="F2553" i="16"/>
  <c r="K2553" i="16"/>
  <c r="J2553" i="16"/>
  <c r="L2553" i="16"/>
  <c r="E2553" i="16"/>
  <c r="O2553" i="16"/>
  <c r="N2553" i="16"/>
  <c r="M2553" i="16"/>
  <c r="J2611" i="16"/>
  <c r="H2611" i="16"/>
  <c r="E2611" i="16"/>
  <c r="P2611" i="16"/>
  <c r="M2611" i="16"/>
  <c r="T2611" i="16"/>
  <c r="I2611" i="16"/>
  <c r="T2624" i="16"/>
  <c r="N2624" i="16"/>
  <c r="E2624" i="16"/>
  <c r="M2624" i="16"/>
  <c r="F2624" i="16"/>
  <c r="P2624" i="16"/>
  <c r="J2624" i="16"/>
  <c r="H2624" i="16"/>
  <c r="G2624" i="16"/>
  <c r="I2789" i="16"/>
  <c r="H2789" i="16"/>
  <c r="N2789" i="16"/>
  <c r="J2789" i="16"/>
  <c r="J2795" i="16"/>
  <c r="E2795" i="16"/>
  <c r="T2795" i="16"/>
  <c r="L2795" i="16"/>
  <c r="I2795" i="16"/>
  <c r="H2795" i="16"/>
  <c r="T2849" i="16"/>
  <c r="M2849" i="16"/>
  <c r="L2849" i="16"/>
  <c r="F2849" i="16"/>
  <c r="E2849" i="16"/>
  <c r="K2849" i="16"/>
  <c r="J2849" i="16"/>
  <c r="G2849" i="16"/>
  <c r="J2946" i="16"/>
  <c r="I2946" i="16"/>
  <c r="M2946" i="16"/>
  <c r="L2946" i="16"/>
  <c r="N2946" i="16"/>
  <c r="F2946" i="16"/>
  <c r="T2946" i="16"/>
  <c r="E2946" i="16"/>
  <c r="E3078" i="16"/>
  <c r="G3078" i="16"/>
  <c r="F3078" i="16"/>
  <c r="I3078" i="16"/>
  <c r="J3092" i="16"/>
  <c r="I3092" i="16"/>
  <c r="O3092" i="16"/>
  <c r="L3092" i="16"/>
  <c r="T3092" i="16"/>
  <c r="P3092" i="16"/>
  <c r="H3092" i="16"/>
  <c r="G3092" i="16"/>
  <c r="T3176" i="16"/>
  <c r="O3176" i="16"/>
  <c r="F3176" i="16"/>
  <c r="N3176" i="16"/>
  <c r="E3176" i="16"/>
  <c r="K3176" i="16"/>
  <c r="J3176" i="16"/>
  <c r="H3176" i="16"/>
  <c r="G3176" i="16"/>
  <c r="P3176" i="16"/>
  <c r="M3176" i="16"/>
  <c r="L3176" i="16"/>
  <c r="P3179" i="16"/>
  <c r="M3179" i="16"/>
  <c r="T3179" i="16"/>
  <c r="J3179" i="16"/>
  <c r="I3179" i="16"/>
  <c r="H3179" i="16"/>
  <c r="E3179" i="16"/>
  <c r="H3195" i="16"/>
  <c r="E3195" i="16"/>
  <c r="P3195" i="16"/>
  <c r="J3195" i="16"/>
  <c r="I3195" i="16"/>
  <c r="M3223" i="16"/>
  <c r="I3223" i="16"/>
  <c r="H3223" i="16"/>
  <c r="L3223" i="16"/>
  <c r="E3371" i="16"/>
  <c r="T3371" i="16"/>
  <c r="L3371" i="16"/>
  <c r="J3371" i="16"/>
  <c r="P3371" i="16"/>
  <c r="M3371" i="16"/>
  <c r="I3371" i="16"/>
  <c r="H3371" i="16"/>
  <c r="T3385" i="16"/>
  <c r="J3385" i="16"/>
  <c r="G3385" i="16"/>
  <c r="L3385" i="16"/>
  <c r="K3385" i="16"/>
  <c r="E3385" i="16"/>
  <c r="N3385" i="16"/>
  <c r="M3385" i="16"/>
  <c r="F3385" i="16"/>
  <c r="J3429" i="16"/>
  <c r="I3429" i="16"/>
  <c r="K3429" i="16"/>
  <c r="H3429" i="16"/>
  <c r="N3550" i="16"/>
  <c r="J3550" i="16"/>
  <c r="M3550" i="16"/>
  <c r="T3643" i="16"/>
  <c r="E3643" i="16"/>
  <c r="H3643" i="16"/>
  <c r="J3643" i="16"/>
  <c r="I3643" i="16"/>
  <c r="T3728" i="16"/>
  <c r="L3728" i="16"/>
  <c r="K3728" i="16"/>
  <c r="O3728" i="16"/>
  <c r="N3728" i="16"/>
  <c r="G3728" i="16"/>
  <c r="F3728" i="16"/>
  <c r="E3728" i="16"/>
  <c r="M3728" i="16"/>
  <c r="J3728" i="16"/>
  <c r="H3728" i="16"/>
  <c r="L3855" i="16"/>
  <c r="T3855" i="16"/>
  <c r="H3855" i="16"/>
  <c r="G3855" i="16"/>
  <c r="I3855" i="16"/>
  <c r="T3872" i="16"/>
  <c r="M3872" i="16"/>
  <c r="K3872" i="16"/>
  <c r="O3872" i="16"/>
  <c r="N3872" i="16"/>
  <c r="P3872" i="16"/>
  <c r="L3872" i="16"/>
  <c r="F3872" i="16"/>
  <c r="E3872" i="16"/>
  <c r="J3872" i="16"/>
  <c r="H3872" i="16"/>
  <c r="G3872" i="16"/>
  <c r="J3932" i="16"/>
  <c r="G3932" i="16"/>
  <c r="P3932" i="16"/>
  <c r="O3932" i="16"/>
  <c r="H3932" i="16"/>
  <c r="T3932" i="16"/>
  <c r="I3932" i="16"/>
  <c r="M3939" i="16"/>
  <c r="K3939" i="16"/>
  <c r="L3939" i="16"/>
  <c r="E3939" i="16"/>
  <c r="I4037" i="16"/>
  <c r="H4037" i="16"/>
  <c r="J4037" i="16"/>
  <c r="F4037" i="16"/>
  <c r="I4042" i="16"/>
  <c r="K4042" i="16"/>
  <c r="F4042" i="16"/>
  <c r="T4042" i="16"/>
  <c r="N4042" i="16"/>
  <c r="L4042" i="16"/>
  <c r="G4042" i="16"/>
  <c r="E4042" i="16"/>
  <c r="O4042" i="16"/>
  <c r="M4091" i="16"/>
  <c r="K4091" i="16"/>
  <c r="N4091" i="16"/>
  <c r="K4279" i="16"/>
  <c r="H4279" i="16"/>
  <c r="P4279" i="16"/>
  <c r="F4279" i="16"/>
  <c r="T4279" i="16"/>
  <c r="O4279" i="16"/>
  <c r="E4279" i="16"/>
  <c r="M4279" i="16"/>
  <c r="L4279" i="16"/>
  <c r="J4279" i="16"/>
  <c r="G4279" i="16"/>
  <c r="N4279" i="16"/>
  <c r="P4479" i="16"/>
  <c r="E4479" i="16"/>
  <c r="M4560" i="16"/>
  <c r="K4560" i="16"/>
  <c r="E4560" i="16"/>
  <c r="L4560" i="16"/>
  <c r="P4587" i="16"/>
  <c r="E4587" i="16"/>
  <c r="N4587" i="16"/>
  <c r="H4587" i="16"/>
  <c r="I4587" i="16"/>
  <c r="F4587" i="16"/>
  <c r="M4587" i="16"/>
  <c r="L4587" i="16"/>
  <c r="K4587" i="16"/>
  <c r="T4587" i="16"/>
  <c r="P4932" i="16"/>
  <c r="E4932" i="16"/>
  <c r="O4932" i="16"/>
  <c r="K4932" i="16"/>
  <c r="H4932" i="16"/>
  <c r="I4932" i="16"/>
  <c r="G4932" i="16"/>
  <c r="T4932" i="16"/>
  <c r="M4932" i="16"/>
  <c r="L4932" i="16"/>
  <c r="J5152" i="16"/>
  <c r="O5152" i="16"/>
  <c r="E5152" i="16"/>
  <c r="N5152" i="16"/>
  <c r="M5152" i="16"/>
  <c r="P5152" i="16"/>
  <c r="G5152" i="16"/>
  <c r="K5152" i="16"/>
  <c r="H5152" i="16"/>
  <c r="L5152" i="16"/>
  <c r="F5152" i="16"/>
  <c r="M5254" i="16"/>
  <c r="J5254" i="16"/>
  <c r="I5254" i="16"/>
  <c r="O5254" i="16"/>
  <c r="E5254" i="16"/>
  <c r="AG1490" i="15"/>
  <c r="AD1490" i="15"/>
  <c r="S1490" i="15"/>
  <c r="L1490" i="15"/>
  <c r="AA1490" i="15"/>
  <c r="AG1498" i="15"/>
  <c r="U1498" i="15"/>
  <c r="J1498" i="15"/>
  <c r="M1498" i="15"/>
  <c r="AB1498" i="15"/>
  <c r="AH1513" i="15"/>
  <c r="AD1513" i="15"/>
  <c r="T1513" i="15"/>
  <c r="H1513" i="15"/>
  <c r="L1513" i="15"/>
  <c r="W1513" i="15"/>
  <c r="N1517" i="15"/>
  <c r="AA1517" i="15"/>
  <c r="N1520" i="15"/>
  <c r="AH1520" i="15"/>
  <c r="AG1522" i="15"/>
  <c r="U1522" i="15"/>
  <c r="J1522" i="15"/>
  <c r="M1522" i="15"/>
  <c r="AB1522" i="15"/>
  <c r="M1525" i="15"/>
  <c r="X1525" i="15"/>
  <c r="N1526" i="15"/>
  <c r="AD1526" i="15"/>
  <c r="N1530" i="15"/>
  <c r="AC1530" i="15"/>
  <c r="R1534" i="15"/>
  <c r="AD1534" i="15"/>
  <c r="AG1542" i="15"/>
  <c r="AD1542" i="15"/>
  <c r="S1542" i="15"/>
  <c r="L1542" i="15"/>
  <c r="AA1542" i="15"/>
  <c r="AG1546" i="15"/>
  <c r="AH1546" i="15"/>
  <c r="T1546" i="15"/>
  <c r="L1546" i="15"/>
  <c r="AA1546" i="15"/>
  <c r="R1550" i="15"/>
  <c r="AD1550" i="15"/>
  <c r="O1565" i="15"/>
  <c r="AF1565" i="15"/>
  <c r="AB1585" i="15"/>
  <c r="AF1585" i="15"/>
  <c r="P1585" i="15"/>
  <c r="M1585" i="15"/>
  <c r="AD1585" i="15"/>
  <c r="AA1587" i="15"/>
  <c r="N1602" i="15"/>
  <c r="AC1602" i="15"/>
  <c r="AH1614" i="15"/>
  <c r="AC1614" i="15"/>
  <c r="O1614" i="15"/>
  <c r="L1614" i="15"/>
  <c r="AA1614" i="15"/>
  <c r="AB1625" i="15"/>
  <c r="V1625" i="15"/>
  <c r="M1625" i="15"/>
  <c r="AD1625" i="15"/>
  <c r="O1629" i="15"/>
  <c r="AH1630" i="15"/>
  <c r="V1630" i="15"/>
  <c r="K1630" i="15"/>
  <c r="M1630" i="15"/>
  <c r="AB1630" i="15"/>
  <c r="AG1632" i="15"/>
  <c r="AG1644" i="15"/>
  <c r="P1644" i="15"/>
  <c r="Z1644" i="15"/>
  <c r="O1649" i="15"/>
  <c r="AH1650" i="15"/>
  <c r="V1650" i="15"/>
  <c r="K1650" i="15"/>
  <c r="M1650" i="15"/>
  <c r="AB1650" i="15"/>
  <c r="AB1657" i="15"/>
  <c r="AE1657" i="15"/>
  <c r="O1657" i="15"/>
  <c r="M1657" i="15"/>
  <c r="AD1657" i="15"/>
  <c r="AH1662" i="15"/>
  <c r="AD1662" i="15"/>
  <c r="S1662" i="15"/>
  <c r="L1662" i="15"/>
  <c r="AA1662" i="15"/>
  <c r="O1666" i="15"/>
  <c r="AD1666" i="15"/>
  <c r="Q1691" i="15"/>
  <c r="N1694" i="15"/>
  <c r="AC1694" i="15"/>
  <c r="Z1700" i="15"/>
  <c r="O1705" i="15"/>
  <c r="AF1705" i="15"/>
  <c r="AB1713" i="15"/>
  <c r="AE1713" i="15"/>
  <c r="O1713" i="15"/>
  <c r="M1713" i="15"/>
  <c r="AD1713" i="15"/>
  <c r="O1722" i="15"/>
  <c r="AD1722" i="15"/>
  <c r="AB1757" i="15"/>
  <c r="X1757" i="15"/>
  <c r="H1757" i="15"/>
  <c r="N1757" i="15"/>
  <c r="AE1757" i="15"/>
  <c r="AB1761" i="15"/>
  <c r="AE1761" i="15"/>
  <c r="O1761" i="15"/>
  <c r="M1761" i="15"/>
  <c r="AD1761" i="15"/>
  <c r="Q1768" i="15"/>
  <c r="AB1773" i="15"/>
  <c r="AD1773" i="15"/>
  <c r="N1773" i="15"/>
  <c r="M1773" i="15"/>
  <c r="AE1773" i="15"/>
  <c r="J1776" i="15"/>
  <c r="AH1776" i="15"/>
  <c r="AB1785" i="15"/>
  <c r="X1785" i="15"/>
  <c r="H1785" i="15"/>
  <c r="N1785" i="15"/>
  <c r="AE1785" i="15"/>
  <c r="X1800" i="15"/>
  <c r="W1800" i="15"/>
  <c r="P1800" i="15"/>
  <c r="AH1814" i="15"/>
  <c r="AD1814" i="15"/>
  <c r="T1814" i="15"/>
  <c r="H1814" i="15"/>
  <c r="L1814" i="15"/>
  <c r="W1814" i="15"/>
  <c r="AB1817" i="15"/>
  <c r="AF1817" i="15"/>
  <c r="P1817" i="15"/>
  <c r="M1817" i="15"/>
  <c r="AD1817" i="15"/>
  <c r="AF1824" i="15"/>
  <c r="H1824" i="15"/>
  <c r="P1824" i="15"/>
  <c r="AB1825" i="15"/>
  <c r="V1825" i="15"/>
  <c r="M1825" i="15"/>
  <c r="AD1825" i="15"/>
  <c r="AH1828" i="15"/>
  <c r="P1828" i="15"/>
  <c r="O1828" i="15"/>
  <c r="AB1829" i="15"/>
  <c r="X1829" i="15"/>
  <c r="H1829" i="15"/>
  <c r="N1829" i="15"/>
  <c r="AE1829" i="15"/>
  <c r="AH1842" i="15"/>
  <c r="AB1842" i="15"/>
  <c r="P1842" i="15"/>
  <c r="K1842" i="15"/>
  <c r="V1842" i="15"/>
  <c r="AB1845" i="15"/>
  <c r="AE1845" i="15"/>
  <c r="O1845" i="15"/>
  <c r="M1845" i="15"/>
  <c r="AD1845" i="15"/>
  <c r="R1868" i="15"/>
  <c r="O1869" i="15"/>
  <c r="AF1869" i="15"/>
  <c r="AB1877" i="15"/>
  <c r="W1877" i="15"/>
  <c r="G1877" i="15"/>
  <c r="N1877" i="15"/>
  <c r="AE1877" i="15"/>
  <c r="AH1890" i="15"/>
  <c r="AA1890" i="15"/>
  <c r="O1890" i="15"/>
  <c r="K1890" i="15"/>
  <c r="V1890" i="15"/>
  <c r="Q1892" i="15"/>
  <c r="L1902" i="15"/>
  <c r="W1902" i="15"/>
  <c r="AH1902" i="15"/>
  <c r="J1904" i="15"/>
  <c r="AE1908" i="15"/>
  <c r="G1908" i="15"/>
  <c r="P1908" i="15"/>
  <c r="AB1909" i="15"/>
  <c r="U1909" i="15"/>
  <c r="M1909" i="15"/>
  <c r="AD1909" i="15"/>
  <c r="P1933" i="15"/>
  <c r="AG1934" i="15"/>
  <c r="AD1934" i="15"/>
  <c r="U1934" i="15"/>
  <c r="L1934" i="15"/>
  <c r="J1934" i="15"/>
  <c r="T1934" i="15"/>
  <c r="AE1934" i="15"/>
  <c r="Q1943" i="15"/>
  <c r="P1945" i="15"/>
  <c r="AG1946" i="15"/>
  <c r="Z1946" i="15"/>
  <c r="P1946" i="15"/>
  <c r="G1946" i="15"/>
  <c r="K1946" i="15"/>
  <c r="U1946" i="15"/>
  <c r="AE1946" i="15"/>
  <c r="O1948" i="15"/>
  <c r="AH1948" i="15"/>
  <c r="T1951" i="15"/>
  <c r="O1956" i="15"/>
  <c r="AH1956" i="15"/>
  <c r="O1985" i="15"/>
  <c r="AF1985" i="15"/>
  <c r="AB1997" i="15"/>
  <c r="AF1997" i="15"/>
  <c r="P1997" i="15"/>
  <c r="M1997" i="15"/>
  <c r="AD1997" i="15"/>
  <c r="G71" i="16"/>
  <c r="I71" i="16"/>
  <c r="H71" i="16"/>
  <c r="T116" i="16"/>
  <c r="K116" i="16"/>
  <c r="T199" i="16"/>
  <c r="J199" i="16"/>
  <c r="L199" i="16"/>
  <c r="K205" i="16"/>
  <c r="G205" i="16"/>
  <c r="H282" i="16"/>
  <c r="I282" i="16"/>
  <c r="L341" i="16"/>
  <c r="G341" i="16"/>
  <c r="H341" i="16"/>
  <c r="J407" i="16"/>
  <c r="E407" i="16"/>
  <c r="E408" i="16"/>
  <c r="T408" i="16" s="1"/>
  <c r="E486" i="16"/>
  <c r="F486" i="16" s="1"/>
  <c r="L527" i="16"/>
  <c r="M527" i="16"/>
  <c r="M566" i="16"/>
  <c r="E623" i="16"/>
  <c r="F623" i="16"/>
  <c r="K720" i="16"/>
  <c r="I720" i="16"/>
  <c r="H779" i="16"/>
  <c r="G779" i="16"/>
  <c r="I779" i="16"/>
  <c r="H799" i="16"/>
  <c r="E814" i="16"/>
  <c r="F814" i="16" s="1"/>
  <c r="M847" i="16"/>
  <c r="K847" i="16"/>
  <c r="M904" i="16"/>
  <c r="M919" i="16"/>
  <c r="M948" i="16"/>
  <c r="I948" i="16"/>
  <c r="J1034" i="16"/>
  <c r="H1034" i="16"/>
  <c r="E1040" i="16"/>
  <c r="L1101" i="16"/>
  <c r="M1101" i="16"/>
  <c r="I1163" i="16"/>
  <c r="G1163" i="16"/>
  <c r="M1212" i="16"/>
  <c r="H1212" i="16"/>
  <c r="G1310" i="16"/>
  <c r="H1314" i="16"/>
  <c r="I1314" i="16"/>
  <c r="O1346" i="16"/>
  <c r="J1350" i="16"/>
  <c r="G1350" i="16"/>
  <c r="N1350" i="16"/>
  <c r="M1350" i="16"/>
  <c r="P1364" i="16"/>
  <c r="T1391" i="16"/>
  <c r="M1391" i="16"/>
  <c r="K1391" i="16"/>
  <c r="N1391" i="16"/>
  <c r="L1393" i="16"/>
  <c r="P1393" i="16"/>
  <c r="J1406" i="16"/>
  <c r="F1406" i="16"/>
  <c r="O1406" i="16"/>
  <c r="M1406" i="16"/>
  <c r="T1423" i="16"/>
  <c r="M1423" i="16"/>
  <c r="N1423" i="16"/>
  <c r="L1423" i="16"/>
  <c r="P1429" i="16"/>
  <c r="T1447" i="16"/>
  <c r="F1447" i="16"/>
  <c r="M1447" i="16"/>
  <c r="L1469" i="16"/>
  <c r="F1469" i="16"/>
  <c r="O1469" i="16"/>
  <c r="N1469" i="16"/>
  <c r="T1476" i="16"/>
  <c r="G1476" i="16"/>
  <c r="P1483" i="16"/>
  <c r="K1486" i="16"/>
  <c r="G1486" i="16"/>
  <c r="M1486" i="16"/>
  <c r="O1486" i="16"/>
  <c r="O1488" i="16"/>
  <c r="N1496" i="16"/>
  <c r="T1508" i="16"/>
  <c r="J1511" i="16"/>
  <c r="T1511" i="16"/>
  <c r="G1511" i="16"/>
  <c r="K1511" i="16"/>
  <c r="M1511" i="16"/>
  <c r="P1523" i="16"/>
  <c r="N1560" i="16"/>
  <c r="T1568" i="16"/>
  <c r="P1568" i="16"/>
  <c r="G1568" i="16"/>
  <c r="L1568" i="16"/>
  <c r="K1568" i="16"/>
  <c r="K1574" i="16"/>
  <c r="T1574" i="16"/>
  <c r="F1574" i="16"/>
  <c r="G1574" i="16"/>
  <c r="N1574" i="16"/>
  <c r="N1592" i="16"/>
  <c r="J1615" i="16"/>
  <c r="T1615" i="16"/>
  <c r="E1615" i="16"/>
  <c r="H1615" i="16"/>
  <c r="O1615" i="16"/>
  <c r="I1625" i="16"/>
  <c r="M1625" i="16"/>
  <c r="O1625" i="16"/>
  <c r="L1625" i="16"/>
  <c r="T1632" i="16"/>
  <c r="H1632" i="16"/>
  <c r="J1632" i="16"/>
  <c r="L1632" i="16"/>
  <c r="P1639" i="16"/>
  <c r="H1652" i="16"/>
  <c r="G1652" i="16"/>
  <c r="P1652" i="16"/>
  <c r="T1678" i="16"/>
  <c r="F1681" i="16"/>
  <c r="E1681" i="16"/>
  <c r="O1689" i="16"/>
  <c r="N1696" i="16"/>
  <c r="K1702" i="16"/>
  <c r="P1702" i="16"/>
  <c r="E1702" i="16"/>
  <c r="F1702" i="16"/>
  <c r="N1702" i="16"/>
  <c r="J1710" i="16"/>
  <c r="T1710" i="16"/>
  <c r="K1726" i="16"/>
  <c r="T1726" i="16"/>
  <c r="G1726" i="16"/>
  <c r="O1726" i="16"/>
  <c r="J1726" i="16"/>
  <c r="M1726" i="16"/>
  <c r="P1754" i="16"/>
  <c r="N1754" i="16"/>
  <c r="F1754" i="16"/>
  <c r="E1754" i="16"/>
  <c r="T1754" i="16"/>
  <c r="J1791" i="16"/>
  <c r="O1791" i="16"/>
  <c r="E1791" i="16"/>
  <c r="N1791" i="16"/>
  <c r="K1791" i="16"/>
  <c r="F1791" i="16"/>
  <c r="P1791" i="16"/>
  <c r="P1796" i="16"/>
  <c r="I1796" i="16"/>
  <c r="K1918" i="16"/>
  <c r="N1918" i="16"/>
  <c r="M1918" i="16"/>
  <c r="O1918" i="16"/>
  <c r="L1918" i="16"/>
  <c r="H1918" i="16"/>
  <c r="P1918" i="16"/>
  <c r="O1931" i="16"/>
  <c r="M1931" i="16"/>
  <c r="G1931" i="16"/>
  <c r="E1931" i="16"/>
  <c r="H1931" i="16"/>
  <c r="T1931" i="16"/>
  <c r="J1977" i="16"/>
  <c r="I1977" i="16"/>
  <c r="G1977" i="16"/>
  <c r="F1977" i="16"/>
  <c r="O1977" i="16"/>
  <c r="L1997" i="16"/>
  <c r="H1997" i="16"/>
  <c r="G1997" i="16"/>
  <c r="T1997" i="16"/>
  <c r="P1997" i="16"/>
  <c r="J1997" i="16"/>
  <c r="O1997" i="16"/>
  <c r="T2009" i="16"/>
  <c r="N2020" i="16"/>
  <c r="L2020" i="16"/>
  <c r="P2020" i="16"/>
  <c r="O2020" i="16"/>
  <c r="I2020" i="16"/>
  <c r="H2020" i="16"/>
  <c r="G2020" i="16"/>
  <c r="L2068" i="16"/>
  <c r="K2068" i="16"/>
  <c r="I2068" i="16"/>
  <c r="I2071" i="16"/>
  <c r="E2071" i="16"/>
  <c r="H2091" i="16"/>
  <c r="G2091" i="16"/>
  <c r="J2091" i="16"/>
  <c r="I2091" i="16"/>
  <c r="I2178" i="16"/>
  <c r="H2178" i="16"/>
  <c r="F2178" i="16"/>
  <c r="E2178" i="16"/>
  <c r="I2234" i="16"/>
  <c r="H2234" i="16"/>
  <c r="E2242" i="16"/>
  <c r="T2242" i="16"/>
  <c r="P2242" i="16"/>
  <c r="H2242" i="16"/>
  <c r="F2242" i="16"/>
  <c r="K2284" i="16"/>
  <c r="J2284" i="16"/>
  <c r="I2284" i="16"/>
  <c r="H2284" i="16"/>
  <c r="T2296" i="16"/>
  <c r="O2296" i="16"/>
  <c r="F2296" i="16"/>
  <c r="N2296" i="16"/>
  <c r="E2296" i="16"/>
  <c r="G2296" i="16"/>
  <c r="P2296" i="16"/>
  <c r="M2296" i="16"/>
  <c r="I2330" i="16"/>
  <c r="L2330" i="16"/>
  <c r="H2330" i="16"/>
  <c r="M2330" i="16"/>
  <c r="F2330" i="16"/>
  <c r="P2330" i="16"/>
  <c r="N2330" i="16"/>
  <c r="E2330" i="16"/>
  <c r="T2360" i="16"/>
  <c r="M2360" i="16"/>
  <c r="L2360" i="16"/>
  <c r="P2360" i="16"/>
  <c r="E2360" i="16"/>
  <c r="O2360" i="16"/>
  <c r="G2360" i="16"/>
  <c r="F2360" i="16"/>
  <c r="N2360" i="16"/>
  <c r="N2549" i="16"/>
  <c r="K2549" i="16"/>
  <c r="O2549" i="16"/>
  <c r="J2549" i="16"/>
  <c r="H2604" i="16"/>
  <c r="G2604" i="16"/>
  <c r="T2604" i="16"/>
  <c r="K2604" i="16"/>
  <c r="T2646" i="16"/>
  <c r="M2646" i="16"/>
  <c r="H2646" i="16"/>
  <c r="G2646" i="16"/>
  <c r="J2652" i="16"/>
  <c r="H2652" i="16"/>
  <c r="G2652" i="16"/>
  <c r="O2652" i="16"/>
  <c r="I2652" i="16"/>
  <c r="T2652" i="16"/>
  <c r="P2652" i="16"/>
  <c r="I2654" i="16"/>
  <c r="H2654" i="16"/>
  <c r="M2654" i="16"/>
  <c r="J2654" i="16"/>
  <c r="J2675" i="16"/>
  <c r="T2675" i="16"/>
  <c r="M2675" i="16"/>
  <c r="I2675" i="16"/>
  <c r="H2675" i="16"/>
  <c r="E2675" i="16"/>
  <c r="I2685" i="16"/>
  <c r="T2685" i="16"/>
  <c r="P2685" i="16"/>
  <c r="K2685" i="16"/>
  <c r="G2685" i="16"/>
  <c r="O2685" i="16"/>
  <c r="N2685" i="16"/>
  <c r="F2685" i="16"/>
  <c r="T2705" i="16"/>
  <c r="G2705" i="16"/>
  <c r="F2705" i="16"/>
  <c r="L2705" i="16"/>
  <c r="K2705" i="16"/>
  <c r="M2705" i="16"/>
  <c r="J2705" i="16"/>
  <c r="E2705" i="16"/>
  <c r="T2729" i="16"/>
  <c r="F2729" i="16"/>
  <c r="O2729" i="16"/>
  <c r="E2729" i="16"/>
  <c r="J2729" i="16"/>
  <c r="G2729" i="16"/>
  <c r="N2729" i="16"/>
  <c r="M2729" i="16"/>
  <c r="L2729" i="16"/>
  <c r="K2729" i="16"/>
  <c r="J2755" i="16"/>
  <c r="H2755" i="16"/>
  <c r="E2755" i="16"/>
  <c r="I2755" i="16"/>
  <c r="T2755" i="16"/>
  <c r="I2922" i="16"/>
  <c r="J2922" i="16"/>
  <c r="L2922" i="16"/>
  <c r="K2922" i="16"/>
  <c r="J2954" i="16"/>
  <c r="E2954" i="16"/>
  <c r="M2954" i="16"/>
  <c r="I2954" i="16"/>
  <c r="N2954" i="16"/>
  <c r="F2954" i="16"/>
  <c r="T2954" i="16"/>
  <c r="T2961" i="16"/>
  <c r="N2961" i="16"/>
  <c r="M2961" i="16"/>
  <c r="O2961" i="16"/>
  <c r="L2961" i="16"/>
  <c r="F2961" i="16"/>
  <c r="E2961" i="16"/>
  <c r="J2961" i="16"/>
  <c r="G2961" i="16"/>
  <c r="L2986" i="16"/>
  <c r="J2986" i="16"/>
  <c r="I2986" i="16"/>
  <c r="K2986" i="16"/>
  <c r="T3097" i="16"/>
  <c r="F3097" i="16"/>
  <c r="O3097" i="16"/>
  <c r="E3097" i="16"/>
  <c r="N3097" i="16"/>
  <c r="L3097" i="16"/>
  <c r="K3097" i="16"/>
  <c r="M3097" i="16"/>
  <c r="J3097" i="16"/>
  <c r="G3097" i="16"/>
  <c r="T3120" i="16"/>
  <c r="N3120" i="16"/>
  <c r="E3120" i="16"/>
  <c r="M3120" i="16"/>
  <c r="O3120" i="16"/>
  <c r="L3120" i="16"/>
  <c r="G3120" i="16"/>
  <c r="F3120" i="16"/>
  <c r="K3120" i="16"/>
  <c r="J3120" i="16"/>
  <c r="H3120" i="16"/>
  <c r="T3136" i="16"/>
  <c r="M3136" i="16"/>
  <c r="L3136" i="16"/>
  <c r="N3136" i="16"/>
  <c r="K3136" i="16"/>
  <c r="E3136" i="16"/>
  <c r="G3136" i="16"/>
  <c r="F3136" i="16"/>
  <c r="P3136" i="16"/>
  <c r="T3264" i="16"/>
  <c r="M3264" i="16"/>
  <c r="L3264" i="16"/>
  <c r="H3264" i="16"/>
  <c r="G3264" i="16"/>
  <c r="P3264" i="16"/>
  <c r="O3264" i="16"/>
  <c r="J3264" i="16"/>
  <c r="F3264" i="16"/>
  <c r="E3264" i="16"/>
  <c r="T3285" i="16"/>
  <c r="P3285" i="16"/>
  <c r="J3285" i="16"/>
  <c r="G3285" i="16"/>
  <c r="T3288" i="16"/>
  <c r="L3288" i="16"/>
  <c r="K3288" i="16"/>
  <c r="H3288" i="16"/>
  <c r="G3288" i="16"/>
  <c r="E3288" i="16"/>
  <c r="P3288" i="16"/>
  <c r="N3288" i="16"/>
  <c r="M3288" i="16"/>
  <c r="J3288" i="16"/>
  <c r="F3288" i="16"/>
  <c r="T3300" i="16"/>
  <c r="I3300" i="16"/>
  <c r="H3300" i="16"/>
  <c r="L3300" i="16"/>
  <c r="J3300" i="16"/>
  <c r="G3300" i="16"/>
  <c r="P3300" i="16"/>
  <c r="J3365" i="16"/>
  <c r="I3365" i="16"/>
  <c r="K3365" i="16"/>
  <c r="H3365" i="16"/>
  <c r="T3585" i="16"/>
  <c r="F3585" i="16"/>
  <c r="O3585" i="16"/>
  <c r="E3585" i="16"/>
  <c r="J3585" i="16"/>
  <c r="G3585" i="16"/>
  <c r="L3585" i="16"/>
  <c r="K3585" i="16"/>
  <c r="N3585" i="16"/>
  <c r="M3585" i="16"/>
  <c r="T3680" i="16"/>
  <c r="H3680" i="16"/>
  <c r="P3680" i="16"/>
  <c r="G3680" i="16"/>
  <c r="O3680" i="16"/>
  <c r="N3680" i="16"/>
  <c r="J3680" i="16"/>
  <c r="F3680" i="16"/>
  <c r="E3680" i="16"/>
  <c r="L3680" i="16"/>
  <c r="K3680" i="16"/>
  <c r="T3776" i="16"/>
  <c r="N3776" i="16"/>
  <c r="E3776" i="16"/>
  <c r="M3776" i="16"/>
  <c r="H3776" i="16"/>
  <c r="G3776" i="16"/>
  <c r="L3776" i="16"/>
  <c r="K3776" i="16"/>
  <c r="J3776" i="16"/>
  <c r="F3776" i="16"/>
  <c r="P3776" i="16"/>
  <c r="O3776" i="16"/>
  <c r="H3783" i="16"/>
  <c r="G3783" i="16"/>
  <c r="I3783" i="16"/>
  <c r="F3783" i="16"/>
  <c r="T3808" i="16"/>
  <c r="M3808" i="16"/>
  <c r="K3808" i="16"/>
  <c r="O3808" i="16"/>
  <c r="N3808" i="16"/>
  <c r="E3808" i="16"/>
  <c r="G3808" i="16"/>
  <c r="F3808" i="16"/>
  <c r="J3808" i="16"/>
  <c r="H3808" i="16"/>
  <c r="L4032" i="16"/>
  <c r="K4032" i="16"/>
  <c r="H4032" i="16"/>
  <c r="O4032" i="16"/>
  <c r="N4032" i="16"/>
  <c r="T4032" i="16"/>
  <c r="P4032" i="16"/>
  <c r="J4032" i="16"/>
  <c r="G4032" i="16"/>
  <c r="F4032" i="16"/>
  <c r="E4032" i="16"/>
  <c r="M4032" i="16"/>
  <c r="K4240" i="16"/>
  <c r="E4240" i="16"/>
  <c r="F4240" i="16"/>
  <c r="P4240" i="16"/>
  <c r="L4240" i="16"/>
  <c r="H4270" i="16"/>
  <c r="G4270" i="16"/>
  <c r="T4270" i="16"/>
  <c r="E4270" i="16"/>
  <c r="P4270" i="16"/>
  <c r="N4270" i="16"/>
  <c r="K4270" i="16"/>
  <c r="J4270" i="16"/>
  <c r="F4270" i="16"/>
  <c r="O4270" i="16"/>
  <c r="T4345" i="16"/>
  <c r="O4345" i="16"/>
  <c r="F4345" i="16"/>
  <c r="M4345" i="16"/>
  <c r="E4345" i="16"/>
  <c r="P4345" i="16"/>
  <c r="G4345" i="16"/>
  <c r="N4345" i="16"/>
  <c r="K4345" i="16"/>
  <c r="J4345" i="16"/>
  <c r="H4345" i="16"/>
  <c r="N4475" i="16"/>
  <c r="M4475" i="16"/>
  <c r="E4528" i="16"/>
  <c r="G4528" i="16"/>
  <c r="H4528" i="16"/>
  <c r="F4528" i="16"/>
  <c r="J4555" i="16"/>
  <c r="I4555" i="16"/>
  <c r="H4555" i="16"/>
  <c r="T4555" i="16"/>
  <c r="P4555" i="16"/>
  <c r="M4555" i="16"/>
  <c r="F4555" i="16"/>
  <c r="J4557" i="16"/>
  <c r="L4557" i="16"/>
  <c r="G4557" i="16"/>
  <c r="P4557" i="16"/>
  <c r="N4557" i="16"/>
  <c r="O4557" i="16"/>
  <c r="F4557" i="16"/>
  <c r="T4996" i="16"/>
  <c r="G4996" i="16"/>
  <c r="P4996" i="16"/>
  <c r="E4996" i="16"/>
  <c r="O4996" i="16"/>
  <c r="L4996" i="16"/>
  <c r="K4996" i="16"/>
  <c r="H4996" i="16"/>
  <c r="M4996" i="16"/>
  <c r="I4996" i="16"/>
  <c r="L2317" i="16"/>
  <c r="P2317" i="16"/>
  <c r="O2317" i="16"/>
  <c r="G2317" i="16"/>
  <c r="F2317" i="16"/>
  <c r="T2317" i="16"/>
  <c r="T2340" i="16"/>
  <c r="G2340" i="16"/>
  <c r="P2340" i="16"/>
  <c r="F2340" i="16"/>
  <c r="I2340" i="16"/>
  <c r="H2340" i="16"/>
  <c r="L2341" i="16"/>
  <c r="K2341" i="16"/>
  <c r="G2341" i="16"/>
  <c r="O2341" i="16"/>
  <c r="F2357" i="16"/>
  <c r="E2357" i="16"/>
  <c r="P2357" i="16"/>
  <c r="T2376" i="16"/>
  <c r="P2376" i="16"/>
  <c r="G2376" i="16"/>
  <c r="O2376" i="16"/>
  <c r="F2376" i="16"/>
  <c r="N2376" i="16"/>
  <c r="M2376" i="16"/>
  <c r="L2376" i="16"/>
  <c r="T2399" i="16"/>
  <c r="P2399" i="16"/>
  <c r="G2399" i="16"/>
  <c r="F2399" i="16"/>
  <c r="T2418" i="16"/>
  <c r="F2418" i="16"/>
  <c r="P2418" i="16"/>
  <c r="E2418" i="16"/>
  <c r="I2418" i="16"/>
  <c r="H2418" i="16"/>
  <c r="I2419" i="16"/>
  <c r="L2419" i="16"/>
  <c r="H2419" i="16"/>
  <c r="P2419" i="16"/>
  <c r="N2457" i="16"/>
  <c r="M2457" i="16"/>
  <c r="T2457" i="16"/>
  <c r="O2457" i="16"/>
  <c r="K2457" i="16"/>
  <c r="I2463" i="16"/>
  <c r="H2463" i="16"/>
  <c r="F2494" i="16"/>
  <c r="E2494" i="16"/>
  <c r="T2494" i="16"/>
  <c r="P2494" i="16"/>
  <c r="F2498" i="16"/>
  <c r="E2498" i="16"/>
  <c r="M2498" i="16"/>
  <c r="L2498" i="16"/>
  <c r="T2504" i="16"/>
  <c r="O2504" i="16"/>
  <c r="F2504" i="16"/>
  <c r="N2504" i="16"/>
  <c r="E2504" i="16"/>
  <c r="K2504" i="16"/>
  <c r="J2504" i="16"/>
  <c r="P2504" i="16"/>
  <c r="I2514" i="16"/>
  <c r="F2514" i="16"/>
  <c r="N2514" i="16"/>
  <c r="J2514" i="16"/>
  <c r="G2543" i="16"/>
  <c r="F2543" i="16"/>
  <c r="E2543" i="16"/>
  <c r="P2543" i="16"/>
  <c r="T2545" i="16"/>
  <c r="M2545" i="16"/>
  <c r="L2545" i="16"/>
  <c r="O2545" i="16"/>
  <c r="K2545" i="16"/>
  <c r="H2547" i="16"/>
  <c r="E2547" i="16"/>
  <c r="T2547" i="16"/>
  <c r="L2564" i="16"/>
  <c r="K2564" i="16"/>
  <c r="O2564" i="16"/>
  <c r="J2564" i="16"/>
  <c r="L2620" i="16"/>
  <c r="K2620" i="16"/>
  <c r="T2633" i="16"/>
  <c r="M2633" i="16"/>
  <c r="L2633" i="16"/>
  <c r="O2633" i="16"/>
  <c r="N2633" i="16"/>
  <c r="J2633" i="16"/>
  <c r="G2633" i="16"/>
  <c r="K2666" i="16"/>
  <c r="J2666" i="16"/>
  <c r="T2672" i="16"/>
  <c r="P2672" i="16"/>
  <c r="G2672" i="16"/>
  <c r="O2672" i="16"/>
  <c r="F2672" i="16"/>
  <c r="H2672" i="16"/>
  <c r="E2672" i="16"/>
  <c r="N2672" i="16"/>
  <c r="E2683" i="16"/>
  <c r="J2683" i="16"/>
  <c r="I2683" i="16"/>
  <c r="T2713" i="16"/>
  <c r="J2713" i="16"/>
  <c r="G2713" i="16"/>
  <c r="O2713" i="16"/>
  <c r="N2713" i="16"/>
  <c r="K2713" i="16"/>
  <c r="F2713" i="16"/>
  <c r="O2733" i="16"/>
  <c r="N2733" i="16"/>
  <c r="K2748" i="16"/>
  <c r="J2748" i="16"/>
  <c r="O2748" i="16"/>
  <c r="I2748" i="16"/>
  <c r="J2754" i="16"/>
  <c r="E2754" i="16"/>
  <c r="M2754" i="16"/>
  <c r="L2754" i="16"/>
  <c r="T2761" i="16"/>
  <c r="F2761" i="16"/>
  <c r="O2761" i="16"/>
  <c r="E2761" i="16"/>
  <c r="G2761" i="16"/>
  <c r="N2761" i="16"/>
  <c r="J2781" i="16"/>
  <c r="T2781" i="16"/>
  <c r="I2781" i="16"/>
  <c r="H2781" i="16"/>
  <c r="J2788" i="16"/>
  <c r="I2788" i="16"/>
  <c r="T2788" i="16"/>
  <c r="P2788" i="16"/>
  <c r="G2806" i="16"/>
  <c r="T2806" i="16"/>
  <c r="F2806" i="16"/>
  <c r="J2806" i="16"/>
  <c r="H2806" i="16"/>
  <c r="O2806" i="16"/>
  <c r="N2806" i="16"/>
  <c r="F2814" i="16"/>
  <c r="E2814" i="16"/>
  <c r="H2814" i="16"/>
  <c r="G2814" i="16"/>
  <c r="O2814" i="16"/>
  <c r="N2814" i="16"/>
  <c r="T2831" i="16"/>
  <c r="M2831" i="16"/>
  <c r="J2836" i="16"/>
  <c r="I2836" i="16"/>
  <c r="H2836" i="16"/>
  <c r="G2836" i="16"/>
  <c r="T2837" i="16"/>
  <c r="T2880" i="16"/>
  <c r="L2880" i="16"/>
  <c r="K2880" i="16"/>
  <c r="G2880" i="16"/>
  <c r="F2880" i="16"/>
  <c r="P2880" i="16"/>
  <c r="O2880" i="16"/>
  <c r="N2880" i="16"/>
  <c r="E2883" i="16"/>
  <c r="J2883" i="16"/>
  <c r="I2883" i="16"/>
  <c r="T2929" i="16"/>
  <c r="J2929" i="16"/>
  <c r="G2929" i="16"/>
  <c r="O2929" i="16"/>
  <c r="N2929" i="16"/>
  <c r="L2929" i="16"/>
  <c r="K2929" i="16"/>
  <c r="K2933" i="16"/>
  <c r="J2933" i="16"/>
  <c r="N2933" i="16"/>
  <c r="F2933" i="16"/>
  <c r="I2949" i="16"/>
  <c r="T2949" i="16"/>
  <c r="G2949" i="16"/>
  <c r="F2949" i="16"/>
  <c r="L2959" i="16"/>
  <c r="I2959" i="16"/>
  <c r="H2959" i="16"/>
  <c r="T2964" i="16"/>
  <c r="P2964" i="16"/>
  <c r="I2964" i="16"/>
  <c r="H2964" i="16"/>
  <c r="O2964" i="16"/>
  <c r="L2964" i="16"/>
  <c r="H2973" i="16"/>
  <c r="J2973" i="16"/>
  <c r="I2973" i="16"/>
  <c r="K2973" i="16"/>
  <c r="T2977" i="16"/>
  <c r="O2977" i="16"/>
  <c r="E2977" i="16"/>
  <c r="N2977" i="16"/>
  <c r="M2977" i="16"/>
  <c r="L2977" i="16"/>
  <c r="T3025" i="16"/>
  <c r="M3025" i="16"/>
  <c r="L3025" i="16"/>
  <c r="O3025" i="16"/>
  <c r="G3025" i="16"/>
  <c r="F3025" i="16"/>
  <c r="T3080" i="16"/>
  <c r="P3080" i="16"/>
  <c r="G3080" i="16"/>
  <c r="O3080" i="16"/>
  <c r="F3080" i="16"/>
  <c r="K3080" i="16"/>
  <c r="J3080" i="16"/>
  <c r="N3080" i="16"/>
  <c r="M3095" i="16"/>
  <c r="I3095" i="16"/>
  <c r="H3095" i="16"/>
  <c r="J3102" i="16"/>
  <c r="I3102" i="16"/>
  <c r="M3102" i="16"/>
  <c r="K3117" i="16"/>
  <c r="J3117" i="16"/>
  <c r="N3117" i="16"/>
  <c r="I3117" i="16"/>
  <c r="G3135" i="16"/>
  <c r="F3135" i="16"/>
  <c r="H3135" i="16"/>
  <c r="E3135" i="16"/>
  <c r="T3161" i="16"/>
  <c r="N3161" i="16"/>
  <c r="M3161" i="16"/>
  <c r="G3161" i="16"/>
  <c r="F3161" i="16"/>
  <c r="O3161" i="16"/>
  <c r="M3167" i="16"/>
  <c r="L3167" i="16"/>
  <c r="I3167" i="16"/>
  <c r="H3172" i="16"/>
  <c r="G3172" i="16"/>
  <c r="T3172" i="16"/>
  <c r="P3172" i="16"/>
  <c r="F3191" i="16"/>
  <c r="E3191" i="16"/>
  <c r="T3191" i="16"/>
  <c r="P3191" i="16"/>
  <c r="I3243" i="16"/>
  <c r="H3243" i="16"/>
  <c r="L3243" i="16"/>
  <c r="J3243" i="16"/>
  <c r="H3277" i="16"/>
  <c r="G3277" i="16"/>
  <c r="I3277" i="16"/>
  <c r="F3277" i="16"/>
  <c r="P3299" i="16"/>
  <c r="M3299" i="16"/>
  <c r="E3299" i="16"/>
  <c r="O3309" i="16"/>
  <c r="N3309" i="16"/>
  <c r="K3309" i="16"/>
  <c r="T3312" i="16"/>
  <c r="O3312" i="16"/>
  <c r="F3312" i="16"/>
  <c r="N3312" i="16"/>
  <c r="E3312" i="16"/>
  <c r="P3312" i="16"/>
  <c r="M3312" i="16"/>
  <c r="L3312" i="16"/>
  <c r="M3322" i="16"/>
  <c r="F3354" i="16"/>
  <c r="K3354" i="16"/>
  <c r="O3445" i="16"/>
  <c r="N3445" i="16"/>
  <c r="K3445" i="16"/>
  <c r="J3445" i="16"/>
  <c r="I3461" i="16"/>
  <c r="T3461" i="16"/>
  <c r="P3461" i="16"/>
  <c r="F3461" i="16"/>
  <c r="T3472" i="16"/>
  <c r="L3472" i="16"/>
  <c r="K3472" i="16"/>
  <c r="H3472" i="16"/>
  <c r="G3472" i="16"/>
  <c r="F3472" i="16"/>
  <c r="E3472" i="16"/>
  <c r="P3472" i="16"/>
  <c r="M3486" i="16"/>
  <c r="J3486" i="16"/>
  <c r="H3486" i="16"/>
  <c r="G3492" i="16"/>
  <c r="P3492" i="16"/>
  <c r="J3492" i="16"/>
  <c r="T3492" i="16"/>
  <c r="I3492" i="16"/>
  <c r="H3492" i="16"/>
  <c r="I3515" i="16"/>
  <c r="H3515" i="16"/>
  <c r="E3515" i="16"/>
  <c r="F3533" i="16"/>
  <c r="G3533" i="16"/>
  <c r="H3533" i="16"/>
  <c r="M3578" i="16"/>
  <c r="N3578" i="16"/>
  <c r="L3580" i="16"/>
  <c r="I3580" i="16"/>
  <c r="K3580" i="16"/>
  <c r="J3580" i="16"/>
  <c r="T3600" i="16"/>
  <c r="N3600" i="16"/>
  <c r="E3600" i="16"/>
  <c r="M3600" i="16"/>
  <c r="F3600" i="16"/>
  <c r="P3600" i="16"/>
  <c r="G3600" i="16"/>
  <c r="O3600" i="16"/>
  <c r="T3625" i="16"/>
  <c r="O3625" i="16"/>
  <c r="E3625" i="16"/>
  <c r="N3625" i="16"/>
  <c r="F3625" i="16"/>
  <c r="K3625" i="16"/>
  <c r="J3625" i="16"/>
  <c r="G3625" i="16"/>
  <c r="F3639" i="16"/>
  <c r="T3639" i="16"/>
  <c r="E3639" i="16"/>
  <c r="N3639" i="16"/>
  <c r="L3639" i="16"/>
  <c r="G3639" i="16"/>
  <c r="T3673" i="16"/>
  <c r="J3673" i="16"/>
  <c r="G3673" i="16"/>
  <c r="F3673" i="16"/>
  <c r="E3673" i="16"/>
  <c r="M3673" i="16"/>
  <c r="L3673" i="16"/>
  <c r="K3673" i="16"/>
  <c r="M3863" i="16"/>
  <c r="I3863" i="16"/>
  <c r="H3863" i="16"/>
  <c r="L3863" i="16"/>
  <c r="T3865" i="16"/>
  <c r="L3865" i="16"/>
  <c r="J3865" i="16"/>
  <c r="F3865" i="16"/>
  <c r="E3865" i="16"/>
  <c r="G3865" i="16"/>
  <c r="J3883" i="16"/>
  <c r="T3883" i="16"/>
  <c r="L3883" i="16"/>
  <c r="H3883" i="16"/>
  <c r="P3883" i="16"/>
  <c r="M3883" i="16"/>
  <c r="E3883" i="16"/>
  <c r="J3924" i="16"/>
  <c r="H3924" i="16"/>
  <c r="P3924" i="16"/>
  <c r="O3924" i="16"/>
  <c r="G3924" i="16"/>
  <c r="T3971" i="16"/>
  <c r="O3971" i="16"/>
  <c r="F3971" i="16"/>
  <c r="M3971" i="16"/>
  <c r="E3971" i="16"/>
  <c r="P3971" i="16"/>
  <c r="N3971" i="16"/>
  <c r="G3971" i="16"/>
  <c r="T3979" i="16"/>
  <c r="N3979" i="16"/>
  <c r="E3979" i="16"/>
  <c r="L3979" i="16"/>
  <c r="P3979" i="16"/>
  <c r="O3979" i="16"/>
  <c r="H3979" i="16"/>
  <c r="G3979" i="16"/>
  <c r="F3979" i="16"/>
  <c r="N3991" i="16"/>
  <c r="L3991" i="16"/>
  <c r="O3991" i="16"/>
  <c r="T4177" i="16"/>
  <c r="N4177" i="16"/>
  <c r="E4177" i="16"/>
  <c r="L4177" i="16"/>
  <c r="P4177" i="16"/>
  <c r="O4177" i="16"/>
  <c r="F4177" i="16"/>
  <c r="G4177" i="16"/>
  <c r="O4189" i="16"/>
  <c r="L4189" i="16"/>
  <c r="F4189" i="16"/>
  <c r="T4189" i="16"/>
  <c r="I4189" i="16"/>
  <c r="H4189" i="16"/>
  <c r="G4189" i="16"/>
  <c r="T4222" i="16"/>
  <c r="M4222" i="16"/>
  <c r="K4222" i="16"/>
  <c r="J4222" i="16"/>
  <c r="O4236" i="16"/>
  <c r="L4236" i="16"/>
  <c r="M4236" i="16"/>
  <c r="K4236" i="16"/>
  <c r="E4250" i="16"/>
  <c r="N4250" i="16"/>
  <c r="G4250" i="16"/>
  <c r="L4250" i="16"/>
  <c r="J4250" i="16"/>
  <c r="M4250" i="16"/>
  <c r="I4250" i="16"/>
  <c r="N4333" i="16"/>
  <c r="O4333" i="16"/>
  <c r="K4333" i="16"/>
  <c r="P4333" i="16"/>
  <c r="I4404" i="16"/>
  <c r="E4404" i="16"/>
  <c r="J4404" i="16"/>
  <c r="P4404" i="16"/>
  <c r="O4404" i="16"/>
  <c r="G4404" i="16"/>
  <c r="E4430" i="16"/>
  <c r="F4430" i="16"/>
  <c r="I4430" i="16"/>
  <c r="G4430" i="16"/>
  <c r="J4452" i="16"/>
  <c r="I4452" i="16"/>
  <c r="K4452" i="16"/>
  <c r="L4452" i="16"/>
  <c r="N4456" i="16"/>
  <c r="L4456" i="16"/>
  <c r="M4456" i="16"/>
  <c r="J4472" i="16"/>
  <c r="H4472" i="16"/>
  <c r="T4472" i="16"/>
  <c r="G4472" i="16"/>
  <c r="P4472" i="16"/>
  <c r="N4472" i="16"/>
  <c r="O4472" i="16"/>
  <c r="E4472" i="16"/>
  <c r="T4612" i="16"/>
  <c r="G4612" i="16"/>
  <c r="P4612" i="16"/>
  <c r="E4612" i="16"/>
  <c r="L4612" i="16"/>
  <c r="I4612" i="16"/>
  <c r="K4612" i="16"/>
  <c r="H4612" i="16"/>
  <c r="O4612" i="16"/>
  <c r="M4612" i="16"/>
  <c r="T4745" i="16"/>
  <c r="O4745" i="16"/>
  <c r="F4745" i="16"/>
  <c r="N4745" i="16"/>
  <c r="E4745" i="16"/>
  <c r="G4745" i="16"/>
  <c r="P4745" i="16"/>
  <c r="K4745" i="16"/>
  <c r="J4745" i="16"/>
  <c r="L4745" i="16"/>
  <c r="H4745" i="16"/>
  <c r="M4745" i="16"/>
  <c r="H4804" i="16"/>
  <c r="T4804" i="16"/>
  <c r="G4804" i="16"/>
  <c r="O4804" i="16"/>
  <c r="K4804" i="16"/>
  <c r="I4804" i="16"/>
  <c r="E4804" i="16"/>
  <c r="L4804" i="16"/>
  <c r="L5003" i="16"/>
  <c r="J5003" i="16"/>
  <c r="I5003" i="16"/>
  <c r="I5005" i="16"/>
  <c r="F5005" i="16"/>
  <c r="P5005" i="16"/>
  <c r="G5005" i="16"/>
  <c r="L5005" i="16"/>
  <c r="K5005" i="16"/>
  <c r="N5005" i="16"/>
  <c r="J5140" i="16"/>
  <c r="I5140" i="16"/>
  <c r="H5140" i="16"/>
  <c r="P5140" i="16"/>
  <c r="O5140" i="16"/>
  <c r="T5140" i="16"/>
  <c r="G5140" i="16"/>
  <c r="L5140" i="16"/>
  <c r="T5265" i="16"/>
  <c r="M5265" i="16"/>
  <c r="L5265" i="16"/>
  <c r="K5265" i="16"/>
  <c r="P5265" i="16"/>
  <c r="O5265" i="16"/>
  <c r="E5265" i="16"/>
  <c r="F5265" i="16"/>
  <c r="J5265" i="16"/>
  <c r="H5265" i="16"/>
  <c r="G5265" i="16"/>
  <c r="T5337" i="16"/>
  <c r="M5337" i="16"/>
  <c r="L5337" i="16"/>
  <c r="K5337" i="16"/>
  <c r="O5337" i="16"/>
  <c r="N5337" i="16"/>
  <c r="G5337" i="16"/>
  <c r="F5337" i="16"/>
  <c r="E5337" i="16"/>
  <c r="J5337" i="16"/>
  <c r="H5337" i="16"/>
  <c r="P5337" i="16"/>
  <c r="K5357" i="16"/>
  <c r="J5357" i="16"/>
  <c r="I5357" i="16"/>
  <c r="H5357" i="16"/>
  <c r="K5395" i="16"/>
  <c r="E5395" i="16"/>
  <c r="M5395" i="16"/>
  <c r="L5395" i="16"/>
  <c r="J5408" i="16"/>
  <c r="O5408" i="16"/>
  <c r="E5408" i="16"/>
  <c r="N5408" i="16"/>
  <c r="M5408" i="16"/>
  <c r="G5408" i="16"/>
  <c r="F5408" i="16"/>
  <c r="H5408" i="16"/>
  <c r="L5408" i="16"/>
  <c r="K5408" i="16"/>
  <c r="H5947" i="16"/>
  <c r="G5947" i="16"/>
  <c r="F5947" i="16"/>
  <c r="E5947" i="16"/>
  <c r="O5947" i="16"/>
  <c r="N5947" i="16"/>
  <c r="T5947" i="16"/>
  <c r="P5947" i="16"/>
  <c r="P5955" i="16"/>
  <c r="T5955" i="16"/>
  <c r="F5955" i="16"/>
  <c r="E5955" i="16"/>
  <c r="O5955" i="16"/>
  <c r="N5955" i="16"/>
  <c r="H5955" i="16"/>
  <c r="G5955" i="16"/>
  <c r="AO1670" i="17"/>
  <c r="V1670" i="17"/>
  <c r="AP1670" i="17"/>
  <c r="S1670" i="17"/>
  <c r="R1670" i="17"/>
  <c r="Q1670" i="17"/>
  <c r="P1670" i="17"/>
  <c r="K1670" i="17"/>
  <c r="AN1670" i="17"/>
  <c r="J1670" i="17"/>
  <c r="AF1670" i="17"/>
  <c r="AE1670" i="17"/>
  <c r="AD1670" i="17"/>
  <c r="AL1670" i="17"/>
  <c r="AG1670" i="17"/>
  <c r="K2318" i="16"/>
  <c r="G2318" i="16"/>
  <c r="F2318" i="16"/>
  <c r="T2318" i="16"/>
  <c r="O2318" i="16"/>
  <c r="T2336" i="16"/>
  <c r="M2336" i="16"/>
  <c r="L2336" i="16"/>
  <c r="G2336" i="16"/>
  <c r="F2336" i="16"/>
  <c r="N2336" i="16"/>
  <c r="P2341" i="16"/>
  <c r="T2357" i="16"/>
  <c r="F2361" i="16"/>
  <c r="J2361" i="16"/>
  <c r="N2364" i="16"/>
  <c r="L2364" i="16"/>
  <c r="K2364" i="16"/>
  <c r="K2366" i="16"/>
  <c r="O2366" i="16"/>
  <c r="E2366" i="16"/>
  <c r="N2366" i="16"/>
  <c r="P2366" i="16"/>
  <c r="M2366" i="16"/>
  <c r="L2366" i="16"/>
  <c r="T2419" i="16"/>
  <c r="T2424" i="16"/>
  <c r="N2424" i="16"/>
  <c r="E2424" i="16"/>
  <c r="M2424" i="16"/>
  <c r="H2424" i="16"/>
  <c r="G2424" i="16"/>
  <c r="O2424" i="16"/>
  <c r="J2431" i="16"/>
  <c r="M2431" i="16"/>
  <c r="L2431" i="16"/>
  <c r="T2431" i="16"/>
  <c r="E2431" i="16"/>
  <c r="P2431" i="16"/>
  <c r="N2431" i="16"/>
  <c r="J2449" i="16"/>
  <c r="I2449" i="16"/>
  <c r="N2449" i="16"/>
  <c r="L2457" i="16"/>
  <c r="J2471" i="16"/>
  <c r="E2471" i="16"/>
  <c r="P2471" i="16"/>
  <c r="N2471" i="16"/>
  <c r="T2481" i="16"/>
  <c r="G2481" i="16"/>
  <c r="F2481" i="16"/>
  <c r="J2481" i="16"/>
  <c r="E2481" i="16"/>
  <c r="O2481" i="16"/>
  <c r="J2483" i="16"/>
  <c r="T2483" i="16"/>
  <c r="P2483" i="16"/>
  <c r="J2492" i="16"/>
  <c r="I2492" i="16"/>
  <c r="T2505" i="16"/>
  <c r="G2505" i="16"/>
  <c r="F2505" i="16"/>
  <c r="E2505" i="16"/>
  <c r="N2505" i="16"/>
  <c r="P2531" i="16"/>
  <c r="K2531" i="16"/>
  <c r="T2536" i="16"/>
  <c r="H2536" i="16"/>
  <c r="M2536" i="16"/>
  <c r="L2536" i="16"/>
  <c r="G2536" i="16"/>
  <c r="F2536" i="16"/>
  <c r="O2536" i="16"/>
  <c r="T2543" i="16"/>
  <c r="N2545" i="16"/>
  <c r="G2550" i="16"/>
  <c r="F2550" i="16"/>
  <c r="N2550" i="16"/>
  <c r="M2550" i="16"/>
  <c r="T2550" i="16"/>
  <c r="T2560" i="16"/>
  <c r="L2560" i="16"/>
  <c r="K2560" i="16"/>
  <c r="O2560" i="16"/>
  <c r="N2560" i="16"/>
  <c r="G2560" i="16"/>
  <c r="F2560" i="16"/>
  <c r="P2560" i="16"/>
  <c r="K2610" i="16"/>
  <c r="J2610" i="16"/>
  <c r="L2610" i="16"/>
  <c r="J2644" i="16"/>
  <c r="H2644" i="16"/>
  <c r="G2644" i="16"/>
  <c r="O2694" i="16"/>
  <c r="T2694" i="16"/>
  <c r="T2712" i="16"/>
  <c r="P2712" i="16"/>
  <c r="G2712" i="16"/>
  <c r="O2712" i="16"/>
  <c r="F2712" i="16"/>
  <c r="H2712" i="16"/>
  <c r="E2712" i="16"/>
  <c r="M2712" i="16"/>
  <c r="L2712" i="16"/>
  <c r="H2798" i="16"/>
  <c r="F2798" i="16"/>
  <c r="T2798" i="16"/>
  <c r="E2798" i="16"/>
  <c r="J2798" i="16"/>
  <c r="G2798" i="16"/>
  <c r="O2798" i="16"/>
  <c r="N2798" i="16"/>
  <c r="E2826" i="16"/>
  <c r="M2826" i="16"/>
  <c r="J2826" i="16"/>
  <c r="N2826" i="16"/>
  <c r="I2826" i="16"/>
  <c r="E2871" i="16"/>
  <c r="T2871" i="16"/>
  <c r="H2871" i="16"/>
  <c r="G2871" i="16"/>
  <c r="P2877" i="16"/>
  <c r="O2877" i="16"/>
  <c r="T2877" i="16"/>
  <c r="N2877" i="16"/>
  <c r="K2877" i="16"/>
  <c r="T2915" i="16"/>
  <c r="P2915" i="16"/>
  <c r="L2915" i="16"/>
  <c r="E2975" i="16"/>
  <c r="O2975" i="16"/>
  <c r="M2975" i="16"/>
  <c r="H2988" i="16"/>
  <c r="G2988" i="16"/>
  <c r="T2988" i="16"/>
  <c r="J2988" i="16"/>
  <c r="I3013" i="16"/>
  <c r="N3013" i="16"/>
  <c r="H3013" i="16"/>
  <c r="O3013" i="16"/>
  <c r="G3013" i="16"/>
  <c r="T3013" i="16"/>
  <c r="I3037" i="16"/>
  <c r="H3037" i="16"/>
  <c r="T3037" i="16"/>
  <c r="T3041" i="16"/>
  <c r="J3041" i="16"/>
  <c r="G3041" i="16"/>
  <c r="L3041" i="16"/>
  <c r="K3041" i="16"/>
  <c r="E3041" i="16"/>
  <c r="K3042" i="16"/>
  <c r="F3042" i="16"/>
  <c r="O3054" i="16"/>
  <c r="N3054" i="16"/>
  <c r="T3054" i="16"/>
  <c r="P3054" i="16"/>
  <c r="F3054" i="16"/>
  <c r="E3054" i="16"/>
  <c r="H3055" i="16"/>
  <c r="F3055" i="16"/>
  <c r="E3055" i="16"/>
  <c r="O3055" i="16"/>
  <c r="N3055" i="16"/>
  <c r="I3077" i="16"/>
  <c r="H3077" i="16"/>
  <c r="G3077" i="16"/>
  <c r="N3077" i="16"/>
  <c r="F3077" i="16"/>
  <c r="O3077" i="16"/>
  <c r="M3091" i="16"/>
  <c r="K3091" i="16"/>
  <c r="J3091" i="16"/>
  <c r="P3134" i="16"/>
  <c r="O3134" i="16"/>
  <c r="G3134" i="16"/>
  <c r="F3134" i="16"/>
  <c r="J3134" i="16"/>
  <c r="H3134" i="16"/>
  <c r="H3156" i="16"/>
  <c r="G3156" i="16"/>
  <c r="I3156" i="16"/>
  <c r="O3156" i="16"/>
  <c r="L3156" i="16"/>
  <c r="J3162" i="16"/>
  <c r="I3162" i="16"/>
  <c r="F3162" i="16"/>
  <c r="H3222" i="16"/>
  <c r="G3222" i="16"/>
  <c r="I3222" i="16"/>
  <c r="M3294" i="16"/>
  <c r="N3294" i="16"/>
  <c r="T3296" i="16"/>
  <c r="O3296" i="16"/>
  <c r="F3296" i="16"/>
  <c r="N3296" i="16"/>
  <c r="E3296" i="16"/>
  <c r="P3296" i="16"/>
  <c r="M3296" i="16"/>
  <c r="G3296" i="16"/>
  <c r="T3297" i="16"/>
  <c r="G3297" i="16"/>
  <c r="F3297" i="16"/>
  <c r="L3297" i="16"/>
  <c r="K3297" i="16"/>
  <c r="O3297" i="16"/>
  <c r="T3321" i="16"/>
  <c r="J3321" i="16"/>
  <c r="G3321" i="16"/>
  <c r="F3321" i="16"/>
  <c r="E3321" i="16"/>
  <c r="K3321" i="16"/>
  <c r="T3361" i="16"/>
  <c r="F3361" i="16"/>
  <c r="O3361" i="16"/>
  <c r="E3361" i="16"/>
  <c r="L3361" i="16"/>
  <c r="K3361" i="16"/>
  <c r="N3361" i="16"/>
  <c r="M3361" i="16"/>
  <c r="J3361" i="16"/>
  <c r="J3370" i="16"/>
  <c r="M3370" i="16"/>
  <c r="L3370" i="16"/>
  <c r="K3370" i="16"/>
  <c r="P3383" i="16"/>
  <c r="O3383" i="16"/>
  <c r="E3383" i="16"/>
  <c r="H3383" i="16"/>
  <c r="G3383" i="16"/>
  <c r="F3383" i="16"/>
  <c r="T3408" i="16"/>
  <c r="H3408" i="16"/>
  <c r="P3408" i="16"/>
  <c r="G3408" i="16"/>
  <c r="F3408" i="16"/>
  <c r="E3408" i="16"/>
  <c r="K3408" i="16"/>
  <c r="J3408" i="16"/>
  <c r="G3431" i="16"/>
  <c r="T3431" i="16"/>
  <c r="F3431" i="16"/>
  <c r="P3431" i="16"/>
  <c r="O3431" i="16"/>
  <c r="N3431" i="16"/>
  <c r="I3458" i="16"/>
  <c r="F3458" i="16"/>
  <c r="J3458" i="16"/>
  <c r="E3458" i="16"/>
  <c r="T3464" i="16"/>
  <c r="N3464" i="16"/>
  <c r="E3464" i="16"/>
  <c r="M3464" i="16"/>
  <c r="F3464" i="16"/>
  <c r="P3464" i="16"/>
  <c r="K3464" i="16"/>
  <c r="J3464" i="16"/>
  <c r="H3464" i="16"/>
  <c r="J3467" i="16"/>
  <c r="I3467" i="16"/>
  <c r="K3467" i="16"/>
  <c r="H3467" i="16"/>
  <c r="I3482" i="16"/>
  <c r="F3482" i="16"/>
  <c r="E3482" i="16"/>
  <c r="J3507" i="16"/>
  <c r="E3507" i="16"/>
  <c r="I3507" i="16"/>
  <c r="H3507" i="16"/>
  <c r="P3507" i="16"/>
  <c r="M3507" i="16"/>
  <c r="T3553" i="16"/>
  <c r="O3553" i="16"/>
  <c r="E3553" i="16"/>
  <c r="N3553" i="16"/>
  <c r="M3553" i="16"/>
  <c r="J3553" i="16"/>
  <c r="G3553" i="16"/>
  <c r="F3553" i="16"/>
  <c r="J3563" i="16"/>
  <c r="T3563" i="16"/>
  <c r="L3563" i="16"/>
  <c r="H3563" i="16"/>
  <c r="E3563" i="16"/>
  <c r="E3575" i="16"/>
  <c r="T3575" i="16"/>
  <c r="P3575" i="16"/>
  <c r="H3575" i="16"/>
  <c r="G3575" i="16"/>
  <c r="F3575" i="16"/>
  <c r="H3631" i="16"/>
  <c r="T3631" i="16"/>
  <c r="P3631" i="16"/>
  <c r="F3631" i="16"/>
  <c r="E3631" i="16"/>
  <c r="N3631" i="16"/>
  <c r="M3631" i="16"/>
  <c r="G3631" i="16"/>
  <c r="G3647" i="16"/>
  <c r="F3647" i="16"/>
  <c r="I3647" i="16"/>
  <c r="H3647" i="16"/>
  <c r="I3663" i="16"/>
  <c r="H3663" i="16"/>
  <c r="L3663" i="16"/>
  <c r="G3663" i="16"/>
  <c r="T3663" i="16"/>
  <c r="H3695" i="16"/>
  <c r="T3695" i="16"/>
  <c r="E3695" i="16"/>
  <c r="P3695" i="16"/>
  <c r="O3695" i="16"/>
  <c r="M3695" i="16"/>
  <c r="L3695" i="16"/>
  <c r="G3695" i="16"/>
  <c r="F3695" i="16"/>
  <c r="G3727" i="16"/>
  <c r="L3727" i="16"/>
  <c r="I3727" i="16"/>
  <c r="H3727" i="16"/>
  <c r="I3734" i="16"/>
  <c r="H3734" i="16"/>
  <c r="T3734" i="16"/>
  <c r="J3734" i="16"/>
  <c r="G3734" i="16"/>
  <c r="M3762" i="16"/>
  <c r="N3762" i="16"/>
  <c r="O3775" i="16"/>
  <c r="E3775" i="16"/>
  <c r="I3775" i="16"/>
  <c r="H3775" i="16"/>
  <c r="T3775" i="16"/>
  <c r="L3807" i="16"/>
  <c r="M3807" i="16"/>
  <c r="N3885" i="16"/>
  <c r="K3885" i="16"/>
  <c r="J3885" i="16"/>
  <c r="I3885" i="16"/>
  <c r="K3892" i="16"/>
  <c r="I3892" i="16"/>
  <c r="J3892" i="16"/>
  <c r="H3892" i="16"/>
  <c r="T3913" i="16"/>
  <c r="G3913" i="16"/>
  <c r="O3913" i="16"/>
  <c r="E3913" i="16"/>
  <c r="N3913" i="16"/>
  <c r="F3913" i="16"/>
  <c r="K3913" i="16"/>
  <c r="J3913" i="16"/>
  <c r="K3969" i="16"/>
  <c r="N3969" i="16"/>
  <c r="L3969" i="16"/>
  <c r="F3969" i="16"/>
  <c r="T3969" i="16"/>
  <c r="E3969" i="16"/>
  <c r="M3969" i="16"/>
  <c r="J3969" i="16"/>
  <c r="P3969" i="16"/>
  <c r="O3969" i="16"/>
  <c r="H3969" i="16"/>
  <c r="G3969" i="16"/>
  <c r="T4000" i="16"/>
  <c r="P4000" i="16"/>
  <c r="I4036" i="16"/>
  <c r="F4036" i="16"/>
  <c r="O4036" i="16"/>
  <c r="N4036" i="16"/>
  <c r="E4036" i="16"/>
  <c r="T4036" i="16"/>
  <c r="G4036" i="16"/>
  <c r="I4054" i="16"/>
  <c r="H4054" i="16"/>
  <c r="J4054" i="16"/>
  <c r="G4054" i="16"/>
  <c r="T4057" i="16"/>
  <c r="M4057" i="16"/>
  <c r="K4057" i="16"/>
  <c r="G4057" i="16"/>
  <c r="F4057" i="16"/>
  <c r="E4057" i="16"/>
  <c r="J4057" i="16"/>
  <c r="H4057" i="16"/>
  <c r="J4098" i="16"/>
  <c r="E4098" i="16"/>
  <c r="T4121" i="16"/>
  <c r="N4121" i="16"/>
  <c r="E4121" i="16"/>
  <c r="L4121" i="16"/>
  <c r="P4121" i="16"/>
  <c r="O4121" i="16"/>
  <c r="J4121" i="16"/>
  <c r="H4121" i="16"/>
  <c r="G4121" i="16"/>
  <c r="F4121" i="16"/>
  <c r="O4254" i="16"/>
  <c r="H4254" i="16"/>
  <c r="L4312" i="16"/>
  <c r="P4312" i="16"/>
  <c r="K4312" i="16"/>
  <c r="I4312" i="16"/>
  <c r="F4312" i="16"/>
  <c r="K4471" i="16"/>
  <c r="T4471" i="16"/>
  <c r="G4471" i="16"/>
  <c r="P4471" i="16"/>
  <c r="F4471" i="16"/>
  <c r="J4471" i="16"/>
  <c r="E4471" i="16"/>
  <c r="L4471" i="16"/>
  <c r="H4471" i="16"/>
  <c r="I4490" i="16"/>
  <c r="F4490" i="16"/>
  <c r="E4490" i="16"/>
  <c r="T4490" i="16"/>
  <c r="N4490" i="16"/>
  <c r="O4490" i="16"/>
  <c r="L4490" i="16"/>
  <c r="K4490" i="16"/>
  <c r="G4490" i="16"/>
  <c r="H4526" i="16"/>
  <c r="J4526" i="16"/>
  <c r="G4526" i="16"/>
  <c r="K4526" i="16"/>
  <c r="E4526" i="16"/>
  <c r="F4526" i="16"/>
  <c r="P4526" i="16"/>
  <c r="O4526" i="16"/>
  <c r="N4526" i="16"/>
  <c r="I4616" i="16"/>
  <c r="H4616" i="16"/>
  <c r="G4616" i="16"/>
  <c r="F4616" i="16"/>
  <c r="P4637" i="16"/>
  <c r="F4637" i="16"/>
  <c r="O4637" i="16"/>
  <c r="I4637" i="16"/>
  <c r="G4637" i="16"/>
  <c r="K4637" i="16"/>
  <c r="H4637" i="16"/>
  <c r="T4637" i="16"/>
  <c r="N4637" i="16"/>
  <c r="L4637" i="16"/>
  <c r="T4737" i="16"/>
  <c r="N4737" i="16"/>
  <c r="E4737" i="16"/>
  <c r="M4737" i="16"/>
  <c r="P4737" i="16"/>
  <c r="L4737" i="16"/>
  <c r="H4737" i="16"/>
  <c r="G4737" i="16"/>
  <c r="J4737" i="16"/>
  <c r="F4737" i="16"/>
  <c r="O4737" i="16"/>
  <c r="K4737" i="16"/>
  <c r="I5116" i="16"/>
  <c r="H5116" i="16"/>
  <c r="G5116" i="16"/>
  <c r="O5116" i="16"/>
  <c r="L5116" i="16"/>
  <c r="T5116" i="16"/>
  <c r="J5116" i="16"/>
  <c r="P5116" i="16"/>
  <c r="I5222" i="16"/>
  <c r="E5222" i="16"/>
  <c r="M5222" i="16"/>
  <c r="J5222" i="16"/>
  <c r="T5359" i="16"/>
  <c r="L5359" i="16"/>
  <c r="H5359" i="16"/>
  <c r="F5359" i="16"/>
  <c r="N5359" i="16"/>
  <c r="M5359" i="16"/>
  <c r="E5359" i="16"/>
  <c r="P5359" i="16"/>
  <c r="O5359" i="16"/>
  <c r="J5372" i="16"/>
  <c r="I5372" i="16"/>
  <c r="H5372" i="16"/>
  <c r="P5372" i="16"/>
  <c r="O5372" i="16"/>
  <c r="L5372" i="16"/>
  <c r="T5372" i="16"/>
  <c r="G5372" i="16"/>
  <c r="K5852" i="16"/>
  <c r="O5852" i="16"/>
  <c r="J5859" i="16"/>
  <c r="H5859" i="16"/>
  <c r="K5859" i="16"/>
  <c r="I5859" i="16"/>
  <c r="T5859" i="16"/>
  <c r="P5859" i="16"/>
  <c r="J5874" i="16"/>
  <c r="L5874" i="16"/>
  <c r="K5874" i="16"/>
  <c r="M5874" i="16"/>
  <c r="AN412" i="17"/>
  <c r="AO412" i="17"/>
  <c r="AG412" i="17"/>
  <c r="AF412" i="17"/>
  <c r="W412" i="17"/>
  <c r="S412" i="17"/>
  <c r="T412" i="17"/>
  <c r="AL1659" i="17"/>
  <c r="AP1659" i="17"/>
  <c r="T1659" i="17"/>
  <c r="AK1659" i="17"/>
  <c r="S1659" i="17"/>
  <c r="AI1659" i="17"/>
  <c r="M1659" i="17"/>
  <c r="AE1659" i="17"/>
  <c r="K1659" i="17"/>
  <c r="R1659" i="17"/>
  <c r="N1659" i="17"/>
  <c r="J1659" i="17"/>
  <c r="AQ1659" i="17"/>
  <c r="AD1659" i="17"/>
  <c r="AC1659" i="17"/>
  <c r="AA1659" i="17"/>
  <c r="Z1659" i="17"/>
  <c r="P2052" i="16"/>
  <c r="L2061" i="16"/>
  <c r="P2061" i="16"/>
  <c r="O2061" i="16"/>
  <c r="F2061" i="16"/>
  <c r="E2061" i="16"/>
  <c r="T2061" i="16"/>
  <c r="H2074" i="16"/>
  <c r="F2074" i="16"/>
  <c r="I2074" i="16"/>
  <c r="E2074" i="16"/>
  <c r="T2074" i="16"/>
  <c r="G2099" i="16"/>
  <c r="T2099" i="16"/>
  <c r="E2099" i="16"/>
  <c r="I2099" i="16"/>
  <c r="H2099" i="16"/>
  <c r="P2114" i="16"/>
  <c r="T2120" i="16"/>
  <c r="L2120" i="16"/>
  <c r="K2120" i="16"/>
  <c r="G2120" i="16"/>
  <c r="F2120" i="16"/>
  <c r="N2120" i="16"/>
  <c r="J2127" i="16"/>
  <c r="F2127" i="16"/>
  <c r="T2127" i="16"/>
  <c r="E2127" i="16"/>
  <c r="G2127" i="16"/>
  <c r="P2127" i="16"/>
  <c r="K2136" i="16"/>
  <c r="N2162" i="16"/>
  <c r="M2162" i="16"/>
  <c r="E2162" i="16"/>
  <c r="T2162" i="16"/>
  <c r="L2162" i="16"/>
  <c r="O2172" i="16"/>
  <c r="N2172" i="16"/>
  <c r="L2209" i="16"/>
  <c r="K2209" i="16"/>
  <c r="T2216" i="16"/>
  <c r="N2216" i="16"/>
  <c r="E2216" i="16"/>
  <c r="M2216" i="16"/>
  <c r="G2216" i="16"/>
  <c r="F2216" i="16"/>
  <c r="O2216" i="16"/>
  <c r="L2227" i="16"/>
  <c r="L2237" i="16"/>
  <c r="P2237" i="16"/>
  <c r="F2237" i="16"/>
  <c r="O2237" i="16"/>
  <c r="E2237" i="16"/>
  <c r="H2237" i="16"/>
  <c r="G2237" i="16"/>
  <c r="T2237" i="16"/>
  <c r="M2239" i="16"/>
  <c r="K2249" i="16"/>
  <c r="J2249" i="16"/>
  <c r="M2254" i="16"/>
  <c r="N2257" i="16"/>
  <c r="I2258" i="16"/>
  <c r="I2262" i="16"/>
  <c r="E2262" i="16"/>
  <c r="M2286" i="16"/>
  <c r="L2286" i="16"/>
  <c r="F2292" i="16"/>
  <c r="T2292" i="16"/>
  <c r="O2292" i="16"/>
  <c r="J2302" i="16"/>
  <c r="T2304" i="16"/>
  <c r="O2304" i="16"/>
  <c r="F2304" i="16"/>
  <c r="N2304" i="16"/>
  <c r="E2304" i="16"/>
  <c r="H2304" i="16"/>
  <c r="G2304" i="16"/>
  <c r="P2304" i="16"/>
  <c r="P2318" i="16"/>
  <c r="O2336" i="16"/>
  <c r="L2339" i="16"/>
  <c r="K2339" i="16"/>
  <c r="T2366" i="16"/>
  <c r="J2368" i="16"/>
  <c r="I2385" i="16"/>
  <c r="P2386" i="16"/>
  <c r="H2398" i="16"/>
  <c r="G2398" i="16"/>
  <c r="M2405" i="16"/>
  <c r="M2406" i="16"/>
  <c r="H2423" i="16"/>
  <c r="G2423" i="16"/>
  <c r="P2423" i="16"/>
  <c r="O2423" i="16"/>
  <c r="P2424" i="16"/>
  <c r="O2431" i="16"/>
  <c r="E2435" i="16"/>
  <c r="H2435" i="16"/>
  <c r="G2435" i="16"/>
  <c r="I2458" i="16"/>
  <c r="F2458" i="16"/>
  <c r="E2458" i="16"/>
  <c r="N2458" i="16"/>
  <c r="M2458" i="16"/>
  <c r="G2462" i="16"/>
  <c r="F2462" i="16"/>
  <c r="I2462" i="16"/>
  <c r="H2462" i="16"/>
  <c r="O2471" i="16"/>
  <c r="E2491" i="16"/>
  <c r="J2491" i="16"/>
  <c r="I2491" i="16"/>
  <c r="O2505" i="16"/>
  <c r="J2512" i="16"/>
  <c r="J2521" i="16"/>
  <c r="P2536" i="16"/>
  <c r="T2561" i="16"/>
  <c r="N2561" i="16"/>
  <c r="M2561" i="16"/>
  <c r="G2561" i="16"/>
  <c r="F2561" i="16"/>
  <c r="O2561" i="16"/>
  <c r="T2567" i="16"/>
  <c r="G2567" i="16"/>
  <c r="F2567" i="16"/>
  <c r="J2570" i="16"/>
  <c r="E2570" i="16"/>
  <c r="T2570" i="16"/>
  <c r="I2629" i="16"/>
  <c r="N2629" i="16"/>
  <c r="H2629" i="16"/>
  <c r="P2629" i="16"/>
  <c r="O2629" i="16"/>
  <c r="J2650" i="16"/>
  <c r="E2650" i="16"/>
  <c r="K2656" i="16"/>
  <c r="J2811" i="16"/>
  <c r="I2811" i="16"/>
  <c r="E2811" i="16"/>
  <c r="P2875" i="16"/>
  <c r="I2882" i="16"/>
  <c r="F2882" i="16"/>
  <c r="L2882" i="16"/>
  <c r="J2882" i="16"/>
  <c r="N2882" i="16"/>
  <c r="M2882" i="16"/>
  <c r="I2885" i="16"/>
  <c r="F2885" i="16"/>
  <c r="N2885" i="16"/>
  <c r="H2885" i="16"/>
  <c r="L2904" i="16"/>
  <c r="T2912" i="16"/>
  <c r="L2912" i="16"/>
  <c r="K2912" i="16"/>
  <c r="H2912" i="16"/>
  <c r="G2912" i="16"/>
  <c r="F2912" i="16"/>
  <c r="E2912" i="16"/>
  <c r="P2912" i="16"/>
  <c r="L2936" i="16"/>
  <c r="I2955" i="16"/>
  <c r="H2955" i="16"/>
  <c r="K2955" i="16"/>
  <c r="J2972" i="16"/>
  <c r="I2972" i="16"/>
  <c r="H2972" i="16"/>
  <c r="O2972" i="16"/>
  <c r="G2972" i="16"/>
  <c r="N2982" i="16"/>
  <c r="M2982" i="16"/>
  <c r="J2982" i="16"/>
  <c r="T2992" i="16"/>
  <c r="H2992" i="16"/>
  <c r="P2992" i="16"/>
  <c r="G2992" i="16"/>
  <c r="J2992" i="16"/>
  <c r="F2992" i="16"/>
  <c r="N2992" i="16"/>
  <c r="K3021" i="16"/>
  <c r="T3040" i="16"/>
  <c r="P3040" i="16"/>
  <c r="G3040" i="16"/>
  <c r="O3040" i="16"/>
  <c r="F3040" i="16"/>
  <c r="N3040" i="16"/>
  <c r="M3040" i="16"/>
  <c r="H3040" i="16"/>
  <c r="E3040" i="16"/>
  <c r="I3069" i="16"/>
  <c r="H3069" i="16"/>
  <c r="G3069" i="16"/>
  <c r="F3069" i="16"/>
  <c r="K3069" i="16"/>
  <c r="O3070" i="16"/>
  <c r="N3070" i="16"/>
  <c r="T3070" i="16"/>
  <c r="P3070" i="16"/>
  <c r="J3070" i="16"/>
  <c r="T3073" i="16"/>
  <c r="G3073" i="16"/>
  <c r="F3073" i="16"/>
  <c r="K3073" i="16"/>
  <c r="J3073" i="16"/>
  <c r="O3073" i="16"/>
  <c r="P3086" i="16"/>
  <c r="J3086" i="16"/>
  <c r="T3105" i="16"/>
  <c r="F3105" i="16"/>
  <c r="O3105" i="16"/>
  <c r="E3105" i="16"/>
  <c r="K3105" i="16"/>
  <c r="J3105" i="16"/>
  <c r="T3145" i="16"/>
  <c r="N3145" i="16"/>
  <c r="M3145" i="16"/>
  <c r="E3145" i="16"/>
  <c r="J3145" i="16"/>
  <c r="G3145" i="16"/>
  <c r="T3184" i="16"/>
  <c r="M3184" i="16"/>
  <c r="L3184" i="16"/>
  <c r="H3184" i="16"/>
  <c r="G3184" i="16"/>
  <c r="E3184" i="16"/>
  <c r="P3184" i="16"/>
  <c r="O3184" i="16"/>
  <c r="E3218" i="16"/>
  <c r="F3218" i="16"/>
  <c r="N3218" i="16"/>
  <c r="J3218" i="16"/>
  <c r="I3218" i="16"/>
  <c r="T3232" i="16"/>
  <c r="M3232" i="16"/>
  <c r="L3232" i="16"/>
  <c r="P3232" i="16"/>
  <c r="E3232" i="16"/>
  <c r="O3232" i="16"/>
  <c r="G3232" i="16"/>
  <c r="F3232" i="16"/>
  <c r="T3233" i="16"/>
  <c r="O3233" i="16"/>
  <c r="E3233" i="16"/>
  <c r="N3233" i="16"/>
  <c r="K3233" i="16"/>
  <c r="J3233" i="16"/>
  <c r="T3240" i="16"/>
  <c r="L3240" i="16"/>
  <c r="K3240" i="16"/>
  <c r="P3240" i="16"/>
  <c r="E3240" i="16"/>
  <c r="O3240" i="16"/>
  <c r="N3240" i="16"/>
  <c r="M3240" i="16"/>
  <c r="J3251" i="16"/>
  <c r="H3251" i="16"/>
  <c r="E3251" i="16"/>
  <c r="T3251" i="16"/>
  <c r="P3251" i="16"/>
  <c r="M3251" i="16"/>
  <c r="I3251" i="16"/>
  <c r="T3273" i="16"/>
  <c r="F3273" i="16"/>
  <c r="O3273" i="16"/>
  <c r="E3273" i="16"/>
  <c r="G3273" i="16"/>
  <c r="L3273" i="16"/>
  <c r="K3273" i="16"/>
  <c r="J3273" i="16"/>
  <c r="H3304" i="16"/>
  <c r="I3342" i="16"/>
  <c r="P3342" i="16"/>
  <c r="J3342" i="16"/>
  <c r="T3342" i="16"/>
  <c r="M3366" i="16"/>
  <c r="J3366" i="16"/>
  <c r="I3366" i="16"/>
  <c r="N3374" i="16"/>
  <c r="J3376" i="16"/>
  <c r="H3387" i="16"/>
  <c r="E3387" i="16"/>
  <c r="T3387" i="16"/>
  <c r="P3387" i="16"/>
  <c r="J3387" i="16"/>
  <c r="T3393" i="16"/>
  <c r="G3393" i="16"/>
  <c r="F3393" i="16"/>
  <c r="O3393" i="16"/>
  <c r="E3393" i="16"/>
  <c r="N3393" i="16"/>
  <c r="L3403" i="16"/>
  <c r="K3403" i="16"/>
  <c r="H3403" i="16"/>
  <c r="T3427" i="16"/>
  <c r="P3427" i="16"/>
  <c r="L3471" i="16"/>
  <c r="T3471" i="16"/>
  <c r="I3471" i="16"/>
  <c r="T3481" i="16"/>
  <c r="N3481" i="16"/>
  <c r="M3481" i="16"/>
  <c r="F3481" i="16"/>
  <c r="E3481" i="16"/>
  <c r="J3481" i="16"/>
  <c r="G3481" i="16"/>
  <c r="L3498" i="16"/>
  <c r="K3498" i="16"/>
  <c r="J3498" i="16"/>
  <c r="I3498" i="16"/>
  <c r="L3520" i="16"/>
  <c r="N3573" i="16"/>
  <c r="K3573" i="16"/>
  <c r="J3573" i="16"/>
  <c r="F3573" i="16"/>
  <c r="T3676" i="16"/>
  <c r="P3676" i="16"/>
  <c r="H3676" i="16"/>
  <c r="G3676" i="16"/>
  <c r="T3684" i="16"/>
  <c r="J3684" i="16"/>
  <c r="I3684" i="16"/>
  <c r="H3684" i="16"/>
  <c r="G3684" i="16"/>
  <c r="K3746" i="16"/>
  <c r="L3746" i="16"/>
  <c r="L3795" i="16"/>
  <c r="J3795" i="16"/>
  <c r="I3795" i="16"/>
  <c r="K3795" i="16"/>
  <c r="I3835" i="16"/>
  <c r="E3835" i="16"/>
  <c r="H3835" i="16"/>
  <c r="P3835" i="16"/>
  <c r="J3835" i="16"/>
  <c r="J3850" i="16"/>
  <c r="M3850" i="16"/>
  <c r="F3850" i="16"/>
  <c r="E3850" i="16"/>
  <c r="T3850" i="16"/>
  <c r="N3850" i="16"/>
  <c r="I3850" i="16"/>
  <c r="L3859" i="16"/>
  <c r="K3859" i="16"/>
  <c r="J3859" i="16"/>
  <c r="I3859" i="16"/>
  <c r="K3874" i="16"/>
  <c r="J3874" i="16"/>
  <c r="L3874" i="16"/>
  <c r="T3936" i="16"/>
  <c r="M3936" i="16"/>
  <c r="K3936" i="16"/>
  <c r="H3936" i="16"/>
  <c r="G3936" i="16"/>
  <c r="E3936" i="16"/>
  <c r="L3936" i="16"/>
  <c r="J3936" i="16"/>
  <c r="F3936" i="16"/>
  <c r="K4005" i="16"/>
  <c r="N4005" i="16"/>
  <c r="J4005" i="16"/>
  <c r="F4005" i="16"/>
  <c r="E4005" i="16"/>
  <c r="L4071" i="16"/>
  <c r="F4071" i="16"/>
  <c r="G4090" i="16"/>
  <c r="E4090" i="16"/>
  <c r="F4090" i="16"/>
  <c r="I4090" i="16"/>
  <c r="L4139" i="16"/>
  <c r="I4139" i="16"/>
  <c r="H4139" i="16"/>
  <c r="F4139" i="16"/>
  <c r="M4139" i="16"/>
  <c r="K4139" i="16"/>
  <c r="P4139" i="16"/>
  <c r="N4139" i="16"/>
  <c r="E4139" i="16"/>
  <c r="T4225" i="16"/>
  <c r="O4225" i="16"/>
  <c r="F4225" i="16"/>
  <c r="M4225" i="16"/>
  <c r="H4225" i="16"/>
  <c r="G4225" i="16"/>
  <c r="E4225" i="16"/>
  <c r="J4225" i="16"/>
  <c r="P4323" i="16"/>
  <c r="L4323" i="16"/>
  <c r="T4323" i="16"/>
  <c r="I4323" i="16"/>
  <c r="H4323" i="16"/>
  <c r="F4323" i="16"/>
  <c r="E4323" i="16"/>
  <c r="H4400" i="16"/>
  <c r="E4400" i="16"/>
  <c r="G4400" i="16"/>
  <c r="F4400" i="16"/>
  <c r="T4400" i="16"/>
  <c r="O4400" i="16"/>
  <c r="J4600" i="16"/>
  <c r="N4600" i="16"/>
  <c r="M4600" i="16"/>
  <c r="F4600" i="16"/>
  <c r="P4600" i="16"/>
  <c r="H4600" i="16"/>
  <c r="G4600" i="16"/>
  <c r="K4600" i="16"/>
  <c r="E4600" i="16"/>
  <c r="T4600" i="16"/>
  <c r="O4600" i="16"/>
  <c r="L4600" i="16"/>
  <c r="I4716" i="16"/>
  <c r="G4716" i="16"/>
  <c r="E4716" i="16"/>
  <c r="P4716" i="16"/>
  <c r="O4716" i="16"/>
  <c r="T4716" i="16"/>
  <c r="P4731" i="16"/>
  <c r="T4731" i="16"/>
  <c r="K4731" i="16"/>
  <c r="J4731" i="16"/>
  <c r="L4796" i="16"/>
  <c r="K4796" i="16"/>
  <c r="T4796" i="16"/>
  <c r="K4879" i="16"/>
  <c r="N4879" i="16"/>
  <c r="M4879" i="16"/>
  <c r="O4879" i="16"/>
  <c r="J4879" i="16"/>
  <c r="G4879" i="16"/>
  <c r="F4879" i="16"/>
  <c r="E4879" i="16"/>
  <c r="T4933" i="16"/>
  <c r="O4933" i="16"/>
  <c r="T4953" i="16"/>
  <c r="N4953" i="16"/>
  <c r="M4953" i="16"/>
  <c r="O4953" i="16"/>
  <c r="L4953" i="16"/>
  <c r="F4953" i="16"/>
  <c r="G4953" i="16"/>
  <c r="E4953" i="16"/>
  <c r="P4953" i="16"/>
  <c r="K4953" i="16"/>
  <c r="J4953" i="16"/>
  <c r="H4953" i="16"/>
  <c r="E5059" i="16"/>
  <c r="T5059" i="16"/>
  <c r="M5059" i="16"/>
  <c r="L5059" i="16"/>
  <c r="K5059" i="16"/>
  <c r="K5133" i="16"/>
  <c r="J5133" i="16"/>
  <c r="I5133" i="16"/>
  <c r="H5133" i="16"/>
  <c r="L5147" i="16"/>
  <c r="E5147" i="16"/>
  <c r="K5147" i="16"/>
  <c r="M5147" i="16"/>
  <c r="I5229" i="16"/>
  <c r="H5229" i="16"/>
  <c r="K5229" i="16"/>
  <c r="J5229" i="16"/>
  <c r="L5234" i="16"/>
  <c r="K5234" i="16"/>
  <c r="J5240" i="16"/>
  <c r="H5240" i="16"/>
  <c r="G5240" i="16"/>
  <c r="P5240" i="16"/>
  <c r="F5240" i="16"/>
  <c r="O5240" i="16"/>
  <c r="M5240" i="16"/>
  <c r="L5240" i="16"/>
  <c r="K5240" i="16"/>
  <c r="E5240" i="16"/>
  <c r="N5240" i="16"/>
  <c r="K5879" i="16"/>
  <c r="G5879" i="16"/>
  <c r="P5879" i="16"/>
  <c r="O5879" i="16"/>
  <c r="N5879" i="16"/>
  <c r="F5879" i="16"/>
  <c r="E5879" i="16"/>
  <c r="H5879" i="16"/>
  <c r="M5879" i="16"/>
  <c r="L5879" i="16"/>
  <c r="R412" i="17"/>
  <c r="L1406" i="15"/>
  <c r="Z1406" i="15"/>
  <c r="J1412" i="15"/>
  <c r="L1422" i="15"/>
  <c r="Z1422" i="15"/>
  <c r="L1434" i="15"/>
  <c r="Z1434" i="15"/>
  <c r="N1452" i="15"/>
  <c r="AD1452" i="15"/>
  <c r="K1497" i="15"/>
  <c r="U1497" i="15"/>
  <c r="AE1497" i="15"/>
  <c r="Y1499" i="15"/>
  <c r="L1506" i="15"/>
  <c r="Z1506" i="15"/>
  <c r="L1510" i="15"/>
  <c r="Z1510" i="15"/>
  <c r="K1521" i="15"/>
  <c r="U1521" i="15"/>
  <c r="AE1521" i="15"/>
  <c r="K1533" i="15"/>
  <c r="U1533" i="15"/>
  <c r="AE1533" i="15"/>
  <c r="Z1535" i="15"/>
  <c r="M1557" i="15"/>
  <c r="AC1557" i="15"/>
  <c r="M1561" i="15"/>
  <c r="AC1561" i="15"/>
  <c r="L1566" i="15"/>
  <c r="W1566" i="15"/>
  <c r="L1570" i="15"/>
  <c r="W1570" i="15"/>
  <c r="M1621" i="15"/>
  <c r="AC1621" i="15"/>
  <c r="Y1636" i="15"/>
  <c r="L1638" i="15"/>
  <c r="W1638" i="15"/>
  <c r="L1654" i="15"/>
  <c r="W1654" i="15"/>
  <c r="M1661" i="15"/>
  <c r="AC1661" i="15"/>
  <c r="M1669" i="15"/>
  <c r="AC1669" i="15"/>
  <c r="O1672" i="15"/>
  <c r="M1693" i="15"/>
  <c r="AC1693" i="15"/>
  <c r="M1701" i="15"/>
  <c r="AC1701" i="15"/>
  <c r="M1729" i="15"/>
  <c r="AC1729" i="15"/>
  <c r="X1732" i="15"/>
  <c r="L1742" i="15"/>
  <c r="W1742" i="15"/>
  <c r="M1749" i="15"/>
  <c r="AC1749" i="15"/>
  <c r="X1764" i="15"/>
  <c r="K1862" i="15"/>
  <c r="U1862" i="15"/>
  <c r="AE1862" i="15"/>
  <c r="K1866" i="15"/>
  <c r="U1866" i="15"/>
  <c r="AE1866" i="15"/>
  <c r="O1876" i="15"/>
  <c r="O1880" i="15"/>
  <c r="M1885" i="15"/>
  <c r="AC1885" i="15"/>
  <c r="M1889" i="15"/>
  <c r="AC1889" i="15"/>
  <c r="O1896" i="15"/>
  <c r="J1910" i="15"/>
  <c r="S1910" i="15"/>
  <c r="AB1910" i="15"/>
  <c r="M1921" i="15"/>
  <c r="AC1921" i="15"/>
  <c r="O1932" i="15"/>
  <c r="M1949" i="15"/>
  <c r="AC1949" i="15"/>
  <c r="I105" i="16"/>
  <c r="H105" i="16"/>
  <c r="E117" i="16"/>
  <c r="T117" i="16" s="1"/>
  <c r="E164" i="16"/>
  <c r="F164" i="16" s="1"/>
  <c r="M164" i="16"/>
  <c r="J238" i="16"/>
  <c r="K238" i="16"/>
  <c r="E399" i="16"/>
  <c r="F399" i="16" s="1"/>
  <c r="E422" i="16"/>
  <c r="F422" i="16" s="1"/>
  <c r="E503" i="16"/>
  <c r="J538" i="16"/>
  <c r="H538" i="16"/>
  <c r="K543" i="16"/>
  <c r="E543" i="16"/>
  <c r="E544" i="16"/>
  <c r="T544" i="16" s="1"/>
  <c r="K574" i="16"/>
  <c r="F574" i="16"/>
  <c r="J600" i="16"/>
  <c r="I600" i="16"/>
  <c r="K656" i="16"/>
  <c r="J656" i="16"/>
  <c r="M791" i="16"/>
  <c r="E798" i="16"/>
  <c r="F798" i="16" s="1"/>
  <c r="E815" i="16"/>
  <c r="E878" i="16"/>
  <c r="F878" i="16" s="1"/>
  <c r="J925" i="16"/>
  <c r="G986" i="16"/>
  <c r="H986" i="16"/>
  <c r="M1045" i="16"/>
  <c r="E1045" i="16"/>
  <c r="G1054" i="16"/>
  <c r="E1127" i="16"/>
  <c r="E1240" i="16"/>
  <c r="E1319" i="16"/>
  <c r="L1328" i="16"/>
  <c r="K1328" i="16"/>
  <c r="I1331" i="16"/>
  <c r="G1331" i="16"/>
  <c r="J1358" i="16"/>
  <c r="K1358" i="16"/>
  <c r="M1358" i="16"/>
  <c r="K1381" i="16"/>
  <c r="M1381" i="16"/>
  <c r="L1381" i="16"/>
  <c r="P1396" i="16"/>
  <c r="P1410" i="16"/>
  <c r="K1421" i="16"/>
  <c r="N1421" i="16"/>
  <c r="L1421" i="16"/>
  <c r="K1437" i="16"/>
  <c r="O1437" i="16"/>
  <c r="L1437" i="16"/>
  <c r="T1441" i="16"/>
  <c r="P1443" i="16"/>
  <c r="N1463" i="16"/>
  <c r="O1499" i="16"/>
  <c r="O1524" i="16"/>
  <c r="N1526" i="16"/>
  <c r="L1573" i="16"/>
  <c r="N1573" i="16"/>
  <c r="M1573" i="16"/>
  <c r="T1640" i="16"/>
  <c r="K1640" i="16"/>
  <c r="J1640" i="16"/>
  <c r="T1656" i="16"/>
  <c r="H1656" i="16"/>
  <c r="K1656" i="16"/>
  <c r="T1672" i="16"/>
  <c r="L1672" i="16"/>
  <c r="J1672" i="16"/>
  <c r="J1703" i="16"/>
  <c r="G1703" i="16"/>
  <c r="M1703" i="16"/>
  <c r="L1715" i="16"/>
  <c r="M1729" i="16"/>
  <c r="L1729" i="16"/>
  <c r="T1729" i="16"/>
  <c r="N1729" i="16"/>
  <c r="J1743" i="16"/>
  <c r="P1743" i="16"/>
  <c r="O1743" i="16"/>
  <c r="F1743" i="16"/>
  <c r="N1743" i="16"/>
  <c r="M1750" i="16"/>
  <c r="I1750" i="16"/>
  <c r="G1804" i="16"/>
  <c r="T1804" i="16"/>
  <c r="F1804" i="16"/>
  <c r="O1804" i="16"/>
  <c r="I1836" i="16"/>
  <c r="H1836" i="16"/>
  <c r="K1836" i="16"/>
  <c r="J1836" i="16"/>
  <c r="O1843" i="16"/>
  <c r="M1843" i="16"/>
  <c r="I1843" i="16"/>
  <c r="H1843" i="16"/>
  <c r="T1843" i="16"/>
  <c r="H1847" i="16"/>
  <c r="G1847" i="16"/>
  <c r="E1847" i="16"/>
  <c r="T1847" i="16"/>
  <c r="K1870" i="16"/>
  <c r="P1870" i="16"/>
  <c r="O1870" i="16"/>
  <c r="T1870" i="16"/>
  <c r="M1870" i="16"/>
  <c r="I1887" i="16"/>
  <c r="H1887" i="16"/>
  <c r="T1887" i="16"/>
  <c r="T1889" i="16"/>
  <c r="L1889" i="16"/>
  <c r="H1927" i="16"/>
  <c r="G1927" i="16"/>
  <c r="T1928" i="16"/>
  <c r="M1928" i="16"/>
  <c r="L1928" i="16"/>
  <c r="O1928" i="16"/>
  <c r="N1928" i="16"/>
  <c r="J1928" i="16"/>
  <c r="J1966" i="16"/>
  <c r="I1966" i="16"/>
  <c r="J1999" i="16"/>
  <c r="O1999" i="16"/>
  <c r="N1999" i="16"/>
  <c r="T1999" i="16"/>
  <c r="P1999" i="16"/>
  <c r="K1999" i="16"/>
  <c r="I2010" i="16"/>
  <c r="E2010" i="16"/>
  <c r="T2010" i="16"/>
  <c r="P2010" i="16"/>
  <c r="N2010" i="16"/>
  <c r="L2033" i="16"/>
  <c r="K2033" i="16"/>
  <c r="O2049" i="16"/>
  <c r="N2049" i="16"/>
  <c r="F2049" i="16"/>
  <c r="E2049" i="16"/>
  <c r="T2049" i="16"/>
  <c r="T2052" i="16"/>
  <c r="M2057" i="16"/>
  <c r="L2057" i="16"/>
  <c r="K2062" i="16"/>
  <c r="G2062" i="16"/>
  <c r="F2062" i="16"/>
  <c r="T2062" i="16"/>
  <c r="P2062" i="16"/>
  <c r="O2062" i="16"/>
  <c r="N2070" i="16"/>
  <c r="J2070" i="16"/>
  <c r="T2077" i="16"/>
  <c r="P2077" i="16"/>
  <c r="I2084" i="16"/>
  <c r="H2084" i="16"/>
  <c r="K2084" i="16"/>
  <c r="G2084" i="16"/>
  <c r="P2084" i="16"/>
  <c r="J2087" i="16"/>
  <c r="T2087" i="16"/>
  <c r="F2087" i="16"/>
  <c r="P2087" i="16"/>
  <c r="E2087" i="16"/>
  <c r="O2087" i="16"/>
  <c r="N2087" i="16"/>
  <c r="L2106" i="16"/>
  <c r="K2106" i="16"/>
  <c r="J2106" i="16"/>
  <c r="O2120" i="16"/>
  <c r="M2133" i="16"/>
  <c r="K2133" i="16"/>
  <c r="I2181" i="16"/>
  <c r="H2181" i="16"/>
  <c r="P2181" i="16"/>
  <c r="J2181" i="16"/>
  <c r="L2196" i="16"/>
  <c r="K2196" i="16"/>
  <c r="J2196" i="16"/>
  <c r="I2205" i="16"/>
  <c r="H2205" i="16"/>
  <c r="F2205" i="16"/>
  <c r="P2216" i="16"/>
  <c r="N2225" i="16"/>
  <c r="K2225" i="16"/>
  <c r="K2238" i="16"/>
  <c r="T2238" i="16"/>
  <c r="G2238" i="16"/>
  <c r="P2238" i="16"/>
  <c r="F2238" i="16"/>
  <c r="O2238" i="16"/>
  <c r="N2238" i="16"/>
  <c r="M2238" i="16"/>
  <c r="I2266" i="16"/>
  <c r="F2266" i="16"/>
  <c r="E2266" i="16"/>
  <c r="P2266" i="16"/>
  <c r="L2277" i="16"/>
  <c r="O2277" i="16"/>
  <c r="N2277" i="16"/>
  <c r="G2277" i="16"/>
  <c r="F2277" i="16"/>
  <c r="K2278" i="16"/>
  <c r="G2278" i="16"/>
  <c r="F2278" i="16"/>
  <c r="E2278" i="16"/>
  <c r="P2278" i="16"/>
  <c r="P2292" i="16"/>
  <c r="N2295" i="16"/>
  <c r="I2295" i="16"/>
  <c r="I2305" i="16"/>
  <c r="G2305" i="16"/>
  <c r="F2305" i="16"/>
  <c r="T2305" i="16"/>
  <c r="O2305" i="16"/>
  <c r="H2315" i="16"/>
  <c r="T2315" i="16"/>
  <c r="G2315" i="16"/>
  <c r="E2315" i="16"/>
  <c r="O2315" i="16"/>
  <c r="H2335" i="16"/>
  <c r="G2335" i="16"/>
  <c r="P2336" i="16"/>
  <c r="J2343" i="16"/>
  <c r="L2343" i="16"/>
  <c r="G2343" i="16"/>
  <c r="N2343" i="16"/>
  <c r="M2343" i="16"/>
  <c r="T2344" i="16"/>
  <c r="M2344" i="16"/>
  <c r="L2344" i="16"/>
  <c r="F2344" i="16"/>
  <c r="P2344" i="16"/>
  <c r="E2344" i="16"/>
  <c r="N2344" i="16"/>
  <c r="N2354" i="16"/>
  <c r="M2354" i="16"/>
  <c r="E2354" i="16"/>
  <c r="T2354" i="16"/>
  <c r="L2354" i="16"/>
  <c r="J2367" i="16"/>
  <c r="P2367" i="16"/>
  <c r="F2367" i="16"/>
  <c r="O2367" i="16"/>
  <c r="E2367" i="16"/>
  <c r="K2367" i="16"/>
  <c r="H2367" i="16"/>
  <c r="T2367" i="16"/>
  <c r="T2379" i="16"/>
  <c r="G2379" i="16"/>
  <c r="P2379" i="16"/>
  <c r="E2379" i="16"/>
  <c r="I2379" i="16"/>
  <c r="H2379" i="16"/>
  <c r="I2380" i="16"/>
  <c r="H2380" i="16"/>
  <c r="T2380" i="16"/>
  <c r="O2380" i="16"/>
  <c r="T2385" i="16"/>
  <c r="E2389" i="16"/>
  <c r="I2389" i="16"/>
  <c r="G2397" i="16"/>
  <c r="F2397" i="16"/>
  <c r="O2397" i="16"/>
  <c r="I2397" i="16"/>
  <c r="T2432" i="16"/>
  <c r="M2432" i="16"/>
  <c r="L2432" i="16"/>
  <c r="H2432" i="16"/>
  <c r="G2432" i="16"/>
  <c r="N2432" i="16"/>
  <c r="L2442" i="16"/>
  <c r="K2442" i="16"/>
  <c r="J2442" i="16"/>
  <c r="T2468" i="16"/>
  <c r="G2468" i="16"/>
  <c r="P2468" i="16"/>
  <c r="F2468" i="16"/>
  <c r="I2468" i="16"/>
  <c r="H2468" i="16"/>
  <c r="L2469" i="16"/>
  <c r="H2469" i="16"/>
  <c r="G2469" i="16"/>
  <c r="T2469" i="16"/>
  <c r="P2469" i="16"/>
  <c r="N2469" i="16"/>
  <c r="H2478" i="16"/>
  <c r="G2478" i="16"/>
  <c r="M2478" i="16"/>
  <c r="J2478" i="16"/>
  <c r="P2478" i="16"/>
  <c r="I2503" i="16"/>
  <c r="H2503" i="16"/>
  <c r="G2503" i="16"/>
  <c r="T2503" i="16"/>
  <c r="P2503" i="16"/>
  <c r="T2529" i="16"/>
  <c r="M2529" i="16"/>
  <c r="L2529" i="16"/>
  <c r="O2529" i="16"/>
  <c r="N2529" i="16"/>
  <c r="K2529" i="16"/>
  <c r="I2562" i="16"/>
  <c r="F2562" i="16"/>
  <c r="T2562" i="16"/>
  <c r="N2562" i="16"/>
  <c r="T2592" i="16"/>
  <c r="O2592" i="16"/>
  <c r="F2592" i="16"/>
  <c r="N2592" i="16"/>
  <c r="E2592" i="16"/>
  <c r="G2592" i="16"/>
  <c r="K2592" i="16"/>
  <c r="J2592" i="16"/>
  <c r="N2605" i="16"/>
  <c r="K2605" i="16"/>
  <c r="O2605" i="16"/>
  <c r="T2653" i="16"/>
  <c r="K2653" i="16"/>
  <c r="H2663" i="16"/>
  <c r="T2663" i="16"/>
  <c r="E2663" i="16"/>
  <c r="P2663" i="16"/>
  <c r="F2663" i="16"/>
  <c r="G2663" i="16"/>
  <c r="T2664" i="16"/>
  <c r="H2664" i="16"/>
  <c r="P2664" i="16"/>
  <c r="G2664" i="16"/>
  <c r="N2664" i="16"/>
  <c r="M2664" i="16"/>
  <c r="L2664" i="16"/>
  <c r="E2682" i="16"/>
  <c r="L2682" i="16"/>
  <c r="K2682" i="16"/>
  <c r="I2693" i="16"/>
  <c r="G2693" i="16"/>
  <c r="F2693" i="16"/>
  <c r="N2693" i="16"/>
  <c r="H2693" i="16"/>
  <c r="O2693" i="16"/>
  <c r="T2696" i="16"/>
  <c r="M2696" i="16"/>
  <c r="L2696" i="16"/>
  <c r="G2696" i="16"/>
  <c r="F2696" i="16"/>
  <c r="P2696" i="16"/>
  <c r="O2696" i="16"/>
  <c r="N2696" i="16"/>
  <c r="J2709" i="16"/>
  <c r="H2709" i="16"/>
  <c r="G2709" i="16"/>
  <c r="J2739" i="16"/>
  <c r="E2739" i="16"/>
  <c r="M2739" i="16"/>
  <c r="I2739" i="16"/>
  <c r="H2739" i="16"/>
  <c r="H2742" i="16"/>
  <c r="G2742" i="16"/>
  <c r="F2742" i="16"/>
  <c r="P2742" i="16"/>
  <c r="T2780" i="16"/>
  <c r="P2780" i="16"/>
  <c r="J2780" i="16"/>
  <c r="I2780" i="16"/>
  <c r="H2780" i="16"/>
  <c r="G2780" i="16"/>
  <c r="T2800" i="16"/>
  <c r="L2800" i="16"/>
  <c r="K2800" i="16"/>
  <c r="H2800" i="16"/>
  <c r="G2800" i="16"/>
  <c r="P2800" i="16"/>
  <c r="O2800" i="16"/>
  <c r="N2800" i="16"/>
  <c r="M2802" i="16"/>
  <c r="L2802" i="16"/>
  <c r="K2802" i="16"/>
  <c r="T2809" i="16"/>
  <c r="F2809" i="16"/>
  <c r="O2809" i="16"/>
  <c r="E2809" i="16"/>
  <c r="J2809" i="16"/>
  <c r="G2809" i="16"/>
  <c r="I2830" i="16"/>
  <c r="P2830" i="16"/>
  <c r="H2830" i="16"/>
  <c r="G2830" i="16"/>
  <c r="F2830" i="16"/>
  <c r="T2901" i="16"/>
  <c r="I2901" i="16"/>
  <c r="T2913" i="16"/>
  <c r="N2913" i="16"/>
  <c r="M2913" i="16"/>
  <c r="O2913" i="16"/>
  <c r="L2913" i="16"/>
  <c r="K2913" i="16"/>
  <c r="J2931" i="16"/>
  <c r="I2931" i="16"/>
  <c r="H2931" i="16"/>
  <c r="F2942" i="16"/>
  <c r="T2942" i="16"/>
  <c r="E2942" i="16"/>
  <c r="H2942" i="16"/>
  <c r="G2942" i="16"/>
  <c r="O2942" i="16"/>
  <c r="N2942" i="16"/>
  <c r="J2958" i="16"/>
  <c r="I2958" i="16"/>
  <c r="G2958" i="16"/>
  <c r="I2987" i="16"/>
  <c r="H2987" i="16"/>
  <c r="M2987" i="16"/>
  <c r="L2987" i="16"/>
  <c r="P2987" i="16"/>
  <c r="J2987" i="16"/>
  <c r="O2992" i="16"/>
  <c r="T3016" i="16"/>
  <c r="L3016" i="16"/>
  <c r="K3016" i="16"/>
  <c r="F3016" i="16"/>
  <c r="P3016" i="16"/>
  <c r="E3016" i="16"/>
  <c r="G3016" i="16"/>
  <c r="O3016" i="16"/>
  <c r="K3019" i="16"/>
  <c r="H3019" i="16"/>
  <c r="J3019" i="16"/>
  <c r="I3019" i="16"/>
  <c r="G3063" i="16"/>
  <c r="F3063" i="16"/>
  <c r="T3063" i="16"/>
  <c r="P3063" i="16"/>
  <c r="H3063" i="16"/>
  <c r="E3063" i="16"/>
  <c r="G3071" i="16"/>
  <c r="F3071" i="16"/>
  <c r="H3094" i="16"/>
  <c r="G3094" i="16"/>
  <c r="I3094" i="16"/>
  <c r="I3115" i="16"/>
  <c r="H3115" i="16"/>
  <c r="T3115" i="16"/>
  <c r="P3115" i="16"/>
  <c r="L3171" i="16"/>
  <c r="K3171" i="16"/>
  <c r="T3171" i="16"/>
  <c r="M3171" i="16"/>
  <c r="T3182" i="16"/>
  <c r="F3182" i="16"/>
  <c r="P3182" i="16"/>
  <c r="E3182" i="16"/>
  <c r="J3182" i="16"/>
  <c r="H3182" i="16"/>
  <c r="G3182" i="16"/>
  <c r="O3254" i="16"/>
  <c r="N3254" i="16"/>
  <c r="G3254" i="16"/>
  <c r="F3254" i="16"/>
  <c r="T3254" i="16"/>
  <c r="J3293" i="16"/>
  <c r="T3293" i="16"/>
  <c r="I3293" i="16"/>
  <c r="T3331" i="16"/>
  <c r="K3331" i="16"/>
  <c r="T3392" i="16"/>
  <c r="O3392" i="16"/>
  <c r="F3392" i="16"/>
  <c r="N3392" i="16"/>
  <c r="E3392" i="16"/>
  <c r="J3392" i="16"/>
  <c r="H3392" i="16"/>
  <c r="K3392" i="16"/>
  <c r="G3392" i="16"/>
  <c r="J3420" i="16"/>
  <c r="T3420" i="16"/>
  <c r="P3420" i="16"/>
  <c r="T3457" i="16"/>
  <c r="N3457" i="16"/>
  <c r="M3457" i="16"/>
  <c r="G3457" i="16"/>
  <c r="F3457" i="16"/>
  <c r="K3457" i="16"/>
  <c r="J3457" i="16"/>
  <c r="E3457" i="16"/>
  <c r="I3645" i="16"/>
  <c r="F3645" i="16"/>
  <c r="N3645" i="16"/>
  <c r="K3645" i="16"/>
  <c r="T3645" i="16"/>
  <c r="P3645" i="16"/>
  <c r="O3645" i="16"/>
  <c r="G3645" i="16"/>
  <c r="O3718" i="16"/>
  <c r="I3718" i="16"/>
  <c r="P3718" i="16"/>
  <c r="T3718" i="16"/>
  <c r="N3757" i="16"/>
  <c r="J3757" i="16"/>
  <c r="I3757" i="16"/>
  <c r="K3757" i="16"/>
  <c r="T3768" i="16"/>
  <c r="N3768" i="16"/>
  <c r="E3768" i="16"/>
  <c r="M3768" i="16"/>
  <c r="P3768" i="16"/>
  <c r="O3768" i="16"/>
  <c r="F3768" i="16"/>
  <c r="L3768" i="16"/>
  <c r="T3777" i="16"/>
  <c r="F3777" i="16"/>
  <c r="O3777" i="16"/>
  <c r="E3777" i="16"/>
  <c r="N3777" i="16"/>
  <c r="J3777" i="16"/>
  <c r="G3777" i="16"/>
  <c r="G3831" i="16"/>
  <c r="E3831" i="16"/>
  <c r="F3831" i="16"/>
  <c r="P3831" i="16"/>
  <c r="O3831" i="16"/>
  <c r="T3831" i="16"/>
  <c r="N3831" i="16"/>
  <c r="H3831" i="16"/>
  <c r="T3912" i="16"/>
  <c r="O3912" i="16"/>
  <c r="F3912" i="16"/>
  <c r="M3912" i="16"/>
  <c r="H3912" i="16"/>
  <c r="G3912" i="16"/>
  <c r="K3912" i="16"/>
  <c r="J3912" i="16"/>
  <c r="L3912" i="16"/>
  <c r="E3912" i="16"/>
  <c r="N3978" i="16"/>
  <c r="M3978" i="16"/>
  <c r="T3995" i="16"/>
  <c r="H3995" i="16"/>
  <c r="O3995" i="16"/>
  <c r="F3995" i="16"/>
  <c r="K3995" i="16"/>
  <c r="J3995" i="16"/>
  <c r="L3995" i="16"/>
  <c r="G3995" i="16"/>
  <c r="E3995" i="16"/>
  <c r="I4020" i="16"/>
  <c r="K4020" i="16"/>
  <c r="F4020" i="16"/>
  <c r="T4020" i="16"/>
  <c r="L4020" i="16"/>
  <c r="G4020" i="16"/>
  <c r="N4020" i="16"/>
  <c r="M4020" i="16"/>
  <c r="E4020" i="16"/>
  <c r="T4035" i="16"/>
  <c r="N4035" i="16"/>
  <c r="E4035" i="16"/>
  <c r="L4035" i="16"/>
  <c r="P4035" i="16"/>
  <c r="O4035" i="16"/>
  <c r="H4035" i="16"/>
  <c r="G4035" i="16"/>
  <c r="J4035" i="16"/>
  <c r="F4035" i="16"/>
  <c r="O4048" i="16"/>
  <c r="P4048" i="16"/>
  <c r="N4048" i="16"/>
  <c r="T4089" i="16"/>
  <c r="O4089" i="16"/>
  <c r="F4089" i="16"/>
  <c r="M4089" i="16"/>
  <c r="J4089" i="16"/>
  <c r="H4089" i="16"/>
  <c r="K4089" i="16"/>
  <c r="G4089" i="16"/>
  <c r="E4089" i="16"/>
  <c r="F4141" i="16"/>
  <c r="K4141" i="16"/>
  <c r="J4141" i="16"/>
  <c r="I4141" i="16"/>
  <c r="I4166" i="16"/>
  <c r="G4166" i="16"/>
  <c r="J4166" i="16"/>
  <c r="H4166" i="16"/>
  <c r="T4171" i="16"/>
  <c r="P4171" i="16"/>
  <c r="K4171" i="16"/>
  <c r="G4186" i="16"/>
  <c r="T4186" i="16"/>
  <c r="E4186" i="16"/>
  <c r="J4186" i="16"/>
  <c r="I4186" i="16"/>
  <c r="L4278" i="16"/>
  <c r="T4278" i="16"/>
  <c r="G4278" i="16"/>
  <c r="O4278" i="16"/>
  <c r="E4278" i="16"/>
  <c r="J4278" i="16"/>
  <c r="H4278" i="16"/>
  <c r="K4278" i="16"/>
  <c r="F4278" i="16"/>
  <c r="P4278" i="16"/>
  <c r="N4278" i="16"/>
  <c r="M4278" i="16"/>
  <c r="J4290" i="16"/>
  <c r="O4290" i="16"/>
  <c r="L4290" i="16"/>
  <c r="K4290" i="16"/>
  <c r="J4294" i="16"/>
  <c r="P4294" i="16"/>
  <c r="M4294" i="16"/>
  <c r="I4294" i="16"/>
  <c r="J4330" i="16"/>
  <c r="L4330" i="16"/>
  <c r="F4330" i="16"/>
  <c r="T4330" i="16"/>
  <c r="E4330" i="16"/>
  <c r="N4330" i="16"/>
  <c r="M4330" i="16"/>
  <c r="G4330" i="16"/>
  <c r="K4347" i="16"/>
  <c r="I4347" i="16"/>
  <c r="H4347" i="16"/>
  <c r="J4347" i="16"/>
  <c r="P4381" i="16"/>
  <c r="F4381" i="16"/>
  <c r="N4381" i="16"/>
  <c r="T4381" i="16"/>
  <c r="G4381" i="16"/>
  <c r="H4381" i="16"/>
  <c r="L4388" i="16"/>
  <c r="K4388" i="16"/>
  <c r="P4415" i="16"/>
  <c r="N4415" i="16"/>
  <c r="M4415" i="16"/>
  <c r="L4470" i="16"/>
  <c r="P4470" i="16"/>
  <c r="F4470" i="16"/>
  <c r="O4470" i="16"/>
  <c r="E4470" i="16"/>
  <c r="N4470" i="16"/>
  <c r="K4470" i="16"/>
  <c r="G4470" i="16"/>
  <c r="J4470" i="16"/>
  <c r="H4470" i="16"/>
  <c r="I4544" i="16"/>
  <c r="H4544" i="16"/>
  <c r="G4544" i="16"/>
  <c r="E4544" i="16"/>
  <c r="M4544" i="16"/>
  <c r="L4544" i="16"/>
  <c r="T4544" i="16"/>
  <c r="P4544" i="16"/>
  <c r="N4544" i="16"/>
  <c r="I4549" i="16"/>
  <c r="H4549" i="16"/>
  <c r="G4549" i="16"/>
  <c r="O4549" i="16"/>
  <c r="F4549" i="16"/>
  <c r="T4549" i="16"/>
  <c r="P4549" i="16"/>
  <c r="T4777" i="16"/>
  <c r="L4777" i="16"/>
  <c r="K4777" i="16"/>
  <c r="G4777" i="16"/>
  <c r="P4777" i="16"/>
  <c r="E4777" i="16"/>
  <c r="O4777" i="16"/>
  <c r="F4777" i="16"/>
  <c r="J5040" i="16"/>
  <c r="P5040" i="16"/>
  <c r="F5040" i="16"/>
  <c r="O5040" i="16"/>
  <c r="E5040" i="16"/>
  <c r="N5040" i="16"/>
  <c r="K5040" i="16"/>
  <c r="H5040" i="16"/>
  <c r="M5040" i="16"/>
  <c r="L5040" i="16"/>
  <c r="G5040" i="16"/>
  <c r="I5314" i="16"/>
  <c r="F5314" i="16"/>
  <c r="K5314" i="16"/>
  <c r="J5314" i="16"/>
  <c r="T5327" i="16"/>
  <c r="H5327" i="16"/>
  <c r="F5327" i="16"/>
  <c r="E5327" i="16"/>
  <c r="O5327" i="16"/>
  <c r="N5327" i="16"/>
  <c r="P5327" i="16"/>
  <c r="M5327" i="16"/>
  <c r="L5327" i="16"/>
  <c r="T5785" i="16"/>
  <c r="O5785" i="16"/>
  <c r="F5785" i="16"/>
  <c r="G5785" i="16"/>
  <c r="P5785" i="16"/>
  <c r="E5785" i="16"/>
  <c r="N5785" i="16"/>
  <c r="K5785" i="16"/>
  <c r="J5785" i="16"/>
  <c r="H5785" i="16"/>
  <c r="L5785" i="16"/>
  <c r="M5785" i="16"/>
  <c r="K2015" i="16"/>
  <c r="I2015" i="16"/>
  <c r="G2015" i="16"/>
  <c r="H2050" i="16"/>
  <c r="F2050" i="16"/>
  <c r="T2050" i="16"/>
  <c r="P2050" i="16"/>
  <c r="K2067" i="16"/>
  <c r="J2067" i="16"/>
  <c r="I2067" i="16"/>
  <c r="H2067" i="16"/>
  <c r="T2084" i="16"/>
  <c r="J2093" i="16"/>
  <c r="I2093" i="16"/>
  <c r="K2093" i="16"/>
  <c r="I2114" i="16"/>
  <c r="H2114" i="16"/>
  <c r="N2114" i="16"/>
  <c r="M2114" i="16"/>
  <c r="G2115" i="16"/>
  <c r="E2115" i="16"/>
  <c r="L2119" i="16"/>
  <c r="K2119" i="16"/>
  <c r="P2120" i="16"/>
  <c r="T2136" i="16"/>
  <c r="N2136" i="16"/>
  <c r="E2136" i="16"/>
  <c r="M2136" i="16"/>
  <c r="J2136" i="16"/>
  <c r="H2136" i="16"/>
  <c r="O2136" i="16"/>
  <c r="T2176" i="16"/>
  <c r="L2176" i="16"/>
  <c r="K2176" i="16"/>
  <c r="N2176" i="16"/>
  <c r="M2176" i="16"/>
  <c r="J2176" i="16"/>
  <c r="I2202" i="16"/>
  <c r="F2202" i="16"/>
  <c r="E2202" i="16"/>
  <c r="L2202" i="16"/>
  <c r="H2202" i="16"/>
  <c r="O2227" i="16"/>
  <c r="M2227" i="16"/>
  <c r="H2227" i="16"/>
  <c r="G2227" i="16"/>
  <c r="T2227" i="16"/>
  <c r="K2236" i="16"/>
  <c r="J2236" i="16"/>
  <c r="F2236" i="16"/>
  <c r="J2239" i="16"/>
  <c r="H2239" i="16"/>
  <c r="T2239" i="16"/>
  <c r="G2239" i="16"/>
  <c r="L2239" i="16"/>
  <c r="K2239" i="16"/>
  <c r="O2239" i="16"/>
  <c r="K2254" i="16"/>
  <c r="P2254" i="16"/>
  <c r="O2254" i="16"/>
  <c r="G2254" i="16"/>
  <c r="F2254" i="16"/>
  <c r="T2254" i="16"/>
  <c r="T2266" i="16"/>
  <c r="J2279" i="16"/>
  <c r="O2279" i="16"/>
  <c r="N2279" i="16"/>
  <c r="P2279" i="16"/>
  <c r="M2279" i="16"/>
  <c r="K2302" i="16"/>
  <c r="N2302" i="16"/>
  <c r="M2302" i="16"/>
  <c r="G2302" i="16"/>
  <c r="F2302" i="16"/>
  <c r="O2302" i="16"/>
  <c r="T2307" i="16"/>
  <c r="O2307" i="16"/>
  <c r="I2311" i="16"/>
  <c r="H2311" i="16"/>
  <c r="E2317" i="16"/>
  <c r="T2328" i="16"/>
  <c r="N2328" i="16"/>
  <c r="E2328" i="16"/>
  <c r="M2328" i="16"/>
  <c r="F2328" i="16"/>
  <c r="P2328" i="16"/>
  <c r="L2328" i="16"/>
  <c r="K2340" i="16"/>
  <c r="E2341" i="16"/>
  <c r="E2353" i="16"/>
  <c r="J2353" i="16"/>
  <c r="G2357" i="16"/>
  <c r="T2368" i="16"/>
  <c r="P2368" i="16"/>
  <c r="G2368" i="16"/>
  <c r="O2368" i="16"/>
  <c r="F2368" i="16"/>
  <c r="N2368" i="16"/>
  <c r="L2368" i="16"/>
  <c r="E2376" i="16"/>
  <c r="P2380" i="16"/>
  <c r="H2399" i="16"/>
  <c r="L2405" i="16"/>
  <c r="P2405" i="16"/>
  <c r="O2405" i="16"/>
  <c r="F2405" i="16"/>
  <c r="E2405" i="16"/>
  <c r="K2406" i="16"/>
  <c r="L2406" i="16"/>
  <c r="G2406" i="16"/>
  <c r="O2406" i="16"/>
  <c r="K2418" i="16"/>
  <c r="E2419" i="16"/>
  <c r="T2438" i="16"/>
  <c r="P2438" i="16"/>
  <c r="T2440" i="16"/>
  <c r="M2440" i="16"/>
  <c r="L2440" i="16"/>
  <c r="H2440" i="16"/>
  <c r="G2440" i="16"/>
  <c r="N2440" i="16"/>
  <c r="K2453" i="16"/>
  <c r="J2453" i="16"/>
  <c r="E2457" i="16"/>
  <c r="G2460" i="16"/>
  <c r="F2460" i="16"/>
  <c r="K2463" i="16"/>
  <c r="G2494" i="16"/>
  <c r="I2498" i="16"/>
  <c r="G2504" i="16"/>
  <c r="O2508" i="16"/>
  <c r="T2512" i="16"/>
  <c r="L2512" i="16"/>
  <c r="K2512" i="16"/>
  <c r="G2512" i="16"/>
  <c r="F2512" i="16"/>
  <c r="N2512" i="16"/>
  <c r="E2514" i="16"/>
  <c r="T2521" i="16"/>
  <c r="O2521" i="16"/>
  <c r="E2521" i="16"/>
  <c r="N2521" i="16"/>
  <c r="L2521" i="16"/>
  <c r="K2530" i="16"/>
  <c r="I2530" i="16"/>
  <c r="F2530" i="16"/>
  <c r="H2543" i="16"/>
  <c r="E2545" i="16"/>
  <c r="I2547" i="16"/>
  <c r="I2557" i="16"/>
  <c r="H2557" i="16"/>
  <c r="F2557" i="16"/>
  <c r="K2557" i="16"/>
  <c r="G2557" i="16"/>
  <c r="K2589" i="16"/>
  <c r="J2589" i="16"/>
  <c r="I2620" i="16"/>
  <c r="E2633" i="16"/>
  <c r="T2656" i="16"/>
  <c r="N2656" i="16"/>
  <c r="E2656" i="16"/>
  <c r="M2656" i="16"/>
  <c r="O2656" i="16"/>
  <c r="L2656" i="16"/>
  <c r="H2656" i="16"/>
  <c r="G2656" i="16"/>
  <c r="T2657" i="16"/>
  <c r="F2657" i="16"/>
  <c r="O2657" i="16"/>
  <c r="E2657" i="16"/>
  <c r="K2657" i="16"/>
  <c r="J2657" i="16"/>
  <c r="G2657" i="16"/>
  <c r="I2666" i="16"/>
  <c r="J2672" i="16"/>
  <c r="H2683" i="16"/>
  <c r="J2698" i="16"/>
  <c r="M2698" i="16"/>
  <c r="I2698" i="16"/>
  <c r="T2698" i="16"/>
  <c r="N2698" i="16"/>
  <c r="E2713" i="16"/>
  <c r="H2727" i="16"/>
  <c r="M2727" i="16"/>
  <c r="L2727" i="16"/>
  <c r="N2727" i="16"/>
  <c r="F2727" i="16"/>
  <c r="J2732" i="16"/>
  <c r="I2732" i="16"/>
  <c r="H2732" i="16"/>
  <c r="G2732" i="16"/>
  <c r="T2732" i="16"/>
  <c r="I2733" i="16"/>
  <c r="F2754" i="16"/>
  <c r="O2756" i="16"/>
  <c r="J2756" i="16"/>
  <c r="J2761" i="16"/>
  <c r="G2781" i="16"/>
  <c r="G2788" i="16"/>
  <c r="N2797" i="16"/>
  <c r="I2797" i="16"/>
  <c r="J2797" i="16"/>
  <c r="T2801" i="16"/>
  <c r="N2801" i="16"/>
  <c r="M2801" i="16"/>
  <c r="O2801" i="16"/>
  <c r="L2801" i="16"/>
  <c r="J2801" i="16"/>
  <c r="G2801" i="16"/>
  <c r="N2805" i="16"/>
  <c r="K2805" i="16"/>
  <c r="J2805" i="16"/>
  <c r="F2805" i="16"/>
  <c r="P2805" i="16"/>
  <c r="E2806" i="16"/>
  <c r="P2814" i="16"/>
  <c r="L2836" i="16"/>
  <c r="T2841" i="16"/>
  <c r="N2841" i="16"/>
  <c r="M2841" i="16"/>
  <c r="E2841" i="16"/>
  <c r="K2841" i="16"/>
  <c r="J2841" i="16"/>
  <c r="P2855" i="16"/>
  <c r="E2855" i="16"/>
  <c r="O2855" i="16"/>
  <c r="F2855" i="16"/>
  <c r="H2855" i="16"/>
  <c r="G2855" i="16"/>
  <c r="E2880" i="16"/>
  <c r="H2883" i="16"/>
  <c r="T2904" i="16"/>
  <c r="P2904" i="16"/>
  <c r="G2904" i="16"/>
  <c r="O2904" i="16"/>
  <c r="F2904" i="16"/>
  <c r="N2904" i="16"/>
  <c r="H2904" i="16"/>
  <c r="E2904" i="16"/>
  <c r="K2917" i="16"/>
  <c r="H2917" i="16"/>
  <c r="J2917" i="16"/>
  <c r="E2929" i="16"/>
  <c r="T2936" i="16"/>
  <c r="O2936" i="16"/>
  <c r="F2936" i="16"/>
  <c r="N2936" i="16"/>
  <c r="E2936" i="16"/>
  <c r="P2936" i="16"/>
  <c r="K2936" i="16"/>
  <c r="J2936" i="16"/>
  <c r="H2949" i="16"/>
  <c r="L2951" i="16"/>
  <c r="G2959" i="16"/>
  <c r="K2963" i="16"/>
  <c r="J2963" i="16"/>
  <c r="L2963" i="16"/>
  <c r="I2963" i="16"/>
  <c r="G2964" i="16"/>
  <c r="F2977" i="16"/>
  <c r="F3015" i="16"/>
  <c r="I3015" i="16"/>
  <c r="H3015" i="16"/>
  <c r="H3021" i="16"/>
  <c r="G3021" i="16"/>
  <c r="T3021" i="16"/>
  <c r="P3021" i="16"/>
  <c r="E3025" i="16"/>
  <c r="J3036" i="16"/>
  <c r="G3036" i="16"/>
  <c r="P3036" i="16"/>
  <c r="O3036" i="16"/>
  <c r="T3036" i="16"/>
  <c r="I3036" i="16"/>
  <c r="J3052" i="16"/>
  <c r="G3052" i="16"/>
  <c r="H3062" i="16"/>
  <c r="P3062" i="16"/>
  <c r="O3062" i="16"/>
  <c r="E3062" i="16"/>
  <c r="M3062" i="16"/>
  <c r="G3062" i="16"/>
  <c r="E3080" i="16"/>
  <c r="L3095" i="16"/>
  <c r="N3102" i="16"/>
  <c r="T3113" i="16"/>
  <c r="N3113" i="16"/>
  <c r="M3113" i="16"/>
  <c r="E3113" i="16"/>
  <c r="O3113" i="16"/>
  <c r="L3113" i="16"/>
  <c r="O3135" i="16"/>
  <c r="E3161" i="16"/>
  <c r="J3165" i="16"/>
  <c r="I3165" i="16"/>
  <c r="T3165" i="16"/>
  <c r="E3167" i="16"/>
  <c r="I3172" i="16"/>
  <c r="G3191" i="16"/>
  <c r="J3226" i="16"/>
  <c r="I3226" i="16"/>
  <c r="T3226" i="16"/>
  <c r="F3226" i="16"/>
  <c r="E3226" i="16"/>
  <c r="E3231" i="16"/>
  <c r="I3231" i="16"/>
  <c r="L3231" i="16"/>
  <c r="E3243" i="16"/>
  <c r="J3244" i="16"/>
  <c r="T3271" i="16"/>
  <c r="P3271" i="16"/>
  <c r="L3271" i="16"/>
  <c r="O3277" i="16"/>
  <c r="T3299" i="16"/>
  <c r="T3304" i="16"/>
  <c r="L3304" i="16"/>
  <c r="K3304" i="16"/>
  <c r="N3304" i="16"/>
  <c r="M3304" i="16"/>
  <c r="E3304" i="16"/>
  <c r="P3304" i="16"/>
  <c r="O3304" i="16"/>
  <c r="G3312" i="16"/>
  <c r="I3341" i="16"/>
  <c r="H3341" i="16"/>
  <c r="O3341" i="16"/>
  <c r="G3341" i="16"/>
  <c r="F3341" i="16"/>
  <c r="I3354" i="16"/>
  <c r="T3374" i="16"/>
  <c r="F3374" i="16"/>
  <c r="P3374" i="16"/>
  <c r="E3374" i="16"/>
  <c r="H3374" i="16"/>
  <c r="G3374" i="16"/>
  <c r="T3376" i="16"/>
  <c r="M3376" i="16"/>
  <c r="L3376" i="16"/>
  <c r="H3376" i="16"/>
  <c r="G3376" i="16"/>
  <c r="P3376" i="16"/>
  <c r="O3376" i="16"/>
  <c r="N3376" i="16"/>
  <c r="H3382" i="16"/>
  <c r="G3382" i="16"/>
  <c r="F3382" i="16"/>
  <c r="N3382" i="16"/>
  <c r="M3382" i="16"/>
  <c r="P3382" i="16"/>
  <c r="O3382" i="16"/>
  <c r="E3382" i="16"/>
  <c r="T3440" i="16"/>
  <c r="L3440" i="16"/>
  <c r="K3440" i="16"/>
  <c r="G3440" i="16"/>
  <c r="F3440" i="16"/>
  <c r="E3440" i="16"/>
  <c r="P3440" i="16"/>
  <c r="O3440" i="16"/>
  <c r="G3461" i="16"/>
  <c r="J3472" i="16"/>
  <c r="I3486" i="16"/>
  <c r="T3488" i="16"/>
  <c r="H3488" i="16"/>
  <c r="P3488" i="16"/>
  <c r="G3488" i="16"/>
  <c r="F3488" i="16"/>
  <c r="E3488" i="16"/>
  <c r="M3488" i="16"/>
  <c r="L3488" i="16"/>
  <c r="K3488" i="16"/>
  <c r="M3491" i="16"/>
  <c r="L3491" i="16"/>
  <c r="K3491" i="16"/>
  <c r="E3491" i="16"/>
  <c r="J3515" i="16"/>
  <c r="T3520" i="16"/>
  <c r="N3520" i="16"/>
  <c r="E3520" i="16"/>
  <c r="M3520" i="16"/>
  <c r="J3520" i="16"/>
  <c r="H3520" i="16"/>
  <c r="F3520" i="16"/>
  <c r="P3520" i="16"/>
  <c r="I3533" i="16"/>
  <c r="T3560" i="16"/>
  <c r="N3560" i="16"/>
  <c r="E3560" i="16"/>
  <c r="M3560" i="16"/>
  <c r="G3560" i="16"/>
  <c r="F3560" i="16"/>
  <c r="J3560" i="16"/>
  <c r="H3560" i="16"/>
  <c r="I3579" i="16"/>
  <c r="H3579" i="16"/>
  <c r="T3579" i="16"/>
  <c r="P3579" i="16"/>
  <c r="J3579" i="16"/>
  <c r="E3579" i="16"/>
  <c r="I3589" i="16"/>
  <c r="H3589" i="16"/>
  <c r="G3589" i="16"/>
  <c r="F3589" i="16"/>
  <c r="H3600" i="16"/>
  <c r="T3623" i="16"/>
  <c r="L3623" i="16"/>
  <c r="H3623" i="16"/>
  <c r="E3623" i="16"/>
  <c r="P3623" i="16"/>
  <c r="L3625" i="16"/>
  <c r="T3630" i="16"/>
  <c r="J3630" i="16"/>
  <c r="H3630" i="16"/>
  <c r="N3630" i="16"/>
  <c r="M3630" i="16"/>
  <c r="O3630" i="16"/>
  <c r="F3630" i="16"/>
  <c r="E3630" i="16"/>
  <c r="H3639" i="16"/>
  <c r="E3658" i="16"/>
  <c r="I3658" i="16"/>
  <c r="F3658" i="16"/>
  <c r="J3658" i="16"/>
  <c r="N3673" i="16"/>
  <c r="K3675" i="16"/>
  <c r="J3675" i="16"/>
  <c r="G3726" i="16"/>
  <c r="I3726" i="16"/>
  <c r="H3726" i="16"/>
  <c r="H3766" i="16"/>
  <c r="E3766" i="16"/>
  <c r="T3766" i="16"/>
  <c r="N3766" i="16"/>
  <c r="M3766" i="16"/>
  <c r="O3766" i="16"/>
  <c r="G3766" i="16"/>
  <c r="F3766" i="16"/>
  <c r="J3786" i="16"/>
  <c r="T3786" i="16"/>
  <c r="M3786" i="16"/>
  <c r="I3786" i="16"/>
  <c r="F3786" i="16"/>
  <c r="E3786" i="16"/>
  <c r="K3865" i="16"/>
  <c r="T3889" i="16"/>
  <c r="N3889" i="16"/>
  <c r="L3889" i="16"/>
  <c r="J3889" i="16"/>
  <c r="G3889" i="16"/>
  <c r="M3889" i="16"/>
  <c r="K3889" i="16"/>
  <c r="F3889" i="16"/>
  <c r="E3889" i="16"/>
  <c r="L3924" i="16"/>
  <c r="I3930" i="16"/>
  <c r="F3930" i="16"/>
  <c r="J3930" i="16"/>
  <c r="E3930" i="16"/>
  <c r="K3954" i="16"/>
  <c r="E3954" i="16"/>
  <c r="O3954" i="16"/>
  <c r="N3954" i="16"/>
  <c r="I3954" i="16"/>
  <c r="F3954" i="16"/>
  <c r="H3971" i="16"/>
  <c r="J3979" i="16"/>
  <c r="K3990" i="16"/>
  <c r="I3990" i="16"/>
  <c r="E3990" i="16"/>
  <c r="O3990" i="16"/>
  <c r="M3990" i="16"/>
  <c r="K4077" i="16"/>
  <c r="I4077" i="16"/>
  <c r="J4077" i="16"/>
  <c r="F4077" i="16"/>
  <c r="M4116" i="16"/>
  <c r="J4116" i="16"/>
  <c r="K4116" i="16"/>
  <c r="I4116" i="16"/>
  <c r="L4133" i="16"/>
  <c r="N4133" i="16"/>
  <c r="K4133" i="16"/>
  <c r="O4133" i="16"/>
  <c r="H4177" i="16"/>
  <c r="J4182" i="16"/>
  <c r="P4182" i="16"/>
  <c r="O4182" i="16"/>
  <c r="T4182" i="16"/>
  <c r="K4189" i="16"/>
  <c r="T4250" i="16"/>
  <c r="K4283" i="16"/>
  <c r="I4283" i="16"/>
  <c r="H4283" i="16"/>
  <c r="J4283" i="16"/>
  <c r="P4395" i="16"/>
  <c r="E4395" i="16"/>
  <c r="M4395" i="16"/>
  <c r="T4395" i="16"/>
  <c r="I4395" i="16"/>
  <c r="H4395" i="16"/>
  <c r="F4395" i="16"/>
  <c r="G4438" i="16"/>
  <c r="F4438" i="16"/>
  <c r="I4438" i="16"/>
  <c r="T4438" i="16"/>
  <c r="H4438" i="16"/>
  <c r="F4472" i="16"/>
  <c r="N4518" i="16"/>
  <c r="M4518" i="16"/>
  <c r="F4518" i="16"/>
  <c r="E4518" i="16"/>
  <c r="I4518" i="16"/>
  <c r="H4518" i="16"/>
  <c r="N4715" i="16"/>
  <c r="M4715" i="16"/>
  <c r="T4715" i="16"/>
  <c r="L4715" i="16"/>
  <c r="H4715" i="16"/>
  <c r="F4715" i="16"/>
  <c r="I4715" i="16"/>
  <c r="E4715" i="16"/>
  <c r="L4774" i="16"/>
  <c r="O4774" i="16"/>
  <c r="N4774" i="16"/>
  <c r="F4774" i="16"/>
  <c r="E4774" i="16"/>
  <c r="J4774" i="16"/>
  <c r="M4804" i="16"/>
  <c r="N4863" i="16"/>
  <c r="I4863" i="16"/>
  <c r="T4873" i="16"/>
  <c r="P4873" i="16"/>
  <c r="G4873" i="16"/>
  <c r="O4873" i="16"/>
  <c r="F4873" i="16"/>
  <c r="K4873" i="16"/>
  <c r="H4873" i="16"/>
  <c r="E4873" i="16"/>
  <c r="J4873" i="16"/>
  <c r="M4873" i="16"/>
  <c r="L4873" i="16"/>
  <c r="O5005" i="16"/>
  <c r="I5021" i="16"/>
  <c r="H5021" i="16"/>
  <c r="T5021" i="16"/>
  <c r="G5021" i="16"/>
  <c r="L5021" i="16"/>
  <c r="F5021" i="16"/>
  <c r="O5021" i="16"/>
  <c r="N5021" i="16"/>
  <c r="K5021" i="16"/>
  <c r="P5021" i="16"/>
  <c r="H5207" i="16"/>
  <c r="L5207" i="16"/>
  <c r="F5207" i="16"/>
  <c r="E5207" i="16"/>
  <c r="N5207" i="16"/>
  <c r="M5207" i="16"/>
  <c r="P5207" i="16"/>
  <c r="O5207" i="16"/>
  <c r="T5209" i="16"/>
  <c r="O5209" i="16"/>
  <c r="F5209" i="16"/>
  <c r="N5209" i="16"/>
  <c r="E5209" i="16"/>
  <c r="M5209" i="16"/>
  <c r="P5209" i="16"/>
  <c r="J5209" i="16"/>
  <c r="G5209" i="16"/>
  <c r="L5209" i="16"/>
  <c r="K5209" i="16"/>
  <c r="H5209" i="16"/>
  <c r="N5265" i="16"/>
  <c r="I5324" i="16"/>
  <c r="H5324" i="16"/>
  <c r="G5324" i="16"/>
  <c r="P5324" i="16"/>
  <c r="O5324" i="16"/>
  <c r="L5324" i="16"/>
  <c r="J5324" i="16"/>
  <c r="T5324" i="16"/>
  <c r="P5408" i="16"/>
  <c r="T5553" i="16"/>
  <c r="H5553" i="16"/>
  <c r="P5553" i="16"/>
  <c r="G5553" i="16"/>
  <c r="O5553" i="16"/>
  <c r="F5553" i="16"/>
  <c r="N5553" i="16"/>
  <c r="E5553" i="16"/>
  <c r="L5553" i="16"/>
  <c r="K5553" i="16"/>
  <c r="M5553" i="16"/>
  <c r="J5553" i="16"/>
  <c r="H5555" i="16"/>
  <c r="J5555" i="16"/>
  <c r="I5555" i="16"/>
  <c r="T5555" i="16"/>
  <c r="P5555" i="16"/>
  <c r="K5555" i="16"/>
  <c r="T5812" i="16"/>
  <c r="K5812" i="16"/>
  <c r="P5812" i="16"/>
  <c r="O5812" i="16"/>
  <c r="K5815" i="16"/>
  <c r="G5815" i="16"/>
  <c r="E5815" i="16"/>
  <c r="P5815" i="16"/>
  <c r="O5815" i="16"/>
  <c r="H5815" i="16"/>
  <c r="F5815" i="16"/>
  <c r="M5815" i="16"/>
  <c r="L5815" i="16"/>
  <c r="N5815" i="16"/>
  <c r="T3505" i="16"/>
  <c r="F3505" i="16"/>
  <c r="O3505" i="16"/>
  <c r="E3505" i="16"/>
  <c r="M3505" i="16"/>
  <c r="K3532" i="16"/>
  <c r="G3532" i="16"/>
  <c r="T3538" i="16"/>
  <c r="G3597" i="16"/>
  <c r="F3597" i="16"/>
  <c r="T3597" i="16"/>
  <c r="E3642" i="16"/>
  <c r="K3642" i="16"/>
  <c r="P3662" i="16"/>
  <c r="J3662" i="16"/>
  <c r="M3671" i="16"/>
  <c r="I3671" i="16"/>
  <c r="H3671" i="16"/>
  <c r="L3671" i="16"/>
  <c r="L3708" i="16"/>
  <c r="K3708" i="16"/>
  <c r="T3720" i="16"/>
  <c r="N3720" i="16"/>
  <c r="E3720" i="16"/>
  <c r="M3720" i="16"/>
  <c r="J3720" i="16"/>
  <c r="H3720" i="16"/>
  <c r="O3720" i="16"/>
  <c r="T3729" i="16"/>
  <c r="N3729" i="16"/>
  <c r="M3729" i="16"/>
  <c r="G3729" i="16"/>
  <c r="F3729" i="16"/>
  <c r="O3729" i="16"/>
  <c r="J3732" i="16"/>
  <c r="G3732" i="16"/>
  <c r="H3732" i="16"/>
  <c r="T3736" i="16"/>
  <c r="O3736" i="16"/>
  <c r="F3736" i="16"/>
  <c r="N3736" i="16"/>
  <c r="E3736" i="16"/>
  <c r="P3736" i="16"/>
  <c r="M3736" i="16"/>
  <c r="L3736" i="16"/>
  <c r="N3765" i="16"/>
  <c r="K3765" i="16"/>
  <c r="J3765" i="16"/>
  <c r="O3782" i="16"/>
  <c r="I3782" i="16"/>
  <c r="H3782" i="16"/>
  <c r="E3782" i="16"/>
  <c r="J3804" i="16"/>
  <c r="O3804" i="16"/>
  <c r="H3804" i="16"/>
  <c r="I3804" i="16"/>
  <c r="G3804" i="16"/>
  <c r="P3804" i="16"/>
  <c r="K3843" i="16"/>
  <c r="I3843" i="16"/>
  <c r="H3843" i="16"/>
  <c r="O3903" i="16"/>
  <c r="H3903" i="16"/>
  <c r="T3903" i="16"/>
  <c r="I3903" i="16"/>
  <c r="L3950" i="16"/>
  <c r="M3950" i="16"/>
  <c r="M3953" i="16"/>
  <c r="L3953" i="16"/>
  <c r="J3953" i="16"/>
  <c r="I3967" i="16"/>
  <c r="K3967" i="16"/>
  <c r="G3967" i="16"/>
  <c r="H3967" i="16"/>
  <c r="F3967" i="16"/>
  <c r="N3967" i="16"/>
  <c r="L3967" i="16"/>
  <c r="I3983" i="16"/>
  <c r="N3983" i="16"/>
  <c r="O4007" i="16"/>
  <c r="L4007" i="16"/>
  <c r="T4007" i="16"/>
  <c r="P4007" i="16"/>
  <c r="N4007" i="16"/>
  <c r="K4007" i="16"/>
  <c r="L4038" i="16"/>
  <c r="K4038" i="16"/>
  <c r="M4052" i="16"/>
  <c r="E4052" i="16"/>
  <c r="M4056" i="16"/>
  <c r="L4056" i="16"/>
  <c r="L4176" i="16"/>
  <c r="F4176" i="16"/>
  <c r="E4176" i="16"/>
  <c r="T4178" i="16"/>
  <c r="F4178" i="16"/>
  <c r="N4178" i="16"/>
  <c r="K4178" i="16"/>
  <c r="I4178" i="16"/>
  <c r="O4178" i="16"/>
  <c r="I4229" i="16"/>
  <c r="F4229" i="16"/>
  <c r="F4255" i="16"/>
  <c r="P4255" i="16"/>
  <c r="I4255" i="16"/>
  <c r="T4265" i="16"/>
  <c r="N4265" i="16"/>
  <c r="E4265" i="16"/>
  <c r="L4265" i="16"/>
  <c r="O4265" i="16"/>
  <c r="M4265" i="16"/>
  <c r="P4265" i="16"/>
  <c r="K4265" i="16"/>
  <c r="L4277" i="16"/>
  <c r="J4277" i="16"/>
  <c r="H4277" i="16"/>
  <c r="I4309" i="16"/>
  <c r="G4309" i="16"/>
  <c r="T4309" i="16"/>
  <c r="L4309" i="16"/>
  <c r="K4309" i="16"/>
  <c r="I4310" i="16"/>
  <c r="P4310" i="16"/>
  <c r="G4310" i="16"/>
  <c r="F4310" i="16"/>
  <c r="M4322" i="16"/>
  <c r="K4322" i="16"/>
  <c r="M4326" i="16"/>
  <c r="I4326" i="16"/>
  <c r="F4326" i="16"/>
  <c r="E4326" i="16"/>
  <c r="T4326" i="16"/>
  <c r="G4380" i="16"/>
  <c r="E4380" i="16"/>
  <c r="T4385" i="16"/>
  <c r="H4385" i="16"/>
  <c r="O4385" i="16"/>
  <c r="F4385" i="16"/>
  <c r="J4385" i="16"/>
  <c r="G4385" i="16"/>
  <c r="P4385" i="16"/>
  <c r="N4385" i="16"/>
  <c r="L4406" i="16"/>
  <c r="H4406" i="16"/>
  <c r="T4406" i="16"/>
  <c r="G4406" i="16"/>
  <c r="N4406" i="16"/>
  <c r="K4406" i="16"/>
  <c r="M4406" i="16"/>
  <c r="J4406" i="16"/>
  <c r="E4406" i="16"/>
  <c r="J4411" i="16"/>
  <c r="H4411" i="16"/>
  <c r="J4414" i="16"/>
  <c r="I4414" i="16"/>
  <c r="H4414" i="16"/>
  <c r="G4414" i="16"/>
  <c r="T4422" i="16"/>
  <c r="F4422" i="16"/>
  <c r="H4422" i="16"/>
  <c r="G4422" i="16"/>
  <c r="M4422" i="16"/>
  <c r="I4422" i="16"/>
  <c r="L4432" i="16"/>
  <c r="K4432" i="16"/>
  <c r="M4432" i="16"/>
  <c r="J4460" i="16"/>
  <c r="I4460" i="16"/>
  <c r="H4460" i="16"/>
  <c r="J4551" i="16"/>
  <c r="G4551" i="16"/>
  <c r="T4551" i="16"/>
  <c r="H4551" i="16"/>
  <c r="I4661" i="16"/>
  <c r="H4661" i="16"/>
  <c r="G4661" i="16"/>
  <c r="P4661" i="16"/>
  <c r="N4661" i="16"/>
  <c r="L4661" i="16"/>
  <c r="K4661" i="16"/>
  <c r="F4661" i="16"/>
  <c r="J4666" i="16"/>
  <c r="E4666" i="16"/>
  <c r="O4666" i="16"/>
  <c r="N4666" i="16"/>
  <c r="K4668" i="16"/>
  <c r="T4668" i="16"/>
  <c r="I4668" i="16"/>
  <c r="H4668" i="16"/>
  <c r="I4739" i="16"/>
  <c r="N4739" i="16"/>
  <c r="M4739" i="16"/>
  <c r="H4739" i="16"/>
  <c r="E4739" i="16"/>
  <c r="K4739" i="16"/>
  <c r="F4739" i="16"/>
  <c r="T4739" i="16"/>
  <c r="P4739" i="16"/>
  <c r="K4762" i="16"/>
  <c r="J4762" i="16"/>
  <c r="M4762" i="16"/>
  <c r="L4762" i="16"/>
  <c r="K4791" i="16"/>
  <c r="T4791" i="16"/>
  <c r="G4791" i="16"/>
  <c r="P4791" i="16"/>
  <c r="F4791" i="16"/>
  <c r="H4791" i="16"/>
  <c r="M4791" i="16"/>
  <c r="L4791" i="16"/>
  <c r="N4791" i="16"/>
  <c r="J4791" i="16"/>
  <c r="E4791" i="16"/>
  <c r="H4795" i="16"/>
  <c r="F4795" i="16"/>
  <c r="J4795" i="16"/>
  <c r="J4837" i="16"/>
  <c r="F4837" i="16"/>
  <c r="K4837" i="16"/>
  <c r="L4837" i="16"/>
  <c r="I4955" i="16"/>
  <c r="L4955" i="16"/>
  <c r="K4955" i="16"/>
  <c r="F4955" i="16"/>
  <c r="N4955" i="16"/>
  <c r="E4955" i="16"/>
  <c r="P4955" i="16"/>
  <c r="I4970" i="16"/>
  <c r="O4970" i="16"/>
  <c r="N4970" i="16"/>
  <c r="M4970" i="16"/>
  <c r="E4970" i="16"/>
  <c r="G4970" i="16"/>
  <c r="K4970" i="16"/>
  <c r="F4970" i="16"/>
  <c r="T4970" i="16"/>
  <c r="L4970" i="16"/>
  <c r="L4992" i="16"/>
  <c r="E4992" i="16"/>
  <c r="I4992" i="16"/>
  <c r="N4992" i="16"/>
  <c r="T5023" i="16"/>
  <c r="I5023" i="16"/>
  <c r="H5023" i="16"/>
  <c r="G5023" i="16"/>
  <c r="T5057" i="16"/>
  <c r="M5057" i="16"/>
  <c r="L5057" i="16"/>
  <c r="K5057" i="16"/>
  <c r="F5057" i="16"/>
  <c r="E5057" i="16"/>
  <c r="G5057" i="16"/>
  <c r="O5057" i="16"/>
  <c r="N5057" i="16"/>
  <c r="J5057" i="16"/>
  <c r="H5071" i="16"/>
  <c r="E5071" i="16"/>
  <c r="P5071" i="16"/>
  <c r="F5071" i="16"/>
  <c r="M5071" i="16"/>
  <c r="L5071" i="16"/>
  <c r="O5071" i="16"/>
  <c r="N5071" i="16"/>
  <c r="T5081" i="16"/>
  <c r="H5081" i="16"/>
  <c r="P5081" i="16"/>
  <c r="G5081" i="16"/>
  <c r="O5081" i="16"/>
  <c r="F5081" i="16"/>
  <c r="K5081" i="16"/>
  <c r="J5081" i="16"/>
  <c r="E5081" i="16"/>
  <c r="N5081" i="16"/>
  <c r="E5091" i="16"/>
  <c r="M5091" i="16"/>
  <c r="L5091" i="16"/>
  <c r="T5091" i="16"/>
  <c r="K5091" i="16"/>
  <c r="L5115" i="16"/>
  <c r="K5115" i="16"/>
  <c r="E5115" i="16"/>
  <c r="T5233" i="16"/>
  <c r="O5233" i="16"/>
  <c r="F5233" i="16"/>
  <c r="N5233" i="16"/>
  <c r="E5233" i="16"/>
  <c r="M5233" i="16"/>
  <c r="H5233" i="16"/>
  <c r="G5233" i="16"/>
  <c r="P5233" i="16"/>
  <c r="L5233" i="16"/>
  <c r="T5487" i="16"/>
  <c r="E5487" i="16"/>
  <c r="P5487" i="16"/>
  <c r="O5487" i="16"/>
  <c r="H5487" i="16"/>
  <c r="F5487" i="16"/>
  <c r="N5487" i="16"/>
  <c r="M5487" i="16"/>
  <c r="L5487" i="16"/>
  <c r="T5491" i="16"/>
  <c r="P5491" i="16"/>
  <c r="K5775" i="16"/>
  <c r="F5775" i="16"/>
  <c r="L5775" i="16"/>
  <c r="H5775" i="16"/>
  <c r="G5775" i="16"/>
  <c r="E5775" i="16"/>
  <c r="N5775" i="16"/>
  <c r="M5775" i="16"/>
  <c r="O5775" i="16"/>
  <c r="P5775" i="16"/>
  <c r="AM324" i="17"/>
  <c r="AH324" i="17"/>
  <c r="AR324" i="17"/>
  <c r="AN324" i="17"/>
  <c r="L324" i="17"/>
  <c r="K324" i="17"/>
  <c r="J324" i="17"/>
  <c r="AI386" i="17"/>
  <c r="AF386" i="17"/>
  <c r="AH624" i="17"/>
  <c r="P624" i="17"/>
  <c r="O624" i="17"/>
  <c r="W624" i="17"/>
  <c r="V624" i="17"/>
  <c r="AF624" i="17"/>
  <c r="AE624" i="17"/>
  <c r="R1527" i="17"/>
  <c r="Q1527" i="17"/>
  <c r="AN1527" i="17"/>
  <c r="AI1527" i="17"/>
  <c r="T1527" i="17"/>
  <c r="S1527" i="17"/>
  <c r="P1527" i="17"/>
  <c r="X1574" i="17"/>
  <c r="W1574" i="17"/>
  <c r="AM1574" i="17"/>
  <c r="AH1574" i="17"/>
  <c r="E147" i="16"/>
  <c r="E166" i="16"/>
  <c r="F166" i="16" s="1"/>
  <c r="E216" i="16"/>
  <c r="T216" i="16" s="1"/>
  <c r="E222" i="16"/>
  <c r="F222" i="16" s="1"/>
  <c r="E230" i="16"/>
  <c r="F230" i="16" s="1"/>
  <c r="K285" i="16"/>
  <c r="E286" i="16"/>
  <c r="F286" i="16" s="1"/>
  <c r="L337" i="16"/>
  <c r="E591" i="16"/>
  <c r="K605" i="16"/>
  <c r="E622" i="16"/>
  <c r="F622" i="16" s="1"/>
  <c r="E686" i="16"/>
  <c r="F686" i="16" s="1"/>
  <c r="M712" i="16"/>
  <c r="E719" i="16"/>
  <c r="E734" i="16"/>
  <c r="F734" i="16" s="1"/>
  <c r="E736" i="16"/>
  <c r="E856" i="16"/>
  <c r="E870" i="16"/>
  <c r="F870" i="16" s="1"/>
  <c r="M928" i="16"/>
  <c r="M950" i="16"/>
  <c r="J1040" i="16"/>
  <c r="E1103" i="16"/>
  <c r="E1104" i="16"/>
  <c r="E1207" i="16"/>
  <c r="L1374" i="16"/>
  <c r="J1383" i="16"/>
  <c r="L1414" i="16"/>
  <c r="L1454" i="16"/>
  <c r="M1459" i="16"/>
  <c r="L1497" i="16"/>
  <c r="K1533" i="16"/>
  <c r="M1549" i="16"/>
  <c r="J1584" i="16"/>
  <c r="J1624" i="16"/>
  <c r="L1650" i="16"/>
  <c r="J1704" i="16"/>
  <c r="J1761" i="16"/>
  <c r="I1761" i="16"/>
  <c r="G1793" i="16"/>
  <c r="F1793" i="16"/>
  <c r="N1793" i="16"/>
  <c r="I1822" i="16"/>
  <c r="H1822" i="16"/>
  <c r="T1822" i="16"/>
  <c r="K1850" i="16"/>
  <c r="J1850" i="16"/>
  <c r="J1855" i="16"/>
  <c r="T1855" i="16"/>
  <c r="G1855" i="16"/>
  <c r="P1855" i="16"/>
  <c r="F1855" i="16"/>
  <c r="M1855" i="16"/>
  <c r="P1861" i="16"/>
  <c r="N1898" i="16"/>
  <c r="J1898" i="16"/>
  <c r="K1905" i="16"/>
  <c r="J1905" i="16"/>
  <c r="T1920" i="16"/>
  <c r="O1920" i="16"/>
  <c r="F1920" i="16"/>
  <c r="N1920" i="16"/>
  <c r="E1920" i="16"/>
  <c r="L1920" i="16"/>
  <c r="H1926" i="16"/>
  <c r="G1926" i="16"/>
  <c r="G1932" i="16"/>
  <c r="T1932" i="16"/>
  <c r="F1932" i="16"/>
  <c r="O1932" i="16"/>
  <c r="J1935" i="16"/>
  <c r="G1935" i="16"/>
  <c r="F1935" i="16"/>
  <c r="O1935" i="16"/>
  <c r="I1946" i="16"/>
  <c r="H1946" i="16"/>
  <c r="N1946" i="16"/>
  <c r="O1956" i="16"/>
  <c r="N1956" i="16"/>
  <c r="K1956" i="16"/>
  <c r="K1982" i="16"/>
  <c r="H1982" i="16"/>
  <c r="T1982" i="16"/>
  <c r="G1982" i="16"/>
  <c r="M1982" i="16"/>
  <c r="G2038" i="16"/>
  <c r="F2038" i="16"/>
  <c r="P2066" i="16"/>
  <c r="I2066" i="16"/>
  <c r="J2090" i="16"/>
  <c r="F2090" i="16"/>
  <c r="N2098" i="16"/>
  <c r="M2098" i="16"/>
  <c r="K2098" i="16"/>
  <c r="T2104" i="16"/>
  <c r="M2104" i="16"/>
  <c r="L2104" i="16"/>
  <c r="J2104" i="16"/>
  <c r="T2113" i="16"/>
  <c r="E2113" i="16"/>
  <c r="O2113" i="16"/>
  <c r="M2113" i="16"/>
  <c r="I2138" i="16"/>
  <c r="H2138" i="16"/>
  <c r="N2138" i="16"/>
  <c r="I2145" i="16"/>
  <c r="G2145" i="16"/>
  <c r="J2151" i="16"/>
  <c r="P2151" i="16"/>
  <c r="O2151" i="16"/>
  <c r="M2151" i="16"/>
  <c r="N2154" i="16"/>
  <c r="T2160" i="16"/>
  <c r="L2160" i="16"/>
  <c r="K2160" i="16"/>
  <c r="J2160" i="16"/>
  <c r="L2173" i="16"/>
  <c r="H2173" i="16"/>
  <c r="T2173" i="16"/>
  <c r="G2173" i="16"/>
  <c r="M2173" i="16"/>
  <c r="N2201" i="16"/>
  <c r="M2201" i="16"/>
  <c r="K2201" i="16"/>
  <c r="F2217" i="16"/>
  <c r="E2217" i="16"/>
  <c r="O2217" i="16"/>
  <c r="L2235" i="16"/>
  <c r="J2235" i="16"/>
  <c r="I2235" i="16"/>
  <c r="T2272" i="16"/>
  <c r="M2272" i="16"/>
  <c r="L2272" i="16"/>
  <c r="J2272" i="16"/>
  <c r="K2287" i="16"/>
  <c r="I2287" i="16"/>
  <c r="I2297" i="16"/>
  <c r="G2297" i="16"/>
  <c r="J2303" i="16"/>
  <c r="O2303" i="16"/>
  <c r="E2303" i="16"/>
  <c r="N2303" i="16"/>
  <c r="L2303" i="16"/>
  <c r="J2321" i="16"/>
  <c r="F2321" i="16"/>
  <c r="K2342" i="16"/>
  <c r="P2342" i="16"/>
  <c r="O2342" i="16"/>
  <c r="M2342" i="16"/>
  <c r="T2352" i="16"/>
  <c r="M2352" i="16"/>
  <c r="L2352" i="16"/>
  <c r="J2352" i="16"/>
  <c r="J2407" i="16"/>
  <c r="P2407" i="16"/>
  <c r="O2407" i="16"/>
  <c r="M2407" i="16"/>
  <c r="T2410" i="16"/>
  <c r="T2413" i="16"/>
  <c r="T2420" i="16"/>
  <c r="P2420" i="16"/>
  <c r="N2420" i="16"/>
  <c r="L2427" i="16"/>
  <c r="I2427" i="16"/>
  <c r="L2445" i="16"/>
  <c r="T2445" i="16"/>
  <c r="E2445" i="16"/>
  <c r="P2445" i="16"/>
  <c r="N2445" i="16"/>
  <c r="T2448" i="16"/>
  <c r="O2448" i="16"/>
  <c r="F2448" i="16"/>
  <c r="N2448" i="16"/>
  <c r="E2448" i="16"/>
  <c r="L2448" i="16"/>
  <c r="N2455" i="16"/>
  <c r="L2466" i="16"/>
  <c r="I2466" i="16"/>
  <c r="E2475" i="16"/>
  <c r="T2475" i="16"/>
  <c r="M2475" i="16"/>
  <c r="T2513" i="16"/>
  <c r="N2513" i="16"/>
  <c r="M2513" i="16"/>
  <c r="K2513" i="16"/>
  <c r="T2517" i="16"/>
  <c r="J2524" i="16"/>
  <c r="I2524" i="16"/>
  <c r="T2524" i="16"/>
  <c r="H2535" i="16"/>
  <c r="L2535" i="16"/>
  <c r="G2535" i="16"/>
  <c r="O2535" i="16"/>
  <c r="J2539" i="16"/>
  <c r="I2539" i="16"/>
  <c r="P2539" i="16"/>
  <c r="I2566" i="16"/>
  <c r="H2566" i="16"/>
  <c r="T2578" i="16"/>
  <c r="F2578" i="16"/>
  <c r="E2578" i="16"/>
  <c r="H2607" i="16"/>
  <c r="T2607" i="16"/>
  <c r="P2607" i="16"/>
  <c r="G2607" i="16"/>
  <c r="F2607" i="16"/>
  <c r="T2608" i="16"/>
  <c r="H2608" i="16"/>
  <c r="P2608" i="16"/>
  <c r="G2608" i="16"/>
  <c r="E2608" i="16"/>
  <c r="O2608" i="16"/>
  <c r="M2608" i="16"/>
  <c r="I2627" i="16"/>
  <c r="H2627" i="16"/>
  <c r="J2627" i="16"/>
  <c r="T2639" i="16"/>
  <c r="M2639" i="16"/>
  <c r="L2639" i="16"/>
  <c r="T2673" i="16"/>
  <c r="J2673" i="16"/>
  <c r="G2673" i="16"/>
  <c r="O2673" i="16"/>
  <c r="N2673" i="16"/>
  <c r="M2673" i="16"/>
  <c r="I2699" i="16"/>
  <c r="H2699" i="16"/>
  <c r="J2738" i="16"/>
  <c r="L2738" i="16"/>
  <c r="K2738" i="16"/>
  <c r="I2757" i="16"/>
  <c r="T2757" i="16"/>
  <c r="H2757" i="16"/>
  <c r="G2757" i="16"/>
  <c r="L2775" i="16"/>
  <c r="I2775" i="16"/>
  <c r="T2778" i="16"/>
  <c r="K2778" i="16"/>
  <c r="J2803" i="16"/>
  <c r="I2803" i="16"/>
  <c r="T2803" i="16"/>
  <c r="T2816" i="16"/>
  <c r="O2816" i="16"/>
  <c r="F2816" i="16"/>
  <c r="N2816" i="16"/>
  <c r="E2816" i="16"/>
  <c r="K2816" i="16"/>
  <c r="J2816" i="16"/>
  <c r="P2816" i="16"/>
  <c r="T2829" i="16"/>
  <c r="P2829" i="16"/>
  <c r="H2829" i="16"/>
  <c r="G2829" i="16"/>
  <c r="H2845" i="16"/>
  <c r="G2845" i="16"/>
  <c r="I2845" i="16"/>
  <c r="J2860" i="16"/>
  <c r="I2860" i="16"/>
  <c r="T2864" i="16"/>
  <c r="P2864" i="16"/>
  <c r="G2864" i="16"/>
  <c r="O2864" i="16"/>
  <c r="F2864" i="16"/>
  <c r="K2864" i="16"/>
  <c r="J2864" i="16"/>
  <c r="N2864" i="16"/>
  <c r="J2890" i="16"/>
  <c r="E2890" i="16"/>
  <c r="T2890" i="16"/>
  <c r="T2893" i="16"/>
  <c r="P2893" i="16"/>
  <c r="K2893" i="16"/>
  <c r="L2914" i="16"/>
  <c r="K2914" i="16"/>
  <c r="T2944" i="16"/>
  <c r="M2944" i="16"/>
  <c r="L2944" i="16"/>
  <c r="G2944" i="16"/>
  <c r="F2944" i="16"/>
  <c r="N2944" i="16"/>
  <c r="I2966" i="16"/>
  <c r="H2966" i="16"/>
  <c r="J2966" i="16"/>
  <c r="G2966" i="16"/>
  <c r="J2995" i="16"/>
  <c r="M2995" i="16"/>
  <c r="I2995" i="16"/>
  <c r="H2998" i="16"/>
  <c r="F2998" i="16"/>
  <c r="E2998" i="16"/>
  <c r="T2998" i="16"/>
  <c r="P2998" i="16"/>
  <c r="J3018" i="16"/>
  <c r="I3018" i="16"/>
  <c r="F3018" i="16"/>
  <c r="M3018" i="16"/>
  <c r="E3018" i="16"/>
  <c r="O3076" i="16"/>
  <c r="J3076" i="16"/>
  <c r="T3081" i="16"/>
  <c r="J3081" i="16"/>
  <c r="G3081" i="16"/>
  <c r="E3081" i="16"/>
  <c r="N3081" i="16"/>
  <c r="I3087" i="16"/>
  <c r="H3087" i="16"/>
  <c r="T3096" i="16"/>
  <c r="N3096" i="16"/>
  <c r="E3096" i="16"/>
  <c r="M3096" i="16"/>
  <c r="H3096" i="16"/>
  <c r="G3096" i="16"/>
  <c r="O3096" i="16"/>
  <c r="T3128" i="16"/>
  <c r="O3128" i="16"/>
  <c r="F3128" i="16"/>
  <c r="N3128" i="16"/>
  <c r="E3128" i="16"/>
  <c r="G3128" i="16"/>
  <c r="M3128" i="16"/>
  <c r="T3137" i="16"/>
  <c r="O3137" i="16"/>
  <c r="E3137" i="16"/>
  <c r="N3137" i="16"/>
  <c r="G3137" i="16"/>
  <c r="F3137" i="16"/>
  <c r="J3138" i="16"/>
  <c r="I3138" i="16"/>
  <c r="N3138" i="16"/>
  <c r="I3149" i="16"/>
  <c r="H3149" i="16"/>
  <c r="K3149" i="16"/>
  <c r="G3149" i="16"/>
  <c r="T3152" i="16"/>
  <c r="L3152" i="16"/>
  <c r="K3152" i="16"/>
  <c r="O3152" i="16"/>
  <c r="N3152" i="16"/>
  <c r="J3152" i="16"/>
  <c r="J3187" i="16"/>
  <c r="M3187" i="16"/>
  <c r="I3187" i="16"/>
  <c r="G3198" i="16"/>
  <c r="F3198" i="16"/>
  <c r="O3198" i="16"/>
  <c r="N3198" i="16"/>
  <c r="F3199" i="16"/>
  <c r="E3199" i="16"/>
  <c r="P3206" i="16"/>
  <c r="T3208" i="16"/>
  <c r="O3208" i="16"/>
  <c r="F3208" i="16"/>
  <c r="N3208" i="16"/>
  <c r="E3208" i="16"/>
  <c r="G3208" i="16"/>
  <c r="M3208" i="16"/>
  <c r="I3220" i="16"/>
  <c r="H3220" i="16"/>
  <c r="O3220" i="16"/>
  <c r="L3220" i="16"/>
  <c r="I3221" i="16"/>
  <c r="H3221" i="16"/>
  <c r="J3228" i="16"/>
  <c r="I3228" i="16"/>
  <c r="H3228" i="16"/>
  <c r="H3236" i="16"/>
  <c r="G3236" i="16"/>
  <c r="L3250" i="16"/>
  <c r="N3250" i="16"/>
  <c r="M3250" i="16"/>
  <c r="N3253" i="16"/>
  <c r="K3253" i="16"/>
  <c r="F3255" i="16"/>
  <c r="E3255" i="16"/>
  <c r="P3255" i="16"/>
  <c r="T3257" i="16"/>
  <c r="M3257" i="16"/>
  <c r="L3257" i="16"/>
  <c r="O3257" i="16"/>
  <c r="K3257" i="16"/>
  <c r="H3259" i="16"/>
  <c r="E3259" i="16"/>
  <c r="J3265" i="16"/>
  <c r="N3287" i="16"/>
  <c r="L3287" i="16"/>
  <c r="P3318" i="16"/>
  <c r="G3319" i="16"/>
  <c r="T3344" i="16"/>
  <c r="M3344" i="16"/>
  <c r="L3344" i="16"/>
  <c r="G3344" i="16"/>
  <c r="F3344" i="16"/>
  <c r="N3344" i="16"/>
  <c r="N3359" i="16"/>
  <c r="J3377" i="16"/>
  <c r="H3390" i="16"/>
  <c r="G3390" i="16"/>
  <c r="N3390" i="16"/>
  <c r="F3390" i="16"/>
  <c r="P3391" i="16"/>
  <c r="H3391" i="16"/>
  <c r="K3400" i="16"/>
  <c r="N3410" i="16"/>
  <c r="T3414" i="16"/>
  <c r="M3414" i="16"/>
  <c r="J3414" i="16"/>
  <c r="J3416" i="16"/>
  <c r="H3446" i="16"/>
  <c r="M3446" i="16"/>
  <c r="G3446" i="16"/>
  <c r="O3446" i="16"/>
  <c r="N3446" i="16"/>
  <c r="T3447" i="16"/>
  <c r="P3447" i="16"/>
  <c r="F3447" i="16"/>
  <c r="E3447" i="16"/>
  <c r="T3448" i="16"/>
  <c r="H3448" i="16"/>
  <c r="P3448" i="16"/>
  <c r="G3448" i="16"/>
  <c r="O3448" i="16"/>
  <c r="N3448" i="16"/>
  <c r="L3448" i="16"/>
  <c r="J3452" i="16"/>
  <c r="I3452" i="16"/>
  <c r="T3473" i="16"/>
  <c r="N3473" i="16"/>
  <c r="M3473" i="16"/>
  <c r="O3473" i="16"/>
  <c r="L3473" i="16"/>
  <c r="K3473" i="16"/>
  <c r="G3480" i="16"/>
  <c r="J3490" i="16"/>
  <c r="I3490" i="16"/>
  <c r="K3497" i="16"/>
  <c r="J3500" i="16"/>
  <c r="K3501" i="16"/>
  <c r="N3505" i="16"/>
  <c r="L3511" i="16"/>
  <c r="T3513" i="16"/>
  <c r="M3513" i="16"/>
  <c r="L3513" i="16"/>
  <c r="O3513" i="16"/>
  <c r="N3513" i="16"/>
  <c r="K3513" i="16"/>
  <c r="T3521" i="16"/>
  <c r="F3521" i="16"/>
  <c r="O3521" i="16"/>
  <c r="E3521" i="16"/>
  <c r="M3521" i="16"/>
  <c r="L3603" i="16"/>
  <c r="K3603" i="16"/>
  <c r="J3603" i="16"/>
  <c r="J3612" i="16"/>
  <c r="H3612" i="16"/>
  <c r="G3612" i="16"/>
  <c r="O3612" i="16"/>
  <c r="I3612" i="16"/>
  <c r="N3629" i="16"/>
  <c r="K3629" i="16"/>
  <c r="J3629" i="16"/>
  <c r="I3629" i="16"/>
  <c r="M3634" i="16"/>
  <c r="I3635" i="16"/>
  <c r="I3651" i="16"/>
  <c r="H3651" i="16"/>
  <c r="J3651" i="16"/>
  <c r="E3651" i="16"/>
  <c r="K3665" i="16"/>
  <c r="O3668" i="16"/>
  <c r="T3688" i="16"/>
  <c r="M3688" i="16"/>
  <c r="L3688" i="16"/>
  <c r="F3688" i="16"/>
  <c r="P3688" i="16"/>
  <c r="E3688" i="16"/>
  <c r="N3688" i="16"/>
  <c r="N3694" i="16"/>
  <c r="J3704" i="16"/>
  <c r="P3720" i="16"/>
  <c r="O3724" i="16"/>
  <c r="L3724" i="16"/>
  <c r="G3724" i="16"/>
  <c r="I3730" i="16"/>
  <c r="F3730" i="16"/>
  <c r="T3737" i="16"/>
  <c r="G3737" i="16"/>
  <c r="F3737" i="16"/>
  <c r="L3737" i="16"/>
  <c r="K3737" i="16"/>
  <c r="O3737" i="16"/>
  <c r="J3740" i="16"/>
  <c r="T3740" i="16"/>
  <c r="H3740" i="16"/>
  <c r="G3740" i="16"/>
  <c r="M3747" i="16"/>
  <c r="L3747" i="16"/>
  <c r="T3747" i="16"/>
  <c r="T3769" i="16"/>
  <c r="F3769" i="16"/>
  <c r="O3769" i="16"/>
  <c r="E3769" i="16"/>
  <c r="L3769" i="16"/>
  <c r="K3769" i="16"/>
  <c r="I3781" i="16"/>
  <c r="T3781" i="16"/>
  <c r="P3781" i="16"/>
  <c r="H3781" i="16"/>
  <c r="G3781" i="16"/>
  <c r="T3794" i="16"/>
  <c r="I3794" i="16"/>
  <c r="F3794" i="16"/>
  <c r="J3794" i="16"/>
  <c r="E3794" i="16"/>
  <c r="J3820" i="16"/>
  <c r="I3820" i="16"/>
  <c r="H3823" i="16"/>
  <c r="E3823" i="16"/>
  <c r="P3823" i="16"/>
  <c r="N3823" i="16"/>
  <c r="M3823" i="16"/>
  <c r="J3842" i="16"/>
  <c r="T3842" i="16"/>
  <c r="L3842" i="16"/>
  <c r="F3842" i="16"/>
  <c r="H3887" i="16"/>
  <c r="G3887" i="16"/>
  <c r="E3887" i="16"/>
  <c r="N3887" i="16"/>
  <c r="M3887" i="16"/>
  <c r="T3887" i="16"/>
  <c r="P3887" i="16"/>
  <c r="J3891" i="16"/>
  <c r="M3891" i="16"/>
  <c r="H3891" i="16"/>
  <c r="T3891" i="16"/>
  <c r="P3891" i="16"/>
  <c r="I3891" i="16"/>
  <c r="E3891" i="16"/>
  <c r="I3911" i="16"/>
  <c r="G3911" i="16"/>
  <c r="P3911" i="16"/>
  <c r="H3911" i="16"/>
  <c r="F3911" i="16"/>
  <c r="T3921" i="16"/>
  <c r="N3921" i="16"/>
  <c r="L3921" i="16"/>
  <c r="O3921" i="16"/>
  <c r="J3921" i="16"/>
  <c r="G3921" i="16"/>
  <c r="H3945" i="16"/>
  <c r="G3945" i="16"/>
  <c r="I3948" i="16"/>
  <c r="E3948" i="16"/>
  <c r="F3948" i="16"/>
  <c r="I3986" i="16"/>
  <c r="G3986" i="16"/>
  <c r="T3986" i="16"/>
  <c r="H3986" i="16"/>
  <c r="T4027" i="16"/>
  <c r="H4027" i="16"/>
  <c r="O4027" i="16"/>
  <c r="F4027" i="16"/>
  <c r="N4027" i="16"/>
  <c r="M4027" i="16"/>
  <c r="K4027" i="16"/>
  <c r="J4027" i="16"/>
  <c r="L4047" i="16"/>
  <c r="G4047" i="16"/>
  <c r="I4047" i="16"/>
  <c r="J4065" i="16"/>
  <c r="L4072" i="16"/>
  <c r="I4072" i="16"/>
  <c r="H4072" i="16"/>
  <c r="J4082" i="16"/>
  <c r="G4082" i="16"/>
  <c r="M4082" i="16"/>
  <c r="K4085" i="16"/>
  <c r="J4085" i="16"/>
  <c r="O4085" i="16"/>
  <c r="L4108" i="16"/>
  <c r="J4108" i="16"/>
  <c r="I4108" i="16"/>
  <c r="P4127" i="16"/>
  <c r="L4127" i="16"/>
  <c r="F4127" i="16"/>
  <c r="M4127" i="16"/>
  <c r="J4142" i="16"/>
  <c r="N4143" i="16"/>
  <c r="G4183" i="16"/>
  <c r="J4183" i="16"/>
  <c r="I4183" i="16"/>
  <c r="J4196" i="16"/>
  <c r="T4196" i="16"/>
  <c r="I4196" i="16"/>
  <c r="H4196" i="16"/>
  <c r="G4196" i="16"/>
  <c r="L4200" i="16"/>
  <c r="I4200" i="16"/>
  <c r="K4219" i="16"/>
  <c r="H4219" i="16"/>
  <c r="L4223" i="16"/>
  <c r="J4223" i="16"/>
  <c r="K4241" i="16"/>
  <c r="M4242" i="16"/>
  <c r="I4245" i="16"/>
  <c r="T4245" i="16"/>
  <c r="O4245" i="16"/>
  <c r="K4245" i="16"/>
  <c r="H4245" i="16"/>
  <c r="G4245" i="16"/>
  <c r="F4245" i="16"/>
  <c r="L4259" i="16"/>
  <c r="I4259" i="16"/>
  <c r="T4259" i="16"/>
  <c r="P4259" i="16"/>
  <c r="N4259" i="16"/>
  <c r="H4295" i="16"/>
  <c r="J4295" i="16"/>
  <c r="I4302" i="16"/>
  <c r="G4302" i="16"/>
  <c r="F4302" i="16"/>
  <c r="O4302" i="16"/>
  <c r="E4302" i="16"/>
  <c r="I4327" i="16"/>
  <c r="E4327" i="16"/>
  <c r="T4327" i="16"/>
  <c r="E4339" i="16"/>
  <c r="K4339" i="16"/>
  <c r="H4339" i="16"/>
  <c r="O4364" i="16"/>
  <c r="I4364" i="16"/>
  <c r="O4370" i="16"/>
  <c r="E4370" i="16"/>
  <c r="M4370" i="16"/>
  <c r="T4370" i="16"/>
  <c r="L4370" i="16"/>
  <c r="I4374" i="16"/>
  <c r="G4374" i="16"/>
  <c r="T4374" i="16"/>
  <c r="P4374" i="16"/>
  <c r="K4377" i="16"/>
  <c r="T4409" i="16"/>
  <c r="L4409" i="16"/>
  <c r="K4409" i="16"/>
  <c r="O4409" i="16"/>
  <c r="M4409" i="16"/>
  <c r="P4409" i="16"/>
  <c r="N4409" i="16"/>
  <c r="J4409" i="16"/>
  <c r="N4451" i="16"/>
  <c r="L4451" i="16"/>
  <c r="H4451" i="16"/>
  <c r="E4451" i="16"/>
  <c r="I4451" i="16"/>
  <c r="F4451" i="16"/>
  <c r="P4451" i="16"/>
  <c r="K4451" i="16"/>
  <c r="M4484" i="16"/>
  <c r="E4500" i="16"/>
  <c r="J4500" i="16"/>
  <c r="I4500" i="16"/>
  <c r="L4534" i="16"/>
  <c r="H4534" i="16"/>
  <c r="T4534" i="16"/>
  <c r="G4534" i="16"/>
  <c r="J4534" i="16"/>
  <c r="E4534" i="16"/>
  <c r="N4534" i="16"/>
  <c r="M4534" i="16"/>
  <c r="T4609" i="16"/>
  <c r="H4609" i="16"/>
  <c r="P4609" i="16"/>
  <c r="G4609" i="16"/>
  <c r="E4609" i="16"/>
  <c r="N4609" i="16"/>
  <c r="K4609" i="16"/>
  <c r="J4609" i="16"/>
  <c r="L4609" i="16"/>
  <c r="F4609" i="16"/>
  <c r="J4642" i="16"/>
  <c r="T4642" i="16"/>
  <c r="O4642" i="16"/>
  <c r="F4642" i="16"/>
  <c r="G4642" i="16"/>
  <c r="P4652" i="16"/>
  <c r="O4652" i="16"/>
  <c r="M4676" i="16"/>
  <c r="L4676" i="16"/>
  <c r="T4676" i="16"/>
  <c r="O4676" i="16"/>
  <c r="E4676" i="16"/>
  <c r="P4676" i="16"/>
  <c r="P4678" i="16"/>
  <c r="O4678" i="16"/>
  <c r="I4678" i="16"/>
  <c r="L4726" i="16"/>
  <c r="P4726" i="16"/>
  <c r="F4726" i="16"/>
  <c r="O4726" i="16"/>
  <c r="E4726" i="16"/>
  <c r="H4726" i="16"/>
  <c r="T4726" i="16"/>
  <c r="J4726" i="16"/>
  <c r="G4726" i="16"/>
  <c r="J4728" i="16"/>
  <c r="H4728" i="16"/>
  <c r="T4728" i="16"/>
  <c r="G4728" i="16"/>
  <c r="L4728" i="16"/>
  <c r="F4728" i="16"/>
  <c r="N4728" i="16"/>
  <c r="M4728" i="16"/>
  <c r="K4839" i="16"/>
  <c r="O4839" i="16"/>
  <c r="N4839" i="16"/>
  <c r="F4839" i="16"/>
  <c r="M4839" i="16"/>
  <c r="L4839" i="16"/>
  <c r="E4839" i="16"/>
  <c r="K4914" i="16"/>
  <c r="J4914" i="16"/>
  <c r="L4914" i="16"/>
  <c r="I4914" i="16"/>
  <c r="P4935" i="16"/>
  <c r="O4935" i="16"/>
  <c r="I4935" i="16"/>
  <c r="J4935" i="16"/>
  <c r="K5034" i="16"/>
  <c r="I5034" i="16"/>
  <c r="F5034" i="16"/>
  <c r="T5161" i="16"/>
  <c r="M5161" i="16"/>
  <c r="L5161" i="16"/>
  <c r="K5161" i="16"/>
  <c r="O5161" i="16"/>
  <c r="N5161" i="16"/>
  <c r="E5161" i="16"/>
  <c r="F5161" i="16"/>
  <c r="M5166" i="16"/>
  <c r="O5166" i="16"/>
  <c r="I5166" i="16"/>
  <c r="E5166" i="16"/>
  <c r="J5182" i="16"/>
  <c r="I5182" i="16"/>
  <c r="H5223" i="16"/>
  <c r="F5223" i="16"/>
  <c r="E5223" i="16"/>
  <c r="O5223" i="16"/>
  <c r="N5223" i="16"/>
  <c r="P5223" i="16"/>
  <c r="M5223" i="16"/>
  <c r="T5287" i="16"/>
  <c r="H5287" i="16"/>
  <c r="F5287" i="16"/>
  <c r="E5287" i="16"/>
  <c r="O5287" i="16"/>
  <c r="N5287" i="16"/>
  <c r="M5287" i="16"/>
  <c r="L5287" i="16"/>
  <c r="T5289" i="16"/>
  <c r="N5289" i="16"/>
  <c r="E5289" i="16"/>
  <c r="M5289" i="16"/>
  <c r="L5289" i="16"/>
  <c r="H5289" i="16"/>
  <c r="G5289" i="16"/>
  <c r="O5289" i="16"/>
  <c r="K5289" i="16"/>
  <c r="J5289" i="16"/>
  <c r="L5355" i="16"/>
  <c r="K5355" i="16"/>
  <c r="T5355" i="16"/>
  <c r="M5355" i="16"/>
  <c r="E5355" i="16"/>
  <c r="K5719" i="16"/>
  <c r="M5719" i="16"/>
  <c r="H5719" i="16"/>
  <c r="G5719" i="16"/>
  <c r="F5719" i="16"/>
  <c r="E5719" i="16"/>
  <c r="O5719" i="16"/>
  <c r="N5719" i="16"/>
  <c r="L5719" i="16"/>
  <c r="P5719" i="16"/>
  <c r="T5737" i="16"/>
  <c r="M5737" i="16"/>
  <c r="N5737" i="16"/>
  <c r="L5737" i="16"/>
  <c r="K5737" i="16"/>
  <c r="F5737" i="16"/>
  <c r="E5737" i="16"/>
  <c r="H5737" i="16"/>
  <c r="G5737" i="16"/>
  <c r="O5737" i="16"/>
  <c r="J5737" i="16"/>
  <c r="G5939" i="16"/>
  <c r="F5939" i="16"/>
  <c r="E5939" i="16"/>
  <c r="P5939" i="16"/>
  <c r="O5939" i="16"/>
  <c r="N5939" i="16"/>
  <c r="H5939" i="16"/>
  <c r="T5939" i="16"/>
  <c r="AE305" i="17"/>
  <c r="N305" i="17"/>
  <c r="AC305" i="17"/>
  <c r="M305" i="17"/>
  <c r="AR305" i="17"/>
  <c r="S305" i="17"/>
  <c r="AM305" i="17"/>
  <c r="P305" i="17"/>
  <c r="AL305" i="17"/>
  <c r="O305" i="17"/>
  <c r="X305" i="17"/>
  <c r="AK305" i="17"/>
  <c r="AF305" i="17"/>
  <c r="AB305" i="17"/>
  <c r="U305" i="17"/>
  <c r="T1838" i="16"/>
  <c r="L1838" i="16"/>
  <c r="L1853" i="16"/>
  <c r="O1853" i="16"/>
  <c r="E1853" i="16"/>
  <c r="N1853" i="16"/>
  <c r="K1853" i="16"/>
  <c r="N1855" i="16"/>
  <c r="G1868" i="16"/>
  <c r="T1868" i="16"/>
  <c r="F1868" i="16"/>
  <c r="O1868" i="16"/>
  <c r="J1871" i="16"/>
  <c r="G1871" i="16"/>
  <c r="F1871" i="16"/>
  <c r="O1871" i="16"/>
  <c r="I1877" i="16"/>
  <c r="E1877" i="16"/>
  <c r="T1888" i="16"/>
  <c r="P1888" i="16"/>
  <c r="G1888" i="16"/>
  <c r="O1888" i="16"/>
  <c r="F1888" i="16"/>
  <c r="L1888" i="16"/>
  <c r="J1902" i="16"/>
  <c r="I1902" i="16"/>
  <c r="I1913" i="16"/>
  <c r="G1913" i="16"/>
  <c r="M1920" i="16"/>
  <c r="P1932" i="16"/>
  <c r="P1935" i="16"/>
  <c r="P1946" i="16"/>
  <c r="T1952" i="16"/>
  <c r="P1952" i="16"/>
  <c r="G1952" i="16"/>
  <c r="O1952" i="16"/>
  <c r="F1952" i="16"/>
  <c r="L1952" i="16"/>
  <c r="L1956" i="16"/>
  <c r="I1971" i="16"/>
  <c r="L1971" i="16"/>
  <c r="H1971" i="16"/>
  <c r="P1971" i="16"/>
  <c r="T1976" i="16"/>
  <c r="P1976" i="16"/>
  <c r="G1976" i="16"/>
  <c r="O1976" i="16"/>
  <c r="F1976" i="16"/>
  <c r="L1976" i="16"/>
  <c r="K1979" i="16"/>
  <c r="J1979" i="16"/>
  <c r="N1982" i="16"/>
  <c r="H1986" i="16"/>
  <c r="F1986" i="16"/>
  <c r="N1986" i="16"/>
  <c r="P2026" i="16"/>
  <c r="I2026" i="16"/>
  <c r="I2036" i="16"/>
  <c r="H2036" i="16"/>
  <c r="O2036" i="16"/>
  <c r="L2045" i="16"/>
  <c r="H2045" i="16"/>
  <c r="T2045" i="16"/>
  <c r="G2045" i="16"/>
  <c r="M2045" i="16"/>
  <c r="M2058" i="16"/>
  <c r="K2058" i="16"/>
  <c r="J2058" i="16"/>
  <c r="I2065" i="16"/>
  <c r="F2065" i="16"/>
  <c r="E2065" i="16"/>
  <c r="O2073" i="16"/>
  <c r="E2073" i="16"/>
  <c r="N2073" i="16"/>
  <c r="L2073" i="16"/>
  <c r="G2076" i="16"/>
  <c r="F2076" i="16"/>
  <c r="T2088" i="16"/>
  <c r="H2088" i="16"/>
  <c r="P2088" i="16"/>
  <c r="G2088" i="16"/>
  <c r="L2088" i="16"/>
  <c r="J2094" i="16"/>
  <c r="I2094" i="16"/>
  <c r="L2098" i="16"/>
  <c r="K2104" i="16"/>
  <c r="N2113" i="16"/>
  <c r="M2123" i="16"/>
  <c r="L2123" i="16"/>
  <c r="K2123" i="16"/>
  <c r="P2138" i="16"/>
  <c r="N2151" i="16"/>
  <c r="P2154" i="16"/>
  <c r="M2160" i="16"/>
  <c r="I2163" i="16"/>
  <c r="G2163" i="16"/>
  <c r="E2163" i="16"/>
  <c r="P2163" i="16"/>
  <c r="G2169" i="16"/>
  <c r="F2169" i="16"/>
  <c r="N2173" i="16"/>
  <c r="T2187" i="16"/>
  <c r="G2187" i="16"/>
  <c r="P2187" i="16"/>
  <c r="E2187" i="16"/>
  <c r="M2187" i="16"/>
  <c r="K2190" i="16"/>
  <c r="T2190" i="16"/>
  <c r="F2190" i="16"/>
  <c r="P2190" i="16"/>
  <c r="E2190" i="16"/>
  <c r="N2190" i="16"/>
  <c r="L2201" i="16"/>
  <c r="J2204" i="16"/>
  <c r="G2204" i="16"/>
  <c r="H2212" i="16"/>
  <c r="T2212" i="16"/>
  <c r="G2212" i="16"/>
  <c r="N2212" i="16"/>
  <c r="P2244" i="16"/>
  <c r="K2244" i="16"/>
  <c r="T2280" i="16"/>
  <c r="P2280" i="16"/>
  <c r="G2280" i="16"/>
  <c r="O2280" i="16"/>
  <c r="F2280" i="16"/>
  <c r="L2280" i="16"/>
  <c r="L2289" i="16"/>
  <c r="K2289" i="16"/>
  <c r="G2294" i="16"/>
  <c r="F2294" i="16"/>
  <c r="P2306" i="16"/>
  <c r="N2306" i="16"/>
  <c r="M2306" i="16"/>
  <c r="T2329" i="16"/>
  <c r="F2329" i="16"/>
  <c r="O2329" i="16"/>
  <c r="E2329" i="16"/>
  <c r="M2329" i="16"/>
  <c r="E2345" i="16"/>
  <c r="T2345" i="16"/>
  <c r="N2345" i="16"/>
  <c r="I2355" i="16"/>
  <c r="G2355" i="16"/>
  <c r="E2355" i="16"/>
  <c r="P2355" i="16"/>
  <c r="I2369" i="16"/>
  <c r="G2369" i="16"/>
  <c r="N2369" i="16"/>
  <c r="L2381" i="16"/>
  <c r="O2381" i="16"/>
  <c r="N2381" i="16"/>
  <c r="M2381" i="16"/>
  <c r="T2384" i="16"/>
  <c r="M2384" i="16"/>
  <c r="L2384" i="16"/>
  <c r="J2384" i="16"/>
  <c r="I2394" i="16"/>
  <c r="T2394" i="16"/>
  <c r="P2394" i="16"/>
  <c r="M2394" i="16"/>
  <c r="N2407" i="16"/>
  <c r="T2416" i="16"/>
  <c r="L2416" i="16"/>
  <c r="K2416" i="16"/>
  <c r="J2416" i="16"/>
  <c r="O2420" i="16"/>
  <c r="I2443" i="16"/>
  <c r="H2443" i="16"/>
  <c r="M2443" i="16"/>
  <c r="O2445" i="16"/>
  <c r="M2448" i="16"/>
  <c r="I2450" i="16"/>
  <c r="H2450" i="16"/>
  <c r="T2456" i="16"/>
  <c r="L2456" i="16"/>
  <c r="K2456" i="16"/>
  <c r="J2456" i="16"/>
  <c r="P2475" i="16"/>
  <c r="T2480" i="16"/>
  <c r="O2480" i="16"/>
  <c r="F2480" i="16"/>
  <c r="N2480" i="16"/>
  <c r="E2480" i="16"/>
  <c r="L2480" i="16"/>
  <c r="E2487" i="16"/>
  <c r="T2487" i="16"/>
  <c r="O2487" i="16"/>
  <c r="L2513" i="16"/>
  <c r="T2520" i="16"/>
  <c r="M2520" i="16"/>
  <c r="L2520" i="16"/>
  <c r="J2520" i="16"/>
  <c r="P2535" i="16"/>
  <c r="T2539" i="16"/>
  <c r="I2565" i="16"/>
  <c r="H2565" i="16"/>
  <c r="G2565" i="16"/>
  <c r="P2565" i="16"/>
  <c r="O2565" i="16"/>
  <c r="H2606" i="16"/>
  <c r="J2606" i="16"/>
  <c r="F2606" i="16"/>
  <c r="O2606" i="16"/>
  <c r="N2606" i="16"/>
  <c r="N2608" i="16"/>
  <c r="H2619" i="16"/>
  <c r="E2619" i="16"/>
  <c r="T2619" i="16"/>
  <c r="P2619" i="16"/>
  <c r="T2637" i="16"/>
  <c r="I2637" i="16"/>
  <c r="H2637" i="16"/>
  <c r="N2674" i="16"/>
  <c r="M2674" i="16"/>
  <c r="F2695" i="16"/>
  <c r="I2695" i="16"/>
  <c r="H2695" i="16"/>
  <c r="N2725" i="16"/>
  <c r="K2725" i="16"/>
  <c r="J2725" i="16"/>
  <c r="T2750" i="16"/>
  <c r="P2750" i="16"/>
  <c r="H2750" i="16"/>
  <c r="G2750" i="16"/>
  <c r="I2751" i="16"/>
  <c r="G2751" i="16"/>
  <c r="F2751" i="16"/>
  <c r="E2751" i="16"/>
  <c r="T2784" i="16"/>
  <c r="P2784" i="16"/>
  <c r="G2784" i="16"/>
  <c r="O2784" i="16"/>
  <c r="F2784" i="16"/>
  <c r="K2784" i="16"/>
  <c r="J2784" i="16"/>
  <c r="N2784" i="16"/>
  <c r="H2791" i="16"/>
  <c r="T2791" i="16"/>
  <c r="E2791" i="16"/>
  <c r="P2791" i="16"/>
  <c r="O2791" i="16"/>
  <c r="N2791" i="16"/>
  <c r="T2817" i="16"/>
  <c r="G2817" i="16"/>
  <c r="F2817" i="16"/>
  <c r="E2817" i="16"/>
  <c r="N2817" i="16"/>
  <c r="G2821" i="16"/>
  <c r="F2821" i="16"/>
  <c r="T2821" i="16"/>
  <c r="P2821" i="16"/>
  <c r="P2843" i="16"/>
  <c r="L2843" i="16"/>
  <c r="T2865" i="16"/>
  <c r="J2865" i="16"/>
  <c r="G2865" i="16"/>
  <c r="E2865" i="16"/>
  <c r="N2865" i="16"/>
  <c r="P2867" i="16"/>
  <c r="I2879" i="16"/>
  <c r="H2879" i="16"/>
  <c r="O2893" i="16"/>
  <c r="N2918" i="16"/>
  <c r="I2918" i="16"/>
  <c r="O2918" i="16"/>
  <c r="H2927" i="16"/>
  <c r="P2927" i="16"/>
  <c r="O2927" i="16"/>
  <c r="M2927" i="16"/>
  <c r="G2927" i="16"/>
  <c r="T2928" i="16"/>
  <c r="P2928" i="16"/>
  <c r="G2928" i="16"/>
  <c r="O2928" i="16"/>
  <c r="F2928" i="16"/>
  <c r="H2928" i="16"/>
  <c r="E2928" i="16"/>
  <c r="N2928" i="16"/>
  <c r="O2935" i="16"/>
  <c r="N2935" i="16"/>
  <c r="G2935" i="16"/>
  <c r="F2935" i="16"/>
  <c r="T2935" i="16"/>
  <c r="O2944" i="16"/>
  <c r="L2948" i="16"/>
  <c r="K2948" i="16"/>
  <c r="T2960" i="16"/>
  <c r="L2960" i="16"/>
  <c r="K2960" i="16"/>
  <c r="H2960" i="16"/>
  <c r="G2960" i="16"/>
  <c r="N2960" i="16"/>
  <c r="H2974" i="16"/>
  <c r="N2974" i="16"/>
  <c r="J2974" i="16"/>
  <c r="G3014" i="16"/>
  <c r="I3014" i="16"/>
  <c r="H3014" i="16"/>
  <c r="H3028" i="16"/>
  <c r="G3028" i="16"/>
  <c r="T3028" i="16"/>
  <c r="P3028" i="16"/>
  <c r="G3044" i="16"/>
  <c r="J3044" i="16"/>
  <c r="I3044" i="16"/>
  <c r="O3081" i="16"/>
  <c r="P3096" i="16"/>
  <c r="J3100" i="16"/>
  <c r="O3100" i="16"/>
  <c r="I3100" i="16"/>
  <c r="J3101" i="16"/>
  <c r="G3101" i="16"/>
  <c r="T3104" i="16"/>
  <c r="N3104" i="16"/>
  <c r="E3104" i="16"/>
  <c r="M3104" i="16"/>
  <c r="J3104" i="16"/>
  <c r="H3104" i="16"/>
  <c r="O3104" i="16"/>
  <c r="G3118" i="16"/>
  <c r="T3118" i="16"/>
  <c r="F3118" i="16"/>
  <c r="M3118" i="16"/>
  <c r="J3118" i="16"/>
  <c r="P3118" i="16"/>
  <c r="N3125" i="16"/>
  <c r="K3125" i="16"/>
  <c r="J3125" i="16"/>
  <c r="P3128" i="16"/>
  <c r="T3138" i="16"/>
  <c r="M3152" i="16"/>
  <c r="T3185" i="16"/>
  <c r="O3185" i="16"/>
  <c r="E3185" i="16"/>
  <c r="N3185" i="16"/>
  <c r="M3185" i="16"/>
  <c r="L3185" i="16"/>
  <c r="I3202" i="16"/>
  <c r="F3202" i="16"/>
  <c r="J3202" i="16"/>
  <c r="E3202" i="16"/>
  <c r="I3205" i="16"/>
  <c r="T3205" i="16"/>
  <c r="P3205" i="16"/>
  <c r="O3205" i="16"/>
  <c r="P3208" i="16"/>
  <c r="T3224" i="16"/>
  <c r="M3224" i="16"/>
  <c r="L3224" i="16"/>
  <c r="G3224" i="16"/>
  <c r="F3224" i="16"/>
  <c r="N3224" i="16"/>
  <c r="T3241" i="16"/>
  <c r="N3241" i="16"/>
  <c r="M3241" i="16"/>
  <c r="J3241" i="16"/>
  <c r="G3241" i="16"/>
  <c r="O3241" i="16"/>
  <c r="T3255" i="16"/>
  <c r="N3257" i="16"/>
  <c r="I3263" i="16"/>
  <c r="H3263" i="16"/>
  <c r="P3268" i="16"/>
  <c r="O3268" i="16"/>
  <c r="E3282" i="16"/>
  <c r="J3282" i="16"/>
  <c r="I3282" i="16"/>
  <c r="T3289" i="16"/>
  <c r="N3289" i="16"/>
  <c r="M3289" i="16"/>
  <c r="O3289" i="16"/>
  <c r="L3289" i="16"/>
  <c r="K3289" i="16"/>
  <c r="T3305" i="16"/>
  <c r="N3305" i="16"/>
  <c r="M3305" i="16"/>
  <c r="F3305" i="16"/>
  <c r="E3305" i="16"/>
  <c r="O3305" i="16"/>
  <c r="K3308" i="16"/>
  <c r="H3308" i="16"/>
  <c r="J3338" i="16"/>
  <c r="T3338" i="16"/>
  <c r="F3338" i="16"/>
  <c r="E3338" i="16"/>
  <c r="O3344" i="16"/>
  <c r="J3347" i="16"/>
  <c r="I3347" i="16"/>
  <c r="T3360" i="16"/>
  <c r="N3360" i="16"/>
  <c r="E3360" i="16"/>
  <c r="M3360" i="16"/>
  <c r="P3360" i="16"/>
  <c r="O3360" i="16"/>
  <c r="K3360" i="16"/>
  <c r="J3380" i="16"/>
  <c r="I3380" i="16"/>
  <c r="L3388" i="16"/>
  <c r="K3388" i="16"/>
  <c r="P3412" i="16"/>
  <c r="O3412" i="16"/>
  <c r="H3412" i="16"/>
  <c r="G3412" i="16"/>
  <c r="I3413" i="16"/>
  <c r="H3413" i="16"/>
  <c r="G3413" i="16"/>
  <c r="M3448" i="16"/>
  <c r="H3455" i="16"/>
  <c r="E3455" i="16"/>
  <c r="F3455" i="16"/>
  <c r="T3456" i="16"/>
  <c r="L3456" i="16"/>
  <c r="K3456" i="16"/>
  <c r="O3456" i="16"/>
  <c r="N3456" i="16"/>
  <c r="J3456" i="16"/>
  <c r="I3474" i="16"/>
  <c r="F3474" i="16"/>
  <c r="T3474" i="16"/>
  <c r="N3474" i="16"/>
  <c r="K3485" i="16"/>
  <c r="J3485" i="16"/>
  <c r="I3485" i="16"/>
  <c r="J3499" i="16"/>
  <c r="I3499" i="16"/>
  <c r="E3499" i="16"/>
  <c r="T3499" i="16"/>
  <c r="T3502" i="16"/>
  <c r="E3502" i="16"/>
  <c r="P3502" i="16"/>
  <c r="N3502" i="16"/>
  <c r="H3510" i="16"/>
  <c r="P3510" i="16"/>
  <c r="O3510" i="16"/>
  <c r="E3510" i="16"/>
  <c r="T3510" i="16"/>
  <c r="M3514" i="16"/>
  <c r="K3514" i="16"/>
  <c r="E3514" i="16"/>
  <c r="H3519" i="16"/>
  <c r="E3519" i="16"/>
  <c r="T3519" i="16"/>
  <c r="G3519" i="16"/>
  <c r="P3527" i="16"/>
  <c r="L3527" i="16"/>
  <c r="I3527" i="16"/>
  <c r="T3552" i="16"/>
  <c r="M3552" i="16"/>
  <c r="L3552" i="16"/>
  <c r="H3552" i="16"/>
  <c r="G3552" i="16"/>
  <c r="N3552" i="16"/>
  <c r="M3558" i="16"/>
  <c r="O3558" i="16"/>
  <c r="J3558" i="16"/>
  <c r="E3558" i="16"/>
  <c r="I3581" i="16"/>
  <c r="G3581" i="16"/>
  <c r="F3581" i="16"/>
  <c r="K3581" i="16"/>
  <c r="P3582" i="16"/>
  <c r="O3582" i="16"/>
  <c r="N3582" i="16"/>
  <c r="T3593" i="16"/>
  <c r="N3593" i="16"/>
  <c r="M3593" i="16"/>
  <c r="O3593" i="16"/>
  <c r="K3593" i="16"/>
  <c r="I3627" i="16"/>
  <c r="T3627" i="16"/>
  <c r="J3627" i="16"/>
  <c r="H3627" i="16"/>
  <c r="M3635" i="16"/>
  <c r="T3664" i="16"/>
  <c r="O3664" i="16"/>
  <c r="F3664" i="16"/>
  <c r="N3664" i="16"/>
  <c r="E3664" i="16"/>
  <c r="J3664" i="16"/>
  <c r="H3664" i="16"/>
  <c r="P3664" i="16"/>
  <c r="I3670" i="16"/>
  <c r="H3670" i="16"/>
  <c r="O3688" i="16"/>
  <c r="H3692" i="16"/>
  <c r="G3692" i="16"/>
  <c r="T3692" i="16"/>
  <c r="J3692" i="16"/>
  <c r="H3702" i="16"/>
  <c r="M3702" i="16"/>
  <c r="G3702" i="16"/>
  <c r="O3702" i="16"/>
  <c r="N3702" i="16"/>
  <c r="P3703" i="16"/>
  <c r="O3703" i="16"/>
  <c r="F3703" i="16"/>
  <c r="E3703" i="16"/>
  <c r="T3703" i="16"/>
  <c r="T3721" i="16"/>
  <c r="F3721" i="16"/>
  <c r="O3721" i="16"/>
  <c r="E3721" i="16"/>
  <c r="M3721" i="16"/>
  <c r="H3759" i="16"/>
  <c r="T3759" i="16"/>
  <c r="P3759" i="16"/>
  <c r="F3759" i="16"/>
  <c r="E3759" i="16"/>
  <c r="T3760" i="16"/>
  <c r="H3760" i="16"/>
  <c r="P3760" i="16"/>
  <c r="G3760" i="16"/>
  <c r="O3760" i="16"/>
  <c r="N3760" i="16"/>
  <c r="L3760" i="16"/>
  <c r="J3764" i="16"/>
  <c r="I3764" i="16"/>
  <c r="T3801" i="16"/>
  <c r="F3801" i="16"/>
  <c r="N3801" i="16"/>
  <c r="G3801" i="16"/>
  <c r="E3801" i="16"/>
  <c r="O3801" i="16"/>
  <c r="M3803" i="16"/>
  <c r="K3803" i="16"/>
  <c r="J3819" i="16"/>
  <c r="M3819" i="16"/>
  <c r="H3819" i="16"/>
  <c r="E3819" i="16"/>
  <c r="I3837" i="16"/>
  <c r="G3837" i="16"/>
  <c r="N3837" i="16"/>
  <c r="K3837" i="16"/>
  <c r="P3837" i="16"/>
  <c r="O3837" i="16"/>
  <c r="O3839" i="16"/>
  <c r="I3839" i="16"/>
  <c r="E3839" i="16"/>
  <c r="H3839" i="16"/>
  <c r="O3852" i="16"/>
  <c r="K3852" i="16"/>
  <c r="L3852" i="16"/>
  <c r="G3852" i="16"/>
  <c r="H3894" i="16"/>
  <c r="F3894" i="16"/>
  <c r="T3894" i="16"/>
  <c r="P3894" i="16"/>
  <c r="O3894" i="16"/>
  <c r="T3928" i="16"/>
  <c r="H3928" i="16"/>
  <c r="O3928" i="16"/>
  <c r="F3928" i="16"/>
  <c r="G3928" i="16"/>
  <c r="E3928" i="16"/>
  <c r="P3928" i="16"/>
  <c r="N3928" i="16"/>
  <c r="M3931" i="16"/>
  <c r="L3931" i="16"/>
  <c r="K3931" i="16"/>
  <c r="O3962" i="16"/>
  <c r="L3962" i="16"/>
  <c r="F3962" i="16"/>
  <c r="T3962" i="16"/>
  <c r="K3962" i="16"/>
  <c r="O4015" i="16"/>
  <c r="L4015" i="16"/>
  <c r="N4015" i="16"/>
  <c r="K4018" i="16"/>
  <c r="F4018" i="16"/>
  <c r="I4018" i="16"/>
  <c r="E4018" i="16"/>
  <c r="O4018" i="16"/>
  <c r="T4049" i="16"/>
  <c r="P4049" i="16"/>
  <c r="G4049" i="16"/>
  <c r="N4049" i="16"/>
  <c r="E4049" i="16"/>
  <c r="K4049" i="16"/>
  <c r="J4049" i="16"/>
  <c r="O4049" i="16"/>
  <c r="T4076" i="16"/>
  <c r="L4076" i="16"/>
  <c r="J4076" i="16"/>
  <c r="O4125" i="16"/>
  <c r="L4125" i="16"/>
  <c r="I4125" i="16"/>
  <c r="H4125" i="16"/>
  <c r="G4125" i="16"/>
  <c r="F4125" i="16"/>
  <c r="F4134" i="16"/>
  <c r="O4134" i="16"/>
  <c r="T4134" i="16"/>
  <c r="I4134" i="16"/>
  <c r="H4134" i="16"/>
  <c r="K4151" i="16"/>
  <c r="O4151" i="16"/>
  <c r="E4151" i="16"/>
  <c r="M4151" i="16"/>
  <c r="F4151" i="16"/>
  <c r="T4151" i="16"/>
  <c r="G4151" i="16"/>
  <c r="P4151" i="16"/>
  <c r="N4168" i="16"/>
  <c r="K4168" i="16"/>
  <c r="M4168" i="16"/>
  <c r="J4173" i="16"/>
  <c r="G4173" i="16"/>
  <c r="P4173" i="16"/>
  <c r="O4173" i="16"/>
  <c r="T4193" i="16"/>
  <c r="P4193" i="16"/>
  <c r="G4193" i="16"/>
  <c r="N4193" i="16"/>
  <c r="E4193" i="16"/>
  <c r="O4193" i="16"/>
  <c r="J4193" i="16"/>
  <c r="H4193" i="16"/>
  <c r="T4198" i="16"/>
  <c r="E4198" i="16"/>
  <c r="N4198" i="16"/>
  <c r="O4198" i="16"/>
  <c r="M4198" i="16"/>
  <c r="T4204" i="16"/>
  <c r="M4204" i="16"/>
  <c r="G4204" i="16"/>
  <c r="K4215" i="16"/>
  <c r="N4215" i="16"/>
  <c r="L4215" i="16"/>
  <c r="F4215" i="16"/>
  <c r="T4215" i="16"/>
  <c r="E4215" i="16"/>
  <c r="G4215" i="16"/>
  <c r="P4215" i="16"/>
  <c r="I4238" i="16"/>
  <c r="E4238" i="16"/>
  <c r="P4238" i="16"/>
  <c r="O4238" i="16"/>
  <c r="L4284" i="16"/>
  <c r="T4284" i="16"/>
  <c r="P4284" i="16"/>
  <c r="O4284" i="16"/>
  <c r="H4334" i="16"/>
  <c r="F4334" i="16"/>
  <c r="P4334" i="16"/>
  <c r="J4334" i="16"/>
  <c r="G4334" i="16"/>
  <c r="N4334" i="16"/>
  <c r="K4334" i="16"/>
  <c r="T4353" i="16"/>
  <c r="P4353" i="16"/>
  <c r="G4353" i="16"/>
  <c r="N4353" i="16"/>
  <c r="E4353" i="16"/>
  <c r="O4353" i="16"/>
  <c r="M4353" i="16"/>
  <c r="K4353" i="16"/>
  <c r="J4353" i="16"/>
  <c r="H4356" i="16"/>
  <c r="P4356" i="16"/>
  <c r="E4356" i="16"/>
  <c r="K4356" i="16"/>
  <c r="I4356" i="16"/>
  <c r="L4356" i="16"/>
  <c r="G4356" i="16"/>
  <c r="N4370" i="16"/>
  <c r="M4402" i="16"/>
  <c r="L4402" i="16"/>
  <c r="E4418" i="16"/>
  <c r="L4418" i="16"/>
  <c r="O4418" i="16"/>
  <c r="J4418" i="16"/>
  <c r="I4418" i="16"/>
  <c r="F4418" i="16"/>
  <c r="H4420" i="16"/>
  <c r="T4420" i="16"/>
  <c r="G4420" i="16"/>
  <c r="E4420" i="16"/>
  <c r="P4420" i="16"/>
  <c r="O4420" i="16"/>
  <c r="J4477" i="16"/>
  <c r="I4477" i="16"/>
  <c r="H4477" i="16"/>
  <c r="N4477" i="16"/>
  <c r="L4477" i="16"/>
  <c r="T4477" i="16"/>
  <c r="L4495" i="16"/>
  <c r="G4495" i="16"/>
  <c r="N4495" i="16"/>
  <c r="I4495" i="16"/>
  <c r="J4522" i="16"/>
  <c r="F4522" i="16"/>
  <c r="E4522" i="16"/>
  <c r="M4522" i="16"/>
  <c r="G4522" i="16"/>
  <c r="T4522" i="16"/>
  <c r="O4522" i="16"/>
  <c r="M4531" i="16"/>
  <c r="L4531" i="16"/>
  <c r="N4531" i="16"/>
  <c r="T4548" i="16"/>
  <c r="G4548" i="16"/>
  <c r="P4548" i="16"/>
  <c r="E4548" i="16"/>
  <c r="L4548" i="16"/>
  <c r="I4548" i="16"/>
  <c r="K4548" i="16"/>
  <c r="H4548" i="16"/>
  <c r="M4548" i="16"/>
  <c r="L4556" i="16"/>
  <c r="I4556" i="16"/>
  <c r="J4556" i="16"/>
  <c r="I4562" i="16"/>
  <c r="G4562" i="16"/>
  <c r="T4562" i="16"/>
  <c r="N4562" i="16"/>
  <c r="L4562" i="16"/>
  <c r="K4562" i="16"/>
  <c r="O4562" i="16"/>
  <c r="M4562" i="16"/>
  <c r="H4574" i="16"/>
  <c r="P4574" i="16"/>
  <c r="G4574" i="16"/>
  <c r="F4574" i="16"/>
  <c r="T4574" i="16"/>
  <c r="E4574" i="16"/>
  <c r="T4578" i="16"/>
  <c r="O4578" i="16"/>
  <c r="N4578" i="16"/>
  <c r="H4606" i="16"/>
  <c r="E4606" i="16"/>
  <c r="M4606" i="16"/>
  <c r="I4606" i="16"/>
  <c r="J4606" i="16"/>
  <c r="T4606" i="16"/>
  <c r="N4606" i="16"/>
  <c r="K4711" i="16"/>
  <c r="F4711" i="16"/>
  <c r="E4711" i="16"/>
  <c r="L4711" i="16"/>
  <c r="J4711" i="16"/>
  <c r="O4711" i="16"/>
  <c r="N4711" i="16"/>
  <c r="M4711" i="16"/>
  <c r="J4756" i="16"/>
  <c r="P4756" i="16"/>
  <c r="T4756" i="16"/>
  <c r="T4761" i="16"/>
  <c r="N4761" i="16"/>
  <c r="E4761" i="16"/>
  <c r="M4761" i="16"/>
  <c r="P4761" i="16"/>
  <c r="L4761" i="16"/>
  <c r="F4761" i="16"/>
  <c r="J4761" i="16"/>
  <c r="H4761" i="16"/>
  <c r="G4761" i="16"/>
  <c r="I4803" i="16"/>
  <c r="P4803" i="16"/>
  <c r="N4803" i="16"/>
  <c r="H4803" i="16"/>
  <c r="E4803" i="16"/>
  <c r="F4803" i="16"/>
  <c r="M4803" i="16"/>
  <c r="L4803" i="16"/>
  <c r="K4803" i="16"/>
  <c r="I4852" i="16"/>
  <c r="L4852" i="16"/>
  <c r="K4852" i="16"/>
  <c r="O4852" i="16"/>
  <c r="M4852" i="16"/>
  <c r="P4852" i="16"/>
  <c r="G4852" i="16"/>
  <c r="E4852" i="16"/>
  <c r="F4962" i="16"/>
  <c r="T4962" i="16"/>
  <c r="K4962" i="16"/>
  <c r="O4962" i="16"/>
  <c r="T5060" i="16"/>
  <c r="P5060" i="16"/>
  <c r="O5060" i="16"/>
  <c r="J5060" i="16"/>
  <c r="I5060" i="16"/>
  <c r="H5060" i="16"/>
  <c r="M5070" i="16"/>
  <c r="E5070" i="16"/>
  <c r="K5154" i="16"/>
  <c r="J5154" i="16"/>
  <c r="I5154" i="16"/>
  <c r="F5154" i="16"/>
  <c r="H5159" i="16"/>
  <c r="E5159" i="16"/>
  <c r="P5159" i="16"/>
  <c r="M5159" i="16"/>
  <c r="L5159" i="16"/>
  <c r="O5159" i="16"/>
  <c r="F5159" i="16"/>
  <c r="N5159" i="16"/>
  <c r="M5198" i="16"/>
  <c r="E5198" i="16"/>
  <c r="I5198" i="16"/>
  <c r="I5269" i="16"/>
  <c r="K5269" i="16"/>
  <c r="J5269" i="16"/>
  <c r="N5269" i="16"/>
  <c r="T5271" i="16"/>
  <c r="E5271" i="16"/>
  <c r="P5271" i="16"/>
  <c r="O5271" i="16"/>
  <c r="F5271" i="16"/>
  <c r="N5271" i="16"/>
  <c r="M5271" i="16"/>
  <c r="L5271" i="16"/>
  <c r="H5271" i="16"/>
  <c r="K5338" i="16"/>
  <c r="F5338" i="16"/>
  <c r="I5338" i="16"/>
  <c r="T5351" i="16"/>
  <c r="E5351" i="16"/>
  <c r="P5351" i="16"/>
  <c r="O5351" i="16"/>
  <c r="L5351" i="16"/>
  <c r="H5351" i="16"/>
  <c r="F5351" i="16"/>
  <c r="N5351" i="16"/>
  <c r="M5351" i="16"/>
  <c r="K5469" i="16"/>
  <c r="J5469" i="16"/>
  <c r="I5469" i="16"/>
  <c r="H5469" i="16"/>
  <c r="K5567" i="16"/>
  <c r="P5567" i="16"/>
  <c r="E5567" i="16"/>
  <c r="O5567" i="16"/>
  <c r="N5567" i="16"/>
  <c r="H5567" i="16"/>
  <c r="G5567" i="16"/>
  <c r="F5567" i="16"/>
  <c r="M5567" i="16"/>
  <c r="L5567" i="16"/>
  <c r="T5577" i="16"/>
  <c r="N5577" i="16"/>
  <c r="E5577" i="16"/>
  <c r="M5577" i="16"/>
  <c r="L5577" i="16"/>
  <c r="F5577" i="16"/>
  <c r="P5577" i="16"/>
  <c r="H5577" i="16"/>
  <c r="G5577" i="16"/>
  <c r="J5577" i="16"/>
  <c r="O5577" i="16"/>
  <c r="K5577" i="16"/>
  <c r="J5680" i="16"/>
  <c r="N5680" i="16"/>
  <c r="H5680" i="16"/>
  <c r="G5680" i="16"/>
  <c r="F5680" i="16"/>
  <c r="E5680" i="16"/>
  <c r="M5680" i="16"/>
  <c r="L5680" i="16"/>
  <c r="K5680" i="16"/>
  <c r="P5680" i="16"/>
  <c r="I5820" i="16"/>
  <c r="T5820" i="16"/>
  <c r="G5820" i="16"/>
  <c r="J5820" i="16"/>
  <c r="H5820" i="16"/>
  <c r="P5820" i="16"/>
  <c r="O5820" i="16"/>
  <c r="T5934" i="16"/>
  <c r="K5934" i="16"/>
  <c r="G5934" i="16"/>
  <c r="P5934" i="16"/>
  <c r="F5934" i="16"/>
  <c r="O5934" i="16"/>
  <c r="E5934" i="16"/>
  <c r="H5934" i="16"/>
  <c r="M5934" i="16"/>
  <c r="L5934" i="16"/>
  <c r="J5934" i="16"/>
  <c r="N5934" i="16"/>
  <c r="H3206" i="16"/>
  <c r="O3206" i="16"/>
  <c r="G3206" i="16"/>
  <c r="I3207" i="16"/>
  <c r="H3207" i="16"/>
  <c r="K3242" i="16"/>
  <c r="J3242" i="16"/>
  <c r="I3242" i="16"/>
  <c r="L3252" i="16"/>
  <c r="J3252" i="16"/>
  <c r="T3265" i="16"/>
  <c r="O3265" i="16"/>
  <c r="E3265" i="16"/>
  <c r="N3265" i="16"/>
  <c r="M3265" i="16"/>
  <c r="L3265" i="16"/>
  <c r="M3286" i="16"/>
  <c r="J3286" i="16"/>
  <c r="H3318" i="16"/>
  <c r="M3318" i="16"/>
  <c r="G3318" i="16"/>
  <c r="F3318" i="16"/>
  <c r="E3318" i="16"/>
  <c r="P3319" i="16"/>
  <c r="O3319" i="16"/>
  <c r="T3319" i="16"/>
  <c r="L3319" i="16"/>
  <c r="G3343" i="16"/>
  <c r="L3343" i="16"/>
  <c r="I3343" i="16"/>
  <c r="T3377" i="16"/>
  <c r="O3377" i="16"/>
  <c r="E3377" i="16"/>
  <c r="N3377" i="16"/>
  <c r="M3377" i="16"/>
  <c r="L3377" i="16"/>
  <c r="H3395" i="16"/>
  <c r="E3395" i="16"/>
  <c r="K3395" i="16"/>
  <c r="T3400" i="16"/>
  <c r="O3400" i="16"/>
  <c r="F3400" i="16"/>
  <c r="N3400" i="16"/>
  <c r="E3400" i="16"/>
  <c r="G3400" i="16"/>
  <c r="M3400" i="16"/>
  <c r="I3410" i="16"/>
  <c r="F3410" i="16"/>
  <c r="T3416" i="16"/>
  <c r="H3416" i="16"/>
  <c r="P3416" i="16"/>
  <c r="G3416" i="16"/>
  <c r="N3416" i="16"/>
  <c r="M3416" i="16"/>
  <c r="L3416" i="16"/>
  <c r="M3442" i="16"/>
  <c r="L3442" i="16"/>
  <c r="K3442" i="16"/>
  <c r="J3451" i="16"/>
  <c r="I3451" i="16"/>
  <c r="T3451" i="16"/>
  <c r="P3451" i="16"/>
  <c r="O3468" i="16"/>
  <c r="L3468" i="16"/>
  <c r="K3468" i="16"/>
  <c r="T3480" i="16"/>
  <c r="L3480" i="16"/>
  <c r="K3480" i="16"/>
  <c r="N3480" i="16"/>
  <c r="M3480" i="16"/>
  <c r="J3480" i="16"/>
  <c r="T3497" i="16"/>
  <c r="O3497" i="16"/>
  <c r="E3497" i="16"/>
  <c r="N3497" i="16"/>
  <c r="F3497" i="16"/>
  <c r="M3497" i="16"/>
  <c r="J3509" i="16"/>
  <c r="F3509" i="16"/>
  <c r="G3511" i="16"/>
  <c r="F3511" i="16"/>
  <c r="T3511" i="16"/>
  <c r="P3511" i="16"/>
  <c r="O3511" i="16"/>
  <c r="T3526" i="16"/>
  <c r="P3526" i="16"/>
  <c r="H3526" i="16"/>
  <c r="G3526" i="16"/>
  <c r="T3549" i="16"/>
  <c r="K3549" i="16"/>
  <c r="M3606" i="16"/>
  <c r="J3606" i="16"/>
  <c r="I3606" i="16"/>
  <c r="K3611" i="16"/>
  <c r="J3611" i="16"/>
  <c r="P3635" i="16"/>
  <c r="T3665" i="16"/>
  <c r="G3665" i="16"/>
  <c r="F3665" i="16"/>
  <c r="O3665" i="16"/>
  <c r="M3665" i="16"/>
  <c r="J3668" i="16"/>
  <c r="L3668" i="16"/>
  <c r="I3668" i="16"/>
  <c r="T3668" i="16"/>
  <c r="M3690" i="16"/>
  <c r="L3690" i="16"/>
  <c r="H3694" i="16"/>
  <c r="M3694" i="16"/>
  <c r="J3694" i="16"/>
  <c r="P3694" i="16"/>
  <c r="T3704" i="16"/>
  <c r="P3704" i="16"/>
  <c r="G3704" i="16"/>
  <c r="O3704" i="16"/>
  <c r="F3704" i="16"/>
  <c r="N3704" i="16"/>
  <c r="M3704" i="16"/>
  <c r="L3704" i="16"/>
  <c r="G3719" i="16"/>
  <c r="F3719" i="16"/>
  <c r="P3719" i="16"/>
  <c r="I3719" i="16"/>
  <c r="N3721" i="16"/>
  <c r="H3758" i="16"/>
  <c r="J3758" i="16"/>
  <c r="F3758" i="16"/>
  <c r="N3758" i="16"/>
  <c r="M3758" i="16"/>
  <c r="M3760" i="16"/>
  <c r="T3785" i="16"/>
  <c r="J3785" i="16"/>
  <c r="G3785" i="16"/>
  <c r="F3785" i="16"/>
  <c r="E3785" i="16"/>
  <c r="O3785" i="16"/>
  <c r="T3856" i="16"/>
  <c r="K3856" i="16"/>
  <c r="H3856" i="16"/>
  <c r="O3856" i="16"/>
  <c r="N3856" i="16"/>
  <c r="G3856" i="16"/>
  <c r="F3856" i="16"/>
  <c r="P3856" i="16"/>
  <c r="I3918" i="16"/>
  <c r="G3918" i="16"/>
  <c r="H3918" i="16"/>
  <c r="K3940" i="16"/>
  <c r="I3940" i="16"/>
  <c r="E3940" i="16"/>
  <c r="J3940" i="16"/>
  <c r="I3956" i="16"/>
  <c r="T3956" i="16"/>
  <c r="E3956" i="16"/>
  <c r="N3956" i="16"/>
  <c r="O3956" i="16"/>
  <c r="G3956" i="16"/>
  <c r="F3956" i="16"/>
  <c r="I4031" i="16"/>
  <c r="H4031" i="16"/>
  <c r="T4031" i="16"/>
  <c r="F4031" i="16"/>
  <c r="G4031" i="16"/>
  <c r="P4031" i="16"/>
  <c r="J4040" i="16"/>
  <c r="E4040" i="16"/>
  <c r="T4040" i="16"/>
  <c r="N4040" i="16"/>
  <c r="H4040" i="16"/>
  <c r="T4065" i="16"/>
  <c r="M4065" i="16"/>
  <c r="K4065" i="16"/>
  <c r="F4065" i="16"/>
  <c r="P4065" i="16"/>
  <c r="E4065" i="16"/>
  <c r="N4065" i="16"/>
  <c r="I4106" i="16"/>
  <c r="E4106" i="16"/>
  <c r="O4106" i="16"/>
  <c r="F4106" i="16"/>
  <c r="K4106" i="16"/>
  <c r="G4106" i="16"/>
  <c r="H4142" i="16"/>
  <c r="P4142" i="16"/>
  <c r="N4142" i="16"/>
  <c r="T4142" i="16"/>
  <c r="O4142" i="16"/>
  <c r="E4142" i="16"/>
  <c r="G4143" i="16"/>
  <c r="P4143" i="16"/>
  <c r="E4143" i="16"/>
  <c r="L4143" i="16"/>
  <c r="J4143" i="16"/>
  <c r="T4143" i="16"/>
  <c r="I4162" i="16"/>
  <c r="K4162" i="16"/>
  <c r="J4162" i="16"/>
  <c r="P4203" i="16"/>
  <c r="E4203" i="16"/>
  <c r="M4203" i="16"/>
  <c r="I4203" i="16"/>
  <c r="H4203" i="16"/>
  <c r="N4203" i="16"/>
  <c r="L4203" i="16"/>
  <c r="K4210" i="16"/>
  <c r="J4210" i="16"/>
  <c r="I4210" i="16"/>
  <c r="G4210" i="16"/>
  <c r="T4241" i="16"/>
  <c r="O4241" i="16"/>
  <c r="F4241" i="16"/>
  <c r="M4241" i="16"/>
  <c r="P4241" i="16"/>
  <c r="N4241" i="16"/>
  <c r="G4241" i="16"/>
  <c r="E4241" i="16"/>
  <c r="G4242" i="16"/>
  <c r="O4242" i="16"/>
  <c r="E4242" i="16"/>
  <c r="L4242" i="16"/>
  <c r="K4242" i="16"/>
  <c r="T4242" i="16"/>
  <c r="J4301" i="16"/>
  <c r="I4301" i="16"/>
  <c r="F4301" i="16"/>
  <c r="O4301" i="16"/>
  <c r="N4301" i="16"/>
  <c r="G4301" i="16"/>
  <c r="L4317" i="16"/>
  <c r="I4317" i="16"/>
  <c r="G4317" i="16"/>
  <c r="F4317" i="16"/>
  <c r="N4317" i="16"/>
  <c r="K4317" i="16"/>
  <c r="K4348" i="16"/>
  <c r="P4348" i="16"/>
  <c r="G4348" i="16"/>
  <c r="O4348" i="16"/>
  <c r="E4348" i="16"/>
  <c r="I4373" i="16"/>
  <c r="O4373" i="16"/>
  <c r="K4373" i="16"/>
  <c r="G4373" i="16"/>
  <c r="F4373" i="16"/>
  <c r="T4373" i="16"/>
  <c r="P4373" i="16"/>
  <c r="T4377" i="16"/>
  <c r="N4377" i="16"/>
  <c r="E4377" i="16"/>
  <c r="L4377" i="16"/>
  <c r="G4377" i="16"/>
  <c r="F4377" i="16"/>
  <c r="P4377" i="16"/>
  <c r="O4377" i="16"/>
  <c r="T4384" i="16"/>
  <c r="M4384" i="16"/>
  <c r="G4384" i="16"/>
  <c r="H4398" i="16"/>
  <c r="J4398" i="16"/>
  <c r="F4398" i="16"/>
  <c r="E4398" i="16"/>
  <c r="K4398" i="16"/>
  <c r="G4398" i="16"/>
  <c r="P4413" i="16"/>
  <c r="N4413" i="16"/>
  <c r="H4413" i="16"/>
  <c r="I4413" i="16"/>
  <c r="G4413" i="16"/>
  <c r="T4413" i="16"/>
  <c r="L4413" i="16"/>
  <c r="T4441" i="16"/>
  <c r="M4441" i="16"/>
  <c r="L4441" i="16"/>
  <c r="H4441" i="16"/>
  <c r="F4441" i="16"/>
  <c r="K4441" i="16"/>
  <c r="J4441" i="16"/>
  <c r="G4441" i="16"/>
  <c r="E4441" i="16"/>
  <c r="T4449" i="16"/>
  <c r="P4449" i="16"/>
  <c r="G4449" i="16"/>
  <c r="O4449" i="16"/>
  <c r="F4449" i="16"/>
  <c r="J4449" i="16"/>
  <c r="E4449" i="16"/>
  <c r="N4449" i="16"/>
  <c r="J4482" i="16"/>
  <c r="O4482" i="16"/>
  <c r="F4482" i="16"/>
  <c r="I4482" i="16"/>
  <c r="E4482" i="16"/>
  <c r="I4484" i="16"/>
  <c r="H4484" i="16"/>
  <c r="T4484" i="16"/>
  <c r="O4484" i="16"/>
  <c r="E4484" i="16"/>
  <c r="G4484" i="16"/>
  <c r="M4508" i="16"/>
  <c r="L4508" i="16"/>
  <c r="T4608" i="16"/>
  <c r="N4608" i="16"/>
  <c r="H4608" i="16"/>
  <c r="K4608" i="16"/>
  <c r="I4608" i="16"/>
  <c r="O4615" i="16"/>
  <c r="J4615" i="16"/>
  <c r="F4615" i="16"/>
  <c r="P4615" i="16"/>
  <c r="T4617" i="16"/>
  <c r="H4617" i="16"/>
  <c r="P4617" i="16"/>
  <c r="G4617" i="16"/>
  <c r="M4617" i="16"/>
  <c r="K4617" i="16"/>
  <c r="L4617" i="16"/>
  <c r="J4617" i="16"/>
  <c r="F4617" i="16"/>
  <c r="T4641" i="16"/>
  <c r="P4641" i="16"/>
  <c r="G4641" i="16"/>
  <c r="O4641" i="16"/>
  <c r="F4641" i="16"/>
  <c r="K4641" i="16"/>
  <c r="H4641" i="16"/>
  <c r="M4641" i="16"/>
  <c r="L4641" i="16"/>
  <c r="J4641" i="16"/>
  <c r="T4665" i="16"/>
  <c r="N4665" i="16"/>
  <c r="E4665" i="16"/>
  <c r="M4665" i="16"/>
  <c r="J4665" i="16"/>
  <c r="G4665" i="16"/>
  <c r="L4665" i="16"/>
  <c r="K4665" i="16"/>
  <c r="O4665" i="16"/>
  <c r="H4665" i="16"/>
  <c r="F4665" i="16"/>
  <c r="K4687" i="16"/>
  <c r="O4687" i="16"/>
  <c r="N4687" i="16"/>
  <c r="G4687" i="16"/>
  <c r="E4687" i="16"/>
  <c r="L4687" i="16"/>
  <c r="J4687" i="16"/>
  <c r="F4687" i="16"/>
  <c r="I4724" i="16"/>
  <c r="G4724" i="16"/>
  <c r="E4724" i="16"/>
  <c r="O4724" i="16"/>
  <c r="K4724" i="16"/>
  <c r="P4724" i="16"/>
  <c r="M4724" i="16"/>
  <c r="L4724" i="16"/>
  <c r="K4781" i="16"/>
  <c r="T4781" i="16"/>
  <c r="P4781" i="16"/>
  <c r="M4811" i="16"/>
  <c r="I4811" i="16"/>
  <c r="T4820" i="16"/>
  <c r="I4820" i="16"/>
  <c r="H4820" i="16"/>
  <c r="P4820" i="16"/>
  <c r="J4820" i="16"/>
  <c r="H4829" i="16"/>
  <c r="T4829" i="16"/>
  <c r="G4829" i="16"/>
  <c r="I4829" i="16"/>
  <c r="L4829" i="16"/>
  <c r="K4829" i="16"/>
  <c r="F4829" i="16"/>
  <c r="K4846" i="16"/>
  <c r="G4846" i="16"/>
  <c r="P4846" i="16"/>
  <c r="T4846" i="16"/>
  <c r="I4895" i="16"/>
  <c r="H4895" i="16"/>
  <c r="N4895" i="16"/>
  <c r="G4895" i="16"/>
  <c r="J4899" i="16"/>
  <c r="I4899" i="16"/>
  <c r="H4899" i="16"/>
  <c r="K4899" i="16"/>
  <c r="I4908" i="16"/>
  <c r="H4908" i="16"/>
  <c r="P4908" i="16"/>
  <c r="O4908" i="16"/>
  <c r="N5010" i="16"/>
  <c r="M5010" i="16"/>
  <c r="L5010" i="16"/>
  <c r="T5010" i="16"/>
  <c r="O5010" i="16"/>
  <c r="I5010" i="16"/>
  <c r="F5010" i="16"/>
  <c r="K5010" i="16"/>
  <c r="G5010" i="16"/>
  <c r="T5148" i="16"/>
  <c r="P5148" i="16"/>
  <c r="O5148" i="16"/>
  <c r="I5148" i="16"/>
  <c r="G5148" i="16"/>
  <c r="H5148" i="16"/>
  <c r="L5148" i="16"/>
  <c r="J5148" i="16"/>
  <c r="I5156" i="16"/>
  <c r="H5156" i="16"/>
  <c r="G5156" i="16"/>
  <c r="J5156" i="16"/>
  <c r="T5156" i="16"/>
  <c r="O5156" i="16"/>
  <c r="L5156" i="16"/>
  <c r="P5156" i="16"/>
  <c r="J5208" i="16"/>
  <c r="N5208" i="16"/>
  <c r="M5208" i="16"/>
  <c r="L5208" i="16"/>
  <c r="F5208" i="16"/>
  <c r="E5208" i="16"/>
  <c r="O5208" i="16"/>
  <c r="H5208" i="16"/>
  <c r="P5208" i="16"/>
  <c r="K5208" i="16"/>
  <c r="G5208" i="16"/>
  <c r="J5360" i="16"/>
  <c r="N5360" i="16"/>
  <c r="M5360" i="16"/>
  <c r="L5360" i="16"/>
  <c r="P5360" i="16"/>
  <c r="O5360" i="16"/>
  <c r="F5360" i="16"/>
  <c r="E5360" i="16"/>
  <c r="H5360" i="16"/>
  <c r="G5360" i="16"/>
  <c r="T5441" i="16"/>
  <c r="M5441" i="16"/>
  <c r="L5441" i="16"/>
  <c r="K5441" i="16"/>
  <c r="G5441" i="16"/>
  <c r="F5441" i="16"/>
  <c r="E5441" i="16"/>
  <c r="H5441" i="16"/>
  <c r="O5441" i="16"/>
  <c r="N5441" i="16"/>
  <c r="J5441" i="16"/>
  <c r="J5448" i="16"/>
  <c r="O5448" i="16"/>
  <c r="E5448" i="16"/>
  <c r="N5448" i="16"/>
  <c r="M5448" i="16"/>
  <c r="P5448" i="16"/>
  <c r="F5448" i="16"/>
  <c r="L5448" i="16"/>
  <c r="K5448" i="16"/>
  <c r="T5463" i="16"/>
  <c r="H5463" i="16"/>
  <c r="F5463" i="16"/>
  <c r="E5463" i="16"/>
  <c r="L5463" i="16"/>
  <c r="O5463" i="16"/>
  <c r="N5463" i="16"/>
  <c r="M5463" i="16"/>
  <c r="P5463" i="16"/>
  <c r="E5523" i="16"/>
  <c r="L5523" i="16"/>
  <c r="K5523" i="16"/>
  <c r="M5523" i="16"/>
  <c r="J5880" i="16"/>
  <c r="L5880" i="16"/>
  <c r="H5880" i="16"/>
  <c r="G5880" i="16"/>
  <c r="F5880" i="16"/>
  <c r="E5880" i="16"/>
  <c r="P5880" i="16"/>
  <c r="M5880" i="16"/>
  <c r="K5880" i="16"/>
  <c r="O5880" i="16"/>
  <c r="N5880" i="16"/>
  <c r="M5967" i="16"/>
  <c r="T5967" i="16"/>
  <c r="N5967" i="16"/>
  <c r="J5981" i="16"/>
  <c r="H5981" i="16"/>
  <c r="G5981" i="16"/>
  <c r="K5981" i="16"/>
  <c r="P5981" i="16"/>
  <c r="O5981" i="16"/>
  <c r="L5981" i="16"/>
  <c r="F5981" i="16"/>
  <c r="E5981" i="16"/>
  <c r="M5981" i="16"/>
  <c r="N5981" i="16"/>
  <c r="I4572" i="16"/>
  <c r="H4572" i="16"/>
  <c r="G4572" i="16"/>
  <c r="P4572" i="16"/>
  <c r="M4572" i="16"/>
  <c r="E4572" i="16"/>
  <c r="K4647" i="16"/>
  <c r="E4647" i="16"/>
  <c r="O4647" i="16"/>
  <c r="F4647" i="16"/>
  <c r="J4667" i="16"/>
  <c r="H4667" i="16"/>
  <c r="F4667" i="16"/>
  <c r="K4670" i="16"/>
  <c r="N4670" i="16"/>
  <c r="I4675" i="16"/>
  <c r="K4675" i="16"/>
  <c r="H4675" i="16"/>
  <c r="L4675" i="16"/>
  <c r="E4675" i="16"/>
  <c r="M4675" i="16"/>
  <c r="F4675" i="16"/>
  <c r="F4677" i="16"/>
  <c r="P4677" i="16"/>
  <c r="H4677" i="16"/>
  <c r="T4697" i="16"/>
  <c r="L4697" i="16"/>
  <c r="K4697" i="16"/>
  <c r="G4697" i="16"/>
  <c r="P4697" i="16"/>
  <c r="E4697" i="16"/>
  <c r="N4697" i="16"/>
  <c r="I4742" i="16"/>
  <c r="H4742" i="16"/>
  <c r="G4742" i="16"/>
  <c r="F4742" i="16"/>
  <c r="J4776" i="16"/>
  <c r="F4776" i="16"/>
  <c r="E4776" i="16"/>
  <c r="N4776" i="16"/>
  <c r="L4776" i="16"/>
  <c r="I4788" i="16"/>
  <c r="G4788" i="16"/>
  <c r="E4788" i="16"/>
  <c r="K4788" i="16"/>
  <c r="I4789" i="16"/>
  <c r="O4789" i="16"/>
  <c r="N4789" i="16"/>
  <c r="P4789" i="16"/>
  <c r="L4789" i="16"/>
  <c r="T4825" i="16"/>
  <c r="M4825" i="16"/>
  <c r="L4825" i="16"/>
  <c r="O4825" i="16"/>
  <c r="K4825" i="16"/>
  <c r="H4825" i="16"/>
  <c r="G4825" i="16"/>
  <c r="P4825" i="16"/>
  <c r="I4845" i="16"/>
  <c r="H4845" i="16"/>
  <c r="J4845" i="16"/>
  <c r="T4845" i="16"/>
  <c r="G4845" i="16"/>
  <c r="I4866" i="16"/>
  <c r="F4866" i="16"/>
  <c r="E4866" i="16"/>
  <c r="K4866" i="16"/>
  <c r="L4866" i="16"/>
  <c r="I4891" i="16"/>
  <c r="L4891" i="16"/>
  <c r="K4891" i="16"/>
  <c r="E4891" i="16"/>
  <c r="J4944" i="16"/>
  <c r="O4944" i="16"/>
  <c r="N4944" i="16"/>
  <c r="F4944" i="16"/>
  <c r="L4944" i="16"/>
  <c r="K4944" i="16"/>
  <c r="J4984" i="16"/>
  <c r="N4984" i="16"/>
  <c r="M4984" i="16"/>
  <c r="L4984" i="16"/>
  <c r="E4984" i="16"/>
  <c r="T4984" i="16"/>
  <c r="P4984" i="16"/>
  <c r="K4984" i="16"/>
  <c r="G4984" i="16"/>
  <c r="F4984" i="16"/>
  <c r="E4991" i="16"/>
  <c r="J4991" i="16"/>
  <c r="T5011" i="16"/>
  <c r="P5011" i="16"/>
  <c r="I5019" i="16"/>
  <c r="L5019" i="16"/>
  <c r="K5019" i="16"/>
  <c r="F5019" i="16"/>
  <c r="E5019" i="16"/>
  <c r="N5019" i="16"/>
  <c r="H5031" i="16"/>
  <c r="L5031" i="16"/>
  <c r="F5031" i="16"/>
  <c r="E5031" i="16"/>
  <c r="P5031" i="16"/>
  <c r="O5031" i="16"/>
  <c r="M5031" i="16"/>
  <c r="J5096" i="16"/>
  <c r="O5096" i="16"/>
  <c r="E5096" i="16"/>
  <c r="N5096" i="16"/>
  <c r="M5096" i="16"/>
  <c r="K5096" i="16"/>
  <c r="G5096" i="16"/>
  <c r="N5110" i="16"/>
  <c r="M5110" i="16"/>
  <c r="K5274" i="16"/>
  <c r="I5274" i="16"/>
  <c r="T5361" i="16"/>
  <c r="O5361" i="16"/>
  <c r="F5361" i="16"/>
  <c r="N5361" i="16"/>
  <c r="E5361" i="16"/>
  <c r="M5361" i="16"/>
  <c r="K5361" i="16"/>
  <c r="J5361" i="16"/>
  <c r="G5361" i="16"/>
  <c r="P5361" i="16"/>
  <c r="L5361" i="16"/>
  <c r="H5444" i="16"/>
  <c r="G5444" i="16"/>
  <c r="T5444" i="16"/>
  <c r="J5444" i="16"/>
  <c r="I5444" i="16"/>
  <c r="O5444" i="16"/>
  <c r="L5444" i="16"/>
  <c r="J5552" i="16"/>
  <c r="P5552" i="16"/>
  <c r="F5552" i="16"/>
  <c r="O5552" i="16"/>
  <c r="E5552" i="16"/>
  <c r="N5552" i="16"/>
  <c r="G5552" i="16"/>
  <c r="H5552" i="16"/>
  <c r="L5552" i="16"/>
  <c r="K5552" i="16"/>
  <c r="J5642" i="16"/>
  <c r="K5642" i="16"/>
  <c r="T5642" i="16"/>
  <c r="M5642" i="16"/>
  <c r="I5642" i="16"/>
  <c r="E5642" i="16"/>
  <c r="J5770" i="16"/>
  <c r="K5770" i="16"/>
  <c r="E5770" i="16"/>
  <c r="I5770" i="16"/>
  <c r="M5770" i="16"/>
  <c r="K5855" i="16"/>
  <c r="N5855" i="16"/>
  <c r="F5855" i="16"/>
  <c r="E5855" i="16"/>
  <c r="P5855" i="16"/>
  <c r="G5855" i="16"/>
  <c r="I5861" i="16"/>
  <c r="T5861" i="16"/>
  <c r="G5861" i="16"/>
  <c r="F5861" i="16"/>
  <c r="P5876" i="16"/>
  <c r="K5876" i="16"/>
  <c r="G5876" i="16"/>
  <c r="T5966" i="16"/>
  <c r="P5966" i="16"/>
  <c r="G5966" i="16"/>
  <c r="L5966" i="16"/>
  <c r="O5966" i="16"/>
  <c r="N5966" i="16"/>
  <c r="M5966" i="16"/>
  <c r="F5966" i="16"/>
  <c r="E5966" i="16"/>
  <c r="K5966" i="16"/>
  <c r="J5966" i="16"/>
  <c r="AB246" i="17"/>
  <c r="AA246" i="17"/>
  <c r="Z246" i="17"/>
  <c r="AN246" i="17"/>
  <c r="W246" i="17"/>
  <c r="R246" i="17"/>
  <c r="Q246" i="17"/>
  <c r="AR246" i="17"/>
  <c r="AN256" i="17"/>
  <c r="AH256" i="17"/>
  <c r="AG256" i="17"/>
  <c r="AE381" i="17"/>
  <c r="AD381" i="17"/>
  <c r="AK381" i="17"/>
  <c r="AJ381" i="17"/>
  <c r="AF381" i="17"/>
  <c r="AA1382" i="17"/>
  <c r="T1382" i="17"/>
  <c r="AN1382" i="17"/>
  <c r="AK1382" i="17"/>
  <c r="AF1382" i="17"/>
  <c r="S1382" i="17"/>
  <c r="P1382" i="17"/>
  <c r="O1382" i="17"/>
  <c r="AQ1485" i="17"/>
  <c r="AR1485" i="17"/>
  <c r="AP1485" i="17"/>
  <c r="H1742" i="16"/>
  <c r="H1752" i="16"/>
  <c r="K1753" i="16"/>
  <c r="L1766" i="16"/>
  <c r="H1783" i="16"/>
  <c r="H1805" i="16"/>
  <c r="J1808" i="16"/>
  <c r="L1815" i="16"/>
  <c r="I1817" i="16"/>
  <c r="H1824" i="16"/>
  <c r="K1828" i="16"/>
  <c r="J1832" i="16"/>
  <c r="I1842" i="16"/>
  <c r="P1845" i="16"/>
  <c r="I1857" i="16"/>
  <c r="H1864" i="16"/>
  <c r="H1869" i="16"/>
  <c r="J1872" i="16"/>
  <c r="I1882" i="16"/>
  <c r="I1885" i="16"/>
  <c r="I1892" i="16"/>
  <c r="H1896" i="16"/>
  <c r="M1897" i="16"/>
  <c r="I1907" i="16"/>
  <c r="M1922" i="16"/>
  <c r="H1933" i="16"/>
  <c r="J1936" i="16"/>
  <c r="O1951" i="16"/>
  <c r="L1959" i="16"/>
  <c r="O1974" i="16"/>
  <c r="H1983" i="16"/>
  <c r="J1984" i="16"/>
  <c r="T1990" i="16"/>
  <c r="J1998" i="16"/>
  <c r="J2008" i="16"/>
  <c r="I2011" i="16"/>
  <c r="H2016" i="16"/>
  <c r="L2022" i="16"/>
  <c r="H2024" i="16"/>
  <c r="K2025" i="16"/>
  <c r="J2032" i="16"/>
  <c r="K2034" i="16"/>
  <c r="H2046" i="16"/>
  <c r="K2047" i="16"/>
  <c r="I2060" i="16"/>
  <c r="M2063" i="16"/>
  <c r="M2075" i="16"/>
  <c r="K2085" i="16"/>
  <c r="J2096" i="16"/>
  <c r="J2110" i="16"/>
  <c r="T2142" i="16"/>
  <c r="K2148" i="16"/>
  <c r="K2164" i="16"/>
  <c r="K2175" i="16"/>
  <c r="J2192" i="16"/>
  <c r="K2203" i="16"/>
  <c r="L2241" i="16"/>
  <c r="J2248" i="16"/>
  <c r="H2253" i="16"/>
  <c r="J2256" i="16"/>
  <c r="M2267" i="16"/>
  <c r="P2270" i="16"/>
  <c r="I2276" i="16"/>
  <c r="L2291" i="16"/>
  <c r="H2293" i="16"/>
  <c r="J2309" i="16"/>
  <c r="J2312" i="16"/>
  <c r="I2316" i="16"/>
  <c r="M2319" i="16"/>
  <c r="J2322" i="16"/>
  <c r="J2372" i="16"/>
  <c r="K2375" i="16"/>
  <c r="H2383" i="16"/>
  <c r="H2392" i="16"/>
  <c r="K2393" i="16"/>
  <c r="K2404" i="16"/>
  <c r="I2409" i="16"/>
  <c r="J2430" i="16"/>
  <c r="L2444" i="16"/>
  <c r="M2459" i="16"/>
  <c r="L2470" i="16"/>
  <c r="H2472" i="16"/>
  <c r="K2473" i="16"/>
  <c r="N2479" i="16"/>
  <c r="M2486" i="16"/>
  <c r="H2488" i="16"/>
  <c r="K2489" i="16"/>
  <c r="J2496" i="16"/>
  <c r="N2506" i="16"/>
  <c r="I2510" i="16"/>
  <c r="J2516" i="16"/>
  <c r="J2528" i="16"/>
  <c r="J2542" i="16"/>
  <c r="T2552" i="16"/>
  <c r="O2552" i="16"/>
  <c r="F2552" i="16"/>
  <c r="N2552" i="16"/>
  <c r="E2552" i="16"/>
  <c r="L2552" i="16"/>
  <c r="P2558" i="16"/>
  <c r="O2558" i="16"/>
  <c r="N2558" i="16"/>
  <c r="M2575" i="16"/>
  <c r="H2575" i="16"/>
  <c r="T2593" i="16"/>
  <c r="G2593" i="16"/>
  <c r="F2593" i="16"/>
  <c r="M2593" i="16"/>
  <c r="H2599" i="16"/>
  <c r="P2599" i="16"/>
  <c r="N2599" i="16"/>
  <c r="N2642" i="16"/>
  <c r="I2655" i="16"/>
  <c r="E2655" i="16"/>
  <c r="J2690" i="16"/>
  <c r="M2690" i="16"/>
  <c r="L2690" i="16"/>
  <c r="H2691" i="16"/>
  <c r="E2691" i="16"/>
  <c r="T2697" i="16"/>
  <c r="O2697" i="16"/>
  <c r="E2697" i="16"/>
  <c r="N2697" i="16"/>
  <c r="L2697" i="16"/>
  <c r="O2716" i="16"/>
  <c r="T2728" i="16"/>
  <c r="N2728" i="16"/>
  <c r="E2728" i="16"/>
  <c r="M2728" i="16"/>
  <c r="K2728" i="16"/>
  <c r="H2734" i="16"/>
  <c r="M2734" i="16"/>
  <c r="J2734" i="16"/>
  <c r="P2734" i="16"/>
  <c r="O2741" i="16"/>
  <c r="N2741" i="16"/>
  <c r="N2743" i="16"/>
  <c r="M2743" i="16"/>
  <c r="L2743" i="16"/>
  <c r="T2745" i="16"/>
  <c r="F2745" i="16"/>
  <c r="O2745" i="16"/>
  <c r="E2745" i="16"/>
  <c r="M2745" i="16"/>
  <c r="L2763" i="16"/>
  <c r="K2763" i="16"/>
  <c r="T2769" i="16"/>
  <c r="F2769" i="16"/>
  <c r="O2769" i="16"/>
  <c r="E2769" i="16"/>
  <c r="M2769" i="16"/>
  <c r="I2772" i="16"/>
  <c r="J2772" i="16"/>
  <c r="H2772" i="16"/>
  <c r="T2772" i="16"/>
  <c r="I2790" i="16"/>
  <c r="E2790" i="16"/>
  <c r="T2808" i="16"/>
  <c r="N2808" i="16"/>
  <c r="E2808" i="16"/>
  <c r="M2808" i="16"/>
  <c r="K2808" i="16"/>
  <c r="N2834" i="16"/>
  <c r="T2840" i="16"/>
  <c r="L2840" i="16"/>
  <c r="K2840" i="16"/>
  <c r="J2840" i="16"/>
  <c r="T2842" i="16"/>
  <c r="K2842" i="16"/>
  <c r="P2852" i="16"/>
  <c r="T2856" i="16"/>
  <c r="P2856" i="16"/>
  <c r="G2856" i="16"/>
  <c r="O2856" i="16"/>
  <c r="F2856" i="16"/>
  <c r="L2856" i="16"/>
  <c r="T2881" i="16"/>
  <c r="N2881" i="16"/>
  <c r="M2881" i="16"/>
  <c r="K2881" i="16"/>
  <c r="T2896" i="16"/>
  <c r="H2896" i="16"/>
  <c r="P2896" i="16"/>
  <c r="G2896" i="16"/>
  <c r="L2896" i="16"/>
  <c r="L2898" i="16"/>
  <c r="L2903" i="16"/>
  <c r="I2903" i="16"/>
  <c r="T2945" i="16"/>
  <c r="O2945" i="16"/>
  <c r="E2945" i="16"/>
  <c r="N2945" i="16"/>
  <c r="L2945" i="16"/>
  <c r="H2957" i="16"/>
  <c r="G2957" i="16"/>
  <c r="P2957" i="16"/>
  <c r="T3001" i="16"/>
  <c r="F3001" i="16"/>
  <c r="O3001" i="16"/>
  <c r="E3001" i="16"/>
  <c r="M3001" i="16"/>
  <c r="H3005" i="16"/>
  <c r="G3005" i="16"/>
  <c r="O3005" i="16"/>
  <c r="I3022" i="16"/>
  <c r="P3047" i="16"/>
  <c r="E3047" i="16"/>
  <c r="O3047" i="16"/>
  <c r="M3047" i="16"/>
  <c r="T3065" i="16"/>
  <c r="M3065" i="16"/>
  <c r="L3065" i="16"/>
  <c r="K3065" i="16"/>
  <c r="O3068" i="16"/>
  <c r="J3068" i="16"/>
  <c r="T3072" i="16"/>
  <c r="O3072" i="16"/>
  <c r="F3072" i="16"/>
  <c r="N3072" i="16"/>
  <c r="E3072" i="16"/>
  <c r="L3072" i="16"/>
  <c r="J3082" i="16"/>
  <c r="T3082" i="16"/>
  <c r="N3082" i="16"/>
  <c r="J3108" i="16"/>
  <c r="I3108" i="16"/>
  <c r="T3108" i="16"/>
  <c r="T3112" i="16"/>
  <c r="L3112" i="16"/>
  <c r="K3112" i="16"/>
  <c r="J3112" i="16"/>
  <c r="K3114" i="16"/>
  <c r="J3114" i="16"/>
  <c r="H3126" i="16"/>
  <c r="G3126" i="16"/>
  <c r="F3126" i="16"/>
  <c r="P3126" i="16"/>
  <c r="T3129" i="16"/>
  <c r="G3129" i="16"/>
  <c r="F3129" i="16"/>
  <c r="M3129" i="16"/>
  <c r="I3141" i="16"/>
  <c r="T3141" i="16"/>
  <c r="O3141" i="16"/>
  <c r="T3144" i="16"/>
  <c r="L3144" i="16"/>
  <c r="K3144" i="16"/>
  <c r="J3144" i="16"/>
  <c r="J3146" i="16"/>
  <c r="I3146" i="16"/>
  <c r="F3146" i="16"/>
  <c r="T3169" i="16"/>
  <c r="J3169" i="16"/>
  <c r="G3169" i="16"/>
  <c r="M3169" i="16"/>
  <c r="J3181" i="16"/>
  <c r="I3181" i="16"/>
  <c r="H3183" i="16"/>
  <c r="M3183" i="16"/>
  <c r="G3183" i="16"/>
  <c r="P3183" i="16"/>
  <c r="T3209" i="16"/>
  <c r="G3209" i="16"/>
  <c r="F3209" i="16"/>
  <c r="M3209" i="16"/>
  <c r="T3225" i="16"/>
  <c r="O3225" i="16"/>
  <c r="E3225" i="16"/>
  <c r="N3225" i="16"/>
  <c r="L3225" i="16"/>
  <c r="H3262" i="16"/>
  <c r="G3262" i="16"/>
  <c r="P3262" i="16"/>
  <c r="I3284" i="16"/>
  <c r="H3284" i="16"/>
  <c r="P3284" i="16"/>
  <c r="H3310" i="16"/>
  <c r="G3310" i="16"/>
  <c r="N3310" i="16"/>
  <c r="J3315" i="16"/>
  <c r="H3315" i="16"/>
  <c r="E3315" i="16"/>
  <c r="F3326" i="16"/>
  <c r="T3326" i="16"/>
  <c r="E3326" i="16"/>
  <c r="O3326" i="16"/>
  <c r="T3330" i="16"/>
  <c r="N3330" i="16"/>
  <c r="L3330" i="16"/>
  <c r="G3334" i="16"/>
  <c r="F3334" i="16"/>
  <c r="T3334" i="16"/>
  <c r="T3345" i="16"/>
  <c r="O3345" i="16"/>
  <c r="E3345" i="16"/>
  <c r="N3345" i="16"/>
  <c r="L3345" i="16"/>
  <c r="H3348" i="16"/>
  <c r="G3348" i="16"/>
  <c r="P3348" i="16"/>
  <c r="J3356" i="16"/>
  <c r="G3356" i="16"/>
  <c r="T3356" i="16"/>
  <c r="G3367" i="16"/>
  <c r="T3367" i="16"/>
  <c r="F3367" i="16"/>
  <c r="N3367" i="16"/>
  <c r="H3375" i="16"/>
  <c r="M3375" i="16"/>
  <c r="G3375" i="16"/>
  <c r="P3375" i="16"/>
  <c r="T3401" i="16"/>
  <c r="G3401" i="16"/>
  <c r="F3401" i="16"/>
  <c r="M3401" i="16"/>
  <c r="K3426" i="16"/>
  <c r="F3426" i="16"/>
  <c r="J3430" i="16"/>
  <c r="I3430" i="16"/>
  <c r="H3435" i="16"/>
  <c r="E3435" i="16"/>
  <c r="P3435" i="16"/>
  <c r="T3441" i="16"/>
  <c r="N3441" i="16"/>
  <c r="M3441" i="16"/>
  <c r="K3441" i="16"/>
  <c r="J3443" i="16"/>
  <c r="M3443" i="16"/>
  <c r="I3443" i="16"/>
  <c r="K3444" i="16"/>
  <c r="J3444" i="16"/>
  <c r="G3453" i="16"/>
  <c r="T3453" i="16"/>
  <c r="F3453" i="16"/>
  <c r="O3453" i="16"/>
  <c r="H3469" i="16"/>
  <c r="G3469" i="16"/>
  <c r="T3469" i="16"/>
  <c r="I3470" i="16"/>
  <c r="H3476" i="16"/>
  <c r="G3476" i="16"/>
  <c r="P3476" i="16"/>
  <c r="T3496" i="16"/>
  <c r="M3496" i="16"/>
  <c r="L3496" i="16"/>
  <c r="J3496" i="16"/>
  <c r="N3530" i="16"/>
  <c r="J3540" i="16"/>
  <c r="T3540" i="16"/>
  <c r="P3540" i="16"/>
  <c r="O3540" i="16"/>
  <c r="T3561" i="16"/>
  <c r="F3561" i="16"/>
  <c r="O3561" i="16"/>
  <c r="E3561" i="16"/>
  <c r="M3561" i="16"/>
  <c r="H3566" i="16"/>
  <c r="P3566" i="16"/>
  <c r="O3566" i="16"/>
  <c r="N3566" i="16"/>
  <c r="T3569" i="16"/>
  <c r="O3569" i="16"/>
  <c r="E3569" i="16"/>
  <c r="N3569" i="16"/>
  <c r="L3569" i="16"/>
  <c r="K3572" i="16"/>
  <c r="J3572" i="16"/>
  <c r="H3583" i="16"/>
  <c r="G3583" i="16"/>
  <c r="F3583" i="16"/>
  <c r="T3584" i="16"/>
  <c r="N3584" i="16"/>
  <c r="E3584" i="16"/>
  <c r="M3584" i="16"/>
  <c r="K3584" i="16"/>
  <c r="P3590" i="16"/>
  <c r="O3596" i="16"/>
  <c r="G3596" i="16"/>
  <c r="J3604" i="16"/>
  <c r="O3604" i="16"/>
  <c r="L3604" i="16"/>
  <c r="P3605" i="16"/>
  <c r="J3605" i="16"/>
  <c r="T3610" i="16"/>
  <c r="I3610" i="16"/>
  <c r="O3615" i="16"/>
  <c r="N3615" i="16"/>
  <c r="T3624" i="16"/>
  <c r="M3624" i="16"/>
  <c r="L3624" i="16"/>
  <c r="J3624" i="16"/>
  <c r="T3649" i="16"/>
  <c r="G3649" i="16"/>
  <c r="F3649" i="16"/>
  <c r="M3649" i="16"/>
  <c r="N3679" i="16"/>
  <c r="M3679" i="16"/>
  <c r="J3699" i="16"/>
  <c r="E3699" i="16"/>
  <c r="T3699" i="16"/>
  <c r="T3712" i="16"/>
  <c r="L3712" i="16"/>
  <c r="K3712" i="16"/>
  <c r="J3712" i="16"/>
  <c r="J3714" i="16"/>
  <c r="L3714" i="16"/>
  <c r="F3714" i="16"/>
  <c r="K3723" i="16"/>
  <c r="J3723" i="16"/>
  <c r="I3723" i="16"/>
  <c r="O3750" i="16"/>
  <c r="J3755" i="16"/>
  <c r="M3755" i="16"/>
  <c r="L3755" i="16"/>
  <c r="I3756" i="16"/>
  <c r="H3756" i="16"/>
  <c r="T3771" i="16"/>
  <c r="I3773" i="16"/>
  <c r="T3773" i="16"/>
  <c r="O3773" i="16"/>
  <c r="T3809" i="16"/>
  <c r="O3809" i="16"/>
  <c r="E3809" i="16"/>
  <c r="M3809" i="16"/>
  <c r="J3809" i="16"/>
  <c r="G3809" i="16"/>
  <c r="T3817" i="16"/>
  <c r="L3817" i="16"/>
  <c r="J3817" i="16"/>
  <c r="O3817" i="16"/>
  <c r="N3817" i="16"/>
  <c r="M3817" i="16"/>
  <c r="T3833" i="16"/>
  <c r="N3833" i="16"/>
  <c r="L3833" i="16"/>
  <c r="F3833" i="16"/>
  <c r="E3833" i="16"/>
  <c r="O3833" i="16"/>
  <c r="N3858" i="16"/>
  <c r="J3868" i="16"/>
  <c r="T3868" i="16"/>
  <c r="P3868" i="16"/>
  <c r="H3879" i="16"/>
  <c r="O3879" i="16"/>
  <c r="M3879" i="16"/>
  <c r="E3879" i="16"/>
  <c r="T3880" i="16"/>
  <c r="P3880" i="16"/>
  <c r="G3880" i="16"/>
  <c r="N3880" i="16"/>
  <c r="E3880" i="16"/>
  <c r="O3880" i="16"/>
  <c r="L3880" i="16"/>
  <c r="N3890" i="16"/>
  <c r="L3890" i="16"/>
  <c r="M3890" i="16"/>
  <c r="T3905" i="16"/>
  <c r="J3905" i="16"/>
  <c r="F3905" i="16"/>
  <c r="E3905" i="16"/>
  <c r="N3905" i="16"/>
  <c r="I3909" i="16"/>
  <c r="N3909" i="16"/>
  <c r="G3909" i="16"/>
  <c r="T3909" i="16"/>
  <c r="T3937" i="16"/>
  <c r="O3937" i="16"/>
  <c r="E3937" i="16"/>
  <c r="M3937" i="16"/>
  <c r="N3937" i="16"/>
  <c r="L3937" i="16"/>
  <c r="J3952" i="16"/>
  <c r="E3952" i="16"/>
  <c r="N3952" i="16"/>
  <c r="I3952" i="16"/>
  <c r="I3961" i="16"/>
  <c r="G3961" i="16"/>
  <c r="H3961" i="16"/>
  <c r="O3982" i="16"/>
  <c r="L3982" i="16"/>
  <c r="I3982" i="16"/>
  <c r="H3982" i="16"/>
  <c r="P3982" i="16"/>
  <c r="T4011" i="16"/>
  <c r="M4011" i="16"/>
  <c r="K4011" i="16"/>
  <c r="G4011" i="16"/>
  <c r="F4011" i="16"/>
  <c r="N4011" i="16"/>
  <c r="N4017" i="16"/>
  <c r="M4017" i="16"/>
  <c r="J4017" i="16"/>
  <c r="K4039" i="16"/>
  <c r="J4039" i="16"/>
  <c r="I4039" i="16"/>
  <c r="I4050" i="16"/>
  <c r="T4050" i="16"/>
  <c r="F4050" i="16"/>
  <c r="E4050" i="16"/>
  <c r="N4050" i="16"/>
  <c r="H4064" i="16"/>
  <c r="G4064" i="16"/>
  <c r="L4067" i="16"/>
  <c r="I4067" i="16"/>
  <c r="K4067" i="16"/>
  <c r="H4067" i="16"/>
  <c r="T4067" i="16"/>
  <c r="T4081" i="16"/>
  <c r="O4081" i="16"/>
  <c r="F4081" i="16"/>
  <c r="M4081" i="16"/>
  <c r="P4081" i="16"/>
  <c r="N4081" i="16"/>
  <c r="K4081" i="16"/>
  <c r="T4115" i="16"/>
  <c r="F4115" i="16"/>
  <c r="M4115" i="16"/>
  <c r="L4115" i="16"/>
  <c r="G4122" i="16"/>
  <c r="T4122" i="16"/>
  <c r="L4122" i="16"/>
  <c r="J4122" i="16"/>
  <c r="K4123" i="16"/>
  <c r="I4123" i="16"/>
  <c r="F4123" i="16"/>
  <c r="J4179" i="16"/>
  <c r="T4179" i="16"/>
  <c r="H4179" i="16"/>
  <c r="F4179" i="16"/>
  <c r="N4205" i="16"/>
  <c r="J4205" i="16"/>
  <c r="K4205" i="16"/>
  <c r="H4293" i="16"/>
  <c r="F4293" i="16"/>
  <c r="I4293" i="16"/>
  <c r="G4293" i="16"/>
  <c r="L4325" i="16"/>
  <c r="T4325" i="16"/>
  <c r="F4325" i="16"/>
  <c r="J4332" i="16"/>
  <c r="H4332" i="16"/>
  <c r="G4332" i="16"/>
  <c r="I4349" i="16"/>
  <c r="G4349" i="16"/>
  <c r="L4349" i="16"/>
  <c r="J4349" i="16"/>
  <c r="H4363" i="16"/>
  <c r="J4363" i="16"/>
  <c r="I4363" i="16"/>
  <c r="I4391" i="16"/>
  <c r="E4391" i="16"/>
  <c r="H4391" i="16"/>
  <c r="F4391" i="16"/>
  <c r="J4427" i="16"/>
  <c r="F4427" i="16"/>
  <c r="J4453" i="16"/>
  <c r="F4453" i="16"/>
  <c r="L4453" i="16"/>
  <c r="T4459" i="16"/>
  <c r="F4459" i="16"/>
  <c r="P4459" i="16"/>
  <c r="E4459" i="16"/>
  <c r="N4459" i="16"/>
  <c r="L4459" i="16"/>
  <c r="K4459" i="16"/>
  <c r="I4459" i="16"/>
  <c r="J4493" i="16"/>
  <c r="G4493" i="16"/>
  <c r="F4493" i="16"/>
  <c r="I4493" i="16"/>
  <c r="L4493" i="16"/>
  <c r="K4525" i="16"/>
  <c r="P4525" i="16"/>
  <c r="J4525" i="16"/>
  <c r="F4525" i="16"/>
  <c r="I4532" i="16"/>
  <c r="G4532" i="16"/>
  <c r="J4532" i="16"/>
  <c r="I4559" i="16"/>
  <c r="G4559" i="16"/>
  <c r="I4565" i="16"/>
  <c r="T4565" i="16"/>
  <c r="P4565" i="16"/>
  <c r="L4565" i="16"/>
  <c r="O4565" i="16"/>
  <c r="K4565" i="16"/>
  <c r="L4567" i="16"/>
  <c r="H4567" i="16"/>
  <c r="I4567" i="16"/>
  <c r="I4589" i="16"/>
  <c r="O4589" i="16"/>
  <c r="K4589" i="16"/>
  <c r="G4589" i="16"/>
  <c r="T4589" i="16"/>
  <c r="P4589" i="16"/>
  <c r="K4595" i="16"/>
  <c r="I4595" i="16"/>
  <c r="I4621" i="16"/>
  <c r="F4621" i="16"/>
  <c r="P4621" i="16"/>
  <c r="N4621" i="16"/>
  <c r="K4621" i="16"/>
  <c r="G4621" i="16"/>
  <c r="T4643" i="16"/>
  <c r="L4643" i="16"/>
  <c r="J4643" i="16"/>
  <c r="K4643" i="16"/>
  <c r="L4646" i="16"/>
  <c r="K4646" i="16"/>
  <c r="J4646" i="16"/>
  <c r="E4646" i="16"/>
  <c r="F4646" i="16"/>
  <c r="M4658" i="16"/>
  <c r="L4658" i="16"/>
  <c r="O4697" i="16"/>
  <c r="I4749" i="16"/>
  <c r="G4749" i="16"/>
  <c r="F4749" i="16"/>
  <c r="O4749" i="16"/>
  <c r="P4749" i="16"/>
  <c r="N4749" i="16"/>
  <c r="K4751" i="16"/>
  <c r="F4751" i="16"/>
  <c r="P4751" i="16"/>
  <c r="E4751" i="16"/>
  <c r="J4751" i="16"/>
  <c r="L4751" i="16"/>
  <c r="G4751" i="16"/>
  <c r="J4782" i="16"/>
  <c r="I4782" i="16"/>
  <c r="P4782" i="16"/>
  <c r="T4789" i="16"/>
  <c r="L4814" i="16"/>
  <c r="J4814" i="16"/>
  <c r="G4814" i="16"/>
  <c r="F4814" i="16"/>
  <c r="O4814" i="16"/>
  <c r="M4826" i="16"/>
  <c r="N4826" i="16"/>
  <c r="L4838" i="16"/>
  <c r="F4838" i="16"/>
  <c r="E4838" i="16"/>
  <c r="M4838" i="16"/>
  <c r="J4838" i="16"/>
  <c r="O4838" i="16"/>
  <c r="N4838" i="16"/>
  <c r="E4864" i="16"/>
  <c r="K4864" i="16"/>
  <c r="L4864" i="16"/>
  <c r="I4864" i="16"/>
  <c r="I4883" i="16"/>
  <c r="F4883" i="16"/>
  <c r="T4889" i="16"/>
  <c r="P4889" i="16"/>
  <c r="G4889" i="16"/>
  <c r="O4889" i="16"/>
  <c r="F4889" i="16"/>
  <c r="E4889" i="16"/>
  <c r="N4889" i="16"/>
  <c r="M4889" i="16"/>
  <c r="K4898" i="16"/>
  <c r="I4898" i="16"/>
  <c r="G4898" i="16"/>
  <c r="L4911" i="16"/>
  <c r="G4911" i="16"/>
  <c r="P4911" i="16"/>
  <c r="I4917" i="16"/>
  <c r="O4917" i="16"/>
  <c r="N4917" i="16"/>
  <c r="P4917" i="16"/>
  <c r="K4917" i="16"/>
  <c r="T4917" i="16"/>
  <c r="T4938" i="16"/>
  <c r="L4938" i="16"/>
  <c r="I4946" i="16"/>
  <c r="G4946" i="16"/>
  <c r="L4946" i="16"/>
  <c r="F4946" i="16"/>
  <c r="E4946" i="16"/>
  <c r="T4946" i="16"/>
  <c r="P5051" i="16"/>
  <c r="M5051" i="16"/>
  <c r="J5068" i="16"/>
  <c r="I5068" i="16"/>
  <c r="H5068" i="16"/>
  <c r="G5068" i="16"/>
  <c r="L5068" i="16"/>
  <c r="H5087" i="16"/>
  <c r="E5087" i="16"/>
  <c r="P5087" i="16"/>
  <c r="L5087" i="16"/>
  <c r="F5087" i="16"/>
  <c r="O5087" i="16"/>
  <c r="M5087" i="16"/>
  <c r="N5087" i="16"/>
  <c r="M5155" i="16"/>
  <c r="L5155" i="16"/>
  <c r="K5155" i="16"/>
  <c r="T5155" i="16"/>
  <c r="I5172" i="16"/>
  <c r="H5172" i="16"/>
  <c r="G5172" i="16"/>
  <c r="L5172" i="16"/>
  <c r="J5172" i="16"/>
  <c r="P5172" i="16"/>
  <c r="T5329" i="16"/>
  <c r="N5329" i="16"/>
  <c r="E5329" i="16"/>
  <c r="M5329" i="16"/>
  <c r="L5329" i="16"/>
  <c r="J5329" i="16"/>
  <c r="H5329" i="16"/>
  <c r="O5329" i="16"/>
  <c r="K5329" i="16"/>
  <c r="G5329" i="16"/>
  <c r="T5369" i="16"/>
  <c r="P5369" i="16"/>
  <c r="G5369" i="16"/>
  <c r="O5369" i="16"/>
  <c r="F5369" i="16"/>
  <c r="N5369" i="16"/>
  <c r="E5369" i="16"/>
  <c r="K5369" i="16"/>
  <c r="J5369" i="16"/>
  <c r="M5369" i="16"/>
  <c r="L5369" i="16"/>
  <c r="T5401" i="16"/>
  <c r="H5401" i="16"/>
  <c r="P5401" i="16"/>
  <c r="G5401" i="16"/>
  <c r="O5401" i="16"/>
  <c r="F5401" i="16"/>
  <c r="L5401" i="16"/>
  <c r="K5401" i="16"/>
  <c r="J5401" i="16"/>
  <c r="E5401" i="16"/>
  <c r="K5639" i="16"/>
  <c r="L5639" i="16"/>
  <c r="F5639" i="16"/>
  <c r="E5639" i="16"/>
  <c r="P5639" i="16"/>
  <c r="H5639" i="16"/>
  <c r="G5639" i="16"/>
  <c r="O5639" i="16"/>
  <c r="N5639" i="16"/>
  <c r="M5639" i="16"/>
  <c r="G5718" i="16"/>
  <c r="T5718" i="16"/>
  <c r="P5718" i="16"/>
  <c r="O5718" i="16"/>
  <c r="F5718" i="16"/>
  <c r="E5718" i="16"/>
  <c r="M5718" i="16"/>
  <c r="H5718" i="16"/>
  <c r="T5850" i="16"/>
  <c r="E5850" i="16"/>
  <c r="T5928" i="16"/>
  <c r="I5928" i="16"/>
  <c r="H5928" i="16"/>
  <c r="E5928" i="16"/>
  <c r="P5928" i="16"/>
  <c r="J5928" i="16"/>
  <c r="V19" i="17"/>
  <c r="U19" i="17"/>
  <c r="AA19" i="17"/>
  <c r="T19" i="17"/>
  <c r="L246" i="17"/>
  <c r="T256" i="17"/>
  <c r="J1728" i="16"/>
  <c r="M1742" i="16"/>
  <c r="J1752" i="16"/>
  <c r="M1805" i="16"/>
  <c r="J1824" i="16"/>
  <c r="K1832" i="16"/>
  <c r="J1864" i="16"/>
  <c r="M1869" i="16"/>
  <c r="K1872" i="16"/>
  <c r="J1896" i="16"/>
  <c r="M1933" i="16"/>
  <c r="K1936" i="16"/>
  <c r="P1974" i="16"/>
  <c r="K1983" i="16"/>
  <c r="M1998" i="16"/>
  <c r="K2008" i="16"/>
  <c r="J2016" i="16"/>
  <c r="M2022" i="16"/>
  <c r="J2024" i="16"/>
  <c r="K2032" i="16"/>
  <c r="J2040" i="16"/>
  <c r="J2046" i="16"/>
  <c r="L2047" i="16"/>
  <c r="N2063" i="16"/>
  <c r="M2085" i="16"/>
  <c r="K2096" i="16"/>
  <c r="J2109" i="16"/>
  <c r="L2110" i="16"/>
  <c r="J2128" i="16"/>
  <c r="J2174" i="16"/>
  <c r="L2175" i="16"/>
  <c r="J2184" i="16"/>
  <c r="K2192" i="16"/>
  <c r="M2213" i="16"/>
  <c r="M2215" i="16"/>
  <c r="J2232" i="16"/>
  <c r="J2240" i="16"/>
  <c r="T2243" i="16"/>
  <c r="K2248" i="16"/>
  <c r="M2253" i="16"/>
  <c r="K2256" i="16"/>
  <c r="T2270" i="16"/>
  <c r="K2312" i="16"/>
  <c r="N2319" i="16"/>
  <c r="M2383" i="16"/>
  <c r="J2392" i="16"/>
  <c r="J2429" i="16"/>
  <c r="L2430" i="16"/>
  <c r="J2472" i="16"/>
  <c r="N2486" i="16"/>
  <c r="J2488" i="16"/>
  <c r="K2528" i="16"/>
  <c r="K2546" i="16"/>
  <c r="J2546" i="16"/>
  <c r="M2552" i="16"/>
  <c r="T2577" i="16"/>
  <c r="J2577" i="16"/>
  <c r="G2577" i="16"/>
  <c r="M2577" i="16"/>
  <c r="G2580" i="16"/>
  <c r="T2580" i="16"/>
  <c r="O2580" i="16"/>
  <c r="J2586" i="16"/>
  <c r="F2586" i="16"/>
  <c r="E2586" i="16"/>
  <c r="N2593" i="16"/>
  <c r="O2599" i="16"/>
  <c r="F2615" i="16"/>
  <c r="E2615" i="16"/>
  <c r="P2615" i="16"/>
  <c r="T2617" i="16"/>
  <c r="M2617" i="16"/>
  <c r="L2617" i="16"/>
  <c r="K2617" i="16"/>
  <c r="T2625" i="16"/>
  <c r="F2625" i="16"/>
  <c r="O2625" i="16"/>
  <c r="E2625" i="16"/>
  <c r="M2625" i="16"/>
  <c r="P2628" i="16"/>
  <c r="K2628" i="16"/>
  <c r="T2640" i="16"/>
  <c r="H2640" i="16"/>
  <c r="P2640" i="16"/>
  <c r="G2640" i="16"/>
  <c r="L2640" i="16"/>
  <c r="P2671" i="16"/>
  <c r="O2671" i="16"/>
  <c r="M2671" i="16"/>
  <c r="T2688" i="16"/>
  <c r="M2688" i="16"/>
  <c r="L2688" i="16"/>
  <c r="J2688" i="16"/>
  <c r="M2697" i="16"/>
  <c r="P2716" i="16"/>
  <c r="N2726" i="16"/>
  <c r="M2726" i="16"/>
  <c r="L2728" i="16"/>
  <c r="H2735" i="16"/>
  <c r="E2735" i="16"/>
  <c r="T2735" i="16"/>
  <c r="O2735" i="16"/>
  <c r="O2743" i="16"/>
  <c r="N2745" i="16"/>
  <c r="I2749" i="16"/>
  <c r="K2749" i="16"/>
  <c r="G2749" i="16"/>
  <c r="T2749" i="16"/>
  <c r="T2760" i="16"/>
  <c r="N2760" i="16"/>
  <c r="E2760" i="16"/>
  <c r="M2760" i="16"/>
  <c r="K2760" i="16"/>
  <c r="N2769" i="16"/>
  <c r="T2773" i="16"/>
  <c r="T2792" i="16"/>
  <c r="H2792" i="16"/>
  <c r="P2792" i="16"/>
  <c r="G2792" i="16"/>
  <c r="L2792" i="16"/>
  <c r="L2808" i="16"/>
  <c r="K2820" i="16"/>
  <c r="J2820" i="16"/>
  <c r="T2834" i="16"/>
  <c r="M2840" i="16"/>
  <c r="M2856" i="16"/>
  <c r="G2878" i="16"/>
  <c r="F2878" i="16"/>
  <c r="P2878" i="16"/>
  <c r="L2881" i="16"/>
  <c r="M2896" i="16"/>
  <c r="N2898" i="16"/>
  <c r="J2902" i="16"/>
  <c r="I2902" i="16"/>
  <c r="T2905" i="16"/>
  <c r="J2905" i="16"/>
  <c r="G2905" i="16"/>
  <c r="M2905" i="16"/>
  <c r="G2919" i="16"/>
  <c r="T2919" i="16"/>
  <c r="F2919" i="16"/>
  <c r="N2919" i="16"/>
  <c r="H2934" i="16"/>
  <c r="G2934" i="16"/>
  <c r="F2934" i="16"/>
  <c r="P2934" i="16"/>
  <c r="T2937" i="16"/>
  <c r="G2937" i="16"/>
  <c r="F2937" i="16"/>
  <c r="M2937" i="16"/>
  <c r="O2941" i="16"/>
  <c r="N2941" i="16"/>
  <c r="K2941" i="16"/>
  <c r="M2945" i="16"/>
  <c r="T2957" i="16"/>
  <c r="K2978" i="16"/>
  <c r="J2978" i="16"/>
  <c r="H2983" i="16"/>
  <c r="G2983" i="16"/>
  <c r="N2983" i="16"/>
  <c r="H2991" i="16"/>
  <c r="T2991" i="16"/>
  <c r="P2991" i="16"/>
  <c r="N2991" i="16"/>
  <c r="N3001" i="16"/>
  <c r="P3005" i="16"/>
  <c r="T3017" i="16"/>
  <c r="N3017" i="16"/>
  <c r="M3017" i="16"/>
  <c r="K3017" i="16"/>
  <c r="P3022" i="16"/>
  <c r="F3026" i="16"/>
  <c r="E3026" i="16"/>
  <c r="T3026" i="16"/>
  <c r="I3046" i="16"/>
  <c r="E3046" i="16"/>
  <c r="N3047" i="16"/>
  <c r="T3057" i="16"/>
  <c r="M3057" i="16"/>
  <c r="L3057" i="16"/>
  <c r="K3057" i="16"/>
  <c r="N3065" i="16"/>
  <c r="M3072" i="16"/>
  <c r="J3075" i="16"/>
  <c r="H3075" i="16"/>
  <c r="E3075" i="16"/>
  <c r="T3089" i="16"/>
  <c r="G3089" i="16"/>
  <c r="F3089" i="16"/>
  <c r="M3089" i="16"/>
  <c r="M3099" i="16"/>
  <c r="L3099" i="16"/>
  <c r="M3112" i="16"/>
  <c r="T3126" i="16"/>
  <c r="N3129" i="16"/>
  <c r="P3141" i="16"/>
  <c r="M3144" i="16"/>
  <c r="J3166" i="16"/>
  <c r="I3166" i="16"/>
  <c r="N3169" i="16"/>
  <c r="I3180" i="16"/>
  <c r="H3180" i="16"/>
  <c r="T3183" i="16"/>
  <c r="N3186" i="16"/>
  <c r="L3186" i="16"/>
  <c r="M3194" i="16"/>
  <c r="K3194" i="16"/>
  <c r="E3194" i="16"/>
  <c r="T3201" i="16"/>
  <c r="N3201" i="16"/>
  <c r="M3201" i="16"/>
  <c r="K3201" i="16"/>
  <c r="M3225" i="16"/>
  <c r="L3227" i="16"/>
  <c r="K3227" i="16"/>
  <c r="H3247" i="16"/>
  <c r="E3247" i="16"/>
  <c r="T3247" i="16"/>
  <c r="O3247" i="16"/>
  <c r="K3258" i="16"/>
  <c r="E3258" i="16"/>
  <c r="T3262" i="16"/>
  <c r="J3266" i="16"/>
  <c r="I3266" i="16"/>
  <c r="N3266" i="16"/>
  <c r="T3272" i="16"/>
  <c r="N3272" i="16"/>
  <c r="E3272" i="16"/>
  <c r="M3272" i="16"/>
  <c r="K3272" i="16"/>
  <c r="T3284" i="16"/>
  <c r="O3310" i="16"/>
  <c r="T3313" i="16"/>
  <c r="G3313" i="16"/>
  <c r="F3313" i="16"/>
  <c r="M3313" i="16"/>
  <c r="T3320" i="16"/>
  <c r="P3320" i="16"/>
  <c r="G3320" i="16"/>
  <c r="O3320" i="16"/>
  <c r="F3320" i="16"/>
  <c r="L3320" i="16"/>
  <c r="P3326" i="16"/>
  <c r="T3328" i="16"/>
  <c r="H3328" i="16"/>
  <c r="P3328" i="16"/>
  <c r="G3328" i="16"/>
  <c r="L3328" i="16"/>
  <c r="M3330" i="16"/>
  <c r="T3337" i="16"/>
  <c r="J3337" i="16"/>
  <c r="G3337" i="16"/>
  <c r="M3337" i="16"/>
  <c r="M3345" i="16"/>
  <c r="T3348" i="16"/>
  <c r="O3367" i="16"/>
  <c r="T3375" i="16"/>
  <c r="T3389" i="16"/>
  <c r="F3389" i="16"/>
  <c r="P3389" i="16"/>
  <c r="N3389" i="16"/>
  <c r="O3396" i="16"/>
  <c r="K3396" i="16"/>
  <c r="J3396" i="16"/>
  <c r="N3401" i="16"/>
  <c r="I3406" i="16"/>
  <c r="G3406" i="16"/>
  <c r="F3406" i="16"/>
  <c r="M3415" i="16"/>
  <c r="L3415" i="16"/>
  <c r="T3435" i="16"/>
  <c r="H3439" i="16"/>
  <c r="G3439" i="16"/>
  <c r="F3439" i="16"/>
  <c r="P3439" i="16"/>
  <c r="L3441" i="16"/>
  <c r="P3453" i="16"/>
  <c r="T3465" i="16"/>
  <c r="F3465" i="16"/>
  <c r="O3465" i="16"/>
  <c r="E3465" i="16"/>
  <c r="M3465" i="16"/>
  <c r="T3476" i="16"/>
  <c r="K3496" i="16"/>
  <c r="I3525" i="16"/>
  <c r="G3525" i="16"/>
  <c r="F3525" i="16"/>
  <c r="T3525" i="16"/>
  <c r="T3528" i="16"/>
  <c r="H3528" i="16"/>
  <c r="P3528" i="16"/>
  <c r="G3528" i="16"/>
  <c r="L3528" i="16"/>
  <c r="T3530" i="16"/>
  <c r="M3543" i="16"/>
  <c r="L3543" i="16"/>
  <c r="N3561" i="16"/>
  <c r="H3567" i="16"/>
  <c r="M3567" i="16"/>
  <c r="G3567" i="16"/>
  <c r="P3567" i="16"/>
  <c r="M3569" i="16"/>
  <c r="L3584" i="16"/>
  <c r="T3590" i="16"/>
  <c r="T3592" i="16"/>
  <c r="L3592" i="16"/>
  <c r="K3592" i="16"/>
  <c r="J3592" i="16"/>
  <c r="J3594" i="16"/>
  <c r="I3594" i="16"/>
  <c r="F3594" i="16"/>
  <c r="T3601" i="16"/>
  <c r="F3601" i="16"/>
  <c r="O3601" i="16"/>
  <c r="E3601" i="16"/>
  <c r="M3601" i="16"/>
  <c r="K3621" i="16"/>
  <c r="J3621" i="16"/>
  <c r="H3654" i="16"/>
  <c r="E3654" i="16"/>
  <c r="L3667" i="16"/>
  <c r="K3667" i="16"/>
  <c r="T3672" i="16"/>
  <c r="P3672" i="16"/>
  <c r="G3672" i="16"/>
  <c r="O3672" i="16"/>
  <c r="F3672" i="16"/>
  <c r="L3672" i="16"/>
  <c r="T3689" i="16"/>
  <c r="O3689" i="16"/>
  <c r="E3689" i="16"/>
  <c r="N3689" i="16"/>
  <c r="L3689" i="16"/>
  <c r="T3696" i="16"/>
  <c r="H3696" i="16"/>
  <c r="P3696" i="16"/>
  <c r="G3696" i="16"/>
  <c r="L3696" i="16"/>
  <c r="I3707" i="16"/>
  <c r="H3707" i="16"/>
  <c r="T3707" i="16"/>
  <c r="H3709" i="16"/>
  <c r="F3709" i="16"/>
  <c r="T3709" i="16"/>
  <c r="O3709" i="16"/>
  <c r="I3735" i="16"/>
  <c r="H3735" i="16"/>
  <c r="H3748" i="16"/>
  <c r="G3748" i="16"/>
  <c r="H3751" i="16"/>
  <c r="P3751" i="16"/>
  <c r="N3751" i="16"/>
  <c r="K3779" i="16"/>
  <c r="J3779" i="16"/>
  <c r="I3779" i="16"/>
  <c r="T3784" i="16"/>
  <c r="P3784" i="16"/>
  <c r="G3784" i="16"/>
  <c r="O3784" i="16"/>
  <c r="F3784" i="16"/>
  <c r="L3784" i="16"/>
  <c r="H3815" i="16"/>
  <c r="E3815" i="16"/>
  <c r="O3815" i="16"/>
  <c r="P3815" i="16"/>
  <c r="N3815" i="16"/>
  <c r="J3827" i="16"/>
  <c r="E3827" i="16"/>
  <c r="P3827" i="16"/>
  <c r="M3827" i="16"/>
  <c r="L3834" i="16"/>
  <c r="E3834" i="16"/>
  <c r="T3858" i="16"/>
  <c r="J3860" i="16"/>
  <c r="G3860" i="16"/>
  <c r="T3860" i="16"/>
  <c r="J3884" i="16"/>
  <c r="T3884" i="16"/>
  <c r="H3884" i="16"/>
  <c r="G3884" i="16"/>
  <c r="T3896" i="16"/>
  <c r="N3896" i="16"/>
  <c r="E3896" i="16"/>
  <c r="L3896" i="16"/>
  <c r="G3896" i="16"/>
  <c r="F3896" i="16"/>
  <c r="O3896" i="16"/>
  <c r="I3901" i="16"/>
  <c r="K3901" i="16"/>
  <c r="G3901" i="16"/>
  <c r="T3901" i="16"/>
  <c r="P3901" i="16"/>
  <c r="P3910" i="16"/>
  <c r="O3910" i="16"/>
  <c r="I3942" i="16"/>
  <c r="K3942" i="16"/>
  <c r="G3942" i="16"/>
  <c r="M3942" i="16"/>
  <c r="L3942" i="16"/>
  <c r="T3942" i="16"/>
  <c r="T3955" i="16"/>
  <c r="M3955" i="16"/>
  <c r="K3955" i="16"/>
  <c r="H3955" i="16"/>
  <c r="G3955" i="16"/>
  <c r="N3955" i="16"/>
  <c r="H3984" i="16"/>
  <c r="F3984" i="16"/>
  <c r="E3984" i="16"/>
  <c r="T3984" i="16"/>
  <c r="L3992" i="16"/>
  <c r="G3992" i="16"/>
  <c r="P3992" i="16"/>
  <c r="E3992" i="16"/>
  <c r="K3992" i="16"/>
  <c r="J3992" i="16"/>
  <c r="K3993" i="16"/>
  <c r="M3993" i="16"/>
  <c r="J3993" i="16"/>
  <c r="E3993" i="16"/>
  <c r="O3993" i="16"/>
  <c r="J4001" i="16"/>
  <c r="L4001" i="16"/>
  <c r="L4004" i="16"/>
  <c r="J4004" i="16"/>
  <c r="I4004" i="16"/>
  <c r="F4008" i="16"/>
  <c r="O4008" i="16"/>
  <c r="H4008" i="16"/>
  <c r="F4024" i="16"/>
  <c r="G4024" i="16"/>
  <c r="J4055" i="16"/>
  <c r="M4055" i="16"/>
  <c r="H4055" i="16"/>
  <c r="I4061" i="16"/>
  <c r="T4061" i="16"/>
  <c r="G4061" i="16"/>
  <c r="K4061" i="16"/>
  <c r="H4061" i="16"/>
  <c r="P4061" i="16"/>
  <c r="T4070" i="16"/>
  <c r="E4070" i="16"/>
  <c r="N4070" i="16"/>
  <c r="F4070" i="16"/>
  <c r="O4070" i="16"/>
  <c r="T4075" i="16"/>
  <c r="F4075" i="16"/>
  <c r="N4075" i="16"/>
  <c r="K4075" i="16"/>
  <c r="I4075" i="16"/>
  <c r="P4075" i="16"/>
  <c r="J4088" i="16"/>
  <c r="O4088" i="16"/>
  <c r="E4088" i="16"/>
  <c r="M4088" i="16"/>
  <c r="T4088" i="16"/>
  <c r="P4088" i="16"/>
  <c r="L4088" i="16"/>
  <c r="K4092" i="16"/>
  <c r="G4092" i="16"/>
  <c r="L4092" i="16"/>
  <c r="T4113" i="16"/>
  <c r="K4113" i="16"/>
  <c r="H4113" i="16"/>
  <c r="G4113" i="16"/>
  <c r="F4113" i="16"/>
  <c r="N4113" i="16"/>
  <c r="T4137" i="16"/>
  <c r="N4137" i="16"/>
  <c r="E4137" i="16"/>
  <c r="L4137" i="16"/>
  <c r="F4137" i="16"/>
  <c r="P4137" i="16"/>
  <c r="M4137" i="16"/>
  <c r="T4153" i="16"/>
  <c r="P4153" i="16"/>
  <c r="G4153" i="16"/>
  <c r="N4153" i="16"/>
  <c r="E4153" i="16"/>
  <c r="F4153" i="16"/>
  <c r="M4153" i="16"/>
  <c r="T4161" i="16"/>
  <c r="N4161" i="16"/>
  <c r="E4161" i="16"/>
  <c r="L4161" i="16"/>
  <c r="P4161" i="16"/>
  <c r="O4161" i="16"/>
  <c r="K4161" i="16"/>
  <c r="I4165" i="16"/>
  <c r="P4165" i="16"/>
  <c r="G4165" i="16"/>
  <c r="T4165" i="16"/>
  <c r="O4165" i="16"/>
  <c r="T4169" i="16"/>
  <c r="P4169" i="16"/>
  <c r="G4169" i="16"/>
  <c r="N4169" i="16"/>
  <c r="E4169" i="16"/>
  <c r="F4169" i="16"/>
  <c r="M4169" i="16"/>
  <c r="T4217" i="16"/>
  <c r="O4217" i="16"/>
  <c r="F4217" i="16"/>
  <c r="M4217" i="16"/>
  <c r="E4217" i="16"/>
  <c r="P4217" i="16"/>
  <c r="L4217" i="16"/>
  <c r="I4234" i="16"/>
  <c r="T4234" i="16"/>
  <c r="N4234" i="16"/>
  <c r="G4234" i="16"/>
  <c r="F4234" i="16"/>
  <c r="J4235" i="16"/>
  <c r="T4235" i="16"/>
  <c r="H4235" i="16"/>
  <c r="F4235" i="16"/>
  <c r="T4257" i="16"/>
  <c r="N4257" i="16"/>
  <c r="E4257" i="16"/>
  <c r="L4257" i="16"/>
  <c r="P4257" i="16"/>
  <c r="O4257" i="16"/>
  <c r="K4257" i="16"/>
  <c r="J4266" i="16"/>
  <c r="F4266" i="16"/>
  <c r="T4266" i="16"/>
  <c r="L4266" i="16"/>
  <c r="G4266" i="16"/>
  <c r="L4267" i="16"/>
  <c r="I4267" i="16"/>
  <c r="E4267" i="16"/>
  <c r="T4267" i="16"/>
  <c r="N4267" i="16"/>
  <c r="T4273" i="16"/>
  <c r="M4273" i="16"/>
  <c r="K4273" i="16"/>
  <c r="F4273" i="16"/>
  <c r="P4273" i="16"/>
  <c r="E4273" i="16"/>
  <c r="N4273" i="16"/>
  <c r="P4276" i="16"/>
  <c r="J4276" i="16"/>
  <c r="G4285" i="16"/>
  <c r="P4285" i="16"/>
  <c r="L4285" i="16"/>
  <c r="J4285" i="16"/>
  <c r="I4288" i="16"/>
  <c r="L4288" i="16"/>
  <c r="G4288" i="16"/>
  <c r="H4288" i="16"/>
  <c r="E4288" i="16"/>
  <c r="T4289" i="16"/>
  <c r="M4289" i="16"/>
  <c r="K4289" i="16"/>
  <c r="O4289" i="16"/>
  <c r="N4289" i="16"/>
  <c r="J4289" i="16"/>
  <c r="E4291" i="16"/>
  <c r="L4291" i="16"/>
  <c r="I4298" i="16"/>
  <c r="G4298" i="16"/>
  <c r="E4298" i="16"/>
  <c r="K4298" i="16"/>
  <c r="F4298" i="16"/>
  <c r="F4376" i="16"/>
  <c r="I4376" i="16"/>
  <c r="L4389" i="16"/>
  <c r="T4389" i="16"/>
  <c r="K4389" i="16"/>
  <c r="H4478" i="16"/>
  <c r="G4478" i="16"/>
  <c r="M4496" i="16"/>
  <c r="O4496" i="16"/>
  <c r="M4511" i="16"/>
  <c r="L4511" i="16"/>
  <c r="P4511" i="16"/>
  <c r="I4511" i="16"/>
  <c r="I4538" i="16"/>
  <c r="E4538" i="16"/>
  <c r="G4550" i="16"/>
  <c r="H4550" i="16"/>
  <c r="J4550" i="16"/>
  <c r="I4550" i="16"/>
  <c r="J4607" i="16"/>
  <c r="L4607" i="16"/>
  <c r="I4607" i="16"/>
  <c r="K4623" i="16"/>
  <c r="P4623" i="16"/>
  <c r="E4623" i="16"/>
  <c r="O4623" i="16"/>
  <c r="F4623" i="16"/>
  <c r="N4623" i="16"/>
  <c r="K4656" i="16"/>
  <c r="T4656" i="16"/>
  <c r="P4656" i="16"/>
  <c r="K4663" i="16"/>
  <c r="M4663" i="16"/>
  <c r="L4663" i="16"/>
  <c r="N4663" i="16"/>
  <c r="H4663" i="16"/>
  <c r="E4663" i="16"/>
  <c r="P4663" i="16"/>
  <c r="I4674" i="16"/>
  <c r="O4674" i="16"/>
  <c r="N4674" i="16"/>
  <c r="L4674" i="16"/>
  <c r="F4674" i="16"/>
  <c r="E4674" i="16"/>
  <c r="I4685" i="16"/>
  <c r="P4685" i="16"/>
  <c r="O4685" i="16"/>
  <c r="K4685" i="16"/>
  <c r="G4685" i="16"/>
  <c r="M4690" i="16"/>
  <c r="L4690" i="16"/>
  <c r="T4690" i="16"/>
  <c r="N4690" i="16"/>
  <c r="O4690" i="16"/>
  <c r="K4690" i="16"/>
  <c r="T4713" i="16"/>
  <c r="H4713" i="16"/>
  <c r="P4713" i="16"/>
  <c r="G4713" i="16"/>
  <c r="O4713" i="16"/>
  <c r="M4713" i="16"/>
  <c r="E4713" i="16"/>
  <c r="N4713" i="16"/>
  <c r="I4722" i="16"/>
  <c r="L4722" i="16"/>
  <c r="J4722" i="16"/>
  <c r="T4740" i="16"/>
  <c r="G4740" i="16"/>
  <c r="P4740" i="16"/>
  <c r="E4740" i="16"/>
  <c r="O4740" i="16"/>
  <c r="H4740" i="16"/>
  <c r="O4741" i="16"/>
  <c r="J4741" i="16"/>
  <c r="I4763" i="16"/>
  <c r="F4763" i="16"/>
  <c r="E4763" i="16"/>
  <c r="N4763" i="16"/>
  <c r="L4763" i="16"/>
  <c r="K4763" i="16"/>
  <c r="T4765" i="16"/>
  <c r="G4765" i="16"/>
  <c r="P4765" i="16"/>
  <c r="F4765" i="16"/>
  <c r="I4765" i="16"/>
  <c r="O4765" i="16"/>
  <c r="K4808" i="16"/>
  <c r="I4808" i="16"/>
  <c r="G4808" i="16"/>
  <c r="H4808" i="16"/>
  <c r="I4813" i="16"/>
  <c r="P4813" i="16"/>
  <c r="O4813" i="16"/>
  <c r="K4813" i="16"/>
  <c r="F4813" i="16"/>
  <c r="P4814" i="16"/>
  <c r="T4841" i="16"/>
  <c r="N4841" i="16"/>
  <c r="E4841" i="16"/>
  <c r="M4841" i="16"/>
  <c r="P4841" i="16"/>
  <c r="L4841" i="16"/>
  <c r="J4841" i="16"/>
  <c r="H4841" i="16"/>
  <c r="I4842" i="16"/>
  <c r="F4842" i="16"/>
  <c r="T4842" i="16"/>
  <c r="E4842" i="16"/>
  <c r="M4842" i="16"/>
  <c r="K4842" i="16"/>
  <c r="L4842" i="16"/>
  <c r="G4842" i="16"/>
  <c r="K4859" i="16"/>
  <c r="P4859" i="16"/>
  <c r="I4877" i="16"/>
  <c r="P4877" i="16"/>
  <c r="O4877" i="16"/>
  <c r="L4877" i="16"/>
  <c r="G4877" i="16"/>
  <c r="N4877" i="16"/>
  <c r="L4890" i="16"/>
  <c r="K4890" i="16"/>
  <c r="K4915" i="16"/>
  <c r="J4915" i="16"/>
  <c r="L4918" i="16"/>
  <c r="P4918" i="16"/>
  <c r="F4918" i="16"/>
  <c r="O4918" i="16"/>
  <c r="E4918" i="16"/>
  <c r="J4918" i="16"/>
  <c r="G4918" i="16"/>
  <c r="T4918" i="16"/>
  <c r="H4971" i="16"/>
  <c r="T4971" i="16"/>
  <c r="F4971" i="16"/>
  <c r="P4971" i="16"/>
  <c r="E4971" i="16"/>
  <c r="I4971" i="16"/>
  <c r="L4971" i="16"/>
  <c r="K4971" i="16"/>
  <c r="T5013" i="16"/>
  <c r="L5013" i="16"/>
  <c r="J5015" i="16"/>
  <c r="L5015" i="16"/>
  <c r="J5064" i="16"/>
  <c r="H5064" i="16"/>
  <c r="G5064" i="16"/>
  <c r="P5064" i="16"/>
  <c r="F5064" i="16"/>
  <c r="E5064" i="16"/>
  <c r="O5064" i="16"/>
  <c r="J5080" i="16"/>
  <c r="P5080" i="16"/>
  <c r="F5080" i="16"/>
  <c r="O5080" i="16"/>
  <c r="E5080" i="16"/>
  <c r="N5080" i="16"/>
  <c r="L5080" i="16"/>
  <c r="K5080" i="16"/>
  <c r="M5080" i="16"/>
  <c r="H5080" i="16"/>
  <c r="M5134" i="16"/>
  <c r="O5134" i="16"/>
  <c r="H5151" i="16"/>
  <c r="M5151" i="16"/>
  <c r="L5151" i="16"/>
  <c r="F5151" i="16"/>
  <c r="N5151" i="16"/>
  <c r="O5151" i="16"/>
  <c r="E5151" i="16"/>
  <c r="K5291" i="16"/>
  <c r="E5291" i="16"/>
  <c r="M5291" i="16"/>
  <c r="L5291" i="16"/>
  <c r="T5291" i="16"/>
  <c r="M5315" i="16"/>
  <c r="K5315" i="16"/>
  <c r="E5315" i="16"/>
  <c r="T5315" i="16"/>
  <c r="J5354" i="16"/>
  <c r="I5354" i="16"/>
  <c r="K5354" i="16"/>
  <c r="F5354" i="16"/>
  <c r="H5396" i="16"/>
  <c r="G5396" i="16"/>
  <c r="T5396" i="16"/>
  <c r="I5396" i="16"/>
  <c r="P5396" i="16"/>
  <c r="O5396" i="16"/>
  <c r="L5396" i="16"/>
  <c r="K5411" i="16"/>
  <c r="P5411" i="16"/>
  <c r="M5411" i="16"/>
  <c r="K5429" i="16"/>
  <c r="H5429" i="16"/>
  <c r="J5438" i="16"/>
  <c r="I5438" i="16"/>
  <c r="N5438" i="16"/>
  <c r="T5460" i="16"/>
  <c r="P5460" i="16"/>
  <c r="O5460" i="16"/>
  <c r="I5460" i="16"/>
  <c r="H5460" i="16"/>
  <c r="J5460" i="16"/>
  <c r="G5460" i="16"/>
  <c r="K5499" i="16"/>
  <c r="E5499" i="16"/>
  <c r="M5499" i="16"/>
  <c r="L5499" i="16"/>
  <c r="O5502" i="16"/>
  <c r="N5502" i="16"/>
  <c r="T5515" i="16"/>
  <c r="M5515" i="16"/>
  <c r="L5515" i="16"/>
  <c r="P5515" i="16"/>
  <c r="J5536" i="16"/>
  <c r="N5536" i="16"/>
  <c r="M5536" i="16"/>
  <c r="L5536" i="16"/>
  <c r="E5536" i="16"/>
  <c r="P5536" i="16"/>
  <c r="H5536" i="16"/>
  <c r="G5536" i="16"/>
  <c r="F5536" i="16"/>
  <c r="K5536" i="16"/>
  <c r="K5596" i="16"/>
  <c r="O5596" i="16"/>
  <c r="N5637" i="16"/>
  <c r="I5637" i="16"/>
  <c r="H5637" i="16"/>
  <c r="I5669" i="16"/>
  <c r="T5669" i="16"/>
  <c r="H5669" i="16"/>
  <c r="G5669" i="16"/>
  <c r="F5669" i="16"/>
  <c r="P5669" i="16"/>
  <c r="O5669" i="16"/>
  <c r="T5673" i="16"/>
  <c r="O5673" i="16"/>
  <c r="F5673" i="16"/>
  <c r="G5673" i="16"/>
  <c r="P5673" i="16"/>
  <c r="E5673" i="16"/>
  <c r="N5673" i="16"/>
  <c r="H5673" i="16"/>
  <c r="H5710" i="16"/>
  <c r="E5710" i="16"/>
  <c r="O5710" i="16"/>
  <c r="N5710" i="16"/>
  <c r="G5710" i="16"/>
  <c r="P5710" i="16"/>
  <c r="F5710" i="16"/>
  <c r="T5710" i="16"/>
  <c r="K5839" i="16"/>
  <c r="P5839" i="16"/>
  <c r="E5839" i="16"/>
  <c r="F5839" i="16"/>
  <c r="O5839" i="16"/>
  <c r="H5839" i="16"/>
  <c r="G5839" i="16"/>
  <c r="N5839" i="16"/>
  <c r="M5839" i="16"/>
  <c r="L5839" i="16"/>
  <c r="K5842" i="16"/>
  <c r="J5842" i="16"/>
  <c r="I5842" i="16"/>
  <c r="E5842" i="16"/>
  <c r="T5842" i="16"/>
  <c r="J5977" i="16"/>
  <c r="L5977" i="16"/>
  <c r="K5977" i="16"/>
  <c r="I5977" i="16"/>
  <c r="E5987" i="16"/>
  <c r="T5987" i="16"/>
  <c r="N5987" i="16"/>
  <c r="O5987" i="16"/>
  <c r="H5987" i="16"/>
  <c r="G5987" i="16"/>
  <c r="P5987" i="16"/>
  <c r="F5987" i="16"/>
  <c r="V101" i="17"/>
  <c r="AB101" i="17"/>
  <c r="AA101" i="17"/>
  <c r="AQ246" i="17"/>
  <c r="AC295" i="17"/>
  <c r="AA295" i="17"/>
  <c r="X295" i="17"/>
  <c r="AQ295" i="17"/>
  <c r="O295" i="17"/>
  <c r="AN295" i="17"/>
  <c r="N295" i="17"/>
  <c r="AM295" i="17"/>
  <c r="K295" i="17"/>
  <c r="AE295" i="17"/>
  <c r="AL295" i="17"/>
  <c r="AD295" i="17"/>
  <c r="S295" i="17"/>
  <c r="P295" i="17"/>
  <c r="K2537" i="16"/>
  <c r="J2544" i="16"/>
  <c r="H2568" i="16"/>
  <c r="K2569" i="16"/>
  <c r="J2584" i="16"/>
  <c r="H2600" i="16"/>
  <c r="K2601" i="16"/>
  <c r="J2609" i="16"/>
  <c r="N2614" i="16"/>
  <c r="J2616" i="16"/>
  <c r="H2622" i="16"/>
  <c r="M2626" i="16"/>
  <c r="J2632" i="16"/>
  <c r="P2638" i="16"/>
  <c r="J2641" i="16"/>
  <c r="H2648" i="16"/>
  <c r="K2649" i="16"/>
  <c r="J2660" i="16"/>
  <c r="J2665" i="16"/>
  <c r="J2670" i="16"/>
  <c r="P2677" i="16"/>
  <c r="H2678" i="16"/>
  <c r="J2681" i="16"/>
  <c r="O2719" i="16"/>
  <c r="H2720" i="16"/>
  <c r="K2721" i="16"/>
  <c r="J2724" i="16"/>
  <c r="M2731" i="16"/>
  <c r="K2737" i="16"/>
  <c r="K2753" i="16"/>
  <c r="I2765" i="16"/>
  <c r="J2770" i="16"/>
  <c r="J2793" i="16"/>
  <c r="H2799" i="16"/>
  <c r="H2807" i="16"/>
  <c r="M2810" i="16"/>
  <c r="N2813" i="16"/>
  <c r="M2818" i="16"/>
  <c r="T2823" i="16"/>
  <c r="H2824" i="16"/>
  <c r="K2825" i="16"/>
  <c r="H2832" i="16"/>
  <c r="K2833" i="16"/>
  <c r="J2848" i="16"/>
  <c r="J2862" i="16"/>
  <c r="M2870" i="16"/>
  <c r="K2873" i="16"/>
  <c r="K2889" i="16"/>
  <c r="P2908" i="16"/>
  <c r="K2921" i="16"/>
  <c r="H2926" i="16"/>
  <c r="L2939" i="16"/>
  <c r="O2950" i="16"/>
  <c r="H2952" i="16"/>
  <c r="K2953" i="16"/>
  <c r="K2969" i="16"/>
  <c r="L2980" i="16"/>
  <c r="J2984" i="16"/>
  <c r="J2990" i="16"/>
  <c r="L2999" i="16"/>
  <c r="L3003" i="16"/>
  <c r="J3006" i="16"/>
  <c r="K3009" i="16"/>
  <c r="J3024" i="16"/>
  <c r="T3029" i="16"/>
  <c r="K3033" i="16"/>
  <c r="J3056" i="16"/>
  <c r="P3059" i="16"/>
  <c r="J3064" i="16"/>
  <c r="J3067" i="16"/>
  <c r="K3085" i="16"/>
  <c r="L3090" i="16"/>
  <c r="M3119" i="16"/>
  <c r="M3123" i="16"/>
  <c r="J3131" i="16"/>
  <c r="I3133" i="16"/>
  <c r="O3148" i="16"/>
  <c r="P3164" i="16"/>
  <c r="N3190" i="16"/>
  <c r="J3192" i="16"/>
  <c r="N3210" i="16"/>
  <c r="H3216" i="16"/>
  <c r="K3217" i="16"/>
  <c r="H3239" i="16"/>
  <c r="H3248" i="16"/>
  <c r="K3249" i="16"/>
  <c r="J3256" i="16"/>
  <c r="M3274" i="16"/>
  <c r="H3280" i="16"/>
  <c r="K3281" i="16"/>
  <c r="P3292" i="16"/>
  <c r="O3302" i="16"/>
  <c r="H3303" i="16"/>
  <c r="L3307" i="16"/>
  <c r="N3311" i="16"/>
  <c r="L3323" i="16"/>
  <c r="H3327" i="16"/>
  <c r="J3329" i="16"/>
  <c r="O3333" i="16"/>
  <c r="O3340" i="16"/>
  <c r="K3353" i="16"/>
  <c r="J3364" i="16"/>
  <c r="H3368" i="16"/>
  <c r="K3369" i="16"/>
  <c r="M3379" i="16"/>
  <c r="L3394" i="16"/>
  <c r="N3402" i="16"/>
  <c r="I3405" i="16"/>
  <c r="J3409" i="16"/>
  <c r="J3417" i="16"/>
  <c r="H3424" i="16"/>
  <c r="K3425" i="16"/>
  <c r="J3428" i="16"/>
  <c r="K3433" i="16"/>
  <c r="T3478" i="16"/>
  <c r="O3484" i="16"/>
  <c r="M3487" i="16"/>
  <c r="J3489" i="16"/>
  <c r="L3495" i="16"/>
  <c r="M3503" i="16"/>
  <c r="J3512" i="16"/>
  <c r="J3518" i="16"/>
  <c r="L3522" i="16"/>
  <c r="J3529" i="16"/>
  <c r="H3536" i="16"/>
  <c r="K3537" i="16"/>
  <c r="H3544" i="16"/>
  <c r="K3545" i="16"/>
  <c r="J3548" i="16"/>
  <c r="P3556" i="16"/>
  <c r="P3571" i="16"/>
  <c r="K3577" i="16"/>
  <c r="J3602" i="16"/>
  <c r="H3608" i="16"/>
  <c r="K3609" i="16"/>
  <c r="H3616" i="16"/>
  <c r="K3617" i="16"/>
  <c r="P3620" i="16"/>
  <c r="M3622" i="16"/>
  <c r="J3628" i="16"/>
  <c r="N3638" i="16"/>
  <c r="K3641" i="16"/>
  <c r="N3646" i="16"/>
  <c r="M3650" i="16"/>
  <c r="I3653" i="16"/>
  <c r="H3656" i="16"/>
  <c r="K3657" i="16"/>
  <c r="I3661" i="16"/>
  <c r="N3666" i="16"/>
  <c r="N3717" i="16"/>
  <c r="M3722" i="16"/>
  <c r="J3745" i="16"/>
  <c r="K3753" i="16"/>
  <c r="J3761" i="16"/>
  <c r="H3767" i="16"/>
  <c r="H3774" i="16"/>
  <c r="M3778" i="16"/>
  <c r="T3788" i="16"/>
  <c r="I3789" i="16"/>
  <c r="J3792" i="16"/>
  <c r="T3800" i="16"/>
  <c r="N3800" i="16"/>
  <c r="E3800" i="16"/>
  <c r="L3800" i="16"/>
  <c r="K3800" i="16"/>
  <c r="T3812" i="16"/>
  <c r="T3825" i="16"/>
  <c r="L3825" i="16"/>
  <c r="J3825" i="16"/>
  <c r="M3825" i="16"/>
  <c r="T3848" i="16"/>
  <c r="M3848" i="16"/>
  <c r="K3848" i="16"/>
  <c r="J3848" i="16"/>
  <c r="K3893" i="16"/>
  <c r="F3893" i="16"/>
  <c r="T3897" i="16"/>
  <c r="F3897" i="16"/>
  <c r="N3897" i="16"/>
  <c r="L3897" i="16"/>
  <c r="O3908" i="16"/>
  <c r="K3908" i="16"/>
  <c r="T3947" i="16"/>
  <c r="M3947" i="16"/>
  <c r="K3947" i="16"/>
  <c r="J3947" i="16"/>
  <c r="P3974" i="16"/>
  <c r="J3974" i="16"/>
  <c r="J3994" i="16"/>
  <c r="P3994" i="16"/>
  <c r="E3994" i="16"/>
  <c r="N3994" i="16"/>
  <c r="M3994" i="16"/>
  <c r="I4012" i="16"/>
  <c r="E4012" i="16"/>
  <c r="T4012" i="16"/>
  <c r="J4016" i="16"/>
  <c r="F4016" i="16"/>
  <c r="J4045" i="16"/>
  <c r="O4045" i="16"/>
  <c r="N4045" i="16"/>
  <c r="E4058" i="16"/>
  <c r="N4058" i="16"/>
  <c r="M4058" i="16"/>
  <c r="J4074" i="16"/>
  <c r="N4074" i="16"/>
  <c r="L4074" i="16"/>
  <c r="O4074" i="16"/>
  <c r="I4080" i="16"/>
  <c r="F4080" i="16"/>
  <c r="I4096" i="16"/>
  <c r="E4096" i="16"/>
  <c r="P4096" i="16"/>
  <c r="N4096" i="16"/>
  <c r="I4102" i="16"/>
  <c r="F4102" i="16"/>
  <c r="T4105" i="16"/>
  <c r="M4105" i="16"/>
  <c r="K4105" i="16"/>
  <c r="J4105" i="16"/>
  <c r="I4117" i="16"/>
  <c r="H4117" i="16"/>
  <c r="F4117" i="16"/>
  <c r="P4117" i="16"/>
  <c r="J4119" i="16"/>
  <c r="G4119" i="16"/>
  <c r="J4132" i="16"/>
  <c r="H4132" i="16"/>
  <c r="L4150" i="16"/>
  <c r="N4150" i="16"/>
  <c r="K4150" i="16"/>
  <c r="J4150" i="16"/>
  <c r="I4154" i="16"/>
  <c r="F4154" i="16"/>
  <c r="T4164" i="16"/>
  <c r="G4164" i="16"/>
  <c r="O4164" i="16"/>
  <c r="L4164" i="16"/>
  <c r="J4167" i="16"/>
  <c r="I4167" i="16"/>
  <c r="G4167" i="16"/>
  <c r="I4170" i="16"/>
  <c r="K4170" i="16"/>
  <c r="F4170" i="16"/>
  <c r="O4170" i="16"/>
  <c r="P4191" i="16"/>
  <c r="H4195" i="16"/>
  <c r="T4195" i="16"/>
  <c r="E4195" i="16"/>
  <c r="N4195" i="16"/>
  <c r="O4199" i="16"/>
  <c r="J4199" i="16"/>
  <c r="T4249" i="16"/>
  <c r="M4249" i="16"/>
  <c r="K4249" i="16"/>
  <c r="J4249" i="16"/>
  <c r="T4268" i="16"/>
  <c r="L4271" i="16"/>
  <c r="H4271" i="16"/>
  <c r="N4271" i="16"/>
  <c r="L4275" i="16"/>
  <c r="E4275" i="16"/>
  <c r="T4281" i="16"/>
  <c r="K4281" i="16"/>
  <c r="H4281" i="16"/>
  <c r="L4281" i="16"/>
  <c r="T4297" i="16"/>
  <c r="O4297" i="16"/>
  <c r="F4297" i="16"/>
  <c r="M4297" i="16"/>
  <c r="K4297" i="16"/>
  <c r="M4304" i="16"/>
  <c r="L4304" i="16"/>
  <c r="F4304" i="16"/>
  <c r="P4366" i="16"/>
  <c r="G4378" i="16"/>
  <c r="T4378" i="16"/>
  <c r="M4378" i="16"/>
  <c r="T4393" i="16"/>
  <c r="H4393" i="16"/>
  <c r="O4393" i="16"/>
  <c r="F4393" i="16"/>
  <c r="L4393" i="16"/>
  <c r="T4417" i="16"/>
  <c r="M4417" i="16"/>
  <c r="L4417" i="16"/>
  <c r="G4417" i="16"/>
  <c r="P4417" i="16"/>
  <c r="E4417" i="16"/>
  <c r="N4417" i="16"/>
  <c r="G4434" i="16"/>
  <c r="T4434" i="16"/>
  <c r="F4434" i="16"/>
  <c r="N4434" i="16"/>
  <c r="M4434" i="16"/>
  <c r="H4446" i="16"/>
  <c r="T4446" i="16"/>
  <c r="G4446" i="16"/>
  <c r="E4446" i="16"/>
  <c r="F4454" i="16"/>
  <c r="T4454" i="16"/>
  <c r="E4454" i="16"/>
  <c r="M4454" i="16"/>
  <c r="I4454" i="16"/>
  <c r="K4461" i="16"/>
  <c r="J4461" i="16"/>
  <c r="P4461" i="16"/>
  <c r="T4489" i="16"/>
  <c r="N4489" i="16"/>
  <c r="E4489" i="16"/>
  <c r="M4489" i="16"/>
  <c r="G4489" i="16"/>
  <c r="P4489" i="16"/>
  <c r="L4489" i="16"/>
  <c r="T4497" i="16"/>
  <c r="N4497" i="16"/>
  <c r="E4497" i="16"/>
  <c r="M4497" i="16"/>
  <c r="H4497" i="16"/>
  <c r="F4497" i="16"/>
  <c r="O4497" i="16"/>
  <c r="T4513" i="16"/>
  <c r="P4513" i="16"/>
  <c r="G4513" i="16"/>
  <c r="O4513" i="16"/>
  <c r="F4513" i="16"/>
  <c r="M4513" i="16"/>
  <c r="L4513" i="16"/>
  <c r="N4527" i="16"/>
  <c r="L4527" i="16"/>
  <c r="T4527" i="16"/>
  <c r="O4527" i="16"/>
  <c r="J4527" i="16"/>
  <c r="I4554" i="16"/>
  <c r="T4554" i="16"/>
  <c r="O4554" i="16"/>
  <c r="K4554" i="16"/>
  <c r="E4554" i="16"/>
  <c r="T4569" i="16"/>
  <c r="O4569" i="16"/>
  <c r="F4569" i="16"/>
  <c r="N4569" i="16"/>
  <c r="E4569" i="16"/>
  <c r="M4569" i="16"/>
  <c r="K4569" i="16"/>
  <c r="P4569" i="16"/>
  <c r="J4604" i="16"/>
  <c r="G4604" i="16"/>
  <c r="T4632" i="16"/>
  <c r="H4632" i="16"/>
  <c r="I4635" i="16"/>
  <c r="E4635" i="16"/>
  <c r="P4635" i="16"/>
  <c r="N4635" i="16"/>
  <c r="J4664" i="16"/>
  <c r="N4664" i="16"/>
  <c r="M4664" i="16"/>
  <c r="T4664" i="16"/>
  <c r="E4664" i="16"/>
  <c r="O4664" i="16"/>
  <c r="L4664" i="16"/>
  <c r="J4688" i="16"/>
  <c r="G4688" i="16"/>
  <c r="F4688" i="16"/>
  <c r="O4688" i="16"/>
  <c r="N4688" i="16"/>
  <c r="K4696" i="16"/>
  <c r="H4696" i="16"/>
  <c r="I4700" i="16"/>
  <c r="K4700" i="16"/>
  <c r="H4700" i="16"/>
  <c r="M4700" i="16"/>
  <c r="G4700" i="16"/>
  <c r="T4700" i="16"/>
  <c r="I4718" i="16"/>
  <c r="H4718" i="16"/>
  <c r="T4721" i="16"/>
  <c r="M4721" i="16"/>
  <c r="L4721" i="16"/>
  <c r="O4721" i="16"/>
  <c r="K4721" i="16"/>
  <c r="J4721" i="16"/>
  <c r="L4723" i="16"/>
  <c r="E4723" i="16"/>
  <c r="N4723" i="16"/>
  <c r="H4758" i="16"/>
  <c r="T4758" i="16"/>
  <c r="F4768" i="16"/>
  <c r="E4768" i="16"/>
  <c r="P4768" i="16"/>
  <c r="I4778" i="16"/>
  <c r="O4778" i="16"/>
  <c r="N4778" i="16"/>
  <c r="M4778" i="16"/>
  <c r="K4778" i="16"/>
  <c r="T4778" i="16"/>
  <c r="T4785" i="16"/>
  <c r="N4785" i="16"/>
  <c r="E4785" i="16"/>
  <c r="M4785" i="16"/>
  <c r="F4785" i="16"/>
  <c r="O4785" i="16"/>
  <c r="L4785" i="16"/>
  <c r="T4833" i="16"/>
  <c r="L4833" i="16"/>
  <c r="K4833" i="16"/>
  <c r="F4833" i="16"/>
  <c r="O4833" i="16"/>
  <c r="M4833" i="16"/>
  <c r="I4869" i="16"/>
  <c r="H4869" i="16"/>
  <c r="F4869" i="16"/>
  <c r="T4897" i="16"/>
  <c r="N4897" i="16"/>
  <c r="E4897" i="16"/>
  <c r="M4897" i="16"/>
  <c r="G4897" i="16"/>
  <c r="P4897" i="16"/>
  <c r="L4897" i="16"/>
  <c r="K4903" i="16"/>
  <c r="L4903" i="16"/>
  <c r="J4903" i="16"/>
  <c r="N4903" i="16"/>
  <c r="I4910" i="16"/>
  <c r="H4910" i="16"/>
  <c r="J4910" i="16"/>
  <c r="K4919" i="16"/>
  <c r="T4919" i="16"/>
  <c r="G4919" i="16"/>
  <c r="P4919" i="16"/>
  <c r="F4919" i="16"/>
  <c r="N4919" i="16"/>
  <c r="M4919" i="16"/>
  <c r="I4956" i="16"/>
  <c r="T4956" i="16"/>
  <c r="E4956" i="16"/>
  <c r="P4956" i="16"/>
  <c r="O4956" i="16"/>
  <c r="K4956" i="16"/>
  <c r="G4956" i="16"/>
  <c r="I4997" i="16"/>
  <c r="H4997" i="16"/>
  <c r="G4997" i="16"/>
  <c r="P4997" i="16"/>
  <c r="O4997" i="16"/>
  <c r="T4997" i="16"/>
  <c r="T5001" i="16"/>
  <c r="O5001" i="16"/>
  <c r="F5001" i="16"/>
  <c r="N5001" i="16"/>
  <c r="E5001" i="16"/>
  <c r="M5001" i="16"/>
  <c r="G5001" i="16"/>
  <c r="P5001" i="16"/>
  <c r="I5020" i="16"/>
  <c r="T5020" i="16"/>
  <c r="E5020" i="16"/>
  <c r="P5020" i="16"/>
  <c r="O5020" i="16"/>
  <c r="G5020" i="16"/>
  <c r="L5020" i="16"/>
  <c r="H5020" i="16"/>
  <c r="T5033" i="16"/>
  <c r="O5033" i="16"/>
  <c r="F5033" i="16"/>
  <c r="N5033" i="16"/>
  <c r="E5033" i="16"/>
  <c r="M5033" i="16"/>
  <c r="G5033" i="16"/>
  <c r="L5033" i="16"/>
  <c r="J5033" i="16"/>
  <c r="N5053" i="16"/>
  <c r="J5053" i="16"/>
  <c r="L5074" i="16"/>
  <c r="K5074" i="16"/>
  <c r="I5086" i="16"/>
  <c r="J5086" i="16"/>
  <c r="M5086" i="16"/>
  <c r="H5095" i="16"/>
  <c r="M5095" i="16"/>
  <c r="L5095" i="16"/>
  <c r="F5095" i="16"/>
  <c r="P5095" i="16"/>
  <c r="N5095" i="16"/>
  <c r="G5100" i="16"/>
  <c r="T5100" i="16"/>
  <c r="P5100" i="16"/>
  <c r="J5100" i="16"/>
  <c r="I5100" i="16"/>
  <c r="M5179" i="16"/>
  <c r="P5179" i="16"/>
  <c r="H5183" i="16"/>
  <c r="P5183" i="16"/>
  <c r="O5183" i="16"/>
  <c r="F5183" i="16"/>
  <c r="E5183" i="16"/>
  <c r="M5183" i="16"/>
  <c r="T5201" i="16"/>
  <c r="N5201" i="16"/>
  <c r="E5201" i="16"/>
  <c r="M5201" i="16"/>
  <c r="L5201" i="16"/>
  <c r="P5201" i="16"/>
  <c r="O5201" i="16"/>
  <c r="J5201" i="16"/>
  <c r="M5310" i="16"/>
  <c r="J5310" i="16"/>
  <c r="I5310" i="16"/>
  <c r="N5310" i="16"/>
  <c r="M5342" i="16"/>
  <c r="O5342" i="16"/>
  <c r="I5342" i="16"/>
  <c r="E5342" i="16"/>
  <c r="T5415" i="16"/>
  <c r="F5415" i="16"/>
  <c r="E5415" i="16"/>
  <c r="P5415" i="16"/>
  <c r="N5415" i="16"/>
  <c r="M5415" i="16"/>
  <c r="L5415" i="16"/>
  <c r="O5454" i="16"/>
  <c r="N5454" i="16"/>
  <c r="M5454" i="16"/>
  <c r="M5470" i="16"/>
  <c r="O5470" i="16"/>
  <c r="I5470" i="16"/>
  <c r="N5494" i="16"/>
  <c r="E5494" i="16"/>
  <c r="O5494" i="16"/>
  <c r="J5533" i="16"/>
  <c r="I5533" i="16"/>
  <c r="H5533" i="16"/>
  <c r="K5533" i="16"/>
  <c r="T5535" i="16"/>
  <c r="L5535" i="16"/>
  <c r="H5535" i="16"/>
  <c r="F5535" i="16"/>
  <c r="M5535" i="16"/>
  <c r="E5535" i="16"/>
  <c r="O5535" i="16"/>
  <c r="N5535" i="16"/>
  <c r="E5566" i="16"/>
  <c r="M5566" i="16"/>
  <c r="I5566" i="16"/>
  <c r="N5566" i="16"/>
  <c r="H5597" i="16"/>
  <c r="G5597" i="16"/>
  <c r="F5597" i="16"/>
  <c r="O5597" i="16"/>
  <c r="N5597" i="16"/>
  <c r="I5597" i="16"/>
  <c r="T5597" i="16"/>
  <c r="I5605" i="16"/>
  <c r="H5605" i="16"/>
  <c r="G5605" i="16"/>
  <c r="F5605" i="16"/>
  <c r="T5605" i="16"/>
  <c r="P5605" i="16"/>
  <c r="O5605" i="16"/>
  <c r="J5624" i="16"/>
  <c r="N5624" i="16"/>
  <c r="M5624" i="16"/>
  <c r="L5624" i="16"/>
  <c r="E5624" i="16"/>
  <c r="P5624" i="16"/>
  <c r="O5624" i="16"/>
  <c r="G5629" i="16"/>
  <c r="N5629" i="16"/>
  <c r="J5656" i="16"/>
  <c r="M5656" i="16"/>
  <c r="F5656" i="16"/>
  <c r="P5656" i="16"/>
  <c r="E5656" i="16"/>
  <c r="O5656" i="16"/>
  <c r="G5656" i="16"/>
  <c r="N5656" i="16"/>
  <c r="L5656" i="16"/>
  <c r="K5656" i="16"/>
  <c r="L5699" i="16"/>
  <c r="P5699" i="16"/>
  <c r="L5707" i="16"/>
  <c r="T5707" i="16"/>
  <c r="P5707" i="16"/>
  <c r="K5707" i="16"/>
  <c r="O5717" i="16"/>
  <c r="J5717" i="16"/>
  <c r="F5717" i="16"/>
  <c r="J5720" i="16"/>
  <c r="O5720" i="16"/>
  <c r="E5720" i="16"/>
  <c r="P5720" i="16"/>
  <c r="N5720" i="16"/>
  <c r="M5720" i="16"/>
  <c r="H5720" i="16"/>
  <c r="G5720" i="16"/>
  <c r="F5720" i="16"/>
  <c r="T5753" i="16"/>
  <c r="H5753" i="16"/>
  <c r="N5753" i="16"/>
  <c r="M5753" i="16"/>
  <c r="L5753" i="16"/>
  <c r="J5753" i="16"/>
  <c r="G5753" i="16"/>
  <c r="F5753" i="16"/>
  <c r="P5753" i="16"/>
  <c r="O5753" i="16"/>
  <c r="K5753" i="16"/>
  <c r="J5768" i="16"/>
  <c r="N5768" i="16"/>
  <c r="G5768" i="16"/>
  <c r="F5768" i="16"/>
  <c r="P5768" i="16"/>
  <c r="E5768" i="16"/>
  <c r="M5768" i="16"/>
  <c r="L5768" i="16"/>
  <c r="K5768" i="16"/>
  <c r="H5768" i="16"/>
  <c r="K5791" i="16"/>
  <c r="M5791" i="16"/>
  <c r="H5791" i="16"/>
  <c r="G5791" i="16"/>
  <c r="F5791" i="16"/>
  <c r="L5791" i="16"/>
  <c r="E5791" i="16"/>
  <c r="P5791" i="16"/>
  <c r="O5791" i="16"/>
  <c r="K5831" i="16"/>
  <c r="H5831" i="16"/>
  <c r="L5831" i="16"/>
  <c r="G5831" i="16"/>
  <c r="F5831" i="16"/>
  <c r="O5831" i="16"/>
  <c r="N5831" i="16"/>
  <c r="M5831" i="16"/>
  <c r="H5838" i="16"/>
  <c r="N5838" i="16"/>
  <c r="G5838" i="16"/>
  <c r="F5838" i="16"/>
  <c r="E5838" i="16"/>
  <c r="O5838" i="16"/>
  <c r="P5838" i="16"/>
  <c r="J5933" i="16"/>
  <c r="H5933" i="16"/>
  <c r="O5933" i="16"/>
  <c r="N5933" i="16"/>
  <c r="M5933" i="16"/>
  <c r="G5933" i="16"/>
  <c r="F5933" i="16"/>
  <c r="E5933" i="16"/>
  <c r="L5933" i="16"/>
  <c r="K5933" i="16"/>
  <c r="T6000" i="16"/>
  <c r="J6000" i="16"/>
  <c r="H6000" i="16"/>
  <c r="E6000" i="16"/>
  <c r="P6000" i="16"/>
  <c r="I6000" i="16"/>
  <c r="AL241" i="17"/>
  <c r="AM241" i="17"/>
  <c r="AN340" i="17"/>
  <c r="AM340" i="17"/>
  <c r="AI340" i="17"/>
  <c r="AE340" i="17"/>
  <c r="Q340" i="17"/>
  <c r="AJ340" i="17"/>
  <c r="K351" i="17"/>
  <c r="AJ351" i="17"/>
  <c r="AI351" i="17"/>
  <c r="S351" i="17"/>
  <c r="AK351" i="17"/>
  <c r="O351" i="17"/>
  <c r="J2568" i="16"/>
  <c r="J2600" i="16"/>
  <c r="K2609" i="16"/>
  <c r="N2626" i="16"/>
  <c r="T2638" i="16"/>
  <c r="K2641" i="16"/>
  <c r="J2648" i="16"/>
  <c r="K2665" i="16"/>
  <c r="M2670" i="16"/>
  <c r="K2681" i="16"/>
  <c r="J2720" i="16"/>
  <c r="L2721" i="16"/>
  <c r="P2731" i="16"/>
  <c r="J2736" i="16"/>
  <c r="L2737" i="16"/>
  <c r="J2752" i="16"/>
  <c r="L2753" i="16"/>
  <c r="N2762" i="16"/>
  <c r="K2793" i="16"/>
  <c r="J2824" i="16"/>
  <c r="J2832" i="16"/>
  <c r="K2848" i="16"/>
  <c r="J2872" i="16"/>
  <c r="L2873" i="16"/>
  <c r="J2888" i="16"/>
  <c r="L2889" i="16"/>
  <c r="K2897" i="16"/>
  <c r="T2908" i="16"/>
  <c r="J2920" i="16"/>
  <c r="L2921" i="16"/>
  <c r="P2950" i="16"/>
  <c r="J2952" i="16"/>
  <c r="L2953" i="16"/>
  <c r="J2968" i="16"/>
  <c r="L2969" i="16"/>
  <c r="K2984" i="16"/>
  <c r="K2993" i="16"/>
  <c r="J3008" i="16"/>
  <c r="L3009" i="16"/>
  <c r="K3024" i="16"/>
  <c r="J3032" i="16"/>
  <c r="L3033" i="16"/>
  <c r="K3056" i="16"/>
  <c r="T3059" i="16"/>
  <c r="N3119" i="16"/>
  <c r="P3123" i="16"/>
  <c r="T3210" i="16"/>
  <c r="J3216" i="16"/>
  <c r="L3217" i="16"/>
  <c r="J3248" i="16"/>
  <c r="N3274" i="16"/>
  <c r="J3280" i="16"/>
  <c r="L3281" i="16"/>
  <c r="T3292" i="16"/>
  <c r="O3311" i="16"/>
  <c r="K3329" i="16"/>
  <c r="P3333" i="16"/>
  <c r="J3352" i="16"/>
  <c r="L3353" i="16"/>
  <c r="J3368" i="16"/>
  <c r="L3369" i="16"/>
  <c r="P3379" i="16"/>
  <c r="T3402" i="16"/>
  <c r="K3409" i="16"/>
  <c r="K3417" i="16"/>
  <c r="J3424" i="16"/>
  <c r="L3425" i="16"/>
  <c r="J3432" i="16"/>
  <c r="L3433" i="16"/>
  <c r="K3449" i="16"/>
  <c r="N3466" i="16"/>
  <c r="P3484" i="16"/>
  <c r="K3489" i="16"/>
  <c r="N3503" i="16"/>
  <c r="K3512" i="16"/>
  <c r="M3522" i="16"/>
  <c r="K3529" i="16"/>
  <c r="J3536" i="16"/>
  <c r="L3537" i="16"/>
  <c r="J3544" i="16"/>
  <c r="L3545" i="16"/>
  <c r="T3571" i="16"/>
  <c r="N3574" i="16"/>
  <c r="J3576" i="16"/>
  <c r="L3577" i="16"/>
  <c r="N3586" i="16"/>
  <c r="J3608" i="16"/>
  <c r="L3609" i="16"/>
  <c r="J3616" i="16"/>
  <c r="L3617" i="16"/>
  <c r="K3633" i="16"/>
  <c r="O3638" i="16"/>
  <c r="J3640" i="16"/>
  <c r="L3641" i="16"/>
  <c r="N3650" i="16"/>
  <c r="J3656" i="16"/>
  <c r="L3657" i="16"/>
  <c r="K3681" i="16"/>
  <c r="M3687" i="16"/>
  <c r="M3691" i="16"/>
  <c r="K3697" i="16"/>
  <c r="O3717" i="16"/>
  <c r="N3722" i="16"/>
  <c r="K3745" i="16"/>
  <c r="J3752" i="16"/>
  <c r="L3753" i="16"/>
  <c r="K3761" i="16"/>
  <c r="N3778" i="16"/>
  <c r="K3792" i="16"/>
  <c r="M3800" i="16"/>
  <c r="H3822" i="16"/>
  <c r="M3822" i="16"/>
  <c r="F3822" i="16"/>
  <c r="P3822" i="16"/>
  <c r="T3876" i="16"/>
  <c r="J3876" i="16"/>
  <c r="K3877" i="16"/>
  <c r="I3877" i="16"/>
  <c r="T3881" i="16"/>
  <c r="J3881" i="16"/>
  <c r="F3881" i="16"/>
  <c r="M3881" i="16"/>
  <c r="N3895" i="16"/>
  <c r="H3895" i="16"/>
  <c r="O3895" i="16"/>
  <c r="T3902" i="16"/>
  <c r="O3902" i="16"/>
  <c r="N3902" i="16"/>
  <c r="J3914" i="16"/>
  <c r="T3914" i="16"/>
  <c r="M3914" i="16"/>
  <c r="K3915" i="16"/>
  <c r="I3915" i="16"/>
  <c r="I3922" i="16"/>
  <c r="E3922" i="16"/>
  <c r="L3938" i="16"/>
  <c r="J3938" i="16"/>
  <c r="H3944" i="16"/>
  <c r="E3944" i="16"/>
  <c r="T3944" i="16"/>
  <c r="P3944" i="16"/>
  <c r="L3947" i="16"/>
  <c r="I3957" i="16"/>
  <c r="T3957" i="16"/>
  <c r="F3957" i="16"/>
  <c r="M3957" i="16"/>
  <c r="T3963" i="16"/>
  <c r="P3963" i="16"/>
  <c r="G3963" i="16"/>
  <c r="N3963" i="16"/>
  <c r="E3963" i="16"/>
  <c r="L3963" i="16"/>
  <c r="J3970" i="16"/>
  <c r="O3970" i="16"/>
  <c r="E3970" i="16"/>
  <c r="M3970" i="16"/>
  <c r="L3970" i="16"/>
  <c r="I3972" i="16"/>
  <c r="M3972" i="16"/>
  <c r="E3972" i="16"/>
  <c r="O3994" i="16"/>
  <c r="I3998" i="16"/>
  <c r="T3998" i="16"/>
  <c r="P3998" i="16"/>
  <c r="J4034" i="16"/>
  <c r="N4034" i="16"/>
  <c r="L4034" i="16"/>
  <c r="K4034" i="16"/>
  <c r="P4045" i="16"/>
  <c r="I4053" i="16"/>
  <c r="K4053" i="16"/>
  <c r="G4053" i="16"/>
  <c r="P4053" i="16"/>
  <c r="T4058" i="16"/>
  <c r="E4066" i="16"/>
  <c r="T4066" i="16"/>
  <c r="O4066" i="16"/>
  <c r="T4074" i="16"/>
  <c r="H4078" i="16"/>
  <c r="J4078" i="16"/>
  <c r="F4078" i="16"/>
  <c r="O4078" i="16"/>
  <c r="K4087" i="16"/>
  <c r="N4087" i="16"/>
  <c r="L4087" i="16"/>
  <c r="J4087" i="16"/>
  <c r="I4093" i="16"/>
  <c r="G4093" i="16"/>
  <c r="P4093" i="16"/>
  <c r="L4095" i="16"/>
  <c r="E4095" i="16"/>
  <c r="T4096" i="16"/>
  <c r="L4105" i="16"/>
  <c r="T4117" i="16"/>
  <c r="J4138" i="16"/>
  <c r="F4138" i="16"/>
  <c r="T4138" i="16"/>
  <c r="N4138" i="16"/>
  <c r="M4150" i="16"/>
  <c r="J4152" i="16"/>
  <c r="P4152" i="16"/>
  <c r="F4152" i="16"/>
  <c r="N4152" i="16"/>
  <c r="L4152" i="16"/>
  <c r="L4163" i="16"/>
  <c r="J4163" i="16"/>
  <c r="M4164" i="16"/>
  <c r="T4170" i="16"/>
  <c r="O4172" i="16"/>
  <c r="K4172" i="16"/>
  <c r="T4185" i="16"/>
  <c r="N4185" i="16"/>
  <c r="E4185" i="16"/>
  <c r="L4185" i="16"/>
  <c r="K4185" i="16"/>
  <c r="T4191" i="16"/>
  <c r="K4194" i="16"/>
  <c r="F4194" i="16"/>
  <c r="P4195" i="16"/>
  <c r="H4206" i="16"/>
  <c r="J4206" i="16"/>
  <c r="F4206" i="16"/>
  <c r="O4206" i="16"/>
  <c r="L4211" i="16"/>
  <c r="T4211" i="16"/>
  <c r="J4216" i="16"/>
  <c r="O4216" i="16"/>
  <c r="E4216" i="16"/>
  <c r="M4216" i="16"/>
  <c r="L4216" i="16"/>
  <c r="J4218" i="16"/>
  <c r="F4218" i="16"/>
  <c r="H4221" i="16"/>
  <c r="T4221" i="16"/>
  <c r="N4221" i="16"/>
  <c r="I4224" i="16"/>
  <c r="N4224" i="16"/>
  <c r="L4224" i="16"/>
  <c r="P4224" i="16"/>
  <c r="J4237" i="16"/>
  <c r="L4237" i="16"/>
  <c r="G4237" i="16"/>
  <c r="P4237" i="16"/>
  <c r="L4249" i="16"/>
  <c r="O4271" i="16"/>
  <c r="M4281" i="16"/>
  <c r="P4292" i="16"/>
  <c r="E4292" i="16"/>
  <c r="M4292" i="16"/>
  <c r="L4292" i="16"/>
  <c r="L4297" i="16"/>
  <c r="T4313" i="16"/>
  <c r="K4313" i="16"/>
  <c r="H4313" i="16"/>
  <c r="L4313" i="16"/>
  <c r="N4331" i="16"/>
  <c r="L4331" i="16"/>
  <c r="K4331" i="16"/>
  <c r="J4344" i="16"/>
  <c r="O4344" i="16"/>
  <c r="E4344" i="16"/>
  <c r="M4344" i="16"/>
  <c r="L4344" i="16"/>
  <c r="O4346" i="16"/>
  <c r="L4346" i="16"/>
  <c r="I4346" i="16"/>
  <c r="I4362" i="16"/>
  <c r="N4362" i="16"/>
  <c r="K4362" i="16"/>
  <c r="O4362" i="16"/>
  <c r="T4369" i="16"/>
  <c r="M4369" i="16"/>
  <c r="K4369" i="16"/>
  <c r="J4369" i="16"/>
  <c r="J4371" i="16"/>
  <c r="F4371" i="16"/>
  <c r="N4378" i="16"/>
  <c r="H4382" i="16"/>
  <c r="K4382" i="16"/>
  <c r="E4382" i="16"/>
  <c r="M4390" i="16"/>
  <c r="I4390" i="16"/>
  <c r="N4390" i="16"/>
  <c r="M4393" i="16"/>
  <c r="I4396" i="16"/>
  <c r="G4396" i="16"/>
  <c r="L4403" i="16"/>
  <c r="E4403" i="16"/>
  <c r="L4410" i="16"/>
  <c r="E4410" i="16"/>
  <c r="O4417" i="16"/>
  <c r="O4434" i="16"/>
  <c r="I4480" i="16"/>
  <c r="H4480" i="16"/>
  <c r="G4480" i="16"/>
  <c r="M4480" i="16"/>
  <c r="E4480" i="16"/>
  <c r="T4481" i="16"/>
  <c r="L4481" i="16"/>
  <c r="K4481" i="16"/>
  <c r="P4481" i="16"/>
  <c r="E4481" i="16"/>
  <c r="N4481" i="16"/>
  <c r="M4481" i="16"/>
  <c r="I4488" i="16"/>
  <c r="H4488" i="16"/>
  <c r="K4488" i="16"/>
  <c r="O4489" i="16"/>
  <c r="P4497" i="16"/>
  <c r="J4506" i="16"/>
  <c r="I4506" i="16"/>
  <c r="M4506" i="16"/>
  <c r="G4506" i="16"/>
  <c r="N4513" i="16"/>
  <c r="O4533" i="16"/>
  <c r="N4533" i="16"/>
  <c r="J4542" i="16"/>
  <c r="H4542" i="16"/>
  <c r="G4542" i="16"/>
  <c r="O4558" i="16"/>
  <c r="G4558" i="16"/>
  <c r="J4558" i="16"/>
  <c r="T4561" i="16"/>
  <c r="P4561" i="16"/>
  <c r="G4561" i="16"/>
  <c r="O4561" i="16"/>
  <c r="F4561" i="16"/>
  <c r="J4561" i="16"/>
  <c r="E4561" i="16"/>
  <c r="N4561" i="16"/>
  <c r="N4570" i="16"/>
  <c r="J4570" i="16"/>
  <c r="F4602" i="16"/>
  <c r="E4602" i="16"/>
  <c r="G4602" i="16"/>
  <c r="T4625" i="16"/>
  <c r="L4625" i="16"/>
  <c r="K4625" i="16"/>
  <c r="H4625" i="16"/>
  <c r="F4625" i="16"/>
  <c r="N4625" i="16"/>
  <c r="P4639" i="16"/>
  <c r="O4639" i="16"/>
  <c r="H4639" i="16"/>
  <c r="F4639" i="16"/>
  <c r="H4640" i="16"/>
  <c r="G4640" i="16"/>
  <c r="I4640" i="16"/>
  <c r="I4650" i="16"/>
  <c r="K4650" i="16"/>
  <c r="G4650" i="16"/>
  <c r="F4650" i="16"/>
  <c r="O4650" i="16"/>
  <c r="T4657" i="16"/>
  <c r="M4657" i="16"/>
  <c r="L4657" i="16"/>
  <c r="K4657" i="16"/>
  <c r="H4657" i="16"/>
  <c r="N4657" i="16"/>
  <c r="P4664" i="16"/>
  <c r="P4688" i="16"/>
  <c r="N4701" i="16"/>
  <c r="L4701" i="16"/>
  <c r="F4701" i="16"/>
  <c r="P4701" i="16"/>
  <c r="O4701" i="16"/>
  <c r="N4721" i="16"/>
  <c r="T4753" i="16"/>
  <c r="M4753" i="16"/>
  <c r="L4753" i="16"/>
  <c r="H4753" i="16"/>
  <c r="F4753" i="16"/>
  <c r="N4753" i="16"/>
  <c r="H4779" i="16"/>
  <c r="T4779" i="16"/>
  <c r="F4779" i="16"/>
  <c r="K4779" i="16"/>
  <c r="E4779" i="16"/>
  <c r="P4779" i="16"/>
  <c r="H4783" i="16"/>
  <c r="G4783" i="16"/>
  <c r="P4785" i="16"/>
  <c r="E4798" i="16"/>
  <c r="J4798" i="16"/>
  <c r="T4809" i="16"/>
  <c r="H4809" i="16"/>
  <c r="P4809" i="16"/>
  <c r="G4809" i="16"/>
  <c r="J4809" i="16"/>
  <c r="E4809" i="16"/>
  <c r="N4809" i="16"/>
  <c r="J4816" i="16"/>
  <c r="F4816" i="16"/>
  <c r="P4816" i="16"/>
  <c r="E4816" i="16"/>
  <c r="M4816" i="16"/>
  <c r="K4816" i="16"/>
  <c r="I4827" i="16"/>
  <c r="K4827" i="16"/>
  <c r="F4827" i="16"/>
  <c r="N4827" i="16"/>
  <c r="E4831" i="16"/>
  <c r="H4831" i="16"/>
  <c r="F4831" i="16"/>
  <c r="N4833" i="16"/>
  <c r="H4860" i="16"/>
  <c r="K4860" i="16"/>
  <c r="I4860" i="16"/>
  <c r="P4872" i="16"/>
  <c r="T4872" i="16"/>
  <c r="L4878" i="16"/>
  <c r="J4878" i="16"/>
  <c r="G4878" i="16"/>
  <c r="K4878" i="16"/>
  <c r="E4878" i="16"/>
  <c r="P4878" i="16"/>
  <c r="M4886" i="16"/>
  <c r="H4886" i="16"/>
  <c r="H4896" i="16"/>
  <c r="N4896" i="16"/>
  <c r="F4896" i="16"/>
  <c r="O4896" i="16"/>
  <c r="O4897" i="16"/>
  <c r="T4907" i="16"/>
  <c r="F4907" i="16"/>
  <c r="P4907" i="16"/>
  <c r="E4907" i="16"/>
  <c r="I4907" i="16"/>
  <c r="N4907" i="16"/>
  <c r="O4919" i="16"/>
  <c r="I4930" i="16"/>
  <c r="E4930" i="16"/>
  <c r="K4930" i="16"/>
  <c r="O4930" i="16"/>
  <c r="T4977" i="16"/>
  <c r="H4977" i="16"/>
  <c r="P4977" i="16"/>
  <c r="G4977" i="16"/>
  <c r="O4977" i="16"/>
  <c r="F4977" i="16"/>
  <c r="E4977" i="16"/>
  <c r="L4977" i="16"/>
  <c r="J4977" i="16"/>
  <c r="I4994" i="16"/>
  <c r="F4994" i="16"/>
  <c r="E4994" i="16"/>
  <c r="N4994" i="16"/>
  <c r="L4994" i="16"/>
  <c r="T5041" i="16"/>
  <c r="H5041" i="16"/>
  <c r="P5041" i="16"/>
  <c r="G5041" i="16"/>
  <c r="O5041" i="16"/>
  <c r="F5041" i="16"/>
  <c r="J5041" i="16"/>
  <c r="E5041" i="16"/>
  <c r="K5041" i="16"/>
  <c r="T5092" i="16"/>
  <c r="P5092" i="16"/>
  <c r="O5092" i="16"/>
  <c r="I5092" i="16"/>
  <c r="H5092" i="16"/>
  <c r="J5092" i="16"/>
  <c r="T5113" i="16"/>
  <c r="O5113" i="16"/>
  <c r="F5113" i="16"/>
  <c r="N5113" i="16"/>
  <c r="E5113" i="16"/>
  <c r="M5113" i="16"/>
  <c r="P5113" i="16"/>
  <c r="K5113" i="16"/>
  <c r="J5120" i="16"/>
  <c r="G5120" i="16"/>
  <c r="P5120" i="16"/>
  <c r="F5120" i="16"/>
  <c r="O5120" i="16"/>
  <c r="E5120" i="16"/>
  <c r="H5120" i="16"/>
  <c r="M5120" i="16"/>
  <c r="K5120" i="16"/>
  <c r="T5131" i="16"/>
  <c r="P5131" i="16"/>
  <c r="E5131" i="16"/>
  <c r="H5143" i="16"/>
  <c r="P5143" i="16"/>
  <c r="O5143" i="16"/>
  <c r="L5143" i="16"/>
  <c r="F5143" i="16"/>
  <c r="M5143" i="16"/>
  <c r="K5146" i="16"/>
  <c r="I5146" i="16"/>
  <c r="E5158" i="16"/>
  <c r="J5158" i="16"/>
  <c r="I5158" i="16"/>
  <c r="H5197" i="16"/>
  <c r="K5197" i="16"/>
  <c r="J5197" i="16"/>
  <c r="T5227" i="16"/>
  <c r="P5227" i="16"/>
  <c r="E5270" i="16"/>
  <c r="M5270" i="16"/>
  <c r="J5270" i="16"/>
  <c r="I5270" i="16"/>
  <c r="L5283" i="16"/>
  <c r="K5283" i="16"/>
  <c r="P5283" i="16"/>
  <c r="M5283" i="16"/>
  <c r="N5286" i="16"/>
  <c r="O5286" i="16"/>
  <c r="G5292" i="16"/>
  <c r="T5292" i="16"/>
  <c r="P5292" i="16"/>
  <c r="J5292" i="16"/>
  <c r="I5292" i="16"/>
  <c r="O5292" i="16"/>
  <c r="L5292" i="16"/>
  <c r="T5295" i="16"/>
  <c r="E5295" i="16"/>
  <c r="P5295" i="16"/>
  <c r="O5295" i="16"/>
  <c r="H5295" i="16"/>
  <c r="F5295" i="16"/>
  <c r="K5301" i="16"/>
  <c r="I5301" i="16"/>
  <c r="H5301" i="16"/>
  <c r="T5303" i="16"/>
  <c r="E5303" i="16"/>
  <c r="P5303" i="16"/>
  <c r="O5303" i="16"/>
  <c r="M5303" i="16"/>
  <c r="L5303" i="16"/>
  <c r="O5366" i="16"/>
  <c r="N5366" i="16"/>
  <c r="E5366" i="16"/>
  <c r="T5385" i="16"/>
  <c r="M5385" i="16"/>
  <c r="L5385" i="16"/>
  <c r="K5385" i="16"/>
  <c r="G5385" i="16"/>
  <c r="F5385" i="16"/>
  <c r="H5385" i="16"/>
  <c r="E5385" i="16"/>
  <c r="M5406" i="16"/>
  <c r="O5406" i="16"/>
  <c r="I5406" i="16"/>
  <c r="E5406" i="16"/>
  <c r="L5459" i="16"/>
  <c r="K5459" i="16"/>
  <c r="F5490" i="16"/>
  <c r="L5490" i="16"/>
  <c r="J5492" i="16"/>
  <c r="I5492" i="16"/>
  <c r="H5492" i="16"/>
  <c r="T5492" i="16"/>
  <c r="K5652" i="16"/>
  <c r="J5652" i="16"/>
  <c r="T5654" i="16"/>
  <c r="E5654" i="16"/>
  <c r="F5654" i="16"/>
  <c r="P5654" i="16"/>
  <c r="N5654" i="16"/>
  <c r="M5654" i="16"/>
  <c r="H5654" i="16"/>
  <c r="O5654" i="16"/>
  <c r="O5701" i="16"/>
  <c r="N5701" i="16"/>
  <c r="J5701" i="16"/>
  <c r="I5701" i="16"/>
  <c r="H5787" i="16"/>
  <c r="T5787" i="16"/>
  <c r="P5787" i="16"/>
  <c r="L5787" i="16"/>
  <c r="K5799" i="16"/>
  <c r="G5799" i="16"/>
  <c r="F5799" i="16"/>
  <c r="E5799" i="16"/>
  <c r="P5799" i="16"/>
  <c r="L5799" i="16"/>
  <c r="H5799" i="16"/>
  <c r="K5860" i="16"/>
  <c r="J5860" i="16"/>
  <c r="P340" i="17"/>
  <c r="P3796" i="16"/>
  <c r="I3802" i="16"/>
  <c r="G3824" i="16"/>
  <c r="P3824" i="16"/>
  <c r="N3830" i="16"/>
  <c r="J3832" i="16"/>
  <c r="N3838" i="16"/>
  <c r="G3841" i="16"/>
  <c r="O3845" i="16"/>
  <c r="K3857" i="16"/>
  <c r="G3864" i="16"/>
  <c r="P3864" i="16"/>
  <c r="M3875" i="16"/>
  <c r="N3878" i="16"/>
  <c r="J3888" i="16"/>
  <c r="I3899" i="16"/>
  <c r="N3906" i="16"/>
  <c r="I3907" i="16"/>
  <c r="H3917" i="16"/>
  <c r="J3920" i="16"/>
  <c r="G3929" i="16"/>
  <c r="M3941" i="16"/>
  <c r="K3943" i="16"/>
  <c r="H3960" i="16"/>
  <c r="J3968" i="16"/>
  <c r="H3981" i="16"/>
  <c r="G3996" i="16"/>
  <c r="G4003" i="16"/>
  <c r="P4003" i="16"/>
  <c r="H4006" i="16"/>
  <c r="K4021" i="16"/>
  <c r="O4026" i="16"/>
  <c r="J4033" i="16"/>
  <c r="G4073" i="16"/>
  <c r="P4073" i="16"/>
  <c r="J4079" i="16"/>
  <c r="J4086" i="16"/>
  <c r="G4097" i="16"/>
  <c r="P4097" i="16"/>
  <c r="K4100" i="16"/>
  <c r="N4109" i="16"/>
  <c r="P4112" i="16"/>
  <c r="K4114" i="16"/>
  <c r="J4129" i="16"/>
  <c r="K4131" i="16"/>
  <c r="J4145" i="16"/>
  <c r="J4207" i="16"/>
  <c r="J4214" i="16"/>
  <c r="K4228" i="16"/>
  <c r="J4233" i="16"/>
  <c r="G4306" i="16"/>
  <c r="J4311" i="16"/>
  <c r="L4314" i="16"/>
  <c r="T4316" i="16"/>
  <c r="J4321" i="16"/>
  <c r="P4336" i="16"/>
  <c r="P4337" i="16"/>
  <c r="J4342" i="16"/>
  <c r="M4352" i="16"/>
  <c r="G4361" i="16"/>
  <c r="P4361" i="16"/>
  <c r="G4394" i="16"/>
  <c r="J4399" i="16"/>
  <c r="J4401" i="16"/>
  <c r="J4429" i="16"/>
  <c r="L4429" i="16"/>
  <c r="I4429" i="16"/>
  <c r="P4429" i="16"/>
  <c r="E4442" i="16"/>
  <c r="T4442" i="16"/>
  <c r="M4442" i="16"/>
  <c r="I4486" i="16"/>
  <c r="F4486" i="16"/>
  <c r="L4492" i="16"/>
  <c r="I4492" i="16"/>
  <c r="T4498" i="16"/>
  <c r="F4498" i="16"/>
  <c r="O4498" i="16"/>
  <c r="E4498" i="16"/>
  <c r="M4498" i="16"/>
  <c r="I4502" i="16"/>
  <c r="H4502" i="16"/>
  <c r="T4505" i="16"/>
  <c r="P4505" i="16"/>
  <c r="G4505" i="16"/>
  <c r="O4505" i="16"/>
  <c r="F4505" i="16"/>
  <c r="L4505" i="16"/>
  <c r="H4509" i="16"/>
  <c r="T4509" i="16"/>
  <c r="G4509" i="16"/>
  <c r="N4509" i="16"/>
  <c r="I4519" i="16"/>
  <c r="E4519" i="16"/>
  <c r="T4521" i="16"/>
  <c r="N4521" i="16"/>
  <c r="E4521" i="16"/>
  <c r="M4521" i="16"/>
  <c r="K4521" i="16"/>
  <c r="L4543" i="16"/>
  <c r="N4543" i="16"/>
  <c r="I4543" i="16"/>
  <c r="T4545" i="16"/>
  <c r="L4545" i="16"/>
  <c r="K4545" i="16"/>
  <c r="J4545" i="16"/>
  <c r="M4588" i="16"/>
  <c r="J4588" i="16"/>
  <c r="I4588" i="16"/>
  <c r="I4597" i="16"/>
  <c r="H4597" i="16"/>
  <c r="G4597" i="16"/>
  <c r="O4597" i="16"/>
  <c r="K4599" i="16"/>
  <c r="M4599" i="16"/>
  <c r="L4599" i="16"/>
  <c r="J4599" i="16"/>
  <c r="I4611" i="16"/>
  <c r="N4611" i="16"/>
  <c r="M4611" i="16"/>
  <c r="L4611" i="16"/>
  <c r="J4624" i="16"/>
  <c r="K4624" i="16"/>
  <c r="G4624" i="16"/>
  <c r="N4624" i="16"/>
  <c r="N4626" i="16"/>
  <c r="M4626" i="16"/>
  <c r="K4626" i="16"/>
  <c r="L4645" i="16"/>
  <c r="K4645" i="16"/>
  <c r="M4651" i="16"/>
  <c r="L4651" i="16"/>
  <c r="K4651" i="16"/>
  <c r="J4653" i="16"/>
  <c r="I4653" i="16"/>
  <c r="T4654" i="16"/>
  <c r="J4654" i="16"/>
  <c r="K4727" i="16"/>
  <c r="T4727" i="16"/>
  <c r="G4727" i="16"/>
  <c r="P4727" i="16"/>
  <c r="F4727" i="16"/>
  <c r="M4727" i="16"/>
  <c r="O4754" i="16"/>
  <c r="E4754" i="16"/>
  <c r="N4754" i="16"/>
  <c r="L4754" i="16"/>
  <c r="J4787" i="16"/>
  <c r="E4787" i="16"/>
  <c r="J4792" i="16"/>
  <c r="H4792" i="16"/>
  <c r="T4792" i="16"/>
  <c r="G4792" i="16"/>
  <c r="M4792" i="16"/>
  <c r="T4801" i="16"/>
  <c r="O4801" i="16"/>
  <c r="F4801" i="16"/>
  <c r="N4801" i="16"/>
  <c r="E4801" i="16"/>
  <c r="L4801" i="16"/>
  <c r="K4815" i="16"/>
  <c r="N4815" i="16"/>
  <c r="M4815" i="16"/>
  <c r="L4815" i="16"/>
  <c r="K4836" i="16"/>
  <c r="J4836" i="16"/>
  <c r="H4848" i="16"/>
  <c r="G4848" i="16"/>
  <c r="T4849" i="16"/>
  <c r="M4849" i="16"/>
  <c r="L4849" i="16"/>
  <c r="J4849" i="16"/>
  <c r="I4853" i="16"/>
  <c r="T4853" i="16"/>
  <c r="F4853" i="16"/>
  <c r="P4853" i="16"/>
  <c r="N4853" i="16"/>
  <c r="T4857" i="16"/>
  <c r="L4857" i="16"/>
  <c r="K4857" i="16"/>
  <c r="J4857" i="16"/>
  <c r="I4892" i="16"/>
  <c r="T4892" i="16"/>
  <c r="E4892" i="16"/>
  <c r="P4892" i="16"/>
  <c r="M4892" i="16"/>
  <c r="L4902" i="16"/>
  <c r="O4902" i="16"/>
  <c r="N4902" i="16"/>
  <c r="M4902" i="16"/>
  <c r="T4913" i="16"/>
  <c r="O4913" i="16"/>
  <c r="F4913" i="16"/>
  <c r="N4913" i="16"/>
  <c r="E4913" i="16"/>
  <c r="L4913" i="16"/>
  <c r="I4916" i="16"/>
  <c r="G4916" i="16"/>
  <c r="E4916" i="16"/>
  <c r="P4916" i="16"/>
  <c r="T4929" i="16"/>
  <c r="M4929" i="16"/>
  <c r="L4929" i="16"/>
  <c r="J4929" i="16"/>
  <c r="L4942" i="16"/>
  <c r="F4942" i="16"/>
  <c r="P4942" i="16"/>
  <c r="E4942" i="16"/>
  <c r="N4942" i="16"/>
  <c r="T4945" i="16"/>
  <c r="P4945" i="16"/>
  <c r="G4945" i="16"/>
  <c r="O4945" i="16"/>
  <c r="F4945" i="16"/>
  <c r="L4945" i="16"/>
  <c r="N4954" i="16"/>
  <c r="M4954" i="16"/>
  <c r="L4954" i="16"/>
  <c r="L4966" i="16"/>
  <c r="O4966" i="16"/>
  <c r="N4966" i="16"/>
  <c r="M4966" i="16"/>
  <c r="J5012" i="16"/>
  <c r="I5012" i="16"/>
  <c r="H5012" i="16"/>
  <c r="T5017" i="16"/>
  <c r="O5017" i="16"/>
  <c r="F5017" i="16"/>
  <c r="N5017" i="16"/>
  <c r="E5017" i="16"/>
  <c r="M5017" i="16"/>
  <c r="P5017" i="16"/>
  <c r="L5017" i="16"/>
  <c r="J5030" i="16"/>
  <c r="I5030" i="16"/>
  <c r="E5030" i="16"/>
  <c r="M5030" i="16"/>
  <c r="H5084" i="16"/>
  <c r="G5084" i="16"/>
  <c r="T5084" i="16"/>
  <c r="P5084" i="16"/>
  <c r="F5090" i="16"/>
  <c r="J5090" i="16"/>
  <c r="I5090" i="16"/>
  <c r="J5112" i="16"/>
  <c r="N5112" i="16"/>
  <c r="M5112" i="16"/>
  <c r="L5112" i="16"/>
  <c r="F5112" i="16"/>
  <c r="E5112" i="16"/>
  <c r="P5112" i="16"/>
  <c r="H5125" i="16"/>
  <c r="K5125" i="16"/>
  <c r="T5129" i="16"/>
  <c r="M5129" i="16"/>
  <c r="L5129" i="16"/>
  <c r="K5129" i="16"/>
  <c r="F5129" i="16"/>
  <c r="E5129" i="16"/>
  <c r="O5129" i="16"/>
  <c r="T5139" i="16"/>
  <c r="P5139" i="16"/>
  <c r="M5139" i="16"/>
  <c r="L5139" i="16"/>
  <c r="K5162" i="16"/>
  <c r="F5162" i="16"/>
  <c r="K5226" i="16"/>
  <c r="I5226" i="16"/>
  <c r="F5226" i="16"/>
  <c r="I5290" i="16"/>
  <c r="F5290" i="16"/>
  <c r="J5341" i="16"/>
  <c r="I5341" i="16"/>
  <c r="H5341" i="16"/>
  <c r="K5341" i="16"/>
  <c r="T5343" i="16"/>
  <c r="L5343" i="16"/>
  <c r="H5343" i="16"/>
  <c r="F5343" i="16"/>
  <c r="P5343" i="16"/>
  <c r="H5452" i="16"/>
  <c r="G5452" i="16"/>
  <c r="T5452" i="16"/>
  <c r="J5452" i="16"/>
  <c r="I5452" i="16"/>
  <c r="K5466" i="16"/>
  <c r="I5466" i="16"/>
  <c r="F5466" i="16"/>
  <c r="T5468" i="16"/>
  <c r="P5468" i="16"/>
  <c r="O5468" i="16"/>
  <c r="H5468" i="16"/>
  <c r="G5468" i="16"/>
  <c r="J5498" i="16"/>
  <c r="I5498" i="16"/>
  <c r="L5498" i="16"/>
  <c r="K5498" i="16"/>
  <c r="M5507" i="16"/>
  <c r="T5507" i="16"/>
  <c r="K5507" i="16"/>
  <c r="E5507" i="16"/>
  <c r="I5516" i="16"/>
  <c r="H5516" i="16"/>
  <c r="G5516" i="16"/>
  <c r="P5516" i="16"/>
  <c r="O5516" i="16"/>
  <c r="H5557" i="16"/>
  <c r="J5557" i="16"/>
  <c r="I5557" i="16"/>
  <c r="T5603" i="16"/>
  <c r="M5626" i="16"/>
  <c r="L5626" i="16"/>
  <c r="K5626" i="16"/>
  <c r="K5650" i="16"/>
  <c r="E5650" i="16"/>
  <c r="T5682" i="16"/>
  <c r="J5682" i="16"/>
  <c r="T5697" i="16"/>
  <c r="O5697" i="16"/>
  <c r="F5697" i="16"/>
  <c r="G5697" i="16"/>
  <c r="P5697" i="16"/>
  <c r="E5697" i="16"/>
  <c r="N5697" i="16"/>
  <c r="H5697" i="16"/>
  <c r="T5705" i="16"/>
  <c r="O5705" i="16"/>
  <c r="F5705" i="16"/>
  <c r="N5705" i="16"/>
  <c r="M5705" i="16"/>
  <c r="L5705" i="16"/>
  <c r="P5705" i="16"/>
  <c r="K5705" i="16"/>
  <c r="N5885" i="16"/>
  <c r="G5885" i="16"/>
  <c r="L5927" i="16"/>
  <c r="M5927" i="16"/>
  <c r="K5927" i="16"/>
  <c r="E5927" i="16"/>
  <c r="T5932" i="16"/>
  <c r="F5932" i="16"/>
  <c r="E5932" i="16"/>
  <c r="O5932" i="16"/>
  <c r="H5932" i="16"/>
  <c r="G5932" i="16"/>
  <c r="O5953" i="16"/>
  <c r="I5953" i="16"/>
  <c r="T5992" i="16"/>
  <c r="E5992" i="16"/>
  <c r="P5992" i="16"/>
  <c r="J5992" i="16"/>
  <c r="I5992" i="16"/>
  <c r="H5992" i="16"/>
  <c r="AJ293" i="17"/>
  <c r="AM293" i="17"/>
  <c r="AL293" i="17"/>
  <c r="P848" i="17"/>
  <c r="AQ848" i="17"/>
  <c r="AD848" i="17"/>
  <c r="AR848" i="17"/>
  <c r="AA848" i="17"/>
  <c r="Z848" i="17"/>
  <c r="Y848" i="17"/>
  <c r="AP1518" i="17"/>
  <c r="AL1518" i="17"/>
  <c r="AD1518" i="17"/>
  <c r="AM1518" i="17"/>
  <c r="P1518" i="17"/>
  <c r="N1518" i="17"/>
  <c r="L1518" i="17"/>
  <c r="T1608" i="17"/>
  <c r="J1608" i="17"/>
  <c r="AH1647" i="17"/>
  <c r="AD1647" i="17"/>
  <c r="AJ1647" i="17"/>
  <c r="AB1647" i="17"/>
  <c r="V1647" i="17"/>
  <c r="T1647" i="17"/>
  <c r="J5216" i="16"/>
  <c r="H5216" i="16"/>
  <c r="G5216" i="16"/>
  <c r="P5216" i="16"/>
  <c r="F5216" i="16"/>
  <c r="E5216" i="16"/>
  <c r="O5216" i="16"/>
  <c r="I5221" i="16"/>
  <c r="H5221" i="16"/>
  <c r="M5230" i="16"/>
  <c r="I5230" i="16"/>
  <c r="E5230" i="16"/>
  <c r="O5230" i="16"/>
  <c r="T5255" i="16"/>
  <c r="H5255" i="16"/>
  <c r="F5255" i="16"/>
  <c r="E5255" i="16"/>
  <c r="M5255" i="16"/>
  <c r="L5255" i="16"/>
  <c r="P5275" i="16"/>
  <c r="E5275" i="16"/>
  <c r="T5275" i="16"/>
  <c r="K5309" i="16"/>
  <c r="J5309" i="16"/>
  <c r="I5316" i="16"/>
  <c r="H5316" i="16"/>
  <c r="G5316" i="16"/>
  <c r="P5316" i="16"/>
  <c r="O5316" i="16"/>
  <c r="J5344" i="16"/>
  <c r="N5344" i="16"/>
  <c r="M5344" i="16"/>
  <c r="L5344" i="16"/>
  <c r="P5344" i="16"/>
  <c r="O5344" i="16"/>
  <c r="K5344" i="16"/>
  <c r="K5365" i="16"/>
  <c r="I5365" i="16"/>
  <c r="H5365" i="16"/>
  <c r="T5383" i="16"/>
  <c r="F5383" i="16"/>
  <c r="E5383" i="16"/>
  <c r="P5383" i="16"/>
  <c r="O5383" i="16"/>
  <c r="K5405" i="16"/>
  <c r="J5405" i="16"/>
  <c r="I5405" i="16"/>
  <c r="T5417" i="16"/>
  <c r="M5417" i="16"/>
  <c r="L5417" i="16"/>
  <c r="K5417" i="16"/>
  <c r="E5417" i="16"/>
  <c r="P5417" i="16"/>
  <c r="N5417" i="16"/>
  <c r="T5425" i="16"/>
  <c r="H5425" i="16"/>
  <c r="P5425" i="16"/>
  <c r="G5425" i="16"/>
  <c r="O5425" i="16"/>
  <c r="F5425" i="16"/>
  <c r="L5425" i="16"/>
  <c r="K5425" i="16"/>
  <c r="T5439" i="16"/>
  <c r="F5439" i="16"/>
  <c r="E5439" i="16"/>
  <c r="P5439" i="16"/>
  <c r="H5439" i="16"/>
  <c r="J5458" i="16"/>
  <c r="I5458" i="16"/>
  <c r="L5474" i="16"/>
  <c r="K5474" i="16"/>
  <c r="J5474" i="16"/>
  <c r="E5486" i="16"/>
  <c r="I5486" i="16"/>
  <c r="J5504" i="16"/>
  <c r="N5504" i="16"/>
  <c r="M5504" i="16"/>
  <c r="L5504" i="16"/>
  <c r="H5504" i="16"/>
  <c r="G5504" i="16"/>
  <c r="P5504" i="16"/>
  <c r="J5520" i="16"/>
  <c r="P5520" i="16"/>
  <c r="F5520" i="16"/>
  <c r="O5520" i="16"/>
  <c r="E5520" i="16"/>
  <c r="N5520" i="16"/>
  <c r="G5520" i="16"/>
  <c r="T5521" i="16"/>
  <c r="H5521" i="16"/>
  <c r="P5521" i="16"/>
  <c r="G5521" i="16"/>
  <c r="O5521" i="16"/>
  <c r="F5521" i="16"/>
  <c r="M5521" i="16"/>
  <c r="T5529" i="16"/>
  <c r="P5529" i="16"/>
  <c r="G5529" i="16"/>
  <c r="O5529" i="16"/>
  <c r="F5529" i="16"/>
  <c r="N5529" i="16"/>
  <c r="E5529" i="16"/>
  <c r="K5529" i="16"/>
  <c r="J5529" i="16"/>
  <c r="H5529" i="16"/>
  <c r="J5568" i="16"/>
  <c r="H5568" i="16"/>
  <c r="G5568" i="16"/>
  <c r="P5568" i="16"/>
  <c r="F5568" i="16"/>
  <c r="K5568" i="16"/>
  <c r="E5568" i="16"/>
  <c r="O5581" i="16"/>
  <c r="J5581" i="16"/>
  <c r="I5581" i="16"/>
  <c r="I5606" i="16"/>
  <c r="F5606" i="16"/>
  <c r="T5606" i="16"/>
  <c r="H5685" i="16"/>
  <c r="I5685" i="16"/>
  <c r="G5685" i="16"/>
  <c r="F5685" i="16"/>
  <c r="K5746" i="16"/>
  <c r="J5746" i="16"/>
  <c r="M5746" i="16"/>
  <c r="L5746" i="16"/>
  <c r="I5798" i="16"/>
  <c r="G5798" i="16"/>
  <c r="M5814" i="16"/>
  <c r="H5814" i="16"/>
  <c r="I5844" i="16"/>
  <c r="H5844" i="16"/>
  <c r="G5844" i="16"/>
  <c r="J5844" i="16"/>
  <c r="K5871" i="16"/>
  <c r="G5871" i="16"/>
  <c r="E5871" i="16"/>
  <c r="P5871" i="16"/>
  <c r="O5871" i="16"/>
  <c r="L5871" i="16"/>
  <c r="H5871" i="16"/>
  <c r="F5871" i="16"/>
  <c r="K5882" i="16"/>
  <c r="L5882" i="16"/>
  <c r="T5882" i="16"/>
  <c r="M5882" i="16"/>
  <c r="J5965" i="16"/>
  <c r="O5965" i="16"/>
  <c r="E5965" i="16"/>
  <c r="G5965" i="16"/>
  <c r="K5965" i="16"/>
  <c r="H5965" i="16"/>
  <c r="F5965" i="16"/>
  <c r="M5965" i="16"/>
  <c r="L5965" i="16"/>
  <c r="O5972" i="16"/>
  <c r="P5972" i="16"/>
  <c r="I5972" i="16"/>
  <c r="E5972" i="16"/>
  <c r="F5979" i="16"/>
  <c r="E5979" i="16"/>
  <c r="T5979" i="16"/>
  <c r="H5979" i="16"/>
  <c r="G5979" i="16"/>
  <c r="P5979" i="16"/>
  <c r="O5979" i="16"/>
  <c r="N5979" i="16"/>
  <c r="F5995" i="16"/>
  <c r="E5995" i="16"/>
  <c r="O5995" i="16"/>
  <c r="N5995" i="16"/>
  <c r="H5995" i="16"/>
  <c r="G5995" i="16"/>
  <c r="AA156" i="17"/>
  <c r="Y156" i="17"/>
  <c r="AJ331" i="17"/>
  <c r="X331" i="17"/>
  <c r="AK331" i="17"/>
  <c r="W331" i="17"/>
  <c r="V331" i="17"/>
  <c r="AL331" i="17"/>
  <c r="S331" i="17"/>
  <c r="P331" i="17"/>
  <c r="AF710" i="17"/>
  <c r="AE710" i="17"/>
  <c r="T782" i="17"/>
  <c r="AG782" i="17"/>
  <c r="AF782" i="17"/>
  <c r="Z782" i="17"/>
  <c r="AI1360" i="17"/>
  <c r="AQ1360" i="17"/>
  <c r="AC1360" i="17"/>
  <c r="AB1360" i="17"/>
  <c r="W1360" i="17"/>
  <c r="U1360" i="17"/>
  <c r="L1360" i="17"/>
  <c r="K1360" i="17"/>
  <c r="K3793" i="16"/>
  <c r="J3816" i="16"/>
  <c r="J3824" i="16"/>
  <c r="P3830" i="16"/>
  <c r="L3832" i="16"/>
  <c r="K3841" i="16"/>
  <c r="T3845" i="16"/>
  <c r="M3857" i="16"/>
  <c r="J3864" i="16"/>
  <c r="L3888" i="16"/>
  <c r="L3920" i="16"/>
  <c r="K3929" i="16"/>
  <c r="P3941" i="16"/>
  <c r="P3960" i="16"/>
  <c r="M3968" i="16"/>
  <c r="L3981" i="16"/>
  <c r="J4003" i="16"/>
  <c r="L4006" i="16"/>
  <c r="T4026" i="16"/>
  <c r="M4033" i="16"/>
  <c r="J4073" i="16"/>
  <c r="M4086" i="16"/>
  <c r="J4097" i="16"/>
  <c r="P4109" i="16"/>
  <c r="L4129" i="16"/>
  <c r="L4145" i="16"/>
  <c r="M4160" i="16"/>
  <c r="L4181" i="16"/>
  <c r="M4202" i="16"/>
  <c r="J4209" i="16"/>
  <c r="M4214" i="16"/>
  <c r="L4233" i="16"/>
  <c r="T4252" i="16"/>
  <c r="K4280" i="16"/>
  <c r="L4321" i="16"/>
  <c r="J4337" i="16"/>
  <c r="M4342" i="16"/>
  <c r="P4352" i="16"/>
  <c r="J4361" i="16"/>
  <c r="N4365" i="16"/>
  <c r="M4394" i="16"/>
  <c r="L4401" i="16"/>
  <c r="I4416" i="16"/>
  <c r="L4416" i="16"/>
  <c r="H4416" i="16"/>
  <c r="P4416" i="16"/>
  <c r="T4529" i="16"/>
  <c r="N4529" i="16"/>
  <c r="E4529" i="16"/>
  <c r="M4529" i="16"/>
  <c r="K4529" i="16"/>
  <c r="T4537" i="16"/>
  <c r="L4537" i="16"/>
  <c r="K4537" i="16"/>
  <c r="J4537" i="16"/>
  <c r="N4545" i="16"/>
  <c r="K4568" i="16"/>
  <c r="M4568" i="16"/>
  <c r="H4568" i="16"/>
  <c r="T4577" i="16"/>
  <c r="L4577" i="16"/>
  <c r="K4577" i="16"/>
  <c r="J4577" i="16"/>
  <c r="T4597" i="16"/>
  <c r="O4599" i="16"/>
  <c r="T4601" i="16"/>
  <c r="N4601" i="16"/>
  <c r="E4601" i="16"/>
  <c r="M4601" i="16"/>
  <c r="K4601" i="16"/>
  <c r="T4611" i="16"/>
  <c r="P4624" i="16"/>
  <c r="O4626" i="16"/>
  <c r="L4644" i="16"/>
  <c r="K4644" i="16"/>
  <c r="T4649" i="16"/>
  <c r="P4649" i="16"/>
  <c r="G4649" i="16"/>
  <c r="O4649" i="16"/>
  <c r="F4649" i="16"/>
  <c r="L4649" i="16"/>
  <c r="P4651" i="16"/>
  <c r="I4699" i="16"/>
  <c r="P4699" i="16"/>
  <c r="N4699" i="16"/>
  <c r="M4699" i="16"/>
  <c r="E4702" i="16"/>
  <c r="T4702" i="16"/>
  <c r="O4702" i="16"/>
  <c r="K4717" i="16"/>
  <c r="H4717" i="16"/>
  <c r="I4725" i="16"/>
  <c r="O4725" i="16"/>
  <c r="N4725" i="16"/>
  <c r="L4725" i="16"/>
  <c r="O4727" i="16"/>
  <c r="L4750" i="16"/>
  <c r="N4750" i="16"/>
  <c r="M4750" i="16"/>
  <c r="K4750" i="16"/>
  <c r="T4754" i="16"/>
  <c r="I4764" i="16"/>
  <c r="O4764" i="16"/>
  <c r="M4764" i="16"/>
  <c r="L4764" i="16"/>
  <c r="T4769" i="16"/>
  <c r="L4769" i="16"/>
  <c r="K4769" i="16"/>
  <c r="J4769" i="16"/>
  <c r="K4786" i="16"/>
  <c r="J4786" i="16"/>
  <c r="L4790" i="16"/>
  <c r="P4790" i="16"/>
  <c r="F4790" i="16"/>
  <c r="O4790" i="16"/>
  <c r="E4790" i="16"/>
  <c r="M4790" i="16"/>
  <c r="O4792" i="16"/>
  <c r="P4801" i="16"/>
  <c r="P4815" i="16"/>
  <c r="I4828" i="16"/>
  <c r="P4828" i="16"/>
  <c r="O4828" i="16"/>
  <c r="L4828" i="16"/>
  <c r="I4847" i="16"/>
  <c r="H4847" i="16"/>
  <c r="N4849" i="16"/>
  <c r="N4851" i="16"/>
  <c r="M4851" i="16"/>
  <c r="L4854" i="16"/>
  <c r="H4854" i="16"/>
  <c r="T4854" i="16"/>
  <c r="G4854" i="16"/>
  <c r="M4854" i="16"/>
  <c r="N4857" i="16"/>
  <c r="T4865" i="16"/>
  <c r="N4865" i="16"/>
  <c r="E4865" i="16"/>
  <c r="M4865" i="16"/>
  <c r="K4865" i="16"/>
  <c r="T4868" i="16"/>
  <c r="G4868" i="16"/>
  <c r="P4868" i="16"/>
  <c r="E4868" i="16"/>
  <c r="M4868" i="16"/>
  <c r="J4880" i="16"/>
  <c r="F4880" i="16"/>
  <c r="P4880" i="16"/>
  <c r="E4880" i="16"/>
  <c r="N4880" i="16"/>
  <c r="J4885" i="16"/>
  <c r="I4885" i="16"/>
  <c r="I4893" i="16"/>
  <c r="H4893" i="16"/>
  <c r="N4893" i="16"/>
  <c r="J4904" i="16"/>
  <c r="E4904" i="16"/>
  <c r="N4904" i="16"/>
  <c r="I4906" i="16"/>
  <c r="N4906" i="16"/>
  <c r="M4906" i="16"/>
  <c r="L4906" i="16"/>
  <c r="I4912" i="16"/>
  <c r="H4912" i="16"/>
  <c r="P4913" i="16"/>
  <c r="J4920" i="16"/>
  <c r="H4920" i="16"/>
  <c r="T4920" i="16"/>
  <c r="G4920" i="16"/>
  <c r="M4920" i="16"/>
  <c r="N4929" i="16"/>
  <c r="I4936" i="16"/>
  <c r="H4936" i="16"/>
  <c r="T4937" i="16"/>
  <c r="O4937" i="16"/>
  <c r="F4937" i="16"/>
  <c r="N4937" i="16"/>
  <c r="E4937" i="16"/>
  <c r="L4937" i="16"/>
  <c r="N4945" i="16"/>
  <c r="H4959" i="16"/>
  <c r="F4959" i="16"/>
  <c r="E4959" i="16"/>
  <c r="T4961" i="16"/>
  <c r="M4961" i="16"/>
  <c r="L4961" i="16"/>
  <c r="K4961" i="16"/>
  <c r="P4961" i="16"/>
  <c r="O4961" i="16"/>
  <c r="J4961" i="16"/>
  <c r="I4981" i="16"/>
  <c r="H4981" i="16"/>
  <c r="G4981" i="16"/>
  <c r="T4981" i="16"/>
  <c r="F4981" i="16"/>
  <c r="L4981" i="16"/>
  <c r="K4981" i="16"/>
  <c r="T4993" i="16"/>
  <c r="N4993" i="16"/>
  <c r="E4993" i="16"/>
  <c r="M4993" i="16"/>
  <c r="L4993" i="16"/>
  <c r="G4993" i="16"/>
  <c r="F4993" i="16"/>
  <c r="P4993" i="16"/>
  <c r="O5024" i="16"/>
  <c r="N5024" i="16"/>
  <c r="I5024" i="16"/>
  <c r="H5024" i="16"/>
  <c r="J5028" i="16"/>
  <c r="I5028" i="16"/>
  <c r="H5028" i="16"/>
  <c r="T5028" i="16"/>
  <c r="J5032" i="16"/>
  <c r="N5032" i="16"/>
  <c r="M5032" i="16"/>
  <c r="L5032" i="16"/>
  <c r="H5032" i="16"/>
  <c r="G5032" i="16"/>
  <c r="P5032" i="16"/>
  <c r="M5038" i="16"/>
  <c r="O5038" i="16"/>
  <c r="I5038" i="16"/>
  <c r="J5048" i="16"/>
  <c r="H5048" i="16"/>
  <c r="G5048" i="16"/>
  <c r="P5048" i="16"/>
  <c r="F5048" i="16"/>
  <c r="M5048" i="16"/>
  <c r="L5048" i="16"/>
  <c r="T5073" i="16"/>
  <c r="M5073" i="16"/>
  <c r="L5073" i="16"/>
  <c r="K5073" i="16"/>
  <c r="H5073" i="16"/>
  <c r="G5073" i="16"/>
  <c r="O5073" i="16"/>
  <c r="O5078" i="16"/>
  <c r="N5078" i="16"/>
  <c r="M5078" i="16"/>
  <c r="K5093" i="16"/>
  <c r="J5093" i="16"/>
  <c r="I5093" i="16"/>
  <c r="H5093" i="16"/>
  <c r="H5111" i="16"/>
  <c r="L5111" i="16"/>
  <c r="F5111" i="16"/>
  <c r="E5111" i="16"/>
  <c r="N5111" i="16"/>
  <c r="M5111" i="16"/>
  <c r="T5137" i="16"/>
  <c r="M5137" i="16"/>
  <c r="L5137" i="16"/>
  <c r="K5137" i="16"/>
  <c r="E5137" i="16"/>
  <c r="P5137" i="16"/>
  <c r="N5137" i="16"/>
  <c r="J5248" i="16"/>
  <c r="H5248" i="16"/>
  <c r="G5248" i="16"/>
  <c r="P5248" i="16"/>
  <c r="F5248" i="16"/>
  <c r="M5248" i="16"/>
  <c r="L5248" i="16"/>
  <c r="J5280" i="16"/>
  <c r="H5280" i="16"/>
  <c r="G5280" i="16"/>
  <c r="P5280" i="16"/>
  <c r="F5280" i="16"/>
  <c r="M5280" i="16"/>
  <c r="L5280" i="16"/>
  <c r="H5284" i="16"/>
  <c r="G5284" i="16"/>
  <c r="T5284" i="16"/>
  <c r="J5284" i="16"/>
  <c r="I5284" i="16"/>
  <c r="J5320" i="16"/>
  <c r="P5320" i="16"/>
  <c r="F5320" i="16"/>
  <c r="O5320" i="16"/>
  <c r="E5320" i="16"/>
  <c r="N5320" i="16"/>
  <c r="G5320" i="16"/>
  <c r="T5321" i="16"/>
  <c r="H5321" i="16"/>
  <c r="P5321" i="16"/>
  <c r="G5321" i="16"/>
  <c r="O5321" i="16"/>
  <c r="F5321" i="16"/>
  <c r="M5321" i="16"/>
  <c r="T5335" i="16"/>
  <c r="F5335" i="16"/>
  <c r="E5335" i="16"/>
  <c r="P5335" i="16"/>
  <c r="M5335" i="16"/>
  <c r="L5335" i="16"/>
  <c r="T5345" i="16"/>
  <c r="O5345" i="16"/>
  <c r="F5345" i="16"/>
  <c r="N5345" i="16"/>
  <c r="E5345" i="16"/>
  <c r="M5345" i="16"/>
  <c r="K5345" i="16"/>
  <c r="J5345" i="16"/>
  <c r="O5350" i="16"/>
  <c r="M5350" i="16"/>
  <c r="J5350" i="16"/>
  <c r="L5370" i="16"/>
  <c r="K5370" i="16"/>
  <c r="J5370" i="16"/>
  <c r="I5370" i="16"/>
  <c r="T5412" i="16"/>
  <c r="P5412" i="16"/>
  <c r="O5412" i="16"/>
  <c r="G5412" i="16"/>
  <c r="O5417" i="16"/>
  <c r="T5455" i="16"/>
  <c r="E5455" i="16"/>
  <c r="P5455" i="16"/>
  <c r="O5455" i="16"/>
  <c r="M5455" i="16"/>
  <c r="L5455" i="16"/>
  <c r="T5473" i="16"/>
  <c r="P5473" i="16"/>
  <c r="G5473" i="16"/>
  <c r="O5473" i="16"/>
  <c r="F5473" i="16"/>
  <c r="N5473" i="16"/>
  <c r="E5473" i="16"/>
  <c r="K5473" i="16"/>
  <c r="J5473" i="16"/>
  <c r="J5480" i="16"/>
  <c r="G5480" i="16"/>
  <c r="P5480" i="16"/>
  <c r="F5480" i="16"/>
  <c r="O5480" i="16"/>
  <c r="E5480" i="16"/>
  <c r="N5480" i="16"/>
  <c r="T5505" i="16"/>
  <c r="O5505" i="16"/>
  <c r="F5505" i="16"/>
  <c r="N5505" i="16"/>
  <c r="E5505" i="16"/>
  <c r="M5505" i="16"/>
  <c r="G5505" i="16"/>
  <c r="P5505" i="16"/>
  <c r="N5521" i="16"/>
  <c r="K5615" i="16"/>
  <c r="O5615" i="16"/>
  <c r="N5615" i="16"/>
  <c r="M5615" i="16"/>
  <c r="P5615" i="16"/>
  <c r="L5615" i="16"/>
  <c r="I5628" i="16"/>
  <c r="J5628" i="16"/>
  <c r="H5628" i="16"/>
  <c r="G5628" i="16"/>
  <c r="P5628" i="16"/>
  <c r="O5628" i="16"/>
  <c r="J5664" i="16"/>
  <c r="N5664" i="16"/>
  <c r="O5664" i="16"/>
  <c r="M5664" i="16"/>
  <c r="L5664" i="16"/>
  <c r="P5664" i="16"/>
  <c r="K5664" i="16"/>
  <c r="M5670" i="16"/>
  <c r="I5670" i="16"/>
  <c r="K5711" i="16"/>
  <c r="M5711" i="16"/>
  <c r="F5711" i="16"/>
  <c r="E5711" i="16"/>
  <c r="P5711" i="16"/>
  <c r="L5711" i="16"/>
  <c r="H5711" i="16"/>
  <c r="G5711" i="16"/>
  <c r="T5729" i="16"/>
  <c r="O5729" i="16"/>
  <c r="F5729" i="16"/>
  <c r="P5729" i="16"/>
  <c r="E5729" i="16"/>
  <c r="N5729" i="16"/>
  <c r="M5729" i="16"/>
  <c r="L5729" i="16"/>
  <c r="G5766" i="16"/>
  <c r="E5766" i="16"/>
  <c r="H5766" i="16"/>
  <c r="F5766" i="16"/>
  <c r="M5766" i="16"/>
  <c r="T5777" i="16"/>
  <c r="L5777" i="16"/>
  <c r="G5777" i="16"/>
  <c r="P5777" i="16"/>
  <c r="F5777" i="16"/>
  <c r="O5777" i="16"/>
  <c r="E5777" i="16"/>
  <c r="K5777" i="16"/>
  <c r="J5777" i="16"/>
  <c r="H5777" i="16"/>
  <c r="J5792" i="16"/>
  <c r="O5792" i="16"/>
  <c r="E5792" i="16"/>
  <c r="P5792" i="16"/>
  <c r="N5792" i="16"/>
  <c r="M5792" i="16"/>
  <c r="F5792" i="16"/>
  <c r="T5793" i="16"/>
  <c r="P5793" i="16"/>
  <c r="G5793" i="16"/>
  <c r="J5793" i="16"/>
  <c r="H5793" i="16"/>
  <c r="F5793" i="16"/>
  <c r="O5793" i="16"/>
  <c r="N5793" i="16"/>
  <c r="L5802" i="16"/>
  <c r="I5802" i="16"/>
  <c r="J5802" i="16"/>
  <c r="T5809" i="16"/>
  <c r="M5809" i="16"/>
  <c r="N5809" i="16"/>
  <c r="L5809" i="16"/>
  <c r="K5809" i="16"/>
  <c r="F5809" i="16"/>
  <c r="E5809" i="16"/>
  <c r="P5809" i="16"/>
  <c r="M5924" i="16"/>
  <c r="L5924" i="16"/>
  <c r="O5937" i="16"/>
  <c r="L5937" i="16"/>
  <c r="P5956" i="16"/>
  <c r="O5956" i="16"/>
  <c r="I5956" i="16"/>
  <c r="U53" i="17"/>
  <c r="V53" i="17"/>
  <c r="X53" i="17"/>
  <c r="W53" i="17"/>
  <c r="Z156" i="17"/>
  <c r="AB259" i="17"/>
  <c r="AK259" i="17"/>
  <c r="O259" i="17"/>
  <c r="AJ259" i="17"/>
  <c r="N259" i="17"/>
  <c r="W259" i="17"/>
  <c r="V259" i="17"/>
  <c r="S259" i="17"/>
  <c r="AR259" i="17"/>
  <c r="AI259" i="17"/>
  <c r="AF259" i="17"/>
  <c r="S392" i="17"/>
  <c r="R392" i="17"/>
  <c r="AI392" i="17"/>
  <c r="AR464" i="17"/>
  <c r="AP464" i="17"/>
  <c r="Z464" i="17"/>
  <c r="K464" i="17"/>
  <c r="AN464" i="17"/>
  <c r="Y464" i="17"/>
  <c r="J464" i="17"/>
  <c r="X464" i="17"/>
  <c r="AQ464" i="17"/>
  <c r="R464" i="17"/>
  <c r="AM464" i="17"/>
  <c r="Q464" i="17"/>
  <c r="AF464" i="17"/>
  <c r="AB464" i="17"/>
  <c r="AA464" i="17"/>
  <c r="P464" i="17"/>
  <c r="O464" i="17"/>
  <c r="AA495" i="17"/>
  <c r="K495" i="17"/>
  <c r="AB495" i="17"/>
  <c r="Y516" i="17"/>
  <c r="AH516" i="17"/>
  <c r="AB516" i="17"/>
  <c r="AA516" i="17"/>
  <c r="Z516" i="17"/>
  <c r="T579" i="17"/>
  <c r="AR579" i="17"/>
  <c r="AM579" i="17"/>
  <c r="AL579" i="17"/>
  <c r="AA579" i="17"/>
  <c r="V579" i="17"/>
  <c r="U579" i="17"/>
  <c r="AD710" i="17"/>
  <c r="K5559" i="16"/>
  <c r="F5559" i="16"/>
  <c r="P5559" i="16"/>
  <c r="E5559" i="16"/>
  <c r="O5559" i="16"/>
  <c r="N5559" i="16"/>
  <c r="G5574" i="16"/>
  <c r="T5574" i="16"/>
  <c r="P5574" i="16"/>
  <c r="O5574" i="16"/>
  <c r="N5574" i="16"/>
  <c r="H5582" i="16"/>
  <c r="N5582" i="16"/>
  <c r="G5582" i="16"/>
  <c r="F5582" i="16"/>
  <c r="K5583" i="16"/>
  <c r="P5583" i="16"/>
  <c r="E5583" i="16"/>
  <c r="O5583" i="16"/>
  <c r="N5583" i="16"/>
  <c r="M5583" i="16"/>
  <c r="J5600" i="16"/>
  <c r="O5600" i="16"/>
  <c r="E5600" i="16"/>
  <c r="N5600" i="16"/>
  <c r="M5600" i="16"/>
  <c r="L5600" i="16"/>
  <c r="J5627" i="16"/>
  <c r="I5627" i="16"/>
  <c r="H5627" i="16"/>
  <c r="J5632" i="16"/>
  <c r="P5632" i="16"/>
  <c r="F5632" i="16"/>
  <c r="O5632" i="16"/>
  <c r="E5632" i="16"/>
  <c r="N5632" i="16"/>
  <c r="M5632" i="16"/>
  <c r="P5643" i="16"/>
  <c r="K5643" i="16"/>
  <c r="P5684" i="16"/>
  <c r="T5684" i="16"/>
  <c r="O5684" i="16"/>
  <c r="K5684" i="16"/>
  <c r="J5700" i="16"/>
  <c r="G5700" i="16"/>
  <c r="P5700" i="16"/>
  <c r="I5700" i="16"/>
  <c r="H5700" i="16"/>
  <c r="T5713" i="16"/>
  <c r="P5713" i="16"/>
  <c r="G5713" i="16"/>
  <c r="F5713" i="16"/>
  <c r="O5713" i="16"/>
  <c r="E5713" i="16"/>
  <c r="N5713" i="16"/>
  <c r="M5713" i="16"/>
  <c r="T5721" i="16"/>
  <c r="P5721" i="16"/>
  <c r="G5721" i="16"/>
  <c r="J5721" i="16"/>
  <c r="H5721" i="16"/>
  <c r="F5721" i="16"/>
  <c r="N5721" i="16"/>
  <c r="L5730" i="16"/>
  <c r="K5730" i="16"/>
  <c r="K5759" i="16"/>
  <c r="F5759" i="16"/>
  <c r="P5759" i="16"/>
  <c r="O5759" i="16"/>
  <c r="N5759" i="16"/>
  <c r="M5759" i="16"/>
  <c r="J5764" i="16"/>
  <c r="G5764" i="16"/>
  <c r="T5790" i="16"/>
  <c r="P5790" i="16"/>
  <c r="I5790" i="16"/>
  <c r="J5795" i="16"/>
  <c r="P5795" i="16"/>
  <c r="J5810" i="16"/>
  <c r="T5810" i="16"/>
  <c r="J5832" i="16"/>
  <c r="M5832" i="16"/>
  <c r="O5832" i="16"/>
  <c r="N5832" i="16"/>
  <c r="L5832" i="16"/>
  <c r="K5832" i="16"/>
  <c r="P5843" i="16"/>
  <c r="L5843" i="16"/>
  <c r="K5843" i="16"/>
  <c r="N5846" i="16"/>
  <c r="F5846" i="16"/>
  <c r="E5846" i="16"/>
  <c r="T5846" i="16"/>
  <c r="P5846" i="16"/>
  <c r="J5864" i="16"/>
  <c r="P5864" i="16"/>
  <c r="F5864" i="16"/>
  <c r="H5864" i="16"/>
  <c r="G5864" i="16"/>
  <c r="E5864" i="16"/>
  <c r="O5864" i="16"/>
  <c r="I5884" i="16"/>
  <c r="G5884" i="16"/>
  <c r="O5884" i="16"/>
  <c r="J5884" i="16"/>
  <c r="H5884" i="16"/>
  <c r="G5894" i="16"/>
  <c r="E5894" i="16"/>
  <c r="P5894" i="16"/>
  <c r="O5894" i="16"/>
  <c r="P5904" i="16"/>
  <c r="F5904" i="16"/>
  <c r="E5904" i="16"/>
  <c r="T5904" i="16"/>
  <c r="N5904" i="16"/>
  <c r="T5910" i="16"/>
  <c r="H5910" i="16"/>
  <c r="P5910" i="16"/>
  <c r="F5910" i="16"/>
  <c r="O5910" i="16"/>
  <c r="E5910" i="16"/>
  <c r="N5910" i="16"/>
  <c r="M5910" i="16"/>
  <c r="T5942" i="16"/>
  <c r="N5942" i="16"/>
  <c r="E5942" i="16"/>
  <c r="G5942" i="16"/>
  <c r="P5942" i="16"/>
  <c r="F5942" i="16"/>
  <c r="O5942" i="16"/>
  <c r="M5942" i="16"/>
  <c r="J5952" i="16"/>
  <c r="E5952" i="16"/>
  <c r="I5952" i="16"/>
  <c r="H5952" i="16"/>
  <c r="J5997" i="16"/>
  <c r="G5997" i="16"/>
  <c r="P5997" i="16"/>
  <c r="F5997" i="16"/>
  <c r="K5997" i="16"/>
  <c r="O5997" i="16"/>
  <c r="N5997" i="16"/>
  <c r="X73" i="17"/>
  <c r="AB73" i="17"/>
  <c r="R156" i="17"/>
  <c r="N281" i="17"/>
  <c r="AA281" i="17"/>
  <c r="X281" i="17"/>
  <c r="Q622" i="17"/>
  <c r="R622" i="17"/>
  <c r="AG974" i="17"/>
  <c r="Y974" i="17"/>
  <c r="P974" i="17"/>
  <c r="N974" i="17"/>
  <c r="AH974" i="17"/>
  <c r="V974" i="17"/>
  <c r="U974" i="17"/>
  <c r="Z1179" i="17"/>
  <c r="AL1179" i="17"/>
  <c r="AE1179" i="17"/>
  <c r="AM1179" i="17"/>
  <c r="H4407" i="16"/>
  <c r="K4408" i="16"/>
  <c r="O4424" i="16"/>
  <c r="H4425" i="16"/>
  <c r="L4426" i="16"/>
  <c r="L4428" i="16"/>
  <c r="L4437" i="16"/>
  <c r="I4445" i="16"/>
  <c r="L4448" i="16"/>
  <c r="I4455" i="16"/>
  <c r="H4457" i="16"/>
  <c r="M4458" i="16"/>
  <c r="H4463" i="16"/>
  <c r="H4465" i="16"/>
  <c r="H4473" i="16"/>
  <c r="L4474" i="16"/>
  <c r="K4476" i="16"/>
  <c r="H4510" i="16"/>
  <c r="K4515" i="16"/>
  <c r="K4523" i="16"/>
  <c r="H4535" i="16"/>
  <c r="K4536" i="16"/>
  <c r="L4541" i="16"/>
  <c r="J4553" i="16"/>
  <c r="I4566" i="16"/>
  <c r="K4571" i="16"/>
  <c r="M4580" i="16"/>
  <c r="H4585" i="16"/>
  <c r="L4586" i="16"/>
  <c r="H4593" i="16"/>
  <c r="J4598" i="16"/>
  <c r="K4622" i="16"/>
  <c r="T4628" i="16"/>
  <c r="L4631" i="16"/>
  <c r="L4636" i="16"/>
  <c r="M4648" i="16"/>
  <c r="M4660" i="16"/>
  <c r="J4662" i="16"/>
  <c r="J4673" i="16"/>
  <c r="J4686" i="16"/>
  <c r="J4689" i="16"/>
  <c r="O4730" i="16"/>
  <c r="H4793" i="16"/>
  <c r="P4805" i="16"/>
  <c r="P4807" i="16"/>
  <c r="K4810" i="16"/>
  <c r="H4817" i="16"/>
  <c r="I4843" i="16"/>
  <c r="H4855" i="16"/>
  <c r="K4856" i="16"/>
  <c r="H4881" i="16"/>
  <c r="K4882" i="16"/>
  <c r="O4894" i="16"/>
  <c r="J4905" i="16"/>
  <c r="H4921" i="16"/>
  <c r="L4931" i="16"/>
  <c r="L4941" i="16"/>
  <c r="J4943" i="16"/>
  <c r="I4957" i="16"/>
  <c r="H4957" i="16"/>
  <c r="T4957" i="16"/>
  <c r="G4957" i="16"/>
  <c r="O4957" i="16"/>
  <c r="J4968" i="16"/>
  <c r="F4968" i="16"/>
  <c r="E4968" i="16"/>
  <c r="O4968" i="16"/>
  <c r="T4976" i="16"/>
  <c r="P4976" i="16"/>
  <c r="L4976" i="16"/>
  <c r="I5000" i="16"/>
  <c r="H5000" i="16"/>
  <c r="J5002" i="16"/>
  <c r="I5002" i="16"/>
  <c r="G5002" i="16"/>
  <c r="K5007" i="16"/>
  <c r="P5007" i="16"/>
  <c r="E5007" i="16"/>
  <c r="O5007" i="16"/>
  <c r="N5007" i="16"/>
  <c r="M5007" i="16"/>
  <c r="T5036" i="16"/>
  <c r="P5036" i="16"/>
  <c r="O5036" i="16"/>
  <c r="L5036" i="16"/>
  <c r="H5055" i="16"/>
  <c r="E5055" i="16"/>
  <c r="P5055" i="16"/>
  <c r="O5055" i="16"/>
  <c r="N5077" i="16"/>
  <c r="H5077" i="16"/>
  <c r="T5089" i="16"/>
  <c r="M5089" i="16"/>
  <c r="L5089" i="16"/>
  <c r="K5089" i="16"/>
  <c r="J5089" i="16"/>
  <c r="T5097" i="16"/>
  <c r="P5097" i="16"/>
  <c r="G5097" i="16"/>
  <c r="O5097" i="16"/>
  <c r="F5097" i="16"/>
  <c r="N5097" i="16"/>
  <c r="E5097" i="16"/>
  <c r="M5097" i="16"/>
  <c r="H5127" i="16"/>
  <c r="E5127" i="16"/>
  <c r="P5127" i="16"/>
  <c r="O5127" i="16"/>
  <c r="K5130" i="16"/>
  <c r="F5130" i="16"/>
  <c r="H5167" i="16"/>
  <c r="M5167" i="16"/>
  <c r="L5167" i="16"/>
  <c r="F5167" i="16"/>
  <c r="J5168" i="16"/>
  <c r="O5168" i="16"/>
  <c r="E5168" i="16"/>
  <c r="N5168" i="16"/>
  <c r="M5168" i="16"/>
  <c r="L5168" i="16"/>
  <c r="J5176" i="16"/>
  <c r="P5176" i="16"/>
  <c r="F5176" i="16"/>
  <c r="O5176" i="16"/>
  <c r="E5176" i="16"/>
  <c r="N5176" i="16"/>
  <c r="M5176" i="16"/>
  <c r="H5199" i="16"/>
  <c r="F5199" i="16"/>
  <c r="E5199" i="16"/>
  <c r="P5199" i="16"/>
  <c r="T5225" i="16"/>
  <c r="N5225" i="16"/>
  <c r="E5225" i="16"/>
  <c r="M5225" i="16"/>
  <c r="L5225" i="16"/>
  <c r="K5225" i="16"/>
  <c r="T5252" i="16"/>
  <c r="P5252" i="16"/>
  <c r="O5252" i="16"/>
  <c r="L5252" i="16"/>
  <c r="T5257" i="16"/>
  <c r="N5257" i="16"/>
  <c r="E5257" i="16"/>
  <c r="M5257" i="16"/>
  <c r="L5257" i="16"/>
  <c r="K5257" i="16"/>
  <c r="T5311" i="16"/>
  <c r="H5311" i="16"/>
  <c r="F5311" i="16"/>
  <c r="E5311" i="16"/>
  <c r="P5311" i="16"/>
  <c r="T5409" i="16"/>
  <c r="P5409" i="16"/>
  <c r="G5409" i="16"/>
  <c r="O5409" i="16"/>
  <c r="F5409" i="16"/>
  <c r="N5409" i="16"/>
  <c r="E5409" i="16"/>
  <c r="M5409" i="16"/>
  <c r="T5420" i="16"/>
  <c r="P5420" i="16"/>
  <c r="O5420" i="16"/>
  <c r="L5420" i="16"/>
  <c r="J5432" i="16"/>
  <c r="G5432" i="16"/>
  <c r="P5432" i="16"/>
  <c r="F5432" i="16"/>
  <c r="O5432" i="16"/>
  <c r="E5432" i="16"/>
  <c r="N5432" i="16"/>
  <c r="H5500" i="16"/>
  <c r="G5500" i="16"/>
  <c r="T5500" i="16"/>
  <c r="P5500" i="16"/>
  <c r="J5508" i="16"/>
  <c r="I5508" i="16"/>
  <c r="H5508" i="16"/>
  <c r="T5508" i="16"/>
  <c r="M5510" i="16"/>
  <c r="M5534" i="16"/>
  <c r="O5534" i="16"/>
  <c r="I5534" i="16"/>
  <c r="E5534" i="16"/>
  <c r="T5537" i="16"/>
  <c r="O5537" i="16"/>
  <c r="F5537" i="16"/>
  <c r="N5537" i="16"/>
  <c r="E5537" i="16"/>
  <c r="M5537" i="16"/>
  <c r="L5537" i="16"/>
  <c r="T5543" i="16"/>
  <c r="P5543" i="16"/>
  <c r="O5543" i="16"/>
  <c r="N5543" i="16"/>
  <c r="M5543" i="16"/>
  <c r="K5575" i="16"/>
  <c r="H5575" i="16"/>
  <c r="G5575" i="16"/>
  <c r="F5575" i="16"/>
  <c r="O5575" i="16"/>
  <c r="J5578" i="16"/>
  <c r="I5578" i="16"/>
  <c r="E5578" i="16"/>
  <c r="J5584" i="16"/>
  <c r="H5584" i="16"/>
  <c r="G5584" i="16"/>
  <c r="P5584" i="16"/>
  <c r="F5584" i="16"/>
  <c r="N5584" i="16"/>
  <c r="K5591" i="16"/>
  <c r="P5591" i="16"/>
  <c r="E5591" i="16"/>
  <c r="O5591" i="16"/>
  <c r="N5591" i="16"/>
  <c r="M5591" i="16"/>
  <c r="P5600" i="16"/>
  <c r="K5607" i="16"/>
  <c r="F5607" i="16"/>
  <c r="P5607" i="16"/>
  <c r="E5607" i="16"/>
  <c r="O5607" i="16"/>
  <c r="N5607" i="16"/>
  <c r="J5616" i="16"/>
  <c r="G5616" i="16"/>
  <c r="P5616" i="16"/>
  <c r="F5616" i="16"/>
  <c r="O5616" i="16"/>
  <c r="E5616" i="16"/>
  <c r="N5616" i="16"/>
  <c r="T5625" i="16"/>
  <c r="O5625" i="16"/>
  <c r="F5625" i="16"/>
  <c r="N5625" i="16"/>
  <c r="E5625" i="16"/>
  <c r="M5625" i="16"/>
  <c r="L5625" i="16"/>
  <c r="T5633" i="16"/>
  <c r="H5633" i="16"/>
  <c r="P5633" i="16"/>
  <c r="G5633" i="16"/>
  <c r="O5633" i="16"/>
  <c r="F5633" i="16"/>
  <c r="M5633" i="16"/>
  <c r="T5658" i="16"/>
  <c r="T5665" i="16"/>
  <c r="O5665" i="16"/>
  <c r="F5665" i="16"/>
  <c r="H5665" i="16"/>
  <c r="G5665" i="16"/>
  <c r="P5665" i="16"/>
  <c r="E5665" i="16"/>
  <c r="N5665" i="16"/>
  <c r="G5702" i="16"/>
  <c r="E5702" i="16"/>
  <c r="N5702" i="16"/>
  <c r="M5702" i="16"/>
  <c r="H5702" i="16"/>
  <c r="J5706" i="16"/>
  <c r="K5706" i="16"/>
  <c r="M5706" i="16"/>
  <c r="I5706" i="16"/>
  <c r="E5706" i="16"/>
  <c r="O5709" i="16"/>
  <c r="J5709" i="16"/>
  <c r="I5709" i="16"/>
  <c r="O5721" i="16"/>
  <c r="K5735" i="16"/>
  <c r="G5735" i="16"/>
  <c r="E5735" i="16"/>
  <c r="P5735" i="16"/>
  <c r="O5735" i="16"/>
  <c r="N5735" i="16"/>
  <c r="J5744" i="16"/>
  <c r="M5744" i="16"/>
  <c r="G5744" i="16"/>
  <c r="F5744" i="16"/>
  <c r="P5744" i="16"/>
  <c r="E5744" i="16"/>
  <c r="O5744" i="16"/>
  <c r="P5748" i="16"/>
  <c r="G5748" i="16"/>
  <c r="K5751" i="16"/>
  <c r="N5751" i="16"/>
  <c r="P5751" i="16"/>
  <c r="O5751" i="16"/>
  <c r="M5751" i="16"/>
  <c r="L5751" i="16"/>
  <c r="J5772" i="16"/>
  <c r="O5772" i="16"/>
  <c r="I5772" i="16"/>
  <c r="H5772" i="16"/>
  <c r="T5801" i="16"/>
  <c r="M5801" i="16"/>
  <c r="O5801" i="16"/>
  <c r="E5801" i="16"/>
  <c r="N5801" i="16"/>
  <c r="L5801" i="16"/>
  <c r="K5801" i="16"/>
  <c r="K5807" i="16"/>
  <c r="G5807" i="16"/>
  <c r="E5807" i="16"/>
  <c r="P5807" i="16"/>
  <c r="O5807" i="16"/>
  <c r="N5807" i="16"/>
  <c r="T5817" i="16"/>
  <c r="M5817" i="16"/>
  <c r="N5817" i="16"/>
  <c r="L5817" i="16"/>
  <c r="K5817" i="16"/>
  <c r="J5817" i="16"/>
  <c r="P5832" i="16"/>
  <c r="O5837" i="16"/>
  <c r="J5837" i="16"/>
  <c r="T5841" i="16"/>
  <c r="K5841" i="16"/>
  <c r="O5841" i="16"/>
  <c r="E5841" i="16"/>
  <c r="N5841" i="16"/>
  <c r="M5841" i="16"/>
  <c r="L5841" i="16"/>
  <c r="G5854" i="16"/>
  <c r="F5854" i="16"/>
  <c r="E5854" i="16"/>
  <c r="T5873" i="16"/>
  <c r="M5873" i="16"/>
  <c r="N5873" i="16"/>
  <c r="L5873" i="16"/>
  <c r="K5873" i="16"/>
  <c r="J5873" i="16"/>
  <c r="H5875" i="16"/>
  <c r="K5875" i="16"/>
  <c r="J5875" i="16"/>
  <c r="I5875" i="16"/>
  <c r="L5915" i="16"/>
  <c r="P5915" i="16"/>
  <c r="E5915" i="16"/>
  <c r="G5915" i="16"/>
  <c r="F5915" i="16"/>
  <c r="T5915" i="16"/>
  <c r="O5915" i="16"/>
  <c r="T5918" i="16"/>
  <c r="L5918" i="16"/>
  <c r="H5918" i="16"/>
  <c r="G5918" i="16"/>
  <c r="P5918" i="16"/>
  <c r="F5918" i="16"/>
  <c r="N5918" i="16"/>
  <c r="H5964" i="16"/>
  <c r="I5964" i="16"/>
  <c r="O5964" i="16"/>
  <c r="L5991" i="16"/>
  <c r="E5991" i="16"/>
  <c r="T5991" i="16"/>
  <c r="M5991" i="16"/>
  <c r="K5991" i="16"/>
  <c r="AA73" i="17"/>
  <c r="AO178" i="17"/>
  <c r="AP178" i="17"/>
  <c r="AM178" i="17"/>
  <c r="AG178" i="17"/>
  <c r="R178" i="17"/>
  <c r="AI200" i="17"/>
  <c r="AB200" i="17"/>
  <c r="W200" i="17"/>
  <c r="AG200" i="17"/>
  <c r="AF200" i="17"/>
  <c r="R204" i="17"/>
  <c r="Q204" i="17"/>
  <c r="AI204" i="17"/>
  <c r="AH204" i="17"/>
  <c r="AB204" i="17"/>
  <c r="AB231" i="17"/>
  <c r="W231" i="17"/>
  <c r="P231" i="17"/>
  <c r="AM231" i="17"/>
  <c r="AL231" i="17"/>
  <c r="AK231" i="17"/>
  <c r="O231" i="17"/>
  <c r="AR231" i="17"/>
  <c r="AF231" i="17"/>
  <c r="AQ269" i="17"/>
  <c r="AK269" i="17"/>
  <c r="AO282" i="17"/>
  <c r="Z282" i="17"/>
  <c r="O282" i="17"/>
  <c r="AQ319" i="17"/>
  <c r="T319" i="17"/>
  <c r="AN319" i="17"/>
  <c r="O319" i="17"/>
  <c r="W319" i="17"/>
  <c r="U319" i="17"/>
  <c r="L319" i="17"/>
  <c r="K319" i="17"/>
  <c r="AR319" i="17"/>
  <c r="AK319" i="17"/>
  <c r="AI319" i="17"/>
  <c r="AP335" i="17"/>
  <c r="AE335" i="17"/>
  <c r="P335" i="17"/>
  <c r="AR335" i="17"/>
  <c r="AC335" i="17"/>
  <c r="O335" i="17"/>
  <c r="AI335" i="17"/>
  <c r="M335" i="17"/>
  <c r="AB335" i="17"/>
  <c r="L335" i="17"/>
  <c r="AA335" i="17"/>
  <c r="K335" i="17"/>
  <c r="AK335" i="17"/>
  <c r="X335" i="17"/>
  <c r="W335" i="17"/>
  <c r="V335" i="17"/>
  <c r="AI379" i="17"/>
  <c r="S379" i="17"/>
  <c r="AH379" i="17"/>
  <c r="P379" i="17"/>
  <c r="AQ379" i="17"/>
  <c r="V379" i="17"/>
  <c r="AM379" i="17"/>
  <c r="O379" i="17"/>
  <c r="AL379" i="17"/>
  <c r="N379" i="17"/>
  <c r="AC379" i="17"/>
  <c r="AB379" i="17"/>
  <c r="Z379" i="17"/>
  <c r="X379" i="17"/>
  <c r="AM655" i="17"/>
  <c r="Z655" i="17"/>
  <c r="M655" i="17"/>
  <c r="AL655" i="17"/>
  <c r="X655" i="17"/>
  <c r="L655" i="17"/>
  <c r="AH655" i="17"/>
  <c r="O655" i="17"/>
  <c r="AE655" i="17"/>
  <c r="N655" i="17"/>
  <c r="AB655" i="17"/>
  <c r="W655" i="17"/>
  <c r="V655" i="17"/>
  <c r="AI655" i="17"/>
  <c r="AC655" i="17"/>
  <c r="S655" i="17"/>
  <c r="P655" i="17"/>
  <c r="K655" i="17"/>
  <c r="AQ655" i="17"/>
  <c r="AP655" i="17"/>
  <c r="AL885" i="17"/>
  <c r="P885" i="17"/>
  <c r="AK885" i="17"/>
  <c r="L885" i="17"/>
  <c r="AB885" i="17"/>
  <c r="Y885" i="17"/>
  <c r="T885" i="17"/>
  <c r="AR885" i="17"/>
  <c r="AM885" i="17"/>
  <c r="AG885" i="17"/>
  <c r="R885" i="17"/>
  <c r="Q885" i="17"/>
  <c r="AL974" i="17"/>
  <c r="AB1196" i="17"/>
  <c r="V1196" i="17"/>
  <c r="AL1196" i="17"/>
  <c r="U1196" i="17"/>
  <c r="J1196" i="17"/>
  <c r="AQ1196" i="17"/>
  <c r="AP1196" i="17"/>
  <c r="AR1326" i="17"/>
  <c r="AH1326" i="17"/>
  <c r="U1326" i="17"/>
  <c r="J4407" i="16"/>
  <c r="L4408" i="16"/>
  <c r="J4425" i="16"/>
  <c r="N4426" i="16"/>
  <c r="O4437" i="16"/>
  <c r="J4457" i="16"/>
  <c r="N4458" i="16"/>
  <c r="J4465" i="16"/>
  <c r="J4473" i="16"/>
  <c r="J4535" i="16"/>
  <c r="L4536" i="16"/>
  <c r="K4553" i="16"/>
  <c r="J4585" i="16"/>
  <c r="M4586" i="16"/>
  <c r="J4593" i="16"/>
  <c r="K4598" i="16"/>
  <c r="M4622" i="16"/>
  <c r="J4633" i="16"/>
  <c r="M4636" i="16"/>
  <c r="N4648" i="16"/>
  <c r="O4660" i="16"/>
  <c r="K4662" i="16"/>
  <c r="K4673" i="16"/>
  <c r="K4686" i="16"/>
  <c r="K4689" i="16"/>
  <c r="J4705" i="16"/>
  <c r="M4710" i="16"/>
  <c r="L4714" i="16"/>
  <c r="J4729" i="16"/>
  <c r="L4752" i="16"/>
  <c r="M4775" i="16"/>
  <c r="J4793" i="16"/>
  <c r="T4805" i="16"/>
  <c r="T4807" i="16"/>
  <c r="J4817" i="16"/>
  <c r="J4855" i="16"/>
  <c r="L4856" i="16"/>
  <c r="J4881" i="16"/>
  <c r="J4921" i="16"/>
  <c r="N4941" i="16"/>
  <c r="L4943" i="16"/>
  <c r="T4985" i="16"/>
  <c r="N4985" i="16"/>
  <c r="E4985" i="16"/>
  <c r="M4985" i="16"/>
  <c r="L4985" i="16"/>
  <c r="K4985" i="16"/>
  <c r="J5008" i="16"/>
  <c r="K5008" i="16"/>
  <c r="G5008" i="16"/>
  <c r="F5008" i="16"/>
  <c r="O5008" i="16"/>
  <c r="K5016" i="16"/>
  <c r="I5016" i="16"/>
  <c r="H5016" i="16"/>
  <c r="L5018" i="16"/>
  <c r="N5018" i="16"/>
  <c r="J5018" i="16"/>
  <c r="E5018" i="16"/>
  <c r="T5025" i="16"/>
  <c r="H5025" i="16"/>
  <c r="P5025" i="16"/>
  <c r="G5025" i="16"/>
  <c r="O5025" i="16"/>
  <c r="F5025" i="16"/>
  <c r="M5025" i="16"/>
  <c r="K5037" i="16"/>
  <c r="J5037" i="16"/>
  <c r="I5037" i="16"/>
  <c r="J5052" i="16"/>
  <c r="I5052" i="16"/>
  <c r="H5052" i="16"/>
  <c r="T5052" i="16"/>
  <c r="N5089" i="16"/>
  <c r="M5094" i="16"/>
  <c r="J5094" i="16"/>
  <c r="I5094" i="16"/>
  <c r="K5098" i="16"/>
  <c r="I5098" i="16"/>
  <c r="J5104" i="16"/>
  <c r="G5104" i="16"/>
  <c r="P5104" i="16"/>
  <c r="F5104" i="16"/>
  <c r="O5104" i="16"/>
  <c r="E5104" i="16"/>
  <c r="N5104" i="16"/>
  <c r="I5108" i="16"/>
  <c r="H5108" i="16"/>
  <c r="G5108" i="16"/>
  <c r="T5108" i="16"/>
  <c r="K5114" i="16"/>
  <c r="J5114" i="16"/>
  <c r="I5114" i="16"/>
  <c r="J5132" i="16"/>
  <c r="I5132" i="16"/>
  <c r="H5132" i="16"/>
  <c r="T5132" i="16"/>
  <c r="H5135" i="16"/>
  <c r="E5135" i="16"/>
  <c r="P5135" i="16"/>
  <c r="O5135" i="16"/>
  <c r="T5153" i="16"/>
  <c r="P5153" i="16"/>
  <c r="G5153" i="16"/>
  <c r="O5153" i="16"/>
  <c r="F5153" i="16"/>
  <c r="N5153" i="16"/>
  <c r="E5153" i="16"/>
  <c r="M5153" i="16"/>
  <c r="P5168" i="16"/>
  <c r="T5177" i="16"/>
  <c r="H5177" i="16"/>
  <c r="P5177" i="16"/>
  <c r="G5177" i="16"/>
  <c r="O5177" i="16"/>
  <c r="F5177" i="16"/>
  <c r="M5177" i="16"/>
  <c r="J5192" i="16"/>
  <c r="H5192" i="16"/>
  <c r="G5192" i="16"/>
  <c r="P5192" i="16"/>
  <c r="F5192" i="16"/>
  <c r="N5192" i="16"/>
  <c r="G5204" i="16"/>
  <c r="T5204" i="16"/>
  <c r="P5204" i="16"/>
  <c r="O5204" i="16"/>
  <c r="O5225" i="16"/>
  <c r="H5231" i="16"/>
  <c r="L5231" i="16"/>
  <c r="F5231" i="16"/>
  <c r="E5231" i="16"/>
  <c r="J5232" i="16"/>
  <c r="N5232" i="16"/>
  <c r="M5232" i="16"/>
  <c r="L5232" i="16"/>
  <c r="K5232" i="16"/>
  <c r="T5247" i="16"/>
  <c r="P5247" i="16"/>
  <c r="O5247" i="16"/>
  <c r="N5247" i="16"/>
  <c r="M5247" i="16"/>
  <c r="K5253" i="16"/>
  <c r="J5253" i="16"/>
  <c r="I5253" i="16"/>
  <c r="O5257" i="16"/>
  <c r="T5263" i="16"/>
  <c r="F5263" i="16"/>
  <c r="E5263" i="16"/>
  <c r="P5263" i="16"/>
  <c r="O5263" i="16"/>
  <c r="I5276" i="16"/>
  <c r="H5276" i="16"/>
  <c r="G5276" i="16"/>
  <c r="T5276" i="16"/>
  <c r="T5279" i="16"/>
  <c r="P5279" i="16"/>
  <c r="O5279" i="16"/>
  <c r="N5279" i="16"/>
  <c r="M5279" i="16"/>
  <c r="M5358" i="16"/>
  <c r="J5358" i="16"/>
  <c r="I5358" i="16"/>
  <c r="J5368" i="16"/>
  <c r="O5368" i="16"/>
  <c r="E5368" i="16"/>
  <c r="N5368" i="16"/>
  <c r="M5368" i="16"/>
  <c r="L5368" i="16"/>
  <c r="M5371" i="16"/>
  <c r="L5371" i="16"/>
  <c r="K5371" i="16"/>
  <c r="J5376" i="16"/>
  <c r="G5376" i="16"/>
  <c r="P5376" i="16"/>
  <c r="F5376" i="16"/>
  <c r="O5376" i="16"/>
  <c r="E5376" i="16"/>
  <c r="N5376" i="16"/>
  <c r="J5382" i="16"/>
  <c r="I5382" i="16"/>
  <c r="E5382" i="16"/>
  <c r="T5391" i="16"/>
  <c r="E5391" i="16"/>
  <c r="P5391" i="16"/>
  <c r="O5391" i="16"/>
  <c r="N5391" i="16"/>
  <c r="J5400" i="16"/>
  <c r="P5400" i="16"/>
  <c r="F5400" i="16"/>
  <c r="O5400" i="16"/>
  <c r="E5400" i="16"/>
  <c r="N5400" i="16"/>
  <c r="M5400" i="16"/>
  <c r="T5404" i="16"/>
  <c r="P5404" i="16"/>
  <c r="O5404" i="16"/>
  <c r="L5404" i="16"/>
  <c r="J5424" i="16"/>
  <c r="P5424" i="16"/>
  <c r="F5424" i="16"/>
  <c r="O5424" i="16"/>
  <c r="E5424" i="16"/>
  <c r="N5424" i="16"/>
  <c r="M5424" i="16"/>
  <c r="T5449" i="16"/>
  <c r="P5449" i="16"/>
  <c r="G5449" i="16"/>
  <c r="O5449" i="16"/>
  <c r="F5449" i="16"/>
  <c r="N5449" i="16"/>
  <c r="E5449" i="16"/>
  <c r="M5449" i="16"/>
  <c r="T5465" i="16"/>
  <c r="N5465" i="16"/>
  <c r="E5465" i="16"/>
  <c r="M5465" i="16"/>
  <c r="L5465" i="16"/>
  <c r="K5465" i="16"/>
  <c r="J5472" i="16"/>
  <c r="O5472" i="16"/>
  <c r="E5472" i="16"/>
  <c r="N5472" i="16"/>
  <c r="M5472" i="16"/>
  <c r="L5472" i="16"/>
  <c r="T5497" i="16"/>
  <c r="N5497" i="16"/>
  <c r="E5497" i="16"/>
  <c r="M5497" i="16"/>
  <c r="L5497" i="16"/>
  <c r="K5497" i="16"/>
  <c r="T5503" i="16"/>
  <c r="L5503" i="16"/>
  <c r="H5503" i="16"/>
  <c r="F5503" i="16"/>
  <c r="P5503" i="16"/>
  <c r="J5528" i="16"/>
  <c r="O5528" i="16"/>
  <c r="E5528" i="16"/>
  <c r="N5528" i="16"/>
  <c r="M5528" i="16"/>
  <c r="L5528" i="16"/>
  <c r="P5537" i="16"/>
  <c r="J5544" i="16"/>
  <c r="H5544" i="16"/>
  <c r="G5544" i="16"/>
  <c r="P5544" i="16"/>
  <c r="F5544" i="16"/>
  <c r="N5544" i="16"/>
  <c r="I5558" i="16"/>
  <c r="H5558" i="16"/>
  <c r="P5575" i="16"/>
  <c r="O5584" i="16"/>
  <c r="J5592" i="16"/>
  <c r="H5592" i="16"/>
  <c r="G5592" i="16"/>
  <c r="P5592" i="16"/>
  <c r="F5592" i="16"/>
  <c r="N5592" i="16"/>
  <c r="T5601" i="16"/>
  <c r="P5601" i="16"/>
  <c r="G5601" i="16"/>
  <c r="O5601" i="16"/>
  <c r="F5601" i="16"/>
  <c r="N5601" i="16"/>
  <c r="E5601" i="16"/>
  <c r="M5601" i="16"/>
  <c r="T5613" i="16"/>
  <c r="P5613" i="16"/>
  <c r="O5613" i="16"/>
  <c r="N5613" i="16"/>
  <c r="P5625" i="16"/>
  <c r="N5633" i="16"/>
  <c r="T5641" i="16"/>
  <c r="O5641" i="16"/>
  <c r="F5641" i="16"/>
  <c r="P5641" i="16"/>
  <c r="E5641" i="16"/>
  <c r="N5641" i="16"/>
  <c r="M5641" i="16"/>
  <c r="L5641" i="16"/>
  <c r="F5677" i="16"/>
  <c r="I5677" i="16"/>
  <c r="H5677" i="16"/>
  <c r="G5677" i="16"/>
  <c r="J5688" i="16"/>
  <c r="L5688" i="16"/>
  <c r="F5688" i="16"/>
  <c r="P5688" i="16"/>
  <c r="E5688" i="16"/>
  <c r="O5688" i="16"/>
  <c r="N5688" i="16"/>
  <c r="H5708" i="16"/>
  <c r="O5708" i="16"/>
  <c r="J5708" i="16"/>
  <c r="I5708" i="16"/>
  <c r="G5726" i="16"/>
  <c r="F5726" i="16"/>
  <c r="E5726" i="16"/>
  <c r="I5733" i="16"/>
  <c r="O5733" i="16"/>
  <c r="T5733" i="16"/>
  <c r="I5747" i="16"/>
  <c r="J5747" i="16"/>
  <c r="H5747" i="16"/>
  <c r="J5752" i="16"/>
  <c r="P5752" i="16"/>
  <c r="F5752" i="16"/>
  <c r="K5752" i="16"/>
  <c r="H5752" i="16"/>
  <c r="G5752" i="16"/>
  <c r="O5752" i="16"/>
  <c r="P5805" i="16"/>
  <c r="H5805" i="16"/>
  <c r="G5805" i="16"/>
  <c r="F5805" i="16"/>
  <c r="J5824" i="16"/>
  <c r="N5824" i="16"/>
  <c r="H5824" i="16"/>
  <c r="G5824" i="16"/>
  <c r="F5824" i="16"/>
  <c r="O5824" i="16"/>
  <c r="T5833" i="16"/>
  <c r="N5833" i="16"/>
  <c r="E5833" i="16"/>
  <c r="H5833" i="16"/>
  <c r="G5833" i="16"/>
  <c r="P5833" i="16"/>
  <c r="F5833" i="16"/>
  <c r="O5833" i="16"/>
  <c r="N5845" i="16"/>
  <c r="J5845" i="16"/>
  <c r="F5845" i="16"/>
  <c r="J5848" i="16"/>
  <c r="H5848" i="16"/>
  <c r="G5848" i="16"/>
  <c r="F5848" i="16"/>
  <c r="P5848" i="16"/>
  <c r="E5848" i="16"/>
  <c r="O5848" i="16"/>
  <c r="T5857" i="16"/>
  <c r="H5857" i="16"/>
  <c r="P5857" i="16"/>
  <c r="F5857" i="16"/>
  <c r="O5857" i="16"/>
  <c r="E5857" i="16"/>
  <c r="N5857" i="16"/>
  <c r="M5857" i="16"/>
  <c r="N5886" i="16"/>
  <c r="P5886" i="16"/>
  <c r="N5901" i="16"/>
  <c r="M5901" i="16"/>
  <c r="O5918" i="16"/>
  <c r="J5957" i="16"/>
  <c r="H5957" i="16"/>
  <c r="M5957" i="16"/>
  <c r="F5957" i="16"/>
  <c r="E5957" i="16"/>
  <c r="P5957" i="16"/>
  <c r="O5957" i="16"/>
  <c r="I5970" i="16"/>
  <c r="H5970" i="16"/>
  <c r="T5970" i="16"/>
  <c r="P5970" i="16"/>
  <c r="O5970" i="16"/>
  <c r="T5975" i="16"/>
  <c r="N5975" i="16"/>
  <c r="H5984" i="16"/>
  <c r="E5984" i="16"/>
  <c r="U29" i="17"/>
  <c r="T29" i="17"/>
  <c r="AQ223" i="17"/>
  <c r="P223" i="17"/>
  <c r="AN223" i="17"/>
  <c r="M223" i="17"/>
  <c r="AM223" i="17"/>
  <c r="AE223" i="17"/>
  <c r="AB223" i="17"/>
  <c r="W223" i="17"/>
  <c r="AR223" i="17"/>
  <c r="N231" i="17"/>
  <c r="U283" i="17"/>
  <c r="AQ283" i="17"/>
  <c r="O289" i="17"/>
  <c r="N289" i="17"/>
  <c r="AM289" i="17"/>
  <c r="AL289" i="17"/>
  <c r="X319" i="17"/>
  <c r="N335" i="17"/>
  <c r="P372" i="17"/>
  <c r="AJ372" i="17"/>
  <c r="AE372" i="17"/>
  <c r="AM372" i="17"/>
  <c r="L379" i="17"/>
  <c r="AN603" i="17"/>
  <c r="AM603" i="17"/>
  <c r="AE614" i="17"/>
  <c r="R614" i="17"/>
  <c r="AQ614" i="17"/>
  <c r="O614" i="17"/>
  <c r="W614" i="17"/>
  <c r="S614" i="17"/>
  <c r="AG614" i="17"/>
  <c r="AD614" i="17"/>
  <c r="N614" i="17"/>
  <c r="AN614" i="17"/>
  <c r="AI614" i="17"/>
  <c r="K614" i="17"/>
  <c r="AK655" i="17"/>
  <c r="AJ695" i="17"/>
  <c r="AD695" i="17"/>
  <c r="M695" i="17"/>
  <c r="AB695" i="17"/>
  <c r="L695" i="17"/>
  <c r="AP695" i="17"/>
  <c r="R695" i="17"/>
  <c r="AN695" i="17"/>
  <c r="P695" i="17"/>
  <c r="AL695" i="17"/>
  <c r="AI695" i="17"/>
  <c r="AE695" i="17"/>
  <c r="AR695" i="17"/>
  <c r="AA695" i="17"/>
  <c r="Z695" i="17"/>
  <c r="Q892" i="17"/>
  <c r="AP892" i="17"/>
  <c r="N892" i="17"/>
  <c r="AH892" i="17"/>
  <c r="AG892" i="17"/>
  <c r="Y892" i="17"/>
  <c r="AN892" i="17"/>
  <c r="V892" i="17"/>
  <c r="U892" i="17"/>
  <c r="AR974" i="17"/>
  <c r="AL1171" i="17"/>
  <c r="AK1171" i="17"/>
  <c r="L1230" i="17"/>
  <c r="AR1230" i="17"/>
  <c r="F5877" i="16"/>
  <c r="T5877" i="16"/>
  <c r="H5883" i="16"/>
  <c r="J5883" i="16"/>
  <c r="I5883" i="16"/>
  <c r="P5920" i="16"/>
  <c r="J5920" i="16"/>
  <c r="I5920" i="16"/>
  <c r="P5930" i="16"/>
  <c r="F5930" i="16"/>
  <c r="T5930" i="16"/>
  <c r="O5930" i="16"/>
  <c r="N5930" i="16"/>
  <c r="T5950" i="16"/>
  <c r="L5950" i="16"/>
  <c r="G5950" i="16"/>
  <c r="H5950" i="16"/>
  <c r="F5950" i="16"/>
  <c r="P5950" i="16"/>
  <c r="E5950" i="16"/>
  <c r="O5950" i="16"/>
  <c r="J5989" i="16"/>
  <c r="H5989" i="16"/>
  <c r="G5989" i="16"/>
  <c r="K5989" i="16"/>
  <c r="M5989" i="16"/>
  <c r="L5989" i="16"/>
  <c r="F5989" i="16"/>
  <c r="AG184" i="17"/>
  <c r="AF184" i="17"/>
  <c r="AB184" i="17"/>
  <c r="AR184" i="17"/>
  <c r="W184" i="17"/>
  <c r="P204" i="17"/>
  <c r="Z218" i="17"/>
  <c r="AQ218" i="17"/>
  <c r="AH218" i="17"/>
  <c r="S223" i="17"/>
  <c r="X231" i="17"/>
  <c r="O275" i="17"/>
  <c r="AM275" i="17"/>
  <c r="N275" i="17"/>
  <c r="AL275" i="17"/>
  <c r="AK275" i="17"/>
  <c r="AJ275" i="17"/>
  <c r="AC275" i="17"/>
  <c r="W275" i="17"/>
  <c r="AN283" i="17"/>
  <c r="X289" i="17"/>
  <c r="AF319" i="17"/>
  <c r="S335" i="17"/>
  <c r="R349" i="17"/>
  <c r="AJ349" i="17"/>
  <c r="Y372" i="17"/>
  <c r="AE445" i="17"/>
  <c r="AD445" i="17"/>
  <c r="AF445" i="17"/>
  <c r="AC445" i="17"/>
  <c r="M445" i="17"/>
  <c r="L445" i="17"/>
  <c r="K445" i="17"/>
  <c r="W618" i="17"/>
  <c r="N618" i="17"/>
  <c r="Z618" i="17"/>
  <c r="Y618" i="17"/>
  <c r="AM618" i="17"/>
  <c r="X618" i="17"/>
  <c r="J687" i="17"/>
  <c r="AK687" i="17"/>
  <c r="AD687" i="17"/>
  <c r="N695" i="17"/>
  <c r="AE725" i="17"/>
  <c r="AD725" i="17"/>
  <c r="AC725" i="17"/>
  <c r="X725" i="17"/>
  <c r="S725" i="17"/>
  <c r="AJ773" i="17"/>
  <c r="AD773" i="17"/>
  <c r="AK773" i="17"/>
  <c r="X773" i="17"/>
  <c r="W773" i="17"/>
  <c r="S773" i="17"/>
  <c r="P773" i="17"/>
  <c r="Z791" i="17"/>
  <c r="V791" i="17"/>
  <c r="AR791" i="17"/>
  <c r="AK791" i="17"/>
  <c r="AJ791" i="17"/>
  <c r="AR815" i="17"/>
  <c r="Y815" i="17"/>
  <c r="V815" i="17"/>
  <c r="U815" i="17"/>
  <c r="AQ1172" i="17"/>
  <c r="AP1172" i="17"/>
  <c r="AL1172" i="17"/>
  <c r="Z1172" i="17"/>
  <c r="Q1172" i="17"/>
  <c r="M1172" i="17"/>
  <c r="J4967" i="16"/>
  <c r="J4969" i="16"/>
  <c r="J4972" i="16"/>
  <c r="P4973" i="16"/>
  <c r="K4974" i="16"/>
  <c r="I4975" i="16"/>
  <c r="L4980" i="16"/>
  <c r="H4982" i="16"/>
  <c r="J4983" i="16"/>
  <c r="L4995" i="16"/>
  <c r="J5006" i="16"/>
  <c r="J5009" i="16"/>
  <c r="O5022" i="16"/>
  <c r="J5026" i="16"/>
  <c r="L5027" i="16"/>
  <c r="L5039" i="16"/>
  <c r="I5044" i="16"/>
  <c r="N5047" i="16"/>
  <c r="H5049" i="16"/>
  <c r="H5056" i="16"/>
  <c r="N5063" i="16"/>
  <c r="H5065" i="16"/>
  <c r="H5072" i="16"/>
  <c r="J5076" i="16"/>
  <c r="L5079" i="16"/>
  <c r="H5088" i="16"/>
  <c r="O5102" i="16"/>
  <c r="M5103" i="16"/>
  <c r="G5105" i="16"/>
  <c r="P5105" i="16"/>
  <c r="M5119" i="16"/>
  <c r="G5121" i="16"/>
  <c r="P5121" i="16"/>
  <c r="M5123" i="16"/>
  <c r="I5124" i="16"/>
  <c r="H5128" i="16"/>
  <c r="H5136" i="16"/>
  <c r="G5144" i="16"/>
  <c r="J5145" i="16"/>
  <c r="H5160" i="16"/>
  <c r="L5175" i="16"/>
  <c r="G5184" i="16"/>
  <c r="J5185" i="16"/>
  <c r="N5191" i="16"/>
  <c r="H5193" i="16"/>
  <c r="I5196" i="16"/>
  <c r="K5200" i="16"/>
  <c r="N5215" i="16"/>
  <c r="H5217" i="16"/>
  <c r="J5220" i="16"/>
  <c r="K5224" i="16"/>
  <c r="J5228" i="16"/>
  <c r="L5236" i="16"/>
  <c r="N5239" i="16"/>
  <c r="L5244" i="16"/>
  <c r="K5256" i="16"/>
  <c r="J5273" i="16"/>
  <c r="K5288" i="16"/>
  <c r="J5297" i="16"/>
  <c r="L5300" i="16"/>
  <c r="J5305" i="16"/>
  <c r="K5312" i="16"/>
  <c r="K5328" i="16"/>
  <c r="H5336" i="16"/>
  <c r="L5340" i="16"/>
  <c r="G5352" i="16"/>
  <c r="J5353" i="16"/>
  <c r="L5356" i="16"/>
  <c r="J5364" i="16"/>
  <c r="H5367" i="16"/>
  <c r="M5375" i="16"/>
  <c r="G5377" i="16"/>
  <c r="P5377" i="16"/>
  <c r="L5380" i="16"/>
  <c r="H5384" i="16"/>
  <c r="I5388" i="16"/>
  <c r="G5392" i="16"/>
  <c r="J5393" i="16"/>
  <c r="M5431" i="16"/>
  <c r="J5457" i="16"/>
  <c r="K5464" i="16"/>
  <c r="M5479" i="16"/>
  <c r="J5489" i="16"/>
  <c r="K5496" i="16"/>
  <c r="M5511" i="16"/>
  <c r="G5513" i="16"/>
  <c r="P5513" i="16"/>
  <c r="L5519" i="16"/>
  <c r="K5525" i="16"/>
  <c r="J5526" i="16"/>
  <c r="H5527" i="16"/>
  <c r="J5540" i="16"/>
  <c r="H5545" i="16"/>
  <c r="J5548" i="16"/>
  <c r="L5551" i="16"/>
  <c r="G5560" i="16"/>
  <c r="J5561" i="16"/>
  <c r="P5564" i="16"/>
  <c r="H5569" i="16"/>
  <c r="P5572" i="16"/>
  <c r="K5576" i="16"/>
  <c r="I5580" i="16"/>
  <c r="H5585" i="16"/>
  <c r="H5590" i="16"/>
  <c r="H5593" i="16"/>
  <c r="H5599" i="16"/>
  <c r="G5608" i="16"/>
  <c r="J5609" i="16"/>
  <c r="G5617" i="16"/>
  <c r="P5617" i="16"/>
  <c r="P5619" i="16"/>
  <c r="G5623" i="16"/>
  <c r="L5631" i="16"/>
  <c r="M5634" i="16"/>
  <c r="K5635" i="16"/>
  <c r="I5636" i="16"/>
  <c r="P5644" i="16"/>
  <c r="K5647" i="16"/>
  <c r="F5647" i="16"/>
  <c r="M5647" i="16"/>
  <c r="H5657" i="16"/>
  <c r="O5661" i="16"/>
  <c r="J5667" i="16"/>
  <c r="K5667" i="16"/>
  <c r="J5672" i="16"/>
  <c r="N5672" i="16"/>
  <c r="K5672" i="16"/>
  <c r="T5681" i="16"/>
  <c r="O5681" i="16"/>
  <c r="F5681" i="16"/>
  <c r="K5681" i="16"/>
  <c r="N5686" i="16"/>
  <c r="G5689" i="16"/>
  <c r="J5692" i="16"/>
  <c r="J5696" i="16"/>
  <c r="N5696" i="16"/>
  <c r="K5696" i="16"/>
  <c r="G5704" i="16"/>
  <c r="T5722" i="16"/>
  <c r="N5725" i="16"/>
  <c r="I5734" i="16"/>
  <c r="G5734" i="16"/>
  <c r="N5741" i="16"/>
  <c r="K5743" i="16"/>
  <c r="H5743" i="16"/>
  <c r="M5743" i="16"/>
  <c r="T5761" i="16"/>
  <c r="L5761" i="16"/>
  <c r="J5761" i="16"/>
  <c r="N5782" i="16"/>
  <c r="J5784" i="16"/>
  <c r="N5784" i="16"/>
  <c r="K5784" i="16"/>
  <c r="T5825" i="16"/>
  <c r="O5825" i="16"/>
  <c r="F5825" i="16"/>
  <c r="K5825" i="16"/>
  <c r="T5828" i="16"/>
  <c r="G5830" i="16"/>
  <c r="T5830" i="16"/>
  <c r="N5830" i="16"/>
  <c r="K5863" i="16"/>
  <c r="N5863" i="16"/>
  <c r="L5863" i="16"/>
  <c r="T5865" i="16"/>
  <c r="H5865" i="16"/>
  <c r="K5865" i="16"/>
  <c r="T5881" i="16"/>
  <c r="M5881" i="16"/>
  <c r="J5881" i="16"/>
  <c r="T5892" i="16"/>
  <c r="K5903" i="16"/>
  <c r="M5905" i="16"/>
  <c r="K5914" i="16"/>
  <c r="I5919" i="16"/>
  <c r="I5921" i="16"/>
  <c r="H5931" i="16"/>
  <c r="J5936" i="16"/>
  <c r="I5938" i="16"/>
  <c r="J5941" i="16"/>
  <c r="M5941" i="16"/>
  <c r="K5941" i="16"/>
  <c r="P5960" i="16"/>
  <c r="G5962" i="16"/>
  <c r="T5962" i="16"/>
  <c r="N5962" i="16"/>
  <c r="L19" i="17"/>
  <c r="AP205" i="17"/>
  <c r="AE205" i="17"/>
  <c r="M205" i="17"/>
  <c r="AB205" i="17"/>
  <c r="L205" i="17"/>
  <c r="X205" i="17"/>
  <c r="U205" i="17"/>
  <c r="AR205" i="17"/>
  <c r="P205" i="17"/>
  <c r="N205" i="17"/>
  <c r="AJ262" i="17"/>
  <c r="R262" i="17"/>
  <c r="Q262" i="17"/>
  <c r="AA262" i="17"/>
  <c r="X262" i="17"/>
  <c r="W262" i="17"/>
  <c r="L272" i="17"/>
  <c r="AO272" i="17"/>
  <c r="AN272" i="17"/>
  <c r="AJ294" i="17"/>
  <c r="AQ294" i="17"/>
  <c r="Q294" i="17"/>
  <c r="AN294" i="17"/>
  <c r="P294" i="17"/>
  <c r="Y294" i="17"/>
  <c r="R294" i="17"/>
  <c r="O294" i="17"/>
  <c r="AB294" i="17"/>
  <c r="AQ345" i="17"/>
  <c r="AC345" i="17"/>
  <c r="AB345" i="17"/>
  <c r="X345" i="17"/>
  <c r="J345" i="17"/>
  <c r="AA423" i="17"/>
  <c r="AC423" i="17"/>
  <c r="AH512" i="17"/>
  <c r="AA512" i="17"/>
  <c r="X512" i="17"/>
  <c r="Q512" i="17"/>
  <c r="AQ512" i="17"/>
  <c r="P512" i="17"/>
  <c r="AM512" i="17"/>
  <c r="O512" i="17"/>
  <c r="AJ512" i="17"/>
  <c r="AI512" i="17"/>
  <c r="AF512" i="17"/>
  <c r="AB512" i="17"/>
  <c r="AH546" i="17"/>
  <c r="AG546" i="17"/>
  <c r="AQ553" i="17"/>
  <c r="AJ553" i="17"/>
  <c r="AI553" i="17"/>
  <c r="J586" i="17"/>
  <c r="AQ586" i="17"/>
  <c r="AH666" i="17"/>
  <c r="X666" i="17"/>
  <c r="AF683" i="17"/>
  <c r="AJ683" i="17"/>
  <c r="W683" i="17"/>
  <c r="AQ683" i="17"/>
  <c r="AK683" i="17"/>
  <c r="V683" i="17"/>
  <c r="U683" i="17"/>
  <c r="T683" i="17"/>
  <c r="AN877" i="17"/>
  <c r="AO877" i="17"/>
  <c r="Z877" i="17"/>
  <c r="N877" i="17"/>
  <c r="AM877" i="17"/>
  <c r="Y877" i="17"/>
  <c r="M877" i="17"/>
  <c r="AJ877" i="17"/>
  <c r="Q877" i="17"/>
  <c r="AH877" i="17"/>
  <c r="P877" i="17"/>
  <c r="AG877" i="17"/>
  <c r="O877" i="17"/>
  <c r="X877" i="17"/>
  <c r="W877" i="17"/>
  <c r="V877" i="17"/>
  <c r="AP877" i="17"/>
  <c r="AL877" i="17"/>
  <c r="AE877" i="17"/>
  <c r="AC877" i="17"/>
  <c r="L877" i="17"/>
  <c r="AE887" i="17"/>
  <c r="AD887" i="17"/>
  <c r="AH887" i="17"/>
  <c r="AC887" i="17"/>
  <c r="AB887" i="17"/>
  <c r="P887" i="17"/>
  <c r="AB916" i="17"/>
  <c r="AA916" i="17"/>
  <c r="AK916" i="17"/>
  <c r="AJ916" i="17"/>
  <c r="T916" i="17"/>
  <c r="Q916" i="17"/>
  <c r="P916" i="17"/>
  <c r="Y1038" i="17"/>
  <c r="V1038" i="17"/>
  <c r="AD1038" i="17"/>
  <c r="Z1038" i="17"/>
  <c r="M1038" i="17"/>
  <c r="AR1208" i="17"/>
  <c r="AH1208" i="17"/>
  <c r="N1208" i="17"/>
  <c r="AD1208" i="17"/>
  <c r="M1208" i="17"/>
  <c r="AP1208" i="17"/>
  <c r="Q1208" i="17"/>
  <c r="AL1208" i="17"/>
  <c r="L1208" i="17"/>
  <c r="AK1208" i="17"/>
  <c r="K1208" i="17"/>
  <c r="AA1208" i="17"/>
  <c r="Z1208" i="17"/>
  <c r="Y1208" i="17"/>
  <c r="AQ1208" i="17"/>
  <c r="AO1389" i="17"/>
  <c r="S1389" i="17"/>
  <c r="P1389" i="17"/>
  <c r="AP1389" i="17"/>
  <c r="AM1389" i="17"/>
  <c r="AJ1389" i="17"/>
  <c r="AG1389" i="17"/>
  <c r="W1389" i="17"/>
  <c r="AI1465" i="17"/>
  <c r="L1465" i="17"/>
  <c r="AB1465" i="17"/>
  <c r="K1465" i="17"/>
  <c r="W1465" i="17"/>
  <c r="AQ1465" i="17"/>
  <c r="P1465" i="17"/>
  <c r="AN1465" i="17"/>
  <c r="O1465" i="17"/>
  <c r="AA1465" i="17"/>
  <c r="Z1465" i="17"/>
  <c r="X1465" i="17"/>
  <c r="AM1465" i="17"/>
  <c r="AJ1465" i="17"/>
  <c r="L4967" i="16"/>
  <c r="K4969" i="16"/>
  <c r="T4973" i="16"/>
  <c r="J4975" i="16"/>
  <c r="M4980" i="16"/>
  <c r="J4982" i="16"/>
  <c r="L4983" i="16"/>
  <c r="M4995" i="16"/>
  <c r="I4999" i="16"/>
  <c r="K5006" i="16"/>
  <c r="K5009" i="16"/>
  <c r="P5022" i="16"/>
  <c r="M5027" i="16"/>
  <c r="M5039" i="16"/>
  <c r="J5049" i="16"/>
  <c r="K5056" i="16"/>
  <c r="J5065" i="16"/>
  <c r="K5072" i="16"/>
  <c r="L5076" i="16"/>
  <c r="K5088" i="16"/>
  <c r="N5103" i="16"/>
  <c r="N5119" i="16"/>
  <c r="K5128" i="16"/>
  <c r="K5136" i="16"/>
  <c r="K5160" i="16"/>
  <c r="J5193" i="16"/>
  <c r="J5217" i="16"/>
  <c r="O5239" i="16"/>
  <c r="J5241" i="16"/>
  <c r="O5244" i="16"/>
  <c r="J5249" i="16"/>
  <c r="L5256" i="16"/>
  <c r="L5260" i="16"/>
  <c r="K5264" i="16"/>
  <c r="J5268" i="16"/>
  <c r="H5272" i="16"/>
  <c r="K5273" i="16"/>
  <c r="J5281" i="16"/>
  <c r="L5288" i="16"/>
  <c r="H5296" i="16"/>
  <c r="K5297" i="16"/>
  <c r="O5300" i="16"/>
  <c r="H5304" i="16"/>
  <c r="K5305" i="16"/>
  <c r="L5308" i="16"/>
  <c r="L5312" i="16"/>
  <c r="M5319" i="16"/>
  <c r="L5328" i="16"/>
  <c r="L5332" i="16"/>
  <c r="K5336" i="16"/>
  <c r="O5340" i="16"/>
  <c r="H5352" i="16"/>
  <c r="K5353" i="16"/>
  <c r="O5356" i="16"/>
  <c r="L5364" i="16"/>
  <c r="L5367" i="16"/>
  <c r="N5375" i="16"/>
  <c r="H5377" i="16"/>
  <c r="O5380" i="16"/>
  <c r="K5384" i="16"/>
  <c r="J5388" i="16"/>
  <c r="H5392" i="16"/>
  <c r="K5393" i="16"/>
  <c r="M5399" i="16"/>
  <c r="L5407" i="16"/>
  <c r="K5416" i="16"/>
  <c r="M5423" i="16"/>
  <c r="J5428" i="16"/>
  <c r="N5431" i="16"/>
  <c r="H5433" i="16"/>
  <c r="J5436" i="16"/>
  <c r="K5440" i="16"/>
  <c r="L5447" i="16"/>
  <c r="H5456" i="16"/>
  <c r="K5457" i="16"/>
  <c r="L5464" i="16"/>
  <c r="L5471" i="16"/>
  <c r="L5476" i="16"/>
  <c r="N5479" i="16"/>
  <c r="H5481" i="16"/>
  <c r="J5484" i="16"/>
  <c r="H5488" i="16"/>
  <c r="K5489" i="16"/>
  <c r="H5513" i="16"/>
  <c r="M5519" i="16"/>
  <c r="L5527" i="16"/>
  <c r="L5540" i="16"/>
  <c r="J5545" i="16"/>
  <c r="L5548" i="16"/>
  <c r="M5551" i="16"/>
  <c r="H5560" i="16"/>
  <c r="K5561" i="16"/>
  <c r="T5564" i="16"/>
  <c r="J5569" i="16"/>
  <c r="T5572" i="16"/>
  <c r="L5576" i="16"/>
  <c r="J5580" i="16"/>
  <c r="J5585" i="16"/>
  <c r="M5590" i="16"/>
  <c r="J5593" i="16"/>
  <c r="L5599" i="16"/>
  <c r="H5608" i="16"/>
  <c r="K5609" i="16"/>
  <c r="H5617" i="16"/>
  <c r="H5623" i="16"/>
  <c r="M5631" i="16"/>
  <c r="P5636" i="16"/>
  <c r="N5638" i="16"/>
  <c r="J5640" i="16"/>
  <c r="N5640" i="16"/>
  <c r="K5640" i="16"/>
  <c r="T5644" i="16"/>
  <c r="N5647" i="16"/>
  <c r="T5649" i="16"/>
  <c r="L5649" i="16"/>
  <c r="J5649" i="16"/>
  <c r="K5655" i="16"/>
  <c r="H5655" i="16"/>
  <c r="M5655" i="16"/>
  <c r="P5661" i="16"/>
  <c r="L5672" i="16"/>
  <c r="L5681" i="16"/>
  <c r="K5687" i="16"/>
  <c r="G5687" i="16"/>
  <c r="M5687" i="16"/>
  <c r="O5692" i="16"/>
  <c r="L5696" i="16"/>
  <c r="J5712" i="16"/>
  <c r="O5712" i="16"/>
  <c r="E5712" i="16"/>
  <c r="L5712" i="16"/>
  <c r="J5728" i="16"/>
  <c r="N5728" i="16"/>
  <c r="K5728" i="16"/>
  <c r="J5731" i="16"/>
  <c r="P5731" i="16"/>
  <c r="O5732" i="16"/>
  <c r="K5732" i="16"/>
  <c r="P5741" i="16"/>
  <c r="N5743" i="16"/>
  <c r="T5745" i="16"/>
  <c r="N5745" i="16"/>
  <c r="E5745" i="16"/>
  <c r="K5745" i="16"/>
  <c r="K5761" i="16"/>
  <c r="T5769" i="16"/>
  <c r="O5769" i="16"/>
  <c r="F5769" i="16"/>
  <c r="K5769" i="16"/>
  <c r="H5789" i="16"/>
  <c r="F5789" i="16"/>
  <c r="P5789" i="16"/>
  <c r="J5800" i="16"/>
  <c r="L5800" i="16"/>
  <c r="K5800" i="16"/>
  <c r="K5803" i="16"/>
  <c r="J5803" i="16"/>
  <c r="P5811" i="16"/>
  <c r="I5813" i="16"/>
  <c r="G5813" i="16"/>
  <c r="L5825" i="16"/>
  <c r="O5830" i="16"/>
  <c r="J5834" i="16"/>
  <c r="I5834" i="16"/>
  <c r="J5840" i="16"/>
  <c r="H5840" i="16"/>
  <c r="L5840" i="16"/>
  <c r="K5847" i="16"/>
  <c r="P5847" i="16"/>
  <c r="E5847" i="16"/>
  <c r="M5847" i="16"/>
  <c r="T5849" i="16"/>
  <c r="K5849" i="16"/>
  <c r="J5849" i="16"/>
  <c r="J5856" i="16"/>
  <c r="P5856" i="16"/>
  <c r="F5856" i="16"/>
  <c r="L5856" i="16"/>
  <c r="M5863" i="16"/>
  <c r="L5865" i="16"/>
  <c r="K5887" i="16"/>
  <c r="F5887" i="16"/>
  <c r="M5887" i="16"/>
  <c r="O5905" i="16"/>
  <c r="I5907" i="16"/>
  <c r="G5907" i="16"/>
  <c r="K5916" i="16"/>
  <c r="G5916" i="16"/>
  <c r="M5916" i="16"/>
  <c r="M5919" i="16"/>
  <c r="T5926" i="16"/>
  <c r="K5926" i="16"/>
  <c r="J5926" i="16"/>
  <c r="P5936" i="16"/>
  <c r="K5938" i="16"/>
  <c r="T5946" i="16"/>
  <c r="F5946" i="16"/>
  <c r="N5946" i="16"/>
  <c r="T5958" i="16"/>
  <c r="K5958" i="16"/>
  <c r="O5958" i="16"/>
  <c r="E5958" i="16"/>
  <c r="L5958" i="16"/>
  <c r="T5960" i="16"/>
  <c r="O5994" i="16"/>
  <c r="N5994" i="16"/>
  <c r="G5994" i="16"/>
  <c r="P5994" i="16"/>
  <c r="V13" i="17"/>
  <c r="X13" i="17"/>
  <c r="W13" i="17"/>
  <c r="X75" i="17"/>
  <c r="AL185" i="17"/>
  <c r="N185" i="17"/>
  <c r="O185" i="17"/>
  <c r="R216" i="17"/>
  <c r="AN216" i="17"/>
  <c r="AA216" i="17"/>
  <c r="AE221" i="17"/>
  <c r="O221" i="17"/>
  <c r="N221" i="17"/>
  <c r="AR221" i="17"/>
  <c r="AK221" i="17"/>
  <c r="AA221" i="17"/>
  <c r="AA234" i="17"/>
  <c r="AJ234" i="17"/>
  <c r="AG234" i="17"/>
  <c r="AR234" i="17"/>
  <c r="AQ234" i="17"/>
  <c r="X234" i="17"/>
  <c r="L294" i="17"/>
  <c r="AJ325" i="17"/>
  <c r="W325" i="17"/>
  <c r="V325" i="17"/>
  <c r="AN325" i="17"/>
  <c r="AM325" i="17"/>
  <c r="AF325" i="17"/>
  <c r="AE342" i="17"/>
  <c r="K342" i="17"/>
  <c r="AI342" i="17"/>
  <c r="AH342" i="17"/>
  <c r="AR345" i="17"/>
  <c r="L512" i="17"/>
  <c r="AF553" i="17"/>
  <c r="AE642" i="17"/>
  <c r="W642" i="17"/>
  <c r="AN642" i="17"/>
  <c r="O666" i="17"/>
  <c r="R683" i="17"/>
  <c r="AH703" i="17"/>
  <c r="AD703" i="17"/>
  <c r="R740" i="17"/>
  <c r="O740" i="17"/>
  <c r="AQ740" i="17"/>
  <c r="AL740" i="17"/>
  <c r="AD740" i="17"/>
  <c r="Y740" i="17"/>
  <c r="X740" i="17"/>
  <c r="N740" i="17"/>
  <c r="AK840" i="17"/>
  <c r="AC840" i="17"/>
  <c r="J877" i="17"/>
  <c r="AM917" i="17"/>
  <c r="AJ917" i="17"/>
  <c r="Q917" i="17"/>
  <c r="P917" i="17"/>
  <c r="O917" i="17"/>
  <c r="AO929" i="17"/>
  <c r="AK929" i="17"/>
  <c r="AE929" i="17"/>
  <c r="V929" i="17"/>
  <c r="AJ929" i="17"/>
  <c r="R1208" i="17"/>
  <c r="V1224" i="17"/>
  <c r="U1224" i="17"/>
  <c r="AJ1224" i="17"/>
  <c r="AI1224" i="17"/>
  <c r="AG1224" i="17"/>
  <c r="J1465" i="17"/>
  <c r="M4967" i="16"/>
  <c r="L4969" i="16"/>
  <c r="O4980" i="16"/>
  <c r="K4982" i="16"/>
  <c r="M4983" i="16"/>
  <c r="N4995" i="16"/>
  <c r="M5006" i="16"/>
  <c r="L5009" i="16"/>
  <c r="T5022" i="16"/>
  <c r="N5039" i="16"/>
  <c r="P5047" i="16"/>
  <c r="K5049" i="16"/>
  <c r="L5056" i="16"/>
  <c r="P5063" i="16"/>
  <c r="K5065" i="16"/>
  <c r="L5072" i="16"/>
  <c r="N5079" i="16"/>
  <c r="L5088" i="16"/>
  <c r="O5103" i="16"/>
  <c r="J5105" i="16"/>
  <c r="O5119" i="16"/>
  <c r="J5121" i="16"/>
  <c r="L5128" i="16"/>
  <c r="L5136" i="16"/>
  <c r="K5144" i="16"/>
  <c r="L5160" i="16"/>
  <c r="N5175" i="16"/>
  <c r="K5184" i="16"/>
  <c r="K5193" i="16"/>
  <c r="K5249" i="16"/>
  <c r="M5256" i="16"/>
  <c r="L5264" i="16"/>
  <c r="K5272" i="16"/>
  <c r="L5273" i="16"/>
  <c r="K5281" i="16"/>
  <c r="M5288" i="16"/>
  <c r="K5296" i="16"/>
  <c r="L5297" i="16"/>
  <c r="K5304" i="16"/>
  <c r="L5305" i="16"/>
  <c r="M5312" i="16"/>
  <c r="N5319" i="16"/>
  <c r="M5328" i="16"/>
  <c r="L5336" i="16"/>
  <c r="K5352" i="16"/>
  <c r="L5353" i="16"/>
  <c r="M5367" i="16"/>
  <c r="O5375" i="16"/>
  <c r="J5377" i="16"/>
  <c r="L5384" i="16"/>
  <c r="K5392" i="16"/>
  <c r="L5393" i="16"/>
  <c r="M5407" i="16"/>
  <c r="O5431" i="16"/>
  <c r="J5433" i="16"/>
  <c r="M5447" i="16"/>
  <c r="K5456" i="16"/>
  <c r="L5457" i="16"/>
  <c r="M5464" i="16"/>
  <c r="M5471" i="16"/>
  <c r="O5479" i="16"/>
  <c r="J5481" i="16"/>
  <c r="K5488" i="16"/>
  <c r="L5489" i="16"/>
  <c r="J5513" i="16"/>
  <c r="M5527" i="16"/>
  <c r="K5545" i="16"/>
  <c r="K5560" i="16"/>
  <c r="L5561" i="16"/>
  <c r="K5569" i="16"/>
  <c r="M5576" i="16"/>
  <c r="K5585" i="16"/>
  <c r="K5593" i="16"/>
  <c r="K5608" i="16"/>
  <c r="J5617" i="16"/>
  <c r="L5623" i="16"/>
  <c r="T5636" i="16"/>
  <c r="T5657" i="16"/>
  <c r="N5657" i="16"/>
  <c r="E5657" i="16"/>
  <c r="K5657" i="16"/>
  <c r="T5689" i="16"/>
  <c r="M5689" i="16"/>
  <c r="J5689" i="16"/>
  <c r="P5692" i="16"/>
  <c r="J5704" i="16"/>
  <c r="N5704" i="16"/>
  <c r="K5704" i="16"/>
  <c r="K5714" i="16"/>
  <c r="T5714" i="16"/>
  <c r="H5725" i="16"/>
  <c r="F5725" i="16"/>
  <c r="P5725" i="16"/>
  <c r="L5728" i="16"/>
  <c r="J5736" i="16"/>
  <c r="L5736" i="16"/>
  <c r="K5736" i="16"/>
  <c r="T5741" i="16"/>
  <c r="O5743" i="16"/>
  <c r="L5745" i="16"/>
  <c r="L5769" i="16"/>
  <c r="P5782" i="16"/>
  <c r="M5784" i="16"/>
  <c r="T5786" i="16"/>
  <c r="T5789" i="16"/>
  <c r="M5800" i="16"/>
  <c r="J5808" i="16"/>
  <c r="L5808" i="16"/>
  <c r="K5808" i="16"/>
  <c r="T5811" i="16"/>
  <c r="J5816" i="16"/>
  <c r="L5816" i="16"/>
  <c r="K5816" i="16"/>
  <c r="M5825" i="16"/>
  <c r="P5830" i="16"/>
  <c r="M5840" i="16"/>
  <c r="N5847" i="16"/>
  <c r="L5849" i="16"/>
  <c r="H5853" i="16"/>
  <c r="I5853" i="16"/>
  <c r="P5853" i="16"/>
  <c r="M5856" i="16"/>
  <c r="O5863" i="16"/>
  <c r="M5865" i="16"/>
  <c r="J5872" i="16"/>
  <c r="L5872" i="16"/>
  <c r="K5872" i="16"/>
  <c r="L5881" i="16"/>
  <c r="N5887" i="16"/>
  <c r="T5889" i="16"/>
  <c r="L5889" i="16"/>
  <c r="J5889" i="16"/>
  <c r="N5903" i="16"/>
  <c r="P5905" i="16"/>
  <c r="O5914" i="16"/>
  <c r="N5916" i="16"/>
  <c r="N5919" i="16"/>
  <c r="P5921" i="16"/>
  <c r="L5926" i="16"/>
  <c r="O5931" i="16"/>
  <c r="N5938" i="16"/>
  <c r="N5941" i="16"/>
  <c r="T5944" i="16"/>
  <c r="O5946" i="16"/>
  <c r="I5954" i="16"/>
  <c r="H5954" i="16"/>
  <c r="O5954" i="16"/>
  <c r="M5958" i="16"/>
  <c r="K5961" i="16"/>
  <c r="I5961" i="16"/>
  <c r="P5962" i="16"/>
  <c r="L5969" i="16"/>
  <c r="K5969" i="16"/>
  <c r="I5969" i="16"/>
  <c r="P5971" i="16"/>
  <c r="T5971" i="16"/>
  <c r="N5971" i="16"/>
  <c r="T5976" i="16"/>
  <c r="N5978" i="16"/>
  <c r="G5978" i="16"/>
  <c r="O5978" i="16"/>
  <c r="T5994" i="16"/>
  <c r="U7" i="17"/>
  <c r="V7" i="17"/>
  <c r="AC189" i="17"/>
  <c r="V189" i="17"/>
  <c r="AA202" i="17"/>
  <c r="Z202" i="17"/>
  <c r="P202" i="17"/>
  <c r="O202" i="17"/>
  <c r="L202" i="17"/>
  <c r="M221" i="17"/>
  <c r="AG260" i="17"/>
  <c r="AF260" i="17"/>
  <c r="Z260" i="17"/>
  <c r="R260" i="17"/>
  <c r="AJ264" i="17"/>
  <c r="S325" i="17"/>
  <c r="AG342" i="17"/>
  <c r="W419" i="17"/>
  <c r="V419" i="17"/>
  <c r="U419" i="17"/>
  <c r="T419" i="17"/>
  <c r="O419" i="17"/>
  <c r="N419" i="17"/>
  <c r="AR419" i="17"/>
  <c r="AK419" i="17"/>
  <c r="X425" i="17"/>
  <c r="AM425" i="17"/>
  <c r="AL425" i="17"/>
  <c r="P507" i="17"/>
  <c r="O507" i="17"/>
  <c r="AR507" i="17"/>
  <c r="AC507" i="17"/>
  <c r="AB507" i="17"/>
  <c r="R512" i="17"/>
  <c r="AM548" i="17"/>
  <c r="AJ548" i="17"/>
  <c r="Z548" i="17"/>
  <c r="O752" i="17"/>
  <c r="K752" i="17"/>
  <c r="AO752" i="17"/>
  <c r="Y752" i="17"/>
  <c r="X752" i="17"/>
  <c r="AQ752" i="17"/>
  <c r="AP752" i="17"/>
  <c r="O821" i="17"/>
  <c r="AH821" i="17"/>
  <c r="AG821" i="17"/>
  <c r="AK821" i="17"/>
  <c r="AI864" i="17"/>
  <c r="X864" i="17"/>
  <c r="AL918" i="17"/>
  <c r="AK918" i="17"/>
  <c r="AQ918" i="17"/>
  <c r="AN918" i="17"/>
  <c r="Z918" i="17"/>
  <c r="AB1208" i="17"/>
  <c r="Z1310" i="17"/>
  <c r="S1310" i="17"/>
  <c r="N1310" i="17"/>
  <c r="AR1310" i="17"/>
  <c r="AQ1310" i="17"/>
  <c r="M437" i="17"/>
  <c r="X437" i="17"/>
  <c r="W437" i="17"/>
  <c r="AR459" i="17"/>
  <c r="AQ459" i="17"/>
  <c r="AE489" i="17"/>
  <c r="AB489" i="17"/>
  <c r="AA489" i="17"/>
  <c r="AR559" i="17"/>
  <c r="AA559" i="17"/>
  <c r="T559" i="17"/>
  <c r="AM559" i="17"/>
  <c r="W572" i="17"/>
  <c r="R572" i="17"/>
  <c r="AH572" i="17"/>
  <c r="L572" i="17"/>
  <c r="Q582" i="17"/>
  <c r="P582" i="17"/>
  <c r="P626" i="17"/>
  <c r="K626" i="17"/>
  <c r="X708" i="17"/>
  <c r="W708" i="17"/>
  <c r="AM708" i="17"/>
  <c r="AL708" i="17"/>
  <c r="AG708" i="17"/>
  <c r="AD708" i="17"/>
  <c r="T873" i="17"/>
  <c r="R873" i="17"/>
  <c r="Q873" i="17"/>
  <c r="Z967" i="17"/>
  <c r="Y967" i="17"/>
  <c r="AN975" i="17"/>
  <c r="X975" i="17"/>
  <c r="W975" i="17"/>
  <c r="V975" i="17"/>
  <c r="N975" i="17"/>
  <c r="AR975" i="17"/>
  <c r="AP975" i="17"/>
  <c r="AJ975" i="17"/>
  <c r="Y975" i="17"/>
  <c r="AH1083" i="17"/>
  <c r="R1083" i="17"/>
  <c r="Q1083" i="17"/>
  <c r="N1083" i="17"/>
  <c r="W1377" i="17"/>
  <c r="T1377" i="17"/>
  <c r="AR1377" i="17"/>
  <c r="AQ1377" i="17"/>
  <c r="AB1377" i="17"/>
  <c r="AF1472" i="17"/>
  <c r="V1472" i="17"/>
  <c r="AN1472" i="17"/>
  <c r="AM1472" i="17"/>
  <c r="AI1472" i="17"/>
  <c r="AD1476" i="17"/>
  <c r="W1476" i="17"/>
  <c r="V1476" i="17"/>
  <c r="AN1524" i="17"/>
  <c r="X1524" i="17"/>
  <c r="T1524" i="17"/>
  <c r="AQ1524" i="17"/>
  <c r="AA1524" i="17"/>
  <c r="Z1524" i="17"/>
  <c r="S1524" i="17"/>
  <c r="AD1968" i="17"/>
  <c r="AK1968" i="17"/>
  <c r="AE1968" i="17"/>
  <c r="Q1968" i="17"/>
  <c r="AD435" i="17"/>
  <c r="AC435" i="17"/>
  <c r="AE474" i="17"/>
  <c r="K489" i="17"/>
  <c r="AM569" i="17"/>
  <c r="AL569" i="17"/>
  <c r="AK569" i="17"/>
  <c r="X569" i="17"/>
  <c r="W569" i="17"/>
  <c r="AM578" i="17"/>
  <c r="AQ578" i="17"/>
  <c r="Q578" i="17"/>
  <c r="AN578" i="17"/>
  <c r="P578" i="17"/>
  <c r="AG578" i="17"/>
  <c r="Z578" i="17"/>
  <c r="W578" i="17"/>
  <c r="R578" i="17"/>
  <c r="O578" i="17"/>
  <c r="AR583" i="17"/>
  <c r="AM583" i="17"/>
  <c r="T583" i="17"/>
  <c r="AC617" i="17"/>
  <c r="AA617" i="17"/>
  <c r="V617" i="17"/>
  <c r="AF617" i="17"/>
  <c r="S617" i="17"/>
  <c r="AQ617" i="17"/>
  <c r="AM617" i="17"/>
  <c r="AJ617" i="17"/>
  <c r="AA619" i="17"/>
  <c r="O619" i="17"/>
  <c r="AP619" i="17"/>
  <c r="N619" i="17"/>
  <c r="AK619" i="17"/>
  <c r="AJ619" i="17"/>
  <c r="AE619" i="17"/>
  <c r="W619" i="17"/>
  <c r="V619" i="17"/>
  <c r="R626" i="17"/>
  <c r="AH633" i="17"/>
  <c r="W633" i="17"/>
  <c r="AR633" i="17"/>
  <c r="AJ633" i="17"/>
  <c r="AI633" i="17"/>
  <c r="P633" i="17"/>
  <c r="O633" i="17"/>
  <c r="AQ653" i="17"/>
  <c r="AD653" i="17"/>
  <c r="N653" i="17"/>
  <c r="AC653" i="17"/>
  <c r="M653" i="17"/>
  <c r="X653" i="17"/>
  <c r="AP653" i="17"/>
  <c r="W653" i="17"/>
  <c r="AH653" i="17"/>
  <c r="AB653" i="17"/>
  <c r="V653" i="17"/>
  <c r="AN653" i="17"/>
  <c r="AH685" i="17"/>
  <c r="P685" i="17"/>
  <c r="AE685" i="17"/>
  <c r="M685" i="17"/>
  <c r="X685" i="17"/>
  <c r="U685" i="17"/>
  <c r="AD685" i="17"/>
  <c r="AC685" i="17"/>
  <c r="T685" i="17"/>
  <c r="O708" i="17"/>
  <c r="AE722" i="17"/>
  <c r="AJ865" i="17"/>
  <c r="N873" i="17"/>
  <c r="P967" i="17"/>
  <c r="Y1079" i="17"/>
  <c r="V1079" i="17"/>
  <c r="AH1079" i="17"/>
  <c r="AG1079" i="17"/>
  <c r="AN1089" i="17"/>
  <c r="N1089" i="17"/>
  <c r="AM1089" i="17"/>
  <c r="M1089" i="17"/>
  <c r="Y1089" i="17"/>
  <c r="X1089" i="17"/>
  <c r="W1089" i="17"/>
  <c r="AK1089" i="17"/>
  <c r="AP1093" i="17"/>
  <c r="Q1137" i="17"/>
  <c r="M1137" i="17"/>
  <c r="AL1137" i="17"/>
  <c r="AD1137" i="17"/>
  <c r="Z1137" i="17"/>
  <c r="Y1164" i="17"/>
  <c r="AP1246" i="17"/>
  <c r="AI1246" i="17"/>
  <c r="N1246" i="17"/>
  <c r="M1246" i="17"/>
  <c r="L1246" i="17"/>
  <c r="Z1319" i="17"/>
  <c r="V1319" i="17"/>
  <c r="AO1319" i="17"/>
  <c r="AL1319" i="17"/>
  <c r="AF1319" i="17"/>
  <c r="R1351" i="17"/>
  <c r="AO1351" i="17"/>
  <c r="Z1455" i="17"/>
  <c r="W1455" i="17"/>
  <c r="U1556" i="17"/>
  <c r="AP1556" i="17"/>
  <c r="R1556" i="17"/>
  <c r="AH1556" i="17"/>
  <c r="AE1556" i="17"/>
  <c r="Z1556" i="17"/>
  <c r="AK1556" i="17"/>
  <c r="V1556" i="17"/>
  <c r="P1556" i="17"/>
  <c r="AM1556" i="17"/>
  <c r="O1556" i="17"/>
  <c r="P1756" i="17"/>
  <c r="O1756" i="17"/>
  <c r="AG1955" i="17"/>
  <c r="T1955" i="17"/>
  <c r="V1981" i="17"/>
  <c r="AD1981" i="17"/>
  <c r="AB1981" i="17"/>
  <c r="T1981" i="17"/>
  <c r="O5646" i="16"/>
  <c r="K5648" i="16"/>
  <c r="L5663" i="16"/>
  <c r="L5671" i="16"/>
  <c r="L5679" i="16"/>
  <c r="L5695" i="16"/>
  <c r="L5703" i="16"/>
  <c r="L5727" i="16"/>
  <c r="P5756" i="16"/>
  <c r="K5760" i="16"/>
  <c r="L5767" i="16"/>
  <c r="O5774" i="16"/>
  <c r="K5776" i="16"/>
  <c r="L5783" i="16"/>
  <c r="P5797" i="16"/>
  <c r="L5823" i="16"/>
  <c r="K5888" i="16"/>
  <c r="J5902" i="16"/>
  <c r="T5909" i="16"/>
  <c r="L5917" i="16"/>
  <c r="J5973" i="16"/>
  <c r="G5973" i="16"/>
  <c r="L5973" i="16"/>
  <c r="AA145" i="17"/>
  <c r="AB145" i="17"/>
  <c r="W145" i="17"/>
  <c r="X156" i="17"/>
  <c r="AP177" i="17"/>
  <c r="AR177" i="17"/>
  <c r="AA177" i="17"/>
  <c r="L177" i="17"/>
  <c r="AQ177" i="17"/>
  <c r="X177" i="17"/>
  <c r="K177" i="17"/>
  <c r="AF177" i="17"/>
  <c r="AE177" i="17"/>
  <c r="AO194" i="17"/>
  <c r="AN194" i="17"/>
  <c r="AP197" i="17"/>
  <c r="AB197" i="17"/>
  <c r="M197" i="17"/>
  <c r="AR197" i="17"/>
  <c r="AA197" i="17"/>
  <c r="L197" i="17"/>
  <c r="AL197" i="17"/>
  <c r="P197" i="17"/>
  <c r="AK197" i="17"/>
  <c r="O197" i="17"/>
  <c r="AI197" i="17"/>
  <c r="N197" i="17"/>
  <c r="AR273" i="17"/>
  <c r="AM273" i="17"/>
  <c r="AN333" i="17"/>
  <c r="AK333" i="17"/>
  <c r="AD333" i="17"/>
  <c r="AL333" i="17"/>
  <c r="AM347" i="17"/>
  <c r="AK347" i="17"/>
  <c r="R347" i="17"/>
  <c r="AJ347" i="17"/>
  <c r="N347" i="17"/>
  <c r="V347" i="17"/>
  <c r="AP347" i="17"/>
  <c r="S347" i="17"/>
  <c r="AN347" i="17"/>
  <c r="M347" i="17"/>
  <c r="AJ367" i="17"/>
  <c r="AF367" i="17"/>
  <c r="U367" i="17"/>
  <c r="T367" i="17"/>
  <c r="AN403" i="17"/>
  <c r="AK403" i="17"/>
  <c r="AA403" i="17"/>
  <c r="X403" i="17"/>
  <c r="W403" i="17"/>
  <c r="AB420" i="17"/>
  <c r="R420" i="17"/>
  <c r="O420" i="17"/>
  <c r="K435" i="17"/>
  <c r="AD437" i="17"/>
  <c r="AC453" i="17"/>
  <c r="AB453" i="17"/>
  <c r="AR483" i="17"/>
  <c r="W497" i="17"/>
  <c r="T497" i="17"/>
  <c r="O497" i="17"/>
  <c r="AK497" i="17"/>
  <c r="AJ497" i="17"/>
  <c r="AE497" i="17"/>
  <c r="AJ530" i="17"/>
  <c r="AM530" i="17"/>
  <c r="AH530" i="17"/>
  <c r="AR530" i="17"/>
  <c r="Y530" i="17"/>
  <c r="AE537" i="17"/>
  <c r="AD537" i="17"/>
  <c r="AC537" i="17"/>
  <c r="S569" i="17"/>
  <c r="AH578" i="17"/>
  <c r="AP591" i="17"/>
  <c r="AJ591" i="17"/>
  <c r="S591" i="17"/>
  <c r="AI591" i="17"/>
  <c r="P591" i="17"/>
  <c r="AA591" i="17"/>
  <c r="X591" i="17"/>
  <c r="V591" i="17"/>
  <c r="O591" i="17"/>
  <c r="AR591" i="17"/>
  <c r="N591" i="17"/>
  <c r="S610" i="17"/>
  <c r="AO610" i="17"/>
  <c r="AF610" i="17"/>
  <c r="AE610" i="17"/>
  <c r="N612" i="17"/>
  <c r="AQ612" i="17"/>
  <c r="AL612" i="17"/>
  <c r="N617" i="17"/>
  <c r="M619" i="17"/>
  <c r="AD626" i="17"/>
  <c r="AA634" i="17"/>
  <c r="Y634" i="17"/>
  <c r="K653" i="17"/>
  <c r="J685" i="17"/>
  <c r="Q708" i="17"/>
  <c r="AL733" i="17"/>
  <c r="AK733" i="17"/>
  <c r="AM733" i="17"/>
  <c r="Z733" i="17"/>
  <c r="N733" i="17"/>
  <c r="AR733" i="17"/>
  <c r="L733" i="17"/>
  <c r="AI744" i="17"/>
  <c r="AR753" i="17"/>
  <c r="AL753" i="17"/>
  <c r="X753" i="17"/>
  <c r="L753" i="17"/>
  <c r="AJ753" i="17"/>
  <c r="W753" i="17"/>
  <c r="K753" i="17"/>
  <c r="AM753" i="17"/>
  <c r="R753" i="17"/>
  <c r="AI753" i="17"/>
  <c r="P753" i="17"/>
  <c r="AH753" i="17"/>
  <c r="O753" i="17"/>
  <c r="V753" i="17"/>
  <c r="N753" i="17"/>
  <c r="AQ753" i="17"/>
  <c r="M753" i="17"/>
  <c r="AH768" i="17"/>
  <c r="AP768" i="17"/>
  <c r="AO768" i="17"/>
  <c r="N768" i="17"/>
  <c r="K768" i="17"/>
  <c r="J768" i="17"/>
  <c r="AE937" i="17"/>
  <c r="Y956" i="17"/>
  <c r="X956" i="17"/>
  <c r="AF956" i="17"/>
  <c r="V956" i="17"/>
  <c r="Z1041" i="17"/>
  <c r="Y1041" i="17"/>
  <c r="X1041" i="17"/>
  <c r="V1041" i="17"/>
  <c r="Z1075" i="17"/>
  <c r="M1079" i="17"/>
  <c r="Q1089" i="17"/>
  <c r="AB1094" i="17"/>
  <c r="Q1094" i="17"/>
  <c r="W1137" i="17"/>
  <c r="R1242" i="17"/>
  <c r="Q1242" i="17"/>
  <c r="N1242" i="17"/>
  <c r="U1246" i="17"/>
  <c r="J1261" i="17"/>
  <c r="T1268" i="17"/>
  <c r="Q1268" i="17"/>
  <c r="O1319" i="17"/>
  <c r="W1373" i="17"/>
  <c r="AA1675" i="17"/>
  <c r="O1675" i="17"/>
  <c r="AM1675" i="17"/>
  <c r="AJ1675" i="17"/>
  <c r="K1675" i="17"/>
  <c r="AF1715" i="17"/>
  <c r="W1715" i="17"/>
  <c r="V1715" i="17"/>
  <c r="AJ1715" i="17"/>
  <c r="AH1715" i="17"/>
  <c r="U1715" i="17"/>
  <c r="AH1908" i="17"/>
  <c r="AI1908" i="17"/>
  <c r="Z1908" i="17"/>
  <c r="X1908" i="17"/>
  <c r="AQ1908" i="17"/>
  <c r="AL1908" i="17"/>
  <c r="Q1908" i="17"/>
  <c r="P1908" i="17"/>
  <c r="V1908" i="17"/>
  <c r="AM1992" i="17"/>
  <c r="X1992" i="17"/>
  <c r="W1992" i="17"/>
  <c r="AA1992" i="17"/>
  <c r="Z1992" i="17"/>
  <c r="V1992" i="17"/>
  <c r="U1992" i="17"/>
  <c r="X391" i="17"/>
  <c r="W435" i="17"/>
  <c r="AK437" i="17"/>
  <c r="AH444" i="17"/>
  <c r="AG444" i="17"/>
  <c r="AF444" i="17"/>
  <c r="W444" i="17"/>
  <c r="T444" i="17"/>
  <c r="S444" i="17"/>
  <c r="X453" i="17"/>
  <c r="AR484" i="17"/>
  <c r="AJ484" i="17"/>
  <c r="AA484" i="17"/>
  <c r="AM484" i="17"/>
  <c r="P486" i="17"/>
  <c r="L497" i="17"/>
  <c r="AI527" i="17"/>
  <c r="AB527" i="17"/>
  <c r="Q530" i="17"/>
  <c r="AI545" i="17"/>
  <c r="AF545" i="17"/>
  <c r="AE545" i="17"/>
  <c r="X545" i="17"/>
  <c r="W545" i="17"/>
  <c r="T569" i="17"/>
  <c r="V575" i="17"/>
  <c r="AC575" i="17"/>
  <c r="AB575" i="17"/>
  <c r="AI578" i="17"/>
  <c r="L591" i="17"/>
  <c r="V610" i="17"/>
  <c r="O617" i="17"/>
  <c r="AL619" i="17"/>
  <c r="N634" i="17"/>
  <c r="L653" i="17"/>
  <c r="AC677" i="17"/>
  <c r="P677" i="17"/>
  <c r="O677" i="17"/>
  <c r="Z677" i="17"/>
  <c r="J677" i="17"/>
  <c r="AP677" i="17"/>
  <c r="AB677" i="17"/>
  <c r="AA677" i="17"/>
  <c r="K685" i="17"/>
  <c r="R708" i="17"/>
  <c r="Z753" i="17"/>
  <c r="AJ761" i="17"/>
  <c r="AE769" i="17"/>
  <c r="AD769" i="17"/>
  <c r="Z769" i="17"/>
  <c r="AH769" i="17"/>
  <c r="AF769" i="17"/>
  <c r="U769" i="17"/>
  <c r="AQ769" i="17"/>
  <c r="AP769" i="17"/>
  <c r="S769" i="17"/>
  <c r="AR775" i="17"/>
  <c r="AQ775" i="17"/>
  <c r="AB775" i="17"/>
  <c r="O775" i="17"/>
  <c r="AP775" i="17"/>
  <c r="AA775" i="17"/>
  <c r="N775" i="17"/>
  <c r="AK775" i="17"/>
  <c r="V775" i="17"/>
  <c r="AJ775" i="17"/>
  <c r="R775" i="17"/>
  <c r="AI775" i="17"/>
  <c r="P775" i="17"/>
  <c r="M775" i="17"/>
  <c r="K775" i="17"/>
  <c r="AL775" i="17"/>
  <c r="J775" i="17"/>
  <c r="T781" i="17"/>
  <c r="AF781" i="17"/>
  <c r="AE781" i="17"/>
  <c r="P804" i="17"/>
  <c r="AL804" i="17"/>
  <c r="AB826" i="17"/>
  <c r="X826" i="17"/>
  <c r="AK826" i="17"/>
  <c r="AC826" i="17"/>
  <c r="L826" i="17"/>
  <c r="AN826" i="17"/>
  <c r="K826" i="17"/>
  <c r="J826" i="17"/>
  <c r="AA922" i="17"/>
  <c r="AB922" i="17"/>
  <c r="U956" i="17"/>
  <c r="U1035" i="17"/>
  <c r="AC1075" i="17"/>
  <c r="N1079" i="17"/>
  <c r="AH1089" i="17"/>
  <c r="AD1236" i="17"/>
  <c r="U1236" i="17"/>
  <c r="T1236" i="17"/>
  <c r="AK1236" i="17"/>
  <c r="V1236" i="17"/>
  <c r="S1236" i="17"/>
  <c r="AR1236" i="17"/>
  <c r="AQ1236" i="17"/>
  <c r="M1242" i="17"/>
  <c r="Q1261" i="17"/>
  <c r="AC1319" i="17"/>
  <c r="AK1358" i="17"/>
  <c r="AJ1358" i="17"/>
  <c r="AD1358" i="17"/>
  <c r="AO1570" i="17"/>
  <c r="AP1570" i="17"/>
  <c r="Z1570" i="17"/>
  <c r="M1570" i="17"/>
  <c r="AL1570" i="17"/>
  <c r="X1570" i="17"/>
  <c r="L1570" i="17"/>
  <c r="AF1570" i="17"/>
  <c r="N1570" i="17"/>
  <c r="AE1570" i="17"/>
  <c r="K1570" i="17"/>
  <c r="AH1570" i="17"/>
  <c r="AB1570" i="17"/>
  <c r="W1570" i="17"/>
  <c r="U1570" i="17"/>
  <c r="P1570" i="17"/>
  <c r="O1570" i="17"/>
  <c r="AK1570" i="17"/>
  <c r="AI1570" i="17"/>
  <c r="V1570" i="17"/>
  <c r="AI1763" i="17"/>
  <c r="AF1763" i="17"/>
  <c r="AL1763" i="17"/>
  <c r="O1763" i="17"/>
  <c r="AE1786" i="17"/>
  <c r="R1786" i="17"/>
  <c r="Q1786" i="17"/>
  <c r="N1908" i="17"/>
  <c r="V409" i="17"/>
  <c r="AL409" i="17"/>
  <c r="AK409" i="17"/>
  <c r="W416" i="17"/>
  <c r="R416" i="17"/>
  <c r="AP416" i="17"/>
  <c r="AJ416" i="17"/>
  <c r="AI416" i="17"/>
  <c r="X435" i="17"/>
  <c r="AB441" i="17"/>
  <c r="V441" i="17"/>
  <c r="S441" i="17"/>
  <c r="AJ441" i="17"/>
  <c r="AI441" i="17"/>
  <c r="AF441" i="17"/>
  <c r="X447" i="17"/>
  <c r="V447" i="17"/>
  <c r="AM447" i="17"/>
  <c r="S447" i="17"/>
  <c r="AJ447" i="17"/>
  <c r="AI447" i="17"/>
  <c r="AF447" i="17"/>
  <c r="AA453" i="17"/>
  <c r="AG466" i="17"/>
  <c r="Y466" i="17"/>
  <c r="R466" i="17"/>
  <c r="Q466" i="17"/>
  <c r="N545" i="17"/>
  <c r="AQ565" i="17"/>
  <c r="AN565" i="17"/>
  <c r="AM565" i="17"/>
  <c r="AA569" i="17"/>
  <c r="AR578" i="17"/>
  <c r="V581" i="17"/>
  <c r="U581" i="17"/>
  <c r="AJ581" i="17"/>
  <c r="AI581" i="17"/>
  <c r="S581" i="17"/>
  <c r="P581" i="17"/>
  <c r="O581" i="17"/>
  <c r="Z610" i="17"/>
  <c r="R617" i="17"/>
  <c r="X630" i="17"/>
  <c r="AE630" i="17"/>
  <c r="AD630" i="17"/>
  <c r="Y630" i="17"/>
  <c r="P653" i="17"/>
  <c r="AL676" i="17"/>
  <c r="AG676" i="17"/>
  <c r="O676" i="17"/>
  <c r="AD676" i="17"/>
  <c r="N676" i="17"/>
  <c r="Z676" i="17"/>
  <c r="W676" i="17"/>
  <c r="AA676" i="17"/>
  <c r="R676" i="17"/>
  <c r="Q676" i="17"/>
  <c r="S685" i="17"/>
  <c r="AM702" i="17"/>
  <c r="AI702" i="17"/>
  <c r="AP735" i="17"/>
  <c r="AB735" i="17"/>
  <c r="N735" i="17"/>
  <c r="AM735" i="17"/>
  <c r="Z735" i="17"/>
  <c r="M735" i="17"/>
  <c r="AK735" i="17"/>
  <c r="S735" i="17"/>
  <c r="AI735" i="17"/>
  <c r="P735" i="17"/>
  <c r="AH735" i="17"/>
  <c r="O735" i="17"/>
  <c r="AE735" i="17"/>
  <c r="AC735" i="17"/>
  <c r="X735" i="17"/>
  <c r="AM737" i="17"/>
  <c r="AL737" i="17"/>
  <c r="AK737" i="17"/>
  <c r="W737" i="17"/>
  <c r="AA753" i="17"/>
  <c r="AM757" i="17"/>
  <c r="AP757" i="17"/>
  <c r="M769" i="17"/>
  <c r="W775" i="17"/>
  <c r="AH781" i="17"/>
  <c r="AJ784" i="17"/>
  <c r="AC790" i="17"/>
  <c r="AB790" i="17"/>
  <c r="AQ790" i="17"/>
  <c r="AN790" i="17"/>
  <c r="AL790" i="17"/>
  <c r="AD795" i="17"/>
  <c r="AC795" i="17"/>
  <c r="M800" i="17"/>
  <c r="L800" i="17"/>
  <c r="AD800" i="17"/>
  <c r="AA800" i="17"/>
  <c r="AK804" i="17"/>
  <c r="AG827" i="17"/>
  <c r="N827" i="17"/>
  <c r="AE827" i="17"/>
  <c r="M827" i="17"/>
  <c r="AB827" i="17"/>
  <c r="W827" i="17"/>
  <c r="R827" i="17"/>
  <c r="AN827" i="17"/>
  <c r="AM827" i="17"/>
  <c r="AD827" i="17"/>
  <c r="AI908" i="17"/>
  <c r="AH908" i="17"/>
  <c r="AB908" i="17"/>
  <c r="AP908" i="17"/>
  <c r="S908" i="17"/>
  <c r="AC989" i="17"/>
  <c r="N989" i="17"/>
  <c r="AK1010" i="17"/>
  <c r="AJ1010" i="17"/>
  <c r="AF1032" i="17"/>
  <c r="AD1032" i="17"/>
  <c r="AD1075" i="17"/>
  <c r="AF1079" i="17"/>
  <c r="Q1236" i="17"/>
  <c r="AG1257" i="17"/>
  <c r="AN1374" i="17"/>
  <c r="AM1374" i="17"/>
  <c r="L1374" i="17"/>
  <c r="AK1374" i="17"/>
  <c r="K1374" i="17"/>
  <c r="O1374" i="17"/>
  <c r="N1374" i="17"/>
  <c r="M1374" i="17"/>
  <c r="AJ1374" i="17"/>
  <c r="AD1374" i="17"/>
  <c r="V1374" i="17"/>
  <c r="J1503" i="17"/>
  <c r="AI1503" i="17"/>
  <c r="AF1506" i="17"/>
  <c r="AD1506" i="17"/>
  <c r="L1506" i="17"/>
  <c r="AR1506" i="17"/>
  <c r="AC1506" i="17"/>
  <c r="K1506" i="17"/>
  <c r="AN1506" i="17"/>
  <c r="N1506" i="17"/>
  <c r="AM1506" i="17"/>
  <c r="M1506" i="17"/>
  <c r="AI1506" i="17"/>
  <c r="J1506" i="17"/>
  <c r="X1506" i="17"/>
  <c r="W1506" i="17"/>
  <c r="V1506" i="17"/>
  <c r="AQ1506" i="17"/>
  <c r="L1763" i="17"/>
  <c r="AP1772" i="17"/>
  <c r="X1772" i="17"/>
  <c r="AD193" i="17"/>
  <c r="AC193" i="17"/>
  <c r="AD203" i="17"/>
  <c r="AC203" i="17"/>
  <c r="AL229" i="17"/>
  <c r="X237" i="17"/>
  <c r="AQ278" i="17"/>
  <c r="AB278" i="17"/>
  <c r="AA278" i="17"/>
  <c r="AJ339" i="17"/>
  <c r="AI339" i="17"/>
  <c r="W363" i="17"/>
  <c r="W365" i="17"/>
  <c r="AP365" i="17"/>
  <c r="T365" i="17"/>
  <c r="AK365" i="17"/>
  <c r="S365" i="17"/>
  <c r="AE365" i="17"/>
  <c r="AO371" i="17"/>
  <c r="AN371" i="17"/>
  <c r="AB371" i="17"/>
  <c r="O371" i="17"/>
  <c r="AL371" i="17"/>
  <c r="Z371" i="17"/>
  <c r="N371" i="17"/>
  <c r="V371" i="17"/>
  <c r="AK371" i="17"/>
  <c r="AB373" i="17"/>
  <c r="AI373" i="17"/>
  <c r="Z373" i="17"/>
  <c r="AC411" i="17"/>
  <c r="AR411" i="17"/>
  <c r="U411" i="17"/>
  <c r="AQ411" i="17"/>
  <c r="T411" i="17"/>
  <c r="AF411" i="17"/>
  <c r="AD427" i="17"/>
  <c r="AR457" i="17"/>
  <c r="X457" i="17"/>
  <c r="N457" i="17"/>
  <c r="AM519" i="17"/>
  <c r="W519" i="17"/>
  <c r="T519" i="17"/>
  <c r="AP561" i="17"/>
  <c r="AI561" i="17"/>
  <c r="S561" i="17"/>
  <c r="AE561" i="17"/>
  <c r="P561" i="17"/>
  <c r="AL561" i="17"/>
  <c r="V561" i="17"/>
  <c r="AK561" i="17"/>
  <c r="O561" i="17"/>
  <c r="AB561" i="17"/>
  <c r="AR600" i="17"/>
  <c r="X600" i="17"/>
  <c r="O600" i="17"/>
  <c r="AN650" i="17"/>
  <c r="AM650" i="17"/>
  <c r="AL675" i="17"/>
  <c r="W675" i="17"/>
  <c r="K675" i="17"/>
  <c r="AK675" i="17"/>
  <c r="V675" i="17"/>
  <c r="J675" i="17"/>
  <c r="AP675" i="17"/>
  <c r="Z675" i="17"/>
  <c r="AN675" i="17"/>
  <c r="U675" i="17"/>
  <c r="AD675" i="17"/>
  <c r="AJ681" i="17"/>
  <c r="AF681" i="17"/>
  <c r="O681" i="17"/>
  <c r="AE681" i="17"/>
  <c r="N681" i="17"/>
  <c r="X681" i="17"/>
  <c r="AQ681" i="17"/>
  <c r="W681" i="17"/>
  <c r="AH681" i="17"/>
  <c r="N704" i="17"/>
  <c r="V704" i="17"/>
  <c r="S704" i="17"/>
  <c r="AE705" i="17"/>
  <c r="Z713" i="17"/>
  <c r="AI713" i="17"/>
  <c r="AA713" i="17"/>
  <c r="AH724" i="17"/>
  <c r="AG724" i="17"/>
  <c r="W724" i="17"/>
  <c r="R724" i="17"/>
  <c r="P724" i="17"/>
  <c r="AJ779" i="17"/>
  <c r="T779" i="17"/>
  <c r="AN779" i="17"/>
  <c r="N779" i="17"/>
  <c r="AA779" i="17"/>
  <c r="Z779" i="17"/>
  <c r="X779" i="17"/>
  <c r="Z833" i="17"/>
  <c r="AN833" i="17"/>
  <c r="U879" i="17"/>
  <c r="Q879" i="17"/>
  <c r="V879" i="17"/>
  <c r="P879" i="17"/>
  <c r="O879" i="17"/>
  <c r="AB905" i="17"/>
  <c r="N905" i="17"/>
  <c r="AN973" i="17"/>
  <c r="AJ973" i="17"/>
  <c r="AH973" i="17"/>
  <c r="AI1016" i="17"/>
  <c r="AA1016" i="17"/>
  <c r="M1016" i="17"/>
  <c r="AD1039" i="17"/>
  <c r="V1039" i="17"/>
  <c r="AP1039" i="17"/>
  <c r="Q1039" i="17"/>
  <c r="AH1039" i="17"/>
  <c r="AG1039" i="17"/>
  <c r="AE1039" i="17"/>
  <c r="P1039" i="17"/>
  <c r="O1039" i="17"/>
  <c r="N1039" i="17"/>
  <c r="AP1191" i="17"/>
  <c r="AK1191" i="17"/>
  <c r="Z1191" i="17"/>
  <c r="AL1309" i="17"/>
  <c r="AF1309" i="17"/>
  <c r="AP1320" i="17"/>
  <c r="U1320" i="17"/>
  <c r="T1320" i="17"/>
  <c r="Z1320" i="17"/>
  <c r="V1320" i="17"/>
  <c r="J1320" i="17"/>
  <c r="AE1370" i="17"/>
  <c r="AD1370" i="17"/>
  <c r="P1370" i="17"/>
  <c r="AJ1380" i="17"/>
  <c r="AI1380" i="17"/>
  <c r="AC1380" i="17"/>
  <c r="V1380" i="17"/>
  <c r="U1380" i="17"/>
  <c r="T1383" i="17"/>
  <c r="R1383" i="17"/>
  <c r="AQ1383" i="17"/>
  <c r="X1383" i="17"/>
  <c r="Q1383" i="17"/>
  <c r="L1383" i="17"/>
  <c r="AN1393" i="17"/>
  <c r="AI1393" i="17"/>
  <c r="AF1393" i="17"/>
  <c r="Y1393" i="17"/>
  <c r="AC1540" i="17"/>
  <c r="AB1540" i="17"/>
  <c r="AA1540" i="17"/>
  <c r="Z1540" i="17"/>
  <c r="O1540" i="17"/>
  <c r="AR1540" i="17"/>
  <c r="AI1648" i="17"/>
  <c r="AF1648" i="17"/>
  <c r="K1648" i="17"/>
  <c r="J1648" i="17"/>
  <c r="Y1648" i="17"/>
  <c r="O1648" i="17"/>
  <c r="AJ1935" i="17"/>
  <c r="AI1935" i="17"/>
  <c r="AE1935" i="17"/>
  <c r="Z1935" i="17"/>
  <c r="R1935" i="17"/>
  <c r="AI1948" i="17"/>
  <c r="N1948" i="17"/>
  <c r="V1948" i="17"/>
  <c r="S1948" i="17"/>
  <c r="W1948" i="17"/>
  <c r="P1948" i="17"/>
  <c r="AK1948" i="17"/>
  <c r="AJ1948" i="17"/>
  <c r="AL1948" i="17"/>
  <c r="AF1948" i="17"/>
  <c r="AC1948" i="17"/>
  <c r="N193" i="17"/>
  <c r="O203" i="17"/>
  <c r="AQ233" i="17"/>
  <c r="AI233" i="17"/>
  <c r="L239" i="17"/>
  <c r="AD239" i="17"/>
  <c r="AA239" i="17"/>
  <c r="AL245" i="17"/>
  <c r="AC245" i="17"/>
  <c r="AN329" i="17"/>
  <c r="AM329" i="17"/>
  <c r="AE334" i="17"/>
  <c r="AP334" i="17"/>
  <c r="AB334" i="17"/>
  <c r="P339" i="17"/>
  <c r="AI362" i="17"/>
  <c r="J365" i="17"/>
  <c r="AF365" i="17"/>
  <c r="J371" i="17"/>
  <c r="W371" i="17"/>
  <c r="AP371" i="17"/>
  <c r="N373" i="17"/>
  <c r="AJ401" i="17"/>
  <c r="AL401" i="17"/>
  <c r="AI405" i="17"/>
  <c r="AQ405" i="17"/>
  <c r="N405" i="17"/>
  <c r="AN405" i="17"/>
  <c r="M405" i="17"/>
  <c r="L411" i="17"/>
  <c r="AK411" i="17"/>
  <c r="AB421" i="17"/>
  <c r="AJ421" i="17"/>
  <c r="AA421" i="17"/>
  <c r="AQ421" i="17"/>
  <c r="AA436" i="17"/>
  <c r="AB439" i="17"/>
  <c r="AQ439" i="17"/>
  <c r="M439" i="17"/>
  <c r="AN439" i="17"/>
  <c r="L439" i="17"/>
  <c r="AR439" i="17"/>
  <c r="V475" i="17"/>
  <c r="U475" i="17"/>
  <c r="AR475" i="17"/>
  <c r="AM485" i="17"/>
  <c r="AJ485" i="17"/>
  <c r="AI485" i="17"/>
  <c r="V487" i="17"/>
  <c r="AJ487" i="17"/>
  <c r="AQ529" i="17"/>
  <c r="AN529" i="17"/>
  <c r="AD535" i="17"/>
  <c r="N535" i="17"/>
  <c r="AK551" i="17"/>
  <c r="AA551" i="17"/>
  <c r="X551" i="17"/>
  <c r="K561" i="17"/>
  <c r="AC561" i="17"/>
  <c r="AB570" i="17"/>
  <c r="AA580" i="17"/>
  <c r="AJ580" i="17"/>
  <c r="AB580" i="17"/>
  <c r="AN580" i="17"/>
  <c r="AM580" i="17"/>
  <c r="N600" i="17"/>
  <c r="AH647" i="17"/>
  <c r="AC647" i="17"/>
  <c r="X647" i="17"/>
  <c r="W657" i="17"/>
  <c r="P657" i="17"/>
  <c r="M657" i="17"/>
  <c r="L657" i="17"/>
  <c r="P704" i="17"/>
  <c r="AE709" i="17"/>
  <c r="Z709" i="17"/>
  <c r="X731" i="17"/>
  <c r="AL731" i="17"/>
  <c r="L731" i="17"/>
  <c r="AK731" i="17"/>
  <c r="K731" i="17"/>
  <c r="AE731" i="17"/>
  <c r="W731" i="17"/>
  <c r="V731" i="17"/>
  <c r="X739" i="17"/>
  <c r="W739" i="17"/>
  <c r="AL739" i="17"/>
  <c r="AK739" i="17"/>
  <c r="AE739" i="17"/>
  <c r="Z759" i="17"/>
  <c r="X759" i="17"/>
  <c r="P759" i="17"/>
  <c r="AQ759" i="17"/>
  <c r="O759" i="17"/>
  <c r="AM759" i="17"/>
  <c r="L759" i="17"/>
  <c r="AN772" i="17"/>
  <c r="N772" i="17"/>
  <c r="K772" i="17"/>
  <c r="Q776" i="17"/>
  <c r="AO776" i="17"/>
  <c r="AN776" i="17"/>
  <c r="AC798" i="17"/>
  <c r="Y798" i="17"/>
  <c r="X798" i="17"/>
  <c r="Z798" i="17"/>
  <c r="M798" i="17"/>
  <c r="L798" i="17"/>
  <c r="AA802" i="17"/>
  <c r="Z802" i="17"/>
  <c r="AR802" i="17"/>
  <c r="P805" i="17"/>
  <c r="O805" i="17"/>
  <c r="AB805" i="17"/>
  <c r="AB833" i="17"/>
  <c r="P837" i="17"/>
  <c r="X861" i="17"/>
  <c r="AP861" i="17"/>
  <c r="W861" i="17"/>
  <c r="AE861" i="17"/>
  <c r="T861" i="17"/>
  <c r="P861" i="17"/>
  <c r="AO861" i="17"/>
  <c r="M879" i="17"/>
  <c r="AK886" i="17"/>
  <c r="AC886" i="17"/>
  <c r="AL886" i="17"/>
  <c r="AB886" i="17"/>
  <c r="S886" i="17"/>
  <c r="M905" i="17"/>
  <c r="T973" i="17"/>
  <c r="Y1023" i="17"/>
  <c r="W1023" i="17"/>
  <c r="M1023" i="17"/>
  <c r="Y1052" i="17"/>
  <c r="AJ1052" i="17"/>
  <c r="V1052" i="17"/>
  <c r="AL1052" i="17"/>
  <c r="AK1052" i="17"/>
  <c r="U1052" i="17"/>
  <c r="AP1052" i="17"/>
  <c r="T1052" i="17"/>
  <c r="Z1139" i="17"/>
  <c r="Y1139" i="17"/>
  <c r="X1139" i="17"/>
  <c r="AO1139" i="17"/>
  <c r="AD1139" i="17"/>
  <c r="AC1139" i="17"/>
  <c r="AP1240" i="17"/>
  <c r="AD1240" i="17"/>
  <c r="AA1240" i="17"/>
  <c r="M1240" i="17"/>
  <c r="J1240" i="17"/>
  <c r="AC1245" i="17"/>
  <c r="Z1245" i="17"/>
  <c r="AP1245" i="17"/>
  <c r="Y1245" i="17"/>
  <c r="W1245" i="17"/>
  <c r="AG1259" i="17"/>
  <c r="X1259" i="17"/>
  <c r="AK1259" i="17"/>
  <c r="W1259" i="17"/>
  <c r="V1259" i="17"/>
  <c r="M1306" i="17"/>
  <c r="AL1306" i="17"/>
  <c r="AK1306" i="17"/>
  <c r="AD1306" i="17"/>
  <c r="P1309" i="17"/>
  <c r="AG1320" i="17"/>
  <c r="AI1352" i="17"/>
  <c r="M1352" i="17"/>
  <c r="L1352" i="17"/>
  <c r="V1352" i="17"/>
  <c r="Q1352" i="17"/>
  <c r="N1352" i="17"/>
  <c r="AB1367" i="17"/>
  <c r="R1367" i="17"/>
  <c r="AM1367" i="17"/>
  <c r="S1375" i="17"/>
  <c r="AD1380" i="17"/>
  <c r="AK1424" i="17"/>
  <c r="AN1424" i="17"/>
  <c r="T1424" i="17"/>
  <c r="AQ1424" i="17"/>
  <c r="P1424" i="17"/>
  <c r="AL1424" i="17"/>
  <c r="O1424" i="17"/>
  <c r="X1424" i="17"/>
  <c r="N1424" i="17"/>
  <c r="AR1424" i="17"/>
  <c r="M1424" i="17"/>
  <c r="AI1424" i="17"/>
  <c r="AE1424" i="17"/>
  <c r="AA1428" i="17"/>
  <c r="AN1428" i="17"/>
  <c r="AI1462" i="17"/>
  <c r="AB1462" i="17"/>
  <c r="AQ1462" i="17"/>
  <c r="AA1462" i="17"/>
  <c r="U1462" i="17"/>
  <c r="T1462" i="17"/>
  <c r="S1462" i="17"/>
  <c r="L1462" i="17"/>
  <c r="AR1462" i="17"/>
  <c r="L1540" i="17"/>
  <c r="AG1632" i="17"/>
  <c r="AF1632" i="17"/>
  <c r="Q1632" i="17"/>
  <c r="P1632" i="17"/>
  <c r="Q1652" i="17"/>
  <c r="AP1652" i="17"/>
  <c r="P1652" i="17"/>
  <c r="AO1652" i="17"/>
  <c r="AL1652" i="17"/>
  <c r="Z1652" i="17"/>
  <c r="S1652" i="17"/>
  <c r="R1652" i="17"/>
  <c r="AD1652" i="17"/>
  <c r="AQ1690" i="17"/>
  <c r="AM1690" i="17"/>
  <c r="AH1690" i="17"/>
  <c r="AG1690" i="17"/>
  <c r="Z1690" i="17"/>
  <c r="K1847" i="17"/>
  <c r="AN1847" i="17"/>
  <c r="AM1847" i="17"/>
  <c r="W1847" i="17"/>
  <c r="AD1905" i="17"/>
  <c r="J1905" i="17"/>
  <c r="W1905" i="17"/>
  <c r="S1905" i="17"/>
  <c r="M1905" i="17"/>
  <c r="K1905" i="17"/>
  <c r="AP1905" i="17"/>
  <c r="AE1905" i="17"/>
  <c r="AQ1905" i="17"/>
  <c r="AC1905" i="17"/>
  <c r="Z1905" i="17"/>
  <c r="AB193" i="17"/>
  <c r="AL201" i="17"/>
  <c r="AA201" i="17"/>
  <c r="AE203" i="17"/>
  <c r="AF229" i="17"/>
  <c r="AK229" i="17"/>
  <c r="AJ229" i="17"/>
  <c r="AP237" i="17"/>
  <c r="AI237" i="17"/>
  <c r="P237" i="17"/>
  <c r="AF237" i="17"/>
  <c r="O237" i="17"/>
  <c r="AB237" i="17"/>
  <c r="V245" i="17"/>
  <c r="AL255" i="17"/>
  <c r="O255" i="17"/>
  <c r="AK255" i="17"/>
  <c r="N255" i="17"/>
  <c r="AJ255" i="17"/>
  <c r="AR321" i="17"/>
  <c r="AM321" i="17"/>
  <c r="O321" i="17"/>
  <c r="AL321" i="17"/>
  <c r="N321" i="17"/>
  <c r="AK321" i="17"/>
  <c r="X329" i="17"/>
  <c r="AN343" i="17"/>
  <c r="AA343" i="17"/>
  <c r="AF363" i="17"/>
  <c r="AR363" i="17"/>
  <c r="AC363" i="17"/>
  <c r="K363" i="17"/>
  <c r="AQ363" i="17"/>
  <c r="AB363" i="17"/>
  <c r="J363" i="17"/>
  <c r="AE363" i="17"/>
  <c r="AF369" i="17"/>
  <c r="AP369" i="17"/>
  <c r="AN369" i="17"/>
  <c r="J383" i="17"/>
  <c r="AN383" i="17"/>
  <c r="AC383" i="17"/>
  <c r="W401" i="17"/>
  <c r="L405" i="17"/>
  <c r="O411" i="17"/>
  <c r="AN411" i="17"/>
  <c r="AN427" i="17"/>
  <c r="O427" i="17"/>
  <c r="AM427" i="17"/>
  <c r="N427" i="17"/>
  <c r="K439" i="17"/>
  <c r="Q450" i="17"/>
  <c r="AB457" i="17"/>
  <c r="AR465" i="17"/>
  <c r="AI465" i="17"/>
  <c r="AF465" i="17"/>
  <c r="K475" i="17"/>
  <c r="S485" i="17"/>
  <c r="AF487" i="17"/>
  <c r="AI499" i="17"/>
  <c r="AK499" i="17"/>
  <c r="M499" i="17"/>
  <c r="AF499" i="17"/>
  <c r="L499" i="17"/>
  <c r="AQ499" i="17"/>
  <c r="P580" i="17"/>
  <c r="AA594" i="17"/>
  <c r="AG594" i="17"/>
  <c r="X594" i="17"/>
  <c r="AJ594" i="17"/>
  <c r="AI594" i="17"/>
  <c r="AA605" i="17"/>
  <c r="AC613" i="17"/>
  <c r="U613" i="17"/>
  <c r="T613" i="17"/>
  <c r="S613" i="17"/>
  <c r="W647" i="17"/>
  <c r="AP689" i="17"/>
  <c r="AE689" i="17"/>
  <c r="AD689" i="17"/>
  <c r="AF705" i="17"/>
  <c r="AR705" i="17"/>
  <c r="V705" i="17"/>
  <c r="AN705" i="17"/>
  <c r="S705" i="17"/>
  <c r="R705" i="17"/>
  <c r="P705" i="17"/>
  <c r="AM705" i="17"/>
  <c r="L705" i="17"/>
  <c r="AF721" i="17"/>
  <c r="W721" i="17"/>
  <c r="N721" i="17"/>
  <c r="AR721" i="17"/>
  <c r="AL721" i="17"/>
  <c r="AA721" i="17"/>
  <c r="AE755" i="17"/>
  <c r="AB755" i="17"/>
  <c r="AI788" i="17"/>
  <c r="AK788" i="17"/>
  <c r="AJ797" i="17"/>
  <c r="P797" i="17"/>
  <c r="AH797" i="17"/>
  <c r="N797" i="17"/>
  <c r="AD797" i="17"/>
  <c r="Z797" i="17"/>
  <c r="V797" i="17"/>
  <c r="AK833" i="17"/>
  <c r="AN855" i="17"/>
  <c r="AH855" i="17"/>
  <c r="X869" i="17"/>
  <c r="J869" i="17"/>
  <c r="AE879" i="17"/>
  <c r="AN896" i="17"/>
  <c r="U973" i="17"/>
  <c r="O1005" i="17"/>
  <c r="J1005" i="17"/>
  <c r="AR1005" i="17"/>
  <c r="AE1005" i="17"/>
  <c r="AC1005" i="17"/>
  <c r="Z1005" i="17"/>
  <c r="AJ1039" i="17"/>
  <c r="O1099" i="17"/>
  <c r="S1106" i="17"/>
  <c r="AO1146" i="17"/>
  <c r="AH1146" i="17"/>
  <c r="AQ1178" i="17"/>
  <c r="AO1178" i="17"/>
  <c r="AH1178" i="17"/>
  <c r="K1200" i="17"/>
  <c r="AB1240" i="17"/>
  <c r="N1245" i="17"/>
  <c r="AC1317" i="17"/>
  <c r="X1317" i="17"/>
  <c r="AL1317" i="17"/>
  <c r="AK1317" i="17"/>
  <c r="W1317" i="17"/>
  <c r="AP1317" i="17"/>
  <c r="R1317" i="17"/>
  <c r="Q1317" i="17"/>
  <c r="AG1352" i="17"/>
  <c r="Q1367" i="17"/>
  <c r="AI1381" i="17"/>
  <c r="AH1381" i="17"/>
  <c r="AP1381" i="17"/>
  <c r="W1381" i="17"/>
  <c r="T1381" i="17"/>
  <c r="AQ1381" i="17"/>
  <c r="Q1381" i="17"/>
  <c r="O1381" i="17"/>
  <c r="L1424" i="17"/>
  <c r="AE1431" i="17"/>
  <c r="AO1431" i="17"/>
  <c r="AN1431" i="17"/>
  <c r="L1431" i="17"/>
  <c r="AP1490" i="17"/>
  <c r="AC1490" i="17"/>
  <c r="Z1490" i="17"/>
  <c r="X1490" i="17"/>
  <c r="AH1520" i="17"/>
  <c r="AK1520" i="17"/>
  <c r="W1520" i="17"/>
  <c r="AJ1520" i="17"/>
  <c r="R1520" i="17"/>
  <c r="AM1520" i="17"/>
  <c r="O1520" i="17"/>
  <c r="AI1520" i="17"/>
  <c r="N1520" i="17"/>
  <c r="AE1520" i="17"/>
  <c r="M1520" i="17"/>
  <c r="X1520" i="17"/>
  <c r="P1520" i="17"/>
  <c r="L1520" i="17"/>
  <c r="AQ1520" i="17"/>
  <c r="AP1520" i="17"/>
  <c r="M1540" i="17"/>
  <c r="AD1552" i="17"/>
  <c r="W1552" i="17"/>
  <c r="AA1860" i="17"/>
  <c r="N1860" i="17"/>
  <c r="M1860" i="17"/>
  <c r="AN1860" i="17"/>
  <c r="AL1860" i="17"/>
  <c r="AJ1860" i="17"/>
  <c r="O1905" i="17"/>
  <c r="S720" i="17"/>
  <c r="O720" i="17"/>
  <c r="AH822" i="17"/>
  <c r="Z822" i="17"/>
  <c r="T822" i="17"/>
  <c r="V866" i="17"/>
  <c r="X866" i="17"/>
  <c r="S866" i="17"/>
  <c r="N868" i="17"/>
  <c r="J868" i="17"/>
  <c r="AN872" i="17"/>
  <c r="Z872" i="17"/>
  <c r="V872" i="17"/>
  <c r="U903" i="17"/>
  <c r="AD903" i="17"/>
  <c r="V903" i="17"/>
  <c r="N932" i="17"/>
  <c r="AC932" i="17"/>
  <c r="AB932" i="17"/>
  <c r="AH932" i="17"/>
  <c r="AG932" i="17"/>
  <c r="AH941" i="17"/>
  <c r="AG941" i="17"/>
  <c r="Q941" i="17"/>
  <c r="AE941" i="17"/>
  <c r="O941" i="17"/>
  <c r="AP941" i="17"/>
  <c r="X941" i="17"/>
  <c r="AO941" i="17"/>
  <c r="W941" i="17"/>
  <c r="AD941" i="17"/>
  <c r="AR972" i="17"/>
  <c r="V972" i="17"/>
  <c r="U972" i="17"/>
  <c r="AD972" i="17"/>
  <c r="X972" i="17"/>
  <c r="Y1008" i="17"/>
  <c r="P1008" i="17"/>
  <c r="AF1069" i="17"/>
  <c r="W1069" i="17"/>
  <c r="AM1069" i="17"/>
  <c r="AG1069" i="17"/>
  <c r="AD1081" i="17"/>
  <c r="N1081" i="17"/>
  <c r="M1081" i="17"/>
  <c r="AG1121" i="17"/>
  <c r="AD1121" i="17"/>
  <c r="N1121" i="17"/>
  <c r="AC1121" i="17"/>
  <c r="M1121" i="17"/>
  <c r="AF1121" i="17"/>
  <c r="Z1121" i="17"/>
  <c r="Y1121" i="17"/>
  <c r="AP1121" i="17"/>
  <c r="AO1143" i="17"/>
  <c r="AH1143" i="17"/>
  <c r="R1143" i="17"/>
  <c r="O1143" i="17"/>
  <c r="Y1197" i="17"/>
  <c r="R1197" i="17"/>
  <c r="Q1197" i="17"/>
  <c r="AK1197" i="17"/>
  <c r="X1197" i="17"/>
  <c r="V1197" i="17"/>
  <c r="J1217" i="17"/>
  <c r="AN1217" i="17"/>
  <c r="AD1217" i="17"/>
  <c r="AO1217" i="17"/>
  <c r="AC1217" i="17"/>
  <c r="V1301" i="17"/>
  <c r="R1301" i="17"/>
  <c r="AG1301" i="17"/>
  <c r="AF1301" i="17"/>
  <c r="AF1303" i="17"/>
  <c r="AC1303" i="17"/>
  <c r="U1303" i="17"/>
  <c r="AD1386" i="17"/>
  <c r="V1386" i="17"/>
  <c r="AF1401" i="17"/>
  <c r="AA1401" i="17"/>
  <c r="AJ1418" i="17"/>
  <c r="S1418" i="17"/>
  <c r="N1418" i="17"/>
  <c r="AD1418" i="17"/>
  <c r="W1418" i="17"/>
  <c r="T1418" i="17"/>
  <c r="AL1446" i="17"/>
  <c r="AJ1446" i="17"/>
  <c r="AI1446" i="17"/>
  <c r="AR1578" i="17"/>
  <c r="AB1578" i="17"/>
  <c r="N1578" i="17"/>
  <c r="AA1578" i="17"/>
  <c r="M1578" i="17"/>
  <c r="AM1578" i="17"/>
  <c r="V1578" i="17"/>
  <c r="AK1578" i="17"/>
  <c r="P1578" i="17"/>
  <c r="O1578" i="17"/>
  <c r="AP1578" i="17"/>
  <c r="L1578" i="17"/>
  <c r="AJ1578" i="17"/>
  <c r="J1578" i="17"/>
  <c r="AI1578" i="17"/>
  <c r="Z1607" i="17"/>
  <c r="T1607" i="17"/>
  <c r="U1677" i="17"/>
  <c r="AP1677" i="17"/>
  <c r="S1677" i="17"/>
  <c r="M1677" i="17"/>
  <c r="AJ1677" i="17"/>
  <c r="L1677" i="17"/>
  <c r="AD1677" i="17"/>
  <c r="AA1677" i="17"/>
  <c r="Z1677" i="17"/>
  <c r="AI1677" i="17"/>
  <c r="AH1677" i="17"/>
  <c r="O1677" i="17"/>
  <c r="AN1733" i="17"/>
  <c r="AD1733" i="17"/>
  <c r="L1733" i="17"/>
  <c r="AC1733" i="17"/>
  <c r="K1733" i="17"/>
  <c r="U1733" i="17"/>
  <c r="AR1733" i="17"/>
  <c r="T1733" i="17"/>
  <c r="S1733" i="17"/>
  <c r="P1733" i="17"/>
  <c r="AQ1733" i="17"/>
  <c r="O1733" i="17"/>
  <c r="AM1733" i="17"/>
  <c r="AB1787" i="17"/>
  <c r="AI1787" i="17"/>
  <c r="M1787" i="17"/>
  <c r="AE1787" i="17"/>
  <c r="K1787" i="17"/>
  <c r="P1787" i="17"/>
  <c r="O1787" i="17"/>
  <c r="V1787" i="17"/>
  <c r="N1787" i="17"/>
  <c r="AQ1787" i="17"/>
  <c r="AN1787" i="17"/>
  <c r="AL1787" i="17"/>
  <c r="AD1787" i="17"/>
  <c r="AJ1807" i="17"/>
  <c r="AI1807" i="17"/>
  <c r="AN1807" i="17"/>
  <c r="AM1807" i="17"/>
  <c r="U1807" i="17"/>
  <c r="S1807" i="17"/>
  <c r="K5949" i="16"/>
  <c r="J5974" i="16"/>
  <c r="P5980" i="16"/>
  <c r="J5982" i="16"/>
  <c r="P5988" i="16"/>
  <c r="J5990" i="16"/>
  <c r="H5998" i="16"/>
  <c r="K9" i="17"/>
  <c r="L29" i="17"/>
  <c r="AQ179" i="17"/>
  <c r="AE199" i="17"/>
  <c r="AA207" i="17"/>
  <c r="AC209" i="17"/>
  <c r="AL219" i="17"/>
  <c r="U243" i="17"/>
  <c r="AK243" i="17"/>
  <c r="AF249" i="17"/>
  <c r="W261" i="17"/>
  <c r="AB265" i="17"/>
  <c r="AD271" i="17"/>
  <c r="AJ296" i="17"/>
  <c r="AJ309" i="17"/>
  <c r="U341" i="17"/>
  <c r="AH341" i="17"/>
  <c r="AR399" i="17"/>
  <c r="AK443" i="17"/>
  <c r="AI491" i="17"/>
  <c r="AI513" i="17"/>
  <c r="X515" i="17"/>
  <c r="AM515" i="17"/>
  <c r="AC525" i="17"/>
  <c r="AH544" i="17"/>
  <c r="Z544" i="17"/>
  <c r="AK557" i="17"/>
  <c r="AD557" i="17"/>
  <c r="Z609" i="17"/>
  <c r="V609" i="17"/>
  <c r="U623" i="17"/>
  <c r="T623" i="17"/>
  <c r="Z627" i="17"/>
  <c r="T627" i="17"/>
  <c r="AR627" i="17"/>
  <c r="AA631" i="17"/>
  <c r="L631" i="17"/>
  <c r="W646" i="17"/>
  <c r="V646" i="17"/>
  <c r="AR649" i="17"/>
  <c r="AB649" i="17"/>
  <c r="AL686" i="17"/>
  <c r="Z686" i="17"/>
  <c r="W693" i="17"/>
  <c r="R693" i="17"/>
  <c r="AF698" i="17"/>
  <c r="Q698" i="17"/>
  <c r="P698" i="17"/>
  <c r="AH711" i="17"/>
  <c r="AE711" i="17"/>
  <c r="L711" i="17"/>
  <c r="AD711" i="17"/>
  <c r="K711" i="17"/>
  <c r="AL711" i="17"/>
  <c r="AF715" i="17"/>
  <c r="AA718" i="17"/>
  <c r="P718" i="17"/>
  <c r="V720" i="17"/>
  <c r="M745" i="17"/>
  <c r="X747" i="17"/>
  <c r="W747" i="17"/>
  <c r="AD756" i="17"/>
  <c r="AJ792" i="17"/>
  <c r="S792" i="17"/>
  <c r="AO792" i="17"/>
  <c r="R792" i="17"/>
  <c r="AN792" i="17"/>
  <c r="AP803" i="17"/>
  <c r="AL803" i="17"/>
  <c r="Q803" i="17"/>
  <c r="AK803" i="17"/>
  <c r="P803" i="17"/>
  <c r="AG803" i="17"/>
  <c r="Z812" i="17"/>
  <c r="Q812" i="17"/>
  <c r="P812" i="17"/>
  <c r="AN812" i="17"/>
  <c r="X816" i="17"/>
  <c r="V816" i="17"/>
  <c r="J822" i="17"/>
  <c r="AB824" i="17"/>
  <c r="U824" i="17"/>
  <c r="AJ832" i="17"/>
  <c r="U832" i="17"/>
  <c r="P832" i="17"/>
  <c r="T839" i="17"/>
  <c r="P846" i="17"/>
  <c r="N846" i="17"/>
  <c r="Q863" i="17"/>
  <c r="M866" i="17"/>
  <c r="P868" i="17"/>
  <c r="P871" i="17"/>
  <c r="Z871" i="17"/>
  <c r="V871" i="17"/>
  <c r="J872" i="17"/>
  <c r="M903" i="17"/>
  <c r="S924" i="17"/>
  <c r="AH924" i="17"/>
  <c r="AF924" i="17"/>
  <c r="AN924" i="17"/>
  <c r="AA932" i="17"/>
  <c r="J941" i="17"/>
  <c r="AJ941" i="17"/>
  <c r="AD944" i="17"/>
  <c r="V944" i="17"/>
  <c r="AH944" i="17"/>
  <c r="AF944" i="17"/>
  <c r="AF969" i="17"/>
  <c r="J972" i="17"/>
  <c r="AB1001" i="17"/>
  <c r="AN1001" i="17"/>
  <c r="AM1001" i="17"/>
  <c r="W1009" i="17"/>
  <c r="Q1009" i="17"/>
  <c r="R1024" i="17"/>
  <c r="AO1024" i="17"/>
  <c r="AN1024" i="17"/>
  <c r="AH1024" i="17"/>
  <c r="R1069" i="17"/>
  <c r="J1081" i="17"/>
  <c r="AK1087" i="17"/>
  <c r="R1087" i="17"/>
  <c r="O1087" i="17"/>
  <c r="X1087" i="17"/>
  <c r="W1087" i="17"/>
  <c r="N1087" i="17"/>
  <c r="O1121" i="17"/>
  <c r="AD1180" i="17"/>
  <c r="AB1180" i="17"/>
  <c r="Y1180" i="17"/>
  <c r="AI1180" i="17"/>
  <c r="Q1180" i="17"/>
  <c r="N1180" i="17"/>
  <c r="M1197" i="17"/>
  <c r="R1217" i="17"/>
  <c r="P1285" i="17"/>
  <c r="AF1285" i="17"/>
  <c r="W1285" i="17"/>
  <c r="N1301" i="17"/>
  <c r="P1303" i="17"/>
  <c r="AG1379" i="17"/>
  <c r="Z1379" i="17"/>
  <c r="S1386" i="17"/>
  <c r="T1401" i="17"/>
  <c r="AR1404" i="17"/>
  <c r="AF1404" i="17"/>
  <c r="AE1404" i="17"/>
  <c r="M1414" i="17"/>
  <c r="K1414" i="17"/>
  <c r="AL1414" i="17"/>
  <c r="AE1418" i="17"/>
  <c r="T1446" i="17"/>
  <c r="AI1481" i="17"/>
  <c r="AH1481" i="17"/>
  <c r="AF1481" i="17"/>
  <c r="Q1481" i="17"/>
  <c r="P1481" i="17"/>
  <c r="AQ1566" i="17"/>
  <c r="AN1566" i="17"/>
  <c r="AM1566" i="17"/>
  <c r="AD1566" i="17"/>
  <c r="AK1576" i="17"/>
  <c r="Z1576" i="17"/>
  <c r="W1578" i="17"/>
  <c r="R1607" i="17"/>
  <c r="AJ1651" i="17"/>
  <c r="AI1651" i="17"/>
  <c r="R1651" i="17"/>
  <c r="AD1651" i="17"/>
  <c r="O1651" i="17"/>
  <c r="AP1651" i="17"/>
  <c r="W1651" i="17"/>
  <c r="AM1651" i="17"/>
  <c r="S1651" i="17"/>
  <c r="AB1651" i="17"/>
  <c r="AA1651" i="17"/>
  <c r="Z1651" i="17"/>
  <c r="AC1651" i="17"/>
  <c r="N1651" i="17"/>
  <c r="M1651" i="17"/>
  <c r="K1677" i="17"/>
  <c r="AN1711" i="17"/>
  <c r="AH1711" i="17"/>
  <c r="S1711" i="17"/>
  <c r="R1711" i="17"/>
  <c r="AR1711" i="17"/>
  <c r="AE1711" i="17"/>
  <c r="AB1711" i="17"/>
  <c r="AN1729" i="17"/>
  <c r="AM1729" i="17"/>
  <c r="AB1733" i="17"/>
  <c r="X1787" i="17"/>
  <c r="M1807" i="17"/>
  <c r="L1987" i="17"/>
  <c r="Z1987" i="17"/>
  <c r="Y1987" i="17"/>
  <c r="AA1987" i="17"/>
  <c r="Q1987" i="17"/>
  <c r="AP1987" i="17"/>
  <c r="AM1987" i="17"/>
  <c r="AB1987" i="17"/>
  <c r="T5988" i="16"/>
  <c r="J5998" i="16"/>
  <c r="S29" i="17"/>
  <c r="K52" i="17"/>
  <c r="S150" i="17"/>
  <c r="S179" i="17"/>
  <c r="M199" i="17"/>
  <c r="K207" i="17"/>
  <c r="L209" i="17"/>
  <c r="AF209" i="17"/>
  <c r="P219" i="17"/>
  <c r="AQ219" i="17"/>
  <c r="W243" i="17"/>
  <c r="AL243" i="17"/>
  <c r="K249" i="17"/>
  <c r="AI249" i="17"/>
  <c r="AD261" i="17"/>
  <c r="M265" i="17"/>
  <c r="AC265" i="17"/>
  <c r="AE271" i="17"/>
  <c r="O296" i="17"/>
  <c r="AM296" i="17"/>
  <c r="V341" i="17"/>
  <c r="AI341" i="17"/>
  <c r="AP377" i="17"/>
  <c r="K390" i="17"/>
  <c r="AJ415" i="17"/>
  <c r="W417" i="17"/>
  <c r="AJ448" i="17"/>
  <c r="AE455" i="17"/>
  <c r="AC479" i="17"/>
  <c r="M491" i="17"/>
  <c r="AJ491" i="17"/>
  <c r="K498" i="17"/>
  <c r="U505" i="17"/>
  <c r="M513" i="17"/>
  <c r="L515" i="17"/>
  <c r="AA515" i="17"/>
  <c r="AQ515" i="17"/>
  <c r="AG554" i="17"/>
  <c r="AA554" i="17"/>
  <c r="AA585" i="17"/>
  <c r="X585" i="17"/>
  <c r="AF592" i="17"/>
  <c r="AF599" i="17"/>
  <c r="AH609" i="17"/>
  <c r="S623" i="17"/>
  <c r="M627" i="17"/>
  <c r="AL631" i="17"/>
  <c r="AD643" i="17"/>
  <c r="P643" i="17"/>
  <c r="AP643" i="17"/>
  <c r="AC643" i="17"/>
  <c r="O643" i="17"/>
  <c r="X643" i="17"/>
  <c r="AN643" i="17"/>
  <c r="AD646" i="17"/>
  <c r="P649" i="17"/>
  <c r="AR651" i="17"/>
  <c r="AL651" i="17"/>
  <c r="Z651" i="17"/>
  <c r="L651" i="17"/>
  <c r="AK651" i="17"/>
  <c r="W651" i="17"/>
  <c r="K651" i="17"/>
  <c r="AA651" i="17"/>
  <c r="Y682" i="17"/>
  <c r="Z682" i="17"/>
  <c r="X682" i="17"/>
  <c r="AH693" i="17"/>
  <c r="J698" i="17"/>
  <c r="J711" i="17"/>
  <c r="AM711" i="17"/>
  <c r="O718" i="17"/>
  <c r="Y720" i="17"/>
  <c r="O747" i="17"/>
  <c r="V760" i="17"/>
  <c r="Y760" i="17"/>
  <c r="J760" i="17"/>
  <c r="L792" i="17"/>
  <c r="N803" i="17"/>
  <c r="AO803" i="17"/>
  <c r="J812" i="17"/>
  <c r="AD816" i="17"/>
  <c r="K822" i="17"/>
  <c r="T824" i="17"/>
  <c r="Z832" i="17"/>
  <c r="L846" i="17"/>
  <c r="N866" i="17"/>
  <c r="X868" i="17"/>
  <c r="L871" i="17"/>
  <c r="U872" i="17"/>
  <c r="AK882" i="17"/>
  <c r="AF882" i="17"/>
  <c r="AJ902" i="17"/>
  <c r="Y902" i="17"/>
  <c r="T903" i="17"/>
  <c r="S914" i="17"/>
  <c r="AJ914" i="17"/>
  <c r="Y914" i="17"/>
  <c r="X914" i="17"/>
  <c r="Q924" i="17"/>
  <c r="AO940" i="17"/>
  <c r="P940" i="17"/>
  <c r="AN940" i="17"/>
  <c r="M940" i="17"/>
  <c r="AP940" i="17"/>
  <c r="AL940" i="17"/>
  <c r="L941" i="17"/>
  <c r="AM941" i="17"/>
  <c r="AI944" i="17"/>
  <c r="AP963" i="17"/>
  <c r="Z963" i="17"/>
  <c r="AH972" i="17"/>
  <c r="AL1001" i="17"/>
  <c r="AP1050" i="17"/>
  <c r="L1050" i="17"/>
  <c r="K1050" i="17"/>
  <c r="U1069" i="17"/>
  <c r="AP1081" i="17"/>
  <c r="AK1091" i="17"/>
  <c r="AH1091" i="17"/>
  <c r="AE1091" i="17"/>
  <c r="U1091" i="17"/>
  <c r="P1121" i="17"/>
  <c r="AL1161" i="17"/>
  <c r="W1161" i="17"/>
  <c r="AB1166" i="17"/>
  <c r="N1166" i="17"/>
  <c r="J1180" i="17"/>
  <c r="N1197" i="17"/>
  <c r="W1217" i="17"/>
  <c r="AH1285" i="17"/>
  <c r="M1288" i="17"/>
  <c r="L1288" i="17"/>
  <c r="AD1288" i="17"/>
  <c r="AB1288" i="17"/>
  <c r="K1288" i="17"/>
  <c r="AD1300" i="17"/>
  <c r="V1300" i="17"/>
  <c r="U1300" i="17"/>
  <c r="AQ1300" i="17"/>
  <c r="AL1300" i="17"/>
  <c r="AK1300" i="17"/>
  <c r="X1301" i="17"/>
  <c r="W1323" i="17"/>
  <c r="AK1323" i="17"/>
  <c r="AH1323" i="17"/>
  <c r="AG1323" i="17"/>
  <c r="X1337" i="17"/>
  <c r="W1337" i="17"/>
  <c r="V1337" i="17"/>
  <c r="W1368" i="17"/>
  <c r="X1379" i="17"/>
  <c r="Y1401" i="17"/>
  <c r="AA1411" i="17"/>
  <c r="R1411" i="17"/>
  <c r="AO1411" i="17"/>
  <c r="AN1411" i="17"/>
  <c r="AC1414" i="17"/>
  <c r="AQ1419" i="17"/>
  <c r="P1419" i="17"/>
  <c r="O1419" i="17"/>
  <c r="AH1446" i="17"/>
  <c r="Z1454" i="17"/>
  <c r="AP1454" i="17"/>
  <c r="O1454" i="17"/>
  <c r="AN1454" i="17"/>
  <c r="N1454" i="17"/>
  <c r="X1454" i="17"/>
  <c r="U1454" i="17"/>
  <c r="K1454" i="17"/>
  <c r="AD1454" i="17"/>
  <c r="AC1454" i="17"/>
  <c r="J1454" i="17"/>
  <c r="AG1481" i="17"/>
  <c r="AF1508" i="17"/>
  <c r="AK1508" i="17"/>
  <c r="V1508" i="17"/>
  <c r="AJ1508" i="17"/>
  <c r="R1508" i="17"/>
  <c r="AL1508" i="17"/>
  <c r="N1508" i="17"/>
  <c r="AH1508" i="17"/>
  <c r="M1508" i="17"/>
  <c r="AD1508" i="17"/>
  <c r="L1508" i="17"/>
  <c r="W1508" i="17"/>
  <c r="O1508" i="17"/>
  <c r="K1508" i="17"/>
  <c r="R1576" i="17"/>
  <c r="X1578" i="17"/>
  <c r="AA1607" i="17"/>
  <c r="J1651" i="17"/>
  <c r="U1711" i="17"/>
  <c r="O1729" i="17"/>
  <c r="AE1733" i="17"/>
  <c r="O1736" i="17"/>
  <c r="AA1736" i="17"/>
  <c r="Z1736" i="17"/>
  <c r="AF1736" i="17"/>
  <c r="AB1736" i="17"/>
  <c r="AI1736" i="17"/>
  <c r="K1987" i="17"/>
  <c r="AB1060" i="17"/>
  <c r="Z1060" i="17"/>
  <c r="AQ1076" i="17"/>
  <c r="AP1076" i="17"/>
  <c r="AO1136" i="17"/>
  <c r="R1136" i="17"/>
  <c r="K1136" i="17"/>
  <c r="V1159" i="17"/>
  <c r="AP1159" i="17"/>
  <c r="AJ1192" i="17"/>
  <c r="Z1192" i="17"/>
  <c r="AR1192" i="17"/>
  <c r="AN1213" i="17"/>
  <c r="Z1213" i="17"/>
  <c r="R1213" i="17"/>
  <c r="AF1213" i="17"/>
  <c r="J1255" i="17"/>
  <c r="AN1255" i="17"/>
  <c r="Z1298" i="17"/>
  <c r="S1298" i="17"/>
  <c r="AP1315" i="17"/>
  <c r="AF1315" i="17"/>
  <c r="T1350" i="17"/>
  <c r="Y1350" i="17"/>
  <c r="M1350" i="17"/>
  <c r="AO1369" i="17"/>
  <c r="Z1369" i="17"/>
  <c r="S1369" i="17"/>
  <c r="AP1376" i="17"/>
  <c r="AI1376" i="17"/>
  <c r="O1376" i="17"/>
  <c r="AC1376" i="17"/>
  <c r="N1376" i="17"/>
  <c r="AA1376" i="17"/>
  <c r="N1444" i="17"/>
  <c r="AF1444" i="17"/>
  <c r="AD1444" i="17"/>
  <c r="AB1444" i="17"/>
  <c r="AF1521" i="17"/>
  <c r="S1521" i="17"/>
  <c r="AR1521" i="17"/>
  <c r="O1521" i="17"/>
  <c r="AG1521" i="17"/>
  <c r="X1521" i="17"/>
  <c r="T1521" i="17"/>
  <c r="T1571" i="17"/>
  <c r="S1571" i="17"/>
  <c r="AP1571" i="17"/>
  <c r="AO1615" i="17"/>
  <c r="AN1615" i="17"/>
  <c r="AH1630" i="17"/>
  <c r="AG1630" i="17"/>
  <c r="Z1696" i="17"/>
  <c r="X1696" i="17"/>
  <c r="W1696" i="17"/>
  <c r="O1696" i="17"/>
  <c r="AP1696" i="17"/>
  <c r="N1696" i="17"/>
  <c r="AA1696" i="17"/>
  <c r="V1696" i="17"/>
  <c r="K1696" i="17"/>
  <c r="AH1708" i="17"/>
  <c r="O1708" i="17"/>
  <c r="W1712" i="17"/>
  <c r="AQ1712" i="17"/>
  <c r="V1712" i="17"/>
  <c r="N1712" i="17"/>
  <c r="AP1712" i="17"/>
  <c r="K1712" i="17"/>
  <c r="AL1712" i="17"/>
  <c r="AI1712" i="17"/>
  <c r="AG1712" i="17"/>
  <c r="AO1750" i="17"/>
  <c r="W1750" i="17"/>
  <c r="AA1757" i="17"/>
  <c r="Z1757" i="17"/>
  <c r="W1757" i="17"/>
  <c r="S1757" i="17"/>
  <c r="AN1757" i="17"/>
  <c r="AK1757" i="17"/>
  <c r="AJ1757" i="17"/>
  <c r="AB1795" i="17"/>
  <c r="L1795" i="17"/>
  <c r="AA1795" i="17"/>
  <c r="K1795" i="17"/>
  <c r="AC1795" i="17"/>
  <c r="X1795" i="17"/>
  <c r="AQ1795" i="17"/>
  <c r="N1795" i="17"/>
  <c r="AM1795" i="17"/>
  <c r="M1795" i="17"/>
  <c r="V1795" i="17"/>
  <c r="U1795" i="17"/>
  <c r="O1795" i="17"/>
  <c r="AA1857" i="17"/>
  <c r="Y1857" i="17"/>
  <c r="AH1857" i="17"/>
  <c r="X1857" i="17"/>
  <c r="W1857" i="17"/>
  <c r="V555" i="17"/>
  <c r="AR555" i="17"/>
  <c r="AN560" i="17"/>
  <c r="AL593" i="17"/>
  <c r="X611" i="17"/>
  <c r="AQ611" i="17"/>
  <c r="V615" i="17"/>
  <c r="AQ615" i="17"/>
  <c r="AF639" i="17"/>
  <c r="Z661" i="17"/>
  <c r="AK665" i="17"/>
  <c r="X667" i="17"/>
  <c r="AL667" i="17"/>
  <c r="AA691" i="17"/>
  <c r="AP691" i="17"/>
  <c r="AB701" i="17"/>
  <c r="AB729" i="17"/>
  <c r="Y762" i="17"/>
  <c r="AP762" i="17"/>
  <c r="AI777" i="17"/>
  <c r="AD845" i="17"/>
  <c r="AH894" i="17"/>
  <c r="AC964" i="17"/>
  <c r="AB964" i="17"/>
  <c r="AO971" i="17"/>
  <c r="O971" i="17"/>
  <c r="N971" i="17"/>
  <c r="AI992" i="17"/>
  <c r="AP992" i="17"/>
  <c r="T1030" i="17"/>
  <c r="AH1047" i="17"/>
  <c r="AD1047" i="17"/>
  <c r="Y1047" i="17"/>
  <c r="W1049" i="17"/>
  <c r="R1049" i="17"/>
  <c r="AD1057" i="17"/>
  <c r="AC1057" i="17"/>
  <c r="L1060" i="17"/>
  <c r="P1067" i="17"/>
  <c r="O1067" i="17"/>
  <c r="Z1072" i="17"/>
  <c r="AJ1110" i="17"/>
  <c r="AA1124" i="17"/>
  <c r="Z1124" i="17"/>
  <c r="AQ1124" i="17"/>
  <c r="U1136" i="17"/>
  <c r="AB1140" i="17"/>
  <c r="AE1155" i="17"/>
  <c r="AO1159" i="17"/>
  <c r="AL1177" i="17"/>
  <c r="Y1177" i="17"/>
  <c r="X1177" i="17"/>
  <c r="K1192" i="17"/>
  <c r="J1213" i="17"/>
  <c r="AG1213" i="17"/>
  <c r="K1216" i="17"/>
  <c r="AJ1216" i="17"/>
  <c r="AH1216" i="17"/>
  <c r="R1232" i="17"/>
  <c r="M1232" i="17"/>
  <c r="U1255" i="17"/>
  <c r="AP1277" i="17"/>
  <c r="AF1277" i="17"/>
  <c r="Y1283" i="17"/>
  <c r="AE1287" i="17"/>
  <c r="P1287" i="17"/>
  <c r="O1287" i="17"/>
  <c r="R1298" i="17"/>
  <c r="P1315" i="17"/>
  <c r="Z1322" i="17"/>
  <c r="Q1322" i="17"/>
  <c r="Y1347" i="17"/>
  <c r="X1347" i="17"/>
  <c r="L1350" i="17"/>
  <c r="R1356" i="17"/>
  <c r="AA1364" i="17"/>
  <c r="AR1364" i="17"/>
  <c r="AK1364" i="17"/>
  <c r="P1366" i="17"/>
  <c r="P1369" i="17"/>
  <c r="K1376" i="17"/>
  <c r="AB1376" i="17"/>
  <c r="AI1384" i="17"/>
  <c r="P1384" i="17"/>
  <c r="AF1384" i="17"/>
  <c r="M1384" i="17"/>
  <c r="AE1384" i="17"/>
  <c r="AB1403" i="17"/>
  <c r="W1403" i="17"/>
  <c r="J1408" i="17"/>
  <c r="Y1449" i="17"/>
  <c r="AR1486" i="17"/>
  <c r="AB1486" i="17"/>
  <c r="AA1486" i="17"/>
  <c r="J1521" i="17"/>
  <c r="T1615" i="17"/>
  <c r="J1621" i="17"/>
  <c r="V1630" i="17"/>
  <c r="S1672" i="17"/>
  <c r="AO1674" i="17"/>
  <c r="AN1674" i="17"/>
  <c r="AI1674" i="17"/>
  <c r="AM1691" i="17"/>
  <c r="Z1691" i="17"/>
  <c r="X1691" i="17"/>
  <c r="R1691" i="17"/>
  <c r="J1696" i="17"/>
  <c r="J1712" i="17"/>
  <c r="M1757" i="17"/>
  <c r="AI1795" i="17"/>
  <c r="AJ1816" i="17"/>
  <c r="AM1816" i="17"/>
  <c r="O1857" i="17"/>
  <c r="W1903" i="17"/>
  <c r="AL1903" i="17"/>
  <c r="V1903" i="17"/>
  <c r="S1903" i="17"/>
  <c r="AK1903" i="17"/>
  <c r="AA1903" i="17"/>
  <c r="L1903" i="17"/>
  <c r="R562" i="17"/>
  <c r="Y590" i="17"/>
  <c r="AP597" i="17"/>
  <c r="AA611" i="17"/>
  <c r="AA615" i="17"/>
  <c r="M639" i="17"/>
  <c r="J663" i="17"/>
  <c r="M665" i="17"/>
  <c r="AL665" i="17"/>
  <c r="K667" i="17"/>
  <c r="Z667" i="17"/>
  <c r="AQ667" i="17"/>
  <c r="M673" i="17"/>
  <c r="J691" i="17"/>
  <c r="AB691" i="17"/>
  <c r="L701" i="17"/>
  <c r="AD717" i="17"/>
  <c r="K729" i="17"/>
  <c r="J762" i="17"/>
  <c r="Z762" i="17"/>
  <c r="U771" i="17"/>
  <c r="AI771" i="17"/>
  <c r="O777" i="17"/>
  <c r="AJ777" i="17"/>
  <c r="J789" i="17"/>
  <c r="V796" i="17"/>
  <c r="AL811" i="17"/>
  <c r="L831" i="17"/>
  <c r="N845" i="17"/>
  <c r="N847" i="17"/>
  <c r="Z862" i="17"/>
  <c r="AQ862" i="17"/>
  <c r="K894" i="17"/>
  <c r="AI894" i="17"/>
  <c r="Q911" i="17"/>
  <c r="AB920" i="17"/>
  <c r="AA920" i="17"/>
  <c r="AN925" i="17"/>
  <c r="U925" i="17"/>
  <c r="AR925" i="17"/>
  <c r="T925" i="17"/>
  <c r="AG925" i="17"/>
  <c r="T931" i="17"/>
  <c r="R931" i="17"/>
  <c r="AN936" i="17"/>
  <c r="AI936" i="17"/>
  <c r="S936" i="17"/>
  <c r="AL955" i="17"/>
  <c r="AE955" i="17"/>
  <c r="J964" i="17"/>
  <c r="AQ966" i="17"/>
  <c r="J971" i="17"/>
  <c r="AG981" i="17"/>
  <c r="AD981" i="17"/>
  <c r="AN1004" i="17"/>
  <c r="U1004" i="17"/>
  <c r="Q1004" i="17"/>
  <c r="AL1004" i="17"/>
  <c r="U1044" i="17"/>
  <c r="AQ1044" i="17"/>
  <c r="N1044" i="17"/>
  <c r="O1047" i="17"/>
  <c r="J1049" i="17"/>
  <c r="R1060" i="17"/>
  <c r="N1070" i="17"/>
  <c r="AL1070" i="17"/>
  <c r="AH1070" i="17"/>
  <c r="J1124" i="17"/>
  <c r="Q1133" i="17"/>
  <c r="V1133" i="17"/>
  <c r="U1133" i="17"/>
  <c r="Z1136" i="17"/>
  <c r="AD1140" i="17"/>
  <c r="AG1169" i="17"/>
  <c r="W1169" i="17"/>
  <c r="V1169" i="17"/>
  <c r="Q1177" i="17"/>
  <c r="L1192" i="17"/>
  <c r="AL1194" i="17"/>
  <c r="AK1194" i="17"/>
  <c r="AR1204" i="17"/>
  <c r="N1213" i="17"/>
  <c r="AH1213" i="17"/>
  <c r="Z1216" i="17"/>
  <c r="L1232" i="17"/>
  <c r="AF1239" i="17"/>
  <c r="AC1239" i="17"/>
  <c r="Z1239" i="17"/>
  <c r="V1255" i="17"/>
  <c r="AL1271" i="17"/>
  <c r="R1271" i="17"/>
  <c r="Q1271" i="17"/>
  <c r="AD1281" i="17"/>
  <c r="AN1281" i="17"/>
  <c r="AC1281" i="17"/>
  <c r="Z1283" i="17"/>
  <c r="J1287" i="17"/>
  <c r="AF1293" i="17"/>
  <c r="Z1293" i="17"/>
  <c r="W1293" i="17"/>
  <c r="U1302" i="17"/>
  <c r="T1302" i="17"/>
  <c r="Y1315" i="17"/>
  <c r="Z1350" i="17"/>
  <c r="AA1356" i="17"/>
  <c r="AI1359" i="17"/>
  <c r="Z1359" i="17"/>
  <c r="R1369" i="17"/>
  <c r="L1376" i="17"/>
  <c r="AJ1376" i="17"/>
  <c r="O1403" i="17"/>
  <c r="AF1416" i="17"/>
  <c r="O1416" i="17"/>
  <c r="AE1416" i="17"/>
  <c r="N1416" i="17"/>
  <c r="AI1416" i="17"/>
  <c r="T1421" i="17"/>
  <c r="Y1437" i="17"/>
  <c r="W1437" i="17"/>
  <c r="Q1437" i="17"/>
  <c r="Z1449" i="17"/>
  <c r="AN1495" i="17"/>
  <c r="AA1495" i="17"/>
  <c r="AO1511" i="17"/>
  <c r="P1511" i="17"/>
  <c r="L1521" i="17"/>
  <c r="AP1542" i="17"/>
  <c r="S1542" i="17"/>
  <c r="AN1542" i="17"/>
  <c r="R1542" i="17"/>
  <c r="X1542" i="17"/>
  <c r="W1542" i="17"/>
  <c r="M1542" i="17"/>
  <c r="AQ1553" i="17"/>
  <c r="Y1553" i="17"/>
  <c r="AR1553" i="17"/>
  <c r="K1553" i="17"/>
  <c r="AJ1592" i="17"/>
  <c r="AB1592" i="17"/>
  <c r="L1592" i="17"/>
  <c r="AA1592" i="17"/>
  <c r="K1592" i="17"/>
  <c r="W1592" i="17"/>
  <c r="AQ1592" i="17"/>
  <c r="R1592" i="17"/>
  <c r="X1592" i="17"/>
  <c r="O1592" i="17"/>
  <c r="N1592" i="17"/>
  <c r="AJ1615" i="17"/>
  <c r="K1621" i="17"/>
  <c r="AH1631" i="17"/>
  <c r="M1631" i="17"/>
  <c r="AD1631" i="17"/>
  <c r="K1631" i="17"/>
  <c r="AI1631" i="17"/>
  <c r="AC1631" i="17"/>
  <c r="U1631" i="17"/>
  <c r="S1631" i="17"/>
  <c r="R1631" i="17"/>
  <c r="V1649" i="17"/>
  <c r="AQ1649" i="17"/>
  <c r="AH1649" i="17"/>
  <c r="AE1649" i="17"/>
  <c r="W1649" i="17"/>
  <c r="S1649" i="17"/>
  <c r="M1649" i="17"/>
  <c r="X1674" i="17"/>
  <c r="AA1691" i="17"/>
  <c r="AG1696" i="17"/>
  <c r="Q1712" i="17"/>
  <c r="N1757" i="17"/>
  <c r="AJ1795" i="17"/>
  <c r="AP1460" i="17"/>
  <c r="AM1460" i="17"/>
  <c r="AA1460" i="17"/>
  <c r="M1460" i="17"/>
  <c r="AL1460" i="17"/>
  <c r="X1460" i="17"/>
  <c r="L1460" i="17"/>
  <c r="AB1460" i="17"/>
  <c r="AR1461" i="17"/>
  <c r="AQ1461" i="17"/>
  <c r="AI1494" i="17"/>
  <c r="S1494" i="17"/>
  <c r="AH1494" i="17"/>
  <c r="N1494" i="17"/>
  <c r="AF1494" i="17"/>
  <c r="Z1496" i="17"/>
  <c r="V1496" i="17"/>
  <c r="AR1496" i="17"/>
  <c r="AM1500" i="17"/>
  <c r="N1500" i="17"/>
  <c r="AL1500" i="17"/>
  <c r="J1500" i="17"/>
  <c r="AE1501" i="17"/>
  <c r="AF1501" i="17"/>
  <c r="Z1501" i="17"/>
  <c r="AP1512" i="17"/>
  <c r="AA1512" i="17"/>
  <c r="W1512" i="17"/>
  <c r="AI1512" i="17"/>
  <c r="S1535" i="17"/>
  <c r="R1535" i="17"/>
  <c r="AI1543" i="17"/>
  <c r="Z1543" i="17"/>
  <c r="T1543" i="17"/>
  <c r="AO1543" i="17"/>
  <c r="AK1562" i="17"/>
  <c r="AJ1562" i="17"/>
  <c r="V1562" i="17"/>
  <c r="O1562" i="17"/>
  <c r="AI1588" i="17"/>
  <c r="M1588" i="17"/>
  <c r="AC1588" i="17"/>
  <c r="L1588" i="17"/>
  <c r="AK1588" i="17"/>
  <c r="AB1588" i="17"/>
  <c r="AQ1588" i="17"/>
  <c r="AK1612" i="17"/>
  <c r="R1612" i="17"/>
  <c r="AJ1612" i="17"/>
  <c r="O1612" i="17"/>
  <c r="V1612" i="17"/>
  <c r="U1612" i="17"/>
  <c r="AJ1685" i="17"/>
  <c r="AB1685" i="17"/>
  <c r="U1685" i="17"/>
  <c r="S1685" i="17"/>
  <c r="W1687" i="17"/>
  <c r="P1687" i="17"/>
  <c r="AB1687" i="17"/>
  <c r="N1687" i="17"/>
  <c r="AI1693" i="17"/>
  <c r="AD1693" i="17"/>
  <c r="P1693" i="17"/>
  <c r="AC1693" i="17"/>
  <c r="M1693" i="17"/>
  <c r="AN1693" i="17"/>
  <c r="V1693" i="17"/>
  <c r="AM1693" i="17"/>
  <c r="S1693" i="17"/>
  <c r="AF1693" i="17"/>
  <c r="V1702" i="17"/>
  <c r="S1702" i="17"/>
  <c r="AN1706" i="17"/>
  <c r="AI1706" i="17"/>
  <c r="AH1706" i="17"/>
  <c r="AN1716" i="17"/>
  <c r="AA1716" i="17"/>
  <c r="X1774" i="17"/>
  <c r="K1774" i="17"/>
  <c r="AJ1774" i="17"/>
  <c r="AH1774" i="17"/>
  <c r="W1774" i="17"/>
  <c r="S1774" i="17"/>
  <c r="Y1776" i="17"/>
  <c r="AG1776" i="17"/>
  <c r="AA1776" i="17"/>
  <c r="X1776" i="17"/>
  <c r="T1776" i="17"/>
  <c r="AR1776" i="17"/>
  <c r="K1776" i="17"/>
  <c r="AK1791" i="17"/>
  <c r="P1791" i="17"/>
  <c r="O1791" i="17"/>
  <c r="S1791" i="17"/>
  <c r="M1791" i="17"/>
  <c r="AM1791" i="17"/>
  <c r="AC1791" i="17"/>
  <c r="N1850" i="17"/>
  <c r="AK1850" i="17"/>
  <c r="AA1850" i="17"/>
  <c r="AM1850" i="17"/>
  <c r="AB1861" i="17"/>
  <c r="Z1861" i="17"/>
  <c r="Q1861" i="17"/>
  <c r="AN1861" i="17"/>
  <c r="AI1861" i="17"/>
  <c r="N1891" i="17"/>
  <c r="AA1891" i="17"/>
  <c r="U1891" i="17"/>
  <c r="AE1891" i="17"/>
  <c r="M1891" i="17"/>
  <c r="V1900" i="17"/>
  <c r="AQ1900" i="17"/>
  <c r="AD1900" i="17"/>
  <c r="Z1917" i="17"/>
  <c r="AB1917" i="17"/>
  <c r="AA1933" i="17"/>
  <c r="AO1933" i="17"/>
  <c r="AH1933" i="17"/>
  <c r="O1933" i="17"/>
  <c r="L1933" i="17"/>
  <c r="AE943" i="17"/>
  <c r="AC990" i="17"/>
  <c r="AR1011" i="17"/>
  <c r="Z1020" i="17"/>
  <c r="Z1021" i="17"/>
  <c r="AP1021" i="17"/>
  <c r="AP1045" i="17"/>
  <c r="AK1046" i="17"/>
  <c r="AN1073" i="17"/>
  <c r="AG1153" i="17"/>
  <c r="AC1173" i="17"/>
  <c r="AK1207" i="17"/>
  <c r="AK1253" i="17"/>
  <c r="AG1256" i="17"/>
  <c r="AD1296" i="17"/>
  <c r="AQ1395" i="17"/>
  <c r="AO1452" i="17"/>
  <c r="AP1452" i="17"/>
  <c r="AD1452" i="17"/>
  <c r="P1452" i="17"/>
  <c r="AN1452" i="17"/>
  <c r="AB1452" i="17"/>
  <c r="O1452" i="17"/>
  <c r="V1452" i="17"/>
  <c r="AK1452" i="17"/>
  <c r="T1457" i="17"/>
  <c r="K1460" i="17"/>
  <c r="AC1460" i="17"/>
  <c r="L1461" i="17"/>
  <c r="L1473" i="17"/>
  <c r="AG1473" i="17"/>
  <c r="AB1473" i="17"/>
  <c r="X1482" i="17"/>
  <c r="J1494" i="17"/>
  <c r="AM1494" i="17"/>
  <c r="M1496" i="17"/>
  <c r="S1500" i="17"/>
  <c r="L1501" i="17"/>
  <c r="L1512" i="17"/>
  <c r="AJ1512" i="17"/>
  <c r="AO1519" i="17"/>
  <c r="AN1519" i="17"/>
  <c r="AB1531" i="17"/>
  <c r="Z1535" i="17"/>
  <c r="O1543" i="17"/>
  <c r="AP1543" i="17"/>
  <c r="W1558" i="17"/>
  <c r="S1558" i="17"/>
  <c r="AQ1558" i="17"/>
  <c r="AK1558" i="17"/>
  <c r="N1562" i="17"/>
  <c r="N1588" i="17"/>
  <c r="L1589" i="17"/>
  <c r="K1589" i="17"/>
  <c r="AE1589" i="17"/>
  <c r="X1589" i="17"/>
  <c r="X1609" i="17"/>
  <c r="K1612" i="17"/>
  <c r="AP1633" i="17"/>
  <c r="V1633" i="17"/>
  <c r="T1633" i="17"/>
  <c r="AA1641" i="17"/>
  <c r="U1641" i="17"/>
  <c r="AE1641" i="17"/>
  <c r="AD1641" i="17"/>
  <c r="AQ1641" i="17"/>
  <c r="AH1666" i="17"/>
  <c r="R1666" i="17"/>
  <c r="Q1666" i="17"/>
  <c r="AA1666" i="17"/>
  <c r="Z1666" i="17"/>
  <c r="AC1683" i="17"/>
  <c r="O1683" i="17"/>
  <c r="AQ1683" i="17"/>
  <c r="O1685" i="17"/>
  <c r="AI1687" i="17"/>
  <c r="J1693" i="17"/>
  <c r="AK1693" i="17"/>
  <c r="AH1699" i="17"/>
  <c r="AG1702" i="17"/>
  <c r="X1706" i="17"/>
  <c r="AP1710" i="17"/>
  <c r="AO1710" i="17"/>
  <c r="Z1716" i="17"/>
  <c r="AE1723" i="17"/>
  <c r="U1723" i="17"/>
  <c r="T1723" i="17"/>
  <c r="AF1723" i="17"/>
  <c r="AC1723" i="17"/>
  <c r="K1743" i="17"/>
  <c r="K1767" i="17"/>
  <c r="J1774" i="17"/>
  <c r="AL1777" i="17"/>
  <c r="AJ1777" i="17"/>
  <c r="AM1777" i="17"/>
  <c r="X1781" i="17"/>
  <c r="V1781" i="17"/>
  <c r="AN1781" i="17"/>
  <c r="U1781" i="17"/>
  <c r="AK1781" i="17"/>
  <c r="M1781" i="17"/>
  <c r="AJ1781" i="17"/>
  <c r="L1781" i="17"/>
  <c r="AF1781" i="17"/>
  <c r="AE1781" i="17"/>
  <c r="AB1791" i="17"/>
  <c r="AB1856" i="17"/>
  <c r="AR1856" i="17"/>
  <c r="U1856" i="17"/>
  <c r="AJ1856" i="17"/>
  <c r="N1856" i="17"/>
  <c r="AF1856" i="17"/>
  <c r="M1856" i="17"/>
  <c r="AE1856" i="17"/>
  <c r="AD1856" i="17"/>
  <c r="AN1856" i="17"/>
  <c r="AA1856" i="17"/>
  <c r="P1861" i="17"/>
  <c r="K1891" i="17"/>
  <c r="AB1895" i="17"/>
  <c r="T1895" i="17"/>
  <c r="Q1895" i="17"/>
  <c r="N1895" i="17"/>
  <c r="AI1895" i="17"/>
  <c r="AH1895" i="17"/>
  <c r="AD1895" i="17"/>
  <c r="V1895" i="17"/>
  <c r="S1900" i="17"/>
  <c r="Z1910" i="17"/>
  <c r="AN1910" i="17"/>
  <c r="R1910" i="17"/>
  <c r="R1933" i="17"/>
  <c r="U1938" i="17"/>
  <c r="V1938" i="17"/>
  <c r="P1938" i="17"/>
  <c r="W1938" i="17"/>
  <c r="L1938" i="17"/>
  <c r="X1938" i="17"/>
  <c r="K1938" i="17"/>
  <c r="R1972" i="17"/>
  <c r="AL1972" i="17"/>
  <c r="AF1972" i="17"/>
  <c r="AO1972" i="17"/>
  <c r="U1972" i="17"/>
  <c r="AL923" i="17"/>
  <c r="N943" i="17"/>
  <c r="AF943" i="17"/>
  <c r="AC954" i="17"/>
  <c r="AP957" i="17"/>
  <c r="N960" i="17"/>
  <c r="AD990" i="17"/>
  <c r="L1021" i="17"/>
  <c r="AC1021" i="17"/>
  <c r="AO1055" i="17"/>
  <c r="N1073" i="17"/>
  <c r="AM1117" i="17"/>
  <c r="S1150" i="17"/>
  <c r="N1153" i="17"/>
  <c r="W1157" i="17"/>
  <c r="AG1173" i="17"/>
  <c r="J1207" i="17"/>
  <c r="AL1207" i="17"/>
  <c r="K1296" i="17"/>
  <c r="AG1296" i="17"/>
  <c r="AF1329" i="17"/>
  <c r="AN1345" i="17"/>
  <c r="Q1395" i="17"/>
  <c r="AI1400" i="17"/>
  <c r="AM1409" i="17"/>
  <c r="K1423" i="17"/>
  <c r="AP1430" i="17"/>
  <c r="AJ1430" i="17"/>
  <c r="P1430" i="17"/>
  <c r="X1430" i="17"/>
  <c r="AQ1430" i="17"/>
  <c r="AK1436" i="17"/>
  <c r="U1436" i="17"/>
  <c r="AD1456" i="17"/>
  <c r="O1456" i="17"/>
  <c r="AG1457" i="17"/>
  <c r="N1460" i="17"/>
  <c r="AE1460" i="17"/>
  <c r="O1461" i="17"/>
  <c r="AN1466" i="17"/>
  <c r="AE1466" i="17"/>
  <c r="M1466" i="17"/>
  <c r="AD1466" i="17"/>
  <c r="L1466" i="17"/>
  <c r="AF1466" i="17"/>
  <c r="AI1470" i="17"/>
  <c r="AJ1470" i="17"/>
  <c r="W1470" i="17"/>
  <c r="AQ1470" i="17"/>
  <c r="AR1488" i="17"/>
  <c r="T1488" i="17"/>
  <c r="S1488" i="17"/>
  <c r="AK1488" i="17"/>
  <c r="K1494" i="17"/>
  <c r="AQ1494" i="17"/>
  <c r="N1496" i="17"/>
  <c r="Z1498" i="17"/>
  <c r="J1498" i="17"/>
  <c r="U1500" i="17"/>
  <c r="O1501" i="17"/>
  <c r="S1505" i="17"/>
  <c r="K1505" i="17"/>
  <c r="N1512" i="17"/>
  <c r="AK1512" i="17"/>
  <c r="AC1516" i="17"/>
  <c r="AM1516" i="17"/>
  <c r="R1516" i="17"/>
  <c r="AJ1516" i="17"/>
  <c r="P1516" i="17"/>
  <c r="AP1516" i="17"/>
  <c r="T1519" i="17"/>
  <c r="AF1526" i="17"/>
  <c r="K1526" i="17"/>
  <c r="AC1526" i="17"/>
  <c r="J1526" i="17"/>
  <c r="AI1526" i="17"/>
  <c r="S1534" i="17"/>
  <c r="P1534" i="17"/>
  <c r="AN1536" i="17"/>
  <c r="U1536" i="17"/>
  <c r="AR1536" i="17"/>
  <c r="S1536" i="17"/>
  <c r="AH1536" i="17"/>
  <c r="Q1543" i="17"/>
  <c r="T1547" i="17"/>
  <c r="X1558" i="17"/>
  <c r="W1562" i="17"/>
  <c r="AO1575" i="17"/>
  <c r="AA1575" i="17"/>
  <c r="Z1575" i="17"/>
  <c r="AB1575" i="17"/>
  <c r="T1575" i="17"/>
  <c r="O1588" i="17"/>
  <c r="AP1595" i="17"/>
  <c r="AB1595" i="17"/>
  <c r="L1612" i="17"/>
  <c r="AE1620" i="17"/>
  <c r="J1620" i="17"/>
  <c r="R1685" i="17"/>
  <c r="AK1687" i="17"/>
  <c r="K1693" i="17"/>
  <c r="AL1693" i="17"/>
  <c r="AH1702" i="17"/>
  <c r="AG1706" i="17"/>
  <c r="AK1741" i="17"/>
  <c r="AJ1741" i="17"/>
  <c r="AD1741" i="17"/>
  <c r="W1741" i="17"/>
  <c r="V1741" i="17"/>
  <c r="AI1753" i="17"/>
  <c r="L1753" i="17"/>
  <c r="AF1753" i="17"/>
  <c r="K1753" i="17"/>
  <c r="S1753" i="17"/>
  <c r="AL1753" i="17"/>
  <c r="P1753" i="17"/>
  <c r="L1774" i="17"/>
  <c r="W1862" i="17"/>
  <c r="AL1862" i="17"/>
  <c r="S1862" i="17"/>
  <c r="T1862" i="17"/>
  <c r="P1862" i="17"/>
  <c r="L1862" i="17"/>
  <c r="K1862" i="17"/>
  <c r="AK1862" i="17"/>
  <c r="AI1862" i="17"/>
  <c r="S1874" i="17"/>
  <c r="AE1874" i="17"/>
  <c r="AG1891" i="17"/>
  <c r="S1933" i="17"/>
  <c r="S1972" i="17"/>
  <c r="AO1451" i="17"/>
  <c r="X1484" i="17"/>
  <c r="AM1484" i="17"/>
  <c r="V1530" i="17"/>
  <c r="J1564" i="17"/>
  <c r="AF1564" i="17"/>
  <c r="AD1564" i="17"/>
  <c r="AJ1568" i="17"/>
  <c r="AL1568" i="17"/>
  <c r="R1568" i="17"/>
  <c r="AK1568" i="17"/>
  <c r="P1568" i="17"/>
  <c r="AB1568" i="17"/>
  <c r="V1610" i="17"/>
  <c r="P1610" i="17"/>
  <c r="J1614" i="17"/>
  <c r="AM1614" i="17"/>
  <c r="AL1614" i="17"/>
  <c r="S1654" i="17"/>
  <c r="Q1654" i="17"/>
  <c r="P1654" i="17"/>
  <c r="AE1727" i="17"/>
  <c r="AC1727" i="17"/>
  <c r="AL1805" i="17"/>
  <c r="AK1805" i="17"/>
  <c r="W1805" i="17"/>
  <c r="K1815" i="17"/>
  <c r="AK1815" i="17"/>
  <c r="AA1815" i="17"/>
  <c r="AM1823" i="17"/>
  <c r="AQ1823" i="17"/>
  <c r="AA1823" i="17"/>
  <c r="X1823" i="17"/>
  <c r="V1842" i="17"/>
  <c r="AK1842" i="17"/>
  <c r="AA1842" i="17"/>
  <c r="L1854" i="17"/>
  <c r="V1854" i="17"/>
  <c r="K1854" i="17"/>
  <c r="AG1886" i="17"/>
  <c r="J1886" i="17"/>
  <c r="AH1886" i="17"/>
  <c r="AD1886" i="17"/>
  <c r="AK1893" i="17"/>
  <c r="S1893" i="17"/>
  <c r="S1946" i="17"/>
  <c r="N1946" i="17"/>
  <c r="AQ1978" i="17"/>
  <c r="X1978" i="17"/>
  <c r="Q1978" i="17"/>
  <c r="AA1480" i="17"/>
  <c r="L1484" i="17"/>
  <c r="Z1484" i="17"/>
  <c r="AQ1484" i="17"/>
  <c r="AJ1564" i="17"/>
  <c r="K1568" i="17"/>
  <c r="AF1568" i="17"/>
  <c r="L1610" i="17"/>
  <c r="AB1614" i="17"/>
  <c r="AM1616" i="17"/>
  <c r="S1616" i="17"/>
  <c r="AP1616" i="17"/>
  <c r="O1616" i="17"/>
  <c r="V1629" i="17"/>
  <c r="AA1629" i="17"/>
  <c r="Z1629" i="17"/>
  <c r="AG1640" i="17"/>
  <c r="AD1640" i="17"/>
  <c r="AA1646" i="17"/>
  <c r="AM1646" i="17"/>
  <c r="K1646" i="17"/>
  <c r="AG1646" i="17"/>
  <c r="J1646" i="17"/>
  <c r="AQ1646" i="17"/>
  <c r="R1654" i="17"/>
  <c r="AP1669" i="17"/>
  <c r="AH1669" i="17"/>
  <c r="AP1684" i="17"/>
  <c r="AN1684" i="17"/>
  <c r="S1701" i="17"/>
  <c r="AF1704" i="17"/>
  <c r="W1704" i="17"/>
  <c r="AQ1707" i="17"/>
  <c r="U1707" i="17"/>
  <c r="AK1707" i="17"/>
  <c r="T1707" i="17"/>
  <c r="AD1707" i="17"/>
  <c r="AL1709" i="17"/>
  <c r="N1709" i="17"/>
  <c r="AK1709" i="17"/>
  <c r="L1709" i="17"/>
  <c r="AM1709" i="17"/>
  <c r="W1727" i="17"/>
  <c r="AK1761" i="17"/>
  <c r="AL1761" i="17"/>
  <c r="T1761" i="17"/>
  <c r="AI1761" i="17"/>
  <c r="S1761" i="17"/>
  <c r="AB1761" i="17"/>
  <c r="Y1762" i="17"/>
  <c r="T1762" i="17"/>
  <c r="T1805" i="17"/>
  <c r="O1815" i="17"/>
  <c r="L1823" i="17"/>
  <c r="X1842" i="17"/>
  <c r="AM1855" i="17"/>
  <c r="AH1855" i="17"/>
  <c r="AA1855" i="17"/>
  <c r="AG1869" i="17"/>
  <c r="S1869" i="17"/>
  <c r="R1869" i="17"/>
  <c r="O1869" i="17"/>
  <c r="J1869" i="17"/>
  <c r="R1886" i="17"/>
  <c r="O1893" i="17"/>
  <c r="V1902" i="17"/>
  <c r="AP1902" i="17"/>
  <c r="AE1902" i="17"/>
  <c r="AN1930" i="17"/>
  <c r="AJ1930" i="17"/>
  <c r="O1930" i="17"/>
  <c r="AA1930" i="17"/>
  <c r="AR1930" i="17"/>
  <c r="W1930" i="17"/>
  <c r="AD1930" i="17"/>
  <c r="AC1930" i="17"/>
  <c r="AM1930" i="17"/>
  <c r="AB1940" i="17"/>
  <c r="AI1940" i="17"/>
  <c r="AF1940" i="17"/>
  <c r="AC1946" i="17"/>
  <c r="AM1991" i="17"/>
  <c r="P1991" i="17"/>
  <c r="O1991" i="17"/>
  <c r="AG1991" i="17"/>
  <c r="V1991" i="17"/>
  <c r="X1600" i="17"/>
  <c r="AO1605" i="17"/>
  <c r="Z1619" i="17"/>
  <c r="V1627" i="17"/>
  <c r="T1643" i="17"/>
  <c r="AK1643" i="17"/>
  <c r="AE1655" i="17"/>
  <c r="Z1689" i="17"/>
  <c r="AQ1689" i="17"/>
  <c r="AK1697" i="17"/>
  <c r="T1713" i="17"/>
  <c r="AL1713" i="17"/>
  <c r="AB1731" i="17"/>
  <c r="W1739" i="17"/>
  <c r="S1747" i="17"/>
  <c r="AI1747" i="17"/>
  <c r="AC1803" i="17"/>
  <c r="AB1803" i="17"/>
  <c r="AF1809" i="17"/>
  <c r="T1809" i="17"/>
  <c r="AR1809" i="17"/>
  <c r="S1809" i="17"/>
  <c r="AK1809" i="17"/>
  <c r="AB1817" i="17"/>
  <c r="AA1817" i="17"/>
  <c r="T1817" i="17"/>
  <c r="AN1817" i="17"/>
  <c r="P1817" i="17"/>
  <c r="AJ1817" i="17"/>
  <c r="AQ1829" i="17"/>
  <c r="AB1829" i="17"/>
  <c r="AA1829" i="17"/>
  <c r="AO1873" i="17"/>
  <c r="R1873" i="17"/>
  <c r="S1873" i="17"/>
  <c r="Q1873" i="17"/>
  <c r="Z1889" i="17"/>
  <c r="U1889" i="17"/>
  <c r="AB1965" i="17"/>
  <c r="AA1965" i="17"/>
  <c r="N1965" i="17"/>
  <c r="W1596" i="17"/>
  <c r="K1619" i="17"/>
  <c r="J1623" i="17"/>
  <c r="N1628" i="17"/>
  <c r="AA1635" i="17"/>
  <c r="V1643" i="17"/>
  <c r="L1655" i="17"/>
  <c r="AH1655" i="17"/>
  <c r="Z1676" i="17"/>
  <c r="R1682" i="17"/>
  <c r="J1689" i="17"/>
  <c r="AA1689" i="17"/>
  <c r="AR1689" i="17"/>
  <c r="N1697" i="17"/>
  <c r="Q1700" i="17"/>
  <c r="X1713" i="17"/>
  <c r="V1747" i="17"/>
  <c r="AJ1747" i="17"/>
  <c r="S1771" i="17"/>
  <c r="AA1778" i="17"/>
  <c r="Z1778" i="17"/>
  <c r="AR1778" i="17"/>
  <c r="AB1789" i="17"/>
  <c r="P1789" i="17"/>
  <c r="V1803" i="17"/>
  <c r="Z1808" i="17"/>
  <c r="Y1808" i="17"/>
  <c r="N1809" i="17"/>
  <c r="M1817" i="17"/>
  <c r="AM1817" i="17"/>
  <c r="AA1824" i="17"/>
  <c r="AQ1824" i="17"/>
  <c r="AK1827" i="17"/>
  <c r="AR1827" i="17"/>
  <c r="AC1827" i="17"/>
  <c r="N1827" i="17"/>
  <c r="AM1827" i="17"/>
  <c r="T1827" i="17"/>
  <c r="AL1827" i="17"/>
  <c r="S1827" i="17"/>
  <c r="AD1827" i="17"/>
  <c r="W1829" i="17"/>
  <c r="AA1834" i="17"/>
  <c r="AD1834" i="17"/>
  <c r="AB1834" i="17"/>
  <c r="AK1840" i="17"/>
  <c r="AN1840" i="17"/>
  <c r="AA1840" i="17"/>
  <c r="K1840" i="17"/>
  <c r="AE1840" i="17"/>
  <c r="O1840" i="17"/>
  <c r="AD1840" i="17"/>
  <c r="N1840" i="17"/>
  <c r="AJ1840" i="17"/>
  <c r="AN1848" i="17"/>
  <c r="P1848" i="17"/>
  <c r="O1848" i="17"/>
  <c r="AM1848" i="17"/>
  <c r="N1848" i="17"/>
  <c r="T1873" i="17"/>
  <c r="J1889" i="17"/>
  <c r="AF1894" i="17"/>
  <c r="S1899" i="17"/>
  <c r="T1899" i="17"/>
  <c r="J1899" i="17"/>
  <c r="R1923" i="17"/>
  <c r="AR1923" i="17"/>
  <c r="AK1923" i="17"/>
  <c r="K1941" i="17"/>
  <c r="P1950" i="17"/>
  <c r="AG1959" i="17"/>
  <c r="AQ1973" i="17"/>
  <c r="AQ1976" i="17"/>
  <c r="AF1976" i="17"/>
  <c r="X1976" i="17"/>
  <c r="W1976" i="17"/>
  <c r="M1994" i="17"/>
  <c r="L1996" i="17"/>
  <c r="U1996" i="17"/>
  <c r="K1996" i="17"/>
  <c r="J1996" i="17"/>
  <c r="AN1782" i="17"/>
  <c r="AA1794" i="17"/>
  <c r="AI1801" i="17"/>
  <c r="U1868" i="17"/>
  <c r="K1794" i="17"/>
  <c r="M1801" i="17"/>
  <c r="AK1801" i="17"/>
  <c r="AK1813" i="17"/>
  <c r="AE1813" i="17"/>
  <c r="X1813" i="17"/>
  <c r="AN1813" i="17"/>
  <c r="AR1832" i="17"/>
  <c r="AQ1868" i="17"/>
  <c r="AN1868" i="17"/>
  <c r="AA1868" i="17"/>
  <c r="M1868" i="17"/>
  <c r="V1868" i="17"/>
  <c r="AK1868" i="17"/>
  <c r="S1896" i="17"/>
  <c r="R1907" i="17"/>
  <c r="AR1931" i="17"/>
  <c r="O1943" i="17"/>
  <c r="K1945" i="17"/>
  <c r="M1958" i="17"/>
  <c r="M1975" i="17"/>
  <c r="AB1819" i="17"/>
  <c r="AH1826" i="17"/>
  <c r="AR1934" i="17"/>
  <c r="W1980" i="17"/>
  <c r="V1986" i="17"/>
  <c r="AI1986" i="17"/>
  <c r="E2" i="16"/>
  <c r="S12" i="15"/>
  <c r="AB12" i="15"/>
  <c r="U82" i="15"/>
  <c r="J82" i="15"/>
  <c r="S82" i="15"/>
  <c r="AC82" i="15"/>
  <c r="L82" i="15"/>
  <c r="K82" i="15"/>
  <c r="W82" i="15"/>
  <c r="Q154" i="15"/>
  <c r="Z154" i="15"/>
  <c r="Y154" i="15"/>
  <c r="R5" i="15"/>
  <c r="Z5" i="15"/>
  <c r="AA5" i="15"/>
  <c r="Q82" i="15"/>
  <c r="S126" i="15"/>
  <c r="Q126" i="15"/>
  <c r="Y126" i="15"/>
  <c r="Z126" i="15"/>
  <c r="X126" i="15"/>
  <c r="W126" i="15"/>
  <c r="O25" i="15"/>
  <c r="AB28" i="15"/>
  <c r="AB126" i="15"/>
  <c r="S7" i="15"/>
  <c r="X14" i="15"/>
  <c r="G14" i="15"/>
  <c r="W14" i="15"/>
  <c r="S14" i="15"/>
  <c r="Q14" i="15"/>
  <c r="Y25" i="15"/>
  <c r="Z31" i="15"/>
  <c r="H31" i="15"/>
  <c r="Y31" i="15"/>
  <c r="W31" i="15"/>
  <c r="X31" i="15"/>
  <c r="V56" i="15"/>
  <c r="Y56" i="15"/>
  <c r="X56" i="15"/>
  <c r="U56" i="15"/>
  <c r="W56" i="15"/>
  <c r="M146" i="15"/>
  <c r="Q146" i="15"/>
  <c r="O146" i="15"/>
  <c r="V8" i="15"/>
  <c r="Q8" i="15"/>
  <c r="O8" i="15"/>
  <c r="P8" i="15"/>
  <c r="AC8" i="15"/>
  <c r="N8" i="15"/>
  <c r="AE8" i="15" s="1"/>
  <c r="O8" i="7" s="1"/>
  <c r="AB14" i="15"/>
  <c r="P14" i="15"/>
  <c r="Z25" i="15"/>
  <c r="Q31" i="15"/>
  <c r="Z41" i="15"/>
  <c r="M41" i="15"/>
  <c r="Y41" i="15"/>
  <c r="W41" i="15"/>
  <c r="R41" i="15"/>
  <c r="V41" i="15"/>
  <c r="O41" i="15"/>
  <c r="S48" i="15"/>
  <c r="G48" i="15"/>
  <c r="AA48" i="15"/>
  <c r="X48" i="15"/>
  <c r="Q56" i="15"/>
  <c r="P62" i="15"/>
  <c r="Z62" i="15"/>
  <c r="W62" i="15"/>
  <c r="Y62" i="15"/>
  <c r="X62" i="15"/>
  <c r="S62" i="15"/>
  <c r="AB76" i="15"/>
  <c r="AA76" i="15"/>
  <c r="Q76" i="15"/>
  <c r="S76" i="15"/>
  <c r="L76" i="15"/>
  <c r="Z99" i="15"/>
  <c r="W99" i="15"/>
  <c r="V99" i="15"/>
  <c r="N99" i="15"/>
  <c r="Y99" i="15"/>
  <c r="X99" i="15"/>
  <c r="P99" i="15"/>
  <c r="Q142" i="15"/>
  <c r="P142" i="15"/>
  <c r="W142" i="15"/>
  <c r="Y142" i="15"/>
  <c r="X142" i="15"/>
  <c r="O142" i="15"/>
  <c r="S142" i="15"/>
  <c r="M142" i="15"/>
  <c r="Z147" i="15"/>
  <c r="P147" i="15"/>
  <c r="O147" i="15"/>
  <c r="U147" i="15"/>
  <c r="Y147" i="15"/>
  <c r="V147" i="15"/>
  <c r="X147" i="15"/>
  <c r="N147" i="15"/>
  <c r="W147" i="15"/>
  <c r="W148" i="15"/>
  <c r="V148" i="15"/>
  <c r="AA148" i="15"/>
  <c r="P148" i="15"/>
  <c r="O148" i="15"/>
  <c r="Y148" i="15"/>
  <c r="W8" i="15"/>
  <c r="Y14" i="15"/>
  <c r="Z19" i="15"/>
  <c r="Y19" i="15"/>
  <c r="X19" i="15"/>
  <c r="V19" i="15"/>
  <c r="W19" i="15"/>
  <c r="P19" i="15"/>
  <c r="Q41" i="15"/>
  <c r="Y48" i="15"/>
  <c r="AA56" i="15"/>
  <c r="AB62" i="15"/>
  <c r="U62" i="15"/>
  <c r="W89" i="15"/>
  <c r="V89" i="15"/>
  <c r="Q89" i="15"/>
  <c r="O89" i="15"/>
  <c r="Z89" i="15"/>
  <c r="Y128" i="15"/>
  <c r="O132" i="15"/>
  <c r="AA132" i="15"/>
  <c r="Q132" i="15"/>
  <c r="X132" i="15"/>
  <c r="Y132" i="15"/>
  <c r="W132" i="15"/>
  <c r="Z142" i="15"/>
  <c r="H146" i="15"/>
  <c r="U12" i="15"/>
  <c r="P82" i="15"/>
  <c r="Q94" i="15"/>
  <c r="Z115" i="15"/>
  <c r="P115" i="15"/>
  <c r="O115" i="15"/>
  <c r="Y115" i="15"/>
  <c r="M115" i="15"/>
  <c r="K115" i="15"/>
  <c r="S134" i="15"/>
  <c r="I134" i="15"/>
  <c r="H134" i="15"/>
  <c r="Z137" i="15"/>
  <c r="M137" i="15"/>
  <c r="Y137" i="15"/>
  <c r="N137" i="15"/>
  <c r="AE137" i="15" s="1"/>
  <c r="AA137" i="15"/>
  <c r="W137" i="15"/>
  <c r="X154" i="15"/>
  <c r="AB172" i="15"/>
  <c r="AA172" i="15"/>
  <c r="S172" i="15"/>
  <c r="Q172" i="15"/>
  <c r="H32" i="15"/>
  <c r="G32" i="15"/>
  <c r="U45" i="15"/>
  <c r="X8" i="15"/>
  <c r="I11" i="15"/>
  <c r="H12" i="15"/>
  <c r="Z14" i="15"/>
  <c r="O20" i="15"/>
  <c r="AA20" i="15"/>
  <c r="N20" i="15"/>
  <c r="X20" i="15"/>
  <c r="Y20" i="15"/>
  <c r="V20" i="15"/>
  <c r="X26" i="15"/>
  <c r="R26" i="15"/>
  <c r="Q26" i="15"/>
  <c r="P26" i="15"/>
  <c r="O26" i="15"/>
  <c r="AA32" i="15"/>
  <c r="W36" i="15"/>
  <c r="Y36" i="15"/>
  <c r="X36" i="15"/>
  <c r="V36" i="15"/>
  <c r="Q36" i="15"/>
  <c r="O36" i="15"/>
  <c r="AA41" i="15"/>
  <c r="AC56" i="15"/>
  <c r="O68" i="15"/>
  <c r="W68" i="15"/>
  <c r="P68" i="15"/>
  <c r="V68" i="15"/>
  <c r="Q68" i="15"/>
  <c r="N68" i="15"/>
  <c r="AE68" i="15" s="1"/>
  <c r="M82" i="15"/>
  <c r="AA89" i="15"/>
  <c r="S101" i="15"/>
  <c r="AA101" i="15"/>
  <c r="I101" i="15"/>
  <c r="N115" i="15"/>
  <c r="R134" i="15"/>
  <c r="O137" i="15"/>
  <c r="W143" i="15"/>
  <c r="Q143" i="15"/>
  <c r="N143" i="15"/>
  <c r="Z143" i="15"/>
  <c r="X143" i="15"/>
  <c r="G154" i="15"/>
  <c r="O164" i="15"/>
  <c r="AA164" i="15"/>
  <c r="N164" i="15"/>
  <c r="P164" i="15"/>
  <c r="Y164" i="15"/>
  <c r="X164" i="15"/>
  <c r="W164" i="15"/>
  <c r="U172" i="15"/>
  <c r="Z94" i="15"/>
  <c r="Y94" i="15"/>
  <c r="S94" i="15"/>
  <c r="X94" i="15"/>
  <c r="W94" i="15"/>
  <c r="W115" i="15"/>
  <c r="AA134" i="15"/>
  <c r="Y5" i="15"/>
  <c r="AA12" i="15"/>
  <c r="H16" i="15"/>
  <c r="G16" i="15"/>
  <c r="AA16" i="15"/>
  <c r="W25" i="15"/>
  <c r="Q25" i="15"/>
  <c r="V25" i="15"/>
  <c r="R25" i="15"/>
  <c r="N25" i="15"/>
  <c r="AE25" i="15" s="1"/>
  <c r="O25" i="7" s="1"/>
  <c r="AA28" i="15"/>
  <c r="AA37" i="15"/>
  <c r="G37" i="15"/>
  <c r="Z37" i="15"/>
  <c r="S37" i="15"/>
  <c r="R45" i="15"/>
  <c r="O47" i="15"/>
  <c r="Y47" i="15"/>
  <c r="X47" i="15"/>
  <c r="W47" i="15"/>
  <c r="Q47" i="15"/>
  <c r="AA58" i="15"/>
  <c r="I58" i="15"/>
  <c r="X115" i="15"/>
  <c r="O126" i="15"/>
  <c r="V137" i="15"/>
  <c r="AB17" i="15"/>
  <c r="AA17" i="15"/>
  <c r="Y37" i="15"/>
  <c r="AC45" i="15"/>
  <c r="P47" i="15"/>
  <c r="J81" i="15"/>
  <c r="AB81" i="15"/>
  <c r="O84" i="15"/>
  <c r="AA84" i="15"/>
  <c r="N84" i="15"/>
  <c r="Y84" i="15"/>
  <c r="Q84" i="15"/>
  <c r="P84" i="15"/>
  <c r="P126" i="15"/>
  <c r="AB161" i="15"/>
  <c r="AC22" i="15"/>
  <c r="Z22" i="15"/>
  <c r="AA22" i="15"/>
  <c r="P31" i="15"/>
  <c r="Z47" i="15"/>
  <c r="J55" i="15"/>
  <c r="I55" i="15"/>
  <c r="P56" i="15"/>
  <c r="P98" i="15"/>
  <c r="O98" i="15"/>
  <c r="AC98" i="15"/>
  <c r="AA118" i="15"/>
  <c r="Z118" i="15"/>
  <c r="H118" i="15"/>
  <c r="Q141" i="15"/>
  <c r="O141" i="15"/>
  <c r="R141" i="15"/>
  <c r="AC141" i="15"/>
  <c r="AC146" i="15"/>
  <c r="G5" i="15"/>
  <c r="Y8" i="15"/>
  <c r="I12" i="15"/>
  <c r="Z15" i="15"/>
  <c r="Y15" i="15"/>
  <c r="W15" i="15"/>
  <c r="X15" i="15"/>
  <c r="P15" i="15"/>
  <c r="X16" i="15"/>
  <c r="G25" i="15"/>
  <c r="H28" i="15"/>
  <c r="I37" i="15"/>
  <c r="Z42" i="15"/>
  <c r="G42" i="15"/>
  <c r="O42" i="15"/>
  <c r="Y42" i="15"/>
  <c r="R42" i="15"/>
  <c r="O45" i="15"/>
  <c r="G47" i="15"/>
  <c r="V57" i="15"/>
  <c r="AA57" i="15"/>
  <c r="Z57" i="15"/>
  <c r="Y57" i="15"/>
  <c r="W57" i="15"/>
  <c r="Q57" i="15"/>
  <c r="Q59" i="15"/>
  <c r="H59" i="15"/>
  <c r="G59" i="15"/>
  <c r="Z59" i="15"/>
  <c r="O82" i="15"/>
  <c r="AC92" i="15"/>
  <c r="K92" i="15"/>
  <c r="P94" i="15"/>
  <c r="V115" i="15"/>
  <c r="W121" i="15"/>
  <c r="V121" i="15"/>
  <c r="N121" i="15"/>
  <c r="AE121" i="15" s="1"/>
  <c r="O121" i="7" s="1"/>
  <c r="Z121" i="15"/>
  <c r="AA121" i="15"/>
  <c r="R121" i="15"/>
  <c r="L126" i="15"/>
  <c r="Z134" i="15"/>
  <c r="Q137" i="15"/>
  <c r="H154" i="15"/>
  <c r="Y169" i="15"/>
  <c r="W169" i="15"/>
  <c r="V169" i="15"/>
  <c r="N169" i="15"/>
  <c r="Z169" i="15"/>
  <c r="AA169" i="15"/>
  <c r="R169" i="15"/>
  <c r="Z173" i="15"/>
  <c r="N173" i="15"/>
  <c r="AE173" i="15" s="1"/>
  <c r="O173" i="7" s="1"/>
  <c r="M173" i="15"/>
  <c r="AC173" i="15"/>
  <c r="O173" i="15"/>
  <c r="X174" i="15"/>
  <c r="W174" i="15"/>
  <c r="P174" i="15"/>
  <c r="Y174" i="15"/>
  <c r="Z174" i="15"/>
  <c r="U174" i="15"/>
  <c r="Z149" i="15"/>
  <c r="V88" i="15"/>
  <c r="U88" i="15"/>
  <c r="AC88" i="15"/>
  <c r="R167" i="15"/>
  <c r="I167" i="15"/>
  <c r="AA167" i="15"/>
  <c r="M3" i="15"/>
  <c r="Q4" i="15"/>
  <c r="I6" i="15"/>
  <c r="O9" i="15"/>
  <c r="Q10" i="15"/>
  <c r="R13" i="15"/>
  <c r="O18" i="15"/>
  <c r="AC20" i="15"/>
  <c r="L24" i="15"/>
  <c r="X24" i="15"/>
  <c r="W29" i="15"/>
  <c r="V29" i="15"/>
  <c r="G31" i="15"/>
  <c r="AA33" i="15"/>
  <c r="Z35" i="15"/>
  <c r="V35" i="15"/>
  <c r="P35" i="15"/>
  <c r="AA38" i="15"/>
  <c r="Q38" i="15"/>
  <c r="S38" i="15"/>
  <c r="Q43" i="15"/>
  <c r="Z43" i="15"/>
  <c r="Y43" i="15"/>
  <c r="S44" i="15"/>
  <c r="S49" i="15"/>
  <c r="O52" i="15"/>
  <c r="Q53" i="15"/>
  <c r="O61" i="15"/>
  <c r="L66" i="15"/>
  <c r="Z83" i="15"/>
  <c r="Y83" i="15"/>
  <c r="X83" i="15"/>
  <c r="O83" i="15"/>
  <c r="U83" i="15"/>
  <c r="AC84" i="15"/>
  <c r="W88" i="15"/>
  <c r="Z90" i="15"/>
  <c r="Y116" i="15"/>
  <c r="P120" i="15"/>
  <c r="AB124" i="15"/>
  <c r="AC148" i="15"/>
  <c r="AC167" i="15"/>
  <c r="S171" i="15"/>
  <c r="Y175" i="15"/>
  <c r="X175" i="15"/>
  <c r="W175" i="15"/>
  <c r="O175" i="15"/>
  <c r="W162" i="15"/>
  <c r="U162" i="15"/>
  <c r="U115" i="15"/>
  <c r="I7" i="15"/>
  <c r="U33" i="15"/>
  <c r="N52" i="15"/>
  <c r="AE52" i="15" s="1"/>
  <c r="O52" i="7" s="1"/>
  <c r="O53" i="15"/>
  <c r="M89" i="15"/>
  <c r="Q106" i="15"/>
  <c r="Z106" i="15"/>
  <c r="O120" i="15"/>
  <c r="AA149" i="15"/>
  <c r="AB162" i="15"/>
  <c r="N3" i="15"/>
  <c r="R6" i="15"/>
  <c r="R10" i="15"/>
  <c r="V13" i="15"/>
  <c r="H15" i="15"/>
  <c r="M24" i="15"/>
  <c r="Y24" i="15"/>
  <c r="AA49" i="15"/>
  <c r="Z51" i="15"/>
  <c r="V51" i="15"/>
  <c r="P51" i="15"/>
  <c r="P52" i="15"/>
  <c r="Q61" i="15"/>
  <c r="AC75" i="15"/>
  <c r="H75" i="15"/>
  <c r="Z75" i="15"/>
  <c r="V83" i="15"/>
  <c r="AC89" i="15"/>
  <c r="S91" i="15"/>
  <c r="R91" i="15"/>
  <c r="Y91" i="15"/>
  <c r="V93" i="15"/>
  <c r="K93" i="15"/>
  <c r="U93" i="15"/>
  <c r="M93" i="15"/>
  <c r="O93" i="15"/>
  <c r="O95" i="15"/>
  <c r="N95" i="15"/>
  <c r="Z122" i="15"/>
  <c r="X122" i="15"/>
  <c r="G132" i="15"/>
  <c r="G138" i="15"/>
  <c r="X138" i="15"/>
  <c r="W159" i="15"/>
  <c r="Q159" i="15"/>
  <c r="X159" i="15"/>
  <c r="Y168" i="15"/>
  <c r="W168" i="15"/>
  <c r="V168" i="15"/>
  <c r="O168" i="15"/>
  <c r="Y171" i="15"/>
  <c r="S162" i="15"/>
  <c r="I173" i="15"/>
  <c r="R29" i="15"/>
  <c r="Q88" i="15"/>
  <c r="X106" i="15"/>
  <c r="X116" i="15"/>
  <c r="W116" i="15"/>
  <c r="P116" i="15"/>
  <c r="W120" i="15"/>
  <c r="V120" i="15"/>
  <c r="AA120" i="15"/>
  <c r="AA124" i="15"/>
  <c r="AB142" i="15"/>
  <c r="V167" i="15"/>
  <c r="V4" i="15"/>
  <c r="Q9" i="15"/>
  <c r="P18" i="15"/>
  <c r="U35" i="15"/>
  <c r="AC38" i="15"/>
  <c r="U44" i="15"/>
  <c r="S53" i="15"/>
  <c r="O66" i="15"/>
  <c r="S75" i="15"/>
  <c r="X88" i="15"/>
  <c r="Q91" i="15"/>
  <c r="G94" i="15"/>
  <c r="W95" i="15"/>
  <c r="AA100" i="15"/>
  <c r="Y100" i="15"/>
  <c r="X100" i="15"/>
  <c r="P114" i="15"/>
  <c r="O114" i="15"/>
  <c r="S114" i="15"/>
  <c r="AA116" i="15"/>
  <c r="R122" i="15"/>
  <c r="R138" i="15"/>
  <c r="P159" i="15"/>
  <c r="AC164" i="15"/>
  <c r="X168" i="15"/>
  <c r="AC169" i="15"/>
  <c r="P175" i="15"/>
  <c r="O3" i="15"/>
  <c r="N24" i="15"/>
  <c r="AC25" i="15"/>
  <c r="N29" i="15"/>
  <c r="AE29" i="15" s="1"/>
  <c r="O29" i="7" s="1"/>
  <c r="M30" i="15"/>
  <c r="W35" i="15"/>
  <c r="AC36" i="15"/>
  <c r="H38" i="15"/>
  <c r="AE40" i="15"/>
  <c r="O40" i="7" s="1"/>
  <c r="Q40" i="15"/>
  <c r="M40" i="15"/>
  <c r="Y40" i="15"/>
  <c r="AC41" i="15"/>
  <c r="AA44" i="15"/>
  <c r="I49" i="15"/>
  <c r="M50" i="15"/>
  <c r="U51" i="15"/>
  <c r="V52" i="15"/>
  <c r="Y53" i="15"/>
  <c r="AC57" i="15"/>
  <c r="R61" i="15"/>
  <c r="P66" i="15"/>
  <c r="V71" i="15"/>
  <c r="Y75" i="15"/>
  <c r="AA80" i="15"/>
  <c r="X80" i="15"/>
  <c r="S80" i="15"/>
  <c r="O80" i="15"/>
  <c r="Q80" i="15"/>
  <c r="G83" i="15"/>
  <c r="W83" i="15"/>
  <c r="N88" i="15"/>
  <c r="Y88" i="15"/>
  <c r="Z91" i="15"/>
  <c r="Q93" i="15"/>
  <c r="X95" i="15"/>
  <c r="V100" i="15"/>
  <c r="I102" i="15"/>
  <c r="H102" i="15"/>
  <c r="S103" i="15"/>
  <c r="AC114" i="15"/>
  <c r="X120" i="15"/>
  <c r="AC121" i="15"/>
  <c r="Y122" i="15"/>
  <c r="X127" i="15"/>
  <c r="W127" i="15"/>
  <c r="N127" i="15"/>
  <c r="Q127" i="15"/>
  <c r="Z131" i="15"/>
  <c r="X131" i="15"/>
  <c r="W131" i="15"/>
  <c r="Y131" i="15"/>
  <c r="N131" i="15"/>
  <c r="AE131" i="15" s="1"/>
  <c r="O131" i="7" s="1"/>
  <c r="Y138" i="15"/>
  <c r="S151" i="15"/>
  <c r="W153" i="15"/>
  <c r="V153" i="15"/>
  <c r="Y153" i="15"/>
  <c r="R153" i="15"/>
  <c r="Y159" i="15"/>
  <c r="AA168" i="15"/>
  <c r="Q175" i="15"/>
  <c r="AB66" i="15"/>
  <c r="P67" i="15"/>
  <c r="Q69" i="15"/>
  <c r="V87" i="15"/>
  <c r="AB94" i="15"/>
  <c r="O110" i="15"/>
  <c r="Z110" i="15"/>
  <c r="M110" i="15"/>
  <c r="S110" i="15"/>
  <c r="S113" i="15"/>
  <c r="AB113" i="15"/>
  <c r="AA113" i="15"/>
  <c r="U113" i="15"/>
  <c r="U129" i="15"/>
  <c r="H143" i="15"/>
  <c r="X144" i="15"/>
  <c r="I151" i="15"/>
  <c r="Y152" i="15"/>
  <c r="U152" i="15"/>
  <c r="Q152" i="15"/>
  <c r="N152" i="15"/>
  <c r="Z163" i="15"/>
  <c r="Y163" i="15"/>
  <c r="X163" i="15"/>
  <c r="P163" i="15"/>
  <c r="H76" i="15"/>
  <c r="M77" i="15"/>
  <c r="AC77" i="15"/>
  <c r="P78" i="15"/>
  <c r="P79" i="15"/>
  <c r="I86" i="15"/>
  <c r="AA97" i="15"/>
  <c r="G99" i="15"/>
  <c r="P104" i="15"/>
  <c r="R105" i="15"/>
  <c r="H107" i="15"/>
  <c r="AC107" i="15"/>
  <c r="AB108" i="15"/>
  <c r="L109" i="15"/>
  <c r="W109" i="15"/>
  <c r="O111" i="15"/>
  <c r="S119" i="15"/>
  <c r="Q125" i="15"/>
  <c r="AC132" i="15"/>
  <c r="S135" i="15"/>
  <c r="Y136" i="15"/>
  <c r="AC137" i="15"/>
  <c r="AA140" i="15"/>
  <c r="S145" i="15"/>
  <c r="R150" i="15"/>
  <c r="H152" i="15"/>
  <c r="J155" i="15"/>
  <c r="M157" i="15"/>
  <c r="Q158" i="15"/>
  <c r="I166" i="15"/>
  <c r="G175" i="15"/>
  <c r="Z86" i="15"/>
  <c r="AC100" i="15"/>
  <c r="M109" i="15"/>
  <c r="G115" i="15"/>
  <c r="M116" i="15"/>
  <c r="P123" i="15"/>
  <c r="N136" i="15"/>
  <c r="AB140" i="15"/>
  <c r="G147" i="15"/>
  <c r="N157" i="15"/>
  <c r="AE157" i="15" s="1"/>
  <c r="O157" i="7" s="1"/>
  <c r="AB158" i="15"/>
  <c r="Z166" i="15"/>
  <c r="AC2" i="15"/>
  <c r="U2" i="15"/>
  <c r="O2" i="15"/>
  <c r="W2" i="15"/>
  <c r="P2" i="15"/>
  <c r="Q2" i="15"/>
  <c r="N9" i="17"/>
  <c r="T52" i="17"/>
  <c r="Z72" i="17"/>
  <c r="AB94" i="17"/>
  <c r="W99" i="17"/>
  <c r="J144" i="17"/>
  <c r="N161" i="17"/>
  <c r="N171" i="17"/>
  <c r="T9" i="17"/>
  <c r="V11" i="17"/>
  <c r="W23" i="17"/>
  <c r="X27" i="17"/>
  <c r="M31" i="17"/>
  <c r="V31" i="17"/>
  <c r="N35" i="17"/>
  <c r="T35" i="17"/>
  <c r="V47" i="17"/>
  <c r="U75" i="17"/>
  <c r="Y78" i="17"/>
  <c r="AB99" i="17"/>
  <c r="AB109" i="17"/>
  <c r="AA140" i="17"/>
  <c r="S144" i="17"/>
  <c r="T144" i="17"/>
  <c r="U149" i="17"/>
  <c r="AB154" i="17"/>
  <c r="S157" i="17"/>
  <c r="X157" i="17"/>
  <c r="W161" i="17"/>
  <c r="AA165" i="17"/>
  <c r="T169" i="17"/>
  <c r="W171" i="17"/>
  <c r="X44" i="17"/>
  <c r="X164" i="17"/>
  <c r="X3" i="17"/>
  <c r="M27" i="17"/>
  <c r="Q44" i="17"/>
  <c r="X59" i="17"/>
  <c r="AB76" i="17"/>
  <c r="U89" i="17"/>
  <c r="Q98" i="17"/>
  <c r="U99" i="17"/>
  <c r="X113" i="17"/>
  <c r="AO164" i="17"/>
  <c r="AA170" i="17"/>
  <c r="U27" i="17"/>
  <c r="X38" i="17"/>
  <c r="S59" i="17"/>
  <c r="AB89" i="17"/>
  <c r="R108" i="17"/>
  <c r="T109" i="17"/>
  <c r="S149" i="17"/>
  <c r="T154" i="17"/>
  <c r="U11" i="17"/>
  <c r="T75" i="17"/>
  <c r="W154" i="17"/>
  <c r="U157" i="17"/>
  <c r="T161" i="17"/>
  <c r="V165" i="17"/>
  <c r="S169" i="17"/>
  <c r="W7" i="17"/>
  <c r="T7" i="17"/>
  <c r="X9" i="17"/>
  <c r="T21" i="17"/>
  <c r="W31" i="17"/>
  <c r="U35" i="17"/>
  <c r="T69" i="17"/>
  <c r="T73" i="17"/>
  <c r="V75" i="17"/>
  <c r="AB140" i="17"/>
  <c r="AA157" i="17"/>
  <c r="AB165" i="17"/>
  <c r="U169" i="17"/>
  <c r="AB171" i="17"/>
  <c r="AA173" i="17"/>
  <c r="N27" i="17"/>
  <c r="AB51" i="17"/>
  <c r="AA99" i="17"/>
  <c r="S11" i="17"/>
  <c r="Y72" i="17"/>
  <c r="AA83" i="17"/>
  <c r="K173" i="17"/>
  <c r="W27" i="17"/>
  <c r="N47" i="17"/>
  <c r="W52" i="17"/>
  <c r="Z140" i="17"/>
  <c r="AA9" i="17"/>
  <c r="S21" i="17"/>
  <c r="M53" i="17"/>
  <c r="T53" i="17"/>
  <c r="S69" i="17"/>
  <c r="W75" i="17"/>
  <c r="X131" i="17"/>
  <c r="N145" i="17"/>
  <c r="W147" i="17"/>
  <c r="AB157" i="17"/>
  <c r="K6" i="17"/>
  <c r="K109" i="17"/>
  <c r="K72" i="17"/>
  <c r="K98" i="17"/>
  <c r="K135" i="17"/>
  <c r="O137" i="17" s="1"/>
  <c r="AI137" i="17" s="1"/>
  <c r="K59" i="17"/>
  <c r="Q156" i="17"/>
  <c r="T2" i="17"/>
  <c r="W3" i="17"/>
  <c r="M7" i="17"/>
  <c r="W17" i="17"/>
  <c r="M17" i="17"/>
  <c r="AE17" i="17" s="1"/>
  <c r="T17" i="17"/>
  <c r="L17" i="17"/>
  <c r="N17" i="17"/>
  <c r="U39" i="17"/>
  <c r="AQ39" i="17" s="1"/>
  <c r="AB39" i="17"/>
  <c r="V39" i="17"/>
  <c r="AA39" i="17"/>
  <c r="M47" i="17"/>
  <c r="AE47" i="17" s="1"/>
  <c r="L59" i="17"/>
  <c r="X77" i="17"/>
  <c r="AA77" i="17"/>
  <c r="W77" i="17"/>
  <c r="L138" i="17"/>
  <c r="Z138" i="17"/>
  <c r="Y138" i="17"/>
  <c r="AA138" i="17"/>
  <c r="X138" i="17"/>
  <c r="W138" i="17"/>
  <c r="X163" i="17"/>
  <c r="V163" i="17"/>
  <c r="T163" i="17"/>
  <c r="U163" i="17"/>
  <c r="AD297" i="17"/>
  <c r="W297" i="17"/>
  <c r="V297" i="17"/>
  <c r="AN297" i="17"/>
  <c r="AJ297" i="17"/>
  <c r="AK297" i="17"/>
  <c r="AA501" i="17"/>
  <c r="X501" i="17"/>
  <c r="AQ501" i="17"/>
  <c r="AN501" i="17"/>
  <c r="AM501" i="17"/>
  <c r="AO743" i="17"/>
  <c r="AR743" i="17"/>
  <c r="AH743" i="17"/>
  <c r="W743" i="17"/>
  <c r="M743" i="17"/>
  <c r="AP743" i="17"/>
  <c r="AD743" i="17"/>
  <c r="S743" i="17"/>
  <c r="AC743" i="17"/>
  <c r="AN743" i="17"/>
  <c r="P743" i="17"/>
  <c r="AK743" i="17"/>
  <c r="U743" i="17"/>
  <c r="AE743" i="17"/>
  <c r="L743" i="17"/>
  <c r="J743" i="17"/>
  <c r="AB743" i="17"/>
  <c r="K743" i="17"/>
  <c r="Z743" i="17"/>
  <c r="AI743" i="17"/>
  <c r="O743" i="17"/>
  <c r="AF743" i="17"/>
  <c r="N743" i="17"/>
  <c r="AK801" i="17"/>
  <c r="AE801" i="17"/>
  <c r="O801" i="17"/>
  <c r="AP801" i="17"/>
  <c r="Y801" i="17"/>
  <c r="AO801" i="17"/>
  <c r="V801" i="17"/>
  <c r="R801" i="17"/>
  <c r="Q801" i="17"/>
  <c r="AR801" i="17"/>
  <c r="P801" i="17"/>
  <c r="AN801" i="17"/>
  <c r="N801" i="17"/>
  <c r="AB801" i="17"/>
  <c r="Z801" i="17"/>
  <c r="AJ813" i="17"/>
  <c r="U813" i="17"/>
  <c r="AH813" i="17"/>
  <c r="N813" i="17"/>
  <c r="AG813" i="17"/>
  <c r="M813" i="17"/>
  <c r="AC813" i="17"/>
  <c r="O813" i="17"/>
  <c r="L813" i="17"/>
  <c r="AR813" i="17"/>
  <c r="J813" i="17"/>
  <c r="X813" i="17"/>
  <c r="V813" i="17"/>
  <c r="AE895" i="17"/>
  <c r="N895" i="17"/>
  <c r="AD895" i="17"/>
  <c r="L895" i="17"/>
  <c r="AO895" i="17"/>
  <c r="U895" i="17"/>
  <c r="AM895" i="17"/>
  <c r="Q895" i="17"/>
  <c r="V895" i="17"/>
  <c r="X895" i="17"/>
  <c r="P895" i="17"/>
  <c r="AR895" i="17"/>
  <c r="M895" i="17"/>
  <c r="AF895" i="17"/>
  <c r="Y895" i="17"/>
  <c r="AE1440" i="17"/>
  <c r="T1440" i="17"/>
  <c r="S1440" i="17"/>
  <c r="AL1440" i="17"/>
  <c r="AD1440" i="17"/>
  <c r="X1440" i="17"/>
  <c r="AJ1440" i="17"/>
  <c r="L1440" i="17"/>
  <c r="P1440" i="17"/>
  <c r="AQ1504" i="17"/>
  <c r="AC1504" i="17"/>
  <c r="P1504" i="17"/>
  <c r="AP1504" i="17"/>
  <c r="AB1504" i="17"/>
  <c r="O1504" i="17"/>
  <c r="AJ1504" i="17"/>
  <c r="R1504" i="17"/>
  <c r="AH1504" i="17"/>
  <c r="L1504" i="17"/>
  <c r="AK1504" i="17"/>
  <c r="J1504" i="17"/>
  <c r="U1504" i="17"/>
  <c r="S1504" i="17"/>
  <c r="Z1504" i="17"/>
  <c r="W1504" i="17"/>
  <c r="K1504" i="17"/>
  <c r="AM1504" i="17"/>
  <c r="AL1504" i="17"/>
  <c r="AP1737" i="17"/>
  <c r="AJ1737" i="17"/>
  <c r="W1737" i="17"/>
  <c r="L1737" i="17"/>
  <c r="AM1737" i="17"/>
  <c r="AA1737" i="17"/>
  <c r="M1737" i="17"/>
  <c r="AL1737" i="17"/>
  <c r="X1737" i="17"/>
  <c r="K1737" i="17"/>
  <c r="AI1737" i="17"/>
  <c r="P1737" i="17"/>
  <c r="AF1737" i="17"/>
  <c r="O1737" i="17"/>
  <c r="AR1737" i="17"/>
  <c r="S1737" i="17"/>
  <c r="AQ1737" i="17"/>
  <c r="N1737" i="17"/>
  <c r="AC1737" i="17"/>
  <c r="AB1737" i="17"/>
  <c r="AE1737" i="17"/>
  <c r="V1737" i="17"/>
  <c r="U1737" i="17"/>
  <c r="N77" i="17"/>
  <c r="W173" i="17"/>
  <c r="Z206" i="17"/>
  <c r="AK211" i="17"/>
  <c r="P211" i="17"/>
  <c r="AF211" i="17"/>
  <c r="K211" i="17"/>
  <c r="AL211" i="17"/>
  <c r="AE211" i="17"/>
  <c r="AA211" i="17"/>
  <c r="P279" i="17"/>
  <c r="K287" i="17"/>
  <c r="AN293" i="17"/>
  <c r="U297" i="17"/>
  <c r="AI337" i="17"/>
  <c r="O337" i="17"/>
  <c r="N337" i="17"/>
  <c r="AD337" i="17"/>
  <c r="W337" i="17"/>
  <c r="T337" i="17"/>
  <c r="S337" i="17"/>
  <c r="J377" i="17"/>
  <c r="AM423" i="17"/>
  <c r="T430" i="17"/>
  <c r="AQ430" i="17"/>
  <c r="AH430" i="17"/>
  <c r="AR496" i="17"/>
  <c r="AH496" i="17"/>
  <c r="R496" i="17"/>
  <c r="AF496" i="17"/>
  <c r="Q496" i="17"/>
  <c r="AI496" i="17"/>
  <c r="O496" i="17"/>
  <c r="K496" i="17"/>
  <c r="AB496" i="17"/>
  <c r="L496" i="17"/>
  <c r="AA496" i="17"/>
  <c r="AM496" i="17"/>
  <c r="P571" i="17"/>
  <c r="M571" i="17"/>
  <c r="AJ571" i="17"/>
  <c r="AE575" i="17"/>
  <c r="AK625" i="17"/>
  <c r="AQ625" i="17"/>
  <c r="AN625" i="17"/>
  <c r="Z625" i="17"/>
  <c r="AM625" i="17"/>
  <c r="AD671" i="17"/>
  <c r="AL829" i="17"/>
  <c r="Q829" i="17"/>
  <c r="AE829" i="17"/>
  <c r="V829" i="17"/>
  <c r="AG829" i="17"/>
  <c r="AH829" i="17"/>
  <c r="AF829" i="17"/>
  <c r="U829" i="17"/>
  <c r="Z835" i="17"/>
  <c r="AO835" i="17"/>
  <c r="AH962" i="17"/>
  <c r="M962" i="17"/>
  <c r="AI962" i="17"/>
  <c r="S1026" i="17"/>
  <c r="R1026" i="17"/>
  <c r="V1026" i="17"/>
  <c r="AB1026" i="17"/>
  <c r="Q1026" i="17"/>
  <c r="AR1026" i="17"/>
  <c r="AO1026" i="17"/>
  <c r="AG1026" i="17"/>
  <c r="AK1116" i="17"/>
  <c r="AJ1116" i="17"/>
  <c r="AA1116" i="17"/>
  <c r="V1116" i="17"/>
  <c r="K1116" i="17"/>
  <c r="AD1504" i="17"/>
  <c r="AI1525" i="17"/>
  <c r="AH1525" i="17"/>
  <c r="X1525" i="17"/>
  <c r="T1525" i="17"/>
  <c r="AE1525" i="17"/>
  <c r="L1525" i="17"/>
  <c r="X15" i="17"/>
  <c r="AA17" i="17"/>
  <c r="AB25" i="17"/>
  <c r="V77" i="17"/>
  <c r="U85" i="17"/>
  <c r="AH85" i="17" s="1"/>
  <c r="AB90" i="17"/>
  <c r="W129" i="17"/>
  <c r="X173" i="17"/>
  <c r="AE214" i="17"/>
  <c r="Y214" i="17"/>
  <c r="U279" i="17"/>
  <c r="K281" i="17"/>
  <c r="AO300" i="17"/>
  <c r="AJ312" i="17"/>
  <c r="AB312" i="17"/>
  <c r="AQ315" i="17"/>
  <c r="U315" i="17"/>
  <c r="AN315" i="17"/>
  <c r="N315" i="17"/>
  <c r="V315" i="17"/>
  <c r="L315" i="17"/>
  <c r="M315" i="17"/>
  <c r="AI327" i="17"/>
  <c r="T327" i="17"/>
  <c r="AF327" i="17"/>
  <c r="S327" i="17"/>
  <c r="AQ327" i="17"/>
  <c r="U327" i="17"/>
  <c r="AM327" i="17"/>
  <c r="AN327" i="17"/>
  <c r="N327" i="17"/>
  <c r="M327" i="17"/>
  <c r="P337" i="17"/>
  <c r="J349" i="17"/>
  <c r="M377" i="17"/>
  <c r="AQ423" i="17"/>
  <c r="N487" i="17"/>
  <c r="AN496" i="17"/>
  <c r="W529" i="17"/>
  <c r="V529" i="17"/>
  <c r="AD529" i="17"/>
  <c r="U529" i="17"/>
  <c r="N529" i="17"/>
  <c r="K575" i="17"/>
  <c r="P625" i="17"/>
  <c r="Z638" i="17"/>
  <c r="AO638" i="17"/>
  <c r="X638" i="17"/>
  <c r="AL641" i="17"/>
  <c r="AA641" i="17"/>
  <c r="U641" i="17"/>
  <c r="S648" i="17"/>
  <c r="AM714" i="17"/>
  <c r="P714" i="17"/>
  <c r="AL714" i="17"/>
  <c r="N714" i="17"/>
  <c r="AI714" i="17"/>
  <c r="K714" i="17"/>
  <c r="Z714" i="17"/>
  <c r="X714" i="17"/>
  <c r="W714" i="17"/>
  <c r="O714" i="17"/>
  <c r="AF714" i="17"/>
  <c r="AA714" i="17"/>
  <c r="AN813" i="17"/>
  <c r="AF860" i="17"/>
  <c r="P860" i="17"/>
  <c r="AB860" i="17"/>
  <c r="AQ860" i="17"/>
  <c r="Y860" i="17"/>
  <c r="AD860" i="17"/>
  <c r="S860" i="17"/>
  <c r="Q860" i="17"/>
  <c r="AP860" i="17"/>
  <c r="N860" i="17"/>
  <c r="AC860" i="17"/>
  <c r="T860" i="17"/>
  <c r="AK1426" i="17"/>
  <c r="W1459" i="17"/>
  <c r="T1459" i="17"/>
  <c r="S1459" i="17"/>
  <c r="AG1459" i="17"/>
  <c r="AH1459" i="17"/>
  <c r="AB1459" i="17"/>
  <c r="AP1459" i="17"/>
  <c r="R1459" i="17"/>
  <c r="O1459" i="17"/>
  <c r="AR1459" i="17"/>
  <c r="AE1695" i="17"/>
  <c r="R1695" i="17"/>
  <c r="AC1695" i="17"/>
  <c r="AB1695" i="17"/>
  <c r="M1695" i="17"/>
  <c r="AR1695" i="17"/>
  <c r="AA1695" i="17"/>
  <c r="L1695" i="17"/>
  <c r="AL1695" i="17"/>
  <c r="P1695" i="17"/>
  <c r="AK1695" i="17"/>
  <c r="O1695" i="17"/>
  <c r="AJ1695" i="17"/>
  <c r="AM1695" i="17"/>
  <c r="AI1695" i="17"/>
  <c r="Z1695" i="17"/>
  <c r="X1695" i="17"/>
  <c r="V1695" i="17"/>
  <c r="S1695" i="17"/>
  <c r="AQ1695" i="17"/>
  <c r="AQ1906" i="17"/>
  <c r="AE1906" i="17"/>
  <c r="Z1906" i="17"/>
  <c r="K1906" i="17"/>
  <c r="AK1737" i="17"/>
  <c r="AP1745" i="17"/>
  <c r="AK1745" i="17"/>
  <c r="X1745" i="17"/>
  <c r="M1745" i="17"/>
  <c r="AF1745" i="17"/>
  <c r="S1745" i="17"/>
  <c r="AE1745" i="17"/>
  <c r="P1745" i="17"/>
  <c r="AC1745" i="17"/>
  <c r="L1745" i="17"/>
  <c r="AB1745" i="17"/>
  <c r="K1745" i="17"/>
  <c r="AQ1745" i="17"/>
  <c r="U1745" i="17"/>
  <c r="AM1745" i="17"/>
  <c r="O1745" i="17"/>
  <c r="AL1745" i="17"/>
  <c r="AA1745" i="17"/>
  <c r="W1745" i="17"/>
  <c r="AR1745" i="17"/>
  <c r="AJ1745" i="17"/>
  <c r="AI1745" i="17"/>
  <c r="V1745" i="17"/>
  <c r="AA3" i="17"/>
  <c r="W15" i="17"/>
  <c r="T15" i="17"/>
  <c r="U15" i="17"/>
  <c r="AQ15" i="17" s="1"/>
  <c r="M15" i="17"/>
  <c r="AE15" i="17" s="1"/>
  <c r="N15" i="17"/>
  <c r="X17" i="17"/>
  <c r="N39" i="17"/>
  <c r="X57" i="17"/>
  <c r="AB62" i="17"/>
  <c r="W163" i="17"/>
  <c r="AC187" i="17"/>
  <c r="X187" i="17"/>
  <c r="AE217" i="17"/>
  <c r="O217" i="17"/>
  <c r="AD217" i="17"/>
  <c r="N217" i="17"/>
  <c r="AJ217" i="17"/>
  <c r="AC217" i="17"/>
  <c r="AB217" i="17"/>
  <c r="AF281" i="17"/>
  <c r="O355" i="17"/>
  <c r="AO391" i="17"/>
  <c r="AP391" i="17"/>
  <c r="AE391" i="17"/>
  <c r="U391" i="17"/>
  <c r="K391" i="17"/>
  <c r="AN391" i="17"/>
  <c r="AD391" i="17"/>
  <c r="J391" i="17"/>
  <c r="T391" i="17"/>
  <c r="AR391" i="17"/>
  <c r="AC391" i="17"/>
  <c r="O391" i="17"/>
  <c r="AQ391" i="17"/>
  <c r="AB391" i="17"/>
  <c r="N391" i="17"/>
  <c r="AM391" i="17"/>
  <c r="Z391" i="17"/>
  <c r="M391" i="17"/>
  <c r="AI397" i="17"/>
  <c r="AN418" i="17"/>
  <c r="AI418" i="17"/>
  <c r="Z418" i="17"/>
  <c r="N471" i="17"/>
  <c r="AC473" i="17"/>
  <c r="M547" i="17"/>
  <c r="AA573" i="17"/>
  <c r="V573" i="17"/>
  <c r="AE573" i="17"/>
  <c r="P573" i="17"/>
  <c r="S573" i="17"/>
  <c r="L588" i="17"/>
  <c r="AI599" i="17"/>
  <c r="M621" i="17"/>
  <c r="J659" i="17"/>
  <c r="AG730" i="17"/>
  <c r="J730" i="17"/>
  <c r="Q730" i="17"/>
  <c r="N730" i="17"/>
  <c r="K730" i="17"/>
  <c r="Z730" i="17"/>
  <c r="AI730" i="17"/>
  <c r="V743" i="17"/>
  <c r="J786" i="17"/>
  <c r="V786" i="17"/>
  <c r="N786" i="17"/>
  <c r="AR786" i="17"/>
  <c r="AO786" i="17"/>
  <c r="Z786" i="17"/>
  <c r="AF801" i="17"/>
  <c r="AF813" i="17"/>
  <c r="AN968" i="17"/>
  <c r="AA968" i="17"/>
  <c r="Z968" i="17"/>
  <c r="T968" i="17"/>
  <c r="AR968" i="17"/>
  <c r="AK968" i="17"/>
  <c r="AB968" i="17"/>
  <c r="S968" i="17"/>
  <c r="L968" i="17"/>
  <c r="AO968" i="17"/>
  <c r="AG996" i="17"/>
  <c r="Y996" i="17"/>
  <c r="AK996" i="17"/>
  <c r="X996" i="17"/>
  <c r="N996" i="17"/>
  <c r="X1003" i="17"/>
  <c r="AO1003" i="17"/>
  <c r="W1003" i="17"/>
  <c r="AD1003" i="17"/>
  <c r="AN1003" i="17"/>
  <c r="M1003" i="17"/>
  <c r="AM1003" i="17"/>
  <c r="L1003" i="17"/>
  <c r="AC1003" i="17"/>
  <c r="T1003" i="17"/>
  <c r="R1003" i="17"/>
  <c r="N1003" i="17"/>
  <c r="AL1003" i="17"/>
  <c r="AK1003" i="17"/>
  <c r="AG1229" i="17"/>
  <c r="AM1229" i="17"/>
  <c r="Y1229" i="17"/>
  <c r="M1229" i="17"/>
  <c r="AL1229" i="17"/>
  <c r="X1229" i="17"/>
  <c r="J1229" i="17"/>
  <c r="AN1229" i="17"/>
  <c r="R1229" i="17"/>
  <c r="W1229" i="17"/>
  <c r="AP1229" i="17"/>
  <c r="Q1229" i="17"/>
  <c r="P1229" i="17"/>
  <c r="O1229" i="17"/>
  <c r="AD1229" i="17"/>
  <c r="Z1229" i="17"/>
  <c r="AC1229" i="17"/>
  <c r="AH1229" i="17"/>
  <c r="AF1229" i="17"/>
  <c r="AM1474" i="17"/>
  <c r="AA1474" i="17"/>
  <c r="L1474" i="17"/>
  <c r="AL1474" i="17"/>
  <c r="X1474" i="17"/>
  <c r="K1474" i="17"/>
  <c r="AJ1474" i="17"/>
  <c r="P1474" i="17"/>
  <c r="AE1474" i="17"/>
  <c r="O1474" i="17"/>
  <c r="AC1474" i="17"/>
  <c r="AR1474" i="17"/>
  <c r="S1474" i="17"/>
  <c r="AQ1474" i="17"/>
  <c r="N1474" i="17"/>
  <c r="AN1474" i="17"/>
  <c r="AK1474" i="17"/>
  <c r="AD1474" i="17"/>
  <c r="AB1474" i="17"/>
  <c r="V1474" i="17"/>
  <c r="T1474" i="17"/>
  <c r="AK1528" i="17"/>
  <c r="AN1528" i="17"/>
  <c r="L15" i="17"/>
  <c r="AA57" i="17"/>
  <c r="S62" i="17"/>
  <c r="Q82" i="17"/>
  <c r="N111" i="17"/>
  <c r="V111" i="17"/>
  <c r="U111" i="17"/>
  <c r="AO118" i="17"/>
  <c r="T118" i="17"/>
  <c r="S118" i="17"/>
  <c r="N147" i="17"/>
  <c r="W187" i="17"/>
  <c r="AP195" i="17"/>
  <c r="AF195" i="17"/>
  <c r="P195" i="17"/>
  <c r="O195" i="17"/>
  <c r="AC195" i="17"/>
  <c r="AK195" i="17"/>
  <c r="S195" i="17"/>
  <c r="M195" i="17"/>
  <c r="AJ195" i="17"/>
  <c r="N195" i="17"/>
  <c r="AI195" i="17"/>
  <c r="S211" i="17"/>
  <c r="K218" i="17"/>
  <c r="AP225" i="17"/>
  <c r="AI225" i="17"/>
  <c r="U225" i="17"/>
  <c r="AF225" i="17"/>
  <c r="P225" i="17"/>
  <c r="AE225" i="17"/>
  <c r="M225" i="17"/>
  <c r="AA225" i="17"/>
  <c r="AB225" i="17"/>
  <c r="L225" i="17"/>
  <c r="K225" i="17"/>
  <c r="AL225" i="17"/>
  <c r="AE269" i="17"/>
  <c r="O269" i="17"/>
  <c r="AD269" i="17"/>
  <c r="N269" i="17"/>
  <c r="AC269" i="17"/>
  <c r="U269" i="17"/>
  <c r="AB269" i="17"/>
  <c r="N287" i="17"/>
  <c r="AQ297" i="17"/>
  <c r="L310" i="17"/>
  <c r="W317" i="17"/>
  <c r="V317" i="17"/>
  <c r="W355" i="17"/>
  <c r="L391" i="17"/>
  <c r="W430" i="17"/>
  <c r="AR432" i="17"/>
  <c r="AN432" i="17"/>
  <c r="Y432" i="17"/>
  <c r="P432" i="17"/>
  <c r="X432" i="17"/>
  <c r="P449" i="17"/>
  <c r="AK487" i="17"/>
  <c r="N493" i="17"/>
  <c r="J496" i="17"/>
  <c r="AC509" i="17"/>
  <c r="AL509" i="17"/>
  <c r="P509" i="17"/>
  <c r="O509" i="17"/>
  <c r="AK509" i="17"/>
  <c r="W509" i="17"/>
  <c r="S509" i="17"/>
  <c r="T509" i="17"/>
  <c r="AF511" i="17"/>
  <c r="AJ547" i="17"/>
  <c r="AM575" i="17"/>
  <c r="O577" i="17"/>
  <c r="R588" i="17"/>
  <c r="P599" i="17"/>
  <c r="N621" i="17"/>
  <c r="AB835" i="17"/>
  <c r="J1026" i="17"/>
  <c r="K1064" i="17"/>
  <c r="AR1363" i="17"/>
  <c r="AH1363" i="17"/>
  <c r="R1363" i="17"/>
  <c r="AF1363" i="17"/>
  <c r="Q1363" i="17"/>
  <c r="AB1363" i="17"/>
  <c r="L1363" i="17"/>
  <c r="AI1363" i="17"/>
  <c r="K1363" i="17"/>
  <c r="AA1363" i="17"/>
  <c r="J1363" i="17"/>
  <c r="X1363" i="17"/>
  <c r="AQ1363" i="17"/>
  <c r="W1363" i="17"/>
  <c r="AP1363" i="17"/>
  <c r="P1363" i="17"/>
  <c r="AM1363" i="17"/>
  <c r="Z1363" i="17"/>
  <c r="AJ1363" i="17"/>
  <c r="AN1363" i="17"/>
  <c r="AR1463" i="17"/>
  <c r="AM1463" i="17"/>
  <c r="AN1544" i="17"/>
  <c r="AM1544" i="17"/>
  <c r="R1544" i="17"/>
  <c r="AL1544" i="17"/>
  <c r="P1544" i="17"/>
  <c r="AD1544" i="17"/>
  <c r="AC1544" i="17"/>
  <c r="AH1544" i="17"/>
  <c r="AR1544" i="17"/>
  <c r="AF1544" i="17"/>
  <c r="V1544" i="17"/>
  <c r="T1544" i="17"/>
  <c r="O1544" i="17"/>
  <c r="N1544" i="17"/>
  <c r="W1851" i="17"/>
  <c r="AI1851" i="17"/>
  <c r="AH1851" i="17"/>
  <c r="AG1851" i="17"/>
  <c r="X1851" i="17"/>
  <c r="T1851" i="17"/>
  <c r="L1851" i="17"/>
  <c r="V15" i="17"/>
  <c r="AB17" i="17"/>
  <c r="K20" i="17"/>
  <c r="L22" i="17"/>
  <c r="Y22" i="17"/>
  <c r="AO22" i="17"/>
  <c r="W26" i="17"/>
  <c r="AB26" i="17"/>
  <c r="S34" i="17"/>
  <c r="T40" i="17"/>
  <c r="Z58" i="17"/>
  <c r="Y58" i="17"/>
  <c r="W58" i="17"/>
  <c r="X58" i="17"/>
  <c r="AB82" i="17"/>
  <c r="Y88" i="17"/>
  <c r="L108" i="17"/>
  <c r="Z108" i="17"/>
  <c r="AA108" i="17"/>
  <c r="X108" i="17"/>
  <c r="AB155" i="17"/>
  <c r="AA155" i="17"/>
  <c r="U155" i="17"/>
  <c r="AQ155" i="17" s="1"/>
  <c r="X155" i="17"/>
  <c r="AB167" i="17"/>
  <c r="T167" i="17"/>
  <c r="S167" i="17"/>
  <c r="V167" i="17"/>
  <c r="N167" i="17"/>
  <c r="U167" i="17"/>
  <c r="L195" i="17"/>
  <c r="T211" i="17"/>
  <c r="S217" i="17"/>
  <c r="N253" i="17"/>
  <c r="AM281" i="17"/>
  <c r="AR287" i="17"/>
  <c r="N293" i="17"/>
  <c r="O310" i="17"/>
  <c r="AA312" i="17"/>
  <c r="U317" i="17"/>
  <c r="K327" i="17"/>
  <c r="AB337" i="17"/>
  <c r="S377" i="17"/>
  <c r="AC385" i="17"/>
  <c r="T385" i="17"/>
  <c r="S385" i="17"/>
  <c r="AL385" i="17"/>
  <c r="AK385" i="17"/>
  <c r="W385" i="17"/>
  <c r="P391" i="17"/>
  <c r="Y418" i="17"/>
  <c r="U423" i="17"/>
  <c r="AR423" i="17"/>
  <c r="X430" i="17"/>
  <c r="U449" i="17"/>
  <c r="AP453" i="17"/>
  <c r="AI453" i="17"/>
  <c r="S453" i="17"/>
  <c r="AF453" i="17"/>
  <c r="P453" i="17"/>
  <c r="AL453" i="17"/>
  <c r="V453" i="17"/>
  <c r="AJ453" i="17"/>
  <c r="AK453" i="17"/>
  <c r="O453" i="17"/>
  <c r="N453" i="17"/>
  <c r="AM453" i="17"/>
  <c r="X471" i="17"/>
  <c r="O487" i="17"/>
  <c r="P496" i="17"/>
  <c r="AK511" i="17"/>
  <c r="AN517" i="17"/>
  <c r="P517" i="17"/>
  <c r="O517" i="17"/>
  <c r="AM517" i="17"/>
  <c r="V517" i="17"/>
  <c r="L517" i="17"/>
  <c r="S517" i="17"/>
  <c r="AF523" i="17"/>
  <c r="V523" i="17"/>
  <c r="U523" i="17"/>
  <c r="AQ523" i="17"/>
  <c r="AN523" i="17"/>
  <c r="AM523" i="17"/>
  <c r="AJ528" i="17"/>
  <c r="P528" i="17"/>
  <c r="AI528" i="17"/>
  <c r="O528" i="17"/>
  <c r="AG528" i="17"/>
  <c r="Z528" i="17"/>
  <c r="AA528" i="17"/>
  <c r="L529" i="17"/>
  <c r="AM547" i="17"/>
  <c r="V553" i="17"/>
  <c r="AR553" i="17"/>
  <c r="U553" i="17"/>
  <c r="AE553" i="17"/>
  <c r="AA553" i="17"/>
  <c r="T553" i="17"/>
  <c r="AI571" i="17"/>
  <c r="N575" i="17"/>
  <c r="AP585" i="17"/>
  <c r="AC585" i="17"/>
  <c r="O585" i="17"/>
  <c r="AB585" i="17"/>
  <c r="AR585" i="17"/>
  <c r="N585" i="17"/>
  <c r="AK585" i="17"/>
  <c r="S585" i="17"/>
  <c r="M585" i="17"/>
  <c r="AJ585" i="17"/>
  <c r="P585" i="17"/>
  <c r="AI585" i="17"/>
  <c r="AM585" i="17"/>
  <c r="S588" i="17"/>
  <c r="AJ592" i="17"/>
  <c r="AI592" i="17"/>
  <c r="O592" i="17"/>
  <c r="L592" i="17"/>
  <c r="AH592" i="17"/>
  <c r="T592" i="17"/>
  <c r="AR592" i="17"/>
  <c r="R592" i="17"/>
  <c r="K592" i="17"/>
  <c r="K597" i="17"/>
  <c r="T599" i="17"/>
  <c r="O621" i="17"/>
  <c r="U625" i="17"/>
  <c r="X635" i="17"/>
  <c r="V641" i="17"/>
  <c r="AI669" i="17"/>
  <c r="V669" i="17"/>
  <c r="K669" i="17"/>
  <c r="AR669" i="17"/>
  <c r="AD669" i="17"/>
  <c r="P669" i="17"/>
  <c r="AQ669" i="17"/>
  <c r="O669" i="17"/>
  <c r="AB669" i="17"/>
  <c r="AA669" i="17"/>
  <c r="J669" i="17"/>
  <c r="AK669" i="17"/>
  <c r="R669" i="17"/>
  <c r="AH669" i="17"/>
  <c r="AJ669" i="17"/>
  <c r="M669" i="17"/>
  <c r="L669" i="17"/>
  <c r="AN669" i="17"/>
  <c r="U669" i="17"/>
  <c r="AL669" i="17"/>
  <c r="T669" i="17"/>
  <c r="T741" i="17"/>
  <c r="AC741" i="17"/>
  <c r="AB741" i="17"/>
  <c r="P741" i="17"/>
  <c r="AE741" i="17"/>
  <c r="R741" i="17"/>
  <c r="S741" i="17"/>
  <c r="AJ741" i="17"/>
  <c r="AI741" i="17"/>
  <c r="AL743" i="17"/>
  <c r="AI749" i="17"/>
  <c r="V749" i="17"/>
  <c r="AR749" i="17"/>
  <c r="AA749" i="17"/>
  <c r="M749" i="17"/>
  <c r="Z749" i="17"/>
  <c r="AQ749" i="17"/>
  <c r="K749" i="17"/>
  <c r="AJ749" i="17"/>
  <c r="O749" i="17"/>
  <c r="W749" i="17"/>
  <c r="P749" i="17"/>
  <c r="R749" i="17"/>
  <c r="AL749" i="17"/>
  <c r="AB749" i="17"/>
  <c r="X749" i="17"/>
  <c r="AJ801" i="17"/>
  <c r="T829" i="17"/>
  <c r="Z836" i="17"/>
  <c r="AB836" i="17"/>
  <c r="AA836" i="17"/>
  <c r="AC836" i="17"/>
  <c r="N836" i="17"/>
  <c r="K836" i="17"/>
  <c r="AJ836" i="17"/>
  <c r="L860" i="17"/>
  <c r="AO1098" i="17"/>
  <c r="Y1098" i="17"/>
  <c r="V1098" i="17"/>
  <c r="U1098" i="17"/>
  <c r="AB1098" i="17"/>
  <c r="T1098" i="17"/>
  <c r="AK1229" i="17"/>
  <c r="AD1244" i="17"/>
  <c r="AC1244" i="17"/>
  <c r="V1244" i="17"/>
  <c r="AK1244" i="17"/>
  <c r="W1341" i="17"/>
  <c r="O1363" i="17"/>
  <c r="AJ1390" i="17"/>
  <c r="T1390" i="17"/>
  <c r="AF1390" i="17"/>
  <c r="S1390" i="17"/>
  <c r="AL1390" i="17"/>
  <c r="P1390" i="17"/>
  <c r="AM1390" i="17"/>
  <c r="O1390" i="17"/>
  <c r="AK1390" i="17"/>
  <c r="N1390" i="17"/>
  <c r="W1390" i="17"/>
  <c r="AR1390" i="17"/>
  <c r="M1390" i="17"/>
  <c r="AN1390" i="17"/>
  <c r="L1390" i="17"/>
  <c r="AD1390" i="17"/>
  <c r="AB1390" i="17"/>
  <c r="AC1390" i="17"/>
  <c r="AL1426" i="17"/>
  <c r="M1432" i="17"/>
  <c r="AQ1459" i="17"/>
  <c r="S1492" i="17"/>
  <c r="AP1606" i="17"/>
  <c r="AD1606" i="17"/>
  <c r="R1606" i="17"/>
  <c r="AN1606" i="17"/>
  <c r="AB1606" i="17"/>
  <c r="P1606" i="17"/>
  <c r="AE1606" i="17"/>
  <c r="M1606" i="17"/>
  <c r="AA1606" i="17"/>
  <c r="L1606" i="17"/>
  <c r="AR1606" i="17"/>
  <c r="V1606" i="17"/>
  <c r="W1606" i="17"/>
  <c r="U1606" i="17"/>
  <c r="Z1606" i="17"/>
  <c r="T1606" i="17"/>
  <c r="N1606" i="17"/>
  <c r="AI1606" i="17"/>
  <c r="AF1606" i="17"/>
  <c r="K1606" i="17"/>
  <c r="AK1606" i="17"/>
  <c r="AJ1606" i="17"/>
  <c r="AO1622" i="17"/>
  <c r="AD1622" i="17"/>
  <c r="J1622" i="17"/>
  <c r="AG1622" i="17"/>
  <c r="P1622" i="17"/>
  <c r="AF1622" i="17"/>
  <c r="K1622" i="17"/>
  <c r="V1622" i="17"/>
  <c r="S1622" i="17"/>
  <c r="AL1622" i="17"/>
  <c r="AP1622" i="17"/>
  <c r="AN1622" i="17"/>
  <c r="AE1622" i="17"/>
  <c r="AA1622" i="17"/>
  <c r="R1622" i="17"/>
  <c r="J1668" i="17"/>
  <c r="AD1668" i="17"/>
  <c r="AA1668" i="17"/>
  <c r="AE1668" i="17"/>
  <c r="AN1668" i="17"/>
  <c r="K1695" i="17"/>
  <c r="X7" i="17"/>
  <c r="R34" i="17"/>
  <c r="AP34" i="17" s="1"/>
  <c r="V37" i="17"/>
  <c r="X37" i="17"/>
  <c r="U37" i="17"/>
  <c r="W37" i="17"/>
  <c r="M45" i="17"/>
  <c r="AB45" i="17"/>
  <c r="W45" i="17"/>
  <c r="T45" i="17"/>
  <c r="M49" i="17"/>
  <c r="AE49" i="17" s="1"/>
  <c r="AA63" i="17"/>
  <c r="L116" i="17"/>
  <c r="AA129" i="17"/>
  <c r="M137" i="17"/>
  <c r="AE137" i="17" s="1"/>
  <c r="X137" i="17"/>
  <c r="W137" i="17"/>
  <c r="U139" i="17"/>
  <c r="AH139" i="17" s="1"/>
  <c r="K143" i="17"/>
  <c r="J192" i="17"/>
  <c r="Y218" i="17"/>
  <c r="AI222" i="17"/>
  <c r="O225" i="17"/>
  <c r="AR225" i="17"/>
  <c r="V233" i="17"/>
  <c r="U233" i="17"/>
  <c r="AN233" i="17"/>
  <c r="AM233" i="17"/>
  <c r="AL233" i="17"/>
  <c r="AI235" i="17"/>
  <c r="S235" i="17"/>
  <c r="AF235" i="17"/>
  <c r="P235" i="17"/>
  <c r="U235" i="17"/>
  <c r="M235" i="17"/>
  <c r="AR235" i="17"/>
  <c r="T235" i="17"/>
  <c r="AQ235" i="17"/>
  <c r="K239" i="17"/>
  <c r="AC241" i="17"/>
  <c r="U241" i="17"/>
  <c r="T241" i="17"/>
  <c r="AN241" i="17"/>
  <c r="AQ241" i="17"/>
  <c r="AD253" i="17"/>
  <c r="S269" i="17"/>
  <c r="U273" i="17"/>
  <c r="T273" i="17"/>
  <c r="W273" i="17"/>
  <c r="V273" i="17"/>
  <c r="S273" i="17"/>
  <c r="S288" i="17"/>
  <c r="R288" i="17"/>
  <c r="AN288" i="17"/>
  <c r="AF288" i="17"/>
  <c r="L288" i="17"/>
  <c r="S293" i="17"/>
  <c r="AC313" i="17"/>
  <c r="AN313" i="17"/>
  <c r="AM313" i="17"/>
  <c r="W313" i="17"/>
  <c r="V313" i="17"/>
  <c r="U313" i="17"/>
  <c r="AD315" i="17"/>
  <c r="AM317" i="17"/>
  <c r="L327" i="17"/>
  <c r="AR343" i="17"/>
  <c r="AM343" i="17"/>
  <c r="W343" i="17"/>
  <c r="AJ343" i="17"/>
  <c r="R343" i="17"/>
  <c r="AI343" i="17"/>
  <c r="N343" i="17"/>
  <c r="AD343" i="17"/>
  <c r="AE343" i="17"/>
  <c r="M343" i="17"/>
  <c r="L343" i="17"/>
  <c r="AQ343" i="17"/>
  <c r="AM385" i="17"/>
  <c r="AL391" i="17"/>
  <c r="W400" i="17"/>
  <c r="T400" i="17"/>
  <c r="AQ400" i="17"/>
  <c r="AP400" i="17"/>
  <c r="AN400" i="17"/>
  <c r="O409" i="17"/>
  <c r="AR409" i="17"/>
  <c r="V423" i="17"/>
  <c r="Y430" i="17"/>
  <c r="AI449" i="17"/>
  <c r="L453" i="17"/>
  <c r="AA471" i="17"/>
  <c r="AQ496" i="17"/>
  <c r="AP507" i="17"/>
  <c r="AL507" i="17"/>
  <c r="AA507" i="17"/>
  <c r="N507" i="17"/>
  <c r="X507" i="17"/>
  <c r="AK507" i="17"/>
  <c r="M507" i="17"/>
  <c r="AM507" i="17"/>
  <c r="V507" i="17"/>
  <c r="AI507" i="17"/>
  <c r="S507" i="17"/>
  <c r="AJ507" i="17"/>
  <c r="U507" i="17"/>
  <c r="AE507" i="17"/>
  <c r="AA517" i="17"/>
  <c r="AN537" i="17"/>
  <c r="T537" i="17"/>
  <c r="AK537" i="17"/>
  <c r="S537" i="17"/>
  <c r="P537" i="17"/>
  <c r="N537" i="17"/>
  <c r="AQ537" i="17"/>
  <c r="O537" i="17"/>
  <c r="AJ537" i="17"/>
  <c r="AN547" i="17"/>
  <c r="AR575" i="17"/>
  <c r="S597" i="17"/>
  <c r="U599" i="17"/>
  <c r="AL608" i="17"/>
  <c r="AH608" i="17"/>
  <c r="AI608" i="17"/>
  <c r="AO613" i="17"/>
  <c r="AI613" i="17"/>
  <c r="X613" i="17"/>
  <c r="N613" i="17"/>
  <c r="AR613" i="17"/>
  <c r="W613" i="17"/>
  <c r="AH613" i="17"/>
  <c r="M613" i="17"/>
  <c r="AN613" i="17"/>
  <c r="AB613" i="17"/>
  <c r="L613" i="17"/>
  <c r="V613" i="17"/>
  <c r="AM613" i="17"/>
  <c r="Z613" i="17"/>
  <c r="K613" i="17"/>
  <c r="AL613" i="17"/>
  <c r="J613" i="17"/>
  <c r="AE613" i="17"/>
  <c r="AO623" i="17"/>
  <c r="AK623" i="17"/>
  <c r="Z623" i="17"/>
  <c r="O623" i="17"/>
  <c r="AI623" i="17"/>
  <c r="N623" i="17"/>
  <c r="X623" i="17"/>
  <c r="AP623" i="17"/>
  <c r="AC623" i="17"/>
  <c r="M623" i="17"/>
  <c r="AM623" i="17"/>
  <c r="K623" i="17"/>
  <c r="AN623" i="17"/>
  <c r="AB623" i="17"/>
  <c r="L623" i="17"/>
  <c r="W623" i="17"/>
  <c r="AG656" i="17"/>
  <c r="Y656" i="17"/>
  <c r="O656" i="17"/>
  <c r="AF656" i="17"/>
  <c r="W656" i="17"/>
  <c r="AE656" i="17"/>
  <c r="Z664" i="17"/>
  <c r="V664" i="17"/>
  <c r="AM743" i="17"/>
  <c r="AK860" i="17"/>
  <c r="L878" i="17"/>
  <c r="AL988" i="17"/>
  <c r="N988" i="17"/>
  <c r="AK988" i="17"/>
  <c r="M988" i="17"/>
  <c r="AC988" i="17"/>
  <c r="AN988" i="17"/>
  <c r="AH988" i="17"/>
  <c r="T988" i="17"/>
  <c r="AO988" i="17"/>
  <c r="Y988" i="17"/>
  <c r="U988" i="17"/>
  <c r="AF993" i="17"/>
  <c r="O1059" i="17"/>
  <c r="AD1076" i="17"/>
  <c r="N1076" i="17"/>
  <c r="AR1076" i="17"/>
  <c r="AB1076" i="17"/>
  <c r="L1076" i="17"/>
  <c r="AJ1076" i="17"/>
  <c r="Q1076" i="17"/>
  <c r="AA1076" i="17"/>
  <c r="Y1076" i="17"/>
  <c r="V1076" i="17"/>
  <c r="T1076" i="17"/>
  <c r="R1076" i="17"/>
  <c r="K1076" i="17"/>
  <c r="AH1076" i="17"/>
  <c r="AG1076" i="17"/>
  <c r="AP1098" i="17"/>
  <c r="AB1371" i="17"/>
  <c r="T1371" i="17"/>
  <c r="AC1448" i="17"/>
  <c r="AP1450" i="17"/>
  <c r="AC1450" i="17"/>
  <c r="P1450" i="17"/>
  <c r="AM1450" i="17"/>
  <c r="AA1450" i="17"/>
  <c r="O1450" i="17"/>
  <c r="AE1450" i="17"/>
  <c r="M1450" i="17"/>
  <c r="AQ1450" i="17"/>
  <c r="W1450" i="17"/>
  <c r="AL1450" i="17"/>
  <c r="V1450" i="17"/>
  <c r="AJ1450" i="17"/>
  <c r="N1450" i="17"/>
  <c r="AI1450" i="17"/>
  <c r="L1450" i="17"/>
  <c r="AH1450" i="17"/>
  <c r="K1450" i="17"/>
  <c r="Z1450" i="17"/>
  <c r="X1450" i="17"/>
  <c r="U1450" i="17"/>
  <c r="AR1450" i="17"/>
  <c r="AF1450" i="17"/>
  <c r="W1478" i="17"/>
  <c r="V1478" i="17"/>
  <c r="T1478" i="17"/>
  <c r="P1478" i="17"/>
  <c r="AJ1478" i="17"/>
  <c r="AF1478" i="17"/>
  <c r="U1478" i="17"/>
  <c r="AN1478" i="17"/>
  <c r="AK1478" i="17"/>
  <c r="AI1478" i="17"/>
  <c r="J1606" i="17"/>
  <c r="AI1679" i="17"/>
  <c r="M1679" i="17"/>
  <c r="AJ1679" i="17"/>
  <c r="L1679" i="17"/>
  <c r="AE1679" i="17"/>
  <c r="K1679" i="17"/>
  <c r="AC1679" i="17"/>
  <c r="Z1679" i="17"/>
  <c r="S1679" i="17"/>
  <c r="U1679" i="17"/>
  <c r="R1679" i="17"/>
  <c r="AQ1679" i="17"/>
  <c r="AR1679" i="17"/>
  <c r="L6" i="17"/>
  <c r="T6" i="17"/>
  <c r="K7" i="17"/>
  <c r="K8" i="17"/>
  <c r="AB15" i="17"/>
  <c r="X26" i="17"/>
  <c r="W34" i="17"/>
  <c r="AA37" i="17"/>
  <c r="K40" i="17"/>
  <c r="Y40" i="17"/>
  <c r="U49" i="17"/>
  <c r="AH49" i="17" s="1"/>
  <c r="X52" i="17"/>
  <c r="AB58" i="17"/>
  <c r="Q60" i="17"/>
  <c r="T61" i="17"/>
  <c r="V61" i="17"/>
  <c r="M61" i="17"/>
  <c r="AD61" i="17" s="1"/>
  <c r="U61" i="17"/>
  <c r="AH61" i="17" s="1"/>
  <c r="W69" i="17"/>
  <c r="N69" i="17"/>
  <c r="M69" i="17"/>
  <c r="W86" i="17"/>
  <c r="X93" i="17"/>
  <c r="AB93" i="17"/>
  <c r="W93" i="17"/>
  <c r="U93" i="17"/>
  <c r="AQ93" i="17" s="1"/>
  <c r="V93" i="17"/>
  <c r="AA95" i="17"/>
  <c r="K105" i="17"/>
  <c r="W113" i="17"/>
  <c r="K114" i="17"/>
  <c r="R116" i="17"/>
  <c r="AG116" i="17" s="1"/>
  <c r="T116" i="17"/>
  <c r="AB129" i="17"/>
  <c r="N133" i="17"/>
  <c r="M133" i="17"/>
  <c r="AB133" i="17"/>
  <c r="AA133" i="17"/>
  <c r="X133" i="17"/>
  <c r="AA137" i="17"/>
  <c r="U153" i="17"/>
  <c r="AH153" i="17" s="1"/>
  <c r="L153" i="17"/>
  <c r="T153" i="17"/>
  <c r="AB168" i="17"/>
  <c r="Z168" i="17"/>
  <c r="Y170" i="17"/>
  <c r="X170" i="17"/>
  <c r="AB170" i="17"/>
  <c r="AB172" i="17"/>
  <c r="X172" i="17"/>
  <c r="AA172" i="17"/>
  <c r="AN185" i="17"/>
  <c r="W185" i="17"/>
  <c r="AM185" i="17"/>
  <c r="P185" i="17"/>
  <c r="AC185" i="17"/>
  <c r="X185" i="17"/>
  <c r="AA185" i="17"/>
  <c r="AR189" i="17"/>
  <c r="AQ189" i="17"/>
  <c r="W195" i="17"/>
  <c r="AQ203" i="17"/>
  <c r="U203" i="17"/>
  <c r="AN203" i="17"/>
  <c r="T203" i="17"/>
  <c r="AB203" i="17"/>
  <c r="AR203" i="17"/>
  <c r="P203" i="17"/>
  <c r="S203" i="17"/>
  <c r="V211" i="17"/>
  <c r="AH214" i="17"/>
  <c r="U217" i="17"/>
  <c r="V225" i="17"/>
  <c r="M233" i="17"/>
  <c r="L235" i="17"/>
  <c r="V241" i="17"/>
  <c r="AD267" i="17"/>
  <c r="W267" i="17"/>
  <c r="V267" i="17"/>
  <c r="AQ267" i="17"/>
  <c r="AK267" i="17"/>
  <c r="AN267" i="17"/>
  <c r="T269" i="17"/>
  <c r="AI273" i="17"/>
  <c r="AO288" i="17"/>
  <c r="AQ306" i="17"/>
  <c r="X306" i="17"/>
  <c r="T313" i="17"/>
  <c r="AI315" i="17"/>
  <c r="AN317" i="17"/>
  <c r="W327" i="17"/>
  <c r="AJ337" i="17"/>
  <c r="O343" i="17"/>
  <c r="AO344" i="17"/>
  <c r="AI344" i="17"/>
  <c r="O368" i="17"/>
  <c r="AE386" i="17"/>
  <c r="Y386" i="17"/>
  <c r="V391" i="17"/>
  <c r="AM392" i="17"/>
  <c r="Z392" i="17"/>
  <c r="Y392" i="17"/>
  <c r="AO392" i="17"/>
  <c r="AN392" i="17"/>
  <c r="AJ392" i="17"/>
  <c r="AF395" i="17"/>
  <c r="AR395" i="17"/>
  <c r="AQ395" i="17"/>
  <c r="AA395" i="17"/>
  <c r="V395" i="17"/>
  <c r="P400" i="17"/>
  <c r="Z422" i="17"/>
  <c r="Q422" i="17"/>
  <c r="AB422" i="17"/>
  <c r="O422" i="17"/>
  <c r="AA422" i="17"/>
  <c r="AJ431" i="17"/>
  <c r="AC431" i="17"/>
  <c r="T431" i="17"/>
  <c r="P431" i="17"/>
  <c r="S431" i="17"/>
  <c r="Z436" i="17"/>
  <c r="Y436" i="17"/>
  <c r="M453" i="17"/>
  <c r="L457" i="17"/>
  <c r="AK477" i="17"/>
  <c r="AI477" i="17"/>
  <c r="O477" i="17"/>
  <c r="N477" i="17"/>
  <c r="AD477" i="17"/>
  <c r="AA477" i="17"/>
  <c r="S477" i="17"/>
  <c r="T477" i="17"/>
  <c r="AO486" i="17"/>
  <c r="AI486" i="17"/>
  <c r="AE486" i="17"/>
  <c r="X496" i="17"/>
  <c r="K507" i="17"/>
  <c r="AF507" i="17"/>
  <c r="AJ509" i="17"/>
  <c r="AD517" i="17"/>
  <c r="Z520" i="17"/>
  <c r="AJ520" i="17"/>
  <c r="AN524" i="17"/>
  <c r="T524" i="17"/>
  <c r="S524" i="17"/>
  <c r="AO524" i="17"/>
  <c r="L528" i="17"/>
  <c r="AI529" i="17"/>
  <c r="AQ535" i="17"/>
  <c r="AK535" i="17"/>
  <c r="M535" i="17"/>
  <c r="AJ535" i="17"/>
  <c r="L535" i="17"/>
  <c r="AA535" i="17"/>
  <c r="V535" i="17"/>
  <c r="O535" i="17"/>
  <c r="U537" i="17"/>
  <c r="AD545" i="17"/>
  <c r="M545" i="17"/>
  <c r="AC545" i="17"/>
  <c r="AR545" i="17"/>
  <c r="L545" i="17"/>
  <c r="AQ545" i="17"/>
  <c r="U545" i="17"/>
  <c r="AM545" i="17"/>
  <c r="AN545" i="17"/>
  <c r="T545" i="17"/>
  <c r="S545" i="17"/>
  <c r="N553" i="17"/>
  <c r="AP563" i="17"/>
  <c r="AR563" i="17"/>
  <c r="AE563" i="17"/>
  <c r="S563" i="17"/>
  <c r="AQ563" i="17"/>
  <c r="P563" i="17"/>
  <c r="AC563" i="17"/>
  <c r="AJ563" i="17"/>
  <c r="U563" i="17"/>
  <c r="AF563" i="17"/>
  <c r="AI563" i="17"/>
  <c r="O563" i="17"/>
  <c r="N563" i="17"/>
  <c r="AB563" i="17"/>
  <c r="AJ568" i="17"/>
  <c r="AN573" i="17"/>
  <c r="W576" i="17"/>
  <c r="T576" i="17"/>
  <c r="AJ576" i="17"/>
  <c r="Y576" i="17"/>
  <c r="X576" i="17"/>
  <c r="AL583" i="17"/>
  <c r="AI583" i="17"/>
  <c r="W583" i="17"/>
  <c r="V583" i="17"/>
  <c r="U583" i="17"/>
  <c r="V585" i="17"/>
  <c r="AI589" i="17"/>
  <c r="AM589" i="17"/>
  <c r="S589" i="17"/>
  <c r="AF589" i="17"/>
  <c r="P589" i="17"/>
  <c r="AB589" i="17"/>
  <c r="T589" i="17"/>
  <c r="W589" i="17"/>
  <c r="AR589" i="17"/>
  <c r="AQ589" i="17"/>
  <c r="Y592" i="17"/>
  <c r="AO608" i="17"/>
  <c r="O613" i="17"/>
  <c r="AF613" i="17"/>
  <c r="J623" i="17"/>
  <c r="AF623" i="17"/>
  <c r="N656" i="17"/>
  <c r="Z660" i="17"/>
  <c r="Y660" i="17"/>
  <c r="X660" i="17"/>
  <c r="AM660" i="17"/>
  <c r="Q660" i="17"/>
  <c r="W660" i="17"/>
  <c r="AQ660" i="17"/>
  <c r="AN660" i="17"/>
  <c r="Q664" i="17"/>
  <c r="Z669" i="17"/>
  <c r="AL709" i="17"/>
  <c r="AA709" i="17"/>
  <c r="N709" i="17"/>
  <c r="AR709" i="17"/>
  <c r="AD709" i="17"/>
  <c r="P709" i="17"/>
  <c r="AB709" i="17"/>
  <c r="AP709" i="17"/>
  <c r="M709" i="17"/>
  <c r="AN709" i="17"/>
  <c r="V709" i="17"/>
  <c r="AJ709" i="17"/>
  <c r="R709" i="17"/>
  <c r="K709" i="17"/>
  <c r="AI709" i="17"/>
  <c r="L709" i="17"/>
  <c r="AF709" i="17"/>
  <c r="U709" i="17"/>
  <c r="AK709" i="17"/>
  <c r="T709" i="17"/>
  <c r="AJ715" i="17"/>
  <c r="AM715" i="17"/>
  <c r="S715" i="17"/>
  <c r="Z715" i="17"/>
  <c r="R715" i="17"/>
  <c r="AR715" i="17"/>
  <c r="P715" i="17"/>
  <c r="AA715" i="17"/>
  <c r="N715" i="17"/>
  <c r="M715" i="17"/>
  <c r="AC715" i="17"/>
  <c r="AB715" i="17"/>
  <c r="AP741" i="17"/>
  <c r="AQ743" i="17"/>
  <c r="AF749" i="17"/>
  <c r="AH755" i="17"/>
  <c r="R755" i="17"/>
  <c r="AK755" i="17"/>
  <c r="V755" i="17"/>
  <c r="AJ755" i="17"/>
  <c r="U755" i="17"/>
  <c r="Z755" i="17"/>
  <c r="AQ755" i="17"/>
  <c r="O755" i="17"/>
  <c r="AI755" i="17"/>
  <c r="AL755" i="17"/>
  <c r="M755" i="17"/>
  <c r="L755" i="17"/>
  <c r="X755" i="17"/>
  <c r="AR755" i="17"/>
  <c r="P755" i="17"/>
  <c r="AC761" i="17"/>
  <c r="N761" i="17"/>
  <c r="AD761" i="17"/>
  <c r="K761" i="17"/>
  <c r="AB761" i="17"/>
  <c r="J761" i="17"/>
  <c r="AP761" i="17"/>
  <c r="T761" i="17"/>
  <c r="S761" i="17"/>
  <c r="O761" i="17"/>
  <c r="AN761" i="17"/>
  <c r="R761" i="17"/>
  <c r="AM761" i="17"/>
  <c r="AA761" i="17"/>
  <c r="X761" i="17"/>
  <c r="AN809" i="17"/>
  <c r="T809" i="17"/>
  <c r="AC809" i="17"/>
  <c r="U809" i="17"/>
  <c r="Q809" i="17"/>
  <c r="AE809" i="17"/>
  <c r="R809" i="17"/>
  <c r="L809" i="17"/>
  <c r="AJ809" i="17"/>
  <c r="AF809" i="17"/>
  <c r="AL860" i="17"/>
  <c r="AK883" i="17"/>
  <c r="AJ883" i="17"/>
  <c r="R883" i="17"/>
  <c r="AC883" i="17"/>
  <c r="N883" i="17"/>
  <c r="AP883" i="17"/>
  <c r="T883" i="17"/>
  <c r="AO883" i="17"/>
  <c r="Q883" i="17"/>
  <c r="AL883" i="17"/>
  <c r="J883" i="17"/>
  <c r="AB883" i="17"/>
  <c r="Z883" i="17"/>
  <c r="Y883" i="17"/>
  <c r="AG883" i="17"/>
  <c r="AF883" i="17"/>
  <c r="AP976" i="17"/>
  <c r="U976" i="17"/>
  <c r="AO976" i="17"/>
  <c r="Q976" i="17"/>
  <c r="Z976" i="17"/>
  <c r="Y976" i="17"/>
  <c r="P976" i="17"/>
  <c r="AD976" i="17"/>
  <c r="AF976" i="17"/>
  <c r="N976" i="17"/>
  <c r="M976" i="17"/>
  <c r="AN976" i="17"/>
  <c r="AG976" i="17"/>
  <c r="J988" i="17"/>
  <c r="J1029" i="17"/>
  <c r="AH1029" i="17"/>
  <c r="J1076" i="17"/>
  <c r="AK1176" i="17"/>
  <c r="AO1176" i="17"/>
  <c r="U1176" i="17"/>
  <c r="Z1198" i="17"/>
  <c r="U1244" i="17"/>
  <c r="AG1280" i="17"/>
  <c r="Q1280" i="17"/>
  <c r="AD1280" i="17"/>
  <c r="N1280" i="17"/>
  <c r="AI1280" i="17"/>
  <c r="L1280" i="17"/>
  <c r="AA1280" i="17"/>
  <c r="Z1280" i="17"/>
  <c r="AK1280" i="17"/>
  <c r="AB1280" i="17"/>
  <c r="Y1280" i="17"/>
  <c r="R1280" i="17"/>
  <c r="M1280" i="17"/>
  <c r="K1280" i="17"/>
  <c r="AL1280" i="17"/>
  <c r="T1280" i="17"/>
  <c r="AQ1372" i="17"/>
  <c r="AN1372" i="17"/>
  <c r="O1372" i="17"/>
  <c r="AL1372" i="17"/>
  <c r="N1372" i="17"/>
  <c r="L1372" i="17"/>
  <c r="AJ1372" i="17"/>
  <c r="AI1372" i="17"/>
  <c r="AB1372" i="17"/>
  <c r="V1372" i="17"/>
  <c r="U1372" i="17"/>
  <c r="AD1372" i="17"/>
  <c r="AA1390" i="17"/>
  <c r="AL1412" i="17"/>
  <c r="T1412" i="17"/>
  <c r="AJ1412" i="17"/>
  <c r="P1412" i="17"/>
  <c r="AF1412" i="17"/>
  <c r="AE1412" i="17"/>
  <c r="W1412" i="17"/>
  <c r="AI1412" i="17"/>
  <c r="V1412" i="17"/>
  <c r="U1412" i="17"/>
  <c r="AR1412" i="17"/>
  <c r="R1450" i="17"/>
  <c r="L1478" i="17"/>
  <c r="AL1606" i="17"/>
  <c r="AQ1622" i="17"/>
  <c r="AO1625" i="17"/>
  <c r="AL1625" i="17"/>
  <c r="AA1625" i="17"/>
  <c r="N1625" i="17"/>
  <c r="AK1625" i="17"/>
  <c r="W1625" i="17"/>
  <c r="K1625" i="17"/>
  <c r="AJ1625" i="17"/>
  <c r="V1625" i="17"/>
  <c r="J1625" i="17"/>
  <c r="AE1625" i="17"/>
  <c r="M1625" i="17"/>
  <c r="AD1625" i="17"/>
  <c r="L1625" i="17"/>
  <c r="Z1625" i="17"/>
  <c r="AI1625" i="17"/>
  <c r="AH1625" i="17"/>
  <c r="AQ1625" i="17"/>
  <c r="AP1625" i="17"/>
  <c r="AB1625" i="17"/>
  <c r="T1625" i="17"/>
  <c r="R1625" i="17"/>
  <c r="O1625" i="17"/>
  <c r="AR1625" i="17"/>
  <c r="U1625" i="17"/>
  <c r="AK1663" i="17"/>
  <c r="U1663" i="17"/>
  <c r="AH1663" i="17"/>
  <c r="L1663" i="17"/>
  <c r="AE1663" i="17"/>
  <c r="K1663" i="17"/>
  <c r="Z1663" i="17"/>
  <c r="V1663" i="17"/>
  <c r="N1663" i="17"/>
  <c r="AB1663" i="17"/>
  <c r="S1663" i="17"/>
  <c r="AR1663" i="17"/>
  <c r="AJ1663" i="17"/>
  <c r="AI1663" i="17"/>
  <c r="AD1679" i="17"/>
  <c r="AI1760" i="17"/>
  <c r="AG1760" i="17"/>
  <c r="AJ1760" i="17"/>
  <c r="AA1760" i="17"/>
  <c r="AP1773" i="17"/>
  <c r="AQ1773" i="17"/>
  <c r="AC1773" i="17"/>
  <c r="P1773" i="17"/>
  <c r="AF1773" i="17"/>
  <c r="S1773" i="17"/>
  <c r="AE1773" i="17"/>
  <c r="O1773" i="17"/>
  <c r="AK1773" i="17"/>
  <c r="U1773" i="17"/>
  <c r="AJ1773" i="17"/>
  <c r="N1773" i="17"/>
  <c r="AA1773" i="17"/>
  <c r="X1773" i="17"/>
  <c r="AM1773" i="17"/>
  <c r="K1773" i="17"/>
  <c r="AB1773" i="17"/>
  <c r="W1773" i="17"/>
  <c r="AI1773" i="17"/>
  <c r="V1773" i="17"/>
  <c r="M1773" i="17"/>
  <c r="AR1773" i="17"/>
  <c r="AL1773" i="17"/>
  <c r="S25" i="17"/>
  <c r="W25" i="17"/>
  <c r="U25" i="17"/>
  <c r="V25" i="17"/>
  <c r="X87" i="17"/>
  <c r="U87" i="17"/>
  <c r="AQ87" i="17" s="1"/>
  <c r="T87" i="17"/>
  <c r="M87" i="17"/>
  <c r="AD87" i="17" s="1"/>
  <c r="AB107" i="17"/>
  <c r="W107" i="17"/>
  <c r="L107" i="17"/>
  <c r="V107" i="17"/>
  <c r="S117" i="17"/>
  <c r="N117" i="17"/>
  <c r="V117" i="17"/>
  <c r="U117" i="17"/>
  <c r="AQ117" i="17" s="1"/>
  <c r="T117" i="17"/>
  <c r="AI206" i="17"/>
  <c r="AE206" i="17"/>
  <c r="AM206" i="17"/>
  <c r="AM279" i="17"/>
  <c r="T279" i="17"/>
  <c r="AL279" i="17"/>
  <c r="S279" i="17"/>
  <c r="AF279" i="17"/>
  <c r="W279" i="17"/>
  <c r="AE279" i="17"/>
  <c r="AJ300" i="17"/>
  <c r="S300" i="17"/>
  <c r="AC311" i="17"/>
  <c r="X311" i="17"/>
  <c r="W311" i="17"/>
  <c r="AM311" i="17"/>
  <c r="AL311" i="17"/>
  <c r="AA311" i="17"/>
  <c r="AG482" i="17"/>
  <c r="AB482" i="17"/>
  <c r="Y482" i="17"/>
  <c r="AR482" i="17"/>
  <c r="X482" i="17"/>
  <c r="AI482" i="17"/>
  <c r="AN503" i="17"/>
  <c r="AB503" i="17"/>
  <c r="X503" i="17"/>
  <c r="AA503" i="17"/>
  <c r="AA511" i="17"/>
  <c r="V511" i="17"/>
  <c r="U511" i="17"/>
  <c r="S511" i="17"/>
  <c r="AM511" i="17"/>
  <c r="AN511" i="17"/>
  <c r="L511" i="17"/>
  <c r="K511" i="17"/>
  <c r="AH574" i="17"/>
  <c r="T574" i="17"/>
  <c r="S574" i="17"/>
  <c r="AO574" i="17"/>
  <c r="X574" i="17"/>
  <c r="W574" i="17"/>
  <c r="AH621" i="17"/>
  <c r="R621" i="17"/>
  <c r="AF621" i="17"/>
  <c r="P621" i="17"/>
  <c r="AQ621" i="17"/>
  <c r="X621" i="17"/>
  <c r="AL621" i="17"/>
  <c r="W621" i="17"/>
  <c r="AK621" i="17"/>
  <c r="V621" i="17"/>
  <c r="AI621" i="17"/>
  <c r="Z670" i="17"/>
  <c r="AA670" i="17"/>
  <c r="AL838" i="17"/>
  <c r="Q838" i="17"/>
  <c r="AB838" i="17"/>
  <c r="Z838" i="17"/>
  <c r="AC838" i="17"/>
  <c r="P838" i="17"/>
  <c r="L838" i="17"/>
  <c r="AQ838" i="17"/>
  <c r="K838" i="17"/>
  <c r="Y838" i="17"/>
  <c r="R838" i="17"/>
  <c r="V906" i="17"/>
  <c r="J906" i="17"/>
  <c r="AK906" i="17"/>
  <c r="AL906" i="17"/>
  <c r="AN1002" i="17"/>
  <c r="AD1002" i="17"/>
  <c r="AC1002" i="17"/>
  <c r="Z1013" i="17"/>
  <c r="Y1013" i="17"/>
  <c r="AB1013" i="17"/>
  <c r="R1013" i="17"/>
  <c r="AD1013" i="17"/>
  <c r="K1212" i="17"/>
  <c r="AO1212" i="17"/>
  <c r="AC1212" i="17"/>
  <c r="AD1212" i="17"/>
  <c r="AB1212" i="17"/>
  <c r="J1212" i="17"/>
  <c r="L1212" i="17"/>
  <c r="AF1265" i="17"/>
  <c r="AC1265" i="17"/>
  <c r="AD1335" i="17"/>
  <c r="AC1335" i="17"/>
  <c r="AN1335" i="17"/>
  <c r="R1335" i="17"/>
  <c r="Q1335" i="17"/>
  <c r="AL1335" i="17"/>
  <c r="AF1335" i="17"/>
  <c r="J1335" i="17"/>
  <c r="O1335" i="17"/>
  <c r="U17" i="17"/>
  <c r="N25" i="17"/>
  <c r="AO32" i="17"/>
  <c r="S32" i="17"/>
  <c r="AB32" i="17"/>
  <c r="L39" i="17"/>
  <c r="M39" i="17"/>
  <c r="AD39" i="17" s="1"/>
  <c r="AL39" i="17" s="1"/>
  <c r="Y39" i="12" s="1"/>
  <c r="M59" i="17"/>
  <c r="AE59" i="17" s="1"/>
  <c r="M77" i="17"/>
  <c r="K81" i="17"/>
  <c r="AB81" i="17"/>
  <c r="U81" i="17"/>
  <c r="AQ81" i="17" s="1"/>
  <c r="T81" i="17"/>
  <c r="N85" i="17"/>
  <c r="AB85" i="17"/>
  <c r="W85" i="17"/>
  <c r="V85" i="17"/>
  <c r="V87" i="17"/>
  <c r="T97" i="17"/>
  <c r="N97" i="17"/>
  <c r="AA97" i="17"/>
  <c r="X107" i="17"/>
  <c r="W117" i="17"/>
  <c r="L121" i="17"/>
  <c r="N135" i="17"/>
  <c r="M135" i="17"/>
  <c r="AB135" i="17"/>
  <c r="X135" i="17"/>
  <c r="T138" i="17"/>
  <c r="W159" i="17"/>
  <c r="V159" i="17"/>
  <c r="N163" i="17"/>
  <c r="R206" i="17"/>
  <c r="AR212" i="17"/>
  <c r="AB212" i="17"/>
  <c r="X212" i="17"/>
  <c r="AE212" i="17"/>
  <c r="AO212" i="17"/>
  <c r="AF238" i="17"/>
  <c r="AB238" i="17"/>
  <c r="AG238" i="17"/>
  <c r="S238" i="17"/>
  <c r="O238" i="17"/>
  <c r="K279" i="17"/>
  <c r="AP287" i="17"/>
  <c r="AK287" i="17"/>
  <c r="X287" i="17"/>
  <c r="M287" i="17"/>
  <c r="L287" i="17"/>
  <c r="AJ287" i="17"/>
  <c r="W287" i="17"/>
  <c r="AI287" i="17"/>
  <c r="S287" i="17"/>
  <c r="O287" i="17"/>
  <c r="AF287" i="17"/>
  <c r="P287" i="17"/>
  <c r="AE287" i="17"/>
  <c r="AL287" i="17"/>
  <c r="N297" i="17"/>
  <c r="AM300" i="17"/>
  <c r="AA310" i="17"/>
  <c r="Z310" i="17"/>
  <c r="AG310" i="17"/>
  <c r="P310" i="17"/>
  <c r="Y310" i="17"/>
  <c r="T311" i="17"/>
  <c r="T355" i="17"/>
  <c r="S355" i="17"/>
  <c r="AK355" i="17"/>
  <c r="AJ355" i="17"/>
  <c r="AI355" i="17"/>
  <c r="AI377" i="17"/>
  <c r="R377" i="17"/>
  <c r="P377" i="17"/>
  <c r="AH377" i="17"/>
  <c r="AE377" i="17"/>
  <c r="AB377" i="17"/>
  <c r="W377" i="17"/>
  <c r="AR377" i="17"/>
  <c r="AA389" i="17"/>
  <c r="AJ389" i="17"/>
  <c r="AI389" i="17"/>
  <c r="AK389" i="17"/>
  <c r="AE389" i="17"/>
  <c r="AA406" i="17"/>
  <c r="AP423" i="17"/>
  <c r="AK423" i="17"/>
  <c r="X423" i="17"/>
  <c r="M423" i="17"/>
  <c r="AJ423" i="17"/>
  <c r="L423" i="17"/>
  <c r="W423" i="17"/>
  <c r="AI423" i="17"/>
  <c r="S423" i="17"/>
  <c r="AE423" i="17"/>
  <c r="AF423" i="17"/>
  <c r="P423" i="17"/>
  <c r="O423" i="17"/>
  <c r="AL423" i="17"/>
  <c r="AF426" i="17"/>
  <c r="R426" i="17"/>
  <c r="AP426" i="17"/>
  <c r="AB429" i="17"/>
  <c r="L429" i="17"/>
  <c r="AF429" i="17"/>
  <c r="K429" i="17"/>
  <c r="AC429" i="17"/>
  <c r="AI471" i="17"/>
  <c r="AQ471" i="17"/>
  <c r="W471" i="17"/>
  <c r="T471" i="17"/>
  <c r="AN471" i="17"/>
  <c r="AK471" i="17"/>
  <c r="M471" i="17"/>
  <c r="AE471" i="17"/>
  <c r="AF471" i="17"/>
  <c r="L471" i="17"/>
  <c r="K471" i="17"/>
  <c r="K482" i="17"/>
  <c r="AJ493" i="17"/>
  <c r="AC493" i="17"/>
  <c r="P501" i="17"/>
  <c r="T511" i="17"/>
  <c r="AI532" i="17"/>
  <c r="W547" i="17"/>
  <c r="V547" i="17"/>
  <c r="AI547" i="17"/>
  <c r="U547" i="17"/>
  <c r="T547" i="17"/>
  <c r="AE566" i="17"/>
  <c r="AA566" i="17"/>
  <c r="Z566" i="17"/>
  <c r="AO566" i="17"/>
  <c r="Q566" i="17"/>
  <c r="P566" i="17"/>
  <c r="AP574" i="17"/>
  <c r="AH588" i="17"/>
  <c r="AG588" i="17"/>
  <c r="AF588" i="17"/>
  <c r="AN588" i="17"/>
  <c r="T588" i="17"/>
  <c r="W588" i="17"/>
  <c r="X604" i="17"/>
  <c r="AN604" i="17"/>
  <c r="AR604" i="17"/>
  <c r="K621" i="17"/>
  <c r="AJ621" i="17"/>
  <c r="Y640" i="17"/>
  <c r="AG640" i="17"/>
  <c r="AE640" i="17"/>
  <c r="J640" i="17"/>
  <c r="V640" i="17"/>
  <c r="N640" i="17"/>
  <c r="O640" i="17"/>
  <c r="AO640" i="17"/>
  <c r="X640" i="17"/>
  <c r="AO648" i="17"/>
  <c r="AD648" i="17"/>
  <c r="AF659" i="17"/>
  <c r="AN659" i="17"/>
  <c r="V659" i="17"/>
  <c r="AJ659" i="17"/>
  <c r="M659" i="17"/>
  <c r="AE659" i="17"/>
  <c r="L659" i="17"/>
  <c r="AP659" i="17"/>
  <c r="K659" i="17"/>
  <c r="Z659" i="17"/>
  <c r="S659" i="17"/>
  <c r="W659" i="17"/>
  <c r="AD659" i="17"/>
  <c r="AC659" i="17"/>
  <c r="T743" i="17"/>
  <c r="Z799" i="17"/>
  <c r="AO799" i="17"/>
  <c r="AF799" i="17"/>
  <c r="AD799" i="17"/>
  <c r="M801" i="17"/>
  <c r="Y813" i="17"/>
  <c r="AD838" i="17"/>
  <c r="AN875" i="17"/>
  <c r="AK875" i="17"/>
  <c r="O875" i="17"/>
  <c r="AO875" i="17"/>
  <c r="T875" i="17"/>
  <c r="AL875" i="17"/>
  <c r="M875" i="17"/>
  <c r="AE875" i="17"/>
  <c r="L875" i="17"/>
  <c r="W875" i="17"/>
  <c r="AC875" i="17"/>
  <c r="AB875" i="17"/>
  <c r="R875" i="17"/>
  <c r="AM875" i="17"/>
  <c r="AD875" i="17"/>
  <c r="AG895" i="17"/>
  <c r="X906" i="17"/>
  <c r="AK938" i="17"/>
  <c r="X938" i="17"/>
  <c r="AD938" i="17"/>
  <c r="L938" i="17"/>
  <c r="J938" i="17"/>
  <c r="U938" i="17"/>
  <c r="AO938" i="17"/>
  <c r="V938" i="17"/>
  <c r="R938" i="17"/>
  <c r="AP938" i="17"/>
  <c r="AJ965" i="17"/>
  <c r="R965" i="17"/>
  <c r="AR965" i="17"/>
  <c r="P965" i="17"/>
  <c r="Y965" i="17"/>
  <c r="AP965" i="17"/>
  <c r="AL965" i="17"/>
  <c r="AB965" i="17"/>
  <c r="AA1002" i="17"/>
  <c r="AC1013" i="17"/>
  <c r="AA1068" i="17"/>
  <c r="U1068" i="17"/>
  <c r="AR1068" i="17"/>
  <c r="T1068" i="17"/>
  <c r="R1068" i="17"/>
  <c r="AJ1068" i="17"/>
  <c r="AH1068" i="17"/>
  <c r="AQ1068" i="17"/>
  <c r="AK1068" i="17"/>
  <c r="Y1068" i="17"/>
  <c r="M1068" i="17"/>
  <c r="AP1068" i="17"/>
  <c r="AM1265" i="17"/>
  <c r="AK1269" i="17"/>
  <c r="R1269" i="17"/>
  <c r="AH1269" i="17"/>
  <c r="Q1269" i="17"/>
  <c r="AP1269" i="17"/>
  <c r="N1269" i="17"/>
  <c r="W1269" i="17"/>
  <c r="V1269" i="17"/>
  <c r="AG1269" i="17"/>
  <c r="AF1269" i="17"/>
  <c r="AC1269" i="17"/>
  <c r="AL1269" i="17"/>
  <c r="M1269" i="17"/>
  <c r="Y1269" i="17"/>
  <c r="O1291" i="17"/>
  <c r="AK1304" i="17"/>
  <c r="T1304" i="17"/>
  <c r="AI1304" i="17"/>
  <c r="R1304" i="17"/>
  <c r="AP1304" i="17"/>
  <c r="M1304" i="17"/>
  <c r="Z1304" i="17"/>
  <c r="U1304" i="17"/>
  <c r="Q1304" i="17"/>
  <c r="K1304" i="17"/>
  <c r="J1304" i="17"/>
  <c r="AG1304" i="17"/>
  <c r="AD1304" i="17"/>
  <c r="AA1304" i="17"/>
  <c r="AR1304" i="17"/>
  <c r="AH1304" i="17"/>
  <c r="W1392" i="17"/>
  <c r="AN1392" i="17"/>
  <c r="V1392" i="17"/>
  <c r="AL1392" i="17"/>
  <c r="M1392" i="17"/>
  <c r="T1392" i="17"/>
  <c r="S1392" i="17"/>
  <c r="AK1392" i="17"/>
  <c r="AJ1392" i="17"/>
  <c r="AI1392" i="17"/>
  <c r="AF1392" i="17"/>
  <c r="AA1504" i="17"/>
  <c r="AA59" i="17"/>
  <c r="T71" i="17"/>
  <c r="AA71" i="17"/>
  <c r="W71" i="17"/>
  <c r="X71" i="17"/>
  <c r="X85" i="17"/>
  <c r="W87" i="17"/>
  <c r="M97" i="17"/>
  <c r="W103" i="17"/>
  <c r="T103" i="17"/>
  <c r="AB103" i="17"/>
  <c r="AA103" i="17"/>
  <c r="X103" i="17"/>
  <c r="AB117" i="17"/>
  <c r="V135" i="17"/>
  <c r="W139" i="17"/>
  <c r="AB139" i="17"/>
  <c r="AA139" i="17"/>
  <c r="K141" i="17"/>
  <c r="L212" i="17"/>
  <c r="AJ218" i="17"/>
  <c r="AB218" i="17"/>
  <c r="O218" i="17"/>
  <c r="AA218" i="17"/>
  <c r="AR218" i="17"/>
  <c r="L218" i="17"/>
  <c r="AN218" i="17"/>
  <c r="R218" i="17"/>
  <c r="AI218" i="17"/>
  <c r="AM218" i="17"/>
  <c r="Q218" i="17"/>
  <c r="P218" i="17"/>
  <c r="AP281" i="17"/>
  <c r="AC281" i="17"/>
  <c r="P281" i="17"/>
  <c r="AR281" i="17"/>
  <c r="O281" i="17"/>
  <c r="AB281" i="17"/>
  <c r="AL281" i="17"/>
  <c r="V281" i="17"/>
  <c r="AJ281" i="17"/>
  <c r="AK281" i="17"/>
  <c r="U281" i="17"/>
  <c r="S281" i="17"/>
  <c r="AM287" i="17"/>
  <c r="AA293" i="17"/>
  <c r="X293" i="17"/>
  <c r="AE293" i="17"/>
  <c r="U293" i="17"/>
  <c r="T293" i="17"/>
  <c r="AN300" i="17"/>
  <c r="K310" i="17"/>
  <c r="AR349" i="17"/>
  <c r="AC349" i="17"/>
  <c r="M349" i="17"/>
  <c r="L349" i="17"/>
  <c r="AB349" i="17"/>
  <c r="Z349" i="17"/>
  <c r="U349" i="17"/>
  <c r="AN349" i="17"/>
  <c r="V349" i="17"/>
  <c r="AM349" i="17"/>
  <c r="AK349" i="17"/>
  <c r="AG374" i="17"/>
  <c r="W374" i="17"/>
  <c r="T374" i="17"/>
  <c r="AE374" i="17"/>
  <c r="S374" i="17"/>
  <c r="K374" i="17"/>
  <c r="M389" i="17"/>
  <c r="AH391" i="17"/>
  <c r="K423" i="17"/>
  <c r="Q426" i="17"/>
  <c r="AR449" i="17"/>
  <c r="T449" i="17"/>
  <c r="S449" i="17"/>
  <c r="AM449" i="17"/>
  <c r="AF449" i="17"/>
  <c r="V449" i="17"/>
  <c r="W449" i="17"/>
  <c r="P482" i="17"/>
  <c r="AP487" i="17"/>
  <c r="AR487" i="17"/>
  <c r="AE487" i="17"/>
  <c r="S487" i="17"/>
  <c r="AC487" i="17"/>
  <c r="AQ487" i="17"/>
  <c r="P487" i="17"/>
  <c r="AB487" i="17"/>
  <c r="M487" i="17"/>
  <c r="AM487" i="17"/>
  <c r="K487" i="17"/>
  <c r="AA487" i="17"/>
  <c r="L487" i="17"/>
  <c r="X487" i="17"/>
  <c r="M493" i="17"/>
  <c r="U501" i="17"/>
  <c r="AE511" i="17"/>
  <c r="AJ532" i="17"/>
  <c r="AH564" i="17"/>
  <c r="AR564" i="17"/>
  <c r="AP575" i="17"/>
  <c r="AK575" i="17"/>
  <c r="X575" i="17"/>
  <c r="M575" i="17"/>
  <c r="AJ575" i="17"/>
  <c r="W575" i="17"/>
  <c r="L575" i="17"/>
  <c r="AL575" i="17"/>
  <c r="U575" i="17"/>
  <c r="AF575" i="17"/>
  <c r="AI575" i="17"/>
  <c r="S575" i="17"/>
  <c r="P575" i="17"/>
  <c r="AK577" i="17"/>
  <c r="AD577" i="17"/>
  <c r="L577" i="17"/>
  <c r="AC577" i="17"/>
  <c r="K577" i="17"/>
  <c r="AA577" i="17"/>
  <c r="AQ577" i="17"/>
  <c r="AR577" i="17"/>
  <c r="T577" i="17"/>
  <c r="S577" i="17"/>
  <c r="AK597" i="17"/>
  <c r="AJ597" i="17"/>
  <c r="R597" i="17"/>
  <c r="L597" i="17"/>
  <c r="AF597" i="17"/>
  <c r="AC597" i="17"/>
  <c r="T597" i="17"/>
  <c r="W597" i="17"/>
  <c r="AO599" i="17"/>
  <c r="AN599" i="17"/>
  <c r="AC599" i="17"/>
  <c r="O599" i="17"/>
  <c r="AM599" i="17"/>
  <c r="N599" i="17"/>
  <c r="Z599" i="17"/>
  <c r="AE599" i="17"/>
  <c r="M599" i="17"/>
  <c r="X599" i="17"/>
  <c r="AR599" i="17"/>
  <c r="AD599" i="17"/>
  <c r="L599" i="17"/>
  <c r="AQ599" i="17"/>
  <c r="K599" i="17"/>
  <c r="AR621" i="17"/>
  <c r="N875" i="17"/>
  <c r="AH895" i="17"/>
  <c r="AB906" i="17"/>
  <c r="T965" i="17"/>
  <c r="AJ1064" i="17"/>
  <c r="AC1064" i="17"/>
  <c r="T1064" i="17"/>
  <c r="AQ1064" i="17"/>
  <c r="AD1064" i="17"/>
  <c r="S1064" i="17"/>
  <c r="J1068" i="17"/>
  <c r="AL1108" i="17"/>
  <c r="J1108" i="17"/>
  <c r="K1108" i="17"/>
  <c r="AP1156" i="17"/>
  <c r="N1156" i="17"/>
  <c r="AL1156" i="17"/>
  <c r="M1156" i="17"/>
  <c r="AJ1156" i="17"/>
  <c r="AK1156" i="17"/>
  <c r="AB1156" i="17"/>
  <c r="V1156" i="17"/>
  <c r="Y1156" i="17"/>
  <c r="U1156" i="17"/>
  <c r="AE1396" i="17"/>
  <c r="AD1396" i="17"/>
  <c r="U1396" i="17"/>
  <c r="T1396" i="17"/>
  <c r="M1396" i="17"/>
  <c r="AP1426" i="17"/>
  <c r="AR1426" i="17"/>
  <c r="AE1426" i="17"/>
  <c r="S1426" i="17"/>
  <c r="AQ1426" i="17"/>
  <c r="AC1426" i="17"/>
  <c r="P1426" i="17"/>
  <c r="AF1426" i="17"/>
  <c r="N1426" i="17"/>
  <c r="AI1426" i="17"/>
  <c r="M1426" i="17"/>
  <c r="AB1426" i="17"/>
  <c r="L1426" i="17"/>
  <c r="AA1426" i="17"/>
  <c r="X1426" i="17"/>
  <c r="W1426" i="17"/>
  <c r="U1426" i="17"/>
  <c r="K1426" i="17"/>
  <c r="O1426" i="17"/>
  <c r="AJ1426" i="17"/>
  <c r="V1426" i="17"/>
  <c r="AO1604" i="17"/>
  <c r="AI1604" i="17"/>
  <c r="X1604" i="17"/>
  <c r="N1604" i="17"/>
  <c r="AR1604" i="17"/>
  <c r="AH1604" i="17"/>
  <c r="W1604" i="17"/>
  <c r="M1604" i="17"/>
  <c r="AM1604" i="17"/>
  <c r="Z1604" i="17"/>
  <c r="K1604" i="17"/>
  <c r="AL1604" i="17"/>
  <c r="V1604" i="17"/>
  <c r="J1604" i="17"/>
  <c r="AP1604" i="17"/>
  <c r="U1604" i="17"/>
  <c r="AN1604" i="17"/>
  <c r="S1604" i="17"/>
  <c r="AK1604" i="17"/>
  <c r="P1604" i="17"/>
  <c r="AE1604" i="17"/>
  <c r="AD1604" i="17"/>
  <c r="AC1604" i="17"/>
  <c r="T1604" i="17"/>
  <c r="L1604" i="17"/>
  <c r="O1604" i="17"/>
  <c r="AF1604" i="17"/>
  <c r="AB1604" i="17"/>
  <c r="N1745" i="17"/>
  <c r="K2" i="17"/>
  <c r="AO4" i="17"/>
  <c r="L4" i="17"/>
  <c r="AB4" i="17"/>
  <c r="X63" i="17"/>
  <c r="M63" i="17"/>
  <c r="U63" i="17"/>
  <c r="AQ63" i="17" s="1"/>
  <c r="N63" i="17"/>
  <c r="T63" i="17"/>
  <c r="U71" i="17"/>
  <c r="AQ71" i="17" s="1"/>
  <c r="U97" i="17"/>
  <c r="AQ97" i="17" s="1"/>
  <c r="W135" i="17"/>
  <c r="S139" i="17"/>
  <c r="K155" i="17"/>
  <c r="P217" i="17"/>
  <c r="AO238" i="17"/>
  <c r="W253" i="17"/>
  <c r="AN253" i="17"/>
  <c r="P253" i="17"/>
  <c r="AA253" i="17"/>
  <c r="O253" i="17"/>
  <c r="X253" i="17"/>
  <c r="AG270" i="17"/>
  <c r="AF270" i="17"/>
  <c r="AP270" i="17"/>
  <c r="AE270" i="17"/>
  <c r="AI281" i="17"/>
  <c r="AQ287" i="17"/>
  <c r="K293" i="17"/>
  <c r="AR327" i="17"/>
  <c r="AL349" i="17"/>
  <c r="AF374" i="17"/>
  <c r="P389" i="17"/>
  <c r="AQ398" i="17"/>
  <c r="X398" i="17"/>
  <c r="T398" i="17"/>
  <c r="W398" i="17"/>
  <c r="N423" i="17"/>
  <c r="O471" i="17"/>
  <c r="S476" i="17"/>
  <c r="R476" i="17"/>
  <c r="AG476" i="17"/>
  <c r="AF476" i="17"/>
  <c r="L476" i="17"/>
  <c r="Q482" i="17"/>
  <c r="AL501" i="17"/>
  <c r="AD571" i="17"/>
  <c r="O573" i="17"/>
  <c r="J597" i="17"/>
  <c r="AL599" i="17"/>
  <c r="AE632" i="17"/>
  <c r="AA632" i="17"/>
  <c r="AN632" i="17"/>
  <c r="AF632" i="17"/>
  <c r="AO632" i="17"/>
  <c r="AL635" i="17"/>
  <c r="Z635" i="17"/>
  <c r="L635" i="17"/>
  <c r="AI635" i="17"/>
  <c r="R635" i="17"/>
  <c r="AH635" i="17"/>
  <c r="P635" i="17"/>
  <c r="AQ635" i="17"/>
  <c r="U635" i="17"/>
  <c r="AR635" i="17"/>
  <c r="O635" i="17"/>
  <c r="AJ635" i="17"/>
  <c r="AK635" i="17"/>
  <c r="N635" i="17"/>
  <c r="K635" i="17"/>
  <c r="W635" i="17"/>
  <c r="N659" i="17"/>
  <c r="X743" i="17"/>
  <c r="Y786" i="17"/>
  <c r="AG801" i="17"/>
  <c r="M829" i="17"/>
  <c r="AN838" i="17"/>
  <c r="AP875" i="17"/>
  <c r="AP895" i="17"/>
  <c r="AN942" i="17"/>
  <c r="Q942" i="17"/>
  <c r="AQ942" i="17"/>
  <c r="AP942" i="17"/>
  <c r="AC942" i="17"/>
  <c r="Y942" i="17"/>
  <c r="AR942" i="17"/>
  <c r="Z942" i="17"/>
  <c r="AR1000" i="17"/>
  <c r="AC1000" i="17"/>
  <c r="AK1000" i="17"/>
  <c r="U1000" i="17"/>
  <c r="AB1082" i="17"/>
  <c r="AP1082" i="17"/>
  <c r="M1082" i="17"/>
  <c r="AO1082" i="17"/>
  <c r="L1082" i="17"/>
  <c r="AG1082" i="17"/>
  <c r="AQ1082" i="17"/>
  <c r="AH1082" i="17"/>
  <c r="T1082" i="17"/>
  <c r="AR1082" i="17"/>
  <c r="Y1082" i="17"/>
  <c r="S1082" i="17"/>
  <c r="L1156" i="17"/>
  <c r="AH1325" i="17"/>
  <c r="N1325" i="17"/>
  <c r="AD1325" i="17"/>
  <c r="M1325" i="17"/>
  <c r="AK1325" i="17"/>
  <c r="P1325" i="17"/>
  <c r="O1325" i="17"/>
  <c r="AC1325" i="17"/>
  <c r="Z1325" i="17"/>
  <c r="W1325" i="17"/>
  <c r="AP1325" i="17"/>
  <c r="AL1325" i="17"/>
  <c r="V1325" i="17"/>
  <c r="X1392" i="17"/>
  <c r="AP1432" i="17"/>
  <c r="AJ1432" i="17"/>
  <c r="W1432" i="17"/>
  <c r="L1432" i="17"/>
  <c r="AI1432" i="17"/>
  <c r="V1432" i="17"/>
  <c r="K1432" i="17"/>
  <c r="AC1432" i="17"/>
  <c r="N1432" i="17"/>
  <c r="AL1432" i="17"/>
  <c r="S1432" i="17"/>
  <c r="AK1432" i="17"/>
  <c r="P1432" i="17"/>
  <c r="AA1432" i="17"/>
  <c r="X1432" i="17"/>
  <c r="AR1432" i="17"/>
  <c r="U1432" i="17"/>
  <c r="AF1432" i="17"/>
  <c r="AE1432" i="17"/>
  <c r="AB1432" i="17"/>
  <c r="AQ1432" i="17"/>
  <c r="AM1432" i="17"/>
  <c r="AD1492" i="17"/>
  <c r="K1492" i="17"/>
  <c r="Z1492" i="17"/>
  <c r="J1492" i="17"/>
  <c r="AJ1492" i="17"/>
  <c r="M1492" i="17"/>
  <c r="AI1492" i="17"/>
  <c r="L1492" i="17"/>
  <c r="T1492" i="17"/>
  <c r="AQ1492" i="17"/>
  <c r="AH1492" i="17"/>
  <c r="AR1492" i="17"/>
  <c r="AE1492" i="17"/>
  <c r="X1492" i="17"/>
  <c r="L40" i="17"/>
  <c r="V63" i="17"/>
  <c r="V71" i="17"/>
  <c r="T88" i="17"/>
  <c r="W118" i="17"/>
  <c r="T139" i="17"/>
  <c r="AR195" i="17"/>
  <c r="AF214" i="17"/>
  <c r="W218" i="17"/>
  <c r="AR220" i="17"/>
  <c r="AM220" i="17"/>
  <c r="R220" i="17"/>
  <c r="AJ220" i="17"/>
  <c r="Q220" i="17"/>
  <c r="X220" i="17"/>
  <c r="P220" i="17"/>
  <c r="O220" i="17"/>
  <c r="AE222" i="17"/>
  <c r="N225" i="17"/>
  <c r="AQ225" i="17"/>
  <c r="AI239" i="17"/>
  <c r="AF239" i="17"/>
  <c r="N239" i="17"/>
  <c r="AE239" i="17"/>
  <c r="M239" i="17"/>
  <c r="W239" i="17"/>
  <c r="AQ239" i="17"/>
  <c r="AR239" i="17"/>
  <c r="T239" i="17"/>
  <c r="O239" i="17"/>
  <c r="P269" i="17"/>
  <c r="V279" i="17"/>
  <c r="L281" i="17"/>
  <c r="U287" i="17"/>
  <c r="AB298" i="17"/>
  <c r="AA298" i="17"/>
  <c r="W315" i="17"/>
  <c r="X328" i="17"/>
  <c r="AI328" i="17"/>
  <c r="AA328" i="17"/>
  <c r="K349" i="17"/>
  <c r="T389" i="17"/>
  <c r="AK391" i="17"/>
  <c r="AF394" i="17"/>
  <c r="AI394" i="17"/>
  <c r="AH394" i="17"/>
  <c r="AP409" i="17"/>
  <c r="AI409" i="17"/>
  <c r="S409" i="17"/>
  <c r="P409" i="17"/>
  <c r="AF409" i="17"/>
  <c r="AJ409" i="17"/>
  <c r="N409" i="17"/>
  <c r="AB409" i="17"/>
  <c r="AC409" i="17"/>
  <c r="M409" i="17"/>
  <c r="L409" i="17"/>
  <c r="AM409" i="17"/>
  <c r="AE415" i="17"/>
  <c r="O415" i="17"/>
  <c r="N415" i="17"/>
  <c r="AD415" i="17"/>
  <c r="AB415" i="17"/>
  <c r="T415" i="17"/>
  <c r="U415" i="17"/>
  <c r="AQ483" i="17"/>
  <c r="AN483" i="17"/>
  <c r="AL487" i="17"/>
  <c r="AP496" i="17"/>
  <c r="Z502" i="17"/>
  <c r="Q502" i="17"/>
  <c r="X509" i="17"/>
  <c r="AI550" i="17"/>
  <c r="Z550" i="17"/>
  <c r="Q550" i="17"/>
  <c r="Z568" i="17"/>
  <c r="AL573" i="17"/>
  <c r="AQ575" i="17"/>
  <c r="P577" i="17"/>
  <c r="AP599" i="17"/>
  <c r="AA645" i="17"/>
  <c r="AF645" i="17"/>
  <c r="AM659" i="17"/>
  <c r="AC699" i="17"/>
  <c r="AB699" i="17"/>
  <c r="T699" i="17"/>
  <c r="P699" i="17"/>
  <c r="AI699" i="17"/>
  <c r="AD699" i="17"/>
  <c r="S699" i="17"/>
  <c r="AP699" i="17"/>
  <c r="AJ699" i="17"/>
  <c r="J714" i="17"/>
  <c r="AR878" i="17"/>
  <c r="X878" i="17"/>
  <c r="AP878" i="17"/>
  <c r="Q878" i="17"/>
  <c r="P878" i="17"/>
  <c r="AO878" i="17"/>
  <c r="M878" i="17"/>
  <c r="K878" i="17"/>
  <c r="AD878" i="17"/>
  <c r="AC878" i="17"/>
  <c r="V878" i="17"/>
  <c r="AI878" i="17"/>
  <c r="AF878" i="17"/>
  <c r="N926" i="17"/>
  <c r="AQ926" i="17"/>
  <c r="AJ993" i="17"/>
  <c r="AH993" i="17"/>
  <c r="M993" i="17"/>
  <c r="N993" i="17"/>
  <c r="AL1059" i="17"/>
  <c r="X1059" i="17"/>
  <c r="U1059" i="17"/>
  <c r="W1205" i="17"/>
  <c r="V1205" i="17"/>
  <c r="AD1205" i="17"/>
  <c r="AG1205" i="17"/>
  <c r="AC1205" i="17"/>
  <c r="O1205" i="17"/>
  <c r="N1205" i="17"/>
  <c r="AL1205" i="17"/>
  <c r="R1205" i="17"/>
  <c r="AH1205" i="17"/>
  <c r="AM1205" i="17"/>
  <c r="AH1355" i="17"/>
  <c r="AG1355" i="17"/>
  <c r="AF1355" i="17"/>
  <c r="AE1355" i="17"/>
  <c r="X1355" i="17"/>
  <c r="AQ1410" i="17"/>
  <c r="AB1410" i="17"/>
  <c r="N1410" i="17"/>
  <c r="AM1410" i="17"/>
  <c r="AA1410" i="17"/>
  <c r="M1410" i="17"/>
  <c r="W1410" i="17"/>
  <c r="AK1410" i="17"/>
  <c r="R1410" i="17"/>
  <c r="AJ1410" i="17"/>
  <c r="P1410" i="17"/>
  <c r="AE1410" i="17"/>
  <c r="AC1410" i="17"/>
  <c r="Z1410" i="17"/>
  <c r="V1410" i="17"/>
  <c r="L1410" i="17"/>
  <c r="S1410" i="17"/>
  <c r="AL1410" i="17"/>
  <c r="AI1410" i="17"/>
  <c r="AO1448" i="17"/>
  <c r="AP1448" i="17"/>
  <c r="AE1448" i="17"/>
  <c r="U1448" i="17"/>
  <c r="K1448" i="17"/>
  <c r="AN1448" i="17"/>
  <c r="AD1448" i="17"/>
  <c r="T1448" i="17"/>
  <c r="J1448" i="17"/>
  <c r="AF1448" i="17"/>
  <c r="P1448" i="17"/>
  <c r="AL1448" i="17"/>
  <c r="W1448" i="17"/>
  <c r="AK1448" i="17"/>
  <c r="V1448" i="17"/>
  <c r="Z1448" i="17"/>
  <c r="AR1448" i="17"/>
  <c r="X1448" i="17"/>
  <c r="AQ1448" i="17"/>
  <c r="S1448" i="17"/>
  <c r="N1448" i="17"/>
  <c r="AM1448" i="17"/>
  <c r="M1448" i="17"/>
  <c r="L1448" i="17"/>
  <c r="AB1448" i="17"/>
  <c r="O1448" i="17"/>
  <c r="AA15" i="17"/>
  <c r="R20" i="17"/>
  <c r="AP20" i="17" s="1"/>
  <c r="L26" i="17"/>
  <c r="AB28" i="17"/>
  <c r="AA28" i="17"/>
  <c r="Y28" i="17"/>
  <c r="Q28" i="17"/>
  <c r="X28" i="17"/>
  <c r="T34" i="17"/>
  <c r="X40" i="17"/>
  <c r="K49" i="17"/>
  <c r="AA58" i="17"/>
  <c r="AA60" i="17"/>
  <c r="AB72" i="17"/>
  <c r="W72" i="17"/>
  <c r="K83" i="17"/>
  <c r="T86" i="17"/>
  <c r="X95" i="17"/>
  <c r="U95" i="17"/>
  <c r="T95" i="17"/>
  <c r="AB95" i="17"/>
  <c r="W95" i="17"/>
  <c r="V95" i="17"/>
  <c r="Y108" i="17"/>
  <c r="S116" i="17"/>
  <c r="U119" i="17"/>
  <c r="AH119" i="17" s="1"/>
  <c r="T119" i="17"/>
  <c r="M119" i="17"/>
  <c r="W167" i="17"/>
  <c r="Z174" i="17"/>
  <c r="Y174" i="17"/>
  <c r="AO174" i="17"/>
  <c r="S174" i="17"/>
  <c r="AA174" i="17"/>
  <c r="X183" i="17"/>
  <c r="AD183" i="17"/>
  <c r="AR183" i="17"/>
  <c r="AN186" i="17"/>
  <c r="AA186" i="17"/>
  <c r="Y186" i="17"/>
  <c r="Q186" i="17"/>
  <c r="X186" i="17"/>
  <c r="V195" i="17"/>
  <c r="U211" i="17"/>
  <c r="AG214" i="17"/>
  <c r="X216" i="17"/>
  <c r="W216" i="17"/>
  <c r="AR216" i="17"/>
  <c r="AQ216" i="17"/>
  <c r="AP216" i="17"/>
  <c r="T217" i="17"/>
  <c r="L220" i="17"/>
  <c r="AI279" i="17"/>
  <c r="M281" i="17"/>
  <c r="AA285" i="17"/>
  <c r="X285" i="17"/>
  <c r="AM285" i="17"/>
  <c r="S285" i="17"/>
  <c r="AL285" i="17"/>
  <c r="V287" i="17"/>
  <c r="P298" i="17"/>
  <c r="AJ310" i="17"/>
  <c r="Z328" i="17"/>
  <c r="AC337" i="17"/>
  <c r="P349" i="17"/>
  <c r="AA351" i="17"/>
  <c r="W351" i="17"/>
  <c r="AH351" i="17"/>
  <c r="AF351" i="17"/>
  <c r="T351" i="17"/>
  <c r="AA356" i="17"/>
  <c r="P356" i="17"/>
  <c r="AA361" i="17"/>
  <c r="AR361" i="17"/>
  <c r="AD375" i="17"/>
  <c r="AI375" i="17"/>
  <c r="U375" i="17"/>
  <c r="AK375" i="17"/>
  <c r="AJ375" i="17"/>
  <c r="V377" i="17"/>
  <c r="S391" i="17"/>
  <c r="AO394" i="17"/>
  <c r="P415" i="17"/>
  <c r="AR453" i="17"/>
  <c r="AP457" i="17"/>
  <c r="AJ457" i="17"/>
  <c r="V457" i="17"/>
  <c r="S457" i="17"/>
  <c r="AI457" i="17"/>
  <c r="AM457" i="17"/>
  <c r="W457" i="17"/>
  <c r="AK457" i="17"/>
  <c r="AL457" i="17"/>
  <c r="P457" i="17"/>
  <c r="O457" i="17"/>
  <c r="AF457" i="17"/>
  <c r="AN476" i="17"/>
  <c r="V483" i="17"/>
  <c r="U487" i="17"/>
  <c r="W496" i="17"/>
  <c r="P502" i="17"/>
  <c r="AI509" i="17"/>
  <c r="AA523" i="17"/>
  <c r="K528" i="17"/>
  <c r="M529" i="17"/>
  <c r="M553" i="17"/>
  <c r="AA568" i="17"/>
  <c r="AM573" i="17"/>
  <c r="O575" i="17"/>
  <c r="AB577" i="17"/>
  <c r="L585" i="17"/>
  <c r="J592" i="17"/>
  <c r="Z621" i="17"/>
  <c r="AE623" i="17"/>
  <c r="AA625" i="17"/>
  <c r="AA635" i="17"/>
  <c r="X669" i="17"/>
  <c r="AJ679" i="17"/>
  <c r="AB679" i="17"/>
  <c r="L679" i="17"/>
  <c r="AL679" i="17"/>
  <c r="P679" i="17"/>
  <c r="N679" i="17"/>
  <c r="AI679" i="17"/>
  <c r="S679" i="17"/>
  <c r="Z679" i="17"/>
  <c r="M679" i="17"/>
  <c r="R679" i="17"/>
  <c r="AC679" i="17"/>
  <c r="AA679" i="17"/>
  <c r="O699" i="17"/>
  <c r="AN714" i="17"/>
  <c r="O741" i="17"/>
  <c r="N749" i="17"/>
  <c r="AB876" i="17"/>
  <c r="V942" i="17"/>
  <c r="Q1244" i="17"/>
  <c r="AG1272" i="17"/>
  <c r="Y1272" i="17"/>
  <c r="U1272" i="17"/>
  <c r="AH1272" i="17"/>
  <c r="V1272" i="17"/>
  <c r="Q1272" i="17"/>
  <c r="Y1363" i="17"/>
  <c r="X1390" i="17"/>
  <c r="K1410" i="17"/>
  <c r="Q1622" i="17"/>
  <c r="AI1668" i="17"/>
  <c r="T8" i="17"/>
  <c r="K26" i="17"/>
  <c r="AA26" i="17"/>
  <c r="AA34" i="17"/>
  <c r="AB40" i="17"/>
  <c r="X47" i="17"/>
  <c r="T47" i="17"/>
  <c r="AB47" i="17"/>
  <c r="AA47" i="17"/>
  <c r="AB49" i="17"/>
  <c r="W59" i="17"/>
  <c r="U59" i="17"/>
  <c r="AH59" i="17" s="1"/>
  <c r="V59" i="17"/>
  <c r="N59" i="17"/>
  <c r="T59" i="17"/>
  <c r="W61" i="17"/>
  <c r="X72" i="17"/>
  <c r="K73" i="17"/>
  <c r="AA74" i="17"/>
  <c r="AB74" i="17"/>
  <c r="Y86" i="17"/>
  <c r="AA93" i="17"/>
  <c r="M93" i="17"/>
  <c r="S95" i="17"/>
  <c r="N95" i="17"/>
  <c r="M99" i="17"/>
  <c r="AD99" i="17" s="1"/>
  <c r="K116" i="17"/>
  <c r="AB116" i="17"/>
  <c r="AB127" i="17"/>
  <c r="T127" i="17"/>
  <c r="U127" i="17"/>
  <c r="AB137" i="17"/>
  <c r="X149" i="17"/>
  <c r="N149" i="17"/>
  <c r="M149" i="17"/>
  <c r="AE149" i="17" s="1"/>
  <c r="AB149" i="17"/>
  <c r="AA149" i="17"/>
  <c r="V149" i="17"/>
  <c r="X153" i="17"/>
  <c r="K153" i="17"/>
  <c r="Y168" i="17"/>
  <c r="K168" i="17"/>
  <c r="L170" i="17"/>
  <c r="Q172" i="17"/>
  <c r="M185" i="17"/>
  <c r="Z186" i="17"/>
  <c r="U189" i="17"/>
  <c r="AJ193" i="17"/>
  <c r="P193" i="17"/>
  <c r="AE193" i="17"/>
  <c r="O193" i="17"/>
  <c r="U193" i="17"/>
  <c r="AQ193" i="17"/>
  <c r="T193" i="17"/>
  <c r="S193" i="17"/>
  <c r="X195" i="17"/>
  <c r="L203" i="17"/>
  <c r="AM211" i="17"/>
  <c r="AI215" i="17"/>
  <c r="O215" i="17"/>
  <c r="AF215" i="17"/>
  <c r="N215" i="17"/>
  <c r="AR215" i="17"/>
  <c r="T215" i="17"/>
  <c r="AQ215" i="17"/>
  <c r="M215" i="17"/>
  <c r="AN215" i="17"/>
  <c r="L215" i="17"/>
  <c r="T216" i="17"/>
  <c r="AK217" i="17"/>
  <c r="AG218" i="17"/>
  <c r="AA220" i="17"/>
  <c r="W225" i="17"/>
  <c r="AN227" i="17"/>
  <c r="T227" i="17"/>
  <c r="S227" i="17"/>
  <c r="AI227" i="17"/>
  <c r="AD227" i="17"/>
  <c r="AB227" i="17"/>
  <c r="AC227" i="17"/>
  <c r="AR227" i="17"/>
  <c r="T233" i="17"/>
  <c r="AB235" i="17"/>
  <c r="X239" i="17"/>
  <c r="AA241" i="17"/>
  <c r="AE245" i="17"/>
  <c r="L245" i="17"/>
  <c r="AD245" i="17"/>
  <c r="K245" i="17"/>
  <c r="S245" i="17"/>
  <c r="AN245" i="17"/>
  <c r="AQ245" i="17"/>
  <c r="P245" i="17"/>
  <c r="O245" i="17"/>
  <c r="AE247" i="17"/>
  <c r="AD247" i="17"/>
  <c r="AF247" i="17"/>
  <c r="AL253" i="17"/>
  <c r="AD257" i="17"/>
  <c r="O257" i="17"/>
  <c r="N257" i="17"/>
  <c r="AC257" i="17"/>
  <c r="AN257" i="17"/>
  <c r="T257" i="17"/>
  <c r="P257" i="17"/>
  <c r="AM257" i="17"/>
  <c r="S257" i="17"/>
  <c r="AK257" i="17"/>
  <c r="N267" i="17"/>
  <c r="AJ269" i="17"/>
  <c r="AL273" i="17"/>
  <c r="AJ280" i="17"/>
  <c r="AI280" i="17"/>
  <c r="AR280" i="17"/>
  <c r="X280" i="17"/>
  <c r="AH280" i="17"/>
  <c r="W281" i="17"/>
  <c r="AN285" i="17"/>
  <c r="AB287" i="17"/>
  <c r="W289" i="17"/>
  <c r="AN289" i="17"/>
  <c r="T289" i="17"/>
  <c r="AK289" i="17"/>
  <c r="AA289" i="17"/>
  <c r="AJ289" i="17"/>
  <c r="AK293" i="17"/>
  <c r="AR299" i="17"/>
  <c r="AA299" i="17"/>
  <c r="AD299" i="17"/>
  <c r="AR307" i="17"/>
  <c r="X307" i="17"/>
  <c r="U307" i="17"/>
  <c r="AQ307" i="17"/>
  <c r="AC307" i="17"/>
  <c r="T307" i="17"/>
  <c r="S307" i="17"/>
  <c r="AN307" i="17"/>
  <c r="AR310" i="17"/>
  <c r="AJ313" i="17"/>
  <c r="AJ315" i="17"/>
  <c r="Y324" i="17"/>
  <c r="X324" i="17"/>
  <c r="P324" i="17"/>
  <c r="AG324" i="17"/>
  <c r="O324" i="17"/>
  <c r="AA324" i="17"/>
  <c r="X327" i="17"/>
  <c r="AK329" i="17"/>
  <c r="AA329" i="17"/>
  <c r="W329" i="17"/>
  <c r="P329" i="17"/>
  <c r="O329" i="17"/>
  <c r="T332" i="17"/>
  <c r="AK337" i="17"/>
  <c r="AF342" i="17"/>
  <c r="AR342" i="17"/>
  <c r="S342" i="17"/>
  <c r="AO342" i="17"/>
  <c r="O342" i="17"/>
  <c r="W342" i="17"/>
  <c r="T342" i="17"/>
  <c r="L342" i="17"/>
  <c r="P343" i="17"/>
  <c r="AE344" i="17"/>
  <c r="AA349" i="17"/>
  <c r="N351" i="17"/>
  <c r="AB357" i="17"/>
  <c r="AK357" i="17"/>
  <c r="AJ357" i="17"/>
  <c r="W357" i="17"/>
  <c r="AI357" i="17"/>
  <c r="AQ361" i="17"/>
  <c r="S368" i="17"/>
  <c r="T375" i="17"/>
  <c r="AJ377" i="17"/>
  <c r="T381" i="17"/>
  <c r="S381" i="17"/>
  <c r="U381" i="17"/>
  <c r="M381" i="17"/>
  <c r="L381" i="17"/>
  <c r="S386" i="17"/>
  <c r="W391" i="17"/>
  <c r="Q392" i="17"/>
  <c r="U395" i="17"/>
  <c r="Z400" i="17"/>
  <c r="W409" i="17"/>
  <c r="AC415" i="17"/>
  <c r="AA420" i="17"/>
  <c r="X420" i="17"/>
  <c r="AJ420" i="17"/>
  <c r="AR420" i="17"/>
  <c r="AE422" i="17"/>
  <c r="AB423" i="17"/>
  <c r="W431" i="17"/>
  <c r="AI435" i="17"/>
  <c r="AF435" i="17"/>
  <c r="N435" i="17"/>
  <c r="M435" i="17"/>
  <c r="AE435" i="17"/>
  <c r="AR435" i="17"/>
  <c r="T435" i="17"/>
  <c r="L435" i="17"/>
  <c r="AQ435" i="17"/>
  <c r="S435" i="17"/>
  <c r="AN435" i="17"/>
  <c r="X436" i="17"/>
  <c r="AI445" i="17"/>
  <c r="AN445" i="17"/>
  <c r="T445" i="17"/>
  <c r="AM445" i="17"/>
  <c r="S445" i="17"/>
  <c r="AB445" i="17"/>
  <c r="AR445" i="17"/>
  <c r="W445" i="17"/>
  <c r="P445" i="17"/>
  <c r="AQ445" i="17"/>
  <c r="AG450" i="17"/>
  <c r="AB450" i="17"/>
  <c r="AA450" i="17"/>
  <c r="W453" i="17"/>
  <c r="M457" i="17"/>
  <c r="AB469" i="17"/>
  <c r="AQ469" i="17"/>
  <c r="AR471" i="17"/>
  <c r="AP475" i="17"/>
  <c r="AK475" i="17"/>
  <c r="X475" i="17"/>
  <c r="M475" i="17"/>
  <c r="L475" i="17"/>
  <c r="AJ475" i="17"/>
  <c r="W475" i="17"/>
  <c r="AI475" i="17"/>
  <c r="S475" i="17"/>
  <c r="O475" i="17"/>
  <c r="AF475" i="17"/>
  <c r="P475" i="17"/>
  <c r="AE475" i="17"/>
  <c r="AL475" i="17"/>
  <c r="M477" i="17"/>
  <c r="X483" i="17"/>
  <c r="O486" i="17"/>
  <c r="W487" i="17"/>
  <c r="Y496" i="17"/>
  <c r="AO502" i="17"/>
  <c r="L507" i="17"/>
  <c r="AQ507" i="17"/>
  <c r="AE517" i="17"/>
  <c r="AA520" i="17"/>
  <c r="R524" i="17"/>
  <c r="J526" i="17"/>
  <c r="AQ526" i="17"/>
  <c r="T528" i="17"/>
  <c r="AJ529" i="17"/>
  <c r="K535" i="17"/>
  <c r="AB537" i="17"/>
  <c r="K545" i="17"/>
  <c r="AA548" i="17"/>
  <c r="AR548" i="17"/>
  <c r="Q548" i="17"/>
  <c r="L548" i="17"/>
  <c r="AN548" i="17"/>
  <c r="Y548" i="17"/>
  <c r="R548" i="17"/>
  <c r="X548" i="17"/>
  <c r="O553" i="17"/>
  <c r="AJ557" i="17"/>
  <c r="S557" i="17"/>
  <c r="AI557" i="17"/>
  <c r="P557" i="17"/>
  <c r="AA557" i="17"/>
  <c r="W557" i="17"/>
  <c r="AN557" i="17"/>
  <c r="T557" i="17"/>
  <c r="AM557" i="17"/>
  <c r="K563" i="17"/>
  <c r="AK563" i="17"/>
  <c r="AQ573" i="17"/>
  <c r="AA575" i="17"/>
  <c r="R576" i="17"/>
  <c r="AF577" i="17"/>
  <c r="S583" i="17"/>
  <c r="W585" i="17"/>
  <c r="AD587" i="17"/>
  <c r="AQ587" i="17"/>
  <c r="AN587" i="17"/>
  <c r="AA587" i="17"/>
  <c r="U587" i="17"/>
  <c r="X587" i="17"/>
  <c r="K589" i="17"/>
  <c r="Z592" i="17"/>
  <c r="AL595" i="17"/>
  <c r="AA595" i="17"/>
  <c r="AN595" i="17"/>
  <c r="AM595" i="17"/>
  <c r="Z595" i="17"/>
  <c r="AE597" i="17"/>
  <c r="W599" i="17"/>
  <c r="U609" i="17"/>
  <c r="R609" i="17"/>
  <c r="AP609" i="17"/>
  <c r="AN609" i="17"/>
  <c r="AM609" i="17"/>
  <c r="P613" i="17"/>
  <c r="AK613" i="17"/>
  <c r="AB621" i="17"/>
  <c r="P623" i="17"/>
  <c r="AH623" i="17"/>
  <c r="AF635" i="17"/>
  <c r="R664" i="17"/>
  <c r="AE669" i="17"/>
  <c r="AM679" i="17"/>
  <c r="V688" i="17"/>
  <c r="W688" i="17"/>
  <c r="S688" i="17"/>
  <c r="AI688" i="17"/>
  <c r="AH688" i="17"/>
  <c r="V700" i="17"/>
  <c r="S700" i="17"/>
  <c r="J700" i="17"/>
  <c r="J709" i="17"/>
  <c r="L715" i="17"/>
  <c r="AD742" i="17"/>
  <c r="AH742" i="17"/>
  <c r="AG742" i="17"/>
  <c r="AF742" i="17"/>
  <c r="AH749" i="17"/>
  <c r="K755" i="17"/>
  <c r="AE761" i="17"/>
  <c r="J809" i="17"/>
  <c r="Z825" i="17"/>
  <c r="V825" i="17"/>
  <c r="U825" i="17"/>
  <c r="AN825" i="17"/>
  <c r="W825" i="17"/>
  <c r="Q825" i="17"/>
  <c r="AO843" i="17"/>
  <c r="AB843" i="17"/>
  <c r="AI854" i="17"/>
  <c r="AJ854" i="17"/>
  <c r="J854" i="17"/>
  <c r="AH854" i="17"/>
  <c r="AD854" i="17"/>
  <c r="AN860" i="17"/>
  <c r="O883" i="17"/>
  <c r="AD921" i="17"/>
  <c r="N921" i="17"/>
  <c r="AK921" i="17"/>
  <c r="Q921" i="17"/>
  <c r="M921" i="17"/>
  <c r="AL921" i="17"/>
  <c r="AC921" i="17"/>
  <c r="Z921" i="17"/>
  <c r="O949" i="17"/>
  <c r="R949" i="17"/>
  <c r="AG949" i="17"/>
  <c r="AD949" i="17"/>
  <c r="AQ976" i="17"/>
  <c r="P988" i="17"/>
  <c r="AL1076" i="17"/>
  <c r="AL1168" i="17"/>
  <c r="AK1168" i="17"/>
  <c r="AL1176" i="17"/>
  <c r="X1211" i="17"/>
  <c r="W1211" i="17"/>
  <c r="AP1280" i="17"/>
  <c r="AJ1366" i="17"/>
  <c r="M1366" i="17"/>
  <c r="AI1366" i="17"/>
  <c r="K1366" i="17"/>
  <c r="X1366" i="17"/>
  <c r="AL1366" i="17"/>
  <c r="AK1366" i="17"/>
  <c r="AM1366" i="17"/>
  <c r="AE1366" i="17"/>
  <c r="W1366" i="17"/>
  <c r="U1366" i="17"/>
  <c r="K1372" i="17"/>
  <c r="AE1408" i="17"/>
  <c r="R1408" i="17"/>
  <c r="AD1408" i="17"/>
  <c r="O1408" i="17"/>
  <c r="AB1408" i="17"/>
  <c r="L1408" i="17"/>
  <c r="AQ1408" i="17"/>
  <c r="V1408" i="17"/>
  <c r="AN1408" i="17"/>
  <c r="S1408" i="17"/>
  <c r="W1408" i="17"/>
  <c r="N1408" i="17"/>
  <c r="AR1408" i="17"/>
  <c r="M1408" i="17"/>
  <c r="AJ1408" i="17"/>
  <c r="AI1408" i="17"/>
  <c r="Z1408" i="17"/>
  <c r="AK1408" i="17"/>
  <c r="K1412" i="17"/>
  <c r="AI1448" i="17"/>
  <c r="AP1458" i="17"/>
  <c r="AL1458" i="17"/>
  <c r="AA1458" i="17"/>
  <c r="N1458" i="17"/>
  <c r="AK1458" i="17"/>
  <c r="X1458" i="17"/>
  <c r="M1458" i="17"/>
  <c r="AJ1458" i="17"/>
  <c r="U1458" i="17"/>
  <c r="AI1458" i="17"/>
  <c r="P1458" i="17"/>
  <c r="AF1458" i="17"/>
  <c r="O1458" i="17"/>
  <c r="AC1458" i="17"/>
  <c r="AB1458" i="17"/>
  <c r="W1458" i="17"/>
  <c r="AE1458" i="17"/>
  <c r="V1458" i="17"/>
  <c r="S1458" i="17"/>
  <c r="AQ1458" i="17"/>
  <c r="AM1458" i="17"/>
  <c r="Y1483" i="17"/>
  <c r="S1483" i="17"/>
  <c r="AJ1514" i="17"/>
  <c r="X1514" i="17"/>
  <c r="M1514" i="17"/>
  <c r="AI1514" i="17"/>
  <c r="W1514" i="17"/>
  <c r="L1514" i="17"/>
  <c r="AH1514" i="17"/>
  <c r="R1514" i="17"/>
  <c r="AF1514" i="17"/>
  <c r="P1514" i="17"/>
  <c r="AA1514" i="17"/>
  <c r="AQ1514" i="17"/>
  <c r="U1514" i="17"/>
  <c r="AP1514" i="17"/>
  <c r="O1514" i="17"/>
  <c r="AL1514" i="17"/>
  <c r="AE1514" i="17"/>
  <c r="AC1514" i="17"/>
  <c r="Z1514" i="17"/>
  <c r="V1514" i="17"/>
  <c r="N1514" i="17"/>
  <c r="AR1514" i="17"/>
  <c r="AM1514" i="17"/>
  <c r="O1663" i="17"/>
  <c r="L1773" i="17"/>
  <c r="X636" i="17"/>
  <c r="W636" i="17"/>
  <c r="W663" i="17"/>
  <c r="AC697" i="17"/>
  <c r="AP697" i="17"/>
  <c r="P697" i="17"/>
  <c r="O697" i="17"/>
  <c r="AJ697" i="17"/>
  <c r="AF697" i="17"/>
  <c r="AO718" i="17"/>
  <c r="X718" i="17"/>
  <c r="AN718" i="17"/>
  <c r="R718" i="17"/>
  <c r="Q718" i="17"/>
  <c r="AL718" i="17"/>
  <c r="S718" i="17"/>
  <c r="AI718" i="17"/>
  <c r="AH765" i="17"/>
  <c r="AC765" i="17"/>
  <c r="K765" i="17"/>
  <c r="AR765" i="17"/>
  <c r="X765" i="17"/>
  <c r="AQ765" i="17"/>
  <c r="W765" i="17"/>
  <c r="AB765" i="17"/>
  <c r="AL765" i="17"/>
  <c r="AE783" i="17"/>
  <c r="P783" i="17"/>
  <c r="O783" i="17"/>
  <c r="N783" i="17"/>
  <c r="M783" i="17"/>
  <c r="AA806" i="17"/>
  <c r="U806" i="17"/>
  <c r="AE815" i="17"/>
  <c r="O815" i="17"/>
  <c r="AG815" i="17"/>
  <c r="P815" i="17"/>
  <c r="AF815" i="17"/>
  <c r="N815" i="17"/>
  <c r="AO815" i="17"/>
  <c r="Q815" i="17"/>
  <c r="AN815" i="17"/>
  <c r="AK873" i="17"/>
  <c r="AN873" i="17"/>
  <c r="Z873" i="17"/>
  <c r="J873" i="17"/>
  <c r="AO873" i="17"/>
  <c r="W873" i="17"/>
  <c r="AE873" i="17"/>
  <c r="M873" i="17"/>
  <c r="AD873" i="17"/>
  <c r="L873" i="17"/>
  <c r="AJ873" i="17"/>
  <c r="AM873" i="17"/>
  <c r="AO911" i="17"/>
  <c r="U911" i="17"/>
  <c r="AF911" i="17"/>
  <c r="M911" i="17"/>
  <c r="AE911" i="17"/>
  <c r="AD911" i="17"/>
  <c r="P911" i="17"/>
  <c r="AR911" i="17"/>
  <c r="AF989" i="17"/>
  <c r="Q989" i="17"/>
  <c r="AE989" i="17"/>
  <c r="O989" i="17"/>
  <c r="AN989" i="17"/>
  <c r="T989" i="17"/>
  <c r="Y989" i="17"/>
  <c r="AR989" i="17"/>
  <c r="X989" i="17"/>
  <c r="U989" i="17"/>
  <c r="AO989" i="17"/>
  <c r="AN1009" i="17"/>
  <c r="O1009" i="17"/>
  <c r="AK1009" i="17"/>
  <c r="N1009" i="17"/>
  <c r="AE1009" i="17"/>
  <c r="AP1009" i="17"/>
  <c r="AH1009" i="17"/>
  <c r="Z1009" i="17"/>
  <c r="AG1023" i="17"/>
  <c r="AH1023" i="17"/>
  <c r="U1023" i="17"/>
  <c r="AF1023" i="17"/>
  <c r="Q1023" i="17"/>
  <c r="AO1023" i="17"/>
  <c r="X1023" i="17"/>
  <c r="AN1023" i="17"/>
  <c r="P1023" i="17"/>
  <c r="AM1023" i="17"/>
  <c r="O1023" i="17"/>
  <c r="AR1023" i="17"/>
  <c r="N1023" i="17"/>
  <c r="AJ1023" i="17"/>
  <c r="W1025" i="17"/>
  <c r="P1025" i="17"/>
  <c r="Z1025" i="17"/>
  <c r="AL1083" i="17"/>
  <c r="Z1083" i="17"/>
  <c r="U1083" i="17"/>
  <c r="AE1083" i="17"/>
  <c r="AM1083" i="17"/>
  <c r="AI1094" i="17"/>
  <c r="AH1094" i="17"/>
  <c r="AC1094" i="17"/>
  <c r="AN1105" i="17"/>
  <c r="R1105" i="17"/>
  <c r="AH1105" i="17"/>
  <c r="Q1105" i="17"/>
  <c r="AG1105" i="17"/>
  <c r="N1105" i="17"/>
  <c r="P1105" i="17"/>
  <c r="O1105" i="17"/>
  <c r="AD1105" i="17"/>
  <c r="R1151" i="17"/>
  <c r="O1151" i="17"/>
  <c r="AP1151" i="17"/>
  <c r="AD1151" i="17"/>
  <c r="X1151" i="17"/>
  <c r="AA1160" i="17"/>
  <c r="T1160" i="17"/>
  <c r="AG1160" i="17"/>
  <c r="AP1160" i="17"/>
  <c r="AO1160" i="17"/>
  <c r="AQ1160" i="17"/>
  <c r="AE1175" i="17"/>
  <c r="AD1175" i="17"/>
  <c r="M1175" i="17"/>
  <c r="AO1175" i="17"/>
  <c r="AG1175" i="17"/>
  <c r="U1175" i="17"/>
  <c r="R1175" i="17"/>
  <c r="AJ1200" i="17"/>
  <c r="M1200" i="17"/>
  <c r="AI1200" i="17"/>
  <c r="L1200" i="17"/>
  <c r="AA1200" i="17"/>
  <c r="Z1200" i="17"/>
  <c r="V1200" i="17"/>
  <c r="AL1200" i="17"/>
  <c r="AK1200" i="17"/>
  <c r="P1203" i="17"/>
  <c r="AO1203" i="17"/>
  <c r="W1209" i="17"/>
  <c r="V1209" i="17"/>
  <c r="AM1209" i="17"/>
  <c r="AH1209" i="17"/>
  <c r="X1209" i="17"/>
  <c r="O1235" i="17"/>
  <c r="N1235" i="17"/>
  <c r="W1235" i="17"/>
  <c r="AO1235" i="17"/>
  <c r="AL1235" i="17"/>
  <c r="M1235" i="17"/>
  <c r="J1235" i="17"/>
  <c r="AD1258" i="17"/>
  <c r="Z1258" i="17"/>
  <c r="AP1270" i="17"/>
  <c r="AO1270" i="17"/>
  <c r="AC1270" i="17"/>
  <c r="Z1270" i="17"/>
  <c r="AF1353" i="17"/>
  <c r="AE1353" i="17"/>
  <c r="V1353" i="17"/>
  <c r="X1353" i="17"/>
  <c r="AI1378" i="17"/>
  <c r="T1378" i="17"/>
  <c r="S1378" i="17"/>
  <c r="AQ1378" i="17"/>
  <c r="AD1378" i="17"/>
  <c r="AB1378" i="17"/>
  <c r="AR1378" i="17"/>
  <c r="V1378" i="17"/>
  <c r="U1378" i="17"/>
  <c r="V1546" i="17"/>
  <c r="AQ1546" i="17"/>
  <c r="U1546" i="17"/>
  <c r="S1546" i="17"/>
  <c r="P1546" i="17"/>
  <c r="AI1546" i="17"/>
  <c r="AP1546" i="17"/>
  <c r="AJ1546" i="17"/>
  <c r="AQ1548" i="17"/>
  <c r="AC1548" i="17"/>
  <c r="O1548" i="17"/>
  <c r="AP1548" i="17"/>
  <c r="AB1548" i="17"/>
  <c r="N1548" i="17"/>
  <c r="AL1548" i="17"/>
  <c r="U1548" i="17"/>
  <c r="AJ1548" i="17"/>
  <c r="S1548" i="17"/>
  <c r="AI1548" i="17"/>
  <c r="K1548" i="17"/>
  <c r="W1548" i="17"/>
  <c r="R1548" i="17"/>
  <c r="AM1548" i="17"/>
  <c r="AH1548" i="17"/>
  <c r="AD1548" i="17"/>
  <c r="AP1572" i="17"/>
  <c r="AB1572" i="17"/>
  <c r="P1572" i="17"/>
  <c r="AM1572" i="17"/>
  <c r="AA1572" i="17"/>
  <c r="O1572" i="17"/>
  <c r="AF1572" i="17"/>
  <c r="N1572" i="17"/>
  <c r="AE1572" i="17"/>
  <c r="M1572" i="17"/>
  <c r="AI1572" i="17"/>
  <c r="L1572" i="17"/>
  <c r="W1572" i="17"/>
  <c r="AR1572" i="17"/>
  <c r="V1572" i="17"/>
  <c r="Z1572" i="17"/>
  <c r="X1572" i="17"/>
  <c r="U1572" i="17"/>
  <c r="AP1608" i="17"/>
  <c r="AB1608" i="17"/>
  <c r="U1608" i="17"/>
  <c r="P1608" i="17"/>
  <c r="O1608" i="17"/>
  <c r="K1608" i="17"/>
  <c r="AJ1608" i="17"/>
  <c r="AC1608" i="17"/>
  <c r="AM1608" i="17"/>
  <c r="AL1608" i="17"/>
  <c r="AK1608" i="17"/>
  <c r="AR1661" i="17"/>
  <c r="AB1661" i="17"/>
  <c r="M1661" i="17"/>
  <c r="AH1661" i="17"/>
  <c r="O1661" i="17"/>
  <c r="AD1661" i="17"/>
  <c r="N1661" i="17"/>
  <c r="AM1661" i="17"/>
  <c r="R1661" i="17"/>
  <c r="AL1661" i="17"/>
  <c r="L1661" i="17"/>
  <c r="T1661" i="17"/>
  <c r="AA1661" i="17"/>
  <c r="Z1661" i="17"/>
  <c r="AJ1661" i="17"/>
  <c r="AC1661" i="17"/>
  <c r="S1661" i="17"/>
  <c r="X1758" i="17"/>
  <c r="Q1758" i="17"/>
  <c r="AR1758" i="17"/>
  <c r="P1758" i="17"/>
  <c r="Y1758" i="17"/>
  <c r="T1758" i="17"/>
  <c r="AI1758" i="17"/>
  <c r="AH1758" i="17"/>
  <c r="AP1758" i="17"/>
  <c r="AO1897" i="17"/>
  <c r="AK1897" i="17"/>
  <c r="Z1897" i="17"/>
  <c r="M1897" i="17"/>
  <c r="AH1897" i="17"/>
  <c r="T1897" i="17"/>
  <c r="AE1897" i="17"/>
  <c r="O1897" i="17"/>
  <c r="AD1897" i="17"/>
  <c r="N1897" i="17"/>
  <c r="AQ1897" i="17"/>
  <c r="V1897" i="17"/>
  <c r="AP1897" i="17"/>
  <c r="U1897" i="17"/>
  <c r="W1897" i="17"/>
  <c r="R1897" i="17"/>
  <c r="AA1897" i="17"/>
  <c r="AL1897" i="17"/>
  <c r="AJ1897" i="17"/>
  <c r="AI1897" i="17"/>
  <c r="AB1897" i="17"/>
  <c r="L1897" i="17"/>
  <c r="S636" i="17"/>
  <c r="AL644" i="17"/>
  <c r="AM644" i="17"/>
  <c r="W644" i="17"/>
  <c r="AQ644" i="17"/>
  <c r="Y644" i="17"/>
  <c r="AN644" i="17"/>
  <c r="R644" i="17"/>
  <c r="AG644" i="17"/>
  <c r="K644" i="17"/>
  <c r="AH644" i="17"/>
  <c r="AO663" i="17"/>
  <c r="AP663" i="17"/>
  <c r="AE663" i="17"/>
  <c r="U663" i="17"/>
  <c r="K663" i="17"/>
  <c r="AM663" i="17"/>
  <c r="AB663" i="17"/>
  <c r="O663" i="17"/>
  <c r="N663" i="17"/>
  <c r="AL663" i="17"/>
  <c r="Z663" i="17"/>
  <c r="AK663" i="17"/>
  <c r="V663" i="17"/>
  <c r="X663" i="17"/>
  <c r="AR663" i="17"/>
  <c r="V666" i="17"/>
  <c r="W666" i="17"/>
  <c r="P666" i="17"/>
  <c r="AM666" i="17"/>
  <c r="R697" i="17"/>
  <c r="N718" i="17"/>
  <c r="J765" i="17"/>
  <c r="AM765" i="17"/>
  <c r="X768" i="17"/>
  <c r="Z768" i="17"/>
  <c r="V768" i="17"/>
  <c r="O768" i="17"/>
  <c r="AL768" i="17"/>
  <c r="Z772" i="17"/>
  <c r="W772" i="17"/>
  <c r="AQ772" i="17"/>
  <c r="Q772" i="17"/>
  <c r="X772" i="17"/>
  <c r="AQ778" i="17"/>
  <c r="AA778" i="17"/>
  <c r="Z783" i="17"/>
  <c r="AL793" i="17"/>
  <c r="Q793" i="17"/>
  <c r="AM793" i="17"/>
  <c r="N793" i="17"/>
  <c r="AK793" i="17"/>
  <c r="M793" i="17"/>
  <c r="Z793" i="17"/>
  <c r="AM795" i="17"/>
  <c r="AN795" i="17"/>
  <c r="AL795" i="17"/>
  <c r="AG805" i="17"/>
  <c r="Z805" i="17"/>
  <c r="R805" i="17"/>
  <c r="Q805" i="17"/>
  <c r="AP805" i="17"/>
  <c r="M815" i="17"/>
  <c r="AP815" i="17"/>
  <c r="AR817" i="17"/>
  <c r="Q817" i="17"/>
  <c r="AG817" i="17"/>
  <c r="AE817" i="17"/>
  <c r="AI820" i="17"/>
  <c r="S820" i="17"/>
  <c r="R820" i="17"/>
  <c r="AG831" i="17"/>
  <c r="AF831" i="17"/>
  <c r="Q831" i="17"/>
  <c r="AR831" i="17"/>
  <c r="AD831" i="17"/>
  <c r="N831" i="17"/>
  <c r="AP831" i="17"/>
  <c r="Z831" i="17"/>
  <c r="M831" i="17"/>
  <c r="AO831" i="17"/>
  <c r="W831" i="17"/>
  <c r="AH831" i="17"/>
  <c r="AK837" i="17"/>
  <c r="R837" i="17"/>
  <c r="AJ837" i="17"/>
  <c r="AG837" i="17"/>
  <c r="Q837" i="17"/>
  <c r="AB840" i="17"/>
  <c r="AL840" i="17"/>
  <c r="Z847" i="17"/>
  <c r="V847" i="17"/>
  <c r="AR847" i="17"/>
  <c r="U847" i="17"/>
  <c r="W847" i="17"/>
  <c r="AP847" i="17"/>
  <c r="T859" i="17"/>
  <c r="AK859" i="17"/>
  <c r="AG859" i="17"/>
  <c r="AE859" i="17"/>
  <c r="W909" i="17"/>
  <c r="Z909" i="17"/>
  <c r="N909" i="17"/>
  <c r="M909" i="17"/>
  <c r="X909" i="17"/>
  <c r="N911" i="17"/>
  <c r="AK948" i="17"/>
  <c r="AO984" i="17"/>
  <c r="AK984" i="17"/>
  <c r="Z984" i="17"/>
  <c r="L989" i="17"/>
  <c r="AP989" i="17"/>
  <c r="M1009" i="17"/>
  <c r="L1023" i="17"/>
  <c r="AP1023" i="17"/>
  <c r="AH1025" i="17"/>
  <c r="AG1081" i="17"/>
  <c r="AH1081" i="17"/>
  <c r="R1081" i="17"/>
  <c r="AF1081" i="17"/>
  <c r="Q1081" i="17"/>
  <c r="AM1081" i="17"/>
  <c r="W1081" i="17"/>
  <c r="AN1081" i="17"/>
  <c r="P1081" i="17"/>
  <c r="AL1081" i="17"/>
  <c r="O1081" i="17"/>
  <c r="Z1081" i="17"/>
  <c r="AK1081" i="17"/>
  <c r="N1094" i="17"/>
  <c r="V1105" i="17"/>
  <c r="AB1128" i="17"/>
  <c r="AA1128" i="17"/>
  <c r="R1128" i="17"/>
  <c r="AG1128" i="17"/>
  <c r="AD1128" i="17"/>
  <c r="AQ1128" i="17"/>
  <c r="N1151" i="17"/>
  <c r="N1160" i="17"/>
  <c r="O1175" i="17"/>
  <c r="AQ1182" i="17"/>
  <c r="AM1182" i="17"/>
  <c r="J1200" i="17"/>
  <c r="U1209" i="17"/>
  <c r="AP1238" i="17"/>
  <c r="AO1238" i="17"/>
  <c r="AI1238" i="17"/>
  <c r="M1238" i="17"/>
  <c r="K1238" i="17"/>
  <c r="AG1261" i="17"/>
  <c r="P1261" i="17"/>
  <c r="AF1261" i="17"/>
  <c r="M1261" i="17"/>
  <c r="AD1261" i="17"/>
  <c r="Z1261" i="17"/>
  <c r="W1261" i="17"/>
  <c r="V1261" i="17"/>
  <c r="R1261" i="17"/>
  <c r="R1264" i="17"/>
  <c r="N1264" i="17"/>
  <c r="AD1264" i="17"/>
  <c r="AG1264" i="17"/>
  <c r="T1264" i="17"/>
  <c r="AL1264" i="17"/>
  <c r="AH1264" i="17"/>
  <c r="AH1270" i="17"/>
  <c r="AR1332" i="17"/>
  <c r="V1332" i="17"/>
  <c r="Q1332" i="17"/>
  <c r="AQ1332" i="17"/>
  <c r="J1332" i="17"/>
  <c r="AQ1386" i="17"/>
  <c r="AN1386" i="17"/>
  <c r="P1386" i="17"/>
  <c r="AM1386" i="17"/>
  <c r="O1386" i="17"/>
  <c r="AC1386" i="17"/>
  <c r="M1386" i="17"/>
  <c r="K1386" i="17"/>
  <c r="AL1386" i="17"/>
  <c r="AE1386" i="17"/>
  <c r="X1398" i="17"/>
  <c r="P1398" i="17"/>
  <c r="N1398" i="17"/>
  <c r="AR1423" i="17"/>
  <c r="AH1423" i="17"/>
  <c r="R1423" i="17"/>
  <c r="AF1423" i="17"/>
  <c r="Q1423" i="17"/>
  <c r="AQ1423" i="17"/>
  <c r="Z1423" i="17"/>
  <c r="J1423" i="17"/>
  <c r="AN1423" i="17"/>
  <c r="W1423" i="17"/>
  <c r="AM1423" i="17"/>
  <c r="P1423" i="17"/>
  <c r="Y1423" i="17"/>
  <c r="X1423" i="17"/>
  <c r="O1423" i="17"/>
  <c r="AJ1476" i="17"/>
  <c r="O1476" i="17"/>
  <c r="AI1476" i="17"/>
  <c r="N1476" i="17"/>
  <c r="P1476" i="17"/>
  <c r="AQ1476" i="17"/>
  <c r="K1476" i="17"/>
  <c r="U1476" i="17"/>
  <c r="AK1476" i="17"/>
  <c r="AF1476" i="17"/>
  <c r="AE1499" i="17"/>
  <c r="AB1499" i="17"/>
  <c r="AA1499" i="17"/>
  <c r="AJ1499" i="17"/>
  <c r="X1541" i="17"/>
  <c r="W1541" i="17"/>
  <c r="AQ1541" i="17"/>
  <c r="AP1541" i="17"/>
  <c r="Z1541" i="17"/>
  <c r="L1541" i="17"/>
  <c r="AO1551" i="17"/>
  <c r="AN1551" i="17"/>
  <c r="AM1551" i="17"/>
  <c r="AJ1551" i="17"/>
  <c r="T1551" i="17"/>
  <c r="AR1597" i="17"/>
  <c r="AI1597" i="17"/>
  <c r="AP1602" i="17"/>
  <c r="AM1602" i="17"/>
  <c r="O1602" i="17"/>
  <c r="AL1602" i="17"/>
  <c r="N1602" i="17"/>
  <c r="X1602" i="17"/>
  <c r="U1602" i="17"/>
  <c r="AN1602" i="17"/>
  <c r="AC1602" i="17"/>
  <c r="P1602" i="17"/>
  <c r="AJ1602" i="17"/>
  <c r="AD1602" i="17"/>
  <c r="AL1638" i="17"/>
  <c r="AF1638" i="17"/>
  <c r="AN1640" i="17"/>
  <c r="K1640" i="17"/>
  <c r="Q1640" i="17"/>
  <c r="AQ1640" i="17"/>
  <c r="N1640" i="17"/>
  <c r="X1640" i="17"/>
  <c r="R1640" i="17"/>
  <c r="AA1640" i="17"/>
  <c r="AP1640" i="17"/>
  <c r="X1703" i="17"/>
  <c r="Z1703" i="17"/>
  <c r="AN1703" i="17"/>
  <c r="AB1703" i="17"/>
  <c r="N1703" i="17"/>
  <c r="AA1703" i="17"/>
  <c r="AE1726" i="17"/>
  <c r="Y1726" i="17"/>
  <c r="Q1726" i="17"/>
  <c r="AJ1726" i="17"/>
  <c r="AB1726" i="17"/>
  <c r="Q1756" i="17"/>
  <c r="AJ1756" i="17"/>
  <c r="AB1756" i="17"/>
  <c r="AR1756" i="17"/>
  <c r="AO1756" i="17"/>
  <c r="AM1756" i="17"/>
  <c r="Y1756" i="17"/>
  <c r="W73" i="17"/>
  <c r="U73" i="17"/>
  <c r="W83" i="17"/>
  <c r="K88" i="17"/>
  <c r="K90" i="17"/>
  <c r="Q110" i="17"/>
  <c r="R172" i="17"/>
  <c r="AP172" i="17" s="1"/>
  <c r="W226" i="17"/>
  <c r="T226" i="17"/>
  <c r="AJ232" i="17"/>
  <c r="AH232" i="17"/>
  <c r="L232" i="17"/>
  <c r="K232" i="17"/>
  <c r="AG232" i="17"/>
  <c r="AI232" i="17"/>
  <c r="W260" i="17"/>
  <c r="AR260" i="17"/>
  <c r="T260" i="17"/>
  <c r="AH260" i="17"/>
  <c r="AP275" i="17"/>
  <c r="AI275" i="17"/>
  <c r="S275" i="17"/>
  <c r="AF275" i="17"/>
  <c r="P275" i="17"/>
  <c r="X275" i="17"/>
  <c r="AG292" i="17"/>
  <c r="AF292" i="17"/>
  <c r="AP331" i="17"/>
  <c r="AR331" i="17"/>
  <c r="AB331" i="17"/>
  <c r="N331" i="17"/>
  <c r="AA331" i="17"/>
  <c r="AM331" i="17"/>
  <c r="M331" i="17"/>
  <c r="AM333" i="17"/>
  <c r="T387" i="17"/>
  <c r="S387" i="17"/>
  <c r="AK387" i="17"/>
  <c r="AI387" i="17"/>
  <c r="AR416" i="17"/>
  <c r="AN416" i="17"/>
  <c r="Z416" i="17"/>
  <c r="L416" i="17"/>
  <c r="Y416" i="17"/>
  <c r="AM416" i="17"/>
  <c r="K416" i="17"/>
  <c r="AL437" i="17"/>
  <c r="K474" i="17"/>
  <c r="R474" i="17"/>
  <c r="Q474" i="17"/>
  <c r="AP478" i="17"/>
  <c r="AO478" i="17"/>
  <c r="AL491" i="17"/>
  <c r="AP513" i="17"/>
  <c r="AQ513" i="17"/>
  <c r="AC513" i="17"/>
  <c r="P513" i="17"/>
  <c r="AB513" i="17"/>
  <c r="AM513" i="17"/>
  <c r="O513" i="17"/>
  <c r="W513" i="17"/>
  <c r="AA552" i="17"/>
  <c r="Z552" i="17"/>
  <c r="AH560" i="17"/>
  <c r="AB560" i="17"/>
  <c r="O560" i="17"/>
  <c r="AQ560" i="17"/>
  <c r="L560" i="17"/>
  <c r="AA560" i="17"/>
  <c r="AF560" i="17"/>
  <c r="AP581" i="17"/>
  <c r="AL581" i="17"/>
  <c r="AA581" i="17"/>
  <c r="N581" i="17"/>
  <c r="X581" i="17"/>
  <c r="AK581" i="17"/>
  <c r="M581" i="17"/>
  <c r="W581" i="17"/>
  <c r="AQ581" i="17"/>
  <c r="AK607" i="17"/>
  <c r="M607" i="17"/>
  <c r="L607" i="17"/>
  <c r="AJ607" i="17"/>
  <c r="AQ619" i="17"/>
  <c r="Z642" i="17"/>
  <c r="AL642" i="17"/>
  <c r="Q642" i="17"/>
  <c r="AQ642" i="17"/>
  <c r="K642" i="17"/>
  <c r="AO642" i="17"/>
  <c r="AL649" i="17"/>
  <c r="Z649" i="17"/>
  <c r="L649" i="17"/>
  <c r="AK649" i="17"/>
  <c r="V649" i="17"/>
  <c r="AJ649" i="17"/>
  <c r="U649" i="17"/>
  <c r="AF649" i="17"/>
  <c r="M649" i="17"/>
  <c r="AE649" i="17"/>
  <c r="AH663" i="17"/>
  <c r="AE683" i="17"/>
  <c r="AD686" i="17"/>
  <c r="Y686" i="17"/>
  <c r="R686" i="17"/>
  <c r="Q686" i="17"/>
  <c r="AO686" i="17"/>
  <c r="AH686" i="17"/>
  <c r="AL692" i="17"/>
  <c r="Q692" i="17"/>
  <c r="AG692" i="17"/>
  <c r="N692" i="17"/>
  <c r="AD692" i="17"/>
  <c r="K692" i="17"/>
  <c r="W692" i="17"/>
  <c r="AQ692" i="17"/>
  <c r="AA712" i="17"/>
  <c r="Y712" i="17"/>
  <c r="AM746" i="17"/>
  <c r="P746" i="17"/>
  <c r="AN746" i="17"/>
  <c r="O746" i="17"/>
  <c r="N746" i="17"/>
  <c r="AL746" i="17"/>
  <c r="X746" i="17"/>
  <c r="AF747" i="17"/>
  <c r="P747" i="17"/>
  <c r="AJ747" i="17"/>
  <c r="V747" i="17"/>
  <c r="AI747" i="17"/>
  <c r="R747" i="17"/>
  <c r="AH747" i="17"/>
  <c r="M747" i="17"/>
  <c r="AC747" i="17"/>
  <c r="S768" i="17"/>
  <c r="AI772" i="17"/>
  <c r="AR790" i="17"/>
  <c r="AD790" i="17"/>
  <c r="J790" i="17"/>
  <c r="Q790" i="17"/>
  <c r="P790" i="17"/>
  <c r="K790" i="17"/>
  <c r="AD793" i="17"/>
  <c r="AC805" i="17"/>
  <c r="Z815" i="17"/>
  <c r="Z820" i="17"/>
  <c r="U831" i="17"/>
  <c r="AN842" i="17"/>
  <c r="N842" i="17"/>
  <c r="AL842" i="17"/>
  <c r="AG842" i="17"/>
  <c r="T842" i="17"/>
  <c r="AF847" i="17"/>
  <c r="AJ858" i="17"/>
  <c r="S858" i="17"/>
  <c r="M858" i="17"/>
  <c r="AB873" i="17"/>
  <c r="AD890" i="17"/>
  <c r="AJ890" i="17"/>
  <c r="AA904" i="17"/>
  <c r="L904" i="17"/>
  <c r="AD904" i="17"/>
  <c r="M904" i="17"/>
  <c r="AF904" i="17"/>
  <c r="AM909" i="17"/>
  <c r="AG911" i="17"/>
  <c r="AN934" i="17"/>
  <c r="U934" i="17"/>
  <c r="S934" i="17"/>
  <c r="AB934" i="17"/>
  <c r="AA934" i="17"/>
  <c r="T934" i="17"/>
  <c r="AB955" i="17"/>
  <c r="J955" i="17"/>
  <c r="AG955" i="17"/>
  <c r="M955" i="17"/>
  <c r="AP955" i="17"/>
  <c r="T955" i="17"/>
  <c r="AN955" i="17"/>
  <c r="R955" i="17"/>
  <c r="AK955" i="17"/>
  <c r="AD958" i="17"/>
  <c r="V958" i="17"/>
  <c r="AL958" i="17"/>
  <c r="N958" i="17"/>
  <c r="AG958" i="17"/>
  <c r="AF958" i="17"/>
  <c r="AI958" i="17"/>
  <c r="AN961" i="17"/>
  <c r="W961" i="17"/>
  <c r="V961" i="17"/>
  <c r="Z961" i="17"/>
  <c r="O961" i="17"/>
  <c r="N961" i="17"/>
  <c r="AJ961" i="17"/>
  <c r="U986" i="17"/>
  <c r="T986" i="17"/>
  <c r="AK986" i="17"/>
  <c r="AF986" i="17"/>
  <c r="K986" i="17"/>
  <c r="AD989" i="17"/>
  <c r="AJ994" i="17"/>
  <c r="AG994" i="17"/>
  <c r="S994" i="17"/>
  <c r="N994" i="17"/>
  <c r="M994" i="17"/>
  <c r="AM1015" i="17"/>
  <c r="AD1015" i="17"/>
  <c r="M1015" i="17"/>
  <c r="Z1023" i="17"/>
  <c r="AP1037" i="17"/>
  <c r="AD1037" i="17"/>
  <c r="P1037" i="17"/>
  <c r="AO1037" i="17"/>
  <c r="AC1037" i="17"/>
  <c r="O1037" i="17"/>
  <c r="AN1037" i="17"/>
  <c r="W1037" i="17"/>
  <c r="AJ1037" i="17"/>
  <c r="M1037" i="17"/>
  <c r="AG1037" i="17"/>
  <c r="L1037" i="17"/>
  <c r="AM1037" i="17"/>
  <c r="J1037" i="17"/>
  <c r="AR1038" i="17"/>
  <c r="AH1038" i="17"/>
  <c r="T1038" i="17"/>
  <c r="AF1038" i="17"/>
  <c r="Q1038" i="17"/>
  <c r="AO1038" i="17"/>
  <c r="X1038" i="17"/>
  <c r="AN1038" i="17"/>
  <c r="P1038" i="17"/>
  <c r="AL1038" i="17"/>
  <c r="N1038" i="17"/>
  <c r="AC1038" i="17"/>
  <c r="AI1038" i="17"/>
  <c r="AE1051" i="17"/>
  <c r="X1051" i="17"/>
  <c r="X1081" i="17"/>
  <c r="X1097" i="17"/>
  <c r="M1097" i="17"/>
  <c r="AP1105" i="17"/>
  <c r="AH1114" i="17"/>
  <c r="AD1114" i="17"/>
  <c r="AR1114" i="17"/>
  <c r="T1128" i="17"/>
  <c r="Y1178" i="17"/>
  <c r="AR1178" i="17"/>
  <c r="S1178" i="17"/>
  <c r="AD1178" i="17"/>
  <c r="R1178" i="17"/>
  <c r="M1178" i="17"/>
  <c r="AG1178" i="17"/>
  <c r="AB1178" i="17"/>
  <c r="AK1184" i="17"/>
  <c r="T1184" i="17"/>
  <c r="AH1184" i="17"/>
  <c r="R1184" i="17"/>
  <c r="AB1184" i="17"/>
  <c r="J1184" i="17"/>
  <c r="AL1184" i="17"/>
  <c r="M1184" i="17"/>
  <c r="AG1184" i="17"/>
  <c r="L1184" i="17"/>
  <c r="AP1184" i="17"/>
  <c r="AD1184" i="17"/>
  <c r="AO1185" i="17"/>
  <c r="X1185" i="17"/>
  <c r="W1185" i="17"/>
  <c r="AO1191" i="17"/>
  <c r="R1191" i="17"/>
  <c r="AL1191" i="17"/>
  <c r="Q1191" i="17"/>
  <c r="AE1191" i="17"/>
  <c r="P1191" i="17"/>
  <c r="O1191" i="17"/>
  <c r="AF1191" i="17"/>
  <c r="AD1191" i="17"/>
  <c r="V1195" i="17"/>
  <c r="U1195" i="17"/>
  <c r="AH1195" i="17"/>
  <c r="AG1195" i="17"/>
  <c r="X1195" i="17"/>
  <c r="AH1200" i="17"/>
  <c r="AK1261" i="17"/>
  <c r="AJ1427" i="17"/>
  <c r="Z1427" i="17"/>
  <c r="AE1453" i="17"/>
  <c r="T1453" i="17"/>
  <c r="AM1453" i="17"/>
  <c r="AJ1453" i="17"/>
  <c r="S1453" i="17"/>
  <c r="AN1453" i="17"/>
  <c r="R1453" i="17"/>
  <c r="AR1489" i="17"/>
  <c r="X1489" i="17"/>
  <c r="AP1489" i="17"/>
  <c r="T1489" i="17"/>
  <c r="AE1489" i="17"/>
  <c r="Z1489" i="17"/>
  <c r="AO1489" i="17"/>
  <c r="J1489" i="17"/>
  <c r="L1489" i="17"/>
  <c r="K1489" i="17"/>
  <c r="AJ1489" i="17"/>
  <c r="AH1489" i="17"/>
  <c r="Z1502" i="17"/>
  <c r="V1502" i="17"/>
  <c r="AR1502" i="17"/>
  <c r="N1502" i="17"/>
  <c r="AJ1502" i="17"/>
  <c r="M1502" i="17"/>
  <c r="AE1502" i="17"/>
  <c r="AH1502" i="17"/>
  <c r="AF1502" i="17"/>
  <c r="T1502" i="17"/>
  <c r="S1502" i="17"/>
  <c r="K1502" i="17"/>
  <c r="AH1549" i="17"/>
  <c r="Z1549" i="17"/>
  <c r="AN1611" i="17"/>
  <c r="T1611" i="17"/>
  <c r="AA1836" i="17"/>
  <c r="AN1836" i="17"/>
  <c r="AJ1836" i="17"/>
  <c r="O1836" i="17"/>
  <c r="AC1971" i="17"/>
  <c r="AM1971" i="17"/>
  <c r="L1971" i="17"/>
  <c r="AB1971" i="17"/>
  <c r="AA1971" i="17"/>
  <c r="AL1971" i="17"/>
  <c r="AD1971" i="17"/>
  <c r="S4" i="17"/>
  <c r="W9" i="17"/>
  <c r="AA10" i="17"/>
  <c r="M13" i="17"/>
  <c r="S22" i="17"/>
  <c r="R28" i="17"/>
  <c r="AP28" i="17" s="1"/>
  <c r="N31" i="17"/>
  <c r="U41" i="17"/>
  <c r="AQ41" i="17" s="1"/>
  <c r="V51" i="17"/>
  <c r="S63" i="17"/>
  <c r="K66" i="17"/>
  <c r="M73" i="17"/>
  <c r="N73" i="17"/>
  <c r="R74" i="17"/>
  <c r="AG74" i="17" s="1"/>
  <c r="Q76" i="17"/>
  <c r="S81" i="17"/>
  <c r="X83" i="17"/>
  <c r="W89" i="17"/>
  <c r="K89" i="17"/>
  <c r="O88" i="17" s="1"/>
  <c r="AJ88" i="17" s="1"/>
  <c r="W88" i="12" s="1"/>
  <c r="AA91" i="17"/>
  <c r="K99" i="17"/>
  <c r="S101" i="17"/>
  <c r="N101" i="17"/>
  <c r="S107" i="17"/>
  <c r="Q114" i="17"/>
  <c r="U115" i="17"/>
  <c r="AH115" i="17" s="1"/>
  <c r="T115" i="17"/>
  <c r="S119" i="17"/>
  <c r="T123" i="17"/>
  <c r="L140" i="17"/>
  <c r="Q140" i="17"/>
  <c r="L165" i="17"/>
  <c r="V171" i="17"/>
  <c r="U171" i="17"/>
  <c r="AQ171" i="17" s="1"/>
  <c r="K179" i="17"/>
  <c r="AM194" i="17"/>
  <c r="AG194" i="17"/>
  <c r="AP199" i="17"/>
  <c r="AL199" i="17"/>
  <c r="X199" i="17"/>
  <c r="L199" i="17"/>
  <c r="AK199" i="17"/>
  <c r="K199" i="17"/>
  <c r="W199" i="17"/>
  <c r="AB199" i="17"/>
  <c r="K200" i="17"/>
  <c r="AM202" i="17"/>
  <c r="AQ202" i="17"/>
  <c r="W202" i="17"/>
  <c r="AN202" i="17"/>
  <c r="R202" i="17"/>
  <c r="AG202" i="17"/>
  <c r="AA204" i="17"/>
  <c r="Y204" i="17"/>
  <c r="X204" i="17"/>
  <c r="AJ204" i="17"/>
  <c r="AP207" i="17"/>
  <c r="AE207" i="17"/>
  <c r="O207" i="17"/>
  <c r="AR207" i="17"/>
  <c r="N207" i="17"/>
  <c r="AB207" i="17"/>
  <c r="X207" i="17"/>
  <c r="X209" i="17"/>
  <c r="K221" i="17"/>
  <c r="AI223" i="17"/>
  <c r="AD223" i="17"/>
  <c r="L223" i="17"/>
  <c r="K223" i="17"/>
  <c r="AC223" i="17"/>
  <c r="AF223" i="17"/>
  <c r="AM226" i="17"/>
  <c r="L229" i="17"/>
  <c r="L231" i="17"/>
  <c r="J232" i="17"/>
  <c r="AQ232" i="17"/>
  <c r="W249" i="17"/>
  <c r="AP255" i="17"/>
  <c r="AI255" i="17"/>
  <c r="S255" i="17"/>
  <c r="P255" i="17"/>
  <c r="AF255" i="17"/>
  <c r="AA255" i="17"/>
  <c r="S256" i="17"/>
  <c r="R256" i="17"/>
  <c r="K260" i="17"/>
  <c r="AI260" i="17"/>
  <c r="AH264" i="17"/>
  <c r="K275" i="17"/>
  <c r="AA275" i="17"/>
  <c r="R276" i="17"/>
  <c r="O276" i="17"/>
  <c r="AM276" i="17"/>
  <c r="J292" i="17"/>
  <c r="AP305" i="17"/>
  <c r="AJ305" i="17"/>
  <c r="W305" i="17"/>
  <c r="L305" i="17"/>
  <c r="AI305" i="17"/>
  <c r="V305" i="17"/>
  <c r="K305" i="17"/>
  <c r="AA305" i="17"/>
  <c r="AQ305" i="17"/>
  <c r="T316" i="17"/>
  <c r="AE319" i="17"/>
  <c r="N319" i="17"/>
  <c r="M319" i="17"/>
  <c r="AD319" i="17"/>
  <c r="AA319" i="17"/>
  <c r="X321" i="17"/>
  <c r="L331" i="17"/>
  <c r="AF331" i="17"/>
  <c r="N333" i="17"/>
  <c r="S339" i="17"/>
  <c r="R339" i="17"/>
  <c r="AM339" i="17"/>
  <c r="AE354" i="17"/>
  <c r="T363" i="17"/>
  <c r="J373" i="17"/>
  <c r="AO379" i="17"/>
  <c r="AP379" i="17"/>
  <c r="AE379" i="17"/>
  <c r="U379" i="17"/>
  <c r="K379" i="17"/>
  <c r="AN379" i="17"/>
  <c r="J379" i="17"/>
  <c r="AD379" i="17"/>
  <c r="T379" i="17"/>
  <c r="W379" i="17"/>
  <c r="AK379" i="17"/>
  <c r="K387" i="17"/>
  <c r="AJ387" i="17"/>
  <c r="J416" i="17"/>
  <c r="AB416" i="17"/>
  <c r="AJ427" i="17"/>
  <c r="S427" i="17"/>
  <c r="AI427" i="17"/>
  <c r="P427" i="17"/>
  <c r="AC427" i="17"/>
  <c r="AQ443" i="17"/>
  <c r="U443" i="17"/>
  <c r="AN443" i="17"/>
  <c r="P443" i="17"/>
  <c r="AL443" i="17"/>
  <c r="AA474" i="17"/>
  <c r="J478" i="17"/>
  <c r="L484" i="17"/>
  <c r="K491" i="17"/>
  <c r="X491" i="17"/>
  <c r="K505" i="17"/>
  <c r="K513" i="17"/>
  <c r="X513" i="17"/>
  <c r="AR513" i="17"/>
  <c r="AQ521" i="17"/>
  <c r="AM521" i="17"/>
  <c r="O521" i="17"/>
  <c r="AL521" i="17"/>
  <c r="N521" i="17"/>
  <c r="AN521" i="17"/>
  <c r="AI525" i="17"/>
  <c r="AE525" i="17"/>
  <c r="M525" i="17"/>
  <c r="L525" i="17"/>
  <c r="AD525" i="17"/>
  <c r="AF525" i="17"/>
  <c r="AF531" i="17"/>
  <c r="AR531" i="17"/>
  <c r="AQ531" i="17"/>
  <c r="AK533" i="17"/>
  <c r="AI533" i="17"/>
  <c r="O533" i="17"/>
  <c r="AD533" i="17"/>
  <c r="N533" i="17"/>
  <c r="AJ533" i="17"/>
  <c r="S552" i="17"/>
  <c r="AP555" i="17"/>
  <c r="AQ555" i="17"/>
  <c r="AC555" i="17"/>
  <c r="P555" i="17"/>
  <c r="AB555" i="17"/>
  <c r="AM555" i="17"/>
  <c r="O555" i="17"/>
  <c r="W555" i="17"/>
  <c r="AL555" i="17"/>
  <c r="K560" i="17"/>
  <c r="AI560" i="17"/>
  <c r="J570" i="17"/>
  <c r="AN572" i="17"/>
  <c r="T572" i="17"/>
  <c r="S572" i="17"/>
  <c r="K581" i="17"/>
  <c r="AB581" i="17"/>
  <c r="AR581" i="17"/>
  <c r="V593" i="17"/>
  <c r="AQ593" i="17"/>
  <c r="U593" i="17"/>
  <c r="AM593" i="17"/>
  <c r="N607" i="17"/>
  <c r="AI611" i="17"/>
  <c r="W611" i="17"/>
  <c r="K611" i="17"/>
  <c r="U611" i="17"/>
  <c r="AH611" i="17"/>
  <c r="J611" i="17"/>
  <c r="Z611" i="17"/>
  <c r="AP611" i="17"/>
  <c r="AJ615" i="17"/>
  <c r="X615" i="17"/>
  <c r="M615" i="17"/>
  <c r="AI615" i="17"/>
  <c r="L615" i="17"/>
  <c r="W615" i="17"/>
  <c r="Z615" i="17"/>
  <c r="AP615" i="17"/>
  <c r="AP618" i="17"/>
  <c r="K618" i="17"/>
  <c r="AN618" i="17"/>
  <c r="J618" i="17"/>
  <c r="K619" i="17"/>
  <c r="X620" i="17"/>
  <c r="W620" i="17"/>
  <c r="Q626" i="17"/>
  <c r="AP626" i="17"/>
  <c r="AG626" i="17"/>
  <c r="U631" i="17"/>
  <c r="W631" i="17"/>
  <c r="T631" i="17"/>
  <c r="AM631" i="17"/>
  <c r="S633" i="17"/>
  <c r="AC633" i="17"/>
  <c r="AB633" i="17"/>
  <c r="R633" i="17"/>
  <c r="R642" i="17"/>
  <c r="Z644" i="17"/>
  <c r="K649" i="17"/>
  <c r="AI649" i="17"/>
  <c r="S663" i="17"/>
  <c r="AI663" i="17"/>
  <c r="AN666" i="17"/>
  <c r="AL672" i="17"/>
  <c r="AF672" i="17"/>
  <c r="W672" i="17"/>
  <c r="K683" i="17"/>
  <c r="N686" i="17"/>
  <c r="O692" i="17"/>
  <c r="AE693" i="17"/>
  <c r="V693" i="17"/>
  <c r="U693" i="17"/>
  <c r="S693" i="17"/>
  <c r="J693" i="17"/>
  <c r="AQ697" i="17"/>
  <c r="T703" i="17"/>
  <c r="X703" i="17"/>
  <c r="Z706" i="17"/>
  <c r="V712" i="17"/>
  <c r="V717" i="17"/>
  <c r="AE718" i="17"/>
  <c r="AI720" i="17"/>
  <c r="N720" i="17"/>
  <c r="AL720" i="17"/>
  <c r="K720" i="17"/>
  <c r="AH720" i="17"/>
  <c r="J720" i="17"/>
  <c r="AE720" i="17"/>
  <c r="K721" i="17"/>
  <c r="AI724" i="17"/>
  <c r="Q724" i="17"/>
  <c r="Z724" i="17"/>
  <c r="X724" i="17"/>
  <c r="AM724" i="17"/>
  <c r="N724" i="17"/>
  <c r="AL724" i="17"/>
  <c r="AA733" i="17"/>
  <c r="AJ733" i="17"/>
  <c r="X733" i="17"/>
  <c r="W733" i="17"/>
  <c r="O733" i="17"/>
  <c r="P734" i="17"/>
  <c r="Q734" i="17"/>
  <c r="AF739" i="17"/>
  <c r="R739" i="17"/>
  <c r="AB739" i="17"/>
  <c r="M739" i="17"/>
  <c r="L739" i="17"/>
  <c r="AQ739" i="17"/>
  <c r="AA739" i="17"/>
  <c r="AH739" i="17"/>
  <c r="K739" i="17"/>
  <c r="AJ739" i="17"/>
  <c r="K746" i="17"/>
  <c r="L747" i="17"/>
  <c r="AL747" i="17"/>
  <c r="AD765" i="17"/>
  <c r="AE768" i="17"/>
  <c r="AL772" i="17"/>
  <c r="L790" i="17"/>
  <c r="AE793" i="17"/>
  <c r="Z800" i="17"/>
  <c r="AR800" i="17"/>
  <c r="AJ800" i="17"/>
  <c r="Y800" i="17"/>
  <c r="AH805" i="17"/>
  <c r="AD815" i="17"/>
  <c r="X818" i="17"/>
  <c r="AQ820" i="17"/>
  <c r="X831" i="17"/>
  <c r="AC839" i="17"/>
  <c r="R839" i="17"/>
  <c r="Q839" i="17"/>
  <c r="AM839" i="17"/>
  <c r="R842" i="17"/>
  <c r="AR846" i="17"/>
  <c r="AC846" i="17"/>
  <c r="M846" i="17"/>
  <c r="AN846" i="17"/>
  <c r="U846" i="17"/>
  <c r="AL846" i="17"/>
  <c r="T846" i="17"/>
  <c r="AG846" i="17"/>
  <c r="K846" i="17"/>
  <c r="AH846" i="17"/>
  <c r="AG847" i="17"/>
  <c r="T858" i="17"/>
  <c r="AC873" i="17"/>
  <c r="AF890" i="17"/>
  <c r="AL892" i="17"/>
  <c r="X892" i="17"/>
  <c r="K892" i="17"/>
  <c r="AR892" i="17"/>
  <c r="AC892" i="17"/>
  <c r="M892" i="17"/>
  <c r="AD892" i="17"/>
  <c r="L892" i="17"/>
  <c r="AB892" i="17"/>
  <c r="J892" i="17"/>
  <c r="AO892" i="17"/>
  <c r="S892" i="17"/>
  <c r="AI892" i="17"/>
  <c r="AF905" i="17"/>
  <c r="AE905" i="17"/>
  <c r="AN909" i="17"/>
  <c r="AH911" i="17"/>
  <c r="AF927" i="17"/>
  <c r="AP930" i="17"/>
  <c r="P930" i="17"/>
  <c r="Y930" i="17"/>
  <c r="R930" i="17"/>
  <c r="Q930" i="17"/>
  <c r="AA930" i="17"/>
  <c r="J934" i="17"/>
  <c r="L955" i="17"/>
  <c r="L958" i="17"/>
  <c r="M961" i="17"/>
  <c r="M986" i="17"/>
  <c r="AH989" i="17"/>
  <c r="R994" i="17"/>
  <c r="AK998" i="17"/>
  <c r="AR1006" i="17"/>
  <c r="AQ1006" i="17"/>
  <c r="AD1006" i="17"/>
  <c r="P1006" i="17"/>
  <c r="AP1006" i="17"/>
  <c r="AC1006" i="17"/>
  <c r="N1006" i="17"/>
  <c r="AN1006" i="17"/>
  <c r="V1006" i="17"/>
  <c r="AI1006" i="17"/>
  <c r="M1006" i="17"/>
  <c r="AH1006" i="17"/>
  <c r="L1006" i="17"/>
  <c r="AO1006" i="17"/>
  <c r="K1006" i="17"/>
  <c r="Y1007" i="17"/>
  <c r="AG1007" i="17"/>
  <c r="X1007" i="17"/>
  <c r="AJ1007" i="17"/>
  <c r="W1007" i="17"/>
  <c r="Q1007" i="17"/>
  <c r="S1010" i="17"/>
  <c r="AL1016" i="17"/>
  <c r="U1016" i="17"/>
  <c r="S1016" i="17"/>
  <c r="AD1023" i="17"/>
  <c r="K1034" i="17"/>
  <c r="AA1034" i="17"/>
  <c r="X1034" i="17"/>
  <c r="V1034" i="17"/>
  <c r="AJ1034" i="17"/>
  <c r="J1034" i="17"/>
  <c r="Q1037" i="17"/>
  <c r="K1038" i="17"/>
  <c r="AP1038" i="17"/>
  <c r="W1041" i="17"/>
  <c r="AR1041" i="17"/>
  <c r="AN1041" i="17"/>
  <c r="Y1051" i="17"/>
  <c r="W1055" i="17"/>
  <c r="Y1081" i="17"/>
  <c r="J1097" i="17"/>
  <c r="AB1114" i="17"/>
  <c r="AJ1128" i="17"/>
  <c r="T1146" i="17"/>
  <c r="AR1146" i="17"/>
  <c r="S1146" i="17"/>
  <c r="AD1146" i="17"/>
  <c r="L1146" i="17"/>
  <c r="AP1146" i="17"/>
  <c r="K1146" i="17"/>
  <c r="M1146" i="17"/>
  <c r="K1178" i="17"/>
  <c r="N1184" i="17"/>
  <c r="AP1185" i="17"/>
  <c r="J1191" i="17"/>
  <c r="W1195" i="17"/>
  <c r="AQ1232" i="17"/>
  <c r="Z1232" i="17"/>
  <c r="K1232" i="17"/>
  <c r="AP1232" i="17"/>
  <c r="Y1232" i="17"/>
  <c r="J1232" i="17"/>
  <c r="AJ1232" i="17"/>
  <c r="Q1232" i="17"/>
  <c r="V1232" i="17"/>
  <c r="T1232" i="17"/>
  <c r="AG1232" i="17"/>
  <c r="AD1232" i="17"/>
  <c r="AN1247" i="17"/>
  <c r="R1247" i="17"/>
  <c r="O1247" i="17"/>
  <c r="AM1261" i="17"/>
  <c r="AR1362" i="17"/>
  <c r="U1362" i="17"/>
  <c r="AQ1362" i="17"/>
  <c r="T1362" i="17"/>
  <c r="AC1362" i="17"/>
  <c r="S1362" i="17"/>
  <c r="P1362" i="17"/>
  <c r="AE1362" i="17"/>
  <c r="V1362" i="17"/>
  <c r="N1362" i="17"/>
  <c r="AG1373" i="17"/>
  <c r="Q1373" i="17"/>
  <c r="AF1373" i="17"/>
  <c r="AI1423" i="17"/>
  <c r="AM1456" i="17"/>
  <c r="W1456" i="17"/>
  <c r="AL1456" i="17"/>
  <c r="S1456" i="17"/>
  <c r="AK1456" i="17"/>
  <c r="N1456" i="17"/>
  <c r="AA1456" i="17"/>
  <c r="X1456" i="17"/>
  <c r="AC1456" i="17"/>
  <c r="AB1456" i="17"/>
  <c r="R1456" i="17"/>
  <c r="O1489" i="17"/>
  <c r="AI1502" i="17"/>
  <c r="AR1549" i="17"/>
  <c r="AQ1572" i="17"/>
  <c r="AP1581" i="17"/>
  <c r="AI1581" i="17"/>
  <c r="K1660" i="17"/>
  <c r="X1721" i="17"/>
  <c r="AR1721" i="17"/>
  <c r="AQ1721" i="17"/>
  <c r="AC1721" i="17"/>
  <c r="R1740" i="17"/>
  <c r="O1740" i="17"/>
  <c r="AN1740" i="17"/>
  <c r="L1740" i="17"/>
  <c r="AM1740" i="17"/>
  <c r="AJ1740" i="17"/>
  <c r="AH1740" i="17"/>
  <c r="Z1740" i="17"/>
  <c r="Y1740" i="17"/>
  <c r="AF1799" i="17"/>
  <c r="X1799" i="17"/>
  <c r="AN1799" i="17"/>
  <c r="AA1799" i="17"/>
  <c r="L1799" i="17"/>
  <c r="K1799" i="17"/>
  <c r="W1799" i="17"/>
  <c r="V1799" i="17"/>
  <c r="AJ1932" i="17"/>
  <c r="S1932" i="17"/>
  <c r="U1932" i="17"/>
  <c r="AN1932" i="17"/>
  <c r="T1932" i="17"/>
  <c r="AC1932" i="17"/>
  <c r="AI1932" i="17"/>
  <c r="AE1932" i="17"/>
  <c r="AD1932" i="17"/>
  <c r="P1932" i="17"/>
  <c r="O1932" i="17"/>
  <c r="AM1932" i="17"/>
  <c r="W1932" i="17"/>
  <c r="W4" i="17"/>
  <c r="V9" i="17"/>
  <c r="U9" i="17"/>
  <c r="AQ9" i="17" s="1"/>
  <c r="R12" i="17"/>
  <c r="S15" i="17"/>
  <c r="K27" i="17"/>
  <c r="L28" i="17"/>
  <c r="L37" i="17"/>
  <c r="Z74" i="17"/>
  <c r="W114" i="17"/>
  <c r="S127" i="17"/>
  <c r="S153" i="17"/>
  <c r="X165" i="17"/>
  <c r="U165" i="17"/>
  <c r="AH165" i="17" s="1"/>
  <c r="T165" i="17"/>
  <c r="AD179" i="17"/>
  <c r="O179" i="17"/>
  <c r="AC179" i="17"/>
  <c r="N179" i="17"/>
  <c r="AE179" i="17"/>
  <c r="AR200" i="17"/>
  <c r="T200" i="17"/>
  <c r="R200" i="17"/>
  <c r="AJ200" i="17"/>
  <c r="AH200" i="17"/>
  <c r="AI221" i="17"/>
  <c r="AQ221" i="17"/>
  <c r="W221" i="17"/>
  <c r="AN221" i="17"/>
  <c r="T221" i="17"/>
  <c r="AD221" i="17"/>
  <c r="AP229" i="17"/>
  <c r="AC229" i="17"/>
  <c r="O229" i="17"/>
  <c r="AR229" i="17"/>
  <c r="N229" i="17"/>
  <c r="AB229" i="17"/>
  <c r="AA229" i="17"/>
  <c r="AP231" i="17"/>
  <c r="AJ231" i="17"/>
  <c r="V231" i="17"/>
  <c r="AI231" i="17"/>
  <c r="S231" i="17"/>
  <c r="AA231" i="17"/>
  <c r="AH272" i="17"/>
  <c r="T272" i="17"/>
  <c r="S272" i="17"/>
  <c r="AR275" i="17"/>
  <c r="AI283" i="17"/>
  <c r="AM283" i="17"/>
  <c r="W283" i="17"/>
  <c r="AG326" i="17"/>
  <c r="AB326" i="17"/>
  <c r="AC331" i="17"/>
  <c r="X333" i="17"/>
  <c r="AQ333" i="17"/>
  <c r="U333" i="17"/>
  <c r="AI372" i="17"/>
  <c r="AO372" i="17"/>
  <c r="R372" i="17"/>
  <c r="Q372" i="17"/>
  <c r="AN372" i="17"/>
  <c r="AR373" i="17"/>
  <c r="AK373" i="17"/>
  <c r="W373" i="17"/>
  <c r="R373" i="17"/>
  <c r="AJ373" i="17"/>
  <c r="AA373" i="17"/>
  <c r="AA416" i="17"/>
  <c r="AN417" i="17"/>
  <c r="AK417" i="17"/>
  <c r="U425" i="17"/>
  <c r="T425" i="17"/>
  <c r="AA437" i="17"/>
  <c r="AN437" i="17"/>
  <c r="P437" i="17"/>
  <c r="AM437" i="17"/>
  <c r="O437" i="17"/>
  <c r="Z484" i="17"/>
  <c r="Y484" i="17"/>
  <c r="AN484" i="17"/>
  <c r="AP491" i="17"/>
  <c r="AR491" i="17"/>
  <c r="AE491" i="17"/>
  <c r="S491" i="17"/>
  <c r="AC491" i="17"/>
  <c r="P491" i="17"/>
  <c r="AQ491" i="17"/>
  <c r="W491" i="17"/>
  <c r="AJ505" i="17"/>
  <c r="O505" i="17"/>
  <c r="AI505" i="17"/>
  <c r="N505" i="17"/>
  <c r="AK505" i="17"/>
  <c r="AL513" i="17"/>
  <c r="AE518" i="17"/>
  <c r="AO518" i="17"/>
  <c r="AH619" i="17"/>
  <c r="U619" i="17"/>
  <c r="R619" i="17"/>
  <c r="AF619" i="17"/>
  <c r="X619" i="17"/>
  <c r="Q644" i="17"/>
  <c r="P663" i="17"/>
  <c r="AI666" i="17"/>
  <c r="AL683" i="17"/>
  <c r="AA683" i="17"/>
  <c r="N683" i="17"/>
  <c r="AP683" i="17"/>
  <c r="AB683" i="17"/>
  <c r="M683" i="17"/>
  <c r="AN683" i="17"/>
  <c r="L683" i="17"/>
  <c r="X683" i="17"/>
  <c r="AD683" i="17"/>
  <c r="J683" i="17"/>
  <c r="AD697" i="17"/>
  <c r="AD718" i="17"/>
  <c r="AE721" i="17"/>
  <c r="P721" i="17"/>
  <c r="AJ721" i="17"/>
  <c r="U721" i="17"/>
  <c r="R721" i="17"/>
  <c r="AI721" i="17"/>
  <c r="AP721" i="17"/>
  <c r="V721" i="17"/>
  <c r="AB721" i="17"/>
  <c r="AN744" i="17"/>
  <c r="AM744" i="17"/>
  <c r="AL744" i="17"/>
  <c r="S765" i="17"/>
  <c r="V781" i="17"/>
  <c r="Q781" i="17"/>
  <c r="AJ781" i="17"/>
  <c r="M781" i="17"/>
  <c r="AG781" i="17"/>
  <c r="U784" i="17"/>
  <c r="V784" i="17"/>
  <c r="R784" i="17"/>
  <c r="AF784" i="17"/>
  <c r="AG1216" i="17"/>
  <c r="N1216" i="17"/>
  <c r="AD1216" i="17"/>
  <c r="M1216" i="17"/>
  <c r="AA1216" i="17"/>
  <c r="J1216" i="17"/>
  <c r="AQ1216" i="17"/>
  <c r="T1216" i="17"/>
  <c r="AL1216" i="17"/>
  <c r="R1216" i="17"/>
  <c r="V1216" i="17"/>
  <c r="L1216" i="17"/>
  <c r="V1318" i="17"/>
  <c r="Z1318" i="17"/>
  <c r="AQ1342" i="17"/>
  <c r="AR1342" i="17"/>
  <c r="AP1342" i="17"/>
  <c r="L1415" i="17"/>
  <c r="K1415" i="17"/>
  <c r="AH1415" i="17"/>
  <c r="AE1415" i="17"/>
  <c r="Z1415" i="17"/>
  <c r="AB1423" i="17"/>
  <c r="AK1444" i="17"/>
  <c r="T1444" i="17"/>
  <c r="AI1444" i="17"/>
  <c r="S1444" i="17"/>
  <c r="AR1444" i="17"/>
  <c r="W1444" i="17"/>
  <c r="X1444" i="17"/>
  <c r="O1444" i="17"/>
  <c r="M1444" i="17"/>
  <c r="AM1444" i="17"/>
  <c r="L1444" i="17"/>
  <c r="AL1444" i="17"/>
  <c r="J1444" i="17"/>
  <c r="AL1564" i="17"/>
  <c r="AA1564" i="17"/>
  <c r="O1564" i="17"/>
  <c r="AK1564" i="17"/>
  <c r="Z1564" i="17"/>
  <c r="N1564" i="17"/>
  <c r="AI1564" i="17"/>
  <c r="T1564" i="17"/>
  <c r="AH1564" i="17"/>
  <c r="R1564" i="17"/>
  <c r="AR1564" i="17"/>
  <c r="W1564" i="17"/>
  <c r="AB1564" i="17"/>
  <c r="X1564" i="17"/>
  <c r="P1564" i="17"/>
  <c r="L1564" i="17"/>
  <c r="AQ1564" i="17"/>
  <c r="K1564" i="17"/>
  <c r="AK1572" i="17"/>
  <c r="AJ1584" i="17"/>
  <c r="R1584" i="17"/>
  <c r="AI1584" i="17"/>
  <c r="P1584" i="17"/>
  <c r="V1584" i="17"/>
  <c r="S1584" i="17"/>
  <c r="AB1584" i="17"/>
  <c r="AH1584" i="17"/>
  <c r="AC1584" i="17"/>
  <c r="AA1584" i="17"/>
  <c r="O1584" i="17"/>
  <c r="M1584" i="17"/>
  <c r="AO1614" i="17"/>
  <c r="AQ1614" i="17"/>
  <c r="AF1614" i="17"/>
  <c r="V1614" i="17"/>
  <c r="L1614" i="17"/>
  <c r="AP1614" i="17"/>
  <c r="AE1614" i="17"/>
  <c r="U1614" i="17"/>
  <c r="K1614" i="17"/>
  <c r="AH1614" i="17"/>
  <c r="S1614" i="17"/>
  <c r="AD1614" i="17"/>
  <c r="P1614" i="17"/>
  <c r="AI1614" i="17"/>
  <c r="N1614" i="17"/>
  <c r="Z1614" i="17"/>
  <c r="AR1614" i="17"/>
  <c r="X1614" i="17"/>
  <c r="W1614" i="17"/>
  <c r="T1614" i="17"/>
  <c r="AN1614" i="17"/>
  <c r="O1614" i="17"/>
  <c r="Y1788" i="17"/>
  <c r="R1788" i="17"/>
  <c r="X1788" i="17"/>
  <c r="AP1788" i="17"/>
  <c r="AB1788" i="17"/>
  <c r="S9" i="17"/>
  <c r="M9" i="17"/>
  <c r="S13" i="17"/>
  <c r="N13" i="17"/>
  <c r="K22" i="17"/>
  <c r="K58" i="17"/>
  <c r="K63" i="17"/>
  <c r="S66" i="17"/>
  <c r="T66" i="17"/>
  <c r="S73" i="17"/>
  <c r="Y76" i="17"/>
  <c r="T89" i="17"/>
  <c r="X99" i="17"/>
  <c r="T99" i="17"/>
  <c r="N99" i="17"/>
  <c r="W109" i="17"/>
  <c r="X109" i="17"/>
  <c r="U109" i="17"/>
  <c r="U123" i="17"/>
  <c r="K137" i="17"/>
  <c r="L156" i="17"/>
  <c r="S165" i="17"/>
  <c r="N165" i="17"/>
  <c r="T178" i="17"/>
  <c r="S178" i="17"/>
  <c r="P179" i="17"/>
  <c r="AK179" i="17"/>
  <c r="AM184" i="17"/>
  <c r="Q184" i="17"/>
  <c r="P184" i="17"/>
  <c r="AH184" i="17"/>
  <c r="AN184" i="17"/>
  <c r="L198" i="17"/>
  <c r="K198" i="17"/>
  <c r="L200" i="17"/>
  <c r="AC201" i="17"/>
  <c r="AN201" i="17"/>
  <c r="AM201" i="17"/>
  <c r="AP209" i="17"/>
  <c r="AJ209" i="17"/>
  <c r="V209" i="17"/>
  <c r="AI209" i="17"/>
  <c r="S209" i="17"/>
  <c r="AA209" i="17"/>
  <c r="W213" i="17"/>
  <c r="V213" i="17"/>
  <c r="AQ213" i="17"/>
  <c r="L221" i="17"/>
  <c r="AF221" i="17"/>
  <c r="AO226" i="17"/>
  <c r="M229" i="17"/>
  <c r="AI229" i="17"/>
  <c r="M231" i="17"/>
  <c r="AC231" i="17"/>
  <c r="O232" i="17"/>
  <c r="AR232" i="17"/>
  <c r="AM246" i="17"/>
  <c r="AH246" i="17"/>
  <c r="P246" i="17"/>
  <c r="O246" i="17"/>
  <c r="AG246" i="17"/>
  <c r="AI246" i="17"/>
  <c r="AP249" i="17"/>
  <c r="AE249" i="17"/>
  <c r="O249" i="17"/>
  <c r="AB249" i="17"/>
  <c r="AR249" i="17"/>
  <c r="N249" i="17"/>
  <c r="X249" i="17"/>
  <c r="AP259" i="17"/>
  <c r="AM259" i="17"/>
  <c r="AA259" i="17"/>
  <c r="M259" i="17"/>
  <c r="X259" i="17"/>
  <c r="AL259" i="17"/>
  <c r="L259" i="17"/>
  <c r="AC259" i="17"/>
  <c r="L260" i="17"/>
  <c r="AJ260" i="17"/>
  <c r="AE263" i="17"/>
  <c r="AL263" i="17"/>
  <c r="AC263" i="17"/>
  <c r="AI264" i="17"/>
  <c r="AK271" i="17"/>
  <c r="T271" i="17"/>
  <c r="AJ271" i="17"/>
  <c r="S271" i="17"/>
  <c r="AC271" i="17"/>
  <c r="R272" i="17"/>
  <c r="L275" i="17"/>
  <c r="AB275" i="17"/>
  <c r="V283" i="17"/>
  <c r="K292" i="17"/>
  <c r="AN309" i="17"/>
  <c r="T309" i="17"/>
  <c r="S309" i="17"/>
  <c r="AK309" i="17"/>
  <c r="AI309" i="17"/>
  <c r="AP321" i="17"/>
  <c r="AI321" i="17"/>
  <c r="S321" i="17"/>
  <c r="P321" i="17"/>
  <c r="AF321" i="17"/>
  <c r="AA321" i="17"/>
  <c r="Y322" i="17"/>
  <c r="AI322" i="17"/>
  <c r="AH322" i="17"/>
  <c r="R326" i="17"/>
  <c r="O331" i="17"/>
  <c r="AI331" i="17"/>
  <c r="O333" i="17"/>
  <c r="AF354" i="17"/>
  <c r="AO363" i="17"/>
  <c r="AK363" i="17"/>
  <c r="Z363" i="17"/>
  <c r="O363" i="17"/>
  <c r="AI363" i="17"/>
  <c r="N363" i="17"/>
  <c r="X363" i="17"/>
  <c r="U363" i="17"/>
  <c r="AH363" i="17"/>
  <c r="AE367" i="17"/>
  <c r="AB367" i="17"/>
  <c r="AK367" i="17"/>
  <c r="S372" i="17"/>
  <c r="M373" i="17"/>
  <c r="AE373" i="17"/>
  <c r="L387" i="17"/>
  <c r="AF399" i="17"/>
  <c r="AC399" i="17"/>
  <c r="AQ399" i="17"/>
  <c r="AM403" i="17"/>
  <c r="O403" i="17"/>
  <c r="AL403" i="17"/>
  <c r="N403" i="17"/>
  <c r="O416" i="17"/>
  <c r="AF416" i="17"/>
  <c r="V417" i="17"/>
  <c r="AE421" i="17"/>
  <c r="P421" i="17"/>
  <c r="O421" i="17"/>
  <c r="AD421" i="17"/>
  <c r="AC421" i="17"/>
  <c r="AA425" i="17"/>
  <c r="N437" i="17"/>
  <c r="AI439" i="17"/>
  <c r="T439" i="17"/>
  <c r="AF439" i="17"/>
  <c r="S439" i="17"/>
  <c r="AC439" i="17"/>
  <c r="AP441" i="17"/>
  <c r="AM441" i="17"/>
  <c r="AA441" i="17"/>
  <c r="M441" i="17"/>
  <c r="X441" i="17"/>
  <c r="AL441" i="17"/>
  <c r="L441" i="17"/>
  <c r="AC441" i="17"/>
  <c r="AP447" i="17"/>
  <c r="AC447" i="17"/>
  <c r="O447" i="17"/>
  <c r="AR447" i="17"/>
  <c r="N447" i="17"/>
  <c r="AB447" i="17"/>
  <c r="AA447" i="17"/>
  <c r="AK465" i="17"/>
  <c r="O465" i="17"/>
  <c r="AJ465" i="17"/>
  <c r="N465" i="17"/>
  <c r="AB474" i="17"/>
  <c r="S478" i="17"/>
  <c r="Q484" i="17"/>
  <c r="AA485" i="17"/>
  <c r="AL485" i="17"/>
  <c r="N485" i="17"/>
  <c r="M485" i="17"/>
  <c r="AK485" i="17"/>
  <c r="AN485" i="17"/>
  <c r="L491" i="17"/>
  <c r="AA491" i="17"/>
  <c r="AQ495" i="17"/>
  <c r="AC495" i="17"/>
  <c r="R498" i="17"/>
  <c r="Q498" i="17"/>
  <c r="AM498" i="17"/>
  <c r="T505" i="17"/>
  <c r="L513" i="17"/>
  <c r="AA513" i="17"/>
  <c r="Q518" i="17"/>
  <c r="T552" i="17"/>
  <c r="AF559" i="17"/>
  <c r="V559" i="17"/>
  <c r="U559" i="17"/>
  <c r="P560" i="17"/>
  <c r="AJ560" i="17"/>
  <c r="AD565" i="17"/>
  <c r="AA565" i="17"/>
  <c r="V565" i="17"/>
  <c r="L581" i="17"/>
  <c r="AC581" i="17"/>
  <c r="AO582" i="17"/>
  <c r="AB582" i="17"/>
  <c r="Y600" i="17"/>
  <c r="W600" i="17"/>
  <c r="V600" i="17"/>
  <c r="Z605" i="17"/>
  <c r="T605" i="17"/>
  <c r="T607" i="17"/>
  <c r="L619" i="17"/>
  <c r="AB619" i="17"/>
  <c r="S642" i="17"/>
  <c r="AA644" i="17"/>
  <c r="AG646" i="17"/>
  <c r="J646" i="17"/>
  <c r="S646" i="17"/>
  <c r="AQ646" i="17"/>
  <c r="O646" i="17"/>
  <c r="N646" i="17"/>
  <c r="N649" i="17"/>
  <c r="AP649" i="17"/>
  <c r="N654" i="17"/>
  <c r="AN654" i="17"/>
  <c r="V662" i="17"/>
  <c r="R662" i="17"/>
  <c r="AI662" i="17"/>
  <c r="T663" i="17"/>
  <c r="AN663" i="17"/>
  <c r="AP666" i="17"/>
  <c r="AD673" i="17"/>
  <c r="AE673" i="17"/>
  <c r="AC673" i="17"/>
  <c r="R673" i="17"/>
  <c r="AQ673" i="17"/>
  <c r="AJ677" i="17"/>
  <c r="S677" i="17"/>
  <c r="AM677" i="17"/>
  <c r="T677" i="17"/>
  <c r="AL677" i="17"/>
  <c r="R677" i="17"/>
  <c r="AI677" i="17"/>
  <c r="N677" i="17"/>
  <c r="AD677" i="17"/>
  <c r="O683" i="17"/>
  <c r="AH683" i="17"/>
  <c r="O686" i="17"/>
  <c r="AN689" i="17"/>
  <c r="N689" i="17"/>
  <c r="T689" i="17"/>
  <c r="S689" i="17"/>
  <c r="AQ689" i="17"/>
  <c r="M689" i="17"/>
  <c r="P692" i="17"/>
  <c r="AQ698" i="17"/>
  <c r="AA698" i="17"/>
  <c r="K698" i="17"/>
  <c r="AN698" i="17"/>
  <c r="V698" i="17"/>
  <c r="AL698" i="17"/>
  <c r="R698" i="17"/>
  <c r="Y698" i="17"/>
  <c r="AG698" i="17"/>
  <c r="AA706" i="17"/>
  <c r="AP712" i="17"/>
  <c r="AO717" i="17"/>
  <c r="AR717" i="17"/>
  <c r="AH717" i="17"/>
  <c r="W717" i="17"/>
  <c r="M717" i="17"/>
  <c r="AN717" i="17"/>
  <c r="AC717" i="17"/>
  <c r="P717" i="17"/>
  <c r="AM717" i="17"/>
  <c r="AB717" i="17"/>
  <c r="O717" i="17"/>
  <c r="AK717" i="17"/>
  <c r="U717" i="17"/>
  <c r="X717" i="17"/>
  <c r="AQ717" i="17"/>
  <c r="AH718" i="17"/>
  <c r="L721" i="17"/>
  <c r="AK721" i="17"/>
  <c r="AQ725" i="17"/>
  <c r="T725" i="17"/>
  <c r="AN725" i="17"/>
  <c r="M725" i="17"/>
  <c r="L725" i="17"/>
  <c r="AF725" i="17"/>
  <c r="AP725" i="17"/>
  <c r="AF731" i="17"/>
  <c r="U731" i="17"/>
  <c r="J731" i="17"/>
  <c r="AP731" i="17"/>
  <c r="AB731" i="17"/>
  <c r="N731" i="17"/>
  <c r="AN731" i="17"/>
  <c r="M731" i="17"/>
  <c r="AA731" i="17"/>
  <c r="AJ731" i="17"/>
  <c r="R731" i="17"/>
  <c r="AD731" i="17"/>
  <c r="AN737" i="17"/>
  <c r="N737" i="17"/>
  <c r="AA737" i="17"/>
  <c r="Z737" i="17"/>
  <c r="M737" i="17"/>
  <c r="Z744" i="17"/>
  <c r="V746" i="17"/>
  <c r="N747" i="17"/>
  <c r="AM747" i="17"/>
  <c r="R751" i="17"/>
  <c r="AK751" i="17"/>
  <c r="AE751" i="17"/>
  <c r="AD751" i="17"/>
  <c r="AF765" i="17"/>
  <c r="AF768" i="17"/>
  <c r="AM772" i="17"/>
  <c r="U781" i="17"/>
  <c r="Z784" i="17"/>
  <c r="Y787" i="17"/>
  <c r="AH787" i="17"/>
  <c r="Y790" i="17"/>
  <c r="AN793" i="17"/>
  <c r="AH798" i="17"/>
  <c r="Q798" i="17"/>
  <c r="AN798" i="17"/>
  <c r="U798" i="17"/>
  <c r="AL798" i="17"/>
  <c r="P798" i="17"/>
  <c r="AP798" i="17"/>
  <c r="N798" i="17"/>
  <c r="AD798" i="17"/>
  <c r="AR805" i="17"/>
  <c r="AO812" i="17"/>
  <c r="AB812" i="17"/>
  <c r="N812" i="17"/>
  <c r="AK812" i="17"/>
  <c r="U812" i="17"/>
  <c r="AI812" i="17"/>
  <c r="S812" i="17"/>
  <c r="AP812" i="17"/>
  <c r="X812" i="17"/>
  <c r="AC812" i="17"/>
  <c r="AJ815" i="17"/>
  <c r="AR820" i="17"/>
  <c r="Y831" i="17"/>
  <c r="AB834" i="17"/>
  <c r="AH834" i="17"/>
  <c r="AA834" i="17"/>
  <c r="S842" i="17"/>
  <c r="AH847" i="17"/>
  <c r="AF858" i="17"/>
  <c r="AF863" i="17"/>
  <c r="U863" i="17"/>
  <c r="AL873" i="17"/>
  <c r="AG890" i="17"/>
  <c r="AH898" i="17"/>
  <c r="AP898" i="17"/>
  <c r="AL908" i="17"/>
  <c r="V908" i="17"/>
  <c r="AO908" i="17"/>
  <c r="X908" i="17"/>
  <c r="AD908" i="17"/>
  <c r="L908" i="17"/>
  <c r="AC908" i="17"/>
  <c r="K908" i="17"/>
  <c r="Y908" i="17"/>
  <c r="AN908" i="17"/>
  <c r="AR910" i="17"/>
  <c r="Y910" i="17"/>
  <c r="AL910" i="17"/>
  <c r="Z910" i="17"/>
  <c r="AP911" i="17"/>
  <c r="AC919" i="17"/>
  <c r="AJ919" i="17"/>
  <c r="M919" i="17"/>
  <c r="Q919" i="17"/>
  <c r="AM919" i="17"/>
  <c r="P919" i="17"/>
  <c r="T919" i="17"/>
  <c r="AI934" i="17"/>
  <c r="O955" i="17"/>
  <c r="Q958" i="17"/>
  <c r="P961" i="17"/>
  <c r="S986" i="17"/>
  <c r="AM989" i="17"/>
  <c r="V994" i="17"/>
  <c r="AL999" i="17"/>
  <c r="AJ999" i="17"/>
  <c r="L999" i="17"/>
  <c r="AH999" i="17"/>
  <c r="J999" i="17"/>
  <c r="Q999" i="17"/>
  <c r="U999" i="17"/>
  <c r="P999" i="17"/>
  <c r="Z999" i="17"/>
  <c r="Z1010" i="17"/>
  <c r="AE1023" i="17"/>
  <c r="T1037" i="17"/>
  <c r="L1038" i="17"/>
  <c r="AQ1038" i="17"/>
  <c r="AF1055" i="17"/>
  <c r="AC1081" i="17"/>
  <c r="AD1091" i="17"/>
  <c r="AC1091" i="17"/>
  <c r="X1091" i="17"/>
  <c r="R1091" i="17"/>
  <c r="P1091" i="17"/>
  <c r="AO1091" i="17"/>
  <c r="O1091" i="17"/>
  <c r="AL1091" i="17"/>
  <c r="Y1097" i="17"/>
  <c r="AC1114" i="17"/>
  <c r="AD1127" i="17"/>
  <c r="AN1127" i="17"/>
  <c r="AK1127" i="17"/>
  <c r="N1127" i="17"/>
  <c r="V1127" i="17"/>
  <c r="U1127" i="17"/>
  <c r="Y1127" i="17"/>
  <c r="AP1128" i="17"/>
  <c r="AA1166" i="17"/>
  <c r="Z1166" i="17"/>
  <c r="Q1166" i="17"/>
  <c r="AR1166" i="17"/>
  <c r="L1178" i="17"/>
  <c r="Q1184" i="17"/>
  <c r="U1191" i="17"/>
  <c r="Y1216" i="17"/>
  <c r="V1248" i="17"/>
  <c r="U1248" i="17"/>
  <c r="Z1248" i="17"/>
  <c r="K1248" i="17"/>
  <c r="U1260" i="17"/>
  <c r="R1260" i="17"/>
  <c r="AQ1260" i="17"/>
  <c r="AO1260" i="17"/>
  <c r="V1260" i="17"/>
  <c r="AI1414" i="17"/>
  <c r="P1414" i="17"/>
  <c r="AD1414" i="17"/>
  <c r="O1414" i="17"/>
  <c r="AM1414" i="17"/>
  <c r="S1414" i="17"/>
  <c r="AQ1414" i="17"/>
  <c r="U1414" i="17"/>
  <c r="AN1414" i="17"/>
  <c r="N1414" i="17"/>
  <c r="AB1414" i="17"/>
  <c r="AA1414" i="17"/>
  <c r="X1414" i="17"/>
  <c r="AG1417" i="17"/>
  <c r="AA1417" i="17"/>
  <c r="AJ1423" i="17"/>
  <c r="AA1444" i="17"/>
  <c r="S1489" i="17"/>
  <c r="AA1550" i="17"/>
  <c r="Z1550" i="17"/>
  <c r="AD1550" i="17"/>
  <c r="P1550" i="17"/>
  <c r="AK1550" i="17"/>
  <c r="AL1560" i="17"/>
  <c r="AE1560" i="17"/>
  <c r="AA1560" i="17"/>
  <c r="Z1560" i="17"/>
  <c r="X1560" i="17"/>
  <c r="U1564" i="17"/>
  <c r="AR1584" i="17"/>
  <c r="M1614" i="17"/>
  <c r="V1618" i="17"/>
  <c r="AI1618" i="17"/>
  <c r="K1618" i="17"/>
  <c r="T1618" i="17"/>
  <c r="S1618" i="17"/>
  <c r="U1618" i="17"/>
  <c r="R1618" i="17"/>
  <c r="AN1618" i="17"/>
  <c r="AM1618" i="17"/>
  <c r="AF1618" i="17"/>
  <c r="AE1637" i="17"/>
  <c r="AC1637" i="17"/>
  <c r="AB1637" i="17"/>
  <c r="R1637" i="17"/>
  <c r="M1637" i="17"/>
  <c r="AR1637" i="17"/>
  <c r="AA1637" i="17"/>
  <c r="AO1673" i="17"/>
  <c r="AP1673" i="17"/>
  <c r="AB1673" i="17"/>
  <c r="O1673" i="17"/>
  <c r="AE1673" i="17"/>
  <c r="R1673" i="17"/>
  <c r="AR1673" i="17"/>
  <c r="AD1673" i="17"/>
  <c r="N1673" i="17"/>
  <c r="AJ1673" i="17"/>
  <c r="T1673" i="17"/>
  <c r="AI1673" i="17"/>
  <c r="M1673" i="17"/>
  <c r="V1673" i="17"/>
  <c r="U1673" i="17"/>
  <c r="AQ1673" i="17"/>
  <c r="L1673" i="17"/>
  <c r="AH1673" i="17"/>
  <c r="AA1673" i="17"/>
  <c r="Z1673" i="17"/>
  <c r="AF1698" i="17"/>
  <c r="K1698" i="17"/>
  <c r="AH1698" i="17"/>
  <c r="AG1698" i="17"/>
  <c r="AP1927" i="17"/>
  <c r="AE1927" i="17"/>
  <c r="W1927" i="17"/>
  <c r="X1927" i="17"/>
  <c r="AQ1983" i="17"/>
  <c r="T1983" i="17"/>
  <c r="AP1983" i="17"/>
  <c r="Q1983" i="17"/>
  <c r="AM1983" i="17"/>
  <c r="J1983" i="17"/>
  <c r="V1983" i="17"/>
  <c r="AA1983" i="17"/>
  <c r="Z1983" i="17"/>
  <c r="AL1983" i="17"/>
  <c r="AH1983" i="17"/>
  <c r="R1983" i="17"/>
  <c r="X1305" i="17"/>
  <c r="R1305" i="17"/>
  <c r="AM1313" i="17"/>
  <c r="R1313" i="17"/>
  <c r="N1313" i="17"/>
  <c r="AP1313" i="17"/>
  <c r="AP1394" i="17"/>
  <c r="AI1394" i="17"/>
  <c r="V1394" i="17"/>
  <c r="L1394" i="17"/>
  <c r="AF1394" i="17"/>
  <c r="U1394" i="17"/>
  <c r="K1394" i="17"/>
  <c r="AQ1394" i="17"/>
  <c r="AA1394" i="17"/>
  <c r="M1394" i="17"/>
  <c r="AK1394" i="17"/>
  <c r="S1394" i="17"/>
  <c r="AJ1394" i="17"/>
  <c r="P1394" i="17"/>
  <c r="AD1394" i="17"/>
  <c r="AF1397" i="17"/>
  <c r="AP1397" i="17"/>
  <c r="AE1397" i="17"/>
  <c r="J1397" i="17"/>
  <c r="AN1532" i="17"/>
  <c r="AA1532" i="17"/>
  <c r="M1532" i="17"/>
  <c r="AM1532" i="17"/>
  <c r="Z1532" i="17"/>
  <c r="L1532" i="17"/>
  <c r="AL1532" i="17"/>
  <c r="T1532" i="17"/>
  <c r="AJ1532" i="17"/>
  <c r="R1532" i="17"/>
  <c r="AQ1532" i="17"/>
  <c r="P1532" i="17"/>
  <c r="AC1532" i="17"/>
  <c r="W1532" i="17"/>
  <c r="AB1582" i="17"/>
  <c r="AP1582" i="17"/>
  <c r="R1582" i="17"/>
  <c r="AK1582" i="17"/>
  <c r="P1582" i="17"/>
  <c r="AJ1582" i="17"/>
  <c r="AI1582" i="17"/>
  <c r="AE1582" i="17"/>
  <c r="X1582" i="17"/>
  <c r="AP1636" i="17"/>
  <c r="AI1636" i="17"/>
  <c r="AD1636" i="17"/>
  <c r="S1636" i="17"/>
  <c r="AM1653" i="17"/>
  <c r="AA1653" i="17"/>
  <c r="L1653" i="17"/>
  <c r="AD1653" i="17"/>
  <c r="O1653" i="17"/>
  <c r="AC1653" i="17"/>
  <c r="M1653" i="17"/>
  <c r="AK1653" i="17"/>
  <c r="R1653" i="17"/>
  <c r="AI1653" i="17"/>
  <c r="K1653" i="17"/>
  <c r="W1653" i="17"/>
  <c r="V1653" i="17"/>
  <c r="U1653" i="17"/>
  <c r="AL1681" i="17"/>
  <c r="M1681" i="17"/>
  <c r="V1681" i="17"/>
  <c r="AP1681" i="17"/>
  <c r="N1681" i="17"/>
  <c r="W1681" i="17"/>
  <c r="L1681" i="17"/>
  <c r="Z1681" i="17"/>
  <c r="AC1681" i="17"/>
  <c r="AB1681" i="17"/>
  <c r="AP1752" i="17"/>
  <c r="W1752" i="17"/>
  <c r="AI1752" i="17"/>
  <c r="O1752" i="17"/>
  <c r="AH1752" i="17"/>
  <c r="L1752" i="17"/>
  <c r="T1752" i="17"/>
  <c r="AR1752" i="17"/>
  <c r="P1752" i="17"/>
  <c r="AF1752" i="17"/>
  <c r="AA1752" i="17"/>
  <c r="K1752" i="17"/>
  <c r="Y1752" i="17"/>
  <c r="J1752" i="17"/>
  <c r="AF1785" i="17"/>
  <c r="AE1785" i="17"/>
  <c r="T1785" i="17"/>
  <c r="AB1796" i="17"/>
  <c r="AH1796" i="17"/>
  <c r="W1878" i="17"/>
  <c r="AM1878" i="17"/>
  <c r="J1878" i="17"/>
  <c r="Y1878" i="17"/>
  <c r="V1878" i="17"/>
  <c r="AP1878" i="17"/>
  <c r="AO1878" i="17"/>
  <c r="U1878" i="17"/>
  <c r="AL1878" i="17"/>
  <c r="AE1961" i="17"/>
  <c r="AG1961" i="17"/>
  <c r="O1961" i="17"/>
  <c r="AR1961" i="17"/>
  <c r="N1961" i="17"/>
  <c r="M1961" i="17"/>
  <c r="AQ1961" i="17"/>
  <c r="Y1961" i="17"/>
  <c r="U1961" i="17"/>
  <c r="AH1961" i="17"/>
  <c r="S1961" i="17"/>
  <c r="AI1961" i="17"/>
  <c r="AO1988" i="17"/>
  <c r="AR1988" i="17"/>
  <c r="AH1988" i="17"/>
  <c r="W1988" i="17"/>
  <c r="M1988" i="17"/>
  <c r="AK1988" i="17"/>
  <c r="X1988" i="17"/>
  <c r="L1988" i="17"/>
  <c r="AI1988" i="17"/>
  <c r="V1988" i="17"/>
  <c r="K1988" i="17"/>
  <c r="AM1988" i="17"/>
  <c r="U1988" i="17"/>
  <c r="AL1988" i="17"/>
  <c r="S1988" i="17"/>
  <c r="AF1988" i="17"/>
  <c r="P1988" i="17"/>
  <c r="AC1988" i="17"/>
  <c r="AB1988" i="17"/>
  <c r="AE1988" i="17"/>
  <c r="AD1988" i="17"/>
  <c r="N1988" i="17"/>
  <c r="J1988" i="17"/>
  <c r="AQ1988" i="17"/>
  <c r="AP1988" i="17"/>
  <c r="AN1988" i="17"/>
  <c r="AR661" i="17"/>
  <c r="AB661" i="17"/>
  <c r="O661" i="17"/>
  <c r="AH661" i="17"/>
  <c r="P661" i="17"/>
  <c r="N661" i="17"/>
  <c r="AF661" i="17"/>
  <c r="AA661" i="17"/>
  <c r="AN674" i="17"/>
  <c r="P674" i="17"/>
  <c r="S674" i="17"/>
  <c r="AQ674" i="17"/>
  <c r="Q674" i="17"/>
  <c r="AO685" i="17"/>
  <c r="AQ685" i="17"/>
  <c r="AF685" i="17"/>
  <c r="V685" i="17"/>
  <c r="L685" i="17"/>
  <c r="AM685" i="17"/>
  <c r="AB685" i="17"/>
  <c r="O685" i="17"/>
  <c r="AL685" i="17"/>
  <c r="Z685" i="17"/>
  <c r="N685" i="17"/>
  <c r="W685" i="17"/>
  <c r="AN685" i="17"/>
  <c r="AF729" i="17"/>
  <c r="R729" i="17"/>
  <c r="AJ729" i="17"/>
  <c r="U729" i="17"/>
  <c r="AH729" i="17"/>
  <c r="O729" i="17"/>
  <c r="AA729" i="17"/>
  <c r="Y756" i="17"/>
  <c r="AA756" i="17"/>
  <c r="AI759" i="17"/>
  <c r="V759" i="17"/>
  <c r="AB759" i="17"/>
  <c r="N759" i="17"/>
  <c r="AR759" i="17"/>
  <c r="AA759" i="17"/>
  <c r="M759" i="17"/>
  <c r="AF759" i="17"/>
  <c r="AJ767" i="17"/>
  <c r="AN767" i="17"/>
  <c r="AM767" i="17"/>
  <c r="AA767" i="17"/>
  <c r="AP826" i="17"/>
  <c r="V826" i="17"/>
  <c r="U826" i="17"/>
  <c r="AO826" i="17"/>
  <c r="M826" i="17"/>
  <c r="AL826" i="17"/>
  <c r="AI902" i="17"/>
  <c r="Z902" i="17"/>
  <c r="S902" i="17"/>
  <c r="T902" i="17"/>
  <c r="R902" i="17"/>
  <c r="AR918" i="17"/>
  <c r="R918" i="17"/>
  <c r="U918" i="17"/>
  <c r="Y918" i="17"/>
  <c r="L918" i="17"/>
  <c r="N928" i="17"/>
  <c r="AF928" i="17"/>
  <c r="AG928" i="17"/>
  <c r="AD928" i="17"/>
  <c r="AJ964" i="17"/>
  <c r="AI964" i="17"/>
  <c r="R964" i="17"/>
  <c r="AG964" i="17"/>
  <c r="Q964" i="17"/>
  <c r="AK964" i="17"/>
  <c r="N964" i="17"/>
  <c r="AP964" i="17"/>
  <c r="P964" i="17"/>
  <c r="AL964" i="17"/>
  <c r="K964" i="17"/>
  <c r="AQ964" i="17"/>
  <c r="AE967" i="17"/>
  <c r="AB967" i="17"/>
  <c r="T967" i="17"/>
  <c r="AR967" i="17"/>
  <c r="AK967" i="17"/>
  <c r="X1008" i="17"/>
  <c r="V1008" i="17"/>
  <c r="AN1008" i="17"/>
  <c r="AO1008" i="17"/>
  <c r="Z1008" i="17"/>
  <c r="AQ1022" i="17"/>
  <c r="T1022" i="17"/>
  <c r="AP1022" i="17"/>
  <c r="Q1022" i="17"/>
  <c r="AO1022" i="17"/>
  <c r="Z1022" i="17"/>
  <c r="Y1022" i="17"/>
  <c r="AR1044" i="17"/>
  <c r="AH1044" i="17"/>
  <c r="R1044" i="17"/>
  <c r="AD1044" i="17"/>
  <c r="Q1044" i="17"/>
  <c r="AA1044" i="17"/>
  <c r="K1044" i="17"/>
  <c r="AI1044" i="17"/>
  <c r="L1044" i="17"/>
  <c r="AB1044" i="17"/>
  <c r="J1044" i="17"/>
  <c r="AK1044" i="17"/>
  <c r="AG1049" i="17"/>
  <c r="O1049" i="17"/>
  <c r="AF1049" i="17"/>
  <c r="N1049" i="17"/>
  <c r="AN1049" i="17"/>
  <c r="P1049" i="17"/>
  <c r="Z1049" i="17"/>
  <c r="Y1049" i="17"/>
  <c r="S1050" i="17"/>
  <c r="R1050" i="17"/>
  <c r="AO1050" i="17"/>
  <c r="AC1050" i="17"/>
  <c r="AR1124" i="17"/>
  <c r="AH1124" i="17"/>
  <c r="R1124" i="17"/>
  <c r="AD1124" i="17"/>
  <c r="Q1124" i="17"/>
  <c r="AK1124" i="17"/>
  <c r="U1124" i="17"/>
  <c r="AL1124" i="17"/>
  <c r="N1124" i="17"/>
  <c r="AJ1124" i="17"/>
  <c r="M1124" i="17"/>
  <c r="AB1124" i="17"/>
  <c r="Y1172" i="17"/>
  <c r="V1172" i="17"/>
  <c r="N1172" i="17"/>
  <c r="AK1172" i="17"/>
  <c r="AD1172" i="17"/>
  <c r="P1237" i="17"/>
  <c r="O1237" i="17"/>
  <c r="AD1246" i="17"/>
  <c r="AR1246" i="17"/>
  <c r="T1246" i="17"/>
  <c r="AQ1246" i="17"/>
  <c r="S1246" i="17"/>
  <c r="Z1246" i="17"/>
  <c r="AH1246" i="17"/>
  <c r="AG1246" i="17"/>
  <c r="AG1253" i="17"/>
  <c r="AH1253" i="17"/>
  <c r="R1253" i="17"/>
  <c r="AF1253" i="17"/>
  <c r="Q1253" i="17"/>
  <c r="AN1253" i="17"/>
  <c r="X1253" i="17"/>
  <c r="AD1253" i="17"/>
  <c r="M1253" i="17"/>
  <c r="AC1253" i="17"/>
  <c r="J1253" i="17"/>
  <c r="AL1253" i="17"/>
  <c r="AP1288" i="17"/>
  <c r="U1288" i="17"/>
  <c r="AJ1288" i="17"/>
  <c r="R1288" i="17"/>
  <c r="Y1288" i="17"/>
  <c r="Z1288" i="17"/>
  <c r="Q1288" i="17"/>
  <c r="AI1288" i="17"/>
  <c r="AE1305" i="17"/>
  <c r="AG1310" i="17"/>
  <c r="AD1310" i="17"/>
  <c r="T1310" i="17"/>
  <c r="J1313" i="17"/>
  <c r="AG1336" i="17"/>
  <c r="N1336" i="17"/>
  <c r="AD1336" i="17"/>
  <c r="M1336" i="17"/>
  <c r="AA1336" i="17"/>
  <c r="V1336" i="17"/>
  <c r="AR1336" i="17"/>
  <c r="R1336" i="17"/>
  <c r="AP1336" i="17"/>
  <c r="Z1344" i="17"/>
  <c r="AH1344" i="17"/>
  <c r="U1344" i="17"/>
  <c r="AI1370" i="17"/>
  <c r="AF1370" i="17"/>
  <c r="S1370" i="17"/>
  <c r="AR1382" i="17"/>
  <c r="AC1382" i="17"/>
  <c r="M1382" i="17"/>
  <c r="AQ1382" i="17"/>
  <c r="AB1382" i="17"/>
  <c r="L1382" i="17"/>
  <c r="U1382" i="17"/>
  <c r="AE1382" i="17"/>
  <c r="AD1382" i="17"/>
  <c r="AM1382" i="17"/>
  <c r="J1394" i="17"/>
  <c r="AE1394" i="17"/>
  <c r="K1397" i="17"/>
  <c r="AA1420" i="17"/>
  <c r="W1420" i="17"/>
  <c r="AO1425" i="17"/>
  <c r="AN1425" i="17"/>
  <c r="AR1455" i="17"/>
  <c r="AJ1455" i="17"/>
  <c r="AE1455" i="17"/>
  <c r="J1455" i="17"/>
  <c r="Y1455" i="17"/>
  <c r="X1455" i="17"/>
  <c r="AO1495" i="17"/>
  <c r="AE1495" i="17"/>
  <c r="O1495" i="17"/>
  <c r="AB1495" i="17"/>
  <c r="J1495" i="17"/>
  <c r="T1495" i="17"/>
  <c r="S1495" i="17"/>
  <c r="AJ1495" i="17"/>
  <c r="AI1495" i="17"/>
  <c r="AF1495" i="17"/>
  <c r="AP1522" i="17"/>
  <c r="AB1522" i="17"/>
  <c r="M1522" i="17"/>
  <c r="AN1522" i="17"/>
  <c r="AA1522" i="17"/>
  <c r="K1522" i="17"/>
  <c r="Z1522" i="17"/>
  <c r="W1522" i="17"/>
  <c r="S1522" i="17"/>
  <c r="P1522" i="17"/>
  <c r="AM1522" i="17"/>
  <c r="N1522" i="17"/>
  <c r="K1532" i="17"/>
  <c r="AO1534" i="17"/>
  <c r="AR1534" i="17"/>
  <c r="AH1534" i="17"/>
  <c r="W1534" i="17"/>
  <c r="M1534" i="17"/>
  <c r="AQ1534" i="17"/>
  <c r="AF1534" i="17"/>
  <c r="V1534" i="17"/>
  <c r="L1534" i="17"/>
  <c r="AP1534" i="17"/>
  <c r="AC1534" i="17"/>
  <c r="O1534" i="17"/>
  <c r="AN1534" i="17"/>
  <c r="AB1534" i="17"/>
  <c r="N1534" i="17"/>
  <c r="AM1534" i="17"/>
  <c r="U1534" i="17"/>
  <c r="AI1534" i="17"/>
  <c r="K1534" i="17"/>
  <c r="AE1534" i="17"/>
  <c r="J1534" i="17"/>
  <c r="AL1534" i="17"/>
  <c r="AH1562" i="17"/>
  <c r="R1562" i="17"/>
  <c r="AF1562" i="17"/>
  <c r="P1562" i="17"/>
  <c r="AB1562" i="17"/>
  <c r="M1562" i="17"/>
  <c r="AA1562" i="17"/>
  <c r="L1562" i="17"/>
  <c r="Z1562" i="17"/>
  <c r="AI1562" i="17"/>
  <c r="X1562" i="17"/>
  <c r="AQ1562" i="17"/>
  <c r="U1574" i="17"/>
  <c r="T1574" i="17"/>
  <c r="AQ1574" i="17"/>
  <c r="AP1574" i="17"/>
  <c r="N1574" i="17"/>
  <c r="O1582" i="17"/>
  <c r="AQ1632" i="17"/>
  <c r="R1632" i="17"/>
  <c r="AA1632" i="17"/>
  <c r="W1632" i="17"/>
  <c r="O1632" i="17"/>
  <c r="AM1632" i="17"/>
  <c r="N1632" i="17"/>
  <c r="AD1632" i="17"/>
  <c r="AL1632" i="17"/>
  <c r="J1636" i="17"/>
  <c r="J1653" i="17"/>
  <c r="AC1669" i="17"/>
  <c r="K1669" i="17"/>
  <c r="AL1669" i="17"/>
  <c r="R1669" i="17"/>
  <c r="AJ1669" i="17"/>
  <c r="O1669" i="17"/>
  <c r="AR1669" i="17"/>
  <c r="T1669" i="17"/>
  <c r="AQ1669" i="17"/>
  <c r="N1669" i="17"/>
  <c r="AD1669" i="17"/>
  <c r="U1669" i="17"/>
  <c r="J1669" i="17"/>
  <c r="J1681" i="17"/>
  <c r="AF1750" i="17"/>
  <c r="AR1750" i="17"/>
  <c r="T1750" i="17"/>
  <c r="AG1750" i="17"/>
  <c r="X1750" i="17"/>
  <c r="P1750" i="17"/>
  <c r="K1750" i="17"/>
  <c r="S1750" i="17"/>
  <c r="J1750" i="17"/>
  <c r="AJ1750" i="17"/>
  <c r="AI1750" i="17"/>
  <c r="AH1750" i="17"/>
  <c r="Z1752" i="17"/>
  <c r="S1785" i="17"/>
  <c r="AE1796" i="17"/>
  <c r="AF1800" i="17"/>
  <c r="AA1800" i="17"/>
  <c r="W1800" i="17"/>
  <c r="T1800" i="17"/>
  <c r="K1878" i="17"/>
  <c r="AI1954" i="17"/>
  <c r="Q1954" i="17"/>
  <c r="K1954" i="17"/>
  <c r="AF1954" i="17"/>
  <c r="AK1954" i="17"/>
  <c r="AE1954" i="17"/>
  <c r="O1988" i="17"/>
  <c r="AH1999" i="17"/>
  <c r="AE1999" i="17"/>
  <c r="AB1999" i="17"/>
  <c r="J1999" i="17"/>
  <c r="AG1999" i="17"/>
  <c r="X1999" i="17"/>
  <c r="L1999" i="17"/>
  <c r="R1161" i="17"/>
  <c r="Q1161" i="17"/>
  <c r="AR1180" i="17"/>
  <c r="AP1180" i="17"/>
  <c r="AA1180" i="17"/>
  <c r="M1180" i="17"/>
  <c r="AL1180" i="17"/>
  <c r="Z1180" i="17"/>
  <c r="L1180" i="17"/>
  <c r="AQ1180" i="17"/>
  <c r="V1180" i="17"/>
  <c r="U1180" i="17"/>
  <c r="AK1180" i="17"/>
  <c r="R1180" i="17"/>
  <c r="AH1180" i="17"/>
  <c r="AL1189" i="17"/>
  <c r="V1189" i="17"/>
  <c r="M1313" i="17"/>
  <c r="AP1328" i="17"/>
  <c r="R1328" i="17"/>
  <c r="AK1328" i="17"/>
  <c r="L1328" i="17"/>
  <c r="AI1328" i="17"/>
  <c r="U1328" i="17"/>
  <c r="K1328" i="17"/>
  <c r="AL1352" i="17"/>
  <c r="T1352" i="17"/>
  <c r="AJ1352" i="17"/>
  <c r="R1352" i="17"/>
  <c r="AA1352" i="17"/>
  <c r="AD1352" i="17"/>
  <c r="AB1352" i="17"/>
  <c r="AQ1352" i="17"/>
  <c r="AF1360" i="17"/>
  <c r="P1360" i="17"/>
  <c r="AD1360" i="17"/>
  <c r="O1360" i="17"/>
  <c r="AA1360" i="17"/>
  <c r="AN1360" i="17"/>
  <c r="S1360" i="17"/>
  <c r="AM1360" i="17"/>
  <c r="M1360" i="17"/>
  <c r="AL1360" i="17"/>
  <c r="AJ1365" i="17"/>
  <c r="AR1365" i="17"/>
  <c r="AN1365" i="17"/>
  <c r="T1367" i="17"/>
  <c r="S1367" i="17"/>
  <c r="Y1367" i="17"/>
  <c r="J1391" i="17"/>
  <c r="AG1391" i="17"/>
  <c r="S1391" i="17"/>
  <c r="N1394" i="17"/>
  <c r="AM1394" i="17"/>
  <c r="L1397" i="17"/>
  <c r="AI1402" i="17"/>
  <c r="AD1402" i="17"/>
  <c r="AQ1402" i="17"/>
  <c r="AN1402" i="17"/>
  <c r="Q1421" i="17"/>
  <c r="P1421" i="17"/>
  <c r="AE1436" i="17"/>
  <c r="P1436" i="17"/>
  <c r="AD1436" i="17"/>
  <c r="O1436" i="17"/>
  <c r="AA1436" i="17"/>
  <c r="AN1436" i="17"/>
  <c r="S1436" i="17"/>
  <c r="AM1436" i="17"/>
  <c r="N1436" i="17"/>
  <c r="AQ1436" i="17"/>
  <c r="AF1442" i="17"/>
  <c r="P1442" i="17"/>
  <c r="AR1442" i="17"/>
  <c r="O1442" i="17"/>
  <c r="AN1442" i="17"/>
  <c r="AM1442" i="17"/>
  <c r="AB1442" i="17"/>
  <c r="AO1454" i="17"/>
  <c r="AR1454" i="17"/>
  <c r="AH1454" i="17"/>
  <c r="W1454" i="17"/>
  <c r="M1454" i="17"/>
  <c r="AQ1454" i="17"/>
  <c r="AF1454" i="17"/>
  <c r="V1454" i="17"/>
  <c r="L1454" i="17"/>
  <c r="AE1454" i="17"/>
  <c r="S1454" i="17"/>
  <c r="AK1454" i="17"/>
  <c r="T1454" i="17"/>
  <c r="AI1454" i="17"/>
  <c r="P1454" i="17"/>
  <c r="AB1454" i="17"/>
  <c r="AM1490" i="17"/>
  <c r="W1490" i="17"/>
  <c r="AJ1490" i="17"/>
  <c r="T1490" i="17"/>
  <c r="AI1490" i="17"/>
  <c r="N1490" i="17"/>
  <c r="AE1490" i="17"/>
  <c r="M1490" i="17"/>
  <c r="AD1490" i="17"/>
  <c r="O1490" i="17"/>
  <c r="AQ1490" i="17"/>
  <c r="L1490" i="17"/>
  <c r="O1532" i="17"/>
  <c r="AF1535" i="17"/>
  <c r="AA1535" i="17"/>
  <c r="S1582" i="17"/>
  <c r="V1621" i="17"/>
  <c r="Z1621" i="17"/>
  <c r="N1621" i="17"/>
  <c r="AH1621" i="17"/>
  <c r="AA1621" i="17"/>
  <c r="AJ1621" i="17"/>
  <c r="AM1621" i="17"/>
  <c r="L1621" i="17"/>
  <c r="AL1636" i="17"/>
  <c r="S1653" i="17"/>
  <c r="Z1664" i="17"/>
  <c r="X1664" i="17"/>
  <c r="O1664" i="17"/>
  <c r="Y1664" i="17"/>
  <c r="N1664" i="17"/>
  <c r="K1664" i="17"/>
  <c r="AQ1664" i="17"/>
  <c r="V1667" i="17"/>
  <c r="AA1667" i="17"/>
  <c r="R1667" i="17"/>
  <c r="AR1667" i="17"/>
  <c r="AP1667" i="17"/>
  <c r="AB1667" i="17"/>
  <c r="O1667" i="17"/>
  <c r="AK1681" i="17"/>
  <c r="AR1683" i="17"/>
  <c r="U1683" i="17"/>
  <c r="AJ1683" i="17"/>
  <c r="M1683" i="17"/>
  <c r="AH1683" i="17"/>
  <c r="L1683" i="17"/>
  <c r="AA1683" i="17"/>
  <c r="T1683" i="17"/>
  <c r="AK1683" i="17"/>
  <c r="AJ1687" i="17"/>
  <c r="V1687" i="17"/>
  <c r="J1687" i="17"/>
  <c r="AQ1687" i="17"/>
  <c r="AA1687" i="17"/>
  <c r="M1687" i="17"/>
  <c r="AM1687" i="17"/>
  <c r="Z1687" i="17"/>
  <c r="L1687" i="17"/>
  <c r="U1687" i="17"/>
  <c r="AL1687" i="17"/>
  <c r="R1687" i="17"/>
  <c r="O1687" i="17"/>
  <c r="AH1687" i="17"/>
  <c r="AC1687" i="17"/>
  <c r="AN1717" i="17"/>
  <c r="AA1717" i="17"/>
  <c r="J1717" i="17"/>
  <c r="AI1717" i="17"/>
  <c r="R1717" i="17"/>
  <c r="X1717" i="17"/>
  <c r="AR1717" i="17"/>
  <c r="T1717" i="17"/>
  <c r="P1717" i="17"/>
  <c r="AM1717" i="17"/>
  <c r="O1717" i="17"/>
  <c r="AB1717" i="17"/>
  <c r="AL1717" i="17"/>
  <c r="AH1717" i="17"/>
  <c r="AO1734" i="17"/>
  <c r="AH1734" i="17"/>
  <c r="P1734" i="17"/>
  <c r="AF1734" i="17"/>
  <c r="K1734" i="17"/>
  <c r="AE1734" i="17"/>
  <c r="J1734" i="17"/>
  <c r="AG1734" i="17"/>
  <c r="Z1734" i="17"/>
  <c r="T1734" i="17"/>
  <c r="S1734" i="17"/>
  <c r="AR1734" i="17"/>
  <c r="Y1734" i="17"/>
  <c r="O1734" i="17"/>
  <c r="AJ1752" i="17"/>
  <c r="AP1763" i="17"/>
  <c r="AQ1763" i="17"/>
  <c r="AC1763" i="17"/>
  <c r="P1763" i="17"/>
  <c r="AR1763" i="17"/>
  <c r="AB1763" i="17"/>
  <c r="N1763" i="17"/>
  <c r="AM1763" i="17"/>
  <c r="AA1763" i="17"/>
  <c r="M1763" i="17"/>
  <c r="AK1763" i="17"/>
  <c r="U1763" i="17"/>
  <c r="AJ1763" i="17"/>
  <c r="S1763" i="17"/>
  <c r="W1763" i="17"/>
  <c r="V1763" i="17"/>
  <c r="K1763" i="17"/>
  <c r="AE1763" i="17"/>
  <c r="X1763" i="17"/>
  <c r="Q1766" i="17"/>
  <c r="Z1766" i="17"/>
  <c r="T1766" i="17"/>
  <c r="AE1766" i="17"/>
  <c r="P1766" i="17"/>
  <c r="AJ1766" i="17"/>
  <c r="AR1786" i="17"/>
  <c r="AA1786" i="17"/>
  <c r="AH1786" i="17"/>
  <c r="L1786" i="17"/>
  <c r="AG1786" i="17"/>
  <c r="K1786" i="17"/>
  <c r="AO1786" i="17"/>
  <c r="AF1786" i="17"/>
  <c r="T1786" i="17"/>
  <c r="S1786" i="17"/>
  <c r="AQ1786" i="17"/>
  <c r="AP1786" i="17"/>
  <c r="AM1796" i="17"/>
  <c r="AR1828" i="17"/>
  <c r="X1828" i="17"/>
  <c r="AO1828" i="17"/>
  <c r="Y1828" i="17"/>
  <c r="O1828" i="17"/>
  <c r="AA1828" i="17"/>
  <c r="Z1828" i="17"/>
  <c r="AC1844" i="17"/>
  <c r="N1844" i="17"/>
  <c r="AM1844" i="17"/>
  <c r="V1844" i="17"/>
  <c r="AA1844" i="17"/>
  <c r="X1844" i="17"/>
  <c r="AF1844" i="17"/>
  <c r="AB1844" i="17"/>
  <c r="AI1844" i="17"/>
  <c r="T1844" i="17"/>
  <c r="L1844" i="17"/>
  <c r="AN1844" i="17"/>
  <c r="M1858" i="17"/>
  <c r="AL1858" i="17"/>
  <c r="P1878" i="17"/>
  <c r="T1988" i="17"/>
  <c r="S97" i="17"/>
  <c r="S99" i="17"/>
  <c r="W115" i="17"/>
  <c r="Y118" i="17"/>
  <c r="L135" i="17"/>
  <c r="R170" i="17"/>
  <c r="AF170" i="17" s="1"/>
  <c r="AJ205" i="17"/>
  <c r="AH234" i="17"/>
  <c r="W265" i="17"/>
  <c r="AR294" i="17"/>
  <c r="AC341" i="17"/>
  <c r="AR455" i="17"/>
  <c r="AF497" i="17"/>
  <c r="X499" i="17"/>
  <c r="AR499" i="17"/>
  <c r="AN512" i="17"/>
  <c r="U515" i="17"/>
  <c r="AI530" i="17"/>
  <c r="AA578" i="17"/>
  <c r="AH580" i="17"/>
  <c r="AB617" i="17"/>
  <c r="AQ639" i="17"/>
  <c r="AA639" i="17"/>
  <c r="N639" i="17"/>
  <c r="X639" i="17"/>
  <c r="AM639" i="17"/>
  <c r="T653" i="17"/>
  <c r="AB791" i="17"/>
  <c r="T791" i="17"/>
  <c r="AM791" i="17"/>
  <c r="AO797" i="17"/>
  <c r="AC797" i="17"/>
  <c r="O797" i="17"/>
  <c r="X797" i="17"/>
  <c r="AM797" i="17"/>
  <c r="AK824" i="17"/>
  <c r="Z824" i="17"/>
  <c r="AL845" i="17"/>
  <c r="X845" i="17"/>
  <c r="J845" i="17"/>
  <c r="Y845" i="17"/>
  <c r="AN845" i="17"/>
  <c r="AP849" i="17"/>
  <c r="N849" i="17"/>
  <c r="AQ864" i="17"/>
  <c r="L864" i="17"/>
  <c r="AQ882" i="17"/>
  <c r="S882" i="17"/>
  <c r="AB882" i="17"/>
  <c r="AI882" i="17"/>
  <c r="T893" i="17"/>
  <c r="AH893" i="17"/>
  <c r="AL893" i="17"/>
  <c r="AN897" i="17"/>
  <c r="Z897" i="17"/>
  <c r="AB897" i="17"/>
  <c r="Y931" i="17"/>
  <c r="AO931" i="17"/>
  <c r="O931" i="17"/>
  <c r="AP931" i="17"/>
  <c r="AC940" i="17"/>
  <c r="N940" i="17"/>
  <c r="AK940" i="17"/>
  <c r="Q940" i="17"/>
  <c r="AB940" i="17"/>
  <c r="Q945" i="17"/>
  <c r="P945" i="17"/>
  <c r="M945" i="17"/>
  <c r="AD991" i="17"/>
  <c r="X991" i="17"/>
  <c r="Q991" i="17"/>
  <c r="AF991" i="17"/>
  <c r="AR991" i="17"/>
  <c r="AP1057" i="17"/>
  <c r="W1057" i="17"/>
  <c r="AM1057" i="17"/>
  <c r="R1057" i="17"/>
  <c r="AG1057" i="17"/>
  <c r="M1057" i="17"/>
  <c r="AF1057" i="17"/>
  <c r="AF1073" i="17"/>
  <c r="P1073" i="17"/>
  <c r="AD1073" i="17"/>
  <c r="O1073" i="17"/>
  <c r="Y1073" i="17"/>
  <c r="AG1073" i="17"/>
  <c r="AG1089" i="17"/>
  <c r="AD1089" i="17"/>
  <c r="P1089" i="17"/>
  <c r="AP1089" i="17"/>
  <c r="AC1089" i="17"/>
  <c r="O1089" i="17"/>
  <c r="AL1089" i="17"/>
  <c r="R1089" i="17"/>
  <c r="Z1089" i="17"/>
  <c r="AH1106" i="17"/>
  <c r="AG1106" i="17"/>
  <c r="AD1106" i="17"/>
  <c r="AH1113" i="17"/>
  <c r="R1113" i="17"/>
  <c r="AG1113" i="17"/>
  <c r="Q1113" i="17"/>
  <c r="AP1113" i="17"/>
  <c r="V1113" i="17"/>
  <c r="AD1113" i="17"/>
  <c r="Y1132" i="17"/>
  <c r="V1132" i="17"/>
  <c r="AJ1132" i="17"/>
  <c r="AQ1132" i="17"/>
  <c r="AR1140" i="17"/>
  <c r="U1140" i="17"/>
  <c r="T1140" i="17"/>
  <c r="AH1192" i="17"/>
  <c r="R1192" i="17"/>
  <c r="AG1192" i="17"/>
  <c r="Q1192" i="17"/>
  <c r="AK1192" i="17"/>
  <c r="M1192" i="17"/>
  <c r="AB1192" i="17"/>
  <c r="M1221" i="17"/>
  <c r="AP1221" i="17"/>
  <c r="J1221" i="17"/>
  <c r="Z1221" i="17"/>
  <c r="AC1223" i="17"/>
  <c r="V1223" i="17"/>
  <c r="Q1223" i="17"/>
  <c r="Y1224" i="17"/>
  <c r="AP1224" i="17"/>
  <c r="Q1224" i="17"/>
  <c r="AL1224" i="17"/>
  <c r="N1224" i="17"/>
  <c r="R1224" i="17"/>
  <c r="AF1243" i="17"/>
  <c r="AG1243" i="17"/>
  <c r="AE1243" i="17"/>
  <c r="AK1243" i="17"/>
  <c r="AL1245" i="17"/>
  <c r="V1245" i="17"/>
  <c r="AK1245" i="17"/>
  <c r="P1245" i="17"/>
  <c r="AH1245" i="17"/>
  <c r="M1245" i="17"/>
  <c r="AD1245" i="17"/>
  <c r="AH1273" i="17"/>
  <c r="AG1273" i="17"/>
  <c r="AM1273" i="17"/>
  <c r="Z1277" i="17"/>
  <c r="X1277" i="17"/>
  <c r="AC1302" i="17"/>
  <c r="V1302" i="17"/>
  <c r="Y1311" i="17"/>
  <c r="V1311" i="17"/>
  <c r="Z1311" i="17"/>
  <c r="Q1312" i="17"/>
  <c r="L1312" i="17"/>
  <c r="AJ1312" i="17"/>
  <c r="AG1317" i="17"/>
  <c r="AN1317" i="17"/>
  <c r="Z1317" i="17"/>
  <c r="N1317" i="17"/>
  <c r="AM1317" i="17"/>
  <c r="Y1317" i="17"/>
  <c r="M1317" i="17"/>
  <c r="AF1317" i="17"/>
  <c r="O1317" i="17"/>
  <c r="AD1317" i="17"/>
  <c r="AD1322" i="17"/>
  <c r="Y1322" i="17"/>
  <c r="R1322" i="17"/>
  <c r="AL1322" i="17"/>
  <c r="AP1322" i="17"/>
  <c r="AC1326" i="17"/>
  <c r="Z1326" i="17"/>
  <c r="AQ1380" i="17"/>
  <c r="AN1380" i="17"/>
  <c r="P1380" i="17"/>
  <c r="AL1380" i="17"/>
  <c r="M1380" i="17"/>
  <c r="K1380" i="17"/>
  <c r="J1457" i="17"/>
  <c r="X1457" i="17"/>
  <c r="W1457" i="17"/>
  <c r="AN1457" i="17"/>
  <c r="AC1482" i="17"/>
  <c r="AB1482" i="17"/>
  <c r="O1482" i="17"/>
  <c r="M1482" i="17"/>
  <c r="K1482" i="17"/>
  <c r="AR1505" i="17"/>
  <c r="X1505" i="17"/>
  <c r="AP1505" i="17"/>
  <c r="T1505" i="17"/>
  <c r="P1505" i="17"/>
  <c r="AO1505" i="17"/>
  <c r="L1505" i="17"/>
  <c r="AE1505" i="17"/>
  <c r="AG1537" i="17"/>
  <c r="L1537" i="17"/>
  <c r="AF1537" i="17"/>
  <c r="J1537" i="17"/>
  <c r="S1537" i="17"/>
  <c r="AP1537" i="17"/>
  <c r="P1537" i="17"/>
  <c r="X1537" i="17"/>
  <c r="AN1552" i="17"/>
  <c r="AM1552" i="17"/>
  <c r="T1552" i="17"/>
  <c r="S1552" i="17"/>
  <c r="O1557" i="17"/>
  <c r="L1557" i="17"/>
  <c r="Z1557" i="17"/>
  <c r="U1566" i="17"/>
  <c r="R1566" i="17"/>
  <c r="V1566" i="17"/>
  <c r="M1566" i="17"/>
  <c r="AE1576" i="17"/>
  <c r="AA1576" i="17"/>
  <c r="S1576" i="17"/>
  <c r="AH1580" i="17"/>
  <c r="X1580" i="17"/>
  <c r="W1580" i="17"/>
  <c r="T1591" i="17"/>
  <c r="AO1591" i="17"/>
  <c r="S1591" i="17"/>
  <c r="AE1591" i="17"/>
  <c r="Z1591" i="17"/>
  <c r="AF1591" i="17"/>
  <c r="W1613" i="17"/>
  <c r="T1613" i="17"/>
  <c r="S1617" i="17"/>
  <c r="AE1617" i="17"/>
  <c r="Y1617" i="17"/>
  <c r="O1617" i="17"/>
  <c r="L1617" i="17"/>
  <c r="AJ1617" i="17"/>
  <c r="O1630" i="17"/>
  <c r="AI1630" i="17"/>
  <c r="AM1657" i="17"/>
  <c r="AL1657" i="17"/>
  <c r="AK1657" i="17"/>
  <c r="AP1672" i="17"/>
  <c r="R1672" i="17"/>
  <c r="AO1672" i="17"/>
  <c r="N1672" i="17"/>
  <c r="AN1672" i="17"/>
  <c r="K1672" i="17"/>
  <c r="AF1672" i="17"/>
  <c r="AA1672" i="17"/>
  <c r="X1672" i="17"/>
  <c r="AA1684" i="17"/>
  <c r="V1684" i="17"/>
  <c r="S1684" i="17"/>
  <c r="R1684" i="17"/>
  <c r="Q1684" i="17"/>
  <c r="AO1684" i="17"/>
  <c r="V1694" i="17"/>
  <c r="AN1694" i="17"/>
  <c r="AL1749" i="17"/>
  <c r="U1749" i="17"/>
  <c r="AR1749" i="17"/>
  <c r="V1749" i="17"/>
  <c r="AQ1749" i="17"/>
  <c r="S1749" i="17"/>
  <c r="AB1749" i="17"/>
  <c r="AA1749" i="17"/>
  <c r="N1749" i="17"/>
  <c r="L1749" i="17"/>
  <c r="AD1749" i="17"/>
  <c r="AI1783" i="17"/>
  <c r="T1783" i="17"/>
  <c r="AE1783" i="17"/>
  <c r="P1783" i="17"/>
  <c r="AD1783" i="17"/>
  <c r="O1783" i="17"/>
  <c r="AN1783" i="17"/>
  <c r="V1783" i="17"/>
  <c r="AM1783" i="17"/>
  <c r="S1783" i="17"/>
  <c r="W1783" i="17"/>
  <c r="AR1783" i="17"/>
  <c r="M1783" i="17"/>
  <c r="L1783" i="17"/>
  <c r="AR1855" i="17"/>
  <c r="AF1855" i="17"/>
  <c r="Q1855" i="17"/>
  <c r="AB1855" i="17"/>
  <c r="O1855" i="17"/>
  <c r="AJ1855" i="17"/>
  <c r="R1855" i="17"/>
  <c r="AI1855" i="17"/>
  <c r="P1855" i="17"/>
  <c r="Y1855" i="17"/>
  <c r="AQ1855" i="17"/>
  <c r="X1855" i="17"/>
  <c r="L1855" i="17"/>
  <c r="AP1855" i="17"/>
  <c r="K1855" i="17"/>
  <c r="J1855" i="17"/>
  <c r="J1876" i="17"/>
  <c r="U1876" i="17"/>
  <c r="AL1876" i="17"/>
  <c r="AK1876" i="17"/>
  <c r="W1876" i="17"/>
  <c r="S109" i="17"/>
  <c r="R174" i="17"/>
  <c r="AP174" i="17" s="1"/>
  <c r="V205" i="17"/>
  <c r="AI262" i="17"/>
  <c r="AK265" i="17"/>
  <c r="Z294" i="17"/>
  <c r="AB296" i="17"/>
  <c r="AI325" i="17"/>
  <c r="S341" i="17"/>
  <c r="AM341" i="17"/>
  <c r="AF419" i="17"/>
  <c r="AB455" i="17"/>
  <c r="Y512" i="17"/>
  <c r="AF515" i="17"/>
  <c r="AI624" i="17"/>
  <c r="AO653" i="17"/>
  <c r="AK653" i="17"/>
  <c r="Z653" i="17"/>
  <c r="O653" i="17"/>
  <c r="AE653" i="17"/>
  <c r="AA657" i="17"/>
  <c r="V657" i="17"/>
  <c r="AM657" i="17"/>
  <c r="AF695" i="17"/>
  <c r="U695" i="17"/>
  <c r="J695" i="17"/>
  <c r="V695" i="17"/>
  <c r="AN728" i="17"/>
  <c r="AL728" i="17"/>
  <c r="S6" i="17"/>
  <c r="AA8" i="17"/>
  <c r="S17" i="17"/>
  <c r="S47" i="17"/>
  <c r="S49" i="17"/>
  <c r="K57" i="17"/>
  <c r="L63" i="17"/>
  <c r="AA64" i="17"/>
  <c r="K65" i="17"/>
  <c r="R76" i="17"/>
  <c r="AG76" i="17" s="1"/>
  <c r="K97" i="17"/>
  <c r="K121" i="17"/>
  <c r="O120" i="17" s="1"/>
  <c r="AI120" i="17" s="1"/>
  <c r="Q124" i="17"/>
  <c r="S133" i="17"/>
  <c r="S135" i="17"/>
  <c r="M145" i="17"/>
  <c r="AE145" i="17" s="1"/>
  <c r="N157" i="17"/>
  <c r="T157" i="17"/>
  <c r="W169" i="17"/>
  <c r="V177" i="17"/>
  <c r="AJ177" i="17"/>
  <c r="J180" i="17"/>
  <c r="AN181" i="17"/>
  <c r="AJ188" i="17"/>
  <c r="V197" i="17"/>
  <c r="AJ197" i="17"/>
  <c r="K205" i="17"/>
  <c r="W205" i="17"/>
  <c r="AK205" i="17"/>
  <c r="O234" i="17"/>
  <c r="AI234" i="17"/>
  <c r="W237" i="17"/>
  <c r="AK237" i="17"/>
  <c r="V243" i="17"/>
  <c r="AJ243" i="17"/>
  <c r="P262" i="17"/>
  <c r="L265" i="17"/>
  <c r="X265" i="17"/>
  <c r="AL265" i="17"/>
  <c r="AO274" i="17"/>
  <c r="X278" i="17"/>
  <c r="K294" i="17"/>
  <c r="AA294" i="17"/>
  <c r="L296" i="17"/>
  <c r="AH296" i="17"/>
  <c r="L325" i="17"/>
  <c r="U335" i="17"/>
  <c r="AF335" i="17"/>
  <c r="J341" i="17"/>
  <c r="T341" i="17"/>
  <c r="AD341" i="17"/>
  <c r="AN341" i="17"/>
  <c r="W347" i="17"/>
  <c r="S371" i="17"/>
  <c r="AC371" i="17"/>
  <c r="AM371" i="17"/>
  <c r="T401" i="17"/>
  <c r="K419" i="17"/>
  <c r="AI419" i="17"/>
  <c r="AN444" i="17"/>
  <c r="AG448" i="17"/>
  <c r="AR451" i="17"/>
  <c r="K455" i="17"/>
  <c r="AC455" i="17"/>
  <c r="W464" i="17"/>
  <c r="AI464" i="17"/>
  <c r="AB479" i="17"/>
  <c r="K497" i="17"/>
  <c r="AI497" i="17"/>
  <c r="K499" i="17"/>
  <c r="AA499" i="17"/>
  <c r="K512" i="17"/>
  <c r="Z512" i="17"/>
  <c r="AP512" i="17"/>
  <c r="K515" i="17"/>
  <c r="V515" i="17"/>
  <c r="AI515" i="17"/>
  <c r="P530" i="17"/>
  <c r="W551" i="17"/>
  <c r="U561" i="17"/>
  <c r="AF561" i="17"/>
  <c r="L578" i="17"/>
  <c r="AB578" i="17"/>
  <c r="O580" i="17"/>
  <c r="AI580" i="17"/>
  <c r="W591" i="17"/>
  <c r="AK591" i="17"/>
  <c r="AH594" i="17"/>
  <c r="AF614" i="17"/>
  <c r="M617" i="17"/>
  <c r="N624" i="17"/>
  <c r="AL624" i="17"/>
  <c r="AP627" i="17"/>
  <c r="O627" i="17"/>
  <c r="AF627" i="17"/>
  <c r="O630" i="17"/>
  <c r="L639" i="17"/>
  <c r="Z639" i="17"/>
  <c r="AR639" i="17"/>
  <c r="AO643" i="17"/>
  <c r="AR643" i="17"/>
  <c r="AH643" i="17"/>
  <c r="W643" i="17"/>
  <c r="M643" i="17"/>
  <c r="T643" i="17"/>
  <c r="AE643" i="17"/>
  <c r="AQ643" i="17"/>
  <c r="J653" i="17"/>
  <c r="U653" i="17"/>
  <c r="AF653" i="17"/>
  <c r="AR653" i="17"/>
  <c r="AO655" i="17"/>
  <c r="AN655" i="17"/>
  <c r="AD655" i="17"/>
  <c r="T655" i="17"/>
  <c r="J655" i="17"/>
  <c r="U655" i="17"/>
  <c r="AF655" i="17"/>
  <c r="AR655" i="17"/>
  <c r="K657" i="17"/>
  <c r="AN657" i="17"/>
  <c r="AO675" i="17"/>
  <c r="AI675" i="17"/>
  <c r="X675" i="17"/>
  <c r="N675" i="17"/>
  <c r="T675" i="17"/>
  <c r="AE675" i="17"/>
  <c r="AQ675" i="17"/>
  <c r="W682" i="17"/>
  <c r="K695" i="17"/>
  <c r="W695" i="17"/>
  <c r="AK695" i="17"/>
  <c r="AL701" i="17"/>
  <c r="V701" i="17"/>
  <c r="AA701" i="17"/>
  <c r="AI708" i="17"/>
  <c r="P708" i="17"/>
  <c r="AH708" i="17"/>
  <c r="AI728" i="17"/>
  <c r="AO735" i="17"/>
  <c r="AN735" i="17"/>
  <c r="AD735" i="17"/>
  <c r="T735" i="17"/>
  <c r="J735" i="17"/>
  <c r="U735" i="17"/>
  <c r="AF735" i="17"/>
  <c r="AR735" i="17"/>
  <c r="Z740" i="17"/>
  <c r="AM740" i="17"/>
  <c r="K740" i="17"/>
  <c r="AN740" i="17"/>
  <c r="X757" i="17"/>
  <c r="AH763" i="17"/>
  <c r="R763" i="17"/>
  <c r="AA763" i="17"/>
  <c r="AH773" i="17"/>
  <c r="R773" i="17"/>
  <c r="L791" i="17"/>
  <c r="AN791" i="17"/>
  <c r="AN796" i="17"/>
  <c r="AO796" i="17"/>
  <c r="AB796" i="17"/>
  <c r="P796" i="17"/>
  <c r="U796" i="17"/>
  <c r="AH796" i="17"/>
  <c r="J797" i="17"/>
  <c r="Y797" i="17"/>
  <c r="AN797" i="17"/>
  <c r="J824" i="17"/>
  <c r="AK827" i="17"/>
  <c r="AL827" i="17"/>
  <c r="T827" i="17"/>
  <c r="X827" i="17"/>
  <c r="AO827" i="17"/>
  <c r="X833" i="17"/>
  <c r="M845" i="17"/>
  <c r="Z845" i="17"/>
  <c r="AO845" i="17"/>
  <c r="P849" i="17"/>
  <c r="AD861" i="17"/>
  <c r="Z861" i="17"/>
  <c r="M861" i="17"/>
  <c r="Y861" i="17"/>
  <c r="V864" i="17"/>
  <c r="AR879" i="17"/>
  <c r="Z879" i="17"/>
  <c r="AD879" i="17"/>
  <c r="AF879" i="17"/>
  <c r="M882" i="17"/>
  <c r="AJ882" i="17"/>
  <c r="Q886" i="17"/>
  <c r="R886" i="17"/>
  <c r="N893" i="17"/>
  <c r="Q897" i="17"/>
  <c r="AG899" i="17"/>
  <c r="AJ899" i="17"/>
  <c r="J899" i="17"/>
  <c r="Q899" i="17"/>
  <c r="AQ900" i="17"/>
  <c r="Y900" i="17"/>
  <c r="L920" i="17"/>
  <c r="AJ920" i="17"/>
  <c r="AF923" i="17"/>
  <c r="Q931" i="17"/>
  <c r="AR931" i="17"/>
  <c r="U933" i="17"/>
  <c r="K940" i="17"/>
  <c r="AD940" i="17"/>
  <c r="AE945" i="17"/>
  <c r="AB954" i="17"/>
  <c r="L957" i="17"/>
  <c r="AK963" i="17"/>
  <c r="AC963" i="17"/>
  <c r="N963" i="17"/>
  <c r="AF974" i="17"/>
  <c r="L974" i="17"/>
  <c r="AC974" i="17"/>
  <c r="K974" i="17"/>
  <c r="AQ974" i="17"/>
  <c r="T974" i="17"/>
  <c r="AI974" i="17"/>
  <c r="M991" i="17"/>
  <c r="AQ1030" i="17"/>
  <c r="AD1030" i="17"/>
  <c r="AM1035" i="17"/>
  <c r="AK1035" i="17"/>
  <c r="AH1054" i="17"/>
  <c r="Y1054" i="17"/>
  <c r="V1054" i="17"/>
  <c r="AC1054" i="17"/>
  <c r="J1057" i="17"/>
  <c r="AK1057" i="17"/>
  <c r="U1066" i="17"/>
  <c r="T1066" i="17"/>
  <c r="M1073" i="17"/>
  <c r="AK1073" i="17"/>
  <c r="AH1084" i="17"/>
  <c r="AG1084" i="17"/>
  <c r="M1084" i="17"/>
  <c r="AD1084" i="17"/>
  <c r="L1084" i="17"/>
  <c r="V1084" i="17"/>
  <c r="AJ1084" i="17"/>
  <c r="J1089" i="17"/>
  <c r="AF1089" i="17"/>
  <c r="J1106" i="17"/>
  <c r="J1113" i="17"/>
  <c r="AF1113" i="17"/>
  <c r="AN1115" i="17"/>
  <c r="AL1115" i="17"/>
  <c r="X1115" i="17"/>
  <c r="J1132" i="17"/>
  <c r="AR1132" i="17"/>
  <c r="AA1140" i="17"/>
  <c r="AC1155" i="17"/>
  <c r="U1164" i="17"/>
  <c r="T1164" i="17"/>
  <c r="AD1171" i="17"/>
  <c r="X1171" i="17"/>
  <c r="AB1174" i="17"/>
  <c r="Z1174" i="17"/>
  <c r="J1192" i="17"/>
  <c r="AD1192" i="17"/>
  <c r="W1221" i="17"/>
  <c r="O1223" i="17"/>
  <c r="J1224" i="17"/>
  <c r="O1243" i="17"/>
  <c r="J1245" i="17"/>
  <c r="AN1245" i="17"/>
  <c r="Q1273" i="17"/>
  <c r="Q1277" i="17"/>
  <c r="N1283" i="17"/>
  <c r="K1302" i="17"/>
  <c r="J1311" i="17"/>
  <c r="AH1312" i="17"/>
  <c r="J1317" i="17"/>
  <c r="AH1317" i="17"/>
  <c r="M1322" i="17"/>
  <c r="T1326" i="17"/>
  <c r="AH1337" i="17"/>
  <c r="R1337" i="17"/>
  <c r="AN1337" i="17"/>
  <c r="Q1337" i="17"/>
  <c r="U1337" i="17"/>
  <c r="AF1359" i="17"/>
  <c r="AE1359" i="17"/>
  <c r="AO1359" i="17"/>
  <c r="L1380" i="17"/>
  <c r="X1388" i="17"/>
  <c r="AR1403" i="17"/>
  <c r="T1403" i="17"/>
  <c r="AM1403" i="17"/>
  <c r="R1403" i="17"/>
  <c r="AG1403" i="17"/>
  <c r="AJ1403" i="17"/>
  <c r="AD1434" i="17"/>
  <c r="AC1434" i="17"/>
  <c r="AR1434" i="17"/>
  <c r="Q1457" i="17"/>
  <c r="AF1462" i="17"/>
  <c r="O1462" i="17"/>
  <c r="AE1462" i="17"/>
  <c r="M1462" i="17"/>
  <c r="AD1462" i="17"/>
  <c r="AM1462" i="17"/>
  <c r="S1471" i="17"/>
  <c r="AR1481" i="17"/>
  <c r="T1481" i="17"/>
  <c r="AN1481" i="17"/>
  <c r="R1481" i="17"/>
  <c r="AB1481" i="17"/>
  <c r="W1481" i="17"/>
  <c r="O1481" i="17"/>
  <c r="P1482" i="17"/>
  <c r="J1505" i="17"/>
  <c r="R1511" i="17"/>
  <c r="Q1511" i="17"/>
  <c r="AO1527" i="17"/>
  <c r="AE1527" i="17"/>
  <c r="O1527" i="17"/>
  <c r="AB1527" i="17"/>
  <c r="J1527" i="17"/>
  <c r="AF1527" i="17"/>
  <c r="AA1527" i="17"/>
  <c r="AJ1527" i="17"/>
  <c r="AP1527" i="17"/>
  <c r="Q1531" i="17"/>
  <c r="P1531" i="17"/>
  <c r="AA1531" i="17"/>
  <c r="Z1531" i="17"/>
  <c r="O1537" i="17"/>
  <c r="U1552" i="17"/>
  <c r="W1557" i="17"/>
  <c r="X1566" i="17"/>
  <c r="N1576" i="17"/>
  <c r="J1580" i="17"/>
  <c r="O1591" i="17"/>
  <c r="AL1610" i="17"/>
  <c r="S1610" i="17"/>
  <c r="AK1610" i="17"/>
  <c r="R1610" i="17"/>
  <c r="Z1610" i="17"/>
  <c r="X1610" i="17"/>
  <c r="AI1610" i="17"/>
  <c r="Z1613" i="17"/>
  <c r="P1617" i="17"/>
  <c r="J1630" i="17"/>
  <c r="AQ1665" i="17"/>
  <c r="AK1665" i="17"/>
  <c r="Q1672" i="17"/>
  <c r="O1684" i="17"/>
  <c r="AF1690" i="17"/>
  <c r="P1690" i="17"/>
  <c r="AD1690" i="17"/>
  <c r="N1690" i="17"/>
  <c r="AA1690" i="17"/>
  <c r="J1690" i="17"/>
  <c r="AP1690" i="17"/>
  <c r="R1690" i="17"/>
  <c r="AN1690" i="17"/>
  <c r="Q1690" i="17"/>
  <c r="Y1690" i="17"/>
  <c r="AD1692" i="17"/>
  <c r="S1694" i="17"/>
  <c r="AO1697" i="17"/>
  <c r="AN1697" i="17"/>
  <c r="AD1697" i="17"/>
  <c r="T1697" i="17"/>
  <c r="J1697" i="17"/>
  <c r="AI1697" i="17"/>
  <c r="W1697" i="17"/>
  <c r="L1697" i="17"/>
  <c r="AM1697" i="17"/>
  <c r="Z1697" i="17"/>
  <c r="M1697" i="17"/>
  <c r="AL1697" i="17"/>
  <c r="X1697" i="17"/>
  <c r="K1697" i="17"/>
  <c r="AR1697" i="17"/>
  <c r="AB1697" i="17"/>
  <c r="AQ1697" i="17"/>
  <c r="V1697" i="17"/>
  <c r="AE1697" i="17"/>
  <c r="AH1697" i="17"/>
  <c r="AJ1729" i="17"/>
  <c r="X1729" i="17"/>
  <c r="W1729" i="17"/>
  <c r="U1729" i="17"/>
  <c r="T1729" i="17"/>
  <c r="AK1729" i="17"/>
  <c r="V1729" i="17"/>
  <c r="K1749" i="17"/>
  <c r="AA1767" i="17"/>
  <c r="AR1767" i="17"/>
  <c r="AQ1777" i="17"/>
  <c r="AC1777" i="17"/>
  <c r="N1777" i="17"/>
  <c r="AR1777" i="17"/>
  <c r="AB1777" i="17"/>
  <c r="L1777" i="17"/>
  <c r="AN1777" i="17"/>
  <c r="X1777" i="17"/>
  <c r="K1777" i="17"/>
  <c r="W1777" i="17"/>
  <c r="V1777" i="17"/>
  <c r="AE1777" i="17"/>
  <c r="AD1777" i="17"/>
  <c r="P1777" i="17"/>
  <c r="K1783" i="17"/>
  <c r="Y1790" i="17"/>
  <c r="P1790" i="17"/>
  <c r="L1790" i="17"/>
  <c r="AP1823" i="17"/>
  <c r="AI1823" i="17"/>
  <c r="V1823" i="17"/>
  <c r="K1823" i="17"/>
  <c r="AR1823" i="17"/>
  <c r="AC1823" i="17"/>
  <c r="O1823" i="17"/>
  <c r="AE1823" i="17"/>
  <c r="N1823" i="17"/>
  <c r="AB1823" i="17"/>
  <c r="M1823" i="17"/>
  <c r="AL1823" i="17"/>
  <c r="S1823" i="17"/>
  <c r="AK1823" i="17"/>
  <c r="P1823" i="17"/>
  <c r="AJ1823" i="17"/>
  <c r="AF1823" i="17"/>
  <c r="W1823" i="17"/>
  <c r="AA1843" i="17"/>
  <c r="AJ1843" i="17"/>
  <c r="AM1843" i="17"/>
  <c r="AI1843" i="17"/>
  <c r="AH1843" i="17"/>
  <c r="Z1843" i="17"/>
  <c r="AM1852" i="17"/>
  <c r="AN1852" i="17"/>
  <c r="AJ1852" i="17"/>
  <c r="W1855" i="17"/>
  <c r="M1876" i="17"/>
  <c r="AM1936" i="17"/>
  <c r="M1936" i="17"/>
  <c r="AJ1936" i="17"/>
  <c r="AA1936" i="17"/>
  <c r="X1936" i="17"/>
  <c r="T1936" i="17"/>
  <c r="O1936" i="17"/>
  <c r="AP1957" i="17"/>
  <c r="Z1957" i="17"/>
  <c r="AO1957" i="17"/>
  <c r="S1957" i="17"/>
  <c r="AM1957" i="17"/>
  <c r="Q1957" i="17"/>
  <c r="AQ1957" i="17"/>
  <c r="L1957" i="17"/>
  <c r="T1957" i="17"/>
  <c r="AD1957" i="17"/>
  <c r="AC1957" i="17"/>
  <c r="AB1957" i="17"/>
  <c r="T651" i="17"/>
  <c r="AE651" i="17"/>
  <c r="W667" i="17"/>
  <c r="Y676" i="17"/>
  <c r="AN676" i="17"/>
  <c r="V681" i="17"/>
  <c r="Z691" i="17"/>
  <c r="AA705" i="17"/>
  <c r="AP705" i="17"/>
  <c r="AA711" i="17"/>
  <c r="AQ711" i="17"/>
  <c r="U753" i="17"/>
  <c r="AF753" i="17"/>
  <c r="X762" i="17"/>
  <c r="T771" i="17"/>
  <c r="AE771" i="17"/>
  <c r="T775" i="17"/>
  <c r="AF775" i="17"/>
  <c r="AB803" i="17"/>
  <c r="AK811" i="17"/>
  <c r="AK866" i="17"/>
  <c r="AK871" i="17"/>
  <c r="AP885" i="17"/>
  <c r="AD885" i="17"/>
  <c r="O885" i="17"/>
  <c r="AC885" i="17"/>
  <c r="X916" i="17"/>
  <c r="N916" i="17"/>
  <c r="AO924" i="17"/>
  <c r="AP978" i="17"/>
  <c r="Z978" i="17"/>
  <c r="V978" i="17"/>
  <c r="AN1005" i="17"/>
  <c r="AL1005" i="17"/>
  <c r="M1005" i="17"/>
  <c r="AJ1005" i="17"/>
  <c r="L1005" i="17"/>
  <c r="AM1005" i="17"/>
  <c r="AB1012" i="17"/>
  <c r="Z1012" i="17"/>
  <c r="AR1012" i="17"/>
  <c r="AG1018" i="17"/>
  <c r="AC1018" i="17"/>
  <c r="AG1020" i="17"/>
  <c r="Q1020" i="17"/>
  <c r="AD1020" i="17"/>
  <c r="P1020" i="17"/>
  <c r="AB1020" i="17"/>
  <c r="V1032" i="17"/>
  <c r="S1032" i="17"/>
  <c r="AO1043" i="17"/>
  <c r="AL1043" i="17"/>
  <c r="AI1046" i="17"/>
  <c r="Y1046" i="17"/>
  <c r="V1046" i="17"/>
  <c r="AL1046" i="17"/>
  <c r="R1067" i="17"/>
  <c r="Q1067" i="17"/>
  <c r="AD1079" i="17"/>
  <c r="R1079" i="17"/>
  <c r="O1079" i="17"/>
  <c r="AP1079" i="17"/>
  <c r="AB1096" i="17"/>
  <c r="AA1096" i="17"/>
  <c r="AQ1096" i="17"/>
  <c r="AD1104" i="17"/>
  <c r="AC1104" i="17"/>
  <c r="AD1107" i="17"/>
  <c r="Z1107" i="17"/>
  <c r="AH1111" i="17"/>
  <c r="AG1111" i="17"/>
  <c r="AO1123" i="17"/>
  <c r="AL1123" i="17"/>
  <c r="AD1141" i="17"/>
  <c r="P1141" i="17"/>
  <c r="Z1153" i="17"/>
  <c r="M1153" i="17"/>
  <c r="AP1153" i="17"/>
  <c r="Y1153" i="17"/>
  <c r="J1153" i="17"/>
  <c r="AF1153" i="17"/>
  <c r="AA1196" i="17"/>
  <c r="R1196" i="17"/>
  <c r="AR1196" i="17"/>
  <c r="Q1196" i="17"/>
  <c r="AR1214" i="17"/>
  <c r="AD1214" i="17"/>
  <c r="R1249" i="17"/>
  <c r="Q1249" i="17"/>
  <c r="AI1256" i="17"/>
  <c r="Q1256" i="17"/>
  <c r="AH1256" i="17"/>
  <c r="N1256" i="17"/>
  <c r="AK1256" i="17"/>
  <c r="V1268" i="17"/>
  <c r="U1268" i="17"/>
  <c r="AQ1278" i="17"/>
  <c r="AP1278" i="17"/>
  <c r="AL1301" i="17"/>
  <c r="Q1301" i="17"/>
  <c r="AK1301" i="17"/>
  <c r="P1301" i="17"/>
  <c r="AM1301" i="17"/>
  <c r="AE1303" i="17"/>
  <c r="AD1303" i="17"/>
  <c r="AN1309" i="17"/>
  <c r="AK1309" i="17"/>
  <c r="AG1309" i="17"/>
  <c r="X1315" i="17"/>
  <c r="W1315" i="17"/>
  <c r="Q1319" i="17"/>
  <c r="AP1319" i="17"/>
  <c r="P1319" i="17"/>
  <c r="Z1347" i="17"/>
  <c r="N1347" i="17"/>
  <c r="M1347" i="17"/>
  <c r="T1361" i="17"/>
  <c r="Q1361" i="17"/>
  <c r="AF1381" i="17"/>
  <c r="X1381" i="17"/>
  <c r="AJ1381" i="17"/>
  <c r="AI1383" i="17"/>
  <c r="AN1383" i="17"/>
  <c r="AG1383" i="17"/>
  <c r="AP1384" i="17"/>
  <c r="AM1384" i="17"/>
  <c r="AB1384" i="17"/>
  <c r="O1384" i="17"/>
  <c r="AL1384" i="17"/>
  <c r="AA1384" i="17"/>
  <c r="N1384" i="17"/>
  <c r="W1384" i="17"/>
  <c r="AQ1384" i="17"/>
  <c r="AJ1401" i="17"/>
  <c r="P1401" i="17"/>
  <c r="O1401" i="17"/>
  <c r="AQ1406" i="17"/>
  <c r="AB1406" i="17"/>
  <c r="N1406" i="17"/>
  <c r="AP1406" i="17"/>
  <c r="AA1406" i="17"/>
  <c r="K1406" i="17"/>
  <c r="AE1406" i="17"/>
  <c r="AG1411" i="17"/>
  <c r="AB1411" i="17"/>
  <c r="AR1411" i="17"/>
  <c r="AP1416" i="17"/>
  <c r="AK1416" i="17"/>
  <c r="X1416" i="17"/>
  <c r="M1416" i="17"/>
  <c r="AJ1416" i="17"/>
  <c r="W1416" i="17"/>
  <c r="L1416" i="17"/>
  <c r="AA1416" i="17"/>
  <c r="AQ1416" i="17"/>
  <c r="AG1433" i="17"/>
  <c r="X1433" i="17"/>
  <c r="K1433" i="17"/>
  <c r="AP1437" i="17"/>
  <c r="L1437" i="17"/>
  <c r="AM1437" i="17"/>
  <c r="J1437" i="17"/>
  <c r="AM1449" i="17"/>
  <c r="AB1449" i="17"/>
  <c r="Y1451" i="17"/>
  <c r="T1451" i="17"/>
  <c r="AQ1451" i="17"/>
  <c r="AR1465" i="17"/>
  <c r="AH1465" i="17"/>
  <c r="R1465" i="17"/>
  <c r="AF1465" i="17"/>
  <c r="Q1465" i="17"/>
  <c r="Y1465" i="17"/>
  <c r="AP1465" i="17"/>
  <c r="AO1494" i="17"/>
  <c r="AL1494" i="17"/>
  <c r="AB1494" i="17"/>
  <c r="P1494" i="17"/>
  <c r="AK1494" i="17"/>
  <c r="Z1494" i="17"/>
  <c r="O1494" i="17"/>
  <c r="AP1494" i="17"/>
  <c r="AC1494" i="17"/>
  <c r="M1494" i="17"/>
  <c r="AN1494" i="17"/>
  <c r="X1494" i="17"/>
  <c r="L1494" i="17"/>
  <c r="W1494" i="17"/>
  <c r="AR1494" i="17"/>
  <c r="AD1500" i="17"/>
  <c r="R1500" i="17"/>
  <c r="AP1500" i="17"/>
  <c r="AC1500" i="17"/>
  <c r="P1500" i="17"/>
  <c r="AF1500" i="17"/>
  <c r="L1500" i="17"/>
  <c r="AB1500" i="17"/>
  <c r="K1500" i="17"/>
  <c r="AJ1500" i="17"/>
  <c r="AO1526" i="17"/>
  <c r="AL1526" i="17"/>
  <c r="AB1526" i="17"/>
  <c r="P1526" i="17"/>
  <c r="AK1526" i="17"/>
  <c r="Z1526" i="17"/>
  <c r="O1526" i="17"/>
  <c r="AR1526" i="17"/>
  <c r="AE1526" i="17"/>
  <c r="S1526" i="17"/>
  <c r="AQ1526" i="17"/>
  <c r="AD1526" i="17"/>
  <c r="N1526" i="17"/>
  <c r="W1526" i="17"/>
  <c r="AP1526" i="17"/>
  <c r="AK1540" i="17"/>
  <c r="S1540" i="17"/>
  <c r="AJ1540" i="17"/>
  <c r="R1540" i="17"/>
  <c r="AN1540" i="17"/>
  <c r="X1540" i="17"/>
  <c r="AM1540" i="17"/>
  <c r="P1540" i="17"/>
  <c r="AD1540" i="17"/>
  <c r="AE1553" i="17"/>
  <c r="AO1553" i="17"/>
  <c r="Z1553" i="17"/>
  <c r="S1553" i="17"/>
  <c r="P1553" i="17"/>
  <c r="AJ1556" i="17"/>
  <c r="X1556" i="17"/>
  <c r="M1556" i="17"/>
  <c r="AI1556" i="17"/>
  <c r="W1556" i="17"/>
  <c r="L1556" i="17"/>
  <c r="AR1556" i="17"/>
  <c r="AB1556" i="17"/>
  <c r="N1556" i="17"/>
  <c r="AQ1556" i="17"/>
  <c r="AA1556" i="17"/>
  <c r="J1556" i="17"/>
  <c r="AF1556" i="17"/>
  <c r="AO1588" i="17"/>
  <c r="AP1588" i="17"/>
  <c r="AE1588" i="17"/>
  <c r="U1588" i="17"/>
  <c r="K1588" i="17"/>
  <c r="AN1588" i="17"/>
  <c r="AD1588" i="17"/>
  <c r="T1588" i="17"/>
  <c r="J1588" i="17"/>
  <c r="AH1588" i="17"/>
  <c r="S1588" i="17"/>
  <c r="AF1588" i="17"/>
  <c r="P1588" i="17"/>
  <c r="Z1588" i="17"/>
  <c r="AR1588" i="17"/>
  <c r="AD1620" i="17"/>
  <c r="AA1620" i="17"/>
  <c r="Z1620" i="17"/>
  <c r="R1620" i="17"/>
  <c r="O1620" i="17"/>
  <c r="AM1730" i="17"/>
  <c r="AR1730" i="17"/>
  <c r="AH1730" i="17"/>
  <c r="AE1730" i="17"/>
  <c r="AQ1738" i="17"/>
  <c r="P1738" i="17"/>
  <c r="AJ1738" i="17"/>
  <c r="Z1738" i="17"/>
  <c r="Y1738" i="17"/>
  <c r="AB1743" i="17"/>
  <c r="AD1743" i="17"/>
  <c r="AC1743" i="17"/>
  <c r="AR1743" i="17"/>
  <c r="AQ1743" i="17"/>
  <c r="X1743" i="17"/>
  <c r="AQ1762" i="17"/>
  <c r="AA1762" i="17"/>
  <c r="L1762" i="17"/>
  <c r="AM1762" i="17"/>
  <c r="R1762" i="17"/>
  <c r="AI1762" i="17"/>
  <c r="Q1762" i="17"/>
  <c r="AN1762" i="17"/>
  <c r="O1762" i="17"/>
  <c r="AG1762" i="17"/>
  <c r="K1762" i="17"/>
  <c r="AF1762" i="17"/>
  <c r="AB1762" i="17"/>
  <c r="Y1764" i="17"/>
  <c r="Z1764" i="17"/>
  <c r="X1764" i="17"/>
  <c r="AP1803" i="17"/>
  <c r="AJ1803" i="17"/>
  <c r="W1803" i="17"/>
  <c r="L1803" i="17"/>
  <c r="AM1803" i="17"/>
  <c r="AA1803" i="17"/>
  <c r="M1803" i="17"/>
  <c r="AI1803" i="17"/>
  <c r="S1803" i="17"/>
  <c r="AF1803" i="17"/>
  <c r="P1803" i="17"/>
  <c r="AL1803" i="17"/>
  <c r="O1803" i="17"/>
  <c r="AK1803" i="17"/>
  <c r="N1803" i="17"/>
  <c r="U1803" i="17"/>
  <c r="AR1803" i="17"/>
  <c r="K1803" i="17"/>
  <c r="AI1805" i="17"/>
  <c r="K1805" i="17"/>
  <c r="U1805" i="17"/>
  <c r="S1805" i="17"/>
  <c r="O1805" i="17"/>
  <c r="AF1805" i="17"/>
  <c r="AD1805" i="17"/>
  <c r="AP1815" i="17"/>
  <c r="AJ1815" i="17"/>
  <c r="W1815" i="17"/>
  <c r="L1815" i="17"/>
  <c r="AI1815" i="17"/>
  <c r="U1815" i="17"/>
  <c r="AC1815" i="17"/>
  <c r="N1815" i="17"/>
  <c r="AR1815" i="17"/>
  <c r="AB1815" i="17"/>
  <c r="M1815" i="17"/>
  <c r="X1815" i="17"/>
  <c r="AQ1815" i="17"/>
  <c r="V1815" i="17"/>
  <c r="AF1815" i="17"/>
  <c r="AE1815" i="17"/>
  <c r="AM1815" i="17"/>
  <c r="AL1829" i="17"/>
  <c r="X1829" i="17"/>
  <c r="L1829" i="17"/>
  <c r="AK1829" i="17"/>
  <c r="V1829" i="17"/>
  <c r="AI1829" i="17"/>
  <c r="O1829" i="17"/>
  <c r="AE1829" i="17"/>
  <c r="N1829" i="17"/>
  <c r="AN1829" i="17"/>
  <c r="M1829" i="17"/>
  <c r="AJ1829" i="17"/>
  <c r="K1829" i="17"/>
  <c r="T1829" i="17"/>
  <c r="P1829" i="17"/>
  <c r="AA1839" i="17"/>
  <c r="AJ1839" i="17"/>
  <c r="P1839" i="17"/>
  <c r="AB1839" i="17"/>
  <c r="W1839" i="17"/>
  <c r="AI1839" i="17"/>
  <c r="AH1839" i="17"/>
  <c r="AR1839" i="17"/>
  <c r="AQ1839" i="17"/>
  <c r="U1864" i="17"/>
  <c r="O1864" i="17"/>
  <c r="AM1864" i="17"/>
  <c r="AL1864" i="17"/>
  <c r="AN1864" i="17"/>
  <c r="AB1864" i="17"/>
  <c r="AP1866" i="17"/>
  <c r="AI1866" i="17"/>
  <c r="V1866" i="17"/>
  <c r="L1866" i="17"/>
  <c r="AN1866" i="17"/>
  <c r="AA1866" i="17"/>
  <c r="N1866" i="17"/>
  <c r="AR1866" i="17"/>
  <c r="AC1866" i="17"/>
  <c r="M1866" i="17"/>
  <c r="AQ1866" i="17"/>
  <c r="X1866" i="17"/>
  <c r="K1866" i="17"/>
  <c r="AK1866" i="17"/>
  <c r="S1866" i="17"/>
  <c r="AJ1866" i="17"/>
  <c r="P1866" i="17"/>
  <c r="AE1866" i="17"/>
  <c r="AD1866" i="17"/>
  <c r="AH1882" i="17"/>
  <c r="AG1882" i="17"/>
  <c r="AA1882" i="17"/>
  <c r="R1882" i="17"/>
  <c r="M1917" i="17"/>
  <c r="J1917" i="17"/>
  <c r="AC1917" i="17"/>
  <c r="AB1923" i="17"/>
  <c r="Z1923" i="17"/>
  <c r="S1923" i="17"/>
  <c r="Q1923" i="17"/>
  <c r="AP1923" i="17"/>
  <c r="AO1923" i="17"/>
  <c r="X862" i="17"/>
  <c r="U877" i="17"/>
  <c r="AF877" i="17"/>
  <c r="AR877" i="17"/>
  <c r="AD894" i="17"/>
  <c r="AD925" i="17"/>
  <c r="V941" i="17"/>
  <c r="AI960" i="17"/>
  <c r="AM975" i="17"/>
  <c r="Y990" i="17"/>
  <c r="AO990" i="17"/>
  <c r="Z1004" i="17"/>
  <c r="AO1011" i="17"/>
  <c r="V1021" i="17"/>
  <c r="AH1021" i="17"/>
  <c r="Z1039" i="17"/>
  <c r="AG1045" i="17"/>
  <c r="AG1047" i="17"/>
  <c r="AH1052" i="17"/>
  <c r="AN1087" i="17"/>
  <c r="W1121" i="17"/>
  <c r="AK1121" i="17"/>
  <c r="AF1169" i="17"/>
  <c r="AE1173" i="17"/>
  <c r="AH1177" i="17"/>
  <c r="AF1197" i="17"/>
  <c r="Z1207" i="17"/>
  <c r="U1208" i="17"/>
  <c r="AI1208" i="17"/>
  <c r="V1213" i="17"/>
  <c r="AM1213" i="17"/>
  <c r="AG1236" i="17"/>
  <c r="AP1239" i="17"/>
  <c r="AK1271" i="17"/>
  <c r="AP1281" i="17"/>
  <c r="AK1287" i="17"/>
  <c r="AC1293" i="17"/>
  <c r="Y1296" i="17"/>
  <c r="AQ1296" i="17"/>
  <c r="AG1300" i="17"/>
  <c r="AH1320" i="17"/>
  <c r="AL1364" i="17"/>
  <c r="AJ1369" i="17"/>
  <c r="AA1374" i="17"/>
  <c r="S1376" i="17"/>
  <c r="AE1376" i="17"/>
  <c r="AR1376" i="17"/>
  <c r="AH1395" i="17"/>
  <c r="W1400" i="17"/>
  <c r="AH1409" i="17"/>
  <c r="AN1422" i="17"/>
  <c r="V1424" i="17"/>
  <c r="AJ1424" i="17"/>
  <c r="S1430" i="17"/>
  <c r="AE1430" i="17"/>
  <c r="AR1430" i="17"/>
  <c r="S1452" i="17"/>
  <c r="AC1452" i="17"/>
  <c r="AM1452" i="17"/>
  <c r="U1460" i="17"/>
  <c r="AF1460" i="17"/>
  <c r="W1466" i="17"/>
  <c r="AD1470" i="17"/>
  <c r="AD1496" i="17"/>
  <c r="L1496" i="17"/>
  <c r="AA1496" i="17"/>
  <c r="J1496" i="17"/>
  <c r="AI1496" i="17"/>
  <c r="T1506" i="17"/>
  <c r="AO1530" i="17"/>
  <c r="AL1530" i="17"/>
  <c r="AB1530" i="17"/>
  <c r="P1530" i="17"/>
  <c r="AK1530" i="17"/>
  <c r="Z1530" i="17"/>
  <c r="O1530" i="17"/>
  <c r="U1530" i="17"/>
  <c r="AH1530" i="17"/>
  <c r="AE1542" i="17"/>
  <c r="P1542" i="17"/>
  <c r="AC1542" i="17"/>
  <c r="N1542" i="17"/>
  <c r="AB1542" i="17"/>
  <c r="N1558" i="17"/>
  <c r="AR1558" i="17"/>
  <c r="M1558" i="17"/>
  <c r="Z1589" i="17"/>
  <c r="AP1589" i="17"/>
  <c r="T1589" i="17"/>
  <c r="AO1589" i="17"/>
  <c r="O1589" i="17"/>
  <c r="AI1589" i="17"/>
  <c r="AJ1594" i="17"/>
  <c r="AA1594" i="17"/>
  <c r="AE1600" i="17"/>
  <c r="P1600" i="17"/>
  <c r="AR1600" i="17"/>
  <c r="AB1600" i="17"/>
  <c r="O1600" i="17"/>
  <c r="Z1600" i="17"/>
  <c r="AP1607" i="17"/>
  <c r="AE1607" i="17"/>
  <c r="AB1607" i="17"/>
  <c r="Y1609" i="17"/>
  <c r="W1609" i="17"/>
  <c r="T1609" i="17"/>
  <c r="AQ1612" i="17"/>
  <c r="AB1612" i="17"/>
  <c r="N1612" i="17"/>
  <c r="AP1612" i="17"/>
  <c r="AA1612" i="17"/>
  <c r="M1612" i="17"/>
  <c r="X1612" i="17"/>
  <c r="AO1624" i="17"/>
  <c r="S1624" i="17"/>
  <c r="R1624" i="17"/>
  <c r="AO1627" i="17"/>
  <c r="AJ1627" i="17"/>
  <c r="W1627" i="17"/>
  <c r="L1627" i="17"/>
  <c r="AP1627" i="17"/>
  <c r="AA1627" i="17"/>
  <c r="M1627" i="17"/>
  <c r="AL1627" i="17"/>
  <c r="Z1627" i="17"/>
  <c r="K1627" i="17"/>
  <c r="AB1627" i="17"/>
  <c r="AI1647" i="17"/>
  <c r="N1647" i="17"/>
  <c r="S1647" i="17"/>
  <c r="AL1647" i="17"/>
  <c r="R1647" i="17"/>
  <c r="AL1706" i="17"/>
  <c r="P1706" i="17"/>
  <c r="W1706" i="17"/>
  <c r="R1706" i="17"/>
  <c r="AP1706" i="17"/>
  <c r="N1706" i="17"/>
  <c r="AG1708" i="17"/>
  <c r="V1708" i="17"/>
  <c r="AJ1722" i="17"/>
  <c r="AB1722" i="17"/>
  <c r="O1722" i="17"/>
  <c r="AG1722" i="17"/>
  <c r="L1722" i="17"/>
  <c r="Z1722" i="17"/>
  <c r="AR1722" i="17"/>
  <c r="Y1722" i="17"/>
  <c r="AI1722" i="17"/>
  <c r="AO1724" i="17"/>
  <c r="AH1724" i="17"/>
  <c r="P1724" i="17"/>
  <c r="X1724" i="17"/>
  <c r="AR1724" i="17"/>
  <c r="S1724" i="17"/>
  <c r="R1724" i="17"/>
  <c r="Q1724" i="17"/>
  <c r="AN1724" i="17"/>
  <c r="AK1769" i="17"/>
  <c r="T1769" i="17"/>
  <c r="AD1769" i="17"/>
  <c r="N1769" i="17"/>
  <c r="AC1769" i="17"/>
  <c r="M1769" i="17"/>
  <c r="AQ1769" i="17"/>
  <c r="S1769" i="17"/>
  <c r="AN1769" i="17"/>
  <c r="P1769" i="17"/>
  <c r="AI1792" i="17"/>
  <c r="AR1792" i="17"/>
  <c r="P1792" i="17"/>
  <c r="O1792" i="17"/>
  <c r="R1830" i="17"/>
  <c r="Y1830" i="17"/>
  <c r="P1830" i="17"/>
  <c r="O1830" i="17"/>
  <c r="AM1830" i="17"/>
  <c r="AF1830" i="17"/>
  <c r="AK1879" i="17"/>
  <c r="V1879" i="17"/>
  <c r="J1879" i="17"/>
  <c r="AG1879" i="17"/>
  <c r="Q1879" i="17"/>
  <c r="AD1879" i="17"/>
  <c r="N1879" i="17"/>
  <c r="AC1879" i="17"/>
  <c r="L1879" i="17"/>
  <c r="AB1879" i="17"/>
  <c r="Z1879" i="17"/>
  <c r="AM1879" i="17"/>
  <c r="R1887" i="17"/>
  <c r="AI1887" i="17"/>
  <c r="S1887" i="17"/>
  <c r="AD1910" i="17"/>
  <c r="O1910" i="17"/>
  <c r="AQ1910" i="17"/>
  <c r="AA1910" i="17"/>
  <c r="N1910" i="17"/>
  <c r="AG1910" i="17"/>
  <c r="K1910" i="17"/>
  <c r="AF1910" i="17"/>
  <c r="Y1910" i="17"/>
  <c r="V1910" i="17"/>
  <c r="AM1910" i="17"/>
  <c r="AI1910" i="17"/>
  <c r="AB1924" i="17"/>
  <c r="AA1924" i="17"/>
  <c r="AG1924" i="17"/>
  <c r="O1924" i="17"/>
  <c r="AQ1924" i="17"/>
  <c r="AI1924" i="17"/>
  <c r="AA1970" i="17"/>
  <c r="AO1970" i="17"/>
  <c r="AN1970" i="17"/>
  <c r="AD1970" i="17"/>
  <c r="Z1970" i="17"/>
  <c r="W1970" i="17"/>
  <c r="S1970" i="17"/>
  <c r="AI1984" i="17"/>
  <c r="U1984" i="17"/>
  <c r="AM1984" i="17"/>
  <c r="W1984" i="17"/>
  <c r="AJ1984" i="17"/>
  <c r="R1984" i="17"/>
  <c r="AF1984" i="17"/>
  <c r="N1984" i="17"/>
  <c r="AR1984" i="17"/>
  <c r="X1984" i="17"/>
  <c r="AQ1984" i="17"/>
  <c r="P1984" i="17"/>
  <c r="M1984" i="17"/>
  <c r="AP1984" i="17"/>
  <c r="L1984" i="17"/>
  <c r="AN1984" i="17"/>
  <c r="AL1989" i="17"/>
  <c r="AJ1989" i="17"/>
  <c r="AQ1989" i="17"/>
  <c r="AP1989" i="17"/>
  <c r="AD1994" i="17"/>
  <c r="N1994" i="17"/>
  <c r="AL1994" i="17"/>
  <c r="S1994" i="17"/>
  <c r="AK1994" i="17"/>
  <c r="R1994" i="17"/>
  <c r="AJ1994" i="17"/>
  <c r="K1994" i="17"/>
  <c r="W1994" i="17"/>
  <c r="V1994" i="17"/>
  <c r="AN1994" i="17"/>
  <c r="AM1994" i="17"/>
  <c r="AB1994" i="17"/>
  <c r="AA1994" i="17"/>
  <c r="AN960" i="17"/>
  <c r="O973" i="17"/>
  <c r="M975" i="17"/>
  <c r="K990" i="17"/>
  <c r="Z990" i="17"/>
  <c r="AG1004" i="17"/>
  <c r="J1021" i="17"/>
  <c r="W1021" i="17"/>
  <c r="M1039" i="17"/>
  <c r="M1045" i="17"/>
  <c r="M1047" i="17"/>
  <c r="AI1052" i="17"/>
  <c r="X1075" i="17"/>
  <c r="AO1087" i="17"/>
  <c r="AO1093" i="17"/>
  <c r="J1121" i="17"/>
  <c r="X1121" i="17"/>
  <c r="AL1121" i="17"/>
  <c r="O1169" i="17"/>
  <c r="AF1173" i="17"/>
  <c r="AG1197" i="17"/>
  <c r="J1208" i="17"/>
  <c r="V1208" i="17"/>
  <c r="AJ1208" i="17"/>
  <c r="Y1213" i="17"/>
  <c r="Q1218" i="17"/>
  <c r="J1236" i="17"/>
  <c r="AH1236" i="17"/>
  <c r="J1281" i="17"/>
  <c r="AL1287" i="17"/>
  <c r="J1296" i="17"/>
  <c r="AA1296" i="17"/>
  <c r="J1300" i="17"/>
  <c r="AH1300" i="17"/>
  <c r="AF1307" i="17"/>
  <c r="M1345" i="17"/>
  <c r="K1364" i="17"/>
  <c r="AN1364" i="17"/>
  <c r="O1369" i="17"/>
  <c r="AC1374" i="17"/>
  <c r="U1376" i="17"/>
  <c r="AF1376" i="17"/>
  <c r="K1395" i="17"/>
  <c r="K1409" i="17"/>
  <c r="J1419" i="17"/>
  <c r="K1422" i="17"/>
  <c r="K1424" i="17"/>
  <c r="W1424" i="17"/>
  <c r="U1430" i="17"/>
  <c r="AF1430" i="17"/>
  <c r="AJ1477" i="17"/>
  <c r="AI1477" i="17"/>
  <c r="AO1506" i="17"/>
  <c r="AL1506" i="17"/>
  <c r="AB1506" i="17"/>
  <c r="P1506" i="17"/>
  <c r="AK1506" i="17"/>
  <c r="Z1506" i="17"/>
  <c r="O1506" i="17"/>
  <c r="U1506" i="17"/>
  <c r="AH1506" i="17"/>
  <c r="Z1538" i="17"/>
  <c r="U1538" i="17"/>
  <c r="AM1571" i="17"/>
  <c r="Y1571" i="17"/>
  <c r="AB1633" i="17"/>
  <c r="AL1633" i="17"/>
  <c r="M1633" i="17"/>
  <c r="AR1633" i="17"/>
  <c r="J1633" i="17"/>
  <c r="AC1639" i="17"/>
  <c r="M1639" i="17"/>
  <c r="S1639" i="17"/>
  <c r="L1639" i="17"/>
  <c r="L1647" i="17"/>
  <c r="AH1675" i="17"/>
  <c r="J1675" i="17"/>
  <c r="W1675" i="17"/>
  <c r="T1675" i="17"/>
  <c r="V1706" i="17"/>
  <c r="N1708" i="17"/>
  <c r="K1722" i="17"/>
  <c r="AM1722" i="17"/>
  <c r="L1724" i="17"/>
  <c r="Z1744" i="17"/>
  <c r="AE1744" i="17"/>
  <c r="AB1744" i="17"/>
  <c r="O1769" i="17"/>
  <c r="L1775" i="17"/>
  <c r="AM1775" i="17"/>
  <c r="K1775" i="17"/>
  <c r="AJ1779" i="17"/>
  <c r="S1779" i="17"/>
  <c r="AI1779" i="17"/>
  <c r="AB1779" i="17"/>
  <c r="AA1779" i="17"/>
  <c r="W1779" i="17"/>
  <c r="AG1792" i="17"/>
  <c r="AD1807" i="17"/>
  <c r="N1807" i="17"/>
  <c r="AB1807" i="17"/>
  <c r="AC1807" i="17"/>
  <c r="AA1807" i="17"/>
  <c r="P1807" i="17"/>
  <c r="AQ1807" i="17"/>
  <c r="O1807" i="17"/>
  <c r="J1830" i="17"/>
  <c r="AI1853" i="17"/>
  <c r="AH1853" i="17"/>
  <c r="AE1888" i="17"/>
  <c r="AQ1888" i="17"/>
  <c r="AL1888" i="17"/>
  <c r="U1907" i="17"/>
  <c r="AE1907" i="17"/>
  <c r="U1915" i="17"/>
  <c r="T1915" i="17"/>
  <c r="V1915" i="17"/>
  <c r="AI1915" i="17"/>
  <c r="AC1915" i="17"/>
  <c r="Z1915" i="17"/>
  <c r="X1925" i="17"/>
  <c r="AC1925" i="17"/>
  <c r="AB1925" i="17"/>
  <c r="W1939" i="17"/>
  <c r="AB1939" i="17"/>
  <c r="AP1939" i="17"/>
  <c r="AH1939" i="17"/>
  <c r="AG1939" i="17"/>
  <c r="S1939" i="17"/>
  <c r="AQ1939" i="17"/>
  <c r="T1939" i="17"/>
  <c r="AR1939" i="17"/>
  <c r="AM1942" i="17"/>
  <c r="S1942" i="17"/>
  <c r="AL1942" i="17"/>
  <c r="L1994" i="17"/>
  <c r="U1484" i="17"/>
  <c r="AF1484" i="17"/>
  <c r="Z1488" i="17"/>
  <c r="AQ1488" i="17"/>
  <c r="AH1501" i="17"/>
  <c r="T1508" i="17"/>
  <c r="AE1508" i="17"/>
  <c r="AQ1508" i="17"/>
  <c r="X1512" i="17"/>
  <c r="AM1512" i="17"/>
  <c r="AB1516" i="17"/>
  <c r="U1520" i="17"/>
  <c r="AF1520" i="17"/>
  <c r="AR1520" i="17"/>
  <c r="Y1521" i="17"/>
  <c r="AM1524" i="17"/>
  <c r="AD1536" i="17"/>
  <c r="U1568" i="17"/>
  <c r="AI1568" i="17"/>
  <c r="S1570" i="17"/>
  <c r="AC1570" i="17"/>
  <c r="AM1570" i="17"/>
  <c r="AN1575" i="17"/>
  <c r="R1578" i="17"/>
  <c r="AE1578" i="17"/>
  <c r="AQ1578" i="17"/>
  <c r="U1592" i="17"/>
  <c r="AH1592" i="17"/>
  <c r="AM1619" i="17"/>
  <c r="AA1619" i="17"/>
  <c r="N1619" i="17"/>
  <c r="U1619" i="17"/>
  <c r="AJ1619" i="17"/>
  <c r="AM1629" i="17"/>
  <c r="AM1631" i="17"/>
  <c r="Z1631" i="17"/>
  <c r="L1631" i="17"/>
  <c r="V1631" i="17"/>
  <c r="AL1631" i="17"/>
  <c r="AL1649" i="17"/>
  <c r="AF1652" i="17"/>
  <c r="O1652" i="17"/>
  <c r="AE1652" i="17"/>
  <c r="AG1654" i="17"/>
  <c r="AQ1677" i="17"/>
  <c r="AC1677" i="17"/>
  <c r="N1677" i="17"/>
  <c r="V1677" i="17"/>
  <c r="AK1677" i="17"/>
  <c r="AE1685" i="17"/>
  <c r="N1685" i="17"/>
  <c r="AC1685" i="17"/>
  <c r="AN1691" i="17"/>
  <c r="O1691" i="17"/>
  <c r="AP1691" i="17"/>
  <c r="R1704" i="17"/>
  <c r="AE1704" i="17"/>
  <c r="AD1709" i="17"/>
  <c r="R1709" i="17"/>
  <c r="AI1709" i="17"/>
  <c r="S1709" i="17"/>
  <c r="X1709" i="17"/>
  <c r="AP1709" i="17"/>
  <c r="AD1751" i="17"/>
  <c r="AR1751" i="17"/>
  <c r="S1751" i="17"/>
  <c r="M1751" i="17"/>
  <c r="AH1778" i="17"/>
  <c r="R1778" i="17"/>
  <c r="AP1778" i="17"/>
  <c r="Y1778" i="17"/>
  <c r="AN1778" i="17"/>
  <c r="T1778" i="17"/>
  <c r="AB1778" i="17"/>
  <c r="AP1797" i="17"/>
  <c r="AJ1797" i="17"/>
  <c r="W1797" i="17"/>
  <c r="L1797" i="17"/>
  <c r="AR1797" i="17"/>
  <c r="AC1797" i="17"/>
  <c r="O1797" i="17"/>
  <c r="AB1797" i="17"/>
  <c r="M1797" i="17"/>
  <c r="AQ1797" i="17"/>
  <c r="AA1797" i="17"/>
  <c r="K1797" i="17"/>
  <c r="AF1797" i="17"/>
  <c r="AJ1841" i="17"/>
  <c r="AR1841" i="17"/>
  <c r="AA1841" i="17"/>
  <c r="L1841" i="17"/>
  <c r="AB1841" i="17"/>
  <c r="K1841" i="17"/>
  <c r="Y1841" i="17"/>
  <c r="AQ1841" i="17"/>
  <c r="W1841" i="17"/>
  <c r="AI1841" i="17"/>
  <c r="AR1846" i="17"/>
  <c r="W1846" i="17"/>
  <c r="AN1846" i="17"/>
  <c r="P1846" i="17"/>
  <c r="AD1846" i="17"/>
  <c r="AC1846" i="17"/>
  <c r="AM1846" i="17"/>
  <c r="AQ1894" i="17"/>
  <c r="Y1894" i="17"/>
  <c r="U1894" i="17"/>
  <c r="X1929" i="17"/>
  <c r="J1929" i="17"/>
  <c r="AH1947" i="17"/>
  <c r="AI1947" i="17"/>
  <c r="R1947" i="17"/>
  <c r="AB1947" i="17"/>
  <c r="O1947" i="17"/>
  <c r="AA1947" i="17"/>
  <c r="L1947" i="17"/>
  <c r="AG1947" i="17"/>
  <c r="J1947" i="17"/>
  <c r="X1947" i="17"/>
  <c r="AR1947" i="17"/>
  <c r="Q1947" i="17"/>
  <c r="AQ1947" i="17"/>
  <c r="P1947" i="17"/>
  <c r="AN1958" i="17"/>
  <c r="AO1958" i="17"/>
  <c r="AC1958" i="17"/>
  <c r="P1958" i="17"/>
  <c r="AF1958" i="17"/>
  <c r="Q1958" i="17"/>
  <c r="AQ1958" i="17"/>
  <c r="AE1958" i="17"/>
  <c r="O1958" i="17"/>
  <c r="AM1958" i="17"/>
  <c r="W1958" i="17"/>
  <c r="AG1958" i="17"/>
  <c r="K1958" i="17"/>
  <c r="V1958" i="17"/>
  <c r="AP1958" i="17"/>
  <c r="U1958" i="17"/>
  <c r="AI1958" i="17"/>
  <c r="Z1975" i="17"/>
  <c r="K1975" i="17"/>
  <c r="Y1975" i="17"/>
  <c r="AR1975" i="17"/>
  <c r="V1975" i="17"/>
  <c r="U1975" i="17"/>
  <c r="AE1975" i="17"/>
  <c r="T1975" i="17"/>
  <c r="AI1975" i="17"/>
  <c r="AH1975" i="17"/>
  <c r="J1484" i="17"/>
  <c r="V1484" i="17"/>
  <c r="T1485" i="17"/>
  <c r="AB1488" i="17"/>
  <c r="AR1501" i="17"/>
  <c r="J1508" i="17"/>
  <c r="U1508" i="17"/>
  <c r="K1512" i="17"/>
  <c r="Z1512" i="17"/>
  <c r="J1516" i="17"/>
  <c r="J1520" i="17"/>
  <c r="V1520" i="17"/>
  <c r="P1524" i="17"/>
  <c r="W1568" i="17"/>
  <c r="J1570" i="17"/>
  <c r="T1570" i="17"/>
  <c r="AD1570" i="17"/>
  <c r="AN1570" i="17"/>
  <c r="J1575" i="17"/>
  <c r="U1578" i="17"/>
  <c r="AF1578" i="17"/>
  <c r="V1592" i="17"/>
  <c r="AQ1605" i="17"/>
  <c r="J1619" i="17"/>
  <c r="V1619" i="17"/>
  <c r="AK1619" i="17"/>
  <c r="J1629" i="17"/>
  <c r="AP1629" i="17"/>
  <c r="J1631" i="17"/>
  <c r="W1631" i="17"/>
  <c r="AP1631" i="17"/>
  <c r="Z1635" i="17"/>
  <c r="AK1641" i="17"/>
  <c r="S1641" i="17"/>
  <c r="AC1641" i="17"/>
  <c r="AO1643" i="17"/>
  <c r="AJ1643" i="17"/>
  <c r="W1643" i="17"/>
  <c r="L1643" i="17"/>
  <c r="U1643" i="17"/>
  <c r="AI1643" i="17"/>
  <c r="AG1648" i="17"/>
  <c r="AA1648" i="17"/>
  <c r="K1649" i="17"/>
  <c r="AM1649" i="17"/>
  <c r="J1652" i="17"/>
  <c r="AI1652" i="17"/>
  <c r="K1654" i="17"/>
  <c r="AL1654" i="17"/>
  <c r="J1677" i="17"/>
  <c r="W1677" i="17"/>
  <c r="AM1677" i="17"/>
  <c r="L1685" i="17"/>
  <c r="AH1685" i="17"/>
  <c r="P1691" i="17"/>
  <c r="AQ1691" i="17"/>
  <c r="K1704" i="17"/>
  <c r="AL1707" i="17"/>
  <c r="AA1707" i="17"/>
  <c r="O1707" i="17"/>
  <c r="AJ1707" i="17"/>
  <c r="W1707" i="17"/>
  <c r="J1707" i="17"/>
  <c r="X1707" i="17"/>
  <c r="AP1707" i="17"/>
  <c r="J1709" i="17"/>
  <c r="AA1709" i="17"/>
  <c r="AQ1709" i="17"/>
  <c r="AJ1711" i="17"/>
  <c r="P1711" i="17"/>
  <c r="T1711" i="17"/>
  <c r="AQ1711" i="17"/>
  <c r="AO1713" i="17"/>
  <c r="AQ1713" i="17"/>
  <c r="AF1713" i="17"/>
  <c r="V1713" i="17"/>
  <c r="L1713" i="17"/>
  <c r="AH1713" i="17"/>
  <c r="U1713" i="17"/>
  <c r="J1713" i="17"/>
  <c r="W1713" i="17"/>
  <c r="AK1713" i="17"/>
  <c r="L1715" i="17"/>
  <c r="AM1727" i="17"/>
  <c r="AK1727" i="17"/>
  <c r="AJ1731" i="17"/>
  <c r="T1731" i="17"/>
  <c r="AN1731" i="17"/>
  <c r="X1731" i="17"/>
  <c r="AM1731" i="17"/>
  <c r="U1731" i="17"/>
  <c r="AC1731" i="17"/>
  <c r="AP1739" i="17"/>
  <c r="AK1739" i="17"/>
  <c r="X1739" i="17"/>
  <c r="M1739" i="17"/>
  <c r="AI1739" i="17"/>
  <c r="U1739" i="17"/>
  <c r="AF1739" i="17"/>
  <c r="S1739" i="17"/>
  <c r="AA1739" i="17"/>
  <c r="AR1739" i="17"/>
  <c r="L1751" i="17"/>
  <c r="AP1753" i="17"/>
  <c r="AM1753" i="17"/>
  <c r="AB1753" i="17"/>
  <c r="O1753" i="17"/>
  <c r="AR1753" i="17"/>
  <c r="AC1753" i="17"/>
  <c r="N1753" i="17"/>
  <c r="AQ1753" i="17"/>
  <c r="AA1753" i="17"/>
  <c r="M1753" i="17"/>
  <c r="X1753" i="17"/>
  <c r="AL1757" i="17"/>
  <c r="X1757" i="17"/>
  <c r="L1757" i="17"/>
  <c r="AF1757" i="17"/>
  <c r="P1757" i="17"/>
  <c r="AD1757" i="17"/>
  <c r="O1757" i="17"/>
  <c r="AB1757" i="17"/>
  <c r="AO1772" i="17"/>
  <c r="AB1772" i="17"/>
  <c r="Y1772" i="17"/>
  <c r="J1778" i="17"/>
  <c r="AF1778" i="17"/>
  <c r="N1797" i="17"/>
  <c r="AI1797" i="17"/>
  <c r="AA1808" i="17"/>
  <c r="K1808" i="17"/>
  <c r="AF1808" i="17"/>
  <c r="J1808" i="17"/>
  <c r="AJ1808" i="17"/>
  <c r="O1808" i="17"/>
  <c r="AI1808" i="17"/>
  <c r="L1808" i="17"/>
  <c r="AQ1808" i="17"/>
  <c r="S1811" i="17"/>
  <c r="W1811" i="17"/>
  <c r="AL1811" i="17"/>
  <c r="AC1834" i="17"/>
  <c r="N1834" i="17"/>
  <c r="AJ1834" i="17"/>
  <c r="P1834" i="17"/>
  <c r="AM1834" i="17"/>
  <c r="S1834" i="17"/>
  <c r="AL1834" i="17"/>
  <c r="O1834" i="17"/>
  <c r="AI1834" i="17"/>
  <c r="O1841" i="17"/>
  <c r="AM1841" i="17"/>
  <c r="L1846" i="17"/>
  <c r="AO1847" i="17"/>
  <c r="AJ1847" i="17"/>
  <c r="AE1847" i="17"/>
  <c r="O1863" i="17"/>
  <c r="R1863" i="17"/>
  <c r="Q1863" i="17"/>
  <c r="W1877" i="17"/>
  <c r="AJ1885" i="17"/>
  <c r="AQ1885" i="17"/>
  <c r="AP1885" i="17"/>
  <c r="AN1892" i="17"/>
  <c r="J1892" i="17"/>
  <c r="S1894" i="17"/>
  <c r="AM1901" i="17"/>
  <c r="AP1901" i="17"/>
  <c r="AI1913" i="17"/>
  <c r="S1913" i="17"/>
  <c r="AE1913" i="17"/>
  <c r="R1913" i="17"/>
  <c r="AL1913" i="17"/>
  <c r="M1913" i="17"/>
  <c r="AQ1913" i="17"/>
  <c r="T1913" i="17"/>
  <c r="W1913" i="17"/>
  <c r="AR1913" i="17"/>
  <c r="O1913" i="17"/>
  <c r="AP1913" i="17"/>
  <c r="AI1929" i="17"/>
  <c r="AP1940" i="17"/>
  <c r="AJ1940" i="17"/>
  <c r="W1940" i="17"/>
  <c r="L1940" i="17"/>
  <c r="AE1940" i="17"/>
  <c r="P1940" i="17"/>
  <c r="AR1940" i="17"/>
  <c r="AC1940" i="17"/>
  <c r="O1940" i="17"/>
  <c r="AL1940" i="17"/>
  <c r="U1940" i="17"/>
  <c r="AM1940" i="17"/>
  <c r="S1940" i="17"/>
  <c r="AA1940" i="17"/>
  <c r="X1940" i="17"/>
  <c r="AK1940" i="17"/>
  <c r="AQ1946" i="17"/>
  <c r="AB1946" i="17"/>
  <c r="K1946" i="17"/>
  <c r="AJ1946" i="17"/>
  <c r="P1946" i="17"/>
  <c r="AE1946" i="17"/>
  <c r="O1946" i="17"/>
  <c r="U1946" i="17"/>
  <c r="AK1946" i="17"/>
  <c r="AA1946" i="17"/>
  <c r="T1946" i="17"/>
  <c r="K1947" i="17"/>
  <c r="J1958" i="17"/>
  <c r="AL1958" i="17"/>
  <c r="L1975" i="17"/>
  <c r="P1702" i="17"/>
  <c r="K1702" i="17"/>
  <c r="AH1712" i="17"/>
  <c r="O1712" i="17"/>
  <c r="Z1712" i="17"/>
  <c r="AI1774" i="17"/>
  <c r="AJ1784" i="17"/>
  <c r="P1784" i="17"/>
  <c r="AO1784" i="17"/>
  <c r="AA1789" i="17"/>
  <c r="U1789" i="17"/>
  <c r="AG1794" i="17"/>
  <c r="AR1794" i="17"/>
  <c r="AB1794" i="17"/>
  <c r="P1794" i="17"/>
  <c r="AN1794" i="17"/>
  <c r="Y1794" i="17"/>
  <c r="J1794" i="17"/>
  <c r="Z1794" i="17"/>
  <c r="AP1795" i="17"/>
  <c r="AR1795" i="17"/>
  <c r="AE1795" i="17"/>
  <c r="S1795" i="17"/>
  <c r="AF1795" i="17"/>
  <c r="P1795" i="17"/>
  <c r="W1795" i="17"/>
  <c r="AL1795" i="17"/>
  <c r="AI1824" i="17"/>
  <c r="K1824" i="17"/>
  <c r="AH1824" i="17"/>
  <c r="AP1893" i="17"/>
  <c r="AO1893" i="17"/>
  <c r="R1896" i="17"/>
  <c r="AI1896" i="17"/>
  <c r="AD1902" i="17"/>
  <c r="AH1902" i="17"/>
  <c r="AQ1902" i="17"/>
  <c r="AH1912" i="17"/>
  <c r="AE1912" i="17"/>
  <c r="P1912" i="17"/>
  <c r="S1912" i="17"/>
  <c r="X1920" i="17"/>
  <c r="W1920" i="17"/>
  <c r="AA1920" i="17"/>
  <c r="AA1951" i="17"/>
  <c r="Q1951" i="17"/>
  <c r="AB1951" i="17"/>
  <c r="O1951" i="17"/>
  <c r="Y1955" i="17"/>
  <c r="W1955" i="17"/>
  <c r="AC2000" i="17"/>
  <c r="AB2000" i="17"/>
  <c r="X2000" i="17"/>
  <c r="W2000" i="17"/>
  <c r="R2000" i="17"/>
  <c r="P2000" i="17"/>
  <c r="AI1759" i="17"/>
  <c r="N1759" i="17"/>
  <c r="AM1759" i="17"/>
  <c r="AH1849" i="17"/>
  <c r="L1849" i="17"/>
  <c r="T1860" i="17"/>
  <c r="AI1860" i="17"/>
  <c r="O1861" i="17"/>
  <c r="AA1861" i="17"/>
  <c r="AB1869" i="17"/>
  <c r="AA1869" i="17"/>
  <c r="AL1869" i="17"/>
  <c r="J1893" i="17"/>
  <c r="P1896" i="17"/>
  <c r="K1902" i="17"/>
  <c r="T1903" i="17"/>
  <c r="Z1903" i="17"/>
  <c r="AP1903" i="17"/>
  <c r="O1912" i="17"/>
  <c r="S1914" i="17"/>
  <c r="R1914" i="17"/>
  <c r="AD1914" i="17"/>
  <c r="AL1920" i="17"/>
  <c r="AQ1950" i="17"/>
  <c r="T1950" i="17"/>
  <c r="AC1950" i="17"/>
  <c r="X1950" i="17"/>
  <c r="S1950" i="17"/>
  <c r="O1950" i="17"/>
  <c r="AB1991" i="17"/>
  <c r="T1991" i="17"/>
  <c r="AR1991" i="17"/>
  <c r="R1991" i="17"/>
  <c r="AE1991" i="17"/>
  <c r="AL1991" i="17"/>
  <c r="AH1991" i="17"/>
  <c r="J2000" i="17"/>
  <c r="M1974" i="17"/>
  <c r="AM1974" i="17"/>
  <c r="AH1974" i="17"/>
  <c r="Y1974" i="17"/>
  <c r="AR1990" i="17"/>
  <c r="AB1990" i="17"/>
  <c r="N1990" i="17"/>
  <c r="AN1990" i="17"/>
  <c r="S1990" i="17"/>
  <c r="AK1990" i="17"/>
  <c r="R1990" i="17"/>
  <c r="AJ1990" i="17"/>
  <c r="M1990" i="17"/>
  <c r="AP1990" i="17"/>
  <c r="AG1995" i="17"/>
  <c r="K1995" i="17"/>
  <c r="T1995" i="17"/>
  <c r="AR1995" i="17"/>
  <c r="P1995" i="17"/>
  <c r="Z1995" i="17"/>
  <c r="U1651" i="17"/>
  <c r="W1659" i="17"/>
  <c r="AA1670" i="17"/>
  <c r="AQ1670" i="17"/>
  <c r="W1689" i="17"/>
  <c r="U1693" i="17"/>
  <c r="X1733" i="17"/>
  <c r="U1747" i="17"/>
  <c r="AF1747" i="17"/>
  <c r="V1761" i="17"/>
  <c r="AR1791" i="17"/>
  <c r="AF1826" i="17"/>
  <c r="AR1848" i="17"/>
  <c r="AA1848" i="17"/>
  <c r="AC1848" i="17"/>
  <c r="AG1865" i="17"/>
  <c r="K1865" i="17"/>
  <c r="AI1865" i="17"/>
  <c r="AI1889" i="17"/>
  <c r="V1889" i="17"/>
  <c r="AG1895" i="17"/>
  <c r="AP1899" i="17"/>
  <c r="R1899" i="17"/>
  <c r="AK1899" i="17"/>
  <c r="AK1905" i="17"/>
  <c r="T1905" i="17"/>
  <c r="AI1905" i="17"/>
  <c r="AM1905" i="17"/>
  <c r="R1905" i="17"/>
  <c r="AB1905" i="17"/>
  <c r="AQ1922" i="17"/>
  <c r="Q1922" i="17"/>
  <c r="AO1922" i="17"/>
  <c r="N1922" i="17"/>
  <c r="Y1922" i="17"/>
  <c r="AP1938" i="17"/>
  <c r="AM1938" i="17"/>
  <c r="AB1938" i="17"/>
  <c r="O1938" i="17"/>
  <c r="AR1938" i="17"/>
  <c r="AC1938" i="17"/>
  <c r="N1938" i="17"/>
  <c r="AQ1938" i="17"/>
  <c r="AA1938" i="17"/>
  <c r="M1938" i="17"/>
  <c r="AJ1938" i="17"/>
  <c r="S1938" i="17"/>
  <c r="AE1938" i="17"/>
  <c r="Y1945" i="17"/>
  <c r="AH1945" i="17"/>
  <c r="Z1945" i="17"/>
  <c r="AI1945" i="17"/>
  <c r="AQ1945" i="17"/>
  <c r="Z1960" i="17"/>
  <c r="U1960" i="17"/>
  <c r="N1974" i="17"/>
  <c r="AH1987" i="17"/>
  <c r="AL1987" i="17"/>
  <c r="X1987" i="17"/>
  <c r="AI1987" i="17"/>
  <c r="P1987" i="17"/>
  <c r="AE1987" i="17"/>
  <c r="O1987" i="17"/>
  <c r="AQ1987" i="17"/>
  <c r="R1987" i="17"/>
  <c r="AJ1987" i="17"/>
  <c r="O1990" i="17"/>
  <c r="AQ1990" i="17"/>
  <c r="L1995" i="17"/>
  <c r="W1813" i="17"/>
  <c r="AA1819" i="17"/>
  <c r="V1827" i="17"/>
  <c r="V1840" i="17"/>
  <c r="T1868" i="17"/>
  <c r="AE1868" i="17"/>
  <c r="AN1931" i="17"/>
  <c r="R1931" i="17"/>
  <c r="AP1931" i="17"/>
  <c r="Q1931" i="17"/>
  <c r="AH1931" i="17"/>
  <c r="P1931" i="17"/>
  <c r="AG1931" i="17"/>
  <c r="AL1969" i="17"/>
  <c r="AO1969" i="17"/>
  <c r="AM1969" i="17"/>
  <c r="AG1908" i="17"/>
  <c r="AF1934" i="17"/>
  <c r="AP1948" i="17"/>
  <c r="AM1948" i="17"/>
  <c r="AA1948" i="17"/>
  <c r="M1948" i="17"/>
  <c r="X1948" i="17"/>
  <c r="AR1948" i="17"/>
  <c r="AJ1967" i="17"/>
  <c r="AR1967" i="17"/>
  <c r="AB1967" i="17"/>
  <c r="L1967" i="17"/>
  <c r="Z1967" i="17"/>
  <c r="AQ1967" i="17"/>
  <c r="AO1980" i="17"/>
  <c r="AL1980" i="17"/>
  <c r="AB1980" i="17"/>
  <c r="P1980" i="17"/>
  <c r="T1980" i="17"/>
  <c r="AE1980" i="17"/>
  <c r="AQ1980" i="17"/>
  <c r="J1908" i="17"/>
  <c r="K1934" i="17"/>
  <c r="AJ1934" i="17"/>
  <c r="AR1943" i="17"/>
  <c r="J1943" i="17"/>
  <c r="L1948" i="17"/>
  <c r="AB1948" i="17"/>
  <c r="J1967" i="17"/>
  <c r="AA1967" i="17"/>
  <c r="AP1972" i="17"/>
  <c r="X1972" i="17"/>
  <c r="J1980" i="17"/>
  <c r="U1980" i="17"/>
  <c r="AF1980" i="17"/>
  <c r="AR1980" i="17"/>
  <c r="AN1992" i="17"/>
  <c r="L1992" i="17"/>
  <c r="AR1992" i="17"/>
  <c r="AR1996" i="17"/>
  <c r="X1930" i="17"/>
  <c r="U1986" i="17"/>
  <c r="AF1986" i="17"/>
  <c r="AR1986" i="17"/>
  <c r="T33" i="17"/>
  <c r="N33" i="17"/>
  <c r="V33" i="17"/>
  <c r="U33" i="17"/>
  <c r="AQ33" i="17" s="1"/>
  <c r="AB33" i="17"/>
  <c r="W33" i="17"/>
  <c r="AA33" i="17"/>
  <c r="M33" i="17"/>
  <c r="X33" i="17"/>
  <c r="Y62" i="17"/>
  <c r="Z62" i="17"/>
  <c r="Q62" i="17"/>
  <c r="M81" i="17"/>
  <c r="AE81" i="17" s="1"/>
  <c r="L81" i="17"/>
  <c r="AA81" i="17"/>
  <c r="X81" i="17"/>
  <c r="N81" i="17"/>
  <c r="Q92" i="17"/>
  <c r="L92" i="17"/>
  <c r="X92" i="17"/>
  <c r="R92" i="17"/>
  <c r="AF92" i="17" s="1"/>
  <c r="Y92" i="17"/>
  <c r="AB92" i="17"/>
  <c r="Z92" i="17"/>
  <c r="AA92" i="17"/>
  <c r="AB105" i="17"/>
  <c r="N105" i="17"/>
  <c r="AA105" i="17"/>
  <c r="M105" i="17"/>
  <c r="AD105" i="17" s="1"/>
  <c r="U105" i="17"/>
  <c r="AH105" i="17" s="1"/>
  <c r="T105" i="17"/>
  <c r="X105" i="17"/>
  <c r="W105" i="17"/>
  <c r="S105" i="17"/>
  <c r="L105" i="17"/>
  <c r="V105" i="17"/>
  <c r="N119" i="17"/>
  <c r="X119" i="17"/>
  <c r="AA119" i="17"/>
  <c r="L119" i="17"/>
  <c r="AB143" i="17"/>
  <c r="M143" i="17"/>
  <c r="AE143" i="17" s="1"/>
  <c r="AA143" i="17"/>
  <c r="L143" i="17"/>
  <c r="W143" i="17"/>
  <c r="V143" i="17"/>
  <c r="X143" i="17"/>
  <c r="U143" i="17"/>
  <c r="AH143" i="17" s="1"/>
  <c r="T143" i="17"/>
  <c r="N143" i="17"/>
  <c r="AB151" i="17"/>
  <c r="N151" i="17"/>
  <c r="AA151" i="17"/>
  <c r="M151" i="17"/>
  <c r="S151" i="17"/>
  <c r="L151" i="17"/>
  <c r="X151" i="17"/>
  <c r="W151" i="17"/>
  <c r="V151" i="17"/>
  <c r="AB175" i="17"/>
  <c r="M175" i="17"/>
  <c r="AE175" i="17" s="1"/>
  <c r="AA175" i="17"/>
  <c r="L175" i="17"/>
  <c r="T175" i="17"/>
  <c r="N175" i="17"/>
  <c r="X175" i="17"/>
  <c r="V175" i="17"/>
  <c r="W175" i="17"/>
  <c r="U175" i="17"/>
  <c r="AQ175" i="17" s="1"/>
  <c r="AN190" i="17"/>
  <c r="R190" i="17"/>
  <c r="AM190" i="17"/>
  <c r="Q190" i="17"/>
  <c r="AE190" i="17"/>
  <c r="Z190" i="17"/>
  <c r="AJ190" i="17"/>
  <c r="P190" i="17"/>
  <c r="AI190" i="17"/>
  <c r="Y190" i="17"/>
  <c r="S190" i="17"/>
  <c r="AO230" i="17"/>
  <c r="Y230" i="17"/>
  <c r="S230" i="17"/>
  <c r="AG230" i="17"/>
  <c r="AF230" i="17"/>
  <c r="AH230" i="17"/>
  <c r="K230" i="17"/>
  <c r="AE230" i="17"/>
  <c r="O230" i="17"/>
  <c r="L230" i="17"/>
  <c r="Y240" i="17"/>
  <c r="O240" i="17"/>
  <c r="Z240" i="17"/>
  <c r="L240" i="17"/>
  <c r="AI240" i="17"/>
  <c r="Z252" i="17"/>
  <c r="T252" i="17"/>
  <c r="AO252" i="17"/>
  <c r="AM252" i="17"/>
  <c r="AJ252" i="17"/>
  <c r="AA252" i="17"/>
  <c r="AP252" i="17"/>
  <c r="AJ308" i="17"/>
  <c r="Y308" i="17"/>
  <c r="L308" i="17"/>
  <c r="AI308" i="17"/>
  <c r="X308" i="17"/>
  <c r="K308" i="17"/>
  <c r="AG308" i="17"/>
  <c r="Q308" i="17"/>
  <c r="AF308" i="17"/>
  <c r="P308" i="17"/>
  <c r="AQ308" i="17"/>
  <c r="W308" i="17"/>
  <c r="AH308" i="17"/>
  <c r="AP308" i="17"/>
  <c r="T308" i="17"/>
  <c r="O308" i="17"/>
  <c r="J308" i="17"/>
  <c r="AN308" i="17"/>
  <c r="R308" i="17"/>
  <c r="AM308" i="17"/>
  <c r="AO353" i="17"/>
  <c r="AP353" i="17"/>
  <c r="AF353" i="17"/>
  <c r="W353" i="17"/>
  <c r="N353" i="17"/>
  <c r="AN353" i="17"/>
  <c r="AE353" i="17"/>
  <c r="V353" i="17"/>
  <c r="M353" i="17"/>
  <c r="AK353" i="17"/>
  <c r="Z353" i="17"/>
  <c r="L353" i="17"/>
  <c r="AJ353" i="17"/>
  <c r="X353" i="17"/>
  <c r="K353" i="17"/>
  <c r="AL353" i="17"/>
  <c r="T353" i="17"/>
  <c r="AI353" i="17"/>
  <c r="S353" i="17"/>
  <c r="P353" i="17"/>
  <c r="AC353" i="17"/>
  <c r="AH353" i="17"/>
  <c r="R353" i="17"/>
  <c r="AD353" i="17"/>
  <c r="O353" i="17"/>
  <c r="L378" i="17"/>
  <c r="AR378" i="17"/>
  <c r="K378" i="17"/>
  <c r="Y378" i="17"/>
  <c r="X378" i="17"/>
  <c r="AQ378" i="17"/>
  <c r="AE378" i="17"/>
  <c r="W378" i="17"/>
  <c r="AP378" i="17"/>
  <c r="AQ434" i="17"/>
  <c r="AA434" i="17"/>
  <c r="O434" i="17"/>
  <c r="AN434" i="17"/>
  <c r="Z434" i="17"/>
  <c r="L434" i="17"/>
  <c r="Y434" i="17"/>
  <c r="AR434" i="17"/>
  <c r="X434" i="17"/>
  <c r="AB434" i="17"/>
  <c r="Q434" i="17"/>
  <c r="P434" i="17"/>
  <c r="W434" i="17"/>
  <c r="AM434" i="17"/>
  <c r="R434" i="17"/>
  <c r="AJ434" i="17"/>
  <c r="AP467" i="17"/>
  <c r="AM467" i="17"/>
  <c r="AC467" i="17"/>
  <c r="S467" i="17"/>
  <c r="AL467" i="17"/>
  <c r="AB467" i="17"/>
  <c r="P467" i="17"/>
  <c r="AI467" i="17"/>
  <c r="U467" i="17"/>
  <c r="AF467" i="17"/>
  <c r="T467" i="17"/>
  <c r="AQ467" i="17"/>
  <c r="W467" i="17"/>
  <c r="AJ467" i="17"/>
  <c r="AN467" i="17"/>
  <c r="V467" i="17"/>
  <c r="N467" i="17"/>
  <c r="AE467" i="17"/>
  <c r="AK467" i="17"/>
  <c r="O467" i="17"/>
  <c r="M467" i="17"/>
  <c r="AP481" i="17"/>
  <c r="AL481" i="17"/>
  <c r="AB481" i="17"/>
  <c r="P481" i="17"/>
  <c r="AK481" i="17"/>
  <c r="AA481" i="17"/>
  <c r="O481" i="17"/>
  <c r="AN481" i="17"/>
  <c r="X481" i="17"/>
  <c r="L481" i="17"/>
  <c r="AM481" i="17"/>
  <c r="W481" i="17"/>
  <c r="K481" i="17"/>
  <c r="AC481" i="17"/>
  <c r="AJ481" i="17"/>
  <c r="AR481" i="17"/>
  <c r="V481" i="17"/>
  <c r="T481" i="17"/>
  <c r="AI481" i="17"/>
  <c r="S481" i="17"/>
  <c r="AQ481" i="17"/>
  <c r="U481" i="17"/>
  <c r="W508" i="17"/>
  <c r="T508" i="17"/>
  <c r="S508" i="17"/>
  <c r="R508" i="17"/>
  <c r="AH508" i="17"/>
  <c r="AG508" i="17"/>
  <c r="AO508" i="17"/>
  <c r="AN508" i="17"/>
  <c r="AP543" i="17"/>
  <c r="AR543" i="17"/>
  <c r="AF543" i="17"/>
  <c r="V543" i="17"/>
  <c r="L543" i="17"/>
  <c r="AQ543" i="17"/>
  <c r="AE543" i="17"/>
  <c r="U543" i="17"/>
  <c r="K543" i="17"/>
  <c r="AK543" i="17"/>
  <c r="W543" i="17"/>
  <c r="AJ543" i="17"/>
  <c r="T543" i="17"/>
  <c r="AN543" i="17"/>
  <c r="X543" i="17"/>
  <c r="N543" i="17"/>
  <c r="AM543" i="17"/>
  <c r="S543" i="17"/>
  <c r="O543" i="17"/>
  <c r="AD543" i="17"/>
  <c r="AL543" i="17"/>
  <c r="P543" i="17"/>
  <c r="AI543" i="17"/>
  <c r="AP549" i="17"/>
  <c r="AR549" i="17"/>
  <c r="AF549" i="17"/>
  <c r="V549" i="17"/>
  <c r="L549" i="17"/>
  <c r="AQ549" i="17"/>
  <c r="AE549" i="17"/>
  <c r="U549" i="17"/>
  <c r="K549" i="17"/>
  <c r="AC549" i="17"/>
  <c r="O549" i="17"/>
  <c r="AN549" i="17"/>
  <c r="AB549" i="17"/>
  <c r="N549" i="17"/>
  <c r="AA549" i="17"/>
  <c r="T549" i="17"/>
  <c r="S549" i="17"/>
  <c r="X549" i="17"/>
  <c r="AK549" i="17"/>
  <c r="AM549" i="17"/>
  <c r="W549" i="17"/>
  <c r="AL549" i="17"/>
  <c r="AP567" i="17"/>
  <c r="AR567" i="17"/>
  <c r="AF567" i="17"/>
  <c r="V567" i="17"/>
  <c r="L567" i="17"/>
  <c r="AQ567" i="17"/>
  <c r="AE567" i="17"/>
  <c r="U567" i="17"/>
  <c r="K567" i="17"/>
  <c r="AC567" i="17"/>
  <c r="O567" i="17"/>
  <c r="AN567" i="17"/>
  <c r="AB567" i="17"/>
  <c r="N567" i="17"/>
  <c r="AM567" i="17"/>
  <c r="W567" i="17"/>
  <c r="AI567" i="17"/>
  <c r="AL567" i="17"/>
  <c r="T567" i="17"/>
  <c r="AJ567" i="17"/>
  <c r="M567" i="17"/>
  <c r="AK567" i="17"/>
  <c r="S567" i="17"/>
  <c r="P567" i="17"/>
  <c r="AO601" i="17"/>
  <c r="AN601" i="17"/>
  <c r="AE601" i="17"/>
  <c r="V601" i="17"/>
  <c r="M601" i="17"/>
  <c r="AM601" i="17"/>
  <c r="AD601" i="17"/>
  <c r="U601" i="17"/>
  <c r="L601" i="17"/>
  <c r="AL601" i="17"/>
  <c r="AA601" i="17"/>
  <c r="O601" i="17"/>
  <c r="AK601" i="17"/>
  <c r="Z601" i="17"/>
  <c r="N601" i="17"/>
  <c r="AP601" i="17"/>
  <c r="W601" i="17"/>
  <c r="P601" i="17"/>
  <c r="AJ601" i="17"/>
  <c r="T601" i="17"/>
  <c r="AH601" i="17"/>
  <c r="AF601" i="17"/>
  <c r="AI601" i="17"/>
  <c r="S601" i="17"/>
  <c r="R601" i="17"/>
  <c r="AN602" i="17"/>
  <c r="V602" i="17"/>
  <c r="AJ602" i="17"/>
  <c r="O602" i="17"/>
  <c r="X602" i="17"/>
  <c r="W602" i="17"/>
  <c r="AH602" i="17"/>
  <c r="AG602" i="17"/>
  <c r="L602" i="17"/>
  <c r="Y602" i="17"/>
  <c r="N602" i="17"/>
  <c r="AL696" i="17"/>
  <c r="S696" i="17"/>
  <c r="AI696" i="17"/>
  <c r="Q696" i="17"/>
  <c r="AF696" i="17"/>
  <c r="P696" i="17"/>
  <c r="AA696" i="17"/>
  <c r="Z696" i="17"/>
  <c r="V696" i="17"/>
  <c r="AN696" i="17"/>
  <c r="O696" i="17"/>
  <c r="AE696" i="17"/>
  <c r="R696" i="17"/>
  <c r="AD696" i="17"/>
  <c r="AO707" i="17"/>
  <c r="AL707" i="17"/>
  <c r="AC707" i="17"/>
  <c r="T707" i="17"/>
  <c r="K707" i="17"/>
  <c r="AJ707" i="17"/>
  <c r="Z707" i="17"/>
  <c r="O707" i="17"/>
  <c r="AI707" i="17"/>
  <c r="X707" i="17"/>
  <c r="N707" i="17"/>
  <c r="AH707" i="17"/>
  <c r="U707" i="17"/>
  <c r="AF707" i="17"/>
  <c r="S707" i="17"/>
  <c r="AR707" i="17"/>
  <c r="AE707" i="17"/>
  <c r="R707" i="17"/>
  <c r="AA707" i="17"/>
  <c r="AM707" i="17"/>
  <c r="AQ707" i="17"/>
  <c r="W707" i="17"/>
  <c r="AN707" i="17"/>
  <c r="P707" i="17"/>
  <c r="M707" i="17"/>
  <c r="AP707" i="17"/>
  <c r="V707" i="17"/>
  <c r="X774" i="17"/>
  <c r="AN774" i="17"/>
  <c r="J774" i="17"/>
  <c r="AI774" i="17"/>
  <c r="AE774" i="17"/>
  <c r="AD774" i="17"/>
  <c r="AN881" i="17"/>
  <c r="P881" i="17"/>
  <c r="W881" i="17"/>
  <c r="Q881" i="17"/>
  <c r="AK881" i="17"/>
  <c r="AJ881" i="17"/>
  <c r="AE881" i="17"/>
  <c r="X881" i="17"/>
  <c r="AO881" i="17"/>
  <c r="Y881" i="17"/>
  <c r="O881" i="17"/>
  <c r="Z952" i="17"/>
  <c r="AN952" i="17"/>
  <c r="K952" i="17"/>
  <c r="U952" i="17"/>
  <c r="T952" i="17"/>
  <c r="AJ952" i="17"/>
  <c r="V952" i="17"/>
  <c r="Q952" i="17"/>
  <c r="AL952" i="17"/>
  <c r="U1033" i="17"/>
  <c r="AM1033" i="17"/>
  <c r="AL1033" i="17"/>
  <c r="Z1033" i="17"/>
  <c r="W1033" i="17"/>
  <c r="V1033" i="17"/>
  <c r="AM1225" i="17"/>
  <c r="AE1225" i="17"/>
  <c r="AN1225" i="17"/>
  <c r="AF1225" i="17"/>
  <c r="S5" i="17"/>
  <c r="AB5" i="17"/>
  <c r="N5" i="17"/>
  <c r="W5" i="17"/>
  <c r="V5" i="17"/>
  <c r="AA5" i="17"/>
  <c r="T5" i="17"/>
  <c r="X5" i="17"/>
  <c r="U5" i="17"/>
  <c r="AH5" i="17" s="1"/>
  <c r="AO16" i="17"/>
  <c r="T16" i="17"/>
  <c r="S16" i="17"/>
  <c r="L33" i="17"/>
  <c r="T50" i="17"/>
  <c r="S50" i="17"/>
  <c r="AO50" i="17"/>
  <c r="AB50" i="17"/>
  <c r="W50" i="17"/>
  <c r="T56" i="17"/>
  <c r="K56" i="17"/>
  <c r="R62" i="17"/>
  <c r="AP62" i="17" s="1"/>
  <c r="R66" i="17"/>
  <c r="AP66" i="17" s="1"/>
  <c r="T125" i="17"/>
  <c r="S125" i="17"/>
  <c r="X125" i="17"/>
  <c r="W125" i="17"/>
  <c r="AB125" i="17"/>
  <c r="AA125" i="17"/>
  <c r="U125" i="17"/>
  <c r="AH125" i="17" s="1"/>
  <c r="N125" i="17"/>
  <c r="V125" i="17"/>
  <c r="L136" i="17"/>
  <c r="K136" i="17"/>
  <c r="Z136" i="17"/>
  <c r="T151" i="17"/>
  <c r="AO182" i="17"/>
  <c r="AQ182" i="17"/>
  <c r="L182" i="17"/>
  <c r="AH182" i="17"/>
  <c r="K182" i="17"/>
  <c r="AG182" i="17"/>
  <c r="AF182" i="17"/>
  <c r="AR182" i="17"/>
  <c r="AE182" i="17"/>
  <c r="S182" i="17"/>
  <c r="Y182" i="17"/>
  <c r="O182" i="17"/>
  <c r="AO190" i="17"/>
  <c r="J230" i="17"/>
  <c r="J240" i="17"/>
  <c r="R252" i="17"/>
  <c r="AP303" i="17"/>
  <c r="AL303" i="17"/>
  <c r="AB303" i="17"/>
  <c r="P303" i="17"/>
  <c r="AK303" i="17"/>
  <c r="AA303" i="17"/>
  <c r="O303" i="17"/>
  <c r="AQ303" i="17"/>
  <c r="AC303" i="17"/>
  <c r="M303" i="17"/>
  <c r="AN303" i="17"/>
  <c r="X303" i="17"/>
  <c r="L303" i="17"/>
  <c r="W303" i="17"/>
  <c r="AJ303" i="17"/>
  <c r="AR303" i="17"/>
  <c r="V303" i="17"/>
  <c r="AM303" i="17"/>
  <c r="U303" i="17"/>
  <c r="T303" i="17"/>
  <c r="AI303" i="17"/>
  <c r="S303" i="17"/>
  <c r="AO359" i="17"/>
  <c r="AQ359" i="17"/>
  <c r="AH359" i="17"/>
  <c r="X359" i="17"/>
  <c r="O359" i="17"/>
  <c r="AP359" i="17"/>
  <c r="AF359" i="17"/>
  <c r="W359" i="17"/>
  <c r="N359" i="17"/>
  <c r="AL359" i="17"/>
  <c r="AA359" i="17"/>
  <c r="M359" i="17"/>
  <c r="AK359" i="17"/>
  <c r="Z359" i="17"/>
  <c r="L359" i="17"/>
  <c r="AM359" i="17"/>
  <c r="U359" i="17"/>
  <c r="AE359" i="17"/>
  <c r="R359" i="17"/>
  <c r="AD359" i="17"/>
  <c r="AJ359" i="17"/>
  <c r="T359" i="17"/>
  <c r="AI359" i="17"/>
  <c r="S359" i="17"/>
  <c r="P359" i="17"/>
  <c r="AI360" i="17"/>
  <c r="Z360" i="17"/>
  <c r="Y360" i="17"/>
  <c r="S360" i="17"/>
  <c r="AN360" i="17"/>
  <c r="AM360" i="17"/>
  <c r="R360" i="17"/>
  <c r="AJ360" i="17"/>
  <c r="Q360" i="17"/>
  <c r="AO393" i="17"/>
  <c r="AP393" i="17"/>
  <c r="AF393" i="17"/>
  <c r="W393" i="17"/>
  <c r="N393" i="17"/>
  <c r="AN393" i="17"/>
  <c r="AE393" i="17"/>
  <c r="V393" i="17"/>
  <c r="M393" i="17"/>
  <c r="AK393" i="17"/>
  <c r="Z393" i="17"/>
  <c r="L393" i="17"/>
  <c r="AJ393" i="17"/>
  <c r="X393" i="17"/>
  <c r="K393" i="17"/>
  <c r="AI393" i="17"/>
  <c r="S393" i="17"/>
  <c r="J393" i="17"/>
  <c r="AH393" i="17"/>
  <c r="R393" i="17"/>
  <c r="AC393" i="17"/>
  <c r="AB393" i="17"/>
  <c r="AD393" i="17"/>
  <c r="P393" i="17"/>
  <c r="O393" i="17"/>
  <c r="AR393" i="17"/>
  <c r="AB452" i="17"/>
  <c r="O452" i="17"/>
  <c r="AA452" i="17"/>
  <c r="L452" i="17"/>
  <c r="AM452" i="17"/>
  <c r="Q452" i="17"/>
  <c r="AJ452" i="17"/>
  <c r="P452" i="17"/>
  <c r="AI452" i="17"/>
  <c r="AH452" i="17"/>
  <c r="Y452" i="17"/>
  <c r="X452" i="17"/>
  <c r="Z452" i="17"/>
  <c r="AP539" i="17"/>
  <c r="AM539" i="17"/>
  <c r="AC539" i="17"/>
  <c r="S539" i="17"/>
  <c r="AL539" i="17"/>
  <c r="AB539" i="17"/>
  <c r="P539" i="17"/>
  <c r="AR539" i="17"/>
  <c r="AD539" i="17"/>
  <c r="N539" i="17"/>
  <c r="AQ539" i="17"/>
  <c r="AA539" i="17"/>
  <c r="M539" i="17"/>
  <c r="AN539" i="17"/>
  <c r="V539" i="17"/>
  <c r="O539" i="17"/>
  <c r="L539" i="17"/>
  <c r="AK539" i="17"/>
  <c r="U539" i="17"/>
  <c r="AJ539" i="17"/>
  <c r="T539" i="17"/>
  <c r="AI539" i="17"/>
  <c r="AF539" i="17"/>
  <c r="AP541" i="17"/>
  <c r="AL541" i="17"/>
  <c r="AB541" i="17"/>
  <c r="P541" i="17"/>
  <c r="AK541" i="17"/>
  <c r="AA541" i="17"/>
  <c r="O541" i="17"/>
  <c r="AE541" i="17"/>
  <c r="S541" i="17"/>
  <c r="AR541" i="17"/>
  <c r="AD541" i="17"/>
  <c r="N541" i="17"/>
  <c r="AQ541" i="17"/>
  <c r="W541" i="17"/>
  <c r="T541" i="17"/>
  <c r="M541" i="17"/>
  <c r="AN541" i="17"/>
  <c r="V541" i="17"/>
  <c r="AJ541" i="17"/>
  <c r="AI541" i="17"/>
  <c r="AM541" i="17"/>
  <c r="U541" i="17"/>
  <c r="M543" i="17"/>
  <c r="M549" i="17"/>
  <c r="X567" i="17"/>
  <c r="J601" i="17"/>
  <c r="AI602" i="17"/>
  <c r="AO629" i="17"/>
  <c r="AR629" i="17"/>
  <c r="AI629" i="17"/>
  <c r="Z629" i="17"/>
  <c r="P629" i="17"/>
  <c r="AP629" i="17"/>
  <c r="AE629" i="17"/>
  <c r="U629" i="17"/>
  <c r="K629" i="17"/>
  <c r="AN629" i="17"/>
  <c r="AD629" i="17"/>
  <c r="T629" i="17"/>
  <c r="J629" i="17"/>
  <c r="AJ629" i="17"/>
  <c r="V629" i="17"/>
  <c r="AH629" i="17"/>
  <c r="S629" i="17"/>
  <c r="AF629" i="17"/>
  <c r="R629" i="17"/>
  <c r="AA629" i="17"/>
  <c r="AL629" i="17"/>
  <c r="X629" i="17"/>
  <c r="O629" i="17"/>
  <c r="N629" i="17"/>
  <c r="AQ629" i="17"/>
  <c r="W629" i="17"/>
  <c r="AM629" i="17"/>
  <c r="AO637" i="17"/>
  <c r="AN637" i="17"/>
  <c r="AE637" i="17"/>
  <c r="V637" i="17"/>
  <c r="M637" i="17"/>
  <c r="AK637" i="17"/>
  <c r="AA637" i="17"/>
  <c r="P637" i="17"/>
  <c r="AJ637" i="17"/>
  <c r="Z637" i="17"/>
  <c r="O637" i="17"/>
  <c r="AP637" i="17"/>
  <c r="AB637" i="17"/>
  <c r="L637" i="17"/>
  <c r="AM637" i="17"/>
  <c r="X637" i="17"/>
  <c r="K637" i="17"/>
  <c r="AL637" i="17"/>
  <c r="W637" i="17"/>
  <c r="J637" i="17"/>
  <c r="U637" i="17"/>
  <c r="R637" i="17"/>
  <c r="AH637" i="17"/>
  <c r="AR637" i="17"/>
  <c r="T637" i="17"/>
  <c r="N637" i="17"/>
  <c r="AQ637" i="17"/>
  <c r="S637" i="17"/>
  <c r="AI637" i="17"/>
  <c r="J696" i="17"/>
  <c r="J707" i="17"/>
  <c r="P851" i="17"/>
  <c r="O851" i="17"/>
  <c r="W851" i="17"/>
  <c r="AK952" i="17"/>
  <c r="AN959" i="17"/>
  <c r="Z959" i="17"/>
  <c r="O959" i="17"/>
  <c r="AF959" i="17"/>
  <c r="Q959" i="17"/>
  <c r="AJ959" i="17"/>
  <c r="V959" i="17"/>
  <c r="AH959" i="17"/>
  <c r="U959" i="17"/>
  <c r="AP959" i="17"/>
  <c r="W959" i="17"/>
  <c r="AO959" i="17"/>
  <c r="P959" i="17"/>
  <c r="AM959" i="17"/>
  <c r="N959" i="17"/>
  <c r="AE959" i="17"/>
  <c r="X959" i="17"/>
  <c r="M959" i="17"/>
  <c r="AD959" i="17"/>
  <c r="Y959" i="17"/>
  <c r="L959" i="17"/>
  <c r="M1033" i="17"/>
  <c r="AJ1186" i="17"/>
  <c r="Q1186" i="17"/>
  <c r="Y1186" i="17"/>
  <c r="T1186" i="17"/>
  <c r="AD1186" i="17"/>
  <c r="Z1186" i="17"/>
  <c r="S1186" i="17"/>
  <c r="R1186" i="17"/>
  <c r="AK1186" i="17"/>
  <c r="AI1186" i="17"/>
  <c r="AL1186" i="17"/>
  <c r="J1186" i="17"/>
  <c r="AK1333" i="17"/>
  <c r="X1333" i="17"/>
  <c r="M1333" i="17"/>
  <c r="AN1333" i="17"/>
  <c r="Z1333" i="17"/>
  <c r="N1333" i="17"/>
  <c r="AH1333" i="17"/>
  <c r="R1333" i="17"/>
  <c r="AG1333" i="17"/>
  <c r="Q1333" i="17"/>
  <c r="AL1333" i="17"/>
  <c r="O1333" i="17"/>
  <c r="AF1333" i="17"/>
  <c r="J1333" i="17"/>
  <c r="AD1333" i="17"/>
  <c r="AC1333" i="17"/>
  <c r="W1333" i="17"/>
  <c r="V1333" i="17"/>
  <c r="AM1333" i="17"/>
  <c r="Y1333" i="17"/>
  <c r="P1333" i="17"/>
  <c r="AP1333" i="17"/>
  <c r="AO1982" i="17"/>
  <c r="AM1982" i="17"/>
  <c r="AD1982" i="17"/>
  <c r="U1982" i="17"/>
  <c r="L1982" i="17"/>
  <c r="AL1982" i="17"/>
  <c r="AC1982" i="17"/>
  <c r="T1982" i="17"/>
  <c r="K1982" i="17"/>
  <c r="AK1982" i="17"/>
  <c r="Z1982" i="17"/>
  <c r="N1982" i="17"/>
  <c r="AJ1982" i="17"/>
  <c r="X1982" i="17"/>
  <c r="M1982" i="17"/>
  <c r="AE1982" i="17"/>
  <c r="O1982" i="17"/>
  <c r="AR1982" i="17"/>
  <c r="AB1982" i="17"/>
  <c r="J1982" i="17"/>
  <c r="AN1982" i="17"/>
  <c r="R1982" i="17"/>
  <c r="AF1982" i="17"/>
  <c r="AH1982" i="17"/>
  <c r="AA1982" i="17"/>
  <c r="AQ1982" i="17"/>
  <c r="V1982" i="17"/>
  <c r="S1982" i="17"/>
  <c r="AP1982" i="17"/>
  <c r="AI1982" i="17"/>
  <c r="W1982" i="17"/>
  <c r="L44" i="17"/>
  <c r="Q50" i="17"/>
  <c r="Z106" i="17"/>
  <c r="Y106" i="17"/>
  <c r="W106" i="17"/>
  <c r="Q106" i="17"/>
  <c r="AA106" i="17"/>
  <c r="X106" i="17"/>
  <c r="AB106" i="17"/>
  <c r="K117" i="17"/>
  <c r="W122" i="17"/>
  <c r="L122" i="17"/>
  <c r="AA122" i="17"/>
  <c r="Z122" i="17"/>
  <c r="AB122" i="17"/>
  <c r="Y122" i="17"/>
  <c r="L125" i="17"/>
  <c r="T128" i="17"/>
  <c r="S128" i="17"/>
  <c r="R128" i="17"/>
  <c r="AG128" i="17" s="1"/>
  <c r="Q128" i="17"/>
  <c r="AO128" i="17"/>
  <c r="AB128" i="17"/>
  <c r="T136" i="17"/>
  <c r="U151" i="17"/>
  <c r="AH151" i="17" s="1"/>
  <c r="J182" i="17"/>
  <c r="AP191" i="17"/>
  <c r="AL191" i="17"/>
  <c r="AB191" i="17"/>
  <c r="P191" i="17"/>
  <c r="AK191" i="17"/>
  <c r="AA191" i="17"/>
  <c r="O191" i="17"/>
  <c r="AR191" i="17"/>
  <c r="AD191" i="17"/>
  <c r="N191" i="17"/>
  <c r="AQ191" i="17"/>
  <c r="AC191" i="17"/>
  <c r="M191" i="17"/>
  <c r="AN191" i="17"/>
  <c r="V191" i="17"/>
  <c r="L191" i="17"/>
  <c r="AM191" i="17"/>
  <c r="U191" i="17"/>
  <c r="AI191" i="17"/>
  <c r="AF191" i="17"/>
  <c r="AJ191" i="17"/>
  <c r="T191" i="17"/>
  <c r="S191" i="17"/>
  <c r="AQ230" i="17"/>
  <c r="AG240" i="17"/>
  <c r="AN244" i="17"/>
  <c r="AA244" i="17"/>
  <c r="P244" i="17"/>
  <c r="AM244" i="17"/>
  <c r="Z244" i="17"/>
  <c r="O244" i="17"/>
  <c r="AR244" i="17"/>
  <c r="AB244" i="17"/>
  <c r="K244" i="17"/>
  <c r="AQ244" i="17"/>
  <c r="Y244" i="17"/>
  <c r="J244" i="17"/>
  <c r="W244" i="17"/>
  <c r="AP244" i="17"/>
  <c r="T244" i="17"/>
  <c r="AI244" i="17"/>
  <c r="L244" i="17"/>
  <c r="AJ244" i="17"/>
  <c r="R244" i="17"/>
  <c r="Q244" i="17"/>
  <c r="AH244" i="17"/>
  <c r="S252" i="17"/>
  <c r="AE266" i="17"/>
  <c r="AO266" i="17"/>
  <c r="AA266" i="17"/>
  <c r="Z266" i="17"/>
  <c r="Q266" i="17"/>
  <c r="P266" i="17"/>
  <c r="AG959" i="17"/>
  <c r="AL1065" i="17"/>
  <c r="Y1065" i="17"/>
  <c r="N1065" i="17"/>
  <c r="AF1065" i="17"/>
  <c r="Q1065" i="17"/>
  <c r="AC1065" i="17"/>
  <c r="M1065" i="17"/>
  <c r="AP1065" i="17"/>
  <c r="Z1065" i="17"/>
  <c r="J1065" i="17"/>
  <c r="X1065" i="17"/>
  <c r="W1065" i="17"/>
  <c r="R1065" i="17"/>
  <c r="AN1065" i="17"/>
  <c r="P1065" i="17"/>
  <c r="AM1065" i="17"/>
  <c r="O1065" i="17"/>
  <c r="AG1065" i="17"/>
  <c r="AK1065" i="17"/>
  <c r="AD1065" i="17"/>
  <c r="V1065" i="17"/>
  <c r="AH1065" i="17"/>
  <c r="AB1354" i="17"/>
  <c r="M1354" i="17"/>
  <c r="AA1354" i="17"/>
  <c r="AP1354" i="17"/>
  <c r="AO1354" i="17"/>
  <c r="AD1354" i="17"/>
  <c r="Z1354" i="17"/>
  <c r="Y1354" i="17"/>
  <c r="N1354" i="17"/>
  <c r="J1354" i="17"/>
  <c r="P1982" i="17"/>
  <c r="R16" i="17"/>
  <c r="AR230" i="17"/>
  <c r="U393" i="17"/>
  <c r="AI402" i="17"/>
  <c r="W402" i="17"/>
  <c r="AH402" i="17"/>
  <c r="R402" i="17"/>
  <c r="AQ402" i="17"/>
  <c r="Y402" i="17"/>
  <c r="AN402" i="17"/>
  <c r="X402" i="17"/>
  <c r="Z402" i="17"/>
  <c r="AM402" i="17"/>
  <c r="Q402" i="17"/>
  <c r="O402" i="17"/>
  <c r="L402" i="17"/>
  <c r="AR402" i="17"/>
  <c r="P402" i="17"/>
  <c r="AJ402" i="17"/>
  <c r="AP433" i="17"/>
  <c r="AL433" i="17"/>
  <c r="AB433" i="17"/>
  <c r="P433" i="17"/>
  <c r="AK433" i="17"/>
  <c r="AA433" i="17"/>
  <c r="O433" i="17"/>
  <c r="AR433" i="17"/>
  <c r="AD433" i="17"/>
  <c r="N433" i="17"/>
  <c r="AQ433" i="17"/>
  <c r="AC433" i="17"/>
  <c r="M433" i="17"/>
  <c r="AM433" i="17"/>
  <c r="U433" i="17"/>
  <c r="AJ433" i="17"/>
  <c r="T433" i="17"/>
  <c r="AF433" i="17"/>
  <c r="K433" i="17"/>
  <c r="AI433" i="17"/>
  <c r="S433" i="17"/>
  <c r="L433" i="17"/>
  <c r="AE433" i="17"/>
  <c r="K451" i="17"/>
  <c r="AN452" i="17"/>
  <c r="AP459" i="17"/>
  <c r="AK459" i="17"/>
  <c r="AA459" i="17"/>
  <c r="O459" i="17"/>
  <c r="AJ459" i="17"/>
  <c r="X459" i="17"/>
  <c r="N459" i="17"/>
  <c r="AI459" i="17"/>
  <c r="U459" i="17"/>
  <c r="AF459" i="17"/>
  <c r="T459" i="17"/>
  <c r="AM459" i="17"/>
  <c r="S459" i="17"/>
  <c r="L459" i="17"/>
  <c r="AL459" i="17"/>
  <c r="P459" i="17"/>
  <c r="AD459" i="17"/>
  <c r="K459" i="17"/>
  <c r="AE459" i="17"/>
  <c r="M459" i="17"/>
  <c r="AC459" i="17"/>
  <c r="AP461" i="17"/>
  <c r="AM461" i="17"/>
  <c r="AC461" i="17"/>
  <c r="S461" i="17"/>
  <c r="AL461" i="17"/>
  <c r="AB461" i="17"/>
  <c r="P461" i="17"/>
  <c r="AQ461" i="17"/>
  <c r="AA461" i="17"/>
  <c r="M461" i="17"/>
  <c r="AN461" i="17"/>
  <c r="X461" i="17"/>
  <c r="L461" i="17"/>
  <c r="W461" i="17"/>
  <c r="AR461" i="17"/>
  <c r="V461" i="17"/>
  <c r="AJ461" i="17"/>
  <c r="AI461" i="17"/>
  <c r="AK461" i="17"/>
  <c r="U461" i="17"/>
  <c r="T461" i="17"/>
  <c r="O461" i="17"/>
  <c r="K463" i="17"/>
  <c r="X467" i="17"/>
  <c r="AD481" i="17"/>
  <c r="W539" i="17"/>
  <c r="AB543" i="17"/>
  <c r="AD549" i="17"/>
  <c r="AD567" i="17"/>
  <c r="AO603" i="17"/>
  <c r="AQ603" i="17"/>
  <c r="AH603" i="17"/>
  <c r="X603" i="17"/>
  <c r="O603" i="17"/>
  <c r="AP603" i="17"/>
  <c r="AF603" i="17"/>
  <c r="W603" i="17"/>
  <c r="N603" i="17"/>
  <c r="AJ603" i="17"/>
  <c r="V603" i="17"/>
  <c r="K603" i="17"/>
  <c r="AI603" i="17"/>
  <c r="U603" i="17"/>
  <c r="J603" i="17"/>
  <c r="AK603" i="17"/>
  <c r="S603" i="17"/>
  <c r="L603" i="17"/>
  <c r="AE603" i="17"/>
  <c r="R603" i="17"/>
  <c r="M603" i="17"/>
  <c r="AR603" i="17"/>
  <c r="AB603" i="17"/>
  <c r="AD603" i="17"/>
  <c r="P603" i="17"/>
  <c r="AC603" i="17"/>
  <c r="M629" i="17"/>
  <c r="AD637" i="17"/>
  <c r="AP696" i="17"/>
  <c r="AO1510" i="17"/>
  <c r="AQ1510" i="17"/>
  <c r="AH1510" i="17"/>
  <c r="X1510" i="17"/>
  <c r="O1510" i="17"/>
  <c r="AR1510" i="17"/>
  <c r="AF1510" i="17"/>
  <c r="V1510" i="17"/>
  <c r="L1510" i="17"/>
  <c r="AP1510" i="17"/>
  <c r="AD1510" i="17"/>
  <c r="S1510" i="17"/>
  <c r="AN1510" i="17"/>
  <c r="AC1510" i="17"/>
  <c r="R1510" i="17"/>
  <c r="AE1510" i="17"/>
  <c r="N1510" i="17"/>
  <c r="AB1510" i="17"/>
  <c r="M1510" i="17"/>
  <c r="AL1510" i="17"/>
  <c r="T1510" i="17"/>
  <c r="AK1510" i="17"/>
  <c r="P1510" i="17"/>
  <c r="AJ1510" i="17"/>
  <c r="K1510" i="17"/>
  <c r="AM1510" i="17"/>
  <c r="AI1510" i="17"/>
  <c r="AA1510" i="17"/>
  <c r="W1510" i="17"/>
  <c r="J1510" i="17"/>
  <c r="Z1510" i="17"/>
  <c r="U1510" i="17"/>
  <c r="Y1814" i="17"/>
  <c r="AA1814" i="17"/>
  <c r="Z1814" i="17"/>
  <c r="AM1814" i="17"/>
  <c r="AN1814" i="17"/>
  <c r="R44" i="17"/>
  <c r="AF44" i="17" s="1"/>
  <c r="L49" i="17"/>
  <c r="W70" i="17"/>
  <c r="T70" i="17"/>
  <c r="Y70" i="17"/>
  <c r="X70" i="17"/>
  <c r="AO70" i="17"/>
  <c r="U79" i="17"/>
  <c r="AQ79" i="17" s="1"/>
  <c r="T79" i="17"/>
  <c r="W79" i="17"/>
  <c r="V79" i="17"/>
  <c r="AB79" i="17"/>
  <c r="AA79" i="17"/>
  <c r="N79" i="17"/>
  <c r="X79" i="17"/>
  <c r="M79" i="17"/>
  <c r="AD79" i="17" s="1"/>
  <c r="AO96" i="17"/>
  <c r="AB96" i="17"/>
  <c r="S96" i="17"/>
  <c r="AA96" i="17"/>
  <c r="Z96" i="17"/>
  <c r="T96" i="17"/>
  <c r="R106" i="17"/>
  <c r="AF106" i="17" s="1"/>
  <c r="AB141" i="17"/>
  <c r="N141" i="17"/>
  <c r="AA141" i="17"/>
  <c r="M141" i="17"/>
  <c r="AE141" i="17" s="1"/>
  <c r="S141" i="17"/>
  <c r="L141" i="17"/>
  <c r="X141" i="17"/>
  <c r="U141" i="17"/>
  <c r="AQ141" i="17" s="1"/>
  <c r="W141" i="17"/>
  <c r="V141" i="17"/>
  <c r="R144" i="17"/>
  <c r="AG144" i="17" s="1"/>
  <c r="N169" i="17"/>
  <c r="M169" i="17"/>
  <c r="AD169" i="17" s="1"/>
  <c r="AA169" i="17"/>
  <c r="X169" i="17"/>
  <c r="W191" i="17"/>
  <c r="AQ196" i="17"/>
  <c r="K196" i="17"/>
  <c r="J196" i="17"/>
  <c r="AG210" i="17"/>
  <c r="AA210" i="17"/>
  <c r="T210" i="17"/>
  <c r="S210" i="17"/>
  <c r="W210" i="17"/>
  <c r="AP210" i="17"/>
  <c r="AO210" i="17"/>
  <c r="AM210" i="17"/>
  <c r="AF244" i="17"/>
  <c r="N301" i="17"/>
  <c r="AR308" i="17"/>
  <c r="AB353" i="17"/>
  <c r="J361" i="17"/>
  <c r="K402" i="17"/>
  <c r="AH414" i="17"/>
  <c r="W414" i="17"/>
  <c r="T414" i="17"/>
  <c r="AP414" i="17"/>
  <c r="Y414" i="17"/>
  <c r="AQ414" i="17"/>
  <c r="V433" i="17"/>
  <c r="AI434" i="17"/>
  <c r="J442" i="17"/>
  <c r="L451" i="17"/>
  <c r="AR452" i="17"/>
  <c r="V459" i="17"/>
  <c r="K461" i="17"/>
  <c r="N463" i="17"/>
  <c r="AA467" i="17"/>
  <c r="X469" i="17"/>
  <c r="AP473" i="17"/>
  <c r="AJ473" i="17"/>
  <c r="X473" i="17"/>
  <c r="N473" i="17"/>
  <c r="AI473" i="17"/>
  <c r="W473" i="17"/>
  <c r="M473" i="17"/>
  <c r="AE473" i="17"/>
  <c r="S473" i="17"/>
  <c r="AR473" i="17"/>
  <c r="AD473" i="17"/>
  <c r="P473" i="17"/>
  <c r="AQ473" i="17"/>
  <c r="AA473" i="17"/>
  <c r="T473" i="17"/>
  <c r="AN473" i="17"/>
  <c r="V473" i="17"/>
  <c r="AL473" i="17"/>
  <c r="AK473" i="17"/>
  <c r="O473" i="17"/>
  <c r="AM473" i="17"/>
  <c r="U473" i="17"/>
  <c r="J480" i="17"/>
  <c r="AE481" i="17"/>
  <c r="X539" i="17"/>
  <c r="X541" i="17"/>
  <c r="AC543" i="17"/>
  <c r="AI549" i="17"/>
  <c r="AB601" i="17"/>
  <c r="T603" i="17"/>
  <c r="AB629" i="17"/>
  <c r="AF637" i="17"/>
  <c r="AP680" i="17"/>
  <c r="S680" i="17"/>
  <c r="Z680" i="17"/>
  <c r="R680" i="17"/>
  <c r="Q680" i="17"/>
  <c r="P680" i="17"/>
  <c r="AO680" i="17"/>
  <c r="O680" i="17"/>
  <c r="AM680" i="17"/>
  <c r="AI680" i="17"/>
  <c r="AE680" i="17"/>
  <c r="AD680" i="17"/>
  <c r="AF680" i="17"/>
  <c r="AD707" i="17"/>
  <c r="Z723" i="17"/>
  <c r="AN764" i="17"/>
  <c r="V764" i="17"/>
  <c r="AP764" i="17"/>
  <c r="X764" i="17"/>
  <c r="AO764" i="17"/>
  <c r="S764" i="17"/>
  <c r="R764" i="17"/>
  <c r="AQ764" i="17"/>
  <c r="Q764" i="17"/>
  <c r="AH764" i="17"/>
  <c r="N764" i="17"/>
  <c r="AG764" i="17"/>
  <c r="AF764" i="17"/>
  <c r="AA764" i="17"/>
  <c r="AE764" i="17"/>
  <c r="AD764" i="17"/>
  <c r="T808" i="17"/>
  <c r="AD808" i="17"/>
  <c r="V808" i="17"/>
  <c r="S808" i="17"/>
  <c r="R808" i="17"/>
  <c r="Q808" i="17"/>
  <c r="AO808" i="17"/>
  <c r="AN808" i="17"/>
  <c r="AI808" i="17"/>
  <c r="U808" i="17"/>
  <c r="AJ808" i="17"/>
  <c r="AK819" i="17"/>
  <c r="AJ819" i="17"/>
  <c r="AF819" i="17"/>
  <c r="AC819" i="17"/>
  <c r="J828" i="17"/>
  <c r="L830" i="17"/>
  <c r="AL844" i="17"/>
  <c r="AB844" i="17"/>
  <c r="Q844" i="17"/>
  <c r="AH844" i="17"/>
  <c r="V844" i="17"/>
  <c r="K844" i="17"/>
  <c r="AR844" i="17"/>
  <c r="AG844" i="17"/>
  <c r="U844" i="17"/>
  <c r="J844" i="17"/>
  <c r="AK844" i="17"/>
  <c r="T844" i="17"/>
  <c r="AI844" i="17"/>
  <c r="S844" i="17"/>
  <c r="AF844" i="17"/>
  <c r="P844" i="17"/>
  <c r="Y844" i="17"/>
  <c r="AO844" i="17"/>
  <c r="AQ844" i="17"/>
  <c r="X844" i="17"/>
  <c r="AN844" i="17"/>
  <c r="L844" i="17"/>
  <c r="AP844" i="17"/>
  <c r="N844" i="17"/>
  <c r="M844" i="17"/>
  <c r="AP853" i="17"/>
  <c r="U853" i="17"/>
  <c r="AM853" i="17"/>
  <c r="R853" i="17"/>
  <c r="AJ853" i="17"/>
  <c r="Q853" i="17"/>
  <c r="AC853" i="17"/>
  <c r="X853" i="17"/>
  <c r="T853" i="17"/>
  <c r="AG853" i="17"/>
  <c r="AD853" i="17"/>
  <c r="AH853" i="17"/>
  <c r="AR947" i="17"/>
  <c r="AH947" i="17"/>
  <c r="AO1017" i="17"/>
  <c r="V1017" i="17"/>
  <c r="AN1017" i="17"/>
  <c r="AE1017" i="17"/>
  <c r="AB1017" i="17"/>
  <c r="U1017" i="17"/>
  <c r="AQ1148" i="17"/>
  <c r="AD1148" i="17"/>
  <c r="R1148" i="17"/>
  <c r="AL1148" i="17"/>
  <c r="Z1148" i="17"/>
  <c r="L1148" i="17"/>
  <c r="AK1148" i="17"/>
  <c r="Y1148" i="17"/>
  <c r="K1148" i="17"/>
  <c r="AG1148" i="17"/>
  <c r="M1148" i="17"/>
  <c r="AB1148" i="17"/>
  <c r="J1148" i="17"/>
  <c r="AA1148" i="17"/>
  <c r="V1148" i="17"/>
  <c r="AI1148" i="17"/>
  <c r="AH1148" i="17"/>
  <c r="U1148" i="17"/>
  <c r="T1148" i="17"/>
  <c r="Q1148" i="17"/>
  <c r="AP1148" i="17"/>
  <c r="AJ1148" i="17"/>
  <c r="AR1148" i="17"/>
  <c r="N1148" i="17"/>
  <c r="X12" i="17"/>
  <c r="Y12" i="17"/>
  <c r="L12" i="17"/>
  <c r="Y42" i="17"/>
  <c r="X42" i="17"/>
  <c r="AB42" i="17"/>
  <c r="AA42" i="17"/>
  <c r="Z42" i="17"/>
  <c r="K42" i="17"/>
  <c r="W42" i="17"/>
  <c r="Q42" i="17"/>
  <c r="L42" i="17"/>
  <c r="K55" i="17"/>
  <c r="AB65" i="17"/>
  <c r="M65" i="17"/>
  <c r="AE65" i="17" s="1"/>
  <c r="AA65" i="17"/>
  <c r="L65" i="17"/>
  <c r="W65" i="17"/>
  <c r="V65" i="17"/>
  <c r="T65" i="17"/>
  <c r="X65" i="17"/>
  <c r="U65" i="17"/>
  <c r="AQ65" i="17" s="1"/>
  <c r="N65" i="17"/>
  <c r="J70" i="17"/>
  <c r="K70" i="17"/>
  <c r="L79" i="17"/>
  <c r="U91" i="17"/>
  <c r="AQ91" i="17" s="1"/>
  <c r="T91" i="17"/>
  <c r="N91" i="17"/>
  <c r="M91" i="17"/>
  <c r="AE91" i="17" s="1"/>
  <c r="X91" i="17"/>
  <c r="K91" i="17"/>
  <c r="W91" i="17"/>
  <c r="L91" i="17"/>
  <c r="V91" i="17"/>
  <c r="W127" i="17"/>
  <c r="T141" i="17"/>
  <c r="L183" i="17"/>
  <c r="X191" i="17"/>
  <c r="L196" i="17"/>
  <c r="R210" i="17"/>
  <c r="AG244" i="17"/>
  <c r="AP247" i="17"/>
  <c r="AJ247" i="17"/>
  <c r="X247" i="17"/>
  <c r="N247" i="17"/>
  <c r="AI247" i="17"/>
  <c r="W247" i="17"/>
  <c r="M247" i="17"/>
  <c r="AN247" i="17"/>
  <c r="AB247" i="17"/>
  <c r="L247" i="17"/>
  <c r="AM247" i="17"/>
  <c r="AA247" i="17"/>
  <c r="K247" i="17"/>
  <c r="AC247" i="17"/>
  <c r="S247" i="17"/>
  <c r="AR247" i="17"/>
  <c r="V247" i="17"/>
  <c r="T247" i="17"/>
  <c r="AK247" i="17"/>
  <c r="AQ247" i="17"/>
  <c r="U247" i="17"/>
  <c r="AL247" i="17"/>
  <c r="W251" i="17"/>
  <c r="X291" i="17"/>
  <c r="AB301" i="17"/>
  <c r="AE303" i="17"/>
  <c r="AQ318" i="17"/>
  <c r="K318" i="17"/>
  <c r="AP318" i="17"/>
  <c r="J318" i="17"/>
  <c r="AG318" i="17"/>
  <c r="AE318" i="17"/>
  <c r="AB318" i="17"/>
  <c r="R318" i="17"/>
  <c r="Q318" i="17"/>
  <c r="AA318" i="17"/>
  <c r="AC323" i="17"/>
  <c r="AO345" i="17"/>
  <c r="AN345" i="17"/>
  <c r="AE345" i="17"/>
  <c r="V345" i="17"/>
  <c r="M345" i="17"/>
  <c r="AM345" i="17"/>
  <c r="AD345" i="17"/>
  <c r="U345" i="17"/>
  <c r="L345" i="17"/>
  <c r="AL345" i="17"/>
  <c r="AA345" i="17"/>
  <c r="O345" i="17"/>
  <c r="AK345" i="17"/>
  <c r="Z345" i="17"/>
  <c r="N345" i="17"/>
  <c r="AP345" i="17"/>
  <c r="W345" i="17"/>
  <c r="AH345" i="17"/>
  <c r="AF345" i="17"/>
  <c r="P345" i="17"/>
  <c r="AJ345" i="17"/>
  <c r="T345" i="17"/>
  <c r="AI345" i="17"/>
  <c r="S345" i="17"/>
  <c r="R345" i="17"/>
  <c r="AR346" i="17"/>
  <c r="AF346" i="17"/>
  <c r="AE346" i="17"/>
  <c r="Y346" i="17"/>
  <c r="AM353" i="17"/>
  <c r="AB359" i="17"/>
  <c r="W361" i="17"/>
  <c r="AL393" i="17"/>
  <c r="AA402" i="17"/>
  <c r="S414" i="17"/>
  <c r="AG428" i="17"/>
  <c r="AF428" i="17"/>
  <c r="AH428" i="17"/>
  <c r="W428" i="17"/>
  <c r="AO428" i="17"/>
  <c r="AN428" i="17"/>
  <c r="R428" i="17"/>
  <c r="T428" i="17"/>
  <c r="S428" i="17"/>
  <c r="W433" i="17"/>
  <c r="AB451" i="17"/>
  <c r="W459" i="17"/>
  <c r="N461" i="17"/>
  <c r="AD467" i="17"/>
  <c r="AA469" i="17"/>
  <c r="K473" i="17"/>
  <c r="Y480" i="17"/>
  <c r="AF481" i="17"/>
  <c r="W492" i="17"/>
  <c r="T492" i="17"/>
  <c r="AH492" i="17"/>
  <c r="AG492" i="17"/>
  <c r="AO492" i="17"/>
  <c r="S492" i="17"/>
  <c r="R492" i="17"/>
  <c r="AN492" i="17"/>
  <c r="AF492" i="17"/>
  <c r="AP527" i="17"/>
  <c r="AR527" i="17"/>
  <c r="AF527" i="17"/>
  <c r="V527" i="17"/>
  <c r="L527" i="17"/>
  <c r="AQ527" i="17"/>
  <c r="AE527" i="17"/>
  <c r="U527" i="17"/>
  <c r="K527" i="17"/>
  <c r="AD527" i="17"/>
  <c r="P527" i="17"/>
  <c r="AC527" i="17"/>
  <c r="O527" i="17"/>
  <c r="AN527" i="17"/>
  <c r="X527" i="17"/>
  <c r="AJ527" i="17"/>
  <c r="AM527" i="17"/>
  <c r="W527" i="17"/>
  <c r="S527" i="17"/>
  <c r="N527" i="17"/>
  <c r="AL527" i="17"/>
  <c r="T527" i="17"/>
  <c r="AK527" i="17"/>
  <c r="AE539" i="17"/>
  <c r="AC541" i="17"/>
  <c r="AQ544" i="17"/>
  <c r="AF544" i="17"/>
  <c r="R544" i="17"/>
  <c r="AP544" i="17"/>
  <c r="AB544" i="17"/>
  <c r="Q544" i="17"/>
  <c r="AG544" i="17"/>
  <c r="O544" i="17"/>
  <c r="AA544" i="17"/>
  <c r="L544" i="17"/>
  <c r="Y544" i="17"/>
  <c r="AM544" i="17"/>
  <c r="AJ544" i="17"/>
  <c r="AR544" i="17"/>
  <c r="X544" i="17"/>
  <c r="AN544" i="17"/>
  <c r="W544" i="17"/>
  <c r="T544" i="17"/>
  <c r="P544" i="17"/>
  <c r="AJ549" i="17"/>
  <c r="AO595" i="17"/>
  <c r="AQ595" i="17"/>
  <c r="AH595" i="17"/>
  <c r="X595" i="17"/>
  <c r="O595" i="17"/>
  <c r="AP595" i="17"/>
  <c r="AF595" i="17"/>
  <c r="W595" i="17"/>
  <c r="N595" i="17"/>
  <c r="AJ595" i="17"/>
  <c r="V595" i="17"/>
  <c r="K595" i="17"/>
  <c r="AI595" i="17"/>
  <c r="U595" i="17"/>
  <c r="J595" i="17"/>
  <c r="AK595" i="17"/>
  <c r="S595" i="17"/>
  <c r="L595" i="17"/>
  <c r="AE595" i="17"/>
  <c r="R595" i="17"/>
  <c r="AB595" i="17"/>
  <c r="AD595" i="17"/>
  <c r="P595" i="17"/>
  <c r="AC595" i="17"/>
  <c r="M595" i="17"/>
  <c r="AR595" i="17"/>
  <c r="AC601" i="17"/>
  <c r="Z603" i="17"/>
  <c r="AO605" i="17"/>
  <c r="AN605" i="17"/>
  <c r="AE605" i="17"/>
  <c r="V605" i="17"/>
  <c r="M605" i="17"/>
  <c r="AM605" i="17"/>
  <c r="AD605" i="17"/>
  <c r="U605" i="17"/>
  <c r="L605" i="17"/>
  <c r="AJ605" i="17"/>
  <c r="X605" i="17"/>
  <c r="K605" i="17"/>
  <c r="AI605" i="17"/>
  <c r="W605" i="17"/>
  <c r="J605" i="17"/>
  <c r="AK605" i="17"/>
  <c r="S605" i="17"/>
  <c r="O605" i="17"/>
  <c r="AR605" i="17"/>
  <c r="N605" i="17"/>
  <c r="AH605" i="17"/>
  <c r="R605" i="17"/>
  <c r="AB605" i="17"/>
  <c r="AF605" i="17"/>
  <c r="P605" i="17"/>
  <c r="AC605" i="17"/>
  <c r="AC629" i="17"/>
  <c r="J680" i="17"/>
  <c r="AK707" i="17"/>
  <c r="AA723" i="17"/>
  <c r="AO727" i="17"/>
  <c r="AQ727" i="17"/>
  <c r="AH727" i="17"/>
  <c r="X727" i="17"/>
  <c r="O727" i="17"/>
  <c r="AR727" i="17"/>
  <c r="AF727" i="17"/>
  <c r="V727" i="17"/>
  <c r="L727" i="17"/>
  <c r="AP727" i="17"/>
  <c r="AE727" i="17"/>
  <c r="U727" i="17"/>
  <c r="K727" i="17"/>
  <c r="AI727" i="17"/>
  <c r="S727" i="17"/>
  <c r="AD727" i="17"/>
  <c r="R727" i="17"/>
  <c r="AC727" i="17"/>
  <c r="P727" i="17"/>
  <c r="AA727" i="17"/>
  <c r="T727" i="17"/>
  <c r="Z727" i="17"/>
  <c r="AL727" i="17"/>
  <c r="N727" i="17"/>
  <c r="AN727" i="17"/>
  <c r="W727" i="17"/>
  <c r="AM727" i="17"/>
  <c r="AF732" i="17"/>
  <c r="V732" i="17"/>
  <c r="R732" i="17"/>
  <c r="AM732" i="17"/>
  <c r="AH732" i="17"/>
  <c r="AE732" i="17"/>
  <c r="Q732" i="17"/>
  <c r="N732" i="17"/>
  <c r="AN732" i="17"/>
  <c r="W732" i="17"/>
  <c r="AO745" i="17"/>
  <c r="AK745" i="17"/>
  <c r="AB745" i="17"/>
  <c r="S745" i="17"/>
  <c r="J745" i="17"/>
  <c r="AQ745" i="17"/>
  <c r="AF745" i="17"/>
  <c r="V745" i="17"/>
  <c r="L745" i="17"/>
  <c r="AP745" i="17"/>
  <c r="AE745" i="17"/>
  <c r="U745" i="17"/>
  <c r="K745" i="17"/>
  <c r="AH745" i="17"/>
  <c r="R745" i="17"/>
  <c r="AD745" i="17"/>
  <c r="P745" i="17"/>
  <c r="AR745" i="17"/>
  <c r="AC745" i="17"/>
  <c r="O745" i="17"/>
  <c r="Z745" i="17"/>
  <c r="AM745" i="17"/>
  <c r="N745" i="17"/>
  <c r="X745" i="17"/>
  <c r="AL745" i="17"/>
  <c r="AN745" i="17"/>
  <c r="W745" i="17"/>
  <c r="T745" i="17"/>
  <c r="J764" i="17"/>
  <c r="AI814" i="17"/>
  <c r="X814" i="17"/>
  <c r="L814" i="17"/>
  <c r="AG814" i="17"/>
  <c r="T814" i="17"/>
  <c r="AR814" i="17"/>
  <c r="AF814" i="17"/>
  <c r="Q814" i="17"/>
  <c r="AO814" i="17"/>
  <c r="V814" i="17"/>
  <c r="AN814" i="17"/>
  <c r="U814" i="17"/>
  <c r="AL814" i="17"/>
  <c r="P814" i="17"/>
  <c r="Z814" i="17"/>
  <c r="M814" i="17"/>
  <c r="K814" i="17"/>
  <c r="Y814" i="17"/>
  <c r="AQ814" i="17"/>
  <c r="AP814" i="17"/>
  <c r="N814" i="17"/>
  <c r="N819" i="17"/>
  <c r="Z828" i="17"/>
  <c r="AG830" i="17"/>
  <c r="Z844" i="17"/>
  <c r="J853" i="17"/>
  <c r="T1017" i="17"/>
  <c r="M1074" i="17"/>
  <c r="AL1074" i="17"/>
  <c r="AG1074" i="17"/>
  <c r="AQ1074" i="17"/>
  <c r="T1074" i="17"/>
  <c r="J1074" i="17"/>
  <c r="AD1074" i="17"/>
  <c r="AP1439" i="17"/>
  <c r="AB1439" i="17"/>
  <c r="Q1439" i="17"/>
  <c r="AH1439" i="17"/>
  <c r="T1439" i="17"/>
  <c r="AJ1439" i="17"/>
  <c r="W1439" i="17"/>
  <c r="AI1439" i="17"/>
  <c r="R1439" i="17"/>
  <c r="AQ1439" i="17"/>
  <c r="X1439" i="17"/>
  <c r="AN1439" i="17"/>
  <c r="P1439" i="17"/>
  <c r="O1439" i="17"/>
  <c r="AR1439" i="17"/>
  <c r="L1439" i="17"/>
  <c r="Z1439" i="17"/>
  <c r="Y1439" i="17"/>
  <c r="AG1439" i="17"/>
  <c r="AF1439" i="17"/>
  <c r="AA1439" i="17"/>
  <c r="K1439" i="17"/>
  <c r="AM1439" i="17"/>
  <c r="AQ1626" i="17"/>
  <c r="AF1626" i="17"/>
  <c r="AE1626" i="17"/>
  <c r="AA308" i="17"/>
  <c r="J359" i="17"/>
  <c r="W396" i="17"/>
  <c r="T396" i="17"/>
  <c r="AG396" i="17"/>
  <c r="AF396" i="17"/>
  <c r="AN396" i="17"/>
  <c r="AH396" i="17"/>
  <c r="R396" i="17"/>
  <c r="L396" i="17"/>
  <c r="S396" i="17"/>
  <c r="AP407" i="17"/>
  <c r="AK407" i="17"/>
  <c r="AA407" i="17"/>
  <c r="O407" i="17"/>
  <c r="AJ407" i="17"/>
  <c r="X407" i="17"/>
  <c r="N407" i="17"/>
  <c r="AE407" i="17"/>
  <c r="S407" i="17"/>
  <c r="AR407" i="17"/>
  <c r="AD407" i="17"/>
  <c r="P407" i="17"/>
  <c r="AM407" i="17"/>
  <c r="U407" i="17"/>
  <c r="L407" i="17"/>
  <c r="K407" i="17"/>
  <c r="AL407" i="17"/>
  <c r="T407" i="17"/>
  <c r="AI407" i="17"/>
  <c r="M407" i="17"/>
  <c r="AF407" i="17"/>
  <c r="AC407" i="17"/>
  <c r="AG434" i="17"/>
  <c r="AP463" i="17"/>
  <c r="AI463" i="17"/>
  <c r="W463" i="17"/>
  <c r="M463" i="17"/>
  <c r="AR463" i="17"/>
  <c r="AF463" i="17"/>
  <c r="V463" i="17"/>
  <c r="L463" i="17"/>
  <c r="AE463" i="17"/>
  <c r="S463" i="17"/>
  <c r="AD463" i="17"/>
  <c r="P463" i="17"/>
  <c r="AQ463" i="17"/>
  <c r="AA463" i="17"/>
  <c r="T463" i="17"/>
  <c r="AN463" i="17"/>
  <c r="X463" i="17"/>
  <c r="AK463" i="17"/>
  <c r="AM463" i="17"/>
  <c r="U463" i="17"/>
  <c r="AL463" i="17"/>
  <c r="O463" i="17"/>
  <c r="L467" i="17"/>
  <c r="K539" i="17"/>
  <c r="K541" i="17"/>
  <c r="AA543" i="17"/>
  <c r="AP558" i="17"/>
  <c r="AA567" i="17"/>
  <c r="K601" i="17"/>
  <c r="L629" i="17"/>
  <c r="X684" i="17"/>
  <c r="AO684" i="17"/>
  <c r="R684" i="17"/>
  <c r="AN684" i="17"/>
  <c r="Q684" i="17"/>
  <c r="V684" i="17"/>
  <c r="K684" i="17"/>
  <c r="AQ684" i="17"/>
  <c r="J684" i="17"/>
  <c r="AF684" i="17"/>
  <c r="AG684" i="17"/>
  <c r="AM684" i="17"/>
  <c r="AO696" i="17"/>
  <c r="AR856" i="17"/>
  <c r="L856" i="17"/>
  <c r="V856" i="17"/>
  <c r="U856" i="17"/>
  <c r="AK856" i="17"/>
  <c r="AD856" i="17"/>
  <c r="Z856" i="17"/>
  <c r="AO856" i="17"/>
  <c r="T856" i="17"/>
  <c r="M5" i="17"/>
  <c r="AD5" i="17" s="1"/>
  <c r="K106" i="17"/>
  <c r="AA112" i="17"/>
  <c r="Z112" i="17"/>
  <c r="L115" i="17"/>
  <c r="X122" i="17"/>
  <c r="M125" i="17"/>
  <c r="AD125" i="17" s="1"/>
  <c r="Z128" i="17"/>
  <c r="X244" i="17"/>
  <c r="K291" i="17"/>
  <c r="N303" i="17"/>
  <c r="K359" i="17"/>
  <c r="AR366" i="17"/>
  <c r="AQ366" i="17"/>
  <c r="AE366" i="17"/>
  <c r="Y366" i="17"/>
  <c r="X366" i="17"/>
  <c r="O366" i="17"/>
  <c r="V407" i="17"/>
  <c r="AH434" i="17"/>
  <c r="AR959" i="17"/>
  <c r="AN970" i="17"/>
  <c r="T970" i="17"/>
  <c r="AG970" i="17"/>
  <c r="M970" i="17"/>
  <c r="AD970" i="17"/>
  <c r="AC970" i="17"/>
  <c r="AB970" i="17"/>
  <c r="S970" i="17"/>
  <c r="R970" i="17"/>
  <c r="N970" i="17"/>
  <c r="AP970" i="17"/>
  <c r="AF970" i="17"/>
  <c r="J970" i="17"/>
  <c r="AL970" i="17"/>
  <c r="K1413" i="17"/>
  <c r="AQ1413" i="17"/>
  <c r="AP1413" i="17"/>
  <c r="R1413" i="17"/>
  <c r="J1413" i="17"/>
  <c r="AO1413" i="17"/>
  <c r="AP1464" i="17"/>
  <c r="AI1464" i="17"/>
  <c r="W1464" i="17"/>
  <c r="M1464" i="17"/>
  <c r="AK1464" i="17"/>
  <c r="X1464" i="17"/>
  <c r="L1464" i="17"/>
  <c r="AQ1464" i="17"/>
  <c r="AC1464" i="17"/>
  <c r="O1464" i="17"/>
  <c r="AN1464" i="17"/>
  <c r="AB1464" i="17"/>
  <c r="N1464" i="17"/>
  <c r="AR1464" i="17"/>
  <c r="V1464" i="17"/>
  <c r="AM1464" i="17"/>
  <c r="U1464" i="17"/>
  <c r="T1464" i="17"/>
  <c r="S1464" i="17"/>
  <c r="AA1464" i="17"/>
  <c r="P1464" i="17"/>
  <c r="AJ1464" i="17"/>
  <c r="AF1464" i="17"/>
  <c r="AE1464" i="17"/>
  <c r="AL1464" i="17"/>
  <c r="AD1464" i="17"/>
  <c r="K1464" i="17"/>
  <c r="AB24" i="17"/>
  <c r="K24" i="17"/>
  <c r="T24" i="17"/>
  <c r="AA30" i="17"/>
  <c r="Z30" i="17"/>
  <c r="Y30" i="17"/>
  <c r="S30" i="17"/>
  <c r="AO30" i="17"/>
  <c r="L106" i="17"/>
  <c r="L169" i="17"/>
  <c r="AP181" i="17"/>
  <c r="AL181" i="17"/>
  <c r="AB181" i="17"/>
  <c r="P181" i="17"/>
  <c r="AK181" i="17"/>
  <c r="AA181" i="17"/>
  <c r="O181" i="17"/>
  <c r="AR181" i="17"/>
  <c r="AD181" i="17"/>
  <c r="N181" i="17"/>
  <c r="AQ181" i="17"/>
  <c r="AC181" i="17"/>
  <c r="M181" i="17"/>
  <c r="AM181" i="17"/>
  <c r="U181" i="17"/>
  <c r="K181" i="17"/>
  <c r="AJ181" i="17"/>
  <c r="T181" i="17"/>
  <c r="L181" i="17"/>
  <c r="AE181" i="17"/>
  <c r="AI181" i="17"/>
  <c r="S181" i="17"/>
  <c r="AF181" i="17"/>
  <c r="K183" i="17"/>
  <c r="AN188" i="17"/>
  <c r="Y188" i="17"/>
  <c r="AM188" i="17"/>
  <c r="X188" i="17"/>
  <c r="AA188" i="17"/>
  <c r="Z188" i="17"/>
  <c r="AH188" i="17"/>
  <c r="AB188" i="17"/>
  <c r="Q188" i="17"/>
  <c r="P188" i="17"/>
  <c r="R188" i="17"/>
  <c r="K251" i="17"/>
  <c r="W291" i="17"/>
  <c r="AD303" i="17"/>
  <c r="X323" i="17"/>
  <c r="AM352" i="17"/>
  <c r="R352" i="17"/>
  <c r="AJ352" i="17"/>
  <c r="Q352" i="17"/>
  <c r="AB352" i="17"/>
  <c r="Z352" i="17"/>
  <c r="AN352" i="17"/>
  <c r="AI352" i="17"/>
  <c r="Y352" i="17"/>
  <c r="S352" i="17"/>
  <c r="AE352" i="17"/>
  <c r="V359" i="17"/>
  <c r="L366" i="17"/>
  <c r="AO383" i="17"/>
  <c r="AQ383" i="17"/>
  <c r="AH383" i="17"/>
  <c r="X383" i="17"/>
  <c r="O383" i="17"/>
  <c r="AP383" i="17"/>
  <c r="AF383" i="17"/>
  <c r="W383" i="17"/>
  <c r="N383" i="17"/>
  <c r="AM383" i="17"/>
  <c r="AB383" i="17"/>
  <c r="P383" i="17"/>
  <c r="AL383" i="17"/>
  <c r="AA383" i="17"/>
  <c r="M383" i="17"/>
  <c r="AK383" i="17"/>
  <c r="U383" i="17"/>
  <c r="L383" i="17"/>
  <c r="AJ383" i="17"/>
  <c r="T383" i="17"/>
  <c r="AE383" i="17"/>
  <c r="AI383" i="17"/>
  <c r="S383" i="17"/>
  <c r="R383" i="17"/>
  <c r="AD383" i="17"/>
  <c r="AO384" i="17"/>
  <c r="Y384" i="17"/>
  <c r="AN384" i="17"/>
  <c r="S384" i="17"/>
  <c r="Z384" i="17"/>
  <c r="R384" i="17"/>
  <c r="AE384" i="17"/>
  <c r="O384" i="17"/>
  <c r="AB384" i="17"/>
  <c r="Q384" i="17"/>
  <c r="P384" i="17"/>
  <c r="AA393" i="17"/>
  <c r="AP397" i="17"/>
  <c r="AR397" i="17"/>
  <c r="AF397" i="17"/>
  <c r="V397" i="17"/>
  <c r="L397" i="17"/>
  <c r="AQ397" i="17"/>
  <c r="AE397" i="17"/>
  <c r="U397" i="17"/>
  <c r="K397" i="17"/>
  <c r="AD397" i="17"/>
  <c r="P397" i="17"/>
  <c r="AC397" i="17"/>
  <c r="O397" i="17"/>
  <c r="AN397" i="17"/>
  <c r="X397" i="17"/>
  <c r="S397" i="17"/>
  <c r="N397" i="17"/>
  <c r="AM397" i="17"/>
  <c r="W397" i="17"/>
  <c r="AK397" i="17"/>
  <c r="AJ397" i="17"/>
  <c r="AL397" i="17"/>
  <c r="T397" i="17"/>
  <c r="W407" i="17"/>
  <c r="X1812" i="17"/>
  <c r="AO1812" i="17"/>
  <c r="AH1812" i="17"/>
  <c r="AA1812" i="17"/>
  <c r="Z1812" i="17"/>
  <c r="Y1812" i="17"/>
  <c r="AJ1814" i="17"/>
  <c r="Q12" i="17"/>
  <c r="AB43" i="17"/>
  <c r="N43" i="17"/>
  <c r="AA43" i="17"/>
  <c r="M43" i="17"/>
  <c r="W43" i="17"/>
  <c r="V43" i="17"/>
  <c r="T43" i="17"/>
  <c r="X43" i="17"/>
  <c r="S43" i="17"/>
  <c r="U43" i="17"/>
  <c r="AH43" i="17" s="1"/>
  <c r="U55" i="17"/>
  <c r="T55" i="17"/>
  <c r="W55" i="17"/>
  <c r="V55" i="17"/>
  <c r="AA55" i="17"/>
  <c r="N55" i="17"/>
  <c r="M55" i="17"/>
  <c r="AE55" i="17" s="1"/>
  <c r="X55" i="17"/>
  <c r="S55" i="17"/>
  <c r="AB100" i="17"/>
  <c r="W100" i="17"/>
  <c r="AO100" i="17"/>
  <c r="T100" i="17"/>
  <c r="S100" i="17"/>
  <c r="R100" i="17"/>
  <c r="AP100" i="17" s="1"/>
  <c r="N127" i="17"/>
  <c r="M127" i="17"/>
  <c r="AD127" i="17" s="1"/>
  <c r="AA127" i="17"/>
  <c r="X127" i="17"/>
  <c r="L127" i="17"/>
  <c r="K165" i="17"/>
  <c r="W181" i="17"/>
  <c r="O188" i="17"/>
  <c r="AE191" i="17"/>
  <c r="AE196" i="17"/>
  <c r="AP299" i="17"/>
  <c r="AJ299" i="17"/>
  <c r="X299" i="17"/>
  <c r="N299" i="17"/>
  <c r="AI299" i="17"/>
  <c r="W299" i="17"/>
  <c r="M299" i="17"/>
  <c r="AQ299" i="17"/>
  <c r="AC299" i="17"/>
  <c r="O299" i="17"/>
  <c r="AN299" i="17"/>
  <c r="AB299" i="17"/>
  <c r="L299" i="17"/>
  <c r="AM299" i="17"/>
  <c r="U299" i="17"/>
  <c r="P299" i="17"/>
  <c r="AL299" i="17"/>
  <c r="T299" i="17"/>
  <c r="AE299" i="17"/>
  <c r="AK299" i="17"/>
  <c r="S299" i="17"/>
  <c r="AF299" i="17"/>
  <c r="K299" i="17"/>
  <c r="AF303" i="17"/>
  <c r="P352" i="17"/>
  <c r="AQ353" i="17"/>
  <c r="AC359" i="17"/>
  <c r="K383" i="17"/>
  <c r="AJ384" i="17"/>
  <c r="AM393" i="17"/>
  <c r="AA397" i="17"/>
  <c r="AB402" i="17"/>
  <c r="AN407" i="17"/>
  <c r="X414" i="17"/>
  <c r="L428" i="17"/>
  <c r="X433" i="17"/>
  <c r="AB459" i="17"/>
  <c r="AD461" i="17"/>
  <c r="AC463" i="17"/>
  <c r="AR467" i="17"/>
  <c r="L473" i="17"/>
  <c r="AO540" i="17"/>
  <c r="S540" i="17"/>
  <c r="AN540" i="17"/>
  <c r="R540" i="17"/>
  <c r="AG540" i="17"/>
  <c r="AF540" i="17"/>
  <c r="AQ540" i="17"/>
  <c r="AH540" i="17"/>
  <c r="W540" i="17"/>
  <c r="T540" i="17"/>
  <c r="AB540" i="17"/>
  <c r="AF541" i="17"/>
  <c r="J544" i="17"/>
  <c r="AQ546" i="17"/>
  <c r="AA546" i="17"/>
  <c r="O546" i="17"/>
  <c r="AN546" i="17"/>
  <c r="Z546" i="17"/>
  <c r="L546" i="17"/>
  <c r="AJ546" i="17"/>
  <c r="R546" i="17"/>
  <c r="AI546" i="17"/>
  <c r="Q546" i="17"/>
  <c r="Y546" i="17"/>
  <c r="P546" i="17"/>
  <c r="K546" i="17"/>
  <c r="X546" i="17"/>
  <c r="AR546" i="17"/>
  <c r="AM546" i="17"/>
  <c r="W546" i="17"/>
  <c r="W556" i="17"/>
  <c r="T556" i="17"/>
  <c r="R556" i="17"/>
  <c r="L556" i="17"/>
  <c r="AO556" i="17"/>
  <c r="AN556" i="17"/>
  <c r="AF556" i="17"/>
  <c r="AH556" i="17"/>
  <c r="AG556" i="17"/>
  <c r="AQ601" i="17"/>
  <c r="AA603" i="17"/>
  <c r="AD612" i="17"/>
  <c r="P612" i="17"/>
  <c r="AH612" i="17"/>
  <c r="Q612" i="17"/>
  <c r="AG612" i="17"/>
  <c r="O612" i="17"/>
  <c r="AN612" i="17"/>
  <c r="W612" i="17"/>
  <c r="AM612" i="17"/>
  <c r="R612" i="17"/>
  <c r="AI612" i="17"/>
  <c r="Y612" i="17"/>
  <c r="AA612" i="17"/>
  <c r="X612" i="17"/>
  <c r="Z612" i="17"/>
  <c r="AK629" i="17"/>
  <c r="AO671" i="17"/>
  <c r="AR671" i="17"/>
  <c r="AI671" i="17"/>
  <c r="Z671" i="17"/>
  <c r="P671" i="17"/>
  <c r="AL671" i="17"/>
  <c r="AB671" i="17"/>
  <c r="R671" i="17"/>
  <c r="AK671" i="17"/>
  <c r="AA671" i="17"/>
  <c r="O671" i="17"/>
  <c r="AP671" i="17"/>
  <c r="AC671" i="17"/>
  <c r="M671" i="17"/>
  <c r="AN671" i="17"/>
  <c r="X671" i="17"/>
  <c r="L671" i="17"/>
  <c r="AM671" i="17"/>
  <c r="W671" i="17"/>
  <c r="K671" i="17"/>
  <c r="U671" i="17"/>
  <c r="AF671" i="17"/>
  <c r="AQ671" i="17"/>
  <c r="T671" i="17"/>
  <c r="N671" i="17"/>
  <c r="J671" i="17"/>
  <c r="AJ671" i="17"/>
  <c r="S671" i="17"/>
  <c r="AH671" i="17"/>
  <c r="J727" i="17"/>
  <c r="AF748" i="17"/>
  <c r="J748" i="17"/>
  <c r="W748" i="17"/>
  <c r="S748" i="17"/>
  <c r="R748" i="17"/>
  <c r="Q748" i="17"/>
  <c r="AP748" i="17"/>
  <c r="N748" i="17"/>
  <c r="AN748" i="17"/>
  <c r="AM748" i="17"/>
  <c r="AE748" i="17"/>
  <c r="AA748" i="17"/>
  <c r="AG748" i="17"/>
  <c r="K758" i="17"/>
  <c r="AE758" i="17"/>
  <c r="AD758" i="17"/>
  <c r="Y758" i="17"/>
  <c r="AO758" i="17"/>
  <c r="K764" i="17"/>
  <c r="AC814" i="17"/>
  <c r="Y819" i="17"/>
  <c r="AC844" i="17"/>
  <c r="P853" i="17"/>
  <c r="AL888" i="17"/>
  <c r="J888" i="17"/>
  <c r="AA888" i="17"/>
  <c r="U888" i="17"/>
  <c r="AN888" i="17"/>
  <c r="AD888" i="17"/>
  <c r="AB888" i="17"/>
  <c r="T888" i="17"/>
  <c r="AO888" i="17"/>
  <c r="AR888" i="17"/>
  <c r="Q888" i="17"/>
  <c r="P1042" i="17"/>
  <c r="J1042" i="17"/>
  <c r="Z1042" i="17"/>
  <c r="AH1100" i="17"/>
  <c r="U1100" i="17"/>
  <c r="J1100" i="17"/>
  <c r="AQ1100" i="17"/>
  <c r="AB1100" i="17"/>
  <c r="N1100" i="17"/>
  <c r="AP1100" i="17"/>
  <c r="AA1100" i="17"/>
  <c r="M1100" i="17"/>
  <c r="AG1100" i="17"/>
  <c r="L1100" i="17"/>
  <c r="AD1100" i="17"/>
  <c r="K1100" i="17"/>
  <c r="Y1100" i="17"/>
  <c r="V1100" i="17"/>
  <c r="R1100" i="17"/>
  <c r="AR1100" i="17"/>
  <c r="Q1100" i="17"/>
  <c r="AL1100" i="17"/>
  <c r="AK1100" i="17"/>
  <c r="AJ1100" i="17"/>
  <c r="AI1100" i="17"/>
  <c r="Z1100" i="17"/>
  <c r="AA1292" i="17"/>
  <c r="R1292" i="17"/>
  <c r="X1299" i="17"/>
  <c r="Z1299" i="17"/>
  <c r="AP1299" i="17"/>
  <c r="O1299" i="17"/>
  <c r="AO1299" i="17"/>
  <c r="N1299" i="17"/>
  <c r="AK1299" i="17"/>
  <c r="AF1299" i="17"/>
  <c r="W1299" i="17"/>
  <c r="P1299" i="17"/>
  <c r="AL1299" i="17"/>
  <c r="M1299" i="17"/>
  <c r="J1299" i="17"/>
  <c r="AE1299" i="17"/>
  <c r="J1439" i="17"/>
  <c r="AE1565" i="17"/>
  <c r="AF1565" i="17"/>
  <c r="Z1565" i="17"/>
  <c r="AR1565" i="17"/>
  <c r="S1565" i="17"/>
  <c r="P1565" i="17"/>
  <c r="AO1586" i="17"/>
  <c r="AK1586" i="17"/>
  <c r="AB1586" i="17"/>
  <c r="S1586" i="17"/>
  <c r="J1586" i="17"/>
  <c r="AI1586" i="17"/>
  <c r="X1586" i="17"/>
  <c r="N1586" i="17"/>
  <c r="AR1586" i="17"/>
  <c r="AH1586" i="17"/>
  <c r="W1586" i="17"/>
  <c r="M1586" i="17"/>
  <c r="AJ1586" i="17"/>
  <c r="U1586" i="17"/>
  <c r="AF1586" i="17"/>
  <c r="T1586" i="17"/>
  <c r="AL1586" i="17"/>
  <c r="P1586" i="17"/>
  <c r="AE1586" i="17"/>
  <c r="O1586" i="17"/>
  <c r="AA1586" i="17"/>
  <c r="Z1586" i="17"/>
  <c r="AQ1586" i="17"/>
  <c r="V1586" i="17"/>
  <c r="AN1586" i="17"/>
  <c r="AM1586" i="17"/>
  <c r="AP1586" i="17"/>
  <c r="AD1586" i="17"/>
  <c r="K1586" i="17"/>
  <c r="AC1586" i="17"/>
  <c r="R1586" i="17"/>
  <c r="L1586" i="17"/>
  <c r="AP1735" i="17"/>
  <c r="AJ1735" i="17"/>
  <c r="X1735" i="17"/>
  <c r="N1735" i="17"/>
  <c r="AI1735" i="17"/>
  <c r="V1735" i="17"/>
  <c r="K1735" i="17"/>
  <c r="AM1735" i="17"/>
  <c r="AA1735" i="17"/>
  <c r="L1735" i="17"/>
  <c r="AN1735" i="17"/>
  <c r="W1735" i="17"/>
  <c r="AL1735" i="17"/>
  <c r="U1735" i="17"/>
  <c r="AF1735" i="17"/>
  <c r="O1735" i="17"/>
  <c r="AE1735" i="17"/>
  <c r="M1735" i="17"/>
  <c r="T1735" i="17"/>
  <c r="S1735" i="17"/>
  <c r="AK1735" i="17"/>
  <c r="AD1735" i="17"/>
  <c r="AC1735" i="17"/>
  <c r="AB1735" i="17"/>
  <c r="AR1735" i="17"/>
  <c r="AQ1735" i="17"/>
  <c r="AP1755" i="17"/>
  <c r="AJ1755" i="17"/>
  <c r="X1755" i="17"/>
  <c r="N1755" i="17"/>
  <c r="AQ1755" i="17"/>
  <c r="AD1755" i="17"/>
  <c r="S1755" i="17"/>
  <c r="AL1755" i="17"/>
  <c r="W1755" i="17"/>
  <c r="K1755" i="17"/>
  <c r="AC1755" i="17"/>
  <c r="M1755" i="17"/>
  <c r="AR1755" i="17"/>
  <c r="AB1755" i="17"/>
  <c r="L1755" i="17"/>
  <c r="AE1755" i="17"/>
  <c r="AA1755" i="17"/>
  <c r="T1755" i="17"/>
  <c r="AN1755" i="17"/>
  <c r="P1755" i="17"/>
  <c r="AM1755" i="17"/>
  <c r="AK1755" i="17"/>
  <c r="AI1755" i="17"/>
  <c r="AF1755" i="17"/>
  <c r="V1755" i="17"/>
  <c r="U1755" i="17"/>
  <c r="L5" i="17"/>
  <c r="Q16" i="17"/>
  <c r="J50" i="17"/>
  <c r="AB56" i="17"/>
  <c r="AP291" i="17"/>
  <c r="AM291" i="17"/>
  <c r="AC291" i="17"/>
  <c r="S291" i="17"/>
  <c r="AL291" i="17"/>
  <c r="AB291" i="17"/>
  <c r="P291" i="17"/>
  <c r="AR291" i="17"/>
  <c r="AD291" i="17"/>
  <c r="N291" i="17"/>
  <c r="AQ291" i="17"/>
  <c r="AA291" i="17"/>
  <c r="M291" i="17"/>
  <c r="AN291" i="17"/>
  <c r="V291" i="17"/>
  <c r="L291" i="17"/>
  <c r="AK291" i="17"/>
  <c r="U291" i="17"/>
  <c r="AI291" i="17"/>
  <c r="AJ291" i="17"/>
  <c r="T291" i="17"/>
  <c r="O291" i="17"/>
  <c r="AF291" i="17"/>
  <c r="AP301" i="17"/>
  <c r="AR301" i="17"/>
  <c r="AF301" i="17"/>
  <c r="V301" i="17"/>
  <c r="L301" i="17"/>
  <c r="AQ301" i="17"/>
  <c r="AE301" i="17"/>
  <c r="U301" i="17"/>
  <c r="K301" i="17"/>
  <c r="AK301" i="17"/>
  <c r="W301" i="17"/>
  <c r="AJ301" i="17"/>
  <c r="T301" i="17"/>
  <c r="AA301" i="17"/>
  <c r="AL301" i="17"/>
  <c r="P301" i="17"/>
  <c r="O301" i="17"/>
  <c r="AN301" i="17"/>
  <c r="X301" i="17"/>
  <c r="AM301" i="17"/>
  <c r="S301" i="17"/>
  <c r="AI301" i="17"/>
  <c r="K303" i="17"/>
  <c r="U353" i="17"/>
  <c r="AO360" i="17"/>
  <c r="AE388" i="17"/>
  <c r="AB388" i="17"/>
  <c r="AA388" i="17"/>
  <c r="AO388" i="17"/>
  <c r="Z388" i="17"/>
  <c r="Y388" i="17"/>
  <c r="T393" i="17"/>
  <c r="AP451" i="17"/>
  <c r="AK451" i="17"/>
  <c r="AA451" i="17"/>
  <c r="O451" i="17"/>
  <c r="AJ451" i="17"/>
  <c r="X451" i="17"/>
  <c r="N451" i="17"/>
  <c r="AI451" i="17"/>
  <c r="U451" i="17"/>
  <c r="AF451" i="17"/>
  <c r="T451" i="17"/>
  <c r="AQ451" i="17"/>
  <c r="W451" i="17"/>
  <c r="AL451" i="17"/>
  <c r="AN451" i="17"/>
  <c r="V451" i="17"/>
  <c r="M451" i="17"/>
  <c r="AM451" i="17"/>
  <c r="S451" i="17"/>
  <c r="P451" i="17"/>
  <c r="AE451" i="17"/>
  <c r="R452" i="17"/>
  <c r="N481" i="17"/>
  <c r="AF508" i="17"/>
  <c r="P549" i="17"/>
  <c r="AR602" i="17"/>
  <c r="AC637" i="17"/>
  <c r="L707" i="17"/>
  <c r="J807" i="17"/>
  <c r="AB807" i="17"/>
  <c r="R807" i="17"/>
  <c r="T851" i="17"/>
  <c r="AI870" i="17"/>
  <c r="AJ870" i="17"/>
  <c r="AH870" i="17"/>
  <c r="T870" i="17"/>
  <c r="Q870" i="17"/>
  <c r="P870" i="17"/>
  <c r="V1308" i="17"/>
  <c r="U1308" i="17"/>
  <c r="AC1308" i="17"/>
  <c r="R1308" i="17"/>
  <c r="AO1308" i="17"/>
  <c r="AL1308" i="17"/>
  <c r="L1308" i="17"/>
  <c r="K1308" i="17"/>
  <c r="AP1308" i="17"/>
  <c r="AK1308" i="17"/>
  <c r="AD1308" i="17"/>
  <c r="X49" i="17"/>
  <c r="AA49" i="17"/>
  <c r="N49" i="17"/>
  <c r="R50" i="17"/>
  <c r="AG50" i="17" s="1"/>
  <c r="AP183" i="17"/>
  <c r="AL183" i="17"/>
  <c r="AB183" i="17"/>
  <c r="P183" i="17"/>
  <c r="AK183" i="17"/>
  <c r="AA183" i="17"/>
  <c r="O183" i="17"/>
  <c r="AF183" i="17"/>
  <c r="T183" i="17"/>
  <c r="AE183" i="17"/>
  <c r="S183" i="17"/>
  <c r="AQ183" i="17"/>
  <c r="W183" i="17"/>
  <c r="AN183" i="17"/>
  <c r="V183" i="17"/>
  <c r="AJ183" i="17"/>
  <c r="N183" i="17"/>
  <c r="M183" i="17"/>
  <c r="AM183" i="17"/>
  <c r="U183" i="17"/>
  <c r="AI183" i="17"/>
  <c r="K191" i="17"/>
  <c r="AP251" i="17"/>
  <c r="AM251" i="17"/>
  <c r="AC251" i="17"/>
  <c r="S251" i="17"/>
  <c r="AL251" i="17"/>
  <c r="AB251" i="17"/>
  <c r="P251" i="17"/>
  <c r="AQ251" i="17"/>
  <c r="AA251" i="17"/>
  <c r="M251" i="17"/>
  <c r="AN251" i="17"/>
  <c r="X251" i="17"/>
  <c r="L251" i="17"/>
  <c r="AR251" i="17"/>
  <c r="V251" i="17"/>
  <c r="N251" i="17"/>
  <c r="AK251" i="17"/>
  <c r="U251" i="17"/>
  <c r="AI251" i="17"/>
  <c r="AJ251" i="17"/>
  <c r="T251" i="17"/>
  <c r="O251" i="17"/>
  <c r="AF251" i="17"/>
  <c r="O266" i="17"/>
  <c r="M301" i="17"/>
  <c r="AB308" i="17"/>
  <c r="AP323" i="17"/>
  <c r="AR323" i="17"/>
  <c r="AF323" i="17"/>
  <c r="V323" i="17"/>
  <c r="L323" i="17"/>
  <c r="AQ323" i="17"/>
  <c r="AE323" i="17"/>
  <c r="U323" i="17"/>
  <c r="K323" i="17"/>
  <c r="AN323" i="17"/>
  <c r="AB323" i="17"/>
  <c r="N323" i="17"/>
  <c r="AM323" i="17"/>
  <c r="AA323" i="17"/>
  <c r="M323" i="17"/>
  <c r="W323" i="17"/>
  <c r="AJ323" i="17"/>
  <c r="AL323" i="17"/>
  <c r="T323" i="17"/>
  <c r="AK323" i="17"/>
  <c r="S323" i="17"/>
  <c r="P323" i="17"/>
  <c r="AI323" i="17"/>
  <c r="O323" i="17"/>
  <c r="AA353" i="17"/>
  <c r="AO361" i="17"/>
  <c r="AM361" i="17"/>
  <c r="AD361" i="17"/>
  <c r="U361" i="17"/>
  <c r="L361" i="17"/>
  <c r="AL361" i="17"/>
  <c r="AC361" i="17"/>
  <c r="T361" i="17"/>
  <c r="K361" i="17"/>
  <c r="AK361" i="17"/>
  <c r="Z361" i="17"/>
  <c r="N361" i="17"/>
  <c r="AJ361" i="17"/>
  <c r="X361" i="17"/>
  <c r="M361" i="17"/>
  <c r="AN361" i="17"/>
  <c r="V361" i="17"/>
  <c r="AE361" i="17"/>
  <c r="O361" i="17"/>
  <c r="AI361" i="17"/>
  <c r="S361" i="17"/>
  <c r="AF361" i="17"/>
  <c r="AH361" i="17"/>
  <c r="R361" i="17"/>
  <c r="P361" i="17"/>
  <c r="O388" i="17"/>
  <c r="AB442" i="17"/>
  <c r="AA442" i="17"/>
  <c r="AP442" i="17"/>
  <c r="AG442" i="17"/>
  <c r="R442" i="17"/>
  <c r="AQ442" i="17"/>
  <c r="AE442" i="17"/>
  <c r="Q442" i="17"/>
  <c r="AP469" i="17"/>
  <c r="AI469" i="17"/>
  <c r="W469" i="17"/>
  <c r="M469" i="17"/>
  <c r="AR469" i="17"/>
  <c r="AF469" i="17"/>
  <c r="V469" i="17"/>
  <c r="L469" i="17"/>
  <c r="AE469" i="17"/>
  <c r="S469" i="17"/>
  <c r="AD469" i="17"/>
  <c r="P469" i="17"/>
  <c r="AM469" i="17"/>
  <c r="U469" i="17"/>
  <c r="AJ469" i="17"/>
  <c r="AL469" i="17"/>
  <c r="T469" i="17"/>
  <c r="N469" i="17"/>
  <c r="AC469" i="17"/>
  <c r="K469" i="17"/>
  <c r="AK469" i="17"/>
  <c r="O469" i="17"/>
  <c r="AQ480" i="17"/>
  <c r="AF480" i="17"/>
  <c r="R480" i="17"/>
  <c r="AP480" i="17"/>
  <c r="AB480" i="17"/>
  <c r="Q480" i="17"/>
  <c r="AH480" i="17"/>
  <c r="P480" i="17"/>
  <c r="AG480" i="17"/>
  <c r="O480" i="17"/>
  <c r="AR480" i="17"/>
  <c r="X480" i="17"/>
  <c r="L480" i="17"/>
  <c r="K480" i="17"/>
  <c r="AN480" i="17"/>
  <c r="W480" i="17"/>
  <c r="AM480" i="17"/>
  <c r="T480" i="17"/>
  <c r="AJ480" i="17"/>
  <c r="AI480" i="17"/>
  <c r="L541" i="17"/>
  <c r="AH598" i="17"/>
  <c r="AG598" i="17"/>
  <c r="Z598" i="17"/>
  <c r="O598" i="17"/>
  <c r="V598" i="17"/>
  <c r="X601" i="17"/>
  <c r="W684" i="17"/>
  <c r="AB707" i="17"/>
  <c r="AO723" i="17"/>
  <c r="AM723" i="17"/>
  <c r="AD723" i="17"/>
  <c r="U723" i="17"/>
  <c r="L723" i="17"/>
  <c r="AI723" i="17"/>
  <c r="X723" i="17"/>
  <c r="N723" i="17"/>
  <c r="AR723" i="17"/>
  <c r="AH723" i="17"/>
  <c r="W723" i="17"/>
  <c r="M723" i="17"/>
  <c r="AF723" i="17"/>
  <c r="S723" i="17"/>
  <c r="AE723" i="17"/>
  <c r="R723" i="17"/>
  <c r="AQ723" i="17"/>
  <c r="AC723" i="17"/>
  <c r="P723" i="17"/>
  <c r="AP723" i="17"/>
  <c r="V723" i="17"/>
  <c r="AJ723" i="17"/>
  <c r="AN723" i="17"/>
  <c r="T723" i="17"/>
  <c r="AK723" i="17"/>
  <c r="K723" i="17"/>
  <c r="J723" i="17"/>
  <c r="AL723" i="17"/>
  <c r="O723" i="17"/>
  <c r="AM807" i="17"/>
  <c r="AP828" i="17"/>
  <c r="AF828" i="17"/>
  <c r="U828" i="17"/>
  <c r="K828" i="17"/>
  <c r="AO828" i="17"/>
  <c r="AC828" i="17"/>
  <c r="Q828" i="17"/>
  <c r="AN828" i="17"/>
  <c r="AB828" i="17"/>
  <c r="P828" i="17"/>
  <c r="AH828" i="17"/>
  <c r="S828" i="17"/>
  <c r="AG828" i="17"/>
  <c r="N828" i="17"/>
  <c r="AD828" i="17"/>
  <c r="M828" i="17"/>
  <c r="Y828" i="17"/>
  <c r="T828" i="17"/>
  <c r="AL828" i="17"/>
  <c r="L828" i="17"/>
  <c r="X828" i="17"/>
  <c r="AQ828" i="17"/>
  <c r="AR828" i="17"/>
  <c r="V828" i="17"/>
  <c r="AH830" i="17"/>
  <c r="V830" i="17"/>
  <c r="K830" i="17"/>
  <c r="AQ830" i="17"/>
  <c r="AD830" i="17"/>
  <c r="P830" i="17"/>
  <c r="AP830" i="17"/>
  <c r="AC830" i="17"/>
  <c r="N830" i="17"/>
  <c r="AR830" i="17"/>
  <c r="Y830" i="17"/>
  <c r="AO830" i="17"/>
  <c r="X830" i="17"/>
  <c r="AN830" i="17"/>
  <c r="U830" i="17"/>
  <c r="AF830" i="17"/>
  <c r="M830" i="17"/>
  <c r="Z830" i="17"/>
  <c r="T830" i="17"/>
  <c r="Q830" i="17"/>
  <c r="J856" i="17"/>
  <c r="AC884" i="17"/>
  <c r="P884" i="17"/>
  <c r="AG884" i="17"/>
  <c r="N884" i="17"/>
  <c r="AB884" i="17"/>
  <c r="K884" i="17"/>
  <c r="AR884" i="17"/>
  <c r="Y884" i="17"/>
  <c r="AQ884" i="17"/>
  <c r="S884" i="17"/>
  <c r="AP884" i="17"/>
  <c r="R884" i="17"/>
  <c r="AL884" i="17"/>
  <c r="AJ884" i="17"/>
  <c r="AA884" i="17"/>
  <c r="Z884" i="17"/>
  <c r="AK884" i="17"/>
  <c r="AP1821" i="17"/>
  <c r="AM1821" i="17"/>
  <c r="AC1821" i="17"/>
  <c r="S1821" i="17"/>
  <c r="AN1821" i="17"/>
  <c r="AB1821" i="17"/>
  <c r="O1821" i="17"/>
  <c r="AI1821" i="17"/>
  <c r="U1821" i="17"/>
  <c r="AF1821" i="17"/>
  <c r="T1821" i="17"/>
  <c r="AE1821" i="17"/>
  <c r="M1821" i="17"/>
  <c r="AR1821" i="17"/>
  <c r="W1821" i="17"/>
  <c r="AQ1821" i="17"/>
  <c r="V1821" i="17"/>
  <c r="AL1821" i="17"/>
  <c r="L1821" i="17"/>
  <c r="AK1821" i="17"/>
  <c r="K1821" i="17"/>
  <c r="AA1821" i="17"/>
  <c r="X1821" i="17"/>
  <c r="AJ1821" i="17"/>
  <c r="AD1821" i="17"/>
  <c r="P1821" i="17"/>
  <c r="N1821" i="17"/>
  <c r="X11" i="17"/>
  <c r="W11" i="17"/>
  <c r="L11" i="17"/>
  <c r="K38" i="17"/>
  <c r="K43" i="17"/>
  <c r="L55" i="17"/>
  <c r="W81" i="17"/>
  <c r="L100" i="17"/>
  <c r="U121" i="17"/>
  <c r="AH121" i="17" s="1"/>
  <c r="T121" i="17"/>
  <c r="W121" i="17"/>
  <c r="V121" i="17"/>
  <c r="AA121" i="17"/>
  <c r="X121" i="17"/>
  <c r="N121" i="17"/>
  <c r="M121" i="17"/>
  <c r="AD121" i="17" s="1"/>
  <c r="S121" i="17"/>
  <c r="X181" i="17"/>
  <c r="AC183" i="17"/>
  <c r="AI188" i="17"/>
  <c r="R192" i="17"/>
  <c r="Q192" i="17"/>
  <c r="AE192" i="17"/>
  <c r="AJ192" i="17"/>
  <c r="AB192" i="17"/>
  <c r="AB236" i="17"/>
  <c r="O236" i="17"/>
  <c r="AA236" i="17"/>
  <c r="L236" i="17"/>
  <c r="AR236" i="17"/>
  <c r="X236" i="17"/>
  <c r="AN236" i="17"/>
  <c r="R236" i="17"/>
  <c r="AH236" i="17"/>
  <c r="Z236" i="17"/>
  <c r="Q236" i="17"/>
  <c r="Y236" i="17"/>
  <c r="P236" i="17"/>
  <c r="P247" i="17"/>
  <c r="AE251" i="17"/>
  <c r="AM292" i="17"/>
  <c r="Z292" i="17"/>
  <c r="O292" i="17"/>
  <c r="AJ292" i="17"/>
  <c r="Y292" i="17"/>
  <c r="L292" i="17"/>
  <c r="AN292" i="17"/>
  <c r="W292" i="17"/>
  <c r="AI292" i="17"/>
  <c r="T292" i="17"/>
  <c r="AA292" i="17"/>
  <c r="AP292" i="17"/>
  <c r="Q292" i="17"/>
  <c r="AR292" i="17"/>
  <c r="X292" i="17"/>
  <c r="AH292" i="17"/>
  <c r="P292" i="17"/>
  <c r="AQ292" i="17"/>
  <c r="R292" i="17"/>
  <c r="V299" i="17"/>
  <c r="AD301" i="17"/>
  <c r="K345" i="17"/>
  <c r="AO352" i="17"/>
  <c r="AR353" i="17"/>
  <c r="AN359" i="17"/>
  <c r="AB361" i="17"/>
  <c r="V383" i="17"/>
  <c r="AM384" i="17"/>
  <c r="AQ393" i="17"/>
  <c r="AB397" i="17"/>
  <c r="AG402" i="17"/>
  <c r="AQ407" i="17"/>
  <c r="AP413" i="17"/>
  <c r="AL413" i="17"/>
  <c r="AB413" i="17"/>
  <c r="P413" i="17"/>
  <c r="AK413" i="17"/>
  <c r="AA413" i="17"/>
  <c r="O413" i="17"/>
  <c r="AR413" i="17"/>
  <c r="AD413" i="17"/>
  <c r="N413" i="17"/>
  <c r="AQ413" i="17"/>
  <c r="AC413" i="17"/>
  <c r="M413" i="17"/>
  <c r="AN413" i="17"/>
  <c r="V413" i="17"/>
  <c r="S413" i="17"/>
  <c r="AM413" i="17"/>
  <c r="U413" i="17"/>
  <c r="AF413" i="17"/>
  <c r="AJ413" i="17"/>
  <c r="T413" i="17"/>
  <c r="AI413" i="17"/>
  <c r="L413" i="17"/>
  <c r="AP429" i="17"/>
  <c r="AJ429" i="17"/>
  <c r="X429" i="17"/>
  <c r="N429" i="17"/>
  <c r="AI429" i="17"/>
  <c r="W429" i="17"/>
  <c r="M429" i="17"/>
  <c r="AE429" i="17"/>
  <c r="S429" i="17"/>
  <c r="AR429" i="17"/>
  <c r="AD429" i="17"/>
  <c r="P429" i="17"/>
  <c r="AQ429" i="17"/>
  <c r="AA429" i="17"/>
  <c r="T429" i="17"/>
  <c r="AN429" i="17"/>
  <c r="V429" i="17"/>
  <c r="AK429" i="17"/>
  <c r="AM429" i="17"/>
  <c r="U429" i="17"/>
  <c r="AL429" i="17"/>
  <c r="O429" i="17"/>
  <c r="AN433" i="17"/>
  <c r="AD451" i="17"/>
  <c r="AN459" i="17"/>
  <c r="AE461" i="17"/>
  <c r="AJ463" i="17"/>
  <c r="AI468" i="17"/>
  <c r="Q468" i="17"/>
  <c r="AH468" i="17"/>
  <c r="P468" i="17"/>
  <c r="AM468" i="17"/>
  <c r="O468" i="17"/>
  <c r="AJ468" i="17"/>
  <c r="L468" i="17"/>
  <c r="AB468" i="17"/>
  <c r="AA468" i="17"/>
  <c r="X468" i="17"/>
  <c r="Z468" i="17"/>
  <c r="Y468" i="17"/>
  <c r="AN469" i="17"/>
  <c r="AB473" i="17"/>
  <c r="AA480" i="17"/>
  <c r="AP483" i="17"/>
  <c r="AL483" i="17"/>
  <c r="AB483" i="17"/>
  <c r="P483" i="17"/>
  <c r="AK483" i="17"/>
  <c r="AA483" i="17"/>
  <c r="O483" i="17"/>
  <c r="AF483" i="17"/>
  <c r="T483" i="17"/>
  <c r="AE483" i="17"/>
  <c r="S483" i="17"/>
  <c r="AM483" i="17"/>
  <c r="U483" i="17"/>
  <c r="L483" i="17"/>
  <c r="AJ483" i="17"/>
  <c r="N483" i="17"/>
  <c r="K483" i="17"/>
  <c r="AI483" i="17"/>
  <c r="M483" i="17"/>
  <c r="AD483" i="17"/>
  <c r="AC483" i="17"/>
  <c r="AP489" i="17"/>
  <c r="AJ489" i="17"/>
  <c r="X489" i="17"/>
  <c r="N489" i="17"/>
  <c r="AI489" i="17"/>
  <c r="W489" i="17"/>
  <c r="M489" i="17"/>
  <c r="AR489" i="17"/>
  <c r="AD489" i="17"/>
  <c r="P489" i="17"/>
  <c r="AQ489" i="17"/>
  <c r="AC489" i="17"/>
  <c r="O489" i="17"/>
  <c r="AN489" i="17"/>
  <c r="V489" i="17"/>
  <c r="AF489" i="17"/>
  <c r="AM489" i="17"/>
  <c r="U489" i="17"/>
  <c r="S489" i="17"/>
  <c r="L489" i="17"/>
  <c r="AL489" i="17"/>
  <c r="T489" i="17"/>
  <c r="AK489" i="17"/>
  <c r="AP493" i="17"/>
  <c r="AR493" i="17"/>
  <c r="AF493" i="17"/>
  <c r="V493" i="17"/>
  <c r="L493" i="17"/>
  <c r="AQ493" i="17"/>
  <c r="AE493" i="17"/>
  <c r="U493" i="17"/>
  <c r="K493" i="17"/>
  <c r="AI493" i="17"/>
  <c r="S493" i="17"/>
  <c r="AD493" i="17"/>
  <c r="P493" i="17"/>
  <c r="AA493" i="17"/>
  <c r="AL493" i="17"/>
  <c r="AK493" i="17"/>
  <c r="AN493" i="17"/>
  <c r="X493" i="17"/>
  <c r="AM493" i="17"/>
  <c r="W493" i="17"/>
  <c r="T493" i="17"/>
  <c r="O493" i="17"/>
  <c r="AP495" i="17"/>
  <c r="AI495" i="17"/>
  <c r="W495" i="17"/>
  <c r="M495" i="17"/>
  <c r="AR495" i="17"/>
  <c r="AF495" i="17"/>
  <c r="V495" i="17"/>
  <c r="L495" i="17"/>
  <c r="AJ495" i="17"/>
  <c r="T495" i="17"/>
  <c r="AE495" i="17"/>
  <c r="S495" i="17"/>
  <c r="AN495" i="17"/>
  <c r="X495" i="17"/>
  <c r="AK495" i="17"/>
  <c r="N495" i="17"/>
  <c r="AM495" i="17"/>
  <c r="U495" i="17"/>
  <c r="O495" i="17"/>
  <c r="AL495" i="17"/>
  <c r="P495" i="17"/>
  <c r="AD495" i="17"/>
  <c r="AP503" i="17"/>
  <c r="AR503" i="17"/>
  <c r="AF503" i="17"/>
  <c r="V503" i="17"/>
  <c r="L503" i="17"/>
  <c r="AQ503" i="17"/>
  <c r="AE503" i="17"/>
  <c r="U503" i="17"/>
  <c r="K503" i="17"/>
  <c r="AD503" i="17"/>
  <c r="P503" i="17"/>
  <c r="AC503" i="17"/>
  <c r="O503" i="17"/>
  <c r="AM503" i="17"/>
  <c r="W503" i="17"/>
  <c r="AJ503" i="17"/>
  <c r="AL503" i="17"/>
  <c r="T503" i="17"/>
  <c r="AI503" i="17"/>
  <c r="AK503" i="17"/>
  <c r="S503" i="17"/>
  <c r="N503" i="17"/>
  <c r="M503" i="17"/>
  <c r="AG514" i="17"/>
  <c r="Q514" i="17"/>
  <c r="AR514" i="17"/>
  <c r="AB514" i="17"/>
  <c r="P514" i="17"/>
  <c r="AJ514" i="17"/>
  <c r="R514" i="17"/>
  <c r="AI514" i="17"/>
  <c r="O514" i="17"/>
  <c r="Z514" i="17"/>
  <c r="AQ514" i="17"/>
  <c r="Y514" i="17"/>
  <c r="W514" i="17"/>
  <c r="L514" i="17"/>
  <c r="X514" i="17"/>
  <c r="AN514" i="17"/>
  <c r="AA527" i="17"/>
  <c r="AH532" i="17"/>
  <c r="P532" i="17"/>
  <c r="AB532" i="17"/>
  <c r="O532" i="17"/>
  <c r="Y532" i="17"/>
  <c r="AR532" i="17"/>
  <c r="X532" i="17"/>
  <c r="AA532" i="17"/>
  <c r="Z532" i="17"/>
  <c r="L532" i="17"/>
  <c r="R532" i="17"/>
  <c r="Q532" i="17"/>
  <c r="AN532" i="17"/>
  <c r="J540" i="17"/>
  <c r="K544" i="17"/>
  <c r="AB546" i="17"/>
  <c r="S556" i="17"/>
  <c r="AJ564" i="17"/>
  <c r="R564" i="17"/>
  <c r="AI564" i="17"/>
  <c r="Q564" i="17"/>
  <c r="AN564" i="17"/>
  <c r="P564" i="17"/>
  <c r="AM564" i="17"/>
  <c r="O564" i="17"/>
  <c r="AA564" i="17"/>
  <c r="X564" i="17"/>
  <c r="L564" i="17"/>
  <c r="Z564" i="17"/>
  <c r="Y564" i="17"/>
  <c r="AP571" i="17"/>
  <c r="AR571" i="17"/>
  <c r="AF571" i="17"/>
  <c r="V571" i="17"/>
  <c r="L571" i="17"/>
  <c r="AQ571" i="17"/>
  <c r="AE571" i="17"/>
  <c r="U571" i="17"/>
  <c r="K571" i="17"/>
  <c r="AC571" i="17"/>
  <c r="O571" i="17"/>
  <c r="AN571" i="17"/>
  <c r="AB571" i="17"/>
  <c r="N571" i="17"/>
  <c r="AA571" i="17"/>
  <c r="S571" i="17"/>
  <c r="X571" i="17"/>
  <c r="T571" i="17"/>
  <c r="AK571" i="17"/>
  <c r="AM571" i="17"/>
  <c r="W571" i="17"/>
  <c r="AL571" i="17"/>
  <c r="AR601" i="17"/>
  <c r="AL603" i="17"/>
  <c r="K612" i="17"/>
  <c r="S622" i="17"/>
  <c r="AH622" i="17"/>
  <c r="Y622" i="17"/>
  <c r="AM622" i="17"/>
  <c r="AL622" i="17"/>
  <c r="AI622" i="17"/>
  <c r="X622" i="17"/>
  <c r="AO622" i="17"/>
  <c r="AQ628" i="17"/>
  <c r="AA628" i="17"/>
  <c r="O628" i="17"/>
  <c r="AG628" i="17"/>
  <c r="P628" i="17"/>
  <c r="AD628" i="17"/>
  <c r="N628" i="17"/>
  <c r="AN628" i="17"/>
  <c r="W628" i="17"/>
  <c r="AM628" i="17"/>
  <c r="R628" i="17"/>
  <c r="AL628" i="17"/>
  <c r="Q628" i="17"/>
  <c r="AI628" i="17"/>
  <c r="Y628" i="17"/>
  <c r="AH628" i="17"/>
  <c r="X628" i="17"/>
  <c r="Z628" i="17"/>
  <c r="AO645" i="17"/>
  <c r="AN645" i="17"/>
  <c r="AE645" i="17"/>
  <c r="V645" i="17"/>
  <c r="M645" i="17"/>
  <c r="AI645" i="17"/>
  <c r="X645" i="17"/>
  <c r="N645" i="17"/>
  <c r="AR645" i="17"/>
  <c r="AH645" i="17"/>
  <c r="W645" i="17"/>
  <c r="L645" i="17"/>
  <c r="AD645" i="17"/>
  <c r="R645" i="17"/>
  <c r="AQ645" i="17"/>
  <c r="AC645" i="17"/>
  <c r="P645" i="17"/>
  <c r="AP645" i="17"/>
  <c r="AB645" i="17"/>
  <c r="O645" i="17"/>
  <c r="U645" i="17"/>
  <c r="K645" i="17"/>
  <c r="AJ645" i="17"/>
  <c r="AM645" i="17"/>
  <c r="T645" i="17"/>
  <c r="J645" i="17"/>
  <c r="AL645" i="17"/>
  <c r="S645" i="17"/>
  <c r="AK645" i="17"/>
  <c r="AP650" i="17"/>
  <c r="AD650" i="17"/>
  <c r="Q650" i="17"/>
  <c r="AF650" i="17"/>
  <c r="P650" i="17"/>
  <c r="AQ650" i="17"/>
  <c r="AA650" i="17"/>
  <c r="O650" i="17"/>
  <c r="AL650" i="17"/>
  <c r="V650" i="17"/>
  <c r="AI650" i="17"/>
  <c r="R650" i="17"/>
  <c r="AH650" i="17"/>
  <c r="N650" i="17"/>
  <c r="Z650" i="17"/>
  <c r="K650" i="17"/>
  <c r="Y650" i="17"/>
  <c r="X650" i="17"/>
  <c r="W650" i="17"/>
  <c r="V671" i="17"/>
  <c r="AO687" i="17"/>
  <c r="AL687" i="17"/>
  <c r="AC687" i="17"/>
  <c r="T687" i="17"/>
  <c r="K687" i="17"/>
  <c r="AI687" i="17"/>
  <c r="X687" i="17"/>
  <c r="N687" i="17"/>
  <c r="AR687" i="17"/>
  <c r="AH687" i="17"/>
  <c r="W687" i="17"/>
  <c r="M687" i="17"/>
  <c r="AJ687" i="17"/>
  <c r="U687" i="17"/>
  <c r="AF687" i="17"/>
  <c r="S687" i="17"/>
  <c r="AE687" i="17"/>
  <c r="R687" i="17"/>
  <c r="AA687" i="17"/>
  <c r="AN687" i="17"/>
  <c r="AM687" i="17"/>
  <c r="AQ687" i="17"/>
  <c r="Z687" i="17"/>
  <c r="P687" i="17"/>
  <c r="O687" i="17"/>
  <c r="AP687" i="17"/>
  <c r="V687" i="17"/>
  <c r="AO713" i="17"/>
  <c r="AQ713" i="17"/>
  <c r="AH713" i="17"/>
  <c r="X713" i="17"/>
  <c r="O713" i="17"/>
  <c r="AR713" i="17"/>
  <c r="AF713" i="17"/>
  <c r="V713" i="17"/>
  <c r="L713" i="17"/>
  <c r="AP713" i="17"/>
  <c r="AE713" i="17"/>
  <c r="U713" i="17"/>
  <c r="K713" i="17"/>
  <c r="AD713" i="17"/>
  <c r="R713" i="17"/>
  <c r="AC713" i="17"/>
  <c r="P713" i="17"/>
  <c r="AN713" i="17"/>
  <c r="AB713" i="17"/>
  <c r="N713" i="17"/>
  <c r="W713" i="17"/>
  <c r="AK713" i="17"/>
  <c r="AJ713" i="17"/>
  <c r="AM713" i="17"/>
  <c r="T713" i="17"/>
  <c r="M713" i="17"/>
  <c r="J713" i="17"/>
  <c r="AL713" i="17"/>
  <c r="S713" i="17"/>
  <c r="M727" i="17"/>
  <c r="AA745" i="17"/>
  <c r="AF758" i="17"/>
  <c r="AD814" i="17"/>
  <c r="AK828" i="17"/>
  <c r="AL830" i="17"/>
  <c r="AD844" i="17"/>
  <c r="M888" i="17"/>
  <c r="AI926" i="17"/>
  <c r="X926" i="17"/>
  <c r="L926" i="17"/>
  <c r="AO926" i="17"/>
  <c r="Z926" i="17"/>
  <c r="M926" i="17"/>
  <c r="AN926" i="17"/>
  <c r="Y926" i="17"/>
  <c r="K926" i="17"/>
  <c r="AP926" i="17"/>
  <c r="U926" i="17"/>
  <c r="AL926" i="17"/>
  <c r="T926" i="17"/>
  <c r="AH926" i="17"/>
  <c r="Q926" i="17"/>
  <c r="AG926" i="17"/>
  <c r="AF926" i="17"/>
  <c r="AC926" i="17"/>
  <c r="V926" i="17"/>
  <c r="P926" i="17"/>
  <c r="AD926" i="17"/>
  <c r="AO957" i="17"/>
  <c r="AE957" i="17"/>
  <c r="U957" i="17"/>
  <c r="J957" i="17"/>
  <c r="AL957" i="17"/>
  <c r="Y957" i="17"/>
  <c r="N957" i="17"/>
  <c r="AG957" i="17"/>
  <c r="T957" i="17"/>
  <c r="AF957" i="17"/>
  <c r="Q957" i="17"/>
  <c r="AJ957" i="17"/>
  <c r="P957" i="17"/>
  <c r="AH957" i="17"/>
  <c r="O957" i="17"/>
  <c r="AD957" i="17"/>
  <c r="M957" i="17"/>
  <c r="AM957" i="17"/>
  <c r="W957" i="17"/>
  <c r="AC957" i="17"/>
  <c r="X957" i="17"/>
  <c r="AR957" i="17"/>
  <c r="Z957" i="17"/>
  <c r="V957" i="17"/>
  <c r="AO1036" i="17"/>
  <c r="AD1036" i="17"/>
  <c r="T1036" i="17"/>
  <c r="J1036" i="17"/>
  <c r="AH1036" i="17"/>
  <c r="V1036" i="17"/>
  <c r="K1036" i="17"/>
  <c r="AN1036" i="17"/>
  <c r="Z1036" i="17"/>
  <c r="M1036" i="17"/>
  <c r="AL1036" i="17"/>
  <c r="Y1036" i="17"/>
  <c r="L1036" i="17"/>
  <c r="AG1036" i="17"/>
  <c r="P1036" i="17"/>
  <c r="AF1036" i="17"/>
  <c r="N1036" i="17"/>
  <c r="AB1036" i="17"/>
  <c r="X1036" i="17"/>
  <c r="AR1036" i="17"/>
  <c r="U1036" i="17"/>
  <c r="AP1036" i="17"/>
  <c r="AK1036" i="17"/>
  <c r="AC1036" i="17"/>
  <c r="S1036" i="17"/>
  <c r="AI1036" i="17"/>
  <c r="Q1036" i="17"/>
  <c r="Y1042" i="17"/>
  <c r="S1252" i="17"/>
  <c r="R1252" i="17"/>
  <c r="AR1292" i="17"/>
  <c r="AP1468" i="17"/>
  <c r="AL1468" i="17"/>
  <c r="AB1468" i="17"/>
  <c r="P1468" i="17"/>
  <c r="AR1468" i="17"/>
  <c r="AE1468" i="17"/>
  <c r="T1468" i="17"/>
  <c r="AI1468" i="17"/>
  <c r="U1468" i="17"/>
  <c r="AF1468" i="17"/>
  <c r="S1468" i="17"/>
  <c r="AJ1468" i="17"/>
  <c r="N1468" i="17"/>
  <c r="AD1468" i="17"/>
  <c r="M1468" i="17"/>
  <c r="X1468" i="17"/>
  <c r="W1468" i="17"/>
  <c r="AK1468" i="17"/>
  <c r="AC1468" i="17"/>
  <c r="O1468" i="17"/>
  <c r="L1468" i="17"/>
  <c r="K1468" i="17"/>
  <c r="AN1468" i="17"/>
  <c r="AM1468" i="17"/>
  <c r="AA1468" i="17"/>
  <c r="AQ1468" i="17"/>
  <c r="P1735" i="17"/>
  <c r="O1755" i="17"/>
  <c r="AI876" i="17"/>
  <c r="Y876" i="17"/>
  <c r="N876" i="17"/>
  <c r="AH876" i="17"/>
  <c r="V876" i="17"/>
  <c r="K876" i="17"/>
  <c r="AR876" i="17"/>
  <c r="AG876" i="17"/>
  <c r="U876" i="17"/>
  <c r="J876" i="17"/>
  <c r="AK876" i="17"/>
  <c r="S876" i="17"/>
  <c r="AF876" i="17"/>
  <c r="Q876" i="17"/>
  <c r="AD876" i="17"/>
  <c r="P876" i="17"/>
  <c r="AL876" i="17"/>
  <c r="AH927" i="17"/>
  <c r="W927" i="17"/>
  <c r="L927" i="17"/>
  <c r="AR927" i="17"/>
  <c r="AE927" i="17"/>
  <c r="P927" i="17"/>
  <c r="AP927" i="17"/>
  <c r="AD927" i="17"/>
  <c r="O927" i="17"/>
  <c r="AN927" i="17"/>
  <c r="V927" i="17"/>
  <c r="AM927" i="17"/>
  <c r="U927" i="17"/>
  <c r="AJ927" i="17"/>
  <c r="Q927" i="17"/>
  <c r="AO927" i="17"/>
  <c r="W987" i="17"/>
  <c r="N987" i="17"/>
  <c r="AM987" i="17"/>
  <c r="AG987" i="17"/>
  <c r="AP987" i="17"/>
  <c r="X987" i="17"/>
  <c r="T987" i="17"/>
  <c r="AB1142" i="17"/>
  <c r="N1142" i="17"/>
  <c r="M1142" i="17"/>
  <c r="AR1142" i="17"/>
  <c r="AP1145" i="17"/>
  <c r="AD1145" i="17"/>
  <c r="Q1145" i="17"/>
  <c r="AC1145" i="17"/>
  <c r="O1145" i="17"/>
  <c r="AN1145" i="17"/>
  <c r="Z1145" i="17"/>
  <c r="N1145" i="17"/>
  <c r="AK1145" i="17"/>
  <c r="R1145" i="17"/>
  <c r="AH1145" i="17"/>
  <c r="P1145" i="17"/>
  <c r="W1145" i="17"/>
  <c r="V1145" i="17"/>
  <c r="M1145" i="17"/>
  <c r="J1145" i="17"/>
  <c r="AM1145" i="17"/>
  <c r="AL1145" i="17"/>
  <c r="AG1145" i="17"/>
  <c r="AP1226" i="17"/>
  <c r="AB1226" i="17"/>
  <c r="AA1226" i="17"/>
  <c r="Z1226" i="17"/>
  <c r="Y1226" i="17"/>
  <c r="N1226" i="17"/>
  <c r="Y1331" i="17"/>
  <c r="J1331" i="17"/>
  <c r="Z1331" i="17"/>
  <c r="X1331" i="17"/>
  <c r="AL1331" i="17"/>
  <c r="AE1331" i="17"/>
  <c r="AO1590" i="17"/>
  <c r="AK1590" i="17"/>
  <c r="AB1590" i="17"/>
  <c r="S1590" i="17"/>
  <c r="J1590" i="17"/>
  <c r="AI1590" i="17"/>
  <c r="X1590" i="17"/>
  <c r="N1590" i="17"/>
  <c r="AR1590" i="17"/>
  <c r="AH1590" i="17"/>
  <c r="W1590" i="17"/>
  <c r="M1590" i="17"/>
  <c r="AF1590" i="17"/>
  <c r="T1590" i="17"/>
  <c r="AE1590" i="17"/>
  <c r="R1590" i="17"/>
  <c r="AP1590" i="17"/>
  <c r="Z1590" i="17"/>
  <c r="AN1590" i="17"/>
  <c r="V1590" i="17"/>
  <c r="U1590" i="17"/>
  <c r="AQ1590" i="17"/>
  <c r="P1590" i="17"/>
  <c r="AM1590" i="17"/>
  <c r="O1590" i="17"/>
  <c r="L1590" i="17"/>
  <c r="K1590" i="17"/>
  <c r="AJ1590" i="17"/>
  <c r="AD1590" i="17"/>
  <c r="AC1590" i="17"/>
  <c r="AO1909" i="17"/>
  <c r="AJ1909" i="17"/>
  <c r="Z1909" i="17"/>
  <c r="N1909" i="17"/>
  <c r="AH1909" i="17"/>
  <c r="U1909" i="17"/>
  <c r="J1909" i="17"/>
  <c r="AE1909" i="17"/>
  <c r="S1909" i="17"/>
  <c r="AQ1909" i="17"/>
  <c r="AB1909" i="17"/>
  <c r="L1909" i="17"/>
  <c r="AP1909" i="17"/>
  <c r="AA1909" i="17"/>
  <c r="K1909" i="17"/>
  <c r="W1909" i="17"/>
  <c r="AL1909" i="17"/>
  <c r="O1909" i="17"/>
  <c r="AK1909" i="17"/>
  <c r="M1909" i="17"/>
  <c r="T1909" i="17"/>
  <c r="R1909" i="17"/>
  <c r="AR1909" i="17"/>
  <c r="AM1909" i="17"/>
  <c r="AI1909" i="17"/>
  <c r="AD1909" i="17"/>
  <c r="AC1909" i="17"/>
  <c r="V1909" i="17"/>
  <c r="S33" i="17"/>
  <c r="L60" i="17"/>
  <c r="N67" i="17"/>
  <c r="AB67" i="17"/>
  <c r="M67" i="17"/>
  <c r="AD67" i="17" s="1"/>
  <c r="T67" i="17"/>
  <c r="L67" i="17"/>
  <c r="S79" i="17"/>
  <c r="J96" i="17"/>
  <c r="AP187" i="17"/>
  <c r="AR187" i="17"/>
  <c r="AF187" i="17"/>
  <c r="V187" i="17"/>
  <c r="L187" i="17"/>
  <c r="AQ187" i="17"/>
  <c r="AE187" i="17"/>
  <c r="U187" i="17"/>
  <c r="K187" i="17"/>
  <c r="AN187" i="17"/>
  <c r="AB187" i="17"/>
  <c r="N187" i="17"/>
  <c r="AM187" i="17"/>
  <c r="AA187" i="17"/>
  <c r="M187" i="17"/>
  <c r="AD187" i="17"/>
  <c r="AP189" i="17"/>
  <c r="AL189" i="17"/>
  <c r="AB189" i="17"/>
  <c r="P189" i="17"/>
  <c r="AK189" i="17"/>
  <c r="AA189" i="17"/>
  <c r="O189" i="17"/>
  <c r="AN189" i="17"/>
  <c r="X189" i="17"/>
  <c r="L189" i="17"/>
  <c r="AM189" i="17"/>
  <c r="W189" i="17"/>
  <c r="K189" i="17"/>
  <c r="AP208" i="17"/>
  <c r="AJ208" i="17"/>
  <c r="AM222" i="17"/>
  <c r="R222" i="17"/>
  <c r="AJ222" i="17"/>
  <c r="Q222" i="17"/>
  <c r="S222" i="17"/>
  <c r="AO222" i="17"/>
  <c r="P222" i="17"/>
  <c r="AM264" i="17"/>
  <c r="AP277" i="17"/>
  <c r="AK277" i="17"/>
  <c r="AA277" i="17"/>
  <c r="O277" i="17"/>
  <c r="AJ277" i="17"/>
  <c r="X277" i="17"/>
  <c r="N277" i="17"/>
  <c r="AI277" i="17"/>
  <c r="U277" i="17"/>
  <c r="AF277" i="17"/>
  <c r="T277" i="17"/>
  <c r="AR277" i="17"/>
  <c r="AN312" i="17"/>
  <c r="Y312" i="17"/>
  <c r="AM312" i="17"/>
  <c r="X312" i="17"/>
  <c r="AI312" i="17"/>
  <c r="O312" i="17"/>
  <c r="AH312" i="17"/>
  <c r="L312" i="17"/>
  <c r="AR312" i="17"/>
  <c r="AP317" i="17"/>
  <c r="AK317" i="17"/>
  <c r="AA317" i="17"/>
  <c r="O317" i="17"/>
  <c r="AJ317" i="17"/>
  <c r="X317" i="17"/>
  <c r="N317" i="17"/>
  <c r="AR317" i="17"/>
  <c r="AD317" i="17"/>
  <c r="P317" i="17"/>
  <c r="AQ317" i="17"/>
  <c r="AC317" i="17"/>
  <c r="M317" i="17"/>
  <c r="AB317" i="17"/>
  <c r="T320" i="17"/>
  <c r="S320" i="17"/>
  <c r="W320" i="17"/>
  <c r="R320" i="17"/>
  <c r="X357" i="17"/>
  <c r="AQ369" i="17"/>
  <c r="AP417" i="17"/>
  <c r="AM417" i="17"/>
  <c r="AC417" i="17"/>
  <c r="S417" i="17"/>
  <c r="AL417" i="17"/>
  <c r="AB417" i="17"/>
  <c r="P417" i="17"/>
  <c r="AI417" i="17"/>
  <c r="U417" i="17"/>
  <c r="AF417" i="17"/>
  <c r="T417" i="17"/>
  <c r="AQ432" i="17"/>
  <c r="AF432" i="17"/>
  <c r="R432" i="17"/>
  <c r="AP432" i="17"/>
  <c r="AB432" i="17"/>
  <c r="Q432" i="17"/>
  <c r="AJ432" i="17"/>
  <c r="W432" i="17"/>
  <c r="AI432" i="17"/>
  <c r="T432" i="17"/>
  <c r="AR500" i="17"/>
  <c r="AB523" i="17"/>
  <c r="AL722" i="17"/>
  <c r="S722" i="17"/>
  <c r="AN722" i="17"/>
  <c r="R722" i="17"/>
  <c r="AG722" i="17"/>
  <c r="Q722" i="17"/>
  <c r="AP722" i="17"/>
  <c r="P722" i="17"/>
  <c r="AO722" i="17"/>
  <c r="K722" i="17"/>
  <c r="AF722" i="17"/>
  <c r="J722" i="17"/>
  <c r="Q1515" i="17"/>
  <c r="T1545" i="17"/>
  <c r="AR1545" i="17"/>
  <c r="X1545" i="17"/>
  <c r="W1545" i="17"/>
  <c r="AH1545" i="17"/>
  <c r="Y1545" i="17"/>
  <c r="S1916" i="17"/>
  <c r="AP1916" i="17"/>
  <c r="AL1916" i="17"/>
  <c r="AG1916" i="17"/>
  <c r="V1916" i="17"/>
  <c r="AM1916" i="17"/>
  <c r="P1916" i="17"/>
  <c r="AA23" i="17"/>
  <c r="M23" i="17"/>
  <c r="AD23" i="17" s="1"/>
  <c r="X23" i="17"/>
  <c r="L23" i="17"/>
  <c r="U23" i="17"/>
  <c r="AH23" i="17" s="1"/>
  <c r="T23" i="17"/>
  <c r="AA41" i="17"/>
  <c r="M41" i="17"/>
  <c r="AD41" i="17" s="1"/>
  <c r="AL41" i="17" s="1"/>
  <c r="Y41" i="12" s="1"/>
  <c r="X41" i="17"/>
  <c r="L41" i="17"/>
  <c r="AB41" i="17"/>
  <c r="W41" i="17"/>
  <c r="T51" i="17"/>
  <c r="N51" i="17"/>
  <c r="AA51" i="17"/>
  <c r="X51" i="17"/>
  <c r="X88" i="17"/>
  <c r="S91" i="17"/>
  <c r="M109" i="17"/>
  <c r="AE109" i="17" s="1"/>
  <c r="L109" i="17"/>
  <c r="N139" i="17"/>
  <c r="M139" i="17"/>
  <c r="AE139" i="17" s="1"/>
  <c r="L139" i="17"/>
  <c r="K149" i="17"/>
  <c r="T155" i="17"/>
  <c r="S155" i="17"/>
  <c r="W155" i="17"/>
  <c r="V155" i="17"/>
  <c r="J166" i="17"/>
  <c r="X166" i="17"/>
  <c r="O187" i="17"/>
  <c r="M189" i="17"/>
  <c r="AE208" i="17"/>
  <c r="P224" i="17"/>
  <c r="AP224" i="17"/>
  <c r="J224" i="17"/>
  <c r="AA224" i="17"/>
  <c r="R224" i="17"/>
  <c r="AD263" i="17"/>
  <c r="AN264" i="17"/>
  <c r="X267" i="17"/>
  <c r="AC277" i="17"/>
  <c r="AJ278" i="17"/>
  <c r="K283" i="17"/>
  <c r="AP285" i="17"/>
  <c r="AR285" i="17"/>
  <c r="AF285" i="17"/>
  <c r="V285" i="17"/>
  <c r="L285" i="17"/>
  <c r="AQ285" i="17"/>
  <c r="AE285" i="17"/>
  <c r="U285" i="17"/>
  <c r="K285" i="17"/>
  <c r="AK285" i="17"/>
  <c r="W285" i="17"/>
  <c r="AJ285" i="17"/>
  <c r="T285" i="17"/>
  <c r="P312" i="17"/>
  <c r="X313" i="17"/>
  <c r="AE317" i="17"/>
  <c r="AO355" i="17"/>
  <c r="AN355" i="17"/>
  <c r="AE355" i="17"/>
  <c r="V355" i="17"/>
  <c r="M355" i="17"/>
  <c r="AM355" i="17"/>
  <c r="AD355" i="17"/>
  <c r="U355" i="17"/>
  <c r="L355" i="17"/>
  <c r="AQ355" i="17"/>
  <c r="AC355" i="17"/>
  <c r="R355" i="17"/>
  <c r="AP355" i="17"/>
  <c r="AB355" i="17"/>
  <c r="P355" i="17"/>
  <c r="X355" i="17"/>
  <c r="J357" i="17"/>
  <c r="L362" i="17"/>
  <c r="AB369" i="17"/>
  <c r="AR375" i="17"/>
  <c r="L385" i="17"/>
  <c r="V389" i="17"/>
  <c r="AA417" i="17"/>
  <c r="AJ418" i="17"/>
  <c r="AP425" i="17"/>
  <c r="AI425" i="17"/>
  <c r="W425" i="17"/>
  <c r="M425" i="17"/>
  <c r="AR425" i="17"/>
  <c r="AF425" i="17"/>
  <c r="V425" i="17"/>
  <c r="L425" i="17"/>
  <c r="AQ425" i="17"/>
  <c r="AC425" i="17"/>
  <c r="O425" i="17"/>
  <c r="AN425" i="17"/>
  <c r="AB425" i="17"/>
  <c r="N425" i="17"/>
  <c r="J432" i="17"/>
  <c r="W460" i="17"/>
  <c r="AP501" i="17"/>
  <c r="AI501" i="17"/>
  <c r="W501" i="17"/>
  <c r="M501" i="17"/>
  <c r="AR501" i="17"/>
  <c r="AF501" i="17"/>
  <c r="V501" i="17"/>
  <c r="L501" i="17"/>
  <c r="AJ501" i="17"/>
  <c r="T501" i="17"/>
  <c r="AE501" i="17"/>
  <c r="S501" i="17"/>
  <c r="K565" i="17"/>
  <c r="AP579" i="17"/>
  <c r="AJ579" i="17"/>
  <c r="X579" i="17"/>
  <c r="N579" i="17"/>
  <c r="AI579" i="17"/>
  <c r="W579" i="17"/>
  <c r="M579" i="17"/>
  <c r="AQ579" i="17"/>
  <c r="AC579" i="17"/>
  <c r="O579" i="17"/>
  <c r="AN579" i="17"/>
  <c r="AB579" i="17"/>
  <c r="L579" i="17"/>
  <c r="AD579" i="17"/>
  <c r="AC587" i="17"/>
  <c r="AO609" i="17"/>
  <c r="AL609" i="17"/>
  <c r="AC609" i="17"/>
  <c r="T609" i="17"/>
  <c r="K609" i="17"/>
  <c r="AK609" i="17"/>
  <c r="AB609" i="17"/>
  <c r="S609" i="17"/>
  <c r="J609" i="17"/>
  <c r="AJ609" i="17"/>
  <c r="X609" i="17"/>
  <c r="M609" i="17"/>
  <c r="AI609" i="17"/>
  <c r="W609" i="17"/>
  <c r="L609" i="17"/>
  <c r="AB625" i="17"/>
  <c r="AF641" i="17"/>
  <c r="AO647" i="17"/>
  <c r="AN647" i="17"/>
  <c r="AE647" i="17"/>
  <c r="V647" i="17"/>
  <c r="M647" i="17"/>
  <c r="AQ647" i="17"/>
  <c r="AF647" i="17"/>
  <c r="U647" i="17"/>
  <c r="K647" i="17"/>
  <c r="AP647" i="17"/>
  <c r="AD647" i="17"/>
  <c r="T647" i="17"/>
  <c r="J647" i="17"/>
  <c r="AR647" i="17"/>
  <c r="AB647" i="17"/>
  <c r="O647" i="17"/>
  <c r="AM647" i="17"/>
  <c r="AA647" i="17"/>
  <c r="N647" i="17"/>
  <c r="AL647" i="17"/>
  <c r="Z647" i="17"/>
  <c r="L647" i="17"/>
  <c r="AO652" i="17"/>
  <c r="AE652" i="17"/>
  <c r="AP652" i="17"/>
  <c r="AD652" i="17"/>
  <c r="Y702" i="17"/>
  <c r="AA702" i="17"/>
  <c r="S702" i="17"/>
  <c r="AE702" i="17"/>
  <c r="R702" i="17"/>
  <c r="Q702" i="17"/>
  <c r="AJ703" i="17"/>
  <c r="AO719" i="17"/>
  <c r="AR719" i="17"/>
  <c r="AI719" i="17"/>
  <c r="Z719" i="17"/>
  <c r="P719" i="17"/>
  <c r="AH719" i="17"/>
  <c r="W719" i="17"/>
  <c r="M719" i="17"/>
  <c r="AQ719" i="17"/>
  <c r="AF719" i="17"/>
  <c r="V719" i="17"/>
  <c r="L719" i="17"/>
  <c r="AN719" i="17"/>
  <c r="AB719" i="17"/>
  <c r="N719" i="17"/>
  <c r="AM719" i="17"/>
  <c r="AA719" i="17"/>
  <c r="K719" i="17"/>
  <c r="AL719" i="17"/>
  <c r="X719" i="17"/>
  <c r="J719" i="17"/>
  <c r="AE742" i="17"/>
  <c r="N742" i="17"/>
  <c r="AP742" i="17"/>
  <c r="X742" i="17"/>
  <c r="AO742" i="17"/>
  <c r="V742" i="17"/>
  <c r="Y742" i="17"/>
  <c r="S742" i="17"/>
  <c r="AQ742" i="17"/>
  <c r="R742" i="17"/>
  <c r="AN742" i="17"/>
  <c r="K756" i="17"/>
  <c r="AD757" i="17"/>
  <c r="AP778" i="17"/>
  <c r="N804" i="17"/>
  <c r="AR867" i="17"/>
  <c r="AJ867" i="17"/>
  <c r="AH867" i="17"/>
  <c r="AG867" i="17"/>
  <c r="AO876" i="17"/>
  <c r="K910" i="17"/>
  <c r="X915" i="17"/>
  <c r="N927" i="17"/>
  <c r="M928" i="17"/>
  <c r="AN929" i="17"/>
  <c r="AA966" i="17"/>
  <c r="AE977" i="17"/>
  <c r="O977" i="17"/>
  <c r="AR977" i="17"/>
  <c r="Z977" i="17"/>
  <c r="AN977" i="17"/>
  <c r="Q977" i="17"/>
  <c r="AK977" i="17"/>
  <c r="P977" i="17"/>
  <c r="V977" i="17"/>
  <c r="R977" i="17"/>
  <c r="AO977" i="17"/>
  <c r="AG977" i="17"/>
  <c r="AF977" i="17"/>
  <c r="AP1109" i="17"/>
  <c r="V1109" i="17"/>
  <c r="AD1109" i="17"/>
  <c r="AC1109" i="17"/>
  <c r="U1109" i="17"/>
  <c r="R1109" i="17"/>
  <c r="Q1109" i="17"/>
  <c r="P1109" i="17"/>
  <c r="AG1109" i="17"/>
  <c r="AF1109" i="17"/>
  <c r="AO1109" i="17"/>
  <c r="AJ1202" i="17"/>
  <c r="Y1202" i="17"/>
  <c r="AC1202" i="17"/>
  <c r="T1202" i="17"/>
  <c r="S1202" i="17"/>
  <c r="AL1202" i="17"/>
  <c r="Z1202" i="17"/>
  <c r="R1202" i="17"/>
  <c r="S1387" i="17"/>
  <c r="Y1387" i="17"/>
  <c r="Z1387" i="17"/>
  <c r="T1387" i="17"/>
  <c r="AO1387" i="17"/>
  <c r="AO1598" i="17"/>
  <c r="AM1598" i="17"/>
  <c r="AD1598" i="17"/>
  <c r="U1598" i="17"/>
  <c r="L1598" i="17"/>
  <c r="AQ1598" i="17"/>
  <c r="AF1598" i="17"/>
  <c r="V1598" i="17"/>
  <c r="K1598" i="17"/>
  <c r="AP1598" i="17"/>
  <c r="AE1598" i="17"/>
  <c r="T1598" i="17"/>
  <c r="J1598" i="17"/>
  <c r="AN1598" i="17"/>
  <c r="AA1598" i="17"/>
  <c r="N1598" i="17"/>
  <c r="AL1598" i="17"/>
  <c r="Z1598" i="17"/>
  <c r="M1598" i="17"/>
  <c r="AI1598" i="17"/>
  <c r="P1598" i="17"/>
  <c r="AH1598" i="17"/>
  <c r="O1598" i="17"/>
  <c r="X1598" i="17"/>
  <c r="W1598" i="17"/>
  <c r="S1598" i="17"/>
  <c r="AR1598" i="17"/>
  <c r="AK1598" i="17"/>
  <c r="AJ1598" i="17"/>
  <c r="AC1598" i="17"/>
  <c r="T3" i="17"/>
  <c r="N3" i="17"/>
  <c r="U3" i="17"/>
  <c r="AQ3" i="17" s="1"/>
  <c r="M3" i="17"/>
  <c r="AD3" i="17" s="1"/>
  <c r="L10" i="17"/>
  <c r="J20" i="17"/>
  <c r="N23" i="17"/>
  <c r="N29" i="17"/>
  <c r="AO36" i="17"/>
  <c r="N41" i="17"/>
  <c r="L45" i="17"/>
  <c r="AB48" i="17"/>
  <c r="AA48" i="17"/>
  <c r="R48" i="17"/>
  <c r="L51" i="17"/>
  <c r="S57" i="17"/>
  <c r="R60" i="17"/>
  <c r="AG60" i="17" s="1"/>
  <c r="V67" i="17"/>
  <c r="K71" i="17"/>
  <c r="Q74" i="17"/>
  <c r="U83" i="17"/>
  <c r="T83" i="17"/>
  <c r="V83" i="17"/>
  <c r="N83" i="17"/>
  <c r="K95" i="17"/>
  <c r="U101" i="17"/>
  <c r="AQ101" i="17" s="1"/>
  <c r="T101" i="17"/>
  <c r="X101" i="17"/>
  <c r="W101" i="17"/>
  <c r="AO102" i="17"/>
  <c r="S102" i="17"/>
  <c r="N109" i="17"/>
  <c r="M111" i="17"/>
  <c r="AE111" i="17" s="1"/>
  <c r="N113" i="17"/>
  <c r="AB113" i="17"/>
  <c r="M113" i="17"/>
  <c r="AD113" i="17" s="1"/>
  <c r="V113" i="17"/>
  <c r="U113" i="17"/>
  <c r="AA123" i="17"/>
  <c r="M123" i="17"/>
  <c r="AE123" i="17" s="1"/>
  <c r="X123" i="17"/>
  <c r="L123" i="17"/>
  <c r="W123" i="17"/>
  <c r="V123" i="17"/>
  <c r="T129" i="17"/>
  <c r="N129" i="17"/>
  <c r="V129" i="17"/>
  <c r="U129" i="17"/>
  <c r="W131" i="17"/>
  <c r="V131" i="17"/>
  <c r="M131" i="17"/>
  <c r="AE131" i="17" s="1"/>
  <c r="L131" i="17"/>
  <c r="L137" i="17"/>
  <c r="U147" i="17"/>
  <c r="AQ147" i="17" s="1"/>
  <c r="T147" i="17"/>
  <c r="AA147" i="17"/>
  <c r="X147" i="17"/>
  <c r="L155" i="17"/>
  <c r="M157" i="17"/>
  <c r="AE157" i="17" s="1"/>
  <c r="AB159" i="17"/>
  <c r="M159" i="17"/>
  <c r="AD159" i="17" s="1"/>
  <c r="AA159" i="17"/>
  <c r="L159" i="17"/>
  <c r="N159" i="17"/>
  <c r="K159" i="17"/>
  <c r="AB160" i="17"/>
  <c r="R162" i="17"/>
  <c r="AP162" i="17" s="1"/>
  <c r="T173" i="17"/>
  <c r="S173" i="17"/>
  <c r="M173" i="17"/>
  <c r="AB173" i="17"/>
  <c r="L173" i="17"/>
  <c r="K175" i="17"/>
  <c r="P187" i="17"/>
  <c r="AJ187" i="17"/>
  <c r="N189" i="17"/>
  <c r="AF189" i="17"/>
  <c r="K201" i="17"/>
  <c r="AP213" i="17"/>
  <c r="AM213" i="17"/>
  <c r="AC213" i="17"/>
  <c r="S213" i="17"/>
  <c r="AL213" i="17"/>
  <c r="AB213" i="17"/>
  <c r="P213" i="17"/>
  <c r="AI213" i="17"/>
  <c r="U213" i="17"/>
  <c r="AF213" i="17"/>
  <c r="T213" i="17"/>
  <c r="X213" i="17"/>
  <c r="AR213" i="17"/>
  <c r="AM216" i="17"/>
  <c r="Z216" i="17"/>
  <c r="O216" i="17"/>
  <c r="AJ216" i="17"/>
  <c r="Y216" i="17"/>
  <c r="L216" i="17"/>
  <c r="AG216" i="17"/>
  <c r="Q216" i="17"/>
  <c r="AF216" i="17"/>
  <c r="P216" i="17"/>
  <c r="AB216" i="17"/>
  <c r="Y222" i="17"/>
  <c r="Q224" i="17"/>
  <c r="AP233" i="17"/>
  <c r="AK233" i="17"/>
  <c r="AA233" i="17"/>
  <c r="O233" i="17"/>
  <c r="AJ233" i="17"/>
  <c r="X233" i="17"/>
  <c r="N233" i="17"/>
  <c r="AE233" i="17"/>
  <c r="S233" i="17"/>
  <c r="AR233" i="17"/>
  <c r="AD233" i="17"/>
  <c r="P233" i="17"/>
  <c r="AB233" i="17"/>
  <c r="K241" i="17"/>
  <c r="AO250" i="17"/>
  <c r="AI250" i="17"/>
  <c r="AE254" i="17"/>
  <c r="AB254" i="17"/>
  <c r="M263" i="17"/>
  <c r="K267" i="17"/>
  <c r="AA267" i="17"/>
  <c r="AP273" i="17"/>
  <c r="AK273" i="17"/>
  <c r="AA273" i="17"/>
  <c r="O273" i="17"/>
  <c r="AJ273" i="17"/>
  <c r="X273" i="17"/>
  <c r="N273" i="17"/>
  <c r="AQ273" i="17"/>
  <c r="AC273" i="17"/>
  <c r="M273" i="17"/>
  <c r="AN273" i="17"/>
  <c r="AB273" i="17"/>
  <c r="L273" i="17"/>
  <c r="AD273" i="17"/>
  <c r="L277" i="17"/>
  <c r="AD277" i="17"/>
  <c r="Q278" i="17"/>
  <c r="L283" i="17"/>
  <c r="AF283" i="17"/>
  <c r="M285" i="17"/>
  <c r="AC285" i="17"/>
  <c r="AH290" i="17"/>
  <c r="AQ290" i="17"/>
  <c r="AP290" i="17"/>
  <c r="T290" i="17"/>
  <c r="S290" i="17"/>
  <c r="K297" i="17"/>
  <c r="AA297" i="17"/>
  <c r="AH306" i="17"/>
  <c r="Y306" i="17"/>
  <c r="M311" i="17"/>
  <c r="Q312" i="17"/>
  <c r="K313" i="17"/>
  <c r="L317" i="17"/>
  <c r="AF317" i="17"/>
  <c r="AF320" i="17"/>
  <c r="AQ326" i="17"/>
  <c r="AA326" i="17"/>
  <c r="O326" i="17"/>
  <c r="AN326" i="17"/>
  <c r="Z326" i="17"/>
  <c r="L326" i="17"/>
  <c r="Y326" i="17"/>
  <c r="AR326" i="17"/>
  <c r="X326" i="17"/>
  <c r="AH326" i="17"/>
  <c r="L328" i="17"/>
  <c r="AP329" i="17"/>
  <c r="AR329" i="17"/>
  <c r="AF329" i="17"/>
  <c r="V329" i="17"/>
  <c r="L329" i="17"/>
  <c r="AQ329" i="17"/>
  <c r="AE329" i="17"/>
  <c r="U329" i="17"/>
  <c r="K329" i="17"/>
  <c r="AJ329" i="17"/>
  <c r="T329" i="17"/>
  <c r="AI329" i="17"/>
  <c r="S329" i="17"/>
  <c r="AB329" i="17"/>
  <c r="AA330" i="17"/>
  <c r="AO339" i="17"/>
  <c r="AP339" i="17"/>
  <c r="AF339" i="17"/>
  <c r="W339" i="17"/>
  <c r="N339" i="17"/>
  <c r="AN339" i="17"/>
  <c r="AE339" i="17"/>
  <c r="V339" i="17"/>
  <c r="M339" i="17"/>
  <c r="AL339" i="17"/>
  <c r="AA339" i="17"/>
  <c r="O339" i="17"/>
  <c r="AK339" i="17"/>
  <c r="Z339" i="17"/>
  <c r="L339" i="17"/>
  <c r="X339" i="17"/>
  <c r="AQ339" i="17"/>
  <c r="T354" i="17"/>
  <c r="J355" i="17"/>
  <c r="Z355" i="17"/>
  <c r="AR355" i="17"/>
  <c r="M357" i="17"/>
  <c r="AA357" i="17"/>
  <c r="AI358" i="17"/>
  <c r="AQ358" i="17"/>
  <c r="AP358" i="17"/>
  <c r="AO367" i="17"/>
  <c r="AR367" i="17"/>
  <c r="AI367" i="17"/>
  <c r="Z367" i="17"/>
  <c r="P367" i="17"/>
  <c r="AQ367" i="17"/>
  <c r="AH367" i="17"/>
  <c r="X367" i="17"/>
  <c r="O367" i="17"/>
  <c r="AP367" i="17"/>
  <c r="AD367" i="17"/>
  <c r="S367" i="17"/>
  <c r="AN367" i="17"/>
  <c r="AC367" i="17"/>
  <c r="R367" i="17"/>
  <c r="V367" i="17"/>
  <c r="AL367" i="17"/>
  <c r="O369" i="17"/>
  <c r="AE369" i="17"/>
  <c r="K375" i="17"/>
  <c r="AA375" i="17"/>
  <c r="AO381" i="17"/>
  <c r="AR381" i="17"/>
  <c r="AI381" i="17"/>
  <c r="Z381" i="17"/>
  <c r="P381" i="17"/>
  <c r="AQ381" i="17"/>
  <c r="AH381" i="17"/>
  <c r="X381" i="17"/>
  <c r="O381" i="17"/>
  <c r="AN381" i="17"/>
  <c r="AC381" i="17"/>
  <c r="R381" i="17"/>
  <c r="AM381" i="17"/>
  <c r="AB381" i="17"/>
  <c r="N381" i="17"/>
  <c r="V381" i="17"/>
  <c r="AL381" i="17"/>
  <c r="M385" i="17"/>
  <c r="AQ386" i="17"/>
  <c r="W386" i="17"/>
  <c r="AO386" i="17"/>
  <c r="T386" i="17"/>
  <c r="AH386" i="17"/>
  <c r="K386" i="17"/>
  <c r="AG386" i="17"/>
  <c r="J386" i="17"/>
  <c r="AR386" i="17"/>
  <c r="J389" i="17"/>
  <c r="Z389" i="17"/>
  <c r="AM389" i="17"/>
  <c r="L394" i="17"/>
  <c r="O395" i="17"/>
  <c r="AJ400" i="17"/>
  <c r="Y400" i="17"/>
  <c r="L400" i="17"/>
  <c r="AI400" i="17"/>
  <c r="X400" i="17"/>
  <c r="K400" i="17"/>
  <c r="AH400" i="17"/>
  <c r="R400" i="17"/>
  <c r="AG400" i="17"/>
  <c r="Q400" i="17"/>
  <c r="AB400" i="17"/>
  <c r="O401" i="17"/>
  <c r="AI401" i="17"/>
  <c r="AN404" i="17"/>
  <c r="Y404" i="17"/>
  <c r="AM404" i="17"/>
  <c r="X404" i="17"/>
  <c r="AJ404" i="17"/>
  <c r="P404" i="17"/>
  <c r="AI404" i="17"/>
  <c r="O404" i="17"/>
  <c r="AR404" i="17"/>
  <c r="L417" i="17"/>
  <c r="AD417" i="17"/>
  <c r="Q418" i="17"/>
  <c r="AM418" i="17"/>
  <c r="K425" i="17"/>
  <c r="AE425" i="17"/>
  <c r="K432" i="17"/>
  <c r="AG432" i="17"/>
  <c r="AN450" i="17"/>
  <c r="Z450" i="17"/>
  <c r="L450" i="17"/>
  <c r="AM450" i="17"/>
  <c r="Y450" i="17"/>
  <c r="K450" i="17"/>
  <c r="AR450" i="17"/>
  <c r="X450" i="17"/>
  <c r="AQ450" i="17"/>
  <c r="W450" i="17"/>
  <c r="AH450" i="17"/>
  <c r="AE458" i="17"/>
  <c r="AB458" i="17"/>
  <c r="AQ458" i="17"/>
  <c r="AP458" i="17"/>
  <c r="AR466" i="17"/>
  <c r="AB466" i="17"/>
  <c r="P466" i="17"/>
  <c r="AQ466" i="17"/>
  <c r="AA466" i="17"/>
  <c r="O466" i="17"/>
  <c r="AN466" i="17"/>
  <c r="X466" i="17"/>
  <c r="AM466" i="17"/>
  <c r="W466" i="17"/>
  <c r="AH466" i="17"/>
  <c r="R472" i="17"/>
  <c r="R488" i="17"/>
  <c r="X500" i="17"/>
  <c r="K501" i="17"/>
  <c r="AC501" i="17"/>
  <c r="J510" i="17"/>
  <c r="AJ516" i="17"/>
  <c r="R516" i="17"/>
  <c r="AI516" i="17"/>
  <c r="Q516" i="17"/>
  <c r="AR516" i="17"/>
  <c r="X516" i="17"/>
  <c r="AN516" i="17"/>
  <c r="P516" i="17"/>
  <c r="AM516" i="17"/>
  <c r="AP519" i="17"/>
  <c r="AR519" i="17"/>
  <c r="AF519" i="17"/>
  <c r="V519" i="17"/>
  <c r="L519" i="17"/>
  <c r="AQ519" i="17"/>
  <c r="AE519" i="17"/>
  <c r="U519" i="17"/>
  <c r="K519" i="17"/>
  <c r="AD519" i="17"/>
  <c r="P519" i="17"/>
  <c r="AC519" i="17"/>
  <c r="O519" i="17"/>
  <c r="AB519" i="17"/>
  <c r="L523" i="17"/>
  <c r="N531" i="17"/>
  <c r="AP547" i="17"/>
  <c r="AL547" i="17"/>
  <c r="AB547" i="17"/>
  <c r="P547" i="17"/>
  <c r="AK547" i="17"/>
  <c r="AA547" i="17"/>
  <c r="O547" i="17"/>
  <c r="AE547" i="17"/>
  <c r="S547" i="17"/>
  <c r="AR547" i="17"/>
  <c r="AD547" i="17"/>
  <c r="N547" i="17"/>
  <c r="X547" i="17"/>
  <c r="P551" i="17"/>
  <c r="AJ551" i="17"/>
  <c r="K559" i="17"/>
  <c r="AE559" i="17"/>
  <c r="L565" i="17"/>
  <c r="AP569" i="17"/>
  <c r="AR569" i="17"/>
  <c r="AF569" i="17"/>
  <c r="V569" i="17"/>
  <c r="L569" i="17"/>
  <c r="AQ569" i="17"/>
  <c r="AE569" i="17"/>
  <c r="U569" i="17"/>
  <c r="K569" i="17"/>
  <c r="AC569" i="17"/>
  <c r="O569" i="17"/>
  <c r="AN569" i="17"/>
  <c r="AB569" i="17"/>
  <c r="N569" i="17"/>
  <c r="AD569" i="17"/>
  <c r="AP573" i="17"/>
  <c r="AJ573" i="17"/>
  <c r="X573" i="17"/>
  <c r="N573" i="17"/>
  <c r="AI573" i="17"/>
  <c r="W573" i="17"/>
  <c r="M573" i="17"/>
  <c r="AK573" i="17"/>
  <c r="U573" i="17"/>
  <c r="AF573" i="17"/>
  <c r="T573" i="17"/>
  <c r="AB573" i="17"/>
  <c r="AR573" i="17"/>
  <c r="AN576" i="17"/>
  <c r="AA576" i="17"/>
  <c r="P576" i="17"/>
  <c r="AM576" i="17"/>
  <c r="Z576" i="17"/>
  <c r="O576" i="17"/>
  <c r="AF576" i="17"/>
  <c r="L576" i="17"/>
  <c r="AR576" i="17"/>
  <c r="AB576" i="17"/>
  <c r="K576" i="17"/>
  <c r="AG576" i="17"/>
  <c r="K579" i="17"/>
  <c r="AE579" i="17"/>
  <c r="AP583" i="17"/>
  <c r="AK583" i="17"/>
  <c r="AA583" i="17"/>
  <c r="O583" i="17"/>
  <c r="AJ583" i="17"/>
  <c r="X583" i="17"/>
  <c r="N583" i="17"/>
  <c r="AQ583" i="17"/>
  <c r="AC583" i="17"/>
  <c r="M583" i="17"/>
  <c r="AN583" i="17"/>
  <c r="AB583" i="17"/>
  <c r="L583" i="17"/>
  <c r="AD583" i="17"/>
  <c r="N587" i="17"/>
  <c r="W604" i="17"/>
  <c r="AO607" i="17"/>
  <c r="AR607" i="17"/>
  <c r="AI607" i="17"/>
  <c r="Z607" i="17"/>
  <c r="P607" i="17"/>
  <c r="AQ607" i="17"/>
  <c r="AH607" i="17"/>
  <c r="X607" i="17"/>
  <c r="O607" i="17"/>
  <c r="AP607" i="17"/>
  <c r="AD607" i="17"/>
  <c r="S607" i="17"/>
  <c r="AN607" i="17"/>
  <c r="AC607" i="17"/>
  <c r="R607" i="17"/>
  <c r="V607" i="17"/>
  <c r="AL607" i="17"/>
  <c r="N609" i="17"/>
  <c r="AD609" i="17"/>
  <c r="AR609" i="17"/>
  <c r="J625" i="17"/>
  <c r="AC625" i="17"/>
  <c r="AO631" i="17"/>
  <c r="AN631" i="17"/>
  <c r="AE631" i="17"/>
  <c r="V631" i="17"/>
  <c r="M631" i="17"/>
  <c r="AJ631" i="17"/>
  <c r="Z631" i="17"/>
  <c r="O631" i="17"/>
  <c r="AI631" i="17"/>
  <c r="X631" i="17"/>
  <c r="N631" i="17"/>
  <c r="AF631" i="17"/>
  <c r="S631" i="17"/>
  <c r="AR631" i="17"/>
  <c r="AD631" i="17"/>
  <c r="R631" i="17"/>
  <c r="AQ631" i="17"/>
  <c r="AC631" i="17"/>
  <c r="P631" i="17"/>
  <c r="AB631" i="17"/>
  <c r="AM634" i="17"/>
  <c r="Z634" i="17"/>
  <c r="O634" i="17"/>
  <c r="AG634" i="17"/>
  <c r="R634" i="17"/>
  <c r="AF634" i="17"/>
  <c r="Q634" i="17"/>
  <c r="AN634" i="17"/>
  <c r="W634" i="17"/>
  <c r="AL634" i="17"/>
  <c r="V634" i="17"/>
  <c r="AI634" i="17"/>
  <c r="P634" i="17"/>
  <c r="AH634" i="17"/>
  <c r="K641" i="17"/>
  <c r="AK641" i="17"/>
  <c r="P647" i="17"/>
  <c r="AJ647" i="17"/>
  <c r="AA652" i="17"/>
  <c r="AQ682" i="17"/>
  <c r="AF682" i="17"/>
  <c r="R682" i="17"/>
  <c r="AD682" i="17"/>
  <c r="P682" i="17"/>
  <c r="AP682" i="17"/>
  <c r="AA682" i="17"/>
  <c r="O682" i="17"/>
  <c r="AI682" i="17"/>
  <c r="Q682" i="17"/>
  <c r="AH682" i="17"/>
  <c r="N682" i="17"/>
  <c r="AG682" i="17"/>
  <c r="K682" i="17"/>
  <c r="AM682" i="17"/>
  <c r="AP690" i="17"/>
  <c r="W690" i="17"/>
  <c r="AL690" i="17"/>
  <c r="P690" i="17"/>
  <c r="AF690" i="17"/>
  <c r="K690" i="17"/>
  <c r="V690" i="17"/>
  <c r="R690" i="17"/>
  <c r="AQ690" i="17"/>
  <c r="Q690" i="17"/>
  <c r="N702" i="17"/>
  <c r="R703" i="17"/>
  <c r="AL703" i="17"/>
  <c r="AN710" i="17"/>
  <c r="V710" i="17"/>
  <c r="AI710" i="17"/>
  <c r="O710" i="17"/>
  <c r="AH710" i="17"/>
  <c r="N710" i="17"/>
  <c r="R710" i="17"/>
  <c r="AQ710" i="17"/>
  <c r="K710" i="17"/>
  <c r="AP710" i="17"/>
  <c r="J710" i="17"/>
  <c r="O719" i="17"/>
  <c r="AJ719" i="17"/>
  <c r="Z722" i="17"/>
  <c r="AD726" i="17"/>
  <c r="AP726" i="17"/>
  <c r="W726" i="17"/>
  <c r="N726" i="17"/>
  <c r="AO726" i="17"/>
  <c r="Y726" i="17"/>
  <c r="X726" i="17"/>
  <c r="W738" i="17"/>
  <c r="J742" i="17"/>
  <c r="AN754" i="17"/>
  <c r="N756" i="17"/>
  <c r="N757" i="17"/>
  <c r="AL757" i="17"/>
  <c r="J767" i="17"/>
  <c r="N778" i="17"/>
  <c r="AI782" i="17"/>
  <c r="X782" i="17"/>
  <c r="L782" i="17"/>
  <c r="AQ782" i="17"/>
  <c r="AD782" i="17"/>
  <c r="P782" i="17"/>
  <c r="AP782" i="17"/>
  <c r="AC782" i="17"/>
  <c r="N782" i="17"/>
  <c r="AR782" i="17"/>
  <c r="Y782" i="17"/>
  <c r="AO782" i="17"/>
  <c r="V782" i="17"/>
  <c r="AN782" i="17"/>
  <c r="U782" i="17"/>
  <c r="AH782" i="17"/>
  <c r="N785" i="17"/>
  <c r="AP799" i="17"/>
  <c r="AE799" i="17"/>
  <c r="Q799" i="17"/>
  <c r="AN799" i="17"/>
  <c r="Y799" i="17"/>
  <c r="M799" i="17"/>
  <c r="AM799" i="17"/>
  <c r="X799" i="17"/>
  <c r="L799" i="17"/>
  <c r="AJ799" i="17"/>
  <c r="U799" i="17"/>
  <c r="AH799" i="17"/>
  <c r="P799" i="17"/>
  <c r="AG799" i="17"/>
  <c r="O799" i="17"/>
  <c r="AR799" i="17"/>
  <c r="AF810" i="17"/>
  <c r="AJ821" i="17"/>
  <c r="R821" i="17"/>
  <c r="U821" i="17"/>
  <c r="AL821" i="17"/>
  <c r="T821" i="17"/>
  <c r="AD821" i="17"/>
  <c r="Z821" i="17"/>
  <c r="X821" i="17"/>
  <c r="S852" i="17"/>
  <c r="W857" i="17"/>
  <c r="V857" i="17"/>
  <c r="AJ857" i="17"/>
  <c r="AJ863" i="17"/>
  <c r="X863" i="17"/>
  <c r="M863" i="17"/>
  <c r="AO863" i="17"/>
  <c r="Z863" i="17"/>
  <c r="N863" i="17"/>
  <c r="AN863" i="17"/>
  <c r="Y863" i="17"/>
  <c r="L863" i="17"/>
  <c r="AD863" i="17"/>
  <c r="AR863" i="17"/>
  <c r="W863" i="17"/>
  <c r="AP863" i="17"/>
  <c r="V863" i="17"/>
  <c r="AH863" i="17"/>
  <c r="T876" i="17"/>
  <c r="AP876" i="17"/>
  <c r="X898" i="17"/>
  <c r="Q910" i="17"/>
  <c r="AQ910" i="17"/>
  <c r="X927" i="17"/>
  <c r="M929" i="17"/>
  <c r="AB946" i="17"/>
  <c r="AJ946" i="17"/>
  <c r="X946" i="17"/>
  <c r="V946" i="17"/>
  <c r="AQ946" i="17"/>
  <c r="AP946" i="17"/>
  <c r="Y946" i="17"/>
  <c r="AK956" i="17"/>
  <c r="Z956" i="17"/>
  <c r="P956" i="17"/>
  <c r="AN956" i="17"/>
  <c r="AB956" i="17"/>
  <c r="N956" i="17"/>
  <c r="AQ956" i="17"/>
  <c r="AD956" i="17"/>
  <c r="Q956" i="17"/>
  <c r="AP956" i="17"/>
  <c r="AC956" i="17"/>
  <c r="M956" i="17"/>
  <c r="AI956" i="17"/>
  <c r="T956" i="17"/>
  <c r="AH956" i="17"/>
  <c r="S956" i="17"/>
  <c r="AG956" i="17"/>
  <c r="L956" i="17"/>
  <c r="AL956" i="17"/>
  <c r="N977" i="17"/>
  <c r="J1001" i="17"/>
  <c r="AC1019" i="17"/>
  <c r="Z1040" i="17"/>
  <c r="R1040" i="17"/>
  <c r="AG1040" i="17"/>
  <c r="Y1040" i="17"/>
  <c r="AN1040" i="17"/>
  <c r="AH1040" i="17"/>
  <c r="AQ1040" i="17"/>
  <c r="X1040" i="17"/>
  <c r="N1040" i="17"/>
  <c r="AB1080" i="17"/>
  <c r="AA1080" i="17"/>
  <c r="T1092" i="17"/>
  <c r="M1109" i="17"/>
  <c r="AP1130" i="17"/>
  <c r="U1130" i="17"/>
  <c r="AB1130" i="17"/>
  <c r="T1130" i="17"/>
  <c r="AG1130" i="17"/>
  <c r="S1130" i="17"/>
  <c r="AI1130" i="17"/>
  <c r="AH1130" i="17"/>
  <c r="K1130" i="17"/>
  <c r="J1130" i="17"/>
  <c r="AF1145" i="17"/>
  <c r="AP1168" i="17"/>
  <c r="AB1168" i="17"/>
  <c r="U1168" i="17"/>
  <c r="R1168" i="17"/>
  <c r="N1168" i="17"/>
  <c r="K1168" i="17"/>
  <c r="Q1168" i="17"/>
  <c r="J1168" i="17"/>
  <c r="AO1168" i="17"/>
  <c r="AD1181" i="17"/>
  <c r="AC1181" i="17"/>
  <c r="Z1181" i="17"/>
  <c r="R1181" i="17"/>
  <c r="Q1181" i="17"/>
  <c r="AP1181" i="17"/>
  <c r="AO1181" i="17"/>
  <c r="AN1181" i="17"/>
  <c r="W1181" i="17"/>
  <c r="AH1183" i="17"/>
  <c r="AR1228" i="17"/>
  <c r="R1228" i="17"/>
  <c r="J1228" i="17"/>
  <c r="AE1351" i="17"/>
  <c r="P1351" i="17"/>
  <c r="AD1351" i="17"/>
  <c r="J1351" i="17"/>
  <c r="Z1351" i="17"/>
  <c r="AP1351" i="17"/>
  <c r="V1351" i="17"/>
  <c r="AK1351" i="17"/>
  <c r="AF1351" i="17"/>
  <c r="AL1351" i="17"/>
  <c r="AC1351" i="17"/>
  <c r="AN1351" i="17"/>
  <c r="U1351" i="17"/>
  <c r="AP1368" i="17"/>
  <c r="AR1368" i="17"/>
  <c r="AF1368" i="17"/>
  <c r="V1368" i="17"/>
  <c r="M1368" i="17"/>
  <c r="AL1368" i="17"/>
  <c r="AA1368" i="17"/>
  <c r="O1368" i="17"/>
  <c r="AE1368" i="17"/>
  <c r="S1368" i="17"/>
  <c r="AD1368" i="17"/>
  <c r="R1368" i="17"/>
  <c r="AB1368" i="17"/>
  <c r="K1368" i="17"/>
  <c r="AQ1368" i="17"/>
  <c r="X1368" i="17"/>
  <c r="J1368" i="17"/>
  <c r="U1368" i="17"/>
  <c r="AN1368" i="17"/>
  <c r="T1368" i="17"/>
  <c r="AI1368" i="17"/>
  <c r="AC1368" i="17"/>
  <c r="AM1368" i="17"/>
  <c r="AK1368" i="17"/>
  <c r="AJ1368" i="17"/>
  <c r="AA1387" i="17"/>
  <c r="AP1420" i="17"/>
  <c r="AJ1420" i="17"/>
  <c r="X1420" i="17"/>
  <c r="N1420" i="17"/>
  <c r="AI1420" i="17"/>
  <c r="V1420" i="17"/>
  <c r="K1420" i="17"/>
  <c r="AR1420" i="17"/>
  <c r="AD1420" i="17"/>
  <c r="P1420" i="17"/>
  <c r="AQ1420" i="17"/>
  <c r="AC1420" i="17"/>
  <c r="O1420" i="17"/>
  <c r="AE1420" i="17"/>
  <c r="L1420" i="17"/>
  <c r="AB1420" i="17"/>
  <c r="J1420" i="17"/>
  <c r="AN1420" i="17"/>
  <c r="T1420" i="17"/>
  <c r="AM1420" i="17"/>
  <c r="S1420" i="17"/>
  <c r="AL1420" i="17"/>
  <c r="AK1420" i="17"/>
  <c r="AF1420" i="17"/>
  <c r="AP1428" i="17"/>
  <c r="AL1428" i="17"/>
  <c r="AB1428" i="17"/>
  <c r="P1428" i="17"/>
  <c r="AR1428" i="17"/>
  <c r="AE1428" i="17"/>
  <c r="T1428" i="17"/>
  <c r="AI1428" i="17"/>
  <c r="U1428" i="17"/>
  <c r="AF1428" i="17"/>
  <c r="S1428" i="17"/>
  <c r="AM1428" i="17"/>
  <c r="V1428" i="17"/>
  <c r="AK1428" i="17"/>
  <c r="O1428" i="17"/>
  <c r="W1428" i="17"/>
  <c r="AQ1428" i="17"/>
  <c r="N1428" i="17"/>
  <c r="M1428" i="17"/>
  <c r="L1428" i="17"/>
  <c r="AJ1428" i="17"/>
  <c r="AD1428" i="17"/>
  <c r="AC1428" i="17"/>
  <c r="AP1438" i="17"/>
  <c r="AQ1438" i="17"/>
  <c r="AE1438" i="17"/>
  <c r="U1438" i="17"/>
  <c r="K1438" i="17"/>
  <c r="AR1438" i="17"/>
  <c r="AD1438" i="17"/>
  <c r="S1438" i="17"/>
  <c r="AN1438" i="17"/>
  <c r="AB1438" i="17"/>
  <c r="N1438" i="17"/>
  <c r="AM1438" i="17"/>
  <c r="AA1438" i="17"/>
  <c r="M1438" i="17"/>
  <c r="AK1438" i="17"/>
  <c r="T1438" i="17"/>
  <c r="AJ1438" i="17"/>
  <c r="P1438" i="17"/>
  <c r="AC1438" i="17"/>
  <c r="X1438" i="17"/>
  <c r="W1438" i="17"/>
  <c r="V1438" i="17"/>
  <c r="AF1438" i="17"/>
  <c r="O1438" i="17"/>
  <c r="L1438" i="17"/>
  <c r="X1441" i="17"/>
  <c r="Q1441" i="17"/>
  <c r="AR1441" i="17"/>
  <c r="AO1441" i="17"/>
  <c r="AJ1441" i="17"/>
  <c r="Z1441" i="17"/>
  <c r="Y1441" i="17"/>
  <c r="AN1479" i="17"/>
  <c r="AQ1479" i="17"/>
  <c r="AA1479" i="17"/>
  <c r="O1479" i="17"/>
  <c r="AG1479" i="17"/>
  <c r="P1479" i="17"/>
  <c r="AP1479" i="17"/>
  <c r="X1479" i="17"/>
  <c r="AM1479" i="17"/>
  <c r="W1479" i="17"/>
  <c r="AI1479" i="17"/>
  <c r="K1479" i="17"/>
  <c r="AH1479" i="17"/>
  <c r="J1479" i="17"/>
  <c r="Z1479" i="17"/>
  <c r="Y1479" i="17"/>
  <c r="T1479" i="17"/>
  <c r="AF1479" i="17"/>
  <c r="Q1479" i="17"/>
  <c r="AR1479" i="17"/>
  <c r="AJ1479" i="17"/>
  <c r="L1479" i="17"/>
  <c r="P1561" i="17"/>
  <c r="Y1561" i="17"/>
  <c r="X1561" i="17"/>
  <c r="AF1561" i="17"/>
  <c r="S1561" i="17"/>
  <c r="R1598" i="17"/>
  <c r="AN1662" i="17"/>
  <c r="AG1662" i="17"/>
  <c r="Q1662" i="17"/>
  <c r="AP1662" i="17"/>
  <c r="Y1662" i="17"/>
  <c r="J1662" i="17"/>
  <c r="AH1662" i="17"/>
  <c r="O1662" i="17"/>
  <c r="X1662" i="17"/>
  <c r="AQ1662" i="17"/>
  <c r="W1662" i="17"/>
  <c r="V1662" i="17"/>
  <c r="P1662" i="17"/>
  <c r="AI1662" i="17"/>
  <c r="AF1662" i="17"/>
  <c r="AM1662" i="17"/>
  <c r="AL1662" i="17"/>
  <c r="AA1662" i="17"/>
  <c r="Z1662" i="17"/>
  <c r="AC874" i="17"/>
  <c r="M874" i="17"/>
  <c r="AK874" i="17"/>
  <c r="R874" i="17"/>
  <c r="AJ874" i="17"/>
  <c r="N874" i="17"/>
  <c r="AO874" i="17"/>
  <c r="S874" i="17"/>
  <c r="AN874" i="17"/>
  <c r="L874" i="17"/>
  <c r="AL874" i="17"/>
  <c r="K874" i="17"/>
  <c r="AH915" i="17"/>
  <c r="AO915" i="17"/>
  <c r="AJ966" i="17"/>
  <c r="R966" i="17"/>
  <c r="AC966" i="17"/>
  <c r="L966" i="17"/>
  <c r="AK966" i="17"/>
  <c r="P966" i="17"/>
  <c r="AD966" i="17"/>
  <c r="K966" i="17"/>
  <c r="Z966" i="17"/>
  <c r="Y966" i="17"/>
  <c r="AR966" i="17"/>
  <c r="S966" i="17"/>
  <c r="AC1062" i="17"/>
  <c r="M1062" i="17"/>
  <c r="AA1062" i="17"/>
  <c r="AH1062" i="17"/>
  <c r="AB1062" i="17"/>
  <c r="V1062" i="17"/>
  <c r="S1062" i="17"/>
  <c r="AJ1062" i="17"/>
  <c r="AI1062" i="17"/>
  <c r="R1062" i="17"/>
  <c r="AN1129" i="17"/>
  <c r="AC1129" i="17"/>
  <c r="P1129" i="17"/>
  <c r="AM1129" i="17"/>
  <c r="Y1129" i="17"/>
  <c r="M1129" i="17"/>
  <c r="AL1129" i="17"/>
  <c r="X1129" i="17"/>
  <c r="J1129" i="17"/>
  <c r="AH1129" i="17"/>
  <c r="Q1129" i="17"/>
  <c r="AG1129" i="17"/>
  <c r="O1129" i="17"/>
  <c r="AF1129" i="17"/>
  <c r="AD1129" i="17"/>
  <c r="R1129" i="17"/>
  <c r="N1129" i="17"/>
  <c r="AK1129" i="17"/>
  <c r="Z1129" i="17"/>
  <c r="W1129" i="17"/>
  <c r="K4" i="17"/>
  <c r="K23" i="17"/>
  <c r="Z124" i="17"/>
  <c r="Y124" i="17"/>
  <c r="AB124" i="17"/>
  <c r="AA124" i="17"/>
  <c r="AB264" i="17"/>
  <c r="O264" i="17"/>
  <c r="AA264" i="17"/>
  <c r="L264" i="17"/>
  <c r="Y264" i="17"/>
  <c r="AR264" i="17"/>
  <c r="X264" i="17"/>
  <c r="X283" i="17"/>
  <c r="AP286" i="17"/>
  <c r="AF286" i="17"/>
  <c r="AE286" i="17"/>
  <c r="AR354" i="17"/>
  <c r="S362" i="17"/>
  <c r="AO362" i="17"/>
  <c r="O362" i="17"/>
  <c r="W362" i="17"/>
  <c r="T362" i="17"/>
  <c r="AA369" i="17"/>
  <c r="X375" i="17"/>
  <c r="AL375" i="17"/>
  <c r="AO385" i="17"/>
  <c r="AR385" i="17"/>
  <c r="AI385" i="17"/>
  <c r="Z385" i="17"/>
  <c r="P385" i="17"/>
  <c r="AQ385" i="17"/>
  <c r="AH385" i="17"/>
  <c r="X385" i="17"/>
  <c r="O385" i="17"/>
  <c r="AJ385" i="17"/>
  <c r="V385" i="17"/>
  <c r="K385" i="17"/>
  <c r="AF385" i="17"/>
  <c r="U385" i="17"/>
  <c r="J385" i="17"/>
  <c r="AN385" i="17"/>
  <c r="AP395" i="17"/>
  <c r="AN395" i="17"/>
  <c r="AD395" i="17"/>
  <c r="T395" i="17"/>
  <c r="K395" i="17"/>
  <c r="AM395" i="17"/>
  <c r="AC395" i="17"/>
  <c r="S395" i="17"/>
  <c r="J395" i="17"/>
  <c r="AL395" i="17"/>
  <c r="X395" i="17"/>
  <c r="M395" i="17"/>
  <c r="AK395" i="17"/>
  <c r="W395" i="17"/>
  <c r="L395" i="17"/>
  <c r="AB395" i="17"/>
  <c r="X417" i="17"/>
  <c r="AR417" i="17"/>
  <c r="Z432" i="17"/>
  <c r="AO460" i="17"/>
  <c r="R460" i="17"/>
  <c r="AN460" i="17"/>
  <c r="L460" i="17"/>
  <c r="T460" i="17"/>
  <c r="S460" i="17"/>
  <c r="AP523" i="17"/>
  <c r="AJ523" i="17"/>
  <c r="X523" i="17"/>
  <c r="N523" i="17"/>
  <c r="AI523" i="17"/>
  <c r="W523" i="17"/>
  <c r="M523" i="17"/>
  <c r="AE523" i="17"/>
  <c r="S523" i="17"/>
  <c r="AR523" i="17"/>
  <c r="AD523" i="17"/>
  <c r="P523" i="17"/>
  <c r="AP531" i="17"/>
  <c r="AL531" i="17"/>
  <c r="AB531" i="17"/>
  <c r="P531" i="17"/>
  <c r="AK531" i="17"/>
  <c r="AA531" i="17"/>
  <c r="O531" i="17"/>
  <c r="AN531" i="17"/>
  <c r="X531" i="17"/>
  <c r="L531" i="17"/>
  <c r="AM531" i="17"/>
  <c r="W531" i="17"/>
  <c r="K531" i="17"/>
  <c r="AD531" i="17"/>
  <c r="AE534" i="17"/>
  <c r="AO534" i="17"/>
  <c r="AB534" i="17"/>
  <c r="AA534" i="17"/>
  <c r="Z534" i="17"/>
  <c r="AP565" i="17"/>
  <c r="AJ565" i="17"/>
  <c r="X565" i="17"/>
  <c r="N565" i="17"/>
  <c r="AI565" i="17"/>
  <c r="W565" i="17"/>
  <c r="M565" i="17"/>
  <c r="AF565" i="17"/>
  <c r="T565" i="17"/>
  <c r="AE565" i="17"/>
  <c r="S565" i="17"/>
  <c r="AB565" i="17"/>
  <c r="AR565" i="17"/>
  <c r="AP587" i="17"/>
  <c r="AI587" i="17"/>
  <c r="W587" i="17"/>
  <c r="M587" i="17"/>
  <c r="AR587" i="17"/>
  <c r="AF587" i="17"/>
  <c r="V587" i="17"/>
  <c r="L587" i="17"/>
  <c r="AJ587" i="17"/>
  <c r="T587" i="17"/>
  <c r="AE587" i="17"/>
  <c r="S587" i="17"/>
  <c r="AB587" i="17"/>
  <c r="AI703" i="17"/>
  <c r="AH778" i="17"/>
  <c r="W778" i="17"/>
  <c r="J778" i="17"/>
  <c r="AI778" i="17"/>
  <c r="V778" i="17"/>
  <c r="AG778" i="17"/>
  <c r="R778" i="17"/>
  <c r="AN778" i="17"/>
  <c r="X778" i="17"/>
  <c r="AM778" i="17"/>
  <c r="Q778" i="17"/>
  <c r="AL778" i="17"/>
  <c r="P778" i="17"/>
  <c r="AF778" i="17"/>
  <c r="AP804" i="17"/>
  <c r="T804" i="17"/>
  <c r="S804" i="17"/>
  <c r="AR804" i="17"/>
  <c r="R804" i="17"/>
  <c r="AC804" i="17"/>
  <c r="AB804" i="17"/>
  <c r="Q804" i="17"/>
  <c r="AN876" i="17"/>
  <c r="W915" i="17"/>
  <c r="AN928" i="17"/>
  <c r="Y928" i="17"/>
  <c r="L928" i="17"/>
  <c r="AO928" i="17"/>
  <c r="X928" i="17"/>
  <c r="AJ928" i="17"/>
  <c r="U928" i="17"/>
  <c r="AR928" i="17"/>
  <c r="Z928" i="17"/>
  <c r="AQ928" i="17"/>
  <c r="R928" i="17"/>
  <c r="AP928" i="17"/>
  <c r="Q928" i="17"/>
  <c r="AI928" i="17"/>
  <c r="AB1014" i="17"/>
  <c r="AC1014" i="17"/>
  <c r="AR1014" i="17"/>
  <c r="AQ1014" i="17"/>
  <c r="AA1014" i="17"/>
  <c r="S1014" i="17"/>
  <c r="Y1058" i="17"/>
  <c r="R1058" i="17"/>
  <c r="AR1058" i="17"/>
  <c r="AQ1058" i="17"/>
  <c r="AB1058" i="17"/>
  <c r="M1058" i="17"/>
  <c r="AL1058" i="17"/>
  <c r="L1058" i="17"/>
  <c r="N1062" i="17"/>
  <c r="T1088" i="17"/>
  <c r="AQ1088" i="17"/>
  <c r="S1088" i="17"/>
  <c r="AK1088" i="17"/>
  <c r="AJ1088" i="17"/>
  <c r="Z1088" i="17"/>
  <c r="U1088" i="17"/>
  <c r="V1129" i="17"/>
  <c r="L1142" i="17"/>
  <c r="X1145" i="17"/>
  <c r="N1297" i="17"/>
  <c r="J1297" i="17"/>
  <c r="AP1297" i="17"/>
  <c r="AD1297" i="17"/>
  <c r="Y1334" i="17"/>
  <c r="AO1334" i="17"/>
  <c r="AC1334" i="17"/>
  <c r="Z1334" i="17"/>
  <c r="AH1334" i="17"/>
  <c r="AK1349" i="17"/>
  <c r="X1349" i="17"/>
  <c r="M1349" i="17"/>
  <c r="AD1349" i="17"/>
  <c r="P1349" i="17"/>
  <c r="AM1349" i="17"/>
  <c r="W1349" i="17"/>
  <c r="AL1349" i="17"/>
  <c r="V1349" i="17"/>
  <c r="AN1349" i="17"/>
  <c r="Q1349" i="17"/>
  <c r="AH1349" i="17"/>
  <c r="O1349" i="17"/>
  <c r="AF1349" i="17"/>
  <c r="AC1349" i="17"/>
  <c r="Y1349" i="17"/>
  <c r="R1349" i="17"/>
  <c r="AG1349" i="17"/>
  <c r="Z1349" i="17"/>
  <c r="N1349" i="17"/>
  <c r="T1405" i="17"/>
  <c r="K1405" i="17"/>
  <c r="AN1405" i="17"/>
  <c r="AG1405" i="17"/>
  <c r="AB1405" i="17"/>
  <c r="W1405" i="17"/>
  <c r="AA1590" i="17"/>
  <c r="AO1645" i="17"/>
  <c r="AR1645" i="17"/>
  <c r="AH1645" i="17"/>
  <c r="V1645" i="17"/>
  <c r="L1645" i="17"/>
  <c r="AP1645" i="17"/>
  <c r="AC1645" i="17"/>
  <c r="R1645" i="17"/>
  <c r="AL1645" i="17"/>
  <c r="Z1645" i="17"/>
  <c r="K1645" i="17"/>
  <c r="AB1645" i="17"/>
  <c r="M1645" i="17"/>
  <c r="AQ1645" i="17"/>
  <c r="AA1645" i="17"/>
  <c r="J1645" i="17"/>
  <c r="U1645" i="17"/>
  <c r="AM1645" i="17"/>
  <c r="T1645" i="17"/>
  <c r="AD1645" i="17"/>
  <c r="W1645" i="17"/>
  <c r="S1645" i="17"/>
  <c r="O1645" i="17"/>
  <c r="N1645" i="17"/>
  <c r="AK1645" i="17"/>
  <c r="AJ1645" i="17"/>
  <c r="AI1645" i="17"/>
  <c r="AE1645" i="17"/>
  <c r="K10" i="17"/>
  <c r="J36" i="17"/>
  <c r="U67" i="17"/>
  <c r="AQ67" i="17" s="1"/>
  <c r="L74" i="17"/>
  <c r="K79" i="17"/>
  <c r="S84" i="17"/>
  <c r="R84" i="17"/>
  <c r="AG84" i="17" s="1"/>
  <c r="AO84" i="17"/>
  <c r="K123" i="17"/>
  <c r="L124" i="17"/>
  <c r="L157" i="17"/>
  <c r="AI187" i="17"/>
  <c r="AE189" i="17"/>
  <c r="AP201" i="17"/>
  <c r="AJ201" i="17"/>
  <c r="X201" i="17"/>
  <c r="N201" i="17"/>
  <c r="AI201" i="17"/>
  <c r="W201" i="17"/>
  <c r="M201" i="17"/>
  <c r="AF201" i="17"/>
  <c r="T201" i="17"/>
  <c r="AE201" i="17"/>
  <c r="S201" i="17"/>
  <c r="AB201" i="17"/>
  <c r="AR201" i="17"/>
  <c r="O222" i="17"/>
  <c r="AP241" i="17"/>
  <c r="AJ241" i="17"/>
  <c r="X241" i="17"/>
  <c r="N241" i="17"/>
  <c r="AI241" i="17"/>
  <c r="W241" i="17"/>
  <c r="M241" i="17"/>
  <c r="AE241" i="17"/>
  <c r="S241" i="17"/>
  <c r="AR241" i="17"/>
  <c r="AD241" i="17"/>
  <c r="P241" i="17"/>
  <c r="AB241" i="17"/>
  <c r="AP263" i="17"/>
  <c r="AK263" i="17"/>
  <c r="AA263" i="17"/>
  <c r="O263" i="17"/>
  <c r="AJ263" i="17"/>
  <c r="X263" i="17"/>
  <c r="N263" i="17"/>
  <c r="AN263" i="17"/>
  <c r="AB263" i="17"/>
  <c r="L263" i="17"/>
  <c r="AM263" i="17"/>
  <c r="W263" i="17"/>
  <c r="K263" i="17"/>
  <c r="P264" i="17"/>
  <c r="AH274" i="17"/>
  <c r="S274" i="17"/>
  <c r="J274" i="17"/>
  <c r="AQ274" i="17"/>
  <c r="AP274" i="17"/>
  <c r="AN278" i="17"/>
  <c r="Z278" i="17"/>
  <c r="L278" i="17"/>
  <c r="AM278" i="17"/>
  <c r="Y278" i="17"/>
  <c r="K278" i="17"/>
  <c r="AH278" i="17"/>
  <c r="P278" i="17"/>
  <c r="AG278" i="17"/>
  <c r="O278" i="17"/>
  <c r="AB285" i="17"/>
  <c r="X297" i="17"/>
  <c r="AP311" i="17"/>
  <c r="AR311" i="17"/>
  <c r="AF311" i="17"/>
  <c r="V311" i="17"/>
  <c r="L311" i="17"/>
  <c r="AQ311" i="17"/>
  <c r="AE311" i="17"/>
  <c r="U311" i="17"/>
  <c r="K311" i="17"/>
  <c r="AI311" i="17"/>
  <c r="S311" i="17"/>
  <c r="AD311" i="17"/>
  <c r="P311" i="17"/>
  <c r="AP313" i="17"/>
  <c r="AL313" i="17"/>
  <c r="AB313" i="17"/>
  <c r="P313" i="17"/>
  <c r="AK313" i="17"/>
  <c r="AA313" i="17"/>
  <c r="O313" i="17"/>
  <c r="AE313" i="17"/>
  <c r="S313" i="17"/>
  <c r="AR313" i="17"/>
  <c r="AD313" i="17"/>
  <c r="N313" i="17"/>
  <c r="J354" i="17"/>
  <c r="AL355" i="17"/>
  <c r="Z357" i="17"/>
  <c r="AR369" i="17"/>
  <c r="Z375" i="17"/>
  <c r="AB385" i="17"/>
  <c r="N395" i="17"/>
  <c r="AA432" i="17"/>
  <c r="L500" i="17"/>
  <c r="AB501" i="17"/>
  <c r="K523" i="17"/>
  <c r="AH526" i="17"/>
  <c r="T526" i="17"/>
  <c r="S526" i="17"/>
  <c r="X526" i="17"/>
  <c r="W526" i="17"/>
  <c r="AE531" i="17"/>
  <c r="O534" i="17"/>
  <c r="M551" i="17"/>
  <c r="AI551" i="17"/>
  <c r="K587" i="17"/>
  <c r="AH596" i="17"/>
  <c r="AG596" i="17"/>
  <c r="O596" i="17"/>
  <c r="L596" i="17"/>
  <c r="AO606" i="17"/>
  <c r="AD606" i="17"/>
  <c r="AA606" i="17"/>
  <c r="Z606" i="17"/>
  <c r="AI647" i="17"/>
  <c r="AQ668" i="17"/>
  <c r="AM668" i="17"/>
  <c r="AP668" i="17"/>
  <c r="AN668" i="17"/>
  <c r="V668" i="17"/>
  <c r="AN694" i="17"/>
  <c r="AI694" i="17"/>
  <c r="N694" i="17"/>
  <c r="O694" i="17"/>
  <c r="AQ694" i="17"/>
  <c r="K694" i="17"/>
  <c r="AH694" i="17"/>
  <c r="AG694" i="17"/>
  <c r="AE694" i="17"/>
  <c r="AE719" i="17"/>
  <c r="K757" i="17"/>
  <c r="AO767" i="17"/>
  <c r="AP767" i="17"/>
  <c r="AF767" i="17"/>
  <c r="W767" i="17"/>
  <c r="N767" i="17"/>
  <c r="AI767" i="17"/>
  <c r="X767" i="17"/>
  <c r="M767" i="17"/>
  <c r="AR767" i="17"/>
  <c r="AH767" i="17"/>
  <c r="V767" i="17"/>
  <c r="L767" i="17"/>
  <c r="AE767" i="17"/>
  <c r="S767" i="17"/>
  <c r="AD767" i="17"/>
  <c r="R767" i="17"/>
  <c r="AQ767" i="17"/>
  <c r="AC767" i="17"/>
  <c r="P767" i="17"/>
  <c r="AB767" i="17"/>
  <c r="K778" i="17"/>
  <c r="AP910" i="17"/>
  <c r="AP929" i="17"/>
  <c r="AB929" i="17"/>
  <c r="O929" i="17"/>
  <c r="AG929" i="17"/>
  <c r="Q929" i="17"/>
  <c r="AF929" i="17"/>
  <c r="P929" i="17"/>
  <c r="Z929" i="17"/>
  <c r="Y929" i="17"/>
  <c r="AR929" i="17"/>
  <c r="X929" i="17"/>
  <c r="AD954" i="17"/>
  <c r="R954" i="17"/>
  <c r="AO954" i="17"/>
  <c r="AA954" i="17"/>
  <c r="K954" i="17"/>
  <c r="AN954" i="17"/>
  <c r="X954" i="17"/>
  <c r="J954" i="17"/>
  <c r="AL954" i="17"/>
  <c r="S954" i="17"/>
  <c r="AK954" i="17"/>
  <c r="N954" i="17"/>
  <c r="AJ954" i="17"/>
  <c r="M954" i="17"/>
  <c r="AM969" i="17"/>
  <c r="T969" i="17"/>
  <c r="AC969" i="17"/>
  <c r="AN969" i="17"/>
  <c r="Q969" i="17"/>
  <c r="AL969" i="17"/>
  <c r="N969" i="17"/>
  <c r="AD969" i="17"/>
  <c r="Z969" i="17"/>
  <c r="U969" i="17"/>
  <c r="P998" i="17"/>
  <c r="AL998" i="17"/>
  <c r="R1014" i="17"/>
  <c r="AG1077" i="17"/>
  <c r="Q1077" i="17"/>
  <c r="AO1077" i="17"/>
  <c r="R1077" i="17"/>
  <c r="AL1077" i="17"/>
  <c r="P1077" i="17"/>
  <c r="AF1077" i="17"/>
  <c r="AE1077" i="17"/>
  <c r="AD1077" i="17"/>
  <c r="AC1077" i="17"/>
  <c r="V1077" i="17"/>
  <c r="U1077" i="17"/>
  <c r="M1077" i="17"/>
  <c r="Q1088" i="17"/>
  <c r="AQ1122" i="17"/>
  <c r="K1122" i="17"/>
  <c r="R1122" i="17"/>
  <c r="M1122" i="17"/>
  <c r="Y1122" i="17"/>
  <c r="L1122" i="17"/>
  <c r="AR1122" i="17"/>
  <c r="AL1122" i="17"/>
  <c r="AP1129" i="17"/>
  <c r="Y1145" i="17"/>
  <c r="AH1188" i="17"/>
  <c r="AR1188" i="17"/>
  <c r="R1188" i="17"/>
  <c r="AL1188" i="17"/>
  <c r="AC1188" i="17"/>
  <c r="T1188" i="17"/>
  <c r="S1188" i="17"/>
  <c r="V1188" i="17"/>
  <c r="U1188" i="17"/>
  <c r="M1297" i="17"/>
  <c r="AB1338" i="17"/>
  <c r="Y1338" i="17"/>
  <c r="R1338" i="17"/>
  <c r="AA1338" i="17"/>
  <c r="Z1338" i="17"/>
  <c r="AP1338" i="17"/>
  <c r="AO1528" i="17"/>
  <c r="AQ1528" i="17"/>
  <c r="AH1528" i="17"/>
  <c r="X1528" i="17"/>
  <c r="O1528" i="17"/>
  <c r="AP1528" i="17"/>
  <c r="AE1528" i="17"/>
  <c r="U1528" i="17"/>
  <c r="K1528" i="17"/>
  <c r="AJ1528" i="17"/>
  <c r="W1528" i="17"/>
  <c r="L1528" i="17"/>
  <c r="AI1528" i="17"/>
  <c r="V1528" i="17"/>
  <c r="J1528" i="17"/>
  <c r="AF1528" i="17"/>
  <c r="R1528" i="17"/>
  <c r="AD1528" i="17"/>
  <c r="P1528" i="17"/>
  <c r="AB1528" i="17"/>
  <c r="AA1528" i="17"/>
  <c r="AR1528" i="17"/>
  <c r="Z1528" i="17"/>
  <c r="AC1528" i="17"/>
  <c r="T1528" i="17"/>
  <c r="S1528" i="17"/>
  <c r="N1528" i="17"/>
  <c r="M1528" i="17"/>
  <c r="AO1554" i="17"/>
  <c r="AM1554" i="17"/>
  <c r="AD1554" i="17"/>
  <c r="U1554" i="17"/>
  <c r="L1554" i="17"/>
  <c r="AJ1554" i="17"/>
  <c r="Z1554" i="17"/>
  <c r="O1554" i="17"/>
  <c r="AL1554" i="17"/>
  <c r="AA1554" i="17"/>
  <c r="N1554" i="17"/>
  <c r="AK1554" i="17"/>
  <c r="X1554" i="17"/>
  <c r="M1554" i="17"/>
  <c r="AF1554" i="17"/>
  <c r="R1554" i="17"/>
  <c r="AE1554" i="17"/>
  <c r="P1554" i="17"/>
  <c r="AN1554" i="17"/>
  <c r="S1554" i="17"/>
  <c r="AI1554" i="17"/>
  <c r="K1554" i="17"/>
  <c r="AH1554" i="17"/>
  <c r="J1554" i="17"/>
  <c r="W1554" i="17"/>
  <c r="V1554" i="17"/>
  <c r="AQ1554" i="17"/>
  <c r="AP1554" i="17"/>
  <c r="AC1554" i="17"/>
  <c r="AL1590" i="17"/>
  <c r="AO1705" i="17"/>
  <c r="AN1705" i="17"/>
  <c r="AE1705" i="17"/>
  <c r="V1705" i="17"/>
  <c r="M1705" i="17"/>
  <c r="AP1705" i="17"/>
  <c r="AD1705" i="17"/>
  <c r="T1705" i="17"/>
  <c r="J1705" i="17"/>
  <c r="AJ1705" i="17"/>
  <c r="X1705" i="17"/>
  <c r="L1705" i="17"/>
  <c r="AH1705" i="17"/>
  <c r="S1705" i="17"/>
  <c r="AF1705" i="17"/>
  <c r="R1705" i="17"/>
  <c r="AK1705" i="17"/>
  <c r="P1705" i="17"/>
  <c r="AI1705" i="17"/>
  <c r="O1705" i="17"/>
  <c r="Z1705" i="17"/>
  <c r="AR1705" i="17"/>
  <c r="W1705" i="17"/>
  <c r="AL1705" i="17"/>
  <c r="AC1705" i="17"/>
  <c r="AB1705" i="17"/>
  <c r="AA1705" i="17"/>
  <c r="AQ1705" i="17"/>
  <c r="AM1705" i="17"/>
  <c r="L3" i="17"/>
  <c r="X8" i="17"/>
  <c r="K13" i="17"/>
  <c r="K15" i="17"/>
  <c r="J18" i="17"/>
  <c r="N19" i="17"/>
  <c r="AB19" i="17"/>
  <c r="M19" i="17"/>
  <c r="AD19" i="17" s="1"/>
  <c r="X19" i="17"/>
  <c r="W19" i="17"/>
  <c r="L20" i="17"/>
  <c r="S23" i="17"/>
  <c r="U31" i="17"/>
  <c r="AH31" i="17" s="1"/>
  <c r="T31" i="17"/>
  <c r="L31" i="17"/>
  <c r="AB31" i="17"/>
  <c r="K31" i="17"/>
  <c r="AB35" i="17"/>
  <c r="M35" i="17"/>
  <c r="AE35" i="17" s="1"/>
  <c r="AA35" i="17"/>
  <c r="L35" i="17"/>
  <c r="W35" i="17"/>
  <c r="V35" i="17"/>
  <c r="S37" i="17"/>
  <c r="AB37" i="17"/>
  <c r="N37" i="17"/>
  <c r="T37" i="17"/>
  <c r="M37" i="17"/>
  <c r="T39" i="17"/>
  <c r="S39" i="17"/>
  <c r="X39" i="17"/>
  <c r="W39" i="17"/>
  <c r="S41" i="17"/>
  <c r="S45" i="17"/>
  <c r="L47" i="17"/>
  <c r="Q48" i="17"/>
  <c r="S51" i="17"/>
  <c r="M51" i="17"/>
  <c r="AD51" i="17" s="1"/>
  <c r="Z60" i="17"/>
  <c r="W67" i="17"/>
  <c r="S71" i="17"/>
  <c r="AB71" i="17"/>
  <c r="N71" i="17"/>
  <c r="M71" i="17"/>
  <c r="L71" i="17"/>
  <c r="Y74" i="17"/>
  <c r="L83" i="17"/>
  <c r="AA90" i="17"/>
  <c r="Z90" i="17"/>
  <c r="W90" i="17"/>
  <c r="L90" i="17"/>
  <c r="L101" i="17"/>
  <c r="V103" i="17"/>
  <c r="U103" i="17"/>
  <c r="AH103" i="17" s="1"/>
  <c r="S103" i="17"/>
  <c r="N103" i="17"/>
  <c r="W104" i="17"/>
  <c r="T104" i="17"/>
  <c r="X104" i="17"/>
  <c r="L104" i="17"/>
  <c r="T107" i="17"/>
  <c r="N107" i="17"/>
  <c r="U107" i="17"/>
  <c r="AQ107" i="17" s="1"/>
  <c r="M107" i="17"/>
  <c r="AE107" i="17" s="1"/>
  <c r="L113" i="17"/>
  <c r="K118" i="17"/>
  <c r="N123" i="17"/>
  <c r="R124" i="17"/>
  <c r="AF124" i="17" s="1"/>
  <c r="L129" i="17"/>
  <c r="N131" i="17"/>
  <c r="V133" i="17"/>
  <c r="U133" i="17"/>
  <c r="AH133" i="17" s="1"/>
  <c r="W133" i="17"/>
  <c r="T133" i="17"/>
  <c r="AO134" i="17"/>
  <c r="S134" i="17"/>
  <c r="L134" i="17"/>
  <c r="L147" i="17"/>
  <c r="T152" i="17"/>
  <c r="K152" i="17"/>
  <c r="Z154" i="17"/>
  <c r="Y154" i="17"/>
  <c r="AA154" i="17"/>
  <c r="X154" i="17"/>
  <c r="M155" i="17"/>
  <c r="AD155" i="17" s="1"/>
  <c r="T159" i="17"/>
  <c r="AA161" i="17"/>
  <c r="L161" i="17"/>
  <c r="X161" i="17"/>
  <c r="K161" i="17"/>
  <c r="V161" i="17"/>
  <c r="U161" i="17"/>
  <c r="S162" i="17"/>
  <c r="N173" i="17"/>
  <c r="AI186" i="17"/>
  <c r="W186" i="17"/>
  <c r="AH186" i="17"/>
  <c r="R186" i="17"/>
  <c r="AG186" i="17"/>
  <c r="O186" i="17"/>
  <c r="AB186" i="17"/>
  <c r="L186" i="17"/>
  <c r="AJ186" i="17"/>
  <c r="S187" i="17"/>
  <c r="AK187" i="17"/>
  <c r="S189" i="17"/>
  <c r="AI189" i="17"/>
  <c r="L201" i="17"/>
  <c r="AD201" i="17"/>
  <c r="K213" i="17"/>
  <c r="AA213" i="17"/>
  <c r="AO214" i="17"/>
  <c r="AR214" i="17"/>
  <c r="O214" i="17"/>
  <c r="AQ214" i="17"/>
  <c r="L214" i="17"/>
  <c r="K214" i="17"/>
  <c r="J214" i="17"/>
  <c r="J216" i="17"/>
  <c r="AH216" i="17"/>
  <c r="AP219" i="17"/>
  <c r="AI219" i="17"/>
  <c r="W219" i="17"/>
  <c r="M219" i="17"/>
  <c r="AR219" i="17"/>
  <c r="AF219" i="17"/>
  <c r="V219" i="17"/>
  <c r="L219" i="17"/>
  <c r="AN219" i="17"/>
  <c r="AB219" i="17"/>
  <c r="N219" i="17"/>
  <c r="AM219" i="17"/>
  <c r="AA219" i="17"/>
  <c r="K219" i="17"/>
  <c r="AD219" i="17"/>
  <c r="Z222" i="17"/>
  <c r="AB224" i="17"/>
  <c r="AG226" i="17"/>
  <c r="AA226" i="17"/>
  <c r="K233" i="17"/>
  <c r="AC233" i="17"/>
  <c r="L241" i="17"/>
  <c r="AF241" i="17"/>
  <c r="P250" i="17"/>
  <c r="AP253" i="17"/>
  <c r="AR253" i="17"/>
  <c r="AF253" i="17"/>
  <c r="V253" i="17"/>
  <c r="L253" i="17"/>
  <c r="AQ253" i="17"/>
  <c r="AE253" i="17"/>
  <c r="U253" i="17"/>
  <c r="K253" i="17"/>
  <c r="AJ253" i="17"/>
  <c r="T253" i="17"/>
  <c r="AI253" i="17"/>
  <c r="S253" i="17"/>
  <c r="AB253" i="17"/>
  <c r="J254" i="17"/>
  <c r="P263" i="17"/>
  <c r="AF263" i="17"/>
  <c r="R264" i="17"/>
  <c r="L267" i="17"/>
  <c r="K273" i="17"/>
  <c r="AE273" i="17"/>
  <c r="W274" i="17"/>
  <c r="AP276" i="17"/>
  <c r="AB276" i="17"/>
  <c r="Q276" i="17"/>
  <c r="AN276" i="17"/>
  <c r="AA276" i="17"/>
  <c r="P276" i="17"/>
  <c r="AR276" i="17"/>
  <c r="Z276" i="17"/>
  <c r="K276" i="17"/>
  <c r="AQ276" i="17"/>
  <c r="Y276" i="17"/>
  <c r="J276" i="17"/>
  <c r="AG276" i="17"/>
  <c r="M277" i="17"/>
  <c r="AE277" i="17"/>
  <c r="R278" i="17"/>
  <c r="AR278" i="17"/>
  <c r="AB280" i="17"/>
  <c r="O280" i="17"/>
  <c r="AA280" i="17"/>
  <c r="L280" i="17"/>
  <c r="Z280" i="17"/>
  <c r="Y280" i="17"/>
  <c r="AM280" i="17"/>
  <c r="M283" i="17"/>
  <c r="N285" i="17"/>
  <c r="AD285" i="17"/>
  <c r="AG286" i="17"/>
  <c r="AP289" i="17"/>
  <c r="AR289" i="17"/>
  <c r="AF289" i="17"/>
  <c r="V289" i="17"/>
  <c r="L289" i="17"/>
  <c r="AQ289" i="17"/>
  <c r="AE289" i="17"/>
  <c r="U289" i="17"/>
  <c r="K289" i="17"/>
  <c r="AI289" i="17"/>
  <c r="S289" i="17"/>
  <c r="AD289" i="17"/>
  <c r="P289" i="17"/>
  <c r="AB289" i="17"/>
  <c r="W290" i="17"/>
  <c r="L297" i="17"/>
  <c r="T306" i="17"/>
  <c r="N311" i="17"/>
  <c r="AJ311" i="17"/>
  <c r="R312" i="17"/>
  <c r="L313" i="17"/>
  <c r="AF313" i="17"/>
  <c r="AP315" i="17"/>
  <c r="AM315" i="17"/>
  <c r="AC315" i="17"/>
  <c r="S315" i="17"/>
  <c r="AL315" i="17"/>
  <c r="AB315" i="17"/>
  <c r="P315" i="17"/>
  <c r="AF315" i="17"/>
  <c r="T315" i="17"/>
  <c r="AE315" i="17"/>
  <c r="O315" i="17"/>
  <c r="X315" i="17"/>
  <c r="AR315" i="17"/>
  <c r="S317" i="17"/>
  <c r="AI317" i="17"/>
  <c r="AG320" i="17"/>
  <c r="AP325" i="17"/>
  <c r="AL325" i="17"/>
  <c r="AB325" i="17"/>
  <c r="P325" i="17"/>
  <c r="AK325" i="17"/>
  <c r="AA325" i="17"/>
  <c r="O325" i="17"/>
  <c r="AR325" i="17"/>
  <c r="AD325" i="17"/>
  <c r="N325" i="17"/>
  <c r="AQ325" i="17"/>
  <c r="AC325" i="17"/>
  <c r="M325" i="17"/>
  <c r="X325" i="17"/>
  <c r="K326" i="17"/>
  <c r="AI326" i="17"/>
  <c r="M329" i="17"/>
  <c r="AC329" i="17"/>
  <c r="AP333" i="17"/>
  <c r="AI333" i="17"/>
  <c r="W333" i="17"/>
  <c r="M333" i="17"/>
  <c r="AR333" i="17"/>
  <c r="AF333" i="17"/>
  <c r="V333" i="17"/>
  <c r="L333" i="17"/>
  <c r="AJ333" i="17"/>
  <c r="T333" i="17"/>
  <c r="AE333" i="17"/>
  <c r="S333" i="17"/>
  <c r="AB333" i="17"/>
  <c r="W336" i="17"/>
  <c r="T336" i="17"/>
  <c r="R336" i="17"/>
  <c r="L336" i="17"/>
  <c r="J339" i="17"/>
  <c r="AB339" i="17"/>
  <c r="AR339" i="17"/>
  <c r="AO351" i="17"/>
  <c r="AN351" i="17"/>
  <c r="AE351" i="17"/>
  <c r="V351" i="17"/>
  <c r="M351" i="17"/>
  <c r="AM351" i="17"/>
  <c r="AD351" i="17"/>
  <c r="U351" i="17"/>
  <c r="L351" i="17"/>
  <c r="AQ351" i="17"/>
  <c r="AC351" i="17"/>
  <c r="R351" i="17"/>
  <c r="AP351" i="17"/>
  <c r="AB351" i="17"/>
  <c r="P351" i="17"/>
  <c r="X351" i="17"/>
  <c r="AL351" i="17"/>
  <c r="K355" i="17"/>
  <c r="AA355" i="17"/>
  <c r="Z356" i="17"/>
  <c r="Y356" i="17"/>
  <c r="AO356" i="17"/>
  <c r="AE356" i="17"/>
  <c r="N357" i="17"/>
  <c r="AO358" i="17"/>
  <c r="AG362" i="17"/>
  <c r="J367" i="17"/>
  <c r="W367" i="17"/>
  <c r="AM367" i="17"/>
  <c r="P369" i="17"/>
  <c r="W370" i="17"/>
  <c r="L375" i="17"/>
  <c r="J381" i="17"/>
  <c r="W381" i="17"/>
  <c r="AP381" i="17"/>
  <c r="N385" i="17"/>
  <c r="AD385" i="17"/>
  <c r="L386" i="17"/>
  <c r="AO387" i="17"/>
  <c r="AQ387" i="17"/>
  <c r="AH387" i="17"/>
  <c r="X387" i="17"/>
  <c r="O387" i="17"/>
  <c r="AP387" i="17"/>
  <c r="AF387" i="17"/>
  <c r="W387" i="17"/>
  <c r="N387" i="17"/>
  <c r="AM387" i="17"/>
  <c r="AB387" i="17"/>
  <c r="P387" i="17"/>
  <c r="AL387" i="17"/>
  <c r="AA387" i="17"/>
  <c r="M387" i="17"/>
  <c r="V387" i="17"/>
  <c r="AN387" i="17"/>
  <c r="K389" i="17"/>
  <c r="P395" i="17"/>
  <c r="AI395" i="17"/>
  <c r="AP399" i="17"/>
  <c r="AL399" i="17"/>
  <c r="AB399" i="17"/>
  <c r="P399" i="17"/>
  <c r="AK399" i="17"/>
  <c r="AA399" i="17"/>
  <c r="O399" i="17"/>
  <c r="AN399" i="17"/>
  <c r="X399" i="17"/>
  <c r="L399" i="17"/>
  <c r="AM399" i="17"/>
  <c r="W399" i="17"/>
  <c r="K399" i="17"/>
  <c r="AD399" i="17"/>
  <c r="J400" i="17"/>
  <c r="AF400" i="17"/>
  <c r="P401" i="17"/>
  <c r="AP403" i="17"/>
  <c r="AR403" i="17"/>
  <c r="AF403" i="17"/>
  <c r="V403" i="17"/>
  <c r="L403" i="17"/>
  <c r="AQ403" i="17"/>
  <c r="AE403" i="17"/>
  <c r="U403" i="17"/>
  <c r="K403" i="17"/>
  <c r="AJ403" i="17"/>
  <c r="T403" i="17"/>
  <c r="AI403" i="17"/>
  <c r="S403" i="17"/>
  <c r="AB403" i="17"/>
  <c r="L404" i="17"/>
  <c r="AP405" i="17"/>
  <c r="AL405" i="17"/>
  <c r="AB405" i="17"/>
  <c r="P405" i="17"/>
  <c r="AK405" i="17"/>
  <c r="AA405" i="17"/>
  <c r="O405" i="17"/>
  <c r="AF405" i="17"/>
  <c r="T405" i="17"/>
  <c r="AE405" i="17"/>
  <c r="S405" i="17"/>
  <c r="X405" i="17"/>
  <c r="AR405" i="17"/>
  <c r="M417" i="17"/>
  <c r="AE417" i="17"/>
  <c r="R418" i="17"/>
  <c r="AI420" i="17"/>
  <c r="Q420" i="17"/>
  <c r="AH420" i="17"/>
  <c r="P420" i="17"/>
  <c r="Z420" i="17"/>
  <c r="Y420" i="17"/>
  <c r="AM420" i="17"/>
  <c r="P425" i="17"/>
  <c r="AJ425" i="17"/>
  <c r="AP431" i="17"/>
  <c r="AR431" i="17"/>
  <c r="AF431" i="17"/>
  <c r="V431" i="17"/>
  <c r="L431" i="17"/>
  <c r="AQ431" i="17"/>
  <c r="AE431" i="17"/>
  <c r="U431" i="17"/>
  <c r="K431" i="17"/>
  <c r="AN431" i="17"/>
  <c r="AB431" i="17"/>
  <c r="N431" i="17"/>
  <c r="AM431" i="17"/>
  <c r="AA431" i="17"/>
  <c r="M431" i="17"/>
  <c r="AD431" i="17"/>
  <c r="L432" i="17"/>
  <c r="AH432" i="17"/>
  <c r="AH436" i="17"/>
  <c r="P436" i="17"/>
  <c r="AB436" i="17"/>
  <c r="O436" i="17"/>
  <c r="AN436" i="17"/>
  <c r="R436" i="17"/>
  <c r="AM436" i="17"/>
  <c r="Q436" i="17"/>
  <c r="AR436" i="17"/>
  <c r="AA443" i="17"/>
  <c r="AP449" i="17"/>
  <c r="AK449" i="17"/>
  <c r="AA449" i="17"/>
  <c r="O449" i="17"/>
  <c r="AJ449" i="17"/>
  <c r="X449" i="17"/>
  <c r="N449" i="17"/>
  <c r="AQ449" i="17"/>
  <c r="AC449" i="17"/>
  <c r="M449" i="17"/>
  <c r="AN449" i="17"/>
  <c r="AB449" i="17"/>
  <c r="L449" i="17"/>
  <c r="AD449" i="17"/>
  <c r="O450" i="17"/>
  <c r="AI450" i="17"/>
  <c r="K458" i="17"/>
  <c r="AG460" i="17"/>
  <c r="AP465" i="17"/>
  <c r="AM465" i="17"/>
  <c r="AC465" i="17"/>
  <c r="S465" i="17"/>
  <c r="AL465" i="17"/>
  <c r="AB465" i="17"/>
  <c r="P465" i="17"/>
  <c r="AQ465" i="17"/>
  <c r="AA465" i="17"/>
  <c r="M465" i="17"/>
  <c r="AN465" i="17"/>
  <c r="X465" i="17"/>
  <c r="L465" i="17"/>
  <c r="AD465" i="17"/>
  <c r="K466" i="17"/>
  <c r="AI466" i="17"/>
  <c r="AR498" i="17"/>
  <c r="AB498" i="17"/>
  <c r="P498" i="17"/>
  <c r="AQ498" i="17"/>
  <c r="AA498" i="17"/>
  <c r="O498" i="17"/>
  <c r="Y498" i="17"/>
  <c r="AN498" i="17"/>
  <c r="X498" i="17"/>
  <c r="AH498" i="17"/>
  <c r="N501" i="17"/>
  <c r="AD501" i="17"/>
  <c r="AP505" i="17"/>
  <c r="AM505" i="17"/>
  <c r="AC505" i="17"/>
  <c r="S505" i="17"/>
  <c r="AL505" i="17"/>
  <c r="AB505" i="17"/>
  <c r="P505" i="17"/>
  <c r="AQ505" i="17"/>
  <c r="AA505" i="17"/>
  <c r="M505" i="17"/>
  <c r="AN505" i="17"/>
  <c r="X505" i="17"/>
  <c r="L505" i="17"/>
  <c r="AD505" i="17"/>
  <c r="J506" i="17"/>
  <c r="L516" i="17"/>
  <c r="AP517" i="17"/>
  <c r="AJ517" i="17"/>
  <c r="X517" i="17"/>
  <c r="N517" i="17"/>
  <c r="AI517" i="17"/>
  <c r="W517" i="17"/>
  <c r="M517" i="17"/>
  <c r="AK517" i="17"/>
  <c r="U517" i="17"/>
  <c r="AF517" i="17"/>
  <c r="T517" i="17"/>
  <c r="AB517" i="17"/>
  <c r="AR517" i="17"/>
  <c r="M519" i="17"/>
  <c r="AI519" i="17"/>
  <c r="AA521" i="17"/>
  <c r="O523" i="17"/>
  <c r="AK523" i="17"/>
  <c r="AO526" i="17"/>
  <c r="AP529" i="17"/>
  <c r="AL529" i="17"/>
  <c r="AB529" i="17"/>
  <c r="P529" i="17"/>
  <c r="AK529" i="17"/>
  <c r="AA529" i="17"/>
  <c r="O529" i="17"/>
  <c r="AF529" i="17"/>
  <c r="T529" i="17"/>
  <c r="AE529" i="17"/>
  <c r="S529" i="17"/>
  <c r="X529" i="17"/>
  <c r="AR529" i="17"/>
  <c r="S531" i="17"/>
  <c r="AI531" i="17"/>
  <c r="Q534" i="17"/>
  <c r="W535" i="17"/>
  <c r="K547" i="17"/>
  <c r="AC547" i="17"/>
  <c r="S551" i="17"/>
  <c r="P559" i="17"/>
  <c r="AG562" i="17"/>
  <c r="Q562" i="17"/>
  <c r="AR562" i="17"/>
  <c r="AB562" i="17"/>
  <c r="P562" i="17"/>
  <c r="AI562" i="17"/>
  <c r="O562" i="17"/>
  <c r="AH562" i="17"/>
  <c r="L562" i="17"/>
  <c r="AJ562" i="17"/>
  <c r="O565" i="17"/>
  <c r="AK565" i="17"/>
  <c r="M569" i="17"/>
  <c r="AI569" i="17"/>
  <c r="K573" i="17"/>
  <c r="AC573" i="17"/>
  <c r="J576" i="17"/>
  <c r="AH576" i="17"/>
  <c r="P579" i="17"/>
  <c r="AF579" i="17"/>
  <c r="K583" i="17"/>
  <c r="AE583" i="17"/>
  <c r="O587" i="17"/>
  <c r="AK587" i="17"/>
  <c r="AH590" i="17"/>
  <c r="S590" i="17"/>
  <c r="J590" i="17"/>
  <c r="X590" i="17"/>
  <c r="W590" i="17"/>
  <c r="AP593" i="17"/>
  <c r="AK593" i="17"/>
  <c r="AA593" i="17"/>
  <c r="O593" i="17"/>
  <c r="AJ593" i="17"/>
  <c r="X593" i="17"/>
  <c r="N593" i="17"/>
  <c r="AE593" i="17"/>
  <c r="S593" i="17"/>
  <c r="AR593" i="17"/>
  <c r="AD593" i="17"/>
  <c r="P593" i="17"/>
  <c r="AB593" i="17"/>
  <c r="Z596" i="17"/>
  <c r="U597" i="17"/>
  <c r="J607" i="17"/>
  <c r="W607" i="17"/>
  <c r="AM607" i="17"/>
  <c r="O609" i="17"/>
  <c r="AE609" i="17"/>
  <c r="AN610" i="17"/>
  <c r="AD610" i="17"/>
  <c r="K610" i="17"/>
  <c r="AQ610" i="17"/>
  <c r="AA610" i="17"/>
  <c r="J610" i="17"/>
  <c r="AL610" i="17"/>
  <c r="Q610" i="17"/>
  <c r="AG610" i="17"/>
  <c r="P610" i="17"/>
  <c r="AP610" i="17"/>
  <c r="J616" i="17"/>
  <c r="AQ618" i="17"/>
  <c r="AF618" i="17"/>
  <c r="R618" i="17"/>
  <c r="AG618" i="17"/>
  <c r="Q618" i="17"/>
  <c r="AD618" i="17"/>
  <c r="P618" i="17"/>
  <c r="AL618" i="17"/>
  <c r="V618" i="17"/>
  <c r="AI618" i="17"/>
  <c r="O618" i="17"/>
  <c r="AH618" i="17"/>
  <c r="AA618" i="17"/>
  <c r="K625" i="17"/>
  <c r="AN630" i="17"/>
  <c r="V630" i="17"/>
  <c r="AO630" i="17"/>
  <c r="S630" i="17"/>
  <c r="AH630" i="17"/>
  <c r="R630" i="17"/>
  <c r="AP630" i="17"/>
  <c r="N630" i="17"/>
  <c r="AG630" i="17"/>
  <c r="K630" i="17"/>
  <c r="AF630" i="17"/>
  <c r="J630" i="17"/>
  <c r="J631" i="17"/>
  <c r="AH631" i="17"/>
  <c r="J634" i="17"/>
  <c r="AP634" i="17"/>
  <c r="S641" i="17"/>
  <c r="R647" i="17"/>
  <c r="AK647" i="17"/>
  <c r="AO665" i="17"/>
  <c r="AM665" i="17"/>
  <c r="AD665" i="17"/>
  <c r="U665" i="17"/>
  <c r="L665" i="17"/>
  <c r="AQ665" i="17"/>
  <c r="AF665" i="17"/>
  <c r="V665" i="17"/>
  <c r="K665" i="17"/>
  <c r="AP665" i="17"/>
  <c r="AE665" i="17"/>
  <c r="T665" i="17"/>
  <c r="J665" i="17"/>
  <c r="AI665" i="17"/>
  <c r="S665" i="17"/>
  <c r="AH665" i="17"/>
  <c r="R665" i="17"/>
  <c r="AC665" i="17"/>
  <c r="P665" i="17"/>
  <c r="AB665" i="17"/>
  <c r="AG678" i="17"/>
  <c r="AH678" i="17"/>
  <c r="AF678" i="17"/>
  <c r="J682" i="17"/>
  <c r="AN682" i="17"/>
  <c r="J690" i="17"/>
  <c r="V694" i="17"/>
  <c r="W700" i="17"/>
  <c r="AP700" i="17"/>
  <c r="P702" i="17"/>
  <c r="AL704" i="17"/>
  <c r="AH704" i="17"/>
  <c r="K704" i="17"/>
  <c r="AF704" i="17"/>
  <c r="Z704" i="17"/>
  <c r="AI704" i="17"/>
  <c r="AG704" i="17"/>
  <c r="W710" i="17"/>
  <c r="AP716" i="17"/>
  <c r="AO716" i="17"/>
  <c r="AN716" i="17"/>
  <c r="AM716" i="17"/>
  <c r="R719" i="17"/>
  <c r="AK719" i="17"/>
  <c r="AA722" i="17"/>
  <c r="K726" i="17"/>
  <c r="AO737" i="17"/>
  <c r="AQ737" i="17"/>
  <c r="AH737" i="17"/>
  <c r="X737" i="17"/>
  <c r="O737" i="17"/>
  <c r="AR737" i="17"/>
  <c r="AF737" i="17"/>
  <c r="V737" i="17"/>
  <c r="L737" i="17"/>
  <c r="AP737" i="17"/>
  <c r="AE737" i="17"/>
  <c r="U737" i="17"/>
  <c r="K737" i="17"/>
  <c r="AJ737" i="17"/>
  <c r="T737" i="17"/>
  <c r="AI737" i="17"/>
  <c r="S737" i="17"/>
  <c r="AD737" i="17"/>
  <c r="R737" i="17"/>
  <c r="AB737" i="17"/>
  <c r="K742" i="17"/>
  <c r="AO751" i="17"/>
  <c r="AL751" i="17"/>
  <c r="AC751" i="17"/>
  <c r="T751" i="17"/>
  <c r="K751" i="17"/>
  <c r="AI751" i="17"/>
  <c r="X751" i="17"/>
  <c r="N751" i="17"/>
  <c r="AR751" i="17"/>
  <c r="AH751" i="17"/>
  <c r="W751" i="17"/>
  <c r="M751" i="17"/>
  <c r="AP751" i="17"/>
  <c r="AB751" i="17"/>
  <c r="O751" i="17"/>
  <c r="AN751" i="17"/>
  <c r="AA751" i="17"/>
  <c r="L751" i="17"/>
  <c r="AM751" i="17"/>
  <c r="Z751" i="17"/>
  <c r="J751" i="17"/>
  <c r="AF751" i="17"/>
  <c r="O757" i="17"/>
  <c r="K767" i="17"/>
  <c r="AK767" i="17"/>
  <c r="O778" i="17"/>
  <c r="AO779" i="17"/>
  <c r="AK779" i="17"/>
  <c r="AB779" i="17"/>
  <c r="S779" i="17"/>
  <c r="J779" i="17"/>
  <c r="AQ779" i="17"/>
  <c r="AF779" i="17"/>
  <c r="V779" i="17"/>
  <c r="L779" i="17"/>
  <c r="AP779" i="17"/>
  <c r="AE779" i="17"/>
  <c r="U779" i="17"/>
  <c r="K779" i="17"/>
  <c r="AH779" i="17"/>
  <c r="R779" i="17"/>
  <c r="AD779" i="17"/>
  <c r="P779" i="17"/>
  <c r="AR779" i="17"/>
  <c r="AC779" i="17"/>
  <c r="O779" i="17"/>
  <c r="AI779" i="17"/>
  <c r="K782" i="17"/>
  <c r="AL782" i="17"/>
  <c r="N799" i="17"/>
  <c r="AG800" i="17"/>
  <c r="R800" i="17"/>
  <c r="AI800" i="17"/>
  <c r="Q800" i="17"/>
  <c r="AF800" i="17"/>
  <c r="P800" i="17"/>
  <c r="AP800" i="17"/>
  <c r="X800" i="17"/>
  <c r="AO800" i="17"/>
  <c r="U800" i="17"/>
  <c r="AN800" i="17"/>
  <c r="N800" i="17"/>
  <c r="AQ800" i="17"/>
  <c r="AG804" i="17"/>
  <c r="J821" i="17"/>
  <c r="AK836" i="17"/>
  <c r="Y836" i="17"/>
  <c r="J836" i="17"/>
  <c r="AI836" i="17"/>
  <c r="R836" i="17"/>
  <c r="AG836" i="17"/>
  <c r="Q836" i="17"/>
  <c r="AQ836" i="17"/>
  <c r="X836" i="17"/>
  <c r="AP836" i="17"/>
  <c r="S836" i="17"/>
  <c r="AL836" i="17"/>
  <c r="P836" i="17"/>
  <c r="AR836" i="17"/>
  <c r="AP843" i="17"/>
  <c r="O843" i="17"/>
  <c r="T843" i="17"/>
  <c r="R843" i="17"/>
  <c r="AG843" i="17"/>
  <c r="AE843" i="17"/>
  <c r="AC843" i="17"/>
  <c r="AN854" i="17"/>
  <c r="AB854" i="17"/>
  <c r="AC854" i="17"/>
  <c r="T854" i="17"/>
  <c r="R854" i="17"/>
  <c r="Q854" i="17"/>
  <c r="AR854" i="17"/>
  <c r="K854" i="17"/>
  <c r="J857" i="17"/>
  <c r="O863" i="17"/>
  <c r="AM863" i="17"/>
  <c r="AB874" i="17"/>
  <c r="X876" i="17"/>
  <c r="AQ876" i="17"/>
  <c r="V889" i="17"/>
  <c r="T889" i="17"/>
  <c r="J889" i="17"/>
  <c r="AN889" i="17"/>
  <c r="AJ889" i="17"/>
  <c r="AC889" i="17"/>
  <c r="AR896" i="17"/>
  <c r="V896" i="17"/>
  <c r="U896" i="17"/>
  <c r="AQ896" i="17"/>
  <c r="P896" i="17"/>
  <c r="AD896" i="17"/>
  <c r="AA896" i="17"/>
  <c r="Z896" i="17"/>
  <c r="V910" i="17"/>
  <c r="AG915" i="17"/>
  <c r="AD920" i="17"/>
  <c r="Q920" i="17"/>
  <c r="AO920" i="17"/>
  <c r="Z920" i="17"/>
  <c r="AN920" i="17"/>
  <c r="V920" i="17"/>
  <c r="S920" i="17"/>
  <c r="AR920" i="17"/>
  <c r="R920" i="17"/>
  <c r="AL920" i="17"/>
  <c r="M920" i="17"/>
  <c r="AQ924" i="17"/>
  <c r="AG924" i="17"/>
  <c r="V924" i="17"/>
  <c r="L924" i="17"/>
  <c r="AL924" i="17"/>
  <c r="Z924" i="17"/>
  <c r="N924" i="17"/>
  <c r="AK924" i="17"/>
  <c r="Y924" i="17"/>
  <c r="M924" i="17"/>
  <c r="AD924" i="17"/>
  <c r="P924" i="17"/>
  <c r="AR924" i="17"/>
  <c r="AC924" i="17"/>
  <c r="K924" i="17"/>
  <c r="AP924" i="17"/>
  <c r="AB924" i="17"/>
  <c r="J924" i="17"/>
  <c r="AI924" i="17"/>
  <c r="Y927" i="17"/>
  <c r="P928" i="17"/>
  <c r="N929" i="17"/>
  <c r="M946" i="17"/>
  <c r="Z951" i="17"/>
  <c r="U954" i="17"/>
  <c r="J956" i="17"/>
  <c r="AO956" i="17"/>
  <c r="AL966" i="17"/>
  <c r="R969" i="17"/>
  <c r="Y977" i="17"/>
  <c r="Q998" i="17"/>
  <c r="AL1000" i="17"/>
  <c r="Z1000" i="17"/>
  <c r="K1000" i="17"/>
  <c r="AJ1000" i="17"/>
  <c r="S1000" i="17"/>
  <c r="AI1000" i="17"/>
  <c r="Q1000" i="17"/>
  <c r="AD1000" i="17"/>
  <c r="M1000" i="17"/>
  <c r="AO1000" i="17"/>
  <c r="R1000" i="17"/>
  <c r="AN1000" i="17"/>
  <c r="L1000" i="17"/>
  <c r="AB1000" i="17"/>
  <c r="AA1000" i="17"/>
  <c r="V1000" i="17"/>
  <c r="AD1019" i="17"/>
  <c r="AJ1029" i="17"/>
  <c r="AK1029" i="17"/>
  <c r="AR1029" i="17"/>
  <c r="AP1029" i="17"/>
  <c r="AL1031" i="17"/>
  <c r="AK1031" i="17"/>
  <c r="R1031" i="17"/>
  <c r="Z1031" i="17"/>
  <c r="M1031" i="17"/>
  <c r="L1031" i="17"/>
  <c r="AD1031" i="17"/>
  <c r="U1031" i="17"/>
  <c r="AE1031" i="17"/>
  <c r="T1031" i="17"/>
  <c r="J1031" i="17"/>
  <c r="L1040" i="17"/>
  <c r="AR1062" i="17"/>
  <c r="AI1078" i="17"/>
  <c r="AO1078" i="17"/>
  <c r="AJ1078" i="17"/>
  <c r="Z1080" i="17"/>
  <c r="S1086" i="17"/>
  <c r="R1086" i="17"/>
  <c r="Q1086" i="17"/>
  <c r="L1086" i="17"/>
  <c r="AK1086" i="17"/>
  <c r="AJ1086" i="17"/>
  <c r="AL1086" i="17"/>
  <c r="AH1086" i="17"/>
  <c r="AG1088" i="17"/>
  <c r="AE1109" i="17"/>
  <c r="AI1122" i="17"/>
  <c r="L1130" i="17"/>
  <c r="R1134" i="17"/>
  <c r="Q1134" i="17"/>
  <c r="AR1134" i="17"/>
  <c r="Y1134" i="17"/>
  <c r="N1134" i="17"/>
  <c r="AE1149" i="17"/>
  <c r="AD1149" i="17"/>
  <c r="R1149" i="17"/>
  <c r="Q1149" i="17"/>
  <c r="AC1149" i="17"/>
  <c r="AA1158" i="17"/>
  <c r="AJ1158" i="17"/>
  <c r="Q1158" i="17"/>
  <c r="AI1158" i="17"/>
  <c r="N1158" i="17"/>
  <c r="S1158" i="17"/>
  <c r="R1158" i="17"/>
  <c r="AO1158" i="17"/>
  <c r="AH1158" i="17"/>
  <c r="AB1158" i="17"/>
  <c r="V1158" i="17"/>
  <c r="AR1158" i="17"/>
  <c r="AC1158" i="17"/>
  <c r="AC1168" i="17"/>
  <c r="J1181" i="17"/>
  <c r="AF1189" i="17"/>
  <c r="R1189" i="17"/>
  <c r="AG1189" i="17"/>
  <c r="Q1189" i="17"/>
  <c r="AD1189" i="17"/>
  <c r="P1189" i="17"/>
  <c r="AK1189" i="17"/>
  <c r="O1189" i="17"/>
  <c r="AH1189" i="17"/>
  <c r="N1189" i="17"/>
  <c r="Y1189" i="17"/>
  <c r="X1189" i="17"/>
  <c r="AP1189" i="17"/>
  <c r="M1189" i="17"/>
  <c r="AN1189" i="17"/>
  <c r="J1189" i="17"/>
  <c r="AC1189" i="17"/>
  <c r="Z1189" i="17"/>
  <c r="W1189" i="17"/>
  <c r="AF1211" i="17"/>
  <c r="U1211" i="17"/>
  <c r="AL1211" i="17"/>
  <c r="AE1211" i="17"/>
  <c r="V1211" i="17"/>
  <c r="J1211" i="17"/>
  <c r="AD1228" i="17"/>
  <c r="AH1237" i="17"/>
  <c r="W1237" i="17"/>
  <c r="J1237" i="17"/>
  <c r="AM1237" i="17"/>
  <c r="Y1237" i="17"/>
  <c r="M1237" i="17"/>
  <c r="AL1237" i="17"/>
  <c r="V1237" i="17"/>
  <c r="AK1237" i="17"/>
  <c r="R1237" i="17"/>
  <c r="X1237" i="17"/>
  <c r="AP1237" i="17"/>
  <c r="Q1237" i="17"/>
  <c r="AC1237" i="17"/>
  <c r="Z1237" i="17"/>
  <c r="AG1237" i="17"/>
  <c r="AF1237" i="17"/>
  <c r="AN1237" i="17"/>
  <c r="AD1237" i="17"/>
  <c r="O1351" i="17"/>
  <c r="AH1357" i="17"/>
  <c r="W1357" i="17"/>
  <c r="J1357" i="17"/>
  <c r="AG1357" i="17"/>
  <c r="R1357" i="17"/>
  <c r="AC1357" i="17"/>
  <c r="N1357" i="17"/>
  <c r="AP1357" i="17"/>
  <c r="Z1357" i="17"/>
  <c r="M1357" i="17"/>
  <c r="AM1357" i="17"/>
  <c r="Q1357" i="17"/>
  <c r="AL1357" i="17"/>
  <c r="P1357" i="17"/>
  <c r="AF1357" i="17"/>
  <c r="AD1357" i="17"/>
  <c r="AN1357" i="17"/>
  <c r="X1357" i="17"/>
  <c r="V1357" i="17"/>
  <c r="O1357" i="17"/>
  <c r="L1368" i="17"/>
  <c r="AF1387" i="17"/>
  <c r="AP1404" i="17"/>
  <c r="AK1404" i="17"/>
  <c r="AB1404" i="17"/>
  <c r="S1404" i="17"/>
  <c r="J1404" i="17"/>
  <c r="AI1404" i="17"/>
  <c r="X1404" i="17"/>
  <c r="N1404" i="17"/>
  <c r="AQ1404" i="17"/>
  <c r="AD1404" i="17"/>
  <c r="R1404" i="17"/>
  <c r="AN1404" i="17"/>
  <c r="AC1404" i="17"/>
  <c r="P1404" i="17"/>
  <c r="AJ1404" i="17"/>
  <c r="U1404" i="17"/>
  <c r="AH1404" i="17"/>
  <c r="T1404" i="17"/>
  <c r="AM1404" i="17"/>
  <c r="O1404" i="17"/>
  <c r="AL1404" i="17"/>
  <c r="M1404" i="17"/>
  <c r="W1404" i="17"/>
  <c r="V1404" i="17"/>
  <c r="Z1404" i="17"/>
  <c r="L1404" i="17"/>
  <c r="K1404" i="17"/>
  <c r="M1420" i="17"/>
  <c r="K1428" i="17"/>
  <c r="AI1438" i="17"/>
  <c r="AA1441" i="17"/>
  <c r="AP1480" i="17"/>
  <c r="AL1480" i="17"/>
  <c r="AB1480" i="17"/>
  <c r="P1480" i="17"/>
  <c r="AI1480" i="17"/>
  <c r="V1480" i="17"/>
  <c r="K1480" i="17"/>
  <c r="AF1480" i="17"/>
  <c r="T1480" i="17"/>
  <c r="AE1480" i="17"/>
  <c r="S1480" i="17"/>
  <c r="AM1480" i="17"/>
  <c r="U1480" i="17"/>
  <c r="AK1480" i="17"/>
  <c r="O1480" i="17"/>
  <c r="AR1480" i="17"/>
  <c r="W1480" i="17"/>
  <c r="AQ1480" i="17"/>
  <c r="N1480" i="17"/>
  <c r="AN1480" i="17"/>
  <c r="M1480" i="17"/>
  <c r="AD1480" i="17"/>
  <c r="AC1480" i="17"/>
  <c r="Y1497" i="17"/>
  <c r="AF1497" i="17"/>
  <c r="AH1497" i="17"/>
  <c r="X1497" i="17"/>
  <c r="AR1497" i="17"/>
  <c r="AI1497" i="17"/>
  <c r="P1497" i="17"/>
  <c r="K1497" i="17"/>
  <c r="J1497" i="17"/>
  <c r="S1497" i="17"/>
  <c r="AL1528" i="17"/>
  <c r="AO1538" i="17"/>
  <c r="AQ1538" i="17"/>
  <c r="AH1538" i="17"/>
  <c r="X1538" i="17"/>
  <c r="O1538" i="17"/>
  <c r="AL1538" i="17"/>
  <c r="AB1538" i="17"/>
  <c r="R1538" i="17"/>
  <c r="AJ1538" i="17"/>
  <c r="W1538" i="17"/>
  <c r="L1538" i="17"/>
  <c r="AI1538" i="17"/>
  <c r="V1538" i="17"/>
  <c r="K1538" i="17"/>
  <c r="AK1538" i="17"/>
  <c r="T1538" i="17"/>
  <c r="AF1538" i="17"/>
  <c r="S1538" i="17"/>
  <c r="AM1538" i="17"/>
  <c r="N1538" i="17"/>
  <c r="AE1538" i="17"/>
  <c r="M1538" i="17"/>
  <c r="AD1538" i="17"/>
  <c r="J1538" i="17"/>
  <c r="AN1538" i="17"/>
  <c r="AC1538" i="17"/>
  <c r="AR1538" i="17"/>
  <c r="AP1538" i="17"/>
  <c r="AA1538" i="17"/>
  <c r="AB1554" i="17"/>
  <c r="AR1561" i="17"/>
  <c r="AB1598" i="17"/>
  <c r="AO1657" i="17"/>
  <c r="AP1657" i="17"/>
  <c r="AD1657" i="17"/>
  <c r="T1657" i="17"/>
  <c r="J1657" i="17"/>
  <c r="AR1657" i="17"/>
  <c r="AE1657" i="17"/>
  <c r="S1657" i="17"/>
  <c r="AI1657" i="17"/>
  <c r="U1657" i="17"/>
  <c r="AB1657" i="17"/>
  <c r="M1657" i="17"/>
  <c r="AQ1657" i="17"/>
  <c r="AA1657" i="17"/>
  <c r="L1657" i="17"/>
  <c r="AJ1657" i="17"/>
  <c r="N1657" i="17"/>
  <c r="AH1657" i="17"/>
  <c r="K1657" i="17"/>
  <c r="AC1657" i="17"/>
  <c r="Z1657" i="17"/>
  <c r="W1657" i="17"/>
  <c r="V1657" i="17"/>
  <c r="R1657" i="17"/>
  <c r="O1657" i="17"/>
  <c r="K1662" i="17"/>
  <c r="N1705" i="17"/>
  <c r="AO1719" i="17"/>
  <c r="AP1719" i="17"/>
  <c r="AF1719" i="17"/>
  <c r="W1719" i="17"/>
  <c r="N1719" i="17"/>
  <c r="AL1719" i="17"/>
  <c r="AB1719" i="17"/>
  <c r="R1719" i="17"/>
  <c r="AM1719" i="17"/>
  <c r="AA1719" i="17"/>
  <c r="O1719" i="17"/>
  <c r="AE1719" i="17"/>
  <c r="S1719" i="17"/>
  <c r="AR1719" i="17"/>
  <c r="AD1719" i="17"/>
  <c r="P1719" i="17"/>
  <c r="AK1719" i="17"/>
  <c r="U1719" i="17"/>
  <c r="AJ1719" i="17"/>
  <c r="T1719" i="17"/>
  <c r="X1719" i="17"/>
  <c r="V1719" i="17"/>
  <c r="AH1719" i="17"/>
  <c r="AC1719" i="17"/>
  <c r="Z1719" i="17"/>
  <c r="M1719" i="17"/>
  <c r="K1719" i="17"/>
  <c r="J1719" i="17"/>
  <c r="AN1719" i="17"/>
  <c r="AI1719" i="17"/>
  <c r="L1719" i="17"/>
  <c r="AP1810" i="17"/>
  <c r="AB1810" i="17"/>
  <c r="Q1810" i="17"/>
  <c r="AR1810" i="17"/>
  <c r="AF1810" i="17"/>
  <c r="P1810" i="17"/>
  <c r="AI1810" i="17"/>
  <c r="T1810" i="17"/>
  <c r="AH1810" i="17"/>
  <c r="R1810" i="17"/>
  <c r="AG1810" i="17"/>
  <c r="K1810" i="17"/>
  <c r="Z1810" i="17"/>
  <c r="Y1810" i="17"/>
  <c r="O1810" i="17"/>
  <c r="AQ1810" i="17"/>
  <c r="L1810" i="17"/>
  <c r="AN1810" i="17"/>
  <c r="AM1810" i="17"/>
  <c r="AJ1810" i="17"/>
  <c r="AA1810" i="17"/>
  <c r="X1810" i="17"/>
  <c r="W1810" i="17"/>
  <c r="AO1911" i="17"/>
  <c r="AP1911" i="17"/>
  <c r="AD1911" i="17"/>
  <c r="T1911" i="17"/>
  <c r="J1911" i="17"/>
  <c r="AK1911" i="17"/>
  <c r="Z1911" i="17"/>
  <c r="M1911" i="17"/>
  <c r="AE1911" i="17"/>
  <c r="R1911" i="17"/>
  <c r="AC1911" i="17"/>
  <c r="N1911" i="17"/>
  <c r="AR1911" i="17"/>
  <c r="AB1911" i="17"/>
  <c r="L1911" i="17"/>
  <c r="AQ1911" i="17"/>
  <c r="V1911" i="17"/>
  <c r="AL1911" i="17"/>
  <c r="O1911" i="17"/>
  <c r="AJ1911" i="17"/>
  <c r="K1911" i="17"/>
  <c r="AI1911" i="17"/>
  <c r="AH1911" i="17"/>
  <c r="AA1911" i="17"/>
  <c r="W1911" i="17"/>
  <c r="AM1911" i="17"/>
  <c r="U1911" i="17"/>
  <c r="S1911" i="17"/>
  <c r="AO1515" i="17"/>
  <c r="P1515" i="17"/>
  <c r="Z1515" i="17"/>
  <c r="AA1515" i="17"/>
  <c r="Y1515" i="17"/>
  <c r="AP1515" i="17"/>
  <c r="AJ1515" i="17"/>
  <c r="T1515" i="17"/>
  <c r="AQ1918" i="17"/>
  <c r="V1918" i="17"/>
  <c r="AD1918" i="17"/>
  <c r="AG1918" i="17"/>
  <c r="K1918" i="17"/>
  <c r="AF1918" i="17"/>
  <c r="AE1918" i="17"/>
  <c r="AA1918" i="17"/>
  <c r="AR1918" i="17"/>
  <c r="Q1918" i="17"/>
  <c r="N1918" i="17"/>
  <c r="AH1918" i="17"/>
  <c r="S1918" i="17"/>
  <c r="X10" i="17"/>
  <c r="W10" i="17"/>
  <c r="AB10" i="17"/>
  <c r="AA29" i="17"/>
  <c r="X29" i="17"/>
  <c r="U57" i="17"/>
  <c r="AH57" i="17" s="1"/>
  <c r="T57" i="17"/>
  <c r="M57" i="17"/>
  <c r="AB57" i="17"/>
  <c r="L57" i="17"/>
  <c r="AO160" i="17"/>
  <c r="R160" i="17"/>
  <c r="AF160" i="17" s="1"/>
  <c r="Q160" i="17"/>
  <c r="AD189" i="17"/>
  <c r="AB277" i="17"/>
  <c r="AP283" i="17"/>
  <c r="AL283" i="17"/>
  <c r="AB283" i="17"/>
  <c r="P283" i="17"/>
  <c r="AK283" i="17"/>
  <c r="AA283" i="17"/>
  <c r="O283" i="17"/>
  <c r="AE283" i="17"/>
  <c r="S283" i="17"/>
  <c r="AR283" i="17"/>
  <c r="AD283" i="17"/>
  <c r="N283" i="17"/>
  <c r="AI354" i="17"/>
  <c r="S354" i="17"/>
  <c r="AH354" i="17"/>
  <c r="O354" i="17"/>
  <c r="AQ354" i="17"/>
  <c r="L354" i="17"/>
  <c r="AO354" i="17"/>
  <c r="K354" i="17"/>
  <c r="AO357" i="17"/>
  <c r="AM357" i="17"/>
  <c r="AD357" i="17"/>
  <c r="U357" i="17"/>
  <c r="L357" i="17"/>
  <c r="AL357" i="17"/>
  <c r="AC357" i="17"/>
  <c r="T357" i="17"/>
  <c r="K357" i="17"/>
  <c r="AR357" i="17"/>
  <c r="AF357" i="17"/>
  <c r="S357" i="17"/>
  <c r="AQ357" i="17"/>
  <c r="AE357" i="17"/>
  <c r="R357" i="17"/>
  <c r="AN357" i="17"/>
  <c r="AO369" i="17"/>
  <c r="AM369" i="17"/>
  <c r="AD369" i="17"/>
  <c r="U369" i="17"/>
  <c r="L369" i="17"/>
  <c r="AL369" i="17"/>
  <c r="AC369" i="17"/>
  <c r="T369" i="17"/>
  <c r="K369" i="17"/>
  <c r="AK369" i="17"/>
  <c r="Z369" i="17"/>
  <c r="N369" i="17"/>
  <c r="AJ369" i="17"/>
  <c r="X369" i="17"/>
  <c r="M369" i="17"/>
  <c r="AO375" i="17"/>
  <c r="AP375" i="17"/>
  <c r="AF375" i="17"/>
  <c r="W375" i="17"/>
  <c r="N375" i="17"/>
  <c r="AN375" i="17"/>
  <c r="AE375" i="17"/>
  <c r="V375" i="17"/>
  <c r="M375" i="17"/>
  <c r="AQ375" i="17"/>
  <c r="AC375" i="17"/>
  <c r="R375" i="17"/>
  <c r="AM375" i="17"/>
  <c r="AB375" i="17"/>
  <c r="P375" i="17"/>
  <c r="AA385" i="17"/>
  <c r="AI500" i="17"/>
  <c r="Q500" i="17"/>
  <c r="AH500" i="17"/>
  <c r="P500" i="17"/>
  <c r="AN500" i="17"/>
  <c r="R500" i="17"/>
  <c r="AM500" i="17"/>
  <c r="O500" i="17"/>
  <c r="AP551" i="17"/>
  <c r="AR551" i="17"/>
  <c r="AF551" i="17"/>
  <c r="V551" i="17"/>
  <c r="L551" i="17"/>
  <c r="AQ551" i="17"/>
  <c r="AE551" i="17"/>
  <c r="U551" i="17"/>
  <c r="K551" i="17"/>
  <c r="AC551" i="17"/>
  <c r="O551" i="17"/>
  <c r="AN551" i="17"/>
  <c r="AB551" i="17"/>
  <c r="N551" i="17"/>
  <c r="AD551" i="17"/>
  <c r="AO641" i="17"/>
  <c r="AR641" i="17"/>
  <c r="AI641" i="17"/>
  <c r="Z641" i="17"/>
  <c r="P641" i="17"/>
  <c r="AJ641" i="17"/>
  <c r="X641" i="17"/>
  <c r="N641" i="17"/>
  <c r="AH641" i="17"/>
  <c r="W641" i="17"/>
  <c r="M641" i="17"/>
  <c r="AQ641" i="17"/>
  <c r="AD641" i="17"/>
  <c r="R641" i="17"/>
  <c r="AP641" i="17"/>
  <c r="AC641" i="17"/>
  <c r="O641" i="17"/>
  <c r="AN641" i="17"/>
  <c r="AB641" i="17"/>
  <c r="L641" i="17"/>
  <c r="AE641" i="17"/>
  <c r="AO703" i="17"/>
  <c r="AK703" i="17"/>
  <c r="AB703" i="17"/>
  <c r="S703" i="17"/>
  <c r="J703" i="17"/>
  <c r="AQ703" i="17"/>
  <c r="AF703" i="17"/>
  <c r="V703" i="17"/>
  <c r="L703" i="17"/>
  <c r="AP703" i="17"/>
  <c r="AE703" i="17"/>
  <c r="U703" i="17"/>
  <c r="K703" i="17"/>
  <c r="AR703" i="17"/>
  <c r="AC703" i="17"/>
  <c r="O703" i="17"/>
  <c r="AN703" i="17"/>
  <c r="AA703" i="17"/>
  <c r="N703" i="17"/>
  <c r="AM703" i="17"/>
  <c r="Z703" i="17"/>
  <c r="M703" i="17"/>
  <c r="AG756" i="17"/>
  <c r="Q756" i="17"/>
  <c r="AI756" i="17"/>
  <c r="R756" i="17"/>
  <c r="AH756" i="17"/>
  <c r="P756" i="17"/>
  <c r="AQ756" i="17"/>
  <c r="X756" i="17"/>
  <c r="AN756" i="17"/>
  <c r="W756" i="17"/>
  <c r="AM756" i="17"/>
  <c r="O756" i="17"/>
  <c r="AO757" i="17"/>
  <c r="AK757" i="17"/>
  <c r="AB757" i="17"/>
  <c r="S757" i="17"/>
  <c r="J757" i="17"/>
  <c r="AR757" i="17"/>
  <c r="AH757" i="17"/>
  <c r="W757" i="17"/>
  <c r="M757" i="17"/>
  <c r="AQ757" i="17"/>
  <c r="AF757" i="17"/>
  <c r="V757" i="17"/>
  <c r="L757" i="17"/>
  <c r="AJ757" i="17"/>
  <c r="U757" i="17"/>
  <c r="AI757" i="17"/>
  <c r="T757" i="17"/>
  <c r="AE757" i="17"/>
  <c r="R757" i="17"/>
  <c r="AC757" i="17"/>
  <c r="O785" i="17"/>
  <c r="AR785" i="17"/>
  <c r="AN785" i="17"/>
  <c r="R785" i="17"/>
  <c r="V874" i="17"/>
  <c r="L876" i="17"/>
  <c r="V898" i="17"/>
  <c r="AG898" i="17"/>
  <c r="AF898" i="17"/>
  <c r="S898" i="17"/>
  <c r="R898" i="17"/>
  <c r="Q898" i="17"/>
  <c r="AO910" i="17"/>
  <c r="AC910" i="17"/>
  <c r="P910" i="17"/>
  <c r="AH910" i="17"/>
  <c r="U910" i="17"/>
  <c r="AG910" i="17"/>
  <c r="T910" i="17"/>
  <c r="AI910" i="17"/>
  <c r="N910" i="17"/>
  <c r="AF910" i="17"/>
  <c r="M910" i="17"/>
  <c r="AD910" i="17"/>
  <c r="L910" i="17"/>
  <c r="AN910" i="17"/>
  <c r="M927" i="17"/>
  <c r="Q966" i="17"/>
  <c r="J987" i="17"/>
  <c r="AI1092" i="17"/>
  <c r="V1092" i="17"/>
  <c r="K1092" i="17"/>
  <c r="AH1092" i="17"/>
  <c r="U1092" i="17"/>
  <c r="J1092" i="17"/>
  <c r="AD1092" i="17"/>
  <c r="N1092" i="17"/>
  <c r="AR1092" i="17"/>
  <c r="AB1092" i="17"/>
  <c r="M1092" i="17"/>
  <c r="AK1092" i="17"/>
  <c r="Q1092" i="17"/>
  <c r="AJ1092" i="17"/>
  <c r="L1092" i="17"/>
  <c r="AG1092" i="17"/>
  <c r="AA1092" i="17"/>
  <c r="AQ1092" i="17"/>
  <c r="AP1092" i="17"/>
  <c r="AL1092" i="17"/>
  <c r="Y1118" i="17"/>
  <c r="V1118" i="17"/>
  <c r="S1118" i="17"/>
  <c r="AC1118" i="17"/>
  <c r="Z1118" i="17"/>
  <c r="AO1126" i="17"/>
  <c r="S1126" i="17"/>
  <c r="V1126" i="17"/>
  <c r="AR1126" i="17"/>
  <c r="R1126" i="17"/>
  <c r="N1126" i="17"/>
  <c r="AJ1126" i="17"/>
  <c r="M1126" i="17"/>
  <c r="AB1126" i="17"/>
  <c r="AA1126" i="17"/>
  <c r="AI1126" i="17"/>
  <c r="AH1126" i="17"/>
  <c r="AC1126" i="17"/>
  <c r="R1918" i="17"/>
  <c r="L8" i="17"/>
  <c r="M29" i="17"/>
  <c r="AE29" i="17" s="1"/>
  <c r="R42" i="17"/>
  <c r="AG42" i="17" s="1"/>
  <c r="V45" i="17"/>
  <c r="U45" i="17"/>
  <c r="AH45" i="17" s="1"/>
  <c r="AA45" i="17"/>
  <c r="X45" i="17"/>
  <c r="AA46" i="17"/>
  <c r="N57" i="17"/>
  <c r="AA111" i="17"/>
  <c r="L111" i="17"/>
  <c r="X111" i="17"/>
  <c r="K111" i="17"/>
  <c r="AB111" i="17"/>
  <c r="W111" i="17"/>
  <c r="J114" i="17"/>
  <c r="AA114" i="17"/>
  <c r="T137" i="17"/>
  <c r="S137" i="17"/>
  <c r="U137" i="17"/>
  <c r="AQ137" i="17" s="1"/>
  <c r="N137" i="17"/>
  <c r="AP267" i="17"/>
  <c r="AM267" i="17"/>
  <c r="AC267" i="17"/>
  <c r="S267" i="17"/>
  <c r="AL267" i="17"/>
  <c r="AB267" i="17"/>
  <c r="P267" i="17"/>
  <c r="AI267" i="17"/>
  <c r="U267" i="17"/>
  <c r="AF267" i="17"/>
  <c r="T267" i="17"/>
  <c r="AR267" i="17"/>
  <c r="K277" i="17"/>
  <c r="AC283" i="17"/>
  <c r="K286" i="17"/>
  <c r="AP297" i="17"/>
  <c r="AM297" i="17"/>
  <c r="AC297" i="17"/>
  <c r="S297" i="17"/>
  <c r="AL297" i="17"/>
  <c r="AB297" i="17"/>
  <c r="P297" i="17"/>
  <c r="AF297" i="17"/>
  <c r="T297" i="17"/>
  <c r="AE297" i="17"/>
  <c r="O297" i="17"/>
  <c r="AR297" i="17"/>
  <c r="AB311" i="17"/>
  <c r="K317" i="17"/>
  <c r="L320" i="17"/>
  <c r="AH328" i="17"/>
  <c r="P328" i="17"/>
  <c r="AB328" i="17"/>
  <c r="O328" i="17"/>
  <c r="AN328" i="17"/>
  <c r="R328" i="17"/>
  <c r="AM328" i="17"/>
  <c r="Q328" i="17"/>
  <c r="AR328" i="17"/>
  <c r="AE330" i="17"/>
  <c r="AB330" i="17"/>
  <c r="AP357" i="17"/>
  <c r="J369" i="17"/>
  <c r="J375" i="17"/>
  <c r="AP385" i="17"/>
  <c r="AO389" i="17"/>
  <c r="AQ389" i="17"/>
  <c r="AH389" i="17"/>
  <c r="X389" i="17"/>
  <c r="O389" i="17"/>
  <c r="AP389" i="17"/>
  <c r="AF389" i="17"/>
  <c r="W389" i="17"/>
  <c r="N389" i="17"/>
  <c r="AR389" i="17"/>
  <c r="AD389" i="17"/>
  <c r="S389" i="17"/>
  <c r="AN389" i="17"/>
  <c r="AC389" i="17"/>
  <c r="R389" i="17"/>
  <c r="AL389" i="17"/>
  <c r="W394" i="17"/>
  <c r="T394" i="17"/>
  <c r="S394" i="17"/>
  <c r="O394" i="17"/>
  <c r="AE395" i="17"/>
  <c r="AP401" i="17"/>
  <c r="AR401" i="17"/>
  <c r="AF401" i="17"/>
  <c r="V401" i="17"/>
  <c r="L401" i="17"/>
  <c r="AQ401" i="17"/>
  <c r="AE401" i="17"/>
  <c r="U401" i="17"/>
  <c r="K401" i="17"/>
  <c r="AN401" i="17"/>
  <c r="AB401" i="17"/>
  <c r="N401" i="17"/>
  <c r="AM401" i="17"/>
  <c r="AA401" i="17"/>
  <c r="M401" i="17"/>
  <c r="AD401" i="17"/>
  <c r="K417" i="17"/>
  <c r="AR418" i="17"/>
  <c r="AB418" i="17"/>
  <c r="P418" i="17"/>
  <c r="AQ418" i="17"/>
  <c r="AA418" i="17"/>
  <c r="O418" i="17"/>
  <c r="AH418" i="17"/>
  <c r="L418" i="17"/>
  <c r="AG418" i="17"/>
  <c r="K418" i="17"/>
  <c r="AD425" i="17"/>
  <c r="AM472" i="17"/>
  <c r="Z472" i="17"/>
  <c r="T472" i="17"/>
  <c r="AA472" i="17"/>
  <c r="S472" i="17"/>
  <c r="AM488" i="17"/>
  <c r="AA488" i="17"/>
  <c r="Z488" i="17"/>
  <c r="T488" i="17"/>
  <c r="S488" i="17"/>
  <c r="AC523" i="17"/>
  <c r="M531" i="17"/>
  <c r="AP559" i="17"/>
  <c r="AJ559" i="17"/>
  <c r="X559" i="17"/>
  <c r="N559" i="17"/>
  <c r="AI559" i="17"/>
  <c r="W559" i="17"/>
  <c r="M559" i="17"/>
  <c r="AQ559" i="17"/>
  <c r="AC559" i="17"/>
  <c r="O559" i="17"/>
  <c r="AN559" i="17"/>
  <c r="AB559" i="17"/>
  <c r="L559" i="17"/>
  <c r="AD559" i="17"/>
  <c r="AC565" i="17"/>
  <c r="AI604" i="17"/>
  <c r="Y604" i="17"/>
  <c r="V604" i="17"/>
  <c r="O604" i="17"/>
  <c r="AA609" i="17"/>
  <c r="AQ609" i="17"/>
  <c r="AO625" i="17"/>
  <c r="AP625" i="17"/>
  <c r="AF625" i="17"/>
  <c r="W625" i="17"/>
  <c r="N625" i="17"/>
  <c r="AI625" i="17"/>
  <c r="X625" i="17"/>
  <c r="M625" i="17"/>
  <c r="AR625" i="17"/>
  <c r="AH625" i="17"/>
  <c r="V625" i="17"/>
  <c r="L625" i="17"/>
  <c r="AJ625" i="17"/>
  <c r="T625" i="17"/>
  <c r="AE625" i="17"/>
  <c r="S625" i="17"/>
  <c r="AD625" i="17"/>
  <c r="R625" i="17"/>
  <c r="J641" i="17"/>
  <c r="P703" i="17"/>
  <c r="V722" i="17"/>
  <c r="AP738" i="17"/>
  <c r="AO738" i="17"/>
  <c r="V738" i="17"/>
  <c r="S738" i="17"/>
  <c r="K738" i="17"/>
  <c r="AM754" i="17"/>
  <c r="AQ852" i="17"/>
  <c r="J852" i="17"/>
  <c r="AB852" i="17"/>
  <c r="AA852" i="17"/>
  <c r="AI852" i="17"/>
  <c r="X852" i="17"/>
  <c r="T852" i="17"/>
  <c r="X874" i="17"/>
  <c r="M876" i="17"/>
  <c r="P898" i="17"/>
  <c r="M987" i="17"/>
  <c r="AO1001" i="17"/>
  <c r="AC1001" i="17"/>
  <c r="N1001" i="17"/>
  <c r="AD1001" i="17"/>
  <c r="M1001" i="17"/>
  <c r="AJ1001" i="17"/>
  <c r="Q1001" i="17"/>
  <c r="AE1001" i="17"/>
  <c r="L1001" i="17"/>
  <c r="Z1001" i="17"/>
  <c r="W1001" i="17"/>
  <c r="V1001" i="17"/>
  <c r="T1001" i="17"/>
  <c r="R1001" i="17"/>
  <c r="Q1062" i="17"/>
  <c r="R1092" i="17"/>
  <c r="AH1118" i="17"/>
  <c r="Q1126" i="17"/>
  <c r="AI1183" i="17"/>
  <c r="AL1183" i="17"/>
  <c r="X1183" i="17"/>
  <c r="M1183" i="17"/>
  <c r="AF1183" i="17"/>
  <c r="S1183" i="17"/>
  <c r="AQ1183" i="17"/>
  <c r="AE1183" i="17"/>
  <c r="P1183" i="17"/>
  <c r="AG1183" i="17"/>
  <c r="N1183" i="17"/>
  <c r="AD1183" i="17"/>
  <c r="K1183" i="17"/>
  <c r="AO1183" i="17"/>
  <c r="U1183" i="17"/>
  <c r="AN1183" i="17"/>
  <c r="O1183" i="17"/>
  <c r="AC1183" i="17"/>
  <c r="Y1183" i="17"/>
  <c r="W1183" i="17"/>
  <c r="V1183" i="17"/>
  <c r="J1183" i="17"/>
  <c r="J1334" i="17"/>
  <c r="J1349" i="17"/>
  <c r="AG1686" i="17"/>
  <c r="R1686" i="17"/>
  <c r="AD1686" i="17"/>
  <c r="J1686" i="17"/>
  <c r="AP1686" i="17"/>
  <c r="V1686" i="17"/>
  <c r="AA1686" i="17"/>
  <c r="Z1686" i="17"/>
  <c r="AE1686" i="17"/>
  <c r="S1686" i="17"/>
  <c r="P1686" i="17"/>
  <c r="K1686" i="17"/>
  <c r="AQ1686" i="17"/>
  <c r="AO1686" i="17"/>
  <c r="AN1686" i="17"/>
  <c r="AF1686" i="17"/>
  <c r="Q1686" i="17"/>
  <c r="AO1918" i="17"/>
  <c r="V3" i="17"/>
  <c r="K5" i="17"/>
  <c r="Z8" i="17"/>
  <c r="Z10" i="17"/>
  <c r="K17" i="17"/>
  <c r="X20" i="17"/>
  <c r="V23" i="17"/>
  <c r="T41" i="17"/>
  <c r="AA44" i="17"/>
  <c r="Z44" i="17"/>
  <c r="AB44" i="17"/>
  <c r="Y44" i="17"/>
  <c r="K45" i="17"/>
  <c r="N45" i="17"/>
  <c r="W49" i="17"/>
  <c r="K50" i="17"/>
  <c r="U51" i="17"/>
  <c r="AQ51" i="17" s="1"/>
  <c r="K53" i="17"/>
  <c r="O55" i="17" s="1"/>
  <c r="W57" i="17"/>
  <c r="X67" i="17"/>
  <c r="U77" i="17"/>
  <c r="AQ77" i="17" s="1"/>
  <c r="T77" i="17"/>
  <c r="L77" i="17"/>
  <c r="AB77" i="17"/>
  <c r="K77" i="17"/>
  <c r="S83" i="17"/>
  <c r="M83" i="17"/>
  <c r="AD83" i="17" s="1"/>
  <c r="AL83" i="17" s="1"/>
  <c r="Y83" i="12" s="1"/>
  <c r="L85" i="17"/>
  <c r="AA89" i="17"/>
  <c r="M89" i="17"/>
  <c r="AD89" i="17" s="1"/>
  <c r="X89" i="17"/>
  <c r="L89" i="17"/>
  <c r="S89" i="17"/>
  <c r="N89" i="17"/>
  <c r="X90" i="17"/>
  <c r="AO94" i="17"/>
  <c r="S94" i="17"/>
  <c r="R94" i="17"/>
  <c r="AP94" i="17" s="1"/>
  <c r="J98" i="17"/>
  <c r="M101" i="17"/>
  <c r="AD101" i="17" s="1"/>
  <c r="L103" i="17"/>
  <c r="Z104" i="17"/>
  <c r="K107" i="17"/>
  <c r="T111" i="17"/>
  <c r="T113" i="17"/>
  <c r="N115" i="17"/>
  <c r="AB115" i="17"/>
  <c r="M115" i="17"/>
  <c r="AE115" i="17" s="1"/>
  <c r="AA115" i="17"/>
  <c r="X115" i="17"/>
  <c r="W119" i="17"/>
  <c r="Z120" i="17"/>
  <c r="W120" i="17"/>
  <c r="T120" i="17"/>
  <c r="L120" i="17"/>
  <c r="S123" i="17"/>
  <c r="X124" i="17"/>
  <c r="S129" i="17"/>
  <c r="M129" i="17"/>
  <c r="AD129" i="17" s="1"/>
  <c r="T131" i="17"/>
  <c r="L133" i="17"/>
  <c r="Y134" i="17"/>
  <c r="K134" i="17"/>
  <c r="V137" i="17"/>
  <c r="K138" i="17"/>
  <c r="Z142" i="17"/>
  <c r="Y142" i="17"/>
  <c r="AO144" i="17"/>
  <c r="AB144" i="17"/>
  <c r="K145" i="17"/>
  <c r="S147" i="17"/>
  <c r="M147" i="17"/>
  <c r="K150" i="17"/>
  <c r="K151" i="17"/>
  <c r="AB153" i="17"/>
  <c r="N153" i="17"/>
  <c r="AA153" i="17"/>
  <c r="M153" i="17"/>
  <c r="AD153" i="17" s="1"/>
  <c r="AL153" i="17" s="1"/>
  <c r="Y153" i="12" s="1"/>
  <c r="W153" i="17"/>
  <c r="V153" i="17"/>
  <c r="J154" i="17"/>
  <c r="K154" i="17"/>
  <c r="N155" i="17"/>
  <c r="U159" i="17"/>
  <c r="AQ159" i="17" s="1"/>
  <c r="M161" i="17"/>
  <c r="AD161" i="17" s="1"/>
  <c r="W164" i="17"/>
  <c r="L164" i="17"/>
  <c r="U173" i="17"/>
  <c r="AH173" i="17" s="1"/>
  <c r="AP176" i="17"/>
  <c r="AJ176" i="17"/>
  <c r="Q176" i="17"/>
  <c r="P176" i="17"/>
  <c r="AP185" i="17"/>
  <c r="AR185" i="17"/>
  <c r="AF185" i="17"/>
  <c r="V185" i="17"/>
  <c r="L185" i="17"/>
  <c r="AQ185" i="17"/>
  <c r="AE185" i="17"/>
  <c r="U185" i="17"/>
  <c r="K185" i="17"/>
  <c r="AJ185" i="17"/>
  <c r="T185" i="17"/>
  <c r="AI185" i="17"/>
  <c r="S185" i="17"/>
  <c r="AB185" i="17"/>
  <c r="K186" i="17"/>
  <c r="AM186" i="17"/>
  <c r="T187" i="17"/>
  <c r="AL187" i="17"/>
  <c r="T189" i="17"/>
  <c r="AJ189" i="17"/>
  <c r="O201" i="17"/>
  <c r="AK201" i="17"/>
  <c r="Y206" i="17"/>
  <c r="AO206" i="17"/>
  <c r="S206" i="17"/>
  <c r="Q206" i="17"/>
  <c r="AN206" i="17"/>
  <c r="P206" i="17"/>
  <c r="AP211" i="17"/>
  <c r="AJ211" i="17"/>
  <c r="X211" i="17"/>
  <c r="N211" i="17"/>
  <c r="AI211" i="17"/>
  <c r="W211" i="17"/>
  <c r="M211" i="17"/>
  <c r="AQ211" i="17"/>
  <c r="AC211" i="17"/>
  <c r="O211" i="17"/>
  <c r="AN211" i="17"/>
  <c r="AB211" i="17"/>
  <c r="L211" i="17"/>
  <c r="AD211" i="17"/>
  <c r="L213" i="17"/>
  <c r="AD213" i="17"/>
  <c r="S214" i="17"/>
  <c r="K216" i="17"/>
  <c r="AI216" i="17"/>
  <c r="O219" i="17"/>
  <c r="AE219" i="17"/>
  <c r="AB222" i="17"/>
  <c r="AE224" i="17"/>
  <c r="R226" i="17"/>
  <c r="L233" i="17"/>
  <c r="AF233" i="17"/>
  <c r="AR238" i="17"/>
  <c r="AA238" i="17"/>
  <c r="AQ238" i="17"/>
  <c r="T238" i="17"/>
  <c r="R238" i="17"/>
  <c r="AP238" i="17"/>
  <c r="Q238" i="17"/>
  <c r="O241" i="17"/>
  <c r="AK241" i="17"/>
  <c r="AP245" i="17"/>
  <c r="AJ245" i="17"/>
  <c r="X245" i="17"/>
  <c r="N245" i="17"/>
  <c r="AI245" i="17"/>
  <c r="W245" i="17"/>
  <c r="M245" i="17"/>
  <c r="AK245" i="17"/>
  <c r="U245" i="17"/>
  <c r="AF245" i="17"/>
  <c r="T245" i="17"/>
  <c r="AB245" i="17"/>
  <c r="AR245" i="17"/>
  <c r="Q250" i="17"/>
  <c r="M253" i="17"/>
  <c r="AC253" i="17"/>
  <c r="AF254" i="17"/>
  <c r="AP261" i="17"/>
  <c r="AK261" i="17"/>
  <c r="AA261" i="17"/>
  <c r="O261" i="17"/>
  <c r="AJ261" i="17"/>
  <c r="X261" i="17"/>
  <c r="N261" i="17"/>
  <c r="AF261" i="17"/>
  <c r="T261" i="17"/>
  <c r="AE261" i="17"/>
  <c r="S261" i="17"/>
  <c r="AB261" i="17"/>
  <c r="AR261" i="17"/>
  <c r="S263" i="17"/>
  <c r="AI263" i="17"/>
  <c r="Z264" i="17"/>
  <c r="M267" i="17"/>
  <c r="AE267" i="17"/>
  <c r="P273" i="17"/>
  <c r="AF273" i="17"/>
  <c r="X274" i="17"/>
  <c r="L276" i="17"/>
  <c r="AH276" i="17"/>
  <c r="P277" i="17"/>
  <c r="AL277" i="17"/>
  <c r="W278" i="17"/>
  <c r="AP279" i="17"/>
  <c r="AK279" i="17"/>
  <c r="AA279" i="17"/>
  <c r="O279" i="17"/>
  <c r="AJ279" i="17"/>
  <c r="X279" i="17"/>
  <c r="N279" i="17"/>
  <c r="AQ279" i="17"/>
  <c r="AC279" i="17"/>
  <c r="M279" i="17"/>
  <c r="AN279" i="17"/>
  <c r="AB279" i="17"/>
  <c r="L279" i="17"/>
  <c r="AD279" i="17"/>
  <c r="P280" i="17"/>
  <c r="AN280" i="17"/>
  <c r="AE282" i="17"/>
  <c r="AB282" i="17"/>
  <c r="AA282" i="17"/>
  <c r="Q282" i="17"/>
  <c r="P282" i="17"/>
  <c r="T283" i="17"/>
  <c r="AJ283" i="17"/>
  <c r="O285" i="17"/>
  <c r="AI285" i="17"/>
  <c r="W288" i="17"/>
  <c r="T288" i="17"/>
  <c r="AH288" i="17"/>
  <c r="AG288" i="17"/>
  <c r="M289" i="17"/>
  <c r="AC289" i="17"/>
  <c r="X290" i="17"/>
  <c r="AP293" i="17"/>
  <c r="AI293" i="17"/>
  <c r="W293" i="17"/>
  <c r="M293" i="17"/>
  <c r="AR293" i="17"/>
  <c r="AF293" i="17"/>
  <c r="V293" i="17"/>
  <c r="L293" i="17"/>
  <c r="AD293" i="17"/>
  <c r="P293" i="17"/>
  <c r="AQ293" i="17"/>
  <c r="AC293" i="17"/>
  <c r="O293" i="17"/>
  <c r="AB293" i="17"/>
  <c r="AP295" i="17"/>
  <c r="AI295" i="17"/>
  <c r="W295" i="17"/>
  <c r="M295" i="17"/>
  <c r="AR295" i="17"/>
  <c r="AF295" i="17"/>
  <c r="V295" i="17"/>
  <c r="L295" i="17"/>
  <c r="AK295" i="17"/>
  <c r="U295" i="17"/>
  <c r="AJ295" i="17"/>
  <c r="T295" i="17"/>
  <c r="AB295" i="17"/>
  <c r="M297" i="17"/>
  <c r="AI297" i="17"/>
  <c r="S304" i="17"/>
  <c r="AO304" i="17"/>
  <c r="R304" i="17"/>
  <c r="AH304" i="17"/>
  <c r="AG304" i="17"/>
  <c r="W306" i="17"/>
  <c r="AI310" i="17"/>
  <c r="W310" i="17"/>
  <c r="AH310" i="17"/>
  <c r="R310" i="17"/>
  <c r="AN310" i="17"/>
  <c r="X310" i="17"/>
  <c r="AM310" i="17"/>
  <c r="Q310" i="17"/>
  <c r="AB310" i="17"/>
  <c r="O311" i="17"/>
  <c r="AK311" i="17"/>
  <c r="Z312" i="17"/>
  <c r="M313" i="17"/>
  <c r="AI313" i="17"/>
  <c r="K315" i="17"/>
  <c r="AA315" i="17"/>
  <c r="T317" i="17"/>
  <c r="AL317" i="17"/>
  <c r="AH320" i="17"/>
  <c r="AQ324" i="17"/>
  <c r="AF324" i="17"/>
  <c r="R324" i="17"/>
  <c r="AP324" i="17"/>
  <c r="AB324" i="17"/>
  <c r="Q324" i="17"/>
  <c r="AJ324" i="17"/>
  <c r="W324" i="17"/>
  <c r="AI324" i="17"/>
  <c r="T324" i="17"/>
  <c r="Z324" i="17"/>
  <c r="K325" i="17"/>
  <c r="AE325" i="17"/>
  <c r="P326" i="17"/>
  <c r="AJ326" i="17"/>
  <c r="Y328" i="17"/>
  <c r="N329" i="17"/>
  <c r="AD329" i="17"/>
  <c r="AO330" i="17"/>
  <c r="K333" i="17"/>
  <c r="AC333" i="17"/>
  <c r="S336" i="17"/>
  <c r="K339" i="17"/>
  <c r="AC339" i="17"/>
  <c r="Y340" i="17"/>
  <c r="AO340" i="17"/>
  <c r="S340" i="17"/>
  <c r="Z340" i="17"/>
  <c r="R340" i="17"/>
  <c r="J351" i="17"/>
  <c r="Z351" i="17"/>
  <c r="AR351" i="17"/>
  <c r="Y354" i="17"/>
  <c r="N355" i="17"/>
  <c r="AF355" i="17"/>
  <c r="O356" i="17"/>
  <c r="O357" i="17"/>
  <c r="AH357" i="17"/>
  <c r="AR358" i="17"/>
  <c r="AH362" i="17"/>
  <c r="AO365" i="17"/>
  <c r="AR365" i="17"/>
  <c r="AI365" i="17"/>
  <c r="Z365" i="17"/>
  <c r="P365" i="17"/>
  <c r="AQ365" i="17"/>
  <c r="AH365" i="17"/>
  <c r="X365" i="17"/>
  <c r="O365" i="17"/>
  <c r="AM365" i="17"/>
  <c r="AB365" i="17"/>
  <c r="N365" i="17"/>
  <c r="AL365" i="17"/>
  <c r="AA365" i="17"/>
  <c r="M365" i="17"/>
  <c r="V365" i="17"/>
  <c r="AN365" i="17"/>
  <c r="K367" i="17"/>
  <c r="AA367" i="17"/>
  <c r="R369" i="17"/>
  <c r="AH369" i="17"/>
  <c r="O375" i="17"/>
  <c r="AH375" i="17"/>
  <c r="AO377" i="17"/>
  <c r="AM377" i="17"/>
  <c r="AD377" i="17"/>
  <c r="U377" i="17"/>
  <c r="L377" i="17"/>
  <c r="AL377" i="17"/>
  <c r="AC377" i="17"/>
  <c r="T377" i="17"/>
  <c r="K377" i="17"/>
  <c r="AN377" i="17"/>
  <c r="AA377" i="17"/>
  <c r="O377" i="17"/>
  <c r="AK377" i="17"/>
  <c r="Z377" i="17"/>
  <c r="N377" i="17"/>
  <c r="X377" i="17"/>
  <c r="AQ377" i="17"/>
  <c r="K381" i="17"/>
  <c r="AA381" i="17"/>
  <c r="R385" i="17"/>
  <c r="AE385" i="17"/>
  <c r="O386" i="17"/>
  <c r="J387" i="17"/>
  <c r="Z387" i="17"/>
  <c r="AR387" i="17"/>
  <c r="L389" i="17"/>
  <c r="AB389" i="17"/>
  <c r="J390" i="17"/>
  <c r="AG394" i="17"/>
  <c r="R395" i="17"/>
  <c r="AJ395" i="17"/>
  <c r="M399" i="17"/>
  <c r="AE399" i="17"/>
  <c r="O400" i="17"/>
  <c r="AM400" i="17"/>
  <c r="S401" i="17"/>
  <c r="AK401" i="17"/>
  <c r="M403" i="17"/>
  <c r="AC403" i="17"/>
  <c r="Q404" i="17"/>
  <c r="K405" i="17"/>
  <c r="AC405" i="17"/>
  <c r="N417" i="17"/>
  <c r="AJ417" i="17"/>
  <c r="W418" i="17"/>
  <c r="AP419" i="17"/>
  <c r="AM419" i="17"/>
  <c r="AC419" i="17"/>
  <c r="S419" i="17"/>
  <c r="AL419" i="17"/>
  <c r="AB419" i="17"/>
  <c r="P419" i="17"/>
  <c r="AQ419" i="17"/>
  <c r="AA419" i="17"/>
  <c r="M419" i="17"/>
  <c r="AN419" i="17"/>
  <c r="X419" i="17"/>
  <c r="L419" i="17"/>
  <c r="AD419" i="17"/>
  <c r="L420" i="17"/>
  <c r="AN420" i="17"/>
  <c r="S425" i="17"/>
  <c r="AK425" i="17"/>
  <c r="O431" i="17"/>
  <c r="AI431" i="17"/>
  <c r="O432" i="17"/>
  <c r="AM432" i="17"/>
  <c r="L436" i="17"/>
  <c r="AP437" i="17"/>
  <c r="AR437" i="17"/>
  <c r="AF437" i="17"/>
  <c r="V437" i="17"/>
  <c r="L437" i="17"/>
  <c r="AQ437" i="17"/>
  <c r="AE437" i="17"/>
  <c r="U437" i="17"/>
  <c r="K437" i="17"/>
  <c r="AJ437" i="17"/>
  <c r="T437" i="17"/>
  <c r="AI437" i="17"/>
  <c r="S437" i="17"/>
  <c r="AB437" i="17"/>
  <c r="AP443" i="17"/>
  <c r="AI443" i="17"/>
  <c r="W443" i="17"/>
  <c r="M443" i="17"/>
  <c r="AR443" i="17"/>
  <c r="AF443" i="17"/>
  <c r="V443" i="17"/>
  <c r="L443" i="17"/>
  <c r="AJ443" i="17"/>
  <c r="T443" i="17"/>
  <c r="AE443" i="17"/>
  <c r="S443" i="17"/>
  <c r="AB443" i="17"/>
  <c r="AP448" i="17"/>
  <c r="AB448" i="17"/>
  <c r="Q448" i="17"/>
  <c r="AN448" i="17"/>
  <c r="AA448" i="17"/>
  <c r="P448" i="17"/>
  <c r="AI448" i="17"/>
  <c r="T448" i="17"/>
  <c r="AH448" i="17"/>
  <c r="R448" i="17"/>
  <c r="Z448" i="17"/>
  <c r="K449" i="17"/>
  <c r="AE449" i="17"/>
  <c r="P450" i="17"/>
  <c r="AJ450" i="17"/>
  <c r="Q458" i="17"/>
  <c r="AH460" i="17"/>
  <c r="K465" i="17"/>
  <c r="AE465" i="17"/>
  <c r="L466" i="17"/>
  <c r="AJ466" i="17"/>
  <c r="AP472" i="17"/>
  <c r="AQ482" i="17"/>
  <c r="AA482" i="17"/>
  <c r="O482" i="17"/>
  <c r="AN482" i="17"/>
  <c r="Z482" i="17"/>
  <c r="L482" i="17"/>
  <c r="AM482" i="17"/>
  <c r="W482" i="17"/>
  <c r="AJ482" i="17"/>
  <c r="R482" i="17"/>
  <c r="AH482" i="17"/>
  <c r="AP485" i="17"/>
  <c r="AR485" i="17"/>
  <c r="AF485" i="17"/>
  <c r="V485" i="17"/>
  <c r="L485" i="17"/>
  <c r="AQ485" i="17"/>
  <c r="AE485" i="17"/>
  <c r="U485" i="17"/>
  <c r="K485" i="17"/>
  <c r="AD485" i="17"/>
  <c r="P485" i="17"/>
  <c r="AC485" i="17"/>
  <c r="O485" i="17"/>
  <c r="AB485" i="17"/>
  <c r="AO488" i="17"/>
  <c r="S494" i="17"/>
  <c r="J494" i="17"/>
  <c r="AP497" i="17"/>
  <c r="AM497" i="17"/>
  <c r="AC497" i="17"/>
  <c r="S497" i="17"/>
  <c r="AL497" i="17"/>
  <c r="AB497" i="17"/>
  <c r="P497" i="17"/>
  <c r="AR497" i="17"/>
  <c r="AD497" i="17"/>
  <c r="N497" i="17"/>
  <c r="AQ497" i="17"/>
  <c r="AA497" i="17"/>
  <c r="M497" i="17"/>
  <c r="X497" i="17"/>
  <c r="Z500" i="17"/>
  <c r="O501" i="17"/>
  <c r="AK501" i="17"/>
  <c r="AF506" i="17"/>
  <c r="AP509" i="17"/>
  <c r="AR509" i="17"/>
  <c r="AF509" i="17"/>
  <c r="V509" i="17"/>
  <c r="L509" i="17"/>
  <c r="AQ509" i="17"/>
  <c r="AE509" i="17"/>
  <c r="U509" i="17"/>
  <c r="K509" i="17"/>
  <c r="AN509" i="17"/>
  <c r="AB509" i="17"/>
  <c r="N509" i="17"/>
  <c r="AM509" i="17"/>
  <c r="AA509" i="17"/>
  <c r="M509" i="17"/>
  <c r="AD509" i="17"/>
  <c r="AP511" i="17"/>
  <c r="AJ511" i="17"/>
  <c r="X511" i="17"/>
  <c r="N511" i="17"/>
  <c r="AI511" i="17"/>
  <c r="W511" i="17"/>
  <c r="M511" i="17"/>
  <c r="AR511" i="17"/>
  <c r="AD511" i="17"/>
  <c r="P511" i="17"/>
  <c r="AQ511" i="17"/>
  <c r="AC511" i="17"/>
  <c r="O511" i="17"/>
  <c r="AB511" i="17"/>
  <c r="O516" i="17"/>
  <c r="K517" i="17"/>
  <c r="AC517" i="17"/>
  <c r="N519" i="17"/>
  <c r="AJ519" i="17"/>
  <c r="AP521" i="17"/>
  <c r="AI521" i="17"/>
  <c r="W521" i="17"/>
  <c r="M521" i="17"/>
  <c r="AR521" i="17"/>
  <c r="AF521" i="17"/>
  <c r="V521" i="17"/>
  <c r="L521" i="17"/>
  <c r="AE521" i="17"/>
  <c r="S521" i="17"/>
  <c r="AD521" i="17"/>
  <c r="P521" i="17"/>
  <c r="AB521" i="17"/>
  <c r="T523" i="17"/>
  <c r="AL523" i="17"/>
  <c r="AP526" i="17"/>
  <c r="K529" i="17"/>
  <c r="AC529" i="17"/>
  <c r="T531" i="17"/>
  <c r="AJ531" i="17"/>
  <c r="AP535" i="17"/>
  <c r="AM535" i="17"/>
  <c r="AC535" i="17"/>
  <c r="S535" i="17"/>
  <c r="AL535" i="17"/>
  <c r="AB535" i="17"/>
  <c r="P535" i="17"/>
  <c r="AI535" i="17"/>
  <c r="U535" i="17"/>
  <c r="AF535" i="17"/>
  <c r="T535" i="17"/>
  <c r="X535" i="17"/>
  <c r="AR535" i="17"/>
  <c r="L547" i="17"/>
  <c r="AF547" i="17"/>
  <c r="T551" i="17"/>
  <c r="AL551" i="17"/>
  <c r="AP553" i="17"/>
  <c r="AM553" i="17"/>
  <c r="AC553" i="17"/>
  <c r="S553" i="17"/>
  <c r="AL553" i="17"/>
  <c r="AB553" i="17"/>
  <c r="P553" i="17"/>
  <c r="AN553" i="17"/>
  <c r="X553" i="17"/>
  <c r="L553" i="17"/>
  <c r="AK553" i="17"/>
  <c r="W553" i="17"/>
  <c r="K553" i="17"/>
  <c r="AD553" i="17"/>
  <c r="J554" i="17"/>
  <c r="S559" i="17"/>
  <c r="AK559" i="17"/>
  <c r="K562" i="17"/>
  <c r="AM562" i="17"/>
  <c r="P565" i="17"/>
  <c r="AL565" i="17"/>
  <c r="P569" i="17"/>
  <c r="AJ569" i="17"/>
  <c r="L573" i="17"/>
  <c r="AD573" i="17"/>
  <c r="Q576" i="17"/>
  <c r="AI576" i="17"/>
  <c r="S579" i="17"/>
  <c r="AK579" i="17"/>
  <c r="P583" i="17"/>
  <c r="AF583" i="17"/>
  <c r="P587" i="17"/>
  <c r="AL587" i="17"/>
  <c r="T590" i="17"/>
  <c r="K593" i="17"/>
  <c r="AC593" i="17"/>
  <c r="AO597" i="17"/>
  <c r="AR597" i="17"/>
  <c r="AI597" i="17"/>
  <c r="Z597" i="17"/>
  <c r="P597" i="17"/>
  <c r="AQ597" i="17"/>
  <c r="AH597" i="17"/>
  <c r="X597" i="17"/>
  <c r="O597" i="17"/>
  <c r="AM597" i="17"/>
  <c r="AB597" i="17"/>
  <c r="N597" i="17"/>
  <c r="AL597" i="17"/>
  <c r="AA597" i="17"/>
  <c r="M597" i="17"/>
  <c r="V597" i="17"/>
  <c r="AN597" i="17"/>
  <c r="AJ604" i="17"/>
  <c r="K607" i="17"/>
  <c r="AA607" i="17"/>
  <c r="P609" i="17"/>
  <c r="AF609" i="17"/>
  <c r="R610" i="17"/>
  <c r="O625" i="17"/>
  <c r="AL625" i="17"/>
  <c r="K631" i="17"/>
  <c r="AK631" i="17"/>
  <c r="K634" i="17"/>
  <c r="AQ634" i="17"/>
  <c r="Y638" i="17"/>
  <c r="S638" i="17"/>
  <c r="R638" i="17"/>
  <c r="AN638" i="17"/>
  <c r="AM638" i="17"/>
  <c r="AL638" i="17"/>
  <c r="T641" i="17"/>
  <c r="AM641" i="17"/>
  <c r="S647" i="17"/>
  <c r="AP648" i="17"/>
  <c r="AN648" i="17"/>
  <c r="AO657" i="17"/>
  <c r="AK657" i="17"/>
  <c r="AB657" i="17"/>
  <c r="S657" i="17"/>
  <c r="J657" i="17"/>
  <c r="AJ657" i="17"/>
  <c r="Z657" i="17"/>
  <c r="O657" i="17"/>
  <c r="AI657" i="17"/>
  <c r="X657" i="17"/>
  <c r="N657" i="17"/>
  <c r="AH657" i="17"/>
  <c r="U657" i="17"/>
  <c r="AF657" i="17"/>
  <c r="T657" i="17"/>
  <c r="AR657" i="17"/>
  <c r="AE657" i="17"/>
  <c r="R657" i="17"/>
  <c r="AC657" i="17"/>
  <c r="S662" i="17"/>
  <c r="AH662" i="17"/>
  <c r="X662" i="17"/>
  <c r="AO662" i="17"/>
  <c r="AN662" i="17"/>
  <c r="AO670" i="17"/>
  <c r="AN670" i="17"/>
  <c r="AM670" i="17"/>
  <c r="Z672" i="17"/>
  <c r="X672" i="17"/>
  <c r="V682" i="17"/>
  <c r="AA690" i="17"/>
  <c r="AO693" i="17"/>
  <c r="AL693" i="17"/>
  <c r="AC693" i="17"/>
  <c r="T693" i="17"/>
  <c r="K693" i="17"/>
  <c r="AK693" i="17"/>
  <c r="AA693" i="17"/>
  <c r="P693" i="17"/>
  <c r="AJ693" i="17"/>
  <c r="Z693" i="17"/>
  <c r="O693" i="17"/>
  <c r="AQ693" i="17"/>
  <c r="AD693" i="17"/>
  <c r="N693" i="17"/>
  <c r="AP693" i="17"/>
  <c r="AB693" i="17"/>
  <c r="M693" i="17"/>
  <c r="AN693" i="17"/>
  <c r="X693" i="17"/>
  <c r="L693" i="17"/>
  <c r="AF693" i="17"/>
  <c r="AD694" i="17"/>
  <c r="AH702" i="17"/>
  <c r="W703" i="17"/>
  <c r="Y710" i="17"/>
  <c r="S719" i="17"/>
  <c r="AP719" i="17"/>
  <c r="AD722" i="17"/>
  <c r="AQ726" i="17"/>
  <c r="AQ730" i="17"/>
  <c r="AF730" i="17"/>
  <c r="R730" i="17"/>
  <c r="AD730" i="17"/>
  <c r="P730" i="17"/>
  <c r="AP730" i="17"/>
  <c r="AA730" i="17"/>
  <c r="O730" i="17"/>
  <c r="AN730" i="17"/>
  <c r="X730" i="17"/>
  <c r="AM730" i="17"/>
  <c r="W730" i="17"/>
  <c r="AL730" i="17"/>
  <c r="V730" i="17"/>
  <c r="AH730" i="17"/>
  <c r="AO733" i="17"/>
  <c r="AN733" i="17"/>
  <c r="AE733" i="17"/>
  <c r="V733" i="17"/>
  <c r="M733" i="17"/>
  <c r="AQ733" i="17"/>
  <c r="AF733" i="17"/>
  <c r="U733" i="17"/>
  <c r="K733" i="17"/>
  <c r="AP733" i="17"/>
  <c r="AD733" i="17"/>
  <c r="T733" i="17"/>
  <c r="J733" i="17"/>
  <c r="AI733" i="17"/>
  <c r="S733" i="17"/>
  <c r="AH733" i="17"/>
  <c r="R733" i="17"/>
  <c r="AC733" i="17"/>
  <c r="P733" i="17"/>
  <c r="AB733" i="17"/>
  <c r="J737" i="17"/>
  <c r="AC737" i="17"/>
  <c r="O742" i="17"/>
  <c r="P751" i="17"/>
  <c r="AJ751" i="17"/>
  <c r="Z756" i="17"/>
  <c r="P757" i="17"/>
  <c r="AN757" i="17"/>
  <c r="O767" i="17"/>
  <c r="AL767" i="17"/>
  <c r="AL770" i="17"/>
  <c r="AM770" i="17"/>
  <c r="AO773" i="17"/>
  <c r="AL773" i="17"/>
  <c r="AC773" i="17"/>
  <c r="T773" i="17"/>
  <c r="K773" i="17"/>
  <c r="AQ773" i="17"/>
  <c r="AF773" i="17"/>
  <c r="V773" i="17"/>
  <c r="L773" i="17"/>
  <c r="AP773" i="17"/>
  <c r="AE773" i="17"/>
  <c r="U773" i="17"/>
  <c r="J773" i="17"/>
  <c r="AR773" i="17"/>
  <c r="AB773" i="17"/>
  <c r="O773" i="17"/>
  <c r="AN773" i="17"/>
  <c r="AA773" i="17"/>
  <c r="N773" i="17"/>
  <c r="AM773" i="17"/>
  <c r="Z773" i="17"/>
  <c r="M773" i="17"/>
  <c r="AI773" i="17"/>
  <c r="Y778" i="17"/>
  <c r="M782" i="17"/>
  <c r="AH783" i="17"/>
  <c r="W783" i="17"/>
  <c r="L783" i="17"/>
  <c r="AG783" i="17"/>
  <c r="U783" i="17"/>
  <c r="AF783" i="17"/>
  <c r="Q783" i="17"/>
  <c r="AP783" i="17"/>
  <c r="Y783" i="17"/>
  <c r="AO783" i="17"/>
  <c r="X783" i="17"/>
  <c r="AN783" i="17"/>
  <c r="V783" i="17"/>
  <c r="AJ783" i="17"/>
  <c r="V799" i="17"/>
  <c r="AH804" i="17"/>
  <c r="L821" i="17"/>
  <c r="AG833" i="17"/>
  <c r="N833" i="17"/>
  <c r="AJ833" i="17"/>
  <c r="O833" i="17"/>
  <c r="AH833" i="17"/>
  <c r="M833" i="17"/>
  <c r="W833" i="17"/>
  <c r="V833" i="17"/>
  <c r="P833" i="17"/>
  <c r="AP837" i="17"/>
  <c r="AB837" i="17"/>
  <c r="O837" i="17"/>
  <c r="AC837" i="17"/>
  <c r="L837" i="17"/>
  <c r="AR837" i="17"/>
  <c r="Z837" i="17"/>
  <c r="J837" i="17"/>
  <c r="Y837" i="17"/>
  <c r="X837" i="17"/>
  <c r="AM837" i="17"/>
  <c r="T837" i="17"/>
  <c r="AL837" i="17"/>
  <c r="AE849" i="17"/>
  <c r="O849" i="17"/>
  <c r="AN849" i="17"/>
  <c r="R849" i="17"/>
  <c r="AK849" i="17"/>
  <c r="Q849" i="17"/>
  <c r="Z849" i="17"/>
  <c r="Y849" i="17"/>
  <c r="AR849" i="17"/>
  <c r="V849" i="17"/>
  <c r="AR852" i="17"/>
  <c r="Z857" i="17"/>
  <c r="AL859" i="17"/>
  <c r="AF859" i="17"/>
  <c r="L859" i="17"/>
  <c r="X859" i="17"/>
  <c r="U859" i="17"/>
  <c r="N859" i="17"/>
  <c r="M859" i="17"/>
  <c r="AP859" i="17"/>
  <c r="J859" i="17"/>
  <c r="P863" i="17"/>
  <c r="AD872" i="17"/>
  <c r="R872" i="17"/>
  <c r="AR872" i="17"/>
  <c r="AB872" i="17"/>
  <c r="L872" i="17"/>
  <c r="AO872" i="17"/>
  <c r="AA872" i="17"/>
  <c r="K872" i="17"/>
  <c r="AL872" i="17"/>
  <c r="S872" i="17"/>
  <c r="AK872" i="17"/>
  <c r="Q872" i="17"/>
  <c r="AJ872" i="17"/>
  <c r="M872" i="17"/>
  <c r="AD874" i="17"/>
  <c r="Z876" i="17"/>
  <c r="N896" i="17"/>
  <c r="AI898" i="17"/>
  <c r="AO909" i="17"/>
  <c r="AE909" i="17"/>
  <c r="U909" i="17"/>
  <c r="J909" i="17"/>
  <c r="AR909" i="17"/>
  <c r="AF909" i="17"/>
  <c r="T909" i="17"/>
  <c r="AP909" i="17"/>
  <c r="AD909" i="17"/>
  <c r="Q909" i="17"/>
  <c r="AJ909" i="17"/>
  <c r="V909" i="17"/>
  <c r="AH909" i="17"/>
  <c r="P909" i="17"/>
  <c r="AG909" i="17"/>
  <c r="O909" i="17"/>
  <c r="AC909" i="17"/>
  <c r="X910" i="17"/>
  <c r="AP922" i="17"/>
  <c r="AO922" i="17"/>
  <c r="AC922" i="17"/>
  <c r="Z927" i="17"/>
  <c r="AA928" i="17"/>
  <c r="R929" i="17"/>
  <c r="AF936" i="17"/>
  <c r="Q936" i="17"/>
  <c r="U936" i="17"/>
  <c r="AR936" i="17"/>
  <c r="T936" i="17"/>
  <c r="AD936" i="17"/>
  <c r="AC936" i="17"/>
  <c r="AB936" i="17"/>
  <c r="AI942" i="17"/>
  <c r="X942" i="17"/>
  <c r="L942" i="17"/>
  <c r="AH942" i="17"/>
  <c r="U942" i="17"/>
  <c r="AG942" i="17"/>
  <c r="T942" i="17"/>
  <c r="AL942" i="17"/>
  <c r="P942" i="17"/>
  <c r="AF942" i="17"/>
  <c r="N942" i="17"/>
  <c r="AD942" i="17"/>
  <c r="M942" i="17"/>
  <c r="AO942" i="17"/>
  <c r="Q946" i="17"/>
  <c r="V954" i="17"/>
  <c r="K956" i="17"/>
  <c r="AR956" i="17"/>
  <c r="AN966" i="17"/>
  <c r="AE969" i="17"/>
  <c r="AL972" i="17"/>
  <c r="AB972" i="17"/>
  <c r="Q972" i="17"/>
  <c r="AN972" i="17"/>
  <c r="Z972" i="17"/>
  <c r="N972" i="17"/>
  <c r="AP972" i="17"/>
  <c r="AC972" i="17"/>
  <c r="M972" i="17"/>
  <c r="AO972" i="17"/>
  <c r="Y972" i="17"/>
  <c r="L972" i="17"/>
  <c r="AG972" i="17"/>
  <c r="P972" i="17"/>
  <c r="AF972" i="17"/>
  <c r="AQ972" i="17"/>
  <c r="T972" i="17"/>
  <c r="AK972" i="17"/>
  <c r="S972" i="17"/>
  <c r="AI972" i="17"/>
  <c r="K972" i="17"/>
  <c r="AP973" i="17"/>
  <c r="AF973" i="17"/>
  <c r="V973" i="17"/>
  <c r="L973" i="17"/>
  <c r="AL973" i="17"/>
  <c r="Y973" i="17"/>
  <c r="N973" i="17"/>
  <c r="AE973" i="17"/>
  <c r="Q973" i="17"/>
  <c r="AR973" i="17"/>
  <c r="AD973" i="17"/>
  <c r="P973" i="17"/>
  <c r="AG973" i="17"/>
  <c r="M973" i="17"/>
  <c r="AC973" i="17"/>
  <c r="J973" i="17"/>
  <c r="Z973" i="17"/>
  <c r="X973" i="17"/>
  <c r="W973" i="17"/>
  <c r="AO973" i="17"/>
  <c r="AB977" i="17"/>
  <c r="AQ992" i="17"/>
  <c r="L992" i="17"/>
  <c r="AD992" i="17"/>
  <c r="Y992" i="17"/>
  <c r="X992" i="17"/>
  <c r="V992" i="17"/>
  <c r="U992" i="17"/>
  <c r="AR992" i="17"/>
  <c r="AJ998" i="17"/>
  <c r="J1000" i="17"/>
  <c r="AK1001" i="17"/>
  <c r="AE1019" i="17"/>
  <c r="M1040" i="17"/>
  <c r="U1063" i="17"/>
  <c r="N1063" i="17"/>
  <c r="AD1063" i="17"/>
  <c r="Y1063" i="17"/>
  <c r="AN1063" i="17"/>
  <c r="M1078" i="17"/>
  <c r="AG1080" i="17"/>
  <c r="V1086" i="17"/>
  <c r="AL1088" i="17"/>
  <c r="Z1092" i="17"/>
  <c r="AQ1108" i="17"/>
  <c r="AD1108" i="17"/>
  <c r="R1108" i="17"/>
  <c r="AR1108" i="17"/>
  <c r="AB1108" i="17"/>
  <c r="N1108" i="17"/>
  <c r="AP1108" i="17"/>
  <c r="AA1108" i="17"/>
  <c r="M1108" i="17"/>
  <c r="AJ1108" i="17"/>
  <c r="T1108" i="17"/>
  <c r="AI1108" i="17"/>
  <c r="Q1108" i="17"/>
  <c r="Z1108" i="17"/>
  <c r="Y1108" i="17"/>
  <c r="AG1108" i="17"/>
  <c r="V1108" i="17"/>
  <c r="AK1108" i="17"/>
  <c r="AH1108" i="17"/>
  <c r="U1108" i="17"/>
  <c r="AL1109" i="17"/>
  <c r="AL1130" i="17"/>
  <c r="M1158" i="17"/>
  <c r="AI1164" i="17"/>
  <c r="V1164" i="17"/>
  <c r="K1164" i="17"/>
  <c r="AR1164" i="17"/>
  <c r="AD1164" i="17"/>
  <c r="Q1164" i="17"/>
  <c r="AQ1164" i="17"/>
  <c r="AB1164" i="17"/>
  <c r="N1164" i="17"/>
  <c r="AJ1164" i="17"/>
  <c r="R1164" i="17"/>
  <c r="AH1164" i="17"/>
  <c r="M1164" i="17"/>
  <c r="AA1164" i="17"/>
  <c r="Z1164" i="17"/>
  <c r="L1164" i="17"/>
  <c r="AP1164" i="17"/>
  <c r="J1164" i="17"/>
  <c r="AL1164" i="17"/>
  <c r="AK1164" i="17"/>
  <c r="AD1168" i="17"/>
  <c r="AR1170" i="17"/>
  <c r="AL1170" i="17"/>
  <c r="R1170" i="17"/>
  <c r="AD1170" i="17"/>
  <c r="U1170" i="17"/>
  <c r="S1170" i="17"/>
  <c r="M1170" i="17"/>
  <c r="AI1170" i="17"/>
  <c r="AH1170" i="17"/>
  <c r="AQ1170" i="17"/>
  <c r="AG1170" i="17"/>
  <c r="T1170" i="17"/>
  <c r="AR1182" i="17"/>
  <c r="AL1182" i="17"/>
  <c r="Y1182" i="17"/>
  <c r="M1182" i="17"/>
  <c r="AP1182" i="17"/>
  <c r="AC1182" i="17"/>
  <c r="N1182" i="17"/>
  <c r="AO1182" i="17"/>
  <c r="AB1182" i="17"/>
  <c r="L1182" i="17"/>
  <c r="AG1182" i="17"/>
  <c r="O1182" i="17"/>
  <c r="AE1182" i="17"/>
  <c r="K1182" i="17"/>
  <c r="AD1182" i="17"/>
  <c r="W1182" i="17"/>
  <c r="AK1182" i="17"/>
  <c r="AH1182" i="17"/>
  <c r="T1182" i="17"/>
  <c r="S1182" i="17"/>
  <c r="J1182" i="17"/>
  <c r="AP1183" i="17"/>
  <c r="T1204" i="17"/>
  <c r="AC1204" i="17"/>
  <c r="AD1204" i="17"/>
  <c r="V1204" i="17"/>
  <c r="AK1250" i="17"/>
  <c r="R1250" i="17"/>
  <c r="T1250" i="17"/>
  <c r="AD1250" i="17"/>
  <c r="Z1250" i="17"/>
  <c r="Y1250" i="17"/>
  <c r="S1250" i="17"/>
  <c r="AL1250" i="17"/>
  <c r="AJ1250" i="17"/>
  <c r="AI1250" i="17"/>
  <c r="Q1250" i="17"/>
  <c r="J1250" i="17"/>
  <c r="Q1351" i="17"/>
  <c r="Y1357" i="17"/>
  <c r="AN1361" i="17"/>
  <c r="AJ1361" i="17"/>
  <c r="X1361" i="17"/>
  <c r="J1361" i="17"/>
  <c r="AM1361" i="17"/>
  <c r="W1361" i="17"/>
  <c r="AG1361" i="17"/>
  <c r="O1361" i="17"/>
  <c r="AF1361" i="17"/>
  <c r="L1361" i="17"/>
  <c r="Z1361" i="17"/>
  <c r="Y1361" i="17"/>
  <c r="AI1361" i="17"/>
  <c r="AH1361" i="17"/>
  <c r="P1361" i="17"/>
  <c r="K1361" i="17"/>
  <c r="AR1361" i="17"/>
  <c r="AQ1361" i="17"/>
  <c r="N1368" i="17"/>
  <c r="AA1404" i="17"/>
  <c r="U1420" i="17"/>
  <c r="X1428" i="17"/>
  <c r="AL1438" i="17"/>
  <c r="L1480" i="17"/>
  <c r="W1493" i="17"/>
  <c r="AP1493" i="17"/>
  <c r="O1493" i="17"/>
  <c r="AE1493" i="17"/>
  <c r="X1493" i="17"/>
  <c r="AI1493" i="17"/>
  <c r="AH1493" i="17"/>
  <c r="AO1493" i="17"/>
  <c r="AJ1493" i="17"/>
  <c r="T1493" i="17"/>
  <c r="L1493" i="17"/>
  <c r="AM1528" i="17"/>
  <c r="AR1554" i="17"/>
  <c r="AE1660" i="17"/>
  <c r="W1660" i="17"/>
  <c r="O1660" i="17"/>
  <c r="V1660" i="17"/>
  <c r="N1660" i="17"/>
  <c r="AP1660" i="17"/>
  <c r="AO1660" i="17"/>
  <c r="AL1660" i="17"/>
  <c r="AI1660" i="17"/>
  <c r="AH1660" i="17"/>
  <c r="N1662" i="17"/>
  <c r="AO1671" i="17"/>
  <c r="AJ1671" i="17"/>
  <c r="Z1671" i="17"/>
  <c r="N1671" i="17"/>
  <c r="AH1671" i="17"/>
  <c r="U1671" i="17"/>
  <c r="J1671" i="17"/>
  <c r="AI1671" i="17"/>
  <c r="T1671" i="17"/>
  <c r="AR1671" i="17"/>
  <c r="AC1671" i="17"/>
  <c r="M1671" i="17"/>
  <c r="AQ1671" i="17"/>
  <c r="AB1671" i="17"/>
  <c r="L1671" i="17"/>
  <c r="AA1671" i="17"/>
  <c r="W1671" i="17"/>
  <c r="AE1671" i="17"/>
  <c r="AD1671" i="17"/>
  <c r="S1671" i="17"/>
  <c r="R1671" i="17"/>
  <c r="O1671" i="17"/>
  <c r="AP1671" i="17"/>
  <c r="K1671" i="17"/>
  <c r="AL1671" i="17"/>
  <c r="AK1671" i="17"/>
  <c r="U1705" i="17"/>
  <c r="AQ1719" i="17"/>
  <c r="AN1754" i="17"/>
  <c r="AA1754" i="17"/>
  <c r="P1754" i="17"/>
  <c r="AQ1754" i="17"/>
  <c r="AB1754" i="17"/>
  <c r="O1754" i="17"/>
  <c r="AG1754" i="17"/>
  <c r="Q1754" i="17"/>
  <c r="AH1754" i="17"/>
  <c r="L1754" i="17"/>
  <c r="AF1754" i="17"/>
  <c r="K1754" i="17"/>
  <c r="AR1754" i="17"/>
  <c r="W1754" i="17"/>
  <c r="AP1754" i="17"/>
  <c r="T1754" i="17"/>
  <c r="Y1754" i="17"/>
  <c r="X1754" i="17"/>
  <c r="AM1754" i="17"/>
  <c r="AJ1754" i="17"/>
  <c r="AI1754" i="17"/>
  <c r="Z1754" i="17"/>
  <c r="R1754" i="17"/>
  <c r="J1754" i="17"/>
  <c r="AO627" i="17"/>
  <c r="AM627" i="17"/>
  <c r="AD627" i="17"/>
  <c r="U627" i="17"/>
  <c r="L627" i="17"/>
  <c r="AL627" i="17"/>
  <c r="AB627" i="17"/>
  <c r="R627" i="17"/>
  <c r="AK627" i="17"/>
  <c r="AA627" i="17"/>
  <c r="P627" i="17"/>
  <c r="V627" i="17"/>
  <c r="AI627" i="17"/>
  <c r="AO633" i="17"/>
  <c r="AN633" i="17"/>
  <c r="AE633" i="17"/>
  <c r="V633" i="17"/>
  <c r="M633" i="17"/>
  <c r="AQ633" i="17"/>
  <c r="AF633" i="17"/>
  <c r="U633" i="17"/>
  <c r="K633" i="17"/>
  <c r="AP633" i="17"/>
  <c r="AD633" i="17"/>
  <c r="T633" i="17"/>
  <c r="J633" i="17"/>
  <c r="X633" i="17"/>
  <c r="AK633" i="17"/>
  <c r="AH660" i="17"/>
  <c r="R660" i="17"/>
  <c r="AD660" i="17"/>
  <c r="O660" i="17"/>
  <c r="AA660" i="17"/>
  <c r="N660" i="17"/>
  <c r="AG660" i="17"/>
  <c r="AL666" i="17"/>
  <c r="Y666" i="17"/>
  <c r="N666" i="17"/>
  <c r="AG666" i="17"/>
  <c r="R666" i="17"/>
  <c r="AF666" i="17"/>
  <c r="Q666" i="17"/>
  <c r="Z666" i="17"/>
  <c r="AQ666" i="17"/>
  <c r="AO673" i="17"/>
  <c r="AK673" i="17"/>
  <c r="AB673" i="17"/>
  <c r="S673" i="17"/>
  <c r="J673" i="17"/>
  <c r="AJ673" i="17"/>
  <c r="Z673" i="17"/>
  <c r="O673" i="17"/>
  <c r="AI673" i="17"/>
  <c r="X673" i="17"/>
  <c r="N673" i="17"/>
  <c r="V673" i="17"/>
  <c r="AL673" i="17"/>
  <c r="AO689" i="17"/>
  <c r="AR689" i="17"/>
  <c r="AI689" i="17"/>
  <c r="Z689" i="17"/>
  <c r="P689" i="17"/>
  <c r="AL689" i="17"/>
  <c r="AB689" i="17"/>
  <c r="R689" i="17"/>
  <c r="AK689" i="17"/>
  <c r="AA689" i="17"/>
  <c r="O689" i="17"/>
  <c r="U689" i="17"/>
  <c r="AH689" i="17"/>
  <c r="AO697" i="17"/>
  <c r="AN697" i="17"/>
  <c r="AE697" i="17"/>
  <c r="V697" i="17"/>
  <c r="M697" i="17"/>
  <c r="AI697" i="17"/>
  <c r="X697" i="17"/>
  <c r="N697" i="17"/>
  <c r="AR697" i="17"/>
  <c r="AH697" i="17"/>
  <c r="W697" i="17"/>
  <c r="L697" i="17"/>
  <c r="U697" i="17"/>
  <c r="AK697" i="17"/>
  <c r="AO699" i="17"/>
  <c r="AN699" i="17"/>
  <c r="AE699" i="17"/>
  <c r="V699" i="17"/>
  <c r="M699" i="17"/>
  <c r="AR699" i="17"/>
  <c r="AH699" i="17"/>
  <c r="W699" i="17"/>
  <c r="L699" i="17"/>
  <c r="AQ699" i="17"/>
  <c r="AF699" i="17"/>
  <c r="U699" i="17"/>
  <c r="K699" i="17"/>
  <c r="X699" i="17"/>
  <c r="AK699" i="17"/>
  <c r="AO725" i="17"/>
  <c r="AR725" i="17"/>
  <c r="AI725" i="17"/>
  <c r="Z725" i="17"/>
  <c r="P725" i="17"/>
  <c r="AL725" i="17"/>
  <c r="AB725" i="17"/>
  <c r="R725" i="17"/>
  <c r="AK725" i="17"/>
  <c r="AA725" i="17"/>
  <c r="O725" i="17"/>
  <c r="U725" i="17"/>
  <c r="AH725" i="17"/>
  <c r="AO741" i="17"/>
  <c r="AM741" i="17"/>
  <c r="AD741" i="17"/>
  <c r="U741" i="17"/>
  <c r="L741" i="17"/>
  <c r="AR741" i="17"/>
  <c r="AH741" i="17"/>
  <c r="W741" i="17"/>
  <c r="M741" i="17"/>
  <c r="AQ741" i="17"/>
  <c r="AF741" i="17"/>
  <c r="V741" i="17"/>
  <c r="K741" i="17"/>
  <c r="X741" i="17"/>
  <c r="AK741" i="17"/>
  <c r="AE766" i="17"/>
  <c r="Z766" i="17"/>
  <c r="Q766" i="17"/>
  <c r="O766" i="17"/>
  <c r="AO769" i="17"/>
  <c r="AL769" i="17"/>
  <c r="AC769" i="17"/>
  <c r="T769" i="17"/>
  <c r="K769" i="17"/>
  <c r="AM769" i="17"/>
  <c r="AB769" i="17"/>
  <c r="R769" i="17"/>
  <c r="AK769" i="17"/>
  <c r="AA769" i="17"/>
  <c r="P769" i="17"/>
  <c r="V769" i="17"/>
  <c r="AI769" i="17"/>
  <c r="AO777" i="17"/>
  <c r="AK777" i="17"/>
  <c r="AB777" i="17"/>
  <c r="S777" i="17"/>
  <c r="J777" i="17"/>
  <c r="AR777" i="17"/>
  <c r="AH777" i="17"/>
  <c r="W777" i="17"/>
  <c r="M777" i="17"/>
  <c r="AQ777" i="17"/>
  <c r="AF777" i="17"/>
  <c r="V777" i="17"/>
  <c r="L777" i="17"/>
  <c r="X777" i="17"/>
  <c r="AL777" i="17"/>
  <c r="AL781" i="17"/>
  <c r="Z781" i="17"/>
  <c r="P781" i="17"/>
  <c r="AN781" i="17"/>
  <c r="AC781" i="17"/>
  <c r="O781" i="17"/>
  <c r="AM781" i="17"/>
  <c r="Y781" i="17"/>
  <c r="N781" i="17"/>
  <c r="W781" i="17"/>
  <c r="AO781" i="17"/>
  <c r="AF802" i="17"/>
  <c r="P802" i="17"/>
  <c r="AP802" i="17"/>
  <c r="Y802" i="17"/>
  <c r="AO802" i="17"/>
  <c r="S802" i="17"/>
  <c r="AG802" i="17"/>
  <c r="AF816" i="17"/>
  <c r="L816" i="17"/>
  <c r="AO816" i="17"/>
  <c r="R816" i="17"/>
  <c r="AI816" i="17"/>
  <c r="Q816" i="17"/>
  <c r="AP816" i="17"/>
  <c r="AJ829" i="17"/>
  <c r="Y829" i="17"/>
  <c r="O829" i="17"/>
  <c r="AN829" i="17"/>
  <c r="AC829" i="17"/>
  <c r="P829" i="17"/>
  <c r="AM829" i="17"/>
  <c r="Z829" i="17"/>
  <c r="N829" i="17"/>
  <c r="W829" i="17"/>
  <c r="AO829" i="17"/>
  <c r="AK834" i="17"/>
  <c r="AI834" i="17"/>
  <c r="N834" i="17"/>
  <c r="V834" i="17"/>
  <c r="Q834" i="17"/>
  <c r="AJ834" i="17"/>
  <c r="AD839" i="17"/>
  <c r="P839" i="17"/>
  <c r="AR839" i="17"/>
  <c r="Z839" i="17"/>
  <c r="AN839" i="17"/>
  <c r="Y839" i="17"/>
  <c r="AE839" i="17"/>
  <c r="AJ848" i="17"/>
  <c r="R848" i="17"/>
  <c r="AO848" i="17"/>
  <c r="U848" i="17"/>
  <c r="AN848" i="17"/>
  <c r="Q848" i="17"/>
  <c r="AF848" i="17"/>
  <c r="AN891" i="17"/>
  <c r="AK891" i="17"/>
  <c r="R891" i="17"/>
  <c r="T891" i="17"/>
  <c r="AP891" i="17"/>
  <c r="O891" i="17"/>
  <c r="AG891" i="17"/>
  <c r="AO893" i="17"/>
  <c r="AE893" i="17"/>
  <c r="U893" i="17"/>
  <c r="J893" i="17"/>
  <c r="AP893" i="17"/>
  <c r="AD893" i="17"/>
  <c r="Q893" i="17"/>
  <c r="AN893" i="17"/>
  <c r="AC893" i="17"/>
  <c r="P893" i="17"/>
  <c r="X893" i="17"/>
  <c r="AM893" i="17"/>
  <c r="AD901" i="17"/>
  <c r="AC901" i="17"/>
  <c r="AK904" i="17"/>
  <c r="T904" i="17"/>
  <c r="Z904" i="17"/>
  <c r="S904" i="17"/>
  <c r="AI904" i="17"/>
  <c r="AI918" i="17"/>
  <c r="S918" i="17"/>
  <c r="AD918" i="17"/>
  <c r="Q918" i="17"/>
  <c r="AC918" i="17"/>
  <c r="P918" i="17"/>
  <c r="AA918" i="17"/>
  <c r="AP944" i="17"/>
  <c r="AG944" i="17"/>
  <c r="L944" i="17"/>
  <c r="U944" i="17"/>
  <c r="AR944" i="17"/>
  <c r="R944" i="17"/>
  <c r="AO944" i="17"/>
  <c r="AL949" i="17"/>
  <c r="U949" i="17"/>
  <c r="Z949" i="17"/>
  <c r="T949" i="17"/>
  <c r="AJ949" i="17"/>
  <c r="AL1002" i="17"/>
  <c r="V1002" i="17"/>
  <c r="AB1002" i="17"/>
  <c r="K1002" i="17"/>
  <c r="AK1002" i="17"/>
  <c r="N1002" i="17"/>
  <c r="AJ1002" i="17"/>
  <c r="M1002" i="17"/>
  <c r="AP1002" i="17"/>
  <c r="R1002" i="17"/>
  <c r="AO1002" i="17"/>
  <c r="L1002" i="17"/>
  <c r="AQ1010" i="17"/>
  <c r="AB1010" i="17"/>
  <c r="P1010" i="17"/>
  <c r="AR1010" i="17"/>
  <c r="AA1010" i="17"/>
  <c r="M1010" i="17"/>
  <c r="AG1010" i="17"/>
  <c r="N1010" i="17"/>
  <c r="AF1010" i="17"/>
  <c r="J1010" i="17"/>
  <c r="Y1010" i="17"/>
  <c r="X1010" i="17"/>
  <c r="AO1010" i="17"/>
  <c r="AL1060" i="17"/>
  <c r="AA1060" i="17"/>
  <c r="N1060" i="17"/>
  <c r="AH1060" i="17"/>
  <c r="T1060" i="17"/>
  <c r="AG1060" i="17"/>
  <c r="Q1060" i="17"/>
  <c r="AD1060" i="17"/>
  <c r="M1060" i="17"/>
  <c r="AQ1060" i="17"/>
  <c r="V1060" i="17"/>
  <c r="AP1060" i="17"/>
  <c r="U1060" i="17"/>
  <c r="AI1060" i="17"/>
  <c r="Z1131" i="17"/>
  <c r="AH1131" i="17"/>
  <c r="N1131" i="17"/>
  <c r="AO1131" i="17"/>
  <c r="P1131" i="17"/>
  <c r="AN1131" i="17"/>
  <c r="O1131" i="17"/>
  <c r="Y1131" i="17"/>
  <c r="R1131" i="17"/>
  <c r="AM1131" i="17"/>
  <c r="AE1131" i="17"/>
  <c r="Y1163" i="17"/>
  <c r="AD1163" i="17"/>
  <c r="AC1163" i="17"/>
  <c r="R1163" i="17"/>
  <c r="O1163" i="17"/>
  <c r="AO1163" i="17"/>
  <c r="AN1163" i="17"/>
  <c r="N1290" i="17"/>
  <c r="AP1290" i="17"/>
  <c r="Z1290" i="17"/>
  <c r="Y1290" i="17"/>
  <c r="AA1290" i="17"/>
  <c r="M1290" i="17"/>
  <c r="AO1290" i="17"/>
  <c r="AB1290" i="17"/>
  <c r="T1314" i="17"/>
  <c r="AJ1314" i="17"/>
  <c r="J1314" i="17"/>
  <c r="S1314" i="17"/>
  <c r="R1314" i="17"/>
  <c r="AK1314" i="17"/>
  <c r="AI1314" i="17"/>
  <c r="Y1314" i="17"/>
  <c r="Q1314" i="17"/>
  <c r="AL1314" i="17"/>
  <c r="AL1341" i="17"/>
  <c r="Y1341" i="17"/>
  <c r="N1341" i="17"/>
  <c r="AG1341" i="17"/>
  <c r="R1341" i="17"/>
  <c r="AC1341" i="17"/>
  <c r="M1341" i="17"/>
  <c r="AP1341" i="17"/>
  <c r="Z1341" i="17"/>
  <c r="J1341" i="17"/>
  <c r="AN1341" i="17"/>
  <c r="V1341" i="17"/>
  <c r="AM1341" i="17"/>
  <c r="Q1341" i="17"/>
  <c r="AH1341" i="17"/>
  <c r="AF1341" i="17"/>
  <c r="AK1341" i="17"/>
  <c r="AD1341" i="17"/>
  <c r="AP1398" i="17"/>
  <c r="AR1398" i="17"/>
  <c r="AF1398" i="17"/>
  <c r="V1398" i="17"/>
  <c r="L1398" i="17"/>
  <c r="AM1398" i="17"/>
  <c r="AB1398" i="17"/>
  <c r="O1398" i="17"/>
  <c r="AJ1398" i="17"/>
  <c r="U1398" i="17"/>
  <c r="AI1398" i="17"/>
  <c r="T1398" i="17"/>
  <c r="AN1398" i="17"/>
  <c r="W1398" i="17"/>
  <c r="AL1398" i="17"/>
  <c r="S1398" i="17"/>
  <c r="AC1398" i="17"/>
  <c r="AA1398" i="17"/>
  <c r="AE1398" i="17"/>
  <c r="AD1398" i="17"/>
  <c r="AJ1399" i="17"/>
  <c r="AP1399" i="17"/>
  <c r="X1399" i="17"/>
  <c r="P1399" i="17"/>
  <c r="O1399" i="17"/>
  <c r="AI1399" i="17"/>
  <c r="W1399" i="17"/>
  <c r="AP1402" i="17"/>
  <c r="AK1402" i="17"/>
  <c r="AA1402" i="17"/>
  <c r="O1402" i="17"/>
  <c r="AJ1402" i="17"/>
  <c r="W1402" i="17"/>
  <c r="L1402" i="17"/>
  <c r="AF1402" i="17"/>
  <c r="T1402" i="17"/>
  <c r="AE1402" i="17"/>
  <c r="S1402" i="17"/>
  <c r="AM1402" i="17"/>
  <c r="U1402" i="17"/>
  <c r="AL1402" i="17"/>
  <c r="P1402" i="17"/>
  <c r="AC1402" i="17"/>
  <c r="AB1402" i="17"/>
  <c r="X1402" i="17"/>
  <c r="V1402" i="17"/>
  <c r="AR1402" i="17"/>
  <c r="AN1417" i="17"/>
  <c r="AR1417" i="17"/>
  <c r="AF1417" i="17"/>
  <c r="P1417" i="17"/>
  <c r="AP1417" i="17"/>
  <c r="Y1417" i="17"/>
  <c r="J1417" i="17"/>
  <c r="AI1417" i="17"/>
  <c r="Q1417" i="17"/>
  <c r="AH1417" i="17"/>
  <c r="O1417" i="17"/>
  <c r="AQ1417" i="17"/>
  <c r="T1417" i="17"/>
  <c r="AM1417" i="17"/>
  <c r="L1417" i="17"/>
  <c r="W1417" i="17"/>
  <c r="K1417" i="17"/>
  <c r="AJ1417" i="17"/>
  <c r="AO1446" i="17"/>
  <c r="AK1446" i="17"/>
  <c r="AB1446" i="17"/>
  <c r="S1446" i="17"/>
  <c r="J1446" i="17"/>
  <c r="AP1446" i="17"/>
  <c r="AE1446" i="17"/>
  <c r="U1446" i="17"/>
  <c r="K1446" i="17"/>
  <c r="AQ1446" i="17"/>
  <c r="AD1446" i="17"/>
  <c r="R1446" i="17"/>
  <c r="AN1446" i="17"/>
  <c r="AC1446" i="17"/>
  <c r="P1446" i="17"/>
  <c r="AA1446" i="17"/>
  <c r="M1446" i="17"/>
  <c r="AR1446" i="17"/>
  <c r="Z1446" i="17"/>
  <c r="L1446" i="17"/>
  <c r="W1446" i="17"/>
  <c r="AM1446" i="17"/>
  <c r="V1446" i="17"/>
  <c r="AF1446" i="17"/>
  <c r="X1446" i="17"/>
  <c r="AN1463" i="17"/>
  <c r="AJ1463" i="17"/>
  <c r="X1463" i="17"/>
  <c r="J1463" i="17"/>
  <c r="AH1463" i="17"/>
  <c r="Q1463" i="17"/>
  <c r="AI1463" i="17"/>
  <c r="P1463" i="17"/>
  <c r="AG1463" i="17"/>
  <c r="O1463" i="17"/>
  <c r="AQ1463" i="17"/>
  <c r="T1463" i="17"/>
  <c r="AP1463" i="17"/>
  <c r="L1463" i="17"/>
  <c r="AA1463" i="17"/>
  <c r="Z1463" i="17"/>
  <c r="W1463" i="17"/>
  <c r="K1463" i="17"/>
  <c r="AO1486" i="17"/>
  <c r="AQ1486" i="17"/>
  <c r="AH1486" i="17"/>
  <c r="X1486" i="17"/>
  <c r="O1486" i="17"/>
  <c r="AN1486" i="17"/>
  <c r="AD1486" i="17"/>
  <c r="T1486" i="17"/>
  <c r="J1486" i="17"/>
  <c r="AK1486" i="17"/>
  <c r="Z1486" i="17"/>
  <c r="M1486" i="17"/>
  <c r="AJ1486" i="17"/>
  <c r="W1486" i="17"/>
  <c r="L1486" i="17"/>
  <c r="AE1486" i="17"/>
  <c r="P1486" i="17"/>
  <c r="AC1486" i="17"/>
  <c r="N1486" i="17"/>
  <c r="AP1486" i="17"/>
  <c r="U1486" i="17"/>
  <c r="AM1486" i="17"/>
  <c r="S1486" i="17"/>
  <c r="AL1486" i="17"/>
  <c r="R1486" i="17"/>
  <c r="AI1486" i="17"/>
  <c r="AF1486" i="17"/>
  <c r="AE1559" i="17"/>
  <c r="P1559" i="17"/>
  <c r="AI1559" i="17"/>
  <c r="Q1559" i="17"/>
  <c r="AP1559" i="17"/>
  <c r="T1559" i="17"/>
  <c r="AO1559" i="17"/>
  <c r="S1559" i="17"/>
  <c r="Z1559" i="17"/>
  <c r="R1559" i="17"/>
  <c r="AA1559" i="17"/>
  <c r="O1559" i="17"/>
  <c r="J1559" i="17"/>
  <c r="AF1569" i="17"/>
  <c r="O1569" i="17"/>
  <c r="AJ1569" i="17"/>
  <c r="S1569" i="17"/>
  <c r="AH1569" i="17"/>
  <c r="P1569" i="17"/>
  <c r="AP1569" i="17"/>
  <c r="L1569" i="17"/>
  <c r="AO1569" i="17"/>
  <c r="K1569" i="17"/>
  <c r="T1569" i="17"/>
  <c r="AR1569" i="17"/>
  <c r="J1569" i="17"/>
  <c r="AQ1569" i="17"/>
  <c r="AG1569" i="17"/>
  <c r="AE1569" i="17"/>
  <c r="AG1585" i="17"/>
  <c r="P1585" i="17"/>
  <c r="AO1585" i="17"/>
  <c r="T1585" i="17"/>
  <c r="AJ1585" i="17"/>
  <c r="S1585" i="17"/>
  <c r="AR1585" i="17"/>
  <c r="X1585" i="17"/>
  <c r="AQ1585" i="17"/>
  <c r="O1585" i="17"/>
  <c r="AE1585" i="17"/>
  <c r="Z1585" i="17"/>
  <c r="AH1585" i="17"/>
  <c r="AF1585" i="17"/>
  <c r="Y1585" i="17"/>
  <c r="AP1585" i="17"/>
  <c r="L1585" i="17"/>
  <c r="AO1594" i="17"/>
  <c r="AQ1594" i="17"/>
  <c r="AH1594" i="17"/>
  <c r="X1594" i="17"/>
  <c r="O1594" i="17"/>
  <c r="AI1594" i="17"/>
  <c r="W1594" i="17"/>
  <c r="M1594" i="17"/>
  <c r="AR1594" i="17"/>
  <c r="AF1594" i="17"/>
  <c r="V1594" i="17"/>
  <c r="L1594" i="17"/>
  <c r="AD1594" i="17"/>
  <c r="R1594" i="17"/>
  <c r="AP1594" i="17"/>
  <c r="AC1594" i="17"/>
  <c r="P1594" i="17"/>
  <c r="AE1594" i="17"/>
  <c r="K1594" i="17"/>
  <c r="AB1594" i="17"/>
  <c r="J1594" i="17"/>
  <c r="U1594" i="17"/>
  <c r="AN1594" i="17"/>
  <c r="T1594" i="17"/>
  <c r="AM1594" i="17"/>
  <c r="S1594" i="17"/>
  <c r="AL1594" i="17"/>
  <c r="AK1594" i="17"/>
  <c r="AI1680" i="17"/>
  <c r="X1680" i="17"/>
  <c r="K1680" i="17"/>
  <c r="AQ1680" i="17"/>
  <c r="AD1680" i="17"/>
  <c r="P1680" i="17"/>
  <c r="AP1680" i="17"/>
  <c r="Z1680" i="17"/>
  <c r="J1680" i="17"/>
  <c r="AM1680" i="17"/>
  <c r="V1680" i="17"/>
  <c r="AL1680" i="17"/>
  <c r="R1680" i="17"/>
  <c r="Q1680" i="17"/>
  <c r="AN1680" i="17"/>
  <c r="O1680" i="17"/>
  <c r="Y1680" i="17"/>
  <c r="W1680" i="17"/>
  <c r="AH1680" i="17"/>
  <c r="AG1680" i="17"/>
  <c r="AF1680" i="17"/>
  <c r="AP1765" i="17"/>
  <c r="AQ1765" i="17"/>
  <c r="AE1765" i="17"/>
  <c r="U1765" i="17"/>
  <c r="K1765" i="17"/>
  <c r="AR1765" i="17"/>
  <c r="AD1765" i="17"/>
  <c r="S1765" i="17"/>
  <c r="AF1765" i="17"/>
  <c r="P1765" i="17"/>
  <c r="AC1765" i="17"/>
  <c r="N1765" i="17"/>
  <c r="AB1765" i="17"/>
  <c r="M1765" i="17"/>
  <c r="AK1765" i="17"/>
  <c r="O1765" i="17"/>
  <c r="AJ1765" i="17"/>
  <c r="L1765" i="17"/>
  <c r="AA1765" i="17"/>
  <c r="X1765" i="17"/>
  <c r="AM1765" i="17"/>
  <c r="AL1765" i="17"/>
  <c r="AI1765" i="17"/>
  <c r="W1765" i="17"/>
  <c r="AN1765" i="17"/>
  <c r="V1765" i="17"/>
  <c r="AP1838" i="17"/>
  <c r="AM1838" i="17"/>
  <c r="AC1838" i="17"/>
  <c r="S1838" i="17"/>
  <c r="AQ1838" i="17"/>
  <c r="AD1838" i="17"/>
  <c r="P1838" i="17"/>
  <c r="AF1838" i="17"/>
  <c r="T1838" i="17"/>
  <c r="AE1838" i="17"/>
  <c r="O1838" i="17"/>
  <c r="AJ1838" i="17"/>
  <c r="N1838" i="17"/>
  <c r="AK1838" i="17"/>
  <c r="M1838" i="17"/>
  <c r="AI1838" i="17"/>
  <c r="L1838" i="17"/>
  <c r="X1838" i="17"/>
  <c r="W1838" i="17"/>
  <c r="AL1838" i="17"/>
  <c r="AB1838" i="17"/>
  <c r="AR1838" i="17"/>
  <c r="AN1838" i="17"/>
  <c r="AA1838" i="17"/>
  <c r="AM1880" i="17"/>
  <c r="AC1880" i="17"/>
  <c r="Q1880" i="17"/>
  <c r="AP1880" i="17"/>
  <c r="AE1880" i="17"/>
  <c r="S1880" i="17"/>
  <c r="AL1880" i="17"/>
  <c r="X1880" i="17"/>
  <c r="K1880" i="17"/>
  <c r="AI1880" i="17"/>
  <c r="W1880" i="17"/>
  <c r="J1880" i="17"/>
  <c r="AF1880" i="17"/>
  <c r="N1880" i="17"/>
  <c r="AO1880" i="17"/>
  <c r="U1880" i="17"/>
  <c r="AN1880" i="17"/>
  <c r="P1880" i="17"/>
  <c r="Z1880" i="17"/>
  <c r="Y1880" i="17"/>
  <c r="AD1880" i="17"/>
  <c r="V1880" i="17"/>
  <c r="AQ1880" i="17"/>
  <c r="AH1880" i="17"/>
  <c r="AK1919" i="17"/>
  <c r="Z1919" i="17"/>
  <c r="P1919" i="17"/>
  <c r="AR1919" i="17"/>
  <c r="AG1919" i="17"/>
  <c r="U1919" i="17"/>
  <c r="J1919" i="17"/>
  <c r="AP1919" i="17"/>
  <c r="AC1919" i="17"/>
  <c r="O1919" i="17"/>
  <c r="AF1919" i="17"/>
  <c r="Q1919" i="17"/>
  <c r="AI1919" i="17"/>
  <c r="S1919" i="17"/>
  <c r="AH1919" i="17"/>
  <c r="M1919" i="17"/>
  <c r="AB1919" i="17"/>
  <c r="AQ1919" i="17"/>
  <c r="T1919" i="17"/>
  <c r="AO1919" i="17"/>
  <c r="L1919" i="17"/>
  <c r="W1919" i="17"/>
  <c r="K1919" i="17"/>
  <c r="AN1919" i="17"/>
  <c r="AM1919" i="17"/>
  <c r="AE1919" i="17"/>
  <c r="Y1919" i="17"/>
  <c r="X1919" i="17"/>
  <c r="S3" i="17"/>
  <c r="S7" i="17"/>
  <c r="AB7" i="17"/>
  <c r="N7" i="17"/>
  <c r="AA7" i="17"/>
  <c r="K11" i="17"/>
  <c r="U13" i="17"/>
  <c r="T13" i="17"/>
  <c r="AA13" i="17"/>
  <c r="AB21" i="17"/>
  <c r="N21" i="17"/>
  <c r="AA21" i="17"/>
  <c r="M21" i="17"/>
  <c r="AE21" i="17" s="1"/>
  <c r="K25" i="17"/>
  <c r="T27" i="17"/>
  <c r="S27" i="17"/>
  <c r="AA27" i="17"/>
  <c r="L38" i="17"/>
  <c r="K47" i="17"/>
  <c r="S53" i="17"/>
  <c r="AB53" i="17"/>
  <c r="N53" i="17"/>
  <c r="AA53" i="17"/>
  <c r="S61" i="17"/>
  <c r="AB61" i="17"/>
  <c r="N61" i="17"/>
  <c r="AA61" i="17"/>
  <c r="V69" i="17"/>
  <c r="U69" i="17"/>
  <c r="AA69" i="17"/>
  <c r="L73" i="17"/>
  <c r="AB75" i="17"/>
  <c r="M75" i="17"/>
  <c r="AD75" i="17" s="1"/>
  <c r="AA75" i="17"/>
  <c r="L75" i="17"/>
  <c r="AA76" i="17"/>
  <c r="Z76" i="17"/>
  <c r="S82" i="17"/>
  <c r="R82" i="17"/>
  <c r="AF82" i="17" s="1"/>
  <c r="S87" i="17"/>
  <c r="AB87" i="17"/>
  <c r="N87" i="17"/>
  <c r="AA87" i="17"/>
  <c r="W97" i="17"/>
  <c r="V97" i="17"/>
  <c r="AB97" i="17"/>
  <c r="AA104" i="17"/>
  <c r="Q108" i="17"/>
  <c r="AA117" i="17"/>
  <c r="M117" i="17"/>
  <c r="AE117" i="17" s="1"/>
  <c r="X117" i="17"/>
  <c r="L117" i="17"/>
  <c r="AA120" i="17"/>
  <c r="K122" i="17"/>
  <c r="J128" i="17"/>
  <c r="AO132" i="17"/>
  <c r="AB132" i="17"/>
  <c r="S132" i="17"/>
  <c r="U135" i="17"/>
  <c r="AH135" i="17" s="1"/>
  <c r="T135" i="17"/>
  <c r="AA135" i="17"/>
  <c r="X140" i="17"/>
  <c r="R140" i="17"/>
  <c r="AB163" i="17"/>
  <c r="M163" i="17"/>
  <c r="AE163" i="17" s="1"/>
  <c r="AA163" i="17"/>
  <c r="L163" i="17"/>
  <c r="K167" i="17"/>
  <c r="W170" i="17"/>
  <c r="Q170" i="17"/>
  <c r="AA171" i="17"/>
  <c r="L171" i="17"/>
  <c r="X171" i="17"/>
  <c r="K171" i="17"/>
  <c r="Z172" i="17"/>
  <c r="Y172" i="17"/>
  <c r="AJ184" i="17"/>
  <c r="Y184" i="17"/>
  <c r="L184" i="17"/>
  <c r="AI184" i="17"/>
  <c r="X184" i="17"/>
  <c r="K184" i="17"/>
  <c r="Z184" i="17"/>
  <c r="AP184" i="17"/>
  <c r="AP193" i="17"/>
  <c r="AI193" i="17"/>
  <c r="W193" i="17"/>
  <c r="M193" i="17"/>
  <c r="AR193" i="17"/>
  <c r="AF193" i="17"/>
  <c r="V193" i="17"/>
  <c r="L193" i="17"/>
  <c r="X193" i="17"/>
  <c r="AL193" i="17"/>
  <c r="AN200" i="17"/>
  <c r="AA200" i="17"/>
  <c r="P200" i="17"/>
  <c r="AM200" i="17"/>
  <c r="Z200" i="17"/>
  <c r="O200" i="17"/>
  <c r="X200" i="17"/>
  <c r="AP200" i="17"/>
  <c r="AP203" i="17"/>
  <c r="AJ203" i="17"/>
  <c r="X203" i="17"/>
  <c r="N203" i="17"/>
  <c r="AI203" i="17"/>
  <c r="W203" i="17"/>
  <c r="M203" i="17"/>
  <c r="V203" i="17"/>
  <c r="AL203" i="17"/>
  <c r="AP215" i="17"/>
  <c r="AM215" i="17"/>
  <c r="AC215" i="17"/>
  <c r="S215" i="17"/>
  <c r="AL215" i="17"/>
  <c r="AB215" i="17"/>
  <c r="P215" i="17"/>
  <c r="V215" i="17"/>
  <c r="AJ215" i="17"/>
  <c r="AP217" i="17"/>
  <c r="AI217" i="17"/>
  <c r="W217" i="17"/>
  <c r="M217" i="17"/>
  <c r="AR217" i="17"/>
  <c r="AF217" i="17"/>
  <c r="V217" i="17"/>
  <c r="L217" i="17"/>
  <c r="X217" i="17"/>
  <c r="AL217" i="17"/>
  <c r="U221" i="17"/>
  <c r="U223" i="17"/>
  <c r="AP227" i="17"/>
  <c r="AK227" i="17"/>
  <c r="AA227" i="17"/>
  <c r="O227" i="17"/>
  <c r="AJ227" i="17"/>
  <c r="X227" i="17"/>
  <c r="N227" i="17"/>
  <c r="V227" i="17"/>
  <c r="AL227" i="17"/>
  <c r="W232" i="17"/>
  <c r="AP235" i="17"/>
  <c r="AK235" i="17"/>
  <c r="AA235" i="17"/>
  <c r="O235" i="17"/>
  <c r="AJ235" i="17"/>
  <c r="X235" i="17"/>
  <c r="N235" i="17"/>
  <c r="V235" i="17"/>
  <c r="AL235" i="17"/>
  <c r="U239" i="17"/>
  <c r="AF256" i="17"/>
  <c r="W256" i="17"/>
  <c r="AO256" i="17"/>
  <c r="AP260" i="17"/>
  <c r="AB260" i="17"/>
  <c r="Q260" i="17"/>
  <c r="AN260" i="17"/>
  <c r="AA260" i="17"/>
  <c r="P260" i="17"/>
  <c r="X260" i="17"/>
  <c r="AM260" i="17"/>
  <c r="AN262" i="17"/>
  <c r="Z262" i="17"/>
  <c r="L262" i="17"/>
  <c r="AM262" i="17"/>
  <c r="Y262" i="17"/>
  <c r="K262" i="17"/>
  <c r="AB262" i="17"/>
  <c r="AP269" i="17"/>
  <c r="AI269" i="17"/>
  <c r="W269" i="17"/>
  <c r="M269" i="17"/>
  <c r="AR269" i="17"/>
  <c r="AF269" i="17"/>
  <c r="V269" i="17"/>
  <c r="L269" i="17"/>
  <c r="X269" i="17"/>
  <c r="AL269" i="17"/>
  <c r="Z298" i="17"/>
  <c r="Q298" i="17"/>
  <c r="AP307" i="17"/>
  <c r="AL307" i="17"/>
  <c r="AB307" i="17"/>
  <c r="P307" i="17"/>
  <c r="AK307" i="17"/>
  <c r="AA307" i="17"/>
  <c r="O307" i="17"/>
  <c r="V307" i="17"/>
  <c r="AJ307" i="17"/>
  <c r="AP309" i="17"/>
  <c r="AR309" i="17"/>
  <c r="AF309" i="17"/>
  <c r="V309" i="17"/>
  <c r="L309" i="17"/>
  <c r="AQ309" i="17"/>
  <c r="AE309" i="17"/>
  <c r="U309" i="17"/>
  <c r="K309" i="17"/>
  <c r="X309" i="17"/>
  <c r="AL309" i="17"/>
  <c r="AN316" i="17"/>
  <c r="AM316" i="17"/>
  <c r="AP337" i="17"/>
  <c r="AR337" i="17"/>
  <c r="AF337" i="17"/>
  <c r="V337" i="17"/>
  <c r="L337" i="17"/>
  <c r="AQ337" i="17"/>
  <c r="AE337" i="17"/>
  <c r="U337" i="17"/>
  <c r="K337" i="17"/>
  <c r="X337" i="17"/>
  <c r="AL337" i="17"/>
  <c r="U343" i="17"/>
  <c r="AF343" i="17"/>
  <c r="AO347" i="17"/>
  <c r="AR347" i="17"/>
  <c r="AI347" i="17"/>
  <c r="Z347" i="17"/>
  <c r="P347" i="17"/>
  <c r="AQ347" i="17"/>
  <c r="AH347" i="17"/>
  <c r="X347" i="17"/>
  <c r="O347" i="17"/>
  <c r="T347" i="17"/>
  <c r="AE347" i="17"/>
  <c r="S349" i="17"/>
  <c r="AD349" i="17"/>
  <c r="S373" i="17"/>
  <c r="AF373" i="17"/>
  <c r="AH398" i="17"/>
  <c r="AP398" i="17"/>
  <c r="AO398" i="17"/>
  <c r="AE406" i="17"/>
  <c r="Z406" i="17"/>
  <c r="Q406" i="17"/>
  <c r="AP411" i="17"/>
  <c r="AJ411" i="17"/>
  <c r="X411" i="17"/>
  <c r="N411" i="17"/>
  <c r="AI411" i="17"/>
  <c r="W411" i="17"/>
  <c r="M411" i="17"/>
  <c r="V411" i="17"/>
  <c r="AL411" i="17"/>
  <c r="AP415" i="17"/>
  <c r="AI415" i="17"/>
  <c r="W415" i="17"/>
  <c r="M415" i="17"/>
  <c r="AR415" i="17"/>
  <c r="AF415" i="17"/>
  <c r="V415" i="17"/>
  <c r="L415" i="17"/>
  <c r="X415" i="17"/>
  <c r="AL415" i="17"/>
  <c r="AP421" i="17"/>
  <c r="AI421" i="17"/>
  <c r="W421" i="17"/>
  <c r="M421" i="17"/>
  <c r="AR421" i="17"/>
  <c r="AF421" i="17"/>
  <c r="V421" i="17"/>
  <c r="L421" i="17"/>
  <c r="X421" i="17"/>
  <c r="AL421" i="17"/>
  <c r="AP427" i="17"/>
  <c r="AR427" i="17"/>
  <c r="AF427" i="17"/>
  <c r="V427" i="17"/>
  <c r="L427" i="17"/>
  <c r="AQ427" i="17"/>
  <c r="AE427" i="17"/>
  <c r="U427" i="17"/>
  <c r="K427" i="17"/>
  <c r="X427" i="17"/>
  <c r="AL427" i="17"/>
  <c r="U435" i="17"/>
  <c r="AP439" i="17"/>
  <c r="AK439" i="17"/>
  <c r="AA439" i="17"/>
  <c r="O439" i="17"/>
  <c r="AJ439" i="17"/>
  <c r="X439" i="17"/>
  <c r="N439" i="17"/>
  <c r="V439" i="17"/>
  <c r="AL439" i="17"/>
  <c r="U445" i="17"/>
  <c r="U455" i="17"/>
  <c r="U471" i="17"/>
  <c r="W476" i="17"/>
  <c r="T476" i="17"/>
  <c r="AO476" i="17"/>
  <c r="W477" i="17"/>
  <c r="W479" i="17"/>
  <c r="AH484" i="17"/>
  <c r="P484" i="17"/>
  <c r="AB484" i="17"/>
  <c r="O484" i="17"/>
  <c r="AI484" i="17"/>
  <c r="U499" i="17"/>
  <c r="AP504" i="17"/>
  <c r="AM504" i="17"/>
  <c r="U525" i="17"/>
  <c r="AQ528" i="17"/>
  <c r="AF528" i="17"/>
  <c r="R528" i="17"/>
  <c r="AP528" i="17"/>
  <c r="AB528" i="17"/>
  <c r="Q528" i="17"/>
  <c r="X528" i="17"/>
  <c r="AM528" i="17"/>
  <c r="AQ530" i="17"/>
  <c r="AA530" i="17"/>
  <c r="O530" i="17"/>
  <c r="AN530" i="17"/>
  <c r="Z530" i="17"/>
  <c r="L530" i="17"/>
  <c r="AB530" i="17"/>
  <c r="W533" i="17"/>
  <c r="AP537" i="17"/>
  <c r="AI537" i="17"/>
  <c r="W537" i="17"/>
  <c r="M537" i="17"/>
  <c r="AR537" i="17"/>
  <c r="AF537" i="17"/>
  <c r="V537" i="17"/>
  <c r="L537" i="17"/>
  <c r="X537" i="17"/>
  <c r="AL537" i="17"/>
  <c r="AP545" i="17"/>
  <c r="AL545" i="17"/>
  <c r="AB545" i="17"/>
  <c r="P545" i="17"/>
  <c r="AK545" i="17"/>
  <c r="AA545" i="17"/>
  <c r="O545" i="17"/>
  <c r="V545" i="17"/>
  <c r="AJ545" i="17"/>
  <c r="AP557" i="17"/>
  <c r="AR557" i="17"/>
  <c r="AF557" i="17"/>
  <c r="V557" i="17"/>
  <c r="L557" i="17"/>
  <c r="AQ557" i="17"/>
  <c r="AE557" i="17"/>
  <c r="U557" i="17"/>
  <c r="K557" i="17"/>
  <c r="X557" i="17"/>
  <c r="AL557" i="17"/>
  <c r="U577" i="17"/>
  <c r="AE582" i="17"/>
  <c r="AA582" i="17"/>
  <c r="Z582" i="17"/>
  <c r="U589" i="17"/>
  <c r="W592" i="17"/>
  <c r="AO617" i="17"/>
  <c r="AR617" i="17"/>
  <c r="AI617" i="17"/>
  <c r="Z617" i="17"/>
  <c r="P617" i="17"/>
  <c r="AP617" i="17"/>
  <c r="AE617" i="17"/>
  <c r="U617" i="17"/>
  <c r="K617" i="17"/>
  <c r="AN617" i="17"/>
  <c r="AD617" i="17"/>
  <c r="T617" i="17"/>
  <c r="J617" i="17"/>
  <c r="W617" i="17"/>
  <c r="AK617" i="17"/>
  <c r="J627" i="17"/>
  <c r="W627" i="17"/>
  <c r="AJ627" i="17"/>
  <c r="L633" i="17"/>
  <c r="Z633" i="17"/>
  <c r="AL633" i="17"/>
  <c r="AQ640" i="17"/>
  <c r="Z640" i="17"/>
  <c r="K640" i="17"/>
  <c r="AL640" i="17"/>
  <c r="S640" i="17"/>
  <c r="AH640" i="17"/>
  <c r="P640" i="17"/>
  <c r="AF640" i="17"/>
  <c r="T659" i="17"/>
  <c r="K660" i="17"/>
  <c r="AI660" i="17"/>
  <c r="J666" i="17"/>
  <c r="AA666" i="17"/>
  <c r="K673" i="17"/>
  <c r="W673" i="17"/>
  <c r="AM673" i="17"/>
  <c r="AO677" i="17"/>
  <c r="AN677" i="17"/>
  <c r="AE677" i="17"/>
  <c r="V677" i="17"/>
  <c r="M677" i="17"/>
  <c r="AR677" i="17"/>
  <c r="AH677" i="17"/>
  <c r="W677" i="17"/>
  <c r="L677" i="17"/>
  <c r="AQ677" i="17"/>
  <c r="AF677" i="17"/>
  <c r="U677" i="17"/>
  <c r="K677" i="17"/>
  <c r="X677" i="17"/>
  <c r="AK677" i="17"/>
  <c r="V679" i="17"/>
  <c r="J689" i="17"/>
  <c r="V689" i="17"/>
  <c r="AJ689" i="17"/>
  <c r="AO691" i="17"/>
  <c r="AQ691" i="17"/>
  <c r="AH691" i="17"/>
  <c r="X691" i="17"/>
  <c r="O691" i="17"/>
  <c r="AI691" i="17"/>
  <c r="W691" i="17"/>
  <c r="M691" i="17"/>
  <c r="AR691" i="17"/>
  <c r="AF691" i="17"/>
  <c r="V691" i="17"/>
  <c r="L691" i="17"/>
  <c r="U691" i="17"/>
  <c r="AK691" i="17"/>
  <c r="J697" i="17"/>
  <c r="Z697" i="17"/>
  <c r="AL697" i="17"/>
  <c r="J699" i="17"/>
  <c r="Z699" i="17"/>
  <c r="AL699" i="17"/>
  <c r="AO701" i="17"/>
  <c r="AQ701" i="17"/>
  <c r="AH701" i="17"/>
  <c r="X701" i="17"/>
  <c r="O701" i="17"/>
  <c r="AP701" i="17"/>
  <c r="AE701" i="17"/>
  <c r="U701" i="17"/>
  <c r="K701" i="17"/>
  <c r="AN701" i="17"/>
  <c r="AD701" i="17"/>
  <c r="T701" i="17"/>
  <c r="J701" i="17"/>
  <c r="W701" i="17"/>
  <c r="AK701" i="17"/>
  <c r="T705" i="17"/>
  <c r="T711" i="17"/>
  <c r="AP714" i="17"/>
  <c r="AD714" i="17"/>
  <c r="Q714" i="17"/>
  <c r="AH714" i="17"/>
  <c r="V714" i="17"/>
  <c r="AG714" i="17"/>
  <c r="R714" i="17"/>
  <c r="Y714" i="17"/>
  <c r="AQ714" i="17"/>
  <c r="V715" i="17"/>
  <c r="J725" i="17"/>
  <c r="V725" i="17"/>
  <c r="AJ725" i="17"/>
  <c r="R728" i="17"/>
  <c r="O734" i="17"/>
  <c r="J741" i="17"/>
  <c r="Z741" i="17"/>
  <c r="AL741" i="17"/>
  <c r="AH746" i="17"/>
  <c r="W746" i="17"/>
  <c r="J746" i="17"/>
  <c r="AG746" i="17"/>
  <c r="R746" i="17"/>
  <c r="AF746" i="17"/>
  <c r="Q746" i="17"/>
  <c r="Z746" i="17"/>
  <c r="AQ746" i="17"/>
  <c r="AO761" i="17"/>
  <c r="AR761" i="17"/>
  <c r="AI761" i="17"/>
  <c r="Z761" i="17"/>
  <c r="P761" i="17"/>
  <c r="AH761" i="17"/>
  <c r="W761" i="17"/>
  <c r="M761" i="17"/>
  <c r="AQ761" i="17"/>
  <c r="AF761" i="17"/>
  <c r="V761" i="17"/>
  <c r="L761" i="17"/>
  <c r="U761" i="17"/>
  <c r="AK761" i="17"/>
  <c r="AO763" i="17"/>
  <c r="AR763" i="17"/>
  <c r="AI763" i="17"/>
  <c r="Z763" i="17"/>
  <c r="P763" i="17"/>
  <c r="AQ763" i="17"/>
  <c r="AF763" i="17"/>
  <c r="V763" i="17"/>
  <c r="L763" i="17"/>
  <c r="AP763" i="17"/>
  <c r="AE763" i="17"/>
  <c r="U763" i="17"/>
  <c r="K763" i="17"/>
  <c r="W763" i="17"/>
  <c r="AK763" i="17"/>
  <c r="T765" i="17"/>
  <c r="R766" i="17"/>
  <c r="J769" i="17"/>
  <c r="W769" i="17"/>
  <c r="AJ769" i="17"/>
  <c r="AH772" i="17"/>
  <c r="R772" i="17"/>
  <c r="AG772" i="17"/>
  <c r="P772" i="17"/>
  <c r="AD772" i="17"/>
  <c r="O772" i="17"/>
  <c r="AA772" i="17"/>
  <c r="V776" i="17"/>
  <c r="Z776" i="17"/>
  <c r="Y776" i="17"/>
  <c r="K777" i="17"/>
  <c r="Z777" i="17"/>
  <c r="AM777" i="17"/>
  <c r="AD780" i="17"/>
  <c r="AP780" i="17"/>
  <c r="Q780" i="17"/>
  <c r="AH780" i="17"/>
  <c r="AG780" i="17"/>
  <c r="J781" i="17"/>
  <c r="X781" i="17"/>
  <c r="AP781" i="17"/>
  <c r="X786" i="17"/>
  <c r="AK786" i="17"/>
  <c r="AG786" i="17"/>
  <c r="J787" i="17"/>
  <c r="AJ787" i="17"/>
  <c r="Z790" i="17"/>
  <c r="M802" i="17"/>
  <c r="AJ802" i="17"/>
  <c r="AL813" i="17"/>
  <c r="Z813" i="17"/>
  <c r="P813" i="17"/>
  <c r="AP813" i="17"/>
  <c r="AE813" i="17"/>
  <c r="T813" i="17"/>
  <c r="AO813" i="17"/>
  <c r="AD813" i="17"/>
  <c r="Q813" i="17"/>
  <c r="W813" i="17"/>
  <c r="AM813" i="17"/>
  <c r="P816" i="17"/>
  <c r="AR816" i="17"/>
  <c r="AD826" i="17"/>
  <c r="R826" i="17"/>
  <c r="AJ826" i="17"/>
  <c r="S826" i="17"/>
  <c r="AG826" i="17"/>
  <c r="N826" i="17"/>
  <c r="AA826" i="17"/>
  <c r="J829" i="17"/>
  <c r="X829" i="17"/>
  <c r="AP829" i="17"/>
  <c r="J834" i="17"/>
  <c r="AP834" i="17"/>
  <c r="L839" i="17"/>
  <c r="AK839" i="17"/>
  <c r="AO847" i="17"/>
  <c r="AD847" i="17"/>
  <c r="P847" i="17"/>
  <c r="AN847" i="17"/>
  <c r="Y847" i="17"/>
  <c r="M847" i="17"/>
  <c r="AM847" i="17"/>
  <c r="X847" i="17"/>
  <c r="L847" i="17"/>
  <c r="AE847" i="17"/>
  <c r="M848" i="17"/>
  <c r="AG848" i="17"/>
  <c r="J855" i="17"/>
  <c r="AE855" i="17"/>
  <c r="L855" i="17"/>
  <c r="AR860" i="17"/>
  <c r="AH860" i="17"/>
  <c r="X860" i="17"/>
  <c r="M860" i="17"/>
  <c r="AI860" i="17"/>
  <c r="V860" i="17"/>
  <c r="K860" i="17"/>
  <c r="AG860" i="17"/>
  <c r="U860" i="17"/>
  <c r="J860" i="17"/>
  <c r="Z860" i="17"/>
  <c r="AO860" i="17"/>
  <c r="AG868" i="17"/>
  <c r="AK868" i="17"/>
  <c r="Z868" i="17"/>
  <c r="Z869" i="17"/>
  <c r="AJ869" i="17"/>
  <c r="AB869" i="17"/>
  <c r="AN878" i="17"/>
  <c r="Z878" i="17"/>
  <c r="N878" i="17"/>
  <c r="AH878" i="17"/>
  <c r="U878" i="17"/>
  <c r="AG878" i="17"/>
  <c r="T878" i="17"/>
  <c r="Y878" i="17"/>
  <c r="AQ878" i="17"/>
  <c r="J891" i="17"/>
  <c r="L893" i="17"/>
  <c r="Y893" i="17"/>
  <c r="AR893" i="17"/>
  <c r="X894" i="17"/>
  <c r="Y901" i="17"/>
  <c r="J904" i="17"/>
  <c r="AJ904" i="17"/>
  <c r="AN906" i="17"/>
  <c r="L906" i="17"/>
  <c r="U906" i="17"/>
  <c r="T906" i="17"/>
  <c r="AN913" i="17"/>
  <c r="AK913" i="17"/>
  <c r="J918" i="17"/>
  <c r="AB918" i="17"/>
  <c r="V925" i="17"/>
  <c r="AK930" i="17"/>
  <c r="S930" i="17"/>
  <c r="AF930" i="17"/>
  <c r="N930" i="17"/>
  <c r="AB930" i="17"/>
  <c r="M930" i="17"/>
  <c r="AJ930" i="17"/>
  <c r="O933" i="17"/>
  <c r="Q933" i="17"/>
  <c r="P933" i="17"/>
  <c r="P944" i="17"/>
  <c r="J949" i="17"/>
  <c r="AK949" i="17"/>
  <c r="AC967" i="17"/>
  <c r="M967" i="17"/>
  <c r="AD967" i="17"/>
  <c r="L967" i="17"/>
  <c r="AM967" i="17"/>
  <c r="R967" i="17"/>
  <c r="AL967" i="17"/>
  <c r="Q967" i="17"/>
  <c r="AN967" i="17"/>
  <c r="AP993" i="17"/>
  <c r="W993" i="17"/>
  <c r="AK993" i="17"/>
  <c r="R993" i="17"/>
  <c r="V993" i="17"/>
  <c r="Q993" i="17"/>
  <c r="AE993" i="17"/>
  <c r="X993" i="17"/>
  <c r="O995" i="17"/>
  <c r="AF995" i="17"/>
  <c r="AG995" i="17"/>
  <c r="R995" i="17"/>
  <c r="S1002" i="17"/>
  <c r="Q1010" i="17"/>
  <c r="AP1010" i="17"/>
  <c r="AQ1050" i="17"/>
  <c r="Y1050" i="17"/>
  <c r="AH1050" i="17"/>
  <c r="M1050" i="17"/>
  <c r="AB1050" i="17"/>
  <c r="T1050" i="17"/>
  <c r="AG1050" i="17"/>
  <c r="AD1050" i="17"/>
  <c r="AR1050" i="17"/>
  <c r="AD1055" i="17"/>
  <c r="M1055" i="17"/>
  <c r="N1055" i="17"/>
  <c r="J1055" i="17"/>
  <c r="Y1055" i="17"/>
  <c r="X1055" i="17"/>
  <c r="J1060" i="17"/>
  <c r="AJ1060" i="17"/>
  <c r="AP1097" i="17"/>
  <c r="AD1097" i="17"/>
  <c r="Q1097" i="17"/>
  <c r="AF1097" i="17"/>
  <c r="P1097" i="17"/>
  <c r="AC1097" i="17"/>
  <c r="O1097" i="17"/>
  <c r="AL1097" i="17"/>
  <c r="V1097" i="17"/>
  <c r="AK1097" i="17"/>
  <c r="R1097" i="17"/>
  <c r="W1097" i="17"/>
  <c r="AN1097" i="17"/>
  <c r="N1097" i="17"/>
  <c r="AG1097" i="17"/>
  <c r="Z1097" i="17"/>
  <c r="AI1110" i="17"/>
  <c r="AO1110" i="17"/>
  <c r="N1110" i="17"/>
  <c r="AL1110" i="17"/>
  <c r="M1110" i="17"/>
  <c r="V1110" i="17"/>
  <c r="S1110" i="17"/>
  <c r="Z1110" i="17"/>
  <c r="Y1110" i="17"/>
  <c r="AH1116" i="17"/>
  <c r="U1116" i="17"/>
  <c r="J1116" i="17"/>
  <c r="AR1116" i="17"/>
  <c r="AD1116" i="17"/>
  <c r="Q1116" i="17"/>
  <c r="AQ1116" i="17"/>
  <c r="AB1116" i="17"/>
  <c r="N1116" i="17"/>
  <c r="AI1116" i="17"/>
  <c r="M1116" i="17"/>
  <c r="AG1116" i="17"/>
  <c r="L1116" i="17"/>
  <c r="AP1116" i="17"/>
  <c r="T1116" i="17"/>
  <c r="AL1116" i="17"/>
  <c r="R1116" i="17"/>
  <c r="Z1116" i="17"/>
  <c r="Y1116" i="17"/>
  <c r="Q1131" i="17"/>
  <c r="AM1161" i="17"/>
  <c r="Z1161" i="17"/>
  <c r="O1161" i="17"/>
  <c r="AP1161" i="17"/>
  <c r="AC1161" i="17"/>
  <c r="N1161" i="17"/>
  <c r="AN1161" i="17"/>
  <c r="Y1161" i="17"/>
  <c r="M1161" i="17"/>
  <c r="AG1161" i="17"/>
  <c r="P1161" i="17"/>
  <c r="AF1161" i="17"/>
  <c r="J1161" i="17"/>
  <c r="AH1161" i="17"/>
  <c r="AD1161" i="17"/>
  <c r="AK1161" i="17"/>
  <c r="X1161" i="17"/>
  <c r="N1163" i="17"/>
  <c r="Z1171" i="17"/>
  <c r="Y1171" i="17"/>
  <c r="AO1171" i="17"/>
  <c r="P1171" i="17"/>
  <c r="AN1171" i="17"/>
  <c r="O1171" i="17"/>
  <c r="U1171" i="17"/>
  <c r="N1171" i="17"/>
  <c r="AM1171" i="17"/>
  <c r="AH1193" i="17"/>
  <c r="AF1193" i="17"/>
  <c r="AE1193" i="17"/>
  <c r="AM1193" i="17"/>
  <c r="AJ1240" i="17"/>
  <c r="Y1240" i="17"/>
  <c r="L1240" i="17"/>
  <c r="AL1240" i="17"/>
  <c r="Z1240" i="17"/>
  <c r="K1240" i="17"/>
  <c r="AH1240" i="17"/>
  <c r="R1240" i="17"/>
  <c r="AG1240" i="17"/>
  <c r="Q1240" i="17"/>
  <c r="AR1240" i="17"/>
  <c r="V1240" i="17"/>
  <c r="AQ1240" i="17"/>
  <c r="U1240" i="17"/>
  <c r="T1240" i="17"/>
  <c r="N1240" i="17"/>
  <c r="AK1240" i="17"/>
  <c r="AI1240" i="17"/>
  <c r="AC1258" i="17"/>
  <c r="AP1258" i="17"/>
  <c r="Q1258" i="17"/>
  <c r="Y1258" i="17"/>
  <c r="R1258" i="17"/>
  <c r="AO1258" i="17"/>
  <c r="AL1258" i="17"/>
  <c r="AK1258" i="17"/>
  <c r="N1258" i="17"/>
  <c r="M1258" i="17"/>
  <c r="AL1277" i="17"/>
  <c r="Y1277" i="17"/>
  <c r="N1277" i="17"/>
  <c r="AG1277" i="17"/>
  <c r="R1277" i="17"/>
  <c r="AD1277" i="17"/>
  <c r="O1277" i="17"/>
  <c r="AC1277" i="17"/>
  <c r="M1277" i="17"/>
  <c r="AK1277" i="17"/>
  <c r="P1277" i="17"/>
  <c r="AH1277" i="17"/>
  <c r="J1277" i="17"/>
  <c r="W1277" i="17"/>
  <c r="V1277" i="17"/>
  <c r="AN1277" i="17"/>
  <c r="AM1277" i="17"/>
  <c r="Z1314" i="17"/>
  <c r="U1327" i="17"/>
  <c r="AL1327" i="17"/>
  <c r="V1327" i="17"/>
  <c r="O1341" i="17"/>
  <c r="AQ1344" i="17"/>
  <c r="AD1344" i="17"/>
  <c r="R1344" i="17"/>
  <c r="AR1344" i="17"/>
  <c r="AB1344" i="17"/>
  <c r="N1344" i="17"/>
  <c r="AG1344" i="17"/>
  <c r="M1344" i="17"/>
  <c r="AA1344" i="17"/>
  <c r="L1344" i="17"/>
  <c r="AJ1344" i="17"/>
  <c r="Q1344" i="17"/>
  <c r="AI1344" i="17"/>
  <c r="K1344" i="17"/>
  <c r="AP1344" i="17"/>
  <c r="T1344" i="17"/>
  <c r="AL1344" i="17"/>
  <c r="J1344" i="17"/>
  <c r="Y1344" i="17"/>
  <c r="V1344" i="17"/>
  <c r="AH1365" i="17"/>
  <c r="Q1365" i="17"/>
  <c r="AO1365" i="17"/>
  <c r="X1365" i="17"/>
  <c r="AI1365" i="17"/>
  <c r="O1365" i="17"/>
  <c r="AE1365" i="17"/>
  <c r="L1365" i="17"/>
  <c r="S1365" i="17"/>
  <c r="R1365" i="17"/>
  <c r="AA1365" i="17"/>
  <c r="Z1365" i="17"/>
  <c r="AB1365" i="17"/>
  <c r="P1365" i="17"/>
  <c r="R1375" i="17"/>
  <c r="AH1375" i="17"/>
  <c r="Q1375" i="17"/>
  <c r="J1375" i="17"/>
  <c r="AR1375" i="17"/>
  <c r="AF1375" i="17"/>
  <c r="AE1375" i="17"/>
  <c r="AM1375" i="17"/>
  <c r="AP1388" i="17"/>
  <c r="AQ1388" i="17"/>
  <c r="AE1388" i="17"/>
  <c r="U1388" i="17"/>
  <c r="K1388" i="17"/>
  <c r="AL1388" i="17"/>
  <c r="AA1388" i="17"/>
  <c r="N1388" i="17"/>
  <c r="AD1388" i="17"/>
  <c r="P1388" i="17"/>
  <c r="AR1388" i="17"/>
  <c r="AC1388" i="17"/>
  <c r="O1388" i="17"/>
  <c r="AJ1388" i="17"/>
  <c r="S1388" i="17"/>
  <c r="AI1388" i="17"/>
  <c r="M1388" i="17"/>
  <c r="AN1388" i="17"/>
  <c r="T1388" i="17"/>
  <c r="AM1388" i="17"/>
  <c r="L1388" i="17"/>
  <c r="W1388" i="17"/>
  <c r="V1388" i="17"/>
  <c r="K1398" i="17"/>
  <c r="L1399" i="17"/>
  <c r="K1402" i="17"/>
  <c r="X1417" i="17"/>
  <c r="AN1421" i="17"/>
  <c r="AJ1421" i="17"/>
  <c r="X1421" i="17"/>
  <c r="J1421" i="17"/>
  <c r="AQ1421" i="17"/>
  <c r="Z1421" i="17"/>
  <c r="K1421" i="17"/>
  <c r="AR1421" i="17"/>
  <c r="Y1421" i="17"/>
  <c r="AP1421" i="17"/>
  <c r="W1421" i="17"/>
  <c r="AI1421" i="17"/>
  <c r="O1421" i="17"/>
  <c r="AH1421" i="17"/>
  <c r="L1421" i="17"/>
  <c r="AM1421" i="17"/>
  <c r="AG1421" i="17"/>
  <c r="AO1427" i="17"/>
  <c r="T1427" i="17"/>
  <c r="AP1427" i="17"/>
  <c r="S1427" i="17"/>
  <c r="AN1427" i="17"/>
  <c r="O1427" i="17"/>
  <c r="AM1427" i="17"/>
  <c r="J1427" i="17"/>
  <c r="AI1427" i="17"/>
  <c r="AB1427" i="17"/>
  <c r="Y1427" i="17"/>
  <c r="P1427" i="17"/>
  <c r="AP1434" i="17"/>
  <c r="AL1434" i="17"/>
  <c r="AB1434" i="17"/>
  <c r="P1434" i="17"/>
  <c r="AJ1434" i="17"/>
  <c r="W1434" i="17"/>
  <c r="L1434" i="17"/>
  <c r="AF1434" i="17"/>
  <c r="T1434" i="17"/>
  <c r="AE1434" i="17"/>
  <c r="S1434" i="17"/>
  <c r="AM1434" i="17"/>
  <c r="U1434" i="17"/>
  <c r="AK1434" i="17"/>
  <c r="O1434" i="17"/>
  <c r="AN1434" i="17"/>
  <c r="M1434" i="17"/>
  <c r="AI1434" i="17"/>
  <c r="K1434" i="17"/>
  <c r="AA1434" i="17"/>
  <c r="X1434" i="17"/>
  <c r="R1443" i="17"/>
  <c r="AA1443" i="17"/>
  <c r="Q1443" i="17"/>
  <c r="N1446" i="17"/>
  <c r="Y1463" i="17"/>
  <c r="AI1483" i="17"/>
  <c r="X1483" i="17"/>
  <c r="AR1483" i="17"/>
  <c r="P1483" i="17"/>
  <c r="AO1483" i="17"/>
  <c r="O1483" i="17"/>
  <c r="AN1483" i="17"/>
  <c r="AM1483" i="17"/>
  <c r="AJ1483" i="17"/>
  <c r="Z1483" i="17"/>
  <c r="K1486" i="17"/>
  <c r="AO1498" i="17"/>
  <c r="AM1498" i="17"/>
  <c r="AD1498" i="17"/>
  <c r="U1498" i="17"/>
  <c r="L1498" i="17"/>
  <c r="AI1498" i="17"/>
  <c r="X1498" i="17"/>
  <c r="N1498" i="17"/>
  <c r="AN1498" i="17"/>
  <c r="AB1498" i="17"/>
  <c r="P1498" i="17"/>
  <c r="AL1498" i="17"/>
  <c r="AA1498" i="17"/>
  <c r="O1498" i="17"/>
  <c r="AK1498" i="17"/>
  <c r="V1498" i="17"/>
  <c r="AJ1498" i="17"/>
  <c r="T1498" i="17"/>
  <c r="AR1498" i="17"/>
  <c r="W1498" i="17"/>
  <c r="AQ1498" i="17"/>
  <c r="S1498" i="17"/>
  <c r="AP1498" i="17"/>
  <c r="R1498" i="17"/>
  <c r="M1498" i="17"/>
  <c r="K1498" i="17"/>
  <c r="AJ1511" i="17"/>
  <c r="S1511" i="17"/>
  <c r="AP1511" i="17"/>
  <c r="Z1511" i="17"/>
  <c r="AA1511" i="17"/>
  <c r="T1511" i="17"/>
  <c r="AN1511" i="17"/>
  <c r="O1511" i="17"/>
  <c r="AI1511" i="17"/>
  <c r="J1511" i="17"/>
  <c r="AF1511" i="17"/>
  <c r="AE1511" i="17"/>
  <c r="AB1511" i="17"/>
  <c r="AO1518" i="17"/>
  <c r="AN1518" i="17"/>
  <c r="AE1518" i="17"/>
  <c r="V1518" i="17"/>
  <c r="M1518" i="17"/>
  <c r="AJ1518" i="17"/>
  <c r="Z1518" i="17"/>
  <c r="O1518" i="17"/>
  <c r="AI1518" i="17"/>
  <c r="W1518" i="17"/>
  <c r="K1518" i="17"/>
  <c r="AH1518" i="17"/>
  <c r="U1518" i="17"/>
  <c r="J1518" i="17"/>
  <c r="AK1518" i="17"/>
  <c r="S1518" i="17"/>
  <c r="AF1518" i="17"/>
  <c r="R1518" i="17"/>
  <c r="AB1518" i="17"/>
  <c r="AR1518" i="17"/>
  <c r="AA1518" i="17"/>
  <c r="AQ1518" i="17"/>
  <c r="X1518" i="17"/>
  <c r="AC1518" i="17"/>
  <c r="T1518" i="17"/>
  <c r="AB1559" i="17"/>
  <c r="X1569" i="17"/>
  <c r="AO1580" i="17"/>
  <c r="AM1580" i="17"/>
  <c r="AD1580" i="17"/>
  <c r="U1580" i="17"/>
  <c r="L1580" i="17"/>
  <c r="AK1580" i="17"/>
  <c r="AA1580" i="17"/>
  <c r="P1580" i="17"/>
  <c r="AJ1580" i="17"/>
  <c r="Z1580" i="17"/>
  <c r="O1580" i="17"/>
  <c r="AR1580" i="17"/>
  <c r="AE1580" i="17"/>
  <c r="R1580" i="17"/>
  <c r="AQ1580" i="17"/>
  <c r="AC1580" i="17"/>
  <c r="N1580" i="17"/>
  <c r="AL1580" i="17"/>
  <c r="T1580" i="17"/>
  <c r="AI1580" i="17"/>
  <c r="S1580" i="17"/>
  <c r="V1580" i="17"/>
  <c r="AP1580" i="17"/>
  <c r="M1580" i="17"/>
  <c r="AN1580" i="17"/>
  <c r="K1580" i="17"/>
  <c r="AF1580" i="17"/>
  <c r="AB1580" i="17"/>
  <c r="J1585" i="17"/>
  <c r="N1594" i="17"/>
  <c r="N1680" i="17"/>
  <c r="T1765" i="17"/>
  <c r="AP1832" i="17"/>
  <c r="AJ1832" i="17"/>
  <c r="X1832" i="17"/>
  <c r="N1832" i="17"/>
  <c r="AN1832" i="17"/>
  <c r="AC1832" i="17"/>
  <c r="P1832" i="17"/>
  <c r="AM1832" i="17"/>
  <c r="AA1832" i="17"/>
  <c r="L1832" i="17"/>
  <c r="AL1832" i="17"/>
  <c r="W1832" i="17"/>
  <c r="K1832" i="17"/>
  <c r="AQ1832" i="17"/>
  <c r="U1832" i="17"/>
  <c r="AD1832" i="17"/>
  <c r="AB1832" i="17"/>
  <c r="AF1832" i="17"/>
  <c r="AE1832" i="17"/>
  <c r="O1832" i="17"/>
  <c r="M1832" i="17"/>
  <c r="AK1832" i="17"/>
  <c r="AI1832" i="17"/>
  <c r="V1832" i="17"/>
  <c r="T1832" i="17"/>
  <c r="K1838" i="17"/>
  <c r="AP1854" i="17"/>
  <c r="AI1854" i="17"/>
  <c r="W1854" i="17"/>
  <c r="M1854" i="17"/>
  <c r="AR1854" i="17"/>
  <c r="AE1854" i="17"/>
  <c r="T1854" i="17"/>
  <c r="AQ1854" i="17"/>
  <c r="AC1854" i="17"/>
  <c r="O1854" i="17"/>
  <c r="AN1854" i="17"/>
  <c r="AB1854" i="17"/>
  <c r="N1854" i="17"/>
  <c r="AK1854" i="17"/>
  <c r="S1854" i="17"/>
  <c r="AM1854" i="17"/>
  <c r="U1854" i="17"/>
  <c r="AL1854" i="17"/>
  <c r="P1854" i="17"/>
  <c r="AA1854" i="17"/>
  <c r="X1854" i="17"/>
  <c r="AJ1854" i="17"/>
  <c r="AF1854" i="17"/>
  <c r="AD1854" i="17"/>
  <c r="M1880" i="17"/>
  <c r="AP1928" i="17"/>
  <c r="AM1928" i="17"/>
  <c r="AC1928" i="17"/>
  <c r="S1928" i="17"/>
  <c r="AL1928" i="17"/>
  <c r="AA1928" i="17"/>
  <c r="N1928" i="17"/>
  <c r="AK1928" i="17"/>
  <c r="X1928" i="17"/>
  <c r="M1928" i="17"/>
  <c r="AI1928" i="17"/>
  <c r="T1928" i="17"/>
  <c r="AQ1928" i="17"/>
  <c r="V1928" i="17"/>
  <c r="AR1928" i="17"/>
  <c r="U1928" i="17"/>
  <c r="AN1928" i="17"/>
  <c r="P1928" i="17"/>
  <c r="W1928" i="17"/>
  <c r="AB1928" i="17"/>
  <c r="O1928" i="17"/>
  <c r="AE1928" i="17"/>
  <c r="AD1928" i="17"/>
  <c r="AJ1928" i="17"/>
  <c r="L1928" i="17"/>
  <c r="K1928" i="17"/>
  <c r="L7" i="17"/>
  <c r="AB11" i="17"/>
  <c r="N11" i="17"/>
  <c r="AA11" i="17"/>
  <c r="M11" i="17"/>
  <c r="AD11" i="17" s="1"/>
  <c r="AA12" i="17"/>
  <c r="Z12" i="17"/>
  <c r="L13" i="17"/>
  <c r="AB13" i="17"/>
  <c r="L21" i="17"/>
  <c r="W22" i="17"/>
  <c r="AA25" i="17"/>
  <c r="M25" i="17"/>
  <c r="AE25" i="17" s="1"/>
  <c r="X25" i="17"/>
  <c r="L25" i="17"/>
  <c r="Z26" i="17"/>
  <c r="Y26" i="17"/>
  <c r="L27" i="17"/>
  <c r="AB27" i="17"/>
  <c r="W29" i="17"/>
  <c r="S31" i="17"/>
  <c r="R32" i="17"/>
  <c r="AF32" i="17" s="1"/>
  <c r="Q32" i="17"/>
  <c r="K41" i="17"/>
  <c r="L53" i="17"/>
  <c r="Q58" i="17"/>
  <c r="L58" i="17"/>
  <c r="Y60" i="17"/>
  <c r="X60" i="17"/>
  <c r="L61" i="17"/>
  <c r="L69" i="17"/>
  <c r="AB69" i="17"/>
  <c r="X74" i="17"/>
  <c r="W74" i="17"/>
  <c r="K75" i="17"/>
  <c r="L76" i="17"/>
  <c r="S77" i="17"/>
  <c r="AO78" i="17"/>
  <c r="R78" i="17"/>
  <c r="AP78" i="17" s="1"/>
  <c r="Q78" i="17"/>
  <c r="W82" i="17"/>
  <c r="K82" i="17"/>
  <c r="T85" i="17"/>
  <c r="S85" i="17"/>
  <c r="AA85" i="17"/>
  <c r="L87" i="17"/>
  <c r="R90" i="17"/>
  <c r="AG90" i="17" s="1"/>
  <c r="L97" i="17"/>
  <c r="K115" i="17"/>
  <c r="L118" i="17"/>
  <c r="K125" i="17"/>
  <c r="S131" i="17"/>
  <c r="J132" i="17"/>
  <c r="L132" i="17"/>
  <c r="K147" i="17"/>
  <c r="Q152" i="17"/>
  <c r="AA167" i="17"/>
  <c r="M167" i="17"/>
  <c r="AE167" i="17" s="1"/>
  <c r="X167" i="17"/>
  <c r="L167" i="17"/>
  <c r="K170" i="17"/>
  <c r="M171" i="17"/>
  <c r="AD171" i="17" s="1"/>
  <c r="L172" i="17"/>
  <c r="AA178" i="17"/>
  <c r="W178" i="17"/>
  <c r="AP179" i="17"/>
  <c r="AI179" i="17"/>
  <c r="W179" i="17"/>
  <c r="M179" i="17"/>
  <c r="AR179" i="17"/>
  <c r="AF179" i="17"/>
  <c r="V179" i="17"/>
  <c r="L179" i="17"/>
  <c r="X179" i="17"/>
  <c r="AL179" i="17"/>
  <c r="J184" i="17"/>
  <c r="AA184" i="17"/>
  <c r="AQ184" i="17"/>
  <c r="K193" i="17"/>
  <c r="AA193" i="17"/>
  <c r="AM193" i="17"/>
  <c r="AO198" i="17"/>
  <c r="S198" i="17"/>
  <c r="AR198" i="17"/>
  <c r="O198" i="17"/>
  <c r="AH198" i="17"/>
  <c r="J200" i="17"/>
  <c r="Y200" i="17"/>
  <c r="AQ200" i="17"/>
  <c r="K203" i="17"/>
  <c r="AA203" i="17"/>
  <c r="AM203" i="17"/>
  <c r="K215" i="17"/>
  <c r="W215" i="17"/>
  <c r="AK215" i="17"/>
  <c r="K217" i="17"/>
  <c r="AA217" i="17"/>
  <c r="AM217" i="17"/>
  <c r="AP221" i="17"/>
  <c r="AM221" i="17"/>
  <c r="AC221" i="17"/>
  <c r="S221" i="17"/>
  <c r="AL221" i="17"/>
  <c r="AB221" i="17"/>
  <c r="P221" i="17"/>
  <c r="V221" i="17"/>
  <c r="AJ221" i="17"/>
  <c r="AP223" i="17"/>
  <c r="AK223" i="17"/>
  <c r="AA223" i="17"/>
  <c r="O223" i="17"/>
  <c r="AJ223" i="17"/>
  <c r="X223" i="17"/>
  <c r="N223" i="17"/>
  <c r="V223" i="17"/>
  <c r="AL223" i="17"/>
  <c r="K227" i="17"/>
  <c r="W227" i="17"/>
  <c r="AM227" i="17"/>
  <c r="AP232" i="17"/>
  <c r="AB232" i="17"/>
  <c r="Q232" i="17"/>
  <c r="AN232" i="17"/>
  <c r="AA232" i="17"/>
  <c r="P232" i="17"/>
  <c r="X232" i="17"/>
  <c r="AM232" i="17"/>
  <c r="AN234" i="17"/>
  <c r="Z234" i="17"/>
  <c r="L234" i="17"/>
  <c r="AM234" i="17"/>
  <c r="Y234" i="17"/>
  <c r="K234" i="17"/>
  <c r="AB234" i="17"/>
  <c r="K235" i="17"/>
  <c r="W235" i="17"/>
  <c r="AM235" i="17"/>
  <c r="AP239" i="17"/>
  <c r="AM239" i="17"/>
  <c r="AC239" i="17"/>
  <c r="S239" i="17"/>
  <c r="AL239" i="17"/>
  <c r="AB239" i="17"/>
  <c r="P239" i="17"/>
  <c r="V239" i="17"/>
  <c r="AJ239" i="17"/>
  <c r="L256" i="17"/>
  <c r="AP257" i="17"/>
  <c r="AI257" i="17"/>
  <c r="W257" i="17"/>
  <c r="M257" i="17"/>
  <c r="AR257" i="17"/>
  <c r="AF257" i="17"/>
  <c r="V257" i="17"/>
  <c r="L257" i="17"/>
  <c r="X257" i="17"/>
  <c r="AL257" i="17"/>
  <c r="J260" i="17"/>
  <c r="Y260" i="17"/>
  <c r="AQ260" i="17"/>
  <c r="O262" i="17"/>
  <c r="AG262" i="17"/>
  <c r="K269" i="17"/>
  <c r="AA269" i="17"/>
  <c r="AM269" i="17"/>
  <c r="AP271" i="17"/>
  <c r="AI271" i="17"/>
  <c r="W271" i="17"/>
  <c r="M271" i="17"/>
  <c r="AR271" i="17"/>
  <c r="AF271" i="17"/>
  <c r="V271" i="17"/>
  <c r="L271" i="17"/>
  <c r="X271" i="17"/>
  <c r="AL271" i="17"/>
  <c r="O298" i="17"/>
  <c r="K307" i="17"/>
  <c r="W307" i="17"/>
  <c r="AM307" i="17"/>
  <c r="M309" i="17"/>
  <c r="AA309" i="17"/>
  <c r="AM309" i="17"/>
  <c r="AI314" i="17"/>
  <c r="AE314" i="17"/>
  <c r="S316" i="17"/>
  <c r="AP319" i="17"/>
  <c r="AM319" i="17"/>
  <c r="AC319" i="17"/>
  <c r="S319" i="17"/>
  <c r="AL319" i="17"/>
  <c r="AB319" i="17"/>
  <c r="P319" i="17"/>
  <c r="V319" i="17"/>
  <c r="AJ319" i="17"/>
  <c r="AP327" i="17"/>
  <c r="AL327" i="17"/>
  <c r="AB327" i="17"/>
  <c r="P327" i="17"/>
  <c r="AK327" i="17"/>
  <c r="AA327" i="17"/>
  <c r="O327" i="17"/>
  <c r="V327" i="17"/>
  <c r="AJ327" i="17"/>
  <c r="M337" i="17"/>
  <c r="AA337" i="17"/>
  <c r="AM337" i="17"/>
  <c r="AO343" i="17"/>
  <c r="AL343" i="17"/>
  <c r="AC343" i="17"/>
  <c r="T343" i="17"/>
  <c r="K343" i="17"/>
  <c r="AK343" i="17"/>
  <c r="AB343" i="17"/>
  <c r="S343" i="17"/>
  <c r="J343" i="17"/>
  <c r="V343" i="17"/>
  <c r="AH343" i="17"/>
  <c r="AB344" i="17"/>
  <c r="P344" i="17"/>
  <c r="J347" i="17"/>
  <c r="U347" i="17"/>
  <c r="AF347" i="17"/>
  <c r="AO349" i="17"/>
  <c r="AQ349" i="17"/>
  <c r="AH349" i="17"/>
  <c r="X349" i="17"/>
  <c r="O349" i="17"/>
  <c r="AP349" i="17"/>
  <c r="AF349" i="17"/>
  <c r="W349" i="17"/>
  <c r="N349" i="17"/>
  <c r="T349" i="17"/>
  <c r="AE349" i="17"/>
  <c r="AO373" i="17"/>
  <c r="AM373" i="17"/>
  <c r="AD373" i="17"/>
  <c r="U373" i="17"/>
  <c r="L373" i="17"/>
  <c r="AL373" i="17"/>
  <c r="AC373" i="17"/>
  <c r="T373" i="17"/>
  <c r="K373" i="17"/>
  <c r="V373" i="17"/>
  <c r="AH373" i="17"/>
  <c r="AI374" i="17"/>
  <c r="O374" i="17"/>
  <c r="AH374" i="17"/>
  <c r="L374" i="17"/>
  <c r="AO374" i="17"/>
  <c r="J398" i="17"/>
  <c r="P406" i="17"/>
  <c r="K411" i="17"/>
  <c r="AA411" i="17"/>
  <c r="AM411" i="17"/>
  <c r="K415" i="17"/>
  <c r="AA415" i="17"/>
  <c r="AM415" i="17"/>
  <c r="AM421" i="17"/>
  <c r="AP435" i="17"/>
  <c r="AL435" i="17"/>
  <c r="AB435" i="17"/>
  <c r="P435" i="17"/>
  <c r="AK435" i="17"/>
  <c r="AA435" i="17"/>
  <c r="O435" i="17"/>
  <c r="V435" i="17"/>
  <c r="AJ435" i="17"/>
  <c r="AP445" i="17"/>
  <c r="AK445" i="17"/>
  <c r="AA445" i="17"/>
  <c r="O445" i="17"/>
  <c r="AJ445" i="17"/>
  <c r="X445" i="17"/>
  <c r="N445" i="17"/>
  <c r="V445" i="17"/>
  <c r="AL445" i="17"/>
  <c r="AP455" i="17"/>
  <c r="AK455" i="17"/>
  <c r="AA455" i="17"/>
  <c r="O455" i="17"/>
  <c r="AJ455" i="17"/>
  <c r="X455" i="17"/>
  <c r="N455" i="17"/>
  <c r="V455" i="17"/>
  <c r="AL455" i="17"/>
  <c r="AP471" i="17"/>
  <c r="AM471" i="17"/>
  <c r="AC471" i="17"/>
  <c r="S471" i="17"/>
  <c r="AL471" i="17"/>
  <c r="AB471" i="17"/>
  <c r="P471" i="17"/>
  <c r="V471" i="17"/>
  <c r="AJ471" i="17"/>
  <c r="AP477" i="17"/>
  <c r="AR477" i="17"/>
  <c r="AF477" i="17"/>
  <c r="V477" i="17"/>
  <c r="L477" i="17"/>
  <c r="AQ477" i="17"/>
  <c r="AE477" i="17"/>
  <c r="U477" i="17"/>
  <c r="K477" i="17"/>
  <c r="X477" i="17"/>
  <c r="AL477" i="17"/>
  <c r="AP479" i="17"/>
  <c r="AR479" i="17"/>
  <c r="AF479" i="17"/>
  <c r="V479" i="17"/>
  <c r="L479" i="17"/>
  <c r="AQ479" i="17"/>
  <c r="AE479" i="17"/>
  <c r="U479" i="17"/>
  <c r="K479" i="17"/>
  <c r="X479" i="17"/>
  <c r="AL479" i="17"/>
  <c r="AP499" i="17"/>
  <c r="AM499" i="17"/>
  <c r="AC499" i="17"/>
  <c r="S499" i="17"/>
  <c r="AL499" i="17"/>
  <c r="AB499" i="17"/>
  <c r="P499" i="17"/>
  <c r="V499" i="17"/>
  <c r="AJ499" i="17"/>
  <c r="S504" i="17"/>
  <c r="AP525" i="17"/>
  <c r="AL525" i="17"/>
  <c r="AB525" i="17"/>
  <c r="P525" i="17"/>
  <c r="AK525" i="17"/>
  <c r="AA525" i="17"/>
  <c r="O525" i="17"/>
  <c r="V525" i="17"/>
  <c r="AJ525" i="17"/>
  <c r="J528" i="17"/>
  <c r="Y528" i="17"/>
  <c r="AN528" i="17"/>
  <c r="K530" i="17"/>
  <c r="AG530" i="17"/>
  <c r="AP533" i="17"/>
  <c r="AR533" i="17"/>
  <c r="AF533" i="17"/>
  <c r="V533" i="17"/>
  <c r="L533" i="17"/>
  <c r="AQ533" i="17"/>
  <c r="AE533" i="17"/>
  <c r="U533" i="17"/>
  <c r="K533" i="17"/>
  <c r="X533" i="17"/>
  <c r="AL533" i="17"/>
  <c r="K537" i="17"/>
  <c r="AA537" i="17"/>
  <c r="AM537" i="17"/>
  <c r="AH548" i="17"/>
  <c r="P548" i="17"/>
  <c r="AB548" i="17"/>
  <c r="O548" i="17"/>
  <c r="AI548" i="17"/>
  <c r="AP552" i="17"/>
  <c r="AM552" i="17"/>
  <c r="AG572" i="17"/>
  <c r="AF572" i="17"/>
  <c r="AO572" i="17"/>
  <c r="AP577" i="17"/>
  <c r="AJ577" i="17"/>
  <c r="X577" i="17"/>
  <c r="N577" i="17"/>
  <c r="AI577" i="17"/>
  <c r="W577" i="17"/>
  <c r="M577" i="17"/>
  <c r="V577" i="17"/>
  <c r="AL577" i="17"/>
  <c r="O582" i="17"/>
  <c r="AP589" i="17"/>
  <c r="AK589" i="17"/>
  <c r="AA589" i="17"/>
  <c r="O589" i="17"/>
  <c r="AJ589" i="17"/>
  <c r="X589" i="17"/>
  <c r="N589" i="17"/>
  <c r="V589" i="17"/>
  <c r="AL589" i="17"/>
  <c r="AP592" i="17"/>
  <c r="AB592" i="17"/>
  <c r="Q592" i="17"/>
  <c r="AN592" i="17"/>
  <c r="AA592" i="17"/>
  <c r="P592" i="17"/>
  <c r="X592" i="17"/>
  <c r="AM592" i="17"/>
  <c r="AO594" i="17"/>
  <c r="Z594" i="17"/>
  <c r="L594" i="17"/>
  <c r="AN594" i="17"/>
  <c r="Y594" i="17"/>
  <c r="K594" i="17"/>
  <c r="AB594" i="17"/>
  <c r="L617" i="17"/>
  <c r="X617" i="17"/>
  <c r="AL617" i="17"/>
  <c r="K627" i="17"/>
  <c r="X627" i="17"/>
  <c r="AN627" i="17"/>
  <c r="N633" i="17"/>
  <c r="AA633" i="17"/>
  <c r="AM633" i="17"/>
  <c r="AA636" i="17"/>
  <c r="AP636" i="17"/>
  <c r="AD636" i="17"/>
  <c r="AO659" i="17"/>
  <c r="AQ659" i="17"/>
  <c r="AH659" i="17"/>
  <c r="X659" i="17"/>
  <c r="O659" i="17"/>
  <c r="AL659" i="17"/>
  <c r="AB659" i="17"/>
  <c r="R659" i="17"/>
  <c r="AK659" i="17"/>
  <c r="AA659" i="17"/>
  <c r="P659" i="17"/>
  <c r="U659" i="17"/>
  <c r="AI659" i="17"/>
  <c r="P660" i="17"/>
  <c r="AL660" i="17"/>
  <c r="K666" i="17"/>
  <c r="AD666" i="17"/>
  <c r="L673" i="17"/>
  <c r="AA673" i="17"/>
  <c r="AN673" i="17"/>
  <c r="AO679" i="17"/>
  <c r="AQ679" i="17"/>
  <c r="AH679" i="17"/>
  <c r="X679" i="17"/>
  <c r="O679" i="17"/>
  <c r="AP679" i="17"/>
  <c r="AE679" i="17"/>
  <c r="U679" i="17"/>
  <c r="K679" i="17"/>
  <c r="AN679" i="17"/>
  <c r="AD679" i="17"/>
  <c r="T679" i="17"/>
  <c r="J679" i="17"/>
  <c r="W679" i="17"/>
  <c r="AK679" i="17"/>
  <c r="K689" i="17"/>
  <c r="W689" i="17"/>
  <c r="AM689" i="17"/>
  <c r="K697" i="17"/>
  <c r="AA697" i="17"/>
  <c r="AM697" i="17"/>
  <c r="N699" i="17"/>
  <c r="AA699" i="17"/>
  <c r="AM699" i="17"/>
  <c r="AO705" i="17"/>
  <c r="AQ705" i="17"/>
  <c r="AH705" i="17"/>
  <c r="X705" i="17"/>
  <c r="O705" i="17"/>
  <c r="AJ705" i="17"/>
  <c r="Z705" i="17"/>
  <c r="N705" i="17"/>
  <c r="AI705" i="17"/>
  <c r="W705" i="17"/>
  <c r="M705" i="17"/>
  <c r="U705" i="17"/>
  <c r="AK705" i="17"/>
  <c r="AO711" i="17"/>
  <c r="AP711" i="17"/>
  <c r="AF711" i="17"/>
  <c r="W711" i="17"/>
  <c r="N711" i="17"/>
  <c r="AJ711" i="17"/>
  <c r="Z711" i="17"/>
  <c r="O711" i="17"/>
  <c r="AI711" i="17"/>
  <c r="X711" i="17"/>
  <c r="M711" i="17"/>
  <c r="U711" i="17"/>
  <c r="AK711" i="17"/>
  <c r="AO715" i="17"/>
  <c r="AQ715" i="17"/>
  <c r="AH715" i="17"/>
  <c r="X715" i="17"/>
  <c r="O715" i="17"/>
  <c r="AP715" i="17"/>
  <c r="AE715" i="17"/>
  <c r="U715" i="17"/>
  <c r="K715" i="17"/>
  <c r="AN715" i="17"/>
  <c r="AD715" i="17"/>
  <c r="T715" i="17"/>
  <c r="J715" i="17"/>
  <c r="W715" i="17"/>
  <c r="AK715" i="17"/>
  <c r="K725" i="17"/>
  <c r="W725" i="17"/>
  <c r="AM725" i="17"/>
  <c r="Z728" i="17"/>
  <c r="AI740" i="17"/>
  <c r="W740" i="17"/>
  <c r="AH740" i="17"/>
  <c r="Q740" i="17"/>
  <c r="AG740" i="17"/>
  <c r="P740" i="17"/>
  <c r="AA740" i="17"/>
  <c r="N741" i="17"/>
  <c r="AA741" i="17"/>
  <c r="AN741" i="17"/>
  <c r="AP760" i="17"/>
  <c r="S760" i="17"/>
  <c r="AA760" i="17"/>
  <c r="Z760" i="17"/>
  <c r="AO765" i="17"/>
  <c r="AN765" i="17"/>
  <c r="AE765" i="17"/>
  <c r="V765" i="17"/>
  <c r="M765" i="17"/>
  <c r="AK765" i="17"/>
  <c r="AA765" i="17"/>
  <c r="P765" i="17"/>
  <c r="AJ765" i="17"/>
  <c r="Z765" i="17"/>
  <c r="O765" i="17"/>
  <c r="U765" i="17"/>
  <c r="AI765" i="17"/>
  <c r="AA766" i="17"/>
  <c r="L769" i="17"/>
  <c r="X769" i="17"/>
  <c r="AN769" i="17"/>
  <c r="N777" i="17"/>
  <c r="AA777" i="17"/>
  <c r="AN777" i="17"/>
  <c r="L781" i="17"/>
  <c r="AD781" i="17"/>
  <c r="AR781" i="17"/>
  <c r="AL789" i="17"/>
  <c r="AP789" i="17"/>
  <c r="Q789" i="17"/>
  <c r="AK789" i="17"/>
  <c r="O789" i="17"/>
  <c r="AJ789" i="17"/>
  <c r="L789" i="17"/>
  <c r="AI790" i="17"/>
  <c r="S790" i="17"/>
  <c r="AK790" i="17"/>
  <c r="U790" i="17"/>
  <c r="AJ790" i="17"/>
  <c r="R790" i="17"/>
  <c r="AA790" i="17"/>
  <c r="AL791" i="17"/>
  <c r="Y791" i="17"/>
  <c r="J791" i="17"/>
  <c r="AD791" i="17"/>
  <c r="P791" i="17"/>
  <c r="AC791" i="17"/>
  <c r="M791" i="17"/>
  <c r="AE791" i="17"/>
  <c r="N802" i="17"/>
  <c r="AK802" i="17"/>
  <c r="U816" i="17"/>
  <c r="AH817" i="17"/>
  <c r="M817" i="17"/>
  <c r="AB817" i="17"/>
  <c r="V817" i="17"/>
  <c r="AR818" i="17"/>
  <c r="AQ818" i="17"/>
  <c r="AB818" i="17"/>
  <c r="Y818" i="17"/>
  <c r="V824" i="17"/>
  <c r="AN824" i="17"/>
  <c r="L824" i="17"/>
  <c r="AL824" i="17"/>
  <c r="K824" i="17"/>
  <c r="AM825" i="17"/>
  <c r="J825" i="17"/>
  <c r="AL825" i="17"/>
  <c r="AJ825" i="17"/>
  <c r="L829" i="17"/>
  <c r="AD829" i="17"/>
  <c r="AR829" i="17"/>
  <c r="M834" i="17"/>
  <c r="M839" i="17"/>
  <c r="AL839" i="17"/>
  <c r="N848" i="17"/>
  <c r="AP848" i="17"/>
  <c r="AR864" i="17"/>
  <c r="U864" i="17"/>
  <c r="AD864" i="17"/>
  <c r="Y864" i="17"/>
  <c r="L891" i="17"/>
  <c r="M893" i="17"/>
  <c r="Z893" i="17"/>
  <c r="AO894" i="17"/>
  <c r="AC894" i="17"/>
  <c r="P894" i="17"/>
  <c r="AG894" i="17"/>
  <c r="T894" i="17"/>
  <c r="AR894" i="17"/>
  <c r="AF894" i="17"/>
  <c r="Q894" i="17"/>
  <c r="Y894" i="17"/>
  <c r="AQ894" i="17"/>
  <c r="AJ901" i="17"/>
  <c r="K904" i="17"/>
  <c r="AR904" i="17"/>
  <c r="Z917" i="17"/>
  <c r="AP917" i="17"/>
  <c r="L917" i="17"/>
  <c r="AH917" i="17"/>
  <c r="Y917" i="17"/>
  <c r="K918" i="17"/>
  <c r="AJ918" i="17"/>
  <c r="AO921" i="17"/>
  <c r="AB921" i="17"/>
  <c r="L921" i="17"/>
  <c r="AN921" i="17"/>
  <c r="W921" i="17"/>
  <c r="AM921" i="17"/>
  <c r="T921" i="17"/>
  <c r="AE921" i="17"/>
  <c r="AL925" i="17"/>
  <c r="Z925" i="17"/>
  <c r="P925" i="17"/>
  <c r="AJ925" i="17"/>
  <c r="X925" i="17"/>
  <c r="M925" i="17"/>
  <c r="AH925" i="17"/>
  <c r="W925" i="17"/>
  <c r="L925" i="17"/>
  <c r="Y925" i="17"/>
  <c r="AO925" i="17"/>
  <c r="Q944" i="17"/>
  <c r="L949" i="17"/>
  <c r="J950" i="17"/>
  <c r="Y950" i="17"/>
  <c r="S950" i="17"/>
  <c r="N962" i="17"/>
  <c r="J962" i="17"/>
  <c r="AM965" i="17"/>
  <c r="Z965" i="17"/>
  <c r="L965" i="17"/>
  <c r="AG965" i="17"/>
  <c r="Q965" i="17"/>
  <c r="AD965" i="17"/>
  <c r="O965" i="17"/>
  <c r="AC965" i="17"/>
  <c r="J965" i="17"/>
  <c r="AK965" i="17"/>
  <c r="AF985" i="17"/>
  <c r="AJ985" i="17"/>
  <c r="AE985" i="17"/>
  <c r="X1002" i="17"/>
  <c r="R1010" i="17"/>
  <c r="AC1015" i="17"/>
  <c r="AE1015" i="17"/>
  <c r="AB1015" i="17"/>
  <c r="P1015" i="17"/>
  <c r="AF1025" i="17"/>
  <c r="O1025" i="17"/>
  <c r="AP1025" i="17"/>
  <c r="V1025" i="17"/>
  <c r="R1025" i="17"/>
  <c r="AO1025" i="17"/>
  <c r="Q1025" i="17"/>
  <c r="AG1025" i="17"/>
  <c r="AE1025" i="17"/>
  <c r="AB1027" i="17"/>
  <c r="X1027" i="17"/>
  <c r="AR1027" i="17"/>
  <c r="AP1027" i="17"/>
  <c r="AC1027" i="17"/>
  <c r="R1027" i="17"/>
  <c r="AK1059" i="17"/>
  <c r="Q1059" i="17"/>
  <c r="AO1059" i="17"/>
  <c r="R1059" i="17"/>
  <c r="AE1059" i="17"/>
  <c r="AD1059" i="17"/>
  <c r="AH1059" i="17"/>
  <c r="AC1059" i="17"/>
  <c r="K1060" i="17"/>
  <c r="AK1060" i="17"/>
  <c r="AD1131" i="17"/>
  <c r="Z1163" i="17"/>
  <c r="X1187" i="17"/>
  <c r="N1187" i="17"/>
  <c r="AK1247" i="17"/>
  <c r="J1247" i="17"/>
  <c r="AO1247" i="17"/>
  <c r="U1247" i="17"/>
  <c r="AL1247" i="17"/>
  <c r="AF1247" i="17"/>
  <c r="Y1247" i="17"/>
  <c r="V1247" i="17"/>
  <c r="AM1247" i="17"/>
  <c r="Z1247" i="17"/>
  <c r="U1295" i="17"/>
  <c r="AF1295" i="17"/>
  <c r="AC1295" i="17"/>
  <c r="Z1295" i="17"/>
  <c r="AL1312" i="17"/>
  <c r="AA1312" i="17"/>
  <c r="N1312" i="17"/>
  <c r="AQ1312" i="17"/>
  <c r="AB1312" i="17"/>
  <c r="M1312" i="17"/>
  <c r="AR1312" i="17"/>
  <c r="Z1312" i="17"/>
  <c r="K1312" i="17"/>
  <c r="AP1312" i="17"/>
  <c r="Y1312" i="17"/>
  <c r="J1312" i="17"/>
  <c r="U1312" i="17"/>
  <c r="AK1312" i="17"/>
  <c r="T1312" i="17"/>
  <c r="V1312" i="17"/>
  <c r="R1312" i="17"/>
  <c r="AG1312" i="17"/>
  <c r="AD1312" i="17"/>
  <c r="AD1314" i="17"/>
  <c r="P1341" i="17"/>
  <c r="AP1396" i="17"/>
  <c r="AM1396" i="17"/>
  <c r="AC1396" i="17"/>
  <c r="S1396" i="17"/>
  <c r="AL1396" i="17"/>
  <c r="AA1396" i="17"/>
  <c r="N1396" i="17"/>
  <c r="AN1396" i="17"/>
  <c r="X1396" i="17"/>
  <c r="L1396" i="17"/>
  <c r="AK1396" i="17"/>
  <c r="W1396" i="17"/>
  <c r="K1396" i="17"/>
  <c r="AB1396" i="17"/>
  <c r="AR1396" i="17"/>
  <c r="V1396" i="17"/>
  <c r="AQ1396" i="17"/>
  <c r="P1396" i="17"/>
  <c r="AJ1396" i="17"/>
  <c r="O1396" i="17"/>
  <c r="AI1396" i="17"/>
  <c r="AF1396" i="17"/>
  <c r="M1398" i="17"/>
  <c r="AQ1399" i="17"/>
  <c r="M1402" i="17"/>
  <c r="Z1417" i="17"/>
  <c r="O1446" i="17"/>
  <c r="AF1463" i="17"/>
  <c r="AP1472" i="17"/>
  <c r="AK1472" i="17"/>
  <c r="AA1472" i="17"/>
  <c r="O1472" i="17"/>
  <c r="AQ1472" i="17"/>
  <c r="AD1472" i="17"/>
  <c r="S1472" i="17"/>
  <c r="AE1472" i="17"/>
  <c r="P1472" i="17"/>
  <c r="AR1472" i="17"/>
  <c r="AC1472" i="17"/>
  <c r="N1472" i="17"/>
  <c r="AL1472" i="17"/>
  <c r="U1472" i="17"/>
  <c r="AJ1472" i="17"/>
  <c r="T1472" i="17"/>
  <c r="AB1472" i="17"/>
  <c r="X1472" i="17"/>
  <c r="W1472" i="17"/>
  <c r="L1472" i="17"/>
  <c r="K1472" i="17"/>
  <c r="V1486" i="17"/>
  <c r="AF1559" i="17"/>
  <c r="Y1569" i="17"/>
  <c r="K1585" i="17"/>
  <c r="Z1594" i="17"/>
  <c r="AA1680" i="17"/>
  <c r="AO1699" i="17"/>
  <c r="AK1699" i="17"/>
  <c r="AB1699" i="17"/>
  <c r="S1699" i="17"/>
  <c r="J1699" i="17"/>
  <c r="AL1699" i="17"/>
  <c r="AA1699" i="17"/>
  <c r="P1699" i="17"/>
  <c r="AJ1699" i="17"/>
  <c r="X1699" i="17"/>
  <c r="M1699" i="17"/>
  <c r="AQ1699" i="17"/>
  <c r="AD1699" i="17"/>
  <c r="O1699" i="17"/>
  <c r="AP1699" i="17"/>
  <c r="AC1699" i="17"/>
  <c r="N1699" i="17"/>
  <c r="AR1699" i="17"/>
  <c r="W1699" i="17"/>
  <c r="AN1699" i="17"/>
  <c r="V1699" i="17"/>
  <c r="T1699" i="17"/>
  <c r="AM1699" i="17"/>
  <c r="R1699" i="17"/>
  <c r="Z1699" i="17"/>
  <c r="U1699" i="17"/>
  <c r="L1699" i="17"/>
  <c r="K1699" i="17"/>
  <c r="AF1699" i="17"/>
  <c r="AE1699" i="17"/>
  <c r="AP1775" i="17"/>
  <c r="AL1775" i="17"/>
  <c r="AB1775" i="17"/>
  <c r="P1775" i="17"/>
  <c r="AK1775" i="17"/>
  <c r="X1775" i="17"/>
  <c r="M1775" i="17"/>
  <c r="AQ1775" i="17"/>
  <c r="AC1775" i="17"/>
  <c r="N1775" i="17"/>
  <c r="AJ1775" i="17"/>
  <c r="U1775" i="17"/>
  <c r="AI1775" i="17"/>
  <c r="T1775" i="17"/>
  <c r="AA1775" i="17"/>
  <c r="W1775" i="17"/>
  <c r="AD1775" i="17"/>
  <c r="V1775" i="17"/>
  <c r="AF1775" i="17"/>
  <c r="AE1775" i="17"/>
  <c r="S1775" i="17"/>
  <c r="O1775" i="17"/>
  <c r="U1838" i="17"/>
  <c r="AP1858" i="17"/>
  <c r="AM1858" i="17"/>
  <c r="AC1858" i="17"/>
  <c r="S1858" i="17"/>
  <c r="AR1858" i="17"/>
  <c r="AE1858" i="17"/>
  <c r="T1858" i="17"/>
  <c r="AD1858" i="17"/>
  <c r="O1858" i="17"/>
  <c r="AQ1858" i="17"/>
  <c r="AB1858" i="17"/>
  <c r="N1858" i="17"/>
  <c r="AJ1858" i="17"/>
  <c r="P1858" i="17"/>
  <c r="X1858" i="17"/>
  <c r="W1858" i="17"/>
  <c r="AF1858" i="17"/>
  <c r="AA1858" i="17"/>
  <c r="L1858" i="17"/>
  <c r="AN1858" i="17"/>
  <c r="K1858" i="17"/>
  <c r="AK1858" i="17"/>
  <c r="AI1858" i="17"/>
  <c r="V1858" i="17"/>
  <c r="U1858" i="17"/>
  <c r="AR1877" i="17"/>
  <c r="AO1877" i="17"/>
  <c r="AC1877" i="17"/>
  <c r="O1877" i="17"/>
  <c r="AP1877" i="17"/>
  <c r="AB1877" i="17"/>
  <c r="M1877" i="17"/>
  <c r="AK1877" i="17"/>
  <c r="U1877" i="17"/>
  <c r="AH1877" i="17"/>
  <c r="T1877" i="17"/>
  <c r="AQ1877" i="17"/>
  <c r="V1877" i="17"/>
  <c r="S1877" i="17"/>
  <c r="AM1877" i="17"/>
  <c r="N1877" i="17"/>
  <c r="K1877" i="17"/>
  <c r="AL1877" i="17"/>
  <c r="J1877" i="17"/>
  <c r="AG1877" i="17"/>
  <c r="AE1877" i="17"/>
  <c r="AD1877" i="17"/>
  <c r="Y1877" i="17"/>
  <c r="O1880" i="17"/>
  <c r="AO975" i="17"/>
  <c r="AD975" i="17"/>
  <c r="P975" i="17"/>
  <c r="AF975" i="17"/>
  <c r="Q975" i="17"/>
  <c r="AH975" i="17"/>
  <c r="U975" i="17"/>
  <c r="AG975" i="17"/>
  <c r="O975" i="17"/>
  <c r="Z975" i="17"/>
  <c r="AQ988" i="17"/>
  <c r="AG988" i="17"/>
  <c r="V988" i="17"/>
  <c r="L988" i="17"/>
  <c r="AI988" i="17"/>
  <c r="X988" i="17"/>
  <c r="K988" i="17"/>
  <c r="AF988" i="17"/>
  <c r="S988" i="17"/>
  <c r="AR988" i="17"/>
  <c r="AD988" i="17"/>
  <c r="Q988" i="17"/>
  <c r="Z988" i="17"/>
  <c r="AP988" i="17"/>
  <c r="X1004" i="17"/>
  <c r="W1005" i="17"/>
  <c r="AG1011" i="17"/>
  <c r="R1011" i="17"/>
  <c r="AL1011" i="17"/>
  <c r="X1011" i="17"/>
  <c r="AC1011" i="17"/>
  <c r="N1011" i="17"/>
  <c r="AB1011" i="17"/>
  <c r="J1011" i="17"/>
  <c r="AJ1011" i="17"/>
  <c r="AL1013" i="17"/>
  <c r="T1013" i="17"/>
  <c r="AK1013" i="17"/>
  <c r="Q1013" i="17"/>
  <c r="AM1013" i="17"/>
  <c r="P1013" i="17"/>
  <c r="AG1013" i="17"/>
  <c r="O1013" i="17"/>
  <c r="AP1013" i="17"/>
  <c r="AH1022" i="17"/>
  <c r="V1022" i="17"/>
  <c r="K1022" i="17"/>
  <c r="AI1022" i="17"/>
  <c r="U1022" i="17"/>
  <c r="AF1022" i="17"/>
  <c r="P1022" i="17"/>
  <c r="AR1022" i="17"/>
  <c r="AD1022" i="17"/>
  <c r="N1022" i="17"/>
  <c r="AC1022" i="17"/>
  <c r="AL1048" i="17"/>
  <c r="AO1048" i="17"/>
  <c r="S1048" i="17"/>
  <c r="Z1067" i="17"/>
  <c r="AD1067" i="17"/>
  <c r="Y1067" i="17"/>
  <c r="AH1067" i="17"/>
  <c r="AE1067" i="17"/>
  <c r="AO1067" i="17"/>
  <c r="R1072" i="17"/>
  <c r="AQ1072" i="17"/>
  <c r="AP1072" i="17"/>
  <c r="AF1111" i="17"/>
  <c r="N1111" i="17"/>
  <c r="Y1111" i="17"/>
  <c r="V1111" i="17"/>
  <c r="AP1111" i="17"/>
  <c r="O1111" i="17"/>
  <c r="AO1111" i="17"/>
  <c r="M1111" i="17"/>
  <c r="AE1111" i="17"/>
  <c r="AD1111" i="17"/>
  <c r="AG1114" i="17"/>
  <c r="M1114" i="17"/>
  <c r="AP1114" i="17"/>
  <c r="S1114" i="17"/>
  <c r="AO1114" i="17"/>
  <c r="R1114" i="17"/>
  <c r="Y1114" i="17"/>
  <c r="T1114" i="17"/>
  <c r="L1114" i="17"/>
  <c r="K1114" i="17"/>
  <c r="X1123" i="17"/>
  <c r="AK1123" i="17"/>
  <c r="P1123" i="17"/>
  <c r="AH1123" i="17"/>
  <c r="O1123" i="17"/>
  <c r="U1123" i="17"/>
  <c r="R1123" i="17"/>
  <c r="AC1123" i="17"/>
  <c r="Q1123" i="17"/>
  <c r="AN1137" i="17"/>
  <c r="AC1137" i="17"/>
  <c r="P1137" i="17"/>
  <c r="AH1137" i="17"/>
  <c r="V1137" i="17"/>
  <c r="AG1137" i="17"/>
  <c r="R1137" i="17"/>
  <c r="AK1137" i="17"/>
  <c r="O1137" i="17"/>
  <c r="AF1137" i="17"/>
  <c r="N1137" i="17"/>
  <c r="Y1137" i="17"/>
  <c r="X1137" i="17"/>
  <c r="AM1137" i="17"/>
  <c r="AO1155" i="17"/>
  <c r="U1155" i="17"/>
  <c r="AL1155" i="17"/>
  <c r="Q1155" i="17"/>
  <c r="AK1155" i="17"/>
  <c r="P1155" i="17"/>
  <c r="R1155" i="17"/>
  <c r="O1155" i="17"/>
  <c r="AH1155" i="17"/>
  <c r="AE1219" i="17"/>
  <c r="Z1219" i="17"/>
  <c r="Y1219" i="17"/>
  <c r="J1254" i="17"/>
  <c r="AJ1254" i="17"/>
  <c r="V1254" i="17"/>
  <c r="AI1262" i="17"/>
  <c r="AH1262" i="17"/>
  <c r="AC1262" i="17"/>
  <c r="J1282" i="17"/>
  <c r="AL1282" i="17"/>
  <c r="AK1285" i="17"/>
  <c r="X1285" i="17"/>
  <c r="M1285" i="17"/>
  <c r="AG1285" i="17"/>
  <c r="R1285" i="17"/>
  <c r="AC1285" i="17"/>
  <c r="N1285" i="17"/>
  <c r="AP1285" i="17"/>
  <c r="Z1285" i="17"/>
  <c r="J1285" i="17"/>
  <c r="AD1285" i="17"/>
  <c r="Y1285" i="17"/>
  <c r="V1285" i="17"/>
  <c r="Q1285" i="17"/>
  <c r="AN1285" i="17"/>
  <c r="AP1370" i="17"/>
  <c r="AK1370" i="17"/>
  <c r="AA1370" i="17"/>
  <c r="O1370" i="17"/>
  <c r="AM1370" i="17"/>
  <c r="AB1370" i="17"/>
  <c r="N1370" i="17"/>
  <c r="AQ1370" i="17"/>
  <c r="AC1370" i="17"/>
  <c r="M1370" i="17"/>
  <c r="AN1370" i="17"/>
  <c r="X1370" i="17"/>
  <c r="L1370" i="17"/>
  <c r="AL1370" i="17"/>
  <c r="U1370" i="17"/>
  <c r="AJ1370" i="17"/>
  <c r="T1370" i="17"/>
  <c r="W1370" i="17"/>
  <c r="V1370" i="17"/>
  <c r="AR1370" i="17"/>
  <c r="AP1379" i="17"/>
  <c r="Y1379" i="17"/>
  <c r="J1379" i="17"/>
  <c r="AJ1379" i="17"/>
  <c r="S1379" i="17"/>
  <c r="AQ1379" i="17"/>
  <c r="T1379" i="17"/>
  <c r="AO1379" i="17"/>
  <c r="P1379" i="17"/>
  <c r="O1379" i="17"/>
  <c r="AR1379" i="17"/>
  <c r="L1379" i="17"/>
  <c r="AF1379" i="17"/>
  <c r="AE1379" i="17"/>
  <c r="AP1422" i="17"/>
  <c r="AI1422" i="17"/>
  <c r="W1422" i="17"/>
  <c r="M1422" i="17"/>
  <c r="AQ1422" i="17"/>
  <c r="AD1422" i="17"/>
  <c r="S1422" i="17"/>
  <c r="AJ1422" i="17"/>
  <c r="U1422" i="17"/>
  <c r="AF1422" i="17"/>
  <c r="T1422" i="17"/>
  <c r="AM1422" i="17"/>
  <c r="V1422" i="17"/>
  <c r="AL1422" i="17"/>
  <c r="P1422" i="17"/>
  <c r="AB1422" i="17"/>
  <c r="AA1422" i="17"/>
  <c r="AK1422" i="17"/>
  <c r="AO1461" i="17"/>
  <c r="S1461" i="17"/>
  <c r="AP1461" i="17"/>
  <c r="P1461" i="17"/>
  <c r="Z1461" i="17"/>
  <c r="Y1461" i="17"/>
  <c r="AF1461" i="17"/>
  <c r="AE1461" i="17"/>
  <c r="AH1461" i="17"/>
  <c r="AG1461" i="17"/>
  <c r="AA1503" i="17"/>
  <c r="Z1503" i="17"/>
  <c r="AJ1503" i="17"/>
  <c r="AO1550" i="17"/>
  <c r="AP1550" i="17"/>
  <c r="AF1550" i="17"/>
  <c r="W1550" i="17"/>
  <c r="N1550" i="17"/>
  <c r="AI1550" i="17"/>
  <c r="X1550" i="17"/>
  <c r="M1550" i="17"/>
  <c r="AJ1550" i="17"/>
  <c r="V1550" i="17"/>
  <c r="K1550" i="17"/>
  <c r="AH1550" i="17"/>
  <c r="U1550" i="17"/>
  <c r="J1550" i="17"/>
  <c r="AR1550" i="17"/>
  <c r="AC1550" i="17"/>
  <c r="O1550" i="17"/>
  <c r="AQ1550" i="17"/>
  <c r="AB1550" i="17"/>
  <c r="L1550" i="17"/>
  <c r="AN1550" i="17"/>
  <c r="T1550" i="17"/>
  <c r="AM1550" i="17"/>
  <c r="S1550" i="17"/>
  <c r="AL1550" i="17"/>
  <c r="R1550" i="17"/>
  <c r="AO1560" i="17"/>
  <c r="AK1560" i="17"/>
  <c r="AB1560" i="17"/>
  <c r="S1560" i="17"/>
  <c r="J1560" i="17"/>
  <c r="AR1560" i="17"/>
  <c r="AH1560" i="17"/>
  <c r="W1560" i="17"/>
  <c r="M1560" i="17"/>
  <c r="AQ1560" i="17"/>
  <c r="AF1560" i="17"/>
  <c r="V1560" i="17"/>
  <c r="L1560" i="17"/>
  <c r="AJ1560" i="17"/>
  <c r="U1560" i="17"/>
  <c r="AI1560" i="17"/>
  <c r="T1560" i="17"/>
  <c r="AD1560" i="17"/>
  <c r="N1560" i="17"/>
  <c r="AC1560" i="17"/>
  <c r="K1560" i="17"/>
  <c r="AP1560" i="17"/>
  <c r="R1560" i="17"/>
  <c r="AN1560" i="17"/>
  <c r="P1560" i="17"/>
  <c r="AM1560" i="17"/>
  <c r="O1560" i="17"/>
  <c r="AO1611" i="17"/>
  <c r="AM1611" i="17"/>
  <c r="AJ1611" i="17"/>
  <c r="AN1678" i="17"/>
  <c r="AP1678" i="17"/>
  <c r="Z1678" i="17"/>
  <c r="N1678" i="17"/>
  <c r="AL1678" i="17"/>
  <c r="W1678" i="17"/>
  <c r="AQ1678" i="17"/>
  <c r="X1678" i="17"/>
  <c r="Y1678" i="17"/>
  <c r="V1678" i="17"/>
  <c r="AA1678" i="17"/>
  <c r="Q1678" i="17"/>
  <c r="P1678" i="17"/>
  <c r="O1678" i="17"/>
  <c r="AH1678" i="17"/>
  <c r="AG1678" i="17"/>
  <c r="AF1678" i="17"/>
  <c r="K1678" i="17"/>
  <c r="AO1701" i="17"/>
  <c r="AL1701" i="17"/>
  <c r="AC1701" i="17"/>
  <c r="T1701" i="17"/>
  <c r="K1701" i="17"/>
  <c r="AI1701" i="17"/>
  <c r="X1701" i="17"/>
  <c r="N1701" i="17"/>
  <c r="AN1701" i="17"/>
  <c r="AB1701" i="17"/>
  <c r="P1701" i="17"/>
  <c r="AM1701" i="17"/>
  <c r="Z1701" i="17"/>
  <c r="L1701" i="17"/>
  <c r="AK1701" i="17"/>
  <c r="W1701" i="17"/>
  <c r="J1701" i="17"/>
  <c r="AH1701" i="17"/>
  <c r="R1701" i="17"/>
  <c r="AF1701" i="17"/>
  <c r="O1701" i="17"/>
  <c r="V1701" i="17"/>
  <c r="AR1701" i="17"/>
  <c r="U1701" i="17"/>
  <c r="AP1701" i="17"/>
  <c r="AJ1701" i="17"/>
  <c r="AE1701" i="17"/>
  <c r="AD1701" i="17"/>
  <c r="AO1770" i="17"/>
  <c r="R1770" i="17"/>
  <c r="AA1770" i="17"/>
  <c r="W1770" i="17"/>
  <c r="Q1770" i="17"/>
  <c r="AQ1770" i="17"/>
  <c r="AP1770" i="17"/>
  <c r="AF1770" i="17"/>
  <c r="X1770" i="17"/>
  <c r="L975" i="17"/>
  <c r="AE975" i="17"/>
  <c r="AR984" i="17"/>
  <c r="J984" i="17"/>
  <c r="U984" i="17"/>
  <c r="V984" i="17"/>
  <c r="T984" i="17"/>
  <c r="AB988" i="17"/>
  <c r="AH991" i="17"/>
  <c r="W991" i="17"/>
  <c r="L991" i="17"/>
  <c r="AO991" i="17"/>
  <c r="Z991" i="17"/>
  <c r="N991" i="17"/>
  <c r="AM991" i="17"/>
  <c r="V991" i="17"/>
  <c r="AJ991" i="17"/>
  <c r="U991" i="17"/>
  <c r="AE991" i="17"/>
  <c r="AO1004" i="17"/>
  <c r="AD1004" i="17"/>
  <c r="T1004" i="17"/>
  <c r="J1004" i="17"/>
  <c r="AQ1004" i="17"/>
  <c r="AF1004" i="17"/>
  <c r="S1004" i="17"/>
  <c r="AR1004" i="17"/>
  <c r="AC1004" i="17"/>
  <c r="P1004" i="17"/>
  <c r="AP1004" i="17"/>
  <c r="AB1004" i="17"/>
  <c r="N1004" i="17"/>
  <c r="Y1004" i="17"/>
  <c r="AH1005" i="17"/>
  <c r="X1005" i="17"/>
  <c r="N1005" i="17"/>
  <c r="AO1005" i="17"/>
  <c r="AD1005" i="17"/>
  <c r="Q1005" i="17"/>
  <c r="AG1005" i="17"/>
  <c r="U1005" i="17"/>
  <c r="AF1005" i="17"/>
  <c r="T1005" i="17"/>
  <c r="Y1005" i="17"/>
  <c r="AP1005" i="17"/>
  <c r="AR1007" i="17"/>
  <c r="AF1007" i="17"/>
  <c r="U1007" i="17"/>
  <c r="AH1007" i="17"/>
  <c r="V1007" i="17"/>
  <c r="AD1007" i="17"/>
  <c r="N1007" i="17"/>
  <c r="AP1007" i="17"/>
  <c r="Z1007" i="17"/>
  <c r="M1007" i="17"/>
  <c r="AE1007" i="17"/>
  <c r="O1011" i="17"/>
  <c r="AK1011" i="17"/>
  <c r="L1013" i="17"/>
  <c r="AR1013" i="17"/>
  <c r="L1022" i="17"/>
  <c r="AG1022" i="17"/>
  <c r="N1048" i="17"/>
  <c r="AQ1052" i="17"/>
  <c r="AD1052" i="17"/>
  <c r="R1052" i="17"/>
  <c r="AG1052" i="17"/>
  <c r="Q1052" i="17"/>
  <c r="AB1052" i="17"/>
  <c r="M1052" i="17"/>
  <c r="AR1052" i="17"/>
  <c r="AA1052" i="17"/>
  <c r="L1052" i="17"/>
  <c r="Z1052" i="17"/>
  <c r="AG1064" i="17"/>
  <c r="Q1064" i="17"/>
  <c r="AO1064" i="17"/>
  <c r="R1064" i="17"/>
  <c r="AB1064" i="17"/>
  <c r="AA1064" i="17"/>
  <c r="AP1064" i="17"/>
  <c r="N1067" i="17"/>
  <c r="AI1068" i="17"/>
  <c r="V1068" i="17"/>
  <c r="K1068" i="17"/>
  <c r="AL1068" i="17"/>
  <c r="Z1068" i="17"/>
  <c r="L1068" i="17"/>
  <c r="AG1068" i="17"/>
  <c r="Q1068" i="17"/>
  <c r="AD1068" i="17"/>
  <c r="N1068" i="17"/>
  <c r="AB1068" i="17"/>
  <c r="U1072" i="17"/>
  <c r="R1111" i="17"/>
  <c r="AD1123" i="17"/>
  <c r="J1137" i="17"/>
  <c r="AP1137" i="17"/>
  <c r="AK1140" i="17"/>
  <c r="Z1140" i="17"/>
  <c r="M1140" i="17"/>
  <c r="AL1140" i="17"/>
  <c r="Y1140" i="17"/>
  <c r="K1140" i="17"/>
  <c r="AJ1140" i="17"/>
  <c r="V1140" i="17"/>
  <c r="J1140" i="17"/>
  <c r="AI1140" i="17"/>
  <c r="R1140" i="17"/>
  <c r="AH1140" i="17"/>
  <c r="Q1140" i="17"/>
  <c r="AQ1140" i="17"/>
  <c r="N1140" i="17"/>
  <c r="AP1140" i="17"/>
  <c r="L1140" i="17"/>
  <c r="AG1141" i="17"/>
  <c r="Q1141" i="17"/>
  <c r="AP1141" i="17"/>
  <c r="U1141" i="17"/>
  <c r="AO1141" i="17"/>
  <c r="R1141" i="17"/>
  <c r="AC1141" i="17"/>
  <c r="V1141" i="17"/>
  <c r="AL1141" i="17"/>
  <c r="AF1141" i="17"/>
  <c r="AP1143" i="17"/>
  <c r="V1143" i="17"/>
  <c r="AG1143" i="17"/>
  <c r="N1143" i="17"/>
  <c r="AF1143" i="17"/>
  <c r="M1143" i="17"/>
  <c r="AE1143" i="17"/>
  <c r="AD1143" i="17"/>
  <c r="Y1143" i="17"/>
  <c r="U1143" i="17"/>
  <c r="X1155" i="17"/>
  <c r="AI1174" i="17"/>
  <c r="L1174" i="17"/>
  <c r="AO1174" i="17"/>
  <c r="S1174" i="17"/>
  <c r="AL1174" i="17"/>
  <c r="N1174" i="17"/>
  <c r="V1174" i="17"/>
  <c r="M1174" i="17"/>
  <c r="AK1174" i="17"/>
  <c r="AJ1174" i="17"/>
  <c r="AE1185" i="17"/>
  <c r="J1185" i="17"/>
  <c r="AN1185" i="17"/>
  <c r="N1185" i="17"/>
  <c r="AM1185" i="17"/>
  <c r="M1185" i="17"/>
  <c r="AF1185" i="17"/>
  <c r="AD1185" i="17"/>
  <c r="R1185" i="17"/>
  <c r="Q1185" i="17"/>
  <c r="Z1194" i="17"/>
  <c r="Y1194" i="17"/>
  <c r="R1194" i="17"/>
  <c r="AC1194" i="17"/>
  <c r="Q1194" i="17"/>
  <c r="N1194" i="17"/>
  <c r="M1194" i="17"/>
  <c r="AK1251" i="17"/>
  <c r="AK1255" i="17"/>
  <c r="R1255" i="17"/>
  <c r="AF1255" i="17"/>
  <c r="P1255" i="17"/>
  <c r="AC1255" i="17"/>
  <c r="Z1255" i="17"/>
  <c r="AP1255" i="17"/>
  <c r="Q1255" i="17"/>
  <c r="AO1255" i="17"/>
  <c r="O1255" i="17"/>
  <c r="AL1255" i="17"/>
  <c r="AE1255" i="17"/>
  <c r="Z1262" i="17"/>
  <c r="U1275" i="17"/>
  <c r="AI1282" i="17"/>
  <c r="O1285" i="17"/>
  <c r="AH1309" i="17"/>
  <c r="W1309" i="17"/>
  <c r="J1309" i="17"/>
  <c r="AM1309" i="17"/>
  <c r="Y1309" i="17"/>
  <c r="M1309" i="17"/>
  <c r="AD1309" i="17"/>
  <c r="O1309" i="17"/>
  <c r="AC1309" i="17"/>
  <c r="N1309" i="17"/>
  <c r="Z1309" i="17"/>
  <c r="X1309" i="17"/>
  <c r="R1309" i="17"/>
  <c r="AP1309" i="17"/>
  <c r="Q1309" i="17"/>
  <c r="K1370" i="17"/>
  <c r="AP1371" i="17"/>
  <c r="R1371" i="17"/>
  <c r="Y1371" i="17"/>
  <c r="AJ1371" i="17"/>
  <c r="AI1371" i="17"/>
  <c r="AM1371" i="17"/>
  <c r="S1371" i="17"/>
  <c r="Q1371" i="17"/>
  <c r="K1379" i="17"/>
  <c r="AP1418" i="17"/>
  <c r="AL1418" i="17"/>
  <c r="AB1418" i="17"/>
  <c r="P1418" i="17"/>
  <c r="AN1418" i="17"/>
  <c r="AC1418" i="17"/>
  <c r="O1418" i="17"/>
  <c r="AQ1418" i="17"/>
  <c r="AA1418" i="17"/>
  <c r="M1418" i="17"/>
  <c r="AM1418" i="17"/>
  <c r="X1418" i="17"/>
  <c r="L1418" i="17"/>
  <c r="AR1418" i="17"/>
  <c r="V1418" i="17"/>
  <c r="AK1418" i="17"/>
  <c r="U1418" i="17"/>
  <c r="AI1418" i="17"/>
  <c r="K1418" i="17"/>
  <c r="AF1418" i="17"/>
  <c r="J1418" i="17"/>
  <c r="AN1419" i="17"/>
  <c r="AP1419" i="17"/>
  <c r="Z1419" i="17"/>
  <c r="L1419" i="17"/>
  <c r="AH1419" i="17"/>
  <c r="Q1419" i="17"/>
  <c r="AM1419" i="17"/>
  <c r="W1419" i="17"/>
  <c r="AJ1419" i="17"/>
  <c r="T1419" i="17"/>
  <c r="AA1419" i="17"/>
  <c r="Y1419" i="17"/>
  <c r="AF1419" i="17"/>
  <c r="X1419" i="17"/>
  <c r="AR1419" i="17"/>
  <c r="W1431" i="17"/>
  <c r="T1431" i="17"/>
  <c r="AM1431" i="17"/>
  <c r="AH1431" i="17"/>
  <c r="X1431" i="17"/>
  <c r="Q1431" i="17"/>
  <c r="AP1431" i="17"/>
  <c r="K1461" i="17"/>
  <c r="AL1650" i="17"/>
  <c r="AE1650" i="17"/>
  <c r="O1650" i="17"/>
  <c r="S1650" i="17"/>
  <c r="AD1650" i="17"/>
  <c r="R1650" i="17"/>
  <c r="Q1650" i="17"/>
  <c r="P1650" i="17"/>
  <c r="N1650" i="17"/>
  <c r="AA1650" i="17"/>
  <c r="Z1650" i="17"/>
  <c r="AO1650" i="17"/>
  <c r="AN1650" i="17"/>
  <c r="AI1650" i="17"/>
  <c r="AH1650" i="17"/>
  <c r="AO1665" i="17"/>
  <c r="AJ1665" i="17"/>
  <c r="Z1665" i="17"/>
  <c r="N1665" i="17"/>
  <c r="AH1665" i="17"/>
  <c r="U1665" i="17"/>
  <c r="J1665" i="17"/>
  <c r="AP1665" i="17"/>
  <c r="AB1665" i="17"/>
  <c r="M1665" i="17"/>
  <c r="AI1665" i="17"/>
  <c r="S1665" i="17"/>
  <c r="AE1665" i="17"/>
  <c r="R1665" i="17"/>
  <c r="AM1665" i="17"/>
  <c r="T1665" i="17"/>
  <c r="AL1665" i="17"/>
  <c r="O1665" i="17"/>
  <c r="V1665" i="17"/>
  <c r="AR1665" i="17"/>
  <c r="L1665" i="17"/>
  <c r="AD1665" i="17"/>
  <c r="AC1665" i="17"/>
  <c r="AA1665" i="17"/>
  <c r="W1665" i="17"/>
  <c r="AP1746" i="17"/>
  <c r="T1746" i="17"/>
  <c r="AO1746" i="17"/>
  <c r="L1746" i="17"/>
  <c r="K1746" i="17"/>
  <c r="W1746" i="17"/>
  <c r="Q1746" i="17"/>
  <c r="AH1746" i="17"/>
  <c r="AE1746" i="17"/>
  <c r="AN1746" i="17"/>
  <c r="AM1746" i="17"/>
  <c r="AP1767" i="17"/>
  <c r="AM1767" i="17"/>
  <c r="AC1767" i="17"/>
  <c r="S1767" i="17"/>
  <c r="AJ1767" i="17"/>
  <c r="W1767" i="17"/>
  <c r="L1767" i="17"/>
  <c r="AE1767" i="17"/>
  <c r="P1767" i="17"/>
  <c r="AL1767" i="17"/>
  <c r="V1767" i="17"/>
  <c r="AK1767" i="17"/>
  <c r="U1767" i="17"/>
  <c r="AQ1767" i="17"/>
  <c r="T1767" i="17"/>
  <c r="AN1767" i="17"/>
  <c r="O1767" i="17"/>
  <c r="X1767" i="17"/>
  <c r="N1767" i="17"/>
  <c r="AI1767" i="17"/>
  <c r="AF1767" i="17"/>
  <c r="AD1767" i="17"/>
  <c r="AB1767" i="17"/>
  <c r="AH1904" i="17"/>
  <c r="S1904" i="17"/>
  <c r="AN1904" i="17"/>
  <c r="R1904" i="17"/>
  <c r="Y1904" i="17"/>
  <c r="AG1904" i="17"/>
  <c r="K1904" i="17"/>
  <c r="AF1904" i="17"/>
  <c r="J1904" i="17"/>
  <c r="V1904" i="17"/>
  <c r="AD1904" i="17"/>
  <c r="X1904" i="17"/>
  <c r="AQ1904" i="17"/>
  <c r="AP1904" i="17"/>
  <c r="AO1904" i="17"/>
  <c r="AE1904" i="17"/>
  <c r="AP1944" i="17"/>
  <c r="AJ1944" i="17"/>
  <c r="X1944" i="17"/>
  <c r="N1944" i="17"/>
  <c r="AL1944" i="17"/>
  <c r="AA1944" i="17"/>
  <c r="M1944" i="17"/>
  <c r="AK1944" i="17"/>
  <c r="W1944" i="17"/>
  <c r="L1944" i="17"/>
  <c r="AD1944" i="17"/>
  <c r="O1944" i="17"/>
  <c r="AN1944" i="17"/>
  <c r="U1944" i="17"/>
  <c r="AI1944" i="17"/>
  <c r="P1944" i="17"/>
  <c r="AF1944" i="17"/>
  <c r="K1944" i="17"/>
  <c r="AC1944" i="17"/>
  <c r="T1944" i="17"/>
  <c r="S1944" i="17"/>
  <c r="AE1944" i="17"/>
  <c r="AB1944" i="17"/>
  <c r="AQ1944" i="17"/>
  <c r="AM1944" i="17"/>
  <c r="AR1944" i="17"/>
  <c r="V1944" i="17"/>
  <c r="AR1780" i="17"/>
  <c r="Y1780" i="17"/>
  <c r="AN1780" i="17"/>
  <c r="P1780" i="17"/>
  <c r="AE1780" i="17"/>
  <c r="O1780" i="17"/>
  <c r="AO1780" i="17"/>
  <c r="L1780" i="17"/>
  <c r="AM1780" i="17"/>
  <c r="AR1837" i="17"/>
  <c r="AE1837" i="17"/>
  <c r="L1837" i="17"/>
  <c r="AP1837" i="17"/>
  <c r="X1837" i="17"/>
  <c r="AO1837" i="17"/>
  <c r="S1837" i="17"/>
  <c r="AJ1837" i="17"/>
  <c r="P1837" i="17"/>
  <c r="AF1837" i="17"/>
  <c r="Y1837" i="17"/>
  <c r="T1837" i="17"/>
  <c r="AG1837" i="17"/>
  <c r="Z1837" i="17"/>
  <c r="AH1837" i="17"/>
  <c r="O1837" i="17"/>
  <c r="AP1852" i="17"/>
  <c r="AL1852" i="17"/>
  <c r="AB1852" i="17"/>
  <c r="P1852" i="17"/>
  <c r="AQ1852" i="17"/>
  <c r="AD1852" i="17"/>
  <c r="S1852" i="17"/>
  <c r="AI1852" i="17"/>
  <c r="U1852" i="17"/>
  <c r="AF1852" i="17"/>
  <c r="T1852" i="17"/>
  <c r="AA1852" i="17"/>
  <c r="K1852" i="17"/>
  <c r="X1852" i="17"/>
  <c r="AR1852" i="17"/>
  <c r="W1852" i="17"/>
  <c r="V1852" i="17"/>
  <c r="O1852" i="17"/>
  <c r="AC1852" i="17"/>
  <c r="N1852" i="17"/>
  <c r="AO1552" i="17"/>
  <c r="AR1552" i="17"/>
  <c r="AI1552" i="17"/>
  <c r="Z1552" i="17"/>
  <c r="P1552" i="17"/>
  <c r="AQ1552" i="17"/>
  <c r="AF1552" i="17"/>
  <c r="V1552" i="17"/>
  <c r="L1552" i="17"/>
  <c r="AL1552" i="17"/>
  <c r="AA1552" i="17"/>
  <c r="N1552" i="17"/>
  <c r="AK1552" i="17"/>
  <c r="X1552" i="17"/>
  <c r="M1552" i="17"/>
  <c r="AC1552" i="17"/>
  <c r="K1552" i="17"/>
  <c r="AP1552" i="17"/>
  <c r="AB1552" i="17"/>
  <c r="J1552" i="17"/>
  <c r="AE1552" i="17"/>
  <c r="AO1558" i="17"/>
  <c r="AM1558" i="17"/>
  <c r="AD1558" i="17"/>
  <c r="U1558" i="17"/>
  <c r="L1558" i="17"/>
  <c r="AL1558" i="17"/>
  <c r="AB1558" i="17"/>
  <c r="R1558" i="17"/>
  <c r="AP1558" i="17"/>
  <c r="AC1558" i="17"/>
  <c r="P1558" i="17"/>
  <c r="AN1558" i="17"/>
  <c r="AA1558" i="17"/>
  <c r="O1558" i="17"/>
  <c r="AJ1558" i="17"/>
  <c r="V1558" i="17"/>
  <c r="AI1558" i="17"/>
  <c r="T1558" i="17"/>
  <c r="Z1558" i="17"/>
  <c r="AO1596" i="17"/>
  <c r="AR1596" i="17"/>
  <c r="AI1596" i="17"/>
  <c r="Z1596" i="17"/>
  <c r="P1596" i="17"/>
  <c r="AP1596" i="17"/>
  <c r="AE1596" i="17"/>
  <c r="U1596" i="17"/>
  <c r="K1596" i="17"/>
  <c r="AN1596" i="17"/>
  <c r="AD1596" i="17"/>
  <c r="T1596" i="17"/>
  <c r="J1596" i="17"/>
  <c r="AM1596" i="17"/>
  <c r="AA1596" i="17"/>
  <c r="M1596" i="17"/>
  <c r="AL1596" i="17"/>
  <c r="X1596" i="17"/>
  <c r="L1596" i="17"/>
  <c r="AK1596" i="17"/>
  <c r="S1596" i="17"/>
  <c r="AJ1596" i="17"/>
  <c r="R1596" i="17"/>
  <c r="AH1596" i="17"/>
  <c r="Z1599" i="17"/>
  <c r="AF1599" i="17"/>
  <c r="AA1599" i="17"/>
  <c r="AG1601" i="17"/>
  <c r="P1601" i="17"/>
  <c r="AJ1601" i="17"/>
  <c r="S1601" i="17"/>
  <c r="AH1601" i="17"/>
  <c r="O1601" i="17"/>
  <c r="AQ1601" i="17"/>
  <c r="T1601" i="17"/>
  <c r="AP1601" i="17"/>
  <c r="L1601" i="17"/>
  <c r="K1601" i="17"/>
  <c r="AR1601" i="17"/>
  <c r="J1601" i="17"/>
  <c r="AO1635" i="17"/>
  <c r="AL1635" i="17"/>
  <c r="AB1635" i="17"/>
  <c r="R1635" i="17"/>
  <c r="AJ1635" i="17"/>
  <c r="W1635" i="17"/>
  <c r="L1635" i="17"/>
  <c r="AR1635" i="17"/>
  <c r="AD1635" i="17"/>
  <c r="O1635" i="17"/>
  <c r="AI1635" i="17"/>
  <c r="T1635" i="17"/>
  <c r="AH1635" i="17"/>
  <c r="S1635" i="17"/>
  <c r="AK1635" i="17"/>
  <c r="M1635" i="17"/>
  <c r="AE1635" i="17"/>
  <c r="K1635" i="17"/>
  <c r="U1635" i="17"/>
  <c r="AQ1635" i="17"/>
  <c r="N1635" i="17"/>
  <c r="AG1638" i="17"/>
  <c r="R1638" i="17"/>
  <c r="AE1638" i="17"/>
  <c r="K1638" i="17"/>
  <c r="AO1638" i="17"/>
  <c r="S1638" i="17"/>
  <c r="AQ1638" i="17"/>
  <c r="V1638" i="17"/>
  <c r="AP1638" i="17"/>
  <c r="Q1638" i="17"/>
  <c r="AD1638" i="17"/>
  <c r="AA1638" i="17"/>
  <c r="AN1638" i="17"/>
  <c r="AP1721" i="17"/>
  <c r="AI1721" i="17"/>
  <c r="W1721" i="17"/>
  <c r="M1721" i="17"/>
  <c r="AJ1721" i="17"/>
  <c r="V1721" i="17"/>
  <c r="K1721" i="17"/>
  <c r="AN1721" i="17"/>
  <c r="AB1721" i="17"/>
  <c r="N1721" i="17"/>
  <c r="AL1721" i="17"/>
  <c r="U1721" i="17"/>
  <c r="AK1721" i="17"/>
  <c r="T1721" i="17"/>
  <c r="AM1721" i="17"/>
  <c r="P1721" i="17"/>
  <c r="AF1721" i="17"/>
  <c r="O1721" i="17"/>
  <c r="AE1721" i="17"/>
  <c r="AD1721" i="17"/>
  <c r="AP1725" i="17"/>
  <c r="AL1725" i="17"/>
  <c r="AB1725" i="17"/>
  <c r="P1725" i="17"/>
  <c r="AQ1725" i="17"/>
  <c r="AD1725" i="17"/>
  <c r="S1725" i="17"/>
  <c r="AE1725" i="17"/>
  <c r="O1725" i="17"/>
  <c r="AK1725" i="17"/>
  <c r="V1725" i="17"/>
  <c r="AJ1725" i="17"/>
  <c r="U1725" i="17"/>
  <c r="AN1725" i="17"/>
  <c r="T1725" i="17"/>
  <c r="AM1725" i="17"/>
  <c r="N1725" i="17"/>
  <c r="X1725" i="17"/>
  <c r="W1725" i="17"/>
  <c r="AR1725" i="17"/>
  <c r="AP1727" i="17"/>
  <c r="AR1727" i="17"/>
  <c r="AF1727" i="17"/>
  <c r="V1727" i="17"/>
  <c r="L1727" i="17"/>
  <c r="AQ1727" i="17"/>
  <c r="AD1727" i="17"/>
  <c r="S1727" i="17"/>
  <c r="AL1727" i="17"/>
  <c r="X1727" i="17"/>
  <c r="K1727" i="17"/>
  <c r="AJ1727" i="17"/>
  <c r="T1727" i="17"/>
  <c r="AI1727" i="17"/>
  <c r="P1727" i="17"/>
  <c r="AB1727" i="17"/>
  <c r="AA1727" i="17"/>
  <c r="O1727" i="17"/>
  <c r="AN1727" i="17"/>
  <c r="N1727" i="17"/>
  <c r="Q1780" i="17"/>
  <c r="AO1818" i="17"/>
  <c r="AM1818" i="17"/>
  <c r="AB1818" i="17"/>
  <c r="AN1818" i="17"/>
  <c r="J1837" i="17"/>
  <c r="L1852" i="17"/>
  <c r="AC1870" i="17"/>
  <c r="AA1870" i="17"/>
  <c r="Z1870" i="17"/>
  <c r="Q1870" i="17"/>
  <c r="P1870" i="17"/>
  <c r="AG1870" i="17"/>
  <c r="R1870" i="17"/>
  <c r="O1870" i="17"/>
  <c r="AQ1870" i="17"/>
  <c r="AP1870" i="17"/>
  <c r="AO1901" i="17"/>
  <c r="AK1901" i="17"/>
  <c r="AA1901" i="17"/>
  <c r="O1901" i="17"/>
  <c r="AL1901" i="17"/>
  <c r="Z1901" i="17"/>
  <c r="M1901" i="17"/>
  <c r="AE1901" i="17"/>
  <c r="S1901" i="17"/>
  <c r="AR1901" i="17"/>
  <c r="AC1901" i="17"/>
  <c r="L1901" i="17"/>
  <c r="AQ1901" i="17"/>
  <c r="AB1901" i="17"/>
  <c r="K1901" i="17"/>
  <c r="AI1901" i="17"/>
  <c r="N1901" i="17"/>
  <c r="AD1901" i="17"/>
  <c r="W1901" i="17"/>
  <c r="AH1901" i="17"/>
  <c r="V1901" i="17"/>
  <c r="U1901" i="17"/>
  <c r="T1901" i="17"/>
  <c r="AR1977" i="17"/>
  <c r="AE1977" i="17"/>
  <c r="Q1977" i="17"/>
  <c r="AQ1977" i="17"/>
  <c r="AD1977" i="17"/>
  <c r="O1977" i="17"/>
  <c r="AI1977" i="17"/>
  <c r="N1977" i="17"/>
  <c r="AG1977" i="17"/>
  <c r="M1977" i="17"/>
  <c r="Z1977" i="17"/>
  <c r="Y1977" i="17"/>
  <c r="AJ1977" i="17"/>
  <c r="AO1977" i="17"/>
  <c r="AA1977" i="17"/>
  <c r="W1977" i="17"/>
  <c r="L1977" i="17"/>
  <c r="AM1977" i="17"/>
  <c r="U1977" i="17"/>
  <c r="AP1977" i="17"/>
  <c r="V17" i="17"/>
  <c r="S19" i="17"/>
  <c r="K29" i="17"/>
  <c r="V29" i="17"/>
  <c r="Z32" i="17"/>
  <c r="K33" i="17"/>
  <c r="W47" i="17"/>
  <c r="V49" i="17"/>
  <c r="K61" i="17"/>
  <c r="W63" i="17"/>
  <c r="S65" i="17"/>
  <c r="S67" i="17"/>
  <c r="V73" i="17"/>
  <c r="K74" i="17"/>
  <c r="S75" i="17"/>
  <c r="V81" i="17"/>
  <c r="V109" i="17"/>
  <c r="S113" i="17"/>
  <c r="S115" i="17"/>
  <c r="K119" i="17"/>
  <c r="V119" i="17"/>
  <c r="K120" i="17"/>
  <c r="V127" i="17"/>
  <c r="K129" i="17"/>
  <c r="K132" i="17"/>
  <c r="O133" i="17" s="1"/>
  <c r="AI133" i="17" s="1"/>
  <c r="AA136" i="17"/>
  <c r="AB138" i="17"/>
  <c r="K139" i="17"/>
  <c r="V139" i="17"/>
  <c r="S143" i="17"/>
  <c r="X145" i="17"/>
  <c r="W149" i="17"/>
  <c r="AB156" i="17"/>
  <c r="K157" i="17"/>
  <c r="V157" i="17"/>
  <c r="S159" i="17"/>
  <c r="W165" i="17"/>
  <c r="K169" i="17"/>
  <c r="V169" i="17"/>
  <c r="S177" i="17"/>
  <c r="AC177" i="17"/>
  <c r="AM177" i="17"/>
  <c r="AO180" i="17"/>
  <c r="T195" i="17"/>
  <c r="AD195" i="17"/>
  <c r="AN195" i="17"/>
  <c r="S197" i="17"/>
  <c r="AC197" i="17"/>
  <c r="AM197" i="17"/>
  <c r="S199" i="17"/>
  <c r="AC199" i="17"/>
  <c r="AM199" i="17"/>
  <c r="X202" i="17"/>
  <c r="AJ202" i="17"/>
  <c r="Z204" i="17"/>
  <c r="AR204" i="17"/>
  <c r="S205" i="17"/>
  <c r="AC205" i="17"/>
  <c r="AM205" i="17"/>
  <c r="S207" i="17"/>
  <c r="AC207" i="17"/>
  <c r="AM207" i="17"/>
  <c r="T209" i="17"/>
  <c r="AD209" i="17"/>
  <c r="AN209" i="17"/>
  <c r="AQ212" i="17"/>
  <c r="AN220" i="17"/>
  <c r="S225" i="17"/>
  <c r="AC225" i="17"/>
  <c r="AM225" i="17"/>
  <c r="T229" i="17"/>
  <c r="AD229" i="17"/>
  <c r="AN229" i="17"/>
  <c r="T231" i="17"/>
  <c r="AD231" i="17"/>
  <c r="AN231" i="17"/>
  <c r="T237" i="17"/>
  <c r="AD237" i="17"/>
  <c r="AN237" i="17"/>
  <c r="S243" i="17"/>
  <c r="AC243" i="17"/>
  <c r="AM243" i="17"/>
  <c r="X246" i="17"/>
  <c r="AJ246" i="17"/>
  <c r="S249" i="17"/>
  <c r="AC249" i="17"/>
  <c r="AM249" i="17"/>
  <c r="T255" i="17"/>
  <c r="AD255" i="17"/>
  <c r="AN255" i="17"/>
  <c r="T259" i="17"/>
  <c r="AD259" i="17"/>
  <c r="AN259" i="17"/>
  <c r="T265" i="17"/>
  <c r="AD265" i="17"/>
  <c r="AN265" i="17"/>
  <c r="AG272" i="17"/>
  <c r="T275" i="17"/>
  <c r="AD275" i="17"/>
  <c r="AN275" i="17"/>
  <c r="T281" i="17"/>
  <c r="AD281" i="17"/>
  <c r="AN281" i="17"/>
  <c r="W294" i="17"/>
  <c r="AI294" i="17"/>
  <c r="Y296" i="17"/>
  <c r="AN296" i="17"/>
  <c r="T321" i="17"/>
  <c r="AD321" i="17"/>
  <c r="AN321" i="17"/>
  <c r="T331" i="17"/>
  <c r="AD331" i="17"/>
  <c r="AN331" i="17"/>
  <c r="T409" i="17"/>
  <c r="AD409" i="17"/>
  <c r="AN409" i="17"/>
  <c r="AH412" i="17"/>
  <c r="T441" i="17"/>
  <c r="AD441" i="17"/>
  <c r="AN441" i="17"/>
  <c r="T447" i="17"/>
  <c r="AD447" i="17"/>
  <c r="AN447" i="17"/>
  <c r="T453" i="17"/>
  <c r="AD453" i="17"/>
  <c r="AN453" i="17"/>
  <c r="T457" i="17"/>
  <c r="AD457" i="17"/>
  <c r="AN457" i="17"/>
  <c r="AQ474" i="17"/>
  <c r="T512" i="17"/>
  <c r="AG512" i="17"/>
  <c r="AR512" i="17"/>
  <c r="AH524" i="17"/>
  <c r="T560" i="17"/>
  <c r="AG560" i="17"/>
  <c r="AR560" i="17"/>
  <c r="AQ574" i="17"/>
  <c r="X578" i="17"/>
  <c r="AJ578" i="17"/>
  <c r="Z580" i="17"/>
  <c r="AR580" i="17"/>
  <c r="T585" i="17"/>
  <c r="AD585" i="17"/>
  <c r="AN585" i="17"/>
  <c r="T591" i="17"/>
  <c r="AD591" i="17"/>
  <c r="AN591" i="17"/>
  <c r="R599" i="17"/>
  <c r="AA599" i="17"/>
  <c r="AJ599" i="17"/>
  <c r="AH600" i="17"/>
  <c r="AO619" i="17"/>
  <c r="AR619" i="17"/>
  <c r="AI619" i="17"/>
  <c r="Z619" i="17"/>
  <c r="P619" i="17"/>
  <c r="S619" i="17"/>
  <c r="AC619" i="17"/>
  <c r="AM619" i="17"/>
  <c r="AO621" i="17"/>
  <c r="AM621" i="17"/>
  <c r="AD621" i="17"/>
  <c r="U621" i="17"/>
  <c r="L621" i="17"/>
  <c r="S621" i="17"/>
  <c r="AC621" i="17"/>
  <c r="AN621" i="17"/>
  <c r="AO635" i="17"/>
  <c r="AN635" i="17"/>
  <c r="AE635" i="17"/>
  <c r="V635" i="17"/>
  <c r="M635" i="17"/>
  <c r="S635" i="17"/>
  <c r="AC635" i="17"/>
  <c r="AM635" i="17"/>
  <c r="AO639" i="17"/>
  <c r="AL639" i="17"/>
  <c r="AC639" i="17"/>
  <c r="T639" i="17"/>
  <c r="K639" i="17"/>
  <c r="S639" i="17"/>
  <c r="AD639" i="17"/>
  <c r="AN639" i="17"/>
  <c r="AF642" i="17"/>
  <c r="AO649" i="17"/>
  <c r="AQ649" i="17"/>
  <c r="AH649" i="17"/>
  <c r="X649" i="17"/>
  <c r="O649" i="17"/>
  <c r="S649" i="17"/>
  <c r="AC649" i="17"/>
  <c r="AM649" i="17"/>
  <c r="AO661" i="17"/>
  <c r="AL661" i="17"/>
  <c r="AC661" i="17"/>
  <c r="T661" i="17"/>
  <c r="K661" i="17"/>
  <c r="S661" i="17"/>
  <c r="AD661" i="17"/>
  <c r="AN661" i="17"/>
  <c r="AO667" i="17"/>
  <c r="AM667" i="17"/>
  <c r="AD667" i="17"/>
  <c r="U667" i="17"/>
  <c r="L667" i="17"/>
  <c r="S667" i="17"/>
  <c r="AC667" i="17"/>
  <c r="AN667" i="17"/>
  <c r="AD674" i="17"/>
  <c r="J674" i="17"/>
  <c r="AE674" i="17"/>
  <c r="AO681" i="17"/>
  <c r="AR681" i="17"/>
  <c r="AI681" i="17"/>
  <c r="Z681" i="17"/>
  <c r="P681" i="17"/>
  <c r="S681" i="17"/>
  <c r="AC681" i="17"/>
  <c r="AM681" i="17"/>
  <c r="AN708" i="17"/>
  <c r="Z708" i="17"/>
  <c r="N708" i="17"/>
  <c r="Y708" i="17"/>
  <c r="AQ708" i="17"/>
  <c r="AE712" i="17"/>
  <c r="AD712" i="17"/>
  <c r="AO721" i="17"/>
  <c r="AQ721" i="17"/>
  <c r="AH721" i="17"/>
  <c r="X721" i="17"/>
  <c r="O721" i="17"/>
  <c r="S721" i="17"/>
  <c r="AC721" i="17"/>
  <c r="AM721" i="17"/>
  <c r="AO729" i="17"/>
  <c r="AR729" i="17"/>
  <c r="AI729" i="17"/>
  <c r="Z729" i="17"/>
  <c r="P729" i="17"/>
  <c r="S729" i="17"/>
  <c r="AC729" i="17"/>
  <c r="AM729" i="17"/>
  <c r="AO739" i="17"/>
  <c r="AR739" i="17"/>
  <c r="AI739" i="17"/>
  <c r="Z739" i="17"/>
  <c r="P739" i="17"/>
  <c r="S739" i="17"/>
  <c r="AC739" i="17"/>
  <c r="AM739" i="17"/>
  <c r="AO747" i="17"/>
  <c r="AK747" i="17"/>
  <c r="AB747" i="17"/>
  <c r="S747" i="17"/>
  <c r="J747" i="17"/>
  <c r="T747" i="17"/>
  <c r="AD747" i="17"/>
  <c r="AN747" i="17"/>
  <c r="AO749" i="17"/>
  <c r="AM749" i="17"/>
  <c r="AD749" i="17"/>
  <c r="U749" i="17"/>
  <c r="L749" i="17"/>
  <c r="S749" i="17"/>
  <c r="AC749" i="17"/>
  <c r="AN749" i="17"/>
  <c r="AO755" i="17"/>
  <c r="AP755" i="17"/>
  <c r="AF755" i="17"/>
  <c r="W755" i="17"/>
  <c r="N755" i="17"/>
  <c r="S755" i="17"/>
  <c r="AC755" i="17"/>
  <c r="AM755" i="17"/>
  <c r="AO759" i="17"/>
  <c r="AL759" i="17"/>
  <c r="AC759" i="17"/>
  <c r="T759" i="17"/>
  <c r="K759" i="17"/>
  <c r="S759" i="17"/>
  <c r="AD759" i="17"/>
  <c r="AN759" i="17"/>
  <c r="AN784" i="17"/>
  <c r="AG784" i="17"/>
  <c r="L784" i="17"/>
  <c r="AH784" i="17"/>
  <c r="AD792" i="17"/>
  <c r="Q792" i="17"/>
  <c r="AA792" i="17"/>
  <c r="AR792" i="17"/>
  <c r="AD842" i="17"/>
  <c r="M842" i="17"/>
  <c r="AC842" i="17"/>
  <c r="AM861" i="17"/>
  <c r="AC861" i="17"/>
  <c r="Q861" i="17"/>
  <c r="U861" i="17"/>
  <c r="AF861" i="17"/>
  <c r="AR861" i="17"/>
  <c r="AI866" i="17"/>
  <c r="R866" i="17"/>
  <c r="AF866" i="17"/>
  <c r="AL871" i="17"/>
  <c r="U871" i="17"/>
  <c r="AB871" i="17"/>
  <c r="AM879" i="17"/>
  <c r="Y879" i="17"/>
  <c r="N879" i="17"/>
  <c r="W879" i="17"/>
  <c r="AJ879" i="17"/>
  <c r="AG882" i="17"/>
  <c r="R882" i="17"/>
  <c r="Y882" i="17"/>
  <c r="AO882" i="17"/>
  <c r="AN886" i="17"/>
  <c r="T886" i="17"/>
  <c r="AD886" i="17"/>
  <c r="AK903" i="17"/>
  <c r="R903" i="17"/>
  <c r="AH903" i="17"/>
  <c r="AK908" i="17"/>
  <c r="Z908" i="17"/>
  <c r="P908" i="17"/>
  <c r="T908" i="17"/>
  <c r="AF908" i="17"/>
  <c r="AQ908" i="17"/>
  <c r="AN911" i="17"/>
  <c r="Z911" i="17"/>
  <c r="O911" i="17"/>
  <c r="W911" i="17"/>
  <c r="AJ911" i="17"/>
  <c r="AH916" i="17"/>
  <c r="AL919" i="17"/>
  <c r="Y919" i="17"/>
  <c r="J919" i="17"/>
  <c r="Z919" i="17"/>
  <c r="AN919" i="17"/>
  <c r="AF931" i="17"/>
  <c r="P931" i="17"/>
  <c r="AB931" i="17"/>
  <c r="AQ940" i="17"/>
  <c r="AG940" i="17"/>
  <c r="V940" i="17"/>
  <c r="L940" i="17"/>
  <c r="T940" i="17"/>
  <c r="AF940" i="17"/>
  <c r="AR940" i="17"/>
  <c r="AH943" i="17"/>
  <c r="W943" i="17"/>
  <c r="L943" i="17"/>
  <c r="X943" i="17"/>
  <c r="AM943" i="17"/>
  <c r="AO958" i="17"/>
  <c r="AC958" i="17"/>
  <c r="P958" i="17"/>
  <c r="AP958" i="17"/>
  <c r="Z958" i="17"/>
  <c r="M958" i="17"/>
  <c r="X958" i="17"/>
  <c r="AN958" i="17"/>
  <c r="X963" i="17"/>
  <c r="W963" i="17"/>
  <c r="AL963" i="17"/>
  <c r="AK994" i="17"/>
  <c r="Z994" i="17"/>
  <c r="AF994" i="17"/>
  <c r="AH994" i="17"/>
  <c r="T996" i="17"/>
  <c r="Z996" i="17"/>
  <c r="AR996" i="17"/>
  <c r="AQ1012" i="17"/>
  <c r="AA1012" i="17"/>
  <c r="K1012" i="17"/>
  <c r="AK1012" i="17"/>
  <c r="R1012" i="17"/>
  <c r="AC1012" i="17"/>
  <c r="AR1016" i="17"/>
  <c r="T1016" i="17"/>
  <c r="AB1016" i="17"/>
  <c r="AN1016" i="17"/>
  <c r="AP1018" i="17"/>
  <c r="U1018" i="17"/>
  <c r="AJ1018" i="17"/>
  <c r="R1018" i="17"/>
  <c r="AD1018" i="17"/>
  <c r="Y1030" i="17"/>
  <c r="AK1030" i="17"/>
  <c r="Z1032" i="17"/>
  <c r="AR1032" i="17"/>
  <c r="L1032" i="17"/>
  <c r="AI1032" i="17"/>
  <c r="N1035" i="17"/>
  <c r="M1035" i="17"/>
  <c r="X1043" i="17"/>
  <c r="Y1043" i="17"/>
  <c r="AM1043" i="17"/>
  <c r="AL1051" i="17"/>
  <c r="Z1051" i="17"/>
  <c r="Z1069" i="17"/>
  <c r="AL1069" i="17"/>
  <c r="J1069" i="17"/>
  <c r="V1069" i="17"/>
  <c r="AN1069" i="17"/>
  <c r="AO1094" i="17"/>
  <c r="S1094" i="17"/>
  <c r="AJ1094" i="17"/>
  <c r="R1094" i="17"/>
  <c r="AA1094" i="17"/>
  <c r="V1094" i="17"/>
  <c r="AR1094" i="17"/>
  <c r="AL1199" i="17"/>
  <c r="AN1199" i="17"/>
  <c r="AC1199" i="17"/>
  <c r="Z1199" i="17"/>
  <c r="AF1241" i="17"/>
  <c r="AG1241" i="17"/>
  <c r="AE1241" i="17"/>
  <c r="AJ1248" i="17"/>
  <c r="Y1248" i="17"/>
  <c r="L1248" i="17"/>
  <c r="AH1248" i="17"/>
  <c r="T1248" i="17"/>
  <c r="AG1248" i="17"/>
  <c r="Q1248" i="17"/>
  <c r="AD1248" i="17"/>
  <c r="N1248" i="17"/>
  <c r="AL1248" i="17"/>
  <c r="R1248" i="17"/>
  <c r="AK1248" i="17"/>
  <c r="M1248" i="17"/>
  <c r="AI1248" i="17"/>
  <c r="AP1264" i="17"/>
  <c r="AB1264" i="17"/>
  <c r="Q1264" i="17"/>
  <c r="AK1264" i="17"/>
  <c r="Y1264" i="17"/>
  <c r="K1264" i="17"/>
  <c r="AR1264" i="17"/>
  <c r="AA1264" i="17"/>
  <c r="L1264" i="17"/>
  <c r="AQ1264" i="17"/>
  <c r="Z1264" i="17"/>
  <c r="J1264" i="17"/>
  <c r="V1264" i="17"/>
  <c r="U1264" i="17"/>
  <c r="AI1264" i="17"/>
  <c r="AL1272" i="17"/>
  <c r="AA1272" i="17"/>
  <c r="N1272" i="17"/>
  <c r="AP1272" i="17"/>
  <c r="Z1272" i="17"/>
  <c r="L1272" i="17"/>
  <c r="AD1272" i="17"/>
  <c r="M1272" i="17"/>
  <c r="AR1272" i="17"/>
  <c r="AB1272" i="17"/>
  <c r="K1272" i="17"/>
  <c r="AK1272" i="17"/>
  <c r="T1272" i="17"/>
  <c r="AJ1272" i="17"/>
  <c r="R1272" i="17"/>
  <c r="AI1272" i="17"/>
  <c r="AK1303" i="17"/>
  <c r="R1303" i="17"/>
  <c r="AL1303" i="17"/>
  <c r="Q1303" i="17"/>
  <c r="Z1303" i="17"/>
  <c r="AP1303" i="17"/>
  <c r="V1303" i="17"/>
  <c r="AO1303" i="17"/>
  <c r="O1303" i="17"/>
  <c r="AN1303" i="17"/>
  <c r="J1303" i="17"/>
  <c r="W1305" i="17"/>
  <c r="AF1305" i="17"/>
  <c r="AJ1320" i="17"/>
  <c r="Y1320" i="17"/>
  <c r="L1320" i="17"/>
  <c r="AR1320" i="17"/>
  <c r="AD1320" i="17"/>
  <c r="Q1320" i="17"/>
  <c r="AB1320" i="17"/>
  <c r="M1320" i="17"/>
  <c r="AQ1320" i="17"/>
  <c r="AA1320" i="17"/>
  <c r="K1320" i="17"/>
  <c r="AK1320" i="17"/>
  <c r="R1320" i="17"/>
  <c r="AI1320" i="17"/>
  <c r="N1320" i="17"/>
  <c r="AL1320" i="17"/>
  <c r="U1323" i="17"/>
  <c r="AL1323" i="17"/>
  <c r="O1323" i="17"/>
  <c r="V1323" i="17"/>
  <c r="P1323" i="17"/>
  <c r="AJ1359" i="17"/>
  <c r="O1359" i="17"/>
  <c r="AR1359" i="17"/>
  <c r="W1359" i="17"/>
  <c r="P1359" i="17"/>
  <c r="AP1359" i="17"/>
  <c r="L1359" i="17"/>
  <c r="K1359" i="17"/>
  <c r="J1359" i="17"/>
  <c r="Z1469" i="17"/>
  <c r="Y1469" i="17"/>
  <c r="T1469" i="17"/>
  <c r="AP1482" i="17"/>
  <c r="AR1482" i="17"/>
  <c r="AF1482" i="17"/>
  <c r="V1482" i="17"/>
  <c r="L1482" i="17"/>
  <c r="AL1482" i="17"/>
  <c r="AA1482" i="17"/>
  <c r="N1482" i="17"/>
  <c r="AI1482" i="17"/>
  <c r="T1482" i="17"/>
  <c r="AE1482" i="17"/>
  <c r="S1482" i="17"/>
  <c r="AN1482" i="17"/>
  <c r="W1482" i="17"/>
  <c r="AM1482" i="17"/>
  <c r="U1482" i="17"/>
  <c r="AD1482" i="17"/>
  <c r="AO1524" i="17"/>
  <c r="AP1524" i="17"/>
  <c r="AF1524" i="17"/>
  <c r="W1524" i="17"/>
  <c r="N1524" i="17"/>
  <c r="AL1524" i="17"/>
  <c r="AB1524" i="17"/>
  <c r="R1524" i="17"/>
  <c r="AI1524" i="17"/>
  <c r="V1524" i="17"/>
  <c r="K1524" i="17"/>
  <c r="AH1524" i="17"/>
  <c r="U1524" i="17"/>
  <c r="J1524" i="17"/>
  <c r="AD1524" i="17"/>
  <c r="O1524" i="17"/>
  <c r="AR1524" i="17"/>
  <c r="AC1524" i="17"/>
  <c r="M1524" i="17"/>
  <c r="AE1524" i="17"/>
  <c r="K1529" i="17"/>
  <c r="J1529" i="17"/>
  <c r="AI1529" i="17"/>
  <c r="P1529" i="17"/>
  <c r="AE1549" i="17"/>
  <c r="W1549" i="17"/>
  <c r="O1552" i="17"/>
  <c r="AH1552" i="17"/>
  <c r="J1558" i="17"/>
  <c r="AE1558" i="17"/>
  <c r="AO1566" i="17"/>
  <c r="AP1566" i="17"/>
  <c r="AF1566" i="17"/>
  <c r="W1566" i="17"/>
  <c r="N1566" i="17"/>
  <c r="AK1566" i="17"/>
  <c r="AA1566" i="17"/>
  <c r="P1566" i="17"/>
  <c r="AJ1566" i="17"/>
  <c r="Z1566" i="17"/>
  <c r="O1566" i="17"/>
  <c r="AH1566" i="17"/>
  <c r="T1566" i="17"/>
  <c r="AE1566" i="17"/>
  <c r="S1566" i="17"/>
  <c r="AC1566" i="17"/>
  <c r="K1566" i="17"/>
  <c r="AR1566" i="17"/>
  <c r="AB1566" i="17"/>
  <c r="J1566" i="17"/>
  <c r="AI1566" i="17"/>
  <c r="AO1574" i="17"/>
  <c r="AN1574" i="17"/>
  <c r="AE1574" i="17"/>
  <c r="V1574" i="17"/>
  <c r="M1574" i="17"/>
  <c r="AL1574" i="17"/>
  <c r="AB1574" i="17"/>
  <c r="R1574" i="17"/>
  <c r="AK1574" i="17"/>
  <c r="AA1574" i="17"/>
  <c r="P1574" i="17"/>
  <c r="AF1574" i="17"/>
  <c r="S1574" i="17"/>
  <c r="AR1574" i="17"/>
  <c r="AD1574" i="17"/>
  <c r="O1574" i="17"/>
  <c r="AC1574" i="17"/>
  <c r="K1574" i="17"/>
  <c r="Z1574" i="17"/>
  <c r="J1574" i="17"/>
  <c r="AI1574" i="17"/>
  <c r="AO1576" i="17"/>
  <c r="AL1576" i="17"/>
  <c r="AC1576" i="17"/>
  <c r="T1576" i="17"/>
  <c r="K1576" i="17"/>
  <c r="AR1576" i="17"/>
  <c r="AH1576" i="17"/>
  <c r="W1576" i="17"/>
  <c r="M1576" i="17"/>
  <c r="AQ1576" i="17"/>
  <c r="AF1576" i="17"/>
  <c r="V1576" i="17"/>
  <c r="L1576" i="17"/>
  <c r="AD1576" i="17"/>
  <c r="P1576" i="17"/>
  <c r="AP1576" i="17"/>
  <c r="AB1576" i="17"/>
  <c r="O1576" i="17"/>
  <c r="AN1576" i="17"/>
  <c r="X1576" i="17"/>
  <c r="AM1576" i="17"/>
  <c r="U1576" i="17"/>
  <c r="AI1576" i="17"/>
  <c r="N1596" i="17"/>
  <c r="AQ1596" i="17"/>
  <c r="R1599" i="17"/>
  <c r="X1601" i="17"/>
  <c r="AP1628" i="17"/>
  <c r="V1628" i="17"/>
  <c r="AE1628" i="17"/>
  <c r="AI1628" i="17"/>
  <c r="AH1628" i="17"/>
  <c r="W1628" i="17"/>
  <c r="O1628" i="17"/>
  <c r="J1635" i="17"/>
  <c r="J1638" i="17"/>
  <c r="AH1656" i="17"/>
  <c r="AE1656" i="17"/>
  <c r="K1656" i="17"/>
  <c r="AQ1656" i="17"/>
  <c r="X1656" i="17"/>
  <c r="AP1656" i="17"/>
  <c r="R1656" i="17"/>
  <c r="AD1656" i="17"/>
  <c r="AA1656" i="17"/>
  <c r="Q1656" i="17"/>
  <c r="N1656" i="17"/>
  <c r="AN1656" i="17"/>
  <c r="AG1656" i="17"/>
  <c r="L1721" i="17"/>
  <c r="K1725" i="17"/>
  <c r="M1727" i="17"/>
  <c r="AN1760" i="17"/>
  <c r="AM1760" i="17"/>
  <c r="Y1760" i="17"/>
  <c r="K1760" i="17"/>
  <c r="AF1760" i="17"/>
  <c r="O1760" i="17"/>
  <c r="AH1760" i="17"/>
  <c r="P1760" i="17"/>
  <c r="Z1760" i="17"/>
  <c r="AR1760" i="17"/>
  <c r="X1760" i="17"/>
  <c r="AQ1760" i="17"/>
  <c r="Q1760" i="17"/>
  <c r="AP1760" i="17"/>
  <c r="L1760" i="17"/>
  <c r="T1760" i="17"/>
  <c r="J1760" i="17"/>
  <c r="AP1771" i="17"/>
  <c r="AK1771" i="17"/>
  <c r="AA1771" i="17"/>
  <c r="O1771" i="17"/>
  <c r="AI1771" i="17"/>
  <c r="V1771" i="17"/>
  <c r="K1771" i="17"/>
  <c r="AR1771" i="17"/>
  <c r="AD1771" i="17"/>
  <c r="P1771" i="17"/>
  <c r="AE1771" i="17"/>
  <c r="N1771" i="17"/>
  <c r="AC1771" i="17"/>
  <c r="M1771" i="17"/>
  <c r="AB1771" i="17"/>
  <c r="X1771" i="17"/>
  <c r="U1771" i="17"/>
  <c r="AQ1771" i="17"/>
  <c r="T1771" i="17"/>
  <c r="AN1771" i="17"/>
  <c r="R1780" i="17"/>
  <c r="AP1785" i="17"/>
  <c r="AI1785" i="17"/>
  <c r="W1785" i="17"/>
  <c r="M1785" i="17"/>
  <c r="AJ1785" i="17"/>
  <c r="V1785" i="17"/>
  <c r="K1785" i="17"/>
  <c r="AN1785" i="17"/>
  <c r="AB1785" i="17"/>
  <c r="N1785" i="17"/>
  <c r="AM1785" i="17"/>
  <c r="X1785" i="17"/>
  <c r="AR1785" i="17"/>
  <c r="AA1785" i="17"/>
  <c r="AQ1785" i="17"/>
  <c r="U1785" i="17"/>
  <c r="AL1785" i="17"/>
  <c r="P1785" i="17"/>
  <c r="AK1785" i="17"/>
  <c r="O1785" i="17"/>
  <c r="AD1785" i="17"/>
  <c r="AC1785" i="17"/>
  <c r="K1837" i="17"/>
  <c r="AP1850" i="17"/>
  <c r="AL1850" i="17"/>
  <c r="AB1850" i="17"/>
  <c r="P1850" i="17"/>
  <c r="AI1850" i="17"/>
  <c r="V1850" i="17"/>
  <c r="K1850" i="17"/>
  <c r="AE1850" i="17"/>
  <c r="S1850" i="17"/>
  <c r="AR1850" i="17"/>
  <c r="AD1850" i="17"/>
  <c r="O1850" i="17"/>
  <c r="AC1850" i="17"/>
  <c r="L1850" i="17"/>
  <c r="AQ1850" i="17"/>
  <c r="W1850" i="17"/>
  <c r="AN1850" i="17"/>
  <c r="U1850" i="17"/>
  <c r="AJ1850" i="17"/>
  <c r="AF1850" i="17"/>
  <c r="X1850" i="17"/>
  <c r="T1850" i="17"/>
  <c r="M1852" i="17"/>
  <c r="Z1867" i="17"/>
  <c r="AR1867" i="17"/>
  <c r="P1867" i="17"/>
  <c r="O1867" i="17"/>
  <c r="W1867" i="17"/>
  <c r="J1867" i="17"/>
  <c r="AJ1867" i="17"/>
  <c r="Y1867" i="17"/>
  <c r="AQ1867" i="17"/>
  <c r="AP1867" i="17"/>
  <c r="AO1867" i="17"/>
  <c r="AH1870" i="17"/>
  <c r="AP1881" i="17"/>
  <c r="AM1881" i="17"/>
  <c r="Q1881" i="17"/>
  <c r="AD1881" i="17"/>
  <c r="U1881" i="17"/>
  <c r="R1881" i="17"/>
  <c r="O1881" i="17"/>
  <c r="AO1881" i="17"/>
  <c r="AH1881" i="17"/>
  <c r="AE1881" i="17"/>
  <c r="V1881" i="17"/>
  <c r="AR1881" i="17"/>
  <c r="J1901" i="17"/>
  <c r="AR1921" i="17"/>
  <c r="AF1921" i="17"/>
  <c r="Q1921" i="17"/>
  <c r="AN1921" i="17"/>
  <c r="X1921" i="17"/>
  <c r="AJ1921" i="17"/>
  <c r="AA1921" i="17"/>
  <c r="L1921" i="17"/>
  <c r="Y1921" i="17"/>
  <c r="AP1921" i="17"/>
  <c r="P1921" i="17"/>
  <c r="AO1921" i="17"/>
  <c r="O1921" i="17"/>
  <c r="AG1921" i="17"/>
  <c r="AE1921" i="17"/>
  <c r="Z1921" i="17"/>
  <c r="R1921" i="17"/>
  <c r="M1921" i="17"/>
  <c r="AI1921" i="17"/>
  <c r="U1921" i="17"/>
  <c r="R1977" i="17"/>
  <c r="AE1997" i="17"/>
  <c r="AD1997" i="17"/>
  <c r="AB1997" i="17"/>
  <c r="AQ1997" i="17"/>
  <c r="AP1997" i="17"/>
  <c r="V1997" i="17"/>
  <c r="T1997" i="17"/>
  <c r="P1997" i="17"/>
  <c r="Q1997" i="17"/>
  <c r="S35" i="17"/>
  <c r="R58" i="17"/>
  <c r="AG58" i="17" s="1"/>
  <c r="L93" i="17"/>
  <c r="L95" i="17"/>
  <c r="L99" i="17"/>
  <c r="K104" i="17"/>
  <c r="S111" i="17"/>
  <c r="J130" i="17"/>
  <c r="K131" i="17"/>
  <c r="K133" i="17"/>
  <c r="Q136" i="17"/>
  <c r="L145" i="17"/>
  <c r="L149" i="17"/>
  <c r="S161" i="17"/>
  <c r="S163" i="17"/>
  <c r="S171" i="17"/>
  <c r="S175" i="17"/>
  <c r="T177" i="17"/>
  <c r="AD177" i="17"/>
  <c r="AN177" i="17"/>
  <c r="K195" i="17"/>
  <c r="U195" i="17"/>
  <c r="AE195" i="17"/>
  <c r="AQ195" i="17"/>
  <c r="T197" i="17"/>
  <c r="AD197" i="17"/>
  <c r="AN197" i="17"/>
  <c r="T199" i="17"/>
  <c r="AD199" i="17"/>
  <c r="AN199" i="17"/>
  <c r="K202" i="17"/>
  <c r="Y202" i="17"/>
  <c r="L204" i="17"/>
  <c r="T205" i="17"/>
  <c r="AD205" i="17"/>
  <c r="AN205" i="17"/>
  <c r="T207" i="17"/>
  <c r="AD207" i="17"/>
  <c r="AN207" i="17"/>
  <c r="K209" i="17"/>
  <c r="U209" i="17"/>
  <c r="AE209" i="17"/>
  <c r="AQ209" i="17"/>
  <c r="J212" i="17"/>
  <c r="X218" i="17"/>
  <c r="Z220" i="17"/>
  <c r="T225" i="17"/>
  <c r="AD225" i="17"/>
  <c r="AN225" i="17"/>
  <c r="K229" i="17"/>
  <c r="U229" i="17"/>
  <c r="AE229" i="17"/>
  <c r="AQ229" i="17"/>
  <c r="K231" i="17"/>
  <c r="U231" i="17"/>
  <c r="AE231" i="17"/>
  <c r="AQ231" i="17"/>
  <c r="K237" i="17"/>
  <c r="U237" i="17"/>
  <c r="AE237" i="17"/>
  <c r="AQ237" i="17"/>
  <c r="T243" i="17"/>
  <c r="AD243" i="17"/>
  <c r="AN243" i="17"/>
  <c r="K246" i="17"/>
  <c r="Y246" i="17"/>
  <c r="T249" i="17"/>
  <c r="AD249" i="17"/>
  <c r="AN249" i="17"/>
  <c r="K255" i="17"/>
  <c r="U255" i="17"/>
  <c r="AE255" i="17"/>
  <c r="AQ255" i="17"/>
  <c r="K259" i="17"/>
  <c r="U259" i="17"/>
  <c r="AE259" i="17"/>
  <c r="AQ259" i="17"/>
  <c r="K265" i="17"/>
  <c r="U265" i="17"/>
  <c r="AE265" i="17"/>
  <c r="AQ265" i="17"/>
  <c r="U275" i="17"/>
  <c r="AE275" i="17"/>
  <c r="AQ275" i="17"/>
  <c r="AE281" i="17"/>
  <c r="AQ281" i="17"/>
  <c r="T287" i="17"/>
  <c r="AD287" i="17"/>
  <c r="AN287" i="17"/>
  <c r="X294" i="17"/>
  <c r="Z296" i="17"/>
  <c r="T305" i="17"/>
  <c r="AD305" i="17"/>
  <c r="AN305" i="17"/>
  <c r="K321" i="17"/>
  <c r="U321" i="17"/>
  <c r="AE321" i="17"/>
  <c r="AQ321" i="17"/>
  <c r="K331" i="17"/>
  <c r="U331" i="17"/>
  <c r="AE331" i="17"/>
  <c r="AQ331" i="17"/>
  <c r="T335" i="17"/>
  <c r="AD335" i="17"/>
  <c r="AN335" i="17"/>
  <c r="R341" i="17"/>
  <c r="AA341" i="17"/>
  <c r="AJ341" i="17"/>
  <c r="R363" i="17"/>
  <c r="AA363" i="17"/>
  <c r="AJ363" i="17"/>
  <c r="R371" i="17"/>
  <c r="AA371" i="17"/>
  <c r="AJ371" i="17"/>
  <c r="R379" i="17"/>
  <c r="AA379" i="17"/>
  <c r="AJ379" i="17"/>
  <c r="R391" i="17"/>
  <c r="AA391" i="17"/>
  <c r="AJ391" i="17"/>
  <c r="K409" i="17"/>
  <c r="U409" i="17"/>
  <c r="AE409" i="17"/>
  <c r="AQ409" i="17"/>
  <c r="L412" i="17"/>
  <c r="T416" i="17"/>
  <c r="AG416" i="17"/>
  <c r="T423" i="17"/>
  <c r="AD423" i="17"/>
  <c r="AN423" i="17"/>
  <c r="K441" i="17"/>
  <c r="U441" i="17"/>
  <c r="AE441" i="17"/>
  <c r="AQ441" i="17"/>
  <c r="K447" i="17"/>
  <c r="U447" i="17"/>
  <c r="AE447" i="17"/>
  <c r="AQ447" i="17"/>
  <c r="K453" i="17"/>
  <c r="U453" i="17"/>
  <c r="AE453" i="17"/>
  <c r="AQ453" i="17"/>
  <c r="K457" i="17"/>
  <c r="U457" i="17"/>
  <c r="AE457" i="17"/>
  <c r="AQ457" i="17"/>
  <c r="T464" i="17"/>
  <c r="AG464" i="17"/>
  <c r="T475" i="17"/>
  <c r="AD475" i="17"/>
  <c r="AN475" i="17"/>
  <c r="T487" i="17"/>
  <c r="AD487" i="17"/>
  <c r="AN487" i="17"/>
  <c r="T491" i="17"/>
  <c r="AD491" i="17"/>
  <c r="AN491" i="17"/>
  <c r="T496" i="17"/>
  <c r="AG496" i="17"/>
  <c r="T507" i="17"/>
  <c r="AD507" i="17"/>
  <c r="AN507" i="17"/>
  <c r="J512" i="17"/>
  <c r="W512" i="17"/>
  <c r="T513" i="17"/>
  <c r="AD513" i="17"/>
  <c r="AN513" i="17"/>
  <c r="T515" i="17"/>
  <c r="AD515" i="17"/>
  <c r="AN515" i="17"/>
  <c r="O518" i="17"/>
  <c r="L524" i="17"/>
  <c r="T555" i="17"/>
  <c r="AD555" i="17"/>
  <c r="AN555" i="17"/>
  <c r="J560" i="17"/>
  <c r="W560" i="17"/>
  <c r="T561" i="17"/>
  <c r="AD561" i="17"/>
  <c r="AN561" i="17"/>
  <c r="T563" i="17"/>
  <c r="AD563" i="17"/>
  <c r="AN563" i="17"/>
  <c r="O566" i="17"/>
  <c r="J574" i="17"/>
  <c r="T575" i="17"/>
  <c r="AD575" i="17"/>
  <c r="AN575" i="17"/>
  <c r="K578" i="17"/>
  <c r="Y578" i="17"/>
  <c r="L580" i="17"/>
  <c r="T581" i="17"/>
  <c r="AD581" i="17"/>
  <c r="AN581" i="17"/>
  <c r="K585" i="17"/>
  <c r="U585" i="17"/>
  <c r="AE585" i="17"/>
  <c r="AQ585" i="17"/>
  <c r="K591" i="17"/>
  <c r="U591" i="17"/>
  <c r="AE591" i="17"/>
  <c r="AQ591" i="17"/>
  <c r="J599" i="17"/>
  <c r="S599" i="17"/>
  <c r="AB599" i="17"/>
  <c r="AK599" i="17"/>
  <c r="L600" i="17"/>
  <c r="AI600" i="17"/>
  <c r="AO611" i="17"/>
  <c r="AN611" i="17"/>
  <c r="AE611" i="17"/>
  <c r="V611" i="17"/>
  <c r="M611" i="17"/>
  <c r="S611" i="17"/>
  <c r="AC611" i="17"/>
  <c r="AM611" i="17"/>
  <c r="AO615" i="17"/>
  <c r="AL615" i="17"/>
  <c r="AC615" i="17"/>
  <c r="T615" i="17"/>
  <c r="K615" i="17"/>
  <c r="S615" i="17"/>
  <c r="AD615" i="17"/>
  <c r="AN615" i="17"/>
  <c r="J619" i="17"/>
  <c r="T619" i="17"/>
  <c r="AD619" i="17"/>
  <c r="AN619" i="17"/>
  <c r="J621" i="17"/>
  <c r="T621" i="17"/>
  <c r="AE621" i="17"/>
  <c r="AP621" i="17"/>
  <c r="AE626" i="17"/>
  <c r="AA626" i="17"/>
  <c r="AQ626" i="17"/>
  <c r="J632" i="17"/>
  <c r="J635" i="17"/>
  <c r="T635" i="17"/>
  <c r="AD635" i="17"/>
  <c r="AP635" i="17"/>
  <c r="J639" i="17"/>
  <c r="U639" i="17"/>
  <c r="AE639" i="17"/>
  <c r="AP639" i="17"/>
  <c r="J642" i="17"/>
  <c r="AG642" i="17"/>
  <c r="AH646" i="17"/>
  <c r="R646" i="17"/>
  <c r="AE646" i="17"/>
  <c r="J649" i="17"/>
  <c r="T649" i="17"/>
  <c r="AD649" i="17"/>
  <c r="AN649" i="17"/>
  <c r="AO651" i="17"/>
  <c r="AQ651" i="17"/>
  <c r="AH651" i="17"/>
  <c r="X651" i="17"/>
  <c r="O651" i="17"/>
  <c r="S651" i="17"/>
  <c r="AC651" i="17"/>
  <c r="AM651" i="17"/>
  <c r="AP658" i="17"/>
  <c r="J661" i="17"/>
  <c r="U661" i="17"/>
  <c r="AE661" i="17"/>
  <c r="AP661" i="17"/>
  <c r="J667" i="17"/>
  <c r="T667" i="17"/>
  <c r="AE667" i="17"/>
  <c r="AP667" i="17"/>
  <c r="AO669" i="17"/>
  <c r="AP669" i="17"/>
  <c r="AF669" i="17"/>
  <c r="W669" i="17"/>
  <c r="N669" i="17"/>
  <c r="S669" i="17"/>
  <c r="AC669" i="17"/>
  <c r="AM669" i="17"/>
  <c r="K674" i="17"/>
  <c r="AG674" i="17"/>
  <c r="J681" i="17"/>
  <c r="T681" i="17"/>
  <c r="AD681" i="17"/>
  <c r="AN681" i="17"/>
  <c r="AO683" i="17"/>
  <c r="AR683" i="17"/>
  <c r="AI683" i="17"/>
  <c r="Z683" i="17"/>
  <c r="P683" i="17"/>
  <c r="S683" i="17"/>
  <c r="AC683" i="17"/>
  <c r="AM683" i="17"/>
  <c r="X688" i="17"/>
  <c r="AQ688" i="17"/>
  <c r="P688" i="17"/>
  <c r="AL688" i="17"/>
  <c r="AH692" i="17"/>
  <c r="R692" i="17"/>
  <c r="Y692" i="17"/>
  <c r="AN692" i="17"/>
  <c r="AO695" i="17"/>
  <c r="AQ695" i="17"/>
  <c r="AH695" i="17"/>
  <c r="X695" i="17"/>
  <c r="O695" i="17"/>
  <c r="S695" i="17"/>
  <c r="AC695" i="17"/>
  <c r="AM695" i="17"/>
  <c r="AM698" i="17"/>
  <c r="Z698" i="17"/>
  <c r="O698" i="17"/>
  <c r="W698" i="17"/>
  <c r="AI698" i="17"/>
  <c r="K708" i="17"/>
  <c r="AA708" i="17"/>
  <c r="AO709" i="17"/>
  <c r="AQ709" i="17"/>
  <c r="AH709" i="17"/>
  <c r="X709" i="17"/>
  <c r="O709" i="17"/>
  <c r="S709" i="17"/>
  <c r="AC709" i="17"/>
  <c r="AM709" i="17"/>
  <c r="P712" i="17"/>
  <c r="AP720" i="17"/>
  <c r="W720" i="17"/>
  <c r="Z720" i="17"/>
  <c r="J721" i="17"/>
  <c r="T721" i="17"/>
  <c r="AD721" i="17"/>
  <c r="AN721" i="17"/>
  <c r="AQ724" i="17"/>
  <c r="AA724" i="17"/>
  <c r="O724" i="17"/>
  <c r="Y724" i="17"/>
  <c r="AN724" i="17"/>
  <c r="J729" i="17"/>
  <c r="T729" i="17"/>
  <c r="AD729" i="17"/>
  <c r="AN729" i="17"/>
  <c r="AO731" i="17"/>
  <c r="AR731" i="17"/>
  <c r="AI731" i="17"/>
  <c r="Z731" i="17"/>
  <c r="P731" i="17"/>
  <c r="S731" i="17"/>
  <c r="AC731" i="17"/>
  <c r="AM731" i="17"/>
  <c r="J739" i="17"/>
  <c r="T739" i="17"/>
  <c r="AD739" i="17"/>
  <c r="AN739" i="17"/>
  <c r="K747" i="17"/>
  <c r="U747" i="17"/>
  <c r="AE747" i="17"/>
  <c r="AP747" i="17"/>
  <c r="J749" i="17"/>
  <c r="T749" i="17"/>
  <c r="AE749" i="17"/>
  <c r="AP749" i="17"/>
  <c r="Z752" i="17"/>
  <c r="N752" i="17"/>
  <c r="AO753" i="17"/>
  <c r="AK753" i="17"/>
  <c r="AB753" i="17"/>
  <c r="S753" i="17"/>
  <c r="J753" i="17"/>
  <c r="T753" i="17"/>
  <c r="AD753" i="17"/>
  <c r="AN753" i="17"/>
  <c r="J755" i="17"/>
  <c r="T755" i="17"/>
  <c r="AD755" i="17"/>
  <c r="AN755" i="17"/>
  <c r="J759" i="17"/>
  <c r="U759" i="17"/>
  <c r="AE759" i="17"/>
  <c r="AP759" i="17"/>
  <c r="AQ762" i="17"/>
  <c r="AF762" i="17"/>
  <c r="R762" i="17"/>
  <c r="W762" i="17"/>
  <c r="AI762" i="17"/>
  <c r="AG768" i="17"/>
  <c r="P768" i="17"/>
  <c r="Y768" i="17"/>
  <c r="AQ768" i="17"/>
  <c r="AO771" i="17"/>
  <c r="AQ771" i="17"/>
  <c r="AH771" i="17"/>
  <c r="X771" i="17"/>
  <c r="O771" i="17"/>
  <c r="S771" i="17"/>
  <c r="AC771" i="17"/>
  <c r="AM771" i="17"/>
  <c r="AO775" i="17"/>
  <c r="AM775" i="17"/>
  <c r="AD775" i="17"/>
  <c r="U775" i="17"/>
  <c r="L775" i="17"/>
  <c r="S775" i="17"/>
  <c r="AC775" i="17"/>
  <c r="AN775" i="17"/>
  <c r="M784" i="17"/>
  <c r="AI784" i="17"/>
  <c r="K792" i="17"/>
  <c r="AB792" i="17"/>
  <c r="AO793" i="17"/>
  <c r="AB793" i="17"/>
  <c r="L793" i="17"/>
  <c r="AC793" i="17"/>
  <c r="AR797" i="17"/>
  <c r="AG797" i="17"/>
  <c r="W797" i="17"/>
  <c r="M797" i="17"/>
  <c r="U797" i="17"/>
  <c r="AF797" i="17"/>
  <c r="AQ798" i="17"/>
  <c r="AF798" i="17"/>
  <c r="T798" i="17"/>
  <c r="V798" i="17"/>
  <c r="AI798" i="17"/>
  <c r="AQ812" i="17"/>
  <c r="AG812" i="17"/>
  <c r="V812" i="17"/>
  <c r="L812" i="17"/>
  <c r="T812" i="17"/>
  <c r="AF812" i="17"/>
  <c r="AR812" i="17"/>
  <c r="AH815" i="17"/>
  <c r="W815" i="17"/>
  <c r="L815" i="17"/>
  <c r="X815" i="17"/>
  <c r="AM815" i="17"/>
  <c r="AJ820" i="17"/>
  <c r="J820" i="17"/>
  <c r="AK820" i="17"/>
  <c r="AK822" i="17"/>
  <c r="AR822" i="17"/>
  <c r="S822" i="17"/>
  <c r="AD822" i="17"/>
  <c r="AK838" i="17"/>
  <c r="S838" i="17"/>
  <c r="AA838" i="17"/>
  <c r="AR838" i="17"/>
  <c r="J842" i="17"/>
  <c r="AF842" i="17"/>
  <c r="AP845" i="17"/>
  <c r="AF845" i="17"/>
  <c r="V845" i="17"/>
  <c r="L845" i="17"/>
  <c r="U845" i="17"/>
  <c r="AG845" i="17"/>
  <c r="AP846" i="17"/>
  <c r="AD846" i="17"/>
  <c r="Q846" i="17"/>
  <c r="V846" i="17"/>
  <c r="AI846" i="17"/>
  <c r="J861" i="17"/>
  <c r="V861" i="17"/>
  <c r="AG861" i="17"/>
  <c r="AL862" i="17"/>
  <c r="Y862" i="17"/>
  <c r="M862" i="17"/>
  <c r="V862" i="17"/>
  <c r="AI862" i="17"/>
  <c r="J866" i="17"/>
  <c r="AG866" i="17"/>
  <c r="J871" i="17"/>
  <c r="AC871" i="17"/>
  <c r="L879" i="17"/>
  <c r="X879" i="17"/>
  <c r="AN879" i="17"/>
  <c r="J882" i="17"/>
  <c r="Z882" i="17"/>
  <c r="AP882" i="17"/>
  <c r="L886" i="17"/>
  <c r="AH886" i="17"/>
  <c r="V890" i="17"/>
  <c r="AK892" i="17"/>
  <c r="Z892" i="17"/>
  <c r="P892" i="17"/>
  <c r="T892" i="17"/>
  <c r="AF892" i="17"/>
  <c r="AQ892" i="17"/>
  <c r="AN895" i="17"/>
  <c r="Z895" i="17"/>
  <c r="O895" i="17"/>
  <c r="W895" i="17"/>
  <c r="AJ895" i="17"/>
  <c r="AR897" i="17"/>
  <c r="L903" i="17"/>
  <c r="AJ903" i="17"/>
  <c r="J908" i="17"/>
  <c r="U908" i="17"/>
  <c r="AG908" i="17"/>
  <c r="AR908" i="17"/>
  <c r="L911" i="17"/>
  <c r="X911" i="17"/>
  <c r="AM911" i="17"/>
  <c r="Z914" i="17"/>
  <c r="AK914" i="17"/>
  <c r="AR914" i="17"/>
  <c r="K916" i="17"/>
  <c r="AI916" i="17"/>
  <c r="L919" i="17"/>
  <c r="AB919" i="17"/>
  <c r="AR919" i="17"/>
  <c r="AC923" i="17"/>
  <c r="N931" i="17"/>
  <c r="AC931" i="17"/>
  <c r="P932" i="17"/>
  <c r="J940" i="17"/>
  <c r="U940" i="17"/>
  <c r="AH940" i="17"/>
  <c r="AL941" i="17"/>
  <c r="Z941" i="17"/>
  <c r="P941" i="17"/>
  <c r="U941" i="17"/>
  <c r="AF941" i="17"/>
  <c r="AR941" i="17"/>
  <c r="M943" i="17"/>
  <c r="Y943" i="17"/>
  <c r="AN943" i="17"/>
  <c r="K958" i="17"/>
  <c r="Y958" i="17"/>
  <c r="AQ958" i="17"/>
  <c r="J963" i="17"/>
  <c r="AO963" i="17"/>
  <c r="AP974" i="17"/>
  <c r="AD974" i="17"/>
  <c r="Q974" i="17"/>
  <c r="AO974" i="17"/>
  <c r="Z974" i="17"/>
  <c r="M974" i="17"/>
  <c r="X974" i="17"/>
  <c r="AN974" i="17"/>
  <c r="AP981" i="17"/>
  <c r="AH981" i="17"/>
  <c r="P981" i="17"/>
  <c r="AM981" i="17"/>
  <c r="Q981" i="17"/>
  <c r="AJ981" i="17"/>
  <c r="AG986" i="17"/>
  <c r="L986" i="17"/>
  <c r="AA986" i="17"/>
  <c r="AJ986" i="17"/>
  <c r="AL989" i="17"/>
  <c r="Z989" i="17"/>
  <c r="P989" i="17"/>
  <c r="AG989" i="17"/>
  <c r="V989" i="17"/>
  <c r="J989" i="17"/>
  <c r="W989" i="17"/>
  <c r="AJ989" i="17"/>
  <c r="J994" i="17"/>
  <c r="AI994" i="17"/>
  <c r="J996" i="17"/>
  <c r="AJ1008" i="17"/>
  <c r="Q1008" i="17"/>
  <c r="AP1008" i="17"/>
  <c r="N1012" i="17"/>
  <c r="AG1012" i="17"/>
  <c r="J1016" i="17"/>
  <c r="AO1016" i="17"/>
  <c r="J1018" i="17"/>
  <c r="AF1018" i="17"/>
  <c r="AP1020" i="17"/>
  <c r="AF1020" i="17"/>
  <c r="U1020" i="17"/>
  <c r="K1020" i="17"/>
  <c r="AH1020" i="17"/>
  <c r="V1020" i="17"/>
  <c r="J1020" i="17"/>
  <c r="X1020" i="17"/>
  <c r="AK1020" i="17"/>
  <c r="AP1026" i="17"/>
  <c r="AH1026" i="17"/>
  <c r="P1026" i="17"/>
  <c r="AF1026" i="17"/>
  <c r="AI1026" i="17"/>
  <c r="S1030" i="17"/>
  <c r="J1032" i="17"/>
  <c r="AL1032" i="17"/>
  <c r="O1035" i="17"/>
  <c r="AR1039" i="17"/>
  <c r="AF1039" i="17"/>
  <c r="U1039" i="17"/>
  <c r="AM1039" i="17"/>
  <c r="X1039" i="17"/>
  <c r="L1039" i="17"/>
  <c r="Y1039" i="17"/>
  <c r="AO1039" i="17"/>
  <c r="N1043" i="17"/>
  <c r="AN1043" i="17"/>
  <c r="AC1045" i="17"/>
  <c r="AL1045" i="17"/>
  <c r="Q1045" i="17"/>
  <c r="AF1045" i="17"/>
  <c r="AP1049" i="17"/>
  <c r="AD1049" i="17"/>
  <c r="Q1049" i="17"/>
  <c r="AH1049" i="17"/>
  <c r="V1049" i="17"/>
  <c r="X1049" i="17"/>
  <c r="AM1049" i="17"/>
  <c r="U1051" i="17"/>
  <c r="AL1057" i="17"/>
  <c r="Y1057" i="17"/>
  <c r="N1057" i="17"/>
  <c r="AH1057" i="17"/>
  <c r="V1057" i="17"/>
  <c r="X1057" i="17"/>
  <c r="AN1057" i="17"/>
  <c r="AM1061" i="17"/>
  <c r="AP1066" i="17"/>
  <c r="AO1066" i="17"/>
  <c r="S1066" i="17"/>
  <c r="AI1066" i="17"/>
  <c r="J1066" i="17"/>
  <c r="AL1066" i="17"/>
  <c r="Q1069" i="17"/>
  <c r="Z1070" i="17"/>
  <c r="Q1070" i="17"/>
  <c r="AR1070" i="17"/>
  <c r="M1094" i="17"/>
  <c r="AK1132" i="17"/>
  <c r="Z1132" i="17"/>
  <c r="M1132" i="17"/>
  <c r="AH1132" i="17"/>
  <c r="T1132" i="17"/>
  <c r="AG1132" i="17"/>
  <c r="R1132" i="17"/>
  <c r="AI1132" i="17"/>
  <c r="N1132" i="17"/>
  <c r="AD1132" i="17"/>
  <c r="L1132" i="17"/>
  <c r="AB1132" i="17"/>
  <c r="AK1152" i="17"/>
  <c r="R1152" i="17"/>
  <c r="T1152" i="17"/>
  <c r="AQ1152" i="17"/>
  <c r="S1152" i="17"/>
  <c r="AG1152" i="17"/>
  <c r="AD1152" i="17"/>
  <c r="AQ1156" i="17"/>
  <c r="AD1156" i="17"/>
  <c r="R1156" i="17"/>
  <c r="AH1156" i="17"/>
  <c r="T1156" i="17"/>
  <c r="AG1156" i="17"/>
  <c r="Q1156" i="17"/>
  <c r="AA1156" i="17"/>
  <c r="K1156" i="17"/>
  <c r="AR1156" i="17"/>
  <c r="Z1156" i="17"/>
  <c r="J1156" i="17"/>
  <c r="AI1156" i="17"/>
  <c r="AH1172" i="17"/>
  <c r="U1172" i="17"/>
  <c r="J1172" i="17"/>
  <c r="AI1172" i="17"/>
  <c r="T1172" i="17"/>
  <c r="AG1172" i="17"/>
  <c r="R1172" i="17"/>
  <c r="AB1172" i="17"/>
  <c r="L1172" i="17"/>
  <c r="AR1172" i="17"/>
  <c r="AA1172" i="17"/>
  <c r="K1172" i="17"/>
  <c r="AJ1172" i="17"/>
  <c r="AN1177" i="17"/>
  <c r="AC1177" i="17"/>
  <c r="P1177" i="17"/>
  <c r="AD1177" i="17"/>
  <c r="O1177" i="17"/>
  <c r="AP1177" i="17"/>
  <c r="Z1177" i="17"/>
  <c r="N1177" i="17"/>
  <c r="AG1177" i="17"/>
  <c r="M1177" i="17"/>
  <c r="AF1177" i="17"/>
  <c r="J1177" i="17"/>
  <c r="AK1177" i="17"/>
  <c r="R1199" i="17"/>
  <c r="AF1221" i="17"/>
  <c r="R1221" i="17"/>
  <c r="AG1221" i="17"/>
  <c r="Q1221" i="17"/>
  <c r="AK1221" i="17"/>
  <c r="V1221" i="17"/>
  <c r="AH1221" i="17"/>
  <c r="P1221" i="17"/>
  <c r="AM1221" i="17"/>
  <c r="O1221" i="17"/>
  <c r="AL1221" i="17"/>
  <c r="N1221" i="17"/>
  <c r="AD1221" i="17"/>
  <c r="AM1233" i="17"/>
  <c r="AP1233" i="17"/>
  <c r="N1233" i="17"/>
  <c r="AA1242" i="17"/>
  <c r="AL1242" i="17"/>
  <c r="J1242" i="17"/>
  <c r="AK1242" i="17"/>
  <c r="AD1242" i="17"/>
  <c r="AB1242" i="17"/>
  <c r="J1248" i="17"/>
  <c r="AP1248" i="17"/>
  <c r="AL1259" i="17"/>
  <c r="P1259" i="17"/>
  <c r="AH1259" i="17"/>
  <c r="U1259" i="17"/>
  <c r="O1259" i="17"/>
  <c r="M1264" i="17"/>
  <c r="AJ1264" i="17"/>
  <c r="J1272" i="17"/>
  <c r="AQ1272" i="17"/>
  <c r="AP1364" i="17"/>
  <c r="AM1364" i="17"/>
  <c r="AC1364" i="17"/>
  <c r="S1364" i="17"/>
  <c r="AQ1364" i="17"/>
  <c r="AD1364" i="17"/>
  <c r="P1364" i="17"/>
  <c r="AI1364" i="17"/>
  <c r="U1364" i="17"/>
  <c r="AF1364" i="17"/>
  <c r="T1364" i="17"/>
  <c r="AJ1364" i="17"/>
  <c r="N1364" i="17"/>
  <c r="AE1364" i="17"/>
  <c r="M1364" i="17"/>
  <c r="AB1364" i="17"/>
  <c r="AP1378" i="17"/>
  <c r="AJ1378" i="17"/>
  <c r="X1378" i="17"/>
  <c r="N1378" i="17"/>
  <c r="AN1378" i="17"/>
  <c r="AC1378" i="17"/>
  <c r="P1378" i="17"/>
  <c r="AM1378" i="17"/>
  <c r="AA1378" i="17"/>
  <c r="L1378" i="17"/>
  <c r="AL1378" i="17"/>
  <c r="W1378" i="17"/>
  <c r="K1378" i="17"/>
  <c r="AF1378" i="17"/>
  <c r="O1378" i="17"/>
  <c r="AE1378" i="17"/>
  <c r="M1378" i="17"/>
  <c r="AK1378" i="17"/>
  <c r="AH1383" i="17"/>
  <c r="W1383" i="17"/>
  <c r="J1383" i="17"/>
  <c r="AM1383" i="17"/>
  <c r="Y1383" i="17"/>
  <c r="K1383" i="17"/>
  <c r="AF1383" i="17"/>
  <c r="P1383" i="17"/>
  <c r="AR1383" i="17"/>
  <c r="AB1383" i="17"/>
  <c r="O1383" i="17"/>
  <c r="AA1383" i="17"/>
  <c r="Z1383" i="17"/>
  <c r="AJ1383" i="17"/>
  <c r="AN1401" i="17"/>
  <c r="AP1401" i="17"/>
  <c r="Z1401" i="17"/>
  <c r="L1401" i="17"/>
  <c r="AH1401" i="17"/>
  <c r="Q1401" i="17"/>
  <c r="AQ1401" i="17"/>
  <c r="X1401" i="17"/>
  <c r="AM1401" i="17"/>
  <c r="W1401" i="17"/>
  <c r="AI1401" i="17"/>
  <c r="K1401" i="17"/>
  <c r="AG1401" i="17"/>
  <c r="J1401" i="17"/>
  <c r="AR1401" i="17"/>
  <c r="K1429" i="17"/>
  <c r="J1429" i="17"/>
  <c r="AP1440" i="17"/>
  <c r="AK1440" i="17"/>
  <c r="AA1440" i="17"/>
  <c r="O1440" i="17"/>
  <c r="AI1440" i="17"/>
  <c r="V1440" i="17"/>
  <c r="K1440" i="17"/>
  <c r="AQ1440" i="17"/>
  <c r="AC1440" i="17"/>
  <c r="N1440" i="17"/>
  <c r="AN1440" i="17"/>
  <c r="AB1440" i="17"/>
  <c r="M1440" i="17"/>
  <c r="AR1440" i="17"/>
  <c r="W1440" i="17"/>
  <c r="AM1440" i="17"/>
  <c r="U1440" i="17"/>
  <c r="AF1440" i="17"/>
  <c r="AP1442" i="17"/>
  <c r="AQ1442" i="17"/>
  <c r="AE1442" i="17"/>
  <c r="U1442" i="17"/>
  <c r="K1442" i="17"/>
  <c r="AJ1442" i="17"/>
  <c r="W1442" i="17"/>
  <c r="L1442" i="17"/>
  <c r="AK1442" i="17"/>
  <c r="V1442" i="17"/>
  <c r="AI1442" i="17"/>
  <c r="T1442" i="17"/>
  <c r="AD1442" i="17"/>
  <c r="N1442" i="17"/>
  <c r="AC1442" i="17"/>
  <c r="M1442" i="17"/>
  <c r="AL1442" i="17"/>
  <c r="AM1445" i="17"/>
  <c r="AB1445" i="17"/>
  <c r="AI1467" i="17"/>
  <c r="AJ1467" i="17"/>
  <c r="Z1467" i="17"/>
  <c r="Y1467" i="17"/>
  <c r="L1524" i="17"/>
  <c r="AJ1524" i="17"/>
  <c r="AR1529" i="17"/>
  <c r="AO1546" i="17"/>
  <c r="AL1546" i="17"/>
  <c r="AC1546" i="17"/>
  <c r="T1546" i="17"/>
  <c r="K1546" i="17"/>
  <c r="AM1546" i="17"/>
  <c r="AB1546" i="17"/>
  <c r="R1546" i="17"/>
  <c r="AN1546" i="17"/>
  <c r="AA1546" i="17"/>
  <c r="O1546" i="17"/>
  <c r="AK1546" i="17"/>
  <c r="Z1546" i="17"/>
  <c r="N1546" i="17"/>
  <c r="AE1546" i="17"/>
  <c r="M1546" i="17"/>
  <c r="AR1546" i="17"/>
  <c r="AD1546" i="17"/>
  <c r="L1546" i="17"/>
  <c r="AF1546" i="17"/>
  <c r="T1549" i="17"/>
  <c r="R1552" i="17"/>
  <c r="AJ1552" i="17"/>
  <c r="K1558" i="17"/>
  <c r="AF1558" i="17"/>
  <c r="L1566" i="17"/>
  <c r="AL1566" i="17"/>
  <c r="L1574" i="17"/>
  <c r="AJ1574" i="17"/>
  <c r="J1576" i="17"/>
  <c r="AJ1576" i="17"/>
  <c r="T1581" i="17"/>
  <c r="S1581" i="17"/>
  <c r="P1581" i="17"/>
  <c r="AQ1581" i="17"/>
  <c r="Z1583" i="17"/>
  <c r="Y1583" i="17"/>
  <c r="T1583" i="17"/>
  <c r="O1596" i="17"/>
  <c r="S1599" i="17"/>
  <c r="Y1601" i="17"/>
  <c r="AO1616" i="17"/>
  <c r="AL1616" i="17"/>
  <c r="AC1616" i="17"/>
  <c r="T1616" i="17"/>
  <c r="K1616" i="17"/>
  <c r="AR1616" i="17"/>
  <c r="AH1616" i="17"/>
  <c r="W1616" i="17"/>
  <c r="M1616" i="17"/>
  <c r="AQ1616" i="17"/>
  <c r="AF1616" i="17"/>
  <c r="V1616" i="17"/>
  <c r="L1616" i="17"/>
  <c r="AE1616" i="17"/>
  <c r="R1616" i="17"/>
  <c r="AD1616" i="17"/>
  <c r="P1616" i="17"/>
  <c r="AI1616" i="17"/>
  <c r="N1616" i="17"/>
  <c r="AB1616" i="17"/>
  <c r="J1616" i="17"/>
  <c r="AK1616" i="17"/>
  <c r="AO1623" i="17"/>
  <c r="AJ1623" i="17"/>
  <c r="Z1623" i="17"/>
  <c r="N1623" i="17"/>
  <c r="AL1623" i="17"/>
  <c r="AA1623" i="17"/>
  <c r="M1623" i="17"/>
  <c r="AH1623" i="17"/>
  <c r="T1623" i="17"/>
  <c r="AE1623" i="17"/>
  <c r="S1623" i="17"/>
  <c r="AI1623" i="17"/>
  <c r="O1623" i="17"/>
  <c r="AD1623" i="17"/>
  <c r="L1623" i="17"/>
  <c r="AP1623" i="17"/>
  <c r="R1623" i="17"/>
  <c r="AM1623" i="17"/>
  <c r="K1623" i="17"/>
  <c r="AQ1623" i="17"/>
  <c r="K1628" i="17"/>
  <c r="AN1630" i="17"/>
  <c r="AP1630" i="17"/>
  <c r="Z1630" i="17"/>
  <c r="N1630" i="17"/>
  <c r="AA1630" i="17"/>
  <c r="K1630" i="17"/>
  <c r="AQ1630" i="17"/>
  <c r="X1630" i="17"/>
  <c r="AM1630" i="17"/>
  <c r="W1630" i="17"/>
  <c r="Q1630" i="17"/>
  <c r="AL1630" i="17"/>
  <c r="P1630" i="17"/>
  <c r="AF1630" i="17"/>
  <c r="Y1630" i="17"/>
  <c r="V1635" i="17"/>
  <c r="P1638" i="17"/>
  <c r="J1656" i="17"/>
  <c r="AO1703" i="17"/>
  <c r="AM1703" i="17"/>
  <c r="AD1703" i="17"/>
  <c r="U1703" i="17"/>
  <c r="L1703" i="17"/>
  <c r="AQ1703" i="17"/>
  <c r="AF1703" i="17"/>
  <c r="V1703" i="17"/>
  <c r="K1703" i="17"/>
  <c r="AP1703" i="17"/>
  <c r="AC1703" i="17"/>
  <c r="R1703" i="17"/>
  <c r="AH1703" i="17"/>
  <c r="S1703" i="17"/>
  <c r="AE1703" i="17"/>
  <c r="P1703" i="17"/>
  <c r="AK1703" i="17"/>
  <c r="T1703" i="17"/>
  <c r="AJ1703" i="17"/>
  <c r="O1703" i="17"/>
  <c r="AL1703" i="17"/>
  <c r="M1703" i="17"/>
  <c r="AI1703" i="17"/>
  <c r="J1703" i="17"/>
  <c r="AR1703" i="17"/>
  <c r="AO1715" i="17"/>
  <c r="AR1715" i="17"/>
  <c r="AI1715" i="17"/>
  <c r="Z1715" i="17"/>
  <c r="P1715" i="17"/>
  <c r="AL1715" i="17"/>
  <c r="AB1715" i="17"/>
  <c r="R1715" i="17"/>
  <c r="AK1715" i="17"/>
  <c r="X1715" i="17"/>
  <c r="M1715" i="17"/>
  <c r="AQ1715" i="17"/>
  <c r="AD1715" i="17"/>
  <c r="O1715" i="17"/>
  <c r="AP1715" i="17"/>
  <c r="AC1715" i="17"/>
  <c r="N1715" i="17"/>
  <c r="AE1715" i="17"/>
  <c r="K1715" i="17"/>
  <c r="AA1715" i="17"/>
  <c r="J1715" i="17"/>
  <c r="AN1715" i="17"/>
  <c r="T1715" i="17"/>
  <c r="AM1715" i="17"/>
  <c r="S1715" i="17"/>
  <c r="AD1716" i="17"/>
  <c r="R1716" i="17"/>
  <c r="Y1716" i="17"/>
  <c r="AO1716" i="17"/>
  <c r="O1716" i="17"/>
  <c r="N1716" i="17"/>
  <c r="S1721" i="17"/>
  <c r="L1725" i="17"/>
  <c r="U1727" i="17"/>
  <c r="W1760" i="17"/>
  <c r="L1771" i="17"/>
  <c r="Z1780" i="17"/>
  <c r="L1785" i="17"/>
  <c r="Y1822" i="17"/>
  <c r="T1822" i="17"/>
  <c r="AP1836" i="17"/>
  <c r="AL1836" i="17"/>
  <c r="AB1836" i="17"/>
  <c r="P1836" i="17"/>
  <c r="AR1836" i="17"/>
  <c r="AE1836" i="17"/>
  <c r="T1836" i="17"/>
  <c r="AM1836" i="17"/>
  <c r="X1836" i="17"/>
  <c r="L1836" i="17"/>
  <c r="AK1836" i="17"/>
  <c r="W1836" i="17"/>
  <c r="K1836" i="17"/>
  <c r="AQ1836" i="17"/>
  <c r="V1836" i="17"/>
  <c r="AI1836" i="17"/>
  <c r="N1836" i="17"/>
  <c r="AF1836" i="17"/>
  <c r="M1836" i="17"/>
  <c r="AD1836" i="17"/>
  <c r="AC1836" i="17"/>
  <c r="U1836" i="17"/>
  <c r="S1836" i="17"/>
  <c r="AQ1837" i="17"/>
  <c r="AP1842" i="17"/>
  <c r="AI1842" i="17"/>
  <c r="W1842" i="17"/>
  <c r="M1842" i="17"/>
  <c r="AN1842" i="17"/>
  <c r="AC1842" i="17"/>
  <c r="P1842" i="17"/>
  <c r="AR1842" i="17"/>
  <c r="AD1842" i="17"/>
  <c r="O1842" i="17"/>
  <c r="AQ1842" i="17"/>
  <c r="AB1842" i="17"/>
  <c r="N1842" i="17"/>
  <c r="AJ1842" i="17"/>
  <c r="S1842" i="17"/>
  <c r="AM1842" i="17"/>
  <c r="U1842" i="17"/>
  <c r="AL1842" i="17"/>
  <c r="T1842" i="17"/>
  <c r="L1842" i="17"/>
  <c r="K1842" i="17"/>
  <c r="AF1842" i="17"/>
  <c r="AE1842" i="17"/>
  <c r="M1850" i="17"/>
  <c r="AE1852" i="17"/>
  <c r="X1867" i="17"/>
  <c r="R1901" i="17"/>
  <c r="AO1998" i="17"/>
  <c r="AP1998" i="17"/>
  <c r="AF1998" i="17"/>
  <c r="W1998" i="17"/>
  <c r="N1998" i="17"/>
  <c r="AN1998" i="17"/>
  <c r="AE1998" i="17"/>
  <c r="V1998" i="17"/>
  <c r="M1998" i="17"/>
  <c r="AR1998" i="17"/>
  <c r="AD1998" i="17"/>
  <c r="S1998" i="17"/>
  <c r="AQ1998" i="17"/>
  <c r="AC1998" i="17"/>
  <c r="R1998" i="17"/>
  <c r="AK1998" i="17"/>
  <c r="U1998" i="17"/>
  <c r="AJ1998" i="17"/>
  <c r="T1998" i="17"/>
  <c r="AI1998" i="17"/>
  <c r="L1998" i="17"/>
  <c r="Z1998" i="17"/>
  <c r="O1998" i="17"/>
  <c r="AM1998" i="17"/>
  <c r="K1998" i="17"/>
  <c r="AL1998" i="17"/>
  <c r="AH1998" i="17"/>
  <c r="AB1998" i="17"/>
  <c r="AA1998" i="17"/>
  <c r="X1998" i="17"/>
  <c r="P1998" i="17"/>
  <c r="J1998" i="17"/>
  <c r="R613" i="17"/>
  <c r="AA613" i="17"/>
  <c r="AJ613" i="17"/>
  <c r="R623" i="17"/>
  <c r="AA623" i="17"/>
  <c r="AJ623" i="17"/>
  <c r="R643" i="17"/>
  <c r="AA643" i="17"/>
  <c r="AJ643" i="17"/>
  <c r="X644" i="17"/>
  <c r="R653" i="17"/>
  <c r="AA653" i="17"/>
  <c r="AJ653" i="17"/>
  <c r="R655" i="17"/>
  <c r="AA655" i="17"/>
  <c r="AJ655" i="17"/>
  <c r="R663" i="17"/>
  <c r="AA663" i="17"/>
  <c r="AJ663" i="17"/>
  <c r="R675" i="17"/>
  <c r="AA675" i="17"/>
  <c r="AJ675" i="17"/>
  <c r="X676" i="17"/>
  <c r="R685" i="17"/>
  <c r="AA685" i="17"/>
  <c r="AJ685" i="17"/>
  <c r="R717" i="17"/>
  <c r="AA717" i="17"/>
  <c r="AJ717" i="17"/>
  <c r="Z718" i="17"/>
  <c r="R735" i="17"/>
  <c r="AA735" i="17"/>
  <c r="AJ735" i="17"/>
  <c r="R743" i="17"/>
  <c r="AA743" i="17"/>
  <c r="AJ743" i="17"/>
  <c r="S796" i="17"/>
  <c r="AC796" i="17"/>
  <c r="X801" i="17"/>
  <c r="Z803" i="17"/>
  <c r="AD809" i="17"/>
  <c r="V827" i="17"/>
  <c r="V831" i="17"/>
  <c r="V873" i="17"/>
  <c r="X875" i="17"/>
  <c r="T877" i="17"/>
  <c r="AD877" i="17"/>
  <c r="X883" i="17"/>
  <c r="Z885" i="17"/>
  <c r="AO955" i="17"/>
  <c r="AC955" i="17"/>
  <c r="N955" i="17"/>
  <c r="W955" i="17"/>
  <c r="AM955" i="17"/>
  <c r="AJ960" i="17"/>
  <c r="AJ976" i="17"/>
  <c r="R976" i="17"/>
  <c r="AA976" i="17"/>
  <c r="AR976" i="17"/>
  <c r="AI990" i="17"/>
  <c r="X990" i="17"/>
  <c r="L990" i="17"/>
  <c r="V990" i="17"/>
  <c r="AL990" i="17"/>
  <c r="AE1003" i="17"/>
  <c r="O1003" i="17"/>
  <c r="AB1003" i="17"/>
  <c r="AP1003" i="17"/>
  <c r="AJ1009" i="17"/>
  <c r="P1009" i="17"/>
  <c r="AB1009" i="17"/>
  <c r="AJ1021" i="17"/>
  <c r="Y1021" i="17"/>
  <c r="O1021" i="17"/>
  <c r="U1021" i="17"/>
  <c r="AF1021" i="17"/>
  <c r="AR1021" i="17"/>
  <c r="AH1037" i="17"/>
  <c r="X1037" i="17"/>
  <c r="N1037" i="17"/>
  <c r="U1037" i="17"/>
  <c r="AF1037" i="17"/>
  <c r="AR1037" i="17"/>
  <c r="AF1047" i="17"/>
  <c r="N1047" i="17"/>
  <c r="AE1047" i="17"/>
  <c r="AH1073" i="17"/>
  <c r="W1073" i="17"/>
  <c r="J1073" i="17"/>
  <c r="X1073" i="17"/>
  <c r="AL1073" i="17"/>
  <c r="AK1076" i="17"/>
  <c r="Z1076" i="17"/>
  <c r="M1076" i="17"/>
  <c r="U1076" i="17"/>
  <c r="AI1076" i="17"/>
  <c r="T1084" i="17"/>
  <c r="AO1096" i="17"/>
  <c r="S1096" i="17"/>
  <c r="AJ1096" i="17"/>
  <c r="R1096" i="17"/>
  <c r="AD1096" i="17"/>
  <c r="AP1104" i="17"/>
  <c r="AB1104" i="17"/>
  <c r="R1104" i="17"/>
  <c r="Q1104" i="17"/>
  <c r="AL1104" i="17"/>
  <c r="U1115" i="17"/>
  <c r="AE1115" i="17"/>
  <c r="Z1115" i="17"/>
  <c r="AK1169" i="17"/>
  <c r="X1169" i="17"/>
  <c r="M1169" i="17"/>
  <c r="AN1169" i="17"/>
  <c r="Z1169" i="17"/>
  <c r="N1169" i="17"/>
  <c r="AM1169" i="17"/>
  <c r="Y1169" i="17"/>
  <c r="J1169" i="17"/>
  <c r="AD1169" i="17"/>
  <c r="AF1175" i="17"/>
  <c r="N1175" i="17"/>
  <c r="Y1175" i="17"/>
  <c r="V1175" i="17"/>
  <c r="AH1175" i="17"/>
  <c r="AP1200" i="17"/>
  <c r="AB1200" i="17"/>
  <c r="Q1200" i="17"/>
  <c r="AG1200" i="17"/>
  <c r="R1200" i="17"/>
  <c r="AR1200" i="17"/>
  <c r="AD1200" i="17"/>
  <c r="N1200" i="17"/>
  <c r="Y1200" i="17"/>
  <c r="AQ1200" i="17"/>
  <c r="AB1260" i="17"/>
  <c r="AL1260" i="17"/>
  <c r="AA1260" i="17"/>
  <c r="Q1260" i="17"/>
  <c r="AR1260" i="17"/>
  <c r="J1260" i="17"/>
  <c r="AK1293" i="17"/>
  <c r="X1293" i="17"/>
  <c r="M1293" i="17"/>
  <c r="AM1293" i="17"/>
  <c r="Y1293" i="17"/>
  <c r="J1293" i="17"/>
  <c r="AL1293" i="17"/>
  <c r="V1293" i="17"/>
  <c r="AH1293" i="17"/>
  <c r="R1293" i="17"/>
  <c r="AD1293" i="17"/>
  <c r="AL1328" i="17"/>
  <c r="AA1328" i="17"/>
  <c r="N1328" i="17"/>
  <c r="AH1328" i="17"/>
  <c r="T1328" i="17"/>
  <c r="AG1328" i="17"/>
  <c r="Q1328" i="17"/>
  <c r="AD1328" i="17"/>
  <c r="M1328" i="17"/>
  <c r="Z1328" i="17"/>
  <c r="AE1335" i="17"/>
  <c r="P1335" i="17"/>
  <c r="AP1335" i="17"/>
  <c r="Z1335" i="17"/>
  <c r="V1335" i="17"/>
  <c r="AO1335" i="17"/>
  <c r="U1335" i="17"/>
  <c r="AK1335" i="17"/>
  <c r="AP1362" i="17"/>
  <c r="AI1362" i="17"/>
  <c r="W1362" i="17"/>
  <c r="M1362" i="17"/>
  <c r="AM1362" i="17"/>
  <c r="AB1362" i="17"/>
  <c r="O1362" i="17"/>
  <c r="AN1362" i="17"/>
  <c r="AA1362" i="17"/>
  <c r="L1362" i="17"/>
  <c r="AL1362" i="17"/>
  <c r="X1362" i="17"/>
  <c r="K1362" i="17"/>
  <c r="AD1362" i="17"/>
  <c r="AP1366" i="17"/>
  <c r="AR1366" i="17"/>
  <c r="AF1366" i="17"/>
  <c r="V1366" i="17"/>
  <c r="L1366" i="17"/>
  <c r="AQ1366" i="17"/>
  <c r="AD1366" i="17"/>
  <c r="S1366" i="17"/>
  <c r="AC1366" i="17"/>
  <c r="O1366" i="17"/>
  <c r="AN1366" i="17"/>
  <c r="AB1366" i="17"/>
  <c r="N1366" i="17"/>
  <c r="AA1366" i="17"/>
  <c r="W1372" i="17"/>
  <c r="W1374" i="17"/>
  <c r="W1380" i="17"/>
  <c r="AA1386" i="17"/>
  <c r="AP1392" i="17"/>
  <c r="AQ1392" i="17"/>
  <c r="AE1392" i="17"/>
  <c r="U1392" i="17"/>
  <c r="K1392" i="17"/>
  <c r="AM1392" i="17"/>
  <c r="AB1392" i="17"/>
  <c r="O1392" i="17"/>
  <c r="AD1392" i="17"/>
  <c r="P1392" i="17"/>
  <c r="AR1392" i="17"/>
  <c r="AC1392" i="17"/>
  <c r="N1392" i="17"/>
  <c r="AA1392" i="17"/>
  <c r="AP1400" i="17"/>
  <c r="AL1400" i="17"/>
  <c r="AB1400" i="17"/>
  <c r="P1400" i="17"/>
  <c r="AN1400" i="17"/>
  <c r="AC1400" i="17"/>
  <c r="O1400" i="17"/>
  <c r="AR1400" i="17"/>
  <c r="AD1400" i="17"/>
  <c r="N1400" i="17"/>
  <c r="AQ1400" i="17"/>
  <c r="AA1400" i="17"/>
  <c r="M1400" i="17"/>
  <c r="X1400" i="17"/>
  <c r="AP1412" i="17"/>
  <c r="AK1412" i="17"/>
  <c r="AA1412" i="17"/>
  <c r="O1412" i="17"/>
  <c r="AQ1412" i="17"/>
  <c r="AD1412" i="17"/>
  <c r="S1412" i="17"/>
  <c r="AN1412" i="17"/>
  <c r="AB1412" i="17"/>
  <c r="M1412" i="17"/>
  <c r="AM1412" i="17"/>
  <c r="X1412" i="17"/>
  <c r="L1412" i="17"/>
  <c r="AC1412" i="17"/>
  <c r="AN1437" i="17"/>
  <c r="AH1437" i="17"/>
  <c r="T1437" i="17"/>
  <c r="AQ1437" i="17"/>
  <c r="Z1437" i="17"/>
  <c r="K1437" i="17"/>
  <c r="AI1437" i="17"/>
  <c r="P1437" i="17"/>
  <c r="AG1437" i="17"/>
  <c r="O1437" i="17"/>
  <c r="AF1437" i="17"/>
  <c r="AP1470" i="17"/>
  <c r="AL1470" i="17"/>
  <c r="AB1470" i="17"/>
  <c r="P1470" i="17"/>
  <c r="AK1470" i="17"/>
  <c r="X1470" i="17"/>
  <c r="M1470" i="17"/>
  <c r="AF1470" i="17"/>
  <c r="T1470" i="17"/>
  <c r="AE1470" i="17"/>
  <c r="S1470" i="17"/>
  <c r="AA1470" i="17"/>
  <c r="AR1470" i="17"/>
  <c r="AR1477" i="17"/>
  <c r="T1477" i="17"/>
  <c r="AH1477" i="17"/>
  <c r="AG1477" i="17"/>
  <c r="X1477" i="17"/>
  <c r="AP1478" i="17"/>
  <c r="AM1478" i="17"/>
  <c r="AC1478" i="17"/>
  <c r="S1478" i="17"/>
  <c r="AL1478" i="17"/>
  <c r="AA1478" i="17"/>
  <c r="N1478" i="17"/>
  <c r="AR1478" i="17"/>
  <c r="AD1478" i="17"/>
  <c r="O1478" i="17"/>
  <c r="AQ1478" i="17"/>
  <c r="AB1478" i="17"/>
  <c r="M1478" i="17"/>
  <c r="X1478" i="17"/>
  <c r="AO1502" i="17"/>
  <c r="AM1502" i="17"/>
  <c r="AD1502" i="17"/>
  <c r="U1502" i="17"/>
  <c r="L1502" i="17"/>
  <c r="AK1502" i="17"/>
  <c r="AA1502" i="17"/>
  <c r="P1502" i="17"/>
  <c r="AP1502" i="17"/>
  <c r="AC1502" i="17"/>
  <c r="R1502" i="17"/>
  <c r="AN1502" i="17"/>
  <c r="AB1502" i="17"/>
  <c r="O1502" i="17"/>
  <c r="W1502" i="17"/>
  <c r="AL1502" i="17"/>
  <c r="AO1516" i="17"/>
  <c r="AQ1516" i="17"/>
  <c r="AH1516" i="17"/>
  <c r="X1516" i="17"/>
  <c r="O1516" i="17"/>
  <c r="AR1516" i="17"/>
  <c r="AF1516" i="17"/>
  <c r="V1516" i="17"/>
  <c r="L1516" i="17"/>
  <c r="AL1516" i="17"/>
  <c r="AA1516" i="17"/>
  <c r="N1516" i="17"/>
  <c r="AK1516" i="17"/>
  <c r="Z1516" i="17"/>
  <c r="M1516" i="17"/>
  <c r="W1516" i="17"/>
  <c r="AN1516" i="17"/>
  <c r="V1536" i="17"/>
  <c r="Z1544" i="17"/>
  <c r="Z1602" i="17"/>
  <c r="Z1608" i="17"/>
  <c r="AO1610" i="17"/>
  <c r="AP1610" i="17"/>
  <c r="AF1610" i="17"/>
  <c r="W1610" i="17"/>
  <c r="N1610" i="17"/>
  <c r="AQ1610" i="17"/>
  <c r="AE1610" i="17"/>
  <c r="U1610" i="17"/>
  <c r="K1610" i="17"/>
  <c r="AN1610" i="17"/>
  <c r="AD1610" i="17"/>
  <c r="T1610" i="17"/>
  <c r="J1610" i="17"/>
  <c r="AR1610" i="17"/>
  <c r="AB1610" i="17"/>
  <c r="O1610" i="17"/>
  <c r="AM1610" i="17"/>
  <c r="AA1610" i="17"/>
  <c r="M1610" i="17"/>
  <c r="AC1610" i="17"/>
  <c r="AH1613" i="17"/>
  <c r="AE1613" i="17"/>
  <c r="AR1613" i="17"/>
  <c r="AO1621" i="17"/>
  <c r="AI1621" i="17"/>
  <c r="W1621" i="17"/>
  <c r="M1621" i="17"/>
  <c r="AP1621" i="17"/>
  <c r="AC1621" i="17"/>
  <c r="R1621" i="17"/>
  <c r="AE1621" i="17"/>
  <c r="S1621" i="17"/>
  <c r="AR1621" i="17"/>
  <c r="AD1621" i="17"/>
  <c r="O1621" i="17"/>
  <c r="AL1621" i="17"/>
  <c r="U1621" i="17"/>
  <c r="AK1621" i="17"/>
  <c r="T1621" i="17"/>
  <c r="AB1621" i="17"/>
  <c r="AO1629" i="17"/>
  <c r="AL1629" i="17"/>
  <c r="AB1629" i="17"/>
  <c r="R1629" i="17"/>
  <c r="AJ1629" i="17"/>
  <c r="W1629" i="17"/>
  <c r="L1629" i="17"/>
  <c r="AR1629" i="17"/>
  <c r="AD1629" i="17"/>
  <c r="O1629" i="17"/>
  <c r="AQ1629" i="17"/>
  <c r="AC1629" i="17"/>
  <c r="N1629" i="17"/>
  <c r="AI1629" i="17"/>
  <c r="S1629" i="17"/>
  <c r="AH1629" i="17"/>
  <c r="M1629" i="17"/>
  <c r="AE1629" i="17"/>
  <c r="AO1637" i="17"/>
  <c r="AP1637" i="17"/>
  <c r="AD1637" i="17"/>
  <c r="T1637" i="17"/>
  <c r="J1637" i="17"/>
  <c r="AJ1637" i="17"/>
  <c r="W1637" i="17"/>
  <c r="L1637" i="17"/>
  <c r="AL1637" i="17"/>
  <c r="Z1637" i="17"/>
  <c r="K1637" i="17"/>
  <c r="AK1637" i="17"/>
  <c r="U1637" i="17"/>
  <c r="AI1637" i="17"/>
  <c r="S1637" i="17"/>
  <c r="AM1637" i="17"/>
  <c r="O1637" i="17"/>
  <c r="AH1637" i="17"/>
  <c r="N1637" i="17"/>
  <c r="AQ1637" i="17"/>
  <c r="AL1668" i="17"/>
  <c r="S1668" i="17"/>
  <c r="AF1668" i="17"/>
  <c r="P1668" i="17"/>
  <c r="AO1668" i="17"/>
  <c r="R1668" i="17"/>
  <c r="V1668" i="17"/>
  <c r="AP1668" i="17"/>
  <c r="Q1668" i="17"/>
  <c r="Z1668" i="17"/>
  <c r="O1668" i="17"/>
  <c r="AO1691" i="17"/>
  <c r="AL1691" i="17"/>
  <c r="AC1691" i="17"/>
  <c r="T1691" i="17"/>
  <c r="K1691" i="17"/>
  <c r="AR1691" i="17"/>
  <c r="AH1691" i="17"/>
  <c r="W1691" i="17"/>
  <c r="M1691" i="17"/>
  <c r="AI1691" i="17"/>
  <c r="V1691" i="17"/>
  <c r="J1691" i="17"/>
  <c r="AJ1691" i="17"/>
  <c r="U1691" i="17"/>
  <c r="AF1691" i="17"/>
  <c r="S1691" i="17"/>
  <c r="AD1691" i="17"/>
  <c r="N1691" i="17"/>
  <c r="AB1691" i="17"/>
  <c r="L1691" i="17"/>
  <c r="AK1691" i="17"/>
  <c r="AM1694" i="17"/>
  <c r="P1694" i="17"/>
  <c r="AL1694" i="17"/>
  <c r="Y1694" i="17"/>
  <c r="AP1694" i="17"/>
  <c r="AH1736" i="17"/>
  <c r="W1736" i="17"/>
  <c r="J1736" i="17"/>
  <c r="AM1736" i="17"/>
  <c r="Y1736" i="17"/>
  <c r="K1736" i="17"/>
  <c r="AG1736" i="17"/>
  <c r="Q1736" i="17"/>
  <c r="AN1736" i="17"/>
  <c r="T1736" i="17"/>
  <c r="AJ1736" i="17"/>
  <c r="R1736" i="17"/>
  <c r="AR1736" i="17"/>
  <c r="X1736" i="17"/>
  <c r="AQ1736" i="17"/>
  <c r="P1736" i="17"/>
  <c r="AP1736" i="17"/>
  <c r="AP1743" i="17"/>
  <c r="AI1743" i="17"/>
  <c r="W1743" i="17"/>
  <c r="M1743" i="17"/>
  <c r="AL1743" i="17"/>
  <c r="AA1743" i="17"/>
  <c r="N1743" i="17"/>
  <c r="AJ1743" i="17"/>
  <c r="U1743" i="17"/>
  <c r="AK1743" i="17"/>
  <c r="T1743" i="17"/>
  <c r="AF1743" i="17"/>
  <c r="S1743" i="17"/>
  <c r="AM1743" i="17"/>
  <c r="O1743" i="17"/>
  <c r="AE1743" i="17"/>
  <c r="L1743" i="17"/>
  <c r="AN1743" i="17"/>
  <c r="AN1792" i="17"/>
  <c r="AJ1792" i="17"/>
  <c r="X1792" i="17"/>
  <c r="J1792" i="17"/>
  <c r="AQ1792" i="17"/>
  <c r="Z1792" i="17"/>
  <c r="K1792" i="17"/>
  <c r="AF1792" i="17"/>
  <c r="L1792" i="17"/>
  <c r="AM1792" i="17"/>
  <c r="Q1792" i="17"/>
  <c r="AA1792" i="17"/>
  <c r="Y1792" i="17"/>
  <c r="W1792" i="17"/>
  <c r="T1792" i="17"/>
  <c r="AP1793" i="17"/>
  <c r="AI1793" i="17"/>
  <c r="W1793" i="17"/>
  <c r="M1793" i="17"/>
  <c r="AQ1793" i="17"/>
  <c r="AD1793" i="17"/>
  <c r="S1793" i="17"/>
  <c r="AL1793" i="17"/>
  <c r="X1793" i="17"/>
  <c r="K1793" i="17"/>
  <c r="AJ1793" i="17"/>
  <c r="T1793" i="17"/>
  <c r="AE1793" i="17"/>
  <c r="N1793" i="17"/>
  <c r="AC1793" i="17"/>
  <c r="L1793" i="17"/>
  <c r="AN1793" i="17"/>
  <c r="P1793" i="17"/>
  <c r="AM1793" i="17"/>
  <c r="O1793" i="17"/>
  <c r="O1806" i="17"/>
  <c r="AR1806" i="17"/>
  <c r="AP1806" i="17"/>
  <c r="AE1806" i="17"/>
  <c r="Q1833" i="17"/>
  <c r="AN1833" i="17"/>
  <c r="AM1833" i="17"/>
  <c r="AE1833" i="17"/>
  <c r="R1833" i="17"/>
  <c r="AR1893" i="17"/>
  <c r="AL1893" i="17"/>
  <c r="Y1893" i="17"/>
  <c r="M1893" i="17"/>
  <c r="AG1893" i="17"/>
  <c r="T1893" i="17"/>
  <c r="AQ1893" i="17"/>
  <c r="AC1893" i="17"/>
  <c r="L1893" i="17"/>
  <c r="AE1893" i="17"/>
  <c r="N1893" i="17"/>
  <c r="AD1893" i="17"/>
  <c r="K1893" i="17"/>
  <c r="W1893" i="17"/>
  <c r="V1893" i="17"/>
  <c r="U1893" i="17"/>
  <c r="AH1893" i="17"/>
  <c r="AB1893" i="17"/>
  <c r="AO1907" i="17"/>
  <c r="AK1907" i="17"/>
  <c r="AA1907" i="17"/>
  <c r="O1907" i="17"/>
  <c r="AL1907" i="17"/>
  <c r="Z1907" i="17"/>
  <c r="M1907" i="17"/>
  <c r="AQ1907" i="17"/>
  <c r="AC1907" i="17"/>
  <c r="N1907" i="17"/>
  <c r="AD1907" i="17"/>
  <c r="L1907" i="17"/>
  <c r="AR1907" i="17"/>
  <c r="AB1907" i="17"/>
  <c r="K1907" i="17"/>
  <c r="AH1907" i="17"/>
  <c r="J1907" i="17"/>
  <c r="AP1907" i="17"/>
  <c r="T1907" i="17"/>
  <c r="AM1907" i="17"/>
  <c r="S1907" i="17"/>
  <c r="AJ1907" i="17"/>
  <c r="AI1907" i="17"/>
  <c r="AO1917" i="17"/>
  <c r="AQ1917" i="17"/>
  <c r="AE1917" i="17"/>
  <c r="U1917" i="17"/>
  <c r="K1917" i="17"/>
  <c r="AR1917" i="17"/>
  <c r="AD1917" i="17"/>
  <c r="S1917" i="17"/>
  <c r="AH1917" i="17"/>
  <c r="R1917" i="17"/>
  <c r="AP1917" i="17"/>
  <c r="AA1917" i="17"/>
  <c r="L1917" i="17"/>
  <c r="AL1917" i="17"/>
  <c r="V1917" i="17"/>
  <c r="AK1917" i="17"/>
  <c r="T1917" i="17"/>
  <c r="AM1917" i="17"/>
  <c r="N1917" i="17"/>
  <c r="W1917" i="17"/>
  <c r="O1917" i="17"/>
  <c r="AJ1917" i="17"/>
  <c r="AI1917" i="17"/>
  <c r="AN1929" i="17"/>
  <c r="AQ1929" i="17"/>
  <c r="AA1929" i="17"/>
  <c r="O1929" i="17"/>
  <c r="AG1929" i="17"/>
  <c r="P1929" i="17"/>
  <c r="AF1929" i="17"/>
  <c r="L1929" i="17"/>
  <c r="AJ1929" i="17"/>
  <c r="Q1929" i="17"/>
  <c r="Y1929" i="17"/>
  <c r="AH1929" i="17"/>
  <c r="Z1929" i="17"/>
  <c r="K1929" i="17"/>
  <c r="W1929" i="17"/>
  <c r="T1929" i="17"/>
  <c r="AP1929" i="17"/>
  <c r="AM1929" i="17"/>
  <c r="AP1942" i="17"/>
  <c r="AQ1942" i="17"/>
  <c r="AE1942" i="17"/>
  <c r="U1942" i="17"/>
  <c r="K1942" i="17"/>
  <c r="AK1942" i="17"/>
  <c r="X1942" i="17"/>
  <c r="M1942" i="17"/>
  <c r="AJ1942" i="17"/>
  <c r="W1942" i="17"/>
  <c r="L1942" i="17"/>
  <c r="AN1942" i="17"/>
  <c r="AA1942" i="17"/>
  <c r="AB1942" i="17"/>
  <c r="AI1942" i="17"/>
  <c r="O1942" i="17"/>
  <c r="AF1942" i="17"/>
  <c r="N1942" i="17"/>
  <c r="AR1942" i="17"/>
  <c r="P1942" i="17"/>
  <c r="AC1942" i="17"/>
  <c r="V1942" i="17"/>
  <c r="AD1942" i="17"/>
  <c r="T1942" i="17"/>
  <c r="AJ1969" i="17"/>
  <c r="AK1969" i="17"/>
  <c r="R1969" i="17"/>
  <c r="AD1969" i="17"/>
  <c r="Q1969" i="17"/>
  <c r="AA1969" i="17"/>
  <c r="Z1969" i="17"/>
  <c r="AB1969" i="17"/>
  <c r="AR1969" i="17"/>
  <c r="L1969" i="17"/>
  <c r="V1969" i="17"/>
  <c r="S1969" i="17"/>
  <c r="M1969" i="17"/>
  <c r="AC1969" i="17"/>
  <c r="K1969" i="17"/>
  <c r="AB1979" i="17"/>
  <c r="N1979" i="17"/>
  <c r="AR1979" i="17"/>
  <c r="AA1979" i="17"/>
  <c r="M1979" i="17"/>
  <c r="AL1979" i="17"/>
  <c r="Q1979" i="17"/>
  <c r="AJ1979" i="17"/>
  <c r="O1979" i="17"/>
  <c r="AE1979" i="17"/>
  <c r="Z1979" i="17"/>
  <c r="Y1979" i="17"/>
  <c r="AQ1979" i="17"/>
  <c r="S1979" i="17"/>
  <c r="R1979" i="17"/>
  <c r="AQ1993" i="17"/>
  <c r="AB1993" i="17"/>
  <c r="K1993" i="17"/>
  <c r="AP1993" i="17"/>
  <c r="AA1993" i="17"/>
  <c r="J1993" i="17"/>
  <c r="Z1993" i="17"/>
  <c r="T1993" i="17"/>
  <c r="AN1993" i="17"/>
  <c r="Q1993" i="17"/>
  <c r="AM1993" i="17"/>
  <c r="P1993" i="17"/>
  <c r="AE1993" i="17"/>
  <c r="AG1993" i="17"/>
  <c r="R1993" i="17"/>
  <c r="AJ1993" i="17"/>
  <c r="AO1079" i="17"/>
  <c r="U1079" i="17"/>
  <c r="AE1079" i="17"/>
  <c r="AC1082" i="17"/>
  <c r="K1082" i="17"/>
  <c r="AD1082" i="17"/>
  <c r="AP1084" i="17"/>
  <c r="AB1084" i="17"/>
  <c r="Q1084" i="17"/>
  <c r="AL1084" i="17"/>
  <c r="U1084" i="17"/>
  <c r="AI1084" i="17"/>
  <c r="AR1106" i="17"/>
  <c r="AI1106" i="17"/>
  <c r="R1106" i="17"/>
  <c r="U1106" i="17"/>
  <c r="T1106" i="17"/>
  <c r="AL1106" i="17"/>
  <c r="AH1197" i="17"/>
  <c r="W1197" i="17"/>
  <c r="J1197" i="17"/>
  <c r="AD1197" i="17"/>
  <c r="P1197" i="17"/>
  <c r="AP1197" i="17"/>
  <c r="AC1197" i="17"/>
  <c r="O1197" i="17"/>
  <c r="Z1197" i="17"/>
  <c r="T1214" i="17"/>
  <c r="Z1214" i="17"/>
  <c r="AQ1214" i="17"/>
  <c r="AP1214" i="17"/>
  <c r="AK1224" i="17"/>
  <c r="Z1224" i="17"/>
  <c r="M1224" i="17"/>
  <c r="AH1224" i="17"/>
  <c r="T1224" i="17"/>
  <c r="AR1224" i="17"/>
  <c r="AB1224" i="17"/>
  <c r="L1224" i="17"/>
  <c r="AQ1224" i="17"/>
  <c r="AA1224" i="17"/>
  <c r="K1224" i="17"/>
  <c r="AD1224" i="17"/>
  <c r="AJ1238" i="17"/>
  <c r="L1238" i="17"/>
  <c r="V1238" i="17"/>
  <c r="AC1238" i="17"/>
  <c r="U1238" i="17"/>
  <c r="AK1239" i="17"/>
  <c r="R1239" i="17"/>
  <c r="AE1239" i="17"/>
  <c r="O1239" i="17"/>
  <c r="AN1239" i="17"/>
  <c r="Q1239" i="17"/>
  <c r="AL1239" i="17"/>
  <c r="P1239" i="17"/>
  <c r="AO1239" i="17"/>
  <c r="AN1287" i="17"/>
  <c r="V1287" i="17"/>
  <c r="AP1287" i="17"/>
  <c r="Z1287" i="17"/>
  <c r="U1287" i="17"/>
  <c r="AO1287" i="17"/>
  <c r="R1287" i="17"/>
  <c r="AF1287" i="17"/>
  <c r="AN1313" i="17"/>
  <c r="Q1313" i="17"/>
  <c r="X1313" i="17"/>
  <c r="AE1313" i="17"/>
  <c r="AD1313" i="17"/>
  <c r="AO1313" i="17"/>
  <c r="AD1332" i="17"/>
  <c r="U1332" i="17"/>
  <c r="T1332" i="17"/>
  <c r="AL1332" i="17"/>
  <c r="AC1332" i="17"/>
  <c r="AP1372" i="17"/>
  <c r="AM1372" i="17"/>
  <c r="AC1372" i="17"/>
  <c r="S1372" i="17"/>
  <c r="AK1372" i="17"/>
  <c r="X1372" i="17"/>
  <c r="M1372" i="17"/>
  <c r="AF1372" i="17"/>
  <c r="T1372" i="17"/>
  <c r="AE1372" i="17"/>
  <c r="P1372" i="17"/>
  <c r="AA1372" i="17"/>
  <c r="AR1372" i="17"/>
  <c r="AP1374" i="17"/>
  <c r="AL1374" i="17"/>
  <c r="AB1374" i="17"/>
  <c r="P1374" i="17"/>
  <c r="AR1374" i="17"/>
  <c r="AE1374" i="17"/>
  <c r="T1374" i="17"/>
  <c r="AI1374" i="17"/>
  <c r="U1374" i="17"/>
  <c r="AF1374" i="17"/>
  <c r="S1374" i="17"/>
  <c r="X1374" i="17"/>
  <c r="AQ1374" i="17"/>
  <c r="AP1380" i="17"/>
  <c r="AK1380" i="17"/>
  <c r="AA1380" i="17"/>
  <c r="O1380" i="17"/>
  <c r="AM1380" i="17"/>
  <c r="AB1380" i="17"/>
  <c r="N1380" i="17"/>
  <c r="AF1380" i="17"/>
  <c r="T1380" i="17"/>
  <c r="AE1380" i="17"/>
  <c r="S1380" i="17"/>
  <c r="X1380" i="17"/>
  <c r="AR1380" i="17"/>
  <c r="AP1386" i="17"/>
  <c r="AJ1386" i="17"/>
  <c r="X1386" i="17"/>
  <c r="N1386" i="17"/>
  <c r="AK1386" i="17"/>
  <c r="W1386" i="17"/>
  <c r="L1386" i="17"/>
  <c r="AI1386" i="17"/>
  <c r="U1386" i="17"/>
  <c r="AF1386" i="17"/>
  <c r="T1386" i="17"/>
  <c r="AB1386" i="17"/>
  <c r="AR1386" i="17"/>
  <c r="AH1397" i="17"/>
  <c r="AG1397" i="17"/>
  <c r="O1397" i="17"/>
  <c r="AO1397" i="17"/>
  <c r="R1397" i="17"/>
  <c r="AR1397" i="17"/>
  <c r="X1397" i="17"/>
  <c r="AQ1397" i="17"/>
  <c r="S1397" i="17"/>
  <c r="AN1397" i="17"/>
  <c r="K1470" i="17"/>
  <c r="AC1470" i="17"/>
  <c r="AP1476" i="17"/>
  <c r="AM1476" i="17"/>
  <c r="AC1476" i="17"/>
  <c r="S1476" i="17"/>
  <c r="AR1476" i="17"/>
  <c r="AE1476" i="17"/>
  <c r="T1476" i="17"/>
  <c r="AN1476" i="17"/>
  <c r="AA1476" i="17"/>
  <c r="M1476" i="17"/>
  <c r="AL1476" i="17"/>
  <c r="X1476" i="17"/>
  <c r="L1476" i="17"/>
  <c r="AB1476" i="17"/>
  <c r="O1477" i="17"/>
  <c r="K1478" i="17"/>
  <c r="AE1478" i="17"/>
  <c r="AO1488" i="17"/>
  <c r="AP1488" i="17"/>
  <c r="AF1488" i="17"/>
  <c r="W1488" i="17"/>
  <c r="N1488" i="17"/>
  <c r="AI1488" i="17"/>
  <c r="X1488" i="17"/>
  <c r="M1488" i="17"/>
  <c r="AJ1488" i="17"/>
  <c r="V1488" i="17"/>
  <c r="K1488" i="17"/>
  <c r="AH1488" i="17"/>
  <c r="U1488" i="17"/>
  <c r="J1488" i="17"/>
  <c r="AA1488" i="17"/>
  <c r="AN1488" i="17"/>
  <c r="AO1492" i="17"/>
  <c r="AP1492" i="17"/>
  <c r="AF1492" i="17"/>
  <c r="W1492" i="17"/>
  <c r="N1492" i="17"/>
  <c r="AL1492" i="17"/>
  <c r="AB1492" i="17"/>
  <c r="R1492" i="17"/>
  <c r="AN1492" i="17"/>
  <c r="AC1492" i="17"/>
  <c r="P1492" i="17"/>
  <c r="AM1492" i="17"/>
  <c r="AA1492" i="17"/>
  <c r="O1492" i="17"/>
  <c r="V1492" i="17"/>
  <c r="AK1492" i="17"/>
  <c r="AO1496" i="17"/>
  <c r="AQ1496" i="17"/>
  <c r="AH1496" i="17"/>
  <c r="X1496" i="17"/>
  <c r="O1496" i="17"/>
  <c r="AP1496" i="17"/>
  <c r="AE1496" i="17"/>
  <c r="U1496" i="17"/>
  <c r="K1496" i="17"/>
  <c r="AN1496" i="17"/>
  <c r="AC1496" i="17"/>
  <c r="R1496" i="17"/>
  <c r="AM1496" i="17"/>
  <c r="AB1496" i="17"/>
  <c r="P1496" i="17"/>
  <c r="W1496" i="17"/>
  <c r="AL1496" i="17"/>
  <c r="J1502" i="17"/>
  <c r="X1502" i="17"/>
  <c r="AQ1502" i="17"/>
  <c r="AO1536" i="17"/>
  <c r="AL1536" i="17"/>
  <c r="AC1536" i="17"/>
  <c r="T1536" i="17"/>
  <c r="K1536" i="17"/>
  <c r="AI1536" i="17"/>
  <c r="X1536" i="17"/>
  <c r="N1536" i="17"/>
  <c r="AK1536" i="17"/>
  <c r="Z1536" i="17"/>
  <c r="M1536" i="17"/>
  <c r="AJ1536" i="17"/>
  <c r="W1536" i="17"/>
  <c r="L1536" i="17"/>
  <c r="AA1536" i="17"/>
  <c r="AP1536" i="17"/>
  <c r="AO1544" i="17"/>
  <c r="AK1544" i="17"/>
  <c r="AB1544" i="17"/>
  <c r="S1544" i="17"/>
  <c r="J1544" i="17"/>
  <c r="AP1544" i="17"/>
  <c r="AE1544" i="17"/>
  <c r="U1544" i="17"/>
  <c r="K1544" i="17"/>
  <c r="AJ1544" i="17"/>
  <c r="X1544" i="17"/>
  <c r="M1544" i="17"/>
  <c r="AI1544" i="17"/>
  <c r="W1544" i="17"/>
  <c r="L1544" i="17"/>
  <c r="AA1544" i="17"/>
  <c r="AQ1544" i="17"/>
  <c r="AJ1547" i="17"/>
  <c r="AN1547" i="17"/>
  <c r="AO1547" i="17"/>
  <c r="AJ1553" i="17"/>
  <c r="T1553" i="17"/>
  <c r="AP1553" i="17"/>
  <c r="X1553" i="17"/>
  <c r="AH1553" i="17"/>
  <c r="O1553" i="17"/>
  <c r="AG1553" i="17"/>
  <c r="L1553" i="17"/>
  <c r="AF1553" i="17"/>
  <c r="AO1582" i="17"/>
  <c r="AM1582" i="17"/>
  <c r="AD1582" i="17"/>
  <c r="U1582" i="17"/>
  <c r="L1582" i="17"/>
  <c r="AR1582" i="17"/>
  <c r="AH1582" i="17"/>
  <c r="W1582" i="17"/>
  <c r="M1582" i="17"/>
  <c r="AQ1582" i="17"/>
  <c r="AF1582" i="17"/>
  <c r="V1582" i="17"/>
  <c r="K1582" i="17"/>
  <c r="AN1582" i="17"/>
  <c r="AA1582" i="17"/>
  <c r="N1582" i="17"/>
  <c r="AL1582" i="17"/>
  <c r="Z1582" i="17"/>
  <c r="J1582" i="17"/>
  <c r="AC1582" i="17"/>
  <c r="AO1602" i="17"/>
  <c r="AK1602" i="17"/>
  <c r="AB1602" i="17"/>
  <c r="S1602" i="17"/>
  <c r="J1602" i="17"/>
  <c r="AR1602" i="17"/>
  <c r="AH1602" i="17"/>
  <c r="W1602" i="17"/>
  <c r="M1602" i="17"/>
  <c r="AQ1602" i="17"/>
  <c r="AF1602" i="17"/>
  <c r="V1602" i="17"/>
  <c r="L1602" i="17"/>
  <c r="AI1602" i="17"/>
  <c r="T1602" i="17"/>
  <c r="AE1602" i="17"/>
  <c r="R1602" i="17"/>
  <c r="AA1602" i="17"/>
  <c r="AJ1607" i="17"/>
  <c r="S1607" i="17"/>
  <c r="AI1607" i="17"/>
  <c r="Q1607" i="17"/>
  <c r="AF1607" i="17"/>
  <c r="P1607" i="17"/>
  <c r="AO1607" i="17"/>
  <c r="O1607" i="17"/>
  <c r="AN1607" i="17"/>
  <c r="J1607" i="17"/>
  <c r="AO1608" i="17"/>
  <c r="AN1608" i="17"/>
  <c r="AE1608" i="17"/>
  <c r="V1608" i="17"/>
  <c r="M1608" i="17"/>
  <c r="AI1608" i="17"/>
  <c r="X1608" i="17"/>
  <c r="N1608" i="17"/>
  <c r="AR1608" i="17"/>
  <c r="AH1608" i="17"/>
  <c r="W1608" i="17"/>
  <c r="L1608" i="17"/>
  <c r="AF1608" i="17"/>
  <c r="S1608" i="17"/>
  <c r="AD1608" i="17"/>
  <c r="R1608" i="17"/>
  <c r="AA1608" i="17"/>
  <c r="AQ1608" i="17"/>
  <c r="AH1618" i="17"/>
  <c r="X1618" i="17"/>
  <c r="O1618" i="17"/>
  <c r="AL1618" i="17"/>
  <c r="AA1618" i="17"/>
  <c r="P1618" i="17"/>
  <c r="AK1618" i="17"/>
  <c r="Z1618" i="17"/>
  <c r="N1618" i="17"/>
  <c r="AQ1618" i="17"/>
  <c r="AC1618" i="17"/>
  <c r="M1618" i="17"/>
  <c r="AO1618" i="17"/>
  <c r="AB1618" i="17"/>
  <c r="L1618" i="17"/>
  <c r="W1618" i="17"/>
  <c r="AO1633" i="17"/>
  <c r="AQ1633" i="17"/>
  <c r="AE1633" i="17"/>
  <c r="U1633" i="17"/>
  <c r="K1633" i="17"/>
  <c r="AJ1633" i="17"/>
  <c r="W1633" i="17"/>
  <c r="L1633" i="17"/>
  <c r="AH1633" i="17"/>
  <c r="S1633" i="17"/>
  <c r="AD1633" i="17"/>
  <c r="R1633" i="17"/>
  <c r="AK1633" i="17"/>
  <c r="O1633" i="17"/>
  <c r="AI1633" i="17"/>
  <c r="N1633" i="17"/>
  <c r="AC1633" i="17"/>
  <c r="AE1636" i="17"/>
  <c r="P1636" i="17"/>
  <c r="AF1636" i="17"/>
  <c r="O1636" i="17"/>
  <c r="AA1636" i="17"/>
  <c r="AO1636" i="17"/>
  <c r="R1636" i="17"/>
  <c r="AN1636" i="17"/>
  <c r="Q1636" i="17"/>
  <c r="Z1636" i="17"/>
  <c r="V1636" i="17"/>
  <c r="AO1639" i="17"/>
  <c r="AQ1639" i="17"/>
  <c r="AE1639" i="17"/>
  <c r="U1639" i="17"/>
  <c r="K1639" i="17"/>
  <c r="AI1639" i="17"/>
  <c r="V1639" i="17"/>
  <c r="J1639" i="17"/>
  <c r="AD1639" i="17"/>
  <c r="R1639" i="17"/>
  <c r="AL1639" i="17"/>
  <c r="W1639" i="17"/>
  <c r="AK1639" i="17"/>
  <c r="T1639" i="17"/>
  <c r="AM1639" i="17"/>
  <c r="O1639" i="17"/>
  <c r="AJ1639" i="17"/>
  <c r="N1639" i="17"/>
  <c r="AH1639" i="17"/>
  <c r="AP1648" i="17"/>
  <c r="AD1648" i="17"/>
  <c r="Q1648" i="17"/>
  <c r="AN1648" i="17"/>
  <c r="Z1648" i="17"/>
  <c r="N1648" i="17"/>
  <c r="AL1648" i="17"/>
  <c r="W1648" i="17"/>
  <c r="AQ1648" i="17"/>
  <c r="X1648" i="17"/>
  <c r="AM1648" i="17"/>
  <c r="V1648" i="17"/>
  <c r="R1648" i="17"/>
  <c r="P1648" i="17"/>
  <c r="AH1648" i="17"/>
  <c r="AO1675" i="17"/>
  <c r="AL1675" i="17"/>
  <c r="AB1675" i="17"/>
  <c r="R1675" i="17"/>
  <c r="AK1675" i="17"/>
  <c r="Z1675" i="17"/>
  <c r="M1675" i="17"/>
  <c r="AE1675" i="17"/>
  <c r="S1675" i="17"/>
  <c r="AD1675" i="17"/>
  <c r="N1675" i="17"/>
  <c r="AR1675" i="17"/>
  <c r="AC1675" i="17"/>
  <c r="L1675" i="17"/>
  <c r="AQ1675" i="17"/>
  <c r="V1675" i="17"/>
  <c r="AP1675" i="17"/>
  <c r="U1675" i="17"/>
  <c r="AI1675" i="17"/>
  <c r="P1700" i="17"/>
  <c r="Z1700" i="17"/>
  <c r="AA1700" i="17"/>
  <c r="AG1738" i="17"/>
  <c r="Q1738" i="17"/>
  <c r="AB1738" i="17"/>
  <c r="O1738" i="17"/>
  <c r="AA1738" i="17"/>
  <c r="K1738" i="17"/>
  <c r="AN1738" i="17"/>
  <c r="W1738" i="17"/>
  <c r="AM1738" i="17"/>
  <c r="R1738" i="17"/>
  <c r="AI1738" i="17"/>
  <c r="AH1738" i="17"/>
  <c r="AR1738" i="17"/>
  <c r="AP1751" i="17"/>
  <c r="AQ1751" i="17"/>
  <c r="AE1751" i="17"/>
  <c r="U1751" i="17"/>
  <c r="K1751" i="17"/>
  <c r="AF1751" i="17"/>
  <c r="T1751" i="17"/>
  <c r="AN1751" i="17"/>
  <c r="AB1751" i="17"/>
  <c r="N1751" i="17"/>
  <c r="AL1751" i="17"/>
  <c r="W1751" i="17"/>
  <c r="AK1751" i="17"/>
  <c r="V1751" i="17"/>
  <c r="AM1751" i="17"/>
  <c r="P1751" i="17"/>
  <c r="AJ1751" i="17"/>
  <c r="O1751" i="17"/>
  <c r="AI1751" i="17"/>
  <c r="AP1779" i="17"/>
  <c r="AQ1779" i="17"/>
  <c r="AE1779" i="17"/>
  <c r="U1779" i="17"/>
  <c r="K1779" i="17"/>
  <c r="AK1779" i="17"/>
  <c r="X1779" i="17"/>
  <c r="M1779" i="17"/>
  <c r="AR1779" i="17"/>
  <c r="AC1779" i="17"/>
  <c r="O1779" i="17"/>
  <c r="AF1779" i="17"/>
  <c r="P1779" i="17"/>
  <c r="AD1779" i="17"/>
  <c r="N1779" i="17"/>
  <c r="AN1779" i="17"/>
  <c r="V1779" i="17"/>
  <c r="AM1779" i="17"/>
  <c r="T1779" i="17"/>
  <c r="AL1779" i="17"/>
  <c r="AI1790" i="17"/>
  <c r="O1790" i="17"/>
  <c r="AQ1790" i="17"/>
  <c r="AJ1790" i="17"/>
  <c r="AR1790" i="17"/>
  <c r="Z1790" i="17"/>
  <c r="AP1825" i="17"/>
  <c r="AM1825" i="17"/>
  <c r="AC1825" i="17"/>
  <c r="S1825" i="17"/>
  <c r="AQ1825" i="17"/>
  <c r="AD1825" i="17"/>
  <c r="P1825" i="17"/>
  <c r="AF1825" i="17"/>
  <c r="T1825" i="17"/>
  <c r="AE1825" i="17"/>
  <c r="O1825" i="17"/>
  <c r="AJ1825" i="17"/>
  <c r="N1825" i="17"/>
  <c r="AI1825" i="17"/>
  <c r="L1825" i="17"/>
  <c r="AB1825" i="17"/>
  <c r="K1825" i="17"/>
  <c r="AR1825" i="17"/>
  <c r="U1825" i="17"/>
  <c r="AN1825" i="17"/>
  <c r="M1825" i="17"/>
  <c r="AD1875" i="17"/>
  <c r="AE1875" i="17"/>
  <c r="L1875" i="17"/>
  <c r="AD1887" i="17"/>
  <c r="AC1887" i="17"/>
  <c r="AQ1887" i="17"/>
  <c r="L1887" i="17"/>
  <c r="K1887" i="17"/>
  <c r="J1887" i="17"/>
  <c r="AR1887" i="17"/>
  <c r="AO1920" i="17"/>
  <c r="AE1920" i="17"/>
  <c r="U1920" i="17"/>
  <c r="K1920" i="17"/>
  <c r="AR1920" i="17"/>
  <c r="AF1920" i="17"/>
  <c r="T1920" i="17"/>
  <c r="AG1920" i="17"/>
  <c r="Q1920" i="17"/>
  <c r="AN1920" i="17"/>
  <c r="Y1920" i="17"/>
  <c r="L1920" i="17"/>
  <c r="AI1920" i="17"/>
  <c r="O1920" i="17"/>
  <c r="AD1920" i="17"/>
  <c r="N1920" i="17"/>
  <c r="AM1920" i="17"/>
  <c r="P1920" i="17"/>
  <c r="AJ1920" i="17"/>
  <c r="AC1920" i="17"/>
  <c r="V1920" i="17"/>
  <c r="M1920" i="17"/>
  <c r="S1993" i="17"/>
  <c r="AF1087" i="17"/>
  <c r="AK1105" i="17"/>
  <c r="X1105" i="17"/>
  <c r="M1105" i="17"/>
  <c r="W1105" i="17"/>
  <c r="AL1105" i="17"/>
  <c r="AO1107" i="17"/>
  <c r="X1107" i="17"/>
  <c r="AK1107" i="17"/>
  <c r="Z1133" i="17"/>
  <c r="AN1133" i="17"/>
  <c r="R1133" i="17"/>
  <c r="AL1133" i="17"/>
  <c r="AF1151" i="17"/>
  <c r="M1151" i="17"/>
  <c r="AE1151" i="17"/>
  <c r="AJ1160" i="17"/>
  <c r="R1160" i="17"/>
  <c r="AC1160" i="17"/>
  <c r="AK1195" i="17"/>
  <c r="O1195" i="17"/>
  <c r="AL1195" i="17"/>
  <c r="AK1205" i="17"/>
  <c r="X1205" i="17"/>
  <c r="M1205" i="17"/>
  <c r="AF1205" i="17"/>
  <c r="Q1205" i="17"/>
  <c r="Y1205" i="17"/>
  <c r="AN1205" i="17"/>
  <c r="AG1209" i="17"/>
  <c r="R1209" i="17"/>
  <c r="AN1209" i="17"/>
  <c r="AL1223" i="17"/>
  <c r="U1223" i="17"/>
  <c r="AP1223" i="17"/>
  <c r="Z1223" i="17"/>
  <c r="AD1223" i="17"/>
  <c r="AP1244" i="17"/>
  <c r="R1244" i="17"/>
  <c r="AL1244" i="17"/>
  <c r="K1244" i="17"/>
  <c r="AO1244" i="17"/>
  <c r="AF1249" i="17"/>
  <c r="M1249" i="17"/>
  <c r="AM1249" i="17"/>
  <c r="J1249" i="17"/>
  <c r="AN1249" i="17"/>
  <c r="AJ1256" i="17"/>
  <c r="Y1256" i="17"/>
  <c r="L1256" i="17"/>
  <c r="AP1256" i="17"/>
  <c r="AA1256" i="17"/>
  <c r="M1256" i="17"/>
  <c r="V1256" i="17"/>
  <c r="AL1256" i="17"/>
  <c r="AD1268" i="17"/>
  <c r="AC1268" i="17"/>
  <c r="AR1268" i="17"/>
  <c r="AN1271" i="17"/>
  <c r="V1271" i="17"/>
  <c r="AF1271" i="17"/>
  <c r="P1271" i="17"/>
  <c r="AD1271" i="17"/>
  <c r="AD1278" i="17"/>
  <c r="U1278" i="17"/>
  <c r="M1278" i="17"/>
  <c r="AH1301" i="17"/>
  <c r="W1301" i="17"/>
  <c r="J1301" i="17"/>
  <c r="AP1301" i="17"/>
  <c r="AC1301" i="17"/>
  <c r="O1301" i="17"/>
  <c r="Y1301" i="17"/>
  <c r="AN1301" i="17"/>
  <c r="AH1310" i="17"/>
  <c r="M1310" i="17"/>
  <c r="U1310" i="17"/>
  <c r="AI1310" i="17"/>
  <c r="AK1319" i="17"/>
  <c r="R1319" i="17"/>
  <c r="AN1319" i="17"/>
  <c r="U1319" i="17"/>
  <c r="AD1319" i="17"/>
  <c r="AF1325" i="17"/>
  <c r="R1325" i="17"/>
  <c r="AG1325" i="17"/>
  <c r="Q1325" i="17"/>
  <c r="X1325" i="17"/>
  <c r="AM1325" i="17"/>
  <c r="AC1329" i="17"/>
  <c r="R1329" i="17"/>
  <c r="Q1356" i="17"/>
  <c r="AQ1356" i="17"/>
  <c r="AN1369" i="17"/>
  <c r="X1369" i="17"/>
  <c r="AI1369" i="17"/>
  <c r="Q1369" i="17"/>
  <c r="AB1369" i="17"/>
  <c r="AN1373" i="17"/>
  <c r="S1373" i="17"/>
  <c r="AQ1373" i="17"/>
  <c r="R1373" i="17"/>
  <c r="AJ1373" i="17"/>
  <c r="AE1377" i="17"/>
  <c r="AF1377" i="17"/>
  <c r="AN1381" i="17"/>
  <c r="AM1381" i="17"/>
  <c r="Y1381" i="17"/>
  <c r="K1381" i="17"/>
  <c r="AG1381" i="17"/>
  <c r="P1381" i="17"/>
  <c r="Z1381" i="17"/>
  <c r="AR1381" i="17"/>
  <c r="AR1395" i="17"/>
  <c r="AE1395" i="17"/>
  <c r="L1395" i="17"/>
  <c r="AN1395" i="17"/>
  <c r="S1395" i="17"/>
  <c r="AB1395" i="17"/>
  <c r="AI1403" i="17"/>
  <c r="X1403" i="17"/>
  <c r="K1403" i="17"/>
  <c r="AN1403" i="17"/>
  <c r="Z1403" i="17"/>
  <c r="L1403" i="17"/>
  <c r="Y1403" i="17"/>
  <c r="AP1403" i="17"/>
  <c r="AO1406" i="17"/>
  <c r="AM1406" i="17"/>
  <c r="AD1406" i="17"/>
  <c r="U1406" i="17"/>
  <c r="L1406" i="17"/>
  <c r="AR1406" i="17"/>
  <c r="AH1406" i="17"/>
  <c r="W1406" i="17"/>
  <c r="M1406" i="17"/>
  <c r="T1406" i="17"/>
  <c r="AF1406" i="17"/>
  <c r="AN1409" i="17"/>
  <c r="AQ1409" i="17"/>
  <c r="AA1409" i="17"/>
  <c r="O1409" i="17"/>
  <c r="AG1409" i="17"/>
  <c r="P1409" i="17"/>
  <c r="Y1409" i="17"/>
  <c r="AR1409" i="17"/>
  <c r="AH1411" i="17"/>
  <c r="AP1411" i="17"/>
  <c r="X1411" i="17"/>
  <c r="AQ1411" i="17"/>
  <c r="S1411" i="17"/>
  <c r="AE1411" i="17"/>
  <c r="AP1456" i="17"/>
  <c r="AJ1456" i="17"/>
  <c r="Z1456" i="17"/>
  <c r="P1456" i="17"/>
  <c r="AF1456" i="17"/>
  <c r="V1456" i="17"/>
  <c r="L1456" i="17"/>
  <c r="T1456" i="17"/>
  <c r="AE1456" i="17"/>
  <c r="AP1462" i="17"/>
  <c r="AJ1462" i="17"/>
  <c r="X1462" i="17"/>
  <c r="N1462" i="17"/>
  <c r="AN1462" i="17"/>
  <c r="AC1462" i="17"/>
  <c r="P1462" i="17"/>
  <c r="V1462" i="17"/>
  <c r="AK1462" i="17"/>
  <c r="AM1471" i="17"/>
  <c r="AN1471" i="17"/>
  <c r="AJ1481" i="17"/>
  <c r="Y1481" i="17"/>
  <c r="L1481" i="17"/>
  <c r="AM1481" i="17"/>
  <c r="X1481" i="17"/>
  <c r="J1481" i="17"/>
  <c r="Z1481" i="17"/>
  <c r="AP1481" i="17"/>
  <c r="AO1490" i="17"/>
  <c r="AK1490" i="17"/>
  <c r="AB1490" i="17"/>
  <c r="S1490" i="17"/>
  <c r="J1490" i="17"/>
  <c r="AL1490" i="17"/>
  <c r="AA1490" i="17"/>
  <c r="P1490" i="17"/>
  <c r="U1490" i="17"/>
  <c r="AF1490" i="17"/>
  <c r="AR1490" i="17"/>
  <c r="AO1512" i="17"/>
  <c r="AN1512" i="17"/>
  <c r="AE1512" i="17"/>
  <c r="V1512" i="17"/>
  <c r="M1512" i="17"/>
  <c r="AL1512" i="17"/>
  <c r="AB1512" i="17"/>
  <c r="R1512" i="17"/>
  <c r="T1512" i="17"/>
  <c r="AF1512" i="17"/>
  <c r="AR1512" i="17"/>
  <c r="Y1519" i="17"/>
  <c r="R1519" i="17"/>
  <c r="AO1522" i="17"/>
  <c r="AQ1522" i="17"/>
  <c r="AH1522" i="17"/>
  <c r="X1522" i="17"/>
  <c r="O1522" i="17"/>
  <c r="AR1522" i="17"/>
  <c r="AF1522" i="17"/>
  <c r="V1522" i="17"/>
  <c r="L1522" i="17"/>
  <c r="T1522" i="17"/>
  <c r="AE1522" i="17"/>
  <c r="AF1523" i="17"/>
  <c r="AP1523" i="17"/>
  <c r="W1525" i="17"/>
  <c r="AP1525" i="17"/>
  <c r="O1525" i="17"/>
  <c r="AJ1525" i="17"/>
  <c r="AO1540" i="17"/>
  <c r="AP1540" i="17"/>
  <c r="AF1540" i="17"/>
  <c r="W1540" i="17"/>
  <c r="N1540" i="17"/>
  <c r="AQ1540" i="17"/>
  <c r="AE1540" i="17"/>
  <c r="U1540" i="17"/>
  <c r="K1540" i="17"/>
  <c r="T1540" i="17"/>
  <c r="AH1540" i="17"/>
  <c r="Y1541" i="17"/>
  <c r="AO1541" i="17"/>
  <c r="AO1542" i="17"/>
  <c r="AM1542" i="17"/>
  <c r="AD1542" i="17"/>
  <c r="U1542" i="17"/>
  <c r="L1542" i="17"/>
  <c r="AJ1542" i="17"/>
  <c r="Z1542" i="17"/>
  <c r="O1542" i="17"/>
  <c r="T1542" i="17"/>
  <c r="AF1542" i="17"/>
  <c r="AR1542" i="17"/>
  <c r="AH1557" i="17"/>
  <c r="K1557" i="17"/>
  <c r="AP1557" i="17"/>
  <c r="T1557" i="17"/>
  <c r="AI1557" i="17"/>
  <c r="Z1573" i="17"/>
  <c r="AO1573" i="17"/>
  <c r="AH1573" i="17"/>
  <c r="Y1579" i="17"/>
  <c r="AJ1579" i="17"/>
  <c r="AA1579" i="17"/>
  <c r="AO1584" i="17"/>
  <c r="AP1584" i="17"/>
  <c r="AF1584" i="17"/>
  <c r="W1584" i="17"/>
  <c r="N1584" i="17"/>
  <c r="AQ1584" i="17"/>
  <c r="AE1584" i="17"/>
  <c r="U1584" i="17"/>
  <c r="K1584" i="17"/>
  <c r="AN1584" i="17"/>
  <c r="AD1584" i="17"/>
  <c r="T1584" i="17"/>
  <c r="J1584" i="17"/>
  <c r="X1584" i="17"/>
  <c r="AK1584" i="17"/>
  <c r="AQ1617" i="17"/>
  <c r="Z1617" i="17"/>
  <c r="K1617" i="17"/>
  <c r="AP1617" i="17"/>
  <c r="X1617" i="17"/>
  <c r="AO1617" i="17"/>
  <c r="T1617" i="17"/>
  <c r="AF1617" i="17"/>
  <c r="AO1649" i="17"/>
  <c r="AK1649" i="17"/>
  <c r="AA1649" i="17"/>
  <c r="O1649" i="17"/>
  <c r="AP1649" i="17"/>
  <c r="AC1649" i="17"/>
  <c r="R1649" i="17"/>
  <c r="AR1649" i="17"/>
  <c r="AD1649" i="17"/>
  <c r="N1649" i="17"/>
  <c r="AJ1649" i="17"/>
  <c r="U1649" i="17"/>
  <c r="AI1649" i="17"/>
  <c r="T1649" i="17"/>
  <c r="Z1649" i="17"/>
  <c r="AN1664" i="17"/>
  <c r="AA1664" i="17"/>
  <c r="P1664" i="17"/>
  <c r="AG1664" i="17"/>
  <c r="R1664" i="17"/>
  <c r="AI1664" i="17"/>
  <c r="V1664" i="17"/>
  <c r="AM1664" i="17"/>
  <c r="W1664" i="17"/>
  <c r="AL1664" i="17"/>
  <c r="Q1664" i="17"/>
  <c r="AD1664" i="17"/>
  <c r="AO1667" i="17"/>
  <c r="AQ1667" i="17"/>
  <c r="AE1667" i="17"/>
  <c r="U1667" i="17"/>
  <c r="K1667" i="17"/>
  <c r="AK1667" i="17"/>
  <c r="Z1667" i="17"/>
  <c r="M1667" i="17"/>
  <c r="AL1667" i="17"/>
  <c r="W1667" i="17"/>
  <c r="J1667" i="17"/>
  <c r="AJ1667" i="17"/>
  <c r="T1667" i="17"/>
  <c r="AI1667" i="17"/>
  <c r="S1667" i="17"/>
  <c r="AC1667" i="17"/>
  <c r="AL1682" i="17"/>
  <c r="AO1682" i="17"/>
  <c r="S1682" i="17"/>
  <c r="AA1682" i="17"/>
  <c r="AI1682" i="17"/>
  <c r="O1682" i="17"/>
  <c r="Q1682" i="17"/>
  <c r="P1682" i="17"/>
  <c r="AP1692" i="17"/>
  <c r="R1692" i="17"/>
  <c r="AH1692" i="17"/>
  <c r="O1692" i="17"/>
  <c r="V1692" i="17"/>
  <c r="S1692" i="17"/>
  <c r="AN1710" i="17"/>
  <c r="S1710" i="17"/>
  <c r="AL1710" i="17"/>
  <c r="J1710" i="17"/>
  <c r="AI1710" i="17"/>
  <c r="Y1710" i="17"/>
  <c r="V1710" i="17"/>
  <c r="AO1711" i="17"/>
  <c r="AP1711" i="17"/>
  <c r="AF1711" i="17"/>
  <c r="W1711" i="17"/>
  <c r="N1711" i="17"/>
  <c r="AI1711" i="17"/>
  <c r="X1711" i="17"/>
  <c r="M1711" i="17"/>
  <c r="AL1711" i="17"/>
  <c r="AA1711" i="17"/>
  <c r="O1711" i="17"/>
  <c r="AM1711" i="17"/>
  <c r="Z1711" i="17"/>
  <c r="K1711" i="17"/>
  <c r="AK1711" i="17"/>
  <c r="V1711" i="17"/>
  <c r="J1711" i="17"/>
  <c r="AC1711" i="17"/>
  <c r="AF1718" i="17"/>
  <c r="AH1718" i="17"/>
  <c r="P1718" i="17"/>
  <c r="W1718" i="17"/>
  <c r="K1718" i="17"/>
  <c r="AP1729" i="17"/>
  <c r="AL1729" i="17"/>
  <c r="AB1729" i="17"/>
  <c r="P1729" i="17"/>
  <c r="AQ1729" i="17"/>
  <c r="AD1729" i="17"/>
  <c r="S1729" i="17"/>
  <c r="AR1729" i="17"/>
  <c r="AC1729" i="17"/>
  <c r="N1729" i="17"/>
  <c r="AE1729" i="17"/>
  <c r="M1729" i="17"/>
  <c r="AA1729" i="17"/>
  <c r="L1729" i="17"/>
  <c r="AF1729" i="17"/>
  <c r="AP1741" i="17"/>
  <c r="AM1741" i="17"/>
  <c r="AC1741" i="17"/>
  <c r="S1741" i="17"/>
  <c r="AL1741" i="17"/>
  <c r="AA1741" i="17"/>
  <c r="N1741" i="17"/>
  <c r="AE1741" i="17"/>
  <c r="P1741" i="17"/>
  <c r="AR1741" i="17"/>
  <c r="AB1741" i="17"/>
  <c r="L1741" i="17"/>
  <c r="AQ1741" i="17"/>
  <c r="X1741" i="17"/>
  <c r="K1741" i="17"/>
  <c r="AF1741" i="17"/>
  <c r="AN1776" i="17"/>
  <c r="AP1776" i="17"/>
  <c r="Z1776" i="17"/>
  <c r="L1776" i="17"/>
  <c r="AF1776" i="17"/>
  <c r="O1776" i="17"/>
  <c r="AM1776" i="17"/>
  <c r="W1776" i="17"/>
  <c r="AJ1776" i="17"/>
  <c r="Q1776" i="17"/>
  <c r="AI1776" i="17"/>
  <c r="P1776" i="17"/>
  <c r="AH1776" i="17"/>
  <c r="AH1788" i="17"/>
  <c r="AG1788" i="17"/>
  <c r="O1788" i="17"/>
  <c r="AF1788" i="17"/>
  <c r="K1788" i="17"/>
  <c r="AN1788" i="17"/>
  <c r="J1788" i="17"/>
  <c r="AR1788" i="17"/>
  <c r="S1788" i="17"/>
  <c r="AO1788" i="17"/>
  <c r="AE1788" i="17"/>
  <c r="AP1789" i="17"/>
  <c r="AR1789" i="17"/>
  <c r="AF1789" i="17"/>
  <c r="V1789" i="17"/>
  <c r="L1789" i="17"/>
  <c r="AK1789" i="17"/>
  <c r="X1789" i="17"/>
  <c r="M1789" i="17"/>
  <c r="AQ1789" i="17"/>
  <c r="AC1789" i="17"/>
  <c r="O1789" i="17"/>
  <c r="AM1789" i="17"/>
  <c r="W1789" i="17"/>
  <c r="AL1789" i="17"/>
  <c r="T1789" i="17"/>
  <c r="AJ1789" i="17"/>
  <c r="S1789" i="17"/>
  <c r="AE1789" i="17"/>
  <c r="AP1791" i="17"/>
  <c r="AJ1791" i="17"/>
  <c r="X1791" i="17"/>
  <c r="N1791" i="17"/>
  <c r="AI1791" i="17"/>
  <c r="V1791" i="17"/>
  <c r="K1791" i="17"/>
  <c r="AF1791" i="17"/>
  <c r="T1791" i="17"/>
  <c r="AL1791" i="17"/>
  <c r="U1791" i="17"/>
  <c r="AQ1791" i="17"/>
  <c r="AA1791" i="17"/>
  <c r="AN1791" i="17"/>
  <c r="W1791" i="17"/>
  <c r="AD1791" i="17"/>
  <c r="AN1874" i="17"/>
  <c r="AK1874" i="17"/>
  <c r="R1874" i="17"/>
  <c r="AC1874" i="17"/>
  <c r="AD1874" i="17"/>
  <c r="U1874" i="17"/>
  <c r="J1874" i="17"/>
  <c r="AI1874" i="17"/>
  <c r="AF1874" i="17"/>
  <c r="Z1962" i="17"/>
  <c r="AQ1962" i="17"/>
  <c r="N1962" i="17"/>
  <c r="AN1962" i="17"/>
  <c r="M1962" i="17"/>
  <c r="AG1962" i="17"/>
  <c r="Y1962" i="17"/>
  <c r="AK1962" i="17"/>
  <c r="X1962" i="17"/>
  <c r="AL1973" i="17"/>
  <c r="AB1973" i="17"/>
  <c r="Q1973" i="17"/>
  <c r="AK1973" i="17"/>
  <c r="Z1973" i="17"/>
  <c r="O1973" i="17"/>
  <c r="AO1973" i="17"/>
  <c r="Y1973" i="17"/>
  <c r="L1973" i="17"/>
  <c r="AM1973" i="17"/>
  <c r="W1973" i="17"/>
  <c r="K1973" i="17"/>
  <c r="AI1973" i="17"/>
  <c r="T1973" i="17"/>
  <c r="AH1973" i="17"/>
  <c r="S1973" i="17"/>
  <c r="AG1973" i="17"/>
  <c r="J1973" i="17"/>
  <c r="AD1973" i="17"/>
  <c r="N1973" i="17"/>
  <c r="AR1973" i="17"/>
  <c r="M1973" i="17"/>
  <c r="V1973" i="17"/>
  <c r="AE1973" i="17"/>
  <c r="AC1973" i="17"/>
  <c r="AB961" i="17"/>
  <c r="X964" i="17"/>
  <c r="AB999" i="17"/>
  <c r="U1006" i="17"/>
  <c r="AG1006" i="17"/>
  <c r="V1023" i="17"/>
  <c r="U1038" i="17"/>
  <c r="AG1038" i="17"/>
  <c r="T1044" i="17"/>
  <c r="AG1044" i="17"/>
  <c r="V1081" i="17"/>
  <c r="M1087" i="17"/>
  <c r="V1089" i="17"/>
  <c r="K1098" i="17"/>
  <c r="J1105" i="17"/>
  <c r="Y1105" i="17"/>
  <c r="AM1105" i="17"/>
  <c r="N1107" i="17"/>
  <c r="AL1107" i="17"/>
  <c r="AK1113" i="17"/>
  <c r="X1113" i="17"/>
  <c r="M1113" i="17"/>
  <c r="W1113" i="17"/>
  <c r="AL1113" i="17"/>
  <c r="AO1128" i="17"/>
  <c r="S1128" i="17"/>
  <c r="AC1128" i="17"/>
  <c r="J1133" i="17"/>
  <c r="AM1133" i="17"/>
  <c r="AQ1136" i="17"/>
  <c r="O1139" i="17"/>
  <c r="AQ1146" i="17"/>
  <c r="Y1146" i="17"/>
  <c r="AC1146" i="17"/>
  <c r="Q1147" i="17"/>
  <c r="J1151" i="17"/>
  <c r="AK1151" i="17"/>
  <c r="AN1153" i="17"/>
  <c r="AC1153" i="17"/>
  <c r="P1153" i="17"/>
  <c r="W1153" i="17"/>
  <c r="AK1153" i="17"/>
  <c r="V1157" i="17"/>
  <c r="K1160" i="17"/>
  <c r="AD1160" i="17"/>
  <c r="T1176" i="17"/>
  <c r="AP1178" i="17"/>
  <c r="T1178" i="17"/>
  <c r="AC1178" i="17"/>
  <c r="AI1184" i="17"/>
  <c r="V1184" i="17"/>
  <c r="K1184" i="17"/>
  <c r="U1184" i="17"/>
  <c r="AJ1184" i="17"/>
  <c r="AN1191" i="17"/>
  <c r="V1191" i="17"/>
  <c r="AC1191" i="17"/>
  <c r="AL1192" i="17"/>
  <c r="AA1192" i="17"/>
  <c r="N1192" i="17"/>
  <c r="U1192" i="17"/>
  <c r="AI1192" i="17"/>
  <c r="P1195" i="17"/>
  <c r="AO1196" i="17"/>
  <c r="J1205" i="17"/>
  <c r="Z1205" i="17"/>
  <c r="AP1205" i="17"/>
  <c r="Q1209" i="17"/>
  <c r="X1217" i="17"/>
  <c r="M1217" i="17"/>
  <c r="AP1217" i="17"/>
  <c r="J1223" i="17"/>
  <c r="AE1223" i="17"/>
  <c r="X1235" i="17"/>
  <c r="AP1235" i="17"/>
  <c r="P1235" i="17"/>
  <c r="AF1235" i="17"/>
  <c r="L1244" i="17"/>
  <c r="AF1245" i="17"/>
  <c r="R1245" i="17"/>
  <c r="AG1245" i="17"/>
  <c r="Q1245" i="17"/>
  <c r="X1245" i="17"/>
  <c r="AM1245" i="17"/>
  <c r="N1249" i="17"/>
  <c r="AO1249" i="17"/>
  <c r="J1256" i="17"/>
  <c r="Z1256" i="17"/>
  <c r="AQ1256" i="17"/>
  <c r="AL1261" i="17"/>
  <c r="Y1261" i="17"/>
  <c r="N1261" i="17"/>
  <c r="AP1261" i="17"/>
  <c r="AC1261" i="17"/>
  <c r="O1261" i="17"/>
  <c r="X1261" i="17"/>
  <c r="AN1261" i="17"/>
  <c r="J1268" i="17"/>
  <c r="AM1269" i="17"/>
  <c r="Z1269" i="17"/>
  <c r="O1269" i="17"/>
  <c r="AD1269" i="17"/>
  <c r="P1269" i="17"/>
  <c r="X1269" i="17"/>
  <c r="AN1269" i="17"/>
  <c r="J1271" i="17"/>
  <c r="AE1271" i="17"/>
  <c r="V1273" i="17"/>
  <c r="X1273" i="17"/>
  <c r="AN1273" i="17"/>
  <c r="L1278" i="17"/>
  <c r="O1283" i="17"/>
  <c r="AP1283" i="17"/>
  <c r="Y1286" i="17"/>
  <c r="T1286" i="17"/>
  <c r="AL1288" i="17"/>
  <c r="AA1288" i="17"/>
  <c r="N1288" i="17"/>
  <c r="AH1288" i="17"/>
  <c r="T1288" i="17"/>
  <c r="V1288" i="17"/>
  <c r="AK1288" i="17"/>
  <c r="AK1296" i="17"/>
  <c r="Z1296" i="17"/>
  <c r="M1296" i="17"/>
  <c r="AH1296" i="17"/>
  <c r="T1296" i="17"/>
  <c r="V1296" i="17"/>
  <c r="AL1296" i="17"/>
  <c r="AD1298" i="17"/>
  <c r="AC1298" i="17"/>
  <c r="M1301" i="17"/>
  <c r="Z1301" i="17"/>
  <c r="AJ1302" i="17"/>
  <c r="L1302" i="17"/>
  <c r="AH1302" i="17"/>
  <c r="AO1302" i="17"/>
  <c r="AJ1304" i="17"/>
  <c r="Y1304" i="17"/>
  <c r="L1304" i="17"/>
  <c r="AQ1304" i="17"/>
  <c r="AB1304" i="17"/>
  <c r="N1304" i="17"/>
  <c r="V1304" i="17"/>
  <c r="AL1304" i="17"/>
  <c r="AB1306" i="17"/>
  <c r="Q1306" i="17"/>
  <c r="J1306" i="17"/>
  <c r="L1310" i="17"/>
  <c r="AP1310" i="17"/>
  <c r="J1319" i="17"/>
  <c r="AE1319" i="17"/>
  <c r="J1325" i="17"/>
  <c r="Y1325" i="17"/>
  <c r="AN1325" i="17"/>
  <c r="W1329" i="17"/>
  <c r="AH1336" i="17"/>
  <c r="U1336" i="17"/>
  <c r="J1336" i="17"/>
  <c r="AI1336" i="17"/>
  <c r="T1336" i="17"/>
  <c r="Y1336" i="17"/>
  <c r="AL1336" i="17"/>
  <c r="AH1352" i="17"/>
  <c r="U1352" i="17"/>
  <c r="J1352" i="17"/>
  <c r="AK1352" i="17"/>
  <c r="Y1352" i="17"/>
  <c r="K1352" i="17"/>
  <c r="Z1352" i="17"/>
  <c r="AP1352" i="17"/>
  <c r="L1356" i="17"/>
  <c r="AE1358" i="17"/>
  <c r="AI1358" i="17"/>
  <c r="AP1360" i="17"/>
  <c r="AJ1360" i="17"/>
  <c r="X1360" i="17"/>
  <c r="N1360" i="17"/>
  <c r="AR1360" i="17"/>
  <c r="AE1360" i="17"/>
  <c r="T1360" i="17"/>
  <c r="V1360" i="17"/>
  <c r="AK1360" i="17"/>
  <c r="AI1367" i="17"/>
  <c r="AJ1367" i="17"/>
  <c r="AP1367" i="17"/>
  <c r="L1369" i="17"/>
  <c r="AE1369" i="17"/>
  <c r="J1373" i="17"/>
  <c r="AM1373" i="17"/>
  <c r="S1377" i="17"/>
  <c r="J1381" i="17"/>
  <c r="AA1381" i="17"/>
  <c r="AP1382" i="17"/>
  <c r="AJ1382" i="17"/>
  <c r="X1382" i="17"/>
  <c r="N1382" i="17"/>
  <c r="AI1382" i="17"/>
  <c r="V1382" i="17"/>
  <c r="K1382" i="17"/>
  <c r="W1382" i="17"/>
  <c r="AL1382" i="17"/>
  <c r="Z1389" i="17"/>
  <c r="T1389" i="17"/>
  <c r="AN1389" i="17"/>
  <c r="J1395" i="17"/>
  <c r="AF1395" i="17"/>
  <c r="J1403" i="17"/>
  <c r="AA1403" i="17"/>
  <c r="AQ1403" i="17"/>
  <c r="J1406" i="17"/>
  <c r="V1406" i="17"/>
  <c r="AI1406" i="17"/>
  <c r="AP1408" i="17"/>
  <c r="AM1408" i="17"/>
  <c r="AC1408" i="17"/>
  <c r="T1408" i="17"/>
  <c r="K1408" i="17"/>
  <c r="AL1408" i="17"/>
  <c r="AA1408" i="17"/>
  <c r="P1408" i="17"/>
  <c r="U1408" i="17"/>
  <c r="AF1408" i="17"/>
  <c r="J1409" i="17"/>
  <c r="Z1409" i="17"/>
  <c r="AP1410" i="17"/>
  <c r="AR1410" i="17"/>
  <c r="AH1410" i="17"/>
  <c r="X1410" i="17"/>
  <c r="O1410" i="17"/>
  <c r="AN1410" i="17"/>
  <c r="AD1410" i="17"/>
  <c r="T1410" i="17"/>
  <c r="J1410" i="17"/>
  <c r="U1410" i="17"/>
  <c r="AF1410" i="17"/>
  <c r="J1411" i="17"/>
  <c r="AF1411" i="17"/>
  <c r="AP1414" i="17"/>
  <c r="AR1414" i="17"/>
  <c r="AF1414" i="17"/>
  <c r="V1414" i="17"/>
  <c r="L1414" i="17"/>
  <c r="AE1414" i="17"/>
  <c r="T1414" i="17"/>
  <c r="W1414" i="17"/>
  <c r="AK1414" i="17"/>
  <c r="AP1436" i="17"/>
  <c r="AR1436" i="17"/>
  <c r="AF1436" i="17"/>
  <c r="V1436" i="17"/>
  <c r="L1436" i="17"/>
  <c r="AJ1436" i="17"/>
  <c r="W1436" i="17"/>
  <c r="K1436" i="17"/>
  <c r="X1436" i="17"/>
  <c r="AL1436" i="17"/>
  <c r="AP1444" i="17"/>
  <c r="AQ1444" i="17"/>
  <c r="AE1444" i="17"/>
  <c r="U1444" i="17"/>
  <c r="K1444" i="17"/>
  <c r="AN1444" i="17"/>
  <c r="AC1444" i="17"/>
  <c r="P1444" i="17"/>
  <c r="V1444" i="17"/>
  <c r="AJ1444" i="17"/>
  <c r="AE1451" i="17"/>
  <c r="K1451" i="17"/>
  <c r="AP1451" i="17"/>
  <c r="S1451" i="17"/>
  <c r="AG1451" i="17"/>
  <c r="J1456" i="17"/>
  <c r="U1456" i="17"/>
  <c r="AI1456" i="17"/>
  <c r="K1462" i="17"/>
  <c r="W1462" i="17"/>
  <c r="AL1462" i="17"/>
  <c r="AP1466" i="17"/>
  <c r="AM1466" i="17"/>
  <c r="AC1466" i="17"/>
  <c r="S1466" i="17"/>
  <c r="AL1466" i="17"/>
  <c r="AA1466" i="17"/>
  <c r="N1466" i="17"/>
  <c r="V1466" i="17"/>
  <c r="AJ1466" i="17"/>
  <c r="P1471" i="17"/>
  <c r="K1481" i="17"/>
  <c r="AA1481" i="17"/>
  <c r="AQ1481" i="17"/>
  <c r="K1490" i="17"/>
  <c r="V1490" i="17"/>
  <c r="AH1490" i="17"/>
  <c r="AE1491" i="17"/>
  <c r="AI1491" i="17"/>
  <c r="AO1500" i="17"/>
  <c r="AQ1500" i="17"/>
  <c r="AH1500" i="17"/>
  <c r="X1500" i="17"/>
  <c r="O1500" i="17"/>
  <c r="AI1500" i="17"/>
  <c r="W1500" i="17"/>
  <c r="M1500" i="17"/>
  <c r="T1500" i="17"/>
  <c r="AE1500" i="17"/>
  <c r="AR1500" i="17"/>
  <c r="AO1504" i="17"/>
  <c r="AN1504" i="17"/>
  <c r="AE1504" i="17"/>
  <c r="V1504" i="17"/>
  <c r="M1504" i="17"/>
  <c r="AI1504" i="17"/>
  <c r="X1504" i="17"/>
  <c r="N1504" i="17"/>
  <c r="T1504" i="17"/>
  <c r="AF1504" i="17"/>
  <c r="AR1504" i="17"/>
  <c r="J1512" i="17"/>
  <c r="U1512" i="17"/>
  <c r="AH1512" i="17"/>
  <c r="S1519" i="17"/>
  <c r="AQ1521" i="17"/>
  <c r="Z1521" i="17"/>
  <c r="K1521" i="17"/>
  <c r="AH1521" i="17"/>
  <c r="P1521" i="17"/>
  <c r="AE1521" i="17"/>
  <c r="J1522" i="17"/>
  <c r="U1522" i="17"/>
  <c r="AI1522" i="17"/>
  <c r="Q1523" i="17"/>
  <c r="K1525" i="17"/>
  <c r="AO1525" i="17"/>
  <c r="AO1532" i="17"/>
  <c r="AK1532" i="17"/>
  <c r="AB1532" i="17"/>
  <c r="S1532" i="17"/>
  <c r="J1532" i="17"/>
  <c r="AI1532" i="17"/>
  <c r="X1532" i="17"/>
  <c r="N1532" i="17"/>
  <c r="U1532" i="17"/>
  <c r="AF1532" i="17"/>
  <c r="AR1532" i="17"/>
  <c r="J1540" i="17"/>
  <c r="V1540" i="17"/>
  <c r="AI1540" i="17"/>
  <c r="K1541" i="17"/>
  <c r="J1542" i="17"/>
  <c r="V1542" i="17"/>
  <c r="AH1542" i="17"/>
  <c r="AE1543" i="17"/>
  <c r="P1543" i="17"/>
  <c r="AB1543" i="17"/>
  <c r="J1543" i="17"/>
  <c r="AF1543" i="17"/>
  <c r="AO1548" i="17"/>
  <c r="AN1548" i="17"/>
  <c r="AE1548" i="17"/>
  <c r="V1548" i="17"/>
  <c r="M1548" i="17"/>
  <c r="AK1548" i="17"/>
  <c r="AA1548" i="17"/>
  <c r="P1548" i="17"/>
  <c r="T1548" i="17"/>
  <c r="AF1548" i="17"/>
  <c r="AR1548" i="17"/>
  <c r="J1557" i="17"/>
  <c r="AJ1557" i="17"/>
  <c r="O1563" i="17"/>
  <c r="AP1563" i="17"/>
  <c r="Y1573" i="17"/>
  <c r="AF1575" i="17"/>
  <c r="Q1575" i="17"/>
  <c r="AI1575" i="17"/>
  <c r="P1575" i="17"/>
  <c r="AE1575" i="17"/>
  <c r="O1575" i="17"/>
  <c r="AJ1575" i="17"/>
  <c r="S1577" i="17"/>
  <c r="AO1577" i="17"/>
  <c r="T1579" i="17"/>
  <c r="L1584" i="17"/>
  <c r="Z1584" i="17"/>
  <c r="AL1584" i="17"/>
  <c r="J1617" i="17"/>
  <c r="AG1617" i="17"/>
  <c r="AL1620" i="17"/>
  <c r="S1620" i="17"/>
  <c r="AO1620" i="17"/>
  <c r="V1620" i="17"/>
  <c r="AN1620" i="17"/>
  <c r="Q1620" i="17"/>
  <c r="AI1620" i="17"/>
  <c r="P1620" i="17"/>
  <c r="AF1620" i="17"/>
  <c r="J1649" i="17"/>
  <c r="AB1649" i="17"/>
  <c r="J1664" i="17"/>
  <c r="AF1664" i="17"/>
  <c r="L1667" i="17"/>
  <c r="AD1667" i="17"/>
  <c r="AO1681" i="17"/>
  <c r="AQ1681" i="17"/>
  <c r="AE1681" i="17"/>
  <c r="U1681" i="17"/>
  <c r="K1681" i="17"/>
  <c r="AR1681" i="17"/>
  <c r="AD1681" i="17"/>
  <c r="S1681" i="17"/>
  <c r="AI1681" i="17"/>
  <c r="T1681" i="17"/>
  <c r="AJ1681" i="17"/>
  <c r="R1681" i="17"/>
  <c r="AH1681" i="17"/>
  <c r="O1681" i="17"/>
  <c r="AA1681" i="17"/>
  <c r="N1682" i="17"/>
  <c r="W1692" i="17"/>
  <c r="O1710" i="17"/>
  <c r="L1711" i="17"/>
  <c r="AD1711" i="17"/>
  <c r="J1718" i="17"/>
  <c r="K1729" i="17"/>
  <c r="AI1729" i="17"/>
  <c r="M1741" i="17"/>
  <c r="AI1741" i="17"/>
  <c r="AP1759" i="17"/>
  <c r="AK1759" i="17"/>
  <c r="AA1759" i="17"/>
  <c r="O1759" i="17"/>
  <c r="AL1759" i="17"/>
  <c r="X1759" i="17"/>
  <c r="M1759" i="17"/>
  <c r="AJ1759" i="17"/>
  <c r="V1759" i="17"/>
  <c r="J1759" i="17"/>
  <c r="AR1759" i="17"/>
  <c r="AC1759" i="17"/>
  <c r="L1759" i="17"/>
  <c r="AQ1759" i="17"/>
  <c r="AB1759" i="17"/>
  <c r="K1759" i="17"/>
  <c r="AE1759" i="17"/>
  <c r="J1776" i="17"/>
  <c r="AQ1776" i="17"/>
  <c r="AJ1782" i="17"/>
  <c r="AI1782" i="17"/>
  <c r="Q1782" i="17"/>
  <c r="Z1782" i="17"/>
  <c r="AB1782" i="17"/>
  <c r="AA1782" i="17"/>
  <c r="S1782" i="17"/>
  <c r="AO1782" i="17"/>
  <c r="L1788" i="17"/>
  <c r="K1789" i="17"/>
  <c r="AI1789" i="17"/>
  <c r="L1791" i="17"/>
  <c r="AE1791" i="17"/>
  <c r="AP1799" i="17"/>
  <c r="AM1799" i="17"/>
  <c r="AC1799" i="17"/>
  <c r="S1799" i="17"/>
  <c r="AQ1799" i="17"/>
  <c r="AD1799" i="17"/>
  <c r="P1799" i="17"/>
  <c r="AE1799" i="17"/>
  <c r="O1799" i="17"/>
  <c r="AR1799" i="17"/>
  <c r="AB1799" i="17"/>
  <c r="N1799" i="17"/>
  <c r="AK1799" i="17"/>
  <c r="U1799" i="17"/>
  <c r="AL1799" i="17"/>
  <c r="T1799" i="17"/>
  <c r="AJ1799" i="17"/>
  <c r="M1799" i="17"/>
  <c r="AI1799" i="17"/>
  <c r="AP1811" i="17"/>
  <c r="AK1811" i="17"/>
  <c r="AA1811" i="17"/>
  <c r="O1811" i="17"/>
  <c r="AR1811" i="17"/>
  <c r="AE1811" i="17"/>
  <c r="T1811" i="17"/>
  <c r="AN1811" i="17"/>
  <c r="AB1811" i="17"/>
  <c r="M1811" i="17"/>
  <c r="AM1811" i="17"/>
  <c r="X1811" i="17"/>
  <c r="L1811" i="17"/>
  <c r="AI1811" i="17"/>
  <c r="P1811" i="17"/>
  <c r="AJ1811" i="17"/>
  <c r="N1811" i="17"/>
  <c r="AF1811" i="17"/>
  <c r="K1811" i="17"/>
  <c r="AQ1811" i="17"/>
  <c r="AN1831" i="17"/>
  <c r="AA1831" i="17"/>
  <c r="O1831" i="17"/>
  <c r="AO1831" i="17"/>
  <c r="X1831" i="17"/>
  <c r="M1831" i="17"/>
  <c r="AF1831" i="17"/>
  <c r="S1831" i="17"/>
  <c r="AE1831" i="17"/>
  <c r="P1831" i="17"/>
  <c r="AM1831" i="17"/>
  <c r="T1831" i="17"/>
  <c r="AQ1831" i="17"/>
  <c r="U1831" i="17"/>
  <c r="AP1831" i="17"/>
  <c r="N1831" i="17"/>
  <c r="AJ1831" i="17"/>
  <c r="AN1845" i="17"/>
  <c r="Y1845" i="17"/>
  <c r="AP1860" i="17"/>
  <c r="AQ1860" i="17"/>
  <c r="AE1860" i="17"/>
  <c r="U1860" i="17"/>
  <c r="K1860" i="17"/>
  <c r="AM1860" i="17"/>
  <c r="AB1860" i="17"/>
  <c r="O1860" i="17"/>
  <c r="AF1860" i="17"/>
  <c r="S1860" i="17"/>
  <c r="AD1860" i="17"/>
  <c r="P1860" i="17"/>
  <c r="AC1860" i="17"/>
  <c r="L1860" i="17"/>
  <c r="X1860" i="17"/>
  <c r="AR1860" i="17"/>
  <c r="W1860" i="17"/>
  <c r="AK1860" i="17"/>
  <c r="AP1864" i="17"/>
  <c r="AJ1864" i="17"/>
  <c r="Z1864" i="17"/>
  <c r="P1864" i="17"/>
  <c r="AK1864" i="17"/>
  <c r="X1864" i="17"/>
  <c r="N1864" i="17"/>
  <c r="AR1864" i="17"/>
  <c r="AD1864" i="17"/>
  <c r="S1864" i="17"/>
  <c r="AQ1864" i="17"/>
  <c r="AC1864" i="17"/>
  <c r="R1864" i="17"/>
  <c r="AA1864" i="17"/>
  <c r="K1864" i="17"/>
  <c r="AF1864" i="17"/>
  <c r="M1864" i="17"/>
  <c r="AE1864" i="17"/>
  <c r="L1864" i="17"/>
  <c r="AI1864" i="17"/>
  <c r="K1874" i="17"/>
  <c r="AG1941" i="17"/>
  <c r="R1941" i="17"/>
  <c r="AH1941" i="17"/>
  <c r="O1941" i="17"/>
  <c r="AF1941" i="17"/>
  <c r="L1941" i="17"/>
  <c r="AR1941" i="17"/>
  <c r="X1941" i="17"/>
  <c r="AQ1941" i="17"/>
  <c r="S1941" i="17"/>
  <c r="Y1941" i="17"/>
  <c r="T1941" i="17"/>
  <c r="J1941" i="17"/>
  <c r="AE1941" i="17"/>
  <c r="AB1941" i="17"/>
  <c r="O1962" i="17"/>
  <c r="U1973" i="17"/>
  <c r="AI1978" i="17"/>
  <c r="V1978" i="17"/>
  <c r="AG1978" i="17"/>
  <c r="R1978" i="17"/>
  <c r="AF1978" i="17"/>
  <c r="O1978" i="17"/>
  <c r="AE1978" i="17"/>
  <c r="N1978" i="17"/>
  <c r="AO1978" i="17"/>
  <c r="P1978" i="17"/>
  <c r="AN1978" i="17"/>
  <c r="M1978" i="17"/>
  <c r="Z1978" i="17"/>
  <c r="AP1978" i="17"/>
  <c r="AK1978" i="17"/>
  <c r="AA1978" i="17"/>
  <c r="Y1978" i="17"/>
  <c r="AO1562" i="17"/>
  <c r="AL1562" i="17"/>
  <c r="AC1562" i="17"/>
  <c r="T1562" i="17"/>
  <c r="K1562" i="17"/>
  <c r="S1562" i="17"/>
  <c r="AD1562" i="17"/>
  <c r="AN1562" i="17"/>
  <c r="AO1568" i="17"/>
  <c r="AN1568" i="17"/>
  <c r="AE1568" i="17"/>
  <c r="V1568" i="17"/>
  <c r="M1568" i="17"/>
  <c r="S1568" i="17"/>
  <c r="AC1568" i="17"/>
  <c r="AM1568" i="17"/>
  <c r="AO1592" i="17"/>
  <c r="AR1592" i="17"/>
  <c r="AI1592" i="17"/>
  <c r="Z1592" i="17"/>
  <c r="P1592" i="17"/>
  <c r="S1592" i="17"/>
  <c r="AC1592" i="17"/>
  <c r="AM1592" i="17"/>
  <c r="AO1600" i="17"/>
  <c r="AP1600" i="17"/>
  <c r="AF1600" i="17"/>
  <c r="W1600" i="17"/>
  <c r="N1600" i="17"/>
  <c r="S1600" i="17"/>
  <c r="AC1600" i="17"/>
  <c r="AM1600" i="17"/>
  <c r="AO1612" i="17"/>
  <c r="AR1612" i="17"/>
  <c r="AI1612" i="17"/>
  <c r="Z1612" i="17"/>
  <c r="P1612" i="17"/>
  <c r="S1612" i="17"/>
  <c r="AC1612" i="17"/>
  <c r="AM1612" i="17"/>
  <c r="AH1624" i="17"/>
  <c r="AD1624" i="17"/>
  <c r="J1624" i="17"/>
  <c r="AN1624" i="17"/>
  <c r="Q1624" i="17"/>
  <c r="AF1624" i="17"/>
  <c r="AI1632" i="17"/>
  <c r="X1632" i="17"/>
  <c r="K1632" i="17"/>
  <c r="AH1632" i="17"/>
  <c r="V1632" i="17"/>
  <c r="Y1632" i="17"/>
  <c r="AN1632" i="17"/>
  <c r="AL1634" i="17"/>
  <c r="AO1634" i="17"/>
  <c r="S1634" i="17"/>
  <c r="AH1634" i="17"/>
  <c r="O1634" i="17"/>
  <c r="AE1634" i="17"/>
  <c r="AO1647" i="17"/>
  <c r="AQ1647" i="17"/>
  <c r="AE1647" i="17"/>
  <c r="U1647" i="17"/>
  <c r="K1647" i="17"/>
  <c r="AK1647" i="17"/>
  <c r="Z1647" i="17"/>
  <c r="M1647" i="17"/>
  <c r="AR1647" i="17"/>
  <c r="AC1647" i="17"/>
  <c r="O1647" i="17"/>
  <c r="W1647" i="17"/>
  <c r="AM1647" i="17"/>
  <c r="AO1655" i="17"/>
  <c r="AK1655" i="17"/>
  <c r="AA1655" i="17"/>
  <c r="O1655" i="17"/>
  <c r="AQ1655" i="17"/>
  <c r="AD1655" i="17"/>
  <c r="S1655" i="17"/>
  <c r="AL1655" i="17"/>
  <c r="W1655" i="17"/>
  <c r="K1655" i="17"/>
  <c r="V1655" i="17"/>
  <c r="AM1655" i="17"/>
  <c r="AO1679" i="17"/>
  <c r="AK1679" i="17"/>
  <c r="AA1679" i="17"/>
  <c r="O1679" i="17"/>
  <c r="AM1679" i="17"/>
  <c r="AB1679" i="17"/>
  <c r="N1679" i="17"/>
  <c r="AH1679" i="17"/>
  <c r="T1679" i="17"/>
  <c r="V1679" i="17"/>
  <c r="AL1679" i="17"/>
  <c r="AO1683" i="17"/>
  <c r="AL1683" i="17"/>
  <c r="AB1683" i="17"/>
  <c r="R1683" i="17"/>
  <c r="AI1683" i="17"/>
  <c r="V1683" i="17"/>
  <c r="K1683" i="17"/>
  <c r="AE1683" i="17"/>
  <c r="S1683" i="17"/>
  <c r="W1683" i="17"/>
  <c r="AM1683" i="17"/>
  <c r="AM1704" i="17"/>
  <c r="P1704" i="17"/>
  <c r="Z1704" i="17"/>
  <c r="AD1704" i="17"/>
  <c r="AN1704" i="17"/>
  <c r="AM1706" i="17"/>
  <c r="Z1706" i="17"/>
  <c r="O1706" i="17"/>
  <c r="AF1706" i="17"/>
  <c r="Q1706" i="17"/>
  <c r="AQ1706" i="17"/>
  <c r="AA1706" i="17"/>
  <c r="K1706" i="17"/>
  <c r="Y1706" i="17"/>
  <c r="AP1723" i="17"/>
  <c r="AI1723" i="17"/>
  <c r="W1723" i="17"/>
  <c r="M1723" i="17"/>
  <c r="AQ1723" i="17"/>
  <c r="AD1723" i="17"/>
  <c r="S1723" i="17"/>
  <c r="AM1723" i="17"/>
  <c r="AA1723" i="17"/>
  <c r="L1723" i="17"/>
  <c r="X1723" i="17"/>
  <c r="AN1723" i="17"/>
  <c r="T1730" i="17"/>
  <c r="AN1730" i="17"/>
  <c r="AN1758" i="17"/>
  <c r="AQ1758" i="17"/>
  <c r="AA1758" i="17"/>
  <c r="O1758" i="17"/>
  <c r="AJ1758" i="17"/>
  <c r="W1758" i="17"/>
  <c r="AF1758" i="17"/>
  <c r="K1758" i="17"/>
  <c r="Z1758" i="17"/>
  <c r="AP1766" i="17"/>
  <c r="Y1766" i="17"/>
  <c r="AB1766" i="17"/>
  <c r="AM1766" i="17"/>
  <c r="J1766" i="17"/>
  <c r="AN1766" i="17"/>
  <c r="L1772" i="17"/>
  <c r="K1772" i="17"/>
  <c r="AQ1772" i="17"/>
  <c r="AI1820" i="17"/>
  <c r="T1820" i="17"/>
  <c r="AH1820" i="17"/>
  <c r="Y1820" i="17"/>
  <c r="AR1857" i="17"/>
  <c r="AB1857" i="17"/>
  <c r="P1857" i="17"/>
  <c r="AQ1857" i="17"/>
  <c r="Z1857" i="17"/>
  <c r="K1857" i="17"/>
  <c r="AJ1857" i="17"/>
  <c r="R1857" i="17"/>
  <c r="AI1857" i="17"/>
  <c r="Q1857" i="17"/>
  <c r="AG1857" i="17"/>
  <c r="AM1857" i="17"/>
  <c r="U1888" i="17"/>
  <c r="Z1888" i="17"/>
  <c r="M1888" i="17"/>
  <c r="K1888" i="17"/>
  <c r="Y1888" i="17"/>
  <c r="AI1894" i="17"/>
  <c r="AL1894" i="17"/>
  <c r="X1894" i="17"/>
  <c r="M1894" i="17"/>
  <c r="AM1894" i="17"/>
  <c r="W1894" i="17"/>
  <c r="J1894" i="17"/>
  <c r="AN1894" i="17"/>
  <c r="V1894" i="17"/>
  <c r="AE1894" i="17"/>
  <c r="N1894" i="17"/>
  <c r="AD1894" i="17"/>
  <c r="K1894" i="17"/>
  <c r="AH1894" i="17"/>
  <c r="O1894" i="17"/>
  <c r="AO1894" i="17"/>
  <c r="X1896" i="17"/>
  <c r="AL1896" i="17"/>
  <c r="Q1896" i="17"/>
  <c r="AE1896" i="17"/>
  <c r="AH1896" i="17"/>
  <c r="AD1896" i="17"/>
  <c r="AO1896" i="17"/>
  <c r="AO1915" i="17"/>
  <c r="AK1915" i="17"/>
  <c r="AA1915" i="17"/>
  <c r="O1915" i="17"/>
  <c r="AQ1915" i="17"/>
  <c r="AD1915" i="17"/>
  <c r="S1915" i="17"/>
  <c r="AL1915" i="17"/>
  <c r="W1915" i="17"/>
  <c r="K1915" i="17"/>
  <c r="AR1915" i="17"/>
  <c r="AB1915" i="17"/>
  <c r="L1915" i="17"/>
  <c r="AH1915" i="17"/>
  <c r="N1915" i="17"/>
  <c r="AE1915" i="17"/>
  <c r="M1915" i="17"/>
  <c r="AM1915" i="17"/>
  <c r="R1915" i="17"/>
  <c r="AJ1915" i="17"/>
  <c r="AQ1937" i="17"/>
  <c r="AM1937" i="17"/>
  <c r="AP1937" i="17"/>
  <c r="AF1937" i="17"/>
  <c r="AA1949" i="17"/>
  <c r="X1949" i="17"/>
  <c r="R1949" i="17"/>
  <c r="O1949" i="17"/>
  <c r="AM1949" i="17"/>
  <c r="AJ1949" i="17"/>
  <c r="AH1949" i="17"/>
  <c r="AN1949" i="17"/>
  <c r="AD1207" i="17"/>
  <c r="O1207" i="17"/>
  <c r="AC1207" i="17"/>
  <c r="AK1213" i="17"/>
  <c r="X1213" i="17"/>
  <c r="M1213" i="17"/>
  <c r="W1213" i="17"/>
  <c r="AL1213" i="17"/>
  <c r="AP1216" i="17"/>
  <c r="AB1216" i="17"/>
  <c r="Q1216" i="17"/>
  <c r="U1216" i="17"/>
  <c r="AI1216" i="17"/>
  <c r="AL1232" i="17"/>
  <c r="AA1232" i="17"/>
  <c r="N1232" i="17"/>
  <c r="U1232" i="17"/>
  <c r="AI1232" i="17"/>
  <c r="AH1280" i="17"/>
  <c r="U1280" i="17"/>
  <c r="J1280" i="17"/>
  <c r="V1280" i="17"/>
  <c r="AJ1280" i="17"/>
  <c r="AM1311" i="17"/>
  <c r="R1311" i="17"/>
  <c r="AK1311" i="17"/>
  <c r="AK1347" i="17"/>
  <c r="AP1390" i="17"/>
  <c r="AQ1390" i="17"/>
  <c r="AE1390" i="17"/>
  <c r="U1390" i="17"/>
  <c r="K1390" i="17"/>
  <c r="V1390" i="17"/>
  <c r="AI1390" i="17"/>
  <c r="AP1424" i="17"/>
  <c r="AM1424" i="17"/>
  <c r="AC1424" i="17"/>
  <c r="S1424" i="17"/>
  <c r="U1424" i="17"/>
  <c r="AF1424" i="17"/>
  <c r="AO1450" i="17"/>
  <c r="AK1450" i="17"/>
  <c r="AB1450" i="17"/>
  <c r="S1450" i="17"/>
  <c r="J1450" i="17"/>
  <c r="T1450" i="17"/>
  <c r="AD1450" i="17"/>
  <c r="AN1450" i="17"/>
  <c r="AI1459" i="17"/>
  <c r="AP1474" i="17"/>
  <c r="AI1474" i="17"/>
  <c r="W1474" i="17"/>
  <c r="M1474" i="17"/>
  <c r="U1474" i="17"/>
  <c r="AF1474" i="17"/>
  <c r="AP1484" i="17"/>
  <c r="AL1484" i="17"/>
  <c r="AC1484" i="17"/>
  <c r="T1484" i="17"/>
  <c r="K1484" i="17"/>
  <c r="S1484" i="17"/>
  <c r="AD1484" i="17"/>
  <c r="AN1484" i="17"/>
  <c r="AG1489" i="17"/>
  <c r="P1489" i="17"/>
  <c r="Y1489" i="17"/>
  <c r="AQ1489" i="17"/>
  <c r="AI1501" i="17"/>
  <c r="AF1505" i="17"/>
  <c r="O1505" i="17"/>
  <c r="Y1505" i="17"/>
  <c r="AQ1505" i="17"/>
  <c r="AO1508" i="17"/>
  <c r="AR1508" i="17"/>
  <c r="AI1508" i="17"/>
  <c r="Z1508" i="17"/>
  <c r="P1508" i="17"/>
  <c r="S1508" i="17"/>
  <c r="AC1508" i="17"/>
  <c r="AM1508" i="17"/>
  <c r="AO1514" i="17"/>
  <c r="AK1514" i="17"/>
  <c r="AB1514" i="17"/>
  <c r="S1514" i="17"/>
  <c r="J1514" i="17"/>
  <c r="T1514" i="17"/>
  <c r="AD1514" i="17"/>
  <c r="AN1514" i="17"/>
  <c r="AO1520" i="17"/>
  <c r="AL1520" i="17"/>
  <c r="AC1520" i="17"/>
  <c r="T1520" i="17"/>
  <c r="K1520" i="17"/>
  <c r="S1520" i="17"/>
  <c r="AD1520" i="17"/>
  <c r="AN1520" i="17"/>
  <c r="AQ1537" i="17"/>
  <c r="Z1537" i="17"/>
  <c r="K1537" i="17"/>
  <c r="Y1537" i="17"/>
  <c r="AR1537" i="17"/>
  <c r="AO1556" i="17"/>
  <c r="AL1556" i="17"/>
  <c r="AC1556" i="17"/>
  <c r="T1556" i="17"/>
  <c r="K1556" i="17"/>
  <c r="S1556" i="17"/>
  <c r="AD1556" i="17"/>
  <c r="AN1556" i="17"/>
  <c r="J1562" i="17"/>
  <c r="U1562" i="17"/>
  <c r="AE1562" i="17"/>
  <c r="AP1562" i="17"/>
  <c r="AO1564" i="17"/>
  <c r="AN1564" i="17"/>
  <c r="AE1564" i="17"/>
  <c r="V1564" i="17"/>
  <c r="M1564" i="17"/>
  <c r="S1564" i="17"/>
  <c r="AC1564" i="17"/>
  <c r="AM1564" i="17"/>
  <c r="J1568" i="17"/>
  <c r="T1568" i="17"/>
  <c r="AD1568" i="17"/>
  <c r="AP1568" i="17"/>
  <c r="AO1572" i="17"/>
  <c r="AL1572" i="17"/>
  <c r="AC1572" i="17"/>
  <c r="T1572" i="17"/>
  <c r="K1572" i="17"/>
  <c r="S1572" i="17"/>
  <c r="AD1572" i="17"/>
  <c r="AN1572" i="17"/>
  <c r="AO1578" i="17"/>
  <c r="AL1578" i="17"/>
  <c r="AC1578" i="17"/>
  <c r="T1578" i="17"/>
  <c r="K1578" i="17"/>
  <c r="S1578" i="17"/>
  <c r="AD1578" i="17"/>
  <c r="AN1578" i="17"/>
  <c r="AP1591" i="17"/>
  <c r="AA1591" i="17"/>
  <c r="J1591" i="17"/>
  <c r="AB1591" i="17"/>
  <c r="J1592" i="17"/>
  <c r="T1592" i="17"/>
  <c r="AD1592" i="17"/>
  <c r="AN1592" i="17"/>
  <c r="J1600" i="17"/>
  <c r="T1600" i="17"/>
  <c r="AD1600" i="17"/>
  <c r="AN1600" i="17"/>
  <c r="AO1606" i="17"/>
  <c r="AQ1606" i="17"/>
  <c r="AH1606" i="17"/>
  <c r="X1606" i="17"/>
  <c r="O1606" i="17"/>
  <c r="S1606" i="17"/>
  <c r="AC1606" i="17"/>
  <c r="AM1606" i="17"/>
  <c r="J1612" i="17"/>
  <c r="T1612" i="17"/>
  <c r="AD1612" i="17"/>
  <c r="AN1612" i="17"/>
  <c r="K1624" i="17"/>
  <c r="AG1624" i="17"/>
  <c r="J1632" i="17"/>
  <c r="Z1632" i="17"/>
  <c r="AP1632" i="17"/>
  <c r="N1634" i="17"/>
  <c r="AI1634" i="17"/>
  <c r="AO1641" i="17"/>
  <c r="AJ1641" i="17"/>
  <c r="Z1641" i="17"/>
  <c r="N1641" i="17"/>
  <c r="AI1641" i="17"/>
  <c r="V1641" i="17"/>
  <c r="K1641" i="17"/>
  <c r="AP1641" i="17"/>
  <c r="AB1641" i="17"/>
  <c r="M1641" i="17"/>
  <c r="W1641" i="17"/>
  <c r="AM1641" i="17"/>
  <c r="AN1646" i="17"/>
  <c r="AH1646" i="17"/>
  <c r="V1646" i="17"/>
  <c r="AI1646" i="17"/>
  <c r="Q1646" i="17"/>
  <c r="AL1646" i="17"/>
  <c r="P1646" i="17"/>
  <c r="Z1646" i="17"/>
  <c r="J1647" i="17"/>
  <c r="AA1647" i="17"/>
  <c r="AP1647" i="17"/>
  <c r="J1655" i="17"/>
  <c r="Z1655" i="17"/>
  <c r="AP1655" i="17"/>
  <c r="AO1663" i="17"/>
  <c r="AP1663" i="17"/>
  <c r="AD1663" i="17"/>
  <c r="T1663" i="17"/>
  <c r="J1663" i="17"/>
  <c r="AQ1663" i="17"/>
  <c r="AC1663" i="17"/>
  <c r="R1663" i="17"/>
  <c r="AM1663" i="17"/>
  <c r="AA1663" i="17"/>
  <c r="M1663" i="17"/>
  <c r="W1663" i="17"/>
  <c r="AL1663" i="17"/>
  <c r="AO1669" i="17"/>
  <c r="AI1669" i="17"/>
  <c r="W1669" i="17"/>
  <c r="M1669" i="17"/>
  <c r="AK1669" i="17"/>
  <c r="Z1669" i="17"/>
  <c r="L1669" i="17"/>
  <c r="AE1669" i="17"/>
  <c r="S1669" i="17"/>
  <c r="V1669" i="17"/>
  <c r="AM1669" i="17"/>
  <c r="J1679" i="17"/>
  <c r="W1679" i="17"/>
  <c r="AP1679" i="17"/>
  <c r="J1683" i="17"/>
  <c r="Z1683" i="17"/>
  <c r="AP1683" i="17"/>
  <c r="AO1685" i="17"/>
  <c r="AP1685" i="17"/>
  <c r="AD1685" i="17"/>
  <c r="T1685" i="17"/>
  <c r="J1685" i="17"/>
  <c r="AI1685" i="17"/>
  <c r="V1685" i="17"/>
  <c r="K1685" i="17"/>
  <c r="AM1685" i="17"/>
  <c r="AA1685" i="17"/>
  <c r="M1685" i="17"/>
  <c r="Z1685" i="17"/>
  <c r="AQ1685" i="17"/>
  <c r="AO1689" i="17"/>
  <c r="AL1689" i="17"/>
  <c r="AC1689" i="17"/>
  <c r="T1689" i="17"/>
  <c r="K1689" i="17"/>
  <c r="AI1689" i="17"/>
  <c r="X1689" i="17"/>
  <c r="N1689" i="17"/>
  <c r="AN1689" i="17"/>
  <c r="AB1689" i="17"/>
  <c r="P1689" i="17"/>
  <c r="V1689" i="17"/>
  <c r="AJ1689" i="17"/>
  <c r="J1704" i="17"/>
  <c r="AO1704" i="17"/>
  <c r="J1706" i="17"/>
  <c r="AD1706" i="17"/>
  <c r="AE1708" i="17"/>
  <c r="AF1708" i="17"/>
  <c r="AO1717" i="17"/>
  <c r="AP1717" i="17"/>
  <c r="AF1717" i="17"/>
  <c r="W1717" i="17"/>
  <c r="N1717" i="17"/>
  <c r="AQ1717" i="17"/>
  <c r="AE1717" i="17"/>
  <c r="U1717" i="17"/>
  <c r="K1717" i="17"/>
  <c r="AK1717" i="17"/>
  <c r="Z1717" i="17"/>
  <c r="M1717" i="17"/>
  <c r="V1717" i="17"/>
  <c r="AJ1717" i="17"/>
  <c r="K1723" i="17"/>
  <c r="AB1723" i="17"/>
  <c r="AR1723" i="17"/>
  <c r="R1730" i="17"/>
  <c r="AP1749" i="17"/>
  <c r="AI1749" i="17"/>
  <c r="W1749" i="17"/>
  <c r="M1749" i="17"/>
  <c r="AN1749" i="17"/>
  <c r="AC1749" i="17"/>
  <c r="P1749" i="17"/>
  <c r="AF1749" i="17"/>
  <c r="T1749" i="17"/>
  <c r="X1749" i="17"/>
  <c r="AM1749" i="17"/>
  <c r="AE1756" i="17"/>
  <c r="L1756" i="17"/>
  <c r="Z1756" i="17"/>
  <c r="X1756" i="17"/>
  <c r="AN1756" i="17"/>
  <c r="J1758" i="17"/>
  <c r="AG1758" i="17"/>
  <c r="O1766" i="17"/>
  <c r="AO1766" i="17"/>
  <c r="W1772" i="17"/>
  <c r="AP1781" i="17"/>
  <c r="AM1781" i="17"/>
  <c r="AC1781" i="17"/>
  <c r="S1781" i="17"/>
  <c r="AQ1781" i="17"/>
  <c r="AD1781" i="17"/>
  <c r="P1781" i="17"/>
  <c r="AR1781" i="17"/>
  <c r="AB1781" i="17"/>
  <c r="N1781" i="17"/>
  <c r="W1781" i="17"/>
  <c r="AL1781" i="17"/>
  <c r="AP1787" i="17"/>
  <c r="AM1787" i="17"/>
  <c r="AC1787" i="17"/>
  <c r="S1787" i="17"/>
  <c r="AJ1787" i="17"/>
  <c r="W1787" i="17"/>
  <c r="L1787" i="17"/>
  <c r="AF1787" i="17"/>
  <c r="T1787" i="17"/>
  <c r="AK1787" i="17"/>
  <c r="U1787" i="17"/>
  <c r="AA1787" i="17"/>
  <c r="AR1787" i="17"/>
  <c r="AP1801" i="17"/>
  <c r="AJ1801" i="17"/>
  <c r="X1801" i="17"/>
  <c r="N1801" i="17"/>
  <c r="AR1801" i="17"/>
  <c r="AE1801" i="17"/>
  <c r="T1801" i="17"/>
  <c r="AM1801" i="17"/>
  <c r="AA1801" i="17"/>
  <c r="L1801" i="17"/>
  <c r="AL1801" i="17"/>
  <c r="W1801" i="17"/>
  <c r="K1801" i="17"/>
  <c r="AB1801" i="17"/>
  <c r="AD1801" i="17"/>
  <c r="AP1805" i="17"/>
  <c r="AJ1805" i="17"/>
  <c r="X1805" i="17"/>
  <c r="N1805" i="17"/>
  <c r="AN1805" i="17"/>
  <c r="AC1805" i="17"/>
  <c r="P1805" i="17"/>
  <c r="AQ1805" i="17"/>
  <c r="AB1805" i="17"/>
  <c r="M1805" i="17"/>
  <c r="AM1805" i="17"/>
  <c r="AA1805" i="17"/>
  <c r="L1805" i="17"/>
  <c r="AR1805" i="17"/>
  <c r="V1805" i="17"/>
  <c r="AE1805" i="17"/>
  <c r="J1816" i="17"/>
  <c r="J1820" i="17"/>
  <c r="L1857" i="17"/>
  <c r="AN1857" i="17"/>
  <c r="AB1863" i="17"/>
  <c r="AN1863" i="17"/>
  <c r="L1863" i="17"/>
  <c r="AA1863" i="17"/>
  <c r="AM1863" i="17"/>
  <c r="AH1863" i="17"/>
  <c r="AI1878" i="17"/>
  <c r="AN1878" i="17"/>
  <c r="AC1878" i="17"/>
  <c r="O1878" i="17"/>
  <c r="AF1878" i="17"/>
  <c r="S1878" i="17"/>
  <c r="AE1878" i="17"/>
  <c r="N1878" i="17"/>
  <c r="AQ1878" i="17"/>
  <c r="AD1878" i="17"/>
  <c r="M1878" i="17"/>
  <c r="X1878" i="17"/>
  <c r="AG1878" i="17"/>
  <c r="J1888" i="17"/>
  <c r="P1894" i="17"/>
  <c r="AP1894" i="17"/>
  <c r="O1896" i="17"/>
  <c r="AO1899" i="17"/>
  <c r="AR1899" i="17"/>
  <c r="AH1899" i="17"/>
  <c r="V1899" i="17"/>
  <c r="L1899" i="17"/>
  <c r="AL1899" i="17"/>
  <c r="AA1899" i="17"/>
  <c r="N1899" i="17"/>
  <c r="AM1899" i="17"/>
  <c r="Z1899" i="17"/>
  <c r="K1899" i="17"/>
  <c r="AD1899" i="17"/>
  <c r="O1899" i="17"/>
  <c r="AC1899" i="17"/>
  <c r="M1899" i="17"/>
  <c r="AQ1899" i="17"/>
  <c r="U1899" i="17"/>
  <c r="AI1899" i="17"/>
  <c r="AO1903" i="17"/>
  <c r="AQ1903" i="17"/>
  <c r="AE1903" i="17"/>
  <c r="U1903" i="17"/>
  <c r="K1903" i="17"/>
  <c r="AM1903" i="17"/>
  <c r="AB1903" i="17"/>
  <c r="O1903" i="17"/>
  <c r="AR1903" i="17"/>
  <c r="AC1903" i="17"/>
  <c r="N1903" i="17"/>
  <c r="AH1903" i="17"/>
  <c r="R1903" i="17"/>
  <c r="AD1903" i="17"/>
  <c r="M1903" i="17"/>
  <c r="AI1903" i="17"/>
  <c r="J1903" i="17"/>
  <c r="AJ1903" i="17"/>
  <c r="J1915" i="17"/>
  <c r="AP1915" i="17"/>
  <c r="P1937" i="17"/>
  <c r="L1949" i="17"/>
  <c r="T1965" i="17"/>
  <c r="AK1965" i="17"/>
  <c r="Q1965" i="17"/>
  <c r="W1965" i="17"/>
  <c r="O1965" i="17"/>
  <c r="AH1965" i="17"/>
  <c r="AJ1965" i="17"/>
  <c r="AI1965" i="17"/>
  <c r="K1965" i="17"/>
  <c r="V1121" i="17"/>
  <c r="T1124" i="17"/>
  <c r="AG1124" i="17"/>
  <c r="T1180" i="17"/>
  <c r="AG1180" i="17"/>
  <c r="T1208" i="17"/>
  <c r="AG1208" i="17"/>
  <c r="V1229" i="17"/>
  <c r="V1253" i="17"/>
  <c r="AO1281" i="17"/>
  <c r="V1317" i="17"/>
  <c r="T1363" i="17"/>
  <c r="AG1363" i="17"/>
  <c r="T1376" i="17"/>
  <c r="AD1376" i="17"/>
  <c r="AN1376" i="17"/>
  <c r="T1384" i="17"/>
  <c r="AD1384" i="17"/>
  <c r="AN1384" i="17"/>
  <c r="R1394" i="17"/>
  <c r="AB1394" i="17"/>
  <c r="AL1394" i="17"/>
  <c r="T1416" i="17"/>
  <c r="AD1416" i="17"/>
  <c r="AN1416" i="17"/>
  <c r="T1423" i="17"/>
  <c r="AG1423" i="17"/>
  <c r="T1426" i="17"/>
  <c r="AD1426" i="17"/>
  <c r="AN1426" i="17"/>
  <c r="T1430" i="17"/>
  <c r="AD1430" i="17"/>
  <c r="AN1430" i="17"/>
  <c r="T1432" i="17"/>
  <c r="AD1432" i="17"/>
  <c r="AN1432" i="17"/>
  <c r="R1448" i="17"/>
  <c r="AA1448" i="17"/>
  <c r="AJ1448" i="17"/>
  <c r="R1452" i="17"/>
  <c r="AA1452" i="17"/>
  <c r="AJ1452" i="17"/>
  <c r="R1454" i="17"/>
  <c r="AA1454" i="17"/>
  <c r="AJ1454" i="17"/>
  <c r="T1458" i="17"/>
  <c r="AD1458" i="17"/>
  <c r="AN1458" i="17"/>
  <c r="T1460" i="17"/>
  <c r="AD1460" i="17"/>
  <c r="AN1460" i="17"/>
  <c r="T1465" i="17"/>
  <c r="AG1465" i="17"/>
  <c r="R1494" i="17"/>
  <c r="AA1494" i="17"/>
  <c r="AJ1494" i="17"/>
  <c r="Z1495" i="17"/>
  <c r="R1506" i="17"/>
  <c r="AA1506" i="17"/>
  <c r="AJ1506" i="17"/>
  <c r="R1526" i="17"/>
  <c r="AA1526" i="17"/>
  <c r="AJ1526" i="17"/>
  <c r="Z1527" i="17"/>
  <c r="R1530" i="17"/>
  <c r="AA1530" i="17"/>
  <c r="AJ1530" i="17"/>
  <c r="R1534" i="17"/>
  <c r="AA1534" i="17"/>
  <c r="AJ1534" i="17"/>
  <c r="R1570" i="17"/>
  <c r="AA1570" i="17"/>
  <c r="AJ1570" i="17"/>
  <c r="R1588" i="17"/>
  <c r="AA1588" i="17"/>
  <c r="AJ1588" i="17"/>
  <c r="R1604" i="17"/>
  <c r="AA1604" i="17"/>
  <c r="AJ1604" i="17"/>
  <c r="R1614" i="17"/>
  <c r="AA1614" i="17"/>
  <c r="AJ1614" i="17"/>
  <c r="AO1619" i="17"/>
  <c r="AQ1619" i="17"/>
  <c r="AE1619" i="17"/>
  <c r="S1619" i="17"/>
  <c r="AC1619" i="17"/>
  <c r="AP1619" i="17"/>
  <c r="AO1631" i="17"/>
  <c r="AK1631" i="17"/>
  <c r="AA1631" i="17"/>
  <c r="O1631" i="17"/>
  <c r="T1631" i="17"/>
  <c r="AE1631" i="17"/>
  <c r="AR1631" i="17"/>
  <c r="AH1640" i="17"/>
  <c r="AO1640" i="17"/>
  <c r="S1640" i="17"/>
  <c r="AE1640" i="17"/>
  <c r="J1640" i="17"/>
  <c r="AF1640" i="17"/>
  <c r="AP1654" i="17"/>
  <c r="AA1654" i="17"/>
  <c r="J1654" i="17"/>
  <c r="AQ1654" i="17"/>
  <c r="Z1654" i="17"/>
  <c r="AE1654" i="17"/>
  <c r="AO1659" i="17"/>
  <c r="AR1659" i="17"/>
  <c r="AH1659" i="17"/>
  <c r="V1659" i="17"/>
  <c r="L1659" i="17"/>
  <c r="AM1659" i="17"/>
  <c r="AB1659" i="17"/>
  <c r="O1659" i="17"/>
  <c r="U1659" i="17"/>
  <c r="AJ1659" i="17"/>
  <c r="AO1661" i="17"/>
  <c r="AQ1661" i="17"/>
  <c r="AE1661" i="17"/>
  <c r="U1661" i="17"/>
  <c r="K1661" i="17"/>
  <c r="AI1661" i="17"/>
  <c r="V1661" i="17"/>
  <c r="J1661" i="17"/>
  <c r="W1661" i="17"/>
  <c r="AK1661" i="17"/>
  <c r="AE1684" i="17"/>
  <c r="P1684" i="17"/>
  <c r="AD1684" i="17"/>
  <c r="J1684" i="17"/>
  <c r="AF1684" i="17"/>
  <c r="AO1693" i="17"/>
  <c r="AQ1693" i="17"/>
  <c r="AH1693" i="17"/>
  <c r="X1693" i="17"/>
  <c r="O1693" i="17"/>
  <c r="AJ1693" i="17"/>
  <c r="Z1693" i="17"/>
  <c r="N1693" i="17"/>
  <c r="T1693" i="17"/>
  <c r="AE1693" i="17"/>
  <c r="AR1693" i="17"/>
  <c r="AO1695" i="17"/>
  <c r="AP1695" i="17"/>
  <c r="AF1695" i="17"/>
  <c r="W1695" i="17"/>
  <c r="N1695" i="17"/>
  <c r="AN1695" i="17"/>
  <c r="AD1695" i="17"/>
  <c r="T1695" i="17"/>
  <c r="J1695" i="17"/>
  <c r="U1695" i="17"/>
  <c r="AH1695" i="17"/>
  <c r="AN1696" i="17"/>
  <c r="AF1696" i="17"/>
  <c r="P1696" i="17"/>
  <c r="AH1696" i="17"/>
  <c r="Q1696" i="17"/>
  <c r="Y1696" i="17"/>
  <c r="AQ1696" i="17"/>
  <c r="AO1709" i="17"/>
  <c r="AN1709" i="17"/>
  <c r="AE1709" i="17"/>
  <c r="V1709" i="17"/>
  <c r="M1709" i="17"/>
  <c r="AJ1709" i="17"/>
  <c r="Z1709" i="17"/>
  <c r="O1709" i="17"/>
  <c r="T1709" i="17"/>
  <c r="AF1709" i="17"/>
  <c r="AR1709" i="17"/>
  <c r="R1726" i="17"/>
  <c r="AF1726" i="17"/>
  <c r="AP1731" i="17"/>
  <c r="AR1731" i="17"/>
  <c r="AF1731" i="17"/>
  <c r="V1731" i="17"/>
  <c r="L1731" i="17"/>
  <c r="AQ1731" i="17"/>
  <c r="AD1731" i="17"/>
  <c r="S1731" i="17"/>
  <c r="W1731" i="17"/>
  <c r="AK1731" i="17"/>
  <c r="AP1733" i="17"/>
  <c r="AI1733" i="17"/>
  <c r="W1733" i="17"/>
  <c r="M1733" i="17"/>
  <c r="AL1733" i="17"/>
  <c r="AA1733" i="17"/>
  <c r="N1733" i="17"/>
  <c r="V1733" i="17"/>
  <c r="AK1733" i="17"/>
  <c r="AP1757" i="17"/>
  <c r="AM1757" i="17"/>
  <c r="AC1757" i="17"/>
  <c r="T1757" i="17"/>
  <c r="K1757" i="17"/>
  <c r="AR1757" i="17"/>
  <c r="AE1757" i="17"/>
  <c r="U1757" i="17"/>
  <c r="J1757" i="17"/>
  <c r="V1757" i="17"/>
  <c r="AI1757" i="17"/>
  <c r="Z1768" i="17"/>
  <c r="P1768" i="17"/>
  <c r="AP1769" i="17"/>
  <c r="AR1769" i="17"/>
  <c r="AF1769" i="17"/>
  <c r="V1769" i="17"/>
  <c r="L1769" i="17"/>
  <c r="AJ1769" i="17"/>
  <c r="W1769" i="17"/>
  <c r="K1769" i="17"/>
  <c r="X1769" i="17"/>
  <c r="AL1769" i="17"/>
  <c r="AJ1798" i="17"/>
  <c r="AF1798" i="17"/>
  <c r="J1798" i="17"/>
  <c r="AP1809" i="17"/>
  <c r="AQ1809" i="17"/>
  <c r="AE1809" i="17"/>
  <c r="U1809" i="17"/>
  <c r="K1809" i="17"/>
  <c r="AM1809" i="17"/>
  <c r="AB1809" i="17"/>
  <c r="O1809" i="17"/>
  <c r="AN1809" i="17"/>
  <c r="AA1809" i="17"/>
  <c r="M1809" i="17"/>
  <c r="AL1809" i="17"/>
  <c r="X1809" i="17"/>
  <c r="L1809" i="17"/>
  <c r="AD1809" i="17"/>
  <c r="AN1824" i="17"/>
  <c r="AR1824" i="17"/>
  <c r="AF1824" i="17"/>
  <c r="P1824" i="17"/>
  <c r="AP1824" i="17"/>
  <c r="Y1824" i="17"/>
  <c r="J1824" i="17"/>
  <c r="AM1824" i="17"/>
  <c r="W1824" i="17"/>
  <c r="AJ1824" i="17"/>
  <c r="T1824" i="17"/>
  <c r="AG1824" i="17"/>
  <c r="AP1846" i="17"/>
  <c r="AQ1846" i="17"/>
  <c r="AE1846" i="17"/>
  <c r="U1846" i="17"/>
  <c r="K1846" i="17"/>
  <c r="AK1846" i="17"/>
  <c r="X1846" i="17"/>
  <c r="M1846" i="17"/>
  <c r="AJ1846" i="17"/>
  <c r="V1846" i="17"/>
  <c r="AI1846" i="17"/>
  <c r="T1846" i="17"/>
  <c r="AB1846" i="17"/>
  <c r="Z1847" i="17"/>
  <c r="AP1847" i="17"/>
  <c r="Q1847" i="17"/>
  <c r="T1847" i="17"/>
  <c r="P1847" i="17"/>
  <c r="X1853" i="17"/>
  <c r="AR1853" i="17"/>
  <c r="S1853" i="17"/>
  <c r="J1853" i="17"/>
  <c r="AP1862" i="17"/>
  <c r="AJ1862" i="17"/>
  <c r="X1862" i="17"/>
  <c r="O1862" i="17"/>
  <c r="AN1862" i="17"/>
  <c r="AC1862" i="17"/>
  <c r="R1862" i="17"/>
  <c r="AQ1862" i="17"/>
  <c r="AB1862" i="17"/>
  <c r="N1862" i="17"/>
  <c r="AM1862" i="17"/>
  <c r="AA1862" i="17"/>
  <c r="M1862" i="17"/>
  <c r="V1862" i="17"/>
  <c r="AR1862" i="17"/>
  <c r="AH1865" i="17"/>
  <c r="W1865" i="17"/>
  <c r="J1865" i="17"/>
  <c r="AN1865" i="17"/>
  <c r="Z1865" i="17"/>
  <c r="L1865" i="17"/>
  <c r="AM1865" i="17"/>
  <c r="X1865" i="17"/>
  <c r="AJ1865" i="17"/>
  <c r="T1865" i="17"/>
  <c r="AB1865" i="17"/>
  <c r="AG1885" i="17"/>
  <c r="W1885" i="17"/>
  <c r="AI1885" i="17"/>
  <c r="Y1885" i="17"/>
  <c r="AP1886" i="17"/>
  <c r="AI1886" i="17"/>
  <c r="Q1886" i="17"/>
  <c r="AK1886" i="17"/>
  <c r="K1886" i="17"/>
  <c r="U1886" i="17"/>
  <c r="S1886" i="17"/>
  <c r="AF1935" i="17"/>
  <c r="Q1935" i="17"/>
  <c r="AO1935" i="17"/>
  <c r="T1935" i="17"/>
  <c r="AN1935" i="17"/>
  <c r="S1935" i="17"/>
  <c r="AP1935" i="17"/>
  <c r="P1935" i="17"/>
  <c r="AA1935" i="17"/>
  <c r="O1935" i="17"/>
  <c r="J1935" i="17"/>
  <c r="AC1959" i="17"/>
  <c r="T1959" i="17"/>
  <c r="R1959" i="17"/>
  <c r="N1959" i="17"/>
  <c r="AM1968" i="17"/>
  <c r="Z1968" i="17"/>
  <c r="K1968" i="17"/>
  <c r="AL1968" i="17"/>
  <c r="Y1968" i="17"/>
  <c r="J1968" i="17"/>
  <c r="AQ1968" i="17"/>
  <c r="V1968" i="17"/>
  <c r="AN1968" i="17"/>
  <c r="S1968" i="17"/>
  <c r="AI1968" i="17"/>
  <c r="M1968" i="17"/>
  <c r="R1968" i="17"/>
  <c r="AC1968" i="17"/>
  <c r="AA1968" i="17"/>
  <c r="AP1807" i="17"/>
  <c r="AR1807" i="17"/>
  <c r="AF1807" i="17"/>
  <c r="V1807" i="17"/>
  <c r="L1807" i="17"/>
  <c r="AE1807" i="17"/>
  <c r="T1807" i="17"/>
  <c r="W1807" i="17"/>
  <c r="AK1807" i="17"/>
  <c r="AP1817" i="17"/>
  <c r="AQ1817" i="17"/>
  <c r="AE1817" i="17"/>
  <c r="U1817" i="17"/>
  <c r="K1817" i="17"/>
  <c r="AR1817" i="17"/>
  <c r="AD1817" i="17"/>
  <c r="S1817" i="17"/>
  <c r="W1817" i="17"/>
  <c r="AK1817" i="17"/>
  <c r="AM1826" i="17"/>
  <c r="Z1826" i="17"/>
  <c r="O1826" i="17"/>
  <c r="AG1826" i="17"/>
  <c r="R1826" i="17"/>
  <c r="X1826" i="17"/>
  <c r="AN1826" i="17"/>
  <c r="AM1839" i="17"/>
  <c r="Z1839" i="17"/>
  <c r="O1839" i="17"/>
  <c r="AG1839" i="17"/>
  <c r="R1839" i="17"/>
  <c r="X1839" i="17"/>
  <c r="AN1839" i="17"/>
  <c r="AP1848" i="17"/>
  <c r="AQ1848" i="17"/>
  <c r="AE1848" i="17"/>
  <c r="U1848" i="17"/>
  <c r="K1848" i="17"/>
  <c r="AF1848" i="17"/>
  <c r="T1848" i="17"/>
  <c r="W1848" i="17"/>
  <c r="AK1848" i="17"/>
  <c r="AP1856" i="17"/>
  <c r="AM1856" i="17"/>
  <c r="AC1856" i="17"/>
  <c r="S1856" i="17"/>
  <c r="AI1856" i="17"/>
  <c r="V1856" i="17"/>
  <c r="K1856" i="17"/>
  <c r="W1856" i="17"/>
  <c r="AK1856" i="17"/>
  <c r="AJ1861" i="17"/>
  <c r="AO1861" i="17"/>
  <c r="S1861" i="17"/>
  <c r="AP1861" i="17"/>
  <c r="R1861" i="17"/>
  <c r="AE1861" i="17"/>
  <c r="Z1882" i="17"/>
  <c r="AQ1882" i="17"/>
  <c r="P1882" i="17"/>
  <c r="AP1882" i="17"/>
  <c r="AQ1895" i="17"/>
  <c r="AE1895" i="17"/>
  <c r="U1895" i="17"/>
  <c r="K1895" i="17"/>
  <c r="AK1895" i="17"/>
  <c r="Y1895" i="17"/>
  <c r="M1895" i="17"/>
  <c r="AR1895" i="17"/>
  <c r="AC1895" i="17"/>
  <c r="O1895" i="17"/>
  <c r="W1895" i="17"/>
  <c r="AM1895" i="17"/>
  <c r="AF1900" i="17"/>
  <c r="AP1900" i="17"/>
  <c r="W1900" i="17"/>
  <c r="AE1900" i="17"/>
  <c r="AF1906" i="17"/>
  <c r="AP1906" i="17"/>
  <c r="W1906" i="17"/>
  <c r="N1906" i="17"/>
  <c r="AP1936" i="17"/>
  <c r="AR1936" i="17"/>
  <c r="AF1936" i="17"/>
  <c r="V1936" i="17"/>
  <c r="L1936" i="17"/>
  <c r="AQ1936" i="17"/>
  <c r="AD1936" i="17"/>
  <c r="S1936" i="17"/>
  <c r="AN1936" i="17"/>
  <c r="AC1936" i="17"/>
  <c r="P1936" i="17"/>
  <c r="AL1936" i="17"/>
  <c r="W1936" i="17"/>
  <c r="AI1936" i="17"/>
  <c r="N1936" i="17"/>
  <c r="AB1936" i="17"/>
  <c r="AO1651" i="17"/>
  <c r="AR1651" i="17"/>
  <c r="AH1651" i="17"/>
  <c r="V1651" i="17"/>
  <c r="L1651" i="17"/>
  <c r="T1651" i="17"/>
  <c r="AE1651" i="17"/>
  <c r="AN1652" i="17"/>
  <c r="V1652" i="17"/>
  <c r="AA1652" i="17"/>
  <c r="AO1653" i="17"/>
  <c r="AJ1653" i="17"/>
  <c r="Z1653" i="17"/>
  <c r="N1653" i="17"/>
  <c r="T1653" i="17"/>
  <c r="AE1653" i="17"/>
  <c r="AR1653" i="17"/>
  <c r="AL1666" i="17"/>
  <c r="AD1666" i="17"/>
  <c r="N1666" i="17"/>
  <c r="AE1666" i="17"/>
  <c r="AH1672" i="17"/>
  <c r="AD1672" i="17"/>
  <c r="J1672" i="17"/>
  <c r="AE1672" i="17"/>
  <c r="AO1677" i="17"/>
  <c r="AL1677" i="17"/>
  <c r="AB1677" i="17"/>
  <c r="R1677" i="17"/>
  <c r="T1677" i="17"/>
  <c r="AE1677" i="17"/>
  <c r="AR1677" i="17"/>
  <c r="AO1687" i="17"/>
  <c r="AP1687" i="17"/>
  <c r="AD1687" i="17"/>
  <c r="T1687" i="17"/>
  <c r="K1687" i="17"/>
  <c r="S1687" i="17"/>
  <c r="AE1687" i="17"/>
  <c r="AR1687" i="17"/>
  <c r="AI1690" i="17"/>
  <c r="X1690" i="17"/>
  <c r="K1690" i="17"/>
  <c r="W1690" i="17"/>
  <c r="AL1690" i="17"/>
  <c r="AO1707" i="17"/>
  <c r="AN1707" i="17"/>
  <c r="AE1707" i="17"/>
  <c r="V1707" i="17"/>
  <c r="M1707" i="17"/>
  <c r="S1707" i="17"/>
  <c r="AC1707" i="17"/>
  <c r="AM1707" i="17"/>
  <c r="AN1712" i="17"/>
  <c r="AF1712" i="17"/>
  <c r="P1712" i="17"/>
  <c r="X1712" i="17"/>
  <c r="AM1712" i="17"/>
  <c r="AO1740" i="17"/>
  <c r="X1740" i="17"/>
  <c r="AI1740" i="17"/>
  <c r="AN1752" i="17"/>
  <c r="AG1752" i="17"/>
  <c r="Q1752" i="17"/>
  <c r="X1752" i="17"/>
  <c r="AM1752" i="17"/>
  <c r="AP1761" i="17"/>
  <c r="AJ1761" i="17"/>
  <c r="X1761" i="17"/>
  <c r="N1761" i="17"/>
  <c r="U1761" i="17"/>
  <c r="AF1761" i="17"/>
  <c r="AH1762" i="17"/>
  <c r="W1762" i="17"/>
  <c r="J1762" i="17"/>
  <c r="X1762" i="17"/>
  <c r="AJ1762" i="17"/>
  <c r="AO1774" i="17"/>
  <c r="T1774" i="17"/>
  <c r="AG1774" i="17"/>
  <c r="AP1777" i="17"/>
  <c r="AK1777" i="17"/>
  <c r="AA1777" i="17"/>
  <c r="O1777" i="17"/>
  <c r="U1777" i="17"/>
  <c r="AF1777" i="17"/>
  <c r="AI1778" i="17"/>
  <c r="X1778" i="17"/>
  <c r="K1778" i="17"/>
  <c r="W1778" i="17"/>
  <c r="AJ1778" i="17"/>
  <c r="AP1783" i="17"/>
  <c r="AJ1783" i="17"/>
  <c r="X1783" i="17"/>
  <c r="N1783" i="17"/>
  <c r="U1783" i="17"/>
  <c r="AF1783" i="17"/>
  <c r="AE1784" i="17"/>
  <c r="K1784" i="17"/>
  <c r="AF1784" i="17"/>
  <c r="Z1800" i="17"/>
  <c r="AO1800" i="17"/>
  <c r="K1807" i="17"/>
  <c r="X1807" i="17"/>
  <c r="AL1807" i="17"/>
  <c r="L1817" i="17"/>
  <c r="X1817" i="17"/>
  <c r="AL1817" i="17"/>
  <c r="AP1819" i="17"/>
  <c r="AQ1819" i="17"/>
  <c r="AE1819" i="17"/>
  <c r="U1819" i="17"/>
  <c r="K1819" i="17"/>
  <c r="AK1819" i="17"/>
  <c r="X1819" i="17"/>
  <c r="M1819" i="17"/>
  <c r="W1819" i="17"/>
  <c r="AL1819" i="17"/>
  <c r="J1826" i="17"/>
  <c r="Y1826" i="17"/>
  <c r="AP1826" i="17"/>
  <c r="AP1834" i="17"/>
  <c r="AR1834" i="17"/>
  <c r="AF1834" i="17"/>
  <c r="V1834" i="17"/>
  <c r="L1834" i="17"/>
  <c r="AE1834" i="17"/>
  <c r="T1834" i="17"/>
  <c r="W1834" i="17"/>
  <c r="AK1834" i="17"/>
  <c r="J1839" i="17"/>
  <c r="Y1839" i="17"/>
  <c r="AP1839" i="17"/>
  <c r="AP1844" i="17"/>
  <c r="AQ1844" i="17"/>
  <c r="AE1844" i="17"/>
  <c r="U1844" i="17"/>
  <c r="K1844" i="17"/>
  <c r="AR1844" i="17"/>
  <c r="AD1844" i="17"/>
  <c r="S1844" i="17"/>
  <c r="W1844" i="17"/>
  <c r="AK1844" i="17"/>
  <c r="L1848" i="17"/>
  <c r="X1848" i="17"/>
  <c r="AL1848" i="17"/>
  <c r="AO1851" i="17"/>
  <c r="S1851" i="17"/>
  <c r="AN1851" i="17"/>
  <c r="K1851" i="17"/>
  <c r="AP1851" i="17"/>
  <c r="L1856" i="17"/>
  <c r="X1856" i="17"/>
  <c r="AL1856" i="17"/>
  <c r="J1861" i="17"/>
  <c r="AF1861" i="17"/>
  <c r="AQ1869" i="17"/>
  <c r="T1869" i="17"/>
  <c r="AK1869" i="17"/>
  <c r="Q1869" i="17"/>
  <c r="AC1869" i="17"/>
  <c r="AI1872" i="17"/>
  <c r="X1876" i="17"/>
  <c r="AO1876" i="17"/>
  <c r="K1876" i="17"/>
  <c r="AE1876" i="17"/>
  <c r="AP1876" i="17"/>
  <c r="O1882" i="17"/>
  <c r="T1891" i="17"/>
  <c r="AB1891" i="17"/>
  <c r="AK1891" i="17"/>
  <c r="L1891" i="17"/>
  <c r="AJ1891" i="17"/>
  <c r="J1895" i="17"/>
  <c r="Z1895" i="17"/>
  <c r="AP1895" i="17"/>
  <c r="P1900" i="17"/>
  <c r="J1906" i="17"/>
  <c r="AN1908" i="17"/>
  <c r="AM1908" i="17"/>
  <c r="Y1908" i="17"/>
  <c r="K1908" i="17"/>
  <c r="AF1908" i="17"/>
  <c r="O1908" i="17"/>
  <c r="AP1908" i="17"/>
  <c r="W1908" i="17"/>
  <c r="AA1908" i="17"/>
  <c r="AJ1933" i="17"/>
  <c r="AR1933" i="17"/>
  <c r="Z1933" i="17"/>
  <c r="AN1933" i="17"/>
  <c r="Q1933" i="17"/>
  <c r="AI1933" i="17"/>
  <c r="P1933" i="17"/>
  <c r="AE1933" i="17"/>
  <c r="AB1933" i="17"/>
  <c r="AP1934" i="17"/>
  <c r="AM1934" i="17"/>
  <c r="AC1934" i="17"/>
  <c r="S1934" i="17"/>
  <c r="AQ1934" i="17"/>
  <c r="AD1934" i="17"/>
  <c r="P1934" i="17"/>
  <c r="AN1934" i="17"/>
  <c r="AB1934" i="17"/>
  <c r="O1934" i="17"/>
  <c r="AI1934" i="17"/>
  <c r="T1934" i="17"/>
  <c r="AK1934" i="17"/>
  <c r="U1934" i="17"/>
  <c r="AA1934" i="17"/>
  <c r="K1936" i="17"/>
  <c r="AE1936" i="17"/>
  <c r="AP1974" i="17"/>
  <c r="AF1974" i="17"/>
  <c r="V1974" i="17"/>
  <c r="K1974" i="17"/>
  <c r="AO1974" i="17"/>
  <c r="AE1974" i="17"/>
  <c r="U1974" i="17"/>
  <c r="J1974" i="17"/>
  <c r="AD1974" i="17"/>
  <c r="P1974" i="17"/>
  <c r="AQ1974" i="17"/>
  <c r="AC1974" i="17"/>
  <c r="O1974" i="17"/>
  <c r="AL1974" i="17"/>
  <c r="S1974" i="17"/>
  <c r="AI1974" i="17"/>
  <c r="Q1974" i="17"/>
  <c r="X1974" i="17"/>
  <c r="W1974" i="17"/>
  <c r="AN1974" i="17"/>
  <c r="AO1996" i="17"/>
  <c r="AQ1996" i="17"/>
  <c r="AH1996" i="17"/>
  <c r="X1996" i="17"/>
  <c r="O1996" i="17"/>
  <c r="AP1996" i="17"/>
  <c r="AF1996" i="17"/>
  <c r="W1996" i="17"/>
  <c r="N1996" i="17"/>
  <c r="AN1996" i="17"/>
  <c r="AC1996" i="17"/>
  <c r="R1996" i="17"/>
  <c r="AM1996" i="17"/>
  <c r="AB1996" i="17"/>
  <c r="P1996" i="17"/>
  <c r="AJ1996" i="17"/>
  <c r="T1996" i="17"/>
  <c r="AI1996" i="17"/>
  <c r="S1996" i="17"/>
  <c r="AL1996" i="17"/>
  <c r="M1996" i="17"/>
  <c r="V1996" i="17"/>
  <c r="AE1996" i="17"/>
  <c r="AM1999" i="17"/>
  <c r="AA1999" i="17"/>
  <c r="P1999" i="17"/>
  <c r="AL1999" i="17"/>
  <c r="Z1999" i="17"/>
  <c r="O1999" i="17"/>
  <c r="AJ1999" i="17"/>
  <c r="V1999" i="17"/>
  <c r="AI1999" i="17"/>
  <c r="T1999" i="17"/>
  <c r="AQ1999" i="17"/>
  <c r="R1999" i="17"/>
  <c r="AP1999" i="17"/>
  <c r="Q1999" i="17"/>
  <c r="Y1999" i="17"/>
  <c r="K1999" i="17"/>
  <c r="AR1999" i="17"/>
  <c r="Z1622" i="17"/>
  <c r="S1625" i="17"/>
  <c r="AC1625" i="17"/>
  <c r="AM1625" i="17"/>
  <c r="S1627" i="17"/>
  <c r="AC1627" i="17"/>
  <c r="AM1627" i="17"/>
  <c r="S1643" i="17"/>
  <c r="AC1643" i="17"/>
  <c r="AM1643" i="17"/>
  <c r="Z1670" i="17"/>
  <c r="S1673" i="17"/>
  <c r="AC1673" i="17"/>
  <c r="AM1673" i="17"/>
  <c r="R1697" i="17"/>
  <c r="AA1697" i="17"/>
  <c r="AJ1697" i="17"/>
  <c r="R1713" i="17"/>
  <c r="AA1713" i="17"/>
  <c r="AJ1713" i="17"/>
  <c r="X1722" i="17"/>
  <c r="Z1724" i="17"/>
  <c r="X1734" i="17"/>
  <c r="T1737" i="17"/>
  <c r="AD1737" i="17"/>
  <c r="AN1737" i="17"/>
  <c r="T1739" i="17"/>
  <c r="AD1739" i="17"/>
  <c r="AN1739" i="17"/>
  <c r="T1745" i="17"/>
  <c r="AD1745" i="17"/>
  <c r="AN1745" i="17"/>
  <c r="T1747" i="17"/>
  <c r="AD1747" i="17"/>
  <c r="AN1747" i="17"/>
  <c r="T1753" i="17"/>
  <c r="AD1753" i="17"/>
  <c r="AN1753" i="17"/>
  <c r="T1763" i="17"/>
  <c r="AD1763" i="17"/>
  <c r="AN1763" i="17"/>
  <c r="T1773" i="17"/>
  <c r="AD1773" i="17"/>
  <c r="AN1773" i="17"/>
  <c r="AN1808" i="17"/>
  <c r="AH1808" i="17"/>
  <c r="T1808" i="17"/>
  <c r="X1808" i="17"/>
  <c r="AM1808" i="17"/>
  <c r="AP1813" i="17"/>
  <c r="AR1813" i="17"/>
  <c r="AF1813" i="17"/>
  <c r="V1813" i="17"/>
  <c r="L1813" i="17"/>
  <c r="U1813" i="17"/>
  <c r="AI1813" i="17"/>
  <c r="AP1827" i="17"/>
  <c r="AI1827" i="17"/>
  <c r="W1827" i="17"/>
  <c r="M1827" i="17"/>
  <c r="U1827" i="17"/>
  <c r="AF1827" i="17"/>
  <c r="AP1829" i="17"/>
  <c r="AM1829" i="17"/>
  <c r="AC1829" i="17"/>
  <c r="S1829" i="17"/>
  <c r="U1829" i="17"/>
  <c r="AF1829" i="17"/>
  <c r="AN1830" i="17"/>
  <c r="Q1830" i="17"/>
  <c r="AE1830" i="17"/>
  <c r="AP1840" i="17"/>
  <c r="AI1840" i="17"/>
  <c r="W1840" i="17"/>
  <c r="M1840" i="17"/>
  <c r="U1840" i="17"/>
  <c r="AF1840" i="17"/>
  <c r="AO1868" i="17"/>
  <c r="AR1868" i="17"/>
  <c r="AI1868" i="17"/>
  <c r="Z1868" i="17"/>
  <c r="P1868" i="17"/>
  <c r="S1868" i="17"/>
  <c r="AC1868" i="17"/>
  <c r="AM1868" i="17"/>
  <c r="AD1873" i="17"/>
  <c r="AI1873" i="17"/>
  <c r="AM1873" i="17"/>
  <c r="AR1879" i="17"/>
  <c r="AH1879" i="17"/>
  <c r="W1879" i="17"/>
  <c r="M1879" i="17"/>
  <c r="T1879" i="17"/>
  <c r="AE1879" i="17"/>
  <c r="AQ1879" i="17"/>
  <c r="AF1902" i="17"/>
  <c r="N1902" i="17"/>
  <c r="AO1902" i="17"/>
  <c r="R1902" i="17"/>
  <c r="AG1902" i="17"/>
  <c r="AO1905" i="17"/>
  <c r="AR1905" i="17"/>
  <c r="AH1905" i="17"/>
  <c r="V1905" i="17"/>
  <c r="L1905" i="17"/>
  <c r="AL1905" i="17"/>
  <c r="AA1905" i="17"/>
  <c r="N1905" i="17"/>
  <c r="U1905" i="17"/>
  <c r="AJ1905" i="17"/>
  <c r="AI1912" i="17"/>
  <c r="Q1912" i="17"/>
  <c r="X1912" i="17"/>
  <c r="R1912" i="17"/>
  <c r="AL1912" i="17"/>
  <c r="AJ1922" i="17"/>
  <c r="V1922" i="17"/>
  <c r="AF1922" i="17"/>
  <c r="P1922" i="17"/>
  <c r="AE1922" i="17"/>
  <c r="O1922" i="17"/>
  <c r="AG1922" i="17"/>
  <c r="M1922" i="17"/>
  <c r="AK1922" i="17"/>
  <c r="AC1924" i="17"/>
  <c r="AR1924" i="17"/>
  <c r="P1924" i="17"/>
  <c r="S1924" i="17"/>
  <c r="Q1924" i="17"/>
  <c r="AH1943" i="17"/>
  <c r="AO1943" i="17"/>
  <c r="S1943" i="17"/>
  <c r="AG1943" i="17"/>
  <c r="L1943" i="17"/>
  <c r="AF1943" i="17"/>
  <c r="K1943" i="17"/>
  <c r="Z1943" i="17"/>
  <c r="AP1943" i="17"/>
  <c r="AN1954" i="17"/>
  <c r="AC1954" i="17"/>
  <c r="U1954" i="17"/>
  <c r="S1954" i="17"/>
  <c r="R1954" i="17"/>
  <c r="J1954" i="17"/>
  <c r="AO1992" i="17"/>
  <c r="AL1992" i="17"/>
  <c r="AC1992" i="17"/>
  <c r="T1992" i="17"/>
  <c r="K1992" i="17"/>
  <c r="AK1992" i="17"/>
  <c r="AB1992" i="17"/>
  <c r="S1992" i="17"/>
  <c r="J1992" i="17"/>
  <c r="AQ1992" i="17"/>
  <c r="AE1992" i="17"/>
  <c r="R1992" i="17"/>
  <c r="AP1992" i="17"/>
  <c r="AD1992" i="17"/>
  <c r="P1992" i="17"/>
  <c r="AH1992" i="17"/>
  <c r="O1992" i="17"/>
  <c r="AF1992" i="17"/>
  <c r="N1992" i="17"/>
  <c r="AJ1992" i="17"/>
  <c r="M1992" i="17"/>
  <c r="AI1992" i="17"/>
  <c r="AO2000" i="17"/>
  <c r="AN2000" i="17"/>
  <c r="AE2000" i="17"/>
  <c r="V2000" i="17"/>
  <c r="M2000" i="17"/>
  <c r="AM2000" i="17"/>
  <c r="AD2000" i="17"/>
  <c r="U2000" i="17"/>
  <c r="L2000" i="17"/>
  <c r="AL2000" i="17"/>
  <c r="AA2000" i="17"/>
  <c r="O2000" i="17"/>
  <c r="AK2000" i="17"/>
  <c r="Z2000" i="17"/>
  <c r="N2000" i="17"/>
  <c r="AJ2000" i="17"/>
  <c r="T2000" i="17"/>
  <c r="AI2000" i="17"/>
  <c r="S2000" i="17"/>
  <c r="AH2000" i="17"/>
  <c r="K2000" i="17"/>
  <c r="AF2000" i="17"/>
  <c r="AB1786" i="17"/>
  <c r="T1794" i="17"/>
  <c r="T1795" i="17"/>
  <c r="AD1795" i="17"/>
  <c r="AN1795" i="17"/>
  <c r="T1797" i="17"/>
  <c r="AD1797" i="17"/>
  <c r="AN1797" i="17"/>
  <c r="T1803" i="17"/>
  <c r="AD1803" i="17"/>
  <c r="AN1803" i="17"/>
  <c r="T1815" i="17"/>
  <c r="AD1815" i="17"/>
  <c r="AN1815" i="17"/>
  <c r="T1823" i="17"/>
  <c r="AD1823" i="17"/>
  <c r="AN1823" i="17"/>
  <c r="X1841" i="17"/>
  <c r="T1855" i="17"/>
  <c r="AG1855" i="17"/>
  <c r="R1866" i="17"/>
  <c r="AB1866" i="17"/>
  <c r="AL1866" i="17"/>
  <c r="AH1910" i="17"/>
  <c r="W1910" i="17"/>
  <c r="J1910" i="17"/>
  <c r="X1910" i="17"/>
  <c r="AL1910" i="17"/>
  <c r="AO1913" i="17"/>
  <c r="AJ1913" i="17"/>
  <c r="Z1913" i="17"/>
  <c r="N1913" i="17"/>
  <c r="AH1913" i="17"/>
  <c r="U1913" i="17"/>
  <c r="J1913" i="17"/>
  <c r="V1913" i="17"/>
  <c r="AK1913" i="17"/>
  <c r="AG1925" i="17"/>
  <c r="AR1925" i="17"/>
  <c r="T1925" i="17"/>
  <c r="J1925" i="17"/>
  <c r="AP1932" i="17"/>
  <c r="AR1932" i="17"/>
  <c r="AF1932" i="17"/>
  <c r="V1932" i="17"/>
  <c r="L1932" i="17"/>
  <c r="AL1932" i="17"/>
  <c r="AA1932" i="17"/>
  <c r="N1932" i="17"/>
  <c r="AK1932" i="17"/>
  <c r="X1932" i="17"/>
  <c r="M1932" i="17"/>
  <c r="AB1932" i="17"/>
  <c r="AQ1932" i="17"/>
  <c r="AN1945" i="17"/>
  <c r="AJ1945" i="17"/>
  <c r="X1945" i="17"/>
  <c r="J1945" i="17"/>
  <c r="AF1945" i="17"/>
  <c r="O1945" i="17"/>
  <c r="AR1945" i="17"/>
  <c r="AA1945" i="17"/>
  <c r="L1945" i="17"/>
  <c r="AG1945" i="17"/>
  <c r="AP1950" i="17"/>
  <c r="AI1950" i="17"/>
  <c r="W1950" i="17"/>
  <c r="M1950" i="17"/>
  <c r="AR1950" i="17"/>
  <c r="AF1950" i="17"/>
  <c r="V1950" i="17"/>
  <c r="L1950" i="17"/>
  <c r="AN1950" i="17"/>
  <c r="AB1950" i="17"/>
  <c r="N1950" i="17"/>
  <c r="AM1950" i="17"/>
  <c r="AA1950" i="17"/>
  <c r="K1950" i="17"/>
  <c r="AD1950" i="17"/>
  <c r="AJ1955" i="17"/>
  <c r="K1955" i="17"/>
  <c r="AH1955" i="17"/>
  <c r="J1955" i="17"/>
  <c r="S1955" i="17"/>
  <c r="L1955" i="17"/>
  <c r="AO1976" i="17"/>
  <c r="AD1976" i="17"/>
  <c r="P1976" i="17"/>
  <c r="AN1976" i="17"/>
  <c r="Z1976" i="17"/>
  <c r="O1976" i="17"/>
  <c r="AH1976" i="17"/>
  <c r="U1976" i="17"/>
  <c r="AG1976" i="17"/>
  <c r="Q1976" i="17"/>
  <c r="AP1976" i="17"/>
  <c r="V1976" i="17"/>
  <c r="AM1976" i="17"/>
  <c r="N1976" i="17"/>
  <c r="AI1976" i="17"/>
  <c r="AG1923" i="17"/>
  <c r="P1923" i="17"/>
  <c r="AF1923" i="17"/>
  <c r="AP1930" i="17"/>
  <c r="AL1930" i="17"/>
  <c r="AB1930" i="17"/>
  <c r="P1930" i="17"/>
  <c r="U1930" i="17"/>
  <c r="AF1930" i="17"/>
  <c r="AJ1931" i="17"/>
  <c r="Y1931" i="17"/>
  <c r="L1931" i="17"/>
  <c r="W1931" i="17"/>
  <c r="AI1931" i="17"/>
  <c r="AI1957" i="17"/>
  <c r="Y1957" i="17"/>
  <c r="N1957" i="17"/>
  <c r="AR1957" i="17"/>
  <c r="AH1957" i="17"/>
  <c r="W1957" i="17"/>
  <c r="M1957" i="17"/>
  <c r="U1957" i="17"/>
  <c r="AK1957" i="17"/>
  <c r="AC1970" i="17"/>
  <c r="M1970" i="17"/>
  <c r="AK1970" i="17"/>
  <c r="Q1970" i="17"/>
  <c r="AE1970" i="17"/>
  <c r="N1970" i="17"/>
  <c r="AL1970" i="17"/>
  <c r="S1897" i="17"/>
  <c r="AC1897" i="17"/>
  <c r="AM1897" i="17"/>
  <c r="AM1914" i="17"/>
  <c r="Q1914" i="17"/>
  <c r="AP1914" i="17"/>
  <c r="O1923" i="17"/>
  <c r="AH1923" i="17"/>
  <c r="T1927" i="17"/>
  <c r="K1930" i="17"/>
  <c r="V1930" i="17"/>
  <c r="AI1930" i="17"/>
  <c r="J1931" i="17"/>
  <c r="X1931" i="17"/>
  <c r="AM1931" i="17"/>
  <c r="AM1939" i="17"/>
  <c r="AP1946" i="17"/>
  <c r="AI1946" i="17"/>
  <c r="W1946" i="17"/>
  <c r="M1946" i="17"/>
  <c r="AR1946" i="17"/>
  <c r="AF1946" i="17"/>
  <c r="V1946" i="17"/>
  <c r="L1946" i="17"/>
  <c r="X1946" i="17"/>
  <c r="AL1946" i="17"/>
  <c r="J1957" i="17"/>
  <c r="V1957" i="17"/>
  <c r="AL1957" i="17"/>
  <c r="K1970" i="17"/>
  <c r="AM1970" i="17"/>
  <c r="AJ1983" i="17"/>
  <c r="Y1983" i="17"/>
  <c r="L1983" i="17"/>
  <c r="AI1983" i="17"/>
  <c r="X1983" i="17"/>
  <c r="K1983" i="17"/>
  <c r="AE1983" i="17"/>
  <c r="P1983" i="17"/>
  <c r="AR1983" i="17"/>
  <c r="AB1983" i="17"/>
  <c r="O1983" i="17"/>
  <c r="AG1983" i="17"/>
  <c r="T1948" i="17"/>
  <c r="AD1948" i="17"/>
  <c r="AN1948" i="17"/>
  <c r="Z1961" i="17"/>
  <c r="AO1990" i="17"/>
  <c r="AM1990" i="17"/>
  <c r="AD1990" i="17"/>
  <c r="U1990" i="17"/>
  <c r="L1990" i="17"/>
  <c r="AL1990" i="17"/>
  <c r="AC1990" i="17"/>
  <c r="T1990" i="17"/>
  <c r="K1990" i="17"/>
  <c r="V1990" i="17"/>
  <c r="AH1990" i="17"/>
  <c r="AJ1991" i="17"/>
  <c r="Y1991" i="17"/>
  <c r="L1991" i="17"/>
  <c r="AI1991" i="17"/>
  <c r="X1991" i="17"/>
  <c r="K1991" i="17"/>
  <c r="Z1991" i="17"/>
  <c r="AP1991" i="17"/>
  <c r="AO1994" i="17"/>
  <c r="AR1994" i="17"/>
  <c r="AI1994" i="17"/>
  <c r="Z1994" i="17"/>
  <c r="P1994" i="17"/>
  <c r="AQ1994" i="17"/>
  <c r="AH1994" i="17"/>
  <c r="X1994" i="17"/>
  <c r="O1994" i="17"/>
  <c r="T1994" i="17"/>
  <c r="AE1994" i="17"/>
  <c r="AQ1995" i="17"/>
  <c r="AE1995" i="17"/>
  <c r="R1995" i="17"/>
  <c r="AP1995" i="17"/>
  <c r="AB1995" i="17"/>
  <c r="Q1995" i="17"/>
  <c r="X1995" i="17"/>
  <c r="AL1995" i="17"/>
  <c r="T1938" i="17"/>
  <c r="AD1938" i="17"/>
  <c r="AN1938" i="17"/>
  <c r="T1940" i="17"/>
  <c r="AD1940" i="17"/>
  <c r="AN1940" i="17"/>
  <c r="T1947" i="17"/>
  <c r="K1948" i="17"/>
  <c r="U1948" i="17"/>
  <c r="AE1948" i="17"/>
  <c r="AQ1948" i="17"/>
  <c r="S1958" i="17"/>
  <c r="AD1958" i="17"/>
  <c r="L1961" i="17"/>
  <c r="U1967" i="17"/>
  <c r="AP1975" i="17"/>
  <c r="AD1975" i="17"/>
  <c r="Q1975" i="17"/>
  <c r="AO1975" i="17"/>
  <c r="AC1975" i="17"/>
  <c r="O1975" i="17"/>
  <c r="W1975" i="17"/>
  <c r="AM1975" i="17"/>
  <c r="AO1984" i="17"/>
  <c r="AL1984" i="17"/>
  <c r="AC1984" i="17"/>
  <c r="T1984" i="17"/>
  <c r="K1984" i="17"/>
  <c r="AK1984" i="17"/>
  <c r="AB1984" i="17"/>
  <c r="S1984" i="17"/>
  <c r="J1984" i="17"/>
  <c r="V1984" i="17"/>
  <c r="AH1984" i="17"/>
  <c r="J1990" i="17"/>
  <c r="W1990" i="17"/>
  <c r="AI1990" i="17"/>
  <c r="J1991" i="17"/>
  <c r="AA1991" i="17"/>
  <c r="AQ1991" i="17"/>
  <c r="J1994" i="17"/>
  <c r="U1994" i="17"/>
  <c r="AF1994" i="17"/>
  <c r="J1995" i="17"/>
  <c r="Y1995" i="17"/>
  <c r="AM1995" i="17"/>
  <c r="R1986" i="17"/>
  <c r="AA1986" i="17"/>
  <c r="AJ1986" i="17"/>
  <c r="T1987" i="17"/>
  <c r="AG1987" i="17"/>
  <c r="AR1987" i="17"/>
  <c r="R1980" i="17"/>
  <c r="AA1980" i="17"/>
  <c r="AJ1980" i="17"/>
  <c r="J1986" i="17"/>
  <c r="S1986" i="17"/>
  <c r="AB1986" i="17"/>
  <c r="AK1986" i="17"/>
  <c r="J1987" i="17"/>
  <c r="V1987" i="17"/>
  <c r="R1988" i="17"/>
  <c r="AA1988" i="17"/>
  <c r="AJ1988" i="17"/>
  <c r="M14" i="16"/>
  <c r="K186" i="16"/>
  <c r="J186" i="16"/>
  <c r="J219" i="16"/>
  <c r="I219" i="16"/>
  <c r="T263" i="16"/>
  <c r="J263" i="16"/>
  <c r="K277" i="16"/>
  <c r="M277" i="16"/>
  <c r="H315" i="16"/>
  <c r="G315" i="16"/>
  <c r="H331" i="16"/>
  <c r="G331" i="16"/>
  <c r="I489" i="16"/>
  <c r="L489" i="16"/>
  <c r="K489" i="16"/>
  <c r="J610" i="16"/>
  <c r="I610" i="16"/>
  <c r="H610" i="16"/>
  <c r="G610" i="16"/>
  <c r="H641" i="16"/>
  <c r="I641" i="16"/>
  <c r="G894" i="16"/>
  <c r="F894" i="16"/>
  <c r="K894" i="16"/>
  <c r="E894" i="16"/>
  <c r="I995" i="16"/>
  <c r="H995" i="16"/>
  <c r="K1293" i="16"/>
  <c r="L1293" i="16"/>
  <c r="H1293" i="16"/>
  <c r="G1293" i="16"/>
  <c r="M1293" i="16"/>
  <c r="T191" i="16"/>
  <c r="M191" i="16"/>
  <c r="T255" i="16"/>
  <c r="M255" i="16"/>
  <c r="J418" i="16"/>
  <c r="I418" i="16"/>
  <c r="H418" i="16"/>
  <c r="I443" i="16"/>
  <c r="H443" i="16"/>
  <c r="G443" i="16"/>
  <c r="J550" i="16"/>
  <c r="M550" i="16"/>
  <c r="L550" i="16"/>
  <c r="K550" i="16"/>
  <c r="J594" i="16"/>
  <c r="K594" i="16"/>
  <c r="I594" i="16"/>
  <c r="F724" i="16"/>
  <c r="M724" i="16"/>
  <c r="H724" i="16"/>
  <c r="G724" i="16"/>
  <c r="E724" i="16"/>
  <c r="M740" i="16"/>
  <c r="H740" i="16"/>
  <c r="G740" i="16"/>
  <c r="M22" i="16"/>
  <c r="T71" i="16"/>
  <c r="M133" i="16"/>
  <c r="L133" i="16"/>
  <c r="H179" i="16"/>
  <c r="G179" i="16"/>
  <c r="I193" i="16"/>
  <c r="H193" i="16"/>
  <c r="H218" i="16"/>
  <c r="G218" i="16"/>
  <c r="J227" i="16"/>
  <c r="I227" i="16"/>
  <c r="T271" i="16"/>
  <c r="L271" i="16"/>
  <c r="M271" i="16"/>
  <c r="K271" i="16"/>
  <c r="K328" i="16"/>
  <c r="E328" i="16"/>
  <c r="F365" i="16"/>
  <c r="E365" i="16"/>
  <c r="P365" i="16" s="1"/>
  <c r="H365" i="9" s="1"/>
  <c r="H412" i="16"/>
  <c r="E412" i="16"/>
  <c r="L440" i="16"/>
  <c r="M440" i="16"/>
  <c r="K440" i="16"/>
  <c r="K533" i="16"/>
  <c r="L533" i="16"/>
  <c r="G533" i="16"/>
  <c r="J648" i="16"/>
  <c r="K648" i="16"/>
  <c r="I648" i="16"/>
  <c r="E648" i="16"/>
  <c r="J674" i="16"/>
  <c r="I674" i="16"/>
  <c r="H674" i="16"/>
  <c r="H684" i="16"/>
  <c r="E684" i="16"/>
  <c r="M684" i="16"/>
  <c r="L745" i="16"/>
  <c r="K745" i="16"/>
  <c r="J745" i="16"/>
  <c r="I745" i="16"/>
  <c r="L789" i="16"/>
  <c r="G789" i="16"/>
  <c r="H789" i="16"/>
  <c r="J867" i="16"/>
  <c r="I867" i="16"/>
  <c r="H916" i="16"/>
  <c r="G916" i="16"/>
  <c r="M916" i="16"/>
  <c r="I1147" i="16"/>
  <c r="H1147" i="16"/>
  <c r="G1147" i="16"/>
  <c r="I1187" i="16"/>
  <c r="H1187" i="16"/>
  <c r="J1187" i="16"/>
  <c r="E16" i="16"/>
  <c r="F16" i="16" s="1"/>
  <c r="T121" i="16"/>
  <c r="E158" i="16"/>
  <c r="F158" i="16" s="1"/>
  <c r="K185" i="16"/>
  <c r="I185" i="16"/>
  <c r="H185" i="16"/>
  <c r="T327" i="16"/>
  <c r="M327" i="16"/>
  <c r="L409" i="16"/>
  <c r="K409" i="16"/>
  <c r="L448" i="16"/>
  <c r="K448" i="16"/>
  <c r="J448" i="16"/>
  <c r="K541" i="16"/>
  <c r="F541" i="16"/>
  <c r="G541" i="16"/>
  <c r="E541" i="16"/>
  <c r="P541" i="16" s="1"/>
  <c r="I554" i="16"/>
  <c r="J554" i="16"/>
  <c r="H554" i="16"/>
  <c r="G602" i="16"/>
  <c r="J602" i="16"/>
  <c r="I602" i="16"/>
  <c r="J999" i="16"/>
  <c r="F999" i="16"/>
  <c r="M1333" i="16"/>
  <c r="E1333" i="16"/>
  <c r="E3" i="16"/>
  <c r="E14" i="16"/>
  <c r="P46" i="16"/>
  <c r="H46" i="9" s="1"/>
  <c r="E92" i="16"/>
  <c r="K100" i="16"/>
  <c r="G104" i="16"/>
  <c r="H108" i="16"/>
  <c r="K109" i="16"/>
  <c r="G127" i="16"/>
  <c r="I128" i="16"/>
  <c r="E139" i="16"/>
  <c r="F139" i="16" s="1"/>
  <c r="J142" i="16"/>
  <c r="M172" i="16"/>
  <c r="I172" i="16"/>
  <c r="J191" i="16"/>
  <c r="K213" i="16"/>
  <c r="L213" i="16"/>
  <c r="H213" i="16"/>
  <c r="G213" i="16"/>
  <c r="H220" i="16"/>
  <c r="G220" i="16"/>
  <c r="J235" i="16"/>
  <c r="I235" i="16"/>
  <c r="H235" i="16"/>
  <c r="K263" i="16"/>
  <c r="E271" i="16"/>
  <c r="F271" i="16" s="1"/>
  <c r="G276" i="16"/>
  <c r="G277" i="16"/>
  <c r="I280" i="16"/>
  <c r="E280" i="16"/>
  <c r="T280" i="16" s="1"/>
  <c r="J282" i="16"/>
  <c r="G282" i="16"/>
  <c r="G292" i="16"/>
  <c r="E293" i="16"/>
  <c r="E301" i="16"/>
  <c r="P301" i="16" s="1"/>
  <c r="F301" i="16"/>
  <c r="I315" i="16"/>
  <c r="I331" i="16"/>
  <c r="E356" i="16"/>
  <c r="E357" i="16"/>
  <c r="F357" i="16" s="1"/>
  <c r="H364" i="16"/>
  <c r="E364" i="16"/>
  <c r="J370" i="16"/>
  <c r="G370" i="16"/>
  <c r="L374" i="16"/>
  <c r="K397" i="16"/>
  <c r="L397" i="16"/>
  <c r="H397" i="16"/>
  <c r="G397" i="16"/>
  <c r="H449" i="16"/>
  <c r="J453" i="16"/>
  <c r="M453" i="16"/>
  <c r="J477" i="16"/>
  <c r="G477" i="16"/>
  <c r="F477" i="16"/>
  <c r="E477" i="16"/>
  <c r="P477" i="16" s="1"/>
  <c r="H477" i="9" s="1"/>
  <c r="M488" i="16"/>
  <c r="L488" i="16"/>
  <c r="J489" i="16"/>
  <c r="E589" i="16"/>
  <c r="F589" i="16" s="1"/>
  <c r="K633" i="16"/>
  <c r="J633" i="16"/>
  <c r="M644" i="16"/>
  <c r="I644" i="16"/>
  <c r="H644" i="16"/>
  <c r="T647" i="16"/>
  <c r="L647" i="16"/>
  <c r="K647" i="16"/>
  <c r="E660" i="16"/>
  <c r="F660" i="16" s="1"/>
  <c r="M660" i="16"/>
  <c r="T660" i="16"/>
  <c r="P660" i="16"/>
  <c r="H660" i="16"/>
  <c r="E661" i="16"/>
  <c r="I691" i="16"/>
  <c r="J696" i="16"/>
  <c r="M696" i="16"/>
  <c r="L696" i="16"/>
  <c r="K696" i="16"/>
  <c r="K753" i="16"/>
  <c r="J753" i="16"/>
  <c r="I753" i="16"/>
  <c r="H753" i="16"/>
  <c r="G754" i="16"/>
  <c r="K775" i="16"/>
  <c r="M775" i="16"/>
  <c r="L775" i="16"/>
  <c r="K825" i="16"/>
  <c r="J825" i="16"/>
  <c r="G827" i="16"/>
  <c r="H827" i="16"/>
  <c r="I827" i="16"/>
  <c r="M864" i="16"/>
  <c r="E864" i="16"/>
  <c r="H883" i="16"/>
  <c r="I883" i="16"/>
  <c r="J883" i="16"/>
  <c r="J939" i="16"/>
  <c r="I939" i="16"/>
  <c r="J942" i="16"/>
  <c r="M942" i="16"/>
  <c r="L942" i="16"/>
  <c r="K942" i="16"/>
  <c r="G942" i="16"/>
  <c r="M944" i="16"/>
  <c r="L944" i="16"/>
  <c r="K944" i="16"/>
  <c r="K981" i="16"/>
  <c r="E981" i="16"/>
  <c r="H981" i="16"/>
  <c r="G981" i="16"/>
  <c r="F981" i="16"/>
  <c r="L981" i="16"/>
  <c r="H994" i="16"/>
  <c r="G994" i="16"/>
  <c r="J994" i="16"/>
  <c r="I994" i="16"/>
  <c r="J995" i="16"/>
  <c r="H1083" i="16"/>
  <c r="I1083" i="16"/>
  <c r="G1083" i="16"/>
  <c r="E1086" i="16"/>
  <c r="G1086" i="16"/>
  <c r="F1086" i="16"/>
  <c r="I1088" i="16"/>
  <c r="E1088" i="16"/>
  <c r="J1088" i="16"/>
  <c r="K1088" i="16"/>
  <c r="J1119" i="16"/>
  <c r="E1119" i="16"/>
  <c r="J1142" i="16"/>
  <c r="G1142" i="16"/>
  <c r="F1142" i="16"/>
  <c r="L1142" i="16"/>
  <c r="K1142" i="16"/>
  <c r="E1142" i="16"/>
  <c r="L1144" i="16"/>
  <c r="K1144" i="16"/>
  <c r="J1144" i="16"/>
  <c r="I1144" i="16"/>
  <c r="E1303" i="16"/>
  <c r="L1303" i="16"/>
  <c r="K1303" i="16"/>
  <c r="M1303" i="16"/>
  <c r="J1303" i="16"/>
  <c r="K1338" i="16"/>
  <c r="J1338" i="16"/>
  <c r="O1338" i="16" s="1"/>
  <c r="H11" i="16"/>
  <c r="F14" i="16"/>
  <c r="H15" i="16"/>
  <c r="E33" i="16"/>
  <c r="G37" i="16"/>
  <c r="G63" i="16"/>
  <c r="G64" i="16"/>
  <c r="I75" i="16"/>
  <c r="G83" i="16"/>
  <c r="E91" i="16"/>
  <c r="I91" i="9" s="1"/>
  <c r="L100" i="16"/>
  <c r="H104" i="16"/>
  <c r="J108" i="16"/>
  <c r="E109" i="16"/>
  <c r="I109" i="9" s="1"/>
  <c r="E113" i="16"/>
  <c r="G114" i="16"/>
  <c r="H124" i="16"/>
  <c r="J126" i="16"/>
  <c r="H127" i="16"/>
  <c r="L161" i="16"/>
  <c r="K161" i="16"/>
  <c r="J161" i="16"/>
  <c r="J174" i="16"/>
  <c r="G174" i="16"/>
  <c r="K184" i="16"/>
  <c r="J184" i="16"/>
  <c r="K190" i="16"/>
  <c r="G190" i="16"/>
  <c r="L191" i="16"/>
  <c r="H229" i="16"/>
  <c r="G229" i="16"/>
  <c r="M260" i="16"/>
  <c r="L263" i="16"/>
  <c r="H277" i="16"/>
  <c r="H292" i="16"/>
  <c r="F293" i="16"/>
  <c r="M296" i="16"/>
  <c r="L296" i="16"/>
  <c r="L304" i="16"/>
  <c r="J306" i="16"/>
  <c r="G306" i="16"/>
  <c r="K318" i="16"/>
  <c r="G318" i="16"/>
  <c r="E318" i="16"/>
  <c r="F318" i="16" s="1"/>
  <c r="F356" i="16"/>
  <c r="H357" i="16"/>
  <c r="J391" i="16"/>
  <c r="E392" i="16"/>
  <c r="J394" i="16"/>
  <c r="O394" i="16" s="1"/>
  <c r="K394" i="16"/>
  <c r="J414" i="16"/>
  <c r="M414" i="16"/>
  <c r="G418" i="16"/>
  <c r="H444" i="16"/>
  <c r="M444" i="16"/>
  <c r="J461" i="16"/>
  <c r="E461" i="16"/>
  <c r="F461" i="16" s="1"/>
  <c r="G461" i="16"/>
  <c r="J469" i="16"/>
  <c r="G469" i="16"/>
  <c r="M469" i="16"/>
  <c r="L469" i="16"/>
  <c r="J514" i="16"/>
  <c r="J525" i="16"/>
  <c r="L525" i="16"/>
  <c r="H525" i="16"/>
  <c r="G525" i="16"/>
  <c r="H540" i="16"/>
  <c r="G540" i="16"/>
  <c r="E540" i="16"/>
  <c r="F540" i="16" s="1"/>
  <c r="H549" i="16"/>
  <c r="G549" i="16"/>
  <c r="E549" i="16"/>
  <c r="G550" i="16"/>
  <c r="G589" i="16"/>
  <c r="L591" i="16"/>
  <c r="M591" i="16"/>
  <c r="K591" i="16"/>
  <c r="J591" i="16"/>
  <c r="H594" i="16"/>
  <c r="J626" i="16"/>
  <c r="G626" i="16"/>
  <c r="J630" i="16"/>
  <c r="E630" i="16"/>
  <c r="K630" i="16"/>
  <c r="G630" i="16"/>
  <c r="F630" i="16"/>
  <c r="K669" i="16"/>
  <c r="H669" i="16"/>
  <c r="G669" i="16"/>
  <c r="F669" i="16"/>
  <c r="M700" i="16"/>
  <c r="I700" i="16"/>
  <c r="J717" i="16"/>
  <c r="O717" i="16" s="1"/>
  <c r="H717" i="16"/>
  <c r="M717" i="16"/>
  <c r="G717" i="16"/>
  <c r="E717" i="16"/>
  <c r="F717" i="16" s="1"/>
  <c r="K725" i="16"/>
  <c r="G725" i="16"/>
  <c r="M725" i="16"/>
  <c r="L725" i="16"/>
  <c r="E740" i="16"/>
  <c r="F740" i="16" s="1"/>
  <c r="K853" i="16"/>
  <c r="H853" i="16"/>
  <c r="M853" i="16"/>
  <c r="L853" i="16"/>
  <c r="G853" i="16"/>
  <c r="J855" i="16"/>
  <c r="F855" i="16"/>
  <c r="E855" i="16"/>
  <c r="H956" i="16"/>
  <c r="I956" i="16"/>
  <c r="I1035" i="16"/>
  <c r="G1035" i="16"/>
  <c r="H1116" i="16"/>
  <c r="E1116" i="16"/>
  <c r="G1116" i="16"/>
  <c r="F1116" i="16"/>
  <c r="K1309" i="16"/>
  <c r="M1309" i="16"/>
  <c r="G1309" i="16"/>
  <c r="F1309" i="16"/>
  <c r="H1309" i="16"/>
  <c r="E1309" i="16"/>
  <c r="L1309" i="16"/>
  <c r="M1316" i="16"/>
  <c r="H1316" i="16"/>
  <c r="G1316" i="16"/>
  <c r="E1316" i="16"/>
  <c r="I142" i="16"/>
  <c r="H142" i="16"/>
  <c r="T276" i="16"/>
  <c r="E276" i="16"/>
  <c r="F276" i="16" s="1"/>
  <c r="P293" i="16"/>
  <c r="H293" i="9" s="1"/>
  <c r="J374" i="16"/>
  <c r="K374" i="16"/>
  <c r="G374" i="16"/>
  <c r="F374" i="16"/>
  <c r="E374" i="16"/>
  <c r="T519" i="16"/>
  <c r="L519" i="16"/>
  <c r="M519" i="16"/>
  <c r="K519" i="16"/>
  <c r="M589" i="16"/>
  <c r="I625" i="16"/>
  <c r="J625" i="16"/>
  <c r="H625" i="16"/>
  <c r="G691" i="16"/>
  <c r="H691" i="16"/>
  <c r="H797" i="16"/>
  <c r="L797" i="16"/>
  <c r="G797" i="16"/>
  <c r="F797" i="16"/>
  <c r="E797" i="16"/>
  <c r="J886" i="16"/>
  <c r="E886" i="16"/>
  <c r="G886" i="16"/>
  <c r="F886" i="16"/>
  <c r="L886" i="16"/>
  <c r="I896" i="16"/>
  <c r="L896" i="16"/>
  <c r="K896" i="16"/>
  <c r="I1002" i="16"/>
  <c r="J1002" i="16"/>
  <c r="H1002" i="16"/>
  <c r="G1002" i="16"/>
  <c r="K1245" i="16"/>
  <c r="L1245" i="16"/>
  <c r="M1245" i="16"/>
  <c r="H1245" i="16"/>
  <c r="G1245" i="16"/>
  <c r="O1245" i="16" s="1"/>
  <c r="P14" i="16"/>
  <c r="H14" i="9" s="1"/>
  <c r="M91" i="16"/>
  <c r="J310" i="16"/>
  <c r="E310" i="16"/>
  <c r="L310" i="16"/>
  <c r="K310" i="16"/>
  <c r="G310" i="16"/>
  <c r="H484" i="16"/>
  <c r="M484" i="16"/>
  <c r="G484" i="16"/>
  <c r="E484" i="16"/>
  <c r="F484" i="16" s="1"/>
  <c r="J542" i="16"/>
  <c r="M542" i="16"/>
  <c r="J597" i="16"/>
  <c r="G597" i="16"/>
  <c r="K661" i="16"/>
  <c r="H661" i="16"/>
  <c r="M661" i="16"/>
  <c r="L661" i="16"/>
  <c r="I699" i="16"/>
  <c r="H699" i="16"/>
  <c r="G699" i="16"/>
  <c r="E805" i="16"/>
  <c r="H805" i="16"/>
  <c r="G805" i="16"/>
  <c r="I920" i="16"/>
  <c r="E920" i="16"/>
  <c r="M1004" i="16"/>
  <c r="E1004" i="16"/>
  <c r="E49" i="16"/>
  <c r="T57" i="16"/>
  <c r="E100" i="16"/>
  <c r="M124" i="16"/>
  <c r="J139" i="16"/>
  <c r="K139" i="16"/>
  <c r="G139" i="16"/>
  <c r="E140" i="16"/>
  <c r="J162" i="16"/>
  <c r="I162" i="16"/>
  <c r="H162" i="16"/>
  <c r="M207" i="16"/>
  <c r="K233" i="16"/>
  <c r="J233" i="16"/>
  <c r="I233" i="16"/>
  <c r="J246" i="16"/>
  <c r="K246" i="16"/>
  <c r="E246" i="16"/>
  <c r="E302" i="16"/>
  <c r="F302" i="16" s="1"/>
  <c r="T343" i="16"/>
  <c r="F343" i="16"/>
  <c r="E343" i="16"/>
  <c r="L353" i="16"/>
  <c r="K353" i="16"/>
  <c r="J353" i="16"/>
  <c r="E519" i="16"/>
  <c r="F519" i="16" s="1"/>
  <c r="L576" i="16"/>
  <c r="K576" i="16"/>
  <c r="M653" i="16"/>
  <c r="H781" i="16"/>
  <c r="G781" i="16"/>
  <c r="E781" i="16"/>
  <c r="F781" i="16" s="1"/>
  <c r="M781" i="16"/>
  <c r="L781" i="16"/>
  <c r="G902" i="16"/>
  <c r="E902" i="16"/>
  <c r="F902" i="16" s="1"/>
  <c r="M957" i="16"/>
  <c r="E957" i="16"/>
  <c r="I1211" i="16"/>
  <c r="H1211" i="16"/>
  <c r="G1211" i="16"/>
  <c r="F1214" i="16"/>
  <c r="E1214" i="16"/>
  <c r="G1214" i="16"/>
  <c r="H1322" i="16"/>
  <c r="I1322" i="16"/>
  <c r="G1322" i="16"/>
  <c r="J1322" i="16"/>
  <c r="M58" i="16"/>
  <c r="E83" i="16"/>
  <c r="F83" i="16" s="1"/>
  <c r="K157" i="16"/>
  <c r="H157" i="16"/>
  <c r="G157" i="16"/>
  <c r="F157" i="16"/>
  <c r="I170" i="16"/>
  <c r="J170" i="16"/>
  <c r="H170" i="16"/>
  <c r="G170" i="16"/>
  <c r="E191" i="16"/>
  <c r="F191" i="16" s="1"/>
  <c r="J302" i="16"/>
  <c r="O302" i="16" s="1"/>
  <c r="E319" i="16"/>
  <c r="F319" i="16" s="1"/>
  <c r="G382" i="16"/>
  <c r="K382" i="16"/>
  <c r="E382" i="16"/>
  <c r="F382" i="16" s="1"/>
  <c r="H532" i="16"/>
  <c r="E532" i="16"/>
  <c r="E550" i="16"/>
  <c r="F550" i="16" s="1"/>
  <c r="T663" i="16"/>
  <c r="E663" i="16"/>
  <c r="L663" i="16"/>
  <c r="E735" i="16"/>
  <c r="F735" i="16" s="1"/>
  <c r="K735" i="16"/>
  <c r="J735" i="16"/>
  <c r="M880" i="16"/>
  <c r="L880" i="16"/>
  <c r="E1006" i="16"/>
  <c r="F1006" i="16" s="1"/>
  <c r="K3" i="16"/>
  <c r="H4" i="16"/>
  <c r="G5" i="16"/>
  <c r="H6" i="16"/>
  <c r="E8" i="16"/>
  <c r="I11" i="16"/>
  <c r="G14" i="16"/>
  <c r="G15" i="16"/>
  <c r="E22" i="16"/>
  <c r="P22" i="16" s="1"/>
  <c r="E23" i="16"/>
  <c r="P30" i="16"/>
  <c r="G36" i="16"/>
  <c r="M38" i="16"/>
  <c r="E40" i="16"/>
  <c r="E48" i="16"/>
  <c r="E57" i="16"/>
  <c r="P57" i="16" s="1"/>
  <c r="E58" i="16"/>
  <c r="F58" i="16" s="1"/>
  <c r="E61" i="16"/>
  <c r="T61" i="16" s="1"/>
  <c r="J62" i="16"/>
  <c r="H63" i="16"/>
  <c r="H64" i="16"/>
  <c r="E71" i="16"/>
  <c r="K76" i="16"/>
  <c r="E81" i="16"/>
  <c r="P81" i="16" s="1"/>
  <c r="H81" i="9" s="1"/>
  <c r="E82" i="16"/>
  <c r="P82" i="16" s="1"/>
  <c r="K83" i="16"/>
  <c r="G91" i="16"/>
  <c r="M100" i="16"/>
  <c r="K108" i="16"/>
  <c r="I109" i="16"/>
  <c r="G112" i="16"/>
  <c r="F113" i="16"/>
  <c r="H114" i="16"/>
  <c r="E124" i="16"/>
  <c r="P124" i="16" s="1"/>
  <c r="K126" i="16"/>
  <c r="I127" i="16"/>
  <c r="L134" i="16"/>
  <c r="K134" i="16"/>
  <c r="L139" i="16"/>
  <c r="H143" i="16"/>
  <c r="G143" i="16"/>
  <c r="G154" i="16"/>
  <c r="H156" i="16"/>
  <c r="T156" i="16"/>
  <c r="P156" i="16"/>
  <c r="H156" i="9" s="1"/>
  <c r="G156" i="16"/>
  <c r="J157" i="16"/>
  <c r="G162" i="16"/>
  <c r="E167" i="16"/>
  <c r="K169" i="16"/>
  <c r="J169" i="16"/>
  <c r="I179" i="16"/>
  <c r="L182" i="16"/>
  <c r="K194" i="16"/>
  <c r="J194" i="16"/>
  <c r="E198" i="16"/>
  <c r="F198" i="16" s="1"/>
  <c r="F207" i="16"/>
  <c r="I218" i="16"/>
  <c r="J226" i="16"/>
  <c r="I226" i="16"/>
  <c r="H226" i="16"/>
  <c r="G226" i="16"/>
  <c r="H227" i="16"/>
  <c r="L233" i="16"/>
  <c r="F246" i="16"/>
  <c r="F254" i="16"/>
  <c r="M263" i="16"/>
  <c r="K269" i="16"/>
  <c r="E269" i="16"/>
  <c r="F269" i="16" s="1"/>
  <c r="J271" i="16"/>
  <c r="M276" i="16"/>
  <c r="L277" i="16"/>
  <c r="G293" i="16"/>
  <c r="M304" i="16"/>
  <c r="M310" i="16"/>
  <c r="I328" i="16"/>
  <c r="J343" i="16"/>
  <c r="G346" i="16"/>
  <c r="H348" i="16"/>
  <c r="G348" i="16"/>
  <c r="T348" i="16"/>
  <c r="P348" i="16"/>
  <c r="H348" i="9" s="1"/>
  <c r="J354" i="16"/>
  <c r="I354" i="16"/>
  <c r="H354" i="16"/>
  <c r="H356" i="16"/>
  <c r="P357" i="16"/>
  <c r="H357" i="9" s="1"/>
  <c r="G365" i="16"/>
  <c r="K369" i="16"/>
  <c r="H369" i="16"/>
  <c r="H388" i="16"/>
  <c r="K391" i="16"/>
  <c r="I392" i="16"/>
  <c r="K405" i="16"/>
  <c r="M405" i="16"/>
  <c r="L405" i="16"/>
  <c r="H405" i="16"/>
  <c r="G405" i="16"/>
  <c r="T407" i="16"/>
  <c r="M407" i="16"/>
  <c r="L407" i="16"/>
  <c r="G412" i="16"/>
  <c r="G421" i="16"/>
  <c r="J438" i="16"/>
  <c r="E438" i="16"/>
  <c r="F438" i="16"/>
  <c r="J440" i="16"/>
  <c r="I456" i="16"/>
  <c r="E456" i="16"/>
  <c r="H476" i="16"/>
  <c r="F476" i="16"/>
  <c r="G485" i="16"/>
  <c r="H485" i="16"/>
  <c r="E485" i="16"/>
  <c r="P485" i="16" s="1"/>
  <c r="I500" i="16"/>
  <c r="M500" i="16"/>
  <c r="L502" i="16"/>
  <c r="H533" i="16"/>
  <c r="O533" i="16" s="1"/>
  <c r="L553" i="16"/>
  <c r="K553" i="16"/>
  <c r="J553" i="16"/>
  <c r="I579" i="16"/>
  <c r="H579" i="16"/>
  <c r="H589" i="16"/>
  <c r="G596" i="16"/>
  <c r="L597" i="16"/>
  <c r="L624" i="16"/>
  <c r="E653" i="16"/>
  <c r="F653" i="16" s="1"/>
  <c r="T664" i="16"/>
  <c r="G674" i="16"/>
  <c r="I692" i="16"/>
  <c r="M692" i="16"/>
  <c r="M789" i="16"/>
  <c r="E823" i="16"/>
  <c r="E831" i="16"/>
  <c r="K845" i="16"/>
  <c r="H845" i="16"/>
  <c r="G845" i="16"/>
  <c r="E845" i="16"/>
  <c r="F845" i="16" s="1"/>
  <c r="M845" i="16"/>
  <c r="L845" i="16"/>
  <c r="K903" i="16"/>
  <c r="J903" i="16"/>
  <c r="M903" i="16"/>
  <c r="E916" i="16"/>
  <c r="F916" i="16" s="1"/>
  <c r="H924" i="16"/>
  <c r="G924" i="16"/>
  <c r="F924" i="16"/>
  <c r="E924" i="16"/>
  <c r="J930" i="16"/>
  <c r="I930" i="16"/>
  <c r="H930" i="16"/>
  <c r="G930" i="16"/>
  <c r="J934" i="16"/>
  <c r="G934" i="16"/>
  <c r="M934" i="16"/>
  <c r="L934" i="16"/>
  <c r="K934" i="16"/>
  <c r="K1029" i="16"/>
  <c r="H1029" i="16"/>
  <c r="M1029" i="16"/>
  <c r="L1029" i="16"/>
  <c r="J1110" i="16"/>
  <c r="M1110" i="16"/>
  <c r="L1110" i="16"/>
  <c r="M1215" i="16"/>
  <c r="L1215" i="16"/>
  <c r="I1220" i="16"/>
  <c r="G1220" i="16"/>
  <c r="H1220" i="16"/>
  <c r="I1298" i="16"/>
  <c r="J1298" i="16"/>
  <c r="G1298" i="16"/>
  <c r="H1298" i="16"/>
  <c r="H236" i="16"/>
  <c r="M236" i="16"/>
  <c r="F292" i="16"/>
  <c r="E292" i="16"/>
  <c r="T292" i="16" s="1"/>
  <c r="L302" i="16"/>
  <c r="M302" i="16"/>
  <c r="K302" i="16"/>
  <c r="I643" i="16"/>
  <c r="O643" i="16" s="1"/>
  <c r="H643" i="16"/>
  <c r="G643" i="16"/>
  <c r="J822" i="16"/>
  <c r="K822" i="16"/>
  <c r="G822" i="16"/>
  <c r="F822" i="16"/>
  <c r="E822" i="16"/>
  <c r="L822" i="16"/>
  <c r="K1173" i="16"/>
  <c r="G1173" i="16"/>
  <c r="M1173" i="16"/>
  <c r="L1173" i="16"/>
  <c r="H1173" i="16"/>
  <c r="L158" i="16"/>
  <c r="K158" i="16"/>
  <c r="K225" i="16"/>
  <c r="J225" i="16"/>
  <c r="I225" i="16"/>
  <c r="H492" i="16"/>
  <c r="E492" i="16"/>
  <c r="P492" i="16" s="1"/>
  <c r="H492" i="9" s="1"/>
  <c r="K645" i="16"/>
  <c r="M645" i="16"/>
  <c r="K888" i="16"/>
  <c r="J888" i="16"/>
  <c r="M888" i="16"/>
  <c r="L888" i="16"/>
  <c r="J1006" i="16"/>
  <c r="M1006" i="16"/>
  <c r="L1006" i="16"/>
  <c r="K1006" i="16"/>
  <c r="G1006" i="16"/>
  <c r="H1180" i="16"/>
  <c r="E1180" i="16"/>
  <c r="G1180" i="16"/>
  <c r="F1180" i="16"/>
  <c r="M9" i="16"/>
  <c r="M41" i="16"/>
  <c r="M46" i="16"/>
  <c r="E63" i="16"/>
  <c r="E84" i="16"/>
  <c r="E108" i="16"/>
  <c r="I323" i="16"/>
  <c r="H323" i="16"/>
  <c r="G323" i="16"/>
  <c r="E542" i="16"/>
  <c r="L609" i="16"/>
  <c r="J609" i="16"/>
  <c r="I618" i="16"/>
  <c r="J618" i="16"/>
  <c r="H618" i="16"/>
  <c r="G618" i="16"/>
  <c r="J678" i="16"/>
  <c r="G678" i="16"/>
  <c r="L678" i="16"/>
  <c r="K678" i="16"/>
  <c r="I715" i="16"/>
  <c r="H715" i="16"/>
  <c r="H788" i="16"/>
  <c r="E788" i="16"/>
  <c r="L3" i="16"/>
  <c r="M6" i="16"/>
  <c r="E9" i="16"/>
  <c r="K10" i="16"/>
  <c r="J11" i="16"/>
  <c r="H14" i="16"/>
  <c r="L15" i="16"/>
  <c r="F22" i="16"/>
  <c r="H27" i="16"/>
  <c r="M33" i="16"/>
  <c r="H36" i="16"/>
  <c r="E41" i="16"/>
  <c r="I42" i="16"/>
  <c r="H43" i="16"/>
  <c r="E46" i="16"/>
  <c r="L50" i="16"/>
  <c r="E52" i="16"/>
  <c r="E53" i="16"/>
  <c r="G58" i="16"/>
  <c r="G66" i="16"/>
  <c r="L83" i="16"/>
  <c r="K91" i="16"/>
  <c r="L108" i="16"/>
  <c r="K130" i="16"/>
  <c r="P130" i="16"/>
  <c r="H130" i="9" s="1"/>
  <c r="M130" i="16"/>
  <c r="L130" i="16"/>
  <c r="M139" i="16"/>
  <c r="I150" i="16"/>
  <c r="E157" i="16"/>
  <c r="P157" i="16" s="1"/>
  <c r="H157" i="9" s="1"/>
  <c r="G164" i="16"/>
  <c r="J166" i="16"/>
  <c r="M166" i="16"/>
  <c r="L166" i="16"/>
  <c r="K166" i="16"/>
  <c r="J171" i="16"/>
  <c r="I171" i="16"/>
  <c r="H171" i="16"/>
  <c r="M180" i="16"/>
  <c r="I180" i="16"/>
  <c r="H180" i="16"/>
  <c r="J185" i="16"/>
  <c r="E213" i="16"/>
  <c r="P213" i="16" s="1"/>
  <c r="J218" i="16"/>
  <c r="I234" i="16"/>
  <c r="H234" i="16"/>
  <c r="G234" i="16"/>
  <c r="G246" i="16"/>
  <c r="O246" i="16" s="1"/>
  <c r="G254" i="16"/>
  <c r="O254" i="16" s="1"/>
  <c r="I274" i="16"/>
  <c r="K274" i="16"/>
  <c r="J274" i="16"/>
  <c r="P276" i="16"/>
  <c r="H276" i="9" s="1"/>
  <c r="P292" i="16"/>
  <c r="I305" i="16"/>
  <c r="H305" i="16"/>
  <c r="J327" i="16"/>
  <c r="J328" i="16"/>
  <c r="K343" i="16"/>
  <c r="M356" i="16"/>
  <c r="T358" i="16"/>
  <c r="K358" i="16"/>
  <c r="G358" i="16"/>
  <c r="J366" i="16"/>
  <c r="G366" i="16"/>
  <c r="M366" i="16"/>
  <c r="L366" i="16"/>
  <c r="K366" i="16"/>
  <c r="F367" i="16"/>
  <c r="J384" i="16"/>
  <c r="I388" i="16"/>
  <c r="K413" i="16"/>
  <c r="E413" i="16"/>
  <c r="P413" i="16" s="1"/>
  <c r="H413" i="16"/>
  <c r="G413" i="16"/>
  <c r="F413" i="16"/>
  <c r="H421" i="16"/>
  <c r="K433" i="16"/>
  <c r="J433" i="16"/>
  <c r="I433" i="16"/>
  <c r="H433" i="16"/>
  <c r="G434" i="16"/>
  <c r="I448" i="16"/>
  <c r="M452" i="16"/>
  <c r="I452" i="16"/>
  <c r="H452" i="16"/>
  <c r="T455" i="16"/>
  <c r="K455" i="16"/>
  <c r="T471" i="16"/>
  <c r="J471" i="16"/>
  <c r="M471" i="16"/>
  <c r="F532" i="16"/>
  <c r="M533" i="16"/>
  <c r="H541" i="16"/>
  <c r="M548" i="16"/>
  <c r="H548" i="16"/>
  <c r="G548" i="16"/>
  <c r="G554" i="16"/>
  <c r="L589" i="16"/>
  <c r="H596" i="16"/>
  <c r="M597" i="16"/>
  <c r="H602" i="16"/>
  <c r="K609" i="16"/>
  <c r="G653" i="16"/>
  <c r="T655" i="16"/>
  <c r="K655" i="16"/>
  <c r="M655" i="16"/>
  <c r="L655" i="16"/>
  <c r="J655" i="16"/>
  <c r="F663" i="16"/>
  <c r="L665" i="16"/>
  <c r="K665" i="16"/>
  <c r="M678" i="16"/>
  <c r="G702" i="16"/>
  <c r="K702" i="16"/>
  <c r="E702" i="16"/>
  <c r="F702" i="16" s="1"/>
  <c r="I704" i="16"/>
  <c r="L704" i="16"/>
  <c r="K714" i="16"/>
  <c r="J714" i="16"/>
  <c r="O714" i="16" s="1"/>
  <c r="I714" i="16"/>
  <c r="G715" i="16"/>
  <c r="K729" i="16"/>
  <c r="F788" i="16"/>
  <c r="K1026" i="16"/>
  <c r="J1026" i="16"/>
  <c r="I1026" i="16"/>
  <c r="K1037" i="16"/>
  <c r="H1037" i="16"/>
  <c r="G1037" i="16"/>
  <c r="L1037" i="16"/>
  <c r="M1037" i="16"/>
  <c r="H1060" i="16"/>
  <c r="M1060" i="16"/>
  <c r="E1060" i="16"/>
  <c r="K1229" i="16"/>
  <c r="H1229" i="16"/>
  <c r="L1229" i="16"/>
  <c r="G1229" i="16"/>
  <c r="M1229" i="16"/>
  <c r="M1231" i="16"/>
  <c r="L1231" i="16"/>
  <c r="K1231" i="16"/>
  <c r="J1231" i="16"/>
  <c r="K1237" i="16"/>
  <c r="G1237" i="16"/>
  <c r="F1237" i="16"/>
  <c r="E1237" i="16"/>
  <c r="H1237" i="16"/>
  <c r="M1237" i="16"/>
  <c r="L1237" i="16"/>
  <c r="M131" i="16"/>
  <c r="I135" i="16"/>
  <c r="K147" i="16"/>
  <c r="E174" i="16"/>
  <c r="F174" i="16" s="1"/>
  <c r="E175" i="16"/>
  <c r="H205" i="16"/>
  <c r="M212" i="16"/>
  <c r="M215" i="16"/>
  <c r="M222" i="16"/>
  <c r="H228" i="16"/>
  <c r="L230" i="16"/>
  <c r="K249" i="16"/>
  <c r="J249" i="16"/>
  <c r="E255" i="16"/>
  <c r="F255" i="16" s="1"/>
  <c r="E263" i="16"/>
  <c r="F263" i="16" s="1"/>
  <c r="E278" i="16"/>
  <c r="F278" i="16" s="1"/>
  <c r="P284" i="16"/>
  <c r="H284" i="9" s="1"/>
  <c r="E288" i="16"/>
  <c r="T288" i="16" s="1"/>
  <c r="J307" i="16"/>
  <c r="O322" i="16"/>
  <c r="H329" i="16"/>
  <c r="H333" i="16"/>
  <c r="H349" i="16"/>
  <c r="E358" i="16"/>
  <c r="F358" i="16" s="1"/>
  <c r="I362" i="16"/>
  <c r="I371" i="16"/>
  <c r="K400" i="16"/>
  <c r="I400" i="16"/>
  <c r="G404" i="16"/>
  <c r="I410" i="16"/>
  <c r="K415" i="16"/>
  <c r="H457" i="16"/>
  <c r="E462" i="16"/>
  <c r="F462" i="16" s="1"/>
  <c r="M468" i="16"/>
  <c r="K477" i="16"/>
  <c r="E478" i="16"/>
  <c r="F478" i="16" s="1"/>
  <c r="M486" i="16"/>
  <c r="T494" i="16"/>
  <c r="G494" i="16"/>
  <c r="J497" i="16"/>
  <c r="K520" i="16"/>
  <c r="J530" i="16"/>
  <c r="K535" i="16"/>
  <c r="I538" i="16"/>
  <c r="M541" i="16"/>
  <c r="J566" i="16"/>
  <c r="E566" i="16"/>
  <c r="K599" i="16"/>
  <c r="H612" i="16"/>
  <c r="P613" i="16"/>
  <c r="H613" i="9" s="1"/>
  <c r="H620" i="16"/>
  <c r="M620" i="16"/>
  <c r="M648" i="16"/>
  <c r="E677" i="16"/>
  <c r="F677" i="16"/>
  <c r="E678" i="16"/>
  <c r="F678" i="16" s="1"/>
  <c r="J686" i="16"/>
  <c r="G686" i="16"/>
  <c r="J689" i="16"/>
  <c r="J733" i="16"/>
  <c r="O733" i="16" s="1"/>
  <c r="E733" i="16"/>
  <c r="H741" i="16"/>
  <c r="G741" i="16"/>
  <c r="I938" i="16"/>
  <c r="G938" i="16"/>
  <c r="J938" i="16"/>
  <c r="H938" i="16"/>
  <c r="H996" i="16"/>
  <c r="E996" i="16"/>
  <c r="M996" i="16"/>
  <c r="J998" i="16"/>
  <c r="K998" i="16"/>
  <c r="G998" i="16"/>
  <c r="I1003" i="16"/>
  <c r="J1003" i="16"/>
  <c r="H1003" i="16"/>
  <c r="G1003" i="16"/>
  <c r="M1021" i="16"/>
  <c r="L1021" i="16"/>
  <c r="M1143" i="16"/>
  <c r="L1143" i="16"/>
  <c r="K1285" i="16"/>
  <c r="M1285" i="16"/>
  <c r="L1285" i="16"/>
  <c r="H1285" i="16"/>
  <c r="J1326" i="16"/>
  <c r="G1326" i="16"/>
  <c r="F1326" i="16"/>
  <c r="M1326" i="16"/>
  <c r="L1326" i="16"/>
  <c r="K150" i="16"/>
  <c r="E183" i="16"/>
  <c r="L205" i="16"/>
  <c r="E207" i="16"/>
  <c r="I207" i="9" s="1"/>
  <c r="J221" i="16"/>
  <c r="G221" i="16"/>
  <c r="P221" i="16"/>
  <c r="H221" i="9" s="1"/>
  <c r="M228" i="16"/>
  <c r="M230" i="16"/>
  <c r="E247" i="16"/>
  <c r="F247" i="16" s="1"/>
  <c r="T284" i="16"/>
  <c r="M288" i="16"/>
  <c r="E327" i="16"/>
  <c r="M328" i="16"/>
  <c r="L333" i="16"/>
  <c r="E344" i="16"/>
  <c r="T344" i="16" s="1"/>
  <c r="J358" i="16"/>
  <c r="O358" i="16" s="1"/>
  <c r="E391" i="16"/>
  <c r="T399" i="16"/>
  <c r="K399" i="16"/>
  <c r="H404" i="16"/>
  <c r="H428" i="16"/>
  <c r="E428" i="16"/>
  <c r="E455" i="16"/>
  <c r="F455" i="16" s="1"/>
  <c r="M456" i="16"/>
  <c r="K461" i="16"/>
  <c r="P468" i="16"/>
  <c r="H468" i="9" s="1"/>
  <c r="E533" i="16"/>
  <c r="L535" i="16"/>
  <c r="J546" i="16"/>
  <c r="I546" i="16"/>
  <c r="J558" i="16"/>
  <c r="K558" i="16"/>
  <c r="K597" i="16"/>
  <c r="T612" i="16"/>
  <c r="J614" i="16"/>
  <c r="L614" i="16"/>
  <c r="L632" i="16"/>
  <c r="M632" i="16"/>
  <c r="E647" i="16"/>
  <c r="F647" i="16" s="1"/>
  <c r="J666" i="16"/>
  <c r="G666" i="16"/>
  <c r="K706" i="16"/>
  <c r="O706" i="16"/>
  <c r="G730" i="16"/>
  <c r="I730" i="16"/>
  <c r="H730" i="16"/>
  <c r="I746" i="16"/>
  <c r="J746" i="16"/>
  <c r="H746" i="16"/>
  <c r="K770" i="16"/>
  <c r="J770" i="16"/>
  <c r="E775" i="16"/>
  <c r="F775" i="16" s="1"/>
  <c r="I810" i="16"/>
  <c r="H810" i="16"/>
  <c r="M822" i="16"/>
  <c r="H844" i="16"/>
  <c r="I844" i="16"/>
  <c r="G844" i="16"/>
  <c r="G852" i="16"/>
  <c r="H852" i="16"/>
  <c r="E852" i="16"/>
  <c r="F852" i="16" s="1"/>
  <c r="J853" i="16"/>
  <c r="J952" i="16"/>
  <c r="K952" i="16"/>
  <c r="I963" i="16"/>
  <c r="H963" i="16"/>
  <c r="G963" i="16"/>
  <c r="K989" i="16"/>
  <c r="L989" i="16"/>
  <c r="H989" i="16"/>
  <c r="G989" i="16"/>
  <c r="E989" i="16"/>
  <c r="J991" i="16"/>
  <c r="E991" i="16"/>
  <c r="H1100" i="16"/>
  <c r="G1100" i="16"/>
  <c r="E1100" i="16"/>
  <c r="I1148" i="16"/>
  <c r="M1148" i="16"/>
  <c r="H1148" i="16"/>
  <c r="G1148" i="16"/>
  <c r="J1182" i="16"/>
  <c r="K1182" i="16"/>
  <c r="M1182" i="16"/>
  <c r="L1182" i="16"/>
  <c r="M1268" i="16"/>
  <c r="I1268" i="16"/>
  <c r="H1268" i="16"/>
  <c r="J1270" i="16"/>
  <c r="L1270" i="16"/>
  <c r="E1270" i="16"/>
  <c r="F1270" i="16" s="1"/>
  <c r="M1270" i="16"/>
  <c r="K1270" i="16"/>
  <c r="G1270" i="16"/>
  <c r="O1270" i="16" s="1"/>
  <c r="M147" i="16"/>
  <c r="M182" i="16"/>
  <c r="M205" i="16"/>
  <c r="L232" i="16"/>
  <c r="J254" i="16"/>
  <c r="E277" i="16"/>
  <c r="L279" i="16"/>
  <c r="L285" i="16"/>
  <c r="M333" i="16"/>
  <c r="J336" i="16"/>
  <c r="K341" i="16"/>
  <c r="M341" i="16"/>
  <c r="J349" i="16"/>
  <c r="O349" i="16" s="1"/>
  <c r="F349" i="16"/>
  <c r="M349" i="16"/>
  <c r="K357" i="16"/>
  <c r="M392" i="16"/>
  <c r="H393" i="16"/>
  <c r="M404" i="16"/>
  <c r="K441" i="16"/>
  <c r="J441" i="16"/>
  <c r="T463" i="16"/>
  <c r="M463" i="16"/>
  <c r="T468" i="16"/>
  <c r="E472" i="16"/>
  <c r="T472" i="16" s="1"/>
  <c r="I490" i="16"/>
  <c r="G490" i="16"/>
  <c r="E494" i="16"/>
  <c r="F494" i="16" s="1"/>
  <c r="J502" i="16"/>
  <c r="J528" i="16"/>
  <c r="L593" i="16"/>
  <c r="T599" i="16"/>
  <c r="J599" i="16"/>
  <c r="J622" i="16"/>
  <c r="M622" i="16"/>
  <c r="M663" i="16"/>
  <c r="M672" i="16"/>
  <c r="J702" i="16"/>
  <c r="O702" i="16" s="1"/>
  <c r="E804" i="16"/>
  <c r="F804" i="16" s="1"/>
  <c r="M804" i="16"/>
  <c r="H804" i="16"/>
  <c r="G804" i="16"/>
  <c r="I836" i="16"/>
  <c r="M836" i="16"/>
  <c r="M911" i="16"/>
  <c r="L911" i="16"/>
  <c r="K911" i="16"/>
  <c r="J911" i="16"/>
  <c r="K968" i="16"/>
  <c r="J968" i="16"/>
  <c r="M968" i="16"/>
  <c r="I968" i="16"/>
  <c r="G980" i="16"/>
  <c r="F980" i="16"/>
  <c r="M980" i="16"/>
  <c r="H980" i="16"/>
  <c r="E980" i="16"/>
  <c r="T980" i="16"/>
  <c r="G1044" i="16"/>
  <c r="F1044" i="16"/>
  <c r="H1044" i="16"/>
  <c r="E1044" i="16"/>
  <c r="E1143" i="16"/>
  <c r="J1234" i="16"/>
  <c r="I1234" i="16"/>
  <c r="G1234" i="16"/>
  <c r="H1234" i="16"/>
  <c r="G1236" i="16"/>
  <c r="E1236" i="16"/>
  <c r="F1236" i="16" s="1"/>
  <c r="H1236" i="16"/>
  <c r="K1277" i="16"/>
  <c r="M1277" i="16"/>
  <c r="M797" i="16"/>
  <c r="I835" i="16"/>
  <c r="G835" i="16"/>
  <c r="H860" i="16"/>
  <c r="G860" i="16"/>
  <c r="E860" i="16"/>
  <c r="F860" i="16" s="1"/>
  <c r="I874" i="16"/>
  <c r="J874" i="16"/>
  <c r="H874" i="16"/>
  <c r="G874" i="16"/>
  <c r="K953" i="16"/>
  <c r="H953" i="16"/>
  <c r="J953" i="16"/>
  <c r="I953" i="16"/>
  <c r="K973" i="16"/>
  <c r="L973" i="16"/>
  <c r="H973" i="16"/>
  <c r="G973" i="16"/>
  <c r="E973" i="16"/>
  <c r="F973" i="16" s="1"/>
  <c r="J989" i="16"/>
  <c r="I1011" i="16"/>
  <c r="H1011" i="16"/>
  <c r="G1011" i="16"/>
  <c r="J1014" i="16"/>
  <c r="G1014" i="16"/>
  <c r="E1014" i="16"/>
  <c r="F1014" i="16" s="1"/>
  <c r="K1053" i="16"/>
  <c r="L1053" i="16"/>
  <c r="H1053" i="16"/>
  <c r="G1053" i="16"/>
  <c r="E1053" i="16"/>
  <c r="J1073" i="16"/>
  <c r="I1073" i="16"/>
  <c r="H1073" i="16"/>
  <c r="H1092" i="16"/>
  <c r="G1092" i="16"/>
  <c r="J1126" i="16"/>
  <c r="M1126" i="16"/>
  <c r="L1126" i="16"/>
  <c r="K1126" i="16"/>
  <c r="J1170" i="16"/>
  <c r="I1170" i="16"/>
  <c r="G1170" i="16"/>
  <c r="J1226" i="16"/>
  <c r="I1226" i="16"/>
  <c r="K1226" i="16"/>
  <c r="H1226" i="16"/>
  <c r="M1304" i="16"/>
  <c r="E1304" i="16"/>
  <c r="M264" i="16"/>
  <c r="H265" i="16"/>
  <c r="E270" i="16"/>
  <c r="F270" i="16" s="1"/>
  <c r="K293" i="16"/>
  <c r="E294" i="16"/>
  <c r="F294" i="16" s="1"/>
  <c r="E311" i="16"/>
  <c r="F311" i="16" s="1"/>
  <c r="E414" i="16"/>
  <c r="F414" i="16" s="1"/>
  <c r="E511" i="16"/>
  <c r="K525" i="16"/>
  <c r="E526" i="16"/>
  <c r="E575" i="16"/>
  <c r="F575" i="16" s="1"/>
  <c r="E583" i="16"/>
  <c r="F583" i="16" s="1"/>
  <c r="K589" i="16"/>
  <c r="E598" i="16"/>
  <c r="F598" i="16" s="1"/>
  <c r="L605" i="16"/>
  <c r="E614" i="16"/>
  <c r="F614" i="16" s="1"/>
  <c r="M630" i="16"/>
  <c r="K653" i="16"/>
  <c r="E654" i="16"/>
  <c r="F654" i="16" s="1"/>
  <c r="I682" i="16"/>
  <c r="H682" i="16"/>
  <c r="E687" i="16"/>
  <c r="F687" i="16" s="1"/>
  <c r="M752" i="16"/>
  <c r="K752" i="16"/>
  <c r="H796" i="16"/>
  <c r="G796" i="16"/>
  <c r="E796" i="16"/>
  <c r="F796" i="16" s="1"/>
  <c r="F830" i="16"/>
  <c r="K830" i="16"/>
  <c r="G830" i="16"/>
  <c r="E830" i="16"/>
  <c r="E854" i="16"/>
  <c r="F854" i="16" s="1"/>
  <c r="J865" i="16"/>
  <c r="L865" i="16"/>
  <c r="M887" i="16"/>
  <c r="E887" i="16"/>
  <c r="E903" i="16"/>
  <c r="E935" i="16"/>
  <c r="J935" i="16"/>
  <c r="G958" i="16"/>
  <c r="E958" i="16"/>
  <c r="F958" i="16" s="1"/>
  <c r="M958" i="16"/>
  <c r="J1106" i="16"/>
  <c r="H1106" i="16"/>
  <c r="G1106" i="16"/>
  <c r="I1106" i="16"/>
  <c r="K1109" i="16"/>
  <c r="H1109" i="16"/>
  <c r="G1109" i="16"/>
  <c r="K1157" i="16"/>
  <c r="M1157" i="16"/>
  <c r="L1157" i="16"/>
  <c r="E1172" i="16"/>
  <c r="H1172" i="16"/>
  <c r="G1172" i="16"/>
  <c r="F1172" i="16"/>
  <c r="J1246" i="16"/>
  <c r="M1246" i="16"/>
  <c r="L1246" i="16"/>
  <c r="K1246" i="16"/>
  <c r="K1301" i="16"/>
  <c r="G1301" i="16"/>
  <c r="M1301" i="16"/>
  <c r="L1301" i="16"/>
  <c r="H1301" i="16"/>
  <c r="M711" i="16"/>
  <c r="E726" i="16"/>
  <c r="L742" i="16"/>
  <c r="K758" i="16"/>
  <c r="K776" i="16"/>
  <c r="L783" i="16"/>
  <c r="J786" i="16"/>
  <c r="K791" i="16"/>
  <c r="I794" i="16"/>
  <c r="I825" i="16"/>
  <c r="M839" i="16"/>
  <c r="J845" i="16"/>
  <c r="L849" i="16"/>
  <c r="H861" i="16"/>
  <c r="F879" i="16"/>
  <c r="E879" i="16"/>
  <c r="K909" i="16"/>
  <c r="E909" i="16"/>
  <c r="F909" i="16" s="1"/>
  <c r="L929" i="16"/>
  <c r="K929" i="16"/>
  <c r="J973" i="16"/>
  <c r="L1045" i="16"/>
  <c r="K1093" i="16"/>
  <c r="H1093" i="16"/>
  <c r="M1093" i="16"/>
  <c r="L1093" i="16"/>
  <c r="K1117" i="16"/>
  <c r="G1117" i="16"/>
  <c r="L1117" i="16"/>
  <c r="H1117" i="16"/>
  <c r="E1216" i="16"/>
  <c r="I1216" i="16"/>
  <c r="G1285" i="16"/>
  <c r="M1295" i="16"/>
  <c r="L1295" i="16"/>
  <c r="K1295" i="16"/>
  <c r="E1300" i="16"/>
  <c r="G1300" i="16"/>
  <c r="F1300" i="16"/>
  <c r="J1310" i="16"/>
  <c r="L1310" i="16"/>
  <c r="K1310" i="16"/>
  <c r="I1323" i="16"/>
  <c r="J1323" i="16"/>
  <c r="K733" i="16"/>
  <c r="J738" i="16"/>
  <c r="H738" i="16"/>
  <c r="M742" i="16"/>
  <c r="H748" i="16"/>
  <c r="E748" i="16"/>
  <c r="L758" i="16"/>
  <c r="L785" i="16"/>
  <c r="J806" i="16"/>
  <c r="K806" i="16"/>
  <c r="J866" i="16"/>
  <c r="H866" i="16"/>
  <c r="G866" i="16"/>
  <c r="K889" i="16"/>
  <c r="I889" i="16"/>
  <c r="H889" i="16"/>
  <c r="I904" i="16"/>
  <c r="E904" i="16"/>
  <c r="K917" i="16"/>
  <c r="L917" i="16"/>
  <c r="H917" i="16"/>
  <c r="K925" i="16"/>
  <c r="H925" i="16"/>
  <c r="G925" i="16"/>
  <c r="E934" i="16"/>
  <c r="F934" i="16" s="1"/>
  <c r="M967" i="16"/>
  <c r="L967" i="16"/>
  <c r="J969" i="16"/>
  <c r="K983" i="16"/>
  <c r="J983" i="16"/>
  <c r="E984" i="16"/>
  <c r="G1005" i="16"/>
  <c r="E1005" i="16"/>
  <c r="F1005" i="16" s="1"/>
  <c r="L1016" i="16"/>
  <c r="K1016" i="16"/>
  <c r="J1016" i="16"/>
  <c r="J1017" i="16"/>
  <c r="I1020" i="16"/>
  <c r="G1020" i="16"/>
  <c r="H1052" i="16"/>
  <c r="M1052" i="16"/>
  <c r="G1052" i="16"/>
  <c r="E1052" i="16"/>
  <c r="J1053" i="16"/>
  <c r="F1111" i="16"/>
  <c r="E1111" i="16"/>
  <c r="L1111" i="16"/>
  <c r="E1126" i="16"/>
  <c r="F1126" i="16" s="1"/>
  <c r="L1177" i="16"/>
  <c r="J1177" i="16"/>
  <c r="H1186" i="16"/>
  <c r="G1186" i="16"/>
  <c r="J1186" i="16"/>
  <c r="I1186" i="16"/>
  <c r="M1223" i="16"/>
  <c r="L1223" i="16"/>
  <c r="K1223" i="16"/>
  <c r="J1223" i="16"/>
  <c r="E1229" i="16"/>
  <c r="E1326" i="16"/>
  <c r="K717" i="16"/>
  <c r="E725" i="16"/>
  <c r="M744" i="16"/>
  <c r="M855" i="16"/>
  <c r="K861" i="16"/>
  <c r="F861" i="16"/>
  <c r="J878" i="16"/>
  <c r="K878" i="16"/>
  <c r="G878" i="16"/>
  <c r="H905" i="16"/>
  <c r="K1045" i="16"/>
  <c r="G1045" i="16"/>
  <c r="F1045" i="16"/>
  <c r="K1073" i="16"/>
  <c r="K1087" i="16"/>
  <c r="M1087" i="16"/>
  <c r="L1087" i="16"/>
  <c r="I1155" i="16"/>
  <c r="H1155" i="16"/>
  <c r="G1164" i="16"/>
  <c r="H1164" i="16"/>
  <c r="H1188" i="16"/>
  <c r="M1188" i="16"/>
  <c r="G1188" i="16"/>
  <c r="J1241" i="16"/>
  <c r="L1241" i="16"/>
  <c r="I1250" i="16"/>
  <c r="H1250" i="16"/>
  <c r="G1250" i="16"/>
  <c r="K1280" i="16"/>
  <c r="J1280" i="16"/>
  <c r="E1295" i="16"/>
  <c r="E1310" i="16"/>
  <c r="F1310" i="16" s="1"/>
  <c r="M669" i="16"/>
  <c r="E670" i="16"/>
  <c r="F670" i="16" s="1"/>
  <c r="L694" i="16"/>
  <c r="J697" i="16"/>
  <c r="E750" i="16"/>
  <c r="F750" i="16" s="1"/>
  <c r="H868" i="16"/>
  <c r="M870" i="16"/>
  <c r="M886" i="16"/>
  <c r="J909" i="16"/>
  <c r="E910" i="16"/>
  <c r="F910" i="16" s="1"/>
  <c r="K919" i="16"/>
  <c r="L950" i="16"/>
  <c r="J981" i="16"/>
  <c r="M988" i="16"/>
  <c r="F1036" i="16"/>
  <c r="E1036" i="16"/>
  <c r="L1078" i="16"/>
  <c r="J1081" i="16"/>
  <c r="K1089" i="16"/>
  <c r="H1089" i="16"/>
  <c r="E1133" i="16"/>
  <c r="F1133" i="16"/>
  <c r="E1166" i="16"/>
  <c r="F1166" i="16" s="1"/>
  <c r="H1178" i="16"/>
  <c r="J1178" i="16"/>
  <c r="K1181" i="16"/>
  <c r="F1181" i="16"/>
  <c r="E1181" i="16"/>
  <c r="J1190" i="16"/>
  <c r="M1190" i="16"/>
  <c r="J1194" i="16"/>
  <c r="H1194" i="16"/>
  <c r="M1198" i="16"/>
  <c r="K1217" i="16"/>
  <c r="H1217" i="16"/>
  <c r="H1219" i="16"/>
  <c r="G1219" i="16"/>
  <c r="J1237" i="16"/>
  <c r="I1321" i="16"/>
  <c r="H1321" i="16"/>
  <c r="J1334" i="16"/>
  <c r="O1334" i="16" s="1"/>
  <c r="L1334" i="16"/>
  <c r="G1334" i="16"/>
  <c r="E1334" i="16"/>
  <c r="F1334" i="16" s="1"/>
  <c r="E1335" i="16"/>
  <c r="E928" i="16"/>
  <c r="J933" i="16"/>
  <c r="E942" i="16"/>
  <c r="F942" i="16" s="1"/>
  <c r="T988" i="16"/>
  <c r="E998" i="16"/>
  <c r="F998" i="16" s="1"/>
  <c r="E999" i="16"/>
  <c r="E1015" i="16"/>
  <c r="E1023" i="16"/>
  <c r="I1025" i="16"/>
  <c r="J1037" i="16"/>
  <c r="J1042" i="16"/>
  <c r="I1042" i="16"/>
  <c r="J1047" i="16"/>
  <c r="E1047" i="16"/>
  <c r="E1048" i="16"/>
  <c r="J1054" i="16"/>
  <c r="M1054" i="16"/>
  <c r="J1070" i="16"/>
  <c r="L1070" i="16"/>
  <c r="G1070" i="16"/>
  <c r="E1112" i="16"/>
  <c r="M1112" i="16"/>
  <c r="J1129" i="16"/>
  <c r="K1129" i="16"/>
  <c r="I1129" i="16"/>
  <c r="K1165" i="16"/>
  <c r="L1165" i="16"/>
  <c r="H1165" i="16"/>
  <c r="G1165" i="16"/>
  <c r="E1182" i="16"/>
  <c r="F1182" i="16" s="1"/>
  <c r="E1191" i="16"/>
  <c r="I1227" i="16"/>
  <c r="H1227" i="16"/>
  <c r="E1231" i="16"/>
  <c r="G1242" i="16"/>
  <c r="J1242" i="16"/>
  <c r="I1242" i="16"/>
  <c r="L1249" i="16"/>
  <c r="J1249" i="16"/>
  <c r="J1318" i="16"/>
  <c r="O1318" i="16" s="1"/>
  <c r="K1318" i="16"/>
  <c r="J1029" i="16"/>
  <c r="I1112" i="16"/>
  <c r="K1137" i="16"/>
  <c r="G1182" i="16"/>
  <c r="E1190" i="16"/>
  <c r="E1215" i="16"/>
  <c r="K1221" i="16"/>
  <c r="M1221" i="16"/>
  <c r="E1222" i="16"/>
  <c r="F1222" i="16" s="1"/>
  <c r="E1230" i="16"/>
  <c r="F1230" i="16" s="1"/>
  <c r="E1246" i="16"/>
  <c r="F1246" i="16" s="1"/>
  <c r="J1259" i="16"/>
  <c r="I1259" i="16"/>
  <c r="H1270" i="16"/>
  <c r="E1294" i="16"/>
  <c r="F1294" i="16" s="1"/>
  <c r="J1301" i="16"/>
  <c r="E1318" i="16"/>
  <c r="F1318" i="16" s="1"/>
  <c r="J1045" i="16"/>
  <c r="K1101" i="16"/>
  <c r="G1101" i="16"/>
  <c r="E1110" i="16"/>
  <c r="F1110" i="16" s="1"/>
  <c r="J1118" i="16"/>
  <c r="L1118" i="16"/>
  <c r="L1121" i="16"/>
  <c r="I1121" i="16"/>
  <c r="J1134" i="16"/>
  <c r="K1134" i="16"/>
  <c r="J1157" i="16"/>
  <c r="H1190" i="16"/>
  <c r="E1198" i="16"/>
  <c r="F1198" i="16" s="1"/>
  <c r="E1199" i="16"/>
  <c r="L1206" i="16"/>
  <c r="J1245" i="16"/>
  <c r="G1246" i="16"/>
  <c r="O1246" i="16" s="1"/>
  <c r="J1262" i="16"/>
  <c r="G1262" i="16"/>
  <c r="O1262" i="16" s="1"/>
  <c r="E1343" i="16"/>
  <c r="E1062" i="16"/>
  <c r="F1062" i="16" s="1"/>
  <c r="E1087" i="16"/>
  <c r="I1089" i="16"/>
  <c r="E1109" i="16"/>
  <c r="K1160" i="16"/>
  <c r="E1173" i="16"/>
  <c r="K1201" i="16"/>
  <c r="E1254" i="16"/>
  <c r="F1254" i="16" s="1"/>
  <c r="E1279" i="16"/>
  <c r="E1287" i="16"/>
  <c r="E1293" i="16"/>
  <c r="P2" i="16"/>
  <c r="H2" i="9" s="1"/>
  <c r="I2" i="9"/>
  <c r="T1244" i="16"/>
  <c r="H1244" i="9"/>
  <c r="I1244" i="9" s="1"/>
  <c r="AF35" i="15"/>
  <c r="V54" i="15"/>
  <c r="N54" i="15"/>
  <c r="AE54" i="15" s="1"/>
  <c r="O54" i="7" s="1"/>
  <c r="Y54" i="15"/>
  <c r="P54" i="15"/>
  <c r="G54" i="15"/>
  <c r="X54" i="15"/>
  <c r="O54" i="15"/>
  <c r="W54" i="15"/>
  <c r="M54" i="15"/>
  <c r="AF54" i="15" s="1"/>
  <c r="U54" i="15"/>
  <c r="L54" i="15"/>
  <c r="AA54" i="15"/>
  <c r="I54" i="15"/>
  <c r="AG54" i="15" s="1"/>
  <c r="Q54" i="7" s="1"/>
  <c r="R54" i="15"/>
  <c r="Z54" i="15"/>
  <c r="H54" i="15"/>
  <c r="S54" i="15"/>
  <c r="Q54" i="15"/>
  <c r="AC54" i="15"/>
  <c r="K54" i="15"/>
  <c r="L125" i="15"/>
  <c r="M125" i="15"/>
  <c r="K125" i="15"/>
  <c r="N141" i="15"/>
  <c r="K141" i="15"/>
  <c r="M141" i="15"/>
  <c r="L141" i="15"/>
  <c r="M164" i="15"/>
  <c r="G164" i="15"/>
  <c r="AH380" i="15"/>
  <c r="Z380" i="15"/>
  <c r="R380" i="15"/>
  <c r="J380" i="15"/>
  <c r="Y380" i="15"/>
  <c r="P380" i="15"/>
  <c r="G380" i="15"/>
  <c r="AG380" i="15"/>
  <c r="X380" i="15"/>
  <c r="O380" i="15"/>
  <c r="AF380" i="15"/>
  <c r="W380" i="15"/>
  <c r="N380" i="15"/>
  <c r="AE380" i="15"/>
  <c r="V380" i="15"/>
  <c r="M380" i="15"/>
  <c r="AB380" i="15"/>
  <c r="I380" i="15"/>
  <c r="S380" i="15"/>
  <c r="AA380" i="15"/>
  <c r="H380" i="15"/>
  <c r="U380" i="15"/>
  <c r="T380" i="15"/>
  <c r="L380" i="15"/>
  <c r="Q380" i="15"/>
  <c r="AD380" i="15"/>
  <c r="AB471" i="15"/>
  <c r="T471" i="15"/>
  <c r="L471" i="15"/>
  <c r="Z471" i="15"/>
  <c r="Q471" i="15"/>
  <c r="H471" i="15"/>
  <c r="AH471" i="15"/>
  <c r="Y471" i="15"/>
  <c r="P471" i="15"/>
  <c r="G471" i="15"/>
  <c r="AG471" i="15"/>
  <c r="X471" i="15"/>
  <c r="O471" i="15"/>
  <c r="AF471" i="15"/>
  <c r="W471" i="15"/>
  <c r="N471" i="15"/>
  <c r="AC471" i="15"/>
  <c r="J471" i="15"/>
  <c r="U471" i="15"/>
  <c r="S471" i="15"/>
  <c r="AA471" i="15"/>
  <c r="I471" i="15"/>
  <c r="V471" i="15"/>
  <c r="R471" i="15"/>
  <c r="M471" i="15"/>
  <c r="AE471" i="15"/>
  <c r="AF529" i="15"/>
  <c r="X529" i="15"/>
  <c r="P529" i="15"/>
  <c r="H529" i="15"/>
  <c r="Z529" i="15"/>
  <c r="Q529" i="15"/>
  <c r="G529" i="15"/>
  <c r="AH529" i="15"/>
  <c r="Y529" i="15"/>
  <c r="O529" i="15"/>
  <c r="AG529" i="15"/>
  <c r="W529" i="15"/>
  <c r="N529" i="15"/>
  <c r="AE529" i="15"/>
  <c r="V529" i="15"/>
  <c r="M529" i="15"/>
  <c r="AB529" i="15"/>
  <c r="J529" i="15"/>
  <c r="T529" i="15"/>
  <c r="S529" i="15"/>
  <c r="AA529" i="15"/>
  <c r="I529" i="15"/>
  <c r="R529" i="15"/>
  <c r="U529" i="15"/>
  <c r="L529" i="15"/>
  <c r="AD529" i="15"/>
  <c r="AD634" i="15"/>
  <c r="V634" i="15"/>
  <c r="N634" i="15"/>
  <c r="AF634" i="15"/>
  <c r="W634" i="15"/>
  <c r="M634" i="15"/>
  <c r="AE634" i="15"/>
  <c r="U634" i="15"/>
  <c r="L634" i="15"/>
  <c r="AC634" i="15"/>
  <c r="T634" i="15"/>
  <c r="K634" i="15"/>
  <c r="AB634" i="15"/>
  <c r="S634" i="15"/>
  <c r="J634" i="15"/>
  <c r="Z634" i="15"/>
  <c r="H634" i="15"/>
  <c r="Y634" i="15"/>
  <c r="G634" i="15"/>
  <c r="Q634" i="15"/>
  <c r="O634" i="15"/>
  <c r="X634" i="15"/>
  <c r="R634" i="15"/>
  <c r="AH634" i="15"/>
  <c r="P634" i="15"/>
  <c r="AG634" i="15"/>
  <c r="AF657" i="15"/>
  <c r="X657" i="15"/>
  <c r="P657" i="15"/>
  <c r="H657" i="15"/>
  <c r="Z657" i="15"/>
  <c r="Q657" i="15"/>
  <c r="G657" i="15"/>
  <c r="AH657" i="15"/>
  <c r="Y657" i="15"/>
  <c r="O657" i="15"/>
  <c r="AG657" i="15"/>
  <c r="W657" i="15"/>
  <c r="N657" i="15"/>
  <c r="AE657" i="15"/>
  <c r="V657" i="15"/>
  <c r="M657" i="15"/>
  <c r="AB657" i="15"/>
  <c r="J657" i="15"/>
  <c r="T657" i="15"/>
  <c r="AA657" i="15"/>
  <c r="I657" i="15"/>
  <c r="U657" i="15"/>
  <c r="S657" i="15"/>
  <c r="L657" i="15"/>
  <c r="R657" i="15"/>
  <c r="AD657" i="15"/>
  <c r="AH901" i="15"/>
  <c r="Z901" i="15"/>
  <c r="R901" i="15"/>
  <c r="J901" i="15"/>
  <c r="AF901" i="15"/>
  <c r="X901" i="15"/>
  <c r="P901" i="15"/>
  <c r="H901" i="15"/>
  <c r="AA901" i="15"/>
  <c r="O901" i="15"/>
  <c r="Y901" i="15"/>
  <c r="N901" i="15"/>
  <c r="W901" i="15"/>
  <c r="M901" i="15"/>
  <c r="AG901" i="15"/>
  <c r="V901" i="15"/>
  <c r="L901" i="15"/>
  <c r="AD901" i="15"/>
  <c r="I901" i="15"/>
  <c r="T901" i="15"/>
  <c r="AC901" i="15"/>
  <c r="G901" i="15"/>
  <c r="AB901" i="15"/>
  <c r="U901" i="15"/>
  <c r="S901" i="15"/>
  <c r="Q901" i="15"/>
  <c r="AB956" i="15"/>
  <c r="T956" i="15"/>
  <c r="L956" i="15"/>
  <c r="AH956" i="15"/>
  <c r="Z956" i="15"/>
  <c r="R956" i="15"/>
  <c r="J956" i="15"/>
  <c r="AD956" i="15"/>
  <c r="S956" i="15"/>
  <c r="H956" i="15"/>
  <c r="AC956" i="15"/>
  <c r="Q956" i="15"/>
  <c r="G956" i="15"/>
  <c r="AA956" i="15"/>
  <c r="P956" i="15"/>
  <c r="Y956" i="15"/>
  <c r="O956" i="15"/>
  <c r="AF956" i="15"/>
  <c r="K956" i="15"/>
  <c r="V956" i="15"/>
  <c r="AE956" i="15"/>
  <c r="I956" i="15"/>
  <c r="N956" i="15"/>
  <c r="X956" i="15"/>
  <c r="W956" i="15"/>
  <c r="U956" i="15"/>
  <c r="AB1156" i="15"/>
  <c r="T1156" i="15"/>
  <c r="L1156" i="15"/>
  <c r="AC1156" i="15"/>
  <c r="S1156" i="15"/>
  <c r="J1156" i="15"/>
  <c r="Z1156" i="15"/>
  <c r="Q1156" i="15"/>
  <c r="H1156" i="15"/>
  <c r="AD1156" i="15"/>
  <c r="P1156" i="15"/>
  <c r="AA1156" i="15"/>
  <c r="O1156" i="15"/>
  <c r="Y1156" i="15"/>
  <c r="N1156" i="15"/>
  <c r="X1156" i="15"/>
  <c r="M1156" i="15"/>
  <c r="AG1156" i="15"/>
  <c r="I1156" i="15"/>
  <c r="W1156" i="15"/>
  <c r="V1156" i="15"/>
  <c r="AF1156" i="15"/>
  <c r="G1156" i="15"/>
  <c r="R1156" i="15"/>
  <c r="AE1156" i="15"/>
  <c r="U1156" i="15"/>
  <c r="AF1619" i="15"/>
  <c r="X1619" i="15"/>
  <c r="P1619" i="15"/>
  <c r="H1619" i="15"/>
  <c r="AE1619" i="15"/>
  <c r="W1619" i="15"/>
  <c r="O1619" i="15"/>
  <c r="G1619" i="15"/>
  <c r="AD1619" i="15"/>
  <c r="V1619" i="15"/>
  <c r="N1619" i="15"/>
  <c r="AC1619" i="15"/>
  <c r="U1619" i="15"/>
  <c r="M1619" i="15"/>
  <c r="AH1619" i="15"/>
  <c r="R1619" i="15"/>
  <c r="AB1619" i="15"/>
  <c r="L1619" i="15"/>
  <c r="Z1619" i="15"/>
  <c r="Y1619" i="15"/>
  <c r="T1619" i="15"/>
  <c r="S1619" i="15"/>
  <c r="J1619" i="15"/>
  <c r="I1619" i="15"/>
  <c r="AA1619" i="15"/>
  <c r="AG1619" i="15"/>
  <c r="Q1619" i="15"/>
  <c r="AF1647" i="15"/>
  <c r="X1647" i="15"/>
  <c r="P1647" i="15"/>
  <c r="H1647" i="15"/>
  <c r="AE1647" i="15"/>
  <c r="W1647" i="15"/>
  <c r="O1647" i="15"/>
  <c r="G1647" i="15"/>
  <c r="AD1647" i="15"/>
  <c r="V1647" i="15"/>
  <c r="N1647" i="15"/>
  <c r="AC1647" i="15"/>
  <c r="U1647" i="15"/>
  <c r="M1647" i="15"/>
  <c r="Z1647" i="15"/>
  <c r="J1647" i="15"/>
  <c r="Y1647" i="15"/>
  <c r="I1647" i="15"/>
  <c r="T1647" i="15"/>
  <c r="AH1647" i="15"/>
  <c r="K1647" i="15"/>
  <c r="AG1647" i="15"/>
  <c r="AB1647" i="15"/>
  <c r="AA1647" i="15"/>
  <c r="Q1647" i="15"/>
  <c r="L1647" i="15"/>
  <c r="S1647" i="15"/>
  <c r="AD1652" i="15"/>
  <c r="V1652" i="15"/>
  <c r="N1652" i="15"/>
  <c r="AC1652" i="15"/>
  <c r="U1652" i="15"/>
  <c r="M1652" i="15"/>
  <c r="AB1652" i="15"/>
  <c r="T1652" i="15"/>
  <c r="L1652" i="15"/>
  <c r="AA1652" i="15"/>
  <c r="S1652" i="15"/>
  <c r="K1652" i="15"/>
  <c r="X1652" i="15"/>
  <c r="H1652" i="15"/>
  <c r="W1652" i="15"/>
  <c r="G1652" i="15"/>
  <c r="AH1652" i="15"/>
  <c r="R1652" i="15"/>
  <c r="AG1652" i="15"/>
  <c r="J1652" i="15"/>
  <c r="AF1652" i="15"/>
  <c r="I1652" i="15"/>
  <c r="AE1652" i="15"/>
  <c r="Z1652" i="15"/>
  <c r="P1652" i="15"/>
  <c r="O1652" i="15"/>
  <c r="Y1652" i="15"/>
  <c r="AD1788" i="15"/>
  <c r="V1788" i="15"/>
  <c r="N1788" i="15"/>
  <c r="AC1788" i="15"/>
  <c r="U1788" i="15"/>
  <c r="M1788" i="15"/>
  <c r="AB1788" i="15"/>
  <c r="T1788" i="15"/>
  <c r="L1788" i="15"/>
  <c r="AA1788" i="15"/>
  <c r="S1788" i="15"/>
  <c r="K1788" i="15"/>
  <c r="W1788" i="15"/>
  <c r="G1788" i="15"/>
  <c r="AH1788" i="15"/>
  <c r="R1788" i="15"/>
  <c r="AG1788" i="15"/>
  <c r="Q1788" i="15"/>
  <c r="Z1788" i="15"/>
  <c r="Y1788" i="15"/>
  <c r="X1788" i="15"/>
  <c r="P1788" i="15"/>
  <c r="I1788" i="15"/>
  <c r="H1788" i="15"/>
  <c r="AF1788" i="15"/>
  <c r="AE1788" i="15"/>
  <c r="O1788" i="15"/>
  <c r="AF1827" i="15"/>
  <c r="X1827" i="15"/>
  <c r="P1827" i="15"/>
  <c r="H1827" i="15"/>
  <c r="AE1827" i="15"/>
  <c r="W1827" i="15"/>
  <c r="O1827" i="15"/>
  <c r="G1827" i="15"/>
  <c r="AD1827" i="15"/>
  <c r="V1827" i="15"/>
  <c r="N1827" i="15"/>
  <c r="AC1827" i="15"/>
  <c r="U1827" i="15"/>
  <c r="M1827" i="15"/>
  <c r="T1827" i="15"/>
  <c r="S1827" i="15"/>
  <c r="AH1827" i="15"/>
  <c r="R1827" i="15"/>
  <c r="Z1827" i="15"/>
  <c r="Y1827" i="15"/>
  <c r="Q1827" i="15"/>
  <c r="L1827" i="15"/>
  <c r="J1827" i="15"/>
  <c r="AG1827" i="15"/>
  <c r="I1827" i="15"/>
  <c r="AB1827" i="15"/>
  <c r="AA1827" i="15"/>
  <c r="AF1891" i="15"/>
  <c r="X1891" i="15"/>
  <c r="P1891" i="15"/>
  <c r="H1891" i="15"/>
  <c r="AE1891" i="15"/>
  <c r="W1891" i="15"/>
  <c r="O1891" i="15"/>
  <c r="G1891" i="15"/>
  <c r="AD1891" i="15"/>
  <c r="V1891" i="15"/>
  <c r="N1891" i="15"/>
  <c r="AC1891" i="15"/>
  <c r="U1891" i="15"/>
  <c r="M1891" i="15"/>
  <c r="T1891" i="15"/>
  <c r="S1891" i="15"/>
  <c r="AH1891" i="15"/>
  <c r="R1891" i="15"/>
  <c r="Z1891" i="15"/>
  <c r="Y1891" i="15"/>
  <c r="Q1891" i="15"/>
  <c r="L1891" i="15"/>
  <c r="J1891" i="15"/>
  <c r="I1891" i="15"/>
  <c r="AA1891" i="15"/>
  <c r="AG1891" i="15"/>
  <c r="AB1891" i="15"/>
  <c r="P48" i="16"/>
  <c r="H48" i="9" s="1"/>
  <c r="F48" i="16"/>
  <c r="I48" i="9"/>
  <c r="M751" i="16"/>
  <c r="L751" i="16"/>
  <c r="K751" i="16"/>
  <c r="J751" i="16"/>
  <c r="F951" i="16"/>
  <c r="H1208" i="16"/>
  <c r="G1208" i="16"/>
  <c r="E1208" i="16"/>
  <c r="M1208" i="16"/>
  <c r="J1208" i="16"/>
  <c r="I1208" i="16"/>
  <c r="K1208" i="16"/>
  <c r="L1208" i="16"/>
  <c r="J1495" i="16"/>
  <c r="T1495" i="16"/>
  <c r="H1495" i="16"/>
  <c r="P1495" i="16"/>
  <c r="G1495" i="16"/>
  <c r="O1495" i="16"/>
  <c r="F1495" i="16"/>
  <c r="E1495" i="16"/>
  <c r="N1495" i="16"/>
  <c r="M1495" i="16"/>
  <c r="L1495" i="16"/>
  <c r="K1495" i="16"/>
  <c r="I1495" i="16"/>
  <c r="N1571" i="16"/>
  <c r="F1571" i="16"/>
  <c r="I1571" i="16"/>
  <c r="T1571" i="16"/>
  <c r="H1571" i="16"/>
  <c r="P1571" i="16"/>
  <c r="G1571" i="16"/>
  <c r="K1571" i="16"/>
  <c r="J1571" i="16"/>
  <c r="E1571" i="16"/>
  <c r="O1571" i="16"/>
  <c r="M1571" i="16"/>
  <c r="L1571" i="16"/>
  <c r="N1643" i="16"/>
  <c r="F1643" i="16"/>
  <c r="O1643" i="16"/>
  <c r="E1643" i="16"/>
  <c r="M1643" i="16"/>
  <c r="L1643" i="16"/>
  <c r="G1643" i="16"/>
  <c r="T1643" i="16"/>
  <c r="P1643" i="16"/>
  <c r="I1643" i="16"/>
  <c r="H1643" i="16"/>
  <c r="J1643" i="16"/>
  <c r="K1643" i="16"/>
  <c r="K98" i="15"/>
  <c r="J98" i="15"/>
  <c r="M98" i="15"/>
  <c r="L98" i="15"/>
  <c r="AD314" i="15"/>
  <c r="V314" i="15"/>
  <c r="N314" i="15"/>
  <c r="AF314" i="15"/>
  <c r="W314" i="15"/>
  <c r="M314" i="15"/>
  <c r="AE314" i="15"/>
  <c r="U314" i="15"/>
  <c r="L314" i="15"/>
  <c r="AC314" i="15"/>
  <c r="T314" i="15"/>
  <c r="K314" i="15"/>
  <c r="AB314" i="15"/>
  <c r="S314" i="15"/>
  <c r="J314" i="15"/>
  <c r="Z314" i="15"/>
  <c r="H314" i="15"/>
  <c r="Y314" i="15"/>
  <c r="G314" i="15"/>
  <c r="R314" i="15"/>
  <c r="Q314" i="15"/>
  <c r="AH314" i="15"/>
  <c r="AG314" i="15"/>
  <c r="X314" i="15"/>
  <c r="O314" i="15"/>
  <c r="P314" i="15"/>
  <c r="AD406" i="15"/>
  <c r="V406" i="15"/>
  <c r="N406" i="15"/>
  <c r="AH406" i="15"/>
  <c r="Y406" i="15"/>
  <c r="P406" i="15"/>
  <c r="G406" i="15"/>
  <c r="AG406" i="15"/>
  <c r="X406" i="15"/>
  <c r="O406" i="15"/>
  <c r="AF406" i="15"/>
  <c r="W406" i="15"/>
  <c r="M406" i="15"/>
  <c r="AE406" i="15"/>
  <c r="U406" i="15"/>
  <c r="L406" i="15"/>
  <c r="AA406" i="15"/>
  <c r="I406" i="15"/>
  <c r="S406" i="15"/>
  <c r="R406" i="15"/>
  <c r="Z406" i="15"/>
  <c r="H406" i="15"/>
  <c r="T406" i="15"/>
  <c r="AC406" i="15"/>
  <c r="Q406" i="15"/>
  <c r="K406" i="15"/>
  <c r="AF497" i="15"/>
  <c r="X497" i="15"/>
  <c r="P497" i="15"/>
  <c r="H497" i="15"/>
  <c r="Z497" i="15"/>
  <c r="Q497" i="15"/>
  <c r="G497" i="15"/>
  <c r="AH497" i="15"/>
  <c r="Y497" i="15"/>
  <c r="O497" i="15"/>
  <c r="AG497" i="15"/>
  <c r="W497" i="15"/>
  <c r="N497" i="15"/>
  <c r="AE497" i="15"/>
  <c r="V497" i="15"/>
  <c r="M497" i="15"/>
  <c r="AB497" i="15"/>
  <c r="J497" i="15"/>
  <c r="T497" i="15"/>
  <c r="AA497" i="15"/>
  <c r="I497" i="15"/>
  <c r="S497" i="15"/>
  <c r="AD497" i="15"/>
  <c r="U497" i="15"/>
  <c r="R497" i="15"/>
  <c r="L497" i="15"/>
  <c r="AH620" i="15"/>
  <c r="Z620" i="15"/>
  <c r="R620" i="15"/>
  <c r="J620" i="15"/>
  <c r="Y620" i="15"/>
  <c r="P620" i="15"/>
  <c r="G620" i="15"/>
  <c r="AG620" i="15"/>
  <c r="X620" i="15"/>
  <c r="O620" i="15"/>
  <c r="AF620" i="15"/>
  <c r="W620" i="15"/>
  <c r="N620" i="15"/>
  <c r="AE620" i="15"/>
  <c r="V620" i="15"/>
  <c r="M620" i="15"/>
  <c r="AB620" i="15"/>
  <c r="I620" i="15"/>
  <c r="T620" i="15"/>
  <c r="AA620" i="15"/>
  <c r="H620" i="15"/>
  <c r="S620" i="15"/>
  <c r="Q620" i="15"/>
  <c r="U620" i="15"/>
  <c r="L620" i="15"/>
  <c r="AD620" i="15"/>
  <c r="AF641" i="15"/>
  <c r="X641" i="15"/>
  <c r="P641" i="15"/>
  <c r="H641" i="15"/>
  <c r="Z641" i="15"/>
  <c r="Q641" i="15"/>
  <c r="G641" i="15"/>
  <c r="AH641" i="15"/>
  <c r="Y641" i="15"/>
  <c r="O641" i="15"/>
  <c r="AG641" i="15"/>
  <c r="W641" i="15"/>
  <c r="N641" i="15"/>
  <c r="AE641" i="15"/>
  <c r="V641" i="15"/>
  <c r="M641" i="15"/>
  <c r="AB641" i="15"/>
  <c r="J641" i="15"/>
  <c r="AA641" i="15"/>
  <c r="I641" i="15"/>
  <c r="S641" i="15"/>
  <c r="AD641" i="15"/>
  <c r="U641" i="15"/>
  <c r="T641" i="15"/>
  <c r="L641" i="15"/>
  <c r="R641" i="15"/>
  <c r="AB1052" i="15"/>
  <c r="T1052" i="15"/>
  <c r="L1052" i="15"/>
  <c r="AH1052" i="15"/>
  <c r="Z1052" i="15"/>
  <c r="R1052" i="15"/>
  <c r="J1052" i="15"/>
  <c r="AD1052" i="15"/>
  <c r="S1052" i="15"/>
  <c r="H1052" i="15"/>
  <c r="AC1052" i="15"/>
  <c r="Q1052" i="15"/>
  <c r="G1052" i="15"/>
  <c r="AA1052" i="15"/>
  <c r="P1052" i="15"/>
  <c r="Y1052" i="15"/>
  <c r="O1052" i="15"/>
  <c r="AF1052" i="15"/>
  <c r="K1052" i="15"/>
  <c r="AE1052" i="15"/>
  <c r="I1052" i="15"/>
  <c r="N1052" i="15"/>
  <c r="X1052" i="15"/>
  <c r="W1052" i="15"/>
  <c r="V1052" i="15"/>
  <c r="U1052" i="15"/>
  <c r="AF1170" i="15"/>
  <c r="X1170" i="15"/>
  <c r="P1170" i="15"/>
  <c r="H1170" i="15"/>
  <c r="Z1170" i="15"/>
  <c r="Q1170" i="15"/>
  <c r="G1170" i="15"/>
  <c r="AG1170" i="15"/>
  <c r="W1170" i="15"/>
  <c r="N1170" i="15"/>
  <c r="AE1170" i="15"/>
  <c r="T1170" i="15"/>
  <c r="I1170" i="15"/>
  <c r="AD1170" i="15"/>
  <c r="S1170" i="15"/>
  <c r="AC1170" i="15"/>
  <c r="R1170" i="15"/>
  <c r="AB1170" i="15"/>
  <c r="O1170" i="15"/>
  <c r="K1170" i="15"/>
  <c r="AH1170" i="15"/>
  <c r="J1170" i="15"/>
  <c r="V1170" i="15"/>
  <c r="AA1170" i="15"/>
  <c r="U1170" i="15"/>
  <c r="Y1170" i="15"/>
  <c r="M1170" i="15"/>
  <c r="AC1428" i="15"/>
  <c r="U1428" i="15"/>
  <c r="M1428" i="15"/>
  <c r="AB1428" i="15"/>
  <c r="T1428" i="15"/>
  <c r="L1428" i="15"/>
  <c r="AA1428" i="15"/>
  <c r="S1428" i="15"/>
  <c r="K1428" i="15"/>
  <c r="AF1428" i="15"/>
  <c r="R1428" i="15"/>
  <c r="G1428" i="15"/>
  <c r="AD1428" i="15"/>
  <c r="P1428" i="15"/>
  <c r="Y1428" i="15"/>
  <c r="I1428" i="15"/>
  <c r="X1428" i="15"/>
  <c r="H1428" i="15"/>
  <c r="W1428" i="15"/>
  <c r="V1428" i="15"/>
  <c r="N1428" i="15"/>
  <c r="J1428" i="15"/>
  <c r="AH1428" i="15"/>
  <c r="AE1428" i="15"/>
  <c r="Z1428" i="15"/>
  <c r="AG1428" i="15"/>
  <c r="Q1428" i="15"/>
  <c r="AD1740" i="15"/>
  <c r="V1740" i="15"/>
  <c r="N1740" i="15"/>
  <c r="AC1740" i="15"/>
  <c r="U1740" i="15"/>
  <c r="M1740" i="15"/>
  <c r="AB1740" i="15"/>
  <c r="T1740" i="15"/>
  <c r="L1740" i="15"/>
  <c r="AA1740" i="15"/>
  <c r="S1740" i="15"/>
  <c r="K1740" i="15"/>
  <c r="W1740" i="15"/>
  <c r="G1740" i="15"/>
  <c r="AH1740" i="15"/>
  <c r="R1740" i="15"/>
  <c r="AG1740" i="15"/>
  <c r="Q1740" i="15"/>
  <c r="AE1740" i="15"/>
  <c r="H1740" i="15"/>
  <c r="Z1740" i="15"/>
  <c r="Y1740" i="15"/>
  <c r="X1740" i="15"/>
  <c r="J1740" i="15"/>
  <c r="I1740" i="15"/>
  <c r="AF1740" i="15"/>
  <c r="P1740" i="15"/>
  <c r="H34" i="16"/>
  <c r="G34" i="16"/>
  <c r="F34" i="16"/>
  <c r="M34" i="16"/>
  <c r="E34" i="16"/>
  <c r="I34" i="9" s="1"/>
  <c r="K34" i="16"/>
  <c r="J34" i="16"/>
  <c r="I34" i="16"/>
  <c r="L34" i="16"/>
  <c r="P183" i="16"/>
  <c r="H183" i="9" s="1"/>
  <c r="F183" i="16"/>
  <c r="I183" i="9"/>
  <c r="I29" i="15"/>
  <c r="G29" i="15"/>
  <c r="K29" i="15"/>
  <c r="M29" i="15"/>
  <c r="L29" i="15"/>
  <c r="J62" i="15"/>
  <c r="H62" i="15"/>
  <c r="L62" i="15"/>
  <c r="M62" i="15"/>
  <c r="G62" i="15"/>
  <c r="AB487" i="15"/>
  <c r="T487" i="15"/>
  <c r="L487" i="15"/>
  <c r="Z487" i="15"/>
  <c r="Q487" i="15"/>
  <c r="H487" i="15"/>
  <c r="AH487" i="15"/>
  <c r="Y487" i="15"/>
  <c r="P487" i="15"/>
  <c r="G487" i="15"/>
  <c r="AG487" i="15"/>
  <c r="X487" i="15"/>
  <c r="O487" i="15"/>
  <c r="AF487" i="15"/>
  <c r="W487" i="15"/>
  <c r="N487" i="15"/>
  <c r="AC487" i="15"/>
  <c r="J487" i="15"/>
  <c r="AA487" i="15"/>
  <c r="I487" i="15"/>
  <c r="U487" i="15"/>
  <c r="AE487" i="15"/>
  <c r="V487" i="15"/>
  <c r="S487" i="15"/>
  <c r="R487" i="15"/>
  <c r="M487" i="15"/>
  <c r="AH492" i="15"/>
  <c r="Z492" i="15"/>
  <c r="R492" i="15"/>
  <c r="J492" i="15"/>
  <c r="Y492" i="15"/>
  <c r="P492" i="15"/>
  <c r="G492" i="15"/>
  <c r="AG492" i="15"/>
  <c r="X492" i="15"/>
  <c r="O492" i="15"/>
  <c r="AF492" i="15"/>
  <c r="W492" i="15"/>
  <c r="N492" i="15"/>
  <c r="AE492" i="15"/>
  <c r="V492" i="15"/>
  <c r="M492" i="15"/>
  <c r="AB492" i="15"/>
  <c r="I492" i="15"/>
  <c r="S492" i="15"/>
  <c r="AA492" i="15"/>
  <c r="H492" i="15"/>
  <c r="Q492" i="15"/>
  <c r="AD492" i="15"/>
  <c r="U492" i="15"/>
  <c r="T492" i="15"/>
  <c r="L492" i="15"/>
  <c r="AF1154" i="15"/>
  <c r="X1154" i="15"/>
  <c r="P1154" i="15"/>
  <c r="H1154" i="15"/>
  <c r="Z1154" i="15"/>
  <c r="Q1154" i="15"/>
  <c r="G1154" i="15"/>
  <c r="AG1154" i="15"/>
  <c r="W1154" i="15"/>
  <c r="N1154" i="15"/>
  <c r="AC1154" i="15"/>
  <c r="R1154" i="15"/>
  <c r="AB1154" i="15"/>
  <c r="O1154" i="15"/>
  <c r="AA1154" i="15"/>
  <c r="M1154" i="15"/>
  <c r="Y1154" i="15"/>
  <c r="L1154" i="15"/>
  <c r="AH1154" i="15"/>
  <c r="J1154" i="15"/>
  <c r="U1154" i="15"/>
  <c r="AE1154" i="15"/>
  <c r="I1154" i="15"/>
  <c r="T1154" i="15"/>
  <c r="AD1154" i="15"/>
  <c r="V1154" i="15"/>
  <c r="S1154" i="15"/>
  <c r="K214" i="16"/>
  <c r="G214" i="16"/>
  <c r="M214" i="16"/>
  <c r="L214" i="16"/>
  <c r="AH588" i="15"/>
  <c r="Z588" i="15"/>
  <c r="R588" i="15"/>
  <c r="J588" i="15"/>
  <c r="Y588" i="15"/>
  <c r="P588" i="15"/>
  <c r="G588" i="15"/>
  <c r="AG588" i="15"/>
  <c r="X588" i="15"/>
  <c r="O588" i="15"/>
  <c r="AF588" i="15"/>
  <c r="W588" i="15"/>
  <c r="N588" i="15"/>
  <c r="AE588" i="15"/>
  <c r="V588" i="15"/>
  <c r="M588" i="15"/>
  <c r="AB588" i="15"/>
  <c r="I588" i="15"/>
  <c r="AA588" i="15"/>
  <c r="H588" i="15"/>
  <c r="L588" i="15"/>
  <c r="U588" i="15"/>
  <c r="T588" i="15"/>
  <c r="S588" i="15"/>
  <c r="Q588" i="15"/>
  <c r="AD588" i="15"/>
  <c r="AB828" i="15"/>
  <c r="T828" i="15"/>
  <c r="L828" i="15"/>
  <c r="AH828" i="15"/>
  <c r="Z828" i="15"/>
  <c r="R828" i="15"/>
  <c r="J828" i="15"/>
  <c r="AD828" i="15"/>
  <c r="S828" i="15"/>
  <c r="H828" i="15"/>
  <c r="AC828" i="15"/>
  <c r="Q828" i="15"/>
  <c r="G828" i="15"/>
  <c r="AA828" i="15"/>
  <c r="P828" i="15"/>
  <c r="Y828" i="15"/>
  <c r="O828" i="15"/>
  <c r="AF828" i="15"/>
  <c r="K828" i="15"/>
  <c r="AE828" i="15"/>
  <c r="I828" i="15"/>
  <c r="V828" i="15"/>
  <c r="U828" i="15"/>
  <c r="N828" i="15"/>
  <c r="X828" i="15"/>
  <c r="W828" i="15"/>
  <c r="U24" i="15"/>
  <c r="L33" i="15"/>
  <c r="J33" i="15"/>
  <c r="I33" i="15"/>
  <c r="N72" i="15"/>
  <c r="L72" i="15"/>
  <c r="K72" i="15"/>
  <c r="M72" i="15"/>
  <c r="K73" i="15"/>
  <c r="I73" i="15"/>
  <c r="M73" i="15"/>
  <c r="G73" i="15"/>
  <c r="N73" i="15"/>
  <c r="H79" i="15"/>
  <c r="G79" i="15"/>
  <c r="Z96" i="15"/>
  <c r="R96" i="15"/>
  <c r="J96" i="15"/>
  <c r="AF96" i="15"/>
  <c r="W96" i="15"/>
  <c r="N96" i="15"/>
  <c r="AE96" i="15"/>
  <c r="O96" i="7" s="1"/>
  <c r="V96" i="15"/>
  <c r="M96" i="15"/>
  <c r="U96" i="15"/>
  <c r="L96" i="15"/>
  <c r="AC96" i="15"/>
  <c r="K96" i="15"/>
  <c r="AA96" i="15"/>
  <c r="H96" i="15"/>
  <c r="S96" i="15"/>
  <c r="Y96" i="15"/>
  <c r="G96" i="15"/>
  <c r="Q96" i="15"/>
  <c r="P96" i="15"/>
  <c r="O96" i="15"/>
  <c r="X96" i="15"/>
  <c r="AG96" i="15" s="1"/>
  <c r="Q96" i="7" s="1"/>
  <c r="K100" i="15"/>
  <c r="H100" i="15"/>
  <c r="M100" i="15"/>
  <c r="N100" i="15"/>
  <c r="G100" i="15"/>
  <c r="V151" i="15"/>
  <c r="AA151" i="15"/>
  <c r="AE163" i="15"/>
  <c r="O163" i="7" s="1"/>
  <c r="AF163" i="15"/>
  <c r="AF165" i="15"/>
  <c r="X165" i="15"/>
  <c r="P165" i="15"/>
  <c r="H165" i="15"/>
  <c r="AG165" i="15"/>
  <c r="Q165" i="7" s="1"/>
  <c r="W165" i="15"/>
  <c r="N165" i="15"/>
  <c r="AE165" i="15"/>
  <c r="O165" i="7" s="1"/>
  <c r="V165" i="15"/>
  <c r="M165" i="15"/>
  <c r="U165" i="15"/>
  <c r="L165" i="15"/>
  <c r="AC165" i="15"/>
  <c r="K165" i="15"/>
  <c r="AA165" i="15"/>
  <c r="I165" i="15"/>
  <c r="S165" i="15"/>
  <c r="Z165" i="15"/>
  <c r="G165" i="15"/>
  <c r="R165" i="15"/>
  <c r="O165" i="15"/>
  <c r="Y165" i="15"/>
  <c r="Q165" i="15"/>
  <c r="H168" i="15"/>
  <c r="M168" i="15"/>
  <c r="L168" i="15"/>
  <c r="K168" i="15"/>
  <c r="M169" i="15"/>
  <c r="G169" i="15"/>
  <c r="H172" i="15"/>
  <c r="I172" i="15"/>
  <c r="AB231" i="15"/>
  <c r="T231" i="15"/>
  <c r="L231" i="15"/>
  <c r="Z231" i="15"/>
  <c r="Q231" i="15"/>
  <c r="H231" i="15"/>
  <c r="AH231" i="15"/>
  <c r="Y231" i="15"/>
  <c r="P231" i="15"/>
  <c r="G231" i="15"/>
  <c r="AG231" i="15"/>
  <c r="X231" i="15"/>
  <c r="O231" i="15"/>
  <c r="AF231" i="15"/>
  <c r="W231" i="15"/>
  <c r="N231" i="15"/>
  <c r="AC231" i="15"/>
  <c r="J231" i="15"/>
  <c r="S231" i="15"/>
  <c r="AA231" i="15"/>
  <c r="I231" i="15"/>
  <c r="U231" i="15"/>
  <c r="R231" i="15"/>
  <c r="V231" i="15"/>
  <c r="M231" i="15"/>
  <c r="AE231" i="15"/>
  <c r="AD438" i="15"/>
  <c r="V438" i="15"/>
  <c r="N438" i="15"/>
  <c r="AH438" i="15"/>
  <c r="Y438" i="15"/>
  <c r="P438" i="15"/>
  <c r="G438" i="15"/>
  <c r="AG438" i="15"/>
  <c r="X438" i="15"/>
  <c r="O438" i="15"/>
  <c r="AF438" i="15"/>
  <c r="W438" i="15"/>
  <c r="M438" i="15"/>
  <c r="AE438" i="15"/>
  <c r="U438" i="15"/>
  <c r="L438" i="15"/>
  <c r="AA438" i="15"/>
  <c r="I438" i="15"/>
  <c r="R438" i="15"/>
  <c r="Z438" i="15"/>
  <c r="H438" i="15"/>
  <c r="K438" i="15"/>
  <c r="T438" i="15"/>
  <c r="S438" i="15"/>
  <c r="Q438" i="15"/>
  <c r="AC438" i="15"/>
  <c r="AH544" i="15"/>
  <c r="Z544" i="15"/>
  <c r="R544" i="15"/>
  <c r="J544" i="15"/>
  <c r="AF544" i="15"/>
  <c r="W544" i="15"/>
  <c r="N544" i="15"/>
  <c r="AE544" i="15"/>
  <c r="V544" i="15"/>
  <c r="M544" i="15"/>
  <c r="AD544" i="15"/>
  <c r="U544" i="15"/>
  <c r="L544" i="15"/>
  <c r="AC544" i="15"/>
  <c r="T544" i="15"/>
  <c r="K544" i="15"/>
  <c r="AA544" i="15"/>
  <c r="H544" i="15"/>
  <c r="Y544" i="15"/>
  <c r="G544" i="15"/>
  <c r="S544" i="15"/>
  <c r="AG544" i="15"/>
  <c r="X544" i="15"/>
  <c r="Q544" i="15"/>
  <c r="P544" i="15"/>
  <c r="O544" i="15"/>
  <c r="AB647" i="15"/>
  <c r="T647" i="15"/>
  <c r="L647" i="15"/>
  <c r="Z647" i="15"/>
  <c r="Q647" i="15"/>
  <c r="H647" i="15"/>
  <c r="AH647" i="15"/>
  <c r="Y647" i="15"/>
  <c r="P647" i="15"/>
  <c r="G647" i="15"/>
  <c r="AG647" i="15"/>
  <c r="X647" i="15"/>
  <c r="O647" i="15"/>
  <c r="AF647" i="15"/>
  <c r="W647" i="15"/>
  <c r="N647" i="15"/>
  <c r="AC647" i="15"/>
  <c r="J647" i="15"/>
  <c r="AA647" i="15"/>
  <c r="I647" i="15"/>
  <c r="U647" i="15"/>
  <c r="R647" i="15"/>
  <c r="AE647" i="15"/>
  <c r="V647" i="15"/>
  <c r="S647" i="15"/>
  <c r="M647" i="15"/>
  <c r="AF737" i="15"/>
  <c r="X737" i="15"/>
  <c r="P737" i="15"/>
  <c r="H737" i="15"/>
  <c r="Z737" i="15"/>
  <c r="Q737" i="15"/>
  <c r="G737" i="15"/>
  <c r="AH737" i="15"/>
  <c r="Y737" i="15"/>
  <c r="O737" i="15"/>
  <c r="AG737" i="15"/>
  <c r="W737" i="15"/>
  <c r="N737" i="15"/>
  <c r="AE737" i="15"/>
  <c r="V737" i="15"/>
  <c r="M737" i="15"/>
  <c r="AB737" i="15"/>
  <c r="J737" i="15"/>
  <c r="AA737" i="15"/>
  <c r="I737" i="15"/>
  <c r="R737" i="15"/>
  <c r="L737" i="15"/>
  <c r="U737" i="15"/>
  <c r="T737" i="15"/>
  <c r="S737" i="15"/>
  <c r="AD737" i="15"/>
  <c r="AF778" i="15"/>
  <c r="X778" i="15"/>
  <c r="P778" i="15"/>
  <c r="H778" i="15"/>
  <c r="AD778" i="15"/>
  <c r="V778" i="15"/>
  <c r="N778" i="15"/>
  <c r="AB778" i="15"/>
  <c r="R778" i="15"/>
  <c r="G778" i="15"/>
  <c r="AA778" i="15"/>
  <c r="Q778" i="15"/>
  <c r="Z778" i="15"/>
  <c r="O778" i="15"/>
  <c r="Y778" i="15"/>
  <c r="M778" i="15"/>
  <c r="AE778" i="15"/>
  <c r="J778" i="15"/>
  <c r="AC778" i="15"/>
  <c r="I778" i="15"/>
  <c r="L778" i="15"/>
  <c r="W778" i="15"/>
  <c r="U778" i="15"/>
  <c r="T778" i="15"/>
  <c r="AH778" i="15"/>
  <c r="S778" i="15"/>
  <c r="AF882" i="15"/>
  <c r="X882" i="15"/>
  <c r="P882" i="15"/>
  <c r="H882" i="15"/>
  <c r="AD882" i="15"/>
  <c r="V882" i="15"/>
  <c r="N882" i="15"/>
  <c r="AB882" i="15"/>
  <c r="R882" i="15"/>
  <c r="G882" i="15"/>
  <c r="AA882" i="15"/>
  <c r="Q882" i="15"/>
  <c r="Z882" i="15"/>
  <c r="O882" i="15"/>
  <c r="Y882" i="15"/>
  <c r="M882" i="15"/>
  <c r="AE882" i="15"/>
  <c r="J882" i="15"/>
  <c r="AC882" i="15"/>
  <c r="I882" i="15"/>
  <c r="T882" i="15"/>
  <c r="L882" i="15"/>
  <c r="W882" i="15"/>
  <c r="U882" i="15"/>
  <c r="AH882" i="15"/>
  <c r="S882" i="15"/>
  <c r="AF1090" i="15"/>
  <c r="X1090" i="15"/>
  <c r="P1090" i="15"/>
  <c r="H1090" i="15"/>
  <c r="AD1090" i="15"/>
  <c r="V1090" i="15"/>
  <c r="N1090" i="15"/>
  <c r="AB1090" i="15"/>
  <c r="R1090" i="15"/>
  <c r="G1090" i="15"/>
  <c r="AA1090" i="15"/>
  <c r="Q1090" i="15"/>
  <c r="Z1090" i="15"/>
  <c r="O1090" i="15"/>
  <c r="Y1090" i="15"/>
  <c r="M1090" i="15"/>
  <c r="AE1090" i="15"/>
  <c r="J1090" i="15"/>
  <c r="AC1090" i="15"/>
  <c r="I1090" i="15"/>
  <c r="L1090" i="15"/>
  <c r="W1090" i="15"/>
  <c r="T1090" i="15"/>
  <c r="U1090" i="15"/>
  <c r="S1090" i="15"/>
  <c r="AH1090" i="15"/>
  <c r="AF1190" i="15"/>
  <c r="X1190" i="15"/>
  <c r="P1190" i="15"/>
  <c r="H1190" i="15"/>
  <c r="AG1190" i="15"/>
  <c r="W1190" i="15"/>
  <c r="N1190" i="15"/>
  <c r="AD1190" i="15"/>
  <c r="U1190" i="15"/>
  <c r="L1190" i="15"/>
  <c r="AH1190" i="15"/>
  <c r="T1190" i="15"/>
  <c r="I1190" i="15"/>
  <c r="AE1190" i="15"/>
  <c r="S1190" i="15"/>
  <c r="G1190" i="15"/>
  <c r="AC1190" i="15"/>
  <c r="R1190" i="15"/>
  <c r="AB1190" i="15"/>
  <c r="Q1190" i="15"/>
  <c r="K1190" i="15"/>
  <c r="Z1190" i="15"/>
  <c r="J1190" i="15"/>
  <c r="Y1190" i="15"/>
  <c r="O1190" i="15"/>
  <c r="AA1190" i="15"/>
  <c r="V1190" i="15"/>
  <c r="AB1240" i="15"/>
  <c r="T1240" i="15"/>
  <c r="L1240" i="15"/>
  <c r="Z1240" i="15"/>
  <c r="Q1240" i="15"/>
  <c r="H1240" i="15"/>
  <c r="AG1240" i="15"/>
  <c r="X1240" i="15"/>
  <c r="O1240" i="15"/>
  <c r="AE1240" i="15"/>
  <c r="S1240" i="15"/>
  <c r="G1240" i="15"/>
  <c r="AD1240" i="15"/>
  <c r="R1240" i="15"/>
  <c r="AC1240" i="15"/>
  <c r="P1240" i="15"/>
  <c r="AA1240" i="15"/>
  <c r="N1240" i="15"/>
  <c r="AH1240" i="15"/>
  <c r="J1240" i="15"/>
  <c r="AF1240" i="15"/>
  <c r="I1240" i="15"/>
  <c r="Y1240" i="15"/>
  <c r="V1240" i="15"/>
  <c r="W1240" i="15"/>
  <c r="U1240" i="15"/>
  <c r="M1240" i="15"/>
  <c r="AF1687" i="15"/>
  <c r="X1687" i="15"/>
  <c r="P1687" i="15"/>
  <c r="H1687" i="15"/>
  <c r="AE1687" i="15"/>
  <c r="W1687" i="15"/>
  <c r="O1687" i="15"/>
  <c r="G1687" i="15"/>
  <c r="AD1687" i="15"/>
  <c r="V1687" i="15"/>
  <c r="N1687" i="15"/>
  <c r="AC1687" i="15"/>
  <c r="U1687" i="15"/>
  <c r="M1687" i="15"/>
  <c r="Y1687" i="15"/>
  <c r="I1687" i="15"/>
  <c r="T1687" i="15"/>
  <c r="S1687" i="15"/>
  <c r="AG1687" i="15"/>
  <c r="J1687" i="15"/>
  <c r="AB1687" i="15"/>
  <c r="AA1687" i="15"/>
  <c r="Z1687" i="15"/>
  <c r="L1687" i="15"/>
  <c r="K1687" i="15"/>
  <c r="R1687" i="15"/>
  <c r="AH1687" i="15"/>
  <c r="AF1867" i="15"/>
  <c r="X1867" i="15"/>
  <c r="P1867" i="15"/>
  <c r="H1867" i="15"/>
  <c r="AE1867" i="15"/>
  <c r="W1867" i="15"/>
  <c r="O1867" i="15"/>
  <c r="G1867" i="15"/>
  <c r="AD1867" i="15"/>
  <c r="V1867" i="15"/>
  <c r="N1867" i="15"/>
  <c r="AC1867" i="15"/>
  <c r="U1867" i="15"/>
  <c r="M1867" i="15"/>
  <c r="T1867" i="15"/>
  <c r="S1867" i="15"/>
  <c r="AH1867" i="15"/>
  <c r="R1867" i="15"/>
  <c r="Z1867" i="15"/>
  <c r="Y1867" i="15"/>
  <c r="Q1867" i="15"/>
  <c r="L1867" i="15"/>
  <c r="J1867" i="15"/>
  <c r="I1867" i="15"/>
  <c r="AB1867" i="15"/>
  <c r="AG1867" i="15"/>
  <c r="AA1867" i="15"/>
  <c r="P132" i="16"/>
  <c r="H132" i="9" s="1"/>
  <c r="F132" i="16"/>
  <c r="G51" i="15"/>
  <c r="M51" i="15"/>
  <c r="K51" i="15"/>
  <c r="X85" i="15"/>
  <c r="P85" i="15"/>
  <c r="H85" i="15"/>
  <c r="AF85" i="15" s="1"/>
  <c r="AG85" i="15"/>
  <c r="Q85" i="7" s="1"/>
  <c r="W85" i="15"/>
  <c r="N85" i="15"/>
  <c r="AE85" i="15"/>
  <c r="O85" i="7" s="1"/>
  <c r="V85" i="15"/>
  <c r="M85" i="15"/>
  <c r="U85" i="15"/>
  <c r="L85" i="15"/>
  <c r="AC85" i="15"/>
  <c r="K85" i="15"/>
  <c r="AA85" i="15"/>
  <c r="I85" i="15"/>
  <c r="Z85" i="15"/>
  <c r="G85" i="15"/>
  <c r="S85" i="15"/>
  <c r="R85" i="15"/>
  <c r="Q85" i="15"/>
  <c r="O85" i="15"/>
  <c r="Y85" i="15"/>
  <c r="H88" i="15"/>
  <c r="G88" i="15"/>
  <c r="M88" i="15"/>
  <c r="K88" i="15"/>
  <c r="L88" i="15"/>
  <c r="H130" i="15"/>
  <c r="G130" i="15"/>
  <c r="M130" i="15"/>
  <c r="L130" i="15"/>
  <c r="J130" i="15"/>
  <c r="K130" i="15"/>
  <c r="AB347" i="15"/>
  <c r="T347" i="15"/>
  <c r="L347" i="15"/>
  <c r="AG347" i="15"/>
  <c r="X347" i="15"/>
  <c r="O347" i="15"/>
  <c r="AF347" i="15"/>
  <c r="W347" i="15"/>
  <c r="N347" i="15"/>
  <c r="AE347" i="15"/>
  <c r="V347" i="15"/>
  <c r="M347" i="15"/>
  <c r="AD347" i="15"/>
  <c r="U347" i="15"/>
  <c r="K347" i="15"/>
  <c r="Z347" i="15"/>
  <c r="H347" i="15"/>
  <c r="Q347" i="15"/>
  <c r="Y347" i="15"/>
  <c r="G347" i="15"/>
  <c r="R347" i="15"/>
  <c r="AC347" i="15"/>
  <c r="S347" i="15"/>
  <c r="AH347" i="15"/>
  <c r="P347" i="15"/>
  <c r="J347" i="15"/>
  <c r="AB663" i="15"/>
  <c r="T663" i="15"/>
  <c r="L663" i="15"/>
  <c r="Z663" i="15"/>
  <c r="Q663" i="15"/>
  <c r="H663" i="15"/>
  <c r="AH663" i="15"/>
  <c r="Y663" i="15"/>
  <c r="P663" i="15"/>
  <c r="G663" i="15"/>
  <c r="AG663" i="15"/>
  <c r="X663" i="15"/>
  <c r="O663" i="15"/>
  <c r="AF663" i="15"/>
  <c r="W663" i="15"/>
  <c r="N663" i="15"/>
  <c r="AC663" i="15"/>
  <c r="J663" i="15"/>
  <c r="AA663" i="15"/>
  <c r="I663" i="15"/>
  <c r="M663" i="15"/>
  <c r="V663" i="15"/>
  <c r="U663" i="15"/>
  <c r="S663" i="15"/>
  <c r="AE663" i="15"/>
  <c r="R663" i="15"/>
  <c r="AF1875" i="15"/>
  <c r="X1875" i="15"/>
  <c r="P1875" i="15"/>
  <c r="H1875" i="15"/>
  <c r="AE1875" i="15"/>
  <c r="W1875" i="15"/>
  <c r="O1875" i="15"/>
  <c r="G1875" i="15"/>
  <c r="AD1875" i="15"/>
  <c r="V1875" i="15"/>
  <c r="N1875" i="15"/>
  <c r="AC1875" i="15"/>
  <c r="U1875" i="15"/>
  <c r="M1875" i="15"/>
  <c r="T1875" i="15"/>
  <c r="S1875" i="15"/>
  <c r="AH1875" i="15"/>
  <c r="R1875" i="15"/>
  <c r="Z1875" i="15"/>
  <c r="Y1875" i="15"/>
  <c r="Q1875" i="15"/>
  <c r="L1875" i="15"/>
  <c r="J1875" i="15"/>
  <c r="AG1875" i="15"/>
  <c r="I1875" i="15"/>
  <c r="AB1875" i="15"/>
  <c r="AA1875" i="15"/>
  <c r="K22" i="15"/>
  <c r="I22" i="15"/>
  <c r="H22" i="15"/>
  <c r="L46" i="15"/>
  <c r="G46" i="15"/>
  <c r="M46" i="15"/>
  <c r="AE104" i="15"/>
  <c r="O104" i="7" s="1"/>
  <c r="K162" i="15"/>
  <c r="M162" i="15"/>
  <c r="L162" i="15"/>
  <c r="J162" i="15"/>
  <c r="M174" i="15"/>
  <c r="L174" i="15"/>
  <c r="G174" i="15"/>
  <c r="AB187" i="15"/>
  <c r="T187" i="15"/>
  <c r="L187" i="15"/>
  <c r="AG187" i="15"/>
  <c r="X187" i="15"/>
  <c r="O187" i="15"/>
  <c r="AF187" i="15"/>
  <c r="W187" i="15"/>
  <c r="N187" i="15"/>
  <c r="AE187" i="15"/>
  <c r="V187" i="15"/>
  <c r="M187" i="15"/>
  <c r="AD187" i="15"/>
  <c r="U187" i="15"/>
  <c r="K187" i="15"/>
  <c r="Z187" i="15"/>
  <c r="H187" i="15"/>
  <c r="Y187" i="15"/>
  <c r="G187" i="15"/>
  <c r="R187" i="15"/>
  <c r="Q187" i="15"/>
  <c r="S187" i="15"/>
  <c r="AH187" i="15"/>
  <c r="P187" i="15"/>
  <c r="AC187" i="15"/>
  <c r="J187" i="15"/>
  <c r="AF193" i="15"/>
  <c r="X193" i="15"/>
  <c r="P193" i="15"/>
  <c r="H193" i="15"/>
  <c r="Z193" i="15"/>
  <c r="Q193" i="15"/>
  <c r="G193" i="15"/>
  <c r="AH193" i="15"/>
  <c r="Y193" i="15"/>
  <c r="O193" i="15"/>
  <c r="AG193" i="15"/>
  <c r="W193" i="15"/>
  <c r="N193" i="15"/>
  <c r="AE193" i="15"/>
  <c r="V193" i="15"/>
  <c r="M193" i="15"/>
  <c r="AB193" i="15"/>
  <c r="J193" i="15"/>
  <c r="AA193" i="15"/>
  <c r="I193" i="15"/>
  <c r="T193" i="15"/>
  <c r="S193" i="15"/>
  <c r="U193" i="15"/>
  <c r="L193" i="15"/>
  <c r="R193" i="15"/>
  <c r="AD193" i="15"/>
  <c r="AH757" i="15"/>
  <c r="Z757" i="15"/>
  <c r="R757" i="15"/>
  <c r="J757" i="15"/>
  <c r="AF757" i="15"/>
  <c r="X757" i="15"/>
  <c r="P757" i="15"/>
  <c r="H757" i="15"/>
  <c r="AA757" i="15"/>
  <c r="O757" i="15"/>
  <c r="Y757" i="15"/>
  <c r="N757" i="15"/>
  <c r="W757" i="15"/>
  <c r="M757" i="15"/>
  <c r="AG757" i="15"/>
  <c r="V757" i="15"/>
  <c r="L757" i="15"/>
  <c r="AD757" i="15"/>
  <c r="I757" i="15"/>
  <c r="AC757" i="15"/>
  <c r="G757" i="15"/>
  <c r="AB757" i="15"/>
  <c r="U757" i="15"/>
  <c r="T757" i="15"/>
  <c r="S757" i="15"/>
  <c r="Q757" i="15"/>
  <c r="AH861" i="15"/>
  <c r="Z861" i="15"/>
  <c r="R861" i="15"/>
  <c r="J861" i="15"/>
  <c r="AF861" i="15"/>
  <c r="X861" i="15"/>
  <c r="P861" i="15"/>
  <c r="H861" i="15"/>
  <c r="AA861" i="15"/>
  <c r="O861" i="15"/>
  <c r="Y861" i="15"/>
  <c r="N861" i="15"/>
  <c r="W861" i="15"/>
  <c r="M861" i="15"/>
  <c r="AG861" i="15"/>
  <c r="V861" i="15"/>
  <c r="L861" i="15"/>
  <c r="AD861" i="15"/>
  <c r="I861" i="15"/>
  <c r="AC861" i="15"/>
  <c r="G861" i="15"/>
  <c r="T861" i="15"/>
  <c r="S861" i="15"/>
  <c r="AB861" i="15"/>
  <c r="U861" i="15"/>
  <c r="Q861" i="15"/>
  <c r="AH933" i="15"/>
  <c r="Z933" i="15"/>
  <c r="R933" i="15"/>
  <c r="J933" i="15"/>
  <c r="AF933" i="15"/>
  <c r="X933" i="15"/>
  <c r="P933" i="15"/>
  <c r="H933" i="15"/>
  <c r="AA933" i="15"/>
  <c r="O933" i="15"/>
  <c r="Y933" i="15"/>
  <c r="N933" i="15"/>
  <c r="W933" i="15"/>
  <c r="M933" i="15"/>
  <c r="AG933" i="15"/>
  <c r="V933" i="15"/>
  <c r="L933" i="15"/>
  <c r="AD933" i="15"/>
  <c r="I933" i="15"/>
  <c r="T933" i="15"/>
  <c r="AC933" i="15"/>
  <c r="G933" i="15"/>
  <c r="S933" i="15"/>
  <c r="AB933" i="15"/>
  <c r="U933" i="15"/>
  <c r="Q933" i="15"/>
  <c r="AD1023" i="15"/>
  <c r="V1023" i="15"/>
  <c r="N1023" i="15"/>
  <c r="AB1023" i="15"/>
  <c r="T1023" i="15"/>
  <c r="L1023" i="15"/>
  <c r="AC1023" i="15"/>
  <c r="R1023" i="15"/>
  <c r="H1023" i="15"/>
  <c r="AA1023" i="15"/>
  <c r="Q1023" i="15"/>
  <c r="G1023" i="15"/>
  <c r="Z1023" i="15"/>
  <c r="P1023" i="15"/>
  <c r="Y1023" i="15"/>
  <c r="O1023" i="15"/>
  <c r="AF1023" i="15"/>
  <c r="J1023" i="15"/>
  <c r="AE1023" i="15"/>
  <c r="I1023" i="15"/>
  <c r="U1023" i="15"/>
  <c r="M1023" i="15"/>
  <c r="X1023" i="15"/>
  <c r="W1023" i="15"/>
  <c r="S1023" i="15"/>
  <c r="AH1023" i="15"/>
  <c r="AB1148" i="15"/>
  <c r="T1148" i="15"/>
  <c r="L1148" i="15"/>
  <c r="AG1148" i="15"/>
  <c r="X1148" i="15"/>
  <c r="O1148" i="15"/>
  <c r="AE1148" i="15"/>
  <c r="V1148" i="15"/>
  <c r="M1148" i="15"/>
  <c r="AF1148" i="15"/>
  <c r="S1148" i="15"/>
  <c r="H1148" i="15"/>
  <c r="AD1148" i="15"/>
  <c r="R1148" i="15"/>
  <c r="G1148" i="15"/>
  <c r="AC1148" i="15"/>
  <c r="Q1148" i="15"/>
  <c r="AA1148" i="15"/>
  <c r="P1148" i="15"/>
  <c r="J1148" i="15"/>
  <c r="Y1148" i="15"/>
  <c r="W1148" i="15"/>
  <c r="AH1148" i="15"/>
  <c r="I1148" i="15"/>
  <c r="N1148" i="15"/>
  <c r="Z1148" i="15"/>
  <c r="U1148" i="15"/>
  <c r="AD1179" i="15"/>
  <c r="V1179" i="15"/>
  <c r="N1179" i="15"/>
  <c r="AF1179" i="15"/>
  <c r="W1179" i="15"/>
  <c r="M1179" i="15"/>
  <c r="AC1179" i="15"/>
  <c r="T1179" i="15"/>
  <c r="K1179" i="15"/>
  <c r="AA1179" i="15"/>
  <c r="P1179" i="15"/>
  <c r="Z1179" i="15"/>
  <c r="O1179" i="15"/>
  <c r="Y1179" i="15"/>
  <c r="L1179" i="15"/>
  <c r="X1179" i="15"/>
  <c r="J1179" i="15"/>
  <c r="AG1179" i="15"/>
  <c r="H1179" i="15"/>
  <c r="U1179" i="15"/>
  <c r="S1179" i="15"/>
  <c r="AE1179" i="15"/>
  <c r="G1179" i="15"/>
  <c r="AB1179" i="15"/>
  <c r="Q1179" i="15"/>
  <c r="R1179" i="15"/>
  <c r="AD1568" i="15"/>
  <c r="V1568" i="15"/>
  <c r="N1568" i="15"/>
  <c r="AC1568" i="15"/>
  <c r="U1568" i="15"/>
  <c r="M1568" i="15"/>
  <c r="AB1568" i="15"/>
  <c r="T1568" i="15"/>
  <c r="L1568" i="15"/>
  <c r="AA1568" i="15"/>
  <c r="S1568" i="15"/>
  <c r="K1568" i="15"/>
  <c r="AF1568" i="15"/>
  <c r="P1568" i="15"/>
  <c r="Z1568" i="15"/>
  <c r="J1568" i="15"/>
  <c r="AE1568" i="15"/>
  <c r="H1568" i="15"/>
  <c r="Y1568" i="15"/>
  <c r="G1568" i="15"/>
  <c r="X1568" i="15"/>
  <c r="W1568" i="15"/>
  <c r="O1568" i="15"/>
  <c r="AG1568" i="15"/>
  <c r="I1568" i="15"/>
  <c r="AH1568" i="15"/>
  <c r="R1568" i="15"/>
  <c r="AF1859" i="15"/>
  <c r="X1859" i="15"/>
  <c r="P1859" i="15"/>
  <c r="H1859" i="15"/>
  <c r="AE1859" i="15"/>
  <c r="W1859" i="15"/>
  <c r="O1859" i="15"/>
  <c r="G1859" i="15"/>
  <c r="AD1859" i="15"/>
  <c r="V1859" i="15"/>
  <c r="N1859" i="15"/>
  <c r="AC1859" i="15"/>
  <c r="U1859" i="15"/>
  <c r="M1859" i="15"/>
  <c r="T1859" i="15"/>
  <c r="S1859" i="15"/>
  <c r="AH1859" i="15"/>
  <c r="R1859" i="15"/>
  <c r="Z1859" i="15"/>
  <c r="Y1859" i="15"/>
  <c r="Q1859" i="15"/>
  <c r="L1859" i="15"/>
  <c r="J1859" i="15"/>
  <c r="AB1859" i="15"/>
  <c r="I1859" i="15"/>
  <c r="AG1859" i="15"/>
  <c r="AA1859" i="15"/>
  <c r="P49" i="16"/>
  <c r="H49" i="9" s="1"/>
  <c r="F49" i="16"/>
  <c r="I49" i="9"/>
  <c r="V58" i="15"/>
  <c r="N58" i="15"/>
  <c r="W58" i="15"/>
  <c r="M58" i="15"/>
  <c r="U58" i="15"/>
  <c r="L58" i="15"/>
  <c r="AC58" i="15"/>
  <c r="K58" i="15"/>
  <c r="AB58" i="15"/>
  <c r="S58" i="15"/>
  <c r="J58" i="15"/>
  <c r="Z58" i="15"/>
  <c r="H58" i="15"/>
  <c r="R58" i="15"/>
  <c r="Q58" i="15"/>
  <c r="Y58" i="15"/>
  <c r="G58" i="15"/>
  <c r="X58" i="15"/>
  <c r="P58" i="15"/>
  <c r="AG58" i="15"/>
  <c r="Q58" i="7" s="1"/>
  <c r="O58" i="15"/>
  <c r="AB391" i="15"/>
  <c r="T391" i="15"/>
  <c r="L391" i="15"/>
  <c r="Z391" i="15"/>
  <c r="Q391" i="15"/>
  <c r="H391" i="15"/>
  <c r="AH391" i="15"/>
  <c r="Y391" i="15"/>
  <c r="P391" i="15"/>
  <c r="G391" i="15"/>
  <c r="AG391" i="15"/>
  <c r="X391" i="15"/>
  <c r="O391" i="15"/>
  <c r="AF391" i="15"/>
  <c r="W391" i="15"/>
  <c r="N391" i="15"/>
  <c r="AC391" i="15"/>
  <c r="J391" i="15"/>
  <c r="AA391" i="15"/>
  <c r="I391" i="15"/>
  <c r="U391" i="15"/>
  <c r="S391" i="15"/>
  <c r="M391" i="15"/>
  <c r="V391" i="15"/>
  <c r="R391" i="15"/>
  <c r="AE391" i="15"/>
  <c r="AD847" i="15"/>
  <c r="V847" i="15"/>
  <c r="N847" i="15"/>
  <c r="AB847" i="15"/>
  <c r="T847" i="15"/>
  <c r="L847" i="15"/>
  <c r="AC847" i="15"/>
  <c r="R847" i="15"/>
  <c r="H847" i="15"/>
  <c r="AA847" i="15"/>
  <c r="Q847" i="15"/>
  <c r="G847" i="15"/>
  <c r="Z847" i="15"/>
  <c r="P847" i="15"/>
  <c r="Y847" i="15"/>
  <c r="O847" i="15"/>
  <c r="AF847" i="15"/>
  <c r="J847" i="15"/>
  <c r="AE847" i="15"/>
  <c r="I847" i="15"/>
  <c r="S847" i="15"/>
  <c r="AH847" i="15"/>
  <c r="X847" i="15"/>
  <c r="W847" i="15"/>
  <c r="U847" i="15"/>
  <c r="M847" i="15"/>
  <c r="AD1111" i="15"/>
  <c r="V1111" i="15"/>
  <c r="N1111" i="15"/>
  <c r="AB1111" i="15"/>
  <c r="T1111" i="15"/>
  <c r="L1111" i="15"/>
  <c r="AC1111" i="15"/>
  <c r="R1111" i="15"/>
  <c r="H1111" i="15"/>
  <c r="AA1111" i="15"/>
  <c r="Q1111" i="15"/>
  <c r="G1111" i="15"/>
  <c r="Z1111" i="15"/>
  <c r="P1111" i="15"/>
  <c r="Y1111" i="15"/>
  <c r="O1111" i="15"/>
  <c r="AF1111" i="15"/>
  <c r="J1111" i="15"/>
  <c r="W1111" i="15"/>
  <c r="U1111" i="15"/>
  <c r="AE1111" i="15"/>
  <c r="I1111" i="15"/>
  <c r="X1111" i="15"/>
  <c r="M1111" i="15"/>
  <c r="S1111" i="15"/>
  <c r="AH1111" i="15"/>
  <c r="AD1243" i="15"/>
  <c r="V1243" i="15"/>
  <c r="N1243" i="15"/>
  <c r="AF1243" i="15"/>
  <c r="W1243" i="15"/>
  <c r="M1243" i="15"/>
  <c r="AC1243" i="15"/>
  <c r="T1243" i="15"/>
  <c r="K1243" i="15"/>
  <c r="AB1243" i="15"/>
  <c r="Q1243" i="15"/>
  <c r="AA1243" i="15"/>
  <c r="P1243" i="15"/>
  <c r="Z1243" i="15"/>
  <c r="O1243" i="15"/>
  <c r="Y1243" i="15"/>
  <c r="L1243" i="15"/>
  <c r="AG1243" i="15"/>
  <c r="H1243" i="15"/>
  <c r="U1243" i="15"/>
  <c r="AE1243" i="15"/>
  <c r="G1243" i="15"/>
  <c r="J1243" i="15"/>
  <c r="X1243" i="15"/>
  <c r="S1243" i="15"/>
  <c r="R1243" i="15"/>
  <c r="U99" i="15"/>
  <c r="U98" i="15"/>
  <c r="U104" i="15"/>
  <c r="U94" i="15"/>
  <c r="U103" i="15"/>
  <c r="L13" i="15"/>
  <c r="K13" i="15"/>
  <c r="N13" i="15"/>
  <c r="M13" i="15"/>
  <c r="AE20" i="15"/>
  <c r="O20" i="7" s="1"/>
  <c r="AB49" i="15"/>
  <c r="AF65" i="15"/>
  <c r="P65" i="7" s="1"/>
  <c r="X65" i="15"/>
  <c r="P65" i="15"/>
  <c r="H65" i="15"/>
  <c r="Z65" i="15"/>
  <c r="Q65" i="15"/>
  <c r="G65" i="15"/>
  <c r="Y65" i="15"/>
  <c r="O65" i="15"/>
  <c r="W65" i="15"/>
  <c r="N65" i="15"/>
  <c r="AE65" i="15"/>
  <c r="O65" i="7" s="1"/>
  <c r="V65" i="15"/>
  <c r="M65" i="15"/>
  <c r="AB65" i="15"/>
  <c r="J65" i="15"/>
  <c r="S65" i="15"/>
  <c r="AA65" i="15"/>
  <c r="I65" i="15"/>
  <c r="U65" i="15"/>
  <c r="R65" i="15"/>
  <c r="L65" i="15"/>
  <c r="AB267" i="15"/>
  <c r="T267" i="15"/>
  <c r="L267" i="15"/>
  <c r="AG267" i="15"/>
  <c r="X267" i="15"/>
  <c r="O267" i="15"/>
  <c r="AF267" i="15"/>
  <c r="W267" i="15"/>
  <c r="N267" i="15"/>
  <c r="AE267" i="15"/>
  <c r="V267" i="15"/>
  <c r="M267" i="15"/>
  <c r="AD267" i="15"/>
  <c r="U267" i="15"/>
  <c r="K267" i="15"/>
  <c r="Z267" i="15"/>
  <c r="H267" i="15"/>
  <c r="R267" i="15"/>
  <c r="Y267" i="15"/>
  <c r="G267" i="15"/>
  <c r="Q267" i="15"/>
  <c r="AH267" i="15"/>
  <c r="AC267" i="15"/>
  <c r="S267" i="15"/>
  <c r="J267" i="15"/>
  <c r="P267" i="15"/>
  <c r="AB299" i="15"/>
  <c r="T299" i="15"/>
  <c r="L299" i="15"/>
  <c r="AG299" i="15"/>
  <c r="X299" i="15"/>
  <c r="O299" i="15"/>
  <c r="AF299" i="15"/>
  <c r="W299" i="15"/>
  <c r="N299" i="15"/>
  <c r="AE299" i="15"/>
  <c r="V299" i="15"/>
  <c r="M299" i="15"/>
  <c r="AD299" i="15"/>
  <c r="U299" i="15"/>
  <c r="K299" i="15"/>
  <c r="Z299" i="15"/>
  <c r="H299" i="15"/>
  <c r="Y299" i="15"/>
  <c r="G299" i="15"/>
  <c r="R299" i="15"/>
  <c r="Q299" i="15"/>
  <c r="P299" i="15"/>
  <c r="S299" i="15"/>
  <c r="AH299" i="15"/>
  <c r="AC299" i="15"/>
  <c r="J299" i="15"/>
  <c r="AH540" i="15"/>
  <c r="Z540" i="15"/>
  <c r="R540" i="15"/>
  <c r="J540" i="15"/>
  <c r="Y540" i="15"/>
  <c r="P540" i="15"/>
  <c r="G540" i="15"/>
  <c r="AG540" i="15"/>
  <c r="X540" i="15"/>
  <c r="O540" i="15"/>
  <c r="AF540" i="15"/>
  <c r="W540" i="15"/>
  <c r="N540" i="15"/>
  <c r="AE540" i="15"/>
  <c r="V540" i="15"/>
  <c r="M540" i="15"/>
  <c r="AB540" i="15"/>
  <c r="I540" i="15"/>
  <c r="AA540" i="15"/>
  <c r="H540" i="15"/>
  <c r="T540" i="15"/>
  <c r="U540" i="15"/>
  <c r="S540" i="15"/>
  <c r="AD540" i="15"/>
  <c r="Q540" i="15"/>
  <c r="L540" i="15"/>
  <c r="AF597" i="15"/>
  <c r="X597" i="15"/>
  <c r="P597" i="15"/>
  <c r="H597" i="15"/>
  <c r="AG597" i="15"/>
  <c r="W597" i="15"/>
  <c r="N597" i="15"/>
  <c r="AE597" i="15"/>
  <c r="V597" i="15"/>
  <c r="M597" i="15"/>
  <c r="AD597" i="15"/>
  <c r="U597" i="15"/>
  <c r="L597" i="15"/>
  <c r="AC597" i="15"/>
  <c r="T597" i="15"/>
  <c r="K597" i="15"/>
  <c r="AA597" i="15"/>
  <c r="I597" i="15"/>
  <c r="S597" i="15"/>
  <c r="Z597" i="15"/>
  <c r="G597" i="15"/>
  <c r="R597" i="15"/>
  <c r="Y597" i="15"/>
  <c r="AH597" i="15"/>
  <c r="O597" i="15"/>
  <c r="Q597" i="15"/>
  <c r="AB711" i="15"/>
  <c r="T711" i="15"/>
  <c r="L711" i="15"/>
  <c r="Z711" i="15"/>
  <c r="Q711" i="15"/>
  <c r="H711" i="15"/>
  <c r="AH711" i="15"/>
  <c r="Y711" i="15"/>
  <c r="P711" i="15"/>
  <c r="G711" i="15"/>
  <c r="AG711" i="15"/>
  <c r="X711" i="15"/>
  <c r="O711" i="15"/>
  <c r="AF711" i="15"/>
  <c r="W711" i="15"/>
  <c r="N711" i="15"/>
  <c r="AC711" i="15"/>
  <c r="J711" i="15"/>
  <c r="AA711" i="15"/>
  <c r="I711" i="15"/>
  <c r="R711" i="15"/>
  <c r="V711" i="15"/>
  <c r="U711" i="15"/>
  <c r="S711" i="15"/>
  <c r="M711" i="15"/>
  <c r="AE711" i="15"/>
  <c r="AD799" i="15"/>
  <c r="V799" i="15"/>
  <c r="N799" i="15"/>
  <c r="AB799" i="15"/>
  <c r="T799" i="15"/>
  <c r="L799" i="15"/>
  <c r="AC799" i="15"/>
  <c r="R799" i="15"/>
  <c r="H799" i="15"/>
  <c r="AA799" i="15"/>
  <c r="Q799" i="15"/>
  <c r="G799" i="15"/>
  <c r="Z799" i="15"/>
  <c r="P799" i="15"/>
  <c r="Y799" i="15"/>
  <c r="O799" i="15"/>
  <c r="AF799" i="15"/>
  <c r="J799" i="15"/>
  <c r="U799" i="15"/>
  <c r="AE799" i="15"/>
  <c r="I799" i="15"/>
  <c r="AH799" i="15"/>
  <c r="X799" i="15"/>
  <c r="W799" i="15"/>
  <c r="S799" i="15"/>
  <c r="M799" i="15"/>
  <c r="AF970" i="15"/>
  <c r="X970" i="15"/>
  <c r="P970" i="15"/>
  <c r="H970" i="15"/>
  <c r="AD970" i="15"/>
  <c r="V970" i="15"/>
  <c r="N970" i="15"/>
  <c r="AB970" i="15"/>
  <c r="R970" i="15"/>
  <c r="G970" i="15"/>
  <c r="AA970" i="15"/>
  <c r="Q970" i="15"/>
  <c r="Z970" i="15"/>
  <c r="O970" i="15"/>
  <c r="Y970" i="15"/>
  <c r="M970" i="15"/>
  <c r="AE970" i="15"/>
  <c r="J970" i="15"/>
  <c r="AC970" i="15"/>
  <c r="I970" i="15"/>
  <c r="S970" i="15"/>
  <c r="AH970" i="15"/>
  <c r="W970" i="15"/>
  <c r="U970" i="15"/>
  <c r="T970" i="15"/>
  <c r="L970" i="15"/>
  <c r="AH1013" i="15"/>
  <c r="Z1013" i="15"/>
  <c r="R1013" i="15"/>
  <c r="J1013" i="15"/>
  <c r="AF1013" i="15"/>
  <c r="X1013" i="15"/>
  <c r="P1013" i="15"/>
  <c r="H1013" i="15"/>
  <c r="AA1013" i="15"/>
  <c r="O1013" i="15"/>
  <c r="Y1013" i="15"/>
  <c r="N1013" i="15"/>
  <c r="W1013" i="15"/>
  <c r="M1013" i="15"/>
  <c r="AG1013" i="15"/>
  <c r="V1013" i="15"/>
  <c r="L1013" i="15"/>
  <c r="AD1013" i="15"/>
  <c r="I1013" i="15"/>
  <c r="T1013" i="15"/>
  <c r="AC1013" i="15"/>
  <c r="G1013" i="15"/>
  <c r="S1013" i="15"/>
  <c r="AB1013" i="15"/>
  <c r="U1013" i="15"/>
  <c r="Q1013" i="15"/>
  <c r="AH1117" i="15"/>
  <c r="Z1117" i="15"/>
  <c r="R1117" i="15"/>
  <c r="J1117" i="15"/>
  <c r="AF1117" i="15"/>
  <c r="X1117" i="15"/>
  <c r="P1117" i="15"/>
  <c r="H1117" i="15"/>
  <c r="AA1117" i="15"/>
  <c r="O1117" i="15"/>
  <c r="Y1117" i="15"/>
  <c r="N1117" i="15"/>
  <c r="W1117" i="15"/>
  <c r="M1117" i="15"/>
  <c r="AG1117" i="15"/>
  <c r="V1117" i="15"/>
  <c r="L1117" i="15"/>
  <c r="AD1117" i="15"/>
  <c r="I1117" i="15"/>
  <c r="T1117" i="15"/>
  <c r="AC1117" i="15"/>
  <c r="G1117" i="15"/>
  <c r="S1117" i="15"/>
  <c r="Q1117" i="15"/>
  <c r="AB1117" i="15"/>
  <c r="U1117" i="15"/>
  <c r="AD1780" i="15"/>
  <c r="V1780" i="15"/>
  <c r="N1780" i="15"/>
  <c r="AC1780" i="15"/>
  <c r="U1780" i="15"/>
  <c r="M1780" i="15"/>
  <c r="AB1780" i="15"/>
  <c r="T1780" i="15"/>
  <c r="L1780" i="15"/>
  <c r="AA1780" i="15"/>
  <c r="S1780" i="15"/>
  <c r="K1780" i="15"/>
  <c r="W1780" i="15"/>
  <c r="G1780" i="15"/>
  <c r="AH1780" i="15"/>
  <c r="R1780" i="15"/>
  <c r="AG1780" i="15"/>
  <c r="Q1780" i="15"/>
  <c r="Y1780" i="15"/>
  <c r="X1780" i="15"/>
  <c r="P1780" i="15"/>
  <c r="O1780" i="15"/>
  <c r="I1780" i="15"/>
  <c r="AE1780" i="15"/>
  <c r="H1780" i="15"/>
  <c r="AF1780" i="15"/>
  <c r="Z1780" i="15"/>
  <c r="AF1851" i="15"/>
  <c r="X1851" i="15"/>
  <c r="P1851" i="15"/>
  <c r="H1851" i="15"/>
  <c r="AE1851" i="15"/>
  <c r="W1851" i="15"/>
  <c r="O1851" i="15"/>
  <c r="G1851" i="15"/>
  <c r="AD1851" i="15"/>
  <c r="V1851" i="15"/>
  <c r="N1851" i="15"/>
  <c r="AC1851" i="15"/>
  <c r="U1851" i="15"/>
  <c r="M1851" i="15"/>
  <c r="T1851" i="15"/>
  <c r="S1851" i="15"/>
  <c r="AH1851" i="15"/>
  <c r="R1851" i="15"/>
  <c r="Z1851" i="15"/>
  <c r="Y1851" i="15"/>
  <c r="Q1851" i="15"/>
  <c r="L1851" i="15"/>
  <c r="J1851" i="15"/>
  <c r="AG1851" i="15"/>
  <c r="AB1851" i="15"/>
  <c r="I1851" i="15"/>
  <c r="AA1851" i="15"/>
  <c r="AD1960" i="15"/>
  <c r="V1960" i="15"/>
  <c r="N1960" i="15"/>
  <c r="AC1960" i="15"/>
  <c r="U1960" i="15"/>
  <c r="M1960" i="15"/>
  <c r="AB1960" i="15"/>
  <c r="T1960" i="15"/>
  <c r="L1960" i="15"/>
  <c r="AA1960" i="15"/>
  <c r="S1960" i="15"/>
  <c r="K1960" i="15"/>
  <c r="X1960" i="15"/>
  <c r="H1960" i="15"/>
  <c r="W1960" i="15"/>
  <c r="G1960" i="15"/>
  <c r="AH1960" i="15"/>
  <c r="R1960" i="15"/>
  <c r="Z1960" i="15"/>
  <c r="Y1960" i="15"/>
  <c r="Q1960" i="15"/>
  <c r="P1960" i="15"/>
  <c r="J1960" i="15"/>
  <c r="AG1960" i="15"/>
  <c r="AF1960" i="15"/>
  <c r="I1960" i="15"/>
  <c r="AE1960" i="15"/>
  <c r="P63" i="16"/>
  <c r="H63" i="9" s="1"/>
  <c r="I63" i="9"/>
  <c r="T63" i="16"/>
  <c r="F726" i="16"/>
  <c r="AA7" i="15"/>
  <c r="V7" i="15"/>
  <c r="Z18" i="15"/>
  <c r="Y18" i="15"/>
  <c r="X18" i="15"/>
  <c r="W18" i="15"/>
  <c r="K19" i="15"/>
  <c r="M19" i="15"/>
  <c r="AB23" i="15"/>
  <c r="L23" i="15"/>
  <c r="Z23" i="15"/>
  <c r="Q23" i="15"/>
  <c r="H23" i="15"/>
  <c r="AF23" i="15" s="1"/>
  <c r="Y23" i="15"/>
  <c r="P23" i="15"/>
  <c r="G23" i="15"/>
  <c r="X23" i="15"/>
  <c r="O23" i="15"/>
  <c r="W23" i="15"/>
  <c r="N23" i="15"/>
  <c r="AE23" i="15" s="1"/>
  <c r="O23" i="7" s="1"/>
  <c r="AC23" i="15"/>
  <c r="J23" i="15"/>
  <c r="AA23" i="15"/>
  <c r="I23" i="15"/>
  <c r="AG23" i="15" s="1"/>
  <c r="Q23" i="7" s="1"/>
  <c r="V23" i="15"/>
  <c r="U23" i="15"/>
  <c r="S23" i="15"/>
  <c r="R23" i="15"/>
  <c r="M23" i="15"/>
  <c r="AA45" i="15"/>
  <c r="Z45" i="15"/>
  <c r="Y45" i="15"/>
  <c r="W45" i="15"/>
  <c r="V45" i="15"/>
  <c r="J54" i="15"/>
  <c r="M56" i="15"/>
  <c r="L56" i="15"/>
  <c r="K56" i="15"/>
  <c r="Z92" i="15"/>
  <c r="R92" i="15"/>
  <c r="J92" i="15"/>
  <c r="Y92" i="15"/>
  <c r="P92" i="15"/>
  <c r="G92" i="15"/>
  <c r="X92" i="15"/>
  <c r="O92" i="15"/>
  <c r="W92" i="15"/>
  <c r="N92" i="15"/>
  <c r="V92" i="15"/>
  <c r="M92" i="15"/>
  <c r="AB92" i="15"/>
  <c r="I92" i="15"/>
  <c r="AG92" i="15" s="1"/>
  <c r="Q92" i="7" s="1"/>
  <c r="AA92" i="15"/>
  <c r="H92" i="15"/>
  <c r="S92" i="15"/>
  <c r="L92" i="15"/>
  <c r="U92" i="15"/>
  <c r="Q92" i="15"/>
  <c r="M114" i="15"/>
  <c r="Z160" i="15"/>
  <c r="R160" i="15"/>
  <c r="J160" i="15"/>
  <c r="W160" i="15"/>
  <c r="N160" i="15"/>
  <c r="V160" i="15"/>
  <c r="M160" i="15"/>
  <c r="U160" i="15"/>
  <c r="L160" i="15"/>
  <c r="AC160" i="15"/>
  <c r="K160" i="15"/>
  <c r="AA160" i="15"/>
  <c r="H160" i="15"/>
  <c r="S160" i="15"/>
  <c r="Y160" i="15"/>
  <c r="G160" i="15"/>
  <c r="Q160" i="15"/>
  <c r="X160" i="15"/>
  <c r="AG160" i="15" s="1"/>
  <c r="Q160" i="7" s="1"/>
  <c r="P160" i="15"/>
  <c r="O160" i="15"/>
  <c r="V170" i="15"/>
  <c r="N170" i="15"/>
  <c r="AE170" i="15" s="1"/>
  <c r="O170" i="7" s="1"/>
  <c r="AF170" i="15"/>
  <c r="W170" i="15"/>
  <c r="M170" i="15"/>
  <c r="U170" i="15"/>
  <c r="L170" i="15"/>
  <c r="AC170" i="15"/>
  <c r="K170" i="15"/>
  <c r="AB170" i="15"/>
  <c r="S170" i="15"/>
  <c r="J170" i="15"/>
  <c r="Z170" i="15"/>
  <c r="H170" i="15"/>
  <c r="R170" i="15"/>
  <c r="Y170" i="15"/>
  <c r="G170" i="15"/>
  <c r="Q170" i="15"/>
  <c r="X170" i="15"/>
  <c r="AG170" i="15" s="1"/>
  <c r="Q170" i="7" s="1"/>
  <c r="P170" i="15"/>
  <c r="O170" i="15"/>
  <c r="AH252" i="15"/>
  <c r="Z252" i="15"/>
  <c r="R252" i="15"/>
  <c r="J252" i="15"/>
  <c r="Y252" i="15"/>
  <c r="P252" i="15"/>
  <c r="G252" i="15"/>
  <c r="AG252" i="15"/>
  <c r="X252" i="15"/>
  <c r="O252" i="15"/>
  <c r="AF252" i="15"/>
  <c r="W252" i="15"/>
  <c r="N252" i="15"/>
  <c r="AE252" i="15"/>
  <c r="V252" i="15"/>
  <c r="M252" i="15"/>
  <c r="AB252" i="15"/>
  <c r="I252" i="15"/>
  <c r="T252" i="15"/>
  <c r="AA252" i="15"/>
  <c r="H252" i="15"/>
  <c r="U252" i="15"/>
  <c r="S252" i="15"/>
  <c r="AD252" i="15"/>
  <c r="Q252" i="15"/>
  <c r="L252" i="15"/>
  <c r="AD362" i="15"/>
  <c r="V362" i="15"/>
  <c r="N362" i="15"/>
  <c r="AF362" i="15"/>
  <c r="W362" i="15"/>
  <c r="M362" i="15"/>
  <c r="AE362" i="15"/>
  <c r="U362" i="15"/>
  <c r="L362" i="15"/>
  <c r="AC362" i="15"/>
  <c r="T362" i="15"/>
  <c r="K362" i="15"/>
  <c r="AB362" i="15"/>
  <c r="S362" i="15"/>
  <c r="J362" i="15"/>
  <c r="Z362" i="15"/>
  <c r="H362" i="15"/>
  <c r="R362" i="15"/>
  <c r="Q362" i="15"/>
  <c r="Y362" i="15"/>
  <c r="G362" i="15"/>
  <c r="P362" i="15"/>
  <c r="X362" i="15"/>
  <c r="AG362" i="15"/>
  <c r="O362" i="15"/>
  <c r="AH362" i="15"/>
  <c r="K380" i="15"/>
  <c r="AH384" i="15"/>
  <c r="Z384" i="15"/>
  <c r="R384" i="15"/>
  <c r="J384" i="15"/>
  <c r="AF384" i="15"/>
  <c r="W384" i="15"/>
  <c r="N384" i="15"/>
  <c r="AE384" i="15"/>
  <c r="V384" i="15"/>
  <c r="M384" i="15"/>
  <c r="AD384" i="15"/>
  <c r="U384" i="15"/>
  <c r="L384" i="15"/>
  <c r="AC384" i="15"/>
  <c r="T384" i="15"/>
  <c r="K384" i="15"/>
  <c r="AA384" i="15"/>
  <c r="H384" i="15"/>
  <c r="S384" i="15"/>
  <c r="Y384" i="15"/>
  <c r="G384" i="15"/>
  <c r="Q384" i="15"/>
  <c r="O384" i="15"/>
  <c r="X384" i="15"/>
  <c r="P384" i="15"/>
  <c r="AG384" i="15"/>
  <c r="AF417" i="15"/>
  <c r="X417" i="15"/>
  <c r="P417" i="15"/>
  <c r="H417" i="15"/>
  <c r="Z417" i="15"/>
  <c r="Q417" i="15"/>
  <c r="G417" i="15"/>
  <c r="AH417" i="15"/>
  <c r="Y417" i="15"/>
  <c r="O417" i="15"/>
  <c r="AG417" i="15"/>
  <c r="W417" i="15"/>
  <c r="N417" i="15"/>
  <c r="AE417" i="15"/>
  <c r="V417" i="15"/>
  <c r="M417" i="15"/>
  <c r="AB417" i="15"/>
  <c r="J417" i="15"/>
  <c r="AA417" i="15"/>
  <c r="I417" i="15"/>
  <c r="T417" i="15"/>
  <c r="S417" i="15"/>
  <c r="U417" i="15"/>
  <c r="L417" i="15"/>
  <c r="R417" i="15"/>
  <c r="AD417" i="15"/>
  <c r="K471" i="15"/>
  <c r="K529" i="15"/>
  <c r="I634" i="15"/>
  <c r="K657" i="15"/>
  <c r="AB764" i="15"/>
  <c r="T764" i="15"/>
  <c r="L764" i="15"/>
  <c r="AH764" i="15"/>
  <c r="Z764" i="15"/>
  <c r="R764" i="15"/>
  <c r="J764" i="15"/>
  <c r="AD764" i="15"/>
  <c r="S764" i="15"/>
  <c r="H764" i="15"/>
  <c r="AC764" i="15"/>
  <c r="Q764" i="15"/>
  <c r="G764" i="15"/>
  <c r="AA764" i="15"/>
  <c r="P764" i="15"/>
  <c r="Y764" i="15"/>
  <c r="O764" i="15"/>
  <c r="AF764" i="15"/>
  <c r="K764" i="15"/>
  <c r="V764" i="15"/>
  <c r="AE764" i="15"/>
  <c r="I764" i="15"/>
  <c r="X764" i="15"/>
  <c r="W764" i="15"/>
  <c r="U764" i="15"/>
  <c r="N764" i="15"/>
  <c r="AH821" i="15"/>
  <c r="Z821" i="15"/>
  <c r="R821" i="15"/>
  <c r="J821" i="15"/>
  <c r="AF821" i="15"/>
  <c r="X821" i="15"/>
  <c r="P821" i="15"/>
  <c r="H821" i="15"/>
  <c r="AA821" i="15"/>
  <c r="O821" i="15"/>
  <c r="Y821" i="15"/>
  <c r="N821" i="15"/>
  <c r="W821" i="15"/>
  <c r="M821" i="15"/>
  <c r="AG821" i="15"/>
  <c r="V821" i="15"/>
  <c r="L821" i="15"/>
  <c r="AD821" i="15"/>
  <c r="I821" i="15"/>
  <c r="T821" i="15"/>
  <c r="AC821" i="15"/>
  <c r="G821" i="15"/>
  <c r="S821" i="15"/>
  <c r="AB821" i="15"/>
  <c r="U821" i="15"/>
  <c r="Q821" i="15"/>
  <c r="AB868" i="15"/>
  <c r="T868" i="15"/>
  <c r="L868" i="15"/>
  <c r="AH868" i="15"/>
  <c r="Z868" i="15"/>
  <c r="R868" i="15"/>
  <c r="J868" i="15"/>
  <c r="AD868" i="15"/>
  <c r="S868" i="15"/>
  <c r="H868" i="15"/>
  <c r="AC868" i="15"/>
  <c r="Q868" i="15"/>
  <c r="G868" i="15"/>
  <c r="AA868" i="15"/>
  <c r="P868" i="15"/>
  <c r="Y868" i="15"/>
  <c r="O868" i="15"/>
  <c r="AF868" i="15"/>
  <c r="K868" i="15"/>
  <c r="AE868" i="15"/>
  <c r="I868" i="15"/>
  <c r="X868" i="15"/>
  <c r="W868" i="15"/>
  <c r="V868" i="15"/>
  <c r="N868" i="15"/>
  <c r="U868" i="15"/>
  <c r="K901" i="15"/>
  <c r="AH949" i="15"/>
  <c r="Z949" i="15"/>
  <c r="R949" i="15"/>
  <c r="J949" i="15"/>
  <c r="AF949" i="15"/>
  <c r="X949" i="15"/>
  <c r="P949" i="15"/>
  <c r="H949" i="15"/>
  <c r="AA949" i="15"/>
  <c r="O949" i="15"/>
  <c r="Y949" i="15"/>
  <c r="N949" i="15"/>
  <c r="W949" i="15"/>
  <c r="M949" i="15"/>
  <c r="AG949" i="15"/>
  <c r="V949" i="15"/>
  <c r="L949" i="15"/>
  <c r="AD949" i="15"/>
  <c r="I949" i="15"/>
  <c r="AC949" i="15"/>
  <c r="G949" i="15"/>
  <c r="S949" i="15"/>
  <c r="Q949" i="15"/>
  <c r="AB949" i="15"/>
  <c r="U949" i="15"/>
  <c r="T949" i="15"/>
  <c r="M956" i="15"/>
  <c r="AH1061" i="15"/>
  <c r="Z1061" i="15"/>
  <c r="R1061" i="15"/>
  <c r="J1061" i="15"/>
  <c r="AF1061" i="15"/>
  <c r="X1061" i="15"/>
  <c r="P1061" i="15"/>
  <c r="H1061" i="15"/>
  <c r="AA1061" i="15"/>
  <c r="O1061" i="15"/>
  <c r="Y1061" i="15"/>
  <c r="N1061" i="15"/>
  <c r="W1061" i="15"/>
  <c r="M1061" i="15"/>
  <c r="AG1061" i="15"/>
  <c r="V1061" i="15"/>
  <c r="L1061" i="15"/>
  <c r="AD1061" i="15"/>
  <c r="I1061" i="15"/>
  <c r="AC1061" i="15"/>
  <c r="G1061" i="15"/>
  <c r="T1061" i="15"/>
  <c r="Q1061" i="15"/>
  <c r="AB1061" i="15"/>
  <c r="U1061" i="15"/>
  <c r="S1061" i="15"/>
  <c r="K1156" i="15"/>
  <c r="AC1504" i="15"/>
  <c r="U1504" i="15"/>
  <c r="M1504" i="15"/>
  <c r="AB1504" i="15"/>
  <c r="T1504" i="15"/>
  <c r="L1504" i="15"/>
  <c r="AA1504" i="15"/>
  <c r="S1504" i="15"/>
  <c r="K1504" i="15"/>
  <c r="Z1504" i="15"/>
  <c r="O1504" i="15"/>
  <c r="X1504" i="15"/>
  <c r="J1504" i="15"/>
  <c r="Y1504" i="15"/>
  <c r="H1504" i="15"/>
  <c r="W1504" i="15"/>
  <c r="G1504" i="15"/>
  <c r="V1504" i="15"/>
  <c r="AH1504" i="15"/>
  <c r="R1504" i="15"/>
  <c r="N1504" i="15"/>
  <c r="I1504" i="15"/>
  <c r="Q1504" i="15"/>
  <c r="AG1504" i="15"/>
  <c r="AE1504" i="15"/>
  <c r="AF1504" i="15"/>
  <c r="AD1504" i="15"/>
  <c r="K1619" i="15"/>
  <c r="R1647" i="15"/>
  <c r="Q1652" i="15"/>
  <c r="J1788" i="15"/>
  <c r="K1827" i="15"/>
  <c r="AF1843" i="15"/>
  <c r="X1843" i="15"/>
  <c r="P1843" i="15"/>
  <c r="H1843" i="15"/>
  <c r="AE1843" i="15"/>
  <c r="W1843" i="15"/>
  <c r="O1843" i="15"/>
  <c r="G1843" i="15"/>
  <c r="AD1843" i="15"/>
  <c r="V1843" i="15"/>
  <c r="N1843" i="15"/>
  <c r="AC1843" i="15"/>
  <c r="U1843" i="15"/>
  <c r="M1843" i="15"/>
  <c r="T1843" i="15"/>
  <c r="S1843" i="15"/>
  <c r="AH1843" i="15"/>
  <c r="R1843" i="15"/>
  <c r="Z1843" i="15"/>
  <c r="Y1843" i="15"/>
  <c r="Q1843" i="15"/>
  <c r="L1843" i="15"/>
  <c r="J1843" i="15"/>
  <c r="AB1843" i="15"/>
  <c r="I1843" i="15"/>
  <c r="AG1843" i="15"/>
  <c r="AA1843" i="15"/>
  <c r="K1891" i="15"/>
  <c r="T352" i="16"/>
  <c r="I352" i="9"/>
  <c r="G439" i="16"/>
  <c r="L439" i="16"/>
  <c r="K439" i="16"/>
  <c r="J439" i="16"/>
  <c r="M439" i="16"/>
  <c r="E439" i="16"/>
  <c r="G681" i="16"/>
  <c r="M681" i="16"/>
  <c r="E681" i="16"/>
  <c r="H681" i="16"/>
  <c r="I681" i="16"/>
  <c r="J681" i="16"/>
  <c r="O681" i="16" s="1"/>
  <c r="L681" i="16"/>
  <c r="K681" i="16"/>
  <c r="M819" i="16"/>
  <c r="E819" i="16"/>
  <c r="L819" i="16"/>
  <c r="K819" i="16"/>
  <c r="I819" i="16"/>
  <c r="H819" i="16"/>
  <c r="G819" i="16"/>
  <c r="J819" i="16"/>
  <c r="F1150" i="16"/>
  <c r="U142" i="15"/>
  <c r="U136" i="15"/>
  <c r="U141" i="15"/>
  <c r="U135" i="15"/>
  <c r="U145" i="15"/>
  <c r="AA135" i="15"/>
  <c r="V135" i="15"/>
  <c r="Z146" i="15"/>
  <c r="X146" i="15"/>
  <c r="AB146" i="15"/>
  <c r="W146" i="15"/>
  <c r="AF1819" i="15"/>
  <c r="X1819" i="15"/>
  <c r="P1819" i="15"/>
  <c r="H1819" i="15"/>
  <c r="AE1819" i="15"/>
  <c r="W1819" i="15"/>
  <c r="O1819" i="15"/>
  <c r="G1819" i="15"/>
  <c r="AD1819" i="15"/>
  <c r="V1819" i="15"/>
  <c r="N1819" i="15"/>
  <c r="AC1819" i="15"/>
  <c r="U1819" i="15"/>
  <c r="M1819" i="15"/>
  <c r="T1819" i="15"/>
  <c r="S1819" i="15"/>
  <c r="AH1819" i="15"/>
  <c r="R1819" i="15"/>
  <c r="Z1819" i="15"/>
  <c r="Y1819" i="15"/>
  <c r="Q1819" i="15"/>
  <c r="L1819" i="15"/>
  <c r="J1819" i="15"/>
  <c r="AG1819" i="15"/>
  <c r="AB1819" i="15"/>
  <c r="I1819" i="15"/>
  <c r="AA1819" i="15"/>
  <c r="AF1883" i="15"/>
  <c r="X1883" i="15"/>
  <c r="P1883" i="15"/>
  <c r="H1883" i="15"/>
  <c r="AE1883" i="15"/>
  <c r="W1883" i="15"/>
  <c r="O1883" i="15"/>
  <c r="G1883" i="15"/>
  <c r="AD1883" i="15"/>
  <c r="V1883" i="15"/>
  <c r="N1883" i="15"/>
  <c r="AC1883" i="15"/>
  <c r="U1883" i="15"/>
  <c r="M1883" i="15"/>
  <c r="T1883" i="15"/>
  <c r="S1883" i="15"/>
  <c r="AH1883" i="15"/>
  <c r="R1883" i="15"/>
  <c r="Z1883" i="15"/>
  <c r="Y1883" i="15"/>
  <c r="Q1883" i="15"/>
  <c r="L1883" i="15"/>
  <c r="J1883" i="15"/>
  <c r="AB1883" i="15"/>
  <c r="I1883" i="15"/>
  <c r="AG1883" i="15"/>
  <c r="AA1883" i="15"/>
  <c r="AE83" i="15"/>
  <c r="O83" i="7" s="1"/>
  <c r="AB139" i="15"/>
  <c r="L139" i="15"/>
  <c r="X139" i="15"/>
  <c r="O139" i="15"/>
  <c r="AF139" i="15"/>
  <c r="W139" i="15"/>
  <c r="N139" i="15"/>
  <c r="AE139" i="15"/>
  <c r="O139" i="7" s="1"/>
  <c r="V139" i="15"/>
  <c r="M139" i="15"/>
  <c r="U139" i="15"/>
  <c r="K139" i="15"/>
  <c r="Z139" i="15"/>
  <c r="H139" i="15"/>
  <c r="Y139" i="15"/>
  <c r="G139" i="15"/>
  <c r="R139" i="15"/>
  <c r="Q139" i="15"/>
  <c r="S139" i="15"/>
  <c r="AC139" i="15"/>
  <c r="AG139" i="15" s="1"/>
  <c r="Q139" i="7" s="1"/>
  <c r="J139" i="15"/>
  <c r="P139" i="15"/>
  <c r="AB203" i="15"/>
  <c r="T203" i="15"/>
  <c r="L203" i="15"/>
  <c r="AG203" i="15"/>
  <c r="X203" i="15"/>
  <c r="O203" i="15"/>
  <c r="AF203" i="15"/>
  <c r="W203" i="15"/>
  <c r="N203" i="15"/>
  <c r="AE203" i="15"/>
  <c r="V203" i="15"/>
  <c r="M203" i="15"/>
  <c r="AD203" i="15"/>
  <c r="U203" i="15"/>
  <c r="K203" i="15"/>
  <c r="Z203" i="15"/>
  <c r="H203" i="15"/>
  <c r="R203" i="15"/>
  <c r="Y203" i="15"/>
  <c r="G203" i="15"/>
  <c r="S203" i="15"/>
  <c r="Q203" i="15"/>
  <c r="AC203" i="15"/>
  <c r="AH203" i="15"/>
  <c r="P203" i="15"/>
  <c r="J203" i="15"/>
  <c r="AF725" i="15"/>
  <c r="X725" i="15"/>
  <c r="P725" i="15"/>
  <c r="H725" i="15"/>
  <c r="AG725" i="15"/>
  <c r="W725" i="15"/>
  <c r="N725" i="15"/>
  <c r="AE725" i="15"/>
  <c r="V725" i="15"/>
  <c r="M725" i="15"/>
  <c r="AD725" i="15"/>
  <c r="U725" i="15"/>
  <c r="L725" i="15"/>
  <c r="AC725" i="15"/>
  <c r="T725" i="15"/>
  <c r="K725" i="15"/>
  <c r="AA725" i="15"/>
  <c r="I725" i="15"/>
  <c r="S725" i="15"/>
  <c r="Z725" i="15"/>
  <c r="G725" i="15"/>
  <c r="R725" i="15"/>
  <c r="Y725" i="15"/>
  <c r="Q725" i="15"/>
  <c r="O725" i="15"/>
  <c r="AH725" i="15"/>
  <c r="AD730" i="15"/>
  <c r="V730" i="15"/>
  <c r="N730" i="15"/>
  <c r="AF730" i="15"/>
  <c r="W730" i="15"/>
  <c r="M730" i="15"/>
  <c r="AE730" i="15"/>
  <c r="U730" i="15"/>
  <c r="L730" i="15"/>
  <c r="AC730" i="15"/>
  <c r="T730" i="15"/>
  <c r="K730" i="15"/>
  <c r="AB730" i="15"/>
  <c r="S730" i="15"/>
  <c r="J730" i="15"/>
  <c r="Z730" i="15"/>
  <c r="H730" i="15"/>
  <c r="Y730" i="15"/>
  <c r="G730" i="15"/>
  <c r="R730" i="15"/>
  <c r="Q730" i="15"/>
  <c r="X730" i="15"/>
  <c r="P730" i="15"/>
  <c r="AH730" i="15"/>
  <c r="AG730" i="15"/>
  <c r="O730" i="15"/>
  <c r="AH917" i="15"/>
  <c r="Z917" i="15"/>
  <c r="R917" i="15"/>
  <c r="J917" i="15"/>
  <c r="AF917" i="15"/>
  <c r="X917" i="15"/>
  <c r="P917" i="15"/>
  <c r="H917" i="15"/>
  <c r="AA917" i="15"/>
  <c r="O917" i="15"/>
  <c r="Y917" i="15"/>
  <c r="N917" i="15"/>
  <c r="W917" i="15"/>
  <c r="M917" i="15"/>
  <c r="AG917" i="15"/>
  <c r="V917" i="15"/>
  <c r="L917" i="15"/>
  <c r="AD917" i="15"/>
  <c r="I917" i="15"/>
  <c r="T917" i="15"/>
  <c r="AC917" i="15"/>
  <c r="G917" i="15"/>
  <c r="Q917" i="15"/>
  <c r="AB917" i="15"/>
  <c r="U917" i="15"/>
  <c r="S917" i="15"/>
  <c r="AH1153" i="15"/>
  <c r="Z1153" i="15"/>
  <c r="R1153" i="15"/>
  <c r="J1153" i="15"/>
  <c r="AF1153" i="15"/>
  <c r="W1153" i="15"/>
  <c r="N1153" i="15"/>
  <c r="AD1153" i="15"/>
  <c r="U1153" i="15"/>
  <c r="L1153" i="15"/>
  <c r="AB1153" i="15"/>
  <c r="P1153" i="15"/>
  <c r="AA1153" i="15"/>
  <c r="O1153" i="15"/>
  <c r="Y1153" i="15"/>
  <c r="M1153" i="15"/>
  <c r="X1153" i="15"/>
  <c r="K1153" i="15"/>
  <c r="AG1153" i="15"/>
  <c r="H1153" i="15"/>
  <c r="AE1153" i="15"/>
  <c r="G1153" i="15"/>
  <c r="Q1153" i="15"/>
  <c r="AC1153" i="15"/>
  <c r="T1153" i="15"/>
  <c r="V1153" i="15"/>
  <c r="S1153" i="15"/>
  <c r="AF1811" i="15"/>
  <c r="X1811" i="15"/>
  <c r="P1811" i="15"/>
  <c r="H1811" i="15"/>
  <c r="AE1811" i="15"/>
  <c r="W1811" i="15"/>
  <c r="O1811" i="15"/>
  <c r="G1811" i="15"/>
  <c r="AD1811" i="15"/>
  <c r="V1811" i="15"/>
  <c r="N1811" i="15"/>
  <c r="AC1811" i="15"/>
  <c r="U1811" i="15"/>
  <c r="M1811" i="15"/>
  <c r="T1811" i="15"/>
  <c r="S1811" i="15"/>
  <c r="AH1811" i="15"/>
  <c r="R1811" i="15"/>
  <c r="Z1811" i="15"/>
  <c r="Y1811" i="15"/>
  <c r="Q1811" i="15"/>
  <c r="L1811" i="15"/>
  <c r="J1811" i="15"/>
  <c r="AG1811" i="15"/>
  <c r="I1811" i="15"/>
  <c r="AB1811" i="15"/>
  <c r="AA1811" i="15"/>
  <c r="P16" i="16"/>
  <c r="H16" i="9" s="1"/>
  <c r="I16" i="9"/>
  <c r="U19" i="15"/>
  <c r="U18" i="15"/>
  <c r="U17" i="15"/>
  <c r="U28" i="15"/>
  <c r="U29" i="15"/>
  <c r="H2" i="15"/>
  <c r="G2" i="15"/>
  <c r="M2" i="15"/>
  <c r="J2" i="15"/>
  <c r="L2" i="15"/>
  <c r="K2" i="15"/>
  <c r="AB11" i="15"/>
  <c r="L11" i="15"/>
  <c r="AG11" i="15"/>
  <c r="Q11" i="7" s="1"/>
  <c r="X11" i="15"/>
  <c r="O11" i="15"/>
  <c r="W11" i="15"/>
  <c r="N11" i="15"/>
  <c r="V11" i="15"/>
  <c r="M11" i="15"/>
  <c r="U11" i="15"/>
  <c r="K11" i="15"/>
  <c r="Z11" i="15"/>
  <c r="H11" i="15"/>
  <c r="Y11" i="15"/>
  <c r="G11" i="15"/>
  <c r="S11" i="15"/>
  <c r="R11" i="15"/>
  <c r="Q11" i="15"/>
  <c r="AC11" i="15"/>
  <c r="J11" i="15"/>
  <c r="P11" i="15"/>
  <c r="AB54" i="15"/>
  <c r="M57" i="15"/>
  <c r="G57" i="15"/>
  <c r="L60" i="15"/>
  <c r="I60" i="15"/>
  <c r="H60" i="15"/>
  <c r="M84" i="15"/>
  <c r="G84" i="15"/>
  <c r="J114" i="15"/>
  <c r="K114" i="15"/>
  <c r="L114" i="15"/>
  <c r="M119" i="15"/>
  <c r="I119" i="15"/>
  <c r="J119" i="15"/>
  <c r="I314" i="15"/>
  <c r="AC380" i="15"/>
  <c r="J406" i="15"/>
  <c r="AD471" i="15"/>
  <c r="AH476" i="15"/>
  <c r="Z476" i="15"/>
  <c r="R476" i="15"/>
  <c r="J476" i="15"/>
  <c r="Y476" i="15"/>
  <c r="P476" i="15"/>
  <c r="G476" i="15"/>
  <c r="AG476" i="15"/>
  <c r="X476" i="15"/>
  <c r="O476" i="15"/>
  <c r="AF476" i="15"/>
  <c r="W476" i="15"/>
  <c r="N476" i="15"/>
  <c r="AE476" i="15"/>
  <c r="V476" i="15"/>
  <c r="M476" i="15"/>
  <c r="AB476" i="15"/>
  <c r="I476" i="15"/>
  <c r="T476" i="15"/>
  <c r="S476" i="15"/>
  <c r="AA476" i="15"/>
  <c r="H476" i="15"/>
  <c r="Q476" i="15"/>
  <c r="AD476" i="15"/>
  <c r="U476" i="15"/>
  <c r="L476" i="15"/>
  <c r="AF481" i="15"/>
  <c r="X481" i="15"/>
  <c r="P481" i="15"/>
  <c r="H481" i="15"/>
  <c r="Z481" i="15"/>
  <c r="Q481" i="15"/>
  <c r="G481" i="15"/>
  <c r="AH481" i="15"/>
  <c r="Y481" i="15"/>
  <c r="O481" i="15"/>
  <c r="AG481" i="15"/>
  <c r="W481" i="15"/>
  <c r="N481" i="15"/>
  <c r="AE481" i="15"/>
  <c r="V481" i="15"/>
  <c r="M481" i="15"/>
  <c r="AB481" i="15"/>
  <c r="J481" i="15"/>
  <c r="AA481" i="15"/>
  <c r="I481" i="15"/>
  <c r="R481" i="15"/>
  <c r="AD481" i="15"/>
  <c r="U481" i="15"/>
  <c r="T481" i="15"/>
  <c r="S481" i="15"/>
  <c r="L481" i="15"/>
  <c r="K487" i="15"/>
  <c r="K492" i="15"/>
  <c r="K497" i="15"/>
  <c r="AF517" i="15"/>
  <c r="X517" i="15"/>
  <c r="P517" i="15"/>
  <c r="H517" i="15"/>
  <c r="AG517" i="15"/>
  <c r="W517" i="15"/>
  <c r="N517" i="15"/>
  <c r="AE517" i="15"/>
  <c r="V517" i="15"/>
  <c r="M517" i="15"/>
  <c r="AD517" i="15"/>
  <c r="U517" i="15"/>
  <c r="L517" i="15"/>
  <c r="AC517" i="15"/>
  <c r="T517" i="15"/>
  <c r="K517" i="15"/>
  <c r="AA517" i="15"/>
  <c r="I517" i="15"/>
  <c r="Z517" i="15"/>
  <c r="G517" i="15"/>
  <c r="S517" i="15"/>
  <c r="R517" i="15"/>
  <c r="Y517" i="15"/>
  <c r="Q517" i="15"/>
  <c r="AH517" i="15"/>
  <c r="O517" i="15"/>
  <c r="AD522" i="15"/>
  <c r="V522" i="15"/>
  <c r="N522" i="15"/>
  <c r="AF522" i="15"/>
  <c r="W522" i="15"/>
  <c r="M522" i="15"/>
  <c r="AE522" i="15"/>
  <c r="U522" i="15"/>
  <c r="L522" i="15"/>
  <c r="AC522" i="15"/>
  <c r="T522" i="15"/>
  <c r="K522" i="15"/>
  <c r="AB522" i="15"/>
  <c r="S522" i="15"/>
  <c r="J522" i="15"/>
  <c r="Z522" i="15"/>
  <c r="H522" i="15"/>
  <c r="Y522" i="15"/>
  <c r="G522" i="15"/>
  <c r="R522" i="15"/>
  <c r="AG522" i="15"/>
  <c r="X522" i="15"/>
  <c r="Q522" i="15"/>
  <c r="P522" i="15"/>
  <c r="O522" i="15"/>
  <c r="AH522" i="15"/>
  <c r="AC529" i="15"/>
  <c r="K620" i="15"/>
  <c r="AA634" i="15"/>
  <c r="K641" i="15"/>
  <c r="AC657" i="15"/>
  <c r="AE901" i="15"/>
  <c r="AG956" i="15"/>
  <c r="AF1034" i="15"/>
  <c r="X1034" i="15"/>
  <c r="P1034" i="15"/>
  <c r="H1034" i="15"/>
  <c r="AD1034" i="15"/>
  <c r="V1034" i="15"/>
  <c r="N1034" i="15"/>
  <c r="AB1034" i="15"/>
  <c r="R1034" i="15"/>
  <c r="G1034" i="15"/>
  <c r="AA1034" i="15"/>
  <c r="Q1034" i="15"/>
  <c r="Z1034" i="15"/>
  <c r="O1034" i="15"/>
  <c r="Y1034" i="15"/>
  <c r="M1034" i="15"/>
  <c r="AE1034" i="15"/>
  <c r="J1034" i="15"/>
  <c r="AC1034" i="15"/>
  <c r="I1034" i="15"/>
  <c r="T1034" i="15"/>
  <c r="AH1034" i="15"/>
  <c r="W1034" i="15"/>
  <c r="U1034" i="15"/>
  <c r="S1034" i="15"/>
  <c r="L1034" i="15"/>
  <c r="M1052" i="15"/>
  <c r="AD1071" i="15"/>
  <c r="V1071" i="15"/>
  <c r="N1071" i="15"/>
  <c r="AB1071" i="15"/>
  <c r="T1071" i="15"/>
  <c r="L1071" i="15"/>
  <c r="AC1071" i="15"/>
  <c r="R1071" i="15"/>
  <c r="H1071" i="15"/>
  <c r="AA1071" i="15"/>
  <c r="Q1071" i="15"/>
  <c r="G1071" i="15"/>
  <c r="Z1071" i="15"/>
  <c r="P1071" i="15"/>
  <c r="Y1071" i="15"/>
  <c r="O1071" i="15"/>
  <c r="AF1071" i="15"/>
  <c r="J1071" i="15"/>
  <c r="U1071" i="15"/>
  <c r="AE1071" i="15"/>
  <c r="I1071" i="15"/>
  <c r="AH1071" i="15"/>
  <c r="X1071" i="15"/>
  <c r="W1071" i="15"/>
  <c r="M1071" i="15"/>
  <c r="S1071" i="15"/>
  <c r="AB1124" i="15"/>
  <c r="T1124" i="15"/>
  <c r="L1124" i="15"/>
  <c r="AH1124" i="15"/>
  <c r="Z1124" i="15"/>
  <c r="R1124" i="15"/>
  <c r="J1124" i="15"/>
  <c r="AD1124" i="15"/>
  <c r="S1124" i="15"/>
  <c r="H1124" i="15"/>
  <c r="AC1124" i="15"/>
  <c r="Q1124" i="15"/>
  <c r="G1124" i="15"/>
  <c r="AA1124" i="15"/>
  <c r="P1124" i="15"/>
  <c r="Y1124" i="15"/>
  <c r="O1124" i="15"/>
  <c r="AF1124" i="15"/>
  <c r="K1124" i="15"/>
  <c r="W1124" i="15"/>
  <c r="AE1124" i="15"/>
  <c r="I1124" i="15"/>
  <c r="V1124" i="15"/>
  <c r="X1124" i="15"/>
  <c r="U1124" i="15"/>
  <c r="N1124" i="15"/>
  <c r="K1154" i="15"/>
  <c r="AH1156" i="15"/>
  <c r="L1170" i="15"/>
  <c r="AB1288" i="15"/>
  <c r="T1288" i="15"/>
  <c r="L1288" i="15"/>
  <c r="AA1288" i="15"/>
  <c r="S1288" i="15"/>
  <c r="K1288" i="15"/>
  <c r="Y1288" i="15"/>
  <c r="O1288" i="15"/>
  <c r="AG1288" i="15"/>
  <c r="W1288" i="15"/>
  <c r="M1288" i="15"/>
  <c r="AE1288" i="15"/>
  <c r="Q1288" i="15"/>
  <c r="AD1288" i="15"/>
  <c r="P1288" i="15"/>
  <c r="AC1288" i="15"/>
  <c r="N1288" i="15"/>
  <c r="Z1288" i="15"/>
  <c r="J1288" i="15"/>
  <c r="H1288" i="15"/>
  <c r="X1288" i="15"/>
  <c r="AH1288" i="15"/>
  <c r="G1288" i="15"/>
  <c r="V1288" i="15"/>
  <c r="AF1288" i="15"/>
  <c r="U1288" i="15"/>
  <c r="R1288" i="15"/>
  <c r="O1428" i="15"/>
  <c r="AC1472" i="15"/>
  <c r="U1472" i="15"/>
  <c r="M1472" i="15"/>
  <c r="AB1472" i="15"/>
  <c r="T1472" i="15"/>
  <c r="L1472" i="15"/>
  <c r="AA1472" i="15"/>
  <c r="S1472" i="15"/>
  <c r="K1472" i="15"/>
  <c r="Z1472" i="15"/>
  <c r="O1472" i="15"/>
  <c r="X1472" i="15"/>
  <c r="J1472" i="15"/>
  <c r="Y1472" i="15"/>
  <c r="H1472" i="15"/>
  <c r="W1472" i="15"/>
  <c r="G1472" i="15"/>
  <c r="V1472" i="15"/>
  <c r="AH1472" i="15"/>
  <c r="R1472" i="15"/>
  <c r="N1472" i="15"/>
  <c r="AE1472" i="15"/>
  <c r="I1472" i="15"/>
  <c r="AD1472" i="15"/>
  <c r="AG1472" i="15"/>
  <c r="AF1472" i="15"/>
  <c r="Q1472" i="15"/>
  <c r="AF1575" i="15"/>
  <c r="X1575" i="15"/>
  <c r="P1575" i="15"/>
  <c r="H1575" i="15"/>
  <c r="AE1575" i="15"/>
  <c r="W1575" i="15"/>
  <c r="O1575" i="15"/>
  <c r="G1575" i="15"/>
  <c r="AD1575" i="15"/>
  <c r="V1575" i="15"/>
  <c r="N1575" i="15"/>
  <c r="AC1575" i="15"/>
  <c r="U1575" i="15"/>
  <c r="M1575" i="15"/>
  <c r="Z1575" i="15"/>
  <c r="J1575" i="15"/>
  <c r="T1575" i="15"/>
  <c r="AG1575" i="15"/>
  <c r="K1575" i="15"/>
  <c r="AB1575" i="15"/>
  <c r="I1575" i="15"/>
  <c r="AA1575" i="15"/>
  <c r="Y1575" i="15"/>
  <c r="Q1575" i="15"/>
  <c r="AH1575" i="15"/>
  <c r="L1575" i="15"/>
  <c r="S1575" i="15"/>
  <c r="O1740" i="15"/>
  <c r="AD1756" i="15"/>
  <c r="V1756" i="15"/>
  <c r="N1756" i="15"/>
  <c r="AC1756" i="15"/>
  <c r="U1756" i="15"/>
  <c r="M1756" i="15"/>
  <c r="AB1756" i="15"/>
  <c r="T1756" i="15"/>
  <c r="L1756" i="15"/>
  <c r="AA1756" i="15"/>
  <c r="S1756" i="15"/>
  <c r="K1756" i="15"/>
  <c r="W1756" i="15"/>
  <c r="G1756" i="15"/>
  <c r="AH1756" i="15"/>
  <c r="R1756" i="15"/>
  <c r="AG1756" i="15"/>
  <c r="Q1756" i="15"/>
  <c r="AE1756" i="15"/>
  <c r="H1756" i="15"/>
  <c r="Z1756" i="15"/>
  <c r="Y1756" i="15"/>
  <c r="X1756" i="15"/>
  <c r="J1756" i="15"/>
  <c r="I1756" i="15"/>
  <c r="P1756" i="15"/>
  <c r="AF1756" i="15"/>
  <c r="K1819" i="15"/>
  <c r="AF1835" i="15"/>
  <c r="X1835" i="15"/>
  <c r="P1835" i="15"/>
  <c r="H1835" i="15"/>
  <c r="AE1835" i="15"/>
  <c r="W1835" i="15"/>
  <c r="O1835" i="15"/>
  <c r="G1835" i="15"/>
  <c r="AD1835" i="15"/>
  <c r="V1835" i="15"/>
  <c r="N1835" i="15"/>
  <c r="AC1835" i="15"/>
  <c r="U1835" i="15"/>
  <c r="M1835" i="15"/>
  <c r="T1835" i="15"/>
  <c r="S1835" i="15"/>
  <c r="AH1835" i="15"/>
  <c r="R1835" i="15"/>
  <c r="Z1835" i="15"/>
  <c r="Y1835" i="15"/>
  <c r="Q1835" i="15"/>
  <c r="L1835" i="15"/>
  <c r="J1835" i="15"/>
  <c r="AG1835" i="15"/>
  <c r="AB1835" i="15"/>
  <c r="I1835" i="15"/>
  <c r="AA1835" i="15"/>
  <c r="K1883" i="15"/>
  <c r="P23" i="16"/>
  <c r="H23" i="9" s="1"/>
  <c r="I23" i="9"/>
  <c r="F23" i="16"/>
  <c r="I351" i="9"/>
  <c r="F351" i="16"/>
  <c r="G401" i="16"/>
  <c r="F401" i="16"/>
  <c r="M401" i="16"/>
  <c r="E401" i="16"/>
  <c r="I401" i="9" s="1"/>
  <c r="K401" i="16"/>
  <c r="J401" i="16"/>
  <c r="O401" i="16" s="1"/>
  <c r="I401" i="16"/>
  <c r="H401" i="16"/>
  <c r="L401" i="16"/>
  <c r="P401" i="16"/>
  <c r="H401" i="9" s="1"/>
  <c r="T401" i="16"/>
  <c r="F511" i="16"/>
  <c r="I511" i="9"/>
  <c r="F526" i="16"/>
  <c r="I526" i="9"/>
  <c r="F1047" i="16"/>
  <c r="L1056" i="16"/>
  <c r="M1056" i="16"/>
  <c r="Z34" i="15"/>
  <c r="Y34" i="15"/>
  <c r="X34" i="15"/>
  <c r="V70" i="15"/>
  <c r="N70" i="15"/>
  <c r="Y70" i="15"/>
  <c r="P70" i="15"/>
  <c r="G70" i="15"/>
  <c r="AG70" i="15"/>
  <c r="Q70" i="7" s="1"/>
  <c r="X70" i="15"/>
  <c r="O70" i="15"/>
  <c r="W70" i="15"/>
  <c r="M70" i="15"/>
  <c r="AE70" i="15"/>
  <c r="O70" i="7" s="1"/>
  <c r="U70" i="15"/>
  <c r="L70" i="15"/>
  <c r="AB70" i="15"/>
  <c r="F759" i="16"/>
  <c r="AA61" i="15"/>
  <c r="Z61" i="15"/>
  <c r="Y61" i="15"/>
  <c r="J101" i="15"/>
  <c r="AB101" i="15"/>
  <c r="H104" i="15"/>
  <c r="AF104" i="15" s="1"/>
  <c r="P104" i="7" s="1"/>
  <c r="G104" i="15"/>
  <c r="K108" i="15"/>
  <c r="AA173" i="15"/>
  <c r="Y173" i="15"/>
  <c r="J213" i="15"/>
  <c r="AD218" i="15"/>
  <c r="V218" i="15"/>
  <c r="N218" i="15"/>
  <c r="AF218" i="15"/>
  <c r="W218" i="15"/>
  <c r="M218" i="15"/>
  <c r="AE218" i="15"/>
  <c r="U218" i="15"/>
  <c r="L218" i="15"/>
  <c r="AC218" i="15"/>
  <c r="T218" i="15"/>
  <c r="K218" i="15"/>
  <c r="AB218" i="15"/>
  <c r="S218" i="15"/>
  <c r="J218" i="15"/>
  <c r="AA218" i="15"/>
  <c r="K225" i="15"/>
  <c r="K263" i="15"/>
  <c r="AF277" i="15"/>
  <c r="X277" i="15"/>
  <c r="P277" i="15"/>
  <c r="H277" i="15"/>
  <c r="AG277" i="15"/>
  <c r="W277" i="15"/>
  <c r="N277" i="15"/>
  <c r="AE277" i="15"/>
  <c r="V277" i="15"/>
  <c r="M277" i="15"/>
  <c r="AD277" i="15"/>
  <c r="U277" i="15"/>
  <c r="L277" i="15"/>
  <c r="AC277" i="15"/>
  <c r="T277" i="15"/>
  <c r="K277" i="15"/>
  <c r="K289" i="15"/>
  <c r="AB295" i="15"/>
  <c r="T295" i="15"/>
  <c r="L295" i="15"/>
  <c r="Z295" i="15"/>
  <c r="Q295" i="15"/>
  <c r="H295" i="15"/>
  <c r="AH295" i="15"/>
  <c r="Y295" i="15"/>
  <c r="P295" i="15"/>
  <c r="G295" i="15"/>
  <c r="AG295" i="15"/>
  <c r="X295" i="15"/>
  <c r="O295" i="15"/>
  <c r="AF295" i="15"/>
  <c r="W295" i="15"/>
  <c r="N295" i="15"/>
  <c r="AD310" i="15"/>
  <c r="V310" i="15"/>
  <c r="N310" i="15"/>
  <c r="AH310" i="15"/>
  <c r="Y310" i="15"/>
  <c r="P310" i="15"/>
  <c r="G310" i="15"/>
  <c r="AG310" i="15"/>
  <c r="X310" i="15"/>
  <c r="O310" i="15"/>
  <c r="AF310" i="15"/>
  <c r="W310" i="15"/>
  <c r="M310" i="15"/>
  <c r="AE310" i="15"/>
  <c r="U310" i="15"/>
  <c r="L310" i="15"/>
  <c r="AF321" i="15"/>
  <c r="X321" i="15"/>
  <c r="P321" i="15"/>
  <c r="H321" i="15"/>
  <c r="Z321" i="15"/>
  <c r="Q321" i="15"/>
  <c r="G321" i="15"/>
  <c r="AH321" i="15"/>
  <c r="Y321" i="15"/>
  <c r="O321" i="15"/>
  <c r="AG321" i="15"/>
  <c r="W321" i="15"/>
  <c r="N321" i="15"/>
  <c r="AE321" i="15"/>
  <c r="V321" i="15"/>
  <c r="M321" i="15"/>
  <c r="AC332" i="15"/>
  <c r="AH336" i="15"/>
  <c r="Z336" i="15"/>
  <c r="R336" i="15"/>
  <c r="J336" i="15"/>
  <c r="AF336" i="15"/>
  <c r="W336" i="15"/>
  <c r="N336" i="15"/>
  <c r="AE336" i="15"/>
  <c r="V336" i="15"/>
  <c r="M336" i="15"/>
  <c r="AD336" i="15"/>
  <c r="U336" i="15"/>
  <c r="L336" i="15"/>
  <c r="AC336" i="15"/>
  <c r="T336" i="15"/>
  <c r="K336" i="15"/>
  <c r="AD343" i="15"/>
  <c r="J358" i="15"/>
  <c r="AA411" i="15"/>
  <c r="AA443" i="15"/>
  <c r="AF453" i="15"/>
  <c r="X453" i="15"/>
  <c r="P453" i="15"/>
  <c r="H453" i="15"/>
  <c r="AG453" i="15"/>
  <c r="W453" i="15"/>
  <c r="N453" i="15"/>
  <c r="AE453" i="15"/>
  <c r="V453" i="15"/>
  <c r="M453" i="15"/>
  <c r="AD453" i="15"/>
  <c r="U453" i="15"/>
  <c r="L453" i="15"/>
  <c r="AC453" i="15"/>
  <c r="T453" i="15"/>
  <c r="K453" i="15"/>
  <c r="AC465" i="15"/>
  <c r="AB549" i="15"/>
  <c r="AA554" i="15"/>
  <c r="AC561" i="15"/>
  <c r="K572" i="15"/>
  <c r="J582" i="15"/>
  <c r="AD614" i="15"/>
  <c r="V614" i="15"/>
  <c r="N614" i="15"/>
  <c r="AH614" i="15"/>
  <c r="Y614" i="15"/>
  <c r="P614" i="15"/>
  <c r="G614" i="15"/>
  <c r="AG614" i="15"/>
  <c r="X614" i="15"/>
  <c r="O614" i="15"/>
  <c r="AF614" i="15"/>
  <c r="W614" i="15"/>
  <c r="M614" i="15"/>
  <c r="AE614" i="15"/>
  <c r="U614" i="15"/>
  <c r="L614" i="15"/>
  <c r="AF689" i="15"/>
  <c r="X689" i="15"/>
  <c r="P689" i="15"/>
  <c r="H689" i="15"/>
  <c r="Z689" i="15"/>
  <c r="Q689" i="15"/>
  <c r="G689" i="15"/>
  <c r="AH689" i="15"/>
  <c r="Y689" i="15"/>
  <c r="O689" i="15"/>
  <c r="AG689" i="15"/>
  <c r="W689" i="15"/>
  <c r="N689" i="15"/>
  <c r="AE689" i="15"/>
  <c r="V689" i="15"/>
  <c r="M689" i="15"/>
  <c r="AH700" i="15"/>
  <c r="Z700" i="15"/>
  <c r="R700" i="15"/>
  <c r="J700" i="15"/>
  <c r="Y700" i="15"/>
  <c r="P700" i="15"/>
  <c r="G700" i="15"/>
  <c r="AG700" i="15"/>
  <c r="X700" i="15"/>
  <c r="O700" i="15"/>
  <c r="AF700" i="15"/>
  <c r="W700" i="15"/>
  <c r="N700" i="15"/>
  <c r="AE700" i="15"/>
  <c r="V700" i="15"/>
  <c r="M700" i="15"/>
  <c r="AC700" i="15"/>
  <c r="K743" i="15"/>
  <c r="AG743" i="15"/>
  <c r="K765" i="15"/>
  <c r="AH829" i="15"/>
  <c r="Z829" i="15"/>
  <c r="R829" i="15"/>
  <c r="J829" i="15"/>
  <c r="AF829" i="15"/>
  <c r="X829" i="15"/>
  <c r="P829" i="15"/>
  <c r="H829" i="15"/>
  <c r="AA829" i="15"/>
  <c r="O829" i="15"/>
  <c r="Y829" i="15"/>
  <c r="N829" i="15"/>
  <c r="W829" i="15"/>
  <c r="M829" i="15"/>
  <c r="AG829" i="15"/>
  <c r="V829" i="15"/>
  <c r="L829" i="15"/>
  <c r="AE829" i="15"/>
  <c r="AF834" i="15"/>
  <c r="X834" i="15"/>
  <c r="P834" i="15"/>
  <c r="H834" i="15"/>
  <c r="AD834" i="15"/>
  <c r="V834" i="15"/>
  <c r="N834" i="15"/>
  <c r="AB834" i="15"/>
  <c r="R834" i="15"/>
  <c r="G834" i="15"/>
  <c r="AA834" i="15"/>
  <c r="Q834" i="15"/>
  <c r="Z834" i="15"/>
  <c r="O834" i="15"/>
  <c r="Y834" i="15"/>
  <c r="M834" i="15"/>
  <c r="AH869" i="15"/>
  <c r="Z869" i="15"/>
  <c r="R869" i="15"/>
  <c r="J869" i="15"/>
  <c r="AF869" i="15"/>
  <c r="X869" i="15"/>
  <c r="P869" i="15"/>
  <c r="H869" i="15"/>
  <c r="AA869" i="15"/>
  <c r="O869" i="15"/>
  <c r="Y869" i="15"/>
  <c r="N869" i="15"/>
  <c r="W869" i="15"/>
  <c r="M869" i="15"/>
  <c r="AG869" i="15"/>
  <c r="V869" i="15"/>
  <c r="L869" i="15"/>
  <c r="AE869" i="15"/>
  <c r="AG876" i="15"/>
  <c r="AF890" i="15"/>
  <c r="X890" i="15"/>
  <c r="P890" i="15"/>
  <c r="H890" i="15"/>
  <c r="AD890" i="15"/>
  <c r="V890" i="15"/>
  <c r="N890" i="15"/>
  <c r="AB890" i="15"/>
  <c r="R890" i="15"/>
  <c r="G890" i="15"/>
  <c r="AA890" i="15"/>
  <c r="Q890" i="15"/>
  <c r="Z890" i="15"/>
  <c r="O890" i="15"/>
  <c r="Y890" i="15"/>
  <c r="M890" i="15"/>
  <c r="K906" i="15"/>
  <c r="AF922" i="15"/>
  <c r="X922" i="15"/>
  <c r="P922" i="15"/>
  <c r="H922" i="15"/>
  <c r="AD922" i="15"/>
  <c r="V922" i="15"/>
  <c r="N922" i="15"/>
  <c r="AB922" i="15"/>
  <c r="R922" i="15"/>
  <c r="G922" i="15"/>
  <c r="AA922" i="15"/>
  <c r="Q922" i="15"/>
  <c r="Z922" i="15"/>
  <c r="O922" i="15"/>
  <c r="Y922" i="15"/>
  <c r="M922" i="15"/>
  <c r="AF938" i="15"/>
  <c r="X938" i="15"/>
  <c r="P938" i="15"/>
  <c r="H938" i="15"/>
  <c r="AD938" i="15"/>
  <c r="V938" i="15"/>
  <c r="N938" i="15"/>
  <c r="AB938" i="15"/>
  <c r="R938" i="15"/>
  <c r="G938" i="15"/>
  <c r="AA938" i="15"/>
  <c r="Q938" i="15"/>
  <c r="Z938" i="15"/>
  <c r="O938" i="15"/>
  <c r="Y938" i="15"/>
  <c r="M938" i="15"/>
  <c r="AG938" i="15"/>
  <c r="K957" i="15"/>
  <c r="AD983" i="15"/>
  <c r="V983" i="15"/>
  <c r="N983" i="15"/>
  <c r="AB983" i="15"/>
  <c r="T983" i="15"/>
  <c r="L983" i="15"/>
  <c r="AC983" i="15"/>
  <c r="R983" i="15"/>
  <c r="H983" i="15"/>
  <c r="AA983" i="15"/>
  <c r="Q983" i="15"/>
  <c r="G983" i="15"/>
  <c r="Z983" i="15"/>
  <c r="P983" i="15"/>
  <c r="Y983" i="15"/>
  <c r="O983" i="15"/>
  <c r="AG983" i="15"/>
  <c r="K994" i="15"/>
  <c r="AG994" i="15"/>
  <c r="AG1026" i="15"/>
  <c r="AG1079" i="15"/>
  <c r="AB1132" i="15"/>
  <c r="T1132" i="15"/>
  <c r="L1132" i="15"/>
  <c r="AH1132" i="15"/>
  <c r="Z1132" i="15"/>
  <c r="R1132" i="15"/>
  <c r="J1132" i="15"/>
  <c r="AD1132" i="15"/>
  <c r="S1132" i="15"/>
  <c r="H1132" i="15"/>
  <c r="AC1132" i="15"/>
  <c r="Q1132" i="15"/>
  <c r="G1132" i="15"/>
  <c r="AA1132" i="15"/>
  <c r="P1132" i="15"/>
  <c r="Y1132" i="15"/>
  <c r="O1132" i="15"/>
  <c r="AH1169" i="15"/>
  <c r="Z1169" i="15"/>
  <c r="R1169" i="15"/>
  <c r="J1169" i="15"/>
  <c r="AF1169" i="15"/>
  <c r="W1169" i="15"/>
  <c r="N1169" i="15"/>
  <c r="AD1169" i="15"/>
  <c r="U1169" i="15"/>
  <c r="L1169" i="15"/>
  <c r="AE1169" i="15"/>
  <c r="S1169" i="15"/>
  <c r="G1169" i="15"/>
  <c r="AC1169" i="15"/>
  <c r="Q1169" i="15"/>
  <c r="AB1169" i="15"/>
  <c r="P1169" i="15"/>
  <c r="AA1169" i="15"/>
  <c r="O1169" i="15"/>
  <c r="M1201" i="15"/>
  <c r="AD1239" i="15"/>
  <c r="V1239" i="15"/>
  <c r="N1239" i="15"/>
  <c r="AH1239" i="15"/>
  <c r="Y1239" i="15"/>
  <c r="P1239" i="15"/>
  <c r="G1239" i="15"/>
  <c r="AF1239" i="15"/>
  <c r="W1239" i="15"/>
  <c r="M1239" i="15"/>
  <c r="AE1239" i="15"/>
  <c r="S1239" i="15"/>
  <c r="H1239" i="15"/>
  <c r="AC1239" i="15"/>
  <c r="R1239" i="15"/>
  <c r="AB1239" i="15"/>
  <c r="Q1239" i="15"/>
  <c r="AA1239" i="15"/>
  <c r="O1239" i="15"/>
  <c r="AB1244" i="15"/>
  <c r="T1244" i="15"/>
  <c r="L1244" i="15"/>
  <c r="AG1244" i="15"/>
  <c r="X1244" i="15"/>
  <c r="O1244" i="15"/>
  <c r="AE1244" i="15"/>
  <c r="V1244" i="15"/>
  <c r="M1244" i="15"/>
  <c r="AA1244" i="15"/>
  <c r="P1244" i="15"/>
  <c r="Z1244" i="15"/>
  <c r="N1244" i="15"/>
  <c r="Y1244" i="15"/>
  <c r="K1244" i="15"/>
  <c r="W1244" i="15"/>
  <c r="J1244" i="15"/>
  <c r="AD1267" i="15"/>
  <c r="V1267" i="15"/>
  <c r="N1267" i="15"/>
  <c r="AC1267" i="15"/>
  <c r="U1267" i="15"/>
  <c r="M1267" i="15"/>
  <c r="Y1267" i="15"/>
  <c r="O1267" i="15"/>
  <c r="AG1267" i="15"/>
  <c r="W1267" i="15"/>
  <c r="K1267" i="15"/>
  <c r="AE1267" i="15"/>
  <c r="Q1267" i="15"/>
  <c r="AB1267" i="15"/>
  <c r="P1267" i="15"/>
  <c r="AA1267" i="15"/>
  <c r="L1267" i="15"/>
  <c r="Z1267" i="15"/>
  <c r="J1267" i="15"/>
  <c r="J1344" i="15"/>
  <c r="L1346" i="15"/>
  <c r="J1495" i="15"/>
  <c r="AE1519" i="15"/>
  <c r="W1519" i="15"/>
  <c r="O1519" i="15"/>
  <c r="G1519" i="15"/>
  <c r="AD1519" i="15"/>
  <c r="V1519" i="15"/>
  <c r="N1519" i="15"/>
  <c r="AC1519" i="15"/>
  <c r="U1519" i="15"/>
  <c r="M1519" i="15"/>
  <c r="AH1519" i="15"/>
  <c r="T1519" i="15"/>
  <c r="I1519" i="15"/>
  <c r="AF1519" i="15"/>
  <c r="R1519" i="15"/>
  <c r="X1519" i="15"/>
  <c r="S1519" i="15"/>
  <c r="Q1519" i="15"/>
  <c r="AG1519" i="15"/>
  <c r="P1519" i="15"/>
  <c r="L1523" i="15"/>
  <c r="AD1592" i="15"/>
  <c r="V1592" i="15"/>
  <c r="N1592" i="15"/>
  <c r="AC1592" i="15"/>
  <c r="U1592" i="15"/>
  <c r="M1592" i="15"/>
  <c r="AB1592" i="15"/>
  <c r="T1592" i="15"/>
  <c r="L1592" i="15"/>
  <c r="AA1592" i="15"/>
  <c r="S1592" i="15"/>
  <c r="K1592" i="15"/>
  <c r="AF1592" i="15"/>
  <c r="P1592" i="15"/>
  <c r="Z1592" i="15"/>
  <c r="J1592" i="15"/>
  <c r="W1592" i="15"/>
  <c r="R1592" i="15"/>
  <c r="Q1592" i="15"/>
  <c r="AH1592" i="15"/>
  <c r="O1592" i="15"/>
  <c r="AF1643" i="15"/>
  <c r="X1643" i="15"/>
  <c r="P1643" i="15"/>
  <c r="H1643" i="15"/>
  <c r="AE1643" i="15"/>
  <c r="W1643" i="15"/>
  <c r="O1643" i="15"/>
  <c r="G1643" i="15"/>
  <c r="AD1643" i="15"/>
  <c r="V1643" i="15"/>
  <c r="N1643" i="15"/>
  <c r="AC1643" i="15"/>
  <c r="U1643" i="15"/>
  <c r="M1643" i="15"/>
  <c r="AH1643" i="15"/>
  <c r="R1643" i="15"/>
  <c r="AG1643" i="15"/>
  <c r="Q1643" i="15"/>
  <c r="AB1643" i="15"/>
  <c r="L1643" i="15"/>
  <c r="I1643" i="15"/>
  <c r="AA1643" i="15"/>
  <c r="Z1643" i="15"/>
  <c r="Y1643" i="15"/>
  <c r="O1708" i="15"/>
  <c r="J1748" i="15"/>
  <c r="AD1912" i="15"/>
  <c r="V1912" i="15"/>
  <c r="N1912" i="15"/>
  <c r="AC1912" i="15"/>
  <c r="U1912" i="15"/>
  <c r="M1912" i="15"/>
  <c r="AB1912" i="15"/>
  <c r="T1912" i="15"/>
  <c r="L1912" i="15"/>
  <c r="AA1912" i="15"/>
  <c r="S1912" i="15"/>
  <c r="K1912" i="15"/>
  <c r="AH1912" i="15"/>
  <c r="R1912" i="15"/>
  <c r="AG1912" i="15"/>
  <c r="Q1912" i="15"/>
  <c r="AF1912" i="15"/>
  <c r="P1912" i="15"/>
  <c r="X1912" i="15"/>
  <c r="W1912" i="15"/>
  <c r="O1912" i="15"/>
  <c r="J1912" i="15"/>
  <c r="AD1920" i="15"/>
  <c r="V1920" i="15"/>
  <c r="N1920" i="15"/>
  <c r="AC1920" i="15"/>
  <c r="U1920" i="15"/>
  <c r="M1920" i="15"/>
  <c r="AB1920" i="15"/>
  <c r="T1920" i="15"/>
  <c r="L1920" i="15"/>
  <c r="AA1920" i="15"/>
  <c r="S1920" i="15"/>
  <c r="K1920" i="15"/>
  <c r="AH1920" i="15"/>
  <c r="R1920" i="15"/>
  <c r="AG1920" i="15"/>
  <c r="Q1920" i="15"/>
  <c r="AF1920" i="15"/>
  <c r="P1920" i="15"/>
  <c r="Z1920" i="15"/>
  <c r="G1920" i="15"/>
  <c r="Y1920" i="15"/>
  <c r="X1920" i="15"/>
  <c r="W1920" i="15"/>
  <c r="I1944" i="15"/>
  <c r="J1952" i="15"/>
  <c r="AD2000" i="15"/>
  <c r="V2000" i="15"/>
  <c r="N2000" i="15"/>
  <c r="AC2000" i="15"/>
  <c r="U2000" i="15"/>
  <c r="M2000" i="15"/>
  <c r="AB2000" i="15"/>
  <c r="T2000" i="15"/>
  <c r="L2000" i="15"/>
  <c r="AA2000" i="15"/>
  <c r="S2000" i="15"/>
  <c r="K2000" i="15"/>
  <c r="X2000" i="15"/>
  <c r="H2000" i="15"/>
  <c r="W2000" i="15"/>
  <c r="G2000" i="15"/>
  <c r="AH2000" i="15"/>
  <c r="R2000" i="15"/>
  <c r="Z2000" i="15"/>
  <c r="Y2000" i="15"/>
  <c r="Q2000" i="15"/>
  <c r="P2000" i="15"/>
  <c r="H7" i="16"/>
  <c r="M7" i="16"/>
  <c r="L7" i="16"/>
  <c r="G7" i="16"/>
  <c r="E7" i="16"/>
  <c r="M20" i="16"/>
  <c r="E20" i="16"/>
  <c r="L20" i="16"/>
  <c r="K20" i="16"/>
  <c r="I20" i="16"/>
  <c r="H20" i="16"/>
  <c r="G20" i="16"/>
  <c r="M72" i="16"/>
  <c r="E72" i="16"/>
  <c r="K72" i="16"/>
  <c r="G72" i="16"/>
  <c r="I72" i="16"/>
  <c r="H72" i="16"/>
  <c r="L72" i="16"/>
  <c r="J72" i="16"/>
  <c r="M80" i="16"/>
  <c r="E80" i="16"/>
  <c r="I80" i="9" s="1"/>
  <c r="K80" i="16"/>
  <c r="I80" i="16"/>
  <c r="H80" i="16"/>
  <c r="T80" i="16"/>
  <c r="G80" i="16"/>
  <c r="P80" i="16"/>
  <c r="H80" i="9" s="1"/>
  <c r="F80" i="16"/>
  <c r="L80" i="16"/>
  <c r="J80" i="16"/>
  <c r="M99" i="16"/>
  <c r="L99" i="16"/>
  <c r="K99" i="16"/>
  <c r="G99" i="16"/>
  <c r="E99" i="16"/>
  <c r="M120" i="16"/>
  <c r="E120" i="16"/>
  <c r="I120" i="9" s="1"/>
  <c r="L120" i="16"/>
  <c r="K120" i="16"/>
  <c r="I120" i="16"/>
  <c r="H120" i="16"/>
  <c r="G120" i="16"/>
  <c r="T120" i="16"/>
  <c r="F120" i="16"/>
  <c r="P120" i="16"/>
  <c r="H120" i="9" s="1"/>
  <c r="J120" i="16"/>
  <c r="M245" i="16"/>
  <c r="L245" i="16"/>
  <c r="H245" i="16"/>
  <c r="G245" i="16"/>
  <c r="O245" i="16" s="1"/>
  <c r="E245" i="16"/>
  <c r="L524" i="16"/>
  <c r="K524" i="16"/>
  <c r="J524" i="16"/>
  <c r="E524" i="16"/>
  <c r="O524" i="16"/>
  <c r="M524" i="16"/>
  <c r="I524" i="16"/>
  <c r="H524" i="16"/>
  <c r="G524" i="16"/>
  <c r="F767" i="16"/>
  <c r="P1368" i="16"/>
  <c r="H1368" i="16"/>
  <c r="O1368" i="16"/>
  <c r="G1368" i="16"/>
  <c r="N1368" i="16"/>
  <c r="F1368" i="16"/>
  <c r="E1368" i="16"/>
  <c r="T1368" i="16"/>
  <c r="M1368" i="16"/>
  <c r="K1368" i="16"/>
  <c r="J1368" i="16"/>
  <c r="I1368" i="16"/>
  <c r="L1368" i="16"/>
  <c r="I61" i="15"/>
  <c r="AG61" i="15" s="1"/>
  <c r="Q61" i="7" s="1"/>
  <c r="G61" i="15"/>
  <c r="AA77" i="15"/>
  <c r="Z77" i="15"/>
  <c r="Y77" i="15"/>
  <c r="L81" i="15"/>
  <c r="X97" i="15"/>
  <c r="P97" i="15"/>
  <c r="H97" i="15"/>
  <c r="Z97" i="15"/>
  <c r="Q97" i="15"/>
  <c r="G97" i="15"/>
  <c r="Y97" i="15"/>
  <c r="O97" i="15"/>
  <c r="W97" i="15"/>
  <c r="N97" i="15"/>
  <c r="AE97" i="15" s="1"/>
  <c r="O97" i="7" s="1"/>
  <c r="V97" i="15"/>
  <c r="M97" i="15"/>
  <c r="AF97" i="15" s="1"/>
  <c r="K97" i="15"/>
  <c r="AC97" i="15"/>
  <c r="AE99" i="15"/>
  <c r="O99" i="7" s="1"/>
  <c r="O101" i="15"/>
  <c r="O112" i="15"/>
  <c r="X117" i="15"/>
  <c r="AG117" i="15" s="1"/>
  <c r="Q117" i="7" s="1"/>
  <c r="P117" i="15"/>
  <c r="H117" i="15"/>
  <c r="W117" i="15"/>
  <c r="N117" i="15"/>
  <c r="V117" i="15"/>
  <c r="M117" i="15"/>
  <c r="U117" i="15"/>
  <c r="L117" i="15"/>
  <c r="AC117" i="15"/>
  <c r="K117" i="15"/>
  <c r="J117" i="15"/>
  <c r="AB117" i="15"/>
  <c r="H120" i="15"/>
  <c r="AF120" i="15" s="1"/>
  <c r="G120" i="15"/>
  <c r="K124" i="15"/>
  <c r="Z128" i="15"/>
  <c r="R128" i="15"/>
  <c r="J128" i="15"/>
  <c r="AF128" i="15"/>
  <c r="W128" i="15"/>
  <c r="N128" i="15"/>
  <c r="AE128" i="15" s="1"/>
  <c r="O128" i="7" s="1"/>
  <c r="V128" i="15"/>
  <c r="M128" i="15"/>
  <c r="U128" i="15"/>
  <c r="L128" i="15"/>
  <c r="AC128" i="15"/>
  <c r="K128" i="15"/>
  <c r="I128" i="15"/>
  <c r="AB128" i="15"/>
  <c r="K148" i="15"/>
  <c r="H148" i="15"/>
  <c r="J158" i="15"/>
  <c r="H158" i="15"/>
  <c r="X161" i="15"/>
  <c r="AG161" i="15" s="1"/>
  <c r="Q161" i="7" s="1"/>
  <c r="P161" i="15"/>
  <c r="H161" i="15"/>
  <c r="Z161" i="15"/>
  <c r="Q161" i="15"/>
  <c r="G161" i="15"/>
  <c r="AH161" i="15"/>
  <c r="R161" i="7" s="1"/>
  <c r="S161" i="7" s="1"/>
  <c r="Y161" i="15"/>
  <c r="O161" i="15"/>
  <c r="W161" i="15"/>
  <c r="N161" i="15"/>
  <c r="AE161" i="15" s="1"/>
  <c r="O161" i="7" s="1"/>
  <c r="V161" i="15"/>
  <c r="M161" i="15"/>
  <c r="AF161" i="15" s="1"/>
  <c r="P161" i="7" s="1"/>
  <c r="K161" i="15"/>
  <c r="J166" i="15"/>
  <c r="AF197" i="15"/>
  <c r="X197" i="15"/>
  <c r="P197" i="15"/>
  <c r="H197" i="15"/>
  <c r="AG197" i="15"/>
  <c r="W197" i="15"/>
  <c r="N197" i="15"/>
  <c r="AE197" i="15"/>
  <c r="V197" i="15"/>
  <c r="M197" i="15"/>
  <c r="AD197" i="15"/>
  <c r="U197" i="15"/>
  <c r="L197" i="15"/>
  <c r="AC197" i="15"/>
  <c r="T197" i="15"/>
  <c r="K197" i="15"/>
  <c r="AB197" i="15"/>
  <c r="O213" i="15"/>
  <c r="AH236" i="15"/>
  <c r="Z236" i="15"/>
  <c r="R236" i="15"/>
  <c r="J236" i="15"/>
  <c r="Y236" i="15"/>
  <c r="P236" i="15"/>
  <c r="G236" i="15"/>
  <c r="AG236" i="15"/>
  <c r="X236" i="15"/>
  <c r="O236" i="15"/>
  <c r="AF236" i="15"/>
  <c r="W236" i="15"/>
  <c r="N236" i="15"/>
  <c r="AE236" i="15"/>
  <c r="V236" i="15"/>
  <c r="M236" i="15"/>
  <c r="AF245" i="15"/>
  <c r="X245" i="15"/>
  <c r="P245" i="15"/>
  <c r="H245" i="15"/>
  <c r="AG245" i="15"/>
  <c r="W245" i="15"/>
  <c r="N245" i="15"/>
  <c r="AE245" i="15"/>
  <c r="V245" i="15"/>
  <c r="M245" i="15"/>
  <c r="AD245" i="15"/>
  <c r="U245" i="15"/>
  <c r="L245" i="15"/>
  <c r="AC245" i="15"/>
  <c r="T245" i="15"/>
  <c r="K245" i="15"/>
  <c r="AB245" i="15"/>
  <c r="AA250" i="15"/>
  <c r="AE263" i="15"/>
  <c r="M295" i="15"/>
  <c r="AD321" i="15"/>
  <c r="AD332" i="15"/>
  <c r="AE343" i="15"/>
  <c r="K358" i="15"/>
  <c r="AF373" i="15"/>
  <c r="X373" i="15"/>
  <c r="P373" i="15"/>
  <c r="H373" i="15"/>
  <c r="AG373" i="15"/>
  <c r="W373" i="15"/>
  <c r="N373" i="15"/>
  <c r="AE373" i="15"/>
  <c r="V373" i="15"/>
  <c r="M373" i="15"/>
  <c r="AD373" i="15"/>
  <c r="U373" i="15"/>
  <c r="L373" i="15"/>
  <c r="AC373" i="15"/>
  <c r="T373" i="15"/>
  <c r="K373" i="15"/>
  <c r="I378" i="15"/>
  <c r="AF385" i="15"/>
  <c r="X385" i="15"/>
  <c r="P385" i="15"/>
  <c r="H385" i="15"/>
  <c r="Z385" i="15"/>
  <c r="Q385" i="15"/>
  <c r="G385" i="15"/>
  <c r="AH385" i="15"/>
  <c r="Y385" i="15"/>
  <c r="O385" i="15"/>
  <c r="AG385" i="15"/>
  <c r="W385" i="15"/>
  <c r="N385" i="15"/>
  <c r="AE385" i="15"/>
  <c r="V385" i="15"/>
  <c r="M385" i="15"/>
  <c r="AH396" i="15"/>
  <c r="Z396" i="15"/>
  <c r="R396" i="15"/>
  <c r="J396" i="15"/>
  <c r="Y396" i="15"/>
  <c r="P396" i="15"/>
  <c r="G396" i="15"/>
  <c r="AG396" i="15"/>
  <c r="X396" i="15"/>
  <c r="O396" i="15"/>
  <c r="AF396" i="15"/>
  <c r="W396" i="15"/>
  <c r="N396" i="15"/>
  <c r="AE396" i="15"/>
  <c r="V396" i="15"/>
  <c r="M396" i="15"/>
  <c r="AD407" i="15"/>
  <c r="J421" i="15"/>
  <c r="AB421" i="15"/>
  <c r="AH428" i="15"/>
  <c r="Z428" i="15"/>
  <c r="R428" i="15"/>
  <c r="J428" i="15"/>
  <c r="Y428" i="15"/>
  <c r="P428" i="15"/>
  <c r="G428" i="15"/>
  <c r="AG428" i="15"/>
  <c r="X428" i="15"/>
  <c r="O428" i="15"/>
  <c r="AF428" i="15"/>
  <c r="W428" i="15"/>
  <c r="N428" i="15"/>
  <c r="AE428" i="15"/>
  <c r="V428" i="15"/>
  <c r="M428" i="15"/>
  <c r="AC428" i="15"/>
  <c r="AH432" i="15"/>
  <c r="Z432" i="15"/>
  <c r="R432" i="15"/>
  <c r="J432" i="15"/>
  <c r="AF432" i="15"/>
  <c r="W432" i="15"/>
  <c r="N432" i="15"/>
  <c r="AE432" i="15"/>
  <c r="V432" i="15"/>
  <c r="M432" i="15"/>
  <c r="AD432" i="15"/>
  <c r="U432" i="15"/>
  <c r="L432" i="15"/>
  <c r="AC432" i="15"/>
  <c r="T432" i="15"/>
  <c r="K432" i="15"/>
  <c r="AB432" i="15"/>
  <c r="AD439" i="15"/>
  <c r="AH512" i="15"/>
  <c r="Z512" i="15"/>
  <c r="R512" i="15"/>
  <c r="J512" i="15"/>
  <c r="AF512" i="15"/>
  <c r="W512" i="15"/>
  <c r="N512" i="15"/>
  <c r="AE512" i="15"/>
  <c r="V512" i="15"/>
  <c r="M512" i="15"/>
  <c r="AD512" i="15"/>
  <c r="U512" i="15"/>
  <c r="L512" i="15"/>
  <c r="AC512" i="15"/>
  <c r="T512" i="15"/>
  <c r="K512" i="15"/>
  <c r="AF533" i="15"/>
  <c r="X533" i="15"/>
  <c r="P533" i="15"/>
  <c r="H533" i="15"/>
  <c r="AG533" i="15"/>
  <c r="W533" i="15"/>
  <c r="N533" i="15"/>
  <c r="AE533" i="15"/>
  <c r="V533" i="15"/>
  <c r="M533" i="15"/>
  <c r="AD533" i="15"/>
  <c r="U533" i="15"/>
  <c r="L533" i="15"/>
  <c r="AC533" i="15"/>
  <c r="T533" i="15"/>
  <c r="K533" i="15"/>
  <c r="O554" i="15"/>
  <c r="AG554" i="15"/>
  <c r="AD572" i="15"/>
  <c r="AD586" i="15"/>
  <c r="V586" i="15"/>
  <c r="N586" i="15"/>
  <c r="AF586" i="15"/>
  <c r="W586" i="15"/>
  <c r="M586" i="15"/>
  <c r="AE586" i="15"/>
  <c r="U586" i="15"/>
  <c r="L586" i="15"/>
  <c r="AC586" i="15"/>
  <c r="T586" i="15"/>
  <c r="K586" i="15"/>
  <c r="AB586" i="15"/>
  <c r="S586" i="15"/>
  <c r="J586" i="15"/>
  <c r="K614" i="15"/>
  <c r="AC614" i="15"/>
  <c r="AE631" i="15"/>
  <c r="AA651" i="15"/>
  <c r="I672" i="15"/>
  <c r="AB683" i="15"/>
  <c r="T683" i="15"/>
  <c r="L683" i="15"/>
  <c r="AG683" i="15"/>
  <c r="X683" i="15"/>
  <c r="O683" i="15"/>
  <c r="AF683" i="15"/>
  <c r="W683" i="15"/>
  <c r="N683" i="15"/>
  <c r="AE683" i="15"/>
  <c r="V683" i="15"/>
  <c r="M683" i="15"/>
  <c r="AD683" i="15"/>
  <c r="U683" i="15"/>
  <c r="K683" i="15"/>
  <c r="AA683" i="15"/>
  <c r="AD700" i="15"/>
  <c r="AH716" i="15"/>
  <c r="Z716" i="15"/>
  <c r="R716" i="15"/>
  <c r="J716" i="15"/>
  <c r="Y716" i="15"/>
  <c r="P716" i="15"/>
  <c r="G716" i="15"/>
  <c r="AG716" i="15"/>
  <c r="X716" i="15"/>
  <c r="O716" i="15"/>
  <c r="AF716" i="15"/>
  <c r="W716" i="15"/>
  <c r="N716" i="15"/>
  <c r="AE716" i="15"/>
  <c r="V716" i="15"/>
  <c r="M716" i="15"/>
  <c r="AC716" i="15"/>
  <c r="AD726" i="15"/>
  <c r="V726" i="15"/>
  <c r="N726" i="15"/>
  <c r="AH726" i="15"/>
  <c r="Y726" i="15"/>
  <c r="P726" i="15"/>
  <c r="G726" i="15"/>
  <c r="AG726" i="15"/>
  <c r="X726" i="15"/>
  <c r="O726" i="15"/>
  <c r="AF726" i="15"/>
  <c r="W726" i="15"/>
  <c r="M726" i="15"/>
  <c r="AE726" i="15"/>
  <c r="U726" i="15"/>
  <c r="L726" i="15"/>
  <c r="Q765" i="15"/>
  <c r="K773" i="15"/>
  <c r="M780" i="15"/>
  <c r="AH786" i="15"/>
  <c r="K794" i="15"/>
  <c r="AH834" i="15"/>
  <c r="Q869" i="15"/>
  <c r="AH877" i="15"/>
  <c r="Z877" i="15"/>
  <c r="R877" i="15"/>
  <c r="J877" i="15"/>
  <c r="AF877" i="15"/>
  <c r="X877" i="15"/>
  <c r="P877" i="15"/>
  <c r="H877" i="15"/>
  <c r="AA877" i="15"/>
  <c r="O877" i="15"/>
  <c r="Y877" i="15"/>
  <c r="N877" i="15"/>
  <c r="W877" i="15"/>
  <c r="M877" i="15"/>
  <c r="AG877" i="15"/>
  <c r="V877" i="15"/>
  <c r="L877" i="15"/>
  <c r="AE877" i="15"/>
  <c r="AB884" i="15"/>
  <c r="T884" i="15"/>
  <c r="L884" i="15"/>
  <c r="AH884" i="15"/>
  <c r="Z884" i="15"/>
  <c r="R884" i="15"/>
  <c r="J884" i="15"/>
  <c r="AD884" i="15"/>
  <c r="S884" i="15"/>
  <c r="H884" i="15"/>
  <c r="AC884" i="15"/>
  <c r="Q884" i="15"/>
  <c r="G884" i="15"/>
  <c r="AA884" i="15"/>
  <c r="P884" i="15"/>
  <c r="Y884" i="15"/>
  <c r="O884" i="15"/>
  <c r="AG884" i="15"/>
  <c r="AH890" i="15"/>
  <c r="AH922" i="15"/>
  <c r="L938" i="15"/>
  <c r="AH965" i="15"/>
  <c r="Z965" i="15"/>
  <c r="R965" i="15"/>
  <c r="J965" i="15"/>
  <c r="AF965" i="15"/>
  <c r="X965" i="15"/>
  <c r="P965" i="15"/>
  <c r="H965" i="15"/>
  <c r="AA965" i="15"/>
  <c r="O965" i="15"/>
  <c r="Y965" i="15"/>
  <c r="N965" i="15"/>
  <c r="W965" i="15"/>
  <c r="M965" i="15"/>
  <c r="AG965" i="15"/>
  <c r="V965" i="15"/>
  <c r="L965" i="15"/>
  <c r="AB972" i="15"/>
  <c r="T972" i="15"/>
  <c r="L972" i="15"/>
  <c r="AH972" i="15"/>
  <c r="Z972" i="15"/>
  <c r="R972" i="15"/>
  <c r="J972" i="15"/>
  <c r="AD972" i="15"/>
  <c r="S972" i="15"/>
  <c r="H972" i="15"/>
  <c r="AC972" i="15"/>
  <c r="Q972" i="15"/>
  <c r="G972" i="15"/>
  <c r="AA972" i="15"/>
  <c r="P972" i="15"/>
  <c r="Y972" i="15"/>
  <c r="O972" i="15"/>
  <c r="AG972" i="15"/>
  <c r="M983" i="15"/>
  <c r="K989" i="15"/>
  <c r="AE989" i="15"/>
  <c r="K1002" i="15"/>
  <c r="AG1002" i="15"/>
  <c r="L1026" i="15"/>
  <c r="AH1045" i="15"/>
  <c r="Z1045" i="15"/>
  <c r="R1045" i="15"/>
  <c r="J1045" i="15"/>
  <c r="AF1045" i="15"/>
  <c r="X1045" i="15"/>
  <c r="P1045" i="15"/>
  <c r="H1045" i="15"/>
  <c r="AA1045" i="15"/>
  <c r="O1045" i="15"/>
  <c r="Y1045" i="15"/>
  <c r="N1045" i="15"/>
  <c r="W1045" i="15"/>
  <c r="M1045" i="15"/>
  <c r="AG1045" i="15"/>
  <c r="V1045" i="15"/>
  <c r="L1045" i="15"/>
  <c r="AE1045" i="15"/>
  <c r="AF1066" i="15"/>
  <c r="X1066" i="15"/>
  <c r="P1066" i="15"/>
  <c r="H1066" i="15"/>
  <c r="AD1066" i="15"/>
  <c r="V1066" i="15"/>
  <c r="N1066" i="15"/>
  <c r="AB1066" i="15"/>
  <c r="R1066" i="15"/>
  <c r="G1066" i="15"/>
  <c r="AA1066" i="15"/>
  <c r="Q1066" i="15"/>
  <c r="Z1066" i="15"/>
  <c r="O1066" i="15"/>
  <c r="Y1066" i="15"/>
  <c r="M1066" i="15"/>
  <c r="M1079" i="15"/>
  <c r="AB1092" i="15"/>
  <c r="T1092" i="15"/>
  <c r="L1092" i="15"/>
  <c r="AH1092" i="15"/>
  <c r="Z1092" i="15"/>
  <c r="R1092" i="15"/>
  <c r="J1092" i="15"/>
  <c r="AD1092" i="15"/>
  <c r="S1092" i="15"/>
  <c r="H1092" i="15"/>
  <c r="AC1092" i="15"/>
  <c r="Q1092" i="15"/>
  <c r="G1092" i="15"/>
  <c r="AA1092" i="15"/>
  <c r="P1092" i="15"/>
  <c r="Y1092" i="15"/>
  <c r="O1092" i="15"/>
  <c r="AG1092" i="15"/>
  <c r="N1132" i="15"/>
  <c r="AE1133" i="15"/>
  <c r="AB1168" i="15"/>
  <c r="T1168" i="15"/>
  <c r="L1168" i="15"/>
  <c r="AE1168" i="15"/>
  <c r="V1168" i="15"/>
  <c r="M1168" i="15"/>
  <c r="AC1168" i="15"/>
  <c r="S1168" i="15"/>
  <c r="J1168" i="15"/>
  <c r="AG1168" i="15"/>
  <c r="U1168" i="15"/>
  <c r="H1168" i="15"/>
  <c r="AF1168" i="15"/>
  <c r="R1168" i="15"/>
  <c r="G1168" i="15"/>
  <c r="AD1168" i="15"/>
  <c r="Q1168" i="15"/>
  <c r="AA1168" i="15"/>
  <c r="P1168" i="15"/>
  <c r="K1208" i="15"/>
  <c r="AD1211" i="15"/>
  <c r="V1211" i="15"/>
  <c r="N1211" i="15"/>
  <c r="AF1211" i="15"/>
  <c r="W1211" i="15"/>
  <c r="M1211" i="15"/>
  <c r="AC1211" i="15"/>
  <c r="T1211" i="15"/>
  <c r="K1211" i="15"/>
  <c r="AB1211" i="15"/>
  <c r="Q1211" i="15"/>
  <c r="AA1211" i="15"/>
  <c r="P1211" i="15"/>
  <c r="Z1211" i="15"/>
  <c r="O1211" i="15"/>
  <c r="Y1211" i="15"/>
  <c r="L1211" i="15"/>
  <c r="AB1224" i="15"/>
  <c r="T1224" i="15"/>
  <c r="L1224" i="15"/>
  <c r="Z1224" i="15"/>
  <c r="Q1224" i="15"/>
  <c r="H1224" i="15"/>
  <c r="AG1224" i="15"/>
  <c r="X1224" i="15"/>
  <c r="O1224" i="15"/>
  <c r="AE1224" i="15"/>
  <c r="S1224" i="15"/>
  <c r="G1224" i="15"/>
  <c r="AD1224" i="15"/>
  <c r="R1224" i="15"/>
  <c r="AC1224" i="15"/>
  <c r="P1224" i="15"/>
  <c r="AA1224" i="15"/>
  <c r="N1224" i="15"/>
  <c r="AF1238" i="15"/>
  <c r="X1238" i="15"/>
  <c r="P1238" i="15"/>
  <c r="H1238" i="15"/>
  <c r="AG1238" i="15"/>
  <c r="W1238" i="15"/>
  <c r="N1238" i="15"/>
  <c r="AD1238" i="15"/>
  <c r="U1238" i="15"/>
  <c r="L1238" i="15"/>
  <c r="AE1238" i="15"/>
  <c r="S1238" i="15"/>
  <c r="G1238" i="15"/>
  <c r="AC1238" i="15"/>
  <c r="R1238" i="15"/>
  <c r="AB1238" i="15"/>
  <c r="Q1238" i="15"/>
  <c r="AA1238" i="15"/>
  <c r="O1238" i="15"/>
  <c r="L1239" i="15"/>
  <c r="I1251" i="15"/>
  <c r="M1346" i="15"/>
  <c r="K1495" i="15"/>
  <c r="P1523" i="15"/>
  <c r="X1592" i="15"/>
  <c r="AF1635" i="15"/>
  <c r="X1635" i="15"/>
  <c r="P1635" i="15"/>
  <c r="H1635" i="15"/>
  <c r="AE1635" i="15"/>
  <c r="W1635" i="15"/>
  <c r="O1635" i="15"/>
  <c r="G1635" i="15"/>
  <c r="AD1635" i="15"/>
  <c r="V1635" i="15"/>
  <c r="N1635" i="15"/>
  <c r="AC1635" i="15"/>
  <c r="U1635" i="15"/>
  <c r="M1635" i="15"/>
  <c r="AH1635" i="15"/>
  <c r="R1635" i="15"/>
  <c r="AG1635" i="15"/>
  <c r="Q1635" i="15"/>
  <c r="AB1635" i="15"/>
  <c r="L1635" i="15"/>
  <c r="J1635" i="15"/>
  <c r="I1635" i="15"/>
  <c r="AA1635" i="15"/>
  <c r="Z1635" i="15"/>
  <c r="AF1963" i="15"/>
  <c r="X1963" i="15"/>
  <c r="P1963" i="15"/>
  <c r="H1963" i="15"/>
  <c r="AE1963" i="15"/>
  <c r="W1963" i="15"/>
  <c r="O1963" i="15"/>
  <c r="G1963" i="15"/>
  <c r="AD1963" i="15"/>
  <c r="V1963" i="15"/>
  <c r="N1963" i="15"/>
  <c r="AC1963" i="15"/>
  <c r="U1963" i="15"/>
  <c r="M1963" i="15"/>
  <c r="AH1963" i="15"/>
  <c r="R1963" i="15"/>
  <c r="AG1963" i="15"/>
  <c r="Q1963" i="15"/>
  <c r="AB1963" i="15"/>
  <c r="L1963" i="15"/>
  <c r="I1963" i="15"/>
  <c r="AA1963" i="15"/>
  <c r="Z1963" i="15"/>
  <c r="Y1963" i="15"/>
  <c r="AD1976" i="15"/>
  <c r="V1976" i="15"/>
  <c r="N1976" i="15"/>
  <c r="AC1976" i="15"/>
  <c r="U1976" i="15"/>
  <c r="M1976" i="15"/>
  <c r="AB1976" i="15"/>
  <c r="T1976" i="15"/>
  <c r="L1976" i="15"/>
  <c r="AA1976" i="15"/>
  <c r="S1976" i="15"/>
  <c r="K1976" i="15"/>
  <c r="X1976" i="15"/>
  <c r="H1976" i="15"/>
  <c r="W1976" i="15"/>
  <c r="G1976" i="15"/>
  <c r="AH1976" i="15"/>
  <c r="R1976" i="15"/>
  <c r="Z1976" i="15"/>
  <c r="Y1976" i="15"/>
  <c r="Q1976" i="15"/>
  <c r="P1976" i="15"/>
  <c r="AE2000" i="15"/>
  <c r="L26" i="16"/>
  <c r="K26" i="16"/>
  <c r="H148" i="16"/>
  <c r="L148" i="16"/>
  <c r="K148" i="16"/>
  <c r="J148" i="16"/>
  <c r="M148" i="16"/>
  <c r="F391" i="16"/>
  <c r="I391" i="9"/>
  <c r="J505" i="16"/>
  <c r="I505" i="16"/>
  <c r="H505" i="16"/>
  <c r="M811" i="16"/>
  <c r="O811" i="16" s="1"/>
  <c r="E811" i="16"/>
  <c r="L811" i="16"/>
  <c r="K811" i="16"/>
  <c r="G811" i="16"/>
  <c r="J811" i="16"/>
  <c r="I811" i="16"/>
  <c r="H811" i="16"/>
  <c r="F989" i="16"/>
  <c r="H992" i="16"/>
  <c r="O992" i="16"/>
  <c r="G992" i="16"/>
  <c r="F992" i="16"/>
  <c r="K992" i="16"/>
  <c r="J992" i="16"/>
  <c r="I992" i="16"/>
  <c r="M992" i="16"/>
  <c r="L992" i="16"/>
  <c r="E992" i="16"/>
  <c r="T992" i="16" s="1"/>
  <c r="O1001" i="16"/>
  <c r="G1001" i="16"/>
  <c r="F1001" i="16"/>
  <c r="M1001" i="16"/>
  <c r="E1001" i="16"/>
  <c r="H1001" i="16"/>
  <c r="I1001" i="16"/>
  <c r="K1001" i="16"/>
  <c r="J1001" i="16"/>
  <c r="F1335" i="16"/>
  <c r="P1335" i="16" s="1"/>
  <c r="K2895" i="16"/>
  <c r="J2895" i="16"/>
  <c r="P2895" i="16"/>
  <c r="F2895" i="16"/>
  <c r="O2895" i="16"/>
  <c r="E2895" i="16"/>
  <c r="N2895" i="16"/>
  <c r="G2895" i="16"/>
  <c r="T2895" i="16"/>
  <c r="M2895" i="16"/>
  <c r="L2895" i="16"/>
  <c r="I2895" i="16"/>
  <c r="H2895" i="16"/>
  <c r="P3450" i="16"/>
  <c r="H3450" i="16"/>
  <c r="O3450" i="16"/>
  <c r="G3450" i="16"/>
  <c r="J3450" i="16"/>
  <c r="I3450" i="16"/>
  <c r="F3450" i="16"/>
  <c r="L3450" i="16"/>
  <c r="K3450" i="16"/>
  <c r="M3450" i="16"/>
  <c r="E3450" i="16"/>
  <c r="T3450" i="16"/>
  <c r="N3450" i="16"/>
  <c r="L3614" i="16"/>
  <c r="K3614" i="16"/>
  <c r="T3614" i="16"/>
  <c r="G3614" i="16"/>
  <c r="P3614" i="16"/>
  <c r="F3614" i="16"/>
  <c r="O3614" i="16"/>
  <c r="E3614" i="16"/>
  <c r="J3614" i="16"/>
  <c r="I3614" i="16"/>
  <c r="H3614" i="16"/>
  <c r="N3614" i="16"/>
  <c r="M3614" i="16"/>
  <c r="L3678" i="16"/>
  <c r="K3678" i="16"/>
  <c r="T3678" i="16"/>
  <c r="G3678" i="16"/>
  <c r="P3678" i="16"/>
  <c r="F3678" i="16"/>
  <c r="O3678" i="16"/>
  <c r="E3678" i="16"/>
  <c r="I3678" i="16"/>
  <c r="H3678" i="16"/>
  <c r="N3678" i="16"/>
  <c r="M3678" i="16"/>
  <c r="J3678" i="16"/>
  <c r="K1101" i="15"/>
  <c r="M1108" i="15"/>
  <c r="AG1108" i="15"/>
  <c r="AH1119" i="15"/>
  <c r="K1127" i="15"/>
  <c r="V1132" i="15"/>
  <c r="V1169" i="15"/>
  <c r="M1192" i="15"/>
  <c r="AD1195" i="15"/>
  <c r="V1195" i="15"/>
  <c r="N1195" i="15"/>
  <c r="AF1195" i="15"/>
  <c r="W1195" i="15"/>
  <c r="M1195" i="15"/>
  <c r="AC1195" i="15"/>
  <c r="T1195" i="15"/>
  <c r="K1195" i="15"/>
  <c r="AB1195" i="15"/>
  <c r="Q1195" i="15"/>
  <c r="AA1195" i="15"/>
  <c r="P1195" i="15"/>
  <c r="Z1195" i="15"/>
  <c r="O1195" i="15"/>
  <c r="Y1195" i="15"/>
  <c r="L1195" i="15"/>
  <c r="AF1206" i="15"/>
  <c r="X1206" i="15"/>
  <c r="P1206" i="15"/>
  <c r="H1206" i="15"/>
  <c r="AG1206" i="15"/>
  <c r="W1206" i="15"/>
  <c r="N1206" i="15"/>
  <c r="AD1206" i="15"/>
  <c r="U1206" i="15"/>
  <c r="L1206" i="15"/>
  <c r="AE1206" i="15"/>
  <c r="S1206" i="15"/>
  <c r="G1206" i="15"/>
  <c r="AC1206" i="15"/>
  <c r="R1206" i="15"/>
  <c r="AB1206" i="15"/>
  <c r="Q1206" i="15"/>
  <c r="AA1206" i="15"/>
  <c r="O1206" i="15"/>
  <c r="K1222" i="15"/>
  <c r="L1223" i="15"/>
  <c r="U1224" i="15"/>
  <c r="Q1228" i="15"/>
  <c r="O1236" i="15"/>
  <c r="T1238" i="15"/>
  <c r="S1244" i="15"/>
  <c r="AD1259" i="15"/>
  <c r="V1259" i="15"/>
  <c r="N1259" i="15"/>
  <c r="AC1259" i="15"/>
  <c r="U1259" i="15"/>
  <c r="M1259" i="15"/>
  <c r="Y1259" i="15"/>
  <c r="O1259" i="15"/>
  <c r="AG1259" i="15"/>
  <c r="W1259" i="15"/>
  <c r="K1259" i="15"/>
  <c r="AF1259" i="15"/>
  <c r="R1259" i="15"/>
  <c r="AE1259" i="15"/>
  <c r="Q1259" i="15"/>
  <c r="AB1259" i="15"/>
  <c r="P1259" i="15"/>
  <c r="AA1259" i="15"/>
  <c r="L1259" i="15"/>
  <c r="M1314" i="15"/>
  <c r="AD1323" i="15"/>
  <c r="V1323" i="15"/>
  <c r="N1323" i="15"/>
  <c r="AC1323" i="15"/>
  <c r="U1323" i="15"/>
  <c r="M1323" i="15"/>
  <c r="Y1323" i="15"/>
  <c r="O1323" i="15"/>
  <c r="AG1323" i="15"/>
  <c r="W1323" i="15"/>
  <c r="K1323" i="15"/>
  <c r="AH1323" i="15"/>
  <c r="S1323" i="15"/>
  <c r="G1323" i="15"/>
  <c r="AF1323" i="15"/>
  <c r="R1323" i="15"/>
  <c r="AE1323" i="15"/>
  <c r="Q1323" i="15"/>
  <c r="AB1323" i="15"/>
  <c r="P1323" i="15"/>
  <c r="J1364" i="15"/>
  <c r="AE1371" i="15"/>
  <c r="W1371" i="15"/>
  <c r="O1371" i="15"/>
  <c r="G1371" i="15"/>
  <c r="AD1371" i="15"/>
  <c r="V1371" i="15"/>
  <c r="N1371" i="15"/>
  <c r="AC1371" i="15"/>
  <c r="U1371" i="15"/>
  <c r="M1371" i="15"/>
  <c r="AB1371" i="15"/>
  <c r="Q1371" i="15"/>
  <c r="Z1371" i="15"/>
  <c r="L1371" i="15"/>
  <c r="Y1371" i="15"/>
  <c r="I1371" i="15"/>
  <c r="X1371" i="15"/>
  <c r="H1371" i="15"/>
  <c r="T1371" i="15"/>
  <c r="S1371" i="15"/>
  <c r="P1371" i="15"/>
  <c r="AE1383" i="15"/>
  <c r="W1383" i="15"/>
  <c r="O1383" i="15"/>
  <c r="G1383" i="15"/>
  <c r="AD1383" i="15"/>
  <c r="V1383" i="15"/>
  <c r="N1383" i="15"/>
  <c r="AC1383" i="15"/>
  <c r="U1383" i="15"/>
  <c r="M1383" i="15"/>
  <c r="Y1383" i="15"/>
  <c r="K1383" i="15"/>
  <c r="AH1383" i="15"/>
  <c r="T1383" i="15"/>
  <c r="I1383" i="15"/>
  <c r="X1383" i="15"/>
  <c r="S1383" i="15"/>
  <c r="R1383" i="15"/>
  <c r="AG1383" i="15"/>
  <c r="Q1383" i="15"/>
  <c r="L1383" i="15"/>
  <c r="AC1416" i="15"/>
  <c r="U1416" i="15"/>
  <c r="M1416" i="15"/>
  <c r="AB1416" i="15"/>
  <c r="T1416" i="15"/>
  <c r="L1416" i="15"/>
  <c r="AA1416" i="15"/>
  <c r="S1416" i="15"/>
  <c r="K1416" i="15"/>
  <c r="X1416" i="15"/>
  <c r="J1416" i="15"/>
  <c r="AG1416" i="15"/>
  <c r="V1416" i="15"/>
  <c r="H1416" i="15"/>
  <c r="R1416" i="15"/>
  <c r="AH1416" i="15"/>
  <c r="Q1416" i="15"/>
  <c r="AF1416" i="15"/>
  <c r="P1416" i="15"/>
  <c r="AE1416" i="15"/>
  <c r="O1416" i="15"/>
  <c r="N1416" i="15"/>
  <c r="X1463" i="15"/>
  <c r="Z1519" i="15"/>
  <c r="AA1523" i="15"/>
  <c r="Q1527" i="15"/>
  <c r="AE1543" i="15"/>
  <c r="W1543" i="15"/>
  <c r="O1543" i="15"/>
  <c r="G1543" i="15"/>
  <c r="AD1543" i="15"/>
  <c r="V1543" i="15"/>
  <c r="N1543" i="15"/>
  <c r="AC1543" i="15"/>
  <c r="U1543" i="15"/>
  <c r="M1543" i="15"/>
  <c r="Y1543" i="15"/>
  <c r="K1543" i="15"/>
  <c r="AH1543" i="15"/>
  <c r="T1543" i="15"/>
  <c r="I1543" i="15"/>
  <c r="S1543" i="15"/>
  <c r="R1543" i="15"/>
  <c r="AG1543" i="15"/>
  <c r="Q1543" i="15"/>
  <c r="AF1543" i="15"/>
  <c r="P1543" i="15"/>
  <c r="L1543" i="15"/>
  <c r="X1552" i="15"/>
  <c r="AA1555" i="15"/>
  <c r="Z1564" i="15"/>
  <c r="Y1584" i="15"/>
  <c r="AF1591" i="15"/>
  <c r="X1591" i="15"/>
  <c r="P1591" i="15"/>
  <c r="H1591" i="15"/>
  <c r="AE1591" i="15"/>
  <c r="W1591" i="15"/>
  <c r="O1591" i="15"/>
  <c r="G1591" i="15"/>
  <c r="AD1591" i="15"/>
  <c r="V1591" i="15"/>
  <c r="N1591" i="15"/>
  <c r="AC1591" i="15"/>
  <c r="U1591" i="15"/>
  <c r="M1591" i="15"/>
  <c r="Z1591" i="15"/>
  <c r="J1591" i="15"/>
  <c r="T1591" i="15"/>
  <c r="AA1591" i="15"/>
  <c r="Y1591" i="15"/>
  <c r="S1591" i="15"/>
  <c r="R1591" i="15"/>
  <c r="L1591" i="15"/>
  <c r="AE1592" i="15"/>
  <c r="AG1599" i="15"/>
  <c r="AF1603" i="15"/>
  <c r="X1603" i="15"/>
  <c r="P1603" i="15"/>
  <c r="H1603" i="15"/>
  <c r="AE1603" i="15"/>
  <c r="W1603" i="15"/>
  <c r="O1603" i="15"/>
  <c r="G1603" i="15"/>
  <c r="AD1603" i="15"/>
  <c r="V1603" i="15"/>
  <c r="N1603" i="15"/>
  <c r="AC1603" i="15"/>
  <c r="U1603" i="15"/>
  <c r="M1603" i="15"/>
  <c r="AH1603" i="15"/>
  <c r="R1603" i="15"/>
  <c r="AB1603" i="15"/>
  <c r="L1603" i="15"/>
  <c r="AG1603" i="15"/>
  <c r="J1603" i="15"/>
  <c r="AA1603" i="15"/>
  <c r="I1603" i="15"/>
  <c r="Z1603" i="15"/>
  <c r="Y1603" i="15"/>
  <c r="S1603" i="15"/>
  <c r="AD1612" i="15"/>
  <c r="V1612" i="15"/>
  <c r="N1612" i="15"/>
  <c r="AC1612" i="15"/>
  <c r="U1612" i="15"/>
  <c r="M1612" i="15"/>
  <c r="AB1612" i="15"/>
  <c r="T1612" i="15"/>
  <c r="L1612" i="15"/>
  <c r="AA1612" i="15"/>
  <c r="S1612" i="15"/>
  <c r="K1612" i="15"/>
  <c r="X1612" i="15"/>
  <c r="H1612" i="15"/>
  <c r="AH1612" i="15"/>
  <c r="R1612" i="15"/>
  <c r="Z1612" i="15"/>
  <c r="G1612" i="15"/>
  <c r="Y1612" i="15"/>
  <c r="W1612" i="15"/>
  <c r="Q1612" i="15"/>
  <c r="O1612" i="15"/>
  <c r="AD1620" i="15"/>
  <c r="V1620" i="15"/>
  <c r="N1620" i="15"/>
  <c r="AC1620" i="15"/>
  <c r="U1620" i="15"/>
  <c r="M1620" i="15"/>
  <c r="AB1620" i="15"/>
  <c r="T1620" i="15"/>
  <c r="L1620" i="15"/>
  <c r="AA1620" i="15"/>
  <c r="S1620" i="15"/>
  <c r="K1620" i="15"/>
  <c r="X1620" i="15"/>
  <c r="H1620" i="15"/>
  <c r="AH1620" i="15"/>
  <c r="R1620" i="15"/>
  <c r="Y1620" i="15"/>
  <c r="W1620" i="15"/>
  <c r="Q1620" i="15"/>
  <c r="P1620" i="15"/>
  <c r="J1620" i="15"/>
  <c r="AF1655" i="15"/>
  <c r="X1655" i="15"/>
  <c r="P1655" i="15"/>
  <c r="H1655" i="15"/>
  <c r="AE1655" i="15"/>
  <c r="W1655" i="15"/>
  <c r="O1655" i="15"/>
  <c r="G1655" i="15"/>
  <c r="AD1655" i="15"/>
  <c r="V1655" i="15"/>
  <c r="N1655" i="15"/>
  <c r="AC1655" i="15"/>
  <c r="U1655" i="15"/>
  <c r="M1655" i="15"/>
  <c r="Z1655" i="15"/>
  <c r="J1655" i="15"/>
  <c r="Y1655" i="15"/>
  <c r="I1655" i="15"/>
  <c r="T1655" i="15"/>
  <c r="AG1655" i="15"/>
  <c r="AB1655" i="15"/>
  <c r="AA1655" i="15"/>
  <c r="S1655" i="15"/>
  <c r="Q1655" i="15"/>
  <c r="AF1659" i="15"/>
  <c r="X1659" i="15"/>
  <c r="P1659" i="15"/>
  <c r="H1659" i="15"/>
  <c r="AE1659" i="15"/>
  <c r="W1659" i="15"/>
  <c r="O1659" i="15"/>
  <c r="G1659" i="15"/>
  <c r="AD1659" i="15"/>
  <c r="V1659" i="15"/>
  <c r="N1659" i="15"/>
  <c r="AC1659" i="15"/>
  <c r="U1659" i="15"/>
  <c r="M1659" i="15"/>
  <c r="AH1659" i="15"/>
  <c r="R1659" i="15"/>
  <c r="AG1659" i="15"/>
  <c r="Q1659" i="15"/>
  <c r="AB1659" i="15"/>
  <c r="L1659" i="15"/>
  <c r="Z1659" i="15"/>
  <c r="Y1659" i="15"/>
  <c r="T1659" i="15"/>
  <c r="S1659" i="15"/>
  <c r="K1659" i="15"/>
  <c r="AG1663" i="15"/>
  <c r="AB1679" i="15"/>
  <c r="AE1716" i="15"/>
  <c r="AF1748" i="15"/>
  <c r="AH1767" i="15"/>
  <c r="AF1815" i="15"/>
  <c r="X1815" i="15"/>
  <c r="P1815" i="15"/>
  <c r="H1815" i="15"/>
  <c r="AE1815" i="15"/>
  <c r="W1815" i="15"/>
  <c r="O1815" i="15"/>
  <c r="G1815" i="15"/>
  <c r="AD1815" i="15"/>
  <c r="V1815" i="15"/>
  <c r="N1815" i="15"/>
  <c r="AC1815" i="15"/>
  <c r="U1815" i="15"/>
  <c r="M1815" i="15"/>
  <c r="T1815" i="15"/>
  <c r="S1815" i="15"/>
  <c r="AH1815" i="15"/>
  <c r="R1815" i="15"/>
  <c r="Z1815" i="15"/>
  <c r="Y1815" i="15"/>
  <c r="Q1815" i="15"/>
  <c r="L1815" i="15"/>
  <c r="K1815" i="15"/>
  <c r="AF1823" i="15"/>
  <c r="X1823" i="15"/>
  <c r="P1823" i="15"/>
  <c r="H1823" i="15"/>
  <c r="AE1823" i="15"/>
  <c r="W1823" i="15"/>
  <c r="O1823" i="15"/>
  <c r="G1823" i="15"/>
  <c r="AD1823" i="15"/>
  <c r="V1823" i="15"/>
  <c r="N1823" i="15"/>
  <c r="AC1823" i="15"/>
  <c r="U1823" i="15"/>
  <c r="M1823" i="15"/>
  <c r="T1823" i="15"/>
  <c r="S1823" i="15"/>
  <c r="AH1823" i="15"/>
  <c r="R1823" i="15"/>
  <c r="Z1823" i="15"/>
  <c r="Y1823" i="15"/>
  <c r="Q1823" i="15"/>
  <c r="L1823" i="15"/>
  <c r="K1823" i="15"/>
  <c r="AF1831" i="15"/>
  <c r="X1831" i="15"/>
  <c r="P1831" i="15"/>
  <c r="H1831" i="15"/>
  <c r="AE1831" i="15"/>
  <c r="W1831" i="15"/>
  <c r="O1831" i="15"/>
  <c r="G1831" i="15"/>
  <c r="AD1831" i="15"/>
  <c r="V1831" i="15"/>
  <c r="N1831" i="15"/>
  <c r="AC1831" i="15"/>
  <c r="U1831" i="15"/>
  <c r="M1831" i="15"/>
  <c r="T1831" i="15"/>
  <c r="S1831" i="15"/>
  <c r="AH1831" i="15"/>
  <c r="R1831" i="15"/>
  <c r="Z1831" i="15"/>
  <c r="Y1831" i="15"/>
  <c r="Q1831" i="15"/>
  <c r="L1831" i="15"/>
  <c r="K1831" i="15"/>
  <c r="AF1839" i="15"/>
  <c r="X1839" i="15"/>
  <c r="P1839" i="15"/>
  <c r="H1839" i="15"/>
  <c r="AE1839" i="15"/>
  <c r="W1839" i="15"/>
  <c r="O1839" i="15"/>
  <c r="G1839" i="15"/>
  <c r="AD1839" i="15"/>
  <c r="V1839" i="15"/>
  <c r="N1839" i="15"/>
  <c r="AC1839" i="15"/>
  <c r="U1839" i="15"/>
  <c r="M1839" i="15"/>
  <c r="T1839" i="15"/>
  <c r="S1839" i="15"/>
  <c r="AH1839" i="15"/>
  <c r="R1839" i="15"/>
  <c r="Z1839" i="15"/>
  <c r="Y1839" i="15"/>
  <c r="Q1839" i="15"/>
  <c r="L1839" i="15"/>
  <c r="K1839" i="15"/>
  <c r="AF1847" i="15"/>
  <c r="X1847" i="15"/>
  <c r="P1847" i="15"/>
  <c r="H1847" i="15"/>
  <c r="AE1847" i="15"/>
  <c r="W1847" i="15"/>
  <c r="O1847" i="15"/>
  <c r="G1847" i="15"/>
  <c r="AD1847" i="15"/>
  <c r="V1847" i="15"/>
  <c r="N1847" i="15"/>
  <c r="AC1847" i="15"/>
  <c r="U1847" i="15"/>
  <c r="M1847" i="15"/>
  <c r="T1847" i="15"/>
  <c r="S1847" i="15"/>
  <c r="AH1847" i="15"/>
  <c r="R1847" i="15"/>
  <c r="Z1847" i="15"/>
  <c r="Y1847" i="15"/>
  <c r="Q1847" i="15"/>
  <c r="L1847" i="15"/>
  <c r="K1847" i="15"/>
  <c r="AF1855" i="15"/>
  <c r="X1855" i="15"/>
  <c r="P1855" i="15"/>
  <c r="H1855" i="15"/>
  <c r="AE1855" i="15"/>
  <c r="W1855" i="15"/>
  <c r="O1855" i="15"/>
  <c r="G1855" i="15"/>
  <c r="AD1855" i="15"/>
  <c r="V1855" i="15"/>
  <c r="N1855" i="15"/>
  <c r="AC1855" i="15"/>
  <c r="U1855" i="15"/>
  <c r="M1855" i="15"/>
  <c r="T1855" i="15"/>
  <c r="S1855" i="15"/>
  <c r="AH1855" i="15"/>
  <c r="R1855" i="15"/>
  <c r="Z1855" i="15"/>
  <c r="Y1855" i="15"/>
  <c r="Q1855" i="15"/>
  <c r="L1855" i="15"/>
  <c r="K1855" i="15"/>
  <c r="AF1863" i="15"/>
  <c r="X1863" i="15"/>
  <c r="P1863" i="15"/>
  <c r="H1863" i="15"/>
  <c r="AE1863" i="15"/>
  <c r="W1863" i="15"/>
  <c r="O1863" i="15"/>
  <c r="G1863" i="15"/>
  <c r="AD1863" i="15"/>
  <c r="V1863" i="15"/>
  <c r="N1863" i="15"/>
  <c r="AC1863" i="15"/>
  <c r="U1863" i="15"/>
  <c r="M1863" i="15"/>
  <c r="T1863" i="15"/>
  <c r="S1863" i="15"/>
  <c r="AH1863" i="15"/>
  <c r="R1863" i="15"/>
  <c r="Z1863" i="15"/>
  <c r="Y1863" i="15"/>
  <c r="Q1863" i="15"/>
  <c r="L1863" i="15"/>
  <c r="K1863" i="15"/>
  <c r="AF1871" i="15"/>
  <c r="X1871" i="15"/>
  <c r="P1871" i="15"/>
  <c r="H1871" i="15"/>
  <c r="AE1871" i="15"/>
  <c r="W1871" i="15"/>
  <c r="O1871" i="15"/>
  <c r="G1871" i="15"/>
  <c r="AD1871" i="15"/>
  <c r="V1871" i="15"/>
  <c r="N1871" i="15"/>
  <c r="AC1871" i="15"/>
  <c r="U1871" i="15"/>
  <c r="M1871" i="15"/>
  <c r="T1871" i="15"/>
  <c r="S1871" i="15"/>
  <c r="AH1871" i="15"/>
  <c r="R1871" i="15"/>
  <c r="Z1871" i="15"/>
  <c r="Y1871" i="15"/>
  <c r="Q1871" i="15"/>
  <c r="L1871" i="15"/>
  <c r="K1871" i="15"/>
  <c r="AF1879" i="15"/>
  <c r="X1879" i="15"/>
  <c r="P1879" i="15"/>
  <c r="H1879" i="15"/>
  <c r="AE1879" i="15"/>
  <c r="W1879" i="15"/>
  <c r="O1879" i="15"/>
  <c r="G1879" i="15"/>
  <c r="AD1879" i="15"/>
  <c r="V1879" i="15"/>
  <c r="N1879" i="15"/>
  <c r="AC1879" i="15"/>
  <c r="U1879" i="15"/>
  <c r="M1879" i="15"/>
  <c r="T1879" i="15"/>
  <c r="S1879" i="15"/>
  <c r="AH1879" i="15"/>
  <c r="R1879" i="15"/>
  <c r="Z1879" i="15"/>
  <c r="Y1879" i="15"/>
  <c r="Q1879" i="15"/>
  <c r="L1879" i="15"/>
  <c r="K1879" i="15"/>
  <c r="AF1887" i="15"/>
  <c r="X1887" i="15"/>
  <c r="P1887" i="15"/>
  <c r="H1887" i="15"/>
  <c r="AE1887" i="15"/>
  <c r="W1887" i="15"/>
  <c r="O1887" i="15"/>
  <c r="G1887" i="15"/>
  <c r="AD1887" i="15"/>
  <c r="V1887" i="15"/>
  <c r="N1887" i="15"/>
  <c r="AC1887" i="15"/>
  <c r="U1887" i="15"/>
  <c r="M1887" i="15"/>
  <c r="T1887" i="15"/>
  <c r="S1887" i="15"/>
  <c r="AH1887" i="15"/>
  <c r="R1887" i="15"/>
  <c r="Z1887" i="15"/>
  <c r="Y1887" i="15"/>
  <c r="Q1887" i="15"/>
  <c r="L1887" i="15"/>
  <c r="K1887" i="15"/>
  <c r="AE1912" i="15"/>
  <c r="AF1976" i="15"/>
  <c r="AF1979" i="15"/>
  <c r="X1979" i="15"/>
  <c r="P1979" i="15"/>
  <c r="H1979" i="15"/>
  <c r="AE1979" i="15"/>
  <c r="W1979" i="15"/>
  <c r="O1979" i="15"/>
  <c r="G1979" i="15"/>
  <c r="AD1979" i="15"/>
  <c r="V1979" i="15"/>
  <c r="N1979" i="15"/>
  <c r="AC1979" i="15"/>
  <c r="U1979" i="15"/>
  <c r="M1979" i="15"/>
  <c r="AH1979" i="15"/>
  <c r="R1979" i="15"/>
  <c r="AG1979" i="15"/>
  <c r="Q1979" i="15"/>
  <c r="AB1979" i="15"/>
  <c r="L1979" i="15"/>
  <c r="I1979" i="15"/>
  <c r="AA1979" i="15"/>
  <c r="Z1979" i="15"/>
  <c r="Y1979" i="15"/>
  <c r="S1979" i="15"/>
  <c r="AD1992" i="15"/>
  <c r="V1992" i="15"/>
  <c r="N1992" i="15"/>
  <c r="AC1992" i="15"/>
  <c r="U1992" i="15"/>
  <c r="M1992" i="15"/>
  <c r="AB1992" i="15"/>
  <c r="T1992" i="15"/>
  <c r="L1992" i="15"/>
  <c r="AA1992" i="15"/>
  <c r="S1992" i="15"/>
  <c r="K1992" i="15"/>
  <c r="X1992" i="15"/>
  <c r="H1992" i="15"/>
  <c r="W1992" i="15"/>
  <c r="G1992" i="15"/>
  <c r="AH1992" i="15"/>
  <c r="R1992" i="15"/>
  <c r="Z1992" i="15"/>
  <c r="Y1992" i="15"/>
  <c r="Q1992" i="15"/>
  <c r="P1992" i="15"/>
  <c r="O1992" i="15"/>
  <c r="AG2000" i="15"/>
  <c r="P8" i="16"/>
  <c r="H8" i="9" s="1"/>
  <c r="F8" i="16"/>
  <c r="H17" i="16"/>
  <c r="G17" i="16"/>
  <c r="L17" i="16"/>
  <c r="K17" i="16"/>
  <c r="J17" i="16"/>
  <c r="G19" i="16"/>
  <c r="M19" i="16"/>
  <c r="E19" i="16"/>
  <c r="L19" i="16"/>
  <c r="I19" i="16"/>
  <c r="H19" i="16"/>
  <c r="P19" i="16"/>
  <c r="H19" i="9" s="1"/>
  <c r="K19" i="16"/>
  <c r="J19" i="16"/>
  <c r="J26" i="16"/>
  <c r="F60" i="16"/>
  <c r="P60" i="16"/>
  <c r="H60" i="9" s="1"/>
  <c r="P71" i="16"/>
  <c r="H71" i="9" s="1"/>
  <c r="I71" i="9"/>
  <c r="J138" i="16"/>
  <c r="M138" i="16"/>
  <c r="L138" i="16"/>
  <c r="H138" i="16"/>
  <c r="G138" i="16"/>
  <c r="H189" i="16"/>
  <c r="G189" i="16"/>
  <c r="M189" i="16"/>
  <c r="L189" i="16"/>
  <c r="E189" i="16"/>
  <c r="F334" i="16"/>
  <c r="L396" i="16"/>
  <c r="K396" i="16"/>
  <c r="O396" i="16" s="1"/>
  <c r="J396" i="16"/>
  <c r="E396" i="16"/>
  <c r="I396" i="9" s="1"/>
  <c r="M396" i="16"/>
  <c r="H396" i="16"/>
  <c r="G396" i="16"/>
  <c r="I396" i="16"/>
  <c r="M487" i="16"/>
  <c r="L487" i="16"/>
  <c r="K487" i="16"/>
  <c r="J487" i="16"/>
  <c r="E487" i="16"/>
  <c r="F570" i="16"/>
  <c r="M570" i="16"/>
  <c r="E570" i="16"/>
  <c r="I570" i="9" s="1"/>
  <c r="L570" i="16"/>
  <c r="J570" i="16"/>
  <c r="I570" i="16"/>
  <c r="H570" i="16"/>
  <c r="G570" i="16"/>
  <c r="P570" i="16"/>
  <c r="H570" i="9" s="1"/>
  <c r="K570" i="16"/>
  <c r="T570" i="16"/>
  <c r="F591" i="16"/>
  <c r="I591" i="9"/>
  <c r="J592" i="16"/>
  <c r="I592" i="16"/>
  <c r="E592" i="16"/>
  <c r="F607" i="16"/>
  <c r="F725" i="16"/>
  <c r="L726" i="16"/>
  <c r="K726" i="16"/>
  <c r="G726" i="16"/>
  <c r="M726" i="16"/>
  <c r="H824" i="16"/>
  <c r="O824" i="16"/>
  <c r="G824" i="16"/>
  <c r="I824" i="16"/>
  <c r="E824" i="16"/>
  <c r="K824" i="16"/>
  <c r="J824" i="16"/>
  <c r="M824" i="16"/>
  <c r="L824" i="16"/>
  <c r="K862" i="16"/>
  <c r="G862" i="16"/>
  <c r="T984" i="16"/>
  <c r="G1169" i="16"/>
  <c r="M1169" i="16"/>
  <c r="E1169" i="16"/>
  <c r="J1169" i="16"/>
  <c r="I1169" i="16"/>
  <c r="H1169" i="16"/>
  <c r="K1169" i="16"/>
  <c r="L1169" i="16"/>
  <c r="I1176" i="16"/>
  <c r="M1176" i="16"/>
  <c r="F1231" i="16"/>
  <c r="F1333" i="16"/>
  <c r="H18" i="15"/>
  <c r="G18" i="15"/>
  <c r="AB27" i="15"/>
  <c r="L27" i="15"/>
  <c r="X27" i="15"/>
  <c r="O27" i="15"/>
  <c r="W27" i="15"/>
  <c r="N27" i="15"/>
  <c r="V27" i="15"/>
  <c r="M27" i="15"/>
  <c r="U27" i="15"/>
  <c r="K27" i="15"/>
  <c r="I27" i="15"/>
  <c r="AA27" i="15"/>
  <c r="AB34" i="15"/>
  <c r="AB39" i="15"/>
  <c r="L39" i="15"/>
  <c r="Z39" i="15"/>
  <c r="Q39" i="15"/>
  <c r="H39" i="15"/>
  <c r="Y39" i="15"/>
  <c r="P39" i="15"/>
  <c r="G39" i="15"/>
  <c r="X39" i="15"/>
  <c r="O39" i="15"/>
  <c r="W39" i="15"/>
  <c r="N39" i="15"/>
  <c r="K39" i="15"/>
  <c r="I45" i="15"/>
  <c r="G45" i="15"/>
  <c r="J70" i="15"/>
  <c r="Z108" i="15"/>
  <c r="R108" i="15"/>
  <c r="J108" i="15"/>
  <c r="Y108" i="15"/>
  <c r="P108" i="15"/>
  <c r="G108" i="15"/>
  <c r="AG108" i="15"/>
  <c r="Q108" i="7" s="1"/>
  <c r="X108" i="15"/>
  <c r="O108" i="15"/>
  <c r="W108" i="15"/>
  <c r="N108" i="15"/>
  <c r="V108" i="15"/>
  <c r="M108" i="15"/>
  <c r="Z112" i="15"/>
  <c r="R112" i="15"/>
  <c r="J112" i="15"/>
  <c r="W112" i="15"/>
  <c r="N112" i="15"/>
  <c r="V112" i="15"/>
  <c r="M112" i="15"/>
  <c r="U112" i="15"/>
  <c r="L112" i="15"/>
  <c r="AC112" i="15"/>
  <c r="K112" i="15"/>
  <c r="I112" i="15"/>
  <c r="AB112" i="15"/>
  <c r="Z156" i="15"/>
  <c r="R156" i="15"/>
  <c r="J156" i="15"/>
  <c r="Y156" i="15"/>
  <c r="P156" i="15"/>
  <c r="G156" i="15"/>
  <c r="X156" i="15"/>
  <c r="AG156" i="15" s="1"/>
  <c r="Q156" i="7" s="1"/>
  <c r="O156" i="15"/>
  <c r="W156" i="15"/>
  <c r="N156" i="15"/>
  <c r="V156" i="15"/>
  <c r="M156" i="15"/>
  <c r="K156" i="15"/>
  <c r="AC156" i="15"/>
  <c r="AF213" i="15"/>
  <c r="X213" i="15"/>
  <c r="P213" i="15"/>
  <c r="H213" i="15"/>
  <c r="AG213" i="15"/>
  <c r="W213" i="15"/>
  <c r="N213" i="15"/>
  <c r="AE213" i="15"/>
  <c r="V213" i="15"/>
  <c r="M213" i="15"/>
  <c r="AD213" i="15"/>
  <c r="U213" i="15"/>
  <c r="L213" i="15"/>
  <c r="AC213" i="15"/>
  <c r="T213" i="15"/>
  <c r="K213" i="15"/>
  <c r="AF225" i="15"/>
  <c r="X225" i="15"/>
  <c r="P225" i="15"/>
  <c r="H225" i="15"/>
  <c r="Z225" i="15"/>
  <c r="Q225" i="15"/>
  <c r="G225" i="15"/>
  <c r="AH225" i="15"/>
  <c r="Y225" i="15"/>
  <c r="O225" i="15"/>
  <c r="AG225" i="15"/>
  <c r="W225" i="15"/>
  <c r="N225" i="15"/>
  <c r="AE225" i="15"/>
  <c r="V225" i="15"/>
  <c r="M225" i="15"/>
  <c r="AD263" i="15"/>
  <c r="J277" i="15"/>
  <c r="AB277" i="15"/>
  <c r="I282" i="15"/>
  <c r="AF289" i="15"/>
  <c r="X289" i="15"/>
  <c r="P289" i="15"/>
  <c r="H289" i="15"/>
  <c r="Z289" i="15"/>
  <c r="Q289" i="15"/>
  <c r="G289" i="15"/>
  <c r="AH289" i="15"/>
  <c r="Y289" i="15"/>
  <c r="O289" i="15"/>
  <c r="AG289" i="15"/>
  <c r="W289" i="15"/>
  <c r="N289" i="15"/>
  <c r="AE289" i="15"/>
  <c r="V289" i="15"/>
  <c r="M289" i="15"/>
  <c r="AD295" i="15"/>
  <c r="J310" i="15"/>
  <c r="AC321" i="15"/>
  <c r="K332" i="15"/>
  <c r="AB336" i="15"/>
  <c r="K343" i="15"/>
  <c r="AB358" i="15"/>
  <c r="AF369" i="15"/>
  <c r="X369" i="15"/>
  <c r="P369" i="15"/>
  <c r="H369" i="15"/>
  <c r="Z369" i="15"/>
  <c r="Q369" i="15"/>
  <c r="G369" i="15"/>
  <c r="AH369" i="15"/>
  <c r="Y369" i="15"/>
  <c r="O369" i="15"/>
  <c r="AG369" i="15"/>
  <c r="W369" i="15"/>
  <c r="N369" i="15"/>
  <c r="AE369" i="15"/>
  <c r="V369" i="15"/>
  <c r="M369" i="15"/>
  <c r="AB411" i="15"/>
  <c r="T411" i="15"/>
  <c r="L411" i="15"/>
  <c r="AG411" i="15"/>
  <c r="X411" i="15"/>
  <c r="O411" i="15"/>
  <c r="AF411" i="15"/>
  <c r="W411" i="15"/>
  <c r="N411" i="15"/>
  <c r="AE411" i="15"/>
  <c r="V411" i="15"/>
  <c r="M411" i="15"/>
  <c r="AD411" i="15"/>
  <c r="U411" i="15"/>
  <c r="K411" i="15"/>
  <c r="AB443" i="15"/>
  <c r="T443" i="15"/>
  <c r="L443" i="15"/>
  <c r="AG443" i="15"/>
  <c r="X443" i="15"/>
  <c r="O443" i="15"/>
  <c r="AF443" i="15"/>
  <c r="W443" i="15"/>
  <c r="N443" i="15"/>
  <c r="AE443" i="15"/>
  <c r="V443" i="15"/>
  <c r="M443" i="15"/>
  <c r="AD443" i="15"/>
  <c r="U443" i="15"/>
  <c r="K443" i="15"/>
  <c r="J453" i="15"/>
  <c r="AD458" i="15"/>
  <c r="V458" i="15"/>
  <c r="N458" i="15"/>
  <c r="AF458" i="15"/>
  <c r="W458" i="15"/>
  <c r="M458" i="15"/>
  <c r="AE458" i="15"/>
  <c r="U458" i="15"/>
  <c r="L458" i="15"/>
  <c r="AC458" i="15"/>
  <c r="T458" i="15"/>
  <c r="K458" i="15"/>
  <c r="AB458" i="15"/>
  <c r="S458" i="15"/>
  <c r="J458" i="15"/>
  <c r="AF465" i="15"/>
  <c r="X465" i="15"/>
  <c r="P465" i="15"/>
  <c r="H465" i="15"/>
  <c r="Z465" i="15"/>
  <c r="Q465" i="15"/>
  <c r="G465" i="15"/>
  <c r="AH465" i="15"/>
  <c r="Y465" i="15"/>
  <c r="O465" i="15"/>
  <c r="AG465" i="15"/>
  <c r="W465" i="15"/>
  <c r="N465" i="15"/>
  <c r="AE465" i="15"/>
  <c r="V465" i="15"/>
  <c r="M465" i="15"/>
  <c r="AD506" i="15"/>
  <c r="V506" i="15"/>
  <c r="N506" i="15"/>
  <c r="AF506" i="15"/>
  <c r="W506" i="15"/>
  <c r="M506" i="15"/>
  <c r="AE506" i="15"/>
  <c r="U506" i="15"/>
  <c r="L506" i="15"/>
  <c r="AC506" i="15"/>
  <c r="T506" i="15"/>
  <c r="K506" i="15"/>
  <c r="AB506" i="15"/>
  <c r="S506" i="15"/>
  <c r="J506" i="15"/>
  <c r="J549" i="15"/>
  <c r="I554" i="15"/>
  <c r="AF561" i="15"/>
  <c r="X561" i="15"/>
  <c r="P561" i="15"/>
  <c r="H561" i="15"/>
  <c r="Z561" i="15"/>
  <c r="Q561" i="15"/>
  <c r="G561" i="15"/>
  <c r="AH561" i="15"/>
  <c r="Y561" i="15"/>
  <c r="O561" i="15"/>
  <c r="AG561" i="15"/>
  <c r="W561" i="15"/>
  <c r="N561" i="15"/>
  <c r="AE561" i="15"/>
  <c r="V561" i="15"/>
  <c r="M561" i="15"/>
  <c r="AC572" i="15"/>
  <c r="AH576" i="15"/>
  <c r="Z576" i="15"/>
  <c r="R576" i="15"/>
  <c r="J576" i="15"/>
  <c r="AF576" i="15"/>
  <c r="W576" i="15"/>
  <c r="N576" i="15"/>
  <c r="AE576" i="15"/>
  <c r="V576" i="15"/>
  <c r="M576" i="15"/>
  <c r="AD576" i="15"/>
  <c r="U576" i="15"/>
  <c r="L576" i="15"/>
  <c r="AC576" i="15"/>
  <c r="T576" i="15"/>
  <c r="K576" i="15"/>
  <c r="AH604" i="15"/>
  <c r="Z604" i="15"/>
  <c r="R604" i="15"/>
  <c r="J604" i="15"/>
  <c r="Y604" i="15"/>
  <c r="P604" i="15"/>
  <c r="G604" i="15"/>
  <c r="AG604" i="15"/>
  <c r="X604" i="15"/>
  <c r="O604" i="15"/>
  <c r="AF604" i="15"/>
  <c r="W604" i="15"/>
  <c r="N604" i="15"/>
  <c r="AE604" i="15"/>
  <c r="V604" i="15"/>
  <c r="M604" i="15"/>
  <c r="AC604" i="15"/>
  <c r="J614" i="15"/>
  <c r="K631" i="15"/>
  <c r="AD678" i="15"/>
  <c r="V678" i="15"/>
  <c r="N678" i="15"/>
  <c r="AH678" i="15"/>
  <c r="Y678" i="15"/>
  <c r="P678" i="15"/>
  <c r="G678" i="15"/>
  <c r="AG678" i="15"/>
  <c r="X678" i="15"/>
  <c r="O678" i="15"/>
  <c r="AF678" i="15"/>
  <c r="W678" i="15"/>
  <c r="M678" i="15"/>
  <c r="AE678" i="15"/>
  <c r="U678" i="15"/>
  <c r="L678" i="15"/>
  <c r="J678" i="15"/>
  <c r="K689" i="15"/>
  <c r="AC689" i="15"/>
  <c r="K700" i="15"/>
  <c r="AD743" i="15"/>
  <c r="V743" i="15"/>
  <c r="N743" i="15"/>
  <c r="AB743" i="15"/>
  <c r="T743" i="15"/>
  <c r="L743" i="15"/>
  <c r="AC743" i="15"/>
  <c r="R743" i="15"/>
  <c r="H743" i="15"/>
  <c r="AA743" i="15"/>
  <c r="Q743" i="15"/>
  <c r="G743" i="15"/>
  <c r="Z743" i="15"/>
  <c r="P743" i="15"/>
  <c r="Y743" i="15"/>
  <c r="O743" i="15"/>
  <c r="AB772" i="15"/>
  <c r="T772" i="15"/>
  <c r="L772" i="15"/>
  <c r="AH772" i="15"/>
  <c r="Z772" i="15"/>
  <c r="R772" i="15"/>
  <c r="J772" i="15"/>
  <c r="AD772" i="15"/>
  <c r="S772" i="15"/>
  <c r="H772" i="15"/>
  <c r="AC772" i="15"/>
  <c r="Q772" i="15"/>
  <c r="G772" i="15"/>
  <c r="AA772" i="15"/>
  <c r="P772" i="15"/>
  <c r="Y772" i="15"/>
  <c r="O772" i="15"/>
  <c r="K786" i="15"/>
  <c r="AD807" i="15"/>
  <c r="V807" i="15"/>
  <c r="N807" i="15"/>
  <c r="AB807" i="15"/>
  <c r="T807" i="15"/>
  <c r="L807" i="15"/>
  <c r="AC807" i="15"/>
  <c r="R807" i="15"/>
  <c r="H807" i="15"/>
  <c r="AA807" i="15"/>
  <c r="Q807" i="15"/>
  <c r="G807" i="15"/>
  <c r="Z807" i="15"/>
  <c r="P807" i="15"/>
  <c r="Y807" i="15"/>
  <c r="O807" i="15"/>
  <c r="AG807" i="15"/>
  <c r="K829" i="15"/>
  <c r="K834" i="15"/>
  <c r="K869" i="15"/>
  <c r="M876" i="15"/>
  <c r="AG890" i="15"/>
  <c r="K922" i="15"/>
  <c r="K938" i="15"/>
  <c r="AH957" i="15"/>
  <c r="Z957" i="15"/>
  <c r="R957" i="15"/>
  <c r="J957" i="15"/>
  <c r="AF957" i="15"/>
  <c r="X957" i="15"/>
  <c r="P957" i="15"/>
  <c r="H957" i="15"/>
  <c r="AA957" i="15"/>
  <c r="O957" i="15"/>
  <c r="Y957" i="15"/>
  <c r="N957" i="15"/>
  <c r="W957" i="15"/>
  <c r="M957" i="15"/>
  <c r="AG957" i="15"/>
  <c r="V957" i="15"/>
  <c r="L957" i="15"/>
  <c r="AE957" i="15"/>
  <c r="AB964" i="15"/>
  <c r="T964" i="15"/>
  <c r="L964" i="15"/>
  <c r="AH964" i="15"/>
  <c r="Z964" i="15"/>
  <c r="R964" i="15"/>
  <c r="J964" i="15"/>
  <c r="AD964" i="15"/>
  <c r="S964" i="15"/>
  <c r="H964" i="15"/>
  <c r="AC964" i="15"/>
  <c r="Q964" i="15"/>
  <c r="G964" i="15"/>
  <c r="AA964" i="15"/>
  <c r="P964" i="15"/>
  <c r="Y964" i="15"/>
  <c r="O964" i="15"/>
  <c r="AG964" i="15"/>
  <c r="AB988" i="15"/>
  <c r="T988" i="15"/>
  <c r="L988" i="15"/>
  <c r="AH988" i="15"/>
  <c r="Z988" i="15"/>
  <c r="R988" i="15"/>
  <c r="J988" i="15"/>
  <c r="AD988" i="15"/>
  <c r="S988" i="15"/>
  <c r="H988" i="15"/>
  <c r="AC988" i="15"/>
  <c r="Q988" i="15"/>
  <c r="G988" i="15"/>
  <c r="AA988" i="15"/>
  <c r="P988" i="15"/>
  <c r="Y988" i="15"/>
  <c r="O988" i="15"/>
  <c r="AG988" i="15"/>
  <c r="AF994" i="15"/>
  <c r="X994" i="15"/>
  <c r="P994" i="15"/>
  <c r="H994" i="15"/>
  <c r="AD994" i="15"/>
  <c r="V994" i="15"/>
  <c r="N994" i="15"/>
  <c r="AB994" i="15"/>
  <c r="R994" i="15"/>
  <c r="G994" i="15"/>
  <c r="AA994" i="15"/>
  <c r="Q994" i="15"/>
  <c r="Z994" i="15"/>
  <c r="O994" i="15"/>
  <c r="Y994" i="15"/>
  <c r="M994" i="15"/>
  <c r="AD1007" i="15"/>
  <c r="V1007" i="15"/>
  <c r="N1007" i="15"/>
  <c r="AB1007" i="15"/>
  <c r="T1007" i="15"/>
  <c r="L1007" i="15"/>
  <c r="AC1007" i="15"/>
  <c r="R1007" i="15"/>
  <c r="H1007" i="15"/>
  <c r="AA1007" i="15"/>
  <c r="Q1007" i="15"/>
  <c r="G1007" i="15"/>
  <c r="Z1007" i="15"/>
  <c r="P1007" i="15"/>
  <c r="Y1007" i="15"/>
  <c r="O1007" i="15"/>
  <c r="K1026" i="15"/>
  <c r="AB1044" i="15"/>
  <c r="T1044" i="15"/>
  <c r="L1044" i="15"/>
  <c r="AH1044" i="15"/>
  <c r="Z1044" i="15"/>
  <c r="R1044" i="15"/>
  <c r="J1044" i="15"/>
  <c r="AD1044" i="15"/>
  <c r="S1044" i="15"/>
  <c r="H1044" i="15"/>
  <c r="AC1044" i="15"/>
  <c r="Q1044" i="15"/>
  <c r="G1044" i="15"/>
  <c r="AA1044" i="15"/>
  <c r="P1044" i="15"/>
  <c r="Y1044" i="15"/>
  <c r="O1044" i="15"/>
  <c r="AH1053" i="15"/>
  <c r="Z1053" i="15"/>
  <c r="R1053" i="15"/>
  <c r="J1053" i="15"/>
  <c r="AF1053" i="15"/>
  <c r="X1053" i="15"/>
  <c r="P1053" i="15"/>
  <c r="H1053" i="15"/>
  <c r="AA1053" i="15"/>
  <c r="O1053" i="15"/>
  <c r="Y1053" i="15"/>
  <c r="N1053" i="15"/>
  <c r="W1053" i="15"/>
  <c r="M1053" i="15"/>
  <c r="AG1053" i="15"/>
  <c r="V1053" i="15"/>
  <c r="L1053" i="15"/>
  <c r="AE1053" i="15"/>
  <c r="AD1079" i="15"/>
  <c r="V1079" i="15"/>
  <c r="N1079" i="15"/>
  <c r="AB1079" i="15"/>
  <c r="T1079" i="15"/>
  <c r="L1079" i="15"/>
  <c r="AC1079" i="15"/>
  <c r="R1079" i="15"/>
  <c r="H1079" i="15"/>
  <c r="AA1079" i="15"/>
  <c r="Q1079" i="15"/>
  <c r="G1079" i="15"/>
  <c r="Z1079" i="15"/>
  <c r="P1079" i="15"/>
  <c r="Y1079" i="15"/>
  <c r="O1079" i="15"/>
  <c r="K1098" i="15"/>
  <c r="K1125" i="15"/>
  <c r="I1244" i="15"/>
  <c r="I1267" i="15"/>
  <c r="AB1344" i="15"/>
  <c r="T1344" i="15"/>
  <c r="L1344" i="15"/>
  <c r="AA1344" i="15"/>
  <c r="S1344" i="15"/>
  <c r="K1344" i="15"/>
  <c r="Y1344" i="15"/>
  <c r="O1344" i="15"/>
  <c r="AG1344" i="15"/>
  <c r="W1344" i="15"/>
  <c r="M1344" i="15"/>
  <c r="AH1344" i="15"/>
  <c r="U1344" i="15"/>
  <c r="G1344" i="15"/>
  <c r="AF1344" i="15"/>
  <c r="R1344" i="15"/>
  <c r="AE1344" i="15"/>
  <c r="Q1344" i="15"/>
  <c r="AD1344" i="15"/>
  <c r="P1344" i="15"/>
  <c r="AE1495" i="15"/>
  <c r="W1495" i="15"/>
  <c r="O1495" i="15"/>
  <c r="G1495" i="15"/>
  <c r="AD1495" i="15"/>
  <c r="V1495" i="15"/>
  <c r="N1495" i="15"/>
  <c r="AC1495" i="15"/>
  <c r="U1495" i="15"/>
  <c r="M1495" i="15"/>
  <c r="AF1495" i="15"/>
  <c r="R1495" i="15"/>
  <c r="AA1495" i="15"/>
  <c r="P1495" i="15"/>
  <c r="T1495" i="15"/>
  <c r="S1495" i="15"/>
  <c r="AH1495" i="15"/>
  <c r="Q1495" i="15"/>
  <c r="AG1495" i="15"/>
  <c r="L1495" i="15"/>
  <c r="L1599" i="15"/>
  <c r="AF1611" i="15"/>
  <c r="X1611" i="15"/>
  <c r="P1611" i="15"/>
  <c r="H1611" i="15"/>
  <c r="AE1611" i="15"/>
  <c r="W1611" i="15"/>
  <c r="O1611" i="15"/>
  <c r="G1611" i="15"/>
  <c r="AD1611" i="15"/>
  <c r="V1611" i="15"/>
  <c r="N1611" i="15"/>
  <c r="AC1611" i="15"/>
  <c r="U1611" i="15"/>
  <c r="M1611" i="15"/>
  <c r="AH1611" i="15"/>
  <c r="R1611" i="15"/>
  <c r="AB1611" i="15"/>
  <c r="L1611" i="15"/>
  <c r="AA1611" i="15"/>
  <c r="I1611" i="15"/>
  <c r="Z1611" i="15"/>
  <c r="Y1611" i="15"/>
  <c r="T1611" i="15"/>
  <c r="S1643" i="15"/>
  <c r="I1912" i="15"/>
  <c r="J1920" i="15"/>
  <c r="AD1952" i="15"/>
  <c r="V1952" i="15"/>
  <c r="N1952" i="15"/>
  <c r="AC1952" i="15"/>
  <c r="U1952" i="15"/>
  <c r="M1952" i="15"/>
  <c r="AB1952" i="15"/>
  <c r="T1952" i="15"/>
  <c r="L1952" i="15"/>
  <c r="AA1952" i="15"/>
  <c r="S1952" i="15"/>
  <c r="K1952" i="15"/>
  <c r="AH1952" i="15"/>
  <c r="R1952" i="15"/>
  <c r="AG1952" i="15"/>
  <c r="Q1952" i="15"/>
  <c r="AF1952" i="15"/>
  <c r="P1952" i="15"/>
  <c r="Z1952" i="15"/>
  <c r="G1952" i="15"/>
  <c r="Y1952" i="15"/>
  <c r="X1952" i="15"/>
  <c r="W1952" i="15"/>
  <c r="AF1987" i="15"/>
  <c r="X1987" i="15"/>
  <c r="P1987" i="15"/>
  <c r="H1987" i="15"/>
  <c r="AE1987" i="15"/>
  <c r="W1987" i="15"/>
  <c r="O1987" i="15"/>
  <c r="G1987" i="15"/>
  <c r="AD1987" i="15"/>
  <c r="V1987" i="15"/>
  <c r="N1987" i="15"/>
  <c r="AC1987" i="15"/>
  <c r="U1987" i="15"/>
  <c r="M1987" i="15"/>
  <c r="AH1987" i="15"/>
  <c r="R1987" i="15"/>
  <c r="AG1987" i="15"/>
  <c r="Q1987" i="15"/>
  <c r="AB1987" i="15"/>
  <c r="L1987" i="15"/>
  <c r="I1987" i="15"/>
  <c r="AA1987" i="15"/>
  <c r="Z1987" i="15"/>
  <c r="Y1987" i="15"/>
  <c r="H48" i="16"/>
  <c r="G48" i="16"/>
  <c r="M48" i="16"/>
  <c r="L48" i="16"/>
  <c r="K48" i="16"/>
  <c r="L55" i="16"/>
  <c r="I55" i="16"/>
  <c r="H55" i="16"/>
  <c r="T55" i="16"/>
  <c r="G55" i="16"/>
  <c r="E55" i="16"/>
  <c r="I55" i="9" s="1"/>
  <c r="K55" i="16"/>
  <c r="J55" i="16"/>
  <c r="J78" i="16"/>
  <c r="I78" i="16"/>
  <c r="P84" i="16"/>
  <c r="H84" i="9" s="1"/>
  <c r="F84" i="16"/>
  <c r="H176" i="16"/>
  <c r="G176" i="16"/>
  <c r="F176" i="16"/>
  <c r="I176" i="16"/>
  <c r="E176" i="16"/>
  <c r="I176" i="9" s="1"/>
  <c r="J176" i="16"/>
  <c r="M176" i="16"/>
  <c r="L176" i="16"/>
  <c r="K176" i="16"/>
  <c r="T176" i="16"/>
  <c r="J208" i="16"/>
  <c r="I208" i="16"/>
  <c r="L252" i="16"/>
  <c r="K252" i="16"/>
  <c r="J252" i="16"/>
  <c r="G252" i="16"/>
  <c r="O252" i="16" s="1"/>
  <c r="P252" i="16"/>
  <c r="H252" i="9" s="1"/>
  <c r="E252" i="16"/>
  <c r="I252" i="16"/>
  <c r="H252" i="16"/>
  <c r="M252" i="16"/>
  <c r="J518" i="16"/>
  <c r="M518" i="16"/>
  <c r="L518" i="16"/>
  <c r="K518" i="16"/>
  <c r="G518" i="16"/>
  <c r="E518" i="16"/>
  <c r="O545" i="16"/>
  <c r="G545" i="16"/>
  <c r="M545" i="16"/>
  <c r="E545" i="16"/>
  <c r="I545" i="9" s="1"/>
  <c r="I545" i="16"/>
  <c r="H545" i="16"/>
  <c r="T545" i="16"/>
  <c r="K545" i="16"/>
  <c r="J545" i="16"/>
  <c r="L545" i="16"/>
  <c r="F596" i="16"/>
  <c r="T596" i="16"/>
  <c r="P596" i="16"/>
  <c r="H596" i="9" s="1"/>
  <c r="K961" i="16"/>
  <c r="I961" i="16"/>
  <c r="H961" i="16"/>
  <c r="G990" i="16"/>
  <c r="M990" i="16"/>
  <c r="L990" i="16"/>
  <c r="K990" i="16"/>
  <c r="L1076" i="16"/>
  <c r="K1076" i="16"/>
  <c r="J1076" i="16"/>
  <c r="G1076" i="16"/>
  <c r="F1076" i="16"/>
  <c r="E1076" i="16"/>
  <c r="M1076" i="16"/>
  <c r="I1076" i="16"/>
  <c r="H1076" i="16"/>
  <c r="K1265" i="16"/>
  <c r="J1265" i="16"/>
  <c r="I1265" i="16"/>
  <c r="M1419" i="16"/>
  <c r="E1419" i="16"/>
  <c r="L1419" i="16"/>
  <c r="K1419" i="16"/>
  <c r="T1419" i="16"/>
  <c r="F1419" i="16"/>
  <c r="P1419" i="16"/>
  <c r="O1419" i="16"/>
  <c r="N1419" i="16"/>
  <c r="G1419" i="16"/>
  <c r="I1419" i="16"/>
  <c r="H1419" i="16"/>
  <c r="J1419" i="16"/>
  <c r="J27" i="15"/>
  <c r="AC27" i="15"/>
  <c r="H34" i="15"/>
  <c r="G34" i="15"/>
  <c r="AE36" i="15"/>
  <c r="O36" i="7" s="1"/>
  <c r="M39" i="15"/>
  <c r="AB55" i="15"/>
  <c r="L55" i="15"/>
  <c r="Z55" i="15"/>
  <c r="Q55" i="15"/>
  <c r="H55" i="15"/>
  <c r="Y55" i="15"/>
  <c r="P55" i="15"/>
  <c r="G55" i="15"/>
  <c r="X55" i="15"/>
  <c r="AG55" i="15" s="1"/>
  <c r="Q55" i="7" s="1"/>
  <c r="O55" i="15"/>
  <c r="W55" i="15"/>
  <c r="N55" i="15"/>
  <c r="AF55" i="15" s="1"/>
  <c r="K55" i="15"/>
  <c r="V90" i="15"/>
  <c r="N90" i="15"/>
  <c r="W90" i="15"/>
  <c r="M90" i="15"/>
  <c r="U90" i="15"/>
  <c r="L90" i="15"/>
  <c r="AC90" i="15"/>
  <c r="K90" i="15"/>
  <c r="AB90" i="15"/>
  <c r="S90" i="15"/>
  <c r="J90" i="15"/>
  <c r="I90" i="15"/>
  <c r="AA90" i="15"/>
  <c r="K105" i="15"/>
  <c r="I105" i="15"/>
  <c r="AG105" i="15" s="1"/>
  <c r="Q105" i="7" s="1"/>
  <c r="Z124" i="15"/>
  <c r="R124" i="15"/>
  <c r="J124" i="15"/>
  <c r="Y124" i="15"/>
  <c r="P124" i="15"/>
  <c r="G124" i="15"/>
  <c r="AG124" i="15"/>
  <c r="Q124" i="7" s="1"/>
  <c r="X124" i="15"/>
  <c r="O124" i="15"/>
  <c r="W124" i="15"/>
  <c r="N124" i="15"/>
  <c r="AE124" i="15"/>
  <c r="O124" i="7" s="1"/>
  <c r="V124" i="15"/>
  <c r="M124" i="15"/>
  <c r="AF124" i="15" s="1"/>
  <c r="K153" i="15"/>
  <c r="I153" i="15"/>
  <c r="AC161" i="15"/>
  <c r="AF181" i="15"/>
  <c r="X181" i="15"/>
  <c r="P181" i="15"/>
  <c r="H181" i="15"/>
  <c r="AG181" i="15"/>
  <c r="W181" i="15"/>
  <c r="N181" i="15"/>
  <c r="AE181" i="15"/>
  <c r="V181" i="15"/>
  <c r="M181" i="15"/>
  <c r="AD181" i="15"/>
  <c r="U181" i="15"/>
  <c r="L181" i="15"/>
  <c r="AC181" i="15"/>
  <c r="T181" i="15"/>
  <c r="K181" i="15"/>
  <c r="AB181" i="15"/>
  <c r="J197" i="15"/>
  <c r="AG218" i="15"/>
  <c r="K236" i="15"/>
  <c r="J245" i="15"/>
  <c r="I250" i="15"/>
  <c r="M263" i="15"/>
  <c r="O277" i="15"/>
  <c r="O282" i="15"/>
  <c r="AG282" i="15"/>
  <c r="AE295" i="15"/>
  <c r="AC310" i="15"/>
  <c r="O336" i="15"/>
  <c r="J373" i="15"/>
  <c r="AB373" i="15"/>
  <c r="AA378" i="15"/>
  <c r="AC385" i="15"/>
  <c r="K396" i="15"/>
  <c r="AH400" i="15"/>
  <c r="Z400" i="15"/>
  <c r="R400" i="15"/>
  <c r="J400" i="15"/>
  <c r="AF400" i="15"/>
  <c r="W400" i="15"/>
  <c r="N400" i="15"/>
  <c r="AE400" i="15"/>
  <c r="V400" i="15"/>
  <c r="M400" i="15"/>
  <c r="AD400" i="15"/>
  <c r="U400" i="15"/>
  <c r="L400" i="15"/>
  <c r="AC400" i="15"/>
  <c r="T400" i="15"/>
  <c r="K400" i="15"/>
  <c r="K407" i="15"/>
  <c r="O453" i="15"/>
  <c r="AH453" i="15"/>
  <c r="O458" i="15"/>
  <c r="AG458" i="15"/>
  <c r="I474" i="15"/>
  <c r="AD490" i="15"/>
  <c r="V490" i="15"/>
  <c r="N490" i="15"/>
  <c r="AF490" i="15"/>
  <c r="W490" i="15"/>
  <c r="M490" i="15"/>
  <c r="AE490" i="15"/>
  <c r="U490" i="15"/>
  <c r="L490" i="15"/>
  <c r="AC490" i="15"/>
  <c r="T490" i="15"/>
  <c r="K490" i="15"/>
  <c r="AB490" i="15"/>
  <c r="S490" i="15"/>
  <c r="J490" i="15"/>
  <c r="AA490" i="15"/>
  <c r="I512" i="15"/>
  <c r="AD518" i="15"/>
  <c r="V518" i="15"/>
  <c r="N518" i="15"/>
  <c r="AH518" i="15"/>
  <c r="Y518" i="15"/>
  <c r="P518" i="15"/>
  <c r="G518" i="15"/>
  <c r="AG518" i="15"/>
  <c r="X518" i="15"/>
  <c r="O518" i="15"/>
  <c r="AF518" i="15"/>
  <c r="W518" i="15"/>
  <c r="M518" i="15"/>
  <c r="AE518" i="15"/>
  <c r="U518" i="15"/>
  <c r="L518" i="15"/>
  <c r="J518" i="15"/>
  <c r="AB518" i="15"/>
  <c r="J533" i="15"/>
  <c r="AD538" i="15"/>
  <c r="V538" i="15"/>
  <c r="N538" i="15"/>
  <c r="AF538" i="15"/>
  <c r="W538" i="15"/>
  <c r="M538" i="15"/>
  <c r="AE538" i="15"/>
  <c r="U538" i="15"/>
  <c r="L538" i="15"/>
  <c r="AC538" i="15"/>
  <c r="T538" i="15"/>
  <c r="K538" i="15"/>
  <c r="AB538" i="15"/>
  <c r="S538" i="15"/>
  <c r="J538" i="15"/>
  <c r="AF545" i="15"/>
  <c r="X545" i="15"/>
  <c r="P545" i="15"/>
  <c r="H545" i="15"/>
  <c r="Z545" i="15"/>
  <c r="Q545" i="15"/>
  <c r="G545" i="15"/>
  <c r="AH545" i="15"/>
  <c r="Y545" i="15"/>
  <c r="O545" i="15"/>
  <c r="AG545" i="15"/>
  <c r="W545" i="15"/>
  <c r="N545" i="15"/>
  <c r="AE545" i="15"/>
  <c r="V545" i="15"/>
  <c r="M545" i="15"/>
  <c r="O549" i="15"/>
  <c r="O576" i="15"/>
  <c r="K582" i="15"/>
  <c r="AC582" i="15"/>
  <c r="I586" i="15"/>
  <c r="J598" i="15"/>
  <c r="L604" i="15"/>
  <c r="AD618" i="15"/>
  <c r="V618" i="15"/>
  <c r="N618" i="15"/>
  <c r="AF618" i="15"/>
  <c r="W618" i="15"/>
  <c r="M618" i="15"/>
  <c r="AE618" i="15"/>
  <c r="U618" i="15"/>
  <c r="L618" i="15"/>
  <c r="AC618" i="15"/>
  <c r="T618" i="15"/>
  <c r="K618" i="15"/>
  <c r="AB618" i="15"/>
  <c r="S618" i="15"/>
  <c r="J618" i="15"/>
  <c r="M631" i="15"/>
  <c r="I651" i="15"/>
  <c r="AH668" i="15"/>
  <c r="Z668" i="15"/>
  <c r="R668" i="15"/>
  <c r="J668" i="15"/>
  <c r="Y668" i="15"/>
  <c r="P668" i="15"/>
  <c r="G668" i="15"/>
  <c r="AG668" i="15"/>
  <c r="X668" i="15"/>
  <c r="O668" i="15"/>
  <c r="AF668" i="15"/>
  <c r="W668" i="15"/>
  <c r="N668" i="15"/>
  <c r="AE668" i="15"/>
  <c r="V668" i="15"/>
  <c r="M668" i="15"/>
  <c r="AB672" i="15"/>
  <c r="L689" i="15"/>
  <c r="K716" i="15"/>
  <c r="AB726" i="15"/>
  <c r="M743" i="15"/>
  <c r="AD751" i="15"/>
  <c r="V751" i="15"/>
  <c r="N751" i="15"/>
  <c r="AB751" i="15"/>
  <c r="T751" i="15"/>
  <c r="L751" i="15"/>
  <c r="AC751" i="15"/>
  <c r="R751" i="15"/>
  <c r="H751" i="15"/>
  <c r="AA751" i="15"/>
  <c r="Q751" i="15"/>
  <c r="G751" i="15"/>
  <c r="Z751" i="15"/>
  <c r="P751" i="15"/>
  <c r="Y751" i="15"/>
  <c r="O751" i="15"/>
  <c r="AG751" i="15"/>
  <c r="N772" i="15"/>
  <c r="AE773" i="15"/>
  <c r="AG780" i="15"/>
  <c r="M807" i="15"/>
  <c r="AD815" i="15"/>
  <c r="V815" i="15"/>
  <c r="N815" i="15"/>
  <c r="AB815" i="15"/>
  <c r="T815" i="15"/>
  <c r="L815" i="15"/>
  <c r="AC815" i="15"/>
  <c r="R815" i="15"/>
  <c r="H815" i="15"/>
  <c r="AA815" i="15"/>
  <c r="Q815" i="15"/>
  <c r="G815" i="15"/>
  <c r="Z815" i="15"/>
  <c r="P815" i="15"/>
  <c r="Y815" i="15"/>
  <c r="O815" i="15"/>
  <c r="Q829" i="15"/>
  <c r="AF842" i="15"/>
  <c r="X842" i="15"/>
  <c r="P842" i="15"/>
  <c r="H842" i="15"/>
  <c r="AD842" i="15"/>
  <c r="V842" i="15"/>
  <c r="N842" i="15"/>
  <c r="AB842" i="15"/>
  <c r="R842" i="15"/>
  <c r="G842" i="15"/>
  <c r="AA842" i="15"/>
  <c r="Q842" i="15"/>
  <c r="Z842" i="15"/>
  <c r="O842" i="15"/>
  <c r="Y842" i="15"/>
  <c r="M842" i="15"/>
  <c r="AG842" i="15"/>
  <c r="AD855" i="15"/>
  <c r="V855" i="15"/>
  <c r="N855" i="15"/>
  <c r="AB855" i="15"/>
  <c r="T855" i="15"/>
  <c r="L855" i="15"/>
  <c r="AC855" i="15"/>
  <c r="R855" i="15"/>
  <c r="H855" i="15"/>
  <c r="AA855" i="15"/>
  <c r="Q855" i="15"/>
  <c r="G855" i="15"/>
  <c r="Z855" i="15"/>
  <c r="P855" i="15"/>
  <c r="Y855" i="15"/>
  <c r="O855" i="15"/>
  <c r="N876" i="15"/>
  <c r="K877" i="15"/>
  <c r="M884" i="15"/>
  <c r="L890" i="15"/>
  <c r="L906" i="15"/>
  <c r="L922" i="15"/>
  <c r="K965" i="15"/>
  <c r="N988" i="15"/>
  <c r="L994" i="15"/>
  <c r="AF1018" i="15"/>
  <c r="X1018" i="15"/>
  <c r="P1018" i="15"/>
  <c r="H1018" i="15"/>
  <c r="AD1018" i="15"/>
  <c r="V1018" i="15"/>
  <c r="N1018" i="15"/>
  <c r="AB1018" i="15"/>
  <c r="R1018" i="15"/>
  <c r="G1018" i="15"/>
  <c r="AA1018" i="15"/>
  <c r="Q1018" i="15"/>
  <c r="Z1018" i="15"/>
  <c r="O1018" i="15"/>
  <c r="Y1018" i="15"/>
  <c r="M1018" i="15"/>
  <c r="AH1026" i="15"/>
  <c r="AB1036" i="15"/>
  <c r="T1036" i="15"/>
  <c r="L1036" i="15"/>
  <c r="AH1036" i="15"/>
  <c r="Z1036" i="15"/>
  <c r="R1036" i="15"/>
  <c r="J1036" i="15"/>
  <c r="AD1036" i="15"/>
  <c r="S1036" i="15"/>
  <c r="H1036" i="15"/>
  <c r="AC1036" i="15"/>
  <c r="Q1036" i="15"/>
  <c r="G1036" i="15"/>
  <c r="AA1036" i="15"/>
  <c r="P1036" i="15"/>
  <c r="Y1036" i="15"/>
  <c r="O1036" i="15"/>
  <c r="AG1036" i="15"/>
  <c r="N1044" i="15"/>
  <c r="K1045" i="15"/>
  <c r="Q1053" i="15"/>
  <c r="AG1066" i="15"/>
  <c r="K1087" i="15"/>
  <c r="AG1087" i="15"/>
  <c r="AH1098" i="15"/>
  <c r="K1106" i="15"/>
  <c r="K1133" i="15"/>
  <c r="N1168" i="15"/>
  <c r="O1201" i="15"/>
  <c r="I1211" i="15"/>
  <c r="K1224" i="15"/>
  <c r="I1227" i="15"/>
  <c r="AH1227" i="15"/>
  <c r="Q1244" i="15"/>
  <c r="AD1251" i="15"/>
  <c r="V1251" i="15"/>
  <c r="N1251" i="15"/>
  <c r="AC1251" i="15"/>
  <c r="U1251" i="15"/>
  <c r="M1251" i="15"/>
  <c r="Y1251" i="15"/>
  <c r="O1251" i="15"/>
  <c r="AG1251" i="15"/>
  <c r="W1251" i="15"/>
  <c r="K1251" i="15"/>
  <c r="AF1251" i="15"/>
  <c r="R1251" i="15"/>
  <c r="AE1251" i="15"/>
  <c r="Q1251" i="15"/>
  <c r="AB1251" i="15"/>
  <c r="P1251" i="15"/>
  <c r="AA1251" i="15"/>
  <c r="L1251" i="15"/>
  <c r="R1267" i="15"/>
  <c r="N1344" i="15"/>
  <c r="AC1400" i="15"/>
  <c r="U1400" i="15"/>
  <c r="M1400" i="15"/>
  <c r="AB1400" i="15"/>
  <c r="T1400" i="15"/>
  <c r="L1400" i="15"/>
  <c r="AA1400" i="15"/>
  <c r="S1400" i="15"/>
  <c r="K1400" i="15"/>
  <c r="AE1400" i="15"/>
  <c r="Q1400" i="15"/>
  <c r="Z1400" i="15"/>
  <c r="O1400" i="15"/>
  <c r="W1400" i="15"/>
  <c r="G1400" i="15"/>
  <c r="V1400" i="15"/>
  <c r="AH1400" i="15"/>
  <c r="R1400" i="15"/>
  <c r="AG1400" i="15"/>
  <c r="P1400" i="15"/>
  <c r="AC1408" i="15"/>
  <c r="U1408" i="15"/>
  <c r="M1408" i="15"/>
  <c r="AB1408" i="15"/>
  <c r="T1408" i="15"/>
  <c r="L1408" i="15"/>
  <c r="AA1408" i="15"/>
  <c r="S1408" i="15"/>
  <c r="K1408" i="15"/>
  <c r="Z1408" i="15"/>
  <c r="O1408" i="15"/>
  <c r="X1408" i="15"/>
  <c r="J1408" i="15"/>
  <c r="AH1408" i="15"/>
  <c r="R1408" i="15"/>
  <c r="AG1408" i="15"/>
  <c r="Q1408" i="15"/>
  <c r="AF1408" i="15"/>
  <c r="P1408" i="15"/>
  <c r="AE1408" i="15"/>
  <c r="N1408" i="15"/>
  <c r="AC1432" i="15"/>
  <c r="U1432" i="15"/>
  <c r="M1432" i="15"/>
  <c r="AB1432" i="15"/>
  <c r="T1432" i="15"/>
  <c r="L1432" i="15"/>
  <c r="AA1432" i="15"/>
  <c r="S1432" i="15"/>
  <c r="K1432" i="15"/>
  <c r="AE1432" i="15"/>
  <c r="Q1432" i="15"/>
  <c r="Z1432" i="15"/>
  <c r="O1432" i="15"/>
  <c r="X1432" i="15"/>
  <c r="H1432" i="15"/>
  <c r="W1432" i="15"/>
  <c r="G1432" i="15"/>
  <c r="V1432" i="15"/>
  <c r="AH1432" i="15"/>
  <c r="R1432" i="15"/>
  <c r="AC1440" i="15"/>
  <c r="U1440" i="15"/>
  <c r="M1440" i="15"/>
  <c r="AB1440" i="15"/>
  <c r="T1440" i="15"/>
  <c r="L1440" i="15"/>
  <c r="AA1440" i="15"/>
  <c r="S1440" i="15"/>
  <c r="K1440" i="15"/>
  <c r="Z1440" i="15"/>
  <c r="O1440" i="15"/>
  <c r="X1440" i="15"/>
  <c r="J1440" i="15"/>
  <c r="V1440" i="15"/>
  <c r="AH1440" i="15"/>
  <c r="R1440" i="15"/>
  <c r="AG1440" i="15"/>
  <c r="Q1440" i="15"/>
  <c r="AF1440" i="15"/>
  <c r="P1440" i="15"/>
  <c r="J1463" i="15"/>
  <c r="L1519" i="15"/>
  <c r="J1552" i="15"/>
  <c r="I1584" i="15"/>
  <c r="AD1648" i="15"/>
  <c r="V1648" i="15"/>
  <c r="N1648" i="15"/>
  <c r="AC1648" i="15"/>
  <c r="U1648" i="15"/>
  <c r="M1648" i="15"/>
  <c r="AB1648" i="15"/>
  <c r="T1648" i="15"/>
  <c r="L1648" i="15"/>
  <c r="AA1648" i="15"/>
  <c r="S1648" i="15"/>
  <c r="K1648" i="15"/>
  <c r="AF1648" i="15"/>
  <c r="P1648" i="15"/>
  <c r="AE1648" i="15"/>
  <c r="O1648" i="15"/>
  <c r="Z1648" i="15"/>
  <c r="J1648" i="15"/>
  <c r="AH1648" i="15"/>
  <c r="H1648" i="15"/>
  <c r="AG1648" i="15"/>
  <c r="G1648" i="15"/>
  <c r="Y1648" i="15"/>
  <c r="X1648" i="15"/>
  <c r="J1716" i="15"/>
  <c r="Y1912" i="15"/>
  <c r="O1920" i="15"/>
  <c r="S1963" i="15"/>
  <c r="O1976" i="15"/>
  <c r="P25" i="16"/>
  <c r="H25" i="9" s="1"/>
  <c r="F25" i="16"/>
  <c r="L244" i="16"/>
  <c r="K244" i="16"/>
  <c r="J244" i="16"/>
  <c r="H244" i="16"/>
  <c r="G244" i="16"/>
  <c r="O244" i="16" s="1"/>
  <c r="T244" i="16"/>
  <c r="F244" i="16"/>
  <c r="P244" i="16"/>
  <c r="H244" i="9" s="1"/>
  <c r="E244" i="16"/>
  <c r="I244" i="9" s="1"/>
  <c r="M244" i="16"/>
  <c r="I244" i="16"/>
  <c r="M347" i="16"/>
  <c r="E347" i="16"/>
  <c r="L347" i="16"/>
  <c r="K347" i="16"/>
  <c r="I347" i="16"/>
  <c r="H347" i="16"/>
  <c r="G347" i="16"/>
  <c r="F347" i="16"/>
  <c r="O347" i="16"/>
  <c r="J347" i="16"/>
  <c r="M875" i="16"/>
  <c r="E875" i="16"/>
  <c r="L875" i="16"/>
  <c r="K875" i="16"/>
  <c r="G875" i="16"/>
  <c r="O875" i="16"/>
  <c r="I875" i="16"/>
  <c r="H875" i="16"/>
  <c r="J875" i="16"/>
  <c r="H1265" i="16"/>
  <c r="P1416" i="16"/>
  <c r="H1416" i="16"/>
  <c r="O1416" i="16"/>
  <c r="G1416" i="16"/>
  <c r="N1416" i="16"/>
  <c r="F1416" i="16"/>
  <c r="J1416" i="16"/>
  <c r="I1416" i="16"/>
  <c r="E1416" i="16"/>
  <c r="T1416" i="16"/>
  <c r="M1416" i="16"/>
  <c r="L1416" i="16"/>
  <c r="K1416" i="16"/>
  <c r="M3173" i="16"/>
  <c r="E3173" i="16"/>
  <c r="L3173" i="16"/>
  <c r="T3173" i="16"/>
  <c r="G3173" i="16"/>
  <c r="P3173" i="16"/>
  <c r="F3173" i="16"/>
  <c r="O3173" i="16"/>
  <c r="I3173" i="16"/>
  <c r="H3173" i="16"/>
  <c r="J3173" i="16"/>
  <c r="N3173" i="16"/>
  <c r="K3173" i="16"/>
  <c r="M3317" i="16"/>
  <c r="E3317" i="16"/>
  <c r="L3317" i="16"/>
  <c r="I3317" i="16"/>
  <c r="H3317" i="16"/>
  <c r="T3317" i="16"/>
  <c r="G3317" i="16"/>
  <c r="P3317" i="16"/>
  <c r="N3317" i="16"/>
  <c r="J3317" i="16"/>
  <c r="F3317" i="16"/>
  <c r="O3317" i="16"/>
  <c r="K3317" i="16"/>
  <c r="AG170" i="17"/>
  <c r="AG66" i="17"/>
  <c r="AG132" i="17"/>
  <c r="I84" i="9"/>
  <c r="U13" i="15"/>
  <c r="Z16" i="15"/>
  <c r="R16" i="15"/>
  <c r="J16" i="15"/>
  <c r="AF16" i="15"/>
  <c r="W16" i="15"/>
  <c r="N16" i="15"/>
  <c r="AE16" i="15" s="1"/>
  <c r="O16" i="7" s="1"/>
  <c r="V16" i="15"/>
  <c r="M16" i="15"/>
  <c r="U16" i="15"/>
  <c r="L16" i="15"/>
  <c r="AC16" i="15"/>
  <c r="AG16" i="15" s="1"/>
  <c r="Q16" i="7" s="1"/>
  <c r="K16" i="15"/>
  <c r="I16" i="15"/>
  <c r="AB16" i="15"/>
  <c r="P27" i="15"/>
  <c r="J43" i="15"/>
  <c r="AC43" i="15"/>
  <c r="AG43" i="15" s="1"/>
  <c r="Q43" i="7" s="1"/>
  <c r="H50" i="15"/>
  <c r="G50" i="15"/>
  <c r="I77" i="15"/>
  <c r="G77" i="15"/>
  <c r="Q101" i="15"/>
  <c r="V102" i="15"/>
  <c r="N102" i="15"/>
  <c r="Y102" i="15"/>
  <c r="P102" i="15"/>
  <c r="G102" i="15"/>
  <c r="X102" i="15"/>
  <c r="O102" i="15"/>
  <c r="W102" i="15"/>
  <c r="M102" i="15"/>
  <c r="U102" i="15"/>
  <c r="L102" i="15"/>
  <c r="J102" i="15"/>
  <c r="AB102" i="15"/>
  <c r="X133" i="15"/>
  <c r="AG133" i="15" s="1"/>
  <c r="Q133" i="7" s="1"/>
  <c r="P133" i="15"/>
  <c r="H133" i="15"/>
  <c r="W133" i="15"/>
  <c r="N133" i="15"/>
  <c r="AE133" i="15"/>
  <c r="O133" i="7" s="1"/>
  <c r="V133" i="15"/>
  <c r="M133" i="15"/>
  <c r="AF133" i="15" s="1"/>
  <c r="U133" i="15"/>
  <c r="L133" i="15"/>
  <c r="AC133" i="15"/>
  <c r="K133" i="15"/>
  <c r="J133" i="15"/>
  <c r="AB133" i="15"/>
  <c r="X149" i="15"/>
  <c r="P149" i="15"/>
  <c r="H149" i="15"/>
  <c r="W149" i="15"/>
  <c r="N149" i="15"/>
  <c r="AF149" i="15" s="1"/>
  <c r="AE149" i="15"/>
  <c r="O149" i="7" s="1"/>
  <c r="V149" i="15"/>
  <c r="M149" i="15"/>
  <c r="U149" i="15"/>
  <c r="L149" i="15"/>
  <c r="AC149" i="15"/>
  <c r="AG149" i="15" s="1"/>
  <c r="Q149" i="7" s="1"/>
  <c r="K149" i="15"/>
  <c r="J149" i="15"/>
  <c r="AB149" i="15"/>
  <c r="AH181" i="15"/>
  <c r="AH188" i="15"/>
  <c r="Z188" i="15"/>
  <c r="R188" i="15"/>
  <c r="J188" i="15"/>
  <c r="Y188" i="15"/>
  <c r="P188" i="15"/>
  <c r="G188" i="15"/>
  <c r="AG188" i="15"/>
  <c r="X188" i="15"/>
  <c r="O188" i="15"/>
  <c r="AF188" i="15"/>
  <c r="W188" i="15"/>
  <c r="N188" i="15"/>
  <c r="AE188" i="15"/>
  <c r="V188" i="15"/>
  <c r="M188" i="15"/>
  <c r="O197" i="15"/>
  <c r="AC204" i="15"/>
  <c r="AD214" i="15"/>
  <c r="V214" i="15"/>
  <c r="N214" i="15"/>
  <c r="AH214" i="15"/>
  <c r="Y214" i="15"/>
  <c r="P214" i="15"/>
  <c r="G214" i="15"/>
  <c r="AG214" i="15"/>
  <c r="X214" i="15"/>
  <c r="O214" i="15"/>
  <c r="AF214" i="15"/>
  <c r="W214" i="15"/>
  <c r="M214" i="15"/>
  <c r="AE214" i="15"/>
  <c r="U214" i="15"/>
  <c r="L214" i="15"/>
  <c r="P218" i="15"/>
  <c r="R225" i="15"/>
  <c r="O245" i="15"/>
  <c r="AH245" i="15"/>
  <c r="O250" i="15"/>
  <c r="I256" i="15"/>
  <c r="R263" i="15"/>
  <c r="K268" i="15"/>
  <c r="AB272" i="15"/>
  <c r="P282" i="15"/>
  <c r="AH300" i="15"/>
  <c r="Z300" i="15"/>
  <c r="R300" i="15"/>
  <c r="J300" i="15"/>
  <c r="Y300" i="15"/>
  <c r="P300" i="15"/>
  <c r="G300" i="15"/>
  <c r="AG300" i="15"/>
  <c r="X300" i="15"/>
  <c r="O300" i="15"/>
  <c r="AF300" i="15"/>
  <c r="W300" i="15"/>
  <c r="N300" i="15"/>
  <c r="AE300" i="15"/>
  <c r="V300" i="15"/>
  <c r="M300" i="15"/>
  <c r="AH304" i="15"/>
  <c r="Z304" i="15"/>
  <c r="R304" i="15"/>
  <c r="J304" i="15"/>
  <c r="AF304" i="15"/>
  <c r="W304" i="15"/>
  <c r="N304" i="15"/>
  <c r="AE304" i="15"/>
  <c r="V304" i="15"/>
  <c r="M304" i="15"/>
  <c r="AD304" i="15"/>
  <c r="U304" i="15"/>
  <c r="L304" i="15"/>
  <c r="AC304" i="15"/>
  <c r="T304" i="15"/>
  <c r="K304" i="15"/>
  <c r="Q310" i="15"/>
  <c r="AD311" i="15"/>
  <c r="I315" i="15"/>
  <c r="J325" i="15"/>
  <c r="AD330" i="15"/>
  <c r="V330" i="15"/>
  <c r="N330" i="15"/>
  <c r="AF330" i="15"/>
  <c r="W330" i="15"/>
  <c r="M330" i="15"/>
  <c r="AE330" i="15"/>
  <c r="U330" i="15"/>
  <c r="L330" i="15"/>
  <c r="AC330" i="15"/>
  <c r="T330" i="15"/>
  <c r="K330" i="15"/>
  <c r="AB330" i="15"/>
  <c r="S330" i="15"/>
  <c r="J330" i="15"/>
  <c r="Q332" i="15"/>
  <c r="K337" i="15"/>
  <c r="AB352" i="15"/>
  <c r="AB363" i="15"/>
  <c r="T363" i="15"/>
  <c r="L363" i="15"/>
  <c r="AG363" i="15"/>
  <c r="X363" i="15"/>
  <c r="O363" i="15"/>
  <c r="AF363" i="15"/>
  <c r="W363" i="15"/>
  <c r="N363" i="15"/>
  <c r="AE363" i="15"/>
  <c r="V363" i="15"/>
  <c r="M363" i="15"/>
  <c r="AD363" i="15"/>
  <c r="U363" i="15"/>
  <c r="K363" i="15"/>
  <c r="AH373" i="15"/>
  <c r="O378" i="15"/>
  <c r="AG378" i="15"/>
  <c r="AH421" i="15"/>
  <c r="J454" i="15"/>
  <c r="P458" i="15"/>
  <c r="R465" i="15"/>
  <c r="AG474" i="15"/>
  <c r="AG490" i="15"/>
  <c r="J501" i="15"/>
  <c r="O512" i="15"/>
  <c r="K518" i="15"/>
  <c r="AC518" i="15"/>
  <c r="AA523" i="15"/>
  <c r="AG538" i="15"/>
  <c r="L545" i="15"/>
  <c r="Q549" i="15"/>
  <c r="AF565" i="15"/>
  <c r="X565" i="15"/>
  <c r="P565" i="15"/>
  <c r="H565" i="15"/>
  <c r="AG565" i="15"/>
  <c r="W565" i="15"/>
  <c r="N565" i="15"/>
  <c r="AE565" i="15"/>
  <c r="V565" i="15"/>
  <c r="M565" i="15"/>
  <c r="AD565" i="15"/>
  <c r="U565" i="15"/>
  <c r="L565" i="15"/>
  <c r="AC565" i="15"/>
  <c r="T565" i="15"/>
  <c r="K565" i="15"/>
  <c r="AA570" i="15"/>
  <c r="Q572" i="15"/>
  <c r="AF577" i="15"/>
  <c r="X577" i="15"/>
  <c r="P577" i="15"/>
  <c r="H577" i="15"/>
  <c r="Z577" i="15"/>
  <c r="Q577" i="15"/>
  <c r="G577" i="15"/>
  <c r="AH577" i="15"/>
  <c r="Y577" i="15"/>
  <c r="O577" i="15"/>
  <c r="AG577" i="15"/>
  <c r="W577" i="15"/>
  <c r="N577" i="15"/>
  <c r="AE577" i="15"/>
  <c r="V577" i="15"/>
  <c r="M577" i="15"/>
  <c r="Q582" i="15"/>
  <c r="AG586" i="15"/>
  <c r="AB592" i="15"/>
  <c r="K598" i="15"/>
  <c r="AA602" i="15"/>
  <c r="Q614" i="15"/>
  <c r="AD615" i="15"/>
  <c r="I624" i="15"/>
  <c r="R631" i="15"/>
  <c r="AB635" i="15"/>
  <c r="T635" i="15"/>
  <c r="L635" i="15"/>
  <c r="AG635" i="15"/>
  <c r="X635" i="15"/>
  <c r="O635" i="15"/>
  <c r="AF635" i="15"/>
  <c r="W635" i="15"/>
  <c r="N635" i="15"/>
  <c r="AE635" i="15"/>
  <c r="V635" i="15"/>
  <c r="M635" i="15"/>
  <c r="AD635" i="15"/>
  <c r="U635" i="15"/>
  <c r="K635" i="15"/>
  <c r="AG672" i="15"/>
  <c r="K679" i="15"/>
  <c r="AC683" i="15"/>
  <c r="L716" i="15"/>
  <c r="I731" i="15"/>
  <c r="S743" i="15"/>
  <c r="M751" i="15"/>
  <c r="AH751" i="15"/>
  <c r="K759" i="15"/>
  <c r="S765" i="15"/>
  <c r="Q773" i="15"/>
  <c r="K781" i="15"/>
  <c r="S786" i="15"/>
  <c r="AB788" i="15"/>
  <c r="T788" i="15"/>
  <c r="L788" i="15"/>
  <c r="AH788" i="15"/>
  <c r="Z788" i="15"/>
  <c r="R788" i="15"/>
  <c r="J788" i="15"/>
  <c r="AD788" i="15"/>
  <c r="S788" i="15"/>
  <c r="H788" i="15"/>
  <c r="AC788" i="15"/>
  <c r="Q788" i="15"/>
  <c r="G788" i="15"/>
  <c r="AA788" i="15"/>
  <c r="P788" i="15"/>
  <c r="Y788" i="15"/>
  <c r="O788" i="15"/>
  <c r="AG788" i="15"/>
  <c r="AH794" i="15"/>
  <c r="AG802" i="15"/>
  <c r="M815" i="15"/>
  <c r="M836" i="15"/>
  <c r="AH855" i="15"/>
  <c r="K863" i="15"/>
  <c r="AG863" i="15"/>
  <c r="U876" i="15"/>
  <c r="N884" i="15"/>
  <c r="K885" i="15"/>
  <c r="AE885" i="15"/>
  <c r="S890" i="15"/>
  <c r="AB892" i="15"/>
  <c r="T892" i="15"/>
  <c r="L892" i="15"/>
  <c r="AH892" i="15"/>
  <c r="Z892" i="15"/>
  <c r="R892" i="15"/>
  <c r="J892" i="15"/>
  <c r="AD892" i="15"/>
  <c r="S892" i="15"/>
  <c r="H892" i="15"/>
  <c r="AC892" i="15"/>
  <c r="Q892" i="15"/>
  <c r="G892" i="15"/>
  <c r="AA892" i="15"/>
  <c r="P892" i="15"/>
  <c r="Y892" i="15"/>
  <c r="O892" i="15"/>
  <c r="M892" i="15"/>
  <c r="AG892" i="15"/>
  <c r="K903" i="15"/>
  <c r="AG903" i="15"/>
  <c r="K919" i="15"/>
  <c r="AB924" i="15"/>
  <c r="T924" i="15"/>
  <c r="L924" i="15"/>
  <c r="AH924" i="15"/>
  <c r="Z924" i="15"/>
  <c r="R924" i="15"/>
  <c r="J924" i="15"/>
  <c r="AD924" i="15"/>
  <c r="S924" i="15"/>
  <c r="H924" i="15"/>
  <c r="AC924" i="15"/>
  <c r="Q924" i="15"/>
  <c r="G924" i="15"/>
  <c r="AA924" i="15"/>
  <c r="P924" i="15"/>
  <c r="Y924" i="15"/>
  <c r="O924" i="15"/>
  <c r="AD935" i="15"/>
  <c r="V935" i="15"/>
  <c r="N935" i="15"/>
  <c r="AB935" i="15"/>
  <c r="T935" i="15"/>
  <c r="L935" i="15"/>
  <c r="AC935" i="15"/>
  <c r="R935" i="15"/>
  <c r="H935" i="15"/>
  <c r="AA935" i="15"/>
  <c r="Q935" i="15"/>
  <c r="G935" i="15"/>
  <c r="Z935" i="15"/>
  <c r="P935" i="15"/>
  <c r="Y935" i="15"/>
  <c r="O935" i="15"/>
  <c r="AB940" i="15"/>
  <c r="T940" i="15"/>
  <c r="L940" i="15"/>
  <c r="AH940" i="15"/>
  <c r="Z940" i="15"/>
  <c r="R940" i="15"/>
  <c r="J940" i="15"/>
  <c r="AD940" i="15"/>
  <c r="S940" i="15"/>
  <c r="H940" i="15"/>
  <c r="AC940" i="15"/>
  <c r="Q940" i="15"/>
  <c r="G940" i="15"/>
  <c r="AA940" i="15"/>
  <c r="P940" i="15"/>
  <c r="Y940" i="15"/>
  <c r="O940" i="15"/>
  <c r="AG940" i="15"/>
  <c r="N972" i="15"/>
  <c r="AE973" i="15"/>
  <c r="AG978" i="15"/>
  <c r="S983" i="15"/>
  <c r="U988" i="15"/>
  <c r="S994" i="15"/>
  <c r="AB996" i="15"/>
  <c r="T996" i="15"/>
  <c r="L996" i="15"/>
  <c r="AH996" i="15"/>
  <c r="Z996" i="15"/>
  <c r="R996" i="15"/>
  <c r="J996" i="15"/>
  <c r="AD996" i="15"/>
  <c r="S996" i="15"/>
  <c r="H996" i="15"/>
  <c r="AC996" i="15"/>
  <c r="Q996" i="15"/>
  <c r="G996" i="15"/>
  <c r="AA996" i="15"/>
  <c r="P996" i="15"/>
  <c r="Y996" i="15"/>
  <c r="O996" i="15"/>
  <c r="S1007" i="15"/>
  <c r="AG1015" i="15"/>
  <c r="AH1018" i="15"/>
  <c r="AB1028" i="15"/>
  <c r="T1028" i="15"/>
  <c r="L1028" i="15"/>
  <c r="AH1028" i="15"/>
  <c r="Z1028" i="15"/>
  <c r="R1028" i="15"/>
  <c r="J1028" i="15"/>
  <c r="AD1028" i="15"/>
  <c r="S1028" i="15"/>
  <c r="H1028" i="15"/>
  <c r="AC1028" i="15"/>
  <c r="Q1028" i="15"/>
  <c r="G1028" i="15"/>
  <c r="AA1028" i="15"/>
  <c r="P1028" i="15"/>
  <c r="Y1028" i="15"/>
  <c r="O1028" i="15"/>
  <c r="AG1028" i="15"/>
  <c r="AH1037" i="15"/>
  <c r="Z1037" i="15"/>
  <c r="R1037" i="15"/>
  <c r="J1037" i="15"/>
  <c r="AF1037" i="15"/>
  <c r="X1037" i="15"/>
  <c r="P1037" i="15"/>
  <c r="H1037" i="15"/>
  <c r="AA1037" i="15"/>
  <c r="O1037" i="15"/>
  <c r="Y1037" i="15"/>
  <c r="N1037" i="15"/>
  <c r="W1037" i="15"/>
  <c r="M1037" i="15"/>
  <c r="AG1037" i="15"/>
  <c r="V1037" i="15"/>
  <c r="L1037" i="15"/>
  <c r="Q1045" i="15"/>
  <c r="K1063" i="15"/>
  <c r="AH1066" i="15"/>
  <c r="S1079" i="15"/>
  <c r="N1092" i="15"/>
  <c r="AE1093" i="15"/>
  <c r="L1106" i="15"/>
  <c r="K1119" i="15"/>
  <c r="S1125" i="15"/>
  <c r="U1132" i="15"/>
  <c r="K1207" i="15"/>
  <c r="J1211" i="15"/>
  <c r="AH1212" i="15"/>
  <c r="I1228" i="15"/>
  <c r="M1238" i="15"/>
  <c r="J1251" i="15"/>
  <c r="AB1312" i="15"/>
  <c r="T1312" i="15"/>
  <c r="L1312" i="15"/>
  <c r="AA1312" i="15"/>
  <c r="S1312" i="15"/>
  <c r="K1312" i="15"/>
  <c r="Y1312" i="15"/>
  <c r="O1312" i="15"/>
  <c r="AG1312" i="15"/>
  <c r="W1312" i="15"/>
  <c r="M1312" i="15"/>
  <c r="AH1312" i="15"/>
  <c r="U1312" i="15"/>
  <c r="G1312" i="15"/>
  <c r="AF1312" i="15"/>
  <c r="R1312" i="15"/>
  <c r="AE1312" i="15"/>
  <c r="Q1312" i="15"/>
  <c r="AD1312" i="15"/>
  <c r="P1312" i="15"/>
  <c r="L1314" i="15"/>
  <c r="AC1392" i="15"/>
  <c r="U1392" i="15"/>
  <c r="M1392" i="15"/>
  <c r="AB1392" i="15"/>
  <c r="T1392" i="15"/>
  <c r="L1392" i="15"/>
  <c r="AA1392" i="15"/>
  <c r="S1392" i="15"/>
  <c r="K1392" i="15"/>
  <c r="AG1392" i="15"/>
  <c r="V1392" i="15"/>
  <c r="H1392" i="15"/>
  <c r="AE1392" i="15"/>
  <c r="Q1392" i="15"/>
  <c r="W1392" i="15"/>
  <c r="R1392" i="15"/>
  <c r="AH1392" i="15"/>
  <c r="P1392" i="15"/>
  <c r="AF1392" i="15"/>
  <c r="O1392" i="15"/>
  <c r="V1408" i="15"/>
  <c r="N1440" i="15"/>
  <c r="K1463" i="15"/>
  <c r="AC1480" i="15"/>
  <c r="U1480" i="15"/>
  <c r="M1480" i="15"/>
  <c r="AB1480" i="15"/>
  <c r="T1480" i="15"/>
  <c r="L1480" i="15"/>
  <c r="AA1480" i="15"/>
  <c r="S1480" i="15"/>
  <c r="K1480" i="15"/>
  <c r="X1480" i="15"/>
  <c r="J1480" i="15"/>
  <c r="AG1480" i="15"/>
  <c r="V1480" i="15"/>
  <c r="H1480" i="15"/>
  <c r="Z1480" i="15"/>
  <c r="I1480" i="15"/>
  <c r="Y1480" i="15"/>
  <c r="G1480" i="15"/>
  <c r="W1480" i="15"/>
  <c r="R1480" i="15"/>
  <c r="Y1519" i="15"/>
  <c r="L1527" i="15"/>
  <c r="W1552" i="15"/>
  <c r="Q1555" i="15"/>
  <c r="Y1564" i="15"/>
  <c r="AD1576" i="15"/>
  <c r="V1576" i="15"/>
  <c r="N1576" i="15"/>
  <c r="AC1576" i="15"/>
  <c r="U1576" i="15"/>
  <c r="M1576" i="15"/>
  <c r="AB1576" i="15"/>
  <c r="T1576" i="15"/>
  <c r="L1576" i="15"/>
  <c r="AA1576" i="15"/>
  <c r="S1576" i="15"/>
  <c r="K1576" i="15"/>
  <c r="AF1576" i="15"/>
  <c r="P1576" i="15"/>
  <c r="Z1576" i="15"/>
  <c r="J1576" i="15"/>
  <c r="Y1576" i="15"/>
  <c r="G1576" i="15"/>
  <c r="X1576" i="15"/>
  <c r="W1576" i="15"/>
  <c r="R1576" i="15"/>
  <c r="Y1592" i="15"/>
  <c r="AG1611" i="15"/>
  <c r="Y1635" i="15"/>
  <c r="Z1716" i="15"/>
  <c r="AF1799" i="15"/>
  <c r="X1799" i="15"/>
  <c r="P1799" i="15"/>
  <c r="H1799" i="15"/>
  <c r="AE1799" i="15"/>
  <c r="W1799" i="15"/>
  <c r="O1799" i="15"/>
  <c r="G1799" i="15"/>
  <c r="AD1799" i="15"/>
  <c r="V1799" i="15"/>
  <c r="N1799" i="15"/>
  <c r="AC1799" i="15"/>
  <c r="U1799" i="15"/>
  <c r="M1799" i="15"/>
  <c r="T1799" i="15"/>
  <c r="S1799" i="15"/>
  <c r="AH1799" i="15"/>
  <c r="R1799" i="15"/>
  <c r="Z1799" i="15"/>
  <c r="Y1799" i="15"/>
  <c r="Q1799" i="15"/>
  <c r="L1799" i="15"/>
  <c r="AE1952" i="15"/>
  <c r="G54" i="16"/>
  <c r="M54" i="16"/>
  <c r="E54" i="16"/>
  <c r="I54" i="9" s="1"/>
  <c r="F54" i="16"/>
  <c r="P54" i="16"/>
  <c r="H54" i="9" s="1"/>
  <c r="L54" i="16"/>
  <c r="I54" i="16"/>
  <c r="H54" i="16"/>
  <c r="H78" i="16"/>
  <c r="H141" i="16"/>
  <c r="G141" i="16"/>
  <c r="F141" i="16"/>
  <c r="J141" i="16"/>
  <c r="I141" i="16"/>
  <c r="E141" i="16"/>
  <c r="I141" i="9" s="1"/>
  <c r="T141" i="16"/>
  <c r="M141" i="16"/>
  <c r="L141" i="16"/>
  <c r="K141" i="16"/>
  <c r="E223" i="16"/>
  <c r="M795" i="16"/>
  <c r="E795" i="16"/>
  <c r="L795" i="16"/>
  <c r="K795" i="16"/>
  <c r="I795" i="16"/>
  <c r="O795" i="16" s="1"/>
  <c r="H795" i="16"/>
  <c r="G795" i="16"/>
  <c r="J795" i="16"/>
  <c r="K47" i="13"/>
  <c r="I198" i="9"/>
  <c r="K9" i="15"/>
  <c r="I9" i="15"/>
  <c r="L12" i="15"/>
  <c r="O16" i="15"/>
  <c r="X21" i="15"/>
  <c r="P21" i="15"/>
  <c r="H21" i="15"/>
  <c r="AG21" i="15"/>
  <c r="Q21" i="7" s="1"/>
  <c r="W21" i="15"/>
  <c r="N21" i="15"/>
  <c r="V21" i="15"/>
  <c r="M21" i="15"/>
  <c r="U21" i="15"/>
  <c r="L21" i="15"/>
  <c r="AC21" i="15"/>
  <c r="K21" i="15"/>
  <c r="J21" i="15"/>
  <c r="AB21" i="15"/>
  <c r="H24" i="15"/>
  <c r="AF24" i="15" s="1"/>
  <c r="P24" i="7" s="1"/>
  <c r="G24" i="15"/>
  <c r="Z32" i="15"/>
  <c r="R32" i="15"/>
  <c r="J32" i="15"/>
  <c r="W32" i="15"/>
  <c r="N32" i="15"/>
  <c r="V32" i="15"/>
  <c r="M32" i="15"/>
  <c r="U32" i="15"/>
  <c r="L32" i="15"/>
  <c r="AC32" i="15"/>
  <c r="K32" i="15"/>
  <c r="AB32" i="15"/>
  <c r="K36" i="15"/>
  <c r="H36" i="15"/>
  <c r="AF36" i="15" s="1"/>
  <c r="S39" i="15"/>
  <c r="P43" i="15"/>
  <c r="R55" i="15"/>
  <c r="AC59" i="15"/>
  <c r="Q86" i="15"/>
  <c r="K87" i="15"/>
  <c r="G89" i="15"/>
  <c r="P90" i="15"/>
  <c r="H95" i="15"/>
  <c r="S108" i="15"/>
  <c r="G111" i="15"/>
  <c r="V118" i="15"/>
  <c r="N118" i="15"/>
  <c r="Y118" i="15"/>
  <c r="P118" i="15"/>
  <c r="G118" i="15"/>
  <c r="X118" i="15"/>
  <c r="AG118" i="15" s="1"/>
  <c r="Q118" i="7" s="1"/>
  <c r="O118" i="15"/>
  <c r="W118" i="15"/>
  <c r="M118" i="15"/>
  <c r="U118" i="15"/>
  <c r="L118" i="15"/>
  <c r="AB118" i="15"/>
  <c r="I122" i="15"/>
  <c r="AG122" i="15" s="1"/>
  <c r="Q122" i="7" s="1"/>
  <c r="X129" i="15"/>
  <c r="P129" i="15"/>
  <c r="H129" i="15"/>
  <c r="Z129" i="15"/>
  <c r="Q129" i="15"/>
  <c r="G129" i="15"/>
  <c r="Y129" i="15"/>
  <c r="O129" i="15"/>
  <c r="AG129" i="15"/>
  <c r="Q129" i="7" s="1"/>
  <c r="W129" i="15"/>
  <c r="N129" i="15"/>
  <c r="AE129" i="15"/>
  <c r="O129" i="7" s="1"/>
  <c r="V129" i="15"/>
  <c r="M129" i="15"/>
  <c r="K129" i="15"/>
  <c r="AC129" i="15"/>
  <c r="K137" i="15"/>
  <c r="I137" i="15"/>
  <c r="L140" i="15"/>
  <c r="AG144" i="15"/>
  <c r="Q144" i="7" s="1"/>
  <c r="H159" i="15"/>
  <c r="AB176" i="15"/>
  <c r="J182" i="15"/>
  <c r="AD198" i="15"/>
  <c r="V198" i="15"/>
  <c r="N198" i="15"/>
  <c r="AH198" i="15"/>
  <c r="Y198" i="15"/>
  <c r="P198" i="15"/>
  <c r="G198" i="15"/>
  <c r="AG198" i="15"/>
  <c r="X198" i="15"/>
  <c r="O198" i="15"/>
  <c r="AF198" i="15"/>
  <c r="W198" i="15"/>
  <c r="M198" i="15"/>
  <c r="AE198" i="15"/>
  <c r="U198" i="15"/>
  <c r="L198" i="15"/>
  <c r="L204" i="15"/>
  <c r="K214" i="15"/>
  <c r="I219" i="15"/>
  <c r="AF229" i="15"/>
  <c r="X229" i="15"/>
  <c r="P229" i="15"/>
  <c r="H229" i="15"/>
  <c r="AG229" i="15"/>
  <c r="W229" i="15"/>
  <c r="N229" i="15"/>
  <c r="AE229" i="15"/>
  <c r="V229" i="15"/>
  <c r="M229" i="15"/>
  <c r="AD229" i="15"/>
  <c r="U229" i="15"/>
  <c r="L229" i="15"/>
  <c r="AC229" i="15"/>
  <c r="T229" i="15"/>
  <c r="K229" i="15"/>
  <c r="AD234" i="15"/>
  <c r="V234" i="15"/>
  <c r="N234" i="15"/>
  <c r="AF234" i="15"/>
  <c r="W234" i="15"/>
  <c r="M234" i="15"/>
  <c r="AE234" i="15"/>
  <c r="U234" i="15"/>
  <c r="L234" i="15"/>
  <c r="AC234" i="15"/>
  <c r="T234" i="15"/>
  <c r="K234" i="15"/>
  <c r="AB234" i="15"/>
  <c r="S234" i="15"/>
  <c r="J234" i="15"/>
  <c r="AA234" i="15"/>
  <c r="Q245" i="15"/>
  <c r="AB246" i="15"/>
  <c r="P250" i="15"/>
  <c r="AD268" i="15"/>
  <c r="O272" i="15"/>
  <c r="K278" i="15"/>
  <c r="AC278" i="15"/>
  <c r="AB283" i="15"/>
  <c r="T283" i="15"/>
  <c r="L283" i="15"/>
  <c r="AG283" i="15"/>
  <c r="X283" i="15"/>
  <c r="O283" i="15"/>
  <c r="AF283" i="15"/>
  <c r="W283" i="15"/>
  <c r="N283" i="15"/>
  <c r="AE283" i="15"/>
  <c r="V283" i="15"/>
  <c r="M283" i="15"/>
  <c r="AD283" i="15"/>
  <c r="U283" i="15"/>
  <c r="K283" i="15"/>
  <c r="AG304" i="15"/>
  <c r="AE311" i="15"/>
  <c r="S321" i="15"/>
  <c r="AH325" i="15"/>
  <c r="Q336" i="15"/>
  <c r="L348" i="15"/>
  <c r="AE359" i="15"/>
  <c r="J363" i="15"/>
  <c r="Q373" i="15"/>
  <c r="J389" i="15"/>
  <c r="AD394" i="15"/>
  <c r="V394" i="15"/>
  <c r="N394" i="15"/>
  <c r="AF394" i="15"/>
  <c r="W394" i="15"/>
  <c r="M394" i="15"/>
  <c r="AE394" i="15"/>
  <c r="U394" i="15"/>
  <c r="L394" i="15"/>
  <c r="AC394" i="15"/>
  <c r="T394" i="15"/>
  <c r="K394" i="15"/>
  <c r="AB394" i="15"/>
  <c r="S394" i="15"/>
  <c r="J394" i="15"/>
  <c r="AA394" i="15"/>
  <c r="P400" i="15"/>
  <c r="AC401" i="15"/>
  <c r="Q411" i="15"/>
  <c r="AD422" i="15"/>
  <c r="V422" i="15"/>
  <c r="N422" i="15"/>
  <c r="AH422" i="15"/>
  <c r="Y422" i="15"/>
  <c r="P422" i="15"/>
  <c r="G422" i="15"/>
  <c r="AG422" i="15"/>
  <c r="X422" i="15"/>
  <c r="O422" i="15"/>
  <c r="AF422" i="15"/>
  <c r="W422" i="15"/>
  <c r="M422" i="15"/>
  <c r="AE422" i="15"/>
  <c r="U422" i="15"/>
  <c r="L422" i="15"/>
  <c r="AB422" i="15"/>
  <c r="AA426" i="15"/>
  <c r="AF433" i="15"/>
  <c r="X433" i="15"/>
  <c r="P433" i="15"/>
  <c r="H433" i="15"/>
  <c r="Z433" i="15"/>
  <c r="Q433" i="15"/>
  <c r="G433" i="15"/>
  <c r="AH433" i="15"/>
  <c r="Y433" i="15"/>
  <c r="O433" i="15"/>
  <c r="AG433" i="15"/>
  <c r="W433" i="15"/>
  <c r="N433" i="15"/>
  <c r="AE433" i="15"/>
  <c r="V433" i="15"/>
  <c r="M433" i="15"/>
  <c r="AC433" i="15"/>
  <c r="R439" i="15"/>
  <c r="Q443" i="15"/>
  <c r="K444" i="15"/>
  <c r="R453" i="15"/>
  <c r="AC454" i="15"/>
  <c r="I459" i="15"/>
  <c r="J469" i="15"/>
  <c r="P474" i="15"/>
  <c r="AH490" i="15"/>
  <c r="AB507" i="15"/>
  <c r="T507" i="15"/>
  <c r="L507" i="15"/>
  <c r="AG507" i="15"/>
  <c r="X507" i="15"/>
  <c r="O507" i="15"/>
  <c r="AF507" i="15"/>
  <c r="W507" i="15"/>
  <c r="N507" i="15"/>
  <c r="AE507" i="15"/>
  <c r="V507" i="15"/>
  <c r="M507" i="15"/>
  <c r="AD507" i="15"/>
  <c r="U507" i="15"/>
  <c r="K507" i="15"/>
  <c r="P512" i="15"/>
  <c r="AC513" i="15"/>
  <c r="K519" i="15"/>
  <c r="J534" i="15"/>
  <c r="P538" i="15"/>
  <c r="R549" i="15"/>
  <c r="AB555" i="15"/>
  <c r="T555" i="15"/>
  <c r="L555" i="15"/>
  <c r="AG555" i="15"/>
  <c r="X555" i="15"/>
  <c r="O555" i="15"/>
  <c r="AF555" i="15"/>
  <c r="W555" i="15"/>
  <c r="N555" i="15"/>
  <c r="AE555" i="15"/>
  <c r="V555" i="15"/>
  <c r="M555" i="15"/>
  <c r="AD555" i="15"/>
  <c r="U555" i="15"/>
  <c r="K555" i="15"/>
  <c r="L577" i="15"/>
  <c r="R582" i="15"/>
  <c r="AE583" i="15"/>
  <c r="AG592" i="15"/>
  <c r="AH608" i="15"/>
  <c r="Z608" i="15"/>
  <c r="R608" i="15"/>
  <c r="J608" i="15"/>
  <c r="AF608" i="15"/>
  <c r="W608" i="15"/>
  <c r="N608" i="15"/>
  <c r="AE608" i="15"/>
  <c r="V608" i="15"/>
  <c r="M608" i="15"/>
  <c r="AD608" i="15"/>
  <c r="U608" i="15"/>
  <c r="L608" i="15"/>
  <c r="AC608" i="15"/>
  <c r="T608" i="15"/>
  <c r="K608" i="15"/>
  <c r="AB608" i="15"/>
  <c r="R614" i="15"/>
  <c r="P618" i="15"/>
  <c r="AF645" i="15"/>
  <c r="X645" i="15"/>
  <c r="P645" i="15"/>
  <c r="H645" i="15"/>
  <c r="AG645" i="15"/>
  <c r="W645" i="15"/>
  <c r="N645" i="15"/>
  <c r="AE645" i="15"/>
  <c r="V645" i="15"/>
  <c r="M645" i="15"/>
  <c r="AD645" i="15"/>
  <c r="U645" i="15"/>
  <c r="L645" i="15"/>
  <c r="AC645" i="15"/>
  <c r="T645" i="15"/>
  <c r="K645" i="15"/>
  <c r="P651" i="15"/>
  <c r="I666" i="15"/>
  <c r="AF673" i="15"/>
  <c r="X673" i="15"/>
  <c r="P673" i="15"/>
  <c r="H673" i="15"/>
  <c r="Z673" i="15"/>
  <c r="Q673" i="15"/>
  <c r="G673" i="15"/>
  <c r="AH673" i="15"/>
  <c r="Y673" i="15"/>
  <c r="O673" i="15"/>
  <c r="AG673" i="15"/>
  <c r="W673" i="15"/>
  <c r="N673" i="15"/>
  <c r="AE673" i="15"/>
  <c r="V673" i="15"/>
  <c r="M673" i="15"/>
  <c r="M679" i="15"/>
  <c r="AH683" i="15"/>
  <c r="AB709" i="15"/>
  <c r="AD714" i="15"/>
  <c r="V714" i="15"/>
  <c r="N714" i="15"/>
  <c r="AF714" i="15"/>
  <c r="W714" i="15"/>
  <c r="M714" i="15"/>
  <c r="AE714" i="15"/>
  <c r="U714" i="15"/>
  <c r="L714" i="15"/>
  <c r="AC714" i="15"/>
  <c r="T714" i="15"/>
  <c r="K714" i="15"/>
  <c r="AB714" i="15"/>
  <c r="S714" i="15"/>
  <c r="J714" i="15"/>
  <c r="AH720" i="15"/>
  <c r="Z720" i="15"/>
  <c r="R720" i="15"/>
  <c r="J720" i="15"/>
  <c r="AF720" i="15"/>
  <c r="W720" i="15"/>
  <c r="N720" i="15"/>
  <c r="AE720" i="15"/>
  <c r="V720" i="15"/>
  <c r="M720" i="15"/>
  <c r="AD720" i="15"/>
  <c r="U720" i="15"/>
  <c r="L720" i="15"/>
  <c r="AC720" i="15"/>
  <c r="T720" i="15"/>
  <c r="K720" i="15"/>
  <c r="Q726" i="15"/>
  <c r="AD727" i="15"/>
  <c r="AC731" i="15"/>
  <c r="K746" i="15"/>
  <c r="AG746" i="15"/>
  <c r="S751" i="15"/>
  <c r="AH759" i="15"/>
  <c r="T765" i="15"/>
  <c r="AD767" i="15"/>
  <c r="V767" i="15"/>
  <c r="N767" i="15"/>
  <c r="AB767" i="15"/>
  <c r="T767" i="15"/>
  <c r="L767" i="15"/>
  <c r="AC767" i="15"/>
  <c r="R767" i="15"/>
  <c r="H767" i="15"/>
  <c r="AA767" i="15"/>
  <c r="Q767" i="15"/>
  <c r="G767" i="15"/>
  <c r="Z767" i="15"/>
  <c r="P767" i="15"/>
  <c r="Y767" i="15"/>
  <c r="O767" i="15"/>
  <c r="K767" i="15"/>
  <c r="AG767" i="15"/>
  <c r="V772" i="15"/>
  <c r="S773" i="15"/>
  <c r="U780" i="15"/>
  <c r="Q781" i="15"/>
  <c r="T786" i="15"/>
  <c r="N788" i="15"/>
  <c r="AH789" i="15"/>
  <c r="Z789" i="15"/>
  <c r="R789" i="15"/>
  <c r="J789" i="15"/>
  <c r="AF789" i="15"/>
  <c r="X789" i="15"/>
  <c r="P789" i="15"/>
  <c r="H789" i="15"/>
  <c r="AA789" i="15"/>
  <c r="O789" i="15"/>
  <c r="Y789" i="15"/>
  <c r="N789" i="15"/>
  <c r="W789" i="15"/>
  <c r="M789" i="15"/>
  <c r="AG789" i="15"/>
  <c r="V789" i="15"/>
  <c r="L789" i="15"/>
  <c r="K789" i="15"/>
  <c r="AE789" i="15"/>
  <c r="S794" i="15"/>
  <c r="AB796" i="15"/>
  <c r="T796" i="15"/>
  <c r="L796" i="15"/>
  <c r="AH796" i="15"/>
  <c r="Z796" i="15"/>
  <c r="R796" i="15"/>
  <c r="J796" i="15"/>
  <c r="AD796" i="15"/>
  <c r="S796" i="15"/>
  <c r="H796" i="15"/>
  <c r="AC796" i="15"/>
  <c r="Q796" i="15"/>
  <c r="G796" i="15"/>
  <c r="AA796" i="15"/>
  <c r="P796" i="15"/>
  <c r="Y796" i="15"/>
  <c r="O796" i="15"/>
  <c r="M796" i="15"/>
  <c r="AG796" i="15"/>
  <c r="L802" i="15"/>
  <c r="AH802" i="15"/>
  <c r="U807" i="15"/>
  <c r="AF810" i="15"/>
  <c r="X810" i="15"/>
  <c r="P810" i="15"/>
  <c r="H810" i="15"/>
  <c r="AD810" i="15"/>
  <c r="V810" i="15"/>
  <c r="N810" i="15"/>
  <c r="AB810" i="15"/>
  <c r="R810" i="15"/>
  <c r="G810" i="15"/>
  <c r="AA810" i="15"/>
  <c r="Q810" i="15"/>
  <c r="Z810" i="15"/>
  <c r="O810" i="15"/>
  <c r="Y810" i="15"/>
  <c r="M810" i="15"/>
  <c r="K810" i="15"/>
  <c r="AG810" i="15"/>
  <c r="S815" i="15"/>
  <c r="M823" i="15"/>
  <c r="AH823" i="15"/>
  <c r="T829" i="15"/>
  <c r="T834" i="15"/>
  <c r="N836" i="15"/>
  <c r="AH837" i="15"/>
  <c r="Z837" i="15"/>
  <c r="R837" i="15"/>
  <c r="J837" i="15"/>
  <c r="AF837" i="15"/>
  <c r="X837" i="15"/>
  <c r="P837" i="15"/>
  <c r="H837" i="15"/>
  <c r="AA837" i="15"/>
  <c r="O837" i="15"/>
  <c r="Y837" i="15"/>
  <c r="N837" i="15"/>
  <c r="W837" i="15"/>
  <c r="M837" i="15"/>
  <c r="AG837" i="15"/>
  <c r="V837" i="15"/>
  <c r="L837" i="15"/>
  <c r="K837" i="15"/>
  <c r="AE837" i="15"/>
  <c r="S842" i="15"/>
  <c r="AB844" i="15"/>
  <c r="T844" i="15"/>
  <c r="L844" i="15"/>
  <c r="AH844" i="15"/>
  <c r="Z844" i="15"/>
  <c r="R844" i="15"/>
  <c r="J844" i="15"/>
  <c r="AD844" i="15"/>
  <c r="S844" i="15"/>
  <c r="H844" i="15"/>
  <c r="AC844" i="15"/>
  <c r="Q844" i="15"/>
  <c r="G844" i="15"/>
  <c r="AA844" i="15"/>
  <c r="P844" i="15"/>
  <c r="Y844" i="15"/>
  <c r="O844" i="15"/>
  <c r="M844" i="15"/>
  <c r="AG844" i="15"/>
  <c r="AF850" i="15"/>
  <c r="X850" i="15"/>
  <c r="P850" i="15"/>
  <c r="H850" i="15"/>
  <c r="AD850" i="15"/>
  <c r="V850" i="15"/>
  <c r="N850" i="15"/>
  <c r="AB850" i="15"/>
  <c r="R850" i="15"/>
  <c r="G850" i="15"/>
  <c r="AA850" i="15"/>
  <c r="Q850" i="15"/>
  <c r="Z850" i="15"/>
  <c r="O850" i="15"/>
  <c r="Y850" i="15"/>
  <c r="M850" i="15"/>
  <c r="K850" i="15"/>
  <c r="AG850" i="15"/>
  <c r="S855" i="15"/>
  <c r="M863" i="15"/>
  <c r="AH863" i="15"/>
  <c r="T869" i="15"/>
  <c r="AD871" i="15"/>
  <c r="V871" i="15"/>
  <c r="N871" i="15"/>
  <c r="AB871" i="15"/>
  <c r="T871" i="15"/>
  <c r="L871" i="15"/>
  <c r="AC871" i="15"/>
  <c r="R871" i="15"/>
  <c r="H871" i="15"/>
  <c r="AA871" i="15"/>
  <c r="Q871" i="15"/>
  <c r="G871" i="15"/>
  <c r="Z871" i="15"/>
  <c r="P871" i="15"/>
  <c r="Y871" i="15"/>
  <c r="O871" i="15"/>
  <c r="K871" i="15"/>
  <c r="AG871" i="15"/>
  <c r="V876" i="15"/>
  <c r="S877" i="15"/>
  <c r="U884" i="15"/>
  <c r="Q885" i="15"/>
  <c r="T890" i="15"/>
  <c r="N892" i="15"/>
  <c r="AH893" i="15"/>
  <c r="Z893" i="15"/>
  <c r="R893" i="15"/>
  <c r="J893" i="15"/>
  <c r="AF893" i="15"/>
  <c r="X893" i="15"/>
  <c r="P893" i="15"/>
  <c r="H893" i="15"/>
  <c r="AA893" i="15"/>
  <c r="O893" i="15"/>
  <c r="Y893" i="15"/>
  <c r="N893" i="15"/>
  <c r="W893" i="15"/>
  <c r="M893" i="15"/>
  <c r="AG893" i="15"/>
  <c r="V893" i="15"/>
  <c r="L893" i="15"/>
  <c r="K893" i="15"/>
  <c r="AE893" i="15"/>
  <c r="M903" i="15"/>
  <c r="AH903" i="15"/>
  <c r="T906" i="15"/>
  <c r="N908" i="15"/>
  <c r="AH909" i="15"/>
  <c r="Z909" i="15"/>
  <c r="R909" i="15"/>
  <c r="J909" i="15"/>
  <c r="AF909" i="15"/>
  <c r="X909" i="15"/>
  <c r="P909" i="15"/>
  <c r="H909" i="15"/>
  <c r="AA909" i="15"/>
  <c r="O909" i="15"/>
  <c r="Y909" i="15"/>
  <c r="N909" i="15"/>
  <c r="W909" i="15"/>
  <c r="M909" i="15"/>
  <c r="AG909" i="15"/>
  <c r="V909" i="15"/>
  <c r="L909" i="15"/>
  <c r="K909" i="15"/>
  <c r="AE909" i="15"/>
  <c r="M919" i="15"/>
  <c r="AH919" i="15"/>
  <c r="T922" i="15"/>
  <c r="N924" i="15"/>
  <c r="AH925" i="15"/>
  <c r="Z925" i="15"/>
  <c r="R925" i="15"/>
  <c r="J925" i="15"/>
  <c r="AF925" i="15"/>
  <c r="X925" i="15"/>
  <c r="P925" i="15"/>
  <c r="H925" i="15"/>
  <c r="AA925" i="15"/>
  <c r="O925" i="15"/>
  <c r="Y925" i="15"/>
  <c r="N925" i="15"/>
  <c r="W925" i="15"/>
  <c r="M925" i="15"/>
  <c r="AG925" i="15"/>
  <c r="V925" i="15"/>
  <c r="L925" i="15"/>
  <c r="K925" i="15"/>
  <c r="AE925" i="15"/>
  <c r="M935" i="15"/>
  <c r="AH935" i="15"/>
  <c r="T938" i="15"/>
  <c r="N940" i="15"/>
  <c r="AH941" i="15"/>
  <c r="Z941" i="15"/>
  <c r="R941" i="15"/>
  <c r="J941" i="15"/>
  <c r="AF941" i="15"/>
  <c r="X941" i="15"/>
  <c r="P941" i="15"/>
  <c r="H941" i="15"/>
  <c r="AA941" i="15"/>
  <c r="O941" i="15"/>
  <c r="Y941" i="15"/>
  <c r="N941" i="15"/>
  <c r="W941" i="15"/>
  <c r="M941" i="15"/>
  <c r="AG941" i="15"/>
  <c r="V941" i="15"/>
  <c r="L941" i="15"/>
  <c r="K941" i="15"/>
  <c r="AE941" i="15"/>
  <c r="M951" i="15"/>
  <c r="AH951" i="15"/>
  <c r="T957" i="15"/>
  <c r="AD959" i="15"/>
  <c r="V959" i="15"/>
  <c r="N959" i="15"/>
  <c r="AB959" i="15"/>
  <c r="T959" i="15"/>
  <c r="L959" i="15"/>
  <c r="AC959" i="15"/>
  <c r="R959" i="15"/>
  <c r="H959" i="15"/>
  <c r="AA959" i="15"/>
  <c r="Q959" i="15"/>
  <c r="G959" i="15"/>
  <c r="Z959" i="15"/>
  <c r="P959" i="15"/>
  <c r="Y959" i="15"/>
  <c r="O959" i="15"/>
  <c r="K959" i="15"/>
  <c r="AG959" i="15"/>
  <c r="V964" i="15"/>
  <c r="S965" i="15"/>
  <c r="U972" i="15"/>
  <c r="Q973" i="15"/>
  <c r="L978" i="15"/>
  <c r="AH978" i="15"/>
  <c r="U983" i="15"/>
  <c r="V988" i="15"/>
  <c r="S989" i="15"/>
  <c r="T994" i="15"/>
  <c r="N996" i="15"/>
  <c r="AH997" i="15"/>
  <c r="Z997" i="15"/>
  <c r="R997" i="15"/>
  <c r="J997" i="15"/>
  <c r="AF997" i="15"/>
  <c r="X997" i="15"/>
  <c r="P997" i="15"/>
  <c r="H997" i="15"/>
  <c r="AA997" i="15"/>
  <c r="O997" i="15"/>
  <c r="Y997" i="15"/>
  <c r="N997" i="15"/>
  <c r="W997" i="15"/>
  <c r="M997" i="15"/>
  <c r="AG997" i="15"/>
  <c r="V997" i="15"/>
  <c r="L997" i="15"/>
  <c r="K997" i="15"/>
  <c r="AE997" i="15"/>
  <c r="S1002" i="15"/>
  <c r="AB1004" i="15"/>
  <c r="T1004" i="15"/>
  <c r="L1004" i="15"/>
  <c r="AH1004" i="15"/>
  <c r="Z1004" i="15"/>
  <c r="R1004" i="15"/>
  <c r="J1004" i="15"/>
  <c r="AD1004" i="15"/>
  <c r="S1004" i="15"/>
  <c r="H1004" i="15"/>
  <c r="AC1004" i="15"/>
  <c r="Q1004" i="15"/>
  <c r="G1004" i="15"/>
  <c r="AA1004" i="15"/>
  <c r="P1004" i="15"/>
  <c r="Y1004" i="15"/>
  <c r="O1004" i="15"/>
  <c r="M1004" i="15"/>
  <c r="AG1004" i="15"/>
  <c r="U1007" i="15"/>
  <c r="M1015" i="15"/>
  <c r="AH1015" i="15"/>
  <c r="S1018" i="15"/>
  <c r="AB1020" i="15"/>
  <c r="T1020" i="15"/>
  <c r="L1020" i="15"/>
  <c r="AH1020" i="15"/>
  <c r="Z1020" i="15"/>
  <c r="R1020" i="15"/>
  <c r="J1020" i="15"/>
  <c r="AD1020" i="15"/>
  <c r="S1020" i="15"/>
  <c r="H1020" i="15"/>
  <c r="AC1020" i="15"/>
  <c r="Q1020" i="15"/>
  <c r="G1020" i="15"/>
  <c r="AA1020" i="15"/>
  <c r="P1020" i="15"/>
  <c r="Y1020" i="15"/>
  <c r="O1020" i="15"/>
  <c r="M1020" i="15"/>
  <c r="AG1020" i="15"/>
  <c r="T1026" i="15"/>
  <c r="N1028" i="15"/>
  <c r="AH1029" i="15"/>
  <c r="Z1029" i="15"/>
  <c r="R1029" i="15"/>
  <c r="J1029" i="15"/>
  <c r="AF1029" i="15"/>
  <c r="X1029" i="15"/>
  <c r="P1029" i="15"/>
  <c r="H1029" i="15"/>
  <c r="AA1029" i="15"/>
  <c r="O1029" i="15"/>
  <c r="Y1029" i="15"/>
  <c r="N1029" i="15"/>
  <c r="W1029" i="15"/>
  <c r="M1029" i="15"/>
  <c r="AG1029" i="15"/>
  <c r="V1029" i="15"/>
  <c r="L1029" i="15"/>
  <c r="K1029" i="15"/>
  <c r="AE1029" i="15"/>
  <c r="U1036" i="15"/>
  <c r="Q1037" i="15"/>
  <c r="V1044" i="15"/>
  <c r="S1045" i="15"/>
  <c r="T1053" i="15"/>
  <c r="AD1055" i="15"/>
  <c r="V1055" i="15"/>
  <c r="N1055" i="15"/>
  <c r="AB1055" i="15"/>
  <c r="T1055" i="15"/>
  <c r="L1055" i="15"/>
  <c r="AC1055" i="15"/>
  <c r="R1055" i="15"/>
  <c r="H1055" i="15"/>
  <c r="AA1055" i="15"/>
  <c r="Q1055" i="15"/>
  <c r="G1055" i="15"/>
  <c r="Z1055" i="15"/>
  <c r="P1055" i="15"/>
  <c r="Y1055" i="15"/>
  <c r="O1055" i="15"/>
  <c r="K1055" i="15"/>
  <c r="AG1055" i="15"/>
  <c r="M1063" i="15"/>
  <c r="AH1063" i="15"/>
  <c r="S1066" i="15"/>
  <c r="AB1068" i="15"/>
  <c r="T1068" i="15"/>
  <c r="L1068" i="15"/>
  <c r="AH1068" i="15"/>
  <c r="Z1068" i="15"/>
  <c r="R1068" i="15"/>
  <c r="J1068" i="15"/>
  <c r="AD1068" i="15"/>
  <c r="S1068" i="15"/>
  <c r="H1068" i="15"/>
  <c r="AC1068" i="15"/>
  <c r="Q1068" i="15"/>
  <c r="G1068" i="15"/>
  <c r="AA1068" i="15"/>
  <c r="P1068" i="15"/>
  <c r="Y1068" i="15"/>
  <c r="O1068" i="15"/>
  <c r="M1068" i="15"/>
  <c r="AG1068" i="15"/>
  <c r="L1074" i="15"/>
  <c r="AH1074" i="15"/>
  <c r="U1079" i="15"/>
  <c r="R1338" i="15"/>
  <c r="AE3" i="17"/>
  <c r="AE165" i="17"/>
  <c r="AE133" i="17"/>
  <c r="AE85" i="17"/>
  <c r="AE69" i="17"/>
  <c r="AE53" i="17"/>
  <c r="AE151" i="17"/>
  <c r="AE135" i="17"/>
  <c r="AE119" i="17"/>
  <c r="AE103" i="17"/>
  <c r="AE7" i="17"/>
  <c r="AE77" i="17"/>
  <c r="AE73" i="17"/>
  <c r="AE127" i="17"/>
  <c r="AE45" i="17"/>
  <c r="AE41" i="17"/>
  <c r="AE27" i="17"/>
  <c r="AE63" i="17"/>
  <c r="AE13" i="17"/>
  <c r="AF132" i="17"/>
  <c r="AE97" i="17"/>
  <c r="AE93" i="17"/>
  <c r="AE31" i="17"/>
  <c r="AE95" i="17"/>
  <c r="AE79" i="17"/>
  <c r="AE9" i="17"/>
  <c r="AF116" i="17"/>
  <c r="I61" i="9"/>
  <c r="I229" i="9"/>
  <c r="I236" i="9"/>
  <c r="Q5" i="15"/>
  <c r="V6" i="15"/>
  <c r="N6" i="15"/>
  <c r="AF6" i="15" s="1"/>
  <c r="Y6" i="15"/>
  <c r="P6" i="15"/>
  <c r="G6" i="15"/>
  <c r="AG6" i="15"/>
  <c r="Q6" i="7" s="1"/>
  <c r="X6" i="15"/>
  <c r="O6" i="15"/>
  <c r="W6" i="15"/>
  <c r="M6" i="15"/>
  <c r="U6" i="15"/>
  <c r="L6" i="15"/>
  <c r="J6" i="15"/>
  <c r="AB6" i="15"/>
  <c r="V10" i="15"/>
  <c r="N10" i="15"/>
  <c r="AE10" i="15" s="1"/>
  <c r="O10" i="7" s="1"/>
  <c r="W10" i="15"/>
  <c r="M10" i="15"/>
  <c r="AF10" i="15" s="1"/>
  <c r="U10" i="15"/>
  <c r="L10" i="15"/>
  <c r="AC10" i="15"/>
  <c r="K10" i="15"/>
  <c r="AB10" i="15"/>
  <c r="S10" i="15"/>
  <c r="J10" i="15"/>
  <c r="I10" i="15"/>
  <c r="AA10" i="15"/>
  <c r="Q12" i="15"/>
  <c r="J14" i="15"/>
  <c r="H14" i="15"/>
  <c r="P16" i="15"/>
  <c r="X17" i="15"/>
  <c r="AG17" i="15" s="1"/>
  <c r="Q17" i="7" s="1"/>
  <c r="P17" i="15"/>
  <c r="H17" i="15"/>
  <c r="Z17" i="15"/>
  <c r="Q17" i="15"/>
  <c r="G17" i="15"/>
  <c r="Y17" i="15"/>
  <c r="O17" i="15"/>
  <c r="W17" i="15"/>
  <c r="N17" i="15"/>
  <c r="V17" i="15"/>
  <c r="M17" i="15"/>
  <c r="K17" i="15"/>
  <c r="AC17" i="15"/>
  <c r="J18" i="15"/>
  <c r="O21" i="15"/>
  <c r="K25" i="15"/>
  <c r="I25" i="15"/>
  <c r="AG25" i="15" s="1"/>
  <c r="Q25" i="7" s="1"/>
  <c r="R27" i="15"/>
  <c r="L28" i="15"/>
  <c r="O32" i="15"/>
  <c r="X37" i="15"/>
  <c r="AG37" i="15" s="1"/>
  <c r="Q37" i="7" s="1"/>
  <c r="P37" i="15"/>
  <c r="H37" i="15"/>
  <c r="W37" i="15"/>
  <c r="N37" i="15"/>
  <c r="V37" i="15"/>
  <c r="M37" i="15"/>
  <c r="U37" i="15"/>
  <c r="L37" i="15"/>
  <c r="AC37" i="15"/>
  <c r="K37" i="15"/>
  <c r="J37" i="15"/>
  <c r="AB37" i="15"/>
  <c r="U39" i="15"/>
  <c r="H40" i="15"/>
  <c r="AF40" i="15" s="1"/>
  <c r="P40" i="7" s="1"/>
  <c r="G40" i="15"/>
  <c r="Z44" i="15"/>
  <c r="R44" i="15"/>
  <c r="J44" i="15"/>
  <c r="Y44" i="15"/>
  <c r="P44" i="15"/>
  <c r="G44" i="15"/>
  <c r="X44" i="15"/>
  <c r="O44" i="15"/>
  <c r="W44" i="15"/>
  <c r="N44" i="15"/>
  <c r="AF44" i="15" s="1"/>
  <c r="AE44" i="15"/>
  <c r="O44" i="7" s="1"/>
  <c r="V44" i="15"/>
  <c r="M44" i="15"/>
  <c r="K44" i="15"/>
  <c r="AC44" i="15"/>
  <c r="AG44" i="15" s="1"/>
  <c r="Q44" i="7" s="1"/>
  <c r="K45" i="15"/>
  <c r="Z48" i="15"/>
  <c r="R48" i="15"/>
  <c r="J48" i="15"/>
  <c r="W48" i="15"/>
  <c r="N48" i="15"/>
  <c r="V48" i="15"/>
  <c r="M48" i="15"/>
  <c r="U48" i="15"/>
  <c r="L48" i="15"/>
  <c r="AC48" i="15"/>
  <c r="K48" i="15"/>
  <c r="I48" i="15"/>
  <c r="AB48" i="15"/>
  <c r="K52" i="15"/>
  <c r="H52" i="15"/>
  <c r="AF52" i="15" s="1"/>
  <c r="S55" i="15"/>
  <c r="P59" i="15"/>
  <c r="K67" i="15"/>
  <c r="S70" i="15"/>
  <c r="J75" i="15"/>
  <c r="H82" i="15"/>
  <c r="G82" i="15"/>
  <c r="AE84" i="15"/>
  <c r="O84" i="7" s="1"/>
  <c r="M87" i="15"/>
  <c r="Q90" i="15"/>
  <c r="AB91" i="15"/>
  <c r="L91" i="15"/>
  <c r="X91" i="15"/>
  <c r="O91" i="15"/>
  <c r="AF91" i="15"/>
  <c r="W91" i="15"/>
  <c r="N91" i="15"/>
  <c r="AE91" i="15"/>
  <c r="O91" i="7" s="1"/>
  <c r="V91" i="15"/>
  <c r="M91" i="15"/>
  <c r="U91" i="15"/>
  <c r="K91" i="15"/>
  <c r="I91" i="15"/>
  <c r="AA91" i="15"/>
  <c r="S97" i="15"/>
  <c r="Z98" i="15"/>
  <c r="Y98" i="15"/>
  <c r="X98" i="15"/>
  <c r="AB98" i="15"/>
  <c r="Q102" i="15"/>
  <c r="AB103" i="15"/>
  <c r="L103" i="15"/>
  <c r="Z103" i="15"/>
  <c r="Q103" i="15"/>
  <c r="H103" i="15"/>
  <c r="Y103" i="15"/>
  <c r="P103" i="15"/>
  <c r="G103" i="15"/>
  <c r="AG103" i="15"/>
  <c r="Q103" i="7" s="1"/>
  <c r="X103" i="15"/>
  <c r="O103" i="15"/>
  <c r="W103" i="15"/>
  <c r="N103" i="15"/>
  <c r="K103" i="15"/>
  <c r="K104" i="15"/>
  <c r="G105" i="15"/>
  <c r="P106" i="15"/>
  <c r="I109" i="15"/>
  <c r="AG109" i="15" s="1"/>
  <c r="Q109" i="7" s="1"/>
  <c r="G109" i="15"/>
  <c r="U110" i="15"/>
  <c r="S112" i="15"/>
  <c r="R113" i="15"/>
  <c r="R117" i="15"/>
  <c r="K118" i="15"/>
  <c r="AC118" i="15"/>
  <c r="O122" i="15"/>
  <c r="S124" i="15"/>
  <c r="AA125" i="15"/>
  <c r="Z125" i="15"/>
  <c r="Y125" i="15"/>
  <c r="G127" i="15"/>
  <c r="Q128" i="15"/>
  <c r="L129" i="15"/>
  <c r="U130" i="15"/>
  <c r="Q133" i="15"/>
  <c r="V134" i="15"/>
  <c r="N134" i="15"/>
  <c r="Y134" i="15"/>
  <c r="P134" i="15"/>
  <c r="G134" i="15"/>
  <c r="X134" i="15"/>
  <c r="O134" i="15"/>
  <c r="W134" i="15"/>
  <c r="M134" i="15"/>
  <c r="U134" i="15"/>
  <c r="L134" i="15"/>
  <c r="J134" i="15"/>
  <c r="AB134" i="15"/>
  <c r="V138" i="15"/>
  <c r="N138" i="15"/>
  <c r="AE138" i="15" s="1"/>
  <c r="O138" i="7" s="1"/>
  <c r="AF138" i="15"/>
  <c r="W138" i="15"/>
  <c r="M138" i="15"/>
  <c r="U138" i="15"/>
  <c r="L138" i="15"/>
  <c r="AC138" i="15"/>
  <c r="K138" i="15"/>
  <c r="AB138" i="15"/>
  <c r="S138" i="15"/>
  <c r="J138" i="15"/>
  <c r="I138" i="15"/>
  <c r="AA138" i="15"/>
  <c r="J142" i="15"/>
  <c r="H142" i="15"/>
  <c r="P144" i="15"/>
  <c r="AF145" i="15"/>
  <c r="X145" i="15"/>
  <c r="AG145" i="15" s="1"/>
  <c r="Q145" i="7" s="1"/>
  <c r="P145" i="15"/>
  <c r="H145" i="15"/>
  <c r="Z145" i="15"/>
  <c r="Q145" i="15"/>
  <c r="G145" i="15"/>
  <c r="Y145" i="15"/>
  <c r="O145" i="15"/>
  <c r="W145" i="15"/>
  <c r="N145" i="15"/>
  <c r="AE145" i="15" s="1"/>
  <c r="O145" i="7" s="1"/>
  <c r="V145" i="15"/>
  <c r="M145" i="15"/>
  <c r="K145" i="15"/>
  <c r="AC145" i="15"/>
  <c r="J146" i="15"/>
  <c r="G148" i="15"/>
  <c r="Q149" i="15"/>
  <c r="V150" i="15"/>
  <c r="N150" i="15"/>
  <c r="AE150" i="15" s="1"/>
  <c r="O150" i="7" s="1"/>
  <c r="Y150" i="15"/>
  <c r="P150" i="15"/>
  <c r="G150" i="15"/>
  <c r="X150" i="15"/>
  <c r="O150" i="15"/>
  <c r="W150" i="15"/>
  <c r="M150" i="15"/>
  <c r="U150" i="15"/>
  <c r="L150" i="15"/>
  <c r="J150" i="15"/>
  <c r="AB150" i="15"/>
  <c r="G153" i="15"/>
  <c r="P154" i="15"/>
  <c r="G158" i="15"/>
  <c r="S161" i="15"/>
  <c r="Z162" i="15"/>
  <c r="X162" i="15"/>
  <c r="AE164" i="15"/>
  <c r="O164" i="7" s="1"/>
  <c r="M167" i="15"/>
  <c r="P171" i="15"/>
  <c r="O176" i="15"/>
  <c r="J177" i="15"/>
  <c r="R181" i="15"/>
  <c r="K182" i="15"/>
  <c r="AC182" i="15"/>
  <c r="J183" i="15"/>
  <c r="AD186" i="15"/>
  <c r="V186" i="15"/>
  <c r="N186" i="15"/>
  <c r="AF186" i="15"/>
  <c r="W186" i="15"/>
  <c r="M186" i="15"/>
  <c r="AE186" i="15"/>
  <c r="U186" i="15"/>
  <c r="L186" i="15"/>
  <c r="AC186" i="15"/>
  <c r="T186" i="15"/>
  <c r="K186" i="15"/>
  <c r="AB186" i="15"/>
  <c r="S186" i="15"/>
  <c r="J186" i="15"/>
  <c r="I186" i="15"/>
  <c r="AA186" i="15"/>
  <c r="Q188" i="15"/>
  <c r="H192" i="15"/>
  <c r="R197" i="15"/>
  <c r="K198" i="15"/>
  <c r="AC198" i="15"/>
  <c r="J199" i="15"/>
  <c r="AD202" i="15"/>
  <c r="V202" i="15"/>
  <c r="N202" i="15"/>
  <c r="AF202" i="15"/>
  <c r="W202" i="15"/>
  <c r="M202" i="15"/>
  <c r="AE202" i="15"/>
  <c r="U202" i="15"/>
  <c r="L202" i="15"/>
  <c r="AC202" i="15"/>
  <c r="T202" i="15"/>
  <c r="K202" i="15"/>
  <c r="AB202" i="15"/>
  <c r="S202" i="15"/>
  <c r="J202" i="15"/>
  <c r="I202" i="15"/>
  <c r="AA202" i="15"/>
  <c r="Q204" i="15"/>
  <c r="AH208" i="15"/>
  <c r="Z208" i="15"/>
  <c r="R208" i="15"/>
  <c r="J208" i="15"/>
  <c r="AF208" i="15"/>
  <c r="W208" i="15"/>
  <c r="N208" i="15"/>
  <c r="AE208" i="15"/>
  <c r="V208" i="15"/>
  <c r="M208" i="15"/>
  <c r="AD208" i="15"/>
  <c r="U208" i="15"/>
  <c r="L208" i="15"/>
  <c r="AC208" i="15"/>
  <c r="T208" i="15"/>
  <c r="K208" i="15"/>
  <c r="I208" i="15"/>
  <c r="AB208" i="15"/>
  <c r="I209" i="15"/>
  <c r="AA209" i="15"/>
  <c r="S213" i="15"/>
  <c r="Q214" i="15"/>
  <c r="AB215" i="15"/>
  <c r="T215" i="15"/>
  <c r="L215" i="15"/>
  <c r="Z215" i="15"/>
  <c r="Q215" i="15"/>
  <c r="H215" i="15"/>
  <c r="AH215" i="15"/>
  <c r="Y215" i="15"/>
  <c r="P215" i="15"/>
  <c r="G215" i="15"/>
  <c r="AG215" i="15"/>
  <c r="X215" i="15"/>
  <c r="O215" i="15"/>
  <c r="AF215" i="15"/>
  <c r="W215" i="15"/>
  <c r="N215" i="15"/>
  <c r="K215" i="15"/>
  <c r="AD215" i="15"/>
  <c r="R218" i="15"/>
  <c r="J219" i="15"/>
  <c r="H220" i="15"/>
  <c r="AA220" i="15"/>
  <c r="G224" i="15"/>
  <c r="Y224" i="15"/>
  <c r="T225" i="15"/>
  <c r="O229" i="15"/>
  <c r="AH229" i="15"/>
  <c r="I230" i="15"/>
  <c r="O234" i="15"/>
  <c r="AG234" i="15"/>
  <c r="G235" i="15"/>
  <c r="S236" i="15"/>
  <c r="AH240" i="15"/>
  <c r="Z240" i="15"/>
  <c r="R240" i="15"/>
  <c r="J240" i="15"/>
  <c r="AF240" i="15"/>
  <c r="W240" i="15"/>
  <c r="N240" i="15"/>
  <c r="AE240" i="15"/>
  <c r="V240" i="15"/>
  <c r="M240" i="15"/>
  <c r="AD240" i="15"/>
  <c r="U240" i="15"/>
  <c r="L240" i="15"/>
  <c r="AC240" i="15"/>
  <c r="T240" i="15"/>
  <c r="K240" i="15"/>
  <c r="I240" i="15"/>
  <c r="AB240" i="15"/>
  <c r="I241" i="15"/>
  <c r="R245" i="15"/>
  <c r="K246" i="15"/>
  <c r="J247" i="15"/>
  <c r="AB251" i="15"/>
  <c r="T251" i="15"/>
  <c r="L251" i="15"/>
  <c r="AG251" i="15"/>
  <c r="X251" i="15"/>
  <c r="O251" i="15"/>
  <c r="AF251" i="15"/>
  <c r="W251" i="15"/>
  <c r="N251" i="15"/>
  <c r="AE251" i="15"/>
  <c r="V251" i="15"/>
  <c r="M251" i="15"/>
  <c r="AD251" i="15"/>
  <c r="U251" i="15"/>
  <c r="K251" i="15"/>
  <c r="I251" i="15"/>
  <c r="AA251" i="15"/>
  <c r="P256" i="15"/>
  <c r="AF257" i="15"/>
  <c r="X257" i="15"/>
  <c r="P257" i="15"/>
  <c r="H257" i="15"/>
  <c r="Z257" i="15"/>
  <c r="Q257" i="15"/>
  <c r="G257" i="15"/>
  <c r="AH257" i="15"/>
  <c r="Y257" i="15"/>
  <c r="O257" i="15"/>
  <c r="AG257" i="15"/>
  <c r="W257" i="15"/>
  <c r="N257" i="15"/>
  <c r="AE257" i="15"/>
  <c r="V257" i="15"/>
  <c r="M257" i="15"/>
  <c r="K257" i="15"/>
  <c r="AC257" i="15"/>
  <c r="AF261" i="15"/>
  <c r="X261" i="15"/>
  <c r="P261" i="15"/>
  <c r="H261" i="15"/>
  <c r="AG261" i="15"/>
  <c r="W261" i="15"/>
  <c r="N261" i="15"/>
  <c r="AE261" i="15"/>
  <c r="V261" i="15"/>
  <c r="M261" i="15"/>
  <c r="AD261" i="15"/>
  <c r="U261" i="15"/>
  <c r="L261" i="15"/>
  <c r="AC261" i="15"/>
  <c r="T261" i="15"/>
  <c r="K261" i="15"/>
  <c r="J261" i="15"/>
  <c r="AB261" i="15"/>
  <c r="H262" i="15"/>
  <c r="AD266" i="15"/>
  <c r="V266" i="15"/>
  <c r="N266" i="15"/>
  <c r="AF266" i="15"/>
  <c r="W266" i="15"/>
  <c r="M266" i="15"/>
  <c r="AE266" i="15"/>
  <c r="U266" i="15"/>
  <c r="L266" i="15"/>
  <c r="AC266" i="15"/>
  <c r="T266" i="15"/>
  <c r="K266" i="15"/>
  <c r="AB266" i="15"/>
  <c r="S266" i="15"/>
  <c r="J266" i="15"/>
  <c r="I266" i="15"/>
  <c r="AA266" i="15"/>
  <c r="Q268" i="15"/>
  <c r="AF273" i="15"/>
  <c r="X273" i="15"/>
  <c r="P273" i="15"/>
  <c r="H273" i="15"/>
  <c r="Z273" i="15"/>
  <c r="Q273" i="15"/>
  <c r="G273" i="15"/>
  <c r="AH273" i="15"/>
  <c r="Y273" i="15"/>
  <c r="O273" i="15"/>
  <c r="AG273" i="15"/>
  <c r="W273" i="15"/>
  <c r="N273" i="15"/>
  <c r="AE273" i="15"/>
  <c r="V273" i="15"/>
  <c r="M273" i="15"/>
  <c r="K273" i="15"/>
  <c r="AC273" i="15"/>
  <c r="S277" i="15"/>
  <c r="AB279" i="15"/>
  <c r="T279" i="15"/>
  <c r="L279" i="15"/>
  <c r="Z279" i="15"/>
  <c r="Q279" i="15"/>
  <c r="H279" i="15"/>
  <c r="AH279" i="15"/>
  <c r="Y279" i="15"/>
  <c r="P279" i="15"/>
  <c r="G279" i="15"/>
  <c r="AG279" i="15"/>
  <c r="X279" i="15"/>
  <c r="O279" i="15"/>
  <c r="AF279" i="15"/>
  <c r="W279" i="15"/>
  <c r="N279" i="15"/>
  <c r="K279" i="15"/>
  <c r="AD279" i="15"/>
  <c r="J283" i="15"/>
  <c r="AC283" i="15"/>
  <c r="H284" i="15"/>
  <c r="G288" i="15"/>
  <c r="Y288" i="15"/>
  <c r="T289" i="15"/>
  <c r="AF293" i="15"/>
  <c r="X293" i="15"/>
  <c r="P293" i="15"/>
  <c r="H293" i="15"/>
  <c r="AG293" i="15"/>
  <c r="W293" i="15"/>
  <c r="N293" i="15"/>
  <c r="AE293" i="15"/>
  <c r="V293" i="15"/>
  <c r="M293" i="15"/>
  <c r="AD293" i="15"/>
  <c r="U293" i="15"/>
  <c r="L293" i="15"/>
  <c r="AC293" i="15"/>
  <c r="T293" i="15"/>
  <c r="K293" i="15"/>
  <c r="J293" i="15"/>
  <c r="AB293" i="15"/>
  <c r="H294" i="15"/>
  <c r="Z294" i="15"/>
  <c r="U295" i="15"/>
  <c r="AD298" i="15"/>
  <c r="V298" i="15"/>
  <c r="N298" i="15"/>
  <c r="AF298" i="15"/>
  <c r="W298" i="15"/>
  <c r="M298" i="15"/>
  <c r="AE298" i="15"/>
  <c r="U298" i="15"/>
  <c r="L298" i="15"/>
  <c r="AC298" i="15"/>
  <c r="T298" i="15"/>
  <c r="K298" i="15"/>
  <c r="AB298" i="15"/>
  <c r="S298" i="15"/>
  <c r="J298" i="15"/>
  <c r="I298" i="15"/>
  <c r="AA298" i="15"/>
  <c r="Q300" i="15"/>
  <c r="P304" i="15"/>
  <c r="AF305" i="15"/>
  <c r="X305" i="15"/>
  <c r="P305" i="15"/>
  <c r="H305" i="15"/>
  <c r="Z305" i="15"/>
  <c r="Q305" i="15"/>
  <c r="G305" i="15"/>
  <c r="AH305" i="15"/>
  <c r="Y305" i="15"/>
  <c r="O305" i="15"/>
  <c r="AG305" i="15"/>
  <c r="W305" i="15"/>
  <c r="N305" i="15"/>
  <c r="AE305" i="15"/>
  <c r="V305" i="15"/>
  <c r="M305" i="15"/>
  <c r="K305" i="15"/>
  <c r="AC305" i="15"/>
  <c r="G309" i="15"/>
  <c r="Z309" i="15"/>
  <c r="S310" i="15"/>
  <c r="R311" i="15"/>
  <c r="P315" i="15"/>
  <c r="AH315" i="15"/>
  <c r="I316" i="15"/>
  <c r="G320" i="15"/>
  <c r="Y320" i="15"/>
  <c r="T321" i="15"/>
  <c r="AD326" i="15"/>
  <c r="V326" i="15"/>
  <c r="N326" i="15"/>
  <c r="AH326" i="15"/>
  <c r="Y326" i="15"/>
  <c r="P326" i="15"/>
  <c r="G326" i="15"/>
  <c r="AG326" i="15"/>
  <c r="X326" i="15"/>
  <c r="O326" i="15"/>
  <c r="AF326" i="15"/>
  <c r="W326" i="15"/>
  <c r="M326" i="15"/>
  <c r="AE326" i="15"/>
  <c r="U326" i="15"/>
  <c r="L326" i="15"/>
  <c r="J326" i="15"/>
  <c r="AB326" i="15"/>
  <c r="I327" i="15"/>
  <c r="AA327" i="15"/>
  <c r="P330" i="15"/>
  <c r="AH330" i="15"/>
  <c r="H331" i="15"/>
  <c r="S336" i="15"/>
  <c r="AF341" i="15"/>
  <c r="X341" i="15"/>
  <c r="P341" i="15"/>
  <c r="H341" i="15"/>
  <c r="AG341" i="15"/>
  <c r="W341" i="15"/>
  <c r="N341" i="15"/>
  <c r="AE341" i="15"/>
  <c r="V341" i="15"/>
  <c r="M341" i="15"/>
  <c r="AD341" i="15"/>
  <c r="U341" i="15"/>
  <c r="L341" i="15"/>
  <c r="AC341" i="15"/>
  <c r="T341" i="15"/>
  <c r="K341" i="15"/>
  <c r="J341" i="15"/>
  <c r="AB341" i="15"/>
  <c r="H342" i="15"/>
  <c r="Z342" i="15"/>
  <c r="AD346" i="15"/>
  <c r="V346" i="15"/>
  <c r="N346" i="15"/>
  <c r="AF346" i="15"/>
  <c r="W346" i="15"/>
  <c r="M346" i="15"/>
  <c r="AE346" i="15"/>
  <c r="U346" i="15"/>
  <c r="L346" i="15"/>
  <c r="AC346" i="15"/>
  <c r="T346" i="15"/>
  <c r="K346" i="15"/>
  <c r="AB346" i="15"/>
  <c r="S346" i="15"/>
  <c r="J346" i="15"/>
  <c r="I346" i="15"/>
  <c r="AA346" i="15"/>
  <c r="P352" i="15"/>
  <c r="AF353" i="15"/>
  <c r="X353" i="15"/>
  <c r="P353" i="15"/>
  <c r="H353" i="15"/>
  <c r="Z353" i="15"/>
  <c r="Q353" i="15"/>
  <c r="G353" i="15"/>
  <c r="AH353" i="15"/>
  <c r="Y353" i="15"/>
  <c r="O353" i="15"/>
  <c r="AG353" i="15"/>
  <c r="W353" i="15"/>
  <c r="N353" i="15"/>
  <c r="AE353" i="15"/>
  <c r="V353" i="15"/>
  <c r="M353" i="15"/>
  <c r="K353" i="15"/>
  <c r="AC353" i="15"/>
  <c r="G357" i="15"/>
  <c r="Z357" i="15"/>
  <c r="P363" i="15"/>
  <c r="AH363" i="15"/>
  <c r="I364" i="15"/>
  <c r="G368" i="15"/>
  <c r="Y368" i="15"/>
  <c r="T369" i="15"/>
  <c r="R373" i="15"/>
  <c r="K374" i="15"/>
  <c r="J375" i="15"/>
  <c r="AB379" i="15"/>
  <c r="T379" i="15"/>
  <c r="L379" i="15"/>
  <c r="AG379" i="15"/>
  <c r="X379" i="15"/>
  <c r="O379" i="15"/>
  <c r="AF379" i="15"/>
  <c r="W379" i="15"/>
  <c r="N379" i="15"/>
  <c r="AE379" i="15"/>
  <c r="V379" i="15"/>
  <c r="M379" i="15"/>
  <c r="AD379" i="15"/>
  <c r="U379" i="15"/>
  <c r="K379" i="15"/>
  <c r="I379" i="15"/>
  <c r="AA379" i="15"/>
  <c r="S385" i="15"/>
  <c r="O389" i="15"/>
  <c r="AH389" i="15"/>
  <c r="I390" i="15"/>
  <c r="O394" i="15"/>
  <c r="AG394" i="15"/>
  <c r="G395" i="15"/>
  <c r="Y395" i="15"/>
  <c r="S396" i="15"/>
  <c r="Q400" i="15"/>
  <c r="L401" i="15"/>
  <c r="AD401" i="15"/>
  <c r="I405" i="15"/>
  <c r="H410" i="15"/>
  <c r="R411" i="15"/>
  <c r="L412" i="15"/>
  <c r="AD412" i="15"/>
  <c r="H416" i="15"/>
  <c r="K422" i="15"/>
  <c r="AC422" i="15"/>
  <c r="J423" i="15"/>
  <c r="O426" i="15"/>
  <c r="AG426" i="15"/>
  <c r="G427" i="15"/>
  <c r="Y427" i="15"/>
  <c r="S428" i="15"/>
  <c r="Q432" i="15"/>
  <c r="L433" i="15"/>
  <c r="AD433" i="15"/>
  <c r="I437" i="15"/>
  <c r="H442" i="15"/>
  <c r="R443" i="15"/>
  <c r="L444" i="15"/>
  <c r="AD444" i="15"/>
  <c r="AH448" i="15"/>
  <c r="Z448" i="15"/>
  <c r="R448" i="15"/>
  <c r="J448" i="15"/>
  <c r="AF448" i="15"/>
  <c r="W448" i="15"/>
  <c r="N448" i="15"/>
  <c r="AE448" i="15"/>
  <c r="V448" i="15"/>
  <c r="M448" i="15"/>
  <c r="AD448" i="15"/>
  <c r="U448" i="15"/>
  <c r="L448" i="15"/>
  <c r="AC448" i="15"/>
  <c r="T448" i="15"/>
  <c r="K448" i="15"/>
  <c r="I448" i="15"/>
  <c r="AB448" i="15"/>
  <c r="I449" i="15"/>
  <c r="AA449" i="15"/>
  <c r="S453" i="15"/>
  <c r="AB455" i="15"/>
  <c r="T455" i="15"/>
  <c r="L455" i="15"/>
  <c r="Z455" i="15"/>
  <c r="Q455" i="15"/>
  <c r="H455" i="15"/>
  <c r="AH455" i="15"/>
  <c r="Y455" i="15"/>
  <c r="P455" i="15"/>
  <c r="G455" i="15"/>
  <c r="AG455" i="15"/>
  <c r="X455" i="15"/>
  <c r="O455" i="15"/>
  <c r="AF455" i="15"/>
  <c r="W455" i="15"/>
  <c r="N455" i="15"/>
  <c r="K455" i="15"/>
  <c r="AD455" i="15"/>
  <c r="R458" i="15"/>
  <c r="J459" i="15"/>
  <c r="H460" i="15"/>
  <c r="AA460" i="15"/>
  <c r="G464" i="15"/>
  <c r="Y464" i="15"/>
  <c r="T465" i="15"/>
  <c r="O469" i="15"/>
  <c r="I470" i="15"/>
  <c r="AB475" i="15"/>
  <c r="T475" i="15"/>
  <c r="L475" i="15"/>
  <c r="AG475" i="15"/>
  <c r="X475" i="15"/>
  <c r="O475" i="15"/>
  <c r="AF475" i="15"/>
  <c r="W475" i="15"/>
  <c r="N475" i="15"/>
  <c r="AE475" i="15"/>
  <c r="V475" i="15"/>
  <c r="M475" i="15"/>
  <c r="AD475" i="15"/>
  <c r="U475" i="15"/>
  <c r="K475" i="15"/>
  <c r="I475" i="15"/>
  <c r="AA475" i="15"/>
  <c r="H480" i="15"/>
  <c r="O485" i="15"/>
  <c r="I486" i="15"/>
  <c r="Q490" i="15"/>
  <c r="AB491" i="15"/>
  <c r="T491" i="15"/>
  <c r="L491" i="15"/>
  <c r="AG491" i="15"/>
  <c r="X491" i="15"/>
  <c r="O491" i="15"/>
  <c r="AF491" i="15"/>
  <c r="W491" i="15"/>
  <c r="N491" i="15"/>
  <c r="AE491" i="15"/>
  <c r="V491" i="15"/>
  <c r="M491" i="15"/>
  <c r="AD491" i="15"/>
  <c r="U491" i="15"/>
  <c r="K491" i="15"/>
  <c r="I491" i="15"/>
  <c r="AA491" i="15"/>
  <c r="H496" i="15"/>
  <c r="AD502" i="15"/>
  <c r="V502" i="15"/>
  <c r="N502" i="15"/>
  <c r="AH502" i="15"/>
  <c r="Y502" i="15"/>
  <c r="P502" i="15"/>
  <c r="G502" i="15"/>
  <c r="AG502" i="15"/>
  <c r="X502" i="15"/>
  <c r="O502" i="15"/>
  <c r="AF502" i="15"/>
  <c r="W502" i="15"/>
  <c r="M502" i="15"/>
  <c r="AE502" i="15"/>
  <c r="U502" i="15"/>
  <c r="L502" i="15"/>
  <c r="J502" i="15"/>
  <c r="AB502" i="15"/>
  <c r="I503" i="15"/>
  <c r="AA503" i="15"/>
  <c r="R506" i="15"/>
  <c r="J507" i="15"/>
  <c r="AC507" i="15"/>
  <c r="H508" i="15"/>
  <c r="AA508" i="15"/>
  <c r="Q512" i="15"/>
  <c r="L513" i="15"/>
  <c r="R518" i="15"/>
  <c r="M519" i="15"/>
  <c r="AE519" i="15"/>
  <c r="P523" i="15"/>
  <c r="I524" i="15"/>
  <c r="H528" i="15"/>
  <c r="R533" i="15"/>
  <c r="K534" i="15"/>
  <c r="J535" i="15"/>
  <c r="Q538" i="15"/>
  <c r="AB539" i="15"/>
  <c r="T539" i="15"/>
  <c r="L539" i="15"/>
  <c r="AG539" i="15"/>
  <c r="X539" i="15"/>
  <c r="O539" i="15"/>
  <c r="AF539" i="15"/>
  <c r="W539" i="15"/>
  <c r="N539" i="15"/>
  <c r="AE539" i="15"/>
  <c r="V539" i="15"/>
  <c r="M539" i="15"/>
  <c r="AD539" i="15"/>
  <c r="U539" i="15"/>
  <c r="K539" i="15"/>
  <c r="I539" i="15"/>
  <c r="AA539" i="15"/>
  <c r="S545" i="15"/>
  <c r="AB551" i="15"/>
  <c r="T551" i="15"/>
  <c r="L551" i="15"/>
  <c r="Z551" i="15"/>
  <c r="Q551" i="15"/>
  <c r="H551" i="15"/>
  <c r="AH551" i="15"/>
  <c r="Y551" i="15"/>
  <c r="P551" i="15"/>
  <c r="G551" i="15"/>
  <c r="AG551" i="15"/>
  <c r="X551" i="15"/>
  <c r="O551" i="15"/>
  <c r="AF551" i="15"/>
  <c r="W551" i="15"/>
  <c r="N551" i="15"/>
  <c r="K551" i="15"/>
  <c r="AD551" i="15"/>
  <c r="J555" i="15"/>
  <c r="AC555" i="15"/>
  <c r="H556" i="15"/>
  <c r="G560" i="15"/>
  <c r="T561" i="15"/>
  <c r="Q565" i="15"/>
  <c r="AD566" i="15"/>
  <c r="V566" i="15"/>
  <c r="N566" i="15"/>
  <c r="AH566" i="15"/>
  <c r="Y566" i="15"/>
  <c r="P566" i="15"/>
  <c r="G566" i="15"/>
  <c r="AG566" i="15"/>
  <c r="X566" i="15"/>
  <c r="O566" i="15"/>
  <c r="AF566" i="15"/>
  <c r="W566" i="15"/>
  <c r="M566" i="15"/>
  <c r="AE566" i="15"/>
  <c r="U566" i="15"/>
  <c r="L566" i="15"/>
  <c r="J566" i="15"/>
  <c r="AB566" i="15"/>
  <c r="I567" i="15"/>
  <c r="AA567" i="15"/>
  <c r="P570" i="15"/>
  <c r="AH570" i="15"/>
  <c r="H571" i="15"/>
  <c r="S576" i="15"/>
  <c r="R577" i="15"/>
  <c r="G581" i="15"/>
  <c r="Z581" i="15"/>
  <c r="R583" i="15"/>
  <c r="Q586" i="15"/>
  <c r="AB587" i="15"/>
  <c r="T587" i="15"/>
  <c r="L587" i="15"/>
  <c r="AG587" i="15"/>
  <c r="X587" i="15"/>
  <c r="O587" i="15"/>
  <c r="AF587" i="15"/>
  <c r="W587" i="15"/>
  <c r="N587" i="15"/>
  <c r="AE587" i="15"/>
  <c r="V587" i="15"/>
  <c r="M587" i="15"/>
  <c r="AD587" i="15"/>
  <c r="U587" i="15"/>
  <c r="K587" i="15"/>
  <c r="I587" i="15"/>
  <c r="AA587" i="15"/>
  <c r="AF593" i="15"/>
  <c r="X593" i="15"/>
  <c r="P593" i="15"/>
  <c r="H593" i="15"/>
  <c r="Z593" i="15"/>
  <c r="Q593" i="15"/>
  <c r="G593" i="15"/>
  <c r="AH593" i="15"/>
  <c r="Y593" i="15"/>
  <c r="O593" i="15"/>
  <c r="AG593" i="15"/>
  <c r="W593" i="15"/>
  <c r="N593" i="15"/>
  <c r="AE593" i="15"/>
  <c r="V593" i="15"/>
  <c r="M593" i="15"/>
  <c r="K593" i="15"/>
  <c r="AC593" i="15"/>
  <c r="M599" i="15"/>
  <c r="P602" i="15"/>
  <c r="H603" i="15"/>
  <c r="T604" i="15"/>
  <c r="O608" i="15"/>
  <c r="AG608" i="15"/>
  <c r="J609" i="15"/>
  <c r="G613" i="15"/>
  <c r="Z613" i="15"/>
  <c r="S614" i="15"/>
  <c r="Q618" i="15"/>
  <c r="AB619" i="15"/>
  <c r="T619" i="15"/>
  <c r="L619" i="15"/>
  <c r="AG619" i="15"/>
  <c r="X619" i="15"/>
  <c r="O619" i="15"/>
  <c r="AF619" i="15"/>
  <c r="W619" i="15"/>
  <c r="N619" i="15"/>
  <c r="AE619" i="15"/>
  <c r="V619" i="15"/>
  <c r="M619" i="15"/>
  <c r="AD619" i="15"/>
  <c r="U619" i="15"/>
  <c r="K619" i="15"/>
  <c r="I619" i="15"/>
  <c r="AA619" i="15"/>
  <c r="AF625" i="15"/>
  <c r="X625" i="15"/>
  <c r="P625" i="15"/>
  <c r="H625" i="15"/>
  <c r="Z625" i="15"/>
  <c r="Q625" i="15"/>
  <c r="G625" i="15"/>
  <c r="AH625" i="15"/>
  <c r="Y625" i="15"/>
  <c r="O625" i="15"/>
  <c r="AG625" i="15"/>
  <c r="W625" i="15"/>
  <c r="N625" i="15"/>
  <c r="AE625" i="15"/>
  <c r="V625" i="15"/>
  <c r="M625" i="15"/>
  <c r="K625" i="15"/>
  <c r="AC625" i="15"/>
  <c r="AF629" i="15"/>
  <c r="X629" i="15"/>
  <c r="P629" i="15"/>
  <c r="H629" i="15"/>
  <c r="AG629" i="15"/>
  <c r="W629" i="15"/>
  <c r="N629" i="15"/>
  <c r="AE629" i="15"/>
  <c r="V629" i="15"/>
  <c r="M629" i="15"/>
  <c r="AD629" i="15"/>
  <c r="U629" i="15"/>
  <c r="L629" i="15"/>
  <c r="AC629" i="15"/>
  <c r="T629" i="15"/>
  <c r="K629" i="15"/>
  <c r="J629" i="15"/>
  <c r="AB629" i="15"/>
  <c r="H630" i="15"/>
  <c r="Z630" i="15"/>
  <c r="P635" i="15"/>
  <c r="AH635" i="15"/>
  <c r="I636" i="15"/>
  <c r="H640" i="15"/>
  <c r="O645" i="15"/>
  <c r="AH645" i="15"/>
  <c r="I646" i="15"/>
  <c r="G650" i="15"/>
  <c r="Y650" i="15"/>
  <c r="AH652" i="15"/>
  <c r="Z652" i="15"/>
  <c r="R652" i="15"/>
  <c r="J652" i="15"/>
  <c r="Y652" i="15"/>
  <c r="P652" i="15"/>
  <c r="G652" i="15"/>
  <c r="AG652" i="15"/>
  <c r="X652" i="15"/>
  <c r="O652" i="15"/>
  <c r="AF652" i="15"/>
  <c r="W652" i="15"/>
  <c r="N652" i="15"/>
  <c r="AE652" i="15"/>
  <c r="V652" i="15"/>
  <c r="M652" i="15"/>
  <c r="K652" i="15"/>
  <c r="AC652" i="15"/>
  <c r="H656" i="15"/>
  <c r="O661" i="15"/>
  <c r="I662" i="15"/>
  <c r="O666" i="15"/>
  <c r="AG666" i="15"/>
  <c r="S668" i="15"/>
  <c r="L673" i="15"/>
  <c r="AD673" i="15"/>
  <c r="G677" i="15"/>
  <c r="S678" i="15"/>
  <c r="G682" i="15"/>
  <c r="Q683" i="15"/>
  <c r="AH684" i="15"/>
  <c r="Z684" i="15"/>
  <c r="R684" i="15"/>
  <c r="J684" i="15"/>
  <c r="Y684" i="15"/>
  <c r="P684" i="15"/>
  <c r="G684" i="15"/>
  <c r="AG684" i="15"/>
  <c r="X684" i="15"/>
  <c r="O684" i="15"/>
  <c r="AF684" i="15"/>
  <c r="W684" i="15"/>
  <c r="N684" i="15"/>
  <c r="AE684" i="15"/>
  <c r="V684" i="15"/>
  <c r="M684" i="15"/>
  <c r="K684" i="15"/>
  <c r="AC684" i="15"/>
  <c r="G688" i="15"/>
  <c r="T689" i="15"/>
  <c r="AD694" i="15"/>
  <c r="V694" i="15"/>
  <c r="N694" i="15"/>
  <c r="AH694" i="15"/>
  <c r="Y694" i="15"/>
  <c r="P694" i="15"/>
  <c r="G694" i="15"/>
  <c r="AG694" i="15"/>
  <c r="X694" i="15"/>
  <c r="O694" i="15"/>
  <c r="AF694" i="15"/>
  <c r="W694" i="15"/>
  <c r="M694" i="15"/>
  <c r="AE694" i="15"/>
  <c r="U694" i="15"/>
  <c r="L694" i="15"/>
  <c r="J694" i="15"/>
  <c r="AB694" i="15"/>
  <c r="I695" i="15"/>
  <c r="AA695" i="15"/>
  <c r="P698" i="15"/>
  <c r="H699" i="15"/>
  <c r="T700" i="15"/>
  <c r="AH704" i="15"/>
  <c r="Z704" i="15"/>
  <c r="R704" i="15"/>
  <c r="J704" i="15"/>
  <c r="AF704" i="15"/>
  <c r="W704" i="15"/>
  <c r="N704" i="15"/>
  <c r="AE704" i="15"/>
  <c r="V704" i="15"/>
  <c r="M704" i="15"/>
  <c r="AD704" i="15"/>
  <c r="U704" i="15"/>
  <c r="L704" i="15"/>
  <c r="AC704" i="15"/>
  <c r="T704" i="15"/>
  <c r="K704" i="15"/>
  <c r="I704" i="15"/>
  <c r="AB704" i="15"/>
  <c r="I705" i="15"/>
  <c r="AA705" i="15"/>
  <c r="O709" i="15"/>
  <c r="AH709" i="15"/>
  <c r="I710" i="15"/>
  <c r="O714" i="15"/>
  <c r="AG714" i="15"/>
  <c r="G715" i="15"/>
  <c r="Y715" i="15"/>
  <c r="S716" i="15"/>
  <c r="O720" i="15"/>
  <c r="AG720" i="15"/>
  <c r="J721" i="15"/>
  <c r="R726" i="15"/>
  <c r="M727" i="15"/>
  <c r="AE727" i="15"/>
  <c r="P731" i="15"/>
  <c r="AH731" i="15"/>
  <c r="I732" i="15"/>
  <c r="H736" i="15"/>
  <c r="AF741" i="15"/>
  <c r="X741" i="15"/>
  <c r="P741" i="15"/>
  <c r="H741" i="15"/>
  <c r="AG741" i="15"/>
  <c r="W741" i="15"/>
  <c r="N741" i="15"/>
  <c r="AE741" i="15"/>
  <c r="V741" i="15"/>
  <c r="M741" i="15"/>
  <c r="AD741" i="15"/>
  <c r="U741" i="15"/>
  <c r="L741" i="15"/>
  <c r="AC741" i="15"/>
  <c r="T741" i="15"/>
  <c r="K741" i="15"/>
  <c r="J741" i="15"/>
  <c r="AB741" i="15"/>
  <c r="H742" i="15"/>
  <c r="W743" i="15"/>
  <c r="L746" i="15"/>
  <c r="AH746" i="15"/>
  <c r="K748" i="15"/>
  <c r="G749" i="15"/>
  <c r="AC749" i="15"/>
  <c r="U751" i="15"/>
  <c r="AF754" i="15"/>
  <c r="X754" i="15"/>
  <c r="P754" i="15"/>
  <c r="H754" i="15"/>
  <c r="AD754" i="15"/>
  <c r="V754" i="15"/>
  <c r="N754" i="15"/>
  <c r="AB754" i="15"/>
  <c r="R754" i="15"/>
  <c r="G754" i="15"/>
  <c r="AA754" i="15"/>
  <c r="Q754" i="15"/>
  <c r="Z754" i="15"/>
  <c r="O754" i="15"/>
  <c r="Y754" i="15"/>
  <c r="M754" i="15"/>
  <c r="K754" i="15"/>
  <c r="AG754" i="15"/>
  <c r="I756" i="15"/>
  <c r="AE756" i="15"/>
  <c r="J762" i="15"/>
  <c r="M767" i="15"/>
  <c r="AH767" i="15"/>
  <c r="I770" i="15"/>
  <c r="AC770" i="15"/>
  <c r="W772" i="15"/>
  <c r="AD775" i="15"/>
  <c r="V775" i="15"/>
  <c r="N775" i="15"/>
  <c r="AB775" i="15"/>
  <c r="T775" i="15"/>
  <c r="L775" i="15"/>
  <c r="AC775" i="15"/>
  <c r="R775" i="15"/>
  <c r="H775" i="15"/>
  <c r="AA775" i="15"/>
  <c r="Q775" i="15"/>
  <c r="G775" i="15"/>
  <c r="Z775" i="15"/>
  <c r="P775" i="15"/>
  <c r="Y775" i="15"/>
  <c r="O775" i="15"/>
  <c r="K775" i="15"/>
  <c r="AG775" i="15"/>
  <c r="U788" i="15"/>
  <c r="Q789" i="15"/>
  <c r="N796" i="15"/>
  <c r="AH797" i="15"/>
  <c r="Z797" i="15"/>
  <c r="R797" i="15"/>
  <c r="J797" i="15"/>
  <c r="AF797" i="15"/>
  <c r="X797" i="15"/>
  <c r="P797" i="15"/>
  <c r="H797" i="15"/>
  <c r="AA797" i="15"/>
  <c r="O797" i="15"/>
  <c r="Y797" i="15"/>
  <c r="N797" i="15"/>
  <c r="W797" i="15"/>
  <c r="M797" i="15"/>
  <c r="AG797" i="15"/>
  <c r="V797" i="15"/>
  <c r="L797" i="15"/>
  <c r="K797" i="15"/>
  <c r="AE797" i="15"/>
  <c r="AB804" i="15"/>
  <c r="T804" i="15"/>
  <c r="L804" i="15"/>
  <c r="AH804" i="15"/>
  <c r="Z804" i="15"/>
  <c r="R804" i="15"/>
  <c r="J804" i="15"/>
  <c r="AD804" i="15"/>
  <c r="S804" i="15"/>
  <c r="H804" i="15"/>
  <c r="AC804" i="15"/>
  <c r="Q804" i="15"/>
  <c r="G804" i="15"/>
  <c r="AA804" i="15"/>
  <c r="P804" i="15"/>
  <c r="Y804" i="15"/>
  <c r="O804" i="15"/>
  <c r="M804" i="15"/>
  <c r="AG804" i="15"/>
  <c r="W807" i="15"/>
  <c r="L810" i="15"/>
  <c r="AH810" i="15"/>
  <c r="U815" i="15"/>
  <c r="AF818" i="15"/>
  <c r="X818" i="15"/>
  <c r="P818" i="15"/>
  <c r="H818" i="15"/>
  <c r="AD818" i="15"/>
  <c r="V818" i="15"/>
  <c r="N818" i="15"/>
  <c r="AB818" i="15"/>
  <c r="R818" i="15"/>
  <c r="G818" i="15"/>
  <c r="AA818" i="15"/>
  <c r="Q818" i="15"/>
  <c r="Z818" i="15"/>
  <c r="O818" i="15"/>
  <c r="Y818" i="15"/>
  <c r="M818" i="15"/>
  <c r="K818" i="15"/>
  <c r="AG818" i="15"/>
  <c r="S823" i="15"/>
  <c r="U829" i="15"/>
  <c r="U834" i="15"/>
  <c r="Q837" i="15"/>
  <c r="T842" i="15"/>
  <c r="N844" i="15"/>
  <c r="AH845" i="15"/>
  <c r="Z845" i="15"/>
  <c r="R845" i="15"/>
  <c r="J845" i="15"/>
  <c r="AF845" i="15"/>
  <c r="X845" i="15"/>
  <c r="P845" i="15"/>
  <c r="H845" i="15"/>
  <c r="AA845" i="15"/>
  <c r="O845" i="15"/>
  <c r="Y845" i="15"/>
  <c r="N845" i="15"/>
  <c r="W845" i="15"/>
  <c r="M845" i="15"/>
  <c r="AG845" i="15"/>
  <c r="V845" i="15"/>
  <c r="L845" i="15"/>
  <c r="K845" i="15"/>
  <c r="AE845" i="15"/>
  <c r="L850" i="15"/>
  <c r="AH850" i="15"/>
  <c r="K852" i="15"/>
  <c r="G853" i="15"/>
  <c r="AC853" i="15"/>
  <c r="U855" i="15"/>
  <c r="AF858" i="15"/>
  <c r="X858" i="15"/>
  <c r="P858" i="15"/>
  <c r="H858" i="15"/>
  <c r="AD858" i="15"/>
  <c r="V858" i="15"/>
  <c r="N858" i="15"/>
  <c r="AB858" i="15"/>
  <c r="R858" i="15"/>
  <c r="G858" i="15"/>
  <c r="AA858" i="15"/>
  <c r="Q858" i="15"/>
  <c r="Z858" i="15"/>
  <c r="O858" i="15"/>
  <c r="Y858" i="15"/>
  <c r="M858" i="15"/>
  <c r="K858" i="15"/>
  <c r="AG858" i="15"/>
  <c r="I860" i="15"/>
  <c r="AE860" i="15"/>
  <c r="J866" i="15"/>
  <c r="U869" i="15"/>
  <c r="M871" i="15"/>
  <c r="AH871" i="15"/>
  <c r="I874" i="15"/>
  <c r="AC874" i="15"/>
  <c r="T877" i="15"/>
  <c r="AD879" i="15"/>
  <c r="V879" i="15"/>
  <c r="N879" i="15"/>
  <c r="AB879" i="15"/>
  <c r="T879" i="15"/>
  <c r="L879" i="15"/>
  <c r="AC879" i="15"/>
  <c r="R879" i="15"/>
  <c r="H879" i="15"/>
  <c r="AA879" i="15"/>
  <c r="Q879" i="15"/>
  <c r="G879" i="15"/>
  <c r="Z879" i="15"/>
  <c r="P879" i="15"/>
  <c r="Y879" i="15"/>
  <c r="O879" i="15"/>
  <c r="K879" i="15"/>
  <c r="AG879" i="15"/>
  <c r="V884" i="15"/>
  <c r="J887" i="15"/>
  <c r="U890" i="15"/>
  <c r="U892" i="15"/>
  <c r="Q893" i="15"/>
  <c r="I895" i="15"/>
  <c r="AE895" i="15"/>
  <c r="AF898" i="15"/>
  <c r="X898" i="15"/>
  <c r="P898" i="15"/>
  <c r="H898" i="15"/>
  <c r="AD898" i="15"/>
  <c r="V898" i="15"/>
  <c r="N898" i="15"/>
  <c r="AB898" i="15"/>
  <c r="R898" i="15"/>
  <c r="G898" i="15"/>
  <c r="AA898" i="15"/>
  <c r="Q898" i="15"/>
  <c r="Z898" i="15"/>
  <c r="O898" i="15"/>
  <c r="Y898" i="15"/>
  <c r="M898" i="15"/>
  <c r="K898" i="15"/>
  <c r="AG898" i="15"/>
  <c r="I900" i="15"/>
  <c r="AE900" i="15"/>
  <c r="S903" i="15"/>
  <c r="U908" i="15"/>
  <c r="Q909" i="15"/>
  <c r="I911" i="15"/>
  <c r="AE911" i="15"/>
  <c r="AF914" i="15"/>
  <c r="X914" i="15"/>
  <c r="P914" i="15"/>
  <c r="H914" i="15"/>
  <c r="AD914" i="15"/>
  <c r="V914" i="15"/>
  <c r="N914" i="15"/>
  <c r="AB914" i="15"/>
  <c r="R914" i="15"/>
  <c r="G914" i="15"/>
  <c r="AA914" i="15"/>
  <c r="Q914" i="15"/>
  <c r="Z914" i="15"/>
  <c r="O914" i="15"/>
  <c r="Y914" i="15"/>
  <c r="M914" i="15"/>
  <c r="K914" i="15"/>
  <c r="AG914" i="15"/>
  <c r="I916" i="15"/>
  <c r="AE916" i="15"/>
  <c r="S919" i="15"/>
  <c r="U922" i="15"/>
  <c r="U924" i="15"/>
  <c r="Q925" i="15"/>
  <c r="I927" i="15"/>
  <c r="AE927" i="15"/>
  <c r="AF930" i="15"/>
  <c r="X930" i="15"/>
  <c r="P930" i="15"/>
  <c r="H930" i="15"/>
  <c r="AD930" i="15"/>
  <c r="V930" i="15"/>
  <c r="N930" i="15"/>
  <c r="AB930" i="15"/>
  <c r="R930" i="15"/>
  <c r="G930" i="15"/>
  <c r="AA930" i="15"/>
  <c r="Q930" i="15"/>
  <c r="Z930" i="15"/>
  <c r="O930" i="15"/>
  <c r="Y930" i="15"/>
  <c r="M930" i="15"/>
  <c r="K930" i="15"/>
  <c r="AG930" i="15"/>
  <c r="I932" i="15"/>
  <c r="AE932" i="15"/>
  <c r="S935" i="15"/>
  <c r="U938" i="15"/>
  <c r="U940" i="15"/>
  <c r="Q941" i="15"/>
  <c r="I943" i="15"/>
  <c r="AE943" i="15"/>
  <c r="AF946" i="15"/>
  <c r="X946" i="15"/>
  <c r="P946" i="15"/>
  <c r="H946" i="15"/>
  <c r="AD946" i="15"/>
  <c r="V946" i="15"/>
  <c r="N946" i="15"/>
  <c r="AB946" i="15"/>
  <c r="R946" i="15"/>
  <c r="G946" i="15"/>
  <c r="AA946" i="15"/>
  <c r="Q946" i="15"/>
  <c r="Z946" i="15"/>
  <c r="O946" i="15"/>
  <c r="Y946" i="15"/>
  <c r="M946" i="15"/>
  <c r="K946" i="15"/>
  <c r="AG946" i="15"/>
  <c r="I948" i="15"/>
  <c r="AE948" i="15"/>
  <c r="J954" i="15"/>
  <c r="U957" i="15"/>
  <c r="M959" i="15"/>
  <c r="AH959" i="15"/>
  <c r="I962" i="15"/>
  <c r="AC962" i="15"/>
  <c r="W964" i="15"/>
  <c r="T965" i="15"/>
  <c r="AD967" i="15"/>
  <c r="V967" i="15"/>
  <c r="N967" i="15"/>
  <c r="AB967" i="15"/>
  <c r="T967" i="15"/>
  <c r="L967" i="15"/>
  <c r="AC967" i="15"/>
  <c r="R967" i="15"/>
  <c r="H967" i="15"/>
  <c r="AA967" i="15"/>
  <c r="Q967" i="15"/>
  <c r="G967" i="15"/>
  <c r="Z967" i="15"/>
  <c r="P967" i="15"/>
  <c r="Y967" i="15"/>
  <c r="O967" i="15"/>
  <c r="K967" i="15"/>
  <c r="AG967" i="15"/>
  <c r="V972" i="15"/>
  <c r="J975" i="15"/>
  <c r="AB980" i="15"/>
  <c r="T980" i="15"/>
  <c r="L980" i="15"/>
  <c r="AH980" i="15"/>
  <c r="Z980" i="15"/>
  <c r="R980" i="15"/>
  <c r="J980" i="15"/>
  <c r="AD980" i="15"/>
  <c r="S980" i="15"/>
  <c r="H980" i="15"/>
  <c r="AC980" i="15"/>
  <c r="Q980" i="15"/>
  <c r="G980" i="15"/>
  <c r="AA980" i="15"/>
  <c r="P980" i="15"/>
  <c r="Y980" i="15"/>
  <c r="O980" i="15"/>
  <c r="M980" i="15"/>
  <c r="AG980" i="15"/>
  <c r="I981" i="15"/>
  <c r="W983" i="15"/>
  <c r="I986" i="15"/>
  <c r="AC986" i="15"/>
  <c r="W988" i="15"/>
  <c r="AD991" i="15"/>
  <c r="V991" i="15"/>
  <c r="N991" i="15"/>
  <c r="AB991" i="15"/>
  <c r="T991" i="15"/>
  <c r="L991" i="15"/>
  <c r="AC991" i="15"/>
  <c r="R991" i="15"/>
  <c r="H991" i="15"/>
  <c r="AA991" i="15"/>
  <c r="Q991" i="15"/>
  <c r="G991" i="15"/>
  <c r="Z991" i="15"/>
  <c r="P991" i="15"/>
  <c r="Y991" i="15"/>
  <c r="O991" i="15"/>
  <c r="K991" i="15"/>
  <c r="AG991" i="15"/>
  <c r="U994" i="15"/>
  <c r="U996" i="15"/>
  <c r="Q997" i="15"/>
  <c r="I999" i="15"/>
  <c r="AE999" i="15"/>
  <c r="N1004" i="15"/>
  <c r="AH1005" i="15"/>
  <c r="Z1005" i="15"/>
  <c r="R1005" i="15"/>
  <c r="J1005" i="15"/>
  <c r="AF1005" i="15"/>
  <c r="X1005" i="15"/>
  <c r="P1005" i="15"/>
  <c r="H1005" i="15"/>
  <c r="AA1005" i="15"/>
  <c r="O1005" i="15"/>
  <c r="Y1005" i="15"/>
  <c r="N1005" i="15"/>
  <c r="W1005" i="15"/>
  <c r="M1005" i="15"/>
  <c r="AG1005" i="15"/>
  <c r="V1005" i="15"/>
  <c r="L1005" i="15"/>
  <c r="K1005" i="15"/>
  <c r="AE1005" i="15"/>
  <c r="W1007" i="15"/>
  <c r="AF1010" i="15"/>
  <c r="X1010" i="15"/>
  <c r="P1010" i="15"/>
  <c r="H1010" i="15"/>
  <c r="AD1010" i="15"/>
  <c r="V1010" i="15"/>
  <c r="N1010" i="15"/>
  <c r="AB1010" i="15"/>
  <c r="R1010" i="15"/>
  <c r="G1010" i="15"/>
  <c r="AA1010" i="15"/>
  <c r="Q1010" i="15"/>
  <c r="Z1010" i="15"/>
  <c r="O1010" i="15"/>
  <c r="Y1010" i="15"/>
  <c r="M1010" i="15"/>
  <c r="K1010" i="15"/>
  <c r="AG1010" i="15"/>
  <c r="I1012" i="15"/>
  <c r="AE1012" i="15"/>
  <c r="S1015" i="15"/>
  <c r="T1018" i="15"/>
  <c r="N1020" i="15"/>
  <c r="AH1021" i="15"/>
  <c r="Z1021" i="15"/>
  <c r="R1021" i="15"/>
  <c r="J1021" i="15"/>
  <c r="AF1021" i="15"/>
  <c r="X1021" i="15"/>
  <c r="P1021" i="15"/>
  <c r="H1021" i="15"/>
  <c r="AA1021" i="15"/>
  <c r="O1021" i="15"/>
  <c r="Y1021" i="15"/>
  <c r="N1021" i="15"/>
  <c r="W1021" i="15"/>
  <c r="M1021" i="15"/>
  <c r="AG1021" i="15"/>
  <c r="V1021" i="15"/>
  <c r="L1021" i="15"/>
  <c r="K1021" i="15"/>
  <c r="AE1021" i="15"/>
  <c r="U1028" i="15"/>
  <c r="Q1029" i="15"/>
  <c r="I1031" i="15"/>
  <c r="AE1031" i="15"/>
  <c r="V1036" i="15"/>
  <c r="S1037" i="15"/>
  <c r="J1039" i="15"/>
  <c r="I1042" i="15"/>
  <c r="AC1042" i="15"/>
  <c r="W1044" i="15"/>
  <c r="T1045" i="15"/>
  <c r="AD1047" i="15"/>
  <c r="V1047" i="15"/>
  <c r="N1047" i="15"/>
  <c r="AB1047" i="15"/>
  <c r="T1047" i="15"/>
  <c r="L1047" i="15"/>
  <c r="AC1047" i="15"/>
  <c r="R1047" i="15"/>
  <c r="H1047" i="15"/>
  <c r="AA1047" i="15"/>
  <c r="Q1047" i="15"/>
  <c r="G1047" i="15"/>
  <c r="Z1047" i="15"/>
  <c r="P1047" i="15"/>
  <c r="Y1047" i="15"/>
  <c r="O1047" i="15"/>
  <c r="K1047" i="15"/>
  <c r="AG1047" i="15"/>
  <c r="J1050" i="15"/>
  <c r="U1053" i="15"/>
  <c r="M1055" i="15"/>
  <c r="AH1055" i="15"/>
  <c r="AF1058" i="15"/>
  <c r="X1058" i="15"/>
  <c r="P1058" i="15"/>
  <c r="H1058" i="15"/>
  <c r="AD1058" i="15"/>
  <c r="V1058" i="15"/>
  <c r="N1058" i="15"/>
  <c r="AB1058" i="15"/>
  <c r="R1058" i="15"/>
  <c r="G1058" i="15"/>
  <c r="AA1058" i="15"/>
  <c r="Q1058" i="15"/>
  <c r="Z1058" i="15"/>
  <c r="O1058" i="15"/>
  <c r="Y1058" i="15"/>
  <c r="M1058" i="15"/>
  <c r="K1058" i="15"/>
  <c r="AG1058" i="15"/>
  <c r="I1060" i="15"/>
  <c r="AE1060" i="15"/>
  <c r="T1066" i="15"/>
  <c r="N1068" i="15"/>
  <c r="AH1069" i="15"/>
  <c r="Z1069" i="15"/>
  <c r="R1069" i="15"/>
  <c r="J1069" i="15"/>
  <c r="AF1069" i="15"/>
  <c r="X1069" i="15"/>
  <c r="P1069" i="15"/>
  <c r="H1069" i="15"/>
  <c r="AA1069" i="15"/>
  <c r="O1069" i="15"/>
  <c r="Y1069" i="15"/>
  <c r="N1069" i="15"/>
  <c r="W1069" i="15"/>
  <c r="M1069" i="15"/>
  <c r="AG1069" i="15"/>
  <c r="V1069" i="15"/>
  <c r="L1069" i="15"/>
  <c r="K1069" i="15"/>
  <c r="AE1069" i="15"/>
  <c r="AB1076" i="15"/>
  <c r="T1076" i="15"/>
  <c r="L1076" i="15"/>
  <c r="AH1076" i="15"/>
  <c r="Z1076" i="15"/>
  <c r="R1076" i="15"/>
  <c r="J1076" i="15"/>
  <c r="AD1076" i="15"/>
  <c r="S1076" i="15"/>
  <c r="H1076" i="15"/>
  <c r="AC1076" i="15"/>
  <c r="Q1076" i="15"/>
  <c r="G1076" i="15"/>
  <c r="AA1076" i="15"/>
  <c r="P1076" i="15"/>
  <c r="Y1076" i="15"/>
  <c r="O1076" i="15"/>
  <c r="M1076" i="15"/>
  <c r="AG1076" i="15"/>
  <c r="I1077" i="15"/>
  <c r="W1079" i="15"/>
  <c r="L1082" i="15"/>
  <c r="K1084" i="15"/>
  <c r="G1085" i="15"/>
  <c r="AC1085" i="15"/>
  <c r="V1092" i="15"/>
  <c r="S1093" i="15"/>
  <c r="J1095" i="15"/>
  <c r="U1100" i="15"/>
  <c r="Q1101" i="15"/>
  <c r="I1103" i="15"/>
  <c r="AE1103" i="15"/>
  <c r="N1108" i="15"/>
  <c r="AH1109" i="15"/>
  <c r="Z1109" i="15"/>
  <c r="R1109" i="15"/>
  <c r="J1109" i="15"/>
  <c r="AF1109" i="15"/>
  <c r="X1109" i="15"/>
  <c r="P1109" i="15"/>
  <c r="H1109" i="15"/>
  <c r="AA1109" i="15"/>
  <c r="O1109" i="15"/>
  <c r="Y1109" i="15"/>
  <c r="N1109" i="15"/>
  <c r="W1109" i="15"/>
  <c r="M1109" i="15"/>
  <c r="AG1109" i="15"/>
  <c r="V1109" i="15"/>
  <c r="L1109" i="15"/>
  <c r="K1109" i="15"/>
  <c r="AE1109" i="15"/>
  <c r="AF1114" i="15"/>
  <c r="X1114" i="15"/>
  <c r="P1114" i="15"/>
  <c r="H1114" i="15"/>
  <c r="AD1114" i="15"/>
  <c r="V1114" i="15"/>
  <c r="N1114" i="15"/>
  <c r="AB1114" i="15"/>
  <c r="R1114" i="15"/>
  <c r="G1114" i="15"/>
  <c r="AA1114" i="15"/>
  <c r="Q1114" i="15"/>
  <c r="Z1114" i="15"/>
  <c r="O1114" i="15"/>
  <c r="Y1114" i="15"/>
  <c r="M1114" i="15"/>
  <c r="K1114" i="15"/>
  <c r="AG1114" i="15"/>
  <c r="I1116" i="15"/>
  <c r="AE1116" i="15"/>
  <c r="S1119" i="15"/>
  <c r="J1122" i="15"/>
  <c r="M1127" i="15"/>
  <c r="AH1127" i="15"/>
  <c r="I1130" i="15"/>
  <c r="AC1130" i="15"/>
  <c r="W1132" i="15"/>
  <c r="AD1135" i="15"/>
  <c r="V1135" i="15"/>
  <c r="N1135" i="15"/>
  <c r="AB1135" i="15"/>
  <c r="T1135" i="15"/>
  <c r="L1135" i="15"/>
  <c r="AC1135" i="15"/>
  <c r="R1135" i="15"/>
  <c r="H1135" i="15"/>
  <c r="AA1135" i="15"/>
  <c r="Q1135" i="15"/>
  <c r="G1135" i="15"/>
  <c r="Z1135" i="15"/>
  <c r="P1135" i="15"/>
  <c r="Y1135" i="15"/>
  <c r="O1135" i="15"/>
  <c r="K1135" i="15"/>
  <c r="AG1135" i="15"/>
  <c r="I1149" i="15"/>
  <c r="AG1149" i="15"/>
  <c r="G1152" i="15"/>
  <c r="AF1152" i="15"/>
  <c r="X1168" i="15"/>
  <c r="X1169" i="15"/>
  <c r="I1172" i="15"/>
  <c r="AG1172" i="15"/>
  <c r="G1174" i="15"/>
  <c r="AE1174" i="15"/>
  <c r="H1175" i="15"/>
  <c r="AE1175" i="15"/>
  <c r="G1176" i="15"/>
  <c r="AE1176" i="15"/>
  <c r="N1192" i="15"/>
  <c r="J1195" i="15"/>
  <c r="AB1196" i="15"/>
  <c r="T1196" i="15"/>
  <c r="L1196" i="15"/>
  <c r="AG1196" i="15"/>
  <c r="X1196" i="15"/>
  <c r="O1196" i="15"/>
  <c r="AE1196" i="15"/>
  <c r="V1196" i="15"/>
  <c r="M1196" i="15"/>
  <c r="AA1196" i="15"/>
  <c r="P1196" i="15"/>
  <c r="Z1196" i="15"/>
  <c r="N1196" i="15"/>
  <c r="Y1196" i="15"/>
  <c r="K1196" i="15"/>
  <c r="W1196" i="15"/>
  <c r="J1196" i="15"/>
  <c r="I1196" i="15"/>
  <c r="AH1196" i="15"/>
  <c r="K1202" i="15"/>
  <c r="AB1204" i="15"/>
  <c r="T1204" i="15"/>
  <c r="L1204" i="15"/>
  <c r="AC1204" i="15"/>
  <c r="S1204" i="15"/>
  <c r="J1204" i="15"/>
  <c r="Z1204" i="15"/>
  <c r="Q1204" i="15"/>
  <c r="H1204" i="15"/>
  <c r="AG1204" i="15"/>
  <c r="V1204" i="15"/>
  <c r="I1204" i="15"/>
  <c r="AF1204" i="15"/>
  <c r="U1204" i="15"/>
  <c r="G1204" i="15"/>
  <c r="AE1204" i="15"/>
  <c r="R1204" i="15"/>
  <c r="AD1204" i="15"/>
  <c r="P1204" i="15"/>
  <c r="N1204" i="15"/>
  <c r="M1206" i="15"/>
  <c r="T1207" i="15"/>
  <c r="S1211" i="15"/>
  <c r="AB1220" i="15"/>
  <c r="T1220" i="15"/>
  <c r="L1220" i="15"/>
  <c r="AC1220" i="15"/>
  <c r="S1220" i="15"/>
  <c r="J1220" i="15"/>
  <c r="Z1220" i="15"/>
  <c r="Q1220" i="15"/>
  <c r="H1220" i="15"/>
  <c r="AG1220" i="15"/>
  <c r="V1220" i="15"/>
  <c r="I1220" i="15"/>
  <c r="AF1220" i="15"/>
  <c r="U1220" i="15"/>
  <c r="G1220" i="15"/>
  <c r="AE1220" i="15"/>
  <c r="R1220" i="15"/>
  <c r="AD1220" i="15"/>
  <c r="P1220" i="15"/>
  <c r="N1220" i="15"/>
  <c r="M1222" i="15"/>
  <c r="T1223" i="15"/>
  <c r="V1224" i="15"/>
  <c r="R1228" i="15"/>
  <c r="W1236" i="15"/>
  <c r="V1238" i="15"/>
  <c r="X1239" i="15"/>
  <c r="U1244" i="15"/>
  <c r="T1251" i="15"/>
  <c r="J1259" i="15"/>
  <c r="X1267" i="15"/>
  <c r="L1274" i="15"/>
  <c r="AB1280" i="15"/>
  <c r="T1280" i="15"/>
  <c r="L1280" i="15"/>
  <c r="AA1280" i="15"/>
  <c r="S1280" i="15"/>
  <c r="K1280" i="15"/>
  <c r="Y1280" i="15"/>
  <c r="O1280" i="15"/>
  <c r="AG1280" i="15"/>
  <c r="W1280" i="15"/>
  <c r="M1280" i="15"/>
  <c r="AH1280" i="15"/>
  <c r="U1280" i="15"/>
  <c r="G1280" i="15"/>
  <c r="AF1280" i="15"/>
  <c r="R1280" i="15"/>
  <c r="AE1280" i="15"/>
  <c r="Q1280" i="15"/>
  <c r="AD1280" i="15"/>
  <c r="P1280" i="15"/>
  <c r="J1280" i="15"/>
  <c r="AF1282" i="15"/>
  <c r="X1282" i="15"/>
  <c r="P1282" i="15"/>
  <c r="H1282" i="15"/>
  <c r="AE1282" i="15"/>
  <c r="W1282" i="15"/>
  <c r="O1282" i="15"/>
  <c r="G1282" i="15"/>
  <c r="AC1282" i="15"/>
  <c r="S1282" i="15"/>
  <c r="I1282" i="15"/>
  <c r="AA1282" i="15"/>
  <c r="Q1282" i="15"/>
  <c r="U1282" i="15"/>
  <c r="AH1282" i="15"/>
  <c r="T1282" i="15"/>
  <c r="AG1282" i="15"/>
  <c r="R1282" i="15"/>
  <c r="AD1282" i="15"/>
  <c r="N1282" i="15"/>
  <c r="L1282" i="15"/>
  <c r="G1299" i="15"/>
  <c r="AH1299" i="15"/>
  <c r="AF1306" i="15"/>
  <c r="X1306" i="15"/>
  <c r="P1306" i="15"/>
  <c r="H1306" i="15"/>
  <c r="AE1306" i="15"/>
  <c r="W1306" i="15"/>
  <c r="O1306" i="15"/>
  <c r="G1306" i="15"/>
  <c r="AC1306" i="15"/>
  <c r="S1306" i="15"/>
  <c r="I1306" i="15"/>
  <c r="AA1306" i="15"/>
  <c r="Q1306" i="15"/>
  <c r="Y1306" i="15"/>
  <c r="K1306" i="15"/>
  <c r="V1306" i="15"/>
  <c r="J1306" i="15"/>
  <c r="U1306" i="15"/>
  <c r="AH1306" i="15"/>
  <c r="T1306" i="15"/>
  <c r="N1306" i="15"/>
  <c r="V1312" i="15"/>
  <c r="V1314" i="15"/>
  <c r="L1323" i="15"/>
  <c r="AD1331" i="15"/>
  <c r="V1331" i="15"/>
  <c r="N1331" i="15"/>
  <c r="AC1331" i="15"/>
  <c r="U1331" i="15"/>
  <c r="M1331" i="15"/>
  <c r="Y1331" i="15"/>
  <c r="O1331" i="15"/>
  <c r="AG1331" i="15"/>
  <c r="W1331" i="15"/>
  <c r="K1331" i="15"/>
  <c r="AE1331" i="15"/>
  <c r="Q1331" i="15"/>
  <c r="AB1331" i="15"/>
  <c r="P1331" i="15"/>
  <c r="AA1331" i="15"/>
  <c r="L1331" i="15"/>
  <c r="Z1331" i="15"/>
  <c r="J1331" i="15"/>
  <c r="I1331" i="15"/>
  <c r="Z1344" i="15"/>
  <c r="AE1359" i="15"/>
  <c r="W1359" i="15"/>
  <c r="O1359" i="15"/>
  <c r="G1359" i="15"/>
  <c r="AD1359" i="15"/>
  <c r="V1359" i="15"/>
  <c r="N1359" i="15"/>
  <c r="AC1359" i="15"/>
  <c r="U1359" i="15"/>
  <c r="M1359" i="15"/>
  <c r="AH1359" i="15"/>
  <c r="T1359" i="15"/>
  <c r="I1359" i="15"/>
  <c r="AF1359" i="15"/>
  <c r="R1359" i="15"/>
  <c r="Y1359" i="15"/>
  <c r="H1359" i="15"/>
  <c r="X1359" i="15"/>
  <c r="S1359" i="15"/>
  <c r="Q1359" i="15"/>
  <c r="L1359" i="15"/>
  <c r="K1363" i="15"/>
  <c r="W1364" i="15"/>
  <c r="G1368" i="15"/>
  <c r="R1371" i="15"/>
  <c r="P1383" i="15"/>
  <c r="X1392" i="15"/>
  <c r="Y1400" i="15"/>
  <c r="Y1408" i="15"/>
  <c r="L1415" i="15"/>
  <c r="W1416" i="15"/>
  <c r="AC1424" i="15"/>
  <c r="U1424" i="15"/>
  <c r="M1424" i="15"/>
  <c r="AB1424" i="15"/>
  <c r="T1424" i="15"/>
  <c r="L1424" i="15"/>
  <c r="AA1424" i="15"/>
  <c r="S1424" i="15"/>
  <c r="K1424" i="15"/>
  <c r="AG1424" i="15"/>
  <c r="V1424" i="15"/>
  <c r="H1424" i="15"/>
  <c r="AE1424" i="15"/>
  <c r="Q1424" i="15"/>
  <c r="X1424" i="15"/>
  <c r="G1424" i="15"/>
  <c r="W1424" i="15"/>
  <c r="R1424" i="15"/>
  <c r="AH1424" i="15"/>
  <c r="P1424" i="15"/>
  <c r="N1424" i="15"/>
  <c r="AD1432" i="15"/>
  <c r="Y1440" i="15"/>
  <c r="AC1448" i="15"/>
  <c r="U1448" i="15"/>
  <c r="M1448" i="15"/>
  <c r="AB1448" i="15"/>
  <c r="T1448" i="15"/>
  <c r="L1448" i="15"/>
  <c r="AA1448" i="15"/>
  <c r="S1448" i="15"/>
  <c r="K1448" i="15"/>
  <c r="X1448" i="15"/>
  <c r="J1448" i="15"/>
  <c r="AG1448" i="15"/>
  <c r="V1448" i="15"/>
  <c r="H1448" i="15"/>
  <c r="W1448" i="15"/>
  <c r="R1448" i="15"/>
  <c r="AH1448" i="15"/>
  <c r="Q1448" i="15"/>
  <c r="AF1448" i="15"/>
  <c r="P1448" i="15"/>
  <c r="N1448" i="15"/>
  <c r="Y1463" i="15"/>
  <c r="AD1480" i="15"/>
  <c r="Z1495" i="15"/>
  <c r="AC1512" i="15"/>
  <c r="U1512" i="15"/>
  <c r="M1512" i="15"/>
  <c r="AB1512" i="15"/>
  <c r="T1512" i="15"/>
  <c r="L1512" i="15"/>
  <c r="AA1512" i="15"/>
  <c r="S1512" i="15"/>
  <c r="K1512" i="15"/>
  <c r="X1512" i="15"/>
  <c r="J1512" i="15"/>
  <c r="AG1512" i="15"/>
  <c r="V1512" i="15"/>
  <c r="H1512" i="15"/>
  <c r="Z1512" i="15"/>
  <c r="I1512" i="15"/>
  <c r="Y1512" i="15"/>
  <c r="G1512" i="15"/>
  <c r="W1512" i="15"/>
  <c r="R1512" i="15"/>
  <c r="P1512" i="15"/>
  <c r="AA1519" i="15"/>
  <c r="H1535" i="15"/>
  <c r="X1543" i="15"/>
  <c r="AE1551" i="15"/>
  <c r="W1551" i="15"/>
  <c r="O1551" i="15"/>
  <c r="G1551" i="15"/>
  <c r="AD1551" i="15"/>
  <c r="V1551" i="15"/>
  <c r="N1551" i="15"/>
  <c r="AC1551" i="15"/>
  <c r="U1551" i="15"/>
  <c r="M1551" i="15"/>
  <c r="AH1551" i="15"/>
  <c r="T1551" i="15"/>
  <c r="I1551" i="15"/>
  <c r="AF1551" i="15"/>
  <c r="R1551" i="15"/>
  <c r="Z1551" i="15"/>
  <c r="J1551" i="15"/>
  <c r="Y1551" i="15"/>
  <c r="H1551" i="15"/>
  <c r="X1551" i="15"/>
  <c r="S1551" i="15"/>
  <c r="P1551" i="15"/>
  <c r="Y1552" i="15"/>
  <c r="AE1564" i="15"/>
  <c r="AE1576" i="15"/>
  <c r="AE1584" i="15"/>
  <c r="Q1591" i="15"/>
  <c r="AG1592" i="15"/>
  <c r="T1603" i="15"/>
  <c r="P1612" i="15"/>
  <c r="O1620" i="15"/>
  <c r="R1655" i="15"/>
  <c r="H1656" i="15"/>
  <c r="AA1659" i="15"/>
  <c r="AH1663" i="15"/>
  <c r="AF1735" i="15"/>
  <c r="X1735" i="15"/>
  <c r="P1735" i="15"/>
  <c r="H1735" i="15"/>
  <c r="AE1735" i="15"/>
  <c r="W1735" i="15"/>
  <c r="O1735" i="15"/>
  <c r="G1735" i="15"/>
  <c r="AD1735" i="15"/>
  <c r="V1735" i="15"/>
  <c r="N1735" i="15"/>
  <c r="AC1735" i="15"/>
  <c r="U1735" i="15"/>
  <c r="M1735" i="15"/>
  <c r="Y1735" i="15"/>
  <c r="I1735" i="15"/>
  <c r="T1735" i="15"/>
  <c r="S1735" i="15"/>
  <c r="AG1735" i="15"/>
  <c r="J1735" i="15"/>
  <c r="AB1735" i="15"/>
  <c r="AA1735" i="15"/>
  <c r="Z1735" i="15"/>
  <c r="Q1735" i="15"/>
  <c r="AF1743" i="15"/>
  <c r="X1743" i="15"/>
  <c r="P1743" i="15"/>
  <c r="H1743" i="15"/>
  <c r="AE1743" i="15"/>
  <c r="W1743" i="15"/>
  <c r="O1743" i="15"/>
  <c r="G1743" i="15"/>
  <c r="AD1743" i="15"/>
  <c r="V1743" i="15"/>
  <c r="N1743" i="15"/>
  <c r="AC1743" i="15"/>
  <c r="U1743" i="15"/>
  <c r="M1743" i="15"/>
  <c r="Y1743" i="15"/>
  <c r="I1743" i="15"/>
  <c r="T1743" i="15"/>
  <c r="S1743" i="15"/>
  <c r="AA1743" i="15"/>
  <c r="Z1743" i="15"/>
  <c r="R1743" i="15"/>
  <c r="Q1743" i="15"/>
  <c r="L1743" i="15"/>
  <c r="AF1759" i="15"/>
  <c r="X1759" i="15"/>
  <c r="P1759" i="15"/>
  <c r="H1759" i="15"/>
  <c r="AE1759" i="15"/>
  <c r="W1759" i="15"/>
  <c r="O1759" i="15"/>
  <c r="G1759" i="15"/>
  <c r="AD1759" i="15"/>
  <c r="V1759" i="15"/>
  <c r="N1759" i="15"/>
  <c r="AC1759" i="15"/>
  <c r="U1759" i="15"/>
  <c r="M1759" i="15"/>
  <c r="Y1759" i="15"/>
  <c r="I1759" i="15"/>
  <c r="T1759" i="15"/>
  <c r="S1759" i="15"/>
  <c r="AA1759" i="15"/>
  <c r="Z1759" i="15"/>
  <c r="R1759" i="15"/>
  <c r="Q1759" i="15"/>
  <c r="L1759" i="15"/>
  <c r="AB1799" i="15"/>
  <c r="AA1815" i="15"/>
  <c r="AA1823" i="15"/>
  <c r="AA1831" i="15"/>
  <c r="AA1839" i="15"/>
  <c r="AA1847" i="15"/>
  <c r="AA1855" i="15"/>
  <c r="AA1863" i="15"/>
  <c r="AA1871" i="15"/>
  <c r="AA1879" i="15"/>
  <c r="AA1887" i="15"/>
  <c r="J1899" i="15"/>
  <c r="J1931" i="15"/>
  <c r="AD1968" i="15"/>
  <c r="V1968" i="15"/>
  <c r="N1968" i="15"/>
  <c r="AC1968" i="15"/>
  <c r="U1968" i="15"/>
  <c r="M1968" i="15"/>
  <c r="AB1968" i="15"/>
  <c r="T1968" i="15"/>
  <c r="L1968" i="15"/>
  <c r="AA1968" i="15"/>
  <c r="S1968" i="15"/>
  <c r="K1968" i="15"/>
  <c r="X1968" i="15"/>
  <c r="H1968" i="15"/>
  <c r="W1968" i="15"/>
  <c r="G1968" i="15"/>
  <c r="AH1968" i="15"/>
  <c r="R1968" i="15"/>
  <c r="Z1968" i="15"/>
  <c r="Y1968" i="15"/>
  <c r="Q1968" i="15"/>
  <c r="P1968" i="15"/>
  <c r="O1968" i="15"/>
  <c r="J1971" i="15"/>
  <c r="AG1976" i="15"/>
  <c r="T1979" i="15"/>
  <c r="AE1992" i="15"/>
  <c r="E17" i="16"/>
  <c r="J20" i="16"/>
  <c r="P33" i="16"/>
  <c r="H33" i="9" s="1"/>
  <c r="F33" i="16"/>
  <c r="M45" i="16"/>
  <c r="E45" i="16"/>
  <c r="L45" i="16"/>
  <c r="K45" i="16"/>
  <c r="J45" i="16"/>
  <c r="F45" i="16"/>
  <c r="T45" i="16"/>
  <c r="H45" i="16"/>
  <c r="G45" i="16"/>
  <c r="H49" i="16"/>
  <c r="G49" i="16"/>
  <c r="L49" i="16"/>
  <c r="K49" i="16"/>
  <c r="J49" i="16"/>
  <c r="M49" i="16"/>
  <c r="P51" i="16"/>
  <c r="H51" i="9" s="1"/>
  <c r="G51" i="16"/>
  <c r="F51" i="16"/>
  <c r="M51" i="16"/>
  <c r="E51" i="16"/>
  <c r="L51" i="16"/>
  <c r="I51" i="16"/>
  <c r="H51" i="16"/>
  <c r="J51" i="16"/>
  <c r="M55" i="16"/>
  <c r="M77" i="16"/>
  <c r="L77" i="16"/>
  <c r="K77" i="16"/>
  <c r="P92" i="16"/>
  <c r="H92" i="9" s="1"/>
  <c r="F92" i="16"/>
  <c r="I107" i="9"/>
  <c r="F107" i="16"/>
  <c r="T137" i="16"/>
  <c r="F137" i="16"/>
  <c r="P137" i="16"/>
  <c r="H137" i="9" s="1"/>
  <c r="E138" i="16"/>
  <c r="H159" i="16"/>
  <c r="M159" i="16"/>
  <c r="L159" i="16"/>
  <c r="K159" i="16"/>
  <c r="J159" i="16"/>
  <c r="P192" i="16"/>
  <c r="H192" i="9" s="1"/>
  <c r="H192" i="16"/>
  <c r="G192" i="16"/>
  <c r="M192" i="16"/>
  <c r="E192" i="16"/>
  <c r="K192" i="16"/>
  <c r="J192" i="16"/>
  <c r="I192" i="16"/>
  <c r="L192" i="16"/>
  <c r="J214" i="16"/>
  <c r="T220" i="16"/>
  <c r="O281" i="16"/>
  <c r="G281" i="16"/>
  <c r="M281" i="16"/>
  <c r="E281" i="16"/>
  <c r="I281" i="9" s="1"/>
  <c r="J281" i="16"/>
  <c r="I281" i="16"/>
  <c r="H281" i="16"/>
  <c r="K281" i="16"/>
  <c r="L281" i="16"/>
  <c r="F446" i="16"/>
  <c r="T476" i="16"/>
  <c r="P476" i="16"/>
  <c r="H476" i="9" s="1"/>
  <c r="M483" i="16"/>
  <c r="E483" i="16"/>
  <c r="L483" i="16"/>
  <c r="K483" i="16"/>
  <c r="H483" i="16"/>
  <c r="G483" i="16"/>
  <c r="J483" i="16"/>
  <c r="I483" i="16"/>
  <c r="O483" i="16" s="1"/>
  <c r="J606" i="16"/>
  <c r="K606" i="16"/>
  <c r="G606" i="16"/>
  <c r="M606" i="16"/>
  <c r="M634" i="16"/>
  <c r="E634" i="16"/>
  <c r="I634" i="9" s="1"/>
  <c r="L634" i="16"/>
  <c r="J634" i="16"/>
  <c r="I634" i="16"/>
  <c r="O634" i="16" s="1"/>
  <c r="H634" i="16"/>
  <c r="G634" i="16"/>
  <c r="K634" i="16"/>
  <c r="T634" i="16"/>
  <c r="P634" i="16"/>
  <c r="H634" i="9" s="1"/>
  <c r="L695" i="16"/>
  <c r="K695" i="16"/>
  <c r="J695" i="16"/>
  <c r="M695" i="16"/>
  <c r="L862" i="16"/>
  <c r="M966" i="16"/>
  <c r="L966" i="16"/>
  <c r="K966" i="16"/>
  <c r="G966" i="16"/>
  <c r="F1102" i="16"/>
  <c r="V74" i="15"/>
  <c r="N74" i="15"/>
  <c r="W74" i="15"/>
  <c r="M74" i="15"/>
  <c r="U74" i="15"/>
  <c r="L74" i="15"/>
  <c r="AC74" i="15"/>
  <c r="AG74" i="15" s="1"/>
  <c r="Q74" i="7" s="1"/>
  <c r="K74" i="15"/>
  <c r="AB74" i="15"/>
  <c r="S74" i="15"/>
  <c r="J74" i="15"/>
  <c r="I74" i="15"/>
  <c r="AA74" i="15"/>
  <c r="J78" i="15"/>
  <c r="H78" i="15"/>
  <c r="X81" i="15"/>
  <c r="P81" i="15"/>
  <c r="H81" i="15"/>
  <c r="Z81" i="15"/>
  <c r="Q81" i="15"/>
  <c r="G81" i="15"/>
  <c r="Y81" i="15"/>
  <c r="O81" i="15"/>
  <c r="AG81" i="15"/>
  <c r="Q81" i="7" s="1"/>
  <c r="W81" i="15"/>
  <c r="N81" i="15"/>
  <c r="AF81" i="15" s="1"/>
  <c r="AE81" i="15"/>
  <c r="O81" i="7" s="1"/>
  <c r="V81" i="15"/>
  <c r="M81" i="15"/>
  <c r="K81" i="15"/>
  <c r="AC81" i="15"/>
  <c r="K89" i="15"/>
  <c r="I89" i="15"/>
  <c r="X101" i="15"/>
  <c r="AG101" i="15" s="1"/>
  <c r="Q101" i="7" s="1"/>
  <c r="P101" i="15"/>
  <c r="H101" i="15"/>
  <c r="W101" i="15"/>
  <c r="N101" i="15"/>
  <c r="V101" i="15"/>
  <c r="M101" i="15"/>
  <c r="U101" i="15"/>
  <c r="L101" i="15"/>
  <c r="AC101" i="15"/>
  <c r="K101" i="15"/>
  <c r="K116" i="15"/>
  <c r="H116" i="15"/>
  <c r="AB213" i="15"/>
  <c r="I218" i="15"/>
  <c r="AC225" i="15"/>
  <c r="AB263" i="15"/>
  <c r="T263" i="15"/>
  <c r="L263" i="15"/>
  <c r="Z263" i="15"/>
  <c r="Q263" i="15"/>
  <c r="H263" i="15"/>
  <c r="AH263" i="15"/>
  <c r="Y263" i="15"/>
  <c r="P263" i="15"/>
  <c r="G263" i="15"/>
  <c r="AG263" i="15"/>
  <c r="X263" i="15"/>
  <c r="O263" i="15"/>
  <c r="AF263" i="15"/>
  <c r="W263" i="15"/>
  <c r="N263" i="15"/>
  <c r="AD282" i="15"/>
  <c r="V282" i="15"/>
  <c r="N282" i="15"/>
  <c r="AF282" i="15"/>
  <c r="W282" i="15"/>
  <c r="M282" i="15"/>
  <c r="AE282" i="15"/>
  <c r="U282" i="15"/>
  <c r="L282" i="15"/>
  <c r="AC282" i="15"/>
  <c r="T282" i="15"/>
  <c r="K282" i="15"/>
  <c r="AB282" i="15"/>
  <c r="S282" i="15"/>
  <c r="J282" i="15"/>
  <c r="AA282" i="15"/>
  <c r="AC289" i="15"/>
  <c r="K295" i="15"/>
  <c r="AB310" i="15"/>
  <c r="K321" i="15"/>
  <c r="AH332" i="15"/>
  <c r="Z332" i="15"/>
  <c r="R332" i="15"/>
  <c r="J332" i="15"/>
  <c r="Y332" i="15"/>
  <c r="P332" i="15"/>
  <c r="G332" i="15"/>
  <c r="AG332" i="15"/>
  <c r="X332" i="15"/>
  <c r="O332" i="15"/>
  <c r="AF332" i="15"/>
  <c r="W332" i="15"/>
  <c r="N332" i="15"/>
  <c r="AE332" i="15"/>
  <c r="V332" i="15"/>
  <c r="M332" i="15"/>
  <c r="I336" i="15"/>
  <c r="AB343" i="15"/>
  <c r="T343" i="15"/>
  <c r="L343" i="15"/>
  <c r="Z343" i="15"/>
  <c r="Q343" i="15"/>
  <c r="H343" i="15"/>
  <c r="AH343" i="15"/>
  <c r="Y343" i="15"/>
  <c r="P343" i="15"/>
  <c r="G343" i="15"/>
  <c r="AG343" i="15"/>
  <c r="X343" i="15"/>
  <c r="O343" i="15"/>
  <c r="AF343" i="15"/>
  <c r="W343" i="15"/>
  <c r="N343" i="15"/>
  <c r="AD358" i="15"/>
  <c r="V358" i="15"/>
  <c r="N358" i="15"/>
  <c r="AH358" i="15"/>
  <c r="Y358" i="15"/>
  <c r="P358" i="15"/>
  <c r="G358" i="15"/>
  <c r="AG358" i="15"/>
  <c r="X358" i="15"/>
  <c r="O358" i="15"/>
  <c r="AF358" i="15"/>
  <c r="W358" i="15"/>
  <c r="M358" i="15"/>
  <c r="AE358" i="15"/>
  <c r="U358" i="15"/>
  <c r="L358" i="15"/>
  <c r="K369" i="15"/>
  <c r="I411" i="15"/>
  <c r="I443" i="15"/>
  <c r="AB453" i="15"/>
  <c r="AA458" i="15"/>
  <c r="K465" i="15"/>
  <c r="I506" i="15"/>
  <c r="AF549" i="15"/>
  <c r="X549" i="15"/>
  <c r="P549" i="15"/>
  <c r="H549" i="15"/>
  <c r="AG549" i="15"/>
  <c r="W549" i="15"/>
  <c r="N549" i="15"/>
  <c r="AE549" i="15"/>
  <c r="V549" i="15"/>
  <c r="M549" i="15"/>
  <c r="AD549" i="15"/>
  <c r="U549" i="15"/>
  <c r="L549" i="15"/>
  <c r="AC549" i="15"/>
  <c r="T549" i="15"/>
  <c r="K549" i="15"/>
  <c r="AD554" i="15"/>
  <c r="V554" i="15"/>
  <c r="N554" i="15"/>
  <c r="AF554" i="15"/>
  <c r="W554" i="15"/>
  <c r="M554" i="15"/>
  <c r="AE554" i="15"/>
  <c r="U554" i="15"/>
  <c r="L554" i="15"/>
  <c r="AC554" i="15"/>
  <c r="T554" i="15"/>
  <c r="K554" i="15"/>
  <c r="AB554" i="15"/>
  <c r="S554" i="15"/>
  <c r="J554" i="15"/>
  <c r="K561" i="15"/>
  <c r="AH572" i="15"/>
  <c r="Z572" i="15"/>
  <c r="R572" i="15"/>
  <c r="J572" i="15"/>
  <c r="Y572" i="15"/>
  <c r="P572" i="15"/>
  <c r="G572" i="15"/>
  <c r="AG572" i="15"/>
  <c r="X572" i="15"/>
  <c r="O572" i="15"/>
  <c r="AF572" i="15"/>
  <c r="W572" i="15"/>
  <c r="N572" i="15"/>
  <c r="AE572" i="15"/>
  <c r="V572" i="15"/>
  <c r="M572" i="15"/>
  <c r="I576" i="15"/>
  <c r="AD582" i="15"/>
  <c r="V582" i="15"/>
  <c r="N582" i="15"/>
  <c r="AH582" i="15"/>
  <c r="Y582" i="15"/>
  <c r="P582" i="15"/>
  <c r="G582" i="15"/>
  <c r="AG582" i="15"/>
  <c r="X582" i="15"/>
  <c r="O582" i="15"/>
  <c r="AF582" i="15"/>
  <c r="W582" i="15"/>
  <c r="M582" i="15"/>
  <c r="AE582" i="15"/>
  <c r="U582" i="15"/>
  <c r="L582" i="15"/>
  <c r="AB582" i="15"/>
  <c r="K604" i="15"/>
  <c r="AB614" i="15"/>
  <c r="AB631" i="15"/>
  <c r="T631" i="15"/>
  <c r="L631" i="15"/>
  <c r="Z631" i="15"/>
  <c r="Q631" i="15"/>
  <c r="H631" i="15"/>
  <c r="AH631" i="15"/>
  <c r="Y631" i="15"/>
  <c r="P631" i="15"/>
  <c r="G631" i="15"/>
  <c r="AG631" i="15"/>
  <c r="X631" i="15"/>
  <c r="O631" i="15"/>
  <c r="AF631" i="15"/>
  <c r="W631" i="15"/>
  <c r="N631" i="15"/>
  <c r="AD631" i="15"/>
  <c r="AB678" i="15"/>
  <c r="AH765" i="15"/>
  <c r="Z765" i="15"/>
  <c r="R765" i="15"/>
  <c r="J765" i="15"/>
  <c r="AF765" i="15"/>
  <c r="X765" i="15"/>
  <c r="P765" i="15"/>
  <c r="H765" i="15"/>
  <c r="AA765" i="15"/>
  <c r="O765" i="15"/>
  <c r="Y765" i="15"/>
  <c r="N765" i="15"/>
  <c r="W765" i="15"/>
  <c r="M765" i="15"/>
  <c r="AG765" i="15"/>
  <c r="V765" i="15"/>
  <c r="L765" i="15"/>
  <c r="AE765" i="15"/>
  <c r="M772" i="15"/>
  <c r="AF786" i="15"/>
  <c r="X786" i="15"/>
  <c r="P786" i="15"/>
  <c r="H786" i="15"/>
  <c r="AD786" i="15"/>
  <c r="V786" i="15"/>
  <c r="N786" i="15"/>
  <c r="AB786" i="15"/>
  <c r="R786" i="15"/>
  <c r="G786" i="15"/>
  <c r="AA786" i="15"/>
  <c r="Q786" i="15"/>
  <c r="Z786" i="15"/>
  <c r="O786" i="15"/>
  <c r="Y786" i="15"/>
  <c r="M786" i="15"/>
  <c r="AG786" i="15"/>
  <c r="K807" i="15"/>
  <c r="AG834" i="15"/>
  <c r="AB876" i="15"/>
  <c r="T876" i="15"/>
  <c r="L876" i="15"/>
  <c r="AH876" i="15"/>
  <c r="Z876" i="15"/>
  <c r="R876" i="15"/>
  <c r="J876" i="15"/>
  <c r="AD876" i="15"/>
  <c r="S876" i="15"/>
  <c r="H876" i="15"/>
  <c r="AC876" i="15"/>
  <c r="Q876" i="15"/>
  <c r="G876" i="15"/>
  <c r="AA876" i="15"/>
  <c r="P876" i="15"/>
  <c r="Y876" i="15"/>
  <c r="O876" i="15"/>
  <c r="K890" i="15"/>
  <c r="AF906" i="15"/>
  <c r="X906" i="15"/>
  <c r="P906" i="15"/>
  <c r="H906" i="15"/>
  <c r="AD906" i="15"/>
  <c r="V906" i="15"/>
  <c r="N906" i="15"/>
  <c r="AB906" i="15"/>
  <c r="R906" i="15"/>
  <c r="G906" i="15"/>
  <c r="AA906" i="15"/>
  <c r="Q906" i="15"/>
  <c r="Z906" i="15"/>
  <c r="O906" i="15"/>
  <c r="Y906" i="15"/>
  <c r="M906" i="15"/>
  <c r="AG906" i="15"/>
  <c r="AG922" i="15"/>
  <c r="M964" i="15"/>
  <c r="K983" i="15"/>
  <c r="M988" i="15"/>
  <c r="K1007" i="15"/>
  <c r="AG1007" i="15"/>
  <c r="AF1026" i="15"/>
  <c r="X1026" i="15"/>
  <c r="P1026" i="15"/>
  <c r="H1026" i="15"/>
  <c r="AD1026" i="15"/>
  <c r="V1026" i="15"/>
  <c r="N1026" i="15"/>
  <c r="AB1026" i="15"/>
  <c r="R1026" i="15"/>
  <c r="G1026" i="15"/>
  <c r="AA1026" i="15"/>
  <c r="Q1026" i="15"/>
  <c r="Z1026" i="15"/>
  <c r="O1026" i="15"/>
  <c r="Y1026" i="15"/>
  <c r="M1026" i="15"/>
  <c r="AG1044" i="15"/>
  <c r="K1079" i="15"/>
  <c r="AF1098" i="15"/>
  <c r="X1098" i="15"/>
  <c r="P1098" i="15"/>
  <c r="H1098" i="15"/>
  <c r="AD1098" i="15"/>
  <c r="V1098" i="15"/>
  <c r="N1098" i="15"/>
  <c r="AB1098" i="15"/>
  <c r="R1098" i="15"/>
  <c r="G1098" i="15"/>
  <c r="AA1098" i="15"/>
  <c r="Q1098" i="15"/>
  <c r="Z1098" i="15"/>
  <c r="O1098" i="15"/>
  <c r="Y1098" i="15"/>
  <c r="M1098" i="15"/>
  <c r="AG1098" i="15"/>
  <c r="AH1125" i="15"/>
  <c r="Z1125" i="15"/>
  <c r="R1125" i="15"/>
  <c r="J1125" i="15"/>
  <c r="AF1125" i="15"/>
  <c r="X1125" i="15"/>
  <c r="P1125" i="15"/>
  <c r="H1125" i="15"/>
  <c r="AA1125" i="15"/>
  <c r="O1125" i="15"/>
  <c r="Y1125" i="15"/>
  <c r="N1125" i="15"/>
  <c r="W1125" i="15"/>
  <c r="M1125" i="15"/>
  <c r="AG1125" i="15"/>
  <c r="V1125" i="15"/>
  <c r="L1125" i="15"/>
  <c r="AE1125" i="15"/>
  <c r="M1132" i="15"/>
  <c r="AG1132" i="15"/>
  <c r="K1169" i="15"/>
  <c r="AH1201" i="15"/>
  <c r="Z1201" i="15"/>
  <c r="R1201" i="15"/>
  <c r="J1201" i="15"/>
  <c r="AF1201" i="15"/>
  <c r="W1201" i="15"/>
  <c r="N1201" i="15"/>
  <c r="AD1201" i="15"/>
  <c r="U1201" i="15"/>
  <c r="L1201" i="15"/>
  <c r="AG1201" i="15"/>
  <c r="T1201" i="15"/>
  <c r="H1201" i="15"/>
  <c r="AE1201" i="15"/>
  <c r="S1201" i="15"/>
  <c r="G1201" i="15"/>
  <c r="AC1201" i="15"/>
  <c r="Q1201" i="15"/>
  <c r="AB1201" i="15"/>
  <c r="P1201" i="15"/>
  <c r="K1239" i="15"/>
  <c r="AH1244" i="15"/>
  <c r="AF1346" i="15"/>
  <c r="X1346" i="15"/>
  <c r="P1346" i="15"/>
  <c r="H1346" i="15"/>
  <c r="AE1346" i="15"/>
  <c r="W1346" i="15"/>
  <c r="O1346" i="15"/>
  <c r="G1346" i="15"/>
  <c r="AC1346" i="15"/>
  <c r="S1346" i="15"/>
  <c r="I1346" i="15"/>
  <c r="AA1346" i="15"/>
  <c r="Q1346" i="15"/>
  <c r="U1346" i="15"/>
  <c r="AH1346" i="15"/>
  <c r="T1346" i="15"/>
  <c r="AG1346" i="15"/>
  <c r="R1346" i="15"/>
  <c r="AD1346" i="15"/>
  <c r="N1346" i="15"/>
  <c r="K1519" i="15"/>
  <c r="AE1523" i="15"/>
  <c r="W1523" i="15"/>
  <c r="O1523" i="15"/>
  <c r="G1523" i="15"/>
  <c r="AD1523" i="15"/>
  <c r="V1523" i="15"/>
  <c r="N1523" i="15"/>
  <c r="AC1523" i="15"/>
  <c r="U1523" i="15"/>
  <c r="M1523" i="15"/>
  <c r="AG1523" i="15"/>
  <c r="S1523" i="15"/>
  <c r="H1523" i="15"/>
  <c r="AB1523" i="15"/>
  <c r="Q1523" i="15"/>
  <c r="Y1523" i="15"/>
  <c r="I1523" i="15"/>
  <c r="X1523" i="15"/>
  <c r="T1523" i="15"/>
  <c r="R1523" i="15"/>
  <c r="I1592" i="15"/>
  <c r="AF1599" i="15"/>
  <c r="X1599" i="15"/>
  <c r="P1599" i="15"/>
  <c r="H1599" i="15"/>
  <c r="AE1599" i="15"/>
  <c r="W1599" i="15"/>
  <c r="O1599" i="15"/>
  <c r="G1599" i="15"/>
  <c r="AD1599" i="15"/>
  <c r="V1599" i="15"/>
  <c r="N1599" i="15"/>
  <c r="AC1599" i="15"/>
  <c r="U1599" i="15"/>
  <c r="M1599" i="15"/>
  <c r="Z1599" i="15"/>
  <c r="J1599" i="15"/>
  <c r="T1599" i="15"/>
  <c r="Y1599" i="15"/>
  <c r="S1599" i="15"/>
  <c r="R1599" i="15"/>
  <c r="Q1599" i="15"/>
  <c r="Q1611" i="15"/>
  <c r="AD1708" i="15"/>
  <c r="V1708" i="15"/>
  <c r="N1708" i="15"/>
  <c r="AC1708" i="15"/>
  <c r="U1708" i="15"/>
  <c r="M1708" i="15"/>
  <c r="AB1708" i="15"/>
  <c r="T1708" i="15"/>
  <c r="L1708" i="15"/>
  <c r="AA1708" i="15"/>
  <c r="S1708" i="15"/>
  <c r="K1708" i="15"/>
  <c r="W1708" i="15"/>
  <c r="G1708" i="15"/>
  <c r="AH1708" i="15"/>
  <c r="R1708" i="15"/>
  <c r="AG1708" i="15"/>
  <c r="Q1708" i="15"/>
  <c r="AE1708" i="15"/>
  <c r="H1708" i="15"/>
  <c r="Z1708" i="15"/>
  <c r="Y1708" i="15"/>
  <c r="X1708" i="15"/>
  <c r="AD1748" i="15"/>
  <c r="V1748" i="15"/>
  <c r="N1748" i="15"/>
  <c r="AC1748" i="15"/>
  <c r="U1748" i="15"/>
  <c r="M1748" i="15"/>
  <c r="AB1748" i="15"/>
  <c r="T1748" i="15"/>
  <c r="L1748" i="15"/>
  <c r="AA1748" i="15"/>
  <c r="S1748" i="15"/>
  <c r="K1748" i="15"/>
  <c r="W1748" i="15"/>
  <c r="G1748" i="15"/>
  <c r="AH1748" i="15"/>
  <c r="R1748" i="15"/>
  <c r="AG1748" i="15"/>
  <c r="Q1748" i="15"/>
  <c r="Y1748" i="15"/>
  <c r="X1748" i="15"/>
  <c r="P1748" i="15"/>
  <c r="O1748" i="15"/>
  <c r="AD1944" i="15"/>
  <c r="V1944" i="15"/>
  <c r="N1944" i="15"/>
  <c r="AC1944" i="15"/>
  <c r="U1944" i="15"/>
  <c r="M1944" i="15"/>
  <c r="AB1944" i="15"/>
  <c r="T1944" i="15"/>
  <c r="L1944" i="15"/>
  <c r="AA1944" i="15"/>
  <c r="S1944" i="15"/>
  <c r="K1944" i="15"/>
  <c r="AH1944" i="15"/>
  <c r="R1944" i="15"/>
  <c r="AG1944" i="15"/>
  <c r="Q1944" i="15"/>
  <c r="AF1944" i="15"/>
  <c r="P1944" i="15"/>
  <c r="X1944" i="15"/>
  <c r="W1944" i="15"/>
  <c r="O1944" i="15"/>
  <c r="J1944" i="15"/>
  <c r="L65" i="16"/>
  <c r="J65" i="16"/>
  <c r="P65" i="16"/>
  <c r="H65" i="9" s="1"/>
  <c r="F65" i="16"/>
  <c r="E65" i="16"/>
  <c r="I65" i="9" s="1"/>
  <c r="M65" i="16"/>
  <c r="H65" i="16"/>
  <c r="G65" i="16"/>
  <c r="T81" i="16"/>
  <c r="F81" i="16"/>
  <c r="F503" i="16"/>
  <c r="I503" i="9"/>
  <c r="K513" i="16"/>
  <c r="J513" i="16"/>
  <c r="I513" i="16"/>
  <c r="H513" i="16"/>
  <c r="M627" i="16"/>
  <c r="E627" i="16"/>
  <c r="L627" i="16"/>
  <c r="O627" i="16" s="1"/>
  <c r="K627" i="16"/>
  <c r="G627" i="16"/>
  <c r="J627" i="16"/>
  <c r="I627" i="16"/>
  <c r="H627" i="16"/>
  <c r="F887" i="16"/>
  <c r="L1444" i="16"/>
  <c r="K1444" i="16"/>
  <c r="J1444" i="16"/>
  <c r="P1444" i="16"/>
  <c r="E1444" i="16"/>
  <c r="O1444" i="16"/>
  <c r="N1444" i="16"/>
  <c r="M1444" i="16"/>
  <c r="I1444" i="16"/>
  <c r="H1444" i="16"/>
  <c r="G1444" i="16"/>
  <c r="F1444" i="16"/>
  <c r="T1444" i="16"/>
  <c r="P1505" i="16"/>
  <c r="H1505" i="16"/>
  <c r="O1505" i="16"/>
  <c r="F1505" i="16"/>
  <c r="N1505" i="16"/>
  <c r="E1505" i="16"/>
  <c r="M1505" i="16"/>
  <c r="J1505" i="16"/>
  <c r="I1505" i="16"/>
  <c r="G1505" i="16"/>
  <c r="T1505" i="16"/>
  <c r="L1505" i="16"/>
  <c r="K1505" i="16"/>
  <c r="P1553" i="16"/>
  <c r="H1553" i="16"/>
  <c r="M1553" i="16"/>
  <c r="L1553" i="16"/>
  <c r="K1553" i="16"/>
  <c r="F1553" i="16"/>
  <c r="E1553" i="16"/>
  <c r="T1553" i="16"/>
  <c r="O1553" i="16"/>
  <c r="G1553" i="16"/>
  <c r="J1553" i="16"/>
  <c r="I1553" i="16"/>
  <c r="N1553" i="16"/>
  <c r="K49" i="13"/>
  <c r="K4" i="15"/>
  <c r="H4" i="15"/>
  <c r="AB43" i="15"/>
  <c r="L43" i="15"/>
  <c r="X43" i="15"/>
  <c r="O43" i="15"/>
  <c r="W43" i="15"/>
  <c r="N43" i="15"/>
  <c r="V43" i="15"/>
  <c r="M43" i="15"/>
  <c r="U43" i="15"/>
  <c r="K43" i="15"/>
  <c r="I43" i="15"/>
  <c r="AA43" i="15"/>
  <c r="Z50" i="15"/>
  <c r="Y50" i="15"/>
  <c r="X50" i="15"/>
  <c r="K70" i="15"/>
  <c r="AC70" i="15"/>
  <c r="O74" i="15"/>
  <c r="V86" i="15"/>
  <c r="N86" i="15"/>
  <c r="Y86" i="15"/>
  <c r="P86" i="15"/>
  <c r="G86" i="15"/>
  <c r="X86" i="15"/>
  <c r="AG86" i="15" s="1"/>
  <c r="Q86" i="7" s="1"/>
  <c r="O86" i="15"/>
  <c r="W86" i="15"/>
  <c r="M86" i="15"/>
  <c r="U86" i="15"/>
  <c r="L86" i="15"/>
  <c r="J86" i="15"/>
  <c r="AB86" i="15"/>
  <c r="J94" i="15"/>
  <c r="H94" i="15"/>
  <c r="L108" i="15"/>
  <c r="K132" i="15"/>
  <c r="H132" i="15"/>
  <c r="L156" i="15"/>
  <c r="V166" i="15"/>
  <c r="N166" i="15"/>
  <c r="Y166" i="15"/>
  <c r="P166" i="15"/>
  <c r="G166" i="15"/>
  <c r="X166" i="15"/>
  <c r="O166" i="15"/>
  <c r="AF166" i="15"/>
  <c r="W166" i="15"/>
  <c r="M166" i="15"/>
  <c r="AE166" i="15"/>
  <c r="O166" i="7" s="1"/>
  <c r="U166" i="15"/>
  <c r="L166" i="15"/>
  <c r="AB166" i="15"/>
  <c r="O218" i="15"/>
  <c r="L225" i="15"/>
  <c r="AC236" i="15"/>
  <c r="AD250" i="15"/>
  <c r="V250" i="15"/>
  <c r="N250" i="15"/>
  <c r="AF250" i="15"/>
  <c r="W250" i="15"/>
  <c r="M250" i="15"/>
  <c r="AE250" i="15"/>
  <c r="U250" i="15"/>
  <c r="L250" i="15"/>
  <c r="AC250" i="15"/>
  <c r="T250" i="15"/>
  <c r="K250" i="15"/>
  <c r="AB250" i="15"/>
  <c r="S250" i="15"/>
  <c r="J250" i="15"/>
  <c r="AH277" i="15"/>
  <c r="AD289" i="15"/>
  <c r="K310" i="15"/>
  <c r="L321" i="15"/>
  <c r="L332" i="15"/>
  <c r="AG336" i="15"/>
  <c r="M343" i="15"/>
  <c r="AC358" i="15"/>
  <c r="L369" i="15"/>
  <c r="AD369" i="15"/>
  <c r="AD378" i="15"/>
  <c r="V378" i="15"/>
  <c r="N378" i="15"/>
  <c r="AF378" i="15"/>
  <c r="W378" i="15"/>
  <c r="M378" i="15"/>
  <c r="AE378" i="15"/>
  <c r="U378" i="15"/>
  <c r="L378" i="15"/>
  <c r="AC378" i="15"/>
  <c r="T378" i="15"/>
  <c r="K378" i="15"/>
  <c r="AB378" i="15"/>
  <c r="S378" i="15"/>
  <c r="J378" i="15"/>
  <c r="K385" i="15"/>
  <c r="AC396" i="15"/>
  <c r="I400" i="15"/>
  <c r="AB407" i="15"/>
  <c r="T407" i="15"/>
  <c r="L407" i="15"/>
  <c r="Z407" i="15"/>
  <c r="Q407" i="15"/>
  <c r="H407" i="15"/>
  <c r="AH407" i="15"/>
  <c r="Y407" i="15"/>
  <c r="P407" i="15"/>
  <c r="G407" i="15"/>
  <c r="AG407" i="15"/>
  <c r="X407" i="15"/>
  <c r="O407" i="15"/>
  <c r="AF407" i="15"/>
  <c r="W407" i="15"/>
  <c r="N407" i="15"/>
  <c r="J411" i="15"/>
  <c r="AF421" i="15"/>
  <c r="X421" i="15"/>
  <c r="P421" i="15"/>
  <c r="H421" i="15"/>
  <c r="AG421" i="15"/>
  <c r="W421" i="15"/>
  <c r="N421" i="15"/>
  <c r="AE421" i="15"/>
  <c r="V421" i="15"/>
  <c r="M421" i="15"/>
  <c r="AD421" i="15"/>
  <c r="U421" i="15"/>
  <c r="L421" i="15"/>
  <c r="AC421" i="15"/>
  <c r="T421" i="15"/>
  <c r="K421" i="15"/>
  <c r="K428" i="15"/>
  <c r="I432" i="15"/>
  <c r="AB439" i="15"/>
  <c r="T439" i="15"/>
  <c r="L439" i="15"/>
  <c r="Z439" i="15"/>
  <c r="Q439" i="15"/>
  <c r="H439" i="15"/>
  <c r="AH439" i="15"/>
  <c r="Y439" i="15"/>
  <c r="P439" i="15"/>
  <c r="G439" i="15"/>
  <c r="AG439" i="15"/>
  <c r="X439" i="15"/>
  <c r="O439" i="15"/>
  <c r="AF439" i="15"/>
  <c r="W439" i="15"/>
  <c r="N439" i="15"/>
  <c r="K439" i="15"/>
  <c r="J443" i="15"/>
  <c r="L465" i="15"/>
  <c r="AD474" i="15"/>
  <c r="V474" i="15"/>
  <c r="N474" i="15"/>
  <c r="AF474" i="15"/>
  <c r="W474" i="15"/>
  <c r="M474" i="15"/>
  <c r="AE474" i="15"/>
  <c r="U474" i="15"/>
  <c r="L474" i="15"/>
  <c r="AC474" i="15"/>
  <c r="T474" i="15"/>
  <c r="K474" i="15"/>
  <c r="AB474" i="15"/>
  <c r="S474" i="15"/>
  <c r="J474" i="15"/>
  <c r="AA474" i="15"/>
  <c r="I490" i="15"/>
  <c r="O506" i="15"/>
  <c r="AG506" i="15"/>
  <c r="AB512" i="15"/>
  <c r="AB533" i="15"/>
  <c r="AA538" i="15"/>
  <c r="K545" i="15"/>
  <c r="AH549" i="15"/>
  <c r="AD561" i="15"/>
  <c r="L572" i="15"/>
  <c r="AG576" i="15"/>
  <c r="AA586" i="15"/>
  <c r="AD598" i="15"/>
  <c r="V598" i="15"/>
  <c r="N598" i="15"/>
  <c r="AH598" i="15"/>
  <c r="Y598" i="15"/>
  <c r="P598" i="15"/>
  <c r="G598" i="15"/>
  <c r="AG598" i="15"/>
  <c r="X598" i="15"/>
  <c r="O598" i="15"/>
  <c r="AF598" i="15"/>
  <c r="W598" i="15"/>
  <c r="M598" i="15"/>
  <c r="AE598" i="15"/>
  <c r="U598" i="15"/>
  <c r="L598" i="15"/>
  <c r="AB598" i="15"/>
  <c r="AD604" i="15"/>
  <c r="I618" i="15"/>
  <c r="AB651" i="15"/>
  <c r="T651" i="15"/>
  <c r="L651" i="15"/>
  <c r="AG651" i="15"/>
  <c r="X651" i="15"/>
  <c r="O651" i="15"/>
  <c r="AF651" i="15"/>
  <c r="W651" i="15"/>
  <c r="N651" i="15"/>
  <c r="AE651" i="15"/>
  <c r="V651" i="15"/>
  <c r="M651" i="15"/>
  <c r="AD651" i="15"/>
  <c r="U651" i="15"/>
  <c r="K651" i="15"/>
  <c r="K668" i="15"/>
  <c r="AH672" i="15"/>
  <c r="Z672" i="15"/>
  <c r="R672" i="15"/>
  <c r="J672" i="15"/>
  <c r="AF672" i="15"/>
  <c r="W672" i="15"/>
  <c r="N672" i="15"/>
  <c r="AE672" i="15"/>
  <c r="V672" i="15"/>
  <c r="M672" i="15"/>
  <c r="AD672" i="15"/>
  <c r="U672" i="15"/>
  <c r="L672" i="15"/>
  <c r="AC672" i="15"/>
  <c r="T672" i="15"/>
  <c r="K672" i="15"/>
  <c r="AC678" i="15"/>
  <c r="I683" i="15"/>
  <c r="AD689" i="15"/>
  <c r="L700" i="15"/>
  <c r="J726" i="15"/>
  <c r="K751" i="15"/>
  <c r="AH773" i="15"/>
  <c r="Z773" i="15"/>
  <c r="R773" i="15"/>
  <c r="J773" i="15"/>
  <c r="AF773" i="15"/>
  <c r="X773" i="15"/>
  <c r="P773" i="15"/>
  <c r="H773" i="15"/>
  <c r="AA773" i="15"/>
  <c r="O773" i="15"/>
  <c r="Y773" i="15"/>
  <c r="N773" i="15"/>
  <c r="W773" i="15"/>
  <c r="M773" i="15"/>
  <c r="AG773" i="15"/>
  <c r="V773" i="15"/>
  <c r="L773" i="15"/>
  <c r="AB780" i="15"/>
  <c r="T780" i="15"/>
  <c r="L780" i="15"/>
  <c r="AH780" i="15"/>
  <c r="Z780" i="15"/>
  <c r="R780" i="15"/>
  <c r="J780" i="15"/>
  <c r="AD780" i="15"/>
  <c r="S780" i="15"/>
  <c r="H780" i="15"/>
  <c r="AC780" i="15"/>
  <c r="Q780" i="15"/>
  <c r="G780" i="15"/>
  <c r="AA780" i="15"/>
  <c r="P780" i="15"/>
  <c r="Y780" i="15"/>
  <c r="O780" i="15"/>
  <c r="L786" i="15"/>
  <c r="AF794" i="15"/>
  <c r="X794" i="15"/>
  <c r="P794" i="15"/>
  <c r="H794" i="15"/>
  <c r="AD794" i="15"/>
  <c r="V794" i="15"/>
  <c r="N794" i="15"/>
  <c r="AB794" i="15"/>
  <c r="R794" i="15"/>
  <c r="G794" i="15"/>
  <c r="AA794" i="15"/>
  <c r="Q794" i="15"/>
  <c r="Z794" i="15"/>
  <c r="O794" i="15"/>
  <c r="Y794" i="15"/>
  <c r="M794" i="15"/>
  <c r="AG794" i="15"/>
  <c r="K815" i="15"/>
  <c r="L834" i="15"/>
  <c r="K842" i="15"/>
  <c r="AG855" i="15"/>
  <c r="AH906" i="15"/>
  <c r="AH938" i="15"/>
  <c r="N964" i="15"/>
  <c r="AE965" i="15"/>
  <c r="M972" i="15"/>
  <c r="AH983" i="15"/>
  <c r="AH989" i="15"/>
  <c r="Z989" i="15"/>
  <c r="R989" i="15"/>
  <c r="J989" i="15"/>
  <c r="AF989" i="15"/>
  <c r="X989" i="15"/>
  <c r="P989" i="15"/>
  <c r="H989" i="15"/>
  <c r="AA989" i="15"/>
  <c r="O989" i="15"/>
  <c r="Y989" i="15"/>
  <c r="N989" i="15"/>
  <c r="W989" i="15"/>
  <c r="M989" i="15"/>
  <c r="AG989" i="15"/>
  <c r="V989" i="15"/>
  <c r="L989" i="15"/>
  <c r="AF1002" i="15"/>
  <c r="X1002" i="15"/>
  <c r="P1002" i="15"/>
  <c r="H1002" i="15"/>
  <c r="AD1002" i="15"/>
  <c r="V1002" i="15"/>
  <c r="N1002" i="15"/>
  <c r="AB1002" i="15"/>
  <c r="R1002" i="15"/>
  <c r="G1002" i="15"/>
  <c r="AA1002" i="15"/>
  <c r="Q1002" i="15"/>
  <c r="Z1002" i="15"/>
  <c r="O1002" i="15"/>
  <c r="Y1002" i="15"/>
  <c r="M1002" i="15"/>
  <c r="M1007" i="15"/>
  <c r="AH1007" i="15"/>
  <c r="K1018" i="15"/>
  <c r="K1066" i="15"/>
  <c r="AD1087" i="15"/>
  <c r="V1087" i="15"/>
  <c r="N1087" i="15"/>
  <c r="AB1087" i="15"/>
  <c r="T1087" i="15"/>
  <c r="L1087" i="15"/>
  <c r="AC1087" i="15"/>
  <c r="R1087" i="15"/>
  <c r="H1087" i="15"/>
  <c r="AA1087" i="15"/>
  <c r="Q1087" i="15"/>
  <c r="G1087" i="15"/>
  <c r="Z1087" i="15"/>
  <c r="P1087" i="15"/>
  <c r="Y1087" i="15"/>
  <c r="O1087" i="15"/>
  <c r="M1092" i="15"/>
  <c r="L1098" i="15"/>
  <c r="AF1106" i="15"/>
  <c r="X1106" i="15"/>
  <c r="P1106" i="15"/>
  <c r="H1106" i="15"/>
  <c r="AD1106" i="15"/>
  <c r="V1106" i="15"/>
  <c r="N1106" i="15"/>
  <c r="AB1106" i="15"/>
  <c r="R1106" i="15"/>
  <c r="G1106" i="15"/>
  <c r="AA1106" i="15"/>
  <c r="Q1106" i="15"/>
  <c r="Z1106" i="15"/>
  <c r="O1106" i="15"/>
  <c r="Y1106" i="15"/>
  <c r="M1106" i="15"/>
  <c r="AG1106" i="15"/>
  <c r="Q1125" i="15"/>
  <c r="AH1133" i="15"/>
  <c r="Z1133" i="15"/>
  <c r="R1133" i="15"/>
  <c r="J1133" i="15"/>
  <c r="AF1133" i="15"/>
  <c r="X1133" i="15"/>
  <c r="P1133" i="15"/>
  <c r="H1133" i="15"/>
  <c r="AA1133" i="15"/>
  <c r="O1133" i="15"/>
  <c r="Y1133" i="15"/>
  <c r="N1133" i="15"/>
  <c r="W1133" i="15"/>
  <c r="M1133" i="15"/>
  <c r="AG1133" i="15"/>
  <c r="V1133" i="15"/>
  <c r="L1133" i="15"/>
  <c r="M1169" i="15"/>
  <c r="AB1208" i="15"/>
  <c r="T1208" i="15"/>
  <c r="L1208" i="15"/>
  <c r="Z1208" i="15"/>
  <c r="Q1208" i="15"/>
  <c r="H1208" i="15"/>
  <c r="AG1208" i="15"/>
  <c r="X1208" i="15"/>
  <c r="O1208" i="15"/>
  <c r="AE1208" i="15"/>
  <c r="S1208" i="15"/>
  <c r="G1208" i="15"/>
  <c r="AD1208" i="15"/>
  <c r="R1208" i="15"/>
  <c r="AC1208" i="15"/>
  <c r="P1208" i="15"/>
  <c r="AA1208" i="15"/>
  <c r="N1208" i="15"/>
  <c r="AH1211" i="15"/>
  <c r="AD1227" i="15"/>
  <c r="V1227" i="15"/>
  <c r="N1227" i="15"/>
  <c r="AF1227" i="15"/>
  <c r="W1227" i="15"/>
  <c r="M1227" i="15"/>
  <c r="AC1227" i="15"/>
  <c r="T1227" i="15"/>
  <c r="K1227" i="15"/>
  <c r="AB1227" i="15"/>
  <c r="Q1227" i="15"/>
  <c r="AA1227" i="15"/>
  <c r="P1227" i="15"/>
  <c r="Z1227" i="15"/>
  <c r="O1227" i="15"/>
  <c r="Y1227" i="15"/>
  <c r="L1227" i="15"/>
  <c r="AF1555" i="15"/>
  <c r="X1555" i="15"/>
  <c r="P1555" i="15"/>
  <c r="H1555" i="15"/>
  <c r="AE1555" i="15"/>
  <c r="W1555" i="15"/>
  <c r="O1555" i="15"/>
  <c r="G1555" i="15"/>
  <c r="AD1555" i="15"/>
  <c r="V1555" i="15"/>
  <c r="N1555" i="15"/>
  <c r="AC1555" i="15"/>
  <c r="U1555" i="15"/>
  <c r="M1555" i="15"/>
  <c r="AH1555" i="15"/>
  <c r="R1555" i="15"/>
  <c r="AB1555" i="15"/>
  <c r="L1555" i="15"/>
  <c r="Z1555" i="15"/>
  <c r="Y1555" i="15"/>
  <c r="T1555" i="15"/>
  <c r="S1555" i="15"/>
  <c r="J1564" i="15"/>
  <c r="T1635" i="15"/>
  <c r="AF1639" i="15"/>
  <c r="X1639" i="15"/>
  <c r="P1639" i="15"/>
  <c r="H1639" i="15"/>
  <c r="AE1639" i="15"/>
  <c r="W1639" i="15"/>
  <c r="O1639" i="15"/>
  <c r="G1639" i="15"/>
  <c r="AD1639" i="15"/>
  <c r="V1639" i="15"/>
  <c r="N1639" i="15"/>
  <c r="AC1639" i="15"/>
  <c r="U1639" i="15"/>
  <c r="M1639" i="15"/>
  <c r="Z1639" i="15"/>
  <c r="J1639" i="15"/>
  <c r="Y1639" i="15"/>
  <c r="I1639" i="15"/>
  <c r="T1639" i="15"/>
  <c r="L1639" i="15"/>
  <c r="AH1639" i="15"/>
  <c r="K1639" i="15"/>
  <c r="AG1639" i="15"/>
  <c r="AB1639" i="15"/>
  <c r="T1643" i="15"/>
  <c r="AF1767" i="15"/>
  <c r="X1767" i="15"/>
  <c r="P1767" i="15"/>
  <c r="H1767" i="15"/>
  <c r="AE1767" i="15"/>
  <c r="W1767" i="15"/>
  <c r="O1767" i="15"/>
  <c r="G1767" i="15"/>
  <c r="AD1767" i="15"/>
  <c r="V1767" i="15"/>
  <c r="N1767" i="15"/>
  <c r="AC1767" i="15"/>
  <c r="U1767" i="15"/>
  <c r="M1767" i="15"/>
  <c r="Y1767" i="15"/>
  <c r="I1767" i="15"/>
  <c r="T1767" i="15"/>
  <c r="S1767" i="15"/>
  <c r="AG1767" i="15"/>
  <c r="J1767" i="15"/>
  <c r="AB1767" i="15"/>
  <c r="AA1767" i="15"/>
  <c r="Z1767" i="15"/>
  <c r="Y1944" i="15"/>
  <c r="P116" i="16"/>
  <c r="H116" i="9" s="1"/>
  <c r="F116" i="16"/>
  <c r="F231" i="16"/>
  <c r="I231" i="9"/>
  <c r="I116" i="9"/>
  <c r="H8" i="15"/>
  <c r="AF8" i="15" s="1"/>
  <c r="G8" i="15"/>
  <c r="K20" i="15"/>
  <c r="H20" i="15"/>
  <c r="K35" i="15"/>
  <c r="R39" i="15"/>
  <c r="Q70" i="15"/>
  <c r="AB71" i="15"/>
  <c r="L71" i="15"/>
  <c r="Z71" i="15"/>
  <c r="Q71" i="15"/>
  <c r="H71" i="15"/>
  <c r="Y71" i="15"/>
  <c r="P71" i="15"/>
  <c r="G71" i="15"/>
  <c r="AG71" i="15"/>
  <c r="Q71" i="7" s="1"/>
  <c r="X71" i="15"/>
  <c r="O71" i="15"/>
  <c r="W71" i="15"/>
  <c r="N71" i="15"/>
  <c r="K71" i="15"/>
  <c r="R81" i="15"/>
  <c r="K86" i="15"/>
  <c r="AC86" i="15"/>
  <c r="O90" i="15"/>
  <c r="AA93" i="15"/>
  <c r="Z93" i="15"/>
  <c r="Y93" i="15"/>
  <c r="L97" i="15"/>
  <c r="J110" i="15"/>
  <c r="H110" i="15"/>
  <c r="AE115" i="15"/>
  <c r="O115" i="7" s="1"/>
  <c r="O117" i="15"/>
  <c r="K121" i="15"/>
  <c r="I121" i="15"/>
  <c r="AG121" i="15" s="1"/>
  <c r="Q121" i="7" s="1"/>
  <c r="H136" i="15"/>
  <c r="G136" i="15"/>
  <c r="Z140" i="15"/>
  <c r="R140" i="15"/>
  <c r="J140" i="15"/>
  <c r="Y140" i="15"/>
  <c r="P140" i="15"/>
  <c r="G140" i="15"/>
  <c r="AG140" i="15"/>
  <c r="Q140" i="7" s="1"/>
  <c r="X140" i="15"/>
  <c r="O140" i="15"/>
  <c r="W140" i="15"/>
  <c r="N140" i="15"/>
  <c r="V140" i="15"/>
  <c r="M140" i="15"/>
  <c r="K140" i="15"/>
  <c r="AC140" i="15"/>
  <c r="L161" i="15"/>
  <c r="AB171" i="15"/>
  <c r="L171" i="15"/>
  <c r="X171" i="15"/>
  <c r="O171" i="15"/>
  <c r="W171" i="15"/>
  <c r="N171" i="15"/>
  <c r="AE171" i="15" s="1"/>
  <c r="O171" i="7" s="1"/>
  <c r="V171" i="15"/>
  <c r="M171" i="15"/>
  <c r="U171" i="15"/>
  <c r="K171" i="15"/>
  <c r="I171" i="15"/>
  <c r="AG171" i="15" s="1"/>
  <c r="Q171" i="7" s="1"/>
  <c r="AA171" i="15"/>
  <c r="AF171" i="15" s="1"/>
  <c r="O181" i="15"/>
  <c r="AC188" i="15"/>
  <c r="K204" i="15"/>
  <c r="J214" i="15"/>
  <c r="AH218" i="15"/>
  <c r="AD236" i="15"/>
  <c r="AG250" i="15"/>
  <c r="AB256" i="15"/>
  <c r="AH272" i="15"/>
  <c r="Z272" i="15"/>
  <c r="R272" i="15"/>
  <c r="J272" i="15"/>
  <c r="AF272" i="15"/>
  <c r="W272" i="15"/>
  <c r="N272" i="15"/>
  <c r="AE272" i="15"/>
  <c r="V272" i="15"/>
  <c r="M272" i="15"/>
  <c r="AD272" i="15"/>
  <c r="U272" i="15"/>
  <c r="L272" i="15"/>
  <c r="AC272" i="15"/>
  <c r="T272" i="15"/>
  <c r="K272" i="15"/>
  <c r="AD278" i="15"/>
  <c r="V278" i="15"/>
  <c r="N278" i="15"/>
  <c r="AH278" i="15"/>
  <c r="Y278" i="15"/>
  <c r="P278" i="15"/>
  <c r="G278" i="15"/>
  <c r="AG278" i="15"/>
  <c r="X278" i="15"/>
  <c r="O278" i="15"/>
  <c r="AF278" i="15"/>
  <c r="W278" i="15"/>
  <c r="M278" i="15"/>
  <c r="AE278" i="15"/>
  <c r="U278" i="15"/>
  <c r="L278" i="15"/>
  <c r="AB278" i="15"/>
  <c r="AH282" i="15"/>
  <c r="R289" i="15"/>
  <c r="R295" i="15"/>
  <c r="AC300" i="15"/>
  <c r="I304" i="15"/>
  <c r="K311" i="15"/>
  <c r="AA315" i="15"/>
  <c r="AF325" i="15"/>
  <c r="X325" i="15"/>
  <c r="P325" i="15"/>
  <c r="H325" i="15"/>
  <c r="AG325" i="15"/>
  <c r="W325" i="15"/>
  <c r="N325" i="15"/>
  <c r="AE325" i="15"/>
  <c r="V325" i="15"/>
  <c r="M325" i="15"/>
  <c r="AD325" i="15"/>
  <c r="U325" i="15"/>
  <c r="L325" i="15"/>
  <c r="AC325" i="15"/>
  <c r="T325" i="15"/>
  <c r="K325" i="15"/>
  <c r="I330" i="15"/>
  <c r="AF337" i="15"/>
  <c r="X337" i="15"/>
  <c r="P337" i="15"/>
  <c r="H337" i="15"/>
  <c r="Z337" i="15"/>
  <c r="Q337" i="15"/>
  <c r="G337" i="15"/>
  <c r="AH337" i="15"/>
  <c r="Y337" i="15"/>
  <c r="O337" i="15"/>
  <c r="AG337" i="15"/>
  <c r="W337" i="15"/>
  <c r="N337" i="15"/>
  <c r="AE337" i="15"/>
  <c r="V337" i="15"/>
  <c r="M337" i="15"/>
  <c r="R343" i="15"/>
  <c r="AH348" i="15"/>
  <c r="Z348" i="15"/>
  <c r="R348" i="15"/>
  <c r="J348" i="15"/>
  <c r="Y348" i="15"/>
  <c r="P348" i="15"/>
  <c r="G348" i="15"/>
  <c r="AG348" i="15"/>
  <c r="X348" i="15"/>
  <c r="O348" i="15"/>
  <c r="AF348" i="15"/>
  <c r="W348" i="15"/>
  <c r="N348" i="15"/>
  <c r="AE348" i="15"/>
  <c r="V348" i="15"/>
  <c r="M348" i="15"/>
  <c r="AC348" i="15"/>
  <c r="I352" i="15"/>
  <c r="AB359" i="15"/>
  <c r="T359" i="15"/>
  <c r="L359" i="15"/>
  <c r="Z359" i="15"/>
  <c r="Q359" i="15"/>
  <c r="H359" i="15"/>
  <c r="AH359" i="15"/>
  <c r="Y359" i="15"/>
  <c r="P359" i="15"/>
  <c r="G359" i="15"/>
  <c r="AG359" i="15"/>
  <c r="X359" i="15"/>
  <c r="O359" i="15"/>
  <c r="AF359" i="15"/>
  <c r="W359" i="15"/>
  <c r="N359" i="15"/>
  <c r="K359" i="15"/>
  <c r="AD359" i="15"/>
  <c r="I363" i="15"/>
  <c r="R369" i="15"/>
  <c r="AD385" i="15"/>
  <c r="L396" i="15"/>
  <c r="AG400" i="15"/>
  <c r="O421" i="15"/>
  <c r="AD428" i="15"/>
  <c r="O432" i="15"/>
  <c r="M439" i="15"/>
  <c r="P443" i="15"/>
  <c r="AH443" i="15"/>
  <c r="AD454" i="15"/>
  <c r="V454" i="15"/>
  <c r="N454" i="15"/>
  <c r="AH454" i="15"/>
  <c r="Y454" i="15"/>
  <c r="P454" i="15"/>
  <c r="G454" i="15"/>
  <c r="AG454" i="15"/>
  <c r="X454" i="15"/>
  <c r="O454" i="15"/>
  <c r="AF454" i="15"/>
  <c r="W454" i="15"/>
  <c r="M454" i="15"/>
  <c r="AE454" i="15"/>
  <c r="U454" i="15"/>
  <c r="L454" i="15"/>
  <c r="AB454" i="15"/>
  <c r="O474" i="15"/>
  <c r="AF501" i="15"/>
  <c r="X501" i="15"/>
  <c r="P501" i="15"/>
  <c r="H501" i="15"/>
  <c r="AG501" i="15"/>
  <c r="W501" i="15"/>
  <c r="N501" i="15"/>
  <c r="AE501" i="15"/>
  <c r="V501" i="15"/>
  <c r="M501" i="15"/>
  <c r="AD501" i="15"/>
  <c r="U501" i="15"/>
  <c r="L501" i="15"/>
  <c r="AC501" i="15"/>
  <c r="T501" i="15"/>
  <c r="K501" i="15"/>
  <c r="AG512" i="15"/>
  <c r="AB523" i="15"/>
  <c r="T523" i="15"/>
  <c r="L523" i="15"/>
  <c r="AG523" i="15"/>
  <c r="X523" i="15"/>
  <c r="O523" i="15"/>
  <c r="AF523" i="15"/>
  <c r="W523" i="15"/>
  <c r="N523" i="15"/>
  <c r="AE523" i="15"/>
  <c r="V523" i="15"/>
  <c r="M523" i="15"/>
  <c r="AD523" i="15"/>
  <c r="U523" i="15"/>
  <c r="K523" i="15"/>
  <c r="AD550" i="15"/>
  <c r="V550" i="15"/>
  <c r="N550" i="15"/>
  <c r="AH550" i="15"/>
  <c r="Y550" i="15"/>
  <c r="P550" i="15"/>
  <c r="G550" i="15"/>
  <c r="AG550" i="15"/>
  <c r="X550" i="15"/>
  <c r="O550" i="15"/>
  <c r="AF550" i="15"/>
  <c r="W550" i="15"/>
  <c r="M550" i="15"/>
  <c r="AE550" i="15"/>
  <c r="U550" i="15"/>
  <c r="L550" i="15"/>
  <c r="AB550" i="15"/>
  <c r="P554" i="15"/>
  <c r="AB565" i="15"/>
  <c r="I570" i="15"/>
  <c r="K577" i="15"/>
  <c r="K583" i="15"/>
  <c r="O586" i="15"/>
  <c r="AH592" i="15"/>
  <c r="Z592" i="15"/>
  <c r="R592" i="15"/>
  <c r="J592" i="15"/>
  <c r="AF592" i="15"/>
  <c r="W592" i="15"/>
  <c r="N592" i="15"/>
  <c r="AE592" i="15"/>
  <c r="V592" i="15"/>
  <c r="M592" i="15"/>
  <c r="AD592" i="15"/>
  <c r="U592" i="15"/>
  <c r="L592" i="15"/>
  <c r="AC592" i="15"/>
  <c r="T592" i="15"/>
  <c r="K592" i="15"/>
  <c r="AD602" i="15"/>
  <c r="V602" i="15"/>
  <c r="N602" i="15"/>
  <c r="AF602" i="15"/>
  <c r="W602" i="15"/>
  <c r="M602" i="15"/>
  <c r="AE602" i="15"/>
  <c r="U602" i="15"/>
  <c r="L602" i="15"/>
  <c r="AC602" i="15"/>
  <c r="T602" i="15"/>
  <c r="K602" i="15"/>
  <c r="AB602" i="15"/>
  <c r="S602" i="15"/>
  <c r="J602" i="15"/>
  <c r="Q604" i="15"/>
  <c r="AB615" i="15"/>
  <c r="T615" i="15"/>
  <c r="L615" i="15"/>
  <c r="Z615" i="15"/>
  <c r="Q615" i="15"/>
  <c r="H615" i="15"/>
  <c r="AH615" i="15"/>
  <c r="Y615" i="15"/>
  <c r="P615" i="15"/>
  <c r="G615" i="15"/>
  <c r="AG615" i="15"/>
  <c r="X615" i="15"/>
  <c r="O615" i="15"/>
  <c r="AF615" i="15"/>
  <c r="W615" i="15"/>
  <c r="N615" i="15"/>
  <c r="AH624" i="15"/>
  <c r="Z624" i="15"/>
  <c r="R624" i="15"/>
  <c r="J624" i="15"/>
  <c r="AF624" i="15"/>
  <c r="W624" i="15"/>
  <c r="N624" i="15"/>
  <c r="AE624" i="15"/>
  <c r="V624" i="15"/>
  <c r="M624" i="15"/>
  <c r="AD624" i="15"/>
  <c r="U624" i="15"/>
  <c r="L624" i="15"/>
  <c r="AC624" i="15"/>
  <c r="T624" i="15"/>
  <c r="K624" i="15"/>
  <c r="AA635" i="15"/>
  <c r="J651" i="15"/>
  <c r="AD668" i="15"/>
  <c r="AB679" i="15"/>
  <c r="T679" i="15"/>
  <c r="L679" i="15"/>
  <c r="Z679" i="15"/>
  <c r="Q679" i="15"/>
  <c r="H679" i="15"/>
  <c r="AH679" i="15"/>
  <c r="Y679" i="15"/>
  <c r="P679" i="15"/>
  <c r="G679" i="15"/>
  <c r="AG679" i="15"/>
  <c r="X679" i="15"/>
  <c r="O679" i="15"/>
  <c r="AF679" i="15"/>
  <c r="W679" i="15"/>
  <c r="N679" i="15"/>
  <c r="J683" i="15"/>
  <c r="AF693" i="15"/>
  <c r="X693" i="15"/>
  <c r="P693" i="15"/>
  <c r="H693" i="15"/>
  <c r="AG693" i="15"/>
  <c r="W693" i="15"/>
  <c r="N693" i="15"/>
  <c r="AE693" i="15"/>
  <c r="V693" i="15"/>
  <c r="M693" i="15"/>
  <c r="AD693" i="15"/>
  <c r="U693" i="15"/>
  <c r="L693" i="15"/>
  <c r="AC693" i="15"/>
  <c r="T693" i="15"/>
  <c r="K693" i="15"/>
  <c r="AD698" i="15"/>
  <c r="V698" i="15"/>
  <c r="N698" i="15"/>
  <c r="AF698" i="15"/>
  <c r="W698" i="15"/>
  <c r="M698" i="15"/>
  <c r="AE698" i="15"/>
  <c r="U698" i="15"/>
  <c r="L698" i="15"/>
  <c r="AC698" i="15"/>
  <c r="T698" i="15"/>
  <c r="K698" i="15"/>
  <c r="AB698" i="15"/>
  <c r="S698" i="15"/>
  <c r="J698" i="15"/>
  <c r="AA698" i="15"/>
  <c r="Q700" i="15"/>
  <c r="AC726" i="15"/>
  <c r="AA731" i="15"/>
  <c r="AD759" i="15"/>
  <c r="V759" i="15"/>
  <c r="N759" i="15"/>
  <c r="AB759" i="15"/>
  <c r="T759" i="15"/>
  <c r="L759" i="15"/>
  <c r="AC759" i="15"/>
  <c r="R759" i="15"/>
  <c r="H759" i="15"/>
  <c r="AA759" i="15"/>
  <c r="Q759" i="15"/>
  <c r="G759" i="15"/>
  <c r="Z759" i="15"/>
  <c r="P759" i="15"/>
  <c r="Y759" i="15"/>
  <c r="O759" i="15"/>
  <c r="AG759" i="15"/>
  <c r="U772" i="15"/>
  <c r="AH781" i="15"/>
  <c r="Z781" i="15"/>
  <c r="R781" i="15"/>
  <c r="J781" i="15"/>
  <c r="AF781" i="15"/>
  <c r="X781" i="15"/>
  <c r="P781" i="15"/>
  <c r="H781" i="15"/>
  <c r="AA781" i="15"/>
  <c r="O781" i="15"/>
  <c r="Y781" i="15"/>
  <c r="N781" i="15"/>
  <c r="W781" i="15"/>
  <c r="M781" i="15"/>
  <c r="AG781" i="15"/>
  <c r="V781" i="15"/>
  <c r="L781" i="15"/>
  <c r="M788" i="15"/>
  <c r="L794" i="15"/>
  <c r="AF802" i="15"/>
  <c r="X802" i="15"/>
  <c r="P802" i="15"/>
  <c r="H802" i="15"/>
  <c r="AD802" i="15"/>
  <c r="V802" i="15"/>
  <c r="N802" i="15"/>
  <c r="AB802" i="15"/>
  <c r="R802" i="15"/>
  <c r="G802" i="15"/>
  <c r="AA802" i="15"/>
  <c r="Q802" i="15"/>
  <c r="Z802" i="15"/>
  <c r="O802" i="15"/>
  <c r="Y802" i="15"/>
  <c r="M802" i="15"/>
  <c r="S807" i="15"/>
  <c r="AH815" i="15"/>
  <c r="K823" i="15"/>
  <c r="S834" i="15"/>
  <c r="AB836" i="15"/>
  <c r="T836" i="15"/>
  <c r="L836" i="15"/>
  <c r="AH836" i="15"/>
  <c r="Z836" i="15"/>
  <c r="R836" i="15"/>
  <c r="J836" i="15"/>
  <c r="AD836" i="15"/>
  <c r="S836" i="15"/>
  <c r="H836" i="15"/>
  <c r="AC836" i="15"/>
  <c r="Q836" i="15"/>
  <c r="G836" i="15"/>
  <c r="AA836" i="15"/>
  <c r="P836" i="15"/>
  <c r="Y836" i="15"/>
  <c r="O836" i="15"/>
  <c r="AH842" i="15"/>
  <c r="AD863" i="15"/>
  <c r="V863" i="15"/>
  <c r="N863" i="15"/>
  <c r="AB863" i="15"/>
  <c r="T863" i="15"/>
  <c r="L863" i="15"/>
  <c r="AC863" i="15"/>
  <c r="R863" i="15"/>
  <c r="H863" i="15"/>
  <c r="AA863" i="15"/>
  <c r="Q863" i="15"/>
  <c r="G863" i="15"/>
  <c r="Z863" i="15"/>
  <c r="P863" i="15"/>
  <c r="Y863" i="15"/>
  <c r="O863" i="15"/>
  <c r="Q877" i="15"/>
  <c r="AH885" i="15"/>
  <c r="Z885" i="15"/>
  <c r="R885" i="15"/>
  <c r="J885" i="15"/>
  <c r="AF885" i="15"/>
  <c r="X885" i="15"/>
  <c r="P885" i="15"/>
  <c r="H885" i="15"/>
  <c r="AA885" i="15"/>
  <c r="O885" i="15"/>
  <c r="Y885" i="15"/>
  <c r="N885" i="15"/>
  <c r="W885" i="15"/>
  <c r="M885" i="15"/>
  <c r="AG885" i="15"/>
  <c r="V885" i="15"/>
  <c r="L885" i="15"/>
  <c r="S906" i="15"/>
  <c r="M908" i="15"/>
  <c r="S938" i="15"/>
  <c r="M940" i="15"/>
  <c r="AD951" i="15"/>
  <c r="V951" i="15"/>
  <c r="N951" i="15"/>
  <c r="AB951" i="15"/>
  <c r="T951" i="15"/>
  <c r="L951" i="15"/>
  <c r="AC951" i="15"/>
  <c r="R951" i="15"/>
  <c r="H951" i="15"/>
  <c r="AA951" i="15"/>
  <c r="Q951" i="15"/>
  <c r="G951" i="15"/>
  <c r="Z951" i="15"/>
  <c r="P951" i="15"/>
  <c r="Y951" i="15"/>
  <c r="O951" i="15"/>
  <c r="S957" i="15"/>
  <c r="Q965" i="15"/>
  <c r="AH973" i="15"/>
  <c r="Z973" i="15"/>
  <c r="R973" i="15"/>
  <c r="J973" i="15"/>
  <c r="AF973" i="15"/>
  <c r="X973" i="15"/>
  <c r="P973" i="15"/>
  <c r="H973" i="15"/>
  <c r="AA973" i="15"/>
  <c r="O973" i="15"/>
  <c r="Y973" i="15"/>
  <c r="N973" i="15"/>
  <c r="W973" i="15"/>
  <c r="M973" i="15"/>
  <c r="AG973" i="15"/>
  <c r="V973" i="15"/>
  <c r="L973" i="15"/>
  <c r="AF978" i="15"/>
  <c r="X978" i="15"/>
  <c r="P978" i="15"/>
  <c r="H978" i="15"/>
  <c r="AD978" i="15"/>
  <c r="V978" i="15"/>
  <c r="N978" i="15"/>
  <c r="AB978" i="15"/>
  <c r="R978" i="15"/>
  <c r="G978" i="15"/>
  <c r="AA978" i="15"/>
  <c r="Q978" i="15"/>
  <c r="Z978" i="15"/>
  <c r="O978" i="15"/>
  <c r="Y978" i="15"/>
  <c r="M978" i="15"/>
  <c r="AG996" i="15"/>
  <c r="L1002" i="15"/>
  <c r="K1015" i="15"/>
  <c r="L1018" i="15"/>
  <c r="S1026" i="15"/>
  <c r="M1028" i="15"/>
  <c r="N1036" i="15"/>
  <c r="AE1037" i="15"/>
  <c r="U1044" i="15"/>
  <c r="AD1063" i="15"/>
  <c r="V1063" i="15"/>
  <c r="N1063" i="15"/>
  <c r="AB1063" i="15"/>
  <c r="T1063" i="15"/>
  <c r="L1063" i="15"/>
  <c r="AC1063" i="15"/>
  <c r="R1063" i="15"/>
  <c r="H1063" i="15"/>
  <c r="AA1063" i="15"/>
  <c r="Q1063" i="15"/>
  <c r="G1063" i="15"/>
  <c r="Z1063" i="15"/>
  <c r="P1063" i="15"/>
  <c r="Y1063" i="15"/>
  <c r="O1063" i="15"/>
  <c r="L1066" i="15"/>
  <c r="AF1074" i="15"/>
  <c r="X1074" i="15"/>
  <c r="P1074" i="15"/>
  <c r="H1074" i="15"/>
  <c r="AD1074" i="15"/>
  <c r="V1074" i="15"/>
  <c r="N1074" i="15"/>
  <c r="AB1074" i="15"/>
  <c r="R1074" i="15"/>
  <c r="G1074" i="15"/>
  <c r="AA1074" i="15"/>
  <c r="Q1074" i="15"/>
  <c r="Z1074" i="15"/>
  <c r="O1074" i="15"/>
  <c r="Y1074" i="15"/>
  <c r="M1074" i="15"/>
  <c r="AG1074" i="15"/>
  <c r="K1093" i="15"/>
  <c r="S1098" i="15"/>
  <c r="M1100" i="15"/>
  <c r="AG1100" i="15"/>
  <c r="AH1106" i="15"/>
  <c r="AG1119" i="15"/>
  <c r="Q1133" i="15"/>
  <c r="O1168" i="15"/>
  <c r="AB1212" i="15"/>
  <c r="T1212" i="15"/>
  <c r="L1212" i="15"/>
  <c r="AG1212" i="15"/>
  <c r="X1212" i="15"/>
  <c r="O1212" i="15"/>
  <c r="AE1212" i="15"/>
  <c r="V1212" i="15"/>
  <c r="M1212" i="15"/>
  <c r="AA1212" i="15"/>
  <c r="P1212" i="15"/>
  <c r="Z1212" i="15"/>
  <c r="N1212" i="15"/>
  <c r="Y1212" i="15"/>
  <c r="K1212" i="15"/>
  <c r="W1212" i="15"/>
  <c r="J1212" i="15"/>
  <c r="K1223" i="15"/>
  <c r="J1227" i="15"/>
  <c r="AH1228" i="15"/>
  <c r="N1236" i="15"/>
  <c r="R1244" i="15"/>
  <c r="J1312" i="15"/>
  <c r="AF1338" i="15"/>
  <c r="X1338" i="15"/>
  <c r="P1338" i="15"/>
  <c r="H1338" i="15"/>
  <c r="AE1338" i="15"/>
  <c r="W1338" i="15"/>
  <c r="O1338" i="15"/>
  <c r="G1338" i="15"/>
  <c r="AC1338" i="15"/>
  <c r="S1338" i="15"/>
  <c r="I1338" i="15"/>
  <c r="AA1338" i="15"/>
  <c r="Q1338" i="15"/>
  <c r="Y1338" i="15"/>
  <c r="K1338" i="15"/>
  <c r="V1338" i="15"/>
  <c r="J1338" i="15"/>
  <c r="U1338" i="15"/>
  <c r="AH1338" i="15"/>
  <c r="T1338" i="15"/>
  <c r="V1346" i="15"/>
  <c r="N1400" i="15"/>
  <c r="Z1523" i="15"/>
  <c r="AE1527" i="15"/>
  <c r="W1527" i="15"/>
  <c r="O1527" i="15"/>
  <c r="G1527" i="15"/>
  <c r="AD1527" i="15"/>
  <c r="V1527" i="15"/>
  <c r="N1527" i="15"/>
  <c r="AC1527" i="15"/>
  <c r="U1527" i="15"/>
  <c r="M1527" i="15"/>
  <c r="AF1527" i="15"/>
  <c r="R1527" i="15"/>
  <c r="AA1527" i="15"/>
  <c r="P1527" i="15"/>
  <c r="Y1527" i="15"/>
  <c r="I1527" i="15"/>
  <c r="X1527" i="15"/>
  <c r="H1527" i="15"/>
  <c r="T1527" i="15"/>
  <c r="S1527" i="15"/>
  <c r="AB1599" i="15"/>
  <c r="AA1639" i="15"/>
  <c r="AF1679" i="15"/>
  <c r="X1679" i="15"/>
  <c r="P1679" i="15"/>
  <c r="H1679" i="15"/>
  <c r="AE1679" i="15"/>
  <c r="W1679" i="15"/>
  <c r="O1679" i="15"/>
  <c r="G1679" i="15"/>
  <c r="AD1679" i="15"/>
  <c r="V1679" i="15"/>
  <c r="N1679" i="15"/>
  <c r="AC1679" i="15"/>
  <c r="U1679" i="15"/>
  <c r="M1679" i="15"/>
  <c r="Y1679" i="15"/>
  <c r="I1679" i="15"/>
  <c r="T1679" i="15"/>
  <c r="S1679" i="15"/>
  <c r="AA1679" i="15"/>
  <c r="Z1679" i="15"/>
  <c r="R1679" i="15"/>
  <c r="Q1679" i="15"/>
  <c r="AF1708" i="15"/>
  <c r="AE1748" i="15"/>
  <c r="K1799" i="15"/>
  <c r="Z1912" i="15"/>
  <c r="AE1920" i="15"/>
  <c r="Z1944" i="15"/>
  <c r="F2" i="16"/>
  <c r="H23" i="16"/>
  <c r="M23" i="16"/>
  <c r="L23" i="16"/>
  <c r="G23" i="16"/>
  <c r="I26" i="16"/>
  <c r="F220" i="16"/>
  <c r="H248" i="16"/>
  <c r="O248" i="16"/>
  <c r="G248" i="16"/>
  <c r="F248" i="16"/>
  <c r="I248" i="16"/>
  <c r="E248" i="16"/>
  <c r="K248" i="16"/>
  <c r="J248" i="16"/>
  <c r="M248" i="16"/>
  <c r="L248" i="16"/>
  <c r="H568" i="16"/>
  <c r="G568" i="16"/>
  <c r="I568" i="16"/>
  <c r="O568" i="16" s="1"/>
  <c r="E568" i="16"/>
  <c r="K568" i="16"/>
  <c r="J568" i="16"/>
  <c r="M568" i="16"/>
  <c r="L568" i="16"/>
  <c r="F732" i="16"/>
  <c r="J997" i="16"/>
  <c r="M997" i="16"/>
  <c r="L997" i="16"/>
  <c r="H997" i="16"/>
  <c r="G997" i="16"/>
  <c r="E997" i="16"/>
  <c r="H1335" i="16"/>
  <c r="G1335" i="16"/>
  <c r="K1335" i="16"/>
  <c r="J1335" i="16"/>
  <c r="M1335" i="16"/>
  <c r="L1335" i="16"/>
  <c r="AQ163" i="17"/>
  <c r="AQ131" i="17"/>
  <c r="AQ99" i="17"/>
  <c r="AQ83" i="17"/>
  <c r="AQ35" i="17"/>
  <c r="AQ19" i="17"/>
  <c r="AQ165" i="17"/>
  <c r="AQ149" i="17"/>
  <c r="AQ53" i="17"/>
  <c r="AQ37" i="17"/>
  <c r="AQ21" i="17"/>
  <c r="AQ5" i="17"/>
  <c r="AQ167" i="17"/>
  <c r="AQ55" i="17"/>
  <c r="AQ7" i="17"/>
  <c r="AQ125" i="17"/>
  <c r="AQ109" i="17"/>
  <c r="AQ47" i="17"/>
  <c r="AQ89" i="17"/>
  <c r="AQ75" i="17"/>
  <c r="AQ31" i="17"/>
  <c r="AQ123" i="17"/>
  <c r="AP48" i="17"/>
  <c r="AQ145" i="17"/>
  <c r="AQ73" i="17"/>
  <c r="AQ29" i="17"/>
  <c r="AQ27" i="17"/>
  <c r="AQ25" i="17"/>
  <c r="AQ111" i="17"/>
  <c r="AQ169" i="17"/>
  <c r="AQ95" i="17"/>
  <c r="AQ17" i="17"/>
  <c r="AQ127" i="17"/>
  <c r="AQ45" i="17"/>
  <c r="AQ157" i="17"/>
  <c r="AQ11" i="17"/>
  <c r="I286" i="9"/>
  <c r="O5" i="15"/>
  <c r="R70" i="15"/>
  <c r="M71" i="15"/>
  <c r="Q74" i="15"/>
  <c r="AB75" i="15"/>
  <c r="L75" i="15"/>
  <c r="X75" i="15"/>
  <c r="AG75" i="15" s="1"/>
  <c r="Q75" i="7" s="1"/>
  <c r="O75" i="15"/>
  <c r="AF75" i="15"/>
  <c r="W75" i="15"/>
  <c r="N75" i="15"/>
  <c r="AE75" i="15"/>
  <c r="O75" i="7" s="1"/>
  <c r="V75" i="15"/>
  <c r="M75" i="15"/>
  <c r="U75" i="15"/>
  <c r="K75" i="15"/>
  <c r="I75" i="15"/>
  <c r="AA75" i="15"/>
  <c r="G78" i="15"/>
  <c r="S81" i="15"/>
  <c r="Z82" i="15"/>
  <c r="Y82" i="15"/>
  <c r="X82" i="15"/>
  <c r="AB82" i="15"/>
  <c r="AB87" i="15"/>
  <c r="L87" i="15"/>
  <c r="Z87" i="15"/>
  <c r="Q87" i="15"/>
  <c r="H87" i="15"/>
  <c r="Y87" i="15"/>
  <c r="P87" i="15"/>
  <c r="G87" i="15"/>
  <c r="AG87" i="15"/>
  <c r="Q87" i="7" s="1"/>
  <c r="X87" i="15"/>
  <c r="O87" i="15"/>
  <c r="W87" i="15"/>
  <c r="N87" i="15"/>
  <c r="O106" i="15"/>
  <c r="AG106" i="15"/>
  <c r="Q106" i="7" s="1"/>
  <c r="AA109" i="15"/>
  <c r="Z109" i="15"/>
  <c r="Y109" i="15"/>
  <c r="Q112" i="15"/>
  <c r="L113" i="15"/>
  <c r="P128" i="15"/>
  <c r="O144" i="15"/>
  <c r="AA157" i="15"/>
  <c r="Y157" i="15"/>
  <c r="AH176" i="15"/>
  <c r="Z176" i="15"/>
  <c r="R176" i="15"/>
  <c r="J176" i="15"/>
  <c r="AF176" i="15"/>
  <c r="W176" i="15"/>
  <c r="N176" i="15"/>
  <c r="AE176" i="15"/>
  <c r="V176" i="15"/>
  <c r="M176" i="15"/>
  <c r="AD176" i="15"/>
  <c r="U176" i="15"/>
  <c r="L176" i="15"/>
  <c r="AC176" i="15"/>
  <c r="T176" i="15"/>
  <c r="K176" i="15"/>
  <c r="Q181" i="15"/>
  <c r="AD188" i="15"/>
  <c r="AB219" i="15"/>
  <c r="T219" i="15"/>
  <c r="L219" i="15"/>
  <c r="AG219" i="15"/>
  <c r="X219" i="15"/>
  <c r="O219" i="15"/>
  <c r="AF219" i="15"/>
  <c r="W219" i="15"/>
  <c r="N219" i="15"/>
  <c r="AE219" i="15"/>
  <c r="V219" i="15"/>
  <c r="M219" i="15"/>
  <c r="AD219" i="15"/>
  <c r="U219" i="15"/>
  <c r="K219" i="15"/>
  <c r="Q236" i="15"/>
  <c r="AD246" i="15"/>
  <c r="V246" i="15"/>
  <c r="N246" i="15"/>
  <c r="AH246" i="15"/>
  <c r="Y246" i="15"/>
  <c r="P246" i="15"/>
  <c r="G246" i="15"/>
  <c r="AG246" i="15"/>
  <c r="X246" i="15"/>
  <c r="O246" i="15"/>
  <c r="AF246" i="15"/>
  <c r="W246" i="15"/>
  <c r="M246" i="15"/>
  <c r="AE246" i="15"/>
  <c r="U246" i="15"/>
  <c r="L246" i="15"/>
  <c r="O256" i="15"/>
  <c r="L268" i="15"/>
  <c r="AG272" i="15"/>
  <c r="I283" i="15"/>
  <c r="S295" i="15"/>
  <c r="AD300" i="15"/>
  <c r="O304" i="15"/>
  <c r="AC315" i="15"/>
  <c r="O330" i="15"/>
  <c r="AG330" i="15"/>
  <c r="AD337" i="15"/>
  <c r="S343" i="15"/>
  <c r="O352" i="15"/>
  <c r="R358" i="15"/>
  <c r="M359" i="15"/>
  <c r="AD374" i="15"/>
  <c r="V374" i="15"/>
  <c r="N374" i="15"/>
  <c r="AH374" i="15"/>
  <c r="Y374" i="15"/>
  <c r="P374" i="15"/>
  <c r="G374" i="15"/>
  <c r="AG374" i="15"/>
  <c r="X374" i="15"/>
  <c r="O374" i="15"/>
  <c r="AF374" i="15"/>
  <c r="W374" i="15"/>
  <c r="M374" i="15"/>
  <c r="AE374" i="15"/>
  <c r="U374" i="15"/>
  <c r="L374" i="15"/>
  <c r="AB374" i="15"/>
  <c r="R385" i="15"/>
  <c r="AB389" i="15"/>
  <c r="I394" i="15"/>
  <c r="Q396" i="15"/>
  <c r="K401" i="15"/>
  <c r="R407" i="15"/>
  <c r="K412" i="15"/>
  <c r="Q421" i="15"/>
  <c r="I426" i="15"/>
  <c r="Q428" i="15"/>
  <c r="P432" i="15"/>
  <c r="AC444" i="15"/>
  <c r="AB459" i="15"/>
  <c r="T459" i="15"/>
  <c r="L459" i="15"/>
  <c r="AG459" i="15"/>
  <c r="X459" i="15"/>
  <c r="O459" i="15"/>
  <c r="AF459" i="15"/>
  <c r="W459" i="15"/>
  <c r="N459" i="15"/>
  <c r="AE459" i="15"/>
  <c r="V459" i="15"/>
  <c r="M459" i="15"/>
  <c r="AD459" i="15"/>
  <c r="U459" i="15"/>
  <c r="K459" i="15"/>
  <c r="AA459" i="15"/>
  <c r="S465" i="15"/>
  <c r="AF469" i="15"/>
  <c r="X469" i="15"/>
  <c r="P469" i="15"/>
  <c r="H469" i="15"/>
  <c r="AG469" i="15"/>
  <c r="W469" i="15"/>
  <c r="N469" i="15"/>
  <c r="AE469" i="15"/>
  <c r="V469" i="15"/>
  <c r="M469" i="15"/>
  <c r="AD469" i="15"/>
  <c r="U469" i="15"/>
  <c r="L469" i="15"/>
  <c r="AC469" i="15"/>
  <c r="T469" i="15"/>
  <c r="K469" i="15"/>
  <c r="AB469" i="15"/>
  <c r="AF485" i="15"/>
  <c r="X485" i="15"/>
  <c r="P485" i="15"/>
  <c r="H485" i="15"/>
  <c r="AG485" i="15"/>
  <c r="W485" i="15"/>
  <c r="N485" i="15"/>
  <c r="AE485" i="15"/>
  <c r="V485" i="15"/>
  <c r="M485" i="15"/>
  <c r="AD485" i="15"/>
  <c r="U485" i="15"/>
  <c r="L485" i="15"/>
  <c r="AC485" i="15"/>
  <c r="T485" i="15"/>
  <c r="K485" i="15"/>
  <c r="AB485" i="15"/>
  <c r="P490" i="15"/>
  <c r="AH501" i="15"/>
  <c r="Q506" i="15"/>
  <c r="I507" i="15"/>
  <c r="AF513" i="15"/>
  <c r="X513" i="15"/>
  <c r="P513" i="15"/>
  <c r="H513" i="15"/>
  <c r="Z513" i="15"/>
  <c r="Q513" i="15"/>
  <c r="G513" i="15"/>
  <c r="AH513" i="15"/>
  <c r="Y513" i="15"/>
  <c r="O513" i="15"/>
  <c r="AG513" i="15"/>
  <c r="W513" i="15"/>
  <c r="N513" i="15"/>
  <c r="AE513" i="15"/>
  <c r="V513" i="15"/>
  <c r="M513" i="15"/>
  <c r="K513" i="15"/>
  <c r="Q518" i="15"/>
  <c r="AD534" i="15"/>
  <c r="V534" i="15"/>
  <c r="N534" i="15"/>
  <c r="AH534" i="15"/>
  <c r="Y534" i="15"/>
  <c r="P534" i="15"/>
  <c r="G534" i="15"/>
  <c r="AG534" i="15"/>
  <c r="X534" i="15"/>
  <c r="O534" i="15"/>
  <c r="AF534" i="15"/>
  <c r="W534" i="15"/>
  <c r="M534" i="15"/>
  <c r="AE534" i="15"/>
  <c r="U534" i="15"/>
  <c r="L534" i="15"/>
  <c r="AB534" i="15"/>
  <c r="R545" i="15"/>
  <c r="AC550" i="15"/>
  <c r="I555" i="15"/>
  <c r="AG570" i="15"/>
  <c r="S572" i="15"/>
  <c r="Q576" i="15"/>
  <c r="P586" i="15"/>
  <c r="AB599" i="15"/>
  <c r="T599" i="15"/>
  <c r="L599" i="15"/>
  <c r="Z599" i="15"/>
  <c r="Q599" i="15"/>
  <c r="H599" i="15"/>
  <c r="AH599" i="15"/>
  <c r="Y599" i="15"/>
  <c r="P599" i="15"/>
  <c r="G599" i="15"/>
  <c r="AG599" i="15"/>
  <c r="X599" i="15"/>
  <c r="O599" i="15"/>
  <c r="AF599" i="15"/>
  <c r="W599" i="15"/>
  <c r="N599" i="15"/>
  <c r="AD599" i="15"/>
  <c r="O602" i="15"/>
  <c r="AG602" i="15"/>
  <c r="M615" i="15"/>
  <c r="AH618" i="15"/>
  <c r="AG624" i="15"/>
  <c r="S631" i="15"/>
  <c r="J635" i="15"/>
  <c r="AC635" i="15"/>
  <c r="J645" i="15"/>
  <c r="AB645" i="15"/>
  <c r="AH651" i="15"/>
  <c r="AF661" i="15"/>
  <c r="X661" i="15"/>
  <c r="P661" i="15"/>
  <c r="H661" i="15"/>
  <c r="AG661" i="15"/>
  <c r="W661" i="15"/>
  <c r="N661" i="15"/>
  <c r="AE661" i="15"/>
  <c r="V661" i="15"/>
  <c r="M661" i="15"/>
  <c r="AD661" i="15"/>
  <c r="U661" i="15"/>
  <c r="L661" i="15"/>
  <c r="AC661" i="15"/>
  <c r="T661" i="15"/>
  <c r="K661" i="15"/>
  <c r="AA666" i="15"/>
  <c r="Q668" i="15"/>
  <c r="P672" i="15"/>
  <c r="AC673" i="15"/>
  <c r="R678" i="15"/>
  <c r="AE679" i="15"/>
  <c r="P683" i="15"/>
  <c r="S700" i="15"/>
  <c r="J709" i="15"/>
  <c r="I714" i="15"/>
  <c r="Q716" i="15"/>
  <c r="I720" i="15"/>
  <c r="K727" i="15"/>
  <c r="U743" i="15"/>
  <c r="M759" i="15"/>
  <c r="AF1082" i="15"/>
  <c r="X1082" i="15"/>
  <c r="P1082" i="15"/>
  <c r="H1082" i="15"/>
  <c r="AD1082" i="15"/>
  <c r="V1082" i="15"/>
  <c r="N1082" i="15"/>
  <c r="AB1082" i="15"/>
  <c r="R1082" i="15"/>
  <c r="G1082" i="15"/>
  <c r="AA1082" i="15"/>
  <c r="Q1082" i="15"/>
  <c r="Z1082" i="15"/>
  <c r="O1082" i="15"/>
  <c r="Y1082" i="15"/>
  <c r="M1082" i="15"/>
  <c r="I25" i="9"/>
  <c r="I224" i="9"/>
  <c r="I486" i="9"/>
  <c r="U3" i="15"/>
  <c r="M4" i="15"/>
  <c r="K6" i="15"/>
  <c r="AC6" i="15"/>
  <c r="J7" i="15"/>
  <c r="O10" i="15"/>
  <c r="AG10" i="15"/>
  <c r="Q10" i="7" s="1"/>
  <c r="AA13" i="15"/>
  <c r="Z13" i="15"/>
  <c r="Y13" i="15"/>
  <c r="G15" i="15"/>
  <c r="Q16" i="15"/>
  <c r="L17" i="15"/>
  <c r="K18" i="15"/>
  <c r="G19" i="15"/>
  <c r="G20" i="15"/>
  <c r="Q21" i="15"/>
  <c r="V22" i="15"/>
  <c r="N22" i="15"/>
  <c r="Y22" i="15"/>
  <c r="P22" i="15"/>
  <c r="G22" i="15"/>
  <c r="AG22" i="15"/>
  <c r="Q22" i="7" s="1"/>
  <c r="X22" i="15"/>
  <c r="O22" i="15"/>
  <c r="W22" i="15"/>
  <c r="M22" i="15"/>
  <c r="U22" i="15"/>
  <c r="L22" i="15"/>
  <c r="J22" i="15"/>
  <c r="AB22" i="15"/>
  <c r="V26" i="15"/>
  <c r="N26" i="15"/>
  <c r="W26" i="15"/>
  <c r="M26" i="15"/>
  <c r="U26" i="15"/>
  <c r="L26" i="15"/>
  <c r="AC26" i="15"/>
  <c r="K26" i="15"/>
  <c r="AB26" i="15"/>
  <c r="S26" i="15"/>
  <c r="J26" i="15"/>
  <c r="I26" i="15"/>
  <c r="AA26" i="15"/>
  <c r="S27" i="15"/>
  <c r="J30" i="15"/>
  <c r="H30" i="15"/>
  <c r="P32" i="15"/>
  <c r="X33" i="15"/>
  <c r="AG33" i="15" s="1"/>
  <c r="Q33" i="7" s="1"/>
  <c r="P33" i="15"/>
  <c r="H33" i="15"/>
  <c r="Z33" i="15"/>
  <c r="Q33" i="15"/>
  <c r="G33" i="15"/>
  <c r="Y33" i="15"/>
  <c r="O33" i="15"/>
  <c r="W33" i="15"/>
  <c r="N33" i="15"/>
  <c r="V33" i="15"/>
  <c r="M33" i="15"/>
  <c r="K33" i="15"/>
  <c r="AC33" i="15"/>
  <c r="J34" i="15"/>
  <c r="AE35" i="15"/>
  <c r="O35" i="7" s="1"/>
  <c r="O37" i="15"/>
  <c r="I38" i="15"/>
  <c r="V39" i="15"/>
  <c r="K41" i="15"/>
  <c r="I41" i="15"/>
  <c r="H42" i="15"/>
  <c r="R43" i="15"/>
  <c r="L44" i="15"/>
  <c r="L45" i="15"/>
  <c r="O48" i="15"/>
  <c r="AG48" i="15"/>
  <c r="Q48" i="7" s="1"/>
  <c r="J49" i="15"/>
  <c r="AF53" i="15"/>
  <c r="X53" i="15"/>
  <c r="P53" i="15"/>
  <c r="H53" i="15"/>
  <c r="AG53" i="15"/>
  <c r="Q53" i="7" s="1"/>
  <c r="W53" i="15"/>
  <c r="N53" i="15"/>
  <c r="AE53" i="15" s="1"/>
  <c r="O53" i="7" s="1"/>
  <c r="V53" i="15"/>
  <c r="M53" i="15"/>
  <c r="U53" i="15"/>
  <c r="L53" i="15"/>
  <c r="AC53" i="15"/>
  <c r="K53" i="15"/>
  <c r="J53" i="15"/>
  <c r="AB53" i="15"/>
  <c r="U55" i="15"/>
  <c r="H56" i="15"/>
  <c r="G56" i="15"/>
  <c r="Z60" i="15"/>
  <c r="R60" i="15"/>
  <c r="J60" i="15"/>
  <c r="Y60" i="15"/>
  <c r="P60" i="15"/>
  <c r="G60" i="15"/>
  <c r="AG60" i="15"/>
  <c r="Q60" i="7" s="1"/>
  <c r="X60" i="15"/>
  <c r="O60" i="15"/>
  <c r="W60" i="15"/>
  <c r="N60" i="15"/>
  <c r="AF60" i="15" s="1"/>
  <c r="V60" i="15"/>
  <c r="M60" i="15"/>
  <c r="K60" i="15"/>
  <c r="AC60" i="15"/>
  <c r="K61" i="15"/>
  <c r="Z64" i="15"/>
  <c r="R64" i="15"/>
  <c r="J64" i="15"/>
  <c r="W64" i="15"/>
  <c r="N64" i="15"/>
  <c r="V64" i="15"/>
  <c r="M64" i="15"/>
  <c r="U64" i="15"/>
  <c r="L64" i="15"/>
  <c r="AC64" i="15"/>
  <c r="K64" i="15"/>
  <c r="I64" i="15"/>
  <c r="AB64" i="15"/>
  <c r="M67" i="15"/>
  <c r="K68" i="15"/>
  <c r="H68" i="15"/>
  <c r="AF68" i="15" s="1"/>
  <c r="P68" i="7" s="1"/>
  <c r="I69" i="15"/>
  <c r="S71" i="15"/>
  <c r="X74" i="15"/>
  <c r="P75" i="15"/>
  <c r="I76" i="15"/>
  <c r="M78" i="15"/>
  <c r="H80" i="15"/>
  <c r="U81" i="15"/>
  <c r="K83" i="15"/>
  <c r="S86" i="15"/>
  <c r="R87" i="15"/>
  <c r="N89" i="15"/>
  <c r="AE89" i="15" s="1"/>
  <c r="O89" i="7" s="1"/>
  <c r="R90" i="15"/>
  <c r="J91" i="15"/>
  <c r="AC91" i="15"/>
  <c r="AG91" i="15" s="1"/>
  <c r="Q91" i="7" s="1"/>
  <c r="L94" i="15"/>
  <c r="H98" i="15"/>
  <c r="G98" i="15"/>
  <c r="Y101" i="15"/>
  <c r="R102" i="15"/>
  <c r="M103" i="15"/>
  <c r="L104" i="15"/>
  <c r="M105" i="15"/>
  <c r="AB107" i="15"/>
  <c r="L107" i="15"/>
  <c r="X107" i="15"/>
  <c r="AG107" i="15" s="1"/>
  <c r="Q107" i="7" s="1"/>
  <c r="O107" i="15"/>
  <c r="W107" i="15"/>
  <c r="N107" i="15"/>
  <c r="V107" i="15"/>
  <c r="M107" i="15"/>
  <c r="U107" i="15"/>
  <c r="K107" i="15"/>
  <c r="I107" i="15"/>
  <c r="AA107" i="15"/>
  <c r="U108" i="15"/>
  <c r="G110" i="15"/>
  <c r="X112" i="15"/>
  <c r="AG112" i="15" s="1"/>
  <c r="Q112" i="7" s="1"/>
  <c r="Z114" i="15"/>
  <c r="Y114" i="15"/>
  <c r="X114" i="15"/>
  <c r="AB114" i="15"/>
  <c r="N116" i="15"/>
  <c r="S117" i="15"/>
  <c r="Q118" i="15"/>
  <c r="AB119" i="15"/>
  <c r="L119" i="15"/>
  <c r="Z119" i="15"/>
  <c r="Q119" i="15"/>
  <c r="H119" i="15"/>
  <c r="Y119" i="15"/>
  <c r="P119" i="15"/>
  <c r="G119" i="15"/>
  <c r="AG119" i="15"/>
  <c r="Q119" i="7" s="1"/>
  <c r="X119" i="15"/>
  <c r="O119" i="15"/>
  <c r="AF119" i="15"/>
  <c r="W119" i="15"/>
  <c r="N119" i="15"/>
  <c r="AE119" i="15" s="1"/>
  <c r="O119" i="7" s="1"/>
  <c r="K119" i="15"/>
  <c r="K120" i="15"/>
  <c r="U120" i="15"/>
  <c r="AE120" i="15"/>
  <c r="O120" i="7" s="1"/>
  <c r="G121" i="15"/>
  <c r="P122" i="15"/>
  <c r="H123" i="15"/>
  <c r="I125" i="15"/>
  <c r="AG125" i="15" s="1"/>
  <c r="Q125" i="7" s="1"/>
  <c r="G125" i="15"/>
  <c r="U126" i="15"/>
  <c r="S128" i="15"/>
  <c r="R129" i="15"/>
  <c r="U131" i="15"/>
  <c r="M132" i="15"/>
  <c r="R133" i="15"/>
  <c r="K134" i="15"/>
  <c r="AC134" i="15"/>
  <c r="AG134" i="15" s="1"/>
  <c r="Q134" i="7" s="1"/>
  <c r="J135" i="15"/>
  <c r="O138" i="15"/>
  <c r="AG138" i="15"/>
  <c r="Q138" i="7" s="1"/>
  <c r="S140" i="15"/>
  <c r="AA141" i="15"/>
  <c r="Z141" i="15"/>
  <c r="Y141" i="15"/>
  <c r="G143" i="15"/>
  <c r="L145" i="15"/>
  <c r="K146" i="15"/>
  <c r="M148" i="15"/>
  <c r="R149" i="15"/>
  <c r="K150" i="15"/>
  <c r="AC150" i="15"/>
  <c r="AG150" i="15" s="1"/>
  <c r="Q150" i="7" s="1"/>
  <c r="J151" i="15"/>
  <c r="M153" i="15"/>
  <c r="AB155" i="15"/>
  <c r="L155" i="15"/>
  <c r="X155" i="15"/>
  <c r="AG155" i="15" s="1"/>
  <c r="Q155" i="7" s="1"/>
  <c r="O155" i="15"/>
  <c r="AF155" i="15"/>
  <c r="W155" i="15"/>
  <c r="N155" i="15"/>
  <c r="AE155" i="15"/>
  <c r="O155" i="7" s="1"/>
  <c r="V155" i="15"/>
  <c r="M155" i="15"/>
  <c r="U155" i="15"/>
  <c r="K155" i="15"/>
  <c r="I155" i="15"/>
  <c r="AA155" i="15"/>
  <c r="U156" i="15"/>
  <c r="L158" i="15"/>
  <c r="H162" i="15"/>
  <c r="K163" i="15"/>
  <c r="S166" i="15"/>
  <c r="Q171" i="15"/>
  <c r="Z172" i="15"/>
  <c r="R172" i="15"/>
  <c r="J172" i="15"/>
  <c r="Y172" i="15"/>
  <c r="P172" i="15"/>
  <c r="G172" i="15"/>
  <c r="X172" i="15"/>
  <c r="O172" i="15"/>
  <c r="W172" i="15"/>
  <c r="N172" i="15"/>
  <c r="V172" i="15"/>
  <c r="M172" i="15"/>
  <c r="K172" i="15"/>
  <c r="AC172" i="15"/>
  <c r="AG172" i="15" s="1"/>
  <c r="Q172" i="7" s="1"/>
  <c r="K173" i="15"/>
  <c r="V173" i="15"/>
  <c r="P176" i="15"/>
  <c r="AF177" i="15"/>
  <c r="X177" i="15"/>
  <c r="P177" i="15"/>
  <c r="H177" i="15"/>
  <c r="Z177" i="15"/>
  <c r="Q177" i="15"/>
  <c r="G177" i="15"/>
  <c r="AH177" i="15"/>
  <c r="Y177" i="15"/>
  <c r="O177" i="15"/>
  <c r="AG177" i="15"/>
  <c r="W177" i="15"/>
  <c r="N177" i="15"/>
  <c r="AE177" i="15"/>
  <c r="V177" i="15"/>
  <c r="M177" i="15"/>
  <c r="K177" i="15"/>
  <c r="AC177" i="15"/>
  <c r="S181" i="15"/>
  <c r="AB183" i="15"/>
  <c r="T183" i="15"/>
  <c r="L183" i="15"/>
  <c r="Z183" i="15"/>
  <c r="Q183" i="15"/>
  <c r="H183" i="15"/>
  <c r="AH183" i="15"/>
  <c r="Y183" i="15"/>
  <c r="P183" i="15"/>
  <c r="G183" i="15"/>
  <c r="AG183" i="15"/>
  <c r="X183" i="15"/>
  <c r="O183" i="15"/>
  <c r="AF183" i="15"/>
  <c r="W183" i="15"/>
  <c r="N183" i="15"/>
  <c r="K183" i="15"/>
  <c r="AD183" i="15"/>
  <c r="O186" i="15"/>
  <c r="AG186" i="15"/>
  <c r="S188" i="15"/>
  <c r="AH192" i="15"/>
  <c r="Z192" i="15"/>
  <c r="R192" i="15"/>
  <c r="J192" i="15"/>
  <c r="AF192" i="15"/>
  <c r="W192" i="15"/>
  <c r="N192" i="15"/>
  <c r="AE192" i="15"/>
  <c r="V192" i="15"/>
  <c r="M192" i="15"/>
  <c r="AD192" i="15"/>
  <c r="U192" i="15"/>
  <c r="L192" i="15"/>
  <c r="AC192" i="15"/>
  <c r="T192" i="15"/>
  <c r="K192" i="15"/>
  <c r="I192" i="15"/>
  <c r="AB192" i="15"/>
  <c r="S197" i="15"/>
  <c r="Q198" i="15"/>
  <c r="AB199" i="15"/>
  <c r="T199" i="15"/>
  <c r="L199" i="15"/>
  <c r="Z199" i="15"/>
  <c r="Q199" i="15"/>
  <c r="H199" i="15"/>
  <c r="AH199" i="15"/>
  <c r="Y199" i="15"/>
  <c r="P199" i="15"/>
  <c r="G199" i="15"/>
  <c r="AG199" i="15"/>
  <c r="X199" i="15"/>
  <c r="O199" i="15"/>
  <c r="AF199" i="15"/>
  <c r="W199" i="15"/>
  <c r="N199" i="15"/>
  <c r="K199" i="15"/>
  <c r="AD199" i="15"/>
  <c r="AG202" i="15"/>
  <c r="O208" i="15"/>
  <c r="AG208" i="15"/>
  <c r="J209" i="15"/>
  <c r="Y213" i="15"/>
  <c r="R214" i="15"/>
  <c r="M215" i="15"/>
  <c r="AE215" i="15"/>
  <c r="X218" i="15"/>
  <c r="P219" i="15"/>
  <c r="AH219" i="15"/>
  <c r="I220" i="15"/>
  <c r="H224" i="15"/>
  <c r="U225" i="15"/>
  <c r="Q229" i="15"/>
  <c r="AD230" i="15"/>
  <c r="V230" i="15"/>
  <c r="N230" i="15"/>
  <c r="AH230" i="15"/>
  <c r="Y230" i="15"/>
  <c r="P230" i="15"/>
  <c r="G230" i="15"/>
  <c r="AG230" i="15"/>
  <c r="X230" i="15"/>
  <c r="O230" i="15"/>
  <c r="AF230" i="15"/>
  <c r="W230" i="15"/>
  <c r="M230" i="15"/>
  <c r="AE230" i="15"/>
  <c r="U230" i="15"/>
  <c r="L230" i="15"/>
  <c r="J230" i="15"/>
  <c r="AB230" i="15"/>
  <c r="P234" i="15"/>
  <c r="AH234" i="15"/>
  <c r="T236" i="15"/>
  <c r="S245" i="15"/>
  <c r="Q246" i="15"/>
  <c r="AB247" i="15"/>
  <c r="T247" i="15"/>
  <c r="L247" i="15"/>
  <c r="Z247" i="15"/>
  <c r="Q247" i="15"/>
  <c r="H247" i="15"/>
  <c r="AH247" i="15"/>
  <c r="Y247" i="15"/>
  <c r="P247" i="15"/>
  <c r="G247" i="15"/>
  <c r="AG247" i="15"/>
  <c r="X247" i="15"/>
  <c r="O247" i="15"/>
  <c r="AF247" i="15"/>
  <c r="W247" i="15"/>
  <c r="N247" i="15"/>
  <c r="K247" i="15"/>
  <c r="AD247" i="15"/>
  <c r="R250" i="15"/>
  <c r="V263" i="15"/>
  <c r="Q272" i="15"/>
  <c r="Y277" i="15"/>
  <c r="R278" i="15"/>
  <c r="X282" i="15"/>
  <c r="P283" i="15"/>
  <c r="AH283" i="15"/>
  <c r="H288" i="15"/>
  <c r="U289" i="15"/>
  <c r="O293" i="15"/>
  <c r="AH293" i="15"/>
  <c r="I294" i="15"/>
  <c r="V295" i="15"/>
  <c r="O298" i="15"/>
  <c r="AG298" i="15"/>
  <c r="S300" i="15"/>
  <c r="Q304" i="15"/>
  <c r="L305" i="15"/>
  <c r="AD305" i="15"/>
  <c r="I309" i="15"/>
  <c r="T310" i="15"/>
  <c r="AH316" i="15"/>
  <c r="Z316" i="15"/>
  <c r="R316" i="15"/>
  <c r="J316" i="15"/>
  <c r="Y316" i="15"/>
  <c r="P316" i="15"/>
  <c r="G316" i="15"/>
  <c r="AG316" i="15"/>
  <c r="X316" i="15"/>
  <c r="O316" i="15"/>
  <c r="AF316" i="15"/>
  <c r="W316" i="15"/>
  <c r="N316" i="15"/>
  <c r="AE316" i="15"/>
  <c r="V316" i="15"/>
  <c r="M316" i="15"/>
  <c r="K316" i="15"/>
  <c r="AC316" i="15"/>
  <c r="H320" i="15"/>
  <c r="U321" i="15"/>
  <c r="R325" i="15"/>
  <c r="K326" i="15"/>
  <c r="AC326" i="15"/>
  <c r="J327" i="15"/>
  <c r="Q330" i="15"/>
  <c r="AB331" i="15"/>
  <c r="T331" i="15"/>
  <c r="L331" i="15"/>
  <c r="AG331" i="15"/>
  <c r="X331" i="15"/>
  <c r="O331" i="15"/>
  <c r="AF331" i="15"/>
  <c r="W331" i="15"/>
  <c r="N331" i="15"/>
  <c r="AE331" i="15"/>
  <c r="V331" i="15"/>
  <c r="M331" i="15"/>
  <c r="AD331" i="15"/>
  <c r="U331" i="15"/>
  <c r="K331" i="15"/>
  <c r="I331" i="15"/>
  <c r="AA331" i="15"/>
  <c r="U332" i="15"/>
  <c r="X336" i="15"/>
  <c r="S337" i="15"/>
  <c r="O341" i="15"/>
  <c r="AH341" i="15"/>
  <c r="I342" i="15"/>
  <c r="V343" i="15"/>
  <c r="O346" i="15"/>
  <c r="AG346" i="15"/>
  <c r="S348" i="15"/>
  <c r="L353" i="15"/>
  <c r="AD353" i="15"/>
  <c r="I357" i="15"/>
  <c r="T358" i="15"/>
  <c r="S359" i="15"/>
  <c r="Q363" i="15"/>
  <c r="AH364" i="15"/>
  <c r="Z364" i="15"/>
  <c r="R364" i="15"/>
  <c r="J364" i="15"/>
  <c r="Y364" i="15"/>
  <c r="P364" i="15"/>
  <c r="G364" i="15"/>
  <c r="AG364" i="15"/>
  <c r="X364" i="15"/>
  <c r="O364" i="15"/>
  <c r="AF364" i="15"/>
  <c r="W364" i="15"/>
  <c r="N364" i="15"/>
  <c r="AE364" i="15"/>
  <c r="V364" i="15"/>
  <c r="M364" i="15"/>
  <c r="K364" i="15"/>
  <c r="AC364" i="15"/>
  <c r="H368" i="15"/>
  <c r="U369" i="15"/>
  <c r="S373" i="15"/>
  <c r="Q374" i="15"/>
  <c r="AB375" i="15"/>
  <c r="T375" i="15"/>
  <c r="L375" i="15"/>
  <c r="Z375" i="15"/>
  <c r="Q375" i="15"/>
  <c r="H375" i="15"/>
  <c r="AH375" i="15"/>
  <c r="Y375" i="15"/>
  <c r="P375" i="15"/>
  <c r="G375" i="15"/>
  <c r="AG375" i="15"/>
  <c r="X375" i="15"/>
  <c r="O375" i="15"/>
  <c r="AF375" i="15"/>
  <c r="W375" i="15"/>
  <c r="N375" i="15"/>
  <c r="K375" i="15"/>
  <c r="AD375" i="15"/>
  <c r="R378" i="15"/>
  <c r="J379" i="15"/>
  <c r="AC379" i="15"/>
  <c r="T385" i="15"/>
  <c r="AD390" i="15"/>
  <c r="V390" i="15"/>
  <c r="N390" i="15"/>
  <c r="AH390" i="15"/>
  <c r="Y390" i="15"/>
  <c r="P390" i="15"/>
  <c r="G390" i="15"/>
  <c r="AG390" i="15"/>
  <c r="X390" i="15"/>
  <c r="O390" i="15"/>
  <c r="AF390" i="15"/>
  <c r="W390" i="15"/>
  <c r="M390" i="15"/>
  <c r="AE390" i="15"/>
  <c r="U390" i="15"/>
  <c r="L390" i="15"/>
  <c r="J390" i="15"/>
  <c r="AB390" i="15"/>
  <c r="P394" i="15"/>
  <c r="AH394" i="15"/>
  <c r="H395" i="15"/>
  <c r="T396" i="15"/>
  <c r="S400" i="15"/>
  <c r="AF405" i="15"/>
  <c r="X405" i="15"/>
  <c r="P405" i="15"/>
  <c r="H405" i="15"/>
  <c r="AG405" i="15"/>
  <c r="W405" i="15"/>
  <c r="N405" i="15"/>
  <c r="AE405" i="15"/>
  <c r="V405" i="15"/>
  <c r="M405" i="15"/>
  <c r="AD405" i="15"/>
  <c r="U405" i="15"/>
  <c r="L405" i="15"/>
  <c r="AC405" i="15"/>
  <c r="T405" i="15"/>
  <c r="K405" i="15"/>
  <c r="J405" i="15"/>
  <c r="AB405" i="15"/>
  <c r="U407" i="15"/>
  <c r="AD410" i="15"/>
  <c r="V410" i="15"/>
  <c r="N410" i="15"/>
  <c r="AF410" i="15"/>
  <c r="W410" i="15"/>
  <c r="M410" i="15"/>
  <c r="AE410" i="15"/>
  <c r="U410" i="15"/>
  <c r="L410" i="15"/>
  <c r="AC410" i="15"/>
  <c r="T410" i="15"/>
  <c r="K410" i="15"/>
  <c r="AB410" i="15"/>
  <c r="S410" i="15"/>
  <c r="J410" i="15"/>
  <c r="I410" i="15"/>
  <c r="AA410" i="15"/>
  <c r="S411" i="15"/>
  <c r="AH416" i="15"/>
  <c r="Z416" i="15"/>
  <c r="R416" i="15"/>
  <c r="J416" i="15"/>
  <c r="AF416" i="15"/>
  <c r="W416" i="15"/>
  <c r="N416" i="15"/>
  <c r="AE416" i="15"/>
  <c r="V416" i="15"/>
  <c r="M416" i="15"/>
  <c r="AD416" i="15"/>
  <c r="U416" i="15"/>
  <c r="L416" i="15"/>
  <c r="AC416" i="15"/>
  <c r="T416" i="15"/>
  <c r="K416" i="15"/>
  <c r="I416" i="15"/>
  <c r="AB416" i="15"/>
  <c r="S421" i="15"/>
  <c r="Q422" i="15"/>
  <c r="AB423" i="15"/>
  <c r="T423" i="15"/>
  <c r="L423" i="15"/>
  <c r="Z423" i="15"/>
  <c r="Q423" i="15"/>
  <c r="H423" i="15"/>
  <c r="AH423" i="15"/>
  <c r="Y423" i="15"/>
  <c r="P423" i="15"/>
  <c r="G423" i="15"/>
  <c r="AG423" i="15"/>
  <c r="X423" i="15"/>
  <c r="O423" i="15"/>
  <c r="AF423" i="15"/>
  <c r="W423" i="15"/>
  <c r="N423" i="15"/>
  <c r="K423" i="15"/>
  <c r="AD423" i="15"/>
  <c r="P426" i="15"/>
  <c r="H427" i="15"/>
  <c r="T428" i="15"/>
  <c r="S432" i="15"/>
  <c r="R433" i="15"/>
  <c r="AF437" i="15"/>
  <c r="X437" i="15"/>
  <c r="P437" i="15"/>
  <c r="H437" i="15"/>
  <c r="AG437" i="15"/>
  <c r="W437" i="15"/>
  <c r="N437" i="15"/>
  <c r="AE437" i="15"/>
  <c r="V437" i="15"/>
  <c r="M437" i="15"/>
  <c r="AD437" i="15"/>
  <c r="U437" i="15"/>
  <c r="L437" i="15"/>
  <c r="AC437" i="15"/>
  <c r="T437" i="15"/>
  <c r="K437" i="15"/>
  <c r="J437" i="15"/>
  <c r="AB437" i="15"/>
  <c r="U439" i="15"/>
  <c r="AD442" i="15"/>
  <c r="V442" i="15"/>
  <c r="N442" i="15"/>
  <c r="AF442" i="15"/>
  <c r="W442" i="15"/>
  <c r="M442" i="15"/>
  <c r="AE442" i="15"/>
  <c r="U442" i="15"/>
  <c r="L442" i="15"/>
  <c r="AC442" i="15"/>
  <c r="T442" i="15"/>
  <c r="K442" i="15"/>
  <c r="AB442" i="15"/>
  <c r="S442" i="15"/>
  <c r="J442" i="15"/>
  <c r="I442" i="15"/>
  <c r="AA442" i="15"/>
  <c r="S443" i="15"/>
  <c r="O448" i="15"/>
  <c r="AG448" i="15"/>
  <c r="J449" i="15"/>
  <c r="Y453" i="15"/>
  <c r="R454" i="15"/>
  <c r="M455" i="15"/>
  <c r="AE455" i="15"/>
  <c r="X458" i="15"/>
  <c r="P459" i="15"/>
  <c r="AH459" i="15"/>
  <c r="I460" i="15"/>
  <c r="H464" i="15"/>
  <c r="U465" i="15"/>
  <c r="Q469" i="15"/>
  <c r="AD470" i="15"/>
  <c r="V470" i="15"/>
  <c r="N470" i="15"/>
  <c r="AH470" i="15"/>
  <c r="Y470" i="15"/>
  <c r="P470" i="15"/>
  <c r="G470" i="15"/>
  <c r="AG470" i="15"/>
  <c r="X470" i="15"/>
  <c r="O470" i="15"/>
  <c r="AF470" i="15"/>
  <c r="W470" i="15"/>
  <c r="M470" i="15"/>
  <c r="AE470" i="15"/>
  <c r="U470" i="15"/>
  <c r="L470" i="15"/>
  <c r="J470" i="15"/>
  <c r="AB470" i="15"/>
  <c r="R474" i="15"/>
  <c r="J475" i="15"/>
  <c r="AC475" i="15"/>
  <c r="AH480" i="15"/>
  <c r="Z480" i="15"/>
  <c r="R480" i="15"/>
  <c r="J480" i="15"/>
  <c r="AF480" i="15"/>
  <c r="W480" i="15"/>
  <c r="N480" i="15"/>
  <c r="AE480" i="15"/>
  <c r="V480" i="15"/>
  <c r="M480" i="15"/>
  <c r="AD480" i="15"/>
  <c r="U480" i="15"/>
  <c r="L480" i="15"/>
  <c r="AC480" i="15"/>
  <c r="T480" i="15"/>
  <c r="K480" i="15"/>
  <c r="I480" i="15"/>
  <c r="AB480" i="15"/>
  <c r="Q485" i="15"/>
  <c r="AD486" i="15"/>
  <c r="V486" i="15"/>
  <c r="N486" i="15"/>
  <c r="AH486" i="15"/>
  <c r="Y486" i="15"/>
  <c r="P486" i="15"/>
  <c r="G486" i="15"/>
  <c r="AG486" i="15"/>
  <c r="X486" i="15"/>
  <c r="O486" i="15"/>
  <c r="AF486" i="15"/>
  <c r="W486" i="15"/>
  <c r="M486" i="15"/>
  <c r="AE486" i="15"/>
  <c r="U486" i="15"/>
  <c r="L486" i="15"/>
  <c r="J486" i="15"/>
  <c r="AB486" i="15"/>
  <c r="R490" i="15"/>
  <c r="AC491" i="15"/>
  <c r="AH496" i="15"/>
  <c r="Z496" i="15"/>
  <c r="R496" i="15"/>
  <c r="J496" i="15"/>
  <c r="AF496" i="15"/>
  <c r="W496" i="15"/>
  <c r="N496" i="15"/>
  <c r="AE496" i="15"/>
  <c r="V496" i="15"/>
  <c r="M496" i="15"/>
  <c r="AD496" i="15"/>
  <c r="U496" i="15"/>
  <c r="L496" i="15"/>
  <c r="AC496" i="15"/>
  <c r="T496" i="15"/>
  <c r="K496" i="15"/>
  <c r="I496" i="15"/>
  <c r="AB496" i="15"/>
  <c r="R501" i="15"/>
  <c r="K502" i="15"/>
  <c r="AC502" i="15"/>
  <c r="J503" i="15"/>
  <c r="X506" i="15"/>
  <c r="P507" i="15"/>
  <c r="AH507" i="15"/>
  <c r="I508" i="15"/>
  <c r="S512" i="15"/>
  <c r="R513" i="15"/>
  <c r="S518" i="15"/>
  <c r="Q523" i="15"/>
  <c r="AH524" i="15"/>
  <c r="Z524" i="15"/>
  <c r="R524" i="15"/>
  <c r="J524" i="15"/>
  <c r="Y524" i="15"/>
  <c r="P524" i="15"/>
  <c r="G524" i="15"/>
  <c r="AG524" i="15"/>
  <c r="X524" i="15"/>
  <c r="O524" i="15"/>
  <c r="AF524" i="15"/>
  <c r="W524" i="15"/>
  <c r="N524" i="15"/>
  <c r="AE524" i="15"/>
  <c r="V524" i="15"/>
  <c r="M524" i="15"/>
  <c r="K524" i="15"/>
  <c r="AC524" i="15"/>
  <c r="AH528" i="15"/>
  <c r="Z528" i="15"/>
  <c r="R528" i="15"/>
  <c r="J528" i="15"/>
  <c r="AF528" i="15"/>
  <c r="W528" i="15"/>
  <c r="N528" i="15"/>
  <c r="AE528" i="15"/>
  <c r="V528" i="15"/>
  <c r="M528" i="15"/>
  <c r="AD528" i="15"/>
  <c r="U528" i="15"/>
  <c r="L528" i="15"/>
  <c r="AC528" i="15"/>
  <c r="T528" i="15"/>
  <c r="K528" i="15"/>
  <c r="I528" i="15"/>
  <c r="AB528" i="15"/>
  <c r="S533" i="15"/>
  <c r="Q534" i="15"/>
  <c r="AB535" i="15"/>
  <c r="T535" i="15"/>
  <c r="L535" i="15"/>
  <c r="Z535" i="15"/>
  <c r="Q535" i="15"/>
  <c r="H535" i="15"/>
  <c r="AH535" i="15"/>
  <c r="Y535" i="15"/>
  <c r="P535" i="15"/>
  <c r="G535" i="15"/>
  <c r="AG535" i="15"/>
  <c r="X535" i="15"/>
  <c r="O535" i="15"/>
  <c r="AF535" i="15"/>
  <c r="W535" i="15"/>
  <c r="N535" i="15"/>
  <c r="K535" i="15"/>
  <c r="AD535" i="15"/>
  <c r="R538" i="15"/>
  <c r="T545" i="15"/>
  <c r="Y549" i="15"/>
  <c r="R550" i="15"/>
  <c r="X554" i="15"/>
  <c r="P555" i="15"/>
  <c r="AH555" i="15"/>
  <c r="U561" i="15"/>
  <c r="R565" i="15"/>
  <c r="K566" i="15"/>
  <c r="AC566" i="15"/>
  <c r="J567" i="15"/>
  <c r="AB571" i="15"/>
  <c r="T571" i="15"/>
  <c r="L571" i="15"/>
  <c r="AG571" i="15"/>
  <c r="X571" i="15"/>
  <c r="O571" i="15"/>
  <c r="AF571" i="15"/>
  <c r="W571" i="15"/>
  <c r="N571" i="15"/>
  <c r="AE571" i="15"/>
  <c r="V571" i="15"/>
  <c r="M571" i="15"/>
  <c r="AD571" i="15"/>
  <c r="U571" i="15"/>
  <c r="K571" i="15"/>
  <c r="I571" i="15"/>
  <c r="AA571" i="15"/>
  <c r="U572" i="15"/>
  <c r="X576" i="15"/>
  <c r="S577" i="15"/>
  <c r="I581" i="15"/>
  <c r="T582" i="15"/>
  <c r="R586" i="15"/>
  <c r="J587" i="15"/>
  <c r="AC587" i="15"/>
  <c r="Q592" i="15"/>
  <c r="L593" i="15"/>
  <c r="AD593" i="15"/>
  <c r="S598" i="15"/>
  <c r="R599" i="15"/>
  <c r="Q602" i="15"/>
  <c r="AB603" i="15"/>
  <c r="T603" i="15"/>
  <c r="L603" i="15"/>
  <c r="AG603" i="15"/>
  <c r="X603" i="15"/>
  <c r="O603" i="15"/>
  <c r="AF603" i="15"/>
  <c r="W603" i="15"/>
  <c r="N603" i="15"/>
  <c r="AE603" i="15"/>
  <c r="V603" i="15"/>
  <c r="M603" i="15"/>
  <c r="AD603" i="15"/>
  <c r="U603" i="15"/>
  <c r="K603" i="15"/>
  <c r="I603" i="15"/>
  <c r="AA603" i="15"/>
  <c r="U604" i="15"/>
  <c r="P608" i="15"/>
  <c r="AF609" i="15"/>
  <c r="X609" i="15"/>
  <c r="P609" i="15"/>
  <c r="H609" i="15"/>
  <c r="Z609" i="15"/>
  <c r="Q609" i="15"/>
  <c r="G609" i="15"/>
  <c r="AH609" i="15"/>
  <c r="Y609" i="15"/>
  <c r="O609" i="15"/>
  <c r="AG609" i="15"/>
  <c r="W609" i="15"/>
  <c r="N609" i="15"/>
  <c r="AE609" i="15"/>
  <c r="V609" i="15"/>
  <c r="M609" i="15"/>
  <c r="K609" i="15"/>
  <c r="AC609" i="15"/>
  <c r="I613" i="15"/>
  <c r="T614" i="15"/>
  <c r="S615" i="15"/>
  <c r="R618" i="15"/>
  <c r="J619" i="15"/>
  <c r="AC619" i="15"/>
  <c r="Q624" i="15"/>
  <c r="L625" i="15"/>
  <c r="AD625" i="15"/>
  <c r="O629" i="15"/>
  <c r="AH629" i="15"/>
  <c r="I630" i="15"/>
  <c r="V631" i="15"/>
  <c r="Q635" i="15"/>
  <c r="AH636" i="15"/>
  <c r="Z636" i="15"/>
  <c r="R636" i="15"/>
  <c r="J636" i="15"/>
  <c r="Y636" i="15"/>
  <c r="P636" i="15"/>
  <c r="G636" i="15"/>
  <c r="AG636" i="15"/>
  <c r="X636" i="15"/>
  <c r="O636" i="15"/>
  <c r="AF636" i="15"/>
  <c r="W636" i="15"/>
  <c r="N636" i="15"/>
  <c r="AE636" i="15"/>
  <c r="V636" i="15"/>
  <c r="M636" i="15"/>
  <c r="K636" i="15"/>
  <c r="AC636" i="15"/>
  <c r="AH640" i="15"/>
  <c r="Z640" i="15"/>
  <c r="R640" i="15"/>
  <c r="J640" i="15"/>
  <c r="AF640" i="15"/>
  <c r="W640" i="15"/>
  <c r="N640" i="15"/>
  <c r="AE640" i="15"/>
  <c r="V640" i="15"/>
  <c r="M640" i="15"/>
  <c r="AD640" i="15"/>
  <c r="U640" i="15"/>
  <c r="L640" i="15"/>
  <c r="AC640" i="15"/>
  <c r="T640" i="15"/>
  <c r="K640" i="15"/>
  <c r="I640" i="15"/>
  <c r="AB640" i="15"/>
  <c r="Q645" i="15"/>
  <c r="AD646" i="15"/>
  <c r="V646" i="15"/>
  <c r="N646" i="15"/>
  <c r="AH646" i="15"/>
  <c r="Y646" i="15"/>
  <c r="P646" i="15"/>
  <c r="G646" i="15"/>
  <c r="AG646" i="15"/>
  <c r="X646" i="15"/>
  <c r="O646" i="15"/>
  <c r="AF646" i="15"/>
  <c r="W646" i="15"/>
  <c r="M646" i="15"/>
  <c r="AE646" i="15"/>
  <c r="U646" i="15"/>
  <c r="L646" i="15"/>
  <c r="J646" i="15"/>
  <c r="AB646" i="15"/>
  <c r="H650" i="15"/>
  <c r="R651" i="15"/>
  <c r="AD652" i="15"/>
  <c r="AH656" i="15"/>
  <c r="Z656" i="15"/>
  <c r="R656" i="15"/>
  <c r="J656" i="15"/>
  <c r="AF656" i="15"/>
  <c r="W656" i="15"/>
  <c r="N656" i="15"/>
  <c r="AE656" i="15"/>
  <c r="V656" i="15"/>
  <c r="M656" i="15"/>
  <c r="AD656" i="15"/>
  <c r="U656" i="15"/>
  <c r="L656" i="15"/>
  <c r="AC656" i="15"/>
  <c r="T656" i="15"/>
  <c r="K656" i="15"/>
  <c r="I656" i="15"/>
  <c r="AB656" i="15"/>
  <c r="Q661" i="15"/>
  <c r="AD662" i="15"/>
  <c r="V662" i="15"/>
  <c r="N662" i="15"/>
  <c r="AH662" i="15"/>
  <c r="Y662" i="15"/>
  <c r="P662" i="15"/>
  <c r="G662" i="15"/>
  <c r="AG662" i="15"/>
  <c r="X662" i="15"/>
  <c r="O662" i="15"/>
  <c r="AF662" i="15"/>
  <c r="W662" i="15"/>
  <c r="M662" i="15"/>
  <c r="AE662" i="15"/>
  <c r="U662" i="15"/>
  <c r="L662" i="15"/>
  <c r="J662" i="15"/>
  <c r="AB662" i="15"/>
  <c r="P666" i="15"/>
  <c r="T668" i="15"/>
  <c r="S672" i="15"/>
  <c r="R673" i="15"/>
  <c r="T678" i="15"/>
  <c r="S679" i="15"/>
  <c r="R683" i="15"/>
  <c r="U689" i="15"/>
  <c r="R693" i="15"/>
  <c r="K694" i="15"/>
  <c r="AC694" i="15"/>
  <c r="J695" i="15"/>
  <c r="Q698" i="15"/>
  <c r="AB699" i="15"/>
  <c r="T699" i="15"/>
  <c r="L699" i="15"/>
  <c r="AG699" i="15"/>
  <c r="X699" i="15"/>
  <c r="O699" i="15"/>
  <c r="AF699" i="15"/>
  <c r="W699" i="15"/>
  <c r="N699" i="15"/>
  <c r="AE699" i="15"/>
  <c r="V699" i="15"/>
  <c r="M699" i="15"/>
  <c r="AD699" i="15"/>
  <c r="U699" i="15"/>
  <c r="K699" i="15"/>
  <c r="I699" i="15"/>
  <c r="AA699" i="15"/>
  <c r="U700" i="15"/>
  <c r="O704" i="15"/>
  <c r="AG704" i="15"/>
  <c r="J705" i="15"/>
  <c r="AD710" i="15"/>
  <c r="V710" i="15"/>
  <c r="N710" i="15"/>
  <c r="AH710" i="15"/>
  <c r="Y710" i="15"/>
  <c r="P710" i="15"/>
  <c r="G710" i="15"/>
  <c r="AG710" i="15"/>
  <c r="X710" i="15"/>
  <c r="O710" i="15"/>
  <c r="AF710" i="15"/>
  <c r="W710" i="15"/>
  <c r="M710" i="15"/>
  <c r="AE710" i="15"/>
  <c r="U710" i="15"/>
  <c r="L710" i="15"/>
  <c r="J710" i="15"/>
  <c r="AB710" i="15"/>
  <c r="P714" i="15"/>
  <c r="AH714" i="15"/>
  <c r="H715" i="15"/>
  <c r="T716" i="15"/>
  <c r="P720" i="15"/>
  <c r="AF721" i="15"/>
  <c r="X721" i="15"/>
  <c r="P721" i="15"/>
  <c r="H721" i="15"/>
  <c r="Z721" i="15"/>
  <c r="Q721" i="15"/>
  <c r="G721" i="15"/>
  <c r="AH721" i="15"/>
  <c r="Y721" i="15"/>
  <c r="O721" i="15"/>
  <c r="AG721" i="15"/>
  <c r="W721" i="15"/>
  <c r="N721" i="15"/>
  <c r="AE721" i="15"/>
  <c r="V721" i="15"/>
  <c r="M721" i="15"/>
  <c r="K721" i="15"/>
  <c r="AC721" i="15"/>
  <c r="S726" i="15"/>
  <c r="AH732" i="15"/>
  <c r="Z732" i="15"/>
  <c r="R732" i="15"/>
  <c r="J732" i="15"/>
  <c r="Y732" i="15"/>
  <c r="P732" i="15"/>
  <c r="G732" i="15"/>
  <c r="AG732" i="15"/>
  <c r="X732" i="15"/>
  <c r="O732" i="15"/>
  <c r="AF732" i="15"/>
  <c r="W732" i="15"/>
  <c r="N732" i="15"/>
  <c r="AE732" i="15"/>
  <c r="V732" i="15"/>
  <c r="M732" i="15"/>
  <c r="K732" i="15"/>
  <c r="AC732" i="15"/>
  <c r="AH736" i="15"/>
  <c r="Z736" i="15"/>
  <c r="R736" i="15"/>
  <c r="J736" i="15"/>
  <c r="AF736" i="15"/>
  <c r="W736" i="15"/>
  <c r="N736" i="15"/>
  <c r="AE736" i="15"/>
  <c r="V736" i="15"/>
  <c r="M736" i="15"/>
  <c r="AD736" i="15"/>
  <c r="U736" i="15"/>
  <c r="L736" i="15"/>
  <c r="AC736" i="15"/>
  <c r="T736" i="15"/>
  <c r="K736" i="15"/>
  <c r="I736" i="15"/>
  <c r="AB736" i="15"/>
  <c r="X743" i="15"/>
  <c r="AB748" i="15"/>
  <c r="T748" i="15"/>
  <c r="L748" i="15"/>
  <c r="AH748" i="15"/>
  <c r="Z748" i="15"/>
  <c r="R748" i="15"/>
  <c r="J748" i="15"/>
  <c r="AD748" i="15"/>
  <c r="S748" i="15"/>
  <c r="H748" i="15"/>
  <c r="AC748" i="15"/>
  <c r="Q748" i="15"/>
  <c r="G748" i="15"/>
  <c r="AA748" i="15"/>
  <c r="P748" i="15"/>
  <c r="Y748" i="15"/>
  <c r="O748" i="15"/>
  <c r="M748" i="15"/>
  <c r="AG748" i="15"/>
  <c r="I749" i="15"/>
  <c r="W751" i="15"/>
  <c r="L754" i="15"/>
  <c r="AH754" i="15"/>
  <c r="K756" i="15"/>
  <c r="U759" i="15"/>
  <c r="AF762" i="15"/>
  <c r="X762" i="15"/>
  <c r="P762" i="15"/>
  <c r="H762" i="15"/>
  <c r="AD762" i="15"/>
  <c r="V762" i="15"/>
  <c r="N762" i="15"/>
  <c r="AB762" i="15"/>
  <c r="R762" i="15"/>
  <c r="G762" i="15"/>
  <c r="AA762" i="15"/>
  <c r="Q762" i="15"/>
  <c r="Z762" i="15"/>
  <c r="O762" i="15"/>
  <c r="Y762" i="15"/>
  <c r="M762" i="15"/>
  <c r="K762" i="15"/>
  <c r="AG762" i="15"/>
  <c r="AB765" i="15"/>
  <c r="S767" i="15"/>
  <c r="J770" i="15"/>
  <c r="X772" i="15"/>
  <c r="U773" i="15"/>
  <c r="M775" i="15"/>
  <c r="AH775" i="15"/>
  <c r="W780" i="15"/>
  <c r="T781" i="15"/>
  <c r="AD783" i="15"/>
  <c r="V783" i="15"/>
  <c r="N783" i="15"/>
  <c r="AB783" i="15"/>
  <c r="T783" i="15"/>
  <c r="L783" i="15"/>
  <c r="AC783" i="15"/>
  <c r="R783" i="15"/>
  <c r="H783" i="15"/>
  <c r="AA783" i="15"/>
  <c r="Q783" i="15"/>
  <c r="G783" i="15"/>
  <c r="Z783" i="15"/>
  <c r="P783" i="15"/>
  <c r="Y783" i="15"/>
  <c r="O783" i="15"/>
  <c r="K783" i="15"/>
  <c r="AG783" i="15"/>
  <c r="W786" i="15"/>
  <c r="V788" i="15"/>
  <c r="S789" i="15"/>
  <c r="J791" i="15"/>
  <c r="U794" i="15"/>
  <c r="U796" i="15"/>
  <c r="Q797" i="15"/>
  <c r="T802" i="15"/>
  <c r="N804" i="15"/>
  <c r="AH805" i="15"/>
  <c r="Z805" i="15"/>
  <c r="R805" i="15"/>
  <c r="J805" i="15"/>
  <c r="AF805" i="15"/>
  <c r="X805" i="15"/>
  <c r="P805" i="15"/>
  <c r="H805" i="15"/>
  <c r="AA805" i="15"/>
  <c r="O805" i="15"/>
  <c r="Y805" i="15"/>
  <c r="N805" i="15"/>
  <c r="W805" i="15"/>
  <c r="M805" i="15"/>
  <c r="AG805" i="15"/>
  <c r="V805" i="15"/>
  <c r="L805" i="15"/>
  <c r="K805" i="15"/>
  <c r="AE805" i="15"/>
  <c r="X807" i="15"/>
  <c r="S810" i="15"/>
  <c r="AB812" i="15"/>
  <c r="T812" i="15"/>
  <c r="L812" i="15"/>
  <c r="AH812" i="15"/>
  <c r="Z812" i="15"/>
  <c r="R812" i="15"/>
  <c r="J812" i="15"/>
  <c r="AD812" i="15"/>
  <c r="S812" i="15"/>
  <c r="H812" i="15"/>
  <c r="AC812" i="15"/>
  <c r="Q812" i="15"/>
  <c r="G812" i="15"/>
  <c r="AA812" i="15"/>
  <c r="P812" i="15"/>
  <c r="Y812" i="15"/>
  <c r="O812" i="15"/>
  <c r="M812" i="15"/>
  <c r="AG812" i="15"/>
  <c r="I813" i="15"/>
  <c r="W815" i="15"/>
  <c r="L818" i="15"/>
  <c r="AH818" i="15"/>
  <c r="K820" i="15"/>
  <c r="AF826" i="15"/>
  <c r="X826" i="15"/>
  <c r="P826" i="15"/>
  <c r="H826" i="15"/>
  <c r="AD826" i="15"/>
  <c r="V826" i="15"/>
  <c r="N826" i="15"/>
  <c r="AB826" i="15"/>
  <c r="R826" i="15"/>
  <c r="G826" i="15"/>
  <c r="AA826" i="15"/>
  <c r="Q826" i="15"/>
  <c r="Z826" i="15"/>
  <c r="O826" i="15"/>
  <c r="Y826" i="15"/>
  <c r="M826" i="15"/>
  <c r="K826" i="15"/>
  <c r="AG826" i="15"/>
  <c r="AB829" i="15"/>
  <c r="AD831" i="15"/>
  <c r="V831" i="15"/>
  <c r="N831" i="15"/>
  <c r="AB831" i="15"/>
  <c r="T831" i="15"/>
  <c r="L831" i="15"/>
  <c r="AC831" i="15"/>
  <c r="R831" i="15"/>
  <c r="H831" i="15"/>
  <c r="AA831" i="15"/>
  <c r="Q831" i="15"/>
  <c r="G831" i="15"/>
  <c r="Z831" i="15"/>
  <c r="P831" i="15"/>
  <c r="Y831" i="15"/>
  <c r="O831" i="15"/>
  <c r="K831" i="15"/>
  <c r="AG831" i="15"/>
  <c r="W834" i="15"/>
  <c r="V836" i="15"/>
  <c r="S837" i="15"/>
  <c r="J839" i="15"/>
  <c r="U842" i="15"/>
  <c r="U844" i="15"/>
  <c r="Q845" i="15"/>
  <c r="S850" i="15"/>
  <c r="AB852" i="15"/>
  <c r="T852" i="15"/>
  <c r="L852" i="15"/>
  <c r="AH852" i="15"/>
  <c r="Z852" i="15"/>
  <c r="R852" i="15"/>
  <c r="J852" i="15"/>
  <c r="AD852" i="15"/>
  <c r="S852" i="15"/>
  <c r="H852" i="15"/>
  <c r="AC852" i="15"/>
  <c r="Q852" i="15"/>
  <c r="G852" i="15"/>
  <c r="AA852" i="15"/>
  <c r="P852" i="15"/>
  <c r="Y852" i="15"/>
  <c r="O852" i="15"/>
  <c r="M852" i="15"/>
  <c r="AG852" i="15"/>
  <c r="I853" i="15"/>
  <c r="W855" i="15"/>
  <c r="L858" i="15"/>
  <c r="AH858" i="15"/>
  <c r="K860" i="15"/>
  <c r="U863" i="15"/>
  <c r="AF866" i="15"/>
  <c r="X866" i="15"/>
  <c r="P866" i="15"/>
  <c r="H866" i="15"/>
  <c r="AD866" i="15"/>
  <c r="V866" i="15"/>
  <c r="N866" i="15"/>
  <c r="AB866" i="15"/>
  <c r="R866" i="15"/>
  <c r="G866" i="15"/>
  <c r="AA866" i="15"/>
  <c r="Q866" i="15"/>
  <c r="Z866" i="15"/>
  <c r="O866" i="15"/>
  <c r="Y866" i="15"/>
  <c r="M866" i="15"/>
  <c r="K866" i="15"/>
  <c r="AG866" i="15"/>
  <c r="AB869" i="15"/>
  <c r="S871" i="15"/>
  <c r="J874" i="15"/>
  <c r="X876" i="15"/>
  <c r="U877" i="15"/>
  <c r="M879" i="15"/>
  <c r="AH879" i="15"/>
  <c r="W884" i="15"/>
  <c r="T885" i="15"/>
  <c r="AD887" i="15"/>
  <c r="V887" i="15"/>
  <c r="N887" i="15"/>
  <c r="AB887" i="15"/>
  <c r="T887" i="15"/>
  <c r="L887" i="15"/>
  <c r="AC887" i="15"/>
  <c r="R887" i="15"/>
  <c r="H887" i="15"/>
  <c r="AA887" i="15"/>
  <c r="Q887" i="15"/>
  <c r="G887" i="15"/>
  <c r="Z887" i="15"/>
  <c r="P887" i="15"/>
  <c r="Y887" i="15"/>
  <c r="O887" i="15"/>
  <c r="K887" i="15"/>
  <c r="AG887" i="15"/>
  <c r="W890" i="15"/>
  <c r="V892" i="15"/>
  <c r="S893" i="15"/>
  <c r="J895" i="15"/>
  <c r="L898" i="15"/>
  <c r="AH898" i="15"/>
  <c r="K900" i="15"/>
  <c r="W906" i="15"/>
  <c r="S909" i="15"/>
  <c r="J911" i="15"/>
  <c r="L914" i="15"/>
  <c r="AH914" i="15"/>
  <c r="K916" i="15"/>
  <c r="W922" i="15"/>
  <c r="V924" i="15"/>
  <c r="S925" i="15"/>
  <c r="J927" i="15"/>
  <c r="L930" i="15"/>
  <c r="AH930" i="15"/>
  <c r="K932" i="15"/>
  <c r="U935" i="15"/>
  <c r="W938" i="15"/>
  <c r="V940" i="15"/>
  <c r="S941" i="15"/>
  <c r="J943" i="15"/>
  <c r="L946" i="15"/>
  <c r="AH946" i="15"/>
  <c r="K948" i="15"/>
  <c r="U951" i="15"/>
  <c r="AF954" i="15"/>
  <c r="X954" i="15"/>
  <c r="P954" i="15"/>
  <c r="H954" i="15"/>
  <c r="AD954" i="15"/>
  <c r="V954" i="15"/>
  <c r="N954" i="15"/>
  <c r="AB954" i="15"/>
  <c r="R954" i="15"/>
  <c r="G954" i="15"/>
  <c r="AA954" i="15"/>
  <c r="Q954" i="15"/>
  <c r="Z954" i="15"/>
  <c r="O954" i="15"/>
  <c r="Y954" i="15"/>
  <c r="M954" i="15"/>
  <c r="K954" i="15"/>
  <c r="AG954" i="15"/>
  <c r="AB957" i="15"/>
  <c r="S959" i="15"/>
  <c r="J962" i="15"/>
  <c r="X964" i="15"/>
  <c r="U965" i="15"/>
  <c r="M967" i="15"/>
  <c r="AH967" i="15"/>
  <c r="W972" i="15"/>
  <c r="T973" i="15"/>
  <c r="AD975" i="15"/>
  <c r="V975" i="15"/>
  <c r="N975" i="15"/>
  <c r="AB975" i="15"/>
  <c r="T975" i="15"/>
  <c r="L975" i="15"/>
  <c r="AC975" i="15"/>
  <c r="R975" i="15"/>
  <c r="H975" i="15"/>
  <c r="AA975" i="15"/>
  <c r="Q975" i="15"/>
  <c r="G975" i="15"/>
  <c r="Z975" i="15"/>
  <c r="P975" i="15"/>
  <c r="Y975" i="15"/>
  <c r="O975" i="15"/>
  <c r="K975" i="15"/>
  <c r="AG975" i="15"/>
  <c r="T978" i="15"/>
  <c r="N980" i="15"/>
  <c r="AH981" i="15"/>
  <c r="Z981" i="15"/>
  <c r="R981" i="15"/>
  <c r="J981" i="15"/>
  <c r="AF981" i="15"/>
  <c r="X981" i="15"/>
  <c r="P981" i="15"/>
  <c r="H981" i="15"/>
  <c r="AA981" i="15"/>
  <c r="O981" i="15"/>
  <c r="Y981" i="15"/>
  <c r="N981" i="15"/>
  <c r="W981" i="15"/>
  <c r="M981" i="15"/>
  <c r="AG981" i="15"/>
  <c r="V981" i="15"/>
  <c r="L981" i="15"/>
  <c r="K981" i="15"/>
  <c r="AE981" i="15"/>
  <c r="X983" i="15"/>
  <c r="J986" i="15"/>
  <c r="X988" i="15"/>
  <c r="U989" i="15"/>
  <c r="M991" i="15"/>
  <c r="AH991" i="15"/>
  <c r="W994" i="15"/>
  <c r="V996" i="15"/>
  <c r="S997" i="15"/>
  <c r="J999" i="15"/>
  <c r="U1002" i="15"/>
  <c r="U1004" i="15"/>
  <c r="Q1005" i="15"/>
  <c r="X1007" i="15"/>
  <c r="L1010" i="15"/>
  <c r="AH1010" i="15"/>
  <c r="K1012" i="15"/>
  <c r="U1018" i="15"/>
  <c r="U1020" i="15"/>
  <c r="Q1021" i="15"/>
  <c r="W1026" i="15"/>
  <c r="V1028" i="15"/>
  <c r="S1029" i="15"/>
  <c r="J1031" i="15"/>
  <c r="W1036" i="15"/>
  <c r="T1037" i="15"/>
  <c r="AD1039" i="15"/>
  <c r="V1039" i="15"/>
  <c r="N1039" i="15"/>
  <c r="AB1039" i="15"/>
  <c r="T1039" i="15"/>
  <c r="L1039" i="15"/>
  <c r="AC1039" i="15"/>
  <c r="R1039" i="15"/>
  <c r="H1039" i="15"/>
  <c r="AA1039" i="15"/>
  <c r="Q1039" i="15"/>
  <c r="G1039" i="15"/>
  <c r="Z1039" i="15"/>
  <c r="P1039" i="15"/>
  <c r="Y1039" i="15"/>
  <c r="O1039" i="15"/>
  <c r="K1039" i="15"/>
  <c r="AG1039" i="15"/>
  <c r="J1042" i="15"/>
  <c r="X1044" i="15"/>
  <c r="U1045" i="15"/>
  <c r="M1047" i="15"/>
  <c r="AH1047" i="15"/>
  <c r="AF1050" i="15"/>
  <c r="X1050" i="15"/>
  <c r="P1050" i="15"/>
  <c r="H1050" i="15"/>
  <c r="AD1050" i="15"/>
  <c r="V1050" i="15"/>
  <c r="N1050" i="15"/>
  <c r="AB1050" i="15"/>
  <c r="R1050" i="15"/>
  <c r="G1050" i="15"/>
  <c r="AA1050" i="15"/>
  <c r="Q1050" i="15"/>
  <c r="Z1050" i="15"/>
  <c r="O1050" i="15"/>
  <c r="Y1050" i="15"/>
  <c r="M1050" i="15"/>
  <c r="K1050" i="15"/>
  <c r="AG1050" i="15"/>
  <c r="AB1053" i="15"/>
  <c r="S1055" i="15"/>
  <c r="L1058" i="15"/>
  <c r="AH1058" i="15"/>
  <c r="K1060" i="15"/>
  <c r="U1063" i="15"/>
  <c r="U1066" i="15"/>
  <c r="U1068" i="15"/>
  <c r="T1074" i="15"/>
  <c r="N1076" i="15"/>
  <c r="AH1077" i="15"/>
  <c r="Z1077" i="15"/>
  <c r="R1077" i="15"/>
  <c r="J1077" i="15"/>
  <c r="AF1077" i="15"/>
  <c r="X1077" i="15"/>
  <c r="P1077" i="15"/>
  <c r="H1077" i="15"/>
  <c r="AA1077" i="15"/>
  <c r="O1077" i="15"/>
  <c r="Y1077" i="15"/>
  <c r="N1077" i="15"/>
  <c r="W1077" i="15"/>
  <c r="M1077" i="15"/>
  <c r="AG1077" i="15"/>
  <c r="V1077" i="15"/>
  <c r="L1077" i="15"/>
  <c r="K1077" i="15"/>
  <c r="AE1077" i="15"/>
  <c r="X1079" i="15"/>
  <c r="S1082" i="15"/>
  <c r="AB1084" i="15"/>
  <c r="T1084" i="15"/>
  <c r="L1084" i="15"/>
  <c r="AH1084" i="15"/>
  <c r="Z1084" i="15"/>
  <c r="R1084" i="15"/>
  <c r="J1084" i="15"/>
  <c r="AD1084" i="15"/>
  <c r="S1084" i="15"/>
  <c r="H1084" i="15"/>
  <c r="AC1084" i="15"/>
  <c r="Q1084" i="15"/>
  <c r="G1084" i="15"/>
  <c r="AA1084" i="15"/>
  <c r="P1084" i="15"/>
  <c r="Y1084" i="15"/>
  <c r="O1084" i="15"/>
  <c r="M1084" i="15"/>
  <c r="AG1084" i="15"/>
  <c r="I1085" i="15"/>
  <c r="W1087" i="15"/>
  <c r="W1092" i="15"/>
  <c r="AD1095" i="15"/>
  <c r="V1095" i="15"/>
  <c r="N1095" i="15"/>
  <c r="AB1095" i="15"/>
  <c r="T1095" i="15"/>
  <c r="L1095" i="15"/>
  <c r="AC1095" i="15"/>
  <c r="R1095" i="15"/>
  <c r="H1095" i="15"/>
  <c r="AA1095" i="15"/>
  <c r="Q1095" i="15"/>
  <c r="G1095" i="15"/>
  <c r="Z1095" i="15"/>
  <c r="P1095" i="15"/>
  <c r="Y1095" i="15"/>
  <c r="O1095" i="15"/>
  <c r="K1095" i="15"/>
  <c r="AG1095" i="15"/>
  <c r="W1098" i="15"/>
  <c r="J1103" i="15"/>
  <c r="U1106" i="15"/>
  <c r="Q1109" i="15"/>
  <c r="L1114" i="15"/>
  <c r="AH1114" i="15"/>
  <c r="K1116" i="15"/>
  <c r="AF1122" i="15"/>
  <c r="X1122" i="15"/>
  <c r="P1122" i="15"/>
  <c r="H1122" i="15"/>
  <c r="AD1122" i="15"/>
  <c r="V1122" i="15"/>
  <c r="N1122" i="15"/>
  <c r="AB1122" i="15"/>
  <c r="R1122" i="15"/>
  <c r="G1122" i="15"/>
  <c r="AA1122" i="15"/>
  <c r="Q1122" i="15"/>
  <c r="Z1122" i="15"/>
  <c r="O1122" i="15"/>
  <c r="Y1122" i="15"/>
  <c r="M1122" i="15"/>
  <c r="K1122" i="15"/>
  <c r="AG1122" i="15"/>
  <c r="AB1125" i="15"/>
  <c r="J1130" i="15"/>
  <c r="X1132" i="15"/>
  <c r="U1133" i="15"/>
  <c r="M1135" i="15"/>
  <c r="AH1135" i="15"/>
  <c r="H1152" i="15"/>
  <c r="Y1168" i="15"/>
  <c r="Y1169" i="15"/>
  <c r="K1172" i="15"/>
  <c r="I1174" i="15"/>
  <c r="I1175" i="15"/>
  <c r="I1176" i="15"/>
  <c r="AD1191" i="15"/>
  <c r="V1191" i="15"/>
  <c r="N1191" i="15"/>
  <c r="AH1191" i="15"/>
  <c r="Y1191" i="15"/>
  <c r="P1191" i="15"/>
  <c r="G1191" i="15"/>
  <c r="AF1191" i="15"/>
  <c r="W1191" i="15"/>
  <c r="M1191" i="15"/>
  <c r="AG1191" i="15"/>
  <c r="T1191" i="15"/>
  <c r="I1191" i="15"/>
  <c r="AE1191" i="15"/>
  <c r="S1191" i="15"/>
  <c r="H1191" i="15"/>
  <c r="AC1191" i="15"/>
  <c r="R1191" i="15"/>
  <c r="AB1191" i="15"/>
  <c r="Q1191" i="15"/>
  <c r="L1191" i="15"/>
  <c r="R1195" i="15"/>
  <c r="Q1196" i="15"/>
  <c r="AA1201" i="15"/>
  <c r="O1204" i="15"/>
  <c r="T1206" i="15"/>
  <c r="W1208" i="15"/>
  <c r="U1211" i="15"/>
  <c r="S1212" i="15"/>
  <c r="O1220" i="15"/>
  <c r="W1224" i="15"/>
  <c r="U1227" i="15"/>
  <c r="Y1238" i="15"/>
  <c r="Z1239" i="15"/>
  <c r="AC1244" i="15"/>
  <c r="X1251" i="15"/>
  <c r="S1259" i="15"/>
  <c r="AF1267" i="15"/>
  <c r="N1280" i="15"/>
  <c r="AD1291" i="15"/>
  <c r="V1291" i="15"/>
  <c r="N1291" i="15"/>
  <c r="AC1291" i="15"/>
  <c r="U1291" i="15"/>
  <c r="M1291" i="15"/>
  <c r="Y1291" i="15"/>
  <c r="O1291" i="15"/>
  <c r="AG1291" i="15"/>
  <c r="W1291" i="15"/>
  <c r="K1291" i="15"/>
  <c r="AH1291" i="15"/>
  <c r="S1291" i="15"/>
  <c r="G1291" i="15"/>
  <c r="AF1291" i="15"/>
  <c r="R1291" i="15"/>
  <c r="AE1291" i="15"/>
  <c r="Q1291" i="15"/>
  <c r="AB1291" i="15"/>
  <c r="P1291" i="15"/>
  <c r="J1291" i="15"/>
  <c r="R1306" i="15"/>
  <c r="X1312" i="15"/>
  <c r="AB1320" i="15"/>
  <c r="T1320" i="15"/>
  <c r="L1320" i="15"/>
  <c r="AA1320" i="15"/>
  <c r="S1320" i="15"/>
  <c r="K1320" i="15"/>
  <c r="Y1320" i="15"/>
  <c r="O1320" i="15"/>
  <c r="AG1320" i="15"/>
  <c r="W1320" i="15"/>
  <c r="M1320" i="15"/>
  <c r="AE1320" i="15"/>
  <c r="Q1320" i="15"/>
  <c r="AD1320" i="15"/>
  <c r="P1320" i="15"/>
  <c r="AC1320" i="15"/>
  <c r="N1320" i="15"/>
  <c r="Z1320" i="15"/>
  <c r="J1320" i="15"/>
  <c r="I1320" i="15"/>
  <c r="T1323" i="15"/>
  <c r="R1331" i="15"/>
  <c r="AB1338" i="15"/>
  <c r="AC1344" i="15"/>
  <c r="AB1346" i="15"/>
  <c r="P1359" i="15"/>
  <c r="AA1371" i="15"/>
  <c r="Z1383" i="15"/>
  <c r="Y1392" i="15"/>
  <c r="AC1396" i="15"/>
  <c r="U1396" i="15"/>
  <c r="M1396" i="15"/>
  <c r="AB1396" i="15"/>
  <c r="T1396" i="15"/>
  <c r="L1396" i="15"/>
  <c r="AA1396" i="15"/>
  <c r="S1396" i="15"/>
  <c r="K1396" i="15"/>
  <c r="AF1396" i="15"/>
  <c r="R1396" i="15"/>
  <c r="G1396" i="15"/>
  <c r="AD1396" i="15"/>
  <c r="P1396" i="15"/>
  <c r="X1396" i="15"/>
  <c r="H1396" i="15"/>
  <c r="W1396" i="15"/>
  <c r="V1396" i="15"/>
  <c r="AH1396" i="15"/>
  <c r="Q1396" i="15"/>
  <c r="N1396" i="15"/>
  <c r="AD1400" i="15"/>
  <c r="AC1404" i="15"/>
  <c r="U1404" i="15"/>
  <c r="M1404" i="15"/>
  <c r="AB1404" i="15"/>
  <c r="T1404" i="15"/>
  <c r="L1404" i="15"/>
  <c r="AA1404" i="15"/>
  <c r="S1404" i="15"/>
  <c r="K1404" i="15"/>
  <c r="AD1404" i="15"/>
  <c r="P1404" i="15"/>
  <c r="Y1404" i="15"/>
  <c r="N1404" i="15"/>
  <c r="V1404" i="15"/>
  <c r="AH1404" i="15"/>
  <c r="R1404" i="15"/>
  <c r="AG1404" i="15"/>
  <c r="Q1404" i="15"/>
  <c r="AF1404" i="15"/>
  <c r="O1404" i="15"/>
  <c r="I1404" i="15"/>
  <c r="AD1408" i="15"/>
  <c r="Y1416" i="15"/>
  <c r="AF1432" i="15"/>
  <c r="AC1436" i="15"/>
  <c r="U1436" i="15"/>
  <c r="M1436" i="15"/>
  <c r="AB1436" i="15"/>
  <c r="T1436" i="15"/>
  <c r="L1436" i="15"/>
  <c r="AA1436" i="15"/>
  <c r="S1436" i="15"/>
  <c r="K1436" i="15"/>
  <c r="AD1436" i="15"/>
  <c r="P1436" i="15"/>
  <c r="Y1436" i="15"/>
  <c r="N1436" i="15"/>
  <c r="W1436" i="15"/>
  <c r="G1436" i="15"/>
  <c r="V1436" i="15"/>
  <c r="AH1436" i="15"/>
  <c r="R1436" i="15"/>
  <c r="AG1436" i="15"/>
  <c r="Q1436" i="15"/>
  <c r="J1436" i="15"/>
  <c r="AD1440" i="15"/>
  <c r="O1448" i="15"/>
  <c r="AE1480" i="15"/>
  <c r="AE1491" i="15"/>
  <c r="W1491" i="15"/>
  <c r="O1491" i="15"/>
  <c r="G1491" i="15"/>
  <c r="AD1491" i="15"/>
  <c r="V1491" i="15"/>
  <c r="N1491" i="15"/>
  <c r="AC1491" i="15"/>
  <c r="U1491" i="15"/>
  <c r="M1491" i="15"/>
  <c r="AG1491" i="15"/>
  <c r="S1491" i="15"/>
  <c r="H1491" i="15"/>
  <c r="AB1491" i="15"/>
  <c r="Q1491" i="15"/>
  <c r="T1491" i="15"/>
  <c r="R1491" i="15"/>
  <c r="AH1491" i="15"/>
  <c r="P1491" i="15"/>
  <c r="AF1491" i="15"/>
  <c r="L1491" i="15"/>
  <c r="K1491" i="15"/>
  <c r="AB1495" i="15"/>
  <c r="AE1499" i="15"/>
  <c r="W1499" i="15"/>
  <c r="O1499" i="15"/>
  <c r="G1499" i="15"/>
  <c r="AD1499" i="15"/>
  <c r="V1499" i="15"/>
  <c r="N1499" i="15"/>
  <c r="AC1499" i="15"/>
  <c r="U1499" i="15"/>
  <c r="M1499" i="15"/>
  <c r="AB1499" i="15"/>
  <c r="Q1499" i="15"/>
  <c r="Z1499" i="15"/>
  <c r="L1499" i="15"/>
  <c r="S1499" i="15"/>
  <c r="AH1499" i="15"/>
  <c r="R1499" i="15"/>
  <c r="AG1499" i="15"/>
  <c r="P1499" i="15"/>
  <c r="AF1499" i="15"/>
  <c r="K1499" i="15"/>
  <c r="J1499" i="15"/>
  <c r="Q1512" i="15"/>
  <c r="AB1519" i="15"/>
  <c r="AH1523" i="15"/>
  <c r="AB1527" i="15"/>
  <c r="AE1531" i="15"/>
  <c r="W1531" i="15"/>
  <c r="O1531" i="15"/>
  <c r="G1531" i="15"/>
  <c r="AD1531" i="15"/>
  <c r="V1531" i="15"/>
  <c r="N1531" i="15"/>
  <c r="AC1531" i="15"/>
  <c r="U1531" i="15"/>
  <c r="M1531" i="15"/>
  <c r="AB1531" i="15"/>
  <c r="Q1531" i="15"/>
  <c r="Z1531" i="15"/>
  <c r="L1531" i="15"/>
  <c r="X1531" i="15"/>
  <c r="H1531" i="15"/>
  <c r="T1531" i="15"/>
  <c r="S1531" i="15"/>
  <c r="AH1531" i="15"/>
  <c r="R1531" i="15"/>
  <c r="K1531" i="15"/>
  <c r="Z1543" i="15"/>
  <c r="Q1551" i="15"/>
  <c r="AD1556" i="15"/>
  <c r="V1556" i="15"/>
  <c r="N1556" i="15"/>
  <c r="AC1556" i="15"/>
  <c r="U1556" i="15"/>
  <c r="M1556" i="15"/>
  <c r="AB1556" i="15"/>
  <c r="T1556" i="15"/>
  <c r="L1556" i="15"/>
  <c r="AA1556" i="15"/>
  <c r="S1556" i="15"/>
  <c r="K1556" i="15"/>
  <c r="X1556" i="15"/>
  <c r="H1556" i="15"/>
  <c r="AH1556" i="15"/>
  <c r="R1556" i="15"/>
  <c r="Y1556" i="15"/>
  <c r="W1556" i="15"/>
  <c r="Q1556" i="15"/>
  <c r="P1556" i="15"/>
  <c r="J1556" i="15"/>
  <c r="AF1563" i="15"/>
  <c r="X1563" i="15"/>
  <c r="P1563" i="15"/>
  <c r="H1563" i="15"/>
  <c r="AE1563" i="15"/>
  <c r="W1563" i="15"/>
  <c r="O1563" i="15"/>
  <c r="G1563" i="15"/>
  <c r="AD1563" i="15"/>
  <c r="V1563" i="15"/>
  <c r="N1563" i="15"/>
  <c r="AC1563" i="15"/>
  <c r="U1563" i="15"/>
  <c r="M1563" i="15"/>
  <c r="AH1563" i="15"/>
  <c r="R1563" i="15"/>
  <c r="AB1563" i="15"/>
  <c r="L1563" i="15"/>
  <c r="Y1563" i="15"/>
  <c r="T1563" i="15"/>
  <c r="S1563" i="15"/>
  <c r="Q1563" i="15"/>
  <c r="K1563" i="15"/>
  <c r="AG1576" i="15"/>
  <c r="AF1583" i="15"/>
  <c r="X1583" i="15"/>
  <c r="P1583" i="15"/>
  <c r="H1583" i="15"/>
  <c r="AE1583" i="15"/>
  <c r="W1583" i="15"/>
  <c r="O1583" i="15"/>
  <c r="G1583" i="15"/>
  <c r="AD1583" i="15"/>
  <c r="V1583" i="15"/>
  <c r="N1583" i="15"/>
  <c r="AC1583" i="15"/>
  <c r="U1583" i="15"/>
  <c r="M1583" i="15"/>
  <c r="Z1583" i="15"/>
  <c r="J1583" i="15"/>
  <c r="T1583" i="15"/>
  <c r="AB1583" i="15"/>
  <c r="I1583" i="15"/>
  <c r="AA1583" i="15"/>
  <c r="Y1583" i="15"/>
  <c r="S1583" i="15"/>
  <c r="Q1583" i="15"/>
  <c r="AB1591" i="15"/>
  <c r="AD1604" i="15"/>
  <c r="V1604" i="15"/>
  <c r="N1604" i="15"/>
  <c r="AC1604" i="15"/>
  <c r="U1604" i="15"/>
  <c r="M1604" i="15"/>
  <c r="AB1604" i="15"/>
  <c r="T1604" i="15"/>
  <c r="L1604" i="15"/>
  <c r="AA1604" i="15"/>
  <c r="S1604" i="15"/>
  <c r="K1604" i="15"/>
  <c r="X1604" i="15"/>
  <c r="H1604" i="15"/>
  <c r="AH1604" i="15"/>
  <c r="R1604" i="15"/>
  <c r="AE1604" i="15"/>
  <c r="I1604" i="15"/>
  <c r="Z1604" i="15"/>
  <c r="G1604" i="15"/>
  <c r="Y1604" i="15"/>
  <c r="W1604" i="15"/>
  <c r="P1604" i="15"/>
  <c r="AE1612" i="15"/>
  <c r="Z1620" i="15"/>
  <c r="AF1651" i="15"/>
  <c r="X1651" i="15"/>
  <c r="P1651" i="15"/>
  <c r="H1651" i="15"/>
  <c r="AE1651" i="15"/>
  <c r="W1651" i="15"/>
  <c r="O1651" i="15"/>
  <c r="G1651" i="15"/>
  <c r="AD1651" i="15"/>
  <c r="V1651" i="15"/>
  <c r="N1651" i="15"/>
  <c r="AC1651" i="15"/>
  <c r="U1651" i="15"/>
  <c r="M1651" i="15"/>
  <c r="AH1651" i="15"/>
  <c r="R1651" i="15"/>
  <c r="AG1651" i="15"/>
  <c r="Q1651" i="15"/>
  <c r="AB1651" i="15"/>
  <c r="L1651" i="15"/>
  <c r="AA1651" i="15"/>
  <c r="Z1651" i="15"/>
  <c r="Y1651" i="15"/>
  <c r="T1651" i="15"/>
  <c r="K1651" i="15"/>
  <c r="AH1655" i="15"/>
  <c r="AD1660" i="15"/>
  <c r="V1660" i="15"/>
  <c r="N1660" i="15"/>
  <c r="AC1660" i="15"/>
  <c r="U1660" i="15"/>
  <c r="M1660" i="15"/>
  <c r="AB1660" i="15"/>
  <c r="T1660" i="15"/>
  <c r="L1660" i="15"/>
  <c r="AA1660" i="15"/>
  <c r="S1660" i="15"/>
  <c r="K1660" i="15"/>
  <c r="X1660" i="15"/>
  <c r="H1660" i="15"/>
  <c r="W1660" i="15"/>
  <c r="G1660" i="15"/>
  <c r="AH1660" i="15"/>
  <c r="R1660" i="15"/>
  <c r="AF1660" i="15"/>
  <c r="I1660" i="15"/>
  <c r="AE1660" i="15"/>
  <c r="Z1660" i="15"/>
  <c r="Y1660" i="15"/>
  <c r="P1660" i="15"/>
  <c r="AD1664" i="15"/>
  <c r="V1664" i="15"/>
  <c r="N1664" i="15"/>
  <c r="AC1664" i="15"/>
  <c r="U1664" i="15"/>
  <c r="M1664" i="15"/>
  <c r="AB1664" i="15"/>
  <c r="T1664" i="15"/>
  <c r="L1664" i="15"/>
  <c r="AA1664" i="15"/>
  <c r="S1664" i="15"/>
  <c r="K1664" i="15"/>
  <c r="AF1664" i="15"/>
  <c r="P1664" i="15"/>
  <c r="AE1664" i="15"/>
  <c r="O1664" i="15"/>
  <c r="Z1664" i="15"/>
  <c r="J1664" i="15"/>
  <c r="Y1664" i="15"/>
  <c r="X1664" i="15"/>
  <c r="W1664" i="15"/>
  <c r="R1664" i="15"/>
  <c r="I1664" i="15"/>
  <c r="AD1668" i="15"/>
  <c r="V1668" i="15"/>
  <c r="N1668" i="15"/>
  <c r="AC1668" i="15"/>
  <c r="U1668" i="15"/>
  <c r="M1668" i="15"/>
  <c r="AB1668" i="15"/>
  <c r="T1668" i="15"/>
  <c r="L1668" i="15"/>
  <c r="AA1668" i="15"/>
  <c r="S1668" i="15"/>
  <c r="K1668" i="15"/>
  <c r="X1668" i="15"/>
  <c r="H1668" i="15"/>
  <c r="W1668" i="15"/>
  <c r="G1668" i="15"/>
  <c r="AH1668" i="15"/>
  <c r="R1668" i="15"/>
  <c r="AE1668" i="15"/>
  <c r="Z1668" i="15"/>
  <c r="Y1668" i="15"/>
  <c r="Q1668" i="15"/>
  <c r="O1668" i="15"/>
  <c r="AD1676" i="15"/>
  <c r="V1676" i="15"/>
  <c r="N1676" i="15"/>
  <c r="AC1676" i="15"/>
  <c r="U1676" i="15"/>
  <c r="M1676" i="15"/>
  <c r="AB1676" i="15"/>
  <c r="T1676" i="15"/>
  <c r="L1676" i="15"/>
  <c r="AA1676" i="15"/>
  <c r="S1676" i="15"/>
  <c r="K1676" i="15"/>
  <c r="W1676" i="15"/>
  <c r="G1676" i="15"/>
  <c r="AH1676" i="15"/>
  <c r="R1676" i="15"/>
  <c r="AG1676" i="15"/>
  <c r="Q1676" i="15"/>
  <c r="AE1676" i="15"/>
  <c r="H1676" i="15"/>
  <c r="Z1676" i="15"/>
  <c r="Y1676" i="15"/>
  <c r="X1676" i="15"/>
  <c r="O1676" i="15"/>
  <c r="AH1679" i="15"/>
  <c r="AF1703" i="15"/>
  <c r="X1703" i="15"/>
  <c r="P1703" i="15"/>
  <c r="H1703" i="15"/>
  <c r="AE1703" i="15"/>
  <c r="W1703" i="15"/>
  <c r="O1703" i="15"/>
  <c r="G1703" i="15"/>
  <c r="AD1703" i="15"/>
  <c r="V1703" i="15"/>
  <c r="N1703" i="15"/>
  <c r="AC1703" i="15"/>
  <c r="U1703" i="15"/>
  <c r="M1703" i="15"/>
  <c r="Y1703" i="15"/>
  <c r="I1703" i="15"/>
  <c r="T1703" i="15"/>
  <c r="S1703" i="15"/>
  <c r="AG1703" i="15"/>
  <c r="J1703" i="15"/>
  <c r="AB1703" i="15"/>
  <c r="AA1703" i="15"/>
  <c r="Z1703" i="15"/>
  <c r="Q1703" i="15"/>
  <c r="AF1711" i="15"/>
  <c r="X1711" i="15"/>
  <c r="P1711" i="15"/>
  <c r="H1711" i="15"/>
  <c r="AE1711" i="15"/>
  <c r="W1711" i="15"/>
  <c r="O1711" i="15"/>
  <c r="G1711" i="15"/>
  <c r="AD1711" i="15"/>
  <c r="V1711" i="15"/>
  <c r="N1711" i="15"/>
  <c r="AC1711" i="15"/>
  <c r="U1711" i="15"/>
  <c r="M1711" i="15"/>
  <c r="Y1711" i="15"/>
  <c r="I1711" i="15"/>
  <c r="T1711" i="15"/>
  <c r="S1711" i="15"/>
  <c r="AA1711" i="15"/>
  <c r="Z1711" i="15"/>
  <c r="R1711" i="15"/>
  <c r="Q1711" i="15"/>
  <c r="L1711" i="15"/>
  <c r="R1735" i="15"/>
  <c r="AB1759" i="15"/>
  <c r="AD1796" i="15"/>
  <c r="V1796" i="15"/>
  <c r="N1796" i="15"/>
  <c r="AC1796" i="15"/>
  <c r="U1796" i="15"/>
  <c r="M1796" i="15"/>
  <c r="AB1796" i="15"/>
  <c r="T1796" i="15"/>
  <c r="L1796" i="15"/>
  <c r="AA1796" i="15"/>
  <c r="S1796" i="15"/>
  <c r="K1796" i="15"/>
  <c r="W1796" i="15"/>
  <c r="G1796" i="15"/>
  <c r="AH1796" i="15"/>
  <c r="R1796" i="15"/>
  <c r="AG1796" i="15"/>
  <c r="Q1796" i="15"/>
  <c r="AF1796" i="15"/>
  <c r="I1796" i="15"/>
  <c r="AE1796" i="15"/>
  <c r="H1796" i="15"/>
  <c r="Z1796" i="15"/>
  <c r="Y1796" i="15"/>
  <c r="P1796" i="15"/>
  <c r="AG1799" i="15"/>
  <c r="AB1815" i="15"/>
  <c r="AB1823" i="15"/>
  <c r="AB1831" i="15"/>
  <c r="AB1839" i="15"/>
  <c r="AB1847" i="15"/>
  <c r="AB1855" i="15"/>
  <c r="AB1863" i="15"/>
  <c r="AB1871" i="15"/>
  <c r="AB1879" i="15"/>
  <c r="AB1887" i="15"/>
  <c r="AF1923" i="15"/>
  <c r="X1923" i="15"/>
  <c r="P1923" i="15"/>
  <c r="H1923" i="15"/>
  <c r="AE1923" i="15"/>
  <c r="W1923" i="15"/>
  <c r="O1923" i="15"/>
  <c r="G1923" i="15"/>
  <c r="AD1923" i="15"/>
  <c r="V1923" i="15"/>
  <c r="N1923" i="15"/>
  <c r="AC1923" i="15"/>
  <c r="U1923" i="15"/>
  <c r="M1923" i="15"/>
  <c r="T1923" i="15"/>
  <c r="S1923" i="15"/>
  <c r="AH1923" i="15"/>
  <c r="R1923" i="15"/>
  <c r="Z1923" i="15"/>
  <c r="Y1923" i="15"/>
  <c r="Q1923" i="15"/>
  <c r="L1923" i="15"/>
  <c r="K1923" i="15"/>
  <c r="AF1955" i="15"/>
  <c r="X1955" i="15"/>
  <c r="P1955" i="15"/>
  <c r="H1955" i="15"/>
  <c r="AE1955" i="15"/>
  <c r="W1955" i="15"/>
  <c r="O1955" i="15"/>
  <c r="G1955" i="15"/>
  <c r="AD1955" i="15"/>
  <c r="V1955" i="15"/>
  <c r="N1955" i="15"/>
  <c r="AC1955" i="15"/>
  <c r="U1955" i="15"/>
  <c r="M1955" i="15"/>
  <c r="T1955" i="15"/>
  <c r="S1955" i="15"/>
  <c r="AH1955" i="15"/>
  <c r="R1955" i="15"/>
  <c r="Z1955" i="15"/>
  <c r="Y1955" i="15"/>
  <c r="Q1955" i="15"/>
  <c r="L1955" i="15"/>
  <c r="K1955" i="15"/>
  <c r="AF1992" i="15"/>
  <c r="AF1995" i="15"/>
  <c r="X1995" i="15"/>
  <c r="P1995" i="15"/>
  <c r="H1995" i="15"/>
  <c r="AE1995" i="15"/>
  <c r="W1995" i="15"/>
  <c r="O1995" i="15"/>
  <c r="G1995" i="15"/>
  <c r="AD1995" i="15"/>
  <c r="V1995" i="15"/>
  <c r="N1995" i="15"/>
  <c r="AC1995" i="15"/>
  <c r="U1995" i="15"/>
  <c r="M1995" i="15"/>
  <c r="AH1995" i="15"/>
  <c r="R1995" i="15"/>
  <c r="AG1995" i="15"/>
  <c r="Q1995" i="15"/>
  <c r="AB1995" i="15"/>
  <c r="L1995" i="15"/>
  <c r="I1995" i="15"/>
  <c r="AA1995" i="15"/>
  <c r="Z1995" i="15"/>
  <c r="Y1995" i="15"/>
  <c r="S1995" i="15"/>
  <c r="F12" i="16"/>
  <c r="M12" i="16"/>
  <c r="E12" i="16"/>
  <c r="I12" i="9" s="1"/>
  <c r="L12" i="16"/>
  <c r="K12" i="16"/>
  <c r="J12" i="16"/>
  <c r="I12" i="16"/>
  <c r="H12" i="16"/>
  <c r="T12" i="16"/>
  <c r="P12" i="16"/>
  <c r="H12" i="9" s="1"/>
  <c r="G12" i="16"/>
  <c r="H16" i="16"/>
  <c r="G16" i="16"/>
  <c r="M16" i="16"/>
  <c r="L16" i="16"/>
  <c r="K16" i="16"/>
  <c r="M17" i="16"/>
  <c r="K65" i="16"/>
  <c r="K86" i="16"/>
  <c r="J86" i="16"/>
  <c r="I86" i="16"/>
  <c r="H86" i="16"/>
  <c r="J90" i="16"/>
  <c r="L90" i="16"/>
  <c r="H90" i="16"/>
  <c r="G90" i="16"/>
  <c r="F91" i="16"/>
  <c r="H92" i="16"/>
  <c r="K92" i="16"/>
  <c r="J92" i="16"/>
  <c r="M92" i="16"/>
  <c r="L92" i="16"/>
  <c r="K94" i="16"/>
  <c r="J94" i="16"/>
  <c r="I94" i="16"/>
  <c r="H94" i="16"/>
  <c r="E159" i="16"/>
  <c r="K208" i="16"/>
  <c r="F210" i="16"/>
  <c r="M210" i="16"/>
  <c r="E210" i="16"/>
  <c r="I210" i="9" s="1"/>
  <c r="L210" i="16"/>
  <c r="T210" i="16"/>
  <c r="P210" i="16"/>
  <c r="H210" i="9" s="1"/>
  <c r="J210" i="16"/>
  <c r="I210" i="16"/>
  <c r="H210" i="16"/>
  <c r="G210" i="16"/>
  <c r="K210" i="16"/>
  <c r="F303" i="16"/>
  <c r="I303" i="9"/>
  <c r="F327" i="16"/>
  <c r="I327" i="9"/>
  <c r="F445" i="16"/>
  <c r="P445" i="16"/>
  <c r="H445" i="9" s="1"/>
  <c r="M450" i="16"/>
  <c r="E450" i="16"/>
  <c r="L450" i="16"/>
  <c r="I450" i="16"/>
  <c r="O450" i="16" s="1"/>
  <c r="H450" i="16"/>
  <c r="G450" i="16"/>
  <c r="J450" i="16"/>
  <c r="K450" i="16"/>
  <c r="L606" i="16"/>
  <c r="F671" i="16"/>
  <c r="I671" i="9"/>
  <c r="M693" i="16"/>
  <c r="L693" i="16"/>
  <c r="H693" i="16"/>
  <c r="G693" i="16"/>
  <c r="E695" i="16"/>
  <c r="H773" i="16"/>
  <c r="G773" i="16"/>
  <c r="E773" i="16"/>
  <c r="M773" i="16"/>
  <c r="L773" i="16"/>
  <c r="G857" i="16"/>
  <c r="F857" i="16"/>
  <c r="M857" i="16"/>
  <c r="E857" i="16"/>
  <c r="J857" i="16"/>
  <c r="I857" i="16"/>
  <c r="H857" i="16"/>
  <c r="L857" i="16"/>
  <c r="K857" i="16"/>
  <c r="M862" i="16"/>
  <c r="F949" i="16"/>
  <c r="L1001" i="16"/>
  <c r="F1159" i="16"/>
  <c r="J1400" i="15"/>
  <c r="I1408" i="15"/>
  <c r="N1432" i="15"/>
  <c r="I1440" i="15"/>
  <c r="AE1463" i="15"/>
  <c r="W1463" i="15"/>
  <c r="O1463" i="15"/>
  <c r="G1463" i="15"/>
  <c r="AD1463" i="15"/>
  <c r="V1463" i="15"/>
  <c r="N1463" i="15"/>
  <c r="AC1463" i="15"/>
  <c r="U1463" i="15"/>
  <c r="M1463" i="15"/>
  <c r="AF1463" i="15"/>
  <c r="R1463" i="15"/>
  <c r="AA1463" i="15"/>
  <c r="P1463" i="15"/>
  <c r="T1463" i="15"/>
  <c r="S1463" i="15"/>
  <c r="AH1463" i="15"/>
  <c r="Q1463" i="15"/>
  <c r="AG1463" i="15"/>
  <c r="L1463" i="15"/>
  <c r="AC1552" i="15"/>
  <c r="U1552" i="15"/>
  <c r="M1552" i="15"/>
  <c r="AB1552" i="15"/>
  <c r="T1552" i="15"/>
  <c r="L1552" i="15"/>
  <c r="AA1552" i="15"/>
  <c r="S1552" i="15"/>
  <c r="K1552" i="15"/>
  <c r="AG1552" i="15"/>
  <c r="V1552" i="15"/>
  <c r="H1552" i="15"/>
  <c r="AE1552" i="15"/>
  <c r="Q1552" i="15"/>
  <c r="R1552" i="15"/>
  <c r="AH1552" i="15"/>
  <c r="P1552" i="15"/>
  <c r="AF1552" i="15"/>
  <c r="O1552" i="15"/>
  <c r="AD1552" i="15"/>
  <c r="N1552" i="15"/>
  <c r="K1555" i="15"/>
  <c r="AD1564" i="15"/>
  <c r="V1564" i="15"/>
  <c r="N1564" i="15"/>
  <c r="AC1564" i="15"/>
  <c r="U1564" i="15"/>
  <c r="M1564" i="15"/>
  <c r="AB1564" i="15"/>
  <c r="T1564" i="15"/>
  <c r="L1564" i="15"/>
  <c r="AA1564" i="15"/>
  <c r="S1564" i="15"/>
  <c r="K1564" i="15"/>
  <c r="X1564" i="15"/>
  <c r="H1564" i="15"/>
  <c r="AH1564" i="15"/>
  <c r="R1564" i="15"/>
  <c r="W1564" i="15"/>
  <c r="Q1564" i="15"/>
  <c r="P1564" i="15"/>
  <c r="AG1564" i="15"/>
  <c r="O1564" i="15"/>
  <c r="AD1584" i="15"/>
  <c r="V1584" i="15"/>
  <c r="N1584" i="15"/>
  <c r="AC1584" i="15"/>
  <c r="U1584" i="15"/>
  <c r="M1584" i="15"/>
  <c r="AB1584" i="15"/>
  <c r="T1584" i="15"/>
  <c r="L1584" i="15"/>
  <c r="AA1584" i="15"/>
  <c r="S1584" i="15"/>
  <c r="K1584" i="15"/>
  <c r="AF1584" i="15"/>
  <c r="P1584" i="15"/>
  <c r="Z1584" i="15"/>
  <c r="J1584" i="15"/>
  <c r="X1584" i="15"/>
  <c r="W1584" i="15"/>
  <c r="R1584" i="15"/>
  <c r="Q1584" i="15"/>
  <c r="AA1599" i="15"/>
  <c r="S1639" i="15"/>
  <c r="R1648" i="15"/>
  <c r="AD1716" i="15"/>
  <c r="V1716" i="15"/>
  <c r="N1716" i="15"/>
  <c r="AC1716" i="15"/>
  <c r="U1716" i="15"/>
  <c r="M1716" i="15"/>
  <c r="AB1716" i="15"/>
  <c r="T1716" i="15"/>
  <c r="L1716" i="15"/>
  <c r="AA1716" i="15"/>
  <c r="S1716" i="15"/>
  <c r="K1716" i="15"/>
  <c r="W1716" i="15"/>
  <c r="G1716" i="15"/>
  <c r="AH1716" i="15"/>
  <c r="R1716" i="15"/>
  <c r="AG1716" i="15"/>
  <c r="Q1716" i="15"/>
  <c r="Y1716" i="15"/>
  <c r="X1716" i="15"/>
  <c r="P1716" i="15"/>
  <c r="O1716" i="15"/>
  <c r="T1987" i="15"/>
  <c r="M13" i="16"/>
  <c r="E13" i="16"/>
  <c r="L13" i="16"/>
  <c r="K13" i="16"/>
  <c r="J13" i="16"/>
  <c r="F13" i="16"/>
  <c r="I13" i="16"/>
  <c r="H13" i="16"/>
  <c r="G13" i="16"/>
  <c r="M223" i="16"/>
  <c r="L223" i="16"/>
  <c r="K223" i="16"/>
  <c r="J377" i="16"/>
  <c r="I377" i="16"/>
  <c r="H377" i="16"/>
  <c r="M419" i="16"/>
  <c r="E419" i="16"/>
  <c r="I419" i="9" s="1"/>
  <c r="L419" i="16"/>
  <c r="K419" i="16"/>
  <c r="H419" i="16"/>
  <c r="G419" i="16"/>
  <c r="T419" i="16"/>
  <c r="F419" i="16"/>
  <c r="P419" i="16"/>
  <c r="H419" i="9" s="1"/>
  <c r="J419" i="16"/>
  <c r="I419" i="16"/>
  <c r="O419" i="16" s="1"/>
  <c r="K493" i="16"/>
  <c r="M493" i="16"/>
  <c r="L493" i="16"/>
  <c r="H493" i="16"/>
  <c r="G493" i="16"/>
  <c r="H951" i="16"/>
  <c r="G951" i="16"/>
  <c r="L951" i="16"/>
  <c r="K951" i="16"/>
  <c r="J951" i="16"/>
  <c r="M951" i="16"/>
  <c r="O1385" i="16"/>
  <c r="G1385" i="16"/>
  <c r="N1385" i="16"/>
  <c r="F1385" i="16"/>
  <c r="M1385" i="16"/>
  <c r="E1385" i="16"/>
  <c r="K1385" i="16"/>
  <c r="J1385" i="16"/>
  <c r="I1385" i="16"/>
  <c r="H1385" i="16"/>
  <c r="P1385" i="16"/>
  <c r="L1385" i="16"/>
  <c r="T1385" i="16"/>
  <c r="M2645" i="16"/>
  <c r="E2645" i="16"/>
  <c r="L2645" i="16"/>
  <c r="O2645" i="16"/>
  <c r="N2645" i="16"/>
  <c r="K2645" i="16"/>
  <c r="T2645" i="16"/>
  <c r="P2645" i="16"/>
  <c r="F2645" i="16"/>
  <c r="J2645" i="16"/>
  <c r="I2645" i="16"/>
  <c r="H2645" i="16"/>
  <c r="G2645" i="16"/>
  <c r="P2994" i="16"/>
  <c r="H2994" i="16"/>
  <c r="O2994" i="16"/>
  <c r="G2994" i="16"/>
  <c r="I2994" i="16"/>
  <c r="F2994" i="16"/>
  <c r="T2994" i="16"/>
  <c r="E2994" i="16"/>
  <c r="M2994" i="16"/>
  <c r="N2994" i="16"/>
  <c r="L2994" i="16"/>
  <c r="K2994" i="16"/>
  <c r="J2994" i="16"/>
  <c r="L3542" i="16"/>
  <c r="K3542" i="16"/>
  <c r="P3542" i="16"/>
  <c r="F3542" i="16"/>
  <c r="O3542" i="16"/>
  <c r="E3542" i="16"/>
  <c r="N3542" i="16"/>
  <c r="G3542" i="16"/>
  <c r="T3542" i="16"/>
  <c r="M3542" i="16"/>
  <c r="J3542" i="16"/>
  <c r="I3542" i="16"/>
  <c r="H3542" i="16"/>
  <c r="P3682" i="16"/>
  <c r="H3682" i="16"/>
  <c r="O3682" i="16"/>
  <c r="G3682" i="16"/>
  <c r="T3682" i="16"/>
  <c r="E3682" i="16"/>
  <c r="N3682" i="16"/>
  <c r="M3682" i="16"/>
  <c r="J3682" i="16"/>
  <c r="I3682" i="16"/>
  <c r="F3682" i="16"/>
  <c r="K3682" i="16"/>
  <c r="L3682" i="16"/>
  <c r="K3743" i="16"/>
  <c r="J3743" i="16"/>
  <c r="H3743" i="16"/>
  <c r="T3743" i="16"/>
  <c r="G3743" i="16"/>
  <c r="P3743" i="16"/>
  <c r="F3743" i="16"/>
  <c r="E3743" i="16"/>
  <c r="O3743" i="16"/>
  <c r="I3743" i="16"/>
  <c r="L3743" i="16"/>
  <c r="M3743" i="16"/>
  <c r="N3743" i="16"/>
  <c r="X5" i="15"/>
  <c r="AG5" i="15" s="1"/>
  <c r="Q5" i="7" s="1"/>
  <c r="P5" i="15"/>
  <c r="H5" i="15"/>
  <c r="W5" i="15"/>
  <c r="N5" i="15"/>
  <c r="V5" i="15"/>
  <c r="M5" i="15"/>
  <c r="U5" i="15"/>
  <c r="L5" i="15"/>
  <c r="AC5" i="15"/>
  <c r="K5" i="15"/>
  <c r="J5" i="15"/>
  <c r="AB5" i="15"/>
  <c r="U7" i="15"/>
  <c r="Z12" i="15"/>
  <c r="R12" i="15"/>
  <c r="J12" i="15"/>
  <c r="Y12" i="15"/>
  <c r="P12" i="15"/>
  <c r="G12" i="15"/>
  <c r="X12" i="15"/>
  <c r="AG12" i="15" s="1"/>
  <c r="Q12" i="7" s="1"/>
  <c r="O12" i="15"/>
  <c r="W12" i="15"/>
  <c r="N12" i="15"/>
  <c r="V12" i="15"/>
  <c r="M12" i="15"/>
  <c r="K12" i="15"/>
  <c r="AC12" i="15"/>
  <c r="M55" i="15"/>
  <c r="AE55" i="15"/>
  <c r="O55" i="7" s="1"/>
  <c r="AB59" i="15"/>
  <c r="L59" i="15"/>
  <c r="X59" i="15"/>
  <c r="O59" i="15"/>
  <c r="W59" i="15"/>
  <c r="N59" i="15"/>
  <c r="V59" i="15"/>
  <c r="M59" i="15"/>
  <c r="U59" i="15"/>
  <c r="K59" i="15"/>
  <c r="I59" i="15"/>
  <c r="AA59" i="15"/>
  <c r="Z66" i="15"/>
  <c r="Y66" i="15"/>
  <c r="X66" i="15"/>
  <c r="P74" i="15"/>
  <c r="V106" i="15"/>
  <c r="N106" i="15"/>
  <c r="AF106" i="15" s="1"/>
  <c r="W106" i="15"/>
  <c r="M106" i="15"/>
  <c r="AE106" i="15"/>
  <c r="O106" i="7" s="1"/>
  <c r="U106" i="15"/>
  <c r="L106" i="15"/>
  <c r="AC106" i="15"/>
  <c r="K106" i="15"/>
  <c r="AB106" i="15"/>
  <c r="S106" i="15"/>
  <c r="J106" i="15"/>
  <c r="I106" i="15"/>
  <c r="AA106" i="15"/>
  <c r="Q108" i="15"/>
  <c r="P112" i="15"/>
  <c r="X113" i="15"/>
  <c r="P113" i="15"/>
  <c r="H113" i="15"/>
  <c r="AF113" i="15" s="1"/>
  <c r="Z113" i="15"/>
  <c r="Q113" i="15"/>
  <c r="G113" i="15"/>
  <c r="Y113" i="15"/>
  <c r="O113" i="15"/>
  <c r="W113" i="15"/>
  <c r="N113" i="15"/>
  <c r="AE113" i="15" s="1"/>
  <c r="O113" i="7" s="1"/>
  <c r="V113" i="15"/>
  <c r="M113" i="15"/>
  <c r="K113" i="15"/>
  <c r="AC113" i="15"/>
  <c r="AG113" i="15" s="1"/>
  <c r="Q113" i="7" s="1"/>
  <c r="L124" i="15"/>
  <c r="O128" i="15"/>
  <c r="Z144" i="15"/>
  <c r="R144" i="15"/>
  <c r="J144" i="15"/>
  <c r="W144" i="15"/>
  <c r="N144" i="15"/>
  <c r="V144" i="15"/>
  <c r="M144" i="15"/>
  <c r="U144" i="15"/>
  <c r="L144" i="15"/>
  <c r="AC144" i="15"/>
  <c r="K144" i="15"/>
  <c r="I144" i="15"/>
  <c r="AB144" i="15"/>
  <c r="V154" i="15"/>
  <c r="N154" i="15"/>
  <c r="W154" i="15"/>
  <c r="M154" i="15"/>
  <c r="U154" i="15"/>
  <c r="L154" i="15"/>
  <c r="AC154" i="15"/>
  <c r="K154" i="15"/>
  <c r="AB154" i="15"/>
  <c r="S154" i="15"/>
  <c r="J154" i="15"/>
  <c r="I154" i="15"/>
  <c r="AG154" i="15" s="1"/>
  <c r="Q154" i="7" s="1"/>
  <c r="AA154" i="15"/>
  <c r="Q156" i="15"/>
  <c r="K166" i="15"/>
  <c r="AC166" i="15"/>
  <c r="AG166" i="15" s="1"/>
  <c r="Q166" i="7" s="1"/>
  <c r="K188" i="15"/>
  <c r="AH197" i="15"/>
  <c r="AH204" i="15"/>
  <c r="Z204" i="15"/>
  <c r="R204" i="15"/>
  <c r="J204" i="15"/>
  <c r="Y204" i="15"/>
  <c r="P204" i="15"/>
  <c r="G204" i="15"/>
  <c r="AG204" i="15"/>
  <c r="X204" i="15"/>
  <c r="O204" i="15"/>
  <c r="AF204" i="15"/>
  <c r="W204" i="15"/>
  <c r="N204" i="15"/>
  <c r="AE204" i="15"/>
  <c r="V204" i="15"/>
  <c r="M204" i="15"/>
  <c r="Q213" i="15"/>
  <c r="AB214" i="15"/>
  <c r="L236" i="15"/>
  <c r="AH256" i="15"/>
  <c r="Z256" i="15"/>
  <c r="R256" i="15"/>
  <c r="J256" i="15"/>
  <c r="AF256" i="15"/>
  <c r="W256" i="15"/>
  <c r="N256" i="15"/>
  <c r="AE256" i="15"/>
  <c r="V256" i="15"/>
  <c r="M256" i="15"/>
  <c r="AD256" i="15"/>
  <c r="U256" i="15"/>
  <c r="L256" i="15"/>
  <c r="AC256" i="15"/>
  <c r="T256" i="15"/>
  <c r="K256" i="15"/>
  <c r="AH268" i="15"/>
  <c r="Z268" i="15"/>
  <c r="R268" i="15"/>
  <c r="J268" i="15"/>
  <c r="Y268" i="15"/>
  <c r="P268" i="15"/>
  <c r="G268" i="15"/>
  <c r="AG268" i="15"/>
  <c r="X268" i="15"/>
  <c r="O268" i="15"/>
  <c r="AF268" i="15"/>
  <c r="W268" i="15"/>
  <c r="N268" i="15"/>
  <c r="AE268" i="15"/>
  <c r="V268" i="15"/>
  <c r="M268" i="15"/>
  <c r="AC268" i="15"/>
  <c r="I272" i="15"/>
  <c r="Q277" i="15"/>
  <c r="J278" i="15"/>
  <c r="K300" i="15"/>
  <c r="AB304" i="15"/>
  <c r="AB311" i="15"/>
  <c r="T311" i="15"/>
  <c r="L311" i="15"/>
  <c r="Z311" i="15"/>
  <c r="Q311" i="15"/>
  <c r="H311" i="15"/>
  <c r="AH311" i="15"/>
  <c r="Y311" i="15"/>
  <c r="P311" i="15"/>
  <c r="G311" i="15"/>
  <c r="AG311" i="15"/>
  <c r="X311" i="15"/>
  <c r="O311" i="15"/>
  <c r="AF311" i="15"/>
  <c r="W311" i="15"/>
  <c r="N311" i="15"/>
  <c r="AB315" i="15"/>
  <c r="T315" i="15"/>
  <c r="L315" i="15"/>
  <c r="AG315" i="15"/>
  <c r="X315" i="15"/>
  <c r="O315" i="15"/>
  <c r="AF315" i="15"/>
  <c r="W315" i="15"/>
  <c r="N315" i="15"/>
  <c r="AE315" i="15"/>
  <c r="V315" i="15"/>
  <c r="M315" i="15"/>
  <c r="AD315" i="15"/>
  <c r="U315" i="15"/>
  <c r="K315" i="15"/>
  <c r="R321" i="15"/>
  <c r="AB325" i="15"/>
  <c r="AA330" i="15"/>
  <c r="P336" i="15"/>
  <c r="AC337" i="15"/>
  <c r="K348" i="15"/>
  <c r="AH352" i="15"/>
  <c r="Z352" i="15"/>
  <c r="R352" i="15"/>
  <c r="J352" i="15"/>
  <c r="AF352" i="15"/>
  <c r="W352" i="15"/>
  <c r="N352" i="15"/>
  <c r="AE352" i="15"/>
  <c r="V352" i="15"/>
  <c r="M352" i="15"/>
  <c r="AD352" i="15"/>
  <c r="U352" i="15"/>
  <c r="L352" i="15"/>
  <c r="AC352" i="15"/>
  <c r="T352" i="15"/>
  <c r="K352" i="15"/>
  <c r="Q358" i="15"/>
  <c r="AA363" i="15"/>
  <c r="O373" i="15"/>
  <c r="L385" i="15"/>
  <c r="AD396" i="15"/>
  <c r="O400" i="15"/>
  <c r="M407" i="15"/>
  <c r="AE407" i="15"/>
  <c r="P411" i="15"/>
  <c r="AH411" i="15"/>
  <c r="L428" i="15"/>
  <c r="AG432" i="15"/>
  <c r="AE439" i="15"/>
  <c r="Q453" i="15"/>
  <c r="AH458" i="15"/>
  <c r="O490" i="15"/>
  <c r="AB501" i="15"/>
  <c r="P506" i="15"/>
  <c r="AH506" i="15"/>
  <c r="I523" i="15"/>
  <c r="O533" i="15"/>
  <c r="AH533" i="15"/>
  <c r="O538" i="15"/>
  <c r="AD545" i="15"/>
  <c r="J550" i="15"/>
  <c r="AH554" i="15"/>
  <c r="R561" i="15"/>
  <c r="J565" i="15"/>
  <c r="AD570" i="15"/>
  <c r="V570" i="15"/>
  <c r="N570" i="15"/>
  <c r="AF570" i="15"/>
  <c r="W570" i="15"/>
  <c r="M570" i="15"/>
  <c r="AE570" i="15"/>
  <c r="U570" i="15"/>
  <c r="L570" i="15"/>
  <c r="AC570" i="15"/>
  <c r="T570" i="15"/>
  <c r="K570" i="15"/>
  <c r="AB570" i="15"/>
  <c r="S570" i="15"/>
  <c r="J570" i="15"/>
  <c r="P576" i="15"/>
  <c r="AC577" i="15"/>
  <c r="AB583" i="15"/>
  <c r="T583" i="15"/>
  <c r="L583" i="15"/>
  <c r="Z583" i="15"/>
  <c r="Q583" i="15"/>
  <c r="H583" i="15"/>
  <c r="AH583" i="15"/>
  <c r="Y583" i="15"/>
  <c r="P583" i="15"/>
  <c r="G583" i="15"/>
  <c r="AG583" i="15"/>
  <c r="X583" i="15"/>
  <c r="O583" i="15"/>
  <c r="AF583" i="15"/>
  <c r="W583" i="15"/>
  <c r="N583" i="15"/>
  <c r="AD583" i="15"/>
  <c r="I592" i="15"/>
  <c r="AC598" i="15"/>
  <c r="I602" i="15"/>
  <c r="K615" i="15"/>
  <c r="O618" i="15"/>
  <c r="AG618" i="15"/>
  <c r="AB624" i="15"/>
  <c r="I635" i="15"/>
  <c r="AC651" i="15"/>
  <c r="L668" i="15"/>
  <c r="O672" i="15"/>
  <c r="Q678" i="15"/>
  <c r="AD679" i="15"/>
  <c r="R689" i="15"/>
  <c r="AB693" i="15"/>
  <c r="I698" i="15"/>
  <c r="AD716" i="15"/>
  <c r="K726" i="15"/>
  <c r="AB731" i="15"/>
  <c r="T731" i="15"/>
  <c r="L731" i="15"/>
  <c r="AG731" i="15"/>
  <c r="X731" i="15"/>
  <c r="O731" i="15"/>
  <c r="AF731" i="15"/>
  <c r="W731" i="15"/>
  <c r="N731" i="15"/>
  <c r="AE731" i="15"/>
  <c r="V731" i="15"/>
  <c r="M731" i="15"/>
  <c r="AD731" i="15"/>
  <c r="U731" i="15"/>
  <c r="K731" i="15"/>
  <c r="N780" i="15"/>
  <c r="AE781" i="15"/>
  <c r="K802" i="15"/>
  <c r="AD823" i="15"/>
  <c r="V823" i="15"/>
  <c r="N823" i="15"/>
  <c r="AB823" i="15"/>
  <c r="T823" i="15"/>
  <c r="L823" i="15"/>
  <c r="AC823" i="15"/>
  <c r="R823" i="15"/>
  <c r="H823" i="15"/>
  <c r="AA823" i="15"/>
  <c r="Q823" i="15"/>
  <c r="G823" i="15"/>
  <c r="Z823" i="15"/>
  <c r="P823" i="15"/>
  <c r="Y823" i="15"/>
  <c r="O823" i="15"/>
  <c r="AG823" i="15"/>
  <c r="S829" i="15"/>
  <c r="AG836" i="15"/>
  <c r="L842" i="15"/>
  <c r="M855" i="15"/>
  <c r="S869" i="15"/>
  <c r="AD903" i="15"/>
  <c r="V903" i="15"/>
  <c r="N903" i="15"/>
  <c r="AB903" i="15"/>
  <c r="T903" i="15"/>
  <c r="L903" i="15"/>
  <c r="AC903" i="15"/>
  <c r="R903" i="15"/>
  <c r="H903" i="15"/>
  <c r="AA903" i="15"/>
  <c r="Q903" i="15"/>
  <c r="G903" i="15"/>
  <c r="Z903" i="15"/>
  <c r="P903" i="15"/>
  <c r="Y903" i="15"/>
  <c r="O903" i="15"/>
  <c r="AB908" i="15"/>
  <c r="T908" i="15"/>
  <c r="L908" i="15"/>
  <c r="AH908" i="15"/>
  <c r="Z908" i="15"/>
  <c r="R908" i="15"/>
  <c r="J908" i="15"/>
  <c r="AD908" i="15"/>
  <c r="S908" i="15"/>
  <c r="H908" i="15"/>
  <c r="AC908" i="15"/>
  <c r="Q908" i="15"/>
  <c r="G908" i="15"/>
  <c r="AA908" i="15"/>
  <c r="P908" i="15"/>
  <c r="Y908" i="15"/>
  <c r="O908" i="15"/>
  <c r="AG908" i="15"/>
  <c r="AD919" i="15"/>
  <c r="V919" i="15"/>
  <c r="N919" i="15"/>
  <c r="AB919" i="15"/>
  <c r="T919" i="15"/>
  <c r="L919" i="15"/>
  <c r="AC919" i="15"/>
  <c r="R919" i="15"/>
  <c r="H919" i="15"/>
  <c r="AA919" i="15"/>
  <c r="Q919" i="15"/>
  <c r="G919" i="15"/>
  <c r="Z919" i="15"/>
  <c r="P919" i="15"/>
  <c r="Y919" i="15"/>
  <c r="O919" i="15"/>
  <c r="AG919" i="15"/>
  <c r="S922" i="15"/>
  <c r="M924" i="15"/>
  <c r="AG924" i="15"/>
  <c r="K935" i="15"/>
  <c r="AG935" i="15"/>
  <c r="K951" i="15"/>
  <c r="AG951" i="15"/>
  <c r="U964" i="15"/>
  <c r="K978" i="15"/>
  <c r="Q989" i="15"/>
  <c r="M996" i="15"/>
  <c r="AH1002" i="15"/>
  <c r="AD1015" i="15"/>
  <c r="V1015" i="15"/>
  <c r="N1015" i="15"/>
  <c r="AB1015" i="15"/>
  <c r="T1015" i="15"/>
  <c r="L1015" i="15"/>
  <c r="AC1015" i="15"/>
  <c r="R1015" i="15"/>
  <c r="H1015" i="15"/>
  <c r="AA1015" i="15"/>
  <c r="Q1015" i="15"/>
  <c r="G1015" i="15"/>
  <c r="Z1015" i="15"/>
  <c r="P1015" i="15"/>
  <c r="Y1015" i="15"/>
  <c r="O1015" i="15"/>
  <c r="K1037" i="15"/>
  <c r="S1053" i="15"/>
  <c r="AG1063" i="15"/>
  <c r="K1074" i="15"/>
  <c r="M1087" i="15"/>
  <c r="AH1087" i="15"/>
  <c r="AH1093" i="15"/>
  <c r="Z1093" i="15"/>
  <c r="R1093" i="15"/>
  <c r="J1093" i="15"/>
  <c r="AF1093" i="15"/>
  <c r="X1093" i="15"/>
  <c r="P1093" i="15"/>
  <c r="H1093" i="15"/>
  <c r="AA1093" i="15"/>
  <c r="O1093" i="15"/>
  <c r="Y1093" i="15"/>
  <c r="N1093" i="15"/>
  <c r="W1093" i="15"/>
  <c r="M1093" i="15"/>
  <c r="AG1093" i="15"/>
  <c r="V1093" i="15"/>
  <c r="L1093" i="15"/>
  <c r="AB1100" i="15"/>
  <c r="T1100" i="15"/>
  <c r="L1100" i="15"/>
  <c r="AH1100" i="15"/>
  <c r="Z1100" i="15"/>
  <c r="R1100" i="15"/>
  <c r="J1100" i="15"/>
  <c r="AD1100" i="15"/>
  <c r="S1100" i="15"/>
  <c r="H1100" i="15"/>
  <c r="AC1100" i="15"/>
  <c r="Q1100" i="15"/>
  <c r="G1100" i="15"/>
  <c r="AA1100" i="15"/>
  <c r="P1100" i="15"/>
  <c r="Y1100" i="15"/>
  <c r="O1100" i="15"/>
  <c r="AD1119" i="15"/>
  <c r="V1119" i="15"/>
  <c r="N1119" i="15"/>
  <c r="AB1119" i="15"/>
  <c r="T1119" i="15"/>
  <c r="L1119" i="15"/>
  <c r="AC1119" i="15"/>
  <c r="R1119" i="15"/>
  <c r="H1119" i="15"/>
  <c r="AA1119" i="15"/>
  <c r="Q1119" i="15"/>
  <c r="G1119" i="15"/>
  <c r="Z1119" i="15"/>
  <c r="P1119" i="15"/>
  <c r="Y1119" i="15"/>
  <c r="O1119" i="15"/>
  <c r="T1169" i="15"/>
  <c r="V1201" i="15"/>
  <c r="AD1207" i="15"/>
  <c r="V1207" i="15"/>
  <c r="N1207" i="15"/>
  <c r="AH1207" i="15"/>
  <c r="Y1207" i="15"/>
  <c r="P1207" i="15"/>
  <c r="G1207" i="15"/>
  <c r="AF1207" i="15"/>
  <c r="W1207" i="15"/>
  <c r="M1207" i="15"/>
  <c r="AE1207" i="15"/>
  <c r="S1207" i="15"/>
  <c r="H1207" i="15"/>
  <c r="AC1207" i="15"/>
  <c r="R1207" i="15"/>
  <c r="AB1207" i="15"/>
  <c r="Q1207" i="15"/>
  <c r="AA1207" i="15"/>
  <c r="O1207" i="15"/>
  <c r="M1208" i="15"/>
  <c r="I1212" i="15"/>
  <c r="AD1223" i="15"/>
  <c r="V1223" i="15"/>
  <c r="N1223" i="15"/>
  <c r="AH1223" i="15"/>
  <c r="Y1223" i="15"/>
  <c r="P1223" i="15"/>
  <c r="G1223" i="15"/>
  <c r="AF1223" i="15"/>
  <c r="W1223" i="15"/>
  <c r="M1223" i="15"/>
  <c r="AE1223" i="15"/>
  <c r="S1223" i="15"/>
  <c r="H1223" i="15"/>
  <c r="AC1223" i="15"/>
  <c r="R1223" i="15"/>
  <c r="AB1223" i="15"/>
  <c r="Q1223" i="15"/>
  <c r="AA1223" i="15"/>
  <c r="O1223" i="15"/>
  <c r="M1224" i="15"/>
  <c r="AB1228" i="15"/>
  <c r="T1228" i="15"/>
  <c r="L1228" i="15"/>
  <c r="AG1228" i="15"/>
  <c r="X1228" i="15"/>
  <c r="O1228" i="15"/>
  <c r="AE1228" i="15"/>
  <c r="V1228" i="15"/>
  <c r="M1228" i="15"/>
  <c r="AA1228" i="15"/>
  <c r="P1228" i="15"/>
  <c r="Z1228" i="15"/>
  <c r="N1228" i="15"/>
  <c r="Y1228" i="15"/>
  <c r="K1228" i="15"/>
  <c r="W1228" i="15"/>
  <c r="J1228" i="15"/>
  <c r="AB1236" i="15"/>
  <c r="T1236" i="15"/>
  <c r="L1236" i="15"/>
  <c r="AC1236" i="15"/>
  <c r="S1236" i="15"/>
  <c r="J1236" i="15"/>
  <c r="Z1236" i="15"/>
  <c r="Q1236" i="15"/>
  <c r="H1236" i="15"/>
  <c r="AG1236" i="15"/>
  <c r="V1236" i="15"/>
  <c r="I1236" i="15"/>
  <c r="AF1236" i="15"/>
  <c r="U1236" i="15"/>
  <c r="G1236" i="15"/>
  <c r="AE1236" i="15"/>
  <c r="R1236" i="15"/>
  <c r="AD1236" i="15"/>
  <c r="P1236" i="15"/>
  <c r="T1239" i="15"/>
  <c r="S1267" i="15"/>
  <c r="AF1314" i="15"/>
  <c r="X1314" i="15"/>
  <c r="P1314" i="15"/>
  <c r="H1314" i="15"/>
  <c r="AE1314" i="15"/>
  <c r="W1314" i="15"/>
  <c r="O1314" i="15"/>
  <c r="G1314" i="15"/>
  <c r="AC1314" i="15"/>
  <c r="S1314" i="15"/>
  <c r="I1314" i="15"/>
  <c r="AA1314" i="15"/>
  <c r="Q1314" i="15"/>
  <c r="U1314" i="15"/>
  <c r="AH1314" i="15"/>
  <c r="T1314" i="15"/>
  <c r="AG1314" i="15"/>
  <c r="R1314" i="15"/>
  <c r="AD1314" i="15"/>
  <c r="N1314" i="15"/>
  <c r="N1338" i="15"/>
  <c r="V1344" i="15"/>
  <c r="J1392" i="15"/>
  <c r="P1432" i="15"/>
  <c r="P1480" i="15"/>
  <c r="X1495" i="15"/>
  <c r="O1576" i="15"/>
  <c r="O1584" i="15"/>
  <c r="W1648" i="15"/>
  <c r="AF1663" i="15"/>
  <c r="X1663" i="15"/>
  <c r="P1663" i="15"/>
  <c r="H1663" i="15"/>
  <c r="AE1663" i="15"/>
  <c r="W1663" i="15"/>
  <c r="O1663" i="15"/>
  <c r="G1663" i="15"/>
  <c r="AD1663" i="15"/>
  <c r="V1663" i="15"/>
  <c r="N1663" i="15"/>
  <c r="AC1663" i="15"/>
  <c r="U1663" i="15"/>
  <c r="M1663" i="15"/>
  <c r="Z1663" i="15"/>
  <c r="J1663" i="15"/>
  <c r="Y1663" i="15"/>
  <c r="I1663" i="15"/>
  <c r="T1663" i="15"/>
  <c r="AB1663" i="15"/>
  <c r="AA1663" i="15"/>
  <c r="S1663" i="15"/>
  <c r="R1663" i="15"/>
  <c r="L1679" i="15"/>
  <c r="R1767" i="15"/>
  <c r="T1963" i="15"/>
  <c r="AE1976" i="15"/>
  <c r="AF2000" i="15"/>
  <c r="H132" i="16"/>
  <c r="M132" i="16"/>
  <c r="L132" i="16"/>
  <c r="K132" i="16"/>
  <c r="J132" i="16"/>
  <c r="E148" i="16"/>
  <c r="F229" i="16"/>
  <c r="F239" i="16"/>
  <c r="I239" i="9"/>
  <c r="E493" i="16"/>
  <c r="H504" i="16"/>
  <c r="G504" i="16"/>
  <c r="I504" i="16"/>
  <c r="O504" i="16" s="1"/>
  <c r="E504" i="16"/>
  <c r="I504" i="9" s="1"/>
  <c r="M504" i="16"/>
  <c r="L504" i="16"/>
  <c r="K504" i="16"/>
  <c r="J504" i="16"/>
  <c r="F1183" i="16"/>
  <c r="M1235" i="16"/>
  <c r="E1235" i="16"/>
  <c r="L1235" i="16"/>
  <c r="K1235" i="16"/>
  <c r="I1235" i="16"/>
  <c r="H1235" i="16"/>
  <c r="G1235" i="16"/>
  <c r="J1235" i="16"/>
  <c r="Q27" i="15"/>
  <c r="Z28" i="15"/>
  <c r="R28" i="15"/>
  <c r="J28" i="15"/>
  <c r="Y28" i="15"/>
  <c r="P28" i="15"/>
  <c r="G28" i="15"/>
  <c r="X28" i="15"/>
  <c r="AG28" i="15" s="1"/>
  <c r="Q28" i="7" s="1"/>
  <c r="O28" i="15"/>
  <c r="W28" i="15"/>
  <c r="N28" i="15"/>
  <c r="V28" i="15"/>
  <c r="M28" i="15"/>
  <c r="K28" i="15"/>
  <c r="AC28" i="15"/>
  <c r="I32" i="15"/>
  <c r="AG32" i="15" s="1"/>
  <c r="Q32" i="7" s="1"/>
  <c r="J59" i="15"/>
  <c r="H66" i="15"/>
  <c r="G66" i="15"/>
  <c r="I93" i="15"/>
  <c r="G93" i="15"/>
  <c r="R97" i="15"/>
  <c r="R101" i="15"/>
  <c r="K102" i="15"/>
  <c r="AC102" i="15"/>
  <c r="AG102" i="15" s="1"/>
  <c r="Q102" i="7" s="1"/>
  <c r="G116" i="15"/>
  <c r="Q117" i="15"/>
  <c r="J118" i="15"/>
  <c r="V122" i="15"/>
  <c r="N122" i="15"/>
  <c r="AE122" i="15" s="1"/>
  <c r="O122" i="7" s="1"/>
  <c r="W122" i="15"/>
  <c r="M122" i="15"/>
  <c r="AF122" i="15" s="1"/>
  <c r="U122" i="15"/>
  <c r="L122" i="15"/>
  <c r="AC122" i="15"/>
  <c r="K122" i="15"/>
  <c r="AB122" i="15"/>
  <c r="S122" i="15"/>
  <c r="J122" i="15"/>
  <c r="AA122" i="15"/>
  <c r="Q124" i="15"/>
  <c r="J126" i="15"/>
  <c r="H126" i="15"/>
  <c r="O133" i="15"/>
  <c r="O149" i="15"/>
  <c r="O154" i="15"/>
  <c r="S156" i="15"/>
  <c r="R161" i="15"/>
  <c r="Q166" i="15"/>
  <c r="AB167" i="15"/>
  <c r="L167" i="15"/>
  <c r="Z167" i="15"/>
  <c r="Q167" i="15"/>
  <c r="H167" i="15"/>
  <c r="Y167" i="15"/>
  <c r="P167" i="15"/>
  <c r="G167" i="15"/>
  <c r="AG167" i="15"/>
  <c r="Q167" i="7" s="1"/>
  <c r="X167" i="15"/>
  <c r="O167" i="15"/>
  <c r="W167" i="15"/>
  <c r="N167" i="15"/>
  <c r="K167" i="15"/>
  <c r="J171" i="15"/>
  <c r="AC171" i="15"/>
  <c r="I176" i="15"/>
  <c r="AD182" i="15"/>
  <c r="V182" i="15"/>
  <c r="N182" i="15"/>
  <c r="AH182" i="15"/>
  <c r="Y182" i="15"/>
  <c r="P182" i="15"/>
  <c r="G182" i="15"/>
  <c r="AG182" i="15"/>
  <c r="X182" i="15"/>
  <c r="O182" i="15"/>
  <c r="AF182" i="15"/>
  <c r="W182" i="15"/>
  <c r="M182" i="15"/>
  <c r="AE182" i="15"/>
  <c r="U182" i="15"/>
  <c r="L182" i="15"/>
  <c r="AB182" i="15"/>
  <c r="L188" i="15"/>
  <c r="Q197" i="15"/>
  <c r="J198" i="15"/>
  <c r="AB198" i="15"/>
  <c r="AD204" i="15"/>
  <c r="R213" i="15"/>
  <c r="AC214" i="15"/>
  <c r="Q218" i="15"/>
  <c r="AA219" i="15"/>
  <c r="S225" i="15"/>
  <c r="J229" i="15"/>
  <c r="AB229" i="15"/>
  <c r="I234" i="15"/>
  <c r="J246" i="15"/>
  <c r="AH250" i="15"/>
  <c r="AG256" i="15"/>
  <c r="S263" i="15"/>
  <c r="R277" i="15"/>
  <c r="Q282" i="15"/>
  <c r="AA283" i="15"/>
  <c r="S289" i="15"/>
  <c r="L300" i="15"/>
  <c r="R310" i="15"/>
  <c r="M311" i="15"/>
  <c r="J315" i="15"/>
  <c r="O325" i="15"/>
  <c r="S332" i="15"/>
  <c r="L337" i="15"/>
  <c r="AD348" i="15"/>
  <c r="AG352" i="15"/>
  <c r="AC363" i="15"/>
  <c r="S369" i="15"/>
  <c r="J374" i="15"/>
  <c r="P378" i="15"/>
  <c r="AH378" i="15"/>
  <c r="AF389" i="15"/>
  <c r="X389" i="15"/>
  <c r="P389" i="15"/>
  <c r="H389" i="15"/>
  <c r="AG389" i="15"/>
  <c r="W389" i="15"/>
  <c r="N389" i="15"/>
  <c r="AE389" i="15"/>
  <c r="V389" i="15"/>
  <c r="M389" i="15"/>
  <c r="AD389" i="15"/>
  <c r="U389" i="15"/>
  <c r="L389" i="15"/>
  <c r="AC389" i="15"/>
  <c r="T389" i="15"/>
  <c r="K389" i="15"/>
  <c r="AF401" i="15"/>
  <c r="X401" i="15"/>
  <c r="P401" i="15"/>
  <c r="H401" i="15"/>
  <c r="Z401" i="15"/>
  <c r="Q401" i="15"/>
  <c r="G401" i="15"/>
  <c r="AH401" i="15"/>
  <c r="Y401" i="15"/>
  <c r="O401" i="15"/>
  <c r="AG401" i="15"/>
  <c r="W401" i="15"/>
  <c r="N401" i="15"/>
  <c r="AE401" i="15"/>
  <c r="V401" i="15"/>
  <c r="M401" i="15"/>
  <c r="AH412" i="15"/>
  <c r="Z412" i="15"/>
  <c r="R412" i="15"/>
  <c r="J412" i="15"/>
  <c r="Y412" i="15"/>
  <c r="P412" i="15"/>
  <c r="G412" i="15"/>
  <c r="AG412" i="15"/>
  <c r="X412" i="15"/>
  <c r="O412" i="15"/>
  <c r="AF412" i="15"/>
  <c r="W412" i="15"/>
  <c r="N412" i="15"/>
  <c r="AE412" i="15"/>
  <c r="V412" i="15"/>
  <c r="M412" i="15"/>
  <c r="AC412" i="15"/>
  <c r="J422" i="15"/>
  <c r="AD426" i="15"/>
  <c r="V426" i="15"/>
  <c r="N426" i="15"/>
  <c r="AF426" i="15"/>
  <c r="W426" i="15"/>
  <c r="M426" i="15"/>
  <c r="AE426" i="15"/>
  <c r="U426" i="15"/>
  <c r="L426" i="15"/>
  <c r="AC426" i="15"/>
  <c r="T426" i="15"/>
  <c r="K426" i="15"/>
  <c r="AB426" i="15"/>
  <c r="S426" i="15"/>
  <c r="J426" i="15"/>
  <c r="K433" i="15"/>
  <c r="AH444" i="15"/>
  <c r="Z444" i="15"/>
  <c r="R444" i="15"/>
  <c r="J444" i="15"/>
  <c r="Y444" i="15"/>
  <c r="P444" i="15"/>
  <c r="G444" i="15"/>
  <c r="AG444" i="15"/>
  <c r="X444" i="15"/>
  <c r="O444" i="15"/>
  <c r="AF444" i="15"/>
  <c r="W444" i="15"/>
  <c r="N444" i="15"/>
  <c r="AE444" i="15"/>
  <c r="V444" i="15"/>
  <c r="M444" i="15"/>
  <c r="K454" i="15"/>
  <c r="Q458" i="15"/>
  <c r="AH474" i="15"/>
  <c r="J485" i="15"/>
  <c r="O501" i="15"/>
  <c r="AA507" i="15"/>
  <c r="AB519" i="15"/>
  <c r="T519" i="15"/>
  <c r="L519" i="15"/>
  <c r="Z519" i="15"/>
  <c r="Q519" i="15"/>
  <c r="H519" i="15"/>
  <c r="AH519" i="15"/>
  <c r="Y519" i="15"/>
  <c r="P519" i="15"/>
  <c r="G519" i="15"/>
  <c r="AG519" i="15"/>
  <c r="X519" i="15"/>
  <c r="O519" i="15"/>
  <c r="AF519" i="15"/>
  <c r="W519" i="15"/>
  <c r="N519" i="15"/>
  <c r="AD519" i="15"/>
  <c r="J523" i="15"/>
  <c r="AC523" i="15"/>
  <c r="Q533" i="15"/>
  <c r="AH538" i="15"/>
  <c r="K550" i="15"/>
  <c r="Q554" i="15"/>
  <c r="AA555" i="15"/>
  <c r="S561" i="15"/>
  <c r="O565" i="15"/>
  <c r="AH565" i="15"/>
  <c r="O570" i="15"/>
  <c r="AD577" i="15"/>
  <c r="M583" i="15"/>
  <c r="AH586" i="15"/>
  <c r="O592" i="15"/>
  <c r="Q598" i="15"/>
  <c r="K599" i="15"/>
  <c r="S604" i="15"/>
  <c r="I608" i="15"/>
  <c r="AE615" i="15"/>
  <c r="O624" i="15"/>
  <c r="J661" i="15"/>
  <c r="AB661" i="15"/>
  <c r="AD666" i="15"/>
  <c r="V666" i="15"/>
  <c r="N666" i="15"/>
  <c r="AF666" i="15"/>
  <c r="W666" i="15"/>
  <c r="M666" i="15"/>
  <c r="AE666" i="15"/>
  <c r="U666" i="15"/>
  <c r="L666" i="15"/>
  <c r="AC666" i="15"/>
  <c r="T666" i="15"/>
  <c r="K666" i="15"/>
  <c r="AB666" i="15"/>
  <c r="S666" i="15"/>
  <c r="J666" i="15"/>
  <c r="K673" i="15"/>
  <c r="S689" i="15"/>
  <c r="O693" i="15"/>
  <c r="AH693" i="15"/>
  <c r="O698" i="15"/>
  <c r="AG698" i="15"/>
  <c r="AF709" i="15"/>
  <c r="X709" i="15"/>
  <c r="P709" i="15"/>
  <c r="H709" i="15"/>
  <c r="AG709" i="15"/>
  <c r="W709" i="15"/>
  <c r="N709" i="15"/>
  <c r="AE709" i="15"/>
  <c r="V709" i="15"/>
  <c r="M709" i="15"/>
  <c r="AD709" i="15"/>
  <c r="U709" i="15"/>
  <c r="L709" i="15"/>
  <c r="AC709" i="15"/>
  <c r="T709" i="15"/>
  <c r="K709" i="15"/>
  <c r="AA714" i="15"/>
  <c r="AB720" i="15"/>
  <c r="AB727" i="15"/>
  <c r="T727" i="15"/>
  <c r="L727" i="15"/>
  <c r="Z727" i="15"/>
  <c r="Q727" i="15"/>
  <c r="H727" i="15"/>
  <c r="AH727" i="15"/>
  <c r="Y727" i="15"/>
  <c r="P727" i="15"/>
  <c r="G727" i="15"/>
  <c r="AG727" i="15"/>
  <c r="X727" i="15"/>
  <c r="O727" i="15"/>
  <c r="AF727" i="15"/>
  <c r="W727" i="15"/>
  <c r="N727" i="15"/>
  <c r="J731" i="15"/>
  <c r="AF746" i="15"/>
  <c r="X746" i="15"/>
  <c r="P746" i="15"/>
  <c r="H746" i="15"/>
  <c r="AD746" i="15"/>
  <c r="V746" i="15"/>
  <c r="N746" i="15"/>
  <c r="AB746" i="15"/>
  <c r="R746" i="15"/>
  <c r="G746" i="15"/>
  <c r="AA746" i="15"/>
  <c r="Q746" i="15"/>
  <c r="Z746" i="15"/>
  <c r="O746" i="15"/>
  <c r="Y746" i="15"/>
  <c r="M746" i="15"/>
  <c r="AG1082" i="15"/>
  <c r="S1087" i="15"/>
  <c r="U1092" i="15"/>
  <c r="Q1093" i="15"/>
  <c r="T1098" i="15"/>
  <c r="N1100" i="15"/>
  <c r="AH1101" i="15"/>
  <c r="Z1101" i="15"/>
  <c r="R1101" i="15"/>
  <c r="J1101" i="15"/>
  <c r="AF1101" i="15"/>
  <c r="X1101" i="15"/>
  <c r="P1101" i="15"/>
  <c r="H1101" i="15"/>
  <c r="AA1101" i="15"/>
  <c r="O1101" i="15"/>
  <c r="Y1101" i="15"/>
  <c r="N1101" i="15"/>
  <c r="W1101" i="15"/>
  <c r="M1101" i="15"/>
  <c r="AG1101" i="15"/>
  <c r="V1101" i="15"/>
  <c r="L1101" i="15"/>
  <c r="AE1101" i="15"/>
  <c r="S1106" i="15"/>
  <c r="AB1108" i="15"/>
  <c r="T1108" i="15"/>
  <c r="L1108" i="15"/>
  <c r="AH1108" i="15"/>
  <c r="Z1108" i="15"/>
  <c r="R1108" i="15"/>
  <c r="J1108" i="15"/>
  <c r="AD1108" i="15"/>
  <c r="S1108" i="15"/>
  <c r="H1108" i="15"/>
  <c r="AC1108" i="15"/>
  <c r="Q1108" i="15"/>
  <c r="G1108" i="15"/>
  <c r="AA1108" i="15"/>
  <c r="P1108" i="15"/>
  <c r="Y1108" i="15"/>
  <c r="O1108" i="15"/>
  <c r="M1119" i="15"/>
  <c r="T1125" i="15"/>
  <c r="AD1127" i="15"/>
  <c r="V1127" i="15"/>
  <c r="N1127" i="15"/>
  <c r="AB1127" i="15"/>
  <c r="T1127" i="15"/>
  <c r="L1127" i="15"/>
  <c r="AC1127" i="15"/>
  <c r="R1127" i="15"/>
  <c r="H1127" i="15"/>
  <c r="AA1127" i="15"/>
  <c r="Q1127" i="15"/>
  <c r="G1127" i="15"/>
  <c r="Z1127" i="15"/>
  <c r="P1127" i="15"/>
  <c r="Y1127" i="15"/>
  <c r="O1127" i="15"/>
  <c r="AG1127" i="15"/>
  <c r="S1133" i="15"/>
  <c r="W1168" i="15"/>
  <c r="AB1192" i="15"/>
  <c r="T1192" i="15"/>
  <c r="L1192" i="15"/>
  <c r="Z1192" i="15"/>
  <c r="Q1192" i="15"/>
  <c r="H1192" i="15"/>
  <c r="AG1192" i="15"/>
  <c r="X1192" i="15"/>
  <c r="O1192" i="15"/>
  <c r="AF1192" i="15"/>
  <c r="U1192" i="15"/>
  <c r="I1192" i="15"/>
  <c r="AE1192" i="15"/>
  <c r="S1192" i="15"/>
  <c r="G1192" i="15"/>
  <c r="AD1192" i="15"/>
  <c r="R1192" i="15"/>
  <c r="AC1192" i="15"/>
  <c r="P1192" i="15"/>
  <c r="I1195" i="15"/>
  <c r="AH1195" i="15"/>
  <c r="X1201" i="15"/>
  <c r="K1206" i="15"/>
  <c r="L1207" i="15"/>
  <c r="U1208" i="15"/>
  <c r="R1211" i="15"/>
  <c r="Q1212" i="15"/>
  <c r="AF1222" i="15"/>
  <c r="X1222" i="15"/>
  <c r="P1222" i="15"/>
  <c r="H1222" i="15"/>
  <c r="AG1222" i="15"/>
  <c r="W1222" i="15"/>
  <c r="N1222" i="15"/>
  <c r="AD1222" i="15"/>
  <c r="U1222" i="15"/>
  <c r="L1222" i="15"/>
  <c r="AE1222" i="15"/>
  <c r="S1222" i="15"/>
  <c r="G1222" i="15"/>
  <c r="AC1222" i="15"/>
  <c r="R1222" i="15"/>
  <c r="AB1222" i="15"/>
  <c r="Q1222" i="15"/>
  <c r="AA1222" i="15"/>
  <c r="O1222" i="15"/>
  <c r="R1227" i="15"/>
  <c r="U1239" i="15"/>
  <c r="I1259" i="15"/>
  <c r="T1267" i="15"/>
  <c r="N1312" i="15"/>
  <c r="J1323" i="15"/>
  <c r="Y1346" i="15"/>
  <c r="AC1364" i="15"/>
  <c r="U1364" i="15"/>
  <c r="M1364" i="15"/>
  <c r="AB1364" i="15"/>
  <c r="T1364" i="15"/>
  <c r="L1364" i="15"/>
  <c r="AA1364" i="15"/>
  <c r="S1364" i="15"/>
  <c r="K1364" i="15"/>
  <c r="AF1364" i="15"/>
  <c r="R1364" i="15"/>
  <c r="G1364" i="15"/>
  <c r="AD1364" i="15"/>
  <c r="P1364" i="15"/>
  <c r="V1364" i="15"/>
  <c r="AH1364" i="15"/>
  <c r="Q1364" i="15"/>
  <c r="AG1364" i="15"/>
  <c r="O1364" i="15"/>
  <c r="AE1364" i="15"/>
  <c r="N1364" i="15"/>
  <c r="I81" i="9"/>
  <c r="I536" i="9"/>
  <c r="Z2" i="15"/>
  <c r="Y2" i="15"/>
  <c r="X2" i="15"/>
  <c r="AB2" i="15"/>
  <c r="N4" i="15"/>
  <c r="S5" i="15"/>
  <c r="Q6" i="15"/>
  <c r="AB7" i="15"/>
  <c r="L7" i="15"/>
  <c r="Z7" i="15"/>
  <c r="Q7" i="15"/>
  <c r="H7" i="15"/>
  <c r="Y7" i="15"/>
  <c r="P7" i="15"/>
  <c r="G7" i="15"/>
  <c r="X7" i="15"/>
  <c r="AG7" i="15" s="1"/>
  <c r="Q7" i="7" s="1"/>
  <c r="O7" i="15"/>
  <c r="W7" i="15"/>
  <c r="N7" i="15"/>
  <c r="AE7" i="15" s="1"/>
  <c r="O7" i="7" s="1"/>
  <c r="K7" i="15"/>
  <c r="K8" i="15"/>
  <c r="U8" i="15"/>
  <c r="G9" i="15"/>
  <c r="P10" i="15"/>
  <c r="I13" i="15"/>
  <c r="G13" i="15"/>
  <c r="U14" i="15"/>
  <c r="S16" i="15"/>
  <c r="R17" i="15"/>
  <c r="L18" i="15"/>
  <c r="M20" i="15"/>
  <c r="R21" i="15"/>
  <c r="G27" i="15"/>
  <c r="Y27" i="15"/>
  <c r="S28" i="15"/>
  <c r="AA29" i="15"/>
  <c r="Z29" i="15"/>
  <c r="Y29" i="15"/>
  <c r="Q32" i="15"/>
  <c r="K34" i="15"/>
  <c r="U34" i="15"/>
  <c r="G35" i="15"/>
  <c r="G36" i="15"/>
  <c r="Q37" i="15"/>
  <c r="V38" i="15"/>
  <c r="N38" i="15"/>
  <c r="AF38" i="15" s="1"/>
  <c r="Y38" i="15"/>
  <c r="P38" i="15"/>
  <c r="G38" i="15"/>
  <c r="AG38" i="15"/>
  <c r="Q38" i="7" s="1"/>
  <c r="X38" i="15"/>
  <c r="O38" i="15"/>
  <c r="W38" i="15"/>
  <c r="M38" i="15"/>
  <c r="AE38" i="15"/>
  <c r="O38" i="7" s="1"/>
  <c r="U38" i="15"/>
  <c r="L38" i="15"/>
  <c r="J38" i="15"/>
  <c r="AB38" i="15"/>
  <c r="I39" i="15"/>
  <c r="AG39" i="15" s="1"/>
  <c r="Q39" i="7" s="1"/>
  <c r="AA39" i="15"/>
  <c r="V42" i="15"/>
  <c r="N42" i="15"/>
  <c r="W42" i="15"/>
  <c r="M42" i="15"/>
  <c r="U42" i="15"/>
  <c r="L42" i="15"/>
  <c r="AC42" i="15"/>
  <c r="K42" i="15"/>
  <c r="AB42" i="15"/>
  <c r="S42" i="15"/>
  <c r="J42" i="15"/>
  <c r="I42" i="15"/>
  <c r="AA42" i="15"/>
  <c r="S43" i="15"/>
  <c r="Q44" i="15"/>
  <c r="M45" i="15"/>
  <c r="J46" i="15"/>
  <c r="H46" i="15"/>
  <c r="P48" i="15"/>
  <c r="X49" i="15"/>
  <c r="P49" i="15"/>
  <c r="H49" i="15"/>
  <c r="Z49" i="15"/>
  <c r="Q49" i="15"/>
  <c r="G49" i="15"/>
  <c r="Y49" i="15"/>
  <c r="O49" i="15"/>
  <c r="AG49" i="15"/>
  <c r="Q49" i="7" s="1"/>
  <c r="W49" i="15"/>
  <c r="N49" i="15"/>
  <c r="V49" i="15"/>
  <c r="M49" i="15"/>
  <c r="K49" i="15"/>
  <c r="AC49" i="15"/>
  <c r="J50" i="15"/>
  <c r="V55" i="15"/>
  <c r="K57" i="15"/>
  <c r="I57" i="15"/>
  <c r="R59" i="15"/>
  <c r="L61" i="15"/>
  <c r="V61" i="15"/>
  <c r="X69" i="15"/>
  <c r="P69" i="15"/>
  <c r="H69" i="15"/>
  <c r="W69" i="15"/>
  <c r="N69" i="15"/>
  <c r="V69" i="15"/>
  <c r="M69" i="15"/>
  <c r="U69" i="15"/>
  <c r="L69" i="15"/>
  <c r="AC69" i="15"/>
  <c r="K69" i="15"/>
  <c r="J69" i="15"/>
  <c r="AB69" i="15"/>
  <c r="H70" i="15"/>
  <c r="AF70" i="15" s="1"/>
  <c r="Z70" i="15"/>
  <c r="U71" i="15"/>
  <c r="H72" i="15"/>
  <c r="G72" i="15"/>
  <c r="G74" i="15"/>
  <c r="Y74" i="15"/>
  <c r="Q75" i="15"/>
  <c r="Z76" i="15"/>
  <c r="R76" i="15"/>
  <c r="J76" i="15"/>
  <c r="Y76" i="15"/>
  <c r="P76" i="15"/>
  <c r="G76" i="15"/>
  <c r="X76" i="15"/>
  <c r="AG76" i="15" s="1"/>
  <c r="Q76" i="7" s="1"/>
  <c r="O76" i="15"/>
  <c r="W76" i="15"/>
  <c r="N76" i="15"/>
  <c r="V76" i="15"/>
  <c r="M76" i="15"/>
  <c r="K76" i="15"/>
  <c r="AC76" i="15"/>
  <c r="K77" i="15"/>
  <c r="Z80" i="15"/>
  <c r="R80" i="15"/>
  <c r="J80" i="15"/>
  <c r="W80" i="15"/>
  <c r="N80" i="15"/>
  <c r="AE80" i="15" s="1"/>
  <c r="O80" i="7" s="1"/>
  <c r="V80" i="15"/>
  <c r="M80" i="15"/>
  <c r="AF80" i="15" s="1"/>
  <c r="U80" i="15"/>
  <c r="L80" i="15"/>
  <c r="AC80" i="15"/>
  <c r="K80" i="15"/>
  <c r="I80" i="15"/>
  <c r="AB80" i="15"/>
  <c r="I81" i="15"/>
  <c r="AA81" i="15"/>
  <c r="M83" i="15"/>
  <c r="AF83" i="15" s="1"/>
  <c r="K84" i="15"/>
  <c r="H84" i="15"/>
  <c r="S87" i="15"/>
  <c r="X90" i="15"/>
  <c r="AG90" i="15" s="1"/>
  <c r="Q90" i="7" s="1"/>
  <c r="P91" i="15"/>
  <c r="M94" i="15"/>
  <c r="U97" i="15"/>
  <c r="K99" i="15"/>
  <c r="G101" i="15"/>
  <c r="Z101" i="15"/>
  <c r="S102" i="15"/>
  <c r="R103" i="15"/>
  <c r="M104" i="15"/>
  <c r="N105" i="15"/>
  <c r="AE105" i="15" s="1"/>
  <c r="O105" i="7" s="1"/>
  <c r="R106" i="15"/>
  <c r="H108" i="15"/>
  <c r="AA108" i="15"/>
  <c r="L110" i="15"/>
  <c r="G112" i="15"/>
  <c r="Y112" i="15"/>
  <c r="H114" i="15"/>
  <c r="G114" i="15"/>
  <c r="Y117" i="15"/>
  <c r="R118" i="15"/>
  <c r="L120" i="15"/>
  <c r="M121" i="15"/>
  <c r="Q122" i="15"/>
  <c r="AB123" i="15"/>
  <c r="L123" i="15"/>
  <c r="AG123" i="15"/>
  <c r="Q123" i="7" s="1"/>
  <c r="X123" i="15"/>
  <c r="O123" i="15"/>
  <c r="W123" i="15"/>
  <c r="N123" i="15"/>
  <c r="AE123" i="15"/>
  <c r="O123" i="7" s="1"/>
  <c r="V123" i="15"/>
  <c r="M123" i="15"/>
  <c r="AF123" i="15" s="1"/>
  <c r="U123" i="15"/>
  <c r="K123" i="15"/>
  <c r="I123" i="15"/>
  <c r="AA123" i="15"/>
  <c r="U124" i="15"/>
  <c r="G126" i="15"/>
  <c r="X128" i="15"/>
  <c r="AG128" i="15" s="1"/>
  <c r="Q128" i="7" s="1"/>
  <c r="S129" i="15"/>
  <c r="Z130" i="15"/>
  <c r="Y130" i="15"/>
  <c r="X130" i="15"/>
  <c r="AB130" i="15"/>
  <c r="N132" i="15"/>
  <c r="S133" i="15"/>
  <c r="Q134" i="15"/>
  <c r="AB135" i="15"/>
  <c r="L135" i="15"/>
  <c r="Z135" i="15"/>
  <c r="Q135" i="15"/>
  <c r="H135" i="15"/>
  <c r="Y135" i="15"/>
  <c r="P135" i="15"/>
  <c r="G135" i="15"/>
  <c r="AG135" i="15"/>
  <c r="Q135" i="7" s="1"/>
  <c r="X135" i="15"/>
  <c r="O135" i="15"/>
  <c r="W135" i="15"/>
  <c r="N135" i="15"/>
  <c r="K135" i="15"/>
  <c r="K136" i="15"/>
  <c r="G137" i="15"/>
  <c r="P138" i="15"/>
  <c r="I141" i="15"/>
  <c r="G141" i="15"/>
  <c r="S144" i="15"/>
  <c r="R145" i="15"/>
  <c r="L146" i="15"/>
  <c r="N148" i="15"/>
  <c r="S149" i="15"/>
  <c r="Q150" i="15"/>
  <c r="AB151" i="15"/>
  <c r="L151" i="15"/>
  <c r="Z151" i="15"/>
  <c r="Q151" i="15"/>
  <c r="H151" i="15"/>
  <c r="Y151" i="15"/>
  <c r="P151" i="15"/>
  <c r="G151" i="15"/>
  <c r="AG151" i="15"/>
  <c r="Q151" i="7" s="1"/>
  <c r="X151" i="15"/>
  <c r="O151" i="15"/>
  <c r="W151" i="15"/>
  <c r="N151" i="15"/>
  <c r="AE151" i="15" s="1"/>
  <c r="O151" i="7" s="1"/>
  <c r="K151" i="15"/>
  <c r="K152" i="15"/>
  <c r="N153" i="15"/>
  <c r="R154" i="15"/>
  <c r="H156" i="15"/>
  <c r="AA156" i="15"/>
  <c r="M158" i="15"/>
  <c r="U161" i="15"/>
  <c r="M163" i="15"/>
  <c r="K164" i="15"/>
  <c r="H164" i="15"/>
  <c r="AF164" i="15" s="1"/>
  <c r="P164" i="7" s="1"/>
  <c r="S167" i="15"/>
  <c r="K169" i="15"/>
  <c r="I169" i="15"/>
  <c r="R171" i="15"/>
  <c r="L172" i="15"/>
  <c r="L173" i="15"/>
  <c r="W173" i="15"/>
  <c r="J174" i="15"/>
  <c r="H174" i="15"/>
  <c r="Q176" i="15"/>
  <c r="L177" i="15"/>
  <c r="AD177" i="15"/>
  <c r="Y181" i="15"/>
  <c r="R182" i="15"/>
  <c r="M183" i="15"/>
  <c r="AE183" i="15"/>
  <c r="P186" i="15"/>
  <c r="AH186" i="15"/>
  <c r="T188" i="15"/>
  <c r="O192" i="15"/>
  <c r="AG192" i="15"/>
  <c r="Y197" i="15"/>
  <c r="R198" i="15"/>
  <c r="M199" i="15"/>
  <c r="AE199" i="15"/>
  <c r="AH202" i="15"/>
  <c r="T204" i="15"/>
  <c r="P208" i="15"/>
  <c r="AF209" i="15"/>
  <c r="X209" i="15"/>
  <c r="P209" i="15"/>
  <c r="H209" i="15"/>
  <c r="Z209" i="15"/>
  <c r="Q209" i="15"/>
  <c r="G209" i="15"/>
  <c r="AH209" i="15"/>
  <c r="Y209" i="15"/>
  <c r="O209" i="15"/>
  <c r="AG209" i="15"/>
  <c r="W209" i="15"/>
  <c r="N209" i="15"/>
  <c r="AE209" i="15"/>
  <c r="V209" i="15"/>
  <c r="M209" i="15"/>
  <c r="K209" i="15"/>
  <c r="AC209" i="15"/>
  <c r="G213" i="15"/>
  <c r="Z213" i="15"/>
  <c r="S214" i="15"/>
  <c r="R215" i="15"/>
  <c r="G218" i="15"/>
  <c r="Y218" i="15"/>
  <c r="Q219" i="15"/>
  <c r="AH220" i="15"/>
  <c r="Z220" i="15"/>
  <c r="R220" i="15"/>
  <c r="J220" i="15"/>
  <c r="Y220" i="15"/>
  <c r="P220" i="15"/>
  <c r="G220" i="15"/>
  <c r="AG220" i="15"/>
  <c r="X220" i="15"/>
  <c r="O220" i="15"/>
  <c r="AF220" i="15"/>
  <c r="W220" i="15"/>
  <c r="N220" i="15"/>
  <c r="AE220" i="15"/>
  <c r="V220" i="15"/>
  <c r="M220" i="15"/>
  <c r="K220" i="15"/>
  <c r="AC220" i="15"/>
  <c r="AH224" i="15"/>
  <c r="Z224" i="15"/>
  <c r="R224" i="15"/>
  <c r="J224" i="15"/>
  <c r="AF224" i="15"/>
  <c r="W224" i="15"/>
  <c r="N224" i="15"/>
  <c r="AE224" i="15"/>
  <c r="V224" i="15"/>
  <c r="M224" i="15"/>
  <c r="AD224" i="15"/>
  <c r="U224" i="15"/>
  <c r="L224" i="15"/>
  <c r="AC224" i="15"/>
  <c r="T224" i="15"/>
  <c r="K224" i="15"/>
  <c r="I224" i="15"/>
  <c r="AB224" i="15"/>
  <c r="I225" i="15"/>
  <c r="AA225" i="15"/>
  <c r="R229" i="15"/>
  <c r="K230" i="15"/>
  <c r="AC230" i="15"/>
  <c r="Q234" i="15"/>
  <c r="AB235" i="15"/>
  <c r="T235" i="15"/>
  <c r="L235" i="15"/>
  <c r="AG235" i="15"/>
  <c r="X235" i="15"/>
  <c r="O235" i="15"/>
  <c r="AF235" i="15"/>
  <c r="W235" i="15"/>
  <c r="N235" i="15"/>
  <c r="AE235" i="15"/>
  <c r="V235" i="15"/>
  <c r="M235" i="15"/>
  <c r="AD235" i="15"/>
  <c r="U235" i="15"/>
  <c r="K235" i="15"/>
  <c r="I235" i="15"/>
  <c r="AA235" i="15"/>
  <c r="U236" i="15"/>
  <c r="P240" i="15"/>
  <c r="AF241" i="15"/>
  <c r="X241" i="15"/>
  <c r="P241" i="15"/>
  <c r="H241" i="15"/>
  <c r="Z241" i="15"/>
  <c r="Q241" i="15"/>
  <c r="G241" i="15"/>
  <c r="AH241" i="15"/>
  <c r="Y241" i="15"/>
  <c r="O241" i="15"/>
  <c r="AG241" i="15"/>
  <c r="W241" i="15"/>
  <c r="N241" i="15"/>
  <c r="AE241" i="15"/>
  <c r="V241" i="15"/>
  <c r="M241" i="15"/>
  <c r="K241" i="15"/>
  <c r="AC241" i="15"/>
  <c r="Y245" i="15"/>
  <c r="R246" i="15"/>
  <c r="M247" i="15"/>
  <c r="AE247" i="15"/>
  <c r="X250" i="15"/>
  <c r="P251" i="15"/>
  <c r="AH251" i="15"/>
  <c r="S256" i="15"/>
  <c r="R257" i="15"/>
  <c r="Q261" i="15"/>
  <c r="AD262" i="15"/>
  <c r="V262" i="15"/>
  <c r="N262" i="15"/>
  <c r="AH262" i="15"/>
  <c r="Y262" i="15"/>
  <c r="P262" i="15"/>
  <c r="G262" i="15"/>
  <c r="AG262" i="15"/>
  <c r="X262" i="15"/>
  <c r="O262" i="15"/>
  <c r="AF262" i="15"/>
  <c r="W262" i="15"/>
  <c r="M262" i="15"/>
  <c r="AE262" i="15"/>
  <c r="U262" i="15"/>
  <c r="L262" i="15"/>
  <c r="J262" i="15"/>
  <c r="AB262" i="15"/>
  <c r="I263" i="15"/>
  <c r="AA263" i="15"/>
  <c r="P266" i="15"/>
  <c r="AH266" i="15"/>
  <c r="T268" i="15"/>
  <c r="S272" i="15"/>
  <c r="R273" i="15"/>
  <c r="G277" i="15"/>
  <c r="Z277" i="15"/>
  <c r="S278" i="15"/>
  <c r="G282" i="15"/>
  <c r="Y282" i="15"/>
  <c r="Q283" i="15"/>
  <c r="AH284" i="15"/>
  <c r="Z284" i="15"/>
  <c r="R284" i="15"/>
  <c r="J284" i="15"/>
  <c r="Y284" i="15"/>
  <c r="P284" i="15"/>
  <c r="G284" i="15"/>
  <c r="AG284" i="15"/>
  <c r="X284" i="15"/>
  <c r="O284" i="15"/>
  <c r="AF284" i="15"/>
  <c r="W284" i="15"/>
  <c r="N284" i="15"/>
  <c r="AE284" i="15"/>
  <c r="V284" i="15"/>
  <c r="M284" i="15"/>
  <c r="K284" i="15"/>
  <c r="AC284" i="15"/>
  <c r="AH288" i="15"/>
  <c r="Z288" i="15"/>
  <c r="R288" i="15"/>
  <c r="J288" i="15"/>
  <c r="AF288" i="15"/>
  <c r="W288" i="15"/>
  <c r="N288" i="15"/>
  <c r="AE288" i="15"/>
  <c r="V288" i="15"/>
  <c r="M288" i="15"/>
  <c r="AD288" i="15"/>
  <c r="U288" i="15"/>
  <c r="L288" i="15"/>
  <c r="AC288" i="15"/>
  <c r="T288" i="15"/>
  <c r="K288" i="15"/>
  <c r="I288" i="15"/>
  <c r="AB288" i="15"/>
  <c r="I289" i="15"/>
  <c r="AA289" i="15"/>
  <c r="Q293" i="15"/>
  <c r="AD294" i="15"/>
  <c r="V294" i="15"/>
  <c r="N294" i="15"/>
  <c r="AH294" i="15"/>
  <c r="Y294" i="15"/>
  <c r="P294" i="15"/>
  <c r="G294" i="15"/>
  <c r="AG294" i="15"/>
  <c r="X294" i="15"/>
  <c r="O294" i="15"/>
  <c r="AF294" i="15"/>
  <c r="W294" i="15"/>
  <c r="M294" i="15"/>
  <c r="AE294" i="15"/>
  <c r="U294" i="15"/>
  <c r="L294" i="15"/>
  <c r="J294" i="15"/>
  <c r="AB294" i="15"/>
  <c r="I295" i="15"/>
  <c r="AA295" i="15"/>
  <c r="P298" i="15"/>
  <c r="AH298" i="15"/>
  <c r="T300" i="15"/>
  <c r="S304" i="15"/>
  <c r="AF309" i="15"/>
  <c r="X309" i="15"/>
  <c r="P309" i="15"/>
  <c r="H309" i="15"/>
  <c r="AG309" i="15"/>
  <c r="W309" i="15"/>
  <c r="N309" i="15"/>
  <c r="AE309" i="15"/>
  <c r="V309" i="15"/>
  <c r="M309" i="15"/>
  <c r="AD309" i="15"/>
  <c r="U309" i="15"/>
  <c r="L309" i="15"/>
  <c r="AC309" i="15"/>
  <c r="T309" i="15"/>
  <c r="K309" i="15"/>
  <c r="J309" i="15"/>
  <c r="AB309" i="15"/>
  <c r="H310" i="15"/>
  <c r="Z310" i="15"/>
  <c r="U311" i="15"/>
  <c r="R315" i="15"/>
  <c r="AH320" i="15"/>
  <c r="Z320" i="15"/>
  <c r="R320" i="15"/>
  <c r="J320" i="15"/>
  <c r="AF320" i="15"/>
  <c r="W320" i="15"/>
  <c r="N320" i="15"/>
  <c r="AE320" i="15"/>
  <c r="V320" i="15"/>
  <c r="M320" i="15"/>
  <c r="AD320" i="15"/>
  <c r="U320" i="15"/>
  <c r="L320" i="15"/>
  <c r="AC320" i="15"/>
  <c r="T320" i="15"/>
  <c r="K320" i="15"/>
  <c r="I320" i="15"/>
  <c r="AB320" i="15"/>
  <c r="I321" i="15"/>
  <c r="AA321" i="15"/>
  <c r="S325" i="15"/>
  <c r="AB327" i="15"/>
  <c r="T327" i="15"/>
  <c r="L327" i="15"/>
  <c r="Z327" i="15"/>
  <c r="Q327" i="15"/>
  <c r="H327" i="15"/>
  <c r="AH327" i="15"/>
  <c r="Y327" i="15"/>
  <c r="P327" i="15"/>
  <c r="G327" i="15"/>
  <c r="AG327" i="15"/>
  <c r="X327" i="15"/>
  <c r="O327" i="15"/>
  <c r="AF327" i="15"/>
  <c r="W327" i="15"/>
  <c r="N327" i="15"/>
  <c r="K327" i="15"/>
  <c r="AD327" i="15"/>
  <c r="R330" i="15"/>
  <c r="H332" i="15"/>
  <c r="AA332" i="15"/>
  <c r="G336" i="15"/>
  <c r="Y336" i="15"/>
  <c r="T337" i="15"/>
  <c r="AD342" i="15"/>
  <c r="V342" i="15"/>
  <c r="N342" i="15"/>
  <c r="AH342" i="15"/>
  <c r="Y342" i="15"/>
  <c r="P342" i="15"/>
  <c r="G342" i="15"/>
  <c r="AG342" i="15"/>
  <c r="X342" i="15"/>
  <c r="O342" i="15"/>
  <c r="AF342" i="15"/>
  <c r="W342" i="15"/>
  <c r="M342" i="15"/>
  <c r="AE342" i="15"/>
  <c r="U342" i="15"/>
  <c r="L342" i="15"/>
  <c r="J342" i="15"/>
  <c r="AB342" i="15"/>
  <c r="I343" i="15"/>
  <c r="AA343" i="15"/>
  <c r="T348" i="15"/>
  <c r="S352" i="15"/>
  <c r="AF357" i="15"/>
  <c r="X357" i="15"/>
  <c r="P357" i="15"/>
  <c r="H357" i="15"/>
  <c r="AG357" i="15"/>
  <c r="W357" i="15"/>
  <c r="N357" i="15"/>
  <c r="AE357" i="15"/>
  <c r="V357" i="15"/>
  <c r="M357" i="15"/>
  <c r="AD357" i="15"/>
  <c r="U357" i="15"/>
  <c r="L357" i="15"/>
  <c r="AC357" i="15"/>
  <c r="T357" i="15"/>
  <c r="K357" i="15"/>
  <c r="J357" i="15"/>
  <c r="AB357" i="15"/>
  <c r="H358" i="15"/>
  <c r="Z358" i="15"/>
  <c r="U359" i="15"/>
  <c r="R363" i="15"/>
  <c r="AH368" i="15"/>
  <c r="Z368" i="15"/>
  <c r="R368" i="15"/>
  <c r="J368" i="15"/>
  <c r="AF368" i="15"/>
  <c r="W368" i="15"/>
  <c r="N368" i="15"/>
  <c r="AE368" i="15"/>
  <c r="V368" i="15"/>
  <c r="M368" i="15"/>
  <c r="AD368" i="15"/>
  <c r="U368" i="15"/>
  <c r="L368" i="15"/>
  <c r="AC368" i="15"/>
  <c r="T368" i="15"/>
  <c r="K368" i="15"/>
  <c r="I368" i="15"/>
  <c r="AB368" i="15"/>
  <c r="I369" i="15"/>
  <c r="AA369" i="15"/>
  <c r="Y373" i="15"/>
  <c r="R374" i="15"/>
  <c r="X378" i="15"/>
  <c r="U385" i="15"/>
  <c r="R389" i="15"/>
  <c r="Q394" i="15"/>
  <c r="AB395" i="15"/>
  <c r="T395" i="15"/>
  <c r="L395" i="15"/>
  <c r="AG395" i="15"/>
  <c r="X395" i="15"/>
  <c r="O395" i="15"/>
  <c r="AF395" i="15"/>
  <c r="W395" i="15"/>
  <c r="N395" i="15"/>
  <c r="AE395" i="15"/>
  <c r="V395" i="15"/>
  <c r="M395" i="15"/>
  <c r="AD395" i="15"/>
  <c r="U395" i="15"/>
  <c r="K395" i="15"/>
  <c r="I395" i="15"/>
  <c r="AA395" i="15"/>
  <c r="U396" i="15"/>
  <c r="X400" i="15"/>
  <c r="S401" i="15"/>
  <c r="V407" i="15"/>
  <c r="G411" i="15"/>
  <c r="Y411" i="15"/>
  <c r="S412" i="15"/>
  <c r="Y421" i="15"/>
  <c r="R422" i="15"/>
  <c r="Q426" i="15"/>
  <c r="AB427" i="15"/>
  <c r="T427" i="15"/>
  <c r="L427" i="15"/>
  <c r="AG427" i="15"/>
  <c r="X427" i="15"/>
  <c r="O427" i="15"/>
  <c r="AF427" i="15"/>
  <c r="W427" i="15"/>
  <c r="N427" i="15"/>
  <c r="AE427" i="15"/>
  <c r="V427" i="15"/>
  <c r="M427" i="15"/>
  <c r="AD427" i="15"/>
  <c r="U427" i="15"/>
  <c r="K427" i="15"/>
  <c r="I427" i="15"/>
  <c r="AA427" i="15"/>
  <c r="U428" i="15"/>
  <c r="X432" i="15"/>
  <c r="S433" i="15"/>
  <c r="V439" i="15"/>
  <c r="G443" i="15"/>
  <c r="Y443" i="15"/>
  <c r="S444" i="15"/>
  <c r="AF449" i="15"/>
  <c r="X449" i="15"/>
  <c r="P449" i="15"/>
  <c r="H449" i="15"/>
  <c r="Z449" i="15"/>
  <c r="Q449" i="15"/>
  <c r="G449" i="15"/>
  <c r="AH449" i="15"/>
  <c r="Y449" i="15"/>
  <c r="O449" i="15"/>
  <c r="AG449" i="15"/>
  <c r="W449" i="15"/>
  <c r="N449" i="15"/>
  <c r="AE449" i="15"/>
  <c r="V449" i="15"/>
  <c r="M449" i="15"/>
  <c r="K449" i="15"/>
  <c r="AC449" i="15"/>
  <c r="G453" i="15"/>
  <c r="Z453" i="15"/>
  <c r="S454" i="15"/>
  <c r="R455" i="15"/>
  <c r="G458" i="15"/>
  <c r="Y458" i="15"/>
  <c r="Q459" i="15"/>
  <c r="AH460" i="15"/>
  <c r="Z460" i="15"/>
  <c r="R460" i="15"/>
  <c r="J460" i="15"/>
  <c r="Y460" i="15"/>
  <c r="P460" i="15"/>
  <c r="G460" i="15"/>
  <c r="AG460" i="15"/>
  <c r="X460" i="15"/>
  <c r="O460" i="15"/>
  <c r="AF460" i="15"/>
  <c r="W460" i="15"/>
  <c r="N460" i="15"/>
  <c r="AE460" i="15"/>
  <c r="V460" i="15"/>
  <c r="M460" i="15"/>
  <c r="K460" i="15"/>
  <c r="AC460" i="15"/>
  <c r="AH464" i="15"/>
  <c r="Z464" i="15"/>
  <c r="R464" i="15"/>
  <c r="J464" i="15"/>
  <c r="AF464" i="15"/>
  <c r="W464" i="15"/>
  <c r="N464" i="15"/>
  <c r="AE464" i="15"/>
  <c r="V464" i="15"/>
  <c r="M464" i="15"/>
  <c r="AD464" i="15"/>
  <c r="U464" i="15"/>
  <c r="L464" i="15"/>
  <c r="AC464" i="15"/>
  <c r="T464" i="15"/>
  <c r="K464" i="15"/>
  <c r="I464" i="15"/>
  <c r="AB464" i="15"/>
  <c r="I465" i="15"/>
  <c r="AA465" i="15"/>
  <c r="R469" i="15"/>
  <c r="K470" i="15"/>
  <c r="AC470" i="15"/>
  <c r="X474" i="15"/>
  <c r="P475" i="15"/>
  <c r="AH475" i="15"/>
  <c r="O480" i="15"/>
  <c r="AG480" i="15"/>
  <c r="R485" i="15"/>
  <c r="K486" i="15"/>
  <c r="AC486" i="15"/>
  <c r="X490" i="15"/>
  <c r="P491" i="15"/>
  <c r="AH491" i="15"/>
  <c r="O496" i="15"/>
  <c r="AG496" i="15"/>
  <c r="S501" i="15"/>
  <c r="Q502" i="15"/>
  <c r="AB503" i="15"/>
  <c r="T503" i="15"/>
  <c r="L503" i="15"/>
  <c r="Z503" i="15"/>
  <c r="Q503" i="15"/>
  <c r="H503" i="15"/>
  <c r="AH503" i="15"/>
  <c r="Y503" i="15"/>
  <c r="P503" i="15"/>
  <c r="G503" i="15"/>
  <c r="AG503" i="15"/>
  <c r="X503" i="15"/>
  <c r="O503" i="15"/>
  <c r="AF503" i="15"/>
  <c r="W503" i="15"/>
  <c r="N503" i="15"/>
  <c r="K503" i="15"/>
  <c r="AD503" i="15"/>
  <c r="G506" i="15"/>
  <c r="Y506" i="15"/>
  <c r="Q507" i="15"/>
  <c r="AH508" i="15"/>
  <c r="Z508" i="15"/>
  <c r="R508" i="15"/>
  <c r="J508" i="15"/>
  <c r="Y508" i="15"/>
  <c r="P508" i="15"/>
  <c r="G508" i="15"/>
  <c r="AG508" i="15"/>
  <c r="X508" i="15"/>
  <c r="O508" i="15"/>
  <c r="AF508" i="15"/>
  <c r="W508" i="15"/>
  <c r="N508" i="15"/>
  <c r="AE508" i="15"/>
  <c r="V508" i="15"/>
  <c r="M508" i="15"/>
  <c r="K508" i="15"/>
  <c r="AC508" i="15"/>
  <c r="X512" i="15"/>
  <c r="S513" i="15"/>
  <c r="T518" i="15"/>
  <c r="S519" i="15"/>
  <c r="R523" i="15"/>
  <c r="L524" i="15"/>
  <c r="AD524" i="15"/>
  <c r="O528" i="15"/>
  <c r="AG528" i="15"/>
  <c r="Y533" i="15"/>
  <c r="R534" i="15"/>
  <c r="M535" i="15"/>
  <c r="AE535" i="15"/>
  <c r="X538" i="15"/>
  <c r="P539" i="15"/>
  <c r="AH539" i="15"/>
  <c r="U545" i="15"/>
  <c r="G549" i="15"/>
  <c r="Z549" i="15"/>
  <c r="S550" i="15"/>
  <c r="R551" i="15"/>
  <c r="G554" i="15"/>
  <c r="Y554" i="15"/>
  <c r="Q555" i="15"/>
  <c r="AH556" i="15"/>
  <c r="Z556" i="15"/>
  <c r="R556" i="15"/>
  <c r="J556" i="15"/>
  <c r="Y556" i="15"/>
  <c r="P556" i="15"/>
  <c r="G556" i="15"/>
  <c r="AG556" i="15"/>
  <c r="X556" i="15"/>
  <c r="O556" i="15"/>
  <c r="AF556" i="15"/>
  <c r="W556" i="15"/>
  <c r="N556" i="15"/>
  <c r="AE556" i="15"/>
  <c r="V556" i="15"/>
  <c r="M556" i="15"/>
  <c r="K556" i="15"/>
  <c r="AC556" i="15"/>
  <c r="AH560" i="15"/>
  <c r="Z560" i="15"/>
  <c r="R560" i="15"/>
  <c r="J560" i="15"/>
  <c r="AF560" i="15"/>
  <c r="W560" i="15"/>
  <c r="N560" i="15"/>
  <c r="AE560" i="15"/>
  <c r="V560" i="15"/>
  <c r="M560" i="15"/>
  <c r="AD560" i="15"/>
  <c r="U560" i="15"/>
  <c r="L560" i="15"/>
  <c r="AC560" i="15"/>
  <c r="T560" i="15"/>
  <c r="K560" i="15"/>
  <c r="I560" i="15"/>
  <c r="AB560" i="15"/>
  <c r="I561" i="15"/>
  <c r="AA561" i="15"/>
  <c r="S565" i="15"/>
  <c r="Q566" i="15"/>
  <c r="AB567" i="15"/>
  <c r="T567" i="15"/>
  <c r="L567" i="15"/>
  <c r="Z567" i="15"/>
  <c r="Q567" i="15"/>
  <c r="H567" i="15"/>
  <c r="AH567" i="15"/>
  <c r="Y567" i="15"/>
  <c r="P567" i="15"/>
  <c r="G567" i="15"/>
  <c r="AG567" i="15"/>
  <c r="X567" i="15"/>
  <c r="O567" i="15"/>
  <c r="AF567" i="15"/>
  <c r="W567" i="15"/>
  <c r="N567" i="15"/>
  <c r="K567" i="15"/>
  <c r="AD567" i="15"/>
  <c r="R570" i="15"/>
  <c r="J571" i="15"/>
  <c r="AC571" i="15"/>
  <c r="H572" i="15"/>
  <c r="AA572" i="15"/>
  <c r="G576" i="15"/>
  <c r="Y576" i="15"/>
  <c r="T577" i="15"/>
  <c r="AF581" i="15"/>
  <c r="X581" i="15"/>
  <c r="P581" i="15"/>
  <c r="H581" i="15"/>
  <c r="AG581" i="15"/>
  <c r="W581" i="15"/>
  <c r="N581" i="15"/>
  <c r="AE581" i="15"/>
  <c r="V581" i="15"/>
  <c r="M581" i="15"/>
  <c r="AD581" i="15"/>
  <c r="U581" i="15"/>
  <c r="L581" i="15"/>
  <c r="AC581" i="15"/>
  <c r="T581" i="15"/>
  <c r="K581" i="15"/>
  <c r="J581" i="15"/>
  <c r="AB581" i="15"/>
  <c r="H582" i="15"/>
  <c r="Z582" i="15"/>
  <c r="U583" i="15"/>
  <c r="X586" i="15"/>
  <c r="S592" i="15"/>
  <c r="T598" i="15"/>
  <c r="S599" i="15"/>
  <c r="R602" i="15"/>
  <c r="H604" i="15"/>
  <c r="AA604" i="15"/>
  <c r="Q608" i="15"/>
  <c r="AF613" i="15"/>
  <c r="X613" i="15"/>
  <c r="P613" i="15"/>
  <c r="H613" i="15"/>
  <c r="AG613" i="15"/>
  <c r="W613" i="15"/>
  <c r="N613" i="15"/>
  <c r="AE613" i="15"/>
  <c r="V613" i="15"/>
  <c r="M613" i="15"/>
  <c r="AD613" i="15"/>
  <c r="U613" i="15"/>
  <c r="L613" i="15"/>
  <c r="AC613" i="15"/>
  <c r="T613" i="15"/>
  <c r="K613" i="15"/>
  <c r="J613" i="15"/>
  <c r="AB613" i="15"/>
  <c r="H614" i="15"/>
  <c r="Z614" i="15"/>
  <c r="U615" i="15"/>
  <c r="X618" i="15"/>
  <c r="S624" i="15"/>
  <c r="AD630" i="15"/>
  <c r="V630" i="15"/>
  <c r="N630" i="15"/>
  <c r="AH630" i="15"/>
  <c r="Y630" i="15"/>
  <c r="P630" i="15"/>
  <c r="G630" i="15"/>
  <c r="AG630" i="15"/>
  <c r="X630" i="15"/>
  <c r="O630" i="15"/>
  <c r="AF630" i="15"/>
  <c r="W630" i="15"/>
  <c r="M630" i="15"/>
  <c r="AE630" i="15"/>
  <c r="U630" i="15"/>
  <c r="L630" i="15"/>
  <c r="J630" i="15"/>
  <c r="AB630" i="15"/>
  <c r="I631" i="15"/>
  <c r="AA631" i="15"/>
  <c r="R635" i="15"/>
  <c r="L636" i="15"/>
  <c r="AD636" i="15"/>
  <c r="O640" i="15"/>
  <c r="AG640" i="15"/>
  <c r="R645" i="15"/>
  <c r="K646" i="15"/>
  <c r="AC646" i="15"/>
  <c r="AD650" i="15"/>
  <c r="V650" i="15"/>
  <c r="N650" i="15"/>
  <c r="AF650" i="15"/>
  <c r="W650" i="15"/>
  <c r="M650" i="15"/>
  <c r="AE650" i="15"/>
  <c r="U650" i="15"/>
  <c r="L650" i="15"/>
  <c r="AC650" i="15"/>
  <c r="T650" i="15"/>
  <c r="K650" i="15"/>
  <c r="AB650" i="15"/>
  <c r="S650" i="15"/>
  <c r="J650" i="15"/>
  <c r="I650" i="15"/>
  <c r="AA650" i="15"/>
  <c r="S651" i="15"/>
  <c r="Q652" i="15"/>
  <c r="O656" i="15"/>
  <c r="AG656" i="15"/>
  <c r="R661" i="15"/>
  <c r="K662" i="15"/>
  <c r="AC662" i="15"/>
  <c r="Q666" i="15"/>
  <c r="AB667" i="15"/>
  <c r="T667" i="15"/>
  <c r="L667" i="15"/>
  <c r="AG667" i="15"/>
  <c r="X667" i="15"/>
  <c r="O667" i="15"/>
  <c r="AF667" i="15"/>
  <c r="W667" i="15"/>
  <c r="N667" i="15"/>
  <c r="AE667" i="15"/>
  <c r="V667" i="15"/>
  <c r="M667" i="15"/>
  <c r="AD667" i="15"/>
  <c r="U667" i="15"/>
  <c r="K667" i="15"/>
  <c r="I667" i="15"/>
  <c r="AA667" i="15"/>
  <c r="U668" i="15"/>
  <c r="X672" i="15"/>
  <c r="S673" i="15"/>
  <c r="AF677" i="15"/>
  <c r="X677" i="15"/>
  <c r="P677" i="15"/>
  <c r="H677" i="15"/>
  <c r="AG677" i="15"/>
  <c r="W677" i="15"/>
  <c r="N677" i="15"/>
  <c r="AE677" i="15"/>
  <c r="V677" i="15"/>
  <c r="M677" i="15"/>
  <c r="AD677" i="15"/>
  <c r="U677" i="15"/>
  <c r="L677" i="15"/>
  <c r="AC677" i="15"/>
  <c r="T677" i="15"/>
  <c r="K677" i="15"/>
  <c r="J677" i="15"/>
  <c r="AB677" i="15"/>
  <c r="H678" i="15"/>
  <c r="Z678" i="15"/>
  <c r="U679" i="15"/>
  <c r="AD682" i="15"/>
  <c r="V682" i="15"/>
  <c r="N682" i="15"/>
  <c r="AF682" i="15"/>
  <c r="W682" i="15"/>
  <c r="M682" i="15"/>
  <c r="AE682" i="15"/>
  <c r="U682" i="15"/>
  <c r="L682" i="15"/>
  <c r="AC682" i="15"/>
  <c r="T682" i="15"/>
  <c r="K682" i="15"/>
  <c r="AB682" i="15"/>
  <c r="S682" i="15"/>
  <c r="J682" i="15"/>
  <c r="I682" i="15"/>
  <c r="AA682" i="15"/>
  <c r="S683" i="15"/>
  <c r="Q684" i="15"/>
  <c r="AH688" i="15"/>
  <c r="Z688" i="15"/>
  <c r="R688" i="15"/>
  <c r="J688" i="15"/>
  <c r="AF688" i="15"/>
  <c r="W688" i="15"/>
  <c r="N688" i="15"/>
  <c r="AE688" i="15"/>
  <c r="V688" i="15"/>
  <c r="M688" i="15"/>
  <c r="AD688" i="15"/>
  <c r="U688" i="15"/>
  <c r="L688" i="15"/>
  <c r="AC688" i="15"/>
  <c r="T688" i="15"/>
  <c r="K688" i="15"/>
  <c r="I688" i="15"/>
  <c r="AB688" i="15"/>
  <c r="I689" i="15"/>
  <c r="AA689" i="15"/>
  <c r="S693" i="15"/>
  <c r="Q694" i="15"/>
  <c r="AB695" i="15"/>
  <c r="T695" i="15"/>
  <c r="L695" i="15"/>
  <c r="Z695" i="15"/>
  <c r="Q695" i="15"/>
  <c r="H695" i="15"/>
  <c r="AH695" i="15"/>
  <c r="Y695" i="15"/>
  <c r="P695" i="15"/>
  <c r="G695" i="15"/>
  <c r="AG695" i="15"/>
  <c r="X695" i="15"/>
  <c r="O695" i="15"/>
  <c r="AF695" i="15"/>
  <c r="W695" i="15"/>
  <c r="N695" i="15"/>
  <c r="K695" i="15"/>
  <c r="AD695" i="15"/>
  <c r="R698" i="15"/>
  <c r="J699" i="15"/>
  <c r="AC699" i="15"/>
  <c r="H700" i="15"/>
  <c r="AA700" i="15"/>
  <c r="P704" i="15"/>
  <c r="AF705" i="15"/>
  <c r="X705" i="15"/>
  <c r="P705" i="15"/>
  <c r="H705" i="15"/>
  <c r="Z705" i="15"/>
  <c r="Q705" i="15"/>
  <c r="G705" i="15"/>
  <c r="AH705" i="15"/>
  <c r="Y705" i="15"/>
  <c r="O705" i="15"/>
  <c r="AG705" i="15"/>
  <c r="W705" i="15"/>
  <c r="N705" i="15"/>
  <c r="AE705" i="15"/>
  <c r="V705" i="15"/>
  <c r="M705" i="15"/>
  <c r="K705" i="15"/>
  <c r="AC705" i="15"/>
  <c r="R709" i="15"/>
  <c r="K710" i="15"/>
  <c r="AC710" i="15"/>
  <c r="Q714" i="15"/>
  <c r="AB715" i="15"/>
  <c r="T715" i="15"/>
  <c r="L715" i="15"/>
  <c r="AG715" i="15"/>
  <c r="X715" i="15"/>
  <c r="O715" i="15"/>
  <c r="AF715" i="15"/>
  <c r="W715" i="15"/>
  <c r="N715" i="15"/>
  <c r="AE715" i="15"/>
  <c r="V715" i="15"/>
  <c r="M715" i="15"/>
  <c r="AD715" i="15"/>
  <c r="U715" i="15"/>
  <c r="K715" i="15"/>
  <c r="I715" i="15"/>
  <c r="AA715" i="15"/>
  <c r="U716" i="15"/>
  <c r="Q720" i="15"/>
  <c r="L721" i="15"/>
  <c r="AD721" i="15"/>
  <c r="T726" i="15"/>
  <c r="S727" i="15"/>
  <c r="R731" i="15"/>
  <c r="L732" i="15"/>
  <c r="AD732" i="15"/>
  <c r="O736" i="15"/>
  <c r="AG736" i="15"/>
  <c r="Q741" i="15"/>
  <c r="AD742" i="15"/>
  <c r="V742" i="15"/>
  <c r="N742" i="15"/>
  <c r="AH742" i="15"/>
  <c r="Y742" i="15"/>
  <c r="P742" i="15"/>
  <c r="G742" i="15"/>
  <c r="AG742" i="15"/>
  <c r="X742" i="15"/>
  <c r="O742" i="15"/>
  <c r="AF742" i="15"/>
  <c r="W742" i="15"/>
  <c r="M742" i="15"/>
  <c r="AE742" i="15"/>
  <c r="U742" i="15"/>
  <c r="L742" i="15"/>
  <c r="J742" i="15"/>
  <c r="AB742" i="15"/>
  <c r="I743" i="15"/>
  <c r="AE743" i="15"/>
  <c r="T746" i="15"/>
  <c r="N748" i="15"/>
  <c r="AH749" i="15"/>
  <c r="Z749" i="15"/>
  <c r="R749" i="15"/>
  <c r="J749" i="15"/>
  <c r="AF749" i="15"/>
  <c r="X749" i="15"/>
  <c r="P749" i="15"/>
  <c r="H749" i="15"/>
  <c r="AA749" i="15"/>
  <c r="O749" i="15"/>
  <c r="Y749" i="15"/>
  <c r="N749" i="15"/>
  <c r="W749" i="15"/>
  <c r="M749" i="15"/>
  <c r="AG749" i="15"/>
  <c r="V749" i="15"/>
  <c r="L749" i="15"/>
  <c r="K749" i="15"/>
  <c r="AE749" i="15"/>
  <c r="X751" i="15"/>
  <c r="S754" i="15"/>
  <c r="AB756" i="15"/>
  <c r="T756" i="15"/>
  <c r="L756" i="15"/>
  <c r="AH756" i="15"/>
  <c r="Z756" i="15"/>
  <c r="R756" i="15"/>
  <c r="J756" i="15"/>
  <c r="AD756" i="15"/>
  <c r="S756" i="15"/>
  <c r="H756" i="15"/>
  <c r="AC756" i="15"/>
  <c r="Q756" i="15"/>
  <c r="G756" i="15"/>
  <c r="AA756" i="15"/>
  <c r="P756" i="15"/>
  <c r="Y756" i="15"/>
  <c r="O756" i="15"/>
  <c r="M756" i="15"/>
  <c r="AG756" i="15"/>
  <c r="W759" i="15"/>
  <c r="L762" i="15"/>
  <c r="AH762" i="15"/>
  <c r="G765" i="15"/>
  <c r="AC765" i="15"/>
  <c r="U767" i="15"/>
  <c r="AF770" i="15"/>
  <c r="X770" i="15"/>
  <c r="P770" i="15"/>
  <c r="H770" i="15"/>
  <c r="AD770" i="15"/>
  <c r="V770" i="15"/>
  <c r="N770" i="15"/>
  <c r="AB770" i="15"/>
  <c r="R770" i="15"/>
  <c r="G770" i="15"/>
  <c r="AA770" i="15"/>
  <c r="Q770" i="15"/>
  <c r="Z770" i="15"/>
  <c r="O770" i="15"/>
  <c r="Y770" i="15"/>
  <c r="M770" i="15"/>
  <c r="K770" i="15"/>
  <c r="AG770" i="15"/>
  <c r="I772" i="15"/>
  <c r="AE772" i="15"/>
  <c r="AB773" i="15"/>
  <c r="S775" i="15"/>
  <c r="X780" i="15"/>
  <c r="U781" i="15"/>
  <c r="M783" i="15"/>
  <c r="AH783" i="15"/>
  <c r="I786" i="15"/>
  <c r="AC786" i="15"/>
  <c r="W788" i="15"/>
  <c r="T789" i="15"/>
  <c r="AD791" i="15"/>
  <c r="V791" i="15"/>
  <c r="N791" i="15"/>
  <c r="AB791" i="15"/>
  <c r="T791" i="15"/>
  <c r="L791" i="15"/>
  <c r="AC791" i="15"/>
  <c r="R791" i="15"/>
  <c r="H791" i="15"/>
  <c r="AA791" i="15"/>
  <c r="Q791" i="15"/>
  <c r="G791" i="15"/>
  <c r="Z791" i="15"/>
  <c r="P791" i="15"/>
  <c r="Y791" i="15"/>
  <c r="O791" i="15"/>
  <c r="K791" i="15"/>
  <c r="AG791" i="15"/>
  <c r="W794" i="15"/>
  <c r="V796" i="15"/>
  <c r="S797" i="15"/>
  <c r="U802" i="15"/>
  <c r="U804" i="15"/>
  <c r="I807" i="15"/>
  <c r="AE807" i="15"/>
  <c r="T810" i="15"/>
  <c r="N812" i="15"/>
  <c r="AH813" i="15"/>
  <c r="Z813" i="15"/>
  <c r="R813" i="15"/>
  <c r="J813" i="15"/>
  <c r="AF813" i="15"/>
  <c r="X813" i="15"/>
  <c r="P813" i="15"/>
  <c r="H813" i="15"/>
  <c r="AA813" i="15"/>
  <c r="O813" i="15"/>
  <c r="Y813" i="15"/>
  <c r="N813" i="15"/>
  <c r="W813" i="15"/>
  <c r="M813" i="15"/>
  <c r="AG813" i="15"/>
  <c r="V813" i="15"/>
  <c r="L813" i="15"/>
  <c r="K813" i="15"/>
  <c r="AE813" i="15"/>
  <c r="X815" i="15"/>
  <c r="S818" i="15"/>
  <c r="AB820" i="15"/>
  <c r="T820" i="15"/>
  <c r="L820" i="15"/>
  <c r="AH820" i="15"/>
  <c r="Z820" i="15"/>
  <c r="R820" i="15"/>
  <c r="J820" i="15"/>
  <c r="AD820" i="15"/>
  <c r="S820" i="15"/>
  <c r="H820" i="15"/>
  <c r="AC820" i="15"/>
  <c r="Q820" i="15"/>
  <c r="G820" i="15"/>
  <c r="AA820" i="15"/>
  <c r="P820" i="15"/>
  <c r="Y820" i="15"/>
  <c r="O820" i="15"/>
  <c r="M820" i="15"/>
  <c r="AG820" i="15"/>
  <c r="W823" i="15"/>
  <c r="L826" i="15"/>
  <c r="AH826" i="15"/>
  <c r="G829" i="15"/>
  <c r="AC829" i="15"/>
  <c r="M831" i="15"/>
  <c r="AH831" i="15"/>
  <c r="I834" i="15"/>
  <c r="AC834" i="15"/>
  <c r="W836" i="15"/>
  <c r="T837" i="15"/>
  <c r="AD839" i="15"/>
  <c r="V839" i="15"/>
  <c r="N839" i="15"/>
  <c r="AB839" i="15"/>
  <c r="T839" i="15"/>
  <c r="L839" i="15"/>
  <c r="AC839" i="15"/>
  <c r="R839" i="15"/>
  <c r="H839" i="15"/>
  <c r="AA839" i="15"/>
  <c r="Q839" i="15"/>
  <c r="G839" i="15"/>
  <c r="Z839" i="15"/>
  <c r="P839" i="15"/>
  <c r="Y839" i="15"/>
  <c r="O839" i="15"/>
  <c r="K839" i="15"/>
  <c r="AG839" i="15"/>
  <c r="W842" i="15"/>
  <c r="V844" i="15"/>
  <c r="S845" i="15"/>
  <c r="T850" i="15"/>
  <c r="N852" i="15"/>
  <c r="AH853" i="15"/>
  <c r="Z853" i="15"/>
  <c r="R853" i="15"/>
  <c r="J853" i="15"/>
  <c r="AF853" i="15"/>
  <c r="X853" i="15"/>
  <c r="P853" i="15"/>
  <c r="H853" i="15"/>
  <c r="AA853" i="15"/>
  <c r="O853" i="15"/>
  <c r="Y853" i="15"/>
  <c r="N853" i="15"/>
  <c r="W853" i="15"/>
  <c r="M853" i="15"/>
  <c r="AG853" i="15"/>
  <c r="V853" i="15"/>
  <c r="L853" i="15"/>
  <c r="K853" i="15"/>
  <c r="AE853" i="15"/>
  <c r="X855" i="15"/>
  <c r="S858" i="15"/>
  <c r="AB860" i="15"/>
  <c r="T860" i="15"/>
  <c r="L860" i="15"/>
  <c r="AH860" i="15"/>
  <c r="Z860" i="15"/>
  <c r="R860" i="15"/>
  <c r="J860" i="15"/>
  <c r="AD860" i="15"/>
  <c r="S860" i="15"/>
  <c r="H860" i="15"/>
  <c r="AC860" i="15"/>
  <c r="Q860" i="15"/>
  <c r="G860" i="15"/>
  <c r="AA860" i="15"/>
  <c r="P860" i="15"/>
  <c r="Y860" i="15"/>
  <c r="O860" i="15"/>
  <c r="M860" i="15"/>
  <c r="AG860" i="15"/>
  <c r="W863" i="15"/>
  <c r="L866" i="15"/>
  <c r="AH866" i="15"/>
  <c r="G869" i="15"/>
  <c r="AC869" i="15"/>
  <c r="U871" i="15"/>
  <c r="AF874" i="15"/>
  <c r="X874" i="15"/>
  <c r="P874" i="15"/>
  <c r="H874" i="15"/>
  <c r="AD874" i="15"/>
  <c r="V874" i="15"/>
  <c r="N874" i="15"/>
  <c r="AB874" i="15"/>
  <c r="R874" i="15"/>
  <c r="G874" i="15"/>
  <c r="AA874" i="15"/>
  <c r="Q874" i="15"/>
  <c r="Z874" i="15"/>
  <c r="O874" i="15"/>
  <c r="Y874" i="15"/>
  <c r="M874" i="15"/>
  <c r="K874" i="15"/>
  <c r="AG874" i="15"/>
  <c r="I876" i="15"/>
  <c r="AE876" i="15"/>
  <c r="AB877" i="15"/>
  <c r="S879" i="15"/>
  <c r="X884" i="15"/>
  <c r="U885" i="15"/>
  <c r="M887" i="15"/>
  <c r="AH887" i="15"/>
  <c r="I890" i="15"/>
  <c r="AC890" i="15"/>
  <c r="W892" i="15"/>
  <c r="T893" i="15"/>
  <c r="AD895" i="15"/>
  <c r="V895" i="15"/>
  <c r="N895" i="15"/>
  <c r="AB895" i="15"/>
  <c r="T895" i="15"/>
  <c r="L895" i="15"/>
  <c r="AC895" i="15"/>
  <c r="R895" i="15"/>
  <c r="H895" i="15"/>
  <c r="AA895" i="15"/>
  <c r="Q895" i="15"/>
  <c r="G895" i="15"/>
  <c r="Z895" i="15"/>
  <c r="P895" i="15"/>
  <c r="Y895" i="15"/>
  <c r="O895" i="15"/>
  <c r="K895" i="15"/>
  <c r="AG895" i="15"/>
  <c r="S898" i="15"/>
  <c r="AB900" i="15"/>
  <c r="T900" i="15"/>
  <c r="L900" i="15"/>
  <c r="AH900" i="15"/>
  <c r="Z900" i="15"/>
  <c r="R900" i="15"/>
  <c r="J900" i="15"/>
  <c r="AD900" i="15"/>
  <c r="S900" i="15"/>
  <c r="H900" i="15"/>
  <c r="AC900" i="15"/>
  <c r="Q900" i="15"/>
  <c r="G900" i="15"/>
  <c r="AA900" i="15"/>
  <c r="P900" i="15"/>
  <c r="Y900" i="15"/>
  <c r="O900" i="15"/>
  <c r="M900" i="15"/>
  <c r="AG900" i="15"/>
  <c r="W903" i="15"/>
  <c r="I906" i="15"/>
  <c r="AC906" i="15"/>
  <c r="W908" i="15"/>
  <c r="T909" i="15"/>
  <c r="AD911" i="15"/>
  <c r="V911" i="15"/>
  <c r="N911" i="15"/>
  <c r="AB911" i="15"/>
  <c r="T911" i="15"/>
  <c r="L911" i="15"/>
  <c r="AC911" i="15"/>
  <c r="R911" i="15"/>
  <c r="H911" i="15"/>
  <c r="AA911" i="15"/>
  <c r="Q911" i="15"/>
  <c r="G911" i="15"/>
  <c r="Z911" i="15"/>
  <c r="P911" i="15"/>
  <c r="Y911" i="15"/>
  <c r="O911" i="15"/>
  <c r="K911" i="15"/>
  <c r="AG911" i="15"/>
  <c r="S914" i="15"/>
  <c r="AB916" i="15"/>
  <c r="T916" i="15"/>
  <c r="L916" i="15"/>
  <c r="AH916" i="15"/>
  <c r="Z916" i="15"/>
  <c r="R916" i="15"/>
  <c r="J916" i="15"/>
  <c r="AD916" i="15"/>
  <c r="S916" i="15"/>
  <c r="H916" i="15"/>
  <c r="AC916" i="15"/>
  <c r="Q916" i="15"/>
  <c r="G916" i="15"/>
  <c r="AA916" i="15"/>
  <c r="P916" i="15"/>
  <c r="Y916" i="15"/>
  <c r="O916" i="15"/>
  <c r="M916" i="15"/>
  <c r="AG916" i="15"/>
  <c r="W919" i="15"/>
  <c r="I922" i="15"/>
  <c r="AC922" i="15"/>
  <c r="W924" i="15"/>
  <c r="T925" i="15"/>
  <c r="AD927" i="15"/>
  <c r="V927" i="15"/>
  <c r="N927" i="15"/>
  <c r="AB927" i="15"/>
  <c r="T927" i="15"/>
  <c r="L927" i="15"/>
  <c r="AC927" i="15"/>
  <c r="R927" i="15"/>
  <c r="H927" i="15"/>
  <c r="AA927" i="15"/>
  <c r="Q927" i="15"/>
  <c r="G927" i="15"/>
  <c r="Z927" i="15"/>
  <c r="P927" i="15"/>
  <c r="Y927" i="15"/>
  <c r="O927" i="15"/>
  <c r="K927" i="15"/>
  <c r="AG927" i="15"/>
  <c r="S930" i="15"/>
  <c r="AB932" i="15"/>
  <c r="T932" i="15"/>
  <c r="L932" i="15"/>
  <c r="AH932" i="15"/>
  <c r="Z932" i="15"/>
  <c r="R932" i="15"/>
  <c r="J932" i="15"/>
  <c r="AD932" i="15"/>
  <c r="S932" i="15"/>
  <c r="H932" i="15"/>
  <c r="AC932" i="15"/>
  <c r="Q932" i="15"/>
  <c r="G932" i="15"/>
  <c r="AA932" i="15"/>
  <c r="P932" i="15"/>
  <c r="Y932" i="15"/>
  <c r="O932" i="15"/>
  <c r="M932" i="15"/>
  <c r="AG932" i="15"/>
  <c r="W935" i="15"/>
  <c r="I938" i="15"/>
  <c r="AC938" i="15"/>
  <c r="W940" i="15"/>
  <c r="T941" i="15"/>
  <c r="AD943" i="15"/>
  <c r="V943" i="15"/>
  <c r="N943" i="15"/>
  <c r="AB943" i="15"/>
  <c r="T943" i="15"/>
  <c r="L943" i="15"/>
  <c r="AC943" i="15"/>
  <c r="R943" i="15"/>
  <c r="H943" i="15"/>
  <c r="AA943" i="15"/>
  <c r="Q943" i="15"/>
  <c r="G943" i="15"/>
  <c r="Z943" i="15"/>
  <c r="P943" i="15"/>
  <c r="Y943" i="15"/>
  <c r="O943" i="15"/>
  <c r="K943" i="15"/>
  <c r="AG943" i="15"/>
  <c r="S946" i="15"/>
  <c r="AB948" i="15"/>
  <c r="T948" i="15"/>
  <c r="L948" i="15"/>
  <c r="AH948" i="15"/>
  <c r="Z948" i="15"/>
  <c r="R948" i="15"/>
  <c r="J948" i="15"/>
  <c r="AD948" i="15"/>
  <c r="S948" i="15"/>
  <c r="H948" i="15"/>
  <c r="AC948" i="15"/>
  <c r="Q948" i="15"/>
  <c r="G948" i="15"/>
  <c r="AA948" i="15"/>
  <c r="P948" i="15"/>
  <c r="Y948" i="15"/>
  <c r="O948" i="15"/>
  <c r="M948" i="15"/>
  <c r="AG948" i="15"/>
  <c r="W951" i="15"/>
  <c r="L954" i="15"/>
  <c r="AH954" i="15"/>
  <c r="G957" i="15"/>
  <c r="AC957" i="15"/>
  <c r="U959" i="15"/>
  <c r="AF962" i="15"/>
  <c r="X962" i="15"/>
  <c r="P962" i="15"/>
  <c r="H962" i="15"/>
  <c r="AD962" i="15"/>
  <c r="V962" i="15"/>
  <c r="N962" i="15"/>
  <c r="AB962" i="15"/>
  <c r="R962" i="15"/>
  <c r="G962" i="15"/>
  <c r="AA962" i="15"/>
  <c r="Q962" i="15"/>
  <c r="Z962" i="15"/>
  <c r="O962" i="15"/>
  <c r="Y962" i="15"/>
  <c r="M962" i="15"/>
  <c r="K962" i="15"/>
  <c r="AG962" i="15"/>
  <c r="I964" i="15"/>
  <c r="AE964" i="15"/>
  <c r="AB965" i="15"/>
  <c r="S967" i="15"/>
  <c r="X972" i="15"/>
  <c r="U973" i="15"/>
  <c r="M975" i="15"/>
  <c r="AH975" i="15"/>
  <c r="U978" i="15"/>
  <c r="I983" i="15"/>
  <c r="AE983" i="15"/>
  <c r="AF986" i="15"/>
  <c r="X986" i="15"/>
  <c r="P986" i="15"/>
  <c r="H986" i="15"/>
  <c r="AD986" i="15"/>
  <c r="V986" i="15"/>
  <c r="N986" i="15"/>
  <c r="AB986" i="15"/>
  <c r="R986" i="15"/>
  <c r="G986" i="15"/>
  <c r="AA986" i="15"/>
  <c r="Q986" i="15"/>
  <c r="Z986" i="15"/>
  <c r="O986" i="15"/>
  <c r="Y986" i="15"/>
  <c r="M986" i="15"/>
  <c r="K986" i="15"/>
  <c r="AG986" i="15"/>
  <c r="I988" i="15"/>
  <c r="AE988" i="15"/>
  <c r="AB989" i="15"/>
  <c r="S991" i="15"/>
  <c r="I994" i="15"/>
  <c r="AC994" i="15"/>
  <c r="W996" i="15"/>
  <c r="T997" i="15"/>
  <c r="AD999" i="15"/>
  <c r="V999" i="15"/>
  <c r="N999" i="15"/>
  <c r="AB999" i="15"/>
  <c r="T999" i="15"/>
  <c r="L999" i="15"/>
  <c r="AC999" i="15"/>
  <c r="R999" i="15"/>
  <c r="H999" i="15"/>
  <c r="AA999" i="15"/>
  <c r="Q999" i="15"/>
  <c r="G999" i="15"/>
  <c r="Z999" i="15"/>
  <c r="P999" i="15"/>
  <c r="Y999" i="15"/>
  <c r="O999" i="15"/>
  <c r="K999" i="15"/>
  <c r="AG999" i="15"/>
  <c r="W1002" i="15"/>
  <c r="V1004" i="15"/>
  <c r="S1005" i="15"/>
  <c r="I1007" i="15"/>
  <c r="AE1007" i="15"/>
  <c r="S1010" i="15"/>
  <c r="AB1012" i="15"/>
  <c r="T1012" i="15"/>
  <c r="L1012" i="15"/>
  <c r="AH1012" i="15"/>
  <c r="Z1012" i="15"/>
  <c r="R1012" i="15"/>
  <c r="J1012" i="15"/>
  <c r="AD1012" i="15"/>
  <c r="S1012" i="15"/>
  <c r="H1012" i="15"/>
  <c r="AC1012" i="15"/>
  <c r="Q1012" i="15"/>
  <c r="G1012" i="15"/>
  <c r="AA1012" i="15"/>
  <c r="P1012" i="15"/>
  <c r="Y1012" i="15"/>
  <c r="O1012" i="15"/>
  <c r="M1012" i="15"/>
  <c r="AG1012" i="15"/>
  <c r="W1015" i="15"/>
  <c r="W1018" i="15"/>
  <c r="V1020" i="15"/>
  <c r="S1021" i="15"/>
  <c r="I1026" i="15"/>
  <c r="AC1026" i="15"/>
  <c r="W1028" i="15"/>
  <c r="T1029" i="15"/>
  <c r="AD1031" i="15"/>
  <c r="V1031" i="15"/>
  <c r="N1031" i="15"/>
  <c r="AB1031" i="15"/>
  <c r="T1031" i="15"/>
  <c r="L1031" i="15"/>
  <c r="AC1031" i="15"/>
  <c r="R1031" i="15"/>
  <c r="H1031" i="15"/>
  <c r="AA1031" i="15"/>
  <c r="Q1031" i="15"/>
  <c r="G1031" i="15"/>
  <c r="Z1031" i="15"/>
  <c r="P1031" i="15"/>
  <c r="Y1031" i="15"/>
  <c r="O1031" i="15"/>
  <c r="K1031" i="15"/>
  <c r="AG1031" i="15"/>
  <c r="X1036" i="15"/>
  <c r="U1037" i="15"/>
  <c r="M1039" i="15"/>
  <c r="AH1039" i="15"/>
  <c r="AF1042" i="15"/>
  <c r="X1042" i="15"/>
  <c r="P1042" i="15"/>
  <c r="H1042" i="15"/>
  <c r="AD1042" i="15"/>
  <c r="V1042" i="15"/>
  <c r="N1042" i="15"/>
  <c r="AB1042" i="15"/>
  <c r="R1042" i="15"/>
  <c r="G1042" i="15"/>
  <c r="AA1042" i="15"/>
  <c r="Q1042" i="15"/>
  <c r="Z1042" i="15"/>
  <c r="O1042" i="15"/>
  <c r="Y1042" i="15"/>
  <c r="M1042" i="15"/>
  <c r="K1042" i="15"/>
  <c r="AG1042" i="15"/>
  <c r="I1044" i="15"/>
  <c r="AE1044" i="15"/>
  <c r="AB1045" i="15"/>
  <c r="S1047" i="15"/>
  <c r="L1050" i="15"/>
  <c r="AH1050" i="15"/>
  <c r="G1053" i="15"/>
  <c r="AC1053" i="15"/>
  <c r="U1055" i="15"/>
  <c r="S1058" i="15"/>
  <c r="AB1060" i="15"/>
  <c r="T1060" i="15"/>
  <c r="L1060" i="15"/>
  <c r="AH1060" i="15"/>
  <c r="Z1060" i="15"/>
  <c r="R1060" i="15"/>
  <c r="J1060" i="15"/>
  <c r="AD1060" i="15"/>
  <c r="S1060" i="15"/>
  <c r="H1060" i="15"/>
  <c r="AC1060" i="15"/>
  <c r="Q1060" i="15"/>
  <c r="G1060" i="15"/>
  <c r="AA1060" i="15"/>
  <c r="P1060" i="15"/>
  <c r="Y1060" i="15"/>
  <c r="O1060" i="15"/>
  <c r="M1060" i="15"/>
  <c r="AG1060" i="15"/>
  <c r="W1063" i="15"/>
  <c r="W1066" i="15"/>
  <c r="V1068" i="15"/>
  <c r="U1074" i="15"/>
  <c r="U1076" i="15"/>
  <c r="Q1077" i="15"/>
  <c r="I1079" i="15"/>
  <c r="AE1079" i="15"/>
  <c r="T1082" i="15"/>
  <c r="N1084" i="15"/>
  <c r="AH1085" i="15"/>
  <c r="Z1085" i="15"/>
  <c r="R1085" i="15"/>
  <c r="J1085" i="15"/>
  <c r="AF1085" i="15"/>
  <c r="X1085" i="15"/>
  <c r="P1085" i="15"/>
  <c r="H1085" i="15"/>
  <c r="AA1085" i="15"/>
  <c r="O1085" i="15"/>
  <c r="Y1085" i="15"/>
  <c r="N1085" i="15"/>
  <c r="W1085" i="15"/>
  <c r="M1085" i="15"/>
  <c r="AG1085" i="15"/>
  <c r="V1085" i="15"/>
  <c r="L1085" i="15"/>
  <c r="K1085" i="15"/>
  <c r="AE1085" i="15"/>
  <c r="X1087" i="15"/>
  <c r="X1092" i="15"/>
  <c r="U1093" i="15"/>
  <c r="M1095" i="15"/>
  <c r="AH1095" i="15"/>
  <c r="I1098" i="15"/>
  <c r="AC1098" i="15"/>
  <c r="W1100" i="15"/>
  <c r="T1101" i="15"/>
  <c r="AD1103" i="15"/>
  <c r="V1103" i="15"/>
  <c r="N1103" i="15"/>
  <c r="AB1103" i="15"/>
  <c r="T1103" i="15"/>
  <c r="L1103" i="15"/>
  <c r="AC1103" i="15"/>
  <c r="R1103" i="15"/>
  <c r="H1103" i="15"/>
  <c r="AA1103" i="15"/>
  <c r="Q1103" i="15"/>
  <c r="G1103" i="15"/>
  <c r="Z1103" i="15"/>
  <c r="P1103" i="15"/>
  <c r="Y1103" i="15"/>
  <c r="O1103" i="15"/>
  <c r="K1103" i="15"/>
  <c r="AG1103" i="15"/>
  <c r="W1106" i="15"/>
  <c r="V1108" i="15"/>
  <c r="S1109" i="15"/>
  <c r="S1114" i="15"/>
  <c r="AB1116" i="15"/>
  <c r="T1116" i="15"/>
  <c r="L1116" i="15"/>
  <c r="AH1116" i="15"/>
  <c r="Z1116" i="15"/>
  <c r="R1116" i="15"/>
  <c r="J1116" i="15"/>
  <c r="AD1116" i="15"/>
  <c r="S1116" i="15"/>
  <c r="H1116" i="15"/>
  <c r="AC1116" i="15"/>
  <c r="Q1116" i="15"/>
  <c r="G1116" i="15"/>
  <c r="AA1116" i="15"/>
  <c r="P1116" i="15"/>
  <c r="Y1116" i="15"/>
  <c r="O1116" i="15"/>
  <c r="M1116" i="15"/>
  <c r="AG1116" i="15"/>
  <c r="W1119" i="15"/>
  <c r="L1122" i="15"/>
  <c r="AH1122" i="15"/>
  <c r="G1125" i="15"/>
  <c r="AC1125" i="15"/>
  <c r="U1127" i="15"/>
  <c r="AF1130" i="15"/>
  <c r="X1130" i="15"/>
  <c r="P1130" i="15"/>
  <c r="H1130" i="15"/>
  <c r="AD1130" i="15"/>
  <c r="V1130" i="15"/>
  <c r="N1130" i="15"/>
  <c r="AB1130" i="15"/>
  <c r="R1130" i="15"/>
  <c r="G1130" i="15"/>
  <c r="AA1130" i="15"/>
  <c r="Q1130" i="15"/>
  <c r="Z1130" i="15"/>
  <c r="O1130" i="15"/>
  <c r="Y1130" i="15"/>
  <c r="M1130" i="15"/>
  <c r="K1130" i="15"/>
  <c r="AG1130" i="15"/>
  <c r="I1132" i="15"/>
  <c r="AE1132" i="15"/>
  <c r="AB1133" i="15"/>
  <c r="S1135" i="15"/>
  <c r="AH1149" i="15"/>
  <c r="Z1149" i="15"/>
  <c r="R1149" i="15"/>
  <c r="J1149" i="15"/>
  <c r="Y1149" i="15"/>
  <c r="P1149" i="15"/>
  <c r="G1149" i="15"/>
  <c r="AF1149" i="15"/>
  <c r="W1149" i="15"/>
  <c r="N1149" i="15"/>
  <c r="AE1149" i="15"/>
  <c r="T1149" i="15"/>
  <c r="H1149" i="15"/>
  <c r="AD1149" i="15"/>
  <c r="S1149" i="15"/>
  <c r="AC1149" i="15"/>
  <c r="Q1149" i="15"/>
  <c r="AB1149" i="15"/>
  <c r="O1149" i="15"/>
  <c r="L1149" i="15"/>
  <c r="AB1152" i="15"/>
  <c r="T1152" i="15"/>
  <c r="L1152" i="15"/>
  <c r="AE1152" i="15"/>
  <c r="V1152" i="15"/>
  <c r="M1152" i="15"/>
  <c r="AC1152" i="15"/>
  <c r="S1152" i="15"/>
  <c r="J1152" i="15"/>
  <c r="AD1152" i="15"/>
  <c r="Q1152" i="15"/>
  <c r="AA1152" i="15"/>
  <c r="P1152" i="15"/>
  <c r="Z1152" i="15"/>
  <c r="O1152" i="15"/>
  <c r="Y1152" i="15"/>
  <c r="N1152" i="15"/>
  <c r="I1152" i="15"/>
  <c r="AH1152" i="15"/>
  <c r="Z1168" i="15"/>
  <c r="H1169" i="15"/>
  <c r="AG1169" i="15"/>
  <c r="AB1172" i="15"/>
  <c r="T1172" i="15"/>
  <c r="L1172" i="15"/>
  <c r="AC1172" i="15"/>
  <c r="S1172" i="15"/>
  <c r="J1172" i="15"/>
  <c r="Z1172" i="15"/>
  <c r="Q1172" i="15"/>
  <c r="H1172" i="15"/>
  <c r="AF1172" i="15"/>
  <c r="U1172" i="15"/>
  <c r="G1172" i="15"/>
  <c r="AE1172" i="15"/>
  <c r="R1172" i="15"/>
  <c r="AD1172" i="15"/>
  <c r="P1172" i="15"/>
  <c r="AA1172" i="15"/>
  <c r="O1172" i="15"/>
  <c r="M1172" i="15"/>
  <c r="AF1174" i="15"/>
  <c r="X1174" i="15"/>
  <c r="P1174" i="15"/>
  <c r="H1174" i="15"/>
  <c r="AG1174" i="15"/>
  <c r="W1174" i="15"/>
  <c r="N1174" i="15"/>
  <c r="AD1174" i="15"/>
  <c r="U1174" i="15"/>
  <c r="L1174" i="15"/>
  <c r="AC1174" i="15"/>
  <c r="R1174" i="15"/>
  <c r="AB1174" i="15"/>
  <c r="Q1174" i="15"/>
  <c r="AA1174" i="15"/>
  <c r="O1174" i="15"/>
  <c r="Z1174" i="15"/>
  <c r="M1174" i="15"/>
  <c r="J1174" i="15"/>
  <c r="AD1175" i="15"/>
  <c r="V1175" i="15"/>
  <c r="N1175" i="15"/>
  <c r="AH1175" i="15"/>
  <c r="Y1175" i="15"/>
  <c r="P1175" i="15"/>
  <c r="G1175" i="15"/>
  <c r="AF1175" i="15"/>
  <c r="W1175" i="15"/>
  <c r="M1175" i="15"/>
  <c r="AC1175" i="15"/>
  <c r="R1175" i="15"/>
  <c r="AB1175" i="15"/>
  <c r="Q1175" i="15"/>
  <c r="AA1175" i="15"/>
  <c r="O1175" i="15"/>
  <c r="Z1175" i="15"/>
  <c r="L1175" i="15"/>
  <c r="J1175" i="15"/>
  <c r="AB1176" i="15"/>
  <c r="T1176" i="15"/>
  <c r="L1176" i="15"/>
  <c r="Z1176" i="15"/>
  <c r="Q1176" i="15"/>
  <c r="H1176" i="15"/>
  <c r="AG1176" i="15"/>
  <c r="X1176" i="15"/>
  <c r="O1176" i="15"/>
  <c r="AD1176" i="15"/>
  <c r="R1176" i="15"/>
  <c r="AC1176" i="15"/>
  <c r="P1176" i="15"/>
  <c r="AA1176" i="15"/>
  <c r="N1176" i="15"/>
  <c r="Y1176" i="15"/>
  <c r="M1176" i="15"/>
  <c r="J1176" i="15"/>
  <c r="AH1176" i="15"/>
  <c r="O1191" i="15"/>
  <c r="W1192" i="15"/>
  <c r="S1195" i="15"/>
  <c r="R1196" i="15"/>
  <c r="I1201" i="15"/>
  <c r="AF1202" i="15"/>
  <c r="X1202" i="15"/>
  <c r="P1202" i="15"/>
  <c r="H1202" i="15"/>
  <c r="Z1202" i="15"/>
  <c r="Q1202" i="15"/>
  <c r="G1202" i="15"/>
  <c r="AG1202" i="15"/>
  <c r="W1202" i="15"/>
  <c r="N1202" i="15"/>
  <c r="AH1202" i="15"/>
  <c r="U1202" i="15"/>
  <c r="J1202" i="15"/>
  <c r="AE1202" i="15"/>
  <c r="T1202" i="15"/>
  <c r="I1202" i="15"/>
  <c r="AD1202" i="15"/>
  <c r="S1202" i="15"/>
  <c r="AC1202" i="15"/>
  <c r="R1202" i="15"/>
  <c r="M1202" i="15"/>
  <c r="W1204" i="15"/>
  <c r="V1206" i="15"/>
  <c r="X1207" i="15"/>
  <c r="Y1208" i="15"/>
  <c r="X1211" i="15"/>
  <c r="U1212" i="15"/>
  <c r="W1220" i="15"/>
  <c r="V1222" i="15"/>
  <c r="X1223" i="15"/>
  <c r="Y1224" i="15"/>
  <c r="X1227" i="15"/>
  <c r="U1228" i="15"/>
  <c r="Y1236" i="15"/>
  <c r="Z1238" i="15"/>
  <c r="I1239" i="15"/>
  <c r="AG1239" i="15"/>
  <c r="G1244" i="15"/>
  <c r="AD1244" i="15"/>
  <c r="Z1251" i="15"/>
  <c r="T1259" i="15"/>
  <c r="G1267" i="15"/>
  <c r="AH1267" i="15"/>
  <c r="AF1274" i="15"/>
  <c r="X1274" i="15"/>
  <c r="P1274" i="15"/>
  <c r="H1274" i="15"/>
  <c r="AE1274" i="15"/>
  <c r="W1274" i="15"/>
  <c r="O1274" i="15"/>
  <c r="G1274" i="15"/>
  <c r="AC1274" i="15"/>
  <c r="S1274" i="15"/>
  <c r="I1274" i="15"/>
  <c r="AA1274" i="15"/>
  <c r="Q1274" i="15"/>
  <c r="Y1274" i="15"/>
  <c r="K1274" i="15"/>
  <c r="V1274" i="15"/>
  <c r="J1274" i="15"/>
  <c r="U1274" i="15"/>
  <c r="AH1274" i="15"/>
  <c r="T1274" i="15"/>
  <c r="N1274" i="15"/>
  <c r="V1280" i="15"/>
  <c r="AD1299" i="15"/>
  <c r="V1299" i="15"/>
  <c r="N1299" i="15"/>
  <c r="AC1299" i="15"/>
  <c r="U1299" i="15"/>
  <c r="M1299" i="15"/>
  <c r="Y1299" i="15"/>
  <c r="O1299" i="15"/>
  <c r="AG1299" i="15"/>
  <c r="W1299" i="15"/>
  <c r="K1299" i="15"/>
  <c r="AE1299" i="15"/>
  <c r="Q1299" i="15"/>
  <c r="AB1299" i="15"/>
  <c r="P1299" i="15"/>
  <c r="AA1299" i="15"/>
  <c r="L1299" i="15"/>
  <c r="Z1299" i="15"/>
  <c r="J1299" i="15"/>
  <c r="I1299" i="15"/>
  <c r="Z1306" i="15"/>
  <c r="Z1312" i="15"/>
  <c r="Z1314" i="15"/>
  <c r="R1320" i="15"/>
  <c r="X1323" i="15"/>
  <c r="S1331" i="15"/>
  <c r="AD1338" i="15"/>
  <c r="H1344" i="15"/>
  <c r="J1346" i="15"/>
  <c r="Z1359" i="15"/>
  <c r="AE1363" i="15"/>
  <c r="W1363" i="15"/>
  <c r="O1363" i="15"/>
  <c r="G1363" i="15"/>
  <c r="AD1363" i="15"/>
  <c r="V1363" i="15"/>
  <c r="N1363" i="15"/>
  <c r="AC1363" i="15"/>
  <c r="U1363" i="15"/>
  <c r="M1363" i="15"/>
  <c r="AG1363" i="15"/>
  <c r="S1363" i="15"/>
  <c r="H1363" i="15"/>
  <c r="AB1363" i="15"/>
  <c r="Q1363" i="15"/>
  <c r="Z1363" i="15"/>
  <c r="J1363" i="15"/>
  <c r="Y1363" i="15"/>
  <c r="I1363" i="15"/>
  <c r="X1363" i="15"/>
  <c r="T1363" i="15"/>
  <c r="P1363" i="15"/>
  <c r="Y1364" i="15"/>
  <c r="AC1368" i="15"/>
  <c r="U1368" i="15"/>
  <c r="M1368" i="15"/>
  <c r="AB1368" i="15"/>
  <c r="T1368" i="15"/>
  <c r="L1368" i="15"/>
  <c r="AA1368" i="15"/>
  <c r="S1368" i="15"/>
  <c r="K1368" i="15"/>
  <c r="AE1368" i="15"/>
  <c r="Q1368" i="15"/>
  <c r="Z1368" i="15"/>
  <c r="O1368" i="15"/>
  <c r="AH1368" i="15"/>
  <c r="R1368" i="15"/>
  <c r="AG1368" i="15"/>
  <c r="P1368" i="15"/>
  <c r="AF1368" i="15"/>
  <c r="N1368" i="15"/>
  <c r="AD1368" i="15"/>
  <c r="J1368" i="15"/>
  <c r="I1368" i="15"/>
  <c r="AF1371" i="15"/>
  <c r="AE1375" i="15"/>
  <c r="W1375" i="15"/>
  <c r="O1375" i="15"/>
  <c r="G1375" i="15"/>
  <c r="AD1375" i="15"/>
  <c r="V1375" i="15"/>
  <c r="N1375" i="15"/>
  <c r="AC1375" i="15"/>
  <c r="U1375" i="15"/>
  <c r="M1375" i="15"/>
  <c r="AA1375" i="15"/>
  <c r="P1375" i="15"/>
  <c r="Y1375" i="15"/>
  <c r="K1375" i="15"/>
  <c r="X1375" i="15"/>
  <c r="H1375" i="15"/>
  <c r="T1375" i="15"/>
  <c r="S1375" i="15"/>
  <c r="AH1375" i="15"/>
  <c r="R1375" i="15"/>
  <c r="L1375" i="15"/>
  <c r="AA1383" i="15"/>
  <c r="Z1392" i="15"/>
  <c r="O1396" i="15"/>
  <c r="AF1400" i="15"/>
  <c r="J1404" i="15"/>
  <c r="AE1415" i="15"/>
  <c r="W1415" i="15"/>
  <c r="O1415" i="15"/>
  <c r="G1415" i="15"/>
  <c r="AD1415" i="15"/>
  <c r="V1415" i="15"/>
  <c r="N1415" i="15"/>
  <c r="AC1415" i="15"/>
  <c r="U1415" i="15"/>
  <c r="M1415" i="15"/>
  <c r="Y1415" i="15"/>
  <c r="K1415" i="15"/>
  <c r="AH1415" i="15"/>
  <c r="T1415" i="15"/>
  <c r="I1415" i="15"/>
  <c r="AA1415" i="15"/>
  <c r="J1415" i="15"/>
  <c r="Z1415" i="15"/>
  <c r="H1415" i="15"/>
  <c r="X1415" i="15"/>
  <c r="S1415" i="15"/>
  <c r="Q1415" i="15"/>
  <c r="Z1416" i="15"/>
  <c r="Y1424" i="15"/>
  <c r="AG1432" i="15"/>
  <c r="O1436" i="15"/>
  <c r="AE1440" i="15"/>
  <c r="Y1448" i="15"/>
  <c r="AE1459" i="15"/>
  <c r="W1459" i="15"/>
  <c r="O1459" i="15"/>
  <c r="G1459" i="15"/>
  <c r="AD1459" i="15"/>
  <c r="V1459" i="15"/>
  <c r="N1459" i="15"/>
  <c r="AC1459" i="15"/>
  <c r="U1459" i="15"/>
  <c r="M1459" i="15"/>
  <c r="AG1459" i="15"/>
  <c r="S1459" i="15"/>
  <c r="H1459" i="15"/>
  <c r="AB1459" i="15"/>
  <c r="Q1459" i="15"/>
  <c r="T1459" i="15"/>
  <c r="R1459" i="15"/>
  <c r="AH1459" i="15"/>
  <c r="P1459" i="15"/>
  <c r="AF1459" i="15"/>
  <c r="L1459" i="15"/>
  <c r="K1459" i="15"/>
  <c r="AB1463" i="15"/>
  <c r="AE1467" i="15"/>
  <c r="W1467" i="15"/>
  <c r="O1467" i="15"/>
  <c r="G1467" i="15"/>
  <c r="AD1467" i="15"/>
  <c r="V1467" i="15"/>
  <c r="N1467" i="15"/>
  <c r="AC1467" i="15"/>
  <c r="U1467" i="15"/>
  <c r="M1467" i="15"/>
  <c r="AB1467" i="15"/>
  <c r="Q1467" i="15"/>
  <c r="Z1467" i="15"/>
  <c r="L1467" i="15"/>
  <c r="S1467" i="15"/>
  <c r="AH1467" i="15"/>
  <c r="R1467" i="15"/>
  <c r="AG1467" i="15"/>
  <c r="P1467" i="15"/>
  <c r="AF1467" i="15"/>
  <c r="K1467" i="15"/>
  <c r="J1467" i="15"/>
  <c r="AF1480" i="15"/>
  <c r="X1491" i="15"/>
  <c r="H1495" i="15"/>
  <c r="T1499" i="15"/>
  <c r="H1519" i="15"/>
  <c r="J1523" i="15"/>
  <c r="AG1527" i="15"/>
  <c r="AE1535" i="15"/>
  <c r="W1535" i="15"/>
  <c r="O1535" i="15"/>
  <c r="G1535" i="15"/>
  <c r="AD1535" i="15"/>
  <c r="V1535" i="15"/>
  <c r="N1535" i="15"/>
  <c r="AC1535" i="15"/>
  <c r="U1535" i="15"/>
  <c r="M1535" i="15"/>
  <c r="AA1535" i="15"/>
  <c r="P1535" i="15"/>
  <c r="Y1535" i="15"/>
  <c r="K1535" i="15"/>
  <c r="T1535" i="15"/>
  <c r="S1535" i="15"/>
  <c r="AH1535" i="15"/>
  <c r="R1535" i="15"/>
  <c r="AG1535" i="15"/>
  <c r="Q1535" i="15"/>
  <c r="J1535" i="15"/>
  <c r="AA1543" i="15"/>
  <c r="AA1551" i="15"/>
  <c r="Z1563" i="15"/>
  <c r="AH1576" i="15"/>
  <c r="R1583" i="15"/>
  <c r="AH1584" i="15"/>
  <c r="AG1591" i="15"/>
  <c r="G1592" i="15"/>
  <c r="I1599" i="15"/>
  <c r="Q1604" i="15"/>
  <c r="J1611" i="15"/>
  <c r="AF1612" i="15"/>
  <c r="AE1620" i="15"/>
  <c r="J1643" i="15"/>
  <c r="S1651" i="15"/>
  <c r="AD1656" i="15"/>
  <c r="V1656" i="15"/>
  <c r="N1656" i="15"/>
  <c r="AC1656" i="15"/>
  <c r="U1656" i="15"/>
  <c r="M1656" i="15"/>
  <c r="AB1656" i="15"/>
  <c r="T1656" i="15"/>
  <c r="L1656" i="15"/>
  <c r="AA1656" i="15"/>
  <c r="S1656" i="15"/>
  <c r="K1656" i="15"/>
  <c r="AF1656" i="15"/>
  <c r="P1656" i="15"/>
  <c r="AE1656" i="15"/>
  <c r="O1656" i="15"/>
  <c r="Z1656" i="15"/>
  <c r="J1656" i="15"/>
  <c r="AG1656" i="15"/>
  <c r="G1656" i="15"/>
  <c r="Y1656" i="15"/>
  <c r="X1656" i="15"/>
  <c r="W1656" i="15"/>
  <c r="Q1656" i="15"/>
  <c r="Q1660" i="15"/>
  <c r="Q1664" i="15"/>
  <c r="P1668" i="15"/>
  <c r="I1708" i="15"/>
  <c r="H1748" i="15"/>
  <c r="AG1759" i="15"/>
  <c r="X1796" i="15"/>
  <c r="AD1804" i="15"/>
  <c r="V1804" i="15"/>
  <c r="N1804" i="15"/>
  <c r="AC1804" i="15"/>
  <c r="U1804" i="15"/>
  <c r="M1804" i="15"/>
  <c r="AB1804" i="15"/>
  <c r="T1804" i="15"/>
  <c r="L1804" i="15"/>
  <c r="AA1804" i="15"/>
  <c r="S1804" i="15"/>
  <c r="K1804" i="15"/>
  <c r="AH1804" i="15"/>
  <c r="R1804" i="15"/>
  <c r="AG1804" i="15"/>
  <c r="Q1804" i="15"/>
  <c r="AF1804" i="15"/>
  <c r="P1804" i="15"/>
  <c r="X1804" i="15"/>
  <c r="W1804" i="15"/>
  <c r="O1804" i="15"/>
  <c r="J1804" i="15"/>
  <c r="I1804" i="15"/>
  <c r="AG1815" i="15"/>
  <c r="AG1823" i="15"/>
  <c r="AG1831" i="15"/>
  <c r="AG1839" i="15"/>
  <c r="AG1847" i="15"/>
  <c r="AG1855" i="15"/>
  <c r="AG1863" i="15"/>
  <c r="AG1871" i="15"/>
  <c r="AG1879" i="15"/>
  <c r="AG1887" i="15"/>
  <c r="AF1899" i="15"/>
  <c r="X1899" i="15"/>
  <c r="P1899" i="15"/>
  <c r="H1899" i="15"/>
  <c r="AE1899" i="15"/>
  <c r="W1899" i="15"/>
  <c r="O1899" i="15"/>
  <c r="G1899" i="15"/>
  <c r="AD1899" i="15"/>
  <c r="V1899" i="15"/>
  <c r="N1899" i="15"/>
  <c r="AC1899" i="15"/>
  <c r="U1899" i="15"/>
  <c r="M1899" i="15"/>
  <c r="T1899" i="15"/>
  <c r="S1899" i="15"/>
  <c r="AH1899" i="15"/>
  <c r="R1899" i="15"/>
  <c r="AB1899" i="15"/>
  <c r="I1899" i="15"/>
  <c r="AA1899" i="15"/>
  <c r="Z1899" i="15"/>
  <c r="Y1899" i="15"/>
  <c r="L1899" i="15"/>
  <c r="G1912" i="15"/>
  <c r="H1920" i="15"/>
  <c r="AA1923" i="15"/>
  <c r="AF1931" i="15"/>
  <c r="X1931" i="15"/>
  <c r="P1931" i="15"/>
  <c r="H1931" i="15"/>
  <c r="AE1931" i="15"/>
  <c r="W1931" i="15"/>
  <c r="O1931" i="15"/>
  <c r="G1931" i="15"/>
  <c r="AD1931" i="15"/>
  <c r="V1931" i="15"/>
  <c r="N1931" i="15"/>
  <c r="AC1931" i="15"/>
  <c r="U1931" i="15"/>
  <c r="M1931" i="15"/>
  <c r="T1931" i="15"/>
  <c r="S1931" i="15"/>
  <c r="AH1931" i="15"/>
  <c r="R1931" i="15"/>
  <c r="AB1931" i="15"/>
  <c r="I1931" i="15"/>
  <c r="AA1931" i="15"/>
  <c r="Z1931" i="15"/>
  <c r="Y1931" i="15"/>
  <c r="L1931" i="15"/>
  <c r="G1944" i="15"/>
  <c r="H1952" i="15"/>
  <c r="AA1955" i="15"/>
  <c r="AF1971" i="15"/>
  <c r="X1971" i="15"/>
  <c r="P1971" i="15"/>
  <c r="H1971" i="15"/>
  <c r="AE1971" i="15"/>
  <c r="W1971" i="15"/>
  <c r="O1971" i="15"/>
  <c r="G1971" i="15"/>
  <c r="AD1971" i="15"/>
  <c r="V1971" i="15"/>
  <c r="N1971" i="15"/>
  <c r="AC1971" i="15"/>
  <c r="U1971" i="15"/>
  <c r="M1971" i="15"/>
  <c r="AH1971" i="15"/>
  <c r="R1971" i="15"/>
  <c r="AG1971" i="15"/>
  <c r="Q1971" i="15"/>
  <c r="AB1971" i="15"/>
  <c r="L1971" i="15"/>
  <c r="I1971" i="15"/>
  <c r="AA1971" i="15"/>
  <c r="Z1971" i="15"/>
  <c r="Y1971" i="15"/>
  <c r="S1971" i="15"/>
  <c r="AD1984" i="15"/>
  <c r="V1984" i="15"/>
  <c r="N1984" i="15"/>
  <c r="AC1984" i="15"/>
  <c r="U1984" i="15"/>
  <c r="M1984" i="15"/>
  <c r="AB1984" i="15"/>
  <c r="T1984" i="15"/>
  <c r="L1984" i="15"/>
  <c r="AA1984" i="15"/>
  <c r="S1984" i="15"/>
  <c r="K1984" i="15"/>
  <c r="X1984" i="15"/>
  <c r="H1984" i="15"/>
  <c r="W1984" i="15"/>
  <c r="G1984" i="15"/>
  <c r="AH1984" i="15"/>
  <c r="R1984" i="15"/>
  <c r="Z1984" i="15"/>
  <c r="Y1984" i="15"/>
  <c r="Q1984" i="15"/>
  <c r="P1984" i="15"/>
  <c r="O1984" i="15"/>
  <c r="J1987" i="15"/>
  <c r="AG1992" i="15"/>
  <c r="T1995" i="15"/>
  <c r="I2000" i="15"/>
  <c r="H18" i="16"/>
  <c r="G18" i="16"/>
  <c r="M18" i="16"/>
  <c r="E18" i="16"/>
  <c r="K18" i="16"/>
  <c r="J18" i="16"/>
  <c r="I18" i="16"/>
  <c r="L18" i="16"/>
  <c r="M44" i="16"/>
  <c r="E44" i="16"/>
  <c r="L44" i="16"/>
  <c r="K44" i="16"/>
  <c r="J44" i="16"/>
  <c r="I44" i="16"/>
  <c r="H44" i="16"/>
  <c r="G44" i="16"/>
  <c r="J54" i="16"/>
  <c r="T65" i="16"/>
  <c r="E90" i="16"/>
  <c r="P93" i="16"/>
  <c r="H93" i="9" s="1"/>
  <c r="H93" i="16"/>
  <c r="G93" i="16"/>
  <c r="F93" i="16"/>
  <c r="E93" i="16"/>
  <c r="I93" i="9" s="1"/>
  <c r="T93" i="16"/>
  <c r="M93" i="16"/>
  <c r="L93" i="16"/>
  <c r="K93" i="16"/>
  <c r="J93" i="16"/>
  <c r="I93" i="16"/>
  <c r="T113" i="16"/>
  <c r="P113" i="16"/>
  <c r="H113" i="9" s="1"/>
  <c r="F115" i="16"/>
  <c r="I115" i="9"/>
  <c r="M144" i="16"/>
  <c r="E144" i="16"/>
  <c r="I144" i="9" s="1"/>
  <c r="L144" i="16"/>
  <c r="K144" i="16"/>
  <c r="T144" i="16"/>
  <c r="G144" i="16"/>
  <c r="J144" i="16"/>
  <c r="I144" i="16"/>
  <c r="H144" i="16"/>
  <c r="M155" i="16"/>
  <c r="E155" i="16"/>
  <c r="I155" i="9" s="1"/>
  <c r="L155" i="16"/>
  <c r="K155" i="16"/>
  <c r="H155" i="16"/>
  <c r="G155" i="16"/>
  <c r="T155" i="16"/>
  <c r="F155" i="16"/>
  <c r="J155" i="16"/>
  <c r="I155" i="16"/>
  <c r="P155" i="16"/>
  <c r="H155" i="9" s="1"/>
  <c r="E214" i="16"/>
  <c r="L317" i="16"/>
  <c r="H317" i="16"/>
  <c r="G317" i="16"/>
  <c r="M317" i="16"/>
  <c r="E317" i="16"/>
  <c r="O617" i="16"/>
  <c r="G617" i="16"/>
  <c r="M617" i="16"/>
  <c r="E617" i="16"/>
  <c r="H617" i="16"/>
  <c r="K617" i="16"/>
  <c r="J617" i="16"/>
  <c r="I617" i="16"/>
  <c r="L617" i="16"/>
  <c r="F676" i="16"/>
  <c r="E751" i="16"/>
  <c r="L764" i="16"/>
  <c r="K764" i="16"/>
  <c r="J764" i="16"/>
  <c r="G764" i="16"/>
  <c r="E764" i="16"/>
  <c r="O764" i="16"/>
  <c r="M764" i="16"/>
  <c r="I764" i="16"/>
  <c r="H764" i="16"/>
  <c r="L772" i="16"/>
  <c r="K772" i="16"/>
  <c r="J772" i="16"/>
  <c r="E772" i="16"/>
  <c r="M772" i="16"/>
  <c r="I772" i="16"/>
  <c r="O772" i="16" s="1"/>
  <c r="H772" i="16"/>
  <c r="G772" i="16"/>
  <c r="F778" i="16"/>
  <c r="M778" i="16"/>
  <c r="E778" i="16"/>
  <c r="L778" i="16"/>
  <c r="H778" i="16"/>
  <c r="G778" i="16"/>
  <c r="K778" i="16"/>
  <c r="J778" i="16"/>
  <c r="I778" i="16"/>
  <c r="G913" i="16"/>
  <c r="M913" i="16"/>
  <c r="E913" i="16"/>
  <c r="K913" i="16"/>
  <c r="J913" i="16"/>
  <c r="I913" i="16"/>
  <c r="H913" i="16"/>
  <c r="L913" i="16"/>
  <c r="O913" i="16" s="1"/>
  <c r="H943" i="16"/>
  <c r="G943" i="16"/>
  <c r="M943" i="16"/>
  <c r="L943" i="16"/>
  <c r="K943" i="16"/>
  <c r="J943" i="16"/>
  <c r="E943" i="16"/>
  <c r="L381" i="16"/>
  <c r="H381" i="16"/>
  <c r="G381" i="16"/>
  <c r="L436" i="16"/>
  <c r="K436" i="16"/>
  <c r="J436" i="16"/>
  <c r="H436" i="16"/>
  <c r="G436" i="16"/>
  <c r="T436" i="16"/>
  <c r="F436" i="16"/>
  <c r="E436" i="16"/>
  <c r="I436" i="9" s="1"/>
  <c r="M436" i="16"/>
  <c r="I436" i="16"/>
  <c r="O436" i="16" s="1"/>
  <c r="O467" i="16"/>
  <c r="O506" i="16"/>
  <c r="H512" i="16"/>
  <c r="O512" i="16"/>
  <c r="G512" i="16"/>
  <c r="E512" i="16"/>
  <c r="T512" i="16" s="1"/>
  <c r="M512" i="16"/>
  <c r="L512" i="16"/>
  <c r="K512" i="16"/>
  <c r="J512" i="16"/>
  <c r="I512" i="16"/>
  <c r="J526" i="16"/>
  <c r="M526" i="16"/>
  <c r="L526" i="16"/>
  <c r="K526" i="16"/>
  <c r="G526" i="16"/>
  <c r="M555" i="16"/>
  <c r="E555" i="16"/>
  <c r="I555" i="9" s="1"/>
  <c r="L555" i="16"/>
  <c r="K555" i="16"/>
  <c r="G555" i="16"/>
  <c r="P555" i="16"/>
  <c r="H555" i="9" s="1"/>
  <c r="J555" i="16"/>
  <c r="I555" i="16"/>
  <c r="O555" i="16" s="1"/>
  <c r="H555" i="16"/>
  <c r="M563" i="16"/>
  <c r="E563" i="16"/>
  <c r="I563" i="9" s="1"/>
  <c r="L563" i="16"/>
  <c r="O563" i="16" s="1"/>
  <c r="K563" i="16"/>
  <c r="T563" i="16"/>
  <c r="F563" i="16"/>
  <c r="P563" i="16"/>
  <c r="H563" i="9" s="1"/>
  <c r="I563" i="16"/>
  <c r="H563" i="16"/>
  <c r="G563" i="16"/>
  <c r="J563" i="16"/>
  <c r="K639" i="16"/>
  <c r="J639" i="16"/>
  <c r="M639" i="16"/>
  <c r="O737" i="16"/>
  <c r="G737" i="16"/>
  <c r="M737" i="16"/>
  <c r="E737" i="16"/>
  <c r="I737" i="16"/>
  <c r="H737" i="16"/>
  <c r="L737" i="16"/>
  <c r="K737" i="16"/>
  <c r="J737" i="16"/>
  <c r="J761" i="16"/>
  <c r="I761" i="16"/>
  <c r="H761" i="16"/>
  <c r="H895" i="16"/>
  <c r="G895" i="16"/>
  <c r="K895" i="16"/>
  <c r="J895" i="16"/>
  <c r="M895" i="16"/>
  <c r="L895" i="16"/>
  <c r="F927" i="16"/>
  <c r="J965" i="16"/>
  <c r="H965" i="16"/>
  <c r="G965" i="16"/>
  <c r="E965" i="16"/>
  <c r="M965" i="16"/>
  <c r="O979" i="16"/>
  <c r="M984" i="16"/>
  <c r="I984" i="16"/>
  <c r="H1120" i="16"/>
  <c r="G1120" i="16"/>
  <c r="K1120" i="16"/>
  <c r="J1120" i="16"/>
  <c r="I1120" i="16"/>
  <c r="E1120" i="16"/>
  <c r="M1120" i="16"/>
  <c r="L1120" i="16"/>
  <c r="F1175" i="16"/>
  <c r="F1279" i="16"/>
  <c r="L1284" i="16"/>
  <c r="K1284" i="16"/>
  <c r="J1284" i="16"/>
  <c r="E1284" i="16"/>
  <c r="O1284" i="16"/>
  <c r="M1284" i="16"/>
  <c r="F1284" i="16"/>
  <c r="H1284" i="16"/>
  <c r="G1284" i="16"/>
  <c r="I1284" i="16"/>
  <c r="H1320" i="16"/>
  <c r="G1320" i="16"/>
  <c r="J1320" i="16"/>
  <c r="I1320" i="16"/>
  <c r="E1320" i="16"/>
  <c r="M1320" i="16"/>
  <c r="L1320" i="16"/>
  <c r="K1320" i="16"/>
  <c r="O1320" i="16" s="1"/>
  <c r="J2391" i="16"/>
  <c r="T2391" i="16"/>
  <c r="H2391" i="16"/>
  <c r="P2391" i="16"/>
  <c r="G2391" i="16"/>
  <c r="O2391" i="16"/>
  <c r="F2391" i="16"/>
  <c r="E2391" i="16"/>
  <c r="N2391" i="16"/>
  <c r="I2391" i="16"/>
  <c r="L2391" i="16"/>
  <c r="K2391" i="16"/>
  <c r="M2391" i="16"/>
  <c r="K2711" i="16"/>
  <c r="J2711" i="16"/>
  <c r="T2711" i="16"/>
  <c r="G2711" i="16"/>
  <c r="P2711" i="16"/>
  <c r="F2711" i="16"/>
  <c r="O2711" i="16"/>
  <c r="E2711" i="16"/>
  <c r="I2711" i="16"/>
  <c r="H2711" i="16"/>
  <c r="M2711" i="16"/>
  <c r="L2711" i="16"/>
  <c r="N2711" i="16"/>
  <c r="L2774" i="16"/>
  <c r="K2774" i="16"/>
  <c r="P2774" i="16"/>
  <c r="F2774" i="16"/>
  <c r="O2774" i="16"/>
  <c r="E2774" i="16"/>
  <c r="N2774" i="16"/>
  <c r="H2774" i="16"/>
  <c r="G2774" i="16"/>
  <c r="I2774" i="16"/>
  <c r="T2774" i="16"/>
  <c r="M2774" i="16"/>
  <c r="J2774" i="16"/>
  <c r="K2783" i="16"/>
  <c r="J2783" i="16"/>
  <c r="H2783" i="16"/>
  <c r="T2783" i="16"/>
  <c r="G2783" i="16"/>
  <c r="P2783" i="16"/>
  <c r="F2783" i="16"/>
  <c r="I2783" i="16"/>
  <c r="E2783" i="16"/>
  <c r="N2783" i="16"/>
  <c r="M2783" i="16"/>
  <c r="L2783" i="16"/>
  <c r="O2783" i="16"/>
  <c r="O2835" i="16"/>
  <c r="G2835" i="16"/>
  <c r="N2835" i="16"/>
  <c r="F2835" i="16"/>
  <c r="H2835" i="16"/>
  <c r="T2835" i="16"/>
  <c r="E2835" i="16"/>
  <c r="P2835" i="16"/>
  <c r="J2835" i="16"/>
  <c r="I2835" i="16"/>
  <c r="M2835" i="16"/>
  <c r="L2835" i="16"/>
  <c r="K2835" i="16"/>
  <c r="L2838" i="16"/>
  <c r="K2838" i="16"/>
  <c r="P2838" i="16"/>
  <c r="F2838" i="16"/>
  <c r="O2838" i="16"/>
  <c r="E2838" i="16"/>
  <c r="N2838" i="16"/>
  <c r="I2838" i="16"/>
  <c r="H2838" i="16"/>
  <c r="G2838" i="16"/>
  <c r="T2838" i="16"/>
  <c r="M2838" i="16"/>
  <c r="J2838" i="16"/>
  <c r="N2956" i="16"/>
  <c r="F2956" i="16"/>
  <c r="M2956" i="16"/>
  <c r="E2956" i="16"/>
  <c r="J2956" i="16"/>
  <c r="I2956" i="16"/>
  <c r="H2956" i="16"/>
  <c r="T2956" i="16"/>
  <c r="O2956" i="16"/>
  <c r="P2956" i="16"/>
  <c r="L2956" i="16"/>
  <c r="K2956" i="16"/>
  <c r="G2956" i="16"/>
  <c r="P3050" i="16"/>
  <c r="H3050" i="16"/>
  <c r="O3050" i="16"/>
  <c r="G3050" i="16"/>
  <c r="F3050" i="16"/>
  <c r="T3050" i="16"/>
  <c r="E3050" i="16"/>
  <c r="N3050" i="16"/>
  <c r="J3050" i="16"/>
  <c r="I3050" i="16"/>
  <c r="K3050" i="16"/>
  <c r="M3050" i="16"/>
  <c r="L3050" i="16"/>
  <c r="N3116" i="16"/>
  <c r="F3116" i="16"/>
  <c r="M3116" i="16"/>
  <c r="E3116" i="16"/>
  <c r="P3116" i="16"/>
  <c r="O3116" i="16"/>
  <c r="L3116" i="16"/>
  <c r="H3116" i="16"/>
  <c r="G3116" i="16"/>
  <c r="T3116" i="16"/>
  <c r="K3116" i="16"/>
  <c r="J3116" i="16"/>
  <c r="I3116" i="16"/>
  <c r="P3170" i="16"/>
  <c r="H3170" i="16"/>
  <c r="O3170" i="16"/>
  <c r="G3170" i="16"/>
  <c r="T3170" i="16"/>
  <c r="E3170" i="16"/>
  <c r="N3170" i="16"/>
  <c r="M3170" i="16"/>
  <c r="K3170" i="16"/>
  <c r="L3170" i="16"/>
  <c r="J3170" i="16"/>
  <c r="I3170" i="16"/>
  <c r="F3170" i="16"/>
  <c r="O3219" i="16"/>
  <c r="G3219" i="16"/>
  <c r="N3219" i="16"/>
  <c r="F3219" i="16"/>
  <c r="H3219" i="16"/>
  <c r="T3219" i="16"/>
  <c r="E3219" i="16"/>
  <c r="P3219" i="16"/>
  <c r="L3219" i="16"/>
  <c r="I3219" i="16"/>
  <c r="M3219" i="16"/>
  <c r="K3219" i="16"/>
  <c r="J3219" i="16"/>
  <c r="AQ953" i="17"/>
  <c r="AI953" i="17"/>
  <c r="AA953" i="17"/>
  <c r="S953" i="17"/>
  <c r="K953" i="17"/>
  <c r="AR953" i="17"/>
  <c r="AH953" i="17"/>
  <c r="Y953" i="17"/>
  <c r="P953" i="17"/>
  <c r="AP953" i="17"/>
  <c r="AG953" i="17"/>
  <c r="X953" i="17"/>
  <c r="O953" i="17"/>
  <c r="AE953" i="17"/>
  <c r="T953" i="17"/>
  <c r="AO953" i="17"/>
  <c r="AD953" i="17"/>
  <c r="R953" i="17"/>
  <c r="AB953" i="17"/>
  <c r="L953" i="17"/>
  <c r="AN953" i="17"/>
  <c r="Z953" i="17"/>
  <c r="J953" i="17"/>
  <c r="AL953" i="17"/>
  <c r="Q953" i="17"/>
  <c r="AK953" i="17"/>
  <c r="N953" i="17"/>
  <c r="AJ953" i="17"/>
  <c r="M953" i="17"/>
  <c r="AC953" i="17"/>
  <c r="W953" i="17"/>
  <c r="V953" i="17"/>
  <c r="AM953" i="17"/>
  <c r="AF953" i="17"/>
  <c r="U953" i="17"/>
  <c r="AM980" i="17"/>
  <c r="AE980" i="17"/>
  <c r="W980" i="17"/>
  <c r="O980" i="17"/>
  <c r="AO980" i="17"/>
  <c r="AF980" i="17"/>
  <c r="V980" i="17"/>
  <c r="M980" i="17"/>
  <c r="AN980" i="17"/>
  <c r="AD980" i="17"/>
  <c r="U980" i="17"/>
  <c r="L980" i="17"/>
  <c r="AK980" i="17"/>
  <c r="Z980" i="17"/>
  <c r="N980" i="17"/>
  <c r="AJ980" i="17"/>
  <c r="Y980" i="17"/>
  <c r="K980" i="17"/>
  <c r="AC980" i="17"/>
  <c r="P980" i="17"/>
  <c r="AR980" i="17"/>
  <c r="AB980" i="17"/>
  <c r="J980" i="17"/>
  <c r="AG980" i="17"/>
  <c r="AA980" i="17"/>
  <c r="X980" i="17"/>
  <c r="AH980" i="17"/>
  <c r="T980" i="17"/>
  <c r="S980" i="17"/>
  <c r="AQ980" i="17"/>
  <c r="AP980" i="17"/>
  <c r="AL980" i="17"/>
  <c r="AI980" i="17"/>
  <c r="R980" i="17"/>
  <c r="Q980" i="17"/>
  <c r="AR1884" i="17"/>
  <c r="AJ1884" i="17"/>
  <c r="AB1884" i="17"/>
  <c r="T1884" i="17"/>
  <c r="L1884" i="17"/>
  <c r="AN1884" i="17"/>
  <c r="AE1884" i="17"/>
  <c r="V1884" i="17"/>
  <c r="M1884" i="17"/>
  <c r="AM1884" i="17"/>
  <c r="AD1884" i="17"/>
  <c r="U1884" i="17"/>
  <c r="K1884" i="17"/>
  <c r="AL1884" i="17"/>
  <c r="Z1884" i="17"/>
  <c r="O1884" i="17"/>
  <c r="AK1884" i="17"/>
  <c r="Y1884" i="17"/>
  <c r="N1884" i="17"/>
  <c r="AG1884" i="17"/>
  <c r="Q1884" i="17"/>
  <c r="AF1884" i="17"/>
  <c r="P1884" i="17"/>
  <c r="AA1884" i="17"/>
  <c r="X1884" i="17"/>
  <c r="W1884" i="17"/>
  <c r="S1884" i="17"/>
  <c r="AC1884" i="17"/>
  <c r="R1884" i="17"/>
  <c r="AP1884" i="17"/>
  <c r="AO1884" i="17"/>
  <c r="AQ1884" i="17"/>
  <c r="AI1884" i="17"/>
  <c r="AH1884" i="17"/>
  <c r="J1884" i="17"/>
  <c r="AC175" i="17"/>
  <c r="AC159" i="17"/>
  <c r="AC143" i="17"/>
  <c r="AC127" i="17"/>
  <c r="AC111" i="17"/>
  <c r="AD97" i="17"/>
  <c r="AC95" i="17"/>
  <c r="AC79" i="17"/>
  <c r="AC63" i="17"/>
  <c r="AC47" i="17"/>
  <c r="AC31" i="17"/>
  <c r="AC15" i="17"/>
  <c r="AC161" i="17"/>
  <c r="AC145" i="17"/>
  <c r="AC129" i="17"/>
  <c r="AC113" i="17"/>
  <c r="AC97" i="17"/>
  <c r="AL97" i="17" s="1"/>
  <c r="Y97" i="12" s="1"/>
  <c r="AC81" i="17"/>
  <c r="AC65" i="17"/>
  <c r="AC49" i="17"/>
  <c r="AC33" i="17"/>
  <c r="AC17" i="17"/>
  <c r="AD165" i="17"/>
  <c r="AC163" i="17"/>
  <c r="AC147" i="17"/>
  <c r="AD133" i="17"/>
  <c r="AC131" i="17"/>
  <c r="AC115" i="17"/>
  <c r="AC99" i="17"/>
  <c r="AD85" i="17"/>
  <c r="AC83" i="17"/>
  <c r="AD69" i="17"/>
  <c r="AC67" i="17"/>
  <c r="AD53" i="17"/>
  <c r="AC51" i="17"/>
  <c r="AC35" i="17"/>
  <c r="AC19" i="17"/>
  <c r="AC3" i="17"/>
  <c r="AC135" i="17"/>
  <c r="AD119" i="17"/>
  <c r="AC117" i="17"/>
  <c r="AC109" i="17"/>
  <c r="AC105" i="17"/>
  <c r="AD93" i="17"/>
  <c r="AC91" i="17"/>
  <c r="AD31" i="17"/>
  <c r="AC7" i="17"/>
  <c r="AC119" i="17"/>
  <c r="AD103" i="17"/>
  <c r="AC101" i="17"/>
  <c r="AC93" i="17"/>
  <c r="AC89" i="17"/>
  <c r="AD77" i="17"/>
  <c r="AC75" i="17"/>
  <c r="AD73" i="17"/>
  <c r="AC103" i="17"/>
  <c r="AC85" i="17"/>
  <c r="AC77" i="17"/>
  <c r="AC73" i="17"/>
  <c r="AC59" i="17"/>
  <c r="AC87" i="17"/>
  <c r="AC57" i="17"/>
  <c r="AD9" i="17"/>
  <c r="AC169" i="17"/>
  <c r="AD167" i="17"/>
  <c r="AC157" i="17"/>
  <c r="AC155" i="17"/>
  <c r="AC149" i="17"/>
  <c r="AC133" i="17"/>
  <c r="AD63" i="17"/>
  <c r="AL63" i="17" s="1"/>
  <c r="Y63" i="12" s="1"/>
  <c r="H46" i="14" s="1"/>
  <c r="AC55" i="17"/>
  <c r="AD45" i="17"/>
  <c r="AC23" i="17"/>
  <c r="AD13" i="17"/>
  <c r="AL13" i="17" s="1"/>
  <c r="Y13" i="12" s="1"/>
  <c r="AC11" i="17"/>
  <c r="AC9" i="17"/>
  <c r="AC167" i="17"/>
  <c r="AC45" i="17"/>
  <c r="AC13" i="17"/>
  <c r="AD7" i="17"/>
  <c r="AC173" i="17"/>
  <c r="AC171" i="17"/>
  <c r="AD151" i="17"/>
  <c r="AC121" i="17"/>
  <c r="AC107" i="17"/>
  <c r="AC151" i="17"/>
  <c r="AC123" i="17"/>
  <c r="AD95" i="17"/>
  <c r="AC139" i="17"/>
  <c r="AD135" i="17"/>
  <c r="AC27" i="17"/>
  <c r="AC141" i="17"/>
  <c r="AC29" i="17"/>
  <c r="AC5" i="17"/>
  <c r="AD137" i="17"/>
  <c r="AC125" i="17"/>
  <c r="AC71" i="17"/>
  <c r="AC137" i="17"/>
  <c r="AC69" i="17"/>
  <c r="AC37" i="17"/>
  <c r="AC53" i="17"/>
  <c r="AD47" i="17"/>
  <c r="AL47" i="17" s="1"/>
  <c r="Y47" i="12" s="1"/>
  <c r="AC41" i="17"/>
  <c r="AC21" i="17"/>
  <c r="AD27" i="17"/>
  <c r="AC25" i="17"/>
  <c r="AC153" i="17"/>
  <c r="AC39" i="17"/>
  <c r="AC61" i="17"/>
  <c r="AC43" i="17"/>
  <c r="AC165" i="17"/>
  <c r="AB15" i="15"/>
  <c r="L15" i="15"/>
  <c r="I15" i="15"/>
  <c r="R15" i="15"/>
  <c r="AA15" i="15"/>
  <c r="AB31" i="15"/>
  <c r="L31" i="15"/>
  <c r="I31" i="15"/>
  <c r="AG31" i="15" s="1"/>
  <c r="Q31" i="7" s="1"/>
  <c r="R31" i="15"/>
  <c r="AA31" i="15"/>
  <c r="AB47" i="15"/>
  <c r="L47" i="15"/>
  <c r="I47" i="15"/>
  <c r="AG47" i="15" s="1"/>
  <c r="Q47" i="7" s="1"/>
  <c r="R47" i="15"/>
  <c r="AA47" i="15"/>
  <c r="AB63" i="15"/>
  <c r="L63" i="15"/>
  <c r="I63" i="15"/>
  <c r="R63" i="15"/>
  <c r="AA63" i="15"/>
  <c r="AB79" i="15"/>
  <c r="L79" i="15"/>
  <c r="I79" i="15"/>
  <c r="R79" i="15"/>
  <c r="AA79" i="15"/>
  <c r="AB95" i="15"/>
  <c r="L95" i="15"/>
  <c r="I95" i="15"/>
  <c r="AG95" i="15" s="1"/>
  <c r="Q95" i="7" s="1"/>
  <c r="R95" i="15"/>
  <c r="AA95" i="15"/>
  <c r="AB111" i="15"/>
  <c r="L111" i="15"/>
  <c r="I111" i="15"/>
  <c r="R111" i="15"/>
  <c r="AA111" i="15"/>
  <c r="AB127" i="15"/>
  <c r="L127" i="15"/>
  <c r="I127" i="15"/>
  <c r="R127" i="15"/>
  <c r="AA127" i="15"/>
  <c r="AB143" i="15"/>
  <c r="L143" i="15"/>
  <c r="I143" i="15"/>
  <c r="R143" i="15"/>
  <c r="AA143" i="15"/>
  <c r="AB159" i="15"/>
  <c r="L159" i="15"/>
  <c r="I159" i="15"/>
  <c r="R159" i="15"/>
  <c r="AA159" i="15"/>
  <c r="AB175" i="15"/>
  <c r="L175" i="15"/>
  <c r="I175" i="15"/>
  <c r="AG175" i="15" s="1"/>
  <c r="Q175" i="7" s="1"/>
  <c r="R175" i="15"/>
  <c r="AA175" i="15"/>
  <c r="AB191" i="15"/>
  <c r="T191" i="15"/>
  <c r="L191" i="15"/>
  <c r="I191" i="15"/>
  <c r="R191" i="15"/>
  <c r="AA191" i="15"/>
  <c r="AB207" i="15"/>
  <c r="T207" i="15"/>
  <c r="L207" i="15"/>
  <c r="I207" i="15"/>
  <c r="R207" i="15"/>
  <c r="AA207" i="15"/>
  <c r="AB223" i="15"/>
  <c r="T223" i="15"/>
  <c r="L223" i="15"/>
  <c r="I223" i="15"/>
  <c r="R223" i="15"/>
  <c r="AA223" i="15"/>
  <c r="AB239" i="15"/>
  <c r="T239" i="15"/>
  <c r="L239" i="15"/>
  <c r="I239" i="15"/>
  <c r="R239" i="15"/>
  <c r="AA239" i="15"/>
  <c r="AB255" i="15"/>
  <c r="T255" i="15"/>
  <c r="L255" i="15"/>
  <c r="I255" i="15"/>
  <c r="R255" i="15"/>
  <c r="AA255" i="15"/>
  <c r="AB271" i="15"/>
  <c r="T271" i="15"/>
  <c r="L271" i="15"/>
  <c r="I271" i="15"/>
  <c r="R271" i="15"/>
  <c r="AA271" i="15"/>
  <c r="AB287" i="15"/>
  <c r="T287" i="15"/>
  <c r="L287" i="15"/>
  <c r="I287" i="15"/>
  <c r="R287" i="15"/>
  <c r="AA287" i="15"/>
  <c r="AB303" i="15"/>
  <c r="T303" i="15"/>
  <c r="L303" i="15"/>
  <c r="I303" i="15"/>
  <c r="R303" i="15"/>
  <c r="AA303" i="15"/>
  <c r="AB319" i="15"/>
  <c r="T319" i="15"/>
  <c r="L319" i="15"/>
  <c r="I319" i="15"/>
  <c r="R319" i="15"/>
  <c r="AA319" i="15"/>
  <c r="AB335" i="15"/>
  <c r="T335" i="15"/>
  <c r="L335" i="15"/>
  <c r="I335" i="15"/>
  <c r="R335" i="15"/>
  <c r="AA335" i="15"/>
  <c r="AB351" i="15"/>
  <c r="T351" i="15"/>
  <c r="L351" i="15"/>
  <c r="I351" i="15"/>
  <c r="R351" i="15"/>
  <c r="AA351" i="15"/>
  <c r="AB367" i="15"/>
  <c r="T367" i="15"/>
  <c r="L367" i="15"/>
  <c r="I367" i="15"/>
  <c r="R367" i="15"/>
  <c r="AA367" i="15"/>
  <c r="AB383" i="15"/>
  <c r="T383" i="15"/>
  <c r="L383" i="15"/>
  <c r="I383" i="15"/>
  <c r="R383" i="15"/>
  <c r="AA383" i="15"/>
  <c r="AB399" i="15"/>
  <c r="T399" i="15"/>
  <c r="L399" i="15"/>
  <c r="I399" i="15"/>
  <c r="R399" i="15"/>
  <c r="AA399" i="15"/>
  <c r="AB415" i="15"/>
  <c r="T415" i="15"/>
  <c r="L415" i="15"/>
  <c r="I415" i="15"/>
  <c r="R415" i="15"/>
  <c r="AA415" i="15"/>
  <c r="AB431" i="15"/>
  <c r="T431" i="15"/>
  <c r="L431" i="15"/>
  <c r="I431" i="15"/>
  <c r="R431" i="15"/>
  <c r="AA431" i="15"/>
  <c r="AB447" i="15"/>
  <c r="T447" i="15"/>
  <c r="L447" i="15"/>
  <c r="I447" i="15"/>
  <c r="R447" i="15"/>
  <c r="AA447" i="15"/>
  <c r="AB463" i="15"/>
  <c r="T463" i="15"/>
  <c r="L463" i="15"/>
  <c r="I463" i="15"/>
  <c r="R463" i="15"/>
  <c r="AA463" i="15"/>
  <c r="AB479" i="15"/>
  <c r="T479" i="15"/>
  <c r="L479" i="15"/>
  <c r="I479" i="15"/>
  <c r="R479" i="15"/>
  <c r="AA479" i="15"/>
  <c r="AB495" i="15"/>
  <c r="T495" i="15"/>
  <c r="L495" i="15"/>
  <c r="I495" i="15"/>
  <c r="R495" i="15"/>
  <c r="AA495" i="15"/>
  <c r="AB511" i="15"/>
  <c r="T511" i="15"/>
  <c r="L511" i="15"/>
  <c r="I511" i="15"/>
  <c r="R511" i="15"/>
  <c r="AA511" i="15"/>
  <c r="AB527" i="15"/>
  <c r="T527" i="15"/>
  <c r="L527" i="15"/>
  <c r="I527" i="15"/>
  <c r="R527" i="15"/>
  <c r="AA527" i="15"/>
  <c r="AB543" i="15"/>
  <c r="T543" i="15"/>
  <c r="L543" i="15"/>
  <c r="I543" i="15"/>
  <c r="R543" i="15"/>
  <c r="AA543" i="15"/>
  <c r="AB559" i="15"/>
  <c r="T559" i="15"/>
  <c r="L559" i="15"/>
  <c r="I559" i="15"/>
  <c r="R559" i="15"/>
  <c r="AA559" i="15"/>
  <c r="AB575" i="15"/>
  <c r="T575" i="15"/>
  <c r="L575" i="15"/>
  <c r="I575" i="15"/>
  <c r="R575" i="15"/>
  <c r="AA575" i="15"/>
  <c r="AB591" i="15"/>
  <c r="T591" i="15"/>
  <c r="L591" i="15"/>
  <c r="I591" i="15"/>
  <c r="R591" i="15"/>
  <c r="AA591" i="15"/>
  <c r="AB607" i="15"/>
  <c r="T607" i="15"/>
  <c r="L607" i="15"/>
  <c r="I607" i="15"/>
  <c r="R607" i="15"/>
  <c r="AA607" i="15"/>
  <c r="AB623" i="15"/>
  <c r="T623" i="15"/>
  <c r="L623" i="15"/>
  <c r="I623" i="15"/>
  <c r="R623" i="15"/>
  <c r="AA623" i="15"/>
  <c r="AB639" i="15"/>
  <c r="T639" i="15"/>
  <c r="L639" i="15"/>
  <c r="I639" i="15"/>
  <c r="R639" i="15"/>
  <c r="AA639" i="15"/>
  <c r="AB655" i="15"/>
  <c r="T655" i="15"/>
  <c r="L655" i="15"/>
  <c r="I655" i="15"/>
  <c r="R655" i="15"/>
  <c r="AA655" i="15"/>
  <c r="AB671" i="15"/>
  <c r="T671" i="15"/>
  <c r="L671" i="15"/>
  <c r="I671" i="15"/>
  <c r="R671" i="15"/>
  <c r="AA671" i="15"/>
  <c r="AB687" i="15"/>
  <c r="T687" i="15"/>
  <c r="L687" i="15"/>
  <c r="I687" i="15"/>
  <c r="R687" i="15"/>
  <c r="AA687" i="15"/>
  <c r="AB703" i="15"/>
  <c r="T703" i="15"/>
  <c r="L703" i="15"/>
  <c r="I703" i="15"/>
  <c r="R703" i="15"/>
  <c r="AA703" i="15"/>
  <c r="AB719" i="15"/>
  <c r="T719" i="15"/>
  <c r="L719" i="15"/>
  <c r="I719" i="15"/>
  <c r="R719" i="15"/>
  <c r="AA719" i="15"/>
  <c r="AB735" i="15"/>
  <c r="T735" i="15"/>
  <c r="L735" i="15"/>
  <c r="I735" i="15"/>
  <c r="R735" i="15"/>
  <c r="AA735" i="15"/>
  <c r="AB744" i="15"/>
  <c r="T744" i="15"/>
  <c r="L744" i="15"/>
  <c r="AH744" i="15"/>
  <c r="Z744" i="15"/>
  <c r="R744" i="15"/>
  <c r="J744" i="15"/>
  <c r="I744" i="15"/>
  <c r="U744" i="15"/>
  <c r="AE744" i="15"/>
  <c r="AD747" i="15"/>
  <c r="V747" i="15"/>
  <c r="N747" i="15"/>
  <c r="AB747" i="15"/>
  <c r="T747" i="15"/>
  <c r="L747" i="15"/>
  <c r="I747" i="15"/>
  <c r="S747" i="15"/>
  <c r="AE747" i="15"/>
  <c r="AB752" i="15"/>
  <c r="T752" i="15"/>
  <c r="L752" i="15"/>
  <c r="AH752" i="15"/>
  <c r="Z752" i="15"/>
  <c r="R752" i="15"/>
  <c r="J752" i="15"/>
  <c r="I752" i="15"/>
  <c r="U752" i="15"/>
  <c r="AE752" i="15"/>
  <c r="AD755" i="15"/>
  <c r="V755" i="15"/>
  <c r="N755" i="15"/>
  <c r="AB755" i="15"/>
  <c r="T755" i="15"/>
  <c r="L755" i="15"/>
  <c r="I755" i="15"/>
  <c r="S755" i="15"/>
  <c r="AE755" i="15"/>
  <c r="AB760" i="15"/>
  <c r="T760" i="15"/>
  <c r="L760" i="15"/>
  <c r="AH760" i="15"/>
  <c r="Z760" i="15"/>
  <c r="R760" i="15"/>
  <c r="J760" i="15"/>
  <c r="I760" i="15"/>
  <c r="U760" i="15"/>
  <c r="AE760" i="15"/>
  <c r="AD763" i="15"/>
  <c r="V763" i="15"/>
  <c r="N763" i="15"/>
  <c r="AB763" i="15"/>
  <c r="T763" i="15"/>
  <c r="L763" i="15"/>
  <c r="I763" i="15"/>
  <c r="S763" i="15"/>
  <c r="AE763" i="15"/>
  <c r="AB768" i="15"/>
  <c r="T768" i="15"/>
  <c r="L768" i="15"/>
  <c r="AH768" i="15"/>
  <c r="Z768" i="15"/>
  <c r="R768" i="15"/>
  <c r="J768" i="15"/>
  <c r="I768" i="15"/>
  <c r="U768" i="15"/>
  <c r="AE768" i="15"/>
  <c r="AD771" i="15"/>
  <c r="V771" i="15"/>
  <c r="N771" i="15"/>
  <c r="AB771" i="15"/>
  <c r="T771" i="15"/>
  <c r="L771" i="15"/>
  <c r="I771" i="15"/>
  <c r="S771" i="15"/>
  <c r="AE771" i="15"/>
  <c r="AB776" i="15"/>
  <c r="T776" i="15"/>
  <c r="L776" i="15"/>
  <c r="AH776" i="15"/>
  <c r="Z776" i="15"/>
  <c r="R776" i="15"/>
  <c r="J776" i="15"/>
  <c r="I776" i="15"/>
  <c r="U776" i="15"/>
  <c r="AE776" i="15"/>
  <c r="AD779" i="15"/>
  <c r="V779" i="15"/>
  <c r="N779" i="15"/>
  <c r="AB779" i="15"/>
  <c r="T779" i="15"/>
  <c r="L779" i="15"/>
  <c r="I779" i="15"/>
  <c r="S779" i="15"/>
  <c r="AE779" i="15"/>
  <c r="AB784" i="15"/>
  <c r="T784" i="15"/>
  <c r="L784" i="15"/>
  <c r="AH784" i="15"/>
  <c r="Z784" i="15"/>
  <c r="R784" i="15"/>
  <c r="J784" i="15"/>
  <c r="I784" i="15"/>
  <c r="U784" i="15"/>
  <c r="AE784" i="15"/>
  <c r="AD787" i="15"/>
  <c r="V787" i="15"/>
  <c r="N787" i="15"/>
  <c r="AB787" i="15"/>
  <c r="T787" i="15"/>
  <c r="L787" i="15"/>
  <c r="I787" i="15"/>
  <c r="S787" i="15"/>
  <c r="AE787" i="15"/>
  <c r="AB792" i="15"/>
  <c r="T792" i="15"/>
  <c r="L792" i="15"/>
  <c r="AH792" i="15"/>
  <c r="Z792" i="15"/>
  <c r="R792" i="15"/>
  <c r="J792" i="15"/>
  <c r="I792" i="15"/>
  <c r="U792" i="15"/>
  <c r="AE792" i="15"/>
  <c r="AD795" i="15"/>
  <c r="V795" i="15"/>
  <c r="N795" i="15"/>
  <c r="AB795" i="15"/>
  <c r="T795" i="15"/>
  <c r="L795" i="15"/>
  <c r="I795" i="15"/>
  <c r="S795" i="15"/>
  <c r="AE795" i="15"/>
  <c r="AB800" i="15"/>
  <c r="T800" i="15"/>
  <c r="L800" i="15"/>
  <c r="AH800" i="15"/>
  <c r="Z800" i="15"/>
  <c r="R800" i="15"/>
  <c r="J800" i="15"/>
  <c r="I800" i="15"/>
  <c r="U800" i="15"/>
  <c r="AE800" i="15"/>
  <c r="AD803" i="15"/>
  <c r="V803" i="15"/>
  <c r="N803" i="15"/>
  <c r="AB803" i="15"/>
  <c r="T803" i="15"/>
  <c r="L803" i="15"/>
  <c r="I803" i="15"/>
  <c r="S803" i="15"/>
  <c r="AE803" i="15"/>
  <c r="AB808" i="15"/>
  <c r="T808" i="15"/>
  <c r="L808" i="15"/>
  <c r="AH808" i="15"/>
  <c r="Z808" i="15"/>
  <c r="R808" i="15"/>
  <c r="J808" i="15"/>
  <c r="I808" i="15"/>
  <c r="U808" i="15"/>
  <c r="AE808" i="15"/>
  <c r="AD811" i="15"/>
  <c r="V811" i="15"/>
  <c r="N811" i="15"/>
  <c r="AB811" i="15"/>
  <c r="T811" i="15"/>
  <c r="L811" i="15"/>
  <c r="I811" i="15"/>
  <c r="S811" i="15"/>
  <c r="AE811" i="15"/>
  <c r="AB816" i="15"/>
  <c r="T816" i="15"/>
  <c r="L816" i="15"/>
  <c r="AH816" i="15"/>
  <c r="Z816" i="15"/>
  <c r="R816" i="15"/>
  <c r="J816" i="15"/>
  <c r="I816" i="15"/>
  <c r="U816" i="15"/>
  <c r="AE816" i="15"/>
  <c r="AD819" i="15"/>
  <c r="V819" i="15"/>
  <c r="N819" i="15"/>
  <c r="AB819" i="15"/>
  <c r="T819" i="15"/>
  <c r="L819" i="15"/>
  <c r="I819" i="15"/>
  <c r="S819" i="15"/>
  <c r="AE819" i="15"/>
  <c r="AB824" i="15"/>
  <c r="T824" i="15"/>
  <c r="L824" i="15"/>
  <c r="AH824" i="15"/>
  <c r="Z824" i="15"/>
  <c r="R824" i="15"/>
  <c r="J824" i="15"/>
  <c r="I824" i="15"/>
  <c r="U824" i="15"/>
  <c r="AE824" i="15"/>
  <c r="AD827" i="15"/>
  <c r="V827" i="15"/>
  <c r="N827" i="15"/>
  <c r="AB827" i="15"/>
  <c r="T827" i="15"/>
  <c r="L827" i="15"/>
  <c r="I827" i="15"/>
  <c r="S827" i="15"/>
  <c r="AE827" i="15"/>
  <c r="AB832" i="15"/>
  <c r="T832" i="15"/>
  <c r="L832" i="15"/>
  <c r="AH832" i="15"/>
  <c r="Z832" i="15"/>
  <c r="R832" i="15"/>
  <c r="J832" i="15"/>
  <c r="I832" i="15"/>
  <c r="U832" i="15"/>
  <c r="AE832" i="15"/>
  <c r="AD835" i="15"/>
  <c r="V835" i="15"/>
  <c r="N835" i="15"/>
  <c r="AB835" i="15"/>
  <c r="T835" i="15"/>
  <c r="L835" i="15"/>
  <c r="I835" i="15"/>
  <c r="S835" i="15"/>
  <c r="AE835" i="15"/>
  <c r="AB840" i="15"/>
  <c r="T840" i="15"/>
  <c r="L840" i="15"/>
  <c r="AH840" i="15"/>
  <c r="Z840" i="15"/>
  <c r="R840" i="15"/>
  <c r="J840" i="15"/>
  <c r="I840" i="15"/>
  <c r="U840" i="15"/>
  <c r="AE840" i="15"/>
  <c r="AD843" i="15"/>
  <c r="V843" i="15"/>
  <c r="N843" i="15"/>
  <c r="AB843" i="15"/>
  <c r="T843" i="15"/>
  <c r="L843" i="15"/>
  <c r="I843" i="15"/>
  <c r="S843" i="15"/>
  <c r="AE843" i="15"/>
  <c r="AB848" i="15"/>
  <c r="T848" i="15"/>
  <c r="L848" i="15"/>
  <c r="AH848" i="15"/>
  <c r="Z848" i="15"/>
  <c r="R848" i="15"/>
  <c r="J848" i="15"/>
  <c r="I848" i="15"/>
  <c r="U848" i="15"/>
  <c r="AE848" i="15"/>
  <c r="AD851" i="15"/>
  <c r="V851" i="15"/>
  <c r="N851" i="15"/>
  <c r="AB851" i="15"/>
  <c r="T851" i="15"/>
  <c r="L851" i="15"/>
  <c r="I851" i="15"/>
  <c r="S851" i="15"/>
  <c r="AE851" i="15"/>
  <c r="AB856" i="15"/>
  <c r="T856" i="15"/>
  <c r="L856" i="15"/>
  <c r="AH856" i="15"/>
  <c r="Z856" i="15"/>
  <c r="R856" i="15"/>
  <c r="J856" i="15"/>
  <c r="I856" i="15"/>
  <c r="U856" i="15"/>
  <c r="AE856" i="15"/>
  <c r="AD859" i="15"/>
  <c r="V859" i="15"/>
  <c r="N859" i="15"/>
  <c r="AB859" i="15"/>
  <c r="T859" i="15"/>
  <c r="L859" i="15"/>
  <c r="I859" i="15"/>
  <c r="S859" i="15"/>
  <c r="AE859" i="15"/>
  <c r="AB864" i="15"/>
  <c r="T864" i="15"/>
  <c r="L864" i="15"/>
  <c r="AH864" i="15"/>
  <c r="Z864" i="15"/>
  <c r="R864" i="15"/>
  <c r="J864" i="15"/>
  <c r="I864" i="15"/>
  <c r="U864" i="15"/>
  <c r="AE864" i="15"/>
  <c r="AD867" i="15"/>
  <c r="V867" i="15"/>
  <c r="N867" i="15"/>
  <c r="AB867" i="15"/>
  <c r="T867" i="15"/>
  <c r="L867" i="15"/>
  <c r="I867" i="15"/>
  <c r="S867" i="15"/>
  <c r="AE867" i="15"/>
  <c r="AB872" i="15"/>
  <c r="T872" i="15"/>
  <c r="L872" i="15"/>
  <c r="AH872" i="15"/>
  <c r="Z872" i="15"/>
  <c r="R872" i="15"/>
  <c r="J872" i="15"/>
  <c r="I872" i="15"/>
  <c r="U872" i="15"/>
  <c r="AE872" i="15"/>
  <c r="AD875" i="15"/>
  <c r="V875" i="15"/>
  <c r="N875" i="15"/>
  <c r="AB875" i="15"/>
  <c r="T875" i="15"/>
  <c r="L875" i="15"/>
  <c r="I875" i="15"/>
  <c r="S875" i="15"/>
  <c r="AE875" i="15"/>
  <c r="AB880" i="15"/>
  <c r="T880" i="15"/>
  <c r="L880" i="15"/>
  <c r="AH880" i="15"/>
  <c r="Z880" i="15"/>
  <c r="R880" i="15"/>
  <c r="J880" i="15"/>
  <c r="I880" i="15"/>
  <c r="U880" i="15"/>
  <c r="AE880" i="15"/>
  <c r="AD883" i="15"/>
  <c r="V883" i="15"/>
  <c r="N883" i="15"/>
  <c r="AB883" i="15"/>
  <c r="T883" i="15"/>
  <c r="L883" i="15"/>
  <c r="I883" i="15"/>
  <c r="S883" i="15"/>
  <c r="AE883" i="15"/>
  <c r="AB888" i="15"/>
  <c r="T888" i="15"/>
  <c r="L888" i="15"/>
  <c r="AH888" i="15"/>
  <c r="Z888" i="15"/>
  <c r="R888" i="15"/>
  <c r="J888" i="15"/>
  <c r="I888" i="15"/>
  <c r="U888" i="15"/>
  <c r="AE888" i="15"/>
  <c r="AD891" i="15"/>
  <c r="V891" i="15"/>
  <c r="N891" i="15"/>
  <c r="AB891" i="15"/>
  <c r="T891" i="15"/>
  <c r="L891" i="15"/>
  <c r="I891" i="15"/>
  <c r="S891" i="15"/>
  <c r="AE891" i="15"/>
  <c r="AB896" i="15"/>
  <c r="T896" i="15"/>
  <c r="L896" i="15"/>
  <c r="AH896" i="15"/>
  <c r="Z896" i="15"/>
  <c r="R896" i="15"/>
  <c r="J896" i="15"/>
  <c r="I896" i="15"/>
  <c r="U896" i="15"/>
  <c r="AE896" i="15"/>
  <c r="AD899" i="15"/>
  <c r="V899" i="15"/>
  <c r="N899" i="15"/>
  <c r="AB899" i="15"/>
  <c r="T899" i="15"/>
  <c r="L899" i="15"/>
  <c r="I899" i="15"/>
  <c r="S899" i="15"/>
  <c r="AE899" i="15"/>
  <c r="AB904" i="15"/>
  <c r="T904" i="15"/>
  <c r="L904" i="15"/>
  <c r="AH904" i="15"/>
  <c r="Z904" i="15"/>
  <c r="R904" i="15"/>
  <c r="J904" i="15"/>
  <c r="I904" i="15"/>
  <c r="U904" i="15"/>
  <c r="AE904" i="15"/>
  <c r="AD907" i="15"/>
  <c r="V907" i="15"/>
  <c r="N907" i="15"/>
  <c r="AB907" i="15"/>
  <c r="T907" i="15"/>
  <c r="L907" i="15"/>
  <c r="I907" i="15"/>
  <c r="S907" i="15"/>
  <c r="AE907" i="15"/>
  <c r="AB912" i="15"/>
  <c r="T912" i="15"/>
  <c r="L912" i="15"/>
  <c r="AH912" i="15"/>
  <c r="Z912" i="15"/>
  <c r="R912" i="15"/>
  <c r="J912" i="15"/>
  <c r="I912" i="15"/>
  <c r="U912" i="15"/>
  <c r="AE912" i="15"/>
  <c r="AD915" i="15"/>
  <c r="V915" i="15"/>
  <c r="N915" i="15"/>
  <c r="AB915" i="15"/>
  <c r="T915" i="15"/>
  <c r="L915" i="15"/>
  <c r="I915" i="15"/>
  <c r="S915" i="15"/>
  <c r="AE915" i="15"/>
  <c r="AB920" i="15"/>
  <c r="T920" i="15"/>
  <c r="L920" i="15"/>
  <c r="AH920" i="15"/>
  <c r="Z920" i="15"/>
  <c r="R920" i="15"/>
  <c r="J920" i="15"/>
  <c r="I920" i="15"/>
  <c r="U920" i="15"/>
  <c r="AE920" i="15"/>
  <c r="AD923" i="15"/>
  <c r="V923" i="15"/>
  <c r="N923" i="15"/>
  <c r="AB923" i="15"/>
  <c r="T923" i="15"/>
  <c r="L923" i="15"/>
  <c r="I923" i="15"/>
  <c r="S923" i="15"/>
  <c r="AE923" i="15"/>
  <c r="AB928" i="15"/>
  <c r="T928" i="15"/>
  <c r="L928" i="15"/>
  <c r="AH928" i="15"/>
  <c r="Z928" i="15"/>
  <c r="R928" i="15"/>
  <c r="J928" i="15"/>
  <c r="I928" i="15"/>
  <c r="U928" i="15"/>
  <c r="AE928" i="15"/>
  <c r="AD931" i="15"/>
  <c r="V931" i="15"/>
  <c r="N931" i="15"/>
  <c r="AB931" i="15"/>
  <c r="T931" i="15"/>
  <c r="L931" i="15"/>
  <c r="I931" i="15"/>
  <c r="S931" i="15"/>
  <c r="AE931" i="15"/>
  <c r="AB936" i="15"/>
  <c r="T936" i="15"/>
  <c r="L936" i="15"/>
  <c r="AH936" i="15"/>
  <c r="Z936" i="15"/>
  <c r="R936" i="15"/>
  <c r="J936" i="15"/>
  <c r="I936" i="15"/>
  <c r="U936" i="15"/>
  <c r="AE936" i="15"/>
  <c r="AD939" i="15"/>
  <c r="V939" i="15"/>
  <c r="N939" i="15"/>
  <c r="AB939" i="15"/>
  <c r="T939" i="15"/>
  <c r="L939" i="15"/>
  <c r="I939" i="15"/>
  <c r="S939" i="15"/>
  <c r="AE939" i="15"/>
  <c r="AB944" i="15"/>
  <c r="T944" i="15"/>
  <c r="L944" i="15"/>
  <c r="AH944" i="15"/>
  <c r="Z944" i="15"/>
  <c r="R944" i="15"/>
  <c r="J944" i="15"/>
  <c r="I944" i="15"/>
  <c r="U944" i="15"/>
  <c r="AE944" i="15"/>
  <c r="AD947" i="15"/>
  <c r="V947" i="15"/>
  <c r="N947" i="15"/>
  <c r="AB947" i="15"/>
  <c r="T947" i="15"/>
  <c r="L947" i="15"/>
  <c r="I947" i="15"/>
  <c r="S947" i="15"/>
  <c r="AE947" i="15"/>
  <c r="AB952" i="15"/>
  <c r="T952" i="15"/>
  <c r="L952" i="15"/>
  <c r="AH952" i="15"/>
  <c r="Z952" i="15"/>
  <c r="R952" i="15"/>
  <c r="J952" i="15"/>
  <c r="I952" i="15"/>
  <c r="U952" i="15"/>
  <c r="AE952" i="15"/>
  <c r="AD955" i="15"/>
  <c r="V955" i="15"/>
  <c r="N955" i="15"/>
  <c r="AB955" i="15"/>
  <c r="T955" i="15"/>
  <c r="L955" i="15"/>
  <c r="I955" i="15"/>
  <c r="S955" i="15"/>
  <c r="AE955" i="15"/>
  <c r="AB960" i="15"/>
  <c r="T960" i="15"/>
  <c r="L960" i="15"/>
  <c r="AH960" i="15"/>
  <c r="Z960" i="15"/>
  <c r="R960" i="15"/>
  <c r="J960" i="15"/>
  <c r="I960" i="15"/>
  <c r="U960" i="15"/>
  <c r="AE960" i="15"/>
  <c r="AD963" i="15"/>
  <c r="V963" i="15"/>
  <c r="N963" i="15"/>
  <c r="AB963" i="15"/>
  <c r="T963" i="15"/>
  <c r="L963" i="15"/>
  <c r="I963" i="15"/>
  <c r="S963" i="15"/>
  <c r="AE963" i="15"/>
  <c r="AB968" i="15"/>
  <c r="T968" i="15"/>
  <c r="L968" i="15"/>
  <c r="AH968" i="15"/>
  <c r="Z968" i="15"/>
  <c r="R968" i="15"/>
  <c r="J968" i="15"/>
  <c r="I968" i="15"/>
  <c r="U968" i="15"/>
  <c r="AE968" i="15"/>
  <c r="AD971" i="15"/>
  <c r="V971" i="15"/>
  <c r="N971" i="15"/>
  <c r="AB971" i="15"/>
  <c r="T971" i="15"/>
  <c r="L971" i="15"/>
  <c r="I971" i="15"/>
  <c r="S971" i="15"/>
  <c r="AE971" i="15"/>
  <c r="AB976" i="15"/>
  <c r="T976" i="15"/>
  <c r="L976" i="15"/>
  <c r="AH976" i="15"/>
  <c r="Z976" i="15"/>
  <c r="R976" i="15"/>
  <c r="J976" i="15"/>
  <c r="I976" i="15"/>
  <c r="U976" i="15"/>
  <c r="AE976" i="15"/>
  <c r="AD979" i="15"/>
  <c r="V979" i="15"/>
  <c r="N979" i="15"/>
  <c r="AB979" i="15"/>
  <c r="T979" i="15"/>
  <c r="L979" i="15"/>
  <c r="I979" i="15"/>
  <c r="S979" i="15"/>
  <c r="AE979" i="15"/>
  <c r="AB984" i="15"/>
  <c r="T984" i="15"/>
  <c r="L984" i="15"/>
  <c r="AH984" i="15"/>
  <c r="Z984" i="15"/>
  <c r="R984" i="15"/>
  <c r="J984" i="15"/>
  <c r="I984" i="15"/>
  <c r="U984" i="15"/>
  <c r="AE984" i="15"/>
  <c r="AD987" i="15"/>
  <c r="V987" i="15"/>
  <c r="N987" i="15"/>
  <c r="AB987" i="15"/>
  <c r="T987" i="15"/>
  <c r="L987" i="15"/>
  <c r="I987" i="15"/>
  <c r="S987" i="15"/>
  <c r="AE987" i="15"/>
  <c r="AB992" i="15"/>
  <c r="T992" i="15"/>
  <c r="L992" i="15"/>
  <c r="AH992" i="15"/>
  <c r="Z992" i="15"/>
  <c r="R992" i="15"/>
  <c r="J992" i="15"/>
  <c r="I992" i="15"/>
  <c r="U992" i="15"/>
  <c r="AE992" i="15"/>
  <c r="AD995" i="15"/>
  <c r="V995" i="15"/>
  <c r="N995" i="15"/>
  <c r="AB995" i="15"/>
  <c r="T995" i="15"/>
  <c r="L995" i="15"/>
  <c r="I995" i="15"/>
  <c r="S995" i="15"/>
  <c r="AE995" i="15"/>
  <c r="AB1000" i="15"/>
  <c r="T1000" i="15"/>
  <c r="L1000" i="15"/>
  <c r="AH1000" i="15"/>
  <c r="Z1000" i="15"/>
  <c r="R1000" i="15"/>
  <c r="J1000" i="15"/>
  <c r="I1000" i="15"/>
  <c r="U1000" i="15"/>
  <c r="AE1000" i="15"/>
  <c r="AD1003" i="15"/>
  <c r="V1003" i="15"/>
  <c r="N1003" i="15"/>
  <c r="AB1003" i="15"/>
  <c r="T1003" i="15"/>
  <c r="L1003" i="15"/>
  <c r="I1003" i="15"/>
  <c r="S1003" i="15"/>
  <c r="AE1003" i="15"/>
  <c r="AB1008" i="15"/>
  <c r="T1008" i="15"/>
  <c r="L1008" i="15"/>
  <c r="AH1008" i="15"/>
  <c r="Z1008" i="15"/>
  <c r="R1008" i="15"/>
  <c r="J1008" i="15"/>
  <c r="I1008" i="15"/>
  <c r="U1008" i="15"/>
  <c r="AE1008" i="15"/>
  <c r="AD1011" i="15"/>
  <c r="V1011" i="15"/>
  <c r="N1011" i="15"/>
  <c r="AB1011" i="15"/>
  <c r="T1011" i="15"/>
  <c r="L1011" i="15"/>
  <c r="I1011" i="15"/>
  <c r="S1011" i="15"/>
  <c r="AE1011" i="15"/>
  <c r="AB1016" i="15"/>
  <c r="T1016" i="15"/>
  <c r="L1016" i="15"/>
  <c r="AH1016" i="15"/>
  <c r="Z1016" i="15"/>
  <c r="R1016" i="15"/>
  <c r="J1016" i="15"/>
  <c r="I1016" i="15"/>
  <c r="U1016" i="15"/>
  <c r="AE1016" i="15"/>
  <c r="AD1019" i="15"/>
  <c r="V1019" i="15"/>
  <c r="N1019" i="15"/>
  <c r="AB1019" i="15"/>
  <c r="T1019" i="15"/>
  <c r="L1019" i="15"/>
  <c r="I1019" i="15"/>
  <c r="S1019" i="15"/>
  <c r="AE1019" i="15"/>
  <c r="AB1024" i="15"/>
  <c r="T1024" i="15"/>
  <c r="L1024" i="15"/>
  <c r="AH1024" i="15"/>
  <c r="Z1024" i="15"/>
  <c r="R1024" i="15"/>
  <c r="J1024" i="15"/>
  <c r="I1024" i="15"/>
  <c r="U1024" i="15"/>
  <c r="AE1024" i="15"/>
  <c r="AD1027" i="15"/>
  <c r="V1027" i="15"/>
  <c r="N1027" i="15"/>
  <c r="AB1027" i="15"/>
  <c r="T1027" i="15"/>
  <c r="L1027" i="15"/>
  <c r="I1027" i="15"/>
  <c r="S1027" i="15"/>
  <c r="AE1027" i="15"/>
  <c r="AB1032" i="15"/>
  <c r="T1032" i="15"/>
  <c r="L1032" i="15"/>
  <c r="AH1032" i="15"/>
  <c r="Z1032" i="15"/>
  <c r="R1032" i="15"/>
  <c r="J1032" i="15"/>
  <c r="I1032" i="15"/>
  <c r="U1032" i="15"/>
  <c r="AE1032" i="15"/>
  <c r="AD1035" i="15"/>
  <c r="V1035" i="15"/>
  <c r="N1035" i="15"/>
  <c r="AB1035" i="15"/>
  <c r="T1035" i="15"/>
  <c r="L1035" i="15"/>
  <c r="I1035" i="15"/>
  <c r="S1035" i="15"/>
  <c r="AE1035" i="15"/>
  <c r="AB1040" i="15"/>
  <c r="T1040" i="15"/>
  <c r="L1040" i="15"/>
  <c r="AH1040" i="15"/>
  <c r="Z1040" i="15"/>
  <c r="R1040" i="15"/>
  <c r="J1040" i="15"/>
  <c r="I1040" i="15"/>
  <c r="U1040" i="15"/>
  <c r="AE1040" i="15"/>
  <c r="AD1043" i="15"/>
  <c r="V1043" i="15"/>
  <c r="N1043" i="15"/>
  <c r="AB1043" i="15"/>
  <c r="T1043" i="15"/>
  <c r="L1043" i="15"/>
  <c r="I1043" i="15"/>
  <c r="S1043" i="15"/>
  <c r="AE1043" i="15"/>
  <c r="AB1048" i="15"/>
  <c r="T1048" i="15"/>
  <c r="L1048" i="15"/>
  <c r="AH1048" i="15"/>
  <c r="Z1048" i="15"/>
  <c r="R1048" i="15"/>
  <c r="J1048" i="15"/>
  <c r="I1048" i="15"/>
  <c r="U1048" i="15"/>
  <c r="AE1048" i="15"/>
  <c r="AD1051" i="15"/>
  <c r="V1051" i="15"/>
  <c r="N1051" i="15"/>
  <c r="AB1051" i="15"/>
  <c r="T1051" i="15"/>
  <c r="L1051" i="15"/>
  <c r="I1051" i="15"/>
  <c r="S1051" i="15"/>
  <c r="AE1051" i="15"/>
  <c r="AB1056" i="15"/>
  <c r="T1056" i="15"/>
  <c r="L1056" i="15"/>
  <c r="AH1056" i="15"/>
  <c r="Z1056" i="15"/>
  <c r="R1056" i="15"/>
  <c r="J1056" i="15"/>
  <c r="I1056" i="15"/>
  <c r="U1056" i="15"/>
  <c r="AE1056" i="15"/>
  <c r="AD1059" i="15"/>
  <c r="V1059" i="15"/>
  <c r="N1059" i="15"/>
  <c r="AB1059" i="15"/>
  <c r="T1059" i="15"/>
  <c r="L1059" i="15"/>
  <c r="I1059" i="15"/>
  <c r="S1059" i="15"/>
  <c r="AE1059" i="15"/>
  <c r="AB1064" i="15"/>
  <c r="T1064" i="15"/>
  <c r="L1064" i="15"/>
  <c r="AH1064" i="15"/>
  <c r="Z1064" i="15"/>
  <c r="R1064" i="15"/>
  <c r="J1064" i="15"/>
  <c r="I1064" i="15"/>
  <c r="U1064" i="15"/>
  <c r="AE1064" i="15"/>
  <c r="AD1067" i="15"/>
  <c r="V1067" i="15"/>
  <c r="N1067" i="15"/>
  <c r="AB1067" i="15"/>
  <c r="T1067" i="15"/>
  <c r="L1067" i="15"/>
  <c r="I1067" i="15"/>
  <c r="S1067" i="15"/>
  <c r="AE1067" i="15"/>
  <c r="AB1072" i="15"/>
  <c r="T1072" i="15"/>
  <c r="L1072" i="15"/>
  <c r="AH1072" i="15"/>
  <c r="Z1072" i="15"/>
  <c r="R1072" i="15"/>
  <c r="J1072" i="15"/>
  <c r="I1072" i="15"/>
  <c r="U1072" i="15"/>
  <c r="AE1072" i="15"/>
  <c r="AD1075" i="15"/>
  <c r="V1075" i="15"/>
  <c r="N1075" i="15"/>
  <c r="AB1075" i="15"/>
  <c r="T1075" i="15"/>
  <c r="L1075" i="15"/>
  <c r="I1075" i="15"/>
  <c r="S1075" i="15"/>
  <c r="AE1075" i="15"/>
  <c r="AB1080" i="15"/>
  <c r="T1080" i="15"/>
  <c r="L1080" i="15"/>
  <c r="AH1080" i="15"/>
  <c r="Z1080" i="15"/>
  <c r="R1080" i="15"/>
  <c r="J1080" i="15"/>
  <c r="I1080" i="15"/>
  <c r="U1080" i="15"/>
  <c r="AE1080" i="15"/>
  <c r="AD1083" i="15"/>
  <c r="V1083" i="15"/>
  <c r="N1083" i="15"/>
  <c r="AB1083" i="15"/>
  <c r="T1083" i="15"/>
  <c r="L1083" i="15"/>
  <c r="I1083" i="15"/>
  <c r="S1083" i="15"/>
  <c r="AE1083" i="15"/>
  <c r="AB1088" i="15"/>
  <c r="T1088" i="15"/>
  <c r="L1088" i="15"/>
  <c r="AH1088" i="15"/>
  <c r="Z1088" i="15"/>
  <c r="R1088" i="15"/>
  <c r="J1088" i="15"/>
  <c r="I1088" i="15"/>
  <c r="U1088" i="15"/>
  <c r="AE1088" i="15"/>
  <c r="AD1091" i="15"/>
  <c r="V1091" i="15"/>
  <c r="N1091" i="15"/>
  <c r="AB1091" i="15"/>
  <c r="T1091" i="15"/>
  <c r="L1091" i="15"/>
  <c r="I1091" i="15"/>
  <c r="S1091" i="15"/>
  <c r="AE1091" i="15"/>
  <c r="AB1096" i="15"/>
  <c r="T1096" i="15"/>
  <c r="L1096" i="15"/>
  <c r="AH1096" i="15"/>
  <c r="Z1096" i="15"/>
  <c r="R1096" i="15"/>
  <c r="J1096" i="15"/>
  <c r="I1096" i="15"/>
  <c r="U1096" i="15"/>
  <c r="AE1096" i="15"/>
  <c r="AD1099" i="15"/>
  <c r="V1099" i="15"/>
  <c r="N1099" i="15"/>
  <c r="AB1099" i="15"/>
  <c r="T1099" i="15"/>
  <c r="L1099" i="15"/>
  <c r="I1099" i="15"/>
  <c r="S1099" i="15"/>
  <c r="AE1099" i="15"/>
  <c r="AB1104" i="15"/>
  <c r="T1104" i="15"/>
  <c r="L1104" i="15"/>
  <c r="AH1104" i="15"/>
  <c r="Z1104" i="15"/>
  <c r="R1104" i="15"/>
  <c r="J1104" i="15"/>
  <c r="I1104" i="15"/>
  <c r="U1104" i="15"/>
  <c r="AE1104" i="15"/>
  <c r="AD1107" i="15"/>
  <c r="V1107" i="15"/>
  <c r="N1107" i="15"/>
  <c r="AB1107" i="15"/>
  <c r="T1107" i="15"/>
  <c r="L1107" i="15"/>
  <c r="I1107" i="15"/>
  <c r="S1107" i="15"/>
  <c r="AE1107" i="15"/>
  <c r="AB1112" i="15"/>
  <c r="T1112" i="15"/>
  <c r="L1112" i="15"/>
  <c r="AH1112" i="15"/>
  <c r="Z1112" i="15"/>
  <c r="R1112" i="15"/>
  <c r="J1112" i="15"/>
  <c r="I1112" i="15"/>
  <c r="U1112" i="15"/>
  <c r="AE1112" i="15"/>
  <c r="AD1115" i="15"/>
  <c r="V1115" i="15"/>
  <c r="N1115" i="15"/>
  <c r="AB1115" i="15"/>
  <c r="T1115" i="15"/>
  <c r="L1115" i="15"/>
  <c r="I1115" i="15"/>
  <c r="S1115" i="15"/>
  <c r="AE1115" i="15"/>
  <c r="AB1120" i="15"/>
  <c r="T1120" i="15"/>
  <c r="L1120" i="15"/>
  <c r="AH1120" i="15"/>
  <c r="Z1120" i="15"/>
  <c r="R1120" i="15"/>
  <c r="J1120" i="15"/>
  <c r="I1120" i="15"/>
  <c r="U1120" i="15"/>
  <c r="AE1120" i="15"/>
  <c r="AD1123" i="15"/>
  <c r="V1123" i="15"/>
  <c r="N1123" i="15"/>
  <c r="AB1123" i="15"/>
  <c r="T1123" i="15"/>
  <c r="L1123" i="15"/>
  <c r="I1123" i="15"/>
  <c r="S1123" i="15"/>
  <c r="AE1123" i="15"/>
  <c r="AB1128" i="15"/>
  <c r="T1128" i="15"/>
  <c r="L1128" i="15"/>
  <c r="AH1128" i="15"/>
  <c r="Z1128" i="15"/>
  <c r="R1128" i="15"/>
  <c r="J1128" i="15"/>
  <c r="I1128" i="15"/>
  <c r="U1128" i="15"/>
  <c r="AE1128" i="15"/>
  <c r="AD1131" i="15"/>
  <c r="V1131" i="15"/>
  <c r="N1131" i="15"/>
  <c r="AB1131" i="15"/>
  <c r="T1131" i="15"/>
  <c r="L1131" i="15"/>
  <c r="I1131" i="15"/>
  <c r="S1131" i="15"/>
  <c r="AE1131" i="15"/>
  <c r="AB1136" i="15"/>
  <c r="T1136" i="15"/>
  <c r="L1136" i="15"/>
  <c r="AE1136" i="15"/>
  <c r="V1136" i="15"/>
  <c r="M1136" i="15"/>
  <c r="AC1136" i="15"/>
  <c r="S1136" i="15"/>
  <c r="J1136" i="15"/>
  <c r="I1136" i="15"/>
  <c r="W1136" i="15"/>
  <c r="AH1136" i="15"/>
  <c r="AF1158" i="15"/>
  <c r="X1158" i="15"/>
  <c r="P1158" i="15"/>
  <c r="H1158" i="15"/>
  <c r="AG1158" i="15"/>
  <c r="W1158" i="15"/>
  <c r="N1158" i="15"/>
  <c r="AD1158" i="15"/>
  <c r="U1158" i="15"/>
  <c r="L1158" i="15"/>
  <c r="J1158" i="15"/>
  <c r="V1158" i="15"/>
  <c r="AD1159" i="15"/>
  <c r="V1159" i="15"/>
  <c r="N1159" i="15"/>
  <c r="AH1159" i="15"/>
  <c r="Y1159" i="15"/>
  <c r="P1159" i="15"/>
  <c r="G1159" i="15"/>
  <c r="AF1159" i="15"/>
  <c r="W1159" i="15"/>
  <c r="M1159" i="15"/>
  <c r="J1159" i="15"/>
  <c r="U1159" i="15"/>
  <c r="AB1160" i="15"/>
  <c r="T1160" i="15"/>
  <c r="L1160" i="15"/>
  <c r="Z1160" i="15"/>
  <c r="Q1160" i="15"/>
  <c r="H1160" i="15"/>
  <c r="AG1160" i="15"/>
  <c r="X1160" i="15"/>
  <c r="O1160" i="15"/>
  <c r="J1160" i="15"/>
  <c r="V1160" i="15"/>
  <c r="AH1160" i="15"/>
  <c r="AB1180" i="15"/>
  <c r="T1180" i="15"/>
  <c r="L1180" i="15"/>
  <c r="AG1180" i="15"/>
  <c r="X1180" i="15"/>
  <c r="O1180" i="15"/>
  <c r="AE1180" i="15"/>
  <c r="V1180" i="15"/>
  <c r="M1180" i="15"/>
  <c r="I1180" i="15"/>
  <c r="U1180" i="15"/>
  <c r="AH1180" i="15"/>
  <c r="AH1197" i="15"/>
  <c r="Z1197" i="15"/>
  <c r="R1197" i="15"/>
  <c r="J1197" i="15"/>
  <c r="Y1197" i="15"/>
  <c r="P1197" i="15"/>
  <c r="G1197" i="15"/>
  <c r="AF1197" i="15"/>
  <c r="W1197" i="15"/>
  <c r="N1197" i="15"/>
  <c r="K1197" i="15"/>
  <c r="V1197" i="15"/>
  <c r="AH1213" i="15"/>
  <c r="Z1213" i="15"/>
  <c r="R1213" i="15"/>
  <c r="J1213" i="15"/>
  <c r="Y1213" i="15"/>
  <c r="P1213" i="15"/>
  <c r="G1213" i="15"/>
  <c r="AF1213" i="15"/>
  <c r="W1213" i="15"/>
  <c r="N1213" i="15"/>
  <c r="K1213" i="15"/>
  <c r="V1213" i="15"/>
  <c r="AH1229" i="15"/>
  <c r="Z1229" i="15"/>
  <c r="R1229" i="15"/>
  <c r="J1229" i="15"/>
  <c r="Y1229" i="15"/>
  <c r="P1229" i="15"/>
  <c r="G1229" i="15"/>
  <c r="AF1229" i="15"/>
  <c r="W1229" i="15"/>
  <c r="N1229" i="15"/>
  <c r="K1229" i="15"/>
  <c r="V1229" i="15"/>
  <c r="AH1245" i="15"/>
  <c r="Z1245" i="15"/>
  <c r="R1245" i="15"/>
  <c r="J1245" i="15"/>
  <c r="Y1245" i="15"/>
  <c r="P1245" i="15"/>
  <c r="G1245" i="15"/>
  <c r="AF1245" i="15"/>
  <c r="W1245" i="15"/>
  <c r="N1245" i="15"/>
  <c r="K1245" i="15"/>
  <c r="V1245" i="15"/>
  <c r="AB1248" i="15"/>
  <c r="T1248" i="15"/>
  <c r="L1248" i="15"/>
  <c r="AA1248" i="15"/>
  <c r="S1248" i="15"/>
  <c r="K1248" i="15"/>
  <c r="Y1248" i="15"/>
  <c r="O1248" i="15"/>
  <c r="AG1248" i="15"/>
  <c r="W1248" i="15"/>
  <c r="M1248" i="15"/>
  <c r="I1248" i="15"/>
  <c r="X1248" i="15"/>
  <c r="AB1256" i="15"/>
  <c r="T1256" i="15"/>
  <c r="L1256" i="15"/>
  <c r="AA1256" i="15"/>
  <c r="S1256" i="15"/>
  <c r="K1256" i="15"/>
  <c r="Y1256" i="15"/>
  <c r="O1256" i="15"/>
  <c r="AG1256" i="15"/>
  <c r="W1256" i="15"/>
  <c r="M1256" i="15"/>
  <c r="I1256" i="15"/>
  <c r="X1256" i="15"/>
  <c r="AF1290" i="15"/>
  <c r="X1290" i="15"/>
  <c r="P1290" i="15"/>
  <c r="H1290" i="15"/>
  <c r="AE1290" i="15"/>
  <c r="W1290" i="15"/>
  <c r="O1290" i="15"/>
  <c r="G1290" i="15"/>
  <c r="AC1290" i="15"/>
  <c r="S1290" i="15"/>
  <c r="I1290" i="15"/>
  <c r="AA1290" i="15"/>
  <c r="Q1290" i="15"/>
  <c r="L1290" i="15"/>
  <c r="Z1290" i="15"/>
  <c r="AF1322" i="15"/>
  <c r="X1322" i="15"/>
  <c r="P1322" i="15"/>
  <c r="H1322" i="15"/>
  <c r="AE1322" i="15"/>
  <c r="W1322" i="15"/>
  <c r="O1322" i="15"/>
  <c r="G1322" i="15"/>
  <c r="AC1322" i="15"/>
  <c r="S1322" i="15"/>
  <c r="I1322" i="15"/>
  <c r="AA1322" i="15"/>
  <c r="Q1322" i="15"/>
  <c r="L1322" i="15"/>
  <c r="Z1322" i="15"/>
  <c r="AE1351" i="15"/>
  <c r="W1351" i="15"/>
  <c r="O1351" i="15"/>
  <c r="G1351" i="15"/>
  <c r="AD1351" i="15"/>
  <c r="V1351" i="15"/>
  <c r="N1351" i="15"/>
  <c r="AC1351" i="15"/>
  <c r="U1351" i="15"/>
  <c r="M1351" i="15"/>
  <c r="Y1351" i="15"/>
  <c r="K1351" i="15"/>
  <c r="AH1351" i="15"/>
  <c r="T1351" i="15"/>
  <c r="I1351" i="15"/>
  <c r="L1351" i="15"/>
  <c r="AB1351" i="15"/>
  <c r="AC1360" i="15"/>
  <c r="U1360" i="15"/>
  <c r="M1360" i="15"/>
  <c r="AB1360" i="15"/>
  <c r="T1360" i="15"/>
  <c r="L1360" i="15"/>
  <c r="AA1360" i="15"/>
  <c r="S1360" i="15"/>
  <c r="K1360" i="15"/>
  <c r="AG1360" i="15"/>
  <c r="V1360" i="15"/>
  <c r="H1360" i="15"/>
  <c r="AE1360" i="15"/>
  <c r="Q1360" i="15"/>
  <c r="J1360" i="15"/>
  <c r="Z1360" i="15"/>
  <c r="AC1372" i="15"/>
  <c r="U1372" i="15"/>
  <c r="M1372" i="15"/>
  <c r="AB1372" i="15"/>
  <c r="T1372" i="15"/>
  <c r="L1372" i="15"/>
  <c r="AA1372" i="15"/>
  <c r="S1372" i="15"/>
  <c r="K1372" i="15"/>
  <c r="AD1372" i="15"/>
  <c r="P1372" i="15"/>
  <c r="Y1372" i="15"/>
  <c r="N1372" i="15"/>
  <c r="I1372" i="15"/>
  <c r="Z1372" i="15"/>
  <c r="AE1431" i="15"/>
  <c r="W1431" i="15"/>
  <c r="O1431" i="15"/>
  <c r="G1431" i="15"/>
  <c r="AD1431" i="15"/>
  <c r="V1431" i="15"/>
  <c r="N1431" i="15"/>
  <c r="AC1431" i="15"/>
  <c r="U1431" i="15"/>
  <c r="M1431" i="15"/>
  <c r="AF1431" i="15"/>
  <c r="R1431" i="15"/>
  <c r="AA1431" i="15"/>
  <c r="P1431" i="15"/>
  <c r="J1431" i="15"/>
  <c r="Z1431" i="15"/>
  <c r="AE1455" i="15"/>
  <c r="W1455" i="15"/>
  <c r="O1455" i="15"/>
  <c r="G1455" i="15"/>
  <c r="AD1455" i="15"/>
  <c r="V1455" i="15"/>
  <c r="N1455" i="15"/>
  <c r="AC1455" i="15"/>
  <c r="U1455" i="15"/>
  <c r="M1455" i="15"/>
  <c r="AH1455" i="15"/>
  <c r="T1455" i="15"/>
  <c r="I1455" i="15"/>
  <c r="AF1455" i="15"/>
  <c r="R1455" i="15"/>
  <c r="K1455" i="15"/>
  <c r="AA1455" i="15"/>
  <c r="AE1471" i="15"/>
  <c r="W1471" i="15"/>
  <c r="O1471" i="15"/>
  <c r="G1471" i="15"/>
  <c r="AD1471" i="15"/>
  <c r="V1471" i="15"/>
  <c r="N1471" i="15"/>
  <c r="AC1471" i="15"/>
  <c r="U1471" i="15"/>
  <c r="M1471" i="15"/>
  <c r="AA1471" i="15"/>
  <c r="P1471" i="15"/>
  <c r="Y1471" i="15"/>
  <c r="K1471" i="15"/>
  <c r="J1471" i="15"/>
  <c r="AB1471" i="15"/>
  <c r="AE1487" i="15"/>
  <c r="W1487" i="15"/>
  <c r="O1487" i="15"/>
  <c r="G1487" i="15"/>
  <c r="AD1487" i="15"/>
  <c r="V1487" i="15"/>
  <c r="N1487" i="15"/>
  <c r="AC1487" i="15"/>
  <c r="U1487" i="15"/>
  <c r="M1487" i="15"/>
  <c r="AH1487" i="15"/>
  <c r="T1487" i="15"/>
  <c r="I1487" i="15"/>
  <c r="AF1487" i="15"/>
  <c r="R1487" i="15"/>
  <c r="K1487" i="15"/>
  <c r="AA1487" i="15"/>
  <c r="AE1503" i="15"/>
  <c r="W1503" i="15"/>
  <c r="O1503" i="15"/>
  <c r="G1503" i="15"/>
  <c r="AD1503" i="15"/>
  <c r="V1503" i="15"/>
  <c r="N1503" i="15"/>
  <c r="AC1503" i="15"/>
  <c r="U1503" i="15"/>
  <c r="M1503" i="15"/>
  <c r="AA1503" i="15"/>
  <c r="P1503" i="15"/>
  <c r="Y1503" i="15"/>
  <c r="K1503" i="15"/>
  <c r="J1503" i="15"/>
  <c r="AB1503" i="15"/>
  <c r="AC1524" i="15"/>
  <c r="U1524" i="15"/>
  <c r="M1524" i="15"/>
  <c r="AB1524" i="15"/>
  <c r="T1524" i="15"/>
  <c r="L1524" i="15"/>
  <c r="AA1524" i="15"/>
  <c r="S1524" i="15"/>
  <c r="K1524" i="15"/>
  <c r="AF1524" i="15"/>
  <c r="R1524" i="15"/>
  <c r="G1524" i="15"/>
  <c r="AD1524" i="15"/>
  <c r="P1524" i="15"/>
  <c r="J1524" i="15"/>
  <c r="Z1524" i="15"/>
  <c r="AC1528" i="15"/>
  <c r="U1528" i="15"/>
  <c r="M1528" i="15"/>
  <c r="AB1528" i="15"/>
  <c r="T1528" i="15"/>
  <c r="L1528" i="15"/>
  <c r="AA1528" i="15"/>
  <c r="S1528" i="15"/>
  <c r="K1528" i="15"/>
  <c r="AE1528" i="15"/>
  <c r="Q1528" i="15"/>
  <c r="Z1528" i="15"/>
  <c r="O1528" i="15"/>
  <c r="I1528" i="15"/>
  <c r="Y1528" i="15"/>
  <c r="AF1571" i="15"/>
  <c r="X1571" i="15"/>
  <c r="P1571" i="15"/>
  <c r="H1571" i="15"/>
  <c r="AE1571" i="15"/>
  <c r="W1571" i="15"/>
  <c r="O1571" i="15"/>
  <c r="G1571" i="15"/>
  <c r="AD1571" i="15"/>
  <c r="V1571" i="15"/>
  <c r="N1571" i="15"/>
  <c r="AC1571" i="15"/>
  <c r="U1571" i="15"/>
  <c r="M1571" i="15"/>
  <c r="AH1571" i="15"/>
  <c r="R1571" i="15"/>
  <c r="AB1571" i="15"/>
  <c r="L1571" i="15"/>
  <c r="K1571" i="15"/>
  <c r="AD1572" i="15"/>
  <c r="V1572" i="15"/>
  <c r="N1572" i="15"/>
  <c r="AC1572" i="15"/>
  <c r="U1572" i="15"/>
  <c r="M1572" i="15"/>
  <c r="AB1572" i="15"/>
  <c r="T1572" i="15"/>
  <c r="L1572" i="15"/>
  <c r="AA1572" i="15"/>
  <c r="S1572" i="15"/>
  <c r="K1572" i="15"/>
  <c r="X1572" i="15"/>
  <c r="H1572" i="15"/>
  <c r="AH1572" i="15"/>
  <c r="R1572" i="15"/>
  <c r="J1572" i="15"/>
  <c r="AF1572" i="15"/>
  <c r="AD1600" i="15"/>
  <c r="V1600" i="15"/>
  <c r="N1600" i="15"/>
  <c r="AC1600" i="15"/>
  <c r="U1600" i="15"/>
  <c r="M1600" i="15"/>
  <c r="AB1600" i="15"/>
  <c r="T1600" i="15"/>
  <c r="L1600" i="15"/>
  <c r="AA1600" i="15"/>
  <c r="S1600" i="15"/>
  <c r="K1600" i="15"/>
  <c r="AF1600" i="15"/>
  <c r="P1600" i="15"/>
  <c r="Z1600" i="15"/>
  <c r="J1600" i="15"/>
  <c r="I1600" i="15"/>
  <c r="AG1600" i="15"/>
  <c r="AF1607" i="15"/>
  <c r="X1607" i="15"/>
  <c r="P1607" i="15"/>
  <c r="H1607" i="15"/>
  <c r="AE1607" i="15"/>
  <c r="W1607" i="15"/>
  <c r="O1607" i="15"/>
  <c r="G1607" i="15"/>
  <c r="AD1607" i="15"/>
  <c r="V1607" i="15"/>
  <c r="N1607" i="15"/>
  <c r="AC1607" i="15"/>
  <c r="U1607" i="15"/>
  <c r="M1607" i="15"/>
  <c r="Z1607" i="15"/>
  <c r="J1607" i="15"/>
  <c r="T1607" i="15"/>
  <c r="L1607" i="15"/>
  <c r="AH1607" i="15"/>
  <c r="AF1667" i="15"/>
  <c r="X1667" i="15"/>
  <c r="P1667" i="15"/>
  <c r="H1667" i="15"/>
  <c r="AE1667" i="15"/>
  <c r="W1667" i="15"/>
  <c r="O1667" i="15"/>
  <c r="G1667" i="15"/>
  <c r="AD1667" i="15"/>
  <c r="V1667" i="15"/>
  <c r="N1667" i="15"/>
  <c r="AC1667" i="15"/>
  <c r="U1667" i="15"/>
  <c r="M1667" i="15"/>
  <c r="AH1667" i="15"/>
  <c r="R1667" i="15"/>
  <c r="AG1667" i="15"/>
  <c r="Q1667" i="15"/>
  <c r="AB1667" i="15"/>
  <c r="L1667" i="15"/>
  <c r="K1667" i="15"/>
  <c r="AF1791" i="15"/>
  <c r="X1791" i="15"/>
  <c r="P1791" i="15"/>
  <c r="H1791" i="15"/>
  <c r="AE1791" i="15"/>
  <c r="W1791" i="15"/>
  <c r="O1791" i="15"/>
  <c r="G1791" i="15"/>
  <c r="AD1791" i="15"/>
  <c r="V1791" i="15"/>
  <c r="N1791" i="15"/>
  <c r="AC1791" i="15"/>
  <c r="U1791" i="15"/>
  <c r="M1791" i="15"/>
  <c r="Y1791" i="15"/>
  <c r="I1791" i="15"/>
  <c r="T1791" i="15"/>
  <c r="S1791" i="15"/>
  <c r="L1791" i="15"/>
  <c r="G4" i="16"/>
  <c r="F4" i="16"/>
  <c r="M4" i="16"/>
  <c r="E4" i="16"/>
  <c r="I4" i="9" s="1"/>
  <c r="L4" i="16"/>
  <c r="T4" i="16"/>
  <c r="P4" i="16"/>
  <c r="H4" i="9" s="1"/>
  <c r="P9" i="16"/>
  <c r="H9" i="9" s="1"/>
  <c r="F9" i="16"/>
  <c r="P40" i="16"/>
  <c r="H40" i="9" s="1"/>
  <c r="F40" i="16"/>
  <c r="J70" i="16"/>
  <c r="I70" i="16"/>
  <c r="H70" i="16"/>
  <c r="F79" i="16"/>
  <c r="L79" i="16"/>
  <c r="G79" i="16"/>
  <c r="P79" i="16"/>
  <c r="H79" i="9" s="1"/>
  <c r="E79" i="16"/>
  <c r="I79" i="9" s="1"/>
  <c r="M79" i="16"/>
  <c r="K79" i="16"/>
  <c r="J79" i="16"/>
  <c r="I79" i="16"/>
  <c r="L97" i="16"/>
  <c r="K97" i="16"/>
  <c r="J97" i="16"/>
  <c r="F97" i="16"/>
  <c r="E97" i="16"/>
  <c r="I97" i="16"/>
  <c r="H97" i="16"/>
  <c r="G97" i="16"/>
  <c r="J98" i="16"/>
  <c r="H98" i="16"/>
  <c r="G98" i="16"/>
  <c r="E98" i="16"/>
  <c r="M98" i="16"/>
  <c r="L98" i="16"/>
  <c r="M111" i="16"/>
  <c r="E111" i="16"/>
  <c r="L111" i="16"/>
  <c r="G111" i="16"/>
  <c r="I111" i="16"/>
  <c r="H111" i="16"/>
  <c r="T114" i="16"/>
  <c r="P167" i="16"/>
  <c r="H167" i="9" s="1"/>
  <c r="F167" i="16"/>
  <c r="P175" i="16"/>
  <c r="H175" i="9" s="1"/>
  <c r="F175" i="16"/>
  <c r="G209" i="16"/>
  <c r="F209" i="16"/>
  <c r="M209" i="16"/>
  <c r="E209" i="16"/>
  <c r="I209" i="9" s="1"/>
  <c r="J209" i="16"/>
  <c r="I209" i="16"/>
  <c r="H209" i="16"/>
  <c r="T209" i="16"/>
  <c r="P209" i="16"/>
  <c r="H209" i="9" s="1"/>
  <c r="L209" i="16"/>
  <c r="K209" i="16"/>
  <c r="J286" i="16"/>
  <c r="K286" i="16"/>
  <c r="G286" i="16"/>
  <c r="M286" i="16"/>
  <c r="M295" i="16"/>
  <c r="L295" i="16"/>
  <c r="K295" i="16"/>
  <c r="O295" i="16" s="1"/>
  <c r="J295" i="16"/>
  <c r="L316" i="16"/>
  <c r="K316" i="16"/>
  <c r="J316" i="16"/>
  <c r="G316" i="16"/>
  <c r="P316" i="16"/>
  <c r="H316" i="9" s="1"/>
  <c r="E316" i="16"/>
  <c r="I316" i="9" s="1"/>
  <c r="M316" i="16"/>
  <c r="I316" i="16"/>
  <c r="H316" i="16"/>
  <c r="H325" i="16"/>
  <c r="G325" i="16"/>
  <c r="E325" i="16"/>
  <c r="M325" i="16"/>
  <c r="L325" i="16"/>
  <c r="L332" i="16"/>
  <c r="K332" i="16"/>
  <c r="J332" i="16"/>
  <c r="P332" i="16"/>
  <c r="H332" i="9" s="1"/>
  <c r="E332" i="16"/>
  <c r="O332" i="16"/>
  <c r="M332" i="16"/>
  <c r="F332" i="16"/>
  <c r="G332" i="16"/>
  <c r="J350" i="16"/>
  <c r="K350" i="16"/>
  <c r="G350" i="16"/>
  <c r="M350" i="16"/>
  <c r="M363" i="16"/>
  <c r="E363" i="16"/>
  <c r="L363" i="16"/>
  <c r="K363" i="16"/>
  <c r="G363" i="16"/>
  <c r="O363" i="16"/>
  <c r="H363" i="16"/>
  <c r="I363" i="16"/>
  <c r="E381" i="16"/>
  <c r="K385" i="16"/>
  <c r="O385" i="16" s="1"/>
  <c r="J385" i="16"/>
  <c r="M408" i="16"/>
  <c r="K408" i="16"/>
  <c r="J408" i="16"/>
  <c r="I408" i="16"/>
  <c r="P412" i="16"/>
  <c r="H412" i="9" s="1"/>
  <c r="F412" i="16"/>
  <c r="T412" i="16"/>
  <c r="P421" i="16"/>
  <c r="H421" i="9" s="1"/>
  <c r="F421" i="16"/>
  <c r="P424" i="16"/>
  <c r="H424" i="9" s="1"/>
  <c r="H424" i="16"/>
  <c r="G424" i="16"/>
  <c r="F424" i="16"/>
  <c r="K424" i="16"/>
  <c r="J424" i="16"/>
  <c r="I424" i="16"/>
  <c r="E424" i="16"/>
  <c r="I424" i="9" s="1"/>
  <c r="T424" i="16"/>
  <c r="M424" i="16"/>
  <c r="L424" i="16"/>
  <c r="F485" i="16"/>
  <c r="K501" i="16"/>
  <c r="M501" i="16"/>
  <c r="L501" i="16"/>
  <c r="H501" i="16"/>
  <c r="G501" i="16"/>
  <c r="E501" i="16"/>
  <c r="H616" i="16"/>
  <c r="O616" i="16"/>
  <c r="G616" i="16"/>
  <c r="K616" i="16"/>
  <c r="J616" i="16"/>
  <c r="I616" i="16"/>
  <c r="E616" i="16"/>
  <c r="M616" i="16"/>
  <c r="L616" i="16"/>
  <c r="L639" i="16"/>
  <c r="M722" i="16"/>
  <c r="E722" i="16"/>
  <c r="L722" i="16"/>
  <c r="G722" i="16"/>
  <c r="I722" i="16"/>
  <c r="H722" i="16"/>
  <c r="K722" i="16"/>
  <c r="O722" i="16" s="1"/>
  <c r="J722" i="16"/>
  <c r="L744" i="16"/>
  <c r="M803" i="16"/>
  <c r="E803" i="16"/>
  <c r="L803" i="16"/>
  <c r="K803" i="16"/>
  <c r="H803" i="16"/>
  <c r="G803" i="16"/>
  <c r="F803" i="16"/>
  <c r="J803" i="16"/>
  <c r="I803" i="16"/>
  <c r="O803" i="16" s="1"/>
  <c r="M846" i="16"/>
  <c r="L846" i="16"/>
  <c r="K846" i="16"/>
  <c r="G846" i="16"/>
  <c r="F890" i="16"/>
  <c r="M890" i="16"/>
  <c r="E890" i="16"/>
  <c r="L890" i="16"/>
  <c r="J890" i="16"/>
  <c r="I890" i="16"/>
  <c r="O890" i="16" s="1"/>
  <c r="H890" i="16"/>
  <c r="G890" i="16"/>
  <c r="K890" i="16"/>
  <c r="F932" i="16"/>
  <c r="M954" i="16"/>
  <c r="E954" i="16"/>
  <c r="L954" i="16"/>
  <c r="J954" i="16"/>
  <c r="I954" i="16"/>
  <c r="O954" i="16" s="1"/>
  <c r="H954" i="16"/>
  <c r="G954" i="16"/>
  <c r="K954" i="16"/>
  <c r="L965" i="16"/>
  <c r="J1149" i="16"/>
  <c r="H1149" i="16"/>
  <c r="G1149" i="16"/>
  <c r="E1149" i="16"/>
  <c r="M1149" i="16"/>
  <c r="F1190" i="16"/>
  <c r="F1191" i="16"/>
  <c r="H1222" i="16"/>
  <c r="M1222" i="16"/>
  <c r="L1222" i="16"/>
  <c r="K1222" i="16"/>
  <c r="G1222" i="16"/>
  <c r="L1645" i="16"/>
  <c r="P1645" i="16"/>
  <c r="G1645" i="16"/>
  <c r="O1645" i="16"/>
  <c r="F1645" i="16"/>
  <c r="N1645" i="16"/>
  <c r="E1645" i="16"/>
  <c r="K1645" i="16"/>
  <c r="J1645" i="16"/>
  <c r="I1645" i="16"/>
  <c r="H1645" i="16"/>
  <c r="T1645" i="16"/>
  <c r="M1645" i="16"/>
  <c r="P2081" i="16"/>
  <c r="H2081" i="16"/>
  <c r="O2081" i="16"/>
  <c r="F2081" i="16"/>
  <c r="N2081" i="16"/>
  <c r="E2081" i="16"/>
  <c r="M2081" i="16"/>
  <c r="G2081" i="16"/>
  <c r="T2081" i="16"/>
  <c r="J2081" i="16"/>
  <c r="I2081" i="16"/>
  <c r="L2081" i="16"/>
  <c r="K2081" i="16"/>
  <c r="K2198" i="16"/>
  <c r="T2198" i="16"/>
  <c r="H2198" i="16"/>
  <c r="P2198" i="16"/>
  <c r="G2198" i="16"/>
  <c r="O2198" i="16"/>
  <c r="F2198" i="16"/>
  <c r="J2198" i="16"/>
  <c r="I2198" i="16"/>
  <c r="E2198" i="16"/>
  <c r="M2198" i="16"/>
  <c r="L2198" i="16"/>
  <c r="N2198" i="16"/>
  <c r="M2348" i="16"/>
  <c r="E2348" i="16"/>
  <c r="P2348" i="16"/>
  <c r="G2348" i="16"/>
  <c r="O2348" i="16"/>
  <c r="F2348" i="16"/>
  <c r="N2348" i="16"/>
  <c r="K2348" i="16"/>
  <c r="J2348" i="16"/>
  <c r="I2348" i="16"/>
  <c r="H2348" i="16"/>
  <c r="T2348" i="16"/>
  <c r="L2348" i="16"/>
  <c r="K2591" i="16"/>
  <c r="J2591" i="16"/>
  <c r="H2591" i="16"/>
  <c r="T2591" i="16"/>
  <c r="G2591" i="16"/>
  <c r="P2591" i="16"/>
  <c r="F2591" i="16"/>
  <c r="M2591" i="16"/>
  <c r="L2591" i="16"/>
  <c r="E2591" i="16"/>
  <c r="N2591" i="16"/>
  <c r="I2591" i="16"/>
  <c r="O2591" i="16"/>
  <c r="O2643" i="16"/>
  <c r="G2643" i="16"/>
  <c r="N2643" i="16"/>
  <c r="F2643" i="16"/>
  <c r="H2643" i="16"/>
  <c r="T2643" i="16"/>
  <c r="E2643" i="16"/>
  <c r="P2643" i="16"/>
  <c r="J2643" i="16"/>
  <c r="I2643" i="16"/>
  <c r="L2643" i="16"/>
  <c r="K2643" i="16"/>
  <c r="M2643" i="16"/>
  <c r="K2703" i="16"/>
  <c r="J2703" i="16"/>
  <c r="P2703" i="16"/>
  <c r="F2703" i="16"/>
  <c r="O2703" i="16"/>
  <c r="E2703" i="16"/>
  <c r="N2703" i="16"/>
  <c r="L2703" i="16"/>
  <c r="I2703" i="16"/>
  <c r="G2703" i="16"/>
  <c r="H2703" i="16"/>
  <c r="T2703" i="16"/>
  <c r="M2703" i="16"/>
  <c r="K2815" i="16"/>
  <c r="J2815" i="16"/>
  <c r="N2815" i="16"/>
  <c r="M2815" i="16"/>
  <c r="L2815" i="16"/>
  <c r="G2815" i="16"/>
  <c r="F2815" i="16"/>
  <c r="T2815" i="16"/>
  <c r="I2815" i="16"/>
  <c r="H2815" i="16"/>
  <c r="E2815" i="16"/>
  <c r="P2815" i="16"/>
  <c r="O2815" i="16"/>
  <c r="M2997" i="16"/>
  <c r="E2997" i="16"/>
  <c r="L2997" i="16"/>
  <c r="I2997" i="16"/>
  <c r="H2997" i="16"/>
  <c r="T2997" i="16"/>
  <c r="G2997" i="16"/>
  <c r="K2997" i="16"/>
  <c r="J2997" i="16"/>
  <c r="P2997" i="16"/>
  <c r="O2997" i="16"/>
  <c r="N2997" i="16"/>
  <c r="F2997" i="16"/>
  <c r="M3045" i="16"/>
  <c r="E3045" i="16"/>
  <c r="L3045" i="16"/>
  <c r="T3045" i="16"/>
  <c r="G3045" i="16"/>
  <c r="P3045" i="16"/>
  <c r="F3045" i="16"/>
  <c r="O3045" i="16"/>
  <c r="K3045" i="16"/>
  <c r="N3045" i="16"/>
  <c r="J3045" i="16"/>
  <c r="I3045" i="16"/>
  <c r="H3045" i="16"/>
  <c r="AL242" i="17"/>
  <c r="AD242" i="17"/>
  <c r="V242" i="17"/>
  <c r="N242" i="17"/>
  <c r="AK242" i="17"/>
  <c r="AC242" i="17"/>
  <c r="U242" i="17"/>
  <c r="M242" i="17"/>
  <c r="AN242" i="17"/>
  <c r="AB242" i="17"/>
  <c r="R242" i="17"/>
  <c r="AJ242" i="17"/>
  <c r="Y242" i="17"/>
  <c r="L242" i="17"/>
  <c r="AI242" i="17"/>
  <c r="X242" i="17"/>
  <c r="K242" i="17"/>
  <c r="AH242" i="17"/>
  <c r="W242" i="17"/>
  <c r="J242" i="17"/>
  <c r="AO242" i="17"/>
  <c r="S242" i="17"/>
  <c r="AM242" i="17"/>
  <c r="Q242" i="17"/>
  <c r="AG242" i="17"/>
  <c r="P242" i="17"/>
  <c r="AE242" i="17"/>
  <c r="AA242" i="17"/>
  <c r="Z242" i="17"/>
  <c r="AP242" i="17"/>
  <c r="AF242" i="17"/>
  <c r="AQ242" i="17"/>
  <c r="AR242" i="17"/>
  <c r="T242" i="17"/>
  <c r="O242" i="17"/>
  <c r="H3" i="15"/>
  <c r="Q3" i="15"/>
  <c r="Z4" i="15"/>
  <c r="R4" i="15"/>
  <c r="J4" i="15"/>
  <c r="I4" i="15"/>
  <c r="AG4" i="15" s="1"/>
  <c r="Q4" i="7" s="1"/>
  <c r="S4" i="15"/>
  <c r="AB4" i="15"/>
  <c r="X9" i="15"/>
  <c r="P9" i="15"/>
  <c r="H9" i="15"/>
  <c r="AF9" i="15" s="1"/>
  <c r="J9" i="15"/>
  <c r="S9" i="15"/>
  <c r="AB9" i="15"/>
  <c r="V14" i="15"/>
  <c r="N14" i="15"/>
  <c r="I14" i="15"/>
  <c r="R14" i="15"/>
  <c r="AA14" i="15"/>
  <c r="J15" i="15"/>
  <c r="S15" i="15"/>
  <c r="AC15" i="15"/>
  <c r="H19" i="15"/>
  <c r="Q19" i="15"/>
  <c r="Z20" i="15"/>
  <c r="R20" i="15"/>
  <c r="J20" i="15"/>
  <c r="I20" i="15"/>
  <c r="AG20" i="15" s="1"/>
  <c r="Q20" i="7" s="1"/>
  <c r="S20" i="15"/>
  <c r="AB20" i="15"/>
  <c r="X25" i="15"/>
  <c r="P25" i="15"/>
  <c r="H25" i="15"/>
  <c r="AF25" i="15" s="1"/>
  <c r="J25" i="15"/>
  <c r="S25" i="15"/>
  <c r="AB25" i="15"/>
  <c r="V30" i="15"/>
  <c r="N30" i="15"/>
  <c r="I30" i="15"/>
  <c r="R30" i="15"/>
  <c r="AA30" i="15"/>
  <c r="J31" i="15"/>
  <c r="S31" i="15"/>
  <c r="AC31" i="15"/>
  <c r="H35" i="15"/>
  <c r="Q35" i="15"/>
  <c r="Z36" i="15"/>
  <c r="R36" i="15"/>
  <c r="J36" i="15"/>
  <c r="I36" i="15"/>
  <c r="AG36" i="15" s="1"/>
  <c r="Q36" i="7" s="1"/>
  <c r="S36" i="15"/>
  <c r="AB36" i="15"/>
  <c r="X41" i="15"/>
  <c r="P41" i="15"/>
  <c r="H41" i="15"/>
  <c r="J41" i="15"/>
  <c r="S41" i="15"/>
  <c r="AB41" i="15"/>
  <c r="V46" i="15"/>
  <c r="N46" i="15"/>
  <c r="I46" i="15"/>
  <c r="R46" i="15"/>
  <c r="AA46" i="15"/>
  <c r="J47" i="15"/>
  <c r="S47" i="15"/>
  <c r="AC47" i="15"/>
  <c r="H51" i="15"/>
  <c r="AF51" i="15" s="1"/>
  <c r="Q51" i="15"/>
  <c r="Z52" i="15"/>
  <c r="R52" i="15"/>
  <c r="J52" i="15"/>
  <c r="I52" i="15"/>
  <c r="AG52" i="15" s="1"/>
  <c r="Q52" i="7" s="1"/>
  <c r="S52" i="15"/>
  <c r="AB52" i="15"/>
  <c r="X57" i="15"/>
  <c r="P57" i="15"/>
  <c r="H57" i="15"/>
  <c r="J57" i="15"/>
  <c r="S57" i="15"/>
  <c r="AB57" i="15"/>
  <c r="V62" i="15"/>
  <c r="N62" i="15"/>
  <c r="I62" i="15"/>
  <c r="AG62" i="15" s="1"/>
  <c r="Q62" i="7" s="1"/>
  <c r="R62" i="15"/>
  <c r="AA62" i="15"/>
  <c r="J63" i="15"/>
  <c r="S63" i="15"/>
  <c r="AC63" i="15"/>
  <c r="H67" i="15"/>
  <c r="Q67" i="15"/>
  <c r="Z68" i="15"/>
  <c r="R68" i="15"/>
  <c r="J68" i="15"/>
  <c r="I68" i="15"/>
  <c r="AG68" i="15" s="1"/>
  <c r="Q68" i="7" s="1"/>
  <c r="S68" i="15"/>
  <c r="AB68" i="15"/>
  <c r="X73" i="15"/>
  <c r="P73" i="15"/>
  <c r="H73" i="15"/>
  <c r="J73" i="15"/>
  <c r="S73" i="15"/>
  <c r="AB73" i="15"/>
  <c r="V78" i="15"/>
  <c r="N78" i="15"/>
  <c r="I78" i="15"/>
  <c r="AG78" i="15" s="1"/>
  <c r="Q78" i="7" s="1"/>
  <c r="R78" i="15"/>
  <c r="AA78" i="15"/>
  <c r="J79" i="15"/>
  <c r="S79" i="15"/>
  <c r="AC79" i="15"/>
  <c r="H83" i="15"/>
  <c r="Q83" i="15"/>
  <c r="Z84" i="15"/>
  <c r="R84" i="15"/>
  <c r="J84" i="15"/>
  <c r="I84" i="15"/>
  <c r="AG84" i="15" s="1"/>
  <c r="Q84" i="7" s="1"/>
  <c r="S84" i="15"/>
  <c r="AB84" i="15"/>
  <c r="AF89" i="15"/>
  <c r="X89" i="15"/>
  <c r="P89" i="15"/>
  <c r="H89" i="15"/>
  <c r="J89" i="15"/>
  <c r="S89" i="15"/>
  <c r="AB89" i="15"/>
  <c r="V94" i="15"/>
  <c r="N94" i="15"/>
  <c r="I94" i="15"/>
  <c r="R94" i="15"/>
  <c r="AA94" i="15"/>
  <c r="J95" i="15"/>
  <c r="S95" i="15"/>
  <c r="AC95" i="15"/>
  <c r="H99" i="15"/>
  <c r="AF99" i="15" s="1"/>
  <c r="Q99" i="15"/>
  <c r="Z100" i="15"/>
  <c r="R100" i="15"/>
  <c r="J100" i="15"/>
  <c r="I100" i="15"/>
  <c r="AG100" i="15" s="1"/>
  <c r="Q100" i="7" s="1"/>
  <c r="S100" i="15"/>
  <c r="AB100" i="15"/>
  <c r="AF105" i="15"/>
  <c r="X105" i="15"/>
  <c r="P105" i="15"/>
  <c r="H105" i="15"/>
  <c r="J105" i="15"/>
  <c r="S105" i="15"/>
  <c r="AB105" i="15"/>
  <c r="V110" i="15"/>
  <c r="N110" i="15"/>
  <c r="I110" i="15"/>
  <c r="R110" i="15"/>
  <c r="AA110" i="15"/>
  <c r="J111" i="15"/>
  <c r="S111" i="15"/>
  <c r="AC111" i="15"/>
  <c r="H115" i="15"/>
  <c r="AF115" i="15" s="1"/>
  <c r="Q115" i="15"/>
  <c r="Z116" i="15"/>
  <c r="R116" i="15"/>
  <c r="J116" i="15"/>
  <c r="I116" i="15"/>
  <c r="AG116" i="15" s="1"/>
  <c r="Q116" i="7" s="1"/>
  <c r="S116" i="15"/>
  <c r="AB116" i="15"/>
  <c r="AF121" i="15"/>
  <c r="X121" i="15"/>
  <c r="P121" i="15"/>
  <c r="H121" i="15"/>
  <c r="J121" i="15"/>
  <c r="S121" i="15"/>
  <c r="AB121" i="15"/>
  <c r="V126" i="15"/>
  <c r="N126" i="15"/>
  <c r="I126" i="15"/>
  <c r="R126" i="15"/>
  <c r="AA126" i="15"/>
  <c r="J127" i="15"/>
  <c r="S127" i="15"/>
  <c r="AC127" i="15"/>
  <c r="H131" i="15"/>
  <c r="AF131" i="15" s="1"/>
  <c r="Q131" i="15"/>
  <c r="Z132" i="15"/>
  <c r="R132" i="15"/>
  <c r="J132" i="15"/>
  <c r="I132" i="15"/>
  <c r="AG132" i="15" s="1"/>
  <c r="Q132" i="7" s="1"/>
  <c r="S132" i="15"/>
  <c r="AB132" i="15"/>
  <c r="X137" i="15"/>
  <c r="P137" i="15"/>
  <c r="H137" i="15"/>
  <c r="AF137" i="15" s="1"/>
  <c r="J137" i="15"/>
  <c r="S137" i="15"/>
  <c r="AB137" i="15"/>
  <c r="V142" i="15"/>
  <c r="N142" i="15"/>
  <c r="I142" i="15"/>
  <c r="R142" i="15"/>
  <c r="AA142" i="15"/>
  <c r="J143" i="15"/>
  <c r="S143" i="15"/>
  <c r="AC143" i="15"/>
  <c r="G146" i="15"/>
  <c r="P146" i="15"/>
  <c r="Y146" i="15"/>
  <c r="H147" i="15"/>
  <c r="Q147" i="15"/>
  <c r="Z148" i="15"/>
  <c r="R148" i="15"/>
  <c r="J148" i="15"/>
  <c r="I148" i="15"/>
  <c r="AG148" i="15" s="1"/>
  <c r="Q148" i="7" s="1"/>
  <c r="S148" i="15"/>
  <c r="AB148" i="15"/>
  <c r="G152" i="15"/>
  <c r="P152" i="15"/>
  <c r="X153" i="15"/>
  <c r="P153" i="15"/>
  <c r="H153" i="15"/>
  <c r="J153" i="15"/>
  <c r="S153" i="15"/>
  <c r="AB153" i="15"/>
  <c r="G157" i="15"/>
  <c r="Q157" i="15"/>
  <c r="V158" i="15"/>
  <c r="N158" i="15"/>
  <c r="I158" i="15"/>
  <c r="R158" i="15"/>
  <c r="AA158" i="15"/>
  <c r="J159" i="15"/>
  <c r="S159" i="15"/>
  <c r="AC159" i="15"/>
  <c r="G162" i="15"/>
  <c r="P162" i="15"/>
  <c r="Y162" i="15"/>
  <c r="H163" i="15"/>
  <c r="Q163" i="15"/>
  <c r="Z164" i="15"/>
  <c r="R164" i="15"/>
  <c r="J164" i="15"/>
  <c r="I164" i="15"/>
  <c r="AG164" i="15" s="1"/>
  <c r="Q164" i="7" s="1"/>
  <c r="S164" i="15"/>
  <c r="AB164" i="15"/>
  <c r="G168" i="15"/>
  <c r="P168" i="15"/>
  <c r="X169" i="15"/>
  <c r="P169" i="15"/>
  <c r="H169" i="15"/>
  <c r="J169" i="15"/>
  <c r="S169" i="15"/>
  <c r="AB169" i="15"/>
  <c r="G173" i="15"/>
  <c r="Q173" i="15"/>
  <c r="V174" i="15"/>
  <c r="N174" i="15"/>
  <c r="I174" i="15"/>
  <c r="R174" i="15"/>
  <c r="AA174" i="15"/>
  <c r="J175" i="15"/>
  <c r="S175" i="15"/>
  <c r="AC175" i="15"/>
  <c r="P178" i="15"/>
  <c r="Y178" i="15"/>
  <c r="AH178" i="15"/>
  <c r="Q179" i="15"/>
  <c r="AH180" i="15"/>
  <c r="Z180" i="15"/>
  <c r="R180" i="15"/>
  <c r="J180" i="15"/>
  <c r="I180" i="15"/>
  <c r="S180" i="15"/>
  <c r="AB180" i="15"/>
  <c r="P184" i="15"/>
  <c r="Y184" i="15"/>
  <c r="AF185" i="15"/>
  <c r="X185" i="15"/>
  <c r="P185" i="15"/>
  <c r="H185" i="15"/>
  <c r="J185" i="15"/>
  <c r="S185" i="15"/>
  <c r="AB185" i="15"/>
  <c r="Q189" i="15"/>
  <c r="Z189" i="15"/>
  <c r="AD190" i="15"/>
  <c r="V190" i="15"/>
  <c r="N190" i="15"/>
  <c r="I190" i="15"/>
  <c r="R190" i="15"/>
  <c r="AA190" i="15"/>
  <c r="J191" i="15"/>
  <c r="S191" i="15"/>
  <c r="AC191" i="15"/>
  <c r="G194" i="15"/>
  <c r="P194" i="15"/>
  <c r="Y194" i="15"/>
  <c r="AH194" i="15"/>
  <c r="H195" i="15"/>
  <c r="Q195" i="15"/>
  <c r="AH196" i="15"/>
  <c r="Z196" i="15"/>
  <c r="R196" i="15"/>
  <c r="J196" i="15"/>
  <c r="I196" i="15"/>
  <c r="S196" i="15"/>
  <c r="AB196" i="15"/>
  <c r="AF201" i="15"/>
  <c r="X201" i="15"/>
  <c r="P201" i="15"/>
  <c r="H201" i="15"/>
  <c r="J201" i="15"/>
  <c r="S201" i="15"/>
  <c r="AB201" i="15"/>
  <c r="Q205" i="15"/>
  <c r="Z205" i="15"/>
  <c r="AD206" i="15"/>
  <c r="V206" i="15"/>
  <c r="N206" i="15"/>
  <c r="I206" i="15"/>
  <c r="R206" i="15"/>
  <c r="AA206" i="15"/>
  <c r="J207" i="15"/>
  <c r="S207" i="15"/>
  <c r="AC207" i="15"/>
  <c r="G210" i="15"/>
  <c r="P210" i="15"/>
  <c r="Y210" i="15"/>
  <c r="AH210" i="15"/>
  <c r="H211" i="15"/>
  <c r="Q211" i="15"/>
  <c r="AH212" i="15"/>
  <c r="Z212" i="15"/>
  <c r="R212" i="15"/>
  <c r="J212" i="15"/>
  <c r="I212" i="15"/>
  <c r="S212" i="15"/>
  <c r="AB212" i="15"/>
  <c r="G216" i="15"/>
  <c r="P216" i="15"/>
  <c r="Y216" i="15"/>
  <c r="AF217" i="15"/>
  <c r="X217" i="15"/>
  <c r="P217" i="15"/>
  <c r="H217" i="15"/>
  <c r="J217" i="15"/>
  <c r="S217" i="15"/>
  <c r="AB217" i="15"/>
  <c r="G221" i="15"/>
  <c r="Q221" i="15"/>
  <c r="Z221" i="15"/>
  <c r="AD222" i="15"/>
  <c r="V222" i="15"/>
  <c r="N222" i="15"/>
  <c r="I222" i="15"/>
  <c r="R222" i="15"/>
  <c r="AA222" i="15"/>
  <c r="J223" i="15"/>
  <c r="S223" i="15"/>
  <c r="AC223" i="15"/>
  <c r="G226" i="15"/>
  <c r="P226" i="15"/>
  <c r="Y226" i="15"/>
  <c r="AH226" i="15"/>
  <c r="Q227" i="15"/>
  <c r="AH228" i="15"/>
  <c r="Z228" i="15"/>
  <c r="R228" i="15"/>
  <c r="J228" i="15"/>
  <c r="I228" i="15"/>
  <c r="S228" i="15"/>
  <c r="AB228" i="15"/>
  <c r="G232" i="15"/>
  <c r="P232" i="15"/>
  <c r="Y232" i="15"/>
  <c r="AF233" i="15"/>
  <c r="X233" i="15"/>
  <c r="P233" i="15"/>
  <c r="H233" i="15"/>
  <c r="J233" i="15"/>
  <c r="S233" i="15"/>
  <c r="AB233" i="15"/>
  <c r="Z237" i="15"/>
  <c r="AD238" i="15"/>
  <c r="V238" i="15"/>
  <c r="N238" i="15"/>
  <c r="I238" i="15"/>
  <c r="R238" i="15"/>
  <c r="AA238" i="15"/>
  <c r="J239" i="15"/>
  <c r="S239" i="15"/>
  <c r="AC239" i="15"/>
  <c r="G242" i="15"/>
  <c r="P242" i="15"/>
  <c r="Y242" i="15"/>
  <c r="AH242" i="15"/>
  <c r="Q243" i="15"/>
  <c r="AH244" i="15"/>
  <c r="Z244" i="15"/>
  <c r="R244" i="15"/>
  <c r="J244" i="15"/>
  <c r="I244" i="15"/>
  <c r="S244" i="15"/>
  <c r="AB244" i="15"/>
  <c r="G248" i="15"/>
  <c r="P248" i="15"/>
  <c r="Y248" i="15"/>
  <c r="AF249" i="15"/>
  <c r="X249" i="15"/>
  <c r="P249" i="15"/>
  <c r="H249" i="15"/>
  <c r="J249" i="15"/>
  <c r="S249" i="15"/>
  <c r="AB249" i="15"/>
  <c r="AD254" i="15"/>
  <c r="V254" i="15"/>
  <c r="N254" i="15"/>
  <c r="I254" i="15"/>
  <c r="R254" i="15"/>
  <c r="AA254" i="15"/>
  <c r="J255" i="15"/>
  <c r="S255" i="15"/>
  <c r="AC255" i="15"/>
  <c r="AH258" i="15"/>
  <c r="AH260" i="15"/>
  <c r="Z260" i="15"/>
  <c r="R260" i="15"/>
  <c r="J260" i="15"/>
  <c r="I260" i="15"/>
  <c r="S260" i="15"/>
  <c r="AB260" i="15"/>
  <c r="G264" i="15"/>
  <c r="P264" i="15"/>
  <c r="Y264" i="15"/>
  <c r="AF265" i="15"/>
  <c r="X265" i="15"/>
  <c r="P265" i="15"/>
  <c r="H265" i="15"/>
  <c r="J265" i="15"/>
  <c r="S265" i="15"/>
  <c r="AB265" i="15"/>
  <c r="G269" i="15"/>
  <c r="Q269" i="15"/>
  <c r="Z269" i="15"/>
  <c r="AD270" i="15"/>
  <c r="V270" i="15"/>
  <c r="N270" i="15"/>
  <c r="I270" i="15"/>
  <c r="R270" i="15"/>
  <c r="AA270" i="15"/>
  <c r="J271" i="15"/>
  <c r="S271" i="15"/>
  <c r="AC271" i="15"/>
  <c r="P274" i="15"/>
  <c r="Y274" i="15"/>
  <c r="AH274" i="15"/>
  <c r="Q275" i="15"/>
  <c r="AH276" i="15"/>
  <c r="Z276" i="15"/>
  <c r="R276" i="15"/>
  <c r="J276" i="15"/>
  <c r="I276" i="15"/>
  <c r="S276" i="15"/>
  <c r="AB276" i="15"/>
  <c r="G280" i="15"/>
  <c r="P280" i="15"/>
  <c r="Y280" i="15"/>
  <c r="AF281" i="15"/>
  <c r="X281" i="15"/>
  <c r="P281" i="15"/>
  <c r="H281" i="15"/>
  <c r="J281" i="15"/>
  <c r="S281" i="15"/>
  <c r="AB281" i="15"/>
  <c r="G285" i="15"/>
  <c r="Q285" i="15"/>
  <c r="Z285" i="15"/>
  <c r="AD286" i="15"/>
  <c r="V286" i="15"/>
  <c r="N286" i="15"/>
  <c r="I286" i="15"/>
  <c r="R286" i="15"/>
  <c r="AA286" i="15"/>
  <c r="J287" i="15"/>
  <c r="S287" i="15"/>
  <c r="AC287" i="15"/>
  <c r="P290" i="15"/>
  <c r="Y290" i="15"/>
  <c r="AH290" i="15"/>
  <c r="Q291" i="15"/>
  <c r="AH292" i="15"/>
  <c r="Z292" i="15"/>
  <c r="R292" i="15"/>
  <c r="J292" i="15"/>
  <c r="I292" i="15"/>
  <c r="S292" i="15"/>
  <c r="AB292" i="15"/>
  <c r="G296" i="15"/>
  <c r="P296" i="15"/>
  <c r="Y296" i="15"/>
  <c r="AF297" i="15"/>
  <c r="X297" i="15"/>
  <c r="P297" i="15"/>
  <c r="H297" i="15"/>
  <c r="J297" i="15"/>
  <c r="S297" i="15"/>
  <c r="AB297" i="15"/>
  <c r="G301" i="15"/>
  <c r="Q301" i="15"/>
  <c r="Z301" i="15"/>
  <c r="AD302" i="15"/>
  <c r="V302" i="15"/>
  <c r="N302" i="15"/>
  <c r="I302" i="15"/>
  <c r="R302" i="15"/>
  <c r="AA302" i="15"/>
  <c r="J303" i="15"/>
  <c r="S303" i="15"/>
  <c r="AC303" i="15"/>
  <c r="G306" i="15"/>
  <c r="P306" i="15"/>
  <c r="Y306" i="15"/>
  <c r="AH306" i="15"/>
  <c r="H307" i="15"/>
  <c r="Q307" i="15"/>
  <c r="AH308" i="15"/>
  <c r="Z308" i="15"/>
  <c r="R308" i="15"/>
  <c r="J308" i="15"/>
  <c r="I308" i="15"/>
  <c r="S308" i="15"/>
  <c r="AB308" i="15"/>
  <c r="P312" i="15"/>
  <c r="Y312" i="15"/>
  <c r="AF313" i="15"/>
  <c r="X313" i="15"/>
  <c r="P313" i="15"/>
  <c r="H313" i="15"/>
  <c r="J313" i="15"/>
  <c r="S313" i="15"/>
  <c r="AB313" i="15"/>
  <c r="Q317" i="15"/>
  <c r="Z317" i="15"/>
  <c r="AD318" i="15"/>
  <c r="V318" i="15"/>
  <c r="N318" i="15"/>
  <c r="I318" i="15"/>
  <c r="R318" i="15"/>
  <c r="AA318" i="15"/>
  <c r="J319" i="15"/>
  <c r="S319" i="15"/>
  <c r="AC319" i="15"/>
  <c r="G322" i="15"/>
  <c r="P322" i="15"/>
  <c r="Y322" i="15"/>
  <c r="AH322" i="15"/>
  <c r="H323" i="15"/>
  <c r="Q323" i="15"/>
  <c r="AH324" i="15"/>
  <c r="Z324" i="15"/>
  <c r="R324" i="15"/>
  <c r="J324" i="15"/>
  <c r="I324" i="15"/>
  <c r="S324" i="15"/>
  <c r="AB324" i="15"/>
  <c r="G328" i="15"/>
  <c r="P328" i="15"/>
  <c r="Y328" i="15"/>
  <c r="AF329" i="15"/>
  <c r="X329" i="15"/>
  <c r="P329" i="15"/>
  <c r="H329" i="15"/>
  <c r="J329" i="15"/>
  <c r="S329" i="15"/>
  <c r="AB329" i="15"/>
  <c r="G333" i="15"/>
  <c r="Q333" i="15"/>
  <c r="Z333" i="15"/>
  <c r="AD334" i="15"/>
  <c r="V334" i="15"/>
  <c r="N334" i="15"/>
  <c r="I334" i="15"/>
  <c r="R334" i="15"/>
  <c r="AA334" i="15"/>
  <c r="J335" i="15"/>
  <c r="S335" i="15"/>
  <c r="AC335" i="15"/>
  <c r="G338" i="15"/>
  <c r="P338" i="15"/>
  <c r="Y338" i="15"/>
  <c r="AH338" i="15"/>
  <c r="H339" i="15"/>
  <c r="Q339" i="15"/>
  <c r="AH340" i="15"/>
  <c r="Z340" i="15"/>
  <c r="R340" i="15"/>
  <c r="J340" i="15"/>
  <c r="I340" i="15"/>
  <c r="S340" i="15"/>
  <c r="AB340" i="15"/>
  <c r="G344" i="15"/>
  <c r="P344" i="15"/>
  <c r="Y344" i="15"/>
  <c r="AF345" i="15"/>
  <c r="X345" i="15"/>
  <c r="P345" i="15"/>
  <c r="H345" i="15"/>
  <c r="J345" i="15"/>
  <c r="S345" i="15"/>
  <c r="AB345" i="15"/>
  <c r="G349" i="15"/>
  <c r="Q349" i="15"/>
  <c r="Z349" i="15"/>
  <c r="AD350" i="15"/>
  <c r="V350" i="15"/>
  <c r="N350" i="15"/>
  <c r="I350" i="15"/>
  <c r="R350" i="15"/>
  <c r="AA350" i="15"/>
  <c r="J351" i="15"/>
  <c r="S351" i="15"/>
  <c r="AC351" i="15"/>
  <c r="G354" i="15"/>
  <c r="P354" i="15"/>
  <c r="Y354" i="15"/>
  <c r="AH354" i="15"/>
  <c r="H355" i="15"/>
  <c r="Q355" i="15"/>
  <c r="AH356" i="15"/>
  <c r="Z356" i="15"/>
  <c r="R356" i="15"/>
  <c r="J356" i="15"/>
  <c r="I356" i="15"/>
  <c r="S356" i="15"/>
  <c r="AB356" i="15"/>
  <c r="G360" i="15"/>
  <c r="P360" i="15"/>
  <c r="Y360" i="15"/>
  <c r="AF361" i="15"/>
  <c r="X361" i="15"/>
  <c r="P361" i="15"/>
  <c r="H361" i="15"/>
  <c r="J361" i="15"/>
  <c r="S361" i="15"/>
  <c r="AB361" i="15"/>
  <c r="Q365" i="15"/>
  <c r="Z365" i="15"/>
  <c r="AD366" i="15"/>
  <c r="V366" i="15"/>
  <c r="N366" i="15"/>
  <c r="I366" i="15"/>
  <c r="R366" i="15"/>
  <c r="AA366" i="15"/>
  <c r="J367" i="15"/>
  <c r="S367" i="15"/>
  <c r="AC367" i="15"/>
  <c r="AH370" i="15"/>
  <c r="AH372" i="15"/>
  <c r="Z372" i="15"/>
  <c r="R372" i="15"/>
  <c r="J372" i="15"/>
  <c r="I372" i="15"/>
  <c r="S372" i="15"/>
  <c r="AB372" i="15"/>
  <c r="G376" i="15"/>
  <c r="P376" i="15"/>
  <c r="Y376" i="15"/>
  <c r="AF377" i="15"/>
  <c r="X377" i="15"/>
  <c r="P377" i="15"/>
  <c r="H377" i="15"/>
  <c r="J377" i="15"/>
  <c r="S377" i="15"/>
  <c r="AB377" i="15"/>
  <c r="G381" i="15"/>
  <c r="Q381" i="15"/>
  <c r="Z381" i="15"/>
  <c r="AD382" i="15"/>
  <c r="V382" i="15"/>
  <c r="N382" i="15"/>
  <c r="I382" i="15"/>
  <c r="R382" i="15"/>
  <c r="AA382" i="15"/>
  <c r="J383" i="15"/>
  <c r="S383" i="15"/>
  <c r="AC383" i="15"/>
  <c r="G386" i="15"/>
  <c r="P386" i="15"/>
  <c r="Y386" i="15"/>
  <c r="AH386" i="15"/>
  <c r="H387" i="15"/>
  <c r="Q387" i="15"/>
  <c r="AH388" i="15"/>
  <c r="Z388" i="15"/>
  <c r="R388" i="15"/>
  <c r="J388" i="15"/>
  <c r="I388" i="15"/>
  <c r="S388" i="15"/>
  <c r="AB388" i="15"/>
  <c r="G392" i="15"/>
  <c r="P392" i="15"/>
  <c r="Y392" i="15"/>
  <c r="AF393" i="15"/>
  <c r="X393" i="15"/>
  <c r="P393" i="15"/>
  <c r="H393" i="15"/>
  <c r="J393" i="15"/>
  <c r="S393" i="15"/>
  <c r="AB393" i="15"/>
  <c r="G397" i="15"/>
  <c r="Q397" i="15"/>
  <c r="Z397" i="15"/>
  <c r="AD398" i="15"/>
  <c r="V398" i="15"/>
  <c r="N398" i="15"/>
  <c r="I398" i="15"/>
  <c r="R398" i="15"/>
  <c r="AA398" i="15"/>
  <c r="J399" i="15"/>
  <c r="S399" i="15"/>
  <c r="AC399" i="15"/>
  <c r="G402" i="15"/>
  <c r="P402" i="15"/>
  <c r="Y402" i="15"/>
  <c r="AH402" i="15"/>
  <c r="H403" i="15"/>
  <c r="Q403" i="15"/>
  <c r="AH404" i="15"/>
  <c r="Z404" i="15"/>
  <c r="R404" i="15"/>
  <c r="J404" i="15"/>
  <c r="I404" i="15"/>
  <c r="S404" i="15"/>
  <c r="AB404" i="15"/>
  <c r="G408" i="15"/>
  <c r="P408" i="15"/>
  <c r="Y408" i="15"/>
  <c r="AF409" i="15"/>
  <c r="X409" i="15"/>
  <c r="P409" i="15"/>
  <c r="H409" i="15"/>
  <c r="J409" i="15"/>
  <c r="S409" i="15"/>
  <c r="AB409" i="15"/>
  <c r="Q413" i="15"/>
  <c r="Z413" i="15"/>
  <c r="AD414" i="15"/>
  <c r="V414" i="15"/>
  <c r="N414" i="15"/>
  <c r="I414" i="15"/>
  <c r="R414" i="15"/>
  <c r="AA414" i="15"/>
  <c r="J415" i="15"/>
  <c r="S415" i="15"/>
  <c r="AC415" i="15"/>
  <c r="G418" i="15"/>
  <c r="P418" i="15"/>
  <c r="Y418" i="15"/>
  <c r="AH418" i="15"/>
  <c r="H419" i="15"/>
  <c r="Q419" i="15"/>
  <c r="AH420" i="15"/>
  <c r="Z420" i="15"/>
  <c r="R420" i="15"/>
  <c r="J420" i="15"/>
  <c r="I420" i="15"/>
  <c r="S420" i="15"/>
  <c r="AB420" i="15"/>
  <c r="G424" i="15"/>
  <c r="P424" i="15"/>
  <c r="Y424" i="15"/>
  <c r="AF425" i="15"/>
  <c r="X425" i="15"/>
  <c r="P425" i="15"/>
  <c r="H425" i="15"/>
  <c r="J425" i="15"/>
  <c r="S425" i="15"/>
  <c r="AB425" i="15"/>
  <c r="G429" i="15"/>
  <c r="Q429" i="15"/>
  <c r="Z429" i="15"/>
  <c r="AD430" i="15"/>
  <c r="V430" i="15"/>
  <c r="N430" i="15"/>
  <c r="I430" i="15"/>
  <c r="R430" i="15"/>
  <c r="AA430" i="15"/>
  <c r="J431" i="15"/>
  <c r="S431" i="15"/>
  <c r="AC431" i="15"/>
  <c r="G434" i="15"/>
  <c r="P434" i="15"/>
  <c r="Y434" i="15"/>
  <c r="AH434" i="15"/>
  <c r="H435" i="15"/>
  <c r="Q435" i="15"/>
  <c r="AH436" i="15"/>
  <c r="Z436" i="15"/>
  <c r="R436" i="15"/>
  <c r="J436" i="15"/>
  <c r="I436" i="15"/>
  <c r="S436" i="15"/>
  <c r="AB436" i="15"/>
  <c r="G440" i="15"/>
  <c r="P440" i="15"/>
  <c r="Y440" i="15"/>
  <c r="AF441" i="15"/>
  <c r="X441" i="15"/>
  <c r="P441" i="15"/>
  <c r="H441" i="15"/>
  <c r="J441" i="15"/>
  <c r="S441" i="15"/>
  <c r="AB441" i="15"/>
  <c r="Q445" i="15"/>
  <c r="Z445" i="15"/>
  <c r="AD446" i="15"/>
  <c r="V446" i="15"/>
  <c r="N446" i="15"/>
  <c r="I446" i="15"/>
  <c r="R446" i="15"/>
  <c r="AA446" i="15"/>
  <c r="J447" i="15"/>
  <c r="S447" i="15"/>
  <c r="AC447" i="15"/>
  <c r="G450" i="15"/>
  <c r="P450" i="15"/>
  <c r="Y450" i="15"/>
  <c r="AH450" i="15"/>
  <c r="H451" i="15"/>
  <c r="Q451" i="15"/>
  <c r="AH452" i="15"/>
  <c r="Z452" i="15"/>
  <c r="R452" i="15"/>
  <c r="J452" i="15"/>
  <c r="I452" i="15"/>
  <c r="S452" i="15"/>
  <c r="AB452" i="15"/>
  <c r="G456" i="15"/>
  <c r="P456" i="15"/>
  <c r="Y456" i="15"/>
  <c r="AF457" i="15"/>
  <c r="X457" i="15"/>
  <c r="P457" i="15"/>
  <c r="H457" i="15"/>
  <c r="J457" i="15"/>
  <c r="S457" i="15"/>
  <c r="AB457" i="15"/>
  <c r="G461" i="15"/>
  <c r="Q461" i="15"/>
  <c r="Z461" i="15"/>
  <c r="AD462" i="15"/>
  <c r="V462" i="15"/>
  <c r="N462" i="15"/>
  <c r="I462" i="15"/>
  <c r="R462" i="15"/>
  <c r="AA462" i="15"/>
  <c r="J463" i="15"/>
  <c r="S463" i="15"/>
  <c r="AC463" i="15"/>
  <c r="G466" i="15"/>
  <c r="P466" i="15"/>
  <c r="Y466" i="15"/>
  <c r="AH466" i="15"/>
  <c r="Q467" i="15"/>
  <c r="AH468" i="15"/>
  <c r="Z468" i="15"/>
  <c r="R468" i="15"/>
  <c r="J468" i="15"/>
  <c r="I468" i="15"/>
  <c r="S468" i="15"/>
  <c r="AB468" i="15"/>
  <c r="AF473" i="15"/>
  <c r="X473" i="15"/>
  <c r="P473" i="15"/>
  <c r="H473" i="15"/>
  <c r="J473" i="15"/>
  <c r="S473" i="15"/>
  <c r="AB473" i="15"/>
  <c r="AD478" i="15"/>
  <c r="V478" i="15"/>
  <c r="N478" i="15"/>
  <c r="I478" i="15"/>
  <c r="R478" i="15"/>
  <c r="AA478" i="15"/>
  <c r="J479" i="15"/>
  <c r="S479" i="15"/>
  <c r="AC479" i="15"/>
  <c r="AH484" i="15"/>
  <c r="Z484" i="15"/>
  <c r="R484" i="15"/>
  <c r="J484" i="15"/>
  <c r="I484" i="15"/>
  <c r="S484" i="15"/>
  <c r="AB484" i="15"/>
  <c r="AF489" i="15"/>
  <c r="X489" i="15"/>
  <c r="P489" i="15"/>
  <c r="H489" i="15"/>
  <c r="J489" i="15"/>
  <c r="S489" i="15"/>
  <c r="AB489" i="15"/>
  <c r="AD494" i="15"/>
  <c r="V494" i="15"/>
  <c r="N494" i="15"/>
  <c r="I494" i="15"/>
  <c r="R494" i="15"/>
  <c r="AA494" i="15"/>
  <c r="J495" i="15"/>
  <c r="S495" i="15"/>
  <c r="AC495" i="15"/>
  <c r="AH500" i="15"/>
  <c r="Z500" i="15"/>
  <c r="R500" i="15"/>
  <c r="J500" i="15"/>
  <c r="I500" i="15"/>
  <c r="S500" i="15"/>
  <c r="AB500" i="15"/>
  <c r="AF505" i="15"/>
  <c r="X505" i="15"/>
  <c r="P505" i="15"/>
  <c r="H505" i="15"/>
  <c r="J505" i="15"/>
  <c r="S505" i="15"/>
  <c r="AB505" i="15"/>
  <c r="Z509" i="15"/>
  <c r="AD510" i="15"/>
  <c r="V510" i="15"/>
  <c r="N510" i="15"/>
  <c r="I510" i="15"/>
  <c r="R510" i="15"/>
  <c r="AA510" i="15"/>
  <c r="J511" i="15"/>
  <c r="S511" i="15"/>
  <c r="AC511" i="15"/>
  <c r="G514" i="15"/>
  <c r="P514" i="15"/>
  <c r="Y514" i="15"/>
  <c r="AH514" i="15"/>
  <c r="Q515" i="15"/>
  <c r="AH516" i="15"/>
  <c r="Z516" i="15"/>
  <c r="R516" i="15"/>
  <c r="J516" i="15"/>
  <c r="I516" i="15"/>
  <c r="S516" i="15"/>
  <c r="AB516" i="15"/>
  <c r="G520" i="15"/>
  <c r="P520" i="15"/>
  <c r="Y520" i="15"/>
  <c r="AF521" i="15"/>
  <c r="X521" i="15"/>
  <c r="P521" i="15"/>
  <c r="H521" i="15"/>
  <c r="J521" i="15"/>
  <c r="S521" i="15"/>
  <c r="AB521" i="15"/>
  <c r="G525" i="15"/>
  <c r="Q525" i="15"/>
  <c r="Z525" i="15"/>
  <c r="AD526" i="15"/>
  <c r="V526" i="15"/>
  <c r="N526" i="15"/>
  <c r="I526" i="15"/>
  <c r="R526" i="15"/>
  <c r="AA526" i="15"/>
  <c r="J527" i="15"/>
  <c r="S527" i="15"/>
  <c r="AC527" i="15"/>
  <c r="G530" i="15"/>
  <c r="P530" i="15"/>
  <c r="Y530" i="15"/>
  <c r="AH530" i="15"/>
  <c r="H531" i="15"/>
  <c r="Q531" i="15"/>
  <c r="AH532" i="15"/>
  <c r="Z532" i="15"/>
  <c r="R532" i="15"/>
  <c r="J532" i="15"/>
  <c r="I532" i="15"/>
  <c r="S532" i="15"/>
  <c r="AB532" i="15"/>
  <c r="G536" i="15"/>
  <c r="P536" i="15"/>
  <c r="Y536" i="15"/>
  <c r="AF537" i="15"/>
  <c r="X537" i="15"/>
  <c r="P537" i="15"/>
  <c r="H537" i="15"/>
  <c r="J537" i="15"/>
  <c r="S537" i="15"/>
  <c r="AB537" i="15"/>
  <c r="G541" i="15"/>
  <c r="Q541" i="15"/>
  <c r="Z541" i="15"/>
  <c r="AD542" i="15"/>
  <c r="V542" i="15"/>
  <c r="N542" i="15"/>
  <c r="I542" i="15"/>
  <c r="R542" i="15"/>
  <c r="AA542" i="15"/>
  <c r="J543" i="15"/>
  <c r="S543" i="15"/>
  <c r="AC543" i="15"/>
  <c r="G546" i="15"/>
  <c r="P546" i="15"/>
  <c r="Y546" i="15"/>
  <c r="AH546" i="15"/>
  <c r="AH548" i="15"/>
  <c r="Z548" i="15"/>
  <c r="R548" i="15"/>
  <c r="J548" i="15"/>
  <c r="I548" i="15"/>
  <c r="S548" i="15"/>
  <c r="AB548" i="15"/>
  <c r="G552" i="15"/>
  <c r="P552" i="15"/>
  <c r="Y552" i="15"/>
  <c r="AF553" i="15"/>
  <c r="X553" i="15"/>
  <c r="P553" i="15"/>
  <c r="H553" i="15"/>
  <c r="J553" i="15"/>
  <c r="S553" i="15"/>
  <c r="AB553" i="15"/>
  <c r="G557" i="15"/>
  <c r="Q557" i="15"/>
  <c r="Z557" i="15"/>
  <c r="AD558" i="15"/>
  <c r="V558" i="15"/>
  <c r="N558" i="15"/>
  <c r="I558" i="15"/>
  <c r="R558" i="15"/>
  <c r="AA558" i="15"/>
  <c r="J559" i="15"/>
  <c r="S559" i="15"/>
  <c r="AC559" i="15"/>
  <c r="G562" i="15"/>
  <c r="P562" i="15"/>
  <c r="Y562" i="15"/>
  <c r="AH562" i="15"/>
  <c r="H563" i="15"/>
  <c r="Q563" i="15"/>
  <c r="AH564" i="15"/>
  <c r="Z564" i="15"/>
  <c r="R564" i="15"/>
  <c r="J564" i="15"/>
  <c r="I564" i="15"/>
  <c r="S564" i="15"/>
  <c r="AB564" i="15"/>
  <c r="G568" i="15"/>
  <c r="P568" i="15"/>
  <c r="Y568" i="15"/>
  <c r="AF569" i="15"/>
  <c r="X569" i="15"/>
  <c r="P569" i="15"/>
  <c r="H569" i="15"/>
  <c r="J569" i="15"/>
  <c r="S569" i="15"/>
  <c r="AB569" i="15"/>
  <c r="G573" i="15"/>
  <c r="Q573" i="15"/>
  <c r="Z573" i="15"/>
  <c r="AD574" i="15"/>
  <c r="V574" i="15"/>
  <c r="N574" i="15"/>
  <c r="I574" i="15"/>
  <c r="R574" i="15"/>
  <c r="AA574" i="15"/>
  <c r="J575" i="15"/>
  <c r="S575" i="15"/>
  <c r="AC575" i="15"/>
  <c r="P578" i="15"/>
  <c r="Y578" i="15"/>
  <c r="AH578" i="15"/>
  <c r="Q579" i="15"/>
  <c r="AH580" i="15"/>
  <c r="Z580" i="15"/>
  <c r="R580" i="15"/>
  <c r="J580" i="15"/>
  <c r="I580" i="15"/>
  <c r="S580" i="15"/>
  <c r="AB580" i="15"/>
  <c r="G584" i="15"/>
  <c r="P584" i="15"/>
  <c r="Y584" i="15"/>
  <c r="AF585" i="15"/>
  <c r="X585" i="15"/>
  <c r="P585" i="15"/>
  <c r="H585" i="15"/>
  <c r="J585" i="15"/>
  <c r="S585" i="15"/>
  <c r="AB585" i="15"/>
  <c r="G589" i="15"/>
  <c r="Q589" i="15"/>
  <c r="Z589" i="15"/>
  <c r="AD590" i="15"/>
  <c r="V590" i="15"/>
  <c r="N590" i="15"/>
  <c r="I590" i="15"/>
  <c r="R590" i="15"/>
  <c r="AA590" i="15"/>
  <c r="J591" i="15"/>
  <c r="S591" i="15"/>
  <c r="AC591" i="15"/>
  <c r="G594" i="15"/>
  <c r="P594" i="15"/>
  <c r="Y594" i="15"/>
  <c r="AH594" i="15"/>
  <c r="AH596" i="15"/>
  <c r="Z596" i="15"/>
  <c r="R596" i="15"/>
  <c r="J596" i="15"/>
  <c r="I596" i="15"/>
  <c r="S596" i="15"/>
  <c r="AB596" i="15"/>
  <c r="G600" i="15"/>
  <c r="P600" i="15"/>
  <c r="Y600" i="15"/>
  <c r="AF601" i="15"/>
  <c r="X601" i="15"/>
  <c r="P601" i="15"/>
  <c r="H601" i="15"/>
  <c r="J601" i="15"/>
  <c r="S601" i="15"/>
  <c r="AB601" i="15"/>
  <c r="G605" i="15"/>
  <c r="Q605" i="15"/>
  <c r="Z605" i="15"/>
  <c r="AD606" i="15"/>
  <c r="V606" i="15"/>
  <c r="N606" i="15"/>
  <c r="I606" i="15"/>
  <c r="R606" i="15"/>
  <c r="AA606" i="15"/>
  <c r="J607" i="15"/>
  <c r="S607" i="15"/>
  <c r="AC607" i="15"/>
  <c r="G610" i="15"/>
  <c r="P610" i="15"/>
  <c r="Y610" i="15"/>
  <c r="AH610" i="15"/>
  <c r="Q611" i="15"/>
  <c r="AH612" i="15"/>
  <c r="Z612" i="15"/>
  <c r="R612" i="15"/>
  <c r="J612" i="15"/>
  <c r="I612" i="15"/>
  <c r="S612" i="15"/>
  <c r="AB612" i="15"/>
  <c r="G616" i="15"/>
  <c r="P616" i="15"/>
  <c r="Y616" i="15"/>
  <c r="AF617" i="15"/>
  <c r="X617" i="15"/>
  <c r="P617" i="15"/>
  <c r="H617" i="15"/>
  <c r="J617" i="15"/>
  <c r="S617" i="15"/>
  <c r="AB617" i="15"/>
  <c r="G621" i="15"/>
  <c r="Q621" i="15"/>
  <c r="Z621" i="15"/>
  <c r="AD622" i="15"/>
  <c r="V622" i="15"/>
  <c r="N622" i="15"/>
  <c r="I622" i="15"/>
  <c r="R622" i="15"/>
  <c r="AA622" i="15"/>
  <c r="J623" i="15"/>
  <c r="S623" i="15"/>
  <c r="AC623" i="15"/>
  <c r="G626" i="15"/>
  <c r="P626" i="15"/>
  <c r="Y626" i="15"/>
  <c r="AH626" i="15"/>
  <c r="H627" i="15"/>
  <c r="Q627" i="15"/>
  <c r="AH628" i="15"/>
  <c r="Z628" i="15"/>
  <c r="R628" i="15"/>
  <c r="J628" i="15"/>
  <c r="I628" i="15"/>
  <c r="S628" i="15"/>
  <c r="AB628" i="15"/>
  <c r="G632" i="15"/>
  <c r="P632" i="15"/>
  <c r="Y632" i="15"/>
  <c r="AF633" i="15"/>
  <c r="X633" i="15"/>
  <c r="P633" i="15"/>
  <c r="H633" i="15"/>
  <c r="J633" i="15"/>
  <c r="S633" i="15"/>
  <c r="AB633" i="15"/>
  <c r="G637" i="15"/>
  <c r="Q637" i="15"/>
  <c r="Z637" i="15"/>
  <c r="AD638" i="15"/>
  <c r="V638" i="15"/>
  <c r="N638" i="15"/>
  <c r="I638" i="15"/>
  <c r="R638" i="15"/>
  <c r="AA638" i="15"/>
  <c r="J639" i="15"/>
  <c r="S639" i="15"/>
  <c r="AC639" i="15"/>
  <c r="P642" i="15"/>
  <c r="Y642" i="15"/>
  <c r="AH642" i="15"/>
  <c r="Q643" i="15"/>
  <c r="AH644" i="15"/>
  <c r="Z644" i="15"/>
  <c r="R644" i="15"/>
  <c r="J644" i="15"/>
  <c r="I644" i="15"/>
  <c r="S644" i="15"/>
  <c r="AB644" i="15"/>
  <c r="Y648" i="15"/>
  <c r="AF649" i="15"/>
  <c r="X649" i="15"/>
  <c r="P649" i="15"/>
  <c r="H649" i="15"/>
  <c r="J649" i="15"/>
  <c r="S649" i="15"/>
  <c r="AB649" i="15"/>
  <c r="Q653" i="15"/>
  <c r="Z653" i="15"/>
  <c r="AD654" i="15"/>
  <c r="V654" i="15"/>
  <c r="N654" i="15"/>
  <c r="I654" i="15"/>
  <c r="R654" i="15"/>
  <c r="AA654" i="15"/>
  <c r="J655" i="15"/>
  <c r="S655" i="15"/>
  <c r="AC655" i="15"/>
  <c r="P658" i="15"/>
  <c r="Y658" i="15"/>
  <c r="AH658" i="15"/>
  <c r="Q659" i="15"/>
  <c r="AH660" i="15"/>
  <c r="Z660" i="15"/>
  <c r="R660" i="15"/>
  <c r="J660" i="15"/>
  <c r="I660" i="15"/>
  <c r="S660" i="15"/>
  <c r="AB660" i="15"/>
  <c r="G664" i="15"/>
  <c r="P664" i="15"/>
  <c r="Y664" i="15"/>
  <c r="AF665" i="15"/>
  <c r="X665" i="15"/>
  <c r="P665" i="15"/>
  <c r="H665" i="15"/>
  <c r="J665" i="15"/>
  <c r="S665" i="15"/>
  <c r="AB665" i="15"/>
  <c r="G669" i="15"/>
  <c r="Q669" i="15"/>
  <c r="Z669" i="15"/>
  <c r="AD670" i="15"/>
  <c r="V670" i="15"/>
  <c r="N670" i="15"/>
  <c r="I670" i="15"/>
  <c r="R670" i="15"/>
  <c r="AA670" i="15"/>
  <c r="J671" i="15"/>
  <c r="S671" i="15"/>
  <c r="AC671" i="15"/>
  <c r="G674" i="15"/>
  <c r="P674" i="15"/>
  <c r="Y674" i="15"/>
  <c r="AH674" i="15"/>
  <c r="Q675" i="15"/>
  <c r="AH676" i="15"/>
  <c r="Z676" i="15"/>
  <c r="R676" i="15"/>
  <c r="J676" i="15"/>
  <c r="I676" i="15"/>
  <c r="S676" i="15"/>
  <c r="AB676" i="15"/>
  <c r="G680" i="15"/>
  <c r="P680" i="15"/>
  <c r="Y680" i="15"/>
  <c r="AF681" i="15"/>
  <c r="X681" i="15"/>
  <c r="P681" i="15"/>
  <c r="H681" i="15"/>
  <c r="J681" i="15"/>
  <c r="S681" i="15"/>
  <c r="AB681" i="15"/>
  <c r="Q685" i="15"/>
  <c r="Z685" i="15"/>
  <c r="AD686" i="15"/>
  <c r="V686" i="15"/>
  <c r="N686" i="15"/>
  <c r="I686" i="15"/>
  <c r="R686" i="15"/>
  <c r="AA686" i="15"/>
  <c r="J687" i="15"/>
  <c r="S687" i="15"/>
  <c r="AC687" i="15"/>
  <c r="G690" i="15"/>
  <c r="P690" i="15"/>
  <c r="Y690" i="15"/>
  <c r="AH690" i="15"/>
  <c r="H691" i="15"/>
  <c r="Q691" i="15"/>
  <c r="AH692" i="15"/>
  <c r="Z692" i="15"/>
  <c r="R692" i="15"/>
  <c r="J692" i="15"/>
  <c r="I692" i="15"/>
  <c r="S692" i="15"/>
  <c r="AB692" i="15"/>
  <c r="G696" i="15"/>
  <c r="P696" i="15"/>
  <c r="Y696" i="15"/>
  <c r="AF697" i="15"/>
  <c r="X697" i="15"/>
  <c r="P697" i="15"/>
  <c r="H697" i="15"/>
  <c r="J697" i="15"/>
  <c r="S697" i="15"/>
  <c r="AB697" i="15"/>
  <c r="Z701" i="15"/>
  <c r="AD702" i="15"/>
  <c r="V702" i="15"/>
  <c r="N702" i="15"/>
  <c r="I702" i="15"/>
  <c r="R702" i="15"/>
  <c r="AA702" i="15"/>
  <c r="J703" i="15"/>
  <c r="S703" i="15"/>
  <c r="AC703" i="15"/>
  <c r="G706" i="15"/>
  <c r="P706" i="15"/>
  <c r="Y706" i="15"/>
  <c r="AH706" i="15"/>
  <c r="Q707" i="15"/>
  <c r="AH708" i="15"/>
  <c r="Z708" i="15"/>
  <c r="R708" i="15"/>
  <c r="J708" i="15"/>
  <c r="I708" i="15"/>
  <c r="S708" i="15"/>
  <c r="AB708" i="15"/>
  <c r="G712" i="15"/>
  <c r="P712" i="15"/>
  <c r="Y712" i="15"/>
  <c r="AF713" i="15"/>
  <c r="X713" i="15"/>
  <c r="P713" i="15"/>
  <c r="H713" i="15"/>
  <c r="J713" i="15"/>
  <c r="S713" i="15"/>
  <c r="AB713" i="15"/>
  <c r="Z717" i="15"/>
  <c r="AD718" i="15"/>
  <c r="V718" i="15"/>
  <c r="N718" i="15"/>
  <c r="I718" i="15"/>
  <c r="R718" i="15"/>
  <c r="AA718" i="15"/>
  <c r="J719" i="15"/>
  <c r="S719" i="15"/>
  <c r="AC719" i="15"/>
  <c r="G722" i="15"/>
  <c r="P722" i="15"/>
  <c r="Y722" i="15"/>
  <c r="AH722" i="15"/>
  <c r="H723" i="15"/>
  <c r="Q723" i="15"/>
  <c r="AH724" i="15"/>
  <c r="Z724" i="15"/>
  <c r="R724" i="15"/>
  <c r="J724" i="15"/>
  <c r="I724" i="15"/>
  <c r="S724" i="15"/>
  <c r="AB724" i="15"/>
  <c r="G728" i="15"/>
  <c r="P728" i="15"/>
  <c r="Y728" i="15"/>
  <c r="AF729" i="15"/>
  <c r="X729" i="15"/>
  <c r="P729" i="15"/>
  <c r="H729" i="15"/>
  <c r="J729" i="15"/>
  <c r="S729" i="15"/>
  <c r="AB729" i="15"/>
  <c r="G733" i="15"/>
  <c r="Q733" i="15"/>
  <c r="Z733" i="15"/>
  <c r="AD734" i="15"/>
  <c r="V734" i="15"/>
  <c r="N734" i="15"/>
  <c r="I734" i="15"/>
  <c r="R734" i="15"/>
  <c r="AA734" i="15"/>
  <c r="J735" i="15"/>
  <c r="S735" i="15"/>
  <c r="AC735" i="15"/>
  <c r="G738" i="15"/>
  <c r="P738" i="15"/>
  <c r="Y738" i="15"/>
  <c r="AH738" i="15"/>
  <c r="H739" i="15"/>
  <c r="Q739" i="15"/>
  <c r="AH740" i="15"/>
  <c r="Z740" i="15"/>
  <c r="R740" i="15"/>
  <c r="J740" i="15"/>
  <c r="I740" i="15"/>
  <c r="S740" i="15"/>
  <c r="AB740" i="15"/>
  <c r="K744" i="15"/>
  <c r="V744" i="15"/>
  <c r="AF744" i="15"/>
  <c r="G745" i="15"/>
  <c r="S745" i="15"/>
  <c r="AC745" i="15"/>
  <c r="J747" i="15"/>
  <c r="U747" i="15"/>
  <c r="AF747" i="15"/>
  <c r="AF750" i="15"/>
  <c r="X750" i="15"/>
  <c r="P750" i="15"/>
  <c r="H750" i="15"/>
  <c r="AD750" i="15"/>
  <c r="V750" i="15"/>
  <c r="N750" i="15"/>
  <c r="J750" i="15"/>
  <c r="T750" i="15"/>
  <c r="AE750" i="15"/>
  <c r="K752" i="15"/>
  <c r="V752" i="15"/>
  <c r="AF752" i="15"/>
  <c r="G753" i="15"/>
  <c r="S753" i="15"/>
  <c r="AC753" i="15"/>
  <c r="J755" i="15"/>
  <c r="U755" i="15"/>
  <c r="AF755" i="15"/>
  <c r="AF758" i="15"/>
  <c r="X758" i="15"/>
  <c r="P758" i="15"/>
  <c r="H758" i="15"/>
  <c r="AD758" i="15"/>
  <c r="V758" i="15"/>
  <c r="N758" i="15"/>
  <c r="J758" i="15"/>
  <c r="T758" i="15"/>
  <c r="AE758" i="15"/>
  <c r="K760" i="15"/>
  <c r="V760" i="15"/>
  <c r="AF760" i="15"/>
  <c r="G761" i="15"/>
  <c r="S761" i="15"/>
  <c r="AC761" i="15"/>
  <c r="J763" i="15"/>
  <c r="U763" i="15"/>
  <c r="AF763" i="15"/>
  <c r="AF766" i="15"/>
  <c r="X766" i="15"/>
  <c r="P766" i="15"/>
  <c r="H766" i="15"/>
  <c r="AD766" i="15"/>
  <c r="V766" i="15"/>
  <c r="N766" i="15"/>
  <c r="J766" i="15"/>
  <c r="T766" i="15"/>
  <c r="AE766" i="15"/>
  <c r="K768" i="15"/>
  <c r="V768" i="15"/>
  <c r="AF768" i="15"/>
  <c r="G769" i="15"/>
  <c r="S769" i="15"/>
  <c r="AC769" i="15"/>
  <c r="J771" i="15"/>
  <c r="U771" i="15"/>
  <c r="AF771" i="15"/>
  <c r="AF774" i="15"/>
  <c r="X774" i="15"/>
  <c r="P774" i="15"/>
  <c r="H774" i="15"/>
  <c r="AD774" i="15"/>
  <c r="V774" i="15"/>
  <c r="N774" i="15"/>
  <c r="J774" i="15"/>
  <c r="T774" i="15"/>
  <c r="AE774" i="15"/>
  <c r="K776" i="15"/>
  <c r="V776" i="15"/>
  <c r="AF776" i="15"/>
  <c r="G777" i="15"/>
  <c r="S777" i="15"/>
  <c r="AC777" i="15"/>
  <c r="J779" i="15"/>
  <c r="U779" i="15"/>
  <c r="AF779" i="15"/>
  <c r="AF782" i="15"/>
  <c r="X782" i="15"/>
  <c r="P782" i="15"/>
  <c r="H782" i="15"/>
  <c r="AD782" i="15"/>
  <c r="V782" i="15"/>
  <c r="N782" i="15"/>
  <c r="J782" i="15"/>
  <c r="T782" i="15"/>
  <c r="AE782" i="15"/>
  <c r="K784" i="15"/>
  <c r="V784" i="15"/>
  <c r="AF784" i="15"/>
  <c r="G785" i="15"/>
  <c r="S785" i="15"/>
  <c r="AC785" i="15"/>
  <c r="J787" i="15"/>
  <c r="U787" i="15"/>
  <c r="AF787" i="15"/>
  <c r="AF790" i="15"/>
  <c r="X790" i="15"/>
  <c r="P790" i="15"/>
  <c r="H790" i="15"/>
  <c r="AD790" i="15"/>
  <c r="V790" i="15"/>
  <c r="N790" i="15"/>
  <c r="J790" i="15"/>
  <c r="T790" i="15"/>
  <c r="AE790" i="15"/>
  <c r="K792" i="15"/>
  <c r="V792" i="15"/>
  <c r="AF792" i="15"/>
  <c r="G793" i="15"/>
  <c r="S793" i="15"/>
  <c r="AC793" i="15"/>
  <c r="J795" i="15"/>
  <c r="U795" i="15"/>
  <c r="AF795" i="15"/>
  <c r="AF798" i="15"/>
  <c r="X798" i="15"/>
  <c r="P798" i="15"/>
  <c r="H798" i="15"/>
  <c r="AD798" i="15"/>
  <c r="V798" i="15"/>
  <c r="N798" i="15"/>
  <c r="J798" i="15"/>
  <c r="T798" i="15"/>
  <c r="AE798" i="15"/>
  <c r="K800" i="15"/>
  <c r="V800" i="15"/>
  <c r="AF800" i="15"/>
  <c r="G801" i="15"/>
  <c r="S801" i="15"/>
  <c r="AC801" i="15"/>
  <c r="J803" i="15"/>
  <c r="U803" i="15"/>
  <c r="AF803" i="15"/>
  <c r="AF806" i="15"/>
  <c r="X806" i="15"/>
  <c r="P806" i="15"/>
  <c r="H806" i="15"/>
  <c r="AD806" i="15"/>
  <c r="V806" i="15"/>
  <c r="N806" i="15"/>
  <c r="J806" i="15"/>
  <c r="T806" i="15"/>
  <c r="AE806" i="15"/>
  <c r="K808" i="15"/>
  <c r="V808" i="15"/>
  <c r="AF808" i="15"/>
  <c r="G809" i="15"/>
  <c r="S809" i="15"/>
  <c r="AC809" i="15"/>
  <c r="J811" i="15"/>
  <c r="U811" i="15"/>
  <c r="AF811" i="15"/>
  <c r="AF814" i="15"/>
  <c r="X814" i="15"/>
  <c r="P814" i="15"/>
  <c r="H814" i="15"/>
  <c r="AD814" i="15"/>
  <c r="V814" i="15"/>
  <c r="N814" i="15"/>
  <c r="J814" i="15"/>
  <c r="T814" i="15"/>
  <c r="AE814" i="15"/>
  <c r="K816" i="15"/>
  <c r="V816" i="15"/>
  <c r="AF816" i="15"/>
  <c r="G817" i="15"/>
  <c r="S817" i="15"/>
  <c r="AC817" i="15"/>
  <c r="J819" i="15"/>
  <c r="U819" i="15"/>
  <c r="AF819" i="15"/>
  <c r="AF822" i="15"/>
  <c r="X822" i="15"/>
  <c r="P822" i="15"/>
  <c r="H822" i="15"/>
  <c r="AD822" i="15"/>
  <c r="V822" i="15"/>
  <c r="N822" i="15"/>
  <c r="J822" i="15"/>
  <c r="T822" i="15"/>
  <c r="AE822" i="15"/>
  <c r="K824" i="15"/>
  <c r="V824" i="15"/>
  <c r="AF824" i="15"/>
  <c r="G825" i="15"/>
  <c r="S825" i="15"/>
  <c r="AC825" i="15"/>
  <c r="J827" i="15"/>
  <c r="U827" i="15"/>
  <c r="AF827" i="15"/>
  <c r="AF830" i="15"/>
  <c r="X830" i="15"/>
  <c r="P830" i="15"/>
  <c r="H830" i="15"/>
  <c r="AD830" i="15"/>
  <c r="V830" i="15"/>
  <c r="N830" i="15"/>
  <c r="J830" i="15"/>
  <c r="T830" i="15"/>
  <c r="AE830" i="15"/>
  <c r="K832" i="15"/>
  <c r="V832" i="15"/>
  <c r="AF832" i="15"/>
  <c r="G833" i="15"/>
  <c r="S833" i="15"/>
  <c r="AC833" i="15"/>
  <c r="J835" i="15"/>
  <c r="U835" i="15"/>
  <c r="AF835" i="15"/>
  <c r="AF838" i="15"/>
  <c r="X838" i="15"/>
  <c r="P838" i="15"/>
  <c r="H838" i="15"/>
  <c r="AD838" i="15"/>
  <c r="V838" i="15"/>
  <c r="N838" i="15"/>
  <c r="J838" i="15"/>
  <c r="T838" i="15"/>
  <c r="AE838" i="15"/>
  <c r="K840" i="15"/>
  <c r="V840" i="15"/>
  <c r="AF840" i="15"/>
  <c r="G841" i="15"/>
  <c r="S841" i="15"/>
  <c r="AC841" i="15"/>
  <c r="J843" i="15"/>
  <c r="U843" i="15"/>
  <c r="AF843" i="15"/>
  <c r="AF846" i="15"/>
  <c r="X846" i="15"/>
  <c r="P846" i="15"/>
  <c r="H846" i="15"/>
  <c r="AD846" i="15"/>
  <c r="V846" i="15"/>
  <c r="N846" i="15"/>
  <c r="J846" i="15"/>
  <c r="T846" i="15"/>
  <c r="AE846" i="15"/>
  <c r="K848" i="15"/>
  <c r="V848" i="15"/>
  <c r="AF848" i="15"/>
  <c r="S849" i="15"/>
  <c r="AC849" i="15"/>
  <c r="J851" i="15"/>
  <c r="U851" i="15"/>
  <c r="AF851" i="15"/>
  <c r="AF854" i="15"/>
  <c r="X854" i="15"/>
  <c r="P854" i="15"/>
  <c r="H854" i="15"/>
  <c r="AD854" i="15"/>
  <c r="V854" i="15"/>
  <c r="N854" i="15"/>
  <c r="J854" i="15"/>
  <c r="T854" i="15"/>
  <c r="AE854" i="15"/>
  <c r="K856" i="15"/>
  <c r="V856" i="15"/>
  <c r="AF856" i="15"/>
  <c r="G857" i="15"/>
  <c r="S857" i="15"/>
  <c r="AC857" i="15"/>
  <c r="J859" i="15"/>
  <c r="U859" i="15"/>
  <c r="AF859" i="15"/>
  <c r="AF862" i="15"/>
  <c r="X862" i="15"/>
  <c r="P862" i="15"/>
  <c r="H862" i="15"/>
  <c r="AD862" i="15"/>
  <c r="V862" i="15"/>
  <c r="N862" i="15"/>
  <c r="J862" i="15"/>
  <c r="T862" i="15"/>
  <c r="AE862" i="15"/>
  <c r="K864" i="15"/>
  <c r="V864" i="15"/>
  <c r="AF864" i="15"/>
  <c r="G865" i="15"/>
  <c r="S865" i="15"/>
  <c r="AC865" i="15"/>
  <c r="J867" i="15"/>
  <c r="U867" i="15"/>
  <c r="AF867" i="15"/>
  <c r="AF870" i="15"/>
  <c r="X870" i="15"/>
  <c r="P870" i="15"/>
  <c r="H870" i="15"/>
  <c r="AD870" i="15"/>
  <c r="V870" i="15"/>
  <c r="N870" i="15"/>
  <c r="J870" i="15"/>
  <c r="T870" i="15"/>
  <c r="AE870" i="15"/>
  <c r="K872" i="15"/>
  <c r="V872" i="15"/>
  <c r="AF872" i="15"/>
  <c r="G873" i="15"/>
  <c r="S873" i="15"/>
  <c r="AC873" i="15"/>
  <c r="J875" i="15"/>
  <c r="U875" i="15"/>
  <c r="AF875" i="15"/>
  <c r="AF878" i="15"/>
  <c r="X878" i="15"/>
  <c r="P878" i="15"/>
  <c r="H878" i="15"/>
  <c r="AD878" i="15"/>
  <c r="V878" i="15"/>
  <c r="N878" i="15"/>
  <c r="J878" i="15"/>
  <c r="T878" i="15"/>
  <c r="AE878" i="15"/>
  <c r="K880" i="15"/>
  <c r="V880" i="15"/>
  <c r="AF880" i="15"/>
  <c r="G881" i="15"/>
  <c r="S881" i="15"/>
  <c r="AC881" i="15"/>
  <c r="J883" i="15"/>
  <c r="U883" i="15"/>
  <c r="AF883" i="15"/>
  <c r="AF886" i="15"/>
  <c r="X886" i="15"/>
  <c r="P886" i="15"/>
  <c r="H886" i="15"/>
  <c r="AD886" i="15"/>
  <c r="V886" i="15"/>
  <c r="N886" i="15"/>
  <c r="J886" i="15"/>
  <c r="T886" i="15"/>
  <c r="AE886" i="15"/>
  <c r="K888" i="15"/>
  <c r="V888" i="15"/>
  <c r="AF888" i="15"/>
  <c r="G889" i="15"/>
  <c r="S889" i="15"/>
  <c r="AC889" i="15"/>
  <c r="J891" i="15"/>
  <c r="U891" i="15"/>
  <c r="AF891" i="15"/>
  <c r="AF894" i="15"/>
  <c r="X894" i="15"/>
  <c r="P894" i="15"/>
  <c r="H894" i="15"/>
  <c r="AD894" i="15"/>
  <c r="V894" i="15"/>
  <c r="N894" i="15"/>
  <c r="J894" i="15"/>
  <c r="T894" i="15"/>
  <c r="AE894" i="15"/>
  <c r="K896" i="15"/>
  <c r="V896" i="15"/>
  <c r="AF896" i="15"/>
  <c r="J899" i="15"/>
  <c r="U899" i="15"/>
  <c r="AF899" i="15"/>
  <c r="AF902" i="15"/>
  <c r="X902" i="15"/>
  <c r="P902" i="15"/>
  <c r="H902" i="15"/>
  <c r="AD902" i="15"/>
  <c r="V902" i="15"/>
  <c r="N902" i="15"/>
  <c r="J902" i="15"/>
  <c r="T902" i="15"/>
  <c r="AE902" i="15"/>
  <c r="K904" i="15"/>
  <c r="V904" i="15"/>
  <c r="AF904" i="15"/>
  <c r="J907" i="15"/>
  <c r="U907" i="15"/>
  <c r="AF907" i="15"/>
  <c r="AF910" i="15"/>
  <c r="X910" i="15"/>
  <c r="P910" i="15"/>
  <c r="H910" i="15"/>
  <c r="AD910" i="15"/>
  <c r="V910" i="15"/>
  <c r="N910" i="15"/>
  <c r="J910" i="15"/>
  <c r="T910" i="15"/>
  <c r="AE910" i="15"/>
  <c r="K912" i="15"/>
  <c r="V912" i="15"/>
  <c r="AF912" i="15"/>
  <c r="J915" i="15"/>
  <c r="U915" i="15"/>
  <c r="AF915" i="15"/>
  <c r="AF918" i="15"/>
  <c r="X918" i="15"/>
  <c r="P918" i="15"/>
  <c r="H918" i="15"/>
  <c r="AD918" i="15"/>
  <c r="V918" i="15"/>
  <c r="N918" i="15"/>
  <c r="J918" i="15"/>
  <c r="T918" i="15"/>
  <c r="AE918" i="15"/>
  <c r="K920" i="15"/>
  <c r="V920" i="15"/>
  <c r="AF920" i="15"/>
  <c r="J923" i="15"/>
  <c r="U923" i="15"/>
  <c r="AF923" i="15"/>
  <c r="AF926" i="15"/>
  <c r="X926" i="15"/>
  <c r="P926" i="15"/>
  <c r="H926" i="15"/>
  <c r="AD926" i="15"/>
  <c r="V926" i="15"/>
  <c r="N926" i="15"/>
  <c r="J926" i="15"/>
  <c r="T926" i="15"/>
  <c r="AE926" i="15"/>
  <c r="K928" i="15"/>
  <c r="V928" i="15"/>
  <c r="AF928" i="15"/>
  <c r="J931" i="15"/>
  <c r="U931" i="15"/>
  <c r="AF931" i="15"/>
  <c r="AF934" i="15"/>
  <c r="X934" i="15"/>
  <c r="P934" i="15"/>
  <c r="H934" i="15"/>
  <c r="AD934" i="15"/>
  <c r="V934" i="15"/>
  <c r="N934" i="15"/>
  <c r="J934" i="15"/>
  <c r="T934" i="15"/>
  <c r="AE934" i="15"/>
  <c r="K936" i="15"/>
  <c r="V936" i="15"/>
  <c r="AF936" i="15"/>
  <c r="J939" i="15"/>
  <c r="U939" i="15"/>
  <c r="AF939" i="15"/>
  <c r="AF942" i="15"/>
  <c r="X942" i="15"/>
  <c r="P942" i="15"/>
  <c r="H942" i="15"/>
  <c r="AD942" i="15"/>
  <c r="V942" i="15"/>
  <c r="N942" i="15"/>
  <c r="J942" i="15"/>
  <c r="T942" i="15"/>
  <c r="AE942" i="15"/>
  <c r="K944" i="15"/>
  <c r="V944" i="15"/>
  <c r="AF944" i="15"/>
  <c r="J947" i="15"/>
  <c r="U947" i="15"/>
  <c r="AF947" i="15"/>
  <c r="AF950" i="15"/>
  <c r="X950" i="15"/>
  <c r="P950" i="15"/>
  <c r="H950" i="15"/>
  <c r="AD950" i="15"/>
  <c r="V950" i="15"/>
  <c r="N950" i="15"/>
  <c r="J950" i="15"/>
  <c r="T950" i="15"/>
  <c r="AE950" i="15"/>
  <c r="K952" i="15"/>
  <c r="V952" i="15"/>
  <c r="AF952" i="15"/>
  <c r="G953" i="15"/>
  <c r="S953" i="15"/>
  <c r="AC953" i="15"/>
  <c r="J955" i="15"/>
  <c r="U955" i="15"/>
  <c r="AF955" i="15"/>
  <c r="AF958" i="15"/>
  <c r="X958" i="15"/>
  <c r="P958" i="15"/>
  <c r="H958" i="15"/>
  <c r="AD958" i="15"/>
  <c r="V958" i="15"/>
  <c r="N958" i="15"/>
  <c r="J958" i="15"/>
  <c r="T958" i="15"/>
  <c r="AE958" i="15"/>
  <c r="K960" i="15"/>
  <c r="V960" i="15"/>
  <c r="AF960" i="15"/>
  <c r="G961" i="15"/>
  <c r="S961" i="15"/>
  <c r="AC961" i="15"/>
  <c r="J963" i="15"/>
  <c r="U963" i="15"/>
  <c r="AF963" i="15"/>
  <c r="AF966" i="15"/>
  <c r="X966" i="15"/>
  <c r="P966" i="15"/>
  <c r="H966" i="15"/>
  <c r="AD966" i="15"/>
  <c r="V966" i="15"/>
  <c r="N966" i="15"/>
  <c r="J966" i="15"/>
  <c r="T966" i="15"/>
  <c r="AE966" i="15"/>
  <c r="K968" i="15"/>
  <c r="V968" i="15"/>
  <c r="AF968" i="15"/>
  <c r="G969" i="15"/>
  <c r="S969" i="15"/>
  <c r="AC969" i="15"/>
  <c r="J971" i="15"/>
  <c r="U971" i="15"/>
  <c r="AF971" i="15"/>
  <c r="AF974" i="15"/>
  <c r="X974" i="15"/>
  <c r="P974" i="15"/>
  <c r="H974" i="15"/>
  <c r="AD974" i="15"/>
  <c r="V974" i="15"/>
  <c r="N974" i="15"/>
  <c r="J974" i="15"/>
  <c r="T974" i="15"/>
  <c r="AE974" i="15"/>
  <c r="K976" i="15"/>
  <c r="V976" i="15"/>
  <c r="AF976" i="15"/>
  <c r="S977" i="15"/>
  <c r="AC977" i="15"/>
  <c r="J979" i="15"/>
  <c r="U979" i="15"/>
  <c r="AF979" i="15"/>
  <c r="AF982" i="15"/>
  <c r="X982" i="15"/>
  <c r="P982" i="15"/>
  <c r="H982" i="15"/>
  <c r="AD982" i="15"/>
  <c r="V982" i="15"/>
  <c r="N982" i="15"/>
  <c r="J982" i="15"/>
  <c r="T982" i="15"/>
  <c r="AE982" i="15"/>
  <c r="K984" i="15"/>
  <c r="V984" i="15"/>
  <c r="AF984" i="15"/>
  <c r="AC985" i="15"/>
  <c r="J987" i="15"/>
  <c r="U987" i="15"/>
  <c r="AF987" i="15"/>
  <c r="AF990" i="15"/>
  <c r="X990" i="15"/>
  <c r="P990" i="15"/>
  <c r="H990" i="15"/>
  <c r="AD990" i="15"/>
  <c r="V990" i="15"/>
  <c r="N990" i="15"/>
  <c r="J990" i="15"/>
  <c r="T990" i="15"/>
  <c r="AE990" i="15"/>
  <c r="K992" i="15"/>
  <c r="V992" i="15"/>
  <c r="AF992" i="15"/>
  <c r="S993" i="15"/>
  <c r="AC993" i="15"/>
  <c r="J995" i="15"/>
  <c r="U995" i="15"/>
  <c r="AF995" i="15"/>
  <c r="AF998" i="15"/>
  <c r="X998" i="15"/>
  <c r="P998" i="15"/>
  <c r="H998" i="15"/>
  <c r="AD998" i="15"/>
  <c r="V998" i="15"/>
  <c r="N998" i="15"/>
  <c r="J998" i="15"/>
  <c r="T998" i="15"/>
  <c r="AE998" i="15"/>
  <c r="K1000" i="15"/>
  <c r="V1000" i="15"/>
  <c r="AF1000" i="15"/>
  <c r="G1001" i="15"/>
  <c r="S1001" i="15"/>
  <c r="AC1001" i="15"/>
  <c r="J1003" i="15"/>
  <c r="U1003" i="15"/>
  <c r="AF1003" i="15"/>
  <c r="AF1006" i="15"/>
  <c r="X1006" i="15"/>
  <c r="P1006" i="15"/>
  <c r="H1006" i="15"/>
  <c r="AD1006" i="15"/>
  <c r="V1006" i="15"/>
  <c r="N1006" i="15"/>
  <c r="J1006" i="15"/>
  <c r="T1006" i="15"/>
  <c r="AE1006" i="15"/>
  <c r="K1008" i="15"/>
  <c r="V1008" i="15"/>
  <c r="AF1008" i="15"/>
  <c r="S1009" i="15"/>
  <c r="AC1009" i="15"/>
  <c r="J1011" i="15"/>
  <c r="U1011" i="15"/>
  <c r="AF1011" i="15"/>
  <c r="AF1014" i="15"/>
  <c r="X1014" i="15"/>
  <c r="P1014" i="15"/>
  <c r="H1014" i="15"/>
  <c r="AD1014" i="15"/>
  <c r="V1014" i="15"/>
  <c r="N1014" i="15"/>
  <c r="J1014" i="15"/>
  <c r="T1014" i="15"/>
  <c r="AE1014" i="15"/>
  <c r="K1016" i="15"/>
  <c r="V1016" i="15"/>
  <c r="AF1016" i="15"/>
  <c r="J1019" i="15"/>
  <c r="U1019" i="15"/>
  <c r="AF1019" i="15"/>
  <c r="AF1022" i="15"/>
  <c r="X1022" i="15"/>
  <c r="P1022" i="15"/>
  <c r="H1022" i="15"/>
  <c r="AD1022" i="15"/>
  <c r="V1022" i="15"/>
  <c r="N1022" i="15"/>
  <c r="J1022" i="15"/>
  <c r="T1022" i="15"/>
  <c r="AE1022" i="15"/>
  <c r="K1024" i="15"/>
  <c r="V1024" i="15"/>
  <c r="AF1024" i="15"/>
  <c r="J1027" i="15"/>
  <c r="U1027" i="15"/>
  <c r="AF1027" i="15"/>
  <c r="AF1030" i="15"/>
  <c r="X1030" i="15"/>
  <c r="P1030" i="15"/>
  <c r="H1030" i="15"/>
  <c r="AD1030" i="15"/>
  <c r="V1030" i="15"/>
  <c r="N1030" i="15"/>
  <c r="J1030" i="15"/>
  <c r="T1030" i="15"/>
  <c r="AE1030" i="15"/>
  <c r="K1032" i="15"/>
  <c r="V1032" i="15"/>
  <c r="AF1032" i="15"/>
  <c r="J1035" i="15"/>
  <c r="U1035" i="15"/>
  <c r="AF1035" i="15"/>
  <c r="AF1038" i="15"/>
  <c r="X1038" i="15"/>
  <c r="P1038" i="15"/>
  <c r="H1038" i="15"/>
  <c r="AD1038" i="15"/>
  <c r="V1038" i="15"/>
  <c r="N1038" i="15"/>
  <c r="J1038" i="15"/>
  <c r="T1038" i="15"/>
  <c r="AE1038" i="15"/>
  <c r="K1040" i="15"/>
  <c r="V1040" i="15"/>
  <c r="AF1040" i="15"/>
  <c r="J1043" i="15"/>
  <c r="U1043" i="15"/>
  <c r="AF1043" i="15"/>
  <c r="AF1046" i="15"/>
  <c r="X1046" i="15"/>
  <c r="P1046" i="15"/>
  <c r="H1046" i="15"/>
  <c r="AD1046" i="15"/>
  <c r="V1046" i="15"/>
  <c r="N1046" i="15"/>
  <c r="J1046" i="15"/>
  <c r="T1046" i="15"/>
  <c r="AE1046" i="15"/>
  <c r="K1048" i="15"/>
  <c r="V1048" i="15"/>
  <c r="AF1048" i="15"/>
  <c r="J1051" i="15"/>
  <c r="U1051" i="15"/>
  <c r="AF1051" i="15"/>
  <c r="AF1054" i="15"/>
  <c r="X1054" i="15"/>
  <c r="P1054" i="15"/>
  <c r="H1054" i="15"/>
  <c r="AD1054" i="15"/>
  <c r="V1054" i="15"/>
  <c r="N1054" i="15"/>
  <c r="J1054" i="15"/>
  <c r="T1054" i="15"/>
  <c r="AE1054" i="15"/>
  <c r="K1056" i="15"/>
  <c r="V1056" i="15"/>
  <c r="AF1056" i="15"/>
  <c r="J1059" i="15"/>
  <c r="U1059" i="15"/>
  <c r="AF1059" i="15"/>
  <c r="AF1062" i="15"/>
  <c r="X1062" i="15"/>
  <c r="P1062" i="15"/>
  <c r="H1062" i="15"/>
  <c r="AD1062" i="15"/>
  <c r="V1062" i="15"/>
  <c r="N1062" i="15"/>
  <c r="J1062" i="15"/>
  <c r="T1062" i="15"/>
  <c r="AE1062" i="15"/>
  <c r="K1064" i="15"/>
  <c r="V1064" i="15"/>
  <c r="AF1064" i="15"/>
  <c r="J1067" i="15"/>
  <c r="U1067" i="15"/>
  <c r="AF1067" i="15"/>
  <c r="AF1070" i="15"/>
  <c r="X1070" i="15"/>
  <c r="P1070" i="15"/>
  <c r="H1070" i="15"/>
  <c r="AD1070" i="15"/>
  <c r="V1070" i="15"/>
  <c r="N1070" i="15"/>
  <c r="J1070" i="15"/>
  <c r="T1070" i="15"/>
  <c r="AE1070" i="15"/>
  <c r="K1072" i="15"/>
  <c r="V1072" i="15"/>
  <c r="AF1072" i="15"/>
  <c r="G1073" i="15"/>
  <c r="S1073" i="15"/>
  <c r="AC1073" i="15"/>
  <c r="J1075" i="15"/>
  <c r="U1075" i="15"/>
  <c r="AF1075" i="15"/>
  <c r="AF1078" i="15"/>
  <c r="X1078" i="15"/>
  <c r="P1078" i="15"/>
  <c r="H1078" i="15"/>
  <c r="AD1078" i="15"/>
  <c r="V1078" i="15"/>
  <c r="N1078" i="15"/>
  <c r="J1078" i="15"/>
  <c r="T1078" i="15"/>
  <c r="AE1078" i="15"/>
  <c r="K1080" i="15"/>
  <c r="V1080" i="15"/>
  <c r="AF1080" i="15"/>
  <c r="G1081" i="15"/>
  <c r="S1081" i="15"/>
  <c r="AC1081" i="15"/>
  <c r="J1083" i="15"/>
  <c r="U1083" i="15"/>
  <c r="AF1083" i="15"/>
  <c r="AF1086" i="15"/>
  <c r="X1086" i="15"/>
  <c r="P1086" i="15"/>
  <c r="H1086" i="15"/>
  <c r="AD1086" i="15"/>
  <c r="V1086" i="15"/>
  <c r="N1086" i="15"/>
  <c r="J1086" i="15"/>
  <c r="T1086" i="15"/>
  <c r="AE1086" i="15"/>
  <c r="K1088" i="15"/>
  <c r="V1088" i="15"/>
  <c r="AF1088" i="15"/>
  <c r="AC1089" i="15"/>
  <c r="J1091" i="15"/>
  <c r="U1091" i="15"/>
  <c r="AF1091" i="15"/>
  <c r="AF1094" i="15"/>
  <c r="X1094" i="15"/>
  <c r="P1094" i="15"/>
  <c r="H1094" i="15"/>
  <c r="AD1094" i="15"/>
  <c r="V1094" i="15"/>
  <c r="N1094" i="15"/>
  <c r="J1094" i="15"/>
  <c r="T1094" i="15"/>
  <c r="AE1094" i="15"/>
  <c r="K1096" i="15"/>
  <c r="V1096" i="15"/>
  <c r="AF1096" i="15"/>
  <c r="G1097" i="15"/>
  <c r="S1097" i="15"/>
  <c r="AC1097" i="15"/>
  <c r="J1099" i="15"/>
  <c r="U1099" i="15"/>
  <c r="AF1099" i="15"/>
  <c r="AF1102" i="15"/>
  <c r="X1102" i="15"/>
  <c r="P1102" i="15"/>
  <c r="H1102" i="15"/>
  <c r="AD1102" i="15"/>
  <c r="V1102" i="15"/>
  <c r="N1102" i="15"/>
  <c r="J1102" i="15"/>
  <c r="T1102" i="15"/>
  <c r="AE1102" i="15"/>
  <c r="K1104" i="15"/>
  <c r="V1104" i="15"/>
  <c r="AF1104" i="15"/>
  <c r="G1105" i="15"/>
  <c r="S1105" i="15"/>
  <c r="AC1105" i="15"/>
  <c r="J1107" i="15"/>
  <c r="U1107" i="15"/>
  <c r="AF1107" i="15"/>
  <c r="AF1110" i="15"/>
  <c r="X1110" i="15"/>
  <c r="P1110" i="15"/>
  <c r="H1110" i="15"/>
  <c r="AD1110" i="15"/>
  <c r="V1110" i="15"/>
  <c r="N1110" i="15"/>
  <c r="J1110" i="15"/>
  <c r="T1110" i="15"/>
  <c r="AE1110" i="15"/>
  <c r="K1112" i="15"/>
  <c r="V1112" i="15"/>
  <c r="AF1112" i="15"/>
  <c r="S1113" i="15"/>
  <c r="AC1113" i="15"/>
  <c r="J1115" i="15"/>
  <c r="U1115" i="15"/>
  <c r="AF1115" i="15"/>
  <c r="AF1118" i="15"/>
  <c r="X1118" i="15"/>
  <c r="P1118" i="15"/>
  <c r="H1118" i="15"/>
  <c r="AD1118" i="15"/>
  <c r="V1118" i="15"/>
  <c r="N1118" i="15"/>
  <c r="J1118" i="15"/>
  <c r="T1118" i="15"/>
  <c r="AE1118" i="15"/>
  <c r="K1120" i="15"/>
  <c r="V1120" i="15"/>
  <c r="AF1120" i="15"/>
  <c r="G1121" i="15"/>
  <c r="S1121" i="15"/>
  <c r="AC1121" i="15"/>
  <c r="J1123" i="15"/>
  <c r="U1123" i="15"/>
  <c r="AF1123" i="15"/>
  <c r="AF1126" i="15"/>
  <c r="X1126" i="15"/>
  <c r="P1126" i="15"/>
  <c r="H1126" i="15"/>
  <c r="AD1126" i="15"/>
  <c r="V1126" i="15"/>
  <c r="N1126" i="15"/>
  <c r="J1126" i="15"/>
  <c r="T1126" i="15"/>
  <c r="AE1126" i="15"/>
  <c r="K1128" i="15"/>
  <c r="V1128" i="15"/>
  <c r="AF1128" i="15"/>
  <c r="G1129" i="15"/>
  <c r="S1129" i="15"/>
  <c r="AC1129" i="15"/>
  <c r="J1131" i="15"/>
  <c r="U1131" i="15"/>
  <c r="AF1131" i="15"/>
  <c r="AF1134" i="15"/>
  <c r="X1134" i="15"/>
  <c r="P1134" i="15"/>
  <c r="H1134" i="15"/>
  <c r="AD1134" i="15"/>
  <c r="V1134" i="15"/>
  <c r="N1134" i="15"/>
  <c r="J1134" i="15"/>
  <c r="T1134" i="15"/>
  <c r="AE1134" i="15"/>
  <c r="K1136" i="15"/>
  <c r="X1136" i="15"/>
  <c r="AH1137" i="15"/>
  <c r="Z1137" i="15"/>
  <c r="R1137" i="15"/>
  <c r="J1137" i="15"/>
  <c r="AF1137" i="15"/>
  <c r="W1137" i="15"/>
  <c r="N1137" i="15"/>
  <c r="AD1137" i="15"/>
  <c r="U1137" i="15"/>
  <c r="L1137" i="15"/>
  <c r="I1137" i="15"/>
  <c r="V1137" i="15"/>
  <c r="AF1138" i="15"/>
  <c r="X1138" i="15"/>
  <c r="P1138" i="15"/>
  <c r="H1138" i="15"/>
  <c r="Z1138" i="15"/>
  <c r="Q1138" i="15"/>
  <c r="G1138" i="15"/>
  <c r="AG1138" i="15"/>
  <c r="W1138" i="15"/>
  <c r="N1138" i="15"/>
  <c r="K1138" i="15"/>
  <c r="V1138" i="15"/>
  <c r="AB1140" i="15"/>
  <c r="T1140" i="15"/>
  <c r="L1140" i="15"/>
  <c r="AC1140" i="15"/>
  <c r="S1140" i="15"/>
  <c r="J1140" i="15"/>
  <c r="Z1140" i="15"/>
  <c r="Q1140" i="15"/>
  <c r="H1140" i="15"/>
  <c r="K1140" i="15"/>
  <c r="W1140" i="15"/>
  <c r="AH1140" i="15"/>
  <c r="I1142" i="15"/>
  <c r="T1142" i="15"/>
  <c r="I1143" i="15"/>
  <c r="T1143" i="15"/>
  <c r="I1144" i="15"/>
  <c r="U1144" i="15"/>
  <c r="G1147" i="15"/>
  <c r="R1147" i="15"/>
  <c r="AE1147" i="15"/>
  <c r="K1158" i="15"/>
  <c r="Y1158" i="15"/>
  <c r="K1159" i="15"/>
  <c r="X1159" i="15"/>
  <c r="K1160" i="15"/>
  <c r="W1160" i="15"/>
  <c r="AD1163" i="15"/>
  <c r="V1163" i="15"/>
  <c r="N1163" i="15"/>
  <c r="AF1163" i="15"/>
  <c r="W1163" i="15"/>
  <c r="M1163" i="15"/>
  <c r="AC1163" i="15"/>
  <c r="T1163" i="15"/>
  <c r="K1163" i="15"/>
  <c r="I1163" i="15"/>
  <c r="U1163" i="15"/>
  <c r="AH1163" i="15"/>
  <c r="H1164" i="15"/>
  <c r="S1164" i="15"/>
  <c r="H1165" i="15"/>
  <c r="T1165" i="15"/>
  <c r="J1180" i="15"/>
  <c r="W1180" i="15"/>
  <c r="AH1181" i="15"/>
  <c r="Z1181" i="15"/>
  <c r="R1181" i="15"/>
  <c r="J1181" i="15"/>
  <c r="Y1181" i="15"/>
  <c r="P1181" i="15"/>
  <c r="G1181" i="15"/>
  <c r="AF1181" i="15"/>
  <c r="W1181" i="15"/>
  <c r="N1181" i="15"/>
  <c r="K1181" i="15"/>
  <c r="V1181" i="15"/>
  <c r="H1184" i="15"/>
  <c r="U1184" i="15"/>
  <c r="G1185" i="15"/>
  <c r="S1185" i="15"/>
  <c r="I1186" i="15"/>
  <c r="T1186" i="15"/>
  <c r="G1188" i="15"/>
  <c r="U1188" i="15"/>
  <c r="L1197" i="15"/>
  <c r="X1197" i="15"/>
  <c r="G1200" i="15"/>
  <c r="R1200" i="15"/>
  <c r="AF1200" i="15"/>
  <c r="L1213" i="15"/>
  <c r="X1213" i="15"/>
  <c r="AB1216" i="15"/>
  <c r="T1216" i="15"/>
  <c r="L1216" i="15"/>
  <c r="AE1216" i="15"/>
  <c r="V1216" i="15"/>
  <c r="M1216" i="15"/>
  <c r="AC1216" i="15"/>
  <c r="S1216" i="15"/>
  <c r="J1216" i="15"/>
  <c r="I1216" i="15"/>
  <c r="W1216" i="15"/>
  <c r="AH1216" i="15"/>
  <c r="H1217" i="15"/>
  <c r="T1217" i="15"/>
  <c r="J1218" i="15"/>
  <c r="U1218" i="15"/>
  <c r="L1229" i="15"/>
  <c r="X1229" i="15"/>
  <c r="AB1232" i="15"/>
  <c r="T1232" i="15"/>
  <c r="L1232" i="15"/>
  <c r="AE1232" i="15"/>
  <c r="V1232" i="15"/>
  <c r="M1232" i="15"/>
  <c r="AC1232" i="15"/>
  <c r="S1232" i="15"/>
  <c r="J1232" i="15"/>
  <c r="I1232" i="15"/>
  <c r="W1232" i="15"/>
  <c r="AH1232" i="15"/>
  <c r="H1233" i="15"/>
  <c r="T1233" i="15"/>
  <c r="J1234" i="15"/>
  <c r="U1234" i="15"/>
  <c r="L1245" i="15"/>
  <c r="X1245" i="15"/>
  <c r="J1248" i="15"/>
  <c r="Z1248" i="15"/>
  <c r="AF1250" i="15"/>
  <c r="X1250" i="15"/>
  <c r="P1250" i="15"/>
  <c r="H1250" i="15"/>
  <c r="AE1250" i="15"/>
  <c r="W1250" i="15"/>
  <c r="O1250" i="15"/>
  <c r="G1250" i="15"/>
  <c r="AC1250" i="15"/>
  <c r="S1250" i="15"/>
  <c r="I1250" i="15"/>
  <c r="AA1250" i="15"/>
  <c r="Q1250" i="15"/>
  <c r="L1250" i="15"/>
  <c r="Z1250" i="15"/>
  <c r="J1256" i="15"/>
  <c r="Z1256" i="15"/>
  <c r="AF1258" i="15"/>
  <c r="X1258" i="15"/>
  <c r="P1258" i="15"/>
  <c r="H1258" i="15"/>
  <c r="AE1258" i="15"/>
  <c r="W1258" i="15"/>
  <c r="O1258" i="15"/>
  <c r="G1258" i="15"/>
  <c r="AC1258" i="15"/>
  <c r="S1258" i="15"/>
  <c r="I1258" i="15"/>
  <c r="AA1258" i="15"/>
  <c r="Q1258" i="15"/>
  <c r="L1258" i="15"/>
  <c r="Z1258" i="15"/>
  <c r="AB1264" i="15"/>
  <c r="T1264" i="15"/>
  <c r="L1264" i="15"/>
  <c r="AA1264" i="15"/>
  <c r="S1264" i="15"/>
  <c r="K1264" i="15"/>
  <c r="Y1264" i="15"/>
  <c r="O1264" i="15"/>
  <c r="AG1264" i="15"/>
  <c r="W1264" i="15"/>
  <c r="M1264" i="15"/>
  <c r="I1264" i="15"/>
  <c r="X1264" i="15"/>
  <c r="K1266" i="15"/>
  <c r="G1272" i="15"/>
  <c r="U1272" i="15"/>
  <c r="AH1272" i="15"/>
  <c r="AD1275" i="15"/>
  <c r="V1275" i="15"/>
  <c r="N1275" i="15"/>
  <c r="AC1275" i="15"/>
  <c r="U1275" i="15"/>
  <c r="M1275" i="15"/>
  <c r="Y1275" i="15"/>
  <c r="O1275" i="15"/>
  <c r="AG1275" i="15"/>
  <c r="W1275" i="15"/>
  <c r="K1275" i="15"/>
  <c r="I1275" i="15"/>
  <c r="X1275" i="15"/>
  <c r="G1283" i="15"/>
  <c r="S1283" i="15"/>
  <c r="AH1283" i="15"/>
  <c r="M1290" i="15"/>
  <c r="AB1290" i="15"/>
  <c r="AB1296" i="15"/>
  <c r="T1296" i="15"/>
  <c r="L1296" i="15"/>
  <c r="AA1296" i="15"/>
  <c r="S1296" i="15"/>
  <c r="K1296" i="15"/>
  <c r="Y1296" i="15"/>
  <c r="O1296" i="15"/>
  <c r="AG1296" i="15"/>
  <c r="W1296" i="15"/>
  <c r="M1296" i="15"/>
  <c r="I1296" i="15"/>
  <c r="X1296" i="15"/>
  <c r="K1298" i="15"/>
  <c r="G1304" i="15"/>
  <c r="U1304" i="15"/>
  <c r="AH1304" i="15"/>
  <c r="AD1307" i="15"/>
  <c r="V1307" i="15"/>
  <c r="N1307" i="15"/>
  <c r="AC1307" i="15"/>
  <c r="U1307" i="15"/>
  <c r="M1307" i="15"/>
  <c r="Y1307" i="15"/>
  <c r="O1307" i="15"/>
  <c r="AG1307" i="15"/>
  <c r="W1307" i="15"/>
  <c r="K1307" i="15"/>
  <c r="I1307" i="15"/>
  <c r="X1307" i="15"/>
  <c r="G1315" i="15"/>
  <c r="S1315" i="15"/>
  <c r="AH1315" i="15"/>
  <c r="M1322" i="15"/>
  <c r="AB1322" i="15"/>
  <c r="AB1328" i="15"/>
  <c r="T1328" i="15"/>
  <c r="L1328" i="15"/>
  <c r="AA1328" i="15"/>
  <c r="S1328" i="15"/>
  <c r="K1328" i="15"/>
  <c r="Y1328" i="15"/>
  <c r="O1328" i="15"/>
  <c r="AG1328" i="15"/>
  <c r="W1328" i="15"/>
  <c r="M1328" i="15"/>
  <c r="I1328" i="15"/>
  <c r="X1328" i="15"/>
  <c r="K1330" i="15"/>
  <c r="G1336" i="15"/>
  <c r="U1336" i="15"/>
  <c r="AH1336" i="15"/>
  <c r="AD1339" i="15"/>
  <c r="V1339" i="15"/>
  <c r="N1339" i="15"/>
  <c r="AC1339" i="15"/>
  <c r="U1339" i="15"/>
  <c r="M1339" i="15"/>
  <c r="Y1339" i="15"/>
  <c r="O1339" i="15"/>
  <c r="AG1339" i="15"/>
  <c r="W1339" i="15"/>
  <c r="K1339" i="15"/>
  <c r="I1339" i="15"/>
  <c r="X1339" i="15"/>
  <c r="G1347" i="15"/>
  <c r="S1347" i="15"/>
  <c r="AH1347" i="15"/>
  <c r="P1351" i="15"/>
  <c r="AF1351" i="15"/>
  <c r="G1352" i="15"/>
  <c r="Y1352" i="15"/>
  <c r="N1360" i="15"/>
  <c r="AD1360" i="15"/>
  <c r="H1367" i="15"/>
  <c r="X1367" i="15"/>
  <c r="J1372" i="15"/>
  <c r="AE1372" i="15"/>
  <c r="AC1376" i="15"/>
  <c r="U1376" i="15"/>
  <c r="M1376" i="15"/>
  <c r="AB1376" i="15"/>
  <c r="T1376" i="15"/>
  <c r="L1376" i="15"/>
  <c r="AA1376" i="15"/>
  <c r="S1376" i="15"/>
  <c r="K1376" i="15"/>
  <c r="Z1376" i="15"/>
  <c r="O1376" i="15"/>
  <c r="X1376" i="15"/>
  <c r="J1376" i="15"/>
  <c r="I1376" i="15"/>
  <c r="AD1376" i="15"/>
  <c r="AC1384" i="15"/>
  <c r="U1384" i="15"/>
  <c r="M1384" i="15"/>
  <c r="AB1384" i="15"/>
  <c r="T1384" i="15"/>
  <c r="L1384" i="15"/>
  <c r="AA1384" i="15"/>
  <c r="S1384" i="15"/>
  <c r="K1384" i="15"/>
  <c r="X1384" i="15"/>
  <c r="J1384" i="15"/>
  <c r="AG1384" i="15"/>
  <c r="V1384" i="15"/>
  <c r="H1384" i="15"/>
  <c r="N1384" i="15"/>
  <c r="AD1384" i="15"/>
  <c r="H1391" i="15"/>
  <c r="Y1391" i="15"/>
  <c r="J1395" i="15"/>
  <c r="AE1399" i="15"/>
  <c r="W1399" i="15"/>
  <c r="O1399" i="15"/>
  <c r="G1399" i="15"/>
  <c r="AD1399" i="15"/>
  <c r="V1399" i="15"/>
  <c r="N1399" i="15"/>
  <c r="AC1399" i="15"/>
  <c r="U1399" i="15"/>
  <c r="M1399" i="15"/>
  <c r="AF1399" i="15"/>
  <c r="R1399" i="15"/>
  <c r="AA1399" i="15"/>
  <c r="P1399" i="15"/>
  <c r="J1399" i="15"/>
  <c r="Z1399" i="15"/>
  <c r="I1403" i="15"/>
  <c r="H1407" i="15"/>
  <c r="X1407" i="15"/>
  <c r="J1423" i="15"/>
  <c r="AE1427" i="15"/>
  <c r="W1427" i="15"/>
  <c r="O1427" i="15"/>
  <c r="G1427" i="15"/>
  <c r="AD1427" i="15"/>
  <c r="V1427" i="15"/>
  <c r="N1427" i="15"/>
  <c r="AC1427" i="15"/>
  <c r="U1427" i="15"/>
  <c r="M1427" i="15"/>
  <c r="AG1427" i="15"/>
  <c r="S1427" i="15"/>
  <c r="H1427" i="15"/>
  <c r="AB1427" i="15"/>
  <c r="Q1427" i="15"/>
  <c r="K1427" i="15"/>
  <c r="AA1427" i="15"/>
  <c r="K1431" i="15"/>
  <c r="AB1431" i="15"/>
  <c r="AE1435" i="15"/>
  <c r="W1435" i="15"/>
  <c r="O1435" i="15"/>
  <c r="G1435" i="15"/>
  <c r="AD1435" i="15"/>
  <c r="V1435" i="15"/>
  <c r="N1435" i="15"/>
  <c r="AC1435" i="15"/>
  <c r="U1435" i="15"/>
  <c r="M1435" i="15"/>
  <c r="AB1435" i="15"/>
  <c r="Q1435" i="15"/>
  <c r="Z1435" i="15"/>
  <c r="L1435" i="15"/>
  <c r="J1435" i="15"/>
  <c r="AA1435" i="15"/>
  <c r="I1439" i="15"/>
  <c r="H1447" i="15"/>
  <c r="Z1447" i="15"/>
  <c r="L1455" i="15"/>
  <c r="AB1455" i="15"/>
  <c r="I1460" i="15"/>
  <c r="H1464" i="15"/>
  <c r="G1468" i="15"/>
  <c r="W1468" i="15"/>
  <c r="L1471" i="15"/>
  <c r="AF1471" i="15"/>
  <c r="AE1479" i="15"/>
  <c r="W1479" i="15"/>
  <c r="O1479" i="15"/>
  <c r="G1479" i="15"/>
  <c r="AD1479" i="15"/>
  <c r="V1479" i="15"/>
  <c r="N1479" i="15"/>
  <c r="AC1479" i="15"/>
  <c r="U1479" i="15"/>
  <c r="M1479" i="15"/>
  <c r="Y1479" i="15"/>
  <c r="K1479" i="15"/>
  <c r="AH1479" i="15"/>
  <c r="T1479" i="15"/>
  <c r="I1479" i="15"/>
  <c r="L1479" i="15"/>
  <c r="AB1479" i="15"/>
  <c r="L1487" i="15"/>
  <c r="AB1487" i="15"/>
  <c r="I1492" i="15"/>
  <c r="H1496" i="15"/>
  <c r="G1500" i="15"/>
  <c r="L1503" i="15"/>
  <c r="AF1503" i="15"/>
  <c r="AE1511" i="15"/>
  <c r="W1511" i="15"/>
  <c r="O1511" i="15"/>
  <c r="G1511" i="15"/>
  <c r="AD1511" i="15"/>
  <c r="V1511" i="15"/>
  <c r="N1511" i="15"/>
  <c r="AC1511" i="15"/>
  <c r="U1511" i="15"/>
  <c r="M1511" i="15"/>
  <c r="Y1511" i="15"/>
  <c r="K1511" i="15"/>
  <c r="AH1511" i="15"/>
  <c r="T1511" i="15"/>
  <c r="I1511" i="15"/>
  <c r="L1511" i="15"/>
  <c r="AB1511" i="15"/>
  <c r="AC1520" i="15"/>
  <c r="U1520" i="15"/>
  <c r="M1520" i="15"/>
  <c r="AB1520" i="15"/>
  <c r="T1520" i="15"/>
  <c r="L1520" i="15"/>
  <c r="AA1520" i="15"/>
  <c r="S1520" i="15"/>
  <c r="K1520" i="15"/>
  <c r="AG1520" i="15"/>
  <c r="V1520" i="15"/>
  <c r="H1520" i="15"/>
  <c r="AE1520" i="15"/>
  <c r="Q1520" i="15"/>
  <c r="J1520" i="15"/>
  <c r="Z1520" i="15"/>
  <c r="N1524" i="15"/>
  <c r="AE1524" i="15"/>
  <c r="J1528" i="15"/>
  <c r="AD1528" i="15"/>
  <c r="AC1532" i="15"/>
  <c r="U1532" i="15"/>
  <c r="M1532" i="15"/>
  <c r="AB1532" i="15"/>
  <c r="T1532" i="15"/>
  <c r="L1532" i="15"/>
  <c r="AA1532" i="15"/>
  <c r="S1532" i="15"/>
  <c r="K1532" i="15"/>
  <c r="AD1532" i="15"/>
  <c r="P1532" i="15"/>
  <c r="Y1532" i="15"/>
  <c r="N1532" i="15"/>
  <c r="I1532" i="15"/>
  <c r="Z1532" i="15"/>
  <c r="H1536" i="15"/>
  <c r="I1544" i="15"/>
  <c r="Q1571" i="15"/>
  <c r="O1572" i="15"/>
  <c r="AG1572" i="15"/>
  <c r="AF1579" i="15"/>
  <c r="X1579" i="15"/>
  <c r="P1579" i="15"/>
  <c r="H1579" i="15"/>
  <c r="AE1579" i="15"/>
  <c r="W1579" i="15"/>
  <c r="O1579" i="15"/>
  <c r="G1579" i="15"/>
  <c r="AD1579" i="15"/>
  <c r="V1579" i="15"/>
  <c r="N1579" i="15"/>
  <c r="AC1579" i="15"/>
  <c r="U1579" i="15"/>
  <c r="M1579" i="15"/>
  <c r="AH1579" i="15"/>
  <c r="R1579" i="15"/>
  <c r="AB1579" i="15"/>
  <c r="L1579" i="15"/>
  <c r="K1579" i="15"/>
  <c r="AD1580" i="15"/>
  <c r="V1580" i="15"/>
  <c r="N1580" i="15"/>
  <c r="AC1580" i="15"/>
  <c r="U1580" i="15"/>
  <c r="M1580" i="15"/>
  <c r="AB1580" i="15"/>
  <c r="T1580" i="15"/>
  <c r="L1580" i="15"/>
  <c r="AA1580" i="15"/>
  <c r="S1580" i="15"/>
  <c r="K1580" i="15"/>
  <c r="X1580" i="15"/>
  <c r="H1580" i="15"/>
  <c r="AH1580" i="15"/>
  <c r="R1580" i="15"/>
  <c r="J1580" i="15"/>
  <c r="AF1580" i="15"/>
  <c r="J1587" i="15"/>
  <c r="I1588" i="15"/>
  <c r="O1600" i="15"/>
  <c r="AH1600" i="15"/>
  <c r="Q1607" i="15"/>
  <c r="AD1608" i="15"/>
  <c r="V1608" i="15"/>
  <c r="N1608" i="15"/>
  <c r="AC1608" i="15"/>
  <c r="U1608" i="15"/>
  <c r="M1608" i="15"/>
  <c r="AB1608" i="15"/>
  <c r="T1608" i="15"/>
  <c r="L1608" i="15"/>
  <c r="AA1608" i="15"/>
  <c r="S1608" i="15"/>
  <c r="K1608" i="15"/>
  <c r="AF1608" i="15"/>
  <c r="P1608" i="15"/>
  <c r="Z1608" i="15"/>
  <c r="J1608" i="15"/>
  <c r="I1608" i="15"/>
  <c r="AG1608" i="15"/>
  <c r="AF1615" i="15"/>
  <c r="X1615" i="15"/>
  <c r="P1615" i="15"/>
  <c r="H1615" i="15"/>
  <c r="AE1615" i="15"/>
  <c r="W1615" i="15"/>
  <c r="O1615" i="15"/>
  <c r="G1615" i="15"/>
  <c r="AD1615" i="15"/>
  <c r="V1615" i="15"/>
  <c r="N1615" i="15"/>
  <c r="AC1615" i="15"/>
  <c r="U1615" i="15"/>
  <c r="M1615" i="15"/>
  <c r="Z1615" i="15"/>
  <c r="J1615" i="15"/>
  <c r="T1615" i="15"/>
  <c r="L1615" i="15"/>
  <c r="AH1615" i="15"/>
  <c r="H1616" i="15"/>
  <c r="AD1624" i="15"/>
  <c r="V1624" i="15"/>
  <c r="N1624" i="15"/>
  <c r="AC1624" i="15"/>
  <c r="U1624" i="15"/>
  <c r="M1624" i="15"/>
  <c r="AB1624" i="15"/>
  <c r="T1624" i="15"/>
  <c r="L1624" i="15"/>
  <c r="AA1624" i="15"/>
  <c r="S1624" i="15"/>
  <c r="K1624" i="15"/>
  <c r="AF1624" i="15"/>
  <c r="P1624" i="15"/>
  <c r="AE1624" i="15"/>
  <c r="O1624" i="15"/>
  <c r="Z1624" i="15"/>
  <c r="J1624" i="15"/>
  <c r="I1624" i="15"/>
  <c r="I1627" i="15"/>
  <c r="AD1628" i="15"/>
  <c r="V1628" i="15"/>
  <c r="N1628" i="15"/>
  <c r="AC1628" i="15"/>
  <c r="U1628" i="15"/>
  <c r="M1628" i="15"/>
  <c r="AB1628" i="15"/>
  <c r="T1628" i="15"/>
  <c r="L1628" i="15"/>
  <c r="AA1628" i="15"/>
  <c r="S1628" i="15"/>
  <c r="K1628" i="15"/>
  <c r="X1628" i="15"/>
  <c r="H1628" i="15"/>
  <c r="W1628" i="15"/>
  <c r="G1628" i="15"/>
  <c r="AH1628" i="15"/>
  <c r="R1628" i="15"/>
  <c r="O1628" i="15"/>
  <c r="K1631" i="15"/>
  <c r="AH1631" i="15"/>
  <c r="H1632" i="15"/>
  <c r="J1636" i="15"/>
  <c r="G1640" i="15"/>
  <c r="AG1640" i="15"/>
  <c r="I1644" i="15"/>
  <c r="AF1644" i="15"/>
  <c r="S1667" i="15"/>
  <c r="AF1671" i="15"/>
  <c r="X1671" i="15"/>
  <c r="P1671" i="15"/>
  <c r="H1671" i="15"/>
  <c r="AE1671" i="15"/>
  <c r="W1671" i="15"/>
  <c r="O1671" i="15"/>
  <c r="G1671" i="15"/>
  <c r="AD1671" i="15"/>
  <c r="V1671" i="15"/>
  <c r="N1671" i="15"/>
  <c r="AC1671" i="15"/>
  <c r="U1671" i="15"/>
  <c r="M1671" i="15"/>
  <c r="Y1671" i="15"/>
  <c r="I1671" i="15"/>
  <c r="T1671" i="15"/>
  <c r="S1671" i="15"/>
  <c r="L1671" i="15"/>
  <c r="H1684" i="15"/>
  <c r="AE1684" i="15"/>
  <c r="AD1692" i="15"/>
  <c r="V1692" i="15"/>
  <c r="N1692" i="15"/>
  <c r="AC1692" i="15"/>
  <c r="U1692" i="15"/>
  <c r="M1692" i="15"/>
  <c r="AB1692" i="15"/>
  <c r="T1692" i="15"/>
  <c r="L1692" i="15"/>
  <c r="AA1692" i="15"/>
  <c r="S1692" i="15"/>
  <c r="K1692" i="15"/>
  <c r="W1692" i="15"/>
  <c r="G1692" i="15"/>
  <c r="AH1692" i="15"/>
  <c r="R1692" i="15"/>
  <c r="AG1692" i="15"/>
  <c r="Q1692" i="15"/>
  <c r="J1692" i="15"/>
  <c r="J1695" i="15"/>
  <c r="AG1695" i="15"/>
  <c r="H1700" i="15"/>
  <c r="AE1700" i="15"/>
  <c r="AF1719" i="15"/>
  <c r="X1719" i="15"/>
  <c r="P1719" i="15"/>
  <c r="H1719" i="15"/>
  <c r="AE1719" i="15"/>
  <c r="W1719" i="15"/>
  <c r="O1719" i="15"/>
  <c r="G1719" i="15"/>
  <c r="AD1719" i="15"/>
  <c r="V1719" i="15"/>
  <c r="N1719" i="15"/>
  <c r="AC1719" i="15"/>
  <c r="U1719" i="15"/>
  <c r="M1719" i="15"/>
  <c r="Y1719" i="15"/>
  <c r="I1719" i="15"/>
  <c r="T1719" i="15"/>
  <c r="S1719" i="15"/>
  <c r="L1719" i="15"/>
  <c r="AD1724" i="15"/>
  <c r="V1724" i="15"/>
  <c r="N1724" i="15"/>
  <c r="AC1724" i="15"/>
  <c r="U1724" i="15"/>
  <c r="M1724" i="15"/>
  <c r="AB1724" i="15"/>
  <c r="T1724" i="15"/>
  <c r="L1724" i="15"/>
  <c r="AA1724" i="15"/>
  <c r="S1724" i="15"/>
  <c r="K1724" i="15"/>
  <c r="W1724" i="15"/>
  <c r="G1724" i="15"/>
  <c r="AH1724" i="15"/>
  <c r="R1724" i="15"/>
  <c r="AG1724" i="15"/>
  <c r="Q1724" i="15"/>
  <c r="J1724" i="15"/>
  <c r="J1727" i="15"/>
  <c r="AG1727" i="15"/>
  <c r="H1732" i="15"/>
  <c r="AE1732" i="15"/>
  <c r="AF1751" i="15"/>
  <c r="X1751" i="15"/>
  <c r="P1751" i="15"/>
  <c r="H1751" i="15"/>
  <c r="AE1751" i="15"/>
  <c r="W1751" i="15"/>
  <c r="O1751" i="15"/>
  <c r="G1751" i="15"/>
  <c r="AD1751" i="15"/>
  <c r="V1751" i="15"/>
  <c r="N1751" i="15"/>
  <c r="AC1751" i="15"/>
  <c r="U1751" i="15"/>
  <c r="M1751" i="15"/>
  <c r="Y1751" i="15"/>
  <c r="I1751" i="15"/>
  <c r="T1751" i="15"/>
  <c r="S1751" i="15"/>
  <c r="L1751" i="15"/>
  <c r="H1764" i="15"/>
  <c r="AE1764" i="15"/>
  <c r="AD1772" i="15"/>
  <c r="V1772" i="15"/>
  <c r="N1772" i="15"/>
  <c r="AC1772" i="15"/>
  <c r="U1772" i="15"/>
  <c r="M1772" i="15"/>
  <c r="AB1772" i="15"/>
  <c r="T1772" i="15"/>
  <c r="L1772" i="15"/>
  <c r="AA1772" i="15"/>
  <c r="S1772" i="15"/>
  <c r="K1772" i="15"/>
  <c r="W1772" i="15"/>
  <c r="G1772" i="15"/>
  <c r="AH1772" i="15"/>
  <c r="R1772" i="15"/>
  <c r="AG1772" i="15"/>
  <c r="Q1772" i="15"/>
  <c r="J1772" i="15"/>
  <c r="J1775" i="15"/>
  <c r="AG1775" i="15"/>
  <c r="AF1783" i="15"/>
  <c r="X1783" i="15"/>
  <c r="P1783" i="15"/>
  <c r="H1783" i="15"/>
  <c r="AE1783" i="15"/>
  <c r="W1783" i="15"/>
  <c r="O1783" i="15"/>
  <c r="G1783" i="15"/>
  <c r="AD1783" i="15"/>
  <c r="V1783" i="15"/>
  <c r="N1783" i="15"/>
  <c r="AC1783" i="15"/>
  <c r="U1783" i="15"/>
  <c r="M1783" i="15"/>
  <c r="Y1783" i="15"/>
  <c r="I1783" i="15"/>
  <c r="T1783" i="15"/>
  <c r="S1783" i="15"/>
  <c r="L1783" i="15"/>
  <c r="Q1791" i="15"/>
  <c r="AF1807" i="15"/>
  <c r="X1807" i="15"/>
  <c r="P1807" i="15"/>
  <c r="H1807" i="15"/>
  <c r="AE1807" i="15"/>
  <c r="W1807" i="15"/>
  <c r="O1807" i="15"/>
  <c r="G1807" i="15"/>
  <c r="AD1807" i="15"/>
  <c r="V1807" i="15"/>
  <c r="N1807" i="15"/>
  <c r="AC1807" i="15"/>
  <c r="U1807" i="15"/>
  <c r="M1807" i="15"/>
  <c r="T1807" i="15"/>
  <c r="S1807" i="15"/>
  <c r="AH1807" i="15"/>
  <c r="R1807" i="15"/>
  <c r="K1807" i="15"/>
  <c r="G1896" i="15"/>
  <c r="AD1904" i="15"/>
  <c r="V1904" i="15"/>
  <c r="N1904" i="15"/>
  <c r="AC1904" i="15"/>
  <c r="U1904" i="15"/>
  <c r="M1904" i="15"/>
  <c r="AB1904" i="15"/>
  <c r="T1904" i="15"/>
  <c r="L1904" i="15"/>
  <c r="AA1904" i="15"/>
  <c r="S1904" i="15"/>
  <c r="K1904" i="15"/>
  <c r="AH1904" i="15"/>
  <c r="R1904" i="15"/>
  <c r="AG1904" i="15"/>
  <c r="Q1904" i="15"/>
  <c r="AF1904" i="15"/>
  <c r="P1904" i="15"/>
  <c r="I1904" i="15"/>
  <c r="AF1915" i="15"/>
  <c r="X1915" i="15"/>
  <c r="P1915" i="15"/>
  <c r="H1915" i="15"/>
  <c r="AE1915" i="15"/>
  <c r="W1915" i="15"/>
  <c r="O1915" i="15"/>
  <c r="G1915" i="15"/>
  <c r="AD1915" i="15"/>
  <c r="V1915" i="15"/>
  <c r="N1915" i="15"/>
  <c r="AC1915" i="15"/>
  <c r="U1915" i="15"/>
  <c r="M1915" i="15"/>
  <c r="T1915" i="15"/>
  <c r="S1915" i="15"/>
  <c r="AH1915" i="15"/>
  <c r="R1915" i="15"/>
  <c r="K1915" i="15"/>
  <c r="AD1936" i="15"/>
  <c r="V1936" i="15"/>
  <c r="N1936" i="15"/>
  <c r="AC1936" i="15"/>
  <c r="U1936" i="15"/>
  <c r="M1936" i="15"/>
  <c r="AB1936" i="15"/>
  <c r="T1936" i="15"/>
  <c r="L1936" i="15"/>
  <c r="AA1936" i="15"/>
  <c r="S1936" i="15"/>
  <c r="K1936" i="15"/>
  <c r="AH1936" i="15"/>
  <c r="R1936" i="15"/>
  <c r="AG1936" i="15"/>
  <c r="Q1936" i="15"/>
  <c r="AF1936" i="15"/>
  <c r="P1936" i="15"/>
  <c r="I1936" i="15"/>
  <c r="AF1947" i="15"/>
  <c r="X1947" i="15"/>
  <c r="P1947" i="15"/>
  <c r="H1947" i="15"/>
  <c r="AE1947" i="15"/>
  <c r="W1947" i="15"/>
  <c r="O1947" i="15"/>
  <c r="G1947" i="15"/>
  <c r="AD1947" i="15"/>
  <c r="V1947" i="15"/>
  <c r="N1947" i="15"/>
  <c r="AC1947" i="15"/>
  <c r="U1947" i="15"/>
  <c r="M1947" i="15"/>
  <c r="T1947" i="15"/>
  <c r="S1947" i="15"/>
  <c r="AH1947" i="15"/>
  <c r="R1947" i="15"/>
  <c r="K1947" i="15"/>
  <c r="AF1959" i="15"/>
  <c r="X1959" i="15"/>
  <c r="P1959" i="15"/>
  <c r="H1959" i="15"/>
  <c r="AE1959" i="15"/>
  <c r="W1959" i="15"/>
  <c r="O1959" i="15"/>
  <c r="G1959" i="15"/>
  <c r="AD1959" i="15"/>
  <c r="V1959" i="15"/>
  <c r="N1959" i="15"/>
  <c r="AC1959" i="15"/>
  <c r="U1959" i="15"/>
  <c r="M1959" i="15"/>
  <c r="AH1959" i="15"/>
  <c r="R1959" i="15"/>
  <c r="AG1959" i="15"/>
  <c r="Q1959" i="15"/>
  <c r="AB1959" i="15"/>
  <c r="L1959" i="15"/>
  <c r="K1959" i="15"/>
  <c r="AF1967" i="15"/>
  <c r="X1967" i="15"/>
  <c r="P1967" i="15"/>
  <c r="H1967" i="15"/>
  <c r="AE1967" i="15"/>
  <c r="W1967" i="15"/>
  <c r="O1967" i="15"/>
  <c r="G1967" i="15"/>
  <c r="AD1967" i="15"/>
  <c r="V1967" i="15"/>
  <c r="N1967" i="15"/>
  <c r="AC1967" i="15"/>
  <c r="U1967" i="15"/>
  <c r="M1967" i="15"/>
  <c r="AH1967" i="15"/>
  <c r="R1967" i="15"/>
  <c r="AG1967" i="15"/>
  <c r="Q1967" i="15"/>
  <c r="AB1967" i="15"/>
  <c r="L1967" i="15"/>
  <c r="K1967" i="15"/>
  <c r="AF1975" i="15"/>
  <c r="X1975" i="15"/>
  <c r="P1975" i="15"/>
  <c r="H1975" i="15"/>
  <c r="AE1975" i="15"/>
  <c r="W1975" i="15"/>
  <c r="O1975" i="15"/>
  <c r="G1975" i="15"/>
  <c r="AD1975" i="15"/>
  <c r="V1975" i="15"/>
  <c r="N1975" i="15"/>
  <c r="AC1975" i="15"/>
  <c r="U1975" i="15"/>
  <c r="M1975" i="15"/>
  <c r="AH1975" i="15"/>
  <c r="R1975" i="15"/>
  <c r="AG1975" i="15"/>
  <c r="Q1975" i="15"/>
  <c r="AB1975" i="15"/>
  <c r="L1975" i="15"/>
  <c r="K1975" i="15"/>
  <c r="AF1983" i="15"/>
  <c r="X1983" i="15"/>
  <c r="P1983" i="15"/>
  <c r="H1983" i="15"/>
  <c r="AE1983" i="15"/>
  <c r="W1983" i="15"/>
  <c r="O1983" i="15"/>
  <c r="G1983" i="15"/>
  <c r="AD1983" i="15"/>
  <c r="V1983" i="15"/>
  <c r="N1983" i="15"/>
  <c r="AC1983" i="15"/>
  <c r="U1983" i="15"/>
  <c r="M1983" i="15"/>
  <c r="AH1983" i="15"/>
  <c r="R1983" i="15"/>
  <c r="AG1983" i="15"/>
  <c r="Q1983" i="15"/>
  <c r="AB1983" i="15"/>
  <c r="L1983" i="15"/>
  <c r="K1983" i="15"/>
  <c r="AF1991" i="15"/>
  <c r="X1991" i="15"/>
  <c r="P1991" i="15"/>
  <c r="H1991" i="15"/>
  <c r="AE1991" i="15"/>
  <c r="W1991" i="15"/>
  <c r="O1991" i="15"/>
  <c r="G1991" i="15"/>
  <c r="AD1991" i="15"/>
  <c r="V1991" i="15"/>
  <c r="N1991" i="15"/>
  <c r="AC1991" i="15"/>
  <c r="U1991" i="15"/>
  <c r="M1991" i="15"/>
  <c r="AH1991" i="15"/>
  <c r="R1991" i="15"/>
  <c r="AG1991" i="15"/>
  <c r="Q1991" i="15"/>
  <c r="AB1991" i="15"/>
  <c r="L1991" i="15"/>
  <c r="K1991" i="15"/>
  <c r="AF1999" i="15"/>
  <c r="X1999" i="15"/>
  <c r="P1999" i="15"/>
  <c r="H1999" i="15"/>
  <c r="AE1999" i="15"/>
  <c r="W1999" i="15"/>
  <c r="O1999" i="15"/>
  <c r="G1999" i="15"/>
  <c r="AD1999" i="15"/>
  <c r="V1999" i="15"/>
  <c r="N1999" i="15"/>
  <c r="AC1999" i="15"/>
  <c r="U1999" i="15"/>
  <c r="M1999" i="15"/>
  <c r="AH1999" i="15"/>
  <c r="R1999" i="15"/>
  <c r="AG1999" i="15"/>
  <c r="Q1999" i="15"/>
  <c r="AB1999" i="15"/>
  <c r="L1999" i="15"/>
  <c r="K1999" i="15"/>
  <c r="I10" i="16"/>
  <c r="T17" i="16"/>
  <c r="T25" i="16"/>
  <c r="F28" i="16"/>
  <c r="M28" i="16"/>
  <c r="E28" i="16"/>
  <c r="L28" i="16"/>
  <c r="K28" i="16"/>
  <c r="J28" i="16"/>
  <c r="I28" i="16"/>
  <c r="H28" i="16"/>
  <c r="M29" i="16"/>
  <c r="E29" i="16"/>
  <c r="L29" i="16"/>
  <c r="K29" i="16"/>
  <c r="J29" i="16"/>
  <c r="F29" i="16"/>
  <c r="H33" i="16"/>
  <c r="G33" i="16"/>
  <c r="L33" i="16"/>
  <c r="K33" i="16"/>
  <c r="J33" i="16"/>
  <c r="H39" i="16"/>
  <c r="M39" i="16"/>
  <c r="L39" i="16"/>
  <c r="G39" i="16"/>
  <c r="H50" i="16"/>
  <c r="G50" i="16"/>
  <c r="M50" i="16"/>
  <c r="E50" i="16"/>
  <c r="K50" i="16"/>
  <c r="J50" i="16"/>
  <c r="I50" i="16"/>
  <c r="P58" i="16"/>
  <c r="H58" i="9" s="1"/>
  <c r="P95" i="16"/>
  <c r="H95" i="9" s="1"/>
  <c r="P100" i="16"/>
  <c r="H100" i="9" s="1"/>
  <c r="F100" i="16"/>
  <c r="K117" i="16"/>
  <c r="J117" i="16"/>
  <c r="I117" i="16"/>
  <c r="G134" i="16"/>
  <c r="F134" i="16"/>
  <c r="M134" i="16"/>
  <c r="E134" i="16"/>
  <c r="I134" i="9" s="1"/>
  <c r="H134" i="16"/>
  <c r="T134" i="16"/>
  <c r="P134" i="16"/>
  <c r="H134" i="9" s="1"/>
  <c r="I134" i="16"/>
  <c r="F151" i="16"/>
  <c r="M151" i="16"/>
  <c r="E151" i="16"/>
  <c r="L151" i="16"/>
  <c r="J151" i="16"/>
  <c r="I151" i="16"/>
  <c r="H151" i="16"/>
  <c r="G151" i="16"/>
  <c r="K151" i="16"/>
  <c r="M160" i="16"/>
  <c r="L160" i="16"/>
  <c r="J181" i="16"/>
  <c r="L181" i="16"/>
  <c r="H181" i="16"/>
  <c r="G181" i="16"/>
  <c r="M181" i="16"/>
  <c r="E181" i="16"/>
  <c r="L204" i="16"/>
  <c r="K204" i="16"/>
  <c r="J204" i="16"/>
  <c r="M204" i="16"/>
  <c r="G204" i="16"/>
  <c r="F204" i="16"/>
  <c r="E204" i="16"/>
  <c r="I204" i="9" s="1"/>
  <c r="P204" i="16"/>
  <c r="H204" i="9" s="1"/>
  <c r="I204" i="16"/>
  <c r="E206" i="16"/>
  <c r="F258" i="16"/>
  <c r="M258" i="16"/>
  <c r="E258" i="16"/>
  <c r="I258" i="9" s="1"/>
  <c r="L258" i="16"/>
  <c r="I258" i="16"/>
  <c r="H258" i="16"/>
  <c r="G258" i="16"/>
  <c r="T258" i="16"/>
  <c r="O258" i="16"/>
  <c r="K258" i="16"/>
  <c r="J258" i="16"/>
  <c r="L286" i="16"/>
  <c r="E295" i="16"/>
  <c r="L324" i="16"/>
  <c r="K324" i="16"/>
  <c r="J324" i="16"/>
  <c r="E324" i="16"/>
  <c r="M324" i="16"/>
  <c r="I324" i="16"/>
  <c r="H324" i="16"/>
  <c r="G324" i="16"/>
  <c r="T340" i="16"/>
  <c r="P340" i="16"/>
  <c r="H340" i="9" s="1"/>
  <c r="F341" i="16"/>
  <c r="P341" i="16"/>
  <c r="H341" i="9" s="1"/>
  <c r="L342" i="16"/>
  <c r="K342" i="16"/>
  <c r="G342" i="16"/>
  <c r="M342" i="16"/>
  <c r="G345" i="16"/>
  <c r="M345" i="16"/>
  <c r="E345" i="16"/>
  <c r="J345" i="16"/>
  <c r="I345" i="16"/>
  <c r="H345" i="16"/>
  <c r="L345" i="16"/>
  <c r="K345" i="16"/>
  <c r="O345" i="16" s="1"/>
  <c r="L350" i="16"/>
  <c r="P356" i="16"/>
  <c r="H356" i="9" s="1"/>
  <c r="T356" i="16"/>
  <c r="O361" i="16"/>
  <c r="G361" i="16"/>
  <c r="F361" i="16"/>
  <c r="M361" i="16"/>
  <c r="E361" i="16"/>
  <c r="H361" i="16"/>
  <c r="P361" i="16"/>
  <c r="H361" i="9" s="1"/>
  <c r="K361" i="16"/>
  <c r="J361" i="16"/>
  <c r="I361" i="16"/>
  <c r="M381" i="16"/>
  <c r="H385" i="16"/>
  <c r="M390" i="16"/>
  <c r="L390" i="16"/>
  <c r="K390" i="16"/>
  <c r="G390" i="16"/>
  <c r="E390" i="16"/>
  <c r="E406" i="16"/>
  <c r="M435" i="16"/>
  <c r="O435" i="16" s="1"/>
  <c r="E435" i="16"/>
  <c r="I435" i="9" s="1"/>
  <c r="L435" i="16"/>
  <c r="K435" i="16"/>
  <c r="T435" i="16"/>
  <c r="P435" i="16"/>
  <c r="H435" i="9" s="1"/>
  <c r="H435" i="16"/>
  <c r="G435" i="16"/>
  <c r="M472" i="16"/>
  <c r="K472" i="16"/>
  <c r="J472" i="16"/>
  <c r="I472" i="16"/>
  <c r="T532" i="16"/>
  <c r="P532" i="16"/>
  <c r="H532" i="9" s="1"/>
  <c r="F533" i="16"/>
  <c r="P533" i="16"/>
  <c r="H533" i="9" s="1"/>
  <c r="L534" i="16"/>
  <c r="K534" i="16"/>
  <c r="G534" i="16"/>
  <c r="M534" i="16"/>
  <c r="O554" i="16"/>
  <c r="M679" i="16"/>
  <c r="L679" i="16"/>
  <c r="K679" i="16"/>
  <c r="J749" i="16"/>
  <c r="M749" i="16"/>
  <c r="L749" i="16"/>
  <c r="H749" i="16"/>
  <c r="G749" i="16"/>
  <c r="E749" i="16"/>
  <c r="J784" i="16"/>
  <c r="I784" i="16"/>
  <c r="E784" i="16"/>
  <c r="G793" i="16"/>
  <c r="F793" i="16"/>
  <c r="M793" i="16"/>
  <c r="E793" i="16"/>
  <c r="J793" i="16"/>
  <c r="I793" i="16"/>
  <c r="O793" i="16" s="1"/>
  <c r="H793" i="16"/>
  <c r="L793" i="16"/>
  <c r="K793" i="16"/>
  <c r="F941" i="16"/>
  <c r="M978" i="16"/>
  <c r="E978" i="16"/>
  <c r="L978" i="16"/>
  <c r="G978" i="16"/>
  <c r="T978" i="16"/>
  <c r="J978" i="16"/>
  <c r="I978" i="16"/>
  <c r="O978" i="16" s="1"/>
  <c r="H978" i="16"/>
  <c r="F1015" i="16"/>
  <c r="M1030" i="16"/>
  <c r="L1030" i="16"/>
  <c r="K1030" i="16"/>
  <c r="G1030" i="16"/>
  <c r="M1082" i="16"/>
  <c r="E1082" i="16"/>
  <c r="L1082" i="16"/>
  <c r="I1082" i="16"/>
  <c r="H1082" i="16"/>
  <c r="G1082" i="16"/>
  <c r="K1082" i="16"/>
  <c r="J1082" i="16"/>
  <c r="F1101" i="16"/>
  <c r="H1102" i="16"/>
  <c r="L1102" i="16"/>
  <c r="K1102" i="16"/>
  <c r="G1102" i="16"/>
  <c r="M1102" i="16"/>
  <c r="H1135" i="16"/>
  <c r="G1135" i="16"/>
  <c r="L1135" i="16"/>
  <c r="K1135" i="16"/>
  <c r="J1135" i="16"/>
  <c r="L1149" i="16"/>
  <c r="H1191" i="16"/>
  <c r="G1191" i="16"/>
  <c r="M1191" i="16"/>
  <c r="L1191" i="16"/>
  <c r="K1191" i="16"/>
  <c r="J1191" i="16"/>
  <c r="J1197" i="16"/>
  <c r="M1197" i="16"/>
  <c r="L1197" i="16"/>
  <c r="H1197" i="16"/>
  <c r="G1197" i="16"/>
  <c r="E1197" i="16"/>
  <c r="F1202" i="16"/>
  <c r="M1202" i="16"/>
  <c r="E1202" i="16"/>
  <c r="L1202" i="16"/>
  <c r="J1202" i="16"/>
  <c r="I1202" i="16"/>
  <c r="H1202" i="16"/>
  <c r="G1202" i="16"/>
  <c r="K1202" i="16"/>
  <c r="F1263" i="16"/>
  <c r="M1317" i="16"/>
  <c r="L1317" i="16"/>
  <c r="H1317" i="16"/>
  <c r="G1317" i="16"/>
  <c r="E1317" i="16"/>
  <c r="M1556" i="16"/>
  <c r="E1556" i="16"/>
  <c r="T1556" i="16"/>
  <c r="H1556" i="16"/>
  <c r="P1556" i="16"/>
  <c r="G1556" i="16"/>
  <c r="O1556" i="16"/>
  <c r="F1556" i="16"/>
  <c r="I1556" i="16"/>
  <c r="J1556" i="16"/>
  <c r="N1556" i="16"/>
  <c r="L1556" i="16"/>
  <c r="K1556" i="16"/>
  <c r="N1771" i="16"/>
  <c r="F1771" i="16"/>
  <c r="O1771" i="16"/>
  <c r="E1771" i="16"/>
  <c r="M1771" i="16"/>
  <c r="L1771" i="16"/>
  <c r="J1771" i="16"/>
  <c r="I1771" i="16"/>
  <c r="H1771" i="16"/>
  <c r="G1771" i="16"/>
  <c r="P1771" i="16"/>
  <c r="K1771" i="16"/>
  <c r="T1771" i="16"/>
  <c r="P1873" i="16"/>
  <c r="H1873" i="16"/>
  <c r="M1873" i="16"/>
  <c r="L1873" i="16"/>
  <c r="K1873" i="16"/>
  <c r="E1873" i="16"/>
  <c r="T1873" i="16"/>
  <c r="O1873" i="16"/>
  <c r="N1873" i="16"/>
  <c r="F1873" i="16"/>
  <c r="J1873" i="16"/>
  <c r="I1873" i="16"/>
  <c r="G1873" i="16"/>
  <c r="M2004" i="16"/>
  <c r="E2004" i="16"/>
  <c r="T2004" i="16"/>
  <c r="H2004" i="16"/>
  <c r="P2004" i="16"/>
  <c r="G2004" i="16"/>
  <c r="O2004" i="16"/>
  <c r="F2004" i="16"/>
  <c r="J2004" i="16"/>
  <c r="I2004" i="16"/>
  <c r="N2004" i="16"/>
  <c r="L2004" i="16"/>
  <c r="K2004" i="16"/>
  <c r="O2018" i="16"/>
  <c r="G2018" i="16"/>
  <c r="T2018" i="16"/>
  <c r="H2018" i="16"/>
  <c r="P2018" i="16"/>
  <c r="F2018" i="16"/>
  <c r="N2018" i="16"/>
  <c r="E2018" i="16"/>
  <c r="L2018" i="16"/>
  <c r="K2018" i="16"/>
  <c r="J2018" i="16"/>
  <c r="I2018" i="16"/>
  <c r="M2018" i="16"/>
  <c r="L2037" i="16"/>
  <c r="M2037" i="16"/>
  <c r="K2037" i="16"/>
  <c r="J2037" i="16"/>
  <c r="H2037" i="16"/>
  <c r="G2037" i="16"/>
  <c r="F2037" i="16"/>
  <c r="T2037" i="16"/>
  <c r="E2037" i="16"/>
  <c r="O2037" i="16"/>
  <c r="N2037" i="16"/>
  <c r="I2037" i="16"/>
  <c r="P2037" i="16"/>
  <c r="O2314" i="16"/>
  <c r="G2314" i="16"/>
  <c r="I2314" i="16"/>
  <c r="T2314" i="16"/>
  <c r="H2314" i="16"/>
  <c r="P2314" i="16"/>
  <c r="F2314" i="16"/>
  <c r="L2314" i="16"/>
  <c r="K2314" i="16"/>
  <c r="J2314" i="16"/>
  <c r="E2314" i="16"/>
  <c r="N2314" i="16"/>
  <c r="M2314" i="16"/>
  <c r="O2579" i="16"/>
  <c r="G2579" i="16"/>
  <c r="N2579" i="16"/>
  <c r="F2579" i="16"/>
  <c r="H2579" i="16"/>
  <c r="T2579" i="16"/>
  <c r="E2579" i="16"/>
  <c r="P2579" i="16"/>
  <c r="L2579" i="16"/>
  <c r="K2579" i="16"/>
  <c r="J2579" i="16"/>
  <c r="I2579" i="16"/>
  <c r="M2579" i="16"/>
  <c r="K2759" i="16"/>
  <c r="J2759" i="16"/>
  <c r="O2759" i="16"/>
  <c r="E2759" i="16"/>
  <c r="N2759" i="16"/>
  <c r="M2759" i="16"/>
  <c r="H2759" i="16"/>
  <c r="G2759" i="16"/>
  <c r="P2759" i="16"/>
  <c r="L2759" i="16"/>
  <c r="I2759" i="16"/>
  <c r="F2759" i="16"/>
  <c r="T2759" i="16"/>
  <c r="K2767" i="16"/>
  <c r="J2767" i="16"/>
  <c r="P2767" i="16"/>
  <c r="F2767" i="16"/>
  <c r="O2767" i="16"/>
  <c r="E2767" i="16"/>
  <c r="N2767" i="16"/>
  <c r="G2767" i="16"/>
  <c r="T2767" i="16"/>
  <c r="L2767" i="16"/>
  <c r="I2767" i="16"/>
  <c r="H2767" i="16"/>
  <c r="M2767" i="16"/>
  <c r="L2854" i="16"/>
  <c r="K2854" i="16"/>
  <c r="H2854" i="16"/>
  <c r="T2854" i="16"/>
  <c r="G2854" i="16"/>
  <c r="P2854" i="16"/>
  <c r="F2854" i="16"/>
  <c r="O2854" i="16"/>
  <c r="M2854" i="16"/>
  <c r="I2854" i="16"/>
  <c r="E2854" i="16"/>
  <c r="N2854" i="16"/>
  <c r="J2854" i="16"/>
  <c r="N2924" i="16"/>
  <c r="F2924" i="16"/>
  <c r="M2924" i="16"/>
  <c r="E2924" i="16"/>
  <c r="P2924" i="16"/>
  <c r="O2924" i="16"/>
  <c r="L2924" i="16"/>
  <c r="I2924" i="16"/>
  <c r="H2924" i="16"/>
  <c r="G2924" i="16"/>
  <c r="K2924" i="16"/>
  <c r="J2924" i="16"/>
  <c r="T2924" i="16"/>
  <c r="AB3" i="15"/>
  <c r="L3" i="15"/>
  <c r="I3" i="15"/>
  <c r="R3" i="15"/>
  <c r="AA3" i="15"/>
  <c r="K15" i="15"/>
  <c r="U15" i="15"/>
  <c r="AB19" i="15"/>
  <c r="L19" i="15"/>
  <c r="I19" i="15"/>
  <c r="AG19" i="15" s="1"/>
  <c r="Q19" i="7" s="1"/>
  <c r="R19" i="15"/>
  <c r="AA19" i="15"/>
  <c r="K31" i="15"/>
  <c r="U31" i="15"/>
  <c r="AB35" i="15"/>
  <c r="L35" i="15"/>
  <c r="I35" i="15"/>
  <c r="AG35" i="15" s="1"/>
  <c r="Q35" i="7" s="1"/>
  <c r="R35" i="15"/>
  <c r="AA35" i="15"/>
  <c r="K47" i="15"/>
  <c r="U47" i="15"/>
  <c r="AB51" i="15"/>
  <c r="L51" i="15"/>
  <c r="I51" i="15"/>
  <c r="AG51" i="15" s="1"/>
  <c r="Q51" i="7" s="1"/>
  <c r="R51" i="15"/>
  <c r="AA51" i="15"/>
  <c r="K63" i="15"/>
  <c r="U63" i="15"/>
  <c r="AB67" i="15"/>
  <c r="L67" i="15"/>
  <c r="I67" i="15"/>
  <c r="R67" i="15"/>
  <c r="AA67" i="15"/>
  <c r="K79" i="15"/>
  <c r="U79" i="15"/>
  <c r="AB83" i="15"/>
  <c r="L83" i="15"/>
  <c r="I83" i="15"/>
  <c r="R83" i="15"/>
  <c r="AA83" i="15"/>
  <c r="K95" i="15"/>
  <c r="U95" i="15"/>
  <c r="AB99" i="15"/>
  <c r="L99" i="15"/>
  <c r="I99" i="15"/>
  <c r="R99" i="15"/>
  <c r="AA99" i="15"/>
  <c r="K111" i="15"/>
  <c r="U111" i="15"/>
  <c r="AB115" i="15"/>
  <c r="L115" i="15"/>
  <c r="I115" i="15"/>
  <c r="R115" i="15"/>
  <c r="AA115" i="15"/>
  <c r="K127" i="15"/>
  <c r="U127" i="15"/>
  <c r="AB131" i="15"/>
  <c r="L131" i="15"/>
  <c r="I131" i="15"/>
  <c r="AG131" i="15" s="1"/>
  <c r="Q131" i="7" s="1"/>
  <c r="R131" i="15"/>
  <c r="AA131" i="15"/>
  <c r="K143" i="15"/>
  <c r="U143" i="15"/>
  <c r="AB147" i="15"/>
  <c r="L147" i="15"/>
  <c r="I147" i="15"/>
  <c r="R147" i="15"/>
  <c r="AA147" i="15"/>
  <c r="K159" i="15"/>
  <c r="U159" i="15"/>
  <c r="AB163" i="15"/>
  <c r="L163" i="15"/>
  <c r="I163" i="15"/>
  <c r="R163" i="15"/>
  <c r="AA163" i="15"/>
  <c r="S174" i="15"/>
  <c r="AB174" i="15"/>
  <c r="K175" i="15"/>
  <c r="U175" i="15"/>
  <c r="H178" i="15"/>
  <c r="Q178" i="15"/>
  <c r="AB179" i="15"/>
  <c r="T179" i="15"/>
  <c r="L179" i="15"/>
  <c r="I179" i="15"/>
  <c r="R179" i="15"/>
  <c r="AA179" i="15"/>
  <c r="K180" i="15"/>
  <c r="T180" i="15"/>
  <c r="AC180" i="15"/>
  <c r="K185" i="15"/>
  <c r="T185" i="15"/>
  <c r="AC185" i="15"/>
  <c r="J190" i="15"/>
  <c r="S190" i="15"/>
  <c r="AB190" i="15"/>
  <c r="K191" i="15"/>
  <c r="U191" i="15"/>
  <c r="AD191" i="15"/>
  <c r="H194" i="15"/>
  <c r="Q194" i="15"/>
  <c r="AB195" i="15"/>
  <c r="T195" i="15"/>
  <c r="L195" i="15"/>
  <c r="I195" i="15"/>
  <c r="R195" i="15"/>
  <c r="AA195" i="15"/>
  <c r="K196" i="15"/>
  <c r="T196" i="15"/>
  <c r="AC196" i="15"/>
  <c r="H200" i="15"/>
  <c r="Q200" i="15"/>
  <c r="K201" i="15"/>
  <c r="T201" i="15"/>
  <c r="AC201" i="15"/>
  <c r="R205" i="15"/>
  <c r="J206" i="15"/>
  <c r="S206" i="15"/>
  <c r="AB206" i="15"/>
  <c r="K207" i="15"/>
  <c r="U207" i="15"/>
  <c r="AD207" i="15"/>
  <c r="H210" i="15"/>
  <c r="Q210" i="15"/>
  <c r="AB211" i="15"/>
  <c r="T211" i="15"/>
  <c r="L211" i="15"/>
  <c r="I211" i="15"/>
  <c r="R211" i="15"/>
  <c r="AA211" i="15"/>
  <c r="K212" i="15"/>
  <c r="T212" i="15"/>
  <c r="AC212" i="15"/>
  <c r="H216" i="15"/>
  <c r="Q216" i="15"/>
  <c r="K217" i="15"/>
  <c r="T217" i="15"/>
  <c r="AC217" i="15"/>
  <c r="I221" i="15"/>
  <c r="R221" i="15"/>
  <c r="J222" i="15"/>
  <c r="S222" i="15"/>
  <c r="AB222" i="15"/>
  <c r="K223" i="15"/>
  <c r="U223" i="15"/>
  <c r="AD223" i="15"/>
  <c r="H226" i="15"/>
  <c r="Q226" i="15"/>
  <c r="AB227" i="15"/>
  <c r="T227" i="15"/>
  <c r="L227" i="15"/>
  <c r="I227" i="15"/>
  <c r="R227" i="15"/>
  <c r="AA227" i="15"/>
  <c r="K228" i="15"/>
  <c r="T228" i="15"/>
  <c r="AC228" i="15"/>
  <c r="H232" i="15"/>
  <c r="Q232" i="15"/>
  <c r="K233" i="15"/>
  <c r="T233" i="15"/>
  <c r="AC233" i="15"/>
  <c r="R237" i="15"/>
  <c r="J238" i="15"/>
  <c r="S238" i="15"/>
  <c r="AB238" i="15"/>
  <c r="K239" i="15"/>
  <c r="U239" i="15"/>
  <c r="AD239" i="15"/>
  <c r="H242" i="15"/>
  <c r="Q242" i="15"/>
  <c r="AB243" i="15"/>
  <c r="T243" i="15"/>
  <c r="L243" i="15"/>
  <c r="I243" i="15"/>
  <c r="R243" i="15"/>
  <c r="AA243" i="15"/>
  <c r="K244" i="15"/>
  <c r="T244" i="15"/>
  <c r="AC244" i="15"/>
  <c r="H248" i="15"/>
  <c r="Q248" i="15"/>
  <c r="K249" i="15"/>
  <c r="T249" i="15"/>
  <c r="AC249" i="15"/>
  <c r="I253" i="15"/>
  <c r="R253" i="15"/>
  <c r="J254" i="15"/>
  <c r="S254" i="15"/>
  <c r="AB254" i="15"/>
  <c r="K255" i="15"/>
  <c r="U255" i="15"/>
  <c r="AD255" i="15"/>
  <c r="H258" i="15"/>
  <c r="Q258" i="15"/>
  <c r="AB259" i="15"/>
  <c r="T259" i="15"/>
  <c r="L259" i="15"/>
  <c r="I259" i="15"/>
  <c r="R259" i="15"/>
  <c r="AA259" i="15"/>
  <c r="K260" i="15"/>
  <c r="T260" i="15"/>
  <c r="AC260" i="15"/>
  <c r="H264" i="15"/>
  <c r="Q264" i="15"/>
  <c r="K265" i="15"/>
  <c r="T265" i="15"/>
  <c r="AC265" i="15"/>
  <c r="I269" i="15"/>
  <c r="R269" i="15"/>
  <c r="J270" i="15"/>
  <c r="S270" i="15"/>
  <c r="AB270" i="15"/>
  <c r="K271" i="15"/>
  <c r="U271" i="15"/>
  <c r="AD271" i="15"/>
  <c r="H274" i="15"/>
  <c r="Q274" i="15"/>
  <c r="AB275" i="15"/>
  <c r="T275" i="15"/>
  <c r="L275" i="15"/>
  <c r="I275" i="15"/>
  <c r="R275" i="15"/>
  <c r="AA275" i="15"/>
  <c r="K276" i="15"/>
  <c r="T276" i="15"/>
  <c r="AC276" i="15"/>
  <c r="H280" i="15"/>
  <c r="Q280" i="15"/>
  <c r="K281" i="15"/>
  <c r="T281" i="15"/>
  <c r="AC281" i="15"/>
  <c r="I285" i="15"/>
  <c r="R285" i="15"/>
  <c r="J286" i="15"/>
  <c r="S286" i="15"/>
  <c r="AB286" i="15"/>
  <c r="K287" i="15"/>
  <c r="U287" i="15"/>
  <c r="AD287" i="15"/>
  <c r="H290" i="15"/>
  <c r="Q290" i="15"/>
  <c r="AB291" i="15"/>
  <c r="T291" i="15"/>
  <c r="L291" i="15"/>
  <c r="I291" i="15"/>
  <c r="R291" i="15"/>
  <c r="AA291" i="15"/>
  <c r="K292" i="15"/>
  <c r="T292" i="15"/>
  <c r="AC292" i="15"/>
  <c r="H296" i="15"/>
  <c r="Q296" i="15"/>
  <c r="K297" i="15"/>
  <c r="T297" i="15"/>
  <c r="AC297" i="15"/>
  <c r="I301" i="15"/>
  <c r="R301" i="15"/>
  <c r="J302" i="15"/>
  <c r="S302" i="15"/>
  <c r="AB302" i="15"/>
  <c r="K303" i="15"/>
  <c r="U303" i="15"/>
  <c r="AD303" i="15"/>
  <c r="H306" i="15"/>
  <c r="Q306" i="15"/>
  <c r="AB307" i="15"/>
  <c r="T307" i="15"/>
  <c r="L307" i="15"/>
  <c r="I307" i="15"/>
  <c r="R307" i="15"/>
  <c r="AA307" i="15"/>
  <c r="K308" i="15"/>
  <c r="T308" i="15"/>
  <c r="AC308" i="15"/>
  <c r="H312" i="15"/>
  <c r="Q312" i="15"/>
  <c r="K313" i="15"/>
  <c r="T313" i="15"/>
  <c r="AC313" i="15"/>
  <c r="I317" i="15"/>
  <c r="R317" i="15"/>
  <c r="J318" i="15"/>
  <c r="S318" i="15"/>
  <c r="AB318" i="15"/>
  <c r="K319" i="15"/>
  <c r="U319" i="15"/>
  <c r="AD319" i="15"/>
  <c r="H322" i="15"/>
  <c r="Q322" i="15"/>
  <c r="AB323" i="15"/>
  <c r="T323" i="15"/>
  <c r="L323" i="15"/>
  <c r="I323" i="15"/>
  <c r="R323" i="15"/>
  <c r="AA323" i="15"/>
  <c r="K324" i="15"/>
  <c r="T324" i="15"/>
  <c r="AC324" i="15"/>
  <c r="H328" i="15"/>
  <c r="Q328" i="15"/>
  <c r="K329" i="15"/>
  <c r="T329" i="15"/>
  <c r="AC329" i="15"/>
  <c r="I333" i="15"/>
  <c r="R333" i="15"/>
  <c r="J334" i="15"/>
  <c r="S334" i="15"/>
  <c r="AB334" i="15"/>
  <c r="K335" i="15"/>
  <c r="U335" i="15"/>
  <c r="AD335" i="15"/>
  <c r="H338" i="15"/>
  <c r="Q338" i="15"/>
  <c r="AB339" i="15"/>
  <c r="T339" i="15"/>
  <c r="L339" i="15"/>
  <c r="I339" i="15"/>
  <c r="R339" i="15"/>
  <c r="AA339" i="15"/>
  <c r="K340" i="15"/>
  <c r="T340" i="15"/>
  <c r="AC340" i="15"/>
  <c r="H344" i="15"/>
  <c r="Q344" i="15"/>
  <c r="K345" i="15"/>
  <c r="T345" i="15"/>
  <c r="AC345" i="15"/>
  <c r="I349" i="15"/>
  <c r="R349" i="15"/>
  <c r="J350" i="15"/>
  <c r="S350" i="15"/>
  <c r="AB350" i="15"/>
  <c r="K351" i="15"/>
  <c r="U351" i="15"/>
  <c r="AD351" i="15"/>
  <c r="H354" i="15"/>
  <c r="Q354" i="15"/>
  <c r="AB355" i="15"/>
  <c r="T355" i="15"/>
  <c r="L355" i="15"/>
  <c r="I355" i="15"/>
  <c r="R355" i="15"/>
  <c r="AA355" i="15"/>
  <c r="K356" i="15"/>
  <c r="T356" i="15"/>
  <c r="AC356" i="15"/>
  <c r="H360" i="15"/>
  <c r="Q360" i="15"/>
  <c r="T361" i="15"/>
  <c r="AC361" i="15"/>
  <c r="I365" i="15"/>
  <c r="R365" i="15"/>
  <c r="J366" i="15"/>
  <c r="S366" i="15"/>
  <c r="AB366" i="15"/>
  <c r="K367" i="15"/>
  <c r="U367" i="15"/>
  <c r="AD367" i="15"/>
  <c r="H370" i="15"/>
  <c r="Q370" i="15"/>
  <c r="AB371" i="15"/>
  <c r="T371" i="15"/>
  <c r="L371" i="15"/>
  <c r="I371" i="15"/>
  <c r="R371" i="15"/>
  <c r="AA371" i="15"/>
  <c r="K372" i="15"/>
  <c r="T372" i="15"/>
  <c r="AC372" i="15"/>
  <c r="H376" i="15"/>
  <c r="Q376" i="15"/>
  <c r="K377" i="15"/>
  <c r="T377" i="15"/>
  <c r="AC377" i="15"/>
  <c r="I381" i="15"/>
  <c r="R381" i="15"/>
  <c r="J382" i="15"/>
  <c r="S382" i="15"/>
  <c r="AB382" i="15"/>
  <c r="K383" i="15"/>
  <c r="U383" i="15"/>
  <c r="AD383" i="15"/>
  <c r="H386" i="15"/>
  <c r="Q386" i="15"/>
  <c r="AB387" i="15"/>
  <c r="T387" i="15"/>
  <c r="L387" i="15"/>
  <c r="I387" i="15"/>
  <c r="R387" i="15"/>
  <c r="AA387" i="15"/>
  <c r="K388" i="15"/>
  <c r="T388" i="15"/>
  <c r="AC388" i="15"/>
  <c r="H392" i="15"/>
  <c r="Q392" i="15"/>
  <c r="K393" i="15"/>
  <c r="T393" i="15"/>
  <c r="AC393" i="15"/>
  <c r="I397" i="15"/>
  <c r="R397" i="15"/>
  <c r="J398" i="15"/>
  <c r="S398" i="15"/>
  <c r="AB398" i="15"/>
  <c r="K399" i="15"/>
  <c r="U399" i="15"/>
  <c r="AD399" i="15"/>
  <c r="H402" i="15"/>
  <c r="Q402" i="15"/>
  <c r="AB403" i="15"/>
  <c r="T403" i="15"/>
  <c r="L403" i="15"/>
  <c r="I403" i="15"/>
  <c r="R403" i="15"/>
  <c r="AA403" i="15"/>
  <c r="K404" i="15"/>
  <c r="T404" i="15"/>
  <c r="AC404" i="15"/>
  <c r="H408" i="15"/>
  <c r="Q408" i="15"/>
  <c r="K409" i="15"/>
  <c r="T409" i="15"/>
  <c r="AC409" i="15"/>
  <c r="R413" i="15"/>
  <c r="J414" i="15"/>
  <c r="S414" i="15"/>
  <c r="AB414" i="15"/>
  <c r="K415" i="15"/>
  <c r="U415" i="15"/>
  <c r="AD415" i="15"/>
  <c r="H418" i="15"/>
  <c r="Q418" i="15"/>
  <c r="AB419" i="15"/>
  <c r="T419" i="15"/>
  <c r="L419" i="15"/>
  <c r="I419" i="15"/>
  <c r="R419" i="15"/>
  <c r="AA419" i="15"/>
  <c r="K420" i="15"/>
  <c r="T420" i="15"/>
  <c r="AC420" i="15"/>
  <c r="H424" i="15"/>
  <c r="Q424" i="15"/>
  <c r="T425" i="15"/>
  <c r="AC425" i="15"/>
  <c r="I429" i="15"/>
  <c r="R429" i="15"/>
  <c r="J430" i="15"/>
  <c r="S430" i="15"/>
  <c r="AB430" i="15"/>
  <c r="K431" i="15"/>
  <c r="U431" i="15"/>
  <c r="AD431" i="15"/>
  <c r="H434" i="15"/>
  <c r="Q434" i="15"/>
  <c r="AB435" i="15"/>
  <c r="T435" i="15"/>
  <c r="L435" i="15"/>
  <c r="I435" i="15"/>
  <c r="R435" i="15"/>
  <c r="AA435" i="15"/>
  <c r="K436" i="15"/>
  <c r="T436" i="15"/>
  <c r="AC436" i="15"/>
  <c r="H440" i="15"/>
  <c r="Q440" i="15"/>
  <c r="K441" i="15"/>
  <c r="T441" i="15"/>
  <c r="AC441" i="15"/>
  <c r="I445" i="15"/>
  <c r="R445" i="15"/>
  <c r="J446" i="15"/>
  <c r="S446" i="15"/>
  <c r="AB446" i="15"/>
  <c r="K447" i="15"/>
  <c r="U447" i="15"/>
  <c r="AD447" i="15"/>
  <c r="H450" i="15"/>
  <c r="Q450" i="15"/>
  <c r="AB451" i="15"/>
  <c r="T451" i="15"/>
  <c r="L451" i="15"/>
  <c r="I451" i="15"/>
  <c r="R451" i="15"/>
  <c r="AA451" i="15"/>
  <c r="K452" i="15"/>
  <c r="T452" i="15"/>
  <c r="AC452" i="15"/>
  <c r="H456" i="15"/>
  <c r="Q456" i="15"/>
  <c r="K457" i="15"/>
  <c r="T457" i="15"/>
  <c r="AC457" i="15"/>
  <c r="I461" i="15"/>
  <c r="R461" i="15"/>
  <c r="J462" i="15"/>
  <c r="S462" i="15"/>
  <c r="AB462" i="15"/>
  <c r="K463" i="15"/>
  <c r="U463" i="15"/>
  <c r="AD463" i="15"/>
  <c r="H466" i="15"/>
  <c r="Q466" i="15"/>
  <c r="AB467" i="15"/>
  <c r="T467" i="15"/>
  <c r="L467" i="15"/>
  <c r="I467" i="15"/>
  <c r="R467" i="15"/>
  <c r="AA467" i="15"/>
  <c r="K468" i="15"/>
  <c r="T468" i="15"/>
  <c r="AC468" i="15"/>
  <c r="K473" i="15"/>
  <c r="T473" i="15"/>
  <c r="AC473" i="15"/>
  <c r="J478" i="15"/>
  <c r="S478" i="15"/>
  <c r="AB478" i="15"/>
  <c r="K479" i="15"/>
  <c r="U479" i="15"/>
  <c r="AD479" i="15"/>
  <c r="AB483" i="15"/>
  <c r="T483" i="15"/>
  <c r="L483" i="15"/>
  <c r="I483" i="15"/>
  <c r="R483" i="15"/>
  <c r="AA483" i="15"/>
  <c r="K484" i="15"/>
  <c r="T484" i="15"/>
  <c r="AC484" i="15"/>
  <c r="K489" i="15"/>
  <c r="T489" i="15"/>
  <c r="AC489" i="15"/>
  <c r="J494" i="15"/>
  <c r="S494" i="15"/>
  <c r="AB494" i="15"/>
  <c r="K495" i="15"/>
  <c r="U495" i="15"/>
  <c r="AD495" i="15"/>
  <c r="AB499" i="15"/>
  <c r="T499" i="15"/>
  <c r="L499" i="15"/>
  <c r="I499" i="15"/>
  <c r="R499" i="15"/>
  <c r="AA499" i="15"/>
  <c r="K500" i="15"/>
  <c r="T500" i="15"/>
  <c r="AC500" i="15"/>
  <c r="K505" i="15"/>
  <c r="T505" i="15"/>
  <c r="AC505" i="15"/>
  <c r="R509" i="15"/>
  <c r="J510" i="15"/>
  <c r="S510" i="15"/>
  <c r="AB510" i="15"/>
  <c r="K511" i="15"/>
  <c r="U511" i="15"/>
  <c r="AD511" i="15"/>
  <c r="H514" i="15"/>
  <c r="Q514" i="15"/>
  <c r="AB515" i="15"/>
  <c r="T515" i="15"/>
  <c r="L515" i="15"/>
  <c r="I515" i="15"/>
  <c r="R515" i="15"/>
  <c r="AA515" i="15"/>
  <c r="K516" i="15"/>
  <c r="T516" i="15"/>
  <c r="AC516" i="15"/>
  <c r="H520" i="15"/>
  <c r="Q520" i="15"/>
  <c r="K521" i="15"/>
  <c r="T521" i="15"/>
  <c r="AC521" i="15"/>
  <c r="I525" i="15"/>
  <c r="R525" i="15"/>
  <c r="J526" i="15"/>
  <c r="S526" i="15"/>
  <c r="AB526" i="15"/>
  <c r="K527" i="15"/>
  <c r="U527" i="15"/>
  <c r="AD527" i="15"/>
  <c r="H530" i="15"/>
  <c r="Q530" i="15"/>
  <c r="AB531" i="15"/>
  <c r="T531" i="15"/>
  <c r="L531" i="15"/>
  <c r="I531" i="15"/>
  <c r="R531" i="15"/>
  <c r="AA531" i="15"/>
  <c r="K532" i="15"/>
  <c r="T532" i="15"/>
  <c r="AC532" i="15"/>
  <c r="H536" i="15"/>
  <c r="Q536" i="15"/>
  <c r="K537" i="15"/>
  <c r="T537" i="15"/>
  <c r="AC537" i="15"/>
  <c r="I541" i="15"/>
  <c r="R541" i="15"/>
  <c r="J542" i="15"/>
  <c r="S542" i="15"/>
  <c r="AB542" i="15"/>
  <c r="K543" i="15"/>
  <c r="U543" i="15"/>
  <c r="AD543" i="15"/>
  <c r="H546" i="15"/>
  <c r="Q546" i="15"/>
  <c r="AB547" i="15"/>
  <c r="T547" i="15"/>
  <c r="L547" i="15"/>
  <c r="I547" i="15"/>
  <c r="R547" i="15"/>
  <c r="AA547" i="15"/>
  <c r="K548" i="15"/>
  <c r="T548" i="15"/>
  <c r="AC548" i="15"/>
  <c r="H552" i="15"/>
  <c r="Q552" i="15"/>
  <c r="K553" i="15"/>
  <c r="T553" i="15"/>
  <c r="AC553" i="15"/>
  <c r="I557" i="15"/>
  <c r="R557" i="15"/>
  <c r="J558" i="15"/>
  <c r="S558" i="15"/>
  <c r="AB558" i="15"/>
  <c r="K559" i="15"/>
  <c r="U559" i="15"/>
  <c r="AD559" i="15"/>
  <c r="H562" i="15"/>
  <c r="Q562" i="15"/>
  <c r="AB563" i="15"/>
  <c r="T563" i="15"/>
  <c r="L563" i="15"/>
  <c r="I563" i="15"/>
  <c r="R563" i="15"/>
  <c r="AA563" i="15"/>
  <c r="K564" i="15"/>
  <c r="T564" i="15"/>
  <c r="AC564" i="15"/>
  <c r="H568" i="15"/>
  <c r="Q568" i="15"/>
  <c r="K569" i="15"/>
  <c r="T569" i="15"/>
  <c r="AC569" i="15"/>
  <c r="I573" i="15"/>
  <c r="R573" i="15"/>
  <c r="J574" i="15"/>
  <c r="S574" i="15"/>
  <c r="AB574" i="15"/>
  <c r="K575" i="15"/>
  <c r="U575" i="15"/>
  <c r="AD575" i="15"/>
  <c r="H578" i="15"/>
  <c r="Q578" i="15"/>
  <c r="AB579" i="15"/>
  <c r="T579" i="15"/>
  <c r="L579" i="15"/>
  <c r="I579" i="15"/>
  <c r="R579" i="15"/>
  <c r="AA579" i="15"/>
  <c r="K580" i="15"/>
  <c r="T580" i="15"/>
  <c r="AC580" i="15"/>
  <c r="H584" i="15"/>
  <c r="Q584" i="15"/>
  <c r="K585" i="15"/>
  <c r="T585" i="15"/>
  <c r="AC585" i="15"/>
  <c r="I589" i="15"/>
  <c r="R589" i="15"/>
  <c r="J590" i="15"/>
  <c r="S590" i="15"/>
  <c r="AB590" i="15"/>
  <c r="K591" i="15"/>
  <c r="U591" i="15"/>
  <c r="AD591" i="15"/>
  <c r="H594" i="15"/>
  <c r="Q594" i="15"/>
  <c r="AB595" i="15"/>
  <c r="T595" i="15"/>
  <c r="L595" i="15"/>
  <c r="I595" i="15"/>
  <c r="R595" i="15"/>
  <c r="AA595" i="15"/>
  <c r="K596" i="15"/>
  <c r="T596" i="15"/>
  <c r="AC596" i="15"/>
  <c r="H600" i="15"/>
  <c r="Q600" i="15"/>
  <c r="K601" i="15"/>
  <c r="T601" i="15"/>
  <c r="AC601" i="15"/>
  <c r="I605" i="15"/>
  <c r="R605" i="15"/>
  <c r="J606" i="15"/>
  <c r="S606" i="15"/>
  <c r="AB606" i="15"/>
  <c r="K607" i="15"/>
  <c r="U607" i="15"/>
  <c r="AD607" i="15"/>
  <c r="H610" i="15"/>
  <c r="Q610" i="15"/>
  <c r="AB611" i="15"/>
  <c r="T611" i="15"/>
  <c r="L611" i="15"/>
  <c r="I611" i="15"/>
  <c r="R611" i="15"/>
  <c r="AA611" i="15"/>
  <c r="K612" i="15"/>
  <c r="T612" i="15"/>
  <c r="AC612" i="15"/>
  <c r="H616" i="15"/>
  <c r="Q616" i="15"/>
  <c r="K617" i="15"/>
  <c r="T617" i="15"/>
  <c r="AC617" i="15"/>
  <c r="I621" i="15"/>
  <c r="R621" i="15"/>
  <c r="J622" i="15"/>
  <c r="S622" i="15"/>
  <c r="AB622" i="15"/>
  <c r="K623" i="15"/>
  <c r="U623" i="15"/>
  <c r="AD623" i="15"/>
  <c r="H626" i="15"/>
  <c r="Q626" i="15"/>
  <c r="AB627" i="15"/>
  <c r="T627" i="15"/>
  <c r="L627" i="15"/>
  <c r="I627" i="15"/>
  <c r="R627" i="15"/>
  <c r="AA627" i="15"/>
  <c r="K628" i="15"/>
  <c r="T628" i="15"/>
  <c r="AC628" i="15"/>
  <c r="H632" i="15"/>
  <c r="Q632" i="15"/>
  <c r="K633" i="15"/>
  <c r="T633" i="15"/>
  <c r="AC633" i="15"/>
  <c r="I637" i="15"/>
  <c r="R637" i="15"/>
  <c r="J638" i="15"/>
  <c r="S638" i="15"/>
  <c r="AB638" i="15"/>
  <c r="K639" i="15"/>
  <c r="U639" i="15"/>
  <c r="AD639" i="15"/>
  <c r="H642" i="15"/>
  <c r="Q642" i="15"/>
  <c r="AB643" i="15"/>
  <c r="T643" i="15"/>
  <c r="L643" i="15"/>
  <c r="I643" i="15"/>
  <c r="R643" i="15"/>
  <c r="AA643" i="15"/>
  <c r="K644" i="15"/>
  <c r="T644" i="15"/>
  <c r="AC644" i="15"/>
  <c r="Q648" i="15"/>
  <c r="K649" i="15"/>
  <c r="T649" i="15"/>
  <c r="AC649" i="15"/>
  <c r="I653" i="15"/>
  <c r="R653" i="15"/>
  <c r="J654" i="15"/>
  <c r="S654" i="15"/>
  <c r="AB654" i="15"/>
  <c r="K655" i="15"/>
  <c r="U655" i="15"/>
  <c r="AD655" i="15"/>
  <c r="H658" i="15"/>
  <c r="Q658" i="15"/>
  <c r="AB659" i="15"/>
  <c r="T659" i="15"/>
  <c r="L659" i="15"/>
  <c r="I659" i="15"/>
  <c r="R659" i="15"/>
  <c r="AA659" i="15"/>
  <c r="K660" i="15"/>
  <c r="T660" i="15"/>
  <c r="AC660" i="15"/>
  <c r="H664" i="15"/>
  <c r="Q664" i="15"/>
  <c r="K665" i="15"/>
  <c r="T665" i="15"/>
  <c r="AC665" i="15"/>
  <c r="I669" i="15"/>
  <c r="R669" i="15"/>
  <c r="J670" i="15"/>
  <c r="S670" i="15"/>
  <c r="AB670" i="15"/>
  <c r="K671" i="15"/>
  <c r="U671" i="15"/>
  <c r="AD671" i="15"/>
  <c r="H674" i="15"/>
  <c r="Q674" i="15"/>
  <c r="AB675" i="15"/>
  <c r="T675" i="15"/>
  <c r="L675" i="15"/>
  <c r="I675" i="15"/>
  <c r="R675" i="15"/>
  <c r="AA675" i="15"/>
  <c r="K676" i="15"/>
  <c r="T676" i="15"/>
  <c r="AC676" i="15"/>
  <c r="H680" i="15"/>
  <c r="Q680" i="15"/>
  <c r="K681" i="15"/>
  <c r="T681" i="15"/>
  <c r="AC681" i="15"/>
  <c r="R685" i="15"/>
  <c r="J686" i="15"/>
  <c r="S686" i="15"/>
  <c r="AB686" i="15"/>
  <c r="K687" i="15"/>
  <c r="U687" i="15"/>
  <c r="AD687" i="15"/>
  <c r="H690" i="15"/>
  <c r="Q690" i="15"/>
  <c r="AB691" i="15"/>
  <c r="T691" i="15"/>
  <c r="L691" i="15"/>
  <c r="I691" i="15"/>
  <c r="R691" i="15"/>
  <c r="AA691" i="15"/>
  <c r="K692" i="15"/>
  <c r="T692" i="15"/>
  <c r="AC692" i="15"/>
  <c r="H696" i="15"/>
  <c r="Q696" i="15"/>
  <c r="K697" i="15"/>
  <c r="T697" i="15"/>
  <c r="AC697" i="15"/>
  <c r="J702" i="15"/>
  <c r="S702" i="15"/>
  <c r="AB702" i="15"/>
  <c r="K703" i="15"/>
  <c r="U703" i="15"/>
  <c r="AD703" i="15"/>
  <c r="H706" i="15"/>
  <c r="Q706" i="15"/>
  <c r="AB707" i="15"/>
  <c r="T707" i="15"/>
  <c r="L707" i="15"/>
  <c r="I707" i="15"/>
  <c r="R707" i="15"/>
  <c r="AA707" i="15"/>
  <c r="K708" i="15"/>
  <c r="T708" i="15"/>
  <c r="AC708" i="15"/>
  <c r="H712" i="15"/>
  <c r="Q712" i="15"/>
  <c r="K713" i="15"/>
  <c r="T713" i="15"/>
  <c r="AC713" i="15"/>
  <c r="I717" i="15"/>
  <c r="R717" i="15"/>
  <c r="J718" i="15"/>
  <c r="S718" i="15"/>
  <c r="AB718" i="15"/>
  <c r="K719" i="15"/>
  <c r="U719" i="15"/>
  <c r="AD719" i="15"/>
  <c r="H722" i="15"/>
  <c r="Q722" i="15"/>
  <c r="AB723" i="15"/>
  <c r="T723" i="15"/>
  <c r="L723" i="15"/>
  <c r="I723" i="15"/>
  <c r="R723" i="15"/>
  <c r="AA723" i="15"/>
  <c r="K724" i="15"/>
  <c r="T724" i="15"/>
  <c r="AC724" i="15"/>
  <c r="H728" i="15"/>
  <c r="Q728" i="15"/>
  <c r="K729" i="15"/>
  <c r="T729" i="15"/>
  <c r="AC729" i="15"/>
  <c r="I733" i="15"/>
  <c r="R733" i="15"/>
  <c r="J734" i="15"/>
  <c r="S734" i="15"/>
  <c r="AB734" i="15"/>
  <c r="K735" i="15"/>
  <c r="U735" i="15"/>
  <c r="AD735" i="15"/>
  <c r="H738" i="15"/>
  <c r="Q738" i="15"/>
  <c r="AB739" i="15"/>
  <c r="T739" i="15"/>
  <c r="L739" i="15"/>
  <c r="I739" i="15"/>
  <c r="R739" i="15"/>
  <c r="AA739" i="15"/>
  <c r="K740" i="15"/>
  <c r="T740" i="15"/>
  <c r="AC740" i="15"/>
  <c r="M744" i="15"/>
  <c r="W744" i="15"/>
  <c r="AG744" i="15"/>
  <c r="I745" i="15"/>
  <c r="T745" i="15"/>
  <c r="K747" i="15"/>
  <c r="W747" i="15"/>
  <c r="AG747" i="15"/>
  <c r="K750" i="15"/>
  <c r="U750" i="15"/>
  <c r="AG750" i="15"/>
  <c r="M752" i="15"/>
  <c r="W752" i="15"/>
  <c r="AG752" i="15"/>
  <c r="I753" i="15"/>
  <c r="T753" i="15"/>
  <c r="K755" i="15"/>
  <c r="W755" i="15"/>
  <c r="AG755" i="15"/>
  <c r="K758" i="15"/>
  <c r="U758" i="15"/>
  <c r="AG758" i="15"/>
  <c r="M760" i="15"/>
  <c r="W760" i="15"/>
  <c r="AG760" i="15"/>
  <c r="I761" i="15"/>
  <c r="T761" i="15"/>
  <c r="K763" i="15"/>
  <c r="W763" i="15"/>
  <c r="AG763" i="15"/>
  <c r="K766" i="15"/>
  <c r="U766" i="15"/>
  <c r="AG766" i="15"/>
  <c r="M768" i="15"/>
  <c r="W768" i="15"/>
  <c r="AG768" i="15"/>
  <c r="I769" i="15"/>
  <c r="T769" i="15"/>
  <c r="K771" i="15"/>
  <c r="W771" i="15"/>
  <c r="AG771" i="15"/>
  <c r="K774" i="15"/>
  <c r="U774" i="15"/>
  <c r="AG774" i="15"/>
  <c r="M776" i="15"/>
  <c r="W776" i="15"/>
  <c r="AG776" i="15"/>
  <c r="I777" i="15"/>
  <c r="T777" i="15"/>
  <c r="K779" i="15"/>
  <c r="W779" i="15"/>
  <c r="AG779" i="15"/>
  <c r="K782" i="15"/>
  <c r="U782" i="15"/>
  <c r="AG782" i="15"/>
  <c r="M784" i="15"/>
  <c r="W784" i="15"/>
  <c r="AG784" i="15"/>
  <c r="I785" i="15"/>
  <c r="T785" i="15"/>
  <c r="K787" i="15"/>
  <c r="W787" i="15"/>
  <c r="AG787" i="15"/>
  <c r="K790" i="15"/>
  <c r="U790" i="15"/>
  <c r="AG790" i="15"/>
  <c r="M792" i="15"/>
  <c r="W792" i="15"/>
  <c r="AG792" i="15"/>
  <c r="I793" i="15"/>
  <c r="T793" i="15"/>
  <c r="K795" i="15"/>
  <c r="W795" i="15"/>
  <c r="AG795" i="15"/>
  <c r="K798" i="15"/>
  <c r="U798" i="15"/>
  <c r="AG798" i="15"/>
  <c r="M800" i="15"/>
  <c r="W800" i="15"/>
  <c r="AG800" i="15"/>
  <c r="I801" i="15"/>
  <c r="T801" i="15"/>
  <c r="K803" i="15"/>
  <c r="W803" i="15"/>
  <c r="AG803" i="15"/>
  <c r="K806" i="15"/>
  <c r="U806" i="15"/>
  <c r="AG806" i="15"/>
  <c r="M808" i="15"/>
  <c r="W808" i="15"/>
  <c r="AG808" i="15"/>
  <c r="I809" i="15"/>
  <c r="T809" i="15"/>
  <c r="K811" i="15"/>
  <c r="W811" i="15"/>
  <c r="AG811" i="15"/>
  <c r="K814" i="15"/>
  <c r="U814" i="15"/>
  <c r="AG814" i="15"/>
  <c r="M816" i="15"/>
  <c r="W816" i="15"/>
  <c r="AG816" i="15"/>
  <c r="I817" i="15"/>
  <c r="T817" i="15"/>
  <c r="K819" i="15"/>
  <c r="W819" i="15"/>
  <c r="AG819" i="15"/>
  <c r="K822" i="15"/>
  <c r="U822" i="15"/>
  <c r="AG822" i="15"/>
  <c r="M824" i="15"/>
  <c r="W824" i="15"/>
  <c r="AG824" i="15"/>
  <c r="I825" i="15"/>
  <c r="T825" i="15"/>
  <c r="K827" i="15"/>
  <c r="W827" i="15"/>
  <c r="AG827" i="15"/>
  <c r="K830" i="15"/>
  <c r="U830" i="15"/>
  <c r="AG830" i="15"/>
  <c r="M832" i="15"/>
  <c r="W832" i="15"/>
  <c r="AG832" i="15"/>
  <c r="I833" i="15"/>
  <c r="T833" i="15"/>
  <c r="K835" i="15"/>
  <c r="W835" i="15"/>
  <c r="AG835" i="15"/>
  <c r="K838" i="15"/>
  <c r="U838" i="15"/>
  <c r="AG838" i="15"/>
  <c r="M840" i="15"/>
  <c r="W840" i="15"/>
  <c r="AG840" i="15"/>
  <c r="I841" i="15"/>
  <c r="T841" i="15"/>
  <c r="K843" i="15"/>
  <c r="W843" i="15"/>
  <c r="AG843" i="15"/>
  <c r="K846" i="15"/>
  <c r="U846" i="15"/>
  <c r="AG846" i="15"/>
  <c r="M848" i="15"/>
  <c r="W848" i="15"/>
  <c r="AG848" i="15"/>
  <c r="I849" i="15"/>
  <c r="T849" i="15"/>
  <c r="K851" i="15"/>
  <c r="W851" i="15"/>
  <c r="AG851" i="15"/>
  <c r="K854" i="15"/>
  <c r="U854" i="15"/>
  <c r="AG854" i="15"/>
  <c r="M856" i="15"/>
  <c r="W856" i="15"/>
  <c r="AG856" i="15"/>
  <c r="I857" i="15"/>
  <c r="T857" i="15"/>
  <c r="K859" i="15"/>
  <c r="W859" i="15"/>
  <c r="AG859" i="15"/>
  <c r="K862" i="15"/>
  <c r="U862" i="15"/>
  <c r="AG862" i="15"/>
  <c r="M864" i="15"/>
  <c r="W864" i="15"/>
  <c r="AG864" i="15"/>
  <c r="I865" i="15"/>
  <c r="T865" i="15"/>
  <c r="K867" i="15"/>
  <c r="W867" i="15"/>
  <c r="AG867" i="15"/>
  <c r="K870" i="15"/>
  <c r="U870" i="15"/>
  <c r="AG870" i="15"/>
  <c r="M872" i="15"/>
  <c r="W872" i="15"/>
  <c r="AG872" i="15"/>
  <c r="I873" i="15"/>
  <c r="T873" i="15"/>
  <c r="K875" i="15"/>
  <c r="W875" i="15"/>
  <c r="AG875" i="15"/>
  <c r="K878" i="15"/>
  <c r="U878" i="15"/>
  <c r="AG878" i="15"/>
  <c r="M880" i="15"/>
  <c r="W880" i="15"/>
  <c r="AG880" i="15"/>
  <c r="I881" i="15"/>
  <c r="T881" i="15"/>
  <c r="K883" i="15"/>
  <c r="W883" i="15"/>
  <c r="AG883" i="15"/>
  <c r="K886" i="15"/>
  <c r="U886" i="15"/>
  <c r="AG886" i="15"/>
  <c r="M888" i="15"/>
  <c r="W888" i="15"/>
  <c r="AG888" i="15"/>
  <c r="I889" i="15"/>
  <c r="T889" i="15"/>
  <c r="K891" i="15"/>
  <c r="W891" i="15"/>
  <c r="AG891" i="15"/>
  <c r="K894" i="15"/>
  <c r="U894" i="15"/>
  <c r="AG894" i="15"/>
  <c r="M896" i="15"/>
  <c r="W896" i="15"/>
  <c r="AG896" i="15"/>
  <c r="I897" i="15"/>
  <c r="T897" i="15"/>
  <c r="K899" i="15"/>
  <c r="W899" i="15"/>
  <c r="AG899" i="15"/>
  <c r="K902" i="15"/>
  <c r="U902" i="15"/>
  <c r="AG902" i="15"/>
  <c r="M904" i="15"/>
  <c r="W904" i="15"/>
  <c r="AG904" i="15"/>
  <c r="I905" i="15"/>
  <c r="T905" i="15"/>
  <c r="K907" i="15"/>
  <c r="W907" i="15"/>
  <c r="AG907" i="15"/>
  <c r="K910" i="15"/>
  <c r="U910" i="15"/>
  <c r="AG910" i="15"/>
  <c r="M912" i="15"/>
  <c r="W912" i="15"/>
  <c r="AG912" i="15"/>
  <c r="I913" i="15"/>
  <c r="T913" i="15"/>
  <c r="K915" i="15"/>
  <c r="W915" i="15"/>
  <c r="AG915" i="15"/>
  <c r="K918" i="15"/>
  <c r="U918" i="15"/>
  <c r="AG918" i="15"/>
  <c r="M920" i="15"/>
  <c r="W920" i="15"/>
  <c r="AG920" i="15"/>
  <c r="I921" i="15"/>
  <c r="T921" i="15"/>
  <c r="K923" i="15"/>
  <c r="W923" i="15"/>
  <c r="AG923" i="15"/>
  <c r="K926" i="15"/>
  <c r="U926" i="15"/>
  <c r="AG926" i="15"/>
  <c r="M928" i="15"/>
  <c r="W928" i="15"/>
  <c r="AG928" i="15"/>
  <c r="I929" i="15"/>
  <c r="T929" i="15"/>
  <c r="K931" i="15"/>
  <c r="W931" i="15"/>
  <c r="AG931" i="15"/>
  <c r="K934" i="15"/>
  <c r="U934" i="15"/>
  <c r="AG934" i="15"/>
  <c r="M936" i="15"/>
  <c r="W936" i="15"/>
  <c r="AG936" i="15"/>
  <c r="I937" i="15"/>
  <c r="T937" i="15"/>
  <c r="K939" i="15"/>
  <c r="W939" i="15"/>
  <c r="AG939" i="15"/>
  <c r="K942" i="15"/>
  <c r="U942" i="15"/>
  <c r="AG942" i="15"/>
  <c r="M944" i="15"/>
  <c r="W944" i="15"/>
  <c r="AG944" i="15"/>
  <c r="I945" i="15"/>
  <c r="T945" i="15"/>
  <c r="K947" i="15"/>
  <c r="W947" i="15"/>
  <c r="AG947" i="15"/>
  <c r="K950" i="15"/>
  <c r="U950" i="15"/>
  <c r="AG950" i="15"/>
  <c r="M952" i="15"/>
  <c r="W952" i="15"/>
  <c r="AG952" i="15"/>
  <c r="I953" i="15"/>
  <c r="T953" i="15"/>
  <c r="K955" i="15"/>
  <c r="W955" i="15"/>
  <c r="AG955" i="15"/>
  <c r="K958" i="15"/>
  <c r="U958" i="15"/>
  <c r="AG958" i="15"/>
  <c r="M960" i="15"/>
  <c r="W960" i="15"/>
  <c r="AG960" i="15"/>
  <c r="I961" i="15"/>
  <c r="T961" i="15"/>
  <c r="K963" i="15"/>
  <c r="W963" i="15"/>
  <c r="AG963" i="15"/>
  <c r="K966" i="15"/>
  <c r="U966" i="15"/>
  <c r="AG966" i="15"/>
  <c r="M968" i="15"/>
  <c r="W968" i="15"/>
  <c r="AG968" i="15"/>
  <c r="I969" i="15"/>
  <c r="T969" i="15"/>
  <c r="K971" i="15"/>
  <c r="W971" i="15"/>
  <c r="AG971" i="15"/>
  <c r="K974" i="15"/>
  <c r="U974" i="15"/>
  <c r="AG974" i="15"/>
  <c r="M976" i="15"/>
  <c r="W976" i="15"/>
  <c r="AG976" i="15"/>
  <c r="T977" i="15"/>
  <c r="K979" i="15"/>
  <c r="W979" i="15"/>
  <c r="AG979" i="15"/>
  <c r="K982" i="15"/>
  <c r="U982" i="15"/>
  <c r="AG982" i="15"/>
  <c r="M984" i="15"/>
  <c r="W984" i="15"/>
  <c r="AG984" i="15"/>
  <c r="T985" i="15"/>
  <c r="K987" i="15"/>
  <c r="W987" i="15"/>
  <c r="AG987" i="15"/>
  <c r="K990" i="15"/>
  <c r="U990" i="15"/>
  <c r="AG990" i="15"/>
  <c r="M992" i="15"/>
  <c r="W992" i="15"/>
  <c r="AG992" i="15"/>
  <c r="I993" i="15"/>
  <c r="T993" i="15"/>
  <c r="K995" i="15"/>
  <c r="W995" i="15"/>
  <c r="AG995" i="15"/>
  <c r="K998" i="15"/>
  <c r="U998" i="15"/>
  <c r="AG998" i="15"/>
  <c r="M1000" i="15"/>
  <c r="W1000" i="15"/>
  <c r="AG1000" i="15"/>
  <c r="I1001" i="15"/>
  <c r="T1001" i="15"/>
  <c r="K1003" i="15"/>
  <c r="W1003" i="15"/>
  <c r="AG1003" i="15"/>
  <c r="U1006" i="15"/>
  <c r="AG1006" i="15"/>
  <c r="M1008" i="15"/>
  <c r="W1008" i="15"/>
  <c r="AG1008" i="15"/>
  <c r="I1009" i="15"/>
  <c r="T1009" i="15"/>
  <c r="K1011" i="15"/>
  <c r="W1011" i="15"/>
  <c r="AG1011" i="15"/>
  <c r="K1014" i="15"/>
  <c r="U1014" i="15"/>
  <c r="AG1014" i="15"/>
  <c r="M1016" i="15"/>
  <c r="W1016" i="15"/>
  <c r="AG1016" i="15"/>
  <c r="T1017" i="15"/>
  <c r="K1019" i="15"/>
  <c r="W1019" i="15"/>
  <c r="AG1019" i="15"/>
  <c r="K1022" i="15"/>
  <c r="U1022" i="15"/>
  <c r="AG1022" i="15"/>
  <c r="M1024" i="15"/>
  <c r="W1024" i="15"/>
  <c r="AG1024" i="15"/>
  <c r="K1027" i="15"/>
  <c r="W1027" i="15"/>
  <c r="AG1027" i="15"/>
  <c r="K1030" i="15"/>
  <c r="U1030" i="15"/>
  <c r="AG1030" i="15"/>
  <c r="M1032" i="15"/>
  <c r="W1032" i="15"/>
  <c r="AG1032" i="15"/>
  <c r="K1035" i="15"/>
  <c r="W1035" i="15"/>
  <c r="AG1035" i="15"/>
  <c r="K1038" i="15"/>
  <c r="U1038" i="15"/>
  <c r="AG1038" i="15"/>
  <c r="M1040" i="15"/>
  <c r="W1040" i="15"/>
  <c r="AG1040" i="15"/>
  <c r="K1043" i="15"/>
  <c r="W1043" i="15"/>
  <c r="AG1043" i="15"/>
  <c r="K1046" i="15"/>
  <c r="U1046" i="15"/>
  <c r="AG1046" i="15"/>
  <c r="M1048" i="15"/>
  <c r="W1048" i="15"/>
  <c r="AG1048" i="15"/>
  <c r="K1051" i="15"/>
  <c r="W1051" i="15"/>
  <c r="AG1051" i="15"/>
  <c r="K1054" i="15"/>
  <c r="U1054" i="15"/>
  <c r="AG1054" i="15"/>
  <c r="M1056" i="15"/>
  <c r="W1056" i="15"/>
  <c r="AG1056" i="15"/>
  <c r="K1059" i="15"/>
  <c r="W1059" i="15"/>
  <c r="AG1059" i="15"/>
  <c r="K1062" i="15"/>
  <c r="U1062" i="15"/>
  <c r="AG1062" i="15"/>
  <c r="M1064" i="15"/>
  <c r="W1064" i="15"/>
  <c r="AG1064" i="15"/>
  <c r="T1065" i="15"/>
  <c r="K1067" i="15"/>
  <c r="W1067" i="15"/>
  <c r="AG1067" i="15"/>
  <c r="K1070" i="15"/>
  <c r="U1070" i="15"/>
  <c r="AG1070" i="15"/>
  <c r="M1072" i="15"/>
  <c r="W1072" i="15"/>
  <c r="AG1072" i="15"/>
  <c r="I1073" i="15"/>
  <c r="T1073" i="15"/>
  <c r="K1075" i="15"/>
  <c r="W1075" i="15"/>
  <c r="AG1075" i="15"/>
  <c r="K1078" i="15"/>
  <c r="U1078" i="15"/>
  <c r="AG1078" i="15"/>
  <c r="M1080" i="15"/>
  <c r="W1080" i="15"/>
  <c r="AG1080" i="15"/>
  <c r="I1081" i="15"/>
  <c r="T1081" i="15"/>
  <c r="K1083" i="15"/>
  <c r="W1083" i="15"/>
  <c r="AG1083" i="15"/>
  <c r="K1086" i="15"/>
  <c r="U1086" i="15"/>
  <c r="AG1086" i="15"/>
  <c r="M1088" i="15"/>
  <c r="W1088" i="15"/>
  <c r="AG1088" i="15"/>
  <c r="T1089" i="15"/>
  <c r="K1091" i="15"/>
  <c r="W1091" i="15"/>
  <c r="AG1091" i="15"/>
  <c r="K1094" i="15"/>
  <c r="U1094" i="15"/>
  <c r="AG1094" i="15"/>
  <c r="M1096" i="15"/>
  <c r="W1096" i="15"/>
  <c r="AG1096" i="15"/>
  <c r="I1097" i="15"/>
  <c r="T1097" i="15"/>
  <c r="K1099" i="15"/>
  <c r="W1099" i="15"/>
  <c r="AG1099" i="15"/>
  <c r="K1102" i="15"/>
  <c r="U1102" i="15"/>
  <c r="AG1102" i="15"/>
  <c r="M1104" i="15"/>
  <c r="W1104" i="15"/>
  <c r="AG1104" i="15"/>
  <c r="I1105" i="15"/>
  <c r="T1105" i="15"/>
  <c r="K1107" i="15"/>
  <c r="W1107" i="15"/>
  <c r="AG1107" i="15"/>
  <c r="K1110" i="15"/>
  <c r="U1110" i="15"/>
  <c r="AG1110" i="15"/>
  <c r="M1112" i="15"/>
  <c r="W1112" i="15"/>
  <c r="AG1112" i="15"/>
  <c r="T1113" i="15"/>
  <c r="K1115" i="15"/>
  <c r="W1115" i="15"/>
  <c r="AG1115" i="15"/>
  <c r="K1118" i="15"/>
  <c r="U1118" i="15"/>
  <c r="AG1118" i="15"/>
  <c r="M1120" i="15"/>
  <c r="W1120" i="15"/>
  <c r="AG1120" i="15"/>
  <c r="I1121" i="15"/>
  <c r="T1121" i="15"/>
  <c r="K1123" i="15"/>
  <c r="W1123" i="15"/>
  <c r="AG1123" i="15"/>
  <c r="K1126" i="15"/>
  <c r="U1126" i="15"/>
  <c r="AG1126" i="15"/>
  <c r="M1128" i="15"/>
  <c r="W1128" i="15"/>
  <c r="AG1128" i="15"/>
  <c r="I1129" i="15"/>
  <c r="T1129" i="15"/>
  <c r="K1131" i="15"/>
  <c r="W1131" i="15"/>
  <c r="AG1131" i="15"/>
  <c r="K1134" i="15"/>
  <c r="U1134" i="15"/>
  <c r="AG1134" i="15"/>
  <c r="N1136" i="15"/>
  <c r="Y1136" i="15"/>
  <c r="K1137" i="15"/>
  <c r="X1137" i="15"/>
  <c r="L1138" i="15"/>
  <c r="Y1138" i="15"/>
  <c r="M1140" i="15"/>
  <c r="X1140" i="15"/>
  <c r="AF1142" i="15"/>
  <c r="X1142" i="15"/>
  <c r="P1142" i="15"/>
  <c r="H1142" i="15"/>
  <c r="AG1142" i="15"/>
  <c r="W1142" i="15"/>
  <c r="N1142" i="15"/>
  <c r="AD1142" i="15"/>
  <c r="U1142" i="15"/>
  <c r="L1142" i="15"/>
  <c r="J1142" i="15"/>
  <c r="V1142" i="15"/>
  <c r="AD1143" i="15"/>
  <c r="V1143" i="15"/>
  <c r="N1143" i="15"/>
  <c r="AH1143" i="15"/>
  <c r="Y1143" i="15"/>
  <c r="P1143" i="15"/>
  <c r="G1143" i="15"/>
  <c r="AF1143" i="15"/>
  <c r="W1143" i="15"/>
  <c r="M1143" i="15"/>
  <c r="J1143" i="15"/>
  <c r="U1143" i="15"/>
  <c r="AB1144" i="15"/>
  <c r="T1144" i="15"/>
  <c r="L1144" i="15"/>
  <c r="Z1144" i="15"/>
  <c r="Q1144" i="15"/>
  <c r="H1144" i="15"/>
  <c r="AG1144" i="15"/>
  <c r="X1144" i="15"/>
  <c r="O1144" i="15"/>
  <c r="J1144" i="15"/>
  <c r="V1144" i="15"/>
  <c r="AH1144" i="15"/>
  <c r="H1147" i="15"/>
  <c r="S1147" i="15"/>
  <c r="M1158" i="15"/>
  <c r="Z1158" i="15"/>
  <c r="L1159" i="15"/>
  <c r="Z1159" i="15"/>
  <c r="M1160" i="15"/>
  <c r="Y1160" i="15"/>
  <c r="AB1164" i="15"/>
  <c r="T1164" i="15"/>
  <c r="L1164" i="15"/>
  <c r="AG1164" i="15"/>
  <c r="X1164" i="15"/>
  <c r="O1164" i="15"/>
  <c r="AE1164" i="15"/>
  <c r="V1164" i="15"/>
  <c r="M1164" i="15"/>
  <c r="I1164" i="15"/>
  <c r="U1164" i="15"/>
  <c r="AH1164" i="15"/>
  <c r="K1180" i="15"/>
  <c r="Y1180" i="15"/>
  <c r="AB1184" i="15"/>
  <c r="T1184" i="15"/>
  <c r="L1184" i="15"/>
  <c r="AE1184" i="15"/>
  <c r="V1184" i="15"/>
  <c r="M1184" i="15"/>
  <c r="AC1184" i="15"/>
  <c r="S1184" i="15"/>
  <c r="J1184" i="15"/>
  <c r="I1184" i="15"/>
  <c r="W1184" i="15"/>
  <c r="AH1184" i="15"/>
  <c r="M1197" i="15"/>
  <c r="AA1197" i="15"/>
  <c r="H1200" i="15"/>
  <c r="U1200" i="15"/>
  <c r="M1213" i="15"/>
  <c r="AA1213" i="15"/>
  <c r="AH1217" i="15"/>
  <c r="Z1217" i="15"/>
  <c r="R1217" i="15"/>
  <c r="J1217" i="15"/>
  <c r="AF1217" i="15"/>
  <c r="W1217" i="15"/>
  <c r="N1217" i="15"/>
  <c r="AD1217" i="15"/>
  <c r="U1217" i="15"/>
  <c r="L1217" i="15"/>
  <c r="I1217" i="15"/>
  <c r="V1217" i="15"/>
  <c r="AF1218" i="15"/>
  <c r="X1218" i="15"/>
  <c r="P1218" i="15"/>
  <c r="H1218" i="15"/>
  <c r="Z1218" i="15"/>
  <c r="Q1218" i="15"/>
  <c r="G1218" i="15"/>
  <c r="AG1218" i="15"/>
  <c r="W1218" i="15"/>
  <c r="N1218" i="15"/>
  <c r="K1218" i="15"/>
  <c r="V1218" i="15"/>
  <c r="M1229" i="15"/>
  <c r="AA1229" i="15"/>
  <c r="K1232" i="15"/>
  <c r="X1232" i="15"/>
  <c r="AH1233" i="15"/>
  <c r="Z1233" i="15"/>
  <c r="R1233" i="15"/>
  <c r="J1233" i="15"/>
  <c r="AF1233" i="15"/>
  <c r="W1233" i="15"/>
  <c r="N1233" i="15"/>
  <c r="AD1233" i="15"/>
  <c r="U1233" i="15"/>
  <c r="L1233" i="15"/>
  <c r="I1233" i="15"/>
  <c r="V1233" i="15"/>
  <c r="AF1234" i="15"/>
  <c r="X1234" i="15"/>
  <c r="P1234" i="15"/>
  <c r="H1234" i="15"/>
  <c r="Z1234" i="15"/>
  <c r="Q1234" i="15"/>
  <c r="G1234" i="15"/>
  <c r="AG1234" i="15"/>
  <c r="W1234" i="15"/>
  <c r="N1234" i="15"/>
  <c r="K1234" i="15"/>
  <c r="V1234" i="15"/>
  <c r="M1245" i="15"/>
  <c r="AA1245" i="15"/>
  <c r="N1248" i="15"/>
  <c r="AC1248" i="15"/>
  <c r="M1250" i="15"/>
  <c r="AB1250" i="15"/>
  <c r="N1256" i="15"/>
  <c r="AC1256" i="15"/>
  <c r="M1258" i="15"/>
  <c r="AB1258" i="15"/>
  <c r="J1264" i="15"/>
  <c r="Z1264" i="15"/>
  <c r="AF1266" i="15"/>
  <c r="X1266" i="15"/>
  <c r="P1266" i="15"/>
  <c r="H1266" i="15"/>
  <c r="AE1266" i="15"/>
  <c r="W1266" i="15"/>
  <c r="O1266" i="15"/>
  <c r="G1266" i="15"/>
  <c r="AC1266" i="15"/>
  <c r="S1266" i="15"/>
  <c r="I1266" i="15"/>
  <c r="AA1266" i="15"/>
  <c r="Q1266" i="15"/>
  <c r="L1266" i="15"/>
  <c r="Z1266" i="15"/>
  <c r="H1272" i="15"/>
  <c r="J1275" i="15"/>
  <c r="Z1275" i="15"/>
  <c r="H1283" i="15"/>
  <c r="N1290" i="15"/>
  <c r="AD1290" i="15"/>
  <c r="J1296" i="15"/>
  <c r="Z1296" i="15"/>
  <c r="AF1298" i="15"/>
  <c r="X1298" i="15"/>
  <c r="P1298" i="15"/>
  <c r="H1298" i="15"/>
  <c r="AE1298" i="15"/>
  <c r="W1298" i="15"/>
  <c r="O1298" i="15"/>
  <c r="G1298" i="15"/>
  <c r="AC1298" i="15"/>
  <c r="S1298" i="15"/>
  <c r="I1298" i="15"/>
  <c r="AA1298" i="15"/>
  <c r="Q1298" i="15"/>
  <c r="L1298" i="15"/>
  <c r="Z1298" i="15"/>
  <c r="H1304" i="15"/>
  <c r="J1307" i="15"/>
  <c r="Z1307" i="15"/>
  <c r="H1315" i="15"/>
  <c r="N1322" i="15"/>
  <c r="AD1322" i="15"/>
  <c r="J1328" i="15"/>
  <c r="Z1328" i="15"/>
  <c r="AF1330" i="15"/>
  <c r="X1330" i="15"/>
  <c r="P1330" i="15"/>
  <c r="H1330" i="15"/>
  <c r="AE1330" i="15"/>
  <c r="W1330" i="15"/>
  <c r="O1330" i="15"/>
  <c r="G1330" i="15"/>
  <c r="AC1330" i="15"/>
  <c r="S1330" i="15"/>
  <c r="I1330" i="15"/>
  <c r="AA1330" i="15"/>
  <c r="Q1330" i="15"/>
  <c r="L1330" i="15"/>
  <c r="Z1330" i="15"/>
  <c r="H1336" i="15"/>
  <c r="J1339" i="15"/>
  <c r="Z1339" i="15"/>
  <c r="H1347" i="15"/>
  <c r="Q1351" i="15"/>
  <c r="AG1351" i="15"/>
  <c r="I1352" i="15"/>
  <c r="O1360" i="15"/>
  <c r="AF1360" i="15"/>
  <c r="I1367" i="15"/>
  <c r="O1372" i="15"/>
  <c r="AF1372" i="15"/>
  <c r="N1376" i="15"/>
  <c r="AE1376" i="15"/>
  <c r="O1384" i="15"/>
  <c r="AE1384" i="15"/>
  <c r="J1391" i="15"/>
  <c r="AE1395" i="15"/>
  <c r="W1395" i="15"/>
  <c r="O1395" i="15"/>
  <c r="G1395" i="15"/>
  <c r="AD1395" i="15"/>
  <c r="V1395" i="15"/>
  <c r="N1395" i="15"/>
  <c r="AC1395" i="15"/>
  <c r="U1395" i="15"/>
  <c r="M1395" i="15"/>
  <c r="AG1395" i="15"/>
  <c r="S1395" i="15"/>
  <c r="H1395" i="15"/>
  <c r="AB1395" i="15"/>
  <c r="Q1395" i="15"/>
  <c r="K1395" i="15"/>
  <c r="AA1395" i="15"/>
  <c r="K1399" i="15"/>
  <c r="AB1399" i="15"/>
  <c r="AE1403" i="15"/>
  <c r="W1403" i="15"/>
  <c r="O1403" i="15"/>
  <c r="G1403" i="15"/>
  <c r="AD1403" i="15"/>
  <c r="V1403" i="15"/>
  <c r="N1403" i="15"/>
  <c r="AC1403" i="15"/>
  <c r="U1403" i="15"/>
  <c r="M1403" i="15"/>
  <c r="AB1403" i="15"/>
  <c r="Q1403" i="15"/>
  <c r="Z1403" i="15"/>
  <c r="L1403" i="15"/>
  <c r="J1403" i="15"/>
  <c r="AA1403" i="15"/>
  <c r="I1407" i="15"/>
  <c r="AE1423" i="15"/>
  <c r="W1423" i="15"/>
  <c r="O1423" i="15"/>
  <c r="G1423" i="15"/>
  <c r="AD1423" i="15"/>
  <c r="V1423" i="15"/>
  <c r="N1423" i="15"/>
  <c r="AC1423" i="15"/>
  <c r="U1423" i="15"/>
  <c r="M1423" i="15"/>
  <c r="AH1423" i="15"/>
  <c r="T1423" i="15"/>
  <c r="I1423" i="15"/>
  <c r="AF1423" i="15"/>
  <c r="R1423" i="15"/>
  <c r="K1423" i="15"/>
  <c r="AA1423" i="15"/>
  <c r="L1427" i="15"/>
  <c r="AF1427" i="15"/>
  <c r="L1431" i="15"/>
  <c r="AG1431" i="15"/>
  <c r="K1435" i="15"/>
  <c r="AF1435" i="15"/>
  <c r="AE1439" i="15"/>
  <c r="W1439" i="15"/>
  <c r="O1439" i="15"/>
  <c r="G1439" i="15"/>
  <c r="AD1439" i="15"/>
  <c r="V1439" i="15"/>
  <c r="N1439" i="15"/>
  <c r="AC1439" i="15"/>
  <c r="U1439" i="15"/>
  <c r="M1439" i="15"/>
  <c r="AA1439" i="15"/>
  <c r="P1439" i="15"/>
  <c r="Y1439" i="15"/>
  <c r="K1439" i="15"/>
  <c r="J1439" i="15"/>
  <c r="AB1439" i="15"/>
  <c r="J1447" i="15"/>
  <c r="P1455" i="15"/>
  <c r="AG1455" i="15"/>
  <c r="AC1460" i="15"/>
  <c r="U1460" i="15"/>
  <c r="M1460" i="15"/>
  <c r="AB1460" i="15"/>
  <c r="T1460" i="15"/>
  <c r="L1460" i="15"/>
  <c r="AA1460" i="15"/>
  <c r="S1460" i="15"/>
  <c r="K1460" i="15"/>
  <c r="AF1460" i="15"/>
  <c r="R1460" i="15"/>
  <c r="G1460" i="15"/>
  <c r="AD1460" i="15"/>
  <c r="P1460" i="15"/>
  <c r="J1460" i="15"/>
  <c r="Z1460" i="15"/>
  <c r="AC1464" i="15"/>
  <c r="U1464" i="15"/>
  <c r="M1464" i="15"/>
  <c r="AB1464" i="15"/>
  <c r="T1464" i="15"/>
  <c r="L1464" i="15"/>
  <c r="AA1464" i="15"/>
  <c r="S1464" i="15"/>
  <c r="K1464" i="15"/>
  <c r="AE1464" i="15"/>
  <c r="Q1464" i="15"/>
  <c r="Z1464" i="15"/>
  <c r="O1464" i="15"/>
  <c r="I1464" i="15"/>
  <c r="Y1464" i="15"/>
  <c r="Q1471" i="15"/>
  <c r="AG1471" i="15"/>
  <c r="P1479" i="15"/>
  <c r="AF1479" i="15"/>
  <c r="P1487" i="15"/>
  <c r="AG1487" i="15"/>
  <c r="AC1492" i="15"/>
  <c r="U1492" i="15"/>
  <c r="M1492" i="15"/>
  <c r="AB1492" i="15"/>
  <c r="T1492" i="15"/>
  <c r="L1492" i="15"/>
  <c r="AA1492" i="15"/>
  <c r="S1492" i="15"/>
  <c r="K1492" i="15"/>
  <c r="AF1492" i="15"/>
  <c r="R1492" i="15"/>
  <c r="G1492" i="15"/>
  <c r="AD1492" i="15"/>
  <c r="P1492" i="15"/>
  <c r="J1492" i="15"/>
  <c r="Z1492" i="15"/>
  <c r="AC1496" i="15"/>
  <c r="U1496" i="15"/>
  <c r="M1496" i="15"/>
  <c r="AB1496" i="15"/>
  <c r="T1496" i="15"/>
  <c r="L1496" i="15"/>
  <c r="AA1496" i="15"/>
  <c r="S1496" i="15"/>
  <c r="K1496" i="15"/>
  <c r="AE1496" i="15"/>
  <c r="Q1496" i="15"/>
  <c r="Z1496" i="15"/>
  <c r="O1496" i="15"/>
  <c r="I1496" i="15"/>
  <c r="Y1496" i="15"/>
  <c r="Q1503" i="15"/>
  <c r="AG1503" i="15"/>
  <c r="O1524" i="15"/>
  <c r="AG1524" i="15"/>
  <c r="N1528" i="15"/>
  <c r="AF1528" i="15"/>
  <c r="AC1536" i="15"/>
  <c r="U1536" i="15"/>
  <c r="M1536" i="15"/>
  <c r="AB1536" i="15"/>
  <c r="T1536" i="15"/>
  <c r="L1536" i="15"/>
  <c r="AA1536" i="15"/>
  <c r="S1536" i="15"/>
  <c r="K1536" i="15"/>
  <c r="Z1536" i="15"/>
  <c r="O1536" i="15"/>
  <c r="X1536" i="15"/>
  <c r="J1536" i="15"/>
  <c r="I1536" i="15"/>
  <c r="AD1536" i="15"/>
  <c r="AC1544" i="15"/>
  <c r="U1544" i="15"/>
  <c r="M1544" i="15"/>
  <c r="AB1544" i="15"/>
  <c r="T1544" i="15"/>
  <c r="L1544" i="15"/>
  <c r="AA1544" i="15"/>
  <c r="S1544" i="15"/>
  <c r="K1544" i="15"/>
  <c r="X1544" i="15"/>
  <c r="J1544" i="15"/>
  <c r="AG1544" i="15"/>
  <c r="V1544" i="15"/>
  <c r="H1544" i="15"/>
  <c r="N1544" i="15"/>
  <c r="AD1544" i="15"/>
  <c r="AF1559" i="15"/>
  <c r="X1559" i="15"/>
  <c r="P1559" i="15"/>
  <c r="H1559" i="15"/>
  <c r="AE1559" i="15"/>
  <c r="W1559" i="15"/>
  <c r="O1559" i="15"/>
  <c r="G1559" i="15"/>
  <c r="AD1559" i="15"/>
  <c r="V1559" i="15"/>
  <c r="N1559" i="15"/>
  <c r="AC1559" i="15"/>
  <c r="U1559" i="15"/>
  <c r="M1559" i="15"/>
  <c r="Z1559" i="15"/>
  <c r="J1559" i="15"/>
  <c r="T1559" i="15"/>
  <c r="L1559" i="15"/>
  <c r="AH1559" i="15"/>
  <c r="S1571" i="15"/>
  <c r="P1572" i="15"/>
  <c r="Q1579" i="15"/>
  <c r="O1580" i="15"/>
  <c r="AG1580" i="15"/>
  <c r="AF1587" i="15"/>
  <c r="X1587" i="15"/>
  <c r="P1587" i="15"/>
  <c r="H1587" i="15"/>
  <c r="AE1587" i="15"/>
  <c r="W1587" i="15"/>
  <c r="O1587" i="15"/>
  <c r="G1587" i="15"/>
  <c r="AD1587" i="15"/>
  <c r="V1587" i="15"/>
  <c r="N1587" i="15"/>
  <c r="AC1587" i="15"/>
  <c r="U1587" i="15"/>
  <c r="M1587" i="15"/>
  <c r="AH1587" i="15"/>
  <c r="R1587" i="15"/>
  <c r="AB1587" i="15"/>
  <c r="L1587" i="15"/>
  <c r="K1587" i="15"/>
  <c r="AD1588" i="15"/>
  <c r="V1588" i="15"/>
  <c r="N1588" i="15"/>
  <c r="AC1588" i="15"/>
  <c r="U1588" i="15"/>
  <c r="M1588" i="15"/>
  <c r="AB1588" i="15"/>
  <c r="T1588" i="15"/>
  <c r="L1588" i="15"/>
  <c r="AA1588" i="15"/>
  <c r="S1588" i="15"/>
  <c r="K1588" i="15"/>
  <c r="X1588" i="15"/>
  <c r="H1588" i="15"/>
  <c r="AH1588" i="15"/>
  <c r="R1588" i="15"/>
  <c r="J1588" i="15"/>
  <c r="AF1588" i="15"/>
  <c r="Q1600" i="15"/>
  <c r="R1607" i="15"/>
  <c r="AH1608" i="15"/>
  <c r="AD1616" i="15"/>
  <c r="V1616" i="15"/>
  <c r="N1616" i="15"/>
  <c r="AC1616" i="15"/>
  <c r="U1616" i="15"/>
  <c r="M1616" i="15"/>
  <c r="AB1616" i="15"/>
  <c r="T1616" i="15"/>
  <c r="L1616" i="15"/>
  <c r="AA1616" i="15"/>
  <c r="S1616" i="15"/>
  <c r="K1616" i="15"/>
  <c r="AF1616" i="15"/>
  <c r="P1616" i="15"/>
  <c r="Z1616" i="15"/>
  <c r="J1616" i="15"/>
  <c r="I1616" i="15"/>
  <c r="AG1616" i="15"/>
  <c r="AF1623" i="15"/>
  <c r="X1623" i="15"/>
  <c r="P1623" i="15"/>
  <c r="H1623" i="15"/>
  <c r="AE1623" i="15"/>
  <c r="W1623" i="15"/>
  <c r="O1623" i="15"/>
  <c r="G1623" i="15"/>
  <c r="AD1623" i="15"/>
  <c r="V1623" i="15"/>
  <c r="N1623" i="15"/>
  <c r="AC1623" i="15"/>
  <c r="U1623" i="15"/>
  <c r="M1623" i="15"/>
  <c r="Z1623" i="15"/>
  <c r="J1623" i="15"/>
  <c r="Y1623" i="15"/>
  <c r="I1623" i="15"/>
  <c r="T1623" i="15"/>
  <c r="Q1623" i="15"/>
  <c r="Q1624" i="15"/>
  <c r="P1628" i="15"/>
  <c r="AD1632" i="15"/>
  <c r="V1632" i="15"/>
  <c r="N1632" i="15"/>
  <c r="AC1632" i="15"/>
  <c r="U1632" i="15"/>
  <c r="M1632" i="15"/>
  <c r="AB1632" i="15"/>
  <c r="T1632" i="15"/>
  <c r="L1632" i="15"/>
  <c r="AA1632" i="15"/>
  <c r="S1632" i="15"/>
  <c r="K1632" i="15"/>
  <c r="AF1632" i="15"/>
  <c r="P1632" i="15"/>
  <c r="AE1632" i="15"/>
  <c r="O1632" i="15"/>
  <c r="Z1632" i="15"/>
  <c r="J1632" i="15"/>
  <c r="I1632" i="15"/>
  <c r="AD1636" i="15"/>
  <c r="V1636" i="15"/>
  <c r="N1636" i="15"/>
  <c r="AC1636" i="15"/>
  <c r="U1636" i="15"/>
  <c r="M1636" i="15"/>
  <c r="AB1636" i="15"/>
  <c r="T1636" i="15"/>
  <c r="L1636" i="15"/>
  <c r="AA1636" i="15"/>
  <c r="S1636" i="15"/>
  <c r="K1636" i="15"/>
  <c r="X1636" i="15"/>
  <c r="H1636" i="15"/>
  <c r="W1636" i="15"/>
  <c r="G1636" i="15"/>
  <c r="AH1636" i="15"/>
  <c r="R1636" i="15"/>
  <c r="O1636" i="15"/>
  <c r="H1640" i="15"/>
  <c r="J1644" i="15"/>
  <c r="T1667" i="15"/>
  <c r="Q1671" i="15"/>
  <c r="I1684" i="15"/>
  <c r="O1692" i="15"/>
  <c r="K1695" i="15"/>
  <c r="I1700" i="15"/>
  <c r="Q1719" i="15"/>
  <c r="O1724" i="15"/>
  <c r="K1727" i="15"/>
  <c r="I1732" i="15"/>
  <c r="Q1751" i="15"/>
  <c r="I1764" i="15"/>
  <c r="O1772" i="15"/>
  <c r="K1775" i="15"/>
  <c r="Q1783" i="15"/>
  <c r="R1791" i="15"/>
  <c r="L1807" i="15"/>
  <c r="P3" i="16"/>
  <c r="H3" i="9" s="1"/>
  <c r="F3" i="16"/>
  <c r="J10" i="16"/>
  <c r="H32" i="16"/>
  <c r="G32" i="16"/>
  <c r="M32" i="16"/>
  <c r="L32" i="16"/>
  <c r="G35" i="16"/>
  <c r="M35" i="16"/>
  <c r="E35" i="16"/>
  <c r="T35" i="16" s="1"/>
  <c r="L35" i="16"/>
  <c r="I35" i="16"/>
  <c r="H35" i="16"/>
  <c r="M36" i="16"/>
  <c r="E36" i="16"/>
  <c r="L36" i="16"/>
  <c r="K36" i="16"/>
  <c r="T36" i="16"/>
  <c r="P36" i="16"/>
  <c r="H36" i="9" s="1"/>
  <c r="P41" i="16"/>
  <c r="H41" i="9" s="1"/>
  <c r="F41" i="16"/>
  <c r="J59" i="16"/>
  <c r="P59" i="16"/>
  <c r="H59" i="9" s="1"/>
  <c r="H59" i="16"/>
  <c r="G59" i="16"/>
  <c r="T59" i="16"/>
  <c r="F59" i="16"/>
  <c r="E59" i="16"/>
  <c r="I59" i="9" s="1"/>
  <c r="I67" i="16"/>
  <c r="G67" i="16"/>
  <c r="G68" i="16"/>
  <c r="M68" i="16"/>
  <c r="L68" i="16"/>
  <c r="K68" i="16"/>
  <c r="J68" i="16"/>
  <c r="L70" i="16"/>
  <c r="H84" i="16"/>
  <c r="L84" i="16"/>
  <c r="K84" i="16"/>
  <c r="J84" i="16"/>
  <c r="K102" i="16"/>
  <c r="J102" i="16"/>
  <c r="I102" i="16"/>
  <c r="H102" i="16"/>
  <c r="G110" i="16"/>
  <c r="M110" i="16"/>
  <c r="E110" i="16"/>
  <c r="K110" i="16"/>
  <c r="J110" i="16"/>
  <c r="I110" i="16"/>
  <c r="H110" i="16"/>
  <c r="L110" i="16"/>
  <c r="G118" i="16"/>
  <c r="M118" i="16"/>
  <c r="E118" i="16"/>
  <c r="J118" i="16"/>
  <c r="I118" i="16"/>
  <c r="H118" i="16"/>
  <c r="P118" i="16"/>
  <c r="H118" i="9" s="1"/>
  <c r="L118" i="16"/>
  <c r="H133" i="16"/>
  <c r="G133" i="16"/>
  <c r="K133" i="16"/>
  <c r="J133" i="16"/>
  <c r="I133" i="16"/>
  <c r="E133" i="16"/>
  <c r="P140" i="16"/>
  <c r="H140" i="9" s="1"/>
  <c r="F140" i="16"/>
  <c r="H149" i="16"/>
  <c r="G149" i="16"/>
  <c r="F149" i="16"/>
  <c r="I149" i="16"/>
  <c r="E149" i="16"/>
  <c r="L206" i="16"/>
  <c r="K206" i="16"/>
  <c r="G206" i="16"/>
  <c r="M206" i="16"/>
  <c r="K237" i="16"/>
  <c r="M237" i="16"/>
  <c r="L237" i="16"/>
  <c r="H237" i="16"/>
  <c r="G237" i="16"/>
  <c r="O237" i="16" s="1"/>
  <c r="E237" i="16"/>
  <c r="F266" i="16"/>
  <c r="M266" i="16"/>
  <c r="E266" i="16"/>
  <c r="I266" i="9" s="1"/>
  <c r="L266" i="16"/>
  <c r="H266" i="16"/>
  <c r="G266" i="16"/>
  <c r="O266" i="16" s="1"/>
  <c r="T266" i="16"/>
  <c r="P266" i="16"/>
  <c r="H266" i="9" s="1"/>
  <c r="J266" i="16"/>
  <c r="I266" i="16"/>
  <c r="I385" i="16"/>
  <c r="M402" i="16"/>
  <c r="E402" i="16"/>
  <c r="L402" i="16"/>
  <c r="G402" i="16"/>
  <c r="I402" i="16"/>
  <c r="H402" i="16"/>
  <c r="K402" i="16"/>
  <c r="J402" i="16"/>
  <c r="L406" i="16"/>
  <c r="K406" i="16"/>
  <c r="G406" i="16"/>
  <c r="M406" i="16"/>
  <c r="F466" i="16"/>
  <c r="M466" i="16"/>
  <c r="E466" i="16"/>
  <c r="I466" i="9" s="1"/>
  <c r="L466" i="16"/>
  <c r="G466" i="16"/>
  <c r="T466" i="16"/>
  <c r="P466" i="16"/>
  <c r="H466" i="9" s="1"/>
  <c r="O466" i="16"/>
  <c r="K466" i="16"/>
  <c r="J466" i="16"/>
  <c r="I466" i="16"/>
  <c r="H466" i="16"/>
  <c r="K517" i="16"/>
  <c r="H517" i="16"/>
  <c r="G517" i="16"/>
  <c r="E517" i="16"/>
  <c r="T517" i="16" s="1"/>
  <c r="M517" i="16"/>
  <c r="L517" i="16"/>
  <c r="M547" i="16"/>
  <c r="E547" i="16"/>
  <c r="L547" i="16"/>
  <c r="K547" i="16"/>
  <c r="H547" i="16"/>
  <c r="G547" i="16"/>
  <c r="J547" i="16"/>
  <c r="I547" i="16"/>
  <c r="O547" i="16" s="1"/>
  <c r="O579" i="16"/>
  <c r="L580" i="16"/>
  <c r="K580" i="16"/>
  <c r="J580" i="16"/>
  <c r="T580" i="16"/>
  <c r="E580" i="16"/>
  <c r="O580" i="16"/>
  <c r="H580" i="16"/>
  <c r="G580" i="16"/>
  <c r="J590" i="16"/>
  <c r="M590" i="16"/>
  <c r="L590" i="16"/>
  <c r="K590" i="16"/>
  <c r="G590" i="16"/>
  <c r="G657" i="16"/>
  <c r="M657" i="16"/>
  <c r="E657" i="16"/>
  <c r="K657" i="16"/>
  <c r="J657" i="16"/>
  <c r="I657" i="16"/>
  <c r="O657" i="16" s="1"/>
  <c r="H657" i="16"/>
  <c r="T657" i="16"/>
  <c r="L657" i="16"/>
  <c r="E679" i="16"/>
  <c r="K701" i="16"/>
  <c r="L701" i="16"/>
  <c r="H701" i="16"/>
  <c r="G701" i="16"/>
  <c r="G721" i="16"/>
  <c r="F721" i="16"/>
  <c r="M721" i="16"/>
  <c r="E721" i="16"/>
  <c r="K721" i="16"/>
  <c r="J721" i="16"/>
  <c r="O721" i="16" s="1"/>
  <c r="I721" i="16"/>
  <c r="H721" i="16"/>
  <c r="L721" i="16"/>
  <c r="M739" i="16"/>
  <c r="E739" i="16"/>
  <c r="L739" i="16"/>
  <c r="K739" i="16"/>
  <c r="H739" i="16"/>
  <c r="G739" i="16"/>
  <c r="F739" i="16"/>
  <c r="O739" i="16"/>
  <c r="J739" i="16"/>
  <c r="I739" i="16"/>
  <c r="L780" i="16"/>
  <c r="K780" i="16"/>
  <c r="J780" i="16"/>
  <c r="E780" i="16"/>
  <c r="M780" i="16"/>
  <c r="H780" i="16"/>
  <c r="G780" i="16"/>
  <c r="E790" i="16"/>
  <c r="L820" i="16"/>
  <c r="K820" i="16"/>
  <c r="J820" i="16"/>
  <c r="H820" i="16"/>
  <c r="G820" i="16"/>
  <c r="F820" i="16"/>
  <c r="E820" i="16"/>
  <c r="M820" i="16"/>
  <c r="I820" i="16"/>
  <c r="O820" i="16" s="1"/>
  <c r="L828" i="16"/>
  <c r="K828" i="16"/>
  <c r="J828" i="16"/>
  <c r="G828" i="16"/>
  <c r="E828" i="16"/>
  <c r="I828" i="16"/>
  <c r="H828" i="16"/>
  <c r="M828" i="16"/>
  <c r="O828" i="16" s="1"/>
  <c r="G873" i="16"/>
  <c r="M873" i="16"/>
  <c r="E873" i="16"/>
  <c r="H873" i="16"/>
  <c r="O873" i="16" s="1"/>
  <c r="K873" i="16"/>
  <c r="J873" i="16"/>
  <c r="I873" i="16"/>
  <c r="L873" i="16"/>
  <c r="F1023" i="16"/>
  <c r="M1051" i="16"/>
  <c r="E1051" i="16"/>
  <c r="L1051" i="16"/>
  <c r="K1051" i="16"/>
  <c r="H1051" i="16"/>
  <c r="G1051" i="16"/>
  <c r="J1051" i="16"/>
  <c r="I1051" i="16"/>
  <c r="H1063" i="16"/>
  <c r="G1063" i="16"/>
  <c r="M1063" i="16"/>
  <c r="L1063" i="16"/>
  <c r="K1063" i="16"/>
  <c r="J1063" i="16"/>
  <c r="J1069" i="16"/>
  <c r="M1069" i="16"/>
  <c r="L1069" i="16"/>
  <c r="H1069" i="16"/>
  <c r="G1069" i="16"/>
  <c r="E1069" i="16"/>
  <c r="G1113" i="16"/>
  <c r="M1113" i="16"/>
  <c r="E1113" i="16"/>
  <c r="I1113" i="16"/>
  <c r="H1113" i="16"/>
  <c r="J1113" i="16"/>
  <c r="K1113" i="16"/>
  <c r="L1113" i="16"/>
  <c r="F1127" i="16"/>
  <c r="E1135" i="16"/>
  <c r="L1196" i="16"/>
  <c r="K1196" i="16"/>
  <c r="J1196" i="16"/>
  <c r="H1196" i="16"/>
  <c r="G1196" i="16"/>
  <c r="F1196" i="16"/>
  <c r="E1196" i="16"/>
  <c r="M1196" i="16"/>
  <c r="I1196" i="16"/>
  <c r="F1316" i="16"/>
  <c r="P1316" i="16" s="1"/>
  <c r="L1749" i="16"/>
  <c r="T1749" i="16"/>
  <c r="H1749" i="16"/>
  <c r="P1749" i="16"/>
  <c r="G1749" i="16"/>
  <c r="O1749" i="16"/>
  <c r="F1749" i="16"/>
  <c r="J1749" i="16"/>
  <c r="I1749" i="16"/>
  <c r="E1749" i="16"/>
  <c r="N1749" i="16"/>
  <c r="M1749" i="16"/>
  <c r="K1749" i="16"/>
  <c r="M1988" i="16"/>
  <c r="E1988" i="16"/>
  <c r="O1988" i="16"/>
  <c r="F1988" i="16"/>
  <c r="N1988" i="16"/>
  <c r="L1988" i="16"/>
  <c r="J1988" i="16"/>
  <c r="I1988" i="16"/>
  <c r="H1988" i="16"/>
  <c r="G1988" i="16"/>
  <c r="P1988" i="16"/>
  <c r="K1988" i="16"/>
  <c r="T1988" i="16"/>
  <c r="N2155" i="16"/>
  <c r="F2155" i="16"/>
  <c r="O2155" i="16"/>
  <c r="E2155" i="16"/>
  <c r="M2155" i="16"/>
  <c r="L2155" i="16"/>
  <c r="G2155" i="16"/>
  <c r="T2155" i="16"/>
  <c r="P2155" i="16"/>
  <c r="K2155" i="16"/>
  <c r="J2155" i="16"/>
  <c r="I2155" i="16"/>
  <c r="H2155" i="16"/>
  <c r="O2378" i="16"/>
  <c r="G2378" i="16"/>
  <c r="I2378" i="16"/>
  <c r="T2378" i="16"/>
  <c r="H2378" i="16"/>
  <c r="P2378" i="16"/>
  <c r="F2378" i="16"/>
  <c r="J2378" i="16"/>
  <c r="E2378" i="16"/>
  <c r="L2378" i="16"/>
  <c r="K2378" i="16"/>
  <c r="M2378" i="16"/>
  <c r="N2378" i="16"/>
  <c r="V2" i="15"/>
  <c r="N2" i="15"/>
  <c r="I2" i="15"/>
  <c r="R2" i="15"/>
  <c r="AA2" i="15"/>
  <c r="J3" i="15"/>
  <c r="S3" i="15"/>
  <c r="AC3" i="15"/>
  <c r="L4" i="15"/>
  <c r="U4" i="15"/>
  <c r="Z8" i="15"/>
  <c r="R8" i="15"/>
  <c r="J8" i="15"/>
  <c r="I8" i="15"/>
  <c r="AG8" i="15" s="1"/>
  <c r="Q8" i="7" s="1"/>
  <c r="S8" i="15"/>
  <c r="AB8" i="15"/>
  <c r="L9" i="15"/>
  <c r="U9" i="15"/>
  <c r="X13" i="15"/>
  <c r="P13" i="15"/>
  <c r="H13" i="15"/>
  <c r="J13" i="15"/>
  <c r="S13" i="15"/>
  <c r="AB13" i="15"/>
  <c r="K14" i="15"/>
  <c r="AC14" i="15"/>
  <c r="M15" i="15"/>
  <c r="AF15" i="15" s="1"/>
  <c r="V15" i="15"/>
  <c r="AE15" i="15"/>
  <c r="O15" i="7" s="1"/>
  <c r="V18" i="15"/>
  <c r="N18" i="15"/>
  <c r="I18" i="15"/>
  <c r="AG18" i="15" s="1"/>
  <c r="Q18" i="7" s="1"/>
  <c r="R18" i="15"/>
  <c r="AA18" i="15"/>
  <c r="J19" i="15"/>
  <c r="S19" i="15"/>
  <c r="AC19" i="15"/>
  <c r="L20" i="15"/>
  <c r="U20" i="15"/>
  <c r="AH24" i="15"/>
  <c r="R24" i="7" s="1"/>
  <c r="S24" i="7" s="1"/>
  <c r="Z24" i="15"/>
  <c r="R24" i="15"/>
  <c r="J24" i="15"/>
  <c r="I24" i="15"/>
  <c r="AG24" i="15" s="1"/>
  <c r="Q24" i="7" s="1"/>
  <c r="S24" i="15"/>
  <c r="AB24" i="15"/>
  <c r="L25" i="15"/>
  <c r="U25" i="15"/>
  <c r="X29" i="15"/>
  <c r="P29" i="15"/>
  <c r="H29" i="15"/>
  <c r="J29" i="15"/>
  <c r="S29" i="15"/>
  <c r="AB29" i="15"/>
  <c r="K30" i="15"/>
  <c r="AC30" i="15"/>
  <c r="M31" i="15"/>
  <c r="AF31" i="15" s="1"/>
  <c r="V31" i="15"/>
  <c r="AE31" i="15"/>
  <c r="O31" i="7" s="1"/>
  <c r="V34" i="15"/>
  <c r="N34" i="15"/>
  <c r="I34" i="15"/>
  <c r="R34" i="15"/>
  <c r="AA34" i="15"/>
  <c r="J35" i="15"/>
  <c r="S35" i="15"/>
  <c r="AC35" i="15"/>
  <c r="L36" i="15"/>
  <c r="U36" i="15"/>
  <c r="AH40" i="15"/>
  <c r="R40" i="7" s="1"/>
  <c r="S40" i="7" s="1"/>
  <c r="Z40" i="15"/>
  <c r="R40" i="15"/>
  <c r="J40" i="15"/>
  <c r="I40" i="15"/>
  <c r="AG40" i="15" s="1"/>
  <c r="Q40" i="7" s="1"/>
  <c r="S40" i="15"/>
  <c r="AB40" i="15"/>
  <c r="L41" i="15"/>
  <c r="U41" i="15"/>
  <c r="X45" i="15"/>
  <c r="P45" i="15"/>
  <c r="H45" i="15"/>
  <c r="AF45" i="15" s="1"/>
  <c r="J45" i="15"/>
  <c r="S45" i="15"/>
  <c r="AB45" i="15"/>
  <c r="K46" i="15"/>
  <c r="AC46" i="15"/>
  <c r="M47" i="15"/>
  <c r="V47" i="15"/>
  <c r="V50" i="15"/>
  <c r="N50" i="15"/>
  <c r="I50" i="15"/>
  <c r="R50" i="15"/>
  <c r="AA50" i="15"/>
  <c r="J51" i="15"/>
  <c r="S51" i="15"/>
  <c r="AC51" i="15"/>
  <c r="L52" i="15"/>
  <c r="U52" i="15"/>
  <c r="Z56" i="15"/>
  <c r="R56" i="15"/>
  <c r="J56" i="15"/>
  <c r="I56" i="15"/>
  <c r="AG56" i="15" s="1"/>
  <c r="Q56" i="7" s="1"/>
  <c r="S56" i="15"/>
  <c r="AB56" i="15"/>
  <c r="L57" i="15"/>
  <c r="U57" i="15"/>
  <c r="X61" i="15"/>
  <c r="P61" i="15"/>
  <c r="H61" i="15"/>
  <c r="AF61" i="15" s="1"/>
  <c r="J61" i="15"/>
  <c r="S61" i="15"/>
  <c r="AB61" i="15"/>
  <c r="K62" i="15"/>
  <c r="AC62" i="15"/>
  <c r="M63" i="15"/>
  <c r="V63" i="15"/>
  <c r="V66" i="15"/>
  <c r="N66" i="15"/>
  <c r="I66" i="15"/>
  <c r="R66" i="15"/>
  <c r="AA66" i="15"/>
  <c r="J67" i="15"/>
  <c r="S67" i="15"/>
  <c r="AC67" i="15"/>
  <c r="L68" i="15"/>
  <c r="U68" i="15"/>
  <c r="Z72" i="15"/>
  <c r="R72" i="15"/>
  <c r="J72" i="15"/>
  <c r="I72" i="15"/>
  <c r="AG72" i="15" s="1"/>
  <c r="Q72" i="7" s="1"/>
  <c r="S72" i="15"/>
  <c r="AB72" i="15"/>
  <c r="L73" i="15"/>
  <c r="U73" i="15"/>
  <c r="X77" i="15"/>
  <c r="P77" i="15"/>
  <c r="H77" i="15"/>
  <c r="J77" i="15"/>
  <c r="S77" i="15"/>
  <c r="AB77" i="15"/>
  <c r="K78" i="15"/>
  <c r="AC78" i="15"/>
  <c r="M79" i="15"/>
  <c r="V79" i="15"/>
  <c r="V82" i="15"/>
  <c r="N82" i="15"/>
  <c r="I82" i="15"/>
  <c r="R82" i="15"/>
  <c r="AA82" i="15"/>
  <c r="J83" i="15"/>
  <c r="S83" i="15"/>
  <c r="AC83" i="15"/>
  <c r="L84" i="15"/>
  <c r="U84" i="15"/>
  <c r="Z88" i="15"/>
  <c r="R88" i="15"/>
  <c r="J88" i="15"/>
  <c r="I88" i="15"/>
  <c r="AG88" i="15" s="1"/>
  <c r="Q88" i="7" s="1"/>
  <c r="S88" i="15"/>
  <c r="AB88" i="15"/>
  <c r="L89" i="15"/>
  <c r="U89" i="15"/>
  <c r="X93" i="15"/>
  <c r="P93" i="15"/>
  <c r="H93" i="15"/>
  <c r="J93" i="15"/>
  <c r="S93" i="15"/>
  <c r="AB93" i="15"/>
  <c r="K94" i="15"/>
  <c r="AC94" i="15"/>
  <c r="M95" i="15"/>
  <c r="V95" i="15"/>
  <c r="AE95" i="15"/>
  <c r="O95" i="7" s="1"/>
  <c r="V98" i="15"/>
  <c r="N98" i="15"/>
  <c r="I98" i="15"/>
  <c r="AG98" i="15" s="1"/>
  <c r="Q98" i="7" s="1"/>
  <c r="R98" i="15"/>
  <c r="AA98" i="15"/>
  <c r="J99" i="15"/>
  <c r="S99" i="15"/>
  <c r="AC99" i="15"/>
  <c r="L100" i="15"/>
  <c r="U100" i="15"/>
  <c r="AH104" i="15"/>
  <c r="R104" i="7" s="1"/>
  <c r="S104" i="7" s="1"/>
  <c r="Z104" i="15"/>
  <c r="R104" i="15"/>
  <c r="J104" i="15"/>
  <c r="I104" i="15"/>
  <c r="AG104" i="15" s="1"/>
  <c r="Q104" i="7" s="1"/>
  <c r="S104" i="15"/>
  <c r="AB104" i="15"/>
  <c r="L105" i="15"/>
  <c r="U105" i="15"/>
  <c r="X109" i="15"/>
  <c r="P109" i="15"/>
  <c r="H109" i="15"/>
  <c r="J109" i="15"/>
  <c r="S109" i="15"/>
  <c r="AB109" i="15"/>
  <c r="K110" i="15"/>
  <c r="AC110" i="15"/>
  <c r="M111" i="15"/>
  <c r="AF111" i="15" s="1"/>
  <c r="V111" i="15"/>
  <c r="AE111" i="15"/>
  <c r="O111" i="7" s="1"/>
  <c r="V114" i="15"/>
  <c r="N114" i="15"/>
  <c r="I114" i="15"/>
  <c r="AG114" i="15" s="1"/>
  <c r="Q114" i="7" s="1"/>
  <c r="R114" i="15"/>
  <c r="AA114" i="15"/>
  <c r="J115" i="15"/>
  <c r="S115" i="15"/>
  <c r="AC115" i="15"/>
  <c r="L116" i="15"/>
  <c r="U116" i="15"/>
  <c r="Z120" i="15"/>
  <c r="R120" i="15"/>
  <c r="J120" i="15"/>
  <c r="I120" i="15"/>
  <c r="AG120" i="15" s="1"/>
  <c r="Q120" i="7" s="1"/>
  <c r="S120" i="15"/>
  <c r="AB120" i="15"/>
  <c r="L121" i="15"/>
  <c r="U121" i="15"/>
  <c r="X125" i="15"/>
  <c r="P125" i="15"/>
  <c r="H125" i="15"/>
  <c r="J125" i="15"/>
  <c r="S125" i="15"/>
  <c r="AB125" i="15"/>
  <c r="K126" i="15"/>
  <c r="AC126" i="15"/>
  <c r="M127" i="15"/>
  <c r="V127" i="15"/>
  <c r="V130" i="15"/>
  <c r="N130" i="15"/>
  <c r="I130" i="15"/>
  <c r="AG130" i="15" s="1"/>
  <c r="Q130" i="7" s="1"/>
  <c r="R130" i="15"/>
  <c r="AA130" i="15"/>
  <c r="J131" i="15"/>
  <c r="S131" i="15"/>
  <c r="AC131" i="15"/>
  <c r="L132" i="15"/>
  <c r="U132" i="15"/>
  <c r="Z136" i="15"/>
  <c r="R136" i="15"/>
  <c r="J136" i="15"/>
  <c r="I136" i="15"/>
  <c r="AG136" i="15" s="1"/>
  <c r="Q136" i="7" s="1"/>
  <c r="S136" i="15"/>
  <c r="AB136" i="15"/>
  <c r="L137" i="15"/>
  <c r="U137" i="15"/>
  <c r="X141" i="15"/>
  <c r="P141" i="15"/>
  <c r="H141" i="15"/>
  <c r="J141" i="15"/>
  <c r="S141" i="15"/>
  <c r="AB141" i="15"/>
  <c r="K142" i="15"/>
  <c r="AC142" i="15"/>
  <c r="M143" i="15"/>
  <c r="AF143" i="15" s="1"/>
  <c r="V143" i="15"/>
  <c r="AE143" i="15"/>
  <c r="O143" i="7" s="1"/>
  <c r="V146" i="15"/>
  <c r="N146" i="15"/>
  <c r="I146" i="15"/>
  <c r="AG146" i="15" s="1"/>
  <c r="Q146" i="7" s="1"/>
  <c r="R146" i="15"/>
  <c r="AA146" i="15"/>
  <c r="J147" i="15"/>
  <c r="S147" i="15"/>
  <c r="AC147" i="15"/>
  <c r="L148" i="15"/>
  <c r="U148" i="15"/>
  <c r="Z152" i="15"/>
  <c r="R152" i="15"/>
  <c r="J152" i="15"/>
  <c r="I152" i="15"/>
  <c r="AG152" i="15" s="1"/>
  <c r="Q152" i="7" s="1"/>
  <c r="S152" i="15"/>
  <c r="AB152" i="15"/>
  <c r="L153" i="15"/>
  <c r="U153" i="15"/>
  <c r="AF157" i="15"/>
  <c r="X157" i="15"/>
  <c r="AG157" i="15" s="1"/>
  <c r="Q157" i="7" s="1"/>
  <c r="P157" i="15"/>
  <c r="H157" i="15"/>
  <c r="J157" i="15"/>
  <c r="S157" i="15"/>
  <c r="AB157" i="15"/>
  <c r="K158" i="15"/>
  <c r="AC158" i="15"/>
  <c r="M159" i="15"/>
  <c r="V159" i="15"/>
  <c r="V162" i="15"/>
  <c r="N162" i="15"/>
  <c r="I162" i="15"/>
  <c r="R162" i="15"/>
  <c r="AA162" i="15"/>
  <c r="J163" i="15"/>
  <c r="S163" i="15"/>
  <c r="AC163" i="15"/>
  <c r="L164" i="15"/>
  <c r="U164" i="15"/>
  <c r="Z168" i="15"/>
  <c r="R168" i="15"/>
  <c r="J168" i="15"/>
  <c r="I168" i="15"/>
  <c r="AG168" i="15" s="1"/>
  <c r="Q168" i="7" s="1"/>
  <c r="S168" i="15"/>
  <c r="AB168" i="15"/>
  <c r="L169" i="15"/>
  <c r="U169" i="15"/>
  <c r="X173" i="15"/>
  <c r="AG173" i="15" s="1"/>
  <c r="Q173" i="7" s="1"/>
  <c r="P173" i="15"/>
  <c r="H173" i="15"/>
  <c r="AF173" i="15" s="1"/>
  <c r="J173" i="15"/>
  <c r="S173" i="15"/>
  <c r="AB173" i="15"/>
  <c r="K174" i="15"/>
  <c r="AC174" i="15"/>
  <c r="M175" i="15"/>
  <c r="AF175" i="15" s="1"/>
  <c r="V175" i="15"/>
  <c r="AE175" i="15"/>
  <c r="O175" i="7" s="1"/>
  <c r="AD178" i="15"/>
  <c r="V178" i="15"/>
  <c r="N178" i="15"/>
  <c r="I178" i="15"/>
  <c r="R178" i="15"/>
  <c r="AA178" i="15"/>
  <c r="J179" i="15"/>
  <c r="S179" i="15"/>
  <c r="AC179" i="15"/>
  <c r="L180" i="15"/>
  <c r="U180" i="15"/>
  <c r="AD180" i="15"/>
  <c r="AH184" i="15"/>
  <c r="Z184" i="15"/>
  <c r="R184" i="15"/>
  <c r="J184" i="15"/>
  <c r="I184" i="15"/>
  <c r="S184" i="15"/>
  <c r="AB184" i="15"/>
  <c r="L185" i="15"/>
  <c r="U185" i="15"/>
  <c r="AD185" i="15"/>
  <c r="AF189" i="15"/>
  <c r="X189" i="15"/>
  <c r="P189" i="15"/>
  <c r="H189" i="15"/>
  <c r="J189" i="15"/>
  <c r="S189" i="15"/>
  <c r="AB189" i="15"/>
  <c r="K190" i="15"/>
  <c r="T190" i="15"/>
  <c r="AC190" i="15"/>
  <c r="M191" i="15"/>
  <c r="V191" i="15"/>
  <c r="AE191" i="15"/>
  <c r="AD194" i="15"/>
  <c r="V194" i="15"/>
  <c r="N194" i="15"/>
  <c r="I194" i="15"/>
  <c r="R194" i="15"/>
  <c r="AA194" i="15"/>
  <c r="J195" i="15"/>
  <c r="S195" i="15"/>
  <c r="AC195" i="15"/>
  <c r="L196" i="15"/>
  <c r="U196" i="15"/>
  <c r="AD196" i="15"/>
  <c r="AH200" i="15"/>
  <c r="Z200" i="15"/>
  <c r="R200" i="15"/>
  <c r="J200" i="15"/>
  <c r="I200" i="15"/>
  <c r="S200" i="15"/>
  <c r="AB200" i="15"/>
  <c r="L201" i="15"/>
  <c r="U201" i="15"/>
  <c r="AD201" i="15"/>
  <c r="AF205" i="15"/>
  <c r="X205" i="15"/>
  <c r="P205" i="15"/>
  <c r="H205" i="15"/>
  <c r="J205" i="15"/>
  <c r="S205" i="15"/>
  <c r="AB205" i="15"/>
  <c r="K206" i="15"/>
  <c r="T206" i="15"/>
  <c r="AC206" i="15"/>
  <c r="M207" i="15"/>
  <c r="V207" i="15"/>
  <c r="AE207" i="15"/>
  <c r="AD210" i="15"/>
  <c r="V210" i="15"/>
  <c r="N210" i="15"/>
  <c r="I210" i="15"/>
  <c r="R210" i="15"/>
  <c r="AA210" i="15"/>
  <c r="J211" i="15"/>
  <c r="S211" i="15"/>
  <c r="AC211" i="15"/>
  <c r="L212" i="15"/>
  <c r="U212" i="15"/>
  <c r="AD212" i="15"/>
  <c r="AH216" i="15"/>
  <c r="Z216" i="15"/>
  <c r="R216" i="15"/>
  <c r="J216" i="15"/>
  <c r="I216" i="15"/>
  <c r="S216" i="15"/>
  <c r="AB216" i="15"/>
  <c r="L217" i="15"/>
  <c r="U217" i="15"/>
  <c r="AD217" i="15"/>
  <c r="AF221" i="15"/>
  <c r="X221" i="15"/>
  <c r="P221" i="15"/>
  <c r="H221" i="15"/>
  <c r="J221" i="15"/>
  <c r="S221" i="15"/>
  <c r="AB221" i="15"/>
  <c r="K222" i="15"/>
  <c r="T222" i="15"/>
  <c r="AC222" i="15"/>
  <c r="M223" i="15"/>
  <c r="V223" i="15"/>
  <c r="AE223" i="15"/>
  <c r="AD226" i="15"/>
  <c r="V226" i="15"/>
  <c r="N226" i="15"/>
  <c r="I226" i="15"/>
  <c r="R226" i="15"/>
  <c r="AA226" i="15"/>
  <c r="J227" i="15"/>
  <c r="S227" i="15"/>
  <c r="AC227" i="15"/>
  <c r="L228" i="15"/>
  <c r="U228" i="15"/>
  <c r="AD228" i="15"/>
  <c r="AH232" i="15"/>
  <c r="Z232" i="15"/>
  <c r="R232" i="15"/>
  <c r="J232" i="15"/>
  <c r="I232" i="15"/>
  <c r="S232" i="15"/>
  <c r="AB232" i="15"/>
  <c r="L233" i="15"/>
  <c r="U233" i="15"/>
  <c r="AD233" i="15"/>
  <c r="AF237" i="15"/>
  <c r="X237" i="15"/>
  <c r="P237" i="15"/>
  <c r="H237" i="15"/>
  <c r="J237" i="15"/>
  <c r="S237" i="15"/>
  <c r="AB237" i="15"/>
  <c r="K238" i="15"/>
  <c r="T238" i="15"/>
  <c r="AC238" i="15"/>
  <c r="M239" i="15"/>
  <c r="V239" i="15"/>
  <c r="AE239" i="15"/>
  <c r="AD242" i="15"/>
  <c r="V242" i="15"/>
  <c r="N242" i="15"/>
  <c r="I242" i="15"/>
  <c r="R242" i="15"/>
  <c r="AA242" i="15"/>
  <c r="J243" i="15"/>
  <c r="S243" i="15"/>
  <c r="AC243" i="15"/>
  <c r="L244" i="15"/>
  <c r="U244" i="15"/>
  <c r="AD244" i="15"/>
  <c r="AH248" i="15"/>
  <c r="Z248" i="15"/>
  <c r="R248" i="15"/>
  <c r="J248" i="15"/>
  <c r="I248" i="15"/>
  <c r="S248" i="15"/>
  <c r="AB248" i="15"/>
  <c r="L249" i="15"/>
  <c r="U249" i="15"/>
  <c r="AD249" i="15"/>
  <c r="AF253" i="15"/>
  <c r="X253" i="15"/>
  <c r="P253" i="15"/>
  <c r="H253" i="15"/>
  <c r="J253" i="15"/>
  <c r="S253" i="15"/>
  <c r="AB253" i="15"/>
  <c r="K254" i="15"/>
  <c r="T254" i="15"/>
  <c r="AC254" i="15"/>
  <c r="M255" i="15"/>
  <c r="V255" i="15"/>
  <c r="AE255" i="15"/>
  <c r="AD258" i="15"/>
  <c r="V258" i="15"/>
  <c r="N258" i="15"/>
  <c r="I258" i="15"/>
  <c r="R258" i="15"/>
  <c r="AA258" i="15"/>
  <c r="J259" i="15"/>
  <c r="S259" i="15"/>
  <c r="AC259" i="15"/>
  <c r="L260" i="15"/>
  <c r="U260" i="15"/>
  <c r="AD260" i="15"/>
  <c r="AH264" i="15"/>
  <c r="Z264" i="15"/>
  <c r="R264" i="15"/>
  <c r="J264" i="15"/>
  <c r="I264" i="15"/>
  <c r="S264" i="15"/>
  <c r="AB264" i="15"/>
  <c r="L265" i="15"/>
  <c r="U265" i="15"/>
  <c r="AD265" i="15"/>
  <c r="AF269" i="15"/>
  <c r="X269" i="15"/>
  <c r="P269" i="15"/>
  <c r="H269" i="15"/>
  <c r="J269" i="15"/>
  <c r="S269" i="15"/>
  <c r="AB269" i="15"/>
  <c r="K270" i="15"/>
  <c r="T270" i="15"/>
  <c r="AC270" i="15"/>
  <c r="M271" i="15"/>
  <c r="V271" i="15"/>
  <c r="AE271" i="15"/>
  <c r="AD274" i="15"/>
  <c r="V274" i="15"/>
  <c r="N274" i="15"/>
  <c r="I274" i="15"/>
  <c r="R274" i="15"/>
  <c r="AA274" i="15"/>
  <c r="J275" i="15"/>
  <c r="S275" i="15"/>
  <c r="AC275" i="15"/>
  <c r="L276" i="15"/>
  <c r="U276" i="15"/>
  <c r="AD276" i="15"/>
  <c r="AH280" i="15"/>
  <c r="Z280" i="15"/>
  <c r="R280" i="15"/>
  <c r="J280" i="15"/>
  <c r="I280" i="15"/>
  <c r="S280" i="15"/>
  <c r="AB280" i="15"/>
  <c r="L281" i="15"/>
  <c r="U281" i="15"/>
  <c r="AD281" i="15"/>
  <c r="AF285" i="15"/>
  <c r="X285" i="15"/>
  <c r="P285" i="15"/>
  <c r="H285" i="15"/>
  <c r="J285" i="15"/>
  <c r="S285" i="15"/>
  <c r="AB285" i="15"/>
  <c r="K286" i="15"/>
  <c r="T286" i="15"/>
  <c r="AC286" i="15"/>
  <c r="M287" i="15"/>
  <c r="V287" i="15"/>
  <c r="AE287" i="15"/>
  <c r="AD290" i="15"/>
  <c r="V290" i="15"/>
  <c r="N290" i="15"/>
  <c r="I290" i="15"/>
  <c r="R290" i="15"/>
  <c r="AA290" i="15"/>
  <c r="J291" i="15"/>
  <c r="S291" i="15"/>
  <c r="AC291" i="15"/>
  <c r="L292" i="15"/>
  <c r="U292" i="15"/>
  <c r="AD292" i="15"/>
  <c r="AH296" i="15"/>
  <c r="Z296" i="15"/>
  <c r="R296" i="15"/>
  <c r="J296" i="15"/>
  <c r="I296" i="15"/>
  <c r="S296" i="15"/>
  <c r="AB296" i="15"/>
  <c r="L297" i="15"/>
  <c r="U297" i="15"/>
  <c r="AD297" i="15"/>
  <c r="AF301" i="15"/>
  <c r="X301" i="15"/>
  <c r="P301" i="15"/>
  <c r="H301" i="15"/>
  <c r="J301" i="15"/>
  <c r="S301" i="15"/>
  <c r="AB301" i="15"/>
  <c r="K302" i="15"/>
  <c r="T302" i="15"/>
  <c r="AC302" i="15"/>
  <c r="M303" i="15"/>
  <c r="V303" i="15"/>
  <c r="AE303" i="15"/>
  <c r="AD306" i="15"/>
  <c r="V306" i="15"/>
  <c r="N306" i="15"/>
  <c r="I306" i="15"/>
  <c r="R306" i="15"/>
  <c r="AA306" i="15"/>
  <c r="J307" i="15"/>
  <c r="S307" i="15"/>
  <c r="AC307" i="15"/>
  <c r="L308" i="15"/>
  <c r="U308" i="15"/>
  <c r="AD308" i="15"/>
  <c r="AH312" i="15"/>
  <c r="Z312" i="15"/>
  <c r="R312" i="15"/>
  <c r="J312" i="15"/>
  <c r="I312" i="15"/>
  <c r="S312" i="15"/>
  <c r="AB312" i="15"/>
  <c r="L313" i="15"/>
  <c r="U313" i="15"/>
  <c r="AD313" i="15"/>
  <c r="AF317" i="15"/>
  <c r="X317" i="15"/>
  <c r="P317" i="15"/>
  <c r="H317" i="15"/>
  <c r="J317" i="15"/>
  <c r="S317" i="15"/>
  <c r="AB317" i="15"/>
  <c r="K318" i="15"/>
  <c r="T318" i="15"/>
  <c r="AC318" i="15"/>
  <c r="M319" i="15"/>
  <c r="V319" i="15"/>
  <c r="AE319" i="15"/>
  <c r="AD322" i="15"/>
  <c r="V322" i="15"/>
  <c r="N322" i="15"/>
  <c r="I322" i="15"/>
  <c r="R322" i="15"/>
  <c r="AA322" i="15"/>
  <c r="J323" i="15"/>
  <c r="S323" i="15"/>
  <c r="AC323" i="15"/>
  <c r="L324" i="15"/>
  <c r="U324" i="15"/>
  <c r="AD324" i="15"/>
  <c r="AH328" i="15"/>
  <c r="Z328" i="15"/>
  <c r="R328" i="15"/>
  <c r="J328" i="15"/>
  <c r="I328" i="15"/>
  <c r="S328" i="15"/>
  <c r="AB328" i="15"/>
  <c r="L329" i="15"/>
  <c r="U329" i="15"/>
  <c r="AD329" i="15"/>
  <c r="AF333" i="15"/>
  <c r="X333" i="15"/>
  <c r="P333" i="15"/>
  <c r="H333" i="15"/>
  <c r="J333" i="15"/>
  <c r="S333" i="15"/>
  <c r="AB333" i="15"/>
  <c r="K334" i="15"/>
  <c r="T334" i="15"/>
  <c r="AC334" i="15"/>
  <c r="M335" i="15"/>
  <c r="V335" i="15"/>
  <c r="AE335" i="15"/>
  <c r="AD338" i="15"/>
  <c r="V338" i="15"/>
  <c r="N338" i="15"/>
  <c r="I338" i="15"/>
  <c r="R338" i="15"/>
  <c r="AA338" i="15"/>
  <c r="J339" i="15"/>
  <c r="S339" i="15"/>
  <c r="AC339" i="15"/>
  <c r="L340" i="15"/>
  <c r="U340" i="15"/>
  <c r="AD340" i="15"/>
  <c r="AH344" i="15"/>
  <c r="Z344" i="15"/>
  <c r="R344" i="15"/>
  <c r="J344" i="15"/>
  <c r="I344" i="15"/>
  <c r="S344" i="15"/>
  <c r="AB344" i="15"/>
  <c r="L345" i="15"/>
  <c r="U345" i="15"/>
  <c r="AD345" i="15"/>
  <c r="AF349" i="15"/>
  <c r="X349" i="15"/>
  <c r="P349" i="15"/>
  <c r="H349" i="15"/>
  <c r="J349" i="15"/>
  <c r="S349" i="15"/>
  <c r="AB349" i="15"/>
  <c r="K350" i="15"/>
  <c r="T350" i="15"/>
  <c r="AC350" i="15"/>
  <c r="M351" i="15"/>
  <c r="V351" i="15"/>
  <c r="AE351" i="15"/>
  <c r="AD354" i="15"/>
  <c r="V354" i="15"/>
  <c r="N354" i="15"/>
  <c r="I354" i="15"/>
  <c r="R354" i="15"/>
  <c r="AA354" i="15"/>
  <c r="J355" i="15"/>
  <c r="S355" i="15"/>
  <c r="AC355" i="15"/>
  <c r="L356" i="15"/>
  <c r="U356" i="15"/>
  <c r="AD356" i="15"/>
  <c r="AH360" i="15"/>
  <c r="Z360" i="15"/>
  <c r="R360" i="15"/>
  <c r="J360" i="15"/>
  <c r="I360" i="15"/>
  <c r="S360" i="15"/>
  <c r="AB360" i="15"/>
  <c r="L361" i="15"/>
  <c r="U361" i="15"/>
  <c r="AD361" i="15"/>
  <c r="AF365" i="15"/>
  <c r="X365" i="15"/>
  <c r="P365" i="15"/>
  <c r="H365" i="15"/>
  <c r="J365" i="15"/>
  <c r="S365" i="15"/>
  <c r="AB365" i="15"/>
  <c r="K366" i="15"/>
  <c r="T366" i="15"/>
  <c r="AC366" i="15"/>
  <c r="M367" i="15"/>
  <c r="V367" i="15"/>
  <c r="AE367" i="15"/>
  <c r="AD370" i="15"/>
  <c r="V370" i="15"/>
  <c r="N370" i="15"/>
  <c r="I370" i="15"/>
  <c r="R370" i="15"/>
  <c r="AA370" i="15"/>
  <c r="S371" i="15"/>
  <c r="AC371" i="15"/>
  <c r="L372" i="15"/>
  <c r="U372" i="15"/>
  <c r="AD372" i="15"/>
  <c r="AH376" i="15"/>
  <c r="Z376" i="15"/>
  <c r="R376" i="15"/>
  <c r="J376" i="15"/>
  <c r="I376" i="15"/>
  <c r="S376" i="15"/>
  <c r="AB376" i="15"/>
  <c r="L377" i="15"/>
  <c r="U377" i="15"/>
  <c r="AD377" i="15"/>
  <c r="AF381" i="15"/>
  <c r="X381" i="15"/>
  <c r="P381" i="15"/>
  <c r="H381" i="15"/>
  <c r="J381" i="15"/>
  <c r="S381" i="15"/>
  <c r="AB381" i="15"/>
  <c r="K382" i="15"/>
  <c r="T382" i="15"/>
  <c r="AC382" i="15"/>
  <c r="M383" i="15"/>
  <c r="V383" i="15"/>
  <c r="AE383" i="15"/>
  <c r="AD386" i="15"/>
  <c r="V386" i="15"/>
  <c r="N386" i="15"/>
  <c r="I386" i="15"/>
  <c r="R386" i="15"/>
  <c r="AA386" i="15"/>
  <c r="J387" i="15"/>
  <c r="S387" i="15"/>
  <c r="AC387" i="15"/>
  <c r="L388" i="15"/>
  <c r="U388" i="15"/>
  <c r="AD388" i="15"/>
  <c r="AH392" i="15"/>
  <c r="Z392" i="15"/>
  <c r="R392" i="15"/>
  <c r="J392" i="15"/>
  <c r="I392" i="15"/>
  <c r="S392" i="15"/>
  <c r="AB392" i="15"/>
  <c r="L393" i="15"/>
  <c r="U393" i="15"/>
  <c r="AD393" i="15"/>
  <c r="AF397" i="15"/>
  <c r="X397" i="15"/>
  <c r="P397" i="15"/>
  <c r="H397" i="15"/>
  <c r="J397" i="15"/>
  <c r="S397" i="15"/>
  <c r="AB397" i="15"/>
  <c r="K398" i="15"/>
  <c r="T398" i="15"/>
  <c r="AC398" i="15"/>
  <c r="M399" i="15"/>
  <c r="V399" i="15"/>
  <c r="AE399" i="15"/>
  <c r="AD402" i="15"/>
  <c r="V402" i="15"/>
  <c r="N402" i="15"/>
  <c r="I402" i="15"/>
  <c r="R402" i="15"/>
  <c r="AA402" i="15"/>
  <c r="J403" i="15"/>
  <c r="S403" i="15"/>
  <c r="AC403" i="15"/>
  <c r="L404" i="15"/>
  <c r="U404" i="15"/>
  <c r="AD404" i="15"/>
  <c r="AH408" i="15"/>
  <c r="Z408" i="15"/>
  <c r="R408" i="15"/>
  <c r="J408" i="15"/>
  <c r="I408" i="15"/>
  <c r="S408" i="15"/>
  <c r="AB408" i="15"/>
  <c r="L409" i="15"/>
  <c r="U409" i="15"/>
  <c r="AD409" i="15"/>
  <c r="AF413" i="15"/>
  <c r="X413" i="15"/>
  <c r="P413" i="15"/>
  <c r="H413" i="15"/>
  <c r="J413" i="15"/>
  <c r="S413" i="15"/>
  <c r="AB413" i="15"/>
  <c r="K414" i="15"/>
  <c r="T414" i="15"/>
  <c r="AC414" i="15"/>
  <c r="M415" i="15"/>
  <c r="V415" i="15"/>
  <c r="AE415" i="15"/>
  <c r="AD418" i="15"/>
  <c r="V418" i="15"/>
  <c r="N418" i="15"/>
  <c r="I418" i="15"/>
  <c r="R418" i="15"/>
  <c r="AA418" i="15"/>
  <c r="J419" i="15"/>
  <c r="S419" i="15"/>
  <c r="AC419" i="15"/>
  <c r="L420" i="15"/>
  <c r="U420" i="15"/>
  <c r="AD420" i="15"/>
  <c r="AH424" i="15"/>
  <c r="Z424" i="15"/>
  <c r="R424" i="15"/>
  <c r="J424" i="15"/>
  <c r="I424" i="15"/>
  <c r="S424" i="15"/>
  <c r="AB424" i="15"/>
  <c r="U425" i="15"/>
  <c r="AD425" i="15"/>
  <c r="AF429" i="15"/>
  <c r="X429" i="15"/>
  <c r="P429" i="15"/>
  <c r="H429" i="15"/>
  <c r="J429" i="15"/>
  <c r="S429" i="15"/>
  <c r="AB429" i="15"/>
  <c r="K430" i="15"/>
  <c r="T430" i="15"/>
  <c r="AC430" i="15"/>
  <c r="M431" i="15"/>
  <c r="V431" i="15"/>
  <c r="AE431" i="15"/>
  <c r="AD434" i="15"/>
  <c r="V434" i="15"/>
  <c r="N434" i="15"/>
  <c r="I434" i="15"/>
  <c r="R434" i="15"/>
  <c r="AA434" i="15"/>
  <c r="J435" i="15"/>
  <c r="S435" i="15"/>
  <c r="AC435" i="15"/>
  <c r="L436" i="15"/>
  <c r="U436" i="15"/>
  <c r="AD436" i="15"/>
  <c r="AH440" i="15"/>
  <c r="Z440" i="15"/>
  <c r="R440" i="15"/>
  <c r="J440" i="15"/>
  <c r="I440" i="15"/>
  <c r="S440" i="15"/>
  <c r="AB440" i="15"/>
  <c r="L441" i="15"/>
  <c r="U441" i="15"/>
  <c r="AD441" i="15"/>
  <c r="AF445" i="15"/>
  <c r="X445" i="15"/>
  <c r="P445" i="15"/>
  <c r="H445" i="15"/>
  <c r="J445" i="15"/>
  <c r="S445" i="15"/>
  <c r="AB445" i="15"/>
  <c r="K446" i="15"/>
  <c r="T446" i="15"/>
  <c r="AC446" i="15"/>
  <c r="M447" i="15"/>
  <c r="V447" i="15"/>
  <c r="AE447" i="15"/>
  <c r="AD450" i="15"/>
  <c r="V450" i="15"/>
  <c r="N450" i="15"/>
  <c r="I450" i="15"/>
  <c r="R450" i="15"/>
  <c r="AA450" i="15"/>
  <c r="J451" i="15"/>
  <c r="S451" i="15"/>
  <c r="AC451" i="15"/>
  <c r="L452" i="15"/>
  <c r="U452" i="15"/>
  <c r="AD452" i="15"/>
  <c r="AH456" i="15"/>
  <c r="Z456" i="15"/>
  <c r="R456" i="15"/>
  <c r="J456" i="15"/>
  <c r="I456" i="15"/>
  <c r="S456" i="15"/>
  <c r="AB456" i="15"/>
  <c r="L457" i="15"/>
  <c r="U457" i="15"/>
  <c r="AD457" i="15"/>
  <c r="AF461" i="15"/>
  <c r="X461" i="15"/>
  <c r="P461" i="15"/>
  <c r="H461" i="15"/>
  <c r="J461" i="15"/>
  <c r="S461" i="15"/>
  <c r="AB461" i="15"/>
  <c r="K462" i="15"/>
  <c r="T462" i="15"/>
  <c r="AC462" i="15"/>
  <c r="M463" i="15"/>
  <c r="V463" i="15"/>
  <c r="AE463" i="15"/>
  <c r="AD466" i="15"/>
  <c r="V466" i="15"/>
  <c r="N466" i="15"/>
  <c r="I466" i="15"/>
  <c r="R466" i="15"/>
  <c r="AA466" i="15"/>
  <c r="J467" i="15"/>
  <c r="S467" i="15"/>
  <c r="AC467" i="15"/>
  <c r="L468" i="15"/>
  <c r="U468" i="15"/>
  <c r="AD468" i="15"/>
  <c r="AH472" i="15"/>
  <c r="Z472" i="15"/>
  <c r="R472" i="15"/>
  <c r="J472" i="15"/>
  <c r="I472" i="15"/>
  <c r="S472" i="15"/>
  <c r="AB472" i="15"/>
  <c r="L473" i="15"/>
  <c r="U473" i="15"/>
  <c r="AD473" i="15"/>
  <c r="AF477" i="15"/>
  <c r="X477" i="15"/>
  <c r="P477" i="15"/>
  <c r="H477" i="15"/>
  <c r="J477" i="15"/>
  <c r="S477" i="15"/>
  <c r="AB477" i="15"/>
  <c r="K478" i="15"/>
  <c r="T478" i="15"/>
  <c r="AC478" i="15"/>
  <c r="M479" i="15"/>
  <c r="V479" i="15"/>
  <c r="AE479" i="15"/>
  <c r="AD482" i="15"/>
  <c r="V482" i="15"/>
  <c r="N482" i="15"/>
  <c r="I482" i="15"/>
  <c r="R482" i="15"/>
  <c r="AA482" i="15"/>
  <c r="J483" i="15"/>
  <c r="S483" i="15"/>
  <c r="AC483" i="15"/>
  <c r="L484" i="15"/>
  <c r="U484" i="15"/>
  <c r="AD484" i="15"/>
  <c r="AH488" i="15"/>
  <c r="Z488" i="15"/>
  <c r="R488" i="15"/>
  <c r="J488" i="15"/>
  <c r="I488" i="15"/>
  <c r="S488" i="15"/>
  <c r="AB488" i="15"/>
  <c r="L489" i="15"/>
  <c r="U489" i="15"/>
  <c r="AD489" i="15"/>
  <c r="AF493" i="15"/>
  <c r="X493" i="15"/>
  <c r="P493" i="15"/>
  <c r="H493" i="15"/>
  <c r="J493" i="15"/>
  <c r="S493" i="15"/>
  <c r="AB493" i="15"/>
  <c r="K494" i="15"/>
  <c r="T494" i="15"/>
  <c r="AC494" i="15"/>
  <c r="M495" i="15"/>
  <c r="V495" i="15"/>
  <c r="AE495" i="15"/>
  <c r="AD498" i="15"/>
  <c r="V498" i="15"/>
  <c r="N498" i="15"/>
  <c r="I498" i="15"/>
  <c r="R498" i="15"/>
  <c r="AA498" i="15"/>
  <c r="J499" i="15"/>
  <c r="S499" i="15"/>
  <c r="AC499" i="15"/>
  <c r="L500" i="15"/>
  <c r="U500" i="15"/>
  <c r="AD500" i="15"/>
  <c r="AH504" i="15"/>
  <c r="Z504" i="15"/>
  <c r="R504" i="15"/>
  <c r="J504" i="15"/>
  <c r="I504" i="15"/>
  <c r="S504" i="15"/>
  <c r="AB504" i="15"/>
  <c r="L505" i="15"/>
  <c r="U505" i="15"/>
  <c r="AD505" i="15"/>
  <c r="AF509" i="15"/>
  <c r="X509" i="15"/>
  <c r="P509" i="15"/>
  <c r="H509" i="15"/>
  <c r="J509" i="15"/>
  <c r="S509" i="15"/>
  <c r="AB509" i="15"/>
  <c r="K510" i="15"/>
  <c r="T510" i="15"/>
  <c r="AC510" i="15"/>
  <c r="M511" i="15"/>
  <c r="V511" i="15"/>
  <c r="AE511" i="15"/>
  <c r="AD514" i="15"/>
  <c r="V514" i="15"/>
  <c r="N514" i="15"/>
  <c r="I514" i="15"/>
  <c r="R514" i="15"/>
  <c r="AA514" i="15"/>
  <c r="S515" i="15"/>
  <c r="AC515" i="15"/>
  <c r="L516" i="15"/>
  <c r="U516" i="15"/>
  <c r="AD516" i="15"/>
  <c r="AH520" i="15"/>
  <c r="Z520" i="15"/>
  <c r="R520" i="15"/>
  <c r="J520" i="15"/>
  <c r="I520" i="15"/>
  <c r="S520" i="15"/>
  <c r="AB520" i="15"/>
  <c r="L521" i="15"/>
  <c r="U521" i="15"/>
  <c r="AD521" i="15"/>
  <c r="AF525" i="15"/>
  <c r="X525" i="15"/>
  <c r="P525" i="15"/>
  <c r="H525" i="15"/>
  <c r="J525" i="15"/>
  <c r="S525" i="15"/>
  <c r="AB525" i="15"/>
  <c r="K526" i="15"/>
  <c r="T526" i="15"/>
  <c r="AC526" i="15"/>
  <c r="M527" i="15"/>
  <c r="V527" i="15"/>
  <c r="AE527" i="15"/>
  <c r="AD530" i="15"/>
  <c r="V530" i="15"/>
  <c r="N530" i="15"/>
  <c r="I530" i="15"/>
  <c r="R530" i="15"/>
  <c r="AA530" i="15"/>
  <c r="J531" i="15"/>
  <c r="S531" i="15"/>
  <c r="AC531" i="15"/>
  <c r="L532" i="15"/>
  <c r="U532" i="15"/>
  <c r="AD532" i="15"/>
  <c r="AH536" i="15"/>
  <c r="Z536" i="15"/>
  <c r="R536" i="15"/>
  <c r="J536" i="15"/>
  <c r="I536" i="15"/>
  <c r="S536" i="15"/>
  <c r="AB536" i="15"/>
  <c r="L537" i="15"/>
  <c r="U537" i="15"/>
  <c r="AD537" i="15"/>
  <c r="AF541" i="15"/>
  <c r="X541" i="15"/>
  <c r="P541" i="15"/>
  <c r="H541" i="15"/>
  <c r="J541" i="15"/>
  <c r="S541" i="15"/>
  <c r="AB541" i="15"/>
  <c r="K542" i="15"/>
  <c r="T542" i="15"/>
  <c r="AC542" i="15"/>
  <c r="M543" i="15"/>
  <c r="V543" i="15"/>
  <c r="AE543" i="15"/>
  <c r="AD546" i="15"/>
  <c r="V546" i="15"/>
  <c r="N546" i="15"/>
  <c r="I546" i="15"/>
  <c r="R546" i="15"/>
  <c r="AA546" i="15"/>
  <c r="AC547" i="15"/>
  <c r="L548" i="15"/>
  <c r="U548" i="15"/>
  <c r="AD548" i="15"/>
  <c r="AH552" i="15"/>
  <c r="Z552" i="15"/>
  <c r="R552" i="15"/>
  <c r="J552" i="15"/>
  <c r="I552" i="15"/>
  <c r="S552" i="15"/>
  <c r="AB552" i="15"/>
  <c r="L553" i="15"/>
  <c r="U553" i="15"/>
  <c r="AD553" i="15"/>
  <c r="AF557" i="15"/>
  <c r="X557" i="15"/>
  <c r="P557" i="15"/>
  <c r="H557" i="15"/>
  <c r="J557" i="15"/>
  <c r="S557" i="15"/>
  <c r="AB557" i="15"/>
  <c r="K558" i="15"/>
  <c r="T558" i="15"/>
  <c r="AC558" i="15"/>
  <c r="M559" i="15"/>
  <c r="V559" i="15"/>
  <c r="AE559" i="15"/>
  <c r="AD562" i="15"/>
  <c r="V562" i="15"/>
  <c r="N562" i="15"/>
  <c r="I562" i="15"/>
  <c r="R562" i="15"/>
  <c r="AA562" i="15"/>
  <c r="J563" i="15"/>
  <c r="S563" i="15"/>
  <c r="AC563" i="15"/>
  <c r="L564" i="15"/>
  <c r="U564" i="15"/>
  <c r="AD564" i="15"/>
  <c r="AH568" i="15"/>
  <c r="Z568" i="15"/>
  <c r="R568" i="15"/>
  <c r="J568" i="15"/>
  <c r="I568" i="15"/>
  <c r="S568" i="15"/>
  <c r="AB568" i="15"/>
  <c r="L569" i="15"/>
  <c r="U569" i="15"/>
  <c r="AD569" i="15"/>
  <c r="AF573" i="15"/>
  <c r="X573" i="15"/>
  <c r="P573" i="15"/>
  <c r="H573" i="15"/>
  <c r="J573" i="15"/>
  <c r="S573" i="15"/>
  <c r="AB573" i="15"/>
  <c r="K574" i="15"/>
  <c r="T574" i="15"/>
  <c r="AC574" i="15"/>
  <c r="M575" i="15"/>
  <c r="V575" i="15"/>
  <c r="AE575" i="15"/>
  <c r="AD578" i="15"/>
  <c r="V578" i="15"/>
  <c r="N578" i="15"/>
  <c r="I578" i="15"/>
  <c r="R578" i="15"/>
  <c r="AA578" i="15"/>
  <c r="J579" i="15"/>
  <c r="S579" i="15"/>
  <c r="AC579" i="15"/>
  <c r="L580" i="15"/>
  <c r="U580" i="15"/>
  <c r="AD580" i="15"/>
  <c r="AH584" i="15"/>
  <c r="Z584" i="15"/>
  <c r="R584" i="15"/>
  <c r="J584" i="15"/>
  <c r="I584" i="15"/>
  <c r="S584" i="15"/>
  <c r="AB584" i="15"/>
  <c r="AF589" i="15"/>
  <c r="X589" i="15"/>
  <c r="P589" i="15"/>
  <c r="H589" i="15"/>
  <c r="J589" i="15"/>
  <c r="S589" i="15"/>
  <c r="AB589" i="15"/>
  <c r="M591" i="15"/>
  <c r="V591" i="15"/>
  <c r="AE591" i="15"/>
  <c r="AD594" i="15"/>
  <c r="V594" i="15"/>
  <c r="N594" i="15"/>
  <c r="I594" i="15"/>
  <c r="R594" i="15"/>
  <c r="AA594" i="15"/>
  <c r="AH600" i="15"/>
  <c r="Z600" i="15"/>
  <c r="R600" i="15"/>
  <c r="J600" i="15"/>
  <c r="I600" i="15"/>
  <c r="S600" i="15"/>
  <c r="AB600" i="15"/>
  <c r="AF605" i="15"/>
  <c r="X605" i="15"/>
  <c r="P605" i="15"/>
  <c r="H605" i="15"/>
  <c r="J605" i="15"/>
  <c r="S605" i="15"/>
  <c r="AB605" i="15"/>
  <c r="M607" i="15"/>
  <c r="V607" i="15"/>
  <c r="AE607" i="15"/>
  <c r="AD610" i="15"/>
  <c r="V610" i="15"/>
  <c r="N610" i="15"/>
  <c r="I610" i="15"/>
  <c r="R610" i="15"/>
  <c r="AA610" i="15"/>
  <c r="AH616" i="15"/>
  <c r="Z616" i="15"/>
  <c r="R616" i="15"/>
  <c r="J616" i="15"/>
  <c r="I616" i="15"/>
  <c r="S616" i="15"/>
  <c r="AB616" i="15"/>
  <c r="AF621" i="15"/>
  <c r="X621" i="15"/>
  <c r="P621" i="15"/>
  <c r="H621" i="15"/>
  <c r="J621" i="15"/>
  <c r="S621" i="15"/>
  <c r="AB621" i="15"/>
  <c r="M623" i="15"/>
  <c r="V623" i="15"/>
  <c r="AE623" i="15"/>
  <c r="AD626" i="15"/>
  <c r="V626" i="15"/>
  <c r="N626" i="15"/>
  <c r="I626" i="15"/>
  <c r="R626" i="15"/>
  <c r="AA626" i="15"/>
  <c r="AH632" i="15"/>
  <c r="Z632" i="15"/>
  <c r="R632" i="15"/>
  <c r="J632" i="15"/>
  <c r="I632" i="15"/>
  <c r="S632" i="15"/>
  <c r="AB632" i="15"/>
  <c r="AF637" i="15"/>
  <c r="X637" i="15"/>
  <c r="P637" i="15"/>
  <c r="H637" i="15"/>
  <c r="J637" i="15"/>
  <c r="S637" i="15"/>
  <c r="AB637" i="15"/>
  <c r="K638" i="15"/>
  <c r="T638" i="15"/>
  <c r="AC638" i="15"/>
  <c r="M639" i="15"/>
  <c r="V639" i="15"/>
  <c r="AE639" i="15"/>
  <c r="AD642" i="15"/>
  <c r="V642" i="15"/>
  <c r="N642" i="15"/>
  <c r="I642" i="15"/>
  <c r="R642" i="15"/>
  <c r="AA642" i="15"/>
  <c r="J643" i="15"/>
  <c r="S643" i="15"/>
  <c r="AC643" i="15"/>
  <c r="L644" i="15"/>
  <c r="U644" i="15"/>
  <c r="AD644" i="15"/>
  <c r="AH648" i="15"/>
  <c r="Z648" i="15"/>
  <c r="R648" i="15"/>
  <c r="J648" i="15"/>
  <c r="I648" i="15"/>
  <c r="S648" i="15"/>
  <c r="AB648" i="15"/>
  <c r="L649" i="15"/>
  <c r="U649" i="15"/>
  <c r="AD649" i="15"/>
  <c r="AF653" i="15"/>
  <c r="X653" i="15"/>
  <c r="P653" i="15"/>
  <c r="H653" i="15"/>
  <c r="J653" i="15"/>
  <c r="S653" i="15"/>
  <c r="AB653" i="15"/>
  <c r="K654" i="15"/>
  <c r="T654" i="15"/>
  <c r="AC654" i="15"/>
  <c r="M655" i="15"/>
  <c r="V655" i="15"/>
  <c r="AE655" i="15"/>
  <c r="AD658" i="15"/>
  <c r="V658" i="15"/>
  <c r="N658" i="15"/>
  <c r="I658" i="15"/>
  <c r="R658" i="15"/>
  <c r="AA658" i="15"/>
  <c r="J659" i="15"/>
  <c r="S659" i="15"/>
  <c r="AC659" i="15"/>
  <c r="L660" i="15"/>
  <c r="U660" i="15"/>
  <c r="AD660" i="15"/>
  <c r="AH664" i="15"/>
  <c r="Z664" i="15"/>
  <c r="R664" i="15"/>
  <c r="J664" i="15"/>
  <c r="I664" i="15"/>
  <c r="S664" i="15"/>
  <c r="AB664" i="15"/>
  <c r="L665" i="15"/>
  <c r="U665" i="15"/>
  <c r="AD665" i="15"/>
  <c r="AF669" i="15"/>
  <c r="X669" i="15"/>
  <c r="P669" i="15"/>
  <c r="H669" i="15"/>
  <c r="J669" i="15"/>
  <c r="S669" i="15"/>
  <c r="AB669" i="15"/>
  <c r="K670" i="15"/>
  <c r="T670" i="15"/>
  <c r="AC670" i="15"/>
  <c r="M671" i="15"/>
  <c r="V671" i="15"/>
  <c r="AE671" i="15"/>
  <c r="AD674" i="15"/>
  <c r="V674" i="15"/>
  <c r="N674" i="15"/>
  <c r="I674" i="15"/>
  <c r="R674" i="15"/>
  <c r="AA674" i="15"/>
  <c r="J675" i="15"/>
  <c r="S675" i="15"/>
  <c r="AC675" i="15"/>
  <c r="L676" i="15"/>
  <c r="U676" i="15"/>
  <c r="AD676" i="15"/>
  <c r="AH680" i="15"/>
  <c r="Z680" i="15"/>
  <c r="R680" i="15"/>
  <c r="J680" i="15"/>
  <c r="I680" i="15"/>
  <c r="S680" i="15"/>
  <c r="AB680" i="15"/>
  <c r="L681" i="15"/>
  <c r="U681" i="15"/>
  <c r="AD681" i="15"/>
  <c r="AF685" i="15"/>
  <c r="X685" i="15"/>
  <c r="P685" i="15"/>
  <c r="H685" i="15"/>
  <c r="J685" i="15"/>
  <c r="S685" i="15"/>
  <c r="AB685" i="15"/>
  <c r="K686" i="15"/>
  <c r="T686" i="15"/>
  <c r="AC686" i="15"/>
  <c r="M687" i="15"/>
  <c r="V687" i="15"/>
  <c r="AE687" i="15"/>
  <c r="AD690" i="15"/>
  <c r="V690" i="15"/>
  <c r="N690" i="15"/>
  <c r="I690" i="15"/>
  <c r="R690" i="15"/>
  <c r="AA690" i="15"/>
  <c r="J691" i="15"/>
  <c r="S691" i="15"/>
  <c r="AC691" i="15"/>
  <c r="L692" i="15"/>
  <c r="U692" i="15"/>
  <c r="AD692" i="15"/>
  <c r="AH696" i="15"/>
  <c r="Z696" i="15"/>
  <c r="R696" i="15"/>
  <c r="J696" i="15"/>
  <c r="I696" i="15"/>
  <c r="S696" i="15"/>
  <c r="AB696" i="15"/>
  <c r="L697" i="15"/>
  <c r="U697" i="15"/>
  <c r="AD697" i="15"/>
  <c r="AF701" i="15"/>
  <c r="X701" i="15"/>
  <c r="P701" i="15"/>
  <c r="H701" i="15"/>
  <c r="J701" i="15"/>
  <c r="S701" i="15"/>
  <c r="AB701" i="15"/>
  <c r="K702" i="15"/>
  <c r="T702" i="15"/>
  <c r="AC702" i="15"/>
  <c r="M703" i="15"/>
  <c r="V703" i="15"/>
  <c r="AE703" i="15"/>
  <c r="AD706" i="15"/>
  <c r="V706" i="15"/>
  <c r="N706" i="15"/>
  <c r="I706" i="15"/>
  <c r="R706" i="15"/>
  <c r="AA706" i="15"/>
  <c r="AC707" i="15"/>
  <c r="L708" i="15"/>
  <c r="U708" i="15"/>
  <c r="AD708" i="15"/>
  <c r="AH712" i="15"/>
  <c r="Z712" i="15"/>
  <c r="R712" i="15"/>
  <c r="J712" i="15"/>
  <c r="I712" i="15"/>
  <c r="S712" i="15"/>
  <c r="AB712" i="15"/>
  <c r="L713" i="15"/>
  <c r="U713" i="15"/>
  <c r="AD713" i="15"/>
  <c r="AF717" i="15"/>
  <c r="X717" i="15"/>
  <c r="P717" i="15"/>
  <c r="H717" i="15"/>
  <c r="J717" i="15"/>
  <c r="S717" i="15"/>
  <c r="AB717" i="15"/>
  <c r="K718" i="15"/>
  <c r="T718" i="15"/>
  <c r="AC718" i="15"/>
  <c r="M719" i="15"/>
  <c r="V719" i="15"/>
  <c r="AE719" i="15"/>
  <c r="AD722" i="15"/>
  <c r="V722" i="15"/>
  <c r="N722" i="15"/>
  <c r="I722" i="15"/>
  <c r="R722" i="15"/>
  <c r="AA722" i="15"/>
  <c r="J723" i="15"/>
  <c r="S723" i="15"/>
  <c r="AC723" i="15"/>
  <c r="L724" i="15"/>
  <c r="U724" i="15"/>
  <c r="AD724" i="15"/>
  <c r="AH728" i="15"/>
  <c r="Z728" i="15"/>
  <c r="R728" i="15"/>
  <c r="J728" i="15"/>
  <c r="I728" i="15"/>
  <c r="S728" i="15"/>
  <c r="AB728" i="15"/>
  <c r="L729" i="15"/>
  <c r="U729" i="15"/>
  <c r="AD729" i="15"/>
  <c r="AF733" i="15"/>
  <c r="X733" i="15"/>
  <c r="P733" i="15"/>
  <c r="H733" i="15"/>
  <c r="J733" i="15"/>
  <c r="S733" i="15"/>
  <c r="AB733" i="15"/>
  <c r="K734" i="15"/>
  <c r="T734" i="15"/>
  <c r="AC734" i="15"/>
  <c r="M735" i="15"/>
  <c r="V735" i="15"/>
  <c r="AE735" i="15"/>
  <c r="AD738" i="15"/>
  <c r="V738" i="15"/>
  <c r="N738" i="15"/>
  <c r="I738" i="15"/>
  <c r="R738" i="15"/>
  <c r="AA738" i="15"/>
  <c r="AC739" i="15"/>
  <c r="U740" i="15"/>
  <c r="AD740" i="15"/>
  <c r="N744" i="15"/>
  <c r="X744" i="15"/>
  <c r="AH745" i="15"/>
  <c r="Z745" i="15"/>
  <c r="R745" i="15"/>
  <c r="J745" i="15"/>
  <c r="AF745" i="15"/>
  <c r="X745" i="15"/>
  <c r="P745" i="15"/>
  <c r="H745" i="15"/>
  <c r="K745" i="15"/>
  <c r="U745" i="15"/>
  <c r="AE745" i="15"/>
  <c r="M747" i="15"/>
  <c r="X747" i="15"/>
  <c r="AH747" i="15"/>
  <c r="L750" i="15"/>
  <c r="W750" i="15"/>
  <c r="AH750" i="15"/>
  <c r="N752" i="15"/>
  <c r="X752" i="15"/>
  <c r="AH753" i="15"/>
  <c r="Z753" i="15"/>
  <c r="R753" i="15"/>
  <c r="J753" i="15"/>
  <c r="AF753" i="15"/>
  <c r="X753" i="15"/>
  <c r="P753" i="15"/>
  <c r="H753" i="15"/>
  <c r="K753" i="15"/>
  <c r="U753" i="15"/>
  <c r="AE753" i="15"/>
  <c r="M755" i="15"/>
  <c r="X755" i="15"/>
  <c r="AH755" i="15"/>
  <c r="L758" i="15"/>
  <c r="W758" i="15"/>
  <c r="AH758" i="15"/>
  <c r="N760" i="15"/>
  <c r="X760" i="15"/>
  <c r="AH761" i="15"/>
  <c r="Z761" i="15"/>
  <c r="R761" i="15"/>
  <c r="J761" i="15"/>
  <c r="AF761" i="15"/>
  <c r="X761" i="15"/>
  <c r="P761" i="15"/>
  <c r="H761" i="15"/>
  <c r="K761" i="15"/>
  <c r="U761" i="15"/>
  <c r="AE761" i="15"/>
  <c r="M763" i="15"/>
  <c r="X763" i="15"/>
  <c r="AH763" i="15"/>
  <c r="L766" i="15"/>
  <c r="W766" i="15"/>
  <c r="AH766" i="15"/>
  <c r="N768" i="15"/>
  <c r="X768" i="15"/>
  <c r="AH769" i="15"/>
  <c r="Z769" i="15"/>
  <c r="R769" i="15"/>
  <c r="J769" i="15"/>
  <c r="AF769" i="15"/>
  <c r="X769" i="15"/>
  <c r="P769" i="15"/>
  <c r="H769" i="15"/>
  <c r="K769" i="15"/>
  <c r="U769" i="15"/>
  <c r="AE769" i="15"/>
  <c r="M771" i="15"/>
  <c r="X771" i="15"/>
  <c r="AH771" i="15"/>
  <c r="L774" i="15"/>
  <c r="W774" i="15"/>
  <c r="AH774" i="15"/>
  <c r="N776" i="15"/>
  <c r="X776" i="15"/>
  <c r="AH777" i="15"/>
  <c r="Z777" i="15"/>
  <c r="R777" i="15"/>
  <c r="J777" i="15"/>
  <c r="AF777" i="15"/>
  <c r="X777" i="15"/>
  <c r="P777" i="15"/>
  <c r="H777" i="15"/>
  <c r="K777" i="15"/>
  <c r="U777" i="15"/>
  <c r="AE777" i="15"/>
  <c r="M779" i="15"/>
  <c r="X779" i="15"/>
  <c r="AH779" i="15"/>
  <c r="L782" i="15"/>
  <c r="W782" i="15"/>
  <c r="AH782" i="15"/>
  <c r="N784" i="15"/>
  <c r="X784" i="15"/>
  <c r="AH785" i="15"/>
  <c r="Z785" i="15"/>
  <c r="R785" i="15"/>
  <c r="J785" i="15"/>
  <c r="AF785" i="15"/>
  <c r="X785" i="15"/>
  <c r="P785" i="15"/>
  <c r="H785" i="15"/>
  <c r="K785" i="15"/>
  <c r="U785" i="15"/>
  <c r="AE785" i="15"/>
  <c r="M787" i="15"/>
  <c r="X787" i="15"/>
  <c r="AH787" i="15"/>
  <c r="L790" i="15"/>
  <c r="W790" i="15"/>
  <c r="AH790" i="15"/>
  <c r="N792" i="15"/>
  <c r="X792" i="15"/>
  <c r="AH793" i="15"/>
  <c r="Z793" i="15"/>
  <c r="R793" i="15"/>
  <c r="J793" i="15"/>
  <c r="AF793" i="15"/>
  <c r="X793" i="15"/>
  <c r="P793" i="15"/>
  <c r="H793" i="15"/>
  <c r="K793" i="15"/>
  <c r="U793" i="15"/>
  <c r="AE793" i="15"/>
  <c r="M795" i="15"/>
  <c r="X795" i="15"/>
  <c r="AH795" i="15"/>
  <c r="L798" i="15"/>
  <c r="W798" i="15"/>
  <c r="AH798" i="15"/>
  <c r="N800" i="15"/>
  <c r="X800" i="15"/>
  <c r="AH801" i="15"/>
  <c r="Z801" i="15"/>
  <c r="R801" i="15"/>
  <c r="J801" i="15"/>
  <c r="AF801" i="15"/>
  <c r="X801" i="15"/>
  <c r="P801" i="15"/>
  <c r="H801" i="15"/>
  <c r="K801" i="15"/>
  <c r="U801" i="15"/>
  <c r="AE801" i="15"/>
  <c r="M803" i="15"/>
  <c r="X803" i="15"/>
  <c r="AH803" i="15"/>
  <c r="L806" i="15"/>
  <c r="W806" i="15"/>
  <c r="AH806" i="15"/>
  <c r="N808" i="15"/>
  <c r="X808" i="15"/>
  <c r="AH809" i="15"/>
  <c r="Z809" i="15"/>
  <c r="R809" i="15"/>
  <c r="J809" i="15"/>
  <c r="AF809" i="15"/>
  <c r="X809" i="15"/>
  <c r="P809" i="15"/>
  <c r="H809" i="15"/>
  <c r="K809" i="15"/>
  <c r="U809" i="15"/>
  <c r="AE809" i="15"/>
  <c r="M811" i="15"/>
  <c r="X811" i="15"/>
  <c r="AH811" i="15"/>
  <c r="L814" i="15"/>
  <c r="W814" i="15"/>
  <c r="AH814" i="15"/>
  <c r="N816" i="15"/>
  <c r="X816" i="15"/>
  <c r="AH817" i="15"/>
  <c r="Z817" i="15"/>
  <c r="R817" i="15"/>
  <c r="J817" i="15"/>
  <c r="AF817" i="15"/>
  <c r="X817" i="15"/>
  <c r="P817" i="15"/>
  <c r="H817" i="15"/>
  <c r="K817" i="15"/>
  <c r="U817" i="15"/>
  <c r="AE817" i="15"/>
  <c r="M819" i="15"/>
  <c r="X819" i="15"/>
  <c r="AH819" i="15"/>
  <c r="L822" i="15"/>
  <c r="W822" i="15"/>
  <c r="AH822" i="15"/>
  <c r="N824" i="15"/>
  <c r="X824" i="15"/>
  <c r="AH825" i="15"/>
  <c r="Z825" i="15"/>
  <c r="R825" i="15"/>
  <c r="J825" i="15"/>
  <c r="AF825" i="15"/>
  <c r="X825" i="15"/>
  <c r="P825" i="15"/>
  <c r="H825" i="15"/>
  <c r="K825" i="15"/>
  <c r="U825" i="15"/>
  <c r="AE825" i="15"/>
  <c r="M827" i="15"/>
  <c r="X827" i="15"/>
  <c r="AH827" i="15"/>
  <c r="AH830" i="15"/>
  <c r="N832" i="15"/>
  <c r="X832" i="15"/>
  <c r="AH833" i="15"/>
  <c r="Z833" i="15"/>
  <c r="R833" i="15"/>
  <c r="J833" i="15"/>
  <c r="AF833" i="15"/>
  <c r="X833" i="15"/>
  <c r="P833" i="15"/>
  <c r="H833" i="15"/>
  <c r="K833" i="15"/>
  <c r="U833" i="15"/>
  <c r="AE833" i="15"/>
  <c r="M835" i="15"/>
  <c r="X835" i="15"/>
  <c r="AH835" i="15"/>
  <c r="L838" i="15"/>
  <c r="W838" i="15"/>
  <c r="AH838" i="15"/>
  <c r="N840" i="15"/>
  <c r="X840" i="15"/>
  <c r="AH841" i="15"/>
  <c r="Z841" i="15"/>
  <c r="R841" i="15"/>
  <c r="J841" i="15"/>
  <c r="AF841" i="15"/>
  <c r="X841" i="15"/>
  <c r="P841" i="15"/>
  <c r="H841" i="15"/>
  <c r="K841" i="15"/>
  <c r="U841" i="15"/>
  <c r="AE841" i="15"/>
  <c r="M843" i="15"/>
  <c r="X843" i="15"/>
  <c r="AH843" i="15"/>
  <c r="L846" i="15"/>
  <c r="W846" i="15"/>
  <c r="AH846" i="15"/>
  <c r="N848" i="15"/>
  <c r="X848" i="15"/>
  <c r="AH849" i="15"/>
  <c r="Z849" i="15"/>
  <c r="R849" i="15"/>
  <c r="J849" i="15"/>
  <c r="AF849" i="15"/>
  <c r="X849" i="15"/>
  <c r="P849" i="15"/>
  <c r="H849" i="15"/>
  <c r="K849" i="15"/>
  <c r="U849" i="15"/>
  <c r="AE849" i="15"/>
  <c r="M851" i="15"/>
  <c r="X851" i="15"/>
  <c r="AH851" i="15"/>
  <c r="L854" i="15"/>
  <c r="W854" i="15"/>
  <c r="AH854" i="15"/>
  <c r="N856" i="15"/>
  <c r="X856" i="15"/>
  <c r="AH857" i="15"/>
  <c r="Z857" i="15"/>
  <c r="R857" i="15"/>
  <c r="J857" i="15"/>
  <c r="AF857" i="15"/>
  <c r="X857" i="15"/>
  <c r="P857" i="15"/>
  <c r="H857" i="15"/>
  <c r="K857" i="15"/>
  <c r="U857" i="15"/>
  <c r="AE857" i="15"/>
  <c r="M859" i="15"/>
  <c r="X859" i="15"/>
  <c r="AH859" i="15"/>
  <c r="L862" i="15"/>
  <c r="W862" i="15"/>
  <c r="AH862" i="15"/>
  <c r="N864" i="15"/>
  <c r="X864" i="15"/>
  <c r="AH865" i="15"/>
  <c r="Z865" i="15"/>
  <c r="R865" i="15"/>
  <c r="J865" i="15"/>
  <c r="AF865" i="15"/>
  <c r="X865" i="15"/>
  <c r="P865" i="15"/>
  <c r="H865" i="15"/>
  <c r="K865" i="15"/>
  <c r="U865" i="15"/>
  <c r="AE865" i="15"/>
  <c r="M867" i="15"/>
  <c r="X867" i="15"/>
  <c r="AH867" i="15"/>
  <c r="L870" i="15"/>
  <c r="W870" i="15"/>
  <c r="AH870" i="15"/>
  <c r="N872" i="15"/>
  <c r="X872" i="15"/>
  <c r="AH873" i="15"/>
  <c r="Z873" i="15"/>
  <c r="R873" i="15"/>
  <c r="J873" i="15"/>
  <c r="AF873" i="15"/>
  <c r="X873" i="15"/>
  <c r="P873" i="15"/>
  <c r="H873" i="15"/>
  <c r="K873" i="15"/>
  <c r="U873" i="15"/>
  <c r="AE873" i="15"/>
  <c r="M875" i="15"/>
  <c r="X875" i="15"/>
  <c r="AH875" i="15"/>
  <c r="L878" i="15"/>
  <c r="W878" i="15"/>
  <c r="AH878" i="15"/>
  <c r="N880" i="15"/>
  <c r="X880" i="15"/>
  <c r="AH881" i="15"/>
  <c r="Z881" i="15"/>
  <c r="R881" i="15"/>
  <c r="J881" i="15"/>
  <c r="AF881" i="15"/>
  <c r="X881" i="15"/>
  <c r="P881" i="15"/>
  <c r="H881" i="15"/>
  <c r="K881" i="15"/>
  <c r="U881" i="15"/>
  <c r="AE881" i="15"/>
  <c r="M883" i="15"/>
  <c r="X883" i="15"/>
  <c r="AH883" i="15"/>
  <c r="L886" i="15"/>
  <c r="W886" i="15"/>
  <c r="AH886" i="15"/>
  <c r="N888" i="15"/>
  <c r="X888" i="15"/>
  <c r="AH889" i="15"/>
  <c r="Z889" i="15"/>
  <c r="R889" i="15"/>
  <c r="J889" i="15"/>
  <c r="AF889" i="15"/>
  <c r="X889" i="15"/>
  <c r="P889" i="15"/>
  <c r="H889" i="15"/>
  <c r="K889" i="15"/>
  <c r="U889" i="15"/>
  <c r="AE889" i="15"/>
  <c r="M891" i="15"/>
  <c r="X891" i="15"/>
  <c r="AH891" i="15"/>
  <c r="L894" i="15"/>
  <c r="W894" i="15"/>
  <c r="AH894" i="15"/>
  <c r="N896" i="15"/>
  <c r="X896" i="15"/>
  <c r="AH897" i="15"/>
  <c r="Z897" i="15"/>
  <c r="R897" i="15"/>
  <c r="J897" i="15"/>
  <c r="AF897" i="15"/>
  <c r="X897" i="15"/>
  <c r="P897" i="15"/>
  <c r="H897" i="15"/>
  <c r="K897" i="15"/>
  <c r="U897" i="15"/>
  <c r="AE897" i="15"/>
  <c r="M899" i="15"/>
  <c r="X899" i="15"/>
  <c r="AH899" i="15"/>
  <c r="L902" i="15"/>
  <c r="W902" i="15"/>
  <c r="AH902" i="15"/>
  <c r="N904" i="15"/>
  <c r="X904" i="15"/>
  <c r="AH905" i="15"/>
  <c r="Z905" i="15"/>
  <c r="R905" i="15"/>
  <c r="J905" i="15"/>
  <c r="AF905" i="15"/>
  <c r="X905" i="15"/>
  <c r="P905" i="15"/>
  <c r="H905" i="15"/>
  <c r="K905" i="15"/>
  <c r="U905" i="15"/>
  <c r="AE905" i="15"/>
  <c r="M907" i="15"/>
  <c r="X907" i="15"/>
  <c r="AH907" i="15"/>
  <c r="L910" i="15"/>
  <c r="W910" i="15"/>
  <c r="AH910" i="15"/>
  <c r="N912" i="15"/>
  <c r="X912" i="15"/>
  <c r="AH913" i="15"/>
  <c r="Z913" i="15"/>
  <c r="R913" i="15"/>
  <c r="J913" i="15"/>
  <c r="AF913" i="15"/>
  <c r="X913" i="15"/>
  <c r="P913" i="15"/>
  <c r="H913" i="15"/>
  <c r="K913" i="15"/>
  <c r="U913" i="15"/>
  <c r="AE913" i="15"/>
  <c r="M915" i="15"/>
  <c r="X915" i="15"/>
  <c r="AH915" i="15"/>
  <c r="L918" i="15"/>
  <c r="W918" i="15"/>
  <c r="AH918" i="15"/>
  <c r="N920" i="15"/>
  <c r="X920" i="15"/>
  <c r="AH921" i="15"/>
  <c r="Z921" i="15"/>
  <c r="R921" i="15"/>
  <c r="J921" i="15"/>
  <c r="AF921" i="15"/>
  <c r="X921" i="15"/>
  <c r="P921" i="15"/>
  <c r="H921" i="15"/>
  <c r="K921" i="15"/>
  <c r="U921" i="15"/>
  <c r="AE921" i="15"/>
  <c r="M923" i="15"/>
  <c r="X923" i="15"/>
  <c r="AH923" i="15"/>
  <c r="L926" i="15"/>
  <c r="W926" i="15"/>
  <c r="AH926" i="15"/>
  <c r="N928" i="15"/>
  <c r="X928" i="15"/>
  <c r="AH929" i="15"/>
  <c r="Z929" i="15"/>
  <c r="R929" i="15"/>
  <c r="J929" i="15"/>
  <c r="AF929" i="15"/>
  <c r="X929" i="15"/>
  <c r="P929" i="15"/>
  <c r="H929" i="15"/>
  <c r="K929" i="15"/>
  <c r="U929" i="15"/>
  <c r="AE929" i="15"/>
  <c r="M931" i="15"/>
  <c r="X931" i="15"/>
  <c r="AH931" i="15"/>
  <c r="L934" i="15"/>
  <c r="W934" i="15"/>
  <c r="AH934" i="15"/>
  <c r="N936" i="15"/>
  <c r="X936" i="15"/>
  <c r="AH937" i="15"/>
  <c r="Z937" i="15"/>
  <c r="R937" i="15"/>
  <c r="J937" i="15"/>
  <c r="AF937" i="15"/>
  <c r="X937" i="15"/>
  <c r="P937" i="15"/>
  <c r="H937" i="15"/>
  <c r="K937" i="15"/>
  <c r="U937" i="15"/>
  <c r="AE937" i="15"/>
  <c r="M939" i="15"/>
  <c r="X939" i="15"/>
  <c r="AH939" i="15"/>
  <c r="L942" i="15"/>
  <c r="W942" i="15"/>
  <c r="AH942" i="15"/>
  <c r="N944" i="15"/>
  <c r="X944" i="15"/>
  <c r="AH945" i="15"/>
  <c r="Z945" i="15"/>
  <c r="R945" i="15"/>
  <c r="J945" i="15"/>
  <c r="AF945" i="15"/>
  <c r="X945" i="15"/>
  <c r="P945" i="15"/>
  <c r="H945" i="15"/>
  <c r="K945" i="15"/>
  <c r="U945" i="15"/>
  <c r="AE945" i="15"/>
  <c r="M947" i="15"/>
  <c r="X947" i="15"/>
  <c r="AH947" i="15"/>
  <c r="L950" i="15"/>
  <c r="W950" i="15"/>
  <c r="AH950" i="15"/>
  <c r="N952" i="15"/>
  <c r="X952" i="15"/>
  <c r="AH953" i="15"/>
  <c r="Z953" i="15"/>
  <c r="R953" i="15"/>
  <c r="J953" i="15"/>
  <c r="AF953" i="15"/>
  <c r="X953" i="15"/>
  <c r="P953" i="15"/>
  <c r="H953" i="15"/>
  <c r="K953" i="15"/>
  <c r="U953" i="15"/>
  <c r="AE953" i="15"/>
  <c r="M955" i="15"/>
  <c r="X955" i="15"/>
  <c r="AH955" i="15"/>
  <c r="L958" i="15"/>
  <c r="W958" i="15"/>
  <c r="AH958" i="15"/>
  <c r="N960" i="15"/>
  <c r="X960" i="15"/>
  <c r="AH961" i="15"/>
  <c r="Z961" i="15"/>
  <c r="R961" i="15"/>
  <c r="J961" i="15"/>
  <c r="AF961" i="15"/>
  <c r="X961" i="15"/>
  <c r="P961" i="15"/>
  <c r="H961" i="15"/>
  <c r="K961" i="15"/>
  <c r="U961" i="15"/>
  <c r="AE961" i="15"/>
  <c r="M963" i="15"/>
  <c r="X963" i="15"/>
  <c r="AH963" i="15"/>
  <c r="L966" i="15"/>
  <c r="W966" i="15"/>
  <c r="AH966" i="15"/>
  <c r="N968" i="15"/>
  <c r="X968" i="15"/>
  <c r="AH969" i="15"/>
  <c r="Z969" i="15"/>
  <c r="R969" i="15"/>
  <c r="J969" i="15"/>
  <c r="AF969" i="15"/>
  <c r="X969" i="15"/>
  <c r="P969" i="15"/>
  <c r="H969" i="15"/>
  <c r="K969" i="15"/>
  <c r="U969" i="15"/>
  <c r="AE969" i="15"/>
  <c r="M971" i="15"/>
  <c r="X971" i="15"/>
  <c r="AH971" i="15"/>
  <c r="L974" i="15"/>
  <c r="W974" i="15"/>
  <c r="AH974" i="15"/>
  <c r="N976" i="15"/>
  <c r="X976" i="15"/>
  <c r="AH977" i="15"/>
  <c r="Z977" i="15"/>
  <c r="R977" i="15"/>
  <c r="J977" i="15"/>
  <c r="AF977" i="15"/>
  <c r="X977" i="15"/>
  <c r="P977" i="15"/>
  <c r="H977" i="15"/>
  <c r="K977" i="15"/>
  <c r="U977" i="15"/>
  <c r="AE977" i="15"/>
  <c r="M979" i="15"/>
  <c r="X979" i="15"/>
  <c r="AH979" i="15"/>
  <c r="L982" i="15"/>
  <c r="W982" i="15"/>
  <c r="AH982" i="15"/>
  <c r="N984" i="15"/>
  <c r="X984" i="15"/>
  <c r="AH985" i="15"/>
  <c r="Z985" i="15"/>
  <c r="R985" i="15"/>
  <c r="J985" i="15"/>
  <c r="AF985" i="15"/>
  <c r="X985" i="15"/>
  <c r="P985" i="15"/>
  <c r="H985" i="15"/>
  <c r="K985" i="15"/>
  <c r="U985" i="15"/>
  <c r="AE985" i="15"/>
  <c r="M987" i="15"/>
  <c r="X987" i="15"/>
  <c r="AH987" i="15"/>
  <c r="L990" i="15"/>
  <c r="W990" i="15"/>
  <c r="AH990" i="15"/>
  <c r="N992" i="15"/>
  <c r="X992" i="15"/>
  <c r="AH993" i="15"/>
  <c r="Z993" i="15"/>
  <c r="R993" i="15"/>
  <c r="J993" i="15"/>
  <c r="AF993" i="15"/>
  <c r="X993" i="15"/>
  <c r="P993" i="15"/>
  <c r="H993" i="15"/>
  <c r="K993" i="15"/>
  <c r="U993" i="15"/>
  <c r="AE993" i="15"/>
  <c r="M995" i="15"/>
  <c r="X995" i="15"/>
  <c r="AH995" i="15"/>
  <c r="L998" i="15"/>
  <c r="W998" i="15"/>
  <c r="AH998" i="15"/>
  <c r="N1000" i="15"/>
  <c r="X1000" i="15"/>
  <c r="AH1001" i="15"/>
  <c r="Z1001" i="15"/>
  <c r="R1001" i="15"/>
  <c r="J1001" i="15"/>
  <c r="AF1001" i="15"/>
  <c r="X1001" i="15"/>
  <c r="P1001" i="15"/>
  <c r="H1001" i="15"/>
  <c r="K1001" i="15"/>
  <c r="U1001" i="15"/>
  <c r="AE1001" i="15"/>
  <c r="M1003" i="15"/>
  <c r="X1003" i="15"/>
  <c r="AH1003" i="15"/>
  <c r="L1006" i="15"/>
  <c r="W1006" i="15"/>
  <c r="AH1006" i="15"/>
  <c r="N1008" i="15"/>
  <c r="X1008" i="15"/>
  <c r="AH1009" i="15"/>
  <c r="Z1009" i="15"/>
  <c r="R1009" i="15"/>
  <c r="J1009" i="15"/>
  <c r="AF1009" i="15"/>
  <c r="X1009" i="15"/>
  <c r="P1009" i="15"/>
  <c r="H1009" i="15"/>
  <c r="K1009" i="15"/>
  <c r="U1009" i="15"/>
  <c r="AE1009" i="15"/>
  <c r="M1011" i="15"/>
  <c r="X1011" i="15"/>
  <c r="AH1011" i="15"/>
  <c r="L1014" i="15"/>
  <c r="W1014" i="15"/>
  <c r="AH1014" i="15"/>
  <c r="N1016" i="15"/>
  <c r="X1016" i="15"/>
  <c r="AH1017" i="15"/>
  <c r="Z1017" i="15"/>
  <c r="R1017" i="15"/>
  <c r="J1017" i="15"/>
  <c r="AF1017" i="15"/>
  <c r="X1017" i="15"/>
  <c r="P1017" i="15"/>
  <c r="H1017" i="15"/>
  <c r="K1017" i="15"/>
  <c r="U1017" i="15"/>
  <c r="AE1017" i="15"/>
  <c r="M1019" i="15"/>
  <c r="X1019" i="15"/>
  <c r="AH1019" i="15"/>
  <c r="L1022" i="15"/>
  <c r="W1022" i="15"/>
  <c r="AH1022" i="15"/>
  <c r="N1024" i="15"/>
  <c r="X1024" i="15"/>
  <c r="AH1025" i="15"/>
  <c r="Z1025" i="15"/>
  <c r="R1025" i="15"/>
  <c r="J1025" i="15"/>
  <c r="AF1025" i="15"/>
  <c r="X1025" i="15"/>
  <c r="P1025" i="15"/>
  <c r="H1025" i="15"/>
  <c r="K1025" i="15"/>
  <c r="U1025" i="15"/>
  <c r="AE1025" i="15"/>
  <c r="M1027" i="15"/>
  <c r="X1027" i="15"/>
  <c r="AH1027" i="15"/>
  <c r="L1030" i="15"/>
  <c r="W1030" i="15"/>
  <c r="AH1030" i="15"/>
  <c r="N1032" i="15"/>
  <c r="X1032" i="15"/>
  <c r="AH1033" i="15"/>
  <c r="Z1033" i="15"/>
  <c r="R1033" i="15"/>
  <c r="J1033" i="15"/>
  <c r="AF1033" i="15"/>
  <c r="X1033" i="15"/>
  <c r="P1033" i="15"/>
  <c r="H1033" i="15"/>
  <c r="K1033" i="15"/>
  <c r="U1033" i="15"/>
  <c r="AE1033" i="15"/>
  <c r="M1035" i="15"/>
  <c r="X1035" i="15"/>
  <c r="AH1035" i="15"/>
  <c r="L1038" i="15"/>
  <c r="W1038" i="15"/>
  <c r="AH1038" i="15"/>
  <c r="N1040" i="15"/>
  <c r="X1040" i="15"/>
  <c r="AH1041" i="15"/>
  <c r="Z1041" i="15"/>
  <c r="R1041" i="15"/>
  <c r="J1041" i="15"/>
  <c r="AF1041" i="15"/>
  <c r="X1041" i="15"/>
  <c r="P1041" i="15"/>
  <c r="H1041" i="15"/>
  <c r="K1041" i="15"/>
  <c r="U1041" i="15"/>
  <c r="AE1041" i="15"/>
  <c r="M1043" i="15"/>
  <c r="X1043" i="15"/>
  <c r="AH1043" i="15"/>
  <c r="L1046" i="15"/>
  <c r="W1046" i="15"/>
  <c r="AH1046" i="15"/>
  <c r="N1048" i="15"/>
  <c r="X1048" i="15"/>
  <c r="AH1049" i="15"/>
  <c r="Z1049" i="15"/>
  <c r="R1049" i="15"/>
  <c r="J1049" i="15"/>
  <c r="AF1049" i="15"/>
  <c r="X1049" i="15"/>
  <c r="P1049" i="15"/>
  <c r="H1049" i="15"/>
  <c r="K1049" i="15"/>
  <c r="U1049" i="15"/>
  <c r="AE1049" i="15"/>
  <c r="M1051" i="15"/>
  <c r="X1051" i="15"/>
  <c r="AH1051" i="15"/>
  <c r="L1054" i="15"/>
  <c r="W1054" i="15"/>
  <c r="AH1054" i="15"/>
  <c r="N1056" i="15"/>
  <c r="X1056" i="15"/>
  <c r="AH1057" i="15"/>
  <c r="Z1057" i="15"/>
  <c r="R1057" i="15"/>
  <c r="J1057" i="15"/>
  <c r="AF1057" i="15"/>
  <c r="X1057" i="15"/>
  <c r="P1057" i="15"/>
  <c r="H1057" i="15"/>
  <c r="K1057" i="15"/>
  <c r="U1057" i="15"/>
  <c r="AE1057" i="15"/>
  <c r="M1059" i="15"/>
  <c r="X1059" i="15"/>
  <c r="AH1059" i="15"/>
  <c r="L1062" i="15"/>
  <c r="W1062" i="15"/>
  <c r="AH1062" i="15"/>
  <c r="N1064" i="15"/>
  <c r="X1064" i="15"/>
  <c r="AH1065" i="15"/>
  <c r="Z1065" i="15"/>
  <c r="R1065" i="15"/>
  <c r="J1065" i="15"/>
  <c r="AF1065" i="15"/>
  <c r="X1065" i="15"/>
  <c r="P1065" i="15"/>
  <c r="H1065" i="15"/>
  <c r="K1065" i="15"/>
  <c r="U1065" i="15"/>
  <c r="AE1065" i="15"/>
  <c r="M1067" i="15"/>
  <c r="X1067" i="15"/>
  <c r="AH1067" i="15"/>
  <c r="L1070" i="15"/>
  <c r="W1070" i="15"/>
  <c r="AH1070" i="15"/>
  <c r="N1072" i="15"/>
  <c r="X1072" i="15"/>
  <c r="AH1073" i="15"/>
  <c r="Z1073" i="15"/>
  <c r="R1073" i="15"/>
  <c r="J1073" i="15"/>
  <c r="AF1073" i="15"/>
  <c r="X1073" i="15"/>
  <c r="P1073" i="15"/>
  <c r="H1073" i="15"/>
  <c r="K1073" i="15"/>
  <c r="U1073" i="15"/>
  <c r="AE1073" i="15"/>
  <c r="M1075" i="15"/>
  <c r="X1075" i="15"/>
  <c r="AH1075" i="15"/>
  <c r="L1078" i="15"/>
  <c r="W1078" i="15"/>
  <c r="AH1078" i="15"/>
  <c r="N1080" i="15"/>
  <c r="X1080" i="15"/>
  <c r="AH1081" i="15"/>
  <c r="Z1081" i="15"/>
  <c r="R1081" i="15"/>
  <c r="J1081" i="15"/>
  <c r="AF1081" i="15"/>
  <c r="X1081" i="15"/>
  <c r="P1081" i="15"/>
  <c r="H1081" i="15"/>
  <c r="K1081" i="15"/>
  <c r="U1081" i="15"/>
  <c r="AE1081" i="15"/>
  <c r="M1083" i="15"/>
  <c r="X1083" i="15"/>
  <c r="AH1083" i="15"/>
  <c r="L1086" i="15"/>
  <c r="W1086" i="15"/>
  <c r="AH1086" i="15"/>
  <c r="N1088" i="15"/>
  <c r="X1088" i="15"/>
  <c r="AH1089" i="15"/>
  <c r="Z1089" i="15"/>
  <c r="R1089" i="15"/>
  <c r="J1089" i="15"/>
  <c r="AF1089" i="15"/>
  <c r="X1089" i="15"/>
  <c r="P1089" i="15"/>
  <c r="H1089" i="15"/>
  <c r="K1089" i="15"/>
  <c r="U1089" i="15"/>
  <c r="AE1089" i="15"/>
  <c r="M1091" i="15"/>
  <c r="X1091" i="15"/>
  <c r="AH1091" i="15"/>
  <c r="L1094" i="15"/>
  <c r="W1094" i="15"/>
  <c r="AH1094" i="15"/>
  <c r="N1096" i="15"/>
  <c r="X1096" i="15"/>
  <c r="AH1097" i="15"/>
  <c r="Z1097" i="15"/>
  <c r="R1097" i="15"/>
  <c r="J1097" i="15"/>
  <c r="AF1097" i="15"/>
  <c r="X1097" i="15"/>
  <c r="P1097" i="15"/>
  <c r="H1097" i="15"/>
  <c r="K1097" i="15"/>
  <c r="U1097" i="15"/>
  <c r="AE1097" i="15"/>
  <c r="M1099" i="15"/>
  <c r="X1099" i="15"/>
  <c r="AH1099" i="15"/>
  <c r="L1102" i="15"/>
  <c r="W1102" i="15"/>
  <c r="AH1102" i="15"/>
  <c r="N1104" i="15"/>
  <c r="X1104" i="15"/>
  <c r="AH1105" i="15"/>
  <c r="Z1105" i="15"/>
  <c r="R1105" i="15"/>
  <c r="J1105" i="15"/>
  <c r="AF1105" i="15"/>
  <c r="X1105" i="15"/>
  <c r="P1105" i="15"/>
  <c r="H1105" i="15"/>
  <c r="K1105" i="15"/>
  <c r="U1105" i="15"/>
  <c r="AE1105" i="15"/>
  <c r="M1107" i="15"/>
  <c r="X1107" i="15"/>
  <c r="AH1107" i="15"/>
  <c r="L1110" i="15"/>
  <c r="W1110" i="15"/>
  <c r="AH1110" i="15"/>
  <c r="N1112" i="15"/>
  <c r="X1112" i="15"/>
  <c r="AH1113" i="15"/>
  <c r="Z1113" i="15"/>
  <c r="R1113" i="15"/>
  <c r="J1113" i="15"/>
  <c r="AF1113" i="15"/>
  <c r="X1113" i="15"/>
  <c r="P1113" i="15"/>
  <c r="H1113" i="15"/>
  <c r="K1113" i="15"/>
  <c r="U1113" i="15"/>
  <c r="AE1113" i="15"/>
  <c r="M1115" i="15"/>
  <c r="X1115" i="15"/>
  <c r="AH1115" i="15"/>
  <c r="L1118" i="15"/>
  <c r="W1118" i="15"/>
  <c r="AH1118" i="15"/>
  <c r="N1120" i="15"/>
  <c r="X1120" i="15"/>
  <c r="AH1121" i="15"/>
  <c r="Z1121" i="15"/>
  <c r="R1121" i="15"/>
  <c r="J1121" i="15"/>
  <c r="AF1121" i="15"/>
  <c r="X1121" i="15"/>
  <c r="P1121" i="15"/>
  <c r="H1121" i="15"/>
  <c r="K1121" i="15"/>
  <c r="U1121" i="15"/>
  <c r="AE1121" i="15"/>
  <c r="M1123" i="15"/>
  <c r="X1123" i="15"/>
  <c r="AH1123" i="15"/>
  <c r="L1126" i="15"/>
  <c r="W1126" i="15"/>
  <c r="AH1126" i="15"/>
  <c r="N1128" i="15"/>
  <c r="X1128" i="15"/>
  <c r="AH1129" i="15"/>
  <c r="Z1129" i="15"/>
  <c r="R1129" i="15"/>
  <c r="J1129" i="15"/>
  <c r="AF1129" i="15"/>
  <c r="X1129" i="15"/>
  <c r="P1129" i="15"/>
  <c r="H1129" i="15"/>
  <c r="K1129" i="15"/>
  <c r="U1129" i="15"/>
  <c r="AE1129" i="15"/>
  <c r="M1131" i="15"/>
  <c r="X1131" i="15"/>
  <c r="AH1131" i="15"/>
  <c r="L1134" i="15"/>
  <c r="W1134" i="15"/>
  <c r="AH1134" i="15"/>
  <c r="O1136" i="15"/>
  <c r="Z1136" i="15"/>
  <c r="M1137" i="15"/>
  <c r="Y1137" i="15"/>
  <c r="M1138" i="15"/>
  <c r="AA1138" i="15"/>
  <c r="N1140" i="15"/>
  <c r="Y1140" i="15"/>
  <c r="K1142" i="15"/>
  <c r="Y1142" i="15"/>
  <c r="K1143" i="15"/>
  <c r="X1143" i="15"/>
  <c r="K1144" i="15"/>
  <c r="W1144" i="15"/>
  <c r="AD1147" i="15"/>
  <c r="V1147" i="15"/>
  <c r="N1147" i="15"/>
  <c r="AF1147" i="15"/>
  <c r="W1147" i="15"/>
  <c r="M1147" i="15"/>
  <c r="AC1147" i="15"/>
  <c r="T1147" i="15"/>
  <c r="K1147" i="15"/>
  <c r="I1147" i="15"/>
  <c r="U1147" i="15"/>
  <c r="AH1147" i="15"/>
  <c r="O1158" i="15"/>
  <c r="AA1158" i="15"/>
  <c r="O1159" i="15"/>
  <c r="AA1159" i="15"/>
  <c r="N1160" i="15"/>
  <c r="AA1160" i="15"/>
  <c r="L1163" i="15"/>
  <c r="Y1163" i="15"/>
  <c r="J1164" i="15"/>
  <c r="W1164" i="15"/>
  <c r="AH1165" i="15"/>
  <c r="Z1165" i="15"/>
  <c r="R1165" i="15"/>
  <c r="J1165" i="15"/>
  <c r="Y1165" i="15"/>
  <c r="P1165" i="15"/>
  <c r="G1165" i="15"/>
  <c r="AF1165" i="15"/>
  <c r="W1165" i="15"/>
  <c r="N1165" i="15"/>
  <c r="K1165" i="15"/>
  <c r="V1165" i="15"/>
  <c r="N1180" i="15"/>
  <c r="Z1180" i="15"/>
  <c r="M1181" i="15"/>
  <c r="AA1181" i="15"/>
  <c r="K1184" i="15"/>
  <c r="X1184" i="15"/>
  <c r="AH1185" i="15"/>
  <c r="Z1185" i="15"/>
  <c r="R1185" i="15"/>
  <c r="J1185" i="15"/>
  <c r="AF1185" i="15"/>
  <c r="W1185" i="15"/>
  <c r="N1185" i="15"/>
  <c r="AD1185" i="15"/>
  <c r="U1185" i="15"/>
  <c r="L1185" i="15"/>
  <c r="I1185" i="15"/>
  <c r="V1185" i="15"/>
  <c r="AF1186" i="15"/>
  <c r="X1186" i="15"/>
  <c r="P1186" i="15"/>
  <c r="H1186" i="15"/>
  <c r="Z1186" i="15"/>
  <c r="Q1186" i="15"/>
  <c r="G1186" i="15"/>
  <c r="AG1186" i="15"/>
  <c r="W1186" i="15"/>
  <c r="N1186" i="15"/>
  <c r="K1186" i="15"/>
  <c r="V1186" i="15"/>
  <c r="AB1188" i="15"/>
  <c r="T1188" i="15"/>
  <c r="L1188" i="15"/>
  <c r="AC1188" i="15"/>
  <c r="S1188" i="15"/>
  <c r="J1188" i="15"/>
  <c r="Z1188" i="15"/>
  <c r="Q1188" i="15"/>
  <c r="H1188" i="15"/>
  <c r="K1188" i="15"/>
  <c r="W1188" i="15"/>
  <c r="AH1188" i="15"/>
  <c r="O1197" i="15"/>
  <c r="AB1197" i="15"/>
  <c r="AB1200" i="15"/>
  <c r="T1200" i="15"/>
  <c r="L1200" i="15"/>
  <c r="AE1200" i="15"/>
  <c r="V1200" i="15"/>
  <c r="M1200" i="15"/>
  <c r="AC1200" i="15"/>
  <c r="S1200" i="15"/>
  <c r="J1200" i="15"/>
  <c r="I1200" i="15"/>
  <c r="W1200" i="15"/>
  <c r="AH1200" i="15"/>
  <c r="O1213" i="15"/>
  <c r="AB1213" i="15"/>
  <c r="N1216" i="15"/>
  <c r="Y1216" i="15"/>
  <c r="K1217" i="15"/>
  <c r="X1217" i="15"/>
  <c r="L1218" i="15"/>
  <c r="Y1218" i="15"/>
  <c r="O1229" i="15"/>
  <c r="AB1229" i="15"/>
  <c r="N1232" i="15"/>
  <c r="Y1232" i="15"/>
  <c r="K1233" i="15"/>
  <c r="X1233" i="15"/>
  <c r="L1234" i="15"/>
  <c r="Y1234" i="15"/>
  <c r="O1245" i="15"/>
  <c r="AB1245" i="15"/>
  <c r="P1248" i="15"/>
  <c r="AD1248" i="15"/>
  <c r="N1250" i="15"/>
  <c r="AD1250" i="15"/>
  <c r="P1256" i="15"/>
  <c r="AD1256" i="15"/>
  <c r="N1258" i="15"/>
  <c r="AD1258" i="15"/>
  <c r="N1264" i="15"/>
  <c r="AC1264" i="15"/>
  <c r="M1266" i="15"/>
  <c r="AB1266" i="15"/>
  <c r="AB1272" i="15"/>
  <c r="T1272" i="15"/>
  <c r="L1272" i="15"/>
  <c r="AA1272" i="15"/>
  <c r="S1272" i="15"/>
  <c r="K1272" i="15"/>
  <c r="Y1272" i="15"/>
  <c r="O1272" i="15"/>
  <c r="AG1272" i="15"/>
  <c r="W1272" i="15"/>
  <c r="M1272" i="15"/>
  <c r="I1272" i="15"/>
  <c r="X1272" i="15"/>
  <c r="AD1283" i="15"/>
  <c r="V1283" i="15"/>
  <c r="N1283" i="15"/>
  <c r="AC1283" i="15"/>
  <c r="U1283" i="15"/>
  <c r="M1283" i="15"/>
  <c r="Y1283" i="15"/>
  <c r="O1283" i="15"/>
  <c r="AG1283" i="15"/>
  <c r="W1283" i="15"/>
  <c r="K1283" i="15"/>
  <c r="I1283" i="15"/>
  <c r="X1283" i="15"/>
  <c r="R1290" i="15"/>
  <c r="AG1290" i="15"/>
  <c r="AB1304" i="15"/>
  <c r="T1304" i="15"/>
  <c r="L1304" i="15"/>
  <c r="AA1304" i="15"/>
  <c r="S1304" i="15"/>
  <c r="K1304" i="15"/>
  <c r="Y1304" i="15"/>
  <c r="O1304" i="15"/>
  <c r="AG1304" i="15"/>
  <c r="W1304" i="15"/>
  <c r="M1304" i="15"/>
  <c r="I1304" i="15"/>
  <c r="X1304" i="15"/>
  <c r="AD1315" i="15"/>
  <c r="V1315" i="15"/>
  <c r="N1315" i="15"/>
  <c r="AC1315" i="15"/>
  <c r="U1315" i="15"/>
  <c r="M1315" i="15"/>
  <c r="Y1315" i="15"/>
  <c r="O1315" i="15"/>
  <c r="AG1315" i="15"/>
  <c r="W1315" i="15"/>
  <c r="K1315" i="15"/>
  <c r="I1315" i="15"/>
  <c r="X1315" i="15"/>
  <c r="R1322" i="15"/>
  <c r="AG1322" i="15"/>
  <c r="AB1336" i="15"/>
  <c r="T1336" i="15"/>
  <c r="L1336" i="15"/>
  <c r="AA1336" i="15"/>
  <c r="S1336" i="15"/>
  <c r="K1336" i="15"/>
  <c r="Y1336" i="15"/>
  <c r="O1336" i="15"/>
  <c r="AG1336" i="15"/>
  <c r="W1336" i="15"/>
  <c r="M1336" i="15"/>
  <c r="I1336" i="15"/>
  <c r="X1336" i="15"/>
  <c r="AD1347" i="15"/>
  <c r="V1347" i="15"/>
  <c r="N1347" i="15"/>
  <c r="AC1347" i="15"/>
  <c r="U1347" i="15"/>
  <c r="M1347" i="15"/>
  <c r="Y1347" i="15"/>
  <c r="O1347" i="15"/>
  <c r="AG1347" i="15"/>
  <c r="W1347" i="15"/>
  <c r="K1347" i="15"/>
  <c r="I1347" i="15"/>
  <c r="X1347" i="15"/>
  <c r="R1351" i="15"/>
  <c r="AC1352" i="15"/>
  <c r="U1352" i="15"/>
  <c r="M1352" i="15"/>
  <c r="AB1352" i="15"/>
  <c r="T1352" i="15"/>
  <c r="L1352" i="15"/>
  <c r="AA1352" i="15"/>
  <c r="S1352" i="15"/>
  <c r="K1352" i="15"/>
  <c r="X1352" i="15"/>
  <c r="J1352" i="15"/>
  <c r="AG1352" i="15"/>
  <c r="V1352" i="15"/>
  <c r="H1352" i="15"/>
  <c r="N1352" i="15"/>
  <c r="AD1352" i="15"/>
  <c r="P1360" i="15"/>
  <c r="AH1360" i="15"/>
  <c r="AE1367" i="15"/>
  <c r="W1367" i="15"/>
  <c r="O1367" i="15"/>
  <c r="G1367" i="15"/>
  <c r="AD1367" i="15"/>
  <c r="V1367" i="15"/>
  <c r="N1367" i="15"/>
  <c r="AC1367" i="15"/>
  <c r="U1367" i="15"/>
  <c r="M1367" i="15"/>
  <c r="AF1367" i="15"/>
  <c r="R1367" i="15"/>
  <c r="AA1367" i="15"/>
  <c r="P1367" i="15"/>
  <c r="J1367" i="15"/>
  <c r="Z1367" i="15"/>
  <c r="Q1372" i="15"/>
  <c r="AG1372" i="15"/>
  <c r="P1376" i="15"/>
  <c r="AF1376" i="15"/>
  <c r="P1384" i="15"/>
  <c r="AF1384" i="15"/>
  <c r="AE1391" i="15"/>
  <c r="W1391" i="15"/>
  <c r="O1391" i="15"/>
  <c r="G1391" i="15"/>
  <c r="AD1391" i="15"/>
  <c r="V1391" i="15"/>
  <c r="N1391" i="15"/>
  <c r="AC1391" i="15"/>
  <c r="U1391" i="15"/>
  <c r="M1391" i="15"/>
  <c r="AH1391" i="15"/>
  <c r="T1391" i="15"/>
  <c r="I1391" i="15"/>
  <c r="AF1391" i="15"/>
  <c r="R1391" i="15"/>
  <c r="K1391" i="15"/>
  <c r="AA1391" i="15"/>
  <c r="L1395" i="15"/>
  <c r="AF1395" i="15"/>
  <c r="L1399" i="15"/>
  <c r="AG1399" i="15"/>
  <c r="K1403" i="15"/>
  <c r="AF1403" i="15"/>
  <c r="AE1407" i="15"/>
  <c r="W1407" i="15"/>
  <c r="O1407" i="15"/>
  <c r="G1407" i="15"/>
  <c r="AD1407" i="15"/>
  <c r="V1407" i="15"/>
  <c r="N1407" i="15"/>
  <c r="AC1407" i="15"/>
  <c r="U1407" i="15"/>
  <c r="M1407" i="15"/>
  <c r="AA1407" i="15"/>
  <c r="P1407" i="15"/>
  <c r="Y1407" i="15"/>
  <c r="K1407" i="15"/>
  <c r="J1407" i="15"/>
  <c r="AB1407" i="15"/>
  <c r="L1423" i="15"/>
  <c r="AB1423" i="15"/>
  <c r="P1427" i="15"/>
  <c r="AH1427" i="15"/>
  <c r="Q1431" i="15"/>
  <c r="AH1431" i="15"/>
  <c r="P1435" i="15"/>
  <c r="AG1435" i="15"/>
  <c r="L1439" i="15"/>
  <c r="AF1439" i="15"/>
  <c r="AE1447" i="15"/>
  <c r="W1447" i="15"/>
  <c r="O1447" i="15"/>
  <c r="G1447" i="15"/>
  <c r="AD1447" i="15"/>
  <c r="V1447" i="15"/>
  <c r="N1447" i="15"/>
  <c r="AC1447" i="15"/>
  <c r="U1447" i="15"/>
  <c r="M1447" i="15"/>
  <c r="Y1447" i="15"/>
  <c r="K1447" i="15"/>
  <c r="AH1447" i="15"/>
  <c r="T1447" i="15"/>
  <c r="I1447" i="15"/>
  <c r="L1447" i="15"/>
  <c r="AB1447" i="15"/>
  <c r="Q1455" i="15"/>
  <c r="AC1456" i="15"/>
  <c r="U1456" i="15"/>
  <c r="M1456" i="15"/>
  <c r="AB1456" i="15"/>
  <c r="T1456" i="15"/>
  <c r="L1456" i="15"/>
  <c r="AA1456" i="15"/>
  <c r="S1456" i="15"/>
  <c r="K1456" i="15"/>
  <c r="AG1456" i="15"/>
  <c r="V1456" i="15"/>
  <c r="H1456" i="15"/>
  <c r="AE1456" i="15"/>
  <c r="Q1456" i="15"/>
  <c r="J1456" i="15"/>
  <c r="Z1456" i="15"/>
  <c r="N1460" i="15"/>
  <c r="AE1460" i="15"/>
  <c r="J1464" i="15"/>
  <c r="AD1464" i="15"/>
  <c r="AC1468" i="15"/>
  <c r="U1468" i="15"/>
  <c r="M1468" i="15"/>
  <c r="AB1468" i="15"/>
  <c r="T1468" i="15"/>
  <c r="L1468" i="15"/>
  <c r="AA1468" i="15"/>
  <c r="S1468" i="15"/>
  <c r="K1468" i="15"/>
  <c r="AD1468" i="15"/>
  <c r="P1468" i="15"/>
  <c r="Y1468" i="15"/>
  <c r="N1468" i="15"/>
  <c r="I1468" i="15"/>
  <c r="Z1468" i="15"/>
  <c r="R1471" i="15"/>
  <c r="AH1471" i="15"/>
  <c r="Q1479" i="15"/>
  <c r="AG1479" i="15"/>
  <c r="Q1487" i="15"/>
  <c r="AC1488" i="15"/>
  <c r="U1488" i="15"/>
  <c r="M1488" i="15"/>
  <c r="AB1488" i="15"/>
  <c r="T1488" i="15"/>
  <c r="L1488" i="15"/>
  <c r="AA1488" i="15"/>
  <c r="S1488" i="15"/>
  <c r="K1488" i="15"/>
  <c r="AG1488" i="15"/>
  <c r="V1488" i="15"/>
  <c r="H1488" i="15"/>
  <c r="AE1488" i="15"/>
  <c r="Q1488" i="15"/>
  <c r="J1488" i="15"/>
  <c r="Z1488" i="15"/>
  <c r="N1492" i="15"/>
  <c r="AE1492" i="15"/>
  <c r="J1496" i="15"/>
  <c r="AD1496" i="15"/>
  <c r="AC1500" i="15"/>
  <c r="U1500" i="15"/>
  <c r="M1500" i="15"/>
  <c r="AB1500" i="15"/>
  <c r="T1500" i="15"/>
  <c r="L1500" i="15"/>
  <c r="AA1500" i="15"/>
  <c r="S1500" i="15"/>
  <c r="K1500" i="15"/>
  <c r="AD1500" i="15"/>
  <c r="P1500" i="15"/>
  <c r="Y1500" i="15"/>
  <c r="N1500" i="15"/>
  <c r="I1500" i="15"/>
  <c r="Z1500" i="15"/>
  <c r="R1503" i="15"/>
  <c r="AH1503" i="15"/>
  <c r="Q1511" i="15"/>
  <c r="AG1511" i="15"/>
  <c r="Q1524" i="15"/>
  <c r="AH1524" i="15"/>
  <c r="P1528" i="15"/>
  <c r="AG1528" i="15"/>
  <c r="N1536" i="15"/>
  <c r="AE1536" i="15"/>
  <c r="O1544" i="15"/>
  <c r="AE1544" i="15"/>
  <c r="Q1559" i="15"/>
  <c r="AD1560" i="15"/>
  <c r="V1560" i="15"/>
  <c r="N1560" i="15"/>
  <c r="AC1560" i="15"/>
  <c r="U1560" i="15"/>
  <c r="M1560" i="15"/>
  <c r="AB1560" i="15"/>
  <c r="T1560" i="15"/>
  <c r="L1560" i="15"/>
  <c r="AA1560" i="15"/>
  <c r="S1560" i="15"/>
  <c r="K1560" i="15"/>
  <c r="AF1560" i="15"/>
  <c r="P1560" i="15"/>
  <c r="Z1560" i="15"/>
  <c r="J1560" i="15"/>
  <c r="I1560" i="15"/>
  <c r="AG1560" i="15"/>
  <c r="AF1567" i="15"/>
  <c r="X1567" i="15"/>
  <c r="P1567" i="15"/>
  <c r="H1567" i="15"/>
  <c r="AE1567" i="15"/>
  <c r="W1567" i="15"/>
  <c r="O1567" i="15"/>
  <c r="G1567" i="15"/>
  <c r="AD1567" i="15"/>
  <c r="V1567" i="15"/>
  <c r="N1567" i="15"/>
  <c r="AC1567" i="15"/>
  <c r="U1567" i="15"/>
  <c r="M1567" i="15"/>
  <c r="Z1567" i="15"/>
  <c r="J1567" i="15"/>
  <c r="T1567" i="15"/>
  <c r="L1567" i="15"/>
  <c r="AH1567" i="15"/>
  <c r="T1571" i="15"/>
  <c r="Q1572" i="15"/>
  <c r="S1579" i="15"/>
  <c r="P1580" i="15"/>
  <c r="Q1587" i="15"/>
  <c r="O1588" i="15"/>
  <c r="AG1588" i="15"/>
  <c r="AF1595" i="15"/>
  <c r="X1595" i="15"/>
  <c r="P1595" i="15"/>
  <c r="H1595" i="15"/>
  <c r="AE1595" i="15"/>
  <c r="W1595" i="15"/>
  <c r="O1595" i="15"/>
  <c r="G1595" i="15"/>
  <c r="AD1595" i="15"/>
  <c r="V1595" i="15"/>
  <c r="N1595" i="15"/>
  <c r="AC1595" i="15"/>
  <c r="U1595" i="15"/>
  <c r="M1595" i="15"/>
  <c r="AH1595" i="15"/>
  <c r="R1595" i="15"/>
  <c r="AB1595" i="15"/>
  <c r="L1595" i="15"/>
  <c r="K1595" i="15"/>
  <c r="AD1596" i="15"/>
  <c r="V1596" i="15"/>
  <c r="N1596" i="15"/>
  <c r="AC1596" i="15"/>
  <c r="U1596" i="15"/>
  <c r="M1596" i="15"/>
  <c r="AB1596" i="15"/>
  <c r="T1596" i="15"/>
  <c r="L1596" i="15"/>
  <c r="AA1596" i="15"/>
  <c r="S1596" i="15"/>
  <c r="K1596" i="15"/>
  <c r="X1596" i="15"/>
  <c r="H1596" i="15"/>
  <c r="AH1596" i="15"/>
  <c r="R1596" i="15"/>
  <c r="J1596" i="15"/>
  <c r="AF1596" i="15"/>
  <c r="R1600" i="15"/>
  <c r="S1607" i="15"/>
  <c r="O1616" i="15"/>
  <c r="AH1616" i="15"/>
  <c r="R1623" i="15"/>
  <c r="R1624" i="15"/>
  <c r="AF1627" i="15"/>
  <c r="X1627" i="15"/>
  <c r="P1627" i="15"/>
  <c r="H1627" i="15"/>
  <c r="AE1627" i="15"/>
  <c r="W1627" i="15"/>
  <c r="O1627" i="15"/>
  <c r="G1627" i="15"/>
  <c r="AD1627" i="15"/>
  <c r="V1627" i="15"/>
  <c r="N1627" i="15"/>
  <c r="AC1627" i="15"/>
  <c r="U1627" i="15"/>
  <c r="M1627" i="15"/>
  <c r="AH1627" i="15"/>
  <c r="R1627" i="15"/>
  <c r="AG1627" i="15"/>
  <c r="Q1627" i="15"/>
  <c r="AB1627" i="15"/>
  <c r="L1627" i="15"/>
  <c r="K1627" i="15"/>
  <c r="Q1628" i="15"/>
  <c r="AF1631" i="15"/>
  <c r="X1631" i="15"/>
  <c r="P1631" i="15"/>
  <c r="H1631" i="15"/>
  <c r="AE1631" i="15"/>
  <c r="W1631" i="15"/>
  <c r="O1631" i="15"/>
  <c r="G1631" i="15"/>
  <c r="AD1631" i="15"/>
  <c r="V1631" i="15"/>
  <c r="N1631" i="15"/>
  <c r="AC1631" i="15"/>
  <c r="U1631" i="15"/>
  <c r="M1631" i="15"/>
  <c r="Z1631" i="15"/>
  <c r="J1631" i="15"/>
  <c r="Y1631" i="15"/>
  <c r="I1631" i="15"/>
  <c r="T1631" i="15"/>
  <c r="Q1631" i="15"/>
  <c r="Q1632" i="15"/>
  <c r="P1636" i="15"/>
  <c r="AD1640" i="15"/>
  <c r="V1640" i="15"/>
  <c r="N1640" i="15"/>
  <c r="AC1640" i="15"/>
  <c r="U1640" i="15"/>
  <c r="M1640" i="15"/>
  <c r="AB1640" i="15"/>
  <c r="T1640" i="15"/>
  <c r="L1640" i="15"/>
  <c r="AA1640" i="15"/>
  <c r="S1640" i="15"/>
  <c r="K1640" i="15"/>
  <c r="AF1640" i="15"/>
  <c r="P1640" i="15"/>
  <c r="AE1640" i="15"/>
  <c r="O1640" i="15"/>
  <c r="Z1640" i="15"/>
  <c r="J1640" i="15"/>
  <c r="I1640" i="15"/>
  <c r="AD1644" i="15"/>
  <c r="V1644" i="15"/>
  <c r="N1644" i="15"/>
  <c r="AC1644" i="15"/>
  <c r="U1644" i="15"/>
  <c r="M1644" i="15"/>
  <c r="AB1644" i="15"/>
  <c r="T1644" i="15"/>
  <c r="L1644" i="15"/>
  <c r="AA1644" i="15"/>
  <c r="S1644" i="15"/>
  <c r="K1644" i="15"/>
  <c r="X1644" i="15"/>
  <c r="H1644" i="15"/>
  <c r="W1644" i="15"/>
  <c r="G1644" i="15"/>
  <c r="AH1644" i="15"/>
  <c r="R1644" i="15"/>
  <c r="O1644" i="15"/>
  <c r="Y1667" i="15"/>
  <c r="R1671" i="15"/>
  <c r="AD1684" i="15"/>
  <c r="V1684" i="15"/>
  <c r="N1684" i="15"/>
  <c r="AC1684" i="15"/>
  <c r="U1684" i="15"/>
  <c r="M1684" i="15"/>
  <c r="AB1684" i="15"/>
  <c r="T1684" i="15"/>
  <c r="L1684" i="15"/>
  <c r="AA1684" i="15"/>
  <c r="S1684" i="15"/>
  <c r="K1684" i="15"/>
  <c r="W1684" i="15"/>
  <c r="G1684" i="15"/>
  <c r="AH1684" i="15"/>
  <c r="R1684" i="15"/>
  <c r="AG1684" i="15"/>
  <c r="Q1684" i="15"/>
  <c r="J1684" i="15"/>
  <c r="P1692" i="15"/>
  <c r="AF1695" i="15"/>
  <c r="X1695" i="15"/>
  <c r="P1695" i="15"/>
  <c r="H1695" i="15"/>
  <c r="AE1695" i="15"/>
  <c r="W1695" i="15"/>
  <c r="O1695" i="15"/>
  <c r="G1695" i="15"/>
  <c r="AD1695" i="15"/>
  <c r="V1695" i="15"/>
  <c r="N1695" i="15"/>
  <c r="AC1695" i="15"/>
  <c r="U1695" i="15"/>
  <c r="M1695" i="15"/>
  <c r="Y1695" i="15"/>
  <c r="I1695" i="15"/>
  <c r="T1695" i="15"/>
  <c r="S1695" i="15"/>
  <c r="L1695" i="15"/>
  <c r="AD1700" i="15"/>
  <c r="V1700" i="15"/>
  <c r="N1700" i="15"/>
  <c r="AC1700" i="15"/>
  <c r="U1700" i="15"/>
  <c r="M1700" i="15"/>
  <c r="AB1700" i="15"/>
  <c r="T1700" i="15"/>
  <c r="L1700" i="15"/>
  <c r="AA1700" i="15"/>
  <c r="S1700" i="15"/>
  <c r="K1700" i="15"/>
  <c r="W1700" i="15"/>
  <c r="G1700" i="15"/>
  <c r="AH1700" i="15"/>
  <c r="R1700" i="15"/>
  <c r="AG1700" i="15"/>
  <c r="Q1700" i="15"/>
  <c r="J1700" i="15"/>
  <c r="R1719" i="15"/>
  <c r="AF1727" i="15"/>
  <c r="X1727" i="15"/>
  <c r="P1727" i="15"/>
  <c r="H1727" i="15"/>
  <c r="AE1727" i="15"/>
  <c r="W1727" i="15"/>
  <c r="O1727" i="15"/>
  <c r="G1727" i="15"/>
  <c r="AD1727" i="15"/>
  <c r="V1727" i="15"/>
  <c r="N1727" i="15"/>
  <c r="AC1727" i="15"/>
  <c r="U1727" i="15"/>
  <c r="M1727" i="15"/>
  <c r="Y1727" i="15"/>
  <c r="I1727" i="15"/>
  <c r="T1727" i="15"/>
  <c r="S1727" i="15"/>
  <c r="L1727" i="15"/>
  <c r="AD1732" i="15"/>
  <c r="V1732" i="15"/>
  <c r="N1732" i="15"/>
  <c r="AC1732" i="15"/>
  <c r="U1732" i="15"/>
  <c r="M1732" i="15"/>
  <c r="AB1732" i="15"/>
  <c r="T1732" i="15"/>
  <c r="L1732" i="15"/>
  <c r="AA1732" i="15"/>
  <c r="S1732" i="15"/>
  <c r="K1732" i="15"/>
  <c r="W1732" i="15"/>
  <c r="G1732" i="15"/>
  <c r="AH1732" i="15"/>
  <c r="R1732" i="15"/>
  <c r="AG1732" i="15"/>
  <c r="Q1732" i="15"/>
  <c r="J1732" i="15"/>
  <c r="R1751" i="15"/>
  <c r="AD1764" i="15"/>
  <c r="V1764" i="15"/>
  <c r="N1764" i="15"/>
  <c r="AC1764" i="15"/>
  <c r="U1764" i="15"/>
  <c r="M1764" i="15"/>
  <c r="AB1764" i="15"/>
  <c r="T1764" i="15"/>
  <c r="L1764" i="15"/>
  <c r="AA1764" i="15"/>
  <c r="S1764" i="15"/>
  <c r="K1764" i="15"/>
  <c r="W1764" i="15"/>
  <c r="G1764" i="15"/>
  <c r="AH1764" i="15"/>
  <c r="R1764" i="15"/>
  <c r="AG1764" i="15"/>
  <c r="Q1764" i="15"/>
  <c r="J1764" i="15"/>
  <c r="AF1775" i="15"/>
  <c r="X1775" i="15"/>
  <c r="P1775" i="15"/>
  <c r="H1775" i="15"/>
  <c r="AE1775" i="15"/>
  <c r="W1775" i="15"/>
  <c r="O1775" i="15"/>
  <c r="G1775" i="15"/>
  <c r="AD1775" i="15"/>
  <c r="V1775" i="15"/>
  <c r="N1775" i="15"/>
  <c r="AC1775" i="15"/>
  <c r="U1775" i="15"/>
  <c r="M1775" i="15"/>
  <c r="Y1775" i="15"/>
  <c r="I1775" i="15"/>
  <c r="T1775" i="15"/>
  <c r="S1775" i="15"/>
  <c r="L1775" i="15"/>
  <c r="R1783" i="15"/>
  <c r="Z1791" i="15"/>
  <c r="Q1807" i="15"/>
  <c r="AD1896" i="15"/>
  <c r="V1896" i="15"/>
  <c r="N1896" i="15"/>
  <c r="AC1896" i="15"/>
  <c r="U1896" i="15"/>
  <c r="M1896" i="15"/>
  <c r="AB1896" i="15"/>
  <c r="T1896" i="15"/>
  <c r="L1896" i="15"/>
  <c r="AA1896" i="15"/>
  <c r="S1896" i="15"/>
  <c r="K1896" i="15"/>
  <c r="AH1896" i="15"/>
  <c r="R1896" i="15"/>
  <c r="AG1896" i="15"/>
  <c r="Q1896" i="15"/>
  <c r="AF1896" i="15"/>
  <c r="P1896" i="15"/>
  <c r="I1896" i="15"/>
  <c r="O1904" i="15"/>
  <c r="AF1907" i="15"/>
  <c r="X1907" i="15"/>
  <c r="P1907" i="15"/>
  <c r="H1907" i="15"/>
  <c r="AE1907" i="15"/>
  <c r="W1907" i="15"/>
  <c r="O1907" i="15"/>
  <c r="G1907" i="15"/>
  <c r="AD1907" i="15"/>
  <c r="V1907" i="15"/>
  <c r="N1907" i="15"/>
  <c r="AC1907" i="15"/>
  <c r="U1907" i="15"/>
  <c r="M1907" i="15"/>
  <c r="T1907" i="15"/>
  <c r="S1907" i="15"/>
  <c r="AH1907" i="15"/>
  <c r="R1907" i="15"/>
  <c r="K1907" i="15"/>
  <c r="Q1915" i="15"/>
  <c r="AD1928" i="15"/>
  <c r="V1928" i="15"/>
  <c r="N1928" i="15"/>
  <c r="AC1928" i="15"/>
  <c r="U1928" i="15"/>
  <c r="M1928" i="15"/>
  <c r="AB1928" i="15"/>
  <c r="T1928" i="15"/>
  <c r="L1928" i="15"/>
  <c r="AA1928" i="15"/>
  <c r="S1928" i="15"/>
  <c r="K1928" i="15"/>
  <c r="AH1928" i="15"/>
  <c r="R1928" i="15"/>
  <c r="AG1928" i="15"/>
  <c r="Q1928" i="15"/>
  <c r="AF1928" i="15"/>
  <c r="P1928" i="15"/>
  <c r="I1928" i="15"/>
  <c r="O1936" i="15"/>
  <c r="AF1939" i="15"/>
  <c r="X1939" i="15"/>
  <c r="P1939" i="15"/>
  <c r="H1939" i="15"/>
  <c r="AE1939" i="15"/>
  <c r="W1939" i="15"/>
  <c r="O1939" i="15"/>
  <c r="G1939" i="15"/>
  <c r="AD1939" i="15"/>
  <c r="V1939" i="15"/>
  <c r="N1939" i="15"/>
  <c r="AC1939" i="15"/>
  <c r="U1939" i="15"/>
  <c r="M1939" i="15"/>
  <c r="T1939" i="15"/>
  <c r="S1939" i="15"/>
  <c r="AH1939" i="15"/>
  <c r="R1939" i="15"/>
  <c r="K1939" i="15"/>
  <c r="Q1947" i="15"/>
  <c r="T1959" i="15"/>
  <c r="AD1964" i="15"/>
  <c r="V1964" i="15"/>
  <c r="N1964" i="15"/>
  <c r="AC1964" i="15"/>
  <c r="U1964" i="15"/>
  <c r="M1964" i="15"/>
  <c r="AB1964" i="15"/>
  <c r="T1964" i="15"/>
  <c r="L1964" i="15"/>
  <c r="AA1964" i="15"/>
  <c r="S1964" i="15"/>
  <c r="K1964" i="15"/>
  <c r="X1964" i="15"/>
  <c r="H1964" i="15"/>
  <c r="W1964" i="15"/>
  <c r="G1964" i="15"/>
  <c r="AH1964" i="15"/>
  <c r="R1964" i="15"/>
  <c r="O1964" i="15"/>
  <c r="T1967" i="15"/>
  <c r="AD1972" i="15"/>
  <c r="V1972" i="15"/>
  <c r="N1972" i="15"/>
  <c r="AC1972" i="15"/>
  <c r="U1972" i="15"/>
  <c r="M1972" i="15"/>
  <c r="AB1972" i="15"/>
  <c r="T1972" i="15"/>
  <c r="L1972" i="15"/>
  <c r="AA1972" i="15"/>
  <c r="S1972" i="15"/>
  <c r="K1972" i="15"/>
  <c r="X1972" i="15"/>
  <c r="H1972" i="15"/>
  <c r="W1972" i="15"/>
  <c r="G1972" i="15"/>
  <c r="AH1972" i="15"/>
  <c r="R1972" i="15"/>
  <c r="O1972" i="15"/>
  <c r="T1975" i="15"/>
  <c r="AD1980" i="15"/>
  <c r="V1980" i="15"/>
  <c r="N1980" i="15"/>
  <c r="AC1980" i="15"/>
  <c r="U1980" i="15"/>
  <c r="M1980" i="15"/>
  <c r="AB1980" i="15"/>
  <c r="T1980" i="15"/>
  <c r="L1980" i="15"/>
  <c r="AA1980" i="15"/>
  <c r="S1980" i="15"/>
  <c r="K1980" i="15"/>
  <c r="X1980" i="15"/>
  <c r="H1980" i="15"/>
  <c r="W1980" i="15"/>
  <c r="G1980" i="15"/>
  <c r="AH1980" i="15"/>
  <c r="R1980" i="15"/>
  <c r="O1980" i="15"/>
  <c r="T1983" i="15"/>
  <c r="AD1988" i="15"/>
  <c r="V1988" i="15"/>
  <c r="N1988" i="15"/>
  <c r="AC1988" i="15"/>
  <c r="U1988" i="15"/>
  <c r="M1988" i="15"/>
  <c r="AB1988" i="15"/>
  <c r="T1988" i="15"/>
  <c r="L1988" i="15"/>
  <c r="AA1988" i="15"/>
  <c r="S1988" i="15"/>
  <c r="K1988" i="15"/>
  <c r="X1988" i="15"/>
  <c r="H1988" i="15"/>
  <c r="W1988" i="15"/>
  <c r="G1988" i="15"/>
  <c r="AH1988" i="15"/>
  <c r="R1988" i="15"/>
  <c r="O1988" i="15"/>
  <c r="T1991" i="15"/>
  <c r="AD1996" i="15"/>
  <c r="V1996" i="15"/>
  <c r="N1996" i="15"/>
  <c r="AC1996" i="15"/>
  <c r="U1996" i="15"/>
  <c r="M1996" i="15"/>
  <c r="AB1996" i="15"/>
  <c r="T1996" i="15"/>
  <c r="L1996" i="15"/>
  <c r="AA1996" i="15"/>
  <c r="S1996" i="15"/>
  <c r="K1996" i="15"/>
  <c r="X1996" i="15"/>
  <c r="H1996" i="15"/>
  <c r="W1996" i="15"/>
  <c r="G1996" i="15"/>
  <c r="AH1996" i="15"/>
  <c r="R1996" i="15"/>
  <c r="O1996" i="15"/>
  <c r="T1999" i="15"/>
  <c r="H2" i="16"/>
  <c r="M2" i="16"/>
  <c r="L2" i="16"/>
  <c r="G2" i="16"/>
  <c r="P24" i="16"/>
  <c r="H24" i="9" s="1"/>
  <c r="F24" i="16"/>
  <c r="E32" i="16"/>
  <c r="F39" i="16"/>
  <c r="T49" i="16"/>
  <c r="E67" i="16"/>
  <c r="E68" i="16"/>
  <c r="L73" i="16"/>
  <c r="J73" i="16"/>
  <c r="H73" i="16"/>
  <c r="G73" i="16"/>
  <c r="P73" i="16"/>
  <c r="H73" i="9" s="1"/>
  <c r="F73" i="16"/>
  <c r="E73" i="16"/>
  <c r="I73" i="9" s="1"/>
  <c r="K73" i="16"/>
  <c r="I73" i="16"/>
  <c r="T92" i="16"/>
  <c r="F103" i="16"/>
  <c r="M103" i="16"/>
  <c r="E103" i="16"/>
  <c r="I103" i="9" s="1"/>
  <c r="L103" i="16"/>
  <c r="H103" i="16"/>
  <c r="G103" i="16"/>
  <c r="T103" i="16"/>
  <c r="P103" i="16"/>
  <c r="H103" i="9" s="1"/>
  <c r="K103" i="16"/>
  <c r="J103" i="16"/>
  <c r="L105" i="16"/>
  <c r="K105" i="16"/>
  <c r="J105" i="16"/>
  <c r="P105" i="16"/>
  <c r="H105" i="9" s="1"/>
  <c r="E105" i="16"/>
  <c r="M105" i="16"/>
  <c r="F105" i="16"/>
  <c r="L115" i="16"/>
  <c r="K115" i="16"/>
  <c r="G115" i="16"/>
  <c r="M115" i="16"/>
  <c r="F124" i="16"/>
  <c r="K125" i="16"/>
  <c r="J125" i="16"/>
  <c r="I125" i="16"/>
  <c r="H140" i="16"/>
  <c r="G140" i="16"/>
  <c r="M140" i="16"/>
  <c r="L140" i="16"/>
  <c r="K140" i="16"/>
  <c r="J140" i="16"/>
  <c r="L145" i="16"/>
  <c r="K145" i="16"/>
  <c r="J145" i="16"/>
  <c r="H145" i="16"/>
  <c r="G145" i="16"/>
  <c r="T145" i="16"/>
  <c r="F145" i="16"/>
  <c r="P145" i="16"/>
  <c r="H145" i="9" s="1"/>
  <c r="E145" i="16"/>
  <c r="I145" i="9" s="1"/>
  <c r="I145" i="16"/>
  <c r="M163" i="16"/>
  <c r="E163" i="16"/>
  <c r="L163" i="16"/>
  <c r="K163" i="16"/>
  <c r="G163" i="16"/>
  <c r="P163" i="16"/>
  <c r="H163" i="9" s="1"/>
  <c r="J163" i="16"/>
  <c r="I163" i="16"/>
  <c r="H163" i="16"/>
  <c r="M231" i="16"/>
  <c r="L231" i="16"/>
  <c r="K231" i="16"/>
  <c r="J231" i="16"/>
  <c r="M270" i="16"/>
  <c r="L270" i="16"/>
  <c r="K270" i="16"/>
  <c r="G270" i="16"/>
  <c r="O270" i="16" s="1"/>
  <c r="M283" i="16"/>
  <c r="E283" i="16"/>
  <c r="L283" i="16"/>
  <c r="K283" i="16"/>
  <c r="I283" i="16"/>
  <c r="H283" i="16"/>
  <c r="G283" i="16"/>
  <c r="T283" i="16"/>
  <c r="J283" i="16"/>
  <c r="O283" i="16" s="1"/>
  <c r="K447" i="16"/>
  <c r="J447" i="16"/>
  <c r="L508" i="16"/>
  <c r="K508" i="16"/>
  <c r="J508" i="16"/>
  <c r="G508" i="16"/>
  <c r="T508" i="16"/>
  <c r="F508" i="16"/>
  <c r="P508" i="16"/>
  <c r="H508" i="9" s="1"/>
  <c r="E508" i="16"/>
  <c r="I508" i="9" s="1"/>
  <c r="O508" i="16"/>
  <c r="M508" i="16"/>
  <c r="I508" i="16"/>
  <c r="H508" i="16"/>
  <c r="T511" i="16"/>
  <c r="L516" i="16"/>
  <c r="K516" i="16"/>
  <c r="J516" i="16"/>
  <c r="T516" i="16"/>
  <c r="F516" i="16"/>
  <c r="P516" i="16"/>
  <c r="H516" i="9" s="1"/>
  <c r="E516" i="16"/>
  <c r="I516" i="9" s="1"/>
  <c r="M516" i="16"/>
  <c r="I516" i="16"/>
  <c r="O516" i="16" s="1"/>
  <c r="H516" i="16"/>
  <c r="G516" i="16"/>
  <c r="M522" i="16"/>
  <c r="O522" i="16" s="1"/>
  <c r="E522" i="16"/>
  <c r="I522" i="9" s="1"/>
  <c r="L522" i="16"/>
  <c r="H522" i="16"/>
  <c r="G522" i="16"/>
  <c r="T522" i="16"/>
  <c r="K522" i="16"/>
  <c r="J522" i="16"/>
  <c r="I522" i="16"/>
  <c r="M539" i="16"/>
  <c r="E539" i="16"/>
  <c r="I539" i="9" s="1"/>
  <c r="L539" i="16"/>
  <c r="K539" i="16"/>
  <c r="I539" i="16"/>
  <c r="O539" i="16" s="1"/>
  <c r="H539" i="16"/>
  <c r="G539" i="16"/>
  <c r="T539" i="16"/>
  <c r="F539" i="16"/>
  <c r="P539" i="16"/>
  <c r="H539" i="9" s="1"/>
  <c r="J539" i="16"/>
  <c r="L572" i="16"/>
  <c r="K572" i="16"/>
  <c r="J572" i="16"/>
  <c r="G572" i="16"/>
  <c r="E572" i="16"/>
  <c r="I572" i="16"/>
  <c r="H572" i="16"/>
  <c r="M572" i="16"/>
  <c r="O572" i="16" s="1"/>
  <c r="H576" i="16"/>
  <c r="O576" i="16"/>
  <c r="G576" i="16"/>
  <c r="F576" i="16"/>
  <c r="E576" i="16"/>
  <c r="T576" i="16"/>
  <c r="M576" i="16"/>
  <c r="J576" i="16"/>
  <c r="I576" i="16"/>
  <c r="T591" i="16"/>
  <c r="K592" i="16"/>
  <c r="L628" i="16"/>
  <c r="K628" i="16"/>
  <c r="J628" i="16"/>
  <c r="H628" i="16"/>
  <c r="G628" i="16"/>
  <c r="E628" i="16"/>
  <c r="I628" i="16"/>
  <c r="M628" i="16"/>
  <c r="F637" i="16"/>
  <c r="P637" i="16"/>
  <c r="H637" i="9" s="1"/>
  <c r="F701" i="16"/>
  <c r="P701" i="16" s="1"/>
  <c r="H701" i="9" s="1"/>
  <c r="I701" i="9" s="1"/>
  <c r="K705" i="16"/>
  <c r="J705" i="16"/>
  <c r="I705" i="16"/>
  <c r="M728" i="16"/>
  <c r="K728" i="16"/>
  <c r="I728" i="16"/>
  <c r="L765" i="16"/>
  <c r="H765" i="16"/>
  <c r="G765" i="16"/>
  <c r="M765" i="16"/>
  <c r="E765" i="16"/>
  <c r="L790" i="16"/>
  <c r="K790" i="16"/>
  <c r="G790" i="16"/>
  <c r="M790" i="16"/>
  <c r="H816" i="16"/>
  <c r="G816" i="16"/>
  <c r="F816" i="16"/>
  <c r="J816" i="16"/>
  <c r="I816" i="16"/>
  <c r="O816" i="16" s="1"/>
  <c r="E816" i="16"/>
  <c r="M816" i="16"/>
  <c r="L816" i="16"/>
  <c r="K816" i="16"/>
  <c r="M834" i="16"/>
  <c r="E834" i="16"/>
  <c r="L834" i="16"/>
  <c r="I834" i="16"/>
  <c r="H834" i="16"/>
  <c r="G834" i="16"/>
  <c r="O834" i="16"/>
  <c r="K834" i="16"/>
  <c r="J834" i="16"/>
  <c r="F847" i="16"/>
  <c r="L884" i="16"/>
  <c r="K884" i="16"/>
  <c r="J884" i="16"/>
  <c r="H884" i="16"/>
  <c r="G884" i="16"/>
  <c r="E884" i="16"/>
  <c r="I884" i="16"/>
  <c r="O884" i="16" s="1"/>
  <c r="H936" i="16"/>
  <c r="G936" i="16"/>
  <c r="K936" i="16"/>
  <c r="J936" i="16"/>
  <c r="I936" i="16"/>
  <c r="E936" i="16"/>
  <c r="L936" i="16"/>
  <c r="O936" i="16" s="1"/>
  <c r="M936" i="16"/>
  <c r="L972" i="16"/>
  <c r="K972" i="16"/>
  <c r="J972" i="16"/>
  <c r="E972" i="16"/>
  <c r="M972" i="16"/>
  <c r="I972" i="16"/>
  <c r="O972" i="16" s="1"/>
  <c r="H972" i="16"/>
  <c r="G972" i="16"/>
  <c r="F972" i="16"/>
  <c r="P972" i="16" s="1"/>
  <c r="H972" i="9" s="1"/>
  <c r="T972" i="16"/>
  <c r="K982" i="16"/>
  <c r="G982" i="16"/>
  <c r="M982" i="16"/>
  <c r="L982" i="16"/>
  <c r="E982" i="16"/>
  <c r="E990" i="16"/>
  <c r="H1025" i="16"/>
  <c r="I1048" i="16"/>
  <c r="M1048" i="16"/>
  <c r="L1068" i="16"/>
  <c r="K1068" i="16"/>
  <c r="J1068" i="16"/>
  <c r="H1068" i="16"/>
  <c r="G1068" i="16"/>
  <c r="F1068" i="16"/>
  <c r="E1068" i="16"/>
  <c r="M1068" i="16"/>
  <c r="I1068" i="16"/>
  <c r="F1100" i="16"/>
  <c r="M1135" i="16"/>
  <c r="H1183" i="16"/>
  <c r="G1183" i="16"/>
  <c r="M1183" i="16"/>
  <c r="L1183" i="16"/>
  <c r="K1183" i="16"/>
  <c r="J1183" i="16"/>
  <c r="F1252" i="16"/>
  <c r="P1252" i="16" s="1"/>
  <c r="H1252" i="9" s="1"/>
  <c r="I1252" i="9" s="1"/>
  <c r="F1293" i="16"/>
  <c r="L1294" i="16"/>
  <c r="K1294" i="16"/>
  <c r="G1294" i="16"/>
  <c r="M1294" i="16"/>
  <c r="F1308" i="16"/>
  <c r="P1308" i="16" s="1"/>
  <c r="O1490" i="16"/>
  <c r="G1490" i="16"/>
  <c r="N1490" i="16"/>
  <c r="E1490" i="16"/>
  <c r="M1490" i="16"/>
  <c r="L1490" i="16"/>
  <c r="I1490" i="16"/>
  <c r="H1490" i="16"/>
  <c r="F1490" i="16"/>
  <c r="T1490" i="16"/>
  <c r="P1490" i="16"/>
  <c r="K1490" i="16"/>
  <c r="J1490" i="16"/>
  <c r="J1623" i="16"/>
  <c r="T1623" i="16"/>
  <c r="H1623" i="16"/>
  <c r="P1623" i="16"/>
  <c r="G1623" i="16"/>
  <c r="O1623" i="16"/>
  <c r="F1623" i="16"/>
  <c r="K1623" i="16"/>
  <c r="I1623" i="16"/>
  <c r="E1623" i="16"/>
  <c r="M1623" i="16"/>
  <c r="L1623" i="16"/>
  <c r="N1623" i="16"/>
  <c r="M1732" i="16"/>
  <c r="E1732" i="16"/>
  <c r="O1732" i="16"/>
  <c r="F1732" i="16"/>
  <c r="N1732" i="16"/>
  <c r="L1732" i="16"/>
  <c r="J1732" i="16"/>
  <c r="I1732" i="16"/>
  <c r="H1732" i="16"/>
  <c r="G1732" i="16"/>
  <c r="P1732" i="16"/>
  <c r="K1732" i="16"/>
  <c r="T1732" i="16"/>
  <c r="J1775" i="16"/>
  <c r="P1775" i="16"/>
  <c r="G1775" i="16"/>
  <c r="O1775" i="16"/>
  <c r="F1775" i="16"/>
  <c r="N1775" i="16"/>
  <c r="E1775" i="16"/>
  <c r="K1775" i="16"/>
  <c r="I1775" i="16"/>
  <c r="H1775" i="16"/>
  <c r="M1775" i="16"/>
  <c r="L1775" i="16"/>
  <c r="T1775" i="16"/>
  <c r="J1991" i="16"/>
  <c r="O1991" i="16"/>
  <c r="F1991" i="16"/>
  <c r="N1991" i="16"/>
  <c r="E1991" i="16"/>
  <c r="M1991" i="16"/>
  <c r="I1991" i="16"/>
  <c r="H1991" i="16"/>
  <c r="G1991" i="16"/>
  <c r="P1991" i="16"/>
  <c r="L1991" i="16"/>
  <c r="K1991" i="16"/>
  <c r="T1991" i="16"/>
  <c r="J2143" i="16"/>
  <c r="N2143" i="16"/>
  <c r="E2143" i="16"/>
  <c r="M2143" i="16"/>
  <c r="L2143" i="16"/>
  <c r="G2143" i="16"/>
  <c r="F2143" i="16"/>
  <c r="T2143" i="16"/>
  <c r="P2143" i="16"/>
  <c r="H2143" i="16"/>
  <c r="O2143" i="16"/>
  <c r="K2143" i="16"/>
  <c r="I2143" i="16"/>
  <c r="J2223" i="16"/>
  <c r="P2223" i="16"/>
  <c r="G2223" i="16"/>
  <c r="O2223" i="16"/>
  <c r="F2223" i="16"/>
  <c r="N2223" i="16"/>
  <c r="E2223" i="16"/>
  <c r="K2223" i="16"/>
  <c r="I2223" i="16"/>
  <c r="H2223" i="16"/>
  <c r="T2223" i="16"/>
  <c r="M2223" i="16"/>
  <c r="L2223" i="16"/>
  <c r="J2327" i="16"/>
  <c r="T2327" i="16"/>
  <c r="H2327" i="16"/>
  <c r="P2327" i="16"/>
  <c r="G2327" i="16"/>
  <c r="O2327" i="16"/>
  <c r="F2327" i="16"/>
  <c r="K2327" i="16"/>
  <c r="I2327" i="16"/>
  <c r="E2327" i="16"/>
  <c r="M2327" i="16"/>
  <c r="L2327" i="16"/>
  <c r="N2327" i="16"/>
  <c r="AQ983" i="17"/>
  <c r="AI983" i="17"/>
  <c r="AA983" i="17"/>
  <c r="S983" i="17"/>
  <c r="K983" i="17"/>
  <c r="AP983" i="17"/>
  <c r="AG983" i="17"/>
  <c r="X983" i="17"/>
  <c r="O983" i="17"/>
  <c r="AO983" i="17"/>
  <c r="AF983" i="17"/>
  <c r="W983" i="17"/>
  <c r="N983" i="17"/>
  <c r="AM983" i="17"/>
  <c r="AB983" i="17"/>
  <c r="P983" i="17"/>
  <c r="AL983" i="17"/>
  <c r="Z983" i="17"/>
  <c r="M983" i="17"/>
  <c r="AJ983" i="17"/>
  <c r="T983" i="17"/>
  <c r="AH983" i="17"/>
  <c r="R983" i="17"/>
  <c r="AC983" i="17"/>
  <c r="Y983" i="17"/>
  <c r="V983" i="17"/>
  <c r="AE983" i="17"/>
  <c r="AD983" i="17"/>
  <c r="U983" i="17"/>
  <c r="AN983" i="17"/>
  <c r="AK983" i="17"/>
  <c r="Q983" i="17"/>
  <c r="AR983" i="17"/>
  <c r="L983" i="17"/>
  <c r="J983" i="17"/>
  <c r="AL1835" i="17"/>
  <c r="AD1835" i="17"/>
  <c r="V1835" i="17"/>
  <c r="N1835" i="17"/>
  <c r="AK1835" i="17"/>
  <c r="AC1835" i="17"/>
  <c r="U1835" i="17"/>
  <c r="M1835" i="17"/>
  <c r="AM1835" i="17"/>
  <c r="AA1835" i="17"/>
  <c r="Q1835" i="17"/>
  <c r="AJ1835" i="17"/>
  <c r="Z1835" i="17"/>
  <c r="P1835" i="17"/>
  <c r="AO1835" i="17"/>
  <c r="Y1835" i="17"/>
  <c r="K1835" i="17"/>
  <c r="AN1835" i="17"/>
  <c r="X1835" i="17"/>
  <c r="J1835" i="17"/>
  <c r="AI1835" i="17"/>
  <c r="S1835" i="17"/>
  <c r="AH1835" i="17"/>
  <c r="R1835" i="17"/>
  <c r="AE1835" i="17"/>
  <c r="AB1835" i="17"/>
  <c r="O1835" i="17"/>
  <c r="AR1835" i="17"/>
  <c r="L1835" i="17"/>
  <c r="AQ1835" i="17"/>
  <c r="AP1835" i="17"/>
  <c r="AG1835" i="17"/>
  <c r="AF1835" i="17"/>
  <c r="W1835" i="17"/>
  <c r="T1835" i="17"/>
  <c r="O1313" i="16"/>
  <c r="G1313" i="16"/>
  <c r="M1313" i="16"/>
  <c r="E1313" i="16"/>
  <c r="H1313" i="16"/>
  <c r="I1313" i="16"/>
  <c r="L1313" i="16"/>
  <c r="K1313" i="16"/>
  <c r="J1313" i="16"/>
  <c r="H1327" i="16"/>
  <c r="G1327" i="16"/>
  <c r="L1327" i="16"/>
  <c r="K1327" i="16"/>
  <c r="J1327" i="16"/>
  <c r="O1327" i="16" s="1"/>
  <c r="M1327" i="16"/>
  <c r="M1468" i="16"/>
  <c r="E1468" i="16"/>
  <c r="I1468" i="16"/>
  <c r="T1468" i="16"/>
  <c r="H1468" i="16"/>
  <c r="P1468" i="16"/>
  <c r="G1468" i="16"/>
  <c r="K1468" i="16"/>
  <c r="J1468" i="16"/>
  <c r="F1468" i="16"/>
  <c r="O1468" i="16"/>
  <c r="N1468" i="16"/>
  <c r="L1468" i="16"/>
  <c r="J1479" i="16"/>
  <c r="O1479" i="16"/>
  <c r="F1479" i="16"/>
  <c r="N1479" i="16"/>
  <c r="E1479" i="16"/>
  <c r="M1479" i="16"/>
  <c r="K1479" i="16"/>
  <c r="I1479" i="16"/>
  <c r="H1479" i="16"/>
  <c r="G1479" i="16"/>
  <c r="P1479" i="16"/>
  <c r="L1479" i="16"/>
  <c r="T1479" i="16"/>
  <c r="J1559" i="16"/>
  <c r="T1559" i="16"/>
  <c r="H1559" i="16"/>
  <c r="P1559" i="16"/>
  <c r="G1559" i="16"/>
  <c r="O1559" i="16"/>
  <c r="F1559" i="16"/>
  <c r="L1559" i="16"/>
  <c r="K1559" i="16"/>
  <c r="I1559" i="16"/>
  <c r="E1559" i="16"/>
  <c r="M1559" i="16"/>
  <c r="N1559" i="16"/>
  <c r="J1735" i="16"/>
  <c r="O1735" i="16"/>
  <c r="F1735" i="16"/>
  <c r="N1735" i="16"/>
  <c r="E1735" i="16"/>
  <c r="M1735" i="16"/>
  <c r="I1735" i="16"/>
  <c r="H1735" i="16"/>
  <c r="G1735" i="16"/>
  <c r="P1735" i="16"/>
  <c r="L1735" i="16"/>
  <c r="K1735" i="16"/>
  <c r="T1735" i="16"/>
  <c r="N1851" i="16"/>
  <c r="F1851" i="16"/>
  <c r="T1851" i="16"/>
  <c r="H1851" i="16"/>
  <c r="P1851" i="16"/>
  <c r="G1851" i="16"/>
  <c r="O1851" i="16"/>
  <c r="E1851" i="16"/>
  <c r="L1851" i="16"/>
  <c r="K1851" i="16"/>
  <c r="J1851" i="16"/>
  <c r="I1851" i="16"/>
  <c r="M1851" i="16"/>
  <c r="N1859" i="16"/>
  <c r="F1859" i="16"/>
  <c r="M1859" i="16"/>
  <c r="L1859" i="16"/>
  <c r="K1859" i="16"/>
  <c r="I1859" i="16"/>
  <c r="H1859" i="16"/>
  <c r="G1859" i="16"/>
  <c r="E1859" i="16"/>
  <c r="O1859" i="16"/>
  <c r="J1859" i="16"/>
  <c r="T1859" i="16"/>
  <c r="P1859" i="16"/>
  <c r="P1953" i="16"/>
  <c r="H1953" i="16"/>
  <c r="O1953" i="16"/>
  <c r="F1953" i="16"/>
  <c r="N1953" i="16"/>
  <c r="E1953" i="16"/>
  <c r="M1953" i="16"/>
  <c r="I1953" i="16"/>
  <c r="G1953" i="16"/>
  <c r="J1953" i="16"/>
  <c r="T1953" i="16"/>
  <c r="L1953" i="16"/>
  <c r="K1953" i="16"/>
  <c r="J2079" i="16"/>
  <c r="N2079" i="16"/>
  <c r="E2079" i="16"/>
  <c r="M2079" i="16"/>
  <c r="L2079" i="16"/>
  <c r="I2079" i="16"/>
  <c r="H2079" i="16"/>
  <c r="G2079" i="16"/>
  <c r="F2079" i="16"/>
  <c r="K2079" i="16"/>
  <c r="P2079" i="16"/>
  <c r="O2079" i="16"/>
  <c r="L2261" i="16"/>
  <c r="T2261" i="16"/>
  <c r="H2261" i="16"/>
  <c r="P2261" i="16"/>
  <c r="G2261" i="16"/>
  <c r="O2261" i="16"/>
  <c r="F2261" i="16"/>
  <c r="E2261" i="16"/>
  <c r="N2261" i="16"/>
  <c r="K2261" i="16"/>
  <c r="J2261" i="16"/>
  <c r="I2261" i="16"/>
  <c r="M2261" i="16"/>
  <c r="J2271" i="16"/>
  <c r="N2271" i="16"/>
  <c r="E2271" i="16"/>
  <c r="M2271" i="16"/>
  <c r="L2271" i="16"/>
  <c r="G2271" i="16"/>
  <c r="F2271" i="16"/>
  <c r="T2271" i="16"/>
  <c r="P2271" i="16"/>
  <c r="K2271" i="16"/>
  <c r="I2271" i="16"/>
  <c r="H2271" i="16"/>
  <c r="O2271" i="16"/>
  <c r="M2300" i="16"/>
  <c r="E2300" i="16"/>
  <c r="I2300" i="16"/>
  <c r="T2300" i="16"/>
  <c r="H2300" i="16"/>
  <c r="P2300" i="16"/>
  <c r="G2300" i="16"/>
  <c r="J2300" i="16"/>
  <c r="F2300" i="16"/>
  <c r="L2300" i="16"/>
  <c r="K2300" i="16"/>
  <c r="N2300" i="16"/>
  <c r="P3770" i="16"/>
  <c r="H3770" i="16"/>
  <c r="O3770" i="16"/>
  <c r="G3770" i="16"/>
  <c r="J3770" i="16"/>
  <c r="I3770" i="16"/>
  <c r="F3770" i="16"/>
  <c r="E3770" i="16"/>
  <c r="T3770" i="16"/>
  <c r="L3770" i="16"/>
  <c r="K3770" i="16"/>
  <c r="N3770" i="16"/>
  <c r="M3770" i="16"/>
  <c r="G1139" i="15"/>
  <c r="P1139" i="15"/>
  <c r="Y1139" i="15"/>
  <c r="AH1141" i="15"/>
  <c r="Z1141" i="15"/>
  <c r="R1141" i="15"/>
  <c r="J1141" i="15"/>
  <c r="I1141" i="15"/>
  <c r="S1141" i="15"/>
  <c r="AB1141" i="15"/>
  <c r="G1145" i="15"/>
  <c r="P1145" i="15"/>
  <c r="AF1146" i="15"/>
  <c r="X1146" i="15"/>
  <c r="P1146" i="15"/>
  <c r="H1146" i="15"/>
  <c r="J1146" i="15"/>
  <c r="S1146" i="15"/>
  <c r="AB1146" i="15"/>
  <c r="G1150" i="15"/>
  <c r="Q1150" i="15"/>
  <c r="AD1151" i="15"/>
  <c r="V1151" i="15"/>
  <c r="N1151" i="15"/>
  <c r="I1151" i="15"/>
  <c r="R1151" i="15"/>
  <c r="AA1151" i="15"/>
  <c r="G1155" i="15"/>
  <c r="P1155" i="15"/>
  <c r="Y1155" i="15"/>
  <c r="AH1157" i="15"/>
  <c r="Z1157" i="15"/>
  <c r="R1157" i="15"/>
  <c r="J1157" i="15"/>
  <c r="I1157" i="15"/>
  <c r="S1157" i="15"/>
  <c r="AB1157" i="15"/>
  <c r="G1161" i="15"/>
  <c r="P1161" i="15"/>
  <c r="AF1162" i="15"/>
  <c r="X1162" i="15"/>
  <c r="P1162" i="15"/>
  <c r="H1162" i="15"/>
  <c r="J1162" i="15"/>
  <c r="S1162" i="15"/>
  <c r="AB1162" i="15"/>
  <c r="G1166" i="15"/>
  <c r="Q1166" i="15"/>
  <c r="AD1167" i="15"/>
  <c r="V1167" i="15"/>
  <c r="N1167" i="15"/>
  <c r="I1167" i="15"/>
  <c r="R1167" i="15"/>
  <c r="AA1167" i="15"/>
  <c r="G1171" i="15"/>
  <c r="P1171" i="15"/>
  <c r="Y1171" i="15"/>
  <c r="AH1173" i="15"/>
  <c r="Z1173" i="15"/>
  <c r="R1173" i="15"/>
  <c r="J1173" i="15"/>
  <c r="I1173" i="15"/>
  <c r="S1173" i="15"/>
  <c r="AB1173" i="15"/>
  <c r="G1177" i="15"/>
  <c r="P1177" i="15"/>
  <c r="AF1178" i="15"/>
  <c r="X1178" i="15"/>
  <c r="P1178" i="15"/>
  <c r="H1178" i="15"/>
  <c r="J1178" i="15"/>
  <c r="S1178" i="15"/>
  <c r="AB1178" i="15"/>
  <c r="G1182" i="15"/>
  <c r="Q1182" i="15"/>
  <c r="AD1183" i="15"/>
  <c r="V1183" i="15"/>
  <c r="N1183" i="15"/>
  <c r="I1183" i="15"/>
  <c r="R1183" i="15"/>
  <c r="AA1183" i="15"/>
  <c r="G1187" i="15"/>
  <c r="P1187" i="15"/>
  <c r="Y1187" i="15"/>
  <c r="AH1189" i="15"/>
  <c r="Z1189" i="15"/>
  <c r="R1189" i="15"/>
  <c r="J1189" i="15"/>
  <c r="I1189" i="15"/>
  <c r="S1189" i="15"/>
  <c r="AB1189" i="15"/>
  <c r="P1193" i="15"/>
  <c r="AF1194" i="15"/>
  <c r="X1194" i="15"/>
  <c r="P1194" i="15"/>
  <c r="H1194" i="15"/>
  <c r="J1194" i="15"/>
  <c r="S1194" i="15"/>
  <c r="AB1194" i="15"/>
  <c r="AD1199" i="15"/>
  <c r="V1199" i="15"/>
  <c r="N1199" i="15"/>
  <c r="I1199" i="15"/>
  <c r="R1199" i="15"/>
  <c r="AA1199" i="15"/>
  <c r="G1203" i="15"/>
  <c r="P1203" i="15"/>
  <c r="Y1203" i="15"/>
  <c r="AH1205" i="15"/>
  <c r="Z1205" i="15"/>
  <c r="R1205" i="15"/>
  <c r="J1205" i="15"/>
  <c r="I1205" i="15"/>
  <c r="S1205" i="15"/>
  <c r="AB1205" i="15"/>
  <c r="G1209" i="15"/>
  <c r="P1209" i="15"/>
  <c r="AF1210" i="15"/>
  <c r="X1210" i="15"/>
  <c r="P1210" i="15"/>
  <c r="H1210" i="15"/>
  <c r="J1210" i="15"/>
  <c r="S1210" i="15"/>
  <c r="AB1210" i="15"/>
  <c r="G1214" i="15"/>
  <c r="Q1214" i="15"/>
  <c r="AD1215" i="15"/>
  <c r="V1215" i="15"/>
  <c r="N1215" i="15"/>
  <c r="I1215" i="15"/>
  <c r="R1215" i="15"/>
  <c r="AA1215" i="15"/>
  <c r="Y1219" i="15"/>
  <c r="AH1221" i="15"/>
  <c r="Z1221" i="15"/>
  <c r="R1221" i="15"/>
  <c r="J1221" i="15"/>
  <c r="I1221" i="15"/>
  <c r="S1221" i="15"/>
  <c r="AB1221" i="15"/>
  <c r="G1225" i="15"/>
  <c r="P1225" i="15"/>
  <c r="AF1226" i="15"/>
  <c r="X1226" i="15"/>
  <c r="P1226" i="15"/>
  <c r="H1226" i="15"/>
  <c r="J1226" i="15"/>
  <c r="S1226" i="15"/>
  <c r="AB1226" i="15"/>
  <c r="G1230" i="15"/>
  <c r="Q1230" i="15"/>
  <c r="AD1231" i="15"/>
  <c r="V1231" i="15"/>
  <c r="N1231" i="15"/>
  <c r="I1231" i="15"/>
  <c r="R1231" i="15"/>
  <c r="AA1231" i="15"/>
  <c r="Y1235" i="15"/>
  <c r="AH1237" i="15"/>
  <c r="Z1237" i="15"/>
  <c r="R1237" i="15"/>
  <c r="J1237" i="15"/>
  <c r="I1237" i="15"/>
  <c r="S1237" i="15"/>
  <c r="AB1237" i="15"/>
  <c r="G1241" i="15"/>
  <c r="P1241" i="15"/>
  <c r="AF1242" i="15"/>
  <c r="X1242" i="15"/>
  <c r="P1242" i="15"/>
  <c r="H1242" i="15"/>
  <c r="J1242" i="15"/>
  <c r="S1242" i="15"/>
  <c r="AB1242" i="15"/>
  <c r="G1246" i="15"/>
  <c r="Q1246" i="15"/>
  <c r="AD1247" i="15"/>
  <c r="V1247" i="15"/>
  <c r="N1247" i="15"/>
  <c r="AC1247" i="15"/>
  <c r="I1247" i="15"/>
  <c r="R1247" i="15"/>
  <c r="AA1247" i="15"/>
  <c r="G1252" i="15"/>
  <c r="Q1252" i="15"/>
  <c r="AF1254" i="15"/>
  <c r="X1254" i="15"/>
  <c r="P1254" i="15"/>
  <c r="H1254" i="15"/>
  <c r="AE1254" i="15"/>
  <c r="W1254" i="15"/>
  <c r="O1254" i="15"/>
  <c r="G1254" i="15"/>
  <c r="K1254" i="15"/>
  <c r="U1254" i="15"/>
  <c r="AG1254" i="15"/>
  <c r="G1255" i="15"/>
  <c r="Q1255" i="15"/>
  <c r="G1260" i="15"/>
  <c r="Q1260" i="15"/>
  <c r="AF1262" i="15"/>
  <c r="X1262" i="15"/>
  <c r="P1262" i="15"/>
  <c r="H1262" i="15"/>
  <c r="AE1262" i="15"/>
  <c r="W1262" i="15"/>
  <c r="O1262" i="15"/>
  <c r="G1262" i="15"/>
  <c r="K1262" i="15"/>
  <c r="U1262" i="15"/>
  <c r="AG1262" i="15"/>
  <c r="G1263" i="15"/>
  <c r="Q1263" i="15"/>
  <c r="G1268" i="15"/>
  <c r="Q1268" i="15"/>
  <c r="AF1270" i="15"/>
  <c r="X1270" i="15"/>
  <c r="P1270" i="15"/>
  <c r="H1270" i="15"/>
  <c r="AE1270" i="15"/>
  <c r="W1270" i="15"/>
  <c r="O1270" i="15"/>
  <c r="G1270" i="15"/>
  <c r="K1270" i="15"/>
  <c r="U1270" i="15"/>
  <c r="AG1270" i="15"/>
  <c r="G1271" i="15"/>
  <c r="Q1271" i="15"/>
  <c r="G1276" i="15"/>
  <c r="Q1276" i="15"/>
  <c r="AF1278" i="15"/>
  <c r="X1278" i="15"/>
  <c r="P1278" i="15"/>
  <c r="H1278" i="15"/>
  <c r="AE1278" i="15"/>
  <c r="W1278" i="15"/>
  <c r="O1278" i="15"/>
  <c r="G1278" i="15"/>
  <c r="K1278" i="15"/>
  <c r="U1278" i="15"/>
  <c r="AG1278" i="15"/>
  <c r="G1279" i="15"/>
  <c r="Q1279" i="15"/>
  <c r="G1284" i="15"/>
  <c r="Q1284" i="15"/>
  <c r="AF1286" i="15"/>
  <c r="X1286" i="15"/>
  <c r="P1286" i="15"/>
  <c r="H1286" i="15"/>
  <c r="AE1286" i="15"/>
  <c r="W1286" i="15"/>
  <c r="O1286" i="15"/>
  <c r="G1286" i="15"/>
  <c r="K1286" i="15"/>
  <c r="U1286" i="15"/>
  <c r="AG1286" i="15"/>
  <c r="G1287" i="15"/>
  <c r="Q1287" i="15"/>
  <c r="G1292" i="15"/>
  <c r="Q1292" i="15"/>
  <c r="AF1294" i="15"/>
  <c r="X1294" i="15"/>
  <c r="P1294" i="15"/>
  <c r="H1294" i="15"/>
  <c r="AE1294" i="15"/>
  <c r="W1294" i="15"/>
  <c r="O1294" i="15"/>
  <c r="G1294" i="15"/>
  <c r="K1294" i="15"/>
  <c r="U1294" i="15"/>
  <c r="AG1294" i="15"/>
  <c r="G1295" i="15"/>
  <c r="Q1295" i="15"/>
  <c r="G1300" i="15"/>
  <c r="Q1300" i="15"/>
  <c r="AF1302" i="15"/>
  <c r="X1302" i="15"/>
  <c r="P1302" i="15"/>
  <c r="H1302" i="15"/>
  <c r="AE1302" i="15"/>
  <c r="W1302" i="15"/>
  <c r="O1302" i="15"/>
  <c r="G1302" i="15"/>
  <c r="K1302" i="15"/>
  <c r="U1302" i="15"/>
  <c r="AG1302" i="15"/>
  <c r="G1303" i="15"/>
  <c r="Q1303" i="15"/>
  <c r="G1308" i="15"/>
  <c r="Q1308" i="15"/>
  <c r="AF1310" i="15"/>
  <c r="X1310" i="15"/>
  <c r="P1310" i="15"/>
  <c r="H1310" i="15"/>
  <c r="AE1310" i="15"/>
  <c r="W1310" i="15"/>
  <c r="O1310" i="15"/>
  <c r="G1310" i="15"/>
  <c r="K1310" i="15"/>
  <c r="U1310" i="15"/>
  <c r="AG1310" i="15"/>
  <c r="G1311" i="15"/>
  <c r="Q1311" i="15"/>
  <c r="G1316" i="15"/>
  <c r="Q1316" i="15"/>
  <c r="AF1318" i="15"/>
  <c r="X1318" i="15"/>
  <c r="P1318" i="15"/>
  <c r="H1318" i="15"/>
  <c r="AE1318" i="15"/>
  <c r="W1318" i="15"/>
  <c r="O1318" i="15"/>
  <c r="G1318" i="15"/>
  <c r="K1318" i="15"/>
  <c r="U1318" i="15"/>
  <c r="AG1318" i="15"/>
  <c r="G1319" i="15"/>
  <c r="Q1319" i="15"/>
  <c r="G1324" i="15"/>
  <c r="Q1324" i="15"/>
  <c r="AF1326" i="15"/>
  <c r="X1326" i="15"/>
  <c r="P1326" i="15"/>
  <c r="H1326" i="15"/>
  <c r="AE1326" i="15"/>
  <c r="W1326" i="15"/>
  <c r="O1326" i="15"/>
  <c r="G1326" i="15"/>
  <c r="K1326" i="15"/>
  <c r="U1326" i="15"/>
  <c r="AG1326" i="15"/>
  <c r="G1327" i="15"/>
  <c r="Q1327" i="15"/>
  <c r="G1332" i="15"/>
  <c r="Q1332" i="15"/>
  <c r="AF1334" i="15"/>
  <c r="X1334" i="15"/>
  <c r="P1334" i="15"/>
  <c r="H1334" i="15"/>
  <c r="AE1334" i="15"/>
  <c r="W1334" i="15"/>
  <c r="O1334" i="15"/>
  <c r="G1334" i="15"/>
  <c r="K1334" i="15"/>
  <c r="U1334" i="15"/>
  <c r="AG1334" i="15"/>
  <c r="G1335" i="15"/>
  <c r="Q1335" i="15"/>
  <c r="G1340" i="15"/>
  <c r="Q1340" i="15"/>
  <c r="AF1342" i="15"/>
  <c r="X1342" i="15"/>
  <c r="P1342" i="15"/>
  <c r="H1342" i="15"/>
  <c r="AE1342" i="15"/>
  <c r="W1342" i="15"/>
  <c r="O1342" i="15"/>
  <c r="G1342" i="15"/>
  <c r="K1342" i="15"/>
  <c r="U1342" i="15"/>
  <c r="AG1342" i="15"/>
  <c r="G1343" i="15"/>
  <c r="Q1343" i="15"/>
  <c r="G1348" i="15"/>
  <c r="Q1348" i="15"/>
  <c r="AG1350" i="15"/>
  <c r="AF1350" i="15"/>
  <c r="X1350" i="15"/>
  <c r="P1350" i="15"/>
  <c r="H1350" i="15"/>
  <c r="AE1350" i="15"/>
  <c r="W1350" i="15"/>
  <c r="O1350" i="15"/>
  <c r="G1350" i="15"/>
  <c r="K1350" i="15"/>
  <c r="U1350" i="15"/>
  <c r="AH1350" i="15"/>
  <c r="H1355" i="15"/>
  <c r="S1355" i="15"/>
  <c r="G1356" i="15"/>
  <c r="R1356" i="15"/>
  <c r="AE1379" i="15"/>
  <c r="W1379" i="15"/>
  <c r="O1379" i="15"/>
  <c r="G1379" i="15"/>
  <c r="AD1379" i="15"/>
  <c r="V1379" i="15"/>
  <c r="N1379" i="15"/>
  <c r="AC1379" i="15"/>
  <c r="U1379" i="15"/>
  <c r="M1379" i="15"/>
  <c r="J1379" i="15"/>
  <c r="X1379" i="15"/>
  <c r="AC1380" i="15"/>
  <c r="U1380" i="15"/>
  <c r="M1380" i="15"/>
  <c r="AB1380" i="15"/>
  <c r="T1380" i="15"/>
  <c r="L1380" i="15"/>
  <c r="AA1380" i="15"/>
  <c r="S1380" i="15"/>
  <c r="K1380" i="15"/>
  <c r="I1380" i="15"/>
  <c r="W1380" i="15"/>
  <c r="AH1380" i="15"/>
  <c r="H1387" i="15"/>
  <c r="S1387" i="15"/>
  <c r="G1388" i="15"/>
  <c r="R1388" i="15"/>
  <c r="AE1411" i="15"/>
  <c r="W1411" i="15"/>
  <c r="O1411" i="15"/>
  <c r="G1411" i="15"/>
  <c r="AD1411" i="15"/>
  <c r="V1411" i="15"/>
  <c r="N1411" i="15"/>
  <c r="AC1411" i="15"/>
  <c r="U1411" i="15"/>
  <c r="M1411" i="15"/>
  <c r="J1411" i="15"/>
  <c r="X1411" i="15"/>
  <c r="AC1412" i="15"/>
  <c r="U1412" i="15"/>
  <c r="M1412" i="15"/>
  <c r="AB1412" i="15"/>
  <c r="T1412" i="15"/>
  <c r="L1412" i="15"/>
  <c r="AA1412" i="15"/>
  <c r="S1412" i="15"/>
  <c r="K1412" i="15"/>
  <c r="I1412" i="15"/>
  <c r="W1412" i="15"/>
  <c r="AH1412" i="15"/>
  <c r="S1419" i="15"/>
  <c r="G1420" i="15"/>
  <c r="R1420" i="15"/>
  <c r="AE1443" i="15"/>
  <c r="W1443" i="15"/>
  <c r="O1443" i="15"/>
  <c r="G1443" i="15"/>
  <c r="AD1443" i="15"/>
  <c r="V1443" i="15"/>
  <c r="N1443" i="15"/>
  <c r="AC1443" i="15"/>
  <c r="U1443" i="15"/>
  <c r="M1443" i="15"/>
  <c r="J1443" i="15"/>
  <c r="X1443" i="15"/>
  <c r="AC1444" i="15"/>
  <c r="U1444" i="15"/>
  <c r="M1444" i="15"/>
  <c r="AB1444" i="15"/>
  <c r="T1444" i="15"/>
  <c r="L1444" i="15"/>
  <c r="AA1444" i="15"/>
  <c r="S1444" i="15"/>
  <c r="K1444" i="15"/>
  <c r="I1444" i="15"/>
  <c r="W1444" i="15"/>
  <c r="AH1444" i="15"/>
  <c r="H1451" i="15"/>
  <c r="S1451" i="15"/>
  <c r="G1452" i="15"/>
  <c r="R1452" i="15"/>
  <c r="AE1475" i="15"/>
  <c r="W1475" i="15"/>
  <c r="O1475" i="15"/>
  <c r="G1475" i="15"/>
  <c r="AD1475" i="15"/>
  <c r="V1475" i="15"/>
  <c r="N1475" i="15"/>
  <c r="AC1475" i="15"/>
  <c r="U1475" i="15"/>
  <c r="M1475" i="15"/>
  <c r="J1475" i="15"/>
  <c r="X1475" i="15"/>
  <c r="AC1476" i="15"/>
  <c r="U1476" i="15"/>
  <c r="M1476" i="15"/>
  <c r="AB1476" i="15"/>
  <c r="T1476" i="15"/>
  <c r="L1476" i="15"/>
  <c r="AA1476" i="15"/>
  <c r="S1476" i="15"/>
  <c r="K1476" i="15"/>
  <c r="I1476" i="15"/>
  <c r="W1476" i="15"/>
  <c r="AH1476" i="15"/>
  <c r="S1483" i="15"/>
  <c r="R1484" i="15"/>
  <c r="AE1507" i="15"/>
  <c r="W1507" i="15"/>
  <c r="O1507" i="15"/>
  <c r="G1507" i="15"/>
  <c r="AD1507" i="15"/>
  <c r="V1507" i="15"/>
  <c r="N1507" i="15"/>
  <c r="AC1507" i="15"/>
  <c r="U1507" i="15"/>
  <c r="M1507" i="15"/>
  <c r="J1507" i="15"/>
  <c r="X1507" i="15"/>
  <c r="AC1508" i="15"/>
  <c r="U1508" i="15"/>
  <c r="M1508" i="15"/>
  <c r="AB1508" i="15"/>
  <c r="T1508" i="15"/>
  <c r="L1508" i="15"/>
  <c r="AA1508" i="15"/>
  <c r="S1508" i="15"/>
  <c r="K1508" i="15"/>
  <c r="I1508" i="15"/>
  <c r="W1508" i="15"/>
  <c r="AH1508" i="15"/>
  <c r="H1515" i="15"/>
  <c r="S1515" i="15"/>
  <c r="G1516" i="15"/>
  <c r="R1516" i="15"/>
  <c r="AE1539" i="15"/>
  <c r="W1539" i="15"/>
  <c r="O1539" i="15"/>
  <c r="G1539" i="15"/>
  <c r="AD1539" i="15"/>
  <c r="V1539" i="15"/>
  <c r="N1539" i="15"/>
  <c r="AC1539" i="15"/>
  <c r="U1539" i="15"/>
  <c r="M1539" i="15"/>
  <c r="J1539" i="15"/>
  <c r="X1539" i="15"/>
  <c r="AC1540" i="15"/>
  <c r="U1540" i="15"/>
  <c r="M1540" i="15"/>
  <c r="AB1540" i="15"/>
  <c r="T1540" i="15"/>
  <c r="L1540" i="15"/>
  <c r="AA1540" i="15"/>
  <c r="S1540" i="15"/>
  <c r="K1540" i="15"/>
  <c r="I1540" i="15"/>
  <c r="W1540" i="15"/>
  <c r="AH1540" i="15"/>
  <c r="H1547" i="15"/>
  <c r="S1547" i="15"/>
  <c r="G1548" i="15"/>
  <c r="R1548" i="15"/>
  <c r="AD1672" i="15"/>
  <c r="V1672" i="15"/>
  <c r="N1672" i="15"/>
  <c r="AC1672" i="15"/>
  <c r="U1672" i="15"/>
  <c r="M1672" i="15"/>
  <c r="AB1672" i="15"/>
  <c r="T1672" i="15"/>
  <c r="L1672" i="15"/>
  <c r="AA1672" i="15"/>
  <c r="S1672" i="15"/>
  <c r="K1672" i="15"/>
  <c r="I1672" i="15"/>
  <c r="Y1672" i="15"/>
  <c r="AF1675" i="15"/>
  <c r="X1675" i="15"/>
  <c r="P1675" i="15"/>
  <c r="H1675" i="15"/>
  <c r="AE1675" i="15"/>
  <c r="W1675" i="15"/>
  <c r="O1675" i="15"/>
  <c r="G1675" i="15"/>
  <c r="AD1675" i="15"/>
  <c r="V1675" i="15"/>
  <c r="N1675" i="15"/>
  <c r="AC1675" i="15"/>
  <c r="U1675" i="15"/>
  <c r="M1675" i="15"/>
  <c r="K1675" i="15"/>
  <c r="AA1675" i="15"/>
  <c r="AD1680" i="15"/>
  <c r="V1680" i="15"/>
  <c r="N1680" i="15"/>
  <c r="AC1680" i="15"/>
  <c r="U1680" i="15"/>
  <c r="M1680" i="15"/>
  <c r="AB1680" i="15"/>
  <c r="T1680" i="15"/>
  <c r="L1680" i="15"/>
  <c r="AA1680" i="15"/>
  <c r="S1680" i="15"/>
  <c r="K1680" i="15"/>
  <c r="I1680" i="15"/>
  <c r="Y1680" i="15"/>
  <c r="AF1683" i="15"/>
  <c r="X1683" i="15"/>
  <c r="P1683" i="15"/>
  <c r="H1683" i="15"/>
  <c r="AE1683" i="15"/>
  <c r="W1683" i="15"/>
  <c r="O1683" i="15"/>
  <c r="G1683" i="15"/>
  <c r="AD1683" i="15"/>
  <c r="V1683" i="15"/>
  <c r="N1683" i="15"/>
  <c r="AC1683" i="15"/>
  <c r="U1683" i="15"/>
  <c r="M1683" i="15"/>
  <c r="K1683" i="15"/>
  <c r="AA1683" i="15"/>
  <c r="AD1688" i="15"/>
  <c r="V1688" i="15"/>
  <c r="N1688" i="15"/>
  <c r="AC1688" i="15"/>
  <c r="U1688" i="15"/>
  <c r="M1688" i="15"/>
  <c r="AB1688" i="15"/>
  <c r="T1688" i="15"/>
  <c r="L1688" i="15"/>
  <c r="AA1688" i="15"/>
  <c r="S1688" i="15"/>
  <c r="K1688" i="15"/>
  <c r="I1688" i="15"/>
  <c r="Y1688" i="15"/>
  <c r="AF1691" i="15"/>
  <c r="X1691" i="15"/>
  <c r="P1691" i="15"/>
  <c r="H1691" i="15"/>
  <c r="AE1691" i="15"/>
  <c r="W1691" i="15"/>
  <c r="O1691" i="15"/>
  <c r="G1691" i="15"/>
  <c r="AD1691" i="15"/>
  <c r="V1691" i="15"/>
  <c r="N1691" i="15"/>
  <c r="AC1691" i="15"/>
  <c r="U1691" i="15"/>
  <c r="M1691" i="15"/>
  <c r="K1691" i="15"/>
  <c r="AA1691" i="15"/>
  <c r="AD1696" i="15"/>
  <c r="V1696" i="15"/>
  <c r="N1696" i="15"/>
  <c r="AC1696" i="15"/>
  <c r="U1696" i="15"/>
  <c r="M1696" i="15"/>
  <c r="AB1696" i="15"/>
  <c r="T1696" i="15"/>
  <c r="L1696" i="15"/>
  <c r="AA1696" i="15"/>
  <c r="S1696" i="15"/>
  <c r="K1696" i="15"/>
  <c r="I1696" i="15"/>
  <c r="Y1696" i="15"/>
  <c r="AF1699" i="15"/>
  <c r="X1699" i="15"/>
  <c r="P1699" i="15"/>
  <c r="H1699" i="15"/>
  <c r="AE1699" i="15"/>
  <c r="W1699" i="15"/>
  <c r="O1699" i="15"/>
  <c r="G1699" i="15"/>
  <c r="AD1699" i="15"/>
  <c r="V1699" i="15"/>
  <c r="N1699" i="15"/>
  <c r="AC1699" i="15"/>
  <c r="U1699" i="15"/>
  <c r="M1699" i="15"/>
  <c r="K1699" i="15"/>
  <c r="AA1699" i="15"/>
  <c r="AD1704" i="15"/>
  <c r="V1704" i="15"/>
  <c r="N1704" i="15"/>
  <c r="AC1704" i="15"/>
  <c r="U1704" i="15"/>
  <c r="M1704" i="15"/>
  <c r="AB1704" i="15"/>
  <c r="T1704" i="15"/>
  <c r="L1704" i="15"/>
  <c r="AA1704" i="15"/>
  <c r="S1704" i="15"/>
  <c r="K1704" i="15"/>
  <c r="I1704" i="15"/>
  <c r="Y1704" i="15"/>
  <c r="AF1707" i="15"/>
  <c r="X1707" i="15"/>
  <c r="P1707" i="15"/>
  <c r="H1707" i="15"/>
  <c r="AE1707" i="15"/>
  <c r="W1707" i="15"/>
  <c r="O1707" i="15"/>
  <c r="G1707" i="15"/>
  <c r="AD1707" i="15"/>
  <c r="V1707" i="15"/>
  <c r="N1707" i="15"/>
  <c r="AC1707" i="15"/>
  <c r="U1707" i="15"/>
  <c r="M1707" i="15"/>
  <c r="K1707" i="15"/>
  <c r="AA1707" i="15"/>
  <c r="AD1712" i="15"/>
  <c r="V1712" i="15"/>
  <c r="N1712" i="15"/>
  <c r="AC1712" i="15"/>
  <c r="U1712" i="15"/>
  <c r="M1712" i="15"/>
  <c r="AB1712" i="15"/>
  <c r="T1712" i="15"/>
  <c r="L1712" i="15"/>
  <c r="AA1712" i="15"/>
  <c r="S1712" i="15"/>
  <c r="K1712" i="15"/>
  <c r="I1712" i="15"/>
  <c r="Y1712" i="15"/>
  <c r="AF1715" i="15"/>
  <c r="X1715" i="15"/>
  <c r="P1715" i="15"/>
  <c r="H1715" i="15"/>
  <c r="AE1715" i="15"/>
  <c r="W1715" i="15"/>
  <c r="O1715" i="15"/>
  <c r="G1715" i="15"/>
  <c r="AD1715" i="15"/>
  <c r="V1715" i="15"/>
  <c r="N1715" i="15"/>
  <c r="AC1715" i="15"/>
  <c r="U1715" i="15"/>
  <c r="M1715" i="15"/>
  <c r="K1715" i="15"/>
  <c r="AA1715" i="15"/>
  <c r="AD1720" i="15"/>
  <c r="V1720" i="15"/>
  <c r="N1720" i="15"/>
  <c r="AC1720" i="15"/>
  <c r="U1720" i="15"/>
  <c r="M1720" i="15"/>
  <c r="AB1720" i="15"/>
  <c r="T1720" i="15"/>
  <c r="L1720" i="15"/>
  <c r="AA1720" i="15"/>
  <c r="S1720" i="15"/>
  <c r="K1720" i="15"/>
  <c r="I1720" i="15"/>
  <c r="Y1720" i="15"/>
  <c r="AF1723" i="15"/>
  <c r="X1723" i="15"/>
  <c r="P1723" i="15"/>
  <c r="H1723" i="15"/>
  <c r="AE1723" i="15"/>
  <c r="W1723" i="15"/>
  <c r="O1723" i="15"/>
  <c r="G1723" i="15"/>
  <c r="AD1723" i="15"/>
  <c r="V1723" i="15"/>
  <c r="N1723" i="15"/>
  <c r="AC1723" i="15"/>
  <c r="U1723" i="15"/>
  <c r="M1723" i="15"/>
  <c r="K1723" i="15"/>
  <c r="AA1723" i="15"/>
  <c r="AD1728" i="15"/>
  <c r="V1728" i="15"/>
  <c r="N1728" i="15"/>
  <c r="AC1728" i="15"/>
  <c r="U1728" i="15"/>
  <c r="M1728" i="15"/>
  <c r="AB1728" i="15"/>
  <c r="T1728" i="15"/>
  <c r="L1728" i="15"/>
  <c r="AA1728" i="15"/>
  <c r="S1728" i="15"/>
  <c r="K1728" i="15"/>
  <c r="I1728" i="15"/>
  <c r="Y1728" i="15"/>
  <c r="AF1731" i="15"/>
  <c r="X1731" i="15"/>
  <c r="P1731" i="15"/>
  <c r="H1731" i="15"/>
  <c r="AE1731" i="15"/>
  <c r="W1731" i="15"/>
  <c r="O1731" i="15"/>
  <c r="G1731" i="15"/>
  <c r="AD1731" i="15"/>
  <c r="V1731" i="15"/>
  <c r="N1731" i="15"/>
  <c r="AC1731" i="15"/>
  <c r="U1731" i="15"/>
  <c r="M1731" i="15"/>
  <c r="K1731" i="15"/>
  <c r="AA1731" i="15"/>
  <c r="AD1736" i="15"/>
  <c r="V1736" i="15"/>
  <c r="N1736" i="15"/>
  <c r="AC1736" i="15"/>
  <c r="U1736" i="15"/>
  <c r="M1736" i="15"/>
  <c r="AB1736" i="15"/>
  <c r="T1736" i="15"/>
  <c r="L1736" i="15"/>
  <c r="AA1736" i="15"/>
  <c r="S1736" i="15"/>
  <c r="K1736" i="15"/>
  <c r="I1736" i="15"/>
  <c r="Y1736" i="15"/>
  <c r="AF1739" i="15"/>
  <c r="X1739" i="15"/>
  <c r="P1739" i="15"/>
  <c r="H1739" i="15"/>
  <c r="AE1739" i="15"/>
  <c r="W1739" i="15"/>
  <c r="O1739" i="15"/>
  <c r="G1739" i="15"/>
  <c r="AD1739" i="15"/>
  <c r="V1739" i="15"/>
  <c r="N1739" i="15"/>
  <c r="AC1739" i="15"/>
  <c r="U1739" i="15"/>
  <c r="M1739" i="15"/>
  <c r="K1739" i="15"/>
  <c r="AA1739" i="15"/>
  <c r="AD1744" i="15"/>
  <c r="V1744" i="15"/>
  <c r="N1744" i="15"/>
  <c r="AC1744" i="15"/>
  <c r="U1744" i="15"/>
  <c r="M1744" i="15"/>
  <c r="AB1744" i="15"/>
  <c r="T1744" i="15"/>
  <c r="L1744" i="15"/>
  <c r="AA1744" i="15"/>
  <c r="S1744" i="15"/>
  <c r="K1744" i="15"/>
  <c r="I1744" i="15"/>
  <c r="Y1744" i="15"/>
  <c r="AF1747" i="15"/>
  <c r="X1747" i="15"/>
  <c r="P1747" i="15"/>
  <c r="H1747" i="15"/>
  <c r="AE1747" i="15"/>
  <c r="W1747" i="15"/>
  <c r="O1747" i="15"/>
  <c r="G1747" i="15"/>
  <c r="AD1747" i="15"/>
  <c r="V1747" i="15"/>
  <c r="N1747" i="15"/>
  <c r="AC1747" i="15"/>
  <c r="U1747" i="15"/>
  <c r="M1747" i="15"/>
  <c r="K1747" i="15"/>
  <c r="AA1747" i="15"/>
  <c r="AD1752" i="15"/>
  <c r="V1752" i="15"/>
  <c r="N1752" i="15"/>
  <c r="AC1752" i="15"/>
  <c r="U1752" i="15"/>
  <c r="M1752" i="15"/>
  <c r="AB1752" i="15"/>
  <c r="T1752" i="15"/>
  <c r="L1752" i="15"/>
  <c r="AA1752" i="15"/>
  <c r="S1752" i="15"/>
  <c r="K1752" i="15"/>
  <c r="I1752" i="15"/>
  <c r="Y1752" i="15"/>
  <c r="AF1755" i="15"/>
  <c r="X1755" i="15"/>
  <c r="P1755" i="15"/>
  <c r="H1755" i="15"/>
  <c r="AE1755" i="15"/>
  <c r="W1755" i="15"/>
  <c r="O1755" i="15"/>
  <c r="G1755" i="15"/>
  <c r="AD1755" i="15"/>
  <c r="V1755" i="15"/>
  <c r="N1755" i="15"/>
  <c r="AC1755" i="15"/>
  <c r="U1755" i="15"/>
  <c r="M1755" i="15"/>
  <c r="K1755" i="15"/>
  <c r="AA1755" i="15"/>
  <c r="AD1760" i="15"/>
  <c r="V1760" i="15"/>
  <c r="N1760" i="15"/>
  <c r="AC1760" i="15"/>
  <c r="U1760" i="15"/>
  <c r="M1760" i="15"/>
  <c r="AB1760" i="15"/>
  <c r="T1760" i="15"/>
  <c r="L1760" i="15"/>
  <c r="AA1760" i="15"/>
  <c r="S1760" i="15"/>
  <c r="K1760" i="15"/>
  <c r="I1760" i="15"/>
  <c r="Y1760" i="15"/>
  <c r="AF1763" i="15"/>
  <c r="X1763" i="15"/>
  <c r="P1763" i="15"/>
  <c r="H1763" i="15"/>
  <c r="AE1763" i="15"/>
  <c r="W1763" i="15"/>
  <c r="O1763" i="15"/>
  <c r="G1763" i="15"/>
  <c r="AD1763" i="15"/>
  <c r="V1763" i="15"/>
  <c r="N1763" i="15"/>
  <c r="AC1763" i="15"/>
  <c r="U1763" i="15"/>
  <c r="M1763" i="15"/>
  <c r="K1763" i="15"/>
  <c r="AA1763" i="15"/>
  <c r="AD1768" i="15"/>
  <c r="V1768" i="15"/>
  <c r="N1768" i="15"/>
  <c r="AC1768" i="15"/>
  <c r="U1768" i="15"/>
  <c r="M1768" i="15"/>
  <c r="AB1768" i="15"/>
  <c r="T1768" i="15"/>
  <c r="L1768" i="15"/>
  <c r="AA1768" i="15"/>
  <c r="S1768" i="15"/>
  <c r="K1768" i="15"/>
  <c r="I1768" i="15"/>
  <c r="Y1768" i="15"/>
  <c r="AF1771" i="15"/>
  <c r="X1771" i="15"/>
  <c r="P1771" i="15"/>
  <c r="H1771" i="15"/>
  <c r="AE1771" i="15"/>
  <c r="W1771" i="15"/>
  <c r="O1771" i="15"/>
  <c r="G1771" i="15"/>
  <c r="AD1771" i="15"/>
  <c r="V1771" i="15"/>
  <c r="N1771" i="15"/>
  <c r="AC1771" i="15"/>
  <c r="U1771" i="15"/>
  <c r="M1771" i="15"/>
  <c r="K1771" i="15"/>
  <c r="AA1771" i="15"/>
  <c r="AD1776" i="15"/>
  <c r="V1776" i="15"/>
  <c r="N1776" i="15"/>
  <c r="AC1776" i="15"/>
  <c r="U1776" i="15"/>
  <c r="M1776" i="15"/>
  <c r="AB1776" i="15"/>
  <c r="T1776" i="15"/>
  <c r="L1776" i="15"/>
  <c r="AA1776" i="15"/>
  <c r="S1776" i="15"/>
  <c r="K1776" i="15"/>
  <c r="I1776" i="15"/>
  <c r="Y1776" i="15"/>
  <c r="AF1779" i="15"/>
  <c r="X1779" i="15"/>
  <c r="P1779" i="15"/>
  <c r="H1779" i="15"/>
  <c r="AE1779" i="15"/>
  <c r="W1779" i="15"/>
  <c r="O1779" i="15"/>
  <c r="G1779" i="15"/>
  <c r="AD1779" i="15"/>
  <c r="V1779" i="15"/>
  <c r="N1779" i="15"/>
  <c r="AC1779" i="15"/>
  <c r="U1779" i="15"/>
  <c r="M1779" i="15"/>
  <c r="K1779" i="15"/>
  <c r="AA1779" i="15"/>
  <c r="AD1784" i="15"/>
  <c r="V1784" i="15"/>
  <c r="N1784" i="15"/>
  <c r="AC1784" i="15"/>
  <c r="U1784" i="15"/>
  <c r="M1784" i="15"/>
  <c r="AB1784" i="15"/>
  <c r="T1784" i="15"/>
  <c r="L1784" i="15"/>
  <c r="AA1784" i="15"/>
  <c r="S1784" i="15"/>
  <c r="K1784" i="15"/>
  <c r="I1784" i="15"/>
  <c r="Y1784" i="15"/>
  <c r="AF1787" i="15"/>
  <c r="X1787" i="15"/>
  <c r="P1787" i="15"/>
  <c r="H1787" i="15"/>
  <c r="AE1787" i="15"/>
  <c r="W1787" i="15"/>
  <c r="O1787" i="15"/>
  <c r="G1787" i="15"/>
  <c r="AD1787" i="15"/>
  <c r="V1787" i="15"/>
  <c r="N1787" i="15"/>
  <c r="AC1787" i="15"/>
  <c r="U1787" i="15"/>
  <c r="M1787" i="15"/>
  <c r="K1787" i="15"/>
  <c r="AA1787" i="15"/>
  <c r="AD1792" i="15"/>
  <c r="V1792" i="15"/>
  <c r="N1792" i="15"/>
  <c r="AC1792" i="15"/>
  <c r="U1792" i="15"/>
  <c r="M1792" i="15"/>
  <c r="AB1792" i="15"/>
  <c r="T1792" i="15"/>
  <c r="L1792" i="15"/>
  <c r="AA1792" i="15"/>
  <c r="S1792" i="15"/>
  <c r="K1792" i="15"/>
  <c r="I1792" i="15"/>
  <c r="Y1792" i="15"/>
  <c r="AF1795" i="15"/>
  <c r="X1795" i="15"/>
  <c r="P1795" i="15"/>
  <c r="H1795" i="15"/>
  <c r="AE1795" i="15"/>
  <c r="W1795" i="15"/>
  <c r="O1795" i="15"/>
  <c r="G1795" i="15"/>
  <c r="AD1795" i="15"/>
  <c r="V1795" i="15"/>
  <c r="N1795" i="15"/>
  <c r="AC1795" i="15"/>
  <c r="U1795" i="15"/>
  <c r="M1795" i="15"/>
  <c r="K1795" i="15"/>
  <c r="AA1795" i="15"/>
  <c r="H1800" i="15"/>
  <c r="J1803" i="15"/>
  <c r="H1808" i="15"/>
  <c r="H3" i="16"/>
  <c r="G3" i="16"/>
  <c r="H5" i="16"/>
  <c r="H8" i="16"/>
  <c r="G8" i="16"/>
  <c r="H10" i="16"/>
  <c r="G10" i="16"/>
  <c r="M10" i="16"/>
  <c r="E10" i="16"/>
  <c r="H21" i="16"/>
  <c r="H24" i="16"/>
  <c r="G24" i="16"/>
  <c r="P26" i="16"/>
  <c r="H26" i="9" s="1"/>
  <c r="H26" i="16"/>
  <c r="G26" i="16"/>
  <c r="F26" i="16"/>
  <c r="M26" i="16"/>
  <c r="E26" i="16"/>
  <c r="I26" i="9" s="1"/>
  <c r="T26" i="16"/>
  <c r="H37" i="16"/>
  <c r="H40" i="16"/>
  <c r="G40" i="16"/>
  <c r="P42" i="16"/>
  <c r="H42" i="9" s="1"/>
  <c r="H42" i="16"/>
  <c r="G42" i="16"/>
  <c r="F42" i="16"/>
  <c r="M42" i="16"/>
  <c r="E42" i="16"/>
  <c r="I42" i="9" s="1"/>
  <c r="T42" i="16"/>
  <c r="F52" i="16"/>
  <c r="P52" i="16"/>
  <c r="H52" i="9" s="1"/>
  <c r="J74" i="16"/>
  <c r="H74" i="16"/>
  <c r="G74" i="16"/>
  <c r="T76" i="16"/>
  <c r="M87" i="16"/>
  <c r="E87" i="16"/>
  <c r="L87" i="16"/>
  <c r="J87" i="16"/>
  <c r="I87" i="16"/>
  <c r="H87" i="16"/>
  <c r="G87" i="16"/>
  <c r="G126" i="16"/>
  <c r="F126" i="16"/>
  <c r="M126" i="16"/>
  <c r="E126" i="16"/>
  <c r="I126" i="16"/>
  <c r="H126" i="16"/>
  <c r="T126" i="16"/>
  <c r="M136" i="16"/>
  <c r="E136" i="16"/>
  <c r="L136" i="16"/>
  <c r="K136" i="16"/>
  <c r="G136" i="16"/>
  <c r="T136" i="16"/>
  <c r="G158" i="16"/>
  <c r="M158" i="16"/>
  <c r="K165" i="16"/>
  <c r="J165" i="16"/>
  <c r="M165" i="16"/>
  <c r="L165" i="16"/>
  <c r="H165" i="16"/>
  <c r="G165" i="16"/>
  <c r="G169" i="16"/>
  <c r="M169" i="16"/>
  <c r="E169" i="16"/>
  <c r="T169" i="16" s="1"/>
  <c r="P169" i="16"/>
  <c r="H169" i="9" s="1"/>
  <c r="I169" i="16"/>
  <c r="H169" i="16"/>
  <c r="P184" i="16"/>
  <c r="H184" i="9" s="1"/>
  <c r="H184" i="16"/>
  <c r="G184" i="16"/>
  <c r="F184" i="16"/>
  <c r="E184" i="16"/>
  <c r="I184" i="9" s="1"/>
  <c r="T184" i="16"/>
  <c r="I184" i="16"/>
  <c r="K189" i="16"/>
  <c r="M211" i="16"/>
  <c r="E211" i="16"/>
  <c r="L211" i="16"/>
  <c r="K211" i="16"/>
  <c r="I211" i="16"/>
  <c r="H211" i="16"/>
  <c r="G211" i="16"/>
  <c r="J211" i="16"/>
  <c r="F211" i="16"/>
  <c r="G217" i="16"/>
  <c r="M217" i="16"/>
  <c r="E217" i="16"/>
  <c r="I217" i="16"/>
  <c r="H217" i="16"/>
  <c r="J217" i="16"/>
  <c r="M303" i="16"/>
  <c r="L303" i="16"/>
  <c r="K303" i="16"/>
  <c r="J303" i="16"/>
  <c r="M309" i="16"/>
  <c r="L309" i="16"/>
  <c r="H309" i="16"/>
  <c r="G309" i="16"/>
  <c r="J313" i="16"/>
  <c r="I313" i="16"/>
  <c r="H313" i="16"/>
  <c r="M330" i="16"/>
  <c r="E330" i="16"/>
  <c r="L330" i="16"/>
  <c r="H330" i="16"/>
  <c r="G330" i="16"/>
  <c r="K330" i="16"/>
  <c r="O330" i="16" s="1"/>
  <c r="J330" i="16"/>
  <c r="I330" i="16"/>
  <c r="K383" i="16"/>
  <c r="J383" i="16"/>
  <c r="M383" i="16"/>
  <c r="O426" i="16"/>
  <c r="M427" i="16"/>
  <c r="E427" i="16"/>
  <c r="I427" i="9" s="1"/>
  <c r="L427" i="16"/>
  <c r="K427" i="16"/>
  <c r="G427" i="16"/>
  <c r="F427" i="16"/>
  <c r="P427" i="16"/>
  <c r="H427" i="9" s="1"/>
  <c r="O427" i="16"/>
  <c r="J427" i="16"/>
  <c r="I427" i="16"/>
  <c r="H427" i="16"/>
  <c r="G481" i="16"/>
  <c r="F481" i="16"/>
  <c r="M481" i="16"/>
  <c r="E481" i="16"/>
  <c r="I481" i="9" s="1"/>
  <c r="I481" i="16"/>
  <c r="H481" i="16"/>
  <c r="T481" i="16"/>
  <c r="L481" i="16"/>
  <c r="O481" i="16" s="1"/>
  <c r="K481" i="16"/>
  <c r="J481" i="16"/>
  <c r="E495" i="16"/>
  <c r="J517" i="16"/>
  <c r="F586" i="16"/>
  <c r="M586" i="16"/>
  <c r="E586" i="16"/>
  <c r="L586" i="16"/>
  <c r="H586" i="16"/>
  <c r="G586" i="16"/>
  <c r="J586" i="16"/>
  <c r="I586" i="16"/>
  <c r="O586" i="16" s="1"/>
  <c r="M603" i="16"/>
  <c r="E603" i="16"/>
  <c r="L603" i="16"/>
  <c r="K603" i="16"/>
  <c r="I603" i="16"/>
  <c r="O603" i="16" s="1"/>
  <c r="H603" i="16"/>
  <c r="G603" i="16"/>
  <c r="T603" i="16"/>
  <c r="F603" i="16"/>
  <c r="J603" i="16"/>
  <c r="H624" i="16"/>
  <c r="G624" i="16"/>
  <c r="J624" i="16"/>
  <c r="I624" i="16"/>
  <c r="O624" i="16" s="1"/>
  <c r="E624" i="16"/>
  <c r="P624" i="16" s="1"/>
  <c r="H624" i="9" s="1"/>
  <c r="K624" i="16"/>
  <c r="M664" i="16"/>
  <c r="K664" i="16"/>
  <c r="T668" i="16"/>
  <c r="P668" i="16"/>
  <c r="H668" i="9" s="1"/>
  <c r="K670" i="16"/>
  <c r="G670" i="16"/>
  <c r="M670" i="16"/>
  <c r="M687" i="16"/>
  <c r="L687" i="16"/>
  <c r="K687" i="16"/>
  <c r="O687" i="16" s="1"/>
  <c r="P687" i="16" s="1"/>
  <c r="J687" i="16"/>
  <c r="E703" i="16"/>
  <c r="M710" i="16"/>
  <c r="L710" i="16"/>
  <c r="K710" i="16"/>
  <c r="G710" i="16"/>
  <c r="L716" i="16"/>
  <c r="K716" i="16"/>
  <c r="J716" i="16"/>
  <c r="E716" i="16"/>
  <c r="O716" i="16"/>
  <c r="M716" i="16"/>
  <c r="H716" i="16"/>
  <c r="G716" i="16"/>
  <c r="F716" i="16"/>
  <c r="P716" i="16" s="1"/>
  <c r="H716" i="9" s="1"/>
  <c r="M743" i="16"/>
  <c r="L743" i="16"/>
  <c r="K743" i="16"/>
  <c r="J743" i="16"/>
  <c r="H760" i="16"/>
  <c r="G760" i="16"/>
  <c r="F760" i="16"/>
  <c r="I760" i="16"/>
  <c r="E760" i="16"/>
  <c r="M760" i="16"/>
  <c r="L760" i="16"/>
  <c r="O760" i="16" s="1"/>
  <c r="K760" i="16"/>
  <c r="J760" i="16"/>
  <c r="K769" i="16"/>
  <c r="J769" i="16"/>
  <c r="I769" i="16"/>
  <c r="O769" i="16" s="1"/>
  <c r="H769" i="16"/>
  <c r="F815" i="16"/>
  <c r="M826" i="16"/>
  <c r="E826" i="16"/>
  <c r="L826" i="16"/>
  <c r="J826" i="16"/>
  <c r="I826" i="16"/>
  <c r="O826" i="16" s="1"/>
  <c r="H826" i="16"/>
  <c r="G826" i="16"/>
  <c r="K826" i="16"/>
  <c r="H832" i="16"/>
  <c r="O832" i="16"/>
  <c r="G832" i="16"/>
  <c r="E832" i="16"/>
  <c r="M832" i="16"/>
  <c r="J832" i="16"/>
  <c r="I832" i="16"/>
  <c r="L836" i="16"/>
  <c r="K836" i="16"/>
  <c r="J836" i="16"/>
  <c r="E836" i="16"/>
  <c r="O836" i="16"/>
  <c r="H836" i="16"/>
  <c r="G836" i="16"/>
  <c r="J848" i="16"/>
  <c r="I848" i="16"/>
  <c r="E848" i="16"/>
  <c r="H872" i="16"/>
  <c r="O872" i="16" s="1"/>
  <c r="G872" i="16"/>
  <c r="K872" i="16"/>
  <c r="J872" i="16"/>
  <c r="I872" i="16"/>
  <c r="E872" i="16"/>
  <c r="M872" i="16"/>
  <c r="L872" i="16"/>
  <c r="M883" i="16"/>
  <c r="O883" i="16" s="1"/>
  <c r="E883" i="16"/>
  <c r="L883" i="16"/>
  <c r="K883" i="16"/>
  <c r="F883" i="16"/>
  <c r="G883" i="16"/>
  <c r="F893" i="16"/>
  <c r="M920" i="16"/>
  <c r="K920" i="16"/>
  <c r="K926" i="16"/>
  <c r="G926" i="16"/>
  <c r="M926" i="16"/>
  <c r="E959" i="16"/>
  <c r="F983" i="16"/>
  <c r="G1161" i="16"/>
  <c r="M1161" i="16"/>
  <c r="E1161" i="16"/>
  <c r="K1161" i="16"/>
  <c r="J1161" i="16"/>
  <c r="I1161" i="16"/>
  <c r="H1161" i="16"/>
  <c r="L1161" i="16"/>
  <c r="G1185" i="16"/>
  <c r="F1185" i="16"/>
  <c r="M1185" i="16"/>
  <c r="E1185" i="16"/>
  <c r="H1185" i="16"/>
  <c r="I1185" i="16"/>
  <c r="J1185" i="16"/>
  <c r="F1218" i="16"/>
  <c r="M1218" i="16"/>
  <c r="E1218" i="16"/>
  <c r="L1218" i="16"/>
  <c r="H1218" i="16"/>
  <c r="G1218" i="16"/>
  <c r="J1218" i="16"/>
  <c r="I1218" i="16"/>
  <c r="K1218" i="16"/>
  <c r="H1247" i="16"/>
  <c r="G1247" i="16"/>
  <c r="M1247" i="16"/>
  <c r="L1247" i="16"/>
  <c r="K1247" i="16"/>
  <c r="J1247" i="16"/>
  <c r="F1292" i="16"/>
  <c r="M1299" i="16"/>
  <c r="E1299" i="16"/>
  <c r="L1299" i="16"/>
  <c r="K1299" i="16"/>
  <c r="I1299" i="16"/>
  <c r="H1299" i="16"/>
  <c r="G1299" i="16"/>
  <c r="J1299" i="16"/>
  <c r="O1299" i="16" s="1"/>
  <c r="E1327" i="16"/>
  <c r="F1343" i="16"/>
  <c r="P1343" i="16" s="1"/>
  <c r="H1343" i="9" s="1"/>
  <c r="I1343" i="9" s="1"/>
  <c r="K1345" i="16"/>
  <c r="J1345" i="16"/>
  <c r="I1345" i="16"/>
  <c r="L1348" i="16"/>
  <c r="K1348" i="16"/>
  <c r="J1348" i="16"/>
  <c r="P1348" i="16"/>
  <c r="E1348" i="16"/>
  <c r="O1348" i="16"/>
  <c r="N1348" i="16"/>
  <c r="M1348" i="16"/>
  <c r="H1348" i="16"/>
  <c r="G1348" i="16"/>
  <c r="F1348" i="16"/>
  <c r="T1348" i="16"/>
  <c r="I1348" i="16"/>
  <c r="N1619" i="16"/>
  <c r="F1619" i="16"/>
  <c r="P1619" i="16"/>
  <c r="G1619" i="16"/>
  <c r="O1619" i="16"/>
  <c r="E1619" i="16"/>
  <c r="M1619" i="16"/>
  <c r="I1619" i="16"/>
  <c r="H1619" i="16"/>
  <c r="L1619" i="16"/>
  <c r="K1619" i="16"/>
  <c r="J1619" i="16"/>
  <c r="T1619" i="16"/>
  <c r="J2055" i="16"/>
  <c r="O2055" i="16"/>
  <c r="F2055" i="16"/>
  <c r="N2055" i="16"/>
  <c r="E2055" i="16"/>
  <c r="M2055" i="16"/>
  <c r="K2055" i="16"/>
  <c r="I2055" i="16"/>
  <c r="H2055" i="16"/>
  <c r="G2055" i="16"/>
  <c r="T2055" i="16"/>
  <c r="P2055" i="16"/>
  <c r="L2055" i="16"/>
  <c r="N2476" i="16"/>
  <c r="F2476" i="16"/>
  <c r="M2476" i="16"/>
  <c r="E2476" i="16"/>
  <c r="P2476" i="16"/>
  <c r="O2476" i="16"/>
  <c r="L2476" i="16"/>
  <c r="J2476" i="16"/>
  <c r="I2476" i="16"/>
  <c r="H2476" i="16"/>
  <c r="G2476" i="16"/>
  <c r="T2476" i="16"/>
  <c r="K2476" i="16"/>
  <c r="N2484" i="16"/>
  <c r="F2484" i="16"/>
  <c r="M2484" i="16"/>
  <c r="E2484" i="16"/>
  <c r="T2484" i="16"/>
  <c r="G2484" i="16"/>
  <c r="P2484" i="16"/>
  <c r="O2484" i="16"/>
  <c r="K2484" i="16"/>
  <c r="J2484" i="16"/>
  <c r="I2484" i="16"/>
  <c r="H2484" i="16"/>
  <c r="L2484" i="16"/>
  <c r="K2559" i="16"/>
  <c r="J2559" i="16"/>
  <c r="N2559" i="16"/>
  <c r="M2559" i="16"/>
  <c r="L2559" i="16"/>
  <c r="H2559" i="16"/>
  <c r="G2559" i="16"/>
  <c r="O2559" i="16"/>
  <c r="I2559" i="16"/>
  <c r="F2559" i="16"/>
  <c r="E2559" i="16"/>
  <c r="T2559" i="16"/>
  <c r="P2559" i="16"/>
  <c r="M2589" i="16"/>
  <c r="E2589" i="16"/>
  <c r="L2589" i="16"/>
  <c r="P2589" i="16"/>
  <c r="F2589" i="16"/>
  <c r="O2589" i="16"/>
  <c r="N2589" i="16"/>
  <c r="T2589" i="16"/>
  <c r="G2589" i="16"/>
  <c r="H2589" i="16"/>
  <c r="I2589" i="16"/>
  <c r="N3324" i="16"/>
  <c r="F3324" i="16"/>
  <c r="M3324" i="16"/>
  <c r="E3324" i="16"/>
  <c r="H3324" i="16"/>
  <c r="T3324" i="16"/>
  <c r="G3324" i="16"/>
  <c r="P3324" i="16"/>
  <c r="K3324" i="16"/>
  <c r="J3324" i="16"/>
  <c r="I3324" i="16"/>
  <c r="O3324" i="16"/>
  <c r="L3324" i="16"/>
  <c r="O3587" i="16"/>
  <c r="G3587" i="16"/>
  <c r="N3587" i="16"/>
  <c r="F3587" i="16"/>
  <c r="P3587" i="16"/>
  <c r="M3587" i="16"/>
  <c r="L3587" i="16"/>
  <c r="I3587" i="16"/>
  <c r="H3587" i="16"/>
  <c r="E3587" i="16"/>
  <c r="K3587" i="16"/>
  <c r="J3587" i="16"/>
  <c r="T3587" i="16"/>
  <c r="J4704" i="16"/>
  <c r="M4704" i="16"/>
  <c r="L4704" i="16"/>
  <c r="K4704" i="16"/>
  <c r="H4704" i="16"/>
  <c r="G4704" i="16"/>
  <c r="F4704" i="16"/>
  <c r="T4704" i="16"/>
  <c r="E4704" i="16"/>
  <c r="N4704" i="16"/>
  <c r="I4704" i="16"/>
  <c r="P4704" i="16"/>
  <c r="O4704" i="16"/>
  <c r="J1672" i="15"/>
  <c r="Z1672" i="15"/>
  <c r="L1675" i="15"/>
  <c r="AB1675" i="15"/>
  <c r="J1680" i="15"/>
  <c r="Z1680" i="15"/>
  <c r="L1683" i="15"/>
  <c r="AB1683" i="15"/>
  <c r="J1688" i="15"/>
  <c r="Z1688" i="15"/>
  <c r="L1691" i="15"/>
  <c r="AB1691" i="15"/>
  <c r="J1696" i="15"/>
  <c r="Z1696" i="15"/>
  <c r="L1699" i="15"/>
  <c r="AB1699" i="15"/>
  <c r="J1704" i="15"/>
  <c r="Z1704" i="15"/>
  <c r="L1707" i="15"/>
  <c r="AB1707" i="15"/>
  <c r="J1712" i="15"/>
  <c r="Z1712" i="15"/>
  <c r="L1715" i="15"/>
  <c r="AB1715" i="15"/>
  <c r="J1720" i="15"/>
  <c r="Z1720" i="15"/>
  <c r="L1723" i="15"/>
  <c r="AB1723" i="15"/>
  <c r="J1728" i="15"/>
  <c r="Z1728" i="15"/>
  <c r="L1731" i="15"/>
  <c r="AB1731" i="15"/>
  <c r="J1736" i="15"/>
  <c r="Z1736" i="15"/>
  <c r="L1739" i="15"/>
  <c r="AB1739" i="15"/>
  <c r="J1744" i="15"/>
  <c r="Z1744" i="15"/>
  <c r="L1747" i="15"/>
  <c r="AB1747" i="15"/>
  <c r="AD1800" i="15"/>
  <c r="V1800" i="15"/>
  <c r="N1800" i="15"/>
  <c r="AC1800" i="15"/>
  <c r="U1800" i="15"/>
  <c r="M1800" i="15"/>
  <c r="AB1800" i="15"/>
  <c r="T1800" i="15"/>
  <c r="L1800" i="15"/>
  <c r="AA1800" i="15"/>
  <c r="S1800" i="15"/>
  <c r="K1800" i="15"/>
  <c r="I1800" i="15"/>
  <c r="Y1800" i="15"/>
  <c r="AF1803" i="15"/>
  <c r="X1803" i="15"/>
  <c r="P1803" i="15"/>
  <c r="H1803" i="15"/>
  <c r="AE1803" i="15"/>
  <c r="W1803" i="15"/>
  <c r="O1803" i="15"/>
  <c r="G1803" i="15"/>
  <c r="AD1803" i="15"/>
  <c r="V1803" i="15"/>
  <c r="N1803" i="15"/>
  <c r="AC1803" i="15"/>
  <c r="U1803" i="15"/>
  <c r="M1803" i="15"/>
  <c r="K1803" i="15"/>
  <c r="AA1803" i="15"/>
  <c r="AD1808" i="15"/>
  <c r="V1808" i="15"/>
  <c r="N1808" i="15"/>
  <c r="AC1808" i="15"/>
  <c r="U1808" i="15"/>
  <c r="M1808" i="15"/>
  <c r="AB1808" i="15"/>
  <c r="T1808" i="15"/>
  <c r="L1808" i="15"/>
  <c r="AA1808" i="15"/>
  <c r="S1808" i="15"/>
  <c r="K1808" i="15"/>
  <c r="I1808" i="15"/>
  <c r="Y1808" i="15"/>
  <c r="AD1812" i="15"/>
  <c r="V1812" i="15"/>
  <c r="N1812" i="15"/>
  <c r="AC1812" i="15"/>
  <c r="U1812" i="15"/>
  <c r="M1812" i="15"/>
  <c r="AB1812" i="15"/>
  <c r="T1812" i="15"/>
  <c r="L1812" i="15"/>
  <c r="AA1812" i="15"/>
  <c r="S1812" i="15"/>
  <c r="K1812" i="15"/>
  <c r="I1812" i="15"/>
  <c r="Y1812" i="15"/>
  <c r="AD1816" i="15"/>
  <c r="V1816" i="15"/>
  <c r="N1816" i="15"/>
  <c r="AC1816" i="15"/>
  <c r="U1816" i="15"/>
  <c r="M1816" i="15"/>
  <c r="AB1816" i="15"/>
  <c r="T1816" i="15"/>
  <c r="L1816" i="15"/>
  <c r="AA1816" i="15"/>
  <c r="S1816" i="15"/>
  <c r="K1816" i="15"/>
  <c r="I1816" i="15"/>
  <c r="Y1816" i="15"/>
  <c r="AD1820" i="15"/>
  <c r="V1820" i="15"/>
  <c r="N1820" i="15"/>
  <c r="AC1820" i="15"/>
  <c r="U1820" i="15"/>
  <c r="M1820" i="15"/>
  <c r="AB1820" i="15"/>
  <c r="T1820" i="15"/>
  <c r="L1820" i="15"/>
  <c r="AA1820" i="15"/>
  <c r="S1820" i="15"/>
  <c r="K1820" i="15"/>
  <c r="I1820" i="15"/>
  <c r="Y1820" i="15"/>
  <c r="AD1824" i="15"/>
  <c r="V1824" i="15"/>
  <c r="N1824" i="15"/>
  <c r="AC1824" i="15"/>
  <c r="U1824" i="15"/>
  <c r="M1824" i="15"/>
  <c r="AB1824" i="15"/>
  <c r="T1824" i="15"/>
  <c r="L1824" i="15"/>
  <c r="AA1824" i="15"/>
  <c r="S1824" i="15"/>
  <c r="K1824" i="15"/>
  <c r="I1824" i="15"/>
  <c r="Y1824" i="15"/>
  <c r="AD1828" i="15"/>
  <c r="V1828" i="15"/>
  <c r="N1828" i="15"/>
  <c r="AC1828" i="15"/>
  <c r="U1828" i="15"/>
  <c r="M1828" i="15"/>
  <c r="AB1828" i="15"/>
  <c r="T1828" i="15"/>
  <c r="L1828" i="15"/>
  <c r="AA1828" i="15"/>
  <c r="S1828" i="15"/>
  <c r="K1828" i="15"/>
  <c r="I1828" i="15"/>
  <c r="Y1828" i="15"/>
  <c r="AD1832" i="15"/>
  <c r="V1832" i="15"/>
  <c r="N1832" i="15"/>
  <c r="AC1832" i="15"/>
  <c r="U1832" i="15"/>
  <c r="M1832" i="15"/>
  <c r="AB1832" i="15"/>
  <c r="T1832" i="15"/>
  <c r="L1832" i="15"/>
  <c r="AA1832" i="15"/>
  <c r="S1832" i="15"/>
  <c r="K1832" i="15"/>
  <c r="I1832" i="15"/>
  <c r="Y1832" i="15"/>
  <c r="AD1836" i="15"/>
  <c r="V1836" i="15"/>
  <c r="N1836" i="15"/>
  <c r="AC1836" i="15"/>
  <c r="U1836" i="15"/>
  <c r="M1836" i="15"/>
  <c r="AB1836" i="15"/>
  <c r="T1836" i="15"/>
  <c r="L1836" i="15"/>
  <c r="AA1836" i="15"/>
  <c r="S1836" i="15"/>
  <c r="K1836" i="15"/>
  <c r="I1836" i="15"/>
  <c r="Y1836" i="15"/>
  <c r="AD1840" i="15"/>
  <c r="V1840" i="15"/>
  <c r="N1840" i="15"/>
  <c r="AC1840" i="15"/>
  <c r="U1840" i="15"/>
  <c r="M1840" i="15"/>
  <c r="AB1840" i="15"/>
  <c r="T1840" i="15"/>
  <c r="L1840" i="15"/>
  <c r="AA1840" i="15"/>
  <c r="S1840" i="15"/>
  <c r="K1840" i="15"/>
  <c r="I1840" i="15"/>
  <c r="Y1840" i="15"/>
  <c r="AD1844" i="15"/>
  <c r="V1844" i="15"/>
  <c r="N1844" i="15"/>
  <c r="AC1844" i="15"/>
  <c r="U1844" i="15"/>
  <c r="M1844" i="15"/>
  <c r="AB1844" i="15"/>
  <c r="T1844" i="15"/>
  <c r="L1844" i="15"/>
  <c r="AA1844" i="15"/>
  <c r="S1844" i="15"/>
  <c r="K1844" i="15"/>
  <c r="I1844" i="15"/>
  <c r="Y1844" i="15"/>
  <c r="AD1848" i="15"/>
  <c r="V1848" i="15"/>
  <c r="N1848" i="15"/>
  <c r="AC1848" i="15"/>
  <c r="U1848" i="15"/>
  <c r="M1848" i="15"/>
  <c r="AB1848" i="15"/>
  <c r="T1848" i="15"/>
  <c r="L1848" i="15"/>
  <c r="AA1848" i="15"/>
  <c r="S1848" i="15"/>
  <c r="K1848" i="15"/>
  <c r="I1848" i="15"/>
  <c r="Y1848" i="15"/>
  <c r="AD1852" i="15"/>
  <c r="V1852" i="15"/>
  <c r="N1852" i="15"/>
  <c r="AC1852" i="15"/>
  <c r="U1852" i="15"/>
  <c r="M1852" i="15"/>
  <c r="AB1852" i="15"/>
  <c r="T1852" i="15"/>
  <c r="L1852" i="15"/>
  <c r="AA1852" i="15"/>
  <c r="S1852" i="15"/>
  <c r="K1852" i="15"/>
  <c r="I1852" i="15"/>
  <c r="Y1852" i="15"/>
  <c r="AD1856" i="15"/>
  <c r="V1856" i="15"/>
  <c r="N1856" i="15"/>
  <c r="AC1856" i="15"/>
  <c r="U1856" i="15"/>
  <c r="M1856" i="15"/>
  <c r="AB1856" i="15"/>
  <c r="T1856" i="15"/>
  <c r="L1856" i="15"/>
  <c r="AA1856" i="15"/>
  <c r="S1856" i="15"/>
  <c r="K1856" i="15"/>
  <c r="I1856" i="15"/>
  <c r="Y1856" i="15"/>
  <c r="AD1860" i="15"/>
  <c r="V1860" i="15"/>
  <c r="N1860" i="15"/>
  <c r="AC1860" i="15"/>
  <c r="U1860" i="15"/>
  <c r="M1860" i="15"/>
  <c r="AB1860" i="15"/>
  <c r="T1860" i="15"/>
  <c r="L1860" i="15"/>
  <c r="AA1860" i="15"/>
  <c r="S1860" i="15"/>
  <c r="K1860" i="15"/>
  <c r="I1860" i="15"/>
  <c r="Y1860" i="15"/>
  <c r="AD1864" i="15"/>
  <c r="V1864" i="15"/>
  <c r="N1864" i="15"/>
  <c r="AC1864" i="15"/>
  <c r="U1864" i="15"/>
  <c r="M1864" i="15"/>
  <c r="AB1864" i="15"/>
  <c r="T1864" i="15"/>
  <c r="L1864" i="15"/>
  <c r="AA1864" i="15"/>
  <c r="S1864" i="15"/>
  <c r="K1864" i="15"/>
  <c r="I1864" i="15"/>
  <c r="Y1864" i="15"/>
  <c r="AD1868" i="15"/>
  <c r="V1868" i="15"/>
  <c r="N1868" i="15"/>
  <c r="AC1868" i="15"/>
  <c r="U1868" i="15"/>
  <c r="M1868" i="15"/>
  <c r="AB1868" i="15"/>
  <c r="T1868" i="15"/>
  <c r="L1868" i="15"/>
  <c r="AA1868" i="15"/>
  <c r="S1868" i="15"/>
  <c r="K1868" i="15"/>
  <c r="I1868" i="15"/>
  <c r="Y1868" i="15"/>
  <c r="AD1872" i="15"/>
  <c r="V1872" i="15"/>
  <c r="N1872" i="15"/>
  <c r="AC1872" i="15"/>
  <c r="U1872" i="15"/>
  <c r="M1872" i="15"/>
  <c r="AB1872" i="15"/>
  <c r="T1872" i="15"/>
  <c r="L1872" i="15"/>
  <c r="AA1872" i="15"/>
  <c r="S1872" i="15"/>
  <c r="K1872" i="15"/>
  <c r="I1872" i="15"/>
  <c r="Y1872" i="15"/>
  <c r="AD1876" i="15"/>
  <c r="V1876" i="15"/>
  <c r="N1876" i="15"/>
  <c r="AC1876" i="15"/>
  <c r="U1876" i="15"/>
  <c r="M1876" i="15"/>
  <c r="AB1876" i="15"/>
  <c r="T1876" i="15"/>
  <c r="L1876" i="15"/>
  <c r="AA1876" i="15"/>
  <c r="S1876" i="15"/>
  <c r="K1876" i="15"/>
  <c r="I1876" i="15"/>
  <c r="Y1876" i="15"/>
  <c r="AD1880" i="15"/>
  <c r="V1880" i="15"/>
  <c r="N1880" i="15"/>
  <c r="AC1880" i="15"/>
  <c r="U1880" i="15"/>
  <c r="M1880" i="15"/>
  <c r="AB1880" i="15"/>
  <c r="T1880" i="15"/>
  <c r="L1880" i="15"/>
  <c r="AA1880" i="15"/>
  <c r="S1880" i="15"/>
  <c r="K1880" i="15"/>
  <c r="I1880" i="15"/>
  <c r="Y1880" i="15"/>
  <c r="AD1884" i="15"/>
  <c r="V1884" i="15"/>
  <c r="N1884" i="15"/>
  <c r="AC1884" i="15"/>
  <c r="U1884" i="15"/>
  <c r="M1884" i="15"/>
  <c r="AB1884" i="15"/>
  <c r="T1884" i="15"/>
  <c r="L1884" i="15"/>
  <c r="AA1884" i="15"/>
  <c r="S1884" i="15"/>
  <c r="K1884" i="15"/>
  <c r="I1884" i="15"/>
  <c r="Y1884" i="15"/>
  <c r="AD1888" i="15"/>
  <c r="V1888" i="15"/>
  <c r="N1888" i="15"/>
  <c r="AC1888" i="15"/>
  <c r="U1888" i="15"/>
  <c r="M1888" i="15"/>
  <c r="AB1888" i="15"/>
  <c r="T1888" i="15"/>
  <c r="L1888" i="15"/>
  <c r="AA1888" i="15"/>
  <c r="S1888" i="15"/>
  <c r="K1888" i="15"/>
  <c r="I1888" i="15"/>
  <c r="Y1888" i="15"/>
  <c r="AD1892" i="15"/>
  <c r="V1892" i="15"/>
  <c r="N1892" i="15"/>
  <c r="AC1892" i="15"/>
  <c r="U1892" i="15"/>
  <c r="M1892" i="15"/>
  <c r="AB1892" i="15"/>
  <c r="T1892" i="15"/>
  <c r="L1892" i="15"/>
  <c r="AA1892" i="15"/>
  <c r="S1892" i="15"/>
  <c r="K1892" i="15"/>
  <c r="I1892" i="15"/>
  <c r="Y1892" i="15"/>
  <c r="AF1895" i="15"/>
  <c r="X1895" i="15"/>
  <c r="P1895" i="15"/>
  <c r="H1895" i="15"/>
  <c r="AE1895" i="15"/>
  <c r="W1895" i="15"/>
  <c r="O1895" i="15"/>
  <c r="G1895" i="15"/>
  <c r="AD1895" i="15"/>
  <c r="V1895" i="15"/>
  <c r="N1895" i="15"/>
  <c r="AC1895" i="15"/>
  <c r="U1895" i="15"/>
  <c r="M1895" i="15"/>
  <c r="K1895" i="15"/>
  <c r="AA1895" i="15"/>
  <c r="AD1900" i="15"/>
  <c r="V1900" i="15"/>
  <c r="N1900" i="15"/>
  <c r="AC1900" i="15"/>
  <c r="U1900" i="15"/>
  <c r="M1900" i="15"/>
  <c r="AB1900" i="15"/>
  <c r="T1900" i="15"/>
  <c r="L1900" i="15"/>
  <c r="AA1900" i="15"/>
  <c r="S1900" i="15"/>
  <c r="K1900" i="15"/>
  <c r="I1900" i="15"/>
  <c r="Y1900" i="15"/>
  <c r="AF1903" i="15"/>
  <c r="X1903" i="15"/>
  <c r="P1903" i="15"/>
  <c r="H1903" i="15"/>
  <c r="AE1903" i="15"/>
  <c r="W1903" i="15"/>
  <c r="O1903" i="15"/>
  <c r="G1903" i="15"/>
  <c r="AD1903" i="15"/>
  <c r="V1903" i="15"/>
  <c r="N1903" i="15"/>
  <c r="AC1903" i="15"/>
  <c r="U1903" i="15"/>
  <c r="M1903" i="15"/>
  <c r="K1903" i="15"/>
  <c r="AA1903" i="15"/>
  <c r="AD1908" i="15"/>
  <c r="V1908" i="15"/>
  <c r="N1908" i="15"/>
  <c r="AC1908" i="15"/>
  <c r="U1908" i="15"/>
  <c r="M1908" i="15"/>
  <c r="AB1908" i="15"/>
  <c r="T1908" i="15"/>
  <c r="L1908" i="15"/>
  <c r="AA1908" i="15"/>
  <c r="S1908" i="15"/>
  <c r="K1908" i="15"/>
  <c r="I1908" i="15"/>
  <c r="Y1908" i="15"/>
  <c r="AF1911" i="15"/>
  <c r="X1911" i="15"/>
  <c r="P1911" i="15"/>
  <c r="H1911" i="15"/>
  <c r="AE1911" i="15"/>
  <c r="W1911" i="15"/>
  <c r="O1911" i="15"/>
  <c r="G1911" i="15"/>
  <c r="AD1911" i="15"/>
  <c r="V1911" i="15"/>
  <c r="N1911" i="15"/>
  <c r="AC1911" i="15"/>
  <c r="U1911" i="15"/>
  <c r="M1911" i="15"/>
  <c r="K1911" i="15"/>
  <c r="AA1911" i="15"/>
  <c r="AD1916" i="15"/>
  <c r="V1916" i="15"/>
  <c r="N1916" i="15"/>
  <c r="AC1916" i="15"/>
  <c r="U1916" i="15"/>
  <c r="M1916" i="15"/>
  <c r="AB1916" i="15"/>
  <c r="T1916" i="15"/>
  <c r="L1916" i="15"/>
  <c r="AA1916" i="15"/>
  <c r="S1916" i="15"/>
  <c r="K1916" i="15"/>
  <c r="I1916" i="15"/>
  <c r="Y1916" i="15"/>
  <c r="AF1919" i="15"/>
  <c r="X1919" i="15"/>
  <c r="P1919" i="15"/>
  <c r="H1919" i="15"/>
  <c r="AE1919" i="15"/>
  <c r="W1919" i="15"/>
  <c r="O1919" i="15"/>
  <c r="G1919" i="15"/>
  <c r="AD1919" i="15"/>
  <c r="V1919" i="15"/>
  <c r="N1919" i="15"/>
  <c r="AC1919" i="15"/>
  <c r="U1919" i="15"/>
  <c r="M1919" i="15"/>
  <c r="K1919" i="15"/>
  <c r="AA1919" i="15"/>
  <c r="AD1924" i="15"/>
  <c r="V1924" i="15"/>
  <c r="N1924" i="15"/>
  <c r="AC1924" i="15"/>
  <c r="U1924" i="15"/>
  <c r="M1924" i="15"/>
  <c r="AB1924" i="15"/>
  <c r="T1924" i="15"/>
  <c r="L1924" i="15"/>
  <c r="AA1924" i="15"/>
  <c r="S1924" i="15"/>
  <c r="K1924" i="15"/>
  <c r="I1924" i="15"/>
  <c r="Y1924" i="15"/>
  <c r="AF1927" i="15"/>
  <c r="X1927" i="15"/>
  <c r="P1927" i="15"/>
  <c r="H1927" i="15"/>
  <c r="AE1927" i="15"/>
  <c r="W1927" i="15"/>
  <c r="O1927" i="15"/>
  <c r="G1927" i="15"/>
  <c r="AD1927" i="15"/>
  <c r="V1927" i="15"/>
  <c r="N1927" i="15"/>
  <c r="AC1927" i="15"/>
  <c r="U1927" i="15"/>
  <c r="M1927" i="15"/>
  <c r="K1927" i="15"/>
  <c r="AA1927" i="15"/>
  <c r="AD1932" i="15"/>
  <c r="V1932" i="15"/>
  <c r="N1932" i="15"/>
  <c r="AC1932" i="15"/>
  <c r="U1932" i="15"/>
  <c r="M1932" i="15"/>
  <c r="AB1932" i="15"/>
  <c r="T1932" i="15"/>
  <c r="L1932" i="15"/>
  <c r="AA1932" i="15"/>
  <c r="S1932" i="15"/>
  <c r="K1932" i="15"/>
  <c r="I1932" i="15"/>
  <c r="Y1932" i="15"/>
  <c r="AF1935" i="15"/>
  <c r="X1935" i="15"/>
  <c r="P1935" i="15"/>
  <c r="H1935" i="15"/>
  <c r="AE1935" i="15"/>
  <c r="W1935" i="15"/>
  <c r="O1935" i="15"/>
  <c r="G1935" i="15"/>
  <c r="AD1935" i="15"/>
  <c r="V1935" i="15"/>
  <c r="N1935" i="15"/>
  <c r="AC1935" i="15"/>
  <c r="U1935" i="15"/>
  <c r="M1935" i="15"/>
  <c r="K1935" i="15"/>
  <c r="AA1935" i="15"/>
  <c r="AD1940" i="15"/>
  <c r="V1940" i="15"/>
  <c r="N1940" i="15"/>
  <c r="AC1940" i="15"/>
  <c r="U1940" i="15"/>
  <c r="M1940" i="15"/>
  <c r="AB1940" i="15"/>
  <c r="T1940" i="15"/>
  <c r="L1940" i="15"/>
  <c r="AA1940" i="15"/>
  <c r="S1940" i="15"/>
  <c r="K1940" i="15"/>
  <c r="I1940" i="15"/>
  <c r="Y1940" i="15"/>
  <c r="AF1943" i="15"/>
  <c r="X1943" i="15"/>
  <c r="P1943" i="15"/>
  <c r="H1943" i="15"/>
  <c r="AE1943" i="15"/>
  <c r="W1943" i="15"/>
  <c r="O1943" i="15"/>
  <c r="G1943" i="15"/>
  <c r="AD1943" i="15"/>
  <c r="V1943" i="15"/>
  <c r="N1943" i="15"/>
  <c r="AC1943" i="15"/>
  <c r="U1943" i="15"/>
  <c r="M1943" i="15"/>
  <c r="K1943" i="15"/>
  <c r="AA1943" i="15"/>
  <c r="AD1948" i="15"/>
  <c r="V1948" i="15"/>
  <c r="N1948" i="15"/>
  <c r="AC1948" i="15"/>
  <c r="U1948" i="15"/>
  <c r="M1948" i="15"/>
  <c r="AB1948" i="15"/>
  <c r="T1948" i="15"/>
  <c r="L1948" i="15"/>
  <c r="AA1948" i="15"/>
  <c r="S1948" i="15"/>
  <c r="K1948" i="15"/>
  <c r="I1948" i="15"/>
  <c r="Y1948" i="15"/>
  <c r="AF1951" i="15"/>
  <c r="X1951" i="15"/>
  <c r="P1951" i="15"/>
  <c r="H1951" i="15"/>
  <c r="AE1951" i="15"/>
  <c r="W1951" i="15"/>
  <c r="O1951" i="15"/>
  <c r="G1951" i="15"/>
  <c r="AD1951" i="15"/>
  <c r="V1951" i="15"/>
  <c r="N1951" i="15"/>
  <c r="AC1951" i="15"/>
  <c r="U1951" i="15"/>
  <c r="M1951" i="15"/>
  <c r="K1951" i="15"/>
  <c r="AA1951" i="15"/>
  <c r="AD1956" i="15"/>
  <c r="V1956" i="15"/>
  <c r="N1956" i="15"/>
  <c r="AC1956" i="15"/>
  <c r="U1956" i="15"/>
  <c r="M1956" i="15"/>
  <c r="AB1956" i="15"/>
  <c r="T1956" i="15"/>
  <c r="L1956" i="15"/>
  <c r="AA1956" i="15"/>
  <c r="S1956" i="15"/>
  <c r="K1956" i="15"/>
  <c r="I1956" i="15"/>
  <c r="Y1956" i="15"/>
  <c r="G11" i="16"/>
  <c r="M11" i="16"/>
  <c r="E11" i="16"/>
  <c r="L11" i="16"/>
  <c r="J16" i="16"/>
  <c r="G27" i="16"/>
  <c r="M27" i="16"/>
  <c r="E27" i="16"/>
  <c r="I27" i="9" s="1"/>
  <c r="L27" i="16"/>
  <c r="P27" i="16"/>
  <c r="H27" i="9" s="1"/>
  <c r="J32" i="16"/>
  <c r="G43" i="16"/>
  <c r="F43" i="16"/>
  <c r="M43" i="16"/>
  <c r="E43" i="16"/>
  <c r="I43" i="9" s="1"/>
  <c r="L43" i="16"/>
  <c r="P43" i="16"/>
  <c r="H43" i="9" s="1"/>
  <c r="J48" i="16"/>
  <c r="J53" i="16"/>
  <c r="I53" i="16"/>
  <c r="G62" i="16"/>
  <c r="M62" i="16"/>
  <c r="E62" i="16"/>
  <c r="I62" i="16"/>
  <c r="H62" i="16"/>
  <c r="P62" i="16"/>
  <c r="H62" i="9" s="1"/>
  <c r="P74" i="16"/>
  <c r="H74" i="9" s="1"/>
  <c r="F74" i="16"/>
  <c r="H85" i="16"/>
  <c r="G85" i="16"/>
  <c r="I85" i="16"/>
  <c r="E85" i="16"/>
  <c r="T85" i="16"/>
  <c r="L89" i="16"/>
  <c r="K89" i="16"/>
  <c r="J89" i="16"/>
  <c r="G89" i="16"/>
  <c r="P89" i="16"/>
  <c r="H89" i="9" s="1"/>
  <c r="E89" i="16"/>
  <c r="P108" i="16"/>
  <c r="H108" i="9" s="1"/>
  <c r="F108" i="16"/>
  <c r="E123" i="16"/>
  <c r="M128" i="16"/>
  <c r="E128" i="16"/>
  <c r="I128" i="9" s="1"/>
  <c r="L128" i="16"/>
  <c r="K128" i="16"/>
  <c r="H128" i="16"/>
  <c r="G128" i="16"/>
  <c r="F128" i="16"/>
  <c r="P128" i="16"/>
  <c r="H128" i="9" s="1"/>
  <c r="K146" i="16"/>
  <c r="J146" i="16"/>
  <c r="M146" i="16"/>
  <c r="L146" i="16"/>
  <c r="H146" i="16"/>
  <c r="G146" i="16"/>
  <c r="E165" i="16"/>
  <c r="T183" i="16"/>
  <c r="H240" i="16"/>
  <c r="O240" i="16"/>
  <c r="G240" i="16"/>
  <c r="F240" i="16"/>
  <c r="J240" i="16"/>
  <c r="I240" i="16"/>
  <c r="E240" i="16"/>
  <c r="I240" i="9" s="1"/>
  <c r="M240" i="16"/>
  <c r="L240" i="16"/>
  <c r="K240" i="16"/>
  <c r="O297" i="16"/>
  <c r="G297" i="16"/>
  <c r="F297" i="16"/>
  <c r="M297" i="16"/>
  <c r="E297" i="16"/>
  <c r="I297" i="9" s="1"/>
  <c r="H297" i="16"/>
  <c r="T297" i="16"/>
  <c r="P297" i="16"/>
  <c r="H297" i="9" s="1"/>
  <c r="I297" i="16"/>
  <c r="E309" i="16"/>
  <c r="H312" i="16"/>
  <c r="G312" i="16"/>
  <c r="I312" i="16"/>
  <c r="E312" i="16"/>
  <c r="M312" i="16"/>
  <c r="L312" i="16"/>
  <c r="K312" i="16"/>
  <c r="J312" i="16"/>
  <c r="O312" i="16" s="1"/>
  <c r="K321" i="16"/>
  <c r="J321" i="16"/>
  <c r="I321" i="16"/>
  <c r="H321" i="16"/>
  <c r="E336" i="16"/>
  <c r="P336" i="16" s="1"/>
  <c r="H336" i="9" s="1"/>
  <c r="M367" i="16"/>
  <c r="L367" i="16"/>
  <c r="K367" i="16"/>
  <c r="J367" i="16"/>
  <c r="L383" i="16"/>
  <c r="H389" i="16"/>
  <c r="G389" i="16"/>
  <c r="E389" i="16"/>
  <c r="G417" i="16"/>
  <c r="F417" i="16"/>
  <c r="M417" i="16"/>
  <c r="O417" i="16" s="1"/>
  <c r="E417" i="16"/>
  <c r="I417" i="16"/>
  <c r="H417" i="16"/>
  <c r="T417" i="16"/>
  <c r="K417" i="16"/>
  <c r="J417" i="16"/>
  <c r="M495" i="16"/>
  <c r="L495" i="16"/>
  <c r="K495" i="16"/>
  <c r="J495" i="16"/>
  <c r="G537" i="16"/>
  <c r="F537" i="16"/>
  <c r="M537" i="16"/>
  <c r="E537" i="16"/>
  <c r="I537" i="9" s="1"/>
  <c r="J537" i="16"/>
  <c r="I537" i="16"/>
  <c r="H537" i="16"/>
  <c r="T537" i="16"/>
  <c r="P537" i="16"/>
  <c r="H537" i="9" s="1"/>
  <c r="L537" i="16"/>
  <c r="K537" i="16"/>
  <c r="P549" i="16"/>
  <c r="H549" i="9" s="1"/>
  <c r="F549" i="16"/>
  <c r="P552" i="16"/>
  <c r="H552" i="9" s="1"/>
  <c r="H552" i="16"/>
  <c r="G552" i="16"/>
  <c r="K552" i="16"/>
  <c r="J552" i="16"/>
  <c r="I552" i="16"/>
  <c r="E552" i="16"/>
  <c r="I552" i="9" s="1"/>
  <c r="T552" i="16"/>
  <c r="M552" i="16"/>
  <c r="O552" i="16" s="1"/>
  <c r="L552" i="16"/>
  <c r="L631" i="16"/>
  <c r="K631" i="16"/>
  <c r="J631" i="16"/>
  <c r="M642" i="16"/>
  <c r="E642" i="16"/>
  <c r="L642" i="16"/>
  <c r="I642" i="16"/>
  <c r="O642" i="16" s="1"/>
  <c r="H642" i="16"/>
  <c r="G642" i="16"/>
  <c r="J642" i="16"/>
  <c r="F658" i="16"/>
  <c r="M658" i="16"/>
  <c r="E658" i="16"/>
  <c r="I658" i="9" s="1"/>
  <c r="L658" i="16"/>
  <c r="G658" i="16"/>
  <c r="T658" i="16"/>
  <c r="P658" i="16"/>
  <c r="H658" i="9" s="1"/>
  <c r="O658" i="16"/>
  <c r="K658" i="16"/>
  <c r="J658" i="16"/>
  <c r="I658" i="16"/>
  <c r="H658" i="16"/>
  <c r="M685" i="16"/>
  <c r="L685" i="16"/>
  <c r="H685" i="16"/>
  <c r="K703" i="16"/>
  <c r="J703" i="16"/>
  <c r="M703" i="16"/>
  <c r="M757" i="16"/>
  <c r="L757" i="16"/>
  <c r="H757" i="16"/>
  <c r="G757" i="16"/>
  <c r="H768" i="16"/>
  <c r="G768" i="16"/>
  <c r="E768" i="16"/>
  <c r="M768" i="16"/>
  <c r="L768" i="16"/>
  <c r="O768" i="16" s="1"/>
  <c r="K768" i="16"/>
  <c r="J768" i="16"/>
  <c r="I768" i="16"/>
  <c r="M774" i="16"/>
  <c r="L774" i="16"/>
  <c r="K774" i="16"/>
  <c r="G774" i="16"/>
  <c r="E774" i="16"/>
  <c r="M782" i="16"/>
  <c r="L782" i="16"/>
  <c r="K782" i="16"/>
  <c r="G782" i="16"/>
  <c r="O801" i="16"/>
  <c r="G801" i="16"/>
  <c r="M801" i="16"/>
  <c r="E801" i="16"/>
  <c r="I801" i="16"/>
  <c r="H801" i="16"/>
  <c r="K801" i="16"/>
  <c r="J801" i="16"/>
  <c r="F823" i="16"/>
  <c r="P823" i="16" s="1"/>
  <c r="F842" i="16"/>
  <c r="M842" i="16"/>
  <c r="E842" i="16"/>
  <c r="L842" i="16"/>
  <c r="H842" i="16"/>
  <c r="G842" i="16"/>
  <c r="J842" i="16"/>
  <c r="I842" i="16"/>
  <c r="M859" i="16"/>
  <c r="E859" i="16"/>
  <c r="L859" i="16"/>
  <c r="K859" i="16"/>
  <c r="I859" i="16"/>
  <c r="O859" i="16" s="1"/>
  <c r="H859" i="16"/>
  <c r="G859" i="16"/>
  <c r="J859" i="16"/>
  <c r="H880" i="16"/>
  <c r="O880" i="16"/>
  <c r="G880" i="16"/>
  <c r="J880" i="16"/>
  <c r="I880" i="16"/>
  <c r="E880" i="16"/>
  <c r="K880" i="16"/>
  <c r="M914" i="16"/>
  <c r="E914" i="16"/>
  <c r="L914" i="16"/>
  <c r="G914" i="16"/>
  <c r="K914" i="16"/>
  <c r="J914" i="16"/>
  <c r="I914" i="16"/>
  <c r="O914" i="16" s="1"/>
  <c r="H914" i="16"/>
  <c r="M939" i="16"/>
  <c r="E939" i="16"/>
  <c r="L939" i="16"/>
  <c r="K939" i="16"/>
  <c r="G939" i="16"/>
  <c r="F939" i="16"/>
  <c r="P939" i="16" s="1"/>
  <c r="O939" i="16"/>
  <c r="H939" i="16"/>
  <c r="F957" i="16"/>
  <c r="H959" i="16"/>
  <c r="G959" i="16"/>
  <c r="K959" i="16"/>
  <c r="J959" i="16"/>
  <c r="T996" i="16"/>
  <c r="F996" i="16"/>
  <c r="H1055" i="16"/>
  <c r="G1055" i="16"/>
  <c r="M1055" i="16"/>
  <c r="L1055" i="16"/>
  <c r="K1055" i="16"/>
  <c r="J1055" i="16"/>
  <c r="E1055" i="16"/>
  <c r="H1072" i="16"/>
  <c r="G1072" i="16"/>
  <c r="I1072" i="16"/>
  <c r="E1072" i="16"/>
  <c r="L1072" i="16"/>
  <c r="K1072" i="16"/>
  <c r="J1072" i="16"/>
  <c r="M1072" i="16"/>
  <c r="K1224" i="16"/>
  <c r="J1224" i="16"/>
  <c r="F1245" i="16"/>
  <c r="P1245" i="16" s="1"/>
  <c r="H1245" i="9" s="1"/>
  <c r="I1245" i="9" s="1"/>
  <c r="F1247" i="16"/>
  <c r="F1271" i="16"/>
  <c r="H1345" i="16"/>
  <c r="P1593" i="16"/>
  <c r="H1593" i="16"/>
  <c r="N1593" i="16"/>
  <c r="E1593" i="16"/>
  <c r="M1593" i="16"/>
  <c r="L1593" i="16"/>
  <c r="J1593" i="16"/>
  <c r="I1593" i="16"/>
  <c r="G1593" i="16"/>
  <c r="F1593" i="16"/>
  <c r="T1593" i="16"/>
  <c r="O1593" i="16"/>
  <c r="K1593" i="16"/>
  <c r="K1606" i="16"/>
  <c r="O1606" i="16"/>
  <c r="F1606" i="16"/>
  <c r="N1606" i="16"/>
  <c r="E1606" i="16"/>
  <c r="M1606" i="16"/>
  <c r="H1606" i="16"/>
  <c r="G1606" i="16"/>
  <c r="T1606" i="16"/>
  <c r="L1606" i="16"/>
  <c r="J1606" i="16"/>
  <c r="I1606" i="16"/>
  <c r="P1606" i="16"/>
  <c r="N1827" i="16"/>
  <c r="F1827" i="16"/>
  <c r="I1827" i="16"/>
  <c r="T1827" i="16"/>
  <c r="H1827" i="16"/>
  <c r="P1827" i="16"/>
  <c r="G1827" i="16"/>
  <c r="K1827" i="16"/>
  <c r="J1827" i="16"/>
  <c r="E1827" i="16"/>
  <c r="L1827" i="16"/>
  <c r="O1827" i="16"/>
  <c r="M1827" i="16"/>
  <c r="N1923" i="16"/>
  <c r="F1923" i="16"/>
  <c r="M1923" i="16"/>
  <c r="L1923" i="16"/>
  <c r="K1923" i="16"/>
  <c r="G1923" i="16"/>
  <c r="E1923" i="16"/>
  <c r="T1923" i="16"/>
  <c r="P1923" i="16"/>
  <c r="O1923" i="16"/>
  <c r="J1923" i="16"/>
  <c r="I1923" i="16"/>
  <c r="H1923" i="16"/>
  <c r="K1950" i="16"/>
  <c r="N1950" i="16"/>
  <c r="E1950" i="16"/>
  <c r="M1950" i="16"/>
  <c r="L1950" i="16"/>
  <c r="F1950" i="16"/>
  <c r="T1950" i="16"/>
  <c r="P1950" i="16"/>
  <c r="O1950" i="16"/>
  <c r="I1950" i="16"/>
  <c r="H1950" i="16"/>
  <c r="G1950" i="16"/>
  <c r="J1950" i="16"/>
  <c r="L2077" i="16"/>
  <c r="N2077" i="16"/>
  <c r="E2077" i="16"/>
  <c r="M2077" i="16"/>
  <c r="K2077" i="16"/>
  <c r="I2077" i="16"/>
  <c r="H2077" i="16"/>
  <c r="G2077" i="16"/>
  <c r="F2077" i="16"/>
  <c r="J2077" i="16"/>
  <c r="O2077" i="16"/>
  <c r="L2141" i="16"/>
  <c r="N2141" i="16"/>
  <c r="E2141" i="16"/>
  <c r="M2141" i="16"/>
  <c r="K2141" i="16"/>
  <c r="G2141" i="16"/>
  <c r="F2141" i="16"/>
  <c r="T2141" i="16"/>
  <c r="P2141" i="16"/>
  <c r="I2141" i="16"/>
  <c r="H2141" i="16"/>
  <c r="O2141" i="16"/>
  <c r="J2141" i="16"/>
  <c r="M2220" i="16"/>
  <c r="E2220" i="16"/>
  <c r="P2220" i="16"/>
  <c r="G2220" i="16"/>
  <c r="O2220" i="16"/>
  <c r="F2220" i="16"/>
  <c r="N2220" i="16"/>
  <c r="H2220" i="16"/>
  <c r="T2220" i="16"/>
  <c r="L2220" i="16"/>
  <c r="K2220" i="16"/>
  <c r="J2220" i="16"/>
  <c r="I2220" i="16"/>
  <c r="L2421" i="16"/>
  <c r="M2421" i="16"/>
  <c r="K2421" i="16"/>
  <c r="J2421" i="16"/>
  <c r="P2421" i="16"/>
  <c r="O2421" i="16"/>
  <c r="H2421" i="16"/>
  <c r="G2421" i="16"/>
  <c r="F2421" i="16"/>
  <c r="E2421" i="16"/>
  <c r="T2421" i="16"/>
  <c r="N2421" i="16"/>
  <c r="I2421" i="16"/>
  <c r="J2439" i="16"/>
  <c r="O2439" i="16"/>
  <c r="F2439" i="16"/>
  <c r="N2439" i="16"/>
  <c r="E2439" i="16"/>
  <c r="M2439" i="16"/>
  <c r="G2439" i="16"/>
  <c r="I2439" i="16"/>
  <c r="H2439" i="16"/>
  <c r="L2439" i="16"/>
  <c r="K2439" i="16"/>
  <c r="T2439" i="16"/>
  <c r="P2439" i="16"/>
  <c r="L3494" i="16"/>
  <c r="K3494" i="16"/>
  <c r="H3494" i="16"/>
  <c r="T3494" i="16"/>
  <c r="G3494" i="16"/>
  <c r="P3494" i="16"/>
  <c r="F3494" i="16"/>
  <c r="I3494" i="16"/>
  <c r="E3494" i="16"/>
  <c r="N3494" i="16"/>
  <c r="M3494" i="16"/>
  <c r="J3494" i="16"/>
  <c r="O3494" i="16"/>
  <c r="N4022" i="16"/>
  <c r="F4022" i="16"/>
  <c r="L4022" i="16"/>
  <c r="K4022" i="16"/>
  <c r="T4022" i="16"/>
  <c r="E4022" i="16"/>
  <c r="P4022" i="16"/>
  <c r="O4022" i="16"/>
  <c r="J4022" i="16"/>
  <c r="I4022" i="16"/>
  <c r="H4022" i="16"/>
  <c r="G4022" i="16"/>
  <c r="M4022" i="16"/>
  <c r="N4068" i="16"/>
  <c r="F4068" i="16"/>
  <c r="O4068" i="16"/>
  <c r="E4068" i="16"/>
  <c r="P4068" i="16"/>
  <c r="M4068" i="16"/>
  <c r="J4068" i="16"/>
  <c r="I4068" i="16"/>
  <c r="H4068" i="16"/>
  <c r="K4068" i="16"/>
  <c r="G4068" i="16"/>
  <c r="T4068" i="16"/>
  <c r="L4068" i="16"/>
  <c r="O4147" i="16"/>
  <c r="G4147" i="16"/>
  <c r="P4147" i="16"/>
  <c r="F4147" i="16"/>
  <c r="J4147" i="16"/>
  <c r="I4147" i="16"/>
  <c r="L4147" i="16"/>
  <c r="K4147" i="16"/>
  <c r="H4147" i="16"/>
  <c r="T4147" i="16"/>
  <c r="N4147" i="16"/>
  <c r="M4147" i="16"/>
  <c r="E4147" i="16"/>
  <c r="L4158" i="16"/>
  <c r="O4158" i="16"/>
  <c r="F4158" i="16"/>
  <c r="P4158" i="16"/>
  <c r="E4158" i="16"/>
  <c r="N4158" i="16"/>
  <c r="H4158" i="16"/>
  <c r="G4158" i="16"/>
  <c r="K4158" i="16"/>
  <c r="J4158" i="16"/>
  <c r="I4158" i="16"/>
  <c r="M4158" i="16"/>
  <c r="T4158" i="16"/>
  <c r="J4208" i="16"/>
  <c r="M4208" i="16"/>
  <c r="L4208" i="16"/>
  <c r="K4208" i="16"/>
  <c r="G4208" i="16"/>
  <c r="F4208" i="16"/>
  <c r="T4208" i="16"/>
  <c r="E4208" i="16"/>
  <c r="I4208" i="16"/>
  <c r="H4208" i="16"/>
  <c r="P4208" i="16"/>
  <c r="O4208" i="16"/>
  <c r="N4208" i="16"/>
  <c r="N4524" i="16"/>
  <c r="F4524" i="16"/>
  <c r="K4524" i="16"/>
  <c r="P4524" i="16"/>
  <c r="E4524" i="16"/>
  <c r="O4524" i="16"/>
  <c r="G4524" i="16"/>
  <c r="T4524" i="16"/>
  <c r="L4524" i="16"/>
  <c r="J4524" i="16"/>
  <c r="I4524" i="16"/>
  <c r="H4524" i="16"/>
  <c r="M4524" i="16"/>
  <c r="L5118" i="16"/>
  <c r="K5118" i="16"/>
  <c r="H5118" i="16"/>
  <c r="T5118" i="16"/>
  <c r="G5118" i="16"/>
  <c r="P5118" i="16"/>
  <c r="F5118" i="16"/>
  <c r="E5118" i="16"/>
  <c r="M5118" i="16"/>
  <c r="J5118" i="16"/>
  <c r="I5118" i="16"/>
  <c r="O5118" i="16"/>
  <c r="N5118" i="16"/>
  <c r="P5330" i="16"/>
  <c r="H5330" i="16"/>
  <c r="O5330" i="16"/>
  <c r="G5330" i="16"/>
  <c r="T5330" i="16"/>
  <c r="E5330" i="16"/>
  <c r="N5330" i="16"/>
  <c r="M5330" i="16"/>
  <c r="F5330" i="16"/>
  <c r="I5330" i="16"/>
  <c r="K5330" i="16"/>
  <c r="J5330" i="16"/>
  <c r="L5330" i="16"/>
  <c r="AD1139" i="15"/>
  <c r="V1139" i="15"/>
  <c r="N1139" i="15"/>
  <c r="I1139" i="15"/>
  <c r="R1139" i="15"/>
  <c r="AA1139" i="15"/>
  <c r="L1141" i="15"/>
  <c r="U1141" i="15"/>
  <c r="AD1141" i="15"/>
  <c r="AH1145" i="15"/>
  <c r="Z1145" i="15"/>
  <c r="R1145" i="15"/>
  <c r="J1145" i="15"/>
  <c r="I1145" i="15"/>
  <c r="S1145" i="15"/>
  <c r="AB1145" i="15"/>
  <c r="L1146" i="15"/>
  <c r="U1146" i="15"/>
  <c r="AD1146" i="15"/>
  <c r="AF1150" i="15"/>
  <c r="X1150" i="15"/>
  <c r="P1150" i="15"/>
  <c r="H1150" i="15"/>
  <c r="J1150" i="15"/>
  <c r="S1150" i="15"/>
  <c r="AB1150" i="15"/>
  <c r="K1151" i="15"/>
  <c r="T1151" i="15"/>
  <c r="AC1151" i="15"/>
  <c r="AD1155" i="15"/>
  <c r="V1155" i="15"/>
  <c r="N1155" i="15"/>
  <c r="I1155" i="15"/>
  <c r="R1155" i="15"/>
  <c r="AA1155" i="15"/>
  <c r="L1157" i="15"/>
  <c r="U1157" i="15"/>
  <c r="AD1157" i="15"/>
  <c r="AH1161" i="15"/>
  <c r="Z1161" i="15"/>
  <c r="R1161" i="15"/>
  <c r="J1161" i="15"/>
  <c r="I1161" i="15"/>
  <c r="S1161" i="15"/>
  <c r="AB1161" i="15"/>
  <c r="L1162" i="15"/>
  <c r="U1162" i="15"/>
  <c r="AD1162" i="15"/>
  <c r="AF1166" i="15"/>
  <c r="X1166" i="15"/>
  <c r="P1166" i="15"/>
  <c r="H1166" i="15"/>
  <c r="J1166" i="15"/>
  <c r="S1166" i="15"/>
  <c r="AB1166" i="15"/>
  <c r="K1167" i="15"/>
  <c r="T1167" i="15"/>
  <c r="AC1167" i="15"/>
  <c r="AD1171" i="15"/>
  <c r="V1171" i="15"/>
  <c r="N1171" i="15"/>
  <c r="I1171" i="15"/>
  <c r="R1171" i="15"/>
  <c r="AA1171" i="15"/>
  <c r="L1173" i="15"/>
  <c r="U1173" i="15"/>
  <c r="AD1173" i="15"/>
  <c r="AH1177" i="15"/>
  <c r="Z1177" i="15"/>
  <c r="R1177" i="15"/>
  <c r="J1177" i="15"/>
  <c r="I1177" i="15"/>
  <c r="S1177" i="15"/>
  <c r="AB1177" i="15"/>
  <c r="L1178" i="15"/>
  <c r="U1178" i="15"/>
  <c r="AD1178" i="15"/>
  <c r="AF1182" i="15"/>
  <c r="X1182" i="15"/>
  <c r="P1182" i="15"/>
  <c r="H1182" i="15"/>
  <c r="J1182" i="15"/>
  <c r="S1182" i="15"/>
  <c r="AB1182" i="15"/>
  <c r="K1183" i="15"/>
  <c r="T1183" i="15"/>
  <c r="AC1183" i="15"/>
  <c r="AD1187" i="15"/>
  <c r="V1187" i="15"/>
  <c r="N1187" i="15"/>
  <c r="I1187" i="15"/>
  <c r="R1187" i="15"/>
  <c r="AA1187" i="15"/>
  <c r="L1189" i="15"/>
  <c r="U1189" i="15"/>
  <c r="AD1189" i="15"/>
  <c r="AH1193" i="15"/>
  <c r="Z1193" i="15"/>
  <c r="R1193" i="15"/>
  <c r="J1193" i="15"/>
  <c r="I1193" i="15"/>
  <c r="S1193" i="15"/>
  <c r="AB1193" i="15"/>
  <c r="L1194" i="15"/>
  <c r="U1194" i="15"/>
  <c r="AD1194" i="15"/>
  <c r="AF1198" i="15"/>
  <c r="X1198" i="15"/>
  <c r="P1198" i="15"/>
  <c r="H1198" i="15"/>
  <c r="J1198" i="15"/>
  <c r="S1198" i="15"/>
  <c r="AB1198" i="15"/>
  <c r="K1199" i="15"/>
  <c r="T1199" i="15"/>
  <c r="AC1199" i="15"/>
  <c r="AD1203" i="15"/>
  <c r="V1203" i="15"/>
  <c r="N1203" i="15"/>
  <c r="I1203" i="15"/>
  <c r="R1203" i="15"/>
  <c r="AA1203" i="15"/>
  <c r="L1205" i="15"/>
  <c r="U1205" i="15"/>
  <c r="AD1205" i="15"/>
  <c r="AH1209" i="15"/>
  <c r="Z1209" i="15"/>
  <c r="R1209" i="15"/>
  <c r="J1209" i="15"/>
  <c r="I1209" i="15"/>
  <c r="S1209" i="15"/>
  <c r="AB1209" i="15"/>
  <c r="L1210" i="15"/>
  <c r="U1210" i="15"/>
  <c r="AD1210" i="15"/>
  <c r="AF1214" i="15"/>
  <c r="X1214" i="15"/>
  <c r="P1214" i="15"/>
  <c r="H1214" i="15"/>
  <c r="J1214" i="15"/>
  <c r="S1214" i="15"/>
  <c r="AB1214" i="15"/>
  <c r="K1215" i="15"/>
  <c r="T1215" i="15"/>
  <c r="AC1215" i="15"/>
  <c r="AD1219" i="15"/>
  <c r="V1219" i="15"/>
  <c r="N1219" i="15"/>
  <c r="I1219" i="15"/>
  <c r="R1219" i="15"/>
  <c r="AA1219" i="15"/>
  <c r="L1221" i="15"/>
  <c r="U1221" i="15"/>
  <c r="AD1221" i="15"/>
  <c r="AH1225" i="15"/>
  <c r="Z1225" i="15"/>
  <c r="R1225" i="15"/>
  <c r="J1225" i="15"/>
  <c r="I1225" i="15"/>
  <c r="S1225" i="15"/>
  <c r="AB1225" i="15"/>
  <c r="L1226" i="15"/>
  <c r="U1226" i="15"/>
  <c r="AD1226" i="15"/>
  <c r="AF1230" i="15"/>
  <c r="X1230" i="15"/>
  <c r="P1230" i="15"/>
  <c r="H1230" i="15"/>
  <c r="J1230" i="15"/>
  <c r="S1230" i="15"/>
  <c r="AB1230" i="15"/>
  <c r="K1231" i="15"/>
  <c r="T1231" i="15"/>
  <c r="AC1231" i="15"/>
  <c r="AD1235" i="15"/>
  <c r="V1235" i="15"/>
  <c r="N1235" i="15"/>
  <c r="I1235" i="15"/>
  <c r="R1235" i="15"/>
  <c r="AA1235" i="15"/>
  <c r="L1237" i="15"/>
  <c r="U1237" i="15"/>
  <c r="AD1237" i="15"/>
  <c r="AH1241" i="15"/>
  <c r="Z1241" i="15"/>
  <c r="R1241" i="15"/>
  <c r="J1241" i="15"/>
  <c r="I1241" i="15"/>
  <c r="S1241" i="15"/>
  <c r="AB1241" i="15"/>
  <c r="L1242" i="15"/>
  <c r="U1242" i="15"/>
  <c r="AD1242" i="15"/>
  <c r="AF1246" i="15"/>
  <c r="X1246" i="15"/>
  <c r="P1246" i="15"/>
  <c r="H1246" i="15"/>
  <c r="J1246" i="15"/>
  <c r="S1246" i="15"/>
  <c r="AB1246" i="15"/>
  <c r="K1247" i="15"/>
  <c r="T1247" i="15"/>
  <c r="AE1247" i="15"/>
  <c r="AB1252" i="15"/>
  <c r="T1252" i="15"/>
  <c r="L1252" i="15"/>
  <c r="AA1252" i="15"/>
  <c r="S1252" i="15"/>
  <c r="K1252" i="15"/>
  <c r="I1252" i="15"/>
  <c r="U1252" i="15"/>
  <c r="AE1252" i="15"/>
  <c r="M1254" i="15"/>
  <c r="Y1254" i="15"/>
  <c r="AD1255" i="15"/>
  <c r="V1255" i="15"/>
  <c r="N1255" i="15"/>
  <c r="AC1255" i="15"/>
  <c r="U1255" i="15"/>
  <c r="M1255" i="15"/>
  <c r="I1255" i="15"/>
  <c r="S1255" i="15"/>
  <c r="AE1255" i="15"/>
  <c r="AB1260" i="15"/>
  <c r="T1260" i="15"/>
  <c r="L1260" i="15"/>
  <c r="AA1260" i="15"/>
  <c r="S1260" i="15"/>
  <c r="K1260" i="15"/>
  <c r="I1260" i="15"/>
  <c r="U1260" i="15"/>
  <c r="AE1260" i="15"/>
  <c r="Y1262" i="15"/>
  <c r="AD1263" i="15"/>
  <c r="V1263" i="15"/>
  <c r="N1263" i="15"/>
  <c r="AC1263" i="15"/>
  <c r="U1263" i="15"/>
  <c r="M1263" i="15"/>
  <c r="I1263" i="15"/>
  <c r="S1263" i="15"/>
  <c r="AE1263" i="15"/>
  <c r="AB1268" i="15"/>
  <c r="T1268" i="15"/>
  <c r="L1268" i="15"/>
  <c r="AA1268" i="15"/>
  <c r="S1268" i="15"/>
  <c r="K1268" i="15"/>
  <c r="I1268" i="15"/>
  <c r="U1268" i="15"/>
  <c r="AE1268" i="15"/>
  <c r="AD1271" i="15"/>
  <c r="V1271" i="15"/>
  <c r="N1271" i="15"/>
  <c r="AC1271" i="15"/>
  <c r="U1271" i="15"/>
  <c r="M1271" i="15"/>
  <c r="I1271" i="15"/>
  <c r="S1271" i="15"/>
  <c r="AE1271" i="15"/>
  <c r="AB1276" i="15"/>
  <c r="T1276" i="15"/>
  <c r="L1276" i="15"/>
  <c r="AA1276" i="15"/>
  <c r="S1276" i="15"/>
  <c r="K1276" i="15"/>
  <c r="I1276" i="15"/>
  <c r="U1276" i="15"/>
  <c r="AE1276" i="15"/>
  <c r="AD1279" i="15"/>
  <c r="V1279" i="15"/>
  <c r="N1279" i="15"/>
  <c r="AC1279" i="15"/>
  <c r="U1279" i="15"/>
  <c r="M1279" i="15"/>
  <c r="I1279" i="15"/>
  <c r="S1279" i="15"/>
  <c r="AE1279" i="15"/>
  <c r="AB1284" i="15"/>
  <c r="T1284" i="15"/>
  <c r="L1284" i="15"/>
  <c r="AA1284" i="15"/>
  <c r="S1284" i="15"/>
  <c r="K1284" i="15"/>
  <c r="I1284" i="15"/>
  <c r="U1284" i="15"/>
  <c r="AE1284" i="15"/>
  <c r="AD1287" i="15"/>
  <c r="V1287" i="15"/>
  <c r="N1287" i="15"/>
  <c r="AC1287" i="15"/>
  <c r="U1287" i="15"/>
  <c r="M1287" i="15"/>
  <c r="I1287" i="15"/>
  <c r="S1287" i="15"/>
  <c r="AE1287" i="15"/>
  <c r="AB1292" i="15"/>
  <c r="T1292" i="15"/>
  <c r="L1292" i="15"/>
  <c r="AA1292" i="15"/>
  <c r="S1292" i="15"/>
  <c r="K1292" i="15"/>
  <c r="I1292" i="15"/>
  <c r="U1292" i="15"/>
  <c r="AE1292" i="15"/>
  <c r="AD1295" i="15"/>
  <c r="V1295" i="15"/>
  <c r="N1295" i="15"/>
  <c r="AC1295" i="15"/>
  <c r="U1295" i="15"/>
  <c r="M1295" i="15"/>
  <c r="I1295" i="15"/>
  <c r="S1295" i="15"/>
  <c r="AE1295" i="15"/>
  <c r="AB1300" i="15"/>
  <c r="T1300" i="15"/>
  <c r="L1300" i="15"/>
  <c r="AA1300" i="15"/>
  <c r="S1300" i="15"/>
  <c r="K1300" i="15"/>
  <c r="I1300" i="15"/>
  <c r="U1300" i="15"/>
  <c r="AE1300" i="15"/>
  <c r="AD1303" i="15"/>
  <c r="V1303" i="15"/>
  <c r="N1303" i="15"/>
  <c r="AC1303" i="15"/>
  <c r="U1303" i="15"/>
  <c r="M1303" i="15"/>
  <c r="I1303" i="15"/>
  <c r="S1303" i="15"/>
  <c r="AE1303" i="15"/>
  <c r="AB1308" i="15"/>
  <c r="T1308" i="15"/>
  <c r="L1308" i="15"/>
  <c r="AA1308" i="15"/>
  <c r="S1308" i="15"/>
  <c r="K1308" i="15"/>
  <c r="I1308" i="15"/>
  <c r="U1308" i="15"/>
  <c r="AE1308" i="15"/>
  <c r="AD1311" i="15"/>
  <c r="V1311" i="15"/>
  <c r="N1311" i="15"/>
  <c r="AC1311" i="15"/>
  <c r="U1311" i="15"/>
  <c r="M1311" i="15"/>
  <c r="I1311" i="15"/>
  <c r="S1311" i="15"/>
  <c r="AE1311" i="15"/>
  <c r="AB1316" i="15"/>
  <c r="T1316" i="15"/>
  <c r="L1316" i="15"/>
  <c r="AA1316" i="15"/>
  <c r="S1316" i="15"/>
  <c r="K1316" i="15"/>
  <c r="I1316" i="15"/>
  <c r="U1316" i="15"/>
  <c r="AE1316" i="15"/>
  <c r="AD1319" i="15"/>
  <c r="V1319" i="15"/>
  <c r="N1319" i="15"/>
  <c r="AC1319" i="15"/>
  <c r="U1319" i="15"/>
  <c r="M1319" i="15"/>
  <c r="I1319" i="15"/>
  <c r="S1319" i="15"/>
  <c r="AE1319" i="15"/>
  <c r="AB1324" i="15"/>
  <c r="T1324" i="15"/>
  <c r="L1324" i="15"/>
  <c r="AA1324" i="15"/>
  <c r="S1324" i="15"/>
  <c r="K1324" i="15"/>
  <c r="I1324" i="15"/>
  <c r="U1324" i="15"/>
  <c r="AE1324" i="15"/>
  <c r="AD1327" i="15"/>
  <c r="V1327" i="15"/>
  <c r="N1327" i="15"/>
  <c r="AC1327" i="15"/>
  <c r="U1327" i="15"/>
  <c r="M1327" i="15"/>
  <c r="I1327" i="15"/>
  <c r="S1327" i="15"/>
  <c r="AE1327" i="15"/>
  <c r="AB1332" i="15"/>
  <c r="T1332" i="15"/>
  <c r="L1332" i="15"/>
  <c r="AA1332" i="15"/>
  <c r="S1332" i="15"/>
  <c r="K1332" i="15"/>
  <c r="I1332" i="15"/>
  <c r="U1332" i="15"/>
  <c r="AE1332" i="15"/>
  <c r="AD1335" i="15"/>
  <c r="V1335" i="15"/>
  <c r="N1335" i="15"/>
  <c r="AC1335" i="15"/>
  <c r="U1335" i="15"/>
  <c r="M1335" i="15"/>
  <c r="I1335" i="15"/>
  <c r="S1335" i="15"/>
  <c r="AE1335" i="15"/>
  <c r="AB1340" i="15"/>
  <c r="T1340" i="15"/>
  <c r="L1340" i="15"/>
  <c r="AA1340" i="15"/>
  <c r="S1340" i="15"/>
  <c r="K1340" i="15"/>
  <c r="I1340" i="15"/>
  <c r="U1340" i="15"/>
  <c r="AE1340" i="15"/>
  <c r="AD1343" i="15"/>
  <c r="V1343" i="15"/>
  <c r="N1343" i="15"/>
  <c r="AC1343" i="15"/>
  <c r="U1343" i="15"/>
  <c r="M1343" i="15"/>
  <c r="I1343" i="15"/>
  <c r="S1343" i="15"/>
  <c r="AE1343" i="15"/>
  <c r="AB1348" i="15"/>
  <c r="T1348" i="15"/>
  <c r="L1348" i="15"/>
  <c r="AA1348" i="15"/>
  <c r="S1348" i="15"/>
  <c r="K1348" i="15"/>
  <c r="I1348" i="15"/>
  <c r="U1348" i="15"/>
  <c r="AE1348" i="15"/>
  <c r="AE1355" i="15"/>
  <c r="W1355" i="15"/>
  <c r="O1355" i="15"/>
  <c r="G1355" i="15"/>
  <c r="AD1355" i="15"/>
  <c r="V1355" i="15"/>
  <c r="N1355" i="15"/>
  <c r="AC1355" i="15"/>
  <c r="U1355" i="15"/>
  <c r="M1355" i="15"/>
  <c r="J1355" i="15"/>
  <c r="X1355" i="15"/>
  <c r="AC1356" i="15"/>
  <c r="U1356" i="15"/>
  <c r="M1356" i="15"/>
  <c r="AB1356" i="15"/>
  <c r="T1356" i="15"/>
  <c r="L1356" i="15"/>
  <c r="AA1356" i="15"/>
  <c r="S1356" i="15"/>
  <c r="K1356" i="15"/>
  <c r="I1356" i="15"/>
  <c r="W1356" i="15"/>
  <c r="AH1356" i="15"/>
  <c r="L1379" i="15"/>
  <c r="Z1379" i="15"/>
  <c r="N1380" i="15"/>
  <c r="Y1380" i="15"/>
  <c r="AE1387" i="15"/>
  <c r="W1387" i="15"/>
  <c r="O1387" i="15"/>
  <c r="G1387" i="15"/>
  <c r="AD1387" i="15"/>
  <c r="V1387" i="15"/>
  <c r="N1387" i="15"/>
  <c r="AC1387" i="15"/>
  <c r="U1387" i="15"/>
  <c r="M1387" i="15"/>
  <c r="J1387" i="15"/>
  <c r="X1387" i="15"/>
  <c r="AC1388" i="15"/>
  <c r="U1388" i="15"/>
  <c r="M1388" i="15"/>
  <c r="AB1388" i="15"/>
  <c r="T1388" i="15"/>
  <c r="L1388" i="15"/>
  <c r="AA1388" i="15"/>
  <c r="S1388" i="15"/>
  <c r="K1388" i="15"/>
  <c r="I1388" i="15"/>
  <c r="W1388" i="15"/>
  <c r="AH1388" i="15"/>
  <c r="L1411" i="15"/>
  <c r="Z1411" i="15"/>
  <c r="N1412" i="15"/>
  <c r="Y1412" i="15"/>
  <c r="AE1419" i="15"/>
  <c r="W1419" i="15"/>
  <c r="O1419" i="15"/>
  <c r="G1419" i="15"/>
  <c r="AD1419" i="15"/>
  <c r="V1419" i="15"/>
  <c r="N1419" i="15"/>
  <c r="AC1419" i="15"/>
  <c r="U1419" i="15"/>
  <c r="M1419" i="15"/>
  <c r="J1419" i="15"/>
  <c r="X1419" i="15"/>
  <c r="AC1420" i="15"/>
  <c r="U1420" i="15"/>
  <c r="M1420" i="15"/>
  <c r="AB1420" i="15"/>
  <c r="T1420" i="15"/>
  <c r="L1420" i="15"/>
  <c r="AA1420" i="15"/>
  <c r="S1420" i="15"/>
  <c r="K1420" i="15"/>
  <c r="I1420" i="15"/>
  <c r="W1420" i="15"/>
  <c r="AH1420" i="15"/>
  <c r="L1443" i="15"/>
  <c r="Z1443" i="15"/>
  <c r="N1444" i="15"/>
  <c r="Y1444" i="15"/>
  <c r="AE1451" i="15"/>
  <c r="W1451" i="15"/>
  <c r="O1451" i="15"/>
  <c r="G1451" i="15"/>
  <c r="AD1451" i="15"/>
  <c r="V1451" i="15"/>
  <c r="N1451" i="15"/>
  <c r="AC1451" i="15"/>
  <c r="U1451" i="15"/>
  <c r="M1451" i="15"/>
  <c r="J1451" i="15"/>
  <c r="X1451" i="15"/>
  <c r="AC1452" i="15"/>
  <c r="U1452" i="15"/>
  <c r="M1452" i="15"/>
  <c r="AB1452" i="15"/>
  <c r="T1452" i="15"/>
  <c r="L1452" i="15"/>
  <c r="AA1452" i="15"/>
  <c r="S1452" i="15"/>
  <c r="K1452" i="15"/>
  <c r="I1452" i="15"/>
  <c r="W1452" i="15"/>
  <c r="AH1452" i="15"/>
  <c r="L1475" i="15"/>
  <c r="Z1475" i="15"/>
  <c r="N1476" i="15"/>
  <c r="Y1476" i="15"/>
  <c r="AE1483" i="15"/>
  <c r="W1483" i="15"/>
  <c r="O1483" i="15"/>
  <c r="G1483" i="15"/>
  <c r="AD1483" i="15"/>
  <c r="V1483" i="15"/>
  <c r="N1483" i="15"/>
  <c r="AC1483" i="15"/>
  <c r="U1483" i="15"/>
  <c r="M1483" i="15"/>
  <c r="J1483" i="15"/>
  <c r="X1483" i="15"/>
  <c r="AC1484" i="15"/>
  <c r="U1484" i="15"/>
  <c r="M1484" i="15"/>
  <c r="AB1484" i="15"/>
  <c r="T1484" i="15"/>
  <c r="L1484" i="15"/>
  <c r="AA1484" i="15"/>
  <c r="S1484" i="15"/>
  <c r="K1484" i="15"/>
  <c r="I1484" i="15"/>
  <c r="W1484" i="15"/>
  <c r="AH1484" i="15"/>
  <c r="L1507" i="15"/>
  <c r="Z1507" i="15"/>
  <c r="N1508" i="15"/>
  <c r="Y1508" i="15"/>
  <c r="AE1515" i="15"/>
  <c r="W1515" i="15"/>
  <c r="O1515" i="15"/>
  <c r="G1515" i="15"/>
  <c r="AD1515" i="15"/>
  <c r="V1515" i="15"/>
  <c r="N1515" i="15"/>
  <c r="AC1515" i="15"/>
  <c r="U1515" i="15"/>
  <c r="M1515" i="15"/>
  <c r="J1515" i="15"/>
  <c r="X1515" i="15"/>
  <c r="AC1516" i="15"/>
  <c r="U1516" i="15"/>
  <c r="M1516" i="15"/>
  <c r="AB1516" i="15"/>
  <c r="T1516" i="15"/>
  <c r="L1516" i="15"/>
  <c r="AA1516" i="15"/>
  <c r="S1516" i="15"/>
  <c r="K1516" i="15"/>
  <c r="I1516" i="15"/>
  <c r="W1516" i="15"/>
  <c r="AH1516" i="15"/>
  <c r="L1539" i="15"/>
  <c r="Z1539" i="15"/>
  <c r="N1540" i="15"/>
  <c r="Y1540" i="15"/>
  <c r="AE1547" i="15"/>
  <c r="W1547" i="15"/>
  <c r="O1547" i="15"/>
  <c r="G1547" i="15"/>
  <c r="AD1547" i="15"/>
  <c r="V1547" i="15"/>
  <c r="N1547" i="15"/>
  <c r="AC1547" i="15"/>
  <c r="U1547" i="15"/>
  <c r="M1547" i="15"/>
  <c r="J1547" i="15"/>
  <c r="X1547" i="15"/>
  <c r="AC1548" i="15"/>
  <c r="U1548" i="15"/>
  <c r="M1548" i="15"/>
  <c r="AB1548" i="15"/>
  <c r="T1548" i="15"/>
  <c r="L1548" i="15"/>
  <c r="AA1548" i="15"/>
  <c r="S1548" i="15"/>
  <c r="K1548" i="15"/>
  <c r="I1548" i="15"/>
  <c r="W1548" i="15"/>
  <c r="AH1548" i="15"/>
  <c r="O1696" i="15"/>
  <c r="AE1696" i="15"/>
  <c r="Q1699" i="15"/>
  <c r="AG1699" i="15"/>
  <c r="O1704" i="15"/>
  <c r="AE1704" i="15"/>
  <c r="Q1707" i="15"/>
  <c r="AG1707" i="15"/>
  <c r="O1712" i="15"/>
  <c r="AE1712" i="15"/>
  <c r="Q1715" i="15"/>
  <c r="AG1715" i="15"/>
  <c r="O1720" i="15"/>
  <c r="AE1720" i="15"/>
  <c r="Q1723" i="15"/>
  <c r="AG1723" i="15"/>
  <c r="O1728" i="15"/>
  <c r="AE1728" i="15"/>
  <c r="Q1731" i="15"/>
  <c r="AG1731" i="15"/>
  <c r="O1736" i="15"/>
  <c r="AE1736" i="15"/>
  <c r="Q1739" i="15"/>
  <c r="AG1739" i="15"/>
  <c r="O1744" i="15"/>
  <c r="AE1744" i="15"/>
  <c r="Q1747" i="15"/>
  <c r="AG1747" i="15"/>
  <c r="O1752" i="15"/>
  <c r="AE1752" i="15"/>
  <c r="Q1755" i="15"/>
  <c r="AG1755" i="15"/>
  <c r="O1760" i="15"/>
  <c r="AE1760" i="15"/>
  <c r="Q1763" i="15"/>
  <c r="AG1763" i="15"/>
  <c r="O1768" i="15"/>
  <c r="AE1768" i="15"/>
  <c r="Q1771" i="15"/>
  <c r="AG1771" i="15"/>
  <c r="O1776" i="15"/>
  <c r="AE1776" i="15"/>
  <c r="Q1779" i="15"/>
  <c r="AG1779" i="15"/>
  <c r="AE1784" i="15"/>
  <c r="Q1787" i="15"/>
  <c r="AG1787" i="15"/>
  <c r="O1792" i="15"/>
  <c r="AE1792" i="15"/>
  <c r="Q1795" i="15"/>
  <c r="AG1795" i="15"/>
  <c r="J1800" i="15"/>
  <c r="Z1800" i="15"/>
  <c r="L1803" i="15"/>
  <c r="AB1803" i="15"/>
  <c r="J1808" i="15"/>
  <c r="Z1808" i="15"/>
  <c r="J1812" i="15"/>
  <c r="Z1812" i="15"/>
  <c r="J1816" i="15"/>
  <c r="Z1816" i="15"/>
  <c r="J1820" i="15"/>
  <c r="Z1820" i="15"/>
  <c r="J1824" i="15"/>
  <c r="Z1824" i="15"/>
  <c r="J1828" i="15"/>
  <c r="Z1828" i="15"/>
  <c r="J1832" i="15"/>
  <c r="Z1832" i="15"/>
  <c r="J1836" i="15"/>
  <c r="Z1836" i="15"/>
  <c r="J1840" i="15"/>
  <c r="Z1840" i="15"/>
  <c r="J1844" i="15"/>
  <c r="Z1844" i="15"/>
  <c r="J1848" i="15"/>
  <c r="Z1848" i="15"/>
  <c r="J1852" i="15"/>
  <c r="Z1852" i="15"/>
  <c r="J1856" i="15"/>
  <c r="Z1856" i="15"/>
  <c r="J1860" i="15"/>
  <c r="Z1860" i="15"/>
  <c r="J1864" i="15"/>
  <c r="Z1864" i="15"/>
  <c r="J1868" i="15"/>
  <c r="Z1868" i="15"/>
  <c r="J1872" i="15"/>
  <c r="Z1872" i="15"/>
  <c r="J1876" i="15"/>
  <c r="Z1876" i="15"/>
  <c r="J1880" i="15"/>
  <c r="Z1880" i="15"/>
  <c r="J1884" i="15"/>
  <c r="Z1884" i="15"/>
  <c r="J1888" i="15"/>
  <c r="Z1888" i="15"/>
  <c r="J1892" i="15"/>
  <c r="Z1892" i="15"/>
  <c r="L1895" i="15"/>
  <c r="AB1895" i="15"/>
  <c r="J1900" i="15"/>
  <c r="Z1900" i="15"/>
  <c r="L1903" i="15"/>
  <c r="AB1903" i="15"/>
  <c r="J1908" i="15"/>
  <c r="Z1908" i="15"/>
  <c r="L1911" i="15"/>
  <c r="AB1911" i="15"/>
  <c r="J1916" i="15"/>
  <c r="Z1916" i="15"/>
  <c r="L1919" i="15"/>
  <c r="AB1919" i="15"/>
  <c r="J1924" i="15"/>
  <c r="Z1924" i="15"/>
  <c r="L1927" i="15"/>
  <c r="AB1927" i="15"/>
  <c r="J1932" i="15"/>
  <c r="Z1932" i="15"/>
  <c r="L1935" i="15"/>
  <c r="AB1935" i="15"/>
  <c r="J1940" i="15"/>
  <c r="Z1940" i="15"/>
  <c r="L1943" i="15"/>
  <c r="AB1943" i="15"/>
  <c r="J1948" i="15"/>
  <c r="Z1948" i="15"/>
  <c r="L1951" i="15"/>
  <c r="AB1951" i="15"/>
  <c r="J1956" i="15"/>
  <c r="Z1956" i="15"/>
  <c r="K2" i="16"/>
  <c r="J3" i="16"/>
  <c r="M5" i="16"/>
  <c r="E5" i="16"/>
  <c r="L5" i="16"/>
  <c r="K5" i="16"/>
  <c r="J5" i="16"/>
  <c r="K7" i="16"/>
  <c r="H9" i="16"/>
  <c r="G9" i="16"/>
  <c r="E15" i="16"/>
  <c r="M21" i="16"/>
  <c r="E21" i="16"/>
  <c r="L21" i="16"/>
  <c r="K21" i="16"/>
  <c r="J21" i="16"/>
  <c r="K23" i="16"/>
  <c r="H25" i="16"/>
  <c r="G25" i="16"/>
  <c r="T27" i="16"/>
  <c r="E31" i="16"/>
  <c r="M37" i="16"/>
  <c r="E37" i="16"/>
  <c r="L37" i="16"/>
  <c r="K37" i="16"/>
  <c r="J37" i="16"/>
  <c r="K39" i="16"/>
  <c r="H41" i="16"/>
  <c r="G41" i="16"/>
  <c r="T43" i="16"/>
  <c r="E47" i="16"/>
  <c r="I56" i="16"/>
  <c r="H56" i="16"/>
  <c r="G60" i="16"/>
  <c r="K60" i="16"/>
  <c r="J60" i="16"/>
  <c r="H60" i="16"/>
  <c r="H69" i="16"/>
  <c r="G69" i="16"/>
  <c r="T69" i="16"/>
  <c r="E69" i="16"/>
  <c r="M69" i="16"/>
  <c r="L74" i="16"/>
  <c r="E75" i="16"/>
  <c r="H77" i="16"/>
  <c r="F77" i="16"/>
  <c r="J77" i="16"/>
  <c r="I77" i="16"/>
  <c r="G77" i="16"/>
  <c r="T77" i="16"/>
  <c r="E77" i="16"/>
  <c r="I77" i="9" s="1"/>
  <c r="M82" i="16"/>
  <c r="L82" i="16"/>
  <c r="J82" i="16"/>
  <c r="H82" i="16"/>
  <c r="F95" i="16"/>
  <c r="M95" i="16"/>
  <c r="E95" i="16"/>
  <c r="I95" i="9" s="1"/>
  <c r="L95" i="16"/>
  <c r="I95" i="16"/>
  <c r="H95" i="16"/>
  <c r="G95" i="16"/>
  <c r="T95" i="16"/>
  <c r="M107" i="16"/>
  <c r="L107" i="16"/>
  <c r="K107" i="16"/>
  <c r="G107" i="16"/>
  <c r="K123" i="16"/>
  <c r="G123" i="16"/>
  <c r="E146" i="16"/>
  <c r="H168" i="16"/>
  <c r="G168" i="16"/>
  <c r="F168" i="16"/>
  <c r="J168" i="16"/>
  <c r="I168" i="16"/>
  <c r="E168" i="16"/>
  <c r="L168" i="16"/>
  <c r="K168" i="16"/>
  <c r="K173" i="16"/>
  <c r="J173" i="16"/>
  <c r="M173" i="16"/>
  <c r="L173" i="16"/>
  <c r="H173" i="16"/>
  <c r="G173" i="16"/>
  <c r="E173" i="16"/>
  <c r="M243" i="16"/>
  <c r="E243" i="16"/>
  <c r="L243" i="16"/>
  <c r="K243" i="16"/>
  <c r="P243" i="16"/>
  <c r="H243" i="9" s="1"/>
  <c r="O243" i="16"/>
  <c r="J243" i="16"/>
  <c r="I243" i="16"/>
  <c r="H243" i="16"/>
  <c r="G243" i="16"/>
  <c r="F250" i="16"/>
  <c r="M250" i="16"/>
  <c r="E250" i="16"/>
  <c r="L250" i="16"/>
  <c r="J250" i="16"/>
  <c r="I250" i="16"/>
  <c r="H250" i="16"/>
  <c r="G250" i="16"/>
  <c r="P250" i="16"/>
  <c r="H250" i="9" s="1"/>
  <c r="O250" i="16"/>
  <c r="K250" i="16"/>
  <c r="P256" i="16"/>
  <c r="H256" i="9" s="1"/>
  <c r="H256" i="16"/>
  <c r="O256" i="16"/>
  <c r="G256" i="16"/>
  <c r="F256" i="16"/>
  <c r="E256" i="16"/>
  <c r="I256" i="9" s="1"/>
  <c r="M256" i="16"/>
  <c r="J256" i="16"/>
  <c r="I256" i="16"/>
  <c r="L260" i="16"/>
  <c r="K260" i="16"/>
  <c r="J260" i="16"/>
  <c r="E260" i="16"/>
  <c r="O260" i="16"/>
  <c r="H260" i="16"/>
  <c r="G260" i="16"/>
  <c r="J272" i="16"/>
  <c r="I272" i="16"/>
  <c r="E272" i="16"/>
  <c r="K301" i="16"/>
  <c r="M301" i="16"/>
  <c r="L301" i="16"/>
  <c r="H301" i="16"/>
  <c r="G301" i="16"/>
  <c r="O314" i="16"/>
  <c r="P320" i="16"/>
  <c r="H320" i="9" s="1"/>
  <c r="H320" i="16"/>
  <c r="G320" i="16"/>
  <c r="F320" i="16"/>
  <c r="E320" i="16"/>
  <c r="I320" i="9" s="1"/>
  <c r="T320" i="16"/>
  <c r="M320" i="16"/>
  <c r="L320" i="16"/>
  <c r="K320" i="16"/>
  <c r="J320" i="16"/>
  <c r="O320" i="16" s="1"/>
  <c r="I320" i="16"/>
  <c r="J326" i="16"/>
  <c r="M326" i="16"/>
  <c r="L326" i="16"/>
  <c r="K326" i="16"/>
  <c r="G326" i="16"/>
  <c r="E326" i="16"/>
  <c r="J334" i="16"/>
  <c r="M334" i="16"/>
  <c r="L334" i="16"/>
  <c r="K334" i="16"/>
  <c r="G334" i="16"/>
  <c r="I336" i="16"/>
  <c r="H360" i="16"/>
  <c r="G360" i="16"/>
  <c r="F360" i="16"/>
  <c r="K360" i="16"/>
  <c r="O360" i="16" s="1"/>
  <c r="J360" i="16"/>
  <c r="I360" i="16"/>
  <c r="E360" i="16"/>
  <c r="M360" i="16"/>
  <c r="L360" i="16"/>
  <c r="F373" i="16"/>
  <c r="L375" i="16"/>
  <c r="K375" i="16"/>
  <c r="J375" i="16"/>
  <c r="M375" i="16"/>
  <c r="L389" i="16"/>
  <c r="P432" i="16"/>
  <c r="H432" i="9" s="1"/>
  <c r="H432" i="16"/>
  <c r="O432" i="16"/>
  <c r="G432" i="16"/>
  <c r="F432" i="16"/>
  <c r="J432" i="16"/>
  <c r="I432" i="16"/>
  <c r="E432" i="16"/>
  <c r="L432" i="16"/>
  <c r="K432" i="16"/>
  <c r="M442" i="16"/>
  <c r="E442" i="16"/>
  <c r="L442" i="16"/>
  <c r="J442" i="16"/>
  <c r="I442" i="16"/>
  <c r="H442" i="16"/>
  <c r="G442" i="16"/>
  <c r="K442" i="16"/>
  <c r="O465" i="16"/>
  <c r="G465" i="16"/>
  <c r="F465" i="16"/>
  <c r="M465" i="16"/>
  <c r="E465" i="16"/>
  <c r="K465" i="16"/>
  <c r="J465" i="16"/>
  <c r="I465" i="16"/>
  <c r="H465" i="16"/>
  <c r="P465" i="16"/>
  <c r="H465" i="9" s="1"/>
  <c r="L465" i="16"/>
  <c r="K505" i="16"/>
  <c r="K509" i="16"/>
  <c r="L509" i="16"/>
  <c r="H509" i="16"/>
  <c r="G509" i="16"/>
  <c r="M509" i="16"/>
  <c r="E509" i="16"/>
  <c r="E534" i="16"/>
  <c r="H560" i="16"/>
  <c r="G560" i="16"/>
  <c r="F560" i="16"/>
  <c r="J560" i="16"/>
  <c r="I560" i="16"/>
  <c r="O560" i="16" s="1"/>
  <c r="E560" i="16"/>
  <c r="P560" i="16" s="1"/>
  <c r="H560" i="9" s="1"/>
  <c r="M560" i="16"/>
  <c r="L560" i="16"/>
  <c r="K560" i="16"/>
  <c r="L564" i="16"/>
  <c r="K564" i="16"/>
  <c r="J564" i="16"/>
  <c r="H564" i="16"/>
  <c r="G564" i="16"/>
  <c r="E564" i="16"/>
  <c r="M564" i="16"/>
  <c r="I564" i="16"/>
  <c r="M578" i="16"/>
  <c r="E578" i="16"/>
  <c r="L578" i="16"/>
  <c r="I578" i="16"/>
  <c r="O578" i="16" s="1"/>
  <c r="H578" i="16"/>
  <c r="G578" i="16"/>
  <c r="T578" i="16"/>
  <c r="K578" i="16"/>
  <c r="J578" i="16"/>
  <c r="E590" i="16"/>
  <c r="O601" i="16"/>
  <c r="G601" i="16"/>
  <c r="F601" i="16"/>
  <c r="M601" i="16"/>
  <c r="E601" i="16"/>
  <c r="J601" i="16"/>
  <c r="I601" i="16"/>
  <c r="H601" i="16"/>
  <c r="L601" i="16"/>
  <c r="K601" i="16"/>
  <c r="M619" i="16"/>
  <c r="E619" i="16"/>
  <c r="L619" i="16"/>
  <c r="K619" i="16"/>
  <c r="G619" i="16"/>
  <c r="I619" i="16"/>
  <c r="H619" i="16"/>
  <c r="E631" i="16"/>
  <c r="I664" i="16"/>
  <c r="E685" i="16"/>
  <c r="I697" i="16"/>
  <c r="L703" i="16"/>
  <c r="H709" i="16"/>
  <c r="G709" i="16"/>
  <c r="E709" i="16"/>
  <c r="F741" i="16"/>
  <c r="E757" i="16"/>
  <c r="K773" i="16"/>
  <c r="F805" i="16"/>
  <c r="H808" i="16"/>
  <c r="G808" i="16"/>
  <c r="F808" i="16"/>
  <c r="K808" i="16"/>
  <c r="J808" i="16"/>
  <c r="I808" i="16"/>
  <c r="E808" i="16"/>
  <c r="M808" i="16"/>
  <c r="L808" i="16"/>
  <c r="H887" i="16"/>
  <c r="G887" i="16"/>
  <c r="L887" i="16"/>
  <c r="K887" i="16"/>
  <c r="J887" i="16"/>
  <c r="M898" i="16"/>
  <c r="E898" i="16"/>
  <c r="L898" i="16"/>
  <c r="I898" i="16"/>
  <c r="H898" i="16"/>
  <c r="G898" i="16"/>
  <c r="J898" i="16"/>
  <c r="F935" i="16"/>
  <c r="O937" i="16"/>
  <c r="G937" i="16"/>
  <c r="F937" i="16"/>
  <c r="M937" i="16"/>
  <c r="E937" i="16"/>
  <c r="H937" i="16"/>
  <c r="J937" i="16"/>
  <c r="I937" i="16"/>
  <c r="L959" i="16"/>
  <c r="G977" i="16"/>
  <c r="M977" i="16"/>
  <c r="E977" i="16"/>
  <c r="K977" i="16"/>
  <c r="J977" i="16"/>
  <c r="I977" i="16"/>
  <c r="O977" i="16" s="1"/>
  <c r="H977" i="16"/>
  <c r="L977" i="16"/>
  <c r="M1010" i="16"/>
  <c r="E1010" i="16"/>
  <c r="L1010" i="16"/>
  <c r="J1010" i="16"/>
  <c r="I1010" i="16"/>
  <c r="H1010" i="16"/>
  <c r="G1010" i="16"/>
  <c r="K1010" i="16"/>
  <c r="O1010" i="16"/>
  <c r="G1041" i="16"/>
  <c r="M1041" i="16"/>
  <c r="E1041" i="16"/>
  <c r="J1041" i="16"/>
  <c r="I1041" i="16"/>
  <c r="H1041" i="16"/>
  <c r="L1041" i="16"/>
  <c r="K1041" i="16"/>
  <c r="E1063" i="16"/>
  <c r="M1150" i="16"/>
  <c r="L1150" i="16"/>
  <c r="K1150" i="16"/>
  <c r="G1150" i="16"/>
  <c r="F1173" i="16"/>
  <c r="K1174" i="16"/>
  <c r="G1174" i="16"/>
  <c r="M1174" i="16"/>
  <c r="L1174" i="16"/>
  <c r="H1200" i="16"/>
  <c r="G1200" i="16"/>
  <c r="I1200" i="16"/>
  <c r="E1200" i="16"/>
  <c r="L1200" i="16"/>
  <c r="K1200" i="16"/>
  <c r="J1200" i="16"/>
  <c r="M1200" i="16"/>
  <c r="E1224" i="16"/>
  <c r="O1289" i="16"/>
  <c r="G1289" i="16"/>
  <c r="F1289" i="16"/>
  <c r="M1289" i="16"/>
  <c r="E1289" i="16"/>
  <c r="K1289" i="16"/>
  <c r="J1289" i="16"/>
  <c r="I1289" i="16"/>
  <c r="H1289" i="16"/>
  <c r="L1289" i="16"/>
  <c r="L1420" i="16"/>
  <c r="K1420" i="16"/>
  <c r="J1420" i="16"/>
  <c r="H1420" i="16"/>
  <c r="G1420" i="16"/>
  <c r="T1420" i="16"/>
  <c r="F1420" i="16"/>
  <c r="P1420" i="16"/>
  <c r="E1420" i="16"/>
  <c r="I1420" i="16"/>
  <c r="O1420" i="16"/>
  <c r="N1420" i="16"/>
  <c r="M1420" i="16"/>
  <c r="P1657" i="16"/>
  <c r="H1657" i="16"/>
  <c r="N1657" i="16"/>
  <c r="E1657" i="16"/>
  <c r="M1657" i="16"/>
  <c r="L1657" i="16"/>
  <c r="F1657" i="16"/>
  <c r="T1657" i="16"/>
  <c r="O1657" i="16"/>
  <c r="I1657" i="16"/>
  <c r="G1657" i="16"/>
  <c r="K1657" i="16"/>
  <c r="J1657" i="16"/>
  <c r="L1717" i="16"/>
  <c r="M1717" i="16"/>
  <c r="K1717" i="16"/>
  <c r="J1717" i="16"/>
  <c r="G1717" i="16"/>
  <c r="F1717" i="16"/>
  <c r="T1717" i="16"/>
  <c r="E1717" i="16"/>
  <c r="P1717" i="16"/>
  <c r="I1717" i="16"/>
  <c r="H1717" i="16"/>
  <c r="O1717" i="16"/>
  <c r="N1717" i="16"/>
  <c r="J1823" i="16"/>
  <c r="N1823" i="16"/>
  <c r="E1823" i="16"/>
  <c r="M1823" i="16"/>
  <c r="L1823" i="16"/>
  <c r="F1823" i="16"/>
  <c r="T1823" i="16"/>
  <c r="P1823" i="16"/>
  <c r="O1823" i="16"/>
  <c r="K1823" i="16"/>
  <c r="I1823" i="16"/>
  <c r="H1823" i="16"/>
  <c r="G1823" i="16"/>
  <c r="N1891" i="16"/>
  <c r="F1891" i="16"/>
  <c r="I1891" i="16"/>
  <c r="T1891" i="16"/>
  <c r="H1891" i="16"/>
  <c r="P1891" i="16"/>
  <c r="G1891" i="16"/>
  <c r="E1891" i="16"/>
  <c r="O1891" i="16"/>
  <c r="L1891" i="16"/>
  <c r="K1891" i="16"/>
  <c r="J1891" i="16"/>
  <c r="M1891" i="16"/>
  <c r="P1929" i="16"/>
  <c r="H1929" i="16"/>
  <c r="T1929" i="16"/>
  <c r="G1929" i="16"/>
  <c r="O1929" i="16"/>
  <c r="F1929" i="16"/>
  <c r="N1929" i="16"/>
  <c r="E1929" i="16"/>
  <c r="K1929" i="16"/>
  <c r="J1929" i="16"/>
  <c r="I1929" i="16"/>
  <c r="M1929" i="16"/>
  <c r="L1929" i="16"/>
  <c r="K1942" i="16"/>
  <c r="T1942" i="16"/>
  <c r="H1942" i="16"/>
  <c r="P1942" i="16"/>
  <c r="G1942" i="16"/>
  <c r="O1942" i="16"/>
  <c r="F1942" i="16"/>
  <c r="J1942" i="16"/>
  <c r="I1942" i="16"/>
  <c r="E1942" i="16"/>
  <c r="N1942" i="16"/>
  <c r="M1942" i="16"/>
  <c r="L1942" i="16"/>
  <c r="J2039" i="16"/>
  <c r="M2039" i="16"/>
  <c r="L2039" i="16"/>
  <c r="K2039" i="16"/>
  <c r="F2039" i="16"/>
  <c r="T2039" i="16"/>
  <c r="E2039" i="16"/>
  <c r="P2039" i="16"/>
  <c r="O2039" i="16"/>
  <c r="G2039" i="16"/>
  <c r="N2039" i="16"/>
  <c r="I2039" i="16"/>
  <c r="H2039" i="16"/>
  <c r="L2101" i="16"/>
  <c r="M2101" i="16"/>
  <c r="K2101" i="16"/>
  <c r="J2101" i="16"/>
  <c r="F2101" i="16"/>
  <c r="T2101" i="16"/>
  <c r="E2101" i="16"/>
  <c r="P2101" i="16"/>
  <c r="O2101" i="16"/>
  <c r="H2101" i="16"/>
  <c r="G2101" i="16"/>
  <c r="N2101" i="16"/>
  <c r="I2101" i="16"/>
  <c r="K2182" i="16"/>
  <c r="O2182" i="16"/>
  <c r="F2182" i="16"/>
  <c r="N2182" i="16"/>
  <c r="E2182" i="16"/>
  <c r="M2182" i="16"/>
  <c r="H2182" i="16"/>
  <c r="G2182" i="16"/>
  <c r="T2182" i="16"/>
  <c r="L2182" i="16"/>
  <c r="J2182" i="16"/>
  <c r="I2182" i="16"/>
  <c r="P2182" i="16"/>
  <c r="K2206" i="16"/>
  <c r="N2206" i="16"/>
  <c r="E2206" i="16"/>
  <c r="M2206" i="16"/>
  <c r="L2206" i="16"/>
  <c r="F2206" i="16"/>
  <c r="T2206" i="16"/>
  <c r="P2206" i="16"/>
  <c r="O2206" i="16"/>
  <c r="H2206" i="16"/>
  <c r="G2206" i="16"/>
  <c r="J2206" i="16"/>
  <c r="I2206" i="16"/>
  <c r="O2362" i="16"/>
  <c r="G2362" i="16"/>
  <c r="P2362" i="16"/>
  <c r="F2362" i="16"/>
  <c r="N2362" i="16"/>
  <c r="E2362" i="16"/>
  <c r="M2362" i="16"/>
  <c r="K2362" i="16"/>
  <c r="J2362" i="16"/>
  <c r="I2362" i="16"/>
  <c r="H2362" i="16"/>
  <c r="T2362" i="16"/>
  <c r="L2362" i="16"/>
  <c r="J2415" i="16"/>
  <c r="P2415" i="16"/>
  <c r="G2415" i="16"/>
  <c r="O2415" i="16"/>
  <c r="F2415" i="16"/>
  <c r="N2415" i="16"/>
  <c r="E2415" i="16"/>
  <c r="H2415" i="16"/>
  <c r="M2415" i="16"/>
  <c r="L2415" i="16"/>
  <c r="K2415" i="16"/>
  <c r="I2415" i="16"/>
  <c r="T2415" i="16"/>
  <c r="M2925" i="16"/>
  <c r="E2925" i="16"/>
  <c r="L2925" i="16"/>
  <c r="H2925" i="16"/>
  <c r="T2925" i="16"/>
  <c r="G2925" i="16"/>
  <c r="P2925" i="16"/>
  <c r="F2925" i="16"/>
  <c r="I2925" i="16"/>
  <c r="J2925" i="16"/>
  <c r="O2925" i="16"/>
  <c r="N2925" i="16"/>
  <c r="K2925" i="16"/>
  <c r="K3007" i="16"/>
  <c r="J3007" i="16"/>
  <c r="N3007" i="16"/>
  <c r="M3007" i="16"/>
  <c r="L3007" i="16"/>
  <c r="H3007" i="16"/>
  <c r="G3007" i="16"/>
  <c r="E3007" i="16"/>
  <c r="O3007" i="16"/>
  <c r="I3007" i="16"/>
  <c r="F3007" i="16"/>
  <c r="T3007" i="16"/>
  <c r="P3007" i="16"/>
  <c r="P3034" i="16"/>
  <c r="H3034" i="16"/>
  <c r="O3034" i="16"/>
  <c r="G3034" i="16"/>
  <c r="N3034" i="16"/>
  <c r="M3034" i="16"/>
  <c r="L3034" i="16"/>
  <c r="I3034" i="16"/>
  <c r="F3034" i="16"/>
  <c r="J3034" i="16"/>
  <c r="E3034" i="16"/>
  <c r="T3034" i="16"/>
  <c r="K3034" i="16"/>
  <c r="O3147" i="16"/>
  <c r="G3147" i="16"/>
  <c r="N3147" i="16"/>
  <c r="F3147" i="16"/>
  <c r="T3147" i="16"/>
  <c r="E3147" i="16"/>
  <c r="P3147" i="16"/>
  <c r="M3147" i="16"/>
  <c r="K3147" i="16"/>
  <c r="J3147" i="16"/>
  <c r="I3147" i="16"/>
  <c r="H3147" i="16"/>
  <c r="L3147" i="16"/>
  <c r="L3238" i="16"/>
  <c r="K3238" i="16"/>
  <c r="H3238" i="16"/>
  <c r="T3238" i="16"/>
  <c r="G3238" i="16"/>
  <c r="P3238" i="16"/>
  <c r="F3238" i="16"/>
  <c r="M3238" i="16"/>
  <c r="J3238" i="16"/>
  <c r="E3238" i="16"/>
  <c r="N3238" i="16"/>
  <c r="I3238" i="16"/>
  <c r="O3238" i="16"/>
  <c r="K3279" i="16"/>
  <c r="J3279" i="16"/>
  <c r="P3279" i="16"/>
  <c r="F3279" i="16"/>
  <c r="O3279" i="16"/>
  <c r="E3279" i="16"/>
  <c r="N3279" i="16"/>
  <c r="G3279" i="16"/>
  <c r="T3279" i="16"/>
  <c r="H3279" i="16"/>
  <c r="I3279" i="16"/>
  <c r="M3279" i="16"/>
  <c r="L3279" i="16"/>
  <c r="K3423" i="16"/>
  <c r="J3423" i="16"/>
  <c r="H3423" i="16"/>
  <c r="T3423" i="16"/>
  <c r="G3423" i="16"/>
  <c r="P3423" i="16"/>
  <c r="F3423" i="16"/>
  <c r="L3423" i="16"/>
  <c r="I3423" i="16"/>
  <c r="O3423" i="16"/>
  <c r="N3423" i="16"/>
  <c r="M3423" i="16"/>
  <c r="E3423" i="16"/>
  <c r="P3546" i="16"/>
  <c r="H3546" i="16"/>
  <c r="O3546" i="16"/>
  <c r="G3546" i="16"/>
  <c r="N3546" i="16"/>
  <c r="M3546" i="16"/>
  <c r="L3546" i="16"/>
  <c r="F3546" i="16"/>
  <c r="E3546" i="16"/>
  <c r="I3546" i="16"/>
  <c r="T3546" i="16"/>
  <c r="K3546" i="16"/>
  <c r="J3546" i="16"/>
  <c r="O3715" i="16"/>
  <c r="G3715" i="16"/>
  <c r="N3715" i="16"/>
  <c r="F3715" i="16"/>
  <c r="P3715" i="16"/>
  <c r="M3715" i="16"/>
  <c r="L3715" i="16"/>
  <c r="H3715" i="16"/>
  <c r="E3715" i="16"/>
  <c r="J3715" i="16"/>
  <c r="I3715" i="16"/>
  <c r="T3715" i="16"/>
  <c r="K3715" i="16"/>
  <c r="L3862" i="16"/>
  <c r="K3862" i="16"/>
  <c r="P3862" i="16"/>
  <c r="F3862" i="16"/>
  <c r="O3862" i="16"/>
  <c r="E3862" i="16"/>
  <c r="N3862" i="16"/>
  <c r="T3862" i="16"/>
  <c r="J3862" i="16"/>
  <c r="I3862" i="16"/>
  <c r="H3862" i="16"/>
  <c r="G3862" i="16"/>
  <c r="M3862" i="16"/>
  <c r="T4041" i="16"/>
  <c r="I4041" i="16"/>
  <c r="L4041" i="16"/>
  <c r="G4041" i="16"/>
  <c r="P4041" i="16"/>
  <c r="F4041" i="16"/>
  <c r="E4041" i="16"/>
  <c r="O4041" i="16"/>
  <c r="K4041" i="16"/>
  <c r="J4041" i="16"/>
  <c r="H4041" i="16"/>
  <c r="M4041" i="16"/>
  <c r="N4041" i="16"/>
  <c r="N4060" i="16"/>
  <c r="F4060" i="16"/>
  <c r="I4060" i="16"/>
  <c r="J4060" i="16"/>
  <c r="H4060" i="16"/>
  <c r="G4060" i="16"/>
  <c r="E4060" i="16"/>
  <c r="T4060" i="16"/>
  <c r="M4060" i="16"/>
  <c r="L4060" i="16"/>
  <c r="K4060" i="16"/>
  <c r="P4060" i="16"/>
  <c r="O4060" i="16"/>
  <c r="L5174" i="16"/>
  <c r="K5174" i="16"/>
  <c r="H5174" i="16"/>
  <c r="T5174" i="16"/>
  <c r="G5174" i="16"/>
  <c r="P5174" i="16"/>
  <c r="F5174" i="16"/>
  <c r="J5174" i="16"/>
  <c r="I5174" i="16"/>
  <c r="E5174" i="16"/>
  <c r="N5174" i="16"/>
  <c r="M5174" i="16"/>
  <c r="O5174" i="16"/>
  <c r="P5266" i="16"/>
  <c r="H5266" i="16"/>
  <c r="O5266" i="16"/>
  <c r="G5266" i="16"/>
  <c r="T5266" i="16"/>
  <c r="E5266" i="16"/>
  <c r="N5266" i="16"/>
  <c r="M5266" i="16"/>
  <c r="K5266" i="16"/>
  <c r="J5266" i="16"/>
  <c r="I5266" i="16"/>
  <c r="F5266" i="16"/>
  <c r="L5266" i="16"/>
  <c r="I1249" i="15"/>
  <c r="Q1249" i="15"/>
  <c r="Y1249" i="15"/>
  <c r="AG1249" i="15"/>
  <c r="I1253" i="15"/>
  <c r="Q1253" i="15"/>
  <c r="Y1253" i="15"/>
  <c r="AG1253" i="15"/>
  <c r="I1257" i="15"/>
  <c r="Q1257" i="15"/>
  <c r="Y1257" i="15"/>
  <c r="AG1257" i="15"/>
  <c r="I1261" i="15"/>
  <c r="Q1261" i="15"/>
  <c r="Y1261" i="15"/>
  <c r="AG1261" i="15"/>
  <c r="I1265" i="15"/>
  <c r="Q1265" i="15"/>
  <c r="Y1265" i="15"/>
  <c r="AG1265" i="15"/>
  <c r="I1269" i="15"/>
  <c r="Q1269" i="15"/>
  <c r="Y1269" i="15"/>
  <c r="AG1269" i="15"/>
  <c r="I1273" i="15"/>
  <c r="Q1273" i="15"/>
  <c r="Y1273" i="15"/>
  <c r="AG1273" i="15"/>
  <c r="I1277" i="15"/>
  <c r="Q1277" i="15"/>
  <c r="Y1277" i="15"/>
  <c r="AG1277" i="15"/>
  <c r="I1281" i="15"/>
  <c r="Q1281" i="15"/>
  <c r="Y1281" i="15"/>
  <c r="AG1281" i="15"/>
  <c r="I1285" i="15"/>
  <c r="Q1285" i="15"/>
  <c r="Y1285" i="15"/>
  <c r="AG1285" i="15"/>
  <c r="I1289" i="15"/>
  <c r="Q1289" i="15"/>
  <c r="Y1289" i="15"/>
  <c r="AG1289" i="15"/>
  <c r="I1293" i="15"/>
  <c r="Q1293" i="15"/>
  <c r="Y1293" i="15"/>
  <c r="AG1293" i="15"/>
  <c r="I1297" i="15"/>
  <c r="Q1297" i="15"/>
  <c r="Y1297" i="15"/>
  <c r="AG1297" i="15"/>
  <c r="I1301" i="15"/>
  <c r="Q1301" i="15"/>
  <c r="Y1301" i="15"/>
  <c r="AG1301" i="15"/>
  <c r="I1305" i="15"/>
  <c r="Q1305" i="15"/>
  <c r="Y1305" i="15"/>
  <c r="AG1305" i="15"/>
  <c r="I1309" i="15"/>
  <c r="Q1309" i="15"/>
  <c r="Y1309" i="15"/>
  <c r="AG1309" i="15"/>
  <c r="I1313" i="15"/>
  <c r="Q1313" i="15"/>
  <c r="Y1313" i="15"/>
  <c r="AG1313" i="15"/>
  <c r="I1317" i="15"/>
  <c r="Q1317" i="15"/>
  <c r="Y1317" i="15"/>
  <c r="AG1317" i="15"/>
  <c r="I1321" i="15"/>
  <c r="Q1321" i="15"/>
  <c r="Y1321" i="15"/>
  <c r="AG1321" i="15"/>
  <c r="I1325" i="15"/>
  <c r="Q1325" i="15"/>
  <c r="Y1325" i="15"/>
  <c r="AG1325" i="15"/>
  <c r="I1329" i="15"/>
  <c r="Q1329" i="15"/>
  <c r="Y1329" i="15"/>
  <c r="AG1329" i="15"/>
  <c r="I1333" i="15"/>
  <c r="Q1333" i="15"/>
  <c r="Y1333" i="15"/>
  <c r="AG1333" i="15"/>
  <c r="I1337" i="15"/>
  <c r="Q1337" i="15"/>
  <c r="Y1337" i="15"/>
  <c r="AG1337" i="15"/>
  <c r="I1341" i="15"/>
  <c r="Q1341" i="15"/>
  <c r="Y1341" i="15"/>
  <c r="AG1341" i="15"/>
  <c r="I1345" i="15"/>
  <c r="Q1345" i="15"/>
  <c r="Y1345" i="15"/>
  <c r="AG1345" i="15"/>
  <c r="I1349" i="15"/>
  <c r="Q1349" i="15"/>
  <c r="Y1349" i="15"/>
  <c r="AG1349" i="15"/>
  <c r="I1353" i="15"/>
  <c r="Q1353" i="15"/>
  <c r="Y1353" i="15"/>
  <c r="AG1353" i="15"/>
  <c r="G1354" i="15"/>
  <c r="O1354" i="15"/>
  <c r="W1354" i="15"/>
  <c r="AE1354" i="15"/>
  <c r="I1357" i="15"/>
  <c r="Q1357" i="15"/>
  <c r="Y1357" i="15"/>
  <c r="AG1357" i="15"/>
  <c r="G1358" i="15"/>
  <c r="O1358" i="15"/>
  <c r="W1358" i="15"/>
  <c r="AE1358" i="15"/>
  <c r="I1361" i="15"/>
  <c r="Q1361" i="15"/>
  <c r="Y1361" i="15"/>
  <c r="AG1361" i="15"/>
  <c r="G1362" i="15"/>
  <c r="O1362" i="15"/>
  <c r="W1362" i="15"/>
  <c r="AE1362" i="15"/>
  <c r="I1365" i="15"/>
  <c r="Q1365" i="15"/>
  <c r="Y1365" i="15"/>
  <c r="AG1365" i="15"/>
  <c r="G1366" i="15"/>
  <c r="O1366" i="15"/>
  <c r="W1366" i="15"/>
  <c r="AE1366" i="15"/>
  <c r="I1369" i="15"/>
  <c r="Q1369" i="15"/>
  <c r="Y1369" i="15"/>
  <c r="AG1369" i="15"/>
  <c r="G1370" i="15"/>
  <c r="O1370" i="15"/>
  <c r="W1370" i="15"/>
  <c r="AE1370" i="15"/>
  <c r="I1373" i="15"/>
  <c r="Q1373" i="15"/>
  <c r="Y1373" i="15"/>
  <c r="AG1373" i="15"/>
  <c r="G1374" i="15"/>
  <c r="O1374" i="15"/>
  <c r="W1374" i="15"/>
  <c r="AE1374" i="15"/>
  <c r="I1377" i="15"/>
  <c r="Q1377" i="15"/>
  <c r="Y1377" i="15"/>
  <c r="AG1377" i="15"/>
  <c r="G1378" i="15"/>
  <c r="O1378" i="15"/>
  <c r="W1378" i="15"/>
  <c r="AE1378" i="15"/>
  <c r="I1381" i="15"/>
  <c r="Q1381" i="15"/>
  <c r="Y1381" i="15"/>
  <c r="AG1381" i="15"/>
  <c r="G1382" i="15"/>
  <c r="O1382" i="15"/>
  <c r="W1382" i="15"/>
  <c r="AE1382" i="15"/>
  <c r="I1385" i="15"/>
  <c r="Q1385" i="15"/>
  <c r="Y1385" i="15"/>
  <c r="AG1385" i="15"/>
  <c r="G1386" i="15"/>
  <c r="O1386" i="15"/>
  <c r="W1386" i="15"/>
  <c r="AE1386" i="15"/>
  <c r="I1389" i="15"/>
  <c r="Q1389" i="15"/>
  <c r="Y1389" i="15"/>
  <c r="AG1389" i="15"/>
  <c r="G1390" i="15"/>
  <c r="O1390" i="15"/>
  <c r="W1390" i="15"/>
  <c r="AE1390" i="15"/>
  <c r="I1393" i="15"/>
  <c r="Q1393" i="15"/>
  <c r="Y1393" i="15"/>
  <c r="AG1393" i="15"/>
  <c r="G1394" i="15"/>
  <c r="O1394" i="15"/>
  <c r="W1394" i="15"/>
  <c r="AE1394" i="15"/>
  <c r="I1397" i="15"/>
  <c r="Q1397" i="15"/>
  <c r="Y1397" i="15"/>
  <c r="AG1397" i="15"/>
  <c r="G1398" i="15"/>
  <c r="O1398" i="15"/>
  <c r="W1398" i="15"/>
  <c r="AE1398" i="15"/>
  <c r="I1401" i="15"/>
  <c r="Q1401" i="15"/>
  <c r="Y1401" i="15"/>
  <c r="AG1401" i="15"/>
  <c r="G1402" i="15"/>
  <c r="O1402" i="15"/>
  <c r="W1402" i="15"/>
  <c r="AE1402" i="15"/>
  <c r="I1405" i="15"/>
  <c r="Q1405" i="15"/>
  <c r="Y1405" i="15"/>
  <c r="AG1405" i="15"/>
  <c r="G1406" i="15"/>
  <c r="O1406" i="15"/>
  <c r="W1406" i="15"/>
  <c r="AE1406" i="15"/>
  <c r="I1409" i="15"/>
  <c r="Q1409" i="15"/>
  <c r="Y1409" i="15"/>
  <c r="AG1409" i="15"/>
  <c r="G1410" i="15"/>
  <c r="O1410" i="15"/>
  <c r="W1410" i="15"/>
  <c r="AE1410" i="15"/>
  <c r="I1413" i="15"/>
  <c r="Q1413" i="15"/>
  <c r="Y1413" i="15"/>
  <c r="AG1413" i="15"/>
  <c r="G1414" i="15"/>
  <c r="O1414" i="15"/>
  <c r="W1414" i="15"/>
  <c r="AE1414" i="15"/>
  <c r="I1417" i="15"/>
  <c r="Q1417" i="15"/>
  <c r="Y1417" i="15"/>
  <c r="AG1417" i="15"/>
  <c r="G1418" i="15"/>
  <c r="O1418" i="15"/>
  <c r="W1418" i="15"/>
  <c r="AE1418" i="15"/>
  <c r="I1421" i="15"/>
  <c r="Q1421" i="15"/>
  <c r="Y1421" i="15"/>
  <c r="AG1421" i="15"/>
  <c r="G1422" i="15"/>
  <c r="O1422" i="15"/>
  <c r="W1422" i="15"/>
  <c r="AE1422" i="15"/>
  <c r="I1425" i="15"/>
  <c r="Q1425" i="15"/>
  <c r="Y1425" i="15"/>
  <c r="AG1425" i="15"/>
  <c r="G1426" i="15"/>
  <c r="O1426" i="15"/>
  <c r="W1426" i="15"/>
  <c r="AE1426" i="15"/>
  <c r="I1429" i="15"/>
  <c r="Q1429" i="15"/>
  <c r="Y1429" i="15"/>
  <c r="AG1429" i="15"/>
  <c r="G1430" i="15"/>
  <c r="O1430" i="15"/>
  <c r="W1430" i="15"/>
  <c r="AE1430" i="15"/>
  <c r="I1433" i="15"/>
  <c r="Q1433" i="15"/>
  <c r="Y1433" i="15"/>
  <c r="AG1433" i="15"/>
  <c r="G1434" i="15"/>
  <c r="O1434" i="15"/>
  <c r="W1434" i="15"/>
  <c r="AE1434" i="15"/>
  <c r="I1437" i="15"/>
  <c r="Q1437" i="15"/>
  <c r="Y1437" i="15"/>
  <c r="AG1437" i="15"/>
  <c r="G1438" i="15"/>
  <c r="O1438" i="15"/>
  <c r="W1438" i="15"/>
  <c r="AE1438" i="15"/>
  <c r="I1441" i="15"/>
  <c r="Q1441" i="15"/>
  <c r="Y1441" i="15"/>
  <c r="AG1441" i="15"/>
  <c r="G1442" i="15"/>
  <c r="O1442" i="15"/>
  <c r="W1442" i="15"/>
  <c r="AE1442" i="15"/>
  <c r="I1445" i="15"/>
  <c r="Q1445" i="15"/>
  <c r="Y1445" i="15"/>
  <c r="AG1445" i="15"/>
  <c r="G1446" i="15"/>
  <c r="O1446" i="15"/>
  <c r="W1446" i="15"/>
  <c r="AE1446" i="15"/>
  <c r="I1449" i="15"/>
  <c r="Q1449" i="15"/>
  <c r="Y1449" i="15"/>
  <c r="AG1449" i="15"/>
  <c r="G1450" i="15"/>
  <c r="O1450" i="15"/>
  <c r="W1450" i="15"/>
  <c r="AE1450" i="15"/>
  <c r="I1453" i="15"/>
  <c r="Q1453" i="15"/>
  <c r="Y1453" i="15"/>
  <c r="AG1453" i="15"/>
  <c r="G1454" i="15"/>
  <c r="O1454" i="15"/>
  <c r="W1454" i="15"/>
  <c r="AE1454" i="15"/>
  <c r="I1457" i="15"/>
  <c r="Q1457" i="15"/>
  <c r="Y1457" i="15"/>
  <c r="AG1457" i="15"/>
  <c r="G1458" i="15"/>
  <c r="O1458" i="15"/>
  <c r="W1458" i="15"/>
  <c r="AE1458" i="15"/>
  <c r="I1461" i="15"/>
  <c r="Q1461" i="15"/>
  <c r="Y1461" i="15"/>
  <c r="AG1461" i="15"/>
  <c r="G1462" i="15"/>
  <c r="O1462" i="15"/>
  <c r="W1462" i="15"/>
  <c r="AE1462" i="15"/>
  <c r="I1465" i="15"/>
  <c r="Q1465" i="15"/>
  <c r="Y1465" i="15"/>
  <c r="AG1465" i="15"/>
  <c r="G1466" i="15"/>
  <c r="O1466" i="15"/>
  <c r="W1466" i="15"/>
  <c r="AE1466" i="15"/>
  <c r="I1469" i="15"/>
  <c r="Q1469" i="15"/>
  <c r="Y1469" i="15"/>
  <c r="AG1469" i="15"/>
  <c r="G1470" i="15"/>
  <c r="O1470" i="15"/>
  <c r="W1470" i="15"/>
  <c r="AE1470" i="15"/>
  <c r="I1473" i="15"/>
  <c r="Q1473" i="15"/>
  <c r="Y1473" i="15"/>
  <c r="AG1473" i="15"/>
  <c r="G1474" i="15"/>
  <c r="O1474" i="15"/>
  <c r="W1474" i="15"/>
  <c r="AE1474" i="15"/>
  <c r="I1477" i="15"/>
  <c r="Q1477" i="15"/>
  <c r="Y1477" i="15"/>
  <c r="AG1477" i="15"/>
  <c r="G1478" i="15"/>
  <c r="O1478" i="15"/>
  <c r="W1478" i="15"/>
  <c r="AE1478" i="15"/>
  <c r="I1481" i="15"/>
  <c r="Q1481" i="15"/>
  <c r="Y1481" i="15"/>
  <c r="AG1481" i="15"/>
  <c r="G1482" i="15"/>
  <c r="O1482" i="15"/>
  <c r="W1482" i="15"/>
  <c r="AE1482" i="15"/>
  <c r="I1485" i="15"/>
  <c r="Q1485" i="15"/>
  <c r="Y1485" i="15"/>
  <c r="AG1485" i="15"/>
  <c r="G1486" i="15"/>
  <c r="O1486" i="15"/>
  <c r="W1486" i="15"/>
  <c r="AE1486" i="15"/>
  <c r="I1489" i="15"/>
  <c r="Q1489" i="15"/>
  <c r="Y1489" i="15"/>
  <c r="AG1489" i="15"/>
  <c r="G1490" i="15"/>
  <c r="O1490" i="15"/>
  <c r="W1490" i="15"/>
  <c r="AE1490" i="15"/>
  <c r="I1493" i="15"/>
  <c r="Q1493" i="15"/>
  <c r="Y1493" i="15"/>
  <c r="AG1493" i="15"/>
  <c r="G1494" i="15"/>
  <c r="O1494" i="15"/>
  <c r="W1494" i="15"/>
  <c r="AE1494" i="15"/>
  <c r="I1497" i="15"/>
  <c r="Q1497" i="15"/>
  <c r="Y1497" i="15"/>
  <c r="AG1497" i="15"/>
  <c r="G1498" i="15"/>
  <c r="O1498" i="15"/>
  <c r="W1498" i="15"/>
  <c r="AE1498" i="15"/>
  <c r="I1501" i="15"/>
  <c r="Q1501" i="15"/>
  <c r="Y1501" i="15"/>
  <c r="AG1501" i="15"/>
  <c r="G1502" i="15"/>
  <c r="O1502" i="15"/>
  <c r="W1502" i="15"/>
  <c r="AE1502" i="15"/>
  <c r="I1505" i="15"/>
  <c r="Q1505" i="15"/>
  <c r="Y1505" i="15"/>
  <c r="AG1505" i="15"/>
  <c r="G1506" i="15"/>
  <c r="O1506" i="15"/>
  <c r="W1506" i="15"/>
  <c r="AE1506" i="15"/>
  <c r="I1509" i="15"/>
  <c r="Q1509" i="15"/>
  <c r="Y1509" i="15"/>
  <c r="AG1509" i="15"/>
  <c r="G1510" i="15"/>
  <c r="O1510" i="15"/>
  <c r="W1510" i="15"/>
  <c r="AE1510" i="15"/>
  <c r="I1513" i="15"/>
  <c r="Q1513" i="15"/>
  <c r="Y1513" i="15"/>
  <c r="AG1513" i="15"/>
  <c r="G1514" i="15"/>
  <c r="O1514" i="15"/>
  <c r="W1514" i="15"/>
  <c r="AE1514" i="15"/>
  <c r="I1517" i="15"/>
  <c r="Q1517" i="15"/>
  <c r="Y1517" i="15"/>
  <c r="AG1517" i="15"/>
  <c r="G1518" i="15"/>
  <c r="O1518" i="15"/>
  <c r="W1518" i="15"/>
  <c r="AE1518" i="15"/>
  <c r="I1521" i="15"/>
  <c r="Q1521" i="15"/>
  <c r="Y1521" i="15"/>
  <c r="AG1521" i="15"/>
  <c r="G1522" i="15"/>
  <c r="O1522" i="15"/>
  <c r="W1522" i="15"/>
  <c r="AE1522" i="15"/>
  <c r="I1525" i="15"/>
  <c r="Q1525" i="15"/>
  <c r="Y1525" i="15"/>
  <c r="AG1525" i="15"/>
  <c r="G1526" i="15"/>
  <c r="O1526" i="15"/>
  <c r="W1526" i="15"/>
  <c r="AE1526" i="15"/>
  <c r="I1529" i="15"/>
  <c r="Q1529" i="15"/>
  <c r="Y1529" i="15"/>
  <c r="AG1529" i="15"/>
  <c r="G1530" i="15"/>
  <c r="O1530" i="15"/>
  <c r="W1530" i="15"/>
  <c r="AE1530" i="15"/>
  <c r="I1533" i="15"/>
  <c r="Q1533" i="15"/>
  <c r="Y1533" i="15"/>
  <c r="AG1533" i="15"/>
  <c r="G1534" i="15"/>
  <c r="O1534" i="15"/>
  <c r="W1534" i="15"/>
  <c r="AE1534" i="15"/>
  <c r="I1537" i="15"/>
  <c r="Q1537" i="15"/>
  <c r="Y1537" i="15"/>
  <c r="AG1537" i="15"/>
  <c r="G1538" i="15"/>
  <c r="O1538" i="15"/>
  <c r="W1538" i="15"/>
  <c r="AE1538" i="15"/>
  <c r="I1541" i="15"/>
  <c r="Q1541" i="15"/>
  <c r="Y1541" i="15"/>
  <c r="AG1541" i="15"/>
  <c r="G1542" i="15"/>
  <c r="O1542" i="15"/>
  <c r="W1542" i="15"/>
  <c r="AE1542" i="15"/>
  <c r="I1545" i="15"/>
  <c r="Q1545" i="15"/>
  <c r="Y1545" i="15"/>
  <c r="AG1545" i="15"/>
  <c r="G1546" i="15"/>
  <c r="O1546" i="15"/>
  <c r="W1546" i="15"/>
  <c r="AE1546" i="15"/>
  <c r="I1549" i="15"/>
  <c r="Q1549" i="15"/>
  <c r="Y1549" i="15"/>
  <c r="AG1549" i="15"/>
  <c r="G1550" i="15"/>
  <c r="O1550" i="15"/>
  <c r="W1550" i="15"/>
  <c r="AE1550" i="15"/>
  <c r="I1553" i="15"/>
  <c r="Q1553" i="15"/>
  <c r="Y1553" i="15"/>
  <c r="AG1553" i="15"/>
  <c r="I1557" i="15"/>
  <c r="Q1557" i="15"/>
  <c r="Y1557" i="15"/>
  <c r="AG1557" i="15"/>
  <c r="I1561" i="15"/>
  <c r="Q1561" i="15"/>
  <c r="Y1561" i="15"/>
  <c r="AG1561" i="15"/>
  <c r="I1565" i="15"/>
  <c r="Q1565" i="15"/>
  <c r="Y1565" i="15"/>
  <c r="AG1565" i="15"/>
  <c r="I1569" i="15"/>
  <c r="Q1569" i="15"/>
  <c r="Y1569" i="15"/>
  <c r="AG1569" i="15"/>
  <c r="I1573" i="15"/>
  <c r="Q1573" i="15"/>
  <c r="Y1573" i="15"/>
  <c r="AG1573" i="15"/>
  <c r="I1577" i="15"/>
  <c r="Q1577" i="15"/>
  <c r="Y1577" i="15"/>
  <c r="AG1577" i="15"/>
  <c r="I1581" i="15"/>
  <c r="Q1581" i="15"/>
  <c r="Y1581" i="15"/>
  <c r="AG1581" i="15"/>
  <c r="I1585" i="15"/>
  <c r="Q1585" i="15"/>
  <c r="Y1585" i="15"/>
  <c r="AG1585" i="15"/>
  <c r="I1589" i="15"/>
  <c r="Q1589" i="15"/>
  <c r="Y1589" i="15"/>
  <c r="AG1589" i="15"/>
  <c r="I1593" i="15"/>
  <c r="Q1593" i="15"/>
  <c r="Y1593" i="15"/>
  <c r="AG1593" i="15"/>
  <c r="I1597" i="15"/>
  <c r="Q1597" i="15"/>
  <c r="Y1597" i="15"/>
  <c r="AG1597" i="15"/>
  <c r="I1601" i="15"/>
  <c r="Q1601" i="15"/>
  <c r="Y1601" i="15"/>
  <c r="AG1601" i="15"/>
  <c r="I1605" i="15"/>
  <c r="Q1605" i="15"/>
  <c r="Y1605" i="15"/>
  <c r="AG1605" i="15"/>
  <c r="I1609" i="15"/>
  <c r="Q1609" i="15"/>
  <c r="Y1609" i="15"/>
  <c r="AG1609" i="15"/>
  <c r="I1613" i="15"/>
  <c r="Q1613" i="15"/>
  <c r="Y1613" i="15"/>
  <c r="AG1613" i="15"/>
  <c r="I1617" i="15"/>
  <c r="Q1617" i="15"/>
  <c r="Y1617" i="15"/>
  <c r="AG1617" i="15"/>
  <c r="I1621" i="15"/>
  <c r="Q1621" i="15"/>
  <c r="Y1621" i="15"/>
  <c r="AG1621" i="15"/>
  <c r="I1625" i="15"/>
  <c r="Q1625" i="15"/>
  <c r="Y1625" i="15"/>
  <c r="AG1625" i="15"/>
  <c r="I1629" i="15"/>
  <c r="Q1629" i="15"/>
  <c r="Y1629" i="15"/>
  <c r="AG1629" i="15"/>
  <c r="I1633" i="15"/>
  <c r="Q1633" i="15"/>
  <c r="Y1633" i="15"/>
  <c r="AG1633" i="15"/>
  <c r="I1637" i="15"/>
  <c r="Q1637" i="15"/>
  <c r="Y1637" i="15"/>
  <c r="AG1637" i="15"/>
  <c r="I1641" i="15"/>
  <c r="Q1641" i="15"/>
  <c r="Y1641" i="15"/>
  <c r="AG1641" i="15"/>
  <c r="I1645" i="15"/>
  <c r="Q1645" i="15"/>
  <c r="Y1645" i="15"/>
  <c r="AG1645" i="15"/>
  <c r="I1649" i="15"/>
  <c r="Q1649" i="15"/>
  <c r="Y1649" i="15"/>
  <c r="AG1649" i="15"/>
  <c r="I1653" i="15"/>
  <c r="Q1653" i="15"/>
  <c r="Y1653" i="15"/>
  <c r="AG1653" i="15"/>
  <c r="I1657" i="15"/>
  <c r="Q1657" i="15"/>
  <c r="Y1657" i="15"/>
  <c r="AG1657" i="15"/>
  <c r="I1661" i="15"/>
  <c r="Q1661" i="15"/>
  <c r="Y1661" i="15"/>
  <c r="AG1661" i="15"/>
  <c r="I1665" i="15"/>
  <c r="Q1665" i="15"/>
  <c r="Y1665" i="15"/>
  <c r="AG1665" i="15"/>
  <c r="I1669" i="15"/>
  <c r="Q1669" i="15"/>
  <c r="Y1669" i="15"/>
  <c r="AG1669" i="15"/>
  <c r="I1673" i="15"/>
  <c r="Q1673" i="15"/>
  <c r="Y1673" i="15"/>
  <c r="AG1673" i="15"/>
  <c r="I1677" i="15"/>
  <c r="Q1677" i="15"/>
  <c r="Y1677" i="15"/>
  <c r="AG1677" i="15"/>
  <c r="I1681" i="15"/>
  <c r="Q1681" i="15"/>
  <c r="Y1681" i="15"/>
  <c r="AG1681" i="15"/>
  <c r="I1685" i="15"/>
  <c r="Q1685" i="15"/>
  <c r="Y1685" i="15"/>
  <c r="AG1685" i="15"/>
  <c r="I1689" i="15"/>
  <c r="Q1689" i="15"/>
  <c r="Y1689" i="15"/>
  <c r="AG1689" i="15"/>
  <c r="I1693" i="15"/>
  <c r="Q1693" i="15"/>
  <c r="Y1693" i="15"/>
  <c r="AG1693" i="15"/>
  <c r="I1697" i="15"/>
  <c r="Q1697" i="15"/>
  <c r="Y1697" i="15"/>
  <c r="AG1697" i="15"/>
  <c r="I1701" i="15"/>
  <c r="Q1701" i="15"/>
  <c r="Y1701" i="15"/>
  <c r="AG1701" i="15"/>
  <c r="I1705" i="15"/>
  <c r="Q1705" i="15"/>
  <c r="Y1705" i="15"/>
  <c r="AG1705" i="15"/>
  <c r="I1709" i="15"/>
  <c r="Q1709" i="15"/>
  <c r="Y1709" i="15"/>
  <c r="AG1709" i="15"/>
  <c r="I1713" i="15"/>
  <c r="Q1713" i="15"/>
  <c r="Y1713" i="15"/>
  <c r="AG1713" i="15"/>
  <c r="I1717" i="15"/>
  <c r="Q1717" i="15"/>
  <c r="Y1717" i="15"/>
  <c r="AG1717" i="15"/>
  <c r="I1721" i="15"/>
  <c r="Q1721" i="15"/>
  <c r="Y1721" i="15"/>
  <c r="AG1721" i="15"/>
  <c r="I1725" i="15"/>
  <c r="Q1725" i="15"/>
  <c r="Y1725" i="15"/>
  <c r="AG1725" i="15"/>
  <c r="I1729" i="15"/>
  <c r="Q1729" i="15"/>
  <c r="Y1729" i="15"/>
  <c r="AG1729" i="15"/>
  <c r="I1733" i="15"/>
  <c r="Q1733" i="15"/>
  <c r="Y1733" i="15"/>
  <c r="AG1733" i="15"/>
  <c r="I1737" i="15"/>
  <c r="Q1737" i="15"/>
  <c r="Y1737" i="15"/>
  <c r="AG1737" i="15"/>
  <c r="I1741" i="15"/>
  <c r="Q1741" i="15"/>
  <c r="Y1741" i="15"/>
  <c r="AG1741" i="15"/>
  <c r="I1745" i="15"/>
  <c r="Q1745" i="15"/>
  <c r="Y1745" i="15"/>
  <c r="AG1745" i="15"/>
  <c r="I1749" i="15"/>
  <c r="Q1749" i="15"/>
  <c r="Y1749" i="15"/>
  <c r="AG1749" i="15"/>
  <c r="I1753" i="15"/>
  <c r="Q1753" i="15"/>
  <c r="Y1753" i="15"/>
  <c r="AG1753" i="15"/>
  <c r="I1757" i="15"/>
  <c r="Q1757" i="15"/>
  <c r="Y1757" i="15"/>
  <c r="AG1757" i="15"/>
  <c r="I1761" i="15"/>
  <c r="Q1761" i="15"/>
  <c r="Y1761" i="15"/>
  <c r="AG1761" i="15"/>
  <c r="I1765" i="15"/>
  <c r="Q1765" i="15"/>
  <c r="Y1765" i="15"/>
  <c r="AG1765" i="15"/>
  <c r="I1769" i="15"/>
  <c r="Q1769" i="15"/>
  <c r="Y1769" i="15"/>
  <c r="AG1769" i="15"/>
  <c r="I1773" i="15"/>
  <c r="Q1773" i="15"/>
  <c r="Y1773" i="15"/>
  <c r="AG1773" i="15"/>
  <c r="I1777" i="15"/>
  <c r="Q1777" i="15"/>
  <c r="Y1777" i="15"/>
  <c r="AG1777" i="15"/>
  <c r="I1781" i="15"/>
  <c r="Q1781" i="15"/>
  <c r="Y1781" i="15"/>
  <c r="AG1781" i="15"/>
  <c r="I1785" i="15"/>
  <c r="Q1785" i="15"/>
  <c r="Y1785" i="15"/>
  <c r="AG1785" i="15"/>
  <c r="I1789" i="15"/>
  <c r="Q1789" i="15"/>
  <c r="Y1789" i="15"/>
  <c r="AG1789" i="15"/>
  <c r="I1793" i="15"/>
  <c r="Q1793" i="15"/>
  <c r="Y1793" i="15"/>
  <c r="AG1793" i="15"/>
  <c r="I1797" i="15"/>
  <c r="Q1797" i="15"/>
  <c r="Y1797" i="15"/>
  <c r="AG1797" i="15"/>
  <c r="I1801" i="15"/>
  <c r="Q1801" i="15"/>
  <c r="Y1801" i="15"/>
  <c r="AG1801" i="15"/>
  <c r="I1805" i="15"/>
  <c r="Q1805" i="15"/>
  <c r="Y1805" i="15"/>
  <c r="AG1805" i="15"/>
  <c r="I1809" i="15"/>
  <c r="Q1809" i="15"/>
  <c r="Y1809" i="15"/>
  <c r="AG1809" i="15"/>
  <c r="I1813" i="15"/>
  <c r="Q1813" i="15"/>
  <c r="Y1813" i="15"/>
  <c r="AG1813" i="15"/>
  <c r="I1817" i="15"/>
  <c r="Q1817" i="15"/>
  <c r="Y1817" i="15"/>
  <c r="AG1817" i="15"/>
  <c r="I1821" i="15"/>
  <c r="Q1821" i="15"/>
  <c r="Y1821" i="15"/>
  <c r="AG1821" i="15"/>
  <c r="I1825" i="15"/>
  <c r="Q1825" i="15"/>
  <c r="Y1825" i="15"/>
  <c r="AG1825" i="15"/>
  <c r="I1829" i="15"/>
  <c r="Q1829" i="15"/>
  <c r="Y1829" i="15"/>
  <c r="AG1829" i="15"/>
  <c r="I1833" i="15"/>
  <c r="Q1833" i="15"/>
  <c r="Y1833" i="15"/>
  <c r="AG1833" i="15"/>
  <c r="I1837" i="15"/>
  <c r="Q1837" i="15"/>
  <c r="Y1837" i="15"/>
  <c r="AG1837" i="15"/>
  <c r="I1841" i="15"/>
  <c r="Q1841" i="15"/>
  <c r="Y1841" i="15"/>
  <c r="AG1841" i="15"/>
  <c r="I1845" i="15"/>
  <c r="Q1845" i="15"/>
  <c r="Y1845" i="15"/>
  <c r="AG1845" i="15"/>
  <c r="I1849" i="15"/>
  <c r="Q1849" i="15"/>
  <c r="Y1849" i="15"/>
  <c r="AG1849" i="15"/>
  <c r="I1853" i="15"/>
  <c r="Q1853" i="15"/>
  <c r="Y1853" i="15"/>
  <c r="AG1853" i="15"/>
  <c r="I1857" i="15"/>
  <c r="Q1857" i="15"/>
  <c r="Y1857" i="15"/>
  <c r="AG1857" i="15"/>
  <c r="I1861" i="15"/>
  <c r="Q1861" i="15"/>
  <c r="Y1861" i="15"/>
  <c r="AG1861" i="15"/>
  <c r="I1865" i="15"/>
  <c r="Q1865" i="15"/>
  <c r="Y1865" i="15"/>
  <c r="AG1865" i="15"/>
  <c r="I1869" i="15"/>
  <c r="Q1869" i="15"/>
  <c r="Y1869" i="15"/>
  <c r="AG1869" i="15"/>
  <c r="I1873" i="15"/>
  <c r="Q1873" i="15"/>
  <c r="Y1873" i="15"/>
  <c r="AG1873" i="15"/>
  <c r="I1877" i="15"/>
  <c r="Q1877" i="15"/>
  <c r="Y1877" i="15"/>
  <c r="AG1877" i="15"/>
  <c r="I1881" i="15"/>
  <c r="Q1881" i="15"/>
  <c r="Y1881" i="15"/>
  <c r="AG1881" i="15"/>
  <c r="I1885" i="15"/>
  <c r="Q1885" i="15"/>
  <c r="Y1885" i="15"/>
  <c r="AG1885" i="15"/>
  <c r="I1889" i="15"/>
  <c r="Q1889" i="15"/>
  <c r="Y1889" i="15"/>
  <c r="AG1889" i="15"/>
  <c r="I1893" i="15"/>
  <c r="Q1893" i="15"/>
  <c r="Y1893" i="15"/>
  <c r="AG1893" i="15"/>
  <c r="I1897" i="15"/>
  <c r="Q1897" i="15"/>
  <c r="Y1897" i="15"/>
  <c r="AG1897" i="15"/>
  <c r="I1901" i="15"/>
  <c r="Q1901" i="15"/>
  <c r="Y1901" i="15"/>
  <c r="AG1901" i="15"/>
  <c r="I1905" i="15"/>
  <c r="Q1905" i="15"/>
  <c r="Y1905" i="15"/>
  <c r="AG1905" i="15"/>
  <c r="I1909" i="15"/>
  <c r="Q1909" i="15"/>
  <c r="Y1909" i="15"/>
  <c r="AG1909" i="15"/>
  <c r="I1913" i="15"/>
  <c r="Q1913" i="15"/>
  <c r="Y1913" i="15"/>
  <c r="AG1913" i="15"/>
  <c r="I1917" i="15"/>
  <c r="Q1917" i="15"/>
  <c r="Y1917" i="15"/>
  <c r="AG1917" i="15"/>
  <c r="I1921" i="15"/>
  <c r="Q1921" i="15"/>
  <c r="Y1921" i="15"/>
  <c r="AG1921" i="15"/>
  <c r="I1925" i="15"/>
  <c r="Q1925" i="15"/>
  <c r="Y1925" i="15"/>
  <c r="AG1925" i="15"/>
  <c r="I1929" i="15"/>
  <c r="Q1929" i="15"/>
  <c r="Y1929" i="15"/>
  <c r="AG1929" i="15"/>
  <c r="I1933" i="15"/>
  <c r="Q1933" i="15"/>
  <c r="Y1933" i="15"/>
  <c r="AG1933" i="15"/>
  <c r="I1937" i="15"/>
  <c r="Q1937" i="15"/>
  <c r="Y1937" i="15"/>
  <c r="AG1937" i="15"/>
  <c r="I1941" i="15"/>
  <c r="Q1941" i="15"/>
  <c r="Y1941" i="15"/>
  <c r="AG1941" i="15"/>
  <c r="I1945" i="15"/>
  <c r="Q1945" i="15"/>
  <c r="Y1945" i="15"/>
  <c r="AG1945" i="15"/>
  <c r="I1949" i="15"/>
  <c r="Q1949" i="15"/>
  <c r="Y1949" i="15"/>
  <c r="AG1949" i="15"/>
  <c r="I1953" i="15"/>
  <c r="Q1953" i="15"/>
  <c r="Y1953" i="15"/>
  <c r="AG1953" i="15"/>
  <c r="I1957" i="15"/>
  <c r="Q1957" i="15"/>
  <c r="Y1957" i="15"/>
  <c r="AG1957" i="15"/>
  <c r="I1961" i="15"/>
  <c r="Q1961" i="15"/>
  <c r="Y1961" i="15"/>
  <c r="AG1961" i="15"/>
  <c r="I1965" i="15"/>
  <c r="Q1965" i="15"/>
  <c r="Y1965" i="15"/>
  <c r="AG1965" i="15"/>
  <c r="I1969" i="15"/>
  <c r="Q1969" i="15"/>
  <c r="Y1969" i="15"/>
  <c r="AG1969" i="15"/>
  <c r="I1973" i="15"/>
  <c r="Q1973" i="15"/>
  <c r="Y1973" i="15"/>
  <c r="AG1973" i="15"/>
  <c r="I1977" i="15"/>
  <c r="Q1977" i="15"/>
  <c r="Y1977" i="15"/>
  <c r="AG1977" i="15"/>
  <c r="I1981" i="15"/>
  <c r="Q1981" i="15"/>
  <c r="Y1981" i="15"/>
  <c r="AG1981" i="15"/>
  <c r="I1985" i="15"/>
  <c r="Q1985" i="15"/>
  <c r="Y1985" i="15"/>
  <c r="AG1985" i="15"/>
  <c r="I1989" i="15"/>
  <c r="Q1989" i="15"/>
  <c r="Y1989" i="15"/>
  <c r="AG1989" i="15"/>
  <c r="I1993" i="15"/>
  <c r="Q1993" i="15"/>
  <c r="Y1993" i="15"/>
  <c r="AG1993" i="15"/>
  <c r="I1997" i="15"/>
  <c r="Q1997" i="15"/>
  <c r="Y1997" i="15"/>
  <c r="AG1997" i="15"/>
  <c r="I6" i="16"/>
  <c r="T6" i="16"/>
  <c r="I14" i="16"/>
  <c r="T14" i="16"/>
  <c r="I22" i="16"/>
  <c r="T22" i="16"/>
  <c r="I30" i="16"/>
  <c r="T30" i="16"/>
  <c r="I38" i="16"/>
  <c r="T38" i="16"/>
  <c r="I46" i="16"/>
  <c r="T46" i="16"/>
  <c r="L57" i="16"/>
  <c r="J57" i="16"/>
  <c r="I57" i="16"/>
  <c r="P61" i="16"/>
  <c r="H61" i="9" s="1"/>
  <c r="H61" i="16"/>
  <c r="F61" i="16"/>
  <c r="K61" i="16"/>
  <c r="M64" i="16"/>
  <c r="E64" i="16"/>
  <c r="K64" i="16"/>
  <c r="J64" i="16"/>
  <c r="F71" i="16"/>
  <c r="L71" i="16"/>
  <c r="J71" i="16"/>
  <c r="M88" i="16"/>
  <c r="E88" i="16"/>
  <c r="L88" i="16"/>
  <c r="K88" i="16"/>
  <c r="J88" i="16"/>
  <c r="H100" i="16"/>
  <c r="G100" i="16"/>
  <c r="P101" i="16"/>
  <c r="H101" i="9" s="1"/>
  <c r="H101" i="16"/>
  <c r="G101" i="16"/>
  <c r="F101" i="16"/>
  <c r="L101" i="16"/>
  <c r="K106" i="16"/>
  <c r="J106" i="16"/>
  <c r="L113" i="16"/>
  <c r="K113" i="16"/>
  <c r="J113" i="16"/>
  <c r="I113" i="16"/>
  <c r="M119" i="16"/>
  <c r="E119" i="16"/>
  <c r="T119" i="16" s="1"/>
  <c r="L119" i="16"/>
  <c r="K119" i="16"/>
  <c r="T124" i="16"/>
  <c r="G142" i="16"/>
  <c r="M142" i="16"/>
  <c r="E142" i="16"/>
  <c r="L142" i="16"/>
  <c r="H152" i="16"/>
  <c r="E152" i="16"/>
  <c r="M152" i="16"/>
  <c r="L152" i="16"/>
  <c r="F178" i="16"/>
  <c r="M178" i="16"/>
  <c r="E178" i="16"/>
  <c r="L178" i="16"/>
  <c r="J178" i="16"/>
  <c r="I178" i="16"/>
  <c r="H178" i="16"/>
  <c r="T178" i="16"/>
  <c r="M186" i="16"/>
  <c r="E186" i="16"/>
  <c r="L186" i="16"/>
  <c r="I186" i="16"/>
  <c r="H186" i="16"/>
  <c r="G186" i="16"/>
  <c r="T186" i="16"/>
  <c r="M194" i="16"/>
  <c r="E194" i="16"/>
  <c r="T194" i="16" s="1"/>
  <c r="L194" i="16"/>
  <c r="H194" i="16"/>
  <c r="G194" i="16"/>
  <c r="G197" i="16"/>
  <c r="E197" i="16"/>
  <c r="G201" i="16"/>
  <c r="M201" i="16"/>
  <c r="E201" i="16"/>
  <c r="K201" i="16"/>
  <c r="J201" i="16"/>
  <c r="I201" i="16"/>
  <c r="M202" i="16"/>
  <c r="E202" i="16"/>
  <c r="P202" i="16" s="1"/>
  <c r="H202" i="9" s="1"/>
  <c r="L202" i="16"/>
  <c r="G202" i="16"/>
  <c r="T202" i="16"/>
  <c r="T228" i="16"/>
  <c r="M239" i="16"/>
  <c r="L239" i="16"/>
  <c r="K239" i="16"/>
  <c r="J239" i="16"/>
  <c r="P296" i="16"/>
  <c r="H296" i="9" s="1"/>
  <c r="H296" i="16"/>
  <c r="G296" i="16"/>
  <c r="K296" i="16"/>
  <c r="J296" i="16"/>
  <c r="I296" i="16"/>
  <c r="E296" i="16"/>
  <c r="F296" i="16" s="1"/>
  <c r="L311" i="16"/>
  <c r="K311" i="16"/>
  <c r="J311" i="16"/>
  <c r="K319" i="16"/>
  <c r="J319" i="16"/>
  <c r="M338" i="16"/>
  <c r="E338" i="16"/>
  <c r="I338" i="9" s="1"/>
  <c r="L338" i="16"/>
  <c r="G338" i="16"/>
  <c r="T338" i="16"/>
  <c r="P338" i="16"/>
  <c r="H338" i="9" s="1"/>
  <c r="O338" i="16"/>
  <c r="O353" i="16"/>
  <c r="G353" i="16"/>
  <c r="M353" i="16"/>
  <c r="E353" i="16"/>
  <c r="I353" i="16"/>
  <c r="H353" i="16"/>
  <c r="M355" i="16"/>
  <c r="E355" i="16"/>
  <c r="L355" i="16"/>
  <c r="K355" i="16"/>
  <c r="O355" i="16" s="1"/>
  <c r="H355" i="16"/>
  <c r="G355" i="16"/>
  <c r="P355" i="16"/>
  <c r="H355" i="9" s="1"/>
  <c r="P368" i="16"/>
  <c r="H368" i="9" s="1"/>
  <c r="H368" i="16"/>
  <c r="O368" i="16"/>
  <c r="G368" i="16"/>
  <c r="J368" i="16"/>
  <c r="I368" i="16"/>
  <c r="E368" i="16"/>
  <c r="M371" i="16"/>
  <c r="E371" i="16"/>
  <c r="L371" i="16"/>
  <c r="K371" i="16"/>
  <c r="O371" i="16" s="1"/>
  <c r="L372" i="16"/>
  <c r="K372" i="16"/>
  <c r="J372" i="16"/>
  <c r="H372" i="16"/>
  <c r="G372" i="16"/>
  <c r="T372" i="16"/>
  <c r="E372" i="16"/>
  <c r="M423" i="16"/>
  <c r="L423" i="16"/>
  <c r="K423" i="16"/>
  <c r="P440" i="16"/>
  <c r="H440" i="9" s="1"/>
  <c r="H440" i="16"/>
  <c r="G440" i="16"/>
  <c r="F440" i="16"/>
  <c r="I440" i="16"/>
  <c r="O440" i="16" s="1"/>
  <c r="E440" i="16"/>
  <c r="I440" i="9" s="1"/>
  <c r="T440" i="16"/>
  <c r="L444" i="16"/>
  <c r="K444" i="16"/>
  <c r="J444" i="16"/>
  <c r="G444" i="16"/>
  <c r="E444" i="16"/>
  <c r="O444" i="16"/>
  <c r="H448" i="16"/>
  <c r="O448" i="16"/>
  <c r="G448" i="16"/>
  <c r="E448" i="16"/>
  <c r="T448" i="16"/>
  <c r="M448" i="16"/>
  <c r="L452" i="16"/>
  <c r="O452" i="16" s="1"/>
  <c r="K452" i="16"/>
  <c r="J452" i="16"/>
  <c r="E452" i="16"/>
  <c r="F458" i="16"/>
  <c r="M458" i="16"/>
  <c r="E458" i="16"/>
  <c r="I458" i="9" s="1"/>
  <c r="L458" i="16"/>
  <c r="O458" i="16" s="1"/>
  <c r="H458" i="16"/>
  <c r="G458" i="16"/>
  <c r="T458" i="16"/>
  <c r="P458" i="16"/>
  <c r="H458" i="9" s="1"/>
  <c r="J478" i="16"/>
  <c r="K478" i="16"/>
  <c r="G478" i="16"/>
  <c r="T484" i="16"/>
  <c r="L503" i="16"/>
  <c r="K503" i="16"/>
  <c r="J503" i="16"/>
  <c r="K511" i="16"/>
  <c r="J511" i="16"/>
  <c r="F530" i="16"/>
  <c r="M530" i="16"/>
  <c r="E530" i="16"/>
  <c r="I530" i="9" s="1"/>
  <c r="L530" i="16"/>
  <c r="G530" i="16"/>
  <c r="T530" i="16"/>
  <c r="P530" i="16"/>
  <c r="H530" i="9" s="1"/>
  <c r="M536" i="16"/>
  <c r="K536" i="16"/>
  <c r="M551" i="16"/>
  <c r="L551" i="16"/>
  <c r="K551" i="16"/>
  <c r="M557" i="16"/>
  <c r="L557" i="16"/>
  <c r="H557" i="16"/>
  <c r="K565" i="16"/>
  <c r="M565" i="16"/>
  <c r="L565" i="16"/>
  <c r="H565" i="16"/>
  <c r="G565" i="16"/>
  <c r="G609" i="16"/>
  <c r="M609" i="16"/>
  <c r="E609" i="16"/>
  <c r="I609" i="16"/>
  <c r="O609" i="16" s="1"/>
  <c r="H609" i="16"/>
  <c r="M611" i="16"/>
  <c r="E611" i="16"/>
  <c r="L611" i="16"/>
  <c r="O611" i="16" s="1"/>
  <c r="K611" i="16"/>
  <c r="H611" i="16"/>
  <c r="G611" i="16"/>
  <c r="P611" i="16"/>
  <c r="H611" i="9" s="1"/>
  <c r="H632" i="16"/>
  <c r="O632" i="16"/>
  <c r="G632" i="16"/>
  <c r="I632" i="16"/>
  <c r="E632" i="16"/>
  <c r="L636" i="16"/>
  <c r="K636" i="16"/>
  <c r="J636" i="16"/>
  <c r="G636" i="16"/>
  <c r="F636" i="16"/>
  <c r="P636" i="16"/>
  <c r="H636" i="9" s="1"/>
  <c r="E636" i="16"/>
  <c r="I636" i="9" s="1"/>
  <c r="O636" i="16"/>
  <c r="P640" i="16"/>
  <c r="H640" i="9" s="1"/>
  <c r="H640" i="16"/>
  <c r="O640" i="16"/>
  <c r="G640" i="16"/>
  <c r="F640" i="16"/>
  <c r="E640" i="16"/>
  <c r="I640" i="9" s="1"/>
  <c r="T640" i="16"/>
  <c r="M640" i="16"/>
  <c r="L644" i="16"/>
  <c r="K644" i="16"/>
  <c r="J644" i="16"/>
  <c r="T644" i="16"/>
  <c r="E644" i="16"/>
  <c r="O644" i="16"/>
  <c r="M650" i="16"/>
  <c r="E650" i="16"/>
  <c r="L650" i="16"/>
  <c r="H650" i="16"/>
  <c r="G650" i="16"/>
  <c r="G665" i="16"/>
  <c r="M665" i="16"/>
  <c r="E665" i="16"/>
  <c r="J665" i="16"/>
  <c r="I665" i="16"/>
  <c r="O665" i="16" s="1"/>
  <c r="H665" i="16"/>
  <c r="M667" i="16"/>
  <c r="E667" i="16"/>
  <c r="L667" i="16"/>
  <c r="K667" i="16"/>
  <c r="I667" i="16"/>
  <c r="O667" i="16" s="1"/>
  <c r="H667" i="16"/>
  <c r="G667" i="16"/>
  <c r="F667" i="16"/>
  <c r="O678" i="16"/>
  <c r="H680" i="16"/>
  <c r="O680" i="16"/>
  <c r="G680" i="16"/>
  <c r="K680" i="16"/>
  <c r="J680" i="16"/>
  <c r="I680" i="16"/>
  <c r="E680" i="16"/>
  <c r="M683" i="16"/>
  <c r="E683" i="16"/>
  <c r="L683" i="16"/>
  <c r="K683" i="16"/>
  <c r="O683" i="16" s="1"/>
  <c r="G683" i="16"/>
  <c r="F683" i="16"/>
  <c r="P683" i="16" s="1"/>
  <c r="H683" i="9" s="1"/>
  <c r="P733" i="16"/>
  <c r="H733" i="9" s="1"/>
  <c r="I733" i="9" s="1"/>
  <c r="K734" i="16"/>
  <c r="O734" i="16" s="1"/>
  <c r="P734" i="16" s="1"/>
  <c r="H734" i="9" s="1"/>
  <c r="I734" i="9" s="1"/>
  <c r="G734" i="16"/>
  <c r="L759" i="16"/>
  <c r="K759" i="16"/>
  <c r="J759" i="16"/>
  <c r="K767" i="16"/>
  <c r="J767" i="16"/>
  <c r="F786" i="16"/>
  <c r="M786" i="16"/>
  <c r="O786" i="16" s="1"/>
  <c r="E786" i="16"/>
  <c r="L786" i="16"/>
  <c r="G786" i="16"/>
  <c r="M792" i="16"/>
  <c r="K792" i="16"/>
  <c r="H807" i="16"/>
  <c r="M807" i="16"/>
  <c r="L807" i="16"/>
  <c r="K807" i="16"/>
  <c r="K813" i="16"/>
  <c r="J813" i="16"/>
  <c r="M813" i="16"/>
  <c r="L813" i="16"/>
  <c r="H813" i="16"/>
  <c r="J821" i="16"/>
  <c r="M821" i="16"/>
  <c r="L821" i="16"/>
  <c r="H821" i="16"/>
  <c r="G821" i="16"/>
  <c r="F839" i="16"/>
  <c r="P839" i="16" s="1"/>
  <c r="G865" i="16"/>
  <c r="F865" i="16"/>
  <c r="M865" i="16"/>
  <c r="E865" i="16"/>
  <c r="I865" i="16"/>
  <c r="O865" i="16" s="1"/>
  <c r="H865" i="16"/>
  <c r="M867" i="16"/>
  <c r="E867" i="16"/>
  <c r="L867" i="16"/>
  <c r="K867" i="16"/>
  <c r="H867" i="16"/>
  <c r="G867" i="16"/>
  <c r="H888" i="16"/>
  <c r="O888" i="16"/>
  <c r="G888" i="16"/>
  <c r="I888" i="16"/>
  <c r="E888" i="16"/>
  <c r="L892" i="16"/>
  <c r="K892" i="16"/>
  <c r="J892" i="16"/>
  <c r="G892" i="16"/>
  <c r="E892" i="16"/>
  <c r="O892" i="16"/>
  <c r="H896" i="16"/>
  <c r="O896" i="16"/>
  <c r="G896" i="16"/>
  <c r="F896" i="16"/>
  <c r="E896" i="16"/>
  <c r="M896" i="16"/>
  <c r="L900" i="16"/>
  <c r="O900" i="16" s="1"/>
  <c r="K900" i="16"/>
  <c r="J900" i="16"/>
  <c r="E900" i="16"/>
  <c r="M906" i="16"/>
  <c r="E906" i="16"/>
  <c r="L906" i="16"/>
  <c r="O906" i="16" s="1"/>
  <c r="H906" i="16"/>
  <c r="G906" i="16"/>
  <c r="O921" i="16"/>
  <c r="G921" i="16"/>
  <c r="M921" i="16"/>
  <c r="E921" i="16"/>
  <c r="J921" i="16"/>
  <c r="I921" i="16"/>
  <c r="H921" i="16"/>
  <c r="M923" i="16"/>
  <c r="E923" i="16"/>
  <c r="L923" i="16"/>
  <c r="K923" i="16"/>
  <c r="I923" i="16"/>
  <c r="O923" i="16" s="1"/>
  <c r="H923" i="16"/>
  <c r="G923" i="16"/>
  <c r="H944" i="16"/>
  <c r="G944" i="16"/>
  <c r="J944" i="16"/>
  <c r="I944" i="16"/>
  <c r="O944" i="16" s="1"/>
  <c r="E944" i="16"/>
  <c r="M947" i="16"/>
  <c r="E947" i="16"/>
  <c r="L947" i="16"/>
  <c r="K947" i="16"/>
  <c r="F947" i="16"/>
  <c r="P947" i="16" s="1"/>
  <c r="H947" i="9" s="1"/>
  <c r="O947" i="16"/>
  <c r="L948" i="16"/>
  <c r="O948" i="16" s="1"/>
  <c r="K948" i="16"/>
  <c r="J948" i="16"/>
  <c r="H948" i="16"/>
  <c r="G948" i="16"/>
  <c r="F948" i="16"/>
  <c r="E948" i="16"/>
  <c r="H952" i="16"/>
  <c r="G952" i="16"/>
  <c r="F952" i="16"/>
  <c r="I952" i="16"/>
  <c r="O952" i="16" s="1"/>
  <c r="E952" i="16"/>
  <c r="L956" i="16"/>
  <c r="K956" i="16"/>
  <c r="J956" i="16"/>
  <c r="G956" i="16"/>
  <c r="F956" i="16"/>
  <c r="E956" i="16"/>
  <c r="O956" i="16"/>
  <c r="F962" i="16"/>
  <c r="M962" i="16"/>
  <c r="E962" i="16"/>
  <c r="L962" i="16"/>
  <c r="I962" i="16"/>
  <c r="H962" i="16"/>
  <c r="G962" i="16"/>
  <c r="M987" i="16"/>
  <c r="E987" i="16"/>
  <c r="L987" i="16"/>
  <c r="K987" i="16"/>
  <c r="H987" i="16"/>
  <c r="G987" i="16"/>
  <c r="T987" i="16"/>
  <c r="F987" i="16"/>
  <c r="J987" i="16"/>
  <c r="I987" i="16"/>
  <c r="O987" i="16" s="1"/>
  <c r="H1000" i="16"/>
  <c r="G1000" i="16"/>
  <c r="F1000" i="16"/>
  <c r="J1000" i="16"/>
  <c r="I1000" i="16"/>
  <c r="O1000" i="16" s="1"/>
  <c r="E1000" i="16"/>
  <c r="K1000" i="16"/>
  <c r="F1013" i="16"/>
  <c r="H1015" i="16"/>
  <c r="G1015" i="16"/>
  <c r="K1015" i="16"/>
  <c r="J1015" i="16"/>
  <c r="K1046" i="16"/>
  <c r="G1046" i="16"/>
  <c r="M1046" i="16"/>
  <c r="J1061" i="16"/>
  <c r="M1061" i="16"/>
  <c r="L1061" i="16"/>
  <c r="H1061" i="16"/>
  <c r="G1061" i="16"/>
  <c r="F1074" i="16"/>
  <c r="M1074" i="16"/>
  <c r="E1074" i="16"/>
  <c r="L1074" i="16"/>
  <c r="J1074" i="16"/>
  <c r="I1074" i="16"/>
  <c r="H1074" i="16"/>
  <c r="G1074" i="16"/>
  <c r="K1074" i="16"/>
  <c r="F1090" i="16"/>
  <c r="M1090" i="16"/>
  <c r="E1090" i="16"/>
  <c r="L1090" i="16"/>
  <c r="H1090" i="16"/>
  <c r="G1090" i="16"/>
  <c r="J1090" i="16"/>
  <c r="I1090" i="16"/>
  <c r="F1138" i="16"/>
  <c r="M1138" i="16"/>
  <c r="E1138" i="16"/>
  <c r="L1138" i="16"/>
  <c r="J1138" i="16"/>
  <c r="I1138" i="16"/>
  <c r="H1138" i="16"/>
  <c r="G1138" i="16"/>
  <c r="K1138" i="16"/>
  <c r="M1189" i="16"/>
  <c r="L1189" i="16"/>
  <c r="H1189" i="16"/>
  <c r="G1189" i="16"/>
  <c r="L1212" i="16"/>
  <c r="K1212" i="16"/>
  <c r="J1212" i="16"/>
  <c r="F1212" i="16"/>
  <c r="E1212" i="16"/>
  <c r="G1212" i="16"/>
  <c r="G1233" i="16"/>
  <c r="F1233" i="16"/>
  <c r="M1233" i="16"/>
  <c r="E1233" i="16"/>
  <c r="J1233" i="16"/>
  <c r="I1233" i="16"/>
  <c r="H1233" i="16"/>
  <c r="L1233" i="16"/>
  <c r="K1233" i="16"/>
  <c r="M1243" i="16"/>
  <c r="E1243" i="16"/>
  <c r="L1243" i="16"/>
  <c r="K1243" i="16"/>
  <c r="H1243" i="16"/>
  <c r="G1243" i="16"/>
  <c r="O1243" i="16" s="1"/>
  <c r="F1243" i="16"/>
  <c r="J1243" i="16"/>
  <c r="I1243" i="16"/>
  <c r="H1256" i="16"/>
  <c r="O1256" i="16"/>
  <c r="G1256" i="16"/>
  <c r="J1256" i="16"/>
  <c r="I1256" i="16"/>
  <c r="E1256" i="16"/>
  <c r="L1256" i="16"/>
  <c r="K1256" i="16"/>
  <c r="L1269" i="16"/>
  <c r="H1269" i="16"/>
  <c r="G1269" i="16"/>
  <c r="O1269" i="16" s="1"/>
  <c r="L1276" i="16"/>
  <c r="K1276" i="16"/>
  <c r="J1276" i="16"/>
  <c r="E1276" i="16"/>
  <c r="O1276" i="16"/>
  <c r="I1276" i="16"/>
  <c r="H1276" i="16"/>
  <c r="G1276" i="16"/>
  <c r="M1282" i="16"/>
  <c r="E1282" i="16"/>
  <c r="L1282" i="16"/>
  <c r="H1282" i="16"/>
  <c r="G1282" i="16"/>
  <c r="O1282" i="16" s="1"/>
  <c r="K1282" i="16"/>
  <c r="J1282" i="16"/>
  <c r="I1282" i="16"/>
  <c r="F1295" i="16"/>
  <c r="P1295" i="16" s="1"/>
  <c r="H1295" i="9" s="1"/>
  <c r="I1295" i="9" s="1"/>
  <c r="M1342" i="16"/>
  <c r="L1342" i="16"/>
  <c r="K1342" i="16"/>
  <c r="G1342" i="16"/>
  <c r="L1477" i="16"/>
  <c r="O1477" i="16"/>
  <c r="F1477" i="16"/>
  <c r="N1477" i="16"/>
  <c r="E1477" i="16"/>
  <c r="M1477" i="16"/>
  <c r="H1477" i="16"/>
  <c r="G1477" i="16"/>
  <c r="T1477" i="16"/>
  <c r="J1477" i="16"/>
  <c r="I1477" i="16"/>
  <c r="L1525" i="16"/>
  <c r="M1525" i="16"/>
  <c r="K1525" i="16"/>
  <c r="J1525" i="16"/>
  <c r="F1525" i="16"/>
  <c r="T1525" i="16"/>
  <c r="E1525" i="16"/>
  <c r="P1525" i="16"/>
  <c r="O1525" i="16"/>
  <c r="I1525" i="16"/>
  <c r="H1525" i="16"/>
  <c r="G1525" i="16"/>
  <c r="O1570" i="16"/>
  <c r="G1570" i="16"/>
  <c r="T1570" i="16"/>
  <c r="H1570" i="16"/>
  <c r="P1570" i="16"/>
  <c r="F1570" i="16"/>
  <c r="N1570" i="16"/>
  <c r="E1570" i="16"/>
  <c r="L1570" i="16"/>
  <c r="K1570" i="16"/>
  <c r="J1570" i="16"/>
  <c r="I1570" i="16"/>
  <c r="M1570" i="16"/>
  <c r="K1686" i="16"/>
  <c r="T1686" i="16"/>
  <c r="H1686" i="16"/>
  <c r="P1686" i="16"/>
  <c r="G1686" i="16"/>
  <c r="O1686" i="16"/>
  <c r="F1686" i="16"/>
  <c r="J1686" i="16"/>
  <c r="I1686" i="16"/>
  <c r="E1686" i="16"/>
  <c r="N1686" i="16"/>
  <c r="M1686" i="16"/>
  <c r="L1686" i="16"/>
  <c r="P1697" i="16"/>
  <c r="H1697" i="16"/>
  <c r="O1697" i="16"/>
  <c r="F1697" i="16"/>
  <c r="N1697" i="16"/>
  <c r="E1697" i="16"/>
  <c r="M1697" i="16"/>
  <c r="I1697" i="16"/>
  <c r="G1697" i="16"/>
  <c r="K1697" i="16"/>
  <c r="J1697" i="16"/>
  <c r="K1813" i="16"/>
  <c r="P1849" i="16"/>
  <c r="H1849" i="16"/>
  <c r="N1849" i="16"/>
  <c r="E1849" i="16"/>
  <c r="M1849" i="16"/>
  <c r="L1849" i="16"/>
  <c r="F1849" i="16"/>
  <c r="T1849" i="16"/>
  <c r="O1849" i="16"/>
  <c r="J1849" i="16"/>
  <c r="I1849" i="16"/>
  <c r="G1849" i="16"/>
  <c r="O1890" i="16"/>
  <c r="G1890" i="16"/>
  <c r="T1890" i="16"/>
  <c r="H1890" i="16"/>
  <c r="P1890" i="16"/>
  <c r="F1890" i="16"/>
  <c r="N1890" i="16"/>
  <c r="E1890" i="16"/>
  <c r="J1890" i="16"/>
  <c r="I1890" i="16"/>
  <c r="L1890" i="16"/>
  <c r="K1890" i="16"/>
  <c r="L1973" i="16"/>
  <c r="M1973" i="16"/>
  <c r="K1973" i="16"/>
  <c r="J1973" i="16"/>
  <c r="G1973" i="16"/>
  <c r="F1973" i="16"/>
  <c r="T1973" i="16"/>
  <c r="E1973" i="16"/>
  <c r="P1973" i="16"/>
  <c r="I1973" i="16"/>
  <c r="H1973" i="16"/>
  <c r="L2013" i="16"/>
  <c r="N2013" i="16"/>
  <c r="E2013" i="16"/>
  <c r="M2013" i="16"/>
  <c r="K2013" i="16"/>
  <c r="F2013" i="16"/>
  <c r="T2013" i="16"/>
  <c r="P2013" i="16"/>
  <c r="O2013" i="16"/>
  <c r="H2013" i="16"/>
  <c r="G2013" i="16"/>
  <c r="N2043" i="16"/>
  <c r="F2043" i="16"/>
  <c r="T2043" i="16"/>
  <c r="H2043" i="16"/>
  <c r="P2043" i="16"/>
  <c r="G2043" i="16"/>
  <c r="O2043" i="16"/>
  <c r="E2043" i="16"/>
  <c r="I2043" i="16"/>
  <c r="L2043" i="16"/>
  <c r="K2043" i="16"/>
  <c r="J2043" i="16"/>
  <c r="O2186" i="16"/>
  <c r="G2186" i="16"/>
  <c r="I2186" i="16"/>
  <c r="T2186" i="16"/>
  <c r="H2186" i="16"/>
  <c r="P2186" i="16"/>
  <c r="F2186" i="16"/>
  <c r="L2186" i="16"/>
  <c r="K2186" i="16"/>
  <c r="J2186" i="16"/>
  <c r="E2186" i="16"/>
  <c r="N2186" i="16"/>
  <c r="M2186" i="16"/>
  <c r="O2194" i="16"/>
  <c r="G2194" i="16"/>
  <c r="N2194" i="16"/>
  <c r="E2194" i="16"/>
  <c r="M2194" i="16"/>
  <c r="L2194" i="16"/>
  <c r="I2194" i="16"/>
  <c r="H2194" i="16"/>
  <c r="F2194" i="16"/>
  <c r="K2194" i="16"/>
  <c r="J2194" i="16"/>
  <c r="M2260" i="16"/>
  <c r="E2260" i="16"/>
  <c r="T2260" i="16"/>
  <c r="H2260" i="16"/>
  <c r="P2260" i="16"/>
  <c r="G2260" i="16"/>
  <c r="O2260" i="16"/>
  <c r="F2260" i="16"/>
  <c r="J2260" i="16"/>
  <c r="I2260" i="16"/>
  <c r="L2260" i="16"/>
  <c r="K2260" i="16"/>
  <c r="O2346" i="16"/>
  <c r="G2346" i="16"/>
  <c r="M2346" i="16"/>
  <c r="L2346" i="16"/>
  <c r="K2346" i="16"/>
  <c r="H2346" i="16"/>
  <c r="F2346" i="16"/>
  <c r="E2346" i="16"/>
  <c r="T2346" i="16"/>
  <c r="N2346" i="16"/>
  <c r="J2346" i="16"/>
  <c r="I2346" i="16"/>
  <c r="J2359" i="16"/>
  <c r="M2359" i="16"/>
  <c r="L2359" i="16"/>
  <c r="K2359" i="16"/>
  <c r="G2359" i="16"/>
  <c r="F2359" i="16"/>
  <c r="T2359" i="16"/>
  <c r="E2359" i="16"/>
  <c r="P2359" i="16"/>
  <c r="N2359" i="16"/>
  <c r="I2359" i="16"/>
  <c r="H2359" i="16"/>
  <c r="P2425" i="16"/>
  <c r="H2425" i="16"/>
  <c r="N2425" i="16"/>
  <c r="E2425" i="16"/>
  <c r="M2425" i="16"/>
  <c r="L2425" i="16"/>
  <c r="G2425" i="16"/>
  <c r="F2425" i="16"/>
  <c r="O2425" i="16"/>
  <c r="K2425" i="16"/>
  <c r="J2425" i="16"/>
  <c r="I2425" i="16"/>
  <c r="T2425" i="16"/>
  <c r="P2522" i="16"/>
  <c r="H2522" i="16"/>
  <c r="O2522" i="16"/>
  <c r="G2522" i="16"/>
  <c r="N2522" i="16"/>
  <c r="M2522" i="16"/>
  <c r="L2522" i="16"/>
  <c r="J2522" i="16"/>
  <c r="I2522" i="16"/>
  <c r="K2522" i="16"/>
  <c r="F2522" i="16"/>
  <c r="E2522" i="16"/>
  <c r="T2522" i="16"/>
  <c r="N2636" i="16"/>
  <c r="F2636" i="16"/>
  <c r="M2636" i="16"/>
  <c r="E2636" i="16"/>
  <c r="J2636" i="16"/>
  <c r="I2636" i="16"/>
  <c r="H2636" i="16"/>
  <c r="K2636" i="16"/>
  <c r="G2636" i="16"/>
  <c r="T2636" i="16"/>
  <c r="P2636" i="16"/>
  <c r="O2636" i="16"/>
  <c r="L2636" i="16"/>
  <c r="M2909" i="16"/>
  <c r="E2909" i="16"/>
  <c r="L2909" i="16"/>
  <c r="P2909" i="16"/>
  <c r="F2909" i="16"/>
  <c r="O2909" i="16"/>
  <c r="N2909" i="16"/>
  <c r="J2909" i="16"/>
  <c r="I2909" i="16"/>
  <c r="G2909" i="16"/>
  <c r="H2909" i="16"/>
  <c r="T2909" i="16"/>
  <c r="K2909" i="16"/>
  <c r="K2943" i="16"/>
  <c r="J2943" i="16"/>
  <c r="N2943" i="16"/>
  <c r="M2943" i="16"/>
  <c r="L2943" i="16"/>
  <c r="P2943" i="16"/>
  <c r="O2943" i="16"/>
  <c r="H2943" i="16"/>
  <c r="E2943" i="16"/>
  <c r="I2943" i="16"/>
  <c r="G2943" i="16"/>
  <c r="F2943" i="16"/>
  <c r="O3035" i="16"/>
  <c r="G3035" i="16"/>
  <c r="N3035" i="16"/>
  <c r="F3035" i="16"/>
  <c r="I3035" i="16"/>
  <c r="H3035" i="16"/>
  <c r="T3035" i="16"/>
  <c r="E3035" i="16"/>
  <c r="J3035" i="16"/>
  <c r="L3035" i="16"/>
  <c r="K3035" i="16"/>
  <c r="P3035" i="16"/>
  <c r="M3035" i="16"/>
  <c r="P3106" i="16"/>
  <c r="H3106" i="16"/>
  <c r="O3106" i="16"/>
  <c r="G3106" i="16"/>
  <c r="T3106" i="16"/>
  <c r="E3106" i="16"/>
  <c r="N3106" i="16"/>
  <c r="M3106" i="16"/>
  <c r="I3106" i="16"/>
  <c r="F3106" i="16"/>
  <c r="K3106" i="16"/>
  <c r="J3106" i="16"/>
  <c r="L3106" i="16"/>
  <c r="L3142" i="16"/>
  <c r="K3142" i="16"/>
  <c r="N3142" i="16"/>
  <c r="M3142" i="16"/>
  <c r="J3142" i="16"/>
  <c r="H3142" i="16"/>
  <c r="G3142" i="16"/>
  <c r="E3142" i="16"/>
  <c r="O3142" i="16"/>
  <c r="I3142" i="16"/>
  <c r="F3142" i="16"/>
  <c r="P3142" i="16"/>
  <c r="O3283" i="16"/>
  <c r="G3283" i="16"/>
  <c r="N3283" i="16"/>
  <c r="F3283" i="16"/>
  <c r="H3283" i="16"/>
  <c r="T3283" i="16"/>
  <c r="E3283" i="16"/>
  <c r="P3283" i="16"/>
  <c r="I3283" i="16"/>
  <c r="L3283" i="16"/>
  <c r="K3283" i="16"/>
  <c r="J3283" i="16"/>
  <c r="M3283" i="16"/>
  <c r="N3588" i="16"/>
  <c r="F3588" i="16"/>
  <c r="M3588" i="16"/>
  <c r="E3588" i="16"/>
  <c r="I3588" i="16"/>
  <c r="H3588" i="16"/>
  <c r="T3588" i="16"/>
  <c r="G3588" i="16"/>
  <c r="J3588" i="16"/>
  <c r="O3588" i="16"/>
  <c r="L3588" i="16"/>
  <c r="K3588" i="16"/>
  <c r="P3588" i="16"/>
  <c r="N3700" i="16"/>
  <c r="F3700" i="16"/>
  <c r="M3700" i="16"/>
  <c r="E3700" i="16"/>
  <c r="T3700" i="16"/>
  <c r="G3700" i="16"/>
  <c r="P3700" i="16"/>
  <c r="O3700" i="16"/>
  <c r="K3700" i="16"/>
  <c r="J3700" i="16"/>
  <c r="I3700" i="16"/>
  <c r="H3700" i="16"/>
  <c r="L3700" i="16"/>
  <c r="P3706" i="16"/>
  <c r="H3706" i="16"/>
  <c r="O3706" i="16"/>
  <c r="G3706" i="16"/>
  <c r="J3706" i="16"/>
  <c r="I3706" i="16"/>
  <c r="F3706" i="16"/>
  <c r="M3706" i="16"/>
  <c r="L3706" i="16"/>
  <c r="K3706" i="16"/>
  <c r="E3706" i="16"/>
  <c r="T3706" i="16"/>
  <c r="N3706" i="16"/>
  <c r="O4013" i="16"/>
  <c r="G4013" i="16"/>
  <c r="N4013" i="16"/>
  <c r="E4013" i="16"/>
  <c r="M4013" i="16"/>
  <c r="F4013" i="16"/>
  <c r="T4013" i="16"/>
  <c r="P4013" i="16"/>
  <c r="J4013" i="16"/>
  <c r="I4013" i="16"/>
  <c r="H4013" i="16"/>
  <c r="L4013" i="16"/>
  <c r="K4013" i="16"/>
  <c r="N4030" i="16"/>
  <c r="F4030" i="16"/>
  <c r="I4030" i="16"/>
  <c r="T4030" i="16"/>
  <c r="H4030" i="16"/>
  <c r="J4030" i="16"/>
  <c r="G4030" i="16"/>
  <c r="E4030" i="16"/>
  <c r="M4030" i="16"/>
  <c r="L4030" i="16"/>
  <c r="K4030" i="16"/>
  <c r="P4030" i="16"/>
  <c r="O4030" i="16"/>
  <c r="J4328" i="16"/>
  <c r="P4328" i="16"/>
  <c r="G4328" i="16"/>
  <c r="T4328" i="16"/>
  <c r="F4328" i="16"/>
  <c r="O4328" i="16"/>
  <c r="E4328" i="16"/>
  <c r="H4328" i="16"/>
  <c r="K4328" i="16"/>
  <c r="I4328" i="16"/>
  <c r="N4328" i="16"/>
  <c r="M4328" i="16"/>
  <c r="L4328" i="16"/>
  <c r="P4466" i="16"/>
  <c r="H4466" i="16"/>
  <c r="N4466" i="16"/>
  <c r="E4466" i="16"/>
  <c r="T4466" i="16"/>
  <c r="F4466" i="16"/>
  <c r="O4466" i="16"/>
  <c r="J4466" i="16"/>
  <c r="I4466" i="16"/>
  <c r="G4466" i="16"/>
  <c r="K4466" i="16"/>
  <c r="L4466" i="16"/>
  <c r="M4466" i="16"/>
  <c r="M4469" i="16"/>
  <c r="E4469" i="16"/>
  <c r="I4469" i="16"/>
  <c r="T4469" i="16"/>
  <c r="G4469" i="16"/>
  <c r="P4469" i="16"/>
  <c r="F4469" i="16"/>
  <c r="K4469" i="16"/>
  <c r="J4469" i="16"/>
  <c r="H4469" i="16"/>
  <c r="L4469" i="16"/>
  <c r="O4469" i="16"/>
  <c r="N4469" i="16"/>
  <c r="J4680" i="16"/>
  <c r="N4680" i="16"/>
  <c r="E4680" i="16"/>
  <c r="M4680" i="16"/>
  <c r="L4680" i="16"/>
  <c r="H4680" i="16"/>
  <c r="G4680" i="16"/>
  <c r="F4680" i="16"/>
  <c r="O4680" i="16"/>
  <c r="K4680" i="16"/>
  <c r="I4680" i="16"/>
  <c r="P4680" i="16"/>
  <c r="T4680" i="16"/>
  <c r="P4794" i="16"/>
  <c r="H4794" i="16"/>
  <c r="M4794" i="16"/>
  <c r="L4794" i="16"/>
  <c r="K4794" i="16"/>
  <c r="F4794" i="16"/>
  <c r="E4794" i="16"/>
  <c r="T4794" i="16"/>
  <c r="G4794" i="16"/>
  <c r="O4794" i="16"/>
  <c r="N4794" i="16"/>
  <c r="J4794" i="16"/>
  <c r="I4794" i="16"/>
  <c r="O4835" i="16"/>
  <c r="G4835" i="16"/>
  <c r="P4835" i="16"/>
  <c r="F4835" i="16"/>
  <c r="N4835" i="16"/>
  <c r="E4835" i="16"/>
  <c r="M4835" i="16"/>
  <c r="J4835" i="16"/>
  <c r="I4835" i="16"/>
  <c r="H4835" i="16"/>
  <c r="T4835" i="16"/>
  <c r="L4835" i="16"/>
  <c r="K4835" i="16"/>
  <c r="M5757" i="16"/>
  <c r="E5757" i="16"/>
  <c r="L5757" i="16"/>
  <c r="K5757" i="16"/>
  <c r="T5757" i="16"/>
  <c r="F5757" i="16"/>
  <c r="P5757" i="16"/>
  <c r="O5757" i="16"/>
  <c r="J5757" i="16"/>
  <c r="I5757" i="16"/>
  <c r="H5757" i="16"/>
  <c r="N5757" i="16"/>
  <c r="G5757" i="16"/>
  <c r="N5780" i="16"/>
  <c r="F5780" i="16"/>
  <c r="M5780" i="16"/>
  <c r="E5780" i="16"/>
  <c r="L5780" i="16"/>
  <c r="T5780" i="16"/>
  <c r="P5780" i="16"/>
  <c r="O5780" i="16"/>
  <c r="I5780" i="16"/>
  <c r="H5780" i="16"/>
  <c r="G5780" i="16"/>
  <c r="K5780" i="16"/>
  <c r="J5780" i="16"/>
  <c r="N5804" i="16"/>
  <c r="F5804" i="16"/>
  <c r="M5804" i="16"/>
  <c r="E5804" i="16"/>
  <c r="L5804" i="16"/>
  <c r="I5804" i="16"/>
  <c r="H5804" i="16"/>
  <c r="G5804" i="16"/>
  <c r="P5804" i="16"/>
  <c r="O5804" i="16"/>
  <c r="K5804" i="16"/>
  <c r="T5804" i="16"/>
  <c r="J5804" i="16"/>
  <c r="P5951" i="16"/>
  <c r="H5951" i="16"/>
  <c r="O5951" i="16"/>
  <c r="G5951" i="16"/>
  <c r="J5951" i="16"/>
  <c r="I5951" i="16"/>
  <c r="F5951" i="16"/>
  <c r="T5951" i="16"/>
  <c r="K5951" i="16"/>
  <c r="E5951" i="16"/>
  <c r="M5951" i="16"/>
  <c r="L5951" i="16"/>
  <c r="N5951" i="16"/>
  <c r="J1249" i="15"/>
  <c r="R1249" i="15"/>
  <c r="Z1249" i="15"/>
  <c r="J1253" i="15"/>
  <c r="R1253" i="15"/>
  <c r="Z1253" i="15"/>
  <c r="J1257" i="15"/>
  <c r="R1257" i="15"/>
  <c r="Z1257" i="15"/>
  <c r="J1261" i="15"/>
  <c r="R1261" i="15"/>
  <c r="Z1261" i="15"/>
  <c r="J1265" i="15"/>
  <c r="R1265" i="15"/>
  <c r="Z1265" i="15"/>
  <c r="J1269" i="15"/>
  <c r="R1269" i="15"/>
  <c r="Z1269" i="15"/>
  <c r="J1273" i="15"/>
  <c r="R1273" i="15"/>
  <c r="Z1273" i="15"/>
  <c r="J1277" i="15"/>
  <c r="R1277" i="15"/>
  <c r="Z1277" i="15"/>
  <c r="J1281" i="15"/>
  <c r="R1281" i="15"/>
  <c r="Z1281" i="15"/>
  <c r="J1285" i="15"/>
  <c r="R1285" i="15"/>
  <c r="Z1285" i="15"/>
  <c r="J1289" i="15"/>
  <c r="R1289" i="15"/>
  <c r="Z1289" i="15"/>
  <c r="J1293" i="15"/>
  <c r="R1293" i="15"/>
  <c r="Z1293" i="15"/>
  <c r="J1297" i="15"/>
  <c r="R1297" i="15"/>
  <c r="Z1297" i="15"/>
  <c r="J1301" i="15"/>
  <c r="R1301" i="15"/>
  <c r="Z1301" i="15"/>
  <c r="J1305" i="15"/>
  <c r="R1305" i="15"/>
  <c r="Z1305" i="15"/>
  <c r="J1309" i="15"/>
  <c r="R1309" i="15"/>
  <c r="Z1309" i="15"/>
  <c r="J1313" i="15"/>
  <c r="R1313" i="15"/>
  <c r="Z1313" i="15"/>
  <c r="J1317" i="15"/>
  <c r="R1317" i="15"/>
  <c r="Z1317" i="15"/>
  <c r="J1321" i="15"/>
  <c r="R1321" i="15"/>
  <c r="Z1321" i="15"/>
  <c r="J1325" i="15"/>
  <c r="R1325" i="15"/>
  <c r="Z1325" i="15"/>
  <c r="J1329" i="15"/>
  <c r="R1329" i="15"/>
  <c r="Z1329" i="15"/>
  <c r="J1333" i="15"/>
  <c r="R1333" i="15"/>
  <c r="Z1333" i="15"/>
  <c r="J1337" i="15"/>
  <c r="R1337" i="15"/>
  <c r="Z1337" i="15"/>
  <c r="J1341" i="15"/>
  <c r="R1341" i="15"/>
  <c r="Z1341" i="15"/>
  <c r="J1345" i="15"/>
  <c r="R1345" i="15"/>
  <c r="Z1345" i="15"/>
  <c r="J1349" i="15"/>
  <c r="R1349" i="15"/>
  <c r="Z1349" i="15"/>
  <c r="J1353" i="15"/>
  <c r="R1353" i="15"/>
  <c r="Z1353" i="15"/>
  <c r="H1354" i="15"/>
  <c r="P1354" i="15"/>
  <c r="X1354" i="15"/>
  <c r="AF1354" i="15"/>
  <c r="J1357" i="15"/>
  <c r="R1357" i="15"/>
  <c r="Z1357" i="15"/>
  <c r="H1358" i="15"/>
  <c r="P1358" i="15"/>
  <c r="X1358" i="15"/>
  <c r="AF1358" i="15"/>
  <c r="J1361" i="15"/>
  <c r="R1361" i="15"/>
  <c r="Z1361" i="15"/>
  <c r="H1362" i="15"/>
  <c r="P1362" i="15"/>
  <c r="X1362" i="15"/>
  <c r="AF1362" i="15"/>
  <c r="J1365" i="15"/>
  <c r="R1365" i="15"/>
  <c r="Z1365" i="15"/>
  <c r="H1366" i="15"/>
  <c r="P1366" i="15"/>
  <c r="X1366" i="15"/>
  <c r="AF1366" i="15"/>
  <c r="J1369" i="15"/>
  <c r="R1369" i="15"/>
  <c r="Z1369" i="15"/>
  <c r="H1370" i="15"/>
  <c r="P1370" i="15"/>
  <c r="X1370" i="15"/>
  <c r="AF1370" i="15"/>
  <c r="J1373" i="15"/>
  <c r="R1373" i="15"/>
  <c r="Z1373" i="15"/>
  <c r="H1374" i="15"/>
  <c r="P1374" i="15"/>
  <c r="X1374" i="15"/>
  <c r="AF1374" i="15"/>
  <c r="J1377" i="15"/>
  <c r="R1377" i="15"/>
  <c r="Z1377" i="15"/>
  <c r="H1378" i="15"/>
  <c r="P1378" i="15"/>
  <c r="X1378" i="15"/>
  <c r="AF1378" i="15"/>
  <c r="J1381" i="15"/>
  <c r="R1381" i="15"/>
  <c r="Z1381" i="15"/>
  <c r="H1382" i="15"/>
  <c r="P1382" i="15"/>
  <c r="X1382" i="15"/>
  <c r="AF1382" i="15"/>
  <c r="J1385" i="15"/>
  <c r="R1385" i="15"/>
  <c r="Z1385" i="15"/>
  <c r="H1386" i="15"/>
  <c r="P1386" i="15"/>
  <c r="X1386" i="15"/>
  <c r="AF1386" i="15"/>
  <c r="J1389" i="15"/>
  <c r="R1389" i="15"/>
  <c r="Z1389" i="15"/>
  <c r="H1390" i="15"/>
  <c r="P1390" i="15"/>
  <c r="X1390" i="15"/>
  <c r="AF1390" i="15"/>
  <c r="J1393" i="15"/>
  <c r="R1393" i="15"/>
  <c r="Z1393" i="15"/>
  <c r="H1394" i="15"/>
  <c r="P1394" i="15"/>
  <c r="X1394" i="15"/>
  <c r="AF1394" i="15"/>
  <c r="J1397" i="15"/>
  <c r="R1397" i="15"/>
  <c r="Z1397" i="15"/>
  <c r="H1398" i="15"/>
  <c r="P1398" i="15"/>
  <c r="X1398" i="15"/>
  <c r="AF1398" i="15"/>
  <c r="J1401" i="15"/>
  <c r="R1401" i="15"/>
  <c r="Z1401" i="15"/>
  <c r="H1402" i="15"/>
  <c r="P1402" i="15"/>
  <c r="X1402" i="15"/>
  <c r="AF1402" i="15"/>
  <c r="J1405" i="15"/>
  <c r="R1405" i="15"/>
  <c r="Z1405" i="15"/>
  <c r="H1406" i="15"/>
  <c r="P1406" i="15"/>
  <c r="X1406" i="15"/>
  <c r="AF1406" i="15"/>
  <c r="J1409" i="15"/>
  <c r="R1409" i="15"/>
  <c r="Z1409" i="15"/>
  <c r="H1410" i="15"/>
  <c r="P1410" i="15"/>
  <c r="X1410" i="15"/>
  <c r="AF1410" i="15"/>
  <c r="J1413" i="15"/>
  <c r="R1413" i="15"/>
  <c r="Z1413" i="15"/>
  <c r="H1414" i="15"/>
  <c r="P1414" i="15"/>
  <c r="X1414" i="15"/>
  <c r="AF1414" i="15"/>
  <c r="J1417" i="15"/>
  <c r="R1417" i="15"/>
  <c r="Z1417" i="15"/>
  <c r="H1418" i="15"/>
  <c r="P1418" i="15"/>
  <c r="X1418" i="15"/>
  <c r="AF1418" i="15"/>
  <c r="J1421" i="15"/>
  <c r="R1421" i="15"/>
  <c r="Z1421" i="15"/>
  <c r="H1422" i="15"/>
  <c r="P1422" i="15"/>
  <c r="X1422" i="15"/>
  <c r="AF1422" i="15"/>
  <c r="J1425" i="15"/>
  <c r="R1425" i="15"/>
  <c r="Z1425" i="15"/>
  <c r="H1426" i="15"/>
  <c r="P1426" i="15"/>
  <c r="X1426" i="15"/>
  <c r="AF1426" i="15"/>
  <c r="J1429" i="15"/>
  <c r="R1429" i="15"/>
  <c r="Z1429" i="15"/>
  <c r="H1430" i="15"/>
  <c r="P1430" i="15"/>
  <c r="X1430" i="15"/>
  <c r="AF1430" i="15"/>
  <c r="J1433" i="15"/>
  <c r="R1433" i="15"/>
  <c r="Z1433" i="15"/>
  <c r="H1434" i="15"/>
  <c r="P1434" i="15"/>
  <c r="X1434" i="15"/>
  <c r="AF1434" i="15"/>
  <c r="J1437" i="15"/>
  <c r="R1437" i="15"/>
  <c r="Z1437" i="15"/>
  <c r="H1438" i="15"/>
  <c r="P1438" i="15"/>
  <c r="X1438" i="15"/>
  <c r="AF1438" i="15"/>
  <c r="J1441" i="15"/>
  <c r="R1441" i="15"/>
  <c r="Z1441" i="15"/>
  <c r="H1442" i="15"/>
  <c r="P1442" i="15"/>
  <c r="X1442" i="15"/>
  <c r="AF1442" i="15"/>
  <c r="J1445" i="15"/>
  <c r="R1445" i="15"/>
  <c r="Z1445" i="15"/>
  <c r="H1446" i="15"/>
  <c r="P1446" i="15"/>
  <c r="X1446" i="15"/>
  <c r="AF1446" i="15"/>
  <c r="J1449" i="15"/>
  <c r="R1449" i="15"/>
  <c r="Z1449" i="15"/>
  <c r="H1450" i="15"/>
  <c r="P1450" i="15"/>
  <c r="X1450" i="15"/>
  <c r="AF1450" i="15"/>
  <c r="J1453" i="15"/>
  <c r="R1453" i="15"/>
  <c r="Z1453" i="15"/>
  <c r="H1454" i="15"/>
  <c r="P1454" i="15"/>
  <c r="X1454" i="15"/>
  <c r="AF1454" i="15"/>
  <c r="J1457" i="15"/>
  <c r="R1457" i="15"/>
  <c r="Z1457" i="15"/>
  <c r="H1458" i="15"/>
  <c r="P1458" i="15"/>
  <c r="X1458" i="15"/>
  <c r="AF1458" i="15"/>
  <c r="J1461" i="15"/>
  <c r="R1461" i="15"/>
  <c r="Z1461" i="15"/>
  <c r="H1462" i="15"/>
  <c r="P1462" i="15"/>
  <c r="X1462" i="15"/>
  <c r="AF1462" i="15"/>
  <c r="J1465" i="15"/>
  <c r="R1465" i="15"/>
  <c r="Z1465" i="15"/>
  <c r="H1466" i="15"/>
  <c r="P1466" i="15"/>
  <c r="X1466" i="15"/>
  <c r="AF1466" i="15"/>
  <c r="J1469" i="15"/>
  <c r="R1469" i="15"/>
  <c r="Z1469" i="15"/>
  <c r="H1470" i="15"/>
  <c r="P1470" i="15"/>
  <c r="X1470" i="15"/>
  <c r="AF1470" i="15"/>
  <c r="J1473" i="15"/>
  <c r="R1473" i="15"/>
  <c r="Z1473" i="15"/>
  <c r="H1474" i="15"/>
  <c r="P1474" i="15"/>
  <c r="X1474" i="15"/>
  <c r="AF1474" i="15"/>
  <c r="J1477" i="15"/>
  <c r="R1477" i="15"/>
  <c r="Z1477" i="15"/>
  <c r="H1478" i="15"/>
  <c r="P1478" i="15"/>
  <c r="X1478" i="15"/>
  <c r="AF1478" i="15"/>
  <c r="J1481" i="15"/>
  <c r="R1481" i="15"/>
  <c r="Z1481" i="15"/>
  <c r="H1482" i="15"/>
  <c r="P1482" i="15"/>
  <c r="X1482" i="15"/>
  <c r="AF1482" i="15"/>
  <c r="J1485" i="15"/>
  <c r="R1485" i="15"/>
  <c r="Z1485" i="15"/>
  <c r="H1486" i="15"/>
  <c r="P1486" i="15"/>
  <c r="X1486" i="15"/>
  <c r="AF1486" i="15"/>
  <c r="J1489" i="15"/>
  <c r="R1489" i="15"/>
  <c r="Z1489" i="15"/>
  <c r="H1490" i="15"/>
  <c r="P1490" i="15"/>
  <c r="X1490" i="15"/>
  <c r="AF1490" i="15"/>
  <c r="J1493" i="15"/>
  <c r="R1493" i="15"/>
  <c r="Z1493" i="15"/>
  <c r="H1494" i="15"/>
  <c r="P1494" i="15"/>
  <c r="X1494" i="15"/>
  <c r="AF1494" i="15"/>
  <c r="J1497" i="15"/>
  <c r="R1497" i="15"/>
  <c r="Z1497" i="15"/>
  <c r="H1498" i="15"/>
  <c r="P1498" i="15"/>
  <c r="X1498" i="15"/>
  <c r="AF1498" i="15"/>
  <c r="J1501" i="15"/>
  <c r="R1501" i="15"/>
  <c r="Z1501" i="15"/>
  <c r="H1502" i="15"/>
  <c r="P1502" i="15"/>
  <c r="X1502" i="15"/>
  <c r="AF1502" i="15"/>
  <c r="J1505" i="15"/>
  <c r="R1505" i="15"/>
  <c r="Z1505" i="15"/>
  <c r="H1506" i="15"/>
  <c r="P1506" i="15"/>
  <c r="X1506" i="15"/>
  <c r="AF1506" i="15"/>
  <c r="J1509" i="15"/>
  <c r="R1509" i="15"/>
  <c r="Z1509" i="15"/>
  <c r="H1510" i="15"/>
  <c r="P1510" i="15"/>
  <c r="X1510" i="15"/>
  <c r="AF1510" i="15"/>
  <c r="J1513" i="15"/>
  <c r="R1513" i="15"/>
  <c r="Z1513" i="15"/>
  <c r="H1514" i="15"/>
  <c r="P1514" i="15"/>
  <c r="X1514" i="15"/>
  <c r="AF1514" i="15"/>
  <c r="J1517" i="15"/>
  <c r="R1517" i="15"/>
  <c r="Z1517" i="15"/>
  <c r="H1518" i="15"/>
  <c r="P1518" i="15"/>
  <c r="X1518" i="15"/>
  <c r="AF1518" i="15"/>
  <c r="J1521" i="15"/>
  <c r="R1521" i="15"/>
  <c r="Z1521" i="15"/>
  <c r="H1522" i="15"/>
  <c r="P1522" i="15"/>
  <c r="X1522" i="15"/>
  <c r="AF1522" i="15"/>
  <c r="J1525" i="15"/>
  <c r="R1525" i="15"/>
  <c r="Z1525" i="15"/>
  <c r="H1526" i="15"/>
  <c r="P1526" i="15"/>
  <c r="X1526" i="15"/>
  <c r="AF1526" i="15"/>
  <c r="J1529" i="15"/>
  <c r="R1529" i="15"/>
  <c r="Z1529" i="15"/>
  <c r="H1530" i="15"/>
  <c r="P1530" i="15"/>
  <c r="X1530" i="15"/>
  <c r="AF1530" i="15"/>
  <c r="J1533" i="15"/>
  <c r="R1533" i="15"/>
  <c r="Z1533" i="15"/>
  <c r="H1534" i="15"/>
  <c r="P1534" i="15"/>
  <c r="X1534" i="15"/>
  <c r="AF1534" i="15"/>
  <c r="J1537" i="15"/>
  <c r="R1537" i="15"/>
  <c r="Z1537" i="15"/>
  <c r="H1538" i="15"/>
  <c r="P1538" i="15"/>
  <c r="X1538" i="15"/>
  <c r="AF1538" i="15"/>
  <c r="J1541" i="15"/>
  <c r="R1541" i="15"/>
  <c r="Z1541" i="15"/>
  <c r="H1542" i="15"/>
  <c r="P1542" i="15"/>
  <c r="X1542" i="15"/>
  <c r="AF1542" i="15"/>
  <c r="J1545" i="15"/>
  <c r="R1545" i="15"/>
  <c r="Z1545" i="15"/>
  <c r="H1546" i="15"/>
  <c r="P1546" i="15"/>
  <c r="X1546" i="15"/>
  <c r="AF1546" i="15"/>
  <c r="J1549" i="15"/>
  <c r="R1549" i="15"/>
  <c r="Z1549" i="15"/>
  <c r="H1550" i="15"/>
  <c r="P1550" i="15"/>
  <c r="X1550" i="15"/>
  <c r="AF1550" i="15"/>
  <c r="J1553" i="15"/>
  <c r="R1553" i="15"/>
  <c r="Z1553" i="15"/>
  <c r="AH1553" i="15"/>
  <c r="H1554" i="15"/>
  <c r="P1554" i="15"/>
  <c r="X1554" i="15"/>
  <c r="AF1554" i="15"/>
  <c r="J1557" i="15"/>
  <c r="R1557" i="15"/>
  <c r="Z1557" i="15"/>
  <c r="AH1557" i="15"/>
  <c r="H1558" i="15"/>
  <c r="P1558" i="15"/>
  <c r="X1558" i="15"/>
  <c r="AF1558" i="15"/>
  <c r="J1561" i="15"/>
  <c r="R1561" i="15"/>
  <c r="Z1561" i="15"/>
  <c r="AH1561" i="15"/>
  <c r="H1562" i="15"/>
  <c r="P1562" i="15"/>
  <c r="X1562" i="15"/>
  <c r="AF1562" i="15"/>
  <c r="J1565" i="15"/>
  <c r="R1565" i="15"/>
  <c r="Z1565" i="15"/>
  <c r="AH1565" i="15"/>
  <c r="H1566" i="15"/>
  <c r="P1566" i="15"/>
  <c r="X1566" i="15"/>
  <c r="AF1566" i="15"/>
  <c r="J1569" i="15"/>
  <c r="R1569" i="15"/>
  <c r="Z1569" i="15"/>
  <c r="AH1569" i="15"/>
  <c r="H1570" i="15"/>
  <c r="P1570" i="15"/>
  <c r="X1570" i="15"/>
  <c r="AF1570" i="15"/>
  <c r="J1573" i="15"/>
  <c r="R1573" i="15"/>
  <c r="Z1573" i="15"/>
  <c r="AH1573" i="15"/>
  <c r="H1574" i="15"/>
  <c r="P1574" i="15"/>
  <c r="X1574" i="15"/>
  <c r="AF1574" i="15"/>
  <c r="J1577" i="15"/>
  <c r="R1577" i="15"/>
  <c r="Z1577" i="15"/>
  <c r="AH1577" i="15"/>
  <c r="H1578" i="15"/>
  <c r="P1578" i="15"/>
  <c r="X1578" i="15"/>
  <c r="AF1578" i="15"/>
  <c r="J1581" i="15"/>
  <c r="R1581" i="15"/>
  <c r="Z1581" i="15"/>
  <c r="AH1581" i="15"/>
  <c r="H1582" i="15"/>
  <c r="P1582" i="15"/>
  <c r="X1582" i="15"/>
  <c r="AF1582" i="15"/>
  <c r="J1585" i="15"/>
  <c r="R1585" i="15"/>
  <c r="Z1585" i="15"/>
  <c r="AH1585" i="15"/>
  <c r="H1586" i="15"/>
  <c r="P1586" i="15"/>
  <c r="X1586" i="15"/>
  <c r="AF1586" i="15"/>
  <c r="J1589" i="15"/>
  <c r="R1589" i="15"/>
  <c r="Z1589" i="15"/>
  <c r="AH1589" i="15"/>
  <c r="H1590" i="15"/>
  <c r="P1590" i="15"/>
  <c r="X1590" i="15"/>
  <c r="AF1590" i="15"/>
  <c r="J1593" i="15"/>
  <c r="R1593" i="15"/>
  <c r="Z1593" i="15"/>
  <c r="AH1593" i="15"/>
  <c r="H1594" i="15"/>
  <c r="P1594" i="15"/>
  <c r="X1594" i="15"/>
  <c r="AF1594" i="15"/>
  <c r="J1597" i="15"/>
  <c r="R1597" i="15"/>
  <c r="Z1597" i="15"/>
  <c r="AH1597" i="15"/>
  <c r="H1598" i="15"/>
  <c r="P1598" i="15"/>
  <c r="X1598" i="15"/>
  <c r="AF1598" i="15"/>
  <c r="J1601" i="15"/>
  <c r="R1601" i="15"/>
  <c r="Z1601" i="15"/>
  <c r="AH1601" i="15"/>
  <c r="H1602" i="15"/>
  <c r="P1602" i="15"/>
  <c r="X1602" i="15"/>
  <c r="AF1602" i="15"/>
  <c r="J1605" i="15"/>
  <c r="R1605" i="15"/>
  <c r="Z1605" i="15"/>
  <c r="AH1605" i="15"/>
  <c r="H1606" i="15"/>
  <c r="P1606" i="15"/>
  <c r="X1606" i="15"/>
  <c r="AF1606" i="15"/>
  <c r="J1609" i="15"/>
  <c r="R1609" i="15"/>
  <c r="Z1609" i="15"/>
  <c r="AH1609" i="15"/>
  <c r="H1610" i="15"/>
  <c r="P1610" i="15"/>
  <c r="X1610" i="15"/>
  <c r="AF1610" i="15"/>
  <c r="J1613" i="15"/>
  <c r="R1613" i="15"/>
  <c r="Z1613" i="15"/>
  <c r="AH1613" i="15"/>
  <c r="H1614" i="15"/>
  <c r="P1614" i="15"/>
  <c r="X1614" i="15"/>
  <c r="AF1614" i="15"/>
  <c r="J1617" i="15"/>
  <c r="R1617" i="15"/>
  <c r="Z1617" i="15"/>
  <c r="AH1617" i="15"/>
  <c r="H1618" i="15"/>
  <c r="P1618" i="15"/>
  <c r="X1618" i="15"/>
  <c r="AF1618" i="15"/>
  <c r="J1621" i="15"/>
  <c r="R1621" i="15"/>
  <c r="Z1621" i="15"/>
  <c r="AH1621" i="15"/>
  <c r="H1622" i="15"/>
  <c r="P1622" i="15"/>
  <c r="X1622" i="15"/>
  <c r="AF1622" i="15"/>
  <c r="J1625" i="15"/>
  <c r="R1625" i="15"/>
  <c r="Z1625" i="15"/>
  <c r="AH1625" i="15"/>
  <c r="H1626" i="15"/>
  <c r="P1626" i="15"/>
  <c r="X1626" i="15"/>
  <c r="AF1626" i="15"/>
  <c r="J1629" i="15"/>
  <c r="R1629" i="15"/>
  <c r="Z1629" i="15"/>
  <c r="AH1629" i="15"/>
  <c r="H1630" i="15"/>
  <c r="P1630" i="15"/>
  <c r="X1630" i="15"/>
  <c r="AF1630" i="15"/>
  <c r="J1633" i="15"/>
  <c r="R1633" i="15"/>
  <c r="Z1633" i="15"/>
  <c r="AH1633" i="15"/>
  <c r="H1634" i="15"/>
  <c r="P1634" i="15"/>
  <c r="X1634" i="15"/>
  <c r="AF1634" i="15"/>
  <c r="J1637" i="15"/>
  <c r="R1637" i="15"/>
  <c r="Z1637" i="15"/>
  <c r="AH1637" i="15"/>
  <c r="H1638" i="15"/>
  <c r="P1638" i="15"/>
  <c r="X1638" i="15"/>
  <c r="AF1638" i="15"/>
  <c r="J1641" i="15"/>
  <c r="R1641" i="15"/>
  <c r="Z1641" i="15"/>
  <c r="AH1641" i="15"/>
  <c r="H1642" i="15"/>
  <c r="P1642" i="15"/>
  <c r="X1642" i="15"/>
  <c r="AF1642" i="15"/>
  <c r="J1645" i="15"/>
  <c r="R1645" i="15"/>
  <c r="Z1645" i="15"/>
  <c r="AH1645" i="15"/>
  <c r="H1646" i="15"/>
  <c r="P1646" i="15"/>
  <c r="X1646" i="15"/>
  <c r="AF1646" i="15"/>
  <c r="J1649" i="15"/>
  <c r="R1649" i="15"/>
  <c r="Z1649" i="15"/>
  <c r="AH1649" i="15"/>
  <c r="H1650" i="15"/>
  <c r="P1650" i="15"/>
  <c r="X1650" i="15"/>
  <c r="AF1650" i="15"/>
  <c r="J1653" i="15"/>
  <c r="R1653" i="15"/>
  <c r="Z1653" i="15"/>
  <c r="AH1653" i="15"/>
  <c r="H1654" i="15"/>
  <c r="P1654" i="15"/>
  <c r="X1654" i="15"/>
  <c r="AF1654" i="15"/>
  <c r="J1657" i="15"/>
  <c r="R1657" i="15"/>
  <c r="Z1657" i="15"/>
  <c r="AH1657" i="15"/>
  <c r="H1658" i="15"/>
  <c r="P1658" i="15"/>
  <c r="X1658" i="15"/>
  <c r="AF1658" i="15"/>
  <c r="J1661" i="15"/>
  <c r="R1661" i="15"/>
  <c r="Z1661" i="15"/>
  <c r="AH1661" i="15"/>
  <c r="H1662" i="15"/>
  <c r="P1662" i="15"/>
  <c r="X1662" i="15"/>
  <c r="AF1662" i="15"/>
  <c r="J1665" i="15"/>
  <c r="R1665" i="15"/>
  <c r="Z1665" i="15"/>
  <c r="AH1665" i="15"/>
  <c r="H1666" i="15"/>
  <c r="P1666" i="15"/>
  <c r="X1666" i="15"/>
  <c r="AF1666" i="15"/>
  <c r="J1669" i="15"/>
  <c r="R1669" i="15"/>
  <c r="Z1669" i="15"/>
  <c r="AH1669" i="15"/>
  <c r="P1670" i="15"/>
  <c r="X1670" i="15"/>
  <c r="AF1670" i="15"/>
  <c r="J1673" i="15"/>
  <c r="R1673" i="15"/>
  <c r="Z1673" i="15"/>
  <c r="AH1673" i="15"/>
  <c r="H1674" i="15"/>
  <c r="P1674" i="15"/>
  <c r="X1674" i="15"/>
  <c r="AF1674" i="15"/>
  <c r="J1677" i="15"/>
  <c r="R1677" i="15"/>
  <c r="Z1677" i="15"/>
  <c r="AH1677" i="15"/>
  <c r="H1678" i="15"/>
  <c r="P1678" i="15"/>
  <c r="X1678" i="15"/>
  <c r="AF1678" i="15"/>
  <c r="J1681" i="15"/>
  <c r="R1681" i="15"/>
  <c r="Z1681" i="15"/>
  <c r="AH1681" i="15"/>
  <c r="H1682" i="15"/>
  <c r="P1682" i="15"/>
  <c r="X1682" i="15"/>
  <c r="AF1682" i="15"/>
  <c r="J1685" i="15"/>
  <c r="R1685" i="15"/>
  <c r="Z1685" i="15"/>
  <c r="AH1685" i="15"/>
  <c r="H1686" i="15"/>
  <c r="P1686" i="15"/>
  <c r="X1686" i="15"/>
  <c r="AF1686" i="15"/>
  <c r="J1689" i="15"/>
  <c r="R1689" i="15"/>
  <c r="Z1689" i="15"/>
  <c r="AH1689" i="15"/>
  <c r="H1690" i="15"/>
  <c r="P1690" i="15"/>
  <c r="X1690" i="15"/>
  <c r="AF1690" i="15"/>
  <c r="J1693" i="15"/>
  <c r="R1693" i="15"/>
  <c r="Z1693" i="15"/>
  <c r="AH1693" i="15"/>
  <c r="H1694" i="15"/>
  <c r="P1694" i="15"/>
  <c r="X1694" i="15"/>
  <c r="AF1694" i="15"/>
  <c r="J1697" i="15"/>
  <c r="R1697" i="15"/>
  <c r="Z1697" i="15"/>
  <c r="AH1697" i="15"/>
  <c r="H1698" i="15"/>
  <c r="P1698" i="15"/>
  <c r="X1698" i="15"/>
  <c r="AF1698" i="15"/>
  <c r="J1701" i="15"/>
  <c r="R1701" i="15"/>
  <c r="Z1701" i="15"/>
  <c r="AH1701" i="15"/>
  <c r="H1702" i="15"/>
  <c r="P1702" i="15"/>
  <c r="X1702" i="15"/>
  <c r="AF1702" i="15"/>
  <c r="J1705" i="15"/>
  <c r="R1705" i="15"/>
  <c r="Z1705" i="15"/>
  <c r="AH1705" i="15"/>
  <c r="H1706" i="15"/>
  <c r="P1706" i="15"/>
  <c r="X1706" i="15"/>
  <c r="AF1706" i="15"/>
  <c r="J1709" i="15"/>
  <c r="R1709" i="15"/>
  <c r="Z1709" i="15"/>
  <c r="AH1709" i="15"/>
  <c r="H1710" i="15"/>
  <c r="P1710" i="15"/>
  <c r="X1710" i="15"/>
  <c r="AF1710" i="15"/>
  <c r="J1713" i="15"/>
  <c r="R1713" i="15"/>
  <c r="Z1713" i="15"/>
  <c r="AH1713" i="15"/>
  <c r="H1714" i="15"/>
  <c r="P1714" i="15"/>
  <c r="X1714" i="15"/>
  <c r="AF1714" i="15"/>
  <c r="J1717" i="15"/>
  <c r="R1717" i="15"/>
  <c r="Z1717" i="15"/>
  <c r="AH1717" i="15"/>
  <c r="H1718" i="15"/>
  <c r="P1718" i="15"/>
  <c r="X1718" i="15"/>
  <c r="AF1718" i="15"/>
  <c r="J1721" i="15"/>
  <c r="R1721" i="15"/>
  <c r="Z1721" i="15"/>
  <c r="AH1721" i="15"/>
  <c r="H1722" i="15"/>
  <c r="P1722" i="15"/>
  <c r="X1722" i="15"/>
  <c r="AF1722" i="15"/>
  <c r="J1725" i="15"/>
  <c r="R1725" i="15"/>
  <c r="Z1725" i="15"/>
  <c r="AH1725" i="15"/>
  <c r="H1726" i="15"/>
  <c r="P1726" i="15"/>
  <c r="X1726" i="15"/>
  <c r="AF1726" i="15"/>
  <c r="J1729" i="15"/>
  <c r="R1729" i="15"/>
  <c r="Z1729" i="15"/>
  <c r="AH1729" i="15"/>
  <c r="H1730" i="15"/>
  <c r="P1730" i="15"/>
  <c r="X1730" i="15"/>
  <c r="AF1730" i="15"/>
  <c r="J1733" i="15"/>
  <c r="R1733" i="15"/>
  <c r="Z1733" i="15"/>
  <c r="AH1733" i="15"/>
  <c r="H1734" i="15"/>
  <c r="P1734" i="15"/>
  <c r="X1734" i="15"/>
  <c r="AF1734" i="15"/>
  <c r="J1737" i="15"/>
  <c r="R1737" i="15"/>
  <c r="Z1737" i="15"/>
  <c r="AH1737" i="15"/>
  <c r="H1738" i="15"/>
  <c r="P1738" i="15"/>
  <c r="X1738" i="15"/>
  <c r="AF1738" i="15"/>
  <c r="J1741" i="15"/>
  <c r="R1741" i="15"/>
  <c r="Z1741" i="15"/>
  <c r="AH1741" i="15"/>
  <c r="H1742" i="15"/>
  <c r="P1742" i="15"/>
  <c r="X1742" i="15"/>
  <c r="AF1742" i="15"/>
  <c r="J1745" i="15"/>
  <c r="R1745" i="15"/>
  <c r="Z1745" i="15"/>
  <c r="AH1745" i="15"/>
  <c r="H1746" i="15"/>
  <c r="P1746" i="15"/>
  <c r="X1746" i="15"/>
  <c r="AF1746" i="15"/>
  <c r="J1749" i="15"/>
  <c r="R1749" i="15"/>
  <c r="Z1749" i="15"/>
  <c r="AH1749" i="15"/>
  <c r="H1750" i="15"/>
  <c r="P1750" i="15"/>
  <c r="X1750" i="15"/>
  <c r="AF1750" i="15"/>
  <c r="J1753" i="15"/>
  <c r="R1753" i="15"/>
  <c r="Z1753" i="15"/>
  <c r="AH1753" i="15"/>
  <c r="H1754" i="15"/>
  <c r="P1754" i="15"/>
  <c r="X1754" i="15"/>
  <c r="AF1754" i="15"/>
  <c r="J1757" i="15"/>
  <c r="R1757" i="15"/>
  <c r="Z1757" i="15"/>
  <c r="AH1757" i="15"/>
  <c r="H1758" i="15"/>
  <c r="P1758" i="15"/>
  <c r="X1758" i="15"/>
  <c r="AF1758" i="15"/>
  <c r="J1761" i="15"/>
  <c r="R1761" i="15"/>
  <c r="Z1761" i="15"/>
  <c r="AH1761" i="15"/>
  <c r="H1762" i="15"/>
  <c r="P1762" i="15"/>
  <c r="X1762" i="15"/>
  <c r="AF1762" i="15"/>
  <c r="J1765" i="15"/>
  <c r="R1765" i="15"/>
  <c r="Z1765" i="15"/>
  <c r="AH1765" i="15"/>
  <c r="H1766" i="15"/>
  <c r="P1766" i="15"/>
  <c r="X1766" i="15"/>
  <c r="AF1766" i="15"/>
  <c r="J1769" i="15"/>
  <c r="R1769" i="15"/>
  <c r="Z1769" i="15"/>
  <c r="AH1769" i="15"/>
  <c r="H1770" i="15"/>
  <c r="P1770" i="15"/>
  <c r="X1770" i="15"/>
  <c r="AF1770" i="15"/>
  <c r="J1773" i="15"/>
  <c r="R1773" i="15"/>
  <c r="Z1773" i="15"/>
  <c r="AH1773" i="15"/>
  <c r="H1774" i="15"/>
  <c r="P1774" i="15"/>
  <c r="X1774" i="15"/>
  <c r="AF1774" i="15"/>
  <c r="J1777" i="15"/>
  <c r="R1777" i="15"/>
  <c r="Z1777" i="15"/>
  <c r="AH1777" i="15"/>
  <c r="H1778" i="15"/>
  <c r="P1778" i="15"/>
  <c r="X1778" i="15"/>
  <c r="AF1778" i="15"/>
  <c r="J1781" i="15"/>
  <c r="R1781" i="15"/>
  <c r="Z1781" i="15"/>
  <c r="AH1781" i="15"/>
  <c r="H1782" i="15"/>
  <c r="P1782" i="15"/>
  <c r="X1782" i="15"/>
  <c r="AF1782" i="15"/>
  <c r="J1785" i="15"/>
  <c r="R1785" i="15"/>
  <c r="Z1785" i="15"/>
  <c r="AH1785" i="15"/>
  <c r="H1786" i="15"/>
  <c r="P1786" i="15"/>
  <c r="X1786" i="15"/>
  <c r="AF1786" i="15"/>
  <c r="J1789" i="15"/>
  <c r="R1789" i="15"/>
  <c r="Z1789" i="15"/>
  <c r="AH1789" i="15"/>
  <c r="H1790" i="15"/>
  <c r="P1790" i="15"/>
  <c r="X1790" i="15"/>
  <c r="AF1790" i="15"/>
  <c r="J1793" i="15"/>
  <c r="R1793" i="15"/>
  <c r="Z1793" i="15"/>
  <c r="AH1793" i="15"/>
  <c r="H1794" i="15"/>
  <c r="P1794" i="15"/>
  <c r="X1794" i="15"/>
  <c r="AF1794" i="15"/>
  <c r="J1797" i="15"/>
  <c r="R1797" i="15"/>
  <c r="Z1797" i="15"/>
  <c r="AH1797" i="15"/>
  <c r="H1798" i="15"/>
  <c r="P1798" i="15"/>
  <c r="X1798" i="15"/>
  <c r="AF1798" i="15"/>
  <c r="J1801" i="15"/>
  <c r="R1801" i="15"/>
  <c r="Z1801" i="15"/>
  <c r="AH1801" i="15"/>
  <c r="H1802" i="15"/>
  <c r="P1802" i="15"/>
  <c r="X1802" i="15"/>
  <c r="AF1802" i="15"/>
  <c r="J1805" i="15"/>
  <c r="R1805" i="15"/>
  <c r="Z1805" i="15"/>
  <c r="AH1805" i="15"/>
  <c r="H1806" i="15"/>
  <c r="P1806" i="15"/>
  <c r="X1806" i="15"/>
  <c r="AF1806" i="15"/>
  <c r="J1809" i="15"/>
  <c r="R1809" i="15"/>
  <c r="Z1809" i="15"/>
  <c r="AH1809" i="15"/>
  <c r="J1813" i="15"/>
  <c r="R1813" i="15"/>
  <c r="Z1813" i="15"/>
  <c r="AH1813" i="15"/>
  <c r="J1817" i="15"/>
  <c r="R1817" i="15"/>
  <c r="Z1817" i="15"/>
  <c r="AH1817" i="15"/>
  <c r="J1821" i="15"/>
  <c r="R1821" i="15"/>
  <c r="Z1821" i="15"/>
  <c r="AH1821" i="15"/>
  <c r="J1825" i="15"/>
  <c r="R1825" i="15"/>
  <c r="Z1825" i="15"/>
  <c r="AH1825" i="15"/>
  <c r="J1829" i="15"/>
  <c r="R1829" i="15"/>
  <c r="Z1829" i="15"/>
  <c r="AH1829" i="15"/>
  <c r="J1833" i="15"/>
  <c r="R1833" i="15"/>
  <c r="Z1833" i="15"/>
  <c r="AH1833" i="15"/>
  <c r="J1837" i="15"/>
  <c r="R1837" i="15"/>
  <c r="Z1837" i="15"/>
  <c r="AH1837" i="15"/>
  <c r="J1841" i="15"/>
  <c r="R1841" i="15"/>
  <c r="Z1841" i="15"/>
  <c r="AH1841" i="15"/>
  <c r="J1845" i="15"/>
  <c r="R1845" i="15"/>
  <c r="Z1845" i="15"/>
  <c r="AH1845" i="15"/>
  <c r="J1849" i="15"/>
  <c r="R1849" i="15"/>
  <c r="Z1849" i="15"/>
  <c r="AH1849" i="15"/>
  <c r="J1853" i="15"/>
  <c r="R1853" i="15"/>
  <c r="Z1853" i="15"/>
  <c r="AH1853" i="15"/>
  <c r="J1857" i="15"/>
  <c r="R1857" i="15"/>
  <c r="Z1857" i="15"/>
  <c r="AH1857" i="15"/>
  <c r="J1861" i="15"/>
  <c r="R1861" i="15"/>
  <c r="Z1861" i="15"/>
  <c r="AH1861" i="15"/>
  <c r="J1865" i="15"/>
  <c r="R1865" i="15"/>
  <c r="Z1865" i="15"/>
  <c r="AH1865" i="15"/>
  <c r="J1869" i="15"/>
  <c r="R1869" i="15"/>
  <c r="Z1869" i="15"/>
  <c r="AH1869" i="15"/>
  <c r="J1873" i="15"/>
  <c r="R1873" i="15"/>
  <c r="Z1873" i="15"/>
  <c r="AH1873" i="15"/>
  <c r="J1877" i="15"/>
  <c r="R1877" i="15"/>
  <c r="Z1877" i="15"/>
  <c r="AH1877" i="15"/>
  <c r="J1881" i="15"/>
  <c r="R1881" i="15"/>
  <c r="Z1881" i="15"/>
  <c r="AH1881" i="15"/>
  <c r="J1885" i="15"/>
  <c r="R1885" i="15"/>
  <c r="Z1885" i="15"/>
  <c r="AH1885" i="15"/>
  <c r="J1889" i="15"/>
  <c r="R1889" i="15"/>
  <c r="Z1889" i="15"/>
  <c r="AH1889" i="15"/>
  <c r="J1893" i="15"/>
  <c r="R1893" i="15"/>
  <c r="Z1893" i="15"/>
  <c r="AH1893" i="15"/>
  <c r="J1897" i="15"/>
  <c r="R1897" i="15"/>
  <c r="Z1897" i="15"/>
  <c r="AH1897" i="15"/>
  <c r="J1901" i="15"/>
  <c r="R1901" i="15"/>
  <c r="Z1901" i="15"/>
  <c r="AH1901" i="15"/>
  <c r="J1905" i="15"/>
  <c r="R1905" i="15"/>
  <c r="Z1905" i="15"/>
  <c r="AH1905" i="15"/>
  <c r="J1909" i="15"/>
  <c r="R1909" i="15"/>
  <c r="Z1909" i="15"/>
  <c r="AH1909" i="15"/>
  <c r="J1913" i="15"/>
  <c r="R1913" i="15"/>
  <c r="Z1913" i="15"/>
  <c r="AH1913" i="15"/>
  <c r="J1917" i="15"/>
  <c r="R1917" i="15"/>
  <c r="Z1917" i="15"/>
  <c r="AH1917" i="15"/>
  <c r="J1921" i="15"/>
  <c r="R1921" i="15"/>
  <c r="Z1921" i="15"/>
  <c r="AH1921" i="15"/>
  <c r="J1925" i="15"/>
  <c r="R1925" i="15"/>
  <c r="Z1925" i="15"/>
  <c r="AH1925" i="15"/>
  <c r="J1929" i="15"/>
  <c r="R1929" i="15"/>
  <c r="Z1929" i="15"/>
  <c r="AH1929" i="15"/>
  <c r="J1933" i="15"/>
  <c r="R1933" i="15"/>
  <c r="Z1933" i="15"/>
  <c r="AH1933" i="15"/>
  <c r="J1937" i="15"/>
  <c r="R1937" i="15"/>
  <c r="Z1937" i="15"/>
  <c r="AH1937" i="15"/>
  <c r="J1941" i="15"/>
  <c r="R1941" i="15"/>
  <c r="Z1941" i="15"/>
  <c r="AH1941" i="15"/>
  <c r="J1945" i="15"/>
  <c r="R1945" i="15"/>
  <c r="Z1945" i="15"/>
  <c r="AH1945" i="15"/>
  <c r="J1949" i="15"/>
  <c r="R1949" i="15"/>
  <c r="Z1949" i="15"/>
  <c r="AH1949" i="15"/>
  <c r="J1953" i="15"/>
  <c r="R1953" i="15"/>
  <c r="Z1953" i="15"/>
  <c r="AH1953" i="15"/>
  <c r="J1957" i="15"/>
  <c r="R1957" i="15"/>
  <c r="Z1957" i="15"/>
  <c r="AH1957" i="15"/>
  <c r="J1961" i="15"/>
  <c r="R1961" i="15"/>
  <c r="Z1961" i="15"/>
  <c r="AH1961" i="15"/>
  <c r="J1965" i="15"/>
  <c r="R1965" i="15"/>
  <c r="Z1965" i="15"/>
  <c r="AH1965" i="15"/>
  <c r="J1969" i="15"/>
  <c r="R1969" i="15"/>
  <c r="Z1969" i="15"/>
  <c r="AH1969" i="15"/>
  <c r="J1973" i="15"/>
  <c r="R1973" i="15"/>
  <c r="Z1973" i="15"/>
  <c r="AH1973" i="15"/>
  <c r="J1977" i="15"/>
  <c r="R1977" i="15"/>
  <c r="Z1977" i="15"/>
  <c r="AH1977" i="15"/>
  <c r="J1981" i="15"/>
  <c r="R1981" i="15"/>
  <c r="Z1981" i="15"/>
  <c r="AH1981" i="15"/>
  <c r="J1985" i="15"/>
  <c r="R1985" i="15"/>
  <c r="Z1985" i="15"/>
  <c r="AH1985" i="15"/>
  <c r="J1989" i="15"/>
  <c r="R1989" i="15"/>
  <c r="Z1989" i="15"/>
  <c r="AH1989" i="15"/>
  <c r="J1993" i="15"/>
  <c r="R1993" i="15"/>
  <c r="Z1993" i="15"/>
  <c r="AH1993" i="15"/>
  <c r="J1997" i="15"/>
  <c r="R1997" i="15"/>
  <c r="Z1997" i="15"/>
  <c r="AH1997" i="15"/>
  <c r="I2" i="16"/>
  <c r="J6" i="16"/>
  <c r="I7" i="16"/>
  <c r="T7" i="16"/>
  <c r="J14" i="16"/>
  <c r="I15" i="16"/>
  <c r="J22" i="16"/>
  <c r="I23" i="16"/>
  <c r="T23" i="16"/>
  <c r="J30" i="16"/>
  <c r="I31" i="16"/>
  <c r="T31" i="16"/>
  <c r="J38" i="16"/>
  <c r="I39" i="16"/>
  <c r="T39" i="16"/>
  <c r="J46" i="16"/>
  <c r="I47" i="16"/>
  <c r="T47" i="16"/>
  <c r="K57" i="16"/>
  <c r="L61" i="16"/>
  <c r="L64" i="16"/>
  <c r="E66" i="16"/>
  <c r="T66" i="16" s="1"/>
  <c r="T68" i="16"/>
  <c r="K71" i="16"/>
  <c r="J75" i="16"/>
  <c r="P75" i="16"/>
  <c r="H75" i="9" s="1"/>
  <c r="H75" i="16"/>
  <c r="K75" i="16"/>
  <c r="G78" i="16"/>
  <c r="M78" i="16"/>
  <c r="E78" i="16"/>
  <c r="K78" i="16"/>
  <c r="K82" i="16"/>
  <c r="G86" i="16"/>
  <c r="M86" i="16"/>
  <c r="E86" i="16"/>
  <c r="L86" i="16"/>
  <c r="M96" i="16"/>
  <c r="E96" i="16"/>
  <c r="L96" i="16"/>
  <c r="K96" i="16"/>
  <c r="J96" i="16"/>
  <c r="J99" i="16"/>
  <c r="M101" i="16"/>
  <c r="E106" i="16"/>
  <c r="P109" i="16"/>
  <c r="H109" i="9" s="1"/>
  <c r="H109" i="16"/>
  <c r="G109" i="16"/>
  <c r="F109" i="16"/>
  <c r="L109" i="16"/>
  <c r="M113" i="16"/>
  <c r="K114" i="16"/>
  <c r="J114" i="16"/>
  <c r="L121" i="16"/>
  <c r="K121" i="16"/>
  <c r="J121" i="16"/>
  <c r="I121" i="16"/>
  <c r="M127" i="16"/>
  <c r="E127" i="16"/>
  <c r="P127" i="16" s="1"/>
  <c r="H127" i="9" s="1"/>
  <c r="L127" i="16"/>
  <c r="K127" i="16"/>
  <c r="T132" i="16"/>
  <c r="K138" i="16"/>
  <c r="G150" i="16"/>
  <c r="M150" i="16"/>
  <c r="E150" i="16"/>
  <c r="L150" i="16"/>
  <c r="G153" i="16"/>
  <c r="M153" i="16"/>
  <c r="E153" i="16"/>
  <c r="J153" i="16"/>
  <c r="I153" i="16"/>
  <c r="H153" i="16"/>
  <c r="P153" i="16"/>
  <c r="H153" i="9" s="1"/>
  <c r="H167" i="16"/>
  <c r="M167" i="16"/>
  <c r="L167" i="16"/>
  <c r="K167" i="16"/>
  <c r="M171" i="16"/>
  <c r="E171" i="16"/>
  <c r="I171" i="9" s="1"/>
  <c r="L171" i="16"/>
  <c r="K171" i="16"/>
  <c r="T171" i="16"/>
  <c r="F171" i="16"/>
  <c r="P171" i="16"/>
  <c r="H171" i="9" s="1"/>
  <c r="M179" i="16"/>
  <c r="E179" i="16"/>
  <c r="L179" i="16"/>
  <c r="K179" i="16"/>
  <c r="J179" i="16"/>
  <c r="M190" i="16"/>
  <c r="L190" i="16"/>
  <c r="H197" i="16"/>
  <c r="M198" i="16"/>
  <c r="L198" i="16"/>
  <c r="K198" i="16"/>
  <c r="M219" i="16"/>
  <c r="E219" i="16"/>
  <c r="L219" i="16"/>
  <c r="K219" i="16"/>
  <c r="H219" i="16"/>
  <c r="G219" i="16"/>
  <c r="P224" i="16"/>
  <c r="H224" i="9" s="1"/>
  <c r="H224" i="16"/>
  <c r="G224" i="16"/>
  <c r="F224" i="16"/>
  <c r="K224" i="16"/>
  <c r="J224" i="16"/>
  <c r="I224" i="16"/>
  <c r="G225" i="16"/>
  <c r="F225" i="16"/>
  <c r="M225" i="16"/>
  <c r="E225" i="16"/>
  <c r="I225" i="9" s="1"/>
  <c r="H225" i="16"/>
  <c r="T225" i="16"/>
  <c r="P225" i="16"/>
  <c r="H225" i="9" s="1"/>
  <c r="G233" i="16"/>
  <c r="O233" i="16" s="1"/>
  <c r="M233" i="16"/>
  <c r="E233" i="16"/>
  <c r="T233" i="16" s="1"/>
  <c r="H233" i="16"/>
  <c r="K253" i="16"/>
  <c r="L253" i="16"/>
  <c r="H253" i="16"/>
  <c r="G253" i="16"/>
  <c r="O253" i="16" s="1"/>
  <c r="K257" i="16"/>
  <c r="J257" i="16"/>
  <c r="H261" i="16"/>
  <c r="G261" i="16"/>
  <c r="O261" i="16" s="1"/>
  <c r="E261" i="16"/>
  <c r="M262" i="16"/>
  <c r="L262" i="16"/>
  <c r="K262" i="16"/>
  <c r="L268" i="16"/>
  <c r="K268" i="16"/>
  <c r="J268" i="16"/>
  <c r="P268" i="16"/>
  <c r="H268" i="9" s="1"/>
  <c r="E268" i="16"/>
  <c r="O268" i="16"/>
  <c r="M268" i="16"/>
  <c r="T268" i="16"/>
  <c r="F277" i="16"/>
  <c r="P277" i="16"/>
  <c r="H277" i="9" s="1"/>
  <c r="L278" i="16"/>
  <c r="K278" i="16"/>
  <c r="G278" i="16"/>
  <c r="M299" i="16"/>
  <c r="E299" i="16"/>
  <c r="L299" i="16"/>
  <c r="K299" i="16"/>
  <c r="O299" i="16" s="1"/>
  <c r="G299" i="16"/>
  <c r="L319" i="16"/>
  <c r="G337" i="16"/>
  <c r="F337" i="16"/>
  <c r="M337" i="16"/>
  <c r="E337" i="16"/>
  <c r="K337" i="16"/>
  <c r="J337" i="16"/>
  <c r="O337" i="16" s="1"/>
  <c r="I337" i="16"/>
  <c r="H337" i="16"/>
  <c r="M344" i="16"/>
  <c r="K344" i="16"/>
  <c r="O344" i="16" s="1"/>
  <c r="J344" i="16"/>
  <c r="K352" i="16"/>
  <c r="O366" i="16"/>
  <c r="O374" i="16"/>
  <c r="M378" i="16"/>
  <c r="E378" i="16"/>
  <c r="L378" i="16"/>
  <c r="J378" i="16"/>
  <c r="O378" i="16" s="1"/>
  <c r="I378" i="16"/>
  <c r="H378" i="16"/>
  <c r="G378" i="16"/>
  <c r="F386" i="16"/>
  <c r="M386" i="16"/>
  <c r="E386" i="16"/>
  <c r="L386" i="16"/>
  <c r="I386" i="16"/>
  <c r="H386" i="16"/>
  <c r="G386" i="16"/>
  <c r="E423" i="16"/>
  <c r="T423" i="16" s="1"/>
  <c r="K429" i="16"/>
  <c r="M429" i="16"/>
  <c r="L429" i="16"/>
  <c r="H429" i="16"/>
  <c r="M437" i="16"/>
  <c r="L437" i="16"/>
  <c r="H437" i="16"/>
  <c r="G437" i="16"/>
  <c r="K457" i="16"/>
  <c r="J462" i="16"/>
  <c r="M462" i="16"/>
  <c r="L462" i="16"/>
  <c r="K462" i="16"/>
  <c r="G462" i="16"/>
  <c r="G473" i="16"/>
  <c r="F473" i="16"/>
  <c r="M473" i="16"/>
  <c r="O473" i="16" s="1"/>
  <c r="E473" i="16"/>
  <c r="J473" i="16"/>
  <c r="I473" i="16"/>
  <c r="H473" i="16"/>
  <c r="M475" i="16"/>
  <c r="E475" i="16"/>
  <c r="L475" i="16"/>
  <c r="K475" i="16"/>
  <c r="I475" i="16"/>
  <c r="H475" i="16"/>
  <c r="G475" i="16"/>
  <c r="L478" i="16"/>
  <c r="O489" i="16"/>
  <c r="G489" i="16"/>
  <c r="F489" i="16"/>
  <c r="M489" i="16"/>
  <c r="E489" i="16"/>
  <c r="I489" i="9" s="1"/>
  <c r="H489" i="16"/>
  <c r="T489" i="16"/>
  <c r="P489" i="16"/>
  <c r="H489" i="9" s="1"/>
  <c r="L511" i="16"/>
  <c r="G529" i="16"/>
  <c r="M529" i="16"/>
  <c r="E529" i="16"/>
  <c r="K529" i="16"/>
  <c r="J529" i="16"/>
  <c r="I529" i="16"/>
  <c r="O529" i="16" s="1"/>
  <c r="H529" i="16"/>
  <c r="P542" i="16"/>
  <c r="H542" i="9" s="1"/>
  <c r="F542" i="16"/>
  <c r="E551" i="16"/>
  <c r="E557" i="16"/>
  <c r="M559" i="16"/>
  <c r="L559" i="16"/>
  <c r="K559" i="16"/>
  <c r="J559" i="16"/>
  <c r="E565" i="16"/>
  <c r="T565" i="16" s="1"/>
  <c r="K573" i="16"/>
  <c r="L573" i="16"/>
  <c r="H573" i="16"/>
  <c r="G573" i="16"/>
  <c r="K577" i="16"/>
  <c r="J577" i="16"/>
  <c r="K581" i="16"/>
  <c r="H581" i="16"/>
  <c r="G581" i="16"/>
  <c r="E581" i="16"/>
  <c r="M582" i="16"/>
  <c r="L582" i="16"/>
  <c r="K582" i="16"/>
  <c r="L588" i="16"/>
  <c r="K588" i="16"/>
  <c r="J588" i="16"/>
  <c r="P588" i="16"/>
  <c r="H588" i="9" s="1"/>
  <c r="E588" i="16"/>
  <c r="O588" i="16"/>
  <c r="M588" i="16"/>
  <c r="L598" i="16"/>
  <c r="K598" i="16"/>
  <c r="G598" i="16"/>
  <c r="K608" i="16"/>
  <c r="K649" i="16"/>
  <c r="J654" i="16"/>
  <c r="M654" i="16"/>
  <c r="L654" i="16"/>
  <c r="K654" i="16"/>
  <c r="G654" i="16"/>
  <c r="J664" i="16"/>
  <c r="O666" i="16"/>
  <c r="H688" i="16"/>
  <c r="G688" i="16"/>
  <c r="F688" i="16"/>
  <c r="J688" i="16"/>
  <c r="O688" i="16" s="1"/>
  <c r="I688" i="16"/>
  <c r="E688" i="16"/>
  <c r="M691" i="16"/>
  <c r="E691" i="16"/>
  <c r="L691" i="16"/>
  <c r="K691" i="16"/>
  <c r="O691" i="16" s="1"/>
  <c r="F691" i="16"/>
  <c r="L692" i="16"/>
  <c r="K692" i="16"/>
  <c r="J692" i="16"/>
  <c r="H692" i="16"/>
  <c r="G692" i="16"/>
  <c r="F692" i="16"/>
  <c r="E692" i="16"/>
  <c r="F698" i="16"/>
  <c r="M698" i="16"/>
  <c r="E698" i="16"/>
  <c r="L698" i="16"/>
  <c r="J698" i="16"/>
  <c r="O698" i="16" s="1"/>
  <c r="I698" i="16"/>
  <c r="H698" i="16"/>
  <c r="G698" i="16"/>
  <c r="F706" i="16"/>
  <c r="M706" i="16"/>
  <c r="E706" i="16"/>
  <c r="L706" i="16"/>
  <c r="I706" i="16"/>
  <c r="H706" i="16"/>
  <c r="G706" i="16"/>
  <c r="L734" i="16"/>
  <c r="O745" i="16"/>
  <c r="G745" i="16"/>
  <c r="M745" i="16"/>
  <c r="E745" i="16"/>
  <c r="H745" i="16"/>
  <c r="L767" i="16"/>
  <c r="G785" i="16"/>
  <c r="F785" i="16"/>
  <c r="M785" i="16"/>
  <c r="E785" i="16"/>
  <c r="K785" i="16"/>
  <c r="J785" i="16"/>
  <c r="I785" i="16"/>
  <c r="O785" i="16" s="1"/>
  <c r="H785" i="16"/>
  <c r="E807" i="16"/>
  <c r="E813" i="16"/>
  <c r="H815" i="16"/>
  <c r="M815" i="16"/>
  <c r="L815" i="16"/>
  <c r="K815" i="16"/>
  <c r="J815" i="16"/>
  <c r="E821" i="16"/>
  <c r="J829" i="16"/>
  <c r="L829" i="16"/>
  <c r="H829" i="16"/>
  <c r="G829" i="16"/>
  <c r="F831" i="16"/>
  <c r="K833" i="16"/>
  <c r="J833" i="16"/>
  <c r="J837" i="16"/>
  <c r="H837" i="16"/>
  <c r="G837" i="16"/>
  <c r="E837" i="16"/>
  <c r="M838" i="16"/>
  <c r="L838" i="16"/>
  <c r="K838" i="16"/>
  <c r="L844" i="16"/>
  <c r="K844" i="16"/>
  <c r="J844" i="16"/>
  <c r="E844" i="16"/>
  <c r="O844" i="16"/>
  <c r="M844" i="16"/>
  <c r="L854" i="16"/>
  <c r="K854" i="16"/>
  <c r="G854" i="16"/>
  <c r="J862" i="16"/>
  <c r="K864" i="16"/>
  <c r="K905" i="16"/>
  <c r="M910" i="16"/>
  <c r="L910" i="16"/>
  <c r="K910" i="16"/>
  <c r="G910" i="16"/>
  <c r="J920" i="16"/>
  <c r="H960" i="16"/>
  <c r="O960" i="16"/>
  <c r="G960" i="16"/>
  <c r="F960" i="16"/>
  <c r="E960" i="16"/>
  <c r="M960" i="16"/>
  <c r="J961" i="16"/>
  <c r="L964" i="16"/>
  <c r="O964" i="16" s="1"/>
  <c r="K964" i="16"/>
  <c r="J964" i="16"/>
  <c r="F964" i="16"/>
  <c r="E964" i="16"/>
  <c r="K965" i="16"/>
  <c r="L1015" i="16"/>
  <c r="M1022" i="16"/>
  <c r="L1022" i="16"/>
  <c r="K1022" i="16"/>
  <c r="G1022" i="16"/>
  <c r="L1046" i="16"/>
  <c r="F1053" i="16"/>
  <c r="E1061" i="16"/>
  <c r="H1080" i="16"/>
  <c r="G1080" i="16"/>
  <c r="E1080" i="16"/>
  <c r="M1080" i="16"/>
  <c r="J1080" i="16"/>
  <c r="I1080" i="16"/>
  <c r="M1094" i="16"/>
  <c r="L1094" i="16"/>
  <c r="K1094" i="16"/>
  <c r="G1094" i="16"/>
  <c r="E1096" i="16"/>
  <c r="M1123" i="16"/>
  <c r="E1123" i="16"/>
  <c r="L1123" i="16"/>
  <c r="K1123" i="16"/>
  <c r="G1123" i="16"/>
  <c r="F1123" i="16"/>
  <c r="J1123" i="16"/>
  <c r="I1123" i="16"/>
  <c r="H1123" i="16"/>
  <c r="L1132" i="16"/>
  <c r="K1132" i="16"/>
  <c r="J1132" i="16"/>
  <c r="H1132" i="16"/>
  <c r="G1132" i="16"/>
  <c r="E1132" i="16"/>
  <c r="I1132" i="16"/>
  <c r="H1145" i="16"/>
  <c r="F1151" i="16"/>
  <c r="K1176" i="16"/>
  <c r="E1189" i="16"/>
  <c r="F1199" i="16"/>
  <c r="K1238" i="16"/>
  <c r="G1238" i="16"/>
  <c r="F1239" i="16"/>
  <c r="J1240" i="16"/>
  <c r="I1240" i="16"/>
  <c r="M1240" i="16"/>
  <c r="M1261" i="16"/>
  <c r="L1261" i="16"/>
  <c r="H1261" i="16"/>
  <c r="G1261" i="16"/>
  <c r="O1261" i="16" s="1"/>
  <c r="H1263" i="16"/>
  <c r="G1263" i="16"/>
  <c r="O1263" i="16" s="1"/>
  <c r="L1263" i="16"/>
  <c r="K1263" i="16"/>
  <c r="J1263" i="16"/>
  <c r="M1263" i="16"/>
  <c r="E1269" i="16"/>
  <c r="K1273" i="16"/>
  <c r="J1273" i="16"/>
  <c r="I1273" i="16"/>
  <c r="H1273" i="16"/>
  <c r="H1311" i="16"/>
  <c r="G1311" i="16"/>
  <c r="M1311" i="16"/>
  <c r="L1311" i="16"/>
  <c r="K1311" i="16"/>
  <c r="M1330" i="16"/>
  <c r="E1330" i="16"/>
  <c r="L1330" i="16"/>
  <c r="J1330" i="16"/>
  <c r="O1330" i="16" s="1"/>
  <c r="I1330" i="16"/>
  <c r="H1330" i="16"/>
  <c r="G1330" i="16"/>
  <c r="K1330" i="16"/>
  <c r="K1337" i="16"/>
  <c r="O1337" i="16" s="1"/>
  <c r="J1337" i="16"/>
  <c r="O1377" i="16"/>
  <c r="G1377" i="16"/>
  <c r="N1377" i="16"/>
  <c r="F1377" i="16"/>
  <c r="M1377" i="16"/>
  <c r="E1377" i="16"/>
  <c r="H1377" i="16"/>
  <c r="T1377" i="16"/>
  <c r="P1377" i="16"/>
  <c r="I1377" i="16"/>
  <c r="K1462" i="16"/>
  <c r="M1462" i="16"/>
  <c r="L1462" i="16"/>
  <c r="J1462" i="16"/>
  <c r="F1462" i="16"/>
  <c r="T1462" i="16"/>
  <c r="E1462" i="16"/>
  <c r="P1462" i="16"/>
  <c r="O1462" i="16"/>
  <c r="I1462" i="16"/>
  <c r="H1462" i="16"/>
  <c r="G1462" i="16"/>
  <c r="K1494" i="16"/>
  <c r="T1494" i="16"/>
  <c r="H1494" i="16"/>
  <c r="P1494" i="16"/>
  <c r="G1494" i="16"/>
  <c r="O1494" i="16"/>
  <c r="F1494" i="16"/>
  <c r="J1494" i="16"/>
  <c r="I1494" i="16"/>
  <c r="E1494" i="16"/>
  <c r="N1494" i="16"/>
  <c r="M1494" i="16"/>
  <c r="L1494" i="16"/>
  <c r="L1565" i="16"/>
  <c r="N1565" i="16"/>
  <c r="E1565" i="16"/>
  <c r="M1565" i="16"/>
  <c r="K1565" i="16"/>
  <c r="F1565" i="16"/>
  <c r="T1565" i="16"/>
  <c r="P1565" i="16"/>
  <c r="O1565" i="16"/>
  <c r="I1565" i="16"/>
  <c r="H1565" i="16"/>
  <c r="G1565" i="16"/>
  <c r="N1579" i="16"/>
  <c r="F1579" i="16"/>
  <c r="O1579" i="16"/>
  <c r="E1579" i="16"/>
  <c r="M1579" i="16"/>
  <c r="L1579" i="16"/>
  <c r="J1579" i="16"/>
  <c r="I1579" i="16"/>
  <c r="H1579" i="16"/>
  <c r="G1579" i="16"/>
  <c r="T1579" i="16"/>
  <c r="P1579" i="16"/>
  <c r="K1579" i="16"/>
  <c r="K1646" i="16"/>
  <c r="P1646" i="16"/>
  <c r="G1646" i="16"/>
  <c r="O1646" i="16"/>
  <c r="F1646" i="16"/>
  <c r="N1646" i="16"/>
  <c r="E1646" i="16"/>
  <c r="I1646" i="16"/>
  <c r="H1646" i="16"/>
  <c r="T1646" i="16"/>
  <c r="M1646" i="16"/>
  <c r="L1646" i="16"/>
  <c r="J1646" i="16"/>
  <c r="L1733" i="16"/>
  <c r="O1733" i="16"/>
  <c r="F1733" i="16"/>
  <c r="N1733" i="16"/>
  <c r="E1733" i="16"/>
  <c r="M1733" i="16"/>
  <c r="G1733" i="16"/>
  <c r="T1733" i="16"/>
  <c r="P1733" i="16"/>
  <c r="J1733" i="16"/>
  <c r="I1733" i="16"/>
  <c r="H1733" i="16"/>
  <c r="M1748" i="16"/>
  <c r="E1748" i="16"/>
  <c r="T1748" i="16"/>
  <c r="H1748" i="16"/>
  <c r="P1748" i="16"/>
  <c r="G1748" i="16"/>
  <c r="O1748" i="16"/>
  <c r="F1748" i="16"/>
  <c r="L1748" i="16"/>
  <c r="K1748" i="16"/>
  <c r="J1748" i="16"/>
  <c r="I1748" i="16"/>
  <c r="N1748" i="16"/>
  <c r="M1772" i="16"/>
  <c r="E1772" i="16"/>
  <c r="P1772" i="16"/>
  <c r="G1772" i="16"/>
  <c r="O1772" i="16"/>
  <c r="F1772" i="16"/>
  <c r="N1772" i="16"/>
  <c r="H1772" i="16"/>
  <c r="T1772" i="16"/>
  <c r="K1772" i="16"/>
  <c r="J1772" i="16"/>
  <c r="I1772" i="16"/>
  <c r="P1785" i="16"/>
  <c r="H1785" i="16"/>
  <c r="N1785" i="16"/>
  <c r="E1785" i="16"/>
  <c r="M1785" i="16"/>
  <c r="L1785" i="16"/>
  <c r="I1785" i="16"/>
  <c r="G1785" i="16"/>
  <c r="F1785" i="16"/>
  <c r="T1785" i="16"/>
  <c r="O1785" i="16"/>
  <c r="K1785" i="16"/>
  <c r="J1785" i="16"/>
  <c r="M1916" i="16"/>
  <c r="E1916" i="16"/>
  <c r="I1916" i="16"/>
  <c r="T1916" i="16"/>
  <c r="H1916" i="16"/>
  <c r="P1916" i="16"/>
  <c r="G1916" i="16"/>
  <c r="F1916" i="16"/>
  <c r="O1916" i="16"/>
  <c r="J1916" i="16"/>
  <c r="L1925" i="16"/>
  <c r="O1925" i="16"/>
  <c r="F1925" i="16"/>
  <c r="N1925" i="16"/>
  <c r="E1925" i="16"/>
  <c r="M1925" i="16"/>
  <c r="I1925" i="16"/>
  <c r="H1925" i="16"/>
  <c r="G1925" i="16"/>
  <c r="T1925" i="16"/>
  <c r="P1925" i="16"/>
  <c r="K1925" i="16"/>
  <c r="J1925" i="16"/>
  <c r="O1938" i="16"/>
  <c r="G1938" i="16"/>
  <c r="N1938" i="16"/>
  <c r="E1938" i="16"/>
  <c r="M1938" i="16"/>
  <c r="L1938" i="16"/>
  <c r="I1938" i="16"/>
  <c r="H1938" i="16"/>
  <c r="F1938" i="16"/>
  <c r="P1938" i="16"/>
  <c r="K1938" i="16"/>
  <c r="J1938" i="16"/>
  <c r="N2003" i="16"/>
  <c r="F2003" i="16"/>
  <c r="P2003" i="16"/>
  <c r="G2003" i="16"/>
  <c r="O2003" i="16"/>
  <c r="E2003" i="16"/>
  <c r="M2003" i="16"/>
  <c r="K2003" i="16"/>
  <c r="J2003" i="16"/>
  <c r="I2003" i="16"/>
  <c r="H2003" i="16"/>
  <c r="L2003" i="16"/>
  <c r="L2029" i="16"/>
  <c r="P2029" i="16"/>
  <c r="G2029" i="16"/>
  <c r="O2029" i="16"/>
  <c r="F2029" i="16"/>
  <c r="N2029" i="16"/>
  <c r="E2029" i="16"/>
  <c r="I2029" i="16"/>
  <c r="H2029" i="16"/>
  <c r="J2029" i="16"/>
  <c r="M2116" i="16"/>
  <c r="E2116" i="16"/>
  <c r="O2116" i="16"/>
  <c r="F2116" i="16"/>
  <c r="N2116" i="16"/>
  <c r="L2116" i="16"/>
  <c r="I2116" i="16"/>
  <c r="H2116" i="16"/>
  <c r="G2116" i="16"/>
  <c r="K2116" i="16"/>
  <c r="J2116" i="16"/>
  <c r="L2269" i="16"/>
  <c r="N2269" i="16"/>
  <c r="E2269" i="16"/>
  <c r="M2269" i="16"/>
  <c r="K2269" i="16"/>
  <c r="G2269" i="16"/>
  <c r="F2269" i="16"/>
  <c r="T2269" i="16"/>
  <c r="P2269" i="16"/>
  <c r="O2269" i="16"/>
  <c r="J2269" i="16"/>
  <c r="I2269" i="16"/>
  <c r="H2269" i="16"/>
  <c r="K2286" i="16"/>
  <c r="P2286" i="16"/>
  <c r="G2286" i="16"/>
  <c r="O2286" i="16"/>
  <c r="F2286" i="16"/>
  <c r="N2286" i="16"/>
  <c r="E2286" i="16"/>
  <c r="I2286" i="16"/>
  <c r="H2286" i="16"/>
  <c r="J2286" i="16"/>
  <c r="K2310" i="16"/>
  <c r="O2310" i="16"/>
  <c r="F2310" i="16"/>
  <c r="N2310" i="16"/>
  <c r="E2310" i="16"/>
  <c r="M2310" i="16"/>
  <c r="H2310" i="16"/>
  <c r="G2310" i="16"/>
  <c r="T2310" i="16"/>
  <c r="P2310" i="16"/>
  <c r="L2310" i="16"/>
  <c r="J2310" i="16"/>
  <c r="I2310" i="16"/>
  <c r="N2323" i="16"/>
  <c r="F2323" i="16"/>
  <c r="P2323" i="16"/>
  <c r="G2323" i="16"/>
  <c r="O2323" i="16"/>
  <c r="E2323" i="16"/>
  <c r="M2323" i="16"/>
  <c r="I2323" i="16"/>
  <c r="H2323" i="16"/>
  <c r="L2323" i="16"/>
  <c r="K2323" i="16"/>
  <c r="J2323" i="16"/>
  <c r="L2373" i="16"/>
  <c r="O2373" i="16"/>
  <c r="F2373" i="16"/>
  <c r="N2373" i="16"/>
  <c r="E2373" i="16"/>
  <c r="M2373" i="16"/>
  <c r="I2373" i="16"/>
  <c r="H2373" i="16"/>
  <c r="G2373" i="16"/>
  <c r="J2373" i="16"/>
  <c r="N2451" i="16"/>
  <c r="F2451" i="16"/>
  <c r="P2451" i="16"/>
  <c r="G2451" i="16"/>
  <c r="O2451" i="16"/>
  <c r="E2451" i="16"/>
  <c r="M2451" i="16"/>
  <c r="K2451" i="16"/>
  <c r="J2451" i="16"/>
  <c r="T2451" i="16"/>
  <c r="L2451" i="16"/>
  <c r="I2451" i="16"/>
  <c r="H2451" i="16"/>
  <c r="K2454" i="16"/>
  <c r="T2454" i="16"/>
  <c r="H2454" i="16"/>
  <c r="P2454" i="16"/>
  <c r="G2454" i="16"/>
  <c r="O2454" i="16"/>
  <c r="F2454" i="16"/>
  <c r="N2454" i="16"/>
  <c r="L2454" i="16"/>
  <c r="J2454" i="16"/>
  <c r="I2454" i="16"/>
  <c r="E2454" i="16"/>
  <c r="M2454" i="16"/>
  <c r="K2527" i="16"/>
  <c r="J2527" i="16"/>
  <c r="H2527" i="16"/>
  <c r="T2527" i="16"/>
  <c r="G2527" i="16"/>
  <c r="P2527" i="16"/>
  <c r="F2527" i="16"/>
  <c r="L2527" i="16"/>
  <c r="I2527" i="16"/>
  <c r="M2527" i="16"/>
  <c r="E2527" i="16"/>
  <c r="N2527" i="16"/>
  <c r="L2574" i="16"/>
  <c r="K2574" i="16"/>
  <c r="O2574" i="16"/>
  <c r="E2574" i="16"/>
  <c r="N2574" i="16"/>
  <c r="M2574" i="16"/>
  <c r="T2574" i="16"/>
  <c r="P2574" i="16"/>
  <c r="F2574" i="16"/>
  <c r="H2574" i="16"/>
  <c r="G2574" i="16"/>
  <c r="K2631" i="16"/>
  <c r="J2631" i="16"/>
  <c r="O2631" i="16"/>
  <c r="E2631" i="16"/>
  <c r="N2631" i="16"/>
  <c r="M2631" i="16"/>
  <c r="I2631" i="16"/>
  <c r="H2631" i="16"/>
  <c r="G2631" i="16"/>
  <c r="F2631" i="16"/>
  <c r="P2631" i="16"/>
  <c r="L2631" i="16"/>
  <c r="M2661" i="16"/>
  <c r="E2661" i="16"/>
  <c r="L2661" i="16"/>
  <c r="T2661" i="16"/>
  <c r="G2661" i="16"/>
  <c r="P2661" i="16"/>
  <c r="F2661" i="16"/>
  <c r="O2661" i="16"/>
  <c r="I2661" i="16"/>
  <c r="H2661" i="16"/>
  <c r="K2661" i="16"/>
  <c r="J2661" i="16"/>
  <c r="N2661" i="16"/>
  <c r="L2702" i="16"/>
  <c r="K2702" i="16"/>
  <c r="O2702" i="16"/>
  <c r="E2702" i="16"/>
  <c r="N2702" i="16"/>
  <c r="M2702" i="16"/>
  <c r="T2702" i="16"/>
  <c r="P2702" i="16"/>
  <c r="I2702" i="16"/>
  <c r="F2702" i="16"/>
  <c r="H2702" i="16"/>
  <c r="G2702" i="16"/>
  <c r="K2839" i="16"/>
  <c r="J2839" i="16"/>
  <c r="T2839" i="16"/>
  <c r="G2839" i="16"/>
  <c r="P2839" i="16"/>
  <c r="F2839" i="16"/>
  <c r="O2839" i="16"/>
  <c r="E2839" i="16"/>
  <c r="H2839" i="16"/>
  <c r="I2839" i="16"/>
  <c r="N2839" i="16"/>
  <c r="M2839" i="16"/>
  <c r="L2839" i="16"/>
  <c r="O2851" i="16"/>
  <c r="G2851" i="16"/>
  <c r="N2851" i="16"/>
  <c r="F2851" i="16"/>
  <c r="J2851" i="16"/>
  <c r="I2851" i="16"/>
  <c r="H2851" i="16"/>
  <c r="M2851" i="16"/>
  <c r="L2851" i="16"/>
  <c r="E2851" i="16"/>
  <c r="T2851" i="16"/>
  <c r="P2851" i="16"/>
  <c r="K2851" i="16"/>
  <c r="K2911" i="16"/>
  <c r="J2911" i="16"/>
  <c r="H2911" i="16"/>
  <c r="T2911" i="16"/>
  <c r="G2911" i="16"/>
  <c r="P2911" i="16"/>
  <c r="F2911" i="16"/>
  <c r="E2911" i="16"/>
  <c r="O2911" i="16"/>
  <c r="M2911" i="16"/>
  <c r="L2911" i="16"/>
  <c r="I2911" i="16"/>
  <c r="N2911" i="16"/>
  <c r="N3060" i="16"/>
  <c r="F3060" i="16"/>
  <c r="M3060" i="16"/>
  <c r="E3060" i="16"/>
  <c r="T3060" i="16"/>
  <c r="G3060" i="16"/>
  <c r="P3060" i="16"/>
  <c r="O3060" i="16"/>
  <c r="H3060" i="16"/>
  <c r="I3060" i="16"/>
  <c r="L3060" i="16"/>
  <c r="K3060" i="16"/>
  <c r="J3060" i="16"/>
  <c r="L3174" i="16"/>
  <c r="K3174" i="16"/>
  <c r="H3174" i="16"/>
  <c r="T3174" i="16"/>
  <c r="G3174" i="16"/>
  <c r="P3174" i="16"/>
  <c r="F3174" i="16"/>
  <c r="E3174" i="16"/>
  <c r="O3174" i="16"/>
  <c r="J3174" i="16"/>
  <c r="I3174" i="16"/>
  <c r="N3174" i="16"/>
  <c r="M3174" i="16"/>
  <c r="N3212" i="16"/>
  <c r="F3212" i="16"/>
  <c r="M3212" i="16"/>
  <c r="E3212" i="16"/>
  <c r="J3212" i="16"/>
  <c r="I3212" i="16"/>
  <c r="H3212" i="16"/>
  <c r="T3212" i="16"/>
  <c r="O3212" i="16"/>
  <c r="K3212" i="16"/>
  <c r="G3212" i="16"/>
  <c r="P3212" i="16"/>
  <c r="L3212" i="16"/>
  <c r="K3295" i="16"/>
  <c r="J3295" i="16"/>
  <c r="H3295" i="16"/>
  <c r="T3295" i="16"/>
  <c r="G3295" i="16"/>
  <c r="P3295" i="16"/>
  <c r="F3295" i="16"/>
  <c r="I3295" i="16"/>
  <c r="E3295" i="16"/>
  <c r="M3295" i="16"/>
  <c r="L3295" i="16"/>
  <c r="O3295" i="16"/>
  <c r="N3295" i="16"/>
  <c r="K3399" i="16"/>
  <c r="J3399" i="16"/>
  <c r="O3399" i="16"/>
  <c r="E3399" i="16"/>
  <c r="N3399" i="16"/>
  <c r="M3399" i="16"/>
  <c r="I3399" i="16"/>
  <c r="H3399" i="16"/>
  <c r="F3399" i="16"/>
  <c r="T3399" i="16"/>
  <c r="P3399" i="16"/>
  <c r="L3399" i="16"/>
  <c r="G3399" i="16"/>
  <c r="N3524" i="16"/>
  <c r="F3524" i="16"/>
  <c r="M3524" i="16"/>
  <c r="E3524" i="16"/>
  <c r="I3524" i="16"/>
  <c r="H3524" i="16"/>
  <c r="T3524" i="16"/>
  <c r="G3524" i="16"/>
  <c r="K3524" i="16"/>
  <c r="J3524" i="16"/>
  <c r="P3524" i="16"/>
  <c r="O3524" i="16"/>
  <c r="L3524" i="16"/>
  <c r="O3531" i="16"/>
  <c r="G3531" i="16"/>
  <c r="N3531" i="16"/>
  <c r="F3531" i="16"/>
  <c r="T3531" i="16"/>
  <c r="E3531" i="16"/>
  <c r="P3531" i="16"/>
  <c r="M3531" i="16"/>
  <c r="H3531" i="16"/>
  <c r="I3531" i="16"/>
  <c r="L3531" i="16"/>
  <c r="K3531" i="16"/>
  <c r="J3531" i="16"/>
  <c r="N3958" i="16"/>
  <c r="F3958" i="16"/>
  <c r="L3958" i="16"/>
  <c r="K3958" i="16"/>
  <c r="P3958" i="16"/>
  <c r="O3958" i="16"/>
  <c r="M3958" i="16"/>
  <c r="H3958" i="16"/>
  <c r="G3958" i="16"/>
  <c r="J3958" i="16"/>
  <c r="I3958" i="16"/>
  <c r="E3958" i="16"/>
  <c r="T3958" i="16"/>
  <c r="O3989" i="16"/>
  <c r="G3989" i="16"/>
  <c r="P3989" i="16"/>
  <c r="F3989" i="16"/>
  <c r="N3989" i="16"/>
  <c r="E3989" i="16"/>
  <c r="T3989" i="16"/>
  <c r="M3989" i="16"/>
  <c r="J3989" i="16"/>
  <c r="I3989" i="16"/>
  <c r="H3989" i="16"/>
  <c r="L3989" i="16"/>
  <c r="K3989" i="16"/>
  <c r="M3999" i="16"/>
  <c r="E3999" i="16"/>
  <c r="O3999" i="16"/>
  <c r="F3999" i="16"/>
  <c r="N3999" i="16"/>
  <c r="T3999" i="16"/>
  <c r="P3999" i="16"/>
  <c r="L3999" i="16"/>
  <c r="H3999" i="16"/>
  <c r="G3999" i="16"/>
  <c r="I3999" i="16"/>
  <c r="K3999" i="16"/>
  <c r="J3999" i="16"/>
  <c r="O4379" i="16"/>
  <c r="G4379" i="16"/>
  <c r="T4379" i="16"/>
  <c r="H4379" i="16"/>
  <c r="P4379" i="16"/>
  <c r="E4379" i="16"/>
  <c r="N4379" i="16"/>
  <c r="F4379" i="16"/>
  <c r="K4379" i="16"/>
  <c r="J4379" i="16"/>
  <c r="I4379" i="16"/>
  <c r="M4379" i="16"/>
  <c r="L4379" i="16"/>
  <c r="M4629" i="16"/>
  <c r="E4629" i="16"/>
  <c r="P4629" i="16"/>
  <c r="G4629" i="16"/>
  <c r="O4629" i="16"/>
  <c r="F4629" i="16"/>
  <c r="N4629" i="16"/>
  <c r="I4629" i="16"/>
  <c r="H4629" i="16"/>
  <c r="J4629" i="16"/>
  <c r="T4629" i="16"/>
  <c r="L4629" i="16"/>
  <c r="K4629" i="16"/>
  <c r="K4703" i="16"/>
  <c r="M4703" i="16"/>
  <c r="L4703" i="16"/>
  <c r="J4703" i="16"/>
  <c r="T4703" i="16"/>
  <c r="E4703" i="16"/>
  <c r="P4703" i="16"/>
  <c r="O4703" i="16"/>
  <c r="F4703" i="16"/>
  <c r="G4703" i="16"/>
  <c r="H4703" i="16"/>
  <c r="I4703" i="16"/>
  <c r="N4703" i="16"/>
  <c r="I1354" i="15"/>
  <c r="Q1354" i="15"/>
  <c r="Y1354" i="15"/>
  <c r="I1358" i="15"/>
  <c r="Q1358" i="15"/>
  <c r="Y1358" i="15"/>
  <c r="I1362" i="15"/>
  <c r="Q1362" i="15"/>
  <c r="Y1362" i="15"/>
  <c r="I1366" i="15"/>
  <c r="Q1366" i="15"/>
  <c r="Y1366" i="15"/>
  <c r="I1370" i="15"/>
  <c r="Q1370" i="15"/>
  <c r="Y1370" i="15"/>
  <c r="I1374" i="15"/>
  <c r="Q1374" i="15"/>
  <c r="Y1374" i="15"/>
  <c r="I1378" i="15"/>
  <c r="Q1378" i="15"/>
  <c r="Y1378" i="15"/>
  <c r="I1382" i="15"/>
  <c r="Q1382" i="15"/>
  <c r="Y1382" i="15"/>
  <c r="I1386" i="15"/>
  <c r="Q1386" i="15"/>
  <c r="Y1386" i="15"/>
  <c r="I1390" i="15"/>
  <c r="Q1390" i="15"/>
  <c r="Y1390" i="15"/>
  <c r="I1394" i="15"/>
  <c r="Q1394" i="15"/>
  <c r="Y1394" i="15"/>
  <c r="I1398" i="15"/>
  <c r="Q1398" i="15"/>
  <c r="Y1398" i="15"/>
  <c r="I1402" i="15"/>
  <c r="Q1402" i="15"/>
  <c r="Y1402" i="15"/>
  <c r="I1406" i="15"/>
  <c r="Q1406" i="15"/>
  <c r="Y1406" i="15"/>
  <c r="I1410" i="15"/>
  <c r="Q1410" i="15"/>
  <c r="Y1410" i="15"/>
  <c r="I1414" i="15"/>
  <c r="Q1414" i="15"/>
  <c r="Y1414" i="15"/>
  <c r="I1418" i="15"/>
  <c r="Q1418" i="15"/>
  <c r="Y1418" i="15"/>
  <c r="I1422" i="15"/>
  <c r="Q1422" i="15"/>
  <c r="Y1422" i="15"/>
  <c r="I1426" i="15"/>
  <c r="Q1426" i="15"/>
  <c r="Y1426" i="15"/>
  <c r="I1430" i="15"/>
  <c r="Q1430" i="15"/>
  <c r="Y1430" i="15"/>
  <c r="I1434" i="15"/>
  <c r="Q1434" i="15"/>
  <c r="Y1434" i="15"/>
  <c r="I1438" i="15"/>
  <c r="Q1438" i="15"/>
  <c r="Y1438" i="15"/>
  <c r="I1442" i="15"/>
  <c r="Q1442" i="15"/>
  <c r="Y1442" i="15"/>
  <c r="I1446" i="15"/>
  <c r="Q1446" i="15"/>
  <c r="Y1446" i="15"/>
  <c r="I1450" i="15"/>
  <c r="Q1450" i="15"/>
  <c r="Y1450" i="15"/>
  <c r="I1454" i="15"/>
  <c r="Q1454" i="15"/>
  <c r="Y1454" i="15"/>
  <c r="I1458" i="15"/>
  <c r="Q1458" i="15"/>
  <c r="Y1458" i="15"/>
  <c r="I1462" i="15"/>
  <c r="Q1462" i="15"/>
  <c r="Y1462" i="15"/>
  <c r="I1466" i="15"/>
  <c r="Q1466" i="15"/>
  <c r="Y1466" i="15"/>
  <c r="I1470" i="15"/>
  <c r="Q1470" i="15"/>
  <c r="Y1470" i="15"/>
  <c r="I1474" i="15"/>
  <c r="Q1474" i="15"/>
  <c r="Y1474" i="15"/>
  <c r="I1478" i="15"/>
  <c r="Q1478" i="15"/>
  <c r="Y1478" i="15"/>
  <c r="I1482" i="15"/>
  <c r="Q1482" i="15"/>
  <c r="Y1482" i="15"/>
  <c r="I1486" i="15"/>
  <c r="Q1486" i="15"/>
  <c r="Y1486" i="15"/>
  <c r="I1490" i="15"/>
  <c r="Q1490" i="15"/>
  <c r="Y1490" i="15"/>
  <c r="I1494" i="15"/>
  <c r="Q1494" i="15"/>
  <c r="Y1494" i="15"/>
  <c r="I1498" i="15"/>
  <c r="Q1498" i="15"/>
  <c r="Y1498" i="15"/>
  <c r="I1502" i="15"/>
  <c r="Q1502" i="15"/>
  <c r="Y1502" i="15"/>
  <c r="I1506" i="15"/>
  <c r="Q1506" i="15"/>
  <c r="Y1506" i="15"/>
  <c r="I1510" i="15"/>
  <c r="Q1510" i="15"/>
  <c r="Y1510" i="15"/>
  <c r="I1514" i="15"/>
  <c r="Q1514" i="15"/>
  <c r="Y1514" i="15"/>
  <c r="I1518" i="15"/>
  <c r="Q1518" i="15"/>
  <c r="Y1518" i="15"/>
  <c r="I1522" i="15"/>
  <c r="Q1522" i="15"/>
  <c r="Y1522" i="15"/>
  <c r="I1526" i="15"/>
  <c r="Q1526" i="15"/>
  <c r="Y1526" i="15"/>
  <c r="I1530" i="15"/>
  <c r="Q1530" i="15"/>
  <c r="Y1530" i="15"/>
  <c r="I1534" i="15"/>
  <c r="Q1534" i="15"/>
  <c r="Y1534" i="15"/>
  <c r="I1538" i="15"/>
  <c r="Q1538" i="15"/>
  <c r="Y1538" i="15"/>
  <c r="I1542" i="15"/>
  <c r="Q1542" i="15"/>
  <c r="Y1542" i="15"/>
  <c r="I1546" i="15"/>
  <c r="Q1546" i="15"/>
  <c r="Y1546" i="15"/>
  <c r="I1550" i="15"/>
  <c r="Q1550" i="15"/>
  <c r="Y1550" i="15"/>
  <c r="K1553" i="15"/>
  <c r="S1553" i="15"/>
  <c r="AA1553" i="15"/>
  <c r="I1554" i="15"/>
  <c r="Q1554" i="15"/>
  <c r="Y1554" i="15"/>
  <c r="AG1554" i="15"/>
  <c r="K1557" i="15"/>
  <c r="S1557" i="15"/>
  <c r="AA1557" i="15"/>
  <c r="I1558" i="15"/>
  <c r="Q1558" i="15"/>
  <c r="Y1558" i="15"/>
  <c r="AG1558" i="15"/>
  <c r="K1561" i="15"/>
  <c r="S1561" i="15"/>
  <c r="AA1561" i="15"/>
  <c r="I1562" i="15"/>
  <c r="Q1562" i="15"/>
  <c r="Y1562" i="15"/>
  <c r="AG1562" i="15"/>
  <c r="K1565" i="15"/>
  <c r="S1565" i="15"/>
  <c r="AA1565" i="15"/>
  <c r="I1566" i="15"/>
  <c r="Q1566" i="15"/>
  <c r="Y1566" i="15"/>
  <c r="AG1566" i="15"/>
  <c r="K1569" i="15"/>
  <c r="S1569" i="15"/>
  <c r="AA1569" i="15"/>
  <c r="I1570" i="15"/>
  <c r="Q1570" i="15"/>
  <c r="Y1570" i="15"/>
  <c r="AG1570" i="15"/>
  <c r="K1573" i="15"/>
  <c r="S1573" i="15"/>
  <c r="AA1573" i="15"/>
  <c r="I1574" i="15"/>
  <c r="Q1574" i="15"/>
  <c r="Y1574" i="15"/>
  <c r="AG1574" i="15"/>
  <c r="K1577" i="15"/>
  <c r="S1577" i="15"/>
  <c r="AA1577" i="15"/>
  <c r="I1578" i="15"/>
  <c r="Q1578" i="15"/>
  <c r="Y1578" i="15"/>
  <c r="AG1578" i="15"/>
  <c r="K1581" i="15"/>
  <c r="S1581" i="15"/>
  <c r="AA1581" i="15"/>
  <c r="I1582" i="15"/>
  <c r="Q1582" i="15"/>
  <c r="Y1582" i="15"/>
  <c r="AG1582" i="15"/>
  <c r="K1585" i="15"/>
  <c r="S1585" i="15"/>
  <c r="AA1585" i="15"/>
  <c r="I1586" i="15"/>
  <c r="Q1586" i="15"/>
  <c r="Y1586" i="15"/>
  <c r="AG1586" i="15"/>
  <c r="K1589" i="15"/>
  <c r="S1589" i="15"/>
  <c r="AA1589" i="15"/>
  <c r="I1590" i="15"/>
  <c r="Q1590" i="15"/>
  <c r="Y1590" i="15"/>
  <c r="AG1590" i="15"/>
  <c r="K1593" i="15"/>
  <c r="S1593" i="15"/>
  <c r="AA1593" i="15"/>
  <c r="I1594" i="15"/>
  <c r="Q1594" i="15"/>
  <c r="Y1594" i="15"/>
  <c r="AG1594" i="15"/>
  <c r="K1597" i="15"/>
  <c r="S1597" i="15"/>
  <c r="AA1597" i="15"/>
  <c r="I1598" i="15"/>
  <c r="Q1598" i="15"/>
  <c r="Y1598" i="15"/>
  <c r="AG1598" i="15"/>
  <c r="K1601" i="15"/>
  <c r="S1601" i="15"/>
  <c r="AA1601" i="15"/>
  <c r="I1602" i="15"/>
  <c r="Q1602" i="15"/>
  <c r="Y1602" i="15"/>
  <c r="AG1602" i="15"/>
  <c r="K1605" i="15"/>
  <c r="S1605" i="15"/>
  <c r="AA1605" i="15"/>
  <c r="I1606" i="15"/>
  <c r="Q1606" i="15"/>
  <c r="Y1606" i="15"/>
  <c r="AG1606" i="15"/>
  <c r="K1609" i="15"/>
  <c r="S1609" i="15"/>
  <c r="AA1609" i="15"/>
  <c r="I1610" i="15"/>
  <c r="Q1610" i="15"/>
  <c r="Y1610" i="15"/>
  <c r="AG1610" i="15"/>
  <c r="K1613" i="15"/>
  <c r="S1613" i="15"/>
  <c r="AA1613" i="15"/>
  <c r="I1614" i="15"/>
  <c r="Q1614" i="15"/>
  <c r="Y1614" i="15"/>
  <c r="AG1614" i="15"/>
  <c r="K1617" i="15"/>
  <c r="S1617" i="15"/>
  <c r="AA1617" i="15"/>
  <c r="I1618" i="15"/>
  <c r="Q1618" i="15"/>
  <c r="Y1618" i="15"/>
  <c r="AG1618" i="15"/>
  <c r="K1621" i="15"/>
  <c r="S1621" i="15"/>
  <c r="AA1621" i="15"/>
  <c r="I1622" i="15"/>
  <c r="Q1622" i="15"/>
  <c r="Y1622" i="15"/>
  <c r="AG1622" i="15"/>
  <c r="K1625" i="15"/>
  <c r="S1625" i="15"/>
  <c r="AA1625" i="15"/>
  <c r="I1626" i="15"/>
  <c r="Q1626" i="15"/>
  <c r="Y1626" i="15"/>
  <c r="AG1626" i="15"/>
  <c r="K1629" i="15"/>
  <c r="S1629" i="15"/>
  <c r="AA1629" i="15"/>
  <c r="I1630" i="15"/>
  <c r="Q1630" i="15"/>
  <c r="Y1630" i="15"/>
  <c r="AG1630" i="15"/>
  <c r="K1633" i="15"/>
  <c r="S1633" i="15"/>
  <c r="AA1633" i="15"/>
  <c r="I1634" i="15"/>
  <c r="Q1634" i="15"/>
  <c r="Y1634" i="15"/>
  <c r="AG1634" i="15"/>
  <c r="K1637" i="15"/>
  <c r="S1637" i="15"/>
  <c r="AA1637" i="15"/>
  <c r="I1638" i="15"/>
  <c r="Q1638" i="15"/>
  <c r="Y1638" i="15"/>
  <c r="AG1638" i="15"/>
  <c r="K1641" i="15"/>
  <c r="S1641" i="15"/>
  <c r="AA1641" i="15"/>
  <c r="I1642" i="15"/>
  <c r="Q1642" i="15"/>
  <c r="Y1642" i="15"/>
  <c r="AG1642" i="15"/>
  <c r="K1645" i="15"/>
  <c r="S1645" i="15"/>
  <c r="AA1645" i="15"/>
  <c r="I1646" i="15"/>
  <c r="Q1646" i="15"/>
  <c r="Y1646" i="15"/>
  <c r="AG1646" i="15"/>
  <c r="K1649" i="15"/>
  <c r="S1649" i="15"/>
  <c r="AA1649" i="15"/>
  <c r="I1650" i="15"/>
  <c r="Q1650" i="15"/>
  <c r="Y1650" i="15"/>
  <c r="AG1650" i="15"/>
  <c r="K1653" i="15"/>
  <c r="S1653" i="15"/>
  <c r="AA1653" i="15"/>
  <c r="I1654" i="15"/>
  <c r="Q1654" i="15"/>
  <c r="Y1654" i="15"/>
  <c r="AG1654" i="15"/>
  <c r="K1657" i="15"/>
  <c r="S1657" i="15"/>
  <c r="AA1657" i="15"/>
  <c r="I1658" i="15"/>
  <c r="Q1658" i="15"/>
  <c r="Y1658" i="15"/>
  <c r="AG1658" i="15"/>
  <c r="K1661" i="15"/>
  <c r="S1661" i="15"/>
  <c r="AA1661" i="15"/>
  <c r="I1662" i="15"/>
  <c r="Q1662" i="15"/>
  <c r="Y1662" i="15"/>
  <c r="AG1662" i="15"/>
  <c r="K1665" i="15"/>
  <c r="S1665" i="15"/>
  <c r="AA1665" i="15"/>
  <c r="I1666" i="15"/>
  <c r="Q1666" i="15"/>
  <c r="Y1666" i="15"/>
  <c r="AG1666" i="15"/>
  <c r="K1669" i="15"/>
  <c r="S1669" i="15"/>
  <c r="AA1669" i="15"/>
  <c r="I1670" i="15"/>
  <c r="Q1670" i="15"/>
  <c r="Y1670" i="15"/>
  <c r="AG1670" i="15"/>
  <c r="K1673" i="15"/>
  <c r="S1673" i="15"/>
  <c r="AA1673" i="15"/>
  <c r="I1674" i="15"/>
  <c r="Q1674" i="15"/>
  <c r="Y1674" i="15"/>
  <c r="AG1674" i="15"/>
  <c r="K1677" i="15"/>
  <c r="S1677" i="15"/>
  <c r="AA1677" i="15"/>
  <c r="I1678" i="15"/>
  <c r="Q1678" i="15"/>
  <c r="Y1678" i="15"/>
  <c r="AG1678" i="15"/>
  <c r="K1681" i="15"/>
  <c r="S1681" i="15"/>
  <c r="AA1681" i="15"/>
  <c r="I1682" i="15"/>
  <c r="Q1682" i="15"/>
  <c r="Y1682" i="15"/>
  <c r="AG1682" i="15"/>
  <c r="K1685" i="15"/>
  <c r="S1685" i="15"/>
  <c r="AA1685" i="15"/>
  <c r="I1686" i="15"/>
  <c r="Q1686" i="15"/>
  <c r="Y1686" i="15"/>
  <c r="AG1686" i="15"/>
  <c r="K1689" i="15"/>
  <c r="S1689" i="15"/>
  <c r="AA1689" i="15"/>
  <c r="I1690" i="15"/>
  <c r="Q1690" i="15"/>
  <c r="Y1690" i="15"/>
  <c r="AG1690" i="15"/>
  <c r="K1693" i="15"/>
  <c r="S1693" i="15"/>
  <c r="AA1693" i="15"/>
  <c r="I1694" i="15"/>
  <c r="Q1694" i="15"/>
  <c r="Y1694" i="15"/>
  <c r="AG1694" i="15"/>
  <c r="K1697" i="15"/>
  <c r="S1697" i="15"/>
  <c r="AA1697" i="15"/>
  <c r="I1698" i="15"/>
  <c r="Q1698" i="15"/>
  <c r="Y1698" i="15"/>
  <c r="AG1698" i="15"/>
  <c r="K1701" i="15"/>
  <c r="S1701" i="15"/>
  <c r="AA1701" i="15"/>
  <c r="I1702" i="15"/>
  <c r="Q1702" i="15"/>
  <c r="Y1702" i="15"/>
  <c r="AG1702" i="15"/>
  <c r="K1705" i="15"/>
  <c r="S1705" i="15"/>
  <c r="AA1705" i="15"/>
  <c r="I1706" i="15"/>
  <c r="Q1706" i="15"/>
  <c r="Y1706" i="15"/>
  <c r="AG1706" i="15"/>
  <c r="K1709" i="15"/>
  <c r="S1709" i="15"/>
  <c r="AA1709" i="15"/>
  <c r="I1710" i="15"/>
  <c r="Q1710" i="15"/>
  <c r="Y1710" i="15"/>
  <c r="AG1710" i="15"/>
  <c r="K1713" i="15"/>
  <c r="S1713" i="15"/>
  <c r="AA1713" i="15"/>
  <c r="I1714" i="15"/>
  <c r="Q1714" i="15"/>
  <c r="Y1714" i="15"/>
  <c r="AG1714" i="15"/>
  <c r="K1717" i="15"/>
  <c r="S1717" i="15"/>
  <c r="AA1717" i="15"/>
  <c r="I1718" i="15"/>
  <c r="Q1718" i="15"/>
  <c r="Y1718" i="15"/>
  <c r="AG1718" i="15"/>
  <c r="K1721" i="15"/>
  <c r="S1721" i="15"/>
  <c r="AA1721" i="15"/>
  <c r="I1722" i="15"/>
  <c r="Q1722" i="15"/>
  <c r="Y1722" i="15"/>
  <c r="AG1722" i="15"/>
  <c r="K1725" i="15"/>
  <c r="S1725" i="15"/>
  <c r="AA1725" i="15"/>
  <c r="I1726" i="15"/>
  <c r="Q1726" i="15"/>
  <c r="Y1726" i="15"/>
  <c r="AG1726" i="15"/>
  <c r="K1729" i="15"/>
  <c r="S1729" i="15"/>
  <c r="AA1729" i="15"/>
  <c r="I1730" i="15"/>
  <c r="Q1730" i="15"/>
  <c r="Y1730" i="15"/>
  <c r="AG1730" i="15"/>
  <c r="K1733" i="15"/>
  <c r="S1733" i="15"/>
  <c r="AA1733" i="15"/>
  <c r="I1734" i="15"/>
  <c r="Q1734" i="15"/>
  <c r="Y1734" i="15"/>
  <c r="AG1734" i="15"/>
  <c r="K1737" i="15"/>
  <c r="S1737" i="15"/>
  <c r="AA1737" i="15"/>
  <c r="I1738" i="15"/>
  <c r="Q1738" i="15"/>
  <c r="Y1738" i="15"/>
  <c r="AG1738" i="15"/>
  <c r="K1741" i="15"/>
  <c r="S1741" i="15"/>
  <c r="AA1741" i="15"/>
  <c r="I1742" i="15"/>
  <c r="Q1742" i="15"/>
  <c r="Y1742" i="15"/>
  <c r="AG1742" i="15"/>
  <c r="K1745" i="15"/>
  <c r="S1745" i="15"/>
  <c r="AA1745" i="15"/>
  <c r="I1746" i="15"/>
  <c r="Q1746" i="15"/>
  <c r="Y1746" i="15"/>
  <c r="AG1746" i="15"/>
  <c r="K1749" i="15"/>
  <c r="S1749" i="15"/>
  <c r="AA1749" i="15"/>
  <c r="I1750" i="15"/>
  <c r="Q1750" i="15"/>
  <c r="Y1750" i="15"/>
  <c r="AG1750" i="15"/>
  <c r="K1753" i="15"/>
  <c r="S1753" i="15"/>
  <c r="AA1753" i="15"/>
  <c r="I1754" i="15"/>
  <c r="Q1754" i="15"/>
  <c r="Y1754" i="15"/>
  <c r="AG1754" i="15"/>
  <c r="K1757" i="15"/>
  <c r="S1757" i="15"/>
  <c r="AA1757" i="15"/>
  <c r="I1758" i="15"/>
  <c r="Q1758" i="15"/>
  <c r="Y1758" i="15"/>
  <c r="AG1758" i="15"/>
  <c r="K1761" i="15"/>
  <c r="S1761" i="15"/>
  <c r="AA1761" i="15"/>
  <c r="I1762" i="15"/>
  <c r="Q1762" i="15"/>
  <c r="Y1762" i="15"/>
  <c r="AG1762" i="15"/>
  <c r="K1765" i="15"/>
  <c r="S1765" i="15"/>
  <c r="AA1765" i="15"/>
  <c r="I1766" i="15"/>
  <c r="Q1766" i="15"/>
  <c r="Y1766" i="15"/>
  <c r="AG1766" i="15"/>
  <c r="K1769" i="15"/>
  <c r="S1769" i="15"/>
  <c r="AA1769" i="15"/>
  <c r="I1770" i="15"/>
  <c r="Q1770" i="15"/>
  <c r="Y1770" i="15"/>
  <c r="AG1770" i="15"/>
  <c r="K1773" i="15"/>
  <c r="S1773" i="15"/>
  <c r="AA1773" i="15"/>
  <c r="I1774" i="15"/>
  <c r="Q1774" i="15"/>
  <c r="Y1774" i="15"/>
  <c r="AG1774" i="15"/>
  <c r="K1777" i="15"/>
  <c r="S1777" i="15"/>
  <c r="AA1777" i="15"/>
  <c r="I1778" i="15"/>
  <c r="Q1778" i="15"/>
  <c r="Y1778" i="15"/>
  <c r="AG1778" i="15"/>
  <c r="K1781" i="15"/>
  <c r="S1781" i="15"/>
  <c r="AA1781" i="15"/>
  <c r="I1782" i="15"/>
  <c r="Q1782" i="15"/>
  <c r="Y1782" i="15"/>
  <c r="AG1782" i="15"/>
  <c r="K1785" i="15"/>
  <c r="S1785" i="15"/>
  <c r="AA1785" i="15"/>
  <c r="I1786" i="15"/>
  <c r="Q1786" i="15"/>
  <c r="Y1786" i="15"/>
  <c r="AG1786" i="15"/>
  <c r="K1789" i="15"/>
  <c r="S1789" i="15"/>
  <c r="AA1789" i="15"/>
  <c r="I1790" i="15"/>
  <c r="Q1790" i="15"/>
  <c r="Y1790" i="15"/>
  <c r="AG1790" i="15"/>
  <c r="K1793" i="15"/>
  <c r="S1793" i="15"/>
  <c r="AA1793" i="15"/>
  <c r="I1794" i="15"/>
  <c r="Q1794" i="15"/>
  <c r="Y1794" i="15"/>
  <c r="AG1794" i="15"/>
  <c r="K1797" i="15"/>
  <c r="S1797" i="15"/>
  <c r="AA1797" i="15"/>
  <c r="I1798" i="15"/>
  <c r="Q1798" i="15"/>
  <c r="Y1798" i="15"/>
  <c r="AG1798" i="15"/>
  <c r="K1801" i="15"/>
  <c r="S1801" i="15"/>
  <c r="AA1801" i="15"/>
  <c r="I1802" i="15"/>
  <c r="Q1802" i="15"/>
  <c r="Y1802" i="15"/>
  <c r="AG1802" i="15"/>
  <c r="K1805" i="15"/>
  <c r="S1805" i="15"/>
  <c r="AA1805" i="15"/>
  <c r="I1806" i="15"/>
  <c r="Q1806" i="15"/>
  <c r="Y1806" i="15"/>
  <c r="AG1806" i="15"/>
  <c r="K1809" i="15"/>
  <c r="S1809" i="15"/>
  <c r="AA1809" i="15"/>
  <c r="I1810" i="15"/>
  <c r="Q1810" i="15"/>
  <c r="Y1810" i="15"/>
  <c r="AG1810" i="15"/>
  <c r="K1813" i="15"/>
  <c r="S1813" i="15"/>
  <c r="AA1813" i="15"/>
  <c r="I1814" i="15"/>
  <c r="Q1814" i="15"/>
  <c r="Y1814" i="15"/>
  <c r="AG1814" i="15"/>
  <c r="K1817" i="15"/>
  <c r="S1817" i="15"/>
  <c r="AA1817" i="15"/>
  <c r="I1818" i="15"/>
  <c r="Q1818" i="15"/>
  <c r="Y1818" i="15"/>
  <c r="AG1818" i="15"/>
  <c r="K1821" i="15"/>
  <c r="S1821" i="15"/>
  <c r="AA1821" i="15"/>
  <c r="I1822" i="15"/>
  <c r="Q1822" i="15"/>
  <c r="Y1822" i="15"/>
  <c r="AG1822" i="15"/>
  <c r="K1825" i="15"/>
  <c r="S1825" i="15"/>
  <c r="AA1825" i="15"/>
  <c r="I1826" i="15"/>
  <c r="Q1826" i="15"/>
  <c r="Y1826" i="15"/>
  <c r="AG1826" i="15"/>
  <c r="K1829" i="15"/>
  <c r="S1829" i="15"/>
  <c r="AA1829" i="15"/>
  <c r="I1830" i="15"/>
  <c r="Q1830" i="15"/>
  <c r="Y1830" i="15"/>
  <c r="AG1830" i="15"/>
  <c r="K1833" i="15"/>
  <c r="S1833" i="15"/>
  <c r="AA1833" i="15"/>
  <c r="I1834" i="15"/>
  <c r="Q1834" i="15"/>
  <c r="Y1834" i="15"/>
  <c r="AG1834" i="15"/>
  <c r="K1837" i="15"/>
  <c r="S1837" i="15"/>
  <c r="AA1837" i="15"/>
  <c r="I1838" i="15"/>
  <c r="Q1838" i="15"/>
  <c r="Y1838" i="15"/>
  <c r="AG1838" i="15"/>
  <c r="K1841" i="15"/>
  <c r="S1841" i="15"/>
  <c r="AA1841" i="15"/>
  <c r="I1842" i="15"/>
  <c r="Q1842" i="15"/>
  <c r="Y1842" i="15"/>
  <c r="AG1842" i="15"/>
  <c r="K1845" i="15"/>
  <c r="S1845" i="15"/>
  <c r="AA1845" i="15"/>
  <c r="I1846" i="15"/>
  <c r="Q1846" i="15"/>
  <c r="Y1846" i="15"/>
  <c r="AG1846" i="15"/>
  <c r="K1849" i="15"/>
  <c r="S1849" i="15"/>
  <c r="AA1849" i="15"/>
  <c r="I1850" i="15"/>
  <c r="Q1850" i="15"/>
  <c r="Y1850" i="15"/>
  <c r="AG1850" i="15"/>
  <c r="K1853" i="15"/>
  <c r="S1853" i="15"/>
  <c r="AA1853" i="15"/>
  <c r="I1854" i="15"/>
  <c r="Q1854" i="15"/>
  <c r="Y1854" i="15"/>
  <c r="AG1854" i="15"/>
  <c r="K1857" i="15"/>
  <c r="S1857" i="15"/>
  <c r="AA1857" i="15"/>
  <c r="I1858" i="15"/>
  <c r="Q1858" i="15"/>
  <c r="Y1858" i="15"/>
  <c r="AG1858" i="15"/>
  <c r="K1861" i="15"/>
  <c r="S1861" i="15"/>
  <c r="AA1861" i="15"/>
  <c r="I1862" i="15"/>
  <c r="Q1862" i="15"/>
  <c r="Y1862" i="15"/>
  <c r="AG1862" i="15"/>
  <c r="K1865" i="15"/>
  <c r="S1865" i="15"/>
  <c r="AA1865" i="15"/>
  <c r="I1866" i="15"/>
  <c r="Q1866" i="15"/>
  <c r="Y1866" i="15"/>
  <c r="AG1866" i="15"/>
  <c r="K1869" i="15"/>
  <c r="S1869" i="15"/>
  <c r="AA1869" i="15"/>
  <c r="I1870" i="15"/>
  <c r="Q1870" i="15"/>
  <c r="Y1870" i="15"/>
  <c r="AG1870" i="15"/>
  <c r="K1873" i="15"/>
  <c r="S1873" i="15"/>
  <c r="AA1873" i="15"/>
  <c r="I1874" i="15"/>
  <c r="Q1874" i="15"/>
  <c r="Y1874" i="15"/>
  <c r="AG1874" i="15"/>
  <c r="K1877" i="15"/>
  <c r="S1877" i="15"/>
  <c r="AA1877" i="15"/>
  <c r="I1878" i="15"/>
  <c r="Q1878" i="15"/>
  <c r="Y1878" i="15"/>
  <c r="AG1878" i="15"/>
  <c r="K1881" i="15"/>
  <c r="S1881" i="15"/>
  <c r="AA1881" i="15"/>
  <c r="I1882" i="15"/>
  <c r="Q1882" i="15"/>
  <c r="Y1882" i="15"/>
  <c r="AG1882" i="15"/>
  <c r="K1885" i="15"/>
  <c r="S1885" i="15"/>
  <c r="AA1885" i="15"/>
  <c r="I1886" i="15"/>
  <c r="Q1886" i="15"/>
  <c r="Y1886" i="15"/>
  <c r="AG1886" i="15"/>
  <c r="K1889" i="15"/>
  <c r="S1889" i="15"/>
  <c r="AA1889" i="15"/>
  <c r="I1890" i="15"/>
  <c r="Q1890" i="15"/>
  <c r="Y1890" i="15"/>
  <c r="AG1890" i="15"/>
  <c r="K1893" i="15"/>
  <c r="S1893" i="15"/>
  <c r="AA1893" i="15"/>
  <c r="I1894" i="15"/>
  <c r="Q1894" i="15"/>
  <c r="Y1894" i="15"/>
  <c r="K1897" i="15"/>
  <c r="S1897" i="15"/>
  <c r="AA1897" i="15"/>
  <c r="I1898" i="15"/>
  <c r="Q1898" i="15"/>
  <c r="Y1898" i="15"/>
  <c r="K1901" i="15"/>
  <c r="S1901" i="15"/>
  <c r="AA1901" i="15"/>
  <c r="I1902" i="15"/>
  <c r="Q1902" i="15"/>
  <c r="Y1902" i="15"/>
  <c r="K1905" i="15"/>
  <c r="S1905" i="15"/>
  <c r="AA1905" i="15"/>
  <c r="I1906" i="15"/>
  <c r="Q1906" i="15"/>
  <c r="Y1906" i="15"/>
  <c r="K1909" i="15"/>
  <c r="S1909" i="15"/>
  <c r="AA1909" i="15"/>
  <c r="I1910" i="15"/>
  <c r="Q1910" i="15"/>
  <c r="Y1910" i="15"/>
  <c r="K1913" i="15"/>
  <c r="S1913" i="15"/>
  <c r="AA1913" i="15"/>
  <c r="I1914" i="15"/>
  <c r="Q1914" i="15"/>
  <c r="Y1914" i="15"/>
  <c r="K1917" i="15"/>
  <c r="S1917" i="15"/>
  <c r="AA1917" i="15"/>
  <c r="I1918" i="15"/>
  <c r="Q1918" i="15"/>
  <c r="Y1918" i="15"/>
  <c r="K1921" i="15"/>
  <c r="S1921" i="15"/>
  <c r="AA1921" i="15"/>
  <c r="I1922" i="15"/>
  <c r="Q1922" i="15"/>
  <c r="Y1922" i="15"/>
  <c r="K1925" i="15"/>
  <c r="S1925" i="15"/>
  <c r="AA1925" i="15"/>
  <c r="I1926" i="15"/>
  <c r="Q1926" i="15"/>
  <c r="Y1926" i="15"/>
  <c r="K1929" i="15"/>
  <c r="S1929" i="15"/>
  <c r="AA1929" i="15"/>
  <c r="I1930" i="15"/>
  <c r="Q1930" i="15"/>
  <c r="Y1930" i="15"/>
  <c r="K1933" i="15"/>
  <c r="S1933" i="15"/>
  <c r="AA1933" i="15"/>
  <c r="I1934" i="15"/>
  <c r="Q1934" i="15"/>
  <c r="Y1934" i="15"/>
  <c r="K1937" i="15"/>
  <c r="S1937" i="15"/>
  <c r="AA1937" i="15"/>
  <c r="I1938" i="15"/>
  <c r="Q1938" i="15"/>
  <c r="Y1938" i="15"/>
  <c r="K1941" i="15"/>
  <c r="S1941" i="15"/>
  <c r="AA1941" i="15"/>
  <c r="I1942" i="15"/>
  <c r="Q1942" i="15"/>
  <c r="Y1942" i="15"/>
  <c r="K1945" i="15"/>
  <c r="S1945" i="15"/>
  <c r="AA1945" i="15"/>
  <c r="I1946" i="15"/>
  <c r="Q1946" i="15"/>
  <c r="Y1946" i="15"/>
  <c r="K1949" i="15"/>
  <c r="S1949" i="15"/>
  <c r="AA1949" i="15"/>
  <c r="I1950" i="15"/>
  <c r="Q1950" i="15"/>
  <c r="Y1950" i="15"/>
  <c r="K1953" i="15"/>
  <c r="S1953" i="15"/>
  <c r="AA1953" i="15"/>
  <c r="I1954" i="15"/>
  <c r="Q1954" i="15"/>
  <c r="Y1954" i="15"/>
  <c r="K1957" i="15"/>
  <c r="S1957" i="15"/>
  <c r="AA1957" i="15"/>
  <c r="I1958" i="15"/>
  <c r="Q1958" i="15"/>
  <c r="Y1958" i="15"/>
  <c r="AG1958" i="15"/>
  <c r="K1961" i="15"/>
  <c r="S1961" i="15"/>
  <c r="AA1961" i="15"/>
  <c r="I1962" i="15"/>
  <c r="Q1962" i="15"/>
  <c r="Y1962" i="15"/>
  <c r="AG1962" i="15"/>
  <c r="K1965" i="15"/>
  <c r="S1965" i="15"/>
  <c r="AA1965" i="15"/>
  <c r="I1966" i="15"/>
  <c r="Q1966" i="15"/>
  <c r="Y1966" i="15"/>
  <c r="AG1966" i="15"/>
  <c r="K1969" i="15"/>
  <c r="S1969" i="15"/>
  <c r="AA1969" i="15"/>
  <c r="I1970" i="15"/>
  <c r="Q1970" i="15"/>
  <c r="Y1970" i="15"/>
  <c r="AG1970" i="15"/>
  <c r="K1973" i="15"/>
  <c r="S1973" i="15"/>
  <c r="AA1973" i="15"/>
  <c r="I1974" i="15"/>
  <c r="Q1974" i="15"/>
  <c r="Y1974" i="15"/>
  <c r="AG1974" i="15"/>
  <c r="K1977" i="15"/>
  <c r="S1977" i="15"/>
  <c r="AA1977" i="15"/>
  <c r="I1978" i="15"/>
  <c r="Q1978" i="15"/>
  <c r="Y1978" i="15"/>
  <c r="AG1978" i="15"/>
  <c r="K1981" i="15"/>
  <c r="S1981" i="15"/>
  <c r="AA1981" i="15"/>
  <c r="I1982" i="15"/>
  <c r="Q1982" i="15"/>
  <c r="Y1982" i="15"/>
  <c r="AG1982" i="15"/>
  <c r="K1985" i="15"/>
  <c r="S1985" i="15"/>
  <c r="AA1985" i="15"/>
  <c r="I1986" i="15"/>
  <c r="Q1986" i="15"/>
  <c r="Y1986" i="15"/>
  <c r="AG1986" i="15"/>
  <c r="K1989" i="15"/>
  <c r="S1989" i="15"/>
  <c r="AA1989" i="15"/>
  <c r="I1990" i="15"/>
  <c r="Q1990" i="15"/>
  <c r="Y1990" i="15"/>
  <c r="AG1990" i="15"/>
  <c r="K1993" i="15"/>
  <c r="S1993" i="15"/>
  <c r="AA1993" i="15"/>
  <c r="I1994" i="15"/>
  <c r="Q1994" i="15"/>
  <c r="Y1994" i="15"/>
  <c r="AG1994" i="15"/>
  <c r="K1997" i="15"/>
  <c r="S1997" i="15"/>
  <c r="AA1997" i="15"/>
  <c r="I1998" i="15"/>
  <c r="Q1998" i="15"/>
  <c r="Y1998" i="15"/>
  <c r="AG1998" i="15"/>
  <c r="J2" i="16"/>
  <c r="T2" i="16"/>
  <c r="K6" i="16"/>
  <c r="J7" i="16"/>
  <c r="I8" i="16"/>
  <c r="T8" i="16"/>
  <c r="K14" i="16"/>
  <c r="J15" i="16"/>
  <c r="I16" i="16"/>
  <c r="T16" i="16"/>
  <c r="K22" i="16"/>
  <c r="J23" i="16"/>
  <c r="I24" i="16"/>
  <c r="T24" i="16"/>
  <c r="K30" i="16"/>
  <c r="J31" i="16"/>
  <c r="I32" i="16"/>
  <c r="T32" i="16"/>
  <c r="K38" i="16"/>
  <c r="J39" i="16"/>
  <c r="I40" i="16"/>
  <c r="T40" i="16"/>
  <c r="K46" i="16"/>
  <c r="J47" i="16"/>
  <c r="I48" i="16"/>
  <c r="T48" i="16"/>
  <c r="P53" i="16"/>
  <c r="H53" i="9" s="1"/>
  <c r="H53" i="16"/>
  <c r="F53" i="16"/>
  <c r="K53" i="16"/>
  <c r="M56" i="16"/>
  <c r="E56" i="16"/>
  <c r="K56" i="16"/>
  <c r="J56" i="16"/>
  <c r="M57" i="16"/>
  <c r="M61" i="16"/>
  <c r="F63" i="16"/>
  <c r="L63" i="16"/>
  <c r="J63" i="16"/>
  <c r="M71" i="16"/>
  <c r="L75" i="16"/>
  <c r="L78" i="16"/>
  <c r="L81" i="16"/>
  <c r="J81" i="16"/>
  <c r="I81" i="16"/>
  <c r="G94" i="16"/>
  <c r="F94" i="16"/>
  <c r="M94" i="16"/>
  <c r="E94" i="16"/>
  <c r="L94" i="16"/>
  <c r="T101" i="16"/>
  <c r="M104" i="16"/>
  <c r="E104" i="16"/>
  <c r="L104" i="16"/>
  <c r="K104" i="16"/>
  <c r="J104" i="16"/>
  <c r="J107" i="16"/>
  <c r="M109" i="16"/>
  <c r="E114" i="16"/>
  <c r="P117" i="16"/>
  <c r="H117" i="9" s="1"/>
  <c r="H117" i="16"/>
  <c r="G117" i="16"/>
  <c r="F117" i="16"/>
  <c r="L117" i="16"/>
  <c r="M121" i="16"/>
  <c r="K122" i="16"/>
  <c r="J122" i="16"/>
  <c r="L129" i="16"/>
  <c r="K129" i="16"/>
  <c r="J129" i="16"/>
  <c r="I129" i="16"/>
  <c r="M135" i="16"/>
  <c r="E135" i="16"/>
  <c r="L135" i="16"/>
  <c r="K135" i="16"/>
  <c r="T140" i="16"/>
  <c r="T146" i="16"/>
  <c r="P150" i="16"/>
  <c r="H150" i="9" s="1"/>
  <c r="T153" i="16"/>
  <c r="J158" i="16"/>
  <c r="T164" i="16"/>
  <c r="L172" i="16"/>
  <c r="K172" i="16"/>
  <c r="J172" i="16"/>
  <c r="H172" i="16"/>
  <c r="G172" i="16"/>
  <c r="T172" i="16"/>
  <c r="F172" i="16"/>
  <c r="H175" i="16"/>
  <c r="L175" i="16"/>
  <c r="K175" i="16"/>
  <c r="J175" i="16"/>
  <c r="T179" i="16"/>
  <c r="H183" i="16"/>
  <c r="K183" i="16"/>
  <c r="J183" i="16"/>
  <c r="E190" i="16"/>
  <c r="L197" i="16"/>
  <c r="K216" i="16"/>
  <c r="J216" i="16"/>
  <c r="P232" i="16"/>
  <c r="H232" i="9" s="1"/>
  <c r="H232" i="16"/>
  <c r="G232" i="16"/>
  <c r="K232" i="16"/>
  <c r="J232" i="16"/>
  <c r="I232" i="16"/>
  <c r="E232" i="16"/>
  <c r="O234" i="16"/>
  <c r="L247" i="16"/>
  <c r="K247" i="16"/>
  <c r="J247" i="16"/>
  <c r="H249" i="16"/>
  <c r="E253" i="16"/>
  <c r="K255" i="16"/>
  <c r="J255" i="16"/>
  <c r="H257" i="16"/>
  <c r="L261" i="16"/>
  <c r="E262" i="16"/>
  <c r="M274" i="16"/>
  <c r="E274" i="16"/>
  <c r="L274" i="16"/>
  <c r="G274" i="16"/>
  <c r="O274" i="16" s="1"/>
  <c r="O289" i="16"/>
  <c r="G289" i="16"/>
  <c r="F289" i="16"/>
  <c r="M289" i="16"/>
  <c r="E289" i="16"/>
  <c r="I289" i="16"/>
  <c r="H289" i="16"/>
  <c r="T289" i="16"/>
  <c r="M291" i="16"/>
  <c r="E291" i="16"/>
  <c r="L291" i="16"/>
  <c r="K291" i="16"/>
  <c r="O291" i="16" s="1"/>
  <c r="H291" i="16"/>
  <c r="G291" i="16"/>
  <c r="P304" i="16"/>
  <c r="H304" i="9" s="1"/>
  <c r="H304" i="16"/>
  <c r="O304" i="16"/>
  <c r="G304" i="16"/>
  <c r="J304" i="16"/>
  <c r="I304" i="16"/>
  <c r="E304" i="16"/>
  <c r="M307" i="16"/>
  <c r="E307" i="16"/>
  <c r="L307" i="16"/>
  <c r="K307" i="16"/>
  <c r="O307" i="16"/>
  <c r="L308" i="16"/>
  <c r="K308" i="16"/>
  <c r="J308" i="16"/>
  <c r="O308" i="16" s="1"/>
  <c r="H308" i="16"/>
  <c r="G308" i="16"/>
  <c r="F308" i="16"/>
  <c r="P308" i="16"/>
  <c r="H308" i="9" s="1"/>
  <c r="E308" i="16"/>
  <c r="M311" i="16"/>
  <c r="M319" i="16"/>
  <c r="T335" i="16"/>
  <c r="K336" i="16"/>
  <c r="M359" i="16"/>
  <c r="L359" i="16"/>
  <c r="K359" i="16"/>
  <c r="O359" i="16" s="1"/>
  <c r="H376" i="16"/>
  <c r="O376" i="16"/>
  <c r="G376" i="16"/>
  <c r="I376" i="16"/>
  <c r="E376" i="16"/>
  <c r="K377" i="16"/>
  <c r="L380" i="16"/>
  <c r="K380" i="16"/>
  <c r="O380" i="16" s="1"/>
  <c r="J380" i="16"/>
  <c r="G380" i="16"/>
  <c r="T380" i="16"/>
  <c r="F380" i="16"/>
  <c r="E380" i="16"/>
  <c r="I380" i="9" s="1"/>
  <c r="H384" i="16"/>
  <c r="O384" i="16"/>
  <c r="G384" i="16"/>
  <c r="E384" i="16"/>
  <c r="I384" i="9" s="1"/>
  <c r="M384" i="16"/>
  <c r="L388" i="16"/>
  <c r="K388" i="16"/>
  <c r="J388" i="16"/>
  <c r="O388" i="16" s="1"/>
  <c r="T388" i="16"/>
  <c r="P388" i="16"/>
  <c r="H388" i="9" s="1"/>
  <c r="E388" i="16"/>
  <c r="I388" i="9" s="1"/>
  <c r="K389" i="16"/>
  <c r="T391" i="16"/>
  <c r="M394" i="16"/>
  <c r="E394" i="16"/>
  <c r="I394" i="9" s="1"/>
  <c r="L394" i="16"/>
  <c r="H394" i="16"/>
  <c r="G394" i="16"/>
  <c r="T394" i="16"/>
  <c r="P394" i="16"/>
  <c r="H394" i="9" s="1"/>
  <c r="K414" i="16"/>
  <c r="G414" i="16"/>
  <c r="T420" i="16"/>
  <c r="E429" i="16"/>
  <c r="M431" i="16"/>
  <c r="L431" i="16"/>
  <c r="K431" i="16"/>
  <c r="J431" i="16"/>
  <c r="E437" i="16"/>
  <c r="E464" i="16"/>
  <c r="M478" i="16"/>
  <c r="T486" i="16"/>
  <c r="P488" i="16"/>
  <c r="H488" i="9" s="1"/>
  <c r="H488" i="16"/>
  <c r="G488" i="16"/>
  <c r="K488" i="16"/>
  <c r="J488" i="16"/>
  <c r="I488" i="16"/>
  <c r="O488" i="16" s="1"/>
  <c r="E488" i="16"/>
  <c r="F488" i="16" s="1"/>
  <c r="M491" i="16"/>
  <c r="E491" i="16"/>
  <c r="I491" i="9" s="1"/>
  <c r="L491" i="16"/>
  <c r="K491" i="16"/>
  <c r="G491" i="16"/>
  <c r="T491" i="16"/>
  <c r="P491" i="16"/>
  <c r="H491" i="9" s="1"/>
  <c r="O491" i="16"/>
  <c r="M503" i="16"/>
  <c r="M511" i="16"/>
  <c r="T527" i="16"/>
  <c r="K528" i="16"/>
  <c r="I536" i="16"/>
  <c r="O536" i="16" s="1"/>
  <c r="H542" i="16"/>
  <c r="K542" i="16"/>
  <c r="G542" i="16"/>
  <c r="T548" i="16"/>
  <c r="L567" i="16"/>
  <c r="K567" i="16"/>
  <c r="J567" i="16"/>
  <c r="H569" i="16"/>
  <c r="E573" i="16"/>
  <c r="K575" i="16"/>
  <c r="J575" i="16"/>
  <c r="H577" i="16"/>
  <c r="L581" i="16"/>
  <c r="E582" i="16"/>
  <c r="F594" i="16"/>
  <c r="M594" i="16"/>
  <c r="E594" i="16"/>
  <c r="I594" i="9" s="1"/>
  <c r="L594" i="16"/>
  <c r="G594" i="16"/>
  <c r="P594" i="16"/>
  <c r="H594" i="9" s="1"/>
  <c r="O594" i="16"/>
  <c r="M600" i="16"/>
  <c r="K600" i="16"/>
  <c r="M615" i="16"/>
  <c r="L615" i="16"/>
  <c r="K615" i="16"/>
  <c r="K621" i="16"/>
  <c r="M621" i="16"/>
  <c r="L621" i="16"/>
  <c r="H621" i="16"/>
  <c r="M629" i="16"/>
  <c r="L629" i="16"/>
  <c r="H629" i="16"/>
  <c r="G629" i="16"/>
  <c r="E656" i="16"/>
  <c r="O673" i="16"/>
  <c r="G673" i="16"/>
  <c r="F673" i="16"/>
  <c r="M673" i="16"/>
  <c r="E673" i="16"/>
  <c r="I673" i="16"/>
  <c r="H673" i="16"/>
  <c r="T673" i="16"/>
  <c r="M675" i="16"/>
  <c r="E675" i="16"/>
  <c r="I675" i="9" s="1"/>
  <c r="L675" i="16"/>
  <c r="K675" i="16"/>
  <c r="H675" i="16"/>
  <c r="G675" i="16"/>
  <c r="T675" i="16"/>
  <c r="F675" i="16"/>
  <c r="O686" i="16"/>
  <c r="O694" i="16"/>
  <c r="H696" i="16"/>
  <c r="O696" i="16"/>
  <c r="G696" i="16"/>
  <c r="F696" i="16"/>
  <c r="I696" i="16"/>
  <c r="E696" i="16"/>
  <c r="K697" i="16"/>
  <c r="O697" i="16" s="1"/>
  <c r="L700" i="16"/>
  <c r="K700" i="16"/>
  <c r="O700" i="16" s="1"/>
  <c r="J700" i="16"/>
  <c r="G700" i="16"/>
  <c r="E700" i="16"/>
  <c r="H704" i="16"/>
  <c r="O704" i="16"/>
  <c r="G704" i="16"/>
  <c r="E704" i="16"/>
  <c r="M704" i="16"/>
  <c r="L708" i="16"/>
  <c r="K708" i="16"/>
  <c r="J708" i="16"/>
  <c r="E708" i="16"/>
  <c r="O708" i="16"/>
  <c r="K709" i="16"/>
  <c r="M714" i="16"/>
  <c r="E714" i="16"/>
  <c r="L714" i="16"/>
  <c r="H714" i="16"/>
  <c r="G714" i="16"/>
  <c r="F719" i="16"/>
  <c r="O729" i="16"/>
  <c r="G729" i="16"/>
  <c r="F729" i="16"/>
  <c r="M729" i="16"/>
  <c r="E729" i="16"/>
  <c r="J729" i="16"/>
  <c r="I729" i="16"/>
  <c r="H729" i="16"/>
  <c r="M731" i="16"/>
  <c r="E731" i="16"/>
  <c r="L731" i="16"/>
  <c r="K731" i="16"/>
  <c r="O731" i="16" s="1"/>
  <c r="I731" i="16"/>
  <c r="H731" i="16"/>
  <c r="G731" i="16"/>
  <c r="F731" i="16"/>
  <c r="M734" i="16"/>
  <c r="H744" i="16"/>
  <c r="G744" i="16"/>
  <c r="F744" i="16"/>
  <c r="K744" i="16"/>
  <c r="J744" i="16"/>
  <c r="I744" i="16"/>
  <c r="O744" i="16" s="1"/>
  <c r="E744" i="16"/>
  <c r="M747" i="16"/>
  <c r="E747" i="16"/>
  <c r="L747" i="16"/>
  <c r="O747" i="16" s="1"/>
  <c r="K747" i="16"/>
  <c r="G747" i="16"/>
  <c r="M759" i="16"/>
  <c r="O759" i="16" s="1"/>
  <c r="M767" i="16"/>
  <c r="K784" i="16"/>
  <c r="I792" i="16"/>
  <c r="K798" i="16"/>
  <c r="G798" i="16"/>
  <c r="H823" i="16"/>
  <c r="G823" i="16"/>
  <c r="L823" i="16"/>
  <c r="K823" i="16"/>
  <c r="J823" i="16"/>
  <c r="H825" i="16"/>
  <c r="E829" i="16"/>
  <c r="H831" i="16"/>
  <c r="G831" i="16"/>
  <c r="K831" i="16"/>
  <c r="J831" i="16"/>
  <c r="H833" i="16"/>
  <c r="L837" i="16"/>
  <c r="E838" i="16"/>
  <c r="F850" i="16"/>
  <c r="M850" i="16"/>
  <c r="O850" i="16" s="1"/>
  <c r="E850" i="16"/>
  <c r="L850" i="16"/>
  <c r="G850" i="16"/>
  <c r="M856" i="16"/>
  <c r="K856" i="16"/>
  <c r="H871" i="16"/>
  <c r="G871" i="16"/>
  <c r="M871" i="16"/>
  <c r="L871" i="16"/>
  <c r="K871" i="16"/>
  <c r="J877" i="16"/>
  <c r="M877" i="16"/>
  <c r="L877" i="16"/>
  <c r="H877" i="16"/>
  <c r="J885" i="16"/>
  <c r="M885" i="16"/>
  <c r="L885" i="16"/>
  <c r="H885" i="16"/>
  <c r="G885" i="16"/>
  <c r="F903" i="16"/>
  <c r="E912" i="16"/>
  <c r="O929" i="16"/>
  <c r="G929" i="16"/>
  <c r="M929" i="16"/>
  <c r="E929" i="16"/>
  <c r="I929" i="16"/>
  <c r="H929" i="16"/>
  <c r="M931" i="16"/>
  <c r="E931" i="16"/>
  <c r="L931" i="16"/>
  <c r="O931" i="16" s="1"/>
  <c r="K931" i="16"/>
  <c r="H931" i="16"/>
  <c r="G931" i="16"/>
  <c r="F931" i="16"/>
  <c r="P931" i="16" s="1"/>
  <c r="H931" i="9" s="1"/>
  <c r="O951" i="16"/>
  <c r="O967" i="16"/>
  <c r="M970" i="16"/>
  <c r="E970" i="16"/>
  <c r="L970" i="16"/>
  <c r="H970" i="16"/>
  <c r="G970" i="16"/>
  <c r="M974" i="16"/>
  <c r="L974" i="16"/>
  <c r="K974" i="16"/>
  <c r="G974" i="16"/>
  <c r="J990" i="16"/>
  <c r="O994" i="16"/>
  <c r="M1015" i="16"/>
  <c r="F1031" i="16"/>
  <c r="K1048" i="16"/>
  <c r="M1067" i="16"/>
  <c r="E1067" i="16"/>
  <c r="L1067" i="16"/>
  <c r="K1067" i="16"/>
  <c r="F1067" i="16"/>
  <c r="J1067" i="16"/>
  <c r="I1067" i="16"/>
  <c r="H1067" i="16"/>
  <c r="G1067" i="16"/>
  <c r="L1084" i="16"/>
  <c r="K1084" i="16"/>
  <c r="J1084" i="16"/>
  <c r="F1084" i="16"/>
  <c r="E1084" i="16"/>
  <c r="G1084" i="16"/>
  <c r="I1096" i="16"/>
  <c r="M1131" i="16"/>
  <c r="E1131" i="16"/>
  <c r="L1131" i="16"/>
  <c r="K1131" i="16"/>
  <c r="G1131" i="16"/>
  <c r="F1143" i="16"/>
  <c r="I1145" i="16"/>
  <c r="H1153" i="16"/>
  <c r="F1188" i="16"/>
  <c r="M1195" i="16"/>
  <c r="E1195" i="16"/>
  <c r="F1195" i="16" s="1"/>
  <c r="L1195" i="16"/>
  <c r="K1195" i="16"/>
  <c r="J1195" i="16"/>
  <c r="I1195" i="16"/>
  <c r="H1195" i="16"/>
  <c r="G1195" i="16"/>
  <c r="M1210" i="16"/>
  <c r="E1210" i="16"/>
  <c r="L1210" i="16"/>
  <c r="I1210" i="16"/>
  <c r="H1210" i="16"/>
  <c r="G1210" i="16"/>
  <c r="K1210" i="16"/>
  <c r="J1210" i="16"/>
  <c r="F1228" i="16"/>
  <c r="M1269" i="16"/>
  <c r="H1272" i="16"/>
  <c r="O1272" i="16"/>
  <c r="G1272" i="16"/>
  <c r="E1272" i="16"/>
  <c r="M1272" i="16"/>
  <c r="L1272" i="16"/>
  <c r="K1272" i="16"/>
  <c r="J1272" i="16"/>
  <c r="I1272" i="16"/>
  <c r="P1311" i="16"/>
  <c r="F1319" i="16"/>
  <c r="P1319" i="16" s="1"/>
  <c r="L1324" i="16"/>
  <c r="K1324" i="16"/>
  <c r="J1324" i="16"/>
  <c r="H1324" i="16"/>
  <c r="G1324" i="16"/>
  <c r="F1324" i="16"/>
  <c r="E1324" i="16"/>
  <c r="I1324" i="16"/>
  <c r="H1337" i="16"/>
  <c r="N1370" i="16"/>
  <c r="F1370" i="16"/>
  <c r="M1370" i="16"/>
  <c r="E1370" i="16"/>
  <c r="L1370" i="16"/>
  <c r="I1370" i="16"/>
  <c r="H1370" i="16"/>
  <c r="G1370" i="16"/>
  <c r="T1370" i="16"/>
  <c r="K1370" i="16"/>
  <c r="J1370" i="16"/>
  <c r="N1475" i="16"/>
  <c r="F1475" i="16"/>
  <c r="M1475" i="16"/>
  <c r="L1475" i="16"/>
  <c r="K1475" i="16"/>
  <c r="E1475" i="16"/>
  <c r="T1475" i="16"/>
  <c r="P1475" i="16"/>
  <c r="O1475" i="16"/>
  <c r="J1475" i="16"/>
  <c r="I1475" i="16"/>
  <c r="H1475" i="16"/>
  <c r="G1475" i="16"/>
  <c r="P1481" i="16"/>
  <c r="H1481" i="16"/>
  <c r="T1481" i="16"/>
  <c r="G1481" i="16"/>
  <c r="O1481" i="16"/>
  <c r="F1481" i="16"/>
  <c r="N1481" i="16"/>
  <c r="E1481" i="16"/>
  <c r="J1481" i="16"/>
  <c r="I1481" i="16"/>
  <c r="M1481" i="16"/>
  <c r="L1481" i="16"/>
  <c r="K1481" i="16"/>
  <c r="N1659" i="16"/>
  <c r="F1659" i="16"/>
  <c r="T1659" i="16"/>
  <c r="H1659" i="16"/>
  <c r="P1659" i="16"/>
  <c r="G1659" i="16"/>
  <c r="O1659" i="16"/>
  <c r="E1659" i="16"/>
  <c r="L1659" i="16"/>
  <c r="K1659" i="16"/>
  <c r="J1659" i="16"/>
  <c r="I1659" i="16"/>
  <c r="M1659" i="16"/>
  <c r="K1694" i="16"/>
  <c r="N1694" i="16"/>
  <c r="E1694" i="16"/>
  <c r="M1694" i="16"/>
  <c r="L1694" i="16"/>
  <c r="F1694" i="16"/>
  <c r="T1694" i="16"/>
  <c r="P1694" i="16"/>
  <c r="O1694" i="16"/>
  <c r="J1694" i="16"/>
  <c r="I1694" i="16"/>
  <c r="H1694" i="16"/>
  <c r="G1694" i="16"/>
  <c r="P1737" i="16"/>
  <c r="H1737" i="16"/>
  <c r="T1737" i="16"/>
  <c r="G1737" i="16"/>
  <c r="O1737" i="16"/>
  <c r="F1737" i="16"/>
  <c r="N1737" i="16"/>
  <c r="E1737" i="16"/>
  <c r="I1737" i="16"/>
  <c r="M1737" i="16"/>
  <c r="L1737" i="16"/>
  <c r="K1737" i="16"/>
  <c r="J1737" i="16"/>
  <c r="M1884" i="16"/>
  <c r="E1884" i="16"/>
  <c r="N1884" i="16"/>
  <c r="L1884" i="16"/>
  <c r="K1884" i="16"/>
  <c r="H1884" i="16"/>
  <c r="G1884" i="16"/>
  <c r="F1884" i="16"/>
  <c r="T1884" i="16"/>
  <c r="I1884" i="16"/>
  <c r="J1943" i="16"/>
  <c r="T1943" i="16"/>
  <c r="H1943" i="16"/>
  <c r="P1943" i="16"/>
  <c r="G1943" i="16"/>
  <c r="O1943" i="16"/>
  <c r="F1943" i="16"/>
  <c r="E1943" i="16"/>
  <c r="N1943" i="16"/>
  <c r="M1943" i="16"/>
  <c r="L1943" i="16"/>
  <c r="K1943" i="16"/>
  <c r="I1943" i="16"/>
  <c r="L1989" i="16"/>
  <c r="O1989" i="16"/>
  <c r="F1989" i="16"/>
  <c r="N1989" i="16"/>
  <c r="E1989" i="16"/>
  <c r="M1989" i="16"/>
  <c r="G1989" i="16"/>
  <c r="T1989" i="16"/>
  <c r="P1989" i="16"/>
  <c r="J1989" i="16"/>
  <c r="I1989" i="16"/>
  <c r="H1989" i="16"/>
  <c r="P2001" i="16"/>
  <c r="H2001" i="16"/>
  <c r="M2001" i="16"/>
  <c r="L2001" i="16"/>
  <c r="K2001" i="16"/>
  <c r="G2001" i="16"/>
  <c r="F2001" i="16"/>
  <c r="E2001" i="16"/>
  <c r="T2001" i="16"/>
  <c r="I2001" i="16"/>
  <c r="L2005" i="16"/>
  <c r="T2005" i="16"/>
  <c r="H2005" i="16"/>
  <c r="P2005" i="16"/>
  <c r="G2005" i="16"/>
  <c r="O2005" i="16"/>
  <c r="F2005" i="16"/>
  <c r="E2005" i="16"/>
  <c r="N2005" i="16"/>
  <c r="M2005" i="16"/>
  <c r="K2005" i="16"/>
  <c r="J2005" i="16"/>
  <c r="I2005" i="16"/>
  <c r="N2019" i="16"/>
  <c r="F2019" i="16"/>
  <c r="I2019" i="16"/>
  <c r="T2019" i="16"/>
  <c r="H2019" i="16"/>
  <c r="P2019" i="16"/>
  <c r="G2019" i="16"/>
  <c r="K2019" i="16"/>
  <c r="J2019" i="16"/>
  <c r="E2019" i="16"/>
  <c r="O2019" i="16"/>
  <c r="M2019" i="16"/>
  <c r="L2019" i="16"/>
  <c r="L2053" i="16"/>
  <c r="O2053" i="16"/>
  <c r="F2053" i="16"/>
  <c r="N2053" i="16"/>
  <c r="E2053" i="16"/>
  <c r="M2053" i="16"/>
  <c r="H2053" i="16"/>
  <c r="G2053" i="16"/>
  <c r="T2053" i="16"/>
  <c r="P2053" i="16"/>
  <c r="K2053" i="16"/>
  <c r="J2053" i="16"/>
  <c r="I2053" i="16"/>
  <c r="M2172" i="16"/>
  <c r="E2172" i="16"/>
  <c r="I2172" i="16"/>
  <c r="T2172" i="16"/>
  <c r="H2172" i="16"/>
  <c r="P2172" i="16"/>
  <c r="G2172" i="16"/>
  <c r="J2172" i="16"/>
  <c r="F2172" i="16"/>
  <c r="K2172" i="16"/>
  <c r="N2275" i="16"/>
  <c r="F2275" i="16"/>
  <c r="I2275" i="16"/>
  <c r="T2275" i="16"/>
  <c r="H2275" i="16"/>
  <c r="P2275" i="16"/>
  <c r="G2275" i="16"/>
  <c r="L2275" i="16"/>
  <c r="K2275" i="16"/>
  <c r="J2275" i="16"/>
  <c r="E2275" i="16"/>
  <c r="O2275" i="16"/>
  <c r="M2275" i="16"/>
  <c r="N2371" i="16"/>
  <c r="F2371" i="16"/>
  <c r="M2371" i="16"/>
  <c r="L2371" i="16"/>
  <c r="K2371" i="16"/>
  <c r="G2371" i="16"/>
  <c r="E2371" i="16"/>
  <c r="T2371" i="16"/>
  <c r="P2371" i="16"/>
  <c r="I2371" i="16"/>
  <c r="H2371" i="16"/>
  <c r="K2422" i="16"/>
  <c r="M2422" i="16"/>
  <c r="L2422" i="16"/>
  <c r="J2422" i="16"/>
  <c r="G2422" i="16"/>
  <c r="F2422" i="16"/>
  <c r="E2422" i="16"/>
  <c r="T2422" i="16"/>
  <c r="P2422" i="16"/>
  <c r="O2422" i="16"/>
  <c r="N2422" i="16"/>
  <c r="I2422" i="16"/>
  <c r="H2422" i="16"/>
  <c r="N2572" i="16"/>
  <c r="F2572" i="16"/>
  <c r="M2572" i="16"/>
  <c r="E2572" i="16"/>
  <c r="J2572" i="16"/>
  <c r="I2572" i="16"/>
  <c r="H2572" i="16"/>
  <c r="O2572" i="16"/>
  <c r="L2572" i="16"/>
  <c r="T2572" i="16"/>
  <c r="P2572" i="16"/>
  <c r="K2572" i="16"/>
  <c r="G2572" i="16"/>
  <c r="M2613" i="16"/>
  <c r="E2613" i="16"/>
  <c r="L2613" i="16"/>
  <c r="I2613" i="16"/>
  <c r="H2613" i="16"/>
  <c r="T2613" i="16"/>
  <c r="G2613" i="16"/>
  <c r="J2613" i="16"/>
  <c r="F2613" i="16"/>
  <c r="P2613" i="16"/>
  <c r="O2613" i="16"/>
  <c r="N2613" i="16"/>
  <c r="K2613" i="16"/>
  <c r="N2700" i="16"/>
  <c r="F2700" i="16"/>
  <c r="M2700" i="16"/>
  <c r="E2700" i="16"/>
  <c r="J2700" i="16"/>
  <c r="I2700" i="16"/>
  <c r="H2700" i="16"/>
  <c r="O2700" i="16"/>
  <c r="L2700" i="16"/>
  <c r="G2700" i="16"/>
  <c r="T2700" i="16"/>
  <c r="P2700" i="16"/>
  <c r="K2700" i="16"/>
  <c r="N2812" i="16"/>
  <c r="F2812" i="16"/>
  <c r="M2812" i="16"/>
  <c r="E2812" i="16"/>
  <c r="H2812" i="16"/>
  <c r="T2812" i="16"/>
  <c r="G2812" i="16"/>
  <c r="P2812" i="16"/>
  <c r="L2812" i="16"/>
  <c r="K2812" i="16"/>
  <c r="I2812" i="16"/>
  <c r="J2812" i="16"/>
  <c r="O2812" i="16"/>
  <c r="O2907" i="16"/>
  <c r="G2907" i="16"/>
  <c r="N2907" i="16"/>
  <c r="F2907" i="16"/>
  <c r="I2907" i="16"/>
  <c r="H2907" i="16"/>
  <c r="T2907" i="16"/>
  <c r="E2907" i="16"/>
  <c r="M2907" i="16"/>
  <c r="L2907" i="16"/>
  <c r="K2907" i="16"/>
  <c r="J2907" i="16"/>
  <c r="P2907" i="16"/>
  <c r="N2940" i="16"/>
  <c r="F2940" i="16"/>
  <c r="M2940" i="16"/>
  <c r="E2940" i="16"/>
  <c r="H2940" i="16"/>
  <c r="T2940" i="16"/>
  <c r="G2940" i="16"/>
  <c r="P2940" i="16"/>
  <c r="J2940" i="16"/>
  <c r="I2940" i="16"/>
  <c r="L2940" i="16"/>
  <c r="K2940" i="16"/>
  <c r="O2940" i="16"/>
  <c r="O3275" i="16"/>
  <c r="G3275" i="16"/>
  <c r="N3275" i="16"/>
  <c r="F3275" i="16"/>
  <c r="T3275" i="16"/>
  <c r="E3275" i="16"/>
  <c r="P3275" i="16"/>
  <c r="M3275" i="16"/>
  <c r="I3275" i="16"/>
  <c r="H3275" i="16"/>
  <c r="L3275" i="16"/>
  <c r="K3275" i="16"/>
  <c r="J3275" i="16"/>
  <c r="P3362" i="16"/>
  <c r="H3362" i="16"/>
  <c r="O3362" i="16"/>
  <c r="G3362" i="16"/>
  <c r="T3362" i="16"/>
  <c r="E3362" i="16"/>
  <c r="N3362" i="16"/>
  <c r="M3362" i="16"/>
  <c r="J3362" i="16"/>
  <c r="I3362" i="16"/>
  <c r="L3362" i="16"/>
  <c r="K3362" i="16"/>
  <c r="F3362" i="16"/>
  <c r="N3372" i="16"/>
  <c r="F3372" i="16"/>
  <c r="M3372" i="16"/>
  <c r="E3372" i="16"/>
  <c r="P3372" i="16"/>
  <c r="O3372" i="16"/>
  <c r="L3372" i="16"/>
  <c r="J3372" i="16"/>
  <c r="I3372" i="16"/>
  <c r="G3372" i="16"/>
  <c r="T3372" i="16"/>
  <c r="K3372" i="16"/>
  <c r="H3372" i="16"/>
  <c r="P3506" i="16"/>
  <c r="H3506" i="16"/>
  <c r="O3506" i="16"/>
  <c r="G3506" i="16"/>
  <c r="I3506" i="16"/>
  <c r="F3506" i="16"/>
  <c r="T3506" i="16"/>
  <c r="E3506" i="16"/>
  <c r="K3506" i="16"/>
  <c r="J3506" i="16"/>
  <c r="M3506" i="16"/>
  <c r="L3506" i="16"/>
  <c r="N3506" i="16"/>
  <c r="N3644" i="16"/>
  <c r="F3644" i="16"/>
  <c r="M3644" i="16"/>
  <c r="E3644" i="16"/>
  <c r="H3644" i="16"/>
  <c r="T3644" i="16"/>
  <c r="G3644" i="16"/>
  <c r="P3644" i="16"/>
  <c r="I3644" i="16"/>
  <c r="O3644" i="16"/>
  <c r="L3644" i="16"/>
  <c r="K3644" i="16"/>
  <c r="J3644" i="16"/>
  <c r="T1553" i="15"/>
  <c r="J1554" i="15"/>
  <c r="R1554" i="15"/>
  <c r="Z1554" i="15"/>
  <c r="L1557" i="15"/>
  <c r="T1557" i="15"/>
  <c r="J1558" i="15"/>
  <c r="R1558" i="15"/>
  <c r="Z1558" i="15"/>
  <c r="L1561" i="15"/>
  <c r="T1561" i="15"/>
  <c r="J1562" i="15"/>
  <c r="R1562" i="15"/>
  <c r="Z1562" i="15"/>
  <c r="L1565" i="15"/>
  <c r="T1565" i="15"/>
  <c r="J1566" i="15"/>
  <c r="R1566" i="15"/>
  <c r="Z1566" i="15"/>
  <c r="L1569" i="15"/>
  <c r="T1569" i="15"/>
  <c r="J1570" i="15"/>
  <c r="R1570" i="15"/>
  <c r="Z1570" i="15"/>
  <c r="L1573" i="15"/>
  <c r="T1573" i="15"/>
  <c r="J1574" i="15"/>
  <c r="R1574" i="15"/>
  <c r="Z1574" i="15"/>
  <c r="L1577" i="15"/>
  <c r="T1577" i="15"/>
  <c r="J1578" i="15"/>
  <c r="R1578" i="15"/>
  <c r="Z1578" i="15"/>
  <c r="L1581" i="15"/>
  <c r="T1581" i="15"/>
  <c r="J1582" i="15"/>
  <c r="R1582" i="15"/>
  <c r="Z1582" i="15"/>
  <c r="L1585" i="15"/>
  <c r="T1585" i="15"/>
  <c r="J1586" i="15"/>
  <c r="R1586" i="15"/>
  <c r="Z1586" i="15"/>
  <c r="L1589" i="15"/>
  <c r="T1589" i="15"/>
  <c r="J1590" i="15"/>
  <c r="R1590" i="15"/>
  <c r="Z1590" i="15"/>
  <c r="L1593" i="15"/>
  <c r="T1593" i="15"/>
  <c r="J1594" i="15"/>
  <c r="R1594" i="15"/>
  <c r="Z1594" i="15"/>
  <c r="L1597" i="15"/>
  <c r="T1597" i="15"/>
  <c r="J1598" i="15"/>
  <c r="R1598" i="15"/>
  <c r="Z1598" i="15"/>
  <c r="L1601" i="15"/>
  <c r="T1601" i="15"/>
  <c r="J1602" i="15"/>
  <c r="R1602" i="15"/>
  <c r="Z1602" i="15"/>
  <c r="L1605" i="15"/>
  <c r="T1605" i="15"/>
  <c r="J1606" i="15"/>
  <c r="R1606" i="15"/>
  <c r="Z1606" i="15"/>
  <c r="L1609" i="15"/>
  <c r="T1609" i="15"/>
  <c r="J1610" i="15"/>
  <c r="R1610" i="15"/>
  <c r="Z1610" i="15"/>
  <c r="L1613" i="15"/>
  <c r="T1613" i="15"/>
  <c r="J1614" i="15"/>
  <c r="R1614" i="15"/>
  <c r="Z1614" i="15"/>
  <c r="L1617" i="15"/>
  <c r="T1617" i="15"/>
  <c r="J1618" i="15"/>
  <c r="R1618" i="15"/>
  <c r="Z1618" i="15"/>
  <c r="L1621" i="15"/>
  <c r="T1621" i="15"/>
  <c r="J1622" i="15"/>
  <c r="R1622" i="15"/>
  <c r="Z1622" i="15"/>
  <c r="L1625" i="15"/>
  <c r="T1625" i="15"/>
  <c r="J1626" i="15"/>
  <c r="R1626" i="15"/>
  <c r="Z1626" i="15"/>
  <c r="L1629" i="15"/>
  <c r="T1629" i="15"/>
  <c r="J1630" i="15"/>
  <c r="R1630" i="15"/>
  <c r="Z1630" i="15"/>
  <c r="L1633" i="15"/>
  <c r="T1633" i="15"/>
  <c r="J1634" i="15"/>
  <c r="R1634" i="15"/>
  <c r="Z1634" i="15"/>
  <c r="L1637" i="15"/>
  <c r="T1637" i="15"/>
  <c r="J1638" i="15"/>
  <c r="R1638" i="15"/>
  <c r="Z1638" i="15"/>
  <c r="L1641" i="15"/>
  <c r="T1641" i="15"/>
  <c r="J1642" i="15"/>
  <c r="R1642" i="15"/>
  <c r="Z1642" i="15"/>
  <c r="L1645" i="15"/>
  <c r="T1645" i="15"/>
  <c r="J1646" i="15"/>
  <c r="R1646" i="15"/>
  <c r="Z1646" i="15"/>
  <c r="L1649" i="15"/>
  <c r="T1649" i="15"/>
  <c r="J1650" i="15"/>
  <c r="R1650" i="15"/>
  <c r="Z1650" i="15"/>
  <c r="L1653" i="15"/>
  <c r="T1653" i="15"/>
  <c r="J1654" i="15"/>
  <c r="R1654" i="15"/>
  <c r="Z1654" i="15"/>
  <c r="L1657" i="15"/>
  <c r="T1657" i="15"/>
  <c r="J1658" i="15"/>
  <c r="R1658" i="15"/>
  <c r="Z1658" i="15"/>
  <c r="L1661" i="15"/>
  <c r="T1661" i="15"/>
  <c r="J1662" i="15"/>
  <c r="R1662" i="15"/>
  <c r="Z1662" i="15"/>
  <c r="L1665" i="15"/>
  <c r="T1665" i="15"/>
  <c r="J1666" i="15"/>
  <c r="R1666" i="15"/>
  <c r="Z1666" i="15"/>
  <c r="L1669" i="15"/>
  <c r="T1669" i="15"/>
  <c r="J1670" i="15"/>
  <c r="R1670" i="15"/>
  <c r="Z1670" i="15"/>
  <c r="L1673" i="15"/>
  <c r="T1673" i="15"/>
  <c r="J1674" i="15"/>
  <c r="R1674" i="15"/>
  <c r="Z1674" i="15"/>
  <c r="L1677" i="15"/>
  <c r="T1677" i="15"/>
  <c r="J1678" i="15"/>
  <c r="R1678" i="15"/>
  <c r="Z1678" i="15"/>
  <c r="L1681" i="15"/>
  <c r="T1681" i="15"/>
  <c r="J1682" i="15"/>
  <c r="R1682" i="15"/>
  <c r="Z1682" i="15"/>
  <c r="L1685" i="15"/>
  <c r="T1685" i="15"/>
  <c r="J1686" i="15"/>
  <c r="R1686" i="15"/>
  <c r="Z1686" i="15"/>
  <c r="L1689" i="15"/>
  <c r="T1689" i="15"/>
  <c r="J1690" i="15"/>
  <c r="R1690" i="15"/>
  <c r="Z1690" i="15"/>
  <c r="L1693" i="15"/>
  <c r="T1693" i="15"/>
  <c r="J1694" i="15"/>
  <c r="R1694" i="15"/>
  <c r="Z1694" i="15"/>
  <c r="L1697" i="15"/>
  <c r="T1697" i="15"/>
  <c r="J1698" i="15"/>
  <c r="R1698" i="15"/>
  <c r="Z1698" i="15"/>
  <c r="L1701" i="15"/>
  <c r="T1701" i="15"/>
  <c r="J1702" i="15"/>
  <c r="R1702" i="15"/>
  <c r="Z1702" i="15"/>
  <c r="L1705" i="15"/>
  <c r="T1705" i="15"/>
  <c r="J1706" i="15"/>
  <c r="R1706" i="15"/>
  <c r="Z1706" i="15"/>
  <c r="L1709" i="15"/>
  <c r="T1709" i="15"/>
  <c r="J1710" i="15"/>
  <c r="R1710" i="15"/>
  <c r="Z1710" i="15"/>
  <c r="L1713" i="15"/>
  <c r="T1713" i="15"/>
  <c r="J1714" i="15"/>
  <c r="R1714" i="15"/>
  <c r="Z1714" i="15"/>
  <c r="L1717" i="15"/>
  <c r="T1717" i="15"/>
  <c r="J1718" i="15"/>
  <c r="R1718" i="15"/>
  <c r="Z1718" i="15"/>
  <c r="L1721" i="15"/>
  <c r="T1721" i="15"/>
  <c r="J1722" i="15"/>
  <c r="R1722" i="15"/>
  <c r="Z1722" i="15"/>
  <c r="L1725" i="15"/>
  <c r="T1725" i="15"/>
  <c r="J1726" i="15"/>
  <c r="R1726" i="15"/>
  <c r="Z1726" i="15"/>
  <c r="L1729" i="15"/>
  <c r="T1729" i="15"/>
  <c r="J1730" i="15"/>
  <c r="R1730" i="15"/>
  <c r="Z1730" i="15"/>
  <c r="L1733" i="15"/>
  <c r="T1733" i="15"/>
  <c r="J1734" i="15"/>
  <c r="R1734" i="15"/>
  <c r="Z1734" i="15"/>
  <c r="L1737" i="15"/>
  <c r="T1737" i="15"/>
  <c r="J1738" i="15"/>
  <c r="R1738" i="15"/>
  <c r="Z1738" i="15"/>
  <c r="L1741" i="15"/>
  <c r="T1741" i="15"/>
  <c r="J1742" i="15"/>
  <c r="R1742" i="15"/>
  <c r="Z1742" i="15"/>
  <c r="L1745" i="15"/>
  <c r="T1745" i="15"/>
  <c r="J1746" i="15"/>
  <c r="R1746" i="15"/>
  <c r="Z1746" i="15"/>
  <c r="L1749" i="15"/>
  <c r="T1749" i="15"/>
  <c r="J1750" i="15"/>
  <c r="R1750" i="15"/>
  <c r="Z1750" i="15"/>
  <c r="L1753" i="15"/>
  <c r="T1753" i="15"/>
  <c r="J1754" i="15"/>
  <c r="R1754" i="15"/>
  <c r="Z1754" i="15"/>
  <c r="L1757" i="15"/>
  <c r="T1757" i="15"/>
  <c r="J1758" i="15"/>
  <c r="R1758" i="15"/>
  <c r="Z1758" i="15"/>
  <c r="L1761" i="15"/>
  <c r="T1761" i="15"/>
  <c r="J1762" i="15"/>
  <c r="R1762" i="15"/>
  <c r="Z1762" i="15"/>
  <c r="L1765" i="15"/>
  <c r="T1765" i="15"/>
  <c r="J1766" i="15"/>
  <c r="R1766" i="15"/>
  <c r="Z1766" i="15"/>
  <c r="L1769" i="15"/>
  <c r="T1769" i="15"/>
  <c r="J1770" i="15"/>
  <c r="R1770" i="15"/>
  <c r="Z1770" i="15"/>
  <c r="L1773" i="15"/>
  <c r="T1773" i="15"/>
  <c r="J1774" i="15"/>
  <c r="R1774" i="15"/>
  <c r="Z1774" i="15"/>
  <c r="L1777" i="15"/>
  <c r="T1777" i="15"/>
  <c r="J1778" i="15"/>
  <c r="R1778" i="15"/>
  <c r="Z1778" i="15"/>
  <c r="L1781" i="15"/>
  <c r="T1781" i="15"/>
  <c r="J1782" i="15"/>
  <c r="R1782" i="15"/>
  <c r="Z1782" i="15"/>
  <c r="L1785" i="15"/>
  <c r="T1785" i="15"/>
  <c r="J1786" i="15"/>
  <c r="R1786" i="15"/>
  <c r="Z1786" i="15"/>
  <c r="L1789" i="15"/>
  <c r="T1789" i="15"/>
  <c r="J1790" i="15"/>
  <c r="R1790" i="15"/>
  <c r="Z1790" i="15"/>
  <c r="L1793" i="15"/>
  <c r="T1793" i="15"/>
  <c r="J1794" i="15"/>
  <c r="R1794" i="15"/>
  <c r="Z1794" i="15"/>
  <c r="L1797" i="15"/>
  <c r="T1797" i="15"/>
  <c r="R1798" i="15"/>
  <c r="Z1798" i="15"/>
  <c r="L1801" i="15"/>
  <c r="T1801" i="15"/>
  <c r="J1802" i="15"/>
  <c r="R1802" i="15"/>
  <c r="Z1802" i="15"/>
  <c r="L1805" i="15"/>
  <c r="T1805" i="15"/>
  <c r="J1806" i="15"/>
  <c r="R1806" i="15"/>
  <c r="Z1806" i="15"/>
  <c r="L1809" i="15"/>
  <c r="T1809" i="15"/>
  <c r="J1810" i="15"/>
  <c r="R1810" i="15"/>
  <c r="Z1810" i="15"/>
  <c r="L1813" i="15"/>
  <c r="T1813" i="15"/>
  <c r="J1814" i="15"/>
  <c r="R1814" i="15"/>
  <c r="Z1814" i="15"/>
  <c r="L1817" i="15"/>
  <c r="T1817" i="15"/>
  <c r="J1818" i="15"/>
  <c r="R1818" i="15"/>
  <c r="Z1818" i="15"/>
  <c r="L1821" i="15"/>
  <c r="T1821" i="15"/>
  <c r="J1822" i="15"/>
  <c r="R1822" i="15"/>
  <c r="Z1822" i="15"/>
  <c r="L1825" i="15"/>
  <c r="T1825" i="15"/>
  <c r="J1826" i="15"/>
  <c r="R1826" i="15"/>
  <c r="Z1826" i="15"/>
  <c r="L1829" i="15"/>
  <c r="T1829" i="15"/>
  <c r="J1830" i="15"/>
  <c r="R1830" i="15"/>
  <c r="Z1830" i="15"/>
  <c r="L1833" i="15"/>
  <c r="T1833" i="15"/>
  <c r="J1834" i="15"/>
  <c r="R1834" i="15"/>
  <c r="Z1834" i="15"/>
  <c r="L1837" i="15"/>
  <c r="T1837" i="15"/>
  <c r="J1838" i="15"/>
  <c r="R1838" i="15"/>
  <c r="Z1838" i="15"/>
  <c r="L1841" i="15"/>
  <c r="T1841" i="15"/>
  <c r="J1842" i="15"/>
  <c r="R1842" i="15"/>
  <c r="Z1842" i="15"/>
  <c r="L1845" i="15"/>
  <c r="T1845" i="15"/>
  <c r="J1846" i="15"/>
  <c r="R1846" i="15"/>
  <c r="Z1846" i="15"/>
  <c r="L1849" i="15"/>
  <c r="T1849" i="15"/>
  <c r="J1850" i="15"/>
  <c r="R1850" i="15"/>
  <c r="Z1850" i="15"/>
  <c r="L1853" i="15"/>
  <c r="T1853" i="15"/>
  <c r="J1854" i="15"/>
  <c r="R1854" i="15"/>
  <c r="Z1854" i="15"/>
  <c r="L1857" i="15"/>
  <c r="T1857" i="15"/>
  <c r="J1858" i="15"/>
  <c r="R1858" i="15"/>
  <c r="Z1858" i="15"/>
  <c r="L1861" i="15"/>
  <c r="T1861" i="15"/>
  <c r="J1862" i="15"/>
  <c r="R1862" i="15"/>
  <c r="Z1862" i="15"/>
  <c r="L1865" i="15"/>
  <c r="T1865" i="15"/>
  <c r="J1866" i="15"/>
  <c r="R1866" i="15"/>
  <c r="Z1866" i="15"/>
  <c r="L1869" i="15"/>
  <c r="T1869" i="15"/>
  <c r="J1870" i="15"/>
  <c r="R1870" i="15"/>
  <c r="Z1870" i="15"/>
  <c r="L1873" i="15"/>
  <c r="T1873" i="15"/>
  <c r="J1874" i="15"/>
  <c r="R1874" i="15"/>
  <c r="Z1874" i="15"/>
  <c r="L1877" i="15"/>
  <c r="T1877" i="15"/>
  <c r="J1878" i="15"/>
  <c r="R1878" i="15"/>
  <c r="Z1878" i="15"/>
  <c r="L1881" i="15"/>
  <c r="T1881" i="15"/>
  <c r="J1882" i="15"/>
  <c r="R1882" i="15"/>
  <c r="Z1882" i="15"/>
  <c r="L1885" i="15"/>
  <c r="T1885" i="15"/>
  <c r="J1886" i="15"/>
  <c r="R1886" i="15"/>
  <c r="Z1886" i="15"/>
  <c r="L1889" i="15"/>
  <c r="T1889" i="15"/>
  <c r="J1890" i="15"/>
  <c r="R1890" i="15"/>
  <c r="Z1890" i="15"/>
  <c r="L1893" i="15"/>
  <c r="T1893" i="15"/>
  <c r="L1897" i="15"/>
  <c r="T1897" i="15"/>
  <c r="L1901" i="15"/>
  <c r="T1901" i="15"/>
  <c r="L1905" i="15"/>
  <c r="T1905" i="15"/>
  <c r="L1909" i="15"/>
  <c r="T1909" i="15"/>
  <c r="L1913" i="15"/>
  <c r="T1913" i="15"/>
  <c r="L1917" i="15"/>
  <c r="T1917" i="15"/>
  <c r="L1921" i="15"/>
  <c r="T1921" i="15"/>
  <c r="L1925" i="15"/>
  <c r="T1925" i="15"/>
  <c r="L1929" i="15"/>
  <c r="T1929" i="15"/>
  <c r="L1933" i="15"/>
  <c r="T1933" i="15"/>
  <c r="L1937" i="15"/>
  <c r="T1937" i="15"/>
  <c r="L1941" i="15"/>
  <c r="T1941" i="15"/>
  <c r="L1945" i="15"/>
  <c r="T1945" i="15"/>
  <c r="L1949" i="15"/>
  <c r="T1949" i="15"/>
  <c r="L1953" i="15"/>
  <c r="T1953" i="15"/>
  <c r="L1957" i="15"/>
  <c r="T1957" i="15"/>
  <c r="Z1958" i="15"/>
  <c r="L1961" i="15"/>
  <c r="T1961" i="15"/>
  <c r="J1962" i="15"/>
  <c r="R1962" i="15"/>
  <c r="Z1962" i="15"/>
  <c r="L1965" i="15"/>
  <c r="T1965" i="15"/>
  <c r="J1966" i="15"/>
  <c r="R1966" i="15"/>
  <c r="Z1966" i="15"/>
  <c r="L1969" i="15"/>
  <c r="T1969" i="15"/>
  <c r="J1970" i="15"/>
  <c r="R1970" i="15"/>
  <c r="Z1970" i="15"/>
  <c r="L1973" i="15"/>
  <c r="T1973" i="15"/>
  <c r="J1974" i="15"/>
  <c r="R1974" i="15"/>
  <c r="Z1974" i="15"/>
  <c r="L1977" i="15"/>
  <c r="T1977" i="15"/>
  <c r="J1978" i="15"/>
  <c r="R1978" i="15"/>
  <c r="Z1978" i="15"/>
  <c r="L1981" i="15"/>
  <c r="T1981" i="15"/>
  <c r="J1982" i="15"/>
  <c r="R1982" i="15"/>
  <c r="Z1982" i="15"/>
  <c r="L1985" i="15"/>
  <c r="T1985" i="15"/>
  <c r="J1986" i="15"/>
  <c r="R1986" i="15"/>
  <c r="Z1986" i="15"/>
  <c r="L1989" i="15"/>
  <c r="T1989" i="15"/>
  <c r="J1990" i="15"/>
  <c r="R1990" i="15"/>
  <c r="Z1990" i="15"/>
  <c r="L1993" i="15"/>
  <c r="T1993" i="15"/>
  <c r="J1994" i="15"/>
  <c r="R1994" i="15"/>
  <c r="Z1994" i="15"/>
  <c r="L1997" i="15"/>
  <c r="T1997" i="15"/>
  <c r="J1998" i="15"/>
  <c r="R1998" i="15"/>
  <c r="Z1998" i="15"/>
  <c r="I9" i="16"/>
  <c r="I17" i="16"/>
  <c r="I25" i="16"/>
  <c r="I33" i="16"/>
  <c r="I41" i="16"/>
  <c r="I49" i="16"/>
  <c r="L53" i="16"/>
  <c r="L56" i="16"/>
  <c r="T60" i="16"/>
  <c r="K63" i="16"/>
  <c r="J67" i="16"/>
  <c r="H67" i="16"/>
  <c r="K67" i="16"/>
  <c r="G70" i="16"/>
  <c r="M70" i="16"/>
  <c r="E70" i="16"/>
  <c r="K70" i="16"/>
  <c r="K74" i="16"/>
  <c r="M75" i="16"/>
  <c r="K81" i="16"/>
  <c r="T84" i="16"/>
  <c r="K90" i="16"/>
  <c r="P94" i="16"/>
  <c r="H94" i="9" s="1"/>
  <c r="J100" i="16"/>
  <c r="G102" i="16"/>
  <c r="M102" i="16"/>
  <c r="E102" i="16"/>
  <c r="L102" i="16"/>
  <c r="G106" i="16"/>
  <c r="T109" i="16"/>
  <c r="M112" i="16"/>
  <c r="E112" i="16"/>
  <c r="L112" i="16"/>
  <c r="K112" i="16"/>
  <c r="J112" i="16"/>
  <c r="J115" i="16"/>
  <c r="M117" i="16"/>
  <c r="E122" i="16"/>
  <c r="P125" i="16"/>
  <c r="H125" i="9" s="1"/>
  <c r="H125" i="16"/>
  <c r="G125" i="16"/>
  <c r="F125" i="16"/>
  <c r="L125" i="16"/>
  <c r="M129" i="16"/>
  <c r="L137" i="16"/>
  <c r="K137" i="16"/>
  <c r="J137" i="16"/>
  <c r="I137" i="16"/>
  <c r="M143" i="16"/>
  <c r="E143" i="16"/>
  <c r="L143" i="16"/>
  <c r="K143" i="16"/>
  <c r="T148" i="16"/>
  <c r="P160" i="16"/>
  <c r="H160" i="9" s="1"/>
  <c r="H160" i="16"/>
  <c r="G160" i="16"/>
  <c r="F160" i="16"/>
  <c r="K160" i="16"/>
  <c r="J160" i="16"/>
  <c r="I160" i="16"/>
  <c r="G161" i="16"/>
  <c r="M161" i="16"/>
  <c r="E161" i="16"/>
  <c r="I161" i="9" s="1"/>
  <c r="H161" i="16"/>
  <c r="P161" i="16"/>
  <c r="H161" i="9" s="1"/>
  <c r="P172" i="16"/>
  <c r="H172" i="9" s="1"/>
  <c r="L180" i="16"/>
  <c r="K180" i="16"/>
  <c r="J180" i="16"/>
  <c r="G180" i="16"/>
  <c r="E180" i="16"/>
  <c r="L188" i="16"/>
  <c r="K188" i="16"/>
  <c r="J188" i="16"/>
  <c r="E188" i="16"/>
  <c r="K191" i="16"/>
  <c r="K193" i="16"/>
  <c r="J193" i="16"/>
  <c r="L196" i="16"/>
  <c r="K196" i="16"/>
  <c r="J196" i="16"/>
  <c r="P196" i="16"/>
  <c r="H196" i="9" s="1"/>
  <c r="E196" i="16"/>
  <c r="M196" i="16"/>
  <c r="M197" i="16"/>
  <c r="T207" i="16"/>
  <c r="J222" i="16"/>
  <c r="G222" i="16"/>
  <c r="M227" i="16"/>
  <c r="E227" i="16"/>
  <c r="I227" i="9" s="1"/>
  <c r="L227" i="16"/>
  <c r="K227" i="16"/>
  <c r="G227" i="16"/>
  <c r="T227" i="16"/>
  <c r="F227" i="16"/>
  <c r="P227" i="16"/>
  <c r="H227" i="9" s="1"/>
  <c r="M235" i="16"/>
  <c r="E235" i="16"/>
  <c r="I235" i="9" s="1"/>
  <c r="L235" i="16"/>
  <c r="K235" i="16"/>
  <c r="G235" i="16"/>
  <c r="O235" i="16" s="1"/>
  <c r="T235" i="16"/>
  <c r="F235" i="16"/>
  <c r="M253" i="16"/>
  <c r="L255" i="16"/>
  <c r="I257" i="16"/>
  <c r="M261" i="16"/>
  <c r="O273" i="16"/>
  <c r="G273" i="16"/>
  <c r="F273" i="16"/>
  <c r="M273" i="16"/>
  <c r="E273" i="16"/>
  <c r="K273" i="16"/>
  <c r="J273" i="16"/>
  <c r="I273" i="16"/>
  <c r="H273" i="16"/>
  <c r="M278" i="16"/>
  <c r="M280" i="16"/>
  <c r="K280" i="16"/>
  <c r="J280" i="16"/>
  <c r="T286" i="16"/>
  <c r="K288" i="16"/>
  <c r="O288" i="16" s="1"/>
  <c r="O294" i="16"/>
  <c r="T302" i="16"/>
  <c r="O310" i="16"/>
  <c r="M314" i="16"/>
  <c r="E314" i="16"/>
  <c r="L314" i="16"/>
  <c r="J314" i="16"/>
  <c r="I314" i="16"/>
  <c r="H314" i="16"/>
  <c r="G314" i="16"/>
  <c r="F322" i="16"/>
  <c r="M322" i="16"/>
  <c r="E322" i="16"/>
  <c r="L322" i="16"/>
  <c r="I322" i="16"/>
  <c r="H322" i="16"/>
  <c r="G322" i="16"/>
  <c r="T322" i="16"/>
  <c r="I344" i="16"/>
  <c r="E350" i="16"/>
  <c r="E359" i="16"/>
  <c r="M365" i="16"/>
  <c r="L365" i="16"/>
  <c r="H365" i="16"/>
  <c r="M373" i="16"/>
  <c r="L373" i="16"/>
  <c r="H373" i="16"/>
  <c r="G373" i="16"/>
  <c r="T383" i="16"/>
  <c r="K393" i="16"/>
  <c r="M398" i="16"/>
  <c r="L398" i="16"/>
  <c r="K398" i="16"/>
  <c r="G398" i="16"/>
  <c r="G409" i="16"/>
  <c r="F409" i="16"/>
  <c r="M409" i="16"/>
  <c r="E409" i="16"/>
  <c r="J409" i="16"/>
  <c r="I409" i="16"/>
  <c r="O409" i="16" s="1"/>
  <c r="H409" i="16"/>
  <c r="M411" i="16"/>
  <c r="E411" i="16"/>
  <c r="L411" i="16"/>
  <c r="K411" i="16"/>
  <c r="I411" i="16"/>
  <c r="H411" i="16"/>
  <c r="G411" i="16"/>
  <c r="T411" i="16"/>
  <c r="L414" i="16"/>
  <c r="J423" i="16"/>
  <c r="G425" i="16"/>
  <c r="F425" i="16"/>
  <c r="M425" i="16"/>
  <c r="O425" i="16" s="1"/>
  <c r="E425" i="16"/>
  <c r="I425" i="9" s="1"/>
  <c r="H425" i="16"/>
  <c r="T425" i="16"/>
  <c r="P425" i="16"/>
  <c r="H425" i="9" s="1"/>
  <c r="L445" i="16"/>
  <c r="H445" i="16"/>
  <c r="G445" i="16"/>
  <c r="E447" i="16"/>
  <c r="K449" i="16"/>
  <c r="J449" i="16"/>
  <c r="K453" i="16"/>
  <c r="H453" i="16"/>
  <c r="G453" i="16"/>
  <c r="E453" i="16"/>
  <c r="J454" i="16"/>
  <c r="H454" i="16"/>
  <c r="M454" i="16"/>
  <c r="L454" i="16"/>
  <c r="K454" i="16"/>
  <c r="L460" i="16"/>
  <c r="K460" i="16"/>
  <c r="J460" i="16"/>
  <c r="P460" i="16"/>
  <c r="H460" i="9" s="1"/>
  <c r="E460" i="16"/>
  <c r="T460" i="16" s="1"/>
  <c r="O460" i="16"/>
  <c r="M460" i="16"/>
  <c r="J470" i="16"/>
  <c r="L470" i="16"/>
  <c r="K470" i="16"/>
  <c r="G470" i="16"/>
  <c r="H496" i="16"/>
  <c r="G496" i="16"/>
  <c r="F496" i="16"/>
  <c r="J496" i="16"/>
  <c r="I496" i="16"/>
  <c r="O496" i="16" s="1"/>
  <c r="E496" i="16"/>
  <c r="M499" i="16"/>
  <c r="E499" i="16"/>
  <c r="I499" i="9" s="1"/>
  <c r="L499" i="16"/>
  <c r="O499" i="16" s="1"/>
  <c r="K499" i="16"/>
  <c r="T499" i="16"/>
  <c r="F499" i="16"/>
  <c r="P499" i="16"/>
  <c r="H499" i="9" s="1"/>
  <c r="L500" i="16"/>
  <c r="O500" i="16" s="1"/>
  <c r="K500" i="16"/>
  <c r="J500" i="16"/>
  <c r="H500" i="16"/>
  <c r="G500" i="16"/>
  <c r="T500" i="16"/>
  <c r="F500" i="16"/>
  <c r="P500" i="16"/>
  <c r="H500" i="9" s="1"/>
  <c r="E500" i="16"/>
  <c r="I500" i="9" s="1"/>
  <c r="F506" i="16"/>
  <c r="M506" i="16"/>
  <c r="E506" i="16"/>
  <c r="L506" i="16"/>
  <c r="J506" i="16"/>
  <c r="I506" i="16"/>
  <c r="H506" i="16"/>
  <c r="G506" i="16"/>
  <c r="F514" i="16"/>
  <c r="M514" i="16"/>
  <c r="E514" i="16"/>
  <c r="L514" i="16"/>
  <c r="I514" i="16"/>
  <c r="O514" i="16" s="1"/>
  <c r="H514" i="16"/>
  <c r="G514" i="16"/>
  <c r="L542" i="16"/>
  <c r="J551" i="16"/>
  <c r="G553" i="16"/>
  <c r="F553" i="16"/>
  <c r="M553" i="16"/>
  <c r="O553" i="16" s="1"/>
  <c r="E553" i="16"/>
  <c r="I553" i="9" s="1"/>
  <c r="H553" i="16"/>
  <c r="G557" i="16"/>
  <c r="M573" i="16"/>
  <c r="L575" i="16"/>
  <c r="I577" i="16"/>
  <c r="M581" i="16"/>
  <c r="G593" i="16"/>
  <c r="F593" i="16"/>
  <c r="M593" i="16"/>
  <c r="E593" i="16"/>
  <c r="K593" i="16"/>
  <c r="J593" i="16"/>
  <c r="I593" i="16"/>
  <c r="O593" i="16" s="1"/>
  <c r="H593" i="16"/>
  <c r="M598" i="16"/>
  <c r="E606" i="16"/>
  <c r="E615" i="16"/>
  <c r="E621" i="16"/>
  <c r="M623" i="16"/>
  <c r="L623" i="16"/>
  <c r="K623" i="16"/>
  <c r="J623" i="16"/>
  <c r="E629" i="16"/>
  <c r="L637" i="16"/>
  <c r="H637" i="16"/>
  <c r="G637" i="16"/>
  <c r="E639" i="16"/>
  <c r="K641" i="16"/>
  <c r="J641" i="16"/>
  <c r="H645" i="16"/>
  <c r="G645" i="16"/>
  <c r="E645" i="16"/>
  <c r="M646" i="16"/>
  <c r="L646" i="16"/>
  <c r="K646" i="16"/>
  <c r="L652" i="16"/>
  <c r="K652" i="16"/>
  <c r="J652" i="16"/>
  <c r="P652" i="16"/>
  <c r="H652" i="9" s="1"/>
  <c r="E652" i="16"/>
  <c r="T652" i="16" s="1"/>
  <c r="O652" i="16"/>
  <c r="M652" i="16"/>
  <c r="F661" i="16"/>
  <c r="P661" i="16"/>
  <c r="H661" i="9" s="1"/>
  <c r="L662" i="16"/>
  <c r="K662" i="16"/>
  <c r="G662" i="16"/>
  <c r="J670" i="16"/>
  <c r="K672" i="16"/>
  <c r="K713" i="16"/>
  <c r="M718" i="16"/>
  <c r="L718" i="16"/>
  <c r="K718" i="16"/>
  <c r="G718" i="16"/>
  <c r="J728" i="16"/>
  <c r="H752" i="16"/>
  <c r="G752" i="16"/>
  <c r="J752" i="16"/>
  <c r="I752" i="16"/>
  <c r="O752" i="16" s="1"/>
  <c r="E752" i="16"/>
  <c r="M755" i="16"/>
  <c r="O755" i="16" s="1"/>
  <c r="E755" i="16"/>
  <c r="F755" i="16" s="1"/>
  <c r="L755" i="16"/>
  <c r="K755" i="16"/>
  <c r="L756" i="16"/>
  <c r="O756" i="16" s="1"/>
  <c r="K756" i="16"/>
  <c r="J756" i="16"/>
  <c r="H756" i="16"/>
  <c r="G756" i="16"/>
  <c r="F756" i="16"/>
  <c r="P756" i="16" s="1"/>
  <c r="H756" i="9" s="1"/>
  <c r="E756" i="16"/>
  <c r="M762" i="16"/>
  <c r="E762" i="16"/>
  <c r="L762" i="16"/>
  <c r="J762" i="16"/>
  <c r="I762" i="16"/>
  <c r="H762" i="16"/>
  <c r="G762" i="16"/>
  <c r="M770" i="16"/>
  <c r="E770" i="16"/>
  <c r="L770" i="16"/>
  <c r="I770" i="16"/>
  <c r="H770" i="16"/>
  <c r="G770" i="16"/>
  <c r="O771" i="16"/>
  <c r="L798" i="16"/>
  <c r="P799" i="16"/>
  <c r="H799" i="9" s="1"/>
  <c r="I799" i="9" s="1"/>
  <c r="J807" i="16"/>
  <c r="G809" i="16"/>
  <c r="M809" i="16"/>
  <c r="O809" i="16" s="1"/>
  <c r="E809" i="16"/>
  <c r="H809" i="16"/>
  <c r="G813" i="16"/>
  <c r="M829" i="16"/>
  <c r="L831" i="16"/>
  <c r="I833" i="16"/>
  <c r="M837" i="16"/>
  <c r="G849" i="16"/>
  <c r="M849" i="16"/>
  <c r="E849" i="16"/>
  <c r="K849" i="16"/>
  <c r="J849" i="16"/>
  <c r="I849" i="16"/>
  <c r="O849" i="16" s="1"/>
  <c r="H849" i="16"/>
  <c r="M854" i="16"/>
  <c r="E862" i="16"/>
  <c r="E871" i="16"/>
  <c r="E877" i="16"/>
  <c r="H879" i="16"/>
  <c r="G879" i="16"/>
  <c r="M879" i="16"/>
  <c r="L879" i="16"/>
  <c r="K879" i="16"/>
  <c r="J879" i="16"/>
  <c r="E885" i="16"/>
  <c r="J893" i="16"/>
  <c r="L893" i="16"/>
  <c r="H893" i="16"/>
  <c r="G893" i="16"/>
  <c r="E895" i="16"/>
  <c r="K897" i="16"/>
  <c r="J897" i="16"/>
  <c r="J901" i="16"/>
  <c r="H901" i="16"/>
  <c r="G901" i="16"/>
  <c r="E901" i="16"/>
  <c r="M902" i="16"/>
  <c r="L902" i="16"/>
  <c r="K902" i="16"/>
  <c r="L908" i="16"/>
  <c r="O908" i="16" s="1"/>
  <c r="K908" i="16"/>
  <c r="J908" i="16"/>
  <c r="E908" i="16"/>
  <c r="M908" i="16"/>
  <c r="L918" i="16"/>
  <c r="K918" i="16"/>
  <c r="G918" i="16"/>
  <c r="J926" i="16"/>
  <c r="K928" i="16"/>
  <c r="H935" i="16"/>
  <c r="G935" i="16"/>
  <c r="M935" i="16"/>
  <c r="L935" i="16"/>
  <c r="K935" i="16"/>
  <c r="J941" i="16"/>
  <c r="M941" i="16"/>
  <c r="L941" i="16"/>
  <c r="H941" i="16"/>
  <c r="J949" i="16"/>
  <c r="M949" i="16"/>
  <c r="L949" i="16"/>
  <c r="H949" i="16"/>
  <c r="G949" i="16"/>
  <c r="J957" i="16"/>
  <c r="L957" i="16"/>
  <c r="H957" i="16"/>
  <c r="G957" i="16"/>
  <c r="F967" i="16"/>
  <c r="P967" i="16" s="1"/>
  <c r="K969" i="16"/>
  <c r="G993" i="16"/>
  <c r="F993" i="16"/>
  <c r="M993" i="16"/>
  <c r="E993" i="16"/>
  <c r="H993" i="16"/>
  <c r="T993" i="16"/>
  <c r="K993" i="16"/>
  <c r="J993" i="16"/>
  <c r="I993" i="16"/>
  <c r="O993" i="16" s="1"/>
  <c r="F1007" i="16"/>
  <c r="J1021" i="16"/>
  <c r="H1021" i="16"/>
  <c r="G1021" i="16"/>
  <c r="E1021" i="16"/>
  <c r="K1032" i="16"/>
  <c r="J1032" i="16"/>
  <c r="I1032" i="16"/>
  <c r="E1032" i="16"/>
  <c r="M1043" i="16"/>
  <c r="E1043" i="16"/>
  <c r="L1043" i="16"/>
  <c r="K1043" i="16"/>
  <c r="I1043" i="16"/>
  <c r="H1043" i="16"/>
  <c r="G1043" i="16"/>
  <c r="F1043" i="16"/>
  <c r="J1043" i="16"/>
  <c r="F1060" i="16"/>
  <c r="J1096" i="16"/>
  <c r="F1098" i="16"/>
  <c r="M1098" i="16"/>
  <c r="E1098" i="16"/>
  <c r="L1098" i="16"/>
  <c r="G1098" i="16"/>
  <c r="H1098" i="16"/>
  <c r="F1103" i="16"/>
  <c r="J1104" i="16"/>
  <c r="I1104" i="16"/>
  <c r="H1128" i="16"/>
  <c r="G1128" i="16"/>
  <c r="J1128" i="16"/>
  <c r="I1128" i="16"/>
  <c r="E1128" i="16"/>
  <c r="L1128" i="16"/>
  <c r="K1128" i="16"/>
  <c r="F1141" i="16"/>
  <c r="H1143" i="16"/>
  <c r="G1143" i="16"/>
  <c r="K1143" i="16"/>
  <c r="J1143" i="16"/>
  <c r="L1156" i="16"/>
  <c r="K1156" i="16"/>
  <c r="J1156" i="16"/>
  <c r="E1156" i="16"/>
  <c r="M1156" i="16"/>
  <c r="I1156" i="16"/>
  <c r="H1156" i="16"/>
  <c r="G1156" i="16"/>
  <c r="M1171" i="16"/>
  <c r="E1171" i="16"/>
  <c r="L1171" i="16"/>
  <c r="K1171" i="16"/>
  <c r="I1171" i="16"/>
  <c r="H1171" i="16"/>
  <c r="G1171" i="16"/>
  <c r="F1171" i="16"/>
  <c r="J1171" i="16"/>
  <c r="E1176" i="16"/>
  <c r="M1179" i="16"/>
  <c r="E1179" i="16"/>
  <c r="L1179" i="16"/>
  <c r="K1179" i="16"/>
  <c r="H1179" i="16"/>
  <c r="G1179" i="16"/>
  <c r="F1179" i="16"/>
  <c r="J1179" i="16"/>
  <c r="I1179" i="16"/>
  <c r="L1204" i="16"/>
  <c r="K1204" i="16"/>
  <c r="J1204" i="16"/>
  <c r="G1204" i="16"/>
  <c r="F1204" i="16"/>
  <c r="E1204" i="16"/>
  <c r="M1204" i="16"/>
  <c r="I1204" i="16"/>
  <c r="H1204" i="16"/>
  <c r="F1223" i="16"/>
  <c r="M1238" i="16"/>
  <c r="F1261" i="16"/>
  <c r="P1261" i="16" s="1"/>
  <c r="H1261" i="9" s="1"/>
  <c r="I1261" i="9" s="1"/>
  <c r="F1290" i="16"/>
  <c r="P1290" i="16" s="1"/>
  <c r="H1290" i="9" s="1"/>
  <c r="M1290" i="16"/>
  <c r="E1290" i="16"/>
  <c r="L1290" i="16"/>
  <c r="G1290" i="16"/>
  <c r="O1290" i="16"/>
  <c r="I1290" i="16"/>
  <c r="H1290" i="16"/>
  <c r="G1297" i="16"/>
  <c r="F1297" i="16"/>
  <c r="M1297" i="16"/>
  <c r="E1297" i="16"/>
  <c r="J1297" i="16"/>
  <c r="I1297" i="16"/>
  <c r="H1297" i="16"/>
  <c r="L1297" i="16"/>
  <c r="K1297" i="16"/>
  <c r="F1303" i="16"/>
  <c r="P1303" i="16" s="1"/>
  <c r="K1304" i="16"/>
  <c r="J1304" i="16"/>
  <c r="I1304" i="16"/>
  <c r="F1311" i="16"/>
  <c r="M1323" i="16"/>
  <c r="E1323" i="16"/>
  <c r="L1323" i="16"/>
  <c r="K1323" i="16"/>
  <c r="O1323" i="16" s="1"/>
  <c r="G1323" i="16"/>
  <c r="O1335" i="16"/>
  <c r="I1337" i="16"/>
  <c r="J1341" i="16"/>
  <c r="H1341" i="16"/>
  <c r="G1341" i="16"/>
  <c r="E1341" i="16"/>
  <c r="M1341" i="16"/>
  <c r="O1343" i="16"/>
  <c r="P1352" i="16"/>
  <c r="H1352" i="16"/>
  <c r="O1352" i="16"/>
  <c r="G1352" i="16"/>
  <c r="N1352" i="16"/>
  <c r="F1352" i="16"/>
  <c r="J1352" i="16"/>
  <c r="I1352" i="16"/>
  <c r="E1352" i="16"/>
  <c r="L1352" i="16"/>
  <c r="K1352" i="16"/>
  <c r="N1386" i="16"/>
  <c r="F1386" i="16"/>
  <c r="M1386" i="16"/>
  <c r="E1386" i="16"/>
  <c r="L1386" i="16"/>
  <c r="G1386" i="16"/>
  <c r="T1386" i="16"/>
  <c r="P1386" i="16"/>
  <c r="O1386" i="16"/>
  <c r="J1386" i="16"/>
  <c r="I1386" i="16"/>
  <c r="H1386" i="16"/>
  <c r="L1428" i="16"/>
  <c r="K1428" i="16"/>
  <c r="J1428" i="16"/>
  <c r="G1428" i="16"/>
  <c r="T1428" i="16"/>
  <c r="F1428" i="16"/>
  <c r="P1428" i="16"/>
  <c r="E1428" i="16"/>
  <c r="O1428" i="16"/>
  <c r="N1428" i="16"/>
  <c r="M1428" i="16"/>
  <c r="I1428" i="16"/>
  <c r="H1428" i="16"/>
  <c r="P1521" i="16"/>
  <c r="H1521" i="16"/>
  <c r="I1521" i="16"/>
  <c r="T1521" i="16"/>
  <c r="G1521" i="16"/>
  <c r="O1521" i="16"/>
  <c r="F1521" i="16"/>
  <c r="K1521" i="16"/>
  <c r="J1521" i="16"/>
  <c r="E1521" i="16"/>
  <c r="L1521" i="16"/>
  <c r="J1583" i="16"/>
  <c r="P1583" i="16"/>
  <c r="G1583" i="16"/>
  <c r="O1583" i="16"/>
  <c r="F1583" i="16"/>
  <c r="N1583" i="16"/>
  <c r="E1583" i="16"/>
  <c r="K1583" i="16"/>
  <c r="I1583" i="16"/>
  <c r="H1583" i="16"/>
  <c r="T1583" i="16"/>
  <c r="M1583" i="16"/>
  <c r="L1583" i="16"/>
  <c r="O1610" i="16"/>
  <c r="G1610" i="16"/>
  <c r="I1610" i="16"/>
  <c r="T1610" i="16"/>
  <c r="H1610" i="16"/>
  <c r="P1610" i="16"/>
  <c r="F1610" i="16"/>
  <c r="L1610" i="16"/>
  <c r="K1610" i="16"/>
  <c r="J1610" i="16"/>
  <c r="E1610" i="16"/>
  <c r="N1610" i="16"/>
  <c r="M1610" i="16"/>
  <c r="P1777" i="16"/>
  <c r="H1777" i="16"/>
  <c r="I1777" i="16"/>
  <c r="T1777" i="16"/>
  <c r="G1777" i="16"/>
  <c r="O1777" i="16"/>
  <c r="F1777" i="16"/>
  <c r="J1777" i="16"/>
  <c r="E1777" i="16"/>
  <c r="N1777" i="16"/>
  <c r="M1777" i="16"/>
  <c r="L1777" i="16"/>
  <c r="K1777" i="16"/>
  <c r="L1813" i="16"/>
  <c r="T1813" i="16"/>
  <c r="H1813" i="16"/>
  <c r="P1813" i="16"/>
  <c r="G1813" i="16"/>
  <c r="O1813" i="16"/>
  <c r="F1813" i="16"/>
  <c r="E1813" i="16"/>
  <c r="N1813" i="16"/>
  <c r="I1813" i="16"/>
  <c r="P1993" i="16"/>
  <c r="H1993" i="16"/>
  <c r="T1993" i="16"/>
  <c r="G1993" i="16"/>
  <c r="O1993" i="16"/>
  <c r="F1993" i="16"/>
  <c r="N1993" i="16"/>
  <c r="E1993" i="16"/>
  <c r="I1993" i="16"/>
  <c r="M1993" i="16"/>
  <c r="L1993" i="16"/>
  <c r="K1993" i="16"/>
  <c r="J1993" i="16"/>
  <c r="O2042" i="16"/>
  <c r="G2042" i="16"/>
  <c r="P2042" i="16"/>
  <c r="F2042" i="16"/>
  <c r="N2042" i="16"/>
  <c r="E2042" i="16"/>
  <c r="M2042" i="16"/>
  <c r="J2042" i="16"/>
  <c r="I2042" i="16"/>
  <c r="H2042" i="16"/>
  <c r="L2042" i="16"/>
  <c r="K2042" i="16"/>
  <c r="N2147" i="16"/>
  <c r="F2147" i="16"/>
  <c r="I2147" i="16"/>
  <c r="T2147" i="16"/>
  <c r="H2147" i="16"/>
  <c r="P2147" i="16"/>
  <c r="G2147" i="16"/>
  <c r="L2147" i="16"/>
  <c r="K2147" i="16"/>
  <c r="J2147" i="16"/>
  <c r="E2147" i="16"/>
  <c r="O2147" i="16"/>
  <c r="M2147" i="16"/>
  <c r="J2199" i="16"/>
  <c r="T2199" i="16"/>
  <c r="H2199" i="16"/>
  <c r="P2199" i="16"/>
  <c r="G2199" i="16"/>
  <c r="O2199" i="16"/>
  <c r="F2199" i="16"/>
  <c r="E2199" i="16"/>
  <c r="N2199" i="16"/>
  <c r="L2199" i="16"/>
  <c r="K2199" i="16"/>
  <c r="I2199" i="16"/>
  <c r="N2219" i="16"/>
  <c r="F2219" i="16"/>
  <c r="O2219" i="16"/>
  <c r="E2219" i="16"/>
  <c r="M2219" i="16"/>
  <c r="L2219" i="16"/>
  <c r="J2219" i="16"/>
  <c r="I2219" i="16"/>
  <c r="H2219" i="16"/>
  <c r="G2219" i="16"/>
  <c r="T2219" i="16"/>
  <c r="P2219" i="16"/>
  <c r="K2219" i="16"/>
  <c r="P2233" i="16"/>
  <c r="H2233" i="16"/>
  <c r="N2233" i="16"/>
  <c r="E2233" i="16"/>
  <c r="M2233" i="16"/>
  <c r="L2233" i="16"/>
  <c r="I2233" i="16"/>
  <c r="G2233" i="16"/>
  <c r="F2233" i="16"/>
  <c r="T2233" i="16"/>
  <c r="O2233" i="16"/>
  <c r="K2233" i="16"/>
  <c r="J2233" i="16"/>
  <c r="M2396" i="16"/>
  <c r="E2396" i="16"/>
  <c r="N2396" i="16"/>
  <c r="L2396" i="16"/>
  <c r="K2396" i="16"/>
  <c r="F2396" i="16"/>
  <c r="T2396" i="16"/>
  <c r="P2396" i="16"/>
  <c r="O2396" i="16"/>
  <c r="I2396" i="16"/>
  <c r="H2396" i="16"/>
  <c r="G2396" i="16"/>
  <c r="P2441" i="16"/>
  <c r="H2441" i="16"/>
  <c r="T2441" i="16"/>
  <c r="G2441" i="16"/>
  <c r="O2441" i="16"/>
  <c r="F2441" i="16"/>
  <c r="N2441" i="16"/>
  <c r="E2441" i="16"/>
  <c r="I2441" i="16"/>
  <c r="L2441" i="16"/>
  <c r="K2441" i="16"/>
  <c r="J2441" i="16"/>
  <c r="M2485" i="16"/>
  <c r="E2485" i="16"/>
  <c r="L2485" i="16"/>
  <c r="I2485" i="16"/>
  <c r="H2485" i="16"/>
  <c r="T2485" i="16"/>
  <c r="G2485" i="16"/>
  <c r="P2485" i="16"/>
  <c r="K2485" i="16"/>
  <c r="J2485" i="16"/>
  <c r="F2485" i="16"/>
  <c r="O2485" i="16"/>
  <c r="N2485" i="16"/>
  <c r="O2563" i="16"/>
  <c r="G2563" i="16"/>
  <c r="N2563" i="16"/>
  <c r="F2563" i="16"/>
  <c r="P2563" i="16"/>
  <c r="M2563" i="16"/>
  <c r="L2563" i="16"/>
  <c r="H2563" i="16"/>
  <c r="E2563" i="16"/>
  <c r="T2563" i="16"/>
  <c r="K2563" i="16"/>
  <c r="J2563" i="16"/>
  <c r="I2563" i="16"/>
  <c r="P2602" i="16"/>
  <c r="H2602" i="16"/>
  <c r="O2602" i="16"/>
  <c r="G2602" i="16"/>
  <c r="F2602" i="16"/>
  <c r="T2602" i="16"/>
  <c r="E2602" i="16"/>
  <c r="N2602" i="16"/>
  <c r="J2602" i="16"/>
  <c r="I2602" i="16"/>
  <c r="L2602" i="16"/>
  <c r="K2602" i="16"/>
  <c r="P2722" i="16"/>
  <c r="H2722" i="16"/>
  <c r="O2722" i="16"/>
  <c r="G2722" i="16"/>
  <c r="T2722" i="16"/>
  <c r="E2722" i="16"/>
  <c r="N2722" i="16"/>
  <c r="M2722" i="16"/>
  <c r="K2722" i="16"/>
  <c r="F2722" i="16"/>
  <c r="L2722" i="16"/>
  <c r="J2722" i="16"/>
  <c r="I2722" i="16"/>
  <c r="O2787" i="16"/>
  <c r="G2787" i="16"/>
  <c r="N2787" i="16"/>
  <c r="F2787" i="16"/>
  <c r="J2787" i="16"/>
  <c r="I2787" i="16"/>
  <c r="H2787" i="16"/>
  <c r="L2787" i="16"/>
  <c r="K2787" i="16"/>
  <c r="E2787" i="16"/>
  <c r="P2787" i="16"/>
  <c r="M2787" i="16"/>
  <c r="P3058" i="16"/>
  <c r="H3058" i="16"/>
  <c r="O3058" i="16"/>
  <c r="G3058" i="16"/>
  <c r="I3058" i="16"/>
  <c r="F3058" i="16"/>
  <c r="T3058" i="16"/>
  <c r="E3058" i="16"/>
  <c r="M3058" i="16"/>
  <c r="L3058" i="16"/>
  <c r="J3058" i="16"/>
  <c r="K3058" i="16"/>
  <c r="N3058" i="16"/>
  <c r="L3158" i="16"/>
  <c r="K3158" i="16"/>
  <c r="P3158" i="16"/>
  <c r="F3158" i="16"/>
  <c r="O3158" i="16"/>
  <c r="E3158" i="16"/>
  <c r="N3158" i="16"/>
  <c r="J3158" i="16"/>
  <c r="I3158" i="16"/>
  <c r="G3158" i="16"/>
  <c r="T3158" i="16"/>
  <c r="M3158" i="16"/>
  <c r="H3158" i="16"/>
  <c r="P3810" i="16"/>
  <c r="H3810" i="16"/>
  <c r="O3810" i="16"/>
  <c r="G3810" i="16"/>
  <c r="T3810" i="16"/>
  <c r="E3810" i="16"/>
  <c r="N3810" i="16"/>
  <c r="M3810" i="16"/>
  <c r="I3810" i="16"/>
  <c r="F3810" i="16"/>
  <c r="L3810" i="16"/>
  <c r="K3810" i="16"/>
  <c r="J3810" i="16"/>
  <c r="L3846" i="16"/>
  <c r="K3846" i="16"/>
  <c r="N3846" i="16"/>
  <c r="M3846" i="16"/>
  <c r="J3846" i="16"/>
  <c r="G3846" i="16"/>
  <c r="F3846" i="16"/>
  <c r="H3846" i="16"/>
  <c r="E3846" i="16"/>
  <c r="O3846" i="16"/>
  <c r="I3846" i="16"/>
  <c r="T3846" i="16"/>
  <c r="P3846" i="16"/>
  <c r="G52" i="16"/>
  <c r="I58" i="16"/>
  <c r="T58" i="16"/>
  <c r="I66" i="16"/>
  <c r="I74" i="16"/>
  <c r="T74" i="16"/>
  <c r="I82" i="16"/>
  <c r="T82" i="16"/>
  <c r="H83" i="16"/>
  <c r="P83" i="16"/>
  <c r="H83" i="9" s="1"/>
  <c r="G84" i="16"/>
  <c r="I90" i="16"/>
  <c r="T90" i="16"/>
  <c r="H91" i="16"/>
  <c r="P91" i="16"/>
  <c r="H91" i="9" s="1"/>
  <c r="G92" i="16"/>
  <c r="I98" i="16"/>
  <c r="T98" i="16"/>
  <c r="H99" i="16"/>
  <c r="P99" i="16"/>
  <c r="H99" i="9" s="1"/>
  <c r="I106" i="16"/>
  <c r="H107" i="16"/>
  <c r="P107" i="16"/>
  <c r="H107" i="9" s="1"/>
  <c r="G108" i="16"/>
  <c r="I114" i="16"/>
  <c r="H115" i="16"/>
  <c r="P115" i="16"/>
  <c r="H115" i="9" s="1"/>
  <c r="G116" i="16"/>
  <c r="I122" i="16"/>
  <c r="H123" i="16"/>
  <c r="P123" i="16"/>
  <c r="H123" i="9" s="1"/>
  <c r="G124" i="16"/>
  <c r="I130" i="16"/>
  <c r="T130" i="16"/>
  <c r="H131" i="16"/>
  <c r="P131" i="16"/>
  <c r="H131" i="9" s="1"/>
  <c r="G132" i="16"/>
  <c r="I138" i="16"/>
  <c r="T138" i="16"/>
  <c r="H139" i="16"/>
  <c r="P139" i="16"/>
  <c r="H139" i="9" s="1"/>
  <c r="I146" i="16"/>
  <c r="H147" i="16"/>
  <c r="P147" i="16"/>
  <c r="H147" i="9" s="1"/>
  <c r="G148" i="16"/>
  <c r="F154" i="16"/>
  <c r="M154" i="16"/>
  <c r="E154" i="16"/>
  <c r="L154" i="16"/>
  <c r="K154" i="16"/>
  <c r="M157" i="16"/>
  <c r="T159" i="16"/>
  <c r="T165" i="16"/>
  <c r="G177" i="16"/>
  <c r="F177" i="16"/>
  <c r="M177" i="16"/>
  <c r="E177" i="16"/>
  <c r="L177" i="16"/>
  <c r="M187" i="16"/>
  <c r="E187" i="16"/>
  <c r="L187" i="16"/>
  <c r="K187" i="16"/>
  <c r="J187" i="16"/>
  <c r="J190" i="16"/>
  <c r="P200" i="16"/>
  <c r="H200" i="9" s="1"/>
  <c r="H200" i="16"/>
  <c r="G200" i="16"/>
  <c r="F200" i="16"/>
  <c r="L200" i="16"/>
  <c r="L212" i="16"/>
  <c r="K212" i="16"/>
  <c r="J212" i="16"/>
  <c r="I212" i="16"/>
  <c r="F218" i="16"/>
  <c r="M218" i="16"/>
  <c r="E218" i="16"/>
  <c r="L218" i="16"/>
  <c r="K218" i="16"/>
  <c r="T223" i="16"/>
  <c r="K229" i="16"/>
  <c r="L229" i="16"/>
  <c r="F236" i="16"/>
  <c r="T236" i="16"/>
  <c r="O241" i="16"/>
  <c r="G241" i="16"/>
  <c r="F241" i="16"/>
  <c r="M241" i="16"/>
  <c r="E241" i="16"/>
  <c r="L241" i="16"/>
  <c r="H242" i="16"/>
  <c r="M251" i="16"/>
  <c r="E251" i="16"/>
  <c r="L251" i="16"/>
  <c r="K251" i="16"/>
  <c r="J251" i="16"/>
  <c r="T254" i="16"/>
  <c r="L254" i="16"/>
  <c r="P264" i="16"/>
  <c r="H264" i="9" s="1"/>
  <c r="H264" i="16"/>
  <c r="G264" i="16"/>
  <c r="O264" i="16" s="1"/>
  <c r="F264" i="16"/>
  <c r="L264" i="16"/>
  <c r="I265" i="16"/>
  <c r="G275" i="16"/>
  <c r="L276" i="16"/>
  <c r="K276" i="16"/>
  <c r="J276" i="16"/>
  <c r="O276" i="16" s="1"/>
  <c r="I276" i="16"/>
  <c r="F282" i="16"/>
  <c r="M282" i="16"/>
  <c r="E282" i="16"/>
  <c r="L282" i="16"/>
  <c r="K282" i="16"/>
  <c r="O282" i="16" s="1"/>
  <c r="T287" i="16"/>
  <c r="L287" i="16"/>
  <c r="I288" i="16"/>
  <c r="J293" i="16"/>
  <c r="O293" i="16" s="1"/>
  <c r="L293" i="16"/>
  <c r="F300" i="16"/>
  <c r="T300" i="16"/>
  <c r="O305" i="16"/>
  <c r="G305" i="16"/>
  <c r="F305" i="16"/>
  <c r="M305" i="16"/>
  <c r="E305" i="16"/>
  <c r="L305" i="16"/>
  <c r="H306" i="16"/>
  <c r="M315" i="16"/>
  <c r="E315" i="16"/>
  <c r="L315" i="16"/>
  <c r="K315" i="16"/>
  <c r="J315" i="16"/>
  <c r="O315" i="16" s="1"/>
  <c r="J318" i="16"/>
  <c r="O318" i="16" s="1"/>
  <c r="L318" i="16"/>
  <c r="P328" i="16"/>
  <c r="H328" i="9" s="1"/>
  <c r="H328" i="16"/>
  <c r="O328" i="16"/>
  <c r="G328" i="16"/>
  <c r="F328" i="16"/>
  <c r="L328" i="16"/>
  <c r="I329" i="16"/>
  <c r="G339" i="16"/>
  <c r="L340" i="16"/>
  <c r="K340" i="16"/>
  <c r="J340" i="16"/>
  <c r="I340" i="16"/>
  <c r="M346" i="16"/>
  <c r="E346" i="16"/>
  <c r="L346" i="16"/>
  <c r="K346" i="16"/>
  <c r="O346" i="16" s="1"/>
  <c r="T351" i="16"/>
  <c r="L351" i="16"/>
  <c r="I352" i="16"/>
  <c r="J357" i="16"/>
  <c r="O357" i="16" s="1"/>
  <c r="L357" i="16"/>
  <c r="F364" i="16"/>
  <c r="T364" i="16"/>
  <c r="O369" i="16"/>
  <c r="G369" i="16"/>
  <c r="M369" i="16"/>
  <c r="E369" i="16"/>
  <c r="L369" i="16"/>
  <c r="H370" i="16"/>
  <c r="M379" i="16"/>
  <c r="E379" i="16"/>
  <c r="L379" i="16"/>
  <c r="K379" i="16"/>
  <c r="J379" i="16"/>
  <c r="J382" i="16"/>
  <c r="O382" i="16" s="1"/>
  <c r="L382" i="16"/>
  <c r="P392" i="16"/>
  <c r="H392" i="9" s="1"/>
  <c r="H392" i="16"/>
  <c r="O392" i="16"/>
  <c r="G392" i="16"/>
  <c r="F392" i="16"/>
  <c r="L392" i="16"/>
  <c r="I393" i="16"/>
  <c r="G403" i="16"/>
  <c r="L404" i="16"/>
  <c r="K404" i="16"/>
  <c r="J404" i="16"/>
  <c r="I404" i="16"/>
  <c r="F410" i="16"/>
  <c r="M410" i="16"/>
  <c r="E410" i="16"/>
  <c r="L410" i="16"/>
  <c r="O410" i="16" s="1"/>
  <c r="K410" i="16"/>
  <c r="T415" i="16"/>
  <c r="L415" i="16"/>
  <c r="I416" i="16"/>
  <c r="K421" i="16"/>
  <c r="L421" i="16"/>
  <c r="F428" i="16"/>
  <c r="T428" i="16"/>
  <c r="G433" i="16"/>
  <c r="F433" i="16"/>
  <c r="M433" i="16"/>
  <c r="E433" i="16"/>
  <c r="L433" i="16"/>
  <c r="O433" i="16" s="1"/>
  <c r="H434" i="16"/>
  <c r="M443" i="16"/>
  <c r="E443" i="16"/>
  <c r="L443" i="16"/>
  <c r="O443" i="16" s="1"/>
  <c r="K443" i="16"/>
  <c r="J443" i="16"/>
  <c r="J446" i="16"/>
  <c r="L446" i="16"/>
  <c r="P456" i="16"/>
  <c r="H456" i="9" s="1"/>
  <c r="H456" i="16"/>
  <c r="G456" i="16"/>
  <c r="F456" i="16"/>
  <c r="L456" i="16"/>
  <c r="O456" i="16" s="1"/>
  <c r="I457" i="16"/>
  <c r="G467" i="16"/>
  <c r="L468" i="16"/>
  <c r="K468" i="16"/>
  <c r="J468" i="16"/>
  <c r="I468" i="16"/>
  <c r="O468" i="16" s="1"/>
  <c r="F474" i="16"/>
  <c r="M474" i="16"/>
  <c r="E474" i="16"/>
  <c r="P474" i="16" s="1"/>
  <c r="H474" i="9" s="1"/>
  <c r="L474" i="16"/>
  <c r="O474" i="16" s="1"/>
  <c r="K474" i="16"/>
  <c r="T479" i="16"/>
  <c r="L479" i="16"/>
  <c r="I480" i="16"/>
  <c r="J485" i="16"/>
  <c r="L485" i="16"/>
  <c r="F492" i="16"/>
  <c r="T492" i="16"/>
  <c r="O497" i="16"/>
  <c r="G497" i="16"/>
  <c r="F497" i="16"/>
  <c r="M497" i="16"/>
  <c r="E497" i="16"/>
  <c r="L497" i="16"/>
  <c r="H498" i="16"/>
  <c r="M502" i="16"/>
  <c r="M507" i="16"/>
  <c r="E507" i="16"/>
  <c r="L507" i="16"/>
  <c r="K507" i="16"/>
  <c r="J507" i="16"/>
  <c r="T510" i="16"/>
  <c r="L510" i="16"/>
  <c r="P520" i="16"/>
  <c r="H520" i="9" s="1"/>
  <c r="H520" i="16"/>
  <c r="O520" i="16"/>
  <c r="G520" i="16"/>
  <c r="F520" i="16"/>
  <c r="L520" i="16"/>
  <c r="I521" i="16"/>
  <c r="O521" i="16" s="1"/>
  <c r="G531" i="16"/>
  <c r="L532" i="16"/>
  <c r="K532" i="16"/>
  <c r="J532" i="16"/>
  <c r="I532" i="16"/>
  <c r="M538" i="16"/>
  <c r="E538" i="16"/>
  <c r="L538" i="16"/>
  <c r="K538" i="16"/>
  <c r="T543" i="16"/>
  <c r="L543" i="16"/>
  <c r="I544" i="16"/>
  <c r="K549" i="16"/>
  <c r="L549" i="16"/>
  <c r="F556" i="16"/>
  <c r="T556" i="16"/>
  <c r="G561" i="16"/>
  <c r="M561" i="16"/>
  <c r="E561" i="16"/>
  <c r="L561" i="16"/>
  <c r="O561" i="16" s="1"/>
  <c r="H562" i="16"/>
  <c r="M571" i="16"/>
  <c r="E571" i="16"/>
  <c r="L571" i="16"/>
  <c r="K571" i="16"/>
  <c r="J571" i="16"/>
  <c r="T574" i="16"/>
  <c r="L574" i="16"/>
  <c r="P584" i="16"/>
  <c r="H584" i="9" s="1"/>
  <c r="H584" i="16"/>
  <c r="G584" i="16"/>
  <c r="F584" i="16"/>
  <c r="L584" i="16"/>
  <c r="O584" i="16" s="1"/>
  <c r="I585" i="16"/>
  <c r="O585" i="16" s="1"/>
  <c r="G595" i="16"/>
  <c r="L596" i="16"/>
  <c r="K596" i="16"/>
  <c r="J596" i="16"/>
  <c r="I596" i="16"/>
  <c r="O596" i="16" s="1"/>
  <c r="M602" i="16"/>
  <c r="E602" i="16"/>
  <c r="L602" i="16"/>
  <c r="O602" i="16" s="1"/>
  <c r="K602" i="16"/>
  <c r="M605" i="16"/>
  <c r="T607" i="16"/>
  <c r="L607" i="16"/>
  <c r="I608" i="16"/>
  <c r="K613" i="16"/>
  <c r="L613" i="16"/>
  <c r="F620" i="16"/>
  <c r="T620" i="16"/>
  <c r="O625" i="16"/>
  <c r="G625" i="16"/>
  <c r="M625" i="16"/>
  <c r="E625" i="16"/>
  <c r="L625" i="16"/>
  <c r="H626" i="16"/>
  <c r="M635" i="16"/>
  <c r="E635" i="16"/>
  <c r="L635" i="16"/>
  <c r="K635" i="16"/>
  <c r="J635" i="16"/>
  <c r="J638" i="16"/>
  <c r="L638" i="16"/>
  <c r="P648" i="16"/>
  <c r="H648" i="9" s="1"/>
  <c r="H648" i="16"/>
  <c r="O648" i="16"/>
  <c r="G648" i="16"/>
  <c r="F648" i="16"/>
  <c r="L648" i="16"/>
  <c r="I649" i="16"/>
  <c r="O649" i="16" s="1"/>
  <c r="G659" i="16"/>
  <c r="L660" i="16"/>
  <c r="K660" i="16"/>
  <c r="J660" i="16"/>
  <c r="I660" i="16"/>
  <c r="O660" i="16" s="1"/>
  <c r="M666" i="16"/>
  <c r="E666" i="16"/>
  <c r="L666" i="16"/>
  <c r="K666" i="16"/>
  <c r="T671" i="16"/>
  <c r="L671" i="16"/>
  <c r="I672" i="16"/>
  <c r="K677" i="16"/>
  <c r="L677" i="16"/>
  <c r="F684" i="16"/>
  <c r="O689" i="16"/>
  <c r="G689" i="16"/>
  <c r="F689" i="16"/>
  <c r="M689" i="16"/>
  <c r="E689" i="16"/>
  <c r="L689" i="16"/>
  <c r="H690" i="16"/>
  <c r="M694" i="16"/>
  <c r="M699" i="16"/>
  <c r="E699" i="16"/>
  <c r="L699" i="16"/>
  <c r="K699" i="16"/>
  <c r="J699" i="16"/>
  <c r="L702" i="16"/>
  <c r="H712" i="16"/>
  <c r="O712" i="16"/>
  <c r="G712" i="16"/>
  <c r="F712" i="16"/>
  <c r="P712" i="16" s="1"/>
  <c r="H712" i="9" s="1"/>
  <c r="I712" i="9" s="1"/>
  <c r="L712" i="16"/>
  <c r="I713" i="16"/>
  <c r="G723" i="16"/>
  <c r="L724" i="16"/>
  <c r="K724" i="16"/>
  <c r="J724" i="16"/>
  <c r="I724" i="16"/>
  <c r="F730" i="16"/>
  <c r="M730" i="16"/>
  <c r="E730" i="16"/>
  <c r="L730" i="16"/>
  <c r="K730" i="16"/>
  <c r="O730" i="16" s="1"/>
  <c r="M733" i="16"/>
  <c r="L735" i="16"/>
  <c r="I736" i="16"/>
  <c r="K741" i="16"/>
  <c r="L741" i="16"/>
  <c r="F748" i="16"/>
  <c r="G753" i="16"/>
  <c r="F753" i="16"/>
  <c r="M753" i="16"/>
  <c r="E753" i="16"/>
  <c r="L753" i="16"/>
  <c r="O753" i="16" s="1"/>
  <c r="H754" i="16"/>
  <c r="M763" i="16"/>
  <c r="E763" i="16"/>
  <c r="L763" i="16"/>
  <c r="O763" i="16" s="1"/>
  <c r="K763" i="16"/>
  <c r="J763" i="16"/>
  <c r="J766" i="16"/>
  <c r="L766" i="16"/>
  <c r="H776" i="16"/>
  <c r="G776" i="16"/>
  <c r="F776" i="16"/>
  <c r="L776" i="16"/>
  <c r="O776" i="16" s="1"/>
  <c r="I777" i="16"/>
  <c r="K781" i="16"/>
  <c r="J781" i="16"/>
  <c r="G787" i="16"/>
  <c r="L788" i="16"/>
  <c r="K788" i="16"/>
  <c r="J788" i="16"/>
  <c r="I788" i="16"/>
  <c r="F794" i="16"/>
  <c r="M794" i="16"/>
  <c r="E794" i="16"/>
  <c r="L794" i="16"/>
  <c r="O794" i="16" s="1"/>
  <c r="K794" i="16"/>
  <c r="L799" i="16"/>
  <c r="I800" i="16"/>
  <c r="L805" i="16"/>
  <c r="F812" i="16"/>
  <c r="G817" i="16"/>
  <c r="F817" i="16"/>
  <c r="M817" i="16"/>
  <c r="E817" i="16"/>
  <c r="L817" i="16"/>
  <c r="O817" i="16" s="1"/>
  <c r="H818" i="16"/>
  <c r="M827" i="16"/>
  <c r="O827" i="16" s="1"/>
  <c r="E827" i="16"/>
  <c r="L827" i="16"/>
  <c r="K827" i="16"/>
  <c r="J827" i="16"/>
  <c r="J830" i="16"/>
  <c r="L830" i="16"/>
  <c r="H839" i="16"/>
  <c r="G839" i="16"/>
  <c r="H840" i="16"/>
  <c r="G840" i="16"/>
  <c r="F840" i="16"/>
  <c r="L840" i="16"/>
  <c r="O840" i="16" s="1"/>
  <c r="I841" i="16"/>
  <c r="O841" i="16" s="1"/>
  <c r="G851" i="16"/>
  <c r="L852" i="16"/>
  <c r="K852" i="16"/>
  <c r="J852" i="16"/>
  <c r="I852" i="16"/>
  <c r="O855" i="16"/>
  <c r="P855" i="16" s="1"/>
  <c r="M858" i="16"/>
  <c r="E858" i="16"/>
  <c r="L858" i="16"/>
  <c r="K858" i="16"/>
  <c r="M861" i="16"/>
  <c r="L863" i="16"/>
  <c r="I864" i="16"/>
  <c r="K869" i="16"/>
  <c r="L869" i="16"/>
  <c r="F876" i="16"/>
  <c r="O881" i="16"/>
  <c r="G881" i="16"/>
  <c r="M881" i="16"/>
  <c r="E881" i="16"/>
  <c r="L881" i="16"/>
  <c r="H882" i="16"/>
  <c r="M891" i="16"/>
  <c r="E891" i="16"/>
  <c r="L891" i="16"/>
  <c r="K891" i="16"/>
  <c r="J891" i="16"/>
  <c r="J894" i="16"/>
  <c r="L894" i="16"/>
  <c r="H903" i="16"/>
  <c r="G903" i="16"/>
  <c r="H904" i="16"/>
  <c r="O904" i="16"/>
  <c r="G904" i="16"/>
  <c r="F904" i="16"/>
  <c r="P904" i="16" s="1"/>
  <c r="L904" i="16"/>
  <c r="I905" i="16"/>
  <c r="G915" i="16"/>
  <c r="L916" i="16"/>
  <c r="K916" i="16"/>
  <c r="J916" i="16"/>
  <c r="I916" i="16"/>
  <c r="F922" i="16"/>
  <c r="M922" i="16"/>
  <c r="E922" i="16"/>
  <c r="L922" i="16"/>
  <c r="O922" i="16" s="1"/>
  <c r="K922" i="16"/>
  <c r="M925" i="16"/>
  <c r="L927" i="16"/>
  <c r="I928" i="16"/>
  <c r="K933" i="16"/>
  <c r="L933" i="16"/>
  <c r="F940" i="16"/>
  <c r="G945" i="16"/>
  <c r="F945" i="16"/>
  <c r="M945" i="16"/>
  <c r="E945" i="16"/>
  <c r="L945" i="16"/>
  <c r="O945" i="16" s="1"/>
  <c r="H946" i="16"/>
  <c r="M955" i="16"/>
  <c r="E955" i="16"/>
  <c r="L955" i="16"/>
  <c r="O955" i="16" s="1"/>
  <c r="K955" i="16"/>
  <c r="J955" i="16"/>
  <c r="J958" i="16"/>
  <c r="L958" i="16"/>
  <c r="H967" i="16"/>
  <c r="G967" i="16"/>
  <c r="H968" i="16"/>
  <c r="O968" i="16"/>
  <c r="G968" i="16"/>
  <c r="F968" i="16"/>
  <c r="P968" i="16" s="1"/>
  <c r="L968" i="16"/>
  <c r="I969" i="16"/>
  <c r="G979" i="16"/>
  <c r="L980" i="16"/>
  <c r="K980" i="16"/>
  <c r="J980" i="16"/>
  <c r="I980" i="16"/>
  <c r="O980" i="16" s="1"/>
  <c r="P980" i="16" s="1"/>
  <c r="H980" i="9" s="1"/>
  <c r="I980" i="9" s="1"/>
  <c r="K985" i="16"/>
  <c r="H991" i="16"/>
  <c r="G991" i="16"/>
  <c r="M991" i="16"/>
  <c r="L991" i="16"/>
  <c r="M995" i="16"/>
  <c r="E995" i="16"/>
  <c r="L995" i="16"/>
  <c r="K995" i="16"/>
  <c r="G995" i="16"/>
  <c r="T995" i="16"/>
  <c r="F995" i="16"/>
  <c r="P995" i="16" s="1"/>
  <c r="H995" i="9" s="1"/>
  <c r="O995" i="16"/>
  <c r="I1004" i="16"/>
  <c r="O1004" i="16" s="1"/>
  <c r="J1005" i="16"/>
  <c r="M1005" i="16"/>
  <c r="L1005" i="16"/>
  <c r="H1005" i="16"/>
  <c r="H1008" i="16"/>
  <c r="O1008" i="16"/>
  <c r="G1008" i="16"/>
  <c r="I1008" i="16"/>
  <c r="E1008" i="16"/>
  <c r="T1008" i="16" s="1"/>
  <c r="L1012" i="16"/>
  <c r="K1012" i="16"/>
  <c r="J1012" i="16"/>
  <c r="G1012" i="16"/>
  <c r="E1012" i="16"/>
  <c r="F1018" i="16"/>
  <c r="M1018" i="16"/>
  <c r="E1018" i="16"/>
  <c r="L1018" i="16"/>
  <c r="I1018" i="16"/>
  <c r="H1018" i="16"/>
  <c r="G1018" i="16"/>
  <c r="G1028" i="16"/>
  <c r="K1049" i="16"/>
  <c r="G1057" i="16"/>
  <c r="F1057" i="16"/>
  <c r="M1057" i="16"/>
  <c r="E1057" i="16"/>
  <c r="H1057" i="16"/>
  <c r="L1064" i="16"/>
  <c r="J1077" i="16"/>
  <c r="L1077" i="16"/>
  <c r="H1077" i="16"/>
  <c r="G1077" i="16"/>
  <c r="L1092" i="16"/>
  <c r="K1092" i="16"/>
  <c r="J1092" i="16"/>
  <c r="E1092" i="16"/>
  <c r="M1092" i="16"/>
  <c r="G1097" i="16"/>
  <c r="F1097" i="16"/>
  <c r="M1097" i="16"/>
  <c r="E1097" i="16"/>
  <c r="K1097" i="16"/>
  <c r="J1097" i="16"/>
  <c r="I1097" i="16"/>
  <c r="H1097" i="16"/>
  <c r="L1105" i="16"/>
  <c r="K1112" i="16"/>
  <c r="M1115" i="16"/>
  <c r="E1115" i="16"/>
  <c r="L1115" i="16"/>
  <c r="K1115" i="16"/>
  <c r="H1115" i="16"/>
  <c r="G1115" i="16"/>
  <c r="H1119" i="16"/>
  <c r="G1119" i="16"/>
  <c r="M1119" i="16"/>
  <c r="L1119" i="16"/>
  <c r="K1119" i="16"/>
  <c r="J1121" i="16"/>
  <c r="H1136" i="16"/>
  <c r="G1136" i="16"/>
  <c r="F1136" i="16"/>
  <c r="I1136" i="16"/>
  <c r="E1136" i="16"/>
  <c r="L1140" i="16"/>
  <c r="K1140" i="16"/>
  <c r="J1140" i="16"/>
  <c r="G1140" i="16"/>
  <c r="F1140" i="16"/>
  <c r="E1140" i="16"/>
  <c r="F1146" i="16"/>
  <c r="M1146" i="16"/>
  <c r="E1146" i="16"/>
  <c r="L1146" i="16"/>
  <c r="I1146" i="16"/>
  <c r="H1146" i="16"/>
  <c r="G1146" i="16"/>
  <c r="M1158" i="16"/>
  <c r="L1158" i="16"/>
  <c r="K1158" i="16"/>
  <c r="G1158" i="16"/>
  <c r="I1162" i="16"/>
  <c r="K1168" i="16"/>
  <c r="K1177" i="16"/>
  <c r="H1184" i="16"/>
  <c r="G1184" i="16"/>
  <c r="K1184" i="16"/>
  <c r="J1184" i="16"/>
  <c r="I1184" i="16"/>
  <c r="E1184" i="16"/>
  <c r="L1192" i="16"/>
  <c r="L1205" i="16"/>
  <c r="H1205" i="16"/>
  <c r="G1205" i="16"/>
  <c r="F1226" i="16"/>
  <c r="M1226" i="16"/>
  <c r="E1226" i="16"/>
  <c r="L1226" i="16"/>
  <c r="G1226" i="16"/>
  <c r="F1229" i="16"/>
  <c r="L1230" i="16"/>
  <c r="K1230" i="16"/>
  <c r="G1230" i="16"/>
  <c r="K1241" i="16"/>
  <c r="I1251" i="16"/>
  <c r="H1271" i="16"/>
  <c r="G1271" i="16"/>
  <c r="O1271" i="16" s="1"/>
  <c r="K1271" i="16"/>
  <c r="J1271" i="16"/>
  <c r="K1274" i="16"/>
  <c r="H1277" i="16"/>
  <c r="G1277" i="16"/>
  <c r="O1277" i="16" s="1"/>
  <c r="E1277" i="16"/>
  <c r="M1278" i="16"/>
  <c r="L1278" i="16"/>
  <c r="K1278" i="16"/>
  <c r="K1281" i="16"/>
  <c r="J1281" i="16"/>
  <c r="I1281" i="16"/>
  <c r="K1296" i="16"/>
  <c r="J1296" i="16"/>
  <c r="J1302" i="16"/>
  <c r="H1312" i="16"/>
  <c r="O1312" i="16"/>
  <c r="G1312" i="16"/>
  <c r="F1312" i="16"/>
  <c r="K1312" i="16"/>
  <c r="J1312" i="16"/>
  <c r="I1312" i="16"/>
  <c r="E1312" i="16"/>
  <c r="H1319" i="16"/>
  <c r="G1319" i="16"/>
  <c r="M1319" i="16"/>
  <c r="L1319" i="16"/>
  <c r="K1319" i="16"/>
  <c r="J1319" i="16"/>
  <c r="O1326" i="16"/>
  <c r="H1328" i="16"/>
  <c r="O1328" i="16"/>
  <c r="G1328" i="16"/>
  <c r="F1328" i="16"/>
  <c r="I1328" i="16"/>
  <c r="E1328" i="16"/>
  <c r="L1332" i="16"/>
  <c r="K1332" i="16"/>
  <c r="J1332" i="16"/>
  <c r="G1332" i="16"/>
  <c r="F1332" i="16"/>
  <c r="E1332" i="16"/>
  <c r="O1332" i="16"/>
  <c r="H1340" i="16"/>
  <c r="L1372" i="16"/>
  <c r="K1372" i="16"/>
  <c r="J1372" i="16"/>
  <c r="T1372" i="16"/>
  <c r="F1372" i="16"/>
  <c r="P1372" i="16"/>
  <c r="E1372" i="16"/>
  <c r="O1372" i="16"/>
  <c r="N1372" i="16"/>
  <c r="P1376" i="16"/>
  <c r="H1376" i="16"/>
  <c r="O1376" i="16"/>
  <c r="G1376" i="16"/>
  <c r="N1376" i="16"/>
  <c r="F1376" i="16"/>
  <c r="K1376" i="16"/>
  <c r="J1376" i="16"/>
  <c r="I1376" i="16"/>
  <c r="E1376" i="16"/>
  <c r="O1393" i="16"/>
  <c r="G1393" i="16"/>
  <c r="N1393" i="16"/>
  <c r="F1393" i="16"/>
  <c r="M1393" i="16"/>
  <c r="E1393" i="16"/>
  <c r="J1393" i="16"/>
  <c r="I1393" i="16"/>
  <c r="H1393" i="16"/>
  <c r="M1395" i="16"/>
  <c r="E1395" i="16"/>
  <c r="L1395" i="16"/>
  <c r="K1395" i="16"/>
  <c r="I1395" i="16"/>
  <c r="H1395" i="16"/>
  <c r="G1395" i="16"/>
  <c r="T1395" i="16"/>
  <c r="F1395" i="16"/>
  <c r="N1403" i="16"/>
  <c r="I1411" i="16"/>
  <c r="K1424" i="16"/>
  <c r="O1426" i="16"/>
  <c r="P1432" i="16"/>
  <c r="H1432" i="16"/>
  <c r="O1432" i="16"/>
  <c r="G1432" i="16"/>
  <c r="N1432" i="16"/>
  <c r="F1432" i="16"/>
  <c r="E1432" i="16"/>
  <c r="T1432" i="16"/>
  <c r="M1432" i="16"/>
  <c r="H1436" i="16"/>
  <c r="N1450" i="16"/>
  <c r="F1450" i="16"/>
  <c r="M1450" i="16"/>
  <c r="E1450" i="16"/>
  <c r="L1450" i="16"/>
  <c r="G1450" i="16"/>
  <c r="T1450" i="16"/>
  <c r="P1450" i="16"/>
  <c r="O1450" i="16"/>
  <c r="P1465" i="16"/>
  <c r="H1465" i="16"/>
  <c r="N1465" i="16"/>
  <c r="E1465" i="16"/>
  <c r="M1465" i="16"/>
  <c r="L1465" i="16"/>
  <c r="F1465" i="16"/>
  <c r="T1465" i="16"/>
  <c r="O1465" i="16"/>
  <c r="N1467" i="16"/>
  <c r="F1467" i="16"/>
  <c r="T1467" i="16"/>
  <c r="H1467" i="16"/>
  <c r="P1467" i="16"/>
  <c r="G1467" i="16"/>
  <c r="O1467" i="16"/>
  <c r="E1467" i="16"/>
  <c r="L1467" i="16"/>
  <c r="K1467" i="16"/>
  <c r="J1467" i="16"/>
  <c r="I1467" i="16"/>
  <c r="K1482" i="16"/>
  <c r="I1502" i="16"/>
  <c r="K1506" i="16"/>
  <c r="O1514" i="16"/>
  <c r="G1514" i="16"/>
  <c r="M1514" i="16"/>
  <c r="L1514" i="16"/>
  <c r="K1514" i="16"/>
  <c r="E1514" i="16"/>
  <c r="T1514" i="16"/>
  <c r="P1514" i="16"/>
  <c r="N1514" i="16"/>
  <c r="O1530" i="16"/>
  <c r="G1530" i="16"/>
  <c r="P1530" i="16"/>
  <c r="F1530" i="16"/>
  <c r="N1530" i="16"/>
  <c r="E1530" i="16"/>
  <c r="M1530" i="16"/>
  <c r="H1530" i="16"/>
  <c r="T1530" i="16"/>
  <c r="N1539" i="16"/>
  <c r="F1539" i="16"/>
  <c r="M1539" i="16"/>
  <c r="L1539" i="16"/>
  <c r="K1539" i="16"/>
  <c r="I1539" i="16"/>
  <c r="H1539" i="16"/>
  <c r="G1539" i="16"/>
  <c r="E1539" i="16"/>
  <c r="N1555" i="16"/>
  <c r="F1555" i="16"/>
  <c r="P1555" i="16"/>
  <c r="G1555" i="16"/>
  <c r="O1555" i="16"/>
  <c r="E1555" i="16"/>
  <c r="M1555" i="16"/>
  <c r="J1555" i="16"/>
  <c r="I1555" i="16"/>
  <c r="H1555" i="16"/>
  <c r="J1567" i="16"/>
  <c r="N1567" i="16"/>
  <c r="E1567" i="16"/>
  <c r="M1567" i="16"/>
  <c r="L1567" i="16"/>
  <c r="F1567" i="16"/>
  <c r="T1567" i="16"/>
  <c r="P1567" i="16"/>
  <c r="O1567" i="16"/>
  <c r="J1580" i="16"/>
  <c r="L1589" i="16"/>
  <c r="M1589" i="16"/>
  <c r="K1589" i="16"/>
  <c r="J1589" i="16"/>
  <c r="F1589" i="16"/>
  <c r="T1589" i="16"/>
  <c r="E1589" i="16"/>
  <c r="P1589" i="16"/>
  <c r="O1589" i="16"/>
  <c r="J1594" i="16"/>
  <c r="O1603" i="16"/>
  <c r="G1617" i="16"/>
  <c r="P1628" i="16"/>
  <c r="P1630" i="16"/>
  <c r="N1635" i="16"/>
  <c r="F1635" i="16"/>
  <c r="I1635" i="16"/>
  <c r="T1635" i="16"/>
  <c r="H1635" i="16"/>
  <c r="P1635" i="16"/>
  <c r="G1635" i="16"/>
  <c r="J1635" i="16"/>
  <c r="E1635" i="16"/>
  <c r="H1654" i="16"/>
  <c r="N1660" i="16"/>
  <c r="K1682" i="16"/>
  <c r="K1687" i="16"/>
  <c r="L1709" i="16"/>
  <c r="P1709" i="16"/>
  <c r="G1709" i="16"/>
  <c r="O1709" i="16"/>
  <c r="F1709" i="16"/>
  <c r="N1709" i="16"/>
  <c r="E1709" i="16"/>
  <c r="H1709" i="16"/>
  <c r="T1709" i="16"/>
  <c r="J1719" i="16"/>
  <c r="M1719" i="16"/>
  <c r="L1719" i="16"/>
  <c r="K1719" i="16"/>
  <c r="T1719" i="16"/>
  <c r="E1719" i="16"/>
  <c r="P1719" i="16"/>
  <c r="O1719" i="16"/>
  <c r="N1719" i="16"/>
  <c r="O1746" i="16"/>
  <c r="G1746" i="16"/>
  <c r="N1746" i="16"/>
  <c r="E1746" i="16"/>
  <c r="M1746" i="16"/>
  <c r="L1746" i="16"/>
  <c r="F1746" i="16"/>
  <c r="T1746" i="16"/>
  <c r="P1746" i="16"/>
  <c r="J1750" i="16"/>
  <c r="O1757" i="16"/>
  <c r="K1759" i="16"/>
  <c r="G1781" i="16"/>
  <c r="N1782" i="16"/>
  <c r="J1796" i="16"/>
  <c r="P1798" i="16"/>
  <c r="M1812" i="16"/>
  <c r="E1812" i="16"/>
  <c r="T1812" i="16"/>
  <c r="H1812" i="16"/>
  <c r="P1812" i="16"/>
  <c r="G1812" i="16"/>
  <c r="O1812" i="16"/>
  <c r="F1812" i="16"/>
  <c r="J1812" i="16"/>
  <c r="I1812" i="16"/>
  <c r="M1838" i="16"/>
  <c r="K1862" i="16"/>
  <c r="O1862" i="16"/>
  <c r="F1862" i="16"/>
  <c r="N1862" i="16"/>
  <c r="E1862" i="16"/>
  <c r="M1862" i="16"/>
  <c r="H1862" i="16"/>
  <c r="G1862" i="16"/>
  <c r="T1862" i="16"/>
  <c r="O1866" i="16"/>
  <c r="G1866" i="16"/>
  <c r="I1866" i="16"/>
  <c r="T1866" i="16"/>
  <c r="H1866" i="16"/>
  <c r="P1866" i="16"/>
  <c r="F1866" i="16"/>
  <c r="L1866" i="16"/>
  <c r="K1866" i="16"/>
  <c r="J1866" i="16"/>
  <c r="E1866" i="16"/>
  <c r="K1886" i="16"/>
  <c r="N1886" i="16"/>
  <c r="E1886" i="16"/>
  <c r="M1886" i="16"/>
  <c r="L1886" i="16"/>
  <c r="H1886" i="16"/>
  <c r="G1886" i="16"/>
  <c r="F1886" i="16"/>
  <c r="T1886" i="16"/>
  <c r="P1889" i="16"/>
  <c r="H1889" i="16"/>
  <c r="O1889" i="16"/>
  <c r="F1889" i="16"/>
  <c r="N1889" i="16"/>
  <c r="E1889" i="16"/>
  <c r="M1889" i="16"/>
  <c r="K1889" i="16"/>
  <c r="J1889" i="16"/>
  <c r="I1889" i="16"/>
  <c r="G1889" i="16"/>
  <c r="O1898" i="16"/>
  <c r="G1898" i="16"/>
  <c r="M1898" i="16"/>
  <c r="L1898" i="16"/>
  <c r="K1898" i="16"/>
  <c r="I1898" i="16"/>
  <c r="H1898" i="16"/>
  <c r="F1898" i="16"/>
  <c r="E1898" i="16"/>
  <c r="K1902" i="16"/>
  <c r="P1902" i="16"/>
  <c r="G1902" i="16"/>
  <c r="O1902" i="16"/>
  <c r="F1902" i="16"/>
  <c r="N1902" i="16"/>
  <c r="E1902" i="16"/>
  <c r="H1902" i="16"/>
  <c r="T1902" i="16"/>
  <c r="I1911" i="16"/>
  <c r="N1915" i="16"/>
  <c r="F1915" i="16"/>
  <c r="T1915" i="16"/>
  <c r="H1915" i="16"/>
  <c r="P1915" i="16"/>
  <c r="G1915" i="16"/>
  <c r="O1915" i="16"/>
  <c r="E1915" i="16"/>
  <c r="J1915" i="16"/>
  <c r="I1915" i="16"/>
  <c r="L1930" i="16"/>
  <c r="I1948" i="16"/>
  <c r="J1962" i="16"/>
  <c r="J1975" i="16"/>
  <c r="M1975" i="16"/>
  <c r="L1975" i="16"/>
  <c r="K1975" i="16"/>
  <c r="T1975" i="16"/>
  <c r="E1975" i="16"/>
  <c r="P1975" i="16"/>
  <c r="O1975" i="16"/>
  <c r="N1975" i="16"/>
  <c r="I2051" i="16"/>
  <c r="J2066" i="16"/>
  <c r="K2092" i="16"/>
  <c r="P2097" i="16"/>
  <c r="H2097" i="16"/>
  <c r="I2097" i="16"/>
  <c r="T2097" i="16"/>
  <c r="G2097" i="16"/>
  <c r="O2097" i="16"/>
  <c r="F2097" i="16"/>
  <c r="K2097" i="16"/>
  <c r="J2097" i="16"/>
  <c r="E2097" i="16"/>
  <c r="J2119" i="16"/>
  <c r="O2119" i="16"/>
  <c r="F2119" i="16"/>
  <c r="N2119" i="16"/>
  <c r="E2119" i="16"/>
  <c r="M2119" i="16"/>
  <c r="H2119" i="16"/>
  <c r="G2119" i="16"/>
  <c r="T2119" i="16"/>
  <c r="L2133" i="16"/>
  <c r="T2133" i="16"/>
  <c r="H2133" i="16"/>
  <c r="P2133" i="16"/>
  <c r="G2133" i="16"/>
  <c r="O2133" i="16"/>
  <c r="F2133" i="16"/>
  <c r="I2133" i="16"/>
  <c r="E2133" i="16"/>
  <c r="O2179" i="16"/>
  <c r="H2204" i="16"/>
  <c r="P2209" i="16"/>
  <c r="H2209" i="16"/>
  <c r="O2209" i="16"/>
  <c r="F2209" i="16"/>
  <c r="N2209" i="16"/>
  <c r="E2209" i="16"/>
  <c r="M2209" i="16"/>
  <c r="I2209" i="16"/>
  <c r="G2209" i="16"/>
  <c r="L2225" i="16"/>
  <c r="P2257" i="16"/>
  <c r="H2257" i="16"/>
  <c r="M2257" i="16"/>
  <c r="L2257" i="16"/>
  <c r="K2257" i="16"/>
  <c r="G2257" i="16"/>
  <c r="F2257" i="16"/>
  <c r="E2257" i="16"/>
  <c r="T2257" i="16"/>
  <c r="N2259" i="16"/>
  <c r="F2259" i="16"/>
  <c r="P2259" i="16"/>
  <c r="G2259" i="16"/>
  <c r="O2259" i="16"/>
  <c r="E2259" i="16"/>
  <c r="M2259" i="16"/>
  <c r="K2259" i="16"/>
  <c r="J2259" i="16"/>
  <c r="I2259" i="16"/>
  <c r="H2259" i="16"/>
  <c r="J2283" i="16"/>
  <c r="K2294" i="16"/>
  <c r="M2294" i="16"/>
  <c r="L2294" i="16"/>
  <c r="J2294" i="16"/>
  <c r="T2294" i="16"/>
  <c r="E2294" i="16"/>
  <c r="P2294" i="16"/>
  <c r="O2294" i="16"/>
  <c r="N2294" i="16"/>
  <c r="J2295" i="16"/>
  <c r="M2295" i="16"/>
  <c r="L2295" i="16"/>
  <c r="K2295" i="16"/>
  <c r="H2295" i="16"/>
  <c r="G2295" i="16"/>
  <c r="F2295" i="16"/>
  <c r="T2295" i="16"/>
  <c r="E2295" i="16"/>
  <c r="N2299" i="16"/>
  <c r="F2299" i="16"/>
  <c r="T2299" i="16"/>
  <c r="H2299" i="16"/>
  <c r="P2299" i="16"/>
  <c r="G2299" i="16"/>
  <c r="O2299" i="16"/>
  <c r="E2299" i="16"/>
  <c r="K2299" i="16"/>
  <c r="J2299" i="16"/>
  <c r="I2299" i="16"/>
  <c r="P2307" i="16"/>
  <c r="G2321" i="16"/>
  <c r="P2332" i="16"/>
  <c r="P2334" i="16"/>
  <c r="N2339" i="16"/>
  <c r="F2339" i="16"/>
  <c r="I2339" i="16"/>
  <c r="T2339" i="16"/>
  <c r="H2339" i="16"/>
  <c r="P2339" i="16"/>
  <c r="G2339" i="16"/>
  <c r="J2339" i="16"/>
  <c r="E2339" i="16"/>
  <c r="K2349" i="16"/>
  <c r="P2377" i="16"/>
  <c r="H2377" i="16"/>
  <c r="T2377" i="16"/>
  <c r="G2377" i="16"/>
  <c r="O2377" i="16"/>
  <c r="F2377" i="16"/>
  <c r="N2377" i="16"/>
  <c r="E2377" i="16"/>
  <c r="K2377" i="16"/>
  <c r="J2377" i="16"/>
  <c r="I2377" i="16"/>
  <c r="O2386" i="16"/>
  <c r="G2386" i="16"/>
  <c r="N2386" i="16"/>
  <c r="E2386" i="16"/>
  <c r="M2386" i="16"/>
  <c r="L2386" i="16"/>
  <c r="I2386" i="16"/>
  <c r="H2386" i="16"/>
  <c r="F2386" i="16"/>
  <c r="K2390" i="16"/>
  <c r="T2390" i="16"/>
  <c r="H2390" i="16"/>
  <c r="P2390" i="16"/>
  <c r="G2390" i="16"/>
  <c r="O2390" i="16"/>
  <c r="F2390" i="16"/>
  <c r="J2390" i="16"/>
  <c r="I2390" i="16"/>
  <c r="E2390" i="16"/>
  <c r="K2398" i="16"/>
  <c r="N2398" i="16"/>
  <c r="E2398" i="16"/>
  <c r="M2398" i="16"/>
  <c r="L2398" i="16"/>
  <c r="F2398" i="16"/>
  <c r="T2398" i="16"/>
  <c r="P2398" i="16"/>
  <c r="O2398" i="16"/>
  <c r="M2428" i="16"/>
  <c r="E2428" i="16"/>
  <c r="I2428" i="16"/>
  <c r="T2428" i="16"/>
  <c r="H2428" i="16"/>
  <c r="P2428" i="16"/>
  <c r="G2428" i="16"/>
  <c r="L2428" i="16"/>
  <c r="K2428" i="16"/>
  <c r="N2428" i="16"/>
  <c r="J2428" i="16"/>
  <c r="F2428" i="16"/>
  <c r="K2438" i="16"/>
  <c r="O2438" i="16"/>
  <c r="F2438" i="16"/>
  <c r="N2438" i="16"/>
  <c r="E2438" i="16"/>
  <c r="M2438" i="16"/>
  <c r="J2438" i="16"/>
  <c r="I2438" i="16"/>
  <c r="L2438" i="16"/>
  <c r="H2438" i="16"/>
  <c r="G2438" i="16"/>
  <c r="M2511" i="16"/>
  <c r="O2515" i="16"/>
  <c r="G2515" i="16"/>
  <c r="N2515" i="16"/>
  <c r="F2515" i="16"/>
  <c r="H2515" i="16"/>
  <c r="T2515" i="16"/>
  <c r="E2515" i="16"/>
  <c r="P2515" i="16"/>
  <c r="K2515" i="16"/>
  <c r="J2515" i="16"/>
  <c r="M2515" i="16"/>
  <c r="L2515" i="16"/>
  <c r="I2515" i="16"/>
  <c r="P2538" i="16"/>
  <c r="H2538" i="16"/>
  <c r="O2538" i="16"/>
  <c r="G2538" i="16"/>
  <c r="F2538" i="16"/>
  <c r="T2538" i="16"/>
  <c r="E2538" i="16"/>
  <c r="N2538" i="16"/>
  <c r="L2538" i="16"/>
  <c r="K2538" i="16"/>
  <c r="J2538" i="16"/>
  <c r="I2538" i="16"/>
  <c r="O2587" i="16"/>
  <c r="G2587" i="16"/>
  <c r="N2587" i="16"/>
  <c r="F2587" i="16"/>
  <c r="I2587" i="16"/>
  <c r="H2587" i="16"/>
  <c r="T2587" i="16"/>
  <c r="E2587" i="16"/>
  <c r="L2587" i="16"/>
  <c r="K2587" i="16"/>
  <c r="P2587" i="16"/>
  <c r="M2587" i="16"/>
  <c r="J2587" i="16"/>
  <c r="L2598" i="16"/>
  <c r="K2598" i="16"/>
  <c r="H2598" i="16"/>
  <c r="T2598" i="16"/>
  <c r="G2598" i="16"/>
  <c r="P2598" i="16"/>
  <c r="F2598" i="16"/>
  <c r="J2598" i="16"/>
  <c r="I2598" i="16"/>
  <c r="E2598" i="16"/>
  <c r="L2630" i="16"/>
  <c r="K2630" i="16"/>
  <c r="N2630" i="16"/>
  <c r="M2630" i="16"/>
  <c r="J2630" i="16"/>
  <c r="T2630" i="16"/>
  <c r="P2630" i="16"/>
  <c r="H2630" i="16"/>
  <c r="G2630" i="16"/>
  <c r="F2630" i="16"/>
  <c r="E2630" i="16"/>
  <c r="M2653" i="16"/>
  <c r="E2653" i="16"/>
  <c r="L2653" i="16"/>
  <c r="P2653" i="16"/>
  <c r="F2653" i="16"/>
  <c r="O2653" i="16"/>
  <c r="N2653" i="16"/>
  <c r="J2653" i="16"/>
  <c r="I2653" i="16"/>
  <c r="H2653" i="16"/>
  <c r="G2653" i="16"/>
  <c r="L2710" i="16"/>
  <c r="K2710" i="16"/>
  <c r="P2710" i="16"/>
  <c r="F2710" i="16"/>
  <c r="O2710" i="16"/>
  <c r="E2710" i="16"/>
  <c r="N2710" i="16"/>
  <c r="J2710" i="16"/>
  <c r="I2710" i="16"/>
  <c r="G2710" i="16"/>
  <c r="H2710" i="16"/>
  <c r="L2766" i="16"/>
  <c r="K2766" i="16"/>
  <c r="O2766" i="16"/>
  <c r="E2766" i="16"/>
  <c r="N2766" i="16"/>
  <c r="M2766" i="16"/>
  <c r="I2766" i="16"/>
  <c r="H2766" i="16"/>
  <c r="F2766" i="16"/>
  <c r="P2766" i="16"/>
  <c r="J2766" i="16"/>
  <c r="G2766" i="16"/>
  <c r="N2804" i="16"/>
  <c r="F2804" i="16"/>
  <c r="M2804" i="16"/>
  <c r="E2804" i="16"/>
  <c r="T2804" i="16"/>
  <c r="G2804" i="16"/>
  <c r="P2804" i="16"/>
  <c r="O2804" i="16"/>
  <c r="H2804" i="16"/>
  <c r="K2804" i="16"/>
  <c r="J2804" i="16"/>
  <c r="I2804" i="16"/>
  <c r="L2846" i="16"/>
  <c r="K2846" i="16"/>
  <c r="T2846" i="16"/>
  <c r="G2846" i="16"/>
  <c r="P2846" i="16"/>
  <c r="F2846" i="16"/>
  <c r="O2846" i="16"/>
  <c r="E2846" i="16"/>
  <c r="M2846" i="16"/>
  <c r="J2846" i="16"/>
  <c r="H2846" i="16"/>
  <c r="N2846" i="16"/>
  <c r="I2846" i="16"/>
  <c r="L2894" i="16"/>
  <c r="K2894" i="16"/>
  <c r="O2894" i="16"/>
  <c r="E2894" i="16"/>
  <c r="N2894" i="16"/>
  <c r="M2894" i="16"/>
  <c r="I2894" i="16"/>
  <c r="H2894" i="16"/>
  <c r="F2894" i="16"/>
  <c r="T2894" i="16"/>
  <c r="P2894" i="16"/>
  <c r="J2894" i="16"/>
  <c r="G2894" i="16"/>
  <c r="J2901" i="16"/>
  <c r="P2906" i="16"/>
  <c r="H2906" i="16"/>
  <c r="O2906" i="16"/>
  <c r="G2906" i="16"/>
  <c r="N2906" i="16"/>
  <c r="M2906" i="16"/>
  <c r="L2906" i="16"/>
  <c r="E2906" i="16"/>
  <c r="T2906" i="16"/>
  <c r="J2906" i="16"/>
  <c r="I2906" i="16"/>
  <c r="F2906" i="16"/>
  <c r="N2932" i="16"/>
  <c r="F2932" i="16"/>
  <c r="M2932" i="16"/>
  <c r="E2932" i="16"/>
  <c r="T2932" i="16"/>
  <c r="G2932" i="16"/>
  <c r="P2932" i="16"/>
  <c r="O2932" i="16"/>
  <c r="K2932" i="16"/>
  <c r="I2932" i="16"/>
  <c r="H2932" i="16"/>
  <c r="O3027" i="16"/>
  <c r="G3027" i="16"/>
  <c r="N3027" i="16"/>
  <c r="F3027" i="16"/>
  <c r="H3027" i="16"/>
  <c r="T3027" i="16"/>
  <c r="E3027" i="16"/>
  <c r="P3027" i="16"/>
  <c r="J3027" i="16"/>
  <c r="I3027" i="16"/>
  <c r="L3027" i="16"/>
  <c r="K3027" i="16"/>
  <c r="N3039" i="16"/>
  <c r="O3091" i="16"/>
  <c r="G3091" i="16"/>
  <c r="N3091" i="16"/>
  <c r="F3091" i="16"/>
  <c r="H3091" i="16"/>
  <c r="T3091" i="16"/>
  <c r="E3091" i="16"/>
  <c r="P3091" i="16"/>
  <c r="L3091" i="16"/>
  <c r="I3091" i="16"/>
  <c r="M3157" i="16"/>
  <c r="E3157" i="16"/>
  <c r="L3157" i="16"/>
  <c r="O3157" i="16"/>
  <c r="N3157" i="16"/>
  <c r="K3157" i="16"/>
  <c r="T3157" i="16"/>
  <c r="P3157" i="16"/>
  <c r="I3157" i="16"/>
  <c r="J3157" i="16"/>
  <c r="H3157" i="16"/>
  <c r="G3157" i="16"/>
  <c r="F3157" i="16"/>
  <c r="N3188" i="16"/>
  <c r="F3188" i="16"/>
  <c r="M3188" i="16"/>
  <c r="E3188" i="16"/>
  <c r="T3188" i="16"/>
  <c r="G3188" i="16"/>
  <c r="P3188" i="16"/>
  <c r="O3188" i="16"/>
  <c r="K3188" i="16"/>
  <c r="J3188" i="16"/>
  <c r="H3188" i="16"/>
  <c r="L3188" i="16"/>
  <c r="I3188" i="16"/>
  <c r="K3207" i="16"/>
  <c r="J3207" i="16"/>
  <c r="O3207" i="16"/>
  <c r="E3207" i="16"/>
  <c r="N3207" i="16"/>
  <c r="M3207" i="16"/>
  <c r="F3207" i="16"/>
  <c r="P3207" i="16"/>
  <c r="G3207" i="16"/>
  <c r="O3235" i="16"/>
  <c r="G3235" i="16"/>
  <c r="N3235" i="16"/>
  <c r="F3235" i="16"/>
  <c r="J3235" i="16"/>
  <c r="I3235" i="16"/>
  <c r="H3235" i="16"/>
  <c r="E3235" i="16"/>
  <c r="T3235" i="16"/>
  <c r="M3235" i="16"/>
  <c r="L3235" i="16"/>
  <c r="K3235" i="16"/>
  <c r="K3271" i="16"/>
  <c r="J3271" i="16"/>
  <c r="O3271" i="16"/>
  <c r="E3271" i="16"/>
  <c r="N3271" i="16"/>
  <c r="M3271" i="16"/>
  <c r="H3271" i="16"/>
  <c r="G3271" i="16"/>
  <c r="I3271" i="16"/>
  <c r="F3271" i="16"/>
  <c r="L3278" i="16"/>
  <c r="K3278" i="16"/>
  <c r="O3278" i="16"/>
  <c r="E3278" i="16"/>
  <c r="N3278" i="16"/>
  <c r="M3278" i="16"/>
  <c r="I3278" i="16"/>
  <c r="H3278" i="16"/>
  <c r="F3278" i="16"/>
  <c r="G3278" i="16"/>
  <c r="L3294" i="16"/>
  <c r="K3294" i="16"/>
  <c r="T3294" i="16"/>
  <c r="G3294" i="16"/>
  <c r="P3294" i="16"/>
  <c r="F3294" i="16"/>
  <c r="O3294" i="16"/>
  <c r="E3294" i="16"/>
  <c r="J3294" i="16"/>
  <c r="I3294" i="16"/>
  <c r="H3294" i="16"/>
  <c r="P3314" i="16"/>
  <c r="H3314" i="16"/>
  <c r="O3314" i="16"/>
  <c r="G3314" i="16"/>
  <c r="I3314" i="16"/>
  <c r="F3314" i="16"/>
  <c r="T3314" i="16"/>
  <c r="E3314" i="16"/>
  <c r="L3314" i="16"/>
  <c r="K3314" i="16"/>
  <c r="N3314" i="16"/>
  <c r="M3314" i="16"/>
  <c r="J3314" i="16"/>
  <c r="O3391" i="16"/>
  <c r="L3422" i="16"/>
  <c r="K3422" i="16"/>
  <c r="T3422" i="16"/>
  <c r="G3422" i="16"/>
  <c r="P3422" i="16"/>
  <c r="F3422" i="16"/>
  <c r="O3422" i="16"/>
  <c r="E3422" i="16"/>
  <c r="M3422" i="16"/>
  <c r="J3422" i="16"/>
  <c r="H3422" i="16"/>
  <c r="N3422" i="16"/>
  <c r="I3422" i="16"/>
  <c r="O3523" i="16"/>
  <c r="G3523" i="16"/>
  <c r="N3523" i="16"/>
  <c r="F3523" i="16"/>
  <c r="P3523" i="16"/>
  <c r="M3523" i="16"/>
  <c r="L3523" i="16"/>
  <c r="J3523" i="16"/>
  <c r="I3523" i="16"/>
  <c r="H3523" i="16"/>
  <c r="E3523" i="16"/>
  <c r="T3523" i="16"/>
  <c r="K3523" i="16"/>
  <c r="M3551" i="16"/>
  <c r="P3626" i="16"/>
  <c r="H3626" i="16"/>
  <c r="O3626" i="16"/>
  <c r="G3626" i="16"/>
  <c r="F3626" i="16"/>
  <c r="T3626" i="16"/>
  <c r="E3626" i="16"/>
  <c r="N3626" i="16"/>
  <c r="L3626" i="16"/>
  <c r="K3626" i="16"/>
  <c r="J3626" i="16"/>
  <c r="I3626" i="16"/>
  <c r="M3626" i="16"/>
  <c r="M3677" i="16"/>
  <c r="E3677" i="16"/>
  <c r="L3677" i="16"/>
  <c r="P3677" i="16"/>
  <c r="F3677" i="16"/>
  <c r="O3677" i="16"/>
  <c r="N3677" i="16"/>
  <c r="J3677" i="16"/>
  <c r="I3677" i="16"/>
  <c r="H3677" i="16"/>
  <c r="G3677" i="16"/>
  <c r="T3677" i="16"/>
  <c r="K3677" i="16"/>
  <c r="M3733" i="16"/>
  <c r="E3733" i="16"/>
  <c r="L3733" i="16"/>
  <c r="O3733" i="16"/>
  <c r="N3733" i="16"/>
  <c r="K3733" i="16"/>
  <c r="H3733" i="16"/>
  <c r="G3733" i="16"/>
  <c r="F3733" i="16"/>
  <c r="T3733" i="16"/>
  <c r="P3733" i="16"/>
  <c r="J3733" i="16"/>
  <c r="I3733" i="16"/>
  <c r="M3805" i="16"/>
  <c r="E3805" i="16"/>
  <c r="L3805" i="16"/>
  <c r="P3805" i="16"/>
  <c r="F3805" i="16"/>
  <c r="O3805" i="16"/>
  <c r="N3805" i="16"/>
  <c r="I3805" i="16"/>
  <c r="H3805" i="16"/>
  <c r="J3805" i="16"/>
  <c r="G3805" i="16"/>
  <c r="T3805" i="16"/>
  <c r="K3805" i="16"/>
  <c r="N3820" i="16"/>
  <c r="F3820" i="16"/>
  <c r="M3820" i="16"/>
  <c r="E3820" i="16"/>
  <c r="P3820" i="16"/>
  <c r="O3820" i="16"/>
  <c r="L3820" i="16"/>
  <c r="T3820" i="16"/>
  <c r="G3820" i="16"/>
  <c r="H3820" i="16"/>
  <c r="L4286" i="16"/>
  <c r="O4286" i="16"/>
  <c r="F4286" i="16"/>
  <c r="P4286" i="16"/>
  <c r="E4286" i="16"/>
  <c r="N4286" i="16"/>
  <c r="J4286" i="16"/>
  <c r="I4286" i="16"/>
  <c r="H4286" i="16"/>
  <c r="T4286" i="16"/>
  <c r="M4286" i="16"/>
  <c r="K4286" i="16"/>
  <c r="G4286" i="16"/>
  <c r="P4386" i="16"/>
  <c r="H4386" i="16"/>
  <c r="L4386" i="16"/>
  <c r="I4386" i="16"/>
  <c r="G4386" i="16"/>
  <c r="F4386" i="16"/>
  <c r="E4386" i="16"/>
  <c r="T4386" i="16"/>
  <c r="J4386" i="16"/>
  <c r="O4386" i="16"/>
  <c r="N4386" i="16"/>
  <c r="M4386" i="16"/>
  <c r="K4386" i="16"/>
  <c r="O4499" i="16"/>
  <c r="G4499" i="16"/>
  <c r="K4499" i="16"/>
  <c r="P4499" i="16"/>
  <c r="E4499" i="16"/>
  <c r="N4499" i="16"/>
  <c r="H4499" i="16"/>
  <c r="F4499" i="16"/>
  <c r="L4499" i="16"/>
  <c r="J4499" i="16"/>
  <c r="I4499" i="16"/>
  <c r="T4499" i="16"/>
  <c r="M4499" i="16"/>
  <c r="P4514" i="16"/>
  <c r="H4514" i="16"/>
  <c r="L4514" i="16"/>
  <c r="I4514" i="16"/>
  <c r="G4514" i="16"/>
  <c r="K4514" i="16"/>
  <c r="J4514" i="16"/>
  <c r="F4514" i="16"/>
  <c r="E4514" i="16"/>
  <c r="M4514" i="16"/>
  <c r="N4514" i="16"/>
  <c r="N4780" i="16"/>
  <c r="F4780" i="16"/>
  <c r="M4780" i="16"/>
  <c r="L4780" i="16"/>
  <c r="K4780" i="16"/>
  <c r="T4780" i="16"/>
  <c r="P4780" i="16"/>
  <c r="O4780" i="16"/>
  <c r="E4780" i="16"/>
  <c r="G4780" i="16"/>
  <c r="J4780" i="16"/>
  <c r="I4780" i="16"/>
  <c r="H4780" i="16"/>
  <c r="L4830" i="16"/>
  <c r="M4830" i="16"/>
  <c r="K4830" i="16"/>
  <c r="J4830" i="16"/>
  <c r="H4830" i="16"/>
  <c r="G4830" i="16"/>
  <c r="F4830" i="16"/>
  <c r="N4830" i="16"/>
  <c r="I4830" i="16"/>
  <c r="E4830" i="16"/>
  <c r="T4830" i="16"/>
  <c r="P4830" i="16"/>
  <c r="O4830" i="16"/>
  <c r="I83" i="16"/>
  <c r="T83" i="16"/>
  <c r="I91" i="16"/>
  <c r="T91" i="16"/>
  <c r="I99" i="16"/>
  <c r="T99" i="16"/>
  <c r="I107" i="16"/>
  <c r="T107" i="16"/>
  <c r="I115" i="16"/>
  <c r="T115" i="16"/>
  <c r="I123" i="16"/>
  <c r="T123" i="16"/>
  <c r="I131" i="16"/>
  <c r="T131" i="16"/>
  <c r="I139" i="16"/>
  <c r="T139" i="16"/>
  <c r="I147" i="16"/>
  <c r="T147" i="16"/>
  <c r="L156" i="16"/>
  <c r="K156" i="16"/>
  <c r="J156" i="16"/>
  <c r="I156" i="16"/>
  <c r="M162" i="16"/>
  <c r="E162" i="16"/>
  <c r="L162" i="16"/>
  <c r="K162" i="16"/>
  <c r="T167" i="16"/>
  <c r="T173" i="16"/>
  <c r="G185" i="16"/>
  <c r="F185" i="16"/>
  <c r="M185" i="16"/>
  <c r="E185" i="16"/>
  <c r="L185" i="16"/>
  <c r="M195" i="16"/>
  <c r="E195" i="16"/>
  <c r="L195" i="16"/>
  <c r="K195" i="16"/>
  <c r="J195" i="16"/>
  <c r="J198" i="16"/>
  <c r="P205" i="16"/>
  <c r="H205" i="9" s="1"/>
  <c r="P208" i="16"/>
  <c r="H208" i="9" s="1"/>
  <c r="H208" i="16"/>
  <c r="G208" i="16"/>
  <c r="F208" i="16"/>
  <c r="L208" i="16"/>
  <c r="L220" i="16"/>
  <c r="K220" i="16"/>
  <c r="J220" i="16"/>
  <c r="I220" i="16"/>
  <c r="F226" i="16"/>
  <c r="M226" i="16"/>
  <c r="E226" i="16"/>
  <c r="L226" i="16"/>
  <c r="K226" i="16"/>
  <c r="M229" i="16"/>
  <c r="T231" i="16"/>
  <c r="G236" i="16"/>
  <c r="O236" i="16" s="1"/>
  <c r="J237" i="16"/>
  <c r="I242" i="16"/>
  <c r="O249" i="16"/>
  <c r="G249" i="16"/>
  <c r="F249" i="16"/>
  <c r="M249" i="16"/>
  <c r="E249" i="16"/>
  <c r="L249" i="16"/>
  <c r="M254" i="16"/>
  <c r="M259" i="16"/>
  <c r="E259" i="16"/>
  <c r="L259" i="16"/>
  <c r="K259" i="16"/>
  <c r="J259" i="16"/>
  <c r="J262" i="16"/>
  <c r="J265" i="16"/>
  <c r="P269" i="16"/>
  <c r="H269" i="9" s="1"/>
  <c r="P272" i="16"/>
  <c r="H272" i="9" s="1"/>
  <c r="H272" i="16"/>
  <c r="O272" i="16"/>
  <c r="G272" i="16"/>
  <c r="L272" i="16"/>
  <c r="H275" i="16"/>
  <c r="L284" i="16"/>
  <c r="K284" i="16"/>
  <c r="J284" i="16"/>
  <c r="O284" i="16" s="1"/>
  <c r="I284" i="16"/>
  <c r="M287" i="16"/>
  <c r="J288" i="16"/>
  <c r="F290" i="16"/>
  <c r="M290" i="16"/>
  <c r="E290" i="16"/>
  <c r="L290" i="16"/>
  <c r="K290" i="16"/>
  <c r="O290" i="16" s="1"/>
  <c r="M293" i="16"/>
  <c r="T295" i="16"/>
  <c r="G300" i="16"/>
  <c r="J301" i="16"/>
  <c r="O301" i="16" s="1"/>
  <c r="I306" i="16"/>
  <c r="O313" i="16"/>
  <c r="G313" i="16"/>
  <c r="F313" i="16"/>
  <c r="M313" i="16"/>
  <c r="E313" i="16"/>
  <c r="P313" i="16" s="1"/>
  <c r="H313" i="9" s="1"/>
  <c r="L313" i="16"/>
  <c r="M318" i="16"/>
  <c r="M323" i="16"/>
  <c r="E323" i="16"/>
  <c r="L323" i="16"/>
  <c r="K323" i="16"/>
  <c r="J323" i="16"/>
  <c r="T326" i="16"/>
  <c r="J329" i="16"/>
  <c r="P333" i="16"/>
  <c r="H333" i="9" s="1"/>
  <c r="H336" i="16"/>
  <c r="O336" i="16"/>
  <c r="G336" i="16"/>
  <c r="F336" i="16"/>
  <c r="L336" i="16"/>
  <c r="H339" i="16"/>
  <c r="L348" i="16"/>
  <c r="K348" i="16"/>
  <c r="J348" i="16"/>
  <c r="I348" i="16"/>
  <c r="M351" i="16"/>
  <c r="J352" i="16"/>
  <c r="M354" i="16"/>
  <c r="E354" i="16"/>
  <c r="L354" i="16"/>
  <c r="K354" i="16"/>
  <c r="O354" i="16" s="1"/>
  <c r="M357" i="16"/>
  <c r="T359" i="16"/>
  <c r="G364" i="16"/>
  <c r="K365" i="16"/>
  <c r="I370" i="16"/>
  <c r="O377" i="16"/>
  <c r="G377" i="16"/>
  <c r="M377" i="16"/>
  <c r="E377" i="16"/>
  <c r="L377" i="16"/>
  <c r="M382" i="16"/>
  <c r="M387" i="16"/>
  <c r="E387" i="16"/>
  <c r="L387" i="16"/>
  <c r="K387" i="16"/>
  <c r="J387" i="16"/>
  <c r="O387" i="16" s="1"/>
  <c r="J390" i="16"/>
  <c r="O390" i="16" s="1"/>
  <c r="J393" i="16"/>
  <c r="O393" i="16" s="1"/>
  <c r="P397" i="16"/>
  <c r="H397" i="9" s="1"/>
  <c r="P400" i="16"/>
  <c r="H400" i="9" s="1"/>
  <c r="H400" i="16"/>
  <c r="O400" i="16"/>
  <c r="G400" i="16"/>
  <c r="F400" i="16"/>
  <c r="L400" i="16"/>
  <c r="H403" i="16"/>
  <c r="L412" i="16"/>
  <c r="K412" i="16"/>
  <c r="J412" i="16"/>
  <c r="I412" i="16"/>
  <c r="M415" i="16"/>
  <c r="J416" i="16"/>
  <c r="M418" i="16"/>
  <c r="E418" i="16"/>
  <c r="L418" i="16"/>
  <c r="K418" i="16"/>
  <c r="M421" i="16"/>
  <c r="G428" i="16"/>
  <c r="J429" i="16"/>
  <c r="I434" i="16"/>
  <c r="O434" i="16" s="1"/>
  <c r="O441" i="16"/>
  <c r="G441" i="16"/>
  <c r="F441" i="16"/>
  <c r="M441" i="16"/>
  <c r="E441" i="16"/>
  <c r="L441" i="16"/>
  <c r="M446" i="16"/>
  <c r="M451" i="16"/>
  <c r="E451" i="16"/>
  <c r="L451" i="16"/>
  <c r="K451" i="16"/>
  <c r="J451" i="16"/>
  <c r="T454" i="16"/>
  <c r="J457" i="16"/>
  <c r="P461" i="16"/>
  <c r="H461" i="9" s="1"/>
  <c r="P464" i="16"/>
  <c r="H464" i="9" s="1"/>
  <c r="H464" i="16"/>
  <c r="G464" i="16"/>
  <c r="F464" i="16"/>
  <c r="L464" i="16"/>
  <c r="H467" i="16"/>
  <c r="L476" i="16"/>
  <c r="K476" i="16"/>
  <c r="J476" i="16"/>
  <c r="I476" i="16"/>
  <c r="M479" i="16"/>
  <c r="J480" i="16"/>
  <c r="M482" i="16"/>
  <c r="O482" i="16" s="1"/>
  <c r="E482" i="16"/>
  <c r="L482" i="16"/>
  <c r="K482" i="16"/>
  <c r="M485" i="16"/>
  <c r="T487" i="16"/>
  <c r="G492" i="16"/>
  <c r="J493" i="16"/>
  <c r="I498" i="16"/>
  <c r="O498" i="16" s="1"/>
  <c r="G505" i="16"/>
  <c r="F505" i="16"/>
  <c r="M505" i="16"/>
  <c r="E505" i="16"/>
  <c r="L505" i="16"/>
  <c r="O505" i="16" s="1"/>
  <c r="M510" i="16"/>
  <c r="M515" i="16"/>
  <c r="E515" i="16"/>
  <c r="L515" i="16"/>
  <c r="K515" i="16"/>
  <c r="J515" i="16"/>
  <c r="T518" i="16"/>
  <c r="J521" i="16"/>
  <c r="P525" i="16"/>
  <c r="H525" i="9" s="1"/>
  <c r="P528" i="16"/>
  <c r="H528" i="9" s="1"/>
  <c r="H528" i="16"/>
  <c r="G528" i="16"/>
  <c r="F528" i="16"/>
  <c r="L528" i="16"/>
  <c r="H531" i="16"/>
  <c r="L540" i="16"/>
  <c r="K540" i="16"/>
  <c r="J540" i="16"/>
  <c r="I540" i="16"/>
  <c r="M543" i="16"/>
  <c r="J544" i="16"/>
  <c r="F546" i="16"/>
  <c r="M546" i="16"/>
  <c r="E546" i="16"/>
  <c r="L546" i="16"/>
  <c r="K546" i="16"/>
  <c r="M549" i="16"/>
  <c r="T551" i="16"/>
  <c r="G556" i="16"/>
  <c r="K557" i="16"/>
  <c r="I562" i="16"/>
  <c r="G569" i="16"/>
  <c r="M569" i="16"/>
  <c r="E569" i="16"/>
  <c r="L569" i="16"/>
  <c r="M574" i="16"/>
  <c r="M579" i="16"/>
  <c r="E579" i="16"/>
  <c r="L579" i="16"/>
  <c r="K579" i="16"/>
  <c r="J579" i="16"/>
  <c r="J582" i="16"/>
  <c r="J585" i="16"/>
  <c r="P589" i="16"/>
  <c r="H589" i="9" s="1"/>
  <c r="P592" i="16"/>
  <c r="H592" i="9" s="1"/>
  <c r="H592" i="16"/>
  <c r="G592" i="16"/>
  <c r="F592" i="16"/>
  <c r="L592" i="16"/>
  <c r="O592" i="16" s="1"/>
  <c r="H595" i="16"/>
  <c r="L604" i="16"/>
  <c r="K604" i="16"/>
  <c r="J604" i="16"/>
  <c r="I604" i="16"/>
  <c r="M607" i="16"/>
  <c r="J608" i="16"/>
  <c r="M610" i="16"/>
  <c r="E610" i="16"/>
  <c r="L610" i="16"/>
  <c r="O610" i="16" s="1"/>
  <c r="K610" i="16"/>
  <c r="M613" i="16"/>
  <c r="G620" i="16"/>
  <c r="J621" i="16"/>
  <c r="I626" i="16"/>
  <c r="O633" i="16"/>
  <c r="G633" i="16"/>
  <c r="F633" i="16"/>
  <c r="M633" i="16"/>
  <c r="E633" i="16"/>
  <c r="L633" i="16"/>
  <c r="M638" i="16"/>
  <c r="M643" i="16"/>
  <c r="E643" i="16"/>
  <c r="L643" i="16"/>
  <c r="K643" i="16"/>
  <c r="J643" i="16"/>
  <c r="J646" i="16"/>
  <c r="J649" i="16"/>
  <c r="P653" i="16"/>
  <c r="H653" i="9" s="1"/>
  <c r="H656" i="16"/>
  <c r="O656" i="16"/>
  <c r="G656" i="16"/>
  <c r="F656" i="16"/>
  <c r="L656" i="16"/>
  <c r="H659" i="16"/>
  <c r="L668" i="16"/>
  <c r="K668" i="16"/>
  <c r="J668" i="16"/>
  <c r="I668" i="16"/>
  <c r="O668" i="16" s="1"/>
  <c r="M671" i="16"/>
  <c r="J672" i="16"/>
  <c r="F674" i="16"/>
  <c r="M674" i="16"/>
  <c r="E674" i="16"/>
  <c r="L674" i="16"/>
  <c r="K674" i="16"/>
  <c r="M677" i="16"/>
  <c r="G684" i="16"/>
  <c r="K685" i="16"/>
  <c r="I690" i="16"/>
  <c r="G697" i="16"/>
  <c r="F697" i="16"/>
  <c r="P697" i="16" s="1"/>
  <c r="H697" i="9" s="1"/>
  <c r="M697" i="16"/>
  <c r="E697" i="16"/>
  <c r="L697" i="16"/>
  <c r="M702" i="16"/>
  <c r="M707" i="16"/>
  <c r="E707" i="16"/>
  <c r="L707" i="16"/>
  <c r="K707" i="16"/>
  <c r="J707" i="16"/>
  <c r="O707" i="16" s="1"/>
  <c r="J710" i="16"/>
  <c r="O710" i="16" s="1"/>
  <c r="J713" i="16"/>
  <c r="O713" i="16" s="1"/>
  <c r="P717" i="16"/>
  <c r="H717" i="9" s="1"/>
  <c r="I717" i="9" s="1"/>
  <c r="H720" i="16"/>
  <c r="O720" i="16"/>
  <c r="G720" i="16"/>
  <c r="F720" i="16"/>
  <c r="L720" i="16"/>
  <c r="H723" i="16"/>
  <c r="L732" i="16"/>
  <c r="K732" i="16"/>
  <c r="J732" i="16"/>
  <c r="O732" i="16" s="1"/>
  <c r="I732" i="16"/>
  <c r="M735" i="16"/>
  <c r="J736" i="16"/>
  <c r="F738" i="16"/>
  <c r="M738" i="16"/>
  <c r="E738" i="16"/>
  <c r="L738" i="16"/>
  <c r="K738" i="16"/>
  <c r="M741" i="16"/>
  <c r="G748" i="16"/>
  <c r="K749" i="16"/>
  <c r="I754" i="16"/>
  <c r="G761" i="16"/>
  <c r="F761" i="16"/>
  <c r="M761" i="16"/>
  <c r="E761" i="16"/>
  <c r="L761" i="16"/>
  <c r="O761" i="16" s="1"/>
  <c r="M766" i="16"/>
  <c r="M771" i="16"/>
  <c r="E771" i="16"/>
  <c r="L771" i="16"/>
  <c r="K771" i="16"/>
  <c r="J771" i="16"/>
  <c r="J774" i="16"/>
  <c r="J777" i="16"/>
  <c r="P781" i="16"/>
  <c r="H784" i="16"/>
  <c r="O784" i="16"/>
  <c r="G784" i="16"/>
  <c r="F784" i="16"/>
  <c r="P784" i="16" s="1"/>
  <c r="H784" i="9" s="1"/>
  <c r="L784" i="16"/>
  <c r="H787" i="16"/>
  <c r="K789" i="16"/>
  <c r="J789" i="16"/>
  <c r="L796" i="16"/>
  <c r="K796" i="16"/>
  <c r="J796" i="16"/>
  <c r="I796" i="16"/>
  <c r="M799" i="16"/>
  <c r="J800" i="16"/>
  <c r="F802" i="16"/>
  <c r="M802" i="16"/>
  <c r="O802" i="16" s="1"/>
  <c r="E802" i="16"/>
  <c r="L802" i="16"/>
  <c r="K802" i="16"/>
  <c r="M805" i="16"/>
  <c r="G812" i="16"/>
  <c r="I818" i="16"/>
  <c r="O818" i="16" s="1"/>
  <c r="O825" i="16"/>
  <c r="G825" i="16"/>
  <c r="F825" i="16"/>
  <c r="M825" i="16"/>
  <c r="E825" i="16"/>
  <c r="L825" i="16"/>
  <c r="M830" i="16"/>
  <c r="M835" i="16"/>
  <c r="E835" i="16"/>
  <c r="L835" i="16"/>
  <c r="K835" i="16"/>
  <c r="J835" i="16"/>
  <c r="J838" i="16"/>
  <c r="J841" i="16"/>
  <c r="P845" i="16"/>
  <c r="H847" i="16"/>
  <c r="G847" i="16"/>
  <c r="H848" i="16"/>
  <c r="G848" i="16"/>
  <c r="F848" i="16"/>
  <c r="L848" i="16"/>
  <c r="H851" i="16"/>
  <c r="L860" i="16"/>
  <c r="K860" i="16"/>
  <c r="J860" i="16"/>
  <c r="I860" i="16"/>
  <c r="M863" i="16"/>
  <c r="J864" i="16"/>
  <c r="F866" i="16"/>
  <c r="M866" i="16"/>
  <c r="O866" i="16" s="1"/>
  <c r="E866" i="16"/>
  <c r="L866" i="16"/>
  <c r="K866" i="16"/>
  <c r="M869" i="16"/>
  <c r="G876" i="16"/>
  <c r="K877" i="16"/>
  <c r="I882" i="16"/>
  <c r="G889" i="16"/>
  <c r="F889" i="16"/>
  <c r="P889" i="16" s="1"/>
  <c r="H889" i="9" s="1"/>
  <c r="M889" i="16"/>
  <c r="E889" i="16"/>
  <c r="L889" i="16"/>
  <c r="O889" i="16" s="1"/>
  <c r="M894" i="16"/>
  <c r="M899" i="16"/>
  <c r="E899" i="16"/>
  <c r="L899" i="16"/>
  <c r="O899" i="16" s="1"/>
  <c r="K899" i="16"/>
  <c r="J899" i="16"/>
  <c r="J902" i="16"/>
  <c r="J905" i="16"/>
  <c r="H911" i="16"/>
  <c r="G911" i="16"/>
  <c r="H912" i="16"/>
  <c r="G912" i="16"/>
  <c r="F912" i="16"/>
  <c r="P912" i="16" s="1"/>
  <c r="H912" i="9" s="1"/>
  <c r="L912" i="16"/>
  <c r="H915" i="16"/>
  <c r="L924" i="16"/>
  <c r="K924" i="16"/>
  <c r="J924" i="16"/>
  <c r="I924" i="16"/>
  <c r="M927" i="16"/>
  <c r="J928" i="16"/>
  <c r="M930" i="16"/>
  <c r="E930" i="16"/>
  <c r="L930" i="16"/>
  <c r="K930" i="16"/>
  <c r="M933" i="16"/>
  <c r="G940" i="16"/>
  <c r="K941" i="16"/>
  <c r="I946" i="16"/>
  <c r="O946" i="16" s="1"/>
  <c r="O953" i="16"/>
  <c r="G953" i="16"/>
  <c r="F953" i="16"/>
  <c r="M953" i="16"/>
  <c r="E953" i="16"/>
  <c r="L953" i="16"/>
  <c r="M963" i="16"/>
  <c r="E963" i="16"/>
  <c r="L963" i="16"/>
  <c r="K963" i="16"/>
  <c r="J963" i="16"/>
  <c r="J966" i="16"/>
  <c r="H975" i="16"/>
  <c r="G975" i="16"/>
  <c r="H976" i="16"/>
  <c r="O976" i="16"/>
  <c r="G976" i="16"/>
  <c r="F976" i="16"/>
  <c r="P976" i="16" s="1"/>
  <c r="H976" i="9" s="1"/>
  <c r="I976" i="9" s="1"/>
  <c r="L976" i="16"/>
  <c r="J982" i="16"/>
  <c r="H1016" i="16"/>
  <c r="G1016" i="16"/>
  <c r="E1016" i="16"/>
  <c r="M1016" i="16"/>
  <c r="K1017" i="16"/>
  <c r="M1026" i="16"/>
  <c r="E1026" i="16"/>
  <c r="L1026" i="16"/>
  <c r="H1026" i="16"/>
  <c r="G1026" i="16"/>
  <c r="L1038" i="16"/>
  <c r="K1038" i="16"/>
  <c r="G1038" i="16"/>
  <c r="H1056" i="16"/>
  <c r="G1056" i="16"/>
  <c r="F1056" i="16"/>
  <c r="K1056" i="16"/>
  <c r="J1056" i="16"/>
  <c r="I1056" i="16"/>
  <c r="E1056" i="16"/>
  <c r="H1071" i="16"/>
  <c r="G1071" i="16"/>
  <c r="L1071" i="16"/>
  <c r="K1071" i="16"/>
  <c r="J1071" i="16"/>
  <c r="F1079" i="16"/>
  <c r="F1087" i="16"/>
  <c r="F1124" i="16"/>
  <c r="M1125" i="16"/>
  <c r="L1125" i="16"/>
  <c r="H1125" i="16"/>
  <c r="H1144" i="16"/>
  <c r="G1144" i="16"/>
  <c r="F1144" i="16"/>
  <c r="E1144" i="16"/>
  <c r="M1144" i="16"/>
  <c r="K1145" i="16"/>
  <c r="F1154" i="16"/>
  <c r="M1154" i="16"/>
  <c r="E1154" i="16"/>
  <c r="L1154" i="16"/>
  <c r="H1154" i="16"/>
  <c r="G1154" i="16"/>
  <c r="M1187" i="16"/>
  <c r="E1187" i="16"/>
  <c r="L1187" i="16"/>
  <c r="K1187" i="16"/>
  <c r="G1187" i="16"/>
  <c r="H1199" i="16"/>
  <c r="G1199" i="16"/>
  <c r="L1199" i="16"/>
  <c r="K1199" i="16"/>
  <c r="J1199" i="16"/>
  <c r="F1207" i="16"/>
  <c r="K1209" i="16"/>
  <c r="J1209" i="16"/>
  <c r="F1215" i="16"/>
  <c r="L1220" i="16"/>
  <c r="K1220" i="16"/>
  <c r="J1220" i="16"/>
  <c r="E1220" i="16"/>
  <c r="M1220" i="16"/>
  <c r="G1225" i="16"/>
  <c r="M1225" i="16"/>
  <c r="E1225" i="16"/>
  <c r="K1225" i="16"/>
  <c r="J1225" i="16"/>
  <c r="I1225" i="16"/>
  <c r="H1225" i="16"/>
  <c r="M1232" i="16"/>
  <c r="K1232" i="16"/>
  <c r="J1232" i="16"/>
  <c r="O1249" i="16"/>
  <c r="G1249" i="16"/>
  <c r="M1249" i="16"/>
  <c r="E1249" i="16"/>
  <c r="H1249" i="16"/>
  <c r="J1251" i="16"/>
  <c r="M1253" i="16"/>
  <c r="L1253" i="16"/>
  <c r="H1253" i="16"/>
  <c r="M1259" i="16"/>
  <c r="E1259" i="16"/>
  <c r="L1259" i="16"/>
  <c r="K1259" i="16"/>
  <c r="F1259" i="16"/>
  <c r="P1259" i="16"/>
  <c r="H1259" i="9" s="1"/>
  <c r="O1259" i="16"/>
  <c r="L1260" i="16"/>
  <c r="K1260" i="16"/>
  <c r="J1260" i="16"/>
  <c r="H1260" i="16"/>
  <c r="G1260" i="16"/>
  <c r="O1260" i="16" s="1"/>
  <c r="F1260" i="16"/>
  <c r="P1260" i="16"/>
  <c r="H1260" i="9" s="1"/>
  <c r="E1260" i="16"/>
  <c r="F1266" i="16"/>
  <c r="M1266" i="16"/>
  <c r="E1266" i="16"/>
  <c r="L1266" i="16"/>
  <c r="J1266" i="16"/>
  <c r="I1266" i="16"/>
  <c r="H1266" i="16"/>
  <c r="G1266" i="16"/>
  <c r="O1266" i="16" s="1"/>
  <c r="O1274" i="16"/>
  <c r="O1287" i="16"/>
  <c r="O1305" i="16"/>
  <c r="G1305" i="16"/>
  <c r="M1305" i="16"/>
  <c r="E1305" i="16"/>
  <c r="I1305" i="16"/>
  <c r="H1305" i="16"/>
  <c r="O1310" i="16"/>
  <c r="M1315" i="16"/>
  <c r="E1315" i="16"/>
  <c r="L1315" i="16"/>
  <c r="K1315" i="16"/>
  <c r="O1315" i="16" s="1"/>
  <c r="G1315" i="16"/>
  <c r="M1338" i="16"/>
  <c r="E1338" i="16"/>
  <c r="L1338" i="16"/>
  <c r="I1338" i="16"/>
  <c r="H1338" i="16"/>
  <c r="G1338" i="16"/>
  <c r="I1340" i="16"/>
  <c r="M1355" i="16"/>
  <c r="E1355" i="16"/>
  <c r="L1355" i="16"/>
  <c r="K1355" i="16"/>
  <c r="T1355" i="16"/>
  <c r="F1355" i="16"/>
  <c r="P1355" i="16"/>
  <c r="O1355" i="16"/>
  <c r="N1355" i="16"/>
  <c r="L1356" i="16"/>
  <c r="K1356" i="16"/>
  <c r="J1356" i="16"/>
  <c r="H1356" i="16"/>
  <c r="G1356" i="16"/>
  <c r="T1356" i="16"/>
  <c r="F1356" i="16"/>
  <c r="P1356" i="16"/>
  <c r="E1356" i="16"/>
  <c r="M1379" i="16"/>
  <c r="E1379" i="16"/>
  <c r="L1379" i="16"/>
  <c r="K1379" i="16"/>
  <c r="G1379" i="16"/>
  <c r="T1379" i="16"/>
  <c r="F1379" i="16"/>
  <c r="P1379" i="16"/>
  <c r="O1379" i="16"/>
  <c r="O1401" i="16"/>
  <c r="G1401" i="16"/>
  <c r="N1401" i="16"/>
  <c r="F1401" i="16"/>
  <c r="M1401" i="16"/>
  <c r="E1401" i="16"/>
  <c r="I1401" i="16"/>
  <c r="H1401" i="16"/>
  <c r="T1401" i="16"/>
  <c r="O1409" i="16"/>
  <c r="G1409" i="16"/>
  <c r="N1409" i="16"/>
  <c r="F1409" i="16"/>
  <c r="M1409" i="16"/>
  <c r="E1409" i="16"/>
  <c r="H1409" i="16"/>
  <c r="T1409" i="16"/>
  <c r="P1409" i="16"/>
  <c r="J1411" i="16"/>
  <c r="L1424" i="16"/>
  <c r="P1426" i="16"/>
  <c r="N1434" i="16"/>
  <c r="F1434" i="16"/>
  <c r="M1434" i="16"/>
  <c r="E1434" i="16"/>
  <c r="L1434" i="16"/>
  <c r="I1434" i="16"/>
  <c r="H1434" i="16"/>
  <c r="G1434" i="16"/>
  <c r="T1434" i="16"/>
  <c r="I1436" i="16"/>
  <c r="N1442" i="16"/>
  <c r="F1442" i="16"/>
  <c r="M1442" i="16"/>
  <c r="E1442" i="16"/>
  <c r="L1442" i="16"/>
  <c r="H1442" i="16"/>
  <c r="G1442" i="16"/>
  <c r="T1442" i="16"/>
  <c r="P1442" i="16"/>
  <c r="O1449" i="16"/>
  <c r="G1449" i="16"/>
  <c r="N1449" i="16"/>
  <c r="F1449" i="16"/>
  <c r="M1449" i="16"/>
  <c r="E1449" i="16"/>
  <c r="K1449" i="16"/>
  <c r="J1449" i="16"/>
  <c r="I1449" i="16"/>
  <c r="H1449" i="16"/>
  <c r="L1482" i="16"/>
  <c r="M1500" i="16"/>
  <c r="E1500" i="16"/>
  <c r="N1500" i="16"/>
  <c r="L1500" i="16"/>
  <c r="K1500" i="16"/>
  <c r="G1500" i="16"/>
  <c r="F1500" i="16"/>
  <c r="T1500" i="16"/>
  <c r="P1500" i="16"/>
  <c r="J1502" i="16"/>
  <c r="L1506" i="16"/>
  <c r="P1529" i="16"/>
  <c r="H1529" i="16"/>
  <c r="N1529" i="16"/>
  <c r="E1529" i="16"/>
  <c r="M1529" i="16"/>
  <c r="L1529" i="16"/>
  <c r="J1529" i="16"/>
  <c r="I1529" i="16"/>
  <c r="G1529" i="16"/>
  <c r="F1529" i="16"/>
  <c r="O1546" i="16"/>
  <c r="G1546" i="16"/>
  <c r="I1546" i="16"/>
  <c r="T1546" i="16"/>
  <c r="H1546" i="16"/>
  <c r="P1546" i="16"/>
  <c r="F1546" i="16"/>
  <c r="L1546" i="16"/>
  <c r="K1546" i="16"/>
  <c r="J1546" i="16"/>
  <c r="E1546" i="16"/>
  <c r="K1580" i="16"/>
  <c r="K1594" i="16"/>
  <c r="P1603" i="16"/>
  <c r="I1617" i="16"/>
  <c r="I1654" i="16"/>
  <c r="N1667" i="16"/>
  <c r="F1667" i="16"/>
  <c r="M1667" i="16"/>
  <c r="L1667" i="16"/>
  <c r="K1667" i="16"/>
  <c r="G1667" i="16"/>
  <c r="E1667" i="16"/>
  <c r="T1667" i="16"/>
  <c r="P1667" i="16"/>
  <c r="O1674" i="16"/>
  <c r="G1674" i="16"/>
  <c r="I1674" i="16"/>
  <c r="T1674" i="16"/>
  <c r="H1674" i="16"/>
  <c r="P1674" i="16"/>
  <c r="F1674" i="16"/>
  <c r="J1674" i="16"/>
  <c r="E1674" i="16"/>
  <c r="P1682" i="16"/>
  <c r="L1687" i="16"/>
  <c r="M1692" i="16"/>
  <c r="E1692" i="16"/>
  <c r="N1692" i="16"/>
  <c r="L1692" i="16"/>
  <c r="K1692" i="16"/>
  <c r="F1692" i="16"/>
  <c r="T1692" i="16"/>
  <c r="P1692" i="16"/>
  <c r="O1692" i="16"/>
  <c r="O1706" i="16"/>
  <c r="G1706" i="16"/>
  <c r="M1706" i="16"/>
  <c r="L1706" i="16"/>
  <c r="K1706" i="16"/>
  <c r="F1706" i="16"/>
  <c r="E1706" i="16"/>
  <c r="T1706" i="16"/>
  <c r="P1706" i="16"/>
  <c r="M1708" i="16"/>
  <c r="E1708" i="16"/>
  <c r="P1708" i="16"/>
  <c r="G1708" i="16"/>
  <c r="O1708" i="16"/>
  <c r="F1708" i="16"/>
  <c r="N1708" i="16"/>
  <c r="J1708" i="16"/>
  <c r="I1708" i="16"/>
  <c r="H1708" i="16"/>
  <c r="P1713" i="16"/>
  <c r="H1713" i="16"/>
  <c r="I1713" i="16"/>
  <c r="T1713" i="16"/>
  <c r="G1713" i="16"/>
  <c r="O1713" i="16"/>
  <c r="F1713" i="16"/>
  <c r="L1713" i="16"/>
  <c r="K1713" i="16"/>
  <c r="J1713" i="16"/>
  <c r="E1713" i="16"/>
  <c r="O1722" i="16"/>
  <c r="G1722" i="16"/>
  <c r="P1722" i="16"/>
  <c r="F1722" i="16"/>
  <c r="N1722" i="16"/>
  <c r="E1722" i="16"/>
  <c r="M1722" i="16"/>
  <c r="I1722" i="16"/>
  <c r="H1722" i="16"/>
  <c r="L1750" i="16"/>
  <c r="O1759" i="16"/>
  <c r="H1781" i="16"/>
  <c r="O1782" i="16"/>
  <c r="K1796" i="16"/>
  <c r="L1821" i="16"/>
  <c r="N1821" i="16"/>
  <c r="E1821" i="16"/>
  <c r="M1821" i="16"/>
  <c r="K1821" i="16"/>
  <c r="F1821" i="16"/>
  <c r="T1821" i="16"/>
  <c r="P1821" i="16"/>
  <c r="O1821" i="16"/>
  <c r="N1875" i="16"/>
  <c r="F1875" i="16"/>
  <c r="P1875" i="16"/>
  <c r="G1875" i="16"/>
  <c r="O1875" i="16"/>
  <c r="E1875" i="16"/>
  <c r="M1875" i="16"/>
  <c r="I1875" i="16"/>
  <c r="H1875" i="16"/>
  <c r="L1901" i="16"/>
  <c r="P1901" i="16"/>
  <c r="G1901" i="16"/>
  <c r="O1901" i="16"/>
  <c r="F1901" i="16"/>
  <c r="N1901" i="16"/>
  <c r="E1901" i="16"/>
  <c r="J1901" i="16"/>
  <c r="I1901" i="16"/>
  <c r="H1901" i="16"/>
  <c r="N1911" i="16"/>
  <c r="M1930" i="16"/>
  <c r="L1965" i="16"/>
  <c r="P1965" i="16"/>
  <c r="G1965" i="16"/>
  <c r="O1965" i="16"/>
  <c r="F1965" i="16"/>
  <c r="N1965" i="16"/>
  <c r="E1965" i="16"/>
  <c r="H1965" i="16"/>
  <c r="T1965" i="16"/>
  <c r="P1969" i="16"/>
  <c r="H1969" i="16"/>
  <c r="I1969" i="16"/>
  <c r="T1969" i="16"/>
  <c r="G1969" i="16"/>
  <c r="O1969" i="16"/>
  <c r="F1969" i="16"/>
  <c r="L1969" i="16"/>
  <c r="K1969" i="16"/>
  <c r="J1969" i="16"/>
  <c r="E1969" i="16"/>
  <c r="O1978" i="16"/>
  <c r="G1978" i="16"/>
  <c r="P1978" i="16"/>
  <c r="F1978" i="16"/>
  <c r="N1978" i="16"/>
  <c r="E1978" i="16"/>
  <c r="M1978" i="16"/>
  <c r="I1978" i="16"/>
  <c r="H1978" i="16"/>
  <c r="J2015" i="16"/>
  <c r="N2015" i="16"/>
  <c r="E2015" i="16"/>
  <c r="M2015" i="16"/>
  <c r="L2015" i="16"/>
  <c r="F2015" i="16"/>
  <c r="T2015" i="16"/>
  <c r="P2015" i="16"/>
  <c r="O2015" i="16"/>
  <c r="O2026" i="16"/>
  <c r="G2026" i="16"/>
  <c r="M2026" i="16"/>
  <c r="L2026" i="16"/>
  <c r="K2026" i="16"/>
  <c r="H2026" i="16"/>
  <c r="F2026" i="16"/>
  <c r="E2026" i="16"/>
  <c r="T2026" i="16"/>
  <c r="M2028" i="16"/>
  <c r="E2028" i="16"/>
  <c r="P2028" i="16"/>
  <c r="G2028" i="16"/>
  <c r="O2028" i="16"/>
  <c r="F2028" i="16"/>
  <c r="N2028" i="16"/>
  <c r="K2028" i="16"/>
  <c r="J2028" i="16"/>
  <c r="I2028" i="16"/>
  <c r="H2028" i="16"/>
  <c r="O2058" i="16"/>
  <c r="G2058" i="16"/>
  <c r="I2058" i="16"/>
  <c r="T2058" i="16"/>
  <c r="H2058" i="16"/>
  <c r="P2058" i="16"/>
  <c r="F2058" i="16"/>
  <c r="E2058" i="16"/>
  <c r="N2058" i="16"/>
  <c r="K2066" i="16"/>
  <c r="K2070" i="16"/>
  <c r="T2070" i="16"/>
  <c r="H2070" i="16"/>
  <c r="P2070" i="16"/>
  <c r="G2070" i="16"/>
  <c r="O2070" i="16"/>
  <c r="F2070" i="16"/>
  <c r="I2070" i="16"/>
  <c r="E2070" i="16"/>
  <c r="O2090" i="16"/>
  <c r="G2090" i="16"/>
  <c r="M2090" i="16"/>
  <c r="L2090" i="16"/>
  <c r="K2090" i="16"/>
  <c r="E2090" i="16"/>
  <c r="T2090" i="16"/>
  <c r="P2090" i="16"/>
  <c r="N2090" i="16"/>
  <c r="L2092" i="16"/>
  <c r="O2106" i="16"/>
  <c r="G2106" i="16"/>
  <c r="P2106" i="16"/>
  <c r="F2106" i="16"/>
  <c r="N2106" i="16"/>
  <c r="E2106" i="16"/>
  <c r="M2106" i="16"/>
  <c r="H2106" i="16"/>
  <c r="T2106" i="16"/>
  <c r="P2129" i="16"/>
  <c r="H2129" i="16"/>
  <c r="M2129" i="16"/>
  <c r="L2129" i="16"/>
  <c r="K2129" i="16"/>
  <c r="I2129" i="16"/>
  <c r="G2129" i="16"/>
  <c r="F2129" i="16"/>
  <c r="E2129" i="16"/>
  <c r="K2158" i="16"/>
  <c r="P2158" i="16"/>
  <c r="G2158" i="16"/>
  <c r="O2158" i="16"/>
  <c r="F2158" i="16"/>
  <c r="N2158" i="16"/>
  <c r="E2158" i="16"/>
  <c r="I2158" i="16"/>
  <c r="H2158" i="16"/>
  <c r="K2166" i="16"/>
  <c r="M2166" i="16"/>
  <c r="L2166" i="16"/>
  <c r="J2166" i="16"/>
  <c r="T2166" i="16"/>
  <c r="E2166" i="16"/>
  <c r="P2166" i="16"/>
  <c r="O2166" i="16"/>
  <c r="N2166" i="16"/>
  <c r="J2167" i="16"/>
  <c r="M2167" i="16"/>
  <c r="L2167" i="16"/>
  <c r="K2167" i="16"/>
  <c r="H2167" i="16"/>
  <c r="G2167" i="16"/>
  <c r="F2167" i="16"/>
  <c r="T2167" i="16"/>
  <c r="E2167" i="16"/>
  <c r="N2171" i="16"/>
  <c r="F2171" i="16"/>
  <c r="T2171" i="16"/>
  <c r="H2171" i="16"/>
  <c r="P2171" i="16"/>
  <c r="G2171" i="16"/>
  <c r="O2171" i="16"/>
  <c r="E2171" i="16"/>
  <c r="K2171" i="16"/>
  <c r="J2171" i="16"/>
  <c r="I2171" i="16"/>
  <c r="P2179" i="16"/>
  <c r="I2204" i="16"/>
  <c r="M2225" i="16"/>
  <c r="J2247" i="16"/>
  <c r="O2247" i="16"/>
  <c r="F2247" i="16"/>
  <c r="N2247" i="16"/>
  <c r="E2247" i="16"/>
  <c r="M2247" i="16"/>
  <c r="G2247" i="16"/>
  <c r="T2247" i="16"/>
  <c r="P2247" i="16"/>
  <c r="L2285" i="16"/>
  <c r="P2285" i="16"/>
  <c r="G2285" i="16"/>
  <c r="O2285" i="16"/>
  <c r="F2285" i="16"/>
  <c r="N2285" i="16"/>
  <c r="E2285" i="16"/>
  <c r="K2285" i="16"/>
  <c r="J2285" i="16"/>
  <c r="I2285" i="16"/>
  <c r="H2285" i="16"/>
  <c r="I2321" i="16"/>
  <c r="M2349" i="16"/>
  <c r="M2364" i="16"/>
  <c r="E2364" i="16"/>
  <c r="I2364" i="16"/>
  <c r="T2364" i="16"/>
  <c r="H2364" i="16"/>
  <c r="P2364" i="16"/>
  <c r="G2364" i="16"/>
  <c r="F2364" i="16"/>
  <c r="O2364" i="16"/>
  <c r="K2414" i="16"/>
  <c r="P2414" i="16"/>
  <c r="G2414" i="16"/>
  <c r="O2414" i="16"/>
  <c r="F2414" i="16"/>
  <c r="N2414" i="16"/>
  <c r="E2414" i="16"/>
  <c r="J2414" i="16"/>
  <c r="I2414" i="16"/>
  <c r="T2414" i="16"/>
  <c r="M2414" i="16"/>
  <c r="L2414" i="16"/>
  <c r="H2414" i="16"/>
  <c r="P2417" i="16"/>
  <c r="H2417" i="16"/>
  <c r="I2417" i="16"/>
  <c r="T2417" i="16"/>
  <c r="G2417" i="16"/>
  <c r="O2417" i="16"/>
  <c r="F2417" i="16"/>
  <c r="L2417" i="16"/>
  <c r="K2417" i="16"/>
  <c r="J2417" i="16"/>
  <c r="E2417" i="16"/>
  <c r="K2495" i="16"/>
  <c r="J2495" i="16"/>
  <c r="N2495" i="16"/>
  <c r="M2495" i="16"/>
  <c r="L2495" i="16"/>
  <c r="G2495" i="16"/>
  <c r="F2495" i="16"/>
  <c r="H2495" i="16"/>
  <c r="E2495" i="16"/>
  <c r="L2526" i="16"/>
  <c r="K2526" i="16"/>
  <c r="T2526" i="16"/>
  <c r="G2526" i="16"/>
  <c r="P2526" i="16"/>
  <c r="F2526" i="16"/>
  <c r="O2526" i="16"/>
  <c r="E2526" i="16"/>
  <c r="M2526" i="16"/>
  <c r="J2526" i="16"/>
  <c r="H2526" i="16"/>
  <c r="M2709" i="16"/>
  <c r="E2709" i="16"/>
  <c r="L2709" i="16"/>
  <c r="O2709" i="16"/>
  <c r="N2709" i="16"/>
  <c r="K2709" i="16"/>
  <c r="T2709" i="16"/>
  <c r="P2709" i="16"/>
  <c r="I2709" i="16"/>
  <c r="F2709" i="16"/>
  <c r="K2831" i="16"/>
  <c r="J2831" i="16"/>
  <c r="P2831" i="16"/>
  <c r="F2831" i="16"/>
  <c r="O2831" i="16"/>
  <c r="E2831" i="16"/>
  <c r="N2831" i="16"/>
  <c r="H2831" i="16"/>
  <c r="G2831" i="16"/>
  <c r="L2831" i="16"/>
  <c r="I2831" i="16"/>
  <c r="P2901" i="16"/>
  <c r="O2979" i="16"/>
  <c r="G2979" i="16"/>
  <c r="N2979" i="16"/>
  <c r="F2979" i="16"/>
  <c r="J2979" i="16"/>
  <c r="I2979" i="16"/>
  <c r="H2979" i="16"/>
  <c r="T2979" i="16"/>
  <c r="M2979" i="16"/>
  <c r="K2979" i="16"/>
  <c r="E2979" i="16"/>
  <c r="P3066" i="16"/>
  <c r="H3066" i="16"/>
  <c r="O3066" i="16"/>
  <c r="G3066" i="16"/>
  <c r="J3066" i="16"/>
  <c r="I3066" i="16"/>
  <c r="F3066" i="16"/>
  <c r="E3066" i="16"/>
  <c r="T3066" i="16"/>
  <c r="M3066" i="16"/>
  <c r="L3066" i="16"/>
  <c r="K3066" i="16"/>
  <c r="L3086" i="16"/>
  <c r="K3086" i="16"/>
  <c r="O3086" i="16"/>
  <c r="E3086" i="16"/>
  <c r="N3086" i="16"/>
  <c r="M3086" i="16"/>
  <c r="H3086" i="16"/>
  <c r="G3086" i="16"/>
  <c r="I3086" i="16"/>
  <c r="F3086" i="16"/>
  <c r="L3110" i="16"/>
  <c r="K3110" i="16"/>
  <c r="H3110" i="16"/>
  <c r="T3110" i="16"/>
  <c r="G3110" i="16"/>
  <c r="P3110" i="16"/>
  <c r="F3110" i="16"/>
  <c r="J3110" i="16"/>
  <c r="I3110" i="16"/>
  <c r="M3110" i="16"/>
  <c r="E3110" i="16"/>
  <c r="N3276" i="16"/>
  <c r="F3276" i="16"/>
  <c r="M3276" i="16"/>
  <c r="E3276" i="16"/>
  <c r="J3276" i="16"/>
  <c r="I3276" i="16"/>
  <c r="H3276" i="16"/>
  <c r="G3276" i="16"/>
  <c r="T3276" i="16"/>
  <c r="P3276" i="16"/>
  <c r="O3276" i="16"/>
  <c r="L3276" i="16"/>
  <c r="K3276" i="16"/>
  <c r="P3290" i="16"/>
  <c r="H3290" i="16"/>
  <c r="O3290" i="16"/>
  <c r="G3290" i="16"/>
  <c r="N3290" i="16"/>
  <c r="M3290" i="16"/>
  <c r="L3290" i="16"/>
  <c r="F3290" i="16"/>
  <c r="E3290" i="16"/>
  <c r="K3290" i="16"/>
  <c r="J3290" i="16"/>
  <c r="I3290" i="16"/>
  <c r="L3342" i="16"/>
  <c r="K3342" i="16"/>
  <c r="O3342" i="16"/>
  <c r="E3342" i="16"/>
  <c r="N3342" i="16"/>
  <c r="M3342" i="16"/>
  <c r="H3342" i="16"/>
  <c r="G3342" i="16"/>
  <c r="F3342" i="16"/>
  <c r="O3363" i="16"/>
  <c r="G3363" i="16"/>
  <c r="N3363" i="16"/>
  <c r="F3363" i="16"/>
  <c r="J3363" i="16"/>
  <c r="I3363" i="16"/>
  <c r="H3363" i="16"/>
  <c r="K3363" i="16"/>
  <c r="E3363" i="16"/>
  <c r="T3363" i="16"/>
  <c r="P3363" i="16"/>
  <c r="M3363" i="16"/>
  <c r="L3363" i="16"/>
  <c r="M3437" i="16"/>
  <c r="E3437" i="16"/>
  <c r="L3437" i="16"/>
  <c r="H3437" i="16"/>
  <c r="T3437" i="16"/>
  <c r="G3437" i="16"/>
  <c r="P3437" i="16"/>
  <c r="F3437" i="16"/>
  <c r="N3437" i="16"/>
  <c r="K3437" i="16"/>
  <c r="I3437" i="16"/>
  <c r="O3437" i="16"/>
  <c r="J3437" i="16"/>
  <c r="M3493" i="16"/>
  <c r="E3493" i="16"/>
  <c r="L3493" i="16"/>
  <c r="T3493" i="16"/>
  <c r="G3493" i="16"/>
  <c r="P3493" i="16"/>
  <c r="F3493" i="16"/>
  <c r="O3493" i="16"/>
  <c r="J3493" i="16"/>
  <c r="I3493" i="16"/>
  <c r="H3493" i="16"/>
  <c r="K3493" i="16"/>
  <c r="M3541" i="16"/>
  <c r="E3541" i="16"/>
  <c r="L3541" i="16"/>
  <c r="O3541" i="16"/>
  <c r="N3541" i="16"/>
  <c r="K3541" i="16"/>
  <c r="I3541" i="16"/>
  <c r="H3541" i="16"/>
  <c r="G3541" i="16"/>
  <c r="F3541" i="16"/>
  <c r="T3541" i="16"/>
  <c r="P3541" i="16"/>
  <c r="J3541" i="16"/>
  <c r="P3578" i="16"/>
  <c r="H3578" i="16"/>
  <c r="O3578" i="16"/>
  <c r="G3578" i="16"/>
  <c r="J3578" i="16"/>
  <c r="I3578" i="16"/>
  <c r="F3578" i="16"/>
  <c r="E3578" i="16"/>
  <c r="T3578" i="16"/>
  <c r="L3578" i="16"/>
  <c r="K3578" i="16"/>
  <c r="L3606" i="16"/>
  <c r="K3606" i="16"/>
  <c r="P3606" i="16"/>
  <c r="F3606" i="16"/>
  <c r="O3606" i="16"/>
  <c r="E3606" i="16"/>
  <c r="N3606" i="16"/>
  <c r="G3606" i="16"/>
  <c r="T3606" i="16"/>
  <c r="H3606" i="16"/>
  <c r="O3683" i="16"/>
  <c r="G3683" i="16"/>
  <c r="N3683" i="16"/>
  <c r="F3683" i="16"/>
  <c r="J3683" i="16"/>
  <c r="I3683" i="16"/>
  <c r="H3683" i="16"/>
  <c r="K3683" i="16"/>
  <c r="E3683" i="16"/>
  <c r="P3683" i="16"/>
  <c r="M3683" i="16"/>
  <c r="L3683" i="16"/>
  <c r="P3964" i="16"/>
  <c r="H3964" i="16"/>
  <c r="O3964" i="16"/>
  <c r="F3964" i="16"/>
  <c r="N3964" i="16"/>
  <c r="E3964" i="16"/>
  <c r="T3964" i="16"/>
  <c r="M3964" i="16"/>
  <c r="K3964" i="16"/>
  <c r="J3964" i="16"/>
  <c r="I3964" i="16"/>
  <c r="L3964" i="16"/>
  <c r="G3964" i="16"/>
  <c r="L4246" i="16"/>
  <c r="N4246" i="16"/>
  <c r="E4246" i="16"/>
  <c r="M4246" i="16"/>
  <c r="K4246" i="16"/>
  <c r="I4246" i="16"/>
  <c r="H4246" i="16"/>
  <c r="G4246" i="16"/>
  <c r="F4246" i="16"/>
  <c r="O4246" i="16"/>
  <c r="J4246" i="16"/>
  <c r="T4246" i="16"/>
  <c r="P4246" i="16"/>
  <c r="P4354" i="16"/>
  <c r="H4354" i="16"/>
  <c r="T4354" i="16"/>
  <c r="G4354" i="16"/>
  <c r="N4354" i="16"/>
  <c r="M4354" i="16"/>
  <c r="J4354" i="16"/>
  <c r="I4354" i="16"/>
  <c r="F4354" i="16"/>
  <c r="O4354" i="16"/>
  <c r="L4354" i="16"/>
  <c r="K4354" i="16"/>
  <c r="E4354" i="16"/>
  <c r="J4368" i="16"/>
  <c r="T4368" i="16"/>
  <c r="H4368" i="16"/>
  <c r="I4368" i="16"/>
  <c r="G4368" i="16"/>
  <c r="E4368" i="16"/>
  <c r="P4368" i="16"/>
  <c r="O4368" i="16"/>
  <c r="L4368" i="16"/>
  <c r="K4368" i="16"/>
  <c r="F4368" i="16"/>
  <c r="N4368" i="16"/>
  <c r="M4368" i="16"/>
  <c r="J4720" i="16"/>
  <c r="O4720" i="16"/>
  <c r="F4720" i="16"/>
  <c r="N4720" i="16"/>
  <c r="E4720" i="16"/>
  <c r="M4720" i="16"/>
  <c r="T4720" i="16"/>
  <c r="P4720" i="16"/>
  <c r="H4720" i="16"/>
  <c r="G4720" i="16"/>
  <c r="L4720" i="16"/>
  <c r="K4720" i="16"/>
  <c r="I4720" i="16"/>
  <c r="L4766" i="16"/>
  <c r="M4766" i="16"/>
  <c r="K4766" i="16"/>
  <c r="J4766" i="16"/>
  <c r="T4766" i="16"/>
  <c r="E4766" i="16"/>
  <c r="P4766" i="16"/>
  <c r="O4766" i="16"/>
  <c r="F4766" i="16"/>
  <c r="G4766" i="16"/>
  <c r="H4766" i="16"/>
  <c r="N4766" i="16"/>
  <c r="I4766" i="16"/>
  <c r="N4924" i="16"/>
  <c r="F4924" i="16"/>
  <c r="P4924" i="16"/>
  <c r="G4924" i="16"/>
  <c r="O4924" i="16"/>
  <c r="E4924" i="16"/>
  <c r="M4924" i="16"/>
  <c r="H4924" i="16"/>
  <c r="K4924" i="16"/>
  <c r="J4924" i="16"/>
  <c r="I4924" i="16"/>
  <c r="T4924" i="16"/>
  <c r="L4924" i="16"/>
  <c r="L4958" i="16"/>
  <c r="M4958" i="16"/>
  <c r="K4958" i="16"/>
  <c r="J4958" i="16"/>
  <c r="F4958" i="16"/>
  <c r="T4958" i="16"/>
  <c r="E4958" i="16"/>
  <c r="P4958" i="16"/>
  <c r="H4958" i="16"/>
  <c r="G4958" i="16"/>
  <c r="O4958" i="16"/>
  <c r="N4958" i="16"/>
  <c r="I4958" i="16"/>
  <c r="O5083" i="16"/>
  <c r="G5083" i="16"/>
  <c r="N5083" i="16"/>
  <c r="F5083" i="16"/>
  <c r="J5083" i="16"/>
  <c r="I5083" i="16"/>
  <c r="H5083" i="16"/>
  <c r="T5083" i="16"/>
  <c r="E5083" i="16"/>
  <c r="K5083" i="16"/>
  <c r="L5083" i="16"/>
  <c r="P5083" i="16"/>
  <c r="M5083" i="16"/>
  <c r="I52" i="16"/>
  <c r="I60" i="16"/>
  <c r="I68" i="16"/>
  <c r="I76" i="16"/>
  <c r="I84" i="16"/>
  <c r="I92" i="16"/>
  <c r="I100" i="16"/>
  <c r="I108" i="16"/>
  <c r="I116" i="16"/>
  <c r="I124" i="16"/>
  <c r="I132" i="16"/>
  <c r="I140" i="16"/>
  <c r="I148" i="16"/>
  <c r="M156" i="16"/>
  <c r="L164" i="16"/>
  <c r="K164" i="16"/>
  <c r="J164" i="16"/>
  <c r="I164" i="16"/>
  <c r="M170" i="16"/>
  <c r="E170" i="16"/>
  <c r="L170" i="16"/>
  <c r="K170" i="16"/>
  <c r="T175" i="16"/>
  <c r="T177" i="16"/>
  <c r="K181" i="16"/>
  <c r="P185" i="16"/>
  <c r="H185" i="9" s="1"/>
  <c r="G193" i="16"/>
  <c r="F193" i="16"/>
  <c r="M193" i="16"/>
  <c r="E193" i="16"/>
  <c r="L193" i="16"/>
  <c r="T200" i="16"/>
  <c r="M203" i="16"/>
  <c r="E203" i="16"/>
  <c r="L203" i="16"/>
  <c r="K203" i="16"/>
  <c r="J203" i="16"/>
  <c r="J206" i="16"/>
  <c r="M208" i="16"/>
  <c r="P216" i="16"/>
  <c r="H216" i="9" s="1"/>
  <c r="H216" i="16"/>
  <c r="G216" i="16"/>
  <c r="F216" i="16"/>
  <c r="L216" i="16"/>
  <c r="P218" i="16"/>
  <c r="H218" i="9" s="1"/>
  <c r="M220" i="16"/>
  <c r="L228" i="16"/>
  <c r="K228" i="16"/>
  <c r="J228" i="16"/>
  <c r="I228" i="16"/>
  <c r="F234" i="16"/>
  <c r="M234" i="16"/>
  <c r="E234" i="16"/>
  <c r="L234" i="16"/>
  <c r="K234" i="16"/>
  <c r="T239" i="16"/>
  <c r="T241" i="16"/>
  <c r="K245" i="16"/>
  <c r="P249" i="16"/>
  <c r="H249" i="9" s="1"/>
  <c r="O251" i="16"/>
  <c r="G257" i="16"/>
  <c r="O257" i="16" s="1"/>
  <c r="M257" i="16"/>
  <c r="E257" i="16"/>
  <c r="L257" i="16"/>
  <c r="T264" i="16"/>
  <c r="M267" i="16"/>
  <c r="E267" i="16"/>
  <c r="L267" i="16"/>
  <c r="K267" i="16"/>
  <c r="J267" i="16"/>
  <c r="J270" i="16"/>
  <c r="M272" i="16"/>
  <c r="P280" i="16"/>
  <c r="H280" i="9" s="1"/>
  <c r="H280" i="16"/>
  <c r="O280" i="16"/>
  <c r="G280" i="16"/>
  <c r="F280" i="16"/>
  <c r="L280" i="16"/>
  <c r="M284" i="16"/>
  <c r="L292" i="16"/>
  <c r="K292" i="16"/>
  <c r="J292" i="16"/>
  <c r="O292" i="16" s="1"/>
  <c r="I292" i="16"/>
  <c r="M298" i="16"/>
  <c r="E298" i="16"/>
  <c r="L298" i="16"/>
  <c r="K298" i="16"/>
  <c r="O298" i="16" s="1"/>
  <c r="T303" i="16"/>
  <c r="T305" i="16"/>
  <c r="K309" i="16"/>
  <c r="O321" i="16"/>
  <c r="G321" i="16"/>
  <c r="M321" i="16"/>
  <c r="E321" i="16"/>
  <c r="L321" i="16"/>
  <c r="T328" i="16"/>
  <c r="M331" i="16"/>
  <c r="E331" i="16"/>
  <c r="L331" i="16"/>
  <c r="K331" i="16"/>
  <c r="J331" i="16"/>
  <c r="T334" i="16"/>
  <c r="M336" i="16"/>
  <c r="P344" i="16"/>
  <c r="H344" i="9" s="1"/>
  <c r="H344" i="16"/>
  <c r="G344" i="16"/>
  <c r="F344" i="16"/>
  <c r="L344" i="16"/>
  <c r="P346" i="16"/>
  <c r="H346" i="9" s="1"/>
  <c r="M348" i="16"/>
  <c r="L356" i="16"/>
  <c r="K356" i="16"/>
  <c r="J356" i="16"/>
  <c r="I356" i="16"/>
  <c r="F362" i="16"/>
  <c r="M362" i="16"/>
  <c r="E362" i="16"/>
  <c r="L362" i="16"/>
  <c r="K362" i="16"/>
  <c r="O362" i="16" s="1"/>
  <c r="T367" i="16"/>
  <c r="K373" i="16"/>
  <c r="P377" i="16"/>
  <c r="H377" i="9" s="1"/>
  <c r="O379" i="16"/>
  <c r="G385" i="16"/>
  <c r="M385" i="16"/>
  <c r="E385" i="16"/>
  <c r="L385" i="16"/>
  <c r="T392" i="16"/>
  <c r="M395" i="16"/>
  <c r="E395" i="16"/>
  <c r="L395" i="16"/>
  <c r="K395" i="16"/>
  <c r="J395" i="16"/>
  <c r="O395" i="16" s="1"/>
  <c r="J398" i="16"/>
  <c r="O398" i="16" s="1"/>
  <c r="M400" i="16"/>
  <c r="E405" i="16"/>
  <c r="P408" i="16"/>
  <c r="H408" i="9" s="1"/>
  <c r="H408" i="16"/>
  <c r="G408" i="16"/>
  <c r="F408" i="16"/>
  <c r="L408" i="16"/>
  <c r="O408" i="16" s="1"/>
  <c r="P410" i="16"/>
  <c r="H410" i="9" s="1"/>
  <c r="M412" i="16"/>
  <c r="L420" i="16"/>
  <c r="K420" i="16"/>
  <c r="J420" i="16"/>
  <c r="I420" i="16"/>
  <c r="O420" i="16" s="1"/>
  <c r="F426" i="16"/>
  <c r="M426" i="16"/>
  <c r="E426" i="16"/>
  <c r="L426" i="16"/>
  <c r="K426" i="16"/>
  <c r="T431" i="16"/>
  <c r="T433" i="16"/>
  <c r="K437" i="16"/>
  <c r="P441" i="16"/>
  <c r="H441" i="9" s="1"/>
  <c r="G449" i="16"/>
  <c r="F449" i="16"/>
  <c r="M449" i="16"/>
  <c r="E449" i="16"/>
  <c r="L449" i="16"/>
  <c r="T456" i="16"/>
  <c r="M459" i="16"/>
  <c r="E459" i="16"/>
  <c r="L459" i="16"/>
  <c r="O459" i="16" s="1"/>
  <c r="K459" i="16"/>
  <c r="J459" i="16"/>
  <c r="T462" i="16"/>
  <c r="M464" i="16"/>
  <c r="O464" i="16" s="1"/>
  <c r="E469" i="16"/>
  <c r="P472" i="16"/>
  <c r="H472" i="9" s="1"/>
  <c r="H472" i="16"/>
  <c r="O472" i="16"/>
  <c r="G472" i="16"/>
  <c r="F472" i="16"/>
  <c r="L472" i="16"/>
  <c r="M476" i="16"/>
  <c r="L484" i="16"/>
  <c r="K484" i="16"/>
  <c r="J484" i="16"/>
  <c r="I484" i="16"/>
  <c r="F490" i="16"/>
  <c r="M490" i="16"/>
  <c r="O490" i="16" s="1"/>
  <c r="E490" i="16"/>
  <c r="L490" i="16"/>
  <c r="K490" i="16"/>
  <c r="T495" i="16"/>
  <c r="J501" i="16"/>
  <c r="P505" i="16"/>
  <c r="H505" i="9" s="1"/>
  <c r="O507" i="16"/>
  <c r="G513" i="16"/>
  <c r="F513" i="16"/>
  <c r="M513" i="16"/>
  <c r="E513" i="16"/>
  <c r="L513" i="16"/>
  <c r="O513" i="16" s="1"/>
  <c r="T520" i="16"/>
  <c r="M523" i="16"/>
  <c r="E523" i="16"/>
  <c r="L523" i="16"/>
  <c r="O523" i="16" s="1"/>
  <c r="K523" i="16"/>
  <c r="J523" i="16"/>
  <c r="T526" i="16"/>
  <c r="M528" i="16"/>
  <c r="P536" i="16"/>
  <c r="H536" i="9" s="1"/>
  <c r="H536" i="16"/>
  <c r="G536" i="16"/>
  <c r="F536" i="16"/>
  <c r="L536" i="16"/>
  <c r="M540" i="16"/>
  <c r="O546" i="16"/>
  <c r="L548" i="16"/>
  <c r="K548" i="16"/>
  <c r="J548" i="16"/>
  <c r="I548" i="16"/>
  <c r="O548" i="16" s="1"/>
  <c r="M554" i="16"/>
  <c r="E554" i="16"/>
  <c r="L554" i="16"/>
  <c r="K554" i="16"/>
  <c r="T559" i="16"/>
  <c r="T561" i="16"/>
  <c r="J565" i="16"/>
  <c r="O571" i="16"/>
  <c r="G577" i="16"/>
  <c r="F577" i="16"/>
  <c r="M577" i="16"/>
  <c r="E577" i="16"/>
  <c r="L577" i="16"/>
  <c r="T584" i="16"/>
  <c r="M587" i="16"/>
  <c r="E587" i="16"/>
  <c r="L587" i="16"/>
  <c r="O587" i="16" s="1"/>
  <c r="K587" i="16"/>
  <c r="J587" i="16"/>
  <c r="T590" i="16"/>
  <c r="M592" i="16"/>
  <c r="E597" i="16"/>
  <c r="T597" i="16" s="1"/>
  <c r="P600" i="16"/>
  <c r="H600" i="9" s="1"/>
  <c r="H600" i="16"/>
  <c r="O600" i="16"/>
  <c r="G600" i="16"/>
  <c r="F600" i="16"/>
  <c r="L600" i="16"/>
  <c r="M604" i="16"/>
  <c r="L612" i="16"/>
  <c r="K612" i="16"/>
  <c r="J612" i="16"/>
  <c r="I612" i="16"/>
  <c r="F618" i="16"/>
  <c r="M618" i="16"/>
  <c r="E618" i="16"/>
  <c r="L618" i="16"/>
  <c r="O618" i="16" s="1"/>
  <c r="K618" i="16"/>
  <c r="T623" i="16"/>
  <c r="K629" i="16"/>
  <c r="O635" i="16"/>
  <c r="O641" i="16"/>
  <c r="G641" i="16"/>
  <c r="F641" i="16"/>
  <c r="M641" i="16"/>
  <c r="E641" i="16"/>
  <c r="L641" i="16"/>
  <c r="T648" i="16"/>
  <c r="M651" i="16"/>
  <c r="E651" i="16"/>
  <c r="L651" i="16"/>
  <c r="K651" i="16"/>
  <c r="J651" i="16"/>
  <c r="T654" i="16"/>
  <c r="M656" i="16"/>
  <c r="P664" i="16"/>
  <c r="H664" i="9" s="1"/>
  <c r="H664" i="16"/>
  <c r="O664" i="16"/>
  <c r="G664" i="16"/>
  <c r="F664" i="16"/>
  <c r="L664" i="16"/>
  <c r="M668" i="16"/>
  <c r="O674" i="16"/>
  <c r="L676" i="16"/>
  <c r="K676" i="16"/>
  <c r="J676" i="16"/>
  <c r="I676" i="16"/>
  <c r="M682" i="16"/>
  <c r="E682" i="16"/>
  <c r="L682" i="16"/>
  <c r="K682" i="16"/>
  <c r="O682" i="16" s="1"/>
  <c r="K693" i="16"/>
  <c r="O699" i="16"/>
  <c r="O705" i="16"/>
  <c r="G705" i="16"/>
  <c r="M705" i="16"/>
  <c r="E705" i="16"/>
  <c r="L705" i="16"/>
  <c r="M715" i="16"/>
  <c r="E715" i="16"/>
  <c r="L715" i="16"/>
  <c r="K715" i="16"/>
  <c r="J715" i="16"/>
  <c r="J718" i="16"/>
  <c r="O718" i="16" s="1"/>
  <c r="M720" i="16"/>
  <c r="H728" i="16"/>
  <c r="O728" i="16"/>
  <c r="G728" i="16"/>
  <c r="F728" i="16"/>
  <c r="P728" i="16" s="1"/>
  <c r="L728" i="16"/>
  <c r="M732" i="16"/>
  <c r="O738" i="16"/>
  <c r="L740" i="16"/>
  <c r="K740" i="16"/>
  <c r="J740" i="16"/>
  <c r="I740" i="16"/>
  <c r="M746" i="16"/>
  <c r="E746" i="16"/>
  <c r="L746" i="16"/>
  <c r="O746" i="16" s="1"/>
  <c r="K746" i="16"/>
  <c r="K757" i="16"/>
  <c r="G769" i="16"/>
  <c r="F769" i="16"/>
  <c r="M769" i="16"/>
  <c r="E769" i="16"/>
  <c r="L769" i="16"/>
  <c r="M779" i="16"/>
  <c r="E779" i="16"/>
  <c r="L779" i="16"/>
  <c r="O779" i="16" s="1"/>
  <c r="K779" i="16"/>
  <c r="J779" i="16"/>
  <c r="J782" i="16"/>
  <c r="M784" i="16"/>
  <c r="E789" i="16"/>
  <c r="H792" i="16"/>
  <c r="G792" i="16"/>
  <c r="F792" i="16"/>
  <c r="L792" i="16"/>
  <c r="M796" i="16"/>
  <c r="K797" i="16"/>
  <c r="J797" i="16"/>
  <c r="L804" i="16"/>
  <c r="K804" i="16"/>
  <c r="J804" i="16"/>
  <c r="I804" i="16"/>
  <c r="O804" i="16" s="1"/>
  <c r="P804" i="16" s="1"/>
  <c r="H804" i="9" s="1"/>
  <c r="I804" i="9" s="1"/>
  <c r="F810" i="16"/>
  <c r="M810" i="16"/>
  <c r="E810" i="16"/>
  <c r="L810" i="16"/>
  <c r="O810" i="16" s="1"/>
  <c r="K810" i="16"/>
  <c r="K821" i="16"/>
  <c r="G833" i="16"/>
  <c r="M833" i="16"/>
  <c r="E833" i="16"/>
  <c r="L833" i="16"/>
  <c r="M843" i="16"/>
  <c r="E843" i="16"/>
  <c r="L843" i="16"/>
  <c r="K843" i="16"/>
  <c r="J843" i="16"/>
  <c r="J846" i="16"/>
  <c r="M848" i="16"/>
  <c r="E853" i="16"/>
  <c r="H855" i="16"/>
  <c r="G855" i="16"/>
  <c r="H856" i="16"/>
  <c r="O856" i="16"/>
  <c r="G856" i="16"/>
  <c r="F856" i="16"/>
  <c r="L856" i="16"/>
  <c r="M860" i="16"/>
  <c r="L868" i="16"/>
  <c r="K868" i="16"/>
  <c r="J868" i="16"/>
  <c r="I868" i="16"/>
  <c r="O871" i="16"/>
  <c r="M874" i="16"/>
  <c r="E874" i="16"/>
  <c r="L874" i="16"/>
  <c r="O874" i="16" s="1"/>
  <c r="K874" i="16"/>
  <c r="K885" i="16"/>
  <c r="O897" i="16"/>
  <c r="G897" i="16"/>
  <c r="M897" i="16"/>
  <c r="E897" i="16"/>
  <c r="L897" i="16"/>
  <c r="M907" i="16"/>
  <c r="E907" i="16"/>
  <c r="L907" i="16"/>
  <c r="K907" i="16"/>
  <c r="J907" i="16"/>
  <c r="J910" i="16"/>
  <c r="E911" i="16"/>
  <c r="M912" i="16"/>
  <c r="O912" i="16" s="1"/>
  <c r="E917" i="16"/>
  <c r="H919" i="16"/>
  <c r="G919" i="16"/>
  <c r="H920" i="16"/>
  <c r="G920" i="16"/>
  <c r="F920" i="16"/>
  <c r="L920" i="16"/>
  <c r="O920" i="16" s="1"/>
  <c r="M924" i="16"/>
  <c r="O930" i="16"/>
  <c r="L932" i="16"/>
  <c r="K932" i="16"/>
  <c r="J932" i="16"/>
  <c r="I932" i="16"/>
  <c r="O932" i="16" s="1"/>
  <c r="O935" i="16"/>
  <c r="P935" i="16" s="1"/>
  <c r="F938" i="16"/>
  <c r="M938" i="16"/>
  <c r="E938" i="16"/>
  <c r="L938" i="16"/>
  <c r="O938" i="16" s="1"/>
  <c r="K938" i="16"/>
  <c r="K949" i="16"/>
  <c r="G961" i="16"/>
  <c r="M961" i="16"/>
  <c r="E961" i="16"/>
  <c r="L961" i="16"/>
  <c r="M971" i="16"/>
  <c r="E971" i="16"/>
  <c r="L971" i="16"/>
  <c r="K971" i="16"/>
  <c r="J971" i="16"/>
  <c r="J974" i="16"/>
  <c r="E975" i="16"/>
  <c r="M976" i="16"/>
  <c r="T983" i="16"/>
  <c r="F991" i="16"/>
  <c r="H999" i="16"/>
  <c r="G999" i="16"/>
  <c r="M999" i="16"/>
  <c r="L999" i="16"/>
  <c r="K999" i="16"/>
  <c r="M1003" i="16"/>
  <c r="E1003" i="16"/>
  <c r="L1003" i="16"/>
  <c r="K1003" i="16"/>
  <c r="T1003" i="16"/>
  <c r="F1003" i="16"/>
  <c r="P1003" i="16" s="1"/>
  <c r="H1003" i="9" s="1"/>
  <c r="O1003" i="16"/>
  <c r="L1020" i="16"/>
  <c r="K1020" i="16"/>
  <c r="J1020" i="16"/>
  <c r="E1020" i="16"/>
  <c r="K1021" i="16"/>
  <c r="K1025" i="16"/>
  <c r="F1034" i="16"/>
  <c r="M1034" i="16"/>
  <c r="E1034" i="16"/>
  <c r="L1034" i="16"/>
  <c r="G1034" i="16"/>
  <c r="E1038" i="16"/>
  <c r="M1059" i="16"/>
  <c r="E1059" i="16"/>
  <c r="L1059" i="16"/>
  <c r="K1059" i="16"/>
  <c r="G1059" i="16"/>
  <c r="E1071" i="16"/>
  <c r="H1079" i="16"/>
  <c r="G1079" i="16"/>
  <c r="K1079" i="16"/>
  <c r="J1079" i="16"/>
  <c r="H1081" i="16"/>
  <c r="J1085" i="16"/>
  <c r="H1085" i="16"/>
  <c r="G1085" i="16"/>
  <c r="E1085" i="16"/>
  <c r="M1086" i="16"/>
  <c r="L1086" i="16"/>
  <c r="K1086" i="16"/>
  <c r="F1109" i="16"/>
  <c r="K1110" i="16"/>
  <c r="G1110" i="16"/>
  <c r="F1119" i="16"/>
  <c r="E1125" i="16"/>
  <c r="H1127" i="16"/>
  <c r="G1127" i="16"/>
  <c r="M1127" i="16"/>
  <c r="L1127" i="16"/>
  <c r="K1127" i="16"/>
  <c r="J1127" i="16"/>
  <c r="J1133" i="16"/>
  <c r="M1133" i="16"/>
  <c r="L1133" i="16"/>
  <c r="H1133" i="16"/>
  <c r="G1133" i="16"/>
  <c r="L1148" i="16"/>
  <c r="K1148" i="16"/>
  <c r="J1148" i="16"/>
  <c r="F1148" i="16"/>
  <c r="E1148" i="16"/>
  <c r="K1149" i="16"/>
  <c r="K1153" i="16"/>
  <c r="F1165" i="16"/>
  <c r="L1166" i="16"/>
  <c r="K1166" i="16"/>
  <c r="G1166" i="16"/>
  <c r="I1201" i="16"/>
  <c r="M1205" i="16"/>
  <c r="H1207" i="16"/>
  <c r="G1207" i="16"/>
  <c r="K1207" i="16"/>
  <c r="J1207" i="16"/>
  <c r="H1209" i="16"/>
  <c r="J1213" i="16"/>
  <c r="H1213" i="16"/>
  <c r="G1213" i="16"/>
  <c r="E1213" i="16"/>
  <c r="M1214" i="16"/>
  <c r="L1214" i="16"/>
  <c r="K1214" i="16"/>
  <c r="J1217" i="16"/>
  <c r="I1217" i="16"/>
  <c r="M1230" i="16"/>
  <c r="J1238" i="16"/>
  <c r="H1248" i="16"/>
  <c r="G1248" i="16"/>
  <c r="O1248" i="16" s="1"/>
  <c r="K1248" i="16"/>
  <c r="J1248" i="16"/>
  <c r="I1248" i="16"/>
  <c r="E1248" i="16"/>
  <c r="E1253" i="16"/>
  <c r="H1255" i="16"/>
  <c r="G1255" i="16"/>
  <c r="M1255" i="16"/>
  <c r="L1255" i="16"/>
  <c r="K1255" i="16"/>
  <c r="J1255" i="16"/>
  <c r="H1264" i="16"/>
  <c r="O1264" i="16"/>
  <c r="G1264" i="16"/>
  <c r="F1264" i="16"/>
  <c r="P1264" i="16" s="1"/>
  <c r="I1264" i="16"/>
  <c r="E1264" i="16"/>
  <c r="L1268" i="16"/>
  <c r="K1268" i="16"/>
  <c r="J1268" i="16"/>
  <c r="G1268" i="16"/>
  <c r="E1268" i="16"/>
  <c r="O1268" i="16"/>
  <c r="F1287" i="16"/>
  <c r="O1301" i="16"/>
  <c r="E1302" i="16"/>
  <c r="M1307" i="16"/>
  <c r="E1307" i="16"/>
  <c r="L1307" i="16"/>
  <c r="K1307" i="16"/>
  <c r="O1307" i="16" s="1"/>
  <c r="H1307" i="16"/>
  <c r="G1307" i="16"/>
  <c r="F1307" i="16"/>
  <c r="M1325" i="16"/>
  <c r="L1325" i="16"/>
  <c r="H1325" i="16"/>
  <c r="G1325" i="16"/>
  <c r="H1336" i="16"/>
  <c r="O1336" i="16"/>
  <c r="G1336" i="16"/>
  <c r="F1336" i="16"/>
  <c r="E1336" i="16"/>
  <c r="M1336" i="16"/>
  <c r="M1346" i="16"/>
  <c r="E1346" i="16"/>
  <c r="L1346" i="16"/>
  <c r="H1346" i="16"/>
  <c r="G1346" i="16"/>
  <c r="O1361" i="16"/>
  <c r="G1361" i="16"/>
  <c r="N1361" i="16"/>
  <c r="F1361" i="16"/>
  <c r="M1361" i="16"/>
  <c r="E1361" i="16"/>
  <c r="J1361" i="16"/>
  <c r="I1361" i="16"/>
  <c r="H1361" i="16"/>
  <c r="M1363" i="16"/>
  <c r="E1363" i="16"/>
  <c r="L1363" i="16"/>
  <c r="K1363" i="16"/>
  <c r="I1363" i="16"/>
  <c r="H1363" i="16"/>
  <c r="G1363" i="16"/>
  <c r="T1363" i="16"/>
  <c r="F1363" i="16"/>
  <c r="M1403" i="16"/>
  <c r="E1403" i="16"/>
  <c r="L1403" i="16"/>
  <c r="K1403" i="16"/>
  <c r="H1403" i="16"/>
  <c r="G1403" i="16"/>
  <c r="T1403" i="16"/>
  <c r="F1403" i="16"/>
  <c r="P1403" i="16"/>
  <c r="P1408" i="16"/>
  <c r="H1408" i="16"/>
  <c r="O1408" i="16"/>
  <c r="G1408" i="16"/>
  <c r="N1408" i="16"/>
  <c r="F1408" i="16"/>
  <c r="K1408" i="16"/>
  <c r="J1408" i="16"/>
  <c r="I1408" i="16"/>
  <c r="E1408" i="16"/>
  <c r="P1457" i="16"/>
  <c r="H1457" i="16"/>
  <c r="I1457" i="16"/>
  <c r="T1457" i="16"/>
  <c r="G1457" i="16"/>
  <c r="O1457" i="16"/>
  <c r="F1457" i="16"/>
  <c r="L1457" i="16"/>
  <c r="K1457" i="16"/>
  <c r="J1457" i="16"/>
  <c r="E1457" i="16"/>
  <c r="M1516" i="16"/>
  <c r="E1516" i="16"/>
  <c r="P1516" i="16"/>
  <c r="G1516" i="16"/>
  <c r="O1516" i="16"/>
  <c r="F1516" i="16"/>
  <c r="N1516" i="16"/>
  <c r="I1516" i="16"/>
  <c r="H1516" i="16"/>
  <c r="J1519" i="16"/>
  <c r="P1519" i="16"/>
  <c r="G1519" i="16"/>
  <c r="O1519" i="16"/>
  <c r="F1519" i="16"/>
  <c r="N1519" i="16"/>
  <c r="E1519" i="16"/>
  <c r="L1519" i="16"/>
  <c r="K1519" i="16"/>
  <c r="I1519" i="16"/>
  <c r="H1519" i="16"/>
  <c r="K1542" i="16"/>
  <c r="O1542" i="16"/>
  <c r="F1542" i="16"/>
  <c r="N1542" i="16"/>
  <c r="E1542" i="16"/>
  <c r="M1542" i="16"/>
  <c r="H1542" i="16"/>
  <c r="G1542" i="16"/>
  <c r="T1542" i="16"/>
  <c r="P1585" i="16"/>
  <c r="H1585" i="16"/>
  <c r="I1585" i="16"/>
  <c r="T1585" i="16"/>
  <c r="G1585" i="16"/>
  <c r="O1585" i="16"/>
  <c r="F1585" i="16"/>
  <c r="J1585" i="16"/>
  <c r="E1585" i="16"/>
  <c r="M1628" i="16"/>
  <c r="E1628" i="16"/>
  <c r="N1628" i="16"/>
  <c r="L1628" i="16"/>
  <c r="K1628" i="16"/>
  <c r="I1628" i="16"/>
  <c r="H1628" i="16"/>
  <c r="G1628" i="16"/>
  <c r="F1628" i="16"/>
  <c r="K1630" i="16"/>
  <c r="N1630" i="16"/>
  <c r="E1630" i="16"/>
  <c r="M1630" i="16"/>
  <c r="L1630" i="16"/>
  <c r="I1630" i="16"/>
  <c r="H1630" i="16"/>
  <c r="G1630" i="16"/>
  <c r="F1630" i="16"/>
  <c r="O1634" i="16"/>
  <c r="G1634" i="16"/>
  <c r="T1634" i="16"/>
  <c r="H1634" i="16"/>
  <c r="P1634" i="16"/>
  <c r="F1634" i="16"/>
  <c r="N1634" i="16"/>
  <c r="E1634" i="16"/>
  <c r="K1634" i="16"/>
  <c r="J1634" i="16"/>
  <c r="I1634" i="16"/>
  <c r="L1669" i="16"/>
  <c r="O1669" i="16"/>
  <c r="F1669" i="16"/>
  <c r="N1669" i="16"/>
  <c r="E1669" i="16"/>
  <c r="M1669" i="16"/>
  <c r="I1669" i="16"/>
  <c r="H1669" i="16"/>
  <c r="G1669" i="16"/>
  <c r="L1757" i="16"/>
  <c r="N1757" i="16"/>
  <c r="E1757" i="16"/>
  <c r="M1757" i="16"/>
  <c r="K1757" i="16"/>
  <c r="H1757" i="16"/>
  <c r="G1757" i="16"/>
  <c r="F1757" i="16"/>
  <c r="T1757" i="16"/>
  <c r="J1799" i="16"/>
  <c r="O1799" i="16"/>
  <c r="F1799" i="16"/>
  <c r="N1799" i="16"/>
  <c r="E1799" i="16"/>
  <c r="M1799" i="16"/>
  <c r="G1799" i="16"/>
  <c r="T1799" i="16"/>
  <c r="P1799" i="16"/>
  <c r="P1809" i="16"/>
  <c r="H1809" i="16"/>
  <c r="M1809" i="16"/>
  <c r="L1809" i="16"/>
  <c r="K1809" i="16"/>
  <c r="G1809" i="16"/>
  <c r="F1809" i="16"/>
  <c r="E1809" i="16"/>
  <c r="T1809" i="16"/>
  <c r="N1811" i="16"/>
  <c r="F1811" i="16"/>
  <c r="P1811" i="16"/>
  <c r="G1811" i="16"/>
  <c r="O1811" i="16"/>
  <c r="E1811" i="16"/>
  <c r="M1811" i="16"/>
  <c r="K1811" i="16"/>
  <c r="J1811" i="16"/>
  <c r="I1811" i="16"/>
  <c r="H1811" i="16"/>
  <c r="O1826" i="16"/>
  <c r="G1826" i="16"/>
  <c r="T1826" i="16"/>
  <c r="H1826" i="16"/>
  <c r="P1826" i="16"/>
  <c r="F1826" i="16"/>
  <c r="N1826" i="16"/>
  <c r="E1826" i="16"/>
  <c r="L1826" i="16"/>
  <c r="K1826" i="16"/>
  <c r="J1826" i="16"/>
  <c r="I1826" i="16"/>
  <c r="N1835" i="16"/>
  <c r="F1835" i="16"/>
  <c r="O1835" i="16"/>
  <c r="E1835" i="16"/>
  <c r="M1835" i="16"/>
  <c r="L1835" i="16"/>
  <c r="H1835" i="16"/>
  <c r="G1835" i="16"/>
  <c r="T1835" i="16"/>
  <c r="J1839" i="16"/>
  <c r="P1839" i="16"/>
  <c r="G1839" i="16"/>
  <c r="O1839" i="16"/>
  <c r="F1839" i="16"/>
  <c r="N1839" i="16"/>
  <c r="E1839" i="16"/>
  <c r="H1839" i="16"/>
  <c r="T1839" i="16"/>
  <c r="K1846" i="16"/>
  <c r="M1846" i="16"/>
  <c r="L1846" i="16"/>
  <c r="J1846" i="16"/>
  <c r="F1846" i="16"/>
  <c r="T1846" i="16"/>
  <c r="E1846" i="16"/>
  <c r="P1846" i="16"/>
  <c r="O1846" i="16"/>
  <c r="M1852" i="16"/>
  <c r="E1852" i="16"/>
  <c r="I1852" i="16"/>
  <c r="T1852" i="16"/>
  <c r="H1852" i="16"/>
  <c r="P1852" i="16"/>
  <c r="G1852" i="16"/>
  <c r="K1852" i="16"/>
  <c r="J1852" i="16"/>
  <c r="F1852" i="16"/>
  <c r="J1879" i="16"/>
  <c r="T1879" i="16"/>
  <c r="H1879" i="16"/>
  <c r="P1879" i="16"/>
  <c r="G1879" i="16"/>
  <c r="O1879" i="16"/>
  <c r="F1879" i="16"/>
  <c r="K1879" i="16"/>
  <c r="I1879" i="16"/>
  <c r="E1879" i="16"/>
  <c r="O1914" i="16"/>
  <c r="G1914" i="16"/>
  <c r="P1914" i="16"/>
  <c r="F1914" i="16"/>
  <c r="N1914" i="16"/>
  <c r="E1914" i="16"/>
  <c r="M1914" i="16"/>
  <c r="K1914" i="16"/>
  <c r="J1914" i="16"/>
  <c r="I1914" i="16"/>
  <c r="H1914" i="16"/>
  <c r="M1948" i="16"/>
  <c r="E1948" i="16"/>
  <c r="N1948" i="16"/>
  <c r="L1948" i="16"/>
  <c r="K1948" i="16"/>
  <c r="F1948" i="16"/>
  <c r="T1948" i="16"/>
  <c r="P1948" i="16"/>
  <c r="O1948" i="16"/>
  <c r="O1962" i="16"/>
  <c r="G1962" i="16"/>
  <c r="M1962" i="16"/>
  <c r="L1962" i="16"/>
  <c r="K1962" i="16"/>
  <c r="F1962" i="16"/>
  <c r="E1962" i="16"/>
  <c r="T1962" i="16"/>
  <c r="P1962" i="16"/>
  <c r="M1964" i="16"/>
  <c r="E1964" i="16"/>
  <c r="P1964" i="16"/>
  <c r="G1964" i="16"/>
  <c r="O1964" i="16"/>
  <c r="F1964" i="16"/>
  <c r="N1964" i="16"/>
  <c r="J1964" i="16"/>
  <c r="I1964" i="16"/>
  <c r="H1964" i="16"/>
  <c r="N2051" i="16"/>
  <c r="F2051" i="16"/>
  <c r="M2051" i="16"/>
  <c r="L2051" i="16"/>
  <c r="K2051" i="16"/>
  <c r="E2051" i="16"/>
  <c r="T2051" i="16"/>
  <c r="P2051" i="16"/>
  <c r="O2051" i="16"/>
  <c r="P2057" i="16"/>
  <c r="H2057" i="16"/>
  <c r="T2057" i="16"/>
  <c r="G2057" i="16"/>
  <c r="O2057" i="16"/>
  <c r="F2057" i="16"/>
  <c r="N2057" i="16"/>
  <c r="E2057" i="16"/>
  <c r="J2057" i="16"/>
  <c r="I2057" i="16"/>
  <c r="P2105" i="16"/>
  <c r="H2105" i="16"/>
  <c r="N2105" i="16"/>
  <c r="E2105" i="16"/>
  <c r="M2105" i="16"/>
  <c r="L2105" i="16"/>
  <c r="J2105" i="16"/>
  <c r="I2105" i="16"/>
  <c r="G2105" i="16"/>
  <c r="F2105" i="16"/>
  <c r="M2132" i="16"/>
  <c r="E2132" i="16"/>
  <c r="T2132" i="16"/>
  <c r="H2132" i="16"/>
  <c r="P2132" i="16"/>
  <c r="G2132" i="16"/>
  <c r="O2132" i="16"/>
  <c r="F2132" i="16"/>
  <c r="K2132" i="16"/>
  <c r="J2132" i="16"/>
  <c r="I2132" i="16"/>
  <c r="L2229" i="16"/>
  <c r="M2229" i="16"/>
  <c r="K2229" i="16"/>
  <c r="J2229" i="16"/>
  <c r="T2229" i="16"/>
  <c r="E2229" i="16"/>
  <c r="P2229" i="16"/>
  <c r="O2229" i="16"/>
  <c r="N2229" i="16"/>
  <c r="K2230" i="16"/>
  <c r="M2230" i="16"/>
  <c r="L2230" i="16"/>
  <c r="J2230" i="16"/>
  <c r="H2230" i="16"/>
  <c r="G2230" i="16"/>
  <c r="F2230" i="16"/>
  <c r="T2230" i="16"/>
  <c r="E2230" i="16"/>
  <c r="M2244" i="16"/>
  <c r="E2244" i="16"/>
  <c r="O2244" i="16"/>
  <c r="F2244" i="16"/>
  <c r="N2244" i="16"/>
  <c r="L2244" i="16"/>
  <c r="H2244" i="16"/>
  <c r="G2244" i="16"/>
  <c r="T2244" i="16"/>
  <c r="K2246" i="16"/>
  <c r="O2246" i="16"/>
  <c r="F2246" i="16"/>
  <c r="N2246" i="16"/>
  <c r="E2246" i="16"/>
  <c r="M2246" i="16"/>
  <c r="J2246" i="16"/>
  <c r="I2246" i="16"/>
  <c r="H2246" i="16"/>
  <c r="G2246" i="16"/>
  <c r="N2283" i="16"/>
  <c r="F2283" i="16"/>
  <c r="O2283" i="16"/>
  <c r="E2283" i="16"/>
  <c r="M2283" i="16"/>
  <c r="L2283" i="16"/>
  <c r="G2283" i="16"/>
  <c r="T2283" i="16"/>
  <c r="P2283" i="16"/>
  <c r="N2307" i="16"/>
  <c r="F2307" i="16"/>
  <c r="M2307" i="16"/>
  <c r="L2307" i="16"/>
  <c r="K2307" i="16"/>
  <c r="I2307" i="16"/>
  <c r="H2307" i="16"/>
  <c r="G2307" i="16"/>
  <c r="E2307" i="16"/>
  <c r="M2332" i="16"/>
  <c r="E2332" i="16"/>
  <c r="N2332" i="16"/>
  <c r="L2332" i="16"/>
  <c r="K2332" i="16"/>
  <c r="I2332" i="16"/>
  <c r="H2332" i="16"/>
  <c r="G2332" i="16"/>
  <c r="F2332" i="16"/>
  <c r="K2334" i="16"/>
  <c r="N2334" i="16"/>
  <c r="E2334" i="16"/>
  <c r="M2334" i="16"/>
  <c r="L2334" i="16"/>
  <c r="I2334" i="16"/>
  <c r="H2334" i="16"/>
  <c r="G2334" i="16"/>
  <c r="F2334" i="16"/>
  <c r="O2338" i="16"/>
  <c r="G2338" i="16"/>
  <c r="T2338" i="16"/>
  <c r="H2338" i="16"/>
  <c r="P2338" i="16"/>
  <c r="F2338" i="16"/>
  <c r="N2338" i="16"/>
  <c r="E2338" i="16"/>
  <c r="K2338" i="16"/>
  <c r="J2338" i="16"/>
  <c r="I2338" i="16"/>
  <c r="N2363" i="16"/>
  <c r="F2363" i="16"/>
  <c r="T2363" i="16"/>
  <c r="H2363" i="16"/>
  <c r="P2363" i="16"/>
  <c r="G2363" i="16"/>
  <c r="O2363" i="16"/>
  <c r="E2363" i="16"/>
  <c r="J2363" i="16"/>
  <c r="I2363" i="16"/>
  <c r="P2401" i="16"/>
  <c r="H2401" i="16"/>
  <c r="O2401" i="16"/>
  <c r="F2401" i="16"/>
  <c r="N2401" i="16"/>
  <c r="E2401" i="16"/>
  <c r="M2401" i="16"/>
  <c r="I2401" i="16"/>
  <c r="G2401" i="16"/>
  <c r="M2452" i="16"/>
  <c r="E2452" i="16"/>
  <c r="T2452" i="16"/>
  <c r="H2452" i="16"/>
  <c r="P2452" i="16"/>
  <c r="G2452" i="16"/>
  <c r="O2452" i="16"/>
  <c r="F2452" i="16"/>
  <c r="J2452" i="16"/>
  <c r="I2452" i="16"/>
  <c r="N2452" i="16"/>
  <c r="L2452" i="16"/>
  <c r="K2452" i="16"/>
  <c r="L2461" i="16"/>
  <c r="N2461" i="16"/>
  <c r="E2461" i="16"/>
  <c r="M2461" i="16"/>
  <c r="K2461" i="16"/>
  <c r="G2461" i="16"/>
  <c r="F2461" i="16"/>
  <c r="O2461" i="16"/>
  <c r="J2461" i="16"/>
  <c r="I2461" i="16"/>
  <c r="H2461" i="16"/>
  <c r="O2523" i="16"/>
  <c r="G2523" i="16"/>
  <c r="N2523" i="16"/>
  <c r="F2523" i="16"/>
  <c r="I2523" i="16"/>
  <c r="H2523" i="16"/>
  <c r="T2523" i="16"/>
  <c r="E2523" i="16"/>
  <c r="K2523" i="16"/>
  <c r="J2523" i="16"/>
  <c r="P2523" i="16"/>
  <c r="M2523" i="16"/>
  <c r="L2523" i="16"/>
  <c r="L2534" i="16"/>
  <c r="K2534" i="16"/>
  <c r="H2534" i="16"/>
  <c r="T2534" i="16"/>
  <c r="G2534" i="16"/>
  <c r="P2534" i="16"/>
  <c r="F2534" i="16"/>
  <c r="O2534" i="16"/>
  <c r="M2534" i="16"/>
  <c r="J2534" i="16"/>
  <c r="I2534" i="16"/>
  <c r="E2534" i="16"/>
  <c r="N2548" i="16"/>
  <c r="F2548" i="16"/>
  <c r="M2548" i="16"/>
  <c r="E2548" i="16"/>
  <c r="T2548" i="16"/>
  <c r="G2548" i="16"/>
  <c r="P2548" i="16"/>
  <c r="O2548" i="16"/>
  <c r="I2548" i="16"/>
  <c r="H2548" i="16"/>
  <c r="L2548" i="16"/>
  <c r="K2548" i="16"/>
  <c r="J2548" i="16"/>
  <c r="L2662" i="16"/>
  <c r="K2662" i="16"/>
  <c r="H2662" i="16"/>
  <c r="T2662" i="16"/>
  <c r="G2662" i="16"/>
  <c r="P2662" i="16"/>
  <c r="F2662" i="16"/>
  <c r="E2662" i="16"/>
  <c r="M2662" i="16"/>
  <c r="J2662" i="16"/>
  <c r="I2662" i="16"/>
  <c r="L2694" i="16"/>
  <c r="K2694" i="16"/>
  <c r="N2694" i="16"/>
  <c r="M2694" i="16"/>
  <c r="J2694" i="16"/>
  <c r="F2694" i="16"/>
  <c r="E2694" i="16"/>
  <c r="P2694" i="16"/>
  <c r="I2694" i="16"/>
  <c r="H2694" i="16"/>
  <c r="G2694" i="16"/>
  <c r="O2707" i="16"/>
  <c r="G2707" i="16"/>
  <c r="N2707" i="16"/>
  <c r="F2707" i="16"/>
  <c r="H2707" i="16"/>
  <c r="T2707" i="16"/>
  <c r="E2707" i="16"/>
  <c r="P2707" i="16"/>
  <c r="K2707" i="16"/>
  <c r="J2707" i="16"/>
  <c r="M2707" i="16"/>
  <c r="L2707" i="16"/>
  <c r="I2707" i="16"/>
  <c r="N2740" i="16"/>
  <c r="F2740" i="16"/>
  <c r="M2740" i="16"/>
  <c r="E2740" i="16"/>
  <c r="T2740" i="16"/>
  <c r="G2740" i="16"/>
  <c r="P2740" i="16"/>
  <c r="O2740" i="16"/>
  <c r="K2740" i="16"/>
  <c r="J2740" i="16"/>
  <c r="H2740" i="16"/>
  <c r="L2740" i="16"/>
  <c r="I2740" i="16"/>
  <c r="L2782" i="16"/>
  <c r="K2782" i="16"/>
  <c r="T2782" i="16"/>
  <c r="G2782" i="16"/>
  <c r="P2782" i="16"/>
  <c r="F2782" i="16"/>
  <c r="O2782" i="16"/>
  <c r="E2782" i="16"/>
  <c r="J2782" i="16"/>
  <c r="I2782" i="16"/>
  <c r="M2782" i="16"/>
  <c r="H2782" i="16"/>
  <c r="L2910" i="16"/>
  <c r="K2910" i="16"/>
  <c r="T2910" i="16"/>
  <c r="G2910" i="16"/>
  <c r="P2910" i="16"/>
  <c r="F2910" i="16"/>
  <c r="O2910" i="16"/>
  <c r="E2910" i="16"/>
  <c r="I2910" i="16"/>
  <c r="H2910" i="16"/>
  <c r="M2910" i="16"/>
  <c r="J2910" i="16"/>
  <c r="P2930" i="16"/>
  <c r="H2930" i="16"/>
  <c r="O2930" i="16"/>
  <c r="G2930" i="16"/>
  <c r="I2930" i="16"/>
  <c r="F2930" i="16"/>
  <c r="T2930" i="16"/>
  <c r="E2930" i="16"/>
  <c r="K2930" i="16"/>
  <c r="J2930" i="16"/>
  <c r="N2930" i="16"/>
  <c r="M2930" i="16"/>
  <c r="L2930" i="16"/>
  <c r="K2951" i="16"/>
  <c r="J2951" i="16"/>
  <c r="O2951" i="16"/>
  <c r="E2951" i="16"/>
  <c r="N2951" i="16"/>
  <c r="M2951" i="16"/>
  <c r="F2951" i="16"/>
  <c r="P2951" i="16"/>
  <c r="I2951" i="16"/>
  <c r="H2951" i="16"/>
  <c r="G2951" i="16"/>
  <c r="K3023" i="16"/>
  <c r="J3023" i="16"/>
  <c r="P3023" i="16"/>
  <c r="F3023" i="16"/>
  <c r="O3023" i="16"/>
  <c r="E3023" i="16"/>
  <c r="N3023" i="16"/>
  <c r="I3023" i="16"/>
  <c r="H3023" i="16"/>
  <c r="G3023" i="16"/>
  <c r="N3132" i="16"/>
  <c r="F3132" i="16"/>
  <c r="M3132" i="16"/>
  <c r="E3132" i="16"/>
  <c r="H3132" i="16"/>
  <c r="T3132" i="16"/>
  <c r="G3132" i="16"/>
  <c r="P3132" i="16"/>
  <c r="I3132" i="16"/>
  <c r="L3132" i="16"/>
  <c r="K3132" i="16"/>
  <c r="J3132" i="16"/>
  <c r="L3270" i="16"/>
  <c r="K3270" i="16"/>
  <c r="N3270" i="16"/>
  <c r="M3270" i="16"/>
  <c r="J3270" i="16"/>
  <c r="P3270" i="16"/>
  <c r="O3270" i="16"/>
  <c r="H3270" i="16"/>
  <c r="G3270" i="16"/>
  <c r="F3270" i="16"/>
  <c r="E3270" i="16"/>
  <c r="K3335" i="16"/>
  <c r="J3335" i="16"/>
  <c r="O3335" i="16"/>
  <c r="E3335" i="16"/>
  <c r="N3335" i="16"/>
  <c r="M3335" i="16"/>
  <c r="G3335" i="16"/>
  <c r="F3335" i="16"/>
  <c r="T3335" i="16"/>
  <c r="L3335" i="16"/>
  <c r="I3335" i="16"/>
  <c r="H3335" i="16"/>
  <c r="K3391" i="16"/>
  <c r="J3391" i="16"/>
  <c r="N3391" i="16"/>
  <c r="M3391" i="16"/>
  <c r="L3391" i="16"/>
  <c r="G3391" i="16"/>
  <c r="F3391" i="16"/>
  <c r="T3391" i="16"/>
  <c r="E3391" i="16"/>
  <c r="L3414" i="16"/>
  <c r="K3414" i="16"/>
  <c r="P3414" i="16"/>
  <c r="F3414" i="16"/>
  <c r="O3414" i="16"/>
  <c r="E3414" i="16"/>
  <c r="N3414" i="16"/>
  <c r="H3414" i="16"/>
  <c r="G3414" i="16"/>
  <c r="I3414" i="16"/>
  <c r="N3516" i="16"/>
  <c r="F3516" i="16"/>
  <c r="M3516" i="16"/>
  <c r="E3516" i="16"/>
  <c r="H3516" i="16"/>
  <c r="T3516" i="16"/>
  <c r="G3516" i="16"/>
  <c r="P3516" i="16"/>
  <c r="J3516" i="16"/>
  <c r="I3516" i="16"/>
  <c r="L3516" i="16"/>
  <c r="K3516" i="16"/>
  <c r="L3662" i="16"/>
  <c r="K3662" i="16"/>
  <c r="O3662" i="16"/>
  <c r="E3662" i="16"/>
  <c r="N3662" i="16"/>
  <c r="M3662" i="16"/>
  <c r="H3662" i="16"/>
  <c r="G3662" i="16"/>
  <c r="F3662" i="16"/>
  <c r="I3662" i="16"/>
  <c r="L3790" i="16"/>
  <c r="K3790" i="16"/>
  <c r="O3790" i="16"/>
  <c r="E3790" i="16"/>
  <c r="N3790" i="16"/>
  <c r="M3790" i="16"/>
  <c r="T3790" i="16"/>
  <c r="I3790" i="16"/>
  <c r="H3790" i="16"/>
  <c r="G3790" i="16"/>
  <c r="F3790" i="16"/>
  <c r="P3790" i="16"/>
  <c r="J3790" i="16"/>
  <c r="L3870" i="16"/>
  <c r="K3870" i="16"/>
  <c r="T3870" i="16"/>
  <c r="G3870" i="16"/>
  <c r="P3870" i="16"/>
  <c r="F3870" i="16"/>
  <c r="O3870" i="16"/>
  <c r="E3870" i="16"/>
  <c r="H3870" i="16"/>
  <c r="N3870" i="16"/>
  <c r="M3870" i="16"/>
  <c r="J3870" i="16"/>
  <c r="I3870" i="16"/>
  <c r="K3919" i="16"/>
  <c r="J3919" i="16"/>
  <c r="P3919" i="16"/>
  <c r="F3919" i="16"/>
  <c r="O3919" i="16"/>
  <c r="E3919" i="16"/>
  <c r="N3919" i="16"/>
  <c r="L3919" i="16"/>
  <c r="I3919" i="16"/>
  <c r="T3919" i="16"/>
  <c r="M3919" i="16"/>
  <c r="H3919" i="16"/>
  <c r="G3919" i="16"/>
  <c r="J4128" i="16"/>
  <c r="K4128" i="16"/>
  <c r="P4128" i="16"/>
  <c r="F4128" i="16"/>
  <c r="O4128" i="16"/>
  <c r="E4128" i="16"/>
  <c r="T4128" i="16"/>
  <c r="N4128" i="16"/>
  <c r="L4128" i="16"/>
  <c r="I4128" i="16"/>
  <c r="H4128" i="16"/>
  <c r="M4128" i="16"/>
  <c r="G4128" i="16"/>
  <c r="P4226" i="16"/>
  <c r="H4226" i="16"/>
  <c r="T4226" i="16"/>
  <c r="G4226" i="16"/>
  <c r="N4226" i="16"/>
  <c r="M4226" i="16"/>
  <c r="F4226" i="16"/>
  <c r="E4226" i="16"/>
  <c r="L4226" i="16"/>
  <c r="K4226" i="16"/>
  <c r="J4226" i="16"/>
  <c r="I4226" i="16"/>
  <c r="O4226" i="16"/>
  <c r="J4232" i="16"/>
  <c r="L4232" i="16"/>
  <c r="T4232" i="16"/>
  <c r="G4232" i="16"/>
  <c r="P4232" i="16"/>
  <c r="F4232" i="16"/>
  <c r="I4232" i="16"/>
  <c r="H4232" i="16"/>
  <c r="E4232" i="16"/>
  <c r="N4232" i="16"/>
  <c r="M4232" i="16"/>
  <c r="K4232" i="16"/>
  <c r="O4232" i="16"/>
  <c r="O4315" i="16"/>
  <c r="G4315" i="16"/>
  <c r="T4315" i="16"/>
  <c r="H4315" i="16"/>
  <c r="P4315" i="16"/>
  <c r="E4315" i="16"/>
  <c r="N4315" i="16"/>
  <c r="M4315" i="16"/>
  <c r="I4315" i="16"/>
  <c r="F4315" i="16"/>
  <c r="L4315" i="16"/>
  <c r="K4315" i="16"/>
  <c r="J4315" i="16"/>
  <c r="N4324" i="16"/>
  <c r="F4324" i="16"/>
  <c r="O4324" i="16"/>
  <c r="E4324" i="16"/>
  <c r="P4324" i="16"/>
  <c r="M4324" i="16"/>
  <c r="T4324" i="16"/>
  <c r="L4324" i="16"/>
  <c r="H4324" i="16"/>
  <c r="G4324" i="16"/>
  <c r="I4324" i="16"/>
  <c r="J4324" i="16"/>
  <c r="O4771" i="16"/>
  <c r="G4771" i="16"/>
  <c r="P4771" i="16"/>
  <c r="F4771" i="16"/>
  <c r="N4771" i="16"/>
  <c r="E4771" i="16"/>
  <c r="M4771" i="16"/>
  <c r="T4771" i="16"/>
  <c r="K4771" i="16"/>
  <c r="J4771" i="16"/>
  <c r="I4771" i="16"/>
  <c r="H4771" i="16"/>
  <c r="L4771" i="16"/>
  <c r="L236" i="16"/>
  <c r="K236" i="16"/>
  <c r="J236" i="16"/>
  <c r="I236" i="16"/>
  <c r="M242" i="16"/>
  <c r="E242" i="16"/>
  <c r="L242" i="16"/>
  <c r="K242" i="16"/>
  <c r="T247" i="16"/>
  <c r="J253" i="16"/>
  <c r="G265" i="16"/>
  <c r="O265" i="16" s="1"/>
  <c r="M265" i="16"/>
  <c r="E265" i="16"/>
  <c r="L265" i="16"/>
  <c r="M275" i="16"/>
  <c r="E275" i="16"/>
  <c r="L275" i="16"/>
  <c r="K275" i="16"/>
  <c r="J275" i="16"/>
  <c r="O275" i="16" s="1"/>
  <c r="J278" i="16"/>
  <c r="O278" i="16" s="1"/>
  <c r="P288" i="16"/>
  <c r="H288" i="9" s="1"/>
  <c r="H288" i="16"/>
  <c r="G288" i="16"/>
  <c r="F288" i="16"/>
  <c r="L288" i="16"/>
  <c r="L300" i="16"/>
  <c r="K300" i="16"/>
  <c r="J300" i="16"/>
  <c r="I300" i="16"/>
  <c r="M306" i="16"/>
  <c r="E306" i="16"/>
  <c r="L306" i="16"/>
  <c r="K306" i="16"/>
  <c r="O306" i="16" s="1"/>
  <c r="T311" i="16"/>
  <c r="K317" i="16"/>
  <c r="O329" i="16"/>
  <c r="G329" i="16"/>
  <c r="F329" i="16"/>
  <c r="M329" i="16"/>
  <c r="E329" i="16"/>
  <c r="L329" i="16"/>
  <c r="M339" i="16"/>
  <c r="E339" i="16"/>
  <c r="L339" i="16"/>
  <c r="K339" i="16"/>
  <c r="J339" i="16"/>
  <c r="O339" i="16" s="1"/>
  <c r="J342" i="16"/>
  <c r="O342" i="16" s="1"/>
  <c r="P352" i="16"/>
  <c r="H352" i="9" s="1"/>
  <c r="H352" i="16"/>
  <c r="O352" i="16"/>
  <c r="G352" i="16"/>
  <c r="F352" i="16"/>
  <c r="L352" i="16"/>
  <c r="L364" i="16"/>
  <c r="K364" i="16"/>
  <c r="J364" i="16"/>
  <c r="I364" i="16"/>
  <c r="M370" i="16"/>
  <c r="E370" i="16"/>
  <c r="L370" i="16"/>
  <c r="K370" i="16"/>
  <c r="O370" i="16" s="1"/>
  <c r="T375" i="16"/>
  <c r="K381" i="16"/>
  <c r="G393" i="16"/>
  <c r="F393" i="16"/>
  <c r="M393" i="16"/>
  <c r="E393" i="16"/>
  <c r="L393" i="16"/>
  <c r="M403" i="16"/>
  <c r="E403" i="16"/>
  <c r="L403" i="16"/>
  <c r="K403" i="16"/>
  <c r="J403" i="16"/>
  <c r="O403" i="16" s="1"/>
  <c r="J406" i="16"/>
  <c r="P416" i="16"/>
  <c r="H416" i="9" s="1"/>
  <c r="H416" i="16"/>
  <c r="G416" i="16"/>
  <c r="F416" i="16"/>
  <c r="L416" i="16"/>
  <c r="L428" i="16"/>
  <c r="K428" i="16"/>
  <c r="J428" i="16"/>
  <c r="I428" i="16"/>
  <c r="M434" i="16"/>
  <c r="E434" i="16"/>
  <c r="L434" i="16"/>
  <c r="K434" i="16"/>
  <c r="T439" i="16"/>
  <c r="K445" i="16"/>
  <c r="G457" i="16"/>
  <c r="M457" i="16"/>
  <c r="E457" i="16"/>
  <c r="L457" i="16"/>
  <c r="M467" i="16"/>
  <c r="E467" i="16"/>
  <c r="L467" i="16"/>
  <c r="K467" i="16"/>
  <c r="J467" i="16"/>
  <c r="T470" i="16"/>
  <c r="P480" i="16"/>
  <c r="H480" i="9" s="1"/>
  <c r="H480" i="16"/>
  <c r="G480" i="16"/>
  <c r="F480" i="16"/>
  <c r="L480" i="16"/>
  <c r="O480" i="16" s="1"/>
  <c r="L492" i="16"/>
  <c r="K492" i="16"/>
  <c r="J492" i="16"/>
  <c r="I492" i="16"/>
  <c r="M498" i="16"/>
  <c r="E498" i="16"/>
  <c r="L498" i="16"/>
  <c r="K498" i="16"/>
  <c r="T503" i="16"/>
  <c r="J509" i="16"/>
  <c r="G521" i="16"/>
  <c r="F521" i="16"/>
  <c r="M521" i="16"/>
  <c r="E521" i="16"/>
  <c r="L521" i="16"/>
  <c r="M531" i="16"/>
  <c r="E531" i="16"/>
  <c r="L531" i="16"/>
  <c r="K531" i="16"/>
  <c r="J531" i="16"/>
  <c r="J534" i="16"/>
  <c r="P544" i="16"/>
  <c r="H544" i="9" s="1"/>
  <c r="H544" i="16"/>
  <c r="G544" i="16"/>
  <c r="F544" i="16"/>
  <c r="L544" i="16"/>
  <c r="O544" i="16" s="1"/>
  <c r="L556" i="16"/>
  <c r="K556" i="16"/>
  <c r="J556" i="16"/>
  <c r="I556" i="16"/>
  <c r="M562" i="16"/>
  <c r="E562" i="16"/>
  <c r="L562" i="16"/>
  <c r="K562" i="16"/>
  <c r="T567" i="16"/>
  <c r="J573" i="16"/>
  <c r="G585" i="16"/>
  <c r="M585" i="16"/>
  <c r="E585" i="16"/>
  <c r="L585" i="16"/>
  <c r="M595" i="16"/>
  <c r="E595" i="16"/>
  <c r="L595" i="16"/>
  <c r="O595" i="16" s="1"/>
  <c r="K595" i="16"/>
  <c r="J595" i="16"/>
  <c r="J598" i="16"/>
  <c r="P608" i="16"/>
  <c r="H608" i="9" s="1"/>
  <c r="H608" i="16"/>
  <c r="G608" i="16"/>
  <c r="F608" i="16"/>
  <c r="L608" i="16"/>
  <c r="O608" i="16" s="1"/>
  <c r="L620" i="16"/>
  <c r="K620" i="16"/>
  <c r="J620" i="16"/>
  <c r="I620" i="16"/>
  <c r="M626" i="16"/>
  <c r="E626" i="16"/>
  <c r="L626" i="16"/>
  <c r="K626" i="16"/>
  <c r="K637" i="16"/>
  <c r="G649" i="16"/>
  <c r="F649" i="16"/>
  <c r="M649" i="16"/>
  <c r="E649" i="16"/>
  <c r="L649" i="16"/>
  <c r="M659" i="16"/>
  <c r="E659" i="16"/>
  <c r="L659" i="16"/>
  <c r="K659" i="16"/>
  <c r="J659" i="16"/>
  <c r="J662" i="16"/>
  <c r="P672" i="16"/>
  <c r="H672" i="9" s="1"/>
  <c r="H672" i="16"/>
  <c r="O672" i="16"/>
  <c r="G672" i="16"/>
  <c r="F672" i="16"/>
  <c r="L672" i="16"/>
  <c r="L684" i="16"/>
  <c r="K684" i="16"/>
  <c r="J684" i="16"/>
  <c r="I684" i="16"/>
  <c r="M690" i="16"/>
  <c r="E690" i="16"/>
  <c r="L690" i="16"/>
  <c r="K690" i="16"/>
  <c r="O690" i="16" s="1"/>
  <c r="J701" i="16"/>
  <c r="O701" i="16" s="1"/>
  <c r="G713" i="16"/>
  <c r="M713" i="16"/>
  <c r="E713" i="16"/>
  <c r="L713" i="16"/>
  <c r="M723" i="16"/>
  <c r="E723" i="16"/>
  <c r="L723" i="16"/>
  <c r="K723" i="16"/>
  <c r="J723" i="16"/>
  <c r="O723" i="16" s="1"/>
  <c r="J726" i="16"/>
  <c r="O726" i="16" s="1"/>
  <c r="H736" i="16"/>
  <c r="O736" i="16"/>
  <c r="G736" i="16"/>
  <c r="F736" i="16"/>
  <c r="P736" i="16" s="1"/>
  <c r="L736" i="16"/>
  <c r="L748" i="16"/>
  <c r="K748" i="16"/>
  <c r="J748" i="16"/>
  <c r="I748" i="16"/>
  <c r="M754" i="16"/>
  <c r="E754" i="16"/>
  <c r="L754" i="16"/>
  <c r="K754" i="16"/>
  <c r="K765" i="16"/>
  <c r="G777" i="16"/>
  <c r="F777" i="16"/>
  <c r="M777" i="16"/>
  <c r="E777" i="16"/>
  <c r="L777" i="16"/>
  <c r="M787" i="16"/>
  <c r="E787" i="16"/>
  <c r="L787" i="16"/>
  <c r="K787" i="16"/>
  <c r="J787" i="16"/>
  <c r="J790" i="16"/>
  <c r="H800" i="16"/>
  <c r="G800" i="16"/>
  <c r="F800" i="16"/>
  <c r="P800" i="16" s="1"/>
  <c r="L800" i="16"/>
  <c r="O800" i="16" s="1"/>
  <c r="K805" i="16"/>
  <c r="J805" i="16"/>
  <c r="L812" i="16"/>
  <c r="K812" i="16"/>
  <c r="J812" i="16"/>
  <c r="I812" i="16"/>
  <c r="O812" i="16" s="1"/>
  <c r="M818" i="16"/>
  <c r="E818" i="16"/>
  <c r="L818" i="16"/>
  <c r="K818" i="16"/>
  <c r="K829" i="16"/>
  <c r="G841" i="16"/>
  <c r="F841" i="16"/>
  <c r="M841" i="16"/>
  <c r="E841" i="16"/>
  <c r="L841" i="16"/>
  <c r="M851" i="16"/>
  <c r="E851" i="16"/>
  <c r="L851" i="16"/>
  <c r="O851" i="16" s="1"/>
  <c r="K851" i="16"/>
  <c r="J851" i="16"/>
  <c r="J854" i="16"/>
  <c r="H863" i="16"/>
  <c r="G863" i="16"/>
  <c r="H864" i="16"/>
  <c r="O864" i="16"/>
  <c r="G864" i="16"/>
  <c r="F864" i="16"/>
  <c r="L864" i="16"/>
  <c r="L876" i="16"/>
  <c r="K876" i="16"/>
  <c r="J876" i="16"/>
  <c r="I876" i="16"/>
  <c r="O876" i="16" s="1"/>
  <c r="F882" i="16"/>
  <c r="M882" i="16"/>
  <c r="E882" i="16"/>
  <c r="L882" i="16"/>
  <c r="K882" i="16"/>
  <c r="K893" i="16"/>
  <c r="G905" i="16"/>
  <c r="M905" i="16"/>
  <c r="E905" i="16"/>
  <c r="L905" i="16"/>
  <c r="M915" i="16"/>
  <c r="E915" i="16"/>
  <c r="L915" i="16"/>
  <c r="O915" i="16" s="1"/>
  <c r="K915" i="16"/>
  <c r="J915" i="16"/>
  <c r="J918" i="16"/>
  <c r="H927" i="16"/>
  <c r="G927" i="16"/>
  <c r="H928" i="16"/>
  <c r="G928" i="16"/>
  <c r="F928" i="16"/>
  <c r="L928" i="16"/>
  <c r="L940" i="16"/>
  <c r="K940" i="16"/>
  <c r="J940" i="16"/>
  <c r="I940" i="16"/>
  <c r="M946" i="16"/>
  <c r="E946" i="16"/>
  <c r="L946" i="16"/>
  <c r="K946" i="16"/>
  <c r="K957" i="16"/>
  <c r="O963" i="16"/>
  <c r="O969" i="16"/>
  <c r="G969" i="16"/>
  <c r="F969" i="16"/>
  <c r="M969" i="16"/>
  <c r="E969" i="16"/>
  <c r="L969" i="16"/>
  <c r="T976" i="16"/>
  <c r="M979" i="16"/>
  <c r="E979" i="16"/>
  <c r="L979" i="16"/>
  <c r="K979" i="16"/>
  <c r="J979" i="16"/>
  <c r="K984" i="16"/>
  <c r="G985" i="16"/>
  <c r="F985" i="16"/>
  <c r="M985" i="16"/>
  <c r="E985" i="16"/>
  <c r="T985" i="16" s="1"/>
  <c r="I985" i="16"/>
  <c r="O985" i="16" s="1"/>
  <c r="H985" i="16"/>
  <c r="L1004" i="16"/>
  <c r="K1004" i="16"/>
  <c r="J1004" i="16"/>
  <c r="H1004" i="16"/>
  <c r="G1004" i="16"/>
  <c r="T1004" i="16"/>
  <c r="F1004" i="16"/>
  <c r="H1007" i="16"/>
  <c r="G1007" i="16"/>
  <c r="L1007" i="16"/>
  <c r="K1007" i="16"/>
  <c r="J1007" i="16"/>
  <c r="J1013" i="16"/>
  <c r="L1013" i="16"/>
  <c r="H1013" i="16"/>
  <c r="G1013" i="16"/>
  <c r="L1028" i="16"/>
  <c r="K1028" i="16"/>
  <c r="J1028" i="16"/>
  <c r="E1028" i="16"/>
  <c r="M1028" i="16"/>
  <c r="G1033" i="16"/>
  <c r="M1033" i="16"/>
  <c r="E1033" i="16"/>
  <c r="K1033" i="16"/>
  <c r="J1033" i="16"/>
  <c r="I1033" i="16"/>
  <c r="H1033" i="16"/>
  <c r="M1038" i="16"/>
  <c r="J1046" i="16"/>
  <c r="G1049" i="16"/>
  <c r="M1049" i="16"/>
  <c r="E1049" i="16"/>
  <c r="I1049" i="16"/>
  <c r="H1049" i="16"/>
  <c r="H1064" i="16"/>
  <c r="G1064" i="16"/>
  <c r="J1064" i="16"/>
  <c r="I1064" i="16"/>
  <c r="E1064" i="16"/>
  <c r="M1071" i="16"/>
  <c r="I1081" i="16"/>
  <c r="F1095" i="16"/>
  <c r="G1105" i="16"/>
  <c r="F1105" i="16"/>
  <c r="M1105" i="16"/>
  <c r="E1105" i="16"/>
  <c r="J1105" i="16"/>
  <c r="I1105" i="16"/>
  <c r="H1105" i="16"/>
  <c r="M1107" i="16"/>
  <c r="E1107" i="16"/>
  <c r="L1107" i="16"/>
  <c r="K1107" i="16"/>
  <c r="I1107" i="16"/>
  <c r="H1107" i="16"/>
  <c r="G1107" i="16"/>
  <c r="F1107" i="16"/>
  <c r="G1121" i="16"/>
  <c r="F1121" i="16"/>
  <c r="M1121" i="16"/>
  <c r="E1121" i="16"/>
  <c r="H1121" i="16"/>
  <c r="L1141" i="16"/>
  <c r="H1141" i="16"/>
  <c r="G1141" i="16"/>
  <c r="F1162" i="16"/>
  <c r="M1162" i="16"/>
  <c r="E1162" i="16"/>
  <c r="L1162" i="16"/>
  <c r="G1162" i="16"/>
  <c r="F1167" i="16"/>
  <c r="J1174" i="16"/>
  <c r="G1177" i="16"/>
  <c r="M1177" i="16"/>
  <c r="E1177" i="16"/>
  <c r="I1177" i="16"/>
  <c r="H1177" i="16"/>
  <c r="H1192" i="16"/>
  <c r="G1192" i="16"/>
  <c r="F1192" i="16"/>
  <c r="J1192" i="16"/>
  <c r="I1192" i="16"/>
  <c r="E1192" i="16"/>
  <c r="M1199" i="16"/>
  <c r="I1209" i="16"/>
  <c r="I1232" i="16"/>
  <c r="G1241" i="16"/>
  <c r="F1241" i="16"/>
  <c r="M1241" i="16"/>
  <c r="E1241" i="16"/>
  <c r="I1241" i="16"/>
  <c r="H1241" i="16"/>
  <c r="M1251" i="16"/>
  <c r="E1251" i="16"/>
  <c r="L1251" i="16"/>
  <c r="K1251" i="16"/>
  <c r="G1251" i="16"/>
  <c r="F1251" i="16"/>
  <c r="P1251" i="16" s="1"/>
  <c r="H1251" i="9" s="1"/>
  <c r="O1251" i="16"/>
  <c r="P1255" i="16"/>
  <c r="H1255" i="9" s="1"/>
  <c r="I1255" i="9" s="1"/>
  <c r="M1274" i="16"/>
  <c r="E1274" i="16"/>
  <c r="L1274" i="16"/>
  <c r="I1274" i="16"/>
  <c r="H1274" i="16"/>
  <c r="G1274" i="16"/>
  <c r="M1286" i="16"/>
  <c r="L1286" i="16"/>
  <c r="K1286" i="16"/>
  <c r="G1286" i="16"/>
  <c r="K1302" i="16"/>
  <c r="G1302" i="16"/>
  <c r="L1333" i="16"/>
  <c r="H1333" i="16"/>
  <c r="G1333" i="16"/>
  <c r="L1340" i="16"/>
  <c r="K1340" i="16"/>
  <c r="J1340" i="16"/>
  <c r="O1340" i="16" s="1"/>
  <c r="F1340" i="16"/>
  <c r="E1340" i="16"/>
  <c r="K1341" i="16"/>
  <c r="M1411" i="16"/>
  <c r="E1411" i="16"/>
  <c r="L1411" i="16"/>
  <c r="K1411" i="16"/>
  <c r="G1411" i="16"/>
  <c r="T1411" i="16"/>
  <c r="F1411" i="16"/>
  <c r="P1411" i="16"/>
  <c r="O1411" i="16"/>
  <c r="P1424" i="16"/>
  <c r="H1424" i="16"/>
  <c r="O1424" i="16"/>
  <c r="G1424" i="16"/>
  <c r="N1424" i="16"/>
  <c r="F1424" i="16"/>
  <c r="I1424" i="16"/>
  <c r="E1424" i="16"/>
  <c r="T1424" i="16"/>
  <c r="N1426" i="16"/>
  <c r="F1426" i="16"/>
  <c r="M1426" i="16"/>
  <c r="E1426" i="16"/>
  <c r="L1426" i="16"/>
  <c r="J1426" i="16"/>
  <c r="I1426" i="16"/>
  <c r="H1426" i="16"/>
  <c r="G1426" i="16"/>
  <c r="L1436" i="16"/>
  <c r="K1436" i="16"/>
  <c r="J1436" i="16"/>
  <c r="T1436" i="16"/>
  <c r="F1436" i="16"/>
  <c r="P1436" i="16"/>
  <c r="E1436" i="16"/>
  <c r="O1436" i="16"/>
  <c r="N1436" i="16"/>
  <c r="O1482" i="16"/>
  <c r="G1482" i="16"/>
  <c r="I1482" i="16"/>
  <c r="T1482" i="16"/>
  <c r="H1482" i="16"/>
  <c r="P1482" i="16"/>
  <c r="F1482" i="16"/>
  <c r="E1482" i="16"/>
  <c r="N1482" i="16"/>
  <c r="K1502" i="16"/>
  <c r="N1502" i="16"/>
  <c r="E1502" i="16"/>
  <c r="M1502" i="16"/>
  <c r="L1502" i="16"/>
  <c r="G1502" i="16"/>
  <c r="F1502" i="16"/>
  <c r="T1502" i="16"/>
  <c r="P1502" i="16"/>
  <c r="O1506" i="16"/>
  <c r="G1506" i="16"/>
  <c r="T1506" i="16"/>
  <c r="H1506" i="16"/>
  <c r="P1506" i="16"/>
  <c r="F1506" i="16"/>
  <c r="N1506" i="16"/>
  <c r="E1506" i="16"/>
  <c r="I1506" i="16"/>
  <c r="M1580" i="16"/>
  <c r="E1580" i="16"/>
  <c r="P1580" i="16"/>
  <c r="G1580" i="16"/>
  <c r="O1580" i="16"/>
  <c r="F1580" i="16"/>
  <c r="N1580" i="16"/>
  <c r="H1580" i="16"/>
  <c r="T1580" i="16"/>
  <c r="O1594" i="16"/>
  <c r="G1594" i="16"/>
  <c r="P1594" i="16"/>
  <c r="F1594" i="16"/>
  <c r="N1594" i="16"/>
  <c r="E1594" i="16"/>
  <c r="M1594" i="16"/>
  <c r="H1594" i="16"/>
  <c r="T1594" i="16"/>
  <c r="N1603" i="16"/>
  <c r="F1603" i="16"/>
  <c r="M1603" i="16"/>
  <c r="L1603" i="16"/>
  <c r="K1603" i="16"/>
  <c r="I1603" i="16"/>
  <c r="H1603" i="16"/>
  <c r="G1603" i="16"/>
  <c r="E1603" i="16"/>
  <c r="P1617" i="16"/>
  <c r="H1617" i="16"/>
  <c r="M1617" i="16"/>
  <c r="L1617" i="16"/>
  <c r="K1617" i="16"/>
  <c r="E1617" i="16"/>
  <c r="T1617" i="16"/>
  <c r="O1617" i="16"/>
  <c r="N1617" i="16"/>
  <c r="K1654" i="16"/>
  <c r="M1654" i="16"/>
  <c r="L1654" i="16"/>
  <c r="J1654" i="16"/>
  <c r="F1654" i="16"/>
  <c r="T1654" i="16"/>
  <c r="E1654" i="16"/>
  <c r="P1654" i="16"/>
  <c r="O1654" i="16"/>
  <c r="M1660" i="16"/>
  <c r="E1660" i="16"/>
  <c r="I1660" i="16"/>
  <c r="T1660" i="16"/>
  <c r="H1660" i="16"/>
  <c r="P1660" i="16"/>
  <c r="G1660" i="16"/>
  <c r="K1660" i="16"/>
  <c r="J1660" i="16"/>
  <c r="F1660" i="16"/>
  <c r="P1673" i="16"/>
  <c r="H1673" i="16"/>
  <c r="T1673" i="16"/>
  <c r="G1673" i="16"/>
  <c r="O1673" i="16"/>
  <c r="F1673" i="16"/>
  <c r="N1673" i="16"/>
  <c r="E1673" i="16"/>
  <c r="K1673" i="16"/>
  <c r="J1673" i="16"/>
  <c r="I1673" i="16"/>
  <c r="O1682" i="16"/>
  <c r="G1682" i="16"/>
  <c r="N1682" i="16"/>
  <c r="E1682" i="16"/>
  <c r="M1682" i="16"/>
  <c r="L1682" i="16"/>
  <c r="I1682" i="16"/>
  <c r="H1682" i="16"/>
  <c r="F1682" i="16"/>
  <c r="J1687" i="16"/>
  <c r="T1687" i="16"/>
  <c r="H1687" i="16"/>
  <c r="P1687" i="16"/>
  <c r="G1687" i="16"/>
  <c r="O1687" i="16"/>
  <c r="F1687" i="16"/>
  <c r="E1687" i="16"/>
  <c r="N1687" i="16"/>
  <c r="K1750" i="16"/>
  <c r="T1750" i="16"/>
  <c r="H1750" i="16"/>
  <c r="P1750" i="16"/>
  <c r="G1750" i="16"/>
  <c r="O1750" i="16"/>
  <c r="F1750" i="16"/>
  <c r="E1750" i="16"/>
  <c r="N1750" i="16"/>
  <c r="J1759" i="16"/>
  <c r="N1759" i="16"/>
  <c r="E1759" i="16"/>
  <c r="M1759" i="16"/>
  <c r="L1759" i="16"/>
  <c r="H1759" i="16"/>
  <c r="G1759" i="16"/>
  <c r="F1759" i="16"/>
  <c r="T1759" i="16"/>
  <c r="L1781" i="16"/>
  <c r="M1781" i="16"/>
  <c r="K1781" i="16"/>
  <c r="J1781" i="16"/>
  <c r="T1781" i="16"/>
  <c r="E1781" i="16"/>
  <c r="P1781" i="16"/>
  <c r="O1781" i="16"/>
  <c r="N1781" i="16"/>
  <c r="K1782" i="16"/>
  <c r="M1782" i="16"/>
  <c r="L1782" i="16"/>
  <c r="J1782" i="16"/>
  <c r="H1782" i="16"/>
  <c r="G1782" i="16"/>
  <c r="F1782" i="16"/>
  <c r="T1782" i="16"/>
  <c r="E1782" i="16"/>
  <c r="M1796" i="16"/>
  <c r="E1796" i="16"/>
  <c r="O1796" i="16"/>
  <c r="F1796" i="16"/>
  <c r="N1796" i="16"/>
  <c r="L1796" i="16"/>
  <c r="H1796" i="16"/>
  <c r="G1796" i="16"/>
  <c r="T1796" i="16"/>
  <c r="K1798" i="16"/>
  <c r="O1798" i="16"/>
  <c r="F1798" i="16"/>
  <c r="N1798" i="16"/>
  <c r="E1798" i="16"/>
  <c r="M1798" i="16"/>
  <c r="J1798" i="16"/>
  <c r="I1798" i="16"/>
  <c r="H1798" i="16"/>
  <c r="G1798" i="16"/>
  <c r="K1838" i="16"/>
  <c r="P1838" i="16"/>
  <c r="G1838" i="16"/>
  <c r="O1838" i="16"/>
  <c r="F1838" i="16"/>
  <c r="N1838" i="16"/>
  <c r="E1838" i="16"/>
  <c r="J1838" i="16"/>
  <c r="I1838" i="16"/>
  <c r="H1838" i="16"/>
  <c r="J1911" i="16"/>
  <c r="M1911" i="16"/>
  <c r="L1911" i="16"/>
  <c r="K1911" i="16"/>
  <c r="G1911" i="16"/>
  <c r="F1911" i="16"/>
  <c r="T1911" i="16"/>
  <c r="E1911" i="16"/>
  <c r="P1911" i="16"/>
  <c r="O1930" i="16"/>
  <c r="G1930" i="16"/>
  <c r="I1930" i="16"/>
  <c r="T1930" i="16"/>
  <c r="H1930" i="16"/>
  <c r="P1930" i="16"/>
  <c r="F1930" i="16"/>
  <c r="J1930" i="16"/>
  <c r="E1930" i="16"/>
  <c r="O2066" i="16"/>
  <c r="G2066" i="16"/>
  <c r="N2066" i="16"/>
  <c r="E2066" i="16"/>
  <c r="M2066" i="16"/>
  <c r="L2066" i="16"/>
  <c r="H2066" i="16"/>
  <c r="F2066" i="16"/>
  <c r="T2066" i="16"/>
  <c r="L2069" i="16"/>
  <c r="T2069" i="16"/>
  <c r="H2069" i="16"/>
  <c r="P2069" i="16"/>
  <c r="G2069" i="16"/>
  <c r="O2069" i="16"/>
  <c r="F2069" i="16"/>
  <c r="K2069" i="16"/>
  <c r="J2069" i="16"/>
  <c r="I2069" i="16"/>
  <c r="E2069" i="16"/>
  <c r="M2092" i="16"/>
  <c r="E2092" i="16"/>
  <c r="P2092" i="16"/>
  <c r="G2092" i="16"/>
  <c r="O2092" i="16"/>
  <c r="F2092" i="16"/>
  <c r="N2092" i="16"/>
  <c r="I2092" i="16"/>
  <c r="H2092" i="16"/>
  <c r="J2095" i="16"/>
  <c r="P2095" i="16"/>
  <c r="G2095" i="16"/>
  <c r="O2095" i="16"/>
  <c r="F2095" i="16"/>
  <c r="N2095" i="16"/>
  <c r="E2095" i="16"/>
  <c r="L2095" i="16"/>
  <c r="K2095" i="16"/>
  <c r="I2095" i="16"/>
  <c r="H2095" i="16"/>
  <c r="L2157" i="16"/>
  <c r="P2157" i="16"/>
  <c r="G2157" i="16"/>
  <c r="O2157" i="16"/>
  <c r="F2157" i="16"/>
  <c r="N2157" i="16"/>
  <c r="E2157" i="16"/>
  <c r="K2157" i="16"/>
  <c r="J2157" i="16"/>
  <c r="I2157" i="16"/>
  <c r="H2157" i="16"/>
  <c r="N2179" i="16"/>
  <c r="F2179" i="16"/>
  <c r="M2179" i="16"/>
  <c r="L2179" i="16"/>
  <c r="K2179" i="16"/>
  <c r="I2179" i="16"/>
  <c r="H2179" i="16"/>
  <c r="G2179" i="16"/>
  <c r="E2179" i="16"/>
  <c r="M2204" i="16"/>
  <c r="E2204" i="16"/>
  <c r="N2204" i="16"/>
  <c r="L2204" i="16"/>
  <c r="K2204" i="16"/>
  <c r="F2204" i="16"/>
  <c r="T2204" i="16"/>
  <c r="P2204" i="16"/>
  <c r="O2204" i="16"/>
  <c r="P2225" i="16"/>
  <c r="H2225" i="16"/>
  <c r="I2225" i="16"/>
  <c r="T2225" i="16"/>
  <c r="G2225" i="16"/>
  <c r="O2225" i="16"/>
  <c r="F2225" i="16"/>
  <c r="J2225" i="16"/>
  <c r="E2225" i="16"/>
  <c r="P2321" i="16"/>
  <c r="H2321" i="16"/>
  <c r="M2321" i="16"/>
  <c r="L2321" i="16"/>
  <c r="K2321" i="16"/>
  <c r="E2321" i="16"/>
  <c r="T2321" i="16"/>
  <c r="O2321" i="16"/>
  <c r="N2321" i="16"/>
  <c r="L2349" i="16"/>
  <c r="P2349" i="16"/>
  <c r="G2349" i="16"/>
  <c r="O2349" i="16"/>
  <c r="F2349" i="16"/>
  <c r="N2349" i="16"/>
  <c r="E2349" i="16"/>
  <c r="I2349" i="16"/>
  <c r="H2349" i="16"/>
  <c r="O2426" i="16"/>
  <c r="G2426" i="16"/>
  <c r="P2426" i="16"/>
  <c r="F2426" i="16"/>
  <c r="N2426" i="16"/>
  <c r="E2426" i="16"/>
  <c r="M2426" i="16"/>
  <c r="T2426" i="16"/>
  <c r="J2426" i="16"/>
  <c r="I2426" i="16"/>
  <c r="H2426" i="16"/>
  <c r="L2437" i="16"/>
  <c r="O2437" i="16"/>
  <c r="F2437" i="16"/>
  <c r="N2437" i="16"/>
  <c r="E2437" i="16"/>
  <c r="M2437" i="16"/>
  <c r="T2437" i="16"/>
  <c r="P2437" i="16"/>
  <c r="J2437" i="16"/>
  <c r="I2437" i="16"/>
  <c r="H2437" i="16"/>
  <c r="G2437" i="16"/>
  <c r="M2477" i="16"/>
  <c r="E2477" i="16"/>
  <c r="L2477" i="16"/>
  <c r="H2477" i="16"/>
  <c r="T2477" i="16"/>
  <c r="G2477" i="16"/>
  <c r="P2477" i="16"/>
  <c r="F2477" i="16"/>
  <c r="J2477" i="16"/>
  <c r="I2477" i="16"/>
  <c r="N2477" i="16"/>
  <c r="K2477" i="16"/>
  <c r="O2507" i="16"/>
  <c r="G2507" i="16"/>
  <c r="N2507" i="16"/>
  <c r="F2507" i="16"/>
  <c r="T2507" i="16"/>
  <c r="E2507" i="16"/>
  <c r="P2507" i="16"/>
  <c r="M2507" i="16"/>
  <c r="K2507" i="16"/>
  <c r="J2507" i="16"/>
  <c r="L2507" i="16"/>
  <c r="I2507" i="16"/>
  <c r="H2507" i="16"/>
  <c r="K2511" i="16"/>
  <c r="J2511" i="16"/>
  <c r="P2511" i="16"/>
  <c r="F2511" i="16"/>
  <c r="O2511" i="16"/>
  <c r="E2511" i="16"/>
  <c r="N2511" i="16"/>
  <c r="I2511" i="16"/>
  <c r="H2511" i="16"/>
  <c r="G2511" i="16"/>
  <c r="M2597" i="16"/>
  <c r="E2597" i="16"/>
  <c r="L2597" i="16"/>
  <c r="T2597" i="16"/>
  <c r="G2597" i="16"/>
  <c r="P2597" i="16"/>
  <c r="F2597" i="16"/>
  <c r="O2597" i="16"/>
  <c r="H2597" i="16"/>
  <c r="K2597" i="16"/>
  <c r="J2597" i="16"/>
  <c r="I2597" i="16"/>
  <c r="N2612" i="16"/>
  <c r="F2612" i="16"/>
  <c r="M2612" i="16"/>
  <c r="E2612" i="16"/>
  <c r="T2612" i="16"/>
  <c r="G2612" i="16"/>
  <c r="P2612" i="16"/>
  <c r="O2612" i="16"/>
  <c r="J2612" i="16"/>
  <c r="I2612" i="16"/>
  <c r="L2612" i="16"/>
  <c r="K2612" i="16"/>
  <c r="H2612" i="16"/>
  <c r="O2635" i="16"/>
  <c r="G2635" i="16"/>
  <c r="N2635" i="16"/>
  <c r="F2635" i="16"/>
  <c r="T2635" i="16"/>
  <c r="E2635" i="16"/>
  <c r="P2635" i="16"/>
  <c r="M2635" i="16"/>
  <c r="J2635" i="16"/>
  <c r="I2635" i="16"/>
  <c r="L2635" i="16"/>
  <c r="K2635" i="16"/>
  <c r="H2635" i="16"/>
  <c r="N2796" i="16"/>
  <c r="F2796" i="16"/>
  <c r="M2796" i="16"/>
  <c r="E2796" i="16"/>
  <c r="P2796" i="16"/>
  <c r="O2796" i="16"/>
  <c r="L2796" i="16"/>
  <c r="T2796" i="16"/>
  <c r="J2796" i="16"/>
  <c r="I2796" i="16"/>
  <c r="H2796" i="16"/>
  <c r="G2796" i="16"/>
  <c r="M2901" i="16"/>
  <c r="E2901" i="16"/>
  <c r="L2901" i="16"/>
  <c r="O2901" i="16"/>
  <c r="N2901" i="16"/>
  <c r="K2901" i="16"/>
  <c r="H2901" i="16"/>
  <c r="G2901" i="16"/>
  <c r="F2901" i="16"/>
  <c r="K2967" i="16"/>
  <c r="J2967" i="16"/>
  <c r="T2967" i="16"/>
  <c r="G2967" i="16"/>
  <c r="P2967" i="16"/>
  <c r="F2967" i="16"/>
  <c r="O2967" i="16"/>
  <c r="E2967" i="16"/>
  <c r="L2967" i="16"/>
  <c r="I2967" i="16"/>
  <c r="M2967" i="16"/>
  <c r="H2967" i="16"/>
  <c r="N2996" i="16"/>
  <c r="F2996" i="16"/>
  <c r="M2996" i="16"/>
  <c r="E2996" i="16"/>
  <c r="T2996" i="16"/>
  <c r="G2996" i="16"/>
  <c r="P2996" i="16"/>
  <c r="O2996" i="16"/>
  <c r="K2996" i="16"/>
  <c r="J2996" i="16"/>
  <c r="H2996" i="16"/>
  <c r="L2996" i="16"/>
  <c r="I2996" i="16"/>
  <c r="K3039" i="16"/>
  <c r="J3039" i="16"/>
  <c r="H3039" i="16"/>
  <c r="T3039" i="16"/>
  <c r="G3039" i="16"/>
  <c r="P3039" i="16"/>
  <c r="F3039" i="16"/>
  <c r="L3039" i="16"/>
  <c r="I3039" i="16"/>
  <c r="E3039" i="16"/>
  <c r="K3079" i="16"/>
  <c r="J3079" i="16"/>
  <c r="O3079" i="16"/>
  <c r="E3079" i="16"/>
  <c r="N3079" i="16"/>
  <c r="M3079" i="16"/>
  <c r="H3079" i="16"/>
  <c r="G3079" i="16"/>
  <c r="P3079" i="16"/>
  <c r="L3079" i="16"/>
  <c r="I3079" i="16"/>
  <c r="F3079" i="16"/>
  <c r="O3107" i="16"/>
  <c r="G3107" i="16"/>
  <c r="N3107" i="16"/>
  <c r="F3107" i="16"/>
  <c r="J3107" i="16"/>
  <c r="I3107" i="16"/>
  <c r="H3107" i="16"/>
  <c r="E3107" i="16"/>
  <c r="T3107" i="16"/>
  <c r="M3107" i="16"/>
  <c r="L3107" i="16"/>
  <c r="K3107" i="16"/>
  <c r="O3163" i="16"/>
  <c r="G3163" i="16"/>
  <c r="N3163" i="16"/>
  <c r="F3163" i="16"/>
  <c r="I3163" i="16"/>
  <c r="H3163" i="16"/>
  <c r="T3163" i="16"/>
  <c r="E3163" i="16"/>
  <c r="L3163" i="16"/>
  <c r="K3163" i="16"/>
  <c r="M3163" i="16"/>
  <c r="J3163" i="16"/>
  <c r="P3234" i="16"/>
  <c r="H3234" i="16"/>
  <c r="O3234" i="16"/>
  <c r="G3234" i="16"/>
  <c r="T3234" i="16"/>
  <c r="E3234" i="16"/>
  <c r="N3234" i="16"/>
  <c r="M3234" i="16"/>
  <c r="I3234" i="16"/>
  <c r="F3234" i="16"/>
  <c r="K3234" i="16"/>
  <c r="J3234" i="16"/>
  <c r="P3306" i="16"/>
  <c r="H3306" i="16"/>
  <c r="O3306" i="16"/>
  <c r="G3306" i="16"/>
  <c r="F3306" i="16"/>
  <c r="T3306" i="16"/>
  <c r="E3306" i="16"/>
  <c r="N3306" i="16"/>
  <c r="I3306" i="16"/>
  <c r="L3306" i="16"/>
  <c r="K3306" i="16"/>
  <c r="J3306" i="16"/>
  <c r="P3386" i="16"/>
  <c r="H3386" i="16"/>
  <c r="O3386" i="16"/>
  <c r="G3386" i="16"/>
  <c r="J3386" i="16"/>
  <c r="I3386" i="16"/>
  <c r="F3386" i="16"/>
  <c r="E3386" i="16"/>
  <c r="T3386" i="16"/>
  <c r="M3386" i="16"/>
  <c r="L3386" i="16"/>
  <c r="K3386" i="16"/>
  <c r="K3407" i="16"/>
  <c r="J3407" i="16"/>
  <c r="P3407" i="16"/>
  <c r="F3407" i="16"/>
  <c r="O3407" i="16"/>
  <c r="E3407" i="16"/>
  <c r="N3407" i="16"/>
  <c r="H3407" i="16"/>
  <c r="G3407" i="16"/>
  <c r="M3407" i="16"/>
  <c r="L3407" i="16"/>
  <c r="I3407" i="16"/>
  <c r="O3427" i="16"/>
  <c r="G3427" i="16"/>
  <c r="N3427" i="16"/>
  <c r="F3427" i="16"/>
  <c r="J3427" i="16"/>
  <c r="I3427" i="16"/>
  <c r="H3427" i="16"/>
  <c r="M3427" i="16"/>
  <c r="L3427" i="16"/>
  <c r="E3427" i="16"/>
  <c r="K3427" i="16"/>
  <c r="L3462" i="16"/>
  <c r="K3462" i="16"/>
  <c r="N3462" i="16"/>
  <c r="M3462" i="16"/>
  <c r="J3462" i="16"/>
  <c r="G3462" i="16"/>
  <c r="F3462" i="16"/>
  <c r="E3462" i="16"/>
  <c r="T3462" i="16"/>
  <c r="O3462" i="16"/>
  <c r="I3462" i="16"/>
  <c r="H3462" i="16"/>
  <c r="K3551" i="16"/>
  <c r="J3551" i="16"/>
  <c r="H3551" i="16"/>
  <c r="T3551" i="16"/>
  <c r="G3551" i="16"/>
  <c r="P3551" i="16"/>
  <c r="F3551" i="16"/>
  <c r="E3551" i="16"/>
  <c r="O3551" i="16"/>
  <c r="I3551" i="16"/>
  <c r="P3618" i="16"/>
  <c r="H3618" i="16"/>
  <c r="O3618" i="16"/>
  <c r="G3618" i="16"/>
  <c r="T3618" i="16"/>
  <c r="E3618" i="16"/>
  <c r="N3618" i="16"/>
  <c r="M3618" i="16"/>
  <c r="K3618" i="16"/>
  <c r="J3618" i="16"/>
  <c r="I3618" i="16"/>
  <c r="F3618" i="16"/>
  <c r="L3618" i="16"/>
  <c r="K3655" i="16"/>
  <c r="J3655" i="16"/>
  <c r="O3655" i="16"/>
  <c r="E3655" i="16"/>
  <c r="N3655" i="16"/>
  <c r="M3655" i="16"/>
  <c r="H3655" i="16"/>
  <c r="G3655" i="16"/>
  <c r="F3655" i="16"/>
  <c r="T3655" i="16"/>
  <c r="P3655" i="16"/>
  <c r="L3655" i="16"/>
  <c r="I3655" i="16"/>
  <c r="L3910" i="16"/>
  <c r="K3910" i="16"/>
  <c r="N3910" i="16"/>
  <c r="M3910" i="16"/>
  <c r="J3910" i="16"/>
  <c r="F3910" i="16"/>
  <c r="E3910" i="16"/>
  <c r="G3910" i="16"/>
  <c r="T3910" i="16"/>
  <c r="I3910" i="16"/>
  <c r="H3910" i="16"/>
  <c r="K4103" i="16"/>
  <c r="L4103" i="16"/>
  <c r="P4103" i="16"/>
  <c r="F4103" i="16"/>
  <c r="O4103" i="16"/>
  <c r="E4103" i="16"/>
  <c r="J4103" i="16"/>
  <c r="I4103" i="16"/>
  <c r="H4103" i="16"/>
  <c r="T4103" i="16"/>
  <c r="N4103" i="16"/>
  <c r="M4103" i="16"/>
  <c r="G4103" i="16"/>
  <c r="R122" i="17"/>
  <c r="AG122" i="17" s="1"/>
  <c r="Q122" i="17"/>
  <c r="M1011" i="16"/>
  <c r="E1011" i="16"/>
  <c r="L1011" i="16"/>
  <c r="K1011" i="16"/>
  <c r="J1011" i="16"/>
  <c r="H1023" i="16"/>
  <c r="G1023" i="16"/>
  <c r="H1024" i="16"/>
  <c r="G1024" i="16"/>
  <c r="F1024" i="16"/>
  <c r="L1024" i="16"/>
  <c r="L1036" i="16"/>
  <c r="K1036" i="16"/>
  <c r="J1036" i="16"/>
  <c r="I1036" i="16"/>
  <c r="M1042" i="16"/>
  <c r="E1042" i="16"/>
  <c r="L1042" i="16"/>
  <c r="K1042" i="16"/>
  <c r="G1065" i="16"/>
  <c r="F1065" i="16"/>
  <c r="M1065" i="16"/>
  <c r="E1065" i="16"/>
  <c r="L1065" i="16"/>
  <c r="M1075" i="16"/>
  <c r="E1075" i="16"/>
  <c r="L1075" i="16"/>
  <c r="K1075" i="16"/>
  <c r="J1075" i="16"/>
  <c r="H1087" i="16"/>
  <c r="G1087" i="16"/>
  <c r="H1088" i="16"/>
  <c r="G1088" i="16"/>
  <c r="F1088" i="16"/>
  <c r="L1088" i="16"/>
  <c r="L1100" i="16"/>
  <c r="K1100" i="16"/>
  <c r="J1100" i="16"/>
  <c r="I1100" i="16"/>
  <c r="F1106" i="16"/>
  <c r="M1106" i="16"/>
  <c r="E1106" i="16"/>
  <c r="L1106" i="16"/>
  <c r="K1106" i="16"/>
  <c r="G1129" i="16"/>
  <c r="F1129" i="16"/>
  <c r="M1129" i="16"/>
  <c r="E1129" i="16"/>
  <c r="L1129" i="16"/>
  <c r="M1139" i="16"/>
  <c r="E1139" i="16"/>
  <c r="L1139" i="16"/>
  <c r="K1139" i="16"/>
  <c r="J1139" i="16"/>
  <c r="H1151" i="16"/>
  <c r="G1151" i="16"/>
  <c r="H1152" i="16"/>
  <c r="G1152" i="16"/>
  <c r="F1152" i="16"/>
  <c r="L1152" i="16"/>
  <c r="L1164" i="16"/>
  <c r="K1164" i="16"/>
  <c r="J1164" i="16"/>
  <c r="I1164" i="16"/>
  <c r="F1170" i="16"/>
  <c r="M1170" i="16"/>
  <c r="E1170" i="16"/>
  <c r="L1170" i="16"/>
  <c r="K1170" i="16"/>
  <c r="G1193" i="16"/>
  <c r="F1193" i="16"/>
  <c r="M1193" i="16"/>
  <c r="E1193" i="16"/>
  <c r="L1193" i="16"/>
  <c r="M1203" i="16"/>
  <c r="E1203" i="16"/>
  <c r="L1203" i="16"/>
  <c r="K1203" i="16"/>
  <c r="J1203" i="16"/>
  <c r="H1215" i="16"/>
  <c r="G1215" i="16"/>
  <c r="H1216" i="16"/>
  <c r="G1216" i="16"/>
  <c r="F1216" i="16"/>
  <c r="L1216" i="16"/>
  <c r="L1228" i="16"/>
  <c r="K1228" i="16"/>
  <c r="J1228" i="16"/>
  <c r="I1228" i="16"/>
  <c r="F1234" i="16"/>
  <c r="M1234" i="16"/>
  <c r="E1234" i="16"/>
  <c r="L1234" i="16"/>
  <c r="K1234" i="16"/>
  <c r="G1257" i="16"/>
  <c r="O1257" i="16" s="1"/>
  <c r="M1257" i="16"/>
  <c r="E1257" i="16"/>
  <c r="L1257" i="16"/>
  <c r="M1267" i="16"/>
  <c r="E1267" i="16"/>
  <c r="L1267" i="16"/>
  <c r="K1267" i="16"/>
  <c r="J1267" i="16"/>
  <c r="H1279" i="16"/>
  <c r="G1279" i="16"/>
  <c r="O1279" i="16" s="1"/>
  <c r="H1280" i="16"/>
  <c r="O1280" i="16"/>
  <c r="G1280" i="16"/>
  <c r="F1280" i="16"/>
  <c r="L1280" i="16"/>
  <c r="L1292" i="16"/>
  <c r="K1292" i="16"/>
  <c r="J1292" i="16"/>
  <c r="I1292" i="16"/>
  <c r="O1295" i="16"/>
  <c r="M1298" i="16"/>
  <c r="E1298" i="16"/>
  <c r="L1298" i="16"/>
  <c r="K1298" i="16"/>
  <c r="O1321" i="16"/>
  <c r="G1321" i="16"/>
  <c r="F1321" i="16"/>
  <c r="M1321" i="16"/>
  <c r="E1321" i="16"/>
  <c r="L1321" i="16"/>
  <c r="M1331" i="16"/>
  <c r="E1331" i="16"/>
  <c r="L1331" i="16"/>
  <c r="K1331" i="16"/>
  <c r="J1331" i="16"/>
  <c r="H1343" i="16"/>
  <c r="G1343" i="16"/>
  <c r="H1344" i="16"/>
  <c r="O1344" i="16"/>
  <c r="G1344" i="16"/>
  <c r="F1344" i="16"/>
  <c r="P1344" i="16" s="1"/>
  <c r="L1344" i="16"/>
  <c r="O1353" i="16"/>
  <c r="G1353" i="16"/>
  <c r="N1353" i="16"/>
  <c r="F1353" i="16"/>
  <c r="M1353" i="16"/>
  <c r="E1353" i="16"/>
  <c r="L1353" i="16"/>
  <c r="N1362" i="16"/>
  <c r="F1362" i="16"/>
  <c r="M1362" i="16"/>
  <c r="E1362" i="16"/>
  <c r="L1362" i="16"/>
  <c r="K1362" i="16"/>
  <c r="L1388" i="16"/>
  <c r="K1388" i="16"/>
  <c r="J1388" i="16"/>
  <c r="I1388" i="16"/>
  <c r="N1394" i="16"/>
  <c r="F1394" i="16"/>
  <c r="M1394" i="16"/>
  <c r="E1394" i="16"/>
  <c r="L1394" i="16"/>
  <c r="K1394" i="16"/>
  <c r="O1417" i="16"/>
  <c r="G1417" i="16"/>
  <c r="N1417" i="16"/>
  <c r="F1417" i="16"/>
  <c r="M1417" i="16"/>
  <c r="E1417" i="16"/>
  <c r="L1417" i="16"/>
  <c r="M1427" i="16"/>
  <c r="E1427" i="16"/>
  <c r="L1427" i="16"/>
  <c r="K1427" i="16"/>
  <c r="J1427" i="16"/>
  <c r="P1440" i="16"/>
  <c r="H1440" i="16"/>
  <c r="O1440" i="16"/>
  <c r="G1440" i="16"/>
  <c r="N1440" i="16"/>
  <c r="F1440" i="16"/>
  <c r="L1440" i="16"/>
  <c r="L1452" i="16"/>
  <c r="K1452" i="16"/>
  <c r="J1452" i="16"/>
  <c r="I1452" i="16"/>
  <c r="N1491" i="16"/>
  <c r="F1491" i="16"/>
  <c r="P1491" i="16"/>
  <c r="G1491" i="16"/>
  <c r="O1491" i="16"/>
  <c r="E1491" i="16"/>
  <c r="M1491" i="16"/>
  <c r="L1491" i="16"/>
  <c r="N1507" i="16"/>
  <c r="F1507" i="16"/>
  <c r="I1507" i="16"/>
  <c r="T1507" i="16"/>
  <c r="H1507" i="16"/>
  <c r="P1507" i="16"/>
  <c r="G1507" i="16"/>
  <c r="M1507" i="16"/>
  <c r="L1517" i="16"/>
  <c r="P1517" i="16"/>
  <c r="G1517" i="16"/>
  <c r="O1517" i="16"/>
  <c r="F1517" i="16"/>
  <c r="N1517" i="16"/>
  <c r="E1517" i="16"/>
  <c r="M1517" i="16"/>
  <c r="J1527" i="16"/>
  <c r="M1527" i="16"/>
  <c r="L1527" i="16"/>
  <c r="K1527" i="16"/>
  <c r="I1527" i="16"/>
  <c r="M1540" i="16"/>
  <c r="E1540" i="16"/>
  <c r="O1540" i="16"/>
  <c r="F1540" i="16"/>
  <c r="N1540" i="16"/>
  <c r="L1540" i="16"/>
  <c r="K1540" i="16"/>
  <c r="L1557" i="16"/>
  <c r="T1557" i="16"/>
  <c r="H1557" i="16"/>
  <c r="P1557" i="16"/>
  <c r="G1557" i="16"/>
  <c r="O1557" i="16"/>
  <c r="F1557" i="16"/>
  <c r="M1557" i="16"/>
  <c r="O1578" i="16"/>
  <c r="G1578" i="16"/>
  <c r="M1578" i="16"/>
  <c r="L1578" i="16"/>
  <c r="K1578" i="16"/>
  <c r="J1578" i="16"/>
  <c r="J1591" i="16"/>
  <c r="M1591" i="16"/>
  <c r="L1591" i="16"/>
  <c r="K1591" i="16"/>
  <c r="I1591" i="16"/>
  <c r="M1604" i="16"/>
  <c r="E1604" i="16"/>
  <c r="O1604" i="16"/>
  <c r="F1604" i="16"/>
  <c r="N1604" i="16"/>
  <c r="L1604" i="16"/>
  <c r="K1604" i="16"/>
  <c r="M1620" i="16"/>
  <c r="E1620" i="16"/>
  <c r="T1620" i="16"/>
  <c r="H1620" i="16"/>
  <c r="P1620" i="16"/>
  <c r="G1620" i="16"/>
  <c r="O1620" i="16"/>
  <c r="F1620" i="16"/>
  <c r="N1620" i="16"/>
  <c r="L1629" i="16"/>
  <c r="N1629" i="16"/>
  <c r="E1629" i="16"/>
  <c r="M1629" i="16"/>
  <c r="K1629" i="16"/>
  <c r="J1629" i="16"/>
  <c r="J1631" i="16"/>
  <c r="N1631" i="16"/>
  <c r="E1631" i="16"/>
  <c r="M1631" i="16"/>
  <c r="L1631" i="16"/>
  <c r="K1631" i="16"/>
  <c r="J1647" i="16"/>
  <c r="P1647" i="16"/>
  <c r="G1647" i="16"/>
  <c r="O1647" i="16"/>
  <c r="F1647" i="16"/>
  <c r="N1647" i="16"/>
  <c r="E1647" i="16"/>
  <c r="M1647" i="16"/>
  <c r="K1670" i="16"/>
  <c r="O1670" i="16"/>
  <c r="F1670" i="16"/>
  <c r="N1670" i="16"/>
  <c r="E1670" i="16"/>
  <c r="M1670" i="16"/>
  <c r="L1670" i="16"/>
  <c r="N1683" i="16"/>
  <c r="F1683" i="16"/>
  <c r="P1683" i="16"/>
  <c r="G1683" i="16"/>
  <c r="O1683" i="16"/>
  <c r="E1683" i="16"/>
  <c r="M1683" i="16"/>
  <c r="L1683" i="16"/>
  <c r="O1698" i="16"/>
  <c r="G1698" i="16"/>
  <c r="T1698" i="16"/>
  <c r="H1698" i="16"/>
  <c r="P1698" i="16"/>
  <c r="F1698" i="16"/>
  <c r="N1698" i="16"/>
  <c r="E1698" i="16"/>
  <c r="M1698" i="16"/>
  <c r="N1723" i="16"/>
  <c r="F1723" i="16"/>
  <c r="T1723" i="16"/>
  <c r="H1723" i="16"/>
  <c r="P1723" i="16"/>
  <c r="G1723" i="16"/>
  <c r="O1723" i="16"/>
  <c r="E1723" i="16"/>
  <c r="M1723" i="16"/>
  <c r="N1731" i="16"/>
  <c r="F1731" i="16"/>
  <c r="M1731" i="16"/>
  <c r="L1731" i="16"/>
  <c r="K1731" i="16"/>
  <c r="J1731" i="16"/>
  <c r="O1738" i="16"/>
  <c r="G1738" i="16"/>
  <c r="I1738" i="16"/>
  <c r="T1738" i="16"/>
  <c r="H1738" i="16"/>
  <c r="P1738" i="16"/>
  <c r="F1738" i="16"/>
  <c r="M1738" i="16"/>
  <c r="P1761" i="16"/>
  <c r="H1761" i="16"/>
  <c r="O1761" i="16"/>
  <c r="F1761" i="16"/>
  <c r="N1761" i="16"/>
  <c r="E1761" i="16"/>
  <c r="M1761" i="16"/>
  <c r="L1761" i="16"/>
  <c r="O1770" i="16"/>
  <c r="G1770" i="16"/>
  <c r="M1770" i="16"/>
  <c r="L1770" i="16"/>
  <c r="K1770" i="16"/>
  <c r="J1770" i="16"/>
  <c r="O1786" i="16"/>
  <c r="G1786" i="16"/>
  <c r="P1786" i="16"/>
  <c r="F1786" i="16"/>
  <c r="N1786" i="16"/>
  <c r="E1786" i="16"/>
  <c r="M1786" i="16"/>
  <c r="L1786" i="16"/>
  <c r="P1841" i="16"/>
  <c r="H1841" i="16"/>
  <c r="I1841" i="16"/>
  <c r="T1841" i="16"/>
  <c r="G1841" i="16"/>
  <c r="O1841" i="16"/>
  <c r="F1841" i="16"/>
  <c r="M1841" i="16"/>
  <c r="M1860" i="16"/>
  <c r="E1860" i="16"/>
  <c r="O1860" i="16"/>
  <c r="F1860" i="16"/>
  <c r="N1860" i="16"/>
  <c r="L1860" i="16"/>
  <c r="K1860" i="16"/>
  <c r="M1876" i="16"/>
  <c r="E1876" i="16"/>
  <c r="T1876" i="16"/>
  <c r="H1876" i="16"/>
  <c r="P1876" i="16"/>
  <c r="G1876" i="16"/>
  <c r="O1876" i="16"/>
  <c r="F1876" i="16"/>
  <c r="N1876" i="16"/>
  <c r="N1899" i="16"/>
  <c r="F1899" i="16"/>
  <c r="O1899" i="16"/>
  <c r="E1899" i="16"/>
  <c r="M1899" i="16"/>
  <c r="L1899" i="16"/>
  <c r="K1899" i="16"/>
  <c r="K1910" i="16"/>
  <c r="M1910" i="16"/>
  <c r="L1910" i="16"/>
  <c r="J1910" i="16"/>
  <c r="I1910" i="16"/>
  <c r="K1926" i="16"/>
  <c r="O1926" i="16"/>
  <c r="F1926" i="16"/>
  <c r="N1926" i="16"/>
  <c r="E1926" i="16"/>
  <c r="M1926" i="16"/>
  <c r="L1926" i="16"/>
  <c r="N1939" i="16"/>
  <c r="F1939" i="16"/>
  <c r="P1939" i="16"/>
  <c r="G1939" i="16"/>
  <c r="O1939" i="16"/>
  <c r="E1939" i="16"/>
  <c r="M1939" i="16"/>
  <c r="L1939" i="16"/>
  <c r="O1954" i="16"/>
  <c r="G1954" i="16"/>
  <c r="T1954" i="16"/>
  <c r="H1954" i="16"/>
  <c r="P1954" i="16"/>
  <c r="F1954" i="16"/>
  <c r="N1954" i="16"/>
  <c r="E1954" i="16"/>
  <c r="M1954" i="16"/>
  <c r="N1979" i="16"/>
  <c r="F1979" i="16"/>
  <c r="T1979" i="16"/>
  <c r="H1979" i="16"/>
  <c r="P1979" i="16"/>
  <c r="G1979" i="16"/>
  <c r="O1979" i="16"/>
  <c r="E1979" i="16"/>
  <c r="M1979" i="16"/>
  <c r="N1987" i="16"/>
  <c r="F1987" i="16"/>
  <c r="M1987" i="16"/>
  <c r="L1987" i="16"/>
  <c r="K1987" i="16"/>
  <c r="J1987" i="16"/>
  <c r="O1994" i="16"/>
  <c r="G1994" i="16"/>
  <c r="I1994" i="16"/>
  <c r="T1994" i="16"/>
  <c r="H1994" i="16"/>
  <c r="P1994" i="16"/>
  <c r="F1994" i="16"/>
  <c r="M1994" i="16"/>
  <c r="K2030" i="16"/>
  <c r="P2030" i="16"/>
  <c r="G2030" i="16"/>
  <c r="O2030" i="16"/>
  <c r="F2030" i="16"/>
  <c r="N2030" i="16"/>
  <c r="E2030" i="16"/>
  <c r="M2030" i="16"/>
  <c r="M2044" i="16"/>
  <c r="E2044" i="16"/>
  <c r="I2044" i="16"/>
  <c r="T2044" i="16"/>
  <c r="H2044" i="16"/>
  <c r="P2044" i="16"/>
  <c r="G2044" i="16"/>
  <c r="N2044" i="16"/>
  <c r="J2071" i="16"/>
  <c r="T2071" i="16"/>
  <c r="H2071" i="16"/>
  <c r="P2071" i="16"/>
  <c r="G2071" i="16"/>
  <c r="O2071" i="16"/>
  <c r="F2071" i="16"/>
  <c r="M2071" i="16"/>
  <c r="M2076" i="16"/>
  <c r="E2076" i="16"/>
  <c r="N2076" i="16"/>
  <c r="L2076" i="16"/>
  <c r="K2076" i="16"/>
  <c r="J2076" i="16"/>
  <c r="K2078" i="16"/>
  <c r="N2078" i="16"/>
  <c r="E2078" i="16"/>
  <c r="M2078" i="16"/>
  <c r="L2078" i="16"/>
  <c r="J2078" i="16"/>
  <c r="L2093" i="16"/>
  <c r="P2093" i="16"/>
  <c r="G2093" i="16"/>
  <c r="O2093" i="16"/>
  <c r="F2093" i="16"/>
  <c r="N2093" i="16"/>
  <c r="E2093" i="16"/>
  <c r="M2093" i="16"/>
  <c r="J2103" i="16"/>
  <c r="M2103" i="16"/>
  <c r="L2103" i="16"/>
  <c r="K2103" i="16"/>
  <c r="I2103" i="16"/>
  <c r="L2117" i="16"/>
  <c r="O2117" i="16"/>
  <c r="F2117" i="16"/>
  <c r="N2117" i="16"/>
  <c r="E2117" i="16"/>
  <c r="M2117" i="16"/>
  <c r="K2117" i="16"/>
  <c r="P2121" i="16"/>
  <c r="H2121" i="16"/>
  <c r="T2121" i="16"/>
  <c r="G2121" i="16"/>
  <c r="O2121" i="16"/>
  <c r="F2121" i="16"/>
  <c r="N2121" i="16"/>
  <c r="E2121" i="16"/>
  <c r="M2121" i="16"/>
  <c r="O2130" i="16"/>
  <c r="G2130" i="16"/>
  <c r="N2130" i="16"/>
  <c r="E2130" i="16"/>
  <c r="M2130" i="16"/>
  <c r="L2130" i="16"/>
  <c r="K2130" i="16"/>
  <c r="K2134" i="16"/>
  <c r="T2134" i="16"/>
  <c r="H2134" i="16"/>
  <c r="P2134" i="16"/>
  <c r="G2134" i="16"/>
  <c r="O2134" i="16"/>
  <c r="F2134" i="16"/>
  <c r="M2134" i="16"/>
  <c r="J2159" i="16"/>
  <c r="P2159" i="16"/>
  <c r="G2159" i="16"/>
  <c r="O2159" i="16"/>
  <c r="F2159" i="16"/>
  <c r="N2159" i="16"/>
  <c r="E2159" i="16"/>
  <c r="M2159" i="16"/>
  <c r="P2169" i="16"/>
  <c r="H2169" i="16"/>
  <c r="N2169" i="16"/>
  <c r="E2169" i="16"/>
  <c r="M2169" i="16"/>
  <c r="L2169" i="16"/>
  <c r="K2169" i="16"/>
  <c r="M2180" i="16"/>
  <c r="E2180" i="16"/>
  <c r="O2180" i="16"/>
  <c r="F2180" i="16"/>
  <c r="N2180" i="16"/>
  <c r="L2180" i="16"/>
  <c r="K2180" i="16"/>
  <c r="N2195" i="16"/>
  <c r="F2195" i="16"/>
  <c r="P2195" i="16"/>
  <c r="G2195" i="16"/>
  <c r="O2195" i="16"/>
  <c r="E2195" i="16"/>
  <c r="M2195" i="16"/>
  <c r="L2195" i="16"/>
  <c r="O2210" i="16"/>
  <c r="G2210" i="16"/>
  <c r="T2210" i="16"/>
  <c r="H2210" i="16"/>
  <c r="P2210" i="16"/>
  <c r="F2210" i="16"/>
  <c r="N2210" i="16"/>
  <c r="E2210" i="16"/>
  <c r="M2210" i="16"/>
  <c r="O2218" i="16"/>
  <c r="G2218" i="16"/>
  <c r="M2218" i="16"/>
  <c r="L2218" i="16"/>
  <c r="K2218" i="16"/>
  <c r="J2218" i="16"/>
  <c r="O2234" i="16"/>
  <c r="G2234" i="16"/>
  <c r="P2234" i="16"/>
  <c r="F2234" i="16"/>
  <c r="N2234" i="16"/>
  <c r="E2234" i="16"/>
  <c r="M2234" i="16"/>
  <c r="L2234" i="16"/>
  <c r="J2287" i="16"/>
  <c r="P2287" i="16"/>
  <c r="G2287" i="16"/>
  <c r="O2287" i="16"/>
  <c r="F2287" i="16"/>
  <c r="N2287" i="16"/>
  <c r="E2287" i="16"/>
  <c r="M2287" i="16"/>
  <c r="P2297" i="16"/>
  <c r="H2297" i="16"/>
  <c r="N2297" i="16"/>
  <c r="E2297" i="16"/>
  <c r="M2297" i="16"/>
  <c r="L2297" i="16"/>
  <c r="K2297" i="16"/>
  <c r="M2308" i="16"/>
  <c r="E2308" i="16"/>
  <c r="O2308" i="16"/>
  <c r="F2308" i="16"/>
  <c r="N2308" i="16"/>
  <c r="L2308" i="16"/>
  <c r="K2308" i="16"/>
  <c r="M2324" i="16"/>
  <c r="E2324" i="16"/>
  <c r="T2324" i="16"/>
  <c r="H2324" i="16"/>
  <c r="P2324" i="16"/>
  <c r="G2324" i="16"/>
  <c r="O2324" i="16"/>
  <c r="F2324" i="16"/>
  <c r="N2324" i="16"/>
  <c r="L2333" i="16"/>
  <c r="N2333" i="16"/>
  <c r="E2333" i="16"/>
  <c r="M2333" i="16"/>
  <c r="K2333" i="16"/>
  <c r="J2333" i="16"/>
  <c r="J2335" i="16"/>
  <c r="N2335" i="16"/>
  <c r="E2335" i="16"/>
  <c r="M2335" i="16"/>
  <c r="L2335" i="16"/>
  <c r="K2335" i="16"/>
  <c r="K2350" i="16"/>
  <c r="P2350" i="16"/>
  <c r="G2350" i="16"/>
  <c r="O2350" i="16"/>
  <c r="F2350" i="16"/>
  <c r="N2350" i="16"/>
  <c r="E2350" i="16"/>
  <c r="M2350" i="16"/>
  <c r="K2358" i="16"/>
  <c r="M2358" i="16"/>
  <c r="L2358" i="16"/>
  <c r="J2358" i="16"/>
  <c r="I2358" i="16"/>
  <c r="K2374" i="16"/>
  <c r="O2374" i="16"/>
  <c r="F2374" i="16"/>
  <c r="N2374" i="16"/>
  <c r="E2374" i="16"/>
  <c r="M2374" i="16"/>
  <c r="L2374" i="16"/>
  <c r="N2387" i="16"/>
  <c r="F2387" i="16"/>
  <c r="P2387" i="16"/>
  <c r="G2387" i="16"/>
  <c r="O2387" i="16"/>
  <c r="E2387" i="16"/>
  <c r="M2387" i="16"/>
  <c r="L2387" i="16"/>
  <c r="O2402" i="16"/>
  <c r="G2402" i="16"/>
  <c r="T2402" i="16"/>
  <c r="H2402" i="16"/>
  <c r="P2402" i="16"/>
  <c r="F2402" i="16"/>
  <c r="N2402" i="16"/>
  <c r="E2402" i="16"/>
  <c r="M2402" i="16"/>
  <c r="J2463" i="16"/>
  <c r="N2463" i="16"/>
  <c r="E2463" i="16"/>
  <c r="M2463" i="16"/>
  <c r="L2463" i="16"/>
  <c r="G2463" i="16"/>
  <c r="F2463" i="16"/>
  <c r="P2463" i="16"/>
  <c r="O2499" i="16"/>
  <c r="G2499" i="16"/>
  <c r="N2499" i="16"/>
  <c r="F2499" i="16"/>
  <c r="P2499" i="16"/>
  <c r="M2499" i="16"/>
  <c r="L2499" i="16"/>
  <c r="T2499" i="16"/>
  <c r="K2499" i="16"/>
  <c r="N2540" i="16"/>
  <c r="F2540" i="16"/>
  <c r="M2540" i="16"/>
  <c r="E2540" i="16"/>
  <c r="P2540" i="16"/>
  <c r="O2540" i="16"/>
  <c r="L2540" i="16"/>
  <c r="K2540" i="16"/>
  <c r="K2575" i="16"/>
  <c r="J2575" i="16"/>
  <c r="P2575" i="16"/>
  <c r="F2575" i="16"/>
  <c r="O2575" i="16"/>
  <c r="E2575" i="16"/>
  <c r="N2575" i="16"/>
  <c r="L2575" i="16"/>
  <c r="I2575" i="16"/>
  <c r="P2618" i="16"/>
  <c r="H2618" i="16"/>
  <c r="O2618" i="16"/>
  <c r="G2618" i="16"/>
  <c r="J2618" i="16"/>
  <c r="I2618" i="16"/>
  <c r="F2618" i="16"/>
  <c r="M2618" i="16"/>
  <c r="L2618" i="16"/>
  <c r="K2639" i="16"/>
  <c r="J2639" i="16"/>
  <c r="P2639" i="16"/>
  <c r="F2639" i="16"/>
  <c r="O2639" i="16"/>
  <c r="E2639" i="16"/>
  <c r="N2639" i="16"/>
  <c r="H2639" i="16"/>
  <c r="G2639" i="16"/>
  <c r="L2646" i="16"/>
  <c r="K2646" i="16"/>
  <c r="P2646" i="16"/>
  <c r="F2646" i="16"/>
  <c r="O2646" i="16"/>
  <c r="E2646" i="16"/>
  <c r="N2646" i="16"/>
  <c r="J2646" i="16"/>
  <c r="I2646" i="16"/>
  <c r="K2647" i="16"/>
  <c r="J2647" i="16"/>
  <c r="T2647" i="16"/>
  <c r="G2647" i="16"/>
  <c r="P2647" i="16"/>
  <c r="F2647" i="16"/>
  <c r="O2647" i="16"/>
  <c r="E2647" i="16"/>
  <c r="I2647" i="16"/>
  <c r="H2647" i="16"/>
  <c r="K2687" i="16"/>
  <c r="J2687" i="16"/>
  <c r="N2687" i="16"/>
  <c r="M2687" i="16"/>
  <c r="L2687" i="16"/>
  <c r="F2687" i="16"/>
  <c r="E2687" i="16"/>
  <c r="P2687" i="16"/>
  <c r="O2691" i="16"/>
  <c r="G2691" i="16"/>
  <c r="N2691" i="16"/>
  <c r="F2691" i="16"/>
  <c r="P2691" i="16"/>
  <c r="M2691" i="16"/>
  <c r="L2691" i="16"/>
  <c r="K2691" i="16"/>
  <c r="L2726" i="16"/>
  <c r="K2726" i="16"/>
  <c r="H2726" i="16"/>
  <c r="T2726" i="16"/>
  <c r="G2726" i="16"/>
  <c r="P2726" i="16"/>
  <c r="F2726" i="16"/>
  <c r="E2726" i="16"/>
  <c r="O2726" i="16"/>
  <c r="P2858" i="16"/>
  <c r="H2858" i="16"/>
  <c r="O2858" i="16"/>
  <c r="G2858" i="16"/>
  <c r="F2858" i="16"/>
  <c r="T2858" i="16"/>
  <c r="E2858" i="16"/>
  <c r="N2858" i="16"/>
  <c r="K2858" i="16"/>
  <c r="J2858" i="16"/>
  <c r="P2866" i="16"/>
  <c r="H2866" i="16"/>
  <c r="O2866" i="16"/>
  <c r="G2866" i="16"/>
  <c r="I2866" i="16"/>
  <c r="F2866" i="16"/>
  <c r="T2866" i="16"/>
  <c r="E2866" i="16"/>
  <c r="M2866" i="16"/>
  <c r="L2866" i="16"/>
  <c r="J2866" i="16"/>
  <c r="K2879" i="16"/>
  <c r="J2879" i="16"/>
  <c r="N2879" i="16"/>
  <c r="M2879" i="16"/>
  <c r="L2879" i="16"/>
  <c r="F2879" i="16"/>
  <c r="E2879" i="16"/>
  <c r="P2879" i="16"/>
  <c r="T2879" i="16"/>
  <c r="N2892" i="16"/>
  <c r="F2892" i="16"/>
  <c r="M2892" i="16"/>
  <c r="E2892" i="16"/>
  <c r="J2892" i="16"/>
  <c r="I2892" i="16"/>
  <c r="H2892" i="16"/>
  <c r="K2892" i="16"/>
  <c r="G2892" i="16"/>
  <c r="O2915" i="16"/>
  <c r="G2915" i="16"/>
  <c r="N2915" i="16"/>
  <c r="F2915" i="16"/>
  <c r="J2915" i="16"/>
  <c r="I2915" i="16"/>
  <c r="H2915" i="16"/>
  <c r="K2915" i="16"/>
  <c r="E2915" i="16"/>
  <c r="O2947" i="16"/>
  <c r="G2947" i="16"/>
  <c r="N2947" i="16"/>
  <c r="F2947" i="16"/>
  <c r="P2947" i="16"/>
  <c r="M2947" i="16"/>
  <c r="L2947" i="16"/>
  <c r="I2947" i="16"/>
  <c r="H2947" i="16"/>
  <c r="N2948" i="16"/>
  <c r="F2948" i="16"/>
  <c r="M2948" i="16"/>
  <c r="E2948" i="16"/>
  <c r="I2948" i="16"/>
  <c r="H2948" i="16"/>
  <c r="T2948" i="16"/>
  <c r="G2948" i="16"/>
  <c r="J2948" i="16"/>
  <c r="L2958" i="16"/>
  <c r="K2958" i="16"/>
  <c r="O2958" i="16"/>
  <c r="E2958" i="16"/>
  <c r="N2958" i="16"/>
  <c r="M2958" i="16"/>
  <c r="F2958" i="16"/>
  <c r="P2958" i="16"/>
  <c r="T2958" i="16"/>
  <c r="L2982" i="16"/>
  <c r="K2982" i="16"/>
  <c r="H2982" i="16"/>
  <c r="T2982" i="16"/>
  <c r="G2982" i="16"/>
  <c r="P2982" i="16"/>
  <c r="F2982" i="16"/>
  <c r="E2982" i="16"/>
  <c r="O2982" i="16"/>
  <c r="N3068" i="16"/>
  <c r="F3068" i="16"/>
  <c r="M3068" i="16"/>
  <c r="E3068" i="16"/>
  <c r="H3068" i="16"/>
  <c r="T3068" i="16"/>
  <c r="G3068" i="16"/>
  <c r="P3068" i="16"/>
  <c r="L3068" i="16"/>
  <c r="K3068" i="16"/>
  <c r="I3068" i="16"/>
  <c r="K3071" i="16"/>
  <c r="J3071" i="16"/>
  <c r="N3071" i="16"/>
  <c r="M3071" i="16"/>
  <c r="L3071" i="16"/>
  <c r="E3071" i="16"/>
  <c r="T3071" i="16"/>
  <c r="O3071" i="16"/>
  <c r="P3071" i="16"/>
  <c r="M3109" i="16"/>
  <c r="E3109" i="16"/>
  <c r="L3109" i="16"/>
  <c r="T3109" i="16"/>
  <c r="G3109" i="16"/>
  <c r="P3109" i="16"/>
  <c r="F3109" i="16"/>
  <c r="O3109" i="16"/>
  <c r="K3109" i="16"/>
  <c r="J3109" i="16"/>
  <c r="H3109" i="16"/>
  <c r="P3114" i="16"/>
  <c r="H3114" i="16"/>
  <c r="O3114" i="16"/>
  <c r="G3114" i="16"/>
  <c r="F3114" i="16"/>
  <c r="T3114" i="16"/>
  <c r="E3114" i="16"/>
  <c r="N3114" i="16"/>
  <c r="L3114" i="16"/>
  <c r="N3196" i="16"/>
  <c r="F3196" i="16"/>
  <c r="M3196" i="16"/>
  <c r="E3196" i="16"/>
  <c r="H3196" i="16"/>
  <c r="T3196" i="16"/>
  <c r="G3196" i="16"/>
  <c r="P3196" i="16"/>
  <c r="I3196" i="16"/>
  <c r="P3258" i="16"/>
  <c r="H3258" i="16"/>
  <c r="O3258" i="16"/>
  <c r="G3258" i="16"/>
  <c r="J3258" i="16"/>
  <c r="I3258" i="16"/>
  <c r="F3258" i="16"/>
  <c r="T3258" i="16"/>
  <c r="M3258" i="16"/>
  <c r="O3299" i="16"/>
  <c r="G3299" i="16"/>
  <c r="N3299" i="16"/>
  <c r="F3299" i="16"/>
  <c r="J3299" i="16"/>
  <c r="I3299" i="16"/>
  <c r="H3299" i="16"/>
  <c r="L3299" i="16"/>
  <c r="K3299" i="16"/>
  <c r="M3309" i="16"/>
  <c r="E3309" i="16"/>
  <c r="L3309" i="16"/>
  <c r="H3309" i="16"/>
  <c r="T3309" i="16"/>
  <c r="G3309" i="16"/>
  <c r="P3309" i="16"/>
  <c r="F3309" i="16"/>
  <c r="J3309" i="16"/>
  <c r="I3309" i="16"/>
  <c r="N3332" i="16"/>
  <c r="F3332" i="16"/>
  <c r="M3332" i="16"/>
  <c r="E3332" i="16"/>
  <c r="I3332" i="16"/>
  <c r="H3332" i="16"/>
  <c r="T3332" i="16"/>
  <c r="G3332" i="16"/>
  <c r="K3332" i="16"/>
  <c r="J3332" i="16"/>
  <c r="P3370" i="16"/>
  <c r="H3370" i="16"/>
  <c r="O3370" i="16"/>
  <c r="G3370" i="16"/>
  <c r="F3370" i="16"/>
  <c r="T3370" i="16"/>
  <c r="E3370" i="16"/>
  <c r="N3370" i="16"/>
  <c r="I3370" i="16"/>
  <c r="P3378" i="16"/>
  <c r="H3378" i="16"/>
  <c r="O3378" i="16"/>
  <c r="G3378" i="16"/>
  <c r="I3378" i="16"/>
  <c r="F3378" i="16"/>
  <c r="T3378" i="16"/>
  <c r="E3378" i="16"/>
  <c r="L3378" i="16"/>
  <c r="K3378" i="16"/>
  <c r="O3395" i="16"/>
  <c r="G3395" i="16"/>
  <c r="N3395" i="16"/>
  <c r="F3395" i="16"/>
  <c r="P3395" i="16"/>
  <c r="M3395" i="16"/>
  <c r="L3395" i="16"/>
  <c r="T3395" i="16"/>
  <c r="J3395" i="16"/>
  <c r="L3430" i="16"/>
  <c r="K3430" i="16"/>
  <c r="H3430" i="16"/>
  <c r="T3430" i="16"/>
  <c r="G3430" i="16"/>
  <c r="P3430" i="16"/>
  <c r="F3430" i="16"/>
  <c r="O3430" i="16"/>
  <c r="M3430" i="16"/>
  <c r="N3452" i="16"/>
  <c r="F3452" i="16"/>
  <c r="M3452" i="16"/>
  <c r="E3452" i="16"/>
  <c r="H3452" i="16"/>
  <c r="T3452" i="16"/>
  <c r="G3452" i="16"/>
  <c r="P3452" i="16"/>
  <c r="L3452" i="16"/>
  <c r="K3479" i="16"/>
  <c r="J3479" i="16"/>
  <c r="T3479" i="16"/>
  <c r="G3479" i="16"/>
  <c r="P3479" i="16"/>
  <c r="F3479" i="16"/>
  <c r="O3479" i="16"/>
  <c r="E3479" i="16"/>
  <c r="L3479" i="16"/>
  <c r="I3479" i="16"/>
  <c r="H3479" i="16"/>
  <c r="L3550" i="16"/>
  <c r="K3550" i="16"/>
  <c r="T3550" i="16"/>
  <c r="G3550" i="16"/>
  <c r="P3550" i="16"/>
  <c r="F3550" i="16"/>
  <c r="O3550" i="16"/>
  <c r="E3550" i="16"/>
  <c r="I3550" i="16"/>
  <c r="H3550" i="16"/>
  <c r="M3605" i="16"/>
  <c r="E3605" i="16"/>
  <c r="L3605" i="16"/>
  <c r="O3605" i="16"/>
  <c r="N3605" i="16"/>
  <c r="K3605" i="16"/>
  <c r="I3605" i="16"/>
  <c r="H3605" i="16"/>
  <c r="G3605" i="16"/>
  <c r="F3605" i="16"/>
  <c r="L3670" i="16"/>
  <c r="K3670" i="16"/>
  <c r="P3670" i="16"/>
  <c r="F3670" i="16"/>
  <c r="O3670" i="16"/>
  <c r="E3670" i="16"/>
  <c r="N3670" i="16"/>
  <c r="G3670" i="16"/>
  <c r="T3670" i="16"/>
  <c r="P3690" i="16"/>
  <c r="H3690" i="16"/>
  <c r="O3690" i="16"/>
  <c r="G3690" i="16"/>
  <c r="F3690" i="16"/>
  <c r="T3690" i="16"/>
  <c r="E3690" i="16"/>
  <c r="N3690" i="16"/>
  <c r="J3690" i="16"/>
  <c r="I3690" i="16"/>
  <c r="K3711" i="16"/>
  <c r="J3711" i="16"/>
  <c r="N3711" i="16"/>
  <c r="M3711" i="16"/>
  <c r="L3711" i="16"/>
  <c r="H3711" i="16"/>
  <c r="G3711" i="16"/>
  <c r="F3711" i="16"/>
  <c r="E3711" i="16"/>
  <c r="L3742" i="16"/>
  <c r="K3742" i="16"/>
  <c r="T3742" i="16"/>
  <c r="G3742" i="16"/>
  <c r="P3742" i="16"/>
  <c r="F3742" i="16"/>
  <c r="O3742" i="16"/>
  <c r="E3742" i="16"/>
  <c r="I3742" i="16"/>
  <c r="H3742" i="16"/>
  <c r="L3798" i="16"/>
  <c r="K3798" i="16"/>
  <c r="P3798" i="16"/>
  <c r="F3798" i="16"/>
  <c r="O3798" i="16"/>
  <c r="E3798" i="16"/>
  <c r="N3798" i="16"/>
  <c r="T3798" i="16"/>
  <c r="H3798" i="16"/>
  <c r="G3798" i="16"/>
  <c r="P3818" i="16"/>
  <c r="H3818" i="16"/>
  <c r="O3818" i="16"/>
  <c r="G3818" i="16"/>
  <c r="F3818" i="16"/>
  <c r="T3818" i="16"/>
  <c r="E3818" i="16"/>
  <c r="N3818" i="16"/>
  <c r="J3818" i="16"/>
  <c r="I3818" i="16"/>
  <c r="L3818" i="16"/>
  <c r="K3818" i="16"/>
  <c r="P3988" i="16"/>
  <c r="H3988" i="16"/>
  <c r="N3988" i="16"/>
  <c r="E3988" i="16"/>
  <c r="M3988" i="16"/>
  <c r="J3988" i="16"/>
  <c r="I3988" i="16"/>
  <c r="G3988" i="16"/>
  <c r="O3988" i="16"/>
  <c r="L3988" i="16"/>
  <c r="K3988" i="16"/>
  <c r="F3988" i="16"/>
  <c r="L4094" i="16"/>
  <c r="O4094" i="16"/>
  <c r="F4094" i="16"/>
  <c r="P4094" i="16"/>
  <c r="E4094" i="16"/>
  <c r="N4094" i="16"/>
  <c r="G4094" i="16"/>
  <c r="T4094" i="16"/>
  <c r="H4094" i="16"/>
  <c r="J4094" i="16"/>
  <c r="I4094" i="16"/>
  <c r="L4118" i="16"/>
  <c r="N4118" i="16"/>
  <c r="E4118" i="16"/>
  <c r="M4118" i="16"/>
  <c r="K4118" i="16"/>
  <c r="G4118" i="16"/>
  <c r="F4118" i="16"/>
  <c r="T4118" i="16"/>
  <c r="J4118" i="16"/>
  <c r="I4118" i="16"/>
  <c r="H4118" i="16"/>
  <c r="P4258" i="16"/>
  <c r="H4258" i="16"/>
  <c r="L4258" i="16"/>
  <c r="I4258" i="16"/>
  <c r="G4258" i="16"/>
  <c r="T4258" i="16"/>
  <c r="O4258" i="16"/>
  <c r="N4258" i="16"/>
  <c r="F4258" i="16"/>
  <c r="E4258" i="16"/>
  <c r="M4258" i="16"/>
  <c r="K4258" i="16"/>
  <c r="J4258" i="16"/>
  <c r="K4359" i="16"/>
  <c r="L4359" i="16"/>
  <c r="P4359" i="16"/>
  <c r="F4359" i="16"/>
  <c r="O4359" i="16"/>
  <c r="E4359" i="16"/>
  <c r="T4359" i="16"/>
  <c r="N4359" i="16"/>
  <c r="I4359" i="16"/>
  <c r="H4359" i="16"/>
  <c r="G4359" i="16"/>
  <c r="M4359" i="16"/>
  <c r="J4359" i="16"/>
  <c r="M4581" i="16"/>
  <c r="E4581" i="16"/>
  <c r="T4581" i="16"/>
  <c r="H4581" i="16"/>
  <c r="P4581" i="16"/>
  <c r="G4581" i="16"/>
  <c r="J4581" i="16"/>
  <c r="I4581" i="16"/>
  <c r="F4581" i="16"/>
  <c r="N4581" i="16"/>
  <c r="L4581" i="16"/>
  <c r="K4581" i="16"/>
  <c r="O4581" i="16"/>
  <c r="M4613" i="16"/>
  <c r="E4613" i="16"/>
  <c r="N4613" i="16"/>
  <c r="L4613" i="16"/>
  <c r="K4613" i="16"/>
  <c r="I4613" i="16"/>
  <c r="H4613" i="16"/>
  <c r="G4613" i="16"/>
  <c r="F4613" i="16"/>
  <c r="T4613" i="16"/>
  <c r="P4613" i="16"/>
  <c r="O4613" i="16"/>
  <c r="J4613" i="16"/>
  <c r="N4900" i="16"/>
  <c r="F4900" i="16"/>
  <c r="T4900" i="16"/>
  <c r="H4900" i="16"/>
  <c r="P4900" i="16"/>
  <c r="G4900" i="16"/>
  <c r="O4900" i="16"/>
  <c r="E4900" i="16"/>
  <c r="L4900" i="16"/>
  <c r="K4900" i="16"/>
  <c r="J4900" i="16"/>
  <c r="M4900" i="16"/>
  <c r="I4900" i="16"/>
  <c r="N5604" i="16"/>
  <c r="F5604" i="16"/>
  <c r="M5604" i="16"/>
  <c r="E5604" i="16"/>
  <c r="L5604" i="16"/>
  <c r="H5604" i="16"/>
  <c r="G5604" i="16"/>
  <c r="T5604" i="16"/>
  <c r="K5604" i="16"/>
  <c r="J5604" i="16"/>
  <c r="I5604" i="16"/>
  <c r="O5604" i="16"/>
  <c r="P5604" i="16"/>
  <c r="M5749" i="16"/>
  <c r="E5749" i="16"/>
  <c r="L5749" i="16"/>
  <c r="K5749" i="16"/>
  <c r="P5749" i="16"/>
  <c r="O5749" i="16"/>
  <c r="N5749" i="16"/>
  <c r="I5749" i="16"/>
  <c r="H5749" i="16"/>
  <c r="G5749" i="16"/>
  <c r="T5749" i="16"/>
  <c r="J5749" i="16"/>
  <c r="F5749" i="16"/>
  <c r="P5959" i="16"/>
  <c r="H5959" i="16"/>
  <c r="O5959" i="16"/>
  <c r="G5959" i="16"/>
  <c r="J5959" i="16"/>
  <c r="I5959" i="16"/>
  <c r="F5959" i="16"/>
  <c r="E5959" i="16"/>
  <c r="L5959" i="16"/>
  <c r="K5959" i="16"/>
  <c r="T5959" i="16"/>
  <c r="N5959" i="16"/>
  <c r="M5959" i="16"/>
  <c r="M983" i="16"/>
  <c r="J984" i="16"/>
  <c r="F986" i="16"/>
  <c r="M986" i="16"/>
  <c r="E986" i="16"/>
  <c r="L986" i="16"/>
  <c r="K986" i="16"/>
  <c r="M989" i="16"/>
  <c r="T991" i="16"/>
  <c r="G996" i="16"/>
  <c r="K997" i="16"/>
  <c r="O1009" i="16"/>
  <c r="G1009" i="16"/>
  <c r="F1009" i="16"/>
  <c r="M1009" i="16"/>
  <c r="E1009" i="16"/>
  <c r="L1009" i="16"/>
  <c r="M1014" i="16"/>
  <c r="M1019" i="16"/>
  <c r="E1019" i="16"/>
  <c r="L1019" i="16"/>
  <c r="K1019" i="16"/>
  <c r="J1019" i="16"/>
  <c r="J1022" i="16"/>
  <c r="M1024" i="16"/>
  <c r="J1025" i="16"/>
  <c r="E1029" i="16"/>
  <c r="H1031" i="16"/>
  <c r="G1031" i="16"/>
  <c r="H1032" i="16"/>
  <c r="G1032" i="16"/>
  <c r="F1032" i="16"/>
  <c r="L1032" i="16"/>
  <c r="H1035" i="16"/>
  <c r="M1036" i="16"/>
  <c r="L1044" i="16"/>
  <c r="K1044" i="16"/>
  <c r="J1044" i="16"/>
  <c r="I1044" i="16"/>
  <c r="M1047" i="16"/>
  <c r="J1048" i="16"/>
  <c r="F1050" i="16"/>
  <c r="M1050" i="16"/>
  <c r="E1050" i="16"/>
  <c r="L1050" i="16"/>
  <c r="K1050" i="16"/>
  <c r="M1053" i="16"/>
  <c r="G1060" i="16"/>
  <c r="K1061" i="16"/>
  <c r="I1066" i="16"/>
  <c r="G1073" i="16"/>
  <c r="M1073" i="16"/>
  <c r="E1073" i="16"/>
  <c r="L1073" i="16"/>
  <c r="M1078" i="16"/>
  <c r="M1083" i="16"/>
  <c r="E1083" i="16"/>
  <c r="L1083" i="16"/>
  <c r="K1083" i="16"/>
  <c r="J1083" i="16"/>
  <c r="J1086" i="16"/>
  <c r="M1088" i="16"/>
  <c r="J1089" i="16"/>
  <c r="E1093" i="16"/>
  <c r="H1095" i="16"/>
  <c r="G1095" i="16"/>
  <c r="H1096" i="16"/>
  <c r="G1096" i="16"/>
  <c r="L1096" i="16"/>
  <c r="H1099" i="16"/>
  <c r="M1100" i="16"/>
  <c r="L1108" i="16"/>
  <c r="K1108" i="16"/>
  <c r="J1108" i="16"/>
  <c r="I1108" i="16"/>
  <c r="M1111" i="16"/>
  <c r="J1112" i="16"/>
  <c r="F1114" i="16"/>
  <c r="M1114" i="16"/>
  <c r="E1114" i="16"/>
  <c r="L1114" i="16"/>
  <c r="K1114" i="16"/>
  <c r="M1117" i="16"/>
  <c r="G1124" i="16"/>
  <c r="K1125" i="16"/>
  <c r="I1130" i="16"/>
  <c r="G1137" i="16"/>
  <c r="F1137" i="16"/>
  <c r="M1137" i="16"/>
  <c r="E1137" i="16"/>
  <c r="L1137" i="16"/>
  <c r="M1142" i="16"/>
  <c r="M1147" i="16"/>
  <c r="E1147" i="16"/>
  <c r="L1147" i="16"/>
  <c r="K1147" i="16"/>
  <c r="J1147" i="16"/>
  <c r="J1150" i="16"/>
  <c r="M1152" i="16"/>
  <c r="J1153" i="16"/>
  <c r="E1157" i="16"/>
  <c r="H1159" i="16"/>
  <c r="G1159" i="16"/>
  <c r="H1160" i="16"/>
  <c r="G1160" i="16"/>
  <c r="F1160" i="16"/>
  <c r="L1160" i="16"/>
  <c r="H1163" i="16"/>
  <c r="M1164" i="16"/>
  <c r="L1172" i="16"/>
  <c r="K1172" i="16"/>
  <c r="J1172" i="16"/>
  <c r="I1172" i="16"/>
  <c r="M1175" i="16"/>
  <c r="J1176" i="16"/>
  <c r="F1178" i="16"/>
  <c r="M1178" i="16"/>
  <c r="E1178" i="16"/>
  <c r="L1178" i="16"/>
  <c r="K1178" i="16"/>
  <c r="M1181" i="16"/>
  <c r="K1189" i="16"/>
  <c r="I1194" i="16"/>
  <c r="G1201" i="16"/>
  <c r="F1201" i="16"/>
  <c r="M1201" i="16"/>
  <c r="E1201" i="16"/>
  <c r="L1201" i="16"/>
  <c r="M1206" i="16"/>
  <c r="M1211" i="16"/>
  <c r="E1211" i="16"/>
  <c r="L1211" i="16"/>
  <c r="K1211" i="16"/>
  <c r="J1211" i="16"/>
  <c r="J1214" i="16"/>
  <c r="M1216" i="16"/>
  <c r="E1221" i="16"/>
  <c r="H1223" i="16"/>
  <c r="G1223" i="16"/>
  <c r="H1224" i="16"/>
  <c r="G1224" i="16"/>
  <c r="F1224" i="16"/>
  <c r="L1224" i="16"/>
  <c r="M1228" i="16"/>
  <c r="L1236" i="16"/>
  <c r="K1236" i="16"/>
  <c r="J1236" i="16"/>
  <c r="I1236" i="16"/>
  <c r="M1242" i="16"/>
  <c r="E1242" i="16"/>
  <c r="L1242" i="16"/>
  <c r="K1242" i="16"/>
  <c r="K1253" i="16"/>
  <c r="O1265" i="16"/>
  <c r="G1265" i="16"/>
  <c r="M1265" i="16"/>
  <c r="E1265" i="16"/>
  <c r="L1265" i="16"/>
  <c r="M1275" i="16"/>
  <c r="E1275" i="16"/>
  <c r="L1275" i="16"/>
  <c r="K1275" i="16"/>
  <c r="J1275" i="16"/>
  <c r="J1278" i="16"/>
  <c r="M1280" i="16"/>
  <c r="E1285" i="16"/>
  <c r="H1287" i="16"/>
  <c r="G1287" i="16"/>
  <c r="H1288" i="16"/>
  <c r="O1288" i="16"/>
  <c r="G1288" i="16"/>
  <c r="F1288" i="16"/>
  <c r="P1288" i="16" s="1"/>
  <c r="L1288" i="16"/>
  <c r="M1292" i="16"/>
  <c r="O1298" i="16"/>
  <c r="L1300" i="16"/>
  <c r="K1300" i="16"/>
  <c r="J1300" i="16"/>
  <c r="I1300" i="16"/>
  <c r="O1303" i="16"/>
  <c r="F1306" i="16"/>
  <c r="P1306" i="16" s="1"/>
  <c r="H1306" i="9" s="1"/>
  <c r="M1306" i="16"/>
  <c r="E1306" i="16"/>
  <c r="L1306" i="16"/>
  <c r="K1306" i="16"/>
  <c r="K1317" i="16"/>
  <c r="O1329" i="16"/>
  <c r="G1329" i="16"/>
  <c r="F1329" i="16"/>
  <c r="M1329" i="16"/>
  <c r="E1329" i="16"/>
  <c r="L1329" i="16"/>
  <c r="M1339" i="16"/>
  <c r="E1339" i="16"/>
  <c r="L1339" i="16"/>
  <c r="K1339" i="16"/>
  <c r="J1339" i="16"/>
  <c r="J1342" i="16"/>
  <c r="M1344" i="16"/>
  <c r="P1353" i="16"/>
  <c r="O1362" i="16"/>
  <c r="L1364" i="16"/>
  <c r="K1364" i="16"/>
  <c r="J1364" i="16"/>
  <c r="I1364" i="16"/>
  <c r="M1371" i="16"/>
  <c r="E1371" i="16"/>
  <c r="L1371" i="16"/>
  <c r="K1371" i="16"/>
  <c r="J1371" i="16"/>
  <c r="P1384" i="16"/>
  <c r="H1384" i="16"/>
  <c r="O1384" i="16"/>
  <c r="G1384" i="16"/>
  <c r="N1384" i="16"/>
  <c r="F1384" i="16"/>
  <c r="L1384" i="16"/>
  <c r="M1388" i="16"/>
  <c r="O1394" i="16"/>
  <c r="L1396" i="16"/>
  <c r="K1396" i="16"/>
  <c r="J1396" i="16"/>
  <c r="I1396" i="16"/>
  <c r="N1402" i="16"/>
  <c r="F1402" i="16"/>
  <c r="M1402" i="16"/>
  <c r="E1402" i="16"/>
  <c r="L1402" i="16"/>
  <c r="K1402" i="16"/>
  <c r="P1417" i="16"/>
  <c r="O1425" i="16"/>
  <c r="G1425" i="16"/>
  <c r="N1425" i="16"/>
  <c r="F1425" i="16"/>
  <c r="M1425" i="16"/>
  <c r="E1425" i="16"/>
  <c r="L1425" i="16"/>
  <c r="N1427" i="16"/>
  <c r="M1435" i="16"/>
  <c r="E1435" i="16"/>
  <c r="L1435" i="16"/>
  <c r="K1435" i="16"/>
  <c r="J1435" i="16"/>
  <c r="M1440" i="16"/>
  <c r="P1448" i="16"/>
  <c r="H1448" i="16"/>
  <c r="O1448" i="16"/>
  <c r="G1448" i="16"/>
  <c r="N1448" i="16"/>
  <c r="F1448" i="16"/>
  <c r="L1448" i="16"/>
  <c r="M1452" i="16"/>
  <c r="L1461" i="16"/>
  <c r="M1461" i="16"/>
  <c r="K1461" i="16"/>
  <c r="J1461" i="16"/>
  <c r="I1461" i="16"/>
  <c r="K1478" i="16"/>
  <c r="O1478" i="16"/>
  <c r="F1478" i="16"/>
  <c r="N1478" i="16"/>
  <c r="E1478" i="16"/>
  <c r="M1478" i="16"/>
  <c r="L1478" i="16"/>
  <c r="P1489" i="16"/>
  <c r="H1489" i="16"/>
  <c r="M1489" i="16"/>
  <c r="L1489" i="16"/>
  <c r="K1489" i="16"/>
  <c r="J1489" i="16"/>
  <c r="T1491" i="16"/>
  <c r="O1507" i="16"/>
  <c r="T1517" i="16"/>
  <c r="N1527" i="16"/>
  <c r="N1531" i="16"/>
  <c r="F1531" i="16"/>
  <c r="T1531" i="16"/>
  <c r="H1531" i="16"/>
  <c r="P1531" i="16"/>
  <c r="G1531" i="16"/>
  <c r="O1531" i="16"/>
  <c r="E1531" i="16"/>
  <c r="M1531" i="16"/>
  <c r="P1540" i="16"/>
  <c r="J1543" i="16"/>
  <c r="O1543" i="16"/>
  <c r="F1543" i="16"/>
  <c r="N1543" i="16"/>
  <c r="E1543" i="16"/>
  <c r="M1543" i="16"/>
  <c r="L1543" i="16"/>
  <c r="N1557" i="16"/>
  <c r="N1578" i="16"/>
  <c r="L1581" i="16"/>
  <c r="P1581" i="16"/>
  <c r="G1581" i="16"/>
  <c r="O1581" i="16"/>
  <c r="F1581" i="16"/>
  <c r="N1581" i="16"/>
  <c r="E1581" i="16"/>
  <c r="M1581" i="16"/>
  <c r="N1591" i="16"/>
  <c r="N1595" i="16"/>
  <c r="F1595" i="16"/>
  <c r="T1595" i="16"/>
  <c r="H1595" i="16"/>
  <c r="P1595" i="16"/>
  <c r="G1595" i="16"/>
  <c r="O1595" i="16"/>
  <c r="E1595" i="16"/>
  <c r="M1595" i="16"/>
  <c r="P1604" i="16"/>
  <c r="J1607" i="16"/>
  <c r="O1607" i="16"/>
  <c r="F1607" i="16"/>
  <c r="N1607" i="16"/>
  <c r="E1607" i="16"/>
  <c r="M1607" i="16"/>
  <c r="L1607" i="16"/>
  <c r="L1621" i="16"/>
  <c r="T1621" i="16"/>
  <c r="H1621" i="16"/>
  <c r="P1621" i="16"/>
  <c r="G1621" i="16"/>
  <c r="O1621" i="16"/>
  <c r="F1621" i="16"/>
  <c r="M1621" i="16"/>
  <c r="O1629" i="16"/>
  <c r="O1631" i="16"/>
  <c r="T1647" i="16"/>
  <c r="P1649" i="16"/>
  <c r="H1649" i="16"/>
  <c r="I1649" i="16"/>
  <c r="T1649" i="16"/>
  <c r="G1649" i="16"/>
  <c r="O1649" i="16"/>
  <c r="F1649" i="16"/>
  <c r="M1649" i="16"/>
  <c r="L1653" i="16"/>
  <c r="M1653" i="16"/>
  <c r="K1653" i="16"/>
  <c r="J1653" i="16"/>
  <c r="I1653" i="16"/>
  <c r="P1670" i="16"/>
  <c r="P1681" i="16"/>
  <c r="H1681" i="16"/>
  <c r="M1681" i="16"/>
  <c r="L1681" i="16"/>
  <c r="K1681" i="16"/>
  <c r="J1681" i="16"/>
  <c r="T1683" i="16"/>
  <c r="N1699" i="16"/>
  <c r="F1699" i="16"/>
  <c r="I1699" i="16"/>
  <c r="T1699" i="16"/>
  <c r="H1699" i="16"/>
  <c r="P1699" i="16"/>
  <c r="G1699" i="16"/>
  <c r="M1699" i="16"/>
  <c r="K1710" i="16"/>
  <c r="P1710" i="16"/>
  <c r="G1710" i="16"/>
  <c r="O1710" i="16"/>
  <c r="F1710" i="16"/>
  <c r="N1710" i="16"/>
  <c r="E1710" i="16"/>
  <c r="M1710" i="16"/>
  <c r="M1724" i="16"/>
  <c r="E1724" i="16"/>
  <c r="I1724" i="16"/>
  <c r="T1724" i="16"/>
  <c r="H1724" i="16"/>
  <c r="P1724" i="16"/>
  <c r="G1724" i="16"/>
  <c r="N1724" i="16"/>
  <c r="O1731" i="16"/>
  <c r="N1738" i="16"/>
  <c r="J1751" i="16"/>
  <c r="T1751" i="16"/>
  <c r="H1751" i="16"/>
  <c r="P1751" i="16"/>
  <c r="G1751" i="16"/>
  <c r="O1751" i="16"/>
  <c r="F1751" i="16"/>
  <c r="M1751" i="16"/>
  <c r="M1756" i="16"/>
  <c r="E1756" i="16"/>
  <c r="N1756" i="16"/>
  <c r="L1756" i="16"/>
  <c r="K1756" i="16"/>
  <c r="J1756" i="16"/>
  <c r="K1758" i="16"/>
  <c r="N1758" i="16"/>
  <c r="E1758" i="16"/>
  <c r="M1758" i="16"/>
  <c r="L1758" i="16"/>
  <c r="J1758" i="16"/>
  <c r="T1761" i="16"/>
  <c r="N1770" i="16"/>
  <c r="L1773" i="16"/>
  <c r="P1773" i="16"/>
  <c r="G1773" i="16"/>
  <c r="O1773" i="16"/>
  <c r="F1773" i="16"/>
  <c r="N1773" i="16"/>
  <c r="E1773" i="16"/>
  <c r="M1773" i="16"/>
  <c r="J1783" i="16"/>
  <c r="M1783" i="16"/>
  <c r="L1783" i="16"/>
  <c r="K1783" i="16"/>
  <c r="I1783" i="16"/>
  <c r="T1786" i="16"/>
  <c r="L1797" i="16"/>
  <c r="O1797" i="16"/>
  <c r="F1797" i="16"/>
  <c r="N1797" i="16"/>
  <c r="E1797" i="16"/>
  <c r="M1797" i="16"/>
  <c r="K1797" i="16"/>
  <c r="P1801" i="16"/>
  <c r="H1801" i="16"/>
  <c r="T1801" i="16"/>
  <c r="G1801" i="16"/>
  <c r="O1801" i="16"/>
  <c r="F1801" i="16"/>
  <c r="N1801" i="16"/>
  <c r="E1801" i="16"/>
  <c r="M1801" i="16"/>
  <c r="O1810" i="16"/>
  <c r="G1810" i="16"/>
  <c r="N1810" i="16"/>
  <c r="E1810" i="16"/>
  <c r="M1810" i="16"/>
  <c r="L1810" i="16"/>
  <c r="K1810" i="16"/>
  <c r="K1814" i="16"/>
  <c r="T1814" i="16"/>
  <c r="H1814" i="16"/>
  <c r="P1814" i="16"/>
  <c r="G1814" i="16"/>
  <c r="O1814" i="16"/>
  <c r="F1814" i="16"/>
  <c r="M1814" i="16"/>
  <c r="M1836" i="16"/>
  <c r="E1836" i="16"/>
  <c r="P1836" i="16"/>
  <c r="G1836" i="16"/>
  <c r="O1836" i="16"/>
  <c r="F1836" i="16"/>
  <c r="N1836" i="16"/>
  <c r="L1836" i="16"/>
  <c r="N1841" i="16"/>
  <c r="L1845" i="16"/>
  <c r="M1845" i="16"/>
  <c r="K1845" i="16"/>
  <c r="J1845" i="16"/>
  <c r="I1845" i="16"/>
  <c r="P1860" i="16"/>
  <c r="J1863" i="16"/>
  <c r="O1863" i="16"/>
  <c r="F1863" i="16"/>
  <c r="N1863" i="16"/>
  <c r="E1863" i="16"/>
  <c r="M1863" i="16"/>
  <c r="L1863" i="16"/>
  <c r="L1877" i="16"/>
  <c r="T1877" i="16"/>
  <c r="H1877" i="16"/>
  <c r="P1877" i="16"/>
  <c r="G1877" i="16"/>
  <c r="O1877" i="16"/>
  <c r="F1877" i="16"/>
  <c r="M1877" i="16"/>
  <c r="L1885" i="16"/>
  <c r="N1885" i="16"/>
  <c r="E1885" i="16"/>
  <c r="M1885" i="16"/>
  <c r="K1885" i="16"/>
  <c r="J1885" i="16"/>
  <c r="J1887" i="16"/>
  <c r="N1887" i="16"/>
  <c r="E1887" i="16"/>
  <c r="M1887" i="16"/>
  <c r="L1887" i="16"/>
  <c r="K1887" i="16"/>
  <c r="P1899" i="16"/>
  <c r="J1903" i="16"/>
  <c r="P1903" i="16"/>
  <c r="G1903" i="16"/>
  <c r="O1903" i="16"/>
  <c r="F1903" i="16"/>
  <c r="N1903" i="16"/>
  <c r="E1903" i="16"/>
  <c r="M1903" i="16"/>
  <c r="N1910" i="16"/>
  <c r="P1913" i="16"/>
  <c r="H1913" i="16"/>
  <c r="N1913" i="16"/>
  <c r="E1913" i="16"/>
  <c r="M1913" i="16"/>
  <c r="L1913" i="16"/>
  <c r="K1913" i="16"/>
  <c r="P1926" i="16"/>
  <c r="P1937" i="16"/>
  <c r="H1937" i="16"/>
  <c r="M1937" i="16"/>
  <c r="L1937" i="16"/>
  <c r="K1937" i="16"/>
  <c r="J1937" i="16"/>
  <c r="T1939" i="16"/>
  <c r="N1955" i="16"/>
  <c r="F1955" i="16"/>
  <c r="I1955" i="16"/>
  <c r="T1955" i="16"/>
  <c r="H1955" i="16"/>
  <c r="P1955" i="16"/>
  <c r="G1955" i="16"/>
  <c r="M1955" i="16"/>
  <c r="K1966" i="16"/>
  <c r="P1966" i="16"/>
  <c r="G1966" i="16"/>
  <c r="O1966" i="16"/>
  <c r="F1966" i="16"/>
  <c r="N1966" i="16"/>
  <c r="E1966" i="16"/>
  <c r="M1966" i="16"/>
  <c r="M1980" i="16"/>
  <c r="E1980" i="16"/>
  <c r="I1980" i="16"/>
  <c r="T1980" i="16"/>
  <c r="H1980" i="16"/>
  <c r="P1980" i="16"/>
  <c r="G1980" i="16"/>
  <c r="N1980" i="16"/>
  <c r="O1987" i="16"/>
  <c r="N1994" i="16"/>
  <c r="O2002" i="16"/>
  <c r="G2002" i="16"/>
  <c r="N2002" i="16"/>
  <c r="E2002" i="16"/>
  <c r="M2002" i="16"/>
  <c r="L2002" i="16"/>
  <c r="K2002" i="16"/>
  <c r="K2006" i="16"/>
  <c r="T2006" i="16"/>
  <c r="H2006" i="16"/>
  <c r="P2006" i="16"/>
  <c r="G2006" i="16"/>
  <c r="O2006" i="16"/>
  <c r="F2006" i="16"/>
  <c r="M2006" i="16"/>
  <c r="N2027" i="16"/>
  <c r="F2027" i="16"/>
  <c r="O2027" i="16"/>
  <c r="E2027" i="16"/>
  <c r="M2027" i="16"/>
  <c r="L2027" i="16"/>
  <c r="K2027" i="16"/>
  <c r="T2030" i="16"/>
  <c r="K2038" i="16"/>
  <c r="M2038" i="16"/>
  <c r="L2038" i="16"/>
  <c r="J2038" i="16"/>
  <c r="I2038" i="16"/>
  <c r="O2044" i="16"/>
  <c r="K2054" i="16"/>
  <c r="O2054" i="16"/>
  <c r="F2054" i="16"/>
  <c r="N2054" i="16"/>
  <c r="E2054" i="16"/>
  <c r="M2054" i="16"/>
  <c r="L2054" i="16"/>
  <c r="N2067" i="16"/>
  <c r="F2067" i="16"/>
  <c r="P2067" i="16"/>
  <c r="G2067" i="16"/>
  <c r="O2067" i="16"/>
  <c r="E2067" i="16"/>
  <c r="M2067" i="16"/>
  <c r="L2067" i="16"/>
  <c r="N2071" i="16"/>
  <c r="O2076" i="16"/>
  <c r="O2078" i="16"/>
  <c r="O2082" i="16"/>
  <c r="G2082" i="16"/>
  <c r="T2082" i="16"/>
  <c r="H2082" i="16"/>
  <c r="P2082" i="16"/>
  <c r="F2082" i="16"/>
  <c r="N2082" i="16"/>
  <c r="E2082" i="16"/>
  <c r="M2082" i="16"/>
  <c r="T2093" i="16"/>
  <c r="N2103" i="16"/>
  <c r="N2107" i="16"/>
  <c r="F2107" i="16"/>
  <c r="T2107" i="16"/>
  <c r="H2107" i="16"/>
  <c r="P2107" i="16"/>
  <c r="G2107" i="16"/>
  <c r="O2107" i="16"/>
  <c r="E2107" i="16"/>
  <c r="M2107" i="16"/>
  <c r="N2115" i="16"/>
  <c r="F2115" i="16"/>
  <c r="M2115" i="16"/>
  <c r="L2115" i="16"/>
  <c r="K2115" i="16"/>
  <c r="J2115" i="16"/>
  <c r="P2117" i="16"/>
  <c r="O2122" i="16"/>
  <c r="G2122" i="16"/>
  <c r="I2122" i="16"/>
  <c r="T2122" i="16"/>
  <c r="H2122" i="16"/>
  <c r="P2122" i="16"/>
  <c r="F2122" i="16"/>
  <c r="M2122" i="16"/>
  <c r="P2130" i="16"/>
  <c r="N2134" i="16"/>
  <c r="P2145" i="16"/>
  <c r="H2145" i="16"/>
  <c r="O2145" i="16"/>
  <c r="F2145" i="16"/>
  <c r="N2145" i="16"/>
  <c r="E2145" i="16"/>
  <c r="M2145" i="16"/>
  <c r="L2145" i="16"/>
  <c r="T2159" i="16"/>
  <c r="P2161" i="16"/>
  <c r="H2161" i="16"/>
  <c r="I2161" i="16"/>
  <c r="T2161" i="16"/>
  <c r="G2161" i="16"/>
  <c r="O2161" i="16"/>
  <c r="F2161" i="16"/>
  <c r="M2161" i="16"/>
  <c r="O2169" i="16"/>
  <c r="P2180" i="16"/>
  <c r="J2183" i="16"/>
  <c r="O2183" i="16"/>
  <c r="F2183" i="16"/>
  <c r="N2183" i="16"/>
  <c r="E2183" i="16"/>
  <c r="M2183" i="16"/>
  <c r="L2183" i="16"/>
  <c r="P2193" i="16"/>
  <c r="H2193" i="16"/>
  <c r="M2193" i="16"/>
  <c r="L2193" i="16"/>
  <c r="K2193" i="16"/>
  <c r="J2193" i="16"/>
  <c r="T2195" i="16"/>
  <c r="N2211" i="16"/>
  <c r="F2211" i="16"/>
  <c r="I2211" i="16"/>
  <c r="T2211" i="16"/>
  <c r="H2211" i="16"/>
  <c r="P2211" i="16"/>
  <c r="G2211" i="16"/>
  <c r="M2211" i="16"/>
  <c r="N2218" i="16"/>
  <c r="L2221" i="16"/>
  <c r="P2221" i="16"/>
  <c r="G2221" i="16"/>
  <c r="O2221" i="16"/>
  <c r="F2221" i="16"/>
  <c r="N2221" i="16"/>
  <c r="E2221" i="16"/>
  <c r="M2221" i="16"/>
  <c r="J2231" i="16"/>
  <c r="M2231" i="16"/>
  <c r="L2231" i="16"/>
  <c r="K2231" i="16"/>
  <c r="I2231" i="16"/>
  <c r="T2234" i="16"/>
  <c r="L2245" i="16"/>
  <c r="O2245" i="16"/>
  <c r="F2245" i="16"/>
  <c r="N2245" i="16"/>
  <c r="E2245" i="16"/>
  <c r="M2245" i="16"/>
  <c r="K2245" i="16"/>
  <c r="P2249" i="16"/>
  <c r="H2249" i="16"/>
  <c r="T2249" i="16"/>
  <c r="G2249" i="16"/>
  <c r="O2249" i="16"/>
  <c r="F2249" i="16"/>
  <c r="N2249" i="16"/>
  <c r="E2249" i="16"/>
  <c r="M2249" i="16"/>
  <c r="O2258" i="16"/>
  <c r="G2258" i="16"/>
  <c r="N2258" i="16"/>
  <c r="E2258" i="16"/>
  <c r="M2258" i="16"/>
  <c r="L2258" i="16"/>
  <c r="K2258" i="16"/>
  <c r="K2262" i="16"/>
  <c r="T2262" i="16"/>
  <c r="H2262" i="16"/>
  <c r="P2262" i="16"/>
  <c r="G2262" i="16"/>
  <c r="O2262" i="16"/>
  <c r="F2262" i="16"/>
  <c r="M2262" i="16"/>
  <c r="P2273" i="16"/>
  <c r="H2273" i="16"/>
  <c r="O2273" i="16"/>
  <c r="F2273" i="16"/>
  <c r="N2273" i="16"/>
  <c r="E2273" i="16"/>
  <c r="M2273" i="16"/>
  <c r="L2273" i="16"/>
  <c r="T2287" i="16"/>
  <c r="P2289" i="16"/>
  <c r="H2289" i="16"/>
  <c r="I2289" i="16"/>
  <c r="T2289" i="16"/>
  <c r="G2289" i="16"/>
  <c r="O2289" i="16"/>
  <c r="F2289" i="16"/>
  <c r="M2289" i="16"/>
  <c r="O2297" i="16"/>
  <c r="P2308" i="16"/>
  <c r="J2311" i="16"/>
  <c r="O2311" i="16"/>
  <c r="F2311" i="16"/>
  <c r="N2311" i="16"/>
  <c r="E2311" i="16"/>
  <c r="M2311" i="16"/>
  <c r="L2311" i="16"/>
  <c r="L2325" i="16"/>
  <c r="T2325" i="16"/>
  <c r="H2325" i="16"/>
  <c r="P2325" i="16"/>
  <c r="G2325" i="16"/>
  <c r="O2325" i="16"/>
  <c r="F2325" i="16"/>
  <c r="M2325" i="16"/>
  <c r="O2333" i="16"/>
  <c r="O2335" i="16"/>
  <c r="N2347" i="16"/>
  <c r="F2347" i="16"/>
  <c r="O2347" i="16"/>
  <c r="E2347" i="16"/>
  <c r="M2347" i="16"/>
  <c r="L2347" i="16"/>
  <c r="K2347" i="16"/>
  <c r="T2350" i="16"/>
  <c r="N2358" i="16"/>
  <c r="P2361" i="16"/>
  <c r="H2361" i="16"/>
  <c r="N2361" i="16"/>
  <c r="E2361" i="16"/>
  <c r="M2361" i="16"/>
  <c r="L2361" i="16"/>
  <c r="K2361" i="16"/>
  <c r="P2374" i="16"/>
  <c r="P2385" i="16"/>
  <c r="H2385" i="16"/>
  <c r="M2385" i="16"/>
  <c r="L2385" i="16"/>
  <c r="K2385" i="16"/>
  <c r="J2385" i="16"/>
  <c r="T2387" i="16"/>
  <c r="N2403" i="16"/>
  <c r="F2403" i="16"/>
  <c r="I2403" i="16"/>
  <c r="T2403" i="16"/>
  <c r="H2403" i="16"/>
  <c r="P2403" i="16"/>
  <c r="G2403" i="16"/>
  <c r="M2403" i="16"/>
  <c r="P2449" i="16"/>
  <c r="H2449" i="16"/>
  <c r="M2449" i="16"/>
  <c r="L2449" i="16"/>
  <c r="K2449" i="16"/>
  <c r="G2449" i="16"/>
  <c r="F2449" i="16"/>
  <c r="O2449" i="16"/>
  <c r="T2463" i="16"/>
  <c r="P2465" i="16"/>
  <c r="H2465" i="16"/>
  <c r="O2465" i="16"/>
  <c r="F2465" i="16"/>
  <c r="N2465" i="16"/>
  <c r="E2465" i="16"/>
  <c r="M2465" i="16"/>
  <c r="T2465" i="16"/>
  <c r="L2465" i="16"/>
  <c r="N2467" i="16"/>
  <c r="F2467" i="16"/>
  <c r="I2467" i="16"/>
  <c r="T2467" i="16"/>
  <c r="H2467" i="16"/>
  <c r="P2467" i="16"/>
  <c r="G2467" i="16"/>
  <c r="L2467" i="16"/>
  <c r="K2467" i="16"/>
  <c r="L2518" i="16"/>
  <c r="K2518" i="16"/>
  <c r="P2518" i="16"/>
  <c r="F2518" i="16"/>
  <c r="O2518" i="16"/>
  <c r="E2518" i="16"/>
  <c r="N2518" i="16"/>
  <c r="I2518" i="16"/>
  <c r="H2518" i="16"/>
  <c r="K2519" i="16"/>
  <c r="J2519" i="16"/>
  <c r="T2519" i="16"/>
  <c r="G2519" i="16"/>
  <c r="P2519" i="16"/>
  <c r="F2519" i="16"/>
  <c r="O2519" i="16"/>
  <c r="E2519" i="16"/>
  <c r="H2519" i="16"/>
  <c r="O2531" i="16"/>
  <c r="G2531" i="16"/>
  <c r="N2531" i="16"/>
  <c r="F2531" i="16"/>
  <c r="J2531" i="16"/>
  <c r="I2531" i="16"/>
  <c r="H2531" i="16"/>
  <c r="M2531" i="16"/>
  <c r="L2531" i="16"/>
  <c r="T2540" i="16"/>
  <c r="P2554" i="16"/>
  <c r="H2554" i="16"/>
  <c r="O2554" i="16"/>
  <c r="G2554" i="16"/>
  <c r="J2554" i="16"/>
  <c r="I2554" i="16"/>
  <c r="F2554" i="16"/>
  <c r="K2554" i="16"/>
  <c r="E2554" i="16"/>
  <c r="M2581" i="16"/>
  <c r="E2581" i="16"/>
  <c r="L2581" i="16"/>
  <c r="O2581" i="16"/>
  <c r="N2581" i="16"/>
  <c r="K2581" i="16"/>
  <c r="T2581" i="16"/>
  <c r="P2581" i="16"/>
  <c r="J2581" i="16"/>
  <c r="N2604" i="16"/>
  <c r="F2604" i="16"/>
  <c r="M2604" i="16"/>
  <c r="E2604" i="16"/>
  <c r="P2604" i="16"/>
  <c r="O2604" i="16"/>
  <c r="L2604" i="16"/>
  <c r="J2604" i="16"/>
  <c r="I2604" i="16"/>
  <c r="M2605" i="16"/>
  <c r="E2605" i="16"/>
  <c r="L2605" i="16"/>
  <c r="H2605" i="16"/>
  <c r="T2605" i="16"/>
  <c r="G2605" i="16"/>
  <c r="P2605" i="16"/>
  <c r="F2605" i="16"/>
  <c r="J2605" i="16"/>
  <c r="I2605" i="16"/>
  <c r="P2674" i="16"/>
  <c r="H2674" i="16"/>
  <c r="O2674" i="16"/>
  <c r="G2674" i="16"/>
  <c r="I2674" i="16"/>
  <c r="F2674" i="16"/>
  <c r="T2674" i="16"/>
  <c r="E2674" i="16"/>
  <c r="J2674" i="16"/>
  <c r="T2687" i="16"/>
  <c r="T2691" i="16"/>
  <c r="O2715" i="16"/>
  <c r="G2715" i="16"/>
  <c r="N2715" i="16"/>
  <c r="F2715" i="16"/>
  <c r="I2715" i="16"/>
  <c r="H2715" i="16"/>
  <c r="T2715" i="16"/>
  <c r="E2715" i="16"/>
  <c r="L2715" i="16"/>
  <c r="K2715" i="16"/>
  <c r="M2725" i="16"/>
  <c r="E2725" i="16"/>
  <c r="L2725" i="16"/>
  <c r="T2725" i="16"/>
  <c r="G2725" i="16"/>
  <c r="P2725" i="16"/>
  <c r="F2725" i="16"/>
  <c r="O2725" i="16"/>
  <c r="I2725" i="16"/>
  <c r="H2725" i="16"/>
  <c r="M2733" i="16"/>
  <c r="E2733" i="16"/>
  <c r="L2733" i="16"/>
  <c r="H2733" i="16"/>
  <c r="T2733" i="16"/>
  <c r="G2733" i="16"/>
  <c r="P2733" i="16"/>
  <c r="F2733" i="16"/>
  <c r="K2733" i="16"/>
  <c r="J2733" i="16"/>
  <c r="P2746" i="16"/>
  <c r="H2746" i="16"/>
  <c r="O2746" i="16"/>
  <c r="G2746" i="16"/>
  <c r="J2746" i="16"/>
  <c r="I2746" i="16"/>
  <c r="F2746" i="16"/>
  <c r="L2746" i="16"/>
  <c r="K2746" i="16"/>
  <c r="N2756" i="16"/>
  <c r="F2756" i="16"/>
  <c r="M2756" i="16"/>
  <c r="E2756" i="16"/>
  <c r="I2756" i="16"/>
  <c r="H2756" i="16"/>
  <c r="T2756" i="16"/>
  <c r="G2756" i="16"/>
  <c r="L2756" i="16"/>
  <c r="K2756" i="16"/>
  <c r="P2786" i="16"/>
  <c r="H2786" i="16"/>
  <c r="O2786" i="16"/>
  <c r="G2786" i="16"/>
  <c r="T2786" i="16"/>
  <c r="E2786" i="16"/>
  <c r="N2786" i="16"/>
  <c r="M2786" i="16"/>
  <c r="K2786" i="16"/>
  <c r="J2786" i="16"/>
  <c r="F2786" i="16"/>
  <c r="M2789" i="16"/>
  <c r="E2789" i="16"/>
  <c r="L2789" i="16"/>
  <c r="T2789" i="16"/>
  <c r="G2789" i="16"/>
  <c r="P2789" i="16"/>
  <c r="F2789" i="16"/>
  <c r="O2789" i="16"/>
  <c r="K2789" i="16"/>
  <c r="M2869" i="16"/>
  <c r="E2869" i="16"/>
  <c r="L2869" i="16"/>
  <c r="I2869" i="16"/>
  <c r="H2869" i="16"/>
  <c r="T2869" i="16"/>
  <c r="G2869" i="16"/>
  <c r="P2869" i="16"/>
  <c r="N2869" i="16"/>
  <c r="N2876" i="16"/>
  <c r="F2876" i="16"/>
  <c r="M2876" i="16"/>
  <c r="E2876" i="16"/>
  <c r="H2876" i="16"/>
  <c r="T2876" i="16"/>
  <c r="G2876" i="16"/>
  <c r="P2876" i="16"/>
  <c r="L2876" i="16"/>
  <c r="K2876" i="16"/>
  <c r="I2876" i="16"/>
  <c r="N2884" i="16"/>
  <c r="F2884" i="16"/>
  <c r="M2884" i="16"/>
  <c r="E2884" i="16"/>
  <c r="I2884" i="16"/>
  <c r="H2884" i="16"/>
  <c r="T2884" i="16"/>
  <c r="G2884" i="16"/>
  <c r="O2884" i="16"/>
  <c r="L2884" i="16"/>
  <c r="J2884" i="16"/>
  <c r="O2891" i="16"/>
  <c r="G2891" i="16"/>
  <c r="N2891" i="16"/>
  <c r="F2891" i="16"/>
  <c r="T2891" i="16"/>
  <c r="E2891" i="16"/>
  <c r="P2891" i="16"/>
  <c r="M2891" i="16"/>
  <c r="J2891" i="16"/>
  <c r="I2891" i="16"/>
  <c r="P2914" i="16"/>
  <c r="H2914" i="16"/>
  <c r="O2914" i="16"/>
  <c r="G2914" i="16"/>
  <c r="T2914" i="16"/>
  <c r="E2914" i="16"/>
  <c r="N2914" i="16"/>
  <c r="M2914" i="16"/>
  <c r="J2914" i="16"/>
  <c r="I2914" i="16"/>
  <c r="O2971" i="16"/>
  <c r="G2971" i="16"/>
  <c r="N2971" i="16"/>
  <c r="F2971" i="16"/>
  <c r="I2971" i="16"/>
  <c r="H2971" i="16"/>
  <c r="T2971" i="16"/>
  <c r="E2971" i="16"/>
  <c r="M2971" i="16"/>
  <c r="L2971" i="16"/>
  <c r="J2971" i="16"/>
  <c r="M2973" i="16"/>
  <c r="E2973" i="16"/>
  <c r="L2973" i="16"/>
  <c r="P2973" i="16"/>
  <c r="F2973" i="16"/>
  <c r="O2973" i="16"/>
  <c r="N2973" i="16"/>
  <c r="G2973" i="16"/>
  <c r="T2973" i="16"/>
  <c r="L2974" i="16"/>
  <c r="K2974" i="16"/>
  <c r="T2974" i="16"/>
  <c r="G2974" i="16"/>
  <c r="P2974" i="16"/>
  <c r="F2974" i="16"/>
  <c r="O2974" i="16"/>
  <c r="E2974" i="16"/>
  <c r="M2974" i="16"/>
  <c r="M2981" i="16"/>
  <c r="E2981" i="16"/>
  <c r="L2981" i="16"/>
  <c r="T2981" i="16"/>
  <c r="G2981" i="16"/>
  <c r="P2981" i="16"/>
  <c r="F2981" i="16"/>
  <c r="O2981" i="16"/>
  <c r="I2981" i="16"/>
  <c r="H2981" i="16"/>
  <c r="P3002" i="16"/>
  <c r="H3002" i="16"/>
  <c r="O3002" i="16"/>
  <c r="G3002" i="16"/>
  <c r="J3002" i="16"/>
  <c r="I3002" i="16"/>
  <c r="F3002" i="16"/>
  <c r="M3002" i="16"/>
  <c r="L3002" i="16"/>
  <c r="E3002" i="16"/>
  <c r="L3038" i="16"/>
  <c r="K3038" i="16"/>
  <c r="T3038" i="16"/>
  <c r="G3038" i="16"/>
  <c r="P3038" i="16"/>
  <c r="F3038" i="16"/>
  <c r="O3038" i="16"/>
  <c r="E3038" i="16"/>
  <c r="M3038" i="16"/>
  <c r="J3038" i="16"/>
  <c r="H3038" i="16"/>
  <c r="N3076" i="16"/>
  <c r="F3076" i="16"/>
  <c r="M3076" i="16"/>
  <c r="E3076" i="16"/>
  <c r="I3076" i="16"/>
  <c r="H3076" i="16"/>
  <c r="T3076" i="16"/>
  <c r="G3076" i="16"/>
  <c r="L3076" i="16"/>
  <c r="K3076" i="16"/>
  <c r="M3101" i="16"/>
  <c r="E3101" i="16"/>
  <c r="L3101" i="16"/>
  <c r="P3101" i="16"/>
  <c r="F3101" i="16"/>
  <c r="O3101" i="16"/>
  <c r="N3101" i="16"/>
  <c r="I3101" i="16"/>
  <c r="H3101" i="16"/>
  <c r="L3102" i="16"/>
  <c r="K3102" i="16"/>
  <c r="T3102" i="16"/>
  <c r="G3102" i="16"/>
  <c r="P3102" i="16"/>
  <c r="F3102" i="16"/>
  <c r="O3102" i="16"/>
  <c r="E3102" i="16"/>
  <c r="H3102" i="16"/>
  <c r="K3199" i="16"/>
  <c r="J3199" i="16"/>
  <c r="N3199" i="16"/>
  <c r="M3199" i="16"/>
  <c r="L3199" i="16"/>
  <c r="P3199" i="16"/>
  <c r="O3199" i="16"/>
  <c r="H3199" i="16"/>
  <c r="T3199" i="16"/>
  <c r="L3214" i="16"/>
  <c r="K3214" i="16"/>
  <c r="O3214" i="16"/>
  <c r="E3214" i="16"/>
  <c r="N3214" i="16"/>
  <c r="M3214" i="16"/>
  <c r="G3214" i="16"/>
  <c r="F3214" i="16"/>
  <c r="T3214" i="16"/>
  <c r="K3215" i="16"/>
  <c r="J3215" i="16"/>
  <c r="P3215" i="16"/>
  <c r="F3215" i="16"/>
  <c r="O3215" i="16"/>
  <c r="E3215" i="16"/>
  <c r="N3215" i="16"/>
  <c r="T3215" i="16"/>
  <c r="L3215" i="16"/>
  <c r="M3229" i="16"/>
  <c r="E3229" i="16"/>
  <c r="L3229" i="16"/>
  <c r="P3229" i="16"/>
  <c r="F3229" i="16"/>
  <c r="O3229" i="16"/>
  <c r="N3229" i="16"/>
  <c r="I3229" i="16"/>
  <c r="H3229" i="16"/>
  <c r="L3230" i="16"/>
  <c r="K3230" i="16"/>
  <c r="T3230" i="16"/>
  <c r="G3230" i="16"/>
  <c r="P3230" i="16"/>
  <c r="F3230" i="16"/>
  <c r="O3230" i="16"/>
  <c r="E3230" i="16"/>
  <c r="H3230" i="16"/>
  <c r="P3250" i="16"/>
  <c r="H3250" i="16"/>
  <c r="O3250" i="16"/>
  <c r="G3250" i="16"/>
  <c r="I3250" i="16"/>
  <c r="F3250" i="16"/>
  <c r="T3250" i="16"/>
  <c r="E3250" i="16"/>
  <c r="K3250" i="16"/>
  <c r="J3250" i="16"/>
  <c r="M3285" i="16"/>
  <c r="E3285" i="16"/>
  <c r="L3285" i="16"/>
  <c r="O3285" i="16"/>
  <c r="N3285" i="16"/>
  <c r="K3285" i="16"/>
  <c r="I3285" i="16"/>
  <c r="H3285" i="16"/>
  <c r="F3285" i="16"/>
  <c r="L3286" i="16"/>
  <c r="K3286" i="16"/>
  <c r="P3286" i="16"/>
  <c r="F3286" i="16"/>
  <c r="O3286" i="16"/>
  <c r="E3286" i="16"/>
  <c r="N3286" i="16"/>
  <c r="G3286" i="16"/>
  <c r="T3286" i="16"/>
  <c r="K3287" i="16"/>
  <c r="J3287" i="16"/>
  <c r="T3287" i="16"/>
  <c r="G3287" i="16"/>
  <c r="P3287" i="16"/>
  <c r="F3287" i="16"/>
  <c r="O3287" i="16"/>
  <c r="E3287" i="16"/>
  <c r="M3287" i="16"/>
  <c r="N3308" i="16"/>
  <c r="F3308" i="16"/>
  <c r="M3308" i="16"/>
  <c r="E3308" i="16"/>
  <c r="P3308" i="16"/>
  <c r="O3308" i="16"/>
  <c r="L3308" i="16"/>
  <c r="J3308" i="16"/>
  <c r="I3308" i="16"/>
  <c r="G3308" i="16"/>
  <c r="O3331" i="16"/>
  <c r="G3331" i="16"/>
  <c r="N3331" i="16"/>
  <c r="F3331" i="16"/>
  <c r="P3331" i="16"/>
  <c r="M3331" i="16"/>
  <c r="L3331" i="16"/>
  <c r="J3331" i="16"/>
  <c r="I3331" i="16"/>
  <c r="E3331" i="16"/>
  <c r="P3354" i="16"/>
  <c r="H3354" i="16"/>
  <c r="O3354" i="16"/>
  <c r="G3354" i="16"/>
  <c r="N3354" i="16"/>
  <c r="M3354" i="16"/>
  <c r="L3354" i="16"/>
  <c r="E3354" i="16"/>
  <c r="T3354" i="16"/>
  <c r="O3355" i="16"/>
  <c r="G3355" i="16"/>
  <c r="N3355" i="16"/>
  <c r="F3355" i="16"/>
  <c r="I3355" i="16"/>
  <c r="H3355" i="16"/>
  <c r="T3355" i="16"/>
  <c r="E3355" i="16"/>
  <c r="M3355" i="16"/>
  <c r="K3359" i="16"/>
  <c r="J3359" i="16"/>
  <c r="H3359" i="16"/>
  <c r="T3359" i="16"/>
  <c r="G3359" i="16"/>
  <c r="P3359" i="16"/>
  <c r="F3359" i="16"/>
  <c r="E3359" i="16"/>
  <c r="O3359" i="16"/>
  <c r="M3381" i="16"/>
  <c r="E3381" i="16"/>
  <c r="L3381" i="16"/>
  <c r="I3381" i="16"/>
  <c r="H3381" i="16"/>
  <c r="T3381" i="16"/>
  <c r="G3381" i="16"/>
  <c r="P3381" i="16"/>
  <c r="N3381" i="16"/>
  <c r="N3404" i="16"/>
  <c r="F3404" i="16"/>
  <c r="M3404" i="16"/>
  <c r="E3404" i="16"/>
  <c r="J3404" i="16"/>
  <c r="I3404" i="16"/>
  <c r="H3404" i="16"/>
  <c r="K3404" i="16"/>
  <c r="G3404" i="16"/>
  <c r="K3527" i="16"/>
  <c r="J3527" i="16"/>
  <c r="O3527" i="16"/>
  <c r="E3527" i="16"/>
  <c r="N3527" i="16"/>
  <c r="M3527" i="16"/>
  <c r="G3527" i="16"/>
  <c r="F3527" i="16"/>
  <c r="T3527" i="16"/>
  <c r="O3555" i="16"/>
  <c r="G3555" i="16"/>
  <c r="N3555" i="16"/>
  <c r="F3555" i="16"/>
  <c r="J3555" i="16"/>
  <c r="I3555" i="16"/>
  <c r="H3555" i="16"/>
  <c r="K3555" i="16"/>
  <c r="E3555" i="16"/>
  <c r="N3564" i="16"/>
  <c r="F3564" i="16"/>
  <c r="M3564" i="16"/>
  <c r="E3564" i="16"/>
  <c r="P3564" i="16"/>
  <c r="O3564" i="16"/>
  <c r="L3564" i="16"/>
  <c r="G3564" i="16"/>
  <c r="T3564" i="16"/>
  <c r="P3634" i="16"/>
  <c r="H3634" i="16"/>
  <c r="O3634" i="16"/>
  <c r="G3634" i="16"/>
  <c r="I3634" i="16"/>
  <c r="F3634" i="16"/>
  <c r="T3634" i="16"/>
  <c r="E3634" i="16"/>
  <c r="J3634" i="16"/>
  <c r="M3669" i="16"/>
  <c r="E3669" i="16"/>
  <c r="L3669" i="16"/>
  <c r="O3669" i="16"/>
  <c r="N3669" i="16"/>
  <c r="K3669" i="16"/>
  <c r="I3669" i="16"/>
  <c r="H3669" i="16"/>
  <c r="G3669" i="16"/>
  <c r="F3669" i="16"/>
  <c r="L3718" i="16"/>
  <c r="K3718" i="16"/>
  <c r="N3718" i="16"/>
  <c r="M3718" i="16"/>
  <c r="J3718" i="16"/>
  <c r="H3718" i="16"/>
  <c r="G3718" i="16"/>
  <c r="F3718" i="16"/>
  <c r="E3718" i="16"/>
  <c r="P3738" i="16"/>
  <c r="H3738" i="16"/>
  <c r="O3738" i="16"/>
  <c r="G3738" i="16"/>
  <c r="N3738" i="16"/>
  <c r="M3738" i="16"/>
  <c r="L3738" i="16"/>
  <c r="E3738" i="16"/>
  <c r="T3738" i="16"/>
  <c r="O3747" i="16"/>
  <c r="G3747" i="16"/>
  <c r="N3747" i="16"/>
  <c r="F3747" i="16"/>
  <c r="J3747" i="16"/>
  <c r="I3747" i="16"/>
  <c r="H3747" i="16"/>
  <c r="K3747" i="16"/>
  <c r="E3747" i="16"/>
  <c r="N3756" i="16"/>
  <c r="F3756" i="16"/>
  <c r="M3756" i="16"/>
  <c r="E3756" i="16"/>
  <c r="P3756" i="16"/>
  <c r="O3756" i="16"/>
  <c r="L3756" i="16"/>
  <c r="G3756" i="16"/>
  <c r="T3756" i="16"/>
  <c r="K3807" i="16"/>
  <c r="J3807" i="16"/>
  <c r="H3807" i="16"/>
  <c r="T3807" i="16"/>
  <c r="G3807" i="16"/>
  <c r="P3807" i="16"/>
  <c r="F3807" i="16"/>
  <c r="I3807" i="16"/>
  <c r="E3807" i="16"/>
  <c r="M3869" i="16"/>
  <c r="E3869" i="16"/>
  <c r="L3869" i="16"/>
  <c r="P3869" i="16"/>
  <c r="F3869" i="16"/>
  <c r="O3869" i="16"/>
  <c r="N3869" i="16"/>
  <c r="I3869" i="16"/>
  <c r="H3869" i="16"/>
  <c r="T3869" i="16"/>
  <c r="K3869" i="16"/>
  <c r="J3869" i="16"/>
  <c r="G3869" i="16"/>
  <c r="K3871" i="16"/>
  <c r="J3871" i="16"/>
  <c r="H3871" i="16"/>
  <c r="T3871" i="16"/>
  <c r="G3871" i="16"/>
  <c r="P3871" i="16"/>
  <c r="F3871" i="16"/>
  <c r="M3871" i="16"/>
  <c r="L3871" i="16"/>
  <c r="I3871" i="16"/>
  <c r="E3871" i="16"/>
  <c r="M3959" i="16"/>
  <c r="E3959" i="16"/>
  <c r="N3959" i="16"/>
  <c r="L3959" i="16"/>
  <c r="H3959" i="16"/>
  <c r="G3959" i="16"/>
  <c r="T3959" i="16"/>
  <c r="F3959" i="16"/>
  <c r="I3959" i="16"/>
  <c r="O3959" i="16"/>
  <c r="K3959" i="16"/>
  <c r="J3959" i="16"/>
  <c r="L3976" i="16"/>
  <c r="P3976" i="16"/>
  <c r="G3976" i="16"/>
  <c r="O3976" i="16"/>
  <c r="F3976" i="16"/>
  <c r="J3976" i="16"/>
  <c r="I3976" i="16"/>
  <c r="H3976" i="16"/>
  <c r="N3976" i="16"/>
  <c r="M3976" i="16"/>
  <c r="K3976" i="16"/>
  <c r="T3976" i="16"/>
  <c r="E3976" i="16"/>
  <c r="P3980" i="16"/>
  <c r="H3980" i="16"/>
  <c r="I3980" i="16"/>
  <c r="T3980" i="16"/>
  <c r="G3980" i="16"/>
  <c r="E3980" i="16"/>
  <c r="O3980" i="16"/>
  <c r="N3980" i="16"/>
  <c r="J3980" i="16"/>
  <c r="F3980" i="16"/>
  <c r="L3980" i="16"/>
  <c r="K3980" i="16"/>
  <c r="K4001" i="16"/>
  <c r="O4001" i="16"/>
  <c r="F4001" i="16"/>
  <c r="N4001" i="16"/>
  <c r="E4001" i="16"/>
  <c r="T4001" i="16"/>
  <c r="P4001" i="16"/>
  <c r="M4001" i="16"/>
  <c r="H4001" i="16"/>
  <c r="G4001" i="16"/>
  <c r="M4023" i="16"/>
  <c r="E4023" i="16"/>
  <c r="N4023" i="16"/>
  <c r="L4023" i="16"/>
  <c r="I4023" i="16"/>
  <c r="H4023" i="16"/>
  <c r="G4023" i="16"/>
  <c r="K4023" i="16"/>
  <c r="J4023" i="16"/>
  <c r="F4023" i="16"/>
  <c r="T4023" i="16"/>
  <c r="P4023" i="16"/>
  <c r="O4023" i="16"/>
  <c r="O4051" i="16"/>
  <c r="G4051" i="16"/>
  <c r="K4051" i="16"/>
  <c r="P4051" i="16"/>
  <c r="E4051" i="16"/>
  <c r="N4051" i="16"/>
  <c r="I4051" i="16"/>
  <c r="H4051" i="16"/>
  <c r="F4051" i="16"/>
  <c r="T4051" i="16"/>
  <c r="M4051" i="16"/>
  <c r="L4051" i="16"/>
  <c r="J4051" i="16"/>
  <c r="J4192" i="16"/>
  <c r="K4192" i="16"/>
  <c r="P4192" i="16"/>
  <c r="F4192" i="16"/>
  <c r="O4192" i="16"/>
  <c r="E4192" i="16"/>
  <c r="G4192" i="16"/>
  <c r="T4192" i="16"/>
  <c r="L4192" i="16"/>
  <c r="I4192" i="16"/>
  <c r="H4192" i="16"/>
  <c r="N4192" i="16"/>
  <c r="M4192" i="16"/>
  <c r="K4439" i="16"/>
  <c r="N4439" i="16"/>
  <c r="E4439" i="16"/>
  <c r="P4439" i="16"/>
  <c r="F4439" i="16"/>
  <c r="O4439" i="16"/>
  <c r="I4439" i="16"/>
  <c r="H4439" i="16"/>
  <c r="G4439" i="16"/>
  <c r="T4439" i="16"/>
  <c r="M4439" i="16"/>
  <c r="L4439" i="16"/>
  <c r="J4439" i="16"/>
  <c r="O4467" i="16"/>
  <c r="G4467" i="16"/>
  <c r="P4467" i="16"/>
  <c r="F4467" i="16"/>
  <c r="J4467" i="16"/>
  <c r="I4467" i="16"/>
  <c r="E4467" i="16"/>
  <c r="T4467" i="16"/>
  <c r="K4467" i="16"/>
  <c r="H4467" i="16"/>
  <c r="N4467" i="16"/>
  <c r="M4467" i="16"/>
  <c r="L4467" i="16"/>
  <c r="J4576" i="16"/>
  <c r="L4576" i="16"/>
  <c r="K4576" i="16"/>
  <c r="H4576" i="16"/>
  <c r="G4576" i="16"/>
  <c r="T4576" i="16"/>
  <c r="F4576" i="16"/>
  <c r="I4576" i="16"/>
  <c r="E4576" i="16"/>
  <c r="P4576" i="16"/>
  <c r="O4576" i="16"/>
  <c r="N4576" i="16"/>
  <c r="M4576" i="16"/>
  <c r="L4638" i="16"/>
  <c r="M4638" i="16"/>
  <c r="K4638" i="16"/>
  <c r="J4638" i="16"/>
  <c r="G4638" i="16"/>
  <c r="F4638" i="16"/>
  <c r="T4638" i="16"/>
  <c r="E4638" i="16"/>
  <c r="O4638" i="16"/>
  <c r="N4638" i="16"/>
  <c r="I4638" i="16"/>
  <c r="H4638" i="16"/>
  <c r="P4638" i="16"/>
  <c r="M4909" i="16"/>
  <c r="E4909" i="16"/>
  <c r="O4909" i="16"/>
  <c r="F4909" i="16"/>
  <c r="N4909" i="16"/>
  <c r="L4909" i="16"/>
  <c r="H4909" i="16"/>
  <c r="G4909" i="16"/>
  <c r="I4909" i="16"/>
  <c r="K4909" i="16"/>
  <c r="J4909" i="16"/>
  <c r="L5334" i="16"/>
  <c r="K5334" i="16"/>
  <c r="H5334" i="16"/>
  <c r="T5334" i="16"/>
  <c r="G5334" i="16"/>
  <c r="P5334" i="16"/>
  <c r="F5334" i="16"/>
  <c r="O5334" i="16"/>
  <c r="J5334" i="16"/>
  <c r="I5334" i="16"/>
  <c r="E5334" i="16"/>
  <c r="M5334" i="16"/>
  <c r="N5334" i="16"/>
  <c r="L5414" i="16"/>
  <c r="K5414" i="16"/>
  <c r="H5414" i="16"/>
  <c r="T5414" i="16"/>
  <c r="G5414" i="16"/>
  <c r="P5414" i="16"/>
  <c r="F5414" i="16"/>
  <c r="I5414" i="16"/>
  <c r="E5414" i="16"/>
  <c r="M5414" i="16"/>
  <c r="J5414" i="16"/>
  <c r="O5414" i="16"/>
  <c r="N5414" i="16"/>
  <c r="M5501" i="16"/>
  <c r="E5501" i="16"/>
  <c r="L5501" i="16"/>
  <c r="T5501" i="16"/>
  <c r="G5501" i="16"/>
  <c r="P5501" i="16"/>
  <c r="F5501" i="16"/>
  <c r="O5501" i="16"/>
  <c r="I5501" i="16"/>
  <c r="H5501" i="16"/>
  <c r="K5501" i="16"/>
  <c r="J5501" i="16"/>
  <c r="N5501" i="16"/>
  <c r="P5514" i="16"/>
  <c r="H5514" i="16"/>
  <c r="O5514" i="16"/>
  <c r="G5514" i="16"/>
  <c r="T5514" i="16"/>
  <c r="E5514" i="16"/>
  <c r="N5514" i="16"/>
  <c r="M5514" i="16"/>
  <c r="J5514" i="16"/>
  <c r="I5514" i="16"/>
  <c r="F5514" i="16"/>
  <c r="L5514" i="16"/>
  <c r="K5514" i="16"/>
  <c r="M5645" i="16"/>
  <c r="E5645" i="16"/>
  <c r="L5645" i="16"/>
  <c r="K5645" i="16"/>
  <c r="H5645" i="16"/>
  <c r="G5645" i="16"/>
  <c r="T5645" i="16"/>
  <c r="F5645" i="16"/>
  <c r="I5645" i="16"/>
  <c r="J5645" i="16"/>
  <c r="P5645" i="16"/>
  <c r="O5645" i="16"/>
  <c r="N5645" i="16"/>
  <c r="P5690" i="16"/>
  <c r="H5690" i="16"/>
  <c r="O5690" i="16"/>
  <c r="G5690" i="16"/>
  <c r="N5690" i="16"/>
  <c r="F5690" i="16"/>
  <c r="J5690" i="16"/>
  <c r="I5690" i="16"/>
  <c r="E5690" i="16"/>
  <c r="M5690" i="16"/>
  <c r="L5690" i="16"/>
  <c r="K5690" i="16"/>
  <c r="T5690" i="16"/>
  <c r="P5738" i="16"/>
  <c r="H5738" i="16"/>
  <c r="O5738" i="16"/>
  <c r="G5738" i="16"/>
  <c r="N5738" i="16"/>
  <c r="F5738" i="16"/>
  <c r="E5738" i="16"/>
  <c r="T5738" i="16"/>
  <c r="I5738" i="16"/>
  <c r="K5738" i="16"/>
  <c r="J5738" i="16"/>
  <c r="M5738" i="16"/>
  <c r="L5738" i="16"/>
  <c r="M5773" i="16"/>
  <c r="E5773" i="16"/>
  <c r="L5773" i="16"/>
  <c r="K5773" i="16"/>
  <c r="H5773" i="16"/>
  <c r="G5773" i="16"/>
  <c r="T5773" i="16"/>
  <c r="F5773" i="16"/>
  <c r="I5773" i="16"/>
  <c r="P5773" i="16"/>
  <c r="O5773" i="16"/>
  <c r="N5773" i="16"/>
  <c r="J5773" i="16"/>
  <c r="O5835" i="16"/>
  <c r="G5835" i="16"/>
  <c r="N5835" i="16"/>
  <c r="F5835" i="16"/>
  <c r="M5835" i="16"/>
  <c r="E5835" i="16"/>
  <c r="I5835" i="16"/>
  <c r="H5835" i="16"/>
  <c r="J5835" i="16"/>
  <c r="L5835" i="16"/>
  <c r="K5835" i="16"/>
  <c r="T5835" i="16"/>
  <c r="P5835" i="16"/>
  <c r="K5908" i="16"/>
  <c r="N5908" i="16"/>
  <c r="E5908" i="16"/>
  <c r="M5908" i="16"/>
  <c r="L5908" i="16"/>
  <c r="G5908" i="16"/>
  <c r="F5908" i="16"/>
  <c r="T5908" i="16"/>
  <c r="H5908" i="16"/>
  <c r="I5908" i="16"/>
  <c r="O5908" i="16"/>
  <c r="J5908" i="16"/>
  <c r="P5908" i="16"/>
  <c r="L988" i="16"/>
  <c r="K988" i="16"/>
  <c r="J988" i="16"/>
  <c r="I988" i="16"/>
  <c r="O988" i="16" s="1"/>
  <c r="P988" i="16" s="1"/>
  <c r="H988" i="9" s="1"/>
  <c r="I988" i="9" s="1"/>
  <c r="M994" i="16"/>
  <c r="E994" i="16"/>
  <c r="L994" i="16"/>
  <c r="K994" i="16"/>
  <c r="T999" i="16"/>
  <c r="K1005" i="16"/>
  <c r="O1011" i="16"/>
  <c r="G1017" i="16"/>
  <c r="M1017" i="16"/>
  <c r="E1017" i="16"/>
  <c r="L1017" i="16"/>
  <c r="M1027" i="16"/>
  <c r="E1027" i="16"/>
  <c r="L1027" i="16"/>
  <c r="K1027" i="16"/>
  <c r="J1027" i="16"/>
  <c r="J1030" i="16"/>
  <c r="M1032" i="16"/>
  <c r="E1037" i="16"/>
  <c r="H1039" i="16"/>
  <c r="G1039" i="16"/>
  <c r="H1040" i="16"/>
  <c r="G1040" i="16"/>
  <c r="F1040" i="16"/>
  <c r="L1040" i="16"/>
  <c r="M1044" i="16"/>
  <c r="L1052" i="16"/>
  <c r="K1052" i="16"/>
  <c r="J1052" i="16"/>
  <c r="I1052" i="16"/>
  <c r="F1058" i="16"/>
  <c r="M1058" i="16"/>
  <c r="E1058" i="16"/>
  <c r="L1058" i="16"/>
  <c r="K1058" i="16"/>
  <c r="K1069" i="16"/>
  <c r="G1081" i="16"/>
  <c r="F1081" i="16"/>
  <c r="M1081" i="16"/>
  <c r="E1081" i="16"/>
  <c r="L1081" i="16"/>
  <c r="M1091" i="16"/>
  <c r="E1091" i="16"/>
  <c r="L1091" i="16"/>
  <c r="K1091" i="16"/>
  <c r="J1091" i="16"/>
  <c r="J1094" i="16"/>
  <c r="M1096" i="16"/>
  <c r="H1103" i="16"/>
  <c r="G1103" i="16"/>
  <c r="H1104" i="16"/>
  <c r="G1104" i="16"/>
  <c r="F1104" i="16"/>
  <c r="L1104" i="16"/>
  <c r="M1108" i="16"/>
  <c r="L1116" i="16"/>
  <c r="K1116" i="16"/>
  <c r="J1116" i="16"/>
  <c r="I1116" i="16"/>
  <c r="F1122" i="16"/>
  <c r="M1122" i="16"/>
  <c r="E1122" i="16"/>
  <c r="L1122" i="16"/>
  <c r="K1122" i="16"/>
  <c r="K1133" i="16"/>
  <c r="G1145" i="16"/>
  <c r="M1145" i="16"/>
  <c r="E1145" i="16"/>
  <c r="L1145" i="16"/>
  <c r="M1155" i="16"/>
  <c r="E1155" i="16"/>
  <c r="L1155" i="16"/>
  <c r="K1155" i="16"/>
  <c r="J1155" i="16"/>
  <c r="J1158" i="16"/>
  <c r="M1160" i="16"/>
  <c r="H1167" i="16"/>
  <c r="G1167" i="16"/>
  <c r="H1168" i="16"/>
  <c r="G1168" i="16"/>
  <c r="F1168" i="16"/>
  <c r="L1168" i="16"/>
  <c r="M1172" i="16"/>
  <c r="L1180" i="16"/>
  <c r="K1180" i="16"/>
  <c r="J1180" i="16"/>
  <c r="I1180" i="16"/>
  <c r="M1186" i="16"/>
  <c r="E1186" i="16"/>
  <c r="L1186" i="16"/>
  <c r="K1186" i="16"/>
  <c r="K1197" i="16"/>
  <c r="G1209" i="16"/>
  <c r="M1209" i="16"/>
  <c r="E1209" i="16"/>
  <c r="L1209" i="16"/>
  <c r="M1219" i="16"/>
  <c r="E1219" i="16"/>
  <c r="L1219" i="16"/>
  <c r="K1219" i="16"/>
  <c r="J1219" i="16"/>
  <c r="J1222" i="16"/>
  <c r="M1224" i="16"/>
  <c r="H1231" i="16"/>
  <c r="G1231" i="16"/>
  <c r="H1232" i="16"/>
  <c r="G1232" i="16"/>
  <c r="F1232" i="16"/>
  <c r="L1232" i="16"/>
  <c r="M1236" i="16"/>
  <c r="L1244" i="16"/>
  <c r="K1244" i="16"/>
  <c r="J1244" i="16"/>
  <c r="I1244" i="16"/>
  <c r="O1247" i="16"/>
  <c r="M1250" i="16"/>
  <c r="E1250" i="16"/>
  <c r="L1250" i="16"/>
  <c r="K1250" i="16"/>
  <c r="K1261" i="16"/>
  <c r="O1267" i="16"/>
  <c r="G1273" i="16"/>
  <c r="O1273" i="16" s="1"/>
  <c r="M1273" i="16"/>
  <c r="E1273" i="16"/>
  <c r="L1273" i="16"/>
  <c r="M1283" i="16"/>
  <c r="E1283" i="16"/>
  <c r="L1283" i="16"/>
  <c r="K1283" i="16"/>
  <c r="J1283" i="16"/>
  <c r="J1286" i="16"/>
  <c r="M1288" i="16"/>
  <c r="H1295" i="16"/>
  <c r="G1295" i="16"/>
  <c r="H1296" i="16"/>
  <c r="O1296" i="16"/>
  <c r="G1296" i="16"/>
  <c r="F1296" i="16"/>
  <c r="L1296" i="16"/>
  <c r="M1300" i="16"/>
  <c r="O1306" i="16"/>
  <c r="L1308" i="16"/>
  <c r="K1308" i="16"/>
  <c r="J1308" i="16"/>
  <c r="O1308" i="16" s="1"/>
  <c r="I1308" i="16"/>
  <c r="O1311" i="16"/>
  <c r="M1314" i="16"/>
  <c r="E1314" i="16"/>
  <c r="L1314" i="16"/>
  <c r="K1314" i="16"/>
  <c r="O1314" i="16" s="1"/>
  <c r="K1325" i="16"/>
  <c r="O1331" i="16"/>
  <c r="G1337" i="16"/>
  <c r="F1337" i="16"/>
  <c r="M1337" i="16"/>
  <c r="E1337" i="16"/>
  <c r="L1337" i="16"/>
  <c r="M1347" i="16"/>
  <c r="E1347" i="16"/>
  <c r="L1347" i="16"/>
  <c r="K1347" i="16"/>
  <c r="J1347" i="16"/>
  <c r="T1353" i="16"/>
  <c r="P1360" i="16"/>
  <c r="H1360" i="16"/>
  <c r="O1360" i="16"/>
  <c r="G1360" i="16"/>
  <c r="N1360" i="16"/>
  <c r="F1360" i="16"/>
  <c r="L1360" i="16"/>
  <c r="P1362" i="16"/>
  <c r="M1364" i="16"/>
  <c r="O1369" i="16"/>
  <c r="G1369" i="16"/>
  <c r="N1369" i="16"/>
  <c r="F1369" i="16"/>
  <c r="M1369" i="16"/>
  <c r="E1369" i="16"/>
  <c r="L1369" i="16"/>
  <c r="N1371" i="16"/>
  <c r="N1378" i="16"/>
  <c r="F1378" i="16"/>
  <c r="M1378" i="16"/>
  <c r="E1378" i="16"/>
  <c r="L1378" i="16"/>
  <c r="K1378" i="16"/>
  <c r="M1384" i="16"/>
  <c r="N1388" i="16"/>
  <c r="P1392" i="16"/>
  <c r="H1392" i="16"/>
  <c r="O1392" i="16"/>
  <c r="G1392" i="16"/>
  <c r="N1392" i="16"/>
  <c r="F1392" i="16"/>
  <c r="L1392" i="16"/>
  <c r="P1394" i="16"/>
  <c r="M1396" i="16"/>
  <c r="O1402" i="16"/>
  <c r="L1404" i="16"/>
  <c r="K1404" i="16"/>
  <c r="J1404" i="16"/>
  <c r="I1404" i="16"/>
  <c r="N1410" i="16"/>
  <c r="F1410" i="16"/>
  <c r="M1410" i="16"/>
  <c r="E1410" i="16"/>
  <c r="L1410" i="16"/>
  <c r="K1410" i="16"/>
  <c r="T1417" i="16"/>
  <c r="P1425" i="16"/>
  <c r="O1427" i="16"/>
  <c r="O1433" i="16"/>
  <c r="G1433" i="16"/>
  <c r="N1433" i="16"/>
  <c r="F1433" i="16"/>
  <c r="M1433" i="16"/>
  <c r="E1433" i="16"/>
  <c r="L1433" i="16"/>
  <c r="N1435" i="16"/>
  <c r="T1440" i="16"/>
  <c r="M1443" i="16"/>
  <c r="E1443" i="16"/>
  <c r="L1443" i="16"/>
  <c r="K1443" i="16"/>
  <c r="J1443" i="16"/>
  <c r="M1448" i="16"/>
  <c r="N1452" i="16"/>
  <c r="T1456" i="16"/>
  <c r="P1456" i="16"/>
  <c r="H1456" i="16"/>
  <c r="O1456" i="16"/>
  <c r="G1456" i="16"/>
  <c r="N1456" i="16"/>
  <c r="F1456" i="16"/>
  <c r="L1456" i="16"/>
  <c r="N1461" i="16"/>
  <c r="O1466" i="16"/>
  <c r="G1466" i="16"/>
  <c r="P1466" i="16"/>
  <c r="F1466" i="16"/>
  <c r="N1466" i="16"/>
  <c r="E1466" i="16"/>
  <c r="M1466" i="16"/>
  <c r="L1466" i="16"/>
  <c r="P1478" i="16"/>
  <c r="N1489" i="16"/>
  <c r="M1492" i="16"/>
  <c r="E1492" i="16"/>
  <c r="T1492" i="16"/>
  <c r="H1492" i="16"/>
  <c r="P1492" i="16"/>
  <c r="G1492" i="16"/>
  <c r="O1492" i="16"/>
  <c r="F1492" i="16"/>
  <c r="N1492" i="16"/>
  <c r="L1501" i="16"/>
  <c r="N1501" i="16"/>
  <c r="E1501" i="16"/>
  <c r="M1501" i="16"/>
  <c r="K1501" i="16"/>
  <c r="J1501" i="16"/>
  <c r="J1503" i="16"/>
  <c r="N1503" i="16"/>
  <c r="E1503" i="16"/>
  <c r="M1503" i="16"/>
  <c r="L1503" i="16"/>
  <c r="K1503" i="16"/>
  <c r="K1518" i="16"/>
  <c r="P1518" i="16"/>
  <c r="G1518" i="16"/>
  <c r="O1518" i="16"/>
  <c r="F1518" i="16"/>
  <c r="N1518" i="16"/>
  <c r="E1518" i="16"/>
  <c r="M1518" i="16"/>
  <c r="O1527" i="16"/>
  <c r="M1532" i="16"/>
  <c r="E1532" i="16"/>
  <c r="I1532" i="16"/>
  <c r="T1532" i="16"/>
  <c r="H1532" i="16"/>
  <c r="P1532" i="16"/>
  <c r="G1532" i="16"/>
  <c r="N1532" i="16"/>
  <c r="T1540" i="16"/>
  <c r="P1543" i="16"/>
  <c r="O1554" i="16"/>
  <c r="G1554" i="16"/>
  <c r="N1554" i="16"/>
  <c r="E1554" i="16"/>
  <c r="M1554" i="16"/>
  <c r="L1554" i="16"/>
  <c r="K1554" i="16"/>
  <c r="K1558" i="16"/>
  <c r="T1558" i="16"/>
  <c r="H1558" i="16"/>
  <c r="P1558" i="16"/>
  <c r="G1558" i="16"/>
  <c r="O1558" i="16"/>
  <c r="F1558" i="16"/>
  <c r="M1558" i="16"/>
  <c r="P1569" i="16"/>
  <c r="H1569" i="16"/>
  <c r="O1569" i="16"/>
  <c r="F1569" i="16"/>
  <c r="N1569" i="16"/>
  <c r="E1569" i="16"/>
  <c r="M1569" i="16"/>
  <c r="L1569" i="16"/>
  <c r="P1578" i="16"/>
  <c r="T1581" i="16"/>
  <c r="O1591" i="16"/>
  <c r="M1596" i="16"/>
  <c r="E1596" i="16"/>
  <c r="I1596" i="16"/>
  <c r="T1596" i="16"/>
  <c r="H1596" i="16"/>
  <c r="P1596" i="16"/>
  <c r="G1596" i="16"/>
  <c r="N1596" i="16"/>
  <c r="T1604" i="16"/>
  <c r="P1607" i="16"/>
  <c r="N1621" i="16"/>
  <c r="P1629" i="16"/>
  <c r="P1631" i="16"/>
  <c r="M1644" i="16"/>
  <c r="E1644" i="16"/>
  <c r="P1644" i="16"/>
  <c r="G1644" i="16"/>
  <c r="O1644" i="16"/>
  <c r="F1644" i="16"/>
  <c r="N1644" i="16"/>
  <c r="L1644" i="16"/>
  <c r="N1649" i="16"/>
  <c r="N1653" i="16"/>
  <c r="O1658" i="16"/>
  <c r="G1658" i="16"/>
  <c r="P1658" i="16"/>
  <c r="F1658" i="16"/>
  <c r="N1658" i="16"/>
  <c r="E1658" i="16"/>
  <c r="M1658" i="16"/>
  <c r="L1658" i="16"/>
  <c r="M1668" i="16"/>
  <c r="E1668" i="16"/>
  <c r="O1668" i="16"/>
  <c r="F1668" i="16"/>
  <c r="N1668" i="16"/>
  <c r="L1668" i="16"/>
  <c r="K1668" i="16"/>
  <c r="T1670" i="16"/>
  <c r="N1681" i="16"/>
  <c r="M1684" i="16"/>
  <c r="E1684" i="16"/>
  <c r="T1684" i="16"/>
  <c r="H1684" i="16"/>
  <c r="P1684" i="16"/>
  <c r="G1684" i="16"/>
  <c r="O1684" i="16"/>
  <c r="F1684" i="16"/>
  <c r="N1684" i="16"/>
  <c r="O1699" i="16"/>
  <c r="N1707" i="16"/>
  <c r="F1707" i="16"/>
  <c r="O1707" i="16"/>
  <c r="E1707" i="16"/>
  <c r="M1707" i="16"/>
  <c r="L1707" i="16"/>
  <c r="K1707" i="16"/>
  <c r="K1718" i="16"/>
  <c r="M1718" i="16"/>
  <c r="L1718" i="16"/>
  <c r="J1718" i="16"/>
  <c r="I1718" i="16"/>
  <c r="O1724" i="16"/>
  <c r="P1731" i="16"/>
  <c r="K1734" i="16"/>
  <c r="O1734" i="16"/>
  <c r="F1734" i="16"/>
  <c r="N1734" i="16"/>
  <c r="E1734" i="16"/>
  <c r="M1734" i="16"/>
  <c r="L1734" i="16"/>
  <c r="N1747" i="16"/>
  <c r="F1747" i="16"/>
  <c r="P1747" i="16"/>
  <c r="G1747" i="16"/>
  <c r="O1747" i="16"/>
  <c r="E1747" i="16"/>
  <c r="M1747" i="16"/>
  <c r="L1747" i="16"/>
  <c r="N1751" i="16"/>
  <c r="O1756" i="16"/>
  <c r="O1758" i="16"/>
  <c r="O1762" i="16"/>
  <c r="G1762" i="16"/>
  <c r="T1762" i="16"/>
  <c r="H1762" i="16"/>
  <c r="P1762" i="16"/>
  <c r="F1762" i="16"/>
  <c r="N1762" i="16"/>
  <c r="E1762" i="16"/>
  <c r="M1762" i="16"/>
  <c r="P1770" i="16"/>
  <c r="T1773" i="16"/>
  <c r="N1783" i="16"/>
  <c r="N1787" i="16"/>
  <c r="F1787" i="16"/>
  <c r="T1787" i="16"/>
  <c r="H1787" i="16"/>
  <c r="P1787" i="16"/>
  <c r="G1787" i="16"/>
  <c r="O1787" i="16"/>
  <c r="E1787" i="16"/>
  <c r="M1787" i="16"/>
  <c r="N1795" i="16"/>
  <c r="F1795" i="16"/>
  <c r="M1795" i="16"/>
  <c r="L1795" i="16"/>
  <c r="K1795" i="16"/>
  <c r="J1795" i="16"/>
  <c r="P1797" i="16"/>
  <c r="O1802" i="16"/>
  <c r="G1802" i="16"/>
  <c r="I1802" i="16"/>
  <c r="T1802" i="16"/>
  <c r="H1802" i="16"/>
  <c r="P1802" i="16"/>
  <c r="F1802" i="16"/>
  <c r="M1802" i="16"/>
  <c r="P1810" i="16"/>
  <c r="N1814" i="16"/>
  <c r="P1825" i="16"/>
  <c r="H1825" i="16"/>
  <c r="O1825" i="16"/>
  <c r="F1825" i="16"/>
  <c r="N1825" i="16"/>
  <c r="E1825" i="16"/>
  <c r="M1825" i="16"/>
  <c r="L1825" i="16"/>
  <c r="O1834" i="16"/>
  <c r="G1834" i="16"/>
  <c r="M1834" i="16"/>
  <c r="L1834" i="16"/>
  <c r="K1834" i="16"/>
  <c r="J1834" i="16"/>
  <c r="T1836" i="16"/>
  <c r="N1845" i="16"/>
  <c r="O1850" i="16"/>
  <c r="G1850" i="16"/>
  <c r="P1850" i="16"/>
  <c r="F1850" i="16"/>
  <c r="N1850" i="16"/>
  <c r="E1850" i="16"/>
  <c r="M1850" i="16"/>
  <c r="L1850" i="16"/>
  <c r="T1860" i="16"/>
  <c r="N1877" i="16"/>
  <c r="O1885" i="16"/>
  <c r="O1887" i="16"/>
  <c r="T1899" i="16"/>
  <c r="T1903" i="16"/>
  <c r="P1905" i="16"/>
  <c r="H1905" i="16"/>
  <c r="I1905" i="16"/>
  <c r="T1905" i="16"/>
  <c r="G1905" i="16"/>
  <c r="O1905" i="16"/>
  <c r="F1905" i="16"/>
  <c r="M1905" i="16"/>
  <c r="O1910" i="16"/>
  <c r="O1913" i="16"/>
  <c r="M1924" i="16"/>
  <c r="E1924" i="16"/>
  <c r="O1924" i="16"/>
  <c r="F1924" i="16"/>
  <c r="N1924" i="16"/>
  <c r="L1924" i="16"/>
  <c r="K1924" i="16"/>
  <c r="T1926" i="16"/>
  <c r="N1937" i="16"/>
  <c r="M1940" i="16"/>
  <c r="E1940" i="16"/>
  <c r="T1940" i="16"/>
  <c r="H1940" i="16"/>
  <c r="P1940" i="16"/>
  <c r="G1940" i="16"/>
  <c r="O1940" i="16"/>
  <c r="F1940" i="16"/>
  <c r="N1940" i="16"/>
  <c r="O1955" i="16"/>
  <c r="N1963" i="16"/>
  <c r="F1963" i="16"/>
  <c r="O1963" i="16"/>
  <c r="E1963" i="16"/>
  <c r="M1963" i="16"/>
  <c r="L1963" i="16"/>
  <c r="K1963" i="16"/>
  <c r="T1966" i="16"/>
  <c r="K1974" i="16"/>
  <c r="M1974" i="16"/>
  <c r="L1974" i="16"/>
  <c r="J1974" i="16"/>
  <c r="I1974" i="16"/>
  <c r="O1980" i="16"/>
  <c r="P1987" i="16"/>
  <c r="K1990" i="16"/>
  <c r="O1990" i="16"/>
  <c r="F1990" i="16"/>
  <c r="N1990" i="16"/>
  <c r="E1990" i="16"/>
  <c r="M1990" i="16"/>
  <c r="L1990" i="16"/>
  <c r="P2002" i="16"/>
  <c r="N2006" i="16"/>
  <c r="P2017" i="16"/>
  <c r="H2017" i="16"/>
  <c r="O2017" i="16"/>
  <c r="F2017" i="16"/>
  <c r="N2017" i="16"/>
  <c r="E2017" i="16"/>
  <c r="M2017" i="16"/>
  <c r="L2017" i="16"/>
  <c r="P2027" i="16"/>
  <c r="J2031" i="16"/>
  <c r="P2031" i="16"/>
  <c r="G2031" i="16"/>
  <c r="O2031" i="16"/>
  <c r="F2031" i="16"/>
  <c r="N2031" i="16"/>
  <c r="E2031" i="16"/>
  <c r="M2031" i="16"/>
  <c r="N2038" i="16"/>
  <c r="P2041" i="16"/>
  <c r="H2041" i="16"/>
  <c r="N2041" i="16"/>
  <c r="E2041" i="16"/>
  <c r="M2041" i="16"/>
  <c r="L2041" i="16"/>
  <c r="K2041" i="16"/>
  <c r="P2054" i="16"/>
  <c r="P2065" i="16"/>
  <c r="H2065" i="16"/>
  <c r="M2065" i="16"/>
  <c r="L2065" i="16"/>
  <c r="K2065" i="16"/>
  <c r="J2065" i="16"/>
  <c r="T2067" i="16"/>
  <c r="P2076" i="16"/>
  <c r="P2078" i="16"/>
  <c r="N2083" i="16"/>
  <c r="F2083" i="16"/>
  <c r="I2083" i="16"/>
  <c r="T2083" i="16"/>
  <c r="H2083" i="16"/>
  <c r="P2083" i="16"/>
  <c r="G2083" i="16"/>
  <c r="M2083" i="16"/>
  <c r="K2094" i="16"/>
  <c r="P2094" i="16"/>
  <c r="G2094" i="16"/>
  <c r="O2094" i="16"/>
  <c r="F2094" i="16"/>
  <c r="N2094" i="16"/>
  <c r="E2094" i="16"/>
  <c r="M2094" i="16"/>
  <c r="O2103" i="16"/>
  <c r="M2108" i="16"/>
  <c r="E2108" i="16"/>
  <c r="I2108" i="16"/>
  <c r="T2108" i="16"/>
  <c r="H2108" i="16"/>
  <c r="P2108" i="16"/>
  <c r="G2108" i="16"/>
  <c r="N2108" i="16"/>
  <c r="O2115" i="16"/>
  <c r="T2117" i="16"/>
  <c r="T2130" i="16"/>
  <c r="J2135" i="16"/>
  <c r="T2135" i="16"/>
  <c r="H2135" i="16"/>
  <c r="P2135" i="16"/>
  <c r="G2135" i="16"/>
  <c r="O2135" i="16"/>
  <c r="F2135" i="16"/>
  <c r="M2135" i="16"/>
  <c r="M2140" i="16"/>
  <c r="E2140" i="16"/>
  <c r="N2140" i="16"/>
  <c r="L2140" i="16"/>
  <c r="K2140" i="16"/>
  <c r="J2140" i="16"/>
  <c r="K2142" i="16"/>
  <c r="N2142" i="16"/>
  <c r="E2142" i="16"/>
  <c r="M2142" i="16"/>
  <c r="L2142" i="16"/>
  <c r="J2142" i="16"/>
  <c r="T2145" i="16"/>
  <c r="M2156" i="16"/>
  <c r="E2156" i="16"/>
  <c r="P2156" i="16"/>
  <c r="G2156" i="16"/>
  <c r="O2156" i="16"/>
  <c r="F2156" i="16"/>
  <c r="N2156" i="16"/>
  <c r="L2156" i="16"/>
  <c r="N2161" i="16"/>
  <c r="L2165" i="16"/>
  <c r="M2165" i="16"/>
  <c r="K2165" i="16"/>
  <c r="J2165" i="16"/>
  <c r="I2165" i="16"/>
  <c r="T2169" i="16"/>
  <c r="T2180" i="16"/>
  <c r="P2183" i="16"/>
  <c r="N2193" i="16"/>
  <c r="M2196" i="16"/>
  <c r="E2196" i="16"/>
  <c r="T2196" i="16"/>
  <c r="H2196" i="16"/>
  <c r="P2196" i="16"/>
  <c r="G2196" i="16"/>
  <c r="O2196" i="16"/>
  <c r="F2196" i="16"/>
  <c r="N2196" i="16"/>
  <c r="O2211" i="16"/>
  <c r="P2218" i="16"/>
  <c r="T2221" i="16"/>
  <c r="N2235" i="16"/>
  <c r="F2235" i="16"/>
  <c r="T2235" i="16"/>
  <c r="H2235" i="16"/>
  <c r="P2235" i="16"/>
  <c r="G2235" i="16"/>
  <c r="O2235" i="16"/>
  <c r="E2235" i="16"/>
  <c r="M2235" i="16"/>
  <c r="N2243" i="16"/>
  <c r="F2243" i="16"/>
  <c r="M2243" i="16"/>
  <c r="L2243" i="16"/>
  <c r="K2243" i="16"/>
  <c r="J2243" i="16"/>
  <c r="P2245" i="16"/>
  <c r="O2250" i="16"/>
  <c r="G2250" i="16"/>
  <c r="I2250" i="16"/>
  <c r="T2250" i="16"/>
  <c r="H2250" i="16"/>
  <c r="P2250" i="16"/>
  <c r="F2250" i="16"/>
  <c r="M2250" i="16"/>
  <c r="P2258" i="16"/>
  <c r="N2262" i="16"/>
  <c r="M2268" i="16"/>
  <c r="E2268" i="16"/>
  <c r="N2268" i="16"/>
  <c r="L2268" i="16"/>
  <c r="K2268" i="16"/>
  <c r="J2268" i="16"/>
  <c r="K2270" i="16"/>
  <c r="N2270" i="16"/>
  <c r="E2270" i="16"/>
  <c r="M2270" i="16"/>
  <c r="L2270" i="16"/>
  <c r="J2270" i="16"/>
  <c r="T2273" i="16"/>
  <c r="M2284" i="16"/>
  <c r="E2284" i="16"/>
  <c r="P2284" i="16"/>
  <c r="G2284" i="16"/>
  <c r="O2284" i="16"/>
  <c r="F2284" i="16"/>
  <c r="N2284" i="16"/>
  <c r="L2284" i="16"/>
  <c r="N2289" i="16"/>
  <c r="L2293" i="16"/>
  <c r="M2293" i="16"/>
  <c r="K2293" i="16"/>
  <c r="J2293" i="16"/>
  <c r="I2293" i="16"/>
  <c r="T2297" i="16"/>
  <c r="T2308" i="16"/>
  <c r="N2325" i="16"/>
  <c r="P2333" i="16"/>
  <c r="P2335" i="16"/>
  <c r="P2347" i="16"/>
  <c r="J2351" i="16"/>
  <c r="P2351" i="16"/>
  <c r="G2351" i="16"/>
  <c r="O2351" i="16"/>
  <c r="F2351" i="16"/>
  <c r="N2351" i="16"/>
  <c r="E2351" i="16"/>
  <c r="M2351" i="16"/>
  <c r="O2358" i="16"/>
  <c r="O2361" i="16"/>
  <c r="M2372" i="16"/>
  <c r="E2372" i="16"/>
  <c r="O2372" i="16"/>
  <c r="F2372" i="16"/>
  <c r="N2372" i="16"/>
  <c r="L2372" i="16"/>
  <c r="K2372" i="16"/>
  <c r="T2374" i="16"/>
  <c r="N2385" i="16"/>
  <c r="M2388" i="16"/>
  <c r="E2388" i="16"/>
  <c r="T2388" i="16"/>
  <c r="H2388" i="16"/>
  <c r="P2388" i="16"/>
  <c r="G2388" i="16"/>
  <c r="O2388" i="16"/>
  <c r="F2388" i="16"/>
  <c r="N2388" i="16"/>
  <c r="O2403" i="16"/>
  <c r="N2411" i="16"/>
  <c r="F2411" i="16"/>
  <c r="O2411" i="16"/>
  <c r="E2411" i="16"/>
  <c r="M2411" i="16"/>
  <c r="L2411" i="16"/>
  <c r="H2411" i="16"/>
  <c r="G2411" i="16"/>
  <c r="T2411" i="16"/>
  <c r="T2449" i="16"/>
  <c r="P2474" i="16"/>
  <c r="H2474" i="16"/>
  <c r="O2474" i="16"/>
  <c r="G2474" i="16"/>
  <c r="F2474" i="16"/>
  <c r="T2474" i="16"/>
  <c r="E2474" i="16"/>
  <c r="N2474" i="16"/>
  <c r="I2474" i="16"/>
  <c r="P2490" i="16"/>
  <c r="H2490" i="16"/>
  <c r="O2490" i="16"/>
  <c r="G2490" i="16"/>
  <c r="J2490" i="16"/>
  <c r="I2490" i="16"/>
  <c r="F2490" i="16"/>
  <c r="E2490" i="16"/>
  <c r="T2490" i="16"/>
  <c r="L2582" i="16"/>
  <c r="K2582" i="16"/>
  <c r="P2582" i="16"/>
  <c r="F2582" i="16"/>
  <c r="O2582" i="16"/>
  <c r="E2582" i="16"/>
  <c r="N2582" i="16"/>
  <c r="J2582" i="16"/>
  <c r="I2582" i="16"/>
  <c r="K2583" i="16"/>
  <c r="J2583" i="16"/>
  <c r="T2583" i="16"/>
  <c r="G2583" i="16"/>
  <c r="P2583" i="16"/>
  <c r="F2583" i="16"/>
  <c r="O2583" i="16"/>
  <c r="E2583" i="16"/>
  <c r="I2583" i="16"/>
  <c r="H2583" i="16"/>
  <c r="N2620" i="16"/>
  <c r="F2620" i="16"/>
  <c r="M2620" i="16"/>
  <c r="E2620" i="16"/>
  <c r="H2620" i="16"/>
  <c r="T2620" i="16"/>
  <c r="G2620" i="16"/>
  <c r="P2620" i="16"/>
  <c r="O2620" i="16"/>
  <c r="K2623" i="16"/>
  <c r="J2623" i="16"/>
  <c r="N2623" i="16"/>
  <c r="M2623" i="16"/>
  <c r="L2623" i="16"/>
  <c r="T2623" i="16"/>
  <c r="P2623" i="16"/>
  <c r="I2623" i="16"/>
  <c r="N2628" i="16"/>
  <c r="F2628" i="16"/>
  <c r="M2628" i="16"/>
  <c r="E2628" i="16"/>
  <c r="I2628" i="16"/>
  <c r="H2628" i="16"/>
  <c r="T2628" i="16"/>
  <c r="G2628" i="16"/>
  <c r="O2628" i="16"/>
  <c r="L2628" i="16"/>
  <c r="N2668" i="16"/>
  <c r="F2668" i="16"/>
  <c r="M2668" i="16"/>
  <c r="E2668" i="16"/>
  <c r="P2668" i="16"/>
  <c r="O2668" i="16"/>
  <c r="L2668" i="16"/>
  <c r="H2668" i="16"/>
  <c r="G2668" i="16"/>
  <c r="M2669" i="16"/>
  <c r="E2669" i="16"/>
  <c r="L2669" i="16"/>
  <c r="H2669" i="16"/>
  <c r="T2669" i="16"/>
  <c r="G2669" i="16"/>
  <c r="P2669" i="16"/>
  <c r="F2669" i="16"/>
  <c r="O2669" i="16"/>
  <c r="N2684" i="16"/>
  <c r="F2684" i="16"/>
  <c r="M2684" i="16"/>
  <c r="E2684" i="16"/>
  <c r="H2684" i="16"/>
  <c r="T2684" i="16"/>
  <c r="G2684" i="16"/>
  <c r="P2684" i="16"/>
  <c r="J2684" i="16"/>
  <c r="I2684" i="16"/>
  <c r="K2751" i="16"/>
  <c r="J2751" i="16"/>
  <c r="N2751" i="16"/>
  <c r="M2751" i="16"/>
  <c r="L2751" i="16"/>
  <c r="P2751" i="16"/>
  <c r="O2751" i="16"/>
  <c r="H2751" i="16"/>
  <c r="T2751" i="16"/>
  <c r="N2764" i="16"/>
  <c r="F2764" i="16"/>
  <c r="M2764" i="16"/>
  <c r="E2764" i="16"/>
  <c r="J2764" i="16"/>
  <c r="I2764" i="16"/>
  <c r="H2764" i="16"/>
  <c r="G2764" i="16"/>
  <c r="T2764" i="16"/>
  <c r="L2822" i="16"/>
  <c r="K2822" i="16"/>
  <c r="N2822" i="16"/>
  <c r="M2822" i="16"/>
  <c r="J2822" i="16"/>
  <c r="E2822" i="16"/>
  <c r="T2822" i="16"/>
  <c r="O2822" i="16"/>
  <c r="P2822" i="16"/>
  <c r="N2828" i="16"/>
  <c r="F2828" i="16"/>
  <c r="M2828" i="16"/>
  <c r="E2828" i="16"/>
  <c r="J2828" i="16"/>
  <c r="I2828" i="16"/>
  <c r="H2828" i="16"/>
  <c r="K2828" i="16"/>
  <c r="G2828" i="16"/>
  <c r="O2843" i="16"/>
  <c r="G2843" i="16"/>
  <c r="N2843" i="16"/>
  <c r="F2843" i="16"/>
  <c r="I2843" i="16"/>
  <c r="H2843" i="16"/>
  <c r="T2843" i="16"/>
  <c r="E2843" i="16"/>
  <c r="K2843" i="16"/>
  <c r="J2843" i="16"/>
  <c r="K2847" i="16"/>
  <c r="J2847" i="16"/>
  <c r="H2847" i="16"/>
  <c r="T2847" i="16"/>
  <c r="G2847" i="16"/>
  <c r="P2847" i="16"/>
  <c r="F2847" i="16"/>
  <c r="L2847" i="16"/>
  <c r="I2847" i="16"/>
  <c r="L2918" i="16"/>
  <c r="K2918" i="16"/>
  <c r="H2918" i="16"/>
  <c r="T2918" i="16"/>
  <c r="G2918" i="16"/>
  <c r="P2918" i="16"/>
  <c r="F2918" i="16"/>
  <c r="M2918" i="16"/>
  <c r="J2918" i="16"/>
  <c r="E2918" i="16"/>
  <c r="L3014" i="16"/>
  <c r="K3014" i="16"/>
  <c r="N3014" i="16"/>
  <c r="M3014" i="16"/>
  <c r="J3014" i="16"/>
  <c r="F3014" i="16"/>
  <c r="E3014" i="16"/>
  <c r="P3014" i="16"/>
  <c r="T3014" i="16"/>
  <c r="N3020" i="16"/>
  <c r="F3020" i="16"/>
  <c r="M3020" i="16"/>
  <c r="E3020" i="16"/>
  <c r="J3020" i="16"/>
  <c r="I3020" i="16"/>
  <c r="H3020" i="16"/>
  <c r="O3020" i="16"/>
  <c r="L3020" i="16"/>
  <c r="G3020" i="16"/>
  <c r="L3030" i="16"/>
  <c r="K3030" i="16"/>
  <c r="P3030" i="16"/>
  <c r="F3030" i="16"/>
  <c r="O3030" i="16"/>
  <c r="E3030" i="16"/>
  <c r="N3030" i="16"/>
  <c r="H3030" i="16"/>
  <c r="G3030" i="16"/>
  <c r="O3043" i="16"/>
  <c r="G3043" i="16"/>
  <c r="N3043" i="16"/>
  <c r="F3043" i="16"/>
  <c r="J3043" i="16"/>
  <c r="I3043" i="16"/>
  <c r="H3043" i="16"/>
  <c r="M3043" i="16"/>
  <c r="L3043" i="16"/>
  <c r="E3043" i="16"/>
  <c r="M3053" i="16"/>
  <c r="E3053" i="16"/>
  <c r="L3053" i="16"/>
  <c r="H3053" i="16"/>
  <c r="T3053" i="16"/>
  <c r="G3053" i="16"/>
  <c r="P3053" i="16"/>
  <c r="F3053" i="16"/>
  <c r="K3053" i="16"/>
  <c r="J3053" i="16"/>
  <c r="N3084" i="16"/>
  <c r="F3084" i="16"/>
  <c r="M3084" i="16"/>
  <c r="E3084" i="16"/>
  <c r="J3084" i="16"/>
  <c r="I3084" i="16"/>
  <c r="H3084" i="16"/>
  <c r="G3084" i="16"/>
  <c r="T3084" i="16"/>
  <c r="P3122" i="16"/>
  <c r="H3122" i="16"/>
  <c r="O3122" i="16"/>
  <c r="G3122" i="16"/>
  <c r="I3122" i="16"/>
  <c r="F3122" i="16"/>
  <c r="T3122" i="16"/>
  <c r="E3122" i="16"/>
  <c r="J3122" i="16"/>
  <c r="O3139" i="16"/>
  <c r="G3139" i="16"/>
  <c r="N3139" i="16"/>
  <c r="F3139" i="16"/>
  <c r="P3139" i="16"/>
  <c r="M3139" i="16"/>
  <c r="L3139" i="16"/>
  <c r="H3139" i="16"/>
  <c r="E3139" i="16"/>
  <c r="O3155" i="16"/>
  <c r="G3155" i="16"/>
  <c r="N3155" i="16"/>
  <c r="F3155" i="16"/>
  <c r="H3155" i="16"/>
  <c r="T3155" i="16"/>
  <c r="E3155" i="16"/>
  <c r="P3155" i="16"/>
  <c r="L3155" i="16"/>
  <c r="K3155" i="16"/>
  <c r="I3155" i="16"/>
  <c r="P3186" i="16"/>
  <c r="H3186" i="16"/>
  <c r="O3186" i="16"/>
  <c r="G3186" i="16"/>
  <c r="I3186" i="16"/>
  <c r="F3186" i="16"/>
  <c r="T3186" i="16"/>
  <c r="E3186" i="16"/>
  <c r="M3186" i="16"/>
  <c r="M3189" i="16"/>
  <c r="E3189" i="16"/>
  <c r="L3189" i="16"/>
  <c r="I3189" i="16"/>
  <c r="H3189" i="16"/>
  <c r="T3189" i="16"/>
  <c r="G3189" i="16"/>
  <c r="K3189" i="16"/>
  <c r="J3189" i="16"/>
  <c r="O3203" i="16"/>
  <c r="G3203" i="16"/>
  <c r="N3203" i="16"/>
  <c r="F3203" i="16"/>
  <c r="P3203" i="16"/>
  <c r="M3203" i="16"/>
  <c r="L3203" i="16"/>
  <c r="I3203" i="16"/>
  <c r="H3203" i="16"/>
  <c r="N3204" i="16"/>
  <c r="F3204" i="16"/>
  <c r="M3204" i="16"/>
  <c r="E3204" i="16"/>
  <c r="I3204" i="16"/>
  <c r="H3204" i="16"/>
  <c r="T3204" i="16"/>
  <c r="G3204" i="16"/>
  <c r="J3204" i="16"/>
  <c r="N3252" i="16"/>
  <c r="F3252" i="16"/>
  <c r="M3252" i="16"/>
  <c r="E3252" i="16"/>
  <c r="T3252" i="16"/>
  <c r="G3252" i="16"/>
  <c r="P3252" i="16"/>
  <c r="O3252" i="16"/>
  <c r="K3252" i="16"/>
  <c r="N3260" i="16"/>
  <c r="F3260" i="16"/>
  <c r="M3260" i="16"/>
  <c r="E3260" i="16"/>
  <c r="H3260" i="16"/>
  <c r="T3260" i="16"/>
  <c r="G3260" i="16"/>
  <c r="P3260" i="16"/>
  <c r="K3260" i="16"/>
  <c r="J3260" i="16"/>
  <c r="K3263" i="16"/>
  <c r="J3263" i="16"/>
  <c r="N3263" i="16"/>
  <c r="M3263" i="16"/>
  <c r="L3263" i="16"/>
  <c r="E3263" i="16"/>
  <c r="T3263" i="16"/>
  <c r="O3263" i="16"/>
  <c r="P3263" i="16"/>
  <c r="P3298" i="16"/>
  <c r="H3298" i="16"/>
  <c r="O3298" i="16"/>
  <c r="G3298" i="16"/>
  <c r="T3298" i="16"/>
  <c r="E3298" i="16"/>
  <c r="N3298" i="16"/>
  <c r="M3298" i="16"/>
  <c r="K3298" i="16"/>
  <c r="J3298" i="16"/>
  <c r="F3298" i="16"/>
  <c r="L3358" i="16"/>
  <c r="K3358" i="16"/>
  <c r="T3358" i="16"/>
  <c r="G3358" i="16"/>
  <c r="P3358" i="16"/>
  <c r="F3358" i="16"/>
  <c r="O3358" i="16"/>
  <c r="E3358" i="16"/>
  <c r="I3358" i="16"/>
  <c r="H3358" i="16"/>
  <c r="O3403" i="16"/>
  <c r="G3403" i="16"/>
  <c r="N3403" i="16"/>
  <c r="F3403" i="16"/>
  <c r="T3403" i="16"/>
  <c r="E3403" i="16"/>
  <c r="P3403" i="16"/>
  <c r="M3403" i="16"/>
  <c r="J3403" i="16"/>
  <c r="I3403" i="16"/>
  <c r="P3434" i="16"/>
  <c r="H3434" i="16"/>
  <c r="O3434" i="16"/>
  <c r="G3434" i="16"/>
  <c r="F3434" i="16"/>
  <c r="T3434" i="16"/>
  <c r="E3434" i="16"/>
  <c r="N3434" i="16"/>
  <c r="K3434" i="16"/>
  <c r="J3434" i="16"/>
  <c r="M3445" i="16"/>
  <c r="E3445" i="16"/>
  <c r="L3445" i="16"/>
  <c r="I3445" i="16"/>
  <c r="H3445" i="16"/>
  <c r="T3445" i="16"/>
  <c r="G3445" i="16"/>
  <c r="F3445" i="16"/>
  <c r="P3445" i="16"/>
  <c r="M3485" i="16"/>
  <c r="E3485" i="16"/>
  <c r="L3485" i="16"/>
  <c r="P3485" i="16"/>
  <c r="F3485" i="16"/>
  <c r="O3485" i="16"/>
  <c r="N3485" i="16"/>
  <c r="G3485" i="16"/>
  <c r="T3485" i="16"/>
  <c r="M3549" i="16"/>
  <c r="E3549" i="16"/>
  <c r="L3549" i="16"/>
  <c r="P3549" i="16"/>
  <c r="F3549" i="16"/>
  <c r="O3549" i="16"/>
  <c r="N3549" i="16"/>
  <c r="J3549" i="16"/>
  <c r="I3549" i="16"/>
  <c r="H3549" i="16"/>
  <c r="G3549" i="16"/>
  <c r="P3562" i="16"/>
  <c r="H3562" i="16"/>
  <c r="O3562" i="16"/>
  <c r="G3562" i="16"/>
  <c r="F3562" i="16"/>
  <c r="T3562" i="16"/>
  <c r="E3562" i="16"/>
  <c r="N3562" i="16"/>
  <c r="L3562" i="16"/>
  <c r="K3562" i="16"/>
  <c r="J3562" i="16"/>
  <c r="I3562" i="16"/>
  <c r="K3591" i="16"/>
  <c r="J3591" i="16"/>
  <c r="O3591" i="16"/>
  <c r="E3591" i="16"/>
  <c r="N3591" i="16"/>
  <c r="M3591" i="16"/>
  <c r="F3591" i="16"/>
  <c r="T3591" i="16"/>
  <c r="P3591" i="16"/>
  <c r="L3598" i="16"/>
  <c r="K3598" i="16"/>
  <c r="O3598" i="16"/>
  <c r="E3598" i="16"/>
  <c r="N3598" i="16"/>
  <c r="M3598" i="16"/>
  <c r="G3598" i="16"/>
  <c r="F3598" i="16"/>
  <c r="T3598" i="16"/>
  <c r="P3610" i="16"/>
  <c r="H3610" i="16"/>
  <c r="O3610" i="16"/>
  <c r="G3610" i="16"/>
  <c r="N3610" i="16"/>
  <c r="M3610" i="16"/>
  <c r="L3610" i="16"/>
  <c r="F3610" i="16"/>
  <c r="E3610" i="16"/>
  <c r="K3615" i="16"/>
  <c r="J3615" i="16"/>
  <c r="H3615" i="16"/>
  <c r="T3615" i="16"/>
  <c r="G3615" i="16"/>
  <c r="P3615" i="16"/>
  <c r="F3615" i="16"/>
  <c r="I3615" i="16"/>
  <c r="E3615" i="16"/>
  <c r="M3701" i="16"/>
  <c r="E3701" i="16"/>
  <c r="L3701" i="16"/>
  <c r="I3701" i="16"/>
  <c r="H3701" i="16"/>
  <c r="T3701" i="16"/>
  <c r="G3701" i="16"/>
  <c r="K3701" i="16"/>
  <c r="J3701" i="16"/>
  <c r="F3701" i="16"/>
  <c r="M3741" i="16"/>
  <c r="E3741" i="16"/>
  <c r="L3741" i="16"/>
  <c r="P3741" i="16"/>
  <c r="F3741" i="16"/>
  <c r="O3741" i="16"/>
  <c r="N3741" i="16"/>
  <c r="J3741" i="16"/>
  <c r="I3741" i="16"/>
  <c r="H3741" i="16"/>
  <c r="G3741" i="16"/>
  <c r="P3754" i="16"/>
  <c r="H3754" i="16"/>
  <c r="O3754" i="16"/>
  <c r="G3754" i="16"/>
  <c r="F3754" i="16"/>
  <c r="T3754" i="16"/>
  <c r="E3754" i="16"/>
  <c r="N3754" i="16"/>
  <c r="L3754" i="16"/>
  <c r="K3754" i="16"/>
  <c r="J3754" i="16"/>
  <c r="I3754" i="16"/>
  <c r="M3797" i="16"/>
  <c r="E3797" i="16"/>
  <c r="L3797" i="16"/>
  <c r="O3797" i="16"/>
  <c r="N3797" i="16"/>
  <c r="K3797" i="16"/>
  <c r="G3797" i="16"/>
  <c r="F3797" i="16"/>
  <c r="J3797" i="16"/>
  <c r="I3797" i="16"/>
  <c r="H3797" i="16"/>
  <c r="L3814" i="16"/>
  <c r="K3814" i="16"/>
  <c r="H3814" i="16"/>
  <c r="T3814" i="16"/>
  <c r="G3814" i="16"/>
  <c r="P3814" i="16"/>
  <c r="F3814" i="16"/>
  <c r="M3814" i="16"/>
  <c r="J3814" i="16"/>
  <c r="I3814" i="16"/>
  <c r="E3814" i="16"/>
  <c r="K3927" i="16"/>
  <c r="J3927" i="16"/>
  <c r="T3927" i="16"/>
  <c r="G3927" i="16"/>
  <c r="P3927" i="16"/>
  <c r="F3927" i="16"/>
  <c r="O3927" i="16"/>
  <c r="E3927" i="16"/>
  <c r="M3927" i="16"/>
  <c r="L3927" i="16"/>
  <c r="N3927" i="16"/>
  <c r="I3927" i="16"/>
  <c r="H3927" i="16"/>
  <c r="L4046" i="16"/>
  <c r="T4046" i="16"/>
  <c r="H4046" i="16"/>
  <c r="N4046" i="16"/>
  <c r="M4046" i="16"/>
  <c r="F4046" i="16"/>
  <c r="E4046" i="16"/>
  <c r="P4046" i="16"/>
  <c r="I4046" i="16"/>
  <c r="G4046" i="16"/>
  <c r="O4046" i="16"/>
  <c r="K4046" i="16"/>
  <c r="J4046" i="16"/>
  <c r="M4069" i="16"/>
  <c r="E4069" i="16"/>
  <c r="P4069" i="16"/>
  <c r="G4069" i="16"/>
  <c r="I4069" i="16"/>
  <c r="H4069" i="16"/>
  <c r="F4069" i="16"/>
  <c r="T4069" i="16"/>
  <c r="K4069" i="16"/>
  <c r="J4069" i="16"/>
  <c r="O4069" i="16"/>
  <c r="N4069" i="16"/>
  <c r="L4069" i="16"/>
  <c r="N4084" i="16"/>
  <c r="F4084" i="16"/>
  <c r="T4084" i="16"/>
  <c r="H4084" i="16"/>
  <c r="M4084" i="16"/>
  <c r="L4084" i="16"/>
  <c r="P4084" i="16"/>
  <c r="O4084" i="16"/>
  <c r="J4084" i="16"/>
  <c r="I4084" i="16"/>
  <c r="G4084" i="16"/>
  <c r="E4084" i="16"/>
  <c r="K4135" i="16"/>
  <c r="P4135" i="16"/>
  <c r="G4135" i="16"/>
  <c r="N4135" i="16"/>
  <c r="M4135" i="16"/>
  <c r="F4135" i="16"/>
  <c r="E4135" i="16"/>
  <c r="T4135" i="16"/>
  <c r="L4135" i="16"/>
  <c r="J4135" i="16"/>
  <c r="I4135" i="16"/>
  <c r="H4135" i="16"/>
  <c r="N4340" i="16"/>
  <c r="F4340" i="16"/>
  <c r="T4340" i="16"/>
  <c r="H4340" i="16"/>
  <c r="M4340" i="16"/>
  <c r="L4340" i="16"/>
  <c r="J4340" i="16"/>
  <c r="I4340" i="16"/>
  <c r="G4340" i="16"/>
  <c r="O4340" i="16"/>
  <c r="K4340" i="16"/>
  <c r="E4340" i="16"/>
  <c r="P4340" i="16"/>
  <c r="K4383" i="16"/>
  <c r="J4383" i="16"/>
  <c r="O4383" i="16"/>
  <c r="E4383" i="16"/>
  <c r="N4383" i="16"/>
  <c r="T4383" i="16"/>
  <c r="P4383" i="16"/>
  <c r="M4383" i="16"/>
  <c r="F4383" i="16"/>
  <c r="I4383" i="16"/>
  <c r="H4383" i="16"/>
  <c r="G4383" i="16"/>
  <c r="M4405" i="16"/>
  <c r="E4405" i="16"/>
  <c r="I4405" i="16"/>
  <c r="T4405" i="16"/>
  <c r="G4405" i="16"/>
  <c r="P4405" i="16"/>
  <c r="F4405" i="16"/>
  <c r="J4405" i="16"/>
  <c r="H4405" i="16"/>
  <c r="O4405" i="16"/>
  <c r="N4405" i="16"/>
  <c r="L4405" i="16"/>
  <c r="K4405" i="16"/>
  <c r="N4540" i="16"/>
  <c r="F4540" i="16"/>
  <c r="M4540" i="16"/>
  <c r="I4540" i="16"/>
  <c r="H4540" i="16"/>
  <c r="T4540" i="16"/>
  <c r="P4540" i="16"/>
  <c r="O4540" i="16"/>
  <c r="J4540" i="16"/>
  <c r="G4540" i="16"/>
  <c r="E4540" i="16"/>
  <c r="L4540" i="16"/>
  <c r="K4540" i="16"/>
  <c r="J4552" i="16"/>
  <c r="L4552" i="16"/>
  <c r="T4552" i="16"/>
  <c r="G4552" i="16"/>
  <c r="P4552" i="16"/>
  <c r="F4552" i="16"/>
  <c r="O4552" i="16"/>
  <c r="E4552" i="16"/>
  <c r="K4552" i="16"/>
  <c r="I4552" i="16"/>
  <c r="H4552" i="16"/>
  <c r="M4552" i="16"/>
  <c r="N4552" i="16"/>
  <c r="K4767" i="16"/>
  <c r="M4767" i="16"/>
  <c r="L4767" i="16"/>
  <c r="J4767" i="16"/>
  <c r="H4767" i="16"/>
  <c r="G4767" i="16"/>
  <c r="F4767" i="16"/>
  <c r="T4767" i="16"/>
  <c r="E4767" i="16"/>
  <c r="N4767" i="16"/>
  <c r="I4767" i="16"/>
  <c r="L5142" i="16"/>
  <c r="K5142" i="16"/>
  <c r="H5142" i="16"/>
  <c r="T5142" i="16"/>
  <c r="G5142" i="16"/>
  <c r="P5142" i="16"/>
  <c r="F5142" i="16"/>
  <c r="J5142" i="16"/>
  <c r="I5142" i="16"/>
  <c r="E5142" i="16"/>
  <c r="O5142" i="16"/>
  <c r="N5142" i="16"/>
  <c r="M5142" i="16"/>
  <c r="M5149" i="16"/>
  <c r="E5149" i="16"/>
  <c r="L5149" i="16"/>
  <c r="T5149" i="16"/>
  <c r="G5149" i="16"/>
  <c r="P5149" i="16"/>
  <c r="F5149" i="16"/>
  <c r="O5149" i="16"/>
  <c r="I5149" i="16"/>
  <c r="H5149" i="16"/>
  <c r="K5149" i="16"/>
  <c r="J5149" i="16"/>
  <c r="N5149" i="16"/>
  <c r="L5390" i="16"/>
  <c r="K5390" i="16"/>
  <c r="H5390" i="16"/>
  <c r="T5390" i="16"/>
  <c r="G5390" i="16"/>
  <c r="P5390" i="16"/>
  <c r="F5390" i="16"/>
  <c r="J5390" i="16"/>
  <c r="I5390" i="16"/>
  <c r="E5390" i="16"/>
  <c r="O5390" i="16"/>
  <c r="N5390" i="16"/>
  <c r="M5390" i="16"/>
  <c r="P5522" i="16"/>
  <c r="H5522" i="16"/>
  <c r="O5522" i="16"/>
  <c r="G5522" i="16"/>
  <c r="T5522" i="16"/>
  <c r="E5522" i="16"/>
  <c r="N5522" i="16"/>
  <c r="M5522" i="16"/>
  <c r="K5522" i="16"/>
  <c r="J5522" i="16"/>
  <c r="I5522" i="16"/>
  <c r="F5522" i="16"/>
  <c r="L5522" i="16"/>
  <c r="P5554" i="16"/>
  <c r="H5554" i="16"/>
  <c r="O5554" i="16"/>
  <c r="G5554" i="16"/>
  <c r="N5554" i="16"/>
  <c r="F5554" i="16"/>
  <c r="I5554" i="16"/>
  <c r="E5554" i="16"/>
  <c r="M5554" i="16"/>
  <c r="L5554" i="16"/>
  <c r="K5554" i="16"/>
  <c r="T5554" i="16"/>
  <c r="J5554" i="16"/>
  <c r="M5565" i="16"/>
  <c r="E5565" i="16"/>
  <c r="L5565" i="16"/>
  <c r="K5565" i="16"/>
  <c r="T5565" i="16"/>
  <c r="F5565" i="16"/>
  <c r="P5565" i="16"/>
  <c r="O5565" i="16"/>
  <c r="H5565" i="16"/>
  <c r="G5565" i="16"/>
  <c r="N5565" i="16"/>
  <c r="J5565" i="16"/>
  <c r="I5565" i="16"/>
  <c r="K5900" i="16"/>
  <c r="T5900" i="16"/>
  <c r="H5900" i="16"/>
  <c r="P5900" i="16"/>
  <c r="G5900" i="16"/>
  <c r="O5900" i="16"/>
  <c r="F5900" i="16"/>
  <c r="L5900" i="16"/>
  <c r="J5900" i="16"/>
  <c r="I5900" i="16"/>
  <c r="N5900" i="16"/>
  <c r="M5900" i="16"/>
  <c r="E5900" i="16"/>
  <c r="H983" i="16"/>
  <c r="G983" i="16"/>
  <c r="H984" i="16"/>
  <c r="O984" i="16"/>
  <c r="G984" i="16"/>
  <c r="F984" i="16"/>
  <c r="P984" i="16" s="1"/>
  <c r="H984" i="9" s="1"/>
  <c r="I984" i="9" s="1"/>
  <c r="L984" i="16"/>
  <c r="L996" i="16"/>
  <c r="K996" i="16"/>
  <c r="J996" i="16"/>
  <c r="I996" i="16"/>
  <c r="O996" i="16" s="1"/>
  <c r="P996" i="16" s="1"/>
  <c r="H996" i="9" s="1"/>
  <c r="I996" i="9" s="1"/>
  <c r="O999" i="16"/>
  <c r="P999" i="16" s="1"/>
  <c r="H999" i="9" s="1"/>
  <c r="I999" i="9" s="1"/>
  <c r="F1002" i="16"/>
  <c r="M1002" i="16"/>
  <c r="E1002" i="16"/>
  <c r="L1002" i="16"/>
  <c r="K1002" i="16"/>
  <c r="T1007" i="16"/>
  <c r="T1009" i="16"/>
  <c r="K1013" i="16"/>
  <c r="J1023" i="16"/>
  <c r="G1025" i="16"/>
  <c r="F1025" i="16"/>
  <c r="M1025" i="16"/>
  <c r="E1025" i="16"/>
  <c r="L1025" i="16"/>
  <c r="G1029" i="16"/>
  <c r="M1035" i="16"/>
  <c r="E1035" i="16"/>
  <c r="L1035" i="16"/>
  <c r="K1035" i="16"/>
  <c r="J1035" i="16"/>
  <c r="J1038" i="16"/>
  <c r="M1040" i="16"/>
  <c r="H1047" i="16"/>
  <c r="G1047" i="16"/>
  <c r="H1048" i="16"/>
  <c r="G1048" i="16"/>
  <c r="F1048" i="16"/>
  <c r="L1048" i="16"/>
  <c r="L1060" i="16"/>
  <c r="K1060" i="16"/>
  <c r="J1060" i="16"/>
  <c r="I1060" i="16"/>
  <c r="F1066" i="16"/>
  <c r="M1066" i="16"/>
  <c r="E1066" i="16"/>
  <c r="L1066" i="16"/>
  <c r="K1066" i="16"/>
  <c r="K1077" i="16"/>
  <c r="J1087" i="16"/>
  <c r="G1089" i="16"/>
  <c r="F1089" i="16"/>
  <c r="M1089" i="16"/>
  <c r="E1089" i="16"/>
  <c r="L1089" i="16"/>
  <c r="G1093" i="16"/>
  <c r="M1099" i="16"/>
  <c r="E1099" i="16"/>
  <c r="L1099" i="16"/>
  <c r="K1099" i="16"/>
  <c r="J1099" i="16"/>
  <c r="J1102" i="16"/>
  <c r="M1104" i="16"/>
  <c r="H1111" i="16"/>
  <c r="G1111" i="16"/>
  <c r="H1112" i="16"/>
  <c r="G1112" i="16"/>
  <c r="F1112" i="16"/>
  <c r="L1112" i="16"/>
  <c r="M1116" i="16"/>
  <c r="L1124" i="16"/>
  <c r="K1124" i="16"/>
  <c r="J1124" i="16"/>
  <c r="I1124" i="16"/>
  <c r="F1130" i="16"/>
  <c r="M1130" i="16"/>
  <c r="E1130" i="16"/>
  <c r="L1130" i="16"/>
  <c r="K1130" i="16"/>
  <c r="K1141" i="16"/>
  <c r="J1151" i="16"/>
  <c r="G1153" i="16"/>
  <c r="M1153" i="16"/>
  <c r="E1153" i="16"/>
  <c r="L1153" i="16"/>
  <c r="G1157" i="16"/>
  <c r="M1163" i="16"/>
  <c r="E1163" i="16"/>
  <c r="L1163" i="16"/>
  <c r="K1163" i="16"/>
  <c r="J1163" i="16"/>
  <c r="J1166" i="16"/>
  <c r="M1168" i="16"/>
  <c r="H1175" i="16"/>
  <c r="G1175" i="16"/>
  <c r="H1176" i="16"/>
  <c r="G1176" i="16"/>
  <c r="L1176" i="16"/>
  <c r="M1180" i="16"/>
  <c r="L1188" i="16"/>
  <c r="K1188" i="16"/>
  <c r="J1188" i="16"/>
  <c r="I1188" i="16"/>
  <c r="F1194" i="16"/>
  <c r="M1194" i="16"/>
  <c r="E1194" i="16"/>
  <c r="L1194" i="16"/>
  <c r="K1194" i="16"/>
  <c r="K1205" i="16"/>
  <c r="J1215" i="16"/>
  <c r="G1217" i="16"/>
  <c r="M1217" i="16"/>
  <c r="E1217" i="16"/>
  <c r="L1217" i="16"/>
  <c r="M1227" i="16"/>
  <c r="E1227" i="16"/>
  <c r="L1227" i="16"/>
  <c r="K1227" i="16"/>
  <c r="J1227" i="16"/>
  <c r="J1230" i="16"/>
  <c r="H1239" i="16"/>
  <c r="G1239" i="16"/>
  <c r="H1240" i="16"/>
  <c r="G1240" i="16"/>
  <c r="F1240" i="16"/>
  <c r="L1240" i="16"/>
  <c r="M1244" i="16"/>
  <c r="O1250" i="16"/>
  <c r="L1252" i="16"/>
  <c r="K1252" i="16"/>
  <c r="J1252" i="16"/>
  <c r="I1252" i="16"/>
  <c r="O1255" i="16"/>
  <c r="F1258" i="16"/>
  <c r="M1258" i="16"/>
  <c r="E1258" i="16"/>
  <c r="L1258" i="16"/>
  <c r="K1258" i="16"/>
  <c r="K1269" i="16"/>
  <c r="O1275" i="16"/>
  <c r="J1279" i="16"/>
  <c r="O1281" i="16"/>
  <c r="G1281" i="16"/>
  <c r="M1281" i="16"/>
  <c r="E1281" i="16"/>
  <c r="L1281" i="16"/>
  <c r="M1291" i="16"/>
  <c r="E1291" i="16"/>
  <c r="L1291" i="16"/>
  <c r="K1291" i="16"/>
  <c r="J1291" i="16"/>
  <c r="O1292" i="16"/>
  <c r="J1294" i="16"/>
  <c r="M1296" i="16"/>
  <c r="E1301" i="16"/>
  <c r="H1303" i="16"/>
  <c r="G1303" i="16"/>
  <c r="H1304" i="16"/>
  <c r="O1304" i="16"/>
  <c r="G1304" i="16"/>
  <c r="F1304" i="16"/>
  <c r="P1304" i="16" s="1"/>
  <c r="L1304" i="16"/>
  <c r="M1308" i="16"/>
  <c r="L1316" i="16"/>
  <c r="K1316" i="16"/>
  <c r="J1316" i="16"/>
  <c r="O1316" i="16" s="1"/>
  <c r="I1316" i="16"/>
  <c r="O1319" i="16"/>
  <c r="F1322" i="16"/>
  <c r="M1322" i="16"/>
  <c r="E1322" i="16"/>
  <c r="L1322" i="16"/>
  <c r="K1322" i="16"/>
  <c r="O1322" i="16" s="1"/>
  <c r="K1333" i="16"/>
  <c r="O1339" i="16"/>
  <c r="J1343" i="16"/>
  <c r="O1345" i="16"/>
  <c r="G1345" i="16"/>
  <c r="F1345" i="16"/>
  <c r="M1345" i="16"/>
  <c r="E1345" i="16"/>
  <c r="L1345" i="16"/>
  <c r="N1354" i="16"/>
  <c r="F1354" i="16"/>
  <c r="M1354" i="16"/>
  <c r="E1354" i="16"/>
  <c r="L1354" i="16"/>
  <c r="K1354" i="16"/>
  <c r="M1360" i="16"/>
  <c r="T1362" i="16"/>
  <c r="N1364" i="16"/>
  <c r="P1369" i="16"/>
  <c r="O1371" i="16"/>
  <c r="O1378" i="16"/>
  <c r="L1380" i="16"/>
  <c r="K1380" i="16"/>
  <c r="J1380" i="16"/>
  <c r="I1380" i="16"/>
  <c r="T1384" i="16"/>
  <c r="M1387" i="16"/>
  <c r="E1387" i="16"/>
  <c r="L1387" i="16"/>
  <c r="K1387" i="16"/>
  <c r="J1387" i="16"/>
  <c r="O1388" i="16"/>
  <c r="M1392" i="16"/>
  <c r="T1394" i="16"/>
  <c r="N1396" i="16"/>
  <c r="P1400" i="16"/>
  <c r="H1400" i="16"/>
  <c r="O1400" i="16"/>
  <c r="G1400" i="16"/>
  <c r="N1400" i="16"/>
  <c r="F1400" i="16"/>
  <c r="L1400" i="16"/>
  <c r="P1402" i="16"/>
  <c r="M1404" i="16"/>
  <c r="O1410" i="16"/>
  <c r="L1412" i="16"/>
  <c r="K1412" i="16"/>
  <c r="J1412" i="16"/>
  <c r="I1412" i="16"/>
  <c r="N1418" i="16"/>
  <c r="F1418" i="16"/>
  <c r="M1418" i="16"/>
  <c r="E1418" i="16"/>
  <c r="L1418" i="16"/>
  <c r="K1418" i="16"/>
  <c r="T1425" i="16"/>
  <c r="P1427" i="16"/>
  <c r="P1433" i="16"/>
  <c r="O1435" i="16"/>
  <c r="O1441" i="16"/>
  <c r="G1441" i="16"/>
  <c r="N1441" i="16"/>
  <c r="F1441" i="16"/>
  <c r="M1441" i="16"/>
  <c r="E1441" i="16"/>
  <c r="L1441" i="16"/>
  <c r="N1443" i="16"/>
  <c r="T1448" i="16"/>
  <c r="M1451" i="16"/>
  <c r="E1451" i="16"/>
  <c r="L1451" i="16"/>
  <c r="K1451" i="16"/>
  <c r="J1451" i="16"/>
  <c r="O1452" i="16"/>
  <c r="M1456" i="16"/>
  <c r="O1461" i="16"/>
  <c r="J1463" i="16"/>
  <c r="M1463" i="16"/>
  <c r="L1463" i="16"/>
  <c r="K1463" i="16"/>
  <c r="I1463" i="16"/>
  <c r="T1466" i="16"/>
  <c r="M1476" i="16"/>
  <c r="E1476" i="16"/>
  <c r="O1476" i="16"/>
  <c r="F1476" i="16"/>
  <c r="N1476" i="16"/>
  <c r="L1476" i="16"/>
  <c r="K1476" i="16"/>
  <c r="T1478" i="16"/>
  <c r="O1489" i="16"/>
  <c r="L1493" i="16"/>
  <c r="T1493" i="16"/>
  <c r="H1493" i="16"/>
  <c r="P1493" i="16"/>
  <c r="G1493" i="16"/>
  <c r="O1493" i="16"/>
  <c r="F1493" i="16"/>
  <c r="M1493" i="16"/>
  <c r="O1501" i="16"/>
  <c r="O1503" i="16"/>
  <c r="N1515" i="16"/>
  <c r="F1515" i="16"/>
  <c r="O1515" i="16"/>
  <c r="E1515" i="16"/>
  <c r="M1515" i="16"/>
  <c r="L1515" i="16"/>
  <c r="K1515" i="16"/>
  <c r="T1518" i="16"/>
  <c r="K1526" i="16"/>
  <c r="M1526" i="16"/>
  <c r="L1526" i="16"/>
  <c r="J1526" i="16"/>
  <c r="I1526" i="16"/>
  <c r="P1527" i="16"/>
  <c r="O1532" i="16"/>
  <c r="L1541" i="16"/>
  <c r="O1541" i="16"/>
  <c r="F1541" i="16"/>
  <c r="N1541" i="16"/>
  <c r="E1541" i="16"/>
  <c r="M1541" i="16"/>
  <c r="K1541" i="16"/>
  <c r="T1543" i="16"/>
  <c r="P1545" i="16"/>
  <c r="H1545" i="16"/>
  <c r="T1545" i="16"/>
  <c r="G1545" i="16"/>
  <c r="O1545" i="16"/>
  <c r="F1545" i="16"/>
  <c r="N1545" i="16"/>
  <c r="E1545" i="16"/>
  <c r="M1545" i="16"/>
  <c r="P1554" i="16"/>
  <c r="N1558" i="16"/>
  <c r="M1564" i="16"/>
  <c r="E1564" i="16"/>
  <c r="N1564" i="16"/>
  <c r="L1564" i="16"/>
  <c r="K1564" i="16"/>
  <c r="J1564" i="16"/>
  <c r="K1566" i="16"/>
  <c r="N1566" i="16"/>
  <c r="E1566" i="16"/>
  <c r="M1566" i="16"/>
  <c r="L1566" i="16"/>
  <c r="J1566" i="16"/>
  <c r="T1569" i="16"/>
  <c r="T1578" i="16"/>
  <c r="K1582" i="16"/>
  <c r="P1582" i="16"/>
  <c r="G1582" i="16"/>
  <c r="O1582" i="16"/>
  <c r="F1582" i="16"/>
  <c r="N1582" i="16"/>
  <c r="E1582" i="16"/>
  <c r="M1582" i="16"/>
  <c r="K1590" i="16"/>
  <c r="M1590" i="16"/>
  <c r="L1590" i="16"/>
  <c r="J1590" i="16"/>
  <c r="I1590" i="16"/>
  <c r="P1591" i="16"/>
  <c r="O1596" i="16"/>
  <c r="L1605" i="16"/>
  <c r="O1605" i="16"/>
  <c r="F1605" i="16"/>
  <c r="N1605" i="16"/>
  <c r="E1605" i="16"/>
  <c r="M1605" i="16"/>
  <c r="K1605" i="16"/>
  <c r="T1607" i="16"/>
  <c r="P1609" i="16"/>
  <c r="H1609" i="16"/>
  <c r="T1609" i="16"/>
  <c r="G1609" i="16"/>
  <c r="O1609" i="16"/>
  <c r="F1609" i="16"/>
  <c r="N1609" i="16"/>
  <c r="E1609" i="16"/>
  <c r="M1609" i="16"/>
  <c r="O1618" i="16"/>
  <c r="G1618" i="16"/>
  <c r="N1618" i="16"/>
  <c r="E1618" i="16"/>
  <c r="M1618" i="16"/>
  <c r="L1618" i="16"/>
  <c r="K1618" i="16"/>
  <c r="K1622" i="16"/>
  <c r="T1622" i="16"/>
  <c r="H1622" i="16"/>
  <c r="P1622" i="16"/>
  <c r="G1622" i="16"/>
  <c r="O1622" i="16"/>
  <c r="F1622" i="16"/>
  <c r="M1622" i="16"/>
  <c r="T1629" i="16"/>
  <c r="T1631" i="16"/>
  <c r="P1633" i="16"/>
  <c r="H1633" i="16"/>
  <c r="O1633" i="16"/>
  <c r="F1633" i="16"/>
  <c r="N1633" i="16"/>
  <c r="E1633" i="16"/>
  <c r="M1633" i="16"/>
  <c r="L1633" i="16"/>
  <c r="O1642" i="16"/>
  <c r="G1642" i="16"/>
  <c r="M1642" i="16"/>
  <c r="L1642" i="16"/>
  <c r="K1642" i="16"/>
  <c r="J1642" i="16"/>
  <c r="T1644" i="16"/>
  <c r="O1653" i="16"/>
  <c r="J1655" i="16"/>
  <c r="M1655" i="16"/>
  <c r="L1655" i="16"/>
  <c r="K1655" i="16"/>
  <c r="I1655" i="16"/>
  <c r="T1658" i="16"/>
  <c r="P1668" i="16"/>
  <c r="J1671" i="16"/>
  <c r="O1671" i="16"/>
  <c r="F1671" i="16"/>
  <c r="N1671" i="16"/>
  <c r="E1671" i="16"/>
  <c r="M1671" i="16"/>
  <c r="L1671" i="16"/>
  <c r="O1681" i="16"/>
  <c r="L1685" i="16"/>
  <c r="T1685" i="16"/>
  <c r="H1685" i="16"/>
  <c r="P1685" i="16"/>
  <c r="G1685" i="16"/>
  <c r="O1685" i="16"/>
  <c r="F1685" i="16"/>
  <c r="M1685" i="16"/>
  <c r="L1693" i="16"/>
  <c r="N1693" i="16"/>
  <c r="E1693" i="16"/>
  <c r="M1693" i="16"/>
  <c r="K1693" i="16"/>
  <c r="J1693" i="16"/>
  <c r="J1695" i="16"/>
  <c r="N1695" i="16"/>
  <c r="E1695" i="16"/>
  <c r="M1695" i="16"/>
  <c r="L1695" i="16"/>
  <c r="K1695" i="16"/>
  <c r="P1707" i="16"/>
  <c r="J1711" i="16"/>
  <c r="P1711" i="16"/>
  <c r="G1711" i="16"/>
  <c r="O1711" i="16"/>
  <c r="F1711" i="16"/>
  <c r="N1711" i="16"/>
  <c r="E1711" i="16"/>
  <c r="M1711" i="16"/>
  <c r="N1718" i="16"/>
  <c r="P1721" i="16"/>
  <c r="H1721" i="16"/>
  <c r="N1721" i="16"/>
  <c r="E1721" i="16"/>
  <c r="M1721" i="16"/>
  <c r="L1721" i="16"/>
  <c r="K1721" i="16"/>
  <c r="T1731" i="16"/>
  <c r="P1734" i="16"/>
  <c r="P1745" i="16"/>
  <c r="H1745" i="16"/>
  <c r="M1745" i="16"/>
  <c r="L1745" i="16"/>
  <c r="K1745" i="16"/>
  <c r="J1745" i="16"/>
  <c r="T1747" i="16"/>
  <c r="P1756" i="16"/>
  <c r="P1758" i="16"/>
  <c r="N1763" i="16"/>
  <c r="F1763" i="16"/>
  <c r="I1763" i="16"/>
  <c r="T1763" i="16"/>
  <c r="H1763" i="16"/>
  <c r="P1763" i="16"/>
  <c r="G1763" i="16"/>
  <c r="M1763" i="16"/>
  <c r="T1770" i="16"/>
  <c r="K1774" i="16"/>
  <c r="P1774" i="16"/>
  <c r="G1774" i="16"/>
  <c r="O1774" i="16"/>
  <c r="F1774" i="16"/>
  <c r="N1774" i="16"/>
  <c r="E1774" i="16"/>
  <c r="M1774" i="16"/>
  <c r="O1783" i="16"/>
  <c r="M1788" i="16"/>
  <c r="E1788" i="16"/>
  <c r="I1788" i="16"/>
  <c r="T1788" i="16"/>
  <c r="H1788" i="16"/>
  <c r="P1788" i="16"/>
  <c r="G1788" i="16"/>
  <c r="N1788" i="16"/>
  <c r="O1795" i="16"/>
  <c r="T1797" i="16"/>
  <c r="N1802" i="16"/>
  <c r="T1810" i="16"/>
  <c r="J1815" i="16"/>
  <c r="T1815" i="16"/>
  <c r="H1815" i="16"/>
  <c r="P1815" i="16"/>
  <c r="G1815" i="16"/>
  <c r="O1815" i="16"/>
  <c r="F1815" i="16"/>
  <c r="M1815" i="16"/>
  <c r="M1820" i="16"/>
  <c r="E1820" i="16"/>
  <c r="N1820" i="16"/>
  <c r="L1820" i="16"/>
  <c r="K1820" i="16"/>
  <c r="J1820" i="16"/>
  <c r="K1822" i="16"/>
  <c r="N1822" i="16"/>
  <c r="E1822" i="16"/>
  <c r="M1822" i="16"/>
  <c r="L1822" i="16"/>
  <c r="J1822" i="16"/>
  <c r="T1825" i="16"/>
  <c r="N1834" i="16"/>
  <c r="L1837" i="16"/>
  <c r="P1837" i="16"/>
  <c r="G1837" i="16"/>
  <c r="O1837" i="16"/>
  <c r="F1837" i="16"/>
  <c r="N1837" i="16"/>
  <c r="E1837" i="16"/>
  <c r="M1837" i="16"/>
  <c r="O1845" i="16"/>
  <c r="J1847" i="16"/>
  <c r="M1847" i="16"/>
  <c r="L1847" i="16"/>
  <c r="K1847" i="16"/>
  <c r="I1847" i="16"/>
  <c r="T1850" i="16"/>
  <c r="L1861" i="16"/>
  <c r="O1861" i="16"/>
  <c r="F1861" i="16"/>
  <c r="N1861" i="16"/>
  <c r="E1861" i="16"/>
  <c r="M1861" i="16"/>
  <c r="K1861" i="16"/>
  <c r="T1863" i="16"/>
  <c r="P1865" i="16"/>
  <c r="H1865" i="16"/>
  <c r="T1865" i="16"/>
  <c r="G1865" i="16"/>
  <c r="O1865" i="16"/>
  <c r="F1865" i="16"/>
  <c r="N1865" i="16"/>
  <c r="E1865" i="16"/>
  <c r="M1865" i="16"/>
  <c r="O1874" i="16"/>
  <c r="G1874" i="16"/>
  <c r="N1874" i="16"/>
  <c r="E1874" i="16"/>
  <c r="M1874" i="16"/>
  <c r="L1874" i="16"/>
  <c r="K1874" i="16"/>
  <c r="K1878" i="16"/>
  <c r="T1878" i="16"/>
  <c r="H1878" i="16"/>
  <c r="P1878" i="16"/>
  <c r="G1878" i="16"/>
  <c r="O1878" i="16"/>
  <c r="F1878" i="16"/>
  <c r="M1878" i="16"/>
  <c r="P1885" i="16"/>
  <c r="P1887" i="16"/>
  <c r="M1900" i="16"/>
  <c r="E1900" i="16"/>
  <c r="P1900" i="16"/>
  <c r="G1900" i="16"/>
  <c r="O1900" i="16"/>
  <c r="F1900" i="16"/>
  <c r="N1900" i="16"/>
  <c r="L1900" i="16"/>
  <c r="N1905" i="16"/>
  <c r="L1909" i="16"/>
  <c r="M1909" i="16"/>
  <c r="K1909" i="16"/>
  <c r="J1909" i="16"/>
  <c r="I1909" i="16"/>
  <c r="P1910" i="16"/>
  <c r="T1913" i="16"/>
  <c r="P1924" i="16"/>
  <c r="J1927" i="16"/>
  <c r="O1927" i="16"/>
  <c r="F1927" i="16"/>
  <c r="N1927" i="16"/>
  <c r="E1927" i="16"/>
  <c r="M1927" i="16"/>
  <c r="L1927" i="16"/>
  <c r="O1937" i="16"/>
  <c r="L1941" i="16"/>
  <c r="T1941" i="16"/>
  <c r="H1941" i="16"/>
  <c r="P1941" i="16"/>
  <c r="G1941" i="16"/>
  <c r="O1941" i="16"/>
  <c r="F1941" i="16"/>
  <c r="M1941" i="16"/>
  <c r="L1949" i="16"/>
  <c r="N1949" i="16"/>
  <c r="E1949" i="16"/>
  <c r="M1949" i="16"/>
  <c r="K1949" i="16"/>
  <c r="J1949" i="16"/>
  <c r="J1951" i="16"/>
  <c r="N1951" i="16"/>
  <c r="E1951" i="16"/>
  <c r="M1951" i="16"/>
  <c r="L1951" i="16"/>
  <c r="K1951" i="16"/>
  <c r="P1963" i="16"/>
  <c r="J1967" i="16"/>
  <c r="P1967" i="16"/>
  <c r="G1967" i="16"/>
  <c r="O1967" i="16"/>
  <c r="F1967" i="16"/>
  <c r="N1967" i="16"/>
  <c r="E1967" i="16"/>
  <c r="M1967" i="16"/>
  <c r="N1974" i="16"/>
  <c r="P1977" i="16"/>
  <c r="H1977" i="16"/>
  <c r="N1977" i="16"/>
  <c r="E1977" i="16"/>
  <c r="M1977" i="16"/>
  <c r="L1977" i="16"/>
  <c r="K1977" i="16"/>
  <c r="T1987" i="16"/>
  <c r="P1990" i="16"/>
  <c r="T2002" i="16"/>
  <c r="J2007" i="16"/>
  <c r="T2007" i="16"/>
  <c r="H2007" i="16"/>
  <c r="P2007" i="16"/>
  <c r="G2007" i="16"/>
  <c r="O2007" i="16"/>
  <c r="F2007" i="16"/>
  <c r="M2007" i="16"/>
  <c r="M2012" i="16"/>
  <c r="E2012" i="16"/>
  <c r="N2012" i="16"/>
  <c r="L2012" i="16"/>
  <c r="K2012" i="16"/>
  <c r="J2012" i="16"/>
  <c r="K2014" i="16"/>
  <c r="N2014" i="16"/>
  <c r="E2014" i="16"/>
  <c r="M2014" i="16"/>
  <c r="L2014" i="16"/>
  <c r="J2014" i="16"/>
  <c r="T2017" i="16"/>
  <c r="T2027" i="16"/>
  <c r="T2031" i="16"/>
  <c r="P2033" i="16"/>
  <c r="H2033" i="16"/>
  <c r="I2033" i="16"/>
  <c r="T2033" i="16"/>
  <c r="G2033" i="16"/>
  <c r="O2033" i="16"/>
  <c r="F2033" i="16"/>
  <c r="M2033" i="16"/>
  <c r="O2038" i="16"/>
  <c r="O2041" i="16"/>
  <c r="M2052" i="16"/>
  <c r="E2052" i="16"/>
  <c r="O2052" i="16"/>
  <c r="F2052" i="16"/>
  <c r="N2052" i="16"/>
  <c r="L2052" i="16"/>
  <c r="K2052" i="16"/>
  <c r="T2054" i="16"/>
  <c r="N2065" i="16"/>
  <c r="M2068" i="16"/>
  <c r="E2068" i="16"/>
  <c r="T2068" i="16"/>
  <c r="H2068" i="16"/>
  <c r="P2068" i="16"/>
  <c r="G2068" i="16"/>
  <c r="O2068" i="16"/>
  <c r="F2068" i="16"/>
  <c r="N2068" i="16"/>
  <c r="T2076" i="16"/>
  <c r="T2078" i="16"/>
  <c r="O2083" i="16"/>
  <c r="N2091" i="16"/>
  <c r="F2091" i="16"/>
  <c r="O2091" i="16"/>
  <c r="E2091" i="16"/>
  <c r="M2091" i="16"/>
  <c r="L2091" i="16"/>
  <c r="K2091" i="16"/>
  <c r="T2094" i="16"/>
  <c r="K2102" i="16"/>
  <c r="M2102" i="16"/>
  <c r="L2102" i="16"/>
  <c r="J2102" i="16"/>
  <c r="I2102" i="16"/>
  <c r="P2103" i="16"/>
  <c r="O2108" i="16"/>
  <c r="P2115" i="16"/>
  <c r="K2118" i="16"/>
  <c r="O2118" i="16"/>
  <c r="F2118" i="16"/>
  <c r="N2118" i="16"/>
  <c r="E2118" i="16"/>
  <c r="M2118" i="16"/>
  <c r="L2118" i="16"/>
  <c r="N2131" i="16"/>
  <c r="F2131" i="16"/>
  <c r="P2131" i="16"/>
  <c r="G2131" i="16"/>
  <c r="O2131" i="16"/>
  <c r="E2131" i="16"/>
  <c r="M2131" i="16"/>
  <c r="L2131" i="16"/>
  <c r="N2135" i="16"/>
  <c r="O2140" i="16"/>
  <c r="O2142" i="16"/>
  <c r="O2146" i="16"/>
  <c r="G2146" i="16"/>
  <c r="T2146" i="16"/>
  <c r="H2146" i="16"/>
  <c r="P2146" i="16"/>
  <c r="F2146" i="16"/>
  <c r="N2146" i="16"/>
  <c r="E2146" i="16"/>
  <c r="M2146" i="16"/>
  <c r="O2154" i="16"/>
  <c r="G2154" i="16"/>
  <c r="M2154" i="16"/>
  <c r="L2154" i="16"/>
  <c r="K2154" i="16"/>
  <c r="J2154" i="16"/>
  <c r="T2156" i="16"/>
  <c r="N2165" i="16"/>
  <c r="O2170" i="16"/>
  <c r="G2170" i="16"/>
  <c r="P2170" i="16"/>
  <c r="F2170" i="16"/>
  <c r="N2170" i="16"/>
  <c r="E2170" i="16"/>
  <c r="M2170" i="16"/>
  <c r="L2170" i="16"/>
  <c r="L2181" i="16"/>
  <c r="O2181" i="16"/>
  <c r="F2181" i="16"/>
  <c r="N2181" i="16"/>
  <c r="E2181" i="16"/>
  <c r="M2181" i="16"/>
  <c r="K2181" i="16"/>
  <c r="T2183" i="16"/>
  <c r="P2185" i="16"/>
  <c r="H2185" i="16"/>
  <c r="T2185" i="16"/>
  <c r="G2185" i="16"/>
  <c r="O2185" i="16"/>
  <c r="F2185" i="16"/>
  <c r="N2185" i="16"/>
  <c r="E2185" i="16"/>
  <c r="M2185" i="16"/>
  <c r="O2193" i="16"/>
  <c r="L2197" i="16"/>
  <c r="T2197" i="16"/>
  <c r="H2197" i="16"/>
  <c r="P2197" i="16"/>
  <c r="G2197" i="16"/>
  <c r="O2197" i="16"/>
  <c r="F2197" i="16"/>
  <c r="M2197" i="16"/>
  <c r="L2205" i="16"/>
  <c r="N2205" i="16"/>
  <c r="E2205" i="16"/>
  <c r="M2205" i="16"/>
  <c r="K2205" i="16"/>
  <c r="J2205" i="16"/>
  <c r="J2207" i="16"/>
  <c r="N2207" i="16"/>
  <c r="E2207" i="16"/>
  <c r="M2207" i="16"/>
  <c r="L2207" i="16"/>
  <c r="K2207" i="16"/>
  <c r="T2218" i="16"/>
  <c r="K2222" i="16"/>
  <c r="P2222" i="16"/>
  <c r="G2222" i="16"/>
  <c r="O2222" i="16"/>
  <c r="F2222" i="16"/>
  <c r="N2222" i="16"/>
  <c r="E2222" i="16"/>
  <c r="M2222" i="16"/>
  <c r="O2231" i="16"/>
  <c r="M2236" i="16"/>
  <c r="E2236" i="16"/>
  <c r="I2236" i="16"/>
  <c r="T2236" i="16"/>
  <c r="H2236" i="16"/>
  <c r="P2236" i="16"/>
  <c r="G2236" i="16"/>
  <c r="N2236" i="16"/>
  <c r="O2243" i="16"/>
  <c r="T2245" i="16"/>
  <c r="N2250" i="16"/>
  <c r="T2258" i="16"/>
  <c r="J2263" i="16"/>
  <c r="T2263" i="16"/>
  <c r="H2263" i="16"/>
  <c r="P2263" i="16"/>
  <c r="G2263" i="16"/>
  <c r="O2263" i="16"/>
  <c r="F2263" i="16"/>
  <c r="M2263" i="16"/>
  <c r="O2268" i="16"/>
  <c r="O2270" i="16"/>
  <c r="O2274" i="16"/>
  <c r="G2274" i="16"/>
  <c r="T2274" i="16"/>
  <c r="H2274" i="16"/>
  <c r="P2274" i="16"/>
  <c r="F2274" i="16"/>
  <c r="N2274" i="16"/>
  <c r="E2274" i="16"/>
  <c r="M2274" i="16"/>
  <c r="O2282" i="16"/>
  <c r="G2282" i="16"/>
  <c r="M2282" i="16"/>
  <c r="L2282" i="16"/>
  <c r="K2282" i="16"/>
  <c r="J2282" i="16"/>
  <c r="T2284" i="16"/>
  <c r="N2293" i="16"/>
  <c r="O2298" i="16"/>
  <c r="G2298" i="16"/>
  <c r="P2298" i="16"/>
  <c r="F2298" i="16"/>
  <c r="N2298" i="16"/>
  <c r="E2298" i="16"/>
  <c r="M2298" i="16"/>
  <c r="L2298" i="16"/>
  <c r="L2309" i="16"/>
  <c r="O2309" i="16"/>
  <c r="F2309" i="16"/>
  <c r="N2309" i="16"/>
  <c r="E2309" i="16"/>
  <c r="M2309" i="16"/>
  <c r="K2309" i="16"/>
  <c r="T2311" i="16"/>
  <c r="P2313" i="16"/>
  <c r="H2313" i="16"/>
  <c r="T2313" i="16"/>
  <c r="G2313" i="16"/>
  <c r="O2313" i="16"/>
  <c r="F2313" i="16"/>
  <c r="N2313" i="16"/>
  <c r="E2313" i="16"/>
  <c r="M2313" i="16"/>
  <c r="O2322" i="16"/>
  <c r="G2322" i="16"/>
  <c r="N2322" i="16"/>
  <c r="E2322" i="16"/>
  <c r="M2322" i="16"/>
  <c r="L2322" i="16"/>
  <c r="K2322" i="16"/>
  <c r="K2326" i="16"/>
  <c r="T2326" i="16"/>
  <c r="H2326" i="16"/>
  <c r="P2326" i="16"/>
  <c r="G2326" i="16"/>
  <c r="O2326" i="16"/>
  <c r="F2326" i="16"/>
  <c r="M2326" i="16"/>
  <c r="T2333" i="16"/>
  <c r="T2335" i="16"/>
  <c r="P2337" i="16"/>
  <c r="H2337" i="16"/>
  <c r="O2337" i="16"/>
  <c r="F2337" i="16"/>
  <c r="N2337" i="16"/>
  <c r="E2337" i="16"/>
  <c r="M2337" i="16"/>
  <c r="L2337" i="16"/>
  <c r="T2347" i="16"/>
  <c r="T2351" i="16"/>
  <c r="P2353" i="16"/>
  <c r="H2353" i="16"/>
  <c r="I2353" i="16"/>
  <c r="T2353" i="16"/>
  <c r="G2353" i="16"/>
  <c r="O2353" i="16"/>
  <c r="F2353" i="16"/>
  <c r="M2353" i="16"/>
  <c r="L2357" i="16"/>
  <c r="M2357" i="16"/>
  <c r="K2357" i="16"/>
  <c r="J2357" i="16"/>
  <c r="I2357" i="16"/>
  <c r="P2358" i="16"/>
  <c r="T2361" i="16"/>
  <c r="P2372" i="16"/>
  <c r="J2375" i="16"/>
  <c r="O2375" i="16"/>
  <c r="F2375" i="16"/>
  <c r="N2375" i="16"/>
  <c r="E2375" i="16"/>
  <c r="M2375" i="16"/>
  <c r="L2375" i="16"/>
  <c r="O2385" i="16"/>
  <c r="L2389" i="16"/>
  <c r="T2389" i="16"/>
  <c r="H2389" i="16"/>
  <c r="P2389" i="16"/>
  <c r="G2389" i="16"/>
  <c r="O2389" i="16"/>
  <c r="F2389" i="16"/>
  <c r="M2389" i="16"/>
  <c r="L2397" i="16"/>
  <c r="N2397" i="16"/>
  <c r="E2397" i="16"/>
  <c r="M2397" i="16"/>
  <c r="K2397" i="16"/>
  <c r="J2397" i="16"/>
  <c r="J2399" i="16"/>
  <c r="N2399" i="16"/>
  <c r="E2399" i="16"/>
  <c r="M2399" i="16"/>
  <c r="L2399" i="16"/>
  <c r="K2399" i="16"/>
  <c r="M2412" i="16"/>
  <c r="E2412" i="16"/>
  <c r="P2412" i="16"/>
  <c r="G2412" i="16"/>
  <c r="O2412" i="16"/>
  <c r="F2412" i="16"/>
  <c r="N2412" i="16"/>
  <c r="T2412" i="16"/>
  <c r="L2412" i="16"/>
  <c r="M2436" i="16"/>
  <c r="E2436" i="16"/>
  <c r="O2436" i="16"/>
  <c r="F2436" i="16"/>
  <c r="N2436" i="16"/>
  <c r="L2436" i="16"/>
  <c r="H2436" i="16"/>
  <c r="G2436" i="16"/>
  <c r="T2436" i="16"/>
  <c r="O2450" i="16"/>
  <c r="G2450" i="16"/>
  <c r="N2450" i="16"/>
  <c r="E2450" i="16"/>
  <c r="M2450" i="16"/>
  <c r="L2450" i="16"/>
  <c r="T2450" i="16"/>
  <c r="P2450" i="16"/>
  <c r="K2450" i="16"/>
  <c r="L2453" i="16"/>
  <c r="T2453" i="16"/>
  <c r="H2453" i="16"/>
  <c r="P2453" i="16"/>
  <c r="G2453" i="16"/>
  <c r="O2453" i="16"/>
  <c r="F2453" i="16"/>
  <c r="E2453" i="16"/>
  <c r="N2453" i="16"/>
  <c r="P2482" i="16"/>
  <c r="H2482" i="16"/>
  <c r="O2482" i="16"/>
  <c r="G2482" i="16"/>
  <c r="I2482" i="16"/>
  <c r="F2482" i="16"/>
  <c r="T2482" i="16"/>
  <c r="E2482" i="16"/>
  <c r="L2482" i="16"/>
  <c r="K2482" i="16"/>
  <c r="L2502" i="16"/>
  <c r="K2502" i="16"/>
  <c r="N2502" i="16"/>
  <c r="M2502" i="16"/>
  <c r="J2502" i="16"/>
  <c r="E2502" i="16"/>
  <c r="T2502" i="16"/>
  <c r="O2502" i="16"/>
  <c r="N2508" i="16"/>
  <c r="F2508" i="16"/>
  <c r="M2508" i="16"/>
  <c r="E2508" i="16"/>
  <c r="J2508" i="16"/>
  <c r="I2508" i="16"/>
  <c r="H2508" i="16"/>
  <c r="L2508" i="16"/>
  <c r="K2508" i="16"/>
  <c r="M2533" i="16"/>
  <c r="E2533" i="16"/>
  <c r="L2533" i="16"/>
  <c r="T2533" i="16"/>
  <c r="G2533" i="16"/>
  <c r="P2533" i="16"/>
  <c r="F2533" i="16"/>
  <c r="O2533" i="16"/>
  <c r="N2533" i="16"/>
  <c r="M2549" i="16"/>
  <c r="E2549" i="16"/>
  <c r="L2549" i="16"/>
  <c r="I2549" i="16"/>
  <c r="H2549" i="16"/>
  <c r="T2549" i="16"/>
  <c r="G2549" i="16"/>
  <c r="F2549" i="16"/>
  <c r="P2549" i="16"/>
  <c r="L2566" i="16"/>
  <c r="K2566" i="16"/>
  <c r="N2566" i="16"/>
  <c r="M2566" i="16"/>
  <c r="J2566" i="16"/>
  <c r="F2566" i="16"/>
  <c r="E2566" i="16"/>
  <c r="P2566" i="16"/>
  <c r="O2623" i="16"/>
  <c r="O2651" i="16"/>
  <c r="G2651" i="16"/>
  <c r="N2651" i="16"/>
  <c r="F2651" i="16"/>
  <c r="I2651" i="16"/>
  <c r="H2651" i="16"/>
  <c r="T2651" i="16"/>
  <c r="E2651" i="16"/>
  <c r="L2651" i="16"/>
  <c r="K2651" i="16"/>
  <c r="P2658" i="16"/>
  <c r="H2658" i="16"/>
  <c r="O2658" i="16"/>
  <c r="G2658" i="16"/>
  <c r="T2658" i="16"/>
  <c r="E2658" i="16"/>
  <c r="N2658" i="16"/>
  <c r="M2658" i="16"/>
  <c r="L2658" i="16"/>
  <c r="P2738" i="16"/>
  <c r="H2738" i="16"/>
  <c r="O2738" i="16"/>
  <c r="G2738" i="16"/>
  <c r="I2738" i="16"/>
  <c r="F2738" i="16"/>
  <c r="T2738" i="16"/>
  <c r="E2738" i="16"/>
  <c r="M2738" i="16"/>
  <c r="M2741" i="16"/>
  <c r="E2741" i="16"/>
  <c r="L2741" i="16"/>
  <c r="I2741" i="16"/>
  <c r="H2741" i="16"/>
  <c r="T2741" i="16"/>
  <c r="G2741" i="16"/>
  <c r="K2741" i="16"/>
  <c r="J2741" i="16"/>
  <c r="N2748" i="16"/>
  <c r="F2748" i="16"/>
  <c r="M2748" i="16"/>
  <c r="E2748" i="16"/>
  <c r="H2748" i="16"/>
  <c r="T2748" i="16"/>
  <c r="G2748" i="16"/>
  <c r="P2748" i="16"/>
  <c r="L2748" i="16"/>
  <c r="L2758" i="16"/>
  <c r="K2758" i="16"/>
  <c r="N2758" i="16"/>
  <c r="M2758" i="16"/>
  <c r="J2758" i="16"/>
  <c r="P2758" i="16"/>
  <c r="O2758" i="16"/>
  <c r="H2758" i="16"/>
  <c r="T2758" i="16"/>
  <c r="O2763" i="16"/>
  <c r="G2763" i="16"/>
  <c r="N2763" i="16"/>
  <c r="F2763" i="16"/>
  <c r="T2763" i="16"/>
  <c r="E2763" i="16"/>
  <c r="P2763" i="16"/>
  <c r="M2763" i="16"/>
  <c r="I2763" i="16"/>
  <c r="H2763" i="16"/>
  <c r="O2771" i="16"/>
  <c r="G2771" i="16"/>
  <c r="N2771" i="16"/>
  <c r="F2771" i="16"/>
  <c r="H2771" i="16"/>
  <c r="T2771" i="16"/>
  <c r="E2771" i="16"/>
  <c r="P2771" i="16"/>
  <c r="I2771" i="16"/>
  <c r="P2778" i="16"/>
  <c r="H2778" i="16"/>
  <c r="O2778" i="16"/>
  <c r="G2778" i="16"/>
  <c r="N2778" i="16"/>
  <c r="M2778" i="16"/>
  <c r="L2778" i="16"/>
  <c r="I2778" i="16"/>
  <c r="F2778" i="16"/>
  <c r="O2779" i="16"/>
  <c r="G2779" i="16"/>
  <c r="N2779" i="16"/>
  <c r="F2779" i="16"/>
  <c r="I2779" i="16"/>
  <c r="H2779" i="16"/>
  <c r="T2779" i="16"/>
  <c r="E2779" i="16"/>
  <c r="J2779" i="16"/>
  <c r="P2794" i="16"/>
  <c r="H2794" i="16"/>
  <c r="O2794" i="16"/>
  <c r="G2794" i="16"/>
  <c r="F2794" i="16"/>
  <c r="T2794" i="16"/>
  <c r="E2794" i="16"/>
  <c r="N2794" i="16"/>
  <c r="K2794" i="16"/>
  <c r="J2794" i="16"/>
  <c r="O2827" i="16"/>
  <c r="G2827" i="16"/>
  <c r="N2827" i="16"/>
  <c r="F2827" i="16"/>
  <c r="T2827" i="16"/>
  <c r="E2827" i="16"/>
  <c r="P2827" i="16"/>
  <c r="M2827" i="16"/>
  <c r="J2827" i="16"/>
  <c r="I2827" i="16"/>
  <c r="P2842" i="16"/>
  <c r="H2842" i="16"/>
  <c r="O2842" i="16"/>
  <c r="G2842" i="16"/>
  <c r="N2842" i="16"/>
  <c r="M2842" i="16"/>
  <c r="L2842" i="16"/>
  <c r="J2842" i="16"/>
  <c r="I2842" i="16"/>
  <c r="E2842" i="16"/>
  <c r="M2861" i="16"/>
  <c r="E2861" i="16"/>
  <c r="L2861" i="16"/>
  <c r="H2861" i="16"/>
  <c r="T2861" i="16"/>
  <c r="G2861" i="16"/>
  <c r="P2861" i="16"/>
  <c r="F2861" i="16"/>
  <c r="N2861" i="16"/>
  <c r="K2861" i="16"/>
  <c r="I2861" i="16"/>
  <c r="K2887" i="16"/>
  <c r="J2887" i="16"/>
  <c r="O2887" i="16"/>
  <c r="E2887" i="16"/>
  <c r="N2887" i="16"/>
  <c r="M2887" i="16"/>
  <c r="I2887" i="16"/>
  <c r="H2887" i="16"/>
  <c r="F2887" i="16"/>
  <c r="P2938" i="16"/>
  <c r="H2938" i="16"/>
  <c r="O2938" i="16"/>
  <c r="G2938" i="16"/>
  <c r="J2938" i="16"/>
  <c r="I2938" i="16"/>
  <c r="F2938" i="16"/>
  <c r="T2938" i="16"/>
  <c r="M2938" i="16"/>
  <c r="N3004" i="16"/>
  <c r="F3004" i="16"/>
  <c r="M3004" i="16"/>
  <c r="E3004" i="16"/>
  <c r="H3004" i="16"/>
  <c r="T3004" i="16"/>
  <c r="G3004" i="16"/>
  <c r="P3004" i="16"/>
  <c r="L3004" i="16"/>
  <c r="L3078" i="16"/>
  <c r="K3078" i="16"/>
  <c r="N3078" i="16"/>
  <c r="M3078" i="16"/>
  <c r="J3078" i="16"/>
  <c r="P3078" i="16"/>
  <c r="O3078" i="16"/>
  <c r="H3078" i="16"/>
  <c r="T3078" i="16"/>
  <c r="O3083" i="16"/>
  <c r="G3083" i="16"/>
  <c r="N3083" i="16"/>
  <c r="F3083" i="16"/>
  <c r="T3083" i="16"/>
  <c r="E3083" i="16"/>
  <c r="P3083" i="16"/>
  <c r="M3083" i="16"/>
  <c r="I3083" i="16"/>
  <c r="H3083" i="16"/>
  <c r="M3093" i="16"/>
  <c r="E3093" i="16"/>
  <c r="L3093" i="16"/>
  <c r="O3093" i="16"/>
  <c r="N3093" i="16"/>
  <c r="K3093" i="16"/>
  <c r="G3093" i="16"/>
  <c r="F3093" i="16"/>
  <c r="T3093" i="16"/>
  <c r="L3094" i="16"/>
  <c r="K3094" i="16"/>
  <c r="P3094" i="16"/>
  <c r="F3094" i="16"/>
  <c r="O3094" i="16"/>
  <c r="E3094" i="16"/>
  <c r="N3094" i="16"/>
  <c r="T3094" i="16"/>
  <c r="J3094" i="16"/>
  <c r="K3159" i="16"/>
  <c r="J3159" i="16"/>
  <c r="T3159" i="16"/>
  <c r="G3159" i="16"/>
  <c r="P3159" i="16"/>
  <c r="F3159" i="16"/>
  <c r="O3159" i="16"/>
  <c r="E3159" i="16"/>
  <c r="I3159" i="16"/>
  <c r="H3159" i="16"/>
  <c r="M3221" i="16"/>
  <c r="E3221" i="16"/>
  <c r="L3221" i="16"/>
  <c r="O3221" i="16"/>
  <c r="N3221" i="16"/>
  <c r="K3221" i="16"/>
  <c r="G3221" i="16"/>
  <c r="F3221" i="16"/>
  <c r="T3221" i="16"/>
  <c r="L3222" i="16"/>
  <c r="K3222" i="16"/>
  <c r="P3222" i="16"/>
  <c r="F3222" i="16"/>
  <c r="O3222" i="16"/>
  <c r="E3222" i="16"/>
  <c r="N3222" i="16"/>
  <c r="T3222" i="16"/>
  <c r="J3222" i="16"/>
  <c r="N3244" i="16"/>
  <c r="F3244" i="16"/>
  <c r="M3244" i="16"/>
  <c r="E3244" i="16"/>
  <c r="P3244" i="16"/>
  <c r="O3244" i="16"/>
  <c r="L3244" i="16"/>
  <c r="I3244" i="16"/>
  <c r="H3244" i="16"/>
  <c r="M3245" i="16"/>
  <c r="E3245" i="16"/>
  <c r="L3245" i="16"/>
  <c r="H3245" i="16"/>
  <c r="T3245" i="16"/>
  <c r="G3245" i="16"/>
  <c r="P3245" i="16"/>
  <c r="F3245" i="16"/>
  <c r="I3245" i="16"/>
  <c r="N3268" i="16"/>
  <c r="F3268" i="16"/>
  <c r="M3268" i="16"/>
  <c r="E3268" i="16"/>
  <c r="I3268" i="16"/>
  <c r="H3268" i="16"/>
  <c r="T3268" i="16"/>
  <c r="G3268" i="16"/>
  <c r="L3268" i="16"/>
  <c r="K3268" i="16"/>
  <c r="O3339" i="16"/>
  <c r="G3339" i="16"/>
  <c r="N3339" i="16"/>
  <c r="F3339" i="16"/>
  <c r="T3339" i="16"/>
  <c r="E3339" i="16"/>
  <c r="P3339" i="16"/>
  <c r="M3339" i="16"/>
  <c r="H3339" i="16"/>
  <c r="M3349" i="16"/>
  <c r="E3349" i="16"/>
  <c r="L3349" i="16"/>
  <c r="O3349" i="16"/>
  <c r="N3349" i="16"/>
  <c r="K3349" i="16"/>
  <c r="H3349" i="16"/>
  <c r="G3349" i="16"/>
  <c r="T3349" i="16"/>
  <c r="M3357" i="16"/>
  <c r="E3357" i="16"/>
  <c r="L3357" i="16"/>
  <c r="P3357" i="16"/>
  <c r="F3357" i="16"/>
  <c r="O3357" i="16"/>
  <c r="N3357" i="16"/>
  <c r="J3357" i="16"/>
  <c r="I3357" i="16"/>
  <c r="G3357" i="16"/>
  <c r="M3373" i="16"/>
  <c r="E3373" i="16"/>
  <c r="L3373" i="16"/>
  <c r="H3373" i="16"/>
  <c r="T3373" i="16"/>
  <c r="G3373" i="16"/>
  <c r="P3373" i="16"/>
  <c r="F3373" i="16"/>
  <c r="J3373" i="16"/>
  <c r="I3373" i="16"/>
  <c r="O3411" i="16"/>
  <c r="G3411" i="16"/>
  <c r="N3411" i="16"/>
  <c r="F3411" i="16"/>
  <c r="H3411" i="16"/>
  <c r="T3411" i="16"/>
  <c r="E3411" i="16"/>
  <c r="P3411" i="16"/>
  <c r="J3411" i="16"/>
  <c r="I3411" i="16"/>
  <c r="P3418" i="16"/>
  <c r="H3418" i="16"/>
  <c r="O3418" i="16"/>
  <c r="G3418" i="16"/>
  <c r="N3418" i="16"/>
  <c r="M3418" i="16"/>
  <c r="L3418" i="16"/>
  <c r="I3418" i="16"/>
  <c r="F3418" i="16"/>
  <c r="O3419" i="16"/>
  <c r="G3419" i="16"/>
  <c r="N3419" i="16"/>
  <c r="F3419" i="16"/>
  <c r="I3419" i="16"/>
  <c r="H3419" i="16"/>
  <c r="T3419" i="16"/>
  <c r="E3419" i="16"/>
  <c r="J3419" i="16"/>
  <c r="N3444" i="16"/>
  <c r="F3444" i="16"/>
  <c r="M3444" i="16"/>
  <c r="E3444" i="16"/>
  <c r="T3444" i="16"/>
  <c r="G3444" i="16"/>
  <c r="P3444" i="16"/>
  <c r="O3444" i="16"/>
  <c r="I3444" i="16"/>
  <c r="H3444" i="16"/>
  <c r="O3459" i="16"/>
  <c r="G3459" i="16"/>
  <c r="N3459" i="16"/>
  <c r="F3459" i="16"/>
  <c r="P3459" i="16"/>
  <c r="M3459" i="16"/>
  <c r="L3459" i="16"/>
  <c r="E3459" i="16"/>
  <c r="T3459" i="16"/>
  <c r="O3483" i="16"/>
  <c r="G3483" i="16"/>
  <c r="N3483" i="16"/>
  <c r="F3483" i="16"/>
  <c r="I3483" i="16"/>
  <c r="H3483" i="16"/>
  <c r="T3483" i="16"/>
  <c r="E3483" i="16"/>
  <c r="M3483" i="16"/>
  <c r="L3483" i="16"/>
  <c r="K3483" i="16"/>
  <c r="J3483" i="16"/>
  <c r="N3500" i="16"/>
  <c r="F3500" i="16"/>
  <c r="M3500" i="16"/>
  <c r="E3500" i="16"/>
  <c r="P3500" i="16"/>
  <c r="O3500" i="16"/>
  <c r="L3500" i="16"/>
  <c r="G3500" i="16"/>
  <c r="T3500" i="16"/>
  <c r="L3534" i="16"/>
  <c r="K3534" i="16"/>
  <c r="O3534" i="16"/>
  <c r="E3534" i="16"/>
  <c r="N3534" i="16"/>
  <c r="M3534" i="16"/>
  <c r="H3534" i="16"/>
  <c r="G3534" i="16"/>
  <c r="F3534" i="16"/>
  <c r="P3554" i="16"/>
  <c r="H3554" i="16"/>
  <c r="O3554" i="16"/>
  <c r="G3554" i="16"/>
  <c r="T3554" i="16"/>
  <c r="E3554" i="16"/>
  <c r="N3554" i="16"/>
  <c r="M3554" i="16"/>
  <c r="J3554" i="16"/>
  <c r="I3554" i="16"/>
  <c r="F3554" i="16"/>
  <c r="P3570" i="16"/>
  <c r="H3570" i="16"/>
  <c r="O3570" i="16"/>
  <c r="G3570" i="16"/>
  <c r="I3570" i="16"/>
  <c r="F3570" i="16"/>
  <c r="T3570" i="16"/>
  <c r="E3570" i="16"/>
  <c r="L3570" i="16"/>
  <c r="K3570" i="16"/>
  <c r="J3570" i="16"/>
  <c r="O3619" i="16"/>
  <c r="G3619" i="16"/>
  <c r="N3619" i="16"/>
  <c r="F3619" i="16"/>
  <c r="J3619" i="16"/>
  <c r="I3619" i="16"/>
  <c r="H3619" i="16"/>
  <c r="L3619" i="16"/>
  <c r="K3619" i="16"/>
  <c r="E3619" i="16"/>
  <c r="K3647" i="16"/>
  <c r="J3647" i="16"/>
  <c r="N3647" i="16"/>
  <c r="M3647" i="16"/>
  <c r="L3647" i="16"/>
  <c r="E3647" i="16"/>
  <c r="T3647" i="16"/>
  <c r="P3647" i="16"/>
  <c r="O3647" i="16"/>
  <c r="N3652" i="16"/>
  <c r="F3652" i="16"/>
  <c r="M3652" i="16"/>
  <c r="E3652" i="16"/>
  <c r="I3652" i="16"/>
  <c r="H3652" i="16"/>
  <c r="T3652" i="16"/>
  <c r="G3652" i="16"/>
  <c r="O3652" i="16"/>
  <c r="L3652" i="16"/>
  <c r="K3652" i="16"/>
  <c r="J3652" i="16"/>
  <c r="O3659" i="16"/>
  <c r="G3659" i="16"/>
  <c r="N3659" i="16"/>
  <c r="F3659" i="16"/>
  <c r="T3659" i="16"/>
  <c r="E3659" i="16"/>
  <c r="P3659" i="16"/>
  <c r="M3659" i="16"/>
  <c r="H3659" i="16"/>
  <c r="P3674" i="16"/>
  <c r="H3674" i="16"/>
  <c r="O3674" i="16"/>
  <c r="G3674" i="16"/>
  <c r="N3674" i="16"/>
  <c r="M3674" i="16"/>
  <c r="L3674" i="16"/>
  <c r="F3674" i="16"/>
  <c r="E3674" i="16"/>
  <c r="K3679" i="16"/>
  <c r="J3679" i="16"/>
  <c r="H3679" i="16"/>
  <c r="T3679" i="16"/>
  <c r="G3679" i="16"/>
  <c r="P3679" i="16"/>
  <c r="F3679" i="16"/>
  <c r="E3679" i="16"/>
  <c r="O3679" i="16"/>
  <c r="M3693" i="16"/>
  <c r="E3693" i="16"/>
  <c r="L3693" i="16"/>
  <c r="H3693" i="16"/>
  <c r="T3693" i="16"/>
  <c r="G3693" i="16"/>
  <c r="P3693" i="16"/>
  <c r="F3693" i="16"/>
  <c r="N3693" i="16"/>
  <c r="K3693" i="16"/>
  <c r="J3693" i="16"/>
  <c r="I3693" i="16"/>
  <c r="L3726" i="16"/>
  <c r="K3726" i="16"/>
  <c r="O3726" i="16"/>
  <c r="E3726" i="16"/>
  <c r="N3726" i="16"/>
  <c r="M3726" i="16"/>
  <c r="F3726" i="16"/>
  <c r="T3726" i="16"/>
  <c r="P3726" i="16"/>
  <c r="P3746" i="16"/>
  <c r="H3746" i="16"/>
  <c r="O3746" i="16"/>
  <c r="G3746" i="16"/>
  <c r="T3746" i="16"/>
  <c r="E3746" i="16"/>
  <c r="N3746" i="16"/>
  <c r="M3746" i="16"/>
  <c r="J3746" i="16"/>
  <c r="I3746" i="16"/>
  <c r="F3746" i="16"/>
  <c r="P3762" i="16"/>
  <c r="H3762" i="16"/>
  <c r="O3762" i="16"/>
  <c r="G3762" i="16"/>
  <c r="I3762" i="16"/>
  <c r="F3762" i="16"/>
  <c r="T3762" i="16"/>
  <c r="E3762" i="16"/>
  <c r="L3762" i="16"/>
  <c r="K3762" i="16"/>
  <c r="J3762" i="16"/>
  <c r="N3780" i="16"/>
  <c r="F3780" i="16"/>
  <c r="M3780" i="16"/>
  <c r="E3780" i="16"/>
  <c r="I3780" i="16"/>
  <c r="H3780" i="16"/>
  <c r="T3780" i="16"/>
  <c r="G3780" i="16"/>
  <c r="O3780" i="16"/>
  <c r="L3780" i="16"/>
  <c r="K3780" i="16"/>
  <c r="J3780" i="16"/>
  <c r="L3806" i="16"/>
  <c r="K3806" i="16"/>
  <c r="T3806" i="16"/>
  <c r="G3806" i="16"/>
  <c r="P3806" i="16"/>
  <c r="F3806" i="16"/>
  <c r="O3806" i="16"/>
  <c r="E3806" i="16"/>
  <c r="H3806" i="16"/>
  <c r="J3806" i="16"/>
  <c r="I3806" i="16"/>
  <c r="N3966" i="16"/>
  <c r="F3966" i="16"/>
  <c r="I3966" i="16"/>
  <c r="T3966" i="16"/>
  <c r="H3966" i="16"/>
  <c r="G3966" i="16"/>
  <c r="E3966" i="16"/>
  <c r="P3966" i="16"/>
  <c r="L3966" i="16"/>
  <c r="K3966" i="16"/>
  <c r="J3966" i="16"/>
  <c r="O3966" i="16"/>
  <c r="M3966" i="16"/>
  <c r="L4000" i="16"/>
  <c r="O4000" i="16"/>
  <c r="F4000" i="16"/>
  <c r="N4000" i="16"/>
  <c r="E4000" i="16"/>
  <c r="J4000" i="16"/>
  <c r="I4000" i="16"/>
  <c r="H4000" i="16"/>
  <c r="G4000" i="16"/>
  <c r="M4000" i="16"/>
  <c r="K4000" i="16"/>
  <c r="L4110" i="16"/>
  <c r="T4110" i="16"/>
  <c r="H4110" i="16"/>
  <c r="N4110" i="16"/>
  <c r="M4110" i="16"/>
  <c r="G4110" i="16"/>
  <c r="F4110" i="16"/>
  <c r="E4110" i="16"/>
  <c r="O4110" i="16"/>
  <c r="K4110" i="16"/>
  <c r="J4110" i="16"/>
  <c r="I4110" i="16"/>
  <c r="J4256" i="16"/>
  <c r="K4256" i="16"/>
  <c r="P4256" i="16"/>
  <c r="F4256" i="16"/>
  <c r="O4256" i="16"/>
  <c r="E4256" i="16"/>
  <c r="H4256" i="16"/>
  <c r="G4256" i="16"/>
  <c r="L4256" i="16"/>
  <c r="I4256" i="16"/>
  <c r="M4256" i="16"/>
  <c r="N4300" i="16"/>
  <c r="F4300" i="16"/>
  <c r="P4300" i="16"/>
  <c r="G4300" i="16"/>
  <c r="H4300" i="16"/>
  <c r="T4300" i="16"/>
  <c r="E4300" i="16"/>
  <c r="K4300" i="16"/>
  <c r="J4300" i="16"/>
  <c r="I4300" i="16"/>
  <c r="O4300" i="16"/>
  <c r="M4300" i="16"/>
  <c r="L4300" i="16"/>
  <c r="K4303" i="16"/>
  <c r="T4303" i="16"/>
  <c r="H4303" i="16"/>
  <c r="P4303" i="16"/>
  <c r="F4303" i="16"/>
  <c r="O4303" i="16"/>
  <c r="E4303" i="16"/>
  <c r="I4303" i="16"/>
  <c r="G4303" i="16"/>
  <c r="J4303" i="16"/>
  <c r="N4303" i="16"/>
  <c r="M4303" i="16"/>
  <c r="L4303" i="16"/>
  <c r="J4392" i="16"/>
  <c r="P4392" i="16"/>
  <c r="G4392" i="16"/>
  <c r="T4392" i="16"/>
  <c r="F4392" i="16"/>
  <c r="O4392" i="16"/>
  <c r="E4392" i="16"/>
  <c r="I4392" i="16"/>
  <c r="H4392" i="16"/>
  <c r="N4392" i="16"/>
  <c r="M4392" i="16"/>
  <c r="L4392" i="16"/>
  <c r="K4392" i="16"/>
  <c r="O4419" i="16"/>
  <c r="G4419" i="16"/>
  <c r="I4419" i="16"/>
  <c r="H4419" i="16"/>
  <c r="T4419" i="16"/>
  <c r="F4419" i="16"/>
  <c r="J4419" i="16"/>
  <c r="E4419" i="16"/>
  <c r="N4419" i="16"/>
  <c r="M4419" i="16"/>
  <c r="L4419" i="16"/>
  <c r="K4419" i="16"/>
  <c r="P4419" i="16"/>
  <c r="O4483" i="16"/>
  <c r="G4483" i="16"/>
  <c r="I4483" i="16"/>
  <c r="H4483" i="16"/>
  <c r="T4483" i="16"/>
  <c r="F4483" i="16"/>
  <c r="K4483" i="16"/>
  <c r="J4483" i="16"/>
  <c r="E4483" i="16"/>
  <c r="M4483" i="16"/>
  <c r="L4483" i="16"/>
  <c r="P4483" i="16"/>
  <c r="N4483" i="16"/>
  <c r="K4487" i="16"/>
  <c r="L4487" i="16"/>
  <c r="P4487" i="16"/>
  <c r="F4487" i="16"/>
  <c r="O4487" i="16"/>
  <c r="E4487" i="16"/>
  <c r="H4487" i="16"/>
  <c r="G4487" i="16"/>
  <c r="J4487" i="16"/>
  <c r="I4487" i="16"/>
  <c r="N4487" i="16"/>
  <c r="M4487" i="16"/>
  <c r="N4516" i="16"/>
  <c r="F4516" i="16"/>
  <c r="O4516" i="16"/>
  <c r="E4516" i="16"/>
  <c r="P4516" i="16"/>
  <c r="M4516" i="16"/>
  <c r="I4516" i="16"/>
  <c r="H4516" i="16"/>
  <c r="G4516" i="16"/>
  <c r="L4516" i="16"/>
  <c r="K4516" i="16"/>
  <c r="J4516" i="16"/>
  <c r="T4516" i="16"/>
  <c r="N4844" i="16"/>
  <c r="F4844" i="16"/>
  <c r="M4844" i="16"/>
  <c r="L4844" i="16"/>
  <c r="K4844" i="16"/>
  <c r="H4844" i="16"/>
  <c r="G4844" i="16"/>
  <c r="E4844" i="16"/>
  <c r="I4844" i="16"/>
  <c r="O4844" i="16"/>
  <c r="J4844" i="16"/>
  <c r="T4844" i="16"/>
  <c r="P4844" i="16"/>
  <c r="N4884" i="16"/>
  <c r="F4884" i="16"/>
  <c r="O4884" i="16"/>
  <c r="E4884" i="16"/>
  <c r="M4884" i="16"/>
  <c r="L4884" i="16"/>
  <c r="G4884" i="16"/>
  <c r="T4884" i="16"/>
  <c r="H4884" i="16"/>
  <c r="P4884" i="16"/>
  <c r="K4884" i="16"/>
  <c r="J4884" i="16"/>
  <c r="I4884" i="16"/>
  <c r="J4888" i="16"/>
  <c r="P4888" i="16"/>
  <c r="G4888" i="16"/>
  <c r="O4888" i="16"/>
  <c r="F4888" i="16"/>
  <c r="N4888" i="16"/>
  <c r="E4888" i="16"/>
  <c r="T4888" i="16"/>
  <c r="L4888" i="16"/>
  <c r="K4888" i="16"/>
  <c r="I4888" i="16"/>
  <c r="H4888" i="16"/>
  <c r="M4888" i="16"/>
  <c r="M4989" i="16"/>
  <c r="E4989" i="16"/>
  <c r="T4989" i="16"/>
  <c r="H4989" i="16"/>
  <c r="P4989" i="16"/>
  <c r="G4989" i="16"/>
  <c r="O4989" i="16"/>
  <c r="F4989" i="16"/>
  <c r="J4989" i="16"/>
  <c r="I4989" i="16"/>
  <c r="L4989" i="16"/>
  <c r="K4989" i="16"/>
  <c r="N4989" i="16"/>
  <c r="M5189" i="16"/>
  <c r="E5189" i="16"/>
  <c r="L5189" i="16"/>
  <c r="T5189" i="16"/>
  <c r="G5189" i="16"/>
  <c r="P5189" i="16"/>
  <c r="F5189" i="16"/>
  <c r="O5189" i="16"/>
  <c r="H5189" i="16"/>
  <c r="N5189" i="16"/>
  <c r="K5189" i="16"/>
  <c r="J5189" i="16"/>
  <c r="I5189" i="16"/>
  <c r="M2717" i="16"/>
  <c r="E2717" i="16"/>
  <c r="L2717" i="16"/>
  <c r="P2717" i="16"/>
  <c r="F2717" i="16"/>
  <c r="O2717" i="16"/>
  <c r="N2717" i="16"/>
  <c r="K2717" i="16"/>
  <c r="P2730" i="16"/>
  <c r="H2730" i="16"/>
  <c r="O2730" i="16"/>
  <c r="G2730" i="16"/>
  <c r="F2730" i="16"/>
  <c r="T2730" i="16"/>
  <c r="E2730" i="16"/>
  <c r="N2730" i="16"/>
  <c r="M2730" i="16"/>
  <c r="K2775" i="16"/>
  <c r="J2775" i="16"/>
  <c r="T2775" i="16"/>
  <c r="G2775" i="16"/>
  <c r="P2775" i="16"/>
  <c r="F2775" i="16"/>
  <c r="O2775" i="16"/>
  <c r="E2775" i="16"/>
  <c r="N2775" i="16"/>
  <c r="M2805" i="16"/>
  <c r="E2805" i="16"/>
  <c r="L2805" i="16"/>
  <c r="I2805" i="16"/>
  <c r="H2805" i="16"/>
  <c r="T2805" i="16"/>
  <c r="G2805" i="16"/>
  <c r="O2805" i="16"/>
  <c r="P2810" i="16"/>
  <c r="H2810" i="16"/>
  <c r="O2810" i="16"/>
  <c r="G2810" i="16"/>
  <c r="J2810" i="16"/>
  <c r="I2810" i="16"/>
  <c r="F2810" i="16"/>
  <c r="N2810" i="16"/>
  <c r="O2819" i="16"/>
  <c r="G2819" i="16"/>
  <c r="N2819" i="16"/>
  <c r="F2819" i="16"/>
  <c r="P2819" i="16"/>
  <c r="M2819" i="16"/>
  <c r="L2819" i="16"/>
  <c r="K2819" i="16"/>
  <c r="M2853" i="16"/>
  <c r="E2853" i="16"/>
  <c r="L2853" i="16"/>
  <c r="T2853" i="16"/>
  <c r="G2853" i="16"/>
  <c r="P2853" i="16"/>
  <c r="F2853" i="16"/>
  <c r="O2853" i="16"/>
  <c r="N2853" i="16"/>
  <c r="N2868" i="16"/>
  <c r="F2868" i="16"/>
  <c r="M2868" i="16"/>
  <c r="E2868" i="16"/>
  <c r="T2868" i="16"/>
  <c r="G2868" i="16"/>
  <c r="P2868" i="16"/>
  <c r="O2868" i="16"/>
  <c r="L2868" i="16"/>
  <c r="P2874" i="16"/>
  <c r="H2874" i="16"/>
  <c r="O2874" i="16"/>
  <c r="G2874" i="16"/>
  <c r="J2874" i="16"/>
  <c r="I2874" i="16"/>
  <c r="F2874" i="16"/>
  <c r="N2874" i="16"/>
  <c r="L2886" i="16"/>
  <c r="K2886" i="16"/>
  <c r="N2886" i="16"/>
  <c r="M2886" i="16"/>
  <c r="J2886" i="16"/>
  <c r="I2886" i="16"/>
  <c r="O2899" i="16"/>
  <c r="G2899" i="16"/>
  <c r="N2899" i="16"/>
  <c r="F2899" i="16"/>
  <c r="H2899" i="16"/>
  <c r="T2899" i="16"/>
  <c r="E2899" i="16"/>
  <c r="P2899" i="16"/>
  <c r="M2899" i="16"/>
  <c r="L2902" i="16"/>
  <c r="K2902" i="16"/>
  <c r="P2902" i="16"/>
  <c r="F2902" i="16"/>
  <c r="O2902" i="16"/>
  <c r="E2902" i="16"/>
  <c r="N2902" i="16"/>
  <c r="M2902" i="16"/>
  <c r="P2922" i="16"/>
  <c r="H2922" i="16"/>
  <c r="O2922" i="16"/>
  <c r="G2922" i="16"/>
  <c r="F2922" i="16"/>
  <c r="T2922" i="16"/>
  <c r="E2922" i="16"/>
  <c r="N2922" i="16"/>
  <c r="M2922" i="16"/>
  <c r="O2955" i="16"/>
  <c r="G2955" i="16"/>
  <c r="N2955" i="16"/>
  <c r="F2955" i="16"/>
  <c r="T2955" i="16"/>
  <c r="E2955" i="16"/>
  <c r="P2955" i="16"/>
  <c r="M2955" i="16"/>
  <c r="L2955" i="16"/>
  <c r="M2965" i="16"/>
  <c r="E2965" i="16"/>
  <c r="L2965" i="16"/>
  <c r="O2965" i="16"/>
  <c r="N2965" i="16"/>
  <c r="K2965" i="16"/>
  <c r="J2965" i="16"/>
  <c r="P2978" i="16"/>
  <c r="H2978" i="16"/>
  <c r="O2978" i="16"/>
  <c r="G2978" i="16"/>
  <c r="T2978" i="16"/>
  <c r="E2978" i="16"/>
  <c r="N2978" i="16"/>
  <c r="M2978" i="16"/>
  <c r="L2978" i="16"/>
  <c r="N2988" i="16"/>
  <c r="F2988" i="16"/>
  <c r="M2988" i="16"/>
  <c r="E2988" i="16"/>
  <c r="P2988" i="16"/>
  <c r="O2988" i="16"/>
  <c r="L2988" i="16"/>
  <c r="K2988" i="16"/>
  <c r="O3011" i="16"/>
  <c r="G3011" i="16"/>
  <c r="N3011" i="16"/>
  <c r="F3011" i="16"/>
  <c r="P3011" i="16"/>
  <c r="M3011" i="16"/>
  <c r="L3011" i="16"/>
  <c r="K3011" i="16"/>
  <c r="K3031" i="16"/>
  <c r="J3031" i="16"/>
  <c r="T3031" i="16"/>
  <c r="G3031" i="16"/>
  <c r="P3031" i="16"/>
  <c r="F3031" i="16"/>
  <c r="O3031" i="16"/>
  <c r="E3031" i="16"/>
  <c r="N3031" i="16"/>
  <c r="M3061" i="16"/>
  <c r="E3061" i="16"/>
  <c r="L3061" i="16"/>
  <c r="I3061" i="16"/>
  <c r="H3061" i="16"/>
  <c r="T3061" i="16"/>
  <c r="G3061" i="16"/>
  <c r="O3061" i="16"/>
  <c r="K3087" i="16"/>
  <c r="J3087" i="16"/>
  <c r="P3087" i="16"/>
  <c r="F3087" i="16"/>
  <c r="O3087" i="16"/>
  <c r="E3087" i="16"/>
  <c r="N3087" i="16"/>
  <c r="M3087" i="16"/>
  <c r="P3098" i="16"/>
  <c r="H3098" i="16"/>
  <c r="O3098" i="16"/>
  <c r="G3098" i="16"/>
  <c r="N3098" i="16"/>
  <c r="M3098" i="16"/>
  <c r="L3098" i="16"/>
  <c r="K3098" i="16"/>
  <c r="K3103" i="16"/>
  <c r="J3103" i="16"/>
  <c r="H3103" i="16"/>
  <c r="T3103" i="16"/>
  <c r="G3103" i="16"/>
  <c r="P3103" i="16"/>
  <c r="F3103" i="16"/>
  <c r="N3103" i="16"/>
  <c r="M3117" i="16"/>
  <c r="E3117" i="16"/>
  <c r="L3117" i="16"/>
  <c r="H3117" i="16"/>
  <c r="T3117" i="16"/>
  <c r="G3117" i="16"/>
  <c r="P3117" i="16"/>
  <c r="F3117" i="16"/>
  <c r="O3117" i="16"/>
  <c r="N3140" i="16"/>
  <c r="F3140" i="16"/>
  <c r="M3140" i="16"/>
  <c r="E3140" i="16"/>
  <c r="I3140" i="16"/>
  <c r="H3140" i="16"/>
  <c r="T3140" i="16"/>
  <c r="G3140" i="16"/>
  <c r="P3140" i="16"/>
  <c r="K3143" i="16"/>
  <c r="J3143" i="16"/>
  <c r="O3143" i="16"/>
  <c r="E3143" i="16"/>
  <c r="N3143" i="16"/>
  <c r="M3143" i="16"/>
  <c r="L3143" i="16"/>
  <c r="L3150" i="16"/>
  <c r="K3150" i="16"/>
  <c r="O3150" i="16"/>
  <c r="E3150" i="16"/>
  <c r="N3150" i="16"/>
  <c r="M3150" i="16"/>
  <c r="J3150" i="16"/>
  <c r="M3165" i="16"/>
  <c r="E3165" i="16"/>
  <c r="L3165" i="16"/>
  <c r="P3165" i="16"/>
  <c r="F3165" i="16"/>
  <c r="O3165" i="16"/>
  <c r="N3165" i="16"/>
  <c r="K3165" i="16"/>
  <c r="N3180" i="16"/>
  <c r="F3180" i="16"/>
  <c r="M3180" i="16"/>
  <c r="E3180" i="16"/>
  <c r="P3180" i="16"/>
  <c r="O3180" i="16"/>
  <c r="L3180" i="16"/>
  <c r="K3180" i="16"/>
  <c r="O3211" i="16"/>
  <c r="G3211" i="16"/>
  <c r="N3211" i="16"/>
  <c r="F3211" i="16"/>
  <c r="T3211" i="16"/>
  <c r="E3211" i="16"/>
  <c r="P3211" i="16"/>
  <c r="M3211" i="16"/>
  <c r="L3211" i="16"/>
  <c r="P3226" i="16"/>
  <c r="H3226" i="16"/>
  <c r="O3226" i="16"/>
  <c r="G3226" i="16"/>
  <c r="N3226" i="16"/>
  <c r="M3226" i="16"/>
  <c r="L3226" i="16"/>
  <c r="K3226" i="16"/>
  <c r="K3231" i="16"/>
  <c r="J3231" i="16"/>
  <c r="H3231" i="16"/>
  <c r="T3231" i="16"/>
  <c r="G3231" i="16"/>
  <c r="P3231" i="16"/>
  <c r="F3231" i="16"/>
  <c r="N3231" i="16"/>
  <c r="P3242" i="16"/>
  <c r="H3242" i="16"/>
  <c r="O3242" i="16"/>
  <c r="G3242" i="16"/>
  <c r="F3242" i="16"/>
  <c r="T3242" i="16"/>
  <c r="E3242" i="16"/>
  <c r="N3242" i="16"/>
  <c r="M3242" i="16"/>
  <c r="O3291" i="16"/>
  <c r="G3291" i="16"/>
  <c r="N3291" i="16"/>
  <c r="F3291" i="16"/>
  <c r="I3291" i="16"/>
  <c r="H3291" i="16"/>
  <c r="T3291" i="16"/>
  <c r="E3291" i="16"/>
  <c r="P3291" i="16"/>
  <c r="N3316" i="16"/>
  <c r="F3316" i="16"/>
  <c r="M3316" i="16"/>
  <c r="E3316" i="16"/>
  <c r="T3316" i="16"/>
  <c r="G3316" i="16"/>
  <c r="P3316" i="16"/>
  <c r="O3316" i="16"/>
  <c r="L3316" i="16"/>
  <c r="P3322" i="16"/>
  <c r="H3322" i="16"/>
  <c r="O3322" i="16"/>
  <c r="G3322" i="16"/>
  <c r="J3322" i="16"/>
  <c r="I3322" i="16"/>
  <c r="F3322" i="16"/>
  <c r="N3322" i="16"/>
  <c r="K3327" i="16"/>
  <c r="J3327" i="16"/>
  <c r="N3327" i="16"/>
  <c r="M3327" i="16"/>
  <c r="L3327" i="16"/>
  <c r="I3327" i="16"/>
  <c r="N3340" i="16"/>
  <c r="F3340" i="16"/>
  <c r="M3340" i="16"/>
  <c r="E3340" i="16"/>
  <c r="J3340" i="16"/>
  <c r="I3340" i="16"/>
  <c r="H3340" i="16"/>
  <c r="P3340" i="16"/>
  <c r="K3343" i="16"/>
  <c r="J3343" i="16"/>
  <c r="P3343" i="16"/>
  <c r="F3343" i="16"/>
  <c r="O3343" i="16"/>
  <c r="E3343" i="16"/>
  <c r="N3343" i="16"/>
  <c r="M3343" i="16"/>
  <c r="O3347" i="16"/>
  <c r="G3347" i="16"/>
  <c r="N3347" i="16"/>
  <c r="F3347" i="16"/>
  <c r="H3347" i="16"/>
  <c r="T3347" i="16"/>
  <c r="E3347" i="16"/>
  <c r="P3347" i="16"/>
  <c r="M3347" i="16"/>
  <c r="L3350" i="16"/>
  <c r="K3350" i="16"/>
  <c r="P3350" i="16"/>
  <c r="F3350" i="16"/>
  <c r="O3350" i="16"/>
  <c r="E3350" i="16"/>
  <c r="N3350" i="16"/>
  <c r="M3350" i="16"/>
  <c r="N3380" i="16"/>
  <c r="F3380" i="16"/>
  <c r="M3380" i="16"/>
  <c r="E3380" i="16"/>
  <c r="T3380" i="16"/>
  <c r="G3380" i="16"/>
  <c r="P3380" i="16"/>
  <c r="O3380" i="16"/>
  <c r="L3380" i="16"/>
  <c r="L3398" i="16"/>
  <c r="K3398" i="16"/>
  <c r="N3398" i="16"/>
  <c r="M3398" i="16"/>
  <c r="J3398" i="16"/>
  <c r="I3398" i="16"/>
  <c r="K3415" i="16"/>
  <c r="J3415" i="16"/>
  <c r="T3415" i="16"/>
  <c r="G3415" i="16"/>
  <c r="P3415" i="16"/>
  <c r="F3415" i="16"/>
  <c r="O3415" i="16"/>
  <c r="E3415" i="16"/>
  <c r="N3415" i="16"/>
  <c r="M3429" i="16"/>
  <c r="E3429" i="16"/>
  <c r="L3429" i="16"/>
  <c r="T3429" i="16"/>
  <c r="G3429" i="16"/>
  <c r="P3429" i="16"/>
  <c r="F3429" i="16"/>
  <c r="O3429" i="16"/>
  <c r="N3429" i="16"/>
  <c r="L3470" i="16"/>
  <c r="K3470" i="16"/>
  <c r="O3470" i="16"/>
  <c r="E3470" i="16"/>
  <c r="N3470" i="16"/>
  <c r="M3470" i="16"/>
  <c r="J3470" i="16"/>
  <c r="M3477" i="16"/>
  <c r="E3477" i="16"/>
  <c r="L3477" i="16"/>
  <c r="O3477" i="16"/>
  <c r="N3477" i="16"/>
  <c r="K3477" i="16"/>
  <c r="J3477" i="16"/>
  <c r="P3490" i="16"/>
  <c r="H3490" i="16"/>
  <c r="O3490" i="16"/>
  <c r="G3490" i="16"/>
  <c r="T3490" i="16"/>
  <c r="E3490" i="16"/>
  <c r="N3490" i="16"/>
  <c r="M3490" i="16"/>
  <c r="L3490" i="16"/>
  <c r="N3532" i="16"/>
  <c r="F3532" i="16"/>
  <c r="M3532" i="16"/>
  <c r="E3532" i="16"/>
  <c r="J3532" i="16"/>
  <c r="I3532" i="16"/>
  <c r="H3532" i="16"/>
  <c r="P3532" i="16"/>
  <c r="K3535" i="16"/>
  <c r="J3535" i="16"/>
  <c r="P3535" i="16"/>
  <c r="F3535" i="16"/>
  <c r="O3535" i="16"/>
  <c r="E3535" i="16"/>
  <c r="N3535" i="16"/>
  <c r="M3535" i="16"/>
  <c r="O3539" i="16"/>
  <c r="G3539" i="16"/>
  <c r="N3539" i="16"/>
  <c r="F3539" i="16"/>
  <c r="H3539" i="16"/>
  <c r="T3539" i="16"/>
  <c r="E3539" i="16"/>
  <c r="P3539" i="16"/>
  <c r="M3539" i="16"/>
  <c r="O3547" i="16"/>
  <c r="G3547" i="16"/>
  <c r="N3547" i="16"/>
  <c r="F3547" i="16"/>
  <c r="I3547" i="16"/>
  <c r="H3547" i="16"/>
  <c r="T3547" i="16"/>
  <c r="E3547" i="16"/>
  <c r="P3547" i="16"/>
  <c r="N3572" i="16"/>
  <c r="F3572" i="16"/>
  <c r="M3572" i="16"/>
  <c r="E3572" i="16"/>
  <c r="T3572" i="16"/>
  <c r="G3572" i="16"/>
  <c r="P3572" i="16"/>
  <c r="O3572" i="16"/>
  <c r="L3572" i="16"/>
  <c r="O3595" i="16"/>
  <c r="G3595" i="16"/>
  <c r="N3595" i="16"/>
  <c r="F3595" i="16"/>
  <c r="T3595" i="16"/>
  <c r="E3595" i="16"/>
  <c r="P3595" i="16"/>
  <c r="M3595" i="16"/>
  <c r="L3595" i="16"/>
  <c r="O3611" i="16"/>
  <c r="G3611" i="16"/>
  <c r="N3611" i="16"/>
  <c r="F3611" i="16"/>
  <c r="I3611" i="16"/>
  <c r="H3611" i="16"/>
  <c r="T3611" i="16"/>
  <c r="E3611" i="16"/>
  <c r="P3611" i="16"/>
  <c r="N3628" i="16"/>
  <c r="F3628" i="16"/>
  <c r="M3628" i="16"/>
  <c r="E3628" i="16"/>
  <c r="P3628" i="16"/>
  <c r="O3628" i="16"/>
  <c r="L3628" i="16"/>
  <c r="K3628" i="16"/>
  <c r="N3660" i="16"/>
  <c r="F3660" i="16"/>
  <c r="M3660" i="16"/>
  <c r="E3660" i="16"/>
  <c r="J3660" i="16"/>
  <c r="I3660" i="16"/>
  <c r="H3660" i="16"/>
  <c r="P3660" i="16"/>
  <c r="K3663" i="16"/>
  <c r="J3663" i="16"/>
  <c r="P3663" i="16"/>
  <c r="F3663" i="16"/>
  <c r="O3663" i="16"/>
  <c r="E3663" i="16"/>
  <c r="N3663" i="16"/>
  <c r="M3663" i="16"/>
  <c r="O3667" i="16"/>
  <c r="G3667" i="16"/>
  <c r="N3667" i="16"/>
  <c r="F3667" i="16"/>
  <c r="H3667" i="16"/>
  <c r="T3667" i="16"/>
  <c r="E3667" i="16"/>
  <c r="P3667" i="16"/>
  <c r="M3667" i="16"/>
  <c r="O3675" i="16"/>
  <c r="G3675" i="16"/>
  <c r="N3675" i="16"/>
  <c r="F3675" i="16"/>
  <c r="I3675" i="16"/>
  <c r="H3675" i="16"/>
  <c r="T3675" i="16"/>
  <c r="E3675" i="16"/>
  <c r="P3675" i="16"/>
  <c r="N3716" i="16"/>
  <c r="F3716" i="16"/>
  <c r="M3716" i="16"/>
  <c r="E3716" i="16"/>
  <c r="I3716" i="16"/>
  <c r="H3716" i="16"/>
  <c r="T3716" i="16"/>
  <c r="G3716" i="16"/>
  <c r="P3716" i="16"/>
  <c r="K3719" i="16"/>
  <c r="J3719" i="16"/>
  <c r="O3719" i="16"/>
  <c r="E3719" i="16"/>
  <c r="N3719" i="16"/>
  <c r="M3719" i="16"/>
  <c r="L3719" i="16"/>
  <c r="L3734" i="16"/>
  <c r="K3734" i="16"/>
  <c r="P3734" i="16"/>
  <c r="F3734" i="16"/>
  <c r="O3734" i="16"/>
  <c r="E3734" i="16"/>
  <c r="N3734" i="16"/>
  <c r="M3734" i="16"/>
  <c r="N3764" i="16"/>
  <c r="F3764" i="16"/>
  <c r="M3764" i="16"/>
  <c r="E3764" i="16"/>
  <c r="T3764" i="16"/>
  <c r="G3764" i="16"/>
  <c r="P3764" i="16"/>
  <c r="O3764" i="16"/>
  <c r="L3764" i="16"/>
  <c r="L3782" i="16"/>
  <c r="K3782" i="16"/>
  <c r="N3782" i="16"/>
  <c r="M3782" i="16"/>
  <c r="J3782" i="16"/>
  <c r="G3782" i="16"/>
  <c r="F3782" i="16"/>
  <c r="P3782" i="16"/>
  <c r="P3834" i="16"/>
  <c r="H3834" i="16"/>
  <c r="O3834" i="16"/>
  <c r="G3834" i="16"/>
  <c r="J3834" i="16"/>
  <c r="I3834" i="16"/>
  <c r="F3834" i="16"/>
  <c r="T3834" i="16"/>
  <c r="N3834" i="16"/>
  <c r="K3847" i="16"/>
  <c r="J3847" i="16"/>
  <c r="O3847" i="16"/>
  <c r="E3847" i="16"/>
  <c r="N3847" i="16"/>
  <c r="M3847" i="16"/>
  <c r="T3847" i="16"/>
  <c r="P3847" i="16"/>
  <c r="L3847" i="16"/>
  <c r="P3866" i="16"/>
  <c r="H3866" i="16"/>
  <c r="O3866" i="16"/>
  <c r="G3866" i="16"/>
  <c r="N3866" i="16"/>
  <c r="M3866" i="16"/>
  <c r="L3866" i="16"/>
  <c r="K3866" i="16"/>
  <c r="P3890" i="16"/>
  <c r="H3890" i="16"/>
  <c r="O3890" i="16"/>
  <c r="G3890" i="16"/>
  <c r="I3890" i="16"/>
  <c r="F3890" i="16"/>
  <c r="T3890" i="16"/>
  <c r="E3890" i="16"/>
  <c r="K3890" i="16"/>
  <c r="J3890" i="16"/>
  <c r="P3898" i="16"/>
  <c r="H3898" i="16"/>
  <c r="O3898" i="16"/>
  <c r="G3898" i="16"/>
  <c r="J3898" i="16"/>
  <c r="I3898" i="16"/>
  <c r="F3898" i="16"/>
  <c r="T3898" i="16"/>
  <c r="N3898" i="16"/>
  <c r="N3916" i="16"/>
  <c r="F3916" i="16"/>
  <c r="M3916" i="16"/>
  <c r="E3916" i="16"/>
  <c r="J3916" i="16"/>
  <c r="I3916" i="16"/>
  <c r="H3916" i="16"/>
  <c r="O3916" i="16"/>
  <c r="L3916" i="16"/>
  <c r="P3930" i="16"/>
  <c r="H3930" i="16"/>
  <c r="O3930" i="16"/>
  <c r="G3930" i="16"/>
  <c r="N3930" i="16"/>
  <c r="M3930" i="16"/>
  <c r="L3930" i="16"/>
  <c r="T3930" i="16"/>
  <c r="K3930" i="16"/>
  <c r="P3938" i="16"/>
  <c r="H3938" i="16"/>
  <c r="O3938" i="16"/>
  <c r="G3938" i="16"/>
  <c r="T3938" i="16"/>
  <c r="E3938" i="16"/>
  <c r="N3938" i="16"/>
  <c r="M3938" i="16"/>
  <c r="F3938" i="16"/>
  <c r="T3939" i="16"/>
  <c r="O3939" i="16"/>
  <c r="G3939" i="16"/>
  <c r="N3939" i="16"/>
  <c r="F3939" i="16"/>
  <c r="J3939" i="16"/>
  <c r="I3939" i="16"/>
  <c r="H3939" i="16"/>
  <c r="P3939" i="16"/>
  <c r="M3951" i="16"/>
  <c r="E3951" i="16"/>
  <c r="T3951" i="16"/>
  <c r="H3951" i="16"/>
  <c r="P3951" i="16"/>
  <c r="G3951" i="16"/>
  <c r="F3951" i="16"/>
  <c r="O3951" i="16"/>
  <c r="I3951" i="16"/>
  <c r="J3978" i="16"/>
  <c r="P3978" i="16"/>
  <c r="G3978" i="16"/>
  <c r="O3978" i="16"/>
  <c r="F3978" i="16"/>
  <c r="K3978" i="16"/>
  <c r="I3978" i="16"/>
  <c r="H3978" i="16"/>
  <c r="L3978" i="16"/>
  <c r="E3978" i="16"/>
  <c r="P4028" i="16"/>
  <c r="H4028" i="16"/>
  <c r="O4028" i="16"/>
  <c r="F4028" i="16"/>
  <c r="N4028" i="16"/>
  <c r="E4028" i="16"/>
  <c r="G4028" i="16"/>
  <c r="T4028" i="16"/>
  <c r="L4028" i="16"/>
  <c r="K4028" i="16"/>
  <c r="J4028" i="16"/>
  <c r="O4059" i="16"/>
  <c r="G4059" i="16"/>
  <c r="T4059" i="16"/>
  <c r="H4059" i="16"/>
  <c r="P4059" i="16"/>
  <c r="E4059" i="16"/>
  <c r="N4059" i="16"/>
  <c r="K4059" i="16"/>
  <c r="J4059" i="16"/>
  <c r="I4059" i="16"/>
  <c r="L4059" i="16"/>
  <c r="F4059" i="16"/>
  <c r="K4063" i="16"/>
  <c r="J4063" i="16"/>
  <c r="O4063" i="16"/>
  <c r="E4063" i="16"/>
  <c r="N4063" i="16"/>
  <c r="H4063" i="16"/>
  <c r="G4063" i="16"/>
  <c r="F4063" i="16"/>
  <c r="L4063" i="16"/>
  <c r="I4063" i="16"/>
  <c r="K4071" i="16"/>
  <c r="P4071" i="16"/>
  <c r="G4071" i="16"/>
  <c r="N4071" i="16"/>
  <c r="M4071" i="16"/>
  <c r="E4071" i="16"/>
  <c r="T4071" i="16"/>
  <c r="O4071" i="16"/>
  <c r="J4071" i="16"/>
  <c r="I4071" i="16"/>
  <c r="H4071" i="16"/>
  <c r="N4076" i="16"/>
  <c r="F4076" i="16"/>
  <c r="K4076" i="16"/>
  <c r="P4076" i="16"/>
  <c r="E4076" i="16"/>
  <c r="O4076" i="16"/>
  <c r="H4076" i="16"/>
  <c r="G4076" i="16"/>
  <c r="I4076" i="16"/>
  <c r="J4144" i="16"/>
  <c r="M4144" i="16"/>
  <c r="L4144" i="16"/>
  <c r="K4144" i="16"/>
  <c r="F4144" i="16"/>
  <c r="T4144" i="16"/>
  <c r="E4144" i="16"/>
  <c r="P4144" i="16"/>
  <c r="I4144" i="16"/>
  <c r="H4144" i="16"/>
  <c r="G4144" i="16"/>
  <c r="N4308" i="16"/>
  <c r="F4308" i="16"/>
  <c r="L4308" i="16"/>
  <c r="H4308" i="16"/>
  <c r="T4308" i="16"/>
  <c r="G4308" i="16"/>
  <c r="K4308" i="16"/>
  <c r="J4308" i="16"/>
  <c r="I4308" i="16"/>
  <c r="O4308" i="16"/>
  <c r="M4308" i="16"/>
  <c r="E4308" i="16"/>
  <c r="O4355" i="16"/>
  <c r="G4355" i="16"/>
  <c r="I4355" i="16"/>
  <c r="H4355" i="16"/>
  <c r="T4355" i="16"/>
  <c r="F4355" i="16"/>
  <c r="E4355" i="16"/>
  <c r="P4355" i="16"/>
  <c r="M4355" i="16"/>
  <c r="L4355" i="16"/>
  <c r="K4355" i="16"/>
  <c r="J4355" i="16"/>
  <c r="L4358" i="16"/>
  <c r="K4358" i="16"/>
  <c r="O4358" i="16"/>
  <c r="E4358" i="16"/>
  <c r="N4358" i="16"/>
  <c r="I4358" i="16"/>
  <c r="H4358" i="16"/>
  <c r="G4358" i="16"/>
  <c r="P4358" i="16"/>
  <c r="M4358" i="16"/>
  <c r="J4358" i="16"/>
  <c r="F4358" i="16"/>
  <c r="K4423" i="16"/>
  <c r="L4423" i="16"/>
  <c r="P4423" i="16"/>
  <c r="F4423" i="16"/>
  <c r="O4423" i="16"/>
  <c r="E4423" i="16"/>
  <c r="G4423" i="16"/>
  <c r="T4423" i="16"/>
  <c r="H4423" i="16"/>
  <c r="O4435" i="16"/>
  <c r="G4435" i="16"/>
  <c r="K4435" i="16"/>
  <c r="P4435" i="16"/>
  <c r="E4435" i="16"/>
  <c r="N4435" i="16"/>
  <c r="F4435" i="16"/>
  <c r="T4435" i="16"/>
  <c r="I4435" i="16"/>
  <c r="H4435" i="16"/>
  <c r="J4440" i="16"/>
  <c r="N4440" i="16"/>
  <c r="E4440" i="16"/>
  <c r="H4440" i="16"/>
  <c r="T4440" i="16"/>
  <c r="G4440" i="16"/>
  <c r="P4440" i="16"/>
  <c r="O4440" i="16"/>
  <c r="L4440" i="16"/>
  <c r="K4440" i="16"/>
  <c r="I4440" i="16"/>
  <c r="F4440" i="16"/>
  <c r="M4485" i="16"/>
  <c r="E4485" i="16"/>
  <c r="K4485" i="16"/>
  <c r="N4485" i="16"/>
  <c r="L4485" i="16"/>
  <c r="G4485" i="16"/>
  <c r="F4485" i="16"/>
  <c r="T4485" i="16"/>
  <c r="O4485" i="16"/>
  <c r="J4485" i="16"/>
  <c r="I4485" i="16"/>
  <c r="H4485" i="16"/>
  <c r="J4496" i="16"/>
  <c r="T4496" i="16"/>
  <c r="H4496" i="16"/>
  <c r="I4496" i="16"/>
  <c r="G4496" i="16"/>
  <c r="K4496" i="16"/>
  <c r="F4496" i="16"/>
  <c r="E4496" i="16"/>
  <c r="L4496" i="16"/>
  <c r="K4511" i="16"/>
  <c r="J4511" i="16"/>
  <c r="O4511" i="16"/>
  <c r="E4511" i="16"/>
  <c r="N4511" i="16"/>
  <c r="G4511" i="16"/>
  <c r="F4511" i="16"/>
  <c r="T4511" i="16"/>
  <c r="H4511" i="16"/>
  <c r="O4539" i="16"/>
  <c r="G4539" i="16"/>
  <c r="L4539" i="16"/>
  <c r="T4539" i="16"/>
  <c r="F4539" i="16"/>
  <c r="P4539" i="16"/>
  <c r="E4539" i="16"/>
  <c r="I4539" i="16"/>
  <c r="H4539" i="16"/>
  <c r="M4539" i="16"/>
  <c r="K4539" i="16"/>
  <c r="J4539" i="16"/>
  <c r="L4550" i="16"/>
  <c r="K4550" i="16"/>
  <c r="O4550" i="16"/>
  <c r="E4550" i="16"/>
  <c r="N4550" i="16"/>
  <c r="M4550" i="16"/>
  <c r="T4550" i="16"/>
  <c r="P4550" i="16"/>
  <c r="F4550" i="16"/>
  <c r="L4590" i="16"/>
  <c r="N4590" i="16"/>
  <c r="E4590" i="16"/>
  <c r="M4590" i="16"/>
  <c r="P4590" i="16"/>
  <c r="O4590" i="16"/>
  <c r="K4590" i="16"/>
  <c r="H4590" i="16"/>
  <c r="G4590" i="16"/>
  <c r="F4590" i="16"/>
  <c r="T4590" i="16"/>
  <c r="J4590" i="16"/>
  <c r="I4590" i="16"/>
  <c r="O4627" i="16"/>
  <c r="G4627" i="16"/>
  <c r="M4627" i="16"/>
  <c r="L4627" i="16"/>
  <c r="K4627" i="16"/>
  <c r="E4627" i="16"/>
  <c r="T4627" i="16"/>
  <c r="P4627" i="16"/>
  <c r="H4627" i="16"/>
  <c r="F4627" i="16"/>
  <c r="J4627" i="16"/>
  <c r="I4627" i="16"/>
  <c r="K4695" i="16"/>
  <c r="P4695" i="16"/>
  <c r="G4695" i="16"/>
  <c r="O4695" i="16"/>
  <c r="F4695" i="16"/>
  <c r="N4695" i="16"/>
  <c r="E4695" i="16"/>
  <c r="H4695" i="16"/>
  <c r="M4695" i="16"/>
  <c r="L4695" i="16"/>
  <c r="J4695" i="16"/>
  <c r="I4695" i="16"/>
  <c r="P4746" i="16"/>
  <c r="H4746" i="16"/>
  <c r="O4746" i="16"/>
  <c r="F4746" i="16"/>
  <c r="N4746" i="16"/>
  <c r="E4746" i="16"/>
  <c r="M4746" i="16"/>
  <c r="J4746" i="16"/>
  <c r="I4746" i="16"/>
  <c r="G4746" i="16"/>
  <c r="K4746" i="16"/>
  <c r="T4746" i="16"/>
  <c r="L4746" i="16"/>
  <c r="O4923" i="16"/>
  <c r="G4923" i="16"/>
  <c r="N4923" i="16"/>
  <c r="E4923" i="16"/>
  <c r="M4923" i="16"/>
  <c r="L4923" i="16"/>
  <c r="J4923" i="16"/>
  <c r="I4923" i="16"/>
  <c r="H4923" i="16"/>
  <c r="P4923" i="16"/>
  <c r="K4923" i="16"/>
  <c r="F4923" i="16"/>
  <c r="N5004" i="16"/>
  <c r="F5004" i="16"/>
  <c r="I5004" i="16"/>
  <c r="T5004" i="16"/>
  <c r="H5004" i="16"/>
  <c r="P5004" i="16"/>
  <c r="G5004" i="16"/>
  <c r="L5004" i="16"/>
  <c r="K5004" i="16"/>
  <c r="J5004" i="16"/>
  <c r="E5004" i="16"/>
  <c r="O5004" i="16"/>
  <c r="M5004" i="16"/>
  <c r="L5014" i="16"/>
  <c r="P5014" i="16"/>
  <c r="G5014" i="16"/>
  <c r="O5014" i="16"/>
  <c r="F5014" i="16"/>
  <c r="N5014" i="16"/>
  <c r="E5014" i="16"/>
  <c r="I5014" i="16"/>
  <c r="H5014" i="16"/>
  <c r="K5014" i="16"/>
  <c r="J5014" i="16"/>
  <c r="T5014" i="16"/>
  <c r="M5014" i="16"/>
  <c r="L5150" i="16"/>
  <c r="K5150" i="16"/>
  <c r="H5150" i="16"/>
  <c r="T5150" i="16"/>
  <c r="G5150" i="16"/>
  <c r="P5150" i="16"/>
  <c r="F5150" i="16"/>
  <c r="E5150" i="16"/>
  <c r="I5150" i="16"/>
  <c r="N5150" i="16"/>
  <c r="M5150" i="16"/>
  <c r="O5150" i="16"/>
  <c r="J5150" i="16"/>
  <c r="P5298" i="16"/>
  <c r="H5298" i="16"/>
  <c r="O5298" i="16"/>
  <c r="G5298" i="16"/>
  <c r="T5298" i="16"/>
  <c r="E5298" i="16"/>
  <c r="N5298" i="16"/>
  <c r="M5298" i="16"/>
  <c r="K5298" i="16"/>
  <c r="J5298" i="16"/>
  <c r="I5298" i="16"/>
  <c r="L5298" i="16"/>
  <c r="F5298" i="16"/>
  <c r="P5306" i="16"/>
  <c r="H5306" i="16"/>
  <c r="O5306" i="16"/>
  <c r="G5306" i="16"/>
  <c r="T5306" i="16"/>
  <c r="E5306" i="16"/>
  <c r="N5306" i="16"/>
  <c r="M5306" i="16"/>
  <c r="F5306" i="16"/>
  <c r="K5306" i="16"/>
  <c r="J5306" i="16"/>
  <c r="I5306" i="16"/>
  <c r="L5306" i="16"/>
  <c r="P5410" i="16"/>
  <c r="H5410" i="16"/>
  <c r="O5410" i="16"/>
  <c r="G5410" i="16"/>
  <c r="T5410" i="16"/>
  <c r="E5410" i="16"/>
  <c r="N5410" i="16"/>
  <c r="M5410" i="16"/>
  <c r="I5410" i="16"/>
  <c r="F5410" i="16"/>
  <c r="L5410" i="16"/>
  <c r="K5410" i="16"/>
  <c r="J5410" i="16"/>
  <c r="P5450" i="16"/>
  <c r="H5450" i="16"/>
  <c r="O5450" i="16"/>
  <c r="G5450" i="16"/>
  <c r="T5450" i="16"/>
  <c r="E5450" i="16"/>
  <c r="N5450" i="16"/>
  <c r="M5450" i="16"/>
  <c r="J5450" i="16"/>
  <c r="I5450" i="16"/>
  <c r="F5450" i="16"/>
  <c r="L5450" i="16"/>
  <c r="K5450" i="16"/>
  <c r="V18" i="17"/>
  <c r="N18" i="17"/>
  <c r="AC18" i="17"/>
  <c r="U18" i="17"/>
  <c r="M18" i="17"/>
  <c r="Z18" i="17"/>
  <c r="Y18" i="17"/>
  <c r="X18" i="17"/>
  <c r="L18" i="17"/>
  <c r="R18" i="17"/>
  <c r="AG18" i="17" s="1"/>
  <c r="Q18" i="17"/>
  <c r="K18" i="17"/>
  <c r="AA18" i="17"/>
  <c r="W18" i="17"/>
  <c r="T18" i="17"/>
  <c r="AO18" i="17"/>
  <c r="AB18" i="17"/>
  <c r="S18" i="17"/>
  <c r="AL454" i="17"/>
  <c r="AD454" i="17"/>
  <c r="V454" i="17"/>
  <c r="N454" i="17"/>
  <c r="AK454" i="17"/>
  <c r="AC454" i="17"/>
  <c r="U454" i="17"/>
  <c r="M454" i="17"/>
  <c r="AR454" i="17"/>
  <c r="AH454" i="17"/>
  <c r="X454" i="17"/>
  <c r="L454" i="17"/>
  <c r="AQ454" i="17"/>
  <c r="AG454" i="17"/>
  <c r="W454" i="17"/>
  <c r="K454" i="17"/>
  <c r="AP454" i="17"/>
  <c r="AF454" i="17"/>
  <c r="T454" i="17"/>
  <c r="J454" i="17"/>
  <c r="AN454" i="17"/>
  <c r="Y454" i="17"/>
  <c r="AM454" i="17"/>
  <c r="S454" i="17"/>
  <c r="AJ454" i="17"/>
  <c r="R454" i="17"/>
  <c r="Z454" i="17"/>
  <c r="Q454" i="17"/>
  <c r="P454" i="17"/>
  <c r="AI454" i="17"/>
  <c r="AE454" i="17"/>
  <c r="AB454" i="17"/>
  <c r="AO454" i="17"/>
  <c r="AA454" i="17"/>
  <c r="O454" i="17"/>
  <c r="AM880" i="17"/>
  <c r="AE880" i="17"/>
  <c r="W880" i="17"/>
  <c r="O880" i="17"/>
  <c r="AL880" i="17"/>
  <c r="AC880" i="17"/>
  <c r="T880" i="17"/>
  <c r="K880" i="17"/>
  <c r="AK880" i="17"/>
  <c r="AB880" i="17"/>
  <c r="S880" i="17"/>
  <c r="J880" i="17"/>
  <c r="AR880" i="17"/>
  <c r="AG880" i="17"/>
  <c r="U880" i="17"/>
  <c r="AQ880" i="17"/>
  <c r="AF880" i="17"/>
  <c r="R880" i="17"/>
  <c r="AH880" i="17"/>
  <c r="P880" i="17"/>
  <c r="AD880" i="17"/>
  <c r="N880" i="17"/>
  <c r="Y880" i="17"/>
  <c r="AP880" i="17"/>
  <c r="X880" i="17"/>
  <c r="AO880" i="17"/>
  <c r="V880" i="17"/>
  <c r="Z880" i="17"/>
  <c r="Q880" i="17"/>
  <c r="M880" i="17"/>
  <c r="AN880" i="17"/>
  <c r="AJ880" i="17"/>
  <c r="AI880" i="17"/>
  <c r="AA880" i="17"/>
  <c r="AM912" i="17"/>
  <c r="AE912" i="17"/>
  <c r="W912" i="17"/>
  <c r="O912" i="17"/>
  <c r="AL912" i="17"/>
  <c r="AC912" i="17"/>
  <c r="T912" i="17"/>
  <c r="K912" i="17"/>
  <c r="AK912" i="17"/>
  <c r="AB912" i="17"/>
  <c r="S912" i="17"/>
  <c r="J912" i="17"/>
  <c r="AP912" i="17"/>
  <c r="AD912" i="17"/>
  <c r="Q912" i="17"/>
  <c r="AO912" i="17"/>
  <c r="AA912" i="17"/>
  <c r="P912" i="17"/>
  <c r="AN912" i="17"/>
  <c r="X912" i="17"/>
  <c r="AJ912" i="17"/>
  <c r="V912" i="17"/>
  <c r="AQ912" i="17"/>
  <c r="R912" i="17"/>
  <c r="AI912" i="17"/>
  <c r="N912" i="17"/>
  <c r="AH912" i="17"/>
  <c r="M912" i="17"/>
  <c r="Y912" i="17"/>
  <c r="U912" i="17"/>
  <c r="L912" i="17"/>
  <c r="AR912" i="17"/>
  <c r="AG912" i="17"/>
  <c r="AF912" i="17"/>
  <c r="AK1644" i="17"/>
  <c r="AC1644" i="17"/>
  <c r="U1644" i="17"/>
  <c r="M1644" i="17"/>
  <c r="AR1644" i="17"/>
  <c r="AJ1644" i="17"/>
  <c r="AB1644" i="17"/>
  <c r="T1644" i="17"/>
  <c r="L1644" i="17"/>
  <c r="AN1644" i="17"/>
  <c r="AD1644" i="17"/>
  <c r="R1644" i="17"/>
  <c r="AM1644" i="17"/>
  <c r="AA1644" i="17"/>
  <c r="Q1644" i="17"/>
  <c r="AG1644" i="17"/>
  <c r="S1644" i="17"/>
  <c r="AF1644" i="17"/>
  <c r="P1644" i="17"/>
  <c r="AL1644" i="17"/>
  <c r="V1644" i="17"/>
  <c r="AI1644" i="17"/>
  <c r="O1644" i="17"/>
  <c r="Y1644" i="17"/>
  <c r="X1644" i="17"/>
  <c r="W1644" i="17"/>
  <c r="N1644" i="17"/>
  <c r="AQ1644" i="17"/>
  <c r="K1644" i="17"/>
  <c r="AE1644" i="17"/>
  <c r="Z1644" i="17"/>
  <c r="J1644" i="17"/>
  <c r="AP1644" i="17"/>
  <c r="AO1644" i="17"/>
  <c r="AH1644" i="17"/>
  <c r="AL1742" i="17"/>
  <c r="AD1742" i="17"/>
  <c r="V1742" i="17"/>
  <c r="N1742" i="17"/>
  <c r="AK1742" i="17"/>
  <c r="AC1742" i="17"/>
  <c r="U1742" i="17"/>
  <c r="M1742" i="17"/>
  <c r="AR1742" i="17"/>
  <c r="AH1742" i="17"/>
  <c r="X1742" i="17"/>
  <c r="L1742" i="17"/>
  <c r="AQ1742" i="17"/>
  <c r="AG1742" i="17"/>
  <c r="W1742" i="17"/>
  <c r="K1742" i="17"/>
  <c r="AF1742" i="17"/>
  <c r="R1742" i="17"/>
  <c r="AE1742" i="17"/>
  <c r="Q1742" i="17"/>
  <c r="AP1742" i="17"/>
  <c r="Z1742" i="17"/>
  <c r="AO1742" i="17"/>
  <c r="Y1742" i="17"/>
  <c r="AN1742" i="17"/>
  <c r="P1742" i="17"/>
  <c r="AM1742" i="17"/>
  <c r="O1742" i="17"/>
  <c r="T1742" i="17"/>
  <c r="S1742" i="17"/>
  <c r="AJ1742" i="17"/>
  <c r="AI1742" i="17"/>
  <c r="AB1742" i="17"/>
  <c r="AA1742" i="17"/>
  <c r="J1742" i="17"/>
  <c r="N3460" i="16"/>
  <c r="F3460" i="16"/>
  <c r="M3460" i="16"/>
  <c r="E3460" i="16"/>
  <c r="I3460" i="16"/>
  <c r="H3460" i="16"/>
  <c r="T3460" i="16"/>
  <c r="G3460" i="16"/>
  <c r="P3460" i="16"/>
  <c r="K3463" i="16"/>
  <c r="J3463" i="16"/>
  <c r="O3463" i="16"/>
  <c r="E3463" i="16"/>
  <c r="N3463" i="16"/>
  <c r="M3463" i="16"/>
  <c r="L3463" i="16"/>
  <c r="L3486" i="16"/>
  <c r="K3486" i="16"/>
  <c r="T3486" i="16"/>
  <c r="G3486" i="16"/>
  <c r="P3486" i="16"/>
  <c r="F3486" i="16"/>
  <c r="O3486" i="16"/>
  <c r="E3486" i="16"/>
  <c r="N3486" i="16"/>
  <c r="O3491" i="16"/>
  <c r="G3491" i="16"/>
  <c r="N3491" i="16"/>
  <c r="F3491" i="16"/>
  <c r="J3491" i="16"/>
  <c r="I3491" i="16"/>
  <c r="H3491" i="16"/>
  <c r="P3491" i="16"/>
  <c r="M3501" i="16"/>
  <c r="E3501" i="16"/>
  <c r="L3501" i="16"/>
  <c r="H3501" i="16"/>
  <c r="T3501" i="16"/>
  <c r="G3501" i="16"/>
  <c r="P3501" i="16"/>
  <c r="F3501" i="16"/>
  <c r="O3501" i="16"/>
  <c r="N3508" i="16"/>
  <c r="F3508" i="16"/>
  <c r="M3508" i="16"/>
  <c r="E3508" i="16"/>
  <c r="T3508" i="16"/>
  <c r="G3508" i="16"/>
  <c r="P3508" i="16"/>
  <c r="O3508" i="16"/>
  <c r="L3508" i="16"/>
  <c r="P3514" i="16"/>
  <c r="H3514" i="16"/>
  <c r="O3514" i="16"/>
  <c r="G3514" i="16"/>
  <c r="J3514" i="16"/>
  <c r="I3514" i="16"/>
  <c r="F3514" i="16"/>
  <c r="N3514" i="16"/>
  <c r="K3519" i="16"/>
  <c r="J3519" i="16"/>
  <c r="N3519" i="16"/>
  <c r="M3519" i="16"/>
  <c r="L3519" i="16"/>
  <c r="I3519" i="16"/>
  <c r="K3543" i="16"/>
  <c r="J3543" i="16"/>
  <c r="T3543" i="16"/>
  <c r="G3543" i="16"/>
  <c r="P3543" i="16"/>
  <c r="F3543" i="16"/>
  <c r="O3543" i="16"/>
  <c r="E3543" i="16"/>
  <c r="N3543" i="16"/>
  <c r="M3565" i="16"/>
  <c r="E3565" i="16"/>
  <c r="L3565" i="16"/>
  <c r="H3565" i="16"/>
  <c r="T3565" i="16"/>
  <c r="G3565" i="16"/>
  <c r="P3565" i="16"/>
  <c r="F3565" i="16"/>
  <c r="O3565" i="16"/>
  <c r="M3573" i="16"/>
  <c r="E3573" i="16"/>
  <c r="L3573" i="16"/>
  <c r="I3573" i="16"/>
  <c r="H3573" i="16"/>
  <c r="T3573" i="16"/>
  <c r="G3573" i="16"/>
  <c r="O3573" i="16"/>
  <c r="N3596" i="16"/>
  <c r="F3596" i="16"/>
  <c r="M3596" i="16"/>
  <c r="E3596" i="16"/>
  <c r="J3596" i="16"/>
  <c r="I3596" i="16"/>
  <c r="H3596" i="16"/>
  <c r="P3596" i="16"/>
  <c r="K3599" i="16"/>
  <c r="J3599" i="16"/>
  <c r="P3599" i="16"/>
  <c r="F3599" i="16"/>
  <c r="O3599" i="16"/>
  <c r="E3599" i="16"/>
  <c r="N3599" i="16"/>
  <c r="M3599" i="16"/>
  <c r="O3603" i="16"/>
  <c r="G3603" i="16"/>
  <c r="N3603" i="16"/>
  <c r="F3603" i="16"/>
  <c r="H3603" i="16"/>
  <c r="T3603" i="16"/>
  <c r="E3603" i="16"/>
  <c r="P3603" i="16"/>
  <c r="M3603" i="16"/>
  <c r="K3607" i="16"/>
  <c r="J3607" i="16"/>
  <c r="T3607" i="16"/>
  <c r="G3607" i="16"/>
  <c r="P3607" i="16"/>
  <c r="F3607" i="16"/>
  <c r="O3607" i="16"/>
  <c r="E3607" i="16"/>
  <c r="N3607" i="16"/>
  <c r="M3621" i="16"/>
  <c r="E3621" i="16"/>
  <c r="L3621" i="16"/>
  <c r="T3621" i="16"/>
  <c r="G3621" i="16"/>
  <c r="P3621" i="16"/>
  <c r="F3621" i="16"/>
  <c r="O3621" i="16"/>
  <c r="N3621" i="16"/>
  <c r="L3654" i="16"/>
  <c r="K3654" i="16"/>
  <c r="N3654" i="16"/>
  <c r="M3654" i="16"/>
  <c r="J3654" i="16"/>
  <c r="I3654" i="16"/>
  <c r="K3671" i="16"/>
  <c r="J3671" i="16"/>
  <c r="T3671" i="16"/>
  <c r="G3671" i="16"/>
  <c r="P3671" i="16"/>
  <c r="F3671" i="16"/>
  <c r="O3671" i="16"/>
  <c r="E3671" i="16"/>
  <c r="N3671" i="16"/>
  <c r="P3698" i="16"/>
  <c r="H3698" i="16"/>
  <c r="O3698" i="16"/>
  <c r="G3698" i="16"/>
  <c r="I3698" i="16"/>
  <c r="F3698" i="16"/>
  <c r="T3698" i="16"/>
  <c r="E3698" i="16"/>
  <c r="N3698" i="16"/>
  <c r="N3708" i="16"/>
  <c r="F3708" i="16"/>
  <c r="M3708" i="16"/>
  <c r="E3708" i="16"/>
  <c r="H3708" i="16"/>
  <c r="T3708" i="16"/>
  <c r="G3708" i="16"/>
  <c r="P3708" i="16"/>
  <c r="O3708" i="16"/>
  <c r="O3723" i="16"/>
  <c r="G3723" i="16"/>
  <c r="N3723" i="16"/>
  <c r="F3723" i="16"/>
  <c r="T3723" i="16"/>
  <c r="E3723" i="16"/>
  <c r="P3723" i="16"/>
  <c r="M3723" i="16"/>
  <c r="L3723" i="16"/>
  <c r="O3739" i="16"/>
  <c r="G3739" i="16"/>
  <c r="N3739" i="16"/>
  <c r="F3739" i="16"/>
  <c r="I3739" i="16"/>
  <c r="H3739" i="16"/>
  <c r="T3739" i="16"/>
  <c r="E3739" i="16"/>
  <c r="P3739" i="16"/>
  <c r="M3757" i="16"/>
  <c r="E3757" i="16"/>
  <c r="L3757" i="16"/>
  <c r="H3757" i="16"/>
  <c r="T3757" i="16"/>
  <c r="G3757" i="16"/>
  <c r="P3757" i="16"/>
  <c r="F3757" i="16"/>
  <c r="O3757" i="16"/>
  <c r="M3765" i="16"/>
  <c r="E3765" i="16"/>
  <c r="L3765" i="16"/>
  <c r="I3765" i="16"/>
  <c r="H3765" i="16"/>
  <c r="T3765" i="16"/>
  <c r="G3765" i="16"/>
  <c r="O3765" i="16"/>
  <c r="K3839" i="16"/>
  <c r="J3839" i="16"/>
  <c r="N3839" i="16"/>
  <c r="M3839" i="16"/>
  <c r="L3839" i="16"/>
  <c r="G3839" i="16"/>
  <c r="F3839" i="16"/>
  <c r="P3839" i="16"/>
  <c r="O3843" i="16"/>
  <c r="G3843" i="16"/>
  <c r="N3843" i="16"/>
  <c r="F3843" i="16"/>
  <c r="P3843" i="16"/>
  <c r="M3843" i="16"/>
  <c r="L3843" i="16"/>
  <c r="E3843" i="16"/>
  <c r="T3843" i="16"/>
  <c r="O3875" i="16"/>
  <c r="G3875" i="16"/>
  <c r="N3875" i="16"/>
  <c r="F3875" i="16"/>
  <c r="J3875" i="16"/>
  <c r="I3875" i="16"/>
  <c r="H3875" i="16"/>
  <c r="E3875" i="16"/>
  <c r="T3875" i="16"/>
  <c r="N3892" i="16"/>
  <c r="F3892" i="16"/>
  <c r="M3892" i="16"/>
  <c r="E3892" i="16"/>
  <c r="T3892" i="16"/>
  <c r="G3892" i="16"/>
  <c r="P3892" i="16"/>
  <c r="O3892" i="16"/>
  <c r="L3892" i="16"/>
  <c r="P3940" i="16"/>
  <c r="H3940" i="16"/>
  <c r="T3940" i="16"/>
  <c r="G3940" i="16"/>
  <c r="O3940" i="16"/>
  <c r="F3940" i="16"/>
  <c r="N3940" i="16"/>
  <c r="M3940" i="16"/>
  <c r="L3940" i="16"/>
  <c r="K3945" i="16"/>
  <c r="L3945" i="16"/>
  <c r="J3945" i="16"/>
  <c r="O3945" i="16"/>
  <c r="N3945" i="16"/>
  <c r="M3945" i="16"/>
  <c r="T3945" i="16"/>
  <c r="P3945" i="16"/>
  <c r="I3945" i="16"/>
  <c r="N3950" i="16"/>
  <c r="F3950" i="16"/>
  <c r="P3950" i="16"/>
  <c r="G3950" i="16"/>
  <c r="O3950" i="16"/>
  <c r="E3950" i="16"/>
  <c r="K3950" i="16"/>
  <c r="J3950" i="16"/>
  <c r="I3950" i="16"/>
  <c r="H3950" i="16"/>
  <c r="K3953" i="16"/>
  <c r="T3953" i="16"/>
  <c r="H3953" i="16"/>
  <c r="P3953" i="16"/>
  <c r="G3953" i="16"/>
  <c r="F3953" i="16"/>
  <c r="E3953" i="16"/>
  <c r="O3953" i="16"/>
  <c r="N3953" i="16"/>
  <c r="L4062" i="16"/>
  <c r="J4062" i="16"/>
  <c r="N4062" i="16"/>
  <c r="M4062" i="16"/>
  <c r="P4062" i="16"/>
  <c r="O4062" i="16"/>
  <c r="K4062" i="16"/>
  <c r="H4062" i="16"/>
  <c r="G4062" i="16"/>
  <c r="F4062" i="16"/>
  <c r="N4148" i="16"/>
  <c r="F4148" i="16"/>
  <c r="T4148" i="16"/>
  <c r="H4148" i="16"/>
  <c r="M4148" i="16"/>
  <c r="L4148" i="16"/>
  <c r="E4148" i="16"/>
  <c r="P4148" i="16"/>
  <c r="K4148" i="16"/>
  <c r="J4148" i="16"/>
  <c r="I4148" i="16"/>
  <c r="N4172" i="16"/>
  <c r="F4172" i="16"/>
  <c r="P4172" i="16"/>
  <c r="G4172" i="16"/>
  <c r="H4172" i="16"/>
  <c r="T4172" i="16"/>
  <c r="E4172" i="16"/>
  <c r="I4172" i="16"/>
  <c r="J4172" i="16"/>
  <c r="L4230" i="16"/>
  <c r="K4230" i="16"/>
  <c r="O4230" i="16"/>
  <c r="E4230" i="16"/>
  <c r="N4230" i="16"/>
  <c r="G4230" i="16"/>
  <c r="F4230" i="16"/>
  <c r="T4230" i="16"/>
  <c r="M4230" i="16"/>
  <c r="J4230" i="16"/>
  <c r="I4230" i="16"/>
  <c r="H4230" i="16"/>
  <c r="M4261" i="16"/>
  <c r="E4261" i="16"/>
  <c r="P4261" i="16"/>
  <c r="G4261" i="16"/>
  <c r="I4261" i="16"/>
  <c r="H4261" i="16"/>
  <c r="L4261" i="16"/>
  <c r="K4261" i="16"/>
  <c r="J4261" i="16"/>
  <c r="T4261" i="16"/>
  <c r="O4261" i="16"/>
  <c r="N4261" i="16"/>
  <c r="F4261" i="16"/>
  <c r="P4338" i="16"/>
  <c r="H4338" i="16"/>
  <c r="N4338" i="16"/>
  <c r="E4338" i="16"/>
  <c r="T4338" i="16"/>
  <c r="F4338" i="16"/>
  <c r="O4338" i="16"/>
  <c r="G4338" i="16"/>
  <c r="L4338" i="16"/>
  <c r="K4338" i="16"/>
  <c r="J4338" i="16"/>
  <c r="I4338" i="16"/>
  <c r="K4367" i="16"/>
  <c r="T4367" i="16"/>
  <c r="H4367" i="16"/>
  <c r="P4367" i="16"/>
  <c r="F4367" i="16"/>
  <c r="O4367" i="16"/>
  <c r="E4367" i="16"/>
  <c r="J4367" i="16"/>
  <c r="I4367" i="16"/>
  <c r="G4367" i="16"/>
  <c r="M4367" i="16"/>
  <c r="L4367" i="16"/>
  <c r="N4388" i="16"/>
  <c r="F4388" i="16"/>
  <c r="O4388" i="16"/>
  <c r="E4388" i="16"/>
  <c r="P4388" i="16"/>
  <c r="M4388" i="16"/>
  <c r="G4388" i="16"/>
  <c r="T4388" i="16"/>
  <c r="J4388" i="16"/>
  <c r="I4388" i="16"/>
  <c r="H4388" i="16"/>
  <c r="K4415" i="16"/>
  <c r="O4415" i="16"/>
  <c r="F4415" i="16"/>
  <c r="H4415" i="16"/>
  <c r="T4415" i="16"/>
  <c r="G4415" i="16"/>
  <c r="J4415" i="16"/>
  <c r="I4415" i="16"/>
  <c r="E4415" i="16"/>
  <c r="L4415" i="16"/>
  <c r="O4475" i="16"/>
  <c r="G4475" i="16"/>
  <c r="L4475" i="16"/>
  <c r="T4475" i="16"/>
  <c r="F4475" i="16"/>
  <c r="P4475" i="16"/>
  <c r="E4475" i="16"/>
  <c r="H4475" i="16"/>
  <c r="K4475" i="16"/>
  <c r="J4475" i="16"/>
  <c r="I4475" i="16"/>
  <c r="L4494" i="16"/>
  <c r="T4494" i="16"/>
  <c r="H4494" i="16"/>
  <c r="N4494" i="16"/>
  <c r="M4494" i="16"/>
  <c r="E4494" i="16"/>
  <c r="P4494" i="16"/>
  <c r="O4494" i="16"/>
  <c r="F4494" i="16"/>
  <c r="N4508" i="16"/>
  <c r="F4508" i="16"/>
  <c r="I4508" i="16"/>
  <c r="J4508" i="16"/>
  <c r="H4508" i="16"/>
  <c r="E4508" i="16"/>
  <c r="T4508" i="16"/>
  <c r="P4508" i="16"/>
  <c r="K4508" i="16"/>
  <c r="G4508" i="16"/>
  <c r="M4517" i="16"/>
  <c r="E4517" i="16"/>
  <c r="P4517" i="16"/>
  <c r="G4517" i="16"/>
  <c r="I4517" i="16"/>
  <c r="H4517" i="16"/>
  <c r="T4517" i="16"/>
  <c r="O4517" i="16"/>
  <c r="K4517" i="16"/>
  <c r="J4517" i="16"/>
  <c r="F4517" i="16"/>
  <c r="J4520" i="16"/>
  <c r="P4520" i="16"/>
  <c r="G4520" i="16"/>
  <c r="T4520" i="16"/>
  <c r="F4520" i="16"/>
  <c r="O4520" i="16"/>
  <c r="E4520" i="16"/>
  <c r="L4520" i="16"/>
  <c r="K4520" i="16"/>
  <c r="I4520" i="16"/>
  <c r="N4520" i="16"/>
  <c r="M4520" i="16"/>
  <c r="H4520" i="16"/>
  <c r="O4547" i="16"/>
  <c r="G4547" i="16"/>
  <c r="I4547" i="16"/>
  <c r="H4547" i="16"/>
  <c r="T4547" i="16"/>
  <c r="F4547" i="16"/>
  <c r="L4547" i="16"/>
  <c r="K4547" i="16"/>
  <c r="J4547" i="16"/>
  <c r="M4547" i="16"/>
  <c r="E4547" i="16"/>
  <c r="L4630" i="16"/>
  <c r="P4630" i="16"/>
  <c r="G4630" i="16"/>
  <c r="O4630" i="16"/>
  <c r="F4630" i="16"/>
  <c r="N4630" i="16"/>
  <c r="E4630" i="16"/>
  <c r="T4630" i="16"/>
  <c r="H4630" i="16"/>
  <c r="M4630" i="16"/>
  <c r="K4630" i="16"/>
  <c r="J4630" i="16"/>
  <c r="I4630" i="16"/>
  <c r="P4682" i="16"/>
  <c r="H4682" i="16"/>
  <c r="O4682" i="16"/>
  <c r="F4682" i="16"/>
  <c r="N4682" i="16"/>
  <c r="E4682" i="16"/>
  <c r="M4682" i="16"/>
  <c r="T4682" i="16"/>
  <c r="J4682" i="16"/>
  <c r="I4682" i="16"/>
  <c r="G4682" i="16"/>
  <c r="L4682" i="16"/>
  <c r="K4682" i="16"/>
  <c r="N4692" i="16"/>
  <c r="F4692" i="16"/>
  <c r="O4692" i="16"/>
  <c r="E4692" i="16"/>
  <c r="M4692" i="16"/>
  <c r="L4692" i="16"/>
  <c r="T4692" i="16"/>
  <c r="P4692" i="16"/>
  <c r="I4692" i="16"/>
  <c r="H4692" i="16"/>
  <c r="G4692" i="16"/>
  <c r="K4692" i="16"/>
  <c r="J4692" i="16"/>
  <c r="M5061" i="16"/>
  <c r="E5061" i="16"/>
  <c r="L5061" i="16"/>
  <c r="T5061" i="16"/>
  <c r="G5061" i="16"/>
  <c r="P5061" i="16"/>
  <c r="F5061" i="16"/>
  <c r="O5061" i="16"/>
  <c r="H5061" i="16"/>
  <c r="J5061" i="16"/>
  <c r="I5061" i="16"/>
  <c r="K5061" i="16"/>
  <c r="L5206" i="16"/>
  <c r="K5206" i="16"/>
  <c r="H5206" i="16"/>
  <c r="T5206" i="16"/>
  <c r="G5206" i="16"/>
  <c r="P5206" i="16"/>
  <c r="F5206" i="16"/>
  <c r="J5206" i="16"/>
  <c r="I5206" i="16"/>
  <c r="E5206" i="16"/>
  <c r="O5206" i="16"/>
  <c r="N5206" i="16"/>
  <c r="M5206" i="16"/>
  <c r="O5339" i="16"/>
  <c r="G5339" i="16"/>
  <c r="N5339" i="16"/>
  <c r="F5339" i="16"/>
  <c r="J5339" i="16"/>
  <c r="I5339" i="16"/>
  <c r="H5339" i="16"/>
  <c r="M5339" i="16"/>
  <c r="L5339" i="16"/>
  <c r="K5339" i="16"/>
  <c r="T5339" i="16"/>
  <c r="P5339" i="16"/>
  <c r="E5339" i="16"/>
  <c r="P5346" i="16"/>
  <c r="H5346" i="16"/>
  <c r="O5346" i="16"/>
  <c r="G5346" i="16"/>
  <c r="T5346" i="16"/>
  <c r="E5346" i="16"/>
  <c r="N5346" i="16"/>
  <c r="M5346" i="16"/>
  <c r="I5346" i="16"/>
  <c r="F5346" i="16"/>
  <c r="K5346" i="16"/>
  <c r="J5346" i="16"/>
  <c r="L5346" i="16"/>
  <c r="L5374" i="16"/>
  <c r="K5374" i="16"/>
  <c r="H5374" i="16"/>
  <c r="T5374" i="16"/>
  <c r="G5374" i="16"/>
  <c r="P5374" i="16"/>
  <c r="F5374" i="16"/>
  <c r="E5374" i="16"/>
  <c r="M5374" i="16"/>
  <c r="J5374" i="16"/>
  <c r="I5374" i="16"/>
  <c r="O5374" i="16"/>
  <c r="N5374" i="16"/>
  <c r="L5430" i="16"/>
  <c r="K5430" i="16"/>
  <c r="H5430" i="16"/>
  <c r="T5430" i="16"/>
  <c r="G5430" i="16"/>
  <c r="P5430" i="16"/>
  <c r="F5430" i="16"/>
  <c r="M5430" i="16"/>
  <c r="J5430" i="16"/>
  <c r="I5430" i="16"/>
  <c r="O5430" i="16"/>
  <c r="N5430" i="16"/>
  <c r="E5430" i="16"/>
  <c r="V68" i="17"/>
  <c r="N68" i="17"/>
  <c r="AC68" i="17"/>
  <c r="U68" i="17"/>
  <c r="M68" i="17"/>
  <c r="AD68" i="17" s="1"/>
  <c r="AA68" i="17"/>
  <c r="AL68" i="17" s="1"/>
  <c r="Y68" i="12" s="1"/>
  <c r="Q68" i="17"/>
  <c r="Z68" i="17"/>
  <c r="Y68" i="17"/>
  <c r="R68" i="17"/>
  <c r="AG68" i="17" s="1"/>
  <c r="L68" i="17"/>
  <c r="K68" i="17"/>
  <c r="AB68" i="17"/>
  <c r="X68" i="17"/>
  <c r="W68" i="17"/>
  <c r="T68" i="17"/>
  <c r="AO68" i="17"/>
  <c r="S68" i="17"/>
  <c r="J68" i="17"/>
  <c r="AL424" i="17"/>
  <c r="AD424" i="17"/>
  <c r="V424" i="17"/>
  <c r="N424" i="17"/>
  <c r="AK424" i="17"/>
  <c r="AC424" i="17"/>
  <c r="U424" i="17"/>
  <c r="M424" i="17"/>
  <c r="AI424" i="17"/>
  <c r="Y424" i="17"/>
  <c r="O424" i="17"/>
  <c r="AR424" i="17"/>
  <c r="AH424" i="17"/>
  <c r="X424" i="17"/>
  <c r="L424" i="17"/>
  <c r="AQ424" i="17"/>
  <c r="AG424" i="17"/>
  <c r="W424" i="17"/>
  <c r="K424" i="17"/>
  <c r="AF424" i="17"/>
  <c r="Q424" i="17"/>
  <c r="AE424" i="17"/>
  <c r="P424" i="17"/>
  <c r="AB424" i="17"/>
  <c r="J424" i="17"/>
  <c r="AA424" i="17"/>
  <c r="Z424" i="17"/>
  <c r="T424" i="17"/>
  <c r="AN424" i="17"/>
  <c r="AM424" i="17"/>
  <c r="AJ424" i="17"/>
  <c r="AO424" i="17"/>
  <c r="S424" i="17"/>
  <c r="R424" i="17"/>
  <c r="L880" i="17"/>
  <c r="Z912" i="17"/>
  <c r="AR1165" i="17"/>
  <c r="AJ1165" i="17"/>
  <c r="AB1165" i="17"/>
  <c r="T1165" i="17"/>
  <c r="L1165" i="17"/>
  <c r="AQ1165" i="17"/>
  <c r="AI1165" i="17"/>
  <c r="AA1165" i="17"/>
  <c r="S1165" i="17"/>
  <c r="K1165" i="17"/>
  <c r="AK1165" i="17"/>
  <c r="Y1165" i="17"/>
  <c r="O1165" i="17"/>
  <c r="AH1165" i="17"/>
  <c r="X1165" i="17"/>
  <c r="N1165" i="17"/>
  <c r="AP1165" i="17"/>
  <c r="AD1165" i="17"/>
  <c r="P1165" i="17"/>
  <c r="AO1165" i="17"/>
  <c r="AC1165" i="17"/>
  <c r="M1165" i="17"/>
  <c r="AM1165" i="17"/>
  <c r="U1165" i="17"/>
  <c r="AL1165" i="17"/>
  <c r="R1165" i="17"/>
  <c r="W1165" i="17"/>
  <c r="V1165" i="17"/>
  <c r="Q1165" i="17"/>
  <c r="AF1165" i="17"/>
  <c r="AE1165" i="17"/>
  <c r="Z1165" i="17"/>
  <c r="AN1165" i="17"/>
  <c r="AG1165" i="17"/>
  <c r="J1165" i="17"/>
  <c r="O2410" i="16"/>
  <c r="G2410" i="16"/>
  <c r="M2410" i="16"/>
  <c r="L2410" i="16"/>
  <c r="K2410" i="16"/>
  <c r="J2410" i="16"/>
  <c r="J2423" i="16"/>
  <c r="M2423" i="16"/>
  <c r="L2423" i="16"/>
  <c r="K2423" i="16"/>
  <c r="I2423" i="16"/>
  <c r="N2435" i="16"/>
  <c r="F2435" i="16"/>
  <c r="M2435" i="16"/>
  <c r="L2435" i="16"/>
  <c r="K2435" i="16"/>
  <c r="J2435" i="16"/>
  <c r="O2442" i="16"/>
  <c r="G2442" i="16"/>
  <c r="I2442" i="16"/>
  <c r="T2442" i="16"/>
  <c r="H2442" i="16"/>
  <c r="P2442" i="16"/>
  <c r="F2442" i="16"/>
  <c r="M2442" i="16"/>
  <c r="M2460" i="16"/>
  <c r="E2460" i="16"/>
  <c r="N2460" i="16"/>
  <c r="L2460" i="16"/>
  <c r="K2460" i="16"/>
  <c r="J2460" i="16"/>
  <c r="K2462" i="16"/>
  <c r="N2462" i="16"/>
  <c r="E2462" i="16"/>
  <c r="M2462" i="16"/>
  <c r="L2462" i="16"/>
  <c r="J2462" i="16"/>
  <c r="L2510" i="16"/>
  <c r="K2510" i="16"/>
  <c r="O2510" i="16"/>
  <c r="E2510" i="16"/>
  <c r="N2510" i="16"/>
  <c r="M2510" i="16"/>
  <c r="J2510" i="16"/>
  <c r="M2517" i="16"/>
  <c r="E2517" i="16"/>
  <c r="L2517" i="16"/>
  <c r="O2517" i="16"/>
  <c r="N2517" i="16"/>
  <c r="K2517" i="16"/>
  <c r="J2517" i="16"/>
  <c r="M2525" i="16"/>
  <c r="E2525" i="16"/>
  <c r="L2525" i="16"/>
  <c r="P2525" i="16"/>
  <c r="F2525" i="16"/>
  <c r="O2525" i="16"/>
  <c r="N2525" i="16"/>
  <c r="K2525" i="16"/>
  <c r="M2541" i="16"/>
  <c r="E2541" i="16"/>
  <c r="L2541" i="16"/>
  <c r="H2541" i="16"/>
  <c r="T2541" i="16"/>
  <c r="G2541" i="16"/>
  <c r="P2541" i="16"/>
  <c r="F2541" i="16"/>
  <c r="O2541" i="16"/>
  <c r="P2546" i="16"/>
  <c r="H2546" i="16"/>
  <c r="O2546" i="16"/>
  <c r="G2546" i="16"/>
  <c r="I2546" i="16"/>
  <c r="F2546" i="16"/>
  <c r="T2546" i="16"/>
  <c r="E2546" i="16"/>
  <c r="N2546" i="16"/>
  <c r="N2556" i="16"/>
  <c r="F2556" i="16"/>
  <c r="M2556" i="16"/>
  <c r="E2556" i="16"/>
  <c r="H2556" i="16"/>
  <c r="T2556" i="16"/>
  <c r="G2556" i="16"/>
  <c r="P2556" i="16"/>
  <c r="O2556" i="16"/>
  <c r="N2564" i="16"/>
  <c r="F2564" i="16"/>
  <c r="M2564" i="16"/>
  <c r="E2564" i="16"/>
  <c r="I2564" i="16"/>
  <c r="H2564" i="16"/>
  <c r="T2564" i="16"/>
  <c r="G2564" i="16"/>
  <c r="P2564" i="16"/>
  <c r="K2567" i="16"/>
  <c r="J2567" i="16"/>
  <c r="O2567" i="16"/>
  <c r="E2567" i="16"/>
  <c r="N2567" i="16"/>
  <c r="M2567" i="16"/>
  <c r="L2567" i="16"/>
  <c r="P2594" i="16"/>
  <c r="H2594" i="16"/>
  <c r="O2594" i="16"/>
  <c r="G2594" i="16"/>
  <c r="T2594" i="16"/>
  <c r="E2594" i="16"/>
  <c r="N2594" i="16"/>
  <c r="M2594" i="16"/>
  <c r="L2594" i="16"/>
  <c r="P2610" i="16"/>
  <c r="H2610" i="16"/>
  <c r="O2610" i="16"/>
  <c r="G2610" i="16"/>
  <c r="I2610" i="16"/>
  <c r="F2610" i="16"/>
  <c r="T2610" i="16"/>
  <c r="E2610" i="16"/>
  <c r="N2610" i="16"/>
  <c r="O2627" i="16"/>
  <c r="G2627" i="16"/>
  <c r="N2627" i="16"/>
  <c r="F2627" i="16"/>
  <c r="P2627" i="16"/>
  <c r="M2627" i="16"/>
  <c r="L2627" i="16"/>
  <c r="K2627" i="16"/>
  <c r="L2654" i="16"/>
  <c r="K2654" i="16"/>
  <c r="T2654" i="16"/>
  <c r="G2654" i="16"/>
  <c r="P2654" i="16"/>
  <c r="F2654" i="16"/>
  <c r="O2654" i="16"/>
  <c r="E2654" i="16"/>
  <c r="N2654" i="16"/>
  <c r="O2659" i="16"/>
  <c r="G2659" i="16"/>
  <c r="N2659" i="16"/>
  <c r="F2659" i="16"/>
  <c r="J2659" i="16"/>
  <c r="I2659" i="16"/>
  <c r="H2659" i="16"/>
  <c r="P2659" i="16"/>
  <c r="P2666" i="16"/>
  <c r="H2666" i="16"/>
  <c r="O2666" i="16"/>
  <c r="G2666" i="16"/>
  <c r="F2666" i="16"/>
  <c r="T2666" i="16"/>
  <c r="E2666" i="16"/>
  <c r="N2666" i="16"/>
  <c r="M2666" i="16"/>
  <c r="N2676" i="16"/>
  <c r="F2676" i="16"/>
  <c r="M2676" i="16"/>
  <c r="E2676" i="16"/>
  <c r="T2676" i="16"/>
  <c r="G2676" i="16"/>
  <c r="P2676" i="16"/>
  <c r="O2676" i="16"/>
  <c r="L2676" i="16"/>
  <c r="P2682" i="16"/>
  <c r="H2682" i="16"/>
  <c r="O2682" i="16"/>
  <c r="G2682" i="16"/>
  <c r="J2682" i="16"/>
  <c r="I2682" i="16"/>
  <c r="F2682" i="16"/>
  <c r="N2682" i="16"/>
  <c r="N2692" i="16"/>
  <c r="F2692" i="16"/>
  <c r="M2692" i="16"/>
  <c r="E2692" i="16"/>
  <c r="I2692" i="16"/>
  <c r="H2692" i="16"/>
  <c r="T2692" i="16"/>
  <c r="G2692" i="16"/>
  <c r="P2692" i="16"/>
  <c r="K2695" i="16"/>
  <c r="J2695" i="16"/>
  <c r="O2695" i="16"/>
  <c r="E2695" i="16"/>
  <c r="N2695" i="16"/>
  <c r="M2695" i="16"/>
  <c r="L2695" i="16"/>
  <c r="L2718" i="16"/>
  <c r="K2718" i="16"/>
  <c r="T2718" i="16"/>
  <c r="G2718" i="16"/>
  <c r="P2718" i="16"/>
  <c r="F2718" i="16"/>
  <c r="O2718" i="16"/>
  <c r="E2718" i="16"/>
  <c r="N2718" i="16"/>
  <c r="O2723" i="16"/>
  <c r="G2723" i="16"/>
  <c r="N2723" i="16"/>
  <c r="F2723" i="16"/>
  <c r="J2723" i="16"/>
  <c r="I2723" i="16"/>
  <c r="H2723" i="16"/>
  <c r="P2723" i="16"/>
  <c r="L2790" i="16"/>
  <c r="K2790" i="16"/>
  <c r="H2790" i="16"/>
  <c r="T2790" i="16"/>
  <c r="G2790" i="16"/>
  <c r="P2790" i="16"/>
  <c r="F2790" i="16"/>
  <c r="N2790" i="16"/>
  <c r="N2820" i="16"/>
  <c r="F2820" i="16"/>
  <c r="M2820" i="16"/>
  <c r="E2820" i="16"/>
  <c r="I2820" i="16"/>
  <c r="H2820" i="16"/>
  <c r="T2820" i="16"/>
  <c r="G2820" i="16"/>
  <c r="P2820" i="16"/>
  <c r="M2837" i="16"/>
  <c r="E2837" i="16"/>
  <c r="L2837" i="16"/>
  <c r="O2837" i="16"/>
  <c r="N2837" i="16"/>
  <c r="K2837" i="16"/>
  <c r="J2837" i="16"/>
  <c r="M2845" i="16"/>
  <c r="E2845" i="16"/>
  <c r="L2845" i="16"/>
  <c r="P2845" i="16"/>
  <c r="F2845" i="16"/>
  <c r="O2845" i="16"/>
  <c r="N2845" i="16"/>
  <c r="K2845" i="16"/>
  <c r="N2860" i="16"/>
  <c r="F2860" i="16"/>
  <c r="M2860" i="16"/>
  <c r="E2860" i="16"/>
  <c r="P2860" i="16"/>
  <c r="O2860" i="16"/>
  <c r="L2860" i="16"/>
  <c r="K2860" i="16"/>
  <c r="O2883" i="16"/>
  <c r="G2883" i="16"/>
  <c r="N2883" i="16"/>
  <c r="F2883" i="16"/>
  <c r="P2883" i="16"/>
  <c r="M2883" i="16"/>
  <c r="L2883" i="16"/>
  <c r="K2883" i="16"/>
  <c r="P2886" i="16"/>
  <c r="K2903" i="16"/>
  <c r="J2903" i="16"/>
  <c r="T2903" i="16"/>
  <c r="G2903" i="16"/>
  <c r="P2903" i="16"/>
  <c r="F2903" i="16"/>
  <c r="O2903" i="16"/>
  <c r="E2903" i="16"/>
  <c r="N2903" i="16"/>
  <c r="M2933" i="16"/>
  <c r="E2933" i="16"/>
  <c r="L2933" i="16"/>
  <c r="I2933" i="16"/>
  <c r="H2933" i="16"/>
  <c r="T2933" i="16"/>
  <c r="G2933" i="16"/>
  <c r="O2933" i="16"/>
  <c r="K2959" i="16"/>
  <c r="J2959" i="16"/>
  <c r="P2959" i="16"/>
  <c r="F2959" i="16"/>
  <c r="O2959" i="16"/>
  <c r="E2959" i="16"/>
  <c r="N2959" i="16"/>
  <c r="M2959" i="16"/>
  <c r="T2965" i="16"/>
  <c r="P2970" i="16"/>
  <c r="H2970" i="16"/>
  <c r="O2970" i="16"/>
  <c r="G2970" i="16"/>
  <c r="N2970" i="16"/>
  <c r="M2970" i="16"/>
  <c r="L2970" i="16"/>
  <c r="K2970" i="16"/>
  <c r="K2975" i="16"/>
  <c r="J2975" i="16"/>
  <c r="H2975" i="16"/>
  <c r="T2975" i="16"/>
  <c r="G2975" i="16"/>
  <c r="P2975" i="16"/>
  <c r="F2975" i="16"/>
  <c r="N2975" i="16"/>
  <c r="M2989" i="16"/>
  <c r="E2989" i="16"/>
  <c r="L2989" i="16"/>
  <c r="H2989" i="16"/>
  <c r="T2989" i="16"/>
  <c r="G2989" i="16"/>
  <c r="P2989" i="16"/>
  <c r="F2989" i="16"/>
  <c r="O2989" i="16"/>
  <c r="N3012" i="16"/>
  <c r="F3012" i="16"/>
  <c r="M3012" i="16"/>
  <c r="E3012" i="16"/>
  <c r="I3012" i="16"/>
  <c r="H3012" i="16"/>
  <c r="T3012" i="16"/>
  <c r="G3012" i="16"/>
  <c r="P3012" i="16"/>
  <c r="K3015" i="16"/>
  <c r="J3015" i="16"/>
  <c r="O3015" i="16"/>
  <c r="E3015" i="16"/>
  <c r="N3015" i="16"/>
  <c r="M3015" i="16"/>
  <c r="L3015" i="16"/>
  <c r="L3022" i="16"/>
  <c r="K3022" i="16"/>
  <c r="O3022" i="16"/>
  <c r="E3022" i="16"/>
  <c r="N3022" i="16"/>
  <c r="M3022" i="16"/>
  <c r="J3022" i="16"/>
  <c r="M3037" i="16"/>
  <c r="E3037" i="16"/>
  <c r="L3037" i="16"/>
  <c r="P3037" i="16"/>
  <c r="F3037" i="16"/>
  <c r="O3037" i="16"/>
  <c r="N3037" i="16"/>
  <c r="K3037" i="16"/>
  <c r="L3046" i="16"/>
  <c r="K3046" i="16"/>
  <c r="H3046" i="16"/>
  <c r="T3046" i="16"/>
  <c r="G3046" i="16"/>
  <c r="P3046" i="16"/>
  <c r="F3046" i="16"/>
  <c r="N3046" i="16"/>
  <c r="O3099" i="16"/>
  <c r="G3099" i="16"/>
  <c r="N3099" i="16"/>
  <c r="F3099" i="16"/>
  <c r="I3099" i="16"/>
  <c r="H3099" i="16"/>
  <c r="T3099" i="16"/>
  <c r="E3099" i="16"/>
  <c r="P3099" i="16"/>
  <c r="N3124" i="16"/>
  <c r="F3124" i="16"/>
  <c r="M3124" i="16"/>
  <c r="E3124" i="16"/>
  <c r="T3124" i="16"/>
  <c r="G3124" i="16"/>
  <c r="P3124" i="16"/>
  <c r="O3124" i="16"/>
  <c r="L3124" i="16"/>
  <c r="P3130" i="16"/>
  <c r="H3130" i="16"/>
  <c r="O3130" i="16"/>
  <c r="G3130" i="16"/>
  <c r="J3130" i="16"/>
  <c r="I3130" i="16"/>
  <c r="F3130" i="16"/>
  <c r="N3130" i="16"/>
  <c r="K3135" i="16"/>
  <c r="J3135" i="16"/>
  <c r="N3135" i="16"/>
  <c r="M3135" i="16"/>
  <c r="L3135" i="16"/>
  <c r="I3135" i="16"/>
  <c r="T3143" i="16"/>
  <c r="N3148" i="16"/>
  <c r="F3148" i="16"/>
  <c r="M3148" i="16"/>
  <c r="E3148" i="16"/>
  <c r="J3148" i="16"/>
  <c r="I3148" i="16"/>
  <c r="H3148" i="16"/>
  <c r="P3148" i="16"/>
  <c r="T3150" i="16"/>
  <c r="L3166" i="16"/>
  <c r="K3166" i="16"/>
  <c r="T3166" i="16"/>
  <c r="G3166" i="16"/>
  <c r="P3166" i="16"/>
  <c r="F3166" i="16"/>
  <c r="O3166" i="16"/>
  <c r="E3166" i="16"/>
  <c r="N3166" i="16"/>
  <c r="O3171" i="16"/>
  <c r="G3171" i="16"/>
  <c r="N3171" i="16"/>
  <c r="F3171" i="16"/>
  <c r="J3171" i="16"/>
  <c r="I3171" i="16"/>
  <c r="H3171" i="16"/>
  <c r="P3171" i="16"/>
  <c r="M3181" i="16"/>
  <c r="E3181" i="16"/>
  <c r="L3181" i="16"/>
  <c r="H3181" i="16"/>
  <c r="T3181" i="16"/>
  <c r="G3181" i="16"/>
  <c r="P3181" i="16"/>
  <c r="F3181" i="16"/>
  <c r="O3181" i="16"/>
  <c r="O3227" i="16"/>
  <c r="G3227" i="16"/>
  <c r="N3227" i="16"/>
  <c r="F3227" i="16"/>
  <c r="I3227" i="16"/>
  <c r="H3227" i="16"/>
  <c r="T3227" i="16"/>
  <c r="E3227" i="16"/>
  <c r="P3227" i="16"/>
  <c r="M3253" i="16"/>
  <c r="E3253" i="16"/>
  <c r="L3253" i="16"/>
  <c r="I3253" i="16"/>
  <c r="H3253" i="16"/>
  <c r="T3253" i="16"/>
  <c r="G3253" i="16"/>
  <c r="O3253" i="16"/>
  <c r="M3301" i="16"/>
  <c r="E3301" i="16"/>
  <c r="L3301" i="16"/>
  <c r="T3301" i="16"/>
  <c r="G3301" i="16"/>
  <c r="P3301" i="16"/>
  <c r="F3301" i="16"/>
  <c r="O3301" i="16"/>
  <c r="N3301" i="16"/>
  <c r="P3327" i="16"/>
  <c r="L3334" i="16"/>
  <c r="K3334" i="16"/>
  <c r="N3334" i="16"/>
  <c r="M3334" i="16"/>
  <c r="J3334" i="16"/>
  <c r="I3334" i="16"/>
  <c r="K3351" i="16"/>
  <c r="J3351" i="16"/>
  <c r="T3351" i="16"/>
  <c r="G3351" i="16"/>
  <c r="P3351" i="16"/>
  <c r="F3351" i="16"/>
  <c r="O3351" i="16"/>
  <c r="E3351" i="16"/>
  <c r="N3351" i="16"/>
  <c r="M3365" i="16"/>
  <c r="E3365" i="16"/>
  <c r="L3365" i="16"/>
  <c r="T3365" i="16"/>
  <c r="G3365" i="16"/>
  <c r="P3365" i="16"/>
  <c r="F3365" i="16"/>
  <c r="O3365" i="16"/>
  <c r="N3365" i="16"/>
  <c r="P3398" i="16"/>
  <c r="M3421" i="16"/>
  <c r="E3421" i="16"/>
  <c r="L3421" i="16"/>
  <c r="P3421" i="16"/>
  <c r="F3421" i="16"/>
  <c r="O3421" i="16"/>
  <c r="N3421" i="16"/>
  <c r="K3421" i="16"/>
  <c r="N3436" i="16"/>
  <c r="F3436" i="16"/>
  <c r="M3436" i="16"/>
  <c r="E3436" i="16"/>
  <c r="P3436" i="16"/>
  <c r="O3436" i="16"/>
  <c r="L3436" i="16"/>
  <c r="K3436" i="16"/>
  <c r="P3463" i="16"/>
  <c r="O3467" i="16"/>
  <c r="G3467" i="16"/>
  <c r="N3467" i="16"/>
  <c r="F3467" i="16"/>
  <c r="T3467" i="16"/>
  <c r="E3467" i="16"/>
  <c r="P3467" i="16"/>
  <c r="M3467" i="16"/>
  <c r="L3467" i="16"/>
  <c r="T3470" i="16"/>
  <c r="T3477" i="16"/>
  <c r="P3482" i="16"/>
  <c r="H3482" i="16"/>
  <c r="O3482" i="16"/>
  <c r="G3482" i="16"/>
  <c r="N3482" i="16"/>
  <c r="M3482" i="16"/>
  <c r="L3482" i="16"/>
  <c r="K3482" i="16"/>
  <c r="K3487" i="16"/>
  <c r="J3487" i="16"/>
  <c r="H3487" i="16"/>
  <c r="T3487" i="16"/>
  <c r="G3487" i="16"/>
  <c r="P3487" i="16"/>
  <c r="F3487" i="16"/>
  <c r="N3487" i="16"/>
  <c r="T3491" i="16"/>
  <c r="P3498" i="16"/>
  <c r="H3498" i="16"/>
  <c r="O3498" i="16"/>
  <c r="G3498" i="16"/>
  <c r="F3498" i="16"/>
  <c r="T3498" i="16"/>
  <c r="E3498" i="16"/>
  <c r="N3498" i="16"/>
  <c r="M3498" i="16"/>
  <c r="M3509" i="16"/>
  <c r="E3509" i="16"/>
  <c r="L3509" i="16"/>
  <c r="I3509" i="16"/>
  <c r="H3509" i="16"/>
  <c r="T3509" i="16"/>
  <c r="G3509" i="16"/>
  <c r="O3509" i="16"/>
  <c r="T3514" i="16"/>
  <c r="O3519" i="16"/>
  <c r="L3526" i="16"/>
  <c r="K3526" i="16"/>
  <c r="N3526" i="16"/>
  <c r="M3526" i="16"/>
  <c r="J3526" i="16"/>
  <c r="I3526" i="16"/>
  <c r="M3557" i="16"/>
  <c r="E3557" i="16"/>
  <c r="L3557" i="16"/>
  <c r="T3557" i="16"/>
  <c r="G3557" i="16"/>
  <c r="P3557" i="16"/>
  <c r="F3557" i="16"/>
  <c r="O3557" i="16"/>
  <c r="N3557" i="16"/>
  <c r="P3573" i="16"/>
  <c r="T3596" i="16"/>
  <c r="T3599" i="16"/>
  <c r="L3622" i="16"/>
  <c r="K3622" i="16"/>
  <c r="H3622" i="16"/>
  <c r="T3622" i="16"/>
  <c r="G3622" i="16"/>
  <c r="P3622" i="16"/>
  <c r="F3622" i="16"/>
  <c r="N3622" i="16"/>
  <c r="M3629" i="16"/>
  <c r="E3629" i="16"/>
  <c r="L3629" i="16"/>
  <c r="H3629" i="16"/>
  <c r="T3629" i="16"/>
  <c r="G3629" i="16"/>
  <c r="P3629" i="16"/>
  <c r="F3629" i="16"/>
  <c r="O3629" i="16"/>
  <c r="N3636" i="16"/>
  <c r="F3636" i="16"/>
  <c r="M3636" i="16"/>
  <c r="E3636" i="16"/>
  <c r="T3636" i="16"/>
  <c r="G3636" i="16"/>
  <c r="P3636" i="16"/>
  <c r="O3636" i="16"/>
  <c r="L3636" i="16"/>
  <c r="P3642" i="16"/>
  <c r="H3642" i="16"/>
  <c r="O3642" i="16"/>
  <c r="G3642" i="16"/>
  <c r="J3642" i="16"/>
  <c r="I3642" i="16"/>
  <c r="F3642" i="16"/>
  <c r="N3642" i="16"/>
  <c r="O3651" i="16"/>
  <c r="G3651" i="16"/>
  <c r="N3651" i="16"/>
  <c r="F3651" i="16"/>
  <c r="P3651" i="16"/>
  <c r="M3651" i="16"/>
  <c r="L3651" i="16"/>
  <c r="K3651" i="16"/>
  <c r="O3654" i="16"/>
  <c r="M3685" i="16"/>
  <c r="E3685" i="16"/>
  <c r="L3685" i="16"/>
  <c r="T3685" i="16"/>
  <c r="G3685" i="16"/>
  <c r="P3685" i="16"/>
  <c r="F3685" i="16"/>
  <c r="O3685" i="16"/>
  <c r="N3685" i="16"/>
  <c r="N3692" i="16"/>
  <c r="F3692" i="16"/>
  <c r="M3692" i="16"/>
  <c r="E3692" i="16"/>
  <c r="P3692" i="16"/>
  <c r="O3692" i="16"/>
  <c r="L3692" i="16"/>
  <c r="K3692" i="16"/>
  <c r="T3719" i="16"/>
  <c r="N3724" i="16"/>
  <c r="F3724" i="16"/>
  <c r="M3724" i="16"/>
  <c r="E3724" i="16"/>
  <c r="J3724" i="16"/>
  <c r="I3724" i="16"/>
  <c r="H3724" i="16"/>
  <c r="P3724" i="16"/>
  <c r="K3727" i="16"/>
  <c r="J3727" i="16"/>
  <c r="P3727" i="16"/>
  <c r="F3727" i="16"/>
  <c r="O3727" i="16"/>
  <c r="E3727" i="16"/>
  <c r="N3727" i="16"/>
  <c r="M3727" i="16"/>
  <c r="O3731" i="16"/>
  <c r="G3731" i="16"/>
  <c r="N3731" i="16"/>
  <c r="F3731" i="16"/>
  <c r="H3731" i="16"/>
  <c r="T3731" i="16"/>
  <c r="E3731" i="16"/>
  <c r="P3731" i="16"/>
  <c r="M3731" i="16"/>
  <c r="K3735" i="16"/>
  <c r="J3735" i="16"/>
  <c r="T3735" i="16"/>
  <c r="G3735" i="16"/>
  <c r="P3735" i="16"/>
  <c r="F3735" i="16"/>
  <c r="O3735" i="16"/>
  <c r="E3735" i="16"/>
  <c r="N3735" i="16"/>
  <c r="M3749" i="16"/>
  <c r="E3749" i="16"/>
  <c r="L3749" i="16"/>
  <c r="T3749" i="16"/>
  <c r="G3749" i="16"/>
  <c r="P3749" i="16"/>
  <c r="F3749" i="16"/>
  <c r="O3749" i="16"/>
  <c r="N3749" i="16"/>
  <c r="P3765" i="16"/>
  <c r="K3783" i="16"/>
  <c r="J3783" i="16"/>
  <c r="O3783" i="16"/>
  <c r="E3783" i="16"/>
  <c r="N3783" i="16"/>
  <c r="M3783" i="16"/>
  <c r="T3783" i="16"/>
  <c r="P3783" i="16"/>
  <c r="L3783" i="16"/>
  <c r="P3802" i="16"/>
  <c r="H3802" i="16"/>
  <c r="O3802" i="16"/>
  <c r="G3802" i="16"/>
  <c r="N3802" i="16"/>
  <c r="M3802" i="16"/>
  <c r="L3802" i="16"/>
  <c r="K3802" i="16"/>
  <c r="P3826" i="16"/>
  <c r="H3826" i="16"/>
  <c r="O3826" i="16"/>
  <c r="G3826" i="16"/>
  <c r="I3826" i="16"/>
  <c r="F3826" i="16"/>
  <c r="T3826" i="16"/>
  <c r="E3826" i="16"/>
  <c r="J3826" i="16"/>
  <c r="T3839" i="16"/>
  <c r="N3844" i="16"/>
  <c r="F3844" i="16"/>
  <c r="M3844" i="16"/>
  <c r="E3844" i="16"/>
  <c r="I3844" i="16"/>
  <c r="H3844" i="16"/>
  <c r="T3844" i="16"/>
  <c r="G3844" i="16"/>
  <c r="P3844" i="16"/>
  <c r="L3854" i="16"/>
  <c r="K3854" i="16"/>
  <c r="O3854" i="16"/>
  <c r="E3854" i="16"/>
  <c r="N3854" i="16"/>
  <c r="M3854" i="16"/>
  <c r="T3854" i="16"/>
  <c r="J3854" i="16"/>
  <c r="P3874" i="16"/>
  <c r="H3874" i="16"/>
  <c r="O3874" i="16"/>
  <c r="G3874" i="16"/>
  <c r="T3874" i="16"/>
  <c r="E3874" i="16"/>
  <c r="N3874" i="16"/>
  <c r="M3874" i="16"/>
  <c r="I3874" i="16"/>
  <c r="F3874" i="16"/>
  <c r="P3882" i="16"/>
  <c r="H3882" i="16"/>
  <c r="O3882" i="16"/>
  <c r="G3882" i="16"/>
  <c r="F3882" i="16"/>
  <c r="T3882" i="16"/>
  <c r="E3882" i="16"/>
  <c r="N3882" i="16"/>
  <c r="K3882" i="16"/>
  <c r="J3882" i="16"/>
  <c r="K3903" i="16"/>
  <c r="J3903" i="16"/>
  <c r="N3903" i="16"/>
  <c r="M3903" i="16"/>
  <c r="L3903" i="16"/>
  <c r="F3903" i="16"/>
  <c r="E3903" i="16"/>
  <c r="P3903" i="16"/>
  <c r="O3907" i="16"/>
  <c r="G3907" i="16"/>
  <c r="N3907" i="16"/>
  <c r="F3907" i="16"/>
  <c r="P3907" i="16"/>
  <c r="M3907" i="16"/>
  <c r="L3907" i="16"/>
  <c r="K3907" i="16"/>
  <c r="O3923" i="16"/>
  <c r="G3923" i="16"/>
  <c r="N3923" i="16"/>
  <c r="F3923" i="16"/>
  <c r="H3923" i="16"/>
  <c r="T3923" i="16"/>
  <c r="E3923" i="16"/>
  <c r="P3923" i="16"/>
  <c r="L3923" i="16"/>
  <c r="K3923" i="16"/>
  <c r="M3933" i="16"/>
  <c r="E3933" i="16"/>
  <c r="L3933" i="16"/>
  <c r="P3933" i="16"/>
  <c r="F3933" i="16"/>
  <c r="O3933" i="16"/>
  <c r="N3933" i="16"/>
  <c r="H3933" i="16"/>
  <c r="G3933" i="16"/>
  <c r="L3934" i="16"/>
  <c r="K3934" i="16"/>
  <c r="T3934" i="16"/>
  <c r="G3934" i="16"/>
  <c r="P3934" i="16"/>
  <c r="F3934" i="16"/>
  <c r="O3934" i="16"/>
  <c r="E3934" i="16"/>
  <c r="N3934" i="16"/>
  <c r="J3946" i="16"/>
  <c r="L3946" i="16"/>
  <c r="K3946" i="16"/>
  <c r="T3946" i="16"/>
  <c r="F3946" i="16"/>
  <c r="P3946" i="16"/>
  <c r="E3946" i="16"/>
  <c r="O3946" i="16"/>
  <c r="M3946" i="16"/>
  <c r="I3946" i="16"/>
  <c r="O3949" i="16"/>
  <c r="G3949" i="16"/>
  <c r="N3949" i="16"/>
  <c r="E3949" i="16"/>
  <c r="M3949" i="16"/>
  <c r="T3949" i="16"/>
  <c r="P3949" i="16"/>
  <c r="L3949" i="16"/>
  <c r="H3949" i="16"/>
  <c r="F3949" i="16"/>
  <c r="K3977" i="16"/>
  <c r="P3977" i="16"/>
  <c r="G3977" i="16"/>
  <c r="O3977" i="16"/>
  <c r="F3977" i="16"/>
  <c r="T3977" i="16"/>
  <c r="N3977" i="16"/>
  <c r="M3977" i="16"/>
  <c r="I3977" i="16"/>
  <c r="H3977" i="16"/>
  <c r="E3977" i="16"/>
  <c r="J4048" i="16"/>
  <c r="T4048" i="16"/>
  <c r="H4048" i="16"/>
  <c r="I4048" i="16"/>
  <c r="G4048" i="16"/>
  <c r="L4048" i="16"/>
  <c r="K4048" i="16"/>
  <c r="F4048" i="16"/>
  <c r="M4048" i="16"/>
  <c r="E4048" i="16"/>
  <c r="O4083" i="16"/>
  <c r="G4083" i="16"/>
  <c r="P4083" i="16"/>
  <c r="F4083" i="16"/>
  <c r="J4083" i="16"/>
  <c r="I4083" i="16"/>
  <c r="K4083" i="16"/>
  <c r="H4083" i="16"/>
  <c r="E4083" i="16"/>
  <c r="T4083" i="16"/>
  <c r="N4083" i="16"/>
  <c r="M4083" i="16"/>
  <c r="J4104" i="16"/>
  <c r="L4104" i="16"/>
  <c r="T4104" i="16"/>
  <c r="G4104" i="16"/>
  <c r="P4104" i="16"/>
  <c r="F4104" i="16"/>
  <c r="E4104" i="16"/>
  <c r="O4104" i="16"/>
  <c r="M4104" i="16"/>
  <c r="K4104" i="16"/>
  <c r="I4104" i="16"/>
  <c r="P4154" i="16"/>
  <c r="H4154" i="16"/>
  <c r="K4154" i="16"/>
  <c r="N4154" i="16"/>
  <c r="M4154" i="16"/>
  <c r="T4154" i="16"/>
  <c r="O4154" i="16"/>
  <c r="L4154" i="16"/>
  <c r="J4154" i="16"/>
  <c r="N4156" i="16"/>
  <c r="F4156" i="16"/>
  <c r="M4156" i="16"/>
  <c r="I4156" i="16"/>
  <c r="H4156" i="16"/>
  <c r="G4156" i="16"/>
  <c r="E4156" i="16"/>
  <c r="T4156" i="16"/>
  <c r="P4156" i="16"/>
  <c r="O4171" i="16"/>
  <c r="G4171" i="16"/>
  <c r="N4171" i="16"/>
  <c r="E4171" i="16"/>
  <c r="M4171" i="16"/>
  <c r="L4171" i="16"/>
  <c r="J4171" i="16"/>
  <c r="I4171" i="16"/>
  <c r="H4171" i="16"/>
  <c r="F4171" i="16"/>
  <c r="L4182" i="16"/>
  <c r="N4182" i="16"/>
  <c r="E4182" i="16"/>
  <c r="M4182" i="16"/>
  <c r="K4182" i="16"/>
  <c r="H4182" i="16"/>
  <c r="G4182" i="16"/>
  <c r="F4182" i="16"/>
  <c r="I4182" i="16"/>
  <c r="N4212" i="16"/>
  <c r="F4212" i="16"/>
  <c r="T4212" i="16"/>
  <c r="H4212" i="16"/>
  <c r="M4212" i="16"/>
  <c r="L4212" i="16"/>
  <c r="G4212" i="16"/>
  <c r="E4212" i="16"/>
  <c r="J4212" i="16"/>
  <c r="I4212" i="16"/>
  <c r="K4239" i="16"/>
  <c r="T4239" i="16"/>
  <c r="H4239" i="16"/>
  <c r="P4239" i="16"/>
  <c r="F4239" i="16"/>
  <c r="O4239" i="16"/>
  <c r="E4239" i="16"/>
  <c r="G4239" i="16"/>
  <c r="M4239" i="16"/>
  <c r="L4239" i="16"/>
  <c r="J4239" i="16"/>
  <c r="I4239" i="16"/>
  <c r="M4269" i="16"/>
  <c r="E4269" i="16"/>
  <c r="L4269" i="16"/>
  <c r="H4269" i="16"/>
  <c r="T4269" i="16"/>
  <c r="G4269" i="16"/>
  <c r="I4269" i="16"/>
  <c r="F4269" i="16"/>
  <c r="O4269" i="16"/>
  <c r="N4269" i="16"/>
  <c r="K4269" i="16"/>
  <c r="J4269" i="16"/>
  <c r="N4284" i="16"/>
  <c r="F4284" i="16"/>
  <c r="M4284" i="16"/>
  <c r="I4284" i="16"/>
  <c r="H4284" i="16"/>
  <c r="K4284" i="16"/>
  <c r="J4284" i="16"/>
  <c r="G4284" i="16"/>
  <c r="E4284" i="16"/>
  <c r="K4287" i="16"/>
  <c r="O4287" i="16"/>
  <c r="F4287" i="16"/>
  <c r="H4287" i="16"/>
  <c r="T4287" i="16"/>
  <c r="G4287" i="16"/>
  <c r="E4287" i="16"/>
  <c r="P4287" i="16"/>
  <c r="M4287" i="16"/>
  <c r="L4287" i="16"/>
  <c r="J4287" i="16"/>
  <c r="I4287" i="16"/>
  <c r="L4318" i="16"/>
  <c r="J4318" i="16"/>
  <c r="N4318" i="16"/>
  <c r="M4318" i="16"/>
  <c r="H4318" i="16"/>
  <c r="G4318" i="16"/>
  <c r="F4318" i="16"/>
  <c r="I4318" i="16"/>
  <c r="E4318" i="16"/>
  <c r="O4491" i="16"/>
  <c r="G4491" i="16"/>
  <c r="N4491" i="16"/>
  <c r="E4491" i="16"/>
  <c r="M4491" i="16"/>
  <c r="L4491" i="16"/>
  <c r="F4491" i="16"/>
  <c r="T4491" i="16"/>
  <c r="K4491" i="16"/>
  <c r="J4491" i="16"/>
  <c r="I4491" i="16"/>
  <c r="H4491" i="16"/>
  <c r="L4582" i="16"/>
  <c r="T4582" i="16"/>
  <c r="H4582" i="16"/>
  <c r="P4582" i="16"/>
  <c r="G4582" i="16"/>
  <c r="O4582" i="16"/>
  <c r="N4582" i="16"/>
  <c r="M4582" i="16"/>
  <c r="I4582" i="16"/>
  <c r="F4582" i="16"/>
  <c r="E4582" i="16"/>
  <c r="K4582" i="16"/>
  <c r="J4582" i="16"/>
  <c r="L4614" i="16"/>
  <c r="N4614" i="16"/>
  <c r="E4614" i="16"/>
  <c r="M4614" i="16"/>
  <c r="K4614" i="16"/>
  <c r="T4614" i="16"/>
  <c r="P4614" i="16"/>
  <c r="O4614" i="16"/>
  <c r="I4614" i="16"/>
  <c r="H4614" i="16"/>
  <c r="G4614" i="16"/>
  <c r="F4614" i="16"/>
  <c r="M4709" i="16"/>
  <c r="E4709" i="16"/>
  <c r="I4709" i="16"/>
  <c r="T4709" i="16"/>
  <c r="H4709" i="16"/>
  <c r="P4709" i="16"/>
  <c r="G4709" i="16"/>
  <c r="J4709" i="16"/>
  <c r="F4709" i="16"/>
  <c r="K4709" i="16"/>
  <c r="O4709" i="16"/>
  <c r="N4709" i="16"/>
  <c r="L4709" i="16"/>
  <c r="K4719" i="16"/>
  <c r="O4719" i="16"/>
  <c r="F4719" i="16"/>
  <c r="N4719" i="16"/>
  <c r="E4719" i="16"/>
  <c r="M4719" i="16"/>
  <c r="I4719" i="16"/>
  <c r="H4719" i="16"/>
  <c r="G4719" i="16"/>
  <c r="L4719" i="16"/>
  <c r="J4719" i="16"/>
  <c r="P4719" i="16"/>
  <c r="K4743" i="16"/>
  <c r="N4743" i="16"/>
  <c r="E4743" i="16"/>
  <c r="M4743" i="16"/>
  <c r="L4743" i="16"/>
  <c r="G4743" i="16"/>
  <c r="F4743" i="16"/>
  <c r="T4743" i="16"/>
  <c r="O4743" i="16"/>
  <c r="J4743" i="16"/>
  <c r="I4743" i="16"/>
  <c r="P4743" i="16"/>
  <c r="H4743" i="16"/>
  <c r="L4782" i="16"/>
  <c r="O4782" i="16"/>
  <c r="F4782" i="16"/>
  <c r="N4782" i="16"/>
  <c r="E4782" i="16"/>
  <c r="M4782" i="16"/>
  <c r="G4782" i="16"/>
  <c r="T4782" i="16"/>
  <c r="H4782" i="16"/>
  <c r="P4874" i="16"/>
  <c r="H4874" i="16"/>
  <c r="O4874" i="16"/>
  <c r="F4874" i="16"/>
  <c r="N4874" i="16"/>
  <c r="E4874" i="16"/>
  <c r="M4874" i="16"/>
  <c r="G4874" i="16"/>
  <c r="K4874" i="16"/>
  <c r="J4874" i="16"/>
  <c r="I4874" i="16"/>
  <c r="T4874" i="16"/>
  <c r="L4874" i="16"/>
  <c r="P4954" i="16"/>
  <c r="H4954" i="16"/>
  <c r="I4954" i="16"/>
  <c r="T4954" i="16"/>
  <c r="G4954" i="16"/>
  <c r="O4954" i="16"/>
  <c r="F4954" i="16"/>
  <c r="J4954" i="16"/>
  <c r="E4954" i="16"/>
  <c r="K4954" i="16"/>
  <c r="L5262" i="16"/>
  <c r="K5262" i="16"/>
  <c r="H5262" i="16"/>
  <c r="T5262" i="16"/>
  <c r="G5262" i="16"/>
  <c r="P5262" i="16"/>
  <c r="F5262" i="16"/>
  <c r="J5262" i="16"/>
  <c r="I5262" i="16"/>
  <c r="E5262" i="16"/>
  <c r="O5262" i="16"/>
  <c r="N5262" i="16"/>
  <c r="M5262" i="16"/>
  <c r="AA56" i="17"/>
  <c r="W56" i="17"/>
  <c r="L56" i="17"/>
  <c r="Y56" i="17"/>
  <c r="X56" i="17"/>
  <c r="Z56" i="17"/>
  <c r="J56" i="17"/>
  <c r="AL268" i="17"/>
  <c r="AD268" i="17"/>
  <c r="V268" i="17"/>
  <c r="N268" i="17"/>
  <c r="AK268" i="17"/>
  <c r="AC268" i="17"/>
  <c r="U268" i="17"/>
  <c r="M268" i="17"/>
  <c r="AI268" i="17"/>
  <c r="Y268" i="17"/>
  <c r="O268" i="17"/>
  <c r="AR268" i="17"/>
  <c r="AH268" i="17"/>
  <c r="X268" i="17"/>
  <c r="L268" i="17"/>
  <c r="AQ268" i="17"/>
  <c r="AG268" i="17"/>
  <c r="W268" i="17"/>
  <c r="K268" i="17"/>
  <c r="AF268" i="17"/>
  <c r="Q268" i="17"/>
  <c r="AE268" i="17"/>
  <c r="P268" i="17"/>
  <c r="AB268" i="17"/>
  <c r="J268" i="17"/>
  <c r="T268" i="17"/>
  <c r="AP268" i="17"/>
  <c r="S268" i="17"/>
  <c r="AO268" i="17"/>
  <c r="R268" i="17"/>
  <c r="AM268" i="17"/>
  <c r="AJ268" i="17"/>
  <c r="AA268" i="17"/>
  <c r="AN268" i="17"/>
  <c r="Z268" i="17"/>
  <c r="N2410" i="16"/>
  <c r="L2413" i="16"/>
  <c r="P2413" i="16"/>
  <c r="G2413" i="16"/>
  <c r="O2413" i="16"/>
  <c r="F2413" i="16"/>
  <c r="N2413" i="16"/>
  <c r="E2413" i="16"/>
  <c r="M2413" i="16"/>
  <c r="N2423" i="16"/>
  <c r="N2427" i="16"/>
  <c r="F2427" i="16"/>
  <c r="T2427" i="16"/>
  <c r="H2427" i="16"/>
  <c r="P2427" i="16"/>
  <c r="G2427" i="16"/>
  <c r="O2427" i="16"/>
  <c r="E2427" i="16"/>
  <c r="M2427" i="16"/>
  <c r="O2435" i="16"/>
  <c r="N2442" i="16"/>
  <c r="J2455" i="16"/>
  <c r="T2455" i="16"/>
  <c r="H2455" i="16"/>
  <c r="P2455" i="16"/>
  <c r="G2455" i="16"/>
  <c r="O2455" i="16"/>
  <c r="F2455" i="16"/>
  <c r="M2455" i="16"/>
  <c r="O2460" i="16"/>
  <c r="O2462" i="16"/>
  <c r="O2466" i="16"/>
  <c r="G2466" i="16"/>
  <c r="T2466" i="16"/>
  <c r="H2466" i="16"/>
  <c r="P2466" i="16"/>
  <c r="F2466" i="16"/>
  <c r="N2466" i="16"/>
  <c r="E2466" i="16"/>
  <c r="M2466" i="16"/>
  <c r="N2492" i="16"/>
  <c r="F2492" i="16"/>
  <c r="M2492" i="16"/>
  <c r="E2492" i="16"/>
  <c r="H2492" i="16"/>
  <c r="T2492" i="16"/>
  <c r="G2492" i="16"/>
  <c r="P2492" i="16"/>
  <c r="O2492" i="16"/>
  <c r="N2500" i="16"/>
  <c r="F2500" i="16"/>
  <c r="M2500" i="16"/>
  <c r="E2500" i="16"/>
  <c r="I2500" i="16"/>
  <c r="H2500" i="16"/>
  <c r="T2500" i="16"/>
  <c r="G2500" i="16"/>
  <c r="P2500" i="16"/>
  <c r="K2503" i="16"/>
  <c r="J2503" i="16"/>
  <c r="O2503" i="16"/>
  <c r="E2503" i="16"/>
  <c r="N2503" i="16"/>
  <c r="M2503" i="16"/>
  <c r="L2503" i="16"/>
  <c r="P2510" i="16"/>
  <c r="P2517" i="16"/>
  <c r="T2525" i="16"/>
  <c r="P2530" i="16"/>
  <c r="H2530" i="16"/>
  <c r="O2530" i="16"/>
  <c r="G2530" i="16"/>
  <c r="T2530" i="16"/>
  <c r="E2530" i="16"/>
  <c r="N2530" i="16"/>
  <c r="M2530" i="16"/>
  <c r="L2530" i="16"/>
  <c r="O2571" i="16"/>
  <c r="G2571" i="16"/>
  <c r="N2571" i="16"/>
  <c r="F2571" i="16"/>
  <c r="T2571" i="16"/>
  <c r="E2571" i="16"/>
  <c r="P2571" i="16"/>
  <c r="M2571" i="16"/>
  <c r="L2571" i="16"/>
  <c r="P2586" i="16"/>
  <c r="H2586" i="16"/>
  <c r="O2586" i="16"/>
  <c r="G2586" i="16"/>
  <c r="N2586" i="16"/>
  <c r="M2586" i="16"/>
  <c r="L2586" i="16"/>
  <c r="K2586" i="16"/>
  <c r="L2590" i="16"/>
  <c r="K2590" i="16"/>
  <c r="T2590" i="16"/>
  <c r="G2590" i="16"/>
  <c r="P2590" i="16"/>
  <c r="F2590" i="16"/>
  <c r="O2590" i="16"/>
  <c r="E2590" i="16"/>
  <c r="N2590" i="16"/>
  <c r="O2595" i="16"/>
  <c r="G2595" i="16"/>
  <c r="N2595" i="16"/>
  <c r="F2595" i="16"/>
  <c r="J2595" i="16"/>
  <c r="I2595" i="16"/>
  <c r="H2595" i="16"/>
  <c r="P2595" i="16"/>
  <c r="T2627" i="16"/>
  <c r="L2638" i="16"/>
  <c r="K2638" i="16"/>
  <c r="O2638" i="16"/>
  <c r="E2638" i="16"/>
  <c r="N2638" i="16"/>
  <c r="M2638" i="16"/>
  <c r="J2638" i="16"/>
  <c r="P2650" i="16"/>
  <c r="H2650" i="16"/>
  <c r="O2650" i="16"/>
  <c r="G2650" i="16"/>
  <c r="N2650" i="16"/>
  <c r="M2650" i="16"/>
  <c r="L2650" i="16"/>
  <c r="K2650" i="16"/>
  <c r="K2655" i="16"/>
  <c r="J2655" i="16"/>
  <c r="H2655" i="16"/>
  <c r="T2655" i="16"/>
  <c r="G2655" i="16"/>
  <c r="P2655" i="16"/>
  <c r="F2655" i="16"/>
  <c r="N2655" i="16"/>
  <c r="T2659" i="16"/>
  <c r="M2677" i="16"/>
  <c r="E2677" i="16"/>
  <c r="L2677" i="16"/>
  <c r="I2677" i="16"/>
  <c r="H2677" i="16"/>
  <c r="T2677" i="16"/>
  <c r="G2677" i="16"/>
  <c r="O2677" i="16"/>
  <c r="T2682" i="16"/>
  <c r="P2695" i="16"/>
  <c r="O2699" i="16"/>
  <c r="G2699" i="16"/>
  <c r="N2699" i="16"/>
  <c r="F2699" i="16"/>
  <c r="T2699" i="16"/>
  <c r="E2699" i="16"/>
  <c r="P2699" i="16"/>
  <c r="M2699" i="16"/>
  <c r="L2699" i="16"/>
  <c r="P2714" i="16"/>
  <c r="H2714" i="16"/>
  <c r="O2714" i="16"/>
  <c r="G2714" i="16"/>
  <c r="N2714" i="16"/>
  <c r="M2714" i="16"/>
  <c r="L2714" i="16"/>
  <c r="K2714" i="16"/>
  <c r="K2719" i="16"/>
  <c r="J2719" i="16"/>
  <c r="H2719" i="16"/>
  <c r="T2719" i="16"/>
  <c r="G2719" i="16"/>
  <c r="P2719" i="16"/>
  <c r="F2719" i="16"/>
  <c r="N2719" i="16"/>
  <c r="T2723" i="16"/>
  <c r="N2732" i="16"/>
  <c r="F2732" i="16"/>
  <c r="M2732" i="16"/>
  <c r="E2732" i="16"/>
  <c r="P2732" i="16"/>
  <c r="O2732" i="16"/>
  <c r="L2732" i="16"/>
  <c r="K2732" i="16"/>
  <c r="O2755" i="16"/>
  <c r="G2755" i="16"/>
  <c r="N2755" i="16"/>
  <c r="F2755" i="16"/>
  <c r="P2755" i="16"/>
  <c r="M2755" i="16"/>
  <c r="L2755" i="16"/>
  <c r="K2755" i="16"/>
  <c r="M2773" i="16"/>
  <c r="E2773" i="16"/>
  <c r="L2773" i="16"/>
  <c r="O2773" i="16"/>
  <c r="N2773" i="16"/>
  <c r="K2773" i="16"/>
  <c r="J2773" i="16"/>
  <c r="M2781" i="16"/>
  <c r="E2781" i="16"/>
  <c r="L2781" i="16"/>
  <c r="P2781" i="16"/>
  <c r="F2781" i="16"/>
  <c r="O2781" i="16"/>
  <c r="N2781" i="16"/>
  <c r="K2781" i="16"/>
  <c r="M2797" i="16"/>
  <c r="E2797" i="16"/>
  <c r="L2797" i="16"/>
  <c r="H2797" i="16"/>
  <c r="T2797" i="16"/>
  <c r="G2797" i="16"/>
  <c r="P2797" i="16"/>
  <c r="F2797" i="16"/>
  <c r="O2797" i="16"/>
  <c r="P2802" i="16"/>
  <c r="H2802" i="16"/>
  <c r="O2802" i="16"/>
  <c r="G2802" i="16"/>
  <c r="I2802" i="16"/>
  <c r="F2802" i="16"/>
  <c r="T2802" i="16"/>
  <c r="E2802" i="16"/>
  <c r="N2802" i="16"/>
  <c r="K2823" i="16"/>
  <c r="J2823" i="16"/>
  <c r="O2823" i="16"/>
  <c r="E2823" i="16"/>
  <c r="N2823" i="16"/>
  <c r="M2823" i="16"/>
  <c r="L2823" i="16"/>
  <c r="L2830" i="16"/>
  <c r="K2830" i="16"/>
  <c r="O2830" i="16"/>
  <c r="E2830" i="16"/>
  <c r="N2830" i="16"/>
  <c r="M2830" i="16"/>
  <c r="J2830" i="16"/>
  <c r="P2837" i="16"/>
  <c r="T2845" i="16"/>
  <c r="P2850" i="16"/>
  <c r="H2850" i="16"/>
  <c r="O2850" i="16"/>
  <c r="G2850" i="16"/>
  <c r="T2850" i="16"/>
  <c r="E2850" i="16"/>
  <c r="N2850" i="16"/>
  <c r="M2850" i="16"/>
  <c r="L2850" i="16"/>
  <c r="T2860" i="16"/>
  <c r="T2883" i="16"/>
  <c r="T2886" i="16"/>
  <c r="M2917" i="16"/>
  <c r="E2917" i="16"/>
  <c r="L2917" i="16"/>
  <c r="T2917" i="16"/>
  <c r="G2917" i="16"/>
  <c r="P2917" i="16"/>
  <c r="F2917" i="16"/>
  <c r="O2917" i="16"/>
  <c r="N2917" i="16"/>
  <c r="P2933" i="16"/>
  <c r="L2950" i="16"/>
  <c r="K2950" i="16"/>
  <c r="N2950" i="16"/>
  <c r="M2950" i="16"/>
  <c r="J2950" i="16"/>
  <c r="I2950" i="16"/>
  <c r="T2959" i="16"/>
  <c r="O2963" i="16"/>
  <c r="G2963" i="16"/>
  <c r="N2963" i="16"/>
  <c r="F2963" i="16"/>
  <c r="H2963" i="16"/>
  <c r="T2963" i="16"/>
  <c r="E2963" i="16"/>
  <c r="P2963" i="16"/>
  <c r="M2963" i="16"/>
  <c r="L2966" i="16"/>
  <c r="K2966" i="16"/>
  <c r="P2966" i="16"/>
  <c r="F2966" i="16"/>
  <c r="O2966" i="16"/>
  <c r="E2966" i="16"/>
  <c r="N2966" i="16"/>
  <c r="M2966" i="16"/>
  <c r="T2970" i="16"/>
  <c r="P2986" i="16"/>
  <c r="H2986" i="16"/>
  <c r="O2986" i="16"/>
  <c r="G2986" i="16"/>
  <c r="F2986" i="16"/>
  <c r="T2986" i="16"/>
  <c r="E2986" i="16"/>
  <c r="N2986" i="16"/>
  <c r="M2986" i="16"/>
  <c r="O3019" i="16"/>
  <c r="G3019" i="16"/>
  <c r="N3019" i="16"/>
  <c r="F3019" i="16"/>
  <c r="T3019" i="16"/>
  <c r="E3019" i="16"/>
  <c r="P3019" i="16"/>
  <c r="M3019" i="16"/>
  <c r="L3019" i="16"/>
  <c r="M3029" i="16"/>
  <c r="E3029" i="16"/>
  <c r="L3029" i="16"/>
  <c r="O3029" i="16"/>
  <c r="N3029" i="16"/>
  <c r="K3029" i="16"/>
  <c r="J3029" i="16"/>
  <c r="P3042" i="16"/>
  <c r="H3042" i="16"/>
  <c r="O3042" i="16"/>
  <c r="G3042" i="16"/>
  <c r="T3042" i="16"/>
  <c r="E3042" i="16"/>
  <c r="N3042" i="16"/>
  <c r="M3042" i="16"/>
  <c r="L3042" i="16"/>
  <c r="N3052" i="16"/>
  <c r="F3052" i="16"/>
  <c r="M3052" i="16"/>
  <c r="E3052" i="16"/>
  <c r="P3052" i="16"/>
  <c r="O3052" i="16"/>
  <c r="L3052" i="16"/>
  <c r="K3052" i="16"/>
  <c r="O3075" i="16"/>
  <c r="G3075" i="16"/>
  <c r="N3075" i="16"/>
  <c r="F3075" i="16"/>
  <c r="P3075" i="16"/>
  <c r="M3075" i="16"/>
  <c r="L3075" i="16"/>
  <c r="K3075" i="16"/>
  <c r="K3095" i="16"/>
  <c r="J3095" i="16"/>
  <c r="T3095" i="16"/>
  <c r="G3095" i="16"/>
  <c r="P3095" i="16"/>
  <c r="F3095" i="16"/>
  <c r="O3095" i="16"/>
  <c r="E3095" i="16"/>
  <c r="N3095" i="16"/>
  <c r="M3125" i="16"/>
  <c r="E3125" i="16"/>
  <c r="L3125" i="16"/>
  <c r="I3125" i="16"/>
  <c r="H3125" i="16"/>
  <c r="T3125" i="16"/>
  <c r="G3125" i="16"/>
  <c r="O3125" i="16"/>
  <c r="K3151" i="16"/>
  <c r="J3151" i="16"/>
  <c r="P3151" i="16"/>
  <c r="F3151" i="16"/>
  <c r="O3151" i="16"/>
  <c r="E3151" i="16"/>
  <c r="N3151" i="16"/>
  <c r="M3151" i="16"/>
  <c r="P3162" i="16"/>
  <c r="H3162" i="16"/>
  <c r="O3162" i="16"/>
  <c r="G3162" i="16"/>
  <c r="N3162" i="16"/>
  <c r="M3162" i="16"/>
  <c r="L3162" i="16"/>
  <c r="K3162" i="16"/>
  <c r="K3167" i="16"/>
  <c r="J3167" i="16"/>
  <c r="H3167" i="16"/>
  <c r="T3167" i="16"/>
  <c r="G3167" i="16"/>
  <c r="P3167" i="16"/>
  <c r="F3167" i="16"/>
  <c r="N3167" i="16"/>
  <c r="P3178" i="16"/>
  <c r="H3178" i="16"/>
  <c r="O3178" i="16"/>
  <c r="G3178" i="16"/>
  <c r="F3178" i="16"/>
  <c r="T3178" i="16"/>
  <c r="E3178" i="16"/>
  <c r="N3178" i="16"/>
  <c r="M3178" i="16"/>
  <c r="P3194" i="16"/>
  <c r="H3194" i="16"/>
  <c r="O3194" i="16"/>
  <c r="G3194" i="16"/>
  <c r="J3194" i="16"/>
  <c r="I3194" i="16"/>
  <c r="F3194" i="16"/>
  <c r="N3194" i="16"/>
  <c r="L3206" i="16"/>
  <c r="K3206" i="16"/>
  <c r="N3206" i="16"/>
  <c r="M3206" i="16"/>
  <c r="J3206" i="16"/>
  <c r="I3206" i="16"/>
  <c r="K3223" i="16"/>
  <c r="J3223" i="16"/>
  <c r="T3223" i="16"/>
  <c r="G3223" i="16"/>
  <c r="P3223" i="16"/>
  <c r="F3223" i="16"/>
  <c r="O3223" i="16"/>
  <c r="E3223" i="16"/>
  <c r="N3223" i="16"/>
  <c r="M3237" i="16"/>
  <c r="E3237" i="16"/>
  <c r="L3237" i="16"/>
  <c r="T3237" i="16"/>
  <c r="G3237" i="16"/>
  <c r="P3237" i="16"/>
  <c r="F3237" i="16"/>
  <c r="O3237" i="16"/>
  <c r="N3237" i="16"/>
  <c r="O3267" i="16"/>
  <c r="G3267" i="16"/>
  <c r="N3267" i="16"/>
  <c r="F3267" i="16"/>
  <c r="P3267" i="16"/>
  <c r="M3267" i="16"/>
  <c r="L3267" i="16"/>
  <c r="K3267" i="16"/>
  <c r="M3293" i="16"/>
  <c r="E3293" i="16"/>
  <c r="L3293" i="16"/>
  <c r="P3293" i="16"/>
  <c r="F3293" i="16"/>
  <c r="O3293" i="16"/>
  <c r="N3293" i="16"/>
  <c r="K3293" i="16"/>
  <c r="L3302" i="16"/>
  <c r="K3302" i="16"/>
  <c r="H3302" i="16"/>
  <c r="T3302" i="16"/>
  <c r="G3302" i="16"/>
  <c r="P3302" i="16"/>
  <c r="F3302" i="16"/>
  <c r="N3302" i="16"/>
  <c r="T3327" i="16"/>
  <c r="L3366" i="16"/>
  <c r="K3366" i="16"/>
  <c r="H3366" i="16"/>
  <c r="T3366" i="16"/>
  <c r="G3366" i="16"/>
  <c r="P3366" i="16"/>
  <c r="F3366" i="16"/>
  <c r="N3366" i="16"/>
  <c r="N3388" i="16"/>
  <c r="F3388" i="16"/>
  <c r="M3388" i="16"/>
  <c r="E3388" i="16"/>
  <c r="H3388" i="16"/>
  <c r="T3388" i="16"/>
  <c r="G3388" i="16"/>
  <c r="P3388" i="16"/>
  <c r="O3388" i="16"/>
  <c r="N3396" i="16"/>
  <c r="F3396" i="16"/>
  <c r="M3396" i="16"/>
  <c r="E3396" i="16"/>
  <c r="I3396" i="16"/>
  <c r="H3396" i="16"/>
  <c r="T3396" i="16"/>
  <c r="G3396" i="16"/>
  <c r="P3396" i="16"/>
  <c r="T3398" i="16"/>
  <c r="L3406" i="16"/>
  <c r="K3406" i="16"/>
  <c r="O3406" i="16"/>
  <c r="E3406" i="16"/>
  <c r="N3406" i="16"/>
  <c r="M3406" i="16"/>
  <c r="J3406" i="16"/>
  <c r="M3413" i="16"/>
  <c r="E3413" i="16"/>
  <c r="L3413" i="16"/>
  <c r="O3413" i="16"/>
  <c r="N3413" i="16"/>
  <c r="K3413" i="16"/>
  <c r="J3413" i="16"/>
  <c r="P3426" i="16"/>
  <c r="H3426" i="16"/>
  <c r="O3426" i="16"/>
  <c r="G3426" i="16"/>
  <c r="T3426" i="16"/>
  <c r="E3426" i="16"/>
  <c r="N3426" i="16"/>
  <c r="M3426" i="16"/>
  <c r="L3426" i="16"/>
  <c r="P3442" i="16"/>
  <c r="H3442" i="16"/>
  <c r="O3442" i="16"/>
  <c r="G3442" i="16"/>
  <c r="I3442" i="16"/>
  <c r="F3442" i="16"/>
  <c r="T3442" i="16"/>
  <c r="E3442" i="16"/>
  <c r="N3442" i="16"/>
  <c r="K3455" i="16"/>
  <c r="J3455" i="16"/>
  <c r="N3455" i="16"/>
  <c r="M3455" i="16"/>
  <c r="L3455" i="16"/>
  <c r="I3455" i="16"/>
  <c r="T3463" i="16"/>
  <c r="N3468" i="16"/>
  <c r="F3468" i="16"/>
  <c r="M3468" i="16"/>
  <c r="E3468" i="16"/>
  <c r="J3468" i="16"/>
  <c r="I3468" i="16"/>
  <c r="H3468" i="16"/>
  <c r="P3468" i="16"/>
  <c r="K3471" i="16"/>
  <c r="J3471" i="16"/>
  <c r="P3471" i="16"/>
  <c r="F3471" i="16"/>
  <c r="O3471" i="16"/>
  <c r="E3471" i="16"/>
  <c r="N3471" i="16"/>
  <c r="M3471" i="16"/>
  <c r="O3475" i="16"/>
  <c r="G3475" i="16"/>
  <c r="N3475" i="16"/>
  <c r="F3475" i="16"/>
  <c r="H3475" i="16"/>
  <c r="T3475" i="16"/>
  <c r="E3475" i="16"/>
  <c r="P3475" i="16"/>
  <c r="M3475" i="16"/>
  <c r="L3478" i="16"/>
  <c r="K3478" i="16"/>
  <c r="P3478" i="16"/>
  <c r="F3478" i="16"/>
  <c r="O3478" i="16"/>
  <c r="E3478" i="16"/>
  <c r="N3478" i="16"/>
  <c r="M3478" i="16"/>
  <c r="P3519" i="16"/>
  <c r="L3558" i="16"/>
  <c r="K3558" i="16"/>
  <c r="H3558" i="16"/>
  <c r="T3558" i="16"/>
  <c r="G3558" i="16"/>
  <c r="P3558" i="16"/>
  <c r="F3558" i="16"/>
  <c r="N3558" i="16"/>
  <c r="N3580" i="16"/>
  <c r="F3580" i="16"/>
  <c r="M3580" i="16"/>
  <c r="E3580" i="16"/>
  <c r="H3580" i="16"/>
  <c r="T3580" i="16"/>
  <c r="G3580" i="16"/>
  <c r="P3580" i="16"/>
  <c r="O3580" i="16"/>
  <c r="K3583" i="16"/>
  <c r="J3583" i="16"/>
  <c r="N3583" i="16"/>
  <c r="M3583" i="16"/>
  <c r="L3583" i="16"/>
  <c r="I3583" i="16"/>
  <c r="L3590" i="16"/>
  <c r="K3590" i="16"/>
  <c r="N3590" i="16"/>
  <c r="M3590" i="16"/>
  <c r="J3590" i="16"/>
  <c r="I3590" i="16"/>
  <c r="M3613" i="16"/>
  <c r="E3613" i="16"/>
  <c r="L3613" i="16"/>
  <c r="P3613" i="16"/>
  <c r="F3613" i="16"/>
  <c r="O3613" i="16"/>
  <c r="N3613" i="16"/>
  <c r="K3613" i="16"/>
  <c r="M3637" i="16"/>
  <c r="E3637" i="16"/>
  <c r="L3637" i="16"/>
  <c r="I3637" i="16"/>
  <c r="H3637" i="16"/>
  <c r="T3637" i="16"/>
  <c r="G3637" i="16"/>
  <c r="O3637" i="16"/>
  <c r="P3654" i="16"/>
  <c r="L3686" i="16"/>
  <c r="K3686" i="16"/>
  <c r="H3686" i="16"/>
  <c r="T3686" i="16"/>
  <c r="G3686" i="16"/>
  <c r="P3686" i="16"/>
  <c r="F3686" i="16"/>
  <c r="N3686" i="16"/>
  <c r="L3750" i="16"/>
  <c r="K3750" i="16"/>
  <c r="H3750" i="16"/>
  <c r="T3750" i="16"/>
  <c r="G3750" i="16"/>
  <c r="P3750" i="16"/>
  <c r="F3750" i="16"/>
  <c r="N3750" i="16"/>
  <c r="N3772" i="16"/>
  <c r="F3772" i="16"/>
  <c r="M3772" i="16"/>
  <c r="E3772" i="16"/>
  <c r="H3772" i="16"/>
  <c r="T3772" i="16"/>
  <c r="G3772" i="16"/>
  <c r="P3772" i="16"/>
  <c r="O3772" i="16"/>
  <c r="K3775" i="16"/>
  <c r="J3775" i="16"/>
  <c r="N3775" i="16"/>
  <c r="M3775" i="16"/>
  <c r="L3775" i="16"/>
  <c r="G3775" i="16"/>
  <c r="F3775" i="16"/>
  <c r="P3775" i="16"/>
  <c r="O3779" i="16"/>
  <c r="G3779" i="16"/>
  <c r="N3779" i="16"/>
  <c r="F3779" i="16"/>
  <c r="P3779" i="16"/>
  <c r="M3779" i="16"/>
  <c r="L3779" i="16"/>
  <c r="E3779" i="16"/>
  <c r="T3779" i="16"/>
  <c r="O3811" i="16"/>
  <c r="G3811" i="16"/>
  <c r="N3811" i="16"/>
  <c r="F3811" i="16"/>
  <c r="J3811" i="16"/>
  <c r="I3811" i="16"/>
  <c r="H3811" i="16"/>
  <c r="E3811" i="16"/>
  <c r="T3811" i="16"/>
  <c r="N3836" i="16"/>
  <c r="F3836" i="16"/>
  <c r="M3836" i="16"/>
  <c r="E3836" i="16"/>
  <c r="H3836" i="16"/>
  <c r="T3836" i="16"/>
  <c r="G3836" i="16"/>
  <c r="P3836" i="16"/>
  <c r="K3836" i="16"/>
  <c r="J3836" i="16"/>
  <c r="M3861" i="16"/>
  <c r="E3861" i="16"/>
  <c r="L3861" i="16"/>
  <c r="O3861" i="16"/>
  <c r="N3861" i="16"/>
  <c r="K3861" i="16"/>
  <c r="G3861" i="16"/>
  <c r="F3861" i="16"/>
  <c r="T3861" i="16"/>
  <c r="L3878" i="16"/>
  <c r="K3878" i="16"/>
  <c r="H3878" i="16"/>
  <c r="T3878" i="16"/>
  <c r="G3878" i="16"/>
  <c r="P3878" i="16"/>
  <c r="F3878" i="16"/>
  <c r="M3878" i="16"/>
  <c r="J3878" i="16"/>
  <c r="N3884" i="16"/>
  <c r="F3884" i="16"/>
  <c r="M3884" i="16"/>
  <c r="E3884" i="16"/>
  <c r="P3884" i="16"/>
  <c r="O3884" i="16"/>
  <c r="L3884" i="16"/>
  <c r="K3884" i="16"/>
  <c r="N3900" i="16"/>
  <c r="F3900" i="16"/>
  <c r="M3900" i="16"/>
  <c r="E3900" i="16"/>
  <c r="H3900" i="16"/>
  <c r="T3900" i="16"/>
  <c r="G3900" i="16"/>
  <c r="P3900" i="16"/>
  <c r="K3900" i="16"/>
  <c r="J3900" i="16"/>
  <c r="L3918" i="16"/>
  <c r="K3918" i="16"/>
  <c r="O3918" i="16"/>
  <c r="E3918" i="16"/>
  <c r="N3918" i="16"/>
  <c r="M3918" i="16"/>
  <c r="T3918" i="16"/>
  <c r="P3918" i="16"/>
  <c r="J3918" i="16"/>
  <c r="M3925" i="16"/>
  <c r="E3925" i="16"/>
  <c r="L3925" i="16"/>
  <c r="O3925" i="16"/>
  <c r="N3925" i="16"/>
  <c r="K3925" i="16"/>
  <c r="F3925" i="16"/>
  <c r="P3925" i="16"/>
  <c r="K3935" i="16"/>
  <c r="J3935" i="16"/>
  <c r="H3935" i="16"/>
  <c r="T3935" i="16"/>
  <c r="G3935" i="16"/>
  <c r="P3935" i="16"/>
  <c r="F3935" i="16"/>
  <c r="O3935" i="16"/>
  <c r="N3935" i="16"/>
  <c r="M3991" i="16"/>
  <c r="E3991" i="16"/>
  <c r="I3991" i="16"/>
  <c r="T3991" i="16"/>
  <c r="H3991" i="16"/>
  <c r="G3991" i="16"/>
  <c r="F3991" i="16"/>
  <c r="P3991" i="16"/>
  <c r="K3991" i="16"/>
  <c r="J3991" i="16"/>
  <c r="M4015" i="16"/>
  <c r="E4015" i="16"/>
  <c r="T4015" i="16"/>
  <c r="H4015" i="16"/>
  <c r="P4015" i="16"/>
  <c r="G4015" i="16"/>
  <c r="I4015" i="16"/>
  <c r="F4015" i="16"/>
  <c r="K4015" i="16"/>
  <c r="J4015" i="16"/>
  <c r="K4017" i="16"/>
  <c r="T4017" i="16"/>
  <c r="H4017" i="16"/>
  <c r="P4017" i="16"/>
  <c r="G4017" i="16"/>
  <c r="I4017" i="16"/>
  <c r="F4017" i="16"/>
  <c r="E4017" i="16"/>
  <c r="O4017" i="16"/>
  <c r="N4052" i="16"/>
  <c r="F4052" i="16"/>
  <c r="L4052" i="16"/>
  <c r="H4052" i="16"/>
  <c r="T4052" i="16"/>
  <c r="G4052" i="16"/>
  <c r="P4052" i="16"/>
  <c r="O4052" i="16"/>
  <c r="K4052" i="16"/>
  <c r="J4052" i="16"/>
  <c r="I4052" i="16"/>
  <c r="O4107" i="16"/>
  <c r="G4107" i="16"/>
  <c r="N4107" i="16"/>
  <c r="E4107" i="16"/>
  <c r="M4107" i="16"/>
  <c r="L4107" i="16"/>
  <c r="I4107" i="16"/>
  <c r="H4107" i="16"/>
  <c r="F4107" i="16"/>
  <c r="N4108" i="16"/>
  <c r="F4108" i="16"/>
  <c r="P4108" i="16"/>
  <c r="G4108" i="16"/>
  <c r="H4108" i="16"/>
  <c r="T4108" i="16"/>
  <c r="E4108" i="16"/>
  <c r="O4108" i="16"/>
  <c r="M4108" i="16"/>
  <c r="K4175" i="16"/>
  <c r="T4175" i="16"/>
  <c r="H4175" i="16"/>
  <c r="P4175" i="16"/>
  <c r="F4175" i="16"/>
  <c r="O4175" i="16"/>
  <c r="E4175" i="16"/>
  <c r="N4175" i="16"/>
  <c r="L4175" i="16"/>
  <c r="J4175" i="16"/>
  <c r="I4175" i="16"/>
  <c r="P4282" i="16"/>
  <c r="H4282" i="16"/>
  <c r="K4282" i="16"/>
  <c r="N4282" i="16"/>
  <c r="M4282" i="16"/>
  <c r="F4282" i="16"/>
  <c r="E4282" i="16"/>
  <c r="T4282" i="16"/>
  <c r="G4282" i="16"/>
  <c r="J4304" i="16"/>
  <c r="T4304" i="16"/>
  <c r="H4304" i="16"/>
  <c r="I4304" i="16"/>
  <c r="G4304" i="16"/>
  <c r="P4304" i="16"/>
  <c r="O4304" i="16"/>
  <c r="N4304" i="16"/>
  <c r="E4304" i="16"/>
  <c r="M4341" i="16"/>
  <c r="E4341" i="16"/>
  <c r="I4341" i="16"/>
  <c r="T4341" i="16"/>
  <c r="G4341" i="16"/>
  <c r="P4341" i="16"/>
  <c r="F4341" i="16"/>
  <c r="H4341" i="16"/>
  <c r="L4341" i="16"/>
  <c r="K4341" i="16"/>
  <c r="J4341" i="16"/>
  <c r="M4397" i="16"/>
  <c r="E4397" i="16"/>
  <c r="L4397" i="16"/>
  <c r="H4397" i="16"/>
  <c r="T4397" i="16"/>
  <c r="G4397" i="16"/>
  <c r="K4397" i="16"/>
  <c r="J4397" i="16"/>
  <c r="I4397" i="16"/>
  <c r="N4397" i="16"/>
  <c r="F4397" i="16"/>
  <c r="O4507" i="16"/>
  <c r="G4507" i="16"/>
  <c r="T4507" i="16"/>
  <c r="H4507" i="16"/>
  <c r="P4507" i="16"/>
  <c r="E4507" i="16"/>
  <c r="N4507" i="16"/>
  <c r="J4507" i="16"/>
  <c r="I4507" i="16"/>
  <c r="F4507" i="16"/>
  <c r="K4507" i="16"/>
  <c r="K4575" i="16"/>
  <c r="L4575" i="16"/>
  <c r="J4575" i="16"/>
  <c r="T4575" i="16"/>
  <c r="F4575" i="16"/>
  <c r="P4575" i="16"/>
  <c r="E4575" i="16"/>
  <c r="O4575" i="16"/>
  <c r="I4575" i="16"/>
  <c r="H4575" i="16"/>
  <c r="G4575" i="16"/>
  <c r="N4575" i="16"/>
  <c r="M4575" i="16"/>
  <c r="N4596" i="16"/>
  <c r="F4596" i="16"/>
  <c r="I4596" i="16"/>
  <c r="T4596" i="16"/>
  <c r="H4596" i="16"/>
  <c r="K4596" i="16"/>
  <c r="J4596" i="16"/>
  <c r="G4596" i="16"/>
  <c r="M4596" i="16"/>
  <c r="L4596" i="16"/>
  <c r="E4596" i="16"/>
  <c r="P4596" i="16"/>
  <c r="O4596" i="16"/>
  <c r="M4605" i="16"/>
  <c r="E4605" i="16"/>
  <c r="P4605" i="16"/>
  <c r="G4605" i="16"/>
  <c r="O4605" i="16"/>
  <c r="F4605" i="16"/>
  <c r="H4605" i="16"/>
  <c r="T4605" i="16"/>
  <c r="L4605" i="16"/>
  <c r="K4605" i="16"/>
  <c r="J4605" i="16"/>
  <c r="I4605" i="16"/>
  <c r="M4781" i="16"/>
  <c r="E4781" i="16"/>
  <c r="O4781" i="16"/>
  <c r="F4781" i="16"/>
  <c r="N4781" i="16"/>
  <c r="L4781" i="16"/>
  <c r="J4781" i="16"/>
  <c r="I4781" i="16"/>
  <c r="H4781" i="16"/>
  <c r="G4781" i="16"/>
  <c r="P4826" i="16"/>
  <c r="H4826" i="16"/>
  <c r="I4826" i="16"/>
  <c r="T4826" i="16"/>
  <c r="G4826" i="16"/>
  <c r="O4826" i="16"/>
  <c r="F4826" i="16"/>
  <c r="L4826" i="16"/>
  <c r="K4826" i="16"/>
  <c r="J4826" i="16"/>
  <c r="E4826" i="16"/>
  <c r="L4862" i="16"/>
  <c r="T4862" i="16"/>
  <c r="H4862" i="16"/>
  <c r="P4862" i="16"/>
  <c r="G4862" i="16"/>
  <c r="O4862" i="16"/>
  <c r="F4862" i="16"/>
  <c r="J4862" i="16"/>
  <c r="I4862" i="16"/>
  <c r="E4862" i="16"/>
  <c r="N4862" i="16"/>
  <c r="M4862" i="16"/>
  <c r="K4862" i="16"/>
  <c r="K4887" i="16"/>
  <c r="P4887" i="16"/>
  <c r="G4887" i="16"/>
  <c r="O4887" i="16"/>
  <c r="F4887" i="16"/>
  <c r="N4887" i="16"/>
  <c r="E4887" i="16"/>
  <c r="I4887" i="16"/>
  <c r="H4887" i="16"/>
  <c r="T4887" i="16"/>
  <c r="M4887" i="16"/>
  <c r="L4887" i="16"/>
  <c r="J4887" i="16"/>
  <c r="P4922" i="16"/>
  <c r="H4922" i="16"/>
  <c r="M4922" i="16"/>
  <c r="L4922" i="16"/>
  <c r="K4922" i="16"/>
  <c r="T4922" i="16"/>
  <c r="O4922" i="16"/>
  <c r="N4922" i="16"/>
  <c r="E4922" i="16"/>
  <c r="I4922" i="16"/>
  <c r="G4922" i="16"/>
  <c r="F4922" i="16"/>
  <c r="P4986" i="16"/>
  <c r="H4986" i="16"/>
  <c r="M4986" i="16"/>
  <c r="L4986" i="16"/>
  <c r="K4986" i="16"/>
  <c r="G4986" i="16"/>
  <c r="F4986" i="16"/>
  <c r="E4986" i="16"/>
  <c r="N4986" i="16"/>
  <c r="J4986" i="16"/>
  <c r="I4986" i="16"/>
  <c r="O4986" i="16"/>
  <c r="T4986" i="16"/>
  <c r="O5203" i="16"/>
  <c r="G5203" i="16"/>
  <c r="N5203" i="16"/>
  <c r="F5203" i="16"/>
  <c r="J5203" i="16"/>
  <c r="I5203" i="16"/>
  <c r="H5203" i="16"/>
  <c r="K5203" i="16"/>
  <c r="E5203" i="16"/>
  <c r="M5203" i="16"/>
  <c r="L5203" i="16"/>
  <c r="T5203" i="16"/>
  <c r="P5203" i="16"/>
  <c r="O5235" i="16"/>
  <c r="G5235" i="16"/>
  <c r="N5235" i="16"/>
  <c r="F5235" i="16"/>
  <c r="J5235" i="16"/>
  <c r="I5235" i="16"/>
  <c r="H5235" i="16"/>
  <c r="K5235" i="16"/>
  <c r="E5235" i="16"/>
  <c r="L5235" i="16"/>
  <c r="M5235" i="16"/>
  <c r="Q66" i="17"/>
  <c r="AL228" i="17"/>
  <c r="AD228" i="17"/>
  <c r="V228" i="17"/>
  <c r="N228" i="17"/>
  <c r="AK228" i="17"/>
  <c r="AC228" i="17"/>
  <c r="U228" i="17"/>
  <c r="M228" i="17"/>
  <c r="AM228" i="17"/>
  <c r="AA228" i="17"/>
  <c r="Q228" i="17"/>
  <c r="AJ228" i="17"/>
  <c r="Z228" i="17"/>
  <c r="P228" i="17"/>
  <c r="AI228" i="17"/>
  <c r="Y228" i="17"/>
  <c r="O228" i="17"/>
  <c r="AN228" i="17"/>
  <c r="T228" i="17"/>
  <c r="AH228" i="17"/>
  <c r="S228" i="17"/>
  <c r="AG228" i="17"/>
  <c r="R228" i="17"/>
  <c r="AR228" i="17"/>
  <c r="W228" i="17"/>
  <c r="AQ228" i="17"/>
  <c r="L228" i="17"/>
  <c r="AP228" i="17"/>
  <c r="K228" i="17"/>
  <c r="AB228" i="17"/>
  <c r="X228" i="17"/>
  <c r="AE228" i="17"/>
  <c r="AO228" i="17"/>
  <c r="AF228" i="17"/>
  <c r="J228" i="17"/>
  <c r="O3973" i="16"/>
  <c r="G3973" i="16"/>
  <c r="M3973" i="16"/>
  <c r="L3973" i="16"/>
  <c r="P3973" i="16"/>
  <c r="N3973" i="16"/>
  <c r="K3973" i="16"/>
  <c r="J3973" i="16"/>
  <c r="J4002" i="16"/>
  <c r="O4002" i="16"/>
  <c r="F4002" i="16"/>
  <c r="N4002" i="16"/>
  <c r="E4002" i="16"/>
  <c r="K4002" i="16"/>
  <c r="I4002" i="16"/>
  <c r="H4002" i="16"/>
  <c r="T4002" i="16"/>
  <c r="P4004" i="16"/>
  <c r="H4004" i="16"/>
  <c r="T4004" i="16"/>
  <c r="G4004" i="16"/>
  <c r="O4004" i="16"/>
  <c r="F4004" i="16"/>
  <c r="E4004" i="16"/>
  <c r="N4004" i="16"/>
  <c r="M4004" i="16"/>
  <c r="K4009" i="16"/>
  <c r="L4009" i="16"/>
  <c r="J4009" i="16"/>
  <c r="P4009" i="16"/>
  <c r="E4009" i="16"/>
  <c r="O4009" i="16"/>
  <c r="N4009" i="16"/>
  <c r="M4009" i="16"/>
  <c r="K4025" i="16"/>
  <c r="N4025" i="16"/>
  <c r="E4025" i="16"/>
  <c r="M4025" i="16"/>
  <c r="G4025" i="16"/>
  <c r="T4025" i="16"/>
  <c r="F4025" i="16"/>
  <c r="P4025" i="16"/>
  <c r="O4025" i="16"/>
  <c r="O4037" i="16"/>
  <c r="G4037" i="16"/>
  <c r="M4037" i="16"/>
  <c r="L4037" i="16"/>
  <c r="T4037" i="16"/>
  <c r="E4037" i="16"/>
  <c r="P4037" i="16"/>
  <c r="N4037" i="16"/>
  <c r="K4037" i="16"/>
  <c r="L4054" i="16"/>
  <c r="N4054" i="16"/>
  <c r="E4054" i="16"/>
  <c r="M4054" i="16"/>
  <c r="K4054" i="16"/>
  <c r="F4054" i="16"/>
  <c r="T4054" i="16"/>
  <c r="P4054" i="16"/>
  <c r="O4054" i="16"/>
  <c r="J4120" i="16"/>
  <c r="N4120" i="16"/>
  <c r="E4120" i="16"/>
  <c r="H4120" i="16"/>
  <c r="T4120" i="16"/>
  <c r="G4120" i="16"/>
  <c r="K4120" i="16"/>
  <c r="I4120" i="16"/>
  <c r="F4120" i="16"/>
  <c r="N4140" i="16"/>
  <c r="F4140" i="16"/>
  <c r="K4140" i="16"/>
  <c r="P4140" i="16"/>
  <c r="E4140" i="16"/>
  <c r="O4140" i="16"/>
  <c r="I4140" i="16"/>
  <c r="H4140" i="16"/>
  <c r="G4140" i="16"/>
  <c r="M4141" i="16"/>
  <c r="E4141" i="16"/>
  <c r="L4141" i="16"/>
  <c r="H4141" i="16"/>
  <c r="T4141" i="16"/>
  <c r="G4141" i="16"/>
  <c r="P4141" i="16"/>
  <c r="O4141" i="16"/>
  <c r="N4141" i="16"/>
  <c r="O4155" i="16"/>
  <c r="G4155" i="16"/>
  <c r="L4155" i="16"/>
  <c r="T4155" i="16"/>
  <c r="F4155" i="16"/>
  <c r="P4155" i="16"/>
  <c r="E4155" i="16"/>
  <c r="K4155" i="16"/>
  <c r="J4155" i="16"/>
  <c r="I4155" i="16"/>
  <c r="P4162" i="16"/>
  <c r="H4162" i="16"/>
  <c r="T4162" i="16"/>
  <c r="G4162" i="16"/>
  <c r="N4162" i="16"/>
  <c r="M4162" i="16"/>
  <c r="E4162" i="16"/>
  <c r="O4162" i="16"/>
  <c r="L4162" i="16"/>
  <c r="L4166" i="16"/>
  <c r="K4166" i="16"/>
  <c r="O4166" i="16"/>
  <c r="E4166" i="16"/>
  <c r="N4166" i="16"/>
  <c r="F4166" i="16"/>
  <c r="T4166" i="16"/>
  <c r="P4166" i="16"/>
  <c r="M4166" i="16"/>
  <c r="J4184" i="16"/>
  <c r="N4184" i="16"/>
  <c r="E4184" i="16"/>
  <c r="H4184" i="16"/>
  <c r="T4184" i="16"/>
  <c r="G4184" i="16"/>
  <c r="L4184" i="16"/>
  <c r="K4184" i="16"/>
  <c r="I4184" i="16"/>
  <c r="N4197" i="16"/>
  <c r="K4199" i="16"/>
  <c r="P4199" i="16"/>
  <c r="G4199" i="16"/>
  <c r="N4199" i="16"/>
  <c r="M4199" i="16"/>
  <c r="H4199" i="16"/>
  <c r="F4199" i="16"/>
  <c r="E4199" i="16"/>
  <c r="T4199" i="16"/>
  <c r="G4218" i="16"/>
  <c r="L4220" i="16"/>
  <c r="L4222" i="16"/>
  <c r="O4222" i="16"/>
  <c r="F4222" i="16"/>
  <c r="P4222" i="16"/>
  <c r="E4222" i="16"/>
  <c r="N4222" i="16"/>
  <c r="I4222" i="16"/>
  <c r="H4222" i="16"/>
  <c r="G4222" i="16"/>
  <c r="K4223" i="16"/>
  <c r="O4223" i="16"/>
  <c r="F4223" i="16"/>
  <c r="H4223" i="16"/>
  <c r="T4223" i="16"/>
  <c r="G4223" i="16"/>
  <c r="P4223" i="16"/>
  <c r="N4223" i="16"/>
  <c r="M4223" i="16"/>
  <c r="N4236" i="16"/>
  <c r="F4236" i="16"/>
  <c r="P4236" i="16"/>
  <c r="G4236" i="16"/>
  <c r="H4236" i="16"/>
  <c r="T4236" i="16"/>
  <c r="E4236" i="16"/>
  <c r="J4236" i="16"/>
  <c r="I4236" i="16"/>
  <c r="M4244" i="16"/>
  <c r="K4247" i="16"/>
  <c r="N4247" i="16"/>
  <c r="E4247" i="16"/>
  <c r="P4247" i="16"/>
  <c r="F4247" i="16"/>
  <c r="O4247" i="16"/>
  <c r="T4247" i="16"/>
  <c r="M4247" i="16"/>
  <c r="L4247" i="16"/>
  <c r="I4254" i="16"/>
  <c r="J4272" i="16"/>
  <c r="M4272" i="16"/>
  <c r="L4272" i="16"/>
  <c r="K4272" i="16"/>
  <c r="H4272" i="16"/>
  <c r="G4272" i="16"/>
  <c r="F4272" i="16"/>
  <c r="P4272" i="16"/>
  <c r="P4290" i="16"/>
  <c r="H4290" i="16"/>
  <c r="T4290" i="16"/>
  <c r="G4290" i="16"/>
  <c r="N4290" i="16"/>
  <c r="M4290" i="16"/>
  <c r="I4290" i="16"/>
  <c r="F4290" i="16"/>
  <c r="E4290" i="16"/>
  <c r="O4291" i="16"/>
  <c r="G4291" i="16"/>
  <c r="I4291" i="16"/>
  <c r="H4291" i="16"/>
  <c r="T4291" i="16"/>
  <c r="F4291" i="16"/>
  <c r="P4291" i="16"/>
  <c r="N4291" i="16"/>
  <c r="M4291" i="16"/>
  <c r="L4294" i="16"/>
  <c r="K4294" i="16"/>
  <c r="O4294" i="16"/>
  <c r="E4294" i="16"/>
  <c r="N4294" i="16"/>
  <c r="H4294" i="16"/>
  <c r="G4294" i="16"/>
  <c r="F4294" i="16"/>
  <c r="T4294" i="16"/>
  <c r="P4322" i="16"/>
  <c r="H4322" i="16"/>
  <c r="L4322" i="16"/>
  <c r="I4322" i="16"/>
  <c r="G4322" i="16"/>
  <c r="E4322" i="16"/>
  <c r="T4322" i="16"/>
  <c r="O4322" i="16"/>
  <c r="N4322" i="16"/>
  <c r="M4333" i="16"/>
  <c r="E4333" i="16"/>
  <c r="L4333" i="16"/>
  <c r="H4333" i="16"/>
  <c r="T4333" i="16"/>
  <c r="G4333" i="16"/>
  <c r="J4333" i="16"/>
  <c r="I4333" i="16"/>
  <c r="F4333" i="16"/>
  <c r="K4351" i="16"/>
  <c r="O4351" i="16"/>
  <c r="F4351" i="16"/>
  <c r="H4351" i="16"/>
  <c r="T4351" i="16"/>
  <c r="G4351" i="16"/>
  <c r="I4351" i="16"/>
  <c r="E4351" i="16"/>
  <c r="P4351" i="16"/>
  <c r="G4357" i="16"/>
  <c r="M4364" i="16"/>
  <c r="H4371" i="16"/>
  <c r="J4384" i="16"/>
  <c r="K4384" i="16"/>
  <c r="P4384" i="16"/>
  <c r="F4384" i="16"/>
  <c r="O4384" i="16"/>
  <c r="E4384" i="16"/>
  <c r="L4384" i="16"/>
  <c r="I4384" i="16"/>
  <c r="H4384" i="16"/>
  <c r="P4410" i="16"/>
  <c r="H4410" i="16"/>
  <c r="K4410" i="16"/>
  <c r="N4410" i="16"/>
  <c r="M4410" i="16"/>
  <c r="I4410" i="16"/>
  <c r="G4410" i="16"/>
  <c r="F4410" i="16"/>
  <c r="T4410" i="16"/>
  <c r="H4421" i="16"/>
  <c r="H4427" i="16"/>
  <c r="L4430" i="16"/>
  <c r="T4430" i="16"/>
  <c r="H4430" i="16"/>
  <c r="N4430" i="16"/>
  <c r="M4430" i="16"/>
  <c r="P4430" i="16"/>
  <c r="O4430" i="16"/>
  <c r="K4430" i="16"/>
  <c r="J4430" i="16"/>
  <c r="J4432" i="16"/>
  <c r="T4432" i="16"/>
  <c r="H4432" i="16"/>
  <c r="I4432" i="16"/>
  <c r="G4432" i="16"/>
  <c r="F4432" i="16"/>
  <c r="E4432" i="16"/>
  <c r="P4432" i="16"/>
  <c r="O4432" i="16"/>
  <c r="O4443" i="16"/>
  <c r="G4443" i="16"/>
  <c r="T4443" i="16"/>
  <c r="H4443" i="16"/>
  <c r="P4443" i="16"/>
  <c r="E4443" i="16"/>
  <c r="N4443" i="16"/>
  <c r="I4443" i="16"/>
  <c r="F4443" i="16"/>
  <c r="N4444" i="16"/>
  <c r="F4444" i="16"/>
  <c r="I4444" i="16"/>
  <c r="J4444" i="16"/>
  <c r="H4444" i="16"/>
  <c r="T4444" i="16"/>
  <c r="P4444" i="16"/>
  <c r="O4444" i="16"/>
  <c r="M4444" i="16"/>
  <c r="M4450" i="16"/>
  <c r="J4456" i="16"/>
  <c r="P4456" i="16"/>
  <c r="G4456" i="16"/>
  <c r="T4456" i="16"/>
  <c r="F4456" i="16"/>
  <c r="O4456" i="16"/>
  <c r="E4456" i="16"/>
  <c r="K4456" i="16"/>
  <c r="I4456" i="16"/>
  <c r="H4456" i="16"/>
  <c r="N4460" i="16"/>
  <c r="F4460" i="16"/>
  <c r="K4460" i="16"/>
  <c r="P4460" i="16"/>
  <c r="E4460" i="16"/>
  <c r="O4460" i="16"/>
  <c r="T4460" i="16"/>
  <c r="M4460" i="16"/>
  <c r="L4460" i="16"/>
  <c r="M4479" i="16"/>
  <c r="L4503" i="16"/>
  <c r="K4504" i="16"/>
  <c r="F4519" i="16"/>
  <c r="J4528" i="16"/>
  <c r="M4528" i="16"/>
  <c r="L4528" i="16"/>
  <c r="K4528" i="16"/>
  <c r="P4528" i="16"/>
  <c r="O4528" i="16"/>
  <c r="N4528" i="16"/>
  <c r="I4528" i="16"/>
  <c r="O4531" i="16"/>
  <c r="G4531" i="16"/>
  <c r="P4531" i="16"/>
  <c r="F4531" i="16"/>
  <c r="J4531" i="16"/>
  <c r="I4531" i="16"/>
  <c r="H4531" i="16"/>
  <c r="E4531" i="16"/>
  <c r="T4531" i="16"/>
  <c r="L4591" i="16"/>
  <c r="K4607" i="16"/>
  <c r="P4607" i="16"/>
  <c r="G4607" i="16"/>
  <c r="O4607" i="16"/>
  <c r="F4607" i="16"/>
  <c r="H4607" i="16"/>
  <c r="E4607" i="16"/>
  <c r="T4607" i="16"/>
  <c r="N4607" i="16"/>
  <c r="N4620" i="16"/>
  <c r="F4620" i="16"/>
  <c r="I4620" i="16"/>
  <c r="T4620" i="16"/>
  <c r="H4620" i="16"/>
  <c r="P4620" i="16"/>
  <c r="G4620" i="16"/>
  <c r="J4620" i="16"/>
  <c r="E4620" i="16"/>
  <c r="K4620" i="16"/>
  <c r="K4654" i="16"/>
  <c r="H4655" i="16"/>
  <c r="O4691" i="16"/>
  <c r="G4691" i="16"/>
  <c r="M4691" i="16"/>
  <c r="L4691" i="16"/>
  <c r="K4691" i="16"/>
  <c r="I4691" i="16"/>
  <c r="H4691" i="16"/>
  <c r="F4691" i="16"/>
  <c r="P4691" i="16"/>
  <c r="N4691" i="16"/>
  <c r="J4691" i="16"/>
  <c r="M4741" i="16"/>
  <c r="E4741" i="16"/>
  <c r="N4741" i="16"/>
  <c r="L4741" i="16"/>
  <c r="K4741" i="16"/>
  <c r="G4741" i="16"/>
  <c r="F4741" i="16"/>
  <c r="T4741" i="16"/>
  <c r="P4741" i="16"/>
  <c r="N4748" i="16"/>
  <c r="F4748" i="16"/>
  <c r="I4748" i="16"/>
  <c r="T4748" i="16"/>
  <c r="H4748" i="16"/>
  <c r="P4748" i="16"/>
  <c r="G4748" i="16"/>
  <c r="O4748" i="16"/>
  <c r="J4748" i="16"/>
  <c r="E4748" i="16"/>
  <c r="N4756" i="16"/>
  <c r="F4756" i="16"/>
  <c r="O4756" i="16"/>
  <c r="E4756" i="16"/>
  <c r="M4756" i="16"/>
  <c r="L4756" i="16"/>
  <c r="I4756" i="16"/>
  <c r="H4756" i="16"/>
  <c r="G4756" i="16"/>
  <c r="M4757" i="16"/>
  <c r="E4757" i="16"/>
  <c r="P4757" i="16"/>
  <c r="G4757" i="16"/>
  <c r="O4757" i="16"/>
  <c r="F4757" i="16"/>
  <c r="N4757" i="16"/>
  <c r="T4757" i="16"/>
  <c r="L4757" i="16"/>
  <c r="P4762" i="16"/>
  <c r="H4762" i="16"/>
  <c r="I4762" i="16"/>
  <c r="T4762" i="16"/>
  <c r="G4762" i="16"/>
  <c r="O4762" i="16"/>
  <c r="F4762" i="16"/>
  <c r="E4762" i="16"/>
  <c r="N4762" i="16"/>
  <c r="O4819" i="16"/>
  <c r="G4819" i="16"/>
  <c r="M4819" i="16"/>
  <c r="L4819" i="16"/>
  <c r="K4819" i="16"/>
  <c r="F4819" i="16"/>
  <c r="E4819" i="16"/>
  <c r="T4819" i="16"/>
  <c r="H4819" i="16"/>
  <c r="J4872" i="16"/>
  <c r="N4872" i="16"/>
  <c r="E4872" i="16"/>
  <c r="M4872" i="16"/>
  <c r="L4872" i="16"/>
  <c r="I4872" i="16"/>
  <c r="H4872" i="16"/>
  <c r="G4872" i="16"/>
  <c r="O4872" i="16"/>
  <c r="K4872" i="16"/>
  <c r="F4872" i="16"/>
  <c r="P4933" i="16"/>
  <c r="L4998" i="16"/>
  <c r="N4998" i="16"/>
  <c r="E4998" i="16"/>
  <c r="M4998" i="16"/>
  <c r="K4998" i="16"/>
  <c r="G4998" i="16"/>
  <c r="F4998" i="16"/>
  <c r="T4998" i="16"/>
  <c r="J4998" i="16"/>
  <c r="I4998" i="16"/>
  <c r="H4998" i="16"/>
  <c r="P4998" i="16"/>
  <c r="O4998" i="16"/>
  <c r="M5013" i="16"/>
  <c r="E5013" i="16"/>
  <c r="P5013" i="16"/>
  <c r="G5013" i="16"/>
  <c r="O5013" i="16"/>
  <c r="F5013" i="16"/>
  <c r="N5013" i="16"/>
  <c r="K5013" i="16"/>
  <c r="J5013" i="16"/>
  <c r="I5013" i="16"/>
  <c r="H5013" i="16"/>
  <c r="L5046" i="16"/>
  <c r="K5046" i="16"/>
  <c r="H5046" i="16"/>
  <c r="T5046" i="16"/>
  <c r="G5046" i="16"/>
  <c r="P5046" i="16"/>
  <c r="F5046" i="16"/>
  <c r="J5046" i="16"/>
  <c r="I5046" i="16"/>
  <c r="E5046" i="16"/>
  <c r="N5046" i="16"/>
  <c r="M5046" i="16"/>
  <c r="O5046" i="16"/>
  <c r="P5082" i="16"/>
  <c r="H5082" i="16"/>
  <c r="O5082" i="16"/>
  <c r="G5082" i="16"/>
  <c r="T5082" i="16"/>
  <c r="E5082" i="16"/>
  <c r="N5082" i="16"/>
  <c r="M5082" i="16"/>
  <c r="F5082" i="16"/>
  <c r="I5082" i="16"/>
  <c r="P5202" i="16"/>
  <c r="H5202" i="16"/>
  <c r="O5202" i="16"/>
  <c r="G5202" i="16"/>
  <c r="T5202" i="16"/>
  <c r="E5202" i="16"/>
  <c r="N5202" i="16"/>
  <c r="M5202" i="16"/>
  <c r="J5202" i="16"/>
  <c r="I5202" i="16"/>
  <c r="F5202" i="16"/>
  <c r="K5202" i="16"/>
  <c r="O5227" i="16"/>
  <c r="G5227" i="16"/>
  <c r="N5227" i="16"/>
  <c r="F5227" i="16"/>
  <c r="J5227" i="16"/>
  <c r="I5227" i="16"/>
  <c r="H5227" i="16"/>
  <c r="M5227" i="16"/>
  <c r="L5227" i="16"/>
  <c r="K5227" i="16"/>
  <c r="E5227" i="16"/>
  <c r="L5326" i="16"/>
  <c r="K5326" i="16"/>
  <c r="H5326" i="16"/>
  <c r="T5326" i="16"/>
  <c r="G5326" i="16"/>
  <c r="P5326" i="16"/>
  <c r="F5326" i="16"/>
  <c r="J5326" i="16"/>
  <c r="I5326" i="16"/>
  <c r="E5326" i="16"/>
  <c r="M5326" i="16"/>
  <c r="P5386" i="16"/>
  <c r="H5386" i="16"/>
  <c r="O5386" i="16"/>
  <c r="G5386" i="16"/>
  <c r="T5386" i="16"/>
  <c r="E5386" i="16"/>
  <c r="N5386" i="16"/>
  <c r="M5386" i="16"/>
  <c r="J5386" i="16"/>
  <c r="I5386" i="16"/>
  <c r="F5386" i="16"/>
  <c r="L5386" i="16"/>
  <c r="M5389" i="16"/>
  <c r="E5389" i="16"/>
  <c r="L5389" i="16"/>
  <c r="T5389" i="16"/>
  <c r="G5389" i="16"/>
  <c r="P5389" i="16"/>
  <c r="F5389" i="16"/>
  <c r="O5389" i="16"/>
  <c r="K5389" i="16"/>
  <c r="J5389" i="16"/>
  <c r="I5389" i="16"/>
  <c r="N5389" i="16"/>
  <c r="H5389" i="16"/>
  <c r="M5477" i="16"/>
  <c r="E5477" i="16"/>
  <c r="L5477" i="16"/>
  <c r="T5477" i="16"/>
  <c r="G5477" i="16"/>
  <c r="P5477" i="16"/>
  <c r="F5477" i="16"/>
  <c r="O5477" i="16"/>
  <c r="J5477" i="16"/>
  <c r="I5477" i="16"/>
  <c r="H5477" i="16"/>
  <c r="N5477" i="16"/>
  <c r="K5477" i="16"/>
  <c r="O5491" i="16"/>
  <c r="G5491" i="16"/>
  <c r="N5491" i="16"/>
  <c r="F5491" i="16"/>
  <c r="J5491" i="16"/>
  <c r="I5491" i="16"/>
  <c r="H5491" i="16"/>
  <c r="L5491" i="16"/>
  <c r="K5491" i="16"/>
  <c r="E5491" i="16"/>
  <c r="M5491" i="16"/>
  <c r="O5563" i="16"/>
  <c r="G5563" i="16"/>
  <c r="N5563" i="16"/>
  <c r="F5563" i="16"/>
  <c r="M5563" i="16"/>
  <c r="E5563" i="16"/>
  <c r="T5563" i="16"/>
  <c r="P5563" i="16"/>
  <c r="J5563" i="16"/>
  <c r="I5563" i="16"/>
  <c r="H5563" i="16"/>
  <c r="L5563" i="16"/>
  <c r="K5563" i="16"/>
  <c r="L5614" i="16"/>
  <c r="K5614" i="16"/>
  <c r="J5614" i="16"/>
  <c r="T5614" i="16"/>
  <c r="F5614" i="16"/>
  <c r="P5614" i="16"/>
  <c r="E5614" i="16"/>
  <c r="O5614" i="16"/>
  <c r="I5614" i="16"/>
  <c r="H5614" i="16"/>
  <c r="G5614" i="16"/>
  <c r="N5614" i="16"/>
  <c r="M5614" i="16"/>
  <c r="M5906" i="16"/>
  <c r="E5906" i="16"/>
  <c r="N5906" i="16"/>
  <c r="L5906" i="16"/>
  <c r="K5906" i="16"/>
  <c r="G5906" i="16"/>
  <c r="F5906" i="16"/>
  <c r="T5906" i="16"/>
  <c r="J5906" i="16"/>
  <c r="I5906" i="16"/>
  <c r="H5906" i="16"/>
  <c r="O5906" i="16"/>
  <c r="K5948" i="16"/>
  <c r="J5948" i="16"/>
  <c r="N5948" i="16"/>
  <c r="M5948" i="16"/>
  <c r="L5948" i="16"/>
  <c r="E5948" i="16"/>
  <c r="T5948" i="16"/>
  <c r="P5948" i="16"/>
  <c r="F5948" i="16"/>
  <c r="AL440" i="17"/>
  <c r="AD440" i="17"/>
  <c r="V440" i="17"/>
  <c r="N440" i="17"/>
  <c r="AK440" i="17"/>
  <c r="AC440" i="17"/>
  <c r="U440" i="17"/>
  <c r="M440" i="17"/>
  <c r="AI440" i="17"/>
  <c r="Y440" i="17"/>
  <c r="O440" i="17"/>
  <c r="AR440" i="17"/>
  <c r="AH440" i="17"/>
  <c r="X440" i="17"/>
  <c r="L440" i="17"/>
  <c r="AQ440" i="17"/>
  <c r="AG440" i="17"/>
  <c r="W440" i="17"/>
  <c r="K440" i="17"/>
  <c r="AF440" i="17"/>
  <c r="Q440" i="17"/>
  <c r="AE440" i="17"/>
  <c r="P440" i="17"/>
  <c r="AB440" i="17"/>
  <c r="J440" i="17"/>
  <c r="AJ440" i="17"/>
  <c r="AA440" i="17"/>
  <c r="Z440" i="17"/>
  <c r="AN440" i="17"/>
  <c r="AM440" i="17"/>
  <c r="T440" i="17"/>
  <c r="AO440" i="17"/>
  <c r="S440" i="17"/>
  <c r="R440" i="17"/>
  <c r="AP440" i="17"/>
  <c r="AL542" i="17"/>
  <c r="AD542" i="17"/>
  <c r="V542" i="17"/>
  <c r="N542" i="17"/>
  <c r="AK542" i="17"/>
  <c r="AC542" i="17"/>
  <c r="U542" i="17"/>
  <c r="M542" i="17"/>
  <c r="AN542" i="17"/>
  <c r="AB542" i="17"/>
  <c r="R542" i="17"/>
  <c r="AM542" i="17"/>
  <c r="AA542" i="17"/>
  <c r="Q542" i="17"/>
  <c r="AJ542" i="17"/>
  <c r="Z542" i="17"/>
  <c r="P542" i="17"/>
  <c r="AG542" i="17"/>
  <c r="O542" i="17"/>
  <c r="AF542" i="17"/>
  <c r="L542" i="17"/>
  <c r="AR542" i="17"/>
  <c r="AE542" i="17"/>
  <c r="K542" i="17"/>
  <c r="Y542" i="17"/>
  <c r="X542" i="17"/>
  <c r="W542" i="17"/>
  <c r="AO542" i="17"/>
  <c r="AI542" i="17"/>
  <c r="AH542" i="17"/>
  <c r="T542" i="17"/>
  <c r="S542" i="17"/>
  <c r="AP542" i="17"/>
  <c r="AQ542" i="17"/>
  <c r="AR1103" i="17"/>
  <c r="AJ1103" i="17"/>
  <c r="AB1103" i="17"/>
  <c r="T1103" i="17"/>
  <c r="L1103" i="17"/>
  <c r="AQ1103" i="17"/>
  <c r="AI1103" i="17"/>
  <c r="AA1103" i="17"/>
  <c r="S1103" i="17"/>
  <c r="K1103" i="17"/>
  <c r="AM1103" i="17"/>
  <c r="AC1103" i="17"/>
  <c r="Q1103" i="17"/>
  <c r="AL1103" i="17"/>
  <c r="Z1103" i="17"/>
  <c r="P1103" i="17"/>
  <c r="AP1103" i="17"/>
  <c r="AD1103" i="17"/>
  <c r="N1103" i="17"/>
  <c r="AO1103" i="17"/>
  <c r="Y1103" i="17"/>
  <c r="M1103" i="17"/>
  <c r="W1103" i="17"/>
  <c r="AN1103" i="17"/>
  <c r="V1103" i="17"/>
  <c r="R1103" i="17"/>
  <c r="AK1103" i="17"/>
  <c r="O1103" i="17"/>
  <c r="AH1103" i="17"/>
  <c r="J1103" i="17"/>
  <c r="AG1103" i="17"/>
  <c r="AF1103" i="17"/>
  <c r="AE1103" i="17"/>
  <c r="X1103" i="17"/>
  <c r="U1103" i="17"/>
  <c r="AN1316" i="17"/>
  <c r="AF1316" i="17"/>
  <c r="X1316" i="17"/>
  <c r="P1316" i="17"/>
  <c r="AM1316" i="17"/>
  <c r="AE1316" i="17"/>
  <c r="W1316" i="17"/>
  <c r="O1316" i="17"/>
  <c r="AJ1316" i="17"/>
  <c r="Z1316" i="17"/>
  <c r="N1316" i="17"/>
  <c r="AI1316" i="17"/>
  <c r="Y1316" i="17"/>
  <c r="M1316" i="17"/>
  <c r="AP1316" i="17"/>
  <c r="AB1316" i="17"/>
  <c r="L1316" i="17"/>
  <c r="AO1316" i="17"/>
  <c r="AA1316" i="17"/>
  <c r="K1316" i="17"/>
  <c r="AG1316" i="17"/>
  <c r="Q1316" i="17"/>
  <c r="AD1316" i="17"/>
  <c r="J1316" i="17"/>
  <c r="AC1316" i="17"/>
  <c r="V1316" i="17"/>
  <c r="U1316" i="17"/>
  <c r="AQ1316" i="17"/>
  <c r="AL1316" i="17"/>
  <c r="AK1316" i="17"/>
  <c r="AR1316" i="17"/>
  <c r="AH1316" i="17"/>
  <c r="T1316" i="17"/>
  <c r="S1316" i="17"/>
  <c r="R1316" i="17"/>
  <c r="AL1533" i="17"/>
  <c r="AD1533" i="17"/>
  <c r="V1533" i="17"/>
  <c r="N1533" i="17"/>
  <c r="AK1533" i="17"/>
  <c r="AC1533" i="17"/>
  <c r="U1533" i="17"/>
  <c r="M1533" i="17"/>
  <c r="AN1533" i="17"/>
  <c r="AB1533" i="17"/>
  <c r="R1533" i="17"/>
  <c r="AM1533" i="17"/>
  <c r="AA1533" i="17"/>
  <c r="Q1533" i="17"/>
  <c r="AO1533" i="17"/>
  <c r="Y1533" i="17"/>
  <c r="K1533" i="17"/>
  <c r="AJ1533" i="17"/>
  <c r="X1533" i="17"/>
  <c r="J1533" i="17"/>
  <c r="AQ1533" i="17"/>
  <c r="W1533" i="17"/>
  <c r="AP1533" i="17"/>
  <c r="T1533" i="17"/>
  <c r="AE1533" i="17"/>
  <c r="Z1533" i="17"/>
  <c r="S1533" i="17"/>
  <c r="AH1533" i="17"/>
  <c r="AG1533" i="17"/>
  <c r="AF1533" i="17"/>
  <c r="P1533" i="17"/>
  <c r="O1533" i="17"/>
  <c r="L1533" i="17"/>
  <c r="AR1533" i="17"/>
  <c r="AI1533" i="17"/>
  <c r="O3787" i="16"/>
  <c r="G3787" i="16"/>
  <c r="N3787" i="16"/>
  <c r="F3787" i="16"/>
  <c r="T3787" i="16"/>
  <c r="E3787" i="16"/>
  <c r="P3787" i="16"/>
  <c r="M3787" i="16"/>
  <c r="L3787" i="16"/>
  <c r="O3803" i="16"/>
  <c r="G3803" i="16"/>
  <c r="N3803" i="16"/>
  <c r="F3803" i="16"/>
  <c r="I3803" i="16"/>
  <c r="H3803" i="16"/>
  <c r="T3803" i="16"/>
  <c r="E3803" i="16"/>
  <c r="P3803" i="16"/>
  <c r="N3828" i="16"/>
  <c r="F3828" i="16"/>
  <c r="M3828" i="16"/>
  <c r="E3828" i="16"/>
  <c r="T3828" i="16"/>
  <c r="G3828" i="16"/>
  <c r="P3828" i="16"/>
  <c r="O3828" i="16"/>
  <c r="L3828" i="16"/>
  <c r="O3851" i="16"/>
  <c r="G3851" i="16"/>
  <c r="N3851" i="16"/>
  <c r="F3851" i="16"/>
  <c r="T3851" i="16"/>
  <c r="E3851" i="16"/>
  <c r="P3851" i="16"/>
  <c r="M3851" i="16"/>
  <c r="L3851" i="16"/>
  <c r="O3867" i="16"/>
  <c r="G3867" i="16"/>
  <c r="N3867" i="16"/>
  <c r="F3867" i="16"/>
  <c r="I3867" i="16"/>
  <c r="H3867" i="16"/>
  <c r="T3867" i="16"/>
  <c r="E3867" i="16"/>
  <c r="P3867" i="16"/>
  <c r="M3885" i="16"/>
  <c r="E3885" i="16"/>
  <c r="L3885" i="16"/>
  <c r="H3885" i="16"/>
  <c r="T3885" i="16"/>
  <c r="G3885" i="16"/>
  <c r="P3885" i="16"/>
  <c r="F3885" i="16"/>
  <c r="O3885" i="16"/>
  <c r="M3893" i="16"/>
  <c r="E3893" i="16"/>
  <c r="L3893" i="16"/>
  <c r="I3893" i="16"/>
  <c r="H3893" i="16"/>
  <c r="T3893" i="16"/>
  <c r="G3893" i="16"/>
  <c r="O3893" i="16"/>
  <c r="N3908" i="16"/>
  <c r="F3908" i="16"/>
  <c r="M3908" i="16"/>
  <c r="E3908" i="16"/>
  <c r="I3908" i="16"/>
  <c r="H3908" i="16"/>
  <c r="T3908" i="16"/>
  <c r="G3908" i="16"/>
  <c r="P3908" i="16"/>
  <c r="K3911" i="16"/>
  <c r="J3911" i="16"/>
  <c r="O3911" i="16"/>
  <c r="E3911" i="16"/>
  <c r="N3911" i="16"/>
  <c r="M3911" i="16"/>
  <c r="L3911" i="16"/>
  <c r="L3926" i="16"/>
  <c r="K3926" i="16"/>
  <c r="P3926" i="16"/>
  <c r="F3926" i="16"/>
  <c r="O3926" i="16"/>
  <c r="E3926" i="16"/>
  <c r="N3926" i="16"/>
  <c r="M3926" i="16"/>
  <c r="K3961" i="16"/>
  <c r="N3961" i="16"/>
  <c r="E3961" i="16"/>
  <c r="M3961" i="16"/>
  <c r="T3961" i="16"/>
  <c r="F3961" i="16"/>
  <c r="P3961" i="16"/>
  <c r="O3961" i="16"/>
  <c r="L3961" i="16"/>
  <c r="T3973" i="16"/>
  <c r="M3983" i="16"/>
  <c r="E3983" i="16"/>
  <c r="L3983" i="16"/>
  <c r="K3983" i="16"/>
  <c r="G3983" i="16"/>
  <c r="T3983" i="16"/>
  <c r="F3983" i="16"/>
  <c r="P3983" i="16"/>
  <c r="O3983" i="16"/>
  <c r="T4009" i="16"/>
  <c r="N4038" i="16"/>
  <c r="F4038" i="16"/>
  <c r="O4038" i="16"/>
  <c r="E4038" i="16"/>
  <c r="M4038" i="16"/>
  <c r="J4038" i="16"/>
  <c r="I4038" i="16"/>
  <c r="H4038" i="16"/>
  <c r="T4038" i="16"/>
  <c r="O4043" i="16"/>
  <c r="G4043" i="16"/>
  <c r="N4043" i="16"/>
  <c r="E4043" i="16"/>
  <c r="M4043" i="16"/>
  <c r="L4043" i="16"/>
  <c r="H4043" i="16"/>
  <c r="F4043" i="16"/>
  <c r="T4043" i="16"/>
  <c r="J4056" i="16"/>
  <c r="N4056" i="16"/>
  <c r="E4056" i="16"/>
  <c r="H4056" i="16"/>
  <c r="T4056" i="16"/>
  <c r="G4056" i="16"/>
  <c r="I4056" i="16"/>
  <c r="F4056" i="16"/>
  <c r="P4056" i="16"/>
  <c r="N4092" i="16"/>
  <c r="F4092" i="16"/>
  <c r="M4092" i="16"/>
  <c r="I4092" i="16"/>
  <c r="H4092" i="16"/>
  <c r="E4092" i="16"/>
  <c r="T4092" i="16"/>
  <c r="P4092" i="16"/>
  <c r="O4092" i="16"/>
  <c r="M4101" i="16"/>
  <c r="E4101" i="16"/>
  <c r="K4101" i="16"/>
  <c r="N4101" i="16"/>
  <c r="L4101" i="16"/>
  <c r="I4101" i="16"/>
  <c r="H4101" i="16"/>
  <c r="G4101" i="16"/>
  <c r="T4101" i="16"/>
  <c r="L4126" i="16"/>
  <c r="J4126" i="16"/>
  <c r="N4126" i="16"/>
  <c r="M4126" i="16"/>
  <c r="T4126" i="16"/>
  <c r="E4126" i="16"/>
  <c r="P4126" i="16"/>
  <c r="O4126" i="16"/>
  <c r="K4126" i="16"/>
  <c r="M4133" i="16"/>
  <c r="E4133" i="16"/>
  <c r="P4133" i="16"/>
  <c r="G4133" i="16"/>
  <c r="I4133" i="16"/>
  <c r="H4133" i="16"/>
  <c r="J4133" i="16"/>
  <c r="F4133" i="16"/>
  <c r="T4133" i="16"/>
  <c r="L4190" i="16"/>
  <c r="J4190" i="16"/>
  <c r="N4190" i="16"/>
  <c r="M4190" i="16"/>
  <c r="F4190" i="16"/>
  <c r="T4190" i="16"/>
  <c r="E4190" i="16"/>
  <c r="P4190" i="16"/>
  <c r="O4190" i="16"/>
  <c r="O4197" i="16"/>
  <c r="I4218" i="16"/>
  <c r="O4220" i="16"/>
  <c r="O4244" i="16"/>
  <c r="K4254" i="16"/>
  <c r="K4263" i="16"/>
  <c r="P4263" i="16"/>
  <c r="G4263" i="16"/>
  <c r="N4263" i="16"/>
  <c r="M4263" i="16"/>
  <c r="I4263" i="16"/>
  <c r="H4263" i="16"/>
  <c r="F4263" i="16"/>
  <c r="T4263" i="16"/>
  <c r="T4272" i="16"/>
  <c r="P4274" i="16"/>
  <c r="H4274" i="16"/>
  <c r="N4274" i="16"/>
  <c r="E4274" i="16"/>
  <c r="T4274" i="16"/>
  <c r="F4274" i="16"/>
  <c r="O4274" i="16"/>
  <c r="M4274" i="16"/>
  <c r="L4274" i="16"/>
  <c r="J4296" i="16"/>
  <c r="L4296" i="16"/>
  <c r="T4296" i="16"/>
  <c r="G4296" i="16"/>
  <c r="P4296" i="16"/>
  <c r="F4296" i="16"/>
  <c r="K4296" i="16"/>
  <c r="I4296" i="16"/>
  <c r="H4296" i="16"/>
  <c r="J4320" i="16"/>
  <c r="K4320" i="16"/>
  <c r="P4320" i="16"/>
  <c r="F4320" i="16"/>
  <c r="O4320" i="16"/>
  <c r="E4320" i="16"/>
  <c r="I4320" i="16"/>
  <c r="H4320" i="16"/>
  <c r="G4320" i="16"/>
  <c r="H4357" i="16"/>
  <c r="I4371" i="16"/>
  <c r="K4375" i="16"/>
  <c r="N4375" i="16"/>
  <c r="E4375" i="16"/>
  <c r="P4375" i="16"/>
  <c r="F4375" i="16"/>
  <c r="O4375" i="16"/>
  <c r="H4375" i="16"/>
  <c r="G4375" i="16"/>
  <c r="T4375" i="16"/>
  <c r="O4411" i="16"/>
  <c r="G4411" i="16"/>
  <c r="L4411" i="16"/>
  <c r="T4411" i="16"/>
  <c r="F4411" i="16"/>
  <c r="P4411" i="16"/>
  <c r="E4411" i="16"/>
  <c r="N4411" i="16"/>
  <c r="M4411" i="16"/>
  <c r="I4421" i="16"/>
  <c r="I4427" i="16"/>
  <c r="K4431" i="16"/>
  <c r="T4431" i="16"/>
  <c r="H4431" i="16"/>
  <c r="P4431" i="16"/>
  <c r="F4431" i="16"/>
  <c r="O4431" i="16"/>
  <c r="E4431" i="16"/>
  <c r="L4431" i="16"/>
  <c r="J4431" i="16"/>
  <c r="I4431" i="16"/>
  <c r="K4447" i="16"/>
  <c r="J4447" i="16"/>
  <c r="O4447" i="16"/>
  <c r="E4447" i="16"/>
  <c r="N4447" i="16"/>
  <c r="F4447" i="16"/>
  <c r="T4447" i="16"/>
  <c r="P4447" i="16"/>
  <c r="M4447" i="16"/>
  <c r="N4450" i="16"/>
  <c r="N4452" i="16"/>
  <c r="F4452" i="16"/>
  <c r="O4452" i="16"/>
  <c r="E4452" i="16"/>
  <c r="P4452" i="16"/>
  <c r="M4452" i="16"/>
  <c r="H4452" i="16"/>
  <c r="G4452" i="16"/>
  <c r="T4452" i="16"/>
  <c r="N4479" i="16"/>
  <c r="M4503" i="16"/>
  <c r="L4504" i="16"/>
  <c r="H4519" i="16"/>
  <c r="T4528" i="16"/>
  <c r="P4530" i="16"/>
  <c r="H4530" i="16"/>
  <c r="N4530" i="16"/>
  <c r="E4530" i="16"/>
  <c r="T4530" i="16"/>
  <c r="F4530" i="16"/>
  <c r="O4530" i="16"/>
  <c r="K4530" i="16"/>
  <c r="J4530" i="16"/>
  <c r="I4530" i="16"/>
  <c r="M4533" i="16"/>
  <c r="E4533" i="16"/>
  <c r="I4533" i="16"/>
  <c r="T4533" i="16"/>
  <c r="G4533" i="16"/>
  <c r="P4533" i="16"/>
  <c r="F4533" i="16"/>
  <c r="L4533" i="16"/>
  <c r="K4533" i="16"/>
  <c r="J4533" i="16"/>
  <c r="J4584" i="16"/>
  <c r="T4584" i="16"/>
  <c r="H4584" i="16"/>
  <c r="P4584" i="16"/>
  <c r="G4584" i="16"/>
  <c r="O4584" i="16"/>
  <c r="N4584" i="16"/>
  <c r="M4584" i="16"/>
  <c r="E4584" i="16"/>
  <c r="O4591" i="16"/>
  <c r="P4654" i="16"/>
  <c r="I4655" i="16"/>
  <c r="O4659" i="16"/>
  <c r="G4659" i="16"/>
  <c r="I4659" i="16"/>
  <c r="T4659" i="16"/>
  <c r="H4659" i="16"/>
  <c r="P4659" i="16"/>
  <c r="F4659" i="16"/>
  <c r="J4659" i="16"/>
  <c r="E4659" i="16"/>
  <c r="L4659" i="16"/>
  <c r="K4659" i="16"/>
  <c r="M4861" i="16"/>
  <c r="E4861" i="16"/>
  <c r="T4861" i="16"/>
  <c r="H4861" i="16"/>
  <c r="P4861" i="16"/>
  <c r="G4861" i="16"/>
  <c r="O4861" i="16"/>
  <c r="F4861" i="16"/>
  <c r="L4861" i="16"/>
  <c r="K4861" i="16"/>
  <c r="J4861" i="16"/>
  <c r="I4861" i="16"/>
  <c r="O5011" i="16"/>
  <c r="G5011" i="16"/>
  <c r="M5011" i="16"/>
  <c r="L5011" i="16"/>
  <c r="K5011" i="16"/>
  <c r="H5011" i="16"/>
  <c r="F5011" i="16"/>
  <c r="E5011" i="16"/>
  <c r="N5011" i="16"/>
  <c r="J5011" i="16"/>
  <c r="I5011" i="16"/>
  <c r="O5051" i="16"/>
  <c r="G5051" i="16"/>
  <c r="N5051" i="16"/>
  <c r="F5051" i="16"/>
  <c r="J5051" i="16"/>
  <c r="I5051" i="16"/>
  <c r="H5051" i="16"/>
  <c r="T5051" i="16"/>
  <c r="L5051" i="16"/>
  <c r="K5051" i="16"/>
  <c r="E5051" i="16"/>
  <c r="O5107" i="16"/>
  <c r="G5107" i="16"/>
  <c r="N5107" i="16"/>
  <c r="F5107" i="16"/>
  <c r="J5107" i="16"/>
  <c r="I5107" i="16"/>
  <c r="H5107" i="16"/>
  <c r="K5107" i="16"/>
  <c r="E5107" i="16"/>
  <c r="T5107" i="16"/>
  <c r="P5107" i="16"/>
  <c r="L5107" i="16"/>
  <c r="O5195" i="16"/>
  <c r="G5195" i="16"/>
  <c r="N5195" i="16"/>
  <c r="F5195" i="16"/>
  <c r="J5195" i="16"/>
  <c r="I5195" i="16"/>
  <c r="H5195" i="16"/>
  <c r="M5195" i="16"/>
  <c r="L5195" i="16"/>
  <c r="K5195" i="16"/>
  <c r="P5195" i="16"/>
  <c r="E5195" i="16"/>
  <c r="T5195" i="16"/>
  <c r="P5210" i="16"/>
  <c r="H5210" i="16"/>
  <c r="O5210" i="16"/>
  <c r="G5210" i="16"/>
  <c r="T5210" i="16"/>
  <c r="E5210" i="16"/>
  <c r="N5210" i="16"/>
  <c r="M5210" i="16"/>
  <c r="F5210" i="16"/>
  <c r="I5210" i="16"/>
  <c r="L5210" i="16"/>
  <c r="J5210" i="16"/>
  <c r="M5213" i="16"/>
  <c r="E5213" i="16"/>
  <c r="L5213" i="16"/>
  <c r="T5213" i="16"/>
  <c r="G5213" i="16"/>
  <c r="P5213" i="16"/>
  <c r="F5213" i="16"/>
  <c r="O5213" i="16"/>
  <c r="I5213" i="16"/>
  <c r="H5213" i="16"/>
  <c r="N5213" i="16"/>
  <c r="K5213" i="16"/>
  <c r="J5213" i="16"/>
  <c r="M5285" i="16"/>
  <c r="E5285" i="16"/>
  <c r="L5285" i="16"/>
  <c r="T5285" i="16"/>
  <c r="G5285" i="16"/>
  <c r="P5285" i="16"/>
  <c r="F5285" i="16"/>
  <c r="O5285" i="16"/>
  <c r="J5285" i="16"/>
  <c r="I5285" i="16"/>
  <c r="H5285" i="16"/>
  <c r="K5285" i="16"/>
  <c r="O5323" i="16"/>
  <c r="G5323" i="16"/>
  <c r="N5323" i="16"/>
  <c r="F5323" i="16"/>
  <c r="J5323" i="16"/>
  <c r="I5323" i="16"/>
  <c r="H5323" i="16"/>
  <c r="K5323" i="16"/>
  <c r="E5323" i="16"/>
  <c r="M5323" i="16"/>
  <c r="L5323" i="16"/>
  <c r="P5323" i="16"/>
  <c r="O5347" i="16"/>
  <c r="G5347" i="16"/>
  <c r="N5347" i="16"/>
  <c r="F5347" i="16"/>
  <c r="J5347" i="16"/>
  <c r="I5347" i="16"/>
  <c r="H5347" i="16"/>
  <c r="E5347" i="16"/>
  <c r="K5347" i="16"/>
  <c r="P5347" i="16"/>
  <c r="M5347" i="16"/>
  <c r="O5427" i="16"/>
  <c r="G5427" i="16"/>
  <c r="N5427" i="16"/>
  <c r="F5427" i="16"/>
  <c r="J5427" i="16"/>
  <c r="I5427" i="16"/>
  <c r="H5427" i="16"/>
  <c r="L5427" i="16"/>
  <c r="K5427" i="16"/>
  <c r="E5427" i="16"/>
  <c r="T5427" i="16"/>
  <c r="P5427" i="16"/>
  <c r="M5427" i="16"/>
  <c r="O5435" i="16"/>
  <c r="G5435" i="16"/>
  <c r="N5435" i="16"/>
  <c r="F5435" i="16"/>
  <c r="J5435" i="16"/>
  <c r="I5435" i="16"/>
  <c r="H5435" i="16"/>
  <c r="T5435" i="16"/>
  <c r="L5435" i="16"/>
  <c r="K5435" i="16"/>
  <c r="E5435" i="16"/>
  <c r="P5435" i="16"/>
  <c r="M5435" i="16"/>
  <c r="M5485" i="16"/>
  <c r="E5485" i="16"/>
  <c r="L5485" i="16"/>
  <c r="T5485" i="16"/>
  <c r="G5485" i="16"/>
  <c r="P5485" i="16"/>
  <c r="F5485" i="16"/>
  <c r="O5485" i="16"/>
  <c r="H5485" i="16"/>
  <c r="M5541" i="16"/>
  <c r="E5541" i="16"/>
  <c r="L5541" i="16"/>
  <c r="T5541" i="16"/>
  <c r="G5541" i="16"/>
  <c r="P5541" i="16"/>
  <c r="F5541" i="16"/>
  <c r="O5541" i="16"/>
  <c r="J5541" i="16"/>
  <c r="I5541" i="16"/>
  <c r="H5541" i="16"/>
  <c r="N5541" i="16"/>
  <c r="K5541" i="16"/>
  <c r="M5549" i="16"/>
  <c r="E5549" i="16"/>
  <c r="L5549" i="16"/>
  <c r="T5549" i="16"/>
  <c r="G5549" i="16"/>
  <c r="P5549" i="16"/>
  <c r="F5549" i="16"/>
  <c r="O5549" i="16"/>
  <c r="K5549" i="16"/>
  <c r="J5549" i="16"/>
  <c r="I5549" i="16"/>
  <c r="N5549" i="16"/>
  <c r="H5549" i="16"/>
  <c r="L5630" i="16"/>
  <c r="K5630" i="16"/>
  <c r="J5630" i="16"/>
  <c r="H5630" i="16"/>
  <c r="G5630" i="16"/>
  <c r="T5630" i="16"/>
  <c r="F5630" i="16"/>
  <c r="M5630" i="16"/>
  <c r="I5630" i="16"/>
  <c r="E5630" i="16"/>
  <c r="N5630" i="16"/>
  <c r="P5630" i="16"/>
  <c r="O5630" i="16"/>
  <c r="P5895" i="16"/>
  <c r="H5895" i="16"/>
  <c r="M5895" i="16"/>
  <c r="L5895" i="16"/>
  <c r="K5895" i="16"/>
  <c r="T5895" i="16"/>
  <c r="O5895" i="16"/>
  <c r="N5895" i="16"/>
  <c r="E5895" i="16"/>
  <c r="J5895" i="16"/>
  <c r="I5895" i="16"/>
  <c r="G5895" i="16"/>
  <c r="F5895" i="16"/>
  <c r="L5923" i="16"/>
  <c r="P5923" i="16"/>
  <c r="G5923" i="16"/>
  <c r="O5923" i="16"/>
  <c r="F5923" i="16"/>
  <c r="N5923" i="16"/>
  <c r="E5923" i="16"/>
  <c r="I5923" i="16"/>
  <c r="H5923" i="16"/>
  <c r="M5923" i="16"/>
  <c r="K5923" i="16"/>
  <c r="J5923" i="16"/>
  <c r="T5923" i="16"/>
  <c r="K5940" i="16"/>
  <c r="J5940" i="16"/>
  <c r="N5940" i="16"/>
  <c r="M5940" i="16"/>
  <c r="L5940" i="16"/>
  <c r="T5940" i="16"/>
  <c r="P5940" i="16"/>
  <c r="O5940" i="16"/>
  <c r="E5940" i="16"/>
  <c r="L150" i="17"/>
  <c r="Y150" i="17"/>
  <c r="J150" i="17"/>
  <c r="AL302" i="17"/>
  <c r="AD302" i="17"/>
  <c r="V302" i="17"/>
  <c r="N302" i="17"/>
  <c r="AK302" i="17"/>
  <c r="AC302" i="17"/>
  <c r="U302" i="17"/>
  <c r="M302" i="17"/>
  <c r="AJ302" i="17"/>
  <c r="Z302" i="17"/>
  <c r="P302" i="17"/>
  <c r="AI302" i="17"/>
  <c r="Y302" i="17"/>
  <c r="O302" i="17"/>
  <c r="AR302" i="17"/>
  <c r="AH302" i="17"/>
  <c r="X302" i="17"/>
  <c r="L302" i="17"/>
  <c r="AO302" i="17"/>
  <c r="W302" i="17"/>
  <c r="AN302" i="17"/>
  <c r="T302" i="17"/>
  <c r="AM302" i="17"/>
  <c r="S302" i="17"/>
  <c r="AE302" i="17"/>
  <c r="AB302" i="17"/>
  <c r="AA302" i="17"/>
  <c r="AG302" i="17"/>
  <c r="AF302" i="17"/>
  <c r="R302" i="17"/>
  <c r="Q302" i="17"/>
  <c r="K302" i="17"/>
  <c r="AP302" i="17"/>
  <c r="AQ302" i="17"/>
  <c r="AL364" i="17"/>
  <c r="AD364" i="17"/>
  <c r="V364" i="17"/>
  <c r="N364" i="17"/>
  <c r="AK364" i="17"/>
  <c r="AC364" i="17"/>
  <c r="U364" i="17"/>
  <c r="M364" i="17"/>
  <c r="AR364" i="17"/>
  <c r="AH364" i="17"/>
  <c r="X364" i="17"/>
  <c r="L364" i="17"/>
  <c r="AQ364" i="17"/>
  <c r="AG364" i="17"/>
  <c r="W364" i="17"/>
  <c r="K364" i="17"/>
  <c r="AP364" i="17"/>
  <c r="AF364" i="17"/>
  <c r="T364" i="17"/>
  <c r="J364" i="17"/>
  <c r="AO364" i="17"/>
  <c r="Z364" i="17"/>
  <c r="AN364" i="17"/>
  <c r="Y364" i="17"/>
  <c r="AM364" i="17"/>
  <c r="S364" i="17"/>
  <c r="R364" i="17"/>
  <c r="Q364" i="17"/>
  <c r="P364" i="17"/>
  <c r="AE364" i="17"/>
  <c r="AB364" i="17"/>
  <c r="AA364" i="17"/>
  <c r="AJ364" i="17"/>
  <c r="AI364" i="17"/>
  <c r="J542" i="17"/>
  <c r="AR1053" i="17"/>
  <c r="AJ1053" i="17"/>
  <c r="AB1053" i="17"/>
  <c r="T1053" i="17"/>
  <c r="L1053" i="17"/>
  <c r="AQ1053" i="17"/>
  <c r="AI1053" i="17"/>
  <c r="AA1053" i="17"/>
  <c r="S1053" i="17"/>
  <c r="K1053" i="17"/>
  <c r="AK1053" i="17"/>
  <c r="Y1053" i="17"/>
  <c r="O1053" i="17"/>
  <c r="AH1053" i="17"/>
  <c r="X1053" i="17"/>
  <c r="N1053" i="17"/>
  <c r="AL1053" i="17"/>
  <c r="V1053" i="17"/>
  <c r="AG1053" i="17"/>
  <c r="U1053" i="17"/>
  <c r="AF1053" i="17"/>
  <c r="P1053" i="17"/>
  <c r="AE1053" i="17"/>
  <c r="M1053" i="17"/>
  <c r="AC1053" i="17"/>
  <c r="Z1053" i="17"/>
  <c r="W1053" i="17"/>
  <c r="AM1053" i="17"/>
  <c r="AD1053" i="17"/>
  <c r="R1053" i="17"/>
  <c r="AO1053" i="17"/>
  <c r="AN1053" i="17"/>
  <c r="Q1053" i="17"/>
  <c r="AP1053" i="17"/>
  <c r="J1053" i="17"/>
  <c r="AN1234" i="17"/>
  <c r="AF1234" i="17"/>
  <c r="X1234" i="17"/>
  <c r="P1234" i="17"/>
  <c r="AM1234" i="17"/>
  <c r="AE1234" i="17"/>
  <c r="W1234" i="17"/>
  <c r="O1234" i="17"/>
  <c r="AR1234" i="17"/>
  <c r="AH1234" i="17"/>
  <c r="V1234" i="17"/>
  <c r="L1234" i="17"/>
  <c r="AQ1234" i="17"/>
  <c r="AG1234" i="17"/>
  <c r="U1234" i="17"/>
  <c r="K1234" i="17"/>
  <c r="AP1234" i="17"/>
  <c r="AB1234" i="17"/>
  <c r="N1234" i="17"/>
  <c r="AO1234" i="17"/>
  <c r="AA1234" i="17"/>
  <c r="M1234" i="17"/>
  <c r="Y1234" i="17"/>
  <c r="AL1234" i="17"/>
  <c r="T1234" i="17"/>
  <c r="R1234" i="17"/>
  <c r="AK1234" i="17"/>
  <c r="Q1234" i="17"/>
  <c r="AJ1234" i="17"/>
  <c r="J1234" i="17"/>
  <c r="AI1234" i="17"/>
  <c r="AD1234" i="17"/>
  <c r="AC1234" i="17"/>
  <c r="Z1234" i="17"/>
  <c r="S1234" i="17"/>
  <c r="AN1324" i="17"/>
  <c r="AF1324" i="17"/>
  <c r="X1324" i="17"/>
  <c r="P1324" i="17"/>
  <c r="AM1324" i="17"/>
  <c r="AE1324" i="17"/>
  <c r="W1324" i="17"/>
  <c r="O1324" i="17"/>
  <c r="AJ1324" i="17"/>
  <c r="Z1324" i="17"/>
  <c r="N1324" i="17"/>
  <c r="AI1324" i="17"/>
  <c r="Y1324" i="17"/>
  <c r="M1324" i="17"/>
  <c r="AH1324" i="17"/>
  <c r="T1324" i="17"/>
  <c r="AG1324" i="17"/>
  <c r="S1324" i="17"/>
  <c r="AD1324" i="17"/>
  <c r="L1324" i="17"/>
  <c r="AC1324" i="17"/>
  <c r="K1324" i="17"/>
  <c r="AB1324" i="17"/>
  <c r="AA1324" i="17"/>
  <c r="AR1324" i="17"/>
  <c r="V1324" i="17"/>
  <c r="AO1324" i="17"/>
  <c r="AL1324" i="17"/>
  <c r="AK1324" i="17"/>
  <c r="AQ1324" i="17"/>
  <c r="AP1324" i="17"/>
  <c r="U1324" i="17"/>
  <c r="R1324" i="17"/>
  <c r="Q1324" i="17"/>
  <c r="J1324" i="17"/>
  <c r="N3788" i="16"/>
  <c r="F3788" i="16"/>
  <c r="M3788" i="16"/>
  <c r="E3788" i="16"/>
  <c r="J3788" i="16"/>
  <c r="I3788" i="16"/>
  <c r="H3788" i="16"/>
  <c r="P3788" i="16"/>
  <c r="K3791" i="16"/>
  <c r="J3791" i="16"/>
  <c r="P3791" i="16"/>
  <c r="F3791" i="16"/>
  <c r="O3791" i="16"/>
  <c r="E3791" i="16"/>
  <c r="N3791" i="16"/>
  <c r="M3791" i="16"/>
  <c r="O3795" i="16"/>
  <c r="G3795" i="16"/>
  <c r="N3795" i="16"/>
  <c r="F3795" i="16"/>
  <c r="H3795" i="16"/>
  <c r="T3795" i="16"/>
  <c r="E3795" i="16"/>
  <c r="P3795" i="16"/>
  <c r="M3795" i="16"/>
  <c r="K3799" i="16"/>
  <c r="J3799" i="16"/>
  <c r="T3799" i="16"/>
  <c r="G3799" i="16"/>
  <c r="P3799" i="16"/>
  <c r="F3799" i="16"/>
  <c r="O3799" i="16"/>
  <c r="E3799" i="16"/>
  <c r="N3799" i="16"/>
  <c r="M3813" i="16"/>
  <c r="E3813" i="16"/>
  <c r="L3813" i="16"/>
  <c r="T3813" i="16"/>
  <c r="G3813" i="16"/>
  <c r="P3813" i="16"/>
  <c r="F3813" i="16"/>
  <c r="O3813" i="16"/>
  <c r="N3813" i="16"/>
  <c r="M3821" i="16"/>
  <c r="E3821" i="16"/>
  <c r="L3821" i="16"/>
  <c r="H3821" i="16"/>
  <c r="T3821" i="16"/>
  <c r="G3821" i="16"/>
  <c r="P3821" i="16"/>
  <c r="F3821" i="16"/>
  <c r="O3821" i="16"/>
  <c r="M3829" i="16"/>
  <c r="E3829" i="16"/>
  <c r="L3829" i="16"/>
  <c r="I3829" i="16"/>
  <c r="H3829" i="16"/>
  <c r="T3829" i="16"/>
  <c r="G3829" i="16"/>
  <c r="O3829" i="16"/>
  <c r="N3852" i="16"/>
  <c r="F3852" i="16"/>
  <c r="M3852" i="16"/>
  <c r="E3852" i="16"/>
  <c r="J3852" i="16"/>
  <c r="I3852" i="16"/>
  <c r="H3852" i="16"/>
  <c r="P3852" i="16"/>
  <c r="K3855" i="16"/>
  <c r="J3855" i="16"/>
  <c r="P3855" i="16"/>
  <c r="F3855" i="16"/>
  <c r="O3855" i="16"/>
  <c r="E3855" i="16"/>
  <c r="N3855" i="16"/>
  <c r="M3855" i="16"/>
  <c r="O3859" i="16"/>
  <c r="G3859" i="16"/>
  <c r="N3859" i="16"/>
  <c r="F3859" i="16"/>
  <c r="H3859" i="16"/>
  <c r="T3859" i="16"/>
  <c r="E3859" i="16"/>
  <c r="P3859" i="16"/>
  <c r="M3859" i="16"/>
  <c r="K3863" i="16"/>
  <c r="J3863" i="16"/>
  <c r="T3863" i="16"/>
  <c r="G3863" i="16"/>
  <c r="P3863" i="16"/>
  <c r="F3863" i="16"/>
  <c r="O3863" i="16"/>
  <c r="E3863" i="16"/>
  <c r="N3863" i="16"/>
  <c r="M3877" i="16"/>
  <c r="E3877" i="16"/>
  <c r="L3877" i="16"/>
  <c r="T3877" i="16"/>
  <c r="G3877" i="16"/>
  <c r="P3877" i="16"/>
  <c r="F3877" i="16"/>
  <c r="O3877" i="16"/>
  <c r="N3877" i="16"/>
  <c r="O3915" i="16"/>
  <c r="G3915" i="16"/>
  <c r="N3915" i="16"/>
  <c r="F3915" i="16"/>
  <c r="T3915" i="16"/>
  <c r="E3915" i="16"/>
  <c r="P3915" i="16"/>
  <c r="M3915" i="16"/>
  <c r="L3915" i="16"/>
  <c r="T3926" i="16"/>
  <c r="O3931" i="16"/>
  <c r="G3931" i="16"/>
  <c r="N3931" i="16"/>
  <c r="F3931" i="16"/>
  <c r="I3931" i="16"/>
  <c r="H3931" i="16"/>
  <c r="T3931" i="16"/>
  <c r="E3931" i="16"/>
  <c r="P3931" i="16"/>
  <c r="J3962" i="16"/>
  <c r="N3962" i="16"/>
  <c r="E3962" i="16"/>
  <c r="M3962" i="16"/>
  <c r="I3962" i="16"/>
  <c r="H3962" i="16"/>
  <c r="G3962" i="16"/>
  <c r="P3962" i="16"/>
  <c r="N3974" i="16"/>
  <c r="F3974" i="16"/>
  <c r="O3974" i="16"/>
  <c r="E3974" i="16"/>
  <c r="M3974" i="16"/>
  <c r="I3974" i="16"/>
  <c r="H3974" i="16"/>
  <c r="G3974" i="16"/>
  <c r="T3974" i="16"/>
  <c r="J3986" i="16"/>
  <c r="M3986" i="16"/>
  <c r="L3986" i="16"/>
  <c r="P3986" i="16"/>
  <c r="E3986" i="16"/>
  <c r="O3986" i="16"/>
  <c r="N3986" i="16"/>
  <c r="K3986" i="16"/>
  <c r="O3997" i="16"/>
  <c r="G3997" i="16"/>
  <c r="L3997" i="16"/>
  <c r="K3997" i="16"/>
  <c r="F3997" i="16"/>
  <c r="T3997" i="16"/>
  <c r="E3997" i="16"/>
  <c r="P3997" i="16"/>
  <c r="N3997" i="16"/>
  <c r="J4010" i="16"/>
  <c r="L4010" i="16"/>
  <c r="K4010" i="16"/>
  <c r="G4010" i="16"/>
  <c r="T4010" i="16"/>
  <c r="F4010" i="16"/>
  <c r="P4010" i="16"/>
  <c r="E4010" i="16"/>
  <c r="O4010" i="16"/>
  <c r="M4039" i="16"/>
  <c r="E4039" i="16"/>
  <c r="P4039" i="16"/>
  <c r="G4039" i="16"/>
  <c r="O4039" i="16"/>
  <c r="F4039" i="16"/>
  <c r="T4039" i="16"/>
  <c r="N4039" i="16"/>
  <c r="L4039" i="16"/>
  <c r="J4080" i="16"/>
  <c r="M4080" i="16"/>
  <c r="L4080" i="16"/>
  <c r="K4080" i="16"/>
  <c r="T4080" i="16"/>
  <c r="E4080" i="16"/>
  <c r="P4080" i="16"/>
  <c r="O4080" i="16"/>
  <c r="N4080" i="16"/>
  <c r="O4091" i="16"/>
  <c r="G4091" i="16"/>
  <c r="L4091" i="16"/>
  <c r="T4091" i="16"/>
  <c r="F4091" i="16"/>
  <c r="P4091" i="16"/>
  <c r="E4091" i="16"/>
  <c r="J4091" i="16"/>
  <c r="I4091" i="16"/>
  <c r="H4091" i="16"/>
  <c r="P4098" i="16"/>
  <c r="H4098" i="16"/>
  <c r="T4098" i="16"/>
  <c r="G4098" i="16"/>
  <c r="N4098" i="16"/>
  <c r="M4098" i="16"/>
  <c r="O4098" i="16"/>
  <c r="L4098" i="16"/>
  <c r="K4098" i="16"/>
  <c r="L4102" i="16"/>
  <c r="K4102" i="16"/>
  <c r="O4102" i="16"/>
  <c r="E4102" i="16"/>
  <c r="N4102" i="16"/>
  <c r="T4102" i="16"/>
  <c r="P4102" i="16"/>
  <c r="M4102" i="16"/>
  <c r="J4102" i="16"/>
  <c r="O4115" i="16"/>
  <c r="G4115" i="16"/>
  <c r="K4115" i="16"/>
  <c r="P4115" i="16"/>
  <c r="E4115" i="16"/>
  <c r="N4115" i="16"/>
  <c r="J4115" i="16"/>
  <c r="I4115" i="16"/>
  <c r="H4115" i="16"/>
  <c r="N4116" i="16"/>
  <c r="F4116" i="16"/>
  <c r="L4116" i="16"/>
  <c r="H4116" i="16"/>
  <c r="T4116" i="16"/>
  <c r="G4116" i="16"/>
  <c r="E4116" i="16"/>
  <c r="P4116" i="16"/>
  <c r="O4116" i="16"/>
  <c r="N4124" i="16"/>
  <c r="F4124" i="16"/>
  <c r="I4124" i="16"/>
  <c r="J4124" i="16"/>
  <c r="H4124" i="16"/>
  <c r="K4124" i="16"/>
  <c r="G4124" i="16"/>
  <c r="E4124" i="16"/>
  <c r="T4124" i="16"/>
  <c r="K4127" i="16"/>
  <c r="J4127" i="16"/>
  <c r="O4127" i="16"/>
  <c r="E4127" i="16"/>
  <c r="N4127" i="16"/>
  <c r="I4127" i="16"/>
  <c r="H4127" i="16"/>
  <c r="G4127" i="16"/>
  <c r="T4127" i="16"/>
  <c r="J4168" i="16"/>
  <c r="L4168" i="16"/>
  <c r="T4168" i="16"/>
  <c r="G4168" i="16"/>
  <c r="P4168" i="16"/>
  <c r="F4168" i="16"/>
  <c r="H4168" i="16"/>
  <c r="E4168" i="16"/>
  <c r="O4168" i="16"/>
  <c r="L4174" i="16"/>
  <c r="T4174" i="16"/>
  <c r="H4174" i="16"/>
  <c r="N4174" i="16"/>
  <c r="M4174" i="16"/>
  <c r="I4174" i="16"/>
  <c r="G4174" i="16"/>
  <c r="F4174" i="16"/>
  <c r="P4174" i="16"/>
  <c r="N4180" i="16"/>
  <c r="F4180" i="16"/>
  <c r="L4180" i="16"/>
  <c r="H4180" i="16"/>
  <c r="T4180" i="16"/>
  <c r="G4180" i="16"/>
  <c r="I4180" i="16"/>
  <c r="E4180" i="16"/>
  <c r="P4180" i="16"/>
  <c r="N4188" i="16"/>
  <c r="F4188" i="16"/>
  <c r="I4188" i="16"/>
  <c r="J4188" i="16"/>
  <c r="H4188" i="16"/>
  <c r="L4188" i="16"/>
  <c r="K4188" i="16"/>
  <c r="G4188" i="16"/>
  <c r="T4188" i="16"/>
  <c r="N4204" i="16"/>
  <c r="F4204" i="16"/>
  <c r="K4204" i="16"/>
  <c r="P4204" i="16"/>
  <c r="E4204" i="16"/>
  <c r="O4204" i="16"/>
  <c r="J4204" i="16"/>
  <c r="I4204" i="16"/>
  <c r="H4204" i="16"/>
  <c r="M4205" i="16"/>
  <c r="E4205" i="16"/>
  <c r="L4205" i="16"/>
  <c r="H4205" i="16"/>
  <c r="T4205" i="16"/>
  <c r="G4205" i="16"/>
  <c r="F4205" i="16"/>
  <c r="P4205" i="16"/>
  <c r="O4205" i="16"/>
  <c r="J4264" i="16"/>
  <c r="P4264" i="16"/>
  <c r="G4264" i="16"/>
  <c r="T4264" i="16"/>
  <c r="F4264" i="16"/>
  <c r="O4264" i="16"/>
  <c r="E4264" i="16"/>
  <c r="N4264" i="16"/>
  <c r="M4264" i="16"/>
  <c r="N4276" i="16"/>
  <c r="F4276" i="16"/>
  <c r="T4276" i="16"/>
  <c r="H4276" i="16"/>
  <c r="M4276" i="16"/>
  <c r="L4276" i="16"/>
  <c r="I4276" i="16"/>
  <c r="G4276" i="16"/>
  <c r="E4276" i="16"/>
  <c r="M4277" i="16"/>
  <c r="E4277" i="16"/>
  <c r="I4277" i="16"/>
  <c r="T4277" i="16"/>
  <c r="G4277" i="16"/>
  <c r="P4277" i="16"/>
  <c r="F4277" i="16"/>
  <c r="O4277" i="16"/>
  <c r="N4277" i="16"/>
  <c r="K4311" i="16"/>
  <c r="N4311" i="16"/>
  <c r="E4311" i="16"/>
  <c r="P4311" i="16"/>
  <c r="F4311" i="16"/>
  <c r="O4311" i="16"/>
  <c r="G4311" i="16"/>
  <c r="T4311" i="16"/>
  <c r="M4311" i="16"/>
  <c r="P4346" i="16"/>
  <c r="H4346" i="16"/>
  <c r="K4346" i="16"/>
  <c r="N4346" i="16"/>
  <c r="M4346" i="16"/>
  <c r="G4346" i="16"/>
  <c r="F4346" i="16"/>
  <c r="E4346" i="16"/>
  <c r="T4346" i="16"/>
  <c r="P4402" i="16"/>
  <c r="H4402" i="16"/>
  <c r="N4402" i="16"/>
  <c r="E4402" i="16"/>
  <c r="T4402" i="16"/>
  <c r="F4402" i="16"/>
  <c r="O4402" i="16"/>
  <c r="I4402" i="16"/>
  <c r="G4402" i="16"/>
  <c r="O4403" i="16"/>
  <c r="G4403" i="16"/>
  <c r="P4403" i="16"/>
  <c r="F4403" i="16"/>
  <c r="J4403" i="16"/>
  <c r="I4403" i="16"/>
  <c r="T4403" i="16"/>
  <c r="N4403" i="16"/>
  <c r="M4403" i="16"/>
  <c r="L4502" i="16"/>
  <c r="N4502" i="16"/>
  <c r="E4502" i="16"/>
  <c r="M4502" i="16"/>
  <c r="K4502" i="16"/>
  <c r="T4502" i="16"/>
  <c r="P4502" i="16"/>
  <c r="O4502" i="16"/>
  <c r="J4502" i="16"/>
  <c r="L4542" i="16"/>
  <c r="O4542" i="16"/>
  <c r="F4542" i="16"/>
  <c r="P4542" i="16"/>
  <c r="E4542" i="16"/>
  <c r="N4542" i="16"/>
  <c r="T4542" i="16"/>
  <c r="M4542" i="16"/>
  <c r="K4542" i="16"/>
  <c r="L4558" i="16"/>
  <c r="T4558" i="16"/>
  <c r="H4558" i="16"/>
  <c r="N4558" i="16"/>
  <c r="M4558" i="16"/>
  <c r="K4558" i="16"/>
  <c r="F4558" i="16"/>
  <c r="E4558" i="16"/>
  <c r="P4558" i="16"/>
  <c r="P4570" i="16"/>
  <c r="H4570" i="16"/>
  <c r="T4570" i="16"/>
  <c r="G4570" i="16"/>
  <c r="O4570" i="16"/>
  <c r="F4570" i="16"/>
  <c r="I4570" i="16"/>
  <c r="E4570" i="16"/>
  <c r="M4570" i="16"/>
  <c r="L4570" i="16"/>
  <c r="K4570" i="16"/>
  <c r="K4583" i="16"/>
  <c r="T4583" i="16"/>
  <c r="H4583" i="16"/>
  <c r="P4583" i="16"/>
  <c r="G4583" i="16"/>
  <c r="J4583" i="16"/>
  <c r="I4583" i="16"/>
  <c r="F4583" i="16"/>
  <c r="L4583" i="16"/>
  <c r="E4583" i="16"/>
  <c r="O4747" i="16"/>
  <c r="G4747" i="16"/>
  <c r="T4747" i="16"/>
  <c r="H4747" i="16"/>
  <c r="P4747" i="16"/>
  <c r="F4747" i="16"/>
  <c r="N4747" i="16"/>
  <c r="E4747" i="16"/>
  <c r="I4747" i="16"/>
  <c r="K4747" i="16"/>
  <c r="J4747" i="16"/>
  <c r="P4770" i="16"/>
  <c r="H4770" i="16"/>
  <c r="N4770" i="16"/>
  <c r="E4770" i="16"/>
  <c r="M4770" i="16"/>
  <c r="L4770" i="16"/>
  <c r="I4770" i="16"/>
  <c r="G4770" i="16"/>
  <c r="F4770" i="16"/>
  <c r="T4770" i="16"/>
  <c r="O4770" i="16"/>
  <c r="K4770" i="16"/>
  <c r="L4806" i="16"/>
  <c r="N4806" i="16"/>
  <c r="E4806" i="16"/>
  <c r="M4806" i="16"/>
  <c r="K4806" i="16"/>
  <c r="F4806" i="16"/>
  <c r="T4806" i="16"/>
  <c r="P4806" i="16"/>
  <c r="O4806" i="16"/>
  <c r="O4859" i="16"/>
  <c r="G4859" i="16"/>
  <c r="N4859" i="16"/>
  <c r="E4859" i="16"/>
  <c r="M4859" i="16"/>
  <c r="L4859" i="16"/>
  <c r="F4859" i="16"/>
  <c r="T4859" i="16"/>
  <c r="J4859" i="16"/>
  <c r="I4859" i="16"/>
  <c r="H4859" i="16"/>
  <c r="K4863" i="16"/>
  <c r="T4863" i="16"/>
  <c r="H4863" i="16"/>
  <c r="P4863" i="16"/>
  <c r="G4863" i="16"/>
  <c r="O4863" i="16"/>
  <c r="F4863" i="16"/>
  <c r="E4863" i="16"/>
  <c r="M4863" i="16"/>
  <c r="L4863" i="16"/>
  <c r="J4863" i="16"/>
  <c r="K4871" i="16"/>
  <c r="N4871" i="16"/>
  <c r="E4871" i="16"/>
  <c r="M4871" i="16"/>
  <c r="L4871" i="16"/>
  <c r="T4871" i="16"/>
  <c r="P4871" i="16"/>
  <c r="O4871" i="16"/>
  <c r="I4871" i="16"/>
  <c r="H4871" i="16"/>
  <c r="G4871" i="16"/>
  <c r="N4988" i="16"/>
  <c r="F4988" i="16"/>
  <c r="P4988" i="16"/>
  <c r="G4988" i="16"/>
  <c r="O4988" i="16"/>
  <c r="E4988" i="16"/>
  <c r="M4988" i="16"/>
  <c r="K4988" i="16"/>
  <c r="J4988" i="16"/>
  <c r="I4988" i="16"/>
  <c r="H4988" i="16"/>
  <c r="T4988" i="16"/>
  <c r="L4988" i="16"/>
  <c r="K5015" i="16"/>
  <c r="P5015" i="16"/>
  <c r="G5015" i="16"/>
  <c r="O5015" i="16"/>
  <c r="F5015" i="16"/>
  <c r="N5015" i="16"/>
  <c r="E5015" i="16"/>
  <c r="T5015" i="16"/>
  <c r="I5015" i="16"/>
  <c r="H5015" i="16"/>
  <c r="M5015" i="16"/>
  <c r="O5043" i="16"/>
  <c r="G5043" i="16"/>
  <c r="N5043" i="16"/>
  <c r="F5043" i="16"/>
  <c r="J5043" i="16"/>
  <c r="I5043" i="16"/>
  <c r="H5043" i="16"/>
  <c r="K5043" i="16"/>
  <c r="E5043" i="16"/>
  <c r="T5043" i="16"/>
  <c r="P5043" i="16"/>
  <c r="M5043" i="16"/>
  <c r="L5043" i="16"/>
  <c r="M5045" i="16"/>
  <c r="E5045" i="16"/>
  <c r="L5045" i="16"/>
  <c r="T5045" i="16"/>
  <c r="G5045" i="16"/>
  <c r="P5045" i="16"/>
  <c r="F5045" i="16"/>
  <c r="O5045" i="16"/>
  <c r="K5045" i="16"/>
  <c r="J5045" i="16"/>
  <c r="I5045" i="16"/>
  <c r="M5141" i="16"/>
  <c r="E5141" i="16"/>
  <c r="L5141" i="16"/>
  <c r="T5141" i="16"/>
  <c r="G5141" i="16"/>
  <c r="P5141" i="16"/>
  <c r="F5141" i="16"/>
  <c r="O5141" i="16"/>
  <c r="K5141" i="16"/>
  <c r="J5141" i="16"/>
  <c r="I5141" i="16"/>
  <c r="N5141" i="16"/>
  <c r="H5141" i="16"/>
  <c r="P5170" i="16"/>
  <c r="H5170" i="16"/>
  <c r="O5170" i="16"/>
  <c r="G5170" i="16"/>
  <c r="T5170" i="16"/>
  <c r="E5170" i="16"/>
  <c r="N5170" i="16"/>
  <c r="M5170" i="16"/>
  <c r="J5170" i="16"/>
  <c r="I5170" i="16"/>
  <c r="F5170" i="16"/>
  <c r="L5170" i="16"/>
  <c r="K5170" i="16"/>
  <c r="P5178" i="16"/>
  <c r="H5178" i="16"/>
  <c r="O5178" i="16"/>
  <c r="G5178" i="16"/>
  <c r="T5178" i="16"/>
  <c r="E5178" i="16"/>
  <c r="N5178" i="16"/>
  <c r="M5178" i="16"/>
  <c r="F5178" i="16"/>
  <c r="K5178" i="16"/>
  <c r="J5178" i="16"/>
  <c r="I5178" i="16"/>
  <c r="L5178" i="16"/>
  <c r="M5293" i="16"/>
  <c r="E5293" i="16"/>
  <c r="L5293" i="16"/>
  <c r="T5293" i="16"/>
  <c r="G5293" i="16"/>
  <c r="P5293" i="16"/>
  <c r="F5293" i="16"/>
  <c r="O5293" i="16"/>
  <c r="K5293" i="16"/>
  <c r="J5293" i="16"/>
  <c r="I5293" i="16"/>
  <c r="N5293" i="16"/>
  <c r="H5293" i="16"/>
  <c r="O5579" i="16"/>
  <c r="G5579" i="16"/>
  <c r="N5579" i="16"/>
  <c r="F5579" i="16"/>
  <c r="M5579" i="16"/>
  <c r="E5579" i="16"/>
  <c r="I5579" i="16"/>
  <c r="H5579" i="16"/>
  <c r="J5579" i="16"/>
  <c r="T5579" i="16"/>
  <c r="P5579" i="16"/>
  <c r="L5579" i="16"/>
  <c r="K5579" i="16"/>
  <c r="M5653" i="16"/>
  <c r="E5653" i="16"/>
  <c r="L5653" i="16"/>
  <c r="K5653" i="16"/>
  <c r="I5653" i="16"/>
  <c r="H5653" i="16"/>
  <c r="G5653" i="16"/>
  <c r="J5653" i="16"/>
  <c r="F5653" i="16"/>
  <c r="N5653" i="16"/>
  <c r="T5653" i="16"/>
  <c r="P5653" i="16"/>
  <c r="O5653" i="16"/>
  <c r="N5676" i="16"/>
  <c r="F5676" i="16"/>
  <c r="M5676" i="16"/>
  <c r="E5676" i="16"/>
  <c r="L5676" i="16"/>
  <c r="I5676" i="16"/>
  <c r="H5676" i="16"/>
  <c r="G5676" i="16"/>
  <c r="P5676" i="16"/>
  <c r="O5676" i="16"/>
  <c r="K5676" i="16"/>
  <c r="J5676" i="16"/>
  <c r="T5676" i="16"/>
  <c r="O5851" i="16"/>
  <c r="G5851" i="16"/>
  <c r="N5851" i="16"/>
  <c r="F5851" i="16"/>
  <c r="M5851" i="16"/>
  <c r="E5851" i="16"/>
  <c r="K5851" i="16"/>
  <c r="J5851" i="16"/>
  <c r="I5851" i="16"/>
  <c r="P5851" i="16"/>
  <c r="L5851" i="16"/>
  <c r="H5851" i="16"/>
  <c r="T5851" i="16"/>
  <c r="P5858" i="16"/>
  <c r="H5858" i="16"/>
  <c r="O5858" i="16"/>
  <c r="G5858" i="16"/>
  <c r="N5858" i="16"/>
  <c r="F5858" i="16"/>
  <c r="T5858" i="16"/>
  <c r="M5858" i="16"/>
  <c r="I5858" i="16"/>
  <c r="E5858" i="16"/>
  <c r="J5858" i="16"/>
  <c r="L5858" i="16"/>
  <c r="K5858" i="16"/>
  <c r="N5937" i="16"/>
  <c r="F5937" i="16"/>
  <c r="M5937" i="16"/>
  <c r="E5937" i="16"/>
  <c r="H5937" i="16"/>
  <c r="T5937" i="16"/>
  <c r="G5937" i="16"/>
  <c r="P5937" i="16"/>
  <c r="J5937" i="16"/>
  <c r="I5937" i="16"/>
  <c r="K5937" i="16"/>
  <c r="V126" i="17"/>
  <c r="N126" i="17"/>
  <c r="AC126" i="17"/>
  <c r="U126" i="17"/>
  <c r="AQ126" i="17" s="1"/>
  <c r="M126" i="17"/>
  <c r="AE126" i="17" s="1"/>
  <c r="X126" i="17"/>
  <c r="L126" i="17"/>
  <c r="W126" i="17"/>
  <c r="K126" i="17"/>
  <c r="O126" i="17" s="1"/>
  <c r="AI126" i="17" s="1"/>
  <c r="T126" i="17"/>
  <c r="J126" i="17"/>
  <c r="Y126" i="17"/>
  <c r="S126" i="17"/>
  <c r="R126" i="17"/>
  <c r="AG126" i="17" s="1"/>
  <c r="AB126" i="17"/>
  <c r="AA126" i="17"/>
  <c r="Z126" i="17"/>
  <c r="Q126" i="17"/>
  <c r="AO126" i="17"/>
  <c r="J302" i="17"/>
  <c r="O364" i="17"/>
  <c r="AL538" i="17"/>
  <c r="AD538" i="17"/>
  <c r="V538" i="17"/>
  <c r="N538" i="17"/>
  <c r="AK538" i="17"/>
  <c r="AC538" i="17"/>
  <c r="U538" i="17"/>
  <c r="M538" i="17"/>
  <c r="AJ538" i="17"/>
  <c r="Z538" i="17"/>
  <c r="P538" i="17"/>
  <c r="AI538" i="17"/>
  <c r="Y538" i="17"/>
  <c r="O538" i="17"/>
  <c r="AR538" i="17"/>
  <c r="AH538" i="17"/>
  <c r="X538" i="17"/>
  <c r="L538" i="17"/>
  <c r="AO538" i="17"/>
  <c r="W538" i="17"/>
  <c r="AN538" i="17"/>
  <c r="T538" i="17"/>
  <c r="AM538" i="17"/>
  <c r="S538" i="17"/>
  <c r="AB538" i="17"/>
  <c r="AA538" i="17"/>
  <c r="R538" i="17"/>
  <c r="Q538" i="17"/>
  <c r="K538" i="17"/>
  <c r="J538" i="17"/>
  <c r="AQ538" i="17"/>
  <c r="AP538" i="17"/>
  <c r="AG538" i="17"/>
  <c r="AF538" i="17"/>
  <c r="AN1154" i="17"/>
  <c r="AF1154" i="17"/>
  <c r="X1154" i="17"/>
  <c r="P1154" i="17"/>
  <c r="AM1154" i="17"/>
  <c r="AE1154" i="17"/>
  <c r="W1154" i="17"/>
  <c r="O1154" i="17"/>
  <c r="AK1154" i="17"/>
  <c r="AA1154" i="17"/>
  <c r="Q1154" i="17"/>
  <c r="AJ1154" i="17"/>
  <c r="Z1154" i="17"/>
  <c r="N1154" i="17"/>
  <c r="AH1154" i="17"/>
  <c r="T1154" i="17"/>
  <c r="AG1154" i="17"/>
  <c r="S1154" i="17"/>
  <c r="AD1154" i="17"/>
  <c r="L1154" i="17"/>
  <c r="AC1154" i="17"/>
  <c r="K1154" i="17"/>
  <c r="AB1154" i="17"/>
  <c r="Y1154" i="17"/>
  <c r="AR1154" i="17"/>
  <c r="V1154" i="17"/>
  <c r="AI1154" i="17"/>
  <c r="U1154" i="17"/>
  <c r="R1154" i="17"/>
  <c r="AQ1154" i="17"/>
  <c r="AP1154" i="17"/>
  <c r="AO1154" i="17"/>
  <c r="AL1154" i="17"/>
  <c r="M1154" i="17"/>
  <c r="J1154" i="17"/>
  <c r="M4197" i="16"/>
  <c r="E4197" i="16"/>
  <c r="P4197" i="16"/>
  <c r="G4197" i="16"/>
  <c r="I4197" i="16"/>
  <c r="H4197" i="16"/>
  <c r="K4197" i="16"/>
  <c r="J4197" i="16"/>
  <c r="F4197" i="16"/>
  <c r="P4218" i="16"/>
  <c r="H4218" i="16"/>
  <c r="K4218" i="16"/>
  <c r="N4218" i="16"/>
  <c r="M4218" i="16"/>
  <c r="E4218" i="16"/>
  <c r="T4218" i="16"/>
  <c r="O4218" i="16"/>
  <c r="L4218" i="16"/>
  <c r="N4220" i="16"/>
  <c r="F4220" i="16"/>
  <c r="M4220" i="16"/>
  <c r="I4220" i="16"/>
  <c r="H4220" i="16"/>
  <c r="J4220" i="16"/>
  <c r="G4220" i="16"/>
  <c r="E4220" i="16"/>
  <c r="T4220" i="16"/>
  <c r="N4244" i="16"/>
  <c r="F4244" i="16"/>
  <c r="L4244" i="16"/>
  <c r="H4244" i="16"/>
  <c r="T4244" i="16"/>
  <c r="G4244" i="16"/>
  <c r="J4244" i="16"/>
  <c r="I4244" i="16"/>
  <c r="E4244" i="16"/>
  <c r="L4254" i="16"/>
  <c r="J4254" i="16"/>
  <c r="N4254" i="16"/>
  <c r="M4254" i="16"/>
  <c r="G4254" i="16"/>
  <c r="F4254" i="16"/>
  <c r="T4254" i="16"/>
  <c r="E4254" i="16"/>
  <c r="P4254" i="16"/>
  <c r="M4357" i="16"/>
  <c r="E4357" i="16"/>
  <c r="K4357" i="16"/>
  <c r="N4357" i="16"/>
  <c r="L4357" i="16"/>
  <c r="T4357" i="16"/>
  <c r="P4357" i="16"/>
  <c r="O4357" i="16"/>
  <c r="J4357" i="16"/>
  <c r="N4364" i="16"/>
  <c r="F4364" i="16"/>
  <c r="P4364" i="16"/>
  <c r="G4364" i="16"/>
  <c r="H4364" i="16"/>
  <c r="T4364" i="16"/>
  <c r="E4364" i="16"/>
  <c r="L4364" i="16"/>
  <c r="K4364" i="16"/>
  <c r="J4364" i="16"/>
  <c r="O4371" i="16"/>
  <c r="G4371" i="16"/>
  <c r="K4371" i="16"/>
  <c r="P4371" i="16"/>
  <c r="E4371" i="16"/>
  <c r="N4371" i="16"/>
  <c r="T4371" i="16"/>
  <c r="M4371" i="16"/>
  <c r="L4371" i="16"/>
  <c r="M4421" i="16"/>
  <c r="E4421" i="16"/>
  <c r="K4421" i="16"/>
  <c r="N4421" i="16"/>
  <c r="L4421" i="16"/>
  <c r="F4421" i="16"/>
  <c r="T4421" i="16"/>
  <c r="P4421" i="16"/>
  <c r="O4421" i="16"/>
  <c r="O4427" i="16"/>
  <c r="G4427" i="16"/>
  <c r="N4427" i="16"/>
  <c r="E4427" i="16"/>
  <c r="M4427" i="16"/>
  <c r="L4427" i="16"/>
  <c r="T4427" i="16"/>
  <c r="P4427" i="16"/>
  <c r="K4427" i="16"/>
  <c r="P4450" i="16"/>
  <c r="H4450" i="16"/>
  <c r="L4450" i="16"/>
  <c r="I4450" i="16"/>
  <c r="G4450" i="16"/>
  <c r="J4450" i="16"/>
  <c r="F4450" i="16"/>
  <c r="E4450" i="16"/>
  <c r="T4450" i="16"/>
  <c r="K4479" i="16"/>
  <c r="O4479" i="16"/>
  <c r="F4479" i="16"/>
  <c r="H4479" i="16"/>
  <c r="T4479" i="16"/>
  <c r="G4479" i="16"/>
  <c r="L4479" i="16"/>
  <c r="J4479" i="16"/>
  <c r="I4479" i="16"/>
  <c r="K4503" i="16"/>
  <c r="N4503" i="16"/>
  <c r="E4503" i="16"/>
  <c r="P4503" i="16"/>
  <c r="F4503" i="16"/>
  <c r="O4503" i="16"/>
  <c r="J4503" i="16"/>
  <c r="I4503" i="16"/>
  <c r="H4503" i="16"/>
  <c r="J4504" i="16"/>
  <c r="N4504" i="16"/>
  <c r="E4504" i="16"/>
  <c r="H4504" i="16"/>
  <c r="T4504" i="16"/>
  <c r="G4504" i="16"/>
  <c r="F4504" i="16"/>
  <c r="P4504" i="16"/>
  <c r="O4504" i="16"/>
  <c r="K4519" i="16"/>
  <c r="P4519" i="16"/>
  <c r="G4519" i="16"/>
  <c r="N4519" i="16"/>
  <c r="M4519" i="16"/>
  <c r="T4519" i="16"/>
  <c r="O4519" i="16"/>
  <c r="L4519" i="16"/>
  <c r="J4519" i="16"/>
  <c r="K4591" i="16"/>
  <c r="N4591" i="16"/>
  <c r="E4591" i="16"/>
  <c r="M4591" i="16"/>
  <c r="H4591" i="16"/>
  <c r="G4591" i="16"/>
  <c r="T4591" i="16"/>
  <c r="F4591" i="16"/>
  <c r="I4591" i="16"/>
  <c r="P4634" i="16"/>
  <c r="H4634" i="16"/>
  <c r="I4634" i="16"/>
  <c r="T4634" i="16"/>
  <c r="G4634" i="16"/>
  <c r="O4634" i="16"/>
  <c r="F4634" i="16"/>
  <c r="K4634" i="16"/>
  <c r="J4634" i="16"/>
  <c r="E4634" i="16"/>
  <c r="L4634" i="16"/>
  <c r="N4652" i="16"/>
  <c r="F4652" i="16"/>
  <c r="M4652" i="16"/>
  <c r="L4652" i="16"/>
  <c r="K4652" i="16"/>
  <c r="G4652" i="16"/>
  <c r="E4652" i="16"/>
  <c r="T4652" i="16"/>
  <c r="J4652" i="16"/>
  <c r="I4652" i="16"/>
  <c r="H4652" i="16"/>
  <c r="L4654" i="16"/>
  <c r="O4654" i="16"/>
  <c r="F4654" i="16"/>
  <c r="N4654" i="16"/>
  <c r="E4654" i="16"/>
  <c r="M4654" i="16"/>
  <c r="I4654" i="16"/>
  <c r="H4654" i="16"/>
  <c r="G4654" i="16"/>
  <c r="K4655" i="16"/>
  <c r="O4655" i="16"/>
  <c r="F4655" i="16"/>
  <c r="N4655" i="16"/>
  <c r="E4655" i="16"/>
  <c r="M4655" i="16"/>
  <c r="T4655" i="16"/>
  <c r="P4655" i="16"/>
  <c r="L4655" i="16"/>
  <c r="P4658" i="16"/>
  <c r="H4658" i="16"/>
  <c r="T4658" i="16"/>
  <c r="G4658" i="16"/>
  <c r="O4658" i="16"/>
  <c r="F4658" i="16"/>
  <c r="N4658" i="16"/>
  <c r="E4658" i="16"/>
  <c r="K4658" i="16"/>
  <c r="J4658" i="16"/>
  <c r="I4658" i="16"/>
  <c r="L4694" i="16"/>
  <c r="P4694" i="16"/>
  <c r="G4694" i="16"/>
  <c r="O4694" i="16"/>
  <c r="F4694" i="16"/>
  <c r="N4694" i="16"/>
  <c r="E4694" i="16"/>
  <c r="J4694" i="16"/>
  <c r="I4694" i="16"/>
  <c r="H4694" i="16"/>
  <c r="T4694" i="16"/>
  <c r="M4694" i="16"/>
  <c r="K4694" i="16"/>
  <c r="M4933" i="16"/>
  <c r="E4933" i="16"/>
  <c r="N4933" i="16"/>
  <c r="L4933" i="16"/>
  <c r="K4933" i="16"/>
  <c r="H4933" i="16"/>
  <c r="G4933" i="16"/>
  <c r="F4933" i="16"/>
  <c r="J4933" i="16"/>
  <c r="I4933" i="16"/>
  <c r="L4990" i="16"/>
  <c r="T4990" i="16"/>
  <c r="H4990" i="16"/>
  <c r="P4990" i="16"/>
  <c r="G4990" i="16"/>
  <c r="O4990" i="16"/>
  <c r="F4990" i="16"/>
  <c r="E4990" i="16"/>
  <c r="K4990" i="16"/>
  <c r="J4990" i="16"/>
  <c r="I4990" i="16"/>
  <c r="M5029" i="16"/>
  <c r="E5029" i="16"/>
  <c r="L5029" i="16"/>
  <c r="T5029" i="16"/>
  <c r="G5029" i="16"/>
  <c r="P5029" i="16"/>
  <c r="F5029" i="16"/>
  <c r="O5029" i="16"/>
  <c r="J5029" i="16"/>
  <c r="I5029" i="16"/>
  <c r="H5029" i="16"/>
  <c r="K5029" i="16"/>
  <c r="O5067" i="16"/>
  <c r="G5067" i="16"/>
  <c r="N5067" i="16"/>
  <c r="F5067" i="16"/>
  <c r="J5067" i="16"/>
  <c r="I5067" i="16"/>
  <c r="H5067" i="16"/>
  <c r="M5067" i="16"/>
  <c r="L5067" i="16"/>
  <c r="K5067" i="16"/>
  <c r="P5067" i="16"/>
  <c r="E5067" i="16"/>
  <c r="P5074" i="16"/>
  <c r="H5074" i="16"/>
  <c r="O5074" i="16"/>
  <c r="G5074" i="16"/>
  <c r="T5074" i="16"/>
  <c r="E5074" i="16"/>
  <c r="N5074" i="16"/>
  <c r="M5074" i="16"/>
  <c r="J5074" i="16"/>
  <c r="I5074" i="16"/>
  <c r="F5074" i="16"/>
  <c r="M5085" i="16"/>
  <c r="E5085" i="16"/>
  <c r="L5085" i="16"/>
  <c r="T5085" i="16"/>
  <c r="G5085" i="16"/>
  <c r="P5085" i="16"/>
  <c r="F5085" i="16"/>
  <c r="O5085" i="16"/>
  <c r="I5085" i="16"/>
  <c r="H5085" i="16"/>
  <c r="N5085" i="16"/>
  <c r="K5085" i="16"/>
  <c r="O5099" i="16"/>
  <c r="G5099" i="16"/>
  <c r="N5099" i="16"/>
  <c r="F5099" i="16"/>
  <c r="J5099" i="16"/>
  <c r="I5099" i="16"/>
  <c r="H5099" i="16"/>
  <c r="M5099" i="16"/>
  <c r="L5099" i="16"/>
  <c r="K5099" i="16"/>
  <c r="T5099" i="16"/>
  <c r="E5099" i="16"/>
  <c r="O5163" i="16"/>
  <c r="G5163" i="16"/>
  <c r="N5163" i="16"/>
  <c r="F5163" i="16"/>
  <c r="J5163" i="16"/>
  <c r="I5163" i="16"/>
  <c r="H5163" i="16"/>
  <c r="M5163" i="16"/>
  <c r="L5163" i="16"/>
  <c r="K5163" i="16"/>
  <c r="T5163" i="16"/>
  <c r="P5163" i="16"/>
  <c r="E5163" i="16"/>
  <c r="P5258" i="16"/>
  <c r="H5258" i="16"/>
  <c r="O5258" i="16"/>
  <c r="G5258" i="16"/>
  <c r="T5258" i="16"/>
  <c r="E5258" i="16"/>
  <c r="N5258" i="16"/>
  <c r="M5258" i="16"/>
  <c r="J5258" i="16"/>
  <c r="I5258" i="16"/>
  <c r="F5258" i="16"/>
  <c r="L5258" i="16"/>
  <c r="K5258" i="16"/>
  <c r="M5261" i="16"/>
  <c r="E5261" i="16"/>
  <c r="L5261" i="16"/>
  <c r="T5261" i="16"/>
  <c r="G5261" i="16"/>
  <c r="P5261" i="16"/>
  <c r="F5261" i="16"/>
  <c r="O5261" i="16"/>
  <c r="K5261" i="16"/>
  <c r="J5261" i="16"/>
  <c r="I5261" i="16"/>
  <c r="N5261" i="16"/>
  <c r="H5261" i="16"/>
  <c r="O5299" i="16"/>
  <c r="G5299" i="16"/>
  <c r="N5299" i="16"/>
  <c r="F5299" i="16"/>
  <c r="J5299" i="16"/>
  <c r="I5299" i="16"/>
  <c r="H5299" i="16"/>
  <c r="L5299" i="16"/>
  <c r="K5299" i="16"/>
  <c r="E5299" i="16"/>
  <c r="T5299" i="16"/>
  <c r="P5299" i="16"/>
  <c r="P5322" i="16"/>
  <c r="H5322" i="16"/>
  <c r="O5322" i="16"/>
  <c r="G5322" i="16"/>
  <c r="T5322" i="16"/>
  <c r="E5322" i="16"/>
  <c r="N5322" i="16"/>
  <c r="M5322" i="16"/>
  <c r="J5322" i="16"/>
  <c r="I5322" i="16"/>
  <c r="F5322" i="16"/>
  <c r="M5333" i="16"/>
  <c r="E5333" i="16"/>
  <c r="L5333" i="16"/>
  <c r="T5333" i="16"/>
  <c r="G5333" i="16"/>
  <c r="P5333" i="16"/>
  <c r="F5333" i="16"/>
  <c r="O5333" i="16"/>
  <c r="H5333" i="16"/>
  <c r="K5333" i="16"/>
  <c r="J5333" i="16"/>
  <c r="I5333" i="16"/>
  <c r="N5333" i="16"/>
  <c r="M5349" i="16"/>
  <c r="E5349" i="16"/>
  <c r="L5349" i="16"/>
  <c r="T5349" i="16"/>
  <c r="G5349" i="16"/>
  <c r="P5349" i="16"/>
  <c r="F5349" i="16"/>
  <c r="O5349" i="16"/>
  <c r="J5349" i="16"/>
  <c r="I5349" i="16"/>
  <c r="H5349" i="16"/>
  <c r="N5349" i="16"/>
  <c r="L5462" i="16"/>
  <c r="K5462" i="16"/>
  <c r="H5462" i="16"/>
  <c r="T5462" i="16"/>
  <c r="G5462" i="16"/>
  <c r="P5462" i="16"/>
  <c r="F5462" i="16"/>
  <c r="O5462" i="16"/>
  <c r="J5462" i="16"/>
  <c r="I5462" i="16"/>
  <c r="E5462" i="16"/>
  <c r="N5462" i="16"/>
  <c r="M5462" i="16"/>
  <c r="M5517" i="16"/>
  <c r="E5517" i="16"/>
  <c r="L5517" i="16"/>
  <c r="T5517" i="16"/>
  <c r="G5517" i="16"/>
  <c r="P5517" i="16"/>
  <c r="F5517" i="16"/>
  <c r="O5517" i="16"/>
  <c r="K5517" i="16"/>
  <c r="J5517" i="16"/>
  <c r="I5517" i="16"/>
  <c r="N5517" i="16"/>
  <c r="H5517" i="16"/>
  <c r="L5622" i="16"/>
  <c r="K5622" i="16"/>
  <c r="J5622" i="16"/>
  <c r="G5622" i="16"/>
  <c r="T5622" i="16"/>
  <c r="F5622" i="16"/>
  <c r="P5622" i="16"/>
  <c r="E5622" i="16"/>
  <c r="I5622" i="16"/>
  <c r="H5622" i="16"/>
  <c r="N5622" i="16"/>
  <c r="M5622" i="16"/>
  <c r="O5622" i="16"/>
  <c r="P5911" i="16"/>
  <c r="H5911" i="16"/>
  <c r="O5911" i="16"/>
  <c r="F5911" i="16"/>
  <c r="N5911" i="16"/>
  <c r="E5911" i="16"/>
  <c r="M5911" i="16"/>
  <c r="J5911" i="16"/>
  <c r="I5911" i="16"/>
  <c r="G5911" i="16"/>
  <c r="K5911" i="16"/>
  <c r="T5911" i="16"/>
  <c r="L5911" i="16"/>
  <c r="N5929" i="16"/>
  <c r="F5929" i="16"/>
  <c r="M5929" i="16"/>
  <c r="E5929" i="16"/>
  <c r="H5929" i="16"/>
  <c r="T5929" i="16"/>
  <c r="G5929" i="16"/>
  <c r="P5929" i="16"/>
  <c r="I5929" i="16"/>
  <c r="K5929" i="16"/>
  <c r="J5929" i="16"/>
  <c r="L5929" i="16"/>
  <c r="J38" i="17"/>
  <c r="V54" i="17"/>
  <c r="N54" i="17"/>
  <c r="AC54" i="17"/>
  <c r="U54" i="17"/>
  <c r="AQ54" i="17" s="1"/>
  <c r="M54" i="17"/>
  <c r="AE54" i="17" s="1"/>
  <c r="AB54" i="17"/>
  <c r="R54" i="17"/>
  <c r="AA54" i="17"/>
  <c r="Q54" i="17"/>
  <c r="Z54" i="17"/>
  <c r="T54" i="17"/>
  <c r="S54" i="17"/>
  <c r="W54" i="17"/>
  <c r="L54" i="17"/>
  <c r="K54" i="17"/>
  <c r="Y54" i="17"/>
  <c r="X54" i="17"/>
  <c r="J54" i="17"/>
  <c r="V158" i="17"/>
  <c r="N158" i="17"/>
  <c r="AC158" i="17"/>
  <c r="U158" i="17"/>
  <c r="M158" i="17"/>
  <c r="AD158" i="17" s="1"/>
  <c r="X158" i="17"/>
  <c r="L158" i="17"/>
  <c r="W158" i="17"/>
  <c r="K158" i="17"/>
  <c r="T158" i="17"/>
  <c r="J158" i="17"/>
  <c r="R158" i="17"/>
  <c r="AG158" i="17" s="1"/>
  <c r="Q158" i="17"/>
  <c r="Y158" i="17"/>
  <c r="S158" i="17"/>
  <c r="AO158" i="17"/>
  <c r="AB158" i="17"/>
  <c r="AA158" i="17"/>
  <c r="Z158" i="17"/>
  <c r="AL350" i="17"/>
  <c r="AD350" i="17"/>
  <c r="V350" i="17"/>
  <c r="N350" i="17"/>
  <c r="AK350" i="17"/>
  <c r="AC350" i="17"/>
  <c r="U350" i="17"/>
  <c r="M350" i="17"/>
  <c r="AN350" i="17"/>
  <c r="AB350" i="17"/>
  <c r="R350" i="17"/>
  <c r="AM350" i="17"/>
  <c r="AA350" i="17"/>
  <c r="Q350" i="17"/>
  <c r="AJ350" i="17"/>
  <c r="Z350" i="17"/>
  <c r="P350" i="17"/>
  <c r="AF350" i="17"/>
  <c r="L350" i="17"/>
  <c r="AR350" i="17"/>
  <c r="AE350" i="17"/>
  <c r="K350" i="17"/>
  <c r="AQ350" i="17"/>
  <c r="Y350" i="17"/>
  <c r="J350" i="17"/>
  <c r="W350" i="17"/>
  <c r="T350" i="17"/>
  <c r="AP350" i="17"/>
  <c r="S350" i="17"/>
  <c r="AH350" i="17"/>
  <c r="AG350" i="17"/>
  <c r="X350" i="17"/>
  <c r="AO350" i="17"/>
  <c r="AI350" i="17"/>
  <c r="AE538" i="17"/>
  <c r="AM1028" i="17"/>
  <c r="AE1028" i="17"/>
  <c r="W1028" i="17"/>
  <c r="O1028" i="17"/>
  <c r="AO1028" i="17"/>
  <c r="AF1028" i="17"/>
  <c r="V1028" i="17"/>
  <c r="M1028" i="17"/>
  <c r="AN1028" i="17"/>
  <c r="AD1028" i="17"/>
  <c r="U1028" i="17"/>
  <c r="L1028" i="17"/>
  <c r="AL1028" i="17"/>
  <c r="AA1028" i="17"/>
  <c r="P1028" i="17"/>
  <c r="AK1028" i="17"/>
  <c r="Z1028" i="17"/>
  <c r="N1028" i="17"/>
  <c r="AI1028" i="17"/>
  <c r="S1028" i="17"/>
  <c r="AH1028" i="17"/>
  <c r="R1028" i="17"/>
  <c r="AR1028" i="17"/>
  <c r="X1028" i="17"/>
  <c r="AQ1028" i="17"/>
  <c r="T1028" i="17"/>
  <c r="AP1028" i="17"/>
  <c r="Q1028" i="17"/>
  <c r="AB1028" i="17"/>
  <c r="Y1028" i="17"/>
  <c r="K1028" i="17"/>
  <c r="AJ1028" i="17"/>
  <c r="AG1028" i="17"/>
  <c r="AC1028" i="17"/>
  <c r="J1028" i="17"/>
  <c r="M5109" i="16"/>
  <c r="E5109" i="16"/>
  <c r="L5109" i="16"/>
  <c r="T5109" i="16"/>
  <c r="G5109" i="16"/>
  <c r="P5109" i="16"/>
  <c r="F5109" i="16"/>
  <c r="O5109" i="16"/>
  <c r="K5109" i="16"/>
  <c r="J5109" i="16"/>
  <c r="I5109" i="16"/>
  <c r="N5109" i="16"/>
  <c r="M5117" i="16"/>
  <c r="E5117" i="16"/>
  <c r="L5117" i="16"/>
  <c r="T5117" i="16"/>
  <c r="G5117" i="16"/>
  <c r="P5117" i="16"/>
  <c r="F5117" i="16"/>
  <c r="O5117" i="16"/>
  <c r="I5117" i="16"/>
  <c r="H5117" i="16"/>
  <c r="K5117" i="16"/>
  <c r="J5117" i="16"/>
  <c r="P5138" i="16"/>
  <c r="H5138" i="16"/>
  <c r="O5138" i="16"/>
  <c r="G5138" i="16"/>
  <c r="T5138" i="16"/>
  <c r="E5138" i="16"/>
  <c r="N5138" i="16"/>
  <c r="M5138" i="16"/>
  <c r="J5138" i="16"/>
  <c r="I5138" i="16"/>
  <c r="F5138" i="16"/>
  <c r="L5138" i="16"/>
  <c r="L5246" i="16"/>
  <c r="K5246" i="16"/>
  <c r="H5246" i="16"/>
  <c r="T5246" i="16"/>
  <c r="G5246" i="16"/>
  <c r="P5246" i="16"/>
  <c r="F5246" i="16"/>
  <c r="E5246" i="16"/>
  <c r="M5246" i="16"/>
  <c r="J5246" i="16"/>
  <c r="I5246" i="16"/>
  <c r="L5302" i="16"/>
  <c r="K5302" i="16"/>
  <c r="H5302" i="16"/>
  <c r="T5302" i="16"/>
  <c r="G5302" i="16"/>
  <c r="P5302" i="16"/>
  <c r="F5302" i="16"/>
  <c r="M5302" i="16"/>
  <c r="J5302" i="16"/>
  <c r="I5302" i="16"/>
  <c r="O5302" i="16"/>
  <c r="N5302" i="16"/>
  <c r="E5302" i="16"/>
  <c r="M5373" i="16"/>
  <c r="E5373" i="16"/>
  <c r="L5373" i="16"/>
  <c r="T5373" i="16"/>
  <c r="G5373" i="16"/>
  <c r="P5373" i="16"/>
  <c r="F5373" i="16"/>
  <c r="O5373" i="16"/>
  <c r="I5373" i="16"/>
  <c r="H5373" i="16"/>
  <c r="K5373" i="16"/>
  <c r="J5373" i="16"/>
  <c r="M5413" i="16"/>
  <c r="E5413" i="16"/>
  <c r="L5413" i="16"/>
  <c r="T5413" i="16"/>
  <c r="G5413" i="16"/>
  <c r="P5413" i="16"/>
  <c r="F5413" i="16"/>
  <c r="O5413" i="16"/>
  <c r="J5413" i="16"/>
  <c r="I5413" i="16"/>
  <c r="H5413" i="16"/>
  <c r="M5461" i="16"/>
  <c r="E5461" i="16"/>
  <c r="L5461" i="16"/>
  <c r="T5461" i="16"/>
  <c r="G5461" i="16"/>
  <c r="P5461" i="16"/>
  <c r="F5461" i="16"/>
  <c r="O5461" i="16"/>
  <c r="H5461" i="16"/>
  <c r="K5461" i="16"/>
  <c r="J5461" i="16"/>
  <c r="I5461" i="16"/>
  <c r="M5573" i="16"/>
  <c r="E5573" i="16"/>
  <c r="L5573" i="16"/>
  <c r="K5573" i="16"/>
  <c r="G5573" i="16"/>
  <c r="T5573" i="16"/>
  <c r="F5573" i="16"/>
  <c r="P5573" i="16"/>
  <c r="H5573" i="16"/>
  <c r="N5573" i="16"/>
  <c r="J5573" i="16"/>
  <c r="I5573" i="16"/>
  <c r="L5670" i="16"/>
  <c r="K5670" i="16"/>
  <c r="J5670" i="16"/>
  <c r="P5670" i="16"/>
  <c r="E5670" i="16"/>
  <c r="O5670" i="16"/>
  <c r="N5670" i="16"/>
  <c r="F5670" i="16"/>
  <c r="H5670" i="16"/>
  <c r="G5670" i="16"/>
  <c r="N5724" i="16"/>
  <c r="F5724" i="16"/>
  <c r="M5724" i="16"/>
  <c r="E5724" i="16"/>
  <c r="L5724" i="16"/>
  <c r="G5724" i="16"/>
  <c r="T5724" i="16"/>
  <c r="P5724" i="16"/>
  <c r="J5724" i="16"/>
  <c r="I5724" i="16"/>
  <c r="H5724" i="16"/>
  <c r="O5724" i="16"/>
  <c r="K5724" i="16"/>
  <c r="M5829" i="16"/>
  <c r="E5829" i="16"/>
  <c r="L5829" i="16"/>
  <c r="K5829" i="16"/>
  <c r="G5829" i="16"/>
  <c r="T5829" i="16"/>
  <c r="F5829" i="16"/>
  <c r="P5829" i="16"/>
  <c r="H5829" i="16"/>
  <c r="I5829" i="16"/>
  <c r="N5897" i="16"/>
  <c r="F5897" i="16"/>
  <c r="P5897" i="16"/>
  <c r="G5897" i="16"/>
  <c r="O5897" i="16"/>
  <c r="E5897" i="16"/>
  <c r="M5897" i="16"/>
  <c r="H5897" i="16"/>
  <c r="L5897" i="16"/>
  <c r="K5897" i="16"/>
  <c r="J5897" i="16"/>
  <c r="N5913" i="16"/>
  <c r="F5913" i="16"/>
  <c r="I5913" i="16"/>
  <c r="T5913" i="16"/>
  <c r="H5913" i="16"/>
  <c r="P5913" i="16"/>
  <c r="G5913" i="16"/>
  <c r="O5913" i="16"/>
  <c r="E5913" i="16"/>
  <c r="L5913" i="16"/>
  <c r="K5913" i="16"/>
  <c r="J5913" i="16"/>
  <c r="M5922" i="16"/>
  <c r="E5922" i="16"/>
  <c r="P5922" i="16"/>
  <c r="G5922" i="16"/>
  <c r="O5922" i="16"/>
  <c r="F5922" i="16"/>
  <c r="N5922" i="16"/>
  <c r="K5922" i="16"/>
  <c r="J5922" i="16"/>
  <c r="I5922" i="16"/>
  <c r="L5922" i="16"/>
  <c r="H5922" i="16"/>
  <c r="V14" i="17"/>
  <c r="N14" i="17"/>
  <c r="AC14" i="17"/>
  <c r="U14" i="17"/>
  <c r="M14" i="17"/>
  <c r="X14" i="17"/>
  <c r="L14" i="17"/>
  <c r="W14" i="17"/>
  <c r="K14" i="17"/>
  <c r="T14" i="17"/>
  <c r="J14" i="17"/>
  <c r="S14" i="17"/>
  <c r="R14" i="17"/>
  <c r="Q14" i="17"/>
  <c r="Z14" i="17"/>
  <c r="Y14" i="17"/>
  <c r="AB14" i="17"/>
  <c r="AA14" i="17"/>
  <c r="AA24" i="17"/>
  <c r="X24" i="17"/>
  <c r="W24" i="17"/>
  <c r="L24" i="17"/>
  <c r="Z24" i="17"/>
  <c r="Y24" i="17"/>
  <c r="J24" i="17"/>
  <c r="R56" i="17"/>
  <c r="Q56" i="17"/>
  <c r="K93" i="17"/>
  <c r="AA168" i="17"/>
  <c r="W168" i="17"/>
  <c r="X168" i="17"/>
  <c r="L168" i="17"/>
  <c r="J168" i="17"/>
  <c r="AL380" i="17"/>
  <c r="AD380" i="17"/>
  <c r="V380" i="17"/>
  <c r="N380" i="17"/>
  <c r="AK380" i="17"/>
  <c r="AC380" i="17"/>
  <c r="U380" i="17"/>
  <c r="M380" i="17"/>
  <c r="AR380" i="17"/>
  <c r="AH380" i="17"/>
  <c r="X380" i="17"/>
  <c r="L380" i="17"/>
  <c r="AQ380" i="17"/>
  <c r="AG380" i="17"/>
  <c r="W380" i="17"/>
  <c r="K380" i="17"/>
  <c r="AP380" i="17"/>
  <c r="AF380" i="17"/>
  <c r="T380" i="17"/>
  <c r="J380" i="17"/>
  <c r="AI380" i="17"/>
  <c r="Q380" i="17"/>
  <c r="AE380" i="17"/>
  <c r="P380" i="17"/>
  <c r="AB380" i="17"/>
  <c r="O380" i="17"/>
  <c r="AA380" i="17"/>
  <c r="Z380" i="17"/>
  <c r="Y380" i="17"/>
  <c r="AJ380" i="17"/>
  <c r="S380" i="17"/>
  <c r="R380" i="17"/>
  <c r="AO380" i="17"/>
  <c r="AN380" i="17"/>
  <c r="AM380" i="17"/>
  <c r="AL446" i="17"/>
  <c r="AD446" i="17"/>
  <c r="V446" i="17"/>
  <c r="N446" i="17"/>
  <c r="AK446" i="17"/>
  <c r="AC446" i="17"/>
  <c r="U446" i="17"/>
  <c r="M446" i="17"/>
  <c r="AN446" i="17"/>
  <c r="AB446" i="17"/>
  <c r="R446" i="17"/>
  <c r="AM446" i="17"/>
  <c r="AA446" i="17"/>
  <c r="Q446" i="17"/>
  <c r="AJ446" i="17"/>
  <c r="Z446" i="17"/>
  <c r="P446" i="17"/>
  <c r="AG446" i="17"/>
  <c r="O446" i="17"/>
  <c r="AF446" i="17"/>
  <c r="L446" i="17"/>
  <c r="AR446" i="17"/>
  <c r="AE446" i="17"/>
  <c r="K446" i="17"/>
  <c r="AQ446" i="17"/>
  <c r="T446" i="17"/>
  <c r="AP446" i="17"/>
  <c r="S446" i="17"/>
  <c r="AO446" i="17"/>
  <c r="J446" i="17"/>
  <c r="AI446" i="17"/>
  <c r="AH446" i="17"/>
  <c r="X446" i="17"/>
  <c r="W446" i="17"/>
  <c r="Y446" i="17"/>
  <c r="AL456" i="17"/>
  <c r="AD456" i="17"/>
  <c r="V456" i="17"/>
  <c r="N456" i="17"/>
  <c r="AK456" i="17"/>
  <c r="AC456" i="17"/>
  <c r="U456" i="17"/>
  <c r="M456" i="17"/>
  <c r="AI456" i="17"/>
  <c r="Y456" i="17"/>
  <c r="O456" i="17"/>
  <c r="AR456" i="17"/>
  <c r="AH456" i="17"/>
  <c r="X456" i="17"/>
  <c r="L456" i="17"/>
  <c r="AQ456" i="17"/>
  <c r="AG456" i="17"/>
  <c r="W456" i="17"/>
  <c r="K456" i="17"/>
  <c r="AF456" i="17"/>
  <c r="Q456" i="17"/>
  <c r="AE456" i="17"/>
  <c r="P456" i="17"/>
  <c r="AB456" i="17"/>
  <c r="J456" i="17"/>
  <c r="AM456" i="17"/>
  <c r="AJ456" i="17"/>
  <c r="AA456" i="17"/>
  <c r="T456" i="17"/>
  <c r="S456" i="17"/>
  <c r="R456" i="17"/>
  <c r="AP456" i="17"/>
  <c r="AO456" i="17"/>
  <c r="AL462" i="17"/>
  <c r="AD462" i="17"/>
  <c r="V462" i="17"/>
  <c r="N462" i="17"/>
  <c r="AK462" i="17"/>
  <c r="AC462" i="17"/>
  <c r="U462" i="17"/>
  <c r="M462" i="17"/>
  <c r="AN462" i="17"/>
  <c r="AB462" i="17"/>
  <c r="R462" i="17"/>
  <c r="AM462" i="17"/>
  <c r="AA462" i="17"/>
  <c r="Q462" i="17"/>
  <c r="AJ462" i="17"/>
  <c r="Z462" i="17"/>
  <c r="P462" i="17"/>
  <c r="AG462" i="17"/>
  <c r="O462" i="17"/>
  <c r="AF462" i="17"/>
  <c r="L462" i="17"/>
  <c r="AR462" i="17"/>
  <c r="AE462" i="17"/>
  <c r="K462" i="17"/>
  <c r="W462" i="17"/>
  <c r="AQ462" i="17"/>
  <c r="T462" i="17"/>
  <c r="AP462" i="17"/>
  <c r="S462" i="17"/>
  <c r="AO462" i="17"/>
  <c r="AI462" i="17"/>
  <c r="AH462" i="17"/>
  <c r="X462" i="17"/>
  <c r="J462" i="17"/>
  <c r="Y462" i="17"/>
  <c r="AL536" i="17"/>
  <c r="AD536" i="17"/>
  <c r="V536" i="17"/>
  <c r="N536" i="17"/>
  <c r="AK536" i="17"/>
  <c r="AC536" i="17"/>
  <c r="U536" i="17"/>
  <c r="M536" i="17"/>
  <c r="AI536" i="17"/>
  <c r="Y536" i="17"/>
  <c r="O536" i="17"/>
  <c r="AR536" i="17"/>
  <c r="AH536" i="17"/>
  <c r="X536" i="17"/>
  <c r="L536" i="17"/>
  <c r="AQ536" i="17"/>
  <c r="AG536" i="17"/>
  <c r="W536" i="17"/>
  <c r="K536" i="17"/>
  <c r="AF536" i="17"/>
  <c r="Q536" i="17"/>
  <c r="AE536" i="17"/>
  <c r="P536" i="17"/>
  <c r="AB536" i="17"/>
  <c r="J536" i="17"/>
  <c r="Z536" i="17"/>
  <c r="T536" i="17"/>
  <c r="AP536" i="17"/>
  <c r="S536" i="17"/>
  <c r="AN536" i="17"/>
  <c r="AM536" i="17"/>
  <c r="AJ536" i="17"/>
  <c r="AO536" i="17"/>
  <c r="AN1056" i="17"/>
  <c r="AF1056" i="17"/>
  <c r="X1056" i="17"/>
  <c r="P1056" i="17"/>
  <c r="AM1056" i="17"/>
  <c r="AE1056" i="17"/>
  <c r="W1056" i="17"/>
  <c r="O1056" i="17"/>
  <c r="AI1056" i="17"/>
  <c r="Y1056" i="17"/>
  <c r="M1056" i="17"/>
  <c r="AR1056" i="17"/>
  <c r="AH1056" i="17"/>
  <c r="V1056" i="17"/>
  <c r="L1056" i="17"/>
  <c r="AP1056" i="17"/>
  <c r="AB1056" i="17"/>
  <c r="N1056" i="17"/>
  <c r="AO1056" i="17"/>
  <c r="AA1056" i="17"/>
  <c r="K1056" i="17"/>
  <c r="AL1056" i="17"/>
  <c r="T1056" i="17"/>
  <c r="AK1056" i="17"/>
  <c r="S1056" i="17"/>
  <c r="U1056" i="17"/>
  <c r="R1056" i="17"/>
  <c r="AQ1056" i="17"/>
  <c r="Q1056" i="17"/>
  <c r="AC1056" i="17"/>
  <c r="Z1056" i="17"/>
  <c r="J1056" i="17"/>
  <c r="AJ1056" i="17"/>
  <c r="AG1056" i="17"/>
  <c r="AD1056" i="17"/>
  <c r="AL1509" i="17"/>
  <c r="AD1509" i="17"/>
  <c r="V1509" i="17"/>
  <c r="N1509" i="17"/>
  <c r="AK1509" i="17"/>
  <c r="AC1509" i="17"/>
  <c r="U1509" i="17"/>
  <c r="M1509" i="17"/>
  <c r="AN1509" i="17"/>
  <c r="AB1509" i="17"/>
  <c r="R1509" i="17"/>
  <c r="AM1509" i="17"/>
  <c r="AA1509" i="17"/>
  <c r="Q1509" i="17"/>
  <c r="AG1509" i="17"/>
  <c r="S1509" i="17"/>
  <c r="AR1509" i="17"/>
  <c r="AF1509" i="17"/>
  <c r="P1509" i="17"/>
  <c r="AJ1509" i="17"/>
  <c r="T1509" i="17"/>
  <c r="AI1509" i="17"/>
  <c r="O1509" i="17"/>
  <c r="AP1509" i="17"/>
  <c r="L1509" i="17"/>
  <c r="AO1509" i="17"/>
  <c r="K1509" i="17"/>
  <c r="AH1509" i="17"/>
  <c r="J1509" i="17"/>
  <c r="AQ1509" i="17"/>
  <c r="AE1509" i="17"/>
  <c r="Z1509" i="17"/>
  <c r="Y1509" i="17"/>
  <c r="X1509" i="17"/>
  <c r="P5426" i="16"/>
  <c r="H5426" i="16"/>
  <c r="O5426" i="16"/>
  <c r="G5426" i="16"/>
  <c r="T5426" i="16"/>
  <c r="E5426" i="16"/>
  <c r="N5426" i="16"/>
  <c r="M5426" i="16"/>
  <c r="K5426" i="16"/>
  <c r="J5426" i="16"/>
  <c r="I5426" i="16"/>
  <c r="L5426" i="16"/>
  <c r="F5426" i="16"/>
  <c r="P5434" i="16"/>
  <c r="H5434" i="16"/>
  <c r="O5434" i="16"/>
  <c r="G5434" i="16"/>
  <c r="T5434" i="16"/>
  <c r="E5434" i="16"/>
  <c r="N5434" i="16"/>
  <c r="M5434" i="16"/>
  <c r="F5434" i="16"/>
  <c r="K5434" i="16"/>
  <c r="J5434" i="16"/>
  <c r="I5434" i="16"/>
  <c r="O5475" i="16"/>
  <c r="G5475" i="16"/>
  <c r="N5475" i="16"/>
  <c r="F5475" i="16"/>
  <c r="J5475" i="16"/>
  <c r="I5475" i="16"/>
  <c r="H5475" i="16"/>
  <c r="E5475" i="16"/>
  <c r="K5475" i="16"/>
  <c r="L5502" i="16"/>
  <c r="K5502" i="16"/>
  <c r="H5502" i="16"/>
  <c r="T5502" i="16"/>
  <c r="G5502" i="16"/>
  <c r="P5502" i="16"/>
  <c r="F5502" i="16"/>
  <c r="E5502" i="16"/>
  <c r="M5502" i="16"/>
  <c r="J5502" i="16"/>
  <c r="I5502" i="16"/>
  <c r="L5518" i="16"/>
  <c r="K5518" i="16"/>
  <c r="H5518" i="16"/>
  <c r="T5518" i="16"/>
  <c r="G5518" i="16"/>
  <c r="P5518" i="16"/>
  <c r="F5518" i="16"/>
  <c r="J5518" i="16"/>
  <c r="I5518" i="16"/>
  <c r="E5518" i="16"/>
  <c r="O5518" i="16"/>
  <c r="N5518" i="16"/>
  <c r="M5557" i="16"/>
  <c r="E5557" i="16"/>
  <c r="L5557" i="16"/>
  <c r="K5557" i="16"/>
  <c r="P5557" i="16"/>
  <c r="O5557" i="16"/>
  <c r="N5557" i="16"/>
  <c r="T5557" i="16"/>
  <c r="G5557" i="16"/>
  <c r="F5557" i="16"/>
  <c r="O5595" i="16"/>
  <c r="G5595" i="16"/>
  <c r="N5595" i="16"/>
  <c r="F5595" i="16"/>
  <c r="M5595" i="16"/>
  <c r="E5595" i="16"/>
  <c r="K5595" i="16"/>
  <c r="J5595" i="16"/>
  <c r="I5595" i="16"/>
  <c r="P5595" i="16"/>
  <c r="L5595" i="16"/>
  <c r="H5595" i="16"/>
  <c r="M5621" i="16"/>
  <c r="E5621" i="16"/>
  <c r="L5621" i="16"/>
  <c r="K5621" i="16"/>
  <c r="P5621" i="16"/>
  <c r="O5621" i="16"/>
  <c r="N5621" i="16"/>
  <c r="I5621" i="16"/>
  <c r="H5621" i="16"/>
  <c r="G5621" i="16"/>
  <c r="F5621" i="16"/>
  <c r="O5651" i="16"/>
  <c r="G5651" i="16"/>
  <c r="N5651" i="16"/>
  <c r="F5651" i="16"/>
  <c r="M5651" i="16"/>
  <c r="E5651" i="16"/>
  <c r="J5651" i="16"/>
  <c r="I5651" i="16"/>
  <c r="H5651" i="16"/>
  <c r="P5651" i="16"/>
  <c r="L5651" i="16"/>
  <c r="K5651" i="16"/>
  <c r="L5758" i="16"/>
  <c r="K5758" i="16"/>
  <c r="J5758" i="16"/>
  <c r="H5758" i="16"/>
  <c r="G5758" i="16"/>
  <c r="T5758" i="16"/>
  <c r="F5758" i="16"/>
  <c r="M5758" i="16"/>
  <c r="I5758" i="16"/>
  <c r="E5758" i="16"/>
  <c r="P5758" i="16"/>
  <c r="O5758" i="16"/>
  <c r="P5810" i="16"/>
  <c r="H5810" i="16"/>
  <c r="O5810" i="16"/>
  <c r="G5810" i="16"/>
  <c r="N5810" i="16"/>
  <c r="F5810" i="16"/>
  <c r="I5810" i="16"/>
  <c r="E5810" i="16"/>
  <c r="M5810" i="16"/>
  <c r="L5810" i="16"/>
  <c r="K5810" i="16"/>
  <c r="N5812" i="16"/>
  <c r="F5812" i="16"/>
  <c r="M5812" i="16"/>
  <c r="E5812" i="16"/>
  <c r="L5812" i="16"/>
  <c r="J5812" i="16"/>
  <c r="I5812" i="16"/>
  <c r="H5812" i="16"/>
  <c r="G5812" i="16"/>
  <c r="M5813" i="16"/>
  <c r="E5813" i="16"/>
  <c r="L5813" i="16"/>
  <c r="K5813" i="16"/>
  <c r="P5813" i="16"/>
  <c r="O5813" i="16"/>
  <c r="N5813" i="16"/>
  <c r="T5813" i="16"/>
  <c r="J5813" i="16"/>
  <c r="O5819" i="16"/>
  <c r="G5819" i="16"/>
  <c r="N5819" i="16"/>
  <c r="F5819" i="16"/>
  <c r="M5819" i="16"/>
  <c r="E5819" i="16"/>
  <c r="T5819" i="16"/>
  <c r="P5819" i="16"/>
  <c r="J5819" i="16"/>
  <c r="I5819" i="16"/>
  <c r="H5819" i="16"/>
  <c r="M5821" i="16"/>
  <c r="E5821" i="16"/>
  <c r="L5821" i="16"/>
  <c r="K5821" i="16"/>
  <c r="T5821" i="16"/>
  <c r="F5821" i="16"/>
  <c r="P5821" i="16"/>
  <c r="O5821" i="16"/>
  <c r="N5821" i="16"/>
  <c r="O5827" i="16"/>
  <c r="G5827" i="16"/>
  <c r="N5827" i="16"/>
  <c r="F5827" i="16"/>
  <c r="M5827" i="16"/>
  <c r="E5827" i="16"/>
  <c r="H5827" i="16"/>
  <c r="T5827" i="16"/>
  <c r="K5827" i="16"/>
  <c r="J5827" i="16"/>
  <c r="I5827" i="16"/>
  <c r="P5975" i="16"/>
  <c r="H5975" i="16"/>
  <c r="O5975" i="16"/>
  <c r="G5975" i="16"/>
  <c r="J5975" i="16"/>
  <c r="I5975" i="16"/>
  <c r="F5975" i="16"/>
  <c r="L5975" i="16"/>
  <c r="K5975" i="16"/>
  <c r="E5975" i="16"/>
  <c r="M5975" i="16"/>
  <c r="P5983" i="16"/>
  <c r="H5983" i="16"/>
  <c r="O5983" i="16"/>
  <c r="G5983" i="16"/>
  <c r="J5983" i="16"/>
  <c r="I5983" i="16"/>
  <c r="F5983" i="16"/>
  <c r="M5983" i="16"/>
  <c r="L5983" i="16"/>
  <c r="K5983" i="16"/>
  <c r="V64" i="17"/>
  <c r="N64" i="17"/>
  <c r="AC64" i="17"/>
  <c r="U64" i="17"/>
  <c r="M64" i="17"/>
  <c r="AE64" i="17" s="1"/>
  <c r="Y64" i="17"/>
  <c r="X64" i="17"/>
  <c r="L64" i="17"/>
  <c r="W64" i="17"/>
  <c r="K64" i="17"/>
  <c r="T64" i="17"/>
  <c r="S64" i="17"/>
  <c r="R64" i="17"/>
  <c r="AG64" i="17" s="1"/>
  <c r="Z64" i="17"/>
  <c r="Q64" i="17"/>
  <c r="AO64" i="17"/>
  <c r="V80" i="17"/>
  <c r="N80" i="17"/>
  <c r="AC80" i="17"/>
  <c r="U80" i="17"/>
  <c r="AQ80" i="17" s="1"/>
  <c r="M80" i="17"/>
  <c r="AD80" i="17" s="1"/>
  <c r="Y80" i="17"/>
  <c r="X80" i="17"/>
  <c r="L80" i="17"/>
  <c r="W80" i="17"/>
  <c r="K80" i="17"/>
  <c r="S80" i="17"/>
  <c r="R80" i="17"/>
  <c r="AG80" i="17" s="1"/>
  <c r="Q80" i="17"/>
  <c r="AB80" i="17"/>
  <c r="AA80" i="17"/>
  <c r="Z80" i="17"/>
  <c r="T80" i="17"/>
  <c r="AL208" i="17"/>
  <c r="AD208" i="17"/>
  <c r="V208" i="17"/>
  <c r="N208" i="17"/>
  <c r="AK208" i="17"/>
  <c r="AC208" i="17"/>
  <c r="U208" i="17"/>
  <c r="M208" i="17"/>
  <c r="AI208" i="17"/>
  <c r="Y208" i="17"/>
  <c r="O208" i="17"/>
  <c r="AR208" i="17"/>
  <c r="AH208" i="17"/>
  <c r="X208" i="17"/>
  <c r="L208" i="17"/>
  <c r="AQ208" i="17"/>
  <c r="AG208" i="17"/>
  <c r="W208" i="17"/>
  <c r="K208" i="17"/>
  <c r="AO208" i="17"/>
  <c r="Z208" i="17"/>
  <c r="AN208" i="17"/>
  <c r="T208" i="17"/>
  <c r="AM208" i="17"/>
  <c r="S208" i="17"/>
  <c r="AB208" i="17"/>
  <c r="AA208" i="17"/>
  <c r="R208" i="17"/>
  <c r="P208" i="17"/>
  <c r="J208" i="17"/>
  <c r="Q208" i="17"/>
  <c r="AL248" i="17"/>
  <c r="AD248" i="17"/>
  <c r="V248" i="17"/>
  <c r="N248" i="17"/>
  <c r="AK248" i="17"/>
  <c r="AC248" i="17"/>
  <c r="U248" i="17"/>
  <c r="M248" i="17"/>
  <c r="AQ248" i="17"/>
  <c r="AG248" i="17"/>
  <c r="W248" i="17"/>
  <c r="K248" i="17"/>
  <c r="AP248" i="17"/>
  <c r="AF248" i="17"/>
  <c r="T248" i="17"/>
  <c r="J248" i="17"/>
  <c r="AO248" i="17"/>
  <c r="AE248" i="17"/>
  <c r="AB248" i="17"/>
  <c r="P248" i="17"/>
  <c r="AA248" i="17"/>
  <c r="O248" i="17"/>
  <c r="AR248" i="17"/>
  <c r="Z248" i="17"/>
  <c r="L248" i="17"/>
  <c r="Y248" i="17"/>
  <c r="X248" i="17"/>
  <c r="S248" i="17"/>
  <c r="AI248" i="17"/>
  <c r="AH248" i="17"/>
  <c r="R248" i="17"/>
  <c r="AN248" i="17"/>
  <c r="AM248" i="17"/>
  <c r="AJ248" i="17"/>
  <c r="AL382" i="17"/>
  <c r="AD382" i="17"/>
  <c r="V382" i="17"/>
  <c r="N382" i="17"/>
  <c r="AK382" i="17"/>
  <c r="AC382" i="17"/>
  <c r="U382" i="17"/>
  <c r="M382" i="17"/>
  <c r="AN382" i="17"/>
  <c r="AB382" i="17"/>
  <c r="R382" i="17"/>
  <c r="AM382" i="17"/>
  <c r="AA382" i="17"/>
  <c r="Q382" i="17"/>
  <c r="AJ382" i="17"/>
  <c r="Z382" i="17"/>
  <c r="P382" i="17"/>
  <c r="AF382" i="17"/>
  <c r="L382" i="17"/>
  <c r="AR382" i="17"/>
  <c r="AE382" i="17"/>
  <c r="K382" i="17"/>
  <c r="AQ382" i="17"/>
  <c r="Y382" i="17"/>
  <c r="J382" i="17"/>
  <c r="T382" i="17"/>
  <c r="AP382" i="17"/>
  <c r="S382" i="17"/>
  <c r="AO382" i="17"/>
  <c r="O382" i="17"/>
  <c r="AH382" i="17"/>
  <c r="AG382" i="17"/>
  <c r="X382" i="17"/>
  <c r="AI382" i="17"/>
  <c r="W382" i="17"/>
  <c r="Z456" i="17"/>
  <c r="R536" i="17"/>
  <c r="AL584" i="17"/>
  <c r="AD584" i="17"/>
  <c r="V584" i="17"/>
  <c r="N584" i="17"/>
  <c r="AK584" i="17"/>
  <c r="AC584" i="17"/>
  <c r="U584" i="17"/>
  <c r="M584" i="17"/>
  <c r="AI584" i="17"/>
  <c r="Y584" i="17"/>
  <c r="O584" i="17"/>
  <c r="AR584" i="17"/>
  <c r="AH584" i="17"/>
  <c r="X584" i="17"/>
  <c r="L584" i="17"/>
  <c r="AQ584" i="17"/>
  <c r="AG584" i="17"/>
  <c r="W584" i="17"/>
  <c r="K584" i="17"/>
  <c r="AF584" i="17"/>
  <c r="Q584" i="17"/>
  <c r="AE584" i="17"/>
  <c r="P584" i="17"/>
  <c r="AB584" i="17"/>
  <c r="J584" i="17"/>
  <c r="Z584" i="17"/>
  <c r="T584" i="17"/>
  <c r="AP584" i="17"/>
  <c r="S584" i="17"/>
  <c r="AO584" i="17"/>
  <c r="AN584" i="17"/>
  <c r="AM584" i="17"/>
  <c r="AA584" i="17"/>
  <c r="R584" i="17"/>
  <c r="AJ584" i="17"/>
  <c r="AM794" i="17"/>
  <c r="AE794" i="17"/>
  <c r="W794" i="17"/>
  <c r="O794" i="17"/>
  <c r="AR794" i="17"/>
  <c r="AI794" i="17"/>
  <c r="Z794" i="17"/>
  <c r="Q794" i="17"/>
  <c r="AQ794" i="17"/>
  <c r="AH794" i="17"/>
  <c r="Y794" i="17"/>
  <c r="P794" i="17"/>
  <c r="AJ794" i="17"/>
  <c r="V794" i="17"/>
  <c r="K794" i="17"/>
  <c r="AG794" i="17"/>
  <c r="U794" i="17"/>
  <c r="J794" i="17"/>
  <c r="AL794" i="17"/>
  <c r="T794" i="17"/>
  <c r="AK794" i="17"/>
  <c r="S794" i="17"/>
  <c r="AO794" i="17"/>
  <c r="R794" i="17"/>
  <c r="AN794" i="17"/>
  <c r="N794" i="17"/>
  <c r="AF794" i="17"/>
  <c r="M794" i="17"/>
  <c r="AA794" i="17"/>
  <c r="X794" i="17"/>
  <c r="L794" i="17"/>
  <c r="AP794" i="17"/>
  <c r="AD794" i="17"/>
  <c r="AC794" i="17"/>
  <c r="AR1231" i="17"/>
  <c r="AJ1231" i="17"/>
  <c r="AB1231" i="17"/>
  <c r="T1231" i="17"/>
  <c r="L1231" i="17"/>
  <c r="AQ1231" i="17"/>
  <c r="AI1231" i="17"/>
  <c r="AA1231" i="17"/>
  <c r="S1231" i="17"/>
  <c r="K1231" i="17"/>
  <c r="AH1231" i="17"/>
  <c r="X1231" i="17"/>
  <c r="N1231" i="17"/>
  <c r="AG1231" i="17"/>
  <c r="W1231" i="17"/>
  <c r="M1231" i="17"/>
  <c r="AE1231" i="17"/>
  <c r="Q1231" i="17"/>
  <c r="AP1231" i="17"/>
  <c r="AD1231" i="17"/>
  <c r="P1231" i="17"/>
  <c r="AO1231" i="17"/>
  <c r="Y1231" i="17"/>
  <c r="AN1231" i="17"/>
  <c r="V1231" i="17"/>
  <c r="R1231" i="17"/>
  <c r="AM1231" i="17"/>
  <c r="O1231" i="17"/>
  <c r="AL1231" i="17"/>
  <c r="J1231" i="17"/>
  <c r="AK1231" i="17"/>
  <c r="AF1231" i="17"/>
  <c r="AC1231" i="17"/>
  <c r="Z1231" i="17"/>
  <c r="U1231" i="17"/>
  <c r="AL1487" i="17"/>
  <c r="AD1487" i="17"/>
  <c r="V1487" i="17"/>
  <c r="N1487" i="17"/>
  <c r="AK1487" i="17"/>
  <c r="AC1487" i="17"/>
  <c r="U1487" i="17"/>
  <c r="M1487" i="17"/>
  <c r="AR1487" i="17"/>
  <c r="AH1487" i="17"/>
  <c r="X1487" i="17"/>
  <c r="L1487" i="17"/>
  <c r="AQ1487" i="17"/>
  <c r="AG1487" i="17"/>
  <c r="W1487" i="17"/>
  <c r="K1487" i="17"/>
  <c r="AE1487" i="17"/>
  <c r="Q1487" i="17"/>
  <c r="AP1487" i="17"/>
  <c r="AB1487" i="17"/>
  <c r="P1487" i="17"/>
  <c r="AI1487" i="17"/>
  <c r="O1487" i="17"/>
  <c r="AF1487" i="17"/>
  <c r="J1487" i="17"/>
  <c r="AO1487" i="17"/>
  <c r="S1487" i="17"/>
  <c r="AN1487" i="17"/>
  <c r="R1487" i="17"/>
  <c r="AM1487" i="17"/>
  <c r="AA1487" i="17"/>
  <c r="Z1487" i="17"/>
  <c r="Y1487" i="17"/>
  <c r="AJ1487" i="17"/>
  <c r="T1487" i="17"/>
  <c r="W1509" i="17"/>
  <c r="AL1593" i="17"/>
  <c r="AD1593" i="17"/>
  <c r="V1593" i="17"/>
  <c r="N1593" i="17"/>
  <c r="AK1593" i="17"/>
  <c r="AC1593" i="17"/>
  <c r="U1593" i="17"/>
  <c r="M1593" i="17"/>
  <c r="AN1593" i="17"/>
  <c r="AB1593" i="17"/>
  <c r="R1593" i="17"/>
  <c r="AM1593" i="17"/>
  <c r="AA1593" i="17"/>
  <c r="Q1593" i="17"/>
  <c r="AQ1593" i="17"/>
  <c r="AE1593" i="17"/>
  <c r="O1593" i="17"/>
  <c r="AP1593" i="17"/>
  <c r="Z1593" i="17"/>
  <c r="L1593" i="17"/>
  <c r="AO1593" i="17"/>
  <c r="W1593" i="17"/>
  <c r="AJ1593" i="17"/>
  <c r="T1593" i="17"/>
  <c r="Y1593" i="17"/>
  <c r="X1593" i="17"/>
  <c r="S1593" i="17"/>
  <c r="AH1593" i="17"/>
  <c r="AG1593" i="17"/>
  <c r="AF1593" i="17"/>
  <c r="AR1593" i="17"/>
  <c r="AI1593" i="17"/>
  <c r="P1593" i="17"/>
  <c r="K1593" i="17"/>
  <c r="J1593" i="17"/>
  <c r="N4972" i="16"/>
  <c r="F4972" i="16"/>
  <c r="M4972" i="16"/>
  <c r="L4972" i="16"/>
  <c r="K4972" i="16"/>
  <c r="E4972" i="16"/>
  <c r="T4972" i="16"/>
  <c r="P4972" i="16"/>
  <c r="G4972" i="16"/>
  <c r="L4974" i="16"/>
  <c r="O4974" i="16"/>
  <c r="F4974" i="16"/>
  <c r="N4974" i="16"/>
  <c r="E4974" i="16"/>
  <c r="M4974" i="16"/>
  <c r="H4974" i="16"/>
  <c r="G4974" i="16"/>
  <c r="T4974" i="16"/>
  <c r="O4979" i="16"/>
  <c r="G4979" i="16"/>
  <c r="I4979" i="16"/>
  <c r="T4979" i="16"/>
  <c r="H4979" i="16"/>
  <c r="P4979" i="16"/>
  <c r="F4979" i="16"/>
  <c r="E4979" i="16"/>
  <c r="N4979" i="16"/>
  <c r="K5023" i="16"/>
  <c r="M5023" i="16"/>
  <c r="L5023" i="16"/>
  <c r="J5023" i="16"/>
  <c r="P5023" i="16"/>
  <c r="O5023" i="16"/>
  <c r="N5023" i="16"/>
  <c r="F5023" i="16"/>
  <c r="E5023" i="16"/>
  <c r="J5024" i="16"/>
  <c r="M5024" i="16"/>
  <c r="L5024" i="16"/>
  <c r="K5024" i="16"/>
  <c r="G5024" i="16"/>
  <c r="F5024" i="16"/>
  <c r="T5024" i="16"/>
  <c r="E5024" i="16"/>
  <c r="P5024" i="16"/>
  <c r="O5075" i="16"/>
  <c r="G5075" i="16"/>
  <c r="N5075" i="16"/>
  <c r="F5075" i="16"/>
  <c r="J5075" i="16"/>
  <c r="I5075" i="16"/>
  <c r="H5075" i="16"/>
  <c r="K5075" i="16"/>
  <c r="E5075" i="16"/>
  <c r="M5075" i="16"/>
  <c r="L5075" i="16"/>
  <c r="L5078" i="16"/>
  <c r="K5078" i="16"/>
  <c r="H5078" i="16"/>
  <c r="T5078" i="16"/>
  <c r="G5078" i="16"/>
  <c r="P5078" i="16"/>
  <c r="F5078" i="16"/>
  <c r="J5078" i="16"/>
  <c r="I5078" i="16"/>
  <c r="E5078" i="16"/>
  <c r="M5157" i="16"/>
  <c r="E5157" i="16"/>
  <c r="L5157" i="16"/>
  <c r="T5157" i="16"/>
  <c r="G5157" i="16"/>
  <c r="P5157" i="16"/>
  <c r="F5157" i="16"/>
  <c r="O5157" i="16"/>
  <c r="J5157" i="16"/>
  <c r="I5157" i="16"/>
  <c r="H5157" i="16"/>
  <c r="O5171" i="16"/>
  <c r="G5171" i="16"/>
  <c r="N5171" i="16"/>
  <c r="F5171" i="16"/>
  <c r="J5171" i="16"/>
  <c r="I5171" i="16"/>
  <c r="H5171" i="16"/>
  <c r="K5171" i="16"/>
  <c r="E5171" i="16"/>
  <c r="T5171" i="16"/>
  <c r="P5171" i="16"/>
  <c r="M5171" i="16"/>
  <c r="L5286" i="16"/>
  <c r="K5286" i="16"/>
  <c r="H5286" i="16"/>
  <c r="T5286" i="16"/>
  <c r="G5286" i="16"/>
  <c r="P5286" i="16"/>
  <c r="F5286" i="16"/>
  <c r="I5286" i="16"/>
  <c r="E5286" i="16"/>
  <c r="M5286" i="16"/>
  <c r="J5286" i="16"/>
  <c r="O5307" i="16"/>
  <c r="G5307" i="16"/>
  <c r="N5307" i="16"/>
  <c r="F5307" i="16"/>
  <c r="J5307" i="16"/>
  <c r="I5307" i="16"/>
  <c r="H5307" i="16"/>
  <c r="T5307" i="16"/>
  <c r="L5307" i="16"/>
  <c r="K5307" i="16"/>
  <c r="E5307" i="16"/>
  <c r="M5421" i="16"/>
  <c r="E5421" i="16"/>
  <c r="L5421" i="16"/>
  <c r="T5421" i="16"/>
  <c r="G5421" i="16"/>
  <c r="P5421" i="16"/>
  <c r="F5421" i="16"/>
  <c r="O5421" i="16"/>
  <c r="K5421" i="16"/>
  <c r="J5421" i="16"/>
  <c r="I5421" i="16"/>
  <c r="O5467" i="16"/>
  <c r="G5467" i="16"/>
  <c r="N5467" i="16"/>
  <c r="F5467" i="16"/>
  <c r="J5467" i="16"/>
  <c r="I5467" i="16"/>
  <c r="H5467" i="16"/>
  <c r="M5467" i="16"/>
  <c r="L5467" i="16"/>
  <c r="K5467" i="16"/>
  <c r="T5467" i="16"/>
  <c r="P5467" i="16"/>
  <c r="E5467" i="16"/>
  <c r="P5474" i="16"/>
  <c r="H5474" i="16"/>
  <c r="O5474" i="16"/>
  <c r="G5474" i="16"/>
  <c r="T5474" i="16"/>
  <c r="E5474" i="16"/>
  <c r="N5474" i="16"/>
  <c r="M5474" i="16"/>
  <c r="I5474" i="16"/>
  <c r="F5474" i="16"/>
  <c r="L5542" i="16"/>
  <c r="K5542" i="16"/>
  <c r="H5542" i="16"/>
  <c r="T5542" i="16"/>
  <c r="G5542" i="16"/>
  <c r="P5542" i="16"/>
  <c r="F5542" i="16"/>
  <c r="I5542" i="16"/>
  <c r="E5542" i="16"/>
  <c r="M5542" i="16"/>
  <c r="J5542" i="16"/>
  <c r="P5602" i="16"/>
  <c r="H5602" i="16"/>
  <c r="O5602" i="16"/>
  <c r="G5602" i="16"/>
  <c r="N5602" i="16"/>
  <c r="F5602" i="16"/>
  <c r="T5602" i="16"/>
  <c r="M5602" i="16"/>
  <c r="I5602" i="16"/>
  <c r="E5602" i="16"/>
  <c r="L5602" i="16"/>
  <c r="K5602" i="16"/>
  <c r="J5602" i="16"/>
  <c r="P5618" i="16"/>
  <c r="H5618" i="16"/>
  <c r="O5618" i="16"/>
  <c r="G5618" i="16"/>
  <c r="N5618" i="16"/>
  <c r="F5618" i="16"/>
  <c r="I5618" i="16"/>
  <c r="E5618" i="16"/>
  <c r="K5618" i="16"/>
  <c r="J5618" i="16"/>
  <c r="N5668" i="16"/>
  <c r="F5668" i="16"/>
  <c r="M5668" i="16"/>
  <c r="E5668" i="16"/>
  <c r="L5668" i="16"/>
  <c r="H5668" i="16"/>
  <c r="G5668" i="16"/>
  <c r="T5668" i="16"/>
  <c r="O5668" i="16"/>
  <c r="K5668" i="16"/>
  <c r="J5668" i="16"/>
  <c r="P5668" i="16"/>
  <c r="I5668" i="16"/>
  <c r="P5698" i="16"/>
  <c r="H5698" i="16"/>
  <c r="O5698" i="16"/>
  <c r="G5698" i="16"/>
  <c r="N5698" i="16"/>
  <c r="F5698" i="16"/>
  <c r="K5698" i="16"/>
  <c r="J5698" i="16"/>
  <c r="I5698" i="16"/>
  <c r="M5698" i="16"/>
  <c r="L5698" i="16"/>
  <c r="E5698" i="16"/>
  <c r="T5698" i="16"/>
  <c r="N5740" i="16"/>
  <c r="F5740" i="16"/>
  <c r="M5740" i="16"/>
  <c r="E5740" i="16"/>
  <c r="L5740" i="16"/>
  <c r="I5740" i="16"/>
  <c r="H5740" i="16"/>
  <c r="G5740" i="16"/>
  <c r="K5740" i="16"/>
  <c r="J5740" i="16"/>
  <c r="M5781" i="16"/>
  <c r="E5781" i="16"/>
  <c r="L5781" i="16"/>
  <c r="K5781" i="16"/>
  <c r="I5781" i="16"/>
  <c r="H5781" i="16"/>
  <c r="G5781" i="16"/>
  <c r="J5781" i="16"/>
  <c r="F5781" i="16"/>
  <c r="T5781" i="16"/>
  <c r="P5781" i="16"/>
  <c r="O5781" i="16"/>
  <c r="L5870" i="16"/>
  <c r="K5870" i="16"/>
  <c r="J5870" i="16"/>
  <c r="T5870" i="16"/>
  <c r="F5870" i="16"/>
  <c r="P5870" i="16"/>
  <c r="E5870" i="16"/>
  <c r="O5870" i="16"/>
  <c r="I5870" i="16"/>
  <c r="H5870" i="16"/>
  <c r="G5870" i="16"/>
  <c r="P5874" i="16"/>
  <c r="H5874" i="16"/>
  <c r="O5874" i="16"/>
  <c r="G5874" i="16"/>
  <c r="N5874" i="16"/>
  <c r="F5874" i="16"/>
  <c r="I5874" i="16"/>
  <c r="E5874" i="16"/>
  <c r="T5874" i="16"/>
  <c r="L5878" i="16"/>
  <c r="K5878" i="16"/>
  <c r="J5878" i="16"/>
  <c r="G5878" i="16"/>
  <c r="T5878" i="16"/>
  <c r="F5878" i="16"/>
  <c r="P5878" i="16"/>
  <c r="E5878" i="16"/>
  <c r="I5878" i="16"/>
  <c r="H5878" i="16"/>
  <c r="R4" i="17"/>
  <c r="AP4" i="17" s="1"/>
  <c r="R8" i="17"/>
  <c r="Q8" i="17"/>
  <c r="J64" i="17"/>
  <c r="J80" i="17"/>
  <c r="V110" i="17"/>
  <c r="N110" i="17"/>
  <c r="AC110" i="17"/>
  <c r="U110" i="17"/>
  <c r="M110" i="17"/>
  <c r="AD110" i="17" s="1"/>
  <c r="X110" i="17"/>
  <c r="L110" i="17"/>
  <c r="W110" i="17"/>
  <c r="K110" i="17"/>
  <c r="T110" i="17"/>
  <c r="J110" i="17"/>
  <c r="AO110" i="17"/>
  <c r="Z110" i="17"/>
  <c r="Y110" i="17"/>
  <c r="S110" i="17"/>
  <c r="AB110" i="17"/>
  <c r="AA110" i="17"/>
  <c r="R110" i="17"/>
  <c r="AF110" i="17" s="1"/>
  <c r="K113" i="17"/>
  <c r="Q248" i="17"/>
  <c r="AL410" i="17"/>
  <c r="AD410" i="17"/>
  <c r="V410" i="17"/>
  <c r="N410" i="17"/>
  <c r="AK410" i="17"/>
  <c r="AC410" i="17"/>
  <c r="U410" i="17"/>
  <c r="M410" i="17"/>
  <c r="AJ410" i="17"/>
  <c r="Z410" i="17"/>
  <c r="P410" i="17"/>
  <c r="AI410" i="17"/>
  <c r="Y410" i="17"/>
  <c r="O410" i="17"/>
  <c r="AR410" i="17"/>
  <c r="AH410" i="17"/>
  <c r="X410" i="17"/>
  <c r="L410" i="17"/>
  <c r="AO410" i="17"/>
  <c r="W410" i="17"/>
  <c r="AN410" i="17"/>
  <c r="T410" i="17"/>
  <c r="AM410" i="17"/>
  <c r="S410" i="17"/>
  <c r="AB410" i="17"/>
  <c r="AA410" i="17"/>
  <c r="R410" i="17"/>
  <c r="AF410" i="17"/>
  <c r="AE410" i="17"/>
  <c r="Q410" i="17"/>
  <c r="AG410" i="17"/>
  <c r="K410" i="17"/>
  <c r="AP410" i="17"/>
  <c r="AN456" i="17"/>
  <c r="AA536" i="17"/>
  <c r="AB794" i="17"/>
  <c r="O5035" i="16"/>
  <c r="G5035" i="16"/>
  <c r="N5035" i="16"/>
  <c r="F5035" i="16"/>
  <c r="J5035" i="16"/>
  <c r="I5035" i="16"/>
  <c r="H5035" i="16"/>
  <c r="M5035" i="16"/>
  <c r="L5035" i="16"/>
  <c r="K5035" i="16"/>
  <c r="T5035" i="16"/>
  <c r="P5035" i="16"/>
  <c r="P5042" i="16"/>
  <c r="H5042" i="16"/>
  <c r="O5042" i="16"/>
  <c r="G5042" i="16"/>
  <c r="T5042" i="16"/>
  <c r="E5042" i="16"/>
  <c r="N5042" i="16"/>
  <c r="M5042" i="16"/>
  <c r="J5042" i="16"/>
  <c r="I5042" i="16"/>
  <c r="F5042" i="16"/>
  <c r="L5042" i="16"/>
  <c r="K5042" i="16"/>
  <c r="P5050" i="16"/>
  <c r="H5050" i="16"/>
  <c r="O5050" i="16"/>
  <c r="G5050" i="16"/>
  <c r="T5050" i="16"/>
  <c r="E5050" i="16"/>
  <c r="N5050" i="16"/>
  <c r="M5050" i="16"/>
  <c r="F5050" i="16"/>
  <c r="K5050" i="16"/>
  <c r="J5050" i="16"/>
  <c r="I5050" i="16"/>
  <c r="M5173" i="16"/>
  <c r="E5173" i="16"/>
  <c r="L5173" i="16"/>
  <c r="T5173" i="16"/>
  <c r="G5173" i="16"/>
  <c r="P5173" i="16"/>
  <c r="F5173" i="16"/>
  <c r="O5173" i="16"/>
  <c r="K5173" i="16"/>
  <c r="J5173" i="16"/>
  <c r="I5173" i="16"/>
  <c r="O5179" i="16"/>
  <c r="G5179" i="16"/>
  <c r="N5179" i="16"/>
  <c r="F5179" i="16"/>
  <c r="J5179" i="16"/>
  <c r="I5179" i="16"/>
  <c r="H5179" i="16"/>
  <c r="T5179" i="16"/>
  <c r="L5179" i="16"/>
  <c r="K5179" i="16"/>
  <c r="E5179" i="16"/>
  <c r="O5211" i="16"/>
  <c r="G5211" i="16"/>
  <c r="N5211" i="16"/>
  <c r="F5211" i="16"/>
  <c r="J5211" i="16"/>
  <c r="I5211" i="16"/>
  <c r="H5211" i="16"/>
  <c r="T5211" i="16"/>
  <c r="E5211" i="16"/>
  <c r="M5237" i="16"/>
  <c r="E5237" i="16"/>
  <c r="L5237" i="16"/>
  <c r="T5237" i="16"/>
  <c r="G5237" i="16"/>
  <c r="P5237" i="16"/>
  <c r="F5237" i="16"/>
  <c r="O5237" i="16"/>
  <c r="K5237" i="16"/>
  <c r="J5237" i="16"/>
  <c r="I5237" i="16"/>
  <c r="N5237" i="16"/>
  <c r="M5245" i="16"/>
  <c r="E5245" i="16"/>
  <c r="L5245" i="16"/>
  <c r="T5245" i="16"/>
  <c r="G5245" i="16"/>
  <c r="P5245" i="16"/>
  <c r="F5245" i="16"/>
  <c r="O5245" i="16"/>
  <c r="I5245" i="16"/>
  <c r="H5245" i="16"/>
  <c r="K5245" i="16"/>
  <c r="J5245" i="16"/>
  <c r="P5282" i="16"/>
  <c r="H5282" i="16"/>
  <c r="O5282" i="16"/>
  <c r="G5282" i="16"/>
  <c r="T5282" i="16"/>
  <c r="E5282" i="16"/>
  <c r="N5282" i="16"/>
  <c r="M5282" i="16"/>
  <c r="I5282" i="16"/>
  <c r="F5282" i="16"/>
  <c r="L5282" i="16"/>
  <c r="K5282" i="16"/>
  <c r="M5357" i="16"/>
  <c r="E5357" i="16"/>
  <c r="L5357" i="16"/>
  <c r="T5357" i="16"/>
  <c r="G5357" i="16"/>
  <c r="P5357" i="16"/>
  <c r="F5357" i="16"/>
  <c r="O5357" i="16"/>
  <c r="N5357" i="16"/>
  <c r="O5363" i="16"/>
  <c r="G5363" i="16"/>
  <c r="N5363" i="16"/>
  <c r="F5363" i="16"/>
  <c r="J5363" i="16"/>
  <c r="I5363" i="16"/>
  <c r="H5363" i="16"/>
  <c r="L5363" i="16"/>
  <c r="K5363" i="16"/>
  <c r="E5363" i="16"/>
  <c r="P5394" i="16"/>
  <c r="H5394" i="16"/>
  <c r="O5394" i="16"/>
  <c r="G5394" i="16"/>
  <c r="T5394" i="16"/>
  <c r="E5394" i="16"/>
  <c r="N5394" i="16"/>
  <c r="M5394" i="16"/>
  <c r="K5394" i="16"/>
  <c r="J5394" i="16"/>
  <c r="I5394" i="16"/>
  <c r="O5451" i="16"/>
  <c r="G5451" i="16"/>
  <c r="N5451" i="16"/>
  <c r="F5451" i="16"/>
  <c r="J5451" i="16"/>
  <c r="I5451" i="16"/>
  <c r="H5451" i="16"/>
  <c r="K5451" i="16"/>
  <c r="E5451" i="16"/>
  <c r="M5451" i="16"/>
  <c r="L5451" i="16"/>
  <c r="L5454" i="16"/>
  <c r="K5454" i="16"/>
  <c r="H5454" i="16"/>
  <c r="T5454" i="16"/>
  <c r="G5454" i="16"/>
  <c r="P5454" i="16"/>
  <c r="F5454" i="16"/>
  <c r="J5454" i="16"/>
  <c r="I5454" i="16"/>
  <c r="E5454" i="16"/>
  <c r="P5458" i="16"/>
  <c r="H5458" i="16"/>
  <c r="O5458" i="16"/>
  <c r="G5458" i="16"/>
  <c r="T5458" i="16"/>
  <c r="E5458" i="16"/>
  <c r="N5458" i="16"/>
  <c r="M5458" i="16"/>
  <c r="L5458" i="16"/>
  <c r="P5538" i="16"/>
  <c r="H5538" i="16"/>
  <c r="O5538" i="16"/>
  <c r="G5538" i="16"/>
  <c r="T5538" i="16"/>
  <c r="E5538" i="16"/>
  <c r="N5538" i="16"/>
  <c r="M5538" i="16"/>
  <c r="I5538" i="16"/>
  <c r="F5538" i="16"/>
  <c r="L5538" i="16"/>
  <c r="K5538" i="16"/>
  <c r="N5556" i="16"/>
  <c r="F5556" i="16"/>
  <c r="M5556" i="16"/>
  <c r="E5556" i="16"/>
  <c r="L5556" i="16"/>
  <c r="J5556" i="16"/>
  <c r="I5556" i="16"/>
  <c r="H5556" i="16"/>
  <c r="G5556" i="16"/>
  <c r="O5556" i="16"/>
  <c r="K5556" i="16"/>
  <c r="O5571" i="16"/>
  <c r="G5571" i="16"/>
  <c r="N5571" i="16"/>
  <c r="F5571" i="16"/>
  <c r="M5571" i="16"/>
  <c r="E5571" i="16"/>
  <c r="H5571" i="16"/>
  <c r="T5571" i="16"/>
  <c r="K5571" i="16"/>
  <c r="J5571" i="16"/>
  <c r="I5571" i="16"/>
  <c r="P5571" i="16"/>
  <c r="L5571" i="16"/>
  <c r="L5790" i="16"/>
  <c r="K5790" i="16"/>
  <c r="J5790" i="16"/>
  <c r="O5790" i="16"/>
  <c r="N5790" i="16"/>
  <c r="M5790" i="16"/>
  <c r="G5790" i="16"/>
  <c r="F5790" i="16"/>
  <c r="E5790" i="16"/>
  <c r="N5860" i="16"/>
  <c r="F5860" i="16"/>
  <c r="M5860" i="16"/>
  <c r="E5860" i="16"/>
  <c r="L5860" i="16"/>
  <c r="H5860" i="16"/>
  <c r="G5860" i="16"/>
  <c r="T5860" i="16"/>
  <c r="I5860" i="16"/>
  <c r="O5896" i="16"/>
  <c r="G5896" i="16"/>
  <c r="N5896" i="16"/>
  <c r="E5896" i="16"/>
  <c r="M5896" i="16"/>
  <c r="L5896" i="16"/>
  <c r="J5896" i="16"/>
  <c r="I5896" i="16"/>
  <c r="H5896" i="16"/>
  <c r="T5896" i="16"/>
  <c r="P5896" i="16"/>
  <c r="K5896" i="16"/>
  <c r="O5912" i="16"/>
  <c r="G5912" i="16"/>
  <c r="T5912" i="16"/>
  <c r="H5912" i="16"/>
  <c r="P5912" i="16"/>
  <c r="F5912" i="16"/>
  <c r="N5912" i="16"/>
  <c r="E5912" i="16"/>
  <c r="I5912" i="16"/>
  <c r="J5912" i="16"/>
  <c r="L5912" i="16"/>
  <c r="K5912" i="16"/>
  <c r="K5956" i="16"/>
  <c r="J5956" i="16"/>
  <c r="N5956" i="16"/>
  <c r="M5956" i="16"/>
  <c r="L5956" i="16"/>
  <c r="F5956" i="16"/>
  <c r="E5956" i="16"/>
  <c r="T5956" i="16"/>
  <c r="H5956" i="16"/>
  <c r="G5956" i="16"/>
  <c r="AO14" i="17"/>
  <c r="V112" i="17"/>
  <c r="N112" i="17"/>
  <c r="AC112" i="17"/>
  <c r="U112" i="17"/>
  <c r="M112" i="17"/>
  <c r="Y112" i="17"/>
  <c r="X112" i="17"/>
  <c r="L112" i="17"/>
  <c r="W112" i="17"/>
  <c r="K112" i="17"/>
  <c r="Q112" i="17"/>
  <c r="AB112" i="17"/>
  <c r="J112" i="17"/>
  <c r="T112" i="17"/>
  <c r="S112" i="17"/>
  <c r="AO112" i="17"/>
  <c r="R112" i="17"/>
  <c r="AF112" i="17" s="1"/>
  <c r="V146" i="17"/>
  <c r="N146" i="17"/>
  <c r="AC146" i="17"/>
  <c r="U146" i="17"/>
  <c r="M146" i="17"/>
  <c r="Z146" i="17"/>
  <c r="Y146" i="17"/>
  <c r="X146" i="17"/>
  <c r="L146" i="17"/>
  <c r="R146" i="17"/>
  <c r="Q146" i="17"/>
  <c r="K146" i="17"/>
  <c r="AB146" i="17"/>
  <c r="AA146" i="17"/>
  <c r="T146" i="17"/>
  <c r="S146" i="17"/>
  <c r="W146" i="17"/>
  <c r="AO146" i="17"/>
  <c r="J146" i="17"/>
  <c r="V148" i="17"/>
  <c r="N148" i="17"/>
  <c r="AC148" i="17"/>
  <c r="U148" i="17"/>
  <c r="M148" i="17"/>
  <c r="AE148" i="17" s="1"/>
  <c r="AA148" i="17"/>
  <c r="Q148" i="17"/>
  <c r="Z148" i="17"/>
  <c r="Y148" i="17"/>
  <c r="AO148" i="17"/>
  <c r="W148" i="17"/>
  <c r="T148" i="17"/>
  <c r="S148" i="17"/>
  <c r="L148" i="17"/>
  <c r="K148" i="17"/>
  <c r="J148" i="17"/>
  <c r="X148" i="17"/>
  <c r="R148" i="17"/>
  <c r="AG148" i="17" s="1"/>
  <c r="AB148" i="17"/>
  <c r="AF208" i="17"/>
  <c r="J410" i="17"/>
  <c r="I157" i="16"/>
  <c r="T157" i="16"/>
  <c r="H158" i="16"/>
  <c r="P158" i="16"/>
  <c r="H158" i="9" s="1"/>
  <c r="G159" i="16"/>
  <c r="I165" i="16"/>
  <c r="H166" i="16"/>
  <c r="P166" i="16"/>
  <c r="H166" i="9" s="1"/>
  <c r="G167" i="16"/>
  <c r="I173" i="16"/>
  <c r="H174" i="16"/>
  <c r="P174" i="16"/>
  <c r="H174" i="9" s="1"/>
  <c r="G175" i="16"/>
  <c r="I181" i="16"/>
  <c r="T181" i="16"/>
  <c r="H182" i="16"/>
  <c r="P182" i="16"/>
  <c r="H182" i="9" s="1"/>
  <c r="G183" i="16"/>
  <c r="I189" i="16"/>
  <c r="T189" i="16"/>
  <c r="H190" i="16"/>
  <c r="P190" i="16"/>
  <c r="H190" i="9" s="1"/>
  <c r="G191" i="16"/>
  <c r="I197" i="16"/>
  <c r="T197" i="16"/>
  <c r="H198" i="16"/>
  <c r="P198" i="16"/>
  <c r="H198" i="9" s="1"/>
  <c r="G199" i="16"/>
  <c r="I205" i="16"/>
  <c r="T205" i="16"/>
  <c r="H206" i="16"/>
  <c r="P206" i="16"/>
  <c r="H206" i="9" s="1"/>
  <c r="G207" i="16"/>
  <c r="I213" i="16"/>
  <c r="T213" i="16"/>
  <c r="H214" i="16"/>
  <c r="P214" i="16"/>
  <c r="H214" i="9" s="1"/>
  <c r="G215" i="16"/>
  <c r="I221" i="16"/>
  <c r="T221" i="16"/>
  <c r="H222" i="16"/>
  <c r="P222" i="16"/>
  <c r="H222" i="9" s="1"/>
  <c r="G223" i="16"/>
  <c r="I229" i="16"/>
  <c r="T229" i="16"/>
  <c r="H230" i="16"/>
  <c r="P230" i="16"/>
  <c r="H230" i="9" s="1"/>
  <c r="G231" i="16"/>
  <c r="I237" i="16"/>
  <c r="T237" i="16"/>
  <c r="H238" i="16"/>
  <c r="P238" i="16"/>
  <c r="H238" i="9" s="1"/>
  <c r="G239" i="16"/>
  <c r="O239" i="16"/>
  <c r="I245" i="16"/>
  <c r="T245" i="16"/>
  <c r="H246" i="16"/>
  <c r="P246" i="16"/>
  <c r="H246" i="9" s="1"/>
  <c r="G247" i="16"/>
  <c r="O247" i="16"/>
  <c r="I253" i="16"/>
  <c r="T253" i="16"/>
  <c r="H254" i="16"/>
  <c r="P254" i="16"/>
  <c r="H254" i="9" s="1"/>
  <c r="G255" i="16"/>
  <c r="O255" i="16"/>
  <c r="I261" i="16"/>
  <c r="T261" i="16"/>
  <c r="H262" i="16"/>
  <c r="P262" i="16"/>
  <c r="H262" i="9" s="1"/>
  <c r="G263" i="16"/>
  <c r="O263" i="16"/>
  <c r="I269" i="16"/>
  <c r="T269" i="16"/>
  <c r="H270" i="16"/>
  <c r="P270" i="16"/>
  <c r="H270" i="9" s="1"/>
  <c r="G271" i="16"/>
  <c r="O271" i="16"/>
  <c r="I277" i="16"/>
  <c r="T277" i="16"/>
  <c r="H278" i="16"/>
  <c r="P278" i="16"/>
  <c r="H278" i="9" s="1"/>
  <c r="G279" i="16"/>
  <c r="O279" i="16"/>
  <c r="I285" i="16"/>
  <c r="T285" i="16"/>
  <c r="H286" i="16"/>
  <c r="P286" i="16"/>
  <c r="H286" i="9" s="1"/>
  <c r="G287" i="16"/>
  <c r="O287" i="16"/>
  <c r="I293" i="16"/>
  <c r="T293" i="16"/>
  <c r="H294" i="16"/>
  <c r="P294" i="16"/>
  <c r="H294" i="9" s="1"/>
  <c r="G295" i="16"/>
  <c r="I301" i="16"/>
  <c r="T301" i="16"/>
  <c r="H302" i="16"/>
  <c r="P302" i="16"/>
  <c r="H302" i="9" s="1"/>
  <c r="G303" i="16"/>
  <c r="O303" i="16"/>
  <c r="I309" i="16"/>
  <c r="T309" i="16"/>
  <c r="H310" i="16"/>
  <c r="P310" i="16"/>
  <c r="H310" i="9" s="1"/>
  <c r="G311" i="16"/>
  <c r="O311" i="16"/>
  <c r="I317" i="16"/>
  <c r="T317" i="16"/>
  <c r="H318" i="16"/>
  <c r="P318" i="16"/>
  <c r="H318" i="9" s="1"/>
  <c r="G319" i="16"/>
  <c r="O319" i="16"/>
  <c r="I325" i="16"/>
  <c r="T325" i="16"/>
  <c r="H326" i="16"/>
  <c r="P326" i="16"/>
  <c r="H326" i="9" s="1"/>
  <c r="G327" i="16"/>
  <c r="O327" i="16"/>
  <c r="I333" i="16"/>
  <c r="T333" i="16"/>
  <c r="H334" i="16"/>
  <c r="P334" i="16"/>
  <c r="H334" i="9" s="1"/>
  <c r="G335" i="16"/>
  <c r="O335" i="16"/>
  <c r="I341" i="16"/>
  <c r="T341" i="16"/>
  <c r="H342" i="16"/>
  <c r="P342" i="16"/>
  <c r="H342" i="9" s="1"/>
  <c r="G343" i="16"/>
  <c r="O343" i="16"/>
  <c r="I349" i="16"/>
  <c r="T349" i="16"/>
  <c r="H350" i="16"/>
  <c r="G351" i="16"/>
  <c r="O351" i="16"/>
  <c r="I357" i="16"/>
  <c r="T357" i="16"/>
  <c r="H358" i="16"/>
  <c r="P358" i="16"/>
  <c r="H358" i="9" s="1"/>
  <c r="G359" i="16"/>
  <c r="I365" i="16"/>
  <c r="T365" i="16"/>
  <c r="H366" i="16"/>
  <c r="P366" i="16"/>
  <c r="H366" i="9" s="1"/>
  <c r="G367" i="16"/>
  <c r="O367" i="16"/>
  <c r="I373" i="16"/>
  <c r="T373" i="16"/>
  <c r="H374" i="16"/>
  <c r="P374" i="16"/>
  <c r="H374" i="9" s="1"/>
  <c r="G375" i="16"/>
  <c r="O375" i="16"/>
  <c r="I381" i="16"/>
  <c r="T381" i="16"/>
  <c r="H382" i="16"/>
  <c r="P382" i="16"/>
  <c r="H382" i="9" s="1"/>
  <c r="G383" i="16"/>
  <c r="O383" i="16"/>
  <c r="I389" i="16"/>
  <c r="T389" i="16"/>
  <c r="H390" i="16"/>
  <c r="P390" i="16"/>
  <c r="H390" i="9" s="1"/>
  <c r="G391" i="16"/>
  <c r="O391" i="16"/>
  <c r="I397" i="16"/>
  <c r="T397" i="16"/>
  <c r="H398" i="16"/>
  <c r="P398" i="16"/>
  <c r="H398" i="9" s="1"/>
  <c r="G399" i="16"/>
  <c r="O399" i="16"/>
  <c r="I405" i="16"/>
  <c r="O405" i="16" s="1"/>
  <c r="T405" i="16"/>
  <c r="H406" i="16"/>
  <c r="P406" i="16"/>
  <c r="H406" i="9" s="1"/>
  <c r="G407" i="16"/>
  <c r="O407" i="16"/>
  <c r="I413" i="16"/>
  <c r="O413" i="16" s="1"/>
  <c r="T413" i="16"/>
  <c r="H414" i="16"/>
  <c r="P414" i="16"/>
  <c r="H414" i="9" s="1"/>
  <c r="G415" i="16"/>
  <c r="O415" i="16"/>
  <c r="I421" i="16"/>
  <c r="O421" i="16" s="1"/>
  <c r="T421" i="16"/>
  <c r="H422" i="16"/>
  <c r="P422" i="16"/>
  <c r="H422" i="9" s="1"/>
  <c r="G423" i="16"/>
  <c r="I429" i="16"/>
  <c r="T429" i="16"/>
  <c r="H430" i="16"/>
  <c r="P430" i="16"/>
  <c r="H430" i="9" s="1"/>
  <c r="G431" i="16"/>
  <c r="I437" i="16"/>
  <c r="T437" i="16"/>
  <c r="H438" i="16"/>
  <c r="P438" i="16"/>
  <c r="H438" i="9" s="1"/>
  <c r="O439" i="16"/>
  <c r="I445" i="16"/>
  <c r="O445" i="16" s="1"/>
  <c r="T445" i="16"/>
  <c r="H446" i="16"/>
  <c r="P446" i="16"/>
  <c r="H446" i="9" s="1"/>
  <c r="G447" i="16"/>
  <c r="I453" i="16"/>
  <c r="O453" i="16" s="1"/>
  <c r="T453" i="16"/>
  <c r="G455" i="16"/>
  <c r="I461" i="16"/>
  <c r="O461" i="16" s="1"/>
  <c r="T461" i="16"/>
  <c r="H462" i="16"/>
  <c r="P462" i="16"/>
  <c r="H462" i="9" s="1"/>
  <c r="G463" i="16"/>
  <c r="I469" i="16"/>
  <c r="O469" i="16" s="1"/>
  <c r="T469" i="16"/>
  <c r="H470" i="16"/>
  <c r="P470" i="16"/>
  <c r="H470" i="9" s="1"/>
  <c r="G471" i="16"/>
  <c r="I477" i="16"/>
  <c r="O477" i="16" s="1"/>
  <c r="T477" i="16"/>
  <c r="H478" i="16"/>
  <c r="P478" i="16"/>
  <c r="H478" i="9" s="1"/>
  <c r="G479" i="16"/>
  <c r="I485" i="16"/>
  <c r="O485" i="16" s="1"/>
  <c r="T485" i="16"/>
  <c r="H486" i="16"/>
  <c r="P486" i="16"/>
  <c r="H486" i="9" s="1"/>
  <c r="G487" i="16"/>
  <c r="I493" i="16"/>
  <c r="O493" i="16" s="1"/>
  <c r="T493" i="16"/>
  <c r="H494" i="16"/>
  <c r="P494" i="16"/>
  <c r="H494" i="9" s="1"/>
  <c r="G495" i="16"/>
  <c r="I501" i="16"/>
  <c r="O501" i="16" s="1"/>
  <c r="T501" i="16"/>
  <c r="H502" i="16"/>
  <c r="P502" i="16"/>
  <c r="H502" i="9" s="1"/>
  <c r="G503" i="16"/>
  <c r="I509" i="16"/>
  <c r="O509" i="16" s="1"/>
  <c r="T509" i="16"/>
  <c r="H510" i="16"/>
  <c r="P510" i="16"/>
  <c r="H510" i="9" s="1"/>
  <c r="G511" i="16"/>
  <c r="I517" i="16"/>
  <c r="O517" i="16" s="1"/>
  <c r="H518" i="16"/>
  <c r="P518" i="16"/>
  <c r="H518" i="9" s="1"/>
  <c r="G519" i="16"/>
  <c r="I525" i="16"/>
  <c r="O525" i="16" s="1"/>
  <c r="T525" i="16"/>
  <c r="H526" i="16"/>
  <c r="P526" i="16"/>
  <c r="H526" i="9" s="1"/>
  <c r="G527" i="16"/>
  <c r="I533" i="16"/>
  <c r="T533" i="16"/>
  <c r="H534" i="16"/>
  <c r="O534" i="16" s="1"/>
  <c r="P534" i="16"/>
  <c r="H534" i="9" s="1"/>
  <c r="G535" i="16"/>
  <c r="I541" i="16"/>
  <c r="O541" i="16" s="1"/>
  <c r="T541" i="16"/>
  <c r="I549" i="16"/>
  <c r="T549" i="16"/>
  <c r="H550" i="16"/>
  <c r="P550" i="16"/>
  <c r="H550" i="9" s="1"/>
  <c r="G551" i="16"/>
  <c r="I557" i="16"/>
  <c r="O557" i="16" s="1"/>
  <c r="H558" i="16"/>
  <c r="P558" i="16"/>
  <c r="H558" i="9" s="1"/>
  <c r="G559" i="16"/>
  <c r="I565" i="16"/>
  <c r="H566" i="16"/>
  <c r="P566" i="16"/>
  <c r="H566" i="9" s="1"/>
  <c r="G567" i="16"/>
  <c r="I573" i="16"/>
  <c r="T573" i="16"/>
  <c r="H574" i="16"/>
  <c r="P574" i="16"/>
  <c r="H574" i="9" s="1"/>
  <c r="G575" i="16"/>
  <c r="I581" i="16"/>
  <c r="O581" i="16" s="1"/>
  <c r="H582" i="16"/>
  <c r="G583" i="16"/>
  <c r="I589" i="16"/>
  <c r="O589" i="16" s="1"/>
  <c r="T589" i="16"/>
  <c r="H590" i="16"/>
  <c r="G591" i="16"/>
  <c r="I597" i="16"/>
  <c r="O597" i="16" s="1"/>
  <c r="H598" i="16"/>
  <c r="P598" i="16"/>
  <c r="H598" i="9" s="1"/>
  <c r="G599" i="16"/>
  <c r="I605" i="16"/>
  <c r="O605" i="16" s="1"/>
  <c r="T605" i="16"/>
  <c r="H606" i="16"/>
  <c r="G607" i="16"/>
  <c r="O607" i="16"/>
  <c r="I613" i="16"/>
  <c r="O613" i="16" s="1"/>
  <c r="T613" i="16"/>
  <c r="H614" i="16"/>
  <c r="P614" i="16"/>
  <c r="H614" i="9" s="1"/>
  <c r="G615" i="16"/>
  <c r="I621" i="16"/>
  <c r="O621" i="16" s="1"/>
  <c r="T621" i="16"/>
  <c r="H622" i="16"/>
  <c r="P622" i="16"/>
  <c r="H622" i="9" s="1"/>
  <c r="G623" i="16"/>
  <c r="I629" i="16"/>
  <c r="O629" i="16" s="1"/>
  <c r="H630" i="16"/>
  <c r="P630" i="16"/>
  <c r="H630" i="9" s="1"/>
  <c r="G631" i="16"/>
  <c r="I637" i="16"/>
  <c r="O637" i="16" s="1"/>
  <c r="T637" i="16"/>
  <c r="H638" i="16"/>
  <c r="P638" i="16"/>
  <c r="H638" i="9" s="1"/>
  <c r="G639" i="16"/>
  <c r="O639" i="16"/>
  <c r="I645" i="16"/>
  <c r="O645" i="16" s="1"/>
  <c r="H646" i="16"/>
  <c r="P646" i="16"/>
  <c r="H646" i="9" s="1"/>
  <c r="G647" i="16"/>
  <c r="I653" i="16"/>
  <c r="O653" i="16" s="1"/>
  <c r="T653" i="16"/>
  <c r="H654" i="16"/>
  <c r="P654" i="16"/>
  <c r="H654" i="9" s="1"/>
  <c r="G655" i="16"/>
  <c r="I661" i="16"/>
  <c r="O661" i="16" s="1"/>
  <c r="T661" i="16"/>
  <c r="H662" i="16"/>
  <c r="P662" i="16"/>
  <c r="H662" i="9" s="1"/>
  <c r="G663" i="16"/>
  <c r="I669" i="16"/>
  <c r="O669" i="16" s="1"/>
  <c r="T669" i="16"/>
  <c r="H670" i="16"/>
  <c r="P670" i="16"/>
  <c r="H670" i="9" s="1"/>
  <c r="G671" i="16"/>
  <c r="O671" i="16"/>
  <c r="I677" i="16"/>
  <c r="H678" i="16"/>
  <c r="P678" i="16"/>
  <c r="H678" i="9" s="1"/>
  <c r="I678" i="9" s="1"/>
  <c r="G679" i="16"/>
  <c r="O679" i="16"/>
  <c r="I685" i="16"/>
  <c r="H686" i="16"/>
  <c r="P686" i="16"/>
  <c r="H686" i="9" s="1"/>
  <c r="I686" i="9" s="1"/>
  <c r="G687" i="16"/>
  <c r="I693" i="16"/>
  <c r="P694" i="16"/>
  <c r="G695" i="16"/>
  <c r="O695" i="16"/>
  <c r="I701" i="16"/>
  <c r="H702" i="16"/>
  <c r="P702" i="16"/>
  <c r="H702" i="9" s="1"/>
  <c r="I702" i="9" s="1"/>
  <c r="G703" i="16"/>
  <c r="O703" i="16"/>
  <c r="I709" i="16"/>
  <c r="H710" i="16"/>
  <c r="P710" i="16"/>
  <c r="G711" i="16"/>
  <c r="O711" i="16"/>
  <c r="I717" i="16"/>
  <c r="T717" i="16"/>
  <c r="H718" i="16"/>
  <c r="P718" i="16"/>
  <c r="G719" i="16"/>
  <c r="O719" i="16"/>
  <c r="I725" i="16"/>
  <c r="H726" i="16"/>
  <c r="G727" i="16"/>
  <c r="O727" i="16"/>
  <c r="I733" i="16"/>
  <c r="T733" i="16"/>
  <c r="H734" i="16"/>
  <c r="G735" i="16"/>
  <c r="O735" i="16"/>
  <c r="I741" i="16"/>
  <c r="H742" i="16"/>
  <c r="P742" i="16"/>
  <c r="H742" i="9" s="1"/>
  <c r="I742" i="9" s="1"/>
  <c r="G743" i="16"/>
  <c r="I749" i="16"/>
  <c r="O749" i="16" s="1"/>
  <c r="H750" i="16"/>
  <c r="G751" i="16"/>
  <c r="I757" i="16"/>
  <c r="H758" i="16"/>
  <c r="P758" i="16"/>
  <c r="H758" i="9" s="1"/>
  <c r="I758" i="9" s="1"/>
  <c r="G759" i="16"/>
  <c r="I765" i="16"/>
  <c r="H766" i="16"/>
  <c r="G767" i="16"/>
  <c r="I773" i="16"/>
  <c r="O773" i="16" s="1"/>
  <c r="H774" i="16"/>
  <c r="G775" i="16"/>
  <c r="O775" i="16"/>
  <c r="I781" i="16"/>
  <c r="O781" i="16" s="1"/>
  <c r="H782" i="16"/>
  <c r="P782" i="16"/>
  <c r="G783" i="16"/>
  <c r="I789" i="16"/>
  <c r="O789" i="16" s="1"/>
  <c r="H790" i="16"/>
  <c r="G791" i="16"/>
  <c r="O791" i="16"/>
  <c r="I797" i="16"/>
  <c r="O797" i="16" s="1"/>
  <c r="P797" i="16" s="1"/>
  <c r="H798" i="16"/>
  <c r="G799" i="16"/>
  <c r="I805" i="16"/>
  <c r="O805" i="16" s="1"/>
  <c r="H806" i="16"/>
  <c r="G807" i="16"/>
  <c r="I813" i="16"/>
  <c r="O813" i="16" s="1"/>
  <c r="H814" i="16"/>
  <c r="P814" i="16"/>
  <c r="H814" i="9" s="1"/>
  <c r="I814" i="9" s="1"/>
  <c r="G815" i="16"/>
  <c r="I821" i="16"/>
  <c r="O821" i="16" s="1"/>
  <c r="H822" i="16"/>
  <c r="I829" i="16"/>
  <c r="O829" i="16" s="1"/>
  <c r="H830" i="16"/>
  <c r="I837" i="16"/>
  <c r="O837" i="16" s="1"/>
  <c r="H838" i="16"/>
  <c r="I845" i="16"/>
  <c r="O845" i="16" s="1"/>
  <c r="H846" i="16"/>
  <c r="I853" i="16"/>
  <c r="O853" i="16" s="1"/>
  <c r="H854" i="16"/>
  <c r="I861" i="16"/>
  <c r="O861" i="16" s="1"/>
  <c r="P861" i="16" s="1"/>
  <c r="H862" i="16"/>
  <c r="I869" i="16"/>
  <c r="O869" i="16" s="1"/>
  <c r="P869" i="16" s="1"/>
  <c r="H869" i="9" s="1"/>
  <c r="I869" i="9" s="1"/>
  <c r="H870" i="16"/>
  <c r="I877" i="16"/>
  <c r="O877" i="16" s="1"/>
  <c r="H878" i="16"/>
  <c r="I885" i="16"/>
  <c r="O885" i="16" s="1"/>
  <c r="H886" i="16"/>
  <c r="I893" i="16"/>
  <c r="O893" i="16" s="1"/>
  <c r="H894" i="16"/>
  <c r="I901" i="16"/>
  <c r="O901" i="16" s="1"/>
  <c r="H902" i="16"/>
  <c r="I909" i="16"/>
  <c r="O909" i="16" s="1"/>
  <c r="P909" i="16" s="1"/>
  <c r="H910" i="16"/>
  <c r="I917" i="16"/>
  <c r="O917" i="16" s="1"/>
  <c r="H918" i="16"/>
  <c r="I925" i="16"/>
  <c r="O925" i="16" s="1"/>
  <c r="P925" i="16" s="1"/>
  <c r="H926" i="16"/>
  <c r="I933" i="16"/>
  <c r="O933" i="16" s="1"/>
  <c r="P933" i="16" s="1"/>
  <c r="H933" i="9" s="1"/>
  <c r="I933" i="9" s="1"/>
  <c r="H934" i="16"/>
  <c r="I941" i="16"/>
  <c r="O941" i="16" s="1"/>
  <c r="H942" i="16"/>
  <c r="I949" i="16"/>
  <c r="O949" i="16" s="1"/>
  <c r="P949" i="16" s="1"/>
  <c r="H949" i="9" s="1"/>
  <c r="I949" i="9" s="1"/>
  <c r="H950" i="16"/>
  <c r="I957" i="16"/>
  <c r="O957" i="16" s="1"/>
  <c r="H958" i="16"/>
  <c r="I965" i="16"/>
  <c r="O965" i="16" s="1"/>
  <c r="H966" i="16"/>
  <c r="I973" i="16"/>
  <c r="O973" i="16" s="1"/>
  <c r="P973" i="16" s="1"/>
  <c r="H973" i="9" s="1"/>
  <c r="I973" i="9" s="1"/>
  <c r="T973" i="16"/>
  <c r="H974" i="16"/>
  <c r="I981" i="16"/>
  <c r="O981" i="16" s="1"/>
  <c r="P981" i="16" s="1"/>
  <c r="H981" i="9" s="1"/>
  <c r="I981" i="9" s="1"/>
  <c r="T981" i="16"/>
  <c r="H982" i="16"/>
  <c r="I989" i="16"/>
  <c r="O989" i="16" s="1"/>
  <c r="T989" i="16"/>
  <c r="H990" i="16"/>
  <c r="I997" i="16"/>
  <c r="O997" i="16" s="1"/>
  <c r="T997" i="16"/>
  <c r="H998" i="16"/>
  <c r="I1005" i="16"/>
  <c r="O1005" i="16" s="1"/>
  <c r="P1005" i="16" s="1"/>
  <c r="H1005" i="9" s="1"/>
  <c r="I1005" i="9" s="1"/>
  <c r="T1005" i="16"/>
  <c r="H1006" i="16"/>
  <c r="I1013" i="16"/>
  <c r="H1014" i="16"/>
  <c r="I1021" i="16"/>
  <c r="H1022" i="16"/>
  <c r="I1029" i="16"/>
  <c r="H1030" i="16"/>
  <c r="I1037" i="16"/>
  <c r="H1038" i="16"/>
  <c r="I1045" i="16"/>
  <c r="H1046" i="16"/>
  <c r="I1053" i="16"/>
  <c r="H1054" i="16"/>
  <c r="I1061" i="16"/>
  <c r="H1062" i="16"/>
  <c r="I1069" i="16"/>
  <c r="H1070" i="16"/>
  <c r="I1077" i="16"/>
  <c r="H1078" i="16"/>
  <c r="I1085" i="16"/>
  <c r="H1086" i="16"/>
  <c r="I1093" i="16"/>
  <c r="H1094" i="16"/>
  <c r="I1101" i="16"/>
  <c r="I1109" i="16"/>
  <c r="H1110" i="16"/>
  <c r="I1117" i="16"/>
  <c r="H1118" i="16"/>
  <c r="I1125" i="16"/>
  <c r="H1126" i="16"/>
  <c r="I1133" i="16"/>
  <c r="H1134" i="16"/>
  <c r="I1141" i="16"/>
  <c r="H1142" i="16"/>
  <c r="I1149" i="16"/>
  <c r="H1150" i="16"/>
  <c r="I1157" i="16"/>
  <c r="H1158" i="16"/>
  <c r="I1165" i="16"/>
  <c r="H1166" i="16"/>
  <c r="I1173" i="16"/>
  <c r="H1174" i="16"/>
  <c r="I1181" i="16"/>
  <c r="H1182" i="16"/>
  <c r="I1189" i="16"/>
  <c r="I1197" i="16"/>
  <c r="H1198" i="16"/>
  <c r="I1205" i="16"/>
  <c r="H1206" i="16"/>
  <c r="I1213" i="16"/>
  <c r="H1214" i="16"/>
  <c r="I1221" i="16"/>
  <c r="I1229" i="16"/>
  <c r="H1230" i="16"/>
  <c r="I1237" i="16"/>
  <c r="H1238" i="16"/>
  <c r="I1245" i="16"/>
  <c r="H1246" i="16"/>
  <c r="P1246" i="16"/>
  <c r="H1246" i="9" s="1"/>
  <c r="I1246" i="9" s="1"/>
  <c r="I1253" i="16"/>
  <c r="H1254" i="16"/>
  <c r="P1254" i="16"/>
  <c r="H1254" i="9" s="1"/>
  <c r="I1254" i="9" s="1"/>
  <c r="I1261" i="16"/>
  <c r="H1262" i="16"/>
  <c r="P1262" i="16"/>
  <c r="H1262" i="9" s="1"/>
  <c r="I1262" i="9" s="1"/>
  <c r="I1269" i="16"/>
  <c r="P1270" i="16"/>
  <c r="H1270" i="9" s="1"/>
  <c r="I1270" i="9" s="1"/>
  <c r="I1277" i="16"/>
  <c r="H1278" i="16"/>
  <c r="P1278" i="16"/>
  <c r="H1278" i="9" s="1"/>
  <c r="I1278" i="9" s="1"/>
  <c r="I1285" i="16"/>
  <c r="H1286" i="16"/>
  <c r="I1293" i="16"/>
  <c r="H1294" i="16"/>
  <c r="I1301" i="16"/>
  <c r="H1302" i="16"/>
  <c r="I1309" i="16"/>
  <c r="H1310" i="16"/>
  <c r="P1310" i="16"/>
  <c r="I1317" i="16"/>
  <c r="H1318" i="16"/>
  <c r="P1318" i="16"/>
  <c r="H1318" i="9" s="1"/>
  <c r="I1318" i="9" s="1"/>
  <c r="I1325" i="16"/>
  <c r="H1326" i="16"/>
  <c r="P1326" i="16"/>
  <c r="H1326" i="9" s="1"/>
  <c r="I1326" i="9" s="1"/>
  <c r="I1333" i="16"/>
  <c r="H1334" i="16"/>
  <c r="P1334" i="16"/>
  <c r="H1334" i="9" s="1"/>
  <c r="I1334" i="9" s="1"/>
  <c r="I1341" i="16"/>
  <c r="H1342" i="16"/>
  <c r="I1349" i="16"/>
  <c r="T1349" i="16"/>
  <c r="H1350" i="16"/>
  <c r="P1350" i="16"/>
  <c r="I1357" i="16"/>
  <c r="T1357" i="16"/>
  <c r="H1358" i="16"/>
  <c r="P1358" i="16"/>
  <c r="I1365" i="16"/>
  <c r="T1365" i="16"/>
  <c r="H1366" i="16"/>
  <c r="P1366" i="16"/>
  <c r="I1373" i="16"/>
  <c r="T1373" i="16"/>
  <c r="H1374" i="16"/>
  <c r="P1374" i="16"/>
  <c r="I1381" i="16"/>
  <c r="T1381" i="16"/>
  <c r="H1382" i="16"/>
  <c r="P1382" i="16"/>
  <c r="I1389" i="16"/>
  <c r="T1389" i="16"/>
  <c r="H1390" i="16"/>
  <c r="P1390" i="16"/>
  <c r="G1391" i="16"/>
  <c r="O1391" i="16"/>
  <c r="I1397" i="16"/>
  <c r="T1397" i="16"/>
  <c r="H1398" i="16"/>
  <c r="P1398" i="16"/>
  <c r="G1399" i="16"/>
  <c r="O1399" i="16"/>
  <c r="I1405" i="16"/>
  <c r="T1405" i="16"/>
  <c r="H1406" i="16"/>
  <c r="P1406" i="16"/>
  <c r="G1407" i="16"/>
  <c r="O1407" i="16"/>
  <c r="I1413" i="16"/>
  <c r="T1413" i="16"/>
  <c r="H1414" i="16"/>
  <c r="P1414" i="16"/>
  <c r="G1415" i="16"/>
  <c r="O1415" i="16"/>
  <c r="I1421" i="16"/>
  <c r="T1421" i="16"/>
  <c r="H1422" i="16"/>
  <c r="P1422" i="16"/>
  <c r="G1423" i="16"/>
  <c r="O1423" i="16"/>
  <c r="I1429" i="16"/>
  <c r="T1429" i="16"/>
  <c r="H1430" i="16"/>
  <c r="P1430" i="16"/>
  <c r="G1431" i="16"/>
  <c r="O1431" i="16"/>
  <c r="I1437" i="16"/>
  <c r="T1437" i="16"/>
  <c r="H1438" i="16"/>
  <c r="P1438" i="16"/>
  <c r="G1439" i="16"/>
  <c r="O1439" i="16"/>
  <c r="I1445" i="16"/>
  <c r="T1445" i="16"/>
  <c r="H1446" i="16"/>
  <c r="P1446" i="16"/>
  <c r="G1447" i="16"/>
  <c r="O1447" i="16"/>
  <c r="I1453" i="16"/>
  <c r="T1453" i="16"/>
  <c r="H1454" i="16"/>
  <c r="P1454" i="16"/>
  <c r="G1455" i="16"/>
  <c r="O1455" i="16"/>
  <c r="H1458" i="16"/>
  <c r="T1458" i="16"/>
  <c r="M1460" i="16"/>
  <c r="E1460" i="16"/>
  <c r="J1460" i="16"/>
  <c r="G1469" i="16"/>
  <c r="P1469" i="16"/>
  <c r="G1470" i="16"/>
  <c r="P1470" i="16"/>
  <c r="G1471" i="16"/>
  <c r="P1471" i="16"/>
  <c r="O1474" i="16"/>
  <c r="G1474" i="16"/>
  <c r="J1474" i="16"/>
  <c r="I1485" i="16"/>
  <c r="I1486" i="16"/>
  <c r="I1487" i="16"/>
  <c r="N1499" i="16"/>
  <c r="F1499" i="16"/>
  <c r="J1499" i="16"/>
  <c r="P1513" i="16"/>
  <c r="H1513" i="16"/>
  <c r="J1513" i="16"/>
  <c r="M1524" i="16"/>
  <c r="E1524" i="16"/>
  <c r="J1524" i="16"/>
  <c r="O1538" i="16"/>
  <c r="G1538" i="16"/>
  <c r="J1538" i="16"/>
  <c r="I1549" i="16"/>
  <c r="I1550" i="16"/>
  <c r="I1551" i="16"/>
  <c r="N1563" i="16"/>
  <c r="F1563" i="16"/>
  <c r="J1563" i="16"/>
  <c r="H1573" i="16"/>
  <c r="T1573" i="16"/>
  <c r="P1577" i="16"/>
  <c r="H1577" i="16"/>
  <c r="J1577" i="16"/>
  <c r="M1588" i="16"/>
  <c r="E1588" i="16"/>
  <c r="J1588" i="16"/>
  <c r="O1602" i="16"/>
  <c r="G1602" i="16"/>
  <c r="J1602" i="16"/>
  <c r="I1613" i="16"/>
  <c r="I1614" i="16"/>
  <c r="I1615" i="16"/>
  <c r="N1627" i="16"/>
  <c r="F1627" i="16"/>
  <c r="J1627" i="16"/>
  <c r="P1641" i="16"/>
  <c r="H1641" i="16"/>
  <c r="J1641" i="16"/>
  <c r="M1652" i="16"/>
  <c r="E1652" i="16"/>
  <c r="J1652" i="16"/>
  <c r="O1666" i="16"/>
  <c r="G1666" i="16"/>
  <c r="J1666" i="16"/>
  <c r="I1677" i="16"/>
  <c r="I1678" i="16"/>
  <c r="I1679" i="16"/>
  <c r="N1691" i="16"/>
  <c r="F1691" i="16"/>
  <c r="J1691" i="16"/>
  <c r="P1705" i="16"/>
  <c r="H1705" i="16"/>
  <c r="J1705" i="16"/>
  <c r="M1716" i="16"/>
  <c r="E1716" i="16"/>
  <c r="J1716" i="16"/>
  <c r="O1730" i="16"/>
  <c r="G1730" i="16"/>
  <c r="J1730" i="16"/>
  <c r="I1741" i="16"/>
  <c r="I1742" i="16"/>
  <c r="I1743" i="16"/>
  <c r="N1755" i="16"/>
  <c r="F1755" i="16"/>
  <c r="J1755" i="16"/>
  <c r="P1769" i="16"/>
  <c r="H1769" i="16"/>
  <c r="J1769" i="16"/>
  <c r="M1780" i="16"/>
  <c r="E1780" i="16"/>
  <c r="J1780" i="16"/>
  <c r="O1794" i="16"/>
  <c r="G1794" i="16"/>
  <c r="J1794" i="16"/>
  <c r="I1805" i="16"/>
  <c r="I1806" i="16"/>
  <c r="I1807" i="16"/>
  <c r="N1819" i="16"/>
  <c r="F1819" i="16"/>
  <c r="J1819" i="16"/>
  <c r="P1833" i="16"/>
  <c r="H1833" i="16"/>
  <c r="J1833" i="16"/>
  <c r="M1844" i="16"/>
  <c r="E1844" i="16"/>
  <c r="J1844" i="16"/>
  <c r="O1858" i="16"/>
  <c r="G1858" i="16"/>
  <c r="J1858" i="16"/>
  <c r="I1869" i="16"/>
  <c r="I1870" i="16"/>
  <c r="I1871" i="16"/>
  <c r="N1883" i="16"/>
  <c r="F1883" i="16"/>
  <c r="J1883" i="16"/>
  <c r="P1897" i="16"/>
  <c r="H1897" i="16"/>
  <c r="J1897" i="16"/>
  <c r="M1908" i="16"/>
  <c r="E1908" i="16"/>
  <c r="J1908" i="16"/>
  <c r="O1922" i="16"/>
  <c r="G1922" i="16"/>
  <c r="J1922" i="16"/>
  <c r="I1933" i="16"/>
  <c r="I1934" i="16"/>
  <c r="I1935" i="16"/>
  <c r="N1947" i="16"/>
  <c r="F1947" i="16"/>
  <c r="J1947" i="16"/>
  <c r="P1961" i="16"/>
  <c r="H1961" i="16"/>
  <c r="J1961" i="16"/>
  <c r="M1972" i="16"/>
  <c r="E1972" i="16"/>
  <c r="J1972" i="16"/>
  <c r="O1986" i="16"/>
  <c r="G1986" i="16"/>
  <c r="J1986" i="16"/>
  <c r="I1997" i="16"/>
  <c r="I1998" i="16"/>
  <c r="I1999" i="16"/>
  <c r="N2011" i="16"/>
  <c r="F2011" i="16"/>
  <c r="J2011" i="16"/>
  <c r="H2021" i="16"/>
  <c r="T2021" i="16"/>
  <c r="H2022" i="16"/>
  <c r="T2022" i="16"/>
  <c r="H2023" i="16"/>
  <c r="T2023" i="16"/>
  <c r="P2025" i="16"/>
  <c r="H2025" i="16"/>
  <c r="J2025" i="16"/>
  <c r="M2036" i="16"/>
  <c r="E2036" i="16"/>
  <c r="J2036" i="16"/>
  <c r="O2050" i="16"/>
  <c r="G2050" i="16"/>
  <c r="J2050" i="16"/>
  <c r="I2061" i="16"/>
  <c r="I2062" i="16"/>
  <c r="I2063" i="16"/>
  <c r="N2075" i="16"/>
  <c r="F2075" i="16"/>
  <c r="J2075" i="16"/>
  <c r="P2089" i="16"/>
  <c r="H2089" i="16"/>
  <c r="J2089" i="16"/>
  <c r="M2100" i="16"/>
  <c r="E2100" i="16"/>
  <c r="J2100" i="16"/>
  <c r="O2114" i="16"/>
  <c r="G2114" i="16"/>
  <c r="J2114" i="16"/>
  <c r="I2125" i="16"/>
  <c r="I2126" i="16"/>
  <c r="I2127" i="16"/>
  <c r="N2139" i="16"/>
  <c r="F2139" i="16"/>
  <c r="J2139" i="16"/>
  <c r="H2149" i="16"/>
  <c r="T2149" i="16"/>
  <c r="H2150" i="16"/>
  <c r="T2150" i="16"/>
  <c r="H2151" i="16"/>
  <c r="T2151" i="16"/>
  <c r="P2153" i="16"/>
  <c r="H2153" i="16"/>
  <c r="J2153" i="16"/>
  <c r="M2164" i="16"/>
  <c r="E2164" i="16"/>
  <c r="J2164" i="16"/>
  <c r="O2178" i="16"/>
  <c r="G2178" i="16"/>
  <c r="J2178" i="16"/>
  <c r="I2189" i="16"/>
  <c r="I2190" i="16"/>
  <c r="I2191" i="16"/>
  <c r="N2203" i="16"/>
  <c r="F2203" i="16"/>
  <c r="J2203" i="16"/>
  <c r="H2213" i="16"/>
  <c r="T2213" i="16"/>
  <c r="H2214" i="16"/>
  <c r="T2214" i="16"/>
  <c r="H2215" i="16"/>
  <c r="T2215" i="16"/>
  <c r="P2217" i="16"/>
  <c r="H2217" i="16"/>
  <c r="J2217" i="16"/>
  <c r="M2228" i="16"/>
  <c r="E2228" i="16"/>
  <c r="J2228" i="16"/>
  <c r="O2242" i="16"/>
  <c r="G2242" i="16"/>
  <c r="J2242" i="16"/>
  <c r="I2253" i="16"/>
  <c r="I2254" i="16"/>
  <c r="I2255" i="16"/>
  <c r="N2267" i="16"/>
  <c r="F2267" i="16"/>
  <c r="J2267" i="16"/>
  <c r="H2277" i="16"/>
  <c r="T2277" i="16"/>
  <c r="H2278" i="16"/>
  <c r="T2278" i="16"/>
  <c r="H2279" i="16"/>
  <c r="T2279" i="16"/>
  <c r="P2281" i="16"/>
  <c r="H2281" i="16"/>
  <c r="J2281" i="16"/>
  <c r="M2292" i="16"/>
  <c r="E2292" i="16"/>
  <c r="J2292" i="16"/>
  <c r="O2306" i="16"/>
  <c r="G2306" i="16"/>
  <c r="J2306" i="16"/>
  <c r="I2317" i="16"/>
  <c r="I2318" i="16"/>
  <c r="I2319" i="16"/>
  <c r="N2331" i="16"/>
  <c r="F2331" i="16"/>
  <c r="J2331" i="16"/>
  <c r="H2341" i="16"/>
  <c r="T2341" i="16"/>
  <c r="H2342" i="16"/>
  <c r="T2342" i="16"/>
  <c r="H2343" i="16"/>
  <c r="T2343" i="16"/>
  <c r="P2345" i="16"/>
  <c r="H2345" i="16"/>
  <c r="J2345" i="16"/>
  <c r="M2356" i="16"/>
  <c r="E2356" i="16"/>
  <c r="J2356" i="16"/>
  <c r="O2370" i="16"/>
  <c r="G2370" i="16"/>
  <c r="J2370" i="16"/>
  <c r="I2381" i="16"/>
  <c r="I2382" i="16"/>
  <c r="I2383" i="16"/>
  <c r="N2395" i="16"/>
  <c r="F2395" i="16"/>
  <c r="J2395" i="16"/>
  <c r="H2405" i="16"/>
  <c r="T2405" i="16"/>
  <c r="H2406" i="16"/>
  <c r="T2406" i="16"/>
  <c r="H2407" i="16"/>
  <c r="T2407" i="16"/>
  <c r="P2409" i="16"/>
  <c r="H2409" i="16"/>
  <c r="J2409" i="16"/>
  <c r="M2420" i="16"/>
  <c r="E2420" i="16"/>
  <c r="J2420" i="16"/>
  <c r="O2434" i="16"/>
  <c r="G2434" i="16"/>
  <c r="J2434" i="16"/>
  <c r="I2445" i="16"/>
  <c r="I2446" i="16"/>
  <c r="I2447" i="16"/>
  <c r="N2459" i="16"/>
  <c r="F2459" i="16"/>
  <c r="J2459" i="16"/>
  <c r="T2470" i="16"/>
  <c r="H2471" i="16"/>
  <c r="T2471" i="16"/>
  <c r="K2487" i="16"/>
  <c r="J2487" i="16"/>
  <c r="I2487" i="16"/>
  <c r="O2491" i="16"/>
  <c r="G2491" i="16"/>
  <c r="N2491" i="16"/>
  <c r="F2491" i="16"/>
  <c r="K2491" i="16"/>
  <c r="L2494" i="16"/>
  <c r="K2494" i="16"/>
  <c r="I2494" i="16"/>
  <c r="M2509" i="16"/>
  <c r="E2509" i="16"/>
  <c r="L2509" i="16"/>
  <c r="J2509" i="16"/>
  <c r="P2514" i="16"/>
  <c r="H2514" i="16"/>
  <c r="O2514" i="16"/>
  <c r="G2514" i="16"/>
  <c r="K2514" i="16"/>
  <c r="N2532" i="16"/>
  <c r="F2532" i="16"/>
  <c r="M2532" i="16"/>
  <c r="E2532" i="16"/>
  <c r="K2532" i="16"/>
  <c r="K2551" i="16"/>
  <c r="J2551" i="16"/>
  <c r="I2551" i="16"/>
  <c r="O2555" i="16"/>
  <c r="G2555" i="16"/>
  <c r="N2555" i="16"/>
  <c r="F2555" i="16"/>
  <c r="K2555" i="16"/>
  <c r="L2558" i="16"/>
  <c r="K2558" i="16"/>
  <c r="I2558" i="16"/>
  <c r="M2573" i="16"/>
  <c r="E2573" i="16"/>
  <c r="L2573" i="16"/>
  <c r="J2573" i="16"/>
  <c r="P2578" i="16"/>
  <c r="H2578" i="16"/>
  <c r="O2578" i="16"/>
  <c r="G2578" i="16"/>
  <c r="K2578" i="16"/>
  <c r="N2596" i="16"/>
  <c r="F2596" i="16"/>
  <c r="M2596" i="16"/>
  <c r="E2596" i="16"/>
  <c r="K2596" i="16"/>
  <c r="G2599" i="16"/>
  <c r="T2599" i="16"/>
  <c r="I2603" i="16"/>
  <c r="G2606" i="16"/>
  <c r="T2606" i="16"/>
  <c r="K2615" i="16"/>
  <c r="J2615" i="16"/>
  <c r="I2615" i="16"/>
  <c r="O2619" i="16"/>
  <c r="G2619" i="16"/>
  <c r="N2619" i="16"/>
  <c r="F2619" i="16"/>
  <c r="K2619" i="16"/>
  <c r="H2621" i="16"/>
  <c r="L2622" i="16"/>
  <c r="K2622" i="16"/>
  <c r="I2622" i="16"/>
  <c r="I2626" i="16"/>
  <c r="M2637" i="16"/>
  <c r="E2637" i="16"/>
  <c r="L2637" i="16"/>
  <c r="J2637" i="16"/>
  <c r="P2642" i="16"/>
  <c r="H2642" i="16"/>
  <c r="O2642" i="16"/>
  <c r="G2642" i="16"/>
  <c r="K2642" i="16"/>
  <c r="I2644" i="16"/>
  <c r="N2660" i="16"/>
  <c r="F2660" i="16"/>
  <c r="M2660" i="16"/>
  <c r="E2660" i="16"/>
  <c r="K2660" i="16"/>
  <c r="K2679" i="16"/>
  <c r="J2679" i="16"/>
  <c r="I2679" i="16"/>
  <c r="O2683" i="16"/>
  <c r="G2683" i="16"/>
  <c r="N2683" i="16"/>
  <c r="F2683" i="16"/>
  <c r="K2683" i="16"/>
  <c r="H2685" i="16"/>
  <c r="L2686" i="16"/>
  <c r="K2686" i="16"/>
  <c r="I2686" i="16"/>
  <c r="I2690" i="16"/>
  <c r="M2701" i="16"/>
  <c r="E2701" i="16"/>
  <c r="L2701" i="16"/>
  <c r="J2701" i="16"/>
  <c r="P2706" i="16"/>
  <c r="H2706" i="16"/>
  <c r="O2706" i="16"/>
  <c r="G2706" i="16"/>
  <c r="K2706" i="16"/>
  <c r="N2724" i="16"/>
  <c r="F2724" i="16"/>
  <c r="M2724" i="16"/>
  <c r="E2724" i="16"/>
  <c r="K2724" i="16"/>
  <c r="G2727" i="16"/>
  <c r="T2727" i="16"/>
  <c r="I2731" i="16"/>
  <c r="G2734" i="16"/>
  <c r="T2734" i="16"/>
  <c r="K2743" i="16"/>
  <c r="J2743" i="16"/>
  <c r="I2743" i="16"/>
  <c r="O2747" i="16"/>
  <c r="G2747" i="16"/>
  <c r="N2747" i="16"/>
  <c r="F2747" i="16"/>
  <c r="K2747" i="16"/>
  <c r="H2749" i="16"/>
  <c r="L2750" i="16"/>
  <c r="K2750" i="16"/>
  <c r="I2750" i="16"/>
  <c r="I2754" i="16"/>
  <c r="M2765" i="16"/>
  <c r="E2765" i="16"/>
  <c r="L2765" i="16"/>
  <c r="J2765" i="16"/>
  <c r="P2770" i="16"/>
  <c r="H2770" i="16"/>
  <c r="O2770" i="16"/>
  <c r="G2770" i="16"/>
  <c r="K2770" i="16"/>
  <c r="N2788" i="16"/>
  <c r="F2788" i="16"/>
  <c r="M2788" i="16"/>
  <c r="E2788" i="16"/>
  <c r="K2788" i="16"/>
  <c r="K2807" i="16"/>
  <c r="J2807" i="16"/>
  <c r="I2807" i="16"/>
  <c r="O2811" i="16"/>
  <c r="G2811" i="16"/>
  <c r="N2811" i="16"/>
  <c r="F2811" i="16"/>
  <c r="K2811" i="16"/>
  <c r="L2814" i="16"/>
  <c r="K2814" i="16"/>
  <c r="I2814" i="16"/>
  <c r="M2829" i="16"/>
  <c r="E2829" i="16"/>
  <c r="L2829" i="16"/>
  <c r="J2829" i="16"/>
  <c r="P2834" i="16"/>
  <c r="H2834" i="16"/>
  <c r="O2834" i="16"/>
  <c r="G2834" i="16"/>
  <c r="K2834" i="16"/>
  <c r="N2852" i="16"/>
  <c r="F2852" i="16"/>
  <c r="M2852" i="16"/>
  <c r="E2852" i="16"/>
  <c r="K2852" i="16"/>
  <c r="K2871" i="16"/>
  <c r="J2871" i="16"/>
  <c r="I2871" i="16"/>
  <c r="O2875" i="16"/>
  <c r="G2875" i="16"/>
  <c r="N2875" i="16"/>
  <c r="F2875" i="16"/>
  <c r="K2875" i="16"/>
  <c r="L2878" i="16"/>
  <c r="K2878" i="16"/>
  <c r="I2878" i="16"/>
  <c r="M2893" i="16"/>
  <c r="E2893" i="16"/>
  <c r="L2893" i="16"/>
  <c r="J2893" i="16"/>
  <c r="P2898" i="16"/>
  <c r="H2898" i="16"/>
  <c r="O2898" i="16"/>
  <c r="G2898" i="16"/>
  <c r="K2898" i="16"/>
  <c r="N2916" i="16"/>
  <c r="F2916" i="16"/>
  <c r="M2916" i="16"/>
  <c r="E2916" i="16"/>
  <c r="K2916" i="16"/>
  <c r="K2935" i="16"/>
  <c r="J2935" i="16"/>
  <c r="I2935" i="16"/>
  <c r="O2939" i="16"/>
  <c r="G2939" i="16"/>
  <c r="N2939" i="16"/>
  <c r="F2939" i="16"/>
  <c r="K2939" i="16"/>
  <c r="L2942" i="16"/>
  <c r="K2942" i="16"/>
  <c r="I2942" i="16"/>
  <c r="M2957" i="16"/>
  <c r="E2957" i="16"/>
  <c r="L2957" i="16"/>
  <c r="J2957" i="16"/>
  <c r="P2962" i="16"/>
  <c r="H2962" i="16"/>
  <c r="O2962" i="16"/>
  <c r="G2962" i="16"/>
  <c r="K2962" i="16"/>
  <c r="N2980" i="16"/>
  <c r="F2980" i="16"/>
  <c r="M2980" i="16"/>
  <c r="E2980" i="16"/>
  <c r="K2980" i="16"/>
  <c r="K2999" i="16"/>
  <c r="J2999" i="16"/>
  <c r="I2999" i="16"/>
  <c r="O3003" i="16"/>
  <c r="G3003" i="16"/>
  <c r="N3003" i="16"/>
  <c r="F3003" i="16"/>
  <c r="K3003" i="16"/>
  <c r="L3006" i="16"/>
  <c r="K3006" i="16"/>
  <c r="I3006" i="16"/>
  <c r="M3021" i="16"/>
  <c r="E3021" i="16"/>
  <c r="L3021" i="16"/>
  <c r="J3021" i="16"/>
  <c r="P3026" i="16"/>
  <c r="H3026" i="16"/>
  <c r="O3026" i="16"/>
  <c r="G3026" i="16"/>
  <c r="K3026" i="16"/>
  <c r="N3044" i="16"/>
  <c r="F3044" i="16"/>
  <c r="M3044" i="16"/>
  <c r="E3044" i="16"/>
  <c r="K3044" i="16"/>
  <c r="K3063" i="16"/>
  <c r="J3063" i="16"/>
  <c r="I3063" i="16"/>
  <c r="O3067" i="16"/>
  <c r="G3067" i="16"/>
  <c r="N3067" i="16"/>
  <c r="F3067" i="16"/>
  <c r="K3067" i="16"/>
  <c r="L3070" i="16"/>
  <c r="K3070" i="16"/>
  <c r="I3070" i="16"/>
  <c r="M3085" i="16"/>
  <c r="E3085" i="16"/>
  <c r="L3085" i="16"/>
  <c r="J3085" i="16"/>
  <c r="P3090" i="16"/>
  <c r="H3090" i="16"/>
  <c r="O3090" i="16"/>
  <c r="G3090" i="16"/>
  <c r="K3090" i="16"/>
  <c r="N3108" i="16"/>
  <c r="F3108" i="16"/>
  <c r="M3108" i="16"/>
  <c r="E3108" i="16"/>
  <c r="K3108" i="16"/>
  <c r="K3127" i="16"/>
  <c r="J3127" i="16"/>
  <c r="I3127" i="16"/>
  <c r="O3131" i="16"/>
  <c r="G3131" i="16"/>
  <c r="N3131" i="16"/>
  <c r="F3131" i="16"/>
  <c r="K3131" i="16"/>
  <c r="L3134" i="16"/>
  <c r="K3134" i="16"/>
  <c r="I3134" i="16"/>
  <c r="M3149" i="16"/>
  <c r="E3149" i="16"/>
  <c r="L3149" i="16"/>
  <c r="J3149" i="16"/>
  <c r="P3154" i="16"/>
  <c r="H3154" i="16"/>
  <c r="O3154" i="16"/>
  <c r="G3154" i="16"/>
  <c r="K3154" i="16"/>
  <c r="N3172" i="16"/>
  <c r="F3172" i="16"/>
  <c r="M3172" i="16"/>
  <c r="E3172" i="16"/>
  <c r="K3172" i="16"/>
  <c r="K3191" i="16"/>
  <c r="J3191" i="16"/>
  <c r="I3191" i="16"/>
  <c r="O3195" i="16"/>
  <c r="G3195" i="16"/>
  <c r="N3195" i="16"/>
  <c r="F3195" i="16"/>
  <c r="K3195" i="16"/>
  <c r="L3198" i="16"/>
  <c r="K3198" i="16"/>
  <c r="I3198" i="16"/>
  <c r="M3213" i="16"/>
  <c r="E3213" i="16"/>
  <c r="L3213" i="16"/>
  <c r="J3213" i="16"/>
  <c r="P3218" i="16"/>
  <c r="H3218" i="16"/>
  <c r="O3218" i="16"/>
  <c r="G3218" i="16"/>
  <c r="K3218" i="16"/>
  <c r="N3236" i="16"/>
  <c r="F3236" i="16"/>
  <c r="M3236" i="16"/>
  <c r="E3236" i="16"/>
  <c r="K3236" i="16"/>
  <c r="K3255" i="16"/>
  <c r="J3255" i="16"/>
  <c r="I3255" i="16"/>
  <c r="O3259" i="16"/>
  <c r="G3259" i="16"/>
  <c r="N3259" i="16"/>
  <c r="F3259" i="16"/>
  <c r="K3259" i="16"/>
  <c r="L3262" i="16"/>
  <c r="K3262" i="16"/>
  <c r="I3262" i="16"/>
  <c r="M3277" i="16"/>
  <c r="E3277" i="16"/>
  <c r="L3277" i="16"/>
  <c r="J3277" i="16"/>
  <c r="P3282" i="16"/>
  <c r="H3282" i="16"/>
  <c r="O3282" i="16"/>
  <c r="G3282" i="16"/>
  <c r="K3282" i="16"/>
  <c r="N3300" i="16"/>
  <c r="F3300" i="16"/>
  <c r="M3300" i="16"/>
  <c r="E3300" i="16"/>
  <c r="K3300" i="16"/>
  <c r="K3319" i="16"/>
  <c r="J3319" i="16"/>
  <c r="I3319" i="16"/>
  <c r="O3323" i="16"/>
  <c r="G3323" i="16"/>
  <c r="N3323" i="16"/>
  <c r="F3323" i="16"/>
  <c r="K3323" i="16"/>
  <c r="L3326" i="16"/>
  <c r="K3326" i="16"/>
  <c r="I3326" i="16"/>
  <c r="M3341" i="16"/>
  <c r="E3341" i="16"/>
  <c r="L3341" i="16"/>
  <c r="J3341" i="16"/>
  <c r="P3346" i="16"/>
  <c r="H3346" i="16"/>
  <c r="O3346" i="16"/>
  <c r="G3346" i="16"/>
  <c r="K3346" i="16"/>
  <c r="N3364" i="16"/>
  <c r="F3364" i="16"/>
  <c r="M3364" i="16"/>
  <c r="E3364" i="16"/>
  <c r="K3364" i="16"/>
  <c r="K3383" i="16"/>
  <c r="J3383" i="16"/>
  <c r="I3383" i="16"/>
  <c r="O3387" i="16"/>
  <c r="G3387" i="16"/>
  <c r="N3387" i="16"/>
  <c r="F3387" i="16"/>
  <c r="K3387" i="16"/>
  <c r="L3390" i="16"/>
  <c r="K3390" i="16"/>
  <c r="I3390" i="16"/>
  <c r="M3405" i="16"/>
  <c r="E3405" i="16"/>
  <c r="L3405" i="16"/>
  <c r="J3405" i="16"/>
  <c r="P3410" i="16"/>
  <c r="H3410" i="16"/>
  <c r="O3410" i="16"/>
  <c r="G3410" i="16"/>
  <c r="K3410" i="16"/>
  <c r="N3428" i="16"/>
  <c r="F3428" i="16"/>
  <c r="M3428" i="16"/>
  <c r="E3428" i="16"/>
  <c r="K3428" i="16"/>
  <c r="K3447" i="16"/>
  <c r="J3447" i="16"/>
  <c r="I3447" i="16"/>
  <c r="O3451" i="16"/>
  <c r="G3451" i="16"/>
  <c r="N3451" i="16"/>
  <c r="F3451" i="16"/>
  <c r="K3451" i="16"/>
  <c r="L3454" i="16"/>
  <c r="K3454" i="16"/>
  <c r="I3454" i="16"/>
  <c r="M3469" i="16"/>
  <c r="E3469" i="16"/>
  <c r="L3469" i="16"/>
  <c r="J3469" i="16"/>
  <c r="P3474" i="16"/>
  <c r="H3474" i="16"/>
  <c r="O3474" i="16"/>
  <c r="G3474" i="16"/>
  <c r="K3474" i="16"/>
  <c r="N3492" i="16"/>
  <c r="F3492" i="16"/>
  <c r="M3492" i="16"/>
  <c r="E3492" i="16"/>
  <c r="K3492" i="16"/>
  <c r="G3502" i="16"/>
  <c r="K3511" i="16"/>
  <c r="J3511" i="16"/>
  <c r="I3511" i="16"/>
  <c r="O3515" i="16"/>
  <c r="G3515" i="16"/>
  <c r="N3515" i="16"/>
  <c r="F3515" i="16"/>
  <c r="K3515" i="16"/>
  <c r="L3518" i="16"/>
  <c r="K3518" i="16"/>
  <c r="I3518" i="16"/>
  <c r="M3533" i="16"/>
  <c r="E3533" i="16"/>
  <c r="L3533" i="16"/>
  <c r="J3533" i="16"/>
  <c r="P3538" i="16"/>
  <c r="H3538" i="16"/>
  <c r="O3538" i="16"/>
  <c r="G3538" i="16"/>
  <c r="K3538" i="16"/>
  <c r="N3556" i="16"/>
  <c r="F3556" i="16"/>
  <c r="M3556" i="16"/>
  <c r="E3556" i="16"/>
  <c r="K3556" i="16"/>
  <c r="G3559" i="16"/>
  <c r="T3559" i="16"/>
  <c r="I3563" i="16"/>
  <c r="G3566" i="16"/>
  <c r="T3566" i="16"/>
  <c r="K3575" i="16"/>
  <c r="J3575" i="16"/>
  <c r="I3575" i="16"/>
  <c r="O3579" i="16"/>
  <c r="G3579" i="16"/>
  <c r="N3579" i="16"/>
  <c r="F3579" i="16"/>
  <c r="K3579" i="16"/>
  <c r="H3581" i="16"/>
  <c r="L3582" i="16"/>
  <c r="K3582" i="16"/>
  <c r="I3582" i="16"/>
  <c r="I3586" i="16"/>
  <c r="M3597" i="16"/>
  <c r="E3597" i="16"/>
  <c r="L3597" i="16"/>
  <c r="J3597" i="16"/>
  <c r="P3602" i="16"/>
  <c r="H3602" i="16"/>
  <c r="O3602" i="16"/>
  <c r="G3602" i="16"/>
  <c r="K3602" i="16"/>
  <c r="I3604" i="16"/>
  <c r="N3620" i="16"/>
  <c r="F3620" i="16"/>
  <c r="M3620" i="16"/>
  <c r="E3620" i="16"/>
  <c r="K3620" i="16"/>
  <c r="G3623" i="16"/>
  <c r="G3630" i="16"/>
  <c r="K3639" i="16"/>
  <c r="J3639" i="16"/>
  <c r="I3639" i="16"/>
  <c r="O3643" i="16"/>
  <c r="G3643" i="16"/>
  <c r="N3643" i="16"/>
  <c r="F3643" i="16"/>
  <c r="K3643" i="16"/>
  <c r="H3645" i="16"/>
  <c r="L3646" i="16"/>
  <c r="K3646" i="16"/>
  <c r="I3646" i="16"/>
  <c r="M3661" i="16"/>
  <c r="E3661" i="16"/>
  <c r="L3661" i="16"/>
  <c r="J3661" i="16"/>
  <c r="P3666" i="16"/>
  <c r="H3666" i="16"/>
  <c r="O3666" i="16"/>
  <c r="G3666" i="16"/>
  <c r="K3666" i="16"/>
  <c r="N3684" i="16"/>
  <c r="F3684" i="16"/>
  <c r="M3684" i="16"/>
  <c r="E3684" i="16"/>
  <c r="K3684" i="16"/>
  <c r="G3694" i="16"/>
  <c r="T3694" i="16"/>
  <c r="K3703" i="16"/>
  <c r="J3703" i="16"/>
  <c r="I3703" i="16"/>
  <c r="O3707" i="16"/>
  <c r="G3707" i="16"/>
  <c r="N3707" i="16"/>
  <c r="F3707" i="16"/>
  <c r="K3707" i="16"/>
  <c r="L3710" i="16"/>
  <c r="K3710" i="16"/>
  <c r="I3710" i="16"/>
  <c r="I3714" i="16"/>
  <c r="M3725" i="16"/>
  <c r="E3725" i="16"/>
  <c r="L3725" i="16"/>
  <c r="J3725" i="16"/>
  <c r="P3730" i="16"/>
  <c r="H3730" i="16"/>
  <c r="O3730" i="16"/>
  <c r="G3730" i="16"/>
  <c r="K3730" i="16"/>
  <c r="I3732" i="16"/>
  <c r="N3748" i="16"/>
  <c r="F3748" i="16"/>
  <c r="M3748" i="16"/>
  <c r="E3748" i="16"/>
  <c r="K3748" i="16"/>
  <c r="G3751" i="16"/>
  <c r="T3751" i="16"/>
  <c r="I3755" i="16"/>
  <c r="G3758" i="16"/>
  <c r="T3758" i="16"/>
  <c r="K3767" i="16"/>
  <c r="J3767" i="16"/>
  <c r="I3767" i="16"/>
  <c r="O3771" i="16"/>
  <c r="G3771" i="16"/>
  <c r="N3771" i="16"/>
  <c r="F3771" i="16"/>
  <c r="K3771" i="16"/>
  <c r="H3773" i="16"/>
  <c r="L3774" i="16"/>
  <c r="K3774" i="16"/>
  <c r="I3774" i="16"/>
  <c r="I3778" i="16"/>
  <c r="M3789" i="16"/>
  <c r="E3789" i="16"/>
  <c r="L3789" i="16"/>
  <c r="J3789" i="16"/>
  <c r="P3794" i="16"/>
  <c r="H3794" i="16"/>
  <c r="O3794" i="16"/>
  <c r="G3794" i="16"/>
  <c r="K3794" i="16"/>
  <c r="I3796" i="16"/>
  <c r="N3812" i="16"/>
  <c r="F3812" i="16"/>
  <c r="M3812" i="16"/>
  <c r="E3812" i="16"/>
  <c r="K3812" i="16"/>
  <c r="T3815" i="16"/>
  <c r="I3819" i="16"/>
  <c r="G3822" i="16"/>
  <c r="T3822" i="16"/>
  <c r="K3831" i="16"/>
  <c r="J3831" i="16"/>
  <c r="I3831" i="16"/>
  <c r="O3835" i="16"/>
  <c r="G3835" i="16"/>
  <c r="N3835" i="16"/>
  <c r="F3835" i="16"/>
  <c r="K3835" i="16"/>
  <c r="H3837" i="16"/>
  <c r="L3838" i="16"/>
  <c r="K3838" i="16"/>
  <c r="I3838" i="16"/>
  <c r="I3842" i="16"/>
  <c r="M3853" i="16"/>
  <c r="E3853" i="16"/>
  <c r="L3853" i="16"/>
  <c r="J3853" i="16"/>
  <c r="P3858" i="16"/>
  <c r="H3858" i="16"/>
  <c r="O3858" i="16"/>
  <c r="G3858" i="16"/>
  <c r="K3858" i="16"/>
  <c r="I3860" i="16"/>
  <c r="N3876" i="16"/>
  <c r="F3876" i="16"/>
  <c r="M3876" i="16"/>
  <c r="E3876" i="16"/>
  <c r="K3876" i="16"/>
  <c r="G3879" i="16"/>
  <c r="T3879" i="16"/>
  <c r="I3883" i="16"/>
  <c r="G3886" i="16"/>
  <c r="T3886" i="16"/>
  <c r="K3895" i="16"/>
  <c r="J3895" i="16"/>
  <c r="I3895" i="16"/>
  <c r="O3899" i="16"/>
  <c r="G3899" i="16"/>
  <c r="N3899" i="16"/>
  <c r="F3899" i="16"/>
  <c r="K3899" i="16"/>
  <c r="L3902" i="16"/>
  <c r="K3902" i="16"/>
  <c r="I3902" i="16"/>
  <c r="I3906" i="16"/>
  <c r="M3917" i="16"/>
  <c r="E3917" i="16"/>
  <c r="L3917" i="16"/>
  <c r="J3917" i="16"/>
  <c r="P3922" i="16"/>
  <c r="H3922" i="16"/>
  <c r="O3922" i="16"/>
  <c r="G3922" i="16"/>
  <c r="K3922" i="16"/>
  <c r="I3924" i="16"/>
  <c r="J3941" i="16"/>
  <c r="G3948" i="16"/>
  <c r="J3965" i="16"/>
  <c r="G3972" i="16"/>
  <c r="M3975" i="16"/>
  <c r="E3975" i="16"/>
  <c r="P3975" i="16"/>
  <c r="G3975" i="16"/>
  <c r="O3975" i="16"/>
  <c r="F3975" i="16"/>
  <c r="L3975" i="16"/>
  <c r="G3984" i="16"/>
  <c r="K3985" i="16"/>
  <c r="M3985" i="16"/>
  <c r="L3985" i="16"/>
  <c r="I3985" i="16"/>
  <c r="J3990" i="16"/>
  <c r="H3998" i="16"/>
  <c r="L4008" i="16"/>
  <c r="K4008" i="16"/>
  <c r="J4008" i="16"/>
  <c r="I4008" i="16"/>
  <c r="J4014" i="16"/>
  <c r="L4016" i="16"/>
  <c r="T4016" i="16"/>
  <c r="H4016" i="16"/>
  <c r="P4016" i="16"/>
  <c r="G4016" i="16"/>
  <c r="K4016" i="16"/>
  <c r="J4018" i="16"/>
  <c r="T4018" i="16"/>
  <c r="H4018" i="16"/>
  <c r="P4018" i="16"/>
  <c r="G4018" i="16"/>
  <c r="L4018" i="16"/>
  <c r="L4024" i="16"/>
  <c r="N4024" i="16"/>
  <c r="E4024" i="16"/>
  <c r="M4024" i="16"/>
  <c r="J4024" i="16"/>
  <c r="I4040" i="16"/>
  <c r="N4044" i="16"/>
  <c r="F4044" i="16"/>
  <c r="P4044" i="16"/>
  <c r="G4044" i="16"/>
  <c r="H4044" i="16"/>
  <c r="T4044" i="16"/>
  <c r="E4044" i="16"/>
  <c r="M4044" i="16"/>
  <c r="I4055" i="16"/>
  <c r="J4064" i="16"/>
  <c r="K4064" i="16"/>
  <c r="P4064" i="16"/>
  <c r="F4064" i="16"/>
  <c r="O4064" i="16"/>
  <c r="E4064" i="16"/>
  <c r="M4064" i="16"/>
  <c r="M4077" i="16"/>
  <c r="E4077" i="16"/>
  <c r="L4077" i="16"/>
  <c r="H4077" i="16"/>
  <c r="T4077" i="16"/>
  <c r="G4077" i="16"/>
  <c r="N4077" i="16"/>
  <c r="P4090" i="16"/>
  <c r="H4090" i="16"/>
  <c r="K4090" i="16"/>
  <c r="N4090" i="16"/>
  <c r="M4090" i="16"/>
  <c r="J4090" i="16"/>
  <c r="K4099" i="16"/>
  <c r="K4111" i="16"/>
  <c r="T4111" i="16"/>
  <c r="H4111" i="16"/>
  <c r="P4111" i="16"/>
  <c r="F4111" i="16"/>
  <c r="O4111" i="16"/>
  <c r="E4111" i="16"/>
  <c r="M4111" i="16"/>
  <c r="K4112" i="16"/>
  <c r="J4123" i="16"/>
  <c r="I4132" i="16"/>
  <c r="K4159" i="16"/>
  <c r="O4159" i="16"/>
  <c r="F4159" i="16"/>
  <c r="H4159" i="16"/>
  <c r="T4159" i="16"/>
  <c r="G4159" i="16"/>
  <c r="M4159" i="16"/>
  <c r="H4165" i="16"/>
  <c r="I4179" i="16"/>
  <c r="K4183" i="16"/>
  <c r="N4183" i="16"/>
  <c r="E4183" i="16"/>
  <c r="P4183" i="16"/>
  <c r="F4183" i="16"/>
  <c r="O4183" i="16"/>
  <c r="L4183" i="16"/>
  <c r="P4194" i="16"/>
  <c r="H4194" i="16"/>
  <c r="L4194" i="16"/>
  <c r="I4194" i="16"/>
  <c r="G4194" i="16"/>
  <c r="M4194" i="16"/>
  <c r="J4200" i="16"/>
  <c r="P4200" i="16"/>
  <c r="G4200" i="16"/>
  <c r="T4200" i="16"/>
  <c r="F4200" i="16"/>
  <c r="O4200" i="16"/>
  <c r="E4200" i="16"/>
  <c r="M4200" i="16"/>
  <c r="P4210" i="16"/>
  <c r="H4210" i="16"/>
  <c r="N4210" i="16"/>
  <c r="E4210" i="16"/>
  <c r="T4210" i="16"/>
  <c r="F4210" i="16"/>
  <c r="O4210" i="16"/>
  <c r="L4210" i="16"/>
  <c r="K4211" i="16"/>
  <c r="M4213" i="16"/>
  <c r="E4213" i="16"/>
  <c r="I4213" i="16"/>
  <c r="T4213" i="16"/>
  <c r="G4213" i="16"/>
  <c r="P4213" i="16"/>
  <c r="F4213" i="16"/>
  <c r="N4213" i="16"/>
  <c r="J4219" i="16"/>
  <c r="O4227" i="16"/>
  <c r="G4227" i="16"/>
  <c r="I4227" i="16"/>
  <c r="H4227" i="16"/>
  <c r="T4227" i="16"/>
  <c r="F4227" i="16"/>
  <c r="M4227" i="16"/>
  <c r="I4235" i="16"/>
  <c r="G4238" i="16"/>
  <c r="J4240" i="16"/>
  <c r="T4240" i="16"/>
  <c r="H4240" i="16"/>
  <c r="I4240" i="16"/>
  <c r="G4240" i="16"/>
  <c r="M4240" i="16"/>
  <c r="K4248" i="16"/>
  <c r="O4251" i="16"/>
  <c r="G4251" i="16"/>
  <c r="T4251" i="16"/>
  <c r="H4251" i="16"/>
  <c r="P4251" i="16"/>
  <c r="E4251" i="16"/>
  <c r="N4251" i="16"/>
  <c r="L4251" i="16"/>
  <c r="K4252" i="16"/>
  <c r="N4260" i="16"/>
  <c r="F4260" i="16"/>
  <c r="O4260" i="16"/>
  <c r="E4260" i="16"/>
  <c r="P4260" i="16"/>
  <c r="M4260" i="16"/>
  <c r="K4260" i="16"/>
  <c r="I4268" i="16"/>
  <c r="M4293" i="16"/>
  <c r="E4293" i="16"/>
  <c r="K4293" i="16"/>
  <c r="N4293" i="16"/>
  <c r="L4293" i="16"/>
  <c r="J4293" i="16"/>
  <c r="K4295" i="16"/>
  <c r="L4295" i="16"/>
  <c r="P4295" i="16"/>
  <c r="F4295" i="16"/>
  <c r="O4295" i="16"/>
  <c r="E4295" i="16"/>
  <c r="M4295" i="16"/>
  <c r="O4307" i="16"/>
  <c r="G4307" i="16"/>
  <c r="K4307" i="16"/>
  <c r="P4307" i="16"/>
  <c r="E4307" i="16"/>
  <c r="N4307" i="16"/>
  <c r="L4307" i="16"/>
  <c r="H4310" i="16"/>
  <c r="K4319" i="16"/>
  <c r="J4319" i="16"/>
  <c r="O4319" i="16"/>
  <c r="E4319" i="16"/>
  <c r="N4319" i="16"/>
  <c r="L4319" i="16"/>
  <c r="K4325" i="16"/>
  <c r="G4336" i="16"/>
  <c r="O4339" i="16"/>
  <c r="G4339" i="16"/>
  <c r="P4339" i="16"/>
  <c r="F4339" i="16"/>
  <c r="J4339" i="16"/>
  <c r="I4339" i="16"/>
  <c r="M4339" i="16"/>
  <c r="O4347" i="16"/>
  <c r="G4347" i="16"/>
  <c r="L4347" i="16"/>
  <c r="T4347" i="16"/>
  <c r="F4347" i="16"/>
  <c r="P4347" i="16"/>
  <c r="E4347" i="16"/>
  <c r="M4347" i="16"/>
  <c r="J4348" i="16"/>
  <c r="I4350" i="16"/>
  <c r="O4363" i="16"/>
  <c r="G4363" i="16"/>
  <c r="N4363" i="16"/>
  <c r="E4363" i="16"/>
  <c r="M4363" i="16"/>
  <c r="L4363" i="16"/>
  <c r="K4363" i="16"/>
  <c r="L4366" i="16"/>
  <c r="T4366" i="16"/>
  <c r="H4366" i="16"/>
  <c r="N4366" i="16"/>
  <c r="M4366" i="16"/>
  <c r="J4366" i="16"/>
  <c r="J4372" i="16"/>
  <c r="J4376" i="16"/>
  <c r="N4376" i="16"/>
  <c r="E4376" i="16"/>
  <c r="H4376" i="16"/>
  <c r="T4376" i="16"/>
  <c r="G4376" i="16"/>
  <c r="M4376" i="16"/>
  <c r="N4380" i="16"/>
  <c r="F4380" i="16"/>
  <c r="I4380" i="16"/>
  <c r="J4380" i="16"/>
  <c r="H4380" i="16"/>
  <c r="M4380" i="16"/>
  <c r="G4382" i="16"/>
  <c r="N4396" i="16"/>
  <c r="F4396" i="16"/>
  <c r="K4396" i="16"/>
  <c r="P4396" i="16"/>
  <c r="E4396" i="16"/>
  <c r="O4396" i="16"/>
  <c r="L4396" i="16"/>
  <c r="L4438" i="16"/>
  <c r="N4438" i="16"/>
  <c r="E4438" i="16"/>
  <c r="M4438" i="16"/>
  <c r="K4438" i="16"/>
  <c r="J4438" i="16"/>
  <c r="M4453" i="16"/>
  <c r="E4453" i="16"/>
  <c r="P4453" i="16"/>
  <c r="G4453" i="16"/>
  <c r="I4453" i="16"/>
  <c r="H4453" i="16"/>
  <c r="N4453" i="16"/>
  <c r="K4455" i="16"/>
  <c r="P4455" i="16"/>
  <c r="G4455" i="16"/>
  <c r="N4455" i="16"/>
  <c r="M4455" i="16"/>
  <c r="J4455" i="16"/>
  <c r="J4464" i="16"/>
  <c r="M4464" i="16"/>
  <c r="L4464" i="16"/>
  <c r="K4464" i="16"/>
  <c r="I4464" i="16"/>
  <c r="N4476" i="16"/>
  <c r="F4476" i="16"/>
  <c r="M4476" i="16"/>
  <c r="I4476" i="16"/>
  <c r="H4476" i="16"/>
  <c r="L4476" i="16"/>
  <c r="L4478" i="16"/>
  <c r="O4478" i="16"/>
  <c r="F4478" i="16"/>
  <c r="P4478" i="16"/>
  <c r="E4478" i="16"/>
  <c r="N4478" i="16"/>
  <c r="K4478" i="16"/>
  <c r="J4488" i="16"/>
  <c r="L4488" i="16"/>
  <c r="T4488" i="16"/>
  <c r="G4488" i="16"/>
  <c r="P4488" i="16"/>
  <c r="F4488" i="16"/>
  <c r="M4488" i="16"/>
  <c r="J4495" i="16"/>
  <c r="N4500" i="16"/>
  <c r="F4500" i="16"/>
  <c r="L4500" i="16"/>
  <c r="H4500" i="16"/>
  <c r="T4500" i="16"/>
  <c r="G4500" i="16"/>
  <c r="M4500" i="16"/>
  <c r="L4510" i="16"/>
  <c r="J4510" i="16"/>
  <c r="N4510" i="16"/>
  <c r="M4510" i="16"/>
  <c r="I4510" i="16"/>
  <c r="N4532" i="16"/>
  <c r="F4532" i="16"/>
  <c r="T4532" i="16"/>
  <c r="H4532" i="16"/>
  <c r="M4532" i="16"/>
  <c r="L4532" i="16"/>
  <c r="K4532" i="16"/>
  <c r="J4543" i="16"/>
  <c r="P4546" i="16"/>
  <c r="H4546" i="16"/>
  <c r="T4546" i="16"/>
  <c r="G4546" i="16"/>
  <c r="N4546" i="16"/>
  <c r="M4546" i="16"/>
  <c r="K4546" i="16"/>
  <c r="I4551" i="16"/>
  <c r="K4556" i="16"/>
  <c r="K4559" i="16"/>
  <c r="T4559" i="16"/>
  <c r="H4559" i="16"/>
  <c r="P4559" i="16"/>
  <c r="F4559" i="16"/>
  <c r="O4559" i="16"/>
  <c r="E4559" i="16"/>
  <c r="N4559" i="16"/>
  <c r="M4559" i="16"/>
  <c r="O4563" i="16"/>
  <c r="G4563" i="16"/>
  <c r="K4563" i="16"/>
  <c r="P4563" i="16"/>
  <c r="E4563" i="16"/>
  <c r="N4563" i="16"/>
  <c r="M4563" i="16"/>
  <c r="L4563" i="16"/>
  <c r="K4564" i="16"/>
  <c r="J4567" i="16"/>
  <c r="L4594" i="16"/>
  <c r="M4610" i="16"/>
  <c r="K4615" i="16"/>
  <c r="N4615" i="16"/>
  <c r="E4615" i="16"/>
  <c r="M4615" i="16"/>
  <c r="L4615" i="16"/>
  <c r="I4615" i="16"/>
  <c r="H4615" i="16"/>
  <c r="G4615" i="16"/>
  <c r="T4615" i="16"/>
  <c r="O4619" i="16"/>
  <c r="G4619" i="16"/>
  <c r="T4619" i="16"/>
  <c r="H4619" i="16"/>
  <c r="P4619" i="16"/>
  <c r="F4619" i="16"/>
  <c r="N4619" i="16"/>
  <c r="E4619" i="16"/>
  <c r="K4619" i="16"/>
  <c r="J4619" i="16"/>
  <c r="I4619" i="16"/>
  <c r="J4632" i="16"/>
  <c r="P4632" i="16"/>
  <c r="G4632" i="16"/>
  <c r="O4632" i="16"/>
  <c r="F4632" i="16"/>
  <c r="N4632" i="16"/>
  <c r="E4632" i="16"/>
  <c r="L4632" i="16"/>
  <c r="K4632" i="16"/>
  <c r="I4632" i="16"/>
  <c r="J4640" i="16"/>
  <c r="M4640" i="16"/>
  <c r="L4640" i="16"/>
  <c r="K4640" i="16"/>
  <c r="T4640" i="16"/>
  <c r="E4640" i="16"/>
  <c r="P4640" i="16"/>
  <c r="O4640" i="16"/>
  <c r="N4640" i="16"/>
  <c r="O4643" i="16"/>
  <c r="G4643" i="16"/>
  <c r="P4643" i="16"/>
  <c r="F4643" i="16"/>
  <c r="N4643" i="16"/>
  <c r="E4643" i="16"/>
  <c r="M4643" i="16"/>
  <c r="I4643" i="16"/>
  <c r="H4643" i="16"/>
  <c r="N4644" i="16"/>
  <c r="F4644" i="16"/>
  <c r="T4644" i="16"/>
  <c r="H4644" i="16"/>
  <c r="P4644" i="16"/>
  <c r="G4644" i="16"/>
  <c r="O4644" i="16"/>
  <c r="E4644" i="16"/>
  <c r="M4644" i="16"/>
  <c r="I4667" i="16"/>
  <c r="L4670" i="16"/>
  <c r="T4670" i="16"/>
  <c r="H4670" i="16"/>
  <c r="P4670" i="16"/>
  <c r="G4670" i="16"/>
  <c r="O4670" i="16"/>
  <c r="F4670" i="16"/>
  <c r="I4670" i="16"/>
  <c r="E4670" i="16"/>
  <c r="K4671" i="16"/>
  <c r="T4671" i="16"/>
  <c r="H4671" i="16"/>
  <c r="P4671" i="16"/>
  <c r="G4671" i="16"/>
  <c r="O4671" i="16"/>
  <c r="F4671" i="16"/>
  <c r="N4671" i="16"/>
  <c r="M4671" i="16"/>
  <c r="P4706" i="16"/>
  <c r="H4706" i="16"/>
  <c r="N4706" i="16"/>
  <c r="E4706" i="16"/>
  <c r="M4706" i="16"/>
  <c r="L4706" i="16"/>
  <c r="T4706" i="16"/>
  <c r="O4706" i="16"/>
  <c r="K4706" i="16"/>
  <c r="N4708" i="16"/>
  <c r="F4708" i="16"/>
  <c r="T4708" i="16"/>
  <c r="H4708" i="16"/>
  <c r="P4708" i="16"/>
  <c r="G4708" i="16"/>
  <c r="O4708" i="16"/>
  <c r="E4708" i="16"/>
  <c r="K4708" i="16"/>
  <c r="J4708" i="16"/>
  <c r="I4708" i="16"/>
  <c r="J4717" i="16"/>
  <c r="J4760" i="16"/>
  <c r="P4760" i="16"/>
  <c r="G4760" i="16"/>
  <c r="O4760" i="16"/>
  <c r="F4760" i="16"/>
  <c r="N4760" i="16"/>
  <c r="E4760" i="16"/>
  <c r="I4760" i="16"/>
  <c r="H4760" i="16"/>
  <c r="M4797" i="16"/>
  <c r="E4797" i="16"/>
  <c r="T4797" i="16"/>
  <c r="H4797" i="16"/>
  <c r="P4797" i="16"/>
  <c r="G4797" i="16"/>
  <c r="O4797" i="16"/>
  <c r="F4797" i="16"/>
  <c r="I4797" i="16"/>
  <c r="L4798" i="16"/>
  <c r="T4798" i="16"/>
  <c r="H4798" i="16"/>
  <c r="P4798" i="16"/>
  <c r="G4798" i="16"/>
  <c r="O4798" i="16"/>
  <c r="F4798" i="16"/>
  <c r="N4798" i="16"/>
  <c r="M4798" i="16"/>
  <c r="N4812" i="16"/>
  <c r="F4812" i="16"/>
  <c r="I4812" i="16"/>
  <c r="T4812" i="16"/>
  <c r="H4812" i="16"/>
  <c r="P4812" i="16"/>
  <c r="G4812" i="16"/>
  <c r="K4812" i="16"/>
  <c r="J4812" i="16"/>
  <c r="E4812" i="16"/>
  <c r="L4822" i="16"/>
  <c r="P4822" i="16"/>
  <c r="G4822" i="16"/>
  <c r="O4822" i="16"/>
  <c r="F4822" i="16"/>
  <c r="N4822" i="16"/>
  <c r="E4822" i="16"/>
  <c r="H4822" i="16"/>
  <c r="T4822" i="16"/>
  <c r="L4846" i="16"/>
  <c r="O4846" i="16"/>
  <c r="F4846" i="16"/>
  <c r="N4846" i="16"/>
  <c r="E4846" i="16"/>
  <c r="M4846" i="16"/>
  <c r="J4846" i="16"/>
  <c r="I4846" i="16"/>
  <c r="H4846" i="16"/>
  <c r="K4847" i="16"/>
  <c r="O4847" i="16"/>
  <c r="F4847" i="16"/>
  <c r="N4847" i="16"/>
  <c r="E4847" i="16"/>
  <c r="M4847" i="16"/>
  <c r="G4847" i="16"/>
  <c r="T4847" i="16"/>
  <c r="P4847" i="16"/>
  <c r="O4851" i="16"/>
  <c r="G4851" i="16"/>
  <c r="I4851" i="16"/>
  <c r="T4851" i="16"/>
  <c r="H4851" i="16"/>
  <c r="P4851" i="16"/>
  <c r="F4851" i="16"/>
  <c r="K4851" i="16"/>
  <c r="J4851" i="16"/>
  <c r="E4851" i="16"/>
  <c r="O4870" i="16"/>
  <c r="L4886" i="16"/>
  <c r="P4886" i="16"/>
  <c r="G4886" i="16"/>
  <c r="O4886" i="16"/>
  <c r="F4886" i="16"/>
  <c r="N4886" i="16"/>
  <c r="E4886" i="16"/>
  <c r="K4886" i="16"/>
  <c r="J4886" i="16"/>
  <c r="I4886" i="16"/>
  <c r="K4895" i="16"/>
  <c r="M4895" i="16"/>
  <c r="L4895" i="16"/>
  <c r="J4895" i="16"/>
  <c r="F4895" i="16"/>
  <c r="T4895" i="16"/>
  <c r="E4895" i="16"/>
  <c r="P4895" i="16"/>
  <c r="O4895" i="16"/>
  <c r="J4928" i="16"/>
  <c r="T4928" i="16"/>
  <c r="H4928" i="16"/>
  <c r="P4928" i="16"/>
  <c r="G4928" i="16"/>
  <c r="O4928" i="16"/>
  <c r="F4928" i="16"/>
  <c r="I4928" i="16"/>
  <c r="E4928" i="16"/>
  <c r="K4935" i="16"/>
  <c r="N4935" i="16"/>
  <c r="E4935" i="16"/>
  <c r="M4935" i="16"/>
  <c r="L4935" i="16"/>
  <c r="H4935" i="16"/>
  <c r="G4935" i="16"/>
  <c r="F4935" i="16"/>
  <c r="T4935" i="16"/>
  <c r="N4940" i="16"/>
  <c r="F4940" i="16"/>
  <c r="I4940" i="16"/>
  <c r="T4940" i="16"/>
  <c r="H4940" i="16"/>
  <c r="P4940" i="16"/>
  <c r="G4940" i="16"/>
  <c r="E4940" i="16"/>
  <c r="O4940" i="16"/>
  <c r="O4947" i="16"/>
  <c r="G4947" i="16"/>
  <c r="M4947" i="16"/>
  <c r="L4947" i="16"/>
  <c r="K4947" i="16"/>
  <c r="T4947" i="16"/>
  <c r="P4947" i="16"/>
  <c r="N4947" i="16"/>
  <c r="J4947" i="16"/>
  <c r="J4960" i="16"/>
  <c r="M4960" i="16"/>
  <c r="L4960" i="16"/>
  <c r="K4960" i="16"/>
  <c r="P4960" i="16"/>
  <c r="O4960" i="16"/>
  <c r="N4960" i="16"/>
  <c r="I4960" i="16"/>
  <c r="P4978" i="16"/>
  <c r="H4978" i="16"/>
  <c r="T4978" i="16"/>
  <c r="G4978" i="16"/>
  <c r="O4978" i="16"/>
  <c r="F4978" i="16"/>
  <c r="N4978" i="16"/>
  <c r="E4978" i="16"/>
  <c r="J4978" i="16"/>
  <c r="I4978" i="16"/>
  <c r="J5000" i="16"/>
  <c r="N5000" i="16"/>
  <c r="E5000" i="16"/>
  <c r="M5000" i="16"/>
  <c r="L5000" i="16"/>
  <c r="G5000" i="16"/>
  <c r="F5000" i="16"/>
  <c r="T5000" i="16"/>
  <c r="P5000" i="16"/>
  <c r="L5054" i="16"/>
  <c r="K5054" i="16"/>
  <c r="H5054" i="16"/>
  <c r="T5054" i="16"/>
  <c r="G5054" i="16"/>
  <c r="P5054" i="16"/>
  <c r="F5054" i="16"/>
  <c r="E5054" i="16"/>
  <c r="O5054" i="16"/>
  <c r="M5093" i="16"/>
  <c r="E5093" i="16"/>
  <c r="L5093" i="16"/>
  <c r="T5093" i="16"/>
  <c r="G5093" i="16"/>
  <c r="P5093" i="16"/>
  <c r="F5093" i="16"/>
  <c r="O5093" i="16"/>
  <c r="N5093" i="16"/>
  <c r="P5114" i="16"/>
  <c r="H5114" i="16"/>
  <c r="O5114" i="16"/>
  <c r="G5114" i="16"/>
  <c r="T5114" i="16"/>
  <c r="E5114" i="16"/>
  <c r="N5114" i="16"/>
  <c r="M5114" i="16"/>
  <c r="F5114" i="16"/>
  <c r="O5115" i="16"/>
  <c r="G5115" i="16"/>
  <c r="N5115" i="16"/>
  <c r="F5115" i="16"/>
  <c r="J5115" i="16"/>
  <c r="I5115" i="16"/>
  <c r="H5115" i="16"/>
  <c r="T5115" i="16"/>
  <c r="P5115" i="16"/>
  <c r="L5182" i="16"/>
  <c r="K5182" i="16"/>
  <c r="H5182" i="16"/>
  <c r="T5182" i="16"/>
  <c r="G5182" i="16"/>
  <c r="P5182" i="16"/>
  <c r="F5182" i="16"/>
  <c r="E5182" i="16"/>
  <c r="O5182" i="16"/>
  <c r="M5221" i="16"/>
  <c r="E5221" i="16"/>
  <c r="L5221" i="16"/>
  <c r="T5221" i="16"/>
  <c r="G5221" i="16"/>
  <c r="P5221" i="16"/>
  <c r="F5221" i="16"/>
  <c r="O5221" i="16"/>
  <c r="N5221" i="16"/>
  <c r="P5242" i="16"/>
  <c r="H5242" i="16"/>
  <c r="O5242" i="16"/>
  <c r="G5242" i="16"/>
  <c r="T5242" i="16"/>
  <c r="E5242" i="16"/>
  <c r="N5242" i="16"/>
  <c r="M5242" i="16"/>
  <c r="F5242" i="16"/>
  <c r="O5243" i="16"/>
  <c r="G5243" i="16"/>
  <c r="N5243" i="16"/>
  <c r="F5243" i="16"/>
  <c r="J5243" i="16"/>
  <c r="I5243" i="16"/>
  <c r="H5243" i="16"/>
  <c r="T5243" i="16"/>
  <c r="P5243" i="16"/>
  <c r="M5269" i="16"/>
  <c r="E5269" i="16"/>
  <c r="L5269" i="16"/>
  <c r="T5269" i="16"/>
  <c r="G5269" i="16"/>
  <c r="P5269" i="16"/>
  <c r="F5269" i="16"/>
  <c r="O5269" i="16"/>
  <c r="H5269" i="16"/>
  <c r="L5270" i="16"/>
  <c r="K5270" i="16"/>
  <c r="H5270" i="16"/>
  <c r="T5270" i="16"/>
  <c r="G5270" i="16"/>
  <c r="P5270" i="16"/>
  <c r="F5270" i="16"/>
  <c r="O5270" i="16"/>
  <c r="N5270" i="16"/>
  <c r="O5275" i="16"/>
  <c r="G5275" i="16"/>
  <c r="N5275" i="16"/>
  <c r="F5275" i="16"/>
  <c r="J5275" i="16"/>
  <c r="I5275" i="16"/>
  <c r="H5275" i="16"/>
  <c r="M5275" i="16"/>
  <c r="L5275" i="16"/>
  <c r="K5275" i="16"/>
  <c r="L5310" i="16"/>
  <c r="K5310" i="16"/>
  <c r="H5310" i="16"/>
  <c r="T5310" i="16"/>
  <c r="G5310" i="16"/>
  <c r="P5310" i="16"/>
  <c r="F5310" i="16"/>
  <c r="E5310" i="16"/>
  <c r="O5310" i="16"/>
  <c r="L5366" i="16"/>
  <c r="K5366" i="16"/>
  <c r="H5366" i="16"/>
  <c r="T5366" i="16"/>
  <c r="G5366" i="16"/>
  <c r="P5366" i="16"/>
  <c r="F5366" i="16"/>
  <c r="M5366" i="16"/>
  <c r="J5366" i="16"/>
  <c r="I5366" i="16"/>
  <c r="P5370" i="16"/>
  <c r="H5370" i="16"/>
  <c r="O5370" i="16"/>
  <c r="G5370" i="16"/>
  <c r="T5370" i="16"/>
  <c r="E5370" i="16"/>
  <c r="N5370" i="16"/>
  <c r="M5370" i="16"/>
  <c r="F5370" i="16"/>
  <c r="O5371" i="16"/>
  <c r="G5371" i="16"/>
  <c r="N5371" i="16"/>
  <c r="F5371" i="16"/>
  <c r="J5371" i="16"/>
  <c r="I5371" i="16"/>
  <c r="H5371" i="16"/>
  <c r="T5371" i="16"/>
  <c r="P5371" i="16"/>
  <c r="M5397" i="16"/>
  <c r="E5397" i="16"/>
  <c r="L5397" i="16"/>
  <c r="T5397" i="16"/>
  <c r="G5397" i="16"/>
  <c r="P5397" i="16"/>
  <c r="F5397" i="16"/>
  <c r="O5397" i="16"/>
  <c r="H5397" i="16"/>
  <c r="L5398" i="16"/>
  <c r="K5398" i="16"/>
  <c r="H5398" i="16"/>
  <c r="T5398" i="16"/>
  <c r="G5398" i="16"/>
  <c r="P5398" i="16"/>
  <c r="F5398" i="16"/>
  <c r="O5398" i="16"/>
  <c r="N5398" i="16"/>
  <c r="O5403" i="16"/>
  <c r="G5403" i="16"/>
  <c r="N5403" i="16"/>
  <c r="F5403" i="16"/>
  <c r="J5403" i="16"/>
  <c r="I5403" i="16"/>
  <c r="H5403" i="16"/>
  <c r="M5403" i="16"/>
  <c r="L5403" i="16"/>
  <c r="K5403" i="16"/>
  <c r="L5438" i="16"/>
  <c r="K5438" i="16"/>
  <c r="H5438" i="16"/>
  <c r="T5438" i="16"/>
  <c r="G5438" i="16"/>
  <c r="P5438" i="16"/>
  <c r="F5438" i="16"/>
  <c r="E5438" i="16"/>
  <c r="O5438" i="16"/>
  <c r="L5494" i="16"/>
  <c r="K5494" i="16"/>
  <c r="H5494" i="16"/>
  <c r="T5494" i="16"/>
  <c r="G5494" i="16"/>
  <c r="P5494" i="16"/>
  <c r="F5494" i="16"/>
  <c r="M5494" i="16"/>
  <c r="J5494" i="16"/>
  <c r="I5494" i="16"/>
  <c r="P5498" i="16"/>
  <c r="H5498" i="16"/>
  <c r="O5498" i="16"/>
  <c r="G5498" i="16"/>
  <c r="T5498" i="16"/>
  <c r="E5498" i="16"/>
  <c r="N5498" i="16"/>
  <c r="M5498" i="16"/>
  <c r="F5498" i="16"/>
  <c r="O5499" i="16"/>
  <c r="G5499" i="16"/>
  <c r="N5499" i="16"/>
  <c r="F5499" i="16"/>
  <c r="J5499" i="16"/>
  <c r="I5499" i="16"/>
  <c r="H5499" i="16"/>
  <c r="T5499" i="16"/>
  <c r="P5499" i="16"/>
  <c r="M5525" i="16"/>
  <c r="E5525" i="16"/>
  <c r="L5525" i="16"/>
  <c r="T5525" i="16"/>
  <c r="G5525" i="16"/>
  <c r="P5525" i="16"/>
  <c r="F5525" i="16"/>
  <c r="O5525" i="16"/>
  <c r="H5525" i="16"/>
  <c r="L5526" i="16"/>
  <c r="K5526" i="16"/>
  <c r="H5526" i="16"/>
  <c r="T5526" i="16"/>
  <c r="G5526" i="16"/>
  <c r="P5526" i="16"/>
  <c r="F5526" i="16"/>
  <c r="O5526" i="16"/>
  <c r="N5526" i="16"/>
  <c r="O5531" i="16"/>
  <c r="G5531" i="16"/>
  <c r="N5531" i="16"/>
  <c r="F5531" i="16"/>
  <c r="J5531" i="16"/>
  <c r="I5531" i="16"/>
  <c r="H5531" i="16"/>
  <c r="M5531" i="16"/>
  <c r="L5531" i="16"/>
  <c r="K5531" i="16"/>
  <c r="P5562" i="16"/>
  <c r="H5562" i="16"/>
  <c r="O5562" i="16"/>
  <c r="G5562" i="16"/>
  <c r="N5562" i="16"/>
  <c r="F5562" i="16"/>
  <c r="J5562" i="16"/>
  <c r="I5562" i="16"/>
  <c r="E5562" i="16"/>
  <c r="M5562" i="16"/>
  <c r="L5562" i="16"/>
  <c r="K5562" i="16"/>
  <c r="P5570" i="16"/>
  <c r="H5570" i="16"/>
  <c r="O5570" i="16"/>
  <c r="G5570" i="16"/>
  <c r="N5570" i="16"/>
  <c r="F5570" i="16"/>
  <c r="K5570" i="16"/>
  <c r="J5570" i="16"/>
  <c r="I5570" i="16"/>
  <c r="M5570" i="16"/>
  <c r="L5570" i="16"/>
  <c r="E5570" i="16"/>
  <c r="N5596" i="16"/>
  <c r="F5596" i="16"/>
  <c r="M5596" i="16"/>
  <c r="E5596" i="16"/>
  <c r="L5596" i="16"/>
  <c r="G5596" i="16"/>
  <c r="T5596" i="16"/>
  <c r="P5596" i="16"/>
  <c r="J5596" i="16"/>
  <c r="I5596" i="16"/>
  <c r="H5596" i="16"/>
  <c r="P5610" i="16"/>
  <c r="H5610" i="16"/>
  <c r="O5610" i="16"/>
  <c r="G5610" i="16"/>
  <c r="N5610" i="16"/>
  <c r="F5610" i="16"/>
  <c r="E5610" i="16"/>
  <c r="T5610" i="16"/>
  <c r="I5610" i="16"/>
  <c r="N5612" i="16"/>
  <c r="F5612" i="16"/>
  <c r="M5612" i="16"/>
  <c r="E5612" i="16"/>
  <c r="L5612" i="16"/>
  <c r="I5612" i="16"/>
  <c r="H5612" i="16"/>
  <c r="G5612" i="16"/>
  <c r="T5612" i="16"/>
  <c r="M5629" i="16"/>
  <c r="E5629" i="16"/>
  <c r="L5629" i="16"/>
  <c r="K5629" i="16"/>
  <c r="T5629" i="16"/>
  <c r="F5629" i="16"/>
  <c r="P5629" i="16"/>
  <c r="O5629" i="16"/>
  <c r="J5629" i="16"/>
  <c r="I5629" i="16"/>
  <c r="H5629" i="16"/>
  <c r="N5652" i="16"/>
  <c r="F5652" i="16"/>
  <c r="M5652" i="16"/>
  <c r="E5652" i="16"/>
  <c r="L5652" i="16"/>
  <c r="T5652" i="16"/>
  <c r="P5652" i="16"/>
  <c r="O5652" i="16"/>
  <c r="I5652" i="16"/>
  <c r="H5652" i="16"/>
  <c r="G5652" i="16"/>
  <c r="O5707" i="16"/>
  <c r="G5707" i="16"/>
  <c r="N5707" i="16"/>
  <c r="F5707" i="16"/>
  <c r="M5707" i="16"/>
  <c r="E5707" i="16"/>
  <c r="I5707" i="16"/>
  <c r="H5707" i="16"/>
  <c r="J5707" i="16"/>
  <c r="O5723" i="16"/>
  <c r="G5723" i="16"/>
  <c r="N5723" i="16"/>
  <c r="F5723" i="16"/>
  <c r="M5723" i="16"/>
  <c r="E5723" i="16"/>
  <c r="K5723" i="16"/>
  <c r="J5723" i="16"/>
  <c r="I5723" i="16"/>
  <c r="P5723" i="16"/>
  <c r="L5723" i="16"/>
  <c r="H5723" i="16"/>
  <c r="O5779" i="16"/>
  <c r="G5779" i="16"/>
  <c r="N5779" i="16"/>
  <c r="F5779" i="16"/>
  <c r="M5779" i="16"/>
  <c r="E5779" i="16"/>
  <c r="J5779" i="16"/>
  <c r="I5779" i="16"/>
  <c r="H5779" i="16"/>
  <c r="P5779" i="16"/>
  <c r="L5779" i="16"/>
  <c r="K5779" i="16"/>
  <c r="M5877" i="16"/>
  <c r="E5877" i="16"/>
  <c r="L5877" i="16"/>
  <c r="K5877" i="16"/>
  <c r="P5877" i="16"/>
  <c r="O5877" i="16"/>
  <c r="N5877" i="16"/>
  <c r="I5877" i="16"/>
  <c r="H5877" i="16"/>
  <c r="G5877" i="16"/>
  <c r="L5886" i="16"/>
  <c r="K5886" i="16"/>
  <c r="J5886" i="16"/>
  <c r="H5886" i="16"/>
  <c r="G5886" i="16"/>
  <c r="T5886" i="16"/>
  <c r="F5886" i="16"/>
  <c r="M5886" i="16"/>
  <c r="I5886" i="16"/>
  <c r="E5886" i="16"/>
  <c r="V36" i="17"/>
  <c r="N36" i="17"/>
  <c r="AC36" i="17"/>
  <c r="U36" i="17"/>
  <c r="AH36" i="17" s="1"/>
  <c r="M36" i="17"/>
  <c r="AE36" i="17" s="1"/>
  <c r="AA36" i="17"/>
  <c r="Q36" i="17"/>
  <c r="Z36" i="17"/>
  <c r="Y36" i="17"/>
  <c r="T36" i="17"/>
  <c r="S36" i="17"/>
  <c r="R36" i="17"/>
  <c r="AF36" i="17" s="1"/>
  <c r="AB36" i="17"/>
  <c r="X36" i="17"/>
  <c r="W36" i="17"/>
  <c r="V130" i="17"/>
  <c r="N130" i="17"/>
  <c r="AC130" i="17"/>
  <c r="U130" i="17"/>
  <c r="AQ130" i="17" s="1"/>
  <c r="M130" i="17"/>
  <c r="AD130" i="17" s="1"/>
  <c r="Z130" i="17"/>
  <c r="Y130" i="17"/>
  <c r="X130" i="17"/>
  <c r="L130" i="17"/>
  <c r="S130" i="17"/>
  <c r="R130" i="17"/>
  <c r="AP130" i="17" s="1"/>
  <c r="Q130" i="17"/>
  <c r="AB130" i="17"/>
  <c r="AA130" i="17"/>
  <c r="W130" i="17"/>
  <c r="AO130" i="17"/>
  <c r="AA152" i="17"/>
  <c r="X152" i="17"/>
  <c r="W152" i="17"/>
  <c r="Y152" i="17"/>
  <c r="Z152" i="17"/>
  <c r="J152" i="17"/>
  <c r="R154" i="17"/>
  <c r="Q154" i="17"/>
  <c r="J160" i="17"/>
  <c r="AL376" i="17"/>
  <c r="AD376" i="17"/>
  <c r="V376" i="17"/>
  <c r="N376" i="17"/>
  <c r="AK376" i="17"/>
  <c r="AC376" i="17"/>
  <c r="U376" i="17"/>
  <c r="M376" i="17"/>
  <c r="AR376" i="17"/>
  <c r="AH376" i="17"/>
  <c r="X376" i="17"/>
  <c r="L376" i="17"/>
  <c r="AQ376" i="17"/>
  <c r="AG376" i="17"/>
  <c r="W376" i="17"/>
  <c r="K376" i="17"/>
  <c r="AP376" i="17"/>
  <c r="AF376" i="17"/>
  <c r="T376" i="17"/>
  <c r="J376" i="17"/>
  <c r="AN376" i="17"/>
  <c r="Y376" i="17"/>
  <c r="AM376" i="17"/>
  <c r="S376" i="17"/>
  <c r="AJ376" i="17"/>
  <c r="R376" i="17"/>
  <c r="Z376" i="17"/>
  <c r="Q376" i="17"/>
  <c r="P376" i="17"/>
  <c r="AI376" i="17"/>
  <c r="AE376" i="17"/>
  <c r="AB376" i="17"/>
  <c r="AL408" i="17"/>
  <c r="AD408" i="17"/>
  <c r="V408" i="17"/>
  <c r="N408" i="17"/>
  <c r="AK408" i="17"/>
  <c r="AC408" i="17"/>
  <c r="U408" i="17"/>
  <c r="M408" i="17"/>
  <c r="AI408" i="17"/>
  <c r="Y408" i="17"/>
  <c r="O408" i="17"/>
  <c r="AR408" i="17"/>
  <c r="AH408" i="17"/>
  <c r="X408" i="17"/>
  <c r="L408" i="17"/>
  <c r="AQ408" i="17"/>
  <c r="AG408" i="17"/>
  <c r="W408" i="17"/>
  <c r="K408" i="17"/>
  <c r="AF408" i="17"/>
  <c r="Q408" i="17"/>
  <c r="AE408" i="17"/>
  <c r="P408" i="17"/>
  <c r="AB408" i="17"/>
  <c r="J408" i="17"/>
  <c r="Z408" i="17"/>
  <c r="T408" i="17"/>
  <c r="AP408" i="17"/>
  <c r="S408" i="17"/>
  <c r="AO408" i="17"/>
  <c r="AN408" i="17"/>
  <c r="AJ408" i="17"/>
  <c r="AA408" i="17"/>
  <c r="AM408" i="17"/>
  <c r="AL438" i="17"/>
  <c r="AD438" i="17"/>
  <c r="V438" i="17"/>
  <c r="N438" i="17"/>
  <c r="AK438" i="17"/>
  <c r="AC438" i="17"/>
  <c r="U438" i="17"/>
  <c r="M438" i="17"/>
  <c r="AR438" i="17"/>
  <c r="AH438" i="17"/>
  <c r="X438" i="17"/>
  <c r="L438" i="17"/>
  <c r="AQ438" i="17"/>
  <c r="AG438" i="17"/>
  <c r="W438" i="17"/>
  <c r="K438" i="17"/>
  <c r="AP438" i="17"/>
  <c r="AF438" i="17"/>
  <c r="T438" i="17"/>
  <c r="J438" i="17"/>
  <c r="AN438" i="17"/>
  <c r="Y438" i="17"/>
  <c r="AM438" i="17"/>
  <c r="S438" i="17"/>
  <c r="AJ438" i="17"/>
  <c r="R438" i="17"/>
  <c r="Q438" i="17"/>
  <c r="P438" i="17"/>
  <c r="AO438" i="17"/>
  <c r="O438" i="17"/>
  <c r="AI438" i="17"/>
  <c r="AE438" i="17"/>
  <c r="AL470" i="17"/>
  <c r="AD470" i="17"/>
  <c r="V470" i="17"/>
  <c r="N470" i="17"/>
  <c r="AK470" i="17"/>
  <c r="AC470" i="17"/>
  <c r="U470" i="17"/>
  <c r="M470" i="17"/>
  <c r="AR470" i="17"/>
  <c r="AH470" i="17"/>
  <c r="X470" i="17"/>
  <c r="L470" i="17"/>
  <c r="AQ470" i="17"/>
  <c r="AG470" i="17"/>
  <c r="W470" i="17"/>
  <c r="K470" i="17"/>
  <c r="AP470" i="17"/>
  <c r="AF470" i="17"/>
  <c r="T470" i="17"/>
  <c r="J470" i="17"/>
  <c r="AN470" i="17"/>
  <c r="Y470" i="17"/>
  <c r="AM470" i="17"/>
  <c r="S470" i="17"/>
  <c r="AJ470" i="17"/>
  <c r="R470" i="17"/>
  <c r="AA470" i="17"/>
  <c r="Z470" i="17"/>
  <c r="Q470" i="17"/>
  <c r="AE470" i="17"/>
  <c r="AB470" i="17"/>
  <c r="P470" i="17"/>
  <c r="AO470" i="17"/>
  <c r="AI470" i="17"/>
  <c r="AQ823" i="17"/>
  <c r="AI823" i="17"/>
  <c r="AA823" i="17"/>
  <c r="S823" i="17"/>
  <c r="K823" i="17"/>
  <c r="AP823" i="17"/>
  <c r="AG823" i="17"/>
  <c r="X823" i="17"/>
  <c r="O823" i="17"/>
  <c r="AO823" i="17"/>
  <c r="AF823" i="17"/>
  <c r="W823" i="17"/>
  <c r="N823" i="17"/>
  <c r="AR823" i="17"/>
  <c r="AD823" i="17"/>
  <c r="R823" i="17"/>
  <c r="AN823" i="17"/>
  <c r="AC823" i="17"/>
  <c r="Q823" i="17"/>
  <c r="AK823" i="17"/>
  <c r="U823" i="17"/>
  <c r="AJ823" i="17"/>
  <c r="T823" i="17"/>
  <c r="V823" i="17"/>
  <c r="AM823" i="17"/>
  <c r="P823" i="17"/>
  <c r="AL823" i="17"/>
  <c r="M823" i="17"/>
  <c r="AH823" i="17"/>
  <c r="AE823" i="17"/>
  <c r="AB823" i="17"/>
  <c r="Z823" i="17"/>
  <c r="Y823" i="17"/>
  <c r="L823" i="17"/>
  <c r="J823" i="17"/>
  <c r="AR1071" i="17"/>
  <c r="AJ1071" i="17"/>
  <c r="AB1071" i="17"/>
  <c r="T1071" i="17"/>
  <c r="L1071" i="17"/>
  <c r="AQ1071" i="17"/>
  <c r="AI1071" i="17"/>
  <c r="AA1071" i="17"/>
  <c r="S1071" i="17"/>
  <c r="K1071" i="17"/>
  <c r="AM1071" i="17"/>
  <c r="AC1071" i="17"/>
  <c r="Q1071" i="17"/>
  <c r="AL1071" i="17"/>
  <c r="Z1071" i="17"/>
  <c r="P1071" i="17"/>
  <c r="AP1071" i="17"/>
  <c r="AD1071" i="17"/>
  <c r="N1071" i="17"/>
  <c r="AO1071" i="17"/>
  <c r="Y1071" i="17"/>
  <c r="M1071" i="17"/>
  <c r="AG1071" i="17"/>
  <c r="O1071" i="17"/>
  <c r="AF1071" i="17"/>
  <c r="J1071" i="17"/>
  <c r="W1071" i="17"/>
  <c r="V1071" i="17"/>
  <c r="U1071" i="17"/>
  <c r="AN1071" i="17"/>
  <c r="AK1071" i="17"/>
  <c r="AH1071" i="17"/>
  <c r="AE1071" i="17"/>
  <c r="X1071" i="17"/>
  <c r="R1071" i="17"/>
  <c r="I158" i="16"/>
  <c r="T158" i="16"/>
  <c r="I166" i="16"/>
  <c r="T166" i="16"/>
  <c r="I174" i="16"/>
  <c r="T174" i="16"/>
  <c r="I182" i="16"/>
  <c r="T182" i="16"/>
  <c r="J189" i="16"/>
  <c r="I190" i="16"/>
  <c r="T190" i="16"/>
  <c r="H191" i="16"/>
  <c r="P191" i="16"/>
  <c r="H191" i="9" s="1"/>
  <c r="J197" i="16"/>
  <c r="I198" i="16"/>
  <c r="T198" i="16"/>
  <c r="H199" i="16"/>
  <c r="P199" i="16"/>
  <c r="H199" i="9" s="1"/>
  <c r="J205" i="16"/>
  <c r="I206" i="16"/>
  <c r="T206" i="16"/>
  <c r="H207" i="16"/>
  <c r="P207" i="16"/>
  <c r="H207" i="9" s="1"/>
  <c r="J213" i="16"/>
  <c r="I214" i="16"/>
  <c r="T214" i="16"/>
  <c r="H215" i="16"/>
  <c r="P215" i="16"/>
  <c r="H215" i="9" s="1"/>
  <c r="I222" i="16"/>
  <c r="H223" i="16"/>
  <c r="P223" i="16"/>
  <c r="H223" i="9" s="1"/>
  <c r="J229" i="16"/>
  <c r="I230" i="16"/>
  <c r="T230" i="16"/>
  <c r="H231" i="16"/>
  <c r="P231" i="16"/>
  <c r="H231" i="9" s="1"/>
  <c r="I238" i="16"/>
  <c r="T238" i="16"/>
  <c r="H239" i="16"/>
  <c r="P239" i="16"/>
  <c r="H239" i="9" s="1"/>
  <c r="J245" i="16"/>
  <c r="I246" i="16"/>
  <c r="T246" i="16"/>
  <c r="H247" i="16"/>
  <c r="P247" i="16"/>
  <c r="H247" i="9" s="1"/>
  <c r="I254" i="16"/>
  <c r="H255" i="16"/>
  <c r="P255" i="16"/>
  <c r="H255" i="9" s="1"/>
  <c r="J261" i="16"/>
  <c r="I262" i="16"/>
  <c r="T262" i="16"/>
  <c r="H263" i="16"/>
  <c r="P263" i="16"/>
  <c r="H263" i="9" s="1"/>
  <c r="J269" i="16"/>
  <c r="I270" i="16"/>
  <c r="T270" i="16"/>
  <c r="H271" i="16"/>
  <c r="P271" i="16"/>
  <c r="H271" i="9" s="1"/>
  <c r="J277" i="16"/>
  <c r="O277" i="16" s="1"/>
  <c r="I278" i="16"/>
  <c r="T278" i="16"/>
  <c r="H279" i="16"/>
  <c r="P279" i="16"/>
  <c r="H279" i="9" s="1"/>
  <c r="I286" i="16"/>
  <c r="H287" i="16"/>
  <c r="P287" i="16"/>
  <c r="H287" i="9" s="1"/>
  <c r="I294" i="16"/>
  <c r="H295" i="16"/>
  <c r="P295" i="16"/>
  <c r="H295" i="9" s="1"/>
  <c r="I302" i="16"/>
  <c r="H303" i="16"/>
  <c r="P303" i="16"/>
  <c r="H303" i="9" s="1"/>
  <c r="J309" i="16"/>
  <c r="O309" i="16" s="1"/>
  <c r="I310" i="16"/>
  <c r="T310" i="16"/>
  <c r="H311" i="16"/>
  <c r="P311" i="16"/>
  <c r="H311" i="9" s="1"/>
  <c r="J317" i="16"/>
  <c r="I318" i="16"/>
  <c r="T318" i="16"/>
  <c r="H319" i="16"/>
  <c r="P319" i="16"/>
  <c r="H319" i="9" s="1"/>
  <c r="J325" i="16"/>
  <c r="O325" i="16" s="1"/>
  <c r="I326" i="16"/>
  <c r="H327" i="16"/>
  <c r="P327" i="16"/>
  <c r="H327" i="9" s="1"/>
  <c r="I334" i="16"/>
  <c r="H335" i="16"/>
  <c r="P335" i="16"/>
  <c r="H335" i="9" s="1"/>
  <c r="J341" i="16"/>
  <c r="O341" i="16" s="1"/>
  <c r="I342" i="16"/>
  <c r="T342" i="16"/>
  <c r="H343" i="16"/>
  <c r="P343" i="16"/>
  <c r="H343" i="9" s="1"/>
  <c r="I350" i="16"/>
  <c r="H351" i="16"/>
  <c r="P351" i="16"/>
  <c r="H351" i="9" s="1"/>
  <c r="I358" i="16"/>
  <c r="H359" i="16"/>
  <c r="P359" i="16"/>
  <c r="H359" i="9" s="1"/>
  <c r="J365" i="16"/>
  <c r="O365" i="16" s="1"/>
  <c r="I366" i="16"/>
  <c r="T366" i="16"/>
  <c r="H367" i="16"/>
  <c r="P367" i="16"/>
  <c r="H367" i="9" s="1"/>
  <c r="J373" i="16"/>
  <c r="I374" i="16"/>
  <c r="T374" i="16"/>
  <c r="H375" i="16"/>
  <c r="P375" i="16"/>
  <c r="H375" i="9" s="1"/>
  <c r="J381" i="16"/>
  <c r="O381" i="16" s="1"/>
  <c r="I382" i="16"/>
  <c r="T382" i="16"/>
  <c r="H383" i="16"/>
  <c r="P383" i="16"/>
  <c r="H383" i="9" s="1"/>
  <c r="J389" i="16"/>
  <c r="I390" i="16"/>
  <c r="T390" i="16"/>
  <c r="H391" i="16"/>
  <c r="P391" i="16"/>
  <c r="H391" i="9" s="1"/>
  <c r="J397" i="16"/>
  <c r="O397" i="16" s="1"/>
  <c r="I398" i="16"/>
  <c r="T398" i="16"/>
  <c r="P399" i="16"/>
  <c r="H399" i="9" s="1"/>
  <c r="I406" i="16"/>
  <c r="O406" i="16" s="1"/>
  <c r="H407" i="16"/>
  <c r="P407" i="16"/>
  <c r="H407" i="9" s="1"/>
  <c r="J413" i="16"/>
  <c r="I414" i="16"/>
  <c r="O414" i="16" s="1"/>
  <c r="T414" i="16"/>
  <c r="H415" i="16"/>
  <c r="P415" i="16"/>
  <c r="H415" i="9" s="1"/>
  <c r="J421" i="16"/>
  <c r="I422" i="16"/>
  <c r="O422" i="16" s="1"/>
  <c r="T422" i="16"/>
  <c r="H423" i="16"/>
  <c r="P423" i="16"/>
  <c r="H423" i="9" s="1"/>
  <c r="I430" i="16"/>
  <c r="O430" i="16" s="1"/>
  <c r="T430" i="16"/>
  <c r="H431" i="16"/>
  <c r="P431" i="16"/>
  <c r="H431" i="9" s="1"/>
  <c r="J437" i="16"/>
  <c r="I438" i="16"/>
  <c r="O438" i="16" s="1"/>
  <c r="T438" i="16"/>
  <c r="H439" i="16"/>
  <c r="P439" i="16"/>
  <c r="H439" i="9" s="1"/>
  <c r="J445" i="16"/>
  <c r="I446" i="16"/>
  <c r="O446" i="16" s="1"/>
  <c r="T446" i="16"/>
  <c r="H447" i="16"/>
  <c r="I454" i="16"/>
  <c r="O454" i="16" s="1"/>
  <c r="H455" i="16"/>
  <c r="P455" i="16"/>
  <c r="H455" i="9" s="1"/>
  <c r="I462" i="16"/>
  <c r="H463" i="16"/>
  <c r="P463" i="16"/>
  <c r="H463" i="9" s="1"/>
  <c r="I470" i="16"/>
  <c r="O470" i="16" s="1"/>
  <c r="H471" i="16"/>
  <c r="P471" i="16"/>
  <c r="H471" i="9" s="1"/>
  <c r="I478" i="16"/>
  <c r="O478" i="16" s="1"/>
  <c r="H479" i="16"/>
  <c r="P479" i="16"/>
  <c r="H479" i="9" s="1"/>
  <c r="I486" i="16"/>
  <c r="O486" i="16" s="1"/>
  <c r="H487" i="16"/>
  <c r="P487" i="16"/>
  <c r="H487" i="9" s="1"/>
  <c r="I494" i="16"/>
  <c r="O494" i="16" s="1"/>
  <c r="H495" i="16"/>
  <c r="P495" i="16"/>
  <c r="H495" i="9" s="1"/>
  <c r="I502" i="16"/>
  <c r="O502" i="16" s="1"/>
  <c r="H503" i="16"/>
  <c r="P503" i="16"/>
  <c r="H503" i="9" s="1"/>
  <c r="I510" i="16"/>
  <c r="H511" i="16"/>
  <c r="P511" i="16"/>
  <c r="H511" i="9" s="1"/>
  <c r="I518" i="16"/>
  <c r="O518" i="16" s="1"/>
  <c r="H519" i="16"/>
  <c r="P519" i="16"/>
  <c r="H519" i="9" s="1"/>
  <c r="I526" i="16"/>
  <c r="O526" i="16" s="1"/>
  <c r="H527" i="16"/>
  <c r="P527" i="16"/>
  <c r="H527" i="9" s="1"/>
  <c r="J533" i="16"/>
  <c r="I534" i="16"/>
  <c r="T534" i="16"/>
  <c r="H535" i="16"/>
  <c r="O535" i="16" s="1"/>
  <c r="P535" i="16"/>
  <c r="H535" i="9" s="1"/>
  <c r="J541" i="16"/>
  <c r="I542" i="16"/>
  <c r="O542" i="16" s="1"/>
  <c r="T542" i="16"/>
  <c r="H543" i="16"/>
  <c r="P543" i="16"/>
  <c r="H543" i="9" s="1"/>
  <c r="I550" i="16"/>
  <c r="O550" i="16" s="1"/>
  <c r="T550" i="16"/>
  <c r="H551" i="16"/>
  <c r="P551" i="16"/>
  <c r="H551" i="9" s="1"/>
  <c r="J557" i="16"/>
  <c r="I558" i="16"/>
  <c r="O558" i="16" s="1"/>
  <c r="T558" i="16"/>
  <c r="H559" i="16"/>
  <c r="P559" i="16"/>
  <c r="H559" i="9" s="1"/>
  <c r="I566" i="16"/>
  <c r="O566" i="16" s="1"/>
  <c r="T566" i="16"/>
  <c r="H567" i="16"/>
  <c r="P567" i="16"/>
  <c r="H567" i="9" s="1"/>
  <c r="I574" i="16"/>
  <c r="H575" i="16"/>
  <c r="P575" i="16"/>
  <c r="H575" i="9" s="1"/>
  <c r="I582" i="16"/>
  <c r="O582" i="16" s="1"/>
  <c r="T582" i="16"/>
  <c r="H583" i="16"/>
  <c r="P583" i="16"/>
  <c r="H583" i="9" s="1"/>
  <c r="I590" i="16"/>
  <c r="O590" i="16" s="1"/>
  <c r="H591" i="16"/>
  <c r="P591" i="16"/>
  <c r="H591" i="9" s="1"/>
  <c r="I598" i="16"/>
  <c r="T598" i="16"/>
  <c r="H599" i="16"/>
  <c r="P599" i="16"/>
  <c r="H599" i="9" s="1"/>
  <c r="I606" i="16"/>
  <c r="O606" i="16" s="1"/>
  <c r="H607" i="16"/>
  <c r="P607" i="16"/>
  <c r="H607" i="9" s="1"/>
  <c r="J613" i="16"/>
  <c r="I614" i="16"/>
  <c r="O614" i="16" s="1"/>
  <c r="T614" i="16"/>
  <c r="H615" i="16"/>
  <c r="I622" i="16"/>
  <c r="O622" i="16" s="1"/>
  <c r="T622" i="16"/>
  <c r="H623" i="16"/>
  <c r="P623" i="16"/>
  <c r="H623" i="9" s="1"/>
  <c r="J629" i="16"/>
  <c r="I630" i="16"/>
  <c r="O630" i="16" s="1"/>
  <c r="T630" i="16"/>
  <c r="H631" i="16"/>
  <c r="J637" i="16"/>
  <c r="I638" i="16"/>
  <c r="O638" i="16" s="1"/>
  <c r="T638" i="16"/>
  <c r="H639" i="16"/>
  <c r="P639" i="16"/>
  <c r="H639" i="9" s="1"/>
  <c r="J645" i="16"/>
  <c r="I646" i="16"/>
  <c r="O646" i="16" s="1"/>
  <c r="T646" i="16"/>
  <c r="H647" i="16"/>
  <c r="P647" i="16"/>
  <c r="H647" i="9" s="1"/>
  <c r="I654" i="16"/>
  <c r="O654" i="16" s="1"/>
  <c r="H655" i="16"/>
  <c r="P655" i="16"/>
  <c r="H655" i="9" s="1"/>
  <c r="J661" i="16"/>
  <c r="I662" i="16"/>
  <c r="O662" i="16" s="1"/>
  <c r="T662" i="16"/>
  <c r="H663" i="16"/>
  <c r="P663" i="16"/>
  <c r="H663" i="9" s="1"/>
  <c r="J669" i="16"/>
  <c r="I670" i="16"/>
  <c r="O670" i="16" s="1"/>
  <c r="T670" i="16"/>
  <c r="H671" i="16"/>
  <c r="P671" i="16"/>
  <c r="H671" i="9" s="1"/>
  <c r="J677" i="16"/>
  <c r="I678" i="16"/>
  <c r="H679" i="16"/>
  <c r="J685" i="16"/>
  <c r="O685" i="16" s="1"/>
  <c r="I686" i="16"/>
  <c r="H687" i="16"/>
  <c r="J693" i="16"/>
  <c r="I694" i="16"/>
  <c r="H695" i="16"/>
  <c r="I702" i="16"/>
  <c r="H703" i="16"/>
  <c r="J709" i="16"/>
  <c r="I710" i="16"/>
  <c r="H711" i="16"/>
  <c r="P711" i="16"/>
  <c r="I718" i="16"/>
  <c r="H719" i="16"/>
  <c r="J725" i="16"/>
  <c r="O725" i="16" s="1"/>
  <c r="I726" i="16"/>
  <c r="H727" i="16"/>
  <c r="P727" i="16"/>
  <c r="I734" i="16"/>
  <c r="H735" i="16"/>
  <c r="P735" i="16"/>
  <c r="J741" i="16"/>
  <c r="I742" i="16"/>
  <c r="O742" i="16" s="1"/>
  <c r="H743" i="16"/>
  <c r="I750" i="16"/>
  <c r="O750" i="16" s="1"/>
  <c r="P750" i="16" s="1"/>
  <c r="H751" i="16"/>
  <c r="J757" i="16"/>
  <c r="I758" i="16"/>
  <c r="O758" i="16" s="1"/>
  <c r="H759" i="16"/>
  <c r="J765" i="16"/>
  <c r="I766" i="16"/>
  <c r="O766" i="16" s="1"/>
  <c r="P766" i="16" s="1"/>
  <c r="H767" i="16"/>
  <c r="J773" i="16"/>
  <c r="I774" i="16"/>
  <c r="O774" i="16" s="1"/>
  <c r="H775" i="16"/>
  <c r="P775" i="16"/>
  <c r="I782" i="16"/>
  <c r="O782" i="16" s="1"/>
  <c r="H783" i="16"/>
  <c r="I790" i="16"/>
  <c r="O790" i="16" s="1"/>
  <c r="H791" i="16"/>
  <c r="P791" i="16"/>
  <c r="I798" i="16"/>
  <c r="I806" i="16"/>
  <c r="O806" i="16" s="1"/>
  <c r="P806" i="16" s="1"/>
  <c r="I814" i="16"/>
  <c r="O814" i="16" s="1"/>
  <c r="I822" i="16"/>
  <c r="O822" i="16" s="1"/>
  <c r="P822" i="16" s="1"/>
  <c r="H822" i="9" s="1"/>
  <c r="I822" i="9" s="1"/>
  <c r="T822" i="16"/>
  <c r="I830" i="16"/>
  <c r="I838" i="16"/>
  <c r="O838" i="16" s="1"/>
  <c r="I846" i="16"/>
  <c r="I854" i="16"/>
  <c r="I862" i="16"/>
  <c r="O862" i="16" s="1"/>
  <c r="I870" i="16"/>
  <c r="O870" i="16" s="1"/>
  <c r="P870" i="16" s="1"/>
  <c r="H870" i="9" s="1"/>
  <c r="I870" i="9" s="1"/>
  <c r="I878" i="16"/>
  <c r="O878" i="16" s="1"/>
  <c r="P878" i="16" s="1"/>
  <c r="I886" i="16"/>
  <c r="O886" i="16" s="1"/>
  <c r="P886" i="16" s="1"/>
  <c r="H886" i="9" s="1"/>
  <c r="I886" i="9" s="1"/>
  <c r="I894" i="16"/>
  <c r="I902" i="16"/>
  <c r="O902" i="16" s="1"/>
  <c r="P902" i="16" s="1"/>
  <c r="H902" i="9" s="1"/>
  <c r="I902" i="9" s="1"/>
  <c r="I910" i="16"/>
  <c r="I918" i="16"/>
  <c r="I926" i="16"/>
  <c r="O926" i="16" s="1"/>
  <c r="P926" i="16" s="1"/>
  <c r="I934" i="16"/>
  <c r="O934" i="16" s="1"/>
  <c r="P934" i="16" s="1"/>
  <c r="H934" i="9" s="1"/>
  <c r="I934" i="9" s="1"/>
  <c r="I942" i="16"/>
  <c r="O942" i="16" s="1"/>
  <c r="P942" i="16" s="1"/>
  <c r="I950" i="16"/>
  <c r="O950" i="16" s="1"/>
  <c r="P950" i="16" s="1"/>
  <c r="H950" i="9" s="1"/>
  <c r="I950" i="9" s="1"/>
  <c r="I958" i="16"/>
  <c r="O958" i="16" s="1"/>
  <c r="P958" i="16" s="1"/>
  <c r="I966" i="16"/>
  <c r="O966" i="16" s="1"/>
  <c r="P966" i="16" s="1"/>
  <c r="H966" i="9" s="1"/>
  <c r="I966" i="9" s="1"/>
  <c r="I974" i="16"/>
  <c r="O974" i="16" s="1"/>
  <c r="P974" i="16" s="1"/>
  <c r="H974" i="9" s="1"/>
  <c r="I974" i="9" s="1"/>
  <c r="T974" i="16"/>
  <c r="I982" i="16"/>
  <c r="O982" i="16" s="1"/>
  <c r="T982" i="16"/>
  <c r="I990" i="16"/>
  <c r="O990" i="16" s="1"/>
  <c r="I998" i="16"/>
  <c r="O998" i="16" s="1"/>
  <c r="P998" i="16" s="1"/>
  <c r="H998" i="9" s="1"/>
  <c r="I998" i="9" s="1"/>
  <c r="T998" i="16"/>
  <c r="I1006" i="16"/>
  <c r="O1006" i="16" s="1"/>
  <c r="P1006" i="16" s="1"/>
  <c r="H1006" i="9" s="1"/>
  <c r="I1006" i="9" s="1"/>
  <c r="T1006" i="16"/>
  <c r="I1014" i="16"/>
  <c r="I1022" i="16"/>
  <c r="I1030" i="16"/>
  <c r="I1038" i="16"/>
  <c r="I1046" i="16"/>
  <c r="I1054" i="16"/>
  <c r="I1062" i="16"/>
  <c r="I1070" i="16"/>
  <c r="I1078" i="16"/>
  <c r="I1086" i="16"/>
  <c r="I1094" i="16"/>
  <c r="J1101" i="16"/>
  <c r="I1102" i="16"/>
  <c r="J1109" i="16"/>
  <c r="I1110" i="16"/>
  <c r="J1117" i="16"/>
  <c r="I1118" i="16"/>
  <c r="J1125" i="16"/>
  <c r="I1126" i="16"/>
  <c r="I1134" i="16"/>
  <c r="J1141" i="16"/>
  <c r="I1142" i="16"/>
  <c r="I1150" i="16"/>
  <c r="I1158" i="16"/>
  <c r="J1165" i="16"/>
  <c r="I1166" i="16"/>
  <c r="J1173" i="16"/>
  <c r="I1174" i="16"/>
  <c r="J1181" i="16"/>
  <c r="I1182" i="16"/>
  <c r="J1189" i="16"/>
  <c r="I1190" i="16"/>
  <c r="I1198" i="16"/>
  <c r="J1205" i="16"/>
  <c r="I1206" i="16"/>
  <c r="I1214" i="16"/>
  <c r="J1221" i="16"/>
  <c r="I1222" i="16"/>
  <c r="J1229" i="16"/>
  <c r="I1230" i="16"/>
  <c r="I1238" i="16"/>
  <c r="I1246" i="16"/>
  <c r="J1253" i="16"/>
  <c r="I1254" i="16"/>
  <c r="J1261" i="16"/>
  <c r="I1262" i="16"/>
  <c r="J1269" i="16"/>
  <c r="I1270" i="16"/>
  <c r="J1277" i="16"/>
  <c r="I1278" i="16"/>
  <c r="J1285" i="16"/>
  <c r="O1285" i="16" s="1"/>
  <c r="I1286" i="16"/>
  <c r="J1293" i="16"/>
  <c r="O1293" i="16" s="1"/>
  <c r="I1294" i="16"/>
  <c r="I1302" i="16"/>
  <c r="J1309" i="16"/>
  <c r="O1309" i="16" s="1"/>
  <c r="P1309" i="16" s="1"/>
  <c r="I1310" i="16"/>
  <c r="J1317" i="16"/>
  <c r="O1317" i="16" s="1"/>
  <c r="I1318" i="16"/>
  <c r="J1325" i="16"/>
  <c r="O1325" i="16" s="1"/>
  <c r="P1325" i="16" s="1"/>
  <c r="H1325" i="9" s="1"/>
  <c r="I1325" i="9" s="1"/>
  <c r="I1326" i="16"/>
  <c r="J1333" i="16"/>
  <c r="O1333" i="16" s="1"/>
  <c r="I1334" i="16"/>
  <c r="I1342" i="16"/>
  <c r="J1349" i="16"/>
  <c r="I1350" i="16"/>
  <c r="T1350" i="16"/>
  <c r="J1357" i="16"/>
  <c r="I1358" i="16"/>
  <c r="T1358" i="16"/>
  <c r="J1365" i="16"/>
  <c r="I1366" i="16"/>
  <c r="T1366" i="16"/>
  <c r="J1373" i="16"/>
  <c r="I1374" i="16"/>
  <c r="T1374" i="16"/>
  <c r="J1381" i="16"/>
  <c r="I1382" i="16"/>
  <c r="T1382" i="16"/>
  <c r="J1389" i="16"/>
  <c r="I1390" i="16"/>
  <c r="T1390" i="16"/>
  <c r="H1391" i="16"/>
  <c r="P1391" i="16"/>
  <c r="J1397" i="16"/>
  <c r="I1398" i="16"/>
  <c r="T1398" i="16"/>
  <c r="H1399" i="16"/>
  <c r="P1399" i="16"/>
  <c r="J1405" i="16"/>
  <c r="I1406" i="16"/>
  <c r="T1406" i="16"/>
  <c r="H1407" i="16"/>
  <c r="P1407" i="16"/>
  <c r="J1413" i="16"/>
  <c r="I1414" i="16"/>
  <c r="T1414" i="16"/>
  <c r="H1415" i="16"/>
  <c r="P1415" i="16"/>
  <c r="J1421" i="16"/>
  <c r="I1422" i="16"/>
  <c r="T1422" i="16"/>
  <c r="H1423" i="16"/>
  <c r="P1423" i="16"/>
  <c r="J1429" i="16"/>
  <c r="I1430" i="16"/>
  <c r="T1430" i="16"/>
  <c r="H1431" i="16"/>
  <c r="P1431" i="16"/>
  <c r="J1437" i="16"/>
  <c r="I1438" i="16"/>
  <c r="T1438" i="16"/>
  <c r="H1439" i="16"/>
  <c r="P1439" i="16"/>
  <c r="J1445" i="16"/>
  <c r="I1446" i="16"/>
  <c r="T1446" i="16"/>
  <c r="H1447" i="16"/>
  <c r="P1447" i="16"/>
  <c r="J1453" i="16"/>
  <c r="I1454" i="16"/>
  <c r="T1454" i="16"/>
  <c r="H1455" i="16"/>
  <c r="P1455" i="16"/>
  <c r="N1459" i="16"/>
  <c r="F1459" i="16"/>
  <c r="J1459" i="16"/>
  <c r="K1460" i="16"/>
  <c r="H1469" i="16"/>
  <c r="T1469" i="16"/>
  <c r="H1470" i="16"/>
  <c r="T1470" i="16"/>
  <c r="H1471" i="16"/>
  <c r="T1471" i="16"/>
  <c r="P1473" i="16"/>
  <c r="H1473" i="16"/>
  <c r="J1473" i="16"/>
  <c r="K1474" i="16"/>
  <c r="M1484" i="16"/>
  <c r="E1484" i="16"/>
  <c r="J1484" i="16"/>
  <c r="J1485" i="16"/>
  <c r="J1486" i="16"/>
  <c r="K1487" i="16"/>
  <c r="O1498" i="16"/>
  <c r="G1498" i="16"/>
  <c r="J1498" i="16"/>
  <c r="K1499" i="16"/>
  <c r="I1509" i="16"/>
  <c r="I1510" i="16"/>
  <c r="I1511" i="16"/>
  <c r="K1513" i="16"/>
  <c r="N1523" i="16"/>
  <c r="F1523" i="16"/>
  <c r="J1523" i="16"/>
  <c r="K1524" i="16"/>
  <c r="H1533" i="16"/>
  <c r="T1533" i="16"/>
  <c r="H1534" i="16"/>
  <c r="T1534" i="16"/>
  <c r="H1535" i="16"/>
  <c r="T1535" i="16"/>
  <c r="P1537" i="16"/>
  <c r="H1537" i="16"/>
  <c r="J1537" i="16"/>
  <c r="K1538" i="16"/>
  <c r="M1548" i="16"/>
  <c r="E1548" i="16"/>
  <c r="J1548" i="16"/>
  <c r="J1549" i="16"/>
  <c r="J1550" i="16"/>
  <c r="K1551" i="16"/>
  <c r="O1562" i="16"/>
  <c r="G1562" i="16"/>
  <c r="J1562" i="16"/>
  <c r="K1563" i="16"/>
  <c r="I1573" i="16"/>
  <c r="I1574" i="16"/>
  <c r="I1575" i="16"/>
  <c r="K1577" i="16"/>
  <c r="N1587" i="16"/>
  <c r="F1587" i="16"/>
  <c r="J1587" i="16"/>
  <c r="K1588" i="16"/>
  <c r="H1597" i="16"/>
  <c r="T1597" i="16"/>
  <c r="H1598" i="16"/>
  <c r="T1598" i="16"/>
  <c r="T1599" i="16"/>
  <c r="P1601" i="16"/>
  <c r="H1601" i="16"/>
  <c r="J1601" i="16"/>
  <c r="K1602" i="16"/>
  <c r="M1612" i="16"/>
  <c r="E1612" i="16"/>
  <c r="J1612" i="16"/>
  <c r="J1613" i="16"/>
  <c r="J1614" i="16"/>
  <c r="K1615" i="16"/>
  <c r="O1626" i="16"/>
  <c r="G1626" i="16"/>
  <c r="J1626" i="16"/>
  <c r="K1627" i="16"/>
  <c r="I1637" i="16"/>
  <c r="I1638" i="16"/>
  <c r="I1639" i="16"/>
  <c r="K1641" i="16"/>
  <c r="N1651" i="16"/>
  <c r="F1651" i="16"/>
  <c r="J1651" i="16"/>
  <c r="K1652" i="16"/>
  <c r="H1661" i="16"/>
  <c r="T1661" i="16"/>
  <c r="H1662" i="16"/>
  <c r="T1662" i="16"/>
  <c r="H1663" i="16"/>
  <c r="T1663" i="16"/>
  <c r="P1665" i="16"/>
  <c r="H1665" i="16"/>
  <c r="J1665" i="16"/>
  <c r="K1666" i="16"/>
  <c r="M1676" i="16"/>
  <c r="E1676" i="16"/>
  <c r="J1676" i="16"/>
  <c r="J1677" i="16"/>
  <c r="J1678" i="16"/>
  <c r="K1679" i="16"/>
  <c r="O1690" i="16"/>
  <c r="G1690" i="16"/>
  <c r="J1690" i="16"/>
  <c r="K1691" i="16"/>
  <c r="I1701" i="16"/>
  <c r="I1702" i="16"/>
  <c r="I1703" i="16"/>
  <c r="K1705" i="16"/>
  <c r="N1715" i="16"/>
  <c r="F1715" i="16"/>
  <c r="J1715" i="16"/>
  <c r="K1716" i="16"/>
  <c r="P1729" i="16"/>
  <c r="H1729" i="16"/>
  <c r="J1729" i="16"/>
  <c r="K1730" i="16"/>
  <c r="M1740" i="16"/>
  <c r="E1740" i="16"/>
  <c r="J1740" i="16"/>
  <c r="J1741" i="16"/>
  <c r="J1742" i="16"/>
  <c r="K1743" i="16"/>
  <c r="O1754" i="16"/>
  <c r="G1754" i="16"/>
  <c r="J1754" i="16"/>
  <c r="K1755" i="16"/>
  <c r="I1765" i="16"/>
  <c r="I1766" i="16"/>
  <c r="I1767" i="16"/>
  <c r="K1769" i="16"/>
  <c r="N1779" i="16"/>
  <c r="F1779" i="16"/>
  <c r="J1779" i="16"/>
  <c r="K1780" i="16"/>
  <c r="P1793" i="16"/>
  <c r="H1793" i="16"/>
  <c r="J1793" i="16"/>
  <c r="K1794" i="16"/>
  <c r="M1804" i="16"/>
  <c r="E1804" i="16"/>
  <c r="J1804" i="16"/>
  <c r="J1805" i="16"/>
  <c r="J1806" i="16"/>
  <c r="K1807" i="16"/>
  <c r="O1818" i="16"/>
  <c r="G1818" i="16"/>
  <c r="J1818" i="16"/>
  <c r="K1819" i="16"/>
  <c r="I1829" i="16"/>
  <c r="I1830" i="16"/>
  <c r="I1831" i="16"/>
  <c r="K1833" i="16"/>
  <c r="N1843" i="16"/>
  <c r="F1843" i="16"/>
  <c r="J1843" i="16"/>
  <c r="K1844" i="16"/>
  <c r="P1857" i="16"/>
  <c r="H1857" i="16"/>
  <c r="J1857" i="16"/>
  <c r="K1858" i="16"/>
  <c r="M1868" i="16"/>
  <c r="E1868" i="16"/>
  <c r="J1868" i="16"/>
  <c r="J1869" i="16"/>
  <c r="J1870" i="16"/>
  <c r="K1871" i="16"/>
  <c r="O1882" i="16"/>
  <c r="G1882" i="16"/>
  <c r="J1882" i="16"/>
  <c r="K1883" i="16"/>
  <c r="I1893" i="16"/>
  <c r="I1894" i="16"/>
  <c r="I1895" i="16"/>
  <c r="K1897" i="16"/>
  <c r="N1907" i="16"/>
  <c r="F1907" i="16"/>
  <c r="J1907" i="16"/>
  <c r="K1908" i="16"/>
  <c r="P1921" i="16"/>
  <c r="H1921" i="16"/>
  <c r="J1921" i="16"/>
  <c r="K1922" i="16"/>
  <c r="M1932" i="16"/>
  <c r="E1932" i="16"/>
  <c r="J1932" i="16"/>
  <c r="J1933" i="16"/>
  <c r="J1934" i="16"/>
  <c r="K1935" i="16"/>
  <c r="O1946" i="16"/>
  <c r="G1946" i="16"/>
  <c r="J1946" i="16"/>
  <c r="K1947" i="16"/>
  <c r="I1957" i="16"/>
  <c r="I1958" i="16"/>
  <c r="I1959" i="16"/>
  <c r="K1961" i="16"/>
  <c r="N1971" i="16"/>
  <c r="F1971" i="16"/>
  <c r="J1971" i="16"/>
  <c r="P1985" i="16"/>
  <c r="H1985" i="16"/>
  <c r="J1985" i="16"/>
  <c r="M1996" i="16"/>
  <c r="E1996" i="16"/>
  <c r="J1996" i="16"/>
  <c r="O2010" i="16"/>
  <c r="G2010" i="16"/>
  <c r="J2010" i="16"/>
  <c r="I2021" i="16"/>
  <c r="I2022" i="16"/>
  <c r="I2023" i="16"/>
  <c r="N2035" i="16"/>
  <c r="F2035" i="16"/>
  <c r="J2035" i="16"/>
  <c r="P2049" i="16"/>
  <c r="H2049" i="16"/>
  <c r="J2049" i="16"/>
  <c r="K2050" i="16"/>
  <c r="M2060" i="16"/>
  <c r="E2060" i="16"/>
  <c r="J2060" i="16"/>
  <c r="J2061" i="16"/>
  <c r="J2062" i="16"/>
  <c r="K2063" i="16"/>
  <c r="O2074" i="16"/>
  <c r="G2074" i="16"/>
  <c r="J2074" i="16"/>
  <c r="K2075" i="16"/>
  <c r="I2085" i="16"/>
  <c r="I2086" i="16"/>
  <c r="I2087" i="16"/>
  <c r="K2089" i="16"/>
  <c r="N2099" i="16"/>
  <c r="F2099" i="16"/>
  <c r="J2099" i="16"/>
  <c r="K2100" i="16"/>
  <c r="P2113" i="16"/>
  <c r="H2113" i="16"/>
  <c r="J2113" i="16"/>
  <c r="K2114" i="16"/>
  <c r="M2124" i="16"/>
  <c r="E2124" i="16"/>
  <c r="J2124" i="16"/>
  <c r="J2125" i="16"/>
  <c r="J2126" i="16"/>
  <c r="K2127" i="16"/>
  <c r="O2138" i="16"/>
  <c r="G2138" i="16"/>
  <c r="J2138" i="16"/>
  <c r="K2139" i="16"/>
  <c r="I2149" i="16"/>
  <c r="I2150" i="16"/>
  <c r="I2151" i="16"/>
  <c r="K2153" i="16"/>
  <c r="N2163" i="16"/>
  <c r="F2163" i="16"/>
  <c r="J2163" i="16"/>
  <c r="P2177" i="16"/>
  <c r="H2177" i="16"/>
  <c r="J2177" i="16"/>
  <c r="K2178" i="16"/>
  <c r="M2188" i="16"/>
  <c r="E2188" i="16"/>
  <c r="J2188" i="16"/>
  <c r="O2202" i="16"/>
  <c r="G2202" i="16"/>
  <c r="J2202" i="16"/>
  <c r="I2213" i="16"/>
  <c r="I2214" i="16"/>
  <c r="I2215" i="16"/>
  <c r="K2217" i="16"/>
  <c r="N2227" i="16"/>
  <c r="F2227" i="16"/>
  <c r="J2227" i="16"/>
  <c r="K2228" i="16"/>
  <c r="P2241" i="16"/>
  <c r="H2241" i="16"/>
  <c r="J2241" i="16"/>
  <c r="K2242" i="16"/>
  <c r="M2252" i="16"/>
  <c r="E2252" i="16"/>
  <c r="J2252" i="16"/>
  <c r="J2253" i="16"/>
  <c r="J2254" i="16"/>
  <c r="K2255" i="16"/>
  <c r="O2266" i="16"/>
  <c r="G2266" i="16"/>
  <c r="J2266" i="16"/>
  <c r="K2267" i="16"/>
  <c r="I2277" i="16"/>
  <c r="I2278" i="16"/>
  <c r="I2279" i="16"/>
  <c r="K2281" i="16"/>
  <c r="N2291" i="16"/>
  <c r="F2291" i="16"/>
  <c r="J2291" i="16"/>
  <c r="K2292" i="16"/>
  <c r="P2305" i="16"/>
  <c r="H2305" i="16"/>
  <c r="J2305" i="16"/>
  <c r="K2306" i="16"/>
  <c r="M2316" i="16"/>
  <c r="E2316" i="16"/>
  <c r="J2316" i="16"/>
  <c r="J2317" i="16"/>
  <c r="J2318" i="16"/>
  <c r="K2319" i="16"/>
  <c r="O2330" i="16"/>
  <c r="G2330" i="16"/>
  <c r="J2330" i="16"/>
  <c r="K2331" i="16"/>
  <c r="I2341" i="16"/>
  <c r="I2342" i="16"/>
  <c r="I2343" i="16"/>
  <c r="K2345" i="16"/>
  <c r="N2355" i="16"/>
  <c r="F2355" i="16"/>
  <c r="J2355" i="16"/>
  <c r="K2356" i="16"/>
  <c r="P2369" i="16"/>
  <c r="H2369" i="16"/>
  <c r="J2369" i="16"/>
  <c r="K2370" i="16"/>
  <c r="M2380" i="16"/>
  <c r="E2380" i="16"/>
  <c r="J2380" i="16"/>
  <c r="J2381" i="16"/>
  <c r="J2382" i="16"/>
  <c r="K2383" i="16"/>
  <c r="O2394" i="16"/>
  <c r="G2394" i="16"/>
  <c r="J2394" i="16"/>
  <c r="I2405" i="16"/>
  <c r="I2406" i="16"/>
  <c r="I2407" i="16"/>
  <c r="K2409" i="16"/>
  <c r="N2419" i="16"/>
  <c r="F2419" i="16"/>
  <c r="J2419" i="16"/>
  <c r="K2420" i="16"/>
  <c r="P2433" i="16"/>
  <c r="H2433" i="16"/>
  <c r="J2433" i="16"/>
  <c r="K2434" i="16"/>
  <c r="M2444" i="16"/>
  <c r="E2444" i="16"/>
  <c r="J2444" i="16"/>
  <c r="J2445" i="16"/>
  <c r="J2446" i="16"/>
  <c r="K2447" i="16"/>
  <c r="O2458" i="16"/>
  <c r="G2458" i="16"/>
  <c r="J2458" i="16"/>
  <c r="K2459" i="16"/>
  <c r="I2469" i="16"/>
  <c r="I2470" i="16"/>
  <c r="I2471" i="16"/>
  <c r="K2479" i="16"/>
  <c r="J2479" i="16"/>
  <c r="I2479" i="16"/>
  <c r="O2483" i="16"/>
  <c r="G2483" i="16"/>
  <c r="N2483" i="16"/>
  <c r="F2483" i="16"/>
  <c r="K2483" i="16"/>
  <c r="L2486" i="16"/>
  <c r="K2486" i="16"/>
  <c r="I2486" i="16"/>
  <c r="L2487" i="16"/>
  <c r="L2491" i="16"/>
  <c r="J2494" i="16"/>
  <c r="M2501" i="16"/>
  <c r="E2501" i="16"/>
  <c r="L2501" i="16"/>
  <c r="J2501" i="16"/>
  <c r="P2506" i="16"/>
  <c r="H2506" i="16"/>
  <c r="O2506" i="16"/>
  <c r="G2506" i="16"/>
  <c r="K2506" i="16"/>
  <c r="K2509" i="16"/>
  <c r="L2514" i="16"/>
  <c r="N2524" i="16"/>
  <c r="F2524" i="16"/>
  <c r="M2524" i="16"/>
  <c r="E2524" i="16"/>
  <c r="K2524" i="16"/>
  <c r="L2532" i="16"/>
  <c r="K2543" i="16"/>
  <c r="J2543" i="16"/>
  <c r="I2543" i="16"/>
  <c r="O2547" i="16"/>
  <c r="G2547" i="16"/>
  <c r="N2547" i="16"/>
  <c r="F2547" i="16"/>
  <c r="K2547" i="16"/>
  <c r="L2550" i="16"/>
  <c r="K2550" i="16"/>
  <c r="I2550" i="16"/>
  <c r="L2551" i="16"/>
  <c r="L2555" i="16"/>
  <c r="J2558" i="16"/>
  <c r="M2565" i="16"/>
  <c r="E2565" i="16"/>
  <c r="L2565" i="16"/>
  <c r="J2565" i="16"/>
  <c r="P2570" i="16"/>
  <c r="H2570" i="16"/>
  <c r="O2570" i="16"/>
  <c r="G2570" i="16"/>
  <c r="K2570" i="16"/>
  <c r="K2573" i="16"/>
  <c r="L2578" i="16"/>
  <c r="N2588" i="16"/>
  <c r="F2588" i="16"/>
  <c r="M2588" i="16"/>
  <c r="E2588" i="16"/>
  <c r="K2588" i="16"/>
  <c r="L2596" i="16"/>
  <c r="K2607" i="16"/>
  <c r="J2607" i="16"/>
  <c r="I2607" i="16"/>
  <c r="O2611" i="16"/>
  <c r="G2611" i="16"/>
  <c r="N2611" i="16"/>
  <c r="F2611" i="16"/>
  <c r="K2611" i="16"/>
  <c r="L2614" i="16"/>
  <c r="K2614" i="16"/>
  <c r="I2614" i="16"/>
  <c r="L2615" i="16"/>
  <c r="L2619" i="16"/>
  <c r="J2622" i="16"/>
  <c r="M2629" i="16"/>
  <c r="E2629" i="16"/>
  <c r="L2629" i="16"/>
  <c r="J2629" i="16"/>
  <c r="P2634" i="16"/>
  <c r="H2634" i="16"/>
  <c r="O2634" i="16"/>
  <c r="G2634" i="16"/>
  <c r="K2634" i="16"/>
  <c r="K2637" i="16"/>
  <c r="L2642" i="16"/>
  <c r="N2652" i="16"/>
  <c r="F2652" i="16"/>
  <c r="M2652" i="16"/>
  <c r="E2652" i="16"/>
  <c r="K2652" i="16"/>
  <c r="L2660" i="16"/>
  <c r="K2671" i="16"/>
  <c r="J2671" i="16"/>
  <c r="I2671" i="16"/>
  <c r="O2675" i="16"/>
  <c r="G2675" i="16"/>
  <c r="N2675" i="16"/>
  <c r="F2675" i="16"/>
  <c r="K2675" i="16"/>
  <c r="L2678" i="16"/>
  <c r="K2678" i="16"/>
  <c r="I2678" i="16"/>
  <c r="L2679" i="16"/>
  <c r="L2683" i="16"/>
  <c r="J2686" i="16"/>
  <c r="M2693" i="16"/>
  <c r="E2693" i="16"/>
  <c r="L2693" i="16"/>
  <c r="J2693" i="16"/>
  <c r="P2698" i="16"/>
  <c r="H2698" i="16"/>
  <c r="O2698" i="16"/>
  <c r="G2698" i="16"/>
  <c r="K2698" i="16"/>
  <c r="K2701" i="16"/>
  <c r="N2716" i="16"/>
  <c r="F2716" i="16"/>
  <c r="M2716" i="16"/>
  <c r="E2716" i="16"/>
  <c r="K2716" i="16"/>
  <c r="L2724" i="16"/>
  <c r="K2735" i="16"/>
  <c r="J2735" i="16"/>
  <c r="I2735" i="16"/>
  <c r="O2739" i="16"/>
  <c r="G2739" i="16"/>
  <c r="N2739" i="16"/>
  <c r="F2739" i="16"/>
  <c r="K2739" i="16"/>
  <c r="L2742" i="16"/>
  <c r="K2742" i="16"/>
  <c r="I2742" i="16"/>
  <c r="L2747" i="16"/>
  <c r="J2750" i="16"/>
  <c r="M2757" i="16"/>
  <c r="E2757" i="16"/>
  <c r="L2757" i="16"/>
  <c r="J2757" i="16"/>
  <c r="P2762" i="16"/>
  <c r="H2762" i="16"/>
  <c r="O2762" i="16"/>
  <c r="G2762" i="16"/>
  <c r="K2762" i="16"/>
  <c r="K2765" i="16"/>
  <c r="L2770" i="16"/>
  <c r="N2780" i="16"/>
  <c r="F2780" i="16"/>
  <c r="M2780" i="16"/>
  <c r="E2780" i="16"/>
  <c r="K2780" i="16"/>
  <c r="L2788" i="16"/>
  <c r="K2799" i="16"/>
  <c r="J2799" i="16"/>
  <c r="I2799" i="16"/>
  <c r="O2803" i="16"/>
  <c r="G2803" i="16"/>
  <c r="N2803" i="16"/>
  <c r="F2803" i="16"/>
  <c r="K2803" i="16"/>
  <c r="L2806" i="16"/>
  <c r="K2806" i="16"/>
  <c r="I2806" i="16"/>
  <c r="L2807" i="16"/>
  <c r="L2811" i="16"/>
  <c r="J2814" i="16"/>
  <c r="M2821" i="16"/>
  <c r="E2821" i="16"/>
  <c r="L2821" i="16"/>
  <c r="J2821" i="16"/>
  <c r="P2826" i="16"/>
  <c r="H2826" i="16"/>
  <c r="O2826" i="16"/>
  <c r="G2826" i="16"/>
  <c r="K2826" i="16"/>
  <c r="K2829" i="16"/>
  <c r="L2834" i="16"/>
  <c r="N2844" i="16"/>
  <c r="F2844" i="16"/>
  <c r="M2844" i="16"/>
  <c r="E2844" i="16"/>
  <c r="K2844" i="16"/>
  <c r="L2852" i="16"/>
  <c r="K2863" i="16"/>
  <c r="J2863" i="16"/>
  <c r="I2863" i="16"/>
  <c r="O2867" i="16"/>
  <c r="G2867" i="16"/>
  <c r="N2867" i="16"/>
  <c r="F2867" i="16"/>
  <c r="K2867" i="16"/>
  <c r="L2870" i="16"/>
  <c r="K2870" i="16"/>
  <c r="I2870" i="16"/>
  <c r="L2871" i="16"/>
  <c r="L2875" i="16"/>
  <c r="J2878" i="16"/>
  <c r="M2885" i="16"/>
  <c r="E2885" i="16"/>
  <c r="L2885" i="16"/>
  <c r="J2885" i="16"/>
  <c r="P2890" i="16"/>
  <c r="H2890" i="16"/>
  <c r="O2890" i="16"/>
  <c r="G2890" i="16"/>
  <c r="K2890" i="16"/>
  <c r="N2908" i="16"/>
  <c r="F2908" i="16"/>
  <c r="M2908" i="16"/>
  <c r="E2908" i="16"/>
  <c r="K2908" i="16"/>
  <c r="K2927" i="16"/>
  <c r="J2927" i="16"/>
  <c r="I2927" i="16"/>
  <c r="O2931" i="16"/>
  <c r="G2931" i="16"/>
  <c r="N2931" i="16"/>
  <c r="F2931" i="16"/>
  <c r="K2931" i="16"/>
  <c r="L2934" i="16"/>
  <c r="K2934" i="16"/>
  <c r="I2934" i="16"/>
  <c r="M2949" i="16"/>
  <c r="E2949" i="16"/>
  <c r="L2949" i="16"/>
  <c r="J2949" i="16"/>
  <c r="P2954" i="16"/>
  <c r="H2954" i="16"/>
  <c r="O2954" i="16"/>
  <c r="G2954" i="16"/>
  <c r="K2954" i="16"/>
  <c r="N2972" i="16"/>
  <c r="F2972" i="16"/>
  <c r="M2972" i="16"/>
  <c r="E2972" i="16"/>
  <c r="K2972" i="16"/>
  <c r="K2991" i="16"/>
  <c r="J2991" i="16"/>
  <c r="I2991" i="16"/>
  <c r="O2995" i="16"/>
  <c r="G2995" i="16"/>
  <c r="N2995" i="16"/>
  <c r="F2995" i="16"/>
  <c r="K2995" i="16"/>
  <c r="L2998" i="16"/>
  <c r="K2998" i="16"/>
  <c r="I2998" i="16"/>
  <c r="M3013" i="16"/>
  <c r="E3013" i="16"/>
  <c r="L3013" i="16"/>
  <c r="J3013" i="16"/>
  <c r="P3018" i="16"/>
  <c r="H3018" i="16"/>
  <c r="O3018" i="16"/>
  <c r="G3018" i="16"/>
  <c r="K3018" i="16"/>
  <c r="N3036" i="16"/>
  <c r="F3036" i="16"/>
  <c r="M3036" i="16"/>
  <c r="E3036" i="16"/>
  <c r="K3036" i="16"/>
  <c r="K3055" i="16"/>
  <c r="J3055" i="16"/>
  <c r="I3055" i="16"/>
  <c r="O3059" i="16"/>
  <c r="G3059" i="16"/>
  <c r="N3059" i="16"/>
  <c r="F3059" i="16"/>
  <c r="K3059" i="16"/>
  <c r="L3062" i="16"/>
  <c r="K3062" i="16"/>
  <c r="I3062" i="16"/>
  <c r="M3077" i="16"/>
  <c r="E3077" i="16"/>
  <c r="L3077" i="16"/>
  <c r="J3077" i="16"/>
  <c r="P3082" i="16"/>
  <c r="H3082" i="16"/>
  <c r="O3082" i="16"/>
  <c r="G3082" i="16"/>
  <c r="K3082" i="16"/>
  <c r="N3100" i="16"/>
  <c r="F3100" i="16"/>
  <c r="M3100" i="16"/>
  <c r="E3100" i="16"/>
  <c r="K3100" i="16"/>
  <c r="K3119" i="16"/>
  <c r="J3119" i="16"/>
  <c r="I3119" i="16"/>
  <c r="O3123" i="16"/>
  <c r="G3123" i="16"/>
  <c r="N3123" i="16"/>
  <c r="F3123" i="16"/>
  <c r="K3123" i="16"/>
  <c r="L3126" i="16"/>
  <c r="K3126" i="16"/>
  <c r="I3126" i="16"/>
  <c r="M3141" i="16"/>
  <c r="E3141" i="16"/>
  <c r="L3141" i="16"/>
  <c r="J3141" i="16"/>
  <c r="P3146" i="16"/>
  <c r="H3146" i="16"/>
  <c r="O3146" i="16"/>
  <c r="G3146" i="16"/>
  <c r="K3146" i="16"/>
  <c r="N3164" i="16"/>
  <c r="F3164" i="16"/>
  <c r="M3164" i="16"/>
  <c r="E3164" i="16"/>
  <c r="K3164" i="16"/>
  <c r="L3172" i="16"/>
  <c r="K3183" i="16"/>
  <c r="J3183" i="16"/>
  <c r="I3183" i="16"/>
  <c r="O3187" i="16"/>
  <c r="G3187" i="16"/>
  <c r="N3187" i="16"/>
  <c r="F3187" i="16"/>
  <c r="K3187" i="16"/>
  <c r="L3190" i="16"/>
  <c r="K3190" i="16"/>
  <c r="I3190" i="16"/>
  <c r="L3191" i="16"/>
  <c r="L3195" i="16"/>
  <c r="J3198" i="16"/>
  <c r="M3205" i="16"/>
  <c r="E3205" i="16"/>
  <c r="L3205" i="16"/>
  <c r="J3205" i="16"/>
  <c r="P3210" i="16"/>
  <c r="H3210" i="16"/>
  <c r="O3210" i="16"/>
  <c r="G3210" i="16"/>
  <c r="K3210" i="16"/>
  <c r="K3213" i="16"/>
  <c r="L3218" i="16"/>
  <c r="N3228" i="16"/>
  <c r="F3228" i="16"/>
  <c r="M3228" i="16"/>
  <c r="E3228" i="16"/>
  <c r="K3228" i="16"/>
  <c r="L3236" i="16"/>
  <c r="K3247" i="16"/>
  <c r="J3247" i="16"/>
  <c r="I3247" i="16"/>
  <c r="O3251" i="16"/>
  <c r="G3251" i="16"/>
  <c r="N3251" i="16"/>
  <c r="F3251" i="16"/>
  <c r="K3251" i="16"/>
  <c r="L3254" i="16"/>
  <c r="K3254" i="16"/>
  <c r="I3254" i="16"/>
  <c r="L3255" i="16"/>
  <c r="L3259" i="16"/>
  <c r="J3262" i="16"/>
  <c r="M3269" i="16"/>
  <c r="E3269" i="16"/>
  <c r="L3269" i="16"/>
  <c r="J3269" i="16"/>
  <c r="P3274" i="16"/>
  <c r="H3274" i="16"/>
  <c r="O3274" i="16"/>
  <c r="G3274" i="16"/>
  <c r="K3274" i="16"/>
  <c r="K3277" i="16"/>
  <c r="L3282" i="16"/>
  <c r="N3292" i="16"/>
  <c r="F3292" i="16"/>
  <c r="M3292" i="16"/>
  <c r="E3292" i="16"/>
  <c r="K3292" i="16"/>
  <c r="K3311" i="16"/>
  <c r="J3311" i="16"/>
  <c r="I3311" i="16"/>
  <c r="O3315" i="16"/>
  <c r="G3315" i="16"/>
  <c r="N3315" i="16"/>
  <c r="F3315" i="16"/>
  <c r="K3315" i="16"/>
  <c r="L3318" i="16"/>
  <c r="K3318" i="16"/>
  <c r="I3318" i="16"/>
  <c r="M3333" i="16"/>
  <c r="E3333" i="16"/>
  <c r="L3333" i="16"/>
  <c r="J3333" i="16"/>
  <c r="P3338" i="16"/>
  <c r="H3338" i="16"/>
  <c r="O3338" i="16"/>
  <c r="G3338" i="16"/>
  <c r="K3338" i="16"/>
  <c r="K3341" i="16"/>
  <c r="L3346" i="16"/>
  <c r="N3356" i="16"/>
  <c r="F3356" i="16"/>
  <c r="M3356" i="16"/>
  <c r="E3356" i="16"/>
  <c r="K3356" i="16"/>
  <c r="L3364" i="16"/>
  <c r="K3375" i="16"/>
  <c r="J3375" i="16"/>
  <c r="I3375" i="16"/>
  <c r="O3379" i="16"/>
  <c r="G3379" i="16"/>
  <c r="N3379" i="16"/>
  <c r="F3379" i="16"/>
  <c r="K3379" i="16"/>
  <c r="L3382" i="16"/>
  <c r="K3382" i="16"/>
  <c r="I3382" i="16"/>
  <c r="L3383" i="16"/>
  <c r="L3387" i="16"/>
  <c r="J3390" i="16"/>
  <c r="M3397" i="16"/>
  <c r="E3397" i="16"/>
  <c r="L3397" i="16"/>
  <c r="J3397" i="16"/>
  <c r="P3402" i="16"/>
  <c r="H3402" i="16"/>
  <c r="O3402" i="16"/>
  <c r="G3402" i="16"/>
  <c r="K3402" i="16"/>
  <c r="K3405" i="16"/>
  <c r="L3410" i="16"/>
  <c r="N3420" i="16"/>
  <c r="F3420" i="16"/>
  <c r="M3420" i="16"/>
  <c r="E3420" i="16"/>
  <c r="K3420" i="16"/>
  <c r="L3428" i="16"/>
  <c r="K3439" i="16"/>
  <c r="J3439" i="16"/>
  <c r="I3439" i="16"/>
  <c r="O3443" i="16"/>
  <c r="G3443" i="16"/>
  <c r="N3443" i="16"/>
  <c r="F3443" i="16"/>
  <c r="K3443" i="16"/>
  <c r="L3446" i="16"/>
  <c r="K3446" i="16"/>
  <c r="I3446" i="16"/>
  <c r="L3447" i="16"/>
  <c r="L3451" i="16"/>
  <c r="J3454" i="16"/>
  <c r="M3461" i="16"/>
  <c r="E3461" i="16"/>
  <c r="L3461" i="16"/>
  <c r="J3461" i="16"/>
  <c r="P3466" i="16"/>
  <c r="H3466" i="16"/>
  <c r="O3466" i="16"/>
  <c r="G3466" i="16"/>
  <c r="K3466" i="16"/>
  <c r="K3469" i="16"/>
  <c r="L3474" i="16"/>
  <c r="N3484" i="16"/>
  <c r="F3484" i="16"/>
  <c r="M3484" i="16"/>
  <c r="E3484" i="16"/>
  <c r="K3484" i="16"/>
  <c r="L3492" i="16"/>
  <c r="K3503" i="16"/>
  <c r="J3503" i="16"/>
  <c r="I3503" i="16"/>
  <c r="O3507" i="16"/>
  <c r="G3507" i="16"/>
  <c r="N3507" i="16"/>
  <c r="F3507" i="16"/>
  <c r="K3507" i="16"/>
  <c r="L3510" i="16"/>
  <c r="K3510" i="16"/>
  <c r="I3510" i="16"/>
  <c r="M3525" i="16"/>
  <c r="E3525" i="16"/>
  <c r="L3525" i="16"/>
  <c r="J3525" i="16"/>
  <c r="P3530" i="16"/>
  <c r="H3530" i="16"/>
  <c r="O3530" i="16"/>
  <c r="G3530" i="16"/>
  <c r="K3530" i="16"/>
  <c r="K3533" i="16"/>
  <c r="L3538" i="16"/>
  <c r="N3548" i="16"/>
  <c r="F3548" i="16"/>
  <c r="M3548" i="16"/>
  <c r="E3548" i="16"/>
  <c r="K3548" i="16"/>
  <c r="L3556" i="16"/>
  <c r="K3567" i="16"/>
  <c r="J3567" i="16"/>
  <c r="I3567" i="16"/>
  <c r="O3571" i="16"/>
  <c r="G3571" i="16"/>
  <c r="N3571" i="16"/>
  <c r="F3571" i="16"/>
  <c r="K3571" i="16"/>
  <c r="L3574" i="16"/>
  <c r="K3574" i="16"/>
  <c r="I3574" i="16"/>
  <c r="L3575" i="16"/>
  <c r="L3579" i="16"/>
  <c r="J3582" i="16"/>
  <c r="M3589" i="16"/>
  <c r="E3589" i="16"/>
  <c r="L3589" i="16"/>
  <c r="J3589" i="16"/>
  <c r="P3594" i="16"/>
  <c r="H3594" i="16"/>
  <c r="O3594" i="16"/>
  <c r="G3594" i="16"/>
  <c r="K3594" i="16"/>
  <c r="K3597" i="16"/>
  <c r="L3602" i="16"/>
  <c r="N3612" i="16"/>
  <c r="F3612" i="16"/>
  <c r="M3612" i="16"/>
  <c r="E3612" i="16"/>
  <c r="K3612" i="16"/>
  <c r="L3620" i="16"/>
  <c r="K3631" i="16"/>
  <c r="J3631" i="16"/>
  <c r="I3631" i="16"/>
  <c r="O3635" i="16"/>
  <c r="G3635" i="16"/>
  <c r="N3635" i="16"/>
  <c r="F3635" i="16"/>
  <c r="K3635" i="16"/>
  <c r="L3638" i="16"/>
  <c r="K3638" i="16"/>
  <c r="I3638" i="16"/>
  <c r="J3646" i="16"/>
  <c r="M3653" i="16"/>
  <c r="E3653" i="16"/>
  <c r="L3653" i="16"/>
  <c r="J3653" i="16"/>
  <c r="P3658" i="16"/>
  <c r="H3658" i="16"/>
  <c r="O3658" i="16"/>
  <c r="G3658" i="16"/>
  <c r="K3658" i="16"/>
  <c r="K3661" i="16"/>
  <c r="L3666" i="16"/>
  <c r="N3676" i="16"/>
  <c r="F3676" i="16"/>
  <c r="M3676" i="16"/>
  <c r="E3676" i="16"/>
  <c r="K3676" i="16"/>
  <c r="L3684" i="16"/>
  <c r="K3695" i="16"/>
  <c r="J3695" i="16"/>
  <c r="I3695" i="16"/>
  <c r="O3699" i="16"/>
  <c r="G3699" i="16"/>
  <c r="N3699" i="16"/>
  <c r="F3699" i="16"/>
  <c r="K3699" i="16"/>
  <c r="L3702" i="16"/>
  <c r="K3702" i="16"/>
  <c r="I3702" i="16"/>
  <c r="L3703" i="16"/>
  <c r="M3717" i="16"/>
  <c r="E3717" i="16"/>
  <c r="L3717" i="16"/>
  <c r="J3717" i="16"/>
  <c r="P3722" i="16"/>
  <c r="H3722" i="16"/>
  <c r="O3722" i="16"/>
  <c r="G3722" i="16"/>
  <c r="K3722" i="16"/>
  <c r="K3725" i="16"/>
  <c r="L3730" i="16"/>
  <c r="N3740" i="16"/>
  <c r="F3740" i="16"/>
  <c r="M3740" i="16"/>
  <c r="E3740" i="16"/>
  <c r="K3740" i="16"/>
  <c r="L3748" i="16"/>
  <c r="K3759" i="16"/>
  <c r="J3759" i="16"/>
  <c r="I3759" i="16"/>
  <c r="O3763" i="16"/>
  <c r="G3763" i="16"/>
  <c r="N3763" i="16"/>
  <c r="F3763" i="16"/>
  <c r="K3763" i="16"/>
  <c r="L3766" i="16"/>
  <c r="K3766" i="16"/>
  <c r="I3766" i="16"/>
  <c r="L3767" i="16"/>
  <c r="L3771" i="16"/>
  <c r="J3774" i="16"/>
  <c r="M3781" i="16"/>
  <c r="E3781" i="16"/>
  <c r="L3781" i="16"/>
  <c r="J3781" i="16"/>
  <c r="P3786" i="16"/>
  <c r="H3786" i="16"/>
  <c r="O3786" i="16"/>
  <c r="G3786" i="16"/>
  <c r="K3786" i="16"/>
  <c r="K3789" i="16"/>
  <c r="L3794" i="16"/>
  <c r="N3804" i="16"/>
  <c r="F3804" i="16"/>
  <c r="M3804" i="16"/>
  <c r="E3804" i="16"/>
  <c r="K3804" i="16"/>
  <c r="L3812" i="16"/>
  <c r="K3823" i="16"/>
  <c r="J3823" i="16"/>
  <c r="I3823" i="16"/>
  <c r="O3827" i="16"/>
  <c r="G3827" i="16"/>
  <c r="N3827" i="16"/>
  <c r="F3827" i="16"/>
  <c r="K3827" i="16"/>
  <c r="L3830" i="16"/>
  <c r="K3830" i="16"/>
  <c r="I3830" i="16"/>
  <c r="L3831" i="16"/>
  <c r="L3835" i="16"/>
  <c r="J3838" i="16"/>
  <c r="M3845" i="16"/>
  <c r="E3845" i="16"/>
  <c r="L3845" i="16"/>
  <c r="J3845" i="16"/>
  <c r="P3850" i="16"/>
  <c r="H3850" i="16"/>
  <c r="O3850" i="16"/>
  <c r="G3850" i="16"/>
  <c r="K3850" i="16"/>
  <c r="K3853" i="16"/>
  <c r="L3858" i="16"/>
  <c r="N3868" i="16"/>
  <c r="F3868" i="16"/>
  <c r="M3868" i="16"/>
  <c r="E3868" i="16"/>
  <c r="K3868" i="16"/>
  <c r="L3876" i="16"/>
  <c r="K3887" i="16"/>
  <c r="J3887" i="16"/>
  <c r="I3887" i="16"/>
  <c r="O3891" i="16"/>
  <c r="G3891" i="16"/>
  <c r="N3891" i="16"/>
  <c r="F3891" i="16"/>
  <c r="K3891" i="16"/>
  <c r="L3894" i="16"/>
  <c r="K3894" i="16"/>
  <c r="I3894" i="16"/>
  <c r="L3899" i="16"/>
  <c r="J3902" i="16"/>
  <c r="M3909" i="16"/>
  <c r="E3909" i="16"/>
  <c r="L3909" i="16"/>
  <c r="J3909" i="16"/>
  <c r="P3914" i="16"/>
  <c r="H3914" i="16"/>
  <c r="O3914" i="16"/>
  <c r="G3914" i="16"/>
  <c r="K3914" i="16"/>
  <c r="K3917" i="16"/>
  <c r="L3922" i="16"/>
  <c r="N3932" i="16"/>
  <c r="F3932" i="16"/>
  <c r="M3932" i="16"/>
  <c r="E3932" i="16"/>
  <c r="K3932" i="16"/>
  <c r="L3944" i="16"/>
  <c r="K3944" i="16"/>
  <c r="J3944" i="16"/>
  <c r="I3944" i="16"/>
  <c r="L3952" i="16"/>
  <c r="T3952" i="16"/>
  <c r="H3952" i="16"/>
  <c r="P3952" i="16"/>
  <c r="G3952" i="16"/>
  <c r="K3952" i="16"/>
  <c r="J3954" i="16"/>
  <c r="T3954" i="16"/>
  <c r="H3954" i="16"/>
  <c r="P3954" i="16"/>
  <c r="G3954" i="16"/>
  <c r="L3954" i="16"/>
  <c r="L3960" i="16"/>
  <c r="N3960" i="16"/>
  <c r="E3960" i="16"/>
  <c r="M3960" i="16"/>
  <c r="J3960" i="16"/>
  <c r="N3975" i="16"/>
  <c r="O4005" i="16"/>
  <c r="G4005" i="16"/>
  <c r="I4005" i="16"/>
  <c r="T4005" i="16"/>
  <c r="H4005" i="16"/>
  <c r="L4005" i="16"/>
  <c r="M4008" i="16"/>
  <c r="P4012" i="16"/>
  <c r="H4012" i="16"/>
  <c r="M4012" i="16"/>
  <c r="L4012" i="16"/>
  <c r="J4012" i="16"/>
  <c r="M4016" i="16"/>
  <c r="M4018" i="16"/>
  <c r="K4024" i="16"/>
  <c r="O4029" i="16"/>
  <c r="G4029" i="16"/>
  <c r="T4029" i="16"/>
  <c r="H4029" i="16"/>
  <c r="P4029" i="16"/>
  <c r="F4029" i="16"/>
  <c r="L4029" i="16"/>
  <c r="P4036" i="16"/>
  <c r="H4036" i="16"/>
  <c r="L4036" i="16"/>
  <c r="K4036" i="16"/>
  <c r="J4036" i="16"/>
  <c r="O4044" i="16"/>
  <c r="K4047" i="16"/>
  <c r="T4047" i="16"/>
  <c r="H4047" i="16"/>
  <c r="P4047" i="16"/>
  <c r="F4047" i="16"/>
  <c r="O4047" i="16"/>
  <c r="E4047" i="16"/>
  <c r="M4047" i="16"/>
  <c r="N4064" i="16"/>
  <c r="O4077" i="16"/>
  <c r="L4090" i="16"/>
  <c r="K4095" i="16"/>
  <c r="O4095" i="16"/>
  <c r="F4095" i="16"/>
  <c r="H4095" i="16"/>
  <c r="T4095" i="16"/>
  <c r="G4095" i="16"/>
  <c r="M4095" i="16"/>
  <c r="N4111" i="16"/>
  <c r="K4119" i="16"/>
  <c r="N4119" i="16"/>
  <c r="E4119" i="16"/>
  <c r="P4119" i="16"/>
  <c r="F4119" i="16"/>
  <c r="O4119" i="16"/>
  <c r="L4119" i="16"/>
  <c r="P4130" i="16"/>
  <c r="H4130" i="16"/>
  <c r="L4130" i="16"/>
  <c r="I4130" i="16"/>
  <c r="G4130" i="16"/>
  <c r="M4130" i="16"/>
  <c r="J4136" i="16"/>
  <c r="P4136" i="16"/>
  <c r="G4136" i="16"/>
  <c r="T4136" i="16"/>
  <c r="F4136" i="16"/>
  <c r="O4136" i="16"/>
  <c r="E4136" i="16"/>
  <c r="M4136" i="16"/>
  <c r="P4146" i="16"/>
  <c r="H4146" i="16"/>
  <c r="N4146" i="16"/>
  <c r="E4146" i="16"/>
  <c r="T4146" i="16"/>
  <c r="F4146" i="16"/>
  <c r="O4146" i="16"/>
  <c r="L4146" i="16"/>
  <c r="M4149" i="16"/>
  <c r="E4149" i="16"/>
  <c r="I4149" i="16"/>
  <c r="T4149" i="16"/>
  <c r="G4149" i="16"/>
  <c r="P4149" i="16"/>
  <c r="F4149" i="16"/>
  <c r="N4149" i="16"/>
  <c r="N4159" i="16"/>
  <c r="O4163" i="16"/>
  <c r="G4163" i="16"/>
  <c r="I4163" i="16"/>
  <c r="H4163" i="16"/>
  <c r="T4163" i="16"/>
  <c r="F4163" i="16"/>
  <c r="M4163" i="16"/>
  <c r="J4176" i="16"/>
  <c r="T4176" i="16"/>
  <c r="H4176" i="16"/>
  <c r="I4176" i="16"/>
  <c r="G4176" i="16"/>
  <c r="M4176" i="16"/>
  <c r="M4183" i="16"/>
  <c r="O4187" i="16"/>
  <c r="G4187" i="16"/>
  <c r="T4187" i="16"/>
  <c r="H4187" i="16"/>
  <c r="P4187" i="16"/>
  <c r="E4187" i="16"/>
  <c r="N4187" i="16"/>
  <c r="L4187" i="16"/>
  <c r="N4194" i="16"/>
  <c r="N4196" i="16"/>
  <c r="F4196" i="16"/>
  <c r="O4196" i="16"/>
  <c r="E4196" i="16"/>
  <c r="P4196" i="16"/>
  <c r="M4196" i="16"/>
  <c r="K4196" i="16"/>
  <c r="N4200" i="16"/>
  <c r="M4210" i="16"/>
  <c r="O4213" i="16"/>
  <c r="N4227" i="16"/>
  <c r="M4229" i="16"/>
  <c r="E4229" i="16"/>
  <c r="K4229" i="16"/>
  <c r="N4229" i="16"/>
  <c r="L4229" i="16"/>
  <c r="J4229" i="16"/>
  <c r="K4231" i="16"/>
  <c r="L4231" i="16"/>
  <c r="P4231" i="16"/>
  <c r="F4231" i="16"/>
  <c r="O4231" i="16"/>
  <c r="E4231" i="16"/>
  <c r="M4231" i="16"/>
  <c r="N4240" i="16"/>
  <c r="O4243" i="16"/>
  <c r="G4243" i="16"/>
  <c r="K4243" i="16"/>
  <c r="P4243" i="16"/>
  <c r="E4243" i="16"/>
  <c r="N4243" i="16"/>
  <c r="L4243" i="16"/>
  <c r="M4251" i="16"/>
  <c r="K4255" i="16"/>
  <c r="J4255" i="16"/>
  <c r="O4255" i="16"/>
  <c r="E4255" i="16"/>
  <c r="N4255" i="16"/>
  <c r="L4255" i="16"/>
  <c r="L4260" i="16"/>
  <c r="O4275" i="16"/>
  <c r="G4275" i="16"/>
  <c r="P4275" i="16"/>
  <c r="F4275" i="16"/>
  <c r="J4275" i="16"/>
  <c r="I4275" i="16"/>
  <c r="M4275" i="16"/>
  <c r="O4283" i="16"/>
  <c r="G4283" i="16"/>
  <c r="L4283" i="16"/>
  <c r="T4283" i="16"/>
  <c r="F4283" i="16"/>
  <c r="P4283" i="16"/>
  <c r="E4283" i="16"/>
  <c r="M4283" i="16"/>
  <c r="O4293" i="16"/>
  <c r="N4295" i="16"/>
  <c r="O4299" i="16"/>
  <c r="G4299" i="16"/>
  <c r="N4299" i="16"/>
  <c r="E4299" i="16"/>
  <c r="M4299" i="16"/>
  <c r="L4299" i="16"/>
  <c r="K4299" i="16"/>
  <c r="L4302" i="16"/>
  <c r="T4302" i="16"/>
  <c r="H4302" i="16"/>
  <c r="N4302" i="16"/>
  <c r="M4302" i="16"/>
  <c r="J4302" i="16"/>
  <c r="M4307" i="16"/>
  <c r="J4312" i="16"/>
  <c r="N4312" i="16"/>
  <c r="E4312" i="16"/>
  <c r="H4312" i="16"/>
  <c r="T4312" i="16"/>
  <c r="G4312" i="16"/>
  <c r="M4312" i="16"/>
  <c r="N4316" i="16"/>
  <c r="F4316" i="16"/>
  <c r="I4316" i="16"/>
  <c r="J4316" i="16"/>
  <c r="H4316" i="16"/>
  <c r="M4316" i="16"/>
  <c r="M4319" i="16"/>
  <c r="N4332" i="16"/>
  <c r="F4332" i="16"/>
  <c r="K4332" i="16"/>
  <c r="P4332" i="16"/>
  <c r="E4332" i="16"/>
  <c r="O4332" i="16"/>
  <c r="L4332" i="16"/>
  <c r="N4339" i="16"/>
  <c r="N4347" i="16"/>
  <c r="P4363" i="16"/>
  <c r="K4366" i="16"/>
  <c r="L4374" i="16"/>
  <c r="N4374" i="16"/>
  <c r="E4374" i="16"/>
  <c r="M4374" i="16"/>
  <c r="K4374" i="16"/>
  <c r="J4374" i="16"/>
  <c r="O4376" i="16"/>
  <c r="O4380" i="16"/>
  <c r="M4389" i="16"/>
  <c r="E4389" i="16"/>
  <c r="P4389" i="16"/>
  <c r="G4389" i="16"/>
  <c r="I4389" i="16"/>
  <c r="H4389" i="16"/>
  <c r="N4389" i="16"/>
  <c r="K4391" i="16"/>
  <c r="P4391" i="16"/>
  <c r="G4391" i="16"/>
  <c r="N4391" i="16"/>
  <c r="M4391" i="16"/>
  <c r="J4391" i="16"/>
  <c r="J4400" i="16"/>
  <c r="M4400" i="16"/>
  <c r="L4400" i="16"/>
  <c r="K4400" i="16"/>
  <c r="I4400" i="16"/>
  <c r="N4412" i="16"/>
  <c r="F4412" i="16"/>
  <c r="M4412" i="16"/>
  <c r="I4412" i="16"/>
  <c r="H4412" i="16"/>
  <c r="L4412" i="16"/>
  <c r="L4414" i="16"/>
  <c r="O4414" i="16"/>
  <c r="F4414" i="16"/>
  <c r="P4414" i="16"/>
  <c r="E4414" i="16"/>
  <c r="N4414" i="16"/>
  <c r="K4414" i="16"/>
  <c r="J4424" i="16"/>
  <c r="L4424" i="16"/>
  <c r="T4424" i="16"/>
  <c r="G4424" i="16"/>
  <c r="P4424" i="16"/>
  <c r="F4424" i="16"/>
  <c r="M4424" i="16"/>
  <c r="N4436" i="16"/>
  <c r="F4436" i="16"/>
  <c r="L4436" i="16"/>
  <c r="H4436" i="16"/>
  <c r="T4436" i="16"/>
  <c r="G4436" i="16"/>
  <c r="M4436" i="16"/>
  <c r="O4438" i="16"/>
  <c r="L4446" i="16"/>
  <c r="J4446" i="16"/>
  <c r="N4446" i="16"/>
  <c r="M4446" i="16"/>
  <c r="I4446" i="16"/>
  <c r="O4453" i="16"/>
  <c r="L4455" i="16"/>
  <c r="N4464" i="16"/>
  <c r="N4468" i="16"/>
  <c r="F4468" i="16"/>
  <c r="T4468" i="16"/>
  <c r="H4468" i="16"/>
  <c r="M4468" i="16"/>
  <c r="L4468" i="16"/>
  <c r="K4468" i="16"/>
  <c r="O4476" i="16"/>
  <c r="M4478" i="16"/>
  <c r="P4482" i="16"/>
  <c r="H4482" i="16"/>
  <c r="T4482" i="16"/>
  <c r="G4482" i="16"/>
  <c r="N4482" i="16"/>
  <c r="M4482" i="16"/>
  <c r="K4482" i="16"/>
  <c r="L4486" i="16"/>
  <c r="K4486" i="16"/>
  <c r="O4486" i="16"/>
  <c r="E4486" i="16"/>
  <c r="N4486" i="16"/>
  <c r="J4486" i="16"/>
  <c r="N4492" i="16"/>
  <c r="F4492" i="16"/>
  <c r="P4492" i="16"/>
  <c r="G4492" i="16"/>
  <c r="H4492" i="16"/>
  <c r="T4492" i="16"/>
  <c r="E4492" i="16"/>
  <c r="M4492" i="16"/>
  <c r="O4500" i="16"/>
  <c r="K4510" i="16"/>
  <c r="J4512" i="16"/>
  <c r="K4512" i="16"/>
  <c r="P4512" i="16"/>
  <c r="F4512" i="16"/>
  <c r="O4512" i="16"/>
  <c r="E4512" i="16"/>
  <c r="M4512" i="16"/>
  <c r="M4525" i="16"/>
  <c r="E4525" i="16"/>
  <c r="L4525" i="16"/>
  <c r="H4525" i="16"/>
  <c r="T4525" i="16"/>
  <c r="G4525" i="16"/>
  <c r="N4525" i="16"/>
  <c r="O4532" i="16"/>
  <c r="P4538" i="16"/>
  <c r="H4538" i="16"/>
  <c r="K4538" i="16"/>
  <c r="N4538" i="16"/>
  <c r="M4538" i="16"/>
  <c r="J4538" i="16"/>
  <c r="L4546" i="16"/>
  <c r="J4560" i="16"/>
  <c r="T4560" i="16"/>
  <c r="H4560" i="16"/>
  <c r="I4560" i="16"/>
  <c r="G4560" i="16"/>
  <c r="P4560" i="16"/>
  <c r="F4560" i="16"/>
  <c r="N4560" i="16"/>
  <c r="T4563" i="16"/>
  <c r="L4574" i="16"/>
  <c r="K4574" i="16"/>
  <c r="J4574" i="16"/>
  <c r="O4574" i="16"/>
  <c r="N4574" i="16"/>
  <c r="M4574" i="16"/>
  <c r="I4574" i="16"/>
  <c r="O4579" i="16"/>
  <c r="G4579" i="16"/>
  <c r="N4579" i="16"/>
  <c r="E4579" i="16"/>
  <c r="M4579" i="16"/>
  <c r="H4579" i="16"/>
  <c r="F4579" i="16"/>
  <c r="T4579" i="16"/>
  <c r="P4579" i="16"/>
  <c r="N4588" i="16"/>
  <c r="F4588" i="16"/>
  <c r="L4588" i="16"/>
  <c r="K4588" i="16"/>
  <c r="G4588" i="16"/>
  <c r="T4588" i="16"/>
  <c r="E4588" i="16"/>
  <c r="P4588" i="16"/>
  <c r="O4588" i="16"/>
  <c r="O4603" i="16"/>
  <c r="G4603" i="16"/>
  <c r="M4603" i="16"/>
  <c r="L4603" i="16"/>
  <c r="F4603" i="16"/>
  <c r="T4603" i="16"/>
  <c r="E4603" i="16"/>
  <c r="P4603" i="16"/>
  <c r="N4603" i="16"/>
  <c r="J4616" i="16"/>
  <c r="N4616" i="16"/>
  <c r="E4616" i="16"/>
  <c r="M4616" i="16"/>
  <c r="L4616" i="16"/>
  <c r="T4616" i="16"/>
  <c r="P4616" i="16"/>
  <c r="O4616" i="16"/>
  <c r="K4616" i="16"/>
  <c r="P4666" i="16"/>
  <c r="H4666" i="16"/>
  <c r="M4666" i="16"/>
  <c r="L4666" i="16"/>
  <c r="K4666" i="16"/>
  <c r="I4666" i="16"/>
  <c r="G4666" i="16"/>
  <c r="F4666" i="16"/>
  <c r="T4666" i="16"/>
  <c r="L4678" i="16"/>
  <c r="N4678" i="16"/>
  <c r="E4678" i="16"/>
  <c r="M4678" i="16"/>
  <c r="K4678" i="16"/>
  <c r="H4678" i="16"/>
  <c r="G4678" i="16"/>
  <c r="F4678" i="16"/>
  <c r="T4678" i="16"/>
  <c r="J4736" i="16"/>
  <c r="T4736" i="16"/>
  <c r="H4736" i="16"/>
  <c r="P4736" i="16"/>
  <c r="G4736" i="16"/>
  <c r="O4736" i="16"/>
  <c r="F4736" i="16"/>
  <c r="E4736" i="16"/>
  <c r="N4736" i="16"/>
  <c r="K4759" i="16"/>
  <c r="P4759" i="16"/>
  <c r="G4759" i="16"/>
  <c r="O4759" i="16"/>
  <c r="F4759" i="16"/>
  <c r="N4759" i="16"/>
  <c r="E4759" i="16"/>
  <c r="L4759" i="16"/>
  <c r="J4759" i="16"/>
  <c r="I4759" i="16"/>
  <c r="P4786" i="16"/>
  <c r="H4786" i="16"/>
  <c r="T4786" i="16"/>
  <c r="G4786" i="16"/>
  <c r="O4786" i="16"/>
  <c r="F4786" i="16"/>
  <c r="N4786" i="16"/>
  <c r="E4786" i="16"/>
  <c r="I4786" i="16"/>
  <c r="O4787" i="16"/>
  <c r="G4787" i="16"/>
  <c r="I4787" i="16"/>
  <c r="T4787" i="16"/>
  <c r="H4787" i="16"/>
  <c r="P4787" i="16"/>
  <c r="F4787" i="16"/>
  <c r="N4787" i="16"/>
  <c r="M4787" i="16"/>
  <c r="N4796" i="16"/>
  <c r="F4796" i="16"/>
  <c r="P4796" i="16"/>
  <c r="G4796" i="16"/>
  <c r="O4796" i="16"/>
  <c r="E4796" i="16"/>
  <c r="M4796" i="16"/>
  <c r="J4796" i="16"/>
  <c r="I4796" i="16"/>
  <c r="H4796" i="16"/>
  <c r="J4808" i="16"/>
  <c r="N4808" i="16"/>
  <c r="E4808" i="16"/>
  <c r="M4808" i="16"/>
  <c r="L4808" i="16"/>
  <c r="F4808" i="16"/>
  <c r="T4808" i="16"/>
  <c r="P4808" i="16"/>
  <c r="O4808" i="16"/>
  <c r="M4821" i="16"/>
  <c r="E4821" i="16"/>
  <c r="P4821" i="16"/>
  <c r="G4821" i="16"/>
  <c r="O4821" i="16"/>
  <c r="F4821" i="16"/>
  <c r="N4821" i="16"/>
  <c r="J4821" i="16"/>
  <c r="I4821" i="16"/>
  <c r="H4821" i="16"/>
  <c r="J4832" i="16"/>
  <c r="M4832" i="16"/>
  <c r="L4832" i="16"/>
  <c r="K4832" i="16"/>
  <c r="F4832" i="16"/>
  <c r="T4832" i="16"/>
  <c r="E4832" i="16"/>
  <c r="P4832" i="16"/>
  <c r="O4832" i="16"/>
  <c r="M4869" i="16"/>
  <c r="E4869" i="16"/>
  <c r="N4869" i="16"/>
  <c r="L4869" i="16"/>
  <c r="K4869" i="16"/>
  <c r="T4869" i="16"/>
  <c r="P4869" i="16"/>
  <c r="O4869" i="16"/>
  <c r="J4869" i="16"/>
  <c r="K4911" i="16"/>
  <c r="O4911" i="16"/>
  <c r="F4911" i="16"/>
  <c r="N4911" i="16"/>
  <c r="E4911" i="16"/>
  <c r="M4911" i="16"/>
  <c r="J4911" i="16"/>
  <c r="I4911" i="16"/>
  <c r="H4911" i="16"/>
  <c r="J4912" i="16"/>
  <c r="O4912" i="16"/>
  <c r="F4912" i="16"/>
  <c r="N4912" i="16"/>
  <c r="E4912" i="16"/>
  <c r="M4912" i="16"/>
  <c r="G4912" i="16"/>
  <c r="T4912" i="16"/>
  <c r="P4912" i="16"/>
  <c r="K4927" i="16"/>
  <c r="T4927" i="16"/>
  <c r="H4927" i="16"/>
  <c r="P4927" i="16"/>
  <c r="G4927" i="16"/>
  <c r="O4927" i="16"/>
  <c r="F4927" i="16"/>
  <c r="L4927" i="16"/>
  <c r="J4927" i="16"/>
  <c r="I4927" i="16"/>
  <c r="O4939" i="16"/>
  <c r="G4939" i="16"/>
  <c r="T4939" i="16"/>
  <c r="H4939" i="16"/>
  <c r="P4939" i="16"/>
  <c r="F4939" i="16"/>
  <c r="N4939" i="16"/>
  <c r="E4939" i="16"/>
  <c r="J4939" i="16"/>
  <c r="I4939" i="16"/>
  <c r="N4948" i="16"/>
  <c r="F4948" i="16"/>
  <c r="O4948" i="16"/>
  <c r="E4948" i="16"/>
  <c r="M4948" i="16"/>
  <c r="L4948" i="16"/>
  <c r="J4948" i="16"/>
  <c r="I4948" i="16"/>
  <c r="H4948" i="16"/>
  <c r="M4949" i="16"/>
  <c r="E4949" i="16"/>
  <c r="P4949" i="16"/>
  <c r="G4949" i="16"/>
  <c r="O4949" i="16"/>
  <c r="F4949" i="16"/>
  <c r="N4949" i="16"/>
  <c r="H4949" i="16"/>
  <c r="T4949" i="16"/>
  <c r="J4952" i="16"/>
  <c r="P4952" i="16"/>
  <c r="G4952" i="16"/>
  <c r="O4952" i="16"/>
  <c r="F4952" i="16"/>
  <c r="N4952" i="16"/>
  <c r="E4952" i="16"/>
  <c r="K4952" i="16"/>
  <c r="I4952" i="16"/>
  <c r="H4952" i="16"/>
  <c r="T4960" i="16"/>
  <c r="P4962" i="16"/>
  <c r="H4962" i="16"/>
  <c r="N4962" i="16"/>
  <c r="E4962" i="16"/>
  <c r="M4962" i="16"/>
  <c r="L4962" i="16"/>
  <c r="J4962" i="16"/>
  <c r="I4962" i="16"/>
  <c r="G4962" i="16"/>
  <c r="O4963" i="16"/>
  <c r="G4963" i="16"/>
  <c r="P4963" i="16"/>
  <c r="F4963" i="16"/>
  <c r="N4963" i="16"/>
  <c r="E4963" i="16"/>
  <c r="M4963" i="16"/>
  <c r="H4963" i="16"/>
  <c r="T4963" i="16"/>
  <c r="J4976" i="16"/>
  <c r="O4976" i="16"/>
  <c r="F4976" i="16"/>
  <c r="N4976" i="16"/>
  <c r="E4976" i="16"/>
  <c r="M4976" i="16"/>
  <c r="K4976" i="16"/>
  <c r="I4976" i="16"/>
  <c r="H4976" i="16"/>
  <c r="M5053" i="16"/>
  <c r="E5053" i="16"/>
  <c r="L5053" i="16"/>
  <c r="T5053" i="16"/>
  <c r="G5053" i="16"/>
  <c r="P5053" i="16"/>
  <c r="F5053" i="16"/>
  <c r="O5053" i="16"/>
  <c r="I5053" i="16"/>
  <c r="H5053" i="16"/>
  <c r="M5077" i="16"/>
  <c r="E5077" i="16"/>
  <c r="L5077" i="16"/>
  <c r="T5077" i="16"/>
  <c r="G5077" i="16"/>
  <c r="P5077" i="16"/>
  <c r="F5077" i="16"/>
  <c r="O5077" i="16"/>
  <c r="K5077" i="16"/>
  <c r="J5077" i="16"/>
  <c r="I5077" i="16"/>
  <c r="P5106" i="16"/>
  <c r="H5106" i="16"/>
  <c r="O5106" i="16"/>
  <c r="G5106" i="16"/>
  <c r="T5106" i="16"/>
  <c r="E5106" i="16"/>
  <c r="N5106" i="16"/>
  <c r="M5106" i="16"/>
  <c r="J5106" i="16"/>
  <c r="I5106" i="16"/>
  <c r="F5106" i="16"/>
  <c r="L5110" i="16"/>
  <c r="K5110" i="16"/>
  <c r="H5110" i="16"/>
  <c r="T5110" i="16"/>
  <c r="G5110" i="16"/>
  <c r="P5110" i="16"/>
  <c r="F5110" i="16"/>
  <c r="J5110" i="16"/>
  <c r="I5110" i="16"/>
  <c r="E5110" i="16"/>
  <c r="O5131" i="16"/>
  <c r="G5131" i="16"/>
  <c r="N5131" i="16"/>
  <c r="F5131" i="16"/>
  <c r="J5131" i="16"/>
  <c r="I5131" i="16"/>
  <c r="H5131" i="16"/>
  <c r="M5131" i="16"/>
  <c r="L5131" i="16"/>
  <c r="K5131" i="16"/>
  <c r="O5139" i="16"/>
  <c r="G5139" i="16"/>
  <c r="N5139" i="16"/>
  <c r="F5139" i="16"/>
  <c r="J5139" i="16"/>
  <c r="I5139" i="16"/>
  <c r="H5139" i="16"/>
  <c r="K5139" i="16"/>
  <c r="E5139" i="16"/>
  <c r="M5181" i="16"/>
  <c r="E5181" i="16"/>
  <c r="L5181" i="16"/>
  <c r="T5181" i="16"/>
  <c r="G5181" i="16"/>
  <c r="P5181" i="16"/>
  <c r="F5181" i="16"/>
  <c r="O5181" i="16"/>
  <c r="I5181" i="16"/>
  <c r="H5181" i="16"/>
  <c r="M5205" i="16"/>
  <c r="E5205" i="16"/>
  <c r="L5205" i="16"/>
  <c r="T5205" i="16"/>
  <c r="G5205" i="16"/>
  <c r="P5205" i="16"/>
  <c r="F5205" i="16"/>
  <c r="O5205" i="16"/>
  <c r="K5205" i="16"/>
  <c r="J5205" i="16"/>
  <c r="I5205" i="16"/>
  <c r="P5234" i="16"/>
  <c r="H5234" i="16"/>
  <c r="O5234" i="16"/>
  <c r="G5234" i="16"/>
  <c r="T5234" i="16"/>
  <c r="E5234" i="16"/>
  <c r="N5234" i="16"/>
  <c r="M5234" i="16"/>
  <c r="J5234" i="16"/>
  <c r="I5234" i="16"/>
  <c r="F5234" i="16"/>
  <c r="L5238" i="16"/>
  <c r="K5238" i="16"/>
  <c r="H5238" i="16"/>
  <c r="T5238" i="16"/>
  <c r="G5238" i="16"/>
  <c r="P5238" i="16"/>
  <c r="F5238" i="16"/>
  <c r="J5238" i="16"/>
  <c r="I5238" i="16"/>
  <c r="E5238" i="16"/>
  <c r="O5259" i="16"/>
  <c r="G5259" i="16"/>
  <c r="N5259" i="16"/>
  <c r="F5259" i="16"/>
  <c r="J5259" i="16"/>
  <c r="I5259" i="16"/>
  <c r="H5259" i="16"/>
  <c r="K5259" i="16"/>
  <c r="E5259" i="16"/>
  <c r="M5309" i="16"/>
  <c r="E5309" i="16"/>
  <c r="L5309" i="16"/>
  <c r="T5309" i="16"/>
  <c r="G5309" i="16"/>
  <c r="P5309" i="16"/>
  <c r="F5309" i="16"/>
  <c r="O5309" i="16"/>
  <c r="I5309" i="16"/>
  <c r="H5309" i="16"/>
  <c r="M5325" i="16"/>
  <c r="E5325" i="16"/>
  <c r="L5325" i="16"/>
  <c r="T5325" i="16"/>
  <c r="G5325" i="16"/>
  <c r="P5325" i="16"/>
  <c r="F5325" i="16"/>
  <c r="O5325" i="16"/>
  <c r="K5325" i="16"/>
  <c r="J5325" i="16"/>
  <c r="I5325" i="16"/>
  <c r="L5350" i="16"/>
  <c r="K5350" i="16"/>
  <c r="H5350" i="16"/>
  <c r="T5350" i="16"/>
  <c r="G5350" i="16"/>
  <c r="P5350" i="16"/>
  <c r="F5350" i="16"/>
  <c r="I5350" i="16"/>
  <c r="E5350" i="16"/>
  <c r="P5362" i="16"/>
  <c r="H5362" i="16"/>
  <c r="O5362" i="16"/>
  <c r="G5362" i="16"/>
  <c r="T5362" i="16"/>
  <c r="E5362" i="16"/>
  <c r="N5362" i="16"/>
  <c r="M5362" i="16"/>
  <c r="K5362" i="16"/>
  <c r="J5362" i="16"/>
  <c r="I5362" i="16"/>
  <c r="O5387" i="16"/>
  <c r="G5387" i="16"/>
  <c r="N5387" i="16"/>
  <c r="F5387" i="16"/>
  <c r="J5387" i="16"/>
  <c r="I5387" i="16"/>
  <c r="H5387" i="16"/>
  <c r="K5387" i="16"/>
  <c r="E5387" i="16"/>
  <c r="M5437" i="16"/>
  <c r="E5437" i="16"/>
  <c r="L5437" i="16"/>
  <c r="T5437" i="16"/>
  <c r="G5437" i="16"/>
  <c r="P5437" i="16"/>
  <c r="F5437" i="16"/>
  <c r="O5437" i="16"/>
  <c r="I5437" i="16"/>
  <c r="H5437" i="16"/>
  <c r="M5453" i="16"/>
  <c r="E5453" i="16"/>
  <c r="L5453" i="16"/>
  <c r="T5453" i="16"/>
  <c r="G5453" i="16"/>
  <c r="P5453" i="16"/>
  <c r="F5453" i="16"/>
  <c r="O5453" i="16"/>
  <c r="K5453" i="16"/>
  <c r="J5453" i="16"/>
  <c r="I5453" i="16"/>
  <c r="L5478" i="16"/>
  <c r="K5478" i="16"/>
  <c r="H5478" i="16"/>
  <c r="T5478" i="16"/>
  <c r="G5478" i="16"/>
  <c r="P5478" i="16"/>
  <c r="F5478" i="16"/>
  <c r="I5478" i="16"/>
  <c r="E5478" i="16"/>
  <c r="P5490" i="16"/>
  <c r="H5490" i="16"/>
  <c r="O5490" i="16"/>
  <c r="G5490" i="16"/>
  <c r="T5490" i="16"/>
  <c r="E5490" i="16"/>
  <c r="N5490" i="16"/>
  <c r="M5490" i="16"/>
  <c r="K5490" i="16"/>
  <c r="J5490" i="16"/>
  <c r="I5490" i="16"/>
  <c r="O5515" i="16"/>
  <c r="G5515" i="16"/>
  <c r="N5515" i="16"/>
  <c r="F5515" i="16"/>
  <c r="J5515" i="16"/>
  <c r="I5515" i="16"/>
  <c r="H5515" i="16"/>
  <c r="K5515" i="16"/>
  <c r="E5515" i="16"/>
  <c r="M5701" i="16"/>
  <c r="E5701" i="16"/>
  <c r="L5701" i="16"/>
  <c r="K5701" i="16"/>
  <c r="G5701" i="16"/>
  <c r="T5701" i="16"/>
  <c r="F5701" i="16"/>
  <c r="P5701" i="16"/>
  <c r="H5701" i="16"/>
  <c r="P5730" i="16"/>
  <c r="H5730" i="16"/>
  <c r="O5730" i="16"/>
  <c r="G5730" i="16"/>
  <c r="N5730" i="16"/>
  <c r="F5730" i="16"/>
  <c r="T5730" i="16"/>
  <c r="M5730" i="16"/>
  <c r="I5730" i="16"/>
  <c r="E5730" i="16"/>
  <c r="N5732" i="16"/>
  <c r="F5732" i="16"/>
  <c r="M5732" i="16"/>
  <c r="E5732" i="16"/>
  <c r="L5732" i="16"/>
  <c r="H5732" i="16"/>
  <c r="G5732" i="16"/>
  <c r="T5732" i="16"/>
  <c r="P5732" i="16"/>
  <c r="K5924" i="16"/>
  <c r="P5924" i="16"/>
  <c r="G5924" i="16"/>
  <c r="O5924" i="16"/>
  <c r="F5924" i="16"/>
  <c r="N5924" i="16"/>
  <c r="E5924" i="16"/>
  <c r="T5924" i="16"/>
  <c r="J5924" i="16"/>
  <c r="I5924" i="16"/>
  <c r="H5924" i="16"/>
  <c r="P5967" i="16"/>
  <c r="H5967" i="16"/>
  <c r="O5967" i="16"/>
  <c r="G5967" i="16"/>
  <c r="J5967" i="16"/>
  <c r="I5967" i="16"/>
  <c r="F5967" i="16"/>
  <c r="K5967" i="16"/>
  <c r="E5967" i="16"/>
  <c r="L5967" i="16"/>
  <c r="V2" i="17"/>
  <c r="N2" i="17"/>
  <c r="AC2" i="17"/>
  <c r="U2" i="17"/>
  <c r="M2" i="17"/>
  <c r="AE2" i="17" s="1"/>
  <c r="Z2" i="17"/>
  <c r="Y2" i="17"/>
  <c r="X2" i="17"/>
  <c r="L2" i="17"/>
  <c r="S2" i="17"/>
  <c r="R2" i="17"/>
  <c r="AP2" i="17" s="1"/>
  <c r="Q2" i="17"/>
  <c r="AB2" i="17"/>
  <c r="AA2" i="17"/>
  <c r="W2" i="17"/>
  <c r="K3" i="17"/>
  <c r="O6" i="17" s="1"/>
  <c r="K39" i="17"/>
  <c r="V46" i="17"/>
  <c r="N46" i="17"/>
  <c r="AC46" i="17"/>
  <c r="U46" i="17"/>
  <c r="AQ46" i="17" s="1"/>
  <c r="M46" i="17"/>
  <c r="X46" i="17"/>
  <c r="L46" i="17"/>
  <c r="W46" i="17"/>
  <c r="K46" i="17"/>
  <c r="T46" i="17"/>
  <c r="J46" i="17"/>
  <c r="Q46" i="17"/>
  <c r="AB46" i="17"/>
  <c r="Z46" i="17"/>
  <c r="Y46" i="17"/>
  <c r="S46" i="17"/>
  <c r="AL332" i="17"/>
  <c r="AD332" i="17"/>
  <c r="V332" i="17"/>
  <c r="N332" i="17"/>
  <c r="AK332" i="17"/>
  <c r="AC332" i="17"/>
  <c r="U332" i="17"/>
  <c r="M332" i="17"/>
  <c r="AI332" i="17"/>
  <c r="Y332" i="17"/>
  <c r="O332" i="17"/>
  <c r="AR332" i="17"/>
  <c r="AH332" i="17"/>
  <c r="X332" i="17"/>
  <c r="L332" i="17"/>
  <c r="AQ332" i="17"/>
  <c r="AG332" i="17"/>
  <c r="W332" i="17"/>
  <c r="K332" i="17"/>
  <c r="AF332" i="17"/>
  <c r="Q332" i="17"/>
  <c r="AE332" i="17"/>
  <c r="P332" i="17"/>
  <c r="AB332" i="17"/>
  <c r="J332" i="17"/>
  <c r="AM332" i="17"/>
  <c r="AJ332" i="17"/>
  <c r="AA332" i="17"/>
  <c r="AP332" i="17"/>
  <c r="AO332" i="17"/>
  <c r="AN332" i="17"/>
  <c r="Z332" i="17"/>
  <c r="AL338" i="17"/>
  <c r="AD338" i="17"/>
  <c r="V338" i="17"/>
  <c r="N338" i="17"/>
  <c r="AK338" i="17"/>
  <c r="AC338" i="17"/>
  <c r="U338" i="17"/>
  <c r="M338" i="17"/>
  <c r="AN338" i="17"/>
  <c r="AB338" i="17"/>
  <c r="R338" i="17"/>
  <c r="AM338" i="17"/>
  <c r="AA338" i="17"/>
  <c r="Q338" i="17"/>
  <c r="AJ338" i="17"/>
  <c r="Z338" i="17"/>
  <c r="P338" i="17"/>
  <c r="AG338" i="17"/>
  <c r="O338" i="17"/>
  <c r="AF338" i="17"/>
  <c r="L338" i="17"/>
  <c r="AR338" i="17"/>
  <c r="AE338" i="17"/>
  <c r="K338" i="17"/>
  <c r="W338" i="17"/>
  <c r="AQ338" i="17"/>
  <c r="T338" i="17"/>
  <c r="AP338" i="17"/>
  <c r="S338" i="17"/>
  <c r="Y338" i="17"/>
  <c r="X338" i="17"/>
  <c r="J338" i="17"/>
  <c r="AO338" i="17"/>
  <c r="O376" i="17"/>
  <c r="R408" i="17"/>
  <c r="Z438" i="17"/>
  <c r="O470" i="17"/>
  <c r="AL558" i="17"/>
  <c r="AD558" i="17"/>
  <c r="V558" i="17"/>
  <c r="N558" i="17"/>
  <c r="AK558" i="17"/>
  <c r="AC558" i="17"/>
  <c r="U558" i="17"/>
  <c r="M558" i="17"/>
  <c r="AN558" i="17"/>
  <c r="AB558" i="17"/>
  <c r="R558" i="17"/>
  <c r="AM558" i="17"/>
  <c r="AA558" i="17"/>
  <c r="Q558" i="17"/>
  <c r="AJ558" i="17"/>
  <c r="Z558" i="17"/>
  <c r="P558" i="17"/>
  <c r="AG558" i="17"/>
  <c r="O558" i="17"/>
  <c r="AF558" i="17"/>
  <c r="L558" i="17"/>
  <c r="AR558" i="17"/>
  <c r="AE558" i="17"/>
  <c r="K558" i="17"/>
  <c r="AH558" i="17"/>
  <c r="Y558" i="17"/>
  <c r="X558" i="17"/>
  <c r="AI558" i="17"/>
  <c r="W558" i="17"/>
  <c r="T558" i="17"/>
  <c r="S558" i="17"/>
  <c r="J558" i="17"/>
  <c r="AO558" i="17"/>
  <c r="I159" i="16"/>
  <c r="I167" i="16"/>
  <c r="I175" i="16"/>
  <c r="I183" i="16"/>
  <c r="I191" i="16"/>
  <c r="I199" i="16"/>
  <c r="I207" i="16"/>
  <c r="I215" i="16"/>
  <c r="I223" i="16"/>
  <c r="I231" i="16"/>
  <c r="I239" i="16"/>
  <c r="I247" i="16"/>
  <c r="I255" i="16"/>
  <c r="I263" i="16"/>
  <c r="I271" i="16"/>
  <c r="I279" i="16"/>
  <c r="I287" i="16"/>
  <c r="I295" i="16"/>
  <c r="I303" i="16"/>
  <c r="I311" i="16"/>
  <c r="I319" i="16"/>
  <c r="I327" i="16"/>
  <c r="I335" i="16"/>
  <c r="I343" i="16"/>
  <c r="I351" i="16"/>
  <c r="I359" i="16"/>
  <c r="I367" i="16"/>
  <c r="I375" i="16"/>
  <c r="I383" i="16"/>
  <c r="I391" i="16"/>
  <c r="I399" i="16"/>
  <c r="I407" i="16"/>
  <c r="I415" i="16"/>
  <c r="I423" i="16"/>
  <c r="O423" i="16" s="1"/>
  <c r="I431" i="16"/>
  <c r="O431" i="16" s="1"/>
  <c r="I439" i="16"/>
  <c r="I447" i="16"/>
  <c r="O447" i="16" s="1"/>
  <c r="I455" i="16"/>
  <c r="O455" i="16" s="1"/>
  <c r="I463" i="16"/>
  <c r="O463" i="16" s="1"/>
  <c r="I471" i="16"/>
  <c r="O471" i="16" s="1"/>
  <c r="I479" i="16"/>
  <c r="O479" i="16" s="1"/>
  <c r="I487" i="16"/>
  <c r="O487" i="16" s="1"/>
  <c r="I495" i="16"/>
  <c r="O495" i="16" s="1"/>
  <c r="I503" i="16"/>
  <c r="O503" i="16" s="1"/>
  <c r="I511" i="16"/>
  <c r="O511" i="16" s="1"/>
  <c r="I519" i="16"/>
  <c r="O519" i="16" s="1"/>
  <c r="I527" i="16"/>
  <c r="O527" i="16" s="1"/>
  <c r="I535" i="16"/>
  <c r="I543" i="16"/>
  <c r="O543" i="16" s="1"/>
  <c r="I551" i="16"/>
  <c r="I559" i="16"/>
  <c r="O559" i="16" s="1"/>
  <c r="I567" i="16"/>
  <c r="O567" i="16" s="1"/>
  <c r="I575" i="16"/>
  <c r="O575" i="16" s="1"/>
  <c r="I583" i="16"/>
  <c r="O583" i="16" s="1"/>
  <c r="I591" i="16"/>
  <c r="O591" i="16" s="1"/>
  <c r="I599" i="16"/>
  <c r="O599" i="16" s="1"/>
  <c r="I607" i="16"/>
  <c r="I615" i="16"/>
  <c r="O615" i="16" s="1"/>
  <c r="I623" i="16"/>
  <c r="O623" i="16" s="1"/>
  <c r="I631" i="16"/>
  <c r="O631" i="16" s="1"/>
  <c r="I639" i="16"/>
  <c r="I647" i="16"/>
  <c r="O647" i="16" s="1"/>
  <c r="I655" i="16"/>
  <c r="O655" i="16" s="1"/>
  <c r="I663" i="16"/>
  <c r="O663" i="16" s="1"/>
  <c r="I671" i="16"/>
  <c r="I679" i="16"/>
  <c r="I687" i="16"/>
  <c r="I695" i="16"/>
  <c r="I703" i="16"/>
  <c r="I711" i="16"/>
  <c r="I719" i="16"/>
  <c r="I727" i="16"/>
  <c r="I735" i="16"/>
  <c r="I743" i="16"/>
  <c r="O743" i="16" s="1"/>
  <c r="P743" i="16" s="1"/>
  <c r="I751" i="16"/>
  <c r="O751" i="16" s="1"/>
  <c r="I759" i="16"/>
  <c r="I767" i="16"/>
  <c r="O767" i="16" s="1"/>
  <c r="I775" i="16"/>
  <c r="I783" i="16"/>
  <c r="O783" i="16" s="1"/>
  <c r="P783" i="16" s="1"/>
  <c r="I791" i="16"/>
  <c r="I799" i="16"/>
  <c r="O799" i="16" s="1"/>
  <c r="I807" i="16"/>
  <c r="O807" i="16" s="1"/>
  <c r="I815" i="16"/>
  <c r="O815" i="16" s="1"/>
  <c r="P815" i="16" s="1"/>
  <c r="I823" i="16"/>
  <c r="O823" i="16" s="1"/>
  <c r="I831" i="16"/>
  <c r="O831" i="16" s="1"/>
  <c r="I839" i="16"/>
  <c r="O839" i="16" s="1"/>
  <c r="I847" i="16"/>
  <c r="O847" i="16" s="1"/>
  <c r="I855" i="16"/>
  <c r="I863" i="16"/>
  <c r="I871" i="16"/>
  <c r="I879" i="16"/>
  <c r="O879" i="16" s="1"/>
  <c r="P879" i="16" s="1"/>
  <c r="I887" i="16"/>
  <c r="O887" i="16" s="1"/>
  <c r="P887" i="16" s="1"/>
  <c r="H887" i="9" s="1"/>
  <c r="I887" i="9" s="1"/>
  <c r="I895" i="16"/>
  <c r="O895" i="16" s="1"/>
  <c r="I903" i="16"/>
  <c r="O903" i="16" s="1"/>
  <c r="I911" i="16"/>
  <c r="O911" i="16" s="1"/>
  <c r="I919" i="16"/>
  <c r="O919" i="16" s="1"/>
  <c r="P919" i="16" s="1"/>
  <c r="I927" i="16"/>
  <c r="I935" i="16"/>
  <c r="I943" i="16"/>
  <c r="O943" i="16" s="1"/>
  <c r="I951" i="16"/>
  <c r="I959" i="16"/>
  <c r="O959" i="16" s="1"/>
  <c r="I967" i="16"/>
  <c r="I975" i="16"/>
  <c r="O975" i="16" s="1"/>
  <c r="I983" i="16"/>
  <c r="O983" i="16" s="1"/>
  <c r="I991" i="16"/>
  <c r="O991" i="16" s="1"/>
  <c r="I999" i="16"/>
  <c r="I1007" i="16"/>
  <c r="O1007" i="16" s="1"/>
  <c r="I1015" i="16"/>
  <c r="I1023" i="16"/>
  <c r="I1031" i="16"/>
  <c r="I1039" i="16"/>
  <c r="I1047" i="16"/>
  <c r="I1055" i="16"/>
  <c r="I1063" i="16"/>
  <c r="I1071" i="16"/>
  <c r="I1079" i="16"/>
  <c r="I1087" i="16"/>
  <c r="I1095" i="16"/>
  <c r="I1103" i="16"/>
  <c r="I1111" i="16"/>
  <c r="I1119" i="16"/>
  <c r="I1127" i="16"/>
  <c r="I1135" i="16"/>
  <c r="I1143" i="16"/>
  <c r="I1151" i="16"/>
  <c r="I1159" i="16"/>
  <c r="I1167" i="16"/>
  <c r="I1175" i="16"/>
  <c r="I1183" i="16"/>
  <c r="I1191" i="16"/>
  <c r="I1199" i="16"/>
  <c r="I1207" i="16"/>
  <c r="I1215" i="16"/>
  <c r="I1223" i="16"/>
  <c r="I1231" i="16"/>
  <c r="I1239" i="16"/>
  <c r="I1247" i="16"/>
  <c r="I1255" i="16"/>
  <c r="I1263" i="16"/>
  <c r="I1271" i="16"/>
  <c r="I1279" i="16"/>
  <c r="I1287" i="16"/>
  <c r="I1295" i="16"/>
  <c r="I1303" i="16"/>
  <c r="I1311" i="16"/>
  <c r="I1319" i="16"/>
  <c r="I1327" i="16"/>
  <c r="I1335" i="16"/>
  <c r="I1343" i="16"/>
  <c r="I1351" i="16"/>
  <c r="I1359" i="16"/>
  <c r="I1367" i="16"/>
  <c r="I1375" i="16"/>
  <c r="I1383" i="16"/>
  <c r="I1391" i="16"/>
  <c r="I1399" i="16"/>
  <c r="I1407" i="16"/>
  <c r="I1415" i="16"/>
  <c r="I1423" i="16"/>
  <c r="I1431" i="16"/>
  <c r="I1439" i="16"/>
  <c r="I1447" i="16"/>
  <c r="I1455" i="16"/>
  <c r="O1458" i="16"/>
  <c r="G1458" i="16"/>
  <c r="J1458" i="16"/>
  <c r="K1459" i="16"/>
  <c r="L1460" i="16"/>
  <c r="I1469" i="16"/>
  <c r="I1470" i="16"/>
  <c r="I1471" i="16"/>
  <c r="K1473" i="16"/>
  <c r="L1474" i="16"/>
  <c r="N1483" i="16"/>
  <c r="F1483" i="16"/>
  <c r="J1483" i="16"/>
  <c r="K1484" i="16"/>
  <c r="K1485" i="16"/>
  <c r="L1486" i="16"/>
  <c r="L1487" i="16"/>
  <c r="P1497" i="16"/>
  <c r="H1497" i="16"/>
  <c r="J1497" i="16"/>
  <c r="K1498" i="16"/>
  <c r="L1499" i="16"/>
  <c r="M1508" i="16"/>
  <c r="E1508" i="16"/>
  <c r="J1508" i="16"/>
  <c r="L1513" i="16"/>
  <c r="O1522" i="16"/>
  <c r="G1522" i="16"/>
  <c r="J1522" i="16"/>
  <c r="L1524" i="16"/>
  <c r="I1533" i="16"/>
  <c r="I1534" i="16"/>
  <c r="I1535" i="16"/>
  <c r="L1538" i="16"/>
  <c r="N1547" i="16"/>
  <c r="F1547" i="16"/>
  <c r="J1547" i="16"/>
  <c r="K1548" i="16"/>
  <c r="K1549" i="16"/>
  <c r="L1550" i="16"/>
  <c r="L1551" i="16"/>
  <c r="P1561" i="16"/>
  <c r="H1561" i="16"/>
  <c r="J1561" i="16"/>
  <c r="K1562" i="16"/>
  <c r="L1563" i="16"/>
  <c r="M1572" i="16"/>
  <c r="E1572" i="16"/>
  <c r="J1572" i="16"/>
  <c r="J1573" i="16"/>
  <c r="J1574" i="16"/>
  <c r="K1575" i="16"/>
  <c r="L1577" i="16"/>
  <c r="O1586" i="16"/>
  <c r="G1586" i="16"/>
  <c r="J1586" i="16"/>
  <c r="K1587" i="16"/>
  <c r="L1588" i="16"/>
  <c r="I1597" i="16"/>
  <c r="I1598" i="16"/>
  <c r="I1599" i="16"/>
  <c r="K1601" i="16"/>
  <c r="L1602" i="16"/>
  <c r="N1611" i="16"/>
  <c r="F1611" i="16"/>
  <c r="J1611" i="16"/>
  <c r="K1612" i="16"/>
  <c r="K1613" i="16"/>
  <c r="L1614" i="16"/>
  <c r="L1615" i="16"/>
  <c r="P1625" i="16"/>
  <c r="H1625" i="16"/>
  <c r="J1625" i="16"/>
  <c r="K1626" i="16"/>
  <c r="L1627" i="16"/>
  <c r="M1636" i="16"/>
  <c r="E1636" i="16"/>
  <c r="J1636" i="16"/>
  <c r="J1637" i="16"/>
  <c r="J1638" i="16"/>
  <c r="K1639" i="16"/>
  <c r="L1641" i="16"/>
  <c r="O1650" i="16"/>
  <c r="G1650" i="16"/>
  <c r="J1650" i="16"/>
  <c r="K1651" i="16"/>
  <c r="L1652" i="16"/>
  <c r="I1661" i="16"/>
  <c r="I1662" i="16"/>
  <c r="I1663" i="16"/>
  <c r="K1665" i="16"/>
  <c r="L1666" i="16"/>
  <c r="N1675" i="16"/>
  <c r="F1675" i="16"/>
  <c r="J1675" i="16"/>
  <c r="K1676" i="16"/>
  <c r="K1677" i="16"/>
  <c r="L1678" i="16"/>
  <c r="L1679" i="16"/>
  <c r="P1689" i="16"/>
  <c r="H1689" i="16"/>
  <c r="J1689" i="16"/>
  <c r="K1690" i="16"/>
  <c r="L1691" i="16"/>
  <c r="M1700" i="16"/>
  <c r="E1700" i="16"/>
  <c r="J1700" i="16"/>
  <c r="J1701" i="16"/>
  <c r="J1702" i="16"/>
  <c r="K1703" i="16"/>
  <c r="L1705" i="16"/>
  <c r="O1714" i="16"/>
  <c r="G1714" i="16"/>
  <c r="J1714" i="16"/>
  <c r="K1715" i="16"/>
  <c r="L1716" i="16"/>
  <c r="I1725" i="16"/>
  <c r="I1726" i="16"/>
  <c r="I1727" i="16"/>
  <c r="K1729" i="16"/>
  <c r="L1730" i="16"/>
  <c r="N1739" i="16"/>
  <c r="F1739" i="16"/>
  <c r="J1739" i="16"/>
  <c r="K1740" i="16"/>
  <c r="K1741" i="16"/>
  <c r="L1742" i="16"/>
  <c r="L1743" i="16"/>
  <c r="P1753" i="16"/>
  <c r="H1753" i="16"/>
  <c r="J1753" i="16"/>
  <c r="K1754" i="16"/>
  <c r="L1755" i="16"/>
  <c r="M1764" i="16"/>
  <c r="E1764" i="16"/>
  <c r="J1764" i="16"/>
  <c r="J1765" i="16"/>
  <c r="J1766" i="16"/>
  <c r="K1767" i="16"/>
  <c r="L1769" i="16"/>
  <c r="O1778" i="16"/>
  <c r="G1778" i="16"/>
  <c r="J1778" i="16"/>
  <c r="K1779" i="16"/>
  <c r="L1780" i="16"/>
  <c r="I1789" i="16"/>
  <c r="I1790" i="16"/>
  <c r="I1791" i="16"/>
  <c r="K1793" i="16"/>
  <c r="L1794" i="16"/>
  <c r="N1803" i="16"/>
  <c r="F1803" i="16"/>
  <c r="J1803" i="16"/>
  <c r="K1804" i="16"/>
  <c r="K1805" i="16"/>
  <c r="L1806" i="16"/>
  <c r="L1807" i="16"/>
  <c r="P1817" i="16"/>
  <c r="H1817" i="16"/>
  <c r="J1817" i="16"/>
  <c r="K1818" i="16"/>
  <c r="L1819" i="16"/>
  <c r="M1828" i="16"/>
  <c r="E1828" i="16"/>
  <c r="J1828" i="16"/>
  <c r="J1829" i="16"/>
  <c r="J1830" i="16"/>
  <c r="K1831" i="16"/>
  <c r="L1833" i="16"/>
  <c r="O1842" i="16"/>
  <c r="G1842" i="16"/>
  <c r="J1842" i="16"/>
  <c r="K1843" i="16"/>
  <c r="L1844" i="16"/>
  <c r="I1853" i="16"/>
  <c r="I1854" i="16"/>
  <c r="I1855" i="16"/>
  <c r="K1857" i="16"/>
  <c r="L1858" i="16"/>
  <c r="N1867" i="16"/>
  <c r="F1867" i="16"/>
  <c r="J1867" i="16"/>
  <c r="K1868" i="16"/>
  <c r="K1869" i="16"/>
  <c r="L1870" i="16"/>
  <c r="L1871" i="16"/>
  <c r="P1881" i="16"/>
  <c r="H1881" i="16"/>
  <c r="J1881" i="16"/>
  <c r="K1882" i="16"/>
  <c r="L1883" i="16"/>
  <c r="M1892" i="16"/>
  <c r="E1892" i="16"/>
  <c r="J1892" i="16"/>
  <c r="J1893" i="16"/>
  <c r="J1894" i="16"/>
  <c r="K1895" i="16"/>
  <c r="L1897" i="16"/>
  <c r="O1906" i="16"/>
  <c r="G1906" i="16"/>
  <c r="J1906" i="16"/>
  <c r="K1907" i="16"/>
  <c r="L1908" i="16"/>
  <c r="I1917" i="16"/>
  <c r="I1918" i="16"/>
  <c r="I1919" i="16"/>
  <c r="K1921" i="16"/>
  <c r="L1922" i="16"/>
  <c r="N1931" i="16"/>
  <c r="F1931" i="16"/>
  <c r="J1931" i="16"/>
  <c r="K1932" i="16"/>
  <c r="K1933" i="16"/>
  <c r="L1934" i="16"/>
  <c r="L1935" i="16"/>
  <c r="P1945" i="16"/>
  <c r="H1945" i="16"/>
  <c r="J1945" i="16"/>
  <c r="K1946" i="16"/>
  <c r="L1947" i="16"/>
  <c r="M1956" i="16"/>
  <c r="E1956" i="16"/>
  <c r="J1956" i="16"/>
  <c r="J1957" i="16"/>
  <c r="J1958" i="16"/>
  <c r="K1959" i="16"/>
  <c r="L1961" i="16"/>
  <c r="O1970" i="16"/>
  <c r="G1970" i="16"/>
  <c r="J1970" i="16"/>
  <c r="K1971" i="16"/>
  <c r="L1972" i="16"/>
  <c r="I1981" i="16"/>
  <c r="I1982" i="16"/>
  <c r="I1983" i="16"/>
  <c r="K1985" i="16"/>
  <c r="L1986" i="16"/>
  <c r="N1995" i="16"/>
  <c r="F1995" i="16"/>
  <c r="J1995" i="16"/>
  <c r="K1996" i="16"/>
  <c r="K1997" i="16"/>
  <c r="L1998" i="16"/>
  <c r="L1999" i="16"/>
  <c r="P2009" i="16"/>
  <c r="H2009" i="16"/>
  <c r="J2009" i="16"/>
  <c r="K2010" i="16"/>
  <c r="L2011" i="16"/>
  <c r="M2020" i="16"/>
  <c r="E2020" i="16"/>
  <c r="J2020" i="16"/>
  <c r="J2021" i="16"/>
  <c r="J2022" i="16"/>
  <c r="K2023" i="16"/>
  <c r="L2025" i="16"/>
  <c r="O2034" i="16"/>
  <c r="G2034" i="16"/>
  <c r="J2034" i="16"/>
  <c r="K2035" i="16"/>
  <c r="L2036" i="16"/>
  <c r="I2045" i="16"/>
  <c r="I2046" i="16"/>
  <c r="I2047" i="16"/>
  <c r="K2049" i="16"/>
  <c r="L2050" i="16"/>
  <c r="N2059" i="16"/>
  <c r="F2059" i="16"/>
  <c r="J2059" i="16"/>
  <c r="K2060" i="16"/>
  <c r="K2061" i="16"/>
  <c r="L2062" i="16"/>
  <c r="L2063" i="16"/>
  <c r="P2073" i="16"/>
  <c r="H2073" i="16"/>
  <c r="J2073" i="16"/>
  <c r="K2074" i="16"/>
  <c r="L2075" i="16"/>
  <c r="M2084" i="16"/>
  <c r="E2084" i="16"/>
  <c r="J2084" i="16"/>
  <c r="J2085" i="16"/>
  <c r="J2086" i="16"/>
  <c r="K2087" i="16"/>
  <c r="L2089" i="16"/>
  <c r="O2098" i="16"/>
  <c r="G2098" i="16"/>
  <c r="J2098" i="16"/>
  <c r="K2099" i="16"/>
  <c r="L2100" i="16"/>
  <c r="I2109" i="16"/>
  <c r="I2110" i="16"/>
  <c r="I2111" i="16"/>
  <c r="K2113" i="16"/>
  <c r="L2114" i="16"/>
  <c r="N2123" i="16"/>
  <c r="F2123" i="16"/>
  <c r="J2123" i="16"/>
  <c r="K2124" i="16"/>
  <c r="K2125" i="16"/>
  <c r="L2126" i="16"/>
  <c r="L2127" i="16"/>
  <c r="P2137" i="16"/>
  <c r="H2137" i="16"/>
  <c r="J2137" i="16"/>
  <c r="K2138" i="16"/>
  <c r="L2139" i="16"/>
  <c r="M2148" i="16"/>
  <c r="E2148" i="16"/>
  <c r="J2148" i="16"/>
  <c r="J2149" i="16"/>
  <c r="J2150" i="16"/>
  <c r="K2151" i="16"/>
  <c r="L2153" i="16"/>
  <c r="O2162" i="16"/>
  <c r="G2162" i="16"/>
  <c r="J2162" i="16"/>
  <c r="K2163" i="16"/>
  <c r="L2164" i="16"/>
  <c r="I2173" i="16"/>
  <c r="I2174" i="16"/>
  <c r="I2175" i="16"/>
  <c r="K2177" i="16"/>
  <c r="L2178" i="16"/>
  <c r="N2187" i="16"/>
  <c r="F2187" i="16"/>
  <c r="J2187" i="16"/>
  <c r="K2188" i="16"/>
  <c r="K2189" i="16"/>
  <c r="L2190" i="16"/>
  <c r="L2191" i="16"/>
  <c r="P2201" i="16"/>
  <c r="H2201" i="16"/>
  <c r="J2201" i="16"/>
  <c r="K2202" i="16"/>
  <c r="L2203" i="16"/>
  <c r="M2212" i="16"/>
  <c r="E2212" i="16"/>
  <c r="J2212" i="16"/>
  <c r="J2213" i="16"/>
  <c r="J2214" i="16"/>
  <c r="K2215" i="16"/>
  <c r="L2217" i="16"/>
  <c r="O2226" i="16"/>
  <c r="G2226" i="16"/>
  <c r="J2226" i="16"/>
  <c r="K2227" i="16"/>
  <c r="L2228" i="16"/>
  <c r="I2237" i="16"/>
  <c r="I2238" i="16"/>
  <c r="I2239" i="16"/>
  <c r="K2241" i="16"/>
  <c r="L2242" i="16"/>
  <c r="N2251" i="16"/>
  <c r="F2251" i="16"/>
  <c r="J2251" i="16"/>
  <c r="K2252" i="16"/>
  <c r="K2253" i="16"/>
  <c r="L2254" i="16"/>
  <c r="L2255" i="16"/>
  <c r="P2265" i="16"/>
  <c r="H2265" i="16"/>
  <c r="J2265" i="16"/>
  <c r="K2266" i="16"/>
  <c r="L2267" i="16"/>
  <c r="M2276" i="16"/>
  <c r="E2276" i="16"/>
  <c r="J2276" i="16"/>
  <c r="J2277" i="16"/>
  <c r="J2278" i="16"/>
  <c r="K2279" i="16"/>
  <c r="L2281" i="16"/>
  <c r="O2290" i="16"/>
  <c r="G2290" i="16"/>
  <c r="J2290" i="16"/>
  <c r="K2291" i="16"/>
  <c r="L2292" i="16"/>
  <c r="I2301" i="16"/>
  <c r="I2302" i="16"/>
  <c r="I2303" i="16"/>
  <c r="K2305" i="16"/>
  <c r="L2306" i="16"/>
  <c r="N2315" i="16"/>
  <c r="F2315" i="16"/>
  <c r="J2315" i="16"/>
  <c r="K2316" i="16"/>
  <c r="K2317" i="16"/>
  <c r="L2318" i="16"/>
  <c r="L2319" i="16"/>
  <c r="P2329" i="16"/>
  <c r="H2329" i="16"/>
  <c r="J2329" i="16"/>
  <c r="K2330" i="16"/>
  <c r="L2331" i="16"/>
  <c r="M2340" i="16"/>
  <c r="E2340" i="16"/>
  <c r="J2340" i="16"/>
  <c r="J2341" i="16"/>
  <c r="J2342" i="16"/>
  <c r="K2343" i="16"/>
  <c r="L2345" i="16"/>
  <c r="O2354" i="16"/>
  <c r="G2354" i="16"/>
  <c r="J2354" i="16"/>
  <c r="K2355" i="16"/>
  <c r="L2356" i="16"/>
  <c r="I2365" i="16"/>
  <c r="I2366" i="16"/>
  <c r="I2367" i="16"/>
  <c r="K2369" i="16"/>
  <c r="L2370" i="16"/>
  <c r="N2379" i="16"/>
  <c r="F2379" i="16"/>
  <c r="J2379" i="16"/>
  <c r="K2380" i="16"/>
  <c r="K2381" i="16"/>
  <c r="L2382" i="16"/>
  <c r="L2383" i="16"/>
  <c r="P2393" i="16"/>
  <c r="H2393" i="16"/>
  <c r="J2393" i="16"/>
  <c r="K2394" i="16"/>
  <c r="L2395" i="16"/>
  <c r="M2404" i="16"/>
  <c r="E2404" i="16"/>
  <c r="J2404" i="16"/>
  <c r="J2405" i="16"/>
  <c r="J2406" i="16"/>
  <c r="K2407" i="16"/>
  <c r="L2409" i="16"/>
  <c r="O2418" i="16"/>
  <c r="G2418" i="16"/>
  <c r="J2418" i="16"/>
  <c r="K2419" i="16"/>
  <c r="L2420" i="16"/>
  <c r="I2429" i="16"/>
  <c r="I2430" i="16"/>
  <c r="I2431" i="16"/>
  <c r="K2433" i="16"/>
  <c r="L2434" i="16"/>
  <c r="N2443" i="16"/>
  <c r="F2443" i="16"/>
  <c r="J2443" i="16"/>
  <c r="K2444" i="16"/>
  <c r="K2445" i="16"/>
  <c r="L2446" i="16"/>
  <c r="L2447" i="16"/>
  <c r="P2457" i="16"/>
  <c r="H2457" i="16"/>
  <c r="J2457" i="16"/>
  <c r="K2458" i="16"/>
  <c r="L2459" i="16"/>
  <c r="M2468" i="16"/>
  <c r="E2468" i="16"/>
  <c r="J2468" i="16"/>
  <c r="J2469" i="16"/>
  <c r="J2470" i="16"/>
  <c r="K2471" i="16"/>
  <c r="O2475" i="16"/>
  <c r="G2475" i="16"/>
  <c r="N2475" i="16"/>
  <c r="F2475" i="16"/>
  <c r="K2475" i="16"/>
  <c r="L2478" i="16"/>
  <c r="K2478" i="16"/>
  <c r="I2478" i="16"/>
  <c r="L2479" i="16"/>
  <c r="L2483" i="16"/>
  <c r="J2486" i="16"/>
  <c r="M2487" i="16"/>
  <c r="M2491" i="16"/>
  <c r="M2493" i="16"/>
  <c r="E2493" i="16"/>
  <c r="L2493" i="16"/>
  <c r="J2493" i="16"/>
  <c r="M2494" i="16"/>
  <c r="P2498" i="16"/>
  <c r="H2498" i="16"/>
  <c r="O2498" i="16"/>
  <c r="G2498" i="16"/>
  <c r="K2498" i="16"/>
  <c r="K2501" i="16"/>
  <c r="L2506" i="16"/>
  <c r="N2509" i="16"/>
  <c r="M2514" i="16"/>
  <c r="N2516" i="16"/>
  <c r="F2516" i="16"/>
  <c r="M2516" i="16"/>
  <c r="E2516" i="16"/>
  <c r="K2516" i="16"/>
  <c r="L2524" i="16"/>
  <c r="O2532" i="16"/>
  <c r="K2535" i="16"/>
  <c r="J2535" i="16"/>
  <c r="I2535" i="16"/>
  <c r="O2539" i="16"/>
  <c r="G2539" i="16"/>
  <c r="N2539" i="16"/>
  <c r="F2539" i="16"/>
  <c r="K2539" i="16"/>
  <c r="L2542" i="16"/>
  <c r="K2542" i="16"/>
  <c r="I2542" i="16"/>
  <c r="L2543" i="16"/>
  <c r="L2547" i="16"/>
  <c r="J2550" i="16"/>
  <c r="M2551" i="16"/>
  <c r="M2555" i="16"/>
  <c r="M2557" i="16"/>
  <c r="E2557" i="16"/>
  <c r="L2557" i="16"/>
  <c r="J2557" i="16"/>
  <c r="M2558" i="16"/>
  <c r="P2562" i="16"/>
  <c r="H2562" i="16"/>
  <c r="O2562" i="16"/>
  <c r="G2562" i="16"/>
  <c r="K2562" i="16"/>
  <c r="K2565" i="16"/>
  <c r="L2570" i="16"/>
  <c r="N2573" i="16"/>
  <c r="M2578" i="16"/>
  <c r="N2580" i="16"/>
  <c r="F2580" i="16"/>
  <c r="M2580" i="16"/>
  <c r="E2580" i="16"/>
  <c r="K2580" i="16"/>
  <c r="L2588" i="16"/>
  <c r="O2596" i="16"/>
  <c r="K2599" i="16"/>
  <c r="J2599" i="16"/>
  <c r="I2599" i="16"/>
  <c r="O2603" i="16"/>
  <c r="G2603" i="16"/>
  <c r="N2603" i="16"/>
  <c r="F2603" i="16"/>
  <c r="K2603" i="16"/>
  <c r="L2606" i="16"/>
  <c r="K2606" i="16"/>
  <c r="I2606" i="16"/>
  <c r="L2607" i="16"/>
  <c r="L2611" i="16"/>
  <c r="J2614" i="16"/>
  <c r="M2615" i="16"/>
  <c r="M2619" i="16"/>
  <c r="M2621" i="16"/>
  <c r="E2621" i="16"/>
  <c r="L2621" i="16"/>
  <c r="J2621" i="16"/>
  <c r="M2622" i="16"/>
  <c r="P2626" i="16"/>
  <c r="H2626" i="16"/>
  <c r="O2626" i="16"/>
  <c r="G2626" i="16"/>
  <c r="K2626" i="16"/>
  <c r="K2629" i="16"/>
  <c r="L2634" i="16"/>
  <c r="N2637" i="16"/>
  <c r="M2642" i="16"/>
  <c r="N2644" i="16"/>
  <c r="F2644" i="16"/>
  <c r="M2644" i="16"/>
  <c r="E2644" i="16"/>
  <c r="K2644" i="16"/>
  <c r="L2652" i="16"/>
  <c r="O2660" i="16"/>
  <c r="K2663" i="16"/>
  <c r="J2663" i="16"/>
  <c r="I2663" i="16"/>
  <c r="O2667" i="16"/>
  <c r="G2667" i="16"/>
  <c r="N2667" i="16"/>
  <c r="F2667" i="16"/>
  <c r="K2667" i="16"/>
  <c r="L2670" i="16"/>
  <c r="K2670" i="16"/>
  <c r="I2670" i="16"/>
  <c r="L2671" i="16"/>
  <c r="L2675" i="16"/>
  <c r="J2678" i="16"/>
  <c r="M2679" i="16"/>
  <c r="M2683" i="16"/>
  <c r="M2685" i="16"/>
  <c r="E2685" i="16"/>
  <c r="L2685" i="16"/>
  <c r="J2685" i="16"/>
  <c r="M2686" i="16"/>
  <c r="P2690" i="16"/>
  <c r="H2690" i="16"/>
  <c r="O2690" i="16"/>
  <c r="G2690" i="16"/>
  <c r="K2690" i="16"/>
  <c r="K2693" i="16"/>
  <c r="L2698" i="16"/>
  <c r="N2701" i="16"/>
  <c r="M2706" i="16"/>
  <c r="N2708" i="16"/>
  <c r="F2708" i="16"/>
  <c r="M2708" i="16"/>
  <c r="E2708" i="16"/>
  <c r="K2708" i="16"/>
  <c r="L2716" i="16"/>
  <c r="O2724" i="16"/>
  <c r="K2727" i="16"/>
  <c r="J2727" i="16"/>
  <c r="I2727" i="16"/>
  <c r="O2731" i="16"/>
  <c r="G2731" i="16"/>
  <c r="N2731" i="16"/>
  <c r="F2731" i="16"/>
  <c r="K2731" i="16"/>
  <c r="L2734" i="16"/>
  <c r="K2734" i="16"/>
  <c r="I2734" i="16"/>
  <c r="L2735" i="16"/>
  <c r="L2739" i="16"/>
  <c r="J2742" i="16"/>
  <c r="M2747" i="16"/>
  <c r="M2749" i="16"/>
  <c r="E2749" i="16"/>
  <c r="L2749" i="16"/>
  <c r="J2749" i="16"/>
  <c r="M2750" i="16"/>
  <c r="P2754" i="16"/>
  <c r="H2754" i="16"/>
  <c r="O2754" i="16"/>
  <c r="G2754" i="16"/>
  <c r="K2754" i="16"/>
  <c r="K2757" i="16"/>
  <c r="L2762" i="16"/>
  <c r="N2765" i="16"/>
  <c r="M2770" i="16"/>
  <c r="N2772" i="16"/>
  <c r="F2772" i="16"/>
  <c r="M2772" i="16"/>
  <c r="E2772" i="16"/>
  <c r="K2772" i="16"/>
  <c r="L2780" i="16"/>
  <c r="O2788" i="16"/>
  <c r="K2791" i="16"/>
  <c r="J2791" i="16"/>
  <c r="I2791" i="16"/>
  <c r="O2795" i="16"/>
  <c r="G2795" i="16"/>
  <c r="N2795" i="16"/>
  <c r="F2795" i="16"/>
  <c r="K2795" i="16"/>
  <c r="L2798" i="16"/>
  <c r="K2798" i="16"/>
  <c r="I2798" i="16"/>
  <c r="L2803" i="16"/>
  <c r="M2807" i="16"/>
  <c r="M2811" i="16"/>
  <c r="M2813" i="16"/>
  <c r="E2813" i="16"/>
  <c r="L2813" i="16"/>
  <c r="J2813" i="16"/>
  <c r="M2814" i="16"/>
  <c r="P2818" i="16"/>
  <c r="H2818" i="16"/>
  <c r="O2818" i="16"/>
  <c r="G2818" i="16"/>
  <c r="K2818" i="16"/>
  <c r="K2821" i="16"/>
  <c r="L2826" i="16"/>
  <c r="N2829" i="16"/>
  <c r="M2834" i="16"/>
  <c r="N2836" i="16"/>
  <c r="F2836" i="16"/>
  <c r="M2836" i="16"/>
  <c r="E2836" i="16"/>
  <c r="K2836" i="16"/>
  <c r="L2844" i="16"/>
  <c r="O2852" i="16"/>
  <c r="K2855" i="16"/>
  <c r="J2855" i="16"/>
  <c r="I2855" i="16"/>
  <c r="O2859" i="16"/>
  <c r="G2859" i="16"/>
  <c r="N2859" i="16"/>
  <c r="F2859" i="16"/>
  <c r="K2859" i="16"/>
  <c r="L2862" i="16"/>
  <c r="K2862" i="16"/>
  <c r="I2862" i="16"/>
  <c r="L2863" i="16"/>
  <c r="L2867" i="16"/>
  <c r="J2870" i="16"/>
  <c r="M2871" i="16"/>
  <c r="M2875" i="16"/>
  <c r="M2877" i="16"/>
  <c r="E2877" i="16"/>
  <c r="L2877" i="16"/>
  <c r="J2877" i="16"/>
  <c r="M2878" i="16"/>
  <c r="P2882" i="16"/>
  <c r="H2882" i="16"/>
  <c r="O2882" i="16"/>
  <c r="G2882" i="16"/>
  <c r="K2882" i="16"/>
  <c r="K2885" i="16"/>
  <c r="L2890" i="16"/>
  <c r="N2893" i="16"/>
  <c r="M2898" i="16"/>
  <c r="N2900" i="16"/>
  <c r="F2900" i="16"/>
  <c r="M2900" i="16"/>
  <c r="E2900" i="16"/>
  <c r="K2900" i="16"/>
  <c r="L2908" i="16"/>
  <c r="O2916" i="16"/>
  <c r="K2919" i="16"/>
  <c r="J2919" i="16"/>
  <c r="I2919" i="16"/>
  <c r="O2923" i="16"/>
  <c r="G2923" i="16"/>
  <c r="N2923" i="16"/>
  <c r="F2923" i="16"/>
  <c r="K2923" i="16"/>
  <c r="L2926" i="16"/>
  <c r="K2926" i="16"/>
  <c r="I2926" i="16"/>
  <c r="L2927" i="16"/>
  <c r="L2931" i="16"/>
  <c r="J2934" i="16"/>
  <c r="M2935" i="16"/>
  <c r="M2939" i="16"/>
  <c r="M2941" i="16"/>
  <c r="E2941" i="16"/>
  <c r="L2941" i="16"/>
  <c r="J2941" i="16"/>
  <c r="M2942" i="16"/>
  <c r="P2946" i="16"/>
  <c r="H2946" i="16"/>
  <c r="O2946" i="16"/>
  <c r="G2946" i="16"/>
  <c r="K2946" i="16"/>
  <c r="K2949" i="16"/>
  <c r="L2954" i="16"/>
  <c r="N2957" i="16"/>
  <c r="M2962" i="16"/>
  <c r="N2964" i="16"/>
  <c r="F2964" i="16"/>
  <c r="M2964" i="16"/>
  <c r="E2964" i="16"/>
  <c r="K2964" i="16"/>
  <c r="L2972" i="16"/>
  <c r="O2980" i="16"/>
  <c r="K2983" i="16"/>
  <c r="J2983" i="16"/>
  <c r="I2983" i="16"/>
  <c r="O2987" i="16"/>
  <c r="G2987" i="16"/>
  <c r="N2987" i="16"/>
  <c r="F2987" i="16"/>
  <c r="K2987" i="16"/>
  <c r="L2990" i="16"/>
  <c r="K2990" i="16"/>
  <c r="I2990" i="16"/>
  <c r="L2991" i="16"/>
  <c r="L2995" i="16"/>
  <c r="J2998" i="16"/>
  <c r="M2999" i="16"/>
  <c r="M3003" i="16"/>
  <c r="M3005" i="16"/>
  <c r="E3005" i="16"/>
  <c r="L3005" i="16"/>
  <c r="J3005" i="16"/>
  <c r="M3006" i="16"/>
  <c r="P3010" i="16"/>
  <c r="H3010" i="16"/>
  <c r="O3010" i="16"/>
  <c r="G3010" i="16"/>
  <c r="K3010" i="16"/>
  <c r="K3013" i="16"/>
  <c r="L3018" i="16"/>
  <c r="N3021" i="16"/>
  <c r="M3026" i="16"/>
  <c r="N3028" i="16"/>
  <c r="F3028" i="16"/>
  <c r="M3028" i="16"/>
  <c r="E3028" i="16"/>
  <c r="K3028" i="16"/>
  <c r="L3036" i="16"/>
  <c r="O3044" i="16"/>
  <c r="K3047" i="16"/>
  <c r="J3047" i="16"/>
  <c r="I3047" i="16"/>
  <c r="O3051" i="16"/>
  <c r="G3051" i="16"/>
  <c r="N3051" i="16"/>
  <c r="F3051" i="16"/>
  <c r="K3051" i="16"/>
  <c r="L3054" i="16"/>
  <c r="K3054" i="16"/>
  <c r="I3054" i="16"/>
  <c r="L3055" i="16"/>
  <c r="L3059" i="16"/>
  <c r="J3062" i="16"/>
  <c r="M3063" i="16"/>
  <c r="M3067" i="16"/>
  <c r="M3069" i="16"/>
  <c r="E3069" i="16"/>
  <c r="L3069" i="16"/>
  <c r="J3069" i="16"/>
  <c r="M3070" i="16"/>
  <c r="P3074" i="16"/>
  <c r="H3074" i="16"/>
  <c r="O3074" i="16"/>
  <c r="G3074" i="16"/>
  <c r="K3074" i="16"/>
  <c r="K3077" i="16"/>
  <c r="L3082" i="16"/>
  <c r="N3085" i="16"/>
  <c r="M3090" i="16"/>
  <c r="N3092" i="16"/>
  <c r="F3092" i="16"/>
  <c r="M3092" i="16"/>
  <c r="E3092" i="16"/>
  <c r="K3092" i="16"/>
  <c r="L3100" i="16"/>
  <c r="O3108" i="16"/>
  <c r="K3111" i="16"/>
  <c r="J3111" i="16"/>
  <c r="I3111" i="16"/>
  <c r="O3115" i="16"/>
  <c r="G3115" i="16"/>
  <c r="N3115" i="16"/>
  <c r="F3115" i="16"/>
  <c r="K3115" i="16"/>
  <c r="L3118" i="16"/>
  <c r="K3118" i="16"/>
  <c r="I3118" i="16"/>
  <c r="L3119" i="16"/>
  <c r="L3123" i="16"/>
  <c r="J3126" i="16"/>
  <c r="M3127" i="16"/>
  <c r="M3131" i="16"/>
  <c r="M3133" i="16"/>
  <c r="E3133" i="16"/>
  <c r="L3133" i="16"/>
  <c r="J3133" i="16"/>
  <c r="M3134" i="16"/>
  <c r="P3138" i="16"/>
  <c r="H3138" i="16"/>
  <c r="O3138" i="16"/>
  <c r="G3138" i="16"/>
  <c r="K3138" i="16"/>
  <c r="K3141" i="16"/>
  <c r="L3146" i="16"/>
  <c r="N3149" i="16"/>
  <c r="M3154" i="16"/>
  <c r="N3156" i="16"/>
  <c r="F3156" i="16"/>
  <c r="M3156" i="16"/>
  <c r="E3156" i="16"/>
  <c r="K3156" i="16"/>
  <c r="L3164" i="16"/>
  <c r="O3172" i="16"/>
  <c r="K3175" i="16"/>
  <c r="J3175" i="16"/>
  <c r="I3175" i="16"/>
  <c r="O3179" i="16"/>
  <c r="G3179" i="16"/>
  <c r="N3179" i="16"/>
  <c r="F3179" i="16"/>
  <c r="K3179" i="16"/>
  <c r="L3182" i="16"/>
  <c r="K3182" i="16"/>
  <c r="I3182" i="16"/>
  <c r="L3183" i="16"/>
  <c r="L3187" i="16"/>
  <c r="J3190" i="16"/>
  <c r="M3191" i="16"/>
  <c r="M3195" i="16"/>
  <c r="M3197" i="16"/>
  <c r="E3197" i="16"/>
  <c r="L3197" i="16"/>
  <c r="J3197" i="16"/>
  <c r="M3198" i="16"/>
  <c r="P3202" i="16"/>
  <c r="H3202" i="16"/>
  <c r="O3202" i="16"/>
  <c r="G3202" i="16"/>
  <c r="K3202" i="16"/>
  <c r="K3205" i="16"/>
  <c r="L3210" i="16"/>
  <c r="N3213" i="16"/>
  <c r="M3218" i="16"/>
  <c r="N3220" i="16"/>
  <c r="F3220" i="16"/>
  <c r="M3220" i="16"/>
  <c r="E3220" i="16"/>
  <c r="K3220" i="16"/>
  <c r="L3228" i="16"/>
  <c r="O3236" i="16"/>
  <c r="K3239" i="16"/>
  <c r="J3239" i="16"/>
  <c r="I3239" i="16"/>
  <c r="O3243" i="16"/>
  <c r="G3243" i="16"/>
  <c r="N3243" i="16"/>
  <c r="F3243" i="16"/>
  <c r="K3243" i="16"/>
  <c r="L3246" i="16"/>
  <c r="K3246" i="16"/>
  <c r="I3246" i="16"/>
  <c r="L3247" i="16"/>
  <c r="L3251" i="16"/>
  <c r="J3254" i="16"/>
  <c r="M3255" i="16"/>
  <c r="M3259" i="16"/>
  <c r="M3261" i="16"/>
  <c r="E3261" i="16"/>
  <c r="L3261" i="16"/>
  <c r="J3261" i="16"/>
  <c r="M3262" i="16"/>
  <c r="P3266" i="16"/>
  <c r="H3266" i="16"/>
  <c r="O3266" i="16"/>
  <c r="G3266" i="16"/>
  <c r="K3266" i="16"/>
  <c r="K3269" i="16"/>
  <c r="L3274" i="16"/>
  <c r="N3277" i="16"/>
  <c r="M3282" i="16"/>
  <c r="N3284" i="16"/>
  <c r="F3284" i="16"/>
  <c r="M3284" i="16"/>
  <c r="E3284" i="16"/>
  <c r="K3284" i="16"/>
  <c r="L3292" i="16"/>
  <c r="O3300" i="16"/>
  <c r="K3303" i="16"/>
  <c r="J3303" i="16"/>
  <c r="I3303" i="16"/>
  <c r="O3307" i="16"/>
  <c r="G3307" i="16"/>
  <c r="N3307" i="16"/>
  <c r="F3307" i="16"/>
  <c r="K3307" i="16"/>
  <c r="L3310" i="16"/>
  <c r="K3310" i="16"/>
  <c r="I3310" i="16"/>
  <c r="L3311" i="16"/>
  <c r="L3315" i="16"/>
  <c r="J3318" i="16"/>
  <c r="M3319" i="16"/>
  <c r="M3323" i="16"/>
  <c r="M3325" i="16"/>
  <c r="E3325" i="16"/>
  <c r="L3325" i="16"/>
  <c r="J3325" i="16"/>
  <c r="M3326" i="16"/>
  <c r="P3330" i="16"/>
  <c r="H3330" i="16"/>
  <c r="O3330" i="16"/>
  <c r="G3330" i="16"/>
  <c r="K3330" i="16"/>
  <c r="K3333" i="16"/>
  <c r="L3338" i="16"/>
  <c r="N3341" i="16"/>
  <c r="M3346" i="16"/>
  <c r="N3348" i="16"/>
  <c r="F3348" i="16"/>
  <c r="M3348" i="16"/>
  <c r="E3348" i="16"/>
  <c r="K3348" i="16"/>
  <c r="L3356" i="16"/>
  <c r="O3364" i="16"/>
  <c r="K3367" i="16"/>
  <c r="J3367" i="16"/>
  <c r="I3367" i="16"/>
  <c r="O3371" i="16"/>
  <c r="G3371" i="16"/>
  <c r="N3371" i="16"/>
  <c r="F3371" i="16"/>
  <c r="K3371" i="16"/>
  <c r="L3374" i="16"/>
  <c r="K3374" i="16"/>
  <c r="I3374" i="16"/>
  <c r="L3375" i="16"/>
  <c r="L3379" i="16"/>
  <c r="J3382" i="16"/>
  <c r="M3383" i="16"/>
  <c r="M3387" i="16"/>
  <c r="M3389" i="16"/>
  <c r="E3389" i="16"/>
  <c r="L3389" i="16"/>
  <c r="J3389" i="16"/>
  <c r="M3390" i="16"/>
  <c r="P3394" i="16"/>
  <c r="H3394" i="16"/>
  <c r="O3394" i="16"/>
  <c r="G3394" i="16"/>
  <c r="K3394" i="16"/>
  <c r="K3397" i="16"/>
  <c r="L3402" i="16"/>
  <c r="N3405" i="16"/>
  <c r="M3410" i="16"/>
  <c r="N3412" i="16"/>
  <c r="F3412" i="16"/>
  <c r="M3412" i="16"/>
  <c r="E3412" i="16"/>
  <c r="K3412" i="16"/>
  <c r="L3420" i="16"/>
  <c r="O3428" i="16"/>
  <c r="K3431" i="16"/>
  <c r="J3431" i="16"/>
  <c r="I3431" i="16"/>
  <c r="O3435" i="16"/>
  <c r="G3435" i="16"/>
  <c r="N3435" i="16"/>
  <c r="F3435" i="16"/>
  <c r="K3435" i="16"/>
  <c r="L3438" i="16"/>
  <c r="K3438" i="16"/>
  <c r="I3438" i="16"/>
  <c r="L3439" i="16"/>
  <c r="L3443" i="16"/>
  <c r="J3446" i="16"/>
  <c r="M3447" i="16"/>
  <c r="M3451" i="16"/>
  <c r="M3453" i="16"/>
  <c r="E3453" i="16"/>
  <c r="L3453" i="16"/>
  <c r="J3453" i="16"/>
  <c r="M3454" i="16"/>
  <c r="P3458" i="16"/>
  <c r="H3458" i="16"/>
  <c r="O3458" i="16"/>
  <c r="G3458" i="16"/>
  <c r="K3458" i="16"/>
  <c r="K3461" i="16"/>
  <c r="L3466" i="16"/>
  <c r="N3469" i="16"/>
  <c r="M3474" i="16"/>
  <c r="N3476" i="16"/>
  <c r="F3476" i="16"/>
  <c r="M3476" i="16"/>
  <c r="E3476" i="16"/>
  <c r="K3476" i="16"/>
  <c r="L3484" i="16"/>
  <c r="O3492" i="16"/>
  <c r="K3495" i="16"/>
  <c r="J3495" i="16"/>
  <c r="I3495" i="16"/>
  <c r="O3499" i="16"/>
  <c r="G3499" i="16"/>
  <c r="N3499" i="16"/>
  <c r="F3499" i="16"/>
  <c r="K3499" i="16"/>
  <c r="L3502" i="16"/>
  <c r="K3502" i="16"/>
  <c r="I3502" i="16"/>
  <c r="L3503" i="16"/>
  <c r="L3507" i="16"/>
  <c r="J3510" i="16"/>
  <c r="M3511" i="16"/>
  <c r="M3515" i="16"/>
  <c r="M3517" i="16"/>
  <c r="E3517" i="16"/>
  <c r="L3517" i="16"/>
  <c r="J3517" i="16"/>
  <c r="M3518" i="16"/>
  <c r="P3522" i="16"/>
  <c r="H3522" i="16"/>
  <c r="O3522" i="16"/>
  <c r="G3522" i="16"/>
  <c r="K3522" i="16"/>
  <c r="K3525" i="16"/>
  <c r="L3530" i="16"/>
  <c r="N3533" i="16"/>
  <c r="M3538" i="16"/>
  <c r="N3540" i="16"/>
  <c r="F3540" i="16"/>
  <c r="M3540" i="16"/>
  <c r="E3540" i="16"/>
  <c r="K3540" i="16"/>
  <c r="L3548" i="16"/>
  <c r="O3556" i="16"/>
  <c r="K3559" i="16"/>
  <c r="J3559" i="16"/>
  <c r="I3559" i="16"/>
  <c r="O3563" i="16"/>
  <c r="G3563" i="16"/>
  <c r="N3563" i="16"/>
  <c r="F3563" i="16"/>
  <c r="K3563" i="16"/>
  <c r="L3566" i="16"/>
  <c r="K3566" i="16"/>
  <c r="I3566" i="16"/>
  <c r="L3567" i="16"/>
  <c r="L3571" i="16"/>
  <c r="J3574" i="16"/>
  <c r="M3575" i="16"/>
  <c r="M3579" i="16"/>
  <c r="M3581" i="16"/>
  <c r="E3581" i="16"/>
  <c r="L3581" i="16"/>
  <c r="J3581" i="16"/>
  <c r="M3582" i="16"/>
  <c r="P3586" i="16"/>
  <c r="H3586" i="16"/>
  <c r="O3586" i="16"/>
  <c r="G3586" i="16"/>
  <c r="K3586" i="16"/>
  <c r="K3589" i="16"/>
  <c r="L3594" i="16"/>
  <c r="N3597" i="16"/>
  <c r="M3602" i="16"/>
  <c r="N3604" i="16"/>
  <c r="F3604" i="16"/>
  <c r="M3604" i="16"/>
  <c r="E3604" i="16"/>
  <c r="K3604" i="16"/>
  <c r="L3612" i="16"/>
  <c r="O3620" i="16"/>
  <c r="K3623" i="16"/>
  <c r="J3623" i="16"/>
  <c r="I3623" i="16"/>
  <c r="O3627" i="16"/>
  <c r="G3627" i="16"/>
  <c r="N3627" i="16"/>
  <c r="F3627" i="16"/>
  <c r="K3627" i="16"/>
  <c r="L3630" i="16"/>
  <c r="K3630" i="16"/>
  <c r="I3630" i="16"/>
  <c r="L3631" i="16"/>
  <c r="L3635" i="16"/>
  <c r="J3638" i="16"/>
  <c r="M3639" i="16"/>
  <c r="M3643" i="16"/>
  <c r="M3645" i="16"/>
  <c r="E3645" i="16"/>
  <c r="L3645" i="16"/>
  <c r="J3645" i="16"/>
  <c r="M3646" i="16"/>
  <c r="P3650" i="16"/>
  <c r="H3650" i="16"/>
  <c r="O3650" i="16"/>
  <c r="G3650" i="16"/>
  <c r="K3650" i="16"/>
  <c r="K3653" i="16"/>
  <c r="L3658" i="16"/>
  <c r="N3661" i="16"/>
  <c r="M3666" i="16"/>
  <c r="N3668" i="16"/>
  <c r="F3668" i="16"/>
  <c r="M3668" i="16"/>
  <c r="E3668" i="16"/>
  <c r="K3668" i="16"/>
  <c r="L3676" i="16"/>
  <c r="O3684" i="16"/>
  <c r="K3687" i="16"/>
  <c r="J3687" i="16"/>
  <c r="I3687" i="16"/>
  <c r="O3691" i="16"/>
  <c r="G3691" i="16"/>
  <c r="N3691" i="16"/>
  <c r="F3691" i="16"/>
  <c r="K3691" i="16"/>
  <c r="L3694" i="16"/>
  <c r="K3694" i="16"/>
  <c r="I3694" i="16"/>
  <c r="L3699" i="16"/>
  <c r="J3702" i="16"/>
  <c r="M3707" i="16"/>
  <c r="M3709" i="16"/>
  <c r="E3709" i="16"/>
  <c r="L3709" i="16"/>
  <c r="J3709" i="16"/>
  <c r="P3714" i="16"/>
  <c r="H3714" i="16"/>
  <c r="O3714" i="16"/>
  <c r="G3714" i="16"/>
  <c r="K3714" i="16"/>
  <c r="K3717" i="16"/>
  <c r="L3722" i="16"/>
  <c r="N3725" i="16"/>
  <c r="M3730" i="16"/>
  <c r="N3732" i="16"/>
  <c r="F3732" i="16"/>
  <c r="M3732" i="16"/>
  <c r="E3732" i="16"/>
  <c r="K3732" i="16"/>
  <c r="L3740" i="16"/>
  <c r="O3748" i="16"/>
  <c r="K3751" i="16"/>
  <c r="J3751" i="16"/>
  <c r="I3751" i="16"/>
  <c r="O3755" i="16"/>
  <c r="G3755" i="16"/>
  <c r="N3755" i="16"/>
  <c r="F3755" i="16"/>
  <c r="K3755" i="16"/>
  <c r="L3758" i="16"/>
  <c r="K3758" i="16"/>
  <c r="I3758" i="16"/>
  <c r="L3759" i="16"/>
  <c r="L3763" i="16"/>
  <c r="J3766" i="16"/>
  <c r="M3767" i="16"/>
  <c r="M3771" i="16"/>
  <c r="M3773" i="16"/>
  <c r="E3773" i="16"/>
  <c r="L3773" i="16"/>
  <c r="J3773" i="16"/>
  <c r="M3774" i="16"/>
  <c r="P3778" i="16"/>
  <c r="H3778" i="16"/>
  <c r="O3778" i="16"/>
  <c r="G3778" i="16"/>
  <c r="K3778" i="16"/>
  <c r="K3781" i="16"/>
  <c r="L3786" i="16"/>
  <c r="N3789" i="16"/>
  <c r="M3794" i="16"/>
  <c r="N3796" i="16"/>
  <c r="F3796" i="16"/>
  <c r="M3796" i="16"/>
  <c r="E3796" i="16"/>
  <c r="K3796" i="16"/>
  <c r="L3804" i="16"/>
  <c r="O3812" i="16"/>
  <c r="K3815" i="16"/>
  <c r="J3815" i="16"/>
  <c r="I3815" i="16"/>
  <c r="O3819" i="16"/>
  <c r="G3819" i="16"/>
  <c r="N3819" i="16"/>
  <c r="F3819" i="16"/>
  <c r="K3819" i="16"/>
  <c r="L3822" i="16"/>
  <c r="K3822" i="16"/>
  <c r="I3822" i="16"/>
  <c r="L3823" i="16"/>
  <c r="L3827" i="16"/>
  <c r="J3830" i="16"/>
  <c r="M3831" i="16"/>
  <c r="M3835" i="16"/>
  <c r="M3837" i="16"/>
  <c r="E3837" i="16"/>
  <c r="L3837" i="16"/>
  <c r="J3837" i="16"/>
  <c r="M3838" i="16"/>
  <c r="P3842" i="16"/>
  <c r="H3842" i="16"/>
  <c r="O3842" i="16"/>
  <c r="G3842" i="16"/>
  <c r="K3842" i="16"/>
  <c r="K3845" i="16"/>
  <c r="L3850" i="16"/>
  <c r="N3853" i="16"/>
  <c r="M3858" i="16"/>
  <c r="N3860" i="16"/>
  <c r="F3860" i="16"/>
  <c r="M3860" i="16"/>
  <c r="E3860" i="16"/>
  <c r="K3860" i="16"/>
  <c r="L3868" i="16"/>
  <c r="O3876" i="16"/>
  <c r="K3879" i="16"/>
  <c r="J3879" i="16"/>
  <c r="I3879" i="16"/>
  <c r="O3883" i="16"/>
  <c r="G3883" i="16"/>
  <c r="N3883" i="16"/>
  <c r="F3883" i="16"/>
  <c r="K3883" i="16"/>
  <c r="L3886" i="16"/>
  <c r="K3886" i="16"/>
  <c r="I3886" i="16"/>
  <c r="L3887" i="16"/>
  <c r="L3891" i="16"/>
  <c r="J3894" i="16"/>
  <c r="M3895" i="16"/>
  <c r="M3899" i="16"/>
  <c r="M3901" i="16"/>
  <c r="E3901" i="16"/>
  <c r="L3901" i="16"/>
  <c r="J3901" i="16"/>
  <c r="M3902" i="16"/>
  <c r="P3906" i="16"/>
  <c r="H3906" i="16"/>
  <c r="O3906" i="16"/>
  <c r="G3906" i="16"/>
  <c r="K3906" i="16"/>
  <c r="K3909" i="16"/>
  <c r="L3914" i="16"/>
  <c r="N3917" i="16"/>
  <c r="M3922" i="16"/>
  <c r="N3924" i="16"/>
  <c r="F3924" i="16"/>
  <c r="M3924" i="16"/>
  <c r="E3924" i="16"/>
  <c r="K3924" i="16"/>
  <c r="L3932" i="16"/>
  <c r="O3941" i="16"/>
  <c r="G3941" i="16"/>
  <c r="I3941" i="16"/>
  <c r="T3941" i="16"/>
  <c r="H3941" i="16"/>
  <c r="L3941" i="16"/>
  <c r="M3944" i="16"/>
  <c r="P3948" i="16"/>
  <c r="H3948" i="16"/>
  <c r="M3948" i="16"/>
  <c r="L3948" i="16"/>
  <c r="J3948" i="16"/>
  <c r="M3952" i="16"/>
  <c r="M3954" i="16"/>
  <c r="K3960" i="16"/>
  <c r="O3965" i="16"/>
  <c r="G3965" i="16"/>
  <c r="T3965" i="16"/>
  <c r="H3965" i="16"/>
  <c r="P3965" i="16"/>
  <c r="F3965" i="16"/>
  <c r="L3965" i="16"/>
  <c r="P3972" i="16"/>
  <c r="H3972" i="16"/>
  <c r="L3972" i="16"/>
  <c r="K3972" i="16"/>
  <c r="J3972" i="16"/>
  <c r="T3975" i="16"/>
  <c r="L3984" i="16"/>
  <c r="M3984" i="16"/>
  <c r="K3984" i="16"/>
  <c r="I3984" i="16"/>
  <c r="N3990" i="16"/>
  <c r="F3990" i="16"/>
  <c r="T3990" i="16"/>
  <c r="H3990" i="16"/>
  <c r="P3990" i="16"/>
  <c r="G3990" i="16"/>
  <c r="L3990" i="16"/>
  <c r="N3998" i="16"/>
  <c r="F3998" i="16"/>
  <c r="M3998" i="16"/>
  <c r="L3998" i="16"/>
  <c r="J3998" i="16"/>
  <c r="M4005" i="16"/>
  <c r="N4008" i="16"/>
  <c r="K4012" i="16"/>
  <c r="N4014" i="16"/>
  <c r="F4014" i="16"/>
  <c r="P4014" i="16"/>
  <c r="G4014" i="16"/>
  <c r="O4014" i="16"/>
  <c r="E4014" i="16"/>
  <c r="L4014" i="16"/>
  <c r="N4016" i="16"/>
  <c r="N4018" i="16"/>
  <c r="O4024" i="16"/>
  <c r="J4026" i="16"/>
  <c r="N4026" i="16"/>
  <c r="E4026" i="16"/>
  <c r="M4026" i="16"/>
  <c r="K4026" i="16"/>
  <c r="M4029" i="16"/>
  <c r="M4036" i="16"/>
  <c r="L4040" i="16"/>
  <c r="P4040" i="16"/>
  <c r="G4040" i="16"/>
  <c r="O4040" i="16"/>
  <c r="F4040" i="16"/>
  <c r="K4040" i="16"/>
  <c r="N4047" i="16"/>
  <c r="K4055" i="16"/>
  <c r="N4055" i="16"/>
  <c r="E4055" i="16"/>
  <c r="P4055" i="16"/>
  <c r="F4055" i="16"/>
  <c r="O4055" i="16"/>
  <c r="L4055" i="16"/>
  <c r="T4064" i="16"/>
  <c r="P4066" i="16"/>
  <c r="H4066" i="16"/>
  <c r="L4066" i="16"/>
  <c r="I4066" i="16"/>
  <c r="G4066" i="16"/>
  <c r="M4066" i="16"/>
  <c r="J4072" i="16"/>
  <c r="P4072" i="16"/>
  <c r="G4072" i="16"/>
  <c r="T4072" i="16"/>
  <c r="F4072" i="16"/>
  <c r="O4072" i="16"/>
  <c r="E4072" i="16"/>
  <c r="M4072" i="16"/>
  <c r="P4077" i="16"/>
  <c r="P4082" i="16"/>
  <c r="H4082" i="16"/>
  <c r="N4082" i="16"/>
  <c r="E4082" i="16"/>
  <c r="T4082" i="16"/>
  <c r="F4082" i="16"/>
  <c r="O4082" i="16"/>
  <c r="L4082" i="16"/>
  <c r="M4085" i="16"/>
  <c r="E4085" i="16"/>
  <c r="I4085" i="16"/>
  <c r="T4085" i="16"/>
  <c r="G4085" i="16"/>
  <c r="P4085" i="16"/>
  <c r="F4085" i="16"/>
  <c r="N4085" i="16"/>
  <c r="O4090" i="16"/>
  <c r="N4095" i="16"/>
  <c r="O4099" i="16"/>
  <c r="G4099" i="16"/>
  <c r="I4099" i="16"/>
  <c r="H4099" i="16"/>
  <c r="T4099" i="16"/>
  <c r="F4099" i="16"/>
  <c r="M4099" i="16"/>
  <c r="J4112" i="16"/>
  <c r="T4112" i="16"/>
  <c r="H4112" i="16"/>
  <c r="I4112" i="16"/>
  <c r="G4112" i="16"/>
  <c r="M4112" i="16"/>
  <c r="M4119" i="16"/>
  <c r="O4123" i="16"/>
  <c r="G4123" i="16"/>
  <c r="T4123" i="16"/>
  <c r="H4123" i="16"/>
  <c r="P4123" i="16"/>
  <c r="E4123" i="16"/>
  <c r="N4123" i="16"/>
  <c r="L4123" i="16"/>
  <c r="N4130" i="16"/>
  <c r="N4132" i="16"/>
  <c r="F4132" i="16"/>
  <c r="O4132" i="16"/>
  <c r="E4132" i="16"/>
  <c r="P4132" i="16"/>
  <c r="M4132" i="16"/>
  <c r="K4132" i="16"/>
  <c r="N4136" i="16"/>
  <c r="M4146" i="16"/>
  <c r="O4149" i="16"/>
  <c r="P4159" i="16"/>
  <c r="N4163" i="16"/>
  <c r="M4165" i="16"/>
  <c r="E4165" i="16"/>
  <c r="K4165" i="16"/>
  <c r="N4165" i="16"/>
  <c r="L4165" i="16"/>
  <c r="J4165" i="16"/>
  <c r="K4167" i="16"/>
  <c r="L4167" i="16"/>
  <c r="P4167" i="16"/>
  <c r="F4167" i="16"/>
  <c r="O4167" i="16"/>
  <c r="E4167" i="16"/>
  <c r="M4167" i="16"/>
  <c r="N4176" i="16"/>
  <c r="O4179" i="16"/>
  <c r="G4179" i="16"/>
  <c r="K4179" i="16"/>
  <c r="P4179" i="16"/>
  <c r="E4179" i="16"/>
  <c r="N4179" i="16"/>
  <c r="L4179" i="16"/>
  <c r="T4183" i="16"/>
  <c r="M4187" i="16"/>
  <c r="K4191" i="16"/>
  <c r="J4191" i="16"/>
  <c r="O4191" i="16"/>
  <c r="E4191" i="16"/>
  <c r="N4191" i="16"/>
  <c r="L4191" i="16"/>
  <c r="O4194" i="16"/>
  <c r="L4196" i="16"/>
  <c r="O4211" i="16"/>
  <c r="G4211" i="16"/>
  <c r="P4211" i="16"/>
  <c r="F4211" i="16"/>
  <c r="J4211" i="16"/>
  <c r="I4211" i="16"/>
  <c r="M4211" i="16"/>
  <c r="O4219" i="16"/>
  <c r="G4219" i="16"/>
  <c r="L4219" i="16"/>
  <c r="T4219" i="16"/>
  <c r="F4219" i="16"/>
  <c r="P4219" i="16"/>
  <c r="E4219" i="16"/>
  <c r="M4219" i="16"/>
  <c r="P4227" i="16"/>
  <c r="O4229" i="16"/>
  <c r="N4231" i="16"/>
  <c r="O4235" i="16"/>
  <c r="G4235" i="16"/>
  <c r="N4235" i="16"/>
  <c r="E4235" i="16"/>
  <c r="M4235" i="16"/>
  <c r="L4235" i="16"/>
  <c r="K4235" i="16"/>
  <c r="L4238" i="16"/>
  <c r="T4238" i="16"/>
  <c r="H4238" i="16"/>
  <c r="N4238" i="16"/>
  <c r="M4238" i="16"/>
  <c r="J4238" i="16"/>
  <c r="O4240" i="16"/>
  <c r="M4243" i="16"/>
  <c r="J4248" i="16"/>
  <c r="N4248" i="16"/>
  <c r="E4248" i="16"/>
  <c r="H4248" i="16"/>
  <c r="T4248" i="16"/>
  <c r="G4248" i="16"/>
  <c r="M4248" i="16"/>
  <c r="N4252" i="16"/>
  <c r="F4252" i="16"/>
  <c r="I4252" i="16"/>
  <c r="J4252" i="16"/>
  <c r="H4252" i="16"/>
  <c r="M4252" i="16"/>
  <c r="M4255" i="16"/>
  <c r="T4260" i="16"/>
  <c r="N4268" i="16"/>
  <c r="F4268" i="16"/>
  <c r="K4268" i="16"/>
  <c r="P4268" i="16"/>
  <c r="E4268" i="16"/>
  <c r="O4268" i="16"/>
  <c r="L4268" i="16"/>
  <c r="N4275" i="16"/>
  <c r="N4283" i="16"/>
  <c r="P4293" i="16"/>
  <c r="T4295" i="16"/>
  <c r="P4299" i="16"/>
  <c r="K4302" i="16"/>
  <c r="T4307" i="16"/>
  <c r="L4310" i="16"/>
  <c r="N4310" i="16"/>
  <c r="E4310" i="16"/>
  <c r="M4310" i="16"/>
  <c r="K4310" i="16"/>
  <c r="J4310" i="16"/>
  <c r="O4312" i="16"/>
  <c r="O4316" i="16"/>
  <c r="P4319" i="16"/>
  <c r="M4325" i="16"/>
  <c r="E4325" i="16"/>
  <c r="P4325" i="16"/>
  <c r="G4325" i="16"/>
  <c r="I4325" i="16"/>
  <c r="H4325" i="16"/>
  <c r="N4325" i="16"/>
  <c r="K4327" i="16"/>
  <c r="P4327" i="16"/>
  <c r="G4327" i="16"/>
  <c r="N4327" i="16"/>
  <c r="M4327" i="16"/>
  <c r="J4327" i="16"/>
  <c r="M4332" i="16"/>
  <c r="J4336" i="16"/>
  <c r="M4336" i="16"/>
  <c r="L4336" i="16"/>
  <c r="K4336" i="16"/>
  <c r="I4336" i="16"/>
  <c r="T4339" i="16"/>
  <c r="N4348" i="16"/>
  <c r="F4348" i="16"/>
  <c r="M4348" i="16"/>
  <c r="I4348" i="16"/>
  <c r="H4348" i="16"/>
  <c r="L4348" i="16"/>
  <c r="L4350" i="16"/>
  <c r="O4350" i="16"/>
  <c r="F4350" i="16"/>
  <c r="P4350" i="16"/>
  <c r="E4350" i="16"/>
  <c r="N4350" i="16"/>
  <c r="K4350" i="16"/>
  <c r="J4360" i="16"/>
  <c r="L4360" i="16"/>
  <c r="T4360" i="16"/>
  <c r="G4360" i="16"/>
  <c r="P4360" i="16"/>
  <c r="F4360" i="16"/>
  <c r="M4360" i="16"/>
  <c r="T4363" i="16"/>
  <c r="O4366" i="16"/>
  <c r="N4372" i="16"/>
  <c r="F4372" i="16"/>
  <c r="L4372" i="16"/>
  <c r="H4372" i="16"/>
  <c r="T4372" i="16"/>
  <c r="G4372" i="16"/>
  <c r="M4372" i="16"/>
  <c r="O4374" i="16"/>
  <c r="P4376" i="16"/>
  <c r="P4380" i="16"/>
  <c r="L4382" i="16"/>
  <c r="J4382" i="16"/>
  <c r="N4382" i="16"/>
  <c r="M4382" i="16"/>
  <c r="I4382" i="16"/>
  <c r="O4389" i="16"/>
  <c r="L4391" i="16"/>
  <c r="T4396" i="16"/>
  <c r="N4400" i="16"/>
  <c r="N4404" i="16"/>
  <c r="F4404" i="16"/>
  <c r="T4404" i="16"/>
  <c r="H4404" i="16"/>
  <c r="M4404" i="16"/>
  <c r="L4404" i="16"/>
  <c r="K4404" i="16"/>
  <c r="O4412" i="16"/>
  <c r="M4414" i="16"/>
  <c r="P4418" i="16"/>
  <c r="H4418" i="16"/>
  <c r="T4418" i="16"/>
  <c r="G4418" i="16"/>
  <c r="N4418" i="16"/>
  <c r="M4418" i="16"/>
  <c r="K4418" i="16"/>
  <c r="L4422" i="16"/>
  <c r="K4422" i="16"/>
  <c r="O4422" i="16"/>
  <c r="E4422" i="16"/>
  <c r="N4422" i="16"/>
  <c r="J4422" i="16"/>
  <c r="N4424" i="16"/>
  <c r="N4428" i="16"/>
  <c r="F4428" i="16"/>
  <c r="P4428" i="16"/>
  <c r="G4428" i="16"/>
  <c r="H4428" i="16"/>
  <c r="T4428" i="16"/>
  <c r="E4428" i="16"/>
  <c r="M4428" i="16"/>
  <c r="O4436" i="16"/>
  <c r="P4438" i="16"/>
  <c r="K4446" i="16"/>
  <c r="J4448" i="16"/>
  <c r="K4448" i="16"/>
  <c r="P4448" i="16"/>
  <c r="F4448" i="16"/>
  <c r="O4448" i="16"/>
  <c r="E4448" i="16"/>
  <c r="M4448" i="16"/>
  <c r="T4453" i="16"/>
  <c r="O4455" i="16"/>
  <c r="M4461" i="16"/>
  <c r="E4461" i="16"/>
  <c r="L4461" i="16"/>
  <c r="H4461" i="16"/>
  <c r="T4461" i="16"/>
  <c r="G4461" i="16"/>
  <c r="N4461" i="16"/>
  <c r="O4464" i="16"/>
  <c r="O4468" i="16"/>
  <c r="P4474" i="16"/>
  <c r="H4474" i="16"/>
  <c r="K4474" i="16"/>
  <c r="N4474" i="16"/>
  <c r="M4474" i="16"/>
  <c r="J4474" i="16"/>
  <c r="P4476" i="16"/>
  <c r="T4478" i="16"/>
  <c r="L4482" i="16"/>
  <c r="M4486" i="16"/>
  <c r="O4492" i="16"/>
  <c r="K4495" i="16"/>
  <c r="T4495" i="16"/>
  <c r="H4495" i="16"/>
  <c r="P4495" i="16"/>
  <c r="F4495" i="16"/>
  <c r="O4495" i="16"/>
  <c r="E4495" i="16"/>
  <c r="M4495" i="16"/>
  <c r="P4500" i="16"/>
  <c r="O4510" i="16"/>
  <c r="N4512" i="16"/>
  <c r="O4525" i="16"/>
  <c r="P4532" i="16"/>
  <c r="L4538" i="16"/>
  <c r="K4543" i="16"/>
  <c r="O4543" i="16"/>
  <c r="F4543" i="16"/>
  <c r="H4543" i="16"/>
  <c r="T4543" i="16"/>
  <c r="G4543" i="16"/>
  <c r="M4543" i="16"/>
  <c r="O4546" i="16"/>
  <c r="K4551" i="16"/>
  <c r="L4551" i="16"/>
  <c r="P4551" i="16"/>
  <c r="F4551" i="16"/>
  <c r="O4551" i="16"/>
  <c r="E4551" i="16"/>
  <c r="N4551" i="16"/>
  <c r="M4551" i="16"/>
  <c r="N4556" i="16"/>
  <c r="F4556" i="16"/>
  <c r="P4556" i="16"/>
  <c r="G4556" i="16"/>
  <c r="H4556" i="16"/>
  <c r="T4556" i="16"/>
  <c r="E4556" i="16"/>
  <c r="O4556" i="16"/>
  <c r="M4556" i="16"/>
  <c r="O4560" i="16"/>
  <c r="N4564" i="16"/>
  <c r="F4564" i="16"/>
  <c r="L4564" i="16"/>
  <c r="H4564" i="16"/>
  <c r="T4564" i="16"/>
  <c r="G4564" i="16"/>
  <c r="P4564" i="16"/>
  <c r="E4564" i="16"/>
  <c r="O4564" i="16"/>
  <c r="K4567" i="16"/>
  <c r="O4567" i="16"/>
  <c r="F4567" i="16"/>
  <c r="N4567" i="16"/>
  <c r="E4567" i="16"/>
  <c r="G4567" i="16"/>
  <c r="T4567" i="16"/>
  <c r="P4567" i="16"/>
  <c r="M4567" i="16"/>
  <c r="P4594" i="16"/>
  <c r="H4594" i="16"/>
  <c r="O4594" i="16"/>
  <c r="F4594" i="16"/>
  <c r="N4594" i="16"/>
  <c r="E4594" i="16"/>
  <c r="I4594" i="16"/>
  <c r="G4594" i="16"/>
  <c r="T4594" i="16"/>
  <c r="P4610" i="16"/>
  <c r="H4610" i="16"/>
  <c r="I4610" i="16"/>
  <c r="T4610" i="16"/>
  <c r="G4610" i="16"/>
  <c r="J4610" i="16"/>
  <c r="F4610" i="16"/>
  <c r="E4610" i="16"/>
  <c r="O4610" i="16"/>
  <c r="O4667" i="16"/>
  <c r="G4667" i="16"/>
  <c r="N4667" i="16"/>
  <c r="E4667" i="16"/>
  <c r="M4667" i="16"/>
  <c r="L4667" i="16"/>
  <c r="T4667" i="16"/>
  <c r="P4667" i="16"/>
  <c r="K4667" i="16"/>
  <c r="M4669" i="16"/>
  <c r="E4669" i="16"/>
  <c r="T4669" i="16"/>
  <c r="H4669" i="16"/>
  <c r="P4669" i="16"/>
  <c r="G4669" i="16"/>
  <c r="O4669" i="16"/>
  <c r="F4669" i="16"/>
  <c r="K4669" i="16"/>
  <c r="J4669" i="16"/>
  <c r="I4669" i="16"/>
  <c r="M4717" i="16"/>
  <c r="E4717" i="16"/>
  <c r="O4717" i="16"/>
  <c r="F4717" i="16"/>
  <c r="N4717" i="16"/>
  <c r="L4717" i="16"/>
  <c r="G4717" i="16"/>
  <c r="T4717" i="16"/>
  <c r="P4717" i="16"/>
  <c r="O4731" i="16"/>
  <c r="G4731" i="16"/>
  <c r="N4731" i="16"/>
  <c r="E4731" i="16"/>
  <c r="M4731" i="16"/>
  <c r="L4731" i="16"/>
  <c r="I4731" i="16"/>
  <c r="H4731" i="16"/>
  <c r="F4731" i="16"/>
  <c r="N4732" i="16"/>
  <c r="F4732" i="16"/>
  <c r="P4732" i="16"/>
  <c r="G4732" i="16"/>
  <c r="O4732" i="16"/>
  <c r="E4732" i="16"/>
  <c r="M4732" i="16"/>
  <c r="T4732" i="16"/>
  <c r="L4732" i="16"/>
  <c r="K4735" i="16"/>
  <c r="T4735" i="16"/>
  <c r="H4735" i="16"/>
  <c r="P4735" i="16"/>
  <c r="G4735" i="16"/>
  <c r="O4735" i="16"/>
  <c r="F4735" i="16"/>
  <c r="J4735" i="16"/>
  <c r="I4735" i="16"/>
  <c r="E4735" i="16"/>
  <c r="J4784" i="16"/>
  <c r="O4784" i="16"/>
  <c r="F4784" i="16"/>
  <c r="N4784" i="16"/>
  <c r="E4784" i="16"/>
  <c r="M4784" i="16"/>
  <c r="I4784" i="16"/>
  <c r="H4784" i="16"/>
  <c r="G4784" i="16"/>
  <c r="J4800" i="16"/>
  <c r="T4800" i="16"/>
  <c r="H4800" i="16"/>
  <c r="P4800" i="16"/>
  <c r="G4800" i="16"/>
  <c r="O4800" i="16"/>
  <c r="F4800" i="16"/>
  <c r="L4800" i="16"/>
  <c r="K4800" i="16"/>
  <c r="I4800" i="16"/>
  <c r="O4811" i="16"/>
  <c r="G4811" i="16"/>
  <c r="T4811" i="16"/>
  <c r="H4811" i="16"/>
  <c r="P4811" i="16"/>
  <c r="F4811" i="16"/>
  <c r="N4811" i="16"/>
  <c r="E4811" i="16"/>
  <c r="L4811" i="16"/>
  <c r="K4811" i="16"/>
  <c r="J4811" i="16"/>
  <c r="N4836" i="16"/>
  <c r="F4836" i="16"/>
  <c r="T4836" i="16"/>
  <c r="H4836" i="16"/>
  <c r="P4836" i="16"/>
  <c r="G4836" i="16"/>
  <c r="O4836" i="16"/>
  <c r="E4836" i="16"/>
  <c r="I4836" i="16"/>
  <c r="M4837" i="16"/>
  <c r="E4837" i="16"/>
  <c r="I4837" i="16"/>
  <c r="T4837" i="16"/>
  <c r="H4837" i="16"/>
  <c r="P4837" i="16"/>
  <c r="G4837" i="16"/>
  <c r="O4837" i="16"/>
  <c r="N4837" i="16"/>
  <c r="P4850" i="16"/>
  <c r="H4850" i="16"/>
  <c r="T4850" i="16"/>
  <c r="G4850" i="16"/>
  <c r="O4850" i="16"/>
  <c r="F4850" i="16"/>
  <c r="N4850" i="16"/>
  <c r="E4850" i="16"/>
  <c r="L4850" i="16"/>
  <c r="K4850" i="16"/>
  <c r="J4850" i="16"/>
  <c r="L4870" i="16"/>
  <c r="N4870" i="16"/>
  <c r="E4870" i="16"/>
  <c r="M4870" i="16"/>
  <c r="K4870" i="16"/>
  <c r="I4870" i="16"/>
  <c r="H4870" i="16"/>
  <c r="G4870" i="16"/>
  <c r="T4870" i="16"/>
  <c r="P4898" i="16"/>
  <c r="H4898" i="16"/>
  <c r="N4898" i="16"/>
  <c r="E4898" i="16"/>
  <c r="M4898" i="16"/>
  <c r="L4898" i="16"/>
  <c r="F4898" i="16"/>
  <c r="T4898" i="16"/>
  <c r="O4898" i="16"/>
  <c r="M4901" i="16"/>
  <c r="E4901" i="16"/>
  <c r="I4901" i="16"/>
  <c r="T4901" i="16"/>
  <c r="H4901" i="16"/>
  <c r="P4901" i="16"/>
  <c r="G4901" i="16"/>
  <c r="K4901" i="16"/>
  <c r="J4901" i="16"/>
  <c r="F4901" i="16"/>
  <c r="P4938" i="16"/>
  <c r="H4938" i="16"/>
  <c r="O4938" i="16"/>
  <c r="F4938" i="16"/>
  <c r="N4938" i="16"/>
  <c r="E4938" i="16"/>
  <c r="M4938" i="16"/>
  <c r="K4938" i="16"/>
  <c r="J4938" i="16"/>
  <c r="I4938" i="16"/>
  <c r="L5086" i="16"/>
  <c r="K5086" i="16"/>
  <c r="H5086" i="16"/>
  <c r="T5086" i="16"/>
  <c r="G5086" i="16"/>
  <c r="P5086" i="16"/>
  <c r="F5086" i="16"/>
  <c r="E5086" i="16"/>
  <c r="O5086" i="16"/>
  <c r="M5125" i="16"/>
  <c r="E5125" i="16"/>
  <c r="L5125" i="16"/>
  <c r="T5125" i="16"/>
  <c r="G5125" i="16"/>
  <c r="P5125" i="16"/>
  <c r="F5125" i="16"/>
  <c r="O5125" i="16"/>
  <c r="N5125" i="16"/>
  <c r="P5146" i="16"/>
  <c r="H5146" i="16"/>
  <c r="O5146" i="16"/>
  <c r="G5146" i="16"/>
  <c r="T5146" i="16"/>
  <c r="E5146" i="16"/>
  <c r="N5146" i="16"/>
  <c r="M5146" i="16"/>
  <c r="F5146" i="16"/>
  <c r="O5147" i="16"/>
  <c r="G5147" i="16"/>
  <c r="N5147" i="16"/>
  <c r="F5147" i="16"/>
  <c r="J5147" i="16"/>
  <c r="I5147" i="16"/>
  <c r="H5147" i="16"/>
  <c r="T5147" i="16"/>
  <c r="P5147" i="16"/>
  <c r="L5214" i="16"/>
  <c r="K5214" i="16"/>
  <c r="H5214" i="16"/>
  <c r="T5214" i="16"/>
  <c r="G5214" i="16"/>
  <c r="P5214" i="16"/>
  <c r="F5214" i="16"/>
  <c r="E5214" i="16"/>
  <c r="O5214" i="16"/>
  <c r="O5283" i="16"/>
  <c r="G5283" i="16"/>
  <c r="N5283" i="16"/>
  <c r="F5283" i="16"/>
  <c r="J5283" i="16"/>
  <c r="I5283" i="16"/>
  <c r="H5283" i="16"/>
  <c r="E5283" i="16"/>
  <c r="T5283" i="16"/>
  <c r="O5411" i="16"/>
  <c r="G5411" i="16"/>
  <c r="N5411" i="16"/>
  <c r="F5411" i="16"/>
  <c r="J5411" i="16"/>
  <c r="I5411" i="16"/>
  <c r="H5411" i="16"/>
  <c r="E5411" i="16"/>
  <c r="T5411" i="16"/>
  <c r="O5539" i="16"/>
  <c r="G5539" i="16"/>
  <c r="N5539" i="16"/>
  <c r="F5539" i="16"/>
  <c r="J5539" i="16"/>
  <c r="I5539" i="16"/>
  <c r="H5539" i="16"/>
  <c r="E5539" i="16"/>
  <c r="T5539" i="16"/>
  <c r="L5662" i="16"/>
  <c r="K5662" i="16"/>
  <c r="J5662" i="16"/>
  <c r="O5662" i="16"/>
  <c r="N5662" i="16"/>
  <c r="M5662" i="16"/>
  <c r="G5662" i="16"/>
  <c r="F5662" i="16"/>
  <c r="E5662" i="16"/>
  <c r="P5682" i="16"/>
  <c r="H5682" i="16"/>
  <c r="O5682" i="16"/>
  <c r="G5682" i="16"/>
  <c r="N5682" i="16"/>
  <c r="F5682" i="16"/>
  <c r="I5682" i="16"/>
  <c r="E5682" i="16"/>
  <c r="M5682" i="16"/>
  <c r="L5682" i="16"/>
  <c r="K5682" i="16"/>
  <c r="N5684" i="16"/>
  <c r="F5684" i="16"/>
  <c r="M5684" i="16"/>
  <c r="E5684" i="16"/>
  <c r="L5684" i="16"/>
  <c r="J5684" i="16"/>
  <c r="I5684" i="16"/>
  <c r="H5684" i="16"/>
  <c r="G5684" i="16"/>
  <c r="M5685" i="16"/>
  <c r="E5685" i="16"/>
  <c r="L5685" i="16"/>
  <c r="K5685" i="16"/>
  <c r="P5685" i="16"/>
  <c r="O5685" i="16"/>
  <c r="N5685" i="16"/>
  <c r="T5685" i="16"/>
  <c r="J5685" i="16"/>
  <c r="O5691" i="16"/>
  <c r="G5691" i="16"/>
  <c r="N5691" i="16"/>
  <c r="F5691" i="16"/>
  <c r="M5691" i="16"/>
  <c r="E5691" i="16"/>
  <c r="T5691" i="16"/>
  <c r="P5691" i="16"/>
  <c r="J5691" i="16"/>
  <c r="I5691" i="16"/>
  <c r="H5691" i="16"/>
  <c r="M5693" i="16"/>
  <c r="E5693" i="16"/>
  <c r="L5693" i="16"/>
  <c r="K5693" i="16"/>
  <c r="T5693" i="16"/>
  <c r="F5693" i="16"/>
  <c r="P5693" i="16"/>
  <c r="O5693" i="16"/>
  <c r="N5693" i="16"/>
  <c r="O5699" i="16"/>
  <c r="G5699" i="16"/>
  <c r="N5699" i="16"/>
  <c r="F5699" i="16"/>
  <c r="M5699" i="16"/>
  <c r="E5699" i="16"/>
  <c r="H5699" i="16"/>
  <c r="T5699" i="16"/>
  <c r="K5699" i="16"/>
  <c r="J5699" i="16"/>
  <c r="I5699" i="16"/>
  <c r="L5742" i="16"/>
  <c r="K5742" i="16"/>
  <c r="J5742" i="16"/>
  <c r="T5742" i="16"/>
  <c r="F5742" i="16"/>
  <c r="P5742" i="16"/>
  <c r="E5742" i="16"/>
  <c r="O5742" i="16"/>
  <c r="I5742" i="16"/>
  <c r="H5742" i="16"/>
  <c r="G5742" i="16"/>
  <c r="P5746" i="16"/>
  <c r="H5746" i="16"/>
  <c r="O5746" i="16"/>
  <c r="G5746" i="16"/>
  <c r="N5746" i="16"/>
  <c r="F5746" i="16"/>
  <c r="I5746" i="16"/>
  <c r="E5746" i="16"/>
  <c r="T5746" i="16"/>
  <c r="L5750" i="16"/>
  <c r="K5750" i="16"/>
  <c r="J5750" i="16"/>
  <c r="G5750" i="16"/>
  <c r="T5750" i="16"/>
  <c r="F5750" i="16"/>
  <c r="P5750" i="16"/>
  <c r="E5750" i="16"/>
  <c r="I5750" i="16"/>
  <c r="H5750" i="16"/>
  <c r="N5796" i="16"/>
  <c r="F5796" i="16"/>
  <c r="M5796" i="16"/>
  <c r="E5796" i="16"/>
  <c r="L5796" i="16"/>
  <c r="H5796" i="16"/>
  <c r="G5796" i="16"/>
  <c r="T5796" i="16"/>
  <c r="O5796" i="16"/>
  <c r="K5796" i="16"/>
  <c r="J5796" i="16"/>
  <c r="L5798" i="16"/>
  <c r="K5798" i="16"/>
  <c r="J5798" i="16"/>
  <c r="P5798" i="16"/>
  <c r="E5798" i="16"/>
  <c r="O5798" i="16"/>
  <c r="N5798" i="16"/>
  <c r="F5798" i="16"/>
  <c r="T5798" i="16"/>
  <c r="P5818" i="16"/>
  <c r="H5818" i="16"/>
  <c r="O5818" i="16"/>
  <c r="G5818" i="16"/>
  <c r="N5818" i="16"/>
  <c r="F5818" i="16"/>
  <c r="J5818" i="16"/>
  <c r="I5818" i="16"/>
  <c r="E5818" i="16"/>
  <c r="M5818" i="16"/>
  <c r="L5818" i="16"/>
  <c r="K5818" i="16"/>
  <c r="P5826" i="16"/>
  <c r="H5826" i="16"/>
  <c r="O5826" i="16"/>
  <c r="G5826" i="16"/>
  <c r="N5826" i="16"/>
  <c r="F5826" i="16"/>
  <c r="K5826" i="16"/>
  <c r="J5826" i="16"/>
  <c r="I5826" i="16"/>
  <c r="M5826" i="16"/>
  <c r="L5826" i="16"/>
  <c r="E5826" i="16"/>
  <c r="N5852" i="16"/>
  <c r="F5852" i="16"/>
  <c r="M5852" i="16"/>
  <c r="E5852" i="16"/>
  <c r="L5852" i="16"/>
  <c r="G5852" i="16"/>
  <c r="T5852" i="16"/>
  <c r="P5852" i="16"/>
  <c r="J5852" i="16"/>
  <c r="I5852" i="16"/>
  <c r="H5852" i="16"/>
  <c r="P5866" i="16"/>
  <c r="H5866" i="16"/>
  <c r="O5866" i="16"/>
  <c r="G5866" i="16"/>
  <c r="N5866" i="16"/>
  <c r="F5866" i="16"/>
  <c r="E5866" i="16"/>
  <c r="T5866" i="16"/>
  <c r="I5866" i="16"/>
  <c r="N5868" i="16"/>
  <c r="F5868" i="16"/>
  <c r="M5868" i="16"/>
  <c r="E5868" i="16"/>
  <c r="L5868" i="16"/>
  <c r="I5868" i="16"/>
  <c r="H5868" i="16"/>
  <c r="G5868" i="16"/>
  <c r="T5868" i="16"/>
  <c r="M5885" i="16"/>
  <c r="E5885" i="16"/>
  <c r="L5885" i="16"/>
  <c r="K5885" i="16"/>
  <c r="T5885" i="16"/>
  <c r="F5885" i="16"/>
  <c r="P5885" i="16"/>
  <c r="O5885" i="16"/>
  <c r="J5885" i="16"/>
  <c r="I5885" i="16"/>
  <c r="H5885" i="16"/>
  <c r="J5901" i="16"/>
  <c r="T5901" i="16"/>
  <c r="H5901" i="16"/>
  <c r="P5901" i="16"/>
  <c r="G5901" i="16"/>
  <c r="O5901" i="16"/>
  <c r="F5901" i="16"/>
  <c r="I5901" i="16"/>
  <c r="E5901" i="16"/>
  <c r="K5901" i="16"/>
  <c r="J2" i="17"/>
  <c r="K21" i="17"/>
  <c r="R26" i="17"/>
  <c r="AG26" i="17" s="1"/>
  <c r="Q26" i="17"/>
  <c r="J32" i="17"/>
  <c r="K36" i="17"/>
  <c r="R46" i="17"/>
  <c r="AP46" i="17" s="1"/>
  <c r="K130" i="17"/>
  <c r="L152" i="17"/>
  <c r="AL196" i="17"/>
  <c r="AD196" i="17"/>
  <c r="V196" i="17"/>
  <c r="N196" i="17"/>
  <c r="AK196" i="17"/>
  <c r="AC196" i="17"/>
  <c r="U196" i="17"/>
  <c r="M196" i="17"/>
  <c r="AM196" i="17"/>
  <c r="AA196" i="17"/>
  <c r="Q196" i="17"/>
  <c r="AJ196" i="17"/>
  <c r="Z196" i="17"/>
  <c r="P196" i="17"/>
  <c r="AI196" i="17"/>
  <c r="Y196" i="17"/>
  <c r="O196" i="17"/>
  <c r="AN196" i="17"/>
  <c r="T196" i="17"/>
  <c r="AH196" i="17"/>
  <c r="S196" i="17"/>
  <c r="AG196" i="17"/>
  <c r="R196" i="17"/>
  <c r="AB196" i="17"/>
  <c r="X196" i="17"/>
  <c r="AR196" i="17"/>
  <c r="W196" i="17"/>
  <c r="AO196" i="17"/>
  <c r="AF196" i="17"/>
  <c r="AP196" i="17"/>
  <c r="AL284" i="17"/>
  <c r="AD284" i="17"/>
  <c r="V284" i="17"/>
  <c r="N284" i="17"/>
  <c r="AK284" i="17"/>
  <c r="AC284" i="17"/>
  <c r="U284" i="17"/>
  <c r="M284" i="17"/>
  <c r="AI284" i="17"/>
  <c r="Y284" i="17"/>
  <c r="O284" i="17"/>
  <c r="AR284" i="17"/>
  <c r="AH284" i="17"/>
  <c r="X284" i="17"/>
  <c r="L284" i="17"/>
  <c r="AQ284" i="17"/>
  <c r="AG284" i="17"/>
  <c r="W284" i="17"/>
  <c r="K284" i="17"/>
  <c r="AF284" i="17"/>
  <c r="Q284" i="17"/>
  <c r="AE284" i="17"/>
  <c r="P284" i="17"/>
  <c r="AB284" i="17"/>
  <c r="J284" i="17"/>
  <c r="Z284" i="17"/>
  <c r="T284" i="17"/>
  <c r="AP284" i="17"/>
  <c r="S284" i="17"/>
  <c r="AJ284" i="17"/>
  <c r="AA284" i="17"/>
  <c r="R284" i="17"/>
  <c r="AN284" i="17"/>
  <c r="AM284" i="17"/>
  <c r="AO284" i="17"/>
  <c r="R332" i="17"/>
  <c r="AH338" i="17"/>
  <c r="AL348" i="17"/>
  <c r="AD348" i="17"/>
  <c r="V348" i="17"/>
  <c r="N348" i="17"/>
  <c r="AK348" i="17"/>
  <c r="AC348" i="17"/>
  <c r="U348" i="17"/>
  <c r="M348" i="17"/>
  <c r="AR348" i="17"/>
  <c r="AH348" i="17"/>
  <c r="X348" i="17"/>
  <c r="L348" i="17"/>
  <c r="AQ348" i="17"/>
  <c r="AG348" i="17"/>
  <c r="W348" i="17"/>
  <c r="K348" i="17"/>
  <c r="AP348" i="17"/>
  <c r="AF348" i="17"/>
  <c r="T348" i="17"/>
  <c r="J348" i="17"/>
  <c r="AI348" i="17"/>
  <c r="Q348" i="17"/>
  <c r="AE348" i="17"/>
  <c r="P348" i="17"/>
  <c r="AB348" i="17"/>
  <c r="O348" i="17"/>
  <c r="AJ348" i="17"/>
  <c r="AA348" i="17"/>
  <c r="Z348" i="17"/>
  <c r="Y348" i="17"/>
  <c r="S348" i="17"/>
  <c r="R348" i="17"/>
  <c r="AN348" i="17"/>
  <c r="AM348" i="17"/>
  <c r="AO348" i="17"/>
  <c r="AL370" i="17"/>
  <c r="AD370" i="17"/>
  <c r="V370" i="17"/>
  <c r="N370" i="17"/>
  <c r="AK370" i="17"/>
  <c r="AC370" i="17"/>
  <c r="U370" i="17"/>
  <c r="M370" i="17"/>
  <c r="AN370" i="17"/>
  <c r="AB370" i="17"/>
  <c r="R370" i="17"/>
  <c r="AM370" i="17"/>
  <c r="AA370" i="17"/>
  <c r="Q370" i="17"/>
  <c r="AJ370" i="17"/>
  <c r="Z370" i="17"/>
  <c r="P370" i="17"/>
  <c r="AG370" i="17"/>
  <c r="O370" i="17"/>
  <c r="AF370" i="17"/>
  <c r="L370" i="17"/>
  <c r="AR370" i="17"/>
  <c r="AE370" i="17"/>
  <c r="K370" i="17"/>
  <c r="AQ370" i="17"/>
  <c r="T370" i="17"/>
  <c r="AP370" i="17"/>
  <c r="S370" i="17"/>
  <c r="AO370" i="17"/>
  <c r="J370" i="17"/>
  <c r="AI370" i="17"/>
  <c r="AH370" i="17"/>
  <c r="Y370" i="17"/>
  <c r="AA376" i="17"/>
  <c r="AA438" i="17"/>
  <c r="AL494" i="17"/>
  <c r="AD494" i="17"/>
  <c r="V494" i="17"/>
  <c r="N494" i="17"/>
  <c r="AK494" i="17"/>
  <c r="AC494" i="17"/>
  <c r="U494" i="17"/>
  <c r="M494" i="17"/>
  <c r="AN494" i="17"/>
  <c r="AB494" i="17"/>
  <c r="R494" i="17"/>
  <c r="AM494" i="17"/>
  <c r="AA494" i="17"/>
  <c r="Q494" i="17"/>
  <c r="AJ494" i="17"/>
  <c r="Z494" i="17"/>
  <c r="P494" i="17"/>
  <c r="AG494" i="17"/>
  <c r="O494" i="17"/>
  <c r="AF494" i="17"/>
  <c r="L494" i="17"/>
  <c r="AR494" i="17"/>
  <c r="AE494" i="17"/>
  <c r="K494" i="17"/>
  <c r="Y494" i="17"/>
  <c r="X494" i="17"/>
  <c r="W494" i="17"/>
  <c r="AI494" i="17"/>
  <c r="AH494" i="17"/>
  <c r="T494" i="17"/>
  <c r="AQ494" i="17"/>
  <c r="AP494" i="17"/>
  <c r="AL510" i="17"/>
  <c r="AD510" i="17"/>
  <c r="V510" i="17"/>
  <c r="N510" i="17"/>
  <c r="AK510" i="17"/>
  <c r="AC510" i="17"/>
  <c r="U510" i="17"/>
  <c r="M510" i="17"/>
  <c r="AN510" i="17"/>
  <c r="AB510" i="17"/>
  <c r="R510" i="17"/>
  <c r="AM510" i="17"/>
  <c r="AA510" i="17"/>
  <c r="Q510" i="17"/>
  <c r="AJ510" i="17"/>
  <c r="Z510" i="17"/>
  <c r="P510" i="17"/>
  <c r="AG510" i="17"/>
  <c r="O510" i="17"/>
  <c r="AF510" i="17"/>
  <c r="L510" i="17"/>
  <c r="AR510" i="17"/>
  <c r="AE510" i="17"/>
  <c r="K510" i="17"/>
  <c r="AH510" i="17"/>
  <c r="Y510" i="17"/>
  <c r="X510" i="17"/>
  <c r="W510" i="17"/>
  <c r="T510" i="17"/>
  <c r="S510" i="17"/>
  <c r="AO510" i="17"/>
  <c r="AI510" i="17"/>
  <c r="AP510" i="17"/>
  <c r="AL586" i="17"/>
  <c r="AD586" i="17"/>
  <c r="V586" i="17"/>
  <c r="N586" i="17"/>
  <c r="AK586" i="17"/>
  <c r="AC586" i="17"/>
  <c r="U586" i="17"/>
  <c r="M586" i="17"/>
  <c r="AJ586" i="17"/>
  <c r="Z586" i="17"/>
  <c r="P586" i="17"/>
  <c r="AI586" i="17"/>
  <c r="Y586" i="17"/>
  <c r="O586" i="17"/>
  <c r="AR586" i="17"/>
  <c r="AH586" i="17"/>
  <c r="X586" i="17"/>
  <c r="L586" i="17"/>
  <c r="AO586" i="17"/>
  <c r="W586" i="17"/>
  <c r="AN586" i="17"/>
  <c r="T586" i="17"/>
  <c r="AM586" i="17"/>
  <c r="S586" i="17"/>
  <c r="AB586" i="17"/>
  <c r="AA586" i="17"/>
  <c r="R586" i="17"/>
  <c r="AE586" i="17"/>
  <c r="Q586" i="17"/>
  <c r="K586" i="17"/>
  <c r="AG586" i="17"/>
  <c r="AF586" i="17"/>
  <c r="AP586" i="17"/>
  <c r="V84" i="17"/>
  <c r="N84" i="17"/>
  <c r="AC84" i="17"/>
  <c r="U84" i="17"/>
  <c r="AH84" i="17" s="1"/>
  <c r="M84" i="17"/>
  <c r="AA84" i="17"/>
  <c r="Q84" i="17"/>
  <c r="Z84" i="17"/>
  <c r="Y84" i="17"/>
  <c r="L84" i="17"/>
  <c r="K84" i="17"/>
  <c r="AB84" i="17"/>
  <c r="J84" i="17"/>
  <c r="X84" i="17"/>
  <c r="W84" i="17"/>
  <c r="AA88" i="17"/>
  <c r="L88" i="17"/>
  <c r="Z88" i="17"/>
  <c r="W88" i="17"/>
  <c r="J88" i="17"/>
  <c r="J164" i="17"/>
  <c r="AL270" i="17"/>
  <c r="AD270" i="17"/>
  <c r="V270" i="17"/>
  <c r="N270" i="17"/>
  <c r="AK270" i="17"/>
  <c r="AC270" i="17"/>
  <c r="U270" i="17"/>
  <c r="M270" i="17"/>
  <c r="AJ270" i="17"/>
  <c r="Z270" i="17"/>
  <c r="P270" i="17"/>
  <c r="AI270" i="17"/>
  <c r="Y270" i="17"/>
  <c r="O270" i="17"/>
  <c r="AR270" i="17"/>
  <c r="AH270" i="17"/>
  <c r="X270" i="17"/>
  <c r="L270" i="17"/>
  <c r="AO270" i="17"/>
  <c r="W270" i="17"/>
  <c r="AN270" i="17"/>
  <c r="T270" i="17"/>
  <c r="AM270" i="17"/>
  <c r="S270" i="17"/>
  <c r="AA270" i="17"/>
  <c r="R270" i="17"/>
  <c r="AQ270" i="17"/>
  <c r="Q270" i="17"/>
  <c r="AB270" i="17"/>
  <c r="K270" i="17"/>
  <c r="J270" i="17"/>
  <c r="AL390" i="17"/>
  <c r="AD390" i="17"/>
  <c r="V390" i="17"/>
  <c r="N390" i="17"/>
  <c r="AK390" i="17"/>
  <c r="AC390" i="17"/>
  <c r="U390" i="17"/>
  <c r="M390" i="17"/>
  <c r="AN390" i="17"/>
  <c r="AB390" i="17"/>
  <c r="R390" i="17"/>
  <c r="AM390" i="17"/>
  <c r="AA390" i="17"/>
  <c r="Q390" i="17"/>
  <c r="AJ390" i="17"/>
  <c r="Z390" i="17"/>
  <c r="P390" i="17"/>
  <c r="AH390" i="17"/>
  <c r="S390" i="17"/>
  <c r="AG390" i="17"/>
  <c r="O390" i="17"/>
  <c r="AF390" i="17"/>
  <c r="L390" i="17"/>
  <c r="Y390" i="17"/>
  <c r="X390" i="17"/>
  <c r="AR390" i="17"/>
  <c r="W390" i="17"/>
  <c r="AO390" i="17"/>
  <c r="AI390" i="17"/>
  <c r="AE390" i="17"/>
  <c r="AL478" i="17"/>
  <c r="AD478" i="17"/>
  <c r="V478" i="17"/>
  <c r="N478" i="17"/>
  <c r="AK478" i="17"/>
  <c r="AC478" i="17"/>
  <c r="U478" i="17"/>
  <c r="M478" i="17"/>
  <c r="AN478" i="17"/>
  <c r="AB478" i="17"/>
  <c r="R478" i="17"/>
  <c r="AM478" i="17"/>
  <c r="AA478" i="17"/>
  <c r="Q478" i="17"/>
  <c r="AJ478" i="17"/>
  <c r="Z478" i="17"/>
  <c r="P478" i="17"/>
  <c r="AG478" i="17"/>
  <c r="O478" i="17"/>
  <c r="AF478" i="17"/>
  <c r="L478" i="17"/>
  <c r="AR478" i="17"/>
  <c r="AE478" i="17"/>
  <c r="K478" i="17"/>
  <c r="X478" i="17"/>
  <c r="W478" i="17"/>
  <c r="AQ478" i="17"/>
  <c r="T478" i="17"/>
  <c r="AI478" i="17"/>
  <c r="AH478" i="17"/>
  <c r="Y478" i="17"/>
  <c r="AL554" i="17"/>
  <c r="AD554" i="17"/>
  <c r="V554" i="17"/>
  <c r="N554" i="17"/>
  <c r="AK554" i="17"/>
  <c r="AC554" i="17"/>
  <c r="U554" i="17"/>
  <c r="M554" i="17"/>
  <c r="AJ554" i="17"/>
  <c r="Z554" i="17"/>
  <c r="P554" i="17"/>
  <c r="AI554" i="17"/>
  <c r="Y554" i="17"/>
  <c r="O554" i="17"/>
  <c r="AR554" i="17"/>
  <c r="AH554" i="17"/>
  <c r="X554" i="17"/>
  <c r="L554" i="17"/>
  <c r="AO554" i="17"/>
  <c r="W554" i="17"/>
  <c r="AN554" i="17"/>
  <c r="T554" i="17"/>
  <c r="AM554" i="17"/>
  <c r="S554" i="17"/>
  <c r="R554" i="17"/>
  <c r="AQ554" i="17"/>
  <c r="Q554" i="17"/>
  <c r="AP554" i="17"/>
  <c r="K554" i="17"/>
  <c r="AF554" i="17"/>
  <c r="AE554" i="17"/>
  <c r="AB554" i="17"/>
  <c r="AL568" i="17"/>
  <c r="AD568" i="17"/>
  <c r="V568" i="17"/>
  <c r="N568" i="17"/>
  <c r="AK568" i="17"/>
  <c r="AC568" i="17"/>
  <c r="U568" i="17"/>
  <c r="M568" i="17"/>
  <c r="AI568" i="17"/>
  <c r="Y568" i="17"/>
  <c r="O568" i="17"/>
  <c r="AR568" i="17"/>
  <c r="AH568" i="17"/>
  <c r="X568" i="17"/>
  <c r="L568" i="17"/>
  <c r="AQ568" i="17"/>
  <c r="AG568" i="17"/>
  <c r="W568" i="17"/>
  <c r="K568" i="17"/>
  <c r="AF568" i="17"/>
  <c r="Q568" i="17"/>
  <c r="AE568" i="17"/>
  <c r="P568" i="17"/>
  <c r="AB568" i="17"/>
  <c r="J568" i="17"/>
  <c r="T568" i="17"/>
  <c r="AP568" i="17"/>
  <c r="S568" i="17"/>
  <c r="AO568" i="17"/>
  <c r="R568" i="17"/>
  <c r="AN568" i="17"/>
  <c r="AL570" i="17"/>
  <c r="AD570" i="17"/>
  <c r="V570" i="17"/>
  <c r="N570" i="17"/>
  <c r="AK570" i="17"/>
  <c r="AC570" i="17"/>
  <c r="U570" i="17"/>
  <c r="M570" i="17"/>
  <c r="AJ570" i="17"/>
  <c r="Z570" i="17"/>
  <c r="P570" i="17"/>
  <c r="AI570" i="17"/>
  <c r="Y570" i="17"/>
  <c r="O570" i="17"/>
  <c r="AR570" i="17"/>
  <c r="AH570" i="17"/>
  <c r="X570" i="17"/>
  <c r="L570" i="17"/>
  <c r="AO570" i="17"/>
  <c r="W570" i="17"/>
  <c r="AN570" i="17"/>
  <c r="T570" i="17"/>
  <c r="AM570" i="17"/>
  <c r="S570" i="17"/>
  <c r="AA570" i="17"/>
  <c r="R570" i="17"/>
  <c r="AQ570" i="17"/>
  <c r="Q570" i="17"/>
  <c r="AG570" i="17"/>
  <c r="AF570" i="17"/>
  <c r="AE570" i="17"/>
  <c r="AK616" i="17"/>
  <c r="AC616" i="17"/>
  <c r="U616" i="17"/>
  <c r="M616" i="17"/>
  <c r="AR616" i="17"/>
  <c r="AJ616" i="17"/>
  <c r="AB616" i="17"/>
  <c r="T616" i="17"/>
  <c r="L616" i="17"/>
  <c r="AH616" i="17"/>
  <c r="X616" i="17"/>
  <c r="N616" i="17"/>
  <c r="AQ616" i="17"/>
  <c r="AG616" i="17"/>
  <c r="W616" i="17"/>
  <c r="K616" i="17"/>
  <c r="AO616" i="17"/>
  <c r="AA616" i="17"/>
  <c r="O616" i="17"/>
  <c r="AM616" i="17"/>
  <c r="V616" i="17"/>
  <c r="AL616" i="17"/>
  <c r="S616" i="17"/>
  <c r="AI616" i="17"/>
  <c r="R616" i="17"/>
  <c r="AD616" i="17"/>
  <c r="Z616" i="17"/>
  <c r="Y616" i="17"/>
  <c r="AN616" i="17"/>
  <c r="AF616" i="17"/>
  <c r="AE616" i="17"/>
  <c r="AP616" i="17"/>
  <c r="Q616" i="17"/>
  <c r="AN1206" i="17"/>
  <c r="AF1206" i="17"/>
  <c r="X1206" i="17"/>
  <c r="P1206" i="17"/>
  <c r="AM1206" i="17"/>
  <c r="AE1206" i="17"/>
  <c r="W1206" i="17"/>
  <c r="O1206" i="17"/>
  <c r="AL1206" i="17"/>
  <c r="AB1206" i="17"/>
  <c r="R1206" i="17"/>
  <c r="AK1206" i="17"/>
  <c r="AA1206" i="17"/>
  <c r="Q1206" i="17"/>
  <c r="AG1206" i="17"/>
  <c r="S1206" i="17"/>
  <c r="AR1206" i="17"/>
  <c r="AD1206" i="17"/>
  <c r="N1206" i="17"/>
  <c r="AJ1206" i="17"/>
  <c r="T1206" i="17"/>
  <c r="AI1206" i="17"/>
  <c r="M1206" i="17"/>
  <c r="Z1206" i="17"/>
  <c r="Y1206" i="17"/>
  <c r="V1206" i="17"/>
  <c r="AO1206" i="17"/>
  <c r="AH1206" i="17"/>
  <c r="AC1206" i="17"/>
  <c r="L1206" i="17"/>
  <c r="K1206" i="17"/>
  <c r="J1206" i="17"/>
  <c r="AQ1206" i="17"/>
  <c r="AP1206" i="17"/>
  <c r="U1206" i="17"/>
  <c r="AL1555" i="17"/>
  <c r="AD1555" i="17"/>
  <c r="V1555" i="17"/>
  <c r="N1555" i="17"/>
  <c r="AK1555" i="17"/>
  <c r="AC1555" i="17"/>
  <c r="U1555" i="17"/>
  <c r="M1555" i="17"/>
  <c r="AR1555" i="17"/>
  <c r="AH1555" i="17"/>
  <c r="X1555" i="17"/>
  <c r="L1555" i="17"/>
  <c r="AQ1555" i="17"/>
  <c r="AG1555" i="17"/>
  <c r="W1555" i="17"/>
  <c r="K1555" i="17"/>
  <c r="AO1555" i="17"/>
  <c r="AA1555" i="17"/>
  <c r="O1555" i="17"/>
  <c r="AN1555" i="17"/>
  <c r="Z1555" i="17"/>
  <c r="J1555" i="17"/>
  <c r="AB1555" i="17"/>
  <c r="Y1555" i="17"/>
  <c r="AF1555" i="17"/>
  <c r="AE1555" i="17"/>
  <c r="T1555" i="17"/>
  <c r="AJ1555" i="17"/>
  <c r="AI1555" i="17"/>
  <c r="S1555" i="17"/>
  <c r="AP1555" i="17"/>
  <c r="AM1555" i="17"/>
  <c r="R1555" i="17"/>
  <c r="Q1555" i="17"/>
  <c r="P1555" i="17"/>
  <c r="V98" i="17"/>
  <c r="N98" i="17"/>
  <c r="AC98" i="17"/>
  <c r="U98" i="17"/>
  <c r="AH98" i="17" s="1"/>
  <c r="M98" i="17"/>
  <c r="Z98" i="17"/>
  <c r="Y98" i="17"/>
  <c r="X98" i="17"/>
  <c r="L98" i="17"/>
  <c r="AO98" i="17"/>
  <c r="W98" i="17"/>
  <c r="T98" i="17"/>
  <c r="S98" i="17"/>
  <c r="AB98" i="17"/>
  <c r="AA98" i="17"/>
  <c r="R98" i="17"/>
  <c r="K100" i="17"/>
  <c r="V102" i="17"/>
  <c r="N102" i="17"/>
  <c r="AC102" i="17"/>
  <c r="U102" i="17"/>
  <c r="M102" i="17"/>
  <c r="AD102" i="17" s="1"/>
  <c r="AB102" i="17"/>
  <c r="R102" i="17"/>
  <c r="AA102" i="17"/>
  <c r="Q102" i="17"/>
  <c r="Z102" i="17"/>
  <c r="L102" i="17"/>
  <c r="K102" i="17"/>
  <c r="Y102" i="17"/>
  <c r="J102" i="17"/>
  <c r="X102" i="17"/>
  <c r="W102" i="17"/>
  <c r="T102" i="17"/>
  <c r="V142" i="17"/>
  <c r="N142" i="17"/>
  <c r="AC142" i="17"/>
  <c r="U142" i="17"/>
  <c r="AQ142" i="17" s="1"/>
  <c r="M142" i="17"/>
  <c r="AE142" i="17" s="1"/>
  <c r="AH142" i="17"/>
  <c r="X142" i="17"/>
  <c r="L142" i="17"/>
  <c r="W142" i="17"/>
  <c r="K142" i="17"/>
  <c r="T142" i="17"/>
  <c r="J142" i="17"/>
  <c r="S142" i="17"/>
  <c r="R142" i="17"/>
  <c r="Q142" i="17"/>
  <c r="AB142" i="17"/>
  <c r="AA142" i="17"/>
  <c r="K164" i="17"/>
  <c r="R168" i="17"/>
  <c r="Q168" i="17"/>
  <c r="AL358" i="17"/>
  <c r="AD358" i="17"/>
  <c r="V358" i="17"/>
  <c r="N358" i="17"/>
  <c r="AK358" i="17"/>
  <c r="AC358" i="17"/>
  <c r="U358" i="17"/>
  <c r="M358" i="17"/>
  <c r="AN358" i="17"/>
  <c r="AB358" i="17"/>
  <c r="R358" i="17"/>
  <c r="AM358" i="17"/>
  <c r="AA358" i="17"/>
  <c r="Q358" i="17"/>
  <c r="AJ358" i="17"/>
  <c r="Z358" i="17"/>
  <c r="P358" i="17"/>
  <c r="AH358" i="17"/>
  <c r="S358" i="17"/>
  <c r="AG358" i="17"/>
  <c r="O358" i="17"/>
  <c r="AF358" i="17"/>
  <c r="L358" i="17"/>
  <c r="AE358" i="17"/>
  <c r="Y358" i="17"/>
  <c r="X358" i="17"/>
  <c r="W358" i="17"/>
  <c r="T358" i="17"/>
  <c r="K358" i="17"/>
  <c r="AL490" i="17"/>
  <c r="AD490" i="17"/>
  <c r="V490" i="17"/>
  <c r="N490" i="17"/>
  <c r="AK490" i="17"/>
  <c r="AC490" i="17"/>
  <c r="U490" i="17"/>
  <c r="M490" i="17"/>
  <c r="AJ490" i="17"/>
  <c r="Z490" i="17"/>
  <c r="P490" i="17"/>
  <c r="AI490" i="17"/>
  <c r="Y490" i="17"/>
  <c r="O490" i="17"/>
  <c r="AR490" i="17"/>
  <c r="AH490" i="17"/>
  <c r="X490" i="17"/>
  <c r="L490" i="17"/>
  <c r="AO490" i="17"/>
  <c r="W490" i="17"/>
  <c r="AN490" i="17"/>
  <c r="T490" i="17"/>
  <c r="AM490" i="17"/>
  <c r="S490" i="17"/>
  <c r="AQ490" i="17"/>
  <c r="Q490" i="17"/>
  <c r="AP490" i="17"/>
  <c r="K490" i="17"/>
  <c r="AG490" i="17"/>
  <c r="J490" i="17"/>
  <c r="AE490" i="17"/>
  <c r="AB490" i="17"/>
  <c r="AA490" i="17"/>
  <c r="AL522" i="17"/>
  <c r="AD522" i="17"/>
  <c r="V522" i="17"/>
  <c r="N522" i="17"/>
  <c r="AK522" i="17"/>
  <c r="AC522" i="17"/>
  <c r="U522" i="17"/>
  <c r="M522" i="17"/>
  <c r="AJ522" i="17"/>
  <c r="Z522" i="17"/>
  <c r="P522" i="17"/>
  <c r="AI522" i="17"/>
  <c r="Y522" i="17"/>
  <c r="O522" i="17"/>
  <c r="AR522" i="17"/>
  <c r="AH522" i="17"/>
  <c r="X522" i="17"/>
  <c r="L522" i="17"/>
  <c r="AO522" i="17"/>
  <c r="W522" i="17"/>
  <c r="AN522" i="17"/>
  <c r="T522" i="17"/>
  <c r="AM522" i="17"/>
  <c r="S522" i="17"/>
  <c r="AA522" i="17"/>
  <c r="R522" i="17"/>
  <c r="AQ522" i="17"/>
  <c r="Q522" i="17"/>
  <c r="AF522" i="17"/>
  <c r="AE522" i="17"/>
  <c r="AB522" i="17"/>
  <c r="AK608" i="17"/>
  <c r="AC608" i="17"/>
  <c r="U608" i="17"/>
  <c r="M608" i="17"/>
  <c r="AR608" i="17"/>
  <c r="AJ608" i="17"/>
  <c r="AB608" i="17"/>
  <c r="T608" i="17"/>
  <c r="L608" i="17"/>
  <c r="AN608" i="17"/>
  <c r="AD608" i="17"/>
  <c r="R608" i="17"/>
  <c r="AM608" i="17"/>
  <c r="AA608" i="17"/>
  <c r="Q608" i="17"/>
  <c r="AF608" i="17"/>
  <c r="P608" i="17"/>
  <c r="AE608" i="17"/>
  <c r="N608" i="17"/>
  <c r="AQ608" i="17"/>
  <c r="Z608" i="17"/>
  <c r="K608" i="17"/>
  <c r="AP608" i="17"/>
  <c r="Y608" i="17"/>
  <c r="J608" i="17"/>
  <c r="AG608" i="17"/>
  <c r="X608" i="17"/>
  <c r="W608" i="17"/>
  <c r="V608" i="17"/>
  <c r="S608" i="17"/>
  <c r="O608" i="17"/>
  <c r="AN1090" i="17"/>
  <c r="AF1090" i="17"/>
  <c r="X1090" i="17"/>
  <c r="P1090" i="17"/>
  <c r="AM1090" i="17"/>
  <c r="AE1090" i="17"/>
  <c r="W1090" i="17"/>
  <c r="O1090" i="17"/>
  <c r="AK1090" i="17"/>
  <c r="AA1090" i="17"/>
  <c r="Q1090" i="17"/>
  <c r="AJ1090" i="17"/>
  <c r="Z1090" i="17"/>
  <c r="N1090" i="17"/>
  <c r="AH1090" i="17"/>
  <c r="T1090" i="17"/>
  <c r="AG1090" i="17"/>
  <c r="S1090" i="17"/>
  <c r="AD1090" i="17"/>
  <c r="L1090" i="17"/>
  <c r="AC1090" i="17"/>
  <c r="K1090" i="17"/>
  <c r="AQ1090" i="17"/>
  <c r="U1090" i="17"/>
  <c r="AP1090" i="17"/>
  <c r="R1090" i="17"/>
  <c r="AO1090" i="17"/>
  <c r="M1090" i="17"/>
  <c r="AI1090" i="17"/>
  <c r="AB1090" i="17"/>
  <c r="Y1090" i="17"/>
  <c r="AR1090" i="17"/>
  <c r="AL1090" i="17"/>
  <c r="V1090" i="17"/>
  <c r="AR1201" i="17"/>
  <c r="AJ1201" i="17"/>
  <c r="AB1201" i="17"/>
  <c r="T1201" i="17"/>
  <c r="L1201" i="17"/>
  <c r="AQ1201" i="17"/>
  <c r="AI1201" i="17"/>
  <c r="AA1201" i="17"/>
  <c r="S1201" i="17"/>
  <c r="K1201" i="17"/>
  <c r="AL1201" i="17"/>
  <c r="Z1201" i="17"/>
  <c r="P1201" i="17"/>
  <c r="AK1201" i="17"/>
  <c r="Y1201" i="17"/>
  <c r="O1201" i="17"/>
  <c r="AH1201" i="17"/>
  <c r="V1201" i="17"/>
  <c r="AG1201" i="17"/>
  <c r="U1201" i="17"/>
  <c r="AE1201" i="17"/>
  <c r="M1201" i="17"/>
  <c r="AD1201" i="17"/>
  <c r="J1201" i="17"/>
  <c r="W1201" i="17"/>
  <c r="AP1201" i="17"/>
  <c r="R1201" i="17"/>
  <c r="AO1201" i="17"/>
  <c r="Q1201" i="17"/>
  <c r="AM1201" i="17"/>
  <c r="AF1201" i="17"/>
  <c r="AC1201" i="17"/>
  <c r="AN1201" i="17"/>
  <c r="X1201" i="17"/>
  <c r="N1201" i="17"/>
  <c r="AN1266" i="17"/>
  <c r="AF1266" i="17"/>
  <c r="X1266" i="17"/>
  <c r="P1266" i="17"/>
  <c r="AM1266" i="17"/>
  <c r="AE1266" i="17"/>
  <c r="W1266" i="17"/>
  <c r="O1266" i="17"/>
  <c r="AR1266" i="17"/>
  <c r="AH1266" i="17"/>
  <c r="V1266" i="17"/>
  <c r="L1266" i="17"/>
  <c r="AQ1266" i="17"/>
  <c r="AG1266" i="17"/>
  <c r="U1266" i="17"/>
  <c r="K1266" i="17"/>
  <c r="AP1266" i="17"/>
  <c r="AB1266" i="17"/>
  <c r="N1266" i="17"/>
  <c r="AO1266" i="17"/>
  <c r="AA1266" i="17"/>
  <c r="M1266" i="17"/>
  <c r="AI1266" i="17"/>
  <c r="Q1266" i="17"/>
  <c r="AD1266" i="17"/>
  <c r="J1266" i="17"/>
  <c r="AJ1266" i="17"/>
  <c r="AC1266" i="17"/>
  <c r="Z1266" i="17"/>
  <c r="Y1266" i="17"/>
  <c r="T1266" i="17"/>
  <c r="S1266" i="17"/>
  <c r="AL1266" i="17"/>
  <c r="AK1266" i="17"/>
  <c r="R1266" i="17"/>
  <c r="AR1279" i="17"/>
  <c r="AJ1279" i="17"/>
  <c r="AB1279" i="17"/>
  <c r="T1279" i="17"/>
  <c r="L1279" i="17"/>
  <c r="AQ1279" i="17"/>
  <c r="AI1279" i="17"/>
  <c r="AA1279" i="17"/>
  <c r="S1279" i="17"/>
  <c r="K1279" i="17"/>
  <c r="AH1279" i="17"/>
  <c r="X1279" i="17"/>
  <c r="N1279" i="17"/>
  <c r="AG1279" i="17"/>
  <c r="W1279" i="17"/>
  <c r="M1279" i="17"/>
  <c r="AE1279" i="17"/>
  <c r="Q1279" i="17"/>
  <c r="AP1279" i="17"/>
  <c r="AD1279" i="17"/>
  <c r="P1279" i="17"/>
  <c r="AM1279" i="17"/>
  <c r="U1279" i="17"/>
  <c r="AL1279" i="17"/>
  <c r="R1279" i="17"/>
  <c r="Y1279" i="17"/>
  <c r="V1279" i="17"/>
  <c r="AO1279" i="17"/>
  <c r="O1279" i="17"/>
  <c r="AN1279" i="17"/>
  <c r="AK1279" i="17"/>
  <c r="AF1279" i="17"/>
  <c r="AC1279" i="17"/>
  <c r="AN1340" i="17"/>
  <c r="AF1340" i="17"/>
  <c r="X1340" i="17"/>
  <c r="P1340" i="17"/>
  <c r="AM1340" i="17"/>
  <c r="AE1340" i="17"/>
  <c r="W1340" i="17"/>
  <c r="O1340" i="17"/>
  <c r="AJ1340" i="17"/>
  <c r="Z1340" i="17"/>
  <c r="N1340" i="17"/>
  <c r="AI1340" i="17"/>
  <c r="Y1340" i="17"/>
  <c r="M1340" i="17"/>
  <c r="AH1340" i="17"/>
  <c r="T1340" i="17"/>
  <c r="AG1340" i="17"/>
  <c r="S1340" i="17"/>
  <c r="AL1340" i="17"/>
  <c r="R1340" i="17"/>
  <c r="AK1340" i="17"/>
  <c r="Q1340" i="17"/>
  <c r="AQ1340" i="17"/>
  <c r="U1340" i="17"/>
  <c r="AP1340" i="17"/>
  <c r="L1340" i="17"/>
  <c r="AO1340" i="17"/>
  <c r="K1340" i="17"/>
  <c r="AB1340" i="17"/>
  <c r="AA1340" i="17"/>
  <c r="V1340" i="17"/>
  <c r="AR1340" i="17"/>
  <c r="AD1340" i="17"/>
  <c r="AC1340" i="17"/>
  <c r="J1340" i="17"/>
  <c r="AL1567" i="17"/>
  <c r="AD1567" i="17"/>
  <c r="V1567" i="17"/>
  <c r="N1567" i="17"/>
  <c r="AK1567" i="17"/>
  <c r="AC1567" i="17"/>
  <c r="U1567" i="17"/>
  <c r="M1567" i="17"/>
  <c r="AR1567" i="17"/>
  <c r="AH1567" i="17"/>
  <c r="X1567" i="17"/>
  <c r="L1567" i="17"/>
  <c r="AQ1567" i="17"/>
  <c r="AG1567" i="17"/>
  <c r="W1567" i="17"/>
  <c r="K1567" i="17"/>
  <c r="AE1567" i="17"/>
  <c r="Q1567" i="17"/>
  <c r="AP1567" i="17"/>
  <c r="AB1567" i="17"/>
  <c r="P1567" i="17"/>
  <c r="AO1567" i="17"/>
  <c r="Y1567" i="17"/>
  <c r="AN1567" i="17"/>
  <c r="T1567" i="17"/>
  <c r="AA1567" i="17"/>
  <c r="Z1567" i="17"/>
  <c r="S1567" i="17"/>
  <c r="AI1567" i="17"/>
  <c r="AF1567" i="17"/>
  <c r="R1567" i="17"/>
  <c r="AJ1567" i="17"/>
  <c r="O1567" i="17"/>
  <c r="J1567" i="17"/>
  <c r="AM1567" i="17"/>
  <c r="R138" i="17"/>
  <c r="Q138" i="17"/>
  <c r="V162" i="17"/>
  <c r="N162" i="17"/>
  <c r="AC162" i="17"/>
  <c r="U162" i="17"/>
  <c r="AH162" i="17" s="1"/>
  <c r="M162" i="17"/>
  <c r="Z162" i="17"/>
  <c r="Y162" i="17"/>
  <c r="X162" i="17"/>
  <c r="L162" i="17"/>
  <c r="Q162" i="17"/>
  <c r="K162" i="17"/>
  <c r="AB162" i="17"/>
  <c r="J162" i="17"/>
  <c r="AA162" i="17"/>
  <c r="W162" i="17"/>
  <c r="T162" i="17"/>
  <c r="V166" i="17"/>
  <c r="N166" i="17"/>
  <c r="AC166" i="17"/>
  <c r="U166" i="17"/>
  <c r="AH166" i="17" s="1"/>
  <c r="M166" i="17"/>
  <c r="AE166" i="17" s="1"/>
  <c r="AB166" i="17"/>
  <c r="R166" i="17"/>
  <c r="AG166" i="17" s="1"/>
  <c r="AA166" i="17"/>
  <c r="Q166" i="17"/>
  <c r="Z166" i="17"/>
  <c r="AO166" i="17"/>
  <c r="W166" i="17"/>
  <c r="T166" i="17"/>
  <c r="S166" i="17"/>
  <c r="L166" i="17"/>
  <c r="K166" i="17"/>
  <c r="AL176" i="17"/>
  <c r="AD176" i="17"/>
  <c r="V176" i="17"/>
  <c r="N176" i="17"/>
  <c r="AK176" i="17"/>
  <c r="AC176" i="17"/>
  <c r="U176" i="17"/>
  <c r="M176" i="17"/>
  <c r="AI176" i="17"/>
  <c r="Y176" i="17"/>
  <c r="O176" i="17"/>
  <c r="AR176" i="17"/>
  <c r="AH176" i="17"/>
  <c r="X176" i="17"/>
  <c r="L176" i="17"/>
  <c r="AQ176" i="17"/>
  <c r="AG176" i="17"/>
  <c r="W176" i="17"/>
  <c r="K176" i="17"/>
  <c r="AO176" i="17"/>
  <c r="Z176" i="17"/>
  <c r="AN176" i="17"/>
  <c r="T176" i="17"/>
  <c r="AM176" i="17"/>
  <c r="S176" i="17"/>
  <c r="AB176" i="17"/>
  <c r="AA176" i="17"/>
  <c r="R176" i="17"/>
  <c r="AL194" i="17"/>
  <c r="AD194" i="17"/>
  <c r="V194" i="17"/>
  <c r="N194" i="17"/>
  <c r="AK194" i="17"/>
  <c r="AC194" i="17"/>
  <c r="U194" i="17"/>
  <c r="M194" i="17"/>
  <c r="AJ194" i="17"/>
  <c r="Z194" i="17"/>
  <c r="P194" i="17"/>
  <c r="AI194" i="17"/>
  <c r="Y194" i="17"/>
  <c r="O194" i="17"/>
  <c r="AR194" i="17"/>
  <c r="AH194" i="17"/>
  <c r="X194" i="17"/>
  <c r="L194" i="17"/>
  <c r="AF194" i="17"/>
  <c r="Q194" i="17"/>
  <c r="AE194" i="17"/>
  <c r="K194" i="17"/>
  <c r="AQ194" i="17"/>
  <c r="AB194" i="17"/>
  <c r="J194" i="17"/>
  <c r="W194" i="17"/>
  <c r="T194" i="17"/>
  <c r="AP194" i="17"/>
  <c r="S194" i="17"/>
  <c r="J358" i="17"/>
  <c r="AL368" i="17"/>
  <c r="AD368" i="17"/>
  <c r="V368" i="17"/>
  <c r="N368" i="17"/>
  <c r="AK368" i="17"/>
  <c r="AC368" i="17"/>
  <c r="U368" i="17"/>
  <c r="M368" i="17"/>
  <c r="AR368" i="17"/>
  <c r="AH368" i="17"/>
  <c r="X368" i="17"/>
  <c r="L368" i="17"/>
  <c r="AQ368" i="17"/>
  <c r="AG368" i="17"/>
  <c r="W368" i="17"/>
  <c r="K368" i="17"/>
  <c r="AP368" i="17"/>
  <c r="AF368" i="17"/>
  <c r="T368" i="17"/>
  <c r="J368" i="17"/>
  <c r="AJ368" i="17"/>
  <c r="R368" i="17"/>
  <c r="AI368" i="17"/>
  <c r="Q368" i="17"/>
  <c r="AE368" i="17"/>
  <c r="P368" i="17"/>
  <c r="AA368" i="17"/>
  <c r="Z368" i="17"/>
  <c r="Y368" i="17"/>
  <c r="AN368" i="17"/>
  <c r="AM368" i="17"/>
  <c r="AB368" i="17"/>
  <c r="R490" i="17"/>
  <c r="AL506" i="17"/>
  <c r="AD506" i="17"/>
  <c r="V506" i="17"/>
  <c r="N506" i="17"/>
  <c r="AK506" i="17"/>
  <c r="AC506" i="17"/>
  <c r="U506" i="17"/>
  <c r="M506" i="17"/>
  <c r="AJ506" i="17"/>
  <c r="Z506" i="17"/>
  <c r="P506" i="17"/>
  <c r="AI506" i="17"/>
  <c r="Y506" i="17"/>
  <c r="O506" i="17"/>
  <c r="AR506" i="17"/>
  <c r="AH506" i="17"/>
  <c r="X506" i="17"/>
  <c r="L506" i="17"/>
  <c r="AO506" i="17"/>
  <c r="W506" i="17"/>
  <c r="AN506" i="17"/>
  <c r="T506" i="17"/>
  <c r="AM506" i="17"/>
  <c r="S506" i="17"/>
  <c r="R506" i="17"/>
  <c r="AQ506" i="17"/>
  <c r="Q506" i="17"/>
  <c r="AP506" i="17"/>
  <c r="K506" i="17"/>
  <c r="AE506" i="17"/>
  <c r="AB506" i="17"/>
  <c r="AA506" i="17"/>
  <c r="AL520" i="17"/>
  <c r="AD520" i="17"/>
  <c r="V520" i="17"/>
  <c r="N520" i="17"/>
  <c r="AK520" i="17"/>
  <c r="AC520" i="17"/>
  <c r="U520" i="17"/>
  <c r="M520" i="17"/>
  <c r="AI520" i="17"/>
  <c r="Y520" i="17"/>
  <c r="O520" i="17"/>
  <c r="AR520" i="17"/>
  <c r="AH520" i="17"/>
  <c r="X520" i="17"/>
  <c r="L520" i="17"/>
  <c r="AQ520" i="17"/>
  <c r="AG520" i="17"/>
  <c r="W520" i="17"/>
  <c r="K520" i="17"/>
  <c r="AF520" i="17"/>
  <c r="Q520" i="17"/>
  <c r="AE520" i="17"/>
  <c r="P520" i="17"/>
  <c r="AB520" i="17"/>
  <c r="J520" i="17"/>
  <c r="T520" i="17"/>
  <c r="AP520" i="17"/>
  <c r="S520" i="17"/>
  <c r="AO520" i="17"/>
  <c r="R520" i="17"/>
  <c r="AN520" i="17"/>
  <c r="AM520" i="17"/>
  <c r="J522" i="17"/>
  <c r="AK750" i="17"/>
  <c r="AC750" i="17"/>
  <c r="U750" i="17"/>
  <c r="M750" i="17"/>
  <c r="AR750" i="17"/>
  <c r="AJ750" i="17"/>
  <c r="AB750" i="17"/>
  <c r="T750" i="17"/>
  <c r="L750" i="17"/>
  <c r="AQ750" i="17"/>
  <c r="AG750" i="17"/>
  <c r="W750" i="17"/>
  <c r="K750" i="17"/>
  <c r="AP750" i="17"/>
  <c r="AF750" i="17"/>
  <c r="V750" i="17"/>
  <c r="J750" i="17"/>
  <c r="AO750" i="17"/>
  <c r="AA750" i="17"/>
  <c r="O750" i="17"/>
  <c r="AN750" i="17"/>
  <c r="Y750" i="17"/>
  <c r="AM750" i="17"/>
  <c r="X750" i="17"/>
  <c r="AL750" i="17"/>
  <c r="S750" i="17"/>
  <c r="Q750" i="17"/>
  <c r="P750" i="17"/>
  <c r="AI750" i="17"/>
  <c r="N750" i="17"/>
  <c r="AD750" i="17"/>
  <c r="Z750" i="17"/>
  <c r="R750" i="17"/>
  <c r="AH750" i="17"/>
  <c r="AE750" i="17"/>
  <c r="J1090" i="17"/>
  <c r="AR1263" i="17"/>
  <c r="AJ1263" i="17"/>
  <c r="AB1263" i="17"/>
  <c r="T1263" i="17"/>
  <c r="L1263" i="17"/>
  <c r="AQ1263" i="17"/>
  <c r="AI1263" i="17"/>
  <c r="AA1263" i="17"/>
  <c r="S1263" i="17"/>
  <c r="K1263" i="17"/>
  <c r="AH1263" i="17"/>
  <c r="X1263" i="17"/>
  <c r="N1263" i="17"/>
  <c r="AG1263" i="17"/>
  <c r="W1263" i="17"/>
  <c r="M1263" i="17"/>
  <c r="AE1263" i="17"/>
  <c r="Q1263" i="17"/>
  <c r="AP1263" i="17"/>
  <c r="AD1263" i="17"/>
  <c r="P1263" i="17"/>
  <c r="AK1263" i="17"/>
  <c r="O1263" i="17"/>
  <c r="AF1263" i="17"/>
  <c r="J1263" i="17"/>
  <c r="AL1263" i="17"/>
  <c r="AC1263" i="17"/>
  <c r="Z1263" i="17"/>
  <c r="V1263" i="17"/>
  <c r="U1263" i="17"/>
  <c r="R1263" i="17"/>
  <c r="AO1263" i="17"/>
  <c r="AN1263" i="17"/>
  <c r="AM1263" i="17"/>
  <c r="AR1267" i="17"/>
  <c r="AJ1267" i="17"/>
  <c r="AB1267" i="17"/>
  <c r="T1267" i="17"/>
  <c r="L1267" i="17"/>
  <c r="AQ1267" i="17"/>
  <c r="AI1267" i="17"/>
  <c r="AA1267" i="17"/>
  <c r="S1267" i="17"/>
  <c r="K1267" i="17"/>
  <c r="AN1267" i="17"/>
  <c r="AD1267" i="17"/>
  <c r="R1267" i="17"/>
  <c r="AM1267" i="17"/>
  <c r="AC1267" i="17"/>
  <c r="Q1267" i="17"/>
  <c r="AH1267" i="17"/>
  <c r="V1267" i="17"/>
  <c r="AG1267" i="17"/>
  <c r="U1267" i="17"/>
  <c r="AK1267" i="17"/>
  <c r="O1267" i="17"/>
  <c r="AF1267" i="17"/>
  <c r="N1267" i="17"/>
  <c r="X1267" i="17"/>
  <c r="W1267" i="17"/>
  <c r="AP1267" i="17"/>
  <c r="P1267" i="17"/>
  <c r="AE1267" i="17"/>
  <c r="Z1267" i="17"/>
  <c r="Y1267" i="17"/>
  <c r="AL1267" i="17"/>
  <c r="M1267" i="17"/>
  <c r="J1267" i="17"/>
  <c r="J1279" i="17"/>
  <c r="AN1284" i="17"/>
  <c r="AF1284" i="17"/>
  <c r="X1284" i="17"/>
  <c r="P1284" i="17"/>
  <c r="AM1284" i="17"/>
  <c r="AE1284" i="17"/>
  <c r="W1284" i="17"/>
  <c r="O1284" i="17"/>
  <c r="AJ1284" i="17"/>
  <c r="Z1284" i="17"/>
  <c r="N1284" i="17"/>
  <c r="AI1284" i="17"/>
  <c r="Y1284" i="17"/>
  <c r="M1284" i="17"/>
  <c r="AP1284" i="17"/>
  <c r="AB1284" i="17"/>
  <c r="L1284" i="17"/>
  <c r="AO1284" i="17"/>
  <c r="AA1284" i="17"/>
  <c r="K1284" i="17"/>
  <c r="AQ1284" i="17"/>
  <c r="U1284" i="17"/>
  <c r="AL1284" i="17"/>
  <c r="T1284" i="17"/>
  <c r="AC1284" i="17"/>
  <c r="V1284" i="17"/>
  <c r="S1284" i="17"/>
  <c r="AH1284" i="17"/>
  <c r="AG1284" i="17"/>
  <c r="AD1284" i="17"/>
  <c r="AR1284" i="17"/>
  <c r="AK1284" i="17"/>
  <c r="R1284" i="17"/>
  <c r="Q1284" i="17"/>
  <c r="J1284" i="17"/>
  <c r="M4549" i="16"/>
  <c r="E4549" i="16"/>
  <c r="K4549" i="16"/>
  <c r="J4549" i="16"/>
  <c r="G4554" i="16"/>
  <c r="O4555" i="16"/>
  <c r="G4555" i="16"/>
  <c r="N4555" i="16"/>
  <c r="E4555" i="16"/>
  <c r="K4555" i="16"/>
  <c r="I4557" i="16"/>
  <c r="H4565" i="16"/>
  <c r="L4566" i="16"/>
  <c r="N4566" i="16"/>
  <c r="E4566" i="16"/>
  <c r="J4566" i="16"/>
  <c r="I4568" i="16"/>
  <c r="O4571" i="16"/>
  <c r="G4571" i="16"/>
  <c r="I4571" i="16"/>
  <c r="T4571" i="16"/>
  <c r="H4571" i="16"/>
  <c r="L4571" i="16"/>
  <c r="P4578" i="16"/>
  <c r="H4578" i="16"/>
  <c r="M4578" i="16"/>
  <c r="L4578" i="16"/>
  <c r="J4578" i="16"/>
  <c r="H4589" i="16"/>
  <c r="O4595" i="16"/>
  <c r="G4595" i="16"/>
  <c r="T4595" i="16"/>
  <c r="H4595" i="16"/>
  <c r="P4595" i="16"/>
  <c r="F4595" i="16"/>
  <c r="L4595" i="16"/>
  <c r="P4602" i="16"/>
  <c r="H4602" i="16"/>
  <c r="L4602" i="16"/>
  <c r="K4602" i="16"/>
  <c r="J4602" i="16"/>
  <c r="I4604" i="16"/>
  <c r="J4618" i="16"/>
  <c r="I4628" i="16"/>
  <c r="I4642" i="16"/>
  <c r="M4645" i="16"/>
  <c r="E4645" i="16"/>
  <c r="I4645" i="16"/>
  <c r="T4645" i="16"/>
  <c r="H4645" i="16"/>
  <c r="P4645" i="16"/>
  <c r="G4645" i="16"/>
  <c r="N4645" i="16"/>
  <c r="I4656" i="16"/>
  <c r="J4668" i="16"/>
  <c r="M4677" i="16"/>
  <c r="E4677" i="16"/>
  <c r="N4677" i="16"/>
  <c r="L4677" i="16"/>
  <c r="K4677" i="16"/>
  <c r="J4677" i="16"/>
  <c r="K4679" i="16"/>
  <c r="N4679" i="16"/>
  <c r="E4679" i="16"/>
  <c r="M4679" i="16"/>
  <c r="L4679" i="16"/>
  <c r="J4679" i="16"/>
  <c r="K4684" i="16"/>
  <c r="J4693" i="16"/>
  <c r="J4696" i="16"/>
  <c r="P4696" i="16"/>
  <c r="G4696" i="16"/>
  <c r="O4696" i="16"/>
  <c r="F4696" i="16"/>
  <c r="N4696" i="16"/>
  <c r="E4696" i="16"/>
  <c r="M4696" i="16"/>
  <c r="J4707" i="16"/>
  <c r="H4716" i="16"/>
  <c r="K4723" i="16"/>
  <c r="P4730" i="16"/>
  <c r="H4730" i="16"/>
  <c r="M4730" i="16"/>
  <c r="L4730" i="16"/>
  <c r="K4730" i="16"/>
  <c r="J4730" i="16"/>
  <c r="J4734" i="16"/>
  <c r="O4755" i="16"/>
  <c r="G4755" i="16"/>
  <c r="M4755" i="16"/>
  <c r="L4755" i="16"/>
  <c r="K4755" i="16"/>
  <c r="J4755" i="16"/>
  <c r="J4768" i="16"/>
  <c r="M4768" i="16"/>
  <c r="L4768" i="16"/>
  <c r="K4768" i="16"/>
  <c r="I4768" i="16"/>
  <c r="K4773" i="16"/>
  <c r="H4805" i="16"/>
  <c r="H4807" i="16"/>
  <c r="K4823" i="16"/>
  <c r="P4823" i="16"/>
  <c r="G4823" i="16"/>
  <c r="O4823" i="16"/>
  <c r="F4823" i="16"/>
  <c r="N4823" i="16"/>
  <c r="E4823" i="16"/>
  <c r="M4823" i="16"/>
  <c r="K4824" i="16"/>
  <c r="K4831" i="16"/>
  <c r="M4831" i="16"/>
  <c r="L4831" i="16"/>
  <c r="J4831" i="16"/>
  <c r="I4831" i="16"/>
  <c r="M4845" i="16"/>
  <c r="E4845" i="16"/>
  <c r="O4845" i="16"/>
  <c r="F4845" i="16"/>
  <c r="N4845" i="16"/>
  <c r="L4845" i="16"/>
  <c r="K4845" i="16"/>
  <c r="G4858" i="16"/>
  <c r="J4864" i="16"/>
  <c r="T4864" i="16"/>
  <c r="H4864" i="16"/>
  <c r="P4864" i="16"/>
  <c r="G4864" i="16"/>
  <c r="O4864" i="16"/>
  <c r="F4864" i="16"/>
  <c r="M4864" i="16"/>
  <c r="O4875" i="16"/>
  <c r="G4875" i="16"/>
  <c r="T4875" i="16"/>
  <c r="H4875" i="16"/>
  <c r="P4875" i="16"/>
  <c r="F4875" i="16"/>
  <c r="N4875" i="16"/>
  <c r="E4875" i="16"/>
  <c r="M4875" i="16"/>
  <c r="H4883" i="16"/>
  <c r="P4890" i="16"/>
  <c r="H4890" i="16"/>
  <c r="I4890" i="16"/>
  <c r="T4890" i="16"/>
  <c r="G4890" i="16"/>
  <c r="O4890" i="16"/>
  <c r="F4890" i="16"/>
  <c r="M4890" i="16"/>
  <c r="L4894" i="16"/>
  <c r="M4894" i="16"/>
  <c r="K4894" i="16"/>
  <c r="J4894" i="16"/>
  <c r="I4894" i="16"/>
  <c r="G4896" i="16"/>
  <c r="L4910" i="16"/>
  <c r="O4910" i="16"/>
  <c r="F4910" i="16"/>
  <c r="N4910" i="16"/>
  <c r="E4910" i="16"/>
  <c r="M4910" i="16"/>
  <c r="K4910" i="16"/>
  <c r="P4914" i="16"/>
  <c r="H4914" i="16"/>
  <c r="T4914" i="16"/>
  <c r="G4914" i="16"/>
  <c r="O4914" i="16"/>
  <c r="F4914" i="16"/>
  <c r="N4914" i="16"/>
  <c r="E4914" i="16"/>
  <c r="M4914" i="16"/>
  <c r="M4925" i="16"/>
  <c r="E4925" i="16"/>
  <c r="T4925" i="16"/>
  <c r="H4925" i="16"/>
  <c r="P4925" i="16"/>
  <c r="G4925" i="16"/>
  <c r="O4925" i="16"/>
  <c r="F4925" i="16"/>
  <c r="N4925" i="16"/>
  <c r="L4934" i="16"/>
  <c r="N4934" i="16"/>
  <c r="E4934" i="16"/>
  <c r="M4934" i="16"/>
  <c r="K4934" i="16"/>
  <c r="J4934" i="16"/>
  <c r="J4936" i="16"/>
  <c r="N4936" i="16"/>
  <c r="E4936" i="16"/>
  <c r="M4936" i="16"/>
  <c r="L4936" i="16"/>
  <c r="K4936" i="16"/>
  <c r="L4950" i="16"/>
  <c r="P4950" i="16"/>
  <c r="G4950" i="16"/>
  <c r="O4950" i="16"/>
  <c r="F4950" i="16"/>
  <c r="N4950" i="16"/>
  <c r="E4950" i="16"/>
  <c r="M4950" i="16"/>
  <c r="J4951" i="16"/>
  <c r="G4959" i="16"/>
  <c r="N4964" i="16"/>
  <c r="F4964" i="16"/>
  <c r="T4964" i="16"/>
  <c r="H4964" i="16"/>
  <c r="P4964" i="16"/>
  <c r="G4964" i="16"/>
  <c r="O4964" i="16"/>
  <c r="E4964" i="16"/>
  <c r="M4964" i="16"/>
  <c r="I4973" i="16"/>
  <c r="K4975" i="16"/>
  <c r="O4975" i="16"/>
  <c r="F4975" i="16"/>
  <c r="N4975" i="16"/>
  <c r="E4975" i="16"/>
  <c r="M4975" i="16"/>
  <c r="L4975" i="16"/>
  <c r="O4987" i="16"/>
  <c r="G4987" i="16"/>
  <c r="N4987" i="16"/>
  <c r="E4987" i="16"/>
  <c r="M4987" i="16"/>
  <c r="L4987" i="16"/>
  <c r="K4987" i="16"/>
  <c r="K4991" i="16"/>
  <c r="T4991" i="16"/>
  <c r="H4991" i="16"/>
  <c r="P4991" i="16"/>
  <c r="G4991" i="16"/>
  <c r="O4991" i="16"/>
  <c r="F4991" i="16"/>
  <c r="M4991" i="16"/>
  <c r="K4992" i="16"/>
  <c r="P5002" i="16"/>
  <c r="H5002" i="16"/>
  <c r="O5002" i="16"/>
  <c r="F5002" i="16"/>
  <c r="N5002" i="16"/>
  <c r="E5002" i="16"/>
  <c r="M5002" i="16"/>
  <c r="L5002" i="16"/>
  <c r="K5003" i="16"/>
  <c r="N5012" i="16"/>
  <c r="F5012" i="16"/>
  <c r="O5012" i="16"/>
  <c r="E5012" i="16"/>
  <c r="M5012" i="16"/>
  <c r="L5012" i="16"/>
  <c r="K5012" i="16"/>
  <c r="K5018" i="16"/>
  <c r="G5022" i="16"/>
  <c r="P5026" i="16"/>
  <c r="H5026" i="16"/>
  <c r="O5026" i="16"/>
  <c r="G5026" i="16"/>
  <c r="T5026" i="16"/>
  <c r="E5026" i="16"/>
  <c r="N5026" i="16"/>
  <c r="M5026" i="16"/>
  <c r="L5026" i="16"/>
  <c r="L5030" i="16"/>
  <c r="K5030" i="16"/>
  <c r="H5030" i="16"/>
  <c r="T5030" i="16"/>
  <c r="G5030" i="16"/>
  <c r="P5030" i="16"/>
  <c r="F5030" i="16"/>
  <c r="N5030" i="16"/>
  <c r="J5034" i="16"/>
  <c r="J5038" i="16"/>
  <c r="P5058" i="16"/>
  <c r="H5058" i="16"/>
  <c r="O5058" i="16"/>
  <c r="G5058" i="16"/>
  <c r="T5058" i="16"/>
  <c r="E5058" i="16"/>
  <c r="N5058" i="16"/>
  <c r="M5058" i="16"/>
  <c r="L5058" i="16"/>
  <c r="L5062" i="16"/>
  <c r="K5062" i="16"/>
  <c r="H5062" i="16"/>
  <c r="T5062" i="16"/>
  <c r="G5062" i="16"/>
  <c r="P5062" i="16"/>
  <c r="F5062" i="16"/>
  <c r="N5062" i="16"/>
  <c r="J5066" i="16"/>
  <c r="J5070" i="16"/>
  <c r="P5090" i="16"/>
  <c r="H5090" i="16"/>
  <c r="O5090" i="16"/>
  <c r="G5090" i="16"/>
  <c r="T5090" i="16"/>
  <c r="E5090" i="16"/>
  <c r="N5090" i="16"/>
  <c r="M5090" i="16"/>
  <c r="L5090" i="16"/>
  <c r="L5094" i="16"/>
  <c r="K5094" i="16"/>
  <c r="H5094" i="16"/>
  <c r="T5094" i="16"/>
  <c r="G5094" i="16"/>
  <c r="P5094" i="16"/>
  <c r="F5094" i="16"/>
  <c r="N5094" i="16"/>
  <c r="J5098" i="16"/>
  <c r="J5102" i="16"/>
  <c r="P5122" i="16"/>
  <c r="H5122" i="16"/>
  <c r="O5122" i="16"/>
  <c r="G5122" i="16"/>
  <c r="T5122" i="16"/>
  <c r="E5122" i="16"/>
  <c r="N5122" i="16"/>
  <c r="M5122" i="16"/>
  <c r="L5122" i="16"/>
  <c r="L5126" i="16"/>
  <c r="K5126" i="16"/>
  <c r="H5126" i="16"/>
  <c r="T5126" i="16"/>
  <c r="G5126" i="16"/>
  <c r="P5126" i="16"/>
  <c r="F5126" i="16"/>
  <c r="N5126" i="16"/>
  <c r="J5130" i="16"/>
  <c r="J5134" i="16"/>
  <c r="P5154" i="16"/>
  <c r="H5154" i="16"/>
  <c r="O5154" i="16"/>
  <c r="G5154" i="16"/>
  <c r="T5154" i="16"/>
  <c r="E5154" i="16"/>
  <c r="N5154" i="16"/>
  <c r="M5154" i="16"/>
  <c r="L5154" i="16"/>
  <c r="L5158" i="16"/>
  <c r="K5158" i="16"/>
  <c r="H5158" i="16"/>
  <c r="T5158" i="16"/>
  <c r="G5158" i="16"/>
  <c r="P5158" i="16"/>
  <c r="F5158" i="16"/>
  <c r="N5158" i="16"/>
  <c r="J5162" i="16"/>
  <c r="J5166" i="16"/>
  <c r="P5186" i="16"/>
  <c r="H5186" i="16"/>
  <c r="O5186" i="16"/>
  <c r="G5186" i="16"/>
  <c r="T5186" i="16"/>
  <c r="E5186" i="16"/>
  <c r="N5186" i="16"/>
  <c r="M5186" i="16"/>
  <c r="L5186" i="16"/>
  <c r="L5190" i="16"/>
  <c r="K5190" i="16"/>
  <c r="H5190" i="16"/>
  <c r="T5190" i="16"/>
  <c r="G5190" i="16"/>
  <c r="P5190" i="16"/>
  <c r="F5190" i="16"/>
  <c r="N5190" i="16"/>
  <c r="J5194" i="16"/>
  <c r="J5198" i="16"/>
  <c r="P5218" i="16"/>
  <c r="H5218" i="16"/>
  <c r="O5218" i="16"/>
  <c r="G5218" i="16"/>
  <c r="T5218" i="16"/>
  <c r="E5218" i="16"/>
  <c r="N5218" i="16"/>
  <c r="M5218" i="16"/>
  <c r="L5218" i="16"/>
  <c r="L5222" i="16"/>
  <c r="K5222" i="16"/>
  <c r="H5222" i="16"/>
  <c r="T5222" i="16"/>
  <c r="G5222" i="16"/>
  <c r="P5222" i="16"/>
  <c r="F5222" i="16"/>
  <c r="N5222" i="16"/>
  <c r="J5226" i="16"/>
  <c r="J5230" i="16"/>
  <c r="L5251" i="16"/>
  <c r="M5253" i="16"/>
  <c r="E5253" i="16"/>
  <c r="L5253" i="16"/>
  <c r="T5253" i="16"/>
  <c r="G5253" i="16"/>
  <c r="P5253" i="16"/>
  <c r="F5253" i="16"/>
  <c r="O5253" i="16"/>
  <c r="N5253" i="16"/>
  <c r="O5267" i="16"/>
  <c r="G5267" i="16"/>
  <c r="N5267" i="16"/>
  <c r="F5267" i="16"/>
  <c r="J5267" i="16"/>
  <c r="I5267" i="16"/>
  <c r="H5267" i="16"/>
  <c r="P5267" i="16"/>
  <c r="J5274" i="16"/>
  <c r="J5278" i="16"/>
  <c r="P5290" i="16"/>
  <c r="H5290" i="16"/>
  <c r="O5290" i="16"/>
  <c r="G5290" i="16"/>
  <c r="T5290" i="16"/>
  <c r="E5290" i="16"/>
  <c r="N5290" i="16"/>
  <c r="M5290" i="16"/>
  <c r="L5290" i="16"/>
  <c r="L5294" i="16"/>
  <c r="K5294" i="16"/>
  <c r="H5294" i="16"/>
  <c r="T5294" i="16"/>
  <c r="G5294" i="16"/>
  <c r="P5294" i="16"/>
  <c r="F5294" i="16"/>
  <c r="N5294" i="16"/>
  <c r="J5301" i="16"/>
  <c r="L5315" i="16"/>
  <c r="M5317" i="16"/>
  <c r="E5317" i="16"/>
  <c r="L5317" i="16"/>
  <c r="T5317" i="16"/>
  <c r="G5317" i="16"/>
  <c r="P5317" i="16"/>
  <c r="F5317" i="16"/>
  <c r="O5317" i="16"/>
  <c r="N5317" i="16"/>
  <c r="O5331" i="16"/>
  <c r="G5331" i="16"/>
  <c r="N5331" i="16"/>
  <c r="F5331" i="16"/>
  <c r="J5331" i="16"/>
  <c r="I5331" i="16"/>
  <c r="H5331" i="16"/>
  <c r="P5331" i="16"/>
  <c r="J5338" i="16"/>
  <c r="J5342" i="16"/>
  <c r="P5354" i="16"/>
  <c r="H5354" i="16"/>
  <c r="O5354" i="16"/>
  <c r="G5354" i="16"/>
  <c r="T5354" i="16"/>
  <c r="E5354" i="16"/>
  <c r="N5354" i="16"/>
  <c r="M5354" i="16"/>
  <c r="L5354" i="16"/>
  <c r="L5358" i="16"/>
  <c r="K5358" i="16"/>
  <c r="H5358" i="16"/>
  <c r="T5358" i="16"/>
  <c r="G5358" i="16"/>
  <c r="P5358" i="16"/>
  <c r="F5358" i="16"/>
  <c r="N5358" i="16"/>
  <c r="J5365" i="16"/>
  <c r="L5379" i="16"/>
  <c r="M5381" i="16"/>
  <c r="E5381" i="16"/>
  <c r="L5381" i="16"/>
  <c r="T5381" i="16"/>
  <c r="G5381" i="16"/>
  <c r="P5381" i="16"/>
  <c r="F5381" i="16"/>
  <c r="O5381" i="16"/>
  <c r="N5381" i="16"/>
  <c r="O5395" i="16"/>
  <c r="G5395" i="16"/>
  <c r="N5395" i="16"/>
  <c r="F5395" i="16"/>
  <c r="J5395" i="16"/>
  <c r="I5395" i="16"/>
  <c r="H5395" i="16"/>
  <c r="P5395" i="16"/>
  <c r="J5402" i="16"/>
  <c r="J5406" i="16"/>
  <c r="P5418" i="16"/>
  <c r="H5418" i="16"/>
  <c r="O5418" i="16"/>
  <c r="G5418" i="16"/>
  <c r="T5418" i="16"/>
  <c r="E5418" i="16"/>
  <c r="N5418" i="16"/>
  <c r="M5418" i="16"/>
  <c r="L5418" i="16"/>
  <c r="L5422" i="16"/>
  <c r="K5422" i="16"/>
  <c r="H5422" i="16"/>
  <c r="T5422" i="16"/>
  <c r="G5422" i="16"/>
  <c r="P5422" i="16"/>
  <c r="F5422" i="16"/>
  <c r="N5422" i="16"/>
  <c r="J5429" i="16"/>
  <c r="L5443" i="16"/>
  <c r="M5445" i="16"/>
  <c r="E5445" i="16"/>
  <c r="L5445" i="16"/>
  <c r="T5445" i="16"/>
  <c r="G5445" i="16"/>
  <c r="P5445" i="16"/>
  <c r="F5445" i="16"/>
  <c r="O5445" i="16"/>
  <c r="N5445" i="16"/>
  <c r="O5459" i="16"/>
  <c r="G5459" i="16"/>
  <c r="N5459" i="16"/>
  <c r="F5459" i="16"/>
  <c r="J5459" i="16"/>
  <c r="I5459" i="16"/>
  <c r="H5459" i="16"/>
  <c r="P5459" i="16"/>
  <c r="J5466" i="16"/>
  <c r="J5470" i="16"/>
  <c r="P5482" i="16"/>
  <c r="H5482" i="16"/>
  <c r="O5482" i="16"/>
  <c r="G5482" i="16"/>
  <c r="T5482" i="16"/>
  <c r="E5482" i="16"/>
  <c r="N5482" i="16"/>
  <c r="M5482" i="16"/>
  <c r="L5482" i="16"/>
  <c r="L5486" i="16"/>
  <c r="K5486" i="16"/>
  <c r="H5486" i="16"/>
  <c r="T5486" i="16"/>
  <c r="G5486" i="16"/>
  <c r="P5486" i="16"/>
  <c r="F5486" i="16"/>
  <c r="N5486" i="16"/>
  <c r="J5493" i="16"/>
  <c r="L5507" i="16"/>
  <c r="M5509" i="16"/>
  <c r="E5509" i="16"/>
  <c r="L5509" i="16"/>
  <c r="T5509" i="16"/>
  <c r="G5509" i="16"/>
  <c r="P5509" i="16"/>
  <c r="F5509" i="16"/>
  <c r="O5509" i="16"/>
  <c r="N5509" i="16"/>
  <c r="O5523" i="16"/>
  <c r="G5523" i="16"/>
  <c r="N5523" i="16"/>
  <c r="F5523" i="16"/>
  <c r="J5523" i="16"/>
  <c r="I5523" i="16"/>
  <c r="H5523" i="16"/>
  <c r="P5523" i="16"/>
  <c r="J5530" i="16"/>
  <c r="J5534" i="16"/>
  <c r="P5546" i="16"/>
  <c r="H5546" i="16"/>
  <c r="O5546" i="16"/>
  <c r="G5546" i="16"/>
  <c r="T5546" i="16"/>
  <c r="E5546" i="16"/>
  <c r="N5546" i="16"/>
  <c r="M5546" i="16"/>
  <c r="L5546" i="16"/>
  <c r="L5550" i="16"/>
  <c r="K5550" i="16"/>
  <c r="H5550" i="16"/>
  <c r="T5550" i="16"/>
  <c r="G5550" i="16"/>
  <c r="P5550" i="16"/>
  <c r="F5550" i="16"/>
  <c r="N5550" i="16"/>
  <c r="L5566" i="16"/>
  <c r="K5566" i="16"/>
  <c r="J5566" i="16"/>
  <c r="H5566" i="16"/>
  <c r="G5566" i="16"/>
  <c r="T5566" i="16"/>
  <c r="F5566" i="16"/>
  <c r="O5566" i="16"/>
  <c r="N5581" i="16"/>
  <c r="O5587" i="16"/>
  <c r="G5587" i="16"/>
  <c r="N5587" i="16"/>
  <c r="F5587" i="16"/>
  <c r="M5587" i="16"/>
  <c r="E5587" i="16"/>
  <c r="J5587" i="16"/>
  <c r="I5587" i="16"/>
  <c r="H5587" i="16"/>
  <c r="N5588" i="16"/>
  <c r="F5588" i="16"/>
  <c r="M5588" i="16"/>
  <c r="E5588" i="16"/>
  <c r="L5588" i="16"/>
  <c r="T5588" i="16"/>
  <c r="P5588" i="16"/>
  <c r="O5588" i="16"/>
  <c r="K5588" i="16"/>
  <c r="L5598" i="16"/>
  <c r="K5598" i="16"/>
  <c r="J5598" i="16"/>
  <c r="O5598" i="16"/>
  <c r="N5598" i="16"/>
  <c r="M5598" i="16"/>
  <c r="I5598" i="16"/>
  <c r="H5606" i="16"/>
  <c r="O5620" i="16"/>
  <c r="P5626" i="16"/>
  <c r="H5626" i="16"/>
  <c r="O5626" i="16"/>
  <c r="G5626" i="16"/>
  <c r="N5626" i="16"/>
  <c r="F5626" i="16"/>
  <c r="J5626" i="16"/>
  <c r="I5626" i="16"/>
  <c r="E5626" i="16"/>
  <c r="O5627" i="16"/>
  <c r="G5627" i="16"/>
  <c r="N5627" i="16"/>
  <c r="F5627" i="16"/>
  <c r="M5627" i="16"/>
  <c r="E5627" i="16"/>
  <c r="T5627" i="16"/>
  <c r="P5627" i="16"/>
  <c r="L5627" i="16"/>
  <c r="P5634" i="16"/>
  <c r="H5634" i="16"/>
  <c r="O5634" i="16"/>
  <c r="G5634" i="16"/>
  <c r="N5634" i="16"/>
  <c r="F5634" i="16"/>
  <c r="K5634" i="16"/>
  <c r="J5634" i="16"/>
  <c r="I5634" i="16"/>
  <c r="O5635" i="16"/>
  <c r="G5635" i="16"/>
  <c r="N5635" i="16"/>
  <c r="F5635" i="16"/>
  <c r="M5635" i="16"/>
  <c r="E5635" i="16"/>
  <c r="H5635" i="16"/>
  <c r="T5635" i="16"/>
  <c r="P5635" i="16"/>
  <c r="J5637" i="16"/>
  <c r="L5643" i="16"/>
  <c r="O5659" i="16"/>
  <c r="G5659" i="16"/>
  <c r="N5659" i="16"/>
  <c r="F5659" i="16"/>
  <c r="M5659" i="16"/>
  <c r="E5659" i="16"/>
  <c r="K5659" i="16"/>
  <c r="J5659" i="16"/>
  <c r="I5659" i="16"/>
  <c r="N5660" i="16"/>
  <c r="F5660" i="16"/>
  <c r="M5660" i="16"/>
  <c r="E5660" i="16"/>
  <c r="L5660" i="16"/>
  <c r="G5660" i="16"/>
  <c r="T5660" i="16"/>
  <c r="P5660" i="16"/>
  <c r="O5660" i="16"/>
  <c r="K5674" i="16"/>
  <c r="L5678" i="16"/>
  <c r="K5678" i="16"/>
  <c r="J5678" i="16"/>
  <c r="T5678" i="16"/>
  <c r="F5678" i="16"/>
  <c r="P5678" i="16"/>
  <c r="E5678" i="16"/>
  <c r="O5678" i="16"/>
  <c r="N5678" i="16"/>
  <c r="L5694" i="16"/>
  <c r="K5694" i="16"/>
  <c r="J5694" i="16"/>
  <c r="H5694" i="16"/>
  <c r="G5694" i="16"/>
  <c r="T5694" i="16"/>
  <c r="F5694" i="16"/>
  <c r="O5694" i="16"/>
  <c r="N5709" i="16"/>
  <c r="O5715" i="16"/>
  <c r="G5715" i="16"/>
  <c r="N5715" i="16"/>
  <c r="F5715" i="16"/>
  <c r="M5715" i="16"/>
  <c r="E5715" i="16"/>
  <c r="J5715" i="16"/>
  <c r="I5715" i="16"/>
  <c r="H5715" i="16"/>
  <c r="N5716" i="16"/>
  <c r="F5716" i="16"/>
  <c r="M5716" i="16"/>
  <c r="E5716" i="16"/>
  <c r="L5716" i="16"/>
  <c r="T5716" i="16"/>
  <c r="P5716" i="16"/>
  <c r="O5716" i="16"/>
  <c r="K5716" i="16"/>
  <c r="L5726" i="16"/>
  <c r="K5726" i="16"/>
  <c r="J5726" i="16"/>
  <c r="O5726" i="16"/>
  <c r="N5726" i="16"/>
  <c r="M5726" i="16"/>
  <c r="I5726" i="16"/>
  <c r="H5734" i="16"/>
  <c r="O5748" i="16"/>
  <c r="P5754" i="16"/>
  <c r="H5754" i="16"/>
  <c r="O5754" i="16"/>
  <c r="G5754" i="16"/>
  <c r="N5754" i="16"/>
  <c r="F5754" i="16"/>
  <c r="J5754" i="16"/>
  <c r="I5754" i="16"/>
  <c r="E5754" i="16"/>
  <c r="O5755" i="16"/>
  <c r="G5755" i="16"/>
  <c r="N5755" i="16"/>
  <c r="F5755" i="16"/>
  <c r="M5755" i="16"/>
  <c r="E5755" i="16"/>
  <c r="T5755" i="16"/>
  <c r="P5755" i="16"/>
  <c r="L5755" i="16"/>
  <c r="P5762" i="16"/>
  <c r="H5762" i="16"/>
  <c r="O5762" i="16"/>
  <c r="G5762" i="16"/>
  <c r="N5762" i="16"/>
  <c r="F5762" i="16"/>
  <c r="K5762" i="16"/>
  <c r="J5762" i="16"/>
  <c r="I5762" i="16"/>
  <c r="O5763" i="16"/>
  <c r="G5763" i="16"/>
  <c r="N5763" i="16"/>
  <c r="F5763" i="16"/>
  <c r="M5763" i="16"/>
  <c r="E5763" i="16"/>
  <c r="H5763" i="16"/>
  <c r="T5763" i="16"/>
  <c r="P5763" i="16"/>
  <c r="J5765" i="16"/>
  <c r="L5771" i="16"/>
  <c r="O5787" i="16"/>
  <c r="G5787" i="16"/>
  <c r="N5787" i="16"/>
  <c r="F5787" i="16"/>
  <c r="M5787" i="16"/>
  <c r="E5787" i="16"/>
  <c r="K5787" i="16"/>
  <c r="J5787" i="16"/>
  <c r="I5787" i="16"/>
  <c r="N5788" i="16"/>
  <c r="F5788" i="16"/>
  <c r="M5788" i="16"/>
  <c r="E5788" i="16"/>
  <c r="L5788" i="16"/>
  <c r="G5788" i="16"/>
  <c r="T5788" i="16"/>
  <c r="P5788" i="16"/>
  <c r="O5788" i="16"/>
  <c r="K5802" i="16"/>
  <c r="L5806" i="16"/>
  <c r="K5806" i="16"/>
  <c r="J5806" i="16"/>
  <c r="T5806" i="16"/>
  <c r="F5806" i="16"/>
  <c r="P5806" i="16"/>
  <c r="E5806" i="16"/>
  <c r="O5806" i="16"/>
  <c r="N5806" i="16"/>
  <c r="L5822" i="16"/>
  <c r="K5822" i="16"/>
  <c r="J5822" i="16"/>
  <c r="H5822" i="16"/>
  <c r="G5822" i="16"/>
  <c r="T5822" i="16"/>
  <c r="F5822" i="16"/>
  <c r="O5822" i="16"/>
  <c r="N5837" i="16"/>
  <c r="O5843" i="16"/>
  <c r="G5843" i="16"/>
  <c r="N5843" i="16"/>
  <c r="F5843" i="16"/>
  <c r="M5843" i="16"/>
  <c r="E5843" i="16"/>
  <c r="J5843" i="16"/>
  <c r="I5843" i="16"/>
  <c r="H5843" i="16"/>
  <c r="N5844" i="16"/>
  <c r="F5844" i="16"/>
  <c r="M5844" i="16"/>
  <c r="E5844" i="16"/>
  <c r="L5844" i="16"/>
  <c r="T5844" i="16"/>
  <c r="P5844" i="16"/>
  <c r="O5844" i="16"/>
  <c r="K5844" i="16"/>
  <c r="L5854" i="16"/>
  <c r="K5854" i="16"/>
  <c r="J5854" i="16"/>
  <c r="O5854" i="16"/>
  <c r="N5854" i="16"/>
  <c r="M5854" i="16"/>
  <c r="I5854" i="16"/>
  <c r="H5862" i="16"/>
  <c r="O5876" i="16"/>
  <c r="P5882" i="16"/>
  <c r="H5882" i="16"/>
  <c r="O5882" i="16"/>
  <c r="G5882" i="16"/>
  <c r="N5882" i="16"/>
  <c r="F5882" i="16"/>
  <c r="J5882" i="16"/>
  <c r="I5882" i="16"/>
  <c r="E5882" i="16"/>
  <c r="O5883" i="16"/>
  <c r="G5883" i="16"/>
  <c r="N5883" i="16"/>
  <c r="F5883" i="16"/>
  <c r="M5883" i="16"/>
  <c r="E5883" i="16"/>
  <c r="T5883" i="16"/>
  <c r="P5883" i="16"/>
  <c r="L5883" i="16"/>
  <c r="P5890" i="16"/>
  <c r="H5890" i="16"/>
  <c r="O5890" i="16"/>
  <c r="G5890" i="16"/>
  <c r="N5890" i="16"/>
  <c r="F5890" i="16"/>
  <c r="K5890" i="16"/>
  <c r="J5890" i="16"/>
  <c r="I5890" i="16"/>
  <c r="O5891" i="16"/>
  <c r="G5891" i="16"/>
  <c r="N5891" i="16"/>
  <c r="F5891" i="16"/>
  <c r="M5891" i="16"/>
  <c r="E5891" i="16"/>
  <c r="H5891" i="16"/>
  <c r="T5891" i="16"/>
  <c r="P5891" i="16"/>
  <c r="J5893" i="16"/>
  <c r="N5920" i="16"/>
  <c r="N5945" i="16"/>
  <c r="F5945" i="16"/>
  <c r="M5945" i="16"/>
  <c r="E5945" i="16"/>
  <c r="H5945" i="16"/>
  <c r="T5945" i="16"/>
  <c r="G5945" i="16"/>
  <c r="P5945" i="16"/>
  <c r="K5945" i="16"/>
  <c r="J5945" i="16"/>
  <c r="I5945" i="16"/>
  <c r="N5953" i="16"/>
  <c r="F5953" i="16"/>
  <c r="M5953" i="16"/>
  <c r="E5953" i="16"/>
  <c r="H5953" i="16"/>
  <c r="T5953" i="16"/>
  <c r="G5953" i="16"/>
  <c r="P5953" i="16"/>
  <c r="L5953" i="16"/>
  <c r="K5953" i="16"/>
  <c r="J5953" i="16"/>
  <c r="K5964" i="16"/>
  <c r="J5964" i="16"/>
  <c r="N5964" i="16"/>
  <c r="M5964" i="16"/>
  <c r="L5964" i="16"/>
  <c r="G5964" i="16"/>
  <c r="F5964" i="16"/>
  <c r="E5964" i="16"/>
  <c r="T5964" i="16"/>
  <c r="K5972" i="16"/>
  <c r="J5972" i="16"/>
  <c r="N5972" i="16"/>
  <c r="M5972" i="16"/>
  <c r="L5972" i="16"/>
  <c r="H5972" i="16"/>
  <c r="G5972" i="16"/>
  <c r="F5972" i="16"/>
  <c r="T5972" i="16"/>
  <c r="N5985" i="16"/>
  <c r="F5985" i="16"/>
  <c r="M5985" i="16"/>
  <c r="E5985" i="16"/>
  <c r="H5985" i="16"/>
  <c r="T5985" i="16"/>
  <c r="G5985" i="16"/>
  <c r="P5985" i="16"/>
  <c r="O5985" i="16"/>
  <c r="L5993" i="16"/>
  <c r="R10" i="17"/>
  <c r="Q10" i="17"/>
  <c r="K19" i="17"/>
  <c r="J22" i="17"/>
  <c r="R24" i="17"/>
  <c r="Q24" i="17"/>
  <c r="AB30" i="17"/>
  <c r="K37" i="17"/>
  <c r="Y38" i="17"/>
  <c r="V48" i="17"/>
  <c r="N48" i="17"/>
  <c r="AC48" i="17"/>
  <c r="U48" i="17"/>
  <c r="AH48" i="17" s="1"/>
  <c r="M48" i="17"/>
  <c r="Y48" i="17"/>
  <c r="X48" i="17"/>
  <c r="L48" i="17"/>
  <c r="W48" i="17"/>
  <c r="K48" i="17"/>
  <c r="AO48" i="17"/>
  <c r="Z48" i="17"/>
  <c r="T48" i="17"/>
  <c r="S48" i="17"/>
  <c r="V52" i="17"/>
  <c r="N52" i="17"/>
  <c r="AC52" i="17"/>
  <c r="U52" i="17"/>
  <c r="M52" i="17"/>
  <c r="AA52" i="17"/>
  <c r="Q52" i="17"/>
  <c r="Z52" i="17"/>
  <c r="Y52" i="17"/>
  <c r="S52" i="17"/>
  <c r="R52" i="17"/>
  <c r="AP52" i="17" s="1"/>
  <c r="L52" i="17"/>
  <c r="V86" i="17"/>
  <c r="N86" i="17"/>
  <c r="AC86" i="17"/>
  <c r="U86" i="17"/>
  <c r="M86" i="17"/>
  <c r="AB86" i="17"/>
  <c r="R86" i="17"/>
  <c r="AG86" i="17" s="1"/>
  <c r="AA86" i="17"/>
  <c r="Q86" i="17"/>
  <c r="Z86" i="17"/>
  <c r="L86" i="17"/>
  <c r="K86" i="17"/>
  <c r="AB114" i="17"/>
  <c r="J116" i="17"/>
  <c r="AD164" i="17"/>
  <c r="V164" i="17"/>
  <c r="N164" i="17"/>
  <c r="AC164" i="17"/>
  <c r="U164" i="17"/>
  <c r="M164" i="17"/>
  <c r="AE164" i="17" s="1"/>
  <c r="AA164" i="17"/>
  <c r="Q164" i="17"/>
  <c r="Z164" i="17"/>
  <c r="Y164" i="17"/>
  <c r="T164" i="17"/>
  <c r="S164" i="17"/>
  <c r="R164" i="17"/>
  <c r="AL180" i="17"/>
  <c r="AD180" i="17"/>
  <c r="V180" i="17"/>
  <c r="N180" i="17"/>
  <c r="AK180" i="17"/>
  <c r="AC180" i="17"/>
  <c r="U180" i="17"/>
  <c r="M180" i="17"/>
  <c r="AM180" i="17"/>
  <c r="AA180" i="17"/>
  <c r="Q180" i="17"/>
  <c r="AJ180" i="17"/>
  <c r="Z180" i="17"/>
  <c r="P180" i="17"/>
  <c r="AI180" i="17"/>
  <c r="Y180" i="17"/>
  <c r="O180" i="17"/>
  <c r="AN180" i="17"/>
  <c r="T180" i="17"/>
  <c r="AH180" i="17"/>
  <c r="S180" i="17"/>
  <c r="AG180" i="17"/>
  <c r="R180" i="17"/>
  <c r="AF180" i="17"/>
  <c r="AL192" i="17"/>
  <c r="AD192" i="17"/>
  <c r="V192" i="17"/>
  <c r="N192" i="17"/>
  <c r="AK192" i="17"/>
  <c r="AC192" i="17"/>
  <c r="U192" i="17"/>
  <c r="M192" i="17"/>
  <c r="AI192" i="17"/>
  <c r="Y192" i="17"/>
  <c r="O192" i="17"/>
  <c r="AR192" i="17"/>
  <c r="AH192" i="17"/>
  <c r="X192" i="17"/>
  <c r="L192" i="17"/>
  <c r="AQ192" i="17"/>
  <c r="AG192" i="17"/>
  <c r="W192" i="17"/>
  <c r="K192" i="17"/>
  <c r="AO192" i="17"/>
  <c r="Z192" i="17"/>
  <c r="AN192" i="17"/>
  <c r="T192" i="17"/>
  <c r="AM192" i="17"/>
  <c r="S192" i="17"/>
  <c r="AF192" i="17"/>
  <c r="AL212" i="17"/>
  <c r="AD212" i="17"/>
  <c r="V212" i="17"/>
  <c r="N212" i="17"/>
  <c r="AK212" i="17"/>
  <c r="AC212" i="17"/>
  <c r="U212" i="17"/>
  <c r="M212" i="17"/>
  <c r="AM212" i="17"/>
  <c r="AA212" i="17"/>
  <c r="Q212" i="17"/>
  <c r="AJ212" i="17"/>
  <c r="Z212" i="17"/>
  <c r="P212" i="17"/>
  <c r="AI212" i="17"/>
  <c r="Y212" i="17"/>
  <c r="O212" i="17"/>
  <c r="AN212" i="17"/>
  <c r="T212" i="17"/>
  <c r="AH212" i="17"/>
  <c r="S212" i="17"/>
  <c r="AG212" i="17"/>
  <c r="R212" i="17"/>
  <c r="AF212" i="17"/>
  <c r="AL226" i="17"/>
  <c r="AD226" i="17"/>
  <c r="V226" i="17"/>
  <c r="N226" i="17"/>
  <c r="AK226" i="17"/>
  <c r="AC226" i="17"/>
  <c r="U226" i="17"/>
  <c r="M226" i="17"/>
  <c r="AJ226" i="17"/>
  <c r="Z226" i="17"/>
  <c r="P226" i="17"/>
  <c r="AI226" i="17"/>
  <c r="Y226" i="17"/>
  <c r="O226" i="17"/>
  <c r="AR226" i="17"/>
  <c r="AH226" i="17"/>
  <c r="X226" i="17"/>
  <c r="L226" i="17"/>
  <c r="AF226" i="17"/>
  <c r="Q226" i="17"/>
  <c r="AE226" i="17"/>
  <c r="K226" i="17"/>
  <c r="AQ226" i="17"/>
  <c r="AB226" i="17"/>
  <c r="J226" i="17"/>
  <c r="AN226" i="17"/>
  <c r="AL240" i="17"/>
  <c r="AD240" i="17"/>
  <c r="V240" i="17"/>
  <c r="N240" i="17"/>
  <c r="AK240" i="17"/>
  <c r="AC240" i="17"/>
  <c r="U240" i="17"/>
  <c r="M240" i="17"/>
  <c r="AM240" i="17"/>
  <c r="AA240" i="17"/>
  <c r="Q240" i="17"/>
  <c r="AQ240" i="17"/>
  <c r="AF240" i="17"/>
  <c r="S240" i="17"/>
  <c r="AP240" i="17"/>
  <c r="AE240" i="17"/>
  <c r="R240" i="17"/>
  <c r="AO240" i="17"/>
  <c r="AB240" i="17"/>
  <c r="P240" i="17"/>
  <c r="AR240" i="17"/>
  <c r="X240" i="17"/>
  <c r="AN240" i="17"/>
  <c r="W240" i="17"/>
  <c r="AJ240" i="17"/>
  <c r="T240" i="17"/>
  <c r="AH240" i="17"/>
  <c r="AL254" i="17"/>
  <c r="AD254" i="17"/>
  <c r="V254" i="17"/>
  <c r="N254" i="17"/>
  <c r="AK254" i="17"/>
  <c r="AC254" i="17"/>
  <c r="U254" i="17"/>
  <c r="M254" i="17"/>
  <c r="AJ254" i="17"/>
  <c r="Z254" i="17"/>
  <c r="P254" i="17"/>
  <c r="AI254" i="17"/>
  <c r="Y254" i="17"/>
  <c r="O254" i="17"/>
  <c r="AR254" i="17"/>
  <c r="AH254" i="17"/>
  <c r="X254" i="17"/>
  <c r="L254" i="17"/>
  <c r="AO254" i="17"/>
  <c r="W254" i="17"/>
  <c r="AN254" i="17"/>
  <c r="T254" i="17"/>
  <c r="AM254" i="17"/>
  <c r="S254" i="17"/>
  <c r="R254" i="17"/>
  <c r="AQ254" i="17"/>
  <c r="Q254" i="17"/>
  <c r="AP254" i="17"/>
  <c r="K254" i="17"/>
  <c r="AL258" i="17"/>
  <c r="AD258" i="17"/>
  <c r="V258" i="17"/>
  <c r="N258" i="17"/>
  <c r="AK258" i="17"/>
  <c r="AC258" i="17"/>
  <c r="U258" i="17"/>
  <c r="M258" i="17"/>
  <c r="AN258" i="17"/>
  <c r="AB258" i="17"/>
  <c r="R258" i="17"/>
  <c r="AM258" i="17"/>
  <c r="AA258" i="17"/>
  <c r="Q258" i="17"/>
  <c r="AJ258" i="17"/>
  <c r="Z258" i="17"/>
  <c r="P258" i="17"/>
  <c r="AG258" i="17"/>
  <c r="O258" i="17"/>
  <c r="AF258" i="17"/>
  <c r="L258" i="17"/>
  <c r="AR258" i="17"/>
  <c r="AE258" i="17"/>
  <c r="K258" i="17"/>
  <c r="AH258" i="17"/>
  <c r="Y258" i="17"/>
  <c r="X258" i="17"/>
  <c r="AQ258" i="17"/>
  <c r="AL314" i="17"/>
  <c r="AD314" i="17"/>
  <c r="V314" i="17"/>
  <c r="N314" i="17"/>
  <c r="AK314" i="17"/>
  <c r="AC314" i="17"/>
  <c r="U314" i="17"/>
  <c r="M314" i="17"/>
  <c r="AR314" i="17"/>
  <c r="AH314" i="17"/>
  <c r="X314" i="17"/>
  <c r="L314" i="17"/>
  <c r="AQ314" i="17"/>
  <c r="AG314" i="17"/>
  <c r="W314" i="17"/>
  <c r="K314" i="17"/>
  <c r="AP314" i="17"/>
  <c r="AF314" i="17"/>
  <c r="T314" i="17"/>
  <c r="J314" i="17"/>
  <c r="AN314" i="17"/>
  <c r="Y314" i="17"/>
  <c r="AM314" i="17"/>
  <c r="S314" i="17"/>
  <c r="AJ314" i="17"/>
  <c r="R314" i="17"/>
  <c r="Q314" i="17"/>
  <c r="P314" i="17"/>
  <c r="AO314" i="17"/>
  <c r="O314" i="17"/>
  <c r="AL322" i="17"/>
  <c r="AD322" i="17"/>
  <c r="V322" i="17"/>
  <c r="N322" i="17"/>
  <c r="AK322" i="17"/>
  <c r="AC322" i="17"/>
  <c r="U322" i="17"/>
  <c r="M322" i="17"/>
  <c r="AN322" i="17"/>
  <c r="AB322" i="17"/>
  <c r="R322" i="17"/>
  <c r="AM322" i="17"/>
  <c r="AA322" i="17"/>
  <c r="Q322" i="17"/>
  <c r="AJ322" i="17"/>
  <c r="Z322" i="17"/>
  <c r="P322" i="17"/>
  <c r="AG322" i="17"/>
  <c r="O322" i="17"/>
  <c r="AF322" i="17"/>
  <c r="L322" i="17"/>
  <c r="AR322" i="17"/>
  <c r="AE322" i="17"/>
  <c r="K322" i="17"/>
  <c r="AQ322" i="17"/>
  <c r="T322" i="17"/>
  <c r="AP322" i="17"/>
  <c r="S322" i="17"/>
  <c r="AO322" i="17"/>
  <c r="J322" i="17"/>
  <c r="AL346" i="17"/>
  <c r="AD346" i="17"/>
  <c r="V346" i="17"/>
  <c r="N346" i="17"/>
  <c r="AK346" i="17"/>
  <c r="AC346" i="17"/>
  <c r="U346" i="17"/>
  <c r="M346" i="17"/>
  <c r="AN346" i="17"/>
  <c r="AB346" i="17"/>
  <c r="R346" i="17"/>
  <c r="AM346" i="17"/>
  <c r="AA346" i="17"/>
  <c r="Q346" i="17"/>
  <c r="AJ346" i="17"/>
  <c r="Z346" i="17"/>
  <c r="P346" i="17"/>
  <c r="AI346" i="17"/>
  <c r="T346" i="17"/>
  <c r="AH346" i="17"/>
  <c r="S346" i="17"/>
  <c r="AG346" i="17"/>
  <c r="O346" i="17"/>
  <c r="AQ346" i="17"/>
  <c r="L346" i="17"/>
  <c r="AP346" i="17"/>
  <c r="K346" i="17"/>
  <c r="AO346" i="17"/>
  <c r="J346" i="17"/>
  <c r="AL426" i="17"/>
  <c r="AD426" i="17"/>
  <c r="V426" i="17"/>
  <c r="N426" i="17"/>
  <c r="AK426" i="17"/>
  <c r="AC426" i="17"/>
  <c r="U426" i="17"/>
  <c r="M426" i="17"/>
  <c r="AJ426" i="17"/>
  <c r="Z426" i="17"/>
  <c r="P426" i="17"/>
  <c r="AI426" i="17"/>
  <c r="Y426" i="17"/>
  <c r="O426" i="17"/>
  <c r="AR426" i="17"/>
  <c r="AH426" i="17"/>
  <c r="X426" i="17"/>
  <c r="L426" i="17"/>
  <c r="AO426" i="17"/>
  <c r="W426" i="17"/>
  <c r="AN426" i="17"/>
  <c r="T426" i="17"/>
  <c r="AM426" i="17"/>
  <c r="S426" i="17"/>
  <c r="AE426" i="17"/>
  <c r="AB426" i="17"/>
  <c r="AA426" i="17"/>
  <c r="AQ426" i="17"/>
  <c r="AL486" i="17"/>
  <c r="AD486" i="17"/>
  <c r="V486" i="17"/>
  <c r="N486" i="17"/>
  <c r="AK486" i="17"/>
  <c r="AC486" i="17"/>
  <c r="U486" i="17"/>
  <c r="M486" i="17"/>
  <c r="AR486" i="17"/>
  <c r="AH486" i="17"/>
  <c r="X486" i="17"/>
  <c r="L486" i="17"/>
  <c r="AQ486" i="17"/>
  <c r="AG486" i="17"/>
  <c r="W486" i="17"/>
  <c r="K486" i="17"/>
  <c r="AP486" i="17"/>
  <c r="AF486" i="17"/>
  <c r="T486" i="17"/>
  <c r="J486" i="17"/>
  <c r="AN486" i="17"/>
  <c r="Y486" i="17"/>
  <c r="AM486" i="17"/>
  <c r="S486" i="17"/>
  <c r="AJ486" i="17"/>
  <c r="R486" i="17"/>
  <c r="AB486" i="17"/>
  <c r="AA486" i="17"/>
  <c r="Z486" i="17"/>
  <c r="AL550" i="17"/>
  <c r="AD550" i="17"/>
  <c r="V550" i="17"/>
  <c r="N550" i="17"/>
  <c r="AK550" i="17"/>
  <c r="AC550" i="17"/>
  <c r="U550" i="17"/>
  <c r="M550" i="17"/>
  <c r="AR550" i="17"/>
  <c r="AH550" i="17"/>
  <c r="X550" i="17"/>
  <c r="L550" i="17"/>
  <c r="AQ550" i="17"/>
  <c r="AG550" i="17"/>
  <c r="W550" i="17"/>
  <c r="K550" i="17"/>
  <c r="AP550" i="17"/>
  <c r="AF550" i="17"/>
  <c r="T550" i="17"/>
  <c r="J550" i="17"/>
  <c r="AN550" i="17"/>
  <c r="Y550" i="17"/>
  <c r="AM550" i="17"/>
  <c r="S550" i="17"/>
  <c r="AJ550" i="17"/>
  <c r="R550" i="17"/>
  <c r="AE550" i="17"/>
  <c r="AB550" i="17"/>
  <c r="AA550" i="17"/>
  <c r="AK658" i="17"/>
  <c r="AC658" i="17"/>
  <c r="U658" i="17"/>
  <c r="M658" i="17"/>
  <c r="AR658" i="17"/>
  <c r="AJ658" i="17"/>
  <c r="AB658" i="17"/>
  <c r="T658" i="17"/>
  <c r="L658" i="17"/>
  <c r="AI658" i="17"/>
  <c r="Y658" i="17"/>
  <c r="O658" i="17"/>
  <c r="AH658" i="17"/>
  <c r="X658" i="17"/>
  <c r="N658" i="17"/>
  <c r="AQ658" i="17"/>
  <c r="AE658" i="17"/>
  <c r="Q658" i="17"/>
  <c r="AN658" i="17"/>
  <c r="W658" i="17"/>
  <c r="AO658" i="17"/>
  <c r="V658" i="17"/>
  <c r="AM658" i="17"/>
  <c r="S658" i="17"/>
  <c r="AL658" i="17"/>
  <c r="R658" i="17"/>
  <c r="AF658" i="17"/>
  <c r="AD658" i="17"/>
  <c r="AA658" i="17"/>
  <c r="Z658" i="17"/>
  <c r="P658" i="17"/>
  <c r="K658" i="17"/>
  <c r="AQ907" i="17"/>
  <c r="AI907" i="17"/>
  <c r="AA907" i="17"/>
  <c r="S907" i="17"/>
  <c r="K907" i="17"/>
  <c r="AJ907" i="17"/>
  <c r="Z907" i="17"/>
  <c r="Q907" i="17"/>
  <c r="AR907" i="17"/>
  <c r="AH907" i="17"/>
  <c r="Y907" i="17"/>
  <c r="P907" i="17"/>
  <c r="AP907" i="17"/>
  <c r="AE907" i="17"/>
  <c r="T907" i="17"/>
  <c r="AO907" i="17"/>
  <c r="AD907" i="17"/>
  <c r="R907" i="17"/>
  <c r="AC907" i="17"/>
  <c r="M907" i="17"/>
  <c r="AB907" i="17"/>
  <c r="L907" i="17"/>
  <c r="AM907" i="17"/>
  <c r="U907" i="17"/>
  <c r="AL907" i="17"/>
  <c r="O907" i="17"/>
  <c r="AK907" i="17"/>
  <c r="N907" i="17"/>
  <c r="AF907" i="17"/>
  <c r="X907" i="17"/>
  <c r="W907" i="17"/>
  <c r="AN907" i="17"/>
  <c r="AG907" i="17"/>
  <c r="V907" i="17"/>
  <c r="AR1085" i="17"/>
  <c r="AJ1085" i="17"/>
  <c r="AB1085" i="17"/>
  <c r="T1085" i="17"/>
  <c r="L1085" i="17"/>
  <c r="AQ1085" i="17"/>
  <c r="AI1085" i="17"/>
  <c r="AA1085" i="17"/>
  <c r="S1085" i="17"/>
  <c r="K1085" i="17"/>
  <c r="AK1085" i="17"/>
  <c r="Y1085" i="17"/>
  <c r="O1085" i="17"/>
  <c r="AH1085" i="17"/>
  <c r="X1085" i="17"/>
  <c r="N1085" i="17"/>
  <c r="AL1085" i="17"/>
  <c r="V1085" i="17"/>
  <c r="AG1085" i="17"/>
  <c r="U1085" i="17"/>
  <c r="AP1085" i="17"/>
  <c r="Z1085" i="17"/>
  <c r="AO1085" i="17"/>
  <c r="W1085" i="17"/>
  <c r="Q1085" i="17"/>
  <c r="AN1085" i="17"/>
  <c r="P1085" i="17"/>
  <c r="AM1085" i="17"/>
  <c r="M1085" i="17"/>
  <c r="AF1085" i="17"/>
  <c r="AE1085" i="17"/>
  <c r="AD1085" i="17"/>
  <c r="AC1085" i="17"/>
  <c r="R1085" i="17"/>
  <c r="J1085" i="17"/>
  <c r="AR1095" i="17"/>
  <c r="AJ1095" i="17"/>
  <c r="AB1095" i="17"/>
  <c r="T1095" i="17"/>
  <c r="L1095" i="17"/>
  <c r="AQ1095" i="17"/>
  <c r="AI1095" i="17"/>
  <c r="AA1095" i="17"/>
  <c r="S1095" i="17"/>
  <c r="K1095" i="17"/>
  <c r="AM1095" i="17"/>
  <c r="AC1095" i="17"/>
  <c r="Q1095" i="17"/>
  <c r="AL1095" i="17"/>
  <c r="Z1095" i="17"/>
  <c r="P1095" i="17"/>
  <c r="AF1095" i="17"/>
  <c r="R1095" i="17"/>
  <c r="AE1095" i="17"/>
  <c r="O1095" i="17"/>
  <c r="AH1095" i="17"/>
  <c r="N1095" i="17"/>
  <c r="AG1095" i="17"/>
  <c r="M1095" i="17"/>
  <c r="W1095" i="17"/>
  <c r="AP1095" i="17"/>
  <c r="V1095" i="17"/>
  <c r="AO1095" i="17"/>
  <c r="U1095" i="17"/>
  <c r="AN1095" i="17"/>
  <c r="AK1095" i="17"/>
  <c r="AD1095" i="17"/>
  <c r="Y1095" i="17"/>
  <c r="AN1102" i="17"/>
  <c r="AF1102" i="17"/>
  <c r="X1102" i="17"/>
  <c r="P1102" i="17"/>
  <c r="AM1102" i="17"/>
  <c r="AE1102" i="17"/>
  <c r="W1102" i="17"/>
  <c r="O1102" i="17"/>
  <c r="AQ1102" i="17"/>
  <c r="AG1102" i="17"/>
  <c r="U1102" i="17"/>
  <c r="K1102" i="17"/>
  <c r="AP1102" i="17"/>
  <c r="AD1102" i="17"/>
  <c r="T1102" i="17"/>
  <c r="J1102" i="17"/>
  <c r="AJ1102" i="17"/>
  <c r="V1102" i="17"/>
  <c r="AI1102" i="17"/>
  <c r="S1102" i="17"/>
  <c r="AO1102" i="17"/>
  <c r="Y1102" i="17"/>
  <c r="AL1102" i="17"/>
  <c r="R1102" i="17"/>
  <c r="AB1102" i="17"/>
  <c r="AA1102" i="17"/>
  <c r="Z1102" i="17"/>
  <c r="AK1102" i="17"/>
  <c r="AH1102" i="17"/>
  <c r="AC1102" i="17"/>
  <c r="Q1102" i="17"/>
  <c r="N1102" i="17"/>
  <c r="M1102" i="17"/>
  <c r="AN1112" i="17"/>
  <c r="AF1112" i="17"/>
  <c r="X1112" i="17"/>
  <c r="P1112" i="17"/>
  <c r="AM1112" i="17"/>
  <c r="AE1112" i="17"/>
  <c r="W1112" i="17"/>
  <c r="O1112" i="17"/>
  <c r="AI1112" i="17"/>
  <c r="Y1112" i="17"/>
  <c r="M1112" i="17"/>
  <c r="AR1112" i="17"/>
  <c r="AH1112" i="17"/>
  <c r="V1112" i="17"/>
  <c r="L1112" i="17"/>
  <c r="AD1112" i="17"/>
  <c r="R1112" i="17"/>
  <c r="AQ1112" i="17"/>
  <c r="AC1112" i="17"/>
  <c r="Q1112" i="17"/>
  <c r="AG1112" i="17"/>
  <c r="K1112" i="17"/>
  <c r="AB1112" i="17"/>
  <c r="J1112" i="17"/>
  <c r="U1112" i="17"/>
  <c r="AP1112" i="17"/>
  <c r="T1112" i="17"/>
  <c r="AO1112" i="17"/>
  <c r="S1112" i="17"/>
  <c r="AJ1112" i="17"/>
  <c r="AA1112" i="17"/>
  <c r="Z1112" i="17"/>
  <c r="AL1112" i="17"/>
  <c r="AK1112" i="17"/>
  <c r="N1112" i="17"/>
  <c r="I1464" i="16"/>
  <c r="I1472" i="16"/>
  <c r="I1480" i="16"/>
  <c r="I1488" i="16"/>
  <c r="I1496" i="16"/>
  <c r="I1504" i="16"/>
  <c r="I1512" i="16"/>
  <c r="I1520" i="16"/>
  <c r="I1528" i="16"/>
  <c r="I1536" i="16"/>
  <c r="I1544" i="16"/>
  <c r="I1552" i="16"/>
  <c r="I1560" i="16"/>
  <c r="I1568" i="16"/>
  <c r="I1576" i="16"/>
  <c r="I1584" i="16"/>
  <c r="I1592" i="16"/>
  <c r="I1600" i="16"/>
  <c r="I1608" i="16"/>
  <c r="I1616" i="16"/>
  <c r="I1624" i="16"/>
  <c r="I1632" i="16"/>
  <c r="I1640" i="16"/>
  <c r="I1648" i="16"/>
  <c r="I1656" i="16"/>
  <c r="I1664" i="16"/>
  <c r="I1672" i="16"/>
  <c r="I1680" i="16"/>
  <c r="I1688" i="16"/>
  <c r="I1696" i="16"/>
  <c r="I1704" i="16"/>
  <c r="I1712" i="16"/>
  <c r="I1720" i="16"/>
  <c r="I1728" i="16"/>
  <c r="I1736" i="16"/>
  <c r="I1744" i="16"/>
  <c r="I1752" i="16"/>
  <c r="I1760" i="16"/>
  <c r="I1768" i="16"/>
  <c r="I1776" i="16"/>
  <c r="I1784" i="16"/>
  <c r="I1792" i="16"/>
  <c r="I1800" i="16"/>
  <c r="I1808" i="16"/>
  <c r="I1816" i="16"/>
  <c r="I1824" i="16"/>
  <c r="I1832" i="16"/>
  <c r="I1840" i="16"/>
  <c r="I1848" i="16"/>
  <c r="I1856" i="16"/>
  <c r="I1864" i="16"/>
  <c r="I1872" i="16"/>
  <c r="I1880" i="16"/>
  <c r="I1888" i="16"/>
  <c r="I1896" i="16"/>
  <c r="I1904" i="16"/>
  <c r="I1912" i="16"/>
  <c r="I1920" i="16"/>
  <c r="I1928" i="16"/>
  <c r="I1936" i="16"/>
  <c r="I1944" i="16"/>
  <c r="I1952" i="16"/>
  <c r="I1960" i="16"/>
  <c r="I1968" i="16"/>
  <c r="I1976" i="16"/>
  <c r="I1984" i="16"/>
  <c r="I1992" i="16"/>
  <c r="I2000" i="16"/>
  <c r="I2008" i="16"/>
  <c r="I2016" i="16"/>
  <c r="I2024" i="16"/>
  <c r="I2032" i="16"/>
  <c r="I2040" i="16"/>
  <c r="I2048" i="16"/>
  <c r="I2056" i="16"/>
  <c r="I2064" i="16"/>
  <c r="I2072" i="16"/>
  <c r="I2080" i="16"/>
  <c r="I2088" i="16"/>
  <c r="I2096" i="16"/>
  <c r="I2104" i="16"/>
  <c r="I2112" i="16"/>
  <c r="I2120" i="16"/>
  <c r="I2128" i="16"/>
  <c r="I2136" i="16"/>
  <c r="I2144" i="16"/>
  <c r="I2152" i="16"/>
  <c r="I2160" i="16"/>
  <c r="I2168" i="16"/>
  <c r="I2176" i="16"/>
  <c r="I2184" i="16"/>
  <c r="I2192" i="16"/>
  <c r="I2200" i="16"/>
  <c r="I2208" i="16"/>
  <c r="I2216" i="16"/>
  <c r="I2224" i="16"/>
  <c r="I2232" i="16"/>
  <c r="I2240" i="16"/>
  <c r="I2248" i="16"/>
  <c r="I2256" i="16"/>
  <c r="I2264" i="16"/>
  <c r="I2272" i="16"/>
  <c r="I2280" i="16"/>
  <c r="I2288" i="16"/>
  <c r="I2296" i="16"/>
  <c r="I2304" i="16"/>
  <c r="I2312" i="16"/>
  <c r="I2320" i="16"/>
  <c r="I2328" i="16"/>
  <c r="I2336" i="16"/>
  <c r="I2344" i="16"/>
  <c r="I2352" i="16"/>
  <c r="I2360" i="16"/>
  <c r="I2368" i="16"/>
  <c r="I2376" i="16"/>
  <c r="I2384" i="16"/>
  <c r="I2392" i="16"/>
  <c r="I2400" i="16"/>
  <c r="I2408" i="16"/>
  <c r="I2416" i="16"/>
  <c r="I2424" i="16"/>
  <c r="I2432" i="16"/>
  <c r="I2440" i="16"/>
  <c r="I2448" i="16"/>
  <c r="I2456" i="16"/>
  <c r="I2464" i="16"/>
  <c r="I2472" i="16"/>
  <c r="H2473" i="16"/>
  <c r="P2473" i="16"/>
  <c r="I2480" i="16"/>
  <c r="H2481" i="16"/>
  <c r="P2481" i="16"/>
  <c r="I2488" i="16"/>
  <c r="H2489" i="16"/>
  <c r="P2489" i="16"/>
  <c r="I2496" i="16"/>
  <c r="H2497" i="16"/>
  <c r="P2497" i="16"/>
  <c r="I2504" i="16"/>
  <c r="H2505" i="16"/>
  <c r="P2505" i="16"/>
  <c r="I2512" i="16"/>
  <c r="H2513" i="16"/>
  <c r="P2513" i="16"/>
  <c r="I2520" i="16"/>
  <c r="H2521" i="16"/>
  <c r="P2521" i="16"/>
  <c r="I2528" i="16"/>
  <c r="H2529" i="16"/>
  <c r="P2529" i="16"/>
  <c r="I2536" i="16"/>
  <c r="H2537" i="16"/>
  <c r="P2537" i="16"/>
  <c r="I2544" i="16"/>
  <c r="H2545" i="16"/>
  <c r="P2545" i="16"/>
  <c r="I2552" i="16"/>
  <c r="H2553" i="16"/>
  <c r="P2553" i="16"/>
  <c r="I2560" i="16"/>
  <c r="H2561" i="16"/>
  <c r="P2561" i="16"/>
  <c r="I2568" i="16"/>
  <c r="H2569" i="16"/>
  <c r="P2569" i="16"/>
  <c r="I2576" i="16"/>
  <c r="H2577" i="16"/>
  <c r="P2577" i="16"/>
  <c r="I2584" i="16"/>
  <c r="H2585" i="16"/>
  <c r="P2585" i="16"/>
  <c r="I2592" i="16"/>
  <c r="H2593" i="16"/>
  <c r="P2593" i="16"/>
  <c r="I2600" i="16"/>
  <c r="H2601" i="16"/>
  <c r="P2601" i="16"/>
  <c r="I2608" i="16"/>
  <c r="H2609" i="16"/>
  <c r="P2609" i="16"/>
  <c r="I2616" i="16"/>
  <c r="H2617" i="16"/>
  <c r="P2617" i="16"/>
  <c r="I2624" i="16"/>
  <c r="H2625" i="16"/>
  <c r="P2625" i="16"/>
  <c r="I2632" i="16"/>
  <c r="H2633" i="16"/>
  <c r="P2633" i="16"/>
  <c r="I2640" i="16"/>
  <c r="H2641" i="16"/>
  <c r="P2641" i="16"/>
  <c r="I2648" i="16"/>
  <c r="H2649" i="16"/>
  <c r="P2649" i="16"/>
  <c r="I2656" i="16"/>
  <c r="H2657" i="16"/>
  <c r="P2657" i="16"/>
  <c r="I2664" i="16"/>
  <c r="H2665" i="16"/>
  <c r="P2665" i="16"/>
  <c r="I2672" i="16"/>
  <c r="H2673" i="16"/>
  <c r="P2673" i="16"/>
  <c r="I2680" i="16"/>
  <c r="H2681" i="16"/>
  <c r="P2681" i="16"/>
  <c r="I2688" i="16"/>
  <c r="H2689" i="16"/>
  <c r="P2689" i="16"/>
  <c r="I2696" i="16"/>
  <c r="H2697" i="16"/>
  <c r="P2697" i="16"/>
  <c r="I2704" i="16"/>
  <c r="H2705" i="16"/>
  <c r="P2705" i="16"/>
  <c r="I2712" i="16"/>
  <c r="H2713" i="16"/>
  <c r="P2713" i="16"/>
  <c r="I2720" i="16"/>
  <c r="H2721" i="16"/>
  <c r="P2721" i="16"/>
  <c r="I2728" i="16"/>
  <c r="H2729" i="16"/>
  <c r="P2729" i="16"/>
  <c r="I2736" i="16"/>
  <c r="H2737" i="16"/>
  <c r="P2737" i="16"/>
  <c r="I2744" i="16"/>
  <c r="H2745" i="16"/>
  <c r="P2745" i="16"/>
  <c r="I2752" i="16"/>
  <c r="H2753" i="16"/>
  <c r="P2753" i="16"/>
  <c r="I2760" i="16"/>
  <c r="H2761" i="16"/>
  <c r="P2761" i="16"/>
  <c r="I2768" i="16"/>
  <c r="H2769" i="16"/>
  <c r="P2769" i="16"/>
  <c r="I2776" i="16"/>
  <c r="H2777" i="16"/>
  <c r="P2777" i="16"/>
  <c r="I2784" i="16"/>
  <c r="H2785" i="16"/>
  <c r="P2785" i="16"/>
  <c r="I2792" i="16"/>
  <c r="H2793" i="16"/>
  <c r="P2793" i="16"/>
  <c r="I2800" i="16"/>
  <c r="H2801" i="16"/>
  <c r="P2801" i="16"/>
  <c r="I2808" i="16"/>
  <c r="H2809" i="16"/>
  <c r="P2809" i="16"/>
  <c r="I2816" i="16"/>
  <c r="H2817" i="16"/>
  <c r="P2817" i="16"/>
  <c r="I2824" i="16"/>
  <c r="H2825" i="16"/>
  <c r="P2825" i="16"/>
  <c r="I2832" i="16"/>
  <c r="H2833" i="16"/>
  <c r="P2833" i="16"/>
  <c r="I2840" i="16"/>
  <c r="H2841" i="16"/>
  <c r="P2841" i="16"/>
  <c r="I2848" i="16"/>
  <c r="H2849" i="16"/>
  <c r="P2849" i="16"/>
  <c r="I2856" i="16"/>
  <c r="H2857" i="16"/>
  <c r="P2857" i="16"/>
  <c r="I2864" i="16"/>
  <c r="H2865" i="16"/>
  <c r="P2865" i="16"/>
  <c r="I2872" i="16"/>
  <c r="H2873" i="16"/>
  <c r="P2873" i="16"/>
  <c r="I2880" i="16"/>
  <c r="H2881" i="16"/>
  <c r="P2881" i="16"/>
  <c r="I2888" i="16"/>
  <c r="H2889" i="16"/>
  <c r="P2889" i="16"/>
  <c r="I2896" i="16"/>
  <c r="H2897" i="16"/>
  <c r="P2897" i="16"/>
  <c r="I2904" i="16"/>
  <c r="H2905" i="16"/>
  <c r="P2905" i="16"/>
  <c r="I2912" i="16"/>
  <c r="H2913" i="16"/>
  <c r="P2913" i="16"/>
  <c r="I2920" i="16"/>
  <c r="H2921" i="16"/>
  <c r="P2921" i="16"/>
  <c r="I2928" i="16"/>
  <c r="H2929" i="16"/>
  <c r="P2929" i="16"/>
  <c r="I2936" i="16"/>
  <c r="H2937" i="16"/>
  <c r="P2937" i="16"/>
  <c r="I2944" i="16"/>
  <c r="H2945" i="16"/>
  <c r="P2945" i="16"/>
  <c r="I2952" i="16"/>
  <c r="H2953" i="16"/>
  <c r="P2953" i="16"/>
  <c r="I2960" i="16"/>
  <c r="H2961" i="16"/>
  <c r="P2961" i="16"/>
  <c r="I2968" i="16"/>
  <c r="H2969" i="16"/>
  <c r="P2969" i="16"/>
  <c r="I2976" i="16"/>
  <c r="H2977" i="16"/>
  <c r="P2977" i="16"/>
  <c r="I2984" i="16"/>
  <c r="H2985" i="16"/>
  <c r="P2985" i="16"/>
  <c r="I2992" i="16"/>
  <c r="H2993" i="16"/>
  <c r="P2993" i="16"/>
  <c r="I3000" i="16"/>
  <c r="H3001" i="16"/>
  <c r="P3001" i="16"/>
  <c r="I3008" i="16"/>
  <c r="H3009" i="16"/>
  <c r="P3009" i="16"/>
  <c r="I3016" i="16"/>
  <c r="H3017" i="16"/>
  <c r="P3017" i="16"/>
  <c r="I3024" i="16"/>
  <c r="H3025" i="16"/>
  <c r="P3025" i="16"/>
  <c r="I3032" i="16"/>
  <c r="H3033" i="16"/>
  <c r="P3033" i="16"/>
  <c r="I3040" i="16"/>
  <c r="H3041" i="16"/>
  <c r="P3041" i="16"/>
  <c r="I3048" i="16"/>
  <c r="H3049" i="16"/>
  <c r="P3049" i="16"/>
  <c r="I3056" i="16"/>
  <c r="H3057" i="16"/>
  <c r="P3057" i="16"/>
  <c r="I3064" i="16"/>
  <c r="H3065" i="16"/>
  <c r="P3065" i="16"/>
  <c r="I3072" i="16"/>
  <c r="H3073" i="16"/>
  <c r="P3073" i="16"/>
  <c r="I3080" i="16"/>
  <c r="H3081" i="16"/>
  <c r="P3081" i="16"/>
  <c r="I3088" i="16"/>
  <c r="H3089" i="16"/>
  <c r="P3089" i="16"/>
  <c r="I3096" i="16"/>
  <c r="H3097" i="16"/>
  <c r="P3097" i="16"/>
  <c r="I3104" i="16"/>
  <c r="H3105" i="16"/>
  <c r="P3105" i="16"/>
  <c r="I3112" i="16"/>
  <c r="H3113" i="16"/>
  <c r="P3113" i="16"/>
  <c r="I3120" i="16"/>
  <c r="H3121" i="16"/>
  <c r="P3121" i="16"/>
  <c r="I3128" i="16"/>
  <c r="H3129" i="16"/>
  <c r="P3129" i="16"/>
  <c r="I3136" i="16"/>
  <c r="H3137" i="16"/>
  <c r="P3137" i="16"/>
  <c r="I3144" i="16"/>
  <c r="H3145" i="16"/>
  <c r="P3145" i="16"/>
  <c r="I3152" i="16"/>
  <c r="H3153" i="16"/>
  <c r="P3153" i="16"/>
  <c r="I3160" i="16"/>
  <c r="H3161" i="16"/>
  <c r="P3161" i="16"/>
  <c r="I3168" i="16"/>
  <c r="H3169" i="16"/>
  <c r="P3169" i="16"/>
  <c r="I3176" i="16"/>
  <c r="H3177" i="16"/>
  <c r="P3177" i="16"/>
  <c r="I3184" i="16"/>
  <c r="H3185" i="16"/>
  <c r="P3185" i="16"/>
  <c r="I3192" i="16"/>
  <c r="H3193" i="16"/>
  <c r="P3193" i="16"/>
  <c r="I3200" i="16"/>
  <c r="H3201" i="16"/>
  <c r="P3201" i="16"/>
  <c r="I3208" i="16"/>
  <c r="H3209" i="16"/>
  <c r="P3209" i="16"/>
  <c r="I3216" i="16"/>
  <c r="H3217" i="16"/>
  <c r="P3217" i="16"/>
  <c r="I3224" i="16"/>
  <c r="H3225" i="16"/>
  <c r="P3225" i="16"/>
  <c r="I3232" i="16"/>
  <c r="H3233" i="16"/>
  <c r="P3233" i="16"/>
  <c r="I3240" i="16"/>
  <c r="H3241" i="16"/>
  <c r="P3241" i="16"/>
  <c r="I3248" i="16"/>
  <c r="H3249" i="16"/>
  <c r="P3249" i="16"/>
  <c r="I3256" i="16"/>
  <c r="H3257" i="16"/>
  <c r="P3257" i="16"/>
  <c r="I3264" i="16"/>
  <c r="H3265" i="16"/>
  <c r="P3265" i="16"/>
  <c r="I3272" i="16"/>
  <c r="H3273" i="16"/>
  <c r="P3273" i="16"/>
  <c r="I3280" i="16"/>
  <c r="H3281" i="16"/>
  <c r="P3281" i="16"/>
  <c r="I3288" i="16"/>
  <c r="H3289" i="16"/>
  <c r="P3289" i="16"/>
  <c r="I3296" i="16"/>
  <c r="H3297" i="16"/>
  <c r="P3297" i="16"/>
  <c r="I3304" i="16"/>
  <c r="H3305" i="16"/>
  <c r="P3305" i="16"/>
  <c r="I3312" i="16"/>
  <c r="H3313" i="16"/>
  <c r="P3313" i="16"/>
  <c r="I3320" i="16"/>
  <c r="H3321" i="16"/>
  <c r="P3321" i="16"/>
  <c r="I3328" i="16"/>
  <c r="H3329" i="16"/>
  <c r="P3329" i="16"/>
  <c r="I3336" i="16"/>
  <c r="H3337" i="16"/>
  <c r="P3337" i="16"/>
  <c r="I3344" i="16"/>
  <c r="H3345" i="16"/>
  <c r="P3345" i="16"/>
  <c r="I3352" i="16"/>
  <c r="H3353" i="16"/>
  <c r="P3353" i="16"/>
  <c r="I3360" i="16"/>
  <c r="H3361" i="16"/>
  <c r="P3361" i="16"/>
  <c r="I3368" i="16"/>
  <c r="H3369" i="16"/>
  <c r="P3369" i="16"/>
  <c r="I3376" i="16"/>
  <c r="H3377" i="16"/>
  <c r="P3377" i="16"/>
  <c r="I3384" i="16"/>
  <c r="H3385" i="16"/>
  <c r="P3385" i="16"/>
  <c r="I3392" i="16"/>
  <c r="H3393" i="16"/>
  <c r="P3393" i="16"/>
  <c r="I3400" i="16"/>
  <c r="H3401" i="16"/>
  <c r="P3401" i="16"/>
  <c r="I3408" i="16"/>
  <c r="H3409" i="16"/>
  <c r="P3409" i="16"/>
  <c r="I3416" i="16"/>
  <c r="H3417" i="16"/>
  <c r="P3417" i="16"/>
  <c r="I3424" i="16"/>
  <c r="H3425" i="16"/>
  <c r="P3425" i="16"/>
  <c r="I3432" i="16"/>
  <c r="H3433" i="16"/>
  <c r="P3433" i="16"/>
  <c r="I3440" i="16"/>
  <c r="H3441" i="16"/>
  <c r="P3441" i="16"/>
  <c r="I3448" i="16"/>
  <c r="H3449" i="16"/>
  <c r="P3449" i="16"/>
  <c r="I3456" i="16"/>
  <c r="H3457" i="16"/>
  <c r="P3457" i="16"/>
  <c r="I3464" i="16"/>
  <c r="H3465" i="16"/>
  <c r="P3465" i="16"/>
  <c r="I3472" i="16"/>
  <c r="H3473" i="16"/>
  <c r="P3473" i="16"/>
  <c r="I3480" i="16"/>
  <c r="H3481" i="16"/>
  <c r="P3481" i="16"/>
  <c r="I3488" i="16"/>
  <c r="H3489" i="16"/>
  <c r="P3489" i="16"/>
  <c r="I3496" i="16"/>
  <c r="H3497" i="16"/>
  <c r="P3497" i="16"/>
  <c r="I3504" i="16"/>
  <c r="H3505" i="16"/>
  <c r="P3505" i="16"/>
  <c r="I3512" i="16"/>
  <c r="H3513" i="16"/>
  <c r="P3513" i="16"/>
  <c r="I3520" i="16"/>
  <c r="H3521" i="16"/>
  <c r="P3521" i="16"/>
  <c r="I3528" i="16"/>
  <c r="H3529" i="16"/>
  <c r="P3529" i="16"/>
  <c r="I3536" i="16"/>
  <c r="H3537" i="16"/>
  <c r="P3537" i="16"/>
  <c r="I3544" i="16"/>
  <c r="H3545" i="16"/>
  <c r="P3545" i="16"/>
  <c r="I3552" i="16"/>
  <c r="H3553" i="16"/>
  <c r="P3553" i="16"/>
  <c r="I3560" i="16"/>
  <c r="H3561" i="16"/>
  <c r="P3561" i="16"/>
  <c r="I3568" i="16"/>
  <c r="H3569" i="16"/>
  <c r="P3569" i="16"/>
  <c r="I3576" i="16"/>
  <c r="H3577" i="16"/>
  <c r="P3577" i="16"/>
  <c r="I3584" i="16"/>
  <c r="H3585" i="16"/>
  <c r="P3585" i="16"/>
  <c r="I3592" i="16"/>
  <c r="H3593" i="16"/>
  <c r="P3593" i="16"/>
  <c r="I3600" i="16"/>
  <c r="H3601" i="16"/>
  <c r="P3601" i="16"/>
  <c r="I3608" i="16"/>
  <c r="H3609" i="16"/>
  <c r="P3609" i="16"/>
  <c r="I3616" i="16"/>
  <c r="H3617" i="16"/>
  <c r="P3617" i="16"/>
  <c r="I3624" i="16"/>
  <c r="H3625" i="16"/>
  <c r="P3625" i="16"/>
  <c r="I3632" i="16"/>
  <c r="H3633" i="16"/>
  <c r="P3633" i="16"/>
  <c r="I3640" i="16"/>
  <c r="H3641" i="16"/>
  <c r="P3641" i="16"/>
  <c r="I3648" i="16"/>
  <c r="H3649" i="16"/>
  <c r="P3649" i="16"/>
  <c r="I3656" i="16"/>
  <c r="H3657" i="16"/>
  <c r="P3657" i="16"/>
  <c r="I3664" i="16"/>
  <c r="H3665" i="16"/>
  <c r="P3665" i="16"/>
  <c r="I3672" i="16"/>
  <c r="H3673" i="16"/>
  <c r="P3673" i="16"/>
  <c r="I3680" i="16"/>
  <c r="H3681" i="16"/>
  <c r="P3681" i="16"/>
  <c r="I3688" i="16"/>
  <c r="H3689" i="16"/>
  <c r="P3689" i="16"/>
  <c r="I3696" i="16"/>
  <c r="H3697" i="16"/>
  <c r="P3697" i="16"/>
  <c r="I3704" i="16"/>
  <c r="H3705" i="16"/>
  <c r="P3705" i="16"/>
  <c r="I3712" i="16"/>
  <c r="H3713" i="16"/>
  <c r="P3713" i="16"/>
  <c r="I3720" i="16"/>
  <c r="H3721" i="16"/>
  <c r="P3721" i="16"/>
  <c r="I3728" i="16"/>
  <c r="H3729" i="16"/>
  <c r="P3729" i="16"/>
  <c r="I3736" i="16"/>
  <c r="H3737" i="16"/>
  <c r="P3737" i="16"/>
  <c r="I3744" i="16"/>
  <c r="H3745" i="16"/>
  <c r="P3745" i="16"/>
  <c r="I3752" i="16"/>
  <c r="H3753" i="16"/>
  <c r="P3753" i="16"/>
  <c r="I3760" i="16"/>
  <c r="H3761" i="16"/>
  <c r="P3761" i="16"/>
  <c r="I3768" i="16"/>
  <c r="H3769" i="16"/>
  <c r="P3769" i="16"/>
  <c r="I3776" i="16"/>
  <c r="H3777" i="16"/>
  <c r="P3777" i="16"/>
  <c r="I3784" i="16"/>
  <c r="H3785" i="16"/>
  <c r="P3785" i="16"/>
  <c r="I3792" i="16"/>
  <c r="H3793" i="16"/>
  <c r="P3793" i="16"/>
  <c r="I3800" i="16"/>
  <c r="H3801" i="16"/>
  <c r="P3801" i="16"/>
  <c r="I3808" i="16"/>
  <c r="H3809" i="16"/>
  <c r="P3809" i="16"/>
  <c r="I3816" i="16"/>
  <c r="H3817" i="16"/>
  <c r="P3817" i="16"/>
  <c r="I3824" i="16"/>
  <c r="H3825" i="16"/>
  <c r="P3825" i="16"/>
  <c r="I3832" i="16"/>
  <c r="H3833" i="16"/>
  <c r="P3833" i="16"/>
  <c r="I3840" i="16"/>
  <c r="H3841" i="16"/>
  <c r="P3841" i="16"/>
  <c r="I3848" i="16"/>
  <c r="H3849" i="16"/>
  <c r="P3849" i="16"/>
  <c r="I3856" i="16"/>
  <c r="H3857" i="16"/>
  <c r="P3857" i="16"/>
  <c r="I3864" i="16"/>
  <c r="H3865" i="16"/>
  <c r="P3865" i="16"/>
  <c r="I3872" i="16"/>
  <c r="H3873" i="16"/>
  <c r="P3873" i="16"/>
  <c r="I3880" i="16"/>
  <c r="H3881" i="16"/>
  <c r="P3881" i="16"/>
  <c r="I3888" i="16"/>
  <c r="H3889" i="16"/>
  <c r="P3889" i="16"/>
  <c r="I3896" i="16"/>
  <c r="H3897" i="16"/>
  <c r="P3897" i="16"/>
  <c r="I3904" i="16"/>
  <c r="H3905" i="16"/>
  <c r="P3905" i="16"/>
  <c r="I3912" i="16"/>
  <c r="H3913" i="16"/>
  <c r="P3913" i="16"/>
  <c r="I3920" i="16"/>
  <c r="H3921" i="16"/>
  <c r="P3921" i="16"/>
  <c r="I3928" i="16"/>
  <c r="H3929" i="16"/>
  <c r="P3929" i="16"/>
  <c r="I3936" i="16"/>
  <c r="H3937" i="16"/>
  <c r="P3937" i="16"/>
  <c r="M3943" i="16"/>
  <c r="E3943" i="16"/>
  <c r="J3943" i="16"/>
  <c r="O3957" i="16"/>
  <c r="G3957" i="16"/>
  <c r="J3957" i="16"/>
  <c r="I3968" i="16"/>
  <c r="I3969" i="16"/>
  <c r="I3970" i="16"/>
  <c r="N3982" i="16"/>
  <c r="F3982" i="16"/>
  <c r="J3982" i="16"/>
  <c r="H3992" i="16"/>
  <c r="T3992" i="16"/>
  <c r="H3993" i="16"/>
  <c r="T3993" i="16"/>
  <c r="H3994" i="16"/>
  <c r="T3994" i="16"/>
  <c r="P3996" i="16"/>
  <c r="H3996" i="16"/>
  <c r="J3996" i="16"/>
  <c r="M4007" i="16"/>
  <c r="E4007" i="16"/>
  <c r="J4007" i="16"/>
  <c r="O4021" i="16"/>
  <c r="G4021" i="16"/>
  <c r="J4021" i="16"/>
  <c r="I4032" i="16"/>
  <c r="I4033" i="16"/>
  <c r="I4034" i="16"/>
  <c r="P4058" i="16"/>
  <c r="H4058" i="16"/>
  <c r="O4058" i="16"/>
  <c r="F4058" i="16"/>
  <c r="K4058" i="16"/>
  <c r="O4067" i="16"/>
  <c r="G4067" i="16"/>
  <c r="M4067" i="16"/>
  <c r="J4067" i="16"/>
  <c r="L4070" i="16"/>
  <c r="P4070" i="16"/>
  <c r="G4070" i="16"/>
  <c r="J4070" i="16"/>
  <c r="K4079" i="16"/>
  <c r="M4079" i="16"/>
  <c r="I4079" i="16"/>
  <c r="M4093" i="16"/>
  <c r="E4093" i="16"/>
  <c r="O4093" i="16"/>
  <c r="F4093" i="16"/>
  <c r="K4093" i="16"/>
  <c r="P4122" i="16"/>
  <c r="H4122" i="16"/>
  <c r="O4122" i="16"/>
  <c r="F4122" i="16"/>
  <c r="K4122" i="16"/>
  <c r="O4131" i="16"/>
  <c r="G4131" i="16"/>
  <c r="M4131" i="16"/>
  <c r="J4131" i="16"/>
  <c r="L4134" i="16"/>
  <c r="P4134" i="16"/>
  <c r="G4134" i="16"/>
  <c r="J4134" i="16"/>
  <c r="K4143" i="16"/>
  <c r="M4143" i="16"/>
  <c r="I4143" i="16"/>
  <c r="M4157" i="16"/>
  <c r="E4157" i="16"/>
  <c r="O4157" i="16"/>
  <c r="F4157" i="16"/>
  <c r="K4157" i="16"/>
  <c r="P4186" i="16"/>
  <c r="H4186" i="16"/>
  <c r="O4186" i="16"/>
  <c r="F4186" i="16"/>
  <c r="K4186" i="16"/>
  <c r="O4195" i="16"/>
  <c r="G4195" i="16"/>
  <c r="M4195" i="16"/>
  <c r="J4195" i="16"/>
  <c r="L4198" i="16"/>
  <c r="P4198" i="16"/>
  <c r="G4198" i="16"/>
  <c r="J4198" i="16"/>
  <c r="K4207" i="16"/>
  <c r="M4207" i="16"/>
  <c r="I4207" i="16"/>
  <c r="M4221" i="16"/>
  <c r="E4221" i="16"/>
  <c r="O4221" i="16"/>
  <c r="F4221" i="16"/>
  <c r="K4221" i="16"/>
  <c r="P4250" i="16"/>
  <c r="H4250" i="16"/>
  <c r="O4250" i="16"/>
  <c r="F4250" i="16"/>
  <c r="K4250" i="16"/>
  <c r="O4259" i="16"/>
  <c r="G4259" i="16"/>
  <c r="M4259" i="16"/>
  <c r="J4259" i="16"/>
  <c r="L4262" i="16"/>
  <c r="P4262" i="16"/>
  <c r="G4262" i="16"/>
  <c r="J4262" i="16"/>
  <c r="K4271" i="16"/>
  <c r="M4271" i="16"/>
  <c r="I4271" i="16"/>
  <c r="M4285" i="16"/>
  <c r="E4285" i="16"/>
  <c r="O4285" i="16"/>
  <c r="F4285" i="16"/>
  <c r="K4285" i="16"/>
  <c r="P4314" i="16"/>
  <c r="H4314" i="16"/>
  <c r="O4314" i="16"/>
  <c r="F4314" i="16"/>
  <c r="K4314" i="16"/>
  <c r="O4323" i="16"/>
  <c r="G4323" i="16"/>
  <c r="M4323" i="16"/>
  <c r="J4323" i="16"/>
  <c r="L4326" i="16"/>
  <c r="P4326" i="16"/>
  <c r="G4326" i="16"/>
  <c r="J4326" i="16"/>
  <c r="K4335" i="16"/>
  <c r="M4335" i="16"/>
  <c r="I4335" i="16"/>
  <c r="M4349" i="16"/>
  <c r="E4349" i="16"/>
  <c r="O4349" i="16"/>
  <c r="F4349" i="16"/>
  <c r="K4349" i="16"/>
  <c r="P4378" i="16"/>
  <c r="H4378" i="16"/>
  <c r="O4378" i="16"/>
  <c r="F4378" i="16"/>
  <c r="K4378" i="16"/>
  <c r="O4387" i="16"/>
  <c r="G4387" i="16"/>
  <c r="M4387" i="16"/>
  <c r="J4387" i="16"/>
  <c r="L4390" i="16"/>
  <c r="P4390" i="16"/>
  <c r="G4390" i="16"/>
  <c r="J4390" i="16"/>
  <c r="K4399" i="16"/>
  <c r="M4399" i="16"/>
  <c r="I4399" i="16"/>
  <c r="M4413" i="16"/>
  <c r="E4413" i="16"/>
  <c r="O4413" i="16"/>
  <c r="F4413" i="16"/>
  <c r="K4413" i="16"/>
  <c r="P4442" i="16"/>
  <c r="H4442" i="16"/>
  <c r="O4442" i="16"/>
  <c r="F4442" i="16"/>
  <c r="K4442" i="16"/>
  <c r="O4451" i="16"/>
  <c r="G4451" i="16"/>
  <c r="M4451" i="16"/>
  <c r="J4451" i="16"/>
  <c r="L4454" i="16"/>
  <c r="P4454" i="16"/>
  <c r="G4454" i="16"/>
  <c r="J4454" i="16"/>
  <c r="K4463" i="16"/>
  <c r="M4463" i="16"/>
  <c r="I4463" i="16"/>
  <c r="M4477" i="16"/>
  <c r="E4477" i="16"/>
  <c r="O4477" i="16"/>
  <c r="F4477" i="16"/>
  <c r="K4477" i="16"/>
  <c r="P4506" i="16"/>
  <c r="H4506" i="16"/>
  <c r="O4506" i="16"/>
  <c r="F4506" i="16"/>
  <c r="K4506" i="16"/>
  <c r="O4515" i="16"/>
  <c r="G4515" i="16"/>
  <c r="M4515" i="16"/>
  <c r="J4515" i="16"/>
  <c r="L4518" i="16"/>
  <c r="P4518" i="16"/>
  <c r="G4518" i="16"/>
  <c r="J4518" i="16"/>
  <c r="K4527" i="16"/>
  <c r="M4527" i="16"/>
  <c r="I4527" i="16"/>
  <c r="M4541" i="16"/>
  <c r="E4541" i="16"/>
  <c r="O4541" i="16"/>
  <c r="F4541" i="16"/>
  <c r="K4541" i="16"/>
  <c r="L4549" i="16"/>
  <c r="L4555" i="16"/>
  <c r="K4566" i="16"/>
  <c r="M4571" i="16"/>
  <c r="K4578" i="16"/>
  <c r="N4580" i="16"/>
  <c r="F4580" i="16"/>
  <c r="P4580" i="16"/>
  <c r="G4580" i="16"/>
  <c r="O4580" i="16"/>
  <c r="E4580" i="16"/>
  <c r="L4580" i="16"/>
  <c r="J4592" i="16"/>
  <c r="N4592" i="16"/>
  <c r="E4592" i="16"/>
  <c r="M4592" i="16"/>
  <c r="K4592" i="16"/>
  <c r="M4595" i="16"/>
  <c r="M4602" i="16"/>
  <c r="L4606" i="16"/>
  <c r="P4606" i="16"/>
  <c r="G4606" i="16"/>
  <c r="O4606" i="16"/>
  <c r="F4606" i="16"/>
  <c r="K4606" i="16"/>
  <c r="J4608" i="16"/>
  <c r="P4608" i="16"/>
  <c r="G4608" i="16"/>
  <c r="O4608" i="16"/>
  <c r="F4608" i="16"/>
  <c r="L4608" i="16"/>
  <c r="K4631" i="16"/>
  <c r="P4631" i="16"/>
  <c r="G4631" i="16"/>
  <c r="O4631" i="16"/>
  <c r="F4631" i="16"/>
  <c r="N4631" i="16"/>
  <c r="E4631" i="16"/>
  <c r="M4631" i="16"/>
  <c r="K4639" i="16"/>
  <c r="M4639" i="16"/>
  <c r="L4639" i="16"/>
  <c r="J4639" i="16"/>
  <c r="I4639" i="16"/>
  <c r="O4645" i="16"/>
  <c r="M4653" i="16"/>
  <c r="E4653" i="16"/>
  <c r="O4653" i="16"/>
  <c r="F4653" i="16"/>
  <c r="N4653" i="16"/>
  <c r="L4653" i="16"/>
  <c r="K4653" i="16"/>
  <c r="J4672" i="16"/>
  <c r="T4672" i="16"/>
  <c r="H4672" i="16"/>
  <c r="P4672" i="16"/>
  <c r="G4672" i="16"/>
  <c r="O4672" i="16"/>
  <c r="F4672" i="16"/>
  <c r="M4672" i="16"/>
  <c r="O4677" i="16"/>
  <c r="O4679" i="16"/>
  <c r="O4683" i="16"/>
  <c r="G4683" i="16"/>
  <c r="T4683" i="16"/>
  <c r="H4683" i="16"/>
  <c r="P4683" i="16"/>
  <c r="F4683" i="16"/>
  <c r="N4683" i="16"/>
  <c r="E4683" i="16"/>
  <c r="M4683" i="16"/>
  <c r="T4696" i="16"/>
  <c r="P4698" i="16"/>
  <c r="H4698" i="16"/>
  <c r="I4698" i="16"/>
  <c r="T4698" i="16"/>
  <c r="G4698" i="16"/>
  <c r="O4698" i="16"/>
  <c r="F4698" i="16"/>
  <c r="M4698" i="16"/>
  <c r="L4702" i="16"/>
  <c r="M4702" i="16"/>
  <c r="K4702" i="16"/>
  <c r="J4702" i="16"/>
  <c r="I4702" i="16"/>
  <c r="L4718" i="16"/>
  <c r="O4718" i="16"/>
  <c r="F4718" i="16"/>
  <c r="N4718" i="16"/>
  <c r="E4718" i="16"/>
  <c r="M4718" i="16"/>
  <c r="K4718" i="16"/>
  <c r="P4722" i="16"/>
  <c r="H4722" i="16"/>
  <c r="T4722" i="16"/>
  <c r="G4722" i="16"/>
  <c r="O4722" i="16"/>
  <c r="F4722" i="16"/>
  <c r="N4722" i="16"/>
  <c r="E4722" i="16"/>
  <c r="M4722" i="16"/>
  <c r="N4730" i="16"/>
  <c r="M4733" i="16"/>
  <c r="E4733" i="16"/>
  <c r="T4733" i="16"/>
  <c r="H4733" i="16"/>
  <c r="P4733" i="16"/>
  <c r="G4733" i="16"/>
  <c r="O4733" i="16"/>
  <c r="F4733" i="16"/>
  <c r="N4733" i="16"/>
  <c r="L4742" i="16"/>
  <c r="N4742" i="16"/>
  <c r="E4742" i="16"/>
  <c r="M4742" i="16"/>
  <c r="K4742" i="16"/>
  <c r="J4742" i="16"/>
  <c r="J4744" i="16"/>
  <c r="N4744" i="16"/>
  <c r="E4744" i="16"/>
  <c r="M4744" i="16"/>
  <c r="L4744" i="16"/>
  <c r="K4744" i="16"/>
  <c r="N4755" i="16"/>
  <c r="L4758" i="16"/>
  <c r="P4758" i="16"/>
  <c r="G4758" i="16"/>
  <c r="O4758" i="16"/>
  <c r="F4758" i="16"/>
  <c r="N4758" i="16"/>
  <c r="E4758" i="16"/>
  <c r="M4758" i="16"/>
  <c r="N4768" i="16"/>
  <c r="N4772" i="16"/>
  <c r="F4772" i="16"/>
  <c r="T4772" i="16"/>
  <c r="H4772" i="16"/>
  <c r="P4772" i="16"/>
  <c r="G4772" i="16"/>
  <c r="O4772" i="16"/>
  <c r="E4772" i="16"/>
  <c r="M4772" i="16"/>
  <c r="K4783" i="16"/>
  <c r="O4783" i="16"/>
  <c r="F4783" i="16"/>
  <c r="N4783" i="16"/>
  <c r="E4783" i="16"/>
  <c r="M4783" i="16"/>
  <c r="L4783" i="16"/>
  <c r="O4795" i="16"/>
  <c r="G4795" i="16"/>
  <c r="N4795" i="16"/>
  <c r="E4795" i="16"/>
  <c r="M4795" i="16"/>
  <c r="L4795" i="16"/>
  <c r="K4795" i="16"/>
  <c r="K4799" i="16"/>
  <c r="T4799" i="16"/>
  <c r="H4799" i="16"/>
  <c r="P4799" i="16"/>
  <c r="G4799" i="16"/>
  <c r="O4799" i="16"/>
  <c r="F4799" i="16"/>
  <c r="M4799" i="16"/>
  <c r="P4810" i="16"/>
  <c r="H4810" i="16"/>
  <c r="O4810" i="16"/>
  <c r="F4810" i="16"/>
  <c r="N4810" i="16"/>
  <c r="E4810" i="16"/>
  <c r="M4810" i="16"/>
  <c r="L4810" i="16"/>
  <c r="N4820" i="16"/>
  <c r="F4820" i="16"/>
  <c r="O4820" i="16"/>
  <c r="E4820" i="16"/>
  <c r="M4820" i="16"/>
  <c r="L4820" i="16"/>
  <c r="K4820" i="16"/>
  <c r="T4823" i="16"/>
  <c r="N4831" i="16"/>
  <c r="P4834" i="16"/>
  <c r="H4834" i="16"/>
  <c r="N4834" i="16"/>
  <c r="E4834" i="16"/>
  <c r="M4834" i="16"/>
  <c r="L4834" i="16"/>
  <c r="K4834" i="16"/>
  <c r="P4845" i="16"/>
  <c r="J4848" i="16"/>
  <c r="O4848" i="16"/>
  <c r="F4848" i="16"/>
  <c r="N4848" i="16"/>
  <c r="E4848" i="16"/>
  <c r="M4848" i="16"/>
  <c r="L4848" i="16"/>
  <c r="N4860" i="16"/>
  <c r="F4860" i="16"/>
  <c r="P4860" i="16"/>
  <c r="G4860" i="16"/>
  <c r="O4860" i="16"/>
  <c r="E4860" i="16"/>
  <c r="M4860" i="16"/>
  <c r="L4860" i="16"/>
  <c r="N4864" i="16"/>
  <c r="N4876" i="16"/>
  <c r="F4876" i="16"/>
  <c r="I4876" i="16"/>
  <c r="T4876" i="16"/>
  <c r="H4876" i="16"/>
  <c r="P4876" i="16"/>
  <c r="G4876" i="16"/>
  <c r="M4876" i="16"/>
  <c r="M4885" i="16"/>
  <c r="E4885" i="16"/>
  <c r="P4885" i="16"/>
  <c r="G4885" i="16"/>
  <c r="O4885" i="16"/>
  <c r="F4885" i="16"/>
  <c r="N4885" i="16"/>
  <c r="L4885" i="16"/>
  <c r="N4890" i="16"/>
  <c r="N4894" i="16"/>
  <c r="O4899" i="16"/>
  <c r="G4899" i="16"/>
  <c r="P4899" i="16"/>
  <c r="F4899" i="16"/>
  <c r="N4899" i="16"/>
  <c r="E4899" i="16"/>
  <c r="M4899" i="16"/>
  <c r="L4899" i="16"/>
  <c r="N4908" i="16"/>
  <c r="F4908" i="16"/>
  <c r="M4908" i="16"/>
  <c r="L4908" i="16"/>
  <c r="K4908" i="16"/>
  <c r="J4908" i="16"/>
  <c r="P4910" i="16"/>
  <c r="O4915" i="16"/>
  <c r="G4915" i="16"/>
  <c r="I4915" i="16"/>
  <c r="T4915" i="16"/>
  <c r="H4915" i="16"/>
  <c r="P4915" i="16"/>
  <c r="F4915" i="16"/>
  <c r="M4915" i="16"/>
  <c r="L4926" i="16"/>
  <c r="T4926" i="16"/>
  <c r="H4926" i="16"/>
  <c r="P4926" i="16"/>
  <c r="G4926" i="16"/>
  <c r="O4926" i="16"/>
  <c r="F4926" i="16"/>
  <c r="M4926" i="16"/>
  <c r="O4934" i="16"/>
  <c r="O4936" i="16"/>
  <c r="T4950" i="16"/>
  <c r="M4965" i="16"/>
  <c r="E4965" i="16"/>
  <c r="I4965" i="16"/>
  <c r="T4965" i="16"/>
  <c r="H4965" i="16"/>
  <c r="P4965" i="16"/>
  <c r="G4965" i="16"/>
  <c r="N4965" i="16"/>
  <c r="P4975" i="16"/>
  <c r="P4987" i="16"/>
  <c r="N4991" i="16"/>
  <c r="M4997" i="16"/>
  <c r="E4997" i="16"/>
  <c r="N4997" i="16"/>
  <c r="L4997" i="16"/>
  <c r="K4997" i="16"/>
  <c r="J4997" i="16"/>
  <c r="K4999" i="16"/>
  <c r="N4999" i="16"/>
  <c r="E4999" i="16"/>
  <c r="M4999" i="16"/>
  <c r="L4999" i="16"/>
  <c r="J4999" i="16"/>
  <c r="T5002" i="16"/>
  <c r="P5012" i="16"/>
  <c r="J5016" i="16"/>
  <c r="P5016" i="16"/>
  <c r="G5016" i="16"/>
  <c r="O5016" i="16"/>
  <c r="F5016" i="16"/>
  <c r="N5016" i="16"/>
  <c r="E5016" i="16"/>
  <c r="M5016" i="16"/>
  <c r="O5027" i="16"/>
  <c r="G5027" i="16"/>
  <c r="N5027" i="16"/>
  <c r="F5027" i="16"/>
  <c r="J5027" i="16"/>
  <c r="I5027" i="16"/>
  <c r="H5027" i="16"/>
  <c r="P5027" i="16"/>
  <c r="O5030" i="16"/>
  <c r="M5037" i="16"/>
  <c r="E5037" i="16"/>
  <c r="L5037" i="16"/>
  <c r="T5037" i="16"/>
  <c r="G5037" i="16"/>
  <c r="P5037" i="16"/>
  <c r="F5037" i="16"/>
  <c r="O5037" i="16"/>
  <c r="N5037" i="16"/>
  <c r="O5059" i="16"/>
  <c r="G5059" i="16"/>
  <c r="N5059" i="16"/>
  <c r="F5059" i="16"/>
  <c r="J5059" i="16"/>
  <c r="I5059" i="16"/>
  <c r="H5059" i="16"/>
  <c r="P5059" i="16"/>
  <c r="O5062" i="16"/>
  <c r="M5069" i="16"/>
  <c r="E5069" i="16"/>
  <c r="L5069" i="16"/>
  <c r="T5069" i="16"/>
  <c r="G5069" i="16"/>
  <c r="P5069" i="16"/>
  <c r="F5069" i="16"/>
  <c r="O5069" i="16"/>
  <c r="N5069" i="16"/>
  <c r="O5091" i="16"/>
  <c r="G5091" i="16"/>
  <c r="N5091" i="16"/>
  <c r="F5091" i="16"/>
  <c r="J5091" i="16"/>
  <c r="I5091" i="16"/>
  <c r="H5091" i="16"/>
  <c r="P5091" i="16"/>
  <c r="O5094" i="16"/>
  <c r="M5101" i="16"/>
  <c r="E5101" i="16"/>
  <c r="L5101" i="16"/>
  <c r="T5101" i="16"/>
  <c r="G5101" i="16"/>
  <c r="P5101" i="16"/>
  <c r="F5101" i="16"/>
  <c r="O5101" i="16"/>
  <c r="N5101" i="16"/>
  <c r="O5123" i="16"/>
  <c r="G5123" i="16"/>
  <c r="N5123" i="16"/>
  <c r="F5123" i="16"/>
  <c r="J5123" i="16"/>
  <c r="I5123" i="16"/>
  <c r="H5123" i="16"/>
  <c r="P5123" i="16"/>
  <c r="O5126" i="16"/>
  <c r="M5133" i="16"/>
  <c r="E5133" i="16"/>
  <c r="L5133" i="16"/>
  <c r="T5133" i="16"/>
  <c r="G5133" i="16"/>
  <c r="P5133" i="16"/>
  <c r="F5133" i="16"/>
  <c r="O5133" i="16"/>
  <c r="N5133" i="16"/>
  <c r="O5155" i="16"/>
  <c r="G5155" i="16"/>
  <c r="N5155" i="16"/>
  <c r="F5155" i="16"/>
  <c r="J5155" i="16"/>
  <c r="I5155" i="16"/>
  <c r="H5155" i="16"/>
  <c r="P5155" i="16"/>
  <c r="O5158" i="16"/>
  <c r="M5165" i="16"/>
  <c r="E5165" i="16"/>
  <c r="L5165" i="16"/>
  <c r="T5165" i="16"/>
  <c r="G5165" i="16"/>
  <c r="P5165" i="16"/>
  <c r="F5165" i="16"/>
  <c r="O5165" i="16"/>
  <c r="N5165" i="16"/>
  <c r="O5187" i="16"/>
  <c r="G5187" i="16"/>
  <c r="N5187" i="16"/>
  <c r="F5187" i="16"/>
  <c r="J5187" i="16"/>
  <c r="I5187" i="16"/>
  <c r="H5187" i="16"/>
  <c r="P5187" i="16"/>
  <c r="O5190" i="16"/>
  <c r="M5197" i="16"/>
  <c r="E5197" i="16"/>
  <c r="L5197" i="16"/>
  <c r="T5197" i="16"/>
  <c r="G5197" i="16"/>
  <c r="P5197" i="16"/>
  <c r="F5197" i="16"/>
  <c r="O5197" i="16"/>
  <c r="N5197" i="16"/>
  <c r="O5219" i="16"/>
  <c r="G5219" i="16"/>
  <c r="N5219" i="16"/>
  <c r="F5219" i="16"/>
  <c r="J5219" i="16"/>
  <c r="I5219" i="16"/>
  <c r="H5219" i="16"/>
  <c r="P5219" i="16"/>
  <c r="O5222" i="16"/>
  <c r="M5229" i="16"/>
  <c r="E5229" i="16"/>
  <c r="L5229" i="16"/>
  <c r="T5229" i="16"/>
  <c r="G5229" i="16"/>
  <c r="P5229" i="16"/>
  <c r="F5229" i="16"/>
  <c r="O5229" i="16"/>
  <c r="N5229" i="16"/>
  <c r="P5250" i="16"/>
  <c r="H5250" i="16"/>
  <c r="O5250" i="16"/>
  <c r="G5250" i="16"/>
  <c r="T5250" i="16"/>
  <c r="E5250" i="16"/>
  <c r="N5250" i="16"/>
  <c r="M5250" i="16"/>
  <c r="L5250" i="16"/>
  <c r="L5254" i="16"/>
  <c r="K5254" i="16"/>
  <c r="H5254" i="16"/>
  <c r="T5254" i="16"/>
  <c r="G5254" i="16"/>
  <c r="P5254" i="16"/>
  <c r="F5254" i="16"/>
  <c r="N5254" i="16"/>
  <c r="T5267" i="16"/>
  <c r="M5277" i="16"/>
  <c r="E5277" i="16"/>
  <c r="L5277" i="16"/>
  <c r="T5277" i="16"/>
  <c r="G5277" i="16"/>
  <c r="P5277" i="16"/>
  <c r="F5277" i="16"/>
  <c r="O5277" i="16"/>
  <c r="N5277" i="16"/>
  <c r="O5291" i="16"/>
  <c r="G5291" i="16"/>
  <c r="N5291" i="16"/>
  <c r="F5291" i="16"/>
  <c r="J5291" i="16"/>
  <c r="I5291" i="16"/>
  <c r="H5291" i="16"/>
  <c r="P5291" i="16"/>
  <c r="O5294" i="16"/>
  <c r="P5314" i="16"/>
  <c r="H5314" i="16"/>
  <c r="O5314" i="16"/>
  <c r="G5314" i="16"/>
  <c r="T5314" i="16"/>
  <c r="E5314" i="16"/>
  <c r="N5314" i="16"/>
  <c r="M5314" i="16"/>
  <c r="L5314" i="16"/>
  <c r="L5318" i="16"/>
  <c r="K5318" i="16"/>
  <c r="H5318" i="16"/>
  <c r="T5318" i="16"/>
  <c r="G5318" i="16"/>
  <c r="P5318" i="16"/>
  <c r="F5318" i="16"/>
  <c r="N5318" i="16"/>
  <c r="T5331" i="16"/>
  <c r="M5341" i="16"/>
  <c r="E5341" i="16"/>
  <c r="L5341" i="16"/>
  <c r="T5341" i="16"/>
  <c r="G5341" i="16"/>
  <c r="P5341" i="16"/>
  <c r="F5341" i="16"/>
  <c r="O5341" i="16"/>
  <c r="N5341" i="16"/>
  <c r="O5355" i="16"/>
  <c r="G5355" i="16"/>
  <c r="N5355" i="16"/>
  <c r="F5355" i="16"/>
  <c r="J5355" i="16"/>
  <c r="I5355" i="16"/>
  <c r="H5355" i="16"/>
  <c r="P5355" i="16"/>
  <c r="O5358" i="16"/>
  <c r="P5378" i="16"/>
  <c r="H5378" i="16"/>
  <c r="O5378" i="16"/>
  <c r="G5378" i="16"/>
  <c r="T5378" i="16"/>
  <c r="E5378" i="16"/>
  <c r="N5378" i="16"/>
  <c r="M5378" i="16"/>
  <c r="L5378" i="16"/>
  <c r="L5382" i="16"/>
  <c r="K5382" i="16"/>
  <c r="H5382" i="16"/>
  <c r="T5382" i="16"/>
  <c r="G5382" i="16"/>
  <c r="P5382" i="16"/>
  <c r="F5382" i="16"/>
  <c r="N5382" i="16"/>
  <c r="T5395" i="16"/>
  <c r="M5405" i="16"/>
  <c r="E5405" i="16"/>
  <c r="L5405" i="16"/>
  <c r="T5405" i="16"/>
  <c r="G5405" i="16"/>
  <c r="P5405" i="16"/>
  <c r="F5405" i="16"/>
  <c r="O5405" i="16"/>
  <c r="N5405" i="16"/>
  <c r="O5419" i="16"/>
  <c r="G5419" i="16"/>
  <c r="N5419" i="16"/>
  <c r="F5419" i="16"/>
  <c r="J5419" i="16"/>
  <c r="I5419" i="16"/>
  <c r="H5419" i="16"/>
  <c r="P5419" i="16"/>
  <c r="O5422" i="16"/>
  <c r="P5442" i="16"/>
  <c r="H5442" i="16"/>
  <c r="O5442" i="16"/>
  <c r="G5442" i="16"/>
  <c r="T5442" i="16"/>
  <c r="E5442" i="16"/>
  <c r="N5442" i="16"/>
  <c r="M5442" i="16"/>
  <c r="L5442" i="16"/>
  <c r="L5446" i="16"/>
  <c r="K5446" i="16"/>
  <c r="H5446" i="16"/>
  <c r="T5446" i="16"/>
  <c r="G5446" i="16"/>
  <c r="P5446" i="16"/>
  <c r="F5446" i="16"/>
  <c r="N5446" i="16"/>
  <c r="T5459" i="16"/>
  <c r="M5469" i="16"/>
  <c r="E5469" i="16"/>
  <c r="L5469" i="16"/>
  <c r="T5469" i="16"/>
  <c r="G5469" i="16"/>
  <c r="P5469" i="16"/>
  <c r="F5469" i="16"/>
  <c r="O5469" i="16"/>
  <c r="N5469" i="16"/>
  <c r="O5483" i="16"/>
  <c r="G5483" i="16"/>
  <c r="N5483" i="16"/>
  <c r="F5483" i="16"/>
  <c r="J5483" i="16"/>
  <c r="I5483" i="16"/>
  <c r="H5483" i="16"/>
  <c r="P5483" i="16"/>
  <c r="O5486" i="16"/>
  <c r="P5506" i="16"/>
  <c r="H5506" i="16"/>
  <c r="O5506" i="16"/>
  <c r="G5506" i="16"/>
  <c r="T5506" i="16"/>
  <c r="E5506" i="16"/>
  <c r="N5506" i="16"/>
  <c r="M5506" i="16"/>
  <c r="L5506" i="16"/>
  <c r="L5510" i="16"/>
  <c r="K5510" i="16"/>
  <c r="H5510" i="16"/>
  <c r="T5510" i="16"/>
  <c r="G5510" i="16"/>
  <c r="P5510" i="16"/>
  <c r="F5510" i="16"/>
  <c r="N5510" i="16"/>
  <c r="T5523" i="16"/>
  <c r="M5533" i="16"/>
  <c r="E5533" i="16"/>
  <c r="L5533" i="16"/>
  <c r="T5533" i="16"/>
  <c r="G5533" i="16"/>
  <c r="P5533" i="16"/>
  <c r="F5533" i="16"/>
  <c r="O5533" i="16"/>
  <c r="N5533" i="16"/>
  <c r="O5547" i="16"/>
  <c r="G5547" i="16"/>
  <c r="N5547" i="16"/>
  <c r="F5547" i="16"/>
  <c r="J5547" i="16"/>
  <c r="I5547" i="16"/>
  <c r="H5547" i="16"/>
  <c r="P5547" i="16"/>
  <c r="O5550" i="16"/>
  <c r="L5558" i="16"/>
  <c r="K5558" i="16"/>
  <c r="J5558" i="16"/>
  <c r="G5558" i="16"/>
  <c r="T5558" i="16"/>
  <c r="F5558" i="16"/>
  <c r="P5558" i="16"/>
  <c r="E5558" i="16"/>
  <c r="O5558" i="16"/>
  <c r="P5566" i="16"/>
  <c r="M5589" i="16"/>
  <c r="E5589" i="16"/>
  <c r="L5589" i="16"/>
  <c r="K5589" i="16"/>
  <c r="I5589" i="16"/>
  <c r="H5589" i="16"/>
  <c r="G5589" i="16"/>
  <c r="P5589" i="16"/>
  <c r="P5598" i="16"/>
  <c r="P5666" i="16"/>
  <c r="H5666" i="16"/>
  <c r="O5666" i="16"/>
  <c r="G5666" i="16"/>
  <c r="N5666" i="16"/>
  <c r="F5666" i="16"/>
  <c r="T5666" i="16"/>
  <c r="M5666" i="16"/>
  <c r="L5666" i="16"/>
  <c r="L5686" i="16"/>
  <c r="K5686" i="16"/>
  <c r="J5686" i="16"/>
  <c r="G5686" i="16"/>
  <c r="T5686" i="16"/>
  <c r="F5686" i="16"/>
  <c r="P5686" i="16"/>
  <c r="E5686" i="16"/>
  <c r="O5686" i="16"/>
  <c r="P5694" i="16"/>
  <c r="M5717" i="16"/>
  <c r="E5717" i="16"/>
  <c r="L5717" i="16"/>
  <c r="K5717" i="16"/>
  <c r="I5717" i="16"/>
  <c r="H5717" i="16"/>
  <c r="G5717" i="16"/>
  <c r="P5717" i="16"/>
  <c r="P5726" i="16"/>
  <c r="P5794" i="16"/>
  <c r="H5794" i="16"/>
  <c r="O5794" i="16"/>
  <c r="G5794" i="16"/>
  <c r="N5794" i="16"/>
  <c r="F5794" i="16"/>
  <c r="T5794" i="16"/>
  <c r="M5794" i="16"/>
  <c r="L5794" i="16"/>
  <c r="L5814" i="16"/>
  <c r="K5814" i="16"/>
  <c r="J5814" i="16"/>
  <c r="G5814" i="16"/>
  <c r="T5814" i="16"/>
  <c r="F5814" i="16"/>
  <c r="P5814" i="16"/>
  <c r="E5814" i="16"/>
  <c r="O5814" i="16"/>
  <c r="P5822" i="16"/>
  <c r="M5845" i="16"/>
  <c r="E5845" i="16"/>
  <c r="L5845" i="16"/>
  <c r="K5845" i="16"/>
  <c r="I5845" i="16"/>
  <c r="H5845" i="16"/>
  <c r="G5845" i="16"/>
  <c r="P5845" i="16"/>
  <c r="P5854" i="16"/>
  <c r="V20" i="17"/>
  <c r="N20" i="17"/>
  <c r="AC20" i="17"/>
  <c r="U20" i="17"/>
  <c r="AQ20" i="17" s="1"/>
  <c r="M20" i="17"/>
  <c r="AA20" i="17"/>
  <c r="Q20" i="17"/>
  <c r="Z20" i="17"/>
  <c r="Y20" i="17"/>
  <c r="AO20" i="17"/>
  <c r="W20" i="17"/>
  <c r="T20" i="17"/>
  <c r="S20" i="17"/>
  <c r="V34" i="17"/>
  <c r="N34" i="17"/>
  <c r="AC34" i="17"/>
  <c r="U34" i="17"/>
  <c r="M34" i="17"/>
  <c r="AD34" i="17" s="1"/>
  <c r="Z34" i="17"/>
  <c r="Y34" i="17"/>
  <c r="X34" i="17"/>
  <c r="L34" i="17"/>
  <c r="Q34" i="17"/>
  <c r="K34" i="17"/>
  <c r="AB34" i="17"/>
  <c r="J34" i="17"/>
  <c r="AA40" i="17"/>
  <c r="W40" i="17"/>
  <c r="J40" i="17"/>
  <c r="J48" i="17"/>
  <c r="J52" i="17"/>
  <c r="AO52" i="17"/>
  <c r="V70" i="17"/>
  <c r="N70" i="17"/>
  <c r="AC70" i="17"/>
  <c r="U70" i="17"/>
  <c r="M70" i="17"/>
  <c r="AE70" i="17" s="1"/>
  <c r="AB70" i="17"/>
  <c r="R70" i="17"/>
  <c r="AP70" i="17" s="1"/>
  <c r="AA70" i="17"/>
  <c r="Q70" i="17"/>
  <c r="Z70" i="17"/>
  <c r="S70" i="17"/>
  <c r="L70" i="17"/>
  <c r="AA72" i="17"/>
  <c r="L72" i="17"/>
  <c r="J72" i="17"/>
  <c r="J82" i="17"/>
  <c r="J86" i="17"/>
  <c r="AO86" i="17"/>
  <c r="V96" i="17"/>
  <c r="N96" i="17"/>
  <c r="AC96" i="17"/>
  <c r="U96" i="17"/>
  <c r="AQ96" i="17" s="1"/>
  <c r="M96" i="17"/>
  <c r="AD96" i="17" s="1"/>
  <c r="Y96" i="17"/>
  <c r="X96" i="17"/>
  <c r="L96" i="17"/>
  <c r="W96" i="17"/>
  <c r="K96" i="17"/>
  <c r="R96" i="17"/>
  <c r="AG96" i="17" s="1"/>
  <c r="Q96" i="17"/>
  <c r="J100" i="17"/>
  <c r="AL250" i="17"/>
  <c r="AD250" i="17"/>
  <c r="V250" i="17"/>
  <c r="N250" i="17"/>
  <c r="AK250" i="17"/>
  <c r="AC250" i="17"/>
  <c r="U250" i="17"/>
  <c r="M250" i="17"/>
  <c r="AR250" i="17"/>
  <c r="AH250" i="17"/>
  <c r="X250" i="17"/>
  <c r="L250" i="17"/>
  <c r="AQ250" i="17"/>
  <c r="AG250" i="17"/>
  <c r="W250" i="17"/>
  <c r="K250" i="17"/>
  <c r="AP250" i="17"/>
  <c r="AF250" i="17"/>
  <c r="T250" i="17"/>
  <c r="J250" i="17"/>
  <c r="AN250" i="17"/>
  <c r="Y250" i="17"/>
  <c r="AM250" i="17"/>
  <c r="S250" i="17"/>
  <c r="AJ250" i="17"/>
  <c r="R250" i="17"/>
  <c r="AE250" i="17"/>
  <c r="AB250" i="17"/>
  <c r="AA250" i="17"/>
  <c r="AL286" i="17"/>
  <c r="AD286" i="17"/>
  <c r="V286" i="17"/>
  <c r="N286" i="17"/>
  <c r="AK286" i="17"/>
  <c r="AC286" i="17"/>
  <c r="U286" i="17"/>
  <c r="M286" i="17"/>
  <c r="AJ286" i="17"/>
  <c r="Z286" i="17"/>
  <c r="P286" i="17"/>
  <c r="AI286" i="17"/>
  <c r="Y286" i="17"/>
  <c r="O286" i="17"/>
  <c r="AR286" i="17"/>
  <c r="AH286" i="17"/>
  <c r="X286" i="17"/>
  <c r="L286" i="17"/>
  <c r="AO286" i="17"/>
  <c r="W286" i="17"/>
  <c r="AN286" i="17"/>
  <c r="T286" i="17"/>
  <c r="AM286" i="17"/>
  <c r="S286" i="17"/>
  <c r="AB286" i="17"/>
  <c r="AA286" i="17"/>
  <c r="R286" i="17"/>
  <c r="AQ286" i="17"/>
  <c r="AL300" i="17"/>
  <c r="AD300" i="17"/>
  <c r="V300" i="17"/>
  <c r="N300" i="17"/>
  <c r="AK300" i="17"/>
  <c r="AC300" i="17"/>
  <c r="U300" i="17"/>
  <c r="M300" i="17"/>
  <c r="AI300" i="17"/>
  <c r="Y300" i="17"/>
  <c r="O300" i="17"/>
  <c r="AR300" i="17"/>
  <c r="AH300" i="17"/>
  <c r="X300" i="17"/>
  <c r="L300" i="17"/>
  <c r="AQ300" i="17"/>
  <c r="AG300" i="17"/>
  <c r="W300" i="17"/>
  <c r="K300" i="17"/>
  <c r="AF300" i="17"/>
  <c r="Q300" i="17"/>
  <c r="AE300" i="17"/>
  <c r="P300" i="17"/>
  <c r="AB300" i="17"/>
  <c r="J300" i="17"/>
  <c r="AA300" i="17"/>
  <c r="Z300" i="17"/>
  <c r="T300" i="17"/>
  <c r="Z314" i="17"/>
  <c r="AL316" i="17"/>
  <c r="AD316" i="17"/>
  <c r="V316" i="17"/>
  <c r="N316" i="17"/>
  <c r="AK316" i="17"/>
  <c r="AC316" i="17"/>
  <c r="U316" i="17"/>
  <c r="M316" i="17"/>
  <c r="AI316" i="17"/>
  <c r="Y316" i="17"/>
  <c r="O316" i="17"/>
  <c r="AR316" i="17"/>
  <c r="AH316" i="17"/>
  <c r="X316" i="17"/>
  <c r="L316" i="17"/>
  <c r="AQ316" i="17"/>
  <c r="AG316" i="17"/>
  <c r="W316" i="17"/>
  <c r="K316" i="17"/>
  <c r="AF316" i="17"/>
  <c r="Q316" i="17"/>
  <c r="AE316" i="17"/>
  <c r="P316" i="17"/>
  <c r="AB316" i="17"/>
  <c r="J316" i="17"/>
  <c r="AJ316" i="17"/>
  <c r="AA316" i="17"/>
  <c r="Z316" i="17"/>
  <c r="W322" i="17"/>
  <c r="AL330" i="17"/>
  <c r="AD330" i="17"/>
  <c r="V330" i="17"/>
  <c r="N330" i="17"/>
  <c r="AK330" i="17"/>
  <c r="AC330" i="17"/>
  <c r="U330" i="17"/>
  <c r="M330" i="17"/>
  <c r="AR330" i="17"/>
  <c r="AH330" i="17"/>
  <c r="X330" i="17"/>
  <c r="L330" i="17"/>
  <c r="AQ330" i="17"/>
  <c r="AG330" i="17"/>
  <c r="W330" i="17"/>
  <c r="K330" i="17"/>
  <c r="AP330" i="17"/>
  <c r="AF330" i="17"/>
  <c r="T330" i="17"/>
  <c r="J330" i="17"/>
  <c r="AN330" i="17"/>
  <c r="Y330" i="17"/>
  <c r="AM330" i="17"/>
  <c r="S330" i="17"/>
  <c r="AJ330" i="17"/>
  <c r="R330" i="17"/>
  <c r="Z330" i="17"/>
  <c r="Q330" i="17"/>
  <c r="P330" i="17"/>
  <c r="AL344" i="17"/>
  <c r="AD344" i="17"/>
  <c r="V344" i="17"/>
  <c r="N344" i="17"/>
  <c r="AK344" i="17"/>
  <c r="AC344" i="17"/>
  <c r="U344" i="17"/>
  <c r="M344" i="17"/>
  <c r="AR344" i="17"/>
  <c r="AH344" i="17"/>
  <c r="X344" i="17"/>
  <c r="L344" i="17"/>
  <c r="AQ344" i="17"/>
  <c r="AG344" i="17"/>
  <c r="W344" i="17"/>
  <c r="K344" i="17"/>
  <c r="AP344" i="17"/>
  <c r="AF344" i="17"/>
  <c r="T344" i="17"/>
  <c r="J344" i="17"/>
  <c r="AN344" i="17"/>
  <c r="Y344" i="17"/>
  <c r="AM344" i="17"/>
  <c r="S344" i="17"/>
  <c r="AJ344" i="17"/>
  <c r="R344" i="17"/>
  <c r="AA344" i="17"/>
  <c r="Z344" i="17"/>
  <c r="Q344" i="17"/>
  <c r="W346" i="17"/>
  <c r="J426" i="17"/>
  <c r="AL502" i="17"/>
  <c r="AD502" i="17"/>
  <c r="V502" i="17"/>
  <c r="N502" i="17"/>
  <c r="AK502" i="17"/>
  <c r="AC502" i="17"/>
  <c r="U502" i="17"/>
  <c r="M502" i="17"/>
  <c r="AR502" i="17"/>
  <c r="AH502" i="17"/>
  <c r="X502" i="17"/>
  <c r="L502" i="17"/>
  <c r="AQ502" i="17"/>
  <c r="AG502" i="17"/>
  <c r="W502" i="17"/>
  <c r="K502" i="17"/>
  <c r="AP502" i="17"/>
  <c r="AF502" i="17"/>
  <c r="T502" i="17"/>
  <c r="J502" i="17"/>
  <c r="AN502" i="17"/>
  <c r="Y502" i="17"/>
  <c r="AM502" i="17"/>
  <c r="S502" i="17"/>
  <c r="AJ502" i="17"/>
  <c r="R502" i="17"/>
  <c r="AE502" i="17"/>
  <c r="AB502" i="17"/>
  <c r="AA502" i="17"/>
  <c r="O550" i="17"/>
  <c r="J658" i="17"/>
  <c r="AQ841" i="17"/>
  <c r="AI841" i="17"/>
  <c r="AA841" i="17"/>
  <c r="S841" i="17"/>
  <c r="K841" i="17"/>
  <c r="AR841" i="17"/>
  <c r="AH841" i="17"/>
  <c r="Y841" i="17"/>
  <c r="P841" i="17"/>
  <c r="AP841" i="17"/>
  <c r="AG841" i="17"/>
  <c r="X841" i="17"/>
  <c r="O841" i="17"/>
  <c r="AK841" i="17"/>
  <c r="W841" i="17"/>
  <c r="L841" i="17"/>
  <c r="AJ841" i="17"/>
  <c r="V841" i="17"/>
  <c r="J841" i="17"/>
  <c r="AD841" i="17"/>
  <c r="N841" i="17"/>
  <c r="AC841" i="17"/>
  <c r="M841" i="17"/>
  <c r="AE841" i="17"/>
  <c r="AB841" i="17"/>
  <c r="Z841" i="17"/>
  <c r="T841" i="17"/>
  <c r="R841" i="17"/>
  <c r="AO841" i="17"/>
  <c r="Q841" i="17"/>
  <c r="AM841" i="17"/>
  <c r="AL841" i="17"/>
  <c r="AF841" i="17"/>
  <c r="J907" i="17"/>
  <c r="J1095" i="17"/>
  <c r="L1102" i="17"/>
  <c r="AN1120" i="17"/>
  <c r="AF1120" i="17"/>
  <c r="X1120" i="17"/>
  <c r="P1120" i="17"/>
  <c r="AM1120" i="17"/>
  <c r="AE1120" i="17"/>
  <c r="W1120" i="17"/>
  <c r="O1120" i="17"/>
  <c r="AI1120" i="17"/>
  <c r="Y1120" i="17"/>
  <c r="M1120" i="17"/>
  <c r="AR1120" i="17"/>
  <c r="AH1120" i="17"/>
  <c r="V1120" i="17"/>
  <c r="L1120" i="17"/>
  <c r="AP1120" i="17"/>
  <c r="AB1120" i="17"/>
  <c r="N1120" i="17"/>
  <c r="AO1120" i="17"/>
  <c r="AA1120" i="17"/>
  <c r="K1120" i="17"/>
  <c r="AL1120" i="17"/>
  <c r="T1120" i="17"/>
  <c r="AK1120" i="17"/>
  <c r="S1120" i="17"/>
  <c r="R1120" i="17"/>
  <c r="AQ1120" i="17"/>
  <c r="Q1120" i="17"/>
  <c r="AJ1120" i="17"/>
  <c r="J1120" i="17"/>
  <c r="AC1120" i="17"/>
  <c r="Z1120" i="17"/>
  <c r="U1120" i="17"/>
  <c r="AR1215" i="17"/>
  <c r="AJ1215" i="17"/>
  <c r="AB1215" i="17"/>
  <c r="T1215" i="17"/>
  <c r="L1215" i="17"/>
  <c r="AQ1215" i="17"/>
  <c r="AI1215" i="17"/>
  <c r="AA1215" i="17"/>
  <c r="S1215" i="17"/>
  <c r="K1215" i="17"/>
  <c r="AH1215" i="17"/>
  <c r="X1215" i="17"/>
  <c r="N1215" i="17"/>
  <c r="AG1215" i="17"/>
  <c r="W1215" i="17"/>
  <c r="M1215" i="17"/>
  <c r="AE1215" i="17"/>
  <c r="Q1215" i="17"/>
  <c r="AP1215" i="17"/>
  <c r="AD1215" i="17"/>
  <c r="P1215" i="17"/>
  <c r="AM1215" i="17"/>
  <c r="U1215" i="17"/>
  <c r="AL1215" i="17"/>
  <c r="R1215" i="17"/>
  <c r="Z1215" i="17"/>
  <c r="Y1215" i="17"/>
  <c r="V1215" i="17"/>
  <c r="AK1215" i="17"/>
  <c r="AF1215" i="17"/>
  <c r="AC1215" i="17"/>
  <c r="AO1215" i="17"/>
  <c r="AN1215" i="17"/>
  <c r="O1215" i="17"/>
  <c r="AL1407" i="17"/>
  <c r="AD1407" i="17"/>
  <c r="V1407" i="17"/>
  <c r="N1407" i="17"/>
  <c r="AK1407" i="17"/>
  <c r="AC1407" i="17"/>
  <c r="U1407" i="17"/>
  <c r="M1407" i="17"/>
  <c r="AQ1407" i="17"/>
  <c r="AG1407" i="17"/>
  <c r="W1407" i="17"/>
  <c r="K1407" i="17"/>
  <c r="AP1407" i="17"/>
  <c r="AF1407" i="17"/>
  <c r="T1407" i="17"/>
  <c r="J1407" i="17"/>
  <c r="AJ1407" i="17"/>
  <c r="X1407" i="17"/>
  <c r="AI1407" i="17"/>
  <c r="S1407" i="17"/>
  <c r="AM1407" i="17"/>
  <c r="Q1407" i="17"/>
  <c r="AH1407" i="17"/>
  <c r="P1407" i="17"/>
  <c r="AO1407" i="17"/>
  <c r="O1407" i="17"/>
  <c r="AN1407" i="17"/>
  <c r="L1407" i="17"/>
  <c r="AR1407" i="17"/>
  <c r="AE1407" i="17"/>
  <c r="AB1407" i="17"/>
  <c r="AA1407" i="17"/>
  <c r="Z1407" i="17"/>
  <c r="Y1407" i="17"/>
  <c r="I2473" i="16"/>
  <c r="I2481" i="16"/>
  <c r="I2489" i="16"/>
  <c r="I2497" i="16"/>
  <c r="I2505" i="16"/>
  <c r="I2513" i="16"/>
  <c r="I2521" i="16"/>
  <c r="I2529" i="16"/>
  <c r="I2537" i="16"/>
  <c r="I2545" i="16"/>
  <c r="I2553" i="16"/>
  <c r="I2561" i="16"/>
  <c r="I2569" i="16"/>
  <c r="I2577" i="16"/>
  <c r="I2585" i="16"/>
  <c r="I2593" i="16"/>
  <c r="I2601" i="16"/>
  <c r="I2609" i="16"/>
  <c r="I2617" i="16"/>
  <c r="I2625" i="16"/>
  <c r="I2633" i="16"/>
  <c r="I2641" i="16"/>
  <c r="I2649" i="16"/>
  <c r="I2657" i="16"/>
  <c r="I2665" i="16"/>
  <c r="I2673" i="16"/>
  <c r="I2681" i="16"/>
  <c r="I2689" i="16"/>
  <c r="I2697" i="16"/>
  <c r="I2705" i="16"/>
  <c r="I2713" i="16"/>
  <c r="I2721" i="16"/>
  <c r="I2729" i="16"/>
  <c r="I2737" i="16"/>
  <c r="I2745" i="16"/>
  <c r="I2753" i="16"/>
  <c r="I2761" i="16"/>
  <c r="I2769" i="16"/>
  <c r="I2777" i="16"/>
  <c r="I2785" i="16"/>
  <c r="I2793" i="16"/>
  <c r="I2801" i="16"/>
  <c r="I2809" i="16"/>
  <c r="I2817" i="16"/>
  <c r="I2825" i="16"/>
  <c r="I2833" i="16"/>
  <c r="I2841" i="16"/>
  <c r="I2849" i="16"/>
  <c r="I2857" i="16"/>
  <c r="I2865" i="16"/>
  <c r="I2873" i="16"/>
  <c r="I2881" i="16"/>
  <c r="I2889" i="16"/>
  <c r="I2897" i="16"/>
  <c r="I2905" i="16"/>
  <c r="I2913" i="16"/>
  <c r="I2921" i="16"/>
  <c r="I2929" i="16"/>
  <c r="I2937" i="16"/>
  <c r="I2945" i="16"/>
  <c r="I2953" i="16"/>
  <c r="I2961" i="16"/>
  <c r="I2969" i="16"/>
  <c r="I2977" i="16"/>
  <c r="I2985" i="16"/>
  <c r="I2993" i="16"/>
  <c r="I3001" i="16"/>
  <c r="I3009" i="16"/>
  <c r="I3017" i="16"/>
  <c r="I3025" i="16"/>
  <c r="I3033" i="16"/>
  <c r="I3041" i="16"/>
  <c r="I3049" i="16"/>
  <c r="I3057" i="16"/>
  <c r="I3065" i="16"/>
  <c r="I3073" i="16"/>
  <c r="I3081" i="16"/>
  <c r="I3089" i="16"/>
  <c r="I3097" i="16"/>
  <c r="I3105" i="16"/>
  <c r="I3113" i="16"/>
  <c r="I3121" i="16"/>
  <c r="I3129" i="16"/>
  <c r="I3137" i="16"/>
  <c r="I3145" i="16"/>
  <c r="I3153" i="16"/>
  <c r="I3161" i="16"/>
  <c r="I3169" i="16"/>
  <c r="I3177" i="16"/>
  <c r="I3185" i="16"/>
  <c r="I3193" i="16"/>
  <c r="I3201" i="16"/>
  <c r="I3209" i="16"/>
  <c r="I3217" i="16"/>
  <c r="I3225" i="16"/>
  <c r="I3233" i="16"/>
  <c r="I3241" i="16"/>
  <c r="I3249" i="16"/>
  <c r="I3257" i="16"/>
  <c r="I3265" i="16"/>
  <c r="I3273" i="16"/>
  <c r="I3281" i="16"/>
  <c r="I3289" i="16"/>
  <c r="I3297" i="16"/>
  <c r="I3305" i="16"/>
  <c r="I3313" i="16"/>
  <c r="I3321" i="16"/>
  <c r="I3329" i="16"/>
  <c r="I3337" i="16"/>
  <c r="I3345" i="16"/>
  <c r="I3353" i="16"/>
  <c r="I3361" i="16"/>
  <c r="I3369" i="16"/>
  <c r="I3377" i="16"/>
  <c r="I3385" i="16"/>
  <c r="I3393" i="16"/>
  <c r="I3401" i="16"/>
  <c r="I3409" i="16"/>
  <c r="I3417" i="16"/>
  <c r="I3425" i="16"/>
  <c r="I3433" i="16"/>
  <c r="I3441" i="16"/>
  <c r="I3449" i="16"/>
  <c r="I3457" i="16"/>
  <c r="I3465" i="16"/>
  <c r="I3473" i="16"/>
  <c r="I3481" i="16"/>
  <c r="I3489" i="16"/>
  <c r="I3497" i="16"/>
  <c r="I3505" i="16"/>
  <c r="I3513" i="16"/>
  <c r="I3521" i="16"/>
  <c r="I3529" i="16"/>
  <c r="I3537" i="16"/>
  <c r="I3545" i="16"/>
  <c r="I3553" i="16"/>
  <c r="I3561" i="16"/>
  <c r="I3569" i="16"/>
  <c r="I3577" i="16"/>
  <c r="I3585" i="16"/>
  <c r="I3593" i="16"/>
  <c r="I3601" i="16"/>
  <c r="I3609" i="16"/>
  <c r="I3617" i="16"/>
  <c r="I3625" i="16"/>
  <c r="I3633" i="16"/>
  <c r="I3641" i="16"/>
  <c r="I3649" i="16"/>
  <c r="I3657" i="16"/>
  <c r="I3665" i="16"/>
  <c r="I3673" i="16"/>
  <c r="I3681" i="16"/>
  <c r="I3689" i="16"/>
  <c r="I3697" i="16"/>
  <c r="I3705" i="16"/>
  <c r="I3713" i="16"/>
  <c r="I3721" i="16"/>
  <c r="I3729" i="16"/>
  <c r="I3737" i="16"/>
  <c r="I3745" i="16"/>
  <c r="I3753" i="16"/>
  <c r="I3761" i="16"/>
  <c r="I3769" i="16"/>
  <c r="I3777" i="16"/>
  <c r="I3785" i="16"/>
  <c r="I3793" i="16"/>
  <c r="I3801" i="16"/>
  <c r="I3809" i="16"/>
  <c r="I3817" i="16"/>
  <c r="I3825" i="16"/>
  <c r="I3833" i="16"/>
  <c r="I3841" i="16"/>
  <c r="I3849" i="16"/>
  <c r="I3857" i="16"/>
  <c r="I3865" i="16"/>
  <c r="I3873" i="16"/>
  <c r="I3881" i="16"/>
  <c r="I3889" i="16"/>
  <c r="I3897" i="16"/>
  <c r="I3905" i="16"/>
  <c r="I3913" i="16"/>
  <c r="I3921" i="16"/>
  <c r="I3929" i="16"/>
  <c r="I3937" i="16"/>
  <c r="N3942" i="16"/>
  <c r="F3942" i="16"/>
  <c r="J3942" i="16"/>
  <c r="P3956" i="16"/>
  <c r="H3956" i="16"/>
  <c r="J3956" i="16"/>
  <c r="M3967" i="16"/>
  <c r="E3967" i="16"/>
  <c r="J3967" i="16"/>
  <c r="O3981" i="16"/>
  <c r="G3981" i="16"/>
  <c r="J3981" i="16"/>
  <c r="I3992" i="16"/>
  <c r="I3993" i="16"/>
  <c r="I3994" i="16"/>
  <c r="N4006" i="16"/>
  <c r="F4006" i="16"/>
  <c r="J4006" i="16"/>
  <c r="P4020" i="16"/>
  <c r="H4020" i="16"/>
  <c r="J4020" i="16"/>
  <c r="M4031" i="16"/>
  <c r="E4031" i="16"/>
  <c r="J4031" i="16"/>
  <c r="P4042" i="16"/>
  <c r="H4042" i="16"/>
  <c r="M4042" i="16"/>
  <c r="J4042" i="16"/>
  <c r="M4045" i="16"/>
  <c r="E4045" i="16"/>
  <c r="T4045" i="16"/>
  <c r="H4045" i="16"/>
  <c r="K4045" i="16"/>
  <c r="M4053" i="16"/>
  <c r="E4053" i="16"/>
  <c r="N4053" i="16"/>
  <c r="J4053" i="16"/>
  <c r="P4074" i="16"/>
  <c r="H4074" i="16"/>
  <c r="I4074" i="16"/>
  <c r="K4074" i="16"/>
  <c r="L4078" i="16"/>
  <c r="M4078" i="16"/>
  <c r="I4078" i="16"/>
  <c r="J4096" i="16"/>
  <c r="O4096" i="16"/>
  <c r="F4096" i="16"/>
  <c r="K4096" i="16"/>
  <c r="P4106" i="16"/>
  <c r="H4106" i="16"/>
  <c r="M4106" i="16"/>
  <c r="J4106" i="16"/>
  <c r="M4109" i="16"/>
  <c r="E4109" i="16"/>
  <c r="T4109" i="16"/>
  <c r="H4109" i="16"/>
  <c r="K4109" i="16"/>
  <c r="M4117" i="16"/>
  <c r="E4117" i="16"/>
  <c r="N4117" i="16"/>
  <c r="J4117" i="16"/>
  <c r="P4138" i="16"/>
  <c r="H4138" i="16"/>
  <c r="I4138" i="16"/>
  <c r="K4138" i="16"/>
  <c r="L4142" i="16"/>
  <c r="M4142" i="16"/>
  <c r="I4142" i="16"/>
  <c r="J4160" i="16"/>
  <c r="O4160" i="16"/>
  <c r="F4160" i="16"/>
  <c r="K4160" i="16"/>
  <c r="P4170" i="16"/>
  <c r="H4170" i="16"/>
  <c r="M4170" i="16"/>
  <c r="J4170" i="16"/>
  <c r="M4173" i="16"/>
  <c r="E4173" i="16"/>
  <c r="T4173" i="16"/>
  <c r="H4173" i="16"/>
  <c r="K4173" i="16"/>
  <c r="M4181" i="16"/>
  <c r="E4181" i="16"/>
  <c r="N4181" i="16"/>
  <c r="J4181" i="16"/>
  <c r="P4202" i="16"/>
  <c r="H4202" i="16"/>
  <c r="I4202" i="16"/>
  <c r="K4202" i="16"/>
  <c r="L4206" i="16"/>
  <c r="M4206" i="16"/>
  <c r="I4206" i="16"/>
  <c r="J4224" i="16"/>
  <c r="O4224" i="16"/>
  <c r="F4224" i="16"/>
  <c r="K4224" i="16"/>
  <c r="P4234" i="16"/>
  <c r="H4234" i="16"/>
  <c r="M4234" i="16"/>
  <c r="J4234" i="16"/>
  <c r="M4237" i="16"/>
  <c r="E4237" i="16"/>
  <c r="T4237" i="16"/>
  <c r="H4237" i="16"/>
  <c r="K4237" i="16"/>
  <c r="M4245" i="16"/>
  <c r="E4245" i="16"/>
  <c r="N4245" i="16"/>
  <c r="J4245" i="16"/>
  <c r="P4266" i="16"/>
  <c r="H4266" i="16"/>
  <c r="I4266" i="16"/>
  <c r="K4266" i="16"/>
  <c r="L4270" i="16"/>
  <c r="M4270" i="16"/>
  <c r="I4270" i="16"/>
  <c r="J4288" i="16"/>
  <c r="O4288" i="16"/>
  <c r="F4288" i="16"/>
  <c r="K4288" i="16"/>
  <c r="P4298" i="16"/>
  <c r="H4298" i="16"/>
  <c r="M4298" i="16"/>
  <c r="J4298" i="16"/>
  <c r="M4301" i="16"/>
  <c r="E4301" i="16"/>
  <c r="T4301" i="16"/>
  <c r="H4301" i="16"/>
  <c r="K4301" i="16"/>
  <c r="M4309" i="16"/>
  <c r="E4309" i="16"/>
  <c r="N4309" i="16"/>
  <c r="J4309" i="16"/>
  <c r="P4330" i="16"/>
  <c r="H4330" i="16"/>
  <c r="I4330" i="16"/>
  <c r="K4330" i="16"/>
  <c r="L4334" i="16"/>
  <c r="M4334" i="16"/>
  <c r="I4334" i="16"/>
  <c r="J4352" i="16"/>
  <c r="O4352" i="16"/>
  <c r="F4352" i="16"/>
  <c r="K4352" i="16"/>
  <c r="P4362" i="16"/>
  <c r="H4362" i="16"/>
  <c r="M4362" i="16"/>
  <c r="J4362" i="16"/>
  <c r="M4365" i="16"/>
  <c r="E4365" i="16"/>
  <c r="T4365" i="16"/>
  <c r="H4365" i="16"/>
  <c r="K4365" i="16"/>
  <c r="M4373" i="16"/>
  <c r="E4373" i="16"/>
  <c r="N4373" i="16"/>
  <c r="J4373" i="16"/>
  <c r="P4394" i="16"/>
  <c r="H4394" i="16"/>
  <c r="I4394" i="16"/>
  <c r="K4394" i="16"/>
  <c r="L4398" i="16"/>
  <c r="M4398" i="16"/>
  <c r="I4398" i="16"/>
  <c r="J4416" i="16"/>
  <c r="O4416" i="16"/>
  <c r="F4416" i="16"/>
  <c r="K4416" i="16"/>
  <c r="P4426" i="16"/>
  <c r="H4426" i="16"/>
  <c r="M4426" i="16"/>
  <c r="J4426" i="16"/>
  <c r="M4429" i="16"/>
  <c r="E4429" i="16"/>
  <c r="T4429" i="16"/>
  <c r="H4429" i="16"/>
  <c r="K4429" i="16"/>
  <c r="M4437" i="16"/>
  <c r="E4437" i="16"/>
  <c r="N4437" i="16"/>
  <c r="J4437" i="16"/>
  <c r="P4458" i="16"/>
  <c r="H4458" i="16"/>
  <c r="I4458" i="16"/>
  <c r="K4458" i="16"/>
  <c r="L4462" i="16"/>
  <c r="M4462" i="16"/>
  <c r="I4462" i="16"/>
  <c r="J4480" i="16"/>
  <c r="O4480" i="16"/>
  <c r="F4480" i="16"/>
  <c r="K4480" i="16"/>
  <c r="P4490" i="16"/>
  <c r="H4490" i="16"/>
  <c r="M4490" i="16"/>
  <c r="J4490" i="16"/>
  <c r="M4493" i="16"/>
  <c r="E4493" i="16"/>
  <c r="T4493" i="16"/>
  <c r="H4493" i="16"/>
  <c r="K4493" i="16"/>
  <c r="M4501" i="16"/>
  <c r="E4501" i="16"/>
  <c r="N4501" i="16"/>
  <c r="J4501" i="16"/>
  <c r="P4522" i="16"/>
  <c r="H4522" i="16"/>
  <c r="I4522" i="16"/>
  <c r="K4522" i="16"/>
  <c r="L4526" i="16"/>
  <c r="M4526" i="16"/>
  <c r="I4526" i="16"/>
  <c r="J4544" i="16"/>
  <c r="O4544" i="16"/>
  <c r="F4544" i="16"/>
  <c r="K4544" i="16"/>
  <c r="N4549" i="16"/>
  <c r="P4554" i="16"/>
  <c r="H4554" i="16"/>
  <c r="M4554" i="16"/>
  <c r="J4554" i="16"/>
  <c r="M4557" i="16"/>
  <c r="E4557" i="16"/>
  <c r="T4557" i="16"/>
  <c r="H4557" i="16"/>
  <c r="K4557" i="16"/>
  <c r="M4565" i="16"/>
  <c r="E4565" i="16"/>
  <c r="N4565" i="16"/>
  <c r="J4565" i="16"/>
  <c r="J4568" i="16"/>
  <c r="O4568" i="16"/>
  <c r="F4568" i="16"/>
  <c r="N4568" i="16"/>
  <c r="E4568" i="16"/>
  <c r="L4568" i="16"/>
  <c r="M4589" i="16"/>
  <c r="E4589" i="16"/>
  <c r="N4589" i="16"/>
  <c r="L4589" i="16"/>
  <c r="J4589" i="16"/>
  <c r="N4604" i="16"/>
  <c r="F4604" i="16"/>
  <c r="O4604" i="16"/>
  <c r="E4604" i="16"/>
  <c r="M4604" i="16"/>
  <c r="K4604" i="16"/>
  <c r="P4618" i="16"/>
  <c r="H4618" i="16"/>
  <c r="O4618" i="16"/>
  <c r="F4618" i="16"/>
  <c r="N4618" i="16"/>
  <c r="E4618" i="16"/>
  <c r="M4618" i="16"/>
  <c r="L4618" i="16"/>
  <c r="N4628" i="16"/>
  <c r="F4628" i="16"/>
  <c r="O4628" i="16"/>
  <c r="E4628" i="16"/>
  <c r="M4628" i="16"/>
  <c r="L4628" i="16"/>
  <c r="K4628" i="16"/>
  <c r="P4642" i="16"/>
  <c r="H4642" i="16"/>
  <c r="N4642" i="16"/>
  <c r="E4642" i="16"/>
  <c r="M4642" i="16"/>
  <c r="L4642" i="16"/>
  <c r="K4642" i="16"/>
  <c r="J4656" i="16"/>
  <c r="O4656" i="16"/>
  <c r="F4656" i="16"/>
  <c r="N4656" i="16"/>
  <c r="E4656" i="16"/>
  <c r="M4656" i="16"/>
  <c r="L4656" i="16"/>
  <c r="N4668" i="16"/>
  <c r="F4668" i="16"/>
  <c r="P4668" i="16"/>
  <c r="G4668" i="16"/>
  <c r="O4668" i="16"/>
  <c r="E4668" i="16"/>
  <c r="M4668" i="16"/>
  <c r="L4668" i="16"/>
  <c r="N4684" i="16"/>
  <c r="F4684" i="16"/>
  <c r="I4684" i="16"/>
  <c r="T4684" i="16"/>
  <c r="H4684" i="16"/>
  <c r="P4684" i="16"/>
  <c r="G4684" i="16"/>
  <c r="M4684" i="16"/>
  <c r="M4693" i="16"/>
  <c r="E4693" i="16"/>
  <c r="P4693" i="16"/>
  <c r="G4693" i="16"/>
  <c r="O4693" i="16"/>
  <c r="F4693" i="16"/>
  <c r="N4693" i="16"/>
  <c r="L4693" i="16"/>
  <c r="O4707" i="16"/>
  <c r="G4707" i="16"/>
  <c r="P4707" i="16"/>
  <c r="F4707" i="16"/>
  <c r="N4707" i="16"/>
  <c r="E4707" i="16"/>
  <c r="M4707" i="16"/>
  <c r="L4707" i="16"/>
  <c r="N4716" i="16"/>
  <c r="F4716" i="16"/>
  <c r="M4716" i="16"/>
  <c r="L4716" i="16"/>
  <c r="K4716" i="16"/>
  <c r="J4716" i="16"/>
  <c r="O4723" i="16"/>
  <c r="G4723" i="16"/>
  <c r="I4723" i="16"/>
  <c r="T4723" i="16"/>
  <c r="H4723" i="16"/>
  <c r="P4723" i="16"/>
  <c r="F4723" i="16"/>
  <c r="M4723" i="16"/>
  <c r="L4734" i="16"/>
  <c r="T4734" i="16"/>
  <c r="H4734" i="16"/>
  <c r="P4734" i="16"/>
  <c r="G4734" i="16"/>
  <c r="O4734" i="16"/>
  <c r="F4734" i="16"/>
  <c r="M4734" i="16"/>
  <c r="M4773" i="16"/>
  <c r="E4773" i="16"/>
  <c r="I4773" i="16"/>
  <c r="T4773" i="16"/>
  <c r="H4773" i="16"/>
  <c r="P4773" i="16"/>
  <c r="G4773" i="16"/>
  <c r="N4773" i="16"/>
  <c r="M4805" i="16"/>
  <c r="E4805" i="16"/>
  <c r="N4805" i="16"/>
  <c r="L4805" i="16"/>
  <c r="K4805" i="16"/>
  <c r="J4805" i="16"/>
  <c r="K4807" i="16"/>
  <c r="N4807" i="16"/>
  <c r="E4807" i="16"/>
  <c r="M4807" i="16"/>
  <c r="L4807" i="16"/>
  <c r="J4807" i="16"/>
  <c r="J4824" i="16"/>
  <c r="P4824" i="16"/>
  <c r="G4824" i="16"/>
  <c r="O4824" i="16"/>
  <c r="F4824" i="16"/>
  <c r="N4824" i="16"/>
  <c r="E4824" i="16"/>
  <c r="M4824" i="16"/>
  <c r="P4858" i="16"/>
  <c r="H4858" i="16"/>
  <c r="M4858" i="16"/>
  <c r="L4858" i="16"/>
  <c r="K4858" i="16"/>
  <c r="J4858" i="16"/>
  <c r="O4883" i="16"/>
  <c r="G4883" i="16"/>
  <c r="M4883" i="16"/>
  <c r="L4883" i="16"/>
  <c r="K4883" i="16"/>
  <c r="J4883" i="16"/>
  <c r="J4896" i="16"/>
  <c r="M4896" i="16"/>
  <c r="L4896" i="16"/>
  <c r="K4896" i="16"/>
  <c r="I4896" i="16"/>
  <c r="K4951" i="16"/>
  <c r="P4951" i="16"/>
  <c r="G4951" i="16"/>
  <c r="O4951" i="16"/>
  <c r="F4951" i="16"/>
  <c r="N4951" i="16"/>
  <c r="E4951" i="16"/>
  <c r="M4951" i="16"/>
  <c r="K4959" i="16"/>
  <c r="M4959" i="16"/>
  <c r="L4959" i="16"/>
  <c r="J4959" i="16"/>
  <c r="I4959" i="16"/>
  <c r="M4973" i="16"/>
  <c r="E4973" i="16"/>
  <c r="O4973" i="16"/>
  <c r="F4973" i="16"/>
  <c r="N4973" i="16"/>
  <c r="L4973" i="16"/>
  <c r="K4973" i="16"/>
  <c r="J4992" i="16"/>
  <c r="T4992" i="16"/>
  <c r="H4992" i="16"/>
  <c r="P4992" i="16"/>
  <c r="G4992" i="16"/>
  <c r="O4992" i="16"/>
  <c r="F4992" i="16"/>
  <c r="M4992" i="16"/>
  <c r="O5003" i="16"/>
  <c r="G5003" i="16"/>
  <c r="T5003" i="16"/>
  <c r="H5003" i="16"/>
  <c r="P5003" i="16"/>
  <c r="F5003" i="16"/>
  <c r="N5003" i="16"/>
  <c r="E5003" i="16"/>
  <c r="M5003" i="16"/>
  <c r="P5018" i="16"/>
  <c r="H5018" i="16"/>
  <c r="I5018" i="16"/>
  <c r="T5018" i="16"/>
  <c r="G5018" i="16"/>
  <c r="O5018" i="16"/>
  <c r="F5018" i="16"/>
  <c r="M5018" i="16"/>
  <c r="L5022" i="16"/>
  <c r="M5022" i="16"/>
  <c r="K5022" i="16"/>
  <c r="J5022" i="16"/>
  <c r="I5022" i="16"/>
  <c r="P5034" i="16"/>
  <c r="H5034" i="16"/>
  <c r="O5034" i="16"/>
  <c r="G5034" i="16"/>
  <c r="T5034" i="16"/>
  <c r="E5034" i="16"/>
  <c r="N5034" i="16"/>
  <c r="M5034" i="16"/>
  <c r="L5034" i="16"/>
  <c r="L5038" i="16"/>
  <c r="K5038" i="16"/>
  <c r="H5038" i="16"/>
  <c r="T5038" i="16"/>
  <c r="G5038" i="16"/>
  <c r="P5038" i="16"/>
  <c r="F5038" i="16"/>
  <c r="N5038" i="16"/>
  <c r="P5066" i="16"/>
  <c r="H5066" i="16"/>
  <c r="O5066" i="16"/>
  <c r="G5066" i="16"/>
  <c r="T5066" i="16"/>
  <c r="E5066" i="16"/>
  <c r="N5066" i="16"/>
  <c r="M5066" i="16"/>
  <c r="L5066" i="16"/>
  <c r="L5070" i="16"/>
  <c r="K5070" i="16"/>
  <c r="H5070" i="16"/>
  <c r="T5070" i="16"/>
  <c r="G5070" i="16"/>
  <c r="P5070" i="16"/>
  <c r="F5070" i="16"/>
  <c r="N5070" i="16"/>
  <c r="P5098" i="16"/>
  <c r="H5098" i="16"/>
  <c r="O5098" i="16"/>
  <c r="G5098" i="16"/>
  <c r="T5098" i="16"/>
  <c r="E5098" i="16"/>
  <c r="N5098" i="16"/>
  <c r="M5098" i="16"/>
  <c r="L5098" i="16"/>
  <c r="L5102" i="16"/>
  <c r="K5102" i="16"/>
  <c r="H5102" i="16"/>
  <c r="T5102" i="16"/>
  <c r="G5102" i="16"/>
  <c r="P5102" i="16"/>
  <c r="F5102" i="16"/>
  <c r="N5102" i="16"/>
  <c r="P5130" i="16"/>
  <c r="H5130" i="16"/>
  <c r="O5130" i="16"/>
  <c r="G5130" i="16"/>
  <c r="T5130" i="16"/>
  <c r="E5130" i="16"/>
  <c r="N5130" i="16"/>
  <c r="M5130" i="16"/>
  <c r="L5130" i="16"/>
  <c r="L5134" i="16"/>
  <c r="K5134" i="16"/>
  <c r="H5134" i="16"/>
  <c r="T5134" i="16"/>
  <c r="G5134" i="16"/>
  <c r="P5134" i="16"/>
  <c r="F5134" i="16"/>
  <c r="N5134" i="16"/>
  <c r="P5162" i="16"/>
  <c r="H5162" i="16"/>
  <c r="O5162" i="16"/>
  <c r="G5162" i="16"/>
  <c r="T5162" i="16"/>
  <c r="E5162" i="16"/>
  <c r="N5162" i="16"/>
  <c r="M5162" i="16"/>
  <c r="L5162" i="16"/>
  <c r="L5166" i="16"/>
  <c r="K5166" i="16"/>
  <c r="H5166" i="16"/>
  <c r="T5166" i="16"/>
  <c r="G5166" i="16"/>
  <c r="P5166" i="16"/>
  <c r="F5166" i="16"/>
  <c r="N5166" i="16"/>
  <c r="P5194" i="16"/>
  <c r="H5194" i="16"/>
  <c r="O5194" i="16"/>
  <c r="G5194" i="16"/>
  <c r="T5194" i="16"/>
  <c r="E5194" i="16"/>
  <c r="N5194" i="16"/>
  <c r="M5194" i="16"/>
  <c r="L5194" i="16"/>
  <c r="L5198" i="16"/>
  <c r="K5198" i="16"/>
  <c r="H5198" i="16"/>
  <c r="T5198" i="16"/>
  <c r="G5198" i="16"/>
  <c r="P5198" i="16"/>
  <c r="F5198" i="16"/>
  <c r="N5198" i="16"/>
  <c r="P5226" i="16"/>
  <c r="H5226" i="16"/>
  <c r="O5226" i="16"/>
  <c r="G5226" i="16"/>
  <c r="T5226" i="16"/>
  <c r="E5226" i="16"/>
  <c r="N5226" i="16"/>
  <c r="M5226" i="16"/>
  <c r="L5226" i="16"/>
  <c r="L5230" i="16"/>
  <c r="K5230" i="16"/>
  <c r="H5230" i="16"/>
  <c r="T5230" i="16"/>
  <c r="G5230" i="16"/>
  <c r="P5230" i="16"/>
  <c r="F5230" i="16"/>
  <c r="N5230" i="16"/>
  <c r="O5251" i="16"/>
  <c r="G5251" i="16"/>
  <c r="N5251" i="16"/>
  <c r="F5251" i="16"/>
  <c r="J5251" i="16"/>
  <c r="I5251" i="16"/>
  <c r="H5251" i="16"/>
  <c r="P5251" i="16"/>
  <c r="P5274" i="16"/>
  <c r="H5274" i="16"/>
  <c r="O5274" i="16"/>
  <c r="G5274" i="16"/>
  <c r="T5274" i="16"/>
  <c r="E5274" i="16"/>
  <c r="N5274" i="16"/>
  <c r="M5274" i="16"/>
  <c r="L5274" i="16"/>
  <c r="L5278" i="16"/>
  <c r="K5278" i="16"/>
  <c r="H5278" i="16"/>
  <c r="T5278" i="16"/>
  <c r="G5278" i="16"/>
  <c r="P5278" i="16"/>
  <c r="F5278" i="16"/>
  <c r="N5278" i="16"/>
  <c r="M5301" i="16"/>
  <c r="E5301" i="16"/>
  <c r="L5301" i="16"/>
  <c r="T5301" i="16"/>
  <c r="G5301" i="16"/>
  <c r="P5301" i="16"/>
  <c r="F5301" i="16"/>
  <c r="O5301" i="16"/>
  <c r="N5301" i="16"/>
  <c r="O5315" i="16"/>
  <c r="G5315" i="16"/>
  <c r="N5315" i="16"/>
  <c r="F5315" i="16"/>
  <c r="J5315" i="16"/>
  <c r="I5315" i="16"/>
  <c r="H5315" i="16"/>
  <c r="P5315" i="16"/>
  <c r="P5338" i="16"/>
  <c r="H5338" i="16"/>
  <c r="O5338" i="16"/>
  <c r="G5338" i="16"/>
  <c r="T5338" i="16"/>
  <c r="E5338" i="16"/>
  <c r="N5338" i="16"/>
  <c r="M5338" i="16"/>
  <c r="L5338" i="16"/>
  <c r="L5342" i="16"/>
  <c r="K5342" i="16"/>
  <c r="H5342" i="16"/>
  <c r="T5342" i="16"/>
  <c r="G5342" i="16"/>
  <c r="P5342" i="16"/>
  <c r="F5342" i="16"/>
  <c r="N5342" i="16"/>
  <c r="M5365" i="16"/>
  <c r="E5365" i="16"/>
  <c r="L5365" i="16"/>
  <c r="T5365" i="16"/>
  <c r="G5365" i="16"/>
  <c r="P5365" i="16"/>
  <c r="F5365" i="16"/>
  <c r="O5365" i="16"/>
  <c r="N5365" i="16"/>
  <c r="O5379" i="16"/>
  <c r="G5379" i="16"/>
  <c r="N5379" i="16"/>
  <c r="F5379" i="16"/>
  <c r="J5379" i="16"/>
  <c r="I5379" i="16"/>
  <c r="H5379" i="16"/>
  <c r="P5379" i="16"/>
  <c r="P5402" i="16"/>
  <c r="H5402" i="16"/>
  <c r="O5402" i="16"/>
  <c r="G5402" i="16"/>
  <c r="T5402" i="16"/>
  <c r="E5402" i="16"/>
  <c r="N5402" i="16"/>
  <c r="M5402" i="16"/>
  <c r="L5402" i="16"/>
  <c r="L5406" i="16"/>
  <c r="K5406" i="16"/>
  <c r="H5406" i="16"/>
  <c r="T5406" i="16"/>
  <c r="G5406" i="16"/>
  <c r="P5406" i="16"/>
  <c r="F5406" i="16"/>
  <c r="N5406" i="16"/>
  <c r="M5429" i="16"/>
  <c r="E5429" i="16"/>
  <c r="L5429" i="16"/>
  <c r="T5429" i="16"/>
  <c r="G5429" i="16"/>
  <c r="P5429" i="16"/>
  <c r="F5429" i="16"/>
  <c r="O5429" i="16"/>
  <c r="N5429" i="16"/>
  <c r="O5443" i="16"/>
  <c r="G5443" i="16"/>
  <c r="N5443" i="16"/>
  <c r="F5443" i="16"/>
  <c r="J5443" i="16"/>
  <c r="I5443" i="16"/>
  <c r="H5443" i="16"/>
  <c r="P5443" i="16"/>
  <c r="P5466" i="16"/>
  <c r="H5466" i="16"/>
  <c r="O5466" i="16"/>
  <c r="G5466" i="16"/>
  <c r="T5466" i="16"/>
  <c r="E5466" i="16"/>
  <c r="N5466" i="16"/>
  <c r="M5466" i="16"/>
  <c r="L5466" i="16"/>
  <c r="L5470" i="16"/>
  <c r="K5470" i="16"/>
  <c r="H5470" i="16"/>
  <c r="T5470" i="16"/>
  <c r="G5470" i="16"/>
  <c r="P5470" i="16"/>
  <c r="F5470" i="16"/>
  <c r="N5470" i="16"/>
  <c r="M5493" i="16"/>
  <c r="E5493" i="16"/>
  <c r="L5493" i="16"/>
  <c r="T5493" i="16"/>
  <c r="G5493" i="16"/>
  <c r="P5493" i="16"/>
  <c r="F5493" i="16"/>
  <c r="O5493" i="16"/>
  <c r="N5493" i="16"/>
  <c r="O5507" i="16"/>
  <c r="G5507" i="16"/>
  <c r="N5507" i="16"/>
  <c r="F5507" i="16"/>
  <c r="J5507" i="16"/>
  <c r="I5507" i="16"/>
  <c r="H5507" i="16"/>
  <c r="P5507" i="16"/>
  <c r="P5530" i="16"/>
  <c r="H5530" i="16"/>
  <c r="O5530" i="16"/>
  <c r="G5530" i="16"/>
  <c r="T5530" i="16"/>
  <c r="E5530" i="16"/>
  <c r="N5530" i="16"/>
  <c r="M5530" i="16"/>
  <c r="L5530" i="16"/>
  <c r="L5534" i="16"/>
  <c r="K5534" i="16"/>
  <c r="H5534" i="16"/>
  <c r="T5534" i="16"/>
  <c r="G5534" i="16"/>
  <c r="P5534" i="16"/>
  <c r="F5534" i="16"/>
  <c r="N5534" i="16"/>
  <c r="M5581" i="16"/>
  <c r="E5581" i="16"/>
  <c r="L5581" i="16"/>
  <c r="K5581" i="16"/>
  <c r="H5581" i="16"/>
  <c r="G5581" i="16"/>
  <c r="T5581" i="16"/>
  <c r="F5581" i="16"/>
  <c r="P5581" i="16"/>
  <c r="L5606" i="16"/>
  <c r="K5606" i="16"/>
  <c r="J5606" i="16"/>
  <c r="P5606" i="16"/>
  <c r="E5606" i="16"/>
  <c r="O5606" i="16"/>
  <c r="N5606" i="16"/>
  <c r="M5606" i="16"/>
  <c r="N5620" i="16"/>
  <c r="F5620" i="16"/>
  <c r="M5620" i="16"/>
  <c r="E5620" i="16"/>
  <c r="L5620" i="16"/>
  <c r="J5620" i="16"/>
  <c r="I5620" i="16"/>
  <c r="H5620" i="16"/>
  <c r="T5620" i="16"/>
  <c r="M5637" i="16"/>
  <c r="E5637" i="16"/>
  <c r="L5637" i="16"/>
  <c r="K5637" i="16"/>
  <c r="G5637" i="16"/>
  <c r="T5637" i="16"/>
  <c r="F5637" i="16"/>
  <c r="P5637" i="16"/>
  <c r="O5637" i="16"/>
  <c r="O5643" i="16"/>
  <c r="G5643" i="16"/>
  <c r="N5643" i="16"/>
  <c r="F5643" i="16"/>
  <c r="M5643" i="16"/>
  <c r="E5643" i="16"/>
  <c r="I5643" i="16"/>
  <c r="H5643" i="16"/>
  <c r="T5643" i="16"/>
  <c r="P5674" i="16"/>
  <c r="H5674" i="16"/>
  <c r="O5674" i="16"/>
  <c r="G5674" i="16"/>
  <c r="N5674" i="16"/>
  <c r="F5674" i="16"/>
  <c r="E5674" i="16"/>
  <c r="T5674" i="16"/>
  <c r="M5674" i="16"/>
  <c r="M5709" i="16"/>
  <c r="E5709" i="16"/>
  <c r="L5709" i="16"/>
  <c r="K5709" i="16"/>
  <c r="H5709" i="16"/>
  <c r="G5709" i="16"/>
  <c r="T5709" i="16"/>
  <c r="F5709" i="16"/>
  <c r="P5709" i="16"/>
  <c r="L5734" i="16"/>
  <c r="K5734" i="16"/>
  <c r="J5734" i="16"/>
  <c r="P5734" i="16"/>
  <c r="E5734" i="16"/>
  <c r="O5734" i="16"/>
  <c r="N5734" i="16"/>
  <c r="M5734" i="16"/>
  <c r="N5748" i="16"/>
  <c r="F5748" i="16"/>
  <c r="M5748" i="16"/>
  <c r="E5748" i="16"/>
  <c r="L5748" i="16"/>
  <c r="J5748" i="16"/>
  <c r="I5748" i="16"/>
  <c r="H5748" i="16"/>
  <c r="T5748" i="16"/>
  <c r="M5765" i="16"/>
  <c r="E5765" i="16"/>
  <c r="L5765" i="16"/>
  <c r="K5765" i="16"/>
  <c r="G5765" i="16"/>
  <c r="T5765" i="16"/>
  <c r="F5765" i="16"/>
  <c r="P5765" i="16"/>
  <c r="O5765" i="16"/>
  <c r="O5771" i="16"/>
  <c r="G5771" i="16"/>
  <c r="N5771" i="16"/>
  <c r="F5771" i="16"/>
  <c r="M5771" i="16"/>
  <c r="E5771" i="16"/>
  <c r="I5771" i="16"/>
  <c r="H5771" i="16"/>
  <c r="T5771" i="16"/>
  <c r="P5802" i="16"/>
  <c r="H5802" i="16"/>
  <c r="O5802" i="16"/>
  <c r="G5802" i="16"/>
  <c r="N5802" i="16"/>
  <c r="F5802" i="16"/>
  <c r="E5802" i="16"/>
  <c r="T5802" i="16"/>
  <c r="M5802" i="16"/>
  <c r="M5837" i="16"/>
  <c r="E5837" i="16"/>
  <c r="L5837" i="16"/>
  <c r="K5837" i="16"/>
  <c r="H5837" i="16"/>
  <c r="G5837" i="16"/>
  <c r="T5837" i="16"/>
  <c r="F5837" i="16"/>
  <c r="P5837" i="16"/>
  <c r="L5862" i="16"/>
  <c r="K5862" i="16"/>
  <c r="J5862" i="16"/>
  <c r="P5862" i="16"/>
  <c r="E5862" i="16"/>
  <c r="O5862" i="16"/>
  <c r="N5862" i="16"/>
  <c r="M5862" i="16"/>
  <c r="N5876" i="16"/>
  <c r="F5876" i="16"/>
  <c r="M5876" i="16"/>
  <c r="E5876" i="16"/>
  <c r="L5876" i="16"/>
  <c r="J5876" i="16"/>
  <c r="I5876" i="16"/>
  <c r="H5876" i="16"/>
  <c r="T5876" i="16"/>
  <c r="M5893" i="16"/>
  <c r="E5893" i="16"/>
  <c r="L5893" i="16"/>
  <c r="K5893" i="16"/>
  <c r="G5893" i="16"/>
  <c r="T5893" i="16"/>
  <c r="F5893" i="16"/>
  <c r="P5893" i="16"/>
  <c r="O5893" i="16"/>
  <c r="O5920" i="16"/>
  <c r="G5920" i="16"/>
  <c r="M5920" i="16"/>
  <c r="L5920" i="16"/>
  <c r="K5920" i="16"/>
  <c r="H5920" i="16"/>
  <c r="F5920" i="16"/>
  <c r="E5920" i="16"/>
  <c r="T5920" i="16"/>
  <c r="N5993" i="16"/>
  <c r="F5993" i="16"/>
  <c r="M5993" i="16"/>
  <c r="E5993" i="16"/>
  <c r="H5993" i="16"/>
  <c r="T5993" i="16"/>
  <c r="G5993" i="16"/>
  <c r="P5993" i="16"/>
  <c r="I5993" i="16"/>
  <c r="J4" i="17"/>
  <c r="V30" i="17"/>
  <c r="N30" i="17"/>
  <c r="AC30" i="17"/>
  <c r="U30" i="17"/>
  <c r="M30" i="17"/>
  <c r="AD30" i="17" s="1"/>
  <c r="X30" i="17"/>
  <c r="L30" i="17"/>
  <c r="W30" i="17"/>
  <c r="K30" i="17"/>
  <c r="T30" i="17"/>
  <c r="J30" i="17"/>
  <c r="R30" i="17"/>
  <c r="AF30" i="17" s="1"/>
  <c r="Q30" i="17"/>
  <c r="V38" i="17"/>
  <c r="N38" i="17"/>
  <c r="AC38" i="17"/>
  <c r="U38" i="17"/>
  <c r="AQ38" i="17" s="1"/>
  <c r="M38" i="17"/>
  <c r="AB38" i="17"/>
  <c r="R38" i="17"/>
  <c r="AA38" i="17"/>
  <c r="Q38" i="17"/>
  <c r="Z38" i="17"/>
  <c r="AO38" i="17"/>
  <c r="W38" i="17"/>
  <c r="T38" i="17"/>
  <c r="S38" i="17"/>
  <c r="AF38" i="17"/>
  <c r="R40" i="17"/>
  <c r="Q40" i="17"/>
  <c r="R72" i="17"/>
  <c r="AP72" i="17" s="1"/>
  <c r="Q72" i="17"/>
  <c r="S86" i="17"/>
  <c r="Q90" i="17"/>
  <c r="V114" i="17"/>
  <c r="N114" i="17"/>
  <c r="AC114" i="17"/>
  <c r="U114" i="17"/>
  <c r="M114" i="17"/>
  <c r="Z114" i="17"/>
  <c r="Y114" i="17"/>
  <c r="X114" i="17"/>
  <c r="L114" i="17"/>
  <c r="T114" i="17"/>
  <c r="S114" i="17"/>
  <c r="R114" i="17"/>
  <c r="J138" i="17"/>
  <c r="V174" i="17"/>
  <c r="N174" i="17"/>
  <c r="AC174" i="17"/>
  <c r="U174" i="17"/>
  <c r="AQ174" i="17" s="1"/>
  <c r="M174" i="17"/>
  <c r="AD174" i="17" s="1"/>
  <c r="X174" i="17"/>
  <c r="L174" i="17"/>
  <c r="W174" i="17"/>
  <c r="K174" i="17"/>
  <c r="O175" i="17" s="1"/>
  <c r="AJ175" i="17" s="1"/>
  <c r="W175" i="12" s="1"/>
  <c r="T174" i="17"/>
  <c r="J174" i="17"/>
  <c r="Q174" i="17"/>
  <c r="AB174" i="17"/>
  <c r="AL178" i="17"/>
  <c r="AD178" i="17"/>
  <c r="V178" i="17"/>
  <c r="N178" i="17"/>
  <c r="AK178" i="17"/>
  <c r="AC178" i="17"/>
  <c r="U178" i="17"/>
  <c r="M178" i="17"/>
  <c r="AJ178" i="17"/>
  <c r="Z178" i="17"/>
  <c r="P178" i="17"/>
  <c r="AI178" i="17"/>
  <c r="Y178" i="17"/>
  <c r="O178" i="17"/>
  <c r="AR178" i="17"/>
  <c r="AH178" i="17"/>
  <c r="X178" i="17"/>
  <c r="L178" i="17"/>
  <c r="AF178" i="17"/>
  <c r="Q178" i="17"/>
  <c r="AE178" i="17"/>
  <c r="K178" i="17"/>
  <c r="AQ178" i="17"/>
  <c r="AB178" i="17"/>
  <c r="J178" i="17"/>
  <c r="AN178" i="17"/>
  <c r="K180" i="17"/>
  <c r="AP180" i="17"/>
  <c r="P192" i="17"/>
  <c r="AP192" i="17"/>
  <c r="AL210" i="17"/>
  <c r="AD210" i="17"/>
  <c r="V210" i="17"/>
  <c r="N210" i="17"/>
  <c r="AK210" i="17"/>
  <c r="AC210" i="17"/>
  <c r="U210" i="17"/>
  <c r="M210" i="17"/>
  <c r="AJ210" i="17"/>
  <c r="Z210" i="17"/>
  <c r="P210" i="17"/>
  <c r="AI210" i="17"/>
  <c r="Y210" i="17"/>
  <c r="O210" i="17"/>
  <c r="AR210" i="17"/>
  <c r="AH210" i="17"/>
  <c r="X210" i="17"/>
  <c r="L210" i="17"/>
  <c r="AF210" i="17"/>
  <c r="Q210" i="17"/>
  <c r="AE210" i="17"/>
  <c r="K210" i="17"/>
  <c r="AQ210" i="17"/>
  <c r="AB210" i="17"/>
  <c r="J210" i="17"/>
  <c r="AN210" i="17"/>
  <c r="K212" i="17"/>
  <c r="AP212" i="17"/>
  <c r="AL224" i="17"/>
  <c r="AD224" i="17"/>
  <c r="V224" i="17"/>
  <c r="N224" i="17"/>
  <c r="AK224" i="17"/>
  <c r="AC224" i="17"/>
  <c r="U224" i="17"/>
  <c r="M224" i="17"/>
  <c r="AI224" i="17"/>
  <c r="Y224" i="17"/>
  <c r="O224" i="17"/>
  <c r="AR224" i="17"/>
  <c r="AH224" i="17"/>
  <c r="X224" i="17"/>
  <c r="L224" i="17"/>
  <c r="AQ224" i="17"/>
  <c r="AG224" i="17"/>
  <c r="W224" i="17"/>
  <c r="K224" i="17"/>
  <c r="AO224" i="17"/>
  <c r="Z224" i="17"/>
  <c r="AN224" i="17"/>
  <c r="T224" i="17"/>
  <c r="AM224" i="17"/>
  <c r="S224" i="17"/>
  <c r="AF224" i="17"/>
  <c r="S226" i="17"/>
  <c r="AP226" i="17"/>
  <c r="K240" i="17"/>
  <c r="O250" i="17"/>
  <c r="AA254" i="17"/>
  <c r="S258" i="17"/>
  <c r="J286" i="17"/>
  <c r="R300" i="17"/>
  <c r="AA314" i="17"/>
  <c r="R316" i="17"/>
  <c r="X322" i="17"/>
  <c r="O330" i="17"/>
  <c r="O344" i="17"/>
  <c r="X346" i="17"/>
  <c r="K426" i="17"/>
  <c r="O502" i="17"/>
  <c r="P550" i="17"/>
  <c r="AK620" i="17"/>
  <c r="AC620" i="17"/>
  <c r="U620" i="17"/>
  <c r="M620" i="17"/>
  <c r="AR620" i="17"/>
  <c r="AJ620" i="17"/>
  <c r="AB620" i="17"/>
  <c r="T620" i="17"/>
  <c r="L620" i="17"/>
  <c r="AL620" i="17"/>
  <c r="Z620" i="17"/>
  <c r="P620" i="17"/>
  <c r="AI620" i="17"/>
  <c r="Y620" i="17"/>
  <c r="O620" i="17"/>
  <c r="AG620" i="17"/>
  <c r="S620" i="17"/>
  <c r="AH620" i="17"/>
  <c r="R620" i="17"/>
  <c r="AF620" i="17"/>
  <c r="Q620" i="17"/>
  <c r="AE620" i="17"/>
  <c r="N620" i="17"/>
  <c r="AP620" i="17"/>
  <c r="V620" i="17"/>
  <c r="AO620" i="17"/>
  <c r="K620" i="17"/>
  <c r="AN620" i="17"/>
  <c r="J620" i="17"/>
  <c r="AQ620" i="17"/>
  <c r="AM620" i="17"/>
  <c r="AD620" i="17"/>
  <c r="AK664" i="17"/>
  <c r="AC664" i="17"/>
  <c r="U664" i="17"/>
  <c r="M664" i="17"/>
  <c r="AR664" i="17"/>
  <c r="AJ664" i="17"/>
  <c r="AB664" i="17"/>
  <c r="T664" i="17"/>
  <c r="L664" i="17"/>
  <c r="AH664" i="17"/>
  <c r="X664" i="17"/>
  <c r="N664" i="17"/>
  <c r="AQ664" i="17"/>
  <c r="AG664" i="17"/>
  <c r="W664" i="17"/>
  <c r="K664" i="17"/>
  <c r="AI664" i="17"/>
  <c r="S664" i="17"/>
  <c r="AN664" i="17"/>
  <c r="Y664" i="17"/>
  <c r="AF664" i="17"/>
  <c r="P664" i="17"/>
  <c r="AE664" i="17"/>
  <c r="O664" i="17"/>
  <c r="AD664" i="17"/>
  <c r="J664" i="17"/>
  <c r="AM664" i="17"/>
  <c r="AL664" i="17"/>
  <c r="AA664" i="17"/>
  <c r="AP664" i="17"/>
  <c r="AO664" i="17"/>
  <c r="AK736" i="17"/>
  <c r="AC736" i="17"/>
  <c r="U736" i="17"/>
  <c r="M736" i="17"/>
  <c r="AR736" i="17"/>
  <c r="AJ736" i="17"/>
  <c r="AB736" i="17"/>
  <c r="T736" i="17"/>
  <c r="L736" i="17"/>
  <c r="AN736" i="17"/>
  <c r="AD736" i="17"/>
  <c r="R736" i="17"/>
  <c r="AM736" i="17"/>
  <c r="AA736" i="17"/>
  <c r="Q736" i="17"/>
  <c r="AG736" i="17"/>
  <c r="S736" i="17"/>
  <c r="AL736" i="17"/>
  <c r="W736" i="17"/>
  <c r="AI736" i="17"/>
  <c r="V736" i="17"/>
  <c r="AH736" i="17"/>
  <c r="P736" i="17"/>
  <c r="AQ736" i="17"/>
  <c r="O736" i="17"/>
  <c r="AP736" i="17"/>
  <c r="N736" i="17"/>
  <c r="AO736" i="17"/>
  <c r="K736" i="17"/>
  <c r="AF736" i="17"/>
  <c r="AE736" i="17"/>
  <c r="Z736" i="17"/>
  <c r="Y736" i="17"/>
  <c r="X736" i="17"/>
  <c r="AM810" i="17"/>
  <c r="AE810" i="17"/>
  <c r="W810" i="17"/>
  <c r="O810" i="17"/>
  <c r="AR810" i="17"/>
  <c r="AI810" i="17"/>
  <c r="Z810" i="17"/>
  <c r="Q810" i="17"/>
  <c r="AQ810" i="17"/>
  <c r="AH810" i="17"/>
  <c r="Y810" i="17"/>
  <c r="P810" i="17"/>
  <c r="AN810" i="17"/>
  <c r="AB810" i="17"/>
  <c r="N810" i="17"/>
  <c r="AL810" i="17"/>
  <c r="AA810" i="17"/>
  <c r="M810" i="17"/>
  <c r="AK810" i="17"/>
  <c r="U810" i="17"/>
  <c r="AJ810" i="17"/>
  <c r="T810" i="17"/>
  <c r="V810" i="17"/>
  <c r="AP810" i="17"/>
  <c r="S810" i="17"/>
  <c r="AO810" i="17"/>
  <c r="R810" i="17"/>
  <c r="AC810" i="17"/>
  <c r="X810" i="17"/>
  <c r="L810" i="17"/>
  <c r="AD810" i="17"/>
  <c r="K810" i="17"/>
  <c r="J810" i="17"/>
  <c r="U841" i="17"/>
  <c r="AM948" i="17"/>
  <c r="AE948" i="17"/>
  <c r="W948" i="17"/>
  <c r="O948" i="17"/>
  <c r="AO948" i="17"/>
  <c r="AF948" i="17"/>
  <c r="V948" i="17"/>
  <c r="M948" i="17"/>
  <c r="AN948" i="17"/>
  <c r="AD948" i="17"/>
  <c r="U948" i="17"/>
  <c r="L948" i="17"/>
  <c r="AP948" i="17"/>
  <c r="AB948" i="17"/>
  <c r="Q948" i="17"/>
  <c r="AL948" i="17"/>
  <c r="AA948" i="17"/>
  <c r="P948" i="17"/>
  <c r="AC948" i="17"/>
  <c r="K948" i="17"/>
  <c r="AR948" i="17"/>
  <c r="Z948" i="17"/>
  <c r="J948" i="17"/>
  <c r="Y948" i="17"/>
  <c r="X948" i="17"/>
  <c r="AQ948" i="17"/>
  <c r="T948" i="17"/>
  <c r="AH948" i="17"/>
  <c r="AG948" i="17"/>
  <c r="S948" i="17"/>
  <c r="AI948" i="17"/>
  <c r="R948" i="17"/>
  <c r="N948" i="17"/>
  <c r="X1095" i="17"/>
  <c r="AR1102" i="17"/>
  <c r="AD1120" i="17"/>
  <c r="AN1162" i="17"/>
  <c r="AF1162" i="17"/>
  <c r="X1162" i="17"/>
  <c r="P1162" i="17"/>
  <c r="AM1162" i="17"/>
  <c r="AE1162" i="17"/>
  <c r="W1162" i="17"/>
  <c r="O1162" i="17"/>
  <c r="AK1162" i="17"/>
  <c r="AA1162" i="17"/>
  <c r="Q1162" i="17"/>
  <c r="AJ1162" i="17"/>
  <c r="Z1162" i="17"/>
  <c r="N1162" i="17"/>
  <c r="AR1162" i="17"/>
  <c r="AD1162" i="17"/>
  <c r="R1162" i="17"/>
  <c r="AQ1162" i="17"/>
  <c r="AC1162" i="17"/>
  <c r="M1162" i="17"/>
  <c r="AI1162" i="17"/>
  <c r="S1162" i="17"/>
  <c r="AH1162" i="17"/>
  <c r="L1162" i="17"/>
  <c r="U1162" i="17"/>
  <c r="AP1162" i="17"/>
  <c r="T1162" i="17"/>
  <c r="AO1162" i="17"/>
  <c r="K1162" i="17"/>
  <c r="AL1162" i="17"/>
  <c r="AG1162" i="17"/>
  <c r="AB1162" i="17"/>
  <c r="Y1162" i="17"/>
  <c r="V1162" i="17"/>
  <c r="J1162" i="17"/>
  <c r="AR1227" i="17"/>
  <c r="AJ1227" i="17"/>
  <c r="AB1227" i="17"/>
  <c r="T1227" i="17"/>
  <c r="L1227" i="17"/>
  <c r="AQ1227" i="17"/>
  <c r="AI1227" i="17"/>
  <c r="AA1227" i="17"/>
  <c r="S1227" i="17"/>
  <c r="K1227" i="17"/>
  <c r="AN1227" i="17"/>
  <c r="AD1227" i="17"/>
  <c r="R1227" i="17"/>
  <c r="AM1227" i="17"/>
  <c r="AC1227" i="17"/>
  <c r="Q1227" i="17"/>
  <c r="AP1227" i="17"/>
  <c r="Z1227" i="17"/>
  <c r="N1227" i="17"/>
  <c r="AO1227" i="17"/>
  <c r="Y1227" i="17"/>
  <c r="M1227" i="17"/>
  <c r="AL1227" i="17"/>
  <c r="V1227" i="17"/>
  <c r="AK1227" i="17"/>
  <c r="U1227" i="17"/>
  <c r="AE1227" i="17"/>
  <c r="X1227" i="17"/>
  <c r="W1227" i="17"/>
  <c r="AF1227" i="17"/>
  <c r="P1227" i="17"/>
  <c r="O1227" i="17"/>
  <c r="AH1227" i="17"/>
  <c r="AG1227" i="17"/>
  <c r="AN1276" i="17"/>
  <c r="AF1276" i="17"/>
  <c r="X1276" i="17"/>
  <c r="P1276" i="17"/>
  <c r="AM1276" i="17"/>
  <c r="AE1276" i="17"/>
  <c r="W1276" i="17"/>
  <c r="O1276" i="17"/>
  <c r="AJ1276" i="17"/>
  <c r="Z1276" i="17"/>
  <c r="N1276" i="17"/>
  <c r="AI1276" i="17"/>
  <c r="Y1276" i="17"/>
  <c r="M1276" i="17"/>
  <c r="AH1276" i="17"/>
  <c r="T1276" i="17"/>
  <c r="AG1276" i="17"/>
  <c r="S1276" i="17"/>
  <c r="AL1276" i="17"/>
  <c r="R1276" i="17"/>
  <c r="AK1276" i="17"/>
  <c r="Q1276" i="17"/>
  <c r="AR1276" i="17"/>
  <c r="V1276" i="17"/>
  <c r="AQ1276" i="17"/>
  <c r="U1276" i="17"/>
  <c r="AP1276" i="17"/>
  <c r="L1276" i="17"/>
  <c r="AO1276" i="17"/>
  <c r="AD1276" i="17"/>
  <c r="AC1276" i="17"/>
  <c r="AB1276" i="17"/>
  <c r="AA1276" i="17"/>
  <c r="K1276" i="17"/>
  <c r="J1276" i="17"/>
  <c r="R1407" i="17"/>
  <c r="I3947" i="16"/>
  <c r="I3955" i="16"/>
  <c r="I3963" i="16"/>
  <c r="I3971" i="16"/>
  <c r="I3979" i="16"/>
  <c r="I3987" i="16"/>
  <c r="I3995" i="16"/>
  <c r="I4003" i="16"/>
  <c r="I4011" i="16"/>
  <c r="I4019" i="16"/>
  <c r="I4027" i="16"/>
  <c r="I4035" i="16"/>
  <c r="P4050" i="16"/>
  <c r="H4050" i="16"/>
  <c r="J4050" i="16"/>
  <c r="M4061" i="16"/>
  <c r="E4061" i="16"/>
  <c r="J4061" i="16"/>
  <c r="O4075" i="16"/>
  <c r="G4075" i="16"/>
  <c r="J4075" i="16"/>
  <c r="I4086" i="16"/>
  <c r="I4087" i="16"/>
  <c r="I4088" i="16"/>
  <c r="N4100" i="16"/>
  <c r="F4100" i="16"/>
  <c r="J4100" i="16"/>
  <c r="P4114" i="16"/>
  <c r="H4114" i="16"/>
  <c r="J4114" i="16"/>
  <c r="M4125" i="16"/>
  <c r="E4125" i="16"/>
  <c r="J4125" i="16"/>
  <c r="O4139" i="16"/>
  <c r="G4139" i="16"/>
  <c r="J4139" i="16"/>
  <c r="I4150" i="16"/>
  <c r="I4151" i="16"/>
  <c r="I4152" i="16"/>
  <c r="N4164" i="16"/>
  <c r="F4164" i="16"/>
  <c r="J4164" i="16"/>
  <c r="P4178" i="16"/>
  <c r="H4178" i="16"/>
  <c r="J4178" i="16"/>
  <c r="M4189" i="16"/>
  <c r="E4189" i="16"/>
  <c r="J4189" i="16"/>
  <c r="O4203" i="16"/>
  <c r="G4203" i="16"/>
  <c r="J4203" i="16"/>
  <c r="I4214" i="16"/>
  <c r="I4215" i="16"/>
  <c r="I4216" i="16"/>
  <c r="N4228" i="16"/>
  <c r="F4228" i="16"/>
  <c r="J4228" i="16"/>
  <c r="P4242" i="16"/>
  <c r="H4242" i="16"/>
  <c r="J4242" i="16"/>
  <c r="M4253" i="16"/>
  <c r="E4253" i="16"/>
  <c r="J4253" i="16"/>
  <c r="O4267" i="16"/>
  <c r="G4267" i="16"/>
  <c r="J4267" i="16"/>
  <c r="I4278" i="16"/>
  <c r="I4279" i="16"/>
  <c r="I4280" i="16"/>
  <c r="N4292" i="16"/>
  <c r="F4292" i="16"/>
  <c r="J4292" i="16"/>
  <c r="P4306" i="16"/>
  <c r="H4306" i="16"/>
  <c r="J4306" i="16"/>
  <c r="M4317" i="16"/>
  <c r="E4317" i="16"/>
  <c r="J4317" i="16"/>
  <c r="O4331" i="16"/>
  <c r="G4331" i="16"/>
  <c r="J4331" i="16"/>
  <c r="I4342" i="16"/>
  <c r="I4343" i="16"/>
  <c r="I4344" i="16"/>
  <c r="N4356" i="16"/>
  <c r="F4356" i="16"/>
  <c r="J4356" i="16"/>
  <c r="P4370" i="16"/>
  <c r="H4370" i="16"/>
  <c r="J4370" i="16"/>
  <c r="M4381" i="16"/>
  <c r="E4381" i="16"/>
  <c r="J4381" i="16"/>
  <c r="O4395" i="16"/>
  <c r="G4395" i="16"/>
  <c r="J4395" i="16"/>
  <c r="I4406" i="16"/>
  <c r="I4407" i="16"/>
  <c r="I4408" i="16"/>
  <c r="N4420" i="16"/>
  <c r="F4420" i="16"/>
  <c r="J4420" i="16"/>
  <c r="P4434" i="16"/>
  <c r="H4434" i="16"/>
  <c r="J4434" i="16"/>
  <c r="M4445" i="16"/>
  <c r="E4445" i="16"/>
  <c r="J4445" i="16"/>
  <c r="O4459" i="16"/>
  <c r="G4459" i="16"/>
  <c r="J4459" i="16"/>
  <c r="I4470" i="16"/>
  <c r="I4471" i="16"/>
  <c r="I4472" i="16"/>
  <c r="N4484" i="16"/>
  <c r="F4484" i="16"/>
  <c r="J4484" i="16"/>
  <c r="P4498" i="16"/>
  <c r="H4498" i="16"/>
  <c r="J4498" i="16"/>
  <c r="M4509" i="16"/>
  <c r="E4509" i="16"/>
  <c r="J4509" i="16"/>
  <c r="O4523" i="16"/>
  <c r="G4523" i="16"/>
  <c r="J4523" i="16"/>
  <c r="I4534" i="16"/>
  <c r="I4535" i="16"/>
  <c r="I4536" i="16"/>
  <c r="N4548" i="16"/>
  <c r="F4548" i="16"/>
  <c r="J4548" i="16"/>
  <c r="P4562" i="16"/>
  <c r="H4562" i="16"/>
  <c r="J4562" i="16"/>
  <c r="M4573" i="16"/>
  <c r="E4573" i="16"/>
  <c r="J4573" i="16"/>
  <c r="O4587" i="16"/>
  <c r="G4587" i="16"/>
  <c r="J4587" i="16"/>
  <c r="I4598" i="16"/>
  <c r="I4599" i="16"/>
  <c r="I4600" i="16"/>
  <c r="N4612" i="16"/>
  <c r="F4612" i="16"/>
  <c r="J4612" i="16"/>
  <c r="H4621" i="16"/>
  <c r="T4621" i="16"/>
  <c r="H4622" i="16"/>
  <c r="T4622" i="16"/>
  <c r="H4623" i="16"/>
  <c r="T4623" i="16"/>
  <c r="H4624" i="16"/>
  <c r="T4624" i="16"/>
  <c r="P4626" i="16"/>
  <c r="H4626" i="16"/>
  <c r="J4626" i="16"/>
  <c r="H4635" i="16"/>
  <c r="T4635" i="16"/>
  <c r="M4637" i="16"/>
  <c r="E4637" i="16"/>
  <c r="J4637" i="16"/>
  <c r="G4646" i="16"/>
  <c r="P4646" i="16"/>
  <c r="G4647" i="16"/>
  <c r="P4647" i="16"/>
  <c r="G4648" i="16"/>
  <c r="P4648" i="16"/>
  <c r="O4651" i="16"/>
  <c r="G4651" i="16"/>
  <c r="J4651" i="16"/>
  <c r="H4660" i="16"/>
  <c r="T4660" i="16"/>
  <c r="I4662" i="16"/>
  <c r="I4663" i="16"/>
  <c r="I4664" i="16"/>
  <c r="G4674" i="16"/>
  <c r="T4674" i="16"/>
  <c r="N4676" i="16"/>
  <c r="F4676" i="16"/>
  <c r="J4676" i="16"/>
  <c r="H4685" i="16"/>
  <c r="T4685" i="16"/>
  <c r="H4686" i="16"/>
  <c r="T4686" i="16"/>
  <c r="H4687" i="16"/>
  <c r="T4687" i="16"/>
  <c r="H4688" i="16"/>
  <c r="T4688" i="16"/>
  <c r="P4690" i="16"/>
  <c r="H4690" i="16"/>
  <c r="J4690" i="16"/>
  <c r="H4699" i="16"/>
  <c r="T4699" i="16"/>
  <c r="M4701" i="16"/>
  <c r="E4701" i="16"/>
  <c r="J4701" i="16"/>
  <c r="G4710" i="16"/>
  <c r="P4710" i="16"/>
  <c r="G4711" i="16"/>
  <c r="P4711" i="16"/>
  <c r="G4712" i="16"/>
  <c r="P4712" i="16"/>
  <c r="O4715" i="16"/>
  <c r="G4715" i="16"/>
  <c r="J4715" i="16"/>
  <c r="H4724" i="16"/>
  <c r="T4724" i="16"/>
  <c r="I4726" i="16"/>
  <c r="I4727" i="16"/>
  <c r="I4728" i="16"/>
  <c r="G4738" i="16"/>
  <c r="T4738" i="16"/>
  <c r="N4740" i="16"/>
  <c r="F4740" i="16"/>
  <c r="J4740" i="16"/>
  <c r="H4749" i="16"/>
  <c r="T4749" i="16"/>
  <c r="H4750" i="16"/>
  <c r="T4750" i="16"/>
  <c r="H4751" i="16"/>
  <c r="T4751" i="16"/>
  <c r="H4752" i="16"/>
  <c r="T4752" i="16"/>
  <c r="P4754" i="16"/>
  <c r="H4754" i="16"/>
  <c r="J4754" i="16"/>
  <c r="H4763" i="16"/>
  <c r="T4763" i="16"/>
  <c r="M4765" i="16"/>
  <c r="E4765" i="16"/>
  <c r="J4765" i="16"/>
  <c r="G4774" i="16"/>
  <c r="P4774" i="16"/>
  <c r="G4775" i="16"/>
  <c r="P4775" i="16"/>
  <c r="G4776" i="16"/>
  <c r="P4776" i="16"/>
  <c r="O4779" i="16"/>
  <c r="G4779" i="16"/>
  <c r="J4779" i="16"/>
  <c r="H4788" i="16"/>
  <c r="T4788" i="16"/>
  <c r="I4790" i="16"/>
  <c r="I4791" i="16"/>
  <c r="I4792" i="16"/>
  <c r="G4802" i="16"/>
  <c r="T4802" i="16"/>
  <c r="N4804" i="16"/>
  <c r="F4804" i="16"/>
  <c r="J4804" i="16"/>
  <c r="H4813" i="16"/>
  <c r="T4813" i="16"/>
  <c r="H4814" i="16"/>
  <c r="T4814" i="16"/>
  <c r="H4815" i="16"/>
  <c r="T4815" i="16"/>
  <c r="H4816" i="16"/>
  <c r="T4816" i="16"/>
  <c r="P4818" i="16"/>
  <c r="H4818" i="16"/>
  <c r="J4818" i="16"/>
  <c r="H4827" i="16"/>
  <c r="T4827" i="16"/>
  <c r="M4829" i="16"/>
  <c r="E4829" i="16"/>
  <c r="J4829" i="16"/>
  <c r="G4838" i="16"/>
  <c r="P4838" i="16"/>
  <c r="G4839" i="16"/>
  <c r="P4839" i="16"/>
  <c r="G4840" i="16"/>
  <c r="P4840" i="16"/>
  <c r="O4843" i="16"/>
  <c r="G4843" i="16"/>
  <c r="J4843" i="16"/>
  <c r="H4852" i="16"/>
  <c r="T4852" i="16"/>
  <c r="I4854" i="16"/>
  <c r="I4855" i="16"/>
  <c r="I4856" i="16"/>
  <c r="G4866" i="16"/>
  <c r="T4866" i="16"/>
  <c r="N4868" i="16"/>
  <c r="F4868" i="16"/>
  <c r="J4868" i="16"/>
  <c r="H4877" i="16"/>
  <c r="T4877" i="16"/>
  <c r="H4878" i="16"/>
  <c r="T4878" i="16"/>
  <c r="H4879" i="16"/>
  <c r="T4879" i="16"/>
  <c r="H4880" i="16"/>
  <c r="T4880" i="16"/>
  <c r="P4882" i="16"/>
  <c r="H4882" i="16"/>
  <c r="J4882" i="16"/>
  <c r="H4891" i="16"/>
  <c r="T4891" i="16"/>
  <c r="M4893" i="16"/>
  <c r="E4893" i="16"/>
  <c r="J4893" i="16"/>
  <c r="G4902" i="16"/>
  <c r="P4902" i="16"/>
  <c r="G4903" i="16"/>
  <c r="P4903" i="16"/>
  <c r="G4904" i="16"/>
  <c r="P4904" i="16"/>
  <c r="O4907" i="16"/>
  <c r="G4907" i="16"/>
  <c r="J4907" i="16"/>
  <c r="H4916" i="16"/>
  <c r="T4916" i="16"/>
  <c r="I4918" i="16"/>
  <c r="I4919" i="16"/>
  <c r="I4920" i="16"/>
  <c r="G4930" i="16"/>
  <c r="T4930" i="16"/>
  <c r="N4932" i="16"/>
  <c r="F4932" i="16"/>
  <c r="J4932" i="16"/>
  <c r="H4941" i="16"/>
  <c r="T4941" i="16"/>
  <c r="H4942" i="16"/>
  <c r="T4942" i="16"/>
  <c r="H4943" i="16"/>
  <c r="T4943" i="16"/>
  <c r="H4944" i="16"/>
  <c r="T4944" i="16"/>
  <c r="P4946" i="16"/>
  <c r="H4946" i="16"/>
  <c r="J4946" i="16"/>
  <c r="H4955" i="16"/>
  <c r="T4955" i="16"/>
  <c r="M4957" i="16"/>
  <c r="E4957" i="16"/>
  <c r="J4957" i="16"/>
  <c r="G4966" i="16"/>
  <c r="P4966" i="16"/>
  <c r="G4967" i="16"/>
  <c r="P4967" i="16"/>
  <c r="G4968" i="16"/>
  <c r="P4968" i="16"/>
  <c r="O4971" i="16"/>
  <c r="G4971" i="16"/>
  <c r="J4971" i="16"/>
  <c r="H4980" i="16"/>
  <c r="T4980" i="16"/>
  <c r="I4982" i="16"/>
  <c r="I4983" i="16"/>
  <c r="I4984" i="16"/>
  <c r="G4994" i="16"/>
  <c r="T4994" i="16"/>
  <c r="N4996" i="16"/>
  <c r="F4996" i="16"/>
  <c r="J4996" i="16"/>
  <c r="H5005" i="16"/>
  <c r="T5005" i="16"/>
  <c r="H5006" i="16"/>
  <c r="T5006" i="16"/>
  <c r="H5007" i="16"/>
  <c r="T5007" i="16"/>
  <c r="H5008" i="16"/>
  <c r="T5008" i="16"/>
  <c r="P5010" i="16"/>
  <c r="H5010" i="16"/>
  <c r="J5010" i="16"/>
  <c r="H5019" i="16"/>
  <c r="T5019" i="16"/>
  <c r="M5021" i="16"/>
  <c r="E5021" i="16"/>
  <c r="J5021" i="16"/>
  <c r="N5028" i="16"/>
  <c r="F5028" i="16"/>
  <c r="M5028" i="16"/>
  <c r="E5028" i="16"/>
  <c r="K5028" i="16"/>
  <c r="G5031" i="16"/>
  <c r="T5031" i="16"/>
  <c r="N5036" i="16"/>
  <c r="F5036" i="16"/>
  <c r="M5036" i="16"/>
  <c r="E5036" i="16"/>
  <c r="K5036" i="16"/>
  <c r="G5039" i="16"/>
  <c r="T5039" i="16"/>
  <c r="N5044" i="16"/>
  <c r="F5044" i="16"/>
  <c r="M5044" i="16"/>
  <c r="E5044" i="16"/>
  <c r="K5044" i="16"/>
  <c r="G5047" i="16"/>
  <c r="T5047" i="16"/>
  <c r="N5052" i="16"/>
  <c r="F5052" i="16"/>
  <c r="M5052" i="16"/>
  <c r="E5052" i="16"/>
  <c r="K5052" i="16"/>
  <c r="G5055" i="16"/>
  <c r="T5055" i="16"/>
  <c r="N5060" i="16"/>
  <c r="F5060" i="16"/>
  <c r="M5060" i="16"/>
  <c r="E5060" i="16"/>
  <c r="K5060" i="16"/>
  <c r="G5063" i="16"/>
  <c r="T5063" i="16"/>
  <c r="N5068" i="16"/>
  <c r="F5068" i="16"/>
  <c r="M5068" i="16"/>
  <c r="E5068" i="16"/>
  <c r="K5068" i="16"/>
  <c r="G5071" i="16"/>
  <c r="T5071" i="16"/>
  <c r="N5076" i="16"/>
  <c r="F5076" i="16"/>
  <c r="M5076" i="16"/>
  <c r="E5076" i="16"/>
  <c r="K5076" i="16"/>
  <c r="G5079" i="16"/>
  <c r="T5079" i="16"/>
  <c r="N5084" i="16"/>
  <c r="F5084" i="16"/>
  <c r="M5084" i="16"/>
  <c r="E5084" i="16"/>
  <c r="K5084" i="16"/>
  <c r="G5087" i="16"/>
  <c r="T5087" i="16"/>
  <c r="N5092" i="16"/>
  <c r="F5092" i="16"/>
  <c r="M5092" i="16"/>
  <c r="E5092" i="16"/>
  <c r="K5092" i="16"/>
  <c r="G5095" i="16"/>
  <c r="T5095" i="16"/>
  <c r="N5100" i="16"/>
  <c r="F5100" i="16"/>
  <c r="M5100" i="16"/>
  <c r="E5100" i="16"/>
  <c r="K5100" i="16"/>
  <c r="G5103" i="16"/>
  <c r="T5103" i="16"/>
  <c r="N5108" i="16"/>
  <c r="F5108" i="16"/>
  <c r="M5108" i="16"/>
  <c r="E5108" i="16"/>
  <c r="K5108" i="16"/>
  <c r="G5111" i="16"/>
  <c r="T5111" i="16"/>
  <c r="N5116" i="16"/>
  <c r="F5116" i="16"/>
  <c r="M5116" i="16"/>
  <c r="E5116" i="16"/>
  <c r="K5116" i="16"/>
  <c r="G5119" i="16"/>
  <c r="T5119" i="16"/>
  <c r="N5124" i="16"/>
  <c r="F5124" i="16"/>
  <c r="M5124" i="16"/>
  <c r="E5124" i="16"/>
  <c r="K5124" i="16"/>
  <c r="G5127" i="16"/>
  <c r="T5127" i="16"/>
  <c r="N5132" i="16"/>
  <c r="F5132" i="16"/>
  <c r="M5132" i="16"/>
  <c r="E5132" i="16"/>
  <c r="K5132" i="16"/>
  <c r="G5135" i="16"/>
  <c r="T5135" i="16"/>
  <c r="N5140" i="16"/>
  <c r="F5140" i="16"/>
  <c r="M5140" i="16"/>
  <c r="E5140" i="16"/>
  <c r="K5140" i="16"/>
  <c r="G5143" i="16"/>
  <c r="T5143" i="16"/>
  <c r="N5148" i="16"/>
  <c r="F5148" i="16"/>
  <c r="M5148" i="16"/>
  <c r="E5148" i="16"/>
  <c r="K5148" i="16"/>
  <c r="G5151" i="16"/>
  <c r="T5151" i="16"/>
  <c r="N5156" i="16"/>
  <c r="F5156" i="16"/>
  <c r="M5156" i="16"/>
  <c r="E5156" i="16"/>
  <c r="K5156" i="16"/>
  <c r="G5159" i="16"/>
  <c r="T5159" i="16"/>
  <c r="N5164" i="16"/>
  <c r="F5164" i="16"/>
  <c r="M5164" i="16"/>
  <c r="E5164" i="16"/>
  <c r="K5164" i="16"/>
  <c r="G5167" i="16"/>
  <c r="T5167" i="16"/>
  <c r="N5172" i="16"/>
  <c r="F5172" i="16"/>
  <c r="M5172" i="16"/>
  <c r="E5172" i="16"/>
  <c r="K5172" i="16"/>
  <c r="G5175" i="16"/>
  <c r="T5175" i="16"/>
  <c r="N5180" i="16"/>
  <c r="F5180" i="16"/>
  <c r="M5180" i="16"/>
  <c r="E5180" i="16"/>
  <c r="K5180" i="16"/>
  <c r="G5183" i="16"/>
  <c r="T5183" i="16"/>
  <c r="N5188" i="16"/>
  <c r="F5188" i="16"/>
  <c r="M5188" i="16"/>
  <c r="E5188" i="16"/>
  <c r="K5188" i="16"/>
  <c r="G5191" i="16"/>
  <c r="T5191" i="16"/>
  <c r="N5196" i="16"/>
  <c r="F5196" i="16"/>
  <c r="M5196" i="16"/>
  <c r="E5196" i="16"/>
  <c r="K5196" i="16"/>
  <c r="G5199" i="16"/>
  <c r="T5199" i="16"/>
  <c r="N5204" i="16"/>
  <c r="F5204" i="16"/>
  <c r="M5204" i="16"/>
  <c r="E5204" i="16"/>
  <c r="K5204" i="16"/>
  <c r="G5207" i="16"/>
  <c r="T5207" i="16"/>
  <c r="N5212" i="16"/>
  <c r="F5212" i="16"/>
  <c r="M5212" i="16"/>
  <c r="E5212" i="16"/>
  <c r="K5212" i="16"/>
  <c r="G5215" i="16"/>
  <c r="T5215" i="16"/>
  <c r="N5220" i="16"/>
  <c r="F5220" i="16"/>
  <c r="M5220" i="16"/>
  <c r="E5220" i="16"/>
  <c r="K5220" i="16"/>
  <c r="G5223" i="16"/>
  <c r="T5223" i="16"/>
  <c r="N5228" i="16"/>
  <c r="F5228" i="16"/>
  <c r="M5228" i="16"/>
  <c r="E5228" i="16"/>
  <c r="K5228" i="16"/>
  <c r="G5231" i="16"/>
  <c r="T5231" i="16"/>
  <c r="N5236" i="16"/>
  <c r="F5236" i="16"/>
  <c r="M5236" i="16"/>
  <c r="E5236" i="16"/>
  <c r="K5236" i="16"/>
  <c r="G5239" i="16"/>
  <c r="T5239" i="16"/>
  <c r="N5244" i="16"/>
  <c r="F5244" i="16"/>
  <c r="M5244" i="16"/>
  <c r="E5244" i="16"/>
  <c r="K5244" i="16"/>
  <c r="G5247" i="16"/>
  <c r="N5252" i="16"/>
  <c r="F5252" i="16"/>
  <c r="M5252" i="16"/>
  <c r="E5252" i="16"/>
  <c r="K5252" i="16"/>
  <c r="G5255" i="16"/>
  <c r="N5260" i="16"/>
  <c r="F5260" i="16"/>
  <c r="M5260" i="16"/>
  <c r="E5260" i="16"/>
  <c r="K5260" i="16"/>
  <c r="G5263" i="16"/>
  <c r="N5268" i="16"/>
  <c r="F5268" i="16"/>
  <c r="M5268" i="16"/>
  <c r="E5268" i="16"/>
  <c r="K5268" i="16"/>
  <c r="G5271" i="16"/>
  <c r="N5276" i="16"/>
  <c r="F5276" i="16"/>
  <c r="M5276" i="16"/>
  <c r="E5276" i="16"/>
  <c r="K5276" i="16"/>
  <c r="G5279" i="16"/>
  <c r="N5284" i="16"/>
  <c r="F5284" i="16"/>
  <c r="M5284" i="16"/>
  <c r="E5284" i="16"/>
  <c r="K5284" i="16"/>
  <c r="G5287" i="16"/>
  <c r="N5292" i="16"/>
  <c r="F5292" i="16"/>
  <c r="M5292" i="16"/>
  <c r="E5292" i="16"/>
  <c r="K5292" i="16"/>
  <c r="G5295" i="16"/>
  <c r="N5300" i="16"/>
  <c r="F5300" i="16"/>
  <c r="M5300" i="16"/>
  <c r="E5300" i="16"/>
  <c r="K5300" i="16"/>
  <c r="G5303" i="16"/>
  <c r="N5308" i="16"/>
  <c r="F5308" i="16"/>
  <c r="M5308" i="16"/>
  <c r="E5308" i="16"/>
  <c r="K5308" i="16"/>
  <c r="G5311" i="16"/>
  <c r="N5316" i="16"/>
  <c r="F5316" i="16"/>
  <c r="M5316" i="16"/>
  <c r="E5316" i="16"/>
  <c r="K5316" i="16"/>
  <c r="G5319" i="16"/>
  <c r="N5324" i="16"/>
  <c r="F5324" i="16"/>
  <c r="M5324" i="16"/>
  <c r="E5324" i="16"/>
  <c r="K5324" i="16"/>
  <c r="G5327" i="16"/>
  <c r="N5332" i="16"/>
  <c r="F5332" i="16"/>
  <c r="M5332" i="16"/>
  <c r="E5332" i="16"/>
  <c r="K5332" i="16"/>
  <c r="G5335" i="16"/>
  <c r="N5340" i="16"/>
  <c r="F5340" i="16"/>
  <c r="M5340" i="16"/>
  <c r="E5340" i="16"/>
  <c r="K5340" i="16"/>
  <c r="G5343" i="16"/>
  <c r="N5348" i="16"/>
  <c r="F5348" i="16"/>
  <c r="M5348" i="16"/>
  <c r="E5348" i="16"/>
  <c r="K5348" i="16"/>
  <c r="G5351" i="16"/>
  <c r="N5356" i="16"/>
  <c r="F5356" i="16"/>
  <c r="M5356" i="16"/>
  <c r="E5356" i="16"/>
  <c r="K5356" i="16"/>
  <c r="G5359" i="16"/>
  <c r="N5364" i="16"/>
  <c r="F5364" i="16"/>
  <c r="M5364" i="16"/>
  <c r="E5364" i="16"/>
  <c r="K5364" i="16"/>
  <c r="G5367" i="16"/>
  <c r="N5372" i="16"/>
  <c r="F5372" i="16"/>
  <c r="M5372" i="16"/>
  <c r="E5372" i="16"/>
  <c r="K5372" i="16"/>
  <c r="G5375" i="16"/>
  <c r="N5380" i="16"/>
  <c r="F5380" i="16"/>
  <c r="M5380" i="16"/>
  <c r="E5380" i="16"/>
  <c r="K5380" i="16"/>
  <c r="G5383" i="16"/>
  <c r="N5388" i="16"/>
  <c r="F5388" i="16"/>
  <c r="M5388" i="16"/>
  <c r="E5388" i="16"/>
  <c r="K5388" i="16"/>
  <c r="G5391" i="16"/>
  <c r="N5396" i="16"/>
  <c r="F5396" i="16"/>
  <c r="M5396" i="16"/>
  <c r="E5396" i="16"/>
  <c r="K5396" i="16"/>
  <c r="G5399" i="16"/>
  <c r="N5404" i="16"/>
  <c r="F5404" i="16"/>
  <c r="M5404" i="16"/>
  <c r="E5404" i="16"/>
  <c r="K5404" i="16"/>
  <c r="G5407" i="16"/>
  <c r="N5412" i="16"/>
  <c r="F5412" i="16"/>
  <c r="M5412" i="16"/>
  <c r="E5412" i="16"/>
  <c r="K5412" i="16"/>
  <c r="G5415" i="16"/>
  <c r="N5420" i="16"/>
  <c r="F5420" i="16"/>
  <c r="M5420" i="16"/>
  <c r="E5420" i="16"/>
  <c r="K5420" i="16"/>
  <c r="G5423" i="16"/>
  <c r="N5428" i="16"/>
  <c r="F5428" i="16"/>
  <c r="M5428" i="16"/>
  <c r="E5428" i="16"/>
  <c r="K5428" i="16"/>
  <c r="G5431" i="16"/>
  <c r="N5436" i="16"/>
  <c r="F5436" i="16"/>
  <c r="M5436" i="16"/>
  <c r="E5436" i="16"/>
  <c r="K5436" i="16"/>
  <c r="G5439" i="16"/>
  <c r="N5444" i="16"/>
  <c r="F5444" i="16"/>
  <c r="M5444" i="16"/>
  <c r="E5444" i="16"/>
  <c r="K5444" i="16"/>
  <c r="G5447" i="16"/>
  <c r="N5452" i="16"/>
  <c r="F5452" i="16"/>
  <c r="M5452" i="16"/>
  <c r="E5452" i="16"/>
  <c r="K5452" i="16"/>
  <c r="G5455" i="16"/>
  <c r="N5460" i="16"/>
  <c r="F5460" i="16"/>
  <c r="M5460" i="16"/>
  <c r="E5460" i="16"/>
  <c r="K5460" i="16"/>
  <c r="G5463" i="16"/>
  <c r="N5468" i="16"/>
  <c r="F5468" i="16"/>
  <c r="M5468" i="16"/>
  <c r="E5468" i="16"/>
  <c r="K5468" i="16"/>
  <c r="G5471" i="16"/>
  <c r="N5476" i="16"/>
  <c r="F5476" i="16"/>
  <c r="M5476" i="16"/>
  <c r="E5476" i="16"/>
  <c r="K5476" i="16"/>
  <c r="G5479" i="16"/>
  <c r="N5484" i="16"/>
  <c r="F5484" i="16"/>
  <c r="M5484" i="16"/>
  <c r="E5484" i="16"/>
  <c r="K5484" i="16"/>
  <c r="G5487" i="16"/>
  <c r="N5492" i="16"/>
  <c r="F5492" i="16"/>
  <c r="M5492" i="16"/>
  <c r="E5492" i="16"/>
  <c r="K5492" i="16"/>
  <c r="G5495" i="16"/>
  <c r="N5500" i="16"/>
  <c r="F5500" i="16"/>
  <c r="M5500" i="16"/>
  <c r="E5500" i="16"/>
  <c r="K5500" i="16"/>
  <c r="G5503" i="16"/>
  <c r="N5508" i="16"/>
  <c r="F5508" i="16"/>
  <c r="M5508" i="16"/>
  <c r="E5508" i="16"/>
  <c r="K5508" i="16"/>
  <c r="G5511" i="16"/>
  <c r="N5516" i="16"/>
  <c r="F5516" i="16"/>
  <c r="M5516" i="16"/>
  <c r="E5516" i="16"/>
  <c r="K5516" i="16"/>
  <c r="G5519" i="16"/>
  <c r="N5524" i="16"/>
  <c r="F5524" i="16"/>
  <c r="M5524" i="16"/>
  <c r="E5524" i="16"/>
  <c r="K5524" i="16"/>
  <c r="G5527" i="16"/>
  <c r="N5532" i="16"/>
  <c r="F5532" i="16"/>
  <c r="M5532" i="16"/>
  <c r="E5532" i="16"/>
  <c r="K5532" i="16"/>
  <c r="G5535" i="16"/>
  <c r="N5540" i="16"/>
  <c r="F5540" i="16"/>
  <c r="M5540" i="16"/>
  <c r="E5540" i="16"/>
  <c r="K5540" i="16"/>
  <c r="G5543" i="16"/>
  <c r="N5548" i="16"/>
  <c r="F5548" i="16"/>
  <c r="M5548" i="16"/>
  <c r="E5548" i="16"/>
  <c r="K5548" i="16"/>
  <c r="O5555" i="16"/>
  <c r="G5555" i="16"/>
  <c r="N5555" i="16"/>
  <c r="F5555" i="16"/>
  <c r="M5555" i="16"/>
  <c r="E5555" i="16"/>
  <c r="L5555" i="16"/>
  <c r="N5580" i="16"/>
  <c r="F5580" i="16"/>
  <c r="M5580" i="16"/>
  <c r="E5580" i="16"/>
  <c r="L5580" i="16"/>
  <c r="K5580" i="16"/>
  <c r="L5590" i="16"/>
  <c r="K5590" i="16"/>
  <c r="J5590" i="16"/>
  <c r="I5590" i="16"/>
  <c r="P5594" i="16"/>
  <c r="H5594" i="16"/>
  <c r="O5594" i="16"/>
  <c r="G5594" i="16"/>
  <c r="N5594" i="16"/>
  <c r="F5594" i="16"/>
  <c r="L5594" i="16"/>
  <c r="M5613" i="16"/>
  <c r="E5613" i="16"/>
  <c r="L5613" i="16"/>
  <c r="K5613" i="16"/>
  <c r="J5613" i="16"/>
  <c r="O5619" i="16"/>
  <c r="G5619" i="16"/>
  <c r="N5619" i="16"/>
  <c r="F5619" i="16"/>
  <c r="M5619" i="16"/>
  <c r="E5619" i="16"/>
  <c r="L5619" i="16"/>
  <c r="N5644" i="16"/>
  <c r="F5644" i="16"/>
  <c r="M5644" i="16"/>
  <c r="E5644" i="16"/>
  <c r="L5644" i="16"/>
  <c r="K5644" i="16"/>
  <c r="L5654" i="16"/>
  <c r="K5654" i="16"/>
  <c r="J5654" i="16"/>
  <c r="I5654" i="16"/>
  <c r="P5658" i="16"/>
  <c r="H5658" i="16"/>
  <c r="O5658" i="16"/>
  <c r="G5658" i="16"/>
  <c r="N5658" i="16"/>
  <c r="F5658" i="16"/>
  <c r="L5658" i="16"/>
  <c r="M5677" i="16"/>
  <c r="E5677" i="16"/>
  <c r="L5677" i="16"/>
  <c r="K5677" i="16"/>
  <c r="J5677" i="16"/>
  <c r="O5683" i="16"/>
  <c r="G5683" i="16"/>
  <c r="N5683" i="16"/>
  <c r="F5683" i="16"/>
  <c r="M5683" i="16"/>
  <c r="E5683" i="16"/>
  <c r="L5683" i="16"/>
  <c r="N5708" i="16"/>
  <c r="F5708" i="16"/>
  <c r="M5708" i="16"/>
  <c r="E5708" i="16"/>
  <c r="L5708" i="16"/>
  <c r="K5708" i="16"/>
  <c r="L5718" i="16"/>
  <c r="K5718" i="16"/>
  <c r="J5718" i="16"/>
  <c r="I5718" i="16"/>
  <c r="P5722" i="16"/>
  <c r="H5722" i="16"/>
  <c r="O5722" i="16"/>
  <c r="G5722" i="16"/>
  <c r="N5722" i="16"/>
  <c r="F5722" i="16"/>
  <c r="L5722" i="16"/>
  <c r="M5741" i="16"/>
  <c r="E5741" i="16"/>
  <c r="L5741" i="16"/>
  <c r="K5741" i="16"/>
  <c r="J5741" i="16"/>
  <c r="O5747" i="16"/>
  <c r="G5747" i="16"/>
  <c r="N5747" i="16"/>
  <c r="F5747" i="16"/>
  <c r="M5747" i="16"/>
  <c r="E5747" i="16"/>
  <c r="L5747" i="16"/>
  <c r="N5772" i="16"/>
  <c r="F5772" i="16"/>
  <c r="M5772" i="16"/>
  <c r="E5772" i="16"/>
  <c r="L5772" i="16"/>
  <c r="K5772" i="16"/>
  <c r="L5782" i="16"/>
  <c r="K5782" i="16"/>
  <c r="J5782" i="16"/>
  <c r="I5782" i="16"/>
  <c r="P5786" i="16"/>
  <c r="H5786" i="16"/>
  <c r="O5786" i="16"/>
  <c r="G5786" i="16"/>
  <c r="N5786" i="16"/>
  <c r="F5786" i="16"/>
  <c r="L5786" i="16"/>
  <c r="M5805" i="16"/>
  <c r="E5805" i="16"/>
  <c r="L5805" i="16"/>
  <c r="K5805" i="16"/>
  <c r="J5805" i="16"/>
  <c r="O5811" i="16"/>
  <c r="G5811" i="16"/>
  <c r="N5811" i="16"/>
  <c r="F5811" i="16"/>
  <c r="M5811" i="16"/>
  <c r="E5811" i="16"/>
  <c r="L5811" i="16"/>
  <c r="N5836" i="16"/>
  <c r="F5836" i="16"/>
  <c r="M5836" i="16"/>
  <c r="E5836" i="16"/>
  <c r="L5836" i="16"/>
  <c r="K5836" i="16"/>
  <c r="L5846" i="16"/>
  <c r="K5846" i="16"/>
  <c r="J5846" i="16"/>
  <c r="I5846" i="16"/>
  <c r="P5850" i="16"/>
  <c r="H5850" i="16"/>
  <c r="O5850" i="16"/>
  <c r="G5850" i="16"/>
  <c r="N5850" i="16"/>
  <c r="F5850" i="16"/>
  <c r="L5850" i="16"/>
  <c r="M5869" i="16"/>
  <c r="E5869" i="16"/>
  <c r="L5869" i="16"/>
  <c r="K5869" i="16"/>
  <c r="J5869" i="16"/>
  <c r="O5875" i="16"/>
  <c r="G5875" i="16"/>
  <c r="N5875" i="16"/>
  <c r="F5875" i="16"/>
  <c r="M5875" i="16"/>
  <c r="E5875" i="16"/>
  <c r="L5875" i="16"/>
  <c r="M5898" i="16"/>
  <c r="E5898" i="16"/>
  <c r="T5898" i="16"/>
  <c r="H5898" i="16"/>
  <c r="P5898" i="16"/>
  <c r="G5898" i="16"/>
  <c r="O5898" i="16"/>
  <c r="F5898" i="16"/>
  <c r="N5898" i="16"/>
  <c r="N5921" i="16"/>
  <c r="F5921" i="16"/>
  <c r="O5921" i="16"/>
  <c r="E5921" i="16"/>
  <c r="M5921" i="16"/>
  <c r="L5921" i="16"/>
  <c r="K5921" i="16"/>
  <c r="K5932" i="16"/>
  <c r="J5932" i="16"/>
  <c r="N5932" i="16"/>
  <c r="M5932" i="16"/>
  <c r="L5932" i="16"/>
  <c r="I5932" i="16"/>
  <c r="P5943" i="16"/>
  <c r="H5943" i="16"/>
  <c r="O5943" i="16"/>
  <c r="G5943" i="16"/>
  <c r="J5943" i="16"/>
  <c r="I5943" i="16"/>
  <c r="F5943" i="16"/>
  <c r="N5943" i="16"/>
  <c r="N5977" i="16"/>
  <c r="F5977" i="16"/>
  <c r="M5977" i="16"/>
  <c r="E5977" i="16"/>
  <c r="H5977" i="16"/>
  <c r="T5977" i="16"/>
  <c r="G5977" i="16"/>
  <c r="P5977" i="16"/>
  <c r="O5977" i="16"/>
  <c r="K5996" i="16"/>
  <c r="J5996" i="16"/>
  <c r="N5996" i="16"/>
  <c r="M5996" i="16"/>
  <c r="L5996" i="16"/>
  <c r="I5996" i="16"/>
  <c r="T4" i="17"/>
  <c r="W6" i="17"/>
  <c r="W8" i="17"/>
  <c r="Z16" i="17"/>
  <c r="T22" i="17"/>
  <c r="T32" i="17"/>
  <c r="K35" i="17"/>
  <c r="AD50" i="17"/>
  <c r="V50" i="17"/>
  <c r="N50" i="17"/>
  <c r="AC50" i="17"/>
  <c r="U50" i="17"/>
  <c r="AQ50" i="17" s="1"/>
  <c r="M50" i="17"/>
  <c r="AE50" i="17" s="1"/>
  <c r="Z50" i="17"/>
  <c r="Y50" i="17"/>
  <c r="X50" i="17"/>
  <c r="L50" i="17"/>
  <c r="AA50" i="17"/>
  <c r="V62" i="17"/>
  <c r="N62" i="17"/>
  <c r="AC62" i="17"/>
  <c r="U62" i="17"/>
  <c r="AQ62" i="17" s="1"/>
  <c r="M62" i="17"/>
  <c r="X62" i="17"/>
  <c r="L62" i="17"/>
  <c r="W62" i="17"/>
  <c r="K62" i="17"/>
  <c r="T62" i="17"/>
  <c r="J62" i="17"/>
  <c r="AA62" i="17"/>
  <c r="W66" i="17"/>
  <c r="K69" i="17"/>
  <c r="Z78" i="17"/>
  <c r="T82" i="17"/>
  <c r="K87" i="17"/>
  <c r="R88" i="17"/>
  <c r="Q88" i="17"/>
  <c r="Y94" i="17"/>
  <c r="V100" i="17"/>
  <c r="N100" i="17"/>
  <c r="AC100" i="17"/>
  <c r="U100" i="17"/>
  <c r="M100" i="17"/>
  <c r="AA100" i="17"/>
  <c r="Q100" i="17"/>
  <c r="Z100" i="17"/>
  <c r="Y100" i="17"/>
  <c r="X100" i="17"/>
  <c r="J104" i="17"/>
  <c r="Y104" i="17"/>
  <c r="W116" i="17"/>
  <c r="V118" i="17"/>
  <c r="N118" i="17"/>
  <c r="AC118" i="17"/>
  <c r="U118" i="17"/>
  <c r="M118" i="17"/>
  <c r="AE118" i="17" s="1"/>
  <c r="AB118" i="17"/>
  <c r="R118" i="17"/>
  <c r="AA118" i="17"/>
  <c r="Q118" i="17"/>
  <c r="Z118" i="17"/>
  <c r="X118" i="17"/>
  <c r="X120" i="17"/>
  <c r="V128" i="17"/>
  <c r="N128" i="17"/>
  <c r="AC128" i="17"/>
  <c r="U128" i="17"/>
  <c r="AH128" i="17" s="1"/>
  <c r="M128" i="17"/>
  <c r="Y128" i="17"/>
  <c r="X128" i="17"/>
  <c r="L128" i="17"/>
  <c r="W128" i="17"/>
  <c r="K128" i="17"/>
  <c r="AA128" i="17"/>
  <c r="T132" i="17"/>
  <c r="W134" i="17"/>
  <c r="W136" i="17"/>
  <c r="Z144" i="17"/>
  <c r="T150" i="17"/>
  <c r="T160" i="17"/>
  <c r="K163" i="17"/>
  <c r="T182" i="17"/>
  <c r="AI182" i="17"/>
  <c r="AL190" i="17"/>
  <c r="AD190" i="17"/>
  <c r="V190" i="17"/>
  <c r="N190" i="17"/>
  <c r="AK190" i="17"/>
  <c r="AC190" i="17"/>
  <c r="U190" i="17"/>
  <c r="M190" i="17"/>
  <c r="AR190" i="17"/>
  <c r="AH190" i="17"/>
  <c r="X190" i="17"/>
  <c r="L190" i="17"/>
  <c r="AQ190" i="17"/>
  <c r="AG190" i="17"/>
  <c r="W190" i="17"/>
  <c r="K190" i="17"/>
  <c r="AP190" i="17"/>
  <c r="AF190" i="17"/>
  <c r="T190" i="17"/>
  <c r="J190" i="17"/>
  <c r="AA190" i="17"/>
  <c r="T198" i="17"/>
  <c r="AI198" i="17"/>
  <c r="AL206" i="17"/>
  <c r="AD206" i="17"/>
  <c r="V206" i="17"/>
  <c r="N206" i="17"/>
  <c r="AK206" i="17"/>
  <c r="AC206" i="17"/>
  <c r="U206" i="17"/>
  <c r="M206" i="17"/>
  <c r="AR206" i="17"/>
  <c r="AH206" i="17"/>
  <c r="X206" i="17"/>
  <c r="L206" i="17"/>
  <c r="AQ206" i="17"/>
  <c r="AG206" i="17"/>
  <c r="W206" i="17"/>
  <c r="K206" i="17"/>
  <c r="AP206" i="17"/>
  <c r="AF206" i="17"/>
  <c r="T206" i="17"/>
  <c r="J206" i="17"/>
  <c r="AA206" i="17"/>
  <c r="T214" i="17"/>
  <c r="AI214" i="17"/>
  <c r="AL222" i="17"/>
  <c r="AD222" i="17"/>
  <c r="V222" i="17"/>
  <c r="N222" i="17"/>
  <c r="AK222" i="17"/>
  <c r="AC222" i="17"/>
  <c r="U222" i="17"/>
  <c r="M222" i="17"/>
  <c r="AR222" i="17"/>
  <c r="AH222" i="17"/>
  <c r="X222" i="17"/>
  <c r="L222" i="17"/>
  <c r="AQ222" i="17"/>
  <c r="AG222" i="17"/>
  <c r="W222" i="17"/>
  <c r="K222" i="17"/>
  <c r="AP222" i="17"/>
  <c r="AF222" i="17"/>
  <c r="T222" i="17"/>
  <c r="J222" i="17"/>
  <c r="AA222" i="17"/>
  <c r="T230" i="17"/>
  <c r="AI230" i="17"/>
  <c r="AL238" i="17"/>
  <c r="AD238" i="17"/>
  <c r="V238" i="17"/>
  <c r="N238" i="17"/>
  <c r="AK238" i="17"/>
  <c r="AC238" i="17"/>
  <c r="U238" i="17"/>
  <c r="M238" i="17"/>
  <c r="AJ238" i="17"/>
  <c r="Z238" i="17"/>
  <c r="P238" i="17"/>
  <c r="AM238" i="17"/>
  <c r="Y238" i="17"/>
  <c r="L238" i="17"/>
  <c r="AI238" i="17"/>
  <c r="X238" i="17"/>
  <c r="K238" i="17"/>
  <c r="AH238" i="17"/>
  <c r="W238" i="17"/>
  <c r="J238" i="17"/>
  <c r="AE238" i="17"/>
  <c r="AL252" i="17"/>
  <c r="AD252" i="17"/>
  <c r="V252" i="17"/>
  <c r="N252" i="17"/>
  <c r="AK252" i="17"/>
  <c r="AC252" i="17"/>
  <c r="U252" i="17"/>
  <c r="M252" i="17"/>
  <c r="AI252" i="17"/>
  <c r="Y252" i="17"/>
  <c r="O252" i="17"/>
  <c r="AR252" i="17"/>
  <c r="AH252" i="17"/>
  <c r="X252" i="17"/>
  <c r="L252" i="17"/>
  <c r="AQ252" i="17"/>
  <c r="AG252" i="17"/>
  <c r="W252" i="17"/>
  <c r="K252" i="17"/>
  <c r="AF252" i="17"/>
  <c r="Q252" i="17"/>
  <c r="AE252" i="17"/>
  <c r="P252" i="17"/>
  <c r="AB252" i="17"/>
  <c r="J252" i="17"/>
  <c r="AN252" i="17"/>
  <c r="AB266" i="17"/>
  <c r="Y274" i="17"/>
  <c r="AL298" i="17"/>
  <c r="AD298" i="17"/>
  <c r="V298" i="17"/>
  <c r="N298" i="17"/>
  <c r="AK298" i="17"/>
  <c r="AC298" i="17"/>
  <c r="U298" i="17"/>
  <c r="M298" i="17"/>
  <c r="AR298" i="17"/>
  <c r="AH298" i="17"/>
  <c r="X298" i="17"/>
  <c r="L298" i="17"/>
  <c r="AQ298" i="17"/>
  <c r="AG298" i="17"/>
  <c r="W298" i="17"/>
  <c r="K298" i="17"/>
  <c r="AP298" i="17"/>
  <c r="AF298" i="17"/>
  <c r="T298" i="17"/>
  <c r="J298" i="17"/>
  <c r="AN298" i="17"/>
  <c r="Y298" i="17"/>
  <c r="AM298" i="17"/>
  <c r="S298" i="17"/>
  <c r="AJ298" i="17"/>
  <c r="R298" i="17"/>
  <c r="AI298" i="17"/>
  <c r="AL306" i="17"/>
  <c r="AD306" i="17"/>
  <c r="V306" i="17"/>
  <c r="N306" i="17"/>
  <c r="AK306" i="17"/>
  <c r="AC306" i="17"/>
  <c r="U306" i="17"/>
  <c r="M306" i="17"/>
  <c r="AN306" i="17"/>
  <c r="AB306" i="17"/>
  <c r="R306" i="17"/>
  <c r="AM306" i="17"/>
  <c r="AA306" i="17"/>
  <c r="Q306" i="17"/>
  <c r="AJ306" i="17"/>
  <c r="Z306" i="17"/>
  <c r="P306" i="17"/>
  <c r="AG306" i="17"/>
  <c r="O306" i="17"/>
  <c r="AF306" i="17"/>
  <c r="L306" i="17"/>
  <c r="AR306" i="17"/>
  <c r="AE306" i="17"/>
  <c r="K306" i="17"/>
  <c r="AI306" i="17"/>
  <c r="AL366" i="17"/>
  <c r="AD366" i="17"/>
  <c r="V366" i="17"/>
  <c r="N366" i="17"/>
  <c r="AK366" i="17"/>
  <c r="AC366" i="17"/>
  <c r="U366" i="17"/>
  <c r="M366" i="17"/>
  <c r="AN366" i="17"/>
  <c r="AB366" i="17"/>
  <c r="R366" i="17"/>
  <c r="AM366" i="17"/>
  <c r="AA366" i="17"/>
  <c r="Q366" i="17"/>
  <c r="AJ366" i="17"/>
  <c r="Z366" i="17"/>
  <c r="P366" i="17"/>
  <c r="AO366" i="17"/>
  <c r="W366" i="17"/>
  <c r="AI366" i="17"/>
  <c r="T366" i="17"/>
  <c r="AH366" i="17"/>
  <c r="S366" i="17"/>
  <c r="AF366" i="17"/>
  <c r="AL378" i="17"/>
  <c r="AD378" i="17"/>
  <c r="V378" i="17"/>
  <c r="N378" i="17"/>
  <c r="AK378" i="17"/>
  <c r="AC378" i="17"/>
  <c r="U378" i="17"/>
  <c r="M378" i="17"/>
  <c r="AN378" i="17"/>
  <c r="AB378" i="17"/>
  <c r="R378" i="17"/>
  <c r="AM378" i="17"/>
  <c r="AA378" i="17"/>
  <c r="Q378" i="17"/>
  <c r="AJ378" i="17"/>
  <c r="Z378" i="17"/>
  <c r="P378" i="17"/>
  <c r="AI378" i="17"/>
  <c r="T378" i="17"/>
  <c r="AH378" i="17"/>
  <c r="S378" i="17"/>
  <c r="AG378" i="17"/>
  <c r="O378" i="17"/>
  <c r="AF378" i="17"/>
  <c r="Y398" i="17"/>
  <c r="AL422" i="17"/>
  <c r="AD422" i="17"/>
  <c r="V422" i="17"/>
  <c r="N422" i="17"/>
  <c r="AK422" i="17"/>
  <c r="AC422" i="17"/>
  <c r="U422" i="17"/>
  <c r="M422" i="17"/>
  <c r="AR422" i="17"/>
  <c r="AH422" i="17"/>
  <c r="X422" i="17"/>
  <c r="L422" i="17"/>
  <c r="AQ422" i="17"/>
  <c r="AG422" i="17"/>
  <c r="W422" i="17"/>
  <c r="K422" i="17"/>
  <c r="AP422" i="17"/>
  <c r="AF422" i="17"/>
  <c r="T422" i="17"/>
  <c r="J422" i="17"/>
  <c r="AN422" i="17"/>
  <c r="Y422" i="17"/>
  <c r="AM422" i="17"/>
  <c r="S422" i="17"/>
  <c r="AJ422" i="17"/>
  <c r="R422" i="17"/>
  <c r="AI422" i="17"/>
  <c r="AL430" i="17"/>
  <c r="AD430" i="17"/>
  <c r="V430" i="17"/>
  <c r="N430" i="17"/>
  <c r="AK430" i="17"/>
  <c r="AC430" i="17"/>
  <c r="U430" i="17"/>
  <c r="M430" i="17"/>
  <c r="AN430" i="17"/>
  <c r="AB430" i="17"/>
  <c r="R430" i="17"/>
  <c r="AM430" i="17"/>
  <c r="AA430" i="17"/>
  <c r="Q430" i="17"/>
  <c r="AJ430" i="17"/>
  <c r="Z430" i="17"/>
  <c r="P430" i="17"/>
  <c r="AG430" i="17"/>
  <c r="O430" i="17"/>
  <c r="AF430" i="17"/>
  <c r="L430" i="17"/>
  <c r="AR430" i="17"/>
  <c r="AE430" i="17"/>
  <c r="K430" i="17"/>
  <c r="AI430" i="17"/>
  <c r="AJ472" i="17"/>
  <c r="AL474" i="17"/>
  <c r="AD474" i="17"/>
  <c r="V474" i="17"/>
  <c r="N474" i="17"/>
  <c r="AK474" i="17"/>
  <c r="AC474" i="17"/>
  <c r="U474" i="17"/>
  <c r="M474" i="17"/>
  <c r="AJ474" i="17"/>
  <c r="Z474" i="17"/>
  <c r="P474" i="17"/>
  <c r="AI474" i="17"/>
  <c r="Y474" i="17"/>
  <c r="O474" i="17"/>
  <c r="AR474" i="17"/>
  <c r="AH474" i="17"/>
  <c r="X474" i="17"/>
  <c r="L474" i="17"/>
  <c r="AO474" i="17"/>
  <c r="W474" i="17"/>
  <c r="AN474" i="17"/>
  <c r="T474" i="17"/>
  <c r="AM474" i="17"/>
  <c r="S474" i="17"/>
  <c r="AF474" i="17"/>
  <c r="AL504" i="17"/>
  <c r="AD504" i="17"/>
  <c r="V504" i="17"/>
  <c r="N504" i="17"/>
  <c r="AK504" i="17"/>
  <c r="AC504" i="17"/>
  <c r="U504" i="17"/>
  <c r="M504" i="17"/>
  <c r="AI504" i="17"/>
  <c r="Y504" i="17"/>
  <c r="O504" i="17"/>
  <c r="AR504" i="17"/>
  <c r="AH504" i="17"/>
  <c r="X504" i="17"/>
  <c r="L504" i="17"/>
  <c r="AQ504" i="17"/>
  <c r="AG504" i="17"/>
  <c r="W504" i="17"/>
  <c r="K504" i="17"/>
  <c r="AF504" i="17"/>
  <c r="Q504" i="17"/>
  <c r="AE504" i="17"/>
  <c r="P504" i="17"/>
  <c r="AB504" i="17"/>
  <c r="J504" i="17"/>
  <c r="AN504" i="17"/>
  <c r="AB518" i="17"/>
  <c r="Y526" i="17"/>
  <c r="AL552" i="17"/>
  <c r="AD552" i="17"/>
  <c r="V552" i="17"/>
  <c r="N552" i="17"/>
  <c r="AK552" i="17"/>
  <c r="AC552" i="17"/>
  <c r="U552" i="17"/>
  <c r="M552" i="17"/>
  <c r="AI552" i="17"/>
  <c r="Y552" i="17"/>
  <c r="O552" i="17"/>
  <c r="AR552" i="17"/>
  <c r="AH552" i="17"/>
  <c r="X552" i="17"/>
  <c r="L552" i="17"/>
  <c r="AQ552" i="17"/>
  <c r="AG552" i="17"/>
  <c r="W552" i="17"/>
  <c r="K552" i="17"/>
  <c r="AF552" i="17"/>
  <c r="Q552" i="17"/>
  <c r="AE552" i="17"/>
  <c r="P552" i="17"/>
  <c r="AB552" i="17"/>
  <c r="J552" i="17"/>
  <c r="AN552" i="17"/>
  <c r="AB566" i="17"/>
  <c r="Y574" i="17"/>
  <c r="AK596" i="17"/>
  <c r="AC596" i="17"/>
  <c r="U596" i="17"/>
  <c r="M596" i="17"/>
  <c r="AM596" i="17"/>
  <c r="AD596" i="17"/>
  <c r="T596" i="17"/>
  <c r="K596" i="17"/>
  <c r="AL596" i="17"/>
  <c r="AB596" i="17"/>
  <c r="S596" i="17"/>
  <c r="J596" i="17"/>
  <c r="AQ596" i="17"/>
  <c r="AF596" i="17"/>
  <c r="R596" i="17"/>
  <c r="AP596" i="17"/>
  <c r="AE596" i="17"/>
  <c r="Q596" i="17"/>
  <c r="AO596" i="17"/>
  <c r="AA596" i="17"/>
  <c r="P596" i="17"/>
  <c r="AR596" i="17"/>
  <c r="X596" i="17"/>
  <c r="AN596" i="17"/>
  <c r="W596" i="17"/>
  <c r="AJ596" i="17"/>
  <c r="V596" i="17"/>
  <c r="AI596" i="17"/>
  <c r="AK606" i="17"/>
  <c r="AC606" i="17"/>
  <c r="U606" i="17"/>
  <c r="M606" i="17"/>
  <c r="AR606" i="17"/>
  <c r="AJ606" i="17"/>
  <c r="AB606" i="17"/>
  <c r="T606" i="17"/>
  <c r="L606" i="17"/>
  <c r="AQ606" i="17"/>
  <c r="AG606" i="17"/>
  <c r="W606" i="17"/>
  <c r="K606" i="17"/>
  <c r="AP606" i="17"/>
  <c r="AF606" i="17"/>
  <c r="V606" i="17"/>
  <c r="J606" i="17"/>
  <c r="AI606" i="17"/>
  <c r="S606" i="17"/>
  <c r="AH606" i="17"/>
  <c r="R606" i="17"/>
  <c r="AE606" i="17"/>
  <c r="Q606" i="17"/>
  <c r="AN606" i="17"/>
  <c r="P606" i="17"/>
  <c r="AM606" i="17"/>
  <c r="O606" i="17"/>
  <c r="AL606" i="17"/>
  <c r="N606" i="17"/>
  <c r="AK706" i="17"/>
  <c r="AC706" i="17"/>
  <c r="U706" i="17"/>
  <c r="M706" i="17"/>
  <c r="AR706" i="17"/>
  <c r="AJ706" i="17"/>
  <c r="AB706" i="17"/>
  <c r="T706" i="17"/>
  <c r="L706" i="17"/>
  <c r="AI706" i="17"/>
  <c r="Y706" i="17"/>
  <c r="O706" i="17"/>
  <c r="AH706" i="17"/>
  <c r="X706" i="17"/>
  <c r="N706" i="17"/>
  <c r="AL706" i="17"/>
  <c r="V706" i="17"/>
  <c r="AN706" i="17"/>
  <c r="W706" i="17"/>
  <c r="AM706" i="17"/>
  <c r="S706" i="17"/>
  <c r="AG706" i="17"/>
  <c r="R706" i="17"/>
  <c r="AP706" i="17"/>
  <c r="P706" i="17"/>
  <c r="AO706" i="17"/>
  <c r="K706" i="17"/>
  <c r="AF706" i="17"/>
  <c r="J706" i="17"/>
  <c r="AQ706" i="17"/>
  <c r="AE706" i="17"/>
  <c r="AD706" i="17"/>
  <c r="AK716" i="17"/>
  <c r="AC716" i="17"/>
  <c r="U716" i="17"/>
  <c r="M716" i="17"/>
  <c r="AR716" i="17"/>
  <c r="AJ716" i="17"/>
  <c r="AB716" i="17"/>
  <c r="T716" i="17"/>
  <c r="L716" i="17"/>
  <c r="AL716" i="17"/>
  <c r="Z716" i="17"/>
  <c r="P716" i="17"/>
  <c r="AI716" i="17"/>
  <c r="Y716" i="17"/>
  <c r="O716" i="17"/>
  <c r="AF716" i="17"/>
  <c r="R716" i="17"/>
  <c r="AG716" i="17"/>
  <c r="Q716" i="17"/>
  <c r="AE716" i="17"/>
  <c r="N716" i="17"/>
  <c r="AQ716" i="17"/>
  <c r="AD716" i="17"/>
  <c r="K716" i="17"/>
  <c r="AA716" i="17"/>
  <c r="X716" i="17"/>
  <c r="W716" i="17"/>
  <c r="V716" i="17"/>
  <c r="S716" i="17"/>
  <c r="J716" i="17"/>
  <c r="AM850" i="17"/>
  <c r="AE850" i="17"/>
  <c r="W850" i="17"/>
  <c r="O850" i="17"/>
  <c r="AN850" i="17"/>
  <c r="AD850" i="17"/>
  <c r="U850" i="17"/>
  <c r="L850" i="17"/>
  <c r="AL850" i="17"/>
  <c r="AC850" i="17"/>
  <c r="T850" i="17"/>
  <c r="K850" i="17"/>
  <c r="AJ850" i="17"/>
  <c r="Y850" i="17"/>
  <c r="M850" i="17"/>
  <c r="AI850" i="17"/>
  <c r="X850" i="17"/>
  <c r="J850" i="17"/>
  <c r="AO850" i="17"/>
  <c r="V850" i="17"/>
  <c r="AK850" i="17"/>
  <c r="S850" i="17"/>
  <c r="AR850" i="17"/>
  <c r="Z850" i="17"/>
  <c r="AQ850" i="17"/>
  <c r="R850" i="17"/>
  <c r="AP850" i="17"/>
  <c r="Q850" i="17"/>
  <c r="AH850" i="17"/>
  <c r="AG850" i="17"/>
  <c r="AF850" i="17"/>
  <c r="AB850" i="17"/>
  <c r="AA850" i="17"/>
  <c r="P850" i="17"/>
  <c r="AQ939" i="17"/>
  <c r="AI939" i="17"/>
  <c r="AA939" i="17"/>
  <c r="S939" i="17"/>
  <c r="K939" i="17"/>
  <c r="AJ939" i="17"/>
  <c r="Z939" i="17"/>
  <c r="Q939" i="17"/>
  <c r="AR939" i="17"/>
  <c r="AH939" i="17"/>
  <c r="Y939" i="17"/>
  <c r="P939" i="17"/>
  <c r="AN939" i="17"/>
  <c r="AC939" i="17"/>
  <c r="O939" i="17"/>
  <c r="AM939" i="17"/>
  <c r="AB939" i="17"/>
  <c r="N939" i="17"/>
  <c r="AF939" i="17"/>
  <c r="R939" i="17"/>
  <c r="AE939" i="17"/>
  <c r="M939" i="17"/>
  <c r="AO939" i="17"/>
  <c r="U939" i="17"/>
  <c r="AL939" i="17"/>
  <c r="T939" i="17"/>
  <c r="AK939" i="17"/>
  <c r="L939" i="17"/>
  <c r="AP939" i="17"/>
  <c r="AG939" i="17"/>
  <c r="AD939" i="17"/>
  <c r="X939" i="17"/>
  <c r="W939" i="17"/>
  <c r="V939" i="17"/>
  <c r="AQ997" i="17"/>
  <c r="AI997" i="17"/>
  <c r="AA997" i="17"/>
  <c r="S997" i="17"/>
  <c r="K997" i="17"/>
  <c r="AO997" i="17"/>
  <c r="AF997" i="17"/>
  <c r="W997" i="17"/>
  <c r="N997" i="17"/>
  <c r="AN997" i="17"/>
  <c r="AE997" i="17"/>
  <c r="V997" i="17"/>
  <c r="M997" i="17"/>
  <c r="AR997" i="17"/>
  <c r="AD997" i="17"/>
  <c r="R997" i="17"/>
  <c r="AP997" i="17"/>
  <c r="AC997" i="17"/>
  <c r="Q997" i="17"/>
  <c r="AG997" i="17"/>
  <c r="O997" i="17"/>
  <c r="AB997" i="17"/>
  <c r="L997" i="17"/>
  <c r="AM997" i="17"/>
  <c r="U997" i="17"/>
  <c r="AL997" i="17"/>
  <c r="T997" i="17"/>
  <c r="AK997" i="17"/>
  <c r="P997" i="17"/>
  <c r="AH997" i="17"/>
  <c r="Z997" i="17"/>
  <c r="Y997" i="17"/>
  <c r="AJ997" i="17"/>
  <c r="AR1167" i="17"/>
  <c r="AJ1167" i="17"/>
  <c r="AB1167" i="17"/>
  <c r="T1167" i="17"/>
  <c r="L1167" i="17"/>
  <c r="AQ1167" i="17"/>
  <c r="AI1167" i="17"/>
  <c r="AA1167" i="17"/>
  <c r="S1167" i="17"/>
  <c r="K1167" i="17"/>
  <c r="AM1167" i="17"/>
  <c r="AC1167" i="17"/>
  <c r="Q1167" i="17"/>
  <c r="AL1167" i="17"/>
  <c r="Z1167" i="17"/>
  <c r="P1167" i="17"/>
  <c r="AP1167" i="17"/>
  <c r="AD1167" i="17"/>
  <c r="N1167" i="17"/>
  <c r="AO1167" i="17"/>
  <c r="Y1167" i="17"/>
  <c r="M1167" i="17"/>
  <c r="W1167" i="17"/>
  <c r="AN1167" i="17"/>
  <c r="V1167" i="17"/>
  <c r="AE1167" i="17"/>
  <c r="X1167" i="17"/>
  <c r="U1167" i="17"/>
  <c r="AH1167" i="17"/>
  <c r="AG1167" i="17"/>
  <c r="AF1167" i="17"/>
  <c r="R1167" i="17"/>
  <c r="O1167" i="17"/>
  <c r="J1167" i="17"/>
  <c r="AR1343" i="17"/>
  <c r="AJ1343" i="17"/>
  <c r="AB1343" i="17"/>
  <c r="T1343" i="17"/>
  <c r="L1343" i="17"/>
  <c r="AQ1343" i="17"/>
  <c r="AI1343" i="17"/>
  <c r="AA1343" i="17"/>
  <c r="S1343" i="17"/>
  <c r="K1343" i="17"/>
  <c r="AH1343" i="17"/>
  <c r="X1343" i="17"/>
  <c r="N1343" i="17"/>
  <c r="AG1343" i="17"/>
  <c r="W1343" i="17"/>
  <c r="M1343" i="17"/>
  <c r="AE1343" i="17"/>
  <c r="Q1343" i="17"/>
  <c r="AP1343" i="17"/>
  <c r="AD1343" i="17"/>
  <c r="P1343" i="17"/>
  <c r="AM1343" i="17"/>
  <c r="U1343" i="17"/>
  <c r="AL1343" i="17"/>
  <c r="R1343" i="17"/>
  <c r="V1343" i="17"/>
  <c r="AO1343" i="17"/>
  <c r="O1343" i="17"/>
  <c r="AN1343" i="17"/>
  <c r="J1343" i="17"/>
  <c r="AF1343" i="17"/>
  <c r="AC1343" i="17"/>
  <c r="Z1343" i="17"/>
  <c r="AK1343" i="17"/>
  <c r="AL1429" i="17"/>
  <c r="AD1429" i="17"/>
  <c r="V1429" i="17"/>
  <c r="N1429" i="17"/>
  <c r="AK1429" i="17"/>
  <c r="AC1429" i="17"/>
  <c r="U1429" i="17"/>
  <c r="M1429" i="17"/>
  <c r="AI1429" i="17"/>
  <c r="Y1429" i="17"/>
  <c r="O1429" i="17"/>
  <c r="AR1429" i="17"/>
  <c r="AH1429" i="17"/>
  <c r="X1429" i="17"/>
  <c r="L1429" i="17"/>
  <c r="AG1429" i="17"/>
  <c r="S1429" i="17"/>
  <c r="AF1429" i="17"/>
  <c r="R1429" i="17"/>
  <c r="AN1429" i="17"/>
  <c r="T1429" i="17"/>
  <c r="AM1429" i="17"/>
  <c r="Q1429" i="17"/>
  <c r="AQ1429" i="17"/>
  <c r="W1429" i="17"/>
  <c r="AP1429" i="17"/>
  <c r="P1429" i="17"/>
  <c r="AB1429" i="17"/>
  <c r="AA1429" i="17"/>
  <c r="Z1429" i="17"/>
  <c r="AO1429" i="17"/>
  <c r="AJ1429" i="17"/>
  <c r="AE1429" i="17"/>
  <c r="AL1435" i="17"/>
  <c r="AD1435" i="17"/>
  <c r="V1435" i="17"/>
  <c r="N1435" i="17"/>
  <c r="AK1435" i="17"/>
  <c r="AC1435" i="17"/>
  <c r="U1435" i="17"/>
  <c r="M1435" i="17"/>
  <c r="AN1435" i="17"/>
  <c r="AB1435" i="17"/>
  <c r="R1435" i="17"/>
  <c r="AM1435" i="17"/>
  <c r="AA1435" i="17"/>
  <c r="Q1435" i="17"/>
  <c r="AQ1435" i="17"/>
  <c r="AE1435" i="17"/>
  <c r="O1435" i="17"/>
  <c r="AP1435" i="17"/>
  <c r="Z1435" i="17"/>
  <c r="L1435" i="17"/>
  <c r="AG1435" i="17"/>
  <c r="K1435" i="17"/>
  <c r="AF1435" i="17"/>
  <c r="J1435" i="17"/>
  <c r="X1435" i="17"/>
  <c r="W1435" i="17"/>
  <c r="AH1435" i="17"/>
  <c r="Y1435" i="17"/>
  <c r="T1435" i="17"/>
  <c r="AJ1435" i="17"/>
  <c r="AI1435" i="17"/>
  <c r="S1435" i="17"/>
  <c r="AR1435" i="17"/>
  <c r="AO1435" i="17"/>
  <c r="P1435" i="17"/>
  <c r="AK1898" i="17"/>
  <c r="AC1898" i="17"/>
  <c r="U1898" i="17"/>
  <c r="M1898" i="17"/>
  <c r="AR1898" i="17"/>
  <c r="AJ1898" i="17"/>
  <c r="AB1898" i="17"/>
  <c r="T1898" i="17"/>
  <c r="L1898" i="17"/>
  <c r="AH1898" i="17"/>
  <c r="X1898" i="17"/>
  <c r="N1898" i="17"/>
  <c r="AQ1898" i="17"/>
  <c r="AG1898" i="17"/>
  <c r="W1898" i="17"/>
  <c r="K1898" i="17"/>
  <c r="AO1898" i="17"/>
  <c r="AA1898" i="17"/>
  <c r="O1898" i="17"/>
  <c r="AN1898" i="17"/>
  <c r="Z1898" i="17"/>
  <c r="J1898" i="17"/>
  <c r="AP1898" i="17"/>
  <c r="V1898" i="17"/>
  <c r="AM1898" i="17"/>
  <c r="S1898" i="17"/>
  <c r="AE1898" i="17"/>
  <c r="AD1898" i="17"/>
  <c r="Y1898" i="17"/>
  <c r="R1898" i="17"/>
  <c r="AL1898" i="17"/>
  <c r="AI1898" i="17"/>
  <c r="AF1898" i="17"/>
  <c r="Q1898" i="17"/>
  <c r="P1898" i="17"/>
  <c r="N4572" i="16"/>
  <c r="F4572" i="16"/>
  <c r="J4572" i="16"/>
  <c r="P4586" i="16"/>
  <c r="H4586" i="16"/>
  <c r="J4586" i="16"/>
  <c r="M4597" i="16"/>
  <c r="E4597" i="16"/>
  <c r="J4597" i="16"/>
  <c r="O4611" i="16"/>
  <c r="G4611" i="16"/>
  <c r="J4611" i="16"/>
  <c r="I4622" i="16"/>
  <c r="I4623" i="16"/>
  <c r="I4624" i="16"/>
  <c r="N4636" i="16"/>
  <c r="F4636" i="16"/>
  <c r="J4636" i="16"/>
  <c r="H4646" i="16"/>
  <c r="T4646" i="16"/>
  <c r="H4647" i="16"/>
  <c r="T4647" i="16"/>
  <c r="H4648" i="16"/>
  <c r="T4648" i="16"/>
  <c r="P4650" i="16"/>
  <c r="H4650" i="16"/>
  <c r="J4650" i="16"/>
  <c r="M4661" i="16"/>
  <c r="E4661" i="16"/>
  <c r="J4661" i="16"/>
  <c r="O4675" i="16"/>
  <c r="G4675" i="16"/>
  <c r="J4675" i="16"/>
  <c r="I4686" i="16"/>
  <c r="I4687" i="16"/>
  <c r="I4688" i="16"/>
  <c r="N4700" i="16"/>
  <c r="F4700" i="16"/>
  <c r="J4700" i="16"/>
  <c r="H4710" i="16"/>
  <c r="T4710" i="16"/>
  <c r="H4711" i="16"/>
  <c r="T4711" i="16"/>
  <c r="H4712" i="16"/>
  <c r="T4712" i="16"/>
  <c r="P4714" i="16"/>
  <c r="H4714" i="16"/>
  <c r="J4714" i="16"/>
  <c r="M4725" i="16"/>
  <c r="E4725" i="16"/>
  <c r="J4725" i="16"/>
  <c r="O4739" i="16"/>
  <c r="G4739" i="16"/>
  <c r="J4739" i="16"/>
  <c r="I4750" i="16"/>
  <c r="I4751" i="16"/>
  <c r="I4752" i="16"/>
  <c r="N4764" i="16"/>
  <c r="F4764" i="16"/>
  <c r="J4764" i="16"/>
  <c r="H4774" i="16"/>
  <c r="T4774" i="16"/>
  <c r="H4775" i="16"/>
  <c r="T4775" i="16"/>
  <c r="H4776" i="16"/>
  <c r="T4776" i="16"/>
  <c r="P4778" i="16"/>
  <c r="H4778" i="16"/>
  <c r="J4778" i="16"/>
  <c r="M4789" i="16"/>
  <c r="E4789" i="16"/>
  <c r="J4789" i="16"/>
  <c r="O4803" i="16"/>
  <c r="G4803" i="16"/>
  <c r="J4803" i="16"/>
  <c r="I4814" i="16"/>
  <c r="I4815" i="16"/>
  <c r="I4816" i="16"/>
  <c r="N4828" i="16"/>
  <c r="F4828" i="16"/>
  <c r="J4828" i="16"/>
  <c r="H4838" i="16"/>
  <c r="T4838" i="16"/>
  <c r="H4839" i="16"/>
  <c r="T4839" i="16"/>
  <c r="H4840" i="16"/>
  <c r="T4840" i="16"/>
  <c r="P4842" i="16"/>
  <c r="H4842" i="16"/>
  <c r="J4842" i="16"/>
  <c r="M4853" i="16"/>
  <c r="E4853" i="16"/>
  <c r="J4853" i="16"/>
  <c r="O4867" i="16"/>
  <c r="G4867" i="16"/>
  <c r="J4867" i="16"/>
  <c r="I4878" i="16"/>
  <c r="I4879" i="16"/>
  <c r="I4880" i="16"/>
  <c r="N4892" i="16"/>
  <c r="F4892" i="16"/>
  <c r="J4892" i="16"/>
  <c r="H4902" i="16"/>
  <c r="T4902" i="16"/>
  <c r="H4903" i="16"/>
  <c r="T4903" i="16"/>
  <c r="H4904" i="16"/>
  <c r="T4904" i="16"/>
  <c r="P4906" i="16"/>
  <c r="H4906" i="16"/>
  <c r="J4906" i="16"/>
  <c r="M4917" i="16"/>
  <c r="E4917" i="16"/>
  <c r="J4917" i="16"/>
  <c r="O4931" i="16"/>
  <c r="G4931" i="16"/>
  <c r="J4931" i="16"/>
  <c r="I4942" i="16"/>
  <c r="I4943" i="16"/>
  <c r="I4944" i="16"/>
  <c r="N4956" i="16"/>
  <c r="F4956" i="16"/>
  <c r="J4956" i="16"/>
  <c r="H4966" i="16"/>
  <c r="T4966" i="16"/>
  <c r="H4967" i="16"/>
  <c r="T4967" i="16"/>
  <c r="H4968" i="16"/>
  <c r="T4968" i="16"/>
  <c r="P4970" i="16"/>
  <c r="H4970" i="16"/>
  <c r="J4970" i="16"/>
  <c r="M4981" i="16"/>
  <c r="E4981" i="16"/>
  <c r="J4981" i="16"/>
  <c r="O4995" i="16"/>
  <c r="G4995" i="16"/>
  <c r="J4995" i="16"/>
  <c r="I5006" i="16"/>
  <c r="I5007" i="16"/>
  <c r="I5008" i="16"/>
  <c r="N5020" i="16"/>
  <c r="F5020" i="16"/>
  <c r="J5020" i="16"/>
  <c r="N5572" i="16"/>
  <c r="F5572" i="16"/>
  <c r="M5572" i="16"/>
  <c r="E5572" i="16"/>
  <c r="L5572" i="16"/>
  <c r="K5572" i="16"/>
  <c r="L5582" i="16"/>
  <c r="K5582" i="16"/>
  <c r="J5582" i="16"/>
  <c r="I5582" i="16"/>
  <c r="P5586" i="16"/>
  <c r="H5586" i="16"/>
  <c r="O5586" i="16"/>
  <c r="G5586" i="16"/>
  <c r="N5586" i="16"/>
  <c r="F5586" i="16"/>
  <c r="L5586" i="16"/>
  <c r="M5605" i="16"/>
  <c r="E5605" i="16"/>
  <c r="L5605" i="16"/>
  <c r="K5605" i="16"/>
  <c r="J5605" i="16"/>
  <c r="O5611" i="16"/>
  <c r="G5611" i="16"/>
  <c r="N5611" i="16"/>
  <c r="F5611" i="16"/>
  <c r="M5611" i="16"/>
  <c r="E5611" i="16"/>
  <c r="L5611" i="16"/>
  <c r="N5636" i="16"/>
  <c r="F5636" i="16"/>
  <c r="M5636" i="16"/>
  <c r="E5636" i="16"/>
  <c r="L5636" i="16"/>
  <c r="K5636" i="16"/>
  <c r="L5646" i="16"/>
  <c r="K5646" i="16"/>
  <c r="J5646" i="16"/>
  <c r="I5646" i="16"/>
  <c r="P5650" i="16"/>
  <c r="H5650" i="16"/>
  <c r="O5650" i="16"/>
  <c r="G5650" i="16"/>
  <c r="N5650" i="16"/>
  <c r="F5650" i="16"/>
  <c r="L5650" i="16"/>
  <c r="M5669" i="16"/>
  <c r="E5669" i="16"/>
  <c r="L5669" i="16"/>
  <c r="K5669" i="16"/>
  <c r="J5669" i="16"/>
  <c r="O5675" i="16"/>
  <c r="G5675" i="16"/>
  <c r="N5675" i="16"/>
  <c r="F5675" i="16"/>
  <c r="M5675" i="16"/>
  <c r="E5675" i="16"/>
  <c r="L5675" i="16"/>
  <c r="N5700" i="16"/>
  <c r="F5700" i="16"/>
  <c r="M5700" i="16"/>
  <c r="E5700" i="16"/>
  <c r="L5700" i="16"/>
  <c r="K5700" i="16"/>
  <c r="L5710" i="16"/>
  <c r="K5710" i="16"/>
  <c r="J5710" i="16"/>
  <c r="I5710" i="16"/>
  <c r="P5714" i="16"/>
  <c r="H5714" i="16"/>
  <c r="O5714" i="16"/>
  <c r="G5714" i="16"/>
  <c r="N5714" i="16"/>
  <c r="F5714" i="16"/>
  <c r="L5714" i="16"/>
  <c r="M5733" i="16"/>
  <c r="E5733" i="16"/>
  <c r="L5733" i="16"/>
  <c r="K5733" i="16"/>
  <c r="J5733" i="16"/>
  <c r="O5739" i="16"/>
  <c r="G5739" i="16"/>
  <c r="N5739" i="16"/>
  <c r="F5739" i="16"/>
  <c r="M5739" i="16"/>
  <c r="E5739" i="16"/>
  <c r="L5739" i="16"/>
  <c r="N5764" i="16"/>
  <c r="F5764" i="16"/>
  <c r="M5764" i="16"/>
  <c r="E5764" i="16"/>
  <c r="L5764" i="16"/>
  <c r="K5764" i="16"/>
  <c r="L5774" i="16"/>
  <c r="K5774" i="16"/>
  <c r="J5774" i="16"/>
  <c r="I5774" i="16"/>
  <c r="P5778" i="16"/>
  <c r="H5778" i="16"/>
  <c r="O5778" i="16"/>
  <c r="G5778" i="16"/>
  <c r="N5778" i="16"/>
  <c r="F5778" i="16"/>
  <c r="L5778" i="16"/>
  <c r="M5797" i="16"/>
  <c r="E5797" i="16"/>
  <c r="L5797" i="16"/>
  <c r="K5797" i="16"/>
  <c r="J5797" i="16"/>
  <c r="O5803" i="16"/>
  <c r="G5803" i="16"/>
  <c r="N5803" i="16"/>
  <c r="F5803" i="16"/>
  <c r="M5803" i="16"/>
  <c r="E5803" i="16"/>
  <c r="L5803" i="16"/>
  <c r="N5828" i="16"/>
  <c r="F5828" i="16"/>
  <c r="M5828" i="16"/>
  <c r="E5828" i="16"/>
  <c r="L5828" i="16"/>
  <c r="K5828" i="16"/>
  <c r="L5838" i="16"/>
  <c r="K5838" i="16"/>
  <c r="J5838" i="16"/>
  <c r="I5838" i="16"/>
  <c r="P5842" i="16"/>
  <c r="H5842" i="16"/>
  <c r="O5842" i="16"/>
  <c r="G5842" i="16"/>
  <c r="N5842" i="16"/>
  <c r="F5842" i="16"/>
  <c r="L5842" i="16"/>
  <c r="M5861" i="16"/>
  <c r="E5861" i="16"/>
  <c r="L5861" i="16"/>
  <c r="K5861" i="16"/>
  <c r="J5861" i="16"/>
  <c r="O5867" i="16"/>
  <c r="G5867" i="16"/>
  <c r="N5867" i="16"/>
  <c r="F5867" i="16"/>
  <c r="M5867" i="16"/>
  <c r="E5867" i="16"/>
  <c r="L5867" i="16"/>
  <c r="N5892" i="16"/>
  <c r="F5892" i="16"/>
  <c r="M5892" i="16"/>
  <c r="E5892" i="16"/>
  <c r="L5892" i="16"/>
  <c r="K5892" i="16"/>
  <c r="L5899" i="16"/>
  <c r="T5899" i="16"/>
  <c r="H5899" i="16"/>
  <c r="P5899" i="16"/>
  <c r="G5899" i="16"/>
  <c r="O5899" i="16"/>
  <c r="F5899" i="16"/>
  <c r="M5899" i="16"/>
  <c r="L5907" i="16"/>
  <c r="N5907" i="16"/>
  <c r="E5907" i="16"/>
  <c r="M5907" i="16"/>
  <c r="K5907" i="16"/>
  <c r="J5907" i="16"/>
  <c r="J5909" i="16"/>
  <c r="N5909" i="16"/>
  <c r="E5909" i="16"/>
  <c r="M5909" i="16"/>
  <c r="L5909" i="16"/>
  <c r="K5909" i="16"/>
  <c r="J5925" i="16"/>
  <c r="P5925" i="16"/>
  <c r="G5925" i="16"/>
  <c r="O5925" i="16"/>
  <c r="F5925" i="16"/>
  <c r="N5925" i="16"/>
  <c r="E5925" i="16"/>
  <c r="M5925" i="16"/>
  <c r="P5935" i="16"/>
  <c r="H5935" i="16"/>
  <c r="O5935" i="16"/>
  <c r="G5935" i="16"/>
  <c r="J5935" i="16"/>
  <c r="I5935" i="16"/>
  <c r="F5935" i="16"/>
  <c r="N5935" i="16"/>
  <c r="N5969" i="16"/>
  <c r="F5969" i="16"/>
  <c r="M5969" i="16"/>
  <c r="E5969" i="16"/>
  <c r="H5969" i="16"/>
  <c r="T5969" i="16"/>
  <c r="G5969" i="16"/>
  <c r="P5969" i="16"/>
  <c r="O5969" i="16"/>
  <c r="K5988" i="16"/>
  <c r="J5988" i="16"/>
  <c r="N5988" i="16"/>
  <c r="M5988" i="16"/>
  <c r="L5988" i="16"/>
  <c r="I5988" i="16"/>
  <c r="P5999" i="16"/>
  <c r="H5999" i="16"/>
  <c r="O5999" i="16"/>
  <c r="G5999" i="16"/>
  <c r="J5999" i="16"/>
  <c r="I5999" i="16"/>
  <c r="F5999" i="16"/>
  <c r="N5999" i="16"/>
  <c r="V6" i="17"/>
  <c r="N6" i="17"/>
  <c r="AC6" i="17"/>
  <c r="U6" i="17"/>
  <c r="M6" i="17"/>
  <c r="AE6" i="17" s="1"/>
  <c r="AB6" i="17"/>
  <c r="R6" i="17"/>
  <c r="AG6" i="17" s="1"/>
  <c r="AA6" i="17"/>
  <c r="Q6" i="17"/>
  <c r="Z6" i="17"/>
  <c r="X6" i="17"/>
  <c r="V16" i="17"/>
  <c r="N16" i="17"/>
  <c r="AC16" i="17"/>
  <c r="U16" i="17"/>
  <c r="M16" i="17"/>
  <c r="Y16" i="17"/>
  <c r="X16" i="17"/>
  <c r="L16" i="17"/>
  <c r="W16" i="17"/>
  <c r="K16" i="17"/>
  <c r="AA16" i="17"/>
  <c r="K51" i="17"/>
  <c r="AD66" i="17"/>
  <c r="V66" i="17"/>
  <c r="N66" i="17"/>
  <c r="AC66" i="17"/>
  <c r="U66" i="17"/>
  <c r="M66" i="17"/>
  <c r="AE66" i="17" s="1"/>
  <c r="Z66" i="17"/>
  <c r="Y66" i="17"/>
  <c r="X66" i="17"/>
  <c r="L66" i="17"/>
  <c r="AA66" i="17"/>
  <c r="V78" i="17"/>
  <c r="N78" i="17"/>
  <c r="AC78" i="17"/>
  <c r="U78" i="17"/>
  <c r="M78" i="17"/>
  <c r="X78" i="17"/>
  <c r="L78" i="17"/>
  <c r="W78" i="17"/>
  <c r="K78" i="17"/>
  <c r="T78" i="17"/>
  <c r="J78" i="17"/>
  <c r="AA78" i="17"/>
  <c r="K85" i="17"/>
  <c r="Z94" i="17"/>
  <c r="K103" i="17"/>
  <c r="R104" i="17"/>
  <c r="Q104" i="17"/>
  <c r="V116" i="17"/>
  <c r="N116" i="17"/>
  <c r="AC116" i="17"/>
  <c r="U116" i="17"/>
  <c r="AH116" i="17" s="1"/>
  <c r="M116" i="17"/>
  <c r="AA116" i="17"/>
  <c r="Q116" i="17"/>
  <c r="Z116" i="17"/>
  <c r="Y116" i="17"/>
  <c r="X116" i="17"/>
  <c r="J118" i="17"/>
  <c r="J120" i="17"/>
  <c r="Y120" i="17"/>
  <c r="W132" i="17"/>
  <c r="V134" i="17"/>
  <c r="N134" i="17"/>
  <c r="AC134" i="17"/>
  <c r="U134" i="17"/>
  <c r="M134" i="17"/>
  <c r="AE134" i="17" s="1"/>
  <c r="AB134" i="17"/>
  <c r="R134" i="17"/>
  <c r="AA134" i="17"/>
  <c r="Q134" i="17"/>
  <c r="Z134" i="17"/>
  <c r="X134" i="17"/>
  <c r="X136" i="17"/>
  <c r="V144" i="17"/>
  <c r="N144" i="17"/>
  <c r="AC144" i="17"/>
  <c r="U144" i="17"/>
  <c r="M144" i="17"/>
  <c r="AE144" i="17" s="1"/>
  <c r="Y144" i="17"/>
  <c r="X144" i="17"/>
  <c r="L144" i="17"/>
  <c r="W144" i="17"/>
  <c r="K144" i="17"/>
  <c r="AA144" i="17"/>
  <c r="W150" i="17"/>
  <c r="Z160" i="17"/>
  <c r="W182" i="17"/>
  <c r="O190" i="17"/>
  <c r="AB190" i="17"/>
  <c r="W198" i="17"/>
  <c r="O206" i="17"/>
  <c r="AB206" i="17"/>
  <c r="W214" i="17"/>
  <c r="W230" i="17"/>
  <c r="AL282" i="17"/>
  <c r="AD282" i="17"/>
  <c r="V282" i="17"/>
  <c r="N282" i="17"/>
  <c r="AK282" i="17"/>
  <c r="AC282" i="17"/>
  <c r="U282" i="17"/>
  <c r="M282" i="17"/>
  <c r="AR282" i="17"/>
  <c r="AH282" i="17"/>
  <c r="X282" i="17"/>
  <c r="L282" i="17"/>
  <c r="AQ282" i="17"/>
  <c r="AG282" i="17"/>
  <c r="W282" i="17"/>
  <c r="K282" i="17"/>
  <c r="AP282" i="17"/>
  <c r="AF282" i="17"/>
  <c r="T282" i="17"/>
  <c r="J282" i="17"/>
  <c r="AN282" i="17"/>
  <c r="Y282" i="17"/>
  <c r="AM282" i="17"/>
  <c r="S282" i="17"/>
  <c r="AJ282" i="17"/>
  <c r="R282" i="17"/>
  <c r="AI282" i="17"/>
  <c r="AL290" i="17"/>
  <c r="AD290" i="17"/>
  <c r="V290" i="17"/>
  <c r="N290" i="17"/>
  <c r="AK290" i="17"/>
  <c r="AC290" i="17"/>
  <c r="U290" i="17"/>
  <c r="M290" i="17"/>
  <c r="AN290" i="17"/>
  <c r="AB290" i="17"/>
  <c r="R290" i="17"/>
  <c r="AM290" i="17"/>
  <c r="AA290" i="17"/>
  <c r="Q290" i="17"/>
  <c r="AJ290" i="17"/>
  <c r="Z290" i="17"/>
  <c r="P290" i="17"/>
  <c r="AG290" i="17"/>
  <c r="O290" i="17"/>
  <c r="AF290" i="17"/>
  <c r="L290" i="17"/>
  <c r="AR290" i="17"/>
  <c r="AE290" i="17"/>
  <c r="K290" i="17"/>
  <c r="AI290" i="17"/>
  <c r="AO298" i="17"/>
  <c r="J306" i="17"/>
  <c r="AO306" i="17"/>
  <c r="AL334" i="17"/>
  <c r="AD334" i="17"/>
  <c r="V334" i="17"/>
  <c r="N334" i="17"/>
  <c r="AK334" i="17"/>
  <c r="AC334" i="17"/>
  <c r="U334" i="17"/>
  <c r="M334" i="17"/>
  <c r="AJ334" i="17"/>
  <c r="Z334" i="17"/>
  <c r="P334" i="17"/>
  <c r="AI334" i="17"/>
  <c r="Y334" i="17"/>
  <c r="O334" i="17"/>
  <c r="AR334" i="17"/>
  <c r="AH334" i="17"/>
  <c r="X334" i="17"/>
  <c r="L334" i="17"/>
  <c r="AO334" i="17"/>
  <c r="W334" i="17"/>
  <c r="AN334" i="17"/>
  <c r="T334" i="17"/>
  <c r="AM334" i="17"/>
  <c r="S334" i="17"/>
  <c r="AF334" i="17"/>
  <c r="AL356" i="17"/>
  <c r="AD356" i="17"/>
  <c r="V356" i="17"/>
  <c r="N356" i="17"/>
  <c r="AK356" i="17"/>
  <c r="AC356" i="17"/>
  <c r="U356" i="17"/>
  <c r="M356" i="17"/>
  <c r="AR356" i="17"/>
  <c r="AH356" i="17"/>
  <c r="X356" i="17"/>
  <c r="L356" i="17"/>
  <c r="AQ356" i="17"/>
  <c r="AG356" i="17"/>
  <c r="W356" i="17"/>
  <c r="K356" i="17"/>
  <c r="AP356" i="17"/>
  <c r="AF356" i="17"/>
  <c r="T356" i="17"/>
  <c r="J356" i="17"/>
  <c r="AM356" i="17"/>
  <c r="S356" i="17"/>
  <c r="AJ356" i="17"/>
  <c r="R356" i="17"/>
  <c r="AI356" i="17"/>
  <c r="Q356" i="17"/>
  <c r="AN356" i="17"/>
  <c r="J366" i="17"/>
  <c r="AG366" i="17"/>
  <c r="AO378" i="17"/>
  <c r="AL406" i="17"/>
  <c r="AD406" i="17"/>
  <c r="V406" i="17"/>
  <c r="N406" i="17"/>
  <c r="AK406" i="17"/>
  <c r="AC406" i="17"/>
  <c r="U406" i="17"/>
  <c r="M406" i="17"/>
  <c r="AR406" i="17"/>
  <c r="AH406" i="17"/>
  <c r="X406" i="17"/>
  <c r="L406" i="17"/>
  <c r="AQ406" i="17"/>
  <c r="AG406" i="17"/>
  <c r="W406" i="17"/>
  <c r="K406" i="17"/>
  <c r="AP406" i="17"/>
  <c r="AF406" i="17"/>
  <c r="T406" i="17"/>
  <c r="J406" i="17"/>
  <c r="AN406" i="17"/>
  <c r="Y406" i="17"/>
  <c r="AM406" i="17"/>
  <c r="S406" i="17"/>
  <c r="AJ406" i="17"/>
  <c r="R406" i="17"/>
  <c r="AI406" i="17"/>
  <c r="AL414" i="17"/>
  <c r="AD414" i="17"/>
  <c r="V414" i="17"/>
  <c r="N414" i="17"/>
  <c r="AK414" i="17"/>
  <c r="AC414" i="17"/>
  <c r="U414" i="17"/>
  <c r="M414" i="17"/>
  <c r="AN414" i="17"/>
  <c r="AB414" i="17"/>
  <c r="R414" i="17"/>
  <c r="AM414" i="17"/>
  <c r="AA414" i="17"/>
  <c r="Q414" i="17"/>
  <c r="AJ414" i="17"/>
  <c r="Z414" i="17"/>
  <c r="P414" i="17"/>
  <c r="AG414" i="17"/>
  <c r="O414" i="17"/>
  <c r="AF414" i="17"/>
  <c r="L414" i="17"/>
  <c r="AR414" i="17"/>
  <c r="AE414" i="17"/>
  <c r="K414" i="17"/>
  <c r="AI414" i="17"/>
  <c r="J430" i="17"/>
  <c r="AO430" i="17"/>
  <c r="AL458" i="17"/>
  <c r="AD458" i="17"/>
  <c r="V458" i="17"/>
  <c r="N458" i="17"/>
  <c r="AK458" i="17"/>
  <c r="AC458" i="17"/>
  <c r="U458" i="17"/>
  <c r="M458" i="17"/>
  <c r="AJ458" i="17"/>
  <c r="Z458" i="17"/>
  <c r="P458" i="17"/>
  <c r="AI458" i="17"/>
  <c r="Y458" i="17"/>
  <c r="O458" i="17"/>
  <c r="AR458" i="17"/>
  <c r="AH458" i="17"/>
  <c r="X458" i="17"/>
  <c r="L458" i="17"/>
  <c r="AO458" i="17"/>
  <c r="W458" i="17"/>
  <c r="AN458" i="17"/>
  <c r="T458" i="17"/>
  <c r="AM458" i="17"/>
  <c r="S458" i="17"/>
  <c r="AF458" i="17"/>
  <c r="J474" i="17"/>
  <c r="AG474" i="17"/>
  <c r="AL488" i="17"/>
  <c r="AD488" i="17"/>
  <c r="V488" i="17"/>
  <c r="N488" i="17"/>
  <c r="AK488" i="17"/>
  <c r="AC488" i="17"/>
  <c r="U488" i="17"/>
  <c r="M488" i="17"/>
  <c r="AI488" i="17"/>
  <c r="Y488" i="17"/>
  <c r="O488" i="17"/>
  <c r="AR488" i="17"/>
  <c r="AH488" i="17"/>
  <c r="X488" i="17"/>
  <c r="L488" i="17"/>
  <c r="AQ488" i="17"/>
  <c r="AG488" i="17"/>
  <c r="W488" i="17"/>
  <c r="K488" i="17"/>
  <c r="AF488" i="17"/>
  <c r="Q488" i="17"/>
  <c r="AE488" i="17"/>
  <c r="P488" i="17"/>
  <c r="AB488" i="17"/>
  <c r="J488" i="17"/>
  <c r="AN488" i="17"/>
  <c r="R504" i="17"/>
  <c r="AO504" i="17"/>
  <c r="AL534" i="17"/>
  <c r="AD534" i="17"/>
  <c r="V534" i="17"/>
  <c r="N534" i="17"/>
  <c r="AK534" i="17"/>
  <c r="AC534" i="17"/>
  <c r="U534" i="17"/>
  <c r="M534" i="17"/>
  <c r="AR534" i="17"/>
  <c r="AH534" i="17"/>
  <c r="X534" i="17"/>
  <c r="L534" i="17"/>
  <c r="AQ534" i="17"/>
  <c r="AG534" i="17"/>
  <c r="W534" i="17"/>
  <c r="K534" i="17"/>
  <c r="AP534" i="17"/>
  <c r="AF534" i="17"/>
  <c r="T534" i="17"/>
  <c r="J534" i="17"/>
  <c r="AN534" i="17"/>
  <c r="Y534" i="17"/>
  <c r="AM534" i="17"/>
  <c r="S534" i="17"/>
  <c r="AJ534" i="17"/>
  <c r="R534" i="17"/>
  <c r="AI534" i="17"/>
  <c r="R552" i="17"/>
  <c r="AO552" i="17"/>
  <c r="AL582" i="17"/>
  <c r="AD582" i="17"/>
  <c r="V582" i="17"/>
  <c r="N582" i="17"/>
  <c r="AK582" i="17"/>
  <c r="AC582" i="17"/>
  <c r="U582" i="17"/>
  <c r="M582" i="17"/>
  <c r="AR582" i="17"/>
  <c r="AH582" i="17"/>
  <c r="X582" i="17"/>
  <c r="L582" i="17"/>
  <c r="AQ582" i="17"/>
  <c r="AG582" i="17"/>
  <c r="W582" i="17"/>
  <c r="K582" i="17"/>
  <c r="AP582" i="17"/>
  <c r="AF582" i="17"/>
  <c r="T582" i="17"/>
  <c r="J582" i="17"/>
  <c r="AN582" i="17"/>
  <c r="Y582" i="17"/>
  <c r="AM582" i="17"/>
  <c r="S582" i="17"/>
  <c r="AJ582" i="17"/>
  <c r="R582" i="17"/>
  <c r="AI582" i="17"/>
  <c r="AL590" i="17"/>
  <c r="AD590" i="17"/>
  <c r="V590" i="17"/>
  <c r="N590" i="17"/>
  <c r="AK590" i="17"/>
  <c r="AC590" i="17"/>
  <c r="U590" i="17"/>
  <c r="M590" i="17"/>
  <c r="AN590" i="17"/>
  <c r="AB590" i="17"/>
  <c r="R590" i="17"/>
  <c r="AM590" i="17"/>
  <c r="AA590" i="17"/>
  <c r="Q590" i="17"/>
  <c r="AJ590" i="17"/>
  <c r="Z590" i="17"/>
  <c r="P590" i="17"/>
  <c r="AG590" i="17"/>
  <c r="O590" i="17"/>
  <c r="AF590" i="17"/>
  <c r="L590" i="17"/>
  <c r="AR590" i="17"/>
  <c r="AE590" i="17"/>
  <c r="K590" i="17"/>
  <c r="AI590" i="17"/>
  <c r="AK598" i="17"/>
  <c r="AC598" i="17"/>
  <c r="U598" i="17"/>
  <c r="M598" i="17"/>
  <c r="AM598" i="17"/>
  <c r="AD598" i="17"/>
  <c r="T598" i="17"/>
  <c r="K598" i="17"/>
  <c r="AL598" i="17"/>
  <c r="AB598" i="17"/>
  <c r="S598" i="17"/>
  <c r="J598" i="17"/>
  <c r="AQ598" i="17"/>
  <c r="AF598" i="17"/>
  <c r="R598" i="17"/>
  <c r="AP598" i="17"/>
  <c r="AE598" i="17"/>
  <c r="Q598" i="17"/>
  <c r="AO598" i="17"/>
  <c r="AA598" i="17"/>
  <c r="P598" i="17"/>
  <c r="Y598" i="17"/>
  <c r="AR598" i="17"/>
  <c r="X598" i="17"/>
  <c r="AN598" i="17"/>
  <c r="W598" i="17"/>
  <c r="AI598" i="17"/>
  <c r="X606" i="17"/>
  <c r="AK652" i="17"/>
  <c r="AC652" i="17"/>
  <c r="U652" i="17"/>
  <c r="M652" i="17"/>
  <c r="AR652" i="17"/>
  <c r="AJ652" i="17"/>
  <c r="AB652" i="17"/>
  <c r="T652" i="17"/>
  <c r="L652" i="17"/>
  <c r="AL652" i="17"/>
  <c r="Z652" i="17"/>
  <c r="P652" i="17"/>
  <c r="AI652" i="17"/>
  <c r="Y652" i="17"/>
  <c r="O652" i="17"/>
  <c r="AN652" i="17"/>
  <c r="X652" i="17"/>
  <c r="J652" i="17"/>
  <c r="AG652" i="17"/>
  <c r="R652" i="17"/>
  <c r="AM652" i="17"/>
  <c r="S652" i="17"/>
  <c r="AH652" i="17"/>
  <c r="Q652" i="17"/>
  <c r="AF652" i="17"/>
  <c r="N652" i="17"/>
  <c r="W652" i="17"/>
  <c r="V652" i="17"/>
  <c r="AQ652" i="17"/>
  <c r="K652" i="17"/>
  <c r="AK670" i="17"/>
  <c r="AC670" i="17"/>
  <c r="U670" i="17"/>
  <c r="M670" i="17"/>
  <c r="AR670" i="17"/>
  <c r="AJ670" i="17"/>
  <c r="AB670" i="17"/>
  <c r="T670" i="17"/>
  <c r="L670" i="17"/>
  <c r="AQ670" i="17"/>
  <c r="AG670" i="17"/>
  <c r="W670" i="17"/>
  <c r="K670" i="17"/>
  <c r="AP670" i="17"/>
  <c r="AF670" i="17"/>
  <c r="V670" i="17"/>
  <c r="J670" i="17"/>
  <c r="AH670" i="17"/>
  <c r="R670" i="17"/>
  <c r="AE670" i="17"/>
  <c r="P670" i="17"/>
  <c r="AL670" i="17"/>
  <c r="Q670" i="17"/>
  <c r="AI670" i="17"/>
  <c r="O670" i="17"/>
  <c r="AD670" i="17"/>
  <c r="N670" i="17"/>
  <c r="Y670" i="17"/>
  <c r="X670" i="17"/>
  <c r="S670" i="17"/>
  <c r="AM806" i="17"/>
  <c r="AE806" i="17"/>
  <c r="W806" i="17"/>
  <c r="O806" i="17"/>
  <c r="AP806" i="17"/>
  <c r="AG806" i="17"/>
  <c r="X806" i="17"/>
  <c r="N806" i="17"/>
  <c r="AO806" i="17"/>
  <c r="AF806" i="17"/>
  <c r="V806" i="17"/>
  <c r="M806" i="17"/>
  <c r="AK806" i="17"/>
  <c r="Z806" i="17"/>
  <c r="L806" i="17"/>
  <c r="AJ806" i="17"/>
  <c r="Y806" i="17"/>
  <c r="K806" i="17"/>
  <c r="AI806" i="17"/>
  <c r="S806" i="17"/>
  <c r="AH806" i="17"/>
  <c r="R806" i="17"/>
  <c r="AN806" i="17"/>
  <c r="Q806" i="17"/>
  <c r="AL806" i="17"/>
  <c r="P806" i="17"/>
  <c r="AD806" i="17"/>
  <c r="J806" i="17"/>
  <c r="AQ806" i="17"/>
  <c r="AC806" i="17"/>
  <c r="AB806" i="17"/>
  <c r="AR806" i="17"/>
  <c r="AQ865" i="17"/>
  <c r="AI865" i="17"/>
  <c r="AA865" i="17"/>
  <c r="S865" i="17"/>
  <c r="K865" i="17"/>
  <c r="AM865" i="17"/>
  <c r="AD865" i="17"/>
  <c r="U865" i="17"/>
  <c r="L865" i="17"/>
  <c r="AL865" i="17"/>
  <c r="AC865" i="17"/>
  <c r="T865" i="17"/>
  <c r="J865" i="17"/>
  <c r="AO865" i="17"/>
  <c r="AB865" i="17"/>
  <c r="P865" i="17"/>
  <c r="AN865" i="17"/>
  <c r="Z865" i="17"/>
  <c r="O865" i="17"/>
  <c r="AF865" i="17"/>
  <c r="N865" i="17"/>
  <c r="AE865" i="17"/>
  <c r="M865" i="17"/>
  <c r="AR865" i="17"/>
  <c r="W865" i="17"/>
  <c r="AP865" i="17"/>
  <c r="V865" i="17"/>
  <c r="AK865" i="17"/>
  <c r="R865" i="17"/>
  <c r="AG865" i="17"/>
  <c r="Y865" i="17"/>
  <c r="X865" i="17"/>
  <c r="AQ937" i="17"/>
  <c r="AI937" i="17"/>
  <c r="AA937" i="17"/>
  <c r="S937" i="17"/>
  <c r="K937" i="17"/>
  <c r="AR937" i="17"/>
  <c r="AH937" i="17"/>
  <c r="Y937" i="17"/>
  <c r="P937" i="17"/>
  <c r="AP937" i="17"/>
  <c r="AG937" i="17"/>
  <c r="X937" i="17"/>
  <c r="O937" i="17"/>
  <c r="AM937" i="17"/>
  <c r="AB937" i="17"/>
  <c r="N937" i="17"/>
  <c r="AL937" i="17"/>
  <c r="Z937" i="17"/>
  <c r="M937" i="17"/>
  <c r="AN937" i="17"/>
  <c r="V937" i="17"/>
  <c r="AK937" i="17"/>
  <c r="U937" i="17"/>
  <c r="AC937" i="17"/>
  <c r="W937" i="17"/>
  <c r="T937" i="17"/>
  <c r="R937" i="17"/>
  <c r="Q937" i="17"/>
  <c r="L937" i="17"/>
  <c r="AO937" i="17"/>
  <c r="AJ937" i="17"/>
  <c r="AF937" i="17"/>
  <c r="AQ947" i="17"/>
  <c r="AI947" i="17"/>
  <c r="AA947" i="17"/>
  <c r="S947" i="17"/>
  <c r="K947" i="17"/>
  <c r="AN947" i="17"/>
  <c r="AE947" i="17"/>
  <c r="V947" i="17"/>
  <c r="M947" i="17"/>
  <c r="AM947" i="17"/>
  <c r="AD947" i="17"/>
  <c r="U947" i="17"/>
  <c r="L947" i="17"/>
  <c r="AO947" i="17"/>
  <c r="AB947" i="17"/>
  <c r="P947" i="17"/>
  <c r="AL947" i="17"/>
  <c r="Z947" i="17"/>
  <c r="O947" i="17"/>
  <c r="AG947" i="17"/>
  <c r="Q947" i="17"/>
  <c r="AF947" i="17"/>
  <c r="N947" i="17"/>
  <c r="AP947" i="17"/>
  <c r="T947" i="17"/>
  <c r="AK947" i="17"/>
  <c r="R947" i="17"/>
  <c r="AJ947" i="17"/>
  <c r="J947" i="17"/>
  <c r="AC947" i="17"/>
  <c r="Y947" i="17"/>
  <c r="X947" i="17"/>
  <c r="J997" i="17"/>
  <c r="AR1119" i="17"/>
  <c r="AJ1119" i="17"/>
  <c r="AB1119" i="17"/>
  <c r="T1119" i="17"/>
  <c r="L1119" i="17"/>
  <c r="AQ1119" i="17"/>
  <c r="AI1119" i="17"/>
  <c r="AA1119" i="17"/>
  <c r="S1119" i="17"/>
  <c r="K1119" i="17"/>
  <c r="AM1119" i="17"/>
  <c r="AC1119" i="17"/>
  <c r="Q1119" i="17"/>
  <c r="AL1119" i="17"/>
  <c r="Z1119" i="17"/>
  <c r="P1119" i="17"/>
  <c r="AH1119" i="17"/>
  <c r="V1119" i="17"/>
  <c r="AG1119" i="17"/>
  <c r="U1119" i="17"/>
  <c r="AN1119" i="17"/>
  <c r="R1119" i="17"/>
  <c r="AK1119" i="17"/>
  <c r="O1119" i="17"/>
  <c r="AD1119" i="17"/>
  <c r="Y1119" i="17"/>
  <c r="X1119" i="17"/>
  <c r="W1119" i="17"/>
  <c r="N1119" i="17"/>
  <c r="M1119" i="17"/>
  <c r="AO1119" i="17"/>
  <c r="AF1119" i="17"/>
  <c r="AE1119" i="17"/>
  <c r="AN1138" i="17"/>
  <c r="AF1138" i="17"/>
  <c r="X1138" i="17"/>
  <c r="P1138" i="17"/>
  <c r="AM1138" i="17"/>
  <c r="AE1138" i="17"/>
  <c r="W1138" i="17"/>
  <c r="O1138" i="17"/>
  <c r="AK1138" i="17"/>
  <c r="AA1138" i="17"/>
  <c r="Q1138" i="17"/>
  <c r="AJ1138" i="17"/>
  <c r="Z1138" i="17"/>
  <c r="N1138" i="17"/>
  <c r="AP1138" i="17"/>
  <c r="AB1138" i="17"/>
  <c r="L1138" i="17"/>
  <c r="AO1138" i="17"/>
  <c r="Y1138" i="17"/>
  <c r="K1138" i="17"/>
  <c r="AI1138" i="17"/>
  <c r="S1138" i="17"/>
  <c r="AH1138" i="17"/>
  <c r="R1138" i="17"/>
  <c r="V1138" i="17"/>
  <c r="U1138" i="17"/>
  <c r="AR1138" i="17"/>
  <c r="T1138" i="17"/>
  <c r="AQ1138" i="17"/>
  <c r="AL1138" i="17"/>
  <c r="AG1138" i="17"/>
  <c r="AD1138" i="17"/>
  <c r="AC1138" i="17"/>
  <c r="AN1144" i="17"/>
  <c r="AF1144" i="17"/>
  <c r="X1144" i="17"/>
  <c r="P1144" i="17"/>
  <c r="AM1144" i="17"/>
  <c r="AE1144" i="17"/>
  <c r="W1144" i="17"/>
  <c r="O1144" i="17"/>
  <c r="AI1144" i="17"/>
  <c r="Y1144" i="17"/>
  <c r="M1144" i="17"/>
  <c r="AR1144" i="17"/>
  <c r="AH1144" i="17"/>
  <c r="V1144" i="17"/>
  <c r="L1144" i="17"/>
  <c r="AD1144" i="17"/>
  <c r="R1144" i="17"/>
  <c r="AQ1144" i="17"/>
  <c r="AC1144" i="17"/>
  <c r="Q1144" i="17"/>
  <c r="AO1144" i="17"/>
  <c r="U1144" i="17"/>
  <c r="AL1144" i="17"/>
  <c r="T1144" i="17"/>
  <c r="AP1144" i="17"/>
  <c r="N1144" i="17"/>
  <c r="AK1144" i="17"/>
  <c r="K1144" i="17"/>
  <c r="AJ1144" i="17"/>
  <c r="J1144" i="17"/>
  <c r="AG1144" i="17"/>
  <c r="AA1144" i="17"/>
  <c r="Z1144" i="17"/>
  <c r="S1144" i="17"/>
  <c r="AN1190" i="17"/>
  <c r="AF1190" i="17"/>
  <c r="X1190" i="17"/>
  <c r="P1190" i="17"/>
  <c r="AM1190" i="17"/>
  <c r="AE1190" i="17"/>
  <c r="W1190" i="17"/>
  <c r="O1190" i="17"/>
  <c r="AL1190" i="17"/>
  <c r="AB1190" i="17"/>
  <c r="R1190" i="17"/>
  <c r="AK1190" i="17"/>
  <c r="AA1190" i="17"/>
  <c r="Q1190" i="17"/>
  <c r="AG1190" i="17"/>
  <c r="S1190" i="17"/>
  <c r="AR1190" i="17"/>
  <c r="AD1190" i="17"/>
  <c r="N1190" i="17"/>
  <c r="AH1190" i="17"/>
  <c r="L1190" i="17"/>
  <c r="AC1190" i="17"/>
  <c r="K1190" i="17"/>
  <c r="V1190" i="17"/>
  <c r="AQ1190" i="17"/>
  <c r="U1190" i="17"/>
  <c r="AP1190" i="17"/>
  <c r="T1190" i="17"/>
  <c r="AI1190" i="17"/>
  <c r="Z1190" i="17"/>
  <c r="Y1190" i="17"/>
  <c r="AJ1190" i="17"/>
  <c r="M1190" i="17"/>
  <c r="J1190" i="17"/>
  <c r="AN1210" i="17"/>
  <c r="AF1210" i="17"/>
  <c r="X1210" i="17"/>
  <c r="P1210" i="17"/>
  <c r="AM1210" i="17"/>
  <c r="AE1210" i="17"/>
  <c r="W1210" i="17"/>
  <c r="O1210" i="17"/>
  <c r="AR1210" i="17"/>
  <c r="AH1210" i="17"/>
  <c r="V1210" i="17"/>
  <c r="L1210" i="17"/>
  <c r="AQ1210" i="17"/>
  <c r="AG1210" i="17"/>
  <c r="U1210" i="17"/>
  <c r="K1210" i="17"/>
  <c r="AJ1210" i="17"/>
  <c r="T1210" i="17"/>
  <c r="AI1210" i="17"/>
  <c r="S1210" i="17"/>
  <c r="AD1210" i="17"/>
  <c r="N1210" i="17"/>
  <c r="AC1210" i="17"/>
  <c r="M1210" i="17"/>
  <c r="Y1210" i="17"/>
  <c r="AP1210" i="17"/>
  <c r="R1210" i="17"/>
  <c r="AO1210" i="17"/>
  <c r="Q1210" i="17"/>
  <c r="AL1210" i="17"/>
  <c r="AK1210" i="17"/>
  <c r="AB1210" i="17"/>
  <c r="AA1210" i="17"/>
  <c r="AN1220" i="17"/>
  <c r="AF1220" i="17"/>
  <c r="X1220" i="17"/>
  <c r="P1220" i="17"/>
  <c r="AM1220" i="17"/>
  <c r="AE1220" i="17"/>
  <c r="W1220" i="17"/>
  <c r="O1220" i="17"/>
  <c r="AJ1220" i="17"/>
  <c r="Z1220" i="17"/>
  <c r="N1220" i="17"/>
  <c r="AI1220" i="17"/>
  <c r="Y1220" i="17"/>
  <c r="M1220" i="17"/>
  <c r="AP1220" i="17"/>
  <c r="AB1220" i="17"/>
  <c r="L1220" i="17"/>
  <c r="AO1220" i="17"/>
  <c r="AA1220" i="17"/>
  <c r="K1220" i="17"/>
  <c r="AQ1220" i="17"/>
  <c r="U1220" i="17"/>
  <c r="AL1220" i="17"/>
  <c r="T1220" i="17"/>
  <c r="AD1220" i="17"/>
  <c r="AC1220" i="17"/>
  <c r="V1220" i="17"/>
  <c r="S1220" i="17"/>
  <c r="R1220" i="17"/>
  <c r="Q1220" i="17"/>
  <c r="AK1220" i="17"/>
  <c r="AH1220" i="17"/>
  <c r="AG1220" i="17"/>
  <c r="AR1220" i="17"/>
  <c r="AN1294" i="17"/>
  <c r="AF1294" i="17"/>
  <c r="X1294" i="17"/>
  <c r="P1294" i="17"/>
  <c r="AM1294" i="17"/>
  <c r="AE1294" i="17"/>
  <c r="W1294" i="17"/>
  <c r="O1294" i="17"/>
  <c r="AL1294" i="17"/>
  <c r="AB1294" i="17"/>
  <c r="R1294" i="17"/>
  <c r="AK1294" i="17"/>
  <c r="AA1294" i="17"/>
  <c r="Q1294" i="17"/>
  <c r="AO1294" i="17"/>
  <c r="Y1294" i="17"/>
  <c r="K1294" i="17"/>
  <c r="AJ1294" i="17"/>
  <c r="V1294" i="17"/>
  <c r="J1294" i="17"/>
  <c r="AQ1294" i="17"/>
  <c r="U1294" i="17"/>
  <c r="AP1294" i="17"/>
  <c r="T1294" i="17"/>
  <c r="AC1294" i="17"/>
  <c r="Z1294" i="17"/>
  <c r="S1294" i="17"/>
  <c r="AI1294" i="17"/>
  <c r="AH1294" i="17"/>
  <c r="AG1294" i="17"/>
  <c r="AR1294" i="17"/>
  <c r="AD1294" i="17"/>
  <c r="N1294" i="17"/>
  <c r="M1294" i="17"/>
  <c r="L1294" i="17"/>
  <c r="Y1343" i="17"/>
  <c r="M4621" i="16"/>
  <c r="E4621" i="16"/>
  <c r="J4621" i="16"/>
  <c r="O4635" i="16"/>
  <c r="G4635" i="16"/>
  <c r="J4635" i="16"/>
  <c r="I4646" i="16"/>
  <c r="I4647" i="16"/>
  <c r="I4648" i="16"/>
  <c r="N4660" i="16"/>
  <c r="F4660" i="16"/>
  <c r="J4660" i="16"/>
  <c r="P4674" i="16"/>
  <c r="H4674" i="16"/>
  <c r="J4674" i="16"/>
  <c r="M4685" i="16"/>
  <c r="E4685" i="16"/>
  <c r="J4685" i="16"/>
  <c r="O4699" i="16"/>
  <c r="G4699" i="16"/>
  <c r="J4699" i="16"/>
  <c r="I4710" i="16"/>
  <c r="I4711" i="16"/>
  <c r="I4712" i="16"/>
  <c r="N4724" i="16"/>
  <c r="F4724" i="16"/>
  <c r="J4724" i="16"/>
  <c r="P4738" i="16"/>
  <c r="H4738" i="16"/>
  <c r="J4738" i="16"/>
  <c r="M4749" i="16"/>
  <c r="E4749" i="16"/>
  <c r="J4749" i="16"/>
  <c r="O4763" i="16"/>
  <c r="G4763" i="16"/>
  <c r="J4763" i="16"/>
  <c r="I4774" i="16"/>
  <c r="I4775" i="16"/>
  <c r="I4776" i="16"/>
  <c r="N4788" i="16"/>
  <c r="F4788" i="16"/>
  <c r="J4788" i="16"/>
  <c r="P4802" i="16"/>
  <c r="H4802" i="16"/>
  <c r="J4802" i="16"/>
  <c r="M4813" i="16"/>
  <c r="E4813" i="16"/>
  <c r="J4813" i="16"/>
  <c r="O4827" i="16"/>
  <c r="G4827" i="16"/>
  <c r="J4827" i="16"/>
  <c r="I4838" i="16"/>
  <c r="I4839" i="16"/>
  <c r="I4840" i="16"/>
  <c r="N4852" i="16"/>
  <c r="F4852" i="16"/>
  <c r="J4852" i="16"/>
  <c r="P4866" i="16"/>
  <c r="H4866" i="16"/>
  <c r="J4866" i="16"/>
  <c r="M4877" i="16"/>
  <c r="E4877" i="16"/>
  <c r="J4877" i="16"/>
  <c r="O4891" i="16"/>
  <c r="G4891" i="16"/>
  <c r="J4891" i="16"/>
  <c r="I4902" i="16"/>
  <c r="I4903" i="16"/>
  <c r="I4904" i="16"/>
  <c r="N4916" i="16"/>
  <c r="F4916" i="16"/>
  <c r="J4916" i="16"/>
  <c r="P4930" i="16"/>
  <c r="H4930" i="16"/>
  <c r="J4930" i="16"/>
  <c r="M4941" i="16"/>
  <c r="E4941" i="16"/>
  <c r="J4941" i="16"/>
  <c r="O4955" i="16"/>
  <c r="G4955" i="16"/>
  <c r="J4955" i="16"/>
  <c r="I4966" i="16"/>
  <c r="I4967" i="16"/>
  <c r="I4968" i="16"/>
  <c r="N4980" i="16"/>
  <c r="F4980" i="16"/>
  <c r="J4980" i="16"/>
  <c r="P4994" i="16"/>
  <c r="H4994" i="16"/>
  <c r="J4994" i="16"/>
  <c r="M5005" i="16"/>
  <c r="E5005" i="16"/>
  <c r="J5005" i="16"/>
  <c r="O5019" i="16"/>
  <c r="G5019" i="16"/>
  <c r="J5019" i="16"/>
  <c r="K5031" i="16"/>
  <c r="J5031" i="16"/>
  <c r="I5031" i="16"/>
  <c r="K5039" i="16"/>
  <c r="J5039" i="16"/>
  <c r="I5039" i="16"/>
  <c r="K5047" i="16"/>
  <c r="J5047" i="16"/>
  <c r="I5047" i="16"/>
  <c r="K5055" i="16"/>
  <c r="J5055" i="16"/>
  <c r="I5055" i="16"/>
  <c r="K5063" i="16"/>
  <c r="J5063" i="16"/>
  <c r="I5063" i="16"/>
  <c r="K5071" i="16"/>
  <c r="J5071" i="16"/>
  <c r="I5071" i="16"/>
  <c r="K5079" i="16"/>
  <c r="J5079" i="16"/>
  <c r="I5079" i="16"/>
  <c r="K5087" i="16"/>
  <c r="J5087" i="16"/>
  <c r="I5087" i="16"/>
  <c r="K5095" i="16"/>
  <c r="J5095" i="16"/>
  <c r="I5095" i="16"/>
  <c r="K5103" i="16"/>
  <c r="J5103" i="16"/>
  <c r="I5103" i="16"/>
  <c r="K5111" i="16"/>
  <c r="J5111" i="16"/>
  <c r="I5111" i="16"/>
  <c r="K5119" i="16"/>
  <c r="J5119" i="16"/>
  <c r="I5119" i="16"/>
  <c r="K5127" i="16"/>
  <c r="J5127" i="16"/>
  <c r="I5127" i="16"/>
  <c r="K5135" i="16"/>
  <c r="J5135" i="16"/>
  <c r="I5135" i="16"/>
  <c r="K5143" i="16"/>
  <c r="J5143" i="16"/>
  <c r="I5143" i="16"/>
  <c r="K5151" i="16"/>
  <c r="J5151" i="16"/>
  <c r="I5151" i="16"/>
  <c r="K5159" i="16"/>
  <c r="J5159" i="16"/>
  <c r="I5159" i="16"/>
  <c r="K5167" i="16"/>
  <c r="J5167" i="16"/>
  <c r="I5167" i="16"/>
  <c r="K5175" i="16"/>
  <c r="J5175" i="16"/>
  <c r="I5175" i="16"/>
  <c r="K5183" i="16"/>
  <c r="J5183" i="16"/>
  <c r="I5183" i="16"/>
  <c r="K5191" i="16"/>
  <c r="J5191" i="16"/>
  <c r="I5191" i="16"/>
  <c r="K5199" i="16"/>
  <c r="J5199" i="16"/>
  <c r="I5199" i="16"/>
  <c r="K5207" i="16"/>
  <c r="J5207" i="16"/>
  <c r="I5207" i="16"/>
  <c r="K5215" i="16"/>
  <c r="J5215" i="16"/>
  <c r="I5215" i="16"/>
  <c r="K5223" i="16"/>
  <c r="J5223" i="16"/>
  <c r="I5223" i="16"/>
  <c r="K5231" i="16"/>
  <c r="J5231" i="16"/>
  <c r="I5231" i="16"/>
  <c r="K5239" i="16"/>
  <c r="J5239" i="16"/>
  <c r="I5239" i="16"/>
  <c r="K5247" i="16"/>
  <c r="J5247" i="16"/>
  <c r="I5247" i="16"/>
  <c r="K5255" i="16"/>
  <c r="J5255" i="16"/>
  <c r="I5255" i="16"/>
  <c r="K5263" i="16"/>
  <c r="J5263" i="16"/>
  <c r="I5263" i="16"/>
  <c r="K5271" i="16"/>
  <c r="J5271" i="16"/>
  <c r="I5271" i="16"/>
  <c r="K5279" i="16"/>
  <c r="J5279" i="16"/>
  <c r="I5279" i="16"/>
  <c r="K5287" i="16"/>
  <c r="J5287" i="16"/>
  <c r="I5287" i="16"/>
  <c r="K5295" i="16"/>
  <c r="J5295" i="16"/>
  <c r="I5295" i="16"/>
  <c r="K5303" i="16"/>
  <c r="J5303" i="16"/>
  <c r="I5303" i="16"/>
  <c r="K5311" i="16"/>
  <c r="J5311" i="16"/>
  <c r="I5311" i="16"/>
  <c r="K5319" i="16"/>
  <c r="J5319" i="16"/>
  <c r="I5319" i="16"/>
  <c r="K5327" i="16"/>
  <c r="J5327" i="16"/>
  <c r="I5327" i="16"/>
  <c r="K5335" i="16"/>
  <c r="J5335" i="16"/>
  <c r="I5335" i="16"/>
  <c r="K5343" i="16"/>
  <c r="J5343" i="16"/>
  <c r="I5343" i="16"/>
  <c r="K5351" i="16"/>
  <c r="J5351" i="16"/>
  <c r="I5351" i="16"/>
  <c r="K5359" i="16"/>
  <c r="J5359" i="16"/>
  <c r="I5359" i="16"/>
  <c r="K5367" i="16"/>
  <c r="J5367" i="16"/>
  <c r="I5367" i="16"/>
  <c r="K5375" i="16"/>
  <c r="J5375" i="16"/>
  <c r="I5375" i="16"/>
  <c r="K5383" i="16"/>
  <c r="J5383" i="16"/>
  <c r="I5383" i="16"/>
  <c r="K5391" i="16"/>
  <c r="J5391" i="16"/>
  <c r="I5391" i="16"/>
  <c r="K5399" i="16"/>
  <c r="J5399" i="16"/>
  <c r="I5399" i="16"/>
  <c r="K5407" i="16"/>
  <c r="J5407" i="16"/>
  <c r="I5407" i="16"/>
  <c r="K5415" i="16"/>
  <c r="J5415" i="16"/>
  <c r="I5415" i="16"/>
  <c r="K5423" i="16"/>
  <c r="J5423" i="16"/>
  <c r="I5423" i="16"/>
  <c r="K5431" i="16"/>
  <c r="J5431" i="16"/>
  <c r="I5431" i="16"/>
  <c r="K5439" i="16"/>
  <c r="J5439" i="16"/>
  <c r="I5439" i="16"/>
  <c r="K5447" i="16"/>
  <c r="J5447" i="16"/>
  <c r="I5447" i="16"/>
  <c r="K5455" i="16"/>
  <c r="J5455" i="16"/>
  <c r="I5455" i="16"/>
  <c r="K5463" i="16"/>
  <c r="J5463" i="16"/>
  <c r="I5463" i="16"/>
  <c r="K5471" i="16"/>
  <c r="J5471" i="16"/>
  <c r="I5471" i="16"/>
  <c r="K5479" i="16"/>
  <c r="J5479" i="16"/>
  <c r="I5479" i="16"/>
  <c r="K5487" i="16"/>
  <c r="J5487" i="16"/>
  <c r="I5487" i="16"/>
  <c r="K5495" i="16"/>
  <c r="J5495" i="16"/>
  <c r="I5495" i="16"/>
  <c r="K5503" i="16"/>
  <c r="J5503" i="16"/>
  <c r="I5503" i="16"/>
  <c r="K5511" i="16"/>
  <c r="J5511" i="16"/>
  <c r="I5511" i="16"/>
  <c r="K5519" i="16"/>
  <c r="J5519" i="16"/>
  <c r="I5519" i="16"/>
  <c r="K5527" i="16"/>
  <c r="J5527" i="16"/>
  <c r="I5527" i="16"/>
  <c r="K5535" i="16"/>
  <c r="J5535" i="16"/>
  <c r="I5535" i="16"/>
  <c r="K5543" i="16"/>
  <c r="J5543" i="16"/>
  <c r="I5543" i="16"/>
  <c r="K5551" i="16"/>
  <c r="J5551" i="16"/>
  <c r="T5551" i="16"/>
  <c r="I5551" i="16"/>
  <c r="N5564" i="16"/>
  <c r="F5564" i="16"/>
  <c r="M5564" i="16"/>
  <c r="E5564" i="16"/>
  <c r="L5564" i="16"/>
  <c r="K5564" i="16"/>
  <c r="O5572" i="16"/>
  <c r="L5574" i="16"/>
  <c r="K5574" i="16"/>
  <c r="J5574" i="16"/>
  <c r="I5574" i="16"/>
  <c r="P5578" i="16"/>
  <c r="H5578" i="16"/>
  <c r="O5578" i="16"/>
  <c r="G5578" i="16"/>
  <c r="N5578" i="16"/>
  <c r="F5578" i="16"/>
  <c r="L5578" i="16"/>
  <c r="M5582" i="16"/>
  <c r="M5586" i="16"/>
  <c r="M5597" i="16"/>
  <c r="E5597" i="16"/>
  <c r="L5597" i="16"/>
  <c r="K5597" i="16"/>
  <c r="J5597" i="16"/>
  <c r="O5603" i="16"/>
  <c r="G5603" i="16"/>
  <c r="N5603" i="16"/>
  <c r="F5603" i="16"/>
  <c r="M5603" i="16"/>
  <c r="E5603" i="16"/>
  <c r="L5603" i="16"/>
  <c r="N5605" i="16"/>
  <c r="P5611" i="16"/>
  <c r="N5628" i="16"/>
  <c r="F5628" i="16"/>
  <c r="M5628" i="16"/>
  <c r="E5628" i="16"/>
  <c r="L5628" i="16"/>
  <c r="K5628" i="16"/>
  <c r="O5636" i="16"/>
  <c r="L5638" i="16"/>
  <c r="K5638" i="16"/>
  <c r="J5638" i="16"/>
  <c r="I5638" i="16"/>
  <c r="P5642" i="16"/>
  <c r="H5642" i="16"/>
  <c r="O5642" i="16"/>
  <c r="G5642" i="16"/>
  <c r="N5642" i="16"/>
  <c r="F5642" i="16"/>
  <c r="L5642" i="16"/>
  <c r="M5646" i="16"/>
  <c r="M5650" i="16"/>
  <c r="M5661" i="16"/>
  <c r="E5661" i="16"/>
  <c r="L5661" i="16"/>
  <c r="K5661" i="16"/>
  <c r="J5661" i="16"/>
  <c r="O5667" i="16"/>
  <c r="G5667" i="16"/>
  <c r="N5667" i="16"/>
  <c r="F5667" i="16"/>
  <c r="M5667" i="16"/>
  <c r="E5667" i="16"/>
  <c r="L5667" i="16"/>
  <c r="N5669" i="16"/>
  <c r="P5675" i="16"/>
  <c r="N5692" i="16"/>
  <c r="F5692" i="16"/>
  <c r="M5692" i="16"/>
  <c r="E5692" i="16"/>
  <c r="L5692" i="16"/>
  <c r="K5692" i="16"/>
  <c r="O5700" i="16"/>
  <c r="L5702" i="16"/>
  <c r="K5702" i="16"/>
  <c r="J5702" i="16"/>
  <c r="I5702" i="16"/>
  <c r="P5706" i="16"/>
  <c r="H5706" i="16"/>
  <c r="O5706" i="16"/>
  <c r="G5706" i="16"/>
  <c r="N5706" i="16"/>
  <c r="F5706" i="16"/>
  <c r="L5706" i="16"/>
  <c r="M5710" i="16"/>
  <c r="M5714" i="16"/>
  <c r="M5725" i="16"/>
  <c r="E5725" i="16"/>
  <c r="L5725" i="16"/>
  <c r="K5725" i="16"/>
  <c r="J5725" i="16"/>
  <c r="O5731" i="16"/>
  <c r="G5731" i="16"/>
  <c r="N5731" i="16"/>
  <c r="F5731" i="16"/>
  <c r="M5731" i="16"/>
  <c r="E5731" i="16"/>
  <c r="L5731" i="16"/>
  <c r="N5733" i="16"/>
  <c r="P5739" i="16"/>
  <c r="N5756" i="16"/>
  <c r="F5756" i="16"/>
  <c r="M5756" i="16"/>
  <c r="E5756" i="16"/>
  <c r="L5756" i="16"/>
  <c r="K5756" i="16"/>
  <c r="O5764" i="16"/>
  <c r="L5766" i="16"/>
  <c r="K5766" i="16"/>
  <c r="J5766" i="16"/>
  <c r="I5766" i="16"/>
  <c r="P5770" i="16"/>
  <c r="H5770" i="16"/>
  <c r="O5770" i="16"/>
  <c r="G5770" i="16"/>
  <c r="N5770" i="16"/>
  <c r="F5770" i="16"/>
  <c r="L5770" i="16"/>
  <c r="M5774" i="16"/>
  <c r="M5778" i="16"/>
  <c r="M5789" i="16"/>
  <c r="E5789" i="16"/>
  <c r="L5789" i="16"/>
  <c r="K5789" i="16"/>
  <c r="J5789" i="16"/>
  <c r="O5795" i="16"/>
  <c r="G5795" i="16"/>
  <c r="N5795" i="16"/>
  <c r="F5795" i="16"/>
  <c r="M5795" i="16"/>
  <c r="E5795" i="16"/>
  <c r="L5795" i="16"/>
  <c r="N5797" i="16"/>
  <c r="P5803" i="16"/>
  <c r="N5820" i="16"/>
  <c r="F5820" i="16"/>
  <c r="M5820" i="16"/>
  <c r="E5820" i="16"/>
  <c r="L5820" i="16"/>
  <c r="K5820" i="16"/>
  <c r="O5828" i="16"/>
  <c r="L5830" i="16"/>
  <c r="K5830" i="16"/>
  <c r="J5830" i="16"/>
  <c r="I5830" i="16"/>
  <c r="P5834" i="16"/>
  <c r="H5834" i="16"/>
  <c r="O5834" i="16"/>
  <c r="G5834" i="16"/>
  <c r="N5834" i="16"/>
  <c r="F5834" i="16"/>
  <c r="L5834" i="16"/>
  <c r="M5838" i="16"/>
  <c r="M5842" i="16"/>
  <c r="M5853" i="16"/>
  <c r="E5853" i="16"/>
  <c r="L5853" i="16"/>
  <c r="K5853" i="16"/>
  <c r="J5853" i="16"/>
  <c r="O5859" i="16"/>
  <c r="G5859" i="16"/>
  <c r="N5859" i="16"/>
  <c r="F5859" i="16"/>
  <c r="M5859" i="16"/>
  <c r="E5859" i="16"/>
  <c r="L5859" i="16"/>
  <c r="N5861" i="16"/>
  <c r="P5867" i="16"/>
  <c r="N5884" i="16"/>
  <c r="F5884" i="16"/>
  <c r="M5884" i="16"/>
  <c r="E5884" i="16"/>
  <c r="L5884" i="16"/>
  <c r="K5884" i="16"/>
  <c r="O5892" i="16"/>
  <c r="T5894" i="16"/>
  <c r="L5894" i="16"/>
  <c r="K5894" i="16"/>
  <c r="J5894" i="16"/>
  <c r="I5894" i="16"/>
  <c r="N5899" i="16"/>
  <c r="O5907" i="16"/>
  <c r="O5909" i="16"/>
  <c r="T5925" i="16"/>
  <c r="P5927" i="16"/>
  <c r="H5927" i="16"/>
  <c r="O5927" i="16"/>
  <c r="G5927" i="16"/>
  <c r="J5927" i="16"/>
  <c r="I5927" i="16"/>
  <c r="F5927" i="16"/>
  <c r="N5927" i="16"/>
  <c r="T5935" i="16"/>
  <c r="N5961" i="16"/>
  <c r="F5961" i="16"/>
  <c r="M5961" i="16"/>
  <c r="E5961" i="16"/>
  <c r="H5961" i="16"/>
  <c r="T5961" i="16"/>
  <c r="G5961" i="16"/>
  <c r="P5961" i="16"/>
  <c r="O5961" i="16"/>
  <c r="K5980" i="16"/>
  <c r="J5980" i="16"/>
  <c r="N5980" i="16"/>
  <c r="M5980" i="16"/>
  <c r="L5980" i="16"/>
  <c r="I5980" i="16"/>
  <c r="O5988" i="16"/>
  <c r="P5991" i="16"/>
  <c r="H5991" i="16"/>
  <c r="O5991" i="16"/>
  <c r="G5991" i="16"/>
  <c r="J5991" i="16"/>
  <c r="I5991" i="16"/>
  <c r="F5991" i="16"/>
  <c r="N5991" i="16"/>
  <c r="T5999" i="16"/>
  <c r="V4" i="17"/>
  <c r="N4" i="17"/>
  <c r="AC4" i="17"/>
  <c r="U4" i="17"/>
  <c r="M4" i="17"/>
  <c r="AA4" i="17"/>
  <c r="Q4" i="17"/>
  <c r="Z4" i="17"/>
  <c r="Y4" i="17"/>
  <c r="X4" i="17"/>
  <c r="J6" i="17"/>
  <c r="Y6" i="17"/>
  <c r="J8" i="17"/>
  <c r="Y8" i="17"/>
  <c r="J16" i="17"/>
  <c r="AB16" i="17"/>
  <c r="V22" i="17"/>
  <c r="N22" i="17"/>
  <c r="AC22" i="17"/>
  <c r="U22" i="17"/>
  <c r="M22" i="17"/>
  <c r="AE22" i="17" s="1"/>
  <c r="AB22" i="17"/>
  <c r="R22" i="17"/>
  <c r="AP22" i="17" s="1"/>
  <c r="AA22" i="17"/>
  <c r="Q22" i="17"/>
  <c r="Z22" i="17"/>
  <c r="X22" i="17"/>
  <c r="V32" i="17"/>
  <c r="N32" i="17"/>
  <c r="AC32" i="17"/>
  <c r="U32" i="17"/>
  <c r="AH32" i="17" s="1"/>
  <c r="M32" i="17"/>
  <c r="Y32" i="17"/>
  <c r="X32" i="17"/>
  <c r="L32" i="17"/>
  <c r="W32" i="17"/>
  <c r="K32" i="17"/>
  <c r="AA32" i="17"/>
  <c r="J66" i="17"/>
  <c r="AB66" i="17"/>
  <c r="K67" i="17"/>
  <c r="AB78" i="17"/>
  <c r="V82" i="17"/>
  <c r="N82" i="17"/>
  <c r="AC82" i="17"/>
  <c r="U82" i="17"/>
  <c r="M82" i="17"/>
  <c r="Z82" i="17"/>
  <c r="Y82" i="17"/>
  <c r="X82" i="17"/>
  <c r="L82" i="17"/>
  <c r="AA82" i="17"/>
  <c r="AP82" i="17"/>
  <c r="V94" i="17"/>
  <c r="N94" i="17"/>
  <c r="AC94" i="17"/>
  <c r="U94" i="17"/>
  <c r="AQ94" i="17" s="1"/>
  <c r="M94" i="17"/>
  <c r="AE94" i="17" s="1"/>
  <c r="X94" i="17"/>
  <c r="L94" i="17"/>
  <c r="W94" i="17"/>
  <c r="K94" i="17"/>
  <c r="O92" i="17" s="1"/>
  <c r="T94" i="17"/>
  <c r="J94" i="17"/>
  <c r="AA94" i="17"/>
  <c r="K101" i="17"/>
  <c r="R120" i="17"/>
  <c r="AP120" i="17" s="1"/>
  <c r="Q120" i="17"/>
  <c r="V132" i="17"/>
  <c r="N132" i="17"/>
  <c r="AC132" i="17"/>
  <c r="U132" i="17"/>
  <c r="M132" i="17"/>
  <c r="AE132" i="17" s="1"/>
  <c r="AA132" i="17"/>
  <c r="Q132" i="17"/>
  <c r="Z132" i="17"/>
  <c r="Y132" i="17"/>
  <c r="X132" i="17"/>
  <c r="AP132" i="17"/>
  <c r="J134" i="17"/>
  <c r="J136" i="17"/>
  <c r="Y136" i="17"/>
  <c r="V150" i="17"/>
  <c r="N150" i="17"/>
  <c r="AC150" i="17"/>
  <c r="U150" i="17"/>
  <c r="M150" i="17"/>
  <c r="AB150" i="17"/>
  <c r="R150" i="17"/>
  <c r="AA150" i="17"/>
  <c r="Q150" i="17"/>
  <c r="Z150" i="17"/>
  <c r="X150" i="17"/>
  <c r="V160" i="17"/>
  <c r="N160" i="17"/>
  <c r="AC160" i="17"/>
  <c r="U160" i="17"/>
  <c r="AQ160" i="17" s="1"/>
  <c r="M160" i="17"/>
  <c r="AE160" i="17" s="1"/>
  <c r="Y160" i="17"/>
  <c r="X160" i="17"/>
  <c r="L160" i="17"/>
  <c r="W160" i="17"/>
  <c r="K160" i="17"/>
  <c r="AA160" i="17"/>
  <c r="AL182" i="17"/>
  <c r="AD182" i="17"/>
  <c r="V182" i="17"/>
  <c r="N182" i="17"/>
  <c r="AK182" i="17"/>
  <c r="AC182" i="17"/>
  <c r="U182" i="17"/>
  <c r="M182" i="17"/>
  <c r="AN182" i="17"/>
  <c r="AB182" i="17"/>
  <c r="R182" i="17"/>
  <c r="AM182" i="17"/>
  <c r="AA182" i="17"/>
  <c r="Q182" i="17"/>
  <c r="AJ182" i="17"/>
  <c r="Z182" i="17"/>
  <c r="P182" i="17"/>
  <c r="X182" i="17"/>
  <c r="AP182" i="17"/>
  <c r="AL198" i="17"/>
  <c r="AD198" i="17"/>
  <c r="V198" i="17"/>
  <c r="N198" i="17"/>
  <c r="AK198" i="17"/>
  <c r="AC198" i="17"/>
  <c r="U198" i="17"/>
  <c r="M198" i="17"/>
  <c r="AN198" i="17"/>
  <c r="AB198" i="17"/>
  <c r="R198" i="17"/>
  <c r="AM198" i="17"/>
  <c r="AA198" i="17"/>
  <c r="Q198" i="17"/>
  <c r="AJ198" i="17"/>
  <c r="Z198" i="17"/>
  <c r="P198" i="17"/>
  <c r="X198" i="17"/>
  <c r="AP198" i="17"/>
  <c r="AL214" i="17"/>
  <c r="AD214" i="17"/>
  <c r="V214" i="17"/>
  <c r="N214" i="17"/>
  <c r="AK214" i="17"/>
  <c r="AC214" i="17"/>
  <c r="U214" i="17"/>
  <c r="M214" i="17"/>
  <c r="AN214" i="17"/>
  <c r="AB214" i="17"/>
  <c r="R214" i="17"/>
  <c r="AM214" i="17"/>
  <c r="AA214" i="17"/>
  <c r="Q214" i="17"/>
  <c r="AJ214" i="17"/>
  <c r="Z214" i="17"/>
  <c r="P214" i="17"/>
  <c r="X214" i="17"/>
  <c r="AP214" i="17"/>
  <c r="AL230" i="17"/>
  <c r="AD230" i="17"/>
  <c r="V230" i="17"/>
  <c r="N230" i="17"/>
  <c r="AK230" i="17"/>
  <c r="AC230" i="17"/>
  <c r="U230" i="17"/>
  <c r="M230" i="17"/>
  <c r="AN230" i="17"/>
  <c r="AB230" i="17"/>
  <c r="R230" i="17"/>
  <c r="AM230" i="17"/>
  <c r="AA230" i="17"/>
  <c r="Q230" i="17"/>
  <c r="AJ230" i="17"/>
  <c r="Z230" i="17"/>
  <c r="P230" i="17"/>
  <c r="X230" i="17"/>
  <c r="AP230" i="17"/>
  <c r="AL266" i="17"/>
  <c r="AD266" i="17"/>
  <c r="V266" i="17"/>
  <c r="N266" i="17"/>
  <c r="AK266" i="17"/>
  <c r="AC266" i="17"/>
  <c r="U266" i="17"/>
  <c r="M266" i="17"/>
  <c r="AR266" i="17"/>
  <c r="AH266" i="17"/>
  <c r="X266" i="17"/>
  <c r="L266" i="17"/>
  <c r="AQ266" i="17"/>
  <c r="AG266" i="17"/>
  <c r="W266" i="17"/>
  <c r="K266" i="17"/>
  <c r="AP266" i="17"/>
  <c r="AF266" i="17"/>
  <c r="T266" i="17"/>
  <c r="J266" i="17"/>
  <c r="AN266" i="17"/>
  <c r="Y266" i="17"/>
  <c r="AM266" i="17"/>
  <c r="S266" i="17"/>
  <c r="AJ266" i="17"/>
  <c r="R266" i="17"/>
  <c r="AI266" i="17"/>
  <c r="AL274" i="17"/>
  <c r="AD274" i="17"/>
  <c r="V274" i="17"/>
  <c r="N274" i="17"/>
  <c r="AK274" i="17"/>
  <c r="AC274" i="17"/>
  <c r="U274" i="17"/>
  <c r="M274" i="17"/>
  <c r="AN274" i="17"/>
  <c r="AB274" i="17"/>
  <c r="R274" i="17"/>
  <c r="AM274" i="17"/>
  <c r="AA274" i="17"/>
  <c r="Q274" i="17"/>
  <c r="AJ274" i="17"/>
  <c r="Z274" i="17"/>
  <c r="P274" i="17"/>
  <c r="AG274" i="17"/>
  <c r="O274" i="17"/>
  <c r="AF274" i="17"/>
  <c r="L274" i="17"/>
  <c r="AR274" i="17"/>
  <c r="AE274" i="17"/>
  <c r="K274" i="17"/>
  <c r="AI274" i="17"/>
  <c r="J290" i="17"/>
  <c r="AO290" i="17"/>
  <c r="S306" i="17"/>
  <c r="AP306" i="17"/>
  <c r="AL318" i="17"/>
  <c r="AD318" i="17"/>
  <c r="V318" i="17"/>
  <c r="N318" i="17"/>
  <c r="AK318" i="17"/>
  <c r="AC318" i="17"/>
  <c r="U318" i="17"/>
  <c r="M318" i="17"/>
  <c r="AJ318" i="17"/>
  <c r="Z318" i="17"/>
  <c r="P318" i="17"/>
  <c r="AI318" i="17"/>
  <c r="Y318" i="17"/>
  <c r="O318" i="17"/>
  <c r="AR318" i="17"/>
  <c r="AH318" i="17"/>
  <c r="X318" i="17"/>
  <c r="L318" i="17"/>
  <c r="AO318" i="17"/>
  <c r="W318" i="17"/>
  <c r="AN318" i="17"/>
  <c r="T318" i="17"/>
  <c r="AM318" i="17"/>
  <c r="S318" i="17"/>
  <c r="AF318" i="17"/>
  <c r="J334" i="17"/>
  <c r="AG334" i="17"/>
  <c r="K366" i="17"/>
  <c r="AP366" i="17"/>
  <c r="AL388" i="17"/>
  <c r="AD388" i="17"/>
  <c r="V388" i="17"/>
  <c r="N388" i="17"/>
  <c r="AK388" i="17"/>
  <c r="AC388" i="17"/>
  <c r="U388" i="17"/>
  <c r="M388" i="17"/>
  <c r="AR388" i="17"/>
  <c r="AH388" i="17"/>
  <c r="X388" i="17"/>
  <c r="L388" i="17"/>
  <c r="AQ388" i="17"/>
  <c r="AG388" i="17"/>
  <c r="W388" i="17"/>
  <c r="K388" i="17"/>
  <c r="AP388" i="17"/>
  <c r="AF388" i="17"/>
  <c r="T388" i="17"/>
  <c r="J388" i="17"/>
  <c r="AM388" i="17"/>
  <c r="S388" i="17"/>
  <c r="AJ388" i="17"/>
  <c r="R388" i="17"/>
  <c r="AI388" i="17"/>
  <c r="Q388" i="17"/>
  <c r="AN388" i="17"/>
  <c r="AL398" i="17"/>
  <c r="AD398" i="17"/>
  <c r="V398" i="17"/>
  <c r="N398" i="17"/>
  <c r="AK398" i="17"/>
  <c r="AC398" i="17"/>
  <c r="U398" i="17"/>
  <c r="M398" i="17"/>
  <c r="AN398" i="17"/>
  <c r="AB398" i="17"/>
  <c r="R398" i="17"/>
  <c r="AM398" i="17"/>
  <c r="AA398" i="17"/>
  <c r="Q398" i="17"/>
  <c r="AJ398" i="17"/>
  <c r="Z398" i="17"/>
  <c r="P398" i="17"/>
  <c r="AG398" i="17"/>
  <c r="O398" i="17"/>
  <c r="AF398" i="17"/>
  <c r="L398" i="17"/>
  <c r="AR398" i="17"/>
  <c r="AE398" i="17"/>
  <c r="K398" i="17"/>
  <c r="AI398" i="17"/>
  <c r="O406" i="17"/>
  <c r="AO406" i="17"/>
  <c r="J414" i="17"/>
  <c r="AO414" i="17"/>
  <c r="P422" i="17"/>
  <c r="S430" i="17"/>
  <c r="AP430" i="17"/>
  <c r="AL442" i="17"/>
  <c r="AD442" i="17"/>
  <c r="V442" i="17"/>
  <c r="N442" i="17"/>
  <c r="AK442" i="17"/>
  <c r="AC442" i="17"/>
  <c r="U442" i="17"/>
  <c r="M442" i="17"/>
  <c r="AJ442" i="17"/>
  <c r="Z442" i="17"/>
  <c r="P442" i="17"/>
  <c r="AI442" i="17"/>
  <c r="Y442" i="17"/>
  <c r="O442" i="17"/>
  <c r="AR442" i="17"/>
  <c r="AH442" i="17"/>
  <c r="X442" i="17"/>
  <c r="L442" i="17"/>
  <c r="AO442" i="17"/>
  <c r="W442" i="17"/>
  <c r="AN442" i="17"/>
  <c r="T442" i="17"/>
  <c r="AM442" i="17"/>
  <c r="S442" i="17"/>
  <c r="AF442" i="17"/>
  <c r="J458" i="17"/>
  <c r="AG458" i="17"/>
  <c r="AL472" i="17"/>
  <c r="AD472" i="17"/>
  <c r="V472" i="17"/>
  <c r="N472" i="17"/>
  <c r="AK472" i="17"/>
  <c r="AC472" i="17"/>
  <c r="U472" i="17"/>
  <c r="M472" i="17"/>
  <c r="AI472" i="17"/>
  <c r="Y472" i="17"/>
  <c r="O472" i="17"/>
  <c r="AR472" i="17"/>
  <c r="AH472" i="17"/>
  <c r="X472" i="17"/>
  <c r="L472" i="17"/>
  <c r="AQ472" i="17"/>
  <c r="AG472" i="17"/>
  <c r="W472" i="17"/>
  <c r="K472" i="17"/>
  <c r="AF472" i="17"/>
  <c r="Q472" i="17"/>
  <c r="AE472" i="17"/>
  <c r="P472" i="17"/>
  <c r="AB472" i="17"/>
  <c r="J472" i="17"/>
  <c r="AN472" i="17"/>
  <c r="AL518" i="17"/>
  <c r="AD518" i="17"/>
  <c r="V518" i="17"/>
  <c r="N518" i="17"/>
  <c r="AK518" i="17"/>
  <c r="AC518" i="17"/>
  <c r="U518" i="17"/>
  <c r="M518" i="17"/>
  <c r="AR518" i="17"/>
  <c r="AH518" i="17"/>
  <c r="X518" i="17"/>
  <c r="L518" i="17"/>
  <c r="AQ518" i="17"/>
  <c r="AG518" i="17"/>
  <c r="W518" i="17"/>
  <c r="K518" i="17"/>
  <c r="AP518" i="17"/>
  <c r="AF518" i="17"/>
  <c r="T518" i="17"/>
  <c r="J518" i="17"/>
  <c r="AN518" i="17"/>
  <c r="Y518" i="17"/>
  <c r="AM518" i="17"/>
  <c r="S518" i="17"/>
  <c r="AJ518" i="17"/>
  <c r="R518" i="17"/>
  <c r="AI518" i="17"/>
  <c r="AL526" i="17"/>
  <c r="AD526" i="17"/>
  <c r="V526" i="17"/>
  <c r="N526" i="17"/>
  <c r="AK526" i="17"/>
  <c r="AC526" i="17"/>
  <c r="U526" i="17"/>
  <c r="M526" i="17"/>
  <c r="AN526" i="17"/>
  <c r="AB526" i="17"/>
  <c r="R526" i="17"/>
  <c r="AM526" i="17"/>
  <c r="AA526" i="17"/>
  <c r="Q526" i="17"/>
  <c r="AJ526" i="17"/>
  <c r="Z526" i="17"/>
  <c r="P526" i="17"/>
  <c r="AG526" i="17"/>
  <c r="O526" i="17"/>
  <c r="AF526" i="17"/>
  <c r="L526" i="17"/>
  <c r="AR526" i="17"/>
  <c r="AE526" i="17"/>
  <c r="K526" i="17"/>
  <c r="AI526" i="17"/>
  <c r="AL566" i="17"/>
  <c r="AD566" i="17"/>
  <c r="V566" i="17"/>
  <c r="N566" i="17"/>
  <c r="AK566" i="17"/>
  <c r="AC566" i="17"/>
  <c r="U566" i="17"/>
  <c r="M566" i="17"/>
  <c r="AR566" i="17"/>
  <c r="AH566" i="17"/>
  <c r="X566" i="17"/>
  <c r="L566" i="17"/>
  <c r="AQ566" i="17"/>
  <c r="AG566" i="17"/>
  <c r="W566" i="17"/>
  <c r="K566" i="17"/>
  <c r="AP566" i="17"/>
  <c r="AF566" i="17"/>
  <c r="T566" i="17"/>
  <c r="J566" i="17"/>
  <c r="AN566" i="17"/>
  <c r="Y566" i="17"/>
  <c r="AM566" i="17"/>
  <c r="S566" i="17"/>
  <c r="AJ566" i="17"/>
  <c r="R566" i="17"/>
  <c r="AI566" i="17"/>
  <c r="AL574" i="17"/>
  <c r="AD574" i="17"/>
  <c r="V574" i="17"/>
  <c r="N574" i="17"/>
  <c r="AK574" i="17"/>
  <c r="AC574" i="17"/>
  <c r="U574" i="17"/>
  <c r="M574" i="17"/>
  <c r="AN574" i="17"/>
  <c r="AB574" i="17"/>
  <c r="R574" i="17"/>
  <c r="AM574" i="17"/>
  <c r="AA574" i="17"/>
  <c r="Q574" i="17"/>
  <c r="AJ574" i="17"/>
  <c r="Z574" i="17"/>
  <c r="P574" i="17"/>
  <c r="AG574" i="17"/>
  <c r="O574" i="17"/>
  <c r="AF574" i="17"/>
  <c r="L574" i="17"/>
  <c r="AR574" i="17"/>
  <c r="AE574" i="17"/>
  <c r="K574" i="17"/>
  <c r="AI574" i="17"/>
  <c r="AO590" i="17"/>
  <c r="N596" i="17"/>
  <c r="L598" i="17"/>
  <c r="AJ598" i="17"/>
  <c r="Y606" i="17"/>
  <c r="AK632" i="17"/>
  <c r="AC632" i="17"/>
  <c r="U632" i="17"/>
  <c r="M632" i="17"/>
  <c r="AR632" i="17"/>
  <c r="AJ632" i="17"/>
  <c r="AB632" i="17"/>
  <c r="T632" i="17"/>
  <c r="L632" i="17"/>
  <c r="AH632" i="17"/>
  <c r="X632" i="17"/>
  <c r="N632" i="17"/>
  <c r="AQ632" i="17"/>
  <c r="AG632" i="17"/>
  <c r="W632" i="17"/>
  <c r="K632" i="17"/>
  <c r="AP632" i="17"/>
  <c r="AD632" i="17"/>
  <c r="P632" i="17"/>
  <c r="AM632" i="17"/>
  <c r="V632" i="17"/>
  <c r="AL632" i="17"/>
  <c r="S632" i="17"/>
  <c r="AI632" i="17"/>
  <c r="R632" i="17"/>
  <c r="Z632" i="17"/>
  <c r="Y632" i="17"/>
  <c r="Q632" i="17"/>
  <c r="AK648" i="17"/>
  <c r="AC648" i="17"/>
  <c r="U648" i="17"/>
  <c r="M648" i="17"/>
  <c r="AR648" i="17"/>
  <c r="AJ648" i="17"/>
  <c r="AB648" i="17"/>
  <c r="T648" i="17"/>
  <c r="L648" i="17"/>
  <c r="AH648" i="17"/>
  <c r="X648" i="17"/>
  <c r="N648" i="17"/>
  <c r="AQ648" i="17"/>
  <c r="AG648" i="17"/>
  <c r="W648" i="17"/>
  <c r="K648" i="17"/>
  <c r="AF648" i="17"/>
  <c r="R648" i="17"/>
  <c r="AM648" i="17"/>
  <c r="V648" i="17"/>
  <c r="AL648" i="17"/>
  <c r="Q648" i="17"/>
  <c r="AI648" i="17"/>
  <c r="P648" i="17"/>
  <c r="AE648" i="17"/>
  <c r="O648" i="17"/>
  <c r="AA648" i="17"/>
  <c r="Z648" i="17"/>
  <c r="Y648" i="17"/>
  <c r="AK668" i="17"/>
  <c r="AC668" i="17"/>
  <c r="U668" i="17"/>
  <c r="M668" i="17"/>
  <c r="AR668" i="17"/>
  <c r="AJ668" i="17"/>
  <c r="AB668" i="17"/>
  <c r="T668" i="17"/>
  <c r="L668" i="17"/>
  <c r="AL668" i="17"/>
  <c r="Z668" i="17"/>
  <c r="P668" i="17"/>
  <c r="AI668" i="17"/>
  <c r="Y668" i="17"/>
  <c r="O668" i="17"/>
  <c r="AO668" i="17"/>
  <c r="AA668" i="17"/>
  <c r="K668" i="17"/>
  <c r="AH668" i="17"/>
  <c r="S668" i="17"/>
  <c r="AG668" i="17"/>
  <c r="Q668" i="17"/>
  <c r="AF668" i="17"/>
  <c r="N668" i="17"/>
  <c r="AE668" i="17"/>
  <c r="J668" i="17"/>
  <c r="AD668" i="17"/>
  <c r="X668" i="17"/>
  <c r="W668" i="17"/>
  <c r="AK678" i="17"/>
  <c r="AC678" i="17"/>
  <c r="U678" i="17"/>
  <c r="M678" i="17"/>
  <c r="AR678" i="17"/>
  <c r="AJ678" i="17"/>
  <c r="AB678" i="17"/>
  <c r="T678" i="17"/>
  <c r="L678" i="17"/>
  <c r="AM678" i="17"/>
  <c r="AA678" i="17"/>
  <c r="Q678" i="17"/>
  <c r="AL678" i="17"/>
  <c r="Z678" i="17"/>
  <c r="P678" i="17"/>
  <c r="AQ678" i="17"/>
  <c r="AE678" i="17"/>
  <c r="O678" i="17"/>
  <c r="AP678" i="17"/>
  <c r="Y678" i="17"/>
  <c r="J678" i="17"/>
  <c r="X678" i="17"/>
  <c r="AO678" i="17"/>
  <c r="W678" i="17"/>
  <c r="AN678" i="17"/>
  <c r="V678" i="17"/>
  <c r="R678" i="17"/>
  <c r="N678" i="17"/>
  <c r="AI678" i="17"/>
  <c r="K678" i="17"/>
  <c r="AK700" i="17"/>
  <c r="AC700" i="17"/>
  <c r="U700" i="17"/>
  <c r="M700" i="17"/>
  <c r="AR700" i="17"/>
  <c r="AJ700" i="17"/>
  <c r="AB700" i="17"/>
  <c r="T700" i="17"/>
  <c r="L700" i="17"/>
  <c r="AL700" i="17"/>
  <c r="Z700" i="17"/>
  <c r="P700" i="17"/>
  <c r="AI700" i="17"/>
  <c r="Y700" i="17"/>
  <c r="O700" i="17"/>
  <c r="AQ700" i="17"/>
  <c r="AE700" i="17"/>
  <c r="Q700" i="17"/>
  <c r="AG700" i="17"/>
  <c r="R700" i="17"/>
  <c r="AF700" i="17"/>
  <c r="N700" i="17"/>
  <c r="AD700" i="17"/>
  <c r="K700" i="17"/>
  <c r="AH700" i="17"/>
  <c r="AA700" i="17"/>
  <c r="X700" i="17"/>
  <c r="AO700" i="17"/>
  <c r="AN700" i="17"/>
  <c r="AM700" i="17"/>
  <c r="AK734" i="17"/>
  <c r="AC734" i="17"/>
  <c r="U734" i="17"/>
  <c r="M734" i="17"/>
  <c r="AR734" i="17"/>
  <c r="AJ734" i="17"/>
  <c r="AB734" i="17"/>
  <c r="T734" i="17"/>
  <c r="L734" i="17"/>
  <c r="AQ734" i="17"/>
  <c r="AG734" i="17"/>
  <c r="W734" i="17"/>
  <c r="K734" i="17"/>
  <c r="AP734" i="17"/>
  <c r="AF734" i="17"/>
  <c r="V734" i="17"/>
  <c r="J734" i="17"/>
  <c r="AN734" i="17"/>
  <c r="Z734" i="17"/>
  <c r="N734" i="17"/>
  <c r="AO734" i="17"/>
  <c r="Y734" i="17"/>
  <c r="AM734" i="17"/>
  <c r="X734" i="17"/>
  <c r="AL734" i="17"/>
  <c r="S734" i="17"/>
  <c r="AD734" i="17"/>
  <c r="AA734" i="17"/>
  <c r="R734" i="17"/>
  <c r="AI734" i="17"/>
  <c r="AH734" i="17"/>
  <c r="AE734" i="17"/>
  <c r="AK754" i="17"/>
  <c r="AC754" i="17"/>
  <c r="U754" i="17"/>
  <c r="M754" i="17"/>
  <c r="AR754" i="17"/>
  <c r="AJ754" i="17"/>
  <c r="AB754" i="17"/>
  <c r="T754" i="17"/>
  <c r="L754" i="17"/>
  <c r="AI754" i="17"/>
  <c r="Y754" i="17"/>
  <c r="O754" i="17"/>
  <c r="AH754" i="17"/>
  <c r="X754" i="17"/>
  <c r="N754" i="17"/>
  <c r="AO754" i="17"/>
  <c r="AA754" i="17"/>
  <c r="K754" i="17"/>
  <c r="AG754" i="17"/>
  <c r="R754" i="17"/>
  <c r="AF754" i="17"/>
  <c r="Q754" i="17"/>
  <c r="AE754" i="17"/>
  <c r="P754" i="17"/>
  <c r="W754" i="17"/>
  <c r="AQ754" i="17"/>
  <c r="V754" i="17"/>
  <c r="AP754" i="17"/>
  <c r="S754" i="17"/>
  <c r="AL754" i="17"/>
  <c r="AD754" i="17"/>
  <c r="Z754" i="17"/>
  <c r="T806" i="17"/>
  <c r="AQ835" i="17"/>
  <c r="AI835" i="17"/>
  <c r="AA835" i="17"/>
  <c r="S835" i="17"/>
  <c r="K835" i="17"/>
  <c r="AN835" i="17"/>
  <c r="AE835" i="17"/>
  <c r="V835" i="17"/>
  <c r="M835" i="17"/>
  <c r="AM835" i="17"/>
  <c r="AD835" i="17"/>
  <c r="U835" i="17"/>
  <c r="L835" i="17"/>
  <c r="AG835" i="17"/>
  <c r="T835" i="17"/>
  <c r="AR835" i="17"/>
  <c r="AF835" i="17"/>
  <c r="R835" i="17"/>
  <c r="AK835" i="17"/>
  <c r="W835" i="17"/>
  <c r="AJ835" i="17"/>
  <c r="Q835" i="17"/>
  <c r="AL835" i="17"/>
  <c r="O835" i="17"/>
  <c r="AH835" i="17"/>
  <c r="N835" i="17"/>
  <c r="AC835" i="17"/>
  <c r="J835" i="17"/>
  <c r="Y835" i="17"/>
  <c r="X835" i="17"/>
  <c r="P835" i="17"/>
  <c r="AP835" i="17"/>
  <c r="AQ851" i="17"/>
  <c r="AI851" i="17"/>
  <c r="AA851" i="17"/>
  <c r="S851" i="17"/>
  <c r="K851" i="17"/>
  <c r="AN851" i="17"/>
  <c r="AE851" i="17"/>
  <c r="V851" i="17"/>
  <c r="M851" i="17"/>
  <c r="AM851" i="17"/>
  <c r="AD851" i="17"/>
  <c r="U851" i="17"/>
  <c r="L851" i="17"/>
  <c r="AK851" i="17"/>
  <c r="Y851" i="17"/>
  <c r="N851" i="17"/>
  <c r="AJ851" i="17"/>
  <c r="X851" i="17"/>
  <c r="J851" i="17"/>
  <c r="AH851" i="17"/>
  <c r="R851" i="17"/>
  <c r="AG851" i="17"/>
  <c r="Q851" i="17"/>
  <c r="AC851" i="17"/>
  <c r="AB851" i="17"/>
  <c r="Z851" i="17"/>
  <c r="AO851" i="17"/>
  <c r="AL851" i="17"/>
  <c r="AF851" i="17"/>
  <c r="AR851" i="17"/>
  <c r="AP851" i="17"/>
  <c r="Q865" i="17"/>
  <c r="J937" i="17"/>
  <c r="AQ945" i="17"/>
  <c r="AI945" i="17"/>
  <c r="AA945" i="17"/>
  <c r="S945" i="17"/>
  <c r="K945" i="17"/>
  <c r="AM945" i="17"/>
  <c r="AD945" i="17"/>
  <c r="U945" i="17"/>
  <c r="L945" i="17"/>
  <c r="AL945" i="17"/>
  <c r="AC945" i="17"/>
  <c r="T945" i="17"/>
  <c r="J945" i="17"/>
  <c r="AN945" i="17"/>
  <c r="Z945" i="17"/>
  <c r="O945" i="17"/>
  <c r="AK945" i="17"/>
  <c r="Y945" i="17"/>
  <c r="N945" i="17"/>
  <c r="AO945" i="17"/>
  <c r="W945" i="17"/>
  <c r="AJ945" i="17"/>
  <c r="V945" i="17"/>
  <c r="AB945" i="17"/>
  <c r="X945" i="17"/>
  <c r="AR945" i="17"/>
  <c r="R945" i="17"/>
  <c r="AH945" i="17"/>
  <c r="AG945" i="17"/>
  <c r="AF945" i="17"/>
  <c r="AP945" i="17"/>
  <c r="W947" i="17"/>
  <c r="AQ951" i="17"/>
  <c r="AI951" i="17"/>
  <c r="AA951" i="17"/>
  <c r="S951" i="17"/>
  <c r="K951" i="17"/>
  <c r="AP951" i="17"/>
  <c r="AG951" i="17"/>
  <c r="X951" i="17"/>
  <c r="O951" i="17"/>
  <c r="AO951" i="17"/>
  <c r="AF951" i="17"/>
  <c r="W951" i="17"/>
  <c r="N951" i="17"/>
  <c r="AR951" i="17"/>
  <c r="AD951" i="17"/>
  <c r="R951" i="17"/>
  <c r="AN951" i="17"/>
  <c r="AC951" i="17"/>
  <c r="Q951" i="17"/>
  <c r="AJ951" i="17"/>
  <c r="T951" i="17"/>
  <c r="AH951" i="17"/>
  <c r="P951" i="17"/>
  <c r="Y951" i="17"/>
  <c r="V951" i="17"/>
  <c r="AM951" i="17"/>
  <c r="U951" i="17"/>
  <c r="AK951" i="17"/>
  <c r="AE951" i="17"/>
  <c r="AB951" i="17"/>
  <c r="M951" i="17"/>
  <c r="L951" i="17"/>
  <c r="J951" i="17"/>
  <c r="X997" i="17"/>
  <c r="J1119" i="17"/>
  <c r="J1138" i="17"/>
  <c r="AB1144" i="17"/>
  <c r="AO1190" i="17"/>
  <c r="J1210" i="17"/>
  <c r="J1220" i="17"/>
  <c r="AN1330" i="17"/>
  <c r="AF1330" i="17"/>
  <c r="X1330" i="17"/>
  <c r="P1330" i="17"/>
  <c r="AM1330" i="17"/>
  <c r="AE1330" i="17"/>
  <c r="W1330" i="17"/>
  <c r="O1330" i="17"/>
  <c r="AR1330" i="17"/>
  <c r="AH1330" i="17"/>
  <c r="V1330" i="17"/>
  <c r="L1330" i="17"/>
  <c r="AQ1330" i="17"/>
  <c r="AG1330" i="17"/>
  <c r="U1330" i="17"/>
  <c r="K1330" i="17"/>
  <c r="AP1330" i="17"/>
  <c r="AB1330" i="17"/>
  <c r="N1330" i="17"/>
  <c r="AO1330" i="17"/>
  <c r="AA1330" i="17"/>
  <c r="M1330" i="17"/>
  <c r="AI1330" i="17"/>
  <c r="Q1330" i="17"/>
  <c r="AD1330" i="17"/>
  <c r="J1330" i="17"/>
  <c r="AC1330" i="17"/>
  <c r="Z1330" i="17"/>
  <c r="Y1330" i="17"/>
  <c r="AL1330" i="17"/>
  <c r="AK1330" i="17"/>
  <c r="AJ1330" i="17"/>
  <c r="T1330" i="17"/>
  <c r="S1330" i="17"/>
  <c r="AL1447" i="17"/>
  <c r="AD1447" i="17"/>
  <c r="V1447" i="17"/>
  <c r="N1447" i="17"/>
  <c r="AK1447" i="17"/>
  <c r="AC1447" i="17"/>
  <c r="U1447" i="17"/>
  <c r="M1447" i="17"/>
  <c r="AN1447" i="17"/>
  <c r="AB1447" i="17"/>
  <c r="R1447" i="17"/>
  <c r="AM1447" i="17"/>
  <c r="AA1447" i="17"/>
  <c r="Q1447" i="17"/>
  <c r="AP1447" i="17"/>
  <c r="Z1447" i="17"/>
  <c r="L1447" i="17"/>
  <c r="AO1447" i="17"/>
  <c r="Y1447" i="17"/>
  <c r="K1447" i="17"/>
  <c r="AH1447" i="17"/>
  <c r="P1447" i="17"/>
  <c r="AG1447" i="17"/>
  <c r="O1447" i="17"/>
  <c r="AE1447" i="17"/>
  <c r="X1447" i="17"/>
  <c r="T1447" i="17"/>
  <c r="S1447" i="17"/>
  <c r="AR1447" i="17"/>
  <c r="J1447" i="17"/>
  <c r="AI1447" i="17"/>
  <c r="AF1447" i="17"/>
  <c r="W1447" i="17"/>
  <c r="AQ1447" i="17"/>
  <c r="AJ1447" i="17"/>
  <c r="I5559" i="16"/>
  <c r="T5559" i="16"/>
  <c r="I5567" i="16"/>
  <c r="T5567" i="16"/>
  <c r="I5575" i="16"/>
  <c r="T5575" i="16"/>
  <c r="I5583" i="16"/>
  <c r="T5583" i="16"/>
  <c r="I5591" i="16"/>
  <c r="T5591" i="16"/>
  <c r="I5599" i="16"/>
  <c r="T5599" i="16"/>
  <c r="I5607" i="16"/>
  <c r="T5607" i="16"/>
  <c r="I5615" i="16"/>
  <c r="T5615" i="16"/>
  <c r="I5623" i="16"/>
  <c r="T5623" i="16"/>
  <c r="I5631" i="16"/>
  <c r="T5631" i="16"/>
  <c r="I5639" i="16"/>
  <c r="T5639" i="16"/>
  <c r="I5647" i="16"/>
  <c r="T5647" i="16"/>
  <c r="I5655" i="16"/>
  <c r="T5655" i="16"/>
  <c r="I5663" i="16"/>
  <c r="T5663" i="16"/>
  <c r="I5671" i="16"/>
  <c r="T5671" i="16"/>
  <c r="I5679" i="16"/>
  <c r="T5679" i="16"/>
  <c r="I5687" i="16"/>
  <c r="T5687" i="16"/>
  <c r="I5695" i="16"/>
  <c r="T5695" i="16"/>
  <c r="I5703" i="16"/>
  <c r="T5703" i="16"/>
  <c r="I5711" i="16"/>
  <c r="T5711" i="16"/>
  <c r="I5719" i="16"/>
  <c r="T5719" i="16"/>
  <c r="I5727" i="16"/>
  <c r="T5727" i="16"/>
  <c r="I5735" i="16"/>
  <c r="T5735" i="16"/>
  <c r="I5743" i="16"/>
  <c r="T5743" i="16"/>
  <c r="I5751" i="16"/>
  <c r="T5751" i="16"/>
  <c r="I5759" i="16"/>
  <c r="T5759" i="16"/>
  <c r="I5767" i="16"/>
  <c r="T5767" i="16"/>
  <c r="I5775" i="16"/>
  <c r="T5775" i="16"/>
  <c r="I5783" i="16"/>
  <c r="T5783" i="16"/>
  <c r="I5791" i="16"/>
  <c r="T5791" i="16"/>
  <c r="I5799" i="16"/>
  <c r="T5799" i="16"/>
  <c r="I5807" i="16"/>
  <c r="T5807" i="16"/>
  <c r="I5815" i="16"/>
  <c r="T5815" i="16"/>
  <c r="I5823" i="16"/>
  <c r="T5823" i="16"/>
  <c r="I5831" i="16"/>
  <c r="T5831" i="16"/>
  <c r="I5839" i="16"/>
  <c r="T5839" i="16"/>
  <c r="I5847" i="16"/>
  <c r="T5847" i="16"/>
  <c r="I5855" i="16"/>
  <c r="T5855" i="16"/>
  <c r="I5863" i="16"/>
  <c r="T5863" i="16"/>
  <c r="I5871" i="16"/>
  <c r="T5871" i="16"/>
  <c r="I5879" i="16"/>
  <c r="T5879" i="16"/>
  <c r="I5887" i="16"/>
  <c r="T5887" i="16"/>
  <c r="N5905" i="16"/>
  <c r="F5905" i="16"/>
  <c r="J5905" i="16"/>
  <c r="P5919" i="16"/>
  <c r="H5919" i="16"/>
  <c r="J5919" i="16"/>
  <c r="O5928" i="16"/>
  <c r="G5928" i="16"/>
  <c r="N5928" i="16"/>
  <c r="F5928" i="16"/>
  <c r="K5928" i="16"/>
  <c r="L5931" i="16"/>
  <c r="K5931" i="16"/>
  <c r="I5931" i="16"/>
  <c r="O5936" i="16"/>
  <c r="G5936" i="16"/>
  <c r="N5936" i="16"/>
  <c r="F5936" i="16"/>
  <c r="K5936" i="16"/>
  <c r="L5939" i="16"/>
  <c r="K5939" i="16"/>
  <c r="I5939" i="16"/>
  <c r="O5944" i="16"/>
  <c r="G5944" i="16"/>
  <c r="N5944" i="16"/>
  <c r="F5944" i="16"/>
  <c r="K5944" i="16"/>
  <c r="L5947" i="16"/>
  <c r="K5947" i="16"/>
  <c r="I5947" i="16"/>
  <c r="O5952" i="16"/>
  <c r="G5952" i="16"/>
  <c r="N5952" i="16"/>
  <c r="F5952" i="16"/>
  <c r="K5952" i="16"/>
  <c r="L5955" i="16"/>
  <c r="K5955" i="16"/>
  <c r="I5955" i="16"/>
  <c r="O5960" i="16"/>
  <c r="G5960" i="16"/>
  <c r="N5960" i="16"/>
  <c r="F5960" i="16"/>
  <c r="K5960" i="16"/>
  <c r="L5963" i="16"/>
  <c r="K5963" i="16"/>
  <c r="I5963" i="16"/>
  <c r="O5968" i="16"/>
  <c r="G5968" i="16"/>
  <c r="N5968" i="16"/>
  <c r="F5968" i="16"/>
  <c r="K5968" i="16"/>
  <c r="L5971" i="16"/>
  <c r="K5971" i="16"/>
  <c r="I5971" i="16"/>
  <c r="O5976" i="16"/>
  <c r="G5976" i="16"/>
  <c r="N5976" i="16"/>
  <c r="F5976" i="16"/>
  <c r="K5976" i="16"/>
  <c r="L5979" i="16"/>
  <c r="K5979" i="16"/>
  <c r="I5979" i="16"/>
  <c r="O5984" i="16"/>
  <c r="G5984" i="16"/>
  <c r="N5984" i="16"/>
  <c r="F5984" i="16"/>
  <c r="K5984" i="16"/>
  <c r="L5987" i="16"/>
  <c r="K5987" i="16"/>
  <c r="I5987" i="16"/>
  <c r="O5992" i="16"/>
  <c r="G5992" i="16"/>
  <c r="N5992" i="16"/>
  <c r="F5992" i="16"/>
  <c r="K5992" i="16"/>
  <c r="L5995" i="16"/>
  <c r="K5995" i="16"/>
  <c r="I5995" i="16"/>
  <c r="O6000" i="16"/>
  <c r="G6000" i="16"/>
  <c r="N6000" i="16"/>
  <c r="F6000" i="16"/>
  <c r="K6000" i="16"/>
  <c r="V12" i="17"/>
  <c r="N12" i="17"/>
  <c r="AC12" i="17"/>
  <c r="U12" i="17"/>
  <c r="AH12" i="17" s="1"/>
  <c r="M12" i="17"/>
  <c r="AE12" i="17" s="1"/>
  <c r="S12" i="17"/>
  <c r="AO12" i="17"/>
  <c r="V28" i="17"/>
  <c r="N28" i="17"/>
  <c r="AC28" i="17"/>
  <c r="U28" i="17"/>
  <c r="AH28" i="17" s="1"/>
  <c r="M28" i="17"/>
  <c r="AD28" i="17" s="1"/>
  <c r="S28" i="17"/>
  <c r="AO28" i="17"/>
  <c r="AD44" i="17"/>
  <c r="V44" i="17"/>
  <c r="N44" i="17"/>
  <c r="AC44" i="17"/>
  <c r="U44" i="17"/>
  <c r="AH44" i="17" s="1"/>
  <c r="M44" i="17"/>
  <c r="AE44" i="17" s="1"/>
  <c r="S44" i="17"/>
  <c r="AO44" i="17"/>
  <c r="AD60" i="17"/>
  <c r="V60" i="17"/>
  <c r="N60" i="17"/>
  <c r="AC60" i="17"/>
  <c r="U60" i="17"/>
  <c r="AH60" i="17" s="1"/>
  <c r="M60" i="17"/>
  <c r="AE60" i="17" s="1"/>
  <c r="S60" i="17"/>
  <c r="AO60" i="17"/>
  <c r="V76" i="17"/>
  <c r="N76" i="17"/>
  <c r="AC76" i="17"/>
  <c r="U76" i="17"/>
  <c r="M76" i="17"/>
  <c r="AE76" i="17" s="1"/>
  <c r="S76" i="17"/>
  <c r="AO76" i="17"/>
  <c r="V92" i="17"/>
  <c r="N92" i="17"/>
  <c r="AC92" i="17"/>
  <c r="U92" i="17"/>
  <c r="AH92" i="17" s="1"/>
  <c r="M92" i="17"/>
  <c r="AD92" i="17" s="1"/>
  <c r="S92" i="17"/>
  <c r="AO92" i="17"/>
  <c r="V108" i="17"/>
  <c r="N108" i="17"/>
  <c r="AC108" i="17"/>
  <c r="U108" i="17"/>
  <c r="AH108" i="17" s="1"/>
  <c r="M108" i="17"/>
  <c r="AE108" i="17" s="1"/>
  <c r="S108" i="17"/>
  <c r="AO108" i="17"/>
  <c r="V124" i="17"/>
  <c r="N124" i="17"/>
  <c r="AC124" i="17"/>
  <c r="U124" i="17"/>
  <c r="AH124" i="17" s="1"/>
  <c r="M124" i="17"/>
  <c r="S124" i="17"/>
  <c r="AO124" i="17"/>
  <c r="V140" i="17"/>
  <c r="N140" i="17"/>
  <c r="AC140" i="17"/>
  <c r="U140" i="17"/>
  <c r="M140" i="17"/>
  <c r="S140" i="17"/>
  <c r="AO140" i="17"/>
  <c r="V156" i="17"/>
  <c r="N156" i="17"/>
  <c r="AC156" i="17"/>
  <c r="U156" i="17"/>
  <c r="AH156" i="17" s="1"/>
  <c r="M156" i="17"/>
  <c r="AD156" i="17" s="1"/>
  <c r="S156" i="17"/>
  <c r="AO156" i="17"/>
  <c r="V172" i="17"/>
  <c r="N172" i="17"/>
  <c r="AC172" i="17"/>
  <c r="U172" i="17"/>
  <c r="AH172" i="17" s="1"/>
  <c r="M172" i="17"/>
  <c r="S172" i="17"/>
  <c r="AO172" i="17"/>
  <c r="AL188" i="17"/>
  <c r="AD188" i="17"/>
  <c r="V188" i="17"/>
  <c r="N188" i="17"/>
  <c r="AK188" i="17"/>
  <c r="AC188" i="17"/>
  <c r="U188" i="17"/>
  <c r="M188" i="17"/>
  <c r="S188" i="17"/>
  <c r="AE188" i="17"/>
  <c r="AO188" i="17"/>
  <c r="AL204" i="17"/>
  <c r="AD204" i="17"/>
  <c r="V204" i="17"/>
  <c r="N204" i="17"/>
  <c r="AK204" i="17"/>
  <c r="AC204" i="17"/>
  <c r="U204" i="17"/>
  <c r="M204" i="17"/>
  <c r="S204" i="17"/>
  <c r="AE204" i="17"/>
  <c r="AO204" i="17"/>
  <c r="AL220" i="17"/>
  <c r="AD220" i="17"/>
  <c r="V220" i="17"/>
  <c r="N220" i="17"/>
  <c r="AK220" i="17"/>
  <c r="AC220" i="17"/>
  <c r="U220" i="17"/>
  <c r="M220" i="17"/>
  <c r="S220" i="17"/>
  <c r="AE220" i="17"/>
  <c r="AO220" i="17"/>
  <c r="AL236" i="17"/>
  <c r="AD236" i="17"/>
  <c r="V236" i="17"/>
  <c r="N236" i="17"/>
  <c r="AK236" i="17"/>
  <c r="AC236" i="17"/>
  <c r="U236" i="17"/>
  <c r="M236" i="17"/>
  <c r="S236" i="17"/>
  <c r="AE236" i="17"/>
  <c r="AO236" i="17"/>
  <c r="AL256" i="17"/>
  <c r="AD256" i="17"/>
  <c r="V256" i="17"/>
  <c r="N256" i="17"/>
  <c r="AK256" i="17"/>
  <c r="AC256" i="17"/>
  <c r="U256" i="17"/>
  <c r="M256" i="17"/>
  <c r="AM256" i="17"/>
  <c r="AA256" i="17"/>
  <c r="Q256" i="17"/>
  <c r="AJ256" i="17"/>
  <c r="Z256" i="17"/>
  <c r="P256" i="17"/>
  <c r="AI256" i="17"/>
  <c r="Y256" i="17"/>
  <c r="O256" i="17"/>
  <c r="X256" i="17"/>
  <c r="AP256" i="17"/>
  <c r="AL272" i="17"/>
  <c r="AD272" i="17"/>
  <c r="V272" i="17"/>
  <c r="N272" i="17"/>
  <c r="AK272" i="17"/>
  <c r="AC272" i="17"/>
  <c r="U272" i="17"/>
  <c r="M272" i="17"/>
  <c r="AM272" i="17"/>
  <c r="AA272" i="17"/>
  <c r="Q272" i="17"/>
  <c r="AJ272" i="17"/>
  <c r="Z272" i="17"/>
  <c r="P272" i="17"/>
  <c r="AI272" i="17"/>
  <c r="Y272" i="17"/>
  <c r="O272" i="17"/>
  <c r="X272" i="17"/>
  <c r="AP272" i="17"/>
  <c r="AL288" i="17"/>
  <c r="AD288" i="17"/>
  <c r="V288" i="17"/>
  <c r="N288" i="17"/>
  <c r="AK288" i="17"/>
  <c r="AC288" i="17"/>
  <c r="U288" i="17"/>
  <c r="M288" i="17"/>
  <c r="AM288" i="17"/>
  <c r="AA288" i="17"/>
  <c r="Q288" i="17"/>
  <c r="AJ288" i="17"/>
  <c r="Z288" i="17"/>
  <c r="P288" i="17"/>
  <c r="AI288" i="17"/>
  <c r="Y288" i="17"/>
  <c r="O288" i="17"/>
  <c r="X288" i="17"/>
  <c r="AP288" i="17"/>
  <c r="AL304" i="17"/>
  <c r="AD304" i="17"/>
  <c r="V304" i="17"/>
  <c r="N304" i="17"/>
  <c r="AK304" i="17"/>
  <c r="AC304" i="17"/>
  <c r="U304" i="17"/>
  <c r="M304" i="17"/>
  <c r="AM304" i="17"/>
  <c r="AA304" i="17"/>
  <c r="Q304" i="17"/>
  <c r="AJ304" i="17"/>
  <c r="Z304" i="17"/>
  <c r="P304" i="17"/>
  <c r="AI304" i="17"/>
  <c r="Y304" i="17"/>
  <c r="O304" i="17"/>
  <c r="X304" i="17"/>
  <c r="AP304" i="17"/>
  <c r="AL320" i="17"/>
  <c r="AD320" i="17"/>
  <c r="V320" i="17"/>
  <c r="N320" i="17"/>
  <c r="AK320" i="17"/>
  <c r="AC320" i="17"/>
  <c r="U320" i="17"/>
  <c r="M320" i="17"/>
  <c r="AM320" i="17"/>
  <c r="AA320" i="17"/>
  <c r="Q320" i="17"/>
  <c r="AJ320" i="17"/>
  <c r="Z320" i="17"/>
  <c r="P320" i="17"/>
  <c r="AI320" i="17"/>
  <c r="Y320" i="17"/>
  <c r="O320" i="17"/>
  <c r="X320" i="17"/>
  <c r="AP320" i="17"/>
  <c r="AL336" i="17"/>
  <c r="AD336" i="17"/>
  <c r="V336" i="17"/>
  <c r="N336" i="17"/>
  <c r="AK336" i="17"/>
  <c r="AC336" i="17"/>
  <c r="U336" i="17"/>
  <c r="M336" i="17"/>
  <c r="AM336" i="17"/>
  <c r="AA336" i="17"/>
  <c r="Q336" i="17"/>
  <c r="AJ336" i="17"/>
  <c r="Z336" i="17"/>
  <c r="P336" i="17"/>
  <c r="AI336" i="17"/>
  <c r="Y336" i="17"/>
  <c r="O336" i="17"/>
  <c r="X336" i="17"/>
  <c r="AP336" i="17"/>
  <c r="AL360" i="17"/>
  <c r="AD360" i="17"/>
  <c r="V360" i="17"/>
  <c r="N360" i="17"/>
  <c r="AK360" i="17"/>
  <c r="AC360" i="17"/>
  <c r="U360" i="17"/>
  <c r="M360" i="17"/>
  <c r="AR360" i="17"/>
  <c r="AH360" i="17"/>
  <c r="X360" i="17"/>
  <c r="L360" i="17"/>
  <c r="AQ360" i="17"/>
  <c r="AG360" i="17"/>
  <c r="W360" i="17"/>
  <c r="K360" i="17"/>
  <c r="AP360" i="17"/>
  <c r="AF360" i="17"/>
  <c r="T360" i="17"/>
  <c r="J360" i="17"/>
  <c r="AA360" i="17"/>
  <c r="AL362" i="17"/>
  <c r="AD362" i="17"/>
  <c r="V362" i="17"/>
  <c r="N362" i="17"/>
  <c r="AK362" i="17"/>
  <c r="AC362" i="17"/>
  <c r="U362" i="17"/>
  <c r="M362" i="17"/>
  <c r="AN362" i="17"/>
  <c r="AB362" i="17"/>
  <c r="R362" i="17"/>
  <c r="AM362" i="17"/>
  <c r="AA362" i="17"/>
  <c r="Q362" i="17"/>
  <c r="AJ362" i="17"/>
  <c r="Z362" i="17"/>
  <c r="P362" i="17"/>
  <c r="X362" i="17"/>
  <c r="AP362" i="17"/>
  <c r="AL392" i="17"/>
  <c r="AD392" i="17"/>
  <c r="V392" i="17"/>
  <c r="N392" i="17"/>
  <c r="AK392" i="17"/>
  <c r="AC392" i="17"/>
  <c r="U392" i="17"/>
  <c r="M392" i="17"/>
  <c r="AR392" i="17"/>
  <c r="AH392" i="17"/>
  <c r="X392" i="17"/>
  <c r="L392" i="17"/>
  <c r="AQ392" i="17"/>
  <c r="AG392" i="17"/>
  <c r="W392" i="17"/>
  <c r="K392" i="17"/>
  <c r="AP392" i="17"/>
  <c r="AF392" i="17"/>
  <c r="T392" i="17"/>
  <c r="J392" i="17"/>
  <c r="AA392" i="17"/>
  <c r="AL394" i="17"/>
  <c r="AD394" i="17"/>
  <c r="V394" i="17"/>
  <c r="N394" i="17"/>
  <c r="AK394" i="17"/>
  <c r="AC394" i="17"/>
  <c r="U394" i="17"/>
  <c r="M394" i="17"/>
  <c r="AN394" i="17"/>
  <c r="AB394" i="17"/>
  <c r="R394" i="17"/>
  <c r="AM394" i="17"/>
  <c r="AA394" i="17"/>
  <c r="Q394" i="17"/>
  <c r="AJ394" i="17"/>
  <c r="Z394" i="17"/>
  <c r="P394" i="17"/>
  <c r="X394" i="17"/>
  <c r="AP394" i="17"/>
  <c r="AL396" i="17"/>
  <c r="AD396" i="17"/>
  <c r="V396" i="17"/>
  <c r="N396" i="17"/>
  <c r="AK396" i="17"/>
  <c r="AC396" i="17"/>
  <c r="U396" i="17"/>
  <c r="M396" i="17"/>
  <c r="AM396" i="17"/>
  <c r="AA396" i="17"/>
  <c r="Q396" i="17"/>
  <c r="AJ396" i="17"/>
  <c r="Z396" i="17"/>
  <c r="P396" i="17"/>
  <c r="AI396" i="17"/>
  <c r="Y396" i="17"/>
  <c r="O396" i="17"/>
  <c r="X396" i="17"/>
  <c r="AP396" i="17"/>
  <c r="AL412" i="17"/>
  <c r="AD412" i="17"/>
  <c r="V412" i="17"/>
  <c r="N412" i="17"/>
  <c r="AK412" i="17"/>
  <c r="AC412" i="17"/>
  <c r="U412" i="17"/>
  <c r="M412" i="17"/>
  <c r="AM412" i="17"/>
  <c r="AA412" i="17"/>
  <c r="Q412" i="17"/>
  <c r="AJ412" i="17"/>
  <c r="Z412" i="17"/>
  <c r="P412" i="17"/>
  <c r="AI412" i="17"/>
  <c r="Y412" i="17"/>
  <c r="O412" i="17"/>
  <c r="X412" i="17"/>
  <c r="AP412" i="17"/>
  <c r="AL428" i="17"/>
  <c r="AD428" i="17"/>
  <c r="V428" i="17"/>
  <c r="N428" i="17"/>
  <c r="AK428" i="17"/>
  <c r="AC428" i="17"/>
  <c r="U428" i="17"/>
  <c r="M428" i="17"/>
  <c r="AM428" i="17"/>
  <c r="AA428" i="17"/>
  <c r="Q428" i="17"/>
  <c r="AJ428" i="17"/>
  <c r="Z428" i="17"/>
  <c r="P428" i="17"/>
  <c r="AI428" i="17"/>
  <c r="Y428" i="17"/>
  <c r="O428" i="17"/>
  <c r="X428" i="17"/>
  <c r="AP428" i="17"/>
  <c r="AL444" i="17"/>
  <c r="AD444" i="17"/>
  <c r="V444" i="17"/>
  <c r="N444" i="17"/>
  <c r="AK444" i="17"/>
  <c r="AC444" i="17"/>
  <c r="U444" i="17"/>
  <c r="M444" i="17"/>
  <c r="AM444" i="17"/>
  <c r="AA444" i="17"/>
  <c r="Q444" i="17"/>
  <c r="AJ444" i="17"/>
  <c r="Z444" i="17"/>
  <c r="P444" i="17"/>
  <c r="AI444" i="17"/>
  <c r="Y444" i="17"/>
  <c r="O444" i="17"/>
  <c r="X444" i="17"/>
  <c r="AP444" i="17"/>
  <c r="AL460" i="17"/>
  <c r="AD460" i="17"/>
  <c r="V460" i="17"/>
  <c r="N460" i="17"/>
  <c r="AK460" i="17"/>
  <c r="AC460" i="17"/>
  <c r="U460" i="17"/>
  <c r="M460" i="17"/>
  <c r="AM460" i="17"/>
  <c r="AA460" i="17"/>
  <c r="Q460" i="17"/>
  <c r="AJ460" i="17"/>
  <c r="Z460" i="17"/>
  <c r="P460" i="17"/>
  <c r="AI460" i="17"/>
  <c r="Y460" i="17"/>
  <c r="O460" i="17"/>
  <c r="X460" i="17"/>
  <c r="AP460" i="17"/>
  <c r="AL476" i="17"/>
  <c r="AD476" i="17"/>
  <c r="V476" i="17"/>
  <c r="N476" i="17"/>
  <c r="AK476" i="17"/>
  <c r="AC476" i="17"/>
  <c r="U476" i="17"/>
  <c r="M476" i="17"/>
  <c r="AM476" i="17"/>
  <c r="AA476" i="17"/>
  <c r="Q476" i="17"/>
  <c r="AJ476" i="17"/>
  <c r="Z476" i="17"/>
  <c r="P476" i="17"/>
  <c r="AI476" i="17"/>
  <c r="Y476" i="17"/>
  <c r="O476" i="17"/>
  <c r="X476" i="17"/>
  <c r="AP476" i="17"/>
  <c r="AL492" i="17"/>
  <c r="AD492" i="17"/>
  <c r="V492" i="17"/>
  <c r="N492" i="17"/>
  <c r="AK492" i="17"/>
  <c r="AC492" i="17"/>
  <c r="U492" i="17"/>
  <c r="M492" i="17"/>
  <c r="AM492" i="17"/>
  <c r="AA492" i="17"/>
  <c r="Q492" i="17"/>
  <c r="AJ492" i="17"/>
  <c r="Z492" i="17"/>
  <c r="P492" i="17"/>
  <c r="AI492" i="17"/>
  <c r="Y492" i="17"/>
  <c r="O492" i="17"/>
  <c r="X492" i="17"/>
  <c r="AP492" i="17"/>
  <c r="AL508" i="17"/>
  <c r="AD508" i="17"/>
  <c r="V508" i="17"/>
  <c r="N508" i="17"/>
  <c r="AK508" i="17"/>
  <c r="AC508" i="17"/>
  <c r="U508" i="17"/>
  <c r="M508" i="17"/>
  <c r="AM508" i="17"/>
  <c r="AA508" i="17"/>
  <c r="Q508" i="17"/>
  <c r="AJ508" i="17"/>
  <c r="Z508" i="17"/>
  <c r="P508" i="17"/>
  <c r="AI508" i="17"/>
  <c r="Y508" i="17"/>
  <c r="O508" i="17"/>
  <c r="X508" i="17"/>
  <c r="AP508" i="17"/>
  <c r="AL524" i="17"/>
  <c r="AD524" i="17"/>
  <c r="V524" i="17"/>
  <c r="N524" i="17"/>
  <c r="AK524" i="17"/>
  <c r="AC524" i="17"/>
  <c r="U524" i="17"/>
  <c r="M524" i="17"/>
  <c r="AM524" i="17"/>
  <c r="AA524" i="17"/>
  <c r="Q524" i="17"/>
  <c r="AJ524" i="17"/>
  <c r="Z524" i="17"/>
  <c r="P524" i="17"/>
  <c r="AI524" i="17"/>
  <c r="Y524" i="17"/>
  <c r="O524" i="17"/>
  <c r="X524" i="17"/>
  <c r="AP524" i="17"/>
  <c r="AL540" i="17"/>
  <c r="AD540" i="17"/>
  <c r="V540" i="17"/>
  <c r="N540" i="17"/>
  <c r="AK540" i="17"/>
  <c r="AC540" i="17"/>
  <c r="U540" i="17"/>
  <c r="M540" i="17"/>
  <c r="AM540" i="17"/>
  <c r="AA540" i="17"/>
  <c r="Q540" i="17"/>
  <c r="AJ540" i="17"/>
  <c r="Z540" i="17"/>
  <c r="P540" i="17"/>
  <c r="AI540" i="17"/>
  <c r="Y540" i="17"/>
  <c r="O540" i="17"/>
  <c r="X540" i="17"/>
  <c r="AP540" i="17"/>
  <c r="AL556" i="17"/>
  <c r="AD556" i="17"/>
  <c r="V556" i="17"/>
  <c r="N556" i="17"/>
  <c r="AK556" i="17"/>
  <c r="AC556" i="17"/>
  <c r="U556" i="17"/>
  <c r="M556" i="17"/>
  <c r="AM556" i="17"/>
  <c r="AA556" i="17"/>
  <c r="Q556" i="17"/>
  <c r="AJ556" i="17"/>
  <c r="Z556" i="17"/>
  <c r="P556" i="17"/>
  <c r="AI556" i="17"/>
  <c r="Y556" i="17"/>
  <c r="O556" i="17"/>
  <c r="X556" i="17"/>
  <c r="AP556" i="17"/>
  <c r="AL572" i="17"/>
  <c r="AD572" i="17"/>
  <c r="V572" i="17"/>
  <c r="N572" i="17"/>
  <c r="AK572" i="17"/>
  <c r="AC572" i="17"/>
  <c r="U572" i="17"/>
  <c r="M572" i="17"/>
  <c r="AM572" i="17"/>
  <c r="AA572" i="17"/>
  <c r="Q572" i="17"/>
  <c r="AJ572" i="17"/>
  <c r="Z572" i="17"/>
  <c r="P572" i="17"/>
  <c r="AI572" i="17"/>
  <c r="Y572" i="17"/>
  <c r="O572" i="17"/>
  <c r="X572" i="17"/>
  <c r="AP572" i="17"/>
  <c r="AL588" i="17"/>
  <c r="AD588" i="17"/>
  <c r="V588" i="17"/>
  <c r="N588" i="17"/>
  <c r="AK588" i="17"/>
  <c r="AC588" i="17"/>
  <c r="U588" i="17"/>
  <c r="M588" i="17"/>
  <c r="AM588" i="17"/>
  <c r="AA588" i="17"/>
  <c r="Q588" i="17"/>
  <c r="AJ588" i="17"/>
  <c r="Z588" i="17"/>
  <c r="P588" i="17"/>
  <c r="AI588" i="17"/>
  <c r="Y588" i="17"/>
  <c r="O588" i="17"/>
  <c r="X588" i="17"/>
  <c r="AP588" i="17"/>
  <c r="AK604" i="17"/>
  <c r="AC604" i="17"/>
  <c r="U604" i="17"/>
  <c r="M604" i="17"/>
  <c r="AM604" i="17"/>
  <c r="AD604" i="17"/>
  <c r="T604" i="17"/>
  <c r="K604" i="17"/>
  <c r="AL604" i="17"/>
  <c r="AB604" i="17"/>
  <c r="S604" i="17"/>
  <c r="J604" i="17"/>
  <c r="AQ604" i="17"/>
  <c r="AF604" i="17"/>
  <c r="R604" i="17"/>
  <c r="AP604" i="17"/>
  <c r="AE604" i="17"/>
  <c r="Q604" i="17"/>
  <c r="AO604" i="17"/>
  <c r="AA604" i="17"/>
  <c r="P604" i="17"/>
  <c r="Z604" i="17"/>
  <c r="AK636" i="17"/>
  <c r="AC636" i="17"/>
  <c r="U636" i="17"/>
  <c r="M636" i="17"/>
  <c r="AR636" i="17"/>
  <c r="AJ636" i="17"/>
  <c r="AB636" i="17"/>
  <c r="T636" i="17"/>
  <c r="L636" i="17"/>
  <c r="AL636" i="17"/>
  <c r="Z636" i="17"/>
  <c r="P636" i="17"/>
  <c r="AI636" i="17"/>
  <c r="Y636" i="17"/>
  <c r="O636" i="17"/>
  <c r="AH636" i="17"/>
  <c r="V636" i="17"/>
  <c r="AG636" i="17"/>
  <c r="R636" i="17"/>
  <c r="AF636" i="17"/>
  <c r="Q636" i="17"/>
  <c r="AE636" i="17"/>
  <c r="N636" i="17"/>
  <c r="AM636" i="17"/>
  <c r="AK672" i="17"/>
  <c r="AC672" i="17"/>
  <c r="U672" i="17"/>
  <c r="M672" i="17"/>
  <c r="AR672" i="17"/>
  <c r="AJ672" i="17"/>
  <c r="AB672" i="17"/>
  <c r="T672" i="17"/>
  <c r="L672" i="17"/>
  <c r="AN672" i="17"/>
  <c r="AD672" i="17"/>
  <c r="R672" i="17"/>
  <c r="AM672" i="17"/>
  <c r="AA672" i="17"/>
  <c r="Q672" i="17"/>
  <c r="AO672" i="17"/>
  <c r="Y672" i="17"/>
  <c r="K672" i="17"/>
  <c r="AE672" i="17"/>
  <c r="N672" i="17"/>
  <c r="AI672" i="17"/>
  <c r="S672" i="17"/>
  <c r="AH672" i="17"/>
  <c r="P672" i="17"/>
  <c r="AG672" i="17"/>
  <c r="O672" i="17"/>
  <c r="AP672" i="17"/>
  <c r="AK770" i="17"/>
  <c r="AC770" i="17"/>
  <c r="U770" i="17"/>
  <c r="M770" i="17"/>
  <c r="AR770" i="17"/>
  <c r="AJ770" i="17"/>
  <c r="AB770" i="17"/>
  <c r="T770" i="17"/>
  <c r="L770" i="17"/>
  <c r="AI770" i="17"/>
  <c r="Y770" i="17"/>
  <c r="O770" i="17"/>
  <c r="AH770" i="17"/>
  <c r="X770" i="17"/>
  <c r="N770" i="17"/>
  <c r="AP770" i="17"/>
  <c r="AD770" i="17"/>
  <c r="P770" i="17"/>
  <c r="AF770" i="17"/>
  <c r="Q770" i="17"/>
  <c r="AE770" i="17"/>
  <c r="K770" i="17"/>
  <c r="AQ770" i="17"/>
  <c r="AA770" i="17"/>
  <c r="J770" i="17"/>
  <c r="V770" i="17"/>
  <c r="AO770" i="17"/>
  <c r="S770" i="17"/>
  <c r="AN770" i="17"/>
  <c r="R770" i="17"/>
  <c r="AQ867" i="17"/>
  <c r="AI867" i="17"/>
  <c r="AA867" i="17"/>
  <c r="S867" i="17"/>
  <c r="K867" i="17"/>
  <c r="AN867" i="17"/>
  <c r="AE867" i="17"/>
  <c r="V867" i="17"/>
  <c r="M867" i="17"/>
  <c r="AM867" i="17"/>
  <c r="AD867" i="17"/>
  <c r="U867" i="17"/>
  <c r="L867" i="17"/>
  <c r="AP867" i="17"/>
  <c r="AC867" i="17"/>
  <c r="Q867" i="17"/>
  <c r="AO867" i="17"/>
  <c r="AB867" i="17"/>
  <c r="P867" i="17"/>
  <c r="AL867" i="17"/>
  <c r="X867" i="17"/>
  <c r="AK867" i="17"/>
  <c r="W867" i="17"/>
  <c r="Z867" i="17"/>
  <c r="Y867" i="17"/>
  <c r="T867" i="17"/>
  <c r="AF867" i="17"/>
  <c r="R867" i="17"/>
  <c r="O867" i="17"/>
  <c r="AQ913" i="17"/>
  <c r="AI913" i="17"/>
  <c r="AA913" i="17"/>
  <c r="S913" i="17"/>
  <c r="K913" i="17"/>
  <c r="AM913" i="17"/>
  <c r="AD913" i="17"/>
  <c r="U913" i="17"/>
  <c r="L913" i="17"/>
  <c r="AL913" i="17"/>
  <c r="AC913" i="17"/>
  <c r="T913" i="17"/>
  <c r="J913" i="17"/>
  <c r="AP913" i="17"/>
  <c r="AE913" i="17"/>
  <c r="Q913" i="17"/>
  <c r="AO913" i="17"/>
  <c r="AB913" i="17"/>
  <c r="P913" i="17"/>
  <c r="AJ913" i="17"/>
  <c r="V913" i="17"/>
  <c r="AH913" i="17"/>
  <c r="R913" i="17"/>
  <c r="Y913" i="17"/>
  <c r="X913" i="17"/>
  <c r="AR913" i="17"/>
  <c r="W913" i="17"/>
  <c r="O913" i="17"/>
  <c r="N913" i="17"/>
  <c r="M913" i="17"/>
  <c r="AQ935" i="17"/>
  <c r="AI935" i="17"/>
  <c r="AA935" i="17"/>
  <c r="S935" i="17"/>
  <c r="K935" i="17"/>
  <c r="AP935" i="17"/>
  <c r="AG935" i="17"/>
  <c r="X935" i="17"/>
  <c r="O935" i="17"/>
  <c r="AO935" i="17"/>
  <c r="AF935" i="17"/>
  <c r="W935" i="17"/>
  <c r="N935" i="17"/>
  <c r="AL935" i="17"/>
  <c r="Z935" i="17"/>
  <c r="M935" i="17"/>
  <c r="AK935" i="17"/>
  <c r="Y935" i="17"/>
  <c r="L935" i="17"/>
  <c r="AD935" i="17"/>
  <c r="P935" i="17"/>
  <c r="AC935" i="17"/>
  <c r="J935" i="17"/>
  <c r="AR935" i="17"/>
  <c r="U935" i="17"/>
  <c r="AN935" i="17"/>
  <c r="T935" i="17"/>
  <c r="AM935" i="17"/>
  <c r="R935" i="17"/>
  <c r="AB935" i="17"/>
  <c r="V935" i="17"/>
  <c r="Q935" i="17"/>
  <c r="AQ979" i="17"/>
  <c r="AI979" i="17"/>
  <c r="AA979" i="17"/>
  <c r="S979" i="17"/>
  <c r="K979" i="17"/>
  <c r="AN979" i="17"/>
  <c r="AE979" i="17"/>
  <c r="V979" i="17"/>
  <c r="M979" i="17"/>
  <c r="AM979" i="17"/>
  <c r="AD979" i="17"/>
  <c r="U979" i="17"/>
  <c r="L979" i="17"/>
  <c r="AK979" i="17"/>
  <c r="Y979" i="17"/>
  <c r="N979" i="17"/>
  <c r="AJ979" i="17"/>
  <c r="X979" i="17"/>
  <c r="J979" i="17"/>
  <c r="AG979" i="17"/>
  <c r="Q979" i="17"/>
  <c r="AF979" i="17"/>
  <c r="P979" i="17"/>
  <c r="AR979" i="17"/>
  <c r="W979" i="17"/>
  <c r="AP979" i="17"/>
  <c r="T979" i="17"/>
  <c r="AO979" i="17"/>
  <c r="R979" i="17"/>
  <c r="AC979" i="17"/>
  <c r="AB979" i="17"/>
  <c r="Z979" i="17"/>
  <c r="AM982" i="17"/>
  <c r="AE982" i="17"/>
  <c r="W982" i="17"/>
  <c r="O982" i="17"/>
  <c r="AP982" i="17"/>
  <c r="AG982" i="17"/>
  <c r="X982" i="17"/>
  <c r="N982" i="17"/>
  <c r="AO982" i="17"/>
  <c r="AF982" i="17"/>
  <c r="V982" i="17"/>
  <c r="M982" i="17"/>
  <c r="AL982" i="17"/>
  <c r="AA982" i="17"/>
  <c r="P982" i="17"/>
  <c r="AK982" i="17"/>
  <c r="Z982" i="17"/>
  <c r="L982" i="17"/>
  <c r="AN982" i="17"/>
  <c r="U982" i="17"/>
  <c r="AJ982" i="17"/>
  <c r="T982" i="17"/>
  <c r="AR982" i="17"/>
  <c r="S982" i="17"/>
  <c r="AQ982" i="17"/>
  <c r="R982" i="17"/>
  <c r="AI982" i="17"/>
  <c r="Q982" i="17"/>
  <c r="AD982" i="17"/>
  <c r="AC982" i="17"/>
  <c r="AB982" i="17"/>
  <c r="AR1061" i="17"/>
  <c r="AJ1061" i="17"/>
  <c r="AB1061" i="17"/>
  <c r="T1061" i="17"/>
  <c r="L1061" i="17"/>
  <c r="AQ1061" i="17"/>
  <c r="AI1061" i="17"/>
  <c r="AA1061" i="17"/>
  <c r="S1061" i="17"/>
  <c r="K1061" i="17"/>
  <c r="AK1061" i="17"/>
  <c r="Y1061" i="17"/>
  <c r="O1061" i="17"/>
  <c r="AH1061" i="17"/>
  <c r="X1061" i="17"/>
  <c r="N1061" i="17"/>
  <c r="AF1061" i="17"/>
  <c r="R1061" i="17"/>
  <c r="AE1061" i="17"/>
  <c r="Q1061" i="17"/>
  <c r="AO1061" i="17"/>
  <c r="W1061" i="17"/>
  <c r="AN1061" i="17"/>
  <c r="V1061" i="17"/>
  <c r="Z1061" i="17"/>
  <c r="U1061" i="17"/>
  <c r="AP1061" i="17"/>
  <c r="P1061" i="17"/>
  <c r="AG1061" i="17"/>
  <c r="AD1061" i="17"/>
  <c r="AC1061" i="17"/>
  <c r="AR1093" i="17"/>
  <c r="AJ1093" i="17"/>
  <c r="AB1093" i="17"/>
  <c r="T1093" i="17"/>
  <c r="L1093" i="17"/>
  <c r="AQ1093" i="17"/>
  <c r="AI1093" i="17"/>
  <c r="AA1093" i="17"/>
  <c r="S1093" i="17"/>
  <c r="K1093" i="17"/>
  <c r="AK1093" i="17"/>
  <c r="Y1093" i="17"/>
  <c r="O1093" i="17"/>
  <c r="AH1093" i="17"/>
  <c r="X1093" i="17"/>
  <c r="N1093" i="17"/>
  <c r="AF1093" i="17"/>
  <c r="R1093" i="17"/>
  <c r="AE1093" i="17"/>
  <c r="Q1093" i="17"/>
  <c r="AG1093" i="17"/>
  <c r="M1093" i="17"/>
  <c r="AD1093" i="17"/>
  <c r="J1093" i="17"/>
  <c r="AL1093" i="17"/>
  <c r="AC1093" i="17"/>
  <c r="Z1093" i="17"/>
  <c r="AN1093" i="17"/>
  <c r="AM1093" i="17"/>
  <c r="W1093" i="17"/>
  <c r="AR1125" i="17"/>
  <c r="AJ1125" i="17"/>
  <c r="AB1125" i="17"/>
  <c r="T1125" i="17"/>
  <c r="L1125" i="17"/>
  <c r="AQ1125" i="17"/>
  <c r="AI1125" i="17"/>
  <c r="AA1125" i="17"/>
  <c r="S1125" i="17"/>
  <c r="K1125" i="17"/>
  <c r="AK1125" i="17"/>
  <c r="Y1125" i="17"/>
  <c r="O1125" i="17"/>
  <c r="AH1125" i="17"/>
  <c r="X1125" i="17"/>
  <c r="N1125" i="17"/>
  <c r="AF1125" i="17"/>
  <c r="R1125" i="17"/>
  <c r="AE1125" i="17"/>
  <c r="Q1125" i="17"/>
  <c r="AO1125" i="17"/>
  <c r="W1125" i="17"/>
  <c r="AN1125" i="17"/>
  <c r="V1125" i="17"/>
  <c r="U1125" i="17"/>
  <c r="AP1125" i="17"/>
  <c r="P1125" i="17"/>
  <c r="AM1125" i="17"/>
  <c r="M1125" i="17"/>
  <c r="AD1125" i="17"/>
  <c r="AC1125" i="17"/>
  <c r="Z1125" i="17"/>
  <c r="AR1135" i="17"/>
  <c r="AJ1135" i="17"/>
  <c r="AB1135" i="17"/>
  <c r="T1135" i="17"/>
  <c r="L1135" i="17"/>
  <c r="AQ1135" i="17"/>
  <c r="AI1135" i="17"/>
  <c r="AA1135" i="17"/>
  <c r="S1135" i="17"/>
  <c r="K1135" i="17"/>
  <c r="AM1135" i="17"/>
  <c r="AC1135" i="17"/>
  <c r="Q1135" i="17"/>
  <c r="AL1135" i="17"/>
  <c r="Z1135" i="17"/>
  <c r="P1135" i="17"/>
  <c r="AP1135" i="17"/>
  <c r="AD1135" i="17"/>
  <c r="N1135" i="17"/>
  <c r="AO1135" i="17"/>
  <c r="Y1135" i="17"/>
  <c r="M1135" i="17"/>
  <c r="AG1135" i="17"/>
  <c r="O1135" i="17"/>
  <c r="AF1135" i="17"/>
  <c r="J1135" i="17"/>
  <c r="V1135" i="17"/>
  <c r="U1135" i="17"/>
  <c r="AN1135" i="17"/>
  <c r="R1135" i="17"/>
  <c r="AK1135" i="17"/>
  <c r="AH1135" i="17"/>
  <c r="AR1159" i="17"/>
  <c r="AJ1159" i="17"/>
  <c r="AB1159" i="17"/>
  <c r="T1159" i="17"/>
  <c r="L1159" i="17"/>
  <c r="AQ1159" i="17"/>
  <c r="AI1159" i="17"/>
  <c r="AA1159" i="17"/>
  <c r="S1159" i="17"/>
  <c r="K1159" i="17"/>
  <c r="AM1159" i="17"/>
  <c r="AC1159" i="17"/>
  <c r="Q1159" i="17"/>
  <c r="AL1159" i="17"/>
  <c r="Z1159" i="17"/>
  <c r="P1159" i="17"/>
  <c r="AF1159" i="17"/>
  <c r="R1159" i="17"/>
  <c r="AE1159" i="17"/>
  <c r="O1159" i="17"/>
  <c r="AH1159" i="17"/>
  <c r="N1159" i="17"/>
  <c r="AG1159" i="17"/>
  <c r="M1159" i="17"/>
  <c r="AD1159" i="17"/>
  <c r="Y1159" i="17"/>
  <c r="X1159" i="17"/>
  <c r="AN1159" i="17"/>
  <c r="AK1159" i="17"/>
  <c r="W1159" i="17"/>
  <c r="AR1203" i="17"/>
  <c r="AJ1203" i="17"/>
  <c r="AB1203" i="17"/>
  <c r="T1203" i="17"/>
  <c r="L1203" i="17"/>
  <c r="AQ1203" i="17"/>
  <c r="AI1203" i="17"/>
  <c r="AA1203" i="17"/>
  <c r="S1203" i="17"/>
  <c r="K1203" i="17"/>
  <c r="AN1203" i="17"/>
  <c r="AD1203" i="17"/>
  <c r="R1203" i="17"/>
  <c r="AM1203" i="17"/>
  <c r="AC1203" i="17"/>
  <c r="Q1203" i="17"/>
  <c r="AH1203" i="17"/>
  <c r="V1203" i="17"/>
  <c r="AG1203" i="17"/>
  <c r="U1203" i="17"/>
  <c r="AK1203" i="17"/>
  <c r="O1203" i="17"/>
  <c r="AF1203" i="17"/>
  <c r="N1203" i="17"/>
  <c r="Y1203" i="17"/>
  <c r="X1203" i="17"/>
  <c r="W1203" i="17"/>
  <c r="AL1203" i="17"/>
  <c r="AE1203" i="17"/>
  <c r="Z1203" i="17"/>
  <c r="AP1203" i="17"/>
  <c r="AN1222" i="17"/>
  <c r="AF1222" i="17"/>
  <c r="X1222" i="17"/>
  <c r="P1222" i="17"/>
  <c r="AM1222" i="17"/>
  <c r="AE1222" i="17"/>
  <c r="W1222" i="17"/>
  <c r="O1222" i="17"/>
  <c r="AL1222" i="17"/>
  <c r="AB1222" i="17"/>
  <c r="R1222" i="17"/>
  <c r="AK1222" i="17"/>
  <c r="AA1222" i="17"/>
  <c r="Q1222" i="17"/>
  <c r="AG1222" i="17"/>
  <c r="S1222" i="17"/>
  <c r="AR1222" i="17"/>
  <c r="AD1222" i="17"/>
  <c r="N1222" i="17"/>
  <c r="AP1222" i="17"/>
  <c r="V1222" i="17"/>
  <c r="AO1222" i="17"/>
  <c r="U1222" i="17"/>
  <c r="AQ1222" i="17"/>
  <c r="M1222" i="17"/>
  <c r="AJ1222" i="17"/>
  <c r="L1222" i="17"/>
  <c r="AI1222" i="17"/>
  <c r="K1222" i="17"/>
  <c r="Z1222" i="17"/>
  <c r="Y1222" i="17"/>
  <c r="T1222" i="17"/>
  <c r="AK1714" i="17"/>
  <c r="AC1714" i="17"/>
  <c r="U1714" i="17"/>
  <c r="M1714" i="17"/>
  <c r="AR1714" i="17"/>
  <c r="AJ1714" i="17"/>
  <c r="AB1714" i="17"/>
  <c r="T1714" i="17"/>
  <c r="L1714" i="17"/>
  <c r="AL1714" i="17"/>
  <c r="Z1714" i="17"/>
  <c r="P1714" i="17"/>
  <c r="AI1714" i="17"/>
  <c r="Y1714" i="17"/>
  <c r="O1714" i="17"/>
  <c r="AQ1714" i="17"/>
  <c r="AE1714" i="17"/>
  <c r="Q1714" i="17"/>
  <c r="AP1714" i="17"/>
  <c r="AD1714" i="17"/>
  <c r="N1714" i="17"/>
  <c r="AH1714" i="17"/>
  <c r="R1714" i="17"/>
  <c r="AG1714" i="17"/>
  <c r="K1714" i="17"/>
  <c r="W1714" i="17"/>
  <c r="V1714" i="17"/>
  <c r="X1714" i="17"/>
  <c r="S1714" i="17"/>
  <c r="J1714" i="17"/>
  <c r="AN1714" i="17"/>
  <c r="AM1714" i="17"/>
  <c r="AF1714" i="17"/>
  <c r="AO1714" i="17"/>
  <c r="AA1714" i="17"/>
  <c r="AK1985" i="17"/>
  <c r="AC1985" i="17"/>
  <c r="U1985" i="17"/>
  <c r="M1985" i="17"/>
  <c r="AO1985" i="17"/>
  <c r="AF1985" i="17"/>
  <c r="W1985" i="17"/>
  <c r="N1985" i="17"/>
  <c r="AI1985" i="17"/>
  <c r="Y1985" i="17"/>
  <c r="O1985" i="17"/>
  <c r="AR1985" i="17"/>
  <c r="AH1985" i="17"/>
  <c r="X1985" i="17"/>
  <c r="L1985" i="17"/>
  <c r="AQ1985" i="17"/>
  <c r="AD1985" i="17"/>
  <c r="Q1985" i="17"/>
  <c r="AP1985" i="17"/>
  <c r="AB1985" i="17"/>
  <c r="P1985" i="17"/>
  <c r="AG1985" i="17"/>
  <c r="K1985" i="17"/>
  <c r="AE1985" i="17"/>
  <c r="J1985" i="17"/>
  <c r="AA1985" i="17"/>
  <c r="Z1985" i="17"/>
  <c r="AL1985" i="17"/>
  <c r="AJ1985" i="17"/>
  <c r="S1985" i="17"/>
  <c r="R1985" i="17"/>
  <c r="AN1985" i="17"/>
  <c r="AM1985" i="17"/>
  <c r="V1985" i="17"/>
  <c r="T1985" i="17"/>
  <c r="I5032" i="16"/>
  <c r="T5032" i="16"/>
  <c r="I5040" i="16"/>
  <c r="T5040" i="16"/>
  <c r="I5048" i="16"/>
  <c r="T5048" i="16"/>
  <c r="I5056" i="16"/>
  <c r="T5056" i="16"/>
  <c r="I5064" i="16"/>
  <c r="T5064" i="16"/>
  <c r="I5072" i="16"/>
  <c r="T5072" i="16"/>
  <c r="I5080" i="16"/>
  <c r="T5080" i="16"/>
  <c r="I5088" i="16"/>
  <c r="T5088" i="16"/>
  <c r="I5096" i="16"/>
  <c r="T5096" i="16"/>
  <c r="I5104" i="16"/>
  <c r="T5104" i="16"/>
  <c r="I5112" i="16"/>
  <c r="T5112" i="16"/>
  <c r="I5120" i="16"/>
  <c r="T5120" i="16"/>
  <c r="I5128" i="16"/>
  <c r="T5128" i="16"/>
  <c r="I5136" i="16"/>
  <c r="T5136" i="16"/>
  <c r="I5144" i="16"/>
  <c r="T5144" i="16"/>
  <c r="I5152" i="16"/>
  <c r="T5152" i="16"/>
  <c r="I5160" i="16"/>
  <c r="T5160" i="16"/>
  <c r="I5168" i="16"/>
  <c r="T5168" i="16"/>
  <c r="I5176" i="16"/>
  <c r="T5176" i="16"/>
  <c r="I5184" i="16"/>
  <c r="T5184" i="16"/>
  <c r="I5192" i="16"/>
  <c r="T5192" i="16"/>
  <c r="I5200" i="16"/>
  <c r="T5200" i="16"/>
  <c r="I5208" i="16"/>
  <c r="T5208" i="16"/>
  <c r="I5216" i="16"/>
  <c r="T5216" i="16"/>
  <c r="I5224" i="16"/>
  <c r="T5224" i="16"/>
  <c r="I5232" i="16"/>
  <c r="T5232" i="16"/>
  <c r="I5240" i="16"/>
  <c r="T5240" i="16"/>
  <c r="I5248" i="16"/>
  <c r="T5248" i="16"/>
  <c r="I5256" i="16"/>
  <c r="T5256" i="16"/>
  <c r="I5264" i="16"/>
  <c r="T5264" i="16"/>
  <c r="I5272" i="16"/>
  <c r="T5272" i="16"/>
  <c r="I5280" i="16"/>
  <c r="T5280" i="16"/>
  <c r="I5288" i="16"/>
  <c r="T5288" i="16"/>
  <c r="I5296" i="16"/>
  <c r="T5296" i="16"/>
  <c r="I5304" i="16"/>
  <c r="T5304" i="16"/>
  <c r="I5312" i="16"/>
  <c r="T5312" i="16"/>
  <c r="I5320" i="16"/>
  <c r="T5320" i="16"/>
  <c r="I5328" i="16"/>
  <c r="T5328" i="16"/>
  <c r="I5336" i="16"/>
  <c r="T5336" i="16"/>
  <c r="I5344" i="16"/>
  <c r="T5344" i="16"/>
  <c r="I5352" i="16"/>
  <c r="T5352" i="16"/>
  <c r="I5360" i="16"/>
  <c r="T5360" i="16"/>
  <c r="I5368" i="16"/>
  <c r="T5368" i="16"/>
  <c r="I5376" i="16"/>
  <c r="T5376" i="16"/>
  <c r="I5384" i="16"/>
  <c r="T5384" i="16"/>
  <c r="I5392" i="16"/>
  <c r="T5392" i="16"/>
  <c r="I5400" i="16"/>
  <c r="T5400" i="16"/>
  <c r="I5408" i="16"/>
  <c r="T5408" i="16"/>
  <c r="I5416" i="16"/>
  <c r="T5416" i="16"/>
  <c r="I5424" i="16"/>
  <c r="T5424" i="16"/>
  <c r="I5432" i="16"/>
  <c r="T5432" i="16"/>
  <c r="I5440" i="16"/>
  <c r="T5440" i="16"/>
  <c r="I5448" i="16"/>
  <c r="T5448" i="16"/>
  <c r="I5456" i="16"/>
  <c r="T5456" i="16"/>
  <c r="I5464" i="16"/>
  <c r="T5464" i="16"/>
  <c r="I5472" i="16"/>
  <c r="T5472" i="16"/>
  <c r="I5480" i="16"/>
  <c r="T5480" i="16"/>
  <c r="I5488" i="16"/>
  <c r="T5488" i="16"/>
  <c r="I5496" i="16"/>
  <c r="T5496" i="16"/>
  <c r="I5504" i="16"/>
  <c r="T5504" i="16"/>
  <c r="I5512" i="16"/>
  <c r="T5512" i="16"/>
  <c r="I5520" i="16"/>
  <c r="T5520" i="16"/>
  <c r="I5528" i="16"/>
  <c r="T5528" i="16"/>
  <c r="I5536" i="16"/>
  <c r="T5536" i="16"/>
  <c r="I5544" i="16"/>
  <c r="T5544" i="16"/>
  <c r="I5552" i="16"/>
  <c r="T5552" i="16"/>
  <c r="J5559" i="16"/>
  <c r="I5560" i="16"/>
  <c r="T5560" i="16"/>
  <c r="J5567" i="16"/>
  <c r="I5568" i="16"/>
  <c r="T5568" i="16"/>
  <c r="J5575" i="16"/>
  <c r="I5576" i="16"/>
  <c r="T5576" i="16"/>
  <c r="J5583" i="16"/>
  <c r="I5584" i="16"/>
  <c r="T5584" i="16"/>
  <c r="J5591" i="16"/>
  <c r="I5592" i="16"/>
  <c r="T5592" i="16"/>
  <c r="J5599" i="16"/>
  <c r="I5600" i="16"/>
  <c r="T5600" i="16"/>
  <c r="J5607" i="16"/>
  <c r="I5608" i="16"/>
  <c r="T5608" i="16"/>
  <c r="J5615" i="16"/>
  <c r="I5616" i="16"/>
  <c r="T5616" i="16"/>
  <c r="J5623" i="16"/>
  <c r="I5624" i="16"/>
  <c r="T5624" i="16"/>
  <c r="J5631" i="16"/>
  <c r="I5632" i="16"/>
  <c r="T5632" i="16"/>
  <c r="J5639" i="16"/>
  <c r="I5640" i="16"/>
  <c r="T5640" i="16"/>
  <c r="J5647" i="16"/>
  <c r="I5648" i="16"/>
  <c r="T5648" i="16"/>
  <c r="J5655" i="16"/>
  <c r="I5656" i="16"/>
  <c r="T5656" i="16"/>
  <c r="J5663" i="16"/>
  <c r="I5664" i="16"/>
  <c r="T5664" i="16"/>
  <c r="J5671" i="16"/>
  <c r="I5672" i="16"/>
  <c r="T5672" i="16"/>
  <c r="J5679" i="16"/>
  <c r="I5680" i="16"/>
  <c r="T5680" i="16"/>
  <c r="J5687" i="16"/>
  <c r="I5688" i="16"/>
  <c r="T5688" i="16"/>
  <c r="J5695" i="16"/>
  <c r="I5696" i="16"/>
  <c r="T5696" i="16"/>
  <c r="J5703" i="16"/>
  <c r="I5704" i="16"/>
  <c r="T5704" i="16"/>
  <c r="J5711" i="16"/>
  <c r="I5712" i="16"/>
  <c r="T5712" i="16"/>
  <c r="J5719" i="16"/>
  <c r="I5720" i="16"/>
  <c r="T5720" i="16"/>
  <c r="J5727" i="16"/>
  <c r="I5728" i="16"/>
  <c r="T5728" i="16"/>
  <c r="J5735" i="16"/>
  <c r="I5736" i="16"/>
  <c r="T5736" i="16"/>
  <c r="J5743" i="16"/>
  <c r="I5744" i="16"/>
  <c r="T5744" i="16"/>
  <c r="J5751" i="16"/>
  <c r="I5752" i="16"/>
  <c r="T5752" i="16"/>
  <c r="J5759" i="16"/>
  <c r="I5760" i="16"/>
  <c r="T5760" i="16"/>
  <c r="J5767" i="16"/>
  <c r="I5768" i="16"/>
  <c r="T5768" i="16"/>
  <c r="J5775" i="16"/>
  <c r="I5776" i="16"/>
  <c r="T5776" i="16"/>
  <c r="J5783" i="16"/>
  <c r="I5784" i="16"/>
  <c r="T5784" i="16"/>
  <c r="J5791" i="16"/>
  <c r="I5792" i="16"/>
  <c r="T5792" i="16"/>
  <c r="J5799" i="16"/>
  <c r="I5800" i="16"/>
  <c r="T5800" i="16"/>
  <c r="J5807" i="16"/>
  <c r="I5808" i="16"/>
  <c r="T5808" i="16"/>
  <c r="J5815" i="16"/>
  <c r="I5816" i="16"/>
  <c r="T5816" i="16"/>
  <c r="J5823" i="16"/>
  <c r="I5824" i="16"/>
  <c r="T5824" i="16"/>
  <c r="J5831" i="16"/>
  <c r="I5832" i="16"/>
  <c r="T5832" i="16"/>
  <c r="J5839" i="16"/>
  <c r="I5840" i="16"/>
  <c r="T5840" i="16"/>
  <c r="J5847" i="16"/>
  <c r="I5848" i="16"/>
  <c r="T5848" i="16"/>
  <c r="J5855" i="16"/>
  <c r="I5856" i="16"/>
  <c r="T5856" i="16"/>
  <c r="J5863" i="16"/>
  <c r="I5864" i="16"/>
  <c r="T5864" i="16"/>
  <c r="J5871" i="16"/>
  <c r="I5872" i="16"/>
  <c r="T5872" i="16"/>
  <c r="J5879" i="16"/>
  <c r="I5880" i="16"/>
  <c r="T5880" i="16"/>
  <c r="J5887" i="16"/>
  <c r="I5888" i="16"/>
  <c r="T5888" i="16"/>
  <c r="O5904" i="16"/>
  <c r="G5904" i="16"/>
  <c r="J5904" i="16"/>
  <c r="K5905" i="16"/>
  <c r="I5915" i="16"/>
  <c r="I5916" i="16"/>
  <c r="I5917" i="16"/>
  <c r="K5919" i="16"/>
  <c r="L5928" i="16"/>
  <c r="J5931" i="16"/>
  <c r="L5936" i="16"/>
  <c r="J5939" i="16"/>
  <c r="L5944" i="16"/>
  <c r="J5947" i="16"/>
  <c r="L5952" i="16"/>
  <c r="J5955" i="16"/>
  <c r="L5960" i="16"/>
  <c r="J5963" i="16"/>
  <c r="L5968" i="16"/>
  <c r="J5971" i="16"/>
  <c r="L5976" i="16"/>
  <c r="J5979" i="16"/>
  <c r="L5984" i="16"/>
  <c r="J5987" i="16"/>
  <c r="L5992" i="16"/>
  <c r="J5995" i="16"/>
  <c r="L6000" i="16"/>
  <c r="V10" i="17"/>
  <c r="N10" i="17"/>
  <c r="AC10" i="17"/>
  <c r="U10" i="17"/>
  <c r="M10" i="17"/>
  <c r="AE10" i="17" s="1"/>
  <c r="S10" i="17"/>
  <c r="AO10" i="17"/>
  <c r="J12" i="17"/>
  <c r="T12" i="17"/>
  <c r="AF12" i="17"/>
  <c r="AP12" i="17"/>
  <c r="V26" i="17"/>
  <c r="N26" i="17"/>
  <c r="AC26" i="17"/>
  <c r="U26" i="17"/>
  <c r="M26" i="17"/>
  <c r="AD26" i="17" s="1"/>
  <c r="S26" i="17"/>
  <c r="AO26" i="17"/>
  <c r="J28" i="17"/>
  <c r="T28" i="17"/>
  <c r="AF28" i="17"/>
  <c r="V42" i="17"/>
  <c r="N42" i="17"/>
  <c r="AC42" i="17"/>
  <c r="U42" i="17"/>
  <c r="M42" i="17"/>
  <c r="AE42" i="17" s="1"/>
  <c r="S42" i="17"/>
  <c r="AO42" i="17"/>
  <c r="J44" i="17"/>
  <c r="T44" i="17"/>
  <c r="V58" i="17"/>
  <c r="N58" i="17"/>
  <c r="AC58" i="17"/>
  <c r="U58" i="17"/>
  <c r="M58" i="17"/>
  <c r="S58" i="17"/>
  <c r="AO58" i="17"/>
  <c r="J60" i="17"/>
  <c r="T60" i="17"/>
  <c r="V74" i="17"/>
  <c r="N74" i="17"/>
  <c r="AC74" i="17"/>
  <c r="U74" i="17"/>
  <c r="M74" i="17"/>
  <c r="AE74" i="17" s="1"/>
  <c r="S74" i="17"/>
  <c r="AO74" i="17"/>
  <c r="J76" i="17"/>
  <c r="T76" i="17"/>
  <c r="V90" i="17"/>
  <c r="N90" i="17"/>
  <c r="AC90" i="17"/>
  <c r="U90" i="17"/>
  <c r="M90" i="17"/>
  <c r="S90" i="17"/>
  <c r="AO90" i="17"/>
  <c r="J92" i="17"/>
  <c r="T92" i="17"/>
  <c r="V106" i="17"/>
  <c r="N106" i="17"/>
  <c r="AC106" i="17"/>
  <c r="U106" i="17"/>
  <c r="M106" i="17"/>
  <c r="AE106" i="17" s="1"/>
  <c r="S106" i="17"/>
  <c r="AO106" i="17"/>
  <c r="J108" i="17"/>
  <c r="T108" i="17"/>
  <c r="AF108" i="17"/>
  <c r="AP108" i="17"/>
  <c r="V122" i="17"/>
  <c r="N122" i="17"/>
  <c r="AC122" i="17"/>
  <c r="U122" i="17"/>
  <c r="M122" i="17"/>
  <c r="S122" i="17"/>
  <c r="AO122" i="17"/>
  <c r="J124" i="17"/>
  <c r="T124" i="17"/>
  <c r="R136" i="17"/>
  <c r="AB136" i="17"/>
  <c r="V138" i="17"/>
  <c r="N138" i="17"/>
  <c r="AC138" i="17"/>
  <c r="U138" i="17"/>
  <c r="M138" i="17"/>
  <c r="S138" i="17"/>
  <c r="AO138" i="17"/>
  <c r="J140" i="17"/>
  <c r="T140" i="17"/>
  <c r="R152" i="17"/>
  <c r="AB152" i="17"/>
  <c r="V154" i="17"/>
  <c r="N154" i="17"/>
  <c r="AC154" i="17"/>
  <c r="U154" i="17"/>
  <c r="M154" i="17"/>
  <c r="AE154" i="17" s="1"/>
  <c r="S154" i="17"/>
  <c r="AO154" i="17"/>
  <c r="J156" i="17"/>
  <c r="T156" i="17"/>
  <c r="AF156" i="17"/>
  <c r="AP156" i="17"/>
  <c r="V170" i="17"/>
  <c r="N170" i="17"/>
  <c r="AC170" i="17"/>
  <c r="U170" i="17"/>
  <c r="M170" i="17"/>
  <c r="AD170" i="17" s="1"/>
  <c r="S170" i="17"/>
  <c r="AO170" i="17"/>
  <c r="J172" i="17"/>
  <c r="T172" i="17"/>
  <c r="AL186" i="17"/>
  <c r="AD186" i="17"/>
  <c r="V186" i="17"/>
  <c r="N186" i="17"/>
  <c r="AK186" i="17"/>
  <c r="AC186" i="17"/>
  <c r="U186" i="17"/>
  <c r="M186" i="17"/>
  <c r="S186" i="17"/>
  <c r="AE186" i="17"/>
  <c r="AO186" i="17"/>
  <c r="J188" i="17"/>
  <c r="T188" i="17"/>
  <c r="AF188" i="17"/>
  <c r="AP188" i="17"/>
  <c r="AL202" i="17"/>
  <c r="AD202" i="17"/>
  <c r="V202" i="17"/>
  <c r="N202" i="17"/>
  <c r="AK202" i="17"/>
  <c r="AC202" i="17"/>
  <c r="U202" i="17"/>
  <c r="M202" i="17"/>
  <c r="S202" i="17"/>
  <c r="AE202" i="17"/>
  <c r="AO202" i="17"/>
  <c r="J204" i="17"/>
  <c r="T204" i="17"/>
  <c r="AF204" i="17"/>
  <c r="AP204" i="17"/>
  <c r="AL218" i="17"/>
  <c r="AD218" i="17"/>
  <c r="V218" i="17"/>
  <c r="N218" i="17"/>
  <c r="AK218" i="17"/>
  <c r="AC218" i="17"/>
  <c r="U218" i="17"/>
  <c r="M218" i="17"/>
  <c r="S218" i="17"/>
  <c r="AE218" i="17"/>
  <c r="AO218" i="17"/>
  <c r="J220" i="17"/>
  <c r="T220" i="17"/>
  <c r="AF220" i="17"/>
  <c r="AP220" i="17"/>
  <c r="AL234" i="17"/>
  <c r="AD234" i="17"/>
  <c r="V234" i="17"/>
  <c r="N234" i="17"/>
  <c r="AK234" i="17"/>
  <c r="AC234" i="17"/>
  <c r="U234" i="17"/>
  <c r="M234" i="17"/>
  <c r="S234" i="17"/>
  <c r="AE234" i="17"/>
  <c r="AO234" i="17"/>
  <c r="J236" i="17"/>
  <c r="T236" i="17"/>
  <c r="AF236" i="17"/>
  <c r="AP236" i="17"/>
  <c r="J256" i="17"/>
  <c r="AB256" i="17"/>
  <c r="AQ256" i="17"/>
  <c r="J272" i="17"/>
  <c r="AB272" i="17"/>
  <c r="AQ272" i="17"/>
  <c r="J288" i="17"/>
  <c r="AB288" i="17"/>
  <c r="AQ288" i="17"/>
  <c r="J304" i="17"/>
  <c r="AB304" i="17"/>
  <c r="AQ304" i="17"/>
  <c r="J320" i="17"/>
  <c r="AB320" i="17"/>
  <c r="AQ320" i="17"/>
  <c r="J336" i="17"/>
  <c r="AB336" i="17"/>
  <c r="AQ336" i="17"/>
  <c r="AL340" i="17"/>
  <c r="AD340" i="17"/>
  <c r="V340" i="17"/>
  <c r="N340" i="17"/>
  <c r="AK340" i="17"/>
  <c r="AC340" i="17"/>
  <c r="U340" i="17"/>
  <c r="M340" i="17"/>
  <c r="AR340" i="17"/>
  <c r="AH340" i="17"/>
  <c r="X340" i="17"/>
  <c r="L340" i="17"/>
  <c r="AQ340" i="17"/>
  <c r="AG340" i="17"/>
  <c r="W340" i="17"/>
  <c r="K340" i="17"/>
  <c r="AP340" i="17"/>
  <c r="AF340" i="17"/>
  <c r="T340" i="17"/>
  <c r="J340" i="17"/>
  <c r="AA340" i="17"/>
  <c r="AL342" i="17"/>
  <c r="AD342" i="17"/>
  <c r="V342" i="17"/>
  <c r="N342" i="17"/>
  <c r="AK342" i="17"/>
  <c r="AC342" i="17"/>
  <c r="U342" i="17"/>
  <c r="M342" i="17"/>
  <c r="AN342" i="17"/>
  <c r="AB342" i="17"/>
  <c r="R342" i="17"/>
  <c r="AM342" i="17"/>
  <c r="AA342" i="17"/>
  <c r="Q342" i="17"/>
  <c r="AJ342" i="17"/>
  <c r="Z342" i="17"/>
  <c r="P342" i="17"/>
  <c r="X342" i="17"/>
  <c r="AP342" i="17"/>
  <c r="O360" i="17"/>
  <c r="AB360" i="17"/>
  <c r="J362" i="17"/>
  <c r="Y362" i="17"/>
  <c r="AQ362" i="17"/>
  <c r="AL372" i="17"/>
  <c r="AD372" i="17"/>
  <c r="V372" i="17"/>
  <c r="N372" i="17"/>
  <c r="AK372" i="17"/>
  <c r="AC372" i="17"/>
  <c r="U372" i="17"/>
  <c r="M372" i="17"/>
  <c r="AR372" i="17"/>
  <c r="AH372" i="17"/>
  <c r="X372" i="17"/>
  <c r="L372" i="17"/>
  <c r="AQ372" i="17"/>
  <c r="AG372" i="17"/>
  <c r="W372" i="17"/>
  <c r="K372" i="17"/>
  <c r="AP372" i="17"/>
  <c r="AF372" i="17"/>
  <c r="T372" i="17"/>
  <c r="J372" i="17"/>
  <c r="AA372" i="17"/>
  <c r="AL374" i="17"/>
  <c r="AD374" i="17"/>
  <c r="V374" i="17"/>
  <c r="N374" i="17"/>
  <c r="AK374" i="17"/>
  <c r="AC374" i="17"/>
  <c r="U374" i="17"/>
  <c r="M374" i="17"/>
  <c r="AN374" i="17"/>
  <c r="AB374" i="17"/>
  <c r="R374" i="17"/>
  <c r="AM374" i="17"/>
  <c r="AA374" i="17"/>
  <c r="Q374" i="17"/>
  <c r="AJ374" i="17"/>
  <c r="Z374" i="17"/>
  <c r="P374" i="17"/>
  <c r="X374" i="17"/>
  <c r="AP374" i="17"/>
  <c r="O392" i="17"/>
  <c r="AB392" i="17"/>
  <c r="J394" i="17"/>
  <c r="Y394" i="17"/>
  <c r="AQ394" i="17"/>
  <c r="J396" i="17"/>
  <c r="AB396" i="17"/>
  <c r="AQ396" i="17"/>
  <c r="J412" i="17"/>
  <c r="AB412" i="17"/>
  <c r="AQ412" i="17"/>
  <c r="J428" i="17"/>
  <c r="AB428" i="17"/>
  <c r="AQ428" i="17"/>
  <c r="J444" i="17"/>
  <c r="AB444" i="17"/>
  <c r="AQ444" i="17"/>
  <c r="J460" i="17"/>
  <c r="AB460" i="17"/>
  <c r="AQ460" i="17"/>
  <c r="J476" i="17"/>
  <c r="AB476" i="17"/>
  <c r="AQ476" i="17"/>
  <c r="J492" i="17"/>
  <c r="AB492" i="17"/>
  <c r="AQ492" i="17"/>
  <c r="J508" i="17"/>
  <c r="AB508" i="17"/>
  <c r="AQ508" i="17"/>
  <c r="J524" i="17"/>
  <c r="AB524" i="17"/>
  <c r="AQ524" i="17"/>
  <c r="J556" i="17"/>
  <c r="AB556" i="17"/>
  <c r="AQ556" i="17"/>
  <c r="J572" i="17"/>
  <c r="AB572" i="17"/>
  <c r="AQ572" i="17"/>
  <c r="J588" i="17"/>
  <c r="AB588" i="17"/>
  <c r="AQ588" i="17"/>
  <c r="AK602" i="17"/>
  <c r="AC602" i="17"/>
  <c r="U602" i="17"/>
  <c r="M602" i="17"/>
  <c r="AM602" i="17"/>
  <c r="AD602" i="17"/>
  <c r="T602" i="17"/>
  <c r="K602" i="17"/>
  <c r="AL602" i="17"/>
  <c r="AB602" i="17"/>
  <c r="S602" i="17"/>
  <c r="J602" i="17"/>
  <c r="AQ602" i="17"/>
  <c r="AF602" i="17"/>
  <c r="R602" i="17"/>
  <c r="AP602" i="17"/>
  <c r="AE602" i="17"/>
  <c r="Q602" i="17"/>
  <c r="AO602" i="17"/>
  <c r="AA602" i="17"/>
  <c r="P602" i="17"/>
  <c r="Z602" i="17"/>
  <c r="L604" i="17"/>
  <c r="AG604" i="17"/>
  <c r="J636" i="17"/>
  <c r="AN636" i="17"/>
  <c r="AK654" i="17"/>
  <c r="AC654" i="17"/>
  <c r="U654" i="17"/>
  <c r="M654" i="17"/>
  <c r="AR654" i="17"/>
  <c r="AJ654" i="17"/>
  <c r="AB654" i="17"/>
  <c r="T654" i="17"/>
  <c r="L654" i="17"/>
  <c r="AQ654" i="17"/>
  <c r="AG654" i="17"/>
  <c r="W654" i="17"/>
  <c r="K654" i="17"/>
  <c r="AP654" i="17"/>
  <c r="AF654" i="17"/>
  <c r="V654" i="17"/>
  <c r="J654" i="17"/>
  <c r="AE654" i="17"/>
  <c r="Q654" i="17"/>
  <c r="AD654" i="17"/>
  <c r="O654" i="17"/>
  <c r="AM654" i="17"/>
  <c r="S654" i="17"/>
  <c r="AL654" i="17"/>
  <c r="R654" i="17"/>
  <c r="AI654" i="17"/>
  <c r="P654" i="17"/>
  <c r="AO654" i="17"/>
  <c r="J672" i="17"/>
  <c r="AQ672" i="17"/>
  <c r="AK758" i="17"/>
  <c r="AC758" i="17"/>
  <c r="U758" i="17"/>
  <c r="M758" i="17"/>
  <c r="AR758" i="17"/>
  <c r="AJ758" i="17"/>
  <c r="AB758" i="17"/>
  <c r="T758" i="17"/>
  <c r="L758" i="17"/>
  <c r="AM758" i="17"/>
  <c r="AA758" i="17"/>
  <c r="Q758" i="17"/>
  <c r="AL758" i="17"/>
  <c r="Z758" i="17"/>
  <c r="P758" i="17"/>
  <c r="AN758" i="17"/>
  <c r="X758" i="17"/>
  <c r="J758" i="17"/>
  <c r="AI758" i="17"/>
  <c r="V758" i="17"/>
  <c r="AH758" i="17"/>
  <c r="S758" i="17"/>
  <c r="AG758" i="17"/>
  <c r="R758" i="17"/>
  <c r="W758" i="17"/>
  <c r="AQ758" i="17"/>
  <c r="O758" i="17"/>
  <c r="AP758" i="17"/>
  <c r="N758" i="17"/>
  <c r="W770" i="17"/>
  <c r="AQ785" i="17"/>
  <c r="AI785" i="17"/>
  <c r="AA785" i="17"/>
  <c r="S785" i="17"/>
  <c r="K785" i="17"/>
  <c r="AM785" i="17"/>
  <c r="AD785" i="17"/>
  <c r="U785" i="17"/>
  <c r="L785" i="17"/>
  <c r="AL785" i="17"/>
  <c r="AC785" i="17"/>
  <c r="T785" i="17"/>
  <c r="J785" i="17"/>
  <c r="AP785" i="17"/>
  <c r="AE785" i="17"/>
  <c r="Q785" i="17"/>
  <c r="AO785" i="17"/>
  <c r="AB785" i="17"/>
  <c r="P785" i="17"/>
  <c r="AK785" i="17"/>
  <c r="W785" i="17"/>
  <c r="AJ785" i="17"/>
  <c r="V785" i="17"/>
  <c r="Z785" i="17"/>
  <c r="Y785" i="17"/>
  <c r="X785" i="17"/>
  <c r="AH785" i="17"/>
  <c r="AG785" i="17"/>
  <c r="AF785" i="17"/>
  <c r="AM788" i="17"/>
  <c r="AE788" i="17"/>
  <c r="W788" i="17"/>
  <c r="O788" i="17"/>
  <c r="AO788" i="17"/>
  <c r="AF788" i="17"/>
  <c r="V788" i="17"/>
  <c r="M788" i="17"/>
  <c r="AN788" i="17"/>
  <c r="AD788" i="17"/>
  <c r="U788" i="17"/>
  <c r="L788" i="17"/>
  <c r="AR788" i="17"/>
  <c r="AG788" i="17"/>
  <c r="S788" i="17"/>
  <c r="AQ788" i="17"/>
  <c r="AC788" i="17"/>
  <c r="R788" i="17"/>
  <c r="AA788" i="17"/>
  <c r="K788" i="17"/>
  <c r="AP788" i="17"/>
  <c r="Z788" i="17"/>
  <c r="J788" i="17"/>
  <c r="AB788" i="17"/>
  <c r="Y788" i="17"/>
  <c r="X788" i="17"/>
  <c r="Q788" i="17"/>
  <c r="P788" i="17"/>
  <c r="AL788" i="17"/>
  <c r="N788" i="17"/>
  <c r="AQ807" i="17"/>
  <c r="AI807" i="17"/>
  <c r="AA807" i="17"/>
  <c r="S807" i="17"/>
  <c r="K807" i="17"/>
  <c r="AP807" i="17"/>
  <c r="AG807" i="17"/>
  <c r="X807" i="17"/>
  <c r="O807" i="17"/>
  <c r="AO807" i="17"/>
  <c r="AF807" i="17"/>
  <c r="W807" i="17"/>
  <c r="N807" i="17"/>
  <c r="AL807" i="17"/>
  <c r="Z807" i="17"/>
  <c r="M807" i="17"/>
  <c r="AK807" i="17"/>
  <c r="Y807" i="17"/>
  <c r="L807" i="17"/>
  <c r="AE807" i="17"/>
  <c r="Q807" i="17"/>
  <c r="AD807" i="17"/>
  <c r="P807" i="17"/>
  <c r="V807" i="17"/>
  <c r="AR807" i="17"/>
  <c r="U807" i="17"/>
  <c r="AN807" i="17"/>
  <c r="T807" i="17"/>
  <c r="AJ807" i="17"/>
  <c r="AH807" i="17"/>
  <c r="AC807" i="17"/>
  <c r="AM840" i="17"/>
  <c r="AE840" i="17"/>
  <c r="W840" i="17"/>
  <c r="O840" i="17"/>
  <c r="AQ840" i="17"/>
  <c r="AH840" i="17"/>
  <c r="Y840" i="17"/>
  <c r="P840" i="17"/>
  <c r="AP840" i="17"/>
  <c r="AG840" i="17"/>
  <c r="X840" i="17"/>
  <c r="N840" i="17"/>
  <c r="AJ840" i="17"/>
  <c r="V840" i="17"/>
  <c r="K840" i="17"/>
  <c r="AI840" i="17"/>
  <c r="U840" i="17"/>
  <c r="J840" i="17"/>
  <c r="AF840" i="17"/>
  <c r="R840" i="17"/>
  <c r="AD840" i="17"/>
  <c r="Q840" i="17"/>
  <c r="AR840" i="17"/>
  <c r="Z840" i="17"/>
  <c r="AO840" i="17"/>
  <c r="T840" i="17"/>
  <c r="AN840" i="17"/>
  <c r="S840" i="17"/>
  <c r="AA840" i="17"/>
  <c r="M840" i="17"/>
  <c r="L840" i="17"/>
  <c r="J867" i="17"/>
  <c r="Z913" i="17"/>
  <c r="AE935" i="17"/>
  <c r="O979" i="17"/>
  <c r="J982" i="17"/>
  <c r="AM998" i="17"/>
  <c r="AE998" i="17"/>
  <c r="W998" i="17"/>
  <c r="O998" i="17"/>
  <c r="AP998" i="17"/>
  <c r="AG998" i="17"/>
  <c r="X998" i="17"/>
  <c r="N998" i="17"/>
  <c r="AO998" i="17"/>
  <c r="AF998" i="17"/>
  <c r="V998" i="17"/>
  <c r="M998" i="17"/>
  <c r="AR998" i="17"/>
  <c r="AD998" i="17"/>
  <c r="S998" i="17"/>
  <c r="AQ998" i="17"/>
  <c r="AC998" i="17"/>
  <c r="R998" i="17"/>
  <c r="AA998" i="17"/>
  <c r="K998" i="17"/>
  <c r="AN998" i="17"/>
  <c r="Z998" i="17"/>
  <c r="J998" i="17"/>
  <c r="AB998" i="17"/>
  <c r="Y998" i="17"/>
  <c r="U998" i="17"/>
  <c r="AI998" i="17"/>
  <c r="AH998" i="17"/>
  <c r="T998" i="17"/>
  <c r="AQ1019" i="17"/>
  <c r="AI1019" i="17"/>
  <c r="AA1019" i="17"/>
  <c r="S1019" i="17"/>
  <c r="K1019" i="17"/>
  <c r="AJ1019" i="17"/>
  <c r="Z1019" i="17"/>
  <c r="Q1019" i="17"/>
  <c r="AR1019" i="17"/>
  <c r="AH1019" i="17"/>
  <c r="Y1019" i="17"/>
  <c r="P1019" i="17"/>
  <c r="AM1019" i="17"/>
  <c r="AB1019" i="17"/>
  <c r="N1019" i="17"/>
  <c r="AL1019" i="17"/>
  <c r="X1019" i="17"/>
  <c r="M1019" i="17"/>
  <c r="AN1019" i="17"/>
  <c r="V1019" i="17"/>
  <c r="AK1019" i="17"/>
  <c r="U1019" i="17"/>
  <c r="AP1019" i="17"/>
  <c r="T1019" i="17"/>
  <c r="AO1019" i="17"/>
  <c r="R1019" i="17"/>
  <c r="AG1019" i="17"/>
  <c r="O1019" i="17"/>
  <c r="W1019" i="17"/>
  <c r="L1019" i="17"/>
  <c r="J1019" i="17"/>
  <c r="AQ1029" i="17"/>
  <c r="AI1029" i="17"/>
  <c r="AA1029" i="17"/>
  <c r="S1029" i="17"/>
  <c r="K1029" i="17"/>
  <c r="AO1029" i="17"/>
  <c r="AF1029" i="17"/>
  <c r="W1029" i="17"/>
  <c r="N1029" i="17"/>
  <c r="AN1029" i="17"/>
  <c r="AE1029" i="17"/>
  <c r="V1029" i="17"/>
  <c r="M1029" i="17"/>
  <c r="AM1029" i="17"/>
  <c r="AB1029" i="17"/>
  <c r="P1029" i="17"/>
  <c r="AL1029" i="17"/>
  <c r="Z1029" i="17"/>
  <c r="O1029" i="17"/>
  <c r="AG1029" i="17"/>
  <c r="Q1029" i="17"/>
  <c r="AD1029" i="17"/>
  <c r="L1029" i="17"/>
  <c r="AC1029" i="17"/>
  <c r="Y1029" i="17"/>
  <c r="X1029" i="17"/>
  <c r="U1029" i="17"/>
  <c r="T1029" i="17"/>
  <c r="R1029" i="17"/>
  <c r="AN1048" i="17"/>
  <c r="AF1048" i="17"/>
  <c r="X1048" i="17"/>
  <c r="P1048" i="17"/>
  <c r="AM1048" i="17"/>
  <c r="AE1048" i="17"/>
  <c r="W1048" i="17"/>
  <c r="O1048" i="17"/>
  <c r="AI1048" i="17"/>
  <c r="Y1048" i="17"/>
  <c r="M1048" i="17"/>
  <c r="AR1048" i="17"/>
  <c r="AH1048" i="17"/>
  <c r="V1048" i="17"/>
  <c r="L1048" i="17"/>
  <c r="AD1048" i="17"/>
  <c r="R1048" i="17"/>
  <c r="AQ1048" i="17"/>
  <c r="AC1048" i="17"/>
  <c r="Q1048" i="17"/>
  <c r="AG1048" i="17"/>
  <c r="K1048" i="17"/>
  <c r="AB1048" i="17"/>
  <c r="J1048" i="17"/>
  <c r="Z1048" i="17"/>
  <c r="U1048" i="17"/>
  <c r="AP1048" i="17"/>
  <c r="T1048" i="17"/>
  <c r="AK1048" i="17"/>
  <c r="AJ1048" i="17"/>
  <c r="AA1048" i="17"/>
  <c r="J1061" i="17"/>
  <c r="P1093" i="17"/>
  <c r="AR1099" i="17"/>
  <c r="AJ1099" i="17"/>
  <c r="AB1099" i="17"/>
  <c r="T1099" i="17"/>
  <c r="L1099" i="17"/>
  <c r="AQ1099" i="17"/>
  <c r="AI1099" i="17"/>
  <c r="AA1099" i="17"/>
  <c r="S1099" i="17"/>
  <c r="K1099" i="17"/>
  <c r="AG1099" i="17"/>
  <c r="W1099" i="17"/>
  <c r="M1099" i="17"/>
  <c r="AP1099" i="17"/>
  <c r="AF1099" i="17"/>
  <c r="V1099" i="17"/>
  <c r="J1099" i="17"/>
  <c r="AL1099" i="17"/>
  <c r="X1099" i="17"/>
  <c r="AK1099" i="17"/>
  <c r="U1099" i="17"/>
  <c r="AM1099" i="17"/>
  <c r="Q1099" i="17"/>
  <c r="AH1099" i="17"/>
  <c r="P1099" i="17"/>
  <c r="Z1099" i="17"/>
  <c r="Y1099" i="17"/>
  <c r="R1099" i="17"/>
  <c r="AO1099" i="17"/>
  <c r="AN1099" i="17"/>
  <c r="AE1099" i="17"/>
  <c r="J1125" i="17"/>
  <c r="W1135" i="17"/>
  <c r="J1159" i="17"/>
  <c r="J1203" i="17"/>
  <c r="J1222" i="17"/>
  <c r="AN1230" i="17"/>
  <c r="AF1230" i="17"/>
  <c r="X1230" i="17"/>
  <c r="P1230" i="17"/>
  <c r="AM1230" i="17"/>
  <c r="AE1230" i="17"/>
  <c r="W1230" i="17"/>
  <c r="O1230" i="17"/>
  <c r="AL1230" i="17"/>
  <c r="AB1230" i="17"/>
  <c r="R1230" i="17"/>
  <c r="AK1230" i="17"/>
  <c r="AA1230" i="17"/>
  <c r="Q1230" i="17"/>
  <c r="AO1230" i="17"/>
  <c r="Y1230" i="17"/>
  <c r="K1230" i="17"/>
  <c r="AJ1230" i="17"/>
  <c r="V1230" i="17"/>
  <c r="J1230" i="17"/>
  <c r="AQ1230" i="17"/>
  <c r="U1230" i="17"/>
  <c r="AP1230" i="17"/>
  <c r="T1230" i="17"/>
  <c r="AD1230" i="17"/>
  <c r="AC1230" i="17"/>
  <c r="Z1230" i="17"/>
  <c r="AH1230" i="17"/>
  <c r="AG1230" i="17"/>
  <c r="S1230" i="17"/>
  <c r="AI1230" i="17"/>
  <c r="N1230" i="17"/>
  <c r="M1230" i="17"/>
  <c r="AR1291" i="17"/>
  <c r="AJ1291" i="17"/>
  <c r="AB1291" i="17"/>
  <c r="T1291" i="17"/>
  <c r="L1291" i="17"/>
  <c r="AQ1291" i="17"/>
  <c r="AI1291" i="17"/>
  <c r="AA1291" i="17"/>
  <c r="S1291" i="17"/>
  <c r="K1291" i="17"/>
  <c r="AN1291" i="17"/>
  <c r="AD1291" i="17"/>
  <c r="R1291" i="17"/>
  <c r="AM1291" i="17"/>
  <c r="AC1291" i="17"/>
  <c r="Q1291" i="17"/>
  <c r="AP1291" i="17"/>
  <c r="Z1291" i="17"/>
  <c r="N1291" i="17"/>
  <c r="AO1291" i="17"/>
  <c r="Y1291" i="17"/>
  <c r="M1291" i="17"/>
  <c r="AL1291" i="17"/>
  <c r="V1291" i="17"/>
  <c r="AK1291" i="17"/>
  <c r="U1291" i="17"/>
  <c r="X1291" i="17"/>
  <c r="W1291" i="17"/>
  <c r="P1291" i="17"/>
  <c r="AG1291" i="17"/>
  <c r="AF1291" i="17"/>
  <c r="AE1291" i="17"/>
  <c r="AH1291" i="17"/>
  <c r="I4049" i="16"/>
  <c r="I4057" i="16"/>
  <c r="I4065" i="16"/>
  <c r="I4073" i="16"/>
  <c r="I4081" i="16"/>
  <c r="I4089" i="16"/>
  <c r="I4097" i="16"/>
  <c r="I4105" i="16"/>
  <c r="I4113" i="16"/>
  <c r="I4121" i="16"/>
  <c r="I4129" i="16"/>
  <c r="I4137" i="16"/>
  <c r="I4145" i="16"/>
  <c r="I4153" i="16"/>
  <c r="I4161" i="16"/>
  <c r="I4169" i="16"/>
  <c r="I4177" i="16"/>
  <c r="I4185" i="16"/>
  <c r="I4193" i="16"/>
  <c r="I4201" i="16"/>
  <c r="I4209" i="16"/>
  <c r="I4217" i="16"/>
  <c r="I4225" i="16"/>
  <c r="I4233" i="16"/>
  <c r="I4241" i="16"/>
  <c r="I4249" i="16"/>
  <c r="I4257" i="16"/>
  <c r="I4265" i="16"/>
  <c r="I4273" i="16"/>
  <c r="I4281" i="16"/>
  <c r="I4289" i="16"/>
  <c r="I4297" i="16"/>
  <c r="I4305" i="16"/>
  <c r="I4313" i="16"/>
  <c r="I4321" i="16"/>
  <c r="I4329" i="16"/>
  <c r="I4337" i="16"/>
  <c r="I4345" i="16"/>
  <c r="I4353" i="16"/>
  <c r="I4361" i="16"/>
  <c r="I4369" i="16"/>
  <c r="I4377" i="16"/>
  <c r="I4385" i="16"/>
  <c r="I4393" i="16"/>
  <c r="I4401" i="16"/>
  <c r="I4409" i="16"/>
  <c r="I4417" i="16"/>
  <c r="I4425" i="16"/>
  <c r="I4433" i="16"/>
  <c r="I4441" i="16"/>
  <c r="I4449" i="16"/>
  <c r="I4457" i="16"/>
  <c r="I4465" i="16"/>
  <c r="I4473" i="16"/>
  <c r="I4481" i="16"/>
  <c r="I4489" i="16"/>
  <c r="I4497" i="16"/>
  <c r="I4505" i="16"/>
  <c r="I4513" i="16"/>
  <c r="I4521" i="16"/>
  <c r="I4529" i="16"/>
  <c r="I4537" i="16"/>
  <c r="I4545" i="16"/>
  <c r="I4553" i="16"/>
  <c r="I4561" i="16"/>
  <c r="I4569" i="16"/>
  <c r="I4577" i="16"/>
  <c r="I4585" i="16"/>
  <c r="I4593" i="16"/>
  <c r="I4601" i="16"/>
  <c r="I4609" i="16"/>
  <c r="I4617" i="16"/>
  <c r="I4625" i="16"/>
  <c r="I4633" i="16"/>
  <c r="I4641" i="16"/>
  <c r="I4649" i="16"/>
  <c r="I4657" i="16"/>
  <c r="I4665" i="16"/>
  <c r="I4673" i="16"/>
  <c r="I4681" i="16"/>
  <c r="I4689" i="16"/>
  <c r="I4697" i="16"/>
  <c r="I4705" i="16"/>
  <c r="I4713" i="16"/>
  <c r="I4721" i="16"/>
  <c r="I4729" i="16"/>
  <c r="I4737" i="16"/>
  <c r="I4745" i="16"/>
  <c r="I4753" i="16"/>
  <c r="I4761" i="16"/>
  <c r="I4769" i="16"/>
  <c r="I4777" i="16"/>
  <c r="I4785" i="16"/>
  <c r="I4793" i="16"/>
  <c r="I4801" i="16"/>
  <c r="I4809" i="16"/>
  <c r="I4817" i="16"/>
  <c r="I4825" i="16"/>
  <c r="I4833" i="16"/>
  <c r="I4841" i="16"/>
  <c r="I4849" i="16"/>
  <c r="I4857" i="16"/>
  <c r="I4865" i="16"/>
  <c r="I4873" i="16"/>
  <c r="I4881" i="16"/>
  <c r="I4889" i="16"/>
  <c r="I4897" i="16"/>
  <c r="I4905" i="16"/>
  <c r="I4913" i="16"/>
  <c r="I4921" i="16"/>
  <c r="I4929" i="16"/>
  <c r="I4937" i="16"/>
  <c r="I4945" i="16"/>
  <c r="I4953" i="16"/>
  <c r="I4961" i="16"/>
  <c r="I4969" i="16"/>
  <c r="I4977" i="16"/>
  <c r="I4985" i="16"/>
  <c r="I4993" i="16"/>
  <c r="I5001" i="16"/>
  <c r="I5009" i="16"/>
  <c r="I5017" i="16"/>
  <c r="I5025" i="16"/>
  <c r="I5033" i="16"/>
  <c r="I5041" i="16"/>
  <c r="I5049" i="16"/>
  <c r="I5057" i="16"/>
  <c r="I5065" i="16"/>
  <c r="I5073" i="16"/>
  <c r="I5081" i="16"/>
  <c r="I5089" i="16"/>
  <c r="I5097" i="16"/>
  <c r="I5105" i="16"/>
  <c r="I5113" i="16"/>
  <c r="I5121" i="16"/>
  <c r="I5129" i="16"/>
  <c r="I5137" i="16"/>
  <c r="I5145" i="16"/>
  <c r="I5153" i="16"/>
  <c r="I5161" i="16"/>
  <c r="I5169" i="16"/>
  <c r="I5177" i="16"/>
  <c r="I5185" i="16"/>
  <c r="I5193" i="16"/>
  <c r="I5201" i="16"/>
  <c r="I5209" i="16"/>
  <c r="I5217" i="16"/>
  <c r="I5225" i="16"/>
  <c r="I5233" i="16"/>
  <c r="I5241" i="16"/>
  <c r="I5249" i="16"/>
  <c r="I5257" i="16"/>
  <c r="I5265" i="16"/>
  <c r="I5273" i="16"/>
  <c r="I5281" i="16"/>
  <c r="I5289" i="16"/>
  <c r="I5297" i="16"/>
  <c r="I5305" i="16"/>
  <c r="I5313" i="16"/>
  <c r="I5321" i="16"/>
  <c r="I5329" i="16"/>
  <c r="I5337" i="16"/>
  <c r="I5345" i="16"/>
  <c r="I5353" i="16"/>
  <c r="I5361" i="16"/>
  <c r="I5369" i="16"/>
  <c r="I5377" i="16"/>
  <c r="I5385" i="16"/>
  <c r="I5393" i="16"/>
  <c r="I5401" i="16"/>
  <c r="I5409" i="16"/>
  <c r="I5417" i="16"/>
  <c r="I5425" i="16"/>
  <c r="I5433" i="16"/>
  <c r="I5441" i="16"/>
  <c r="I5449" i="16"/>
  <c r="I5457" i="16"/>
  <c r="I5465" i="16"/>
  <c r="I5473" i="16"/>
  <c r="I5481" i="16"/>
  <c r="I5489" i="16"/>
  <c r="I5497" i="16"/>
  <c r="I5505" i="16"/>
  <c r="I5513" i="16"/>
  <c r="I5521" i="16"/>
  <c r="I5529" i="16"/>
  <c r="I5537" i="16"/>
  <c r="I5545" i="16"/>
  <c r="I5553" i="16"/>
  <c r="I5561" i="16"/>
  <c r="I5569" i="16"/>
  <c r="I5577" i="16"/>
  <c r="I5585" i="16"/>
  <c r="I5593" i="16"/>
  <c r="I5601" i="16"/>
  <c r="I5609" i="16"/>
  <c r="I5617" i="16"/>
  <c r="I5625" i="16"/>
  <c r="I5633" i="16"/>
  <c r="I5641" i="16"/>
  <c r="I5649" i="16"/>
  <c r="I5657" i="16"/>
  <c r="I5665" i="16"/>
  <c r="I5673" i="16"/>
  <c r="I5681" i="16"/>
  <c r="I5689" i="16"/>
  <c r="I5697" i="16"/>
  <c r="I5705" i="16"/>
  <c r="I5713" i="16"/>
  <c r="I5721" i="16"/>
  <c r="I5729" i="16"/>
  <c r="I5737" i="16"/>
  <c r="I5745" i="16"/>
  <c r="I5753" i="16"/>
  <c r="I5761" i="16"/>
  <c r="I5769" i="16"/>
  <c r="I5777" i="16"/>
  <c r="I5785" i="16"/>
  <c r="I5793" i="16"/>
  <c r="I5801" i="16"/>
  <c r="I5809" i="16"/>
  <c r="I5817" i="16"/>
  <c r="I5825" i="16"/>
  <c r="I5833" i="16"/>
  <c r="I5841" i="16"/>
  <c r="I5849" i="16"/>
  <c r="I5857" i="16"/>
  <c r="I5865" i="16"/>
  <c r="I5873" i="16"/>
  <c r="I5881" i="16"/>
  <c r="I5889" i="16"/>
  <c r="P5903" i="16"/>
  <c r="H5903" i="16"/>
  <c r="J5903" i="16"/>
  <c r="K5904" i="16"/>
  <c r="L5905" i="16"/>
  <c r="M5914" i="16"/>
  <c r="E5914" i="16"/>
  <c r="J5914" i="16"/>
  <c r="J5915" i="16"/>
  <c r="J5916" i="16"/>
  <c r="K5917" i="16"/>
  <c r="L5919" i="16"/>
  <c r="M5928" i="16"/>
  <c r="M5930" i="16"/>
  <c r="E5930" i="16"/>
  <c r="L5930" i="16"/>
  <c r="J5930" i="16"/>
  <c r="M5931" i="16"/>
  <c r="M5936" i="16"/>
  <c r="M5938" i="16"/>
  <c r="E5938" i="16"/>
  <c r="L5938" i="16"/>
  <c r="J5938" i="16"/>
  <c r="M5939" i="16"/>
  <c r="M5944" i="16"/>
  <c r="M5946" i="16"/>
  <c r="E5946" i="16"/>
  <c r="L5946" i="16"/>
  <c r="J5946" i="16"/>
  <c r="M5947" i="16"/>
  <c r="M5952" i="16"/>
  <c r="M5954" i="16"/>
  <c r="E5954" i="16"/>
  <c r="L5954" i="16"/>
  <c r="J5954" i="16"/>
  <c r="M5955" i="16"/>
  <c r="M5960" i="16"/>
  <c r="M5962" i="16"/>
  <c r="E5962" i="16"/>
  <c r="L5962" i="16"/>
  <c r="J5962" i="16"/>
  <c r="M5963" i="16"/>
  <c r="M5968" i="16"/>
  <c r="M5970" i="16"/>
  <c r="E5970" i="16"/>
  <c r="L5970" i="16"/>
  <c r="J5970" i="16"/>
  <c r="M5971" i="16"/>
  <c r="M5976" i="16"/>
  <c r="M5978" i="16"/>
  <c r="E5978" i="16"/>
  <c r="L5978" i="16"/>
  <c r="J5978" i="16"/>
  <c r="M5979" i="16"/>
  <c r="M5984" i="16"/>
  <c r="M5986" i="16"/>
  <c r="E5986" i="16"/>
  <c r="L5986" i="16"/>
  <c r="J5986" i="16"/>
  <c r="M5987" i="16"/>
  <c r="M5992" i="16"/>
  <c r="M5994" i="16"/>
  <c r="E5994" i="16"/>
  <c r="L5994" i="16"/>
  <c r="J5994" i="16"/>
  <c r="M5995" i="16"/>
  <c r="M6000" i="16"/>
  <c r="V8" i="17"/>
  <c r="N8" i="17"/>
  <c r="AC8" i="17"/>
  <c r="U8" i="17"/>
  <c r="AH8" i="17" s="1"/>
  <c r="M8" i="17"/>
  <c r="AD8" i="17" s="1"/>
  <c r="S8" i="17"/>
  <c r="AO8" i="17"/>
  <c r="J10" i="17"/>
  <c r="T10" i="17"/>
  <c r="K12" i="17"/>
  <c r="W12" i="17"/>
  <c r="AG12" i="17"/>
  <c r="V24" i="17"/>
  <c r="N24" i="17"/>
  <c r="AC24" i="17"/>
  <c r="U24" i="17"/>
  <c r="M24" i="17"/>
  <c r="AE24" i="17" s="1"/>
  <c r="S24" i="17"/>
  <c r="AO24" i="17"/>
  <c r="J26" i="17"/>
  <c r="T26" i="17"/>
  <c r="K28" i="17"/>
  <c r="W28" i="17"/>
  <c r="AG28" i="17"/>
  <c r="V40" i="17"/>
  <c r="N40" i="17"/>
  <c r="AC40" i="17"/>
  <c r="U40" i="17"/>
  <c r="AQ40" i="17" s="1"/>
  <c r="M40" i="17"/>
  <c r="AD40" i="17" s="1"/>
  <c r="S40" i="17"/>
  <c r="AO40" i="17"/>
  <c r="J42" i="17"/>
  <c r="T42" i="17"/>
  <c r="K44" i="17"/>
  <c r="W44" i="17"/>
  <c r="V56" i="17"/>
  <c r="N56" i="17"/>
  <c r="AC56" i="17"/>
  <c r="U56" i="17"/>
  <c r="M56" i="17"/>
  <c r="AE56" i="17" s="1"/>
  <c r="S56" i="17"/>
  <c r="AO56" i="17"/>
  <c r="J58" i="17"/>
  <c r="T58" i="17"/>
  <c r="K60" i="17"/>
  <c r="W60" i="17"/>
  <c r="AQ60" i="17"/>
  <c r="V72" i="17"/>
  <c r="N72" i="17"/>
  <c r="AC72" i="17"/>
  <c r="U72" i="17"/>
  <c r="AQ72" i="17" s="1"/>
  <c r="M72" i="17"/>
  <c r="AD72" i="17" s="1"/>
  <c r="S72" i="17"/>
  <c r="AO72" i="17"/>
  <c r="J74" i="17"/>
  <c r="T74" i="17"/>
  <c r="AF74" i="17"/>
  <c r="AP74" i="17"/>
  <c r="K76" i="17"/>
  <c r="W76" i="17"/>
  <c r="V88" i="17"/>
  <c r="N88" i="17"/>
  <c r="AC88" i="17"/>
  <c r="U88" i="17"/>
  <c r="M88" i="17"/>
  <c r="AE88" i="17" s="1"/>
  <c r="S88" i="17"/>
  <c r="AO88" i="17"/>
  <c r="J90" i="17"/>
  <c r="T90" i="17"/>
  <c r="K92" i="17"/>
  <c r="W92" i="17"/>
  <c r="V104" i="17"/>
  <c r="N104" i="17"/>
  <c r="AC104" i="17"/>
  <c r="U104" i="17"/>
  <c r="M104" i="17"/>
  <c r="AD104" i="17" s="1"/>
  <c r="S104" i="17"/>
  <c r="AE104" i="17"/>
  <c r="AO104" i="17"/>
  <c r="J106" i="17"/>
  <c r="T106" i="17"/>
  <c r="K108" i="17"/>
  <c r="W108" i="17"/>
  <c r="AG108" i="17"/>
  <c r="V120" i="17"/>
  <c r="N120" i="17"/>
  <c r="AC120" i="17"/>
  <c r="U120" i="17"/>
  <c r="M120" i="17"/>
  <c r="AE120" i="17" s="1"/>
  <c r="S120" i="17"/>
  <c r="AO120" i="17"/>
  <c r="J122" i="17"/>
  <c r="T122" i="17"/>
  <c r="K124" i="17"/>
  <c r="W124" i="17"/>
  <c r="AG124" i="17"/>
  <c r="V136" i="17"/>
  <c r="N136" i="17"/>
  <c r="AC136" i="17"/>
  <c r="U136" i="17"/>
  <c r="AH136" i="17" s="1"/>
  <c r="M136" i="17"/>
  <c r="AD136" i="17" s="1"/>
  <c r="S136" i="17"/>
  <c r="AO136" i="17"/>
  <c r="K140" i="17"/>
  <c r="W140" i="17"/>
  <c r="V152" i="17"/>
  <c r="N152" i="17"/>
  <c r="AC152" i="17"/>
  <c r="U152" i="17"/>
  <c r="M152" i="17"/>
  <c r="S152" i="17"/>
  <c r="AO152" i="17"/>
  <c r="K156" i="17"/>
  <c r="O155" i="17" s="1"/>
  <c r="AJ155" i="17" s="1"/>
  <c r="W155" i="12" s="1"/>
  <c r="W156" i="17"/>
  <c r="AG156" i="17"/>
  <c r="V168" i="17"/>
  <c r="N168" i="17"/>
  <c r="AC168" i="17"/>
  <c r="U168" i="17"/>
  <c r="AH168" i="17" s="1"/>
  <c r="M168" i="17"/>
  <c r="S168" i="17"/>
  <c r="AO168" i="17"/>
  <c r="J170" i="17"/>
  <c r="P171" i="17" s="1"/>
  <c r="T170" i="17"/>
  <c r="K172" i="17"/>
  <c r="W172" i="17"/>
  <c r="AQ172" i="17"/>
  <c r="AL184" i="17"/>
  <c r="AD184" i="17"/>
  <c r="V184" i="17"/>
  <c r="N184" i="17"/>
  <c r="AK184" i="17"/>
  <c r="AC184" i="17"/>
  <c r="U184" i="17"/>
  <c r="M184" i="17"/>
  <c r="S184" i="17"/>
  <c r="AE184" i="17"/>
  <c r="AO184" i="17"/>
  <c r="J186" i="17"/>
  <c r="T186" i="17"/>
  <c r="AF186" i="17"/>
  <c r="AP186" i="17"/>
  <c r="K188" i="17"/>
  <c r="W188" i="17"/>
  <c r="AG188" i="17"/>
  <c r="AQ188" i="17"/>
  <c r="AL200" i="17"/>
  <c r="AD200" i="17"/>
  <c r="V200" i="17"/>
  <c r="N200" i="17"/>
  <c r="AK200" i="17"/>
  <c r="AC200" i="17"/>
  <c r="U200" i="17"/>
  <c r="M200" i="17"/>
  <c r="S200" i="17"/>
  <c r="AE200" i="17"/>
  <c r="AO200" i="17"/>
  <c r="J202" i="17"/>
  <c r="T202" i="17"/>
  <c r="AF202" i="17"/>
  <c r="AP202" i="17"/>
  <c r="K204" i="17"/>
  <c r="W204" i="17"/>
  <c r="AG204" i="17"/>
  <c r="AQ204" i="17"/>
  <c r="AL216" i="17"/>
  <c r="AD216" i="17"/>
  <c r="V216" i="17"/>
  <c r="N216" i="17"/>
  <c r="AK216" i="17"/>
  <c r="AC216" i="17"/>
  <c r="U216" i="17"/>
  <c r="M216" i="17"/>
  <c r="S216" i="17"/>
  <c r="AE216" i="17"/>
  <c r="AO216" i="17"/>
  <c r="J218" i="17"/>
  <c r="T218" i="17"/>
  <c r="AF218" i="17"/>
  <c r="AP218" i="17"/>
  <c r="K220" i="17"/>
  <c r="W220" i="17"/>
  <c r="AG220" i="17"/>
  <c r="AQ220" i="17"/>
  <c r="AL232" i="17"/>
  <c r="AD232" i="17"/>
  <c r="V232" i="17"/>
  <c r="N232" i="17"/>
  <c r="AK232" i="17"/>
  <c r="AC232" i="17"/>
  <c r="U232" i="17"/>
  <c r="M232" i="17"/>
  <c r="S232" i="17"/>
  <c r="AE232" i="17"/>
  <c r="AO232" i="17"/>
  <c r="J234" i="17"/>
  <c r="T234" i="17"/>
  <c r="AF234" i="17"/>
  <c r="AP234" i="17"/>
  <c r="K236" i="17"/>
  <c r="W236" i="17"/>
  <c r="AG236" i="17"/>
  <c r="AQ236" i="17"/>
  <c r="K256" i="17"/>
  <c r="AE256" i="17"/>
  <c r="AR256" i="17"/>
  <c r="K272" i="17"/>
  <c r="AE272" i="17"/>
  <c r="AR272" i="17"/>
  <c r="K288" i="17"/>
  <c r="AE288" i="17"/>
  <c r="AR288" i="17"/>
  <c r="K304" i="17"/>
  <c r="AE304" i="17"/>
  <c r="AR304" i="17"/>
  <c r="K320" i="17"/>
  <c r="AE320" i="17"/>
  <c r="AR320" i="17"/>
  <c r="K336" i="17"/>
  <c r="AE336" i="17"/>
  <c r="AR336" i="17"/>
  <c r="O340" i="17"/>
  <c r="AB340" i="17"/>
  <c r="J342" i="17"/>
  <c r="Y342" i="17"/>
  <c r="AQ342" i="17"/>
  <c r="AL352" i="17"/>
  <c r="AD352" i="17"/>
  <c r="V352" i="17"/>
  <c r="N352" i="17"/>
  <c r="AK352" i="17"/>
  <c r="AC352" i="17"/>
  <c r="U352" i="17"/>
  <c r="M352" i="17"/>
  <c r="AR352" i="17"/>
  <c r="AH352" i="17"/>
  <c r="X352" i="17"/>
  <c r="L352" i="17"/>
  <c r="AQ352" i="17"/>
  <c r="AG352" i="17"/>
  <c r="W352" i="17"/>
  <c r="K352" i="17"/>
  <c r="AP352" i="17"/>
  <c r="AF352" i="17"/>
  <c r="T352" i="17"/>
  <c r="J352" i="17"/>
  <c r="AA352" i="17"/>
  <c r="AL354" i="17"/>
  <c r="AD354" i="17"/>
  <c r="V354" i="17"/>
  <c r="N354" i="17"/>
  <c r="AK354" i="17"/>
  <c r="AC354" i="17"/>
  <c r="U354" i="17"/>
  <c r="M354" i="17"/>
  <c r="AN354" i="17"/>
  <c r="AB354" i="17"/>
  <c r="R354" i="17"/>
  <c r="AM354" i="17"/>
  <c r="AA354" i="17"/>
  <c r="Q354" i="17"/>
  <c r="AJ354" i="17"/>
  <c r="Z354" i="17"/>
  <c r="P354" i="17"/>
  <c r="X354" i="17"/>
  <c r="AP354" i="17"/>
  <c r="P360" i="17"/>
  <c r="AE360" i="17"/>
  <c r="K362" i="17"/>
  <c r="AE362" i="17"/>
  <c r="AR362" i="17"/>
  <c r="O372" i="17"/>
  <c r="AB372" i="17"/>
  <c r="J374" i="17"/>
  <c r="Y374" i="17"/>
  <c r="AQ374" i="17"/>
  <c r="AL384" i="17"/>
  <c r="AD384" i="17"/>
  <c r="V384" i="17"/>
  <c r="N384" i="17"/>
  <c r="AK384" i="17"/>
  <c r="AC384" i="17"/>
  <c r="U384" i="17"/>
  <c r="M384" i="17"/>
  <c r="AR384" i="17"/>
  <c r="AH384" i="17"/>
  <c r="X384" i="17"/>
  <c r="L384" i="17"/>
  <c r="AQ384" i="17"/>
  <c r="AG384" i="17"/>
  <c r="W384" i="17"/>
  <c r="K384" i="17"/>
  <c r="AP384" i="17"/>
  <c r="AF384" i="17"/>
  <c r="T384" i="17"/>
  <c r="J384" i="17"/>
  <c r="AA384" i="17"/>
  <c r="AL386" i="17"/>
  <c r="AD386" i="17"/>
  <c r="V386" i="17"/>
  <c r="N386" i="17"/>
  <c r="AK386" i="17"/>
  <c r="AC386" i="17"/>
  <c r="U386" i="17"/>
  <c r="M386" i="17"/>
  <c r="AN386" i="17"/>
  <c r="AB386" i="17"/>
  <c r="R386" i="17"/>
  <c r="AM386" i="17"/>
  <c r="AA386" i="17"/>
  <c r="Q386" i="17"/>
  <c r="AJ386" i="17"/>
  <c r="Z386" i="17"/>
  <c r="P386" i="17"/>
  <c r="X386" i="17"/>
  <c r="AP386" i="17"/>
  <c r="P392" i="17"/>
  <c r="AE392" i="17"/>
  <c r="K394" i="17"/>
  <c r="AE394" i="17"/>
  <c r="AR394" i="17"/>
  <c r="K396" i="17"/>
  <c r="AE396" i="17"/>
  <c r="AR396" i="17"/>
  <c r="K412" i="17"/>
  <c r="AE412" i="17"/>
  <c r="AR412" i="17"/>
  <c r="K428" i="17"/>
  <c r="AE428" i="17"/>
  <c r="AR428" i="17"/>
  <c r="K444" i="17"/>
  <c r="AE444" i="17"/>
  <c r="AR444" i="17"/>
  <c r="K460" i="17"/>
  <c r="AE460" i="17"/>
  <c r="AR460" i="17"/>
  <c r="K476" i="17"/>
  <c r="AE476" i="17"/>
  <c r="AR476" i="17"/>
  <c r="K492" i="17"/>
  <c r="AE492" i="17"/>
  <c r="AR492" i="17"/>
  <c r="K508" i="17"/>
  <c r="AE508" i="17"/>
  <c r="AR508" i="17"/>
  <c r="K524" i="17"/>
  <c r="AE524" i="17"/>
  <c r="AR524" i="17"/>
  <c r="K540" i="17"/>
  <c r="AE540" i="17"/>
  <c r="AR540" i="17"/>
  <c r="K556" i="17"/>
  <c r="AE556" i="17"/>
  <c r="AR556" i="17"/>
  <c r="K572" i="17"/>
  <c r="AE572" i="17"/>
  <c r="AR572" i="17"/>
  <c r="K588" i="17"/>
  <c r="AE588" i="17"/>
  <c r="AR588" i="17"/>
  <c r="AK600" i="17"/>
  <c r="AC600" i="17"/>
  <c r="U600" i="17"/>
  <c r="M600" i="17"/>
  <c r="AM600" i="17"/>
  <c r="AD600" i="17"/>
  <c r="T600" i="17"/>
  <c r="K600" i="17"/>
  <c r="AL600" i="17"/>
  <c r="AB600" i="17"/>
  <c r="S600" i="17"/>
  <c r="J600" i="17"/>
  <c r="AQ600" i="17"/>
  <c r="AF600" i="17"/>
  <c r="R600" i="17"/>
  <c r="AP600" i="17"/>
  <c r="AE600" i="17"/>
  <c r="Q600" i="17"/>
  <c r="AO600" i="17"/>
  <c r="AA600" i="17"/>
  <c r="P600" i="17"/>
  <c r="Z600" i="17"/>
  <c r="N604" i="17"/>
  <c r="AH604" i="17"/>
  <c r="AK626" i="17"/>
  <c r="AC626" i="17"/>
  <c r="U626" i="17"/>
  <c r="M626" i="17"/>
  <c r="AR626" i="17"/>
  <c r="AJ626" i="17"/>
  <c r="AB626" i="17"/>
  <c r="T626" i="17"/>
  <c r="L626" i="17"/>
  <c r="AI626" i="17"/>
  <c r="Y626" i="17"/>
  <c r="O626" i="17"/>
  <c r="AH626" i="17"/>
  <c r="X626" i="17"/>
  <c r="N626" i="17"/>
  <c r="AN626" i="17"/>
  <c r="Z626" i="17"/>
  <c r="J626" i="17"/>
  <c r="AO626" i="17"/>
  <c r="W626" i="17"/>
  <c r="AM626" i="17"/>
  <c r="V626" i="17"/>
  <c r="AL626" i="17"/>
  <c r="S626" i="17"/>
  <c r="AF626" i="17"/>
  <c r="K636" i="17"/>
  <c r="AO636" i="17"/>
  <c r="AK656" i="17"/>
  <c r="AC656" i="17"/>
  <c r="U656" i="17"/>
  <c r="M656" i="17"/>
  <c r="AR656" i="17"/>
  <c r="AJ656" i="17"/>
  <c r="AB656" i="17"/>
  <c r="T656" i="17"/>
  <c r="L656" i="17"/>
  <c r="AN656" i="17"/>
  <c r="AD656" i="17"/>
  <c r="R656" i="17"/>
  <c r="AM656" i="17"/>
  <c r="AA656" i="17"/>
  <c r="Q656" i="17"/>
  <c r="AL656" i="17"/>
  <c r="X656" i="17"/>
  <c r="J656" i="17"/>
  <c r="AQ656" i="17"/>
  <c r="Z656" i="17"/>
  <c r="K656" i="17"/>
  <c r="AO656" i="17"/>
  <c r="V656" i="17"/>
  <c r="AI656" i="17"/>
  <c r="S656" i="17"/>
  <c r="AH656" i="17"/>
  <c r="P656" i="17"/>
  <c r="AP656" i="17"/>
  <c r="V672" i="17"/>
  <c r="AK728" i="17"/>
  <c r="AC728" i="17"/>
  <c r="U728" i="17"/>
  <c r="M728" i="17"/>
  <c r="AR728" i="17"/>
  <c r="AJ728" i="17"/>
  <c r="AB728" i="17"/>
  <c r="T728" i="17"/>
  <c r="L728" i="17"/>
  <c r="AH728" i="17"/>
  <c r="X728" i="17"/>
  <c r="N728" i="17"/>
  <c r="AQ728" i="17"/>
  <c r="AG728" i="17"/>
  <c r="W728" i="17"/>
  <c r="K728" i="17"/>
  <c r="AO728" i="17"/>
  <c r="AA728" i="17"/>
  <c r="O728" i="17"/>
  <c r="AF728" i="17"/>
  <c r="Q728" i="17"/>
  <c r="AE728" i="17"/>
  <c r="P728" i="17"/>
  <c r="AD728" i="17"/>
  <c r="J728" i="17"/>
  <c r="Y728" i="17"/>
  <c r="V728" i="17"/>
  <c r="AP728" i="17"/>
  <c r="S728" i="17"/>
  <c r="AK738" i="17"/>
  <c r="AC738" i="17"/>
  <c r="U738" i="17"/>
  <c r="M738" i="17"/>
  <c r="AR738" i="17"/>
  <c r="AJ738" i="17"/>
  <c r="AB738" i="17"/>
  <c r="T738" i="17"/>
  <c r="L738" i="17"/>
  <c r="AI738" i="17"/>
  <c r="Y738" i="17"/>
  <c r="O738" i="17"/>
  <c r="AH738" i="17"/>
  <c r="X738" i="17"/>
  <c r="N738" i="17"/>
  <c r="AN738" i="17"/>
  <c r="Z738" i="17"/>
  <c r="J738" i="17"/>
  <c r="AG738" i="17"/>
  <c r="R738" i="17"/>
  <c r="AF738" i="17"/>
  <c r="Q738" i="17"/>
  <c r="AE738" i="17"/>
  <c r="P738" i="17"/>
  <c r="AL738" i="17"/>
  <c r="AD738" i="17"/>
  <c r="AA738" i="17"/>
  <c r="AQ738" i="17"/>
  <c r="AK744" i="17"/>
  <c r="AC744" i="17"/>
  <c r="U744" i="17"/>
  <c r="M744" i="17"/>
  <c r="AR744" i="17"/>
  <c r="AJ744" i="17"/>
  <c r="AB744" i="17"/>
  <c r="T744" i="17"/>
  <c r="L744" i="17"/>
  <c r="AH744" i="17"/>
  <c r="X744" i="17"/>
  <c r="N744" i="17"/>
  <c r="AQ744" i="17"/>
  <c r="AG744" i="17"/>
  <c r="W744" i="17"/>
  <c r="K744" i="17"/>
  <c r="AP744" i="17"/>
  <c r="AD744" i="17"/>
  <c r="P744" i="17"/>
  <c r="AF744" i="17"/>
  <c r="Q744" i="17"/>
  <c r="AE744" i="17"/>
  <c r="O744" i="17"/>
  <c r="AA744" i="17"/>
  <c r="J744" i="17"/>
  <c r="Y744" i="17"/>
  <c r="V744" i="17"/>
  <c r="AO744" i="17"/>
  <c r="S744" i="17"/>
  <c r="Z770" i="17"/>
  <c r="AK774" i="17"/>
  <c r="AC774" i="17"/>
  <c r="U774" i="17"/>
  <c r="M774" i="17"/>
  <c r="AR774" i="17"/>
  <c r="AJ774" i="17"/>
  <c r="AB774" i="17"/>
  <c r="T774" i="17"/>
  <c r="L774" i="17"/>
  <c r="AM774" i="17"/>
  <c r="AA774" i="17"/>
  <c r="Q774" i="17"/>
  <c r="AL774" i="17"/>
  <c r="Z774" i="17"/>
  <c r="P774" i="17"/>
  <c r="AO774" i="17"/>
  <c r="Y774" i="17"/>
  <c r="K774" i="17"/>
  <c r="AH774" i="17"/>
  <c r="S774" i="17"/>
  <c r="AG774" i="17"/>
  <c r="R774" i="17"/>
  <c r="AF774" i="17"/>
  <c r="O774" i="17"/>
  <c r="W774" i="17"/>
  <c r="AQ774" i="17"/>
  <c r="V774" i="17"/>
  <c r="AP774" i="17"/>
  <c r="N774" i="17"/>
  <c r="AQ795" i="17"/>
  <c r="AI795" i="17"/>
  <c r="AA795" i="17"/>
  <c r="S795" i="17"/>
  <c r="K795" i="17"/>
  <c r="AJ795" i="17"/>
  <c r="Z795" i="17"/>
  <c r="Q795" i="17"/>
  <c r="AR795" i="17"/>
  <c r="AH795" i="17"/>
  <c r="Y795" i="17"/>
  <c r="P795" i="17"/>
  <c r="AK795" i="17"/>
  <c r="W795" i="17"/>
  <c r="L795" i="17"/>
  <c r="AG795" i="17"/>
  <c r="V795" i="17"/>
  <c r="J795" i="17"/>
  <c r="AF795" i="17"/>
  <c r="R795" i="17"/>
  <c r="AE795" i="17"/>
  <c r="O795" i="17"/>
  <c r="AB795" i="17"/>
  <c r="AP795" i="17"/>
  <c r="X795" i="17"/>
  <c r="AO795" i="17"/>
  <c r="U795" i="17"/>
  <c r="T795" i="17"/>
  <c r="N795" i="17"/>
  <c r="M795" i="17"/>
  <c r="AQ855" i="17"/>
  <c r="AI855" i="17"/>
  <c r="AA855" i="17"/>
  <c r="S855" i="17"/>
  <c r="K855" i="17"/>
  <c r="AP855" i="17"/>
  <c r="AG855" i="17"/>
  <c r="X855" i="17"/>
  <c r="O855" i="17"/>
  <c r="AO855" i="17"/>
  <c r="AF855" i="17"/>
  <c r="W855" i="17"/>
  <c r="N855" i="17"/>
  <c r="AM855" i="17"/>
  <c r="AB855" i="17"/>
  <c r="P855" i="17"/>
  <c r="AL855" i="17"/>
  <c r="Z855" i="17"/>
  <c r="M855" i="17"/>
  <c r="AK855" i="17"/>
  <c r="U855" i="17"/>
  <c r="AJ855" i="17"/>
  <c r="T855" i="17"/>
  <c r="AC855" i="17"/>
  <c r="Y855" i="17"/>
  <c r="V855" i="17"/>
  <c r="AD855" i="17"/>
  <c r="R855" i="17"/>
  <c r="Q855" i="17"/>
  <c r="N867" i="17"/>
  <c r="AF913" i="17"/>
  <c r="AH935" i="17"/>
  <c r="AM950" i="17"/>
  <c r="AE950" i="17"/>
  <c r="W950" i="17"/>
  <c r="O950" i="17"/>
  <c r="AP950" i="17"/>
  <c r="AG950" i="17"/>
  <c r="X950" i="17"/>
  <c r="N950" i="17"/>
  <c r="AO950" i="17"/>
  <c r="AF950" i="17"/>
  <c r="V950" i="17"/>
  <c r="M950" i="17"/>
  <c r="AQ950" i="17"/>
  <c r="AC950" i="17"/>
  <c r="R950" i="17"/>
  <c r="AN950" i="17"/>
  <c r="AB950" i="17"/>
  <c r="Q950" i="17"/>
  <c r="AK950" i="17"/>
  <c r="U950" i="17"/>
  <c r="AJ950" i="17"/>
  <c r="T950" i="17"/>
  <c r="AL950" i="17"/>
  <c r="P950" i="17"/>
  <c r="AI950" i="17"/>
  <c r="L950" i="17"/>
  <c r="AH950" i="17"/>
  <c r="K950" i="17"/>
  <c r="AR950" i="17"/>
  <c r="AD950" i="17"/>
  <c r="AA950" i="17"/>
  <c r="AM962" i="17"/>
  <c r="AE962" i="17"/>
  <c r="W962" i="17"/>
  <c r="O962" i="17"/>
  <c r="AN962" i="17"/>
  <c r="AD962" i="17"/>
  <c r="U962" i="17"/>
  <c r="L962" i="17"/>
  <c r="AL962" i="17"/>
  <c r="AC962" i="17"/>
  <c r="T962" i="17"/>
  <c r="K962" i="17"/>
  <c r="AR962" i="17"/>
  <c r="AG962" i="17"/>
  <c r="S962" i="17"/>
  <c r="AQ962" i="17"/>
  <c r="AF962" i="17"/>
  <c r="R962" i="17"/>
  <c r="AK962" i="17"/>
  <c r="X962" i="17"/>
  <c r="AJ962" i="17"/>
  <c r="V962" i="17"/>
  <c r="Y962" i="17"/>
  <c r="AP962" i="17"/>
  <c r="Q962" i="17"/>
  <c r="AO962" i="17"/>
  <c r="P962" i="17"/>
  <c r="AB962" i="17"/>
  <c r="AA962" i="17"/>
  <c r="Z962" i="17"/>
  <c r="AH979" i="17"/>
  <c r="K982" i="17"/>
  <c r="AM1042" i="17"/>
  <c r="AE1042" i="17"/>
  <c r="W1042" i="17"/>
  <c r="O1042" i="17"/>
  <c r="AN1042" i="17"/>
  <c r="AD1042" i="17"/>
  <c r="U1042" i="17"/>
  <c r="L1042" i="17"/>
  <c r="AL1042" i="17"/>
  <c r="AC1042" i="17"/>
  <c r="T1042" i="17"/>
  <c r="K1042" i="17"/>
  <c r="AQ1042" i="17"/>
  <c r="AF1042" i="17"/>
  <c r="R1042" i="17"/>
  <c r="AP1042" i="17"/>
  <c r="AB1042" i="17"/>
  <c r="Q1042" i="17"/>
  <c r="AG1042" i="17"/>
  <c r="N1042" i="17"/>
  <c r="AA1042" i="17"/>
  <c r="M1042" i="17"/>
  <c r="AR1042" i="17"/>
  <c r="X1042" i="17"/>
  <c r="AO1042" i="17"/>
  <c r="V1042" i="17"/>
  <c r="AK1042" i="17"/>
  <c r="S1042" i="17"/>
  <c r="AJ1042" i="17"/>
  <c r="AI1042" i="17"/>
  <c r="AH1042" i="17"/>
  <c r="M1061" i="17"/>
  <c r="U1093" i="17"/>
  <c r="AR1117" i="17"/>
  <c r="AJ1117" i="17"/>
  <c r="AB1117" i="17"/>
  <c r="T1117" i="17"/>
  <c r="L1117" i="17"/>
  <c r="AQ1117" i="17"/>
  <c r="AI1117" i="17"/>
  <c r="AA1117" i="17"/>
  <c r="S1117" i="17"/>
  <c r="K1117" i="17"/>
  <c r="AK1117" i="17"/>
  <c r="Y1117" i="17"/>
  <c r="O1117" i="17"/>
  <c r="AH1117" i="17"/>
  <c r="X1117" i="17"/>
  <c r="N1117" i="17"/>
  <c r="AL1117" i="17"/>
  <c r="V1117" i="17"/>
  <c r="AG1117" i="17"/>
  <c r="U1117" i="17"/>
  <c r="AF1117" i="17"/>
  <c r="P1117" i="17"/>
  <c r="AE1117" i="17"/>
  <c r="M1117" i="17"/>
  <c r="Z1117" i="17"/>
  <c r="W1117" i="17"/>
  <c r="AP1117" i="17"/>
  <c r="R1117" i="17"/>
  <c r="AC1117" i="17"/>
  <c r="Q1117" i="17"/>
  <c r="J1117" i="17"/>
  <c r="AG1125" i="17"/>
  <c r="AN1134" i="17"/>
  <c r="AF1134" i="17"/>
  <c r="X1134" i="17"/>
  <c r="P1134" i="17"/>
  <c r="AM1134" i="17"/>
  <c r="AE1134" i="17"/>
  <c r="W1134" i="17"/>
  <c r="O1134" i="17"/>
  <c r="AQ1134" i="17"/>
  <c r="AG1134" i="17"/>
  <c r="U1134" i="17"/>
  <c r="K1134" i="17"/>
  <c r="AP1134" i="17"/>
  <c r="AD1134" i="17"/>
  <c r="T1134" i="17"/>
  <c r="J1134" i="17"/>
  <c r="AJ1134" i="17"/>
  <c r="V1134" i="17"/>
  <c r="AI1134" i="17"/>
  <c r="S1134" i="17"/>
  <c r="AC1134" i="17"/>
  <c r="M1134" i="17"/>
  <c r="AB1134" i="17"/>
  <c r="L1134" i="17"/>
  <c r="AH1134" i="17"/>
  <c r="AA1134" i="17"/>
  <c r="Z1134" i="17"/>
  <c r="AO1134" i="17"/>
  <c r="AL1134" i="17"/>
  <c r="AK1134" i="17"/>
  <c r="X1135" i="17"/>
  <c r="AN1142" i="17"/>
  <c r="AF1142" i="17"/>
  <c r="X1142" i="17"/>
  <c r="P1142" i="17"/>
  <c r="AM1142" i="17"/>
  <c r="AE1142" i="17"/>
  <c r="W1142" i="17"/>
  <c r="O1142" i="17"/>
  <c r="AQ1142" i="17"/>
  <c r="AG1142" i="17"/>
  <c r="U1142" i="17"/>
  <c r="K1142" i="17"/>
  <c r="AP1142" i="17"/>
  <c r="AD1142" i="17"/>
  <c r="T1142" i="17"/>
  <c r="J1142" i="17"/>
  <c r="AH1142" i="17"/>
  <c r="R1142" i="17"/>
  <c r="AC1142" i="17"/>
  <c r="Q1142" i="17"/>
  <c r="AL1142" i="17"/>
  <c r="V1142" i="17"/>
  <c r="AK1142" i="17"/>
  <c r="S1142" i="17"/>
  <c r="AA1142" i="17"/>
  <c r="Z1142" i="17"/>
  <c r="Y1142" i="17"/>
  <c r="AO1142" i="17"/>
  <c r="AJ1142" i="17"/>
  <c r="AI1142" i="17"/>
  <c r="U1159" i="17"/>
  <c r="M1203" i="17"/>
  <c r="AC1222" i="17"/>
  <c r="AN1252" i="17"/>
  <c r="AF1252" i="17"/>
  <c r="X1252" i="17"/>
  <c r="P1252" i="17"/>
  <c r="AM1252" i="17"/>
  <c r="AE1252" i="17"/>
  <c r="W1252" i="17"/>
  <c r="O1252" i="17"/>
  <c r="AJ1252" i="17"/>
  <c r="Z1252" i="17"/>
  <c r="N1252" i="17"/>
  <c r="AI1252" i="17"/>
  <c r="Y1252" i="17"/>
  <c r="M1252" i="17"/>
  <c r="AP1252" i="17"/>
  <c r="AB1252" i="17"/>
  <c r="L1252" i="17"/>
  <c r="AO1252" i="17"/>
  <c r="AA1252" i="17"/>
  <c r="K1252" i="17"/>
  <c r="AG1252" i="17"/>
  <c r="Q1252" i="17"/>
  <c r="AD1252" i="17"/>
  <c r="J1252" i="17"/>
  <c r="AH1252" i="17"/>
  <c r="AC1252" i="17"/>
  <c r="V1252" i="17"/>
  <c r="AK1252" i="17"/>
  <c r="U1252" i="17"/>
  <c r="T1252" i="17"/>
  <c r="AR1252" i="17"/>
  <c r="AQ1252" i="17"/>
  <c r="AL1252" i="17"/>
  <c r="AN1274" i="17"/>
  <c r="AF1274" i="17"/>
  <c r="X1274" i="17"/>
  <c r="P1274" i="17"/>
  <c r="AM1274" i="17"/>
  <c r="AE1274" i="17"/>
  <c r="W1274" i="17"/>
  <c r="O1274" i="17"/>
  <c r="AR1274" i="17"/>
  <c r="AH1274" i="17"/>
  <c r="V1274" i="17"/>
  <c r="L1274" i="17"/>
  <c r="AQ1274" i="17"/>
  <c r="AG1274" i="17"/>
  <c r="U1274" i="17"/>
  <c r="K1274" i="17"/>
  <c r="AJ1274" i="17"/>
  <c r="T1274" i="17"/>
  <c r="AI1274" i="17"/>
  <c r="S1274" i="17"/>
  <c r="AD1274" i="17"/>
  <c r="N1274" i="17"/>
  <c r="AC1274" i="17"/>
  <c r="M1274" i="17"/>
  <c r="AP1274" i="17"/>
  <c r="R1274" i="17"/>
  <c r="AO1274" i="17"/>
  <c r="Q1274" i="17"/>
  <c r="AL1274" i="17"/>
  <c r="J1274" i="17"/>
  <c r="AB1274" i="17"/>
  <c r="AA1274" i="17"/>
  <c r="Z1274" i="17"/>
  <c r="AK1274" i="17"/>
  <c r="AR1307" i="17"/>
  <c r="AJ1307" i="17"/>
  <c r="AB1307" i="17"/>
  <c r="T1307" i="17"/>
  <c r="L1307" i="17"/>
  <c r="AQ1307" i="17"/>
  <c r="AI1307" i="17"/>
  <c r="AA1307" i="17"/>
  <c r="S1307" i="17"/>
  <c r="K1307" i="17"/>
  <c r="AN1307" i="17"/>
  <c r="AD1307" i="17"/>
  <c r="R1307" i="17"/>
  <c r="AM1307" i="17"/>
  <c r="AC1307" i="17"/>
  <c r="Q1307" i="17"/>
  <c r="AP1307" i="17"/>
  <c r="Z1307" i="17"/>
  <c r="N1307" i="17"/>
  <c r="AO1307" i="17"/>
  <c r="Y1307" i="17"/>
  <c r="M1307" i="17"/>
  <c r="X1307" i="17"/>
  <c r="W1307" i="17"/>
  <c r="U1307" i="17"/>
  <c r="AL1307" i="17"/>
  <c r="P1307" i="17"/>
  <c r="AK1307" i="17"/>
  <c r="O1307" i="17"/>
  <c r="AE1307" i="17"/>
  <c r="V1307" i="17"/>
  <c r="J1307" i="17"/>
  <c r="AN1348" i="17"/>
  <c r="AF1348" i="17"/>
  <c r="X1348" i="17"/>
  <c r="P1348" i="17"/>
  <c r="AM1348" i="17"/>
  <c r="AE1348" i="17"/>
  <c r="W1348" i="17"/>
  <c r="O1348" i="17"/>
  <c r="AJ1348" i="17"/>
  <c r="Z1348" i="17"/>
  <c r="N1348" i="17"/>
  <c r="AI1348" i="17"/>
  <c r="Y1348" i="17"/>
  <c r="M1348" i="17"/>
  <c r="AP1348" i="17"/>
  <c r="AB1348" i="17"/>
  <c r="L1348" i="17"/>
  <c r="AO1348" i="17"/>
  <c r="AA1348" i="17"/>
  <c r="K1348" i="17"/>
  <c r="AQ1348" i="17"/>
  <c r="U1348" i="17"/>
  <c r="AL1348" i="17"/>
  <c r="T1348" i="17"/>
  <c r="V1348" i="17"/>
  <c r="S1348" i="17"/>
  <c r="AR1348" i="17"/>
  <c r="R1348" i="17"/>
  <c r="AC1348" i="17"/>
  <c r="Q1348" i="17"/>
  <c r="J1348" i="17"/>
  <c r="AK1348" i="17"/>
  <c r="AH1348" i="17"/>
  <c r="AG1348" i="17"/>
  <c r="AL1475" i="17"/>
  <c r="AD1475" i="17"/>
  <c r="V1475" i="17"/>
  <c r="N1475" i="17"/>
  <c r="AK1475" i="17"/>
  <c r="AC1475" i="17"/>
  <c r="U1475" i="17"/>
  <c r="M1475" i="17"/>
  <c r="AM1475" i="17"/>
  <c r="AA1475" i="17"/>
  <c r="Q1475" i="17"/>
  <c r="AJ1475" i="17"/>
  <c r="Z1475" i="17"/>
  <c r="P1475" i="17"/>
  <c r="AQ1475" i="17"/>
  <c r="AE1475" i="17"/>
  <c r="O1475" i="17"/>
  <c r="AP1475" i="17"/>
  <c r="AB1475" i="17"/>
  <c r="L1475" i="17"/>
  <c r="AI1475" i="17"/>
  <c r="S1475" i="17"/>
  <c r="AH1475" i="17"/>
  <c r="R1475" i="17"/>
  <c r="Y1475" i="17"/>
  <c r="X1475" i="17"/>
  <c r="W1475" i="17"/>
  <c r="T1475" i="17"/>
  <c r="K1475" i="17"/>
  <c r="AO1475" i="17"/>
  <c r="AN1475" i="17"/>
  <c r="AG1475" i="17"/>
  <c r="AR1475" i="17"/>
  <c r="AF1475" i="17"/>
  <c r="J1475" i="17"/>
  <c r="AL264" i="17"/>
  <c r="AD264" i="17"/>
  <c r="V264" i="17"/>
  <c r="N264" i="17"/>
  <c r="AK264" i="17"/>
  <c r="AC264" i="17"/>
  <c r="U264" i="17"/>
  <c r="M264" i="17"/>
  <c r="S264" i="17"/>
  <c r="AE264" i="17"/>
  <c r="AO264" i="17"/>
  <c r="AL280" i="17"/>
  <c r="AD280" i="17"/>
  <c r="V280" i="17"/>
  <c r="N280" i="17"/>
  <c r="AK280" i="17"/>
  <c r="AC280" i="17"/>
  <c r="U280" i="17"/>
  <c r="M280" i="17"/>
  <c r="S280" i="17"/>
  <c r="AE280" i="17"/>
  <c r="AO280" i="17"/>
  <c r="AL296" i="17"/>
  <c r="AD296" i="17"/>
  <c r="V296" i="17"/>
  <c r="N296" i="17"/>
  <c r="AK296" i="17"/>
  <c r="AC296" i="17"/>
  <c r="U296" i="17"/>
  <c r="M296" i="17"/>
  <c r="S296" i="17"/>
  <c r="AE296" i="17"/>
  <c r="AO296" i="17"/>
  <c r="AL312" i="17"/>
  <c r="AD312" i="17"/>
  <c r="V312" i="17"/>
  <c r="N312" i="17"/>
  <c r="AK312" i="17"/>
  <c r="AC312" i="17"/>
  <c r="U312" i="17"/>
  <c r="M312" i="17"/>
  <c r="S312" i="17"/>
  <c r="AE312" i="17"/>
  <c r="AO312" i="17"/>
  <c r="AL328" i="17"/>
  <c r="AD328" i="17"/>
  <c r="V328" i="17"/>
  <c r="N328" i="17"/>
  <c r="AK328" i="17"/>
  <c r="AC328" i="17"/>
  <c r="U328" i="17"/>
  <c r="M328" i="17"/>
  <c r="S328" i="17"/>
  <c r="AE328" i="17"/>
  <c r="AO328" i="17"/>
  <c r="AL404" i="17"/>
  <c r="AD404" i="17"/>
  <c r="V404" i="17"/>
  <c r="N404" i="17"/>
  <c r="AK404" i="17"/>
  <c r="AC404" i="17"/>
  <c r="U404" i="17"/>
  <c r="M404" i="17"/>
  <c r="S404" i="17"/>
  <c r="AE404" i="17"/>
  <c r="AO404" i="17"/>
  <c r="AL420" i="17"/>
  <c r="AD420" i="17"/>
  <c r="V420" i="17"/>
  <c r="N420" i="17"/>
  <c r="AK420" i="17"/>
  <c r="AC420" i="17"/>
  <c r="U420" i="17"/>
  <c r="M420" i="17"/>
  <c r="S420" i="17"/>
  <c r="AE420" i="17"/>
  <c r="AO420" i="17"/>
  <c r="AL436" i="17"/>
  <c r="AD436" i="17"/>
  <c r="V436" i="17"/>
  <c r="N436" i="17"/>
  <c r="AK436" i="17"/>
  <c r="AC436" i="17"/>
  <c r="U436" i="17"/>
  <c r="M436" i="17"/>
  <c r="S436" i="17"/>
  <c r="AE436" i="17"/>
  <c r="AO436" i="17"/>
  <c r="AL452" i="17"/>
  <c r="AD452" i="17"/>
  <c r="V452" i="17"/>
  <c r="N452" i="17"/>
  <c r="AK452" i="17"/>
  <c r="AC452" i="17"/>
  <c r="U452" i="17"/>
  <c r="M452" i="17"/>
  <c r="S452" i="17"/>
  <c r="AE452" i="17"/>
  <c r="AO452" i="17"/>
  <c r="AL468" i="17"/>
  <c r="AD468" i="17"/>
  <c r="V468" i="17"/>
  <c r="N468" i="17"/>
  <c r="AK468" i="17"/>
  <c r="AC468" i="17"/>
  <c r="U468" i="17"/>
  <c r="M468" i="17"/>
  <c r="S468" i="17"/>
  <c r="AE468" i="17"/>
  <c r="AO468" i="17"/>
  <c r="AL484" i="17"/>
  <c r="AD484" i="17"/>
  <c r="V484" i="17"/>
  <c r="N484" i="17"/>
  <c r="AK484" i="17"/>
  <c r="AC484" i="17"/>
  <c r="U484" i="17"/>
  <c r="M484" i="17"/>
  <c r="S484" i="17"/>
  <c r="AE484" i="17"/>
  <c r="AO484" i="17"/>
  <c r="AL500" i="17"/>
  <c r="AD500" i="17"/>
  <c r="V500" i="17"/>
  <c r="N500" i="17"/>
  <c r="AK500" i="17"/>
  <c r="AC500" i="17"/>
  <c r="U500" i="17"/>
  <c r="M500" i="17"/>
  <c r="S500" i="17"/>
  <c r="AE500" i="17"/>
  <c r="AO500" i="17"/>
  <c r="AL516" i="17"/>
  <c r="AD516" i="17"/>
  <c r="V516" i="17"/>
  <c r="N516" i="17"/>
  <c r="AK516" i="17"/>
  <c r="AC516" i="17"/>
  <c r="U516" i="17"/>
  <c r="M516" i="17"/>
  <c r="S516" i="17"/>
  <c r="AE516" i="17"/>
  <c r="AO516" i="17"/>
  <c r="AL532" i="17"/>
  <c r="AD532" i="17"/>
  <c r="V532" i="17"/>
  <c r="N532" i="17"/>
  <c r="AK532" i="17"/>
  <c r="AC532" i="17"/>
  <c r="U532" i="17"/>
  <c r="M532" i="17"/>
  <c r="S532" i="17"/>
  <c r="AE532" i="17"/>
  <c r="AO532" i="17"/>
  <c r="AL548" i="17"/>
  <c r="AD548" i="17"/>
  <c r="V548" i="17"/>
  <c r="N548" i="17"/>
  <c r="AK548" i="17"/>
  <c r="AC548" i="17"/>
  <c r="U548" i="17"/>
  <c r="M548" i="17"/>
  <c r="S548" i="17"/>
  <c r="AE548" i="17"/>
  <c r="AO548" i="17"/>
  <c r="AL564" i="17"/>
  <c r="AD564" i="17"/>
  <c r="V564" i="17"/>
  <c r="N564" i="17"/>
  <c r="AK564" i="17"/>
  <c r="AC564" i="17"/>
  <c r="U564" i="17"/>
  <c r="M564" i="17"/>
  <c r="S564" i="17"/>
  <c r="AE564" i="17"/>
  <c r="AO564" i="17"/>
  <c r="AL580" i="17"/>
  <c r="AD580" i="17"/>
  <c r="V580" i="17"/>
  <c r="N580" i="17"/>
  <c r="AK580" i="17"/>
  <c r="AC580" i="17"/>
  <c r="U580" i="17"/>
  <c r="M580" i="17"/>
  <c r="S580" i="17"/>
  <c r="AE580" i="17"/>
  <c r="AO580" i="17"/>
  <c r="AK622" i="17"/>
  <c r="AC622" i="17"/>
  <c r="U622" i="17"/>
  <c r="M622" i="17"/>
  <c r="AR622" i="17"/>
  <c r="AJ622" i="17"/>
  <c r="AB622" i="17"/>
  <c r="T622" i="17"/>
  <c r="L622" i="17"/>
  <c r="AQ622" i="17"/>
  <c r="AG622" i="17"/>
  <c r="W622" i="17"/>
  <c r="K622" i="17"/>
  <c r="AP622" i="17"/>
  <c r="AF622" i="17"/>
  <c r="V622" i="17"/>
  <c r="J622" i="17"/>
  <c r="AN622" i="17"/>
  <c r="Z622" i="17"/>
  <c r="N622" i="17"/>
  <c r="AA622" i="17"/>
  <c r="AK624" i="17"/>
  <c r="AC624" i="17"/>
  <c r="U624" i="17"/>
  <c r="M624" i="17"/>
  <c r="AR624" i="17"/>
  <c r="AJ624" i="17"/>
  <c r="AB624" i="17"/>
  <c r="T624" i="17"/>
  <c r="L624" i="17"/>
  <c r="AN624" i="17"/>
  <c r="AD624" i="17"/>
  <c r="R624" i="17"/>
  <c r="AM624" i="17"/>
  <c r="AA624" i="17"/>
  <c r="Q624" i="17"/>
  <c r="AG624" i="17"/>
  <c r="S624" i="17"/>
  <c r="X624" i="17"/>
  <c r="AO624" i="17"/>
  <c r="AK638" i="17"/>
  <c r="AC638" i="17"/>
  <c r="U638" i="17"/>
  <c r="M638" i="17"/>
  <c r="AR638" i="17"/>
  <c r="AJ638" i="17"/>
  <c r="AB638" i="17"/>
  <c r="T638" i="17"/>
  <c r="L638" i="17"/>
  <c r="AQ638" i="17"/>
  <c r="AG638" i="17"/>
  <c r="W638" i="17"/>
  <c r="K638" i="17"/>
  <c r="AP638" i="17"/>
  <c r="AF638" i="17"/>
  <c r="V638" i="17"/>
  <c r="J638" i="17"/>
  <c r="AD638" i="17"/>
  <c r="P638" i="17"/>
  <c r="AE638" i="17"/>
  <c r="O638" i="17"/>
  <c r="AA638" i="17"/>
  <c r="AK662" i="17"/>
  <c r="AC662" i="17"/>
  <c r="U662" i="17"/>
  <c r="M662" i="17"/>
  <c r="AR662" i="17"/>
  <c r="AJ662" i="17"/>
  <c r="AB662" i="17"/>
  <c r="T662" i="17"/>
  <c r="L662" i="17"/>
  <c r="AM662" i="17"/>
  <c r="AA662" i="17"/>
  <c r="Q662" i="17"/>
  <c r="AL662" i="17"/>
  <c r="Z662" i="17"/>
  <c r="P662" i="17"/>
  <c r="AP662" i="17"/>
  <c r="AD662" i="17"/>
  <c r="N662" i="17"/>
  <c r="AQ662" i="17"/>
  <c r="Y662" i="17"/>
  <c r="J662" i="17"/>
  <c r="AE662" i="17"/>
  <c r="AQ787" i="17"/>
  <c r="AI787" i="17"/>
  <c r="AA787" i="17"/>
  <c r="S787" i="17"/>
  <c r="K787" i="17"/>
  <c r="AN787" i="17"/>
  <c r="AE787" i="17"/>
  <c r="V787" i="17"/>
  <c r="M787" i="17"/>
  <c r="AM787" i="17"/>
  <c r="AD787" i="17"/>
  <c r="U787" i="17"/>
  <c r="L787" i="17"/>
  <c r="AR787" i="17"/>
  <c r="AF787" i="17"/>
  <c r="R787" i="17"/>
  <c r="AP787" i="17"/>
  <c r="AC787" i="17"/>
  <c r="Q787" i="17"/>
  <c r="AG787" i="17"/>
  <c r="O787" i="17"/>
  <c r="AB787" i="17"/>
  <c r="N787" i="17"/>
  <c r="AO787" i="17"/>
  <c r="W787" i="17"/>
  <c r="AL787" i="17"/>
  <c r="T787" i="17"/>
  <c r="AK787" i="17"/>
  <c r="P787" i="17"/>
  <c r="AM890" i="17"/>
  <c r="AE890" i="17"/>
  <c r="W890" i="17"/>
  <c r="O890" i="17"/>
  <c r="AR890" i="17"/>
  <c r="AI890" i="17"/>
  <c r="Z890" i="17"/>
  <c r="Q890" i="17"/>
  <c r="AQ890" i="17"/>
  <c r="AH890" i="17"/>
  <c r="Y890" i="17"/>
  <c r="P890" i="17"/>
  <c r="AL890" i="17"/>
  <c r="AA890" i="17"/>
  <c r="M890" i="17"/>
  <c r="AK890" i="17"/>
  <c r="X890" i="17"/>
  <c r="L890" i="17"/>
  <c r="AC890" i="17"/>
  <c r="K890" i="17"/>
  <c r="AP890" i="17"/>
  <c r="AB890" i="17"/>
  <c r="J890" i="17"/>
  <c r="U890" i="17"/>
  <c r="AO890" i="17"/>
  <c r="T890" i="17"/>
  <c r="AN890" i="17"/>
  <c r="S890" i="17"/>
  <c r="AM900" i="17"/>
  <c r="AE900" i="17"/>
  <c r="W900" i="17"/>
  <c r="O900" i="17"/>
  <c r="AO900" i="17"/>
  <c r="AF900" i="17"/>
  <c r="V900" i="17"/>
  <c r="M900" i="17"/>
  <c r="AN900" i="17"/>
  <c r="AD900" i="17"/>
  <c r="U900" i="17"/>
  <c r="L900" i="17"/>
  <c r="AL900" i="17"/>
  <c r="AA900" i="17"/>
  <c r="P900" i="17"/>
  <c r="AK900" i="17"/>
  <c r="Z900" i="17"/>
  <c r="N900" i="17"/>
  <c r="AJ900" i="17"/>
  <c r="T900" i="17"/>
  <c r="AI900" i="17"/>
  <c r="S900" i="17"/>
  <c r="AP900" i="17"/>
  <c r="Q900" i="17"/>
  <c r="AH900" i="17"/>
  <c r="K900" i="17"/>
  <c r="AG900" i="17"/>
  <c r="J900" i="17"/>
  <c r="AQ901" i="17"/>
  <c r="AI901" i="17"/>
  <c r="AA901" i="17"/>
  <c r="S901" i="17"/>
  <c r="K901" i="17"/>
  <c r="AO901" i="17"/>
  <c r="AF901" i="17"/>
  <c r="W901" i="17"/>
  <c r="N901" i="17"/>
  <c r="AN901" i="17"/>
  <c r="AE901" i="17"/>
  <c r="V901" i="17"/>
  <c r="M901" i="17"/>
  <c r="AM901" i="17"/>
  <c r="AB901" i="17"/>
  <c r="P901" i="17"/>
  <c r="AL901" i="17"/>
  <c r="Z901" i="17"/>
  <c r="O901" i="17"/>
  <c r="AH901" i="17"/>
  <c r="R901" i="17"/>
  <c r="AG901" i="17"/>
  <c r="Q901" i="17"/>
  <c r="X901" i="17"/>
  <c r="AR901" i="17"/>
  <c r="U901" i="17"/>
  <c r="AP901" i="17"/>
  <c r="T901" i="17"/>
  <c r="AQ905" i="17"/>
  <c r="AI905" i="17"/>
  <c r="AA905" i="17"/>
  <c r="S905" i="17"/>
  <c r="K905" i="17"/>
  <c r="AR905" i="17"/>
  <c r="AH905" i="17"/>
  <c r="Y905" i="17"/>
  <c r="P905" i="17"/>
  <c r="AP905" i="17"/>
  <c r="AG905" i="17"/>
  <c r="X905" i="17"/>
  <c r="O905" i="17"/>
  <c r="AO905" i="17"/>
  <c r="AD905" i="17"/>
  <c r="R905" i="17"/>
  <c r="AN905" i="17"/>
  <c r="AC905" i="17"/>
  <c r="Q905" i="17"/>
  <c r="AK905" i="17"/>
  <c r="U905" i="17"/>
  <c r="AJ905" i="17"/>
  <c r="T905" i="17"/>
  <c r="Z905" i="17"/>
  <c r="W905" i="17"/>
  <c r="V905" i="17"/>
  <c r="AL905" i="17"/>
  <c r="AM922" i="17"/>
  <c r="AE922" i="17"/>
  <c r="W922" i="17"/>
  <c r="O922" i="17"/>
  <c r="AR922" i="17"/>
  <c r="AI922" i="17"/>
  <c r="Z922" i="17"/>
  <c r="Q922" i="17"/>
  <c r="AQ922" i="17"/>
  <c r="AH922" i="17"/>
  <c r="Y922" i="17"/>
  <c r="P922" i="17"/>
  <c r="AJ922" i="17"/>
  <c r="V922" i="17"/>
  <c r="K922" i="17"/>
  <c r="AG922" i="17"/>
  <c r="U922" i="17"/>
  <c r="J922" i="17"/>
  <c r="AK922" i="17"/>
  <c r="S922" i="17"/>
  <c r="AF922" i="17"/>
  <c r="R922" i="17"/>
  <c r="AN922" i="17"/>
  <c r="N922" i="17"/>
  <c r="AL922" i="17"/>
  <c r="M922" i="17"/>
  <c r="AD922" i="17"/>
  <c r="L922" i="17"/>
  <c r="AQ923" i="17"/>
  <c r="AI923" i="17"/>
  <c r="AA923" i="17"/>
  <c r="S923" i="17"/>
  <c r="K923" i="17"/>
  <c r="AJ923" i="17"/>
  <c r="Z923" i="17"/>
  <c r="Q923" i="17"/>
  <c r="AR923" i="17"/>
  <c r="AH923" i="17"/>
  <c r="Y923" i="17"/>
  <c r="P923" i="17"/>
  <c r="AK923" i="17"/>
  <c r="W923" i="17"/>
  <c r="L923" i="17"/>
  <c r="AG923" i="17"/>
  <c r="V923" i="17"/>
  <c r="J923" i="17"/>
  <c r="AE923" i="17"/>
  <c r="O923" i="17"/>
  <c r="AD923" i="17"/>
  <c r="N923" i="17"/>
  <c r="AP923" i="17"/>
  <c r="X923" i="17"/>
  <c r="AO923" i="17"/>
  <c r="U923" i="17"/>
  <c r="AN923" i="17"/>
  <c r="T923" i="17"/>
  <c r="AQ985" i="17"/>
  <c r="AI985" i="17"/>
  <c r="AA985" i="17"/>
  <c r="S985" i="17"/>
  <c r="K985" i="17"/>
  <c r="AR985" i="17"/>
  <c r="AH985" i="17"/>
  <c r="Y985" i="17"/>
  <c r="P985" i="17"/>
  <c r="AP985" i="17"/>
  <c r="AG985" i="17"/>
  <c r="X985" i="17"/>
  <c r="O985" i="17"/>
  <c r="AN985" i="17"/>
  <c r="AC985" i="17"/>
  <c r="Q985" i="17"/>
  <c r="AM985" i="17"/>
  <c r="AB985" i="17"/>
  <c r="N985" i="17"/>
  <c r="AD985" i="17"/>
  <c r="L985" i="17"/>
  <c r="Z985" i="17"/>
  <c r="J985" i="17"/>
  <c r="AO985" i="17"/>
  <c r="U985" i="17"/>
  <c r="AL985" i="17"/>
  <c r="T985" i="17"/>
  <c r="AK985" i="17"/>
  <c r="R985" i="17"/>
  <c r="AQ995" i="17"/>
  <c r="AI995" i="17"/>
  <c r="AA995" i="17"/>
  <c r="S995" i="17"/>
  <c r="K995" i="17"/>
  <c r="AN995" i="17"/>
  <c r="AE995" i="17"/>
  <c r="V995" i="17"/>
  <c r="M995" i="17"/>
  <c r="AM995" i="17"/>
  <c r="AD995" i="17"/>
  <c r="U995" i="17"/>
  <c r="L995" i="17"/>
  <c r="AP995" i="17"/>
  <c r="AC995" i="17"/>
  <c r="Q995" i="17"/>
  <c r="AO995" i="17"/>
  <c r="AB995" i="17"/>
  <c r="P995" i="17"/>
  <c r="AK995" i="17"/>
  <c r="W995" i="17"/>
  <c r="AJ995" i="17"/>
  <c r="T995" i="17"/>
  <c r="Z995" i="17"/>
  <c r="Y995" i="17"/>
  <c r="X995" i="17"/>
  <c r="AL995" i="17"/>
  <c r="AN1150" i="17"/>
  <c r="AF1150" i="17"/>
  <c r="X1150" i="17"/>
  <c r="P1150" i="17"/>
  <c r="AM1150" i="17"/>
  <c r="AE1150" i="17"/>
  <c r="W1150" i="17"/>
  <c r="O1150" i="17"/>
  <c r="AQ1150" i="17"/>
  <c r="AG1150" i="17"/>
  <c r="U1150" i="17"/>
  <c r="K1150" i="17"/>
  <c r="AP1150" i="17"/>
  <c r="AD1150" i="17"/>
  <c r="T1150" i="17"/>
  <c r="J1150" i="17"/>
  <c r="AR1150" i="17"/>
  <c r="AB1150" i="17"/>
  <c r="N1150" i="17"/>
  <c r="AO1150" i="17"/>
  <c r="AA1150" i="17"/>
  <c r="M1150" i="17"/>
  <c r="Z1150" i="17"/>
  <c r="Y1150" i="17"/>
  <c r="AH1150" i="17"/>
  <c r="AC1150" i="17"/>
  <c r="V1150" i="17"/>
  <c r="AL1150" i="17"/>
  <c r="AN1176" i="17"/>
  <c r="AF1176" i="17"/>
  <c r="X1176" i="17"/>
  <c r="P1176" i="17"/>
  <c r="AM1176" i="17"/>
  <c r="AE1176" i="17"/>
  <c r="W1176" i="17"/>
  <c r="O1176" i="17"/>
  <c r="AI1176" i="17"/>
  <c r="Y1176" i="17"/>
  <c r="M1176" i="17"/>
  <c r="AR1176" i="17"/>
  <c r="AH1176" i="17"/>
  <c r="V1176" i="17"/>
  <c r="L1176" i="17"/>
  <c r="AD1176" i="17"/>
  <c r="R1176" i="17"/>
  <c r="AQ1176" i="17"/>
  <c r="AC1176" i="17"/>
  <c r="Q1176" i="17"/>
  <c r="AG1176" i="17"/>
  <c r="K1176" i="17"/>
  <c r="AB1176" i="17"/>
  <c r="J1176" i="17"/>
  <c r="AJ1176" i="17"/>
  <c r="AA1176" i="17"/>
  <c r="Z1176" i="17"/>
  <c r="AP1176" i="17"/>
  <c r="AR1233" i="17"/>
  <c r="AJ1233" i="17"/>
  <c r="AB1233" i="17"/>
  <c r="T1233" i="17"/>
  <c r="L1233" i="17"/>
  <c r="AQ1233" i="17"/>
  <c r="AI1233" i="17"/>
  <c r="AA1233" i="17"/>
  <c r="S1233" i="17"/>
  <c r="K1233" i="17"/>
  <c r="AL1233" i="17"/>
  <c r="Z1233" i="17"/>
  <c r="P1233" i="17"/>
  <c r="AK1233" i="17"/>
  <c r="Y1233" i="17"/>
  <c r="O1233" i="17"/>
  <c r="AH1233" i="17"/>
  <c r="V1233" i="17"/>
  <c r="AG1233" i="17"/>
  <c r="U1233" i="17"/>
  <c r="AO1233" i="17"/>
  <c r="W1233" i="17"/>
  <c r="AN1233" i="17"/>
  <c r="R1233" i="17"/>
  <c r="AD1233" i="17"/>
  <c r="AC1233" i="17"/>
  <c r="X1233" i="17"/>
  <c r="AF1233" i="17"/>
  <c r="AE1233" i="17"/>
  <c r="Q1233" i="17"/>
  <c r="AR1339" i="17"/>
  <c r="AJ1339" i="17"/>
  <c r="AB1339" i="17"/>
  <c r="T1339" i="17"/>
  <c r="L1339" i="17"/>
  <c r="AQ1339" i="17"/>
  <c r="AI1339" i="17"/>
  <c r="AA1339" i="17"/>
  <c r="S1339" i="17"/>
  <c r="K1339" i="17"/>
  <c r="AN1339" i="17"/>
  <c r="AD1339" i="17"/>
  <c r="R1339" i="17"/>
  <c r="AM1339" i="17"/>
  <c r="AC1339" i="17"/>
  <c r="Q1339" i="17"/>
  <c r="AP1339" i="17"/>
  <c r="Z1339" i="17"/>
  <c r="N1339" i="17"/>
  <c r="AO1339" i="17"/>
  <c r="Y1339" i="17"/>
  <c r="M1339" i="17"/>
  <c r="AH1339" i="17"/>
  <c r="P1339" i="17"/>
  <c r="AG1339" i="17"/>
  <c r="O1339" i="17"/>
  <c r="AE1339" i="17"/>
  <c r="X1339" i="17"/>
  <c r="W1339" i="17"/>
  <c r="V1339" i="17"/>
  <c r="U1339" i="17"/>
  <c r="J1339" i="17"/>
  <c r="AN1342" i="17"/>
  <c r="AF1342" i="17"/>
  <c r="X1342" i="17"/>
  <c r="P1342" i="17"/>
  <c r="AM1342" i="17"/>
  <c r="AE1342" i="17"/>
  <c r="W1342" i="17"/>
  <c r="O1342" i="17"/>
  <c r="AL1342" i="17"/>
  <c r="AB1342" i="17"/>
  <c r="R1342" i="17"/>
  <c r="AK1342" i="17"/>
  <c r="AA1342" i="17"/>
  <c r="Q1342" i="17"/>
  <c r="AO1342" i="17"/>
  <c r="Y1342" i="17"/>
  <c r="K1342" i="17"/>
  <c r="AJ1342" i="17"/>
  <c r="V1342" i="17"/>
  <c r="J1342" i="17"/>
  <c r="AI1342" i="17"/>
  <c r="S1342" i="17"/>
  <c r="AH1342" i="17"/>
  <c r="N1342" i="17"/>
  <c r="AD1342" i="17"/>
  <c r="AC1342" i="17"/>
  <c r="Z1342" i="17"/>
  <c r="AG1342" i="17"/>
  <c r="U1342" i="17"/>
  <c r="T1342" i="17"/>
  <c r="AN1346" i="17"/>
  <c r="AF1346" i="17"/>
  <c r="X1346" i="17"/>
  <c r="P1346" i="17"/>
  <c r="AM1346" i="17"/>
  <c r="AE1346" i="17"/>
  <c r="W1346" i="17"/>
  <c r="O1346" i="17"/>
  <c r="AR1346" i="17"/>
  <c r="AH1346" i="17"/>
  <c r="V1346" i="17"/>
  <c r="L1346" i="17"/>
  <c r="AQ1346" i="17"/>
  <c r="AG1346" i="17"/>
  <c r="U1346" i="17"/>
  <c r="K1346" i="17"/>
  <c r="AP1346" i="17"/>
  <c r="AB1346" i="17"/>
  <c r="N1346" i="17"/>
  <c r="AO1346" i="17"/>
  <c r="AA1346" i="17"/>
  <c r="M1346" i="17"/>
  <c r="AK1346" i="17"/>
  <c r="S1346" i="17"/>
  <c r="AJ1346" i="17"/>
  <c r="R1346" i="17"/>
  <c r="T1346" i="17"/>
  <c r="Q1346" i="17"/>
  <c r="AL1346" i="17"/>
  <c r="J1346" i="17"/>
  <c r="AD1346" i="17"/>
  <c r="AC1346" i="17"/>
  <c r="Z1346" i="17"/>
  <c r="AL1385" i="17"/>
  <c r="AD1385" i="17"/>
  <c r="V1385" i="17"/>
  <c r="N1385" i="17"/>
  <c r="AK1385" i="17"/>
  <c r="AC1385" i="17"/>
  <c r="U1385" i="17"/>
  <c r="M1385" i="17"/>
  <c r="AQ1385" i="17"/>
  <c r="AG1385" i="17"/>
  <c r="W1385" i="17"/>
  <c r="K1385" i="17"/>
  <c r="AP1385" i="17"/>
  <c r="AF1385" i="17"/>
  <c r="T1385" i="17"/>
  <c r="J1385" i="17"/>
  <c r="AR1385" i="17"/>
  <c r="AB1385" i="17"/>
  <c r="P1385" i="17"/>
  <c r="AO1385" i="17"/>
  <c r="AA1385" i="17"/>
  <c r="O1385" i="17"/>
  <c r="AM1385" i="17"/>
  <c r="S1385" i="17"/>
  <c r="AJ1385" i="17"/>
  <c r="R1385" i="17"/>
  <c r="AE1385" i="17"/>
  <c r="Z1385" i="17"/>
  <c r="X1385" i="17"/>
  <c r="Q1385" i="17"/>
  <c r="L1385" i="17"/>
  <c r="AI1385" i="17"/>
  <c r="AH1385" i="17"/>
  <c r="Y1385" i="17"/>
  <c r="AK1642" i="17"/>
  <c r="AC1642" i="17"/>
  <c r="U1642" i="17"/>
  <c r="M1642" i="17"/>
  <c r="AR1642" i="17"/>
  <c r="AJ1642" i="17"/>
  <c r="AB1642" i="17"/>
  <c r="T1642" i="17"/>
  <c r="L1642" i="17"/>
  <c r="AM1642" i="17"/>
  <c r="AA1642" i="17"/>
  <c r="Q1642" i="17"/>
  <c r="AL1642" i="17"/>
  <c r="Z1642" i="17"/>
  <c r="P1642" i="17"/>
  <c r="AH1642" i="17"/>
  <c r="V1642" i="17"/>
  <c r="AG1642" i="17"/>
  <c r="S1642" i="17"/>
  <c r="AE1642" i="17"/>
  <c r="K1642" i="17"/>
  <c r="AD1642" i="17"/>
  <c r="J1642" i="17"/>
  <c r="AF1642" i="17"/>
  <c r="Y1642" i="17"/>
  <c r="R1642" i="17"/>
  <c r="AQ1642" i="17"/>
  <c r="O1642" i="17"/>
  <c r="AP1642" i="17"/>
  <c r="N1642" i="17"/>
  <c r="AO1642" i="17"/>
  <c r="AN1642" i="17"/>
  <c r="AI1642" i="17"/>
  <c r="AN1871" i="17"/>
  <c r="AF1871" i="17"/>
  <c r="X1871" i="17"/>
  <c r="P1871" i="17"/>
  <c r="AP1871" i="17"/>
  <c r="AG1871" i="17"/>
  <c r="W1871" i="17"/>
  <c r="N1871" i="17"/>
  <c r="AO1871" i="17"/>
  <c r="AE1871" i="17"/>
  <c r="V1871" i="17"/>
  <c r="M1871" i="17"/>
  <c r="AK1871" i="17"/>
  <c r="Z1871" i="17"/>
  <c r="L1871" i="17"/>
  <c r="AJ1871" i="17"/>
  <c r="Y1871" i="17"/>
  <c r="K1871" i="17"/>
  <c r="AI1871" i="17"/>
  <c r="S1871" i="17"/>
  <c r="AH1871" i="17"/>
  <c r="R1871" i="17"/>
  <c r="AM1871" i="17"/>
  <c r="Q1871" i="17"/>
  <c r="AL1871" i="17"/>
  <c r="O1871" i="17"/>
  <c r="AC1871" i="17"/>
  <c r="AB1871" i="17"/>
  <c r="U1871" i="17"/>
  <c r="T1871" i="17"/>
  <c r="AR1871" i="17"/>
  <c r="AQ1871" i="17"/>
  <c r="AD1871" i="17"/>
  <c r="AA1871" i="17"/>
  <c r="J1871" i="17"/>
  <c r="AL246" i="17"/>
  <c r="AD246" i="17"/>
  <c r="V246" i="17"/>
  <c r="N246" i="17"/>
  <c r="AK246" i="17"/>
  <c r="AC246" i="17"/>
  <c r="U246" i="17"/>
  <c r="M246" i="17"/>
  <c r="S246" i="17"/>
  <c r="AE246" i="17"/>
  <c r="AO246" i="17"/>
  <c r="AL262" i="17"/>
  <c r="AD262" i="17"/>
  <c r="V262" i="17"/>
  <c r="N262" i="17"/>
  <c r="AK262" i="17"/>
  <c r="AC262" i="17"/>
  <c r="U262" i="17"/>
  <c r="M262" i="17"/>
  <c r="S262" i="17"/>
  <c r="AE262" i="17"/>
  <c r="AO262" i="17"/>
  <c r="J264" i="17"/>
  <c r="T264" i="17"/>
  <c r="AF264" i="17"/>
  <c r="AP264" i="17"/>
  <c r="AL278" i="17"/>
  <c r="AD278" i="17"/>
  <c r="V278" i="17"/>
  <c r="N278" i="17"/>
  <c r="AK278" i="17"/>
  <c r="AC278" i="17"/>
  <c r="U278" i="17"/>
  <c r="M278" i="17"/>
  <c r="S278" i="17"/>
  <c r="AE278" i="17"/>
  <c r="AO278" i="17"/>
  <c r="J280" i="17"/>
  <c r="T280" i="17"/>
  <c r="AF280" i="17"/>
  <c r="AP280" i="17"/>
  <c r="AL294" i="17"/>
  <c r="AD294" i="17"/>
  <c r="V294" i="17"/>
  <c r="N294" i="17"/>
  <c r="AK294" i="17"/>
  <c r="AC294" i="17"/>
  <c r="U294" i="17"/>
  <c r="M294" i="17"/>
  <c r="S294" i="17"/>
  <c r="AE294" i="17"/>
  <c r="AO294" i="17"/>
  <c r="J296" i="17"/>
  <c r="T296" i="17"/>
  <c r="AF296" i="17"/>
  <c r="AP296" i="17"/>
  <c r="AL310" i="17"/>
  <c r="AD310" i="17"/>
  <c r="V310" i="17"/>
  <c r="N310" i="17"/>
  <c r="AK310" i="17"/>
  <c r="AC310" i="17"/>
  <c r="U310" i="17"/>
  <c r="M310" i="17"/>
  <c r="S310" i="17"/>
  <c r="AE310" i="17"/>
  <c r="AO310" i="17"/>
  <c r="J312" i="17"/>
  <c r="T312" i="17"/>
  <c r="AF312" i="17"/>
  <c r="AP312" i="17"/>
  <c r="AL326" i="17"/>
  <c r="AD326" i="17"/>
  <c r="V326" i="17"/>
  <c r="N326" i="17"/>
  <c r="AK326" i="17"/>
  <c r="AC326" i="17"/>
  <c r="U326" i="17"/>
  <c r="M326" i="17"/>
  <c r="S326" i="17"/>
  <c r="AE326" i="17"/>
  <c r="AO326" i="17"/>
  <c r="J328" i="17"/>
  <c r="T328" i="17"/>
  <c r="AF328" i="17"/>
  <c r="AP328" i="17"/>
  <c r="AL402" i="17"/>
  <c r="AD402" i="17"/>
  <c r="V402" i="17"/>
  <c r="N402" i="17"/>
  <c r="AK402" i="17"/>
  <c r="AC402" i="17"/>
  <c r="U402" i="17"/>
  <c r="M402" i="17"/>
  <c r="S402" i="17"/>
  <c r="AE402" i="17"/>
  <c r="AO402" i="17"/>
  <c r="J404" i="17"/>
  <c r="T404" i="17"/>
  <c r="AF404" i="17"/>
  <c r="AP404" i="17"/>
  <c r="AL418" i="17"/>
  <c r="AD418" i="17"/>
  <c r="V418" i="17"/>
  <c r="N418" i="17"/>
  <c r="AK418" i="17"/>
  <c r="AC418" i="17"/>
  <c r="U418" i="17"/>
  <c r="M418" i="17"/>
  <c r="S418" i="17"/>
  <c r="AE418" i="17"/>
  <c r="AO418" i="17"/>
  <c r="J420" i="17"/>
  <c r="T420" i="17"/>
  <c r="AF420" i="17"/>
  <c r="AP420" i="17"/>
  <c r="AL434" i="17"/>
  <c r="AD434" i="17"/>
  <c r="V434" i="17"/>
  <c r="N434" i="17"/>
  <c r="AK434" i="17"/>
  <c r="AC434" i="17"/>
  <c r="U434" i="17"/>
  <c r="M434" i="17"/>
  <c r="S434" i="17"/>
  <c r="AE434" i="17"/>
  <c r="AO434" i="17"/>
  <c r="J436" i="17"/>
  <c r="T436" i="17"/>
  <c r="AF436" i="17"/>
  <c r="AP436" i="17"/>
  <c r="AL450" i="17"/>
  <c r="AD450" i="17"/>
  <c r="V450" i="17"/>
  <c r="N450" i="17"/>
  <c r="AK450" i="17"/>
  <c r="AC450" i="17"/>
  <c r="U450" i="17"/>
  <c r="M450" i="17"/>
  <c r="S450" i="17"/>
  <c r="AE450" i="17"/>
  <c r="AO450" i="17"/>
  <c r="J452" i="17"/>
  <c r="T452" i="17"/>
  <c r="AF452" i="17"/>
  <c r="AP452" i="17"/>
  <c r="AL466" i="17"/>
  <c r="AD466" i="17"/>
  <c r="V466" i="17"/>
  <c r="N466" i="17"/>
  <c r="AK466" i="17"/>
  <c r="AC466" i="17"/>
  <c r="U466" i="17"/>
  <c r="M466" i="17"/>
  <c r="S466" i="17"/>
  <c r="AE466" i="17"/>
  <c r="AO466" i="17"/>
  <c r="J468" i="17"/>
  <c r="T468" i="17"/>
  <c r="AF468" i="17"/>
  <c r="AP468" i="17"/>
  <c r="AL482" i="17"/>
  <c r="AD482" i="17"/>
  <c r="V482" i="17"/>
  <c r="N482" i="17"/>
  <c r="AK482" i="17"/>
  <c r="AC482" i="17"/>
  <c r="U482" i="17"/>
  <c r="M482" i="17"/>
  <c r="S482" i="17"/>
  <c r="AE482" i="17"/>
  <c r="AO482" i="17"/>
  <c r="J484" i="17"/>
  <c r="T484" i="17"/>
  <c r="AF484" i="17"/>
  <c r="AP484" i="17"/>
  <c r="AL498" i="17"/>
  <c r="AD498" i="17"/>
  <c r="V498" i="17"/>
  <c r="N498" i="17"/>
  <c r="AK498" i="17"/>
  <c r="AC498" i="17"/>
  <c r="U498" i="17"/>
  <c r="M498" i="17"/>
  <c r="S498" i="17"/>
  <c r="AE498" i="17"/>
  <c r="AO498" i="17"/>
  <c r="J500" i="17"/>
  <c r="T500" i="17"/>
  <c r="AF500" i="17"/>
  <c r="AP500" i="17"/>
  <c r="AL514" i="17"/>
  <c r="AD514" i="17"/>
  <c r="V514" i="17"/>
  <c r="N514" i="17"/>
  <c r="AK514" i="17"/>
  <c r="AC514" i="17"/>
  <c r="U514" i="17"/>
  <c r="M514" i="17"/>
  <c r="S514" i="17"/>
  <c r="AE514" i="17"/>
  <c r="AO514" i="17"/>
  <c r="J516" i="17"/>
  <c r="T516" i="17"/>
  <c r="AF516" i="17"/>
  <c r="AP516" i="17"/>
  <c r="AL530" i="17"/>
  <c r="AD530" i="17"/>
  <c r="V530" i="17"/>
  <c r="N530" i="17"/>
  <c r="AK530" i="17"/>
  <c r="AC530" i="17"/>
  <c r="U530" i="17"/>
  <c r="M530" i="17"/>
  <c r="S530" i="17"/>
  <c r="AE530" i="17"/>
  <c r="AO530" i="17"/>
  <c r="J532" i="17"/>
  <c r="T532" i="17"/>
  <c r="AF532" i="17"/>
  <c r="AP532" i="17"/>
  <c r="AL546" i="17"/>
  <c r="AD546" i="17"/>
  <c r="V546" i="17"/>
  <c r="N546" i="17"/>
  <c r="AK546" i="17"/>
  <c r="AC546" i="17"/>
  <c r="U546" i="17"/>
  <c r="M546" i="17"/>
  <c r="S546" i="17"/>
  <c r="AE546" i="17"/>
  <c r="AO546" i="17"/>
  <c r="J548" i="17"/>
  <c r="T548" i="17"/>
  <c r="AF548" i="17"/>
  <c r="AP548" i="17"/>
  <c r="AL562" i="17"/>
  <c r="AD562" i="17"/>
  <c r="V562" i="17"/>
  <c r="N562" i="17"/>
  <c r="AK562" i="17"/>
  <c r="AC562" i="17"/>
  <c r="U562" i="17"/>
  <c r="M562" i="17"/>
  <c r="S562" i="17"/>
  <c r="AE562" i="17"/>
  <c r="AO562" i="17"/>
  <c r="J564" i="17"/>
  <c r="T564" i="17"/>
  <c r="AF564" i="17"/>
  <c r="AP564" i="17"/>
  <c r="AL578" i="17"/>
  <c r="AD578" i="17"/>
  <c r="V578" i="17"/>
  <c r="N578" i="17"/>
  <c r="AK578" i="17"/>
  <c r="AC578" i="17"/>
  <c r="U578" i="17"/>
  <c r="M578" i="17"/>
  <c r="S578" i="17"/>
  <c r="AE578" i="17"/>
  <c r="AO578" i="17"/>
  <c r="J580" i="17"/>
  <c r="T580" i="17"/>
  <c r="AF580" i="17"/>
  <c r="AP580" i="17"/>
  <c r="AK594" i="17"/>
  <c r="AM594" i="17"/>
  <c r="AD594" i="17"/>
  <c r="V594" i="17"/>
  <c r="N594" i="17"/>
  <c r="AL594" i="17"/>
  <c r="AC594" i="17"/>
  <c r="U594" i="17"/>
  <c r="M594" i="17"/>
  <c r="S594" i="17"/>
  <c r="AE594" i="17"/>
  <c r="AP594" i="17"/>
  <c r="AK614" i="17"/>
  <c r="AC614" i="17"/>
  <c r="U614" i="17"/>
  <c r="M614" i="17"/>
  <c r="AR614" i="17"/>
  <c r="AJ614" i="17"/>
  <c r="AB614" i="17"/>
  <c r="T614" i="17"/>
  <c r="L614" i="17"/>
  <c r="AM614" i="17"/>
  <c r="AA614" i="17"/>
  <c r="Q614" i="17"/>
  <c r="AL614" i="17"/>
  <c r="Z614" i="17"/>
  <c r="P614" i="17"/>
  <c r="AH614" i="17"/>
  <c r="V614" i="17"/>
  <c r="X614" i="17"/>
  <c r="AO614" i="17"/>
  <c r="O622" i="17"/>
  <c r="AD622" i="17"/>
  <c r="J624" i="17"/>
  <c r="Y624" i="17"/>
  <c r="AP624" i="17"/>
  <c r="N638" i="17"/>
  <c r="AH638" i="17"/>
  <c r="K662" i="17"/>
  <c r="AF662" i="17"/>
  <c r="AK688" i="17"/>
  <c r="AC688" i="17"/>
  <c r="U688" i="17"/>
  <c r="M688" i="17"/>
  <c r="AR688" i="17"/>
  <c r="AJ688" i="17"/>
  <c r="AB688" i="17"/>
  <c r="T688" i="17"/>
  <c r="L688" i="17"/>
  <c r="AN688" i="17"/>
  <c r="AD688" i="17"/>
  <c r="R688" i="17"/>
  <c r="AM688" i="17"/>
  <c r="AA688" i="17"/>
  <c r="Q688" i="17"/>
  <c r="AP688" i="17"/>
  <c r="Z688" i="17"/>
  <c r="N688" i="17"/>
  <c r="AE688" i="17"/>
  <c r="K688" i="17"/>
  <c r="AO688" i="17"/>
  <c r="Y688" i="17"/>
  <c r="AK712" i="17"/>
  <c r="AC712" i="17"/>
  <c r="U712" i="17"/>
  <c r="M712" i="17"/>
  <c r="AR712" i="17"/>
  <c r="AJ712" i="17"/>
  <c r="AB712" i="17"/>
  <c r="T712" i="17"/>
  <c r="L712" i="17"/>
  <c r="AH712" i="17"/>
  <c r="X712" i="17"/>
  <c r="N712" i="17"/>
  <c r="AQ712" i="17"/>
  <c r="AG712" i="17"/>
  <c r="W712" i="17"/>
  <c r="K712" i="17"/>
  <c r="AN712" i="17"/>
  <c r="Z712" i="17"/>
  <c r="J712" i="17"/>
  <c r="AL712" i="17"/>
  <c r="S712" i="17"/>
  <c r="AI712" i="17"/>
  <c r="R712" i="17"/>
  <c r="AF712" i="17"/>
  <c r="Q712" i="17"/>
  <c r="AM712" i="17"/>
  <c r="AK726" i="17"/>
  <c r="AC726" i="17"/>
  <c r="U726" i="17"/>
  <c r="M726" i="17"/>
  <c r="AR726" i="17"/>
  <c r="AJ726" i="17"/>
  <c r="AB726" i="17"/>
  <c r="T726" i="17"/>
  <c r="L726" i="17"/>
  <c r="AM726" i="17"/>
  <c r="AA726" i="17"/>
  <c r="Q726" i="17"/>
  <c r="AL726" i="17"/>
  <c r="Z726" i="17"/>
  <c r="P726" i="17"/>
  <c r="AH726" i="17"/>
  <c r="V726" i="17"/>
  <c r="AI726" i="17"/>
  <c r="S726" i="17"/>
  <c r="AG726" i="17"/>
  <c r="R726" i="17"/>
  <c r="AF726" i="17"/>
  <c r="O726" i="17"/>
  <c r="AE726" i="17"/>
  <c r="AK752" i="17"/>
  <c r="AC752" i="17"/>
  <c r="U752" i="17"/>
  <c r="M752" i="17"/>
  <c r="AR752" i="17"/>
  <c r="AJ752" i="17"/>
  <c r="AB752" i="17"/>
  <c r="T752" i="17"/>
  <c r="L752" i="17"/>
  <c r="AN752" i="17"/>
  <c r="AD752" i="17"/>
  <c r="R752" i="17"/>
  <c r="AM752" i="17"/>
  <c r="AA752" i="17"/>
  <c r="Q752" i="17"/>
  <c r="AH752" i="17"/>
  <c r="V752" i="17"/>
  <c r="AL752" i="17"/>
  <c r="W752" i="17"/>
  <c r="AI752" i="17"/>
  <c r="S752" i="17"/>
  <c r="AG752" i="17"/>
  <c r="P752" i="17"/>
  <c r="AE752" i="17"/>
  <c r="AK766" i="17"/>
  <c r="AC766" i="17"/>
  <c r="U766" i="17"/>
  <c r="M766" i="17"/>
  <c r="AR766" i="17"/>
  <c r="AJ766" i="17"/>
  <c r="AB766" i="17"/>
  <c r="T766" i="17"/>
  <c r="L766" i="17"/>
  <c r="AQ766" i="17"/>
  <c r="AG766" i="17"/>
  <c r="W766" i="17"/>
  <c r="K766" i="17"/>
  <c r="AP766" i="17"/>
  <c r="AF766" i="17"/>
  <c r="V766" i="17"/>
  <c r="J766" i="17"/>
  <c r="AD766" i="17"/>
  <c r="P766" i="17"/>
  <c r="AN766" i="17"/>
  <c r="Y766" i="17"/>
  <c r="AM766" i="17"/>
  <c r="X766" i="17"/>
  <c r="AL766" i="17"/>
  <c r="S766" i="17"/>
  <c r="AH766" i="17"/>
  <c r="AM818" i="17"/>
  <c r="AE818" i="17"/>
  <c r="W818" i="17"/>
  <c r="O818" i="17"/>
  <c r="AN818" i="17"/>
  <c r="AD818" i="17"/>
  <c r="U818" i="17"/>
  <c r="L818" i="17"/>
  <c r="AL818" i="17"/>
  <c r="AC818" i="17"/>
  <c r="T818" i="17"/>
  <c r="K818" i="17"/>
  <c r="AO818" i="17"/>
  <c r="AA818" i="17"/>
  <c r="P818" i="17"/>
  <c r="AK818" i="17"/>
  <c r="Z818" i="17"/>
  <c r="N818" i="17"/>
  <c r="AJ818" i="17"/>
  <c r="V818" i="17"/>
  <c r="AI818" i="17"/>
  <c r="S818" i="17"/>
  <c r="AP818" i="17"/>
  <c r="Q818" i="17"/>
  <c r="AH818" i="17"/>
  <c r="M818" i="17"/>
  <c r="AG818" i="17"/>
  <c r="J818" i="17"/>
  <c r="AQ819" i="17"/>
  <c r="AI819" i="17"/>
  <c r="AA819" i="17"/>
  <c r="S819" i="17"/>
  <c r="K819" i="17"/>
  <c r="AN819" i="17"/>
  <c r="AE819" i="17"/>
  <c r="V819" i="17"/>
  <c r="M819" i="17"/>
  <c r="AM819" i="17"/>
  <c r="AD819" i="17"/>
  <c r="U819" i="17"/>
  <c r="L819" i="17"/>
  <c r="AO819" i="17"/>
  <c r="AB819" i="17"/>
  <c r="P819" i="17"/>
  <c r="AL819" i="17"/>
  <c r="Z819" i="17"/>
  <c r="O819" i="17"/>
  <c r="AH819" i="17"/>
  <c r="R819" i="17"/>
  <c r="AG819" i="17"/>
  <c r="Q819" i="17"/>
  <c r="X819" i="17"/>
  <c r="AR819" i="17"/>
  <c r="W819" i="17"/>
  <c r="AP819" i="17"/>
  <c r="T819" i="17"/>
  <c r="AM832" i="17"/>
  <c r="AE832" i="17"/>
  <c r="W832" i="17"/>
  <c r="O832" i="17"/>
  <c r="AL832" i="17"/>
  <c r="AC832" i="17"/>
  <c r="T832" i="17"/>
  <c r="K832" i="17"/>
  <c r="AK832" i="17"/>
  <c r="AB832" i="17"/>
  <c r="S832" i="17"/>
  <c r="J832" i="17"/>
  <c r="AQ832" i="17"/>
  <c r="AF832" i="17"/>
  <c r="R832" i="17"/>
  <c r="AP832" i="17"/>
  <c r="AD832" i="17"/>
  <c r="Q832" i="17"/>
  <c r="AG832" i="17"/>
  <c r="N832" i="17"/>
  <c r="AA832" i="17"/>
  <c r="M832" i="17"/>
  <c r="Y832" i="17"/>
  <c r="AR832" i="17"/>
  <c r="X832" i="17"/>
  <c r="AO832" i="17"/>
  <c r="V832" i="17"/>
  <c r="AN832" i="17"/>
  <c r="AM858" i="17"/>
  <c r="AE858" i="17"/>
  <c r="W858" i="17"/>
  <c r="O858" i="17"/>
  <c r="AR858" i="17"/>
  <c r="AI858" i="17"/>
  <c r="Z858" i="17"/>
  <c r="Q858" i="17"/>
  <c r="AQ858" i="17"/>
  <c r="AH858" i="17"/>
  <c r="Y858" i="17"/>
  <c r="P858" i="17"/>
  <c r="AO858" i="17"/>
  <c r="AC858" i="17"/>
  <c r="R858" i="17"/>
  <c r="AN858" i="17"/>
  <c r="AB858" i="17"/>
  <c r="N858" i="17"/>
  <c r="AA858" i="17"/>
  <c r="K858" i="17"/>
  <c r="AP858" i="17"/>
  <c r="X858" i="17"/>
  <c r="J858" i="17"/>
  <c r="AD858" i="17"/>
  <c r="V858" i="17"/>
  <c r="U858" i="17"/>
  <c r="AK858" i="17"/>
  <c r="AM870" i="17"/>
  <c r="AE870" i="17"/>
  <c r="W870" i="17"/>
  <c r="O870" i="17"/>
  <c r="AP870" i="17"/>
  <c r="AG870" i="17"/>
  <c r="X870" i="17"/>
  <c r="N870" i="17"/>
  <c r="AO870" i="17"/>
  <c r="AF870" i="17"/>
  <c r="V870" i="17"/>
  <c r="M870" i="17"/>
  <c r="AR870" i="17"/>
  <c r="AD870" i="17"/>
  <c r="S870" i="17"/>
  <c r="AQ870" i="17"/>
  <c r="AC870" i="17"/>
  <c r="R870" i="17"/>
  <c r="AB870" i="17"/>
  <c r="L870" i="17"/>
  <c r="AA870" i="17"/>
  <c r="K870" i="17"/>
  <c r="Z870" i="17"/>
  <c r="Y870" i="17"/>
  <c r="AN870" i="17"/>
  <c r="U870" i="17"/>
  <c r="AK870" i="17"/>
  <c r="AQ887" i="17"/>
  <c r="AI887" i="17"/>
  <c r="AA887" i="17"/>
  <c r="S887" i="17"/>
  <c r="K887" i="17"/>
  <c r="AP887" i="17"/>
  <c r="AG887" i="17"/>
  <c r="X887" i="17"/>
  <c r="O887" i="17"/>
  <c r="AO887" i="17"/>
  <c r="AF887" i="17"/>
  <c r="W887" i="17"/>
  <c r="N887" i="17"/>
  <c r="AK887" i="17"/>
  <c r="Y887" i="17"/>
  <c r="L887" i="17"/>
  <c r="AJ887" i="17"/>
  <c r="V887" i="17"/>
  <c r="J887" i="17"/>
  <c r="AM887" i="17"/>
  <c r="U887" i="17"/>
  <c r="AL887" i="17"/>
  <c r="T887" i="17"/>
  <c r="Z887" i="17"/>
  <c r="AR887" i="17"/>
  <c r="R887" i="17"/>
  <c r="AN887" i="17"/>
  <c r="Q887" i="17"/>
  <c r="N890" i="17"/>
  <c r="R900" i="17"/>
  <c r="J901" i="17"/>
  <c r="J905" i="17"/>
  <c r="AM905" i="17"/>
  <c r="T922" i="17"/>
  <c r="M923" i="17"/>
  <c r="M985" i="17"/>
  <c r="J995" i="17"/>
  <c r="AR995" i="17"/>
  <c r="AM1024" i="17"/>
  <c r="AE1024" i="17"/>
  <c r="W1024" i="17"/>
  <c r="O1024" i="17"/>
  <c r="AL1024" i="17"/>
  <c r="AC1024" i="17"/>
  <c r="T1024" i="17"/>
  <c r="K1024" i="17"/>
  <c r="AK1024" i="17"/>
  <c r="AB1024" i="17"/>
  <c r="S1024" i="17"/>
  <c r="J1024" i="17"/>
  <c r="AJ1024" i="17"/>
  <c r="Y1024" i="17"/>
  <c r="M1024" i="17"/>
  <c r="AI1024" i="17"/>
  <c r="X1024" i="17"/>
  <c r="L1024" i="17"/>
  <c r="AG1024" i="17"/>
  <c r="Q1024" i="17"/>
  <c r="AF1024" i="17"/>
  <c r="P1024" i="17"/>
  <c r="AR1024" i="17"/>
  <c r="Z1024" i="17"/>
  <c r="AQ1024" i="17"/>
  <c r="V1024" i="17"/>
  <c r="AP1024" i="17"/>
  <c r="U1024" i="17"/>
  <c r="AN1078" i="17"/>
  <c r="AF1078" i="17"/>
  <c r="X1078" i="17"/>
  <c r="P1078" i="17"/>
  <c r="AM1078" i="17"/>
  <c r="AE1078" i="17"/>
  <c r="W1078" i="17"/>
  <c r="O1078" i="17"/>
  <c r="AQ1078" i="17"/>
  <c r="AG1078" i="17"/>
  <c r="U1078" i="17"/>
  <c r="K1078" i="17"/>
  <c r="AP1078" i="17"/>
  <c r="AD1078" i="17"/>
  <c r="T1078" i="17"/>
  <c r="J1078" i="17"/>
  <c r="AH1078" i="17"/>
  <c r="R1078" i="17"/>
  <c r="AC1078" i="17"/>
  <c r="Q1078" i="17"/>
  <c r="AL1078" i="17"/>
  <c r="V1078" i="17"/>
  <c r="AK1078" i="17"/>
  <c r="S1078" i="17"/>
  <c r="AB1078" i="17"/>
  <c r="AA1078" i="17"/>
  <c r="Z1078" i="17"/>
  <c r="AR1078" i="17"/>
  <c r="AN1080" i="17"/>
  <c r="AF1080" i="17"/>
  <c r="X1080" i="17"/>
  <c r="P1080" i="17"/>
  <c r="AM1080" i="17"/>
  <c r="AE1080" i="17"/>
  <c r="W1080" i="17"/>
  <c r="O1080" i="17"/>
  <c r="AI1080" i="17"/>
  <c r="Y1080" i="17"/>
  <c r="M1080" i="17"/>
  <c r="AR1080" i="17"/>
  <c r="AH1080" i="17"/>
  <c r="V1080" i="17"/>
  <c r="L1080" i="17"/>
  <c r="AD1080" i="17"/>
  <c r="R1080" i="17"/>
  <c r="AQ1080" i="17"/>
  <c r="AC1080" i="17"/>
  <c r="Q1080" i="17"/>
  <c r="AO1080" i="17"/>
  <c r="U1080" i="17"/>
  <c r="AL1080" i="17"/>
  <c r="T1080" i="17"/>
  <c r="S1080" i="17"/>
  <c r="AP1080" i="17"/>
  <c r="N1080" i="17"/>
  <c r="AK1080" i="17"/>
  <c r="K1080" i="17"/>
  <c r="AR1147" i="17"/>
  <c r="AJ1147" i="17"/>
  <c r="AB1147" i="17"/>
  <c r="T1147" i="17"/>
  <c r="L1147" i="17"/>
  <c r="AQ1147" i="17"/>
  <c r="AI1147" i="17"/>
  <c r="AA1147" i="17"/>
  <c r="S1147" i="17"/>
  <c r="K1147" i="17"/>
  <c r="AG1147" i="17"/>
  <c r="W1147" i="17"/>
  <c r="M1147" i="17"/>
  <c r="AP1147" i="17"/>
  <c r="AF1147" i="17"/>
  <c r="V1147" i="17"/>
  <c r="J1147" i="17"/>
  <c r="AD1147" i="17"/>
  <c r="P1147" i="17"/>
  <c r="AO1147" i="17"/>
  <c r="AC1147" i="17"/>
  <c r="O1147" i="17"/>
  <c r="Y1147" i="17"/>
  <c r="AN1147" i="17"/>
  <c r="X1147" i="17"/>
  <c r="AH1147" i="17"/>
  <c r="AE1147" i="17"/>
  <c r="Z1147" i="17"/>
  <c r="L1150" i="17"/>
  <c r="N1176" i="17"/>
  <c r="AR1179" i="17"/>
  <c r="AJ1179" i="17"/>
  <c r="AB1179" i="17"/>
  <c r="T1179" i="17"/>
  <c r="L1179" i="17"/>
  <c r="AQ1179" i="17"/>
  <c r="AI1179" i="17"/>
  <c r="AA1179" i="17"/>
  <c r="S1179" i="17"/>
  <c r="K1179" i="17"/>
  <c r="AG1179" i="17"/>
  <c r="W1179" i="17"/>
  <c r="M1179" i="17"/>
  <c r="AP1179" i="17"/>
  <c r="AF1179" i="17"/>
  <c r="V1179" i="17"/>
  <c r="J1179" i="17"/>
  <c r="AD1179" i="17"/>
  <c r="P1179" i="17"/>
  <c r="AO1179" i="17"/>
  <c r="AC1179" i="17"/>
  <c r="O1179" i="17"/>
  <c r="AK1179" i="17"/>
  <c r="Q1179" i="17"/>
  <c r="AH1179" i="17"/>
  <c r="N1179" i="17"/>
  <c r="X1179" i="17"/>
  <c r="U1179" i="17"/>
  <c r="AN1179" i="17"/>
  <c r="R1179" i="17"/>
  <c r="AN1198" i="17"/>
  <c r="AF1198" i="17"/>
  <c r="X1198" i="17"/>
  <c r="P1198" i="17"/>
  <c r="AM1198" i="17"/>
  <c r="AE1198" i="17"/>
  <c r="W1198" i="17"/>
  <c r="O1198" i="17"/>
  <c r="AL1198" i="17"/>
  <c r="AB1198" i="17"/>
  <c r="R1198" i="17"/>
  <c r="AK1198" i="17"/>
  <c r="AA1198" i="17"/>
  <c r="Q1198" i="17"/>
  <c r="AO1198" i="17"/>
  <c r="Y1198" i="17"/>
  <c r="K1198" i="17"/>
  <c r="AJ1198" i="17"/>
  <c r="V1198" i="17"/>
  <c r="J1198" i="17"/>
  <c r="AG1198" i="17"/>
  <c r="M1198" i="17"/>
  <c r="AD1198" i="17"/>
  <c r="L1198" i="17"/>
  <c r="U1198" i="17"/>
  <c r="AR1198" i="17"/>
  <c r="T1198" i="17"/>
  <c r="AQ1198" i="17"/>
  <c r="S1198" i="17"/>
  <c r="AP1198" i="17"/>
  <c r="AI1198" i="17"/>
  <c r="AH1198" i="17"/>
  <c r="J1233" i="17"/>
  <c r="AR1257" i="17"/>
  <c r="AJ1257" i="17"/>
  <c r="AB1257" i="17"/>
  <c r="T1257" i="17"/>
  <c r="L1257" i="17"/>
  <c r="AQ1257" i="17"/>
  <c r="AI1257" i="17"/>
  <c r="AA1257" i="17"/>
  <c r="S1257" i="17"/>
  <c r="K1257" i="17"/>
  <c r="AL1257" i="17"/>
  <c r="Z1257" i="17"/>
  <c r="P1257" i="17"/>
  <c r="AK1257" i="17"/>
  <c r="Y1257" i="17"/>
  <c r="O1257" i="17"/>
  <c r="AP1257" i="17"/>
  <c r="AD1257" i="17"/>
  <c r="N1257" i="17"/>
  <c r="AO1257" i="17"/>
  <c r="AC1257" i="17"/>
  <c r="M1257" i="17"/>
  <c r="X1257" i="17"/>
  <c r="W1257" i="17"/>
  <c r="U1257" i="17"/>
  <c r="AN1257" i="17"/>
  <c r="R1257" i="17"/>
  <c r="AM1257" i="17"/>
  <c r="Q1257" i="17"/>
  <c r="AE1257" i="17"/>
  <c r="V1257" i="17"/>
  <c r="J1257" i="17"/>
  <c r="AR1275" i="17"/>
  <c r="AJ1275" i="17"/>
  <c r="AB1275" i="17"/>
  <c r="T1275" i="17"/>
  <c r="L1275" i="17"/>
  <c r="AQ1275" i="17"/>
  <c r="AI1275" i="17"/>
  <c r="AA1275" i="17"/>
  <c r="S1275" i="17"/>
  <c r="K1275" i="17"/>
  <c r="AN1275" i="17"/>
  <c r="AD1275" i="17"/>
  <c r="R1275" i="17"/>
  <c r="AM1275" i="17"/>
  <c r="AC1275" i="17"/>
  <c r="Q1275" i="17"/>
  <c r="AP1275" i="17"/>
  <c r="Z1275" i="17"/>
  <c r="N1275" i="17"/>
  <c r="AO1275" i="17"/>
  <c r="Y1275" i="17"/>
  <c r="M1275" i="17"/>
  <c r="AH1275" i="17"/>
  <c r="P1275" i="17"/>
  <c r="AG1275" i="17"/>
  <c r="O1275" i="17"/>
  <c r="AF1275" i="17"/>
  <c r="AE1275" i="17"/>
  <c r="X1275" i="17"/>
  <c r="AL1275" i="17"/>
  <c r="AK1275" i="17"/>
  <c r="W1275" i="17"/>
  <c r="AR1289" i="17"/>
  <c r="AJ1289" i="17"/>
  <c r="AB1289" i="17"/>
  <c r="T1289" i="17"/>
  <c r="L1289" i="17"/>
  <c r="AQ1289" i="17"/>
  <c r="AI1289" i="17"/>
  <c r="AA1289" i="17"/>
  <c r="S1289" i="17"/>
  <c r="K1289" i="17"/>
  <c r="AL1289" i="17"/>
  <c r="Z1289" i="17"/>
  <c r="P1289" i="17"/>
  <c r="AK1289" i="17"/>
  <c r="Y1289" i="17"/>
  <c r="O1289" i="17"/>
  <c r="AP1289" i="17"/>
  <c r="AD1289" i="17"/>
  <c r="N1289" i="17"/>
  <c r="AO1289" i="17"/>
  <c r="AC1289" i="17"/>
  <c r="M1289" i="17"/>
  <c r="AH1289" i="17"/>
  <c r="R1289" i="17"/>
  <c r="AG1289" i="17"/>
  <c r="Q1289" i="17"/>
  <c r="V1289" i="17"/>
  <c r="U1289" i="17"/>
  <c r="AN1289" i="17"/>
  <c r="J1289" i="17"/>
  <c r="AF1289" i="17"/>
  <c r="AE1289" i="17"/>
  <c r="X1289" i="17"/>
  <c r="AN1292" i="17"/>
  <c r="AF1292" i="17"/>
  <c r="X1292" i="17"/>
  <c r="P1292" i="17"/>
  <c r="AM1292" i="17"/>
  <c r="AE1292" i="17"/>
  <c r="W1292" i="17"/>
  <c r="O1292" i="17"/>
  <c r="AJ1292" i="17"/>
  <c r="Z1292" i="17"/>
  <c r="N1292" i="17"/>
  <c r="AI1292" i="17"/>
  <c r="Y1292" i="17"/>
  <c r="M1292" i="17"/>
  <c r="AH1292" i="17"/>
  <c r="T1292" i="17"/>
  <c r="AG1292" i="17"/>
  <c r="S1292" i="17"/>
  <c r="AP1292" i="17"/>
  <c r="V1292" i="17"/>
  <c r="AO1292" i="17"/>
  <c r="U1292" i="17"/>
  <c r="AL1292" i="17"/>
  <c r="L1292" i="17"/>
  <c r="AK1292" i="17"/>
  <c r="K1292" i="17"/>
  <c r="AD1292" i="17"/>
  <c r="J1292" i="17"/>
  <c r="AQ1292" i="17"/>
  <c r="AC1292" i="17"/>
  <c r="AB1292" i="17"/>
  <c r="AN1318" i="17"/>
  <c r="AF1318" i="17"/>
  <c r="X1318" i="17"/>
  <c r="P1318" i="17"/>
  <c r="AM1318" i="17"/>
  <c r="AE1318" i="17"/>
  <c r="W1318" i="17"/>
  <c r="O1318" i="17"/>
  <c r="AL1318" i="17"/>
  <c r="AB1318" i="17"/>
  <c r="R1318" i="17"/>
  <c r="AK1318" i="17"/>
  <c r="AA1318" i="17"/>
  <c r="Q1318" i="17"/>
  <c r="AG1318" i="17"/>
  <c r="S1318" i="17"/>
  <c r="AR1318" i="17"/>
  <c r="AD1318" i="17"/>
  <c r="N1318" i="17"/>
  <c r="AH1318" i="17"/>
  <c r="L1318" i="17"/>
  <c r="AC1318" i="17"/>
  <c r="K1318" i="17"/>
  <c r="AP1318" i="17"/>
  <c r="T1318" i="17"/>
  <c r="AO1318" i="17"/>
  <c r="M1318" i="17"/>
  <c r="AJ1318" i="17"/>
  <c r="J1318" i="17"/>
  <c r="AQ1318" i="17"/>
  <c r="AI1318" i="17"/>
  <c r="AR1321" i="17"/>
  <c r="AJ1321" i="17"/>
  <c r="AB1321" i="17"/>
  <c r="T1321" i="17"/>
  <c r="L1321" i="17"/>
  <c r="AQ1321" i="17"/>
  <c r="AI1321" i="17"/>
  <c r="AA1321" i="17"/>
  <c r="S1321" i="17"/>
  <c r="K1321" i="17"/>
  <c r="AL1321" i="17"/>
  <c r="Z1321" i="17"/>
  <c r="P1321" i="17"/>
  <c r="AK1321" i="17"/>
  <c r="Y1321" i="17"/>
  <c r="O1321" i="17"/>
  <c r="AP1321" i="17"/>
  <c r="AD1321" i="17"/>
  <c r="N1321" i="17"/>
  <c r="AO1321" i="17"/>
  <c r="AC1321" i="17"/>
  <c r="M1321" i="17"/>
  <c r="X1321" i="17"/>
  <c r="W1321" i="17"/>
  <c r="AN1321" i="17"/>
  <c r="R1321" i="17"/>
  <c r="AM1321" i="17"/>
  <c r="Q1321" i="17"/>
  <c r="AH1321" i="17"/>
  <c r="J1321" i="17"/>
  <c r="AG1321" i="17"/>
  <c r="AF1321" i="17"/>
  <c r="AE1321" i="17"/>
  <c r="AR1327" i="17"/>
  <c r="AJ1327" i="17"/>
  <c r="AB1327" i="17"/>
  <c r="T1327" i="17"/>
  <c r="L1327" i="17"/>
  <c r="AQ1327" i="17"/>
  <c r="AI1327" i="17"/>
  <c r="AA1327" i="17"/>
  <c r="S1327" i="17"/>
  <c r="K1327" i="17"/>
  <c r="AH1327" i="17"/>
  <c r="X1327" i="17"/>
  <c r="N1327" i="17"/>
  <c r="AG1327" i="17"/>
  <c r="W1327" i="17"/>
  <c r="M1327" i="17"/>
  <c r="AE1327" i="17"/>
  <c r="Q1327" i="17"/>
  <c r="AP1327" i="17"/>
  <c r="AD1327" i="17"/>
  <c r="P1327" i="17"/>
  <c r="AK1327" i="17"/>
  <c r="O1327" i="17"/>
  <c r="AF1327" i="17"/>
  <c r="J1327" i="17"/>
  <c r="AC1327" i="17"/>
  <c r="Z1327" i="17"/>
  <c r="Y1327" i="17"/>
  <c r="AO1327" i="17"/>
  <c r="AN1327" i="17"/>
  <c r="AM1327" i="17"/>
  <c r="AF1339" i="17"/>
  <c r="L1342" i="17"/>
  <c r="Y1346" i="17"/>
  <c r="AN1385" i="17"/>
  <c r="AL1539" i="17"/>
  <c r="AD1539" i="17"/>
  <c r="V1539" i="17"/>
  <c r="N1539" i="17"/>
  <c r="AK1539" i="17"/>
  <c r="AC1539" i="17"/>
  <c r="U1539" i="17"/>
  <c r="M1539" i="17"/>
  <c r="AR1539" i="17"/>
  <c r="AH1539" i="17"/>
  <c r="X1539" i="17"/>
  <c r="L1539" i="17"/>
  <c r="AQ1539" i="17"/>
  <c r="AG1539" i="17"/>
  <c r="W1539" i="17"/>
  <c r="K1539" i="17"/>
  <c r="AO1539" i="17"/>
  <c r="AA1539" i="17"/>
  <c r="O1539" i="17"/>
  <c r="AN1539" i="17"/>
  <c r="Z1539" i="17"/>
  <c r="J1539" i="17"/>
  <c r="AJ1539" i="17"/>
  <c r="R1539" i="17"/>
  <c r="AI1539" i="17"/>
  <c r="Q1539" i="17"/>
  <c r="T1539" i="17"/>
  <c r="S1539" i="17"/>
  <c r="AP1539" i="17"/>
  <c r="P1539" i="17"/>
  <c r="AE1539" i="17"/>
  <c r="AB1539" i="17"/>
  <c r="Y1539" i="17"/>
  <c r="AM1539" i="17"/>
  <c r="AF1539" i="17"/>
  <c r="W1642" i="17"/>
  <c r="AK1658" i="17"/>
  <c r="AC1658" i="17"/>
  <c r="U1658" i="17"/>
  <c r="M1658" i="17"/>
  <c r="AR1658" i="17"/>
  <c r="AJ1658" i="17"/>
  <c r="AB1658" i="17"/>
  <c r="T1658" i="17"/>
  <c r="L1658" i="17"/>
  <c r="AM1658" i="17"/>
  <c r="AA1658" i="17"/>
  <c r="Q1658" i="17"/>
  <c r="AL1658" i="17"/>
  <c r="Z1658" i="17"/>
  <c r="P1658" i="17"/>
  <c r="AH1658" i="17"/>
  <c r="V1658" i="17"/>
  <c r="AG1658" i="17"/>
  <c r="S1658" i="17"/>
  <c r="AO1658" i="17"/>
  <c r="W1658" i="17"/>
  <c r="AN1658" i="17"/>
  <c r="R1658" i="17"/>
  <c r="AP1658" i="17"/>
  <c r="N1658" i="17"/>
  <c r="AI1658" i="17"/>
  <c r="K1658" i="17"/>
  <c r="X1658" i="17"/>
  <c r="O1658" i="17"/>
  <c r="J1658" i="17"/>
  <c r="AQ1658" i="17"/>
  <c r="AF1658" i="17"/>
  <c r="AE1658" i="17"/>
  <c r="AN1953" i="17"/>
  <c r="AF1953" i="17"/>
  <c r="X1953" i="17"/>
  <c r="P1953" i="17"/>
  <c r="AQ1953" i="17"/>
  <c r="AH1953" i="17"/>
  <c r="Y1953" i="17"/>
  <c r="O1953" i="17"/>
  <c r="AP1953" i="17"/>
  <c r="AG1953" i="17"/>
  <c r="W1953" i="17"/>
  <c r="N1953" i="17"/>
  <c r="AL1953" i="17"/>
  <c r="AA1953" i="17"/>
  <c r="M1953" i="17"/>
  <c r="AK1953" i="17"/>
  <c r="Z1953" i="17"/>
  <c r="L1953" i="17"/>
  <c r="AC1953" i="17"/>
  <c r="K1953" i="17"/>
  <c r="AR1953" i="17"/>
  <c r="AB1953" i="17"/>
  <c r="J1953" i="17"/>
  <c r="AJ1953" i="17"/>
  <c r="R1953" i="17"/>
  <c r="AI1953" i="17"/>
  <c r="Q1953" i="17"/>
  <c r="V1953" i="17"/>
  <c r="U1953" i="17"/>
  <c r="AD1953" i="17"/>
  <c r="T1953" i="17"/>
  <c r="AM1953" i="17"/>
  <c r="AE1953" i="17"/>
  <c r="AO1953" i="17"/>
  <c r="S1953" i="17"/>
  <c r="AL244" i="17"/>
  <c r="AD244" i="17"/>
  <c r="V244" i="17"/>
  <c r="N244" i="17"/>
  <c r="AK244" i="17"/>
  <c r="AC244" i="17"/>
  <c r="U244" i="17"/>
  <c r="M244" i="17"/>
  <c r="S244" i="17"/>
  <c r="AE244" i="17"/>
  <c r="AO244" i="17"/>
  <c r="J246" i="17"/>
  <c r="T246" i="17"/>
  <c r="AF246" i="17"/>
  <c r="AP246" i="17"/>
  <c r="AL260" i="17"/>
  <c r="AD260" i="17"/>
  <c r="V260" i="17"/>
  <c r="N260" i="17"/>
  <c r="AK260" i="17"/>
  <c r="AC260" i="17"/>
  <c r="U260" i="17"/>
  <c r="M260" i="17"/>
  <c r="S260" i="17"/>
  <c r="AE260" i="17"/>
  <c r="AO260" i="17"/>
  <c r="J262" i="17"/>
  <c r="T262" i="17"/>
  <c r="AF262" i="17"/>
  <c r="AP262" i="17"/>
  <c r="K264" i="17"/>
  <c r="W264" i="17"/>
  <c r="AG264" i="17"/>
  <c r="AQ264" i="17"/>
  <c r="AL276" i="17"/>
  <c r="AD276" i="17"/>
  <c r="V276" i="17"/>
  <c r="N276" i="17"/>
  <c r="AK276" i="17"/>
  <c r="AC276" i="17"/>
  <c r="U276" i="17"/>
  <c r="M276" i="17"/>
  <c r="S276" i="17"/>
  <c r="AE276" i="17"/>
  <c r="AO276" i="17"/>
  <c r="J278" i="17"/>
  <c r="T278" i="17"/>
  <c r="AF278" i="17"/>
  <c r="AP278" i="17"/>
  <c r="K280" i="17"/>
  <c r="W280" i="17"/>
  <c r="AG280" i="17"/>
  <c r="AQ280" i="17"/>
  <c r="AL292" i="17"/>
  <c r="AD292" i="17"/>
  <c r="V292" i="17"/>
  <c r="N292" i="17"/>
  <c r="AK292" i="17"/>
  <c r="AC292" i="17"/>
  <c r="U292" i="17"/>
  <c r="M292" i="17"/>
  <c r="S292" i="17"/>
  <c r="AE292" i="17"/>
  <c r="AO292" i="17"/>
  <c r="J294" i="17"/>
  <c r="T294" i="17"/>
  <c r="AF294" i="17"/>
  <c r="AP294" i="17"/>
  <c r="K296" i="17"/>
  <c r="W296" i="17"/>
  <c r="AG296" i="17"/>
  <c r="AQ296" i="17"/>
  <c r="AL308" i="17"/>
  <c r="AD308" i="17"/>
  <c r="V308" i="17"/>
  <c r="N308" i="17"/>
  <c r="AK308" i="17"/>
  <c r="AC308" i="17"/>
  <c r="U308" i="17"/>
  <c r="M308" i="17"/>
  <c r="S308" i="17"/>
  <c r="AE308" i="17"/>
  <c r="AO308" i="17"/>
  <c r="J310" i="17"/>
  <c r="T310" i="17"/>
  <c r="AF310" i="17"/>
  <c r="AP310" i="17"/>
  <c r="K312" i="17"/>
  <c r="W312" i="17"/>
  <c r="AG312" i="17"/>
  <c r="AQ312" i="17"/>
  <c r="AL324" i="17"/>
  <c r="AD324" i="17"/>
  <c r="V324" i="17"/>
  <c r="N324" i="17"/>
  <c r="AK324" i="17"/>
  <c r="AC324" i="17"/>
  <c r="U324" i="17"/>
  <c r="M324" i="17"/>
  <c r="S324" i="17"/>
  <c r="AE324" i="17"/>
  <c r="AO324" i="17"/>
  <c r="J326" i="17"/>
  <c r="T326" i="17"/>
  <c r="AF326" i="17"/>
  <c r="AP326" i="17"/>
  <c r="K328" i="17"/>
  <c r="W328" i="17"/>
  <c r="AG328" i="17"/>
  <c r="AQ328" i="17"/>
  <c r="AL400" i="17"/>
  <c r="AD400" i="17"/>
  <c r="V400" i="17"/>
  <c r="N400" i="17"/>
  <c r="AK400" i="17"/>
  <c r="AC400" i="17"/>
  <c r="U400" i="17"/>
  <c r="M400" i="17"/>
  <c r="S400" i="17"/>
  <c r="AE400" i="17"/>
  <c r="AO400" i="17"/>
  <c r="J402" i="17"/>
  <c r="T402" i="17"/>
  <c r="AF402" i="17"/>
  <c r="AP402" i="17"/>
  <c r="K404" i="17"/>
  <c r="W404" i="17"/>
  <c r="AG404" i="17"/>
  <c r="AQ404" i="17"/>
  <c r="AL416" i="17"/>
  <c r="AD416" i="17"/>
  <c r="V416" i="17"/>
  <c r="N416" i="17"/>
  <c r="AK416" i="17"/>
  <c r="AC416" i="17"/>
  <c r="U416" i="17"/>
  <c r="M416" i="17"/>
  <c r="S416" i="17"/>
  <c r="AE416" i="17"/>
  <c r="AO416" i="17"/>
  <c r="J418" i="17"/>
  <c r="T418" i="17"/>
  <c r="AF418" i="17"/>
  <c r="AP418" i="17"/>
  <c r="K420" i="17"/>
  <c r="W420" i="17"/>
  <c r="AG420" i="17"/>
  <c r="AQ420" i="17"/>
  <c r="AL432" i="17"/>
  <c r="AD432" i="17"/>
  <c r="V432" i="17"/>
  <c r="N432" i="17"/>
  <c r="AK432" i="17"/>
  <c r="AC432" i="17"/>
  <c r="U432" i="17"/>
  <c r="M432" i="17"/>
  <c r="S432" i="17"/>
  <c r="AE432" i="17"/>
  <c r="AO432" i="17"/>
  <c r="J434" i="17"/>
  <c r="T434" i="17"/>
  <c r="AF434" i="17"/>
  <c r="AP434" i="17"/>
  <c r="K436" i="17"/>
  <c r="W436" i="17"/>
  <c r="AG436" i="17"/>
  <c r="AQ436" i="17"/>
  <c r="AL448" i="17"/>
  <c r="AD448" i="17"/>
  <c r="V448" i="17"/>
  <c r="N448" i="17"/>
  <c r="AK448" i="17"/>
  <c r="AC448" i="17"/>
  <c r="U448" i="17"/>
  <c r="M448" i="17"/>
  <c r="S448" i="17"/>
  <c r="AE448" i="17"/>
  <c r="AO448" i="17"/>
  <c r="J450" i="17"/>
  <c r="T450" i="17"/>
  <c r="AF450" i="17"/>
  <c r="AP450" i="17"/>
  <c r="K452" i="17"/>
  <c r="W452" i="17"/>
  <c r="AG452" i="17"/>
  <c r="AQ452" i="17"/>
  <c r="AL464" i="17"/>
  <c r="AD464" i="17"/>
  <c r="V464" i="17"/>
  <c r="N464" i="17"/>
  <c r="AK464" i="17"/>
  <c r="AC464" i="17"/>
  <c r="U464" i="17"/>
  <c r="M464" i="17"/>
  <c r="S464" i="17"/>
  <c r="AE464" i="17"/>
  <c r="AO464" i="17"/>
  <c r="J466" i="17"/>
  <c r="T466" i="17"/>
  <c r="AF466" i="17"/>
  <c r="AP466" i="17"/>
  <c r="K468" i="17"/>
  <c r="W468" i="17"/>
  <c r="AG468" i="17"/>
  <c r="AQ468" i="17"/>
  <c r="AL480" i="17"/>
  <c r="AD480" i="17"/>
  <c r="V480" i="17"/>
  <c r="N480" i="17"/>
  <c r="AK480" i="17"/>
  <c r="AC480" i="17"/>
  <c r="U480" i="17"/>
  <c r="M480" i="17"/>
  <c r="S480" i="17"/>
  <c r="AE480" i="17"/>
  <c r="AO480" i="17"/>
  <c r="J482" i="17"/>
  <c r="T482" i="17"/>
  <c r="AF482" i="17"/>
  <c r="AP482" i="17"/>
  <c r="K484" i="17"/>
  <c r="W484" i="17"/>
  <c r="AG484" i="17"/>
  <c r="AQ484" i="17"/>
  <c r="AL496" i="17"/>
  <c r="AD496" i="17"/>
  <c r="V496" i="17"/>
  <c r="N496" i="17"/>
  <c r="AK496" i="17"/>
  <c r="AC496" i="17"/>
  <c r="U496" i="17"/>
  <c r="M496" i="17"/>
  <c r="S496" i="17"/>
  <c r="AE496" i="17"/>
  <c r="AO496" i="17"/>
  <c r="J498" i="17"/>
  <c r="T498" i="17"/>
  <c r="AF498" i="17"/>
  <c r="AP498" i="17"/>
  <c r="K500" i="17"/>
  <c r="W500" i="17"/>
  <c r="AG500" i="17"/>
  <c r="AQ500" i="17"/>
  <c r="AL512" i="17"/>
  <c r="AD512" i="17"/>
  <c r="V512" i="17"/>
  <c r="N512" i="17"/>
  <c r="AK512" i="17"/>
  <c r="AC512" i="17"/>
  <c r="U512" i="17"/>
  <c r="M512" i="17"/>
  <c r="S512" i="17"/>
  <c r="AE512" i="17"/>
  <c r="AO512" i="17"/>
  <c r="J514" i="17"/>
  <c r="T514" i="17"/>
  <c r="AF514" i="17"/>
  <c r="AP514" i="17"/>
  <c r="K516" i="17"/>
  <c r="W516" i="17"/>
  <c r="AG516" i="17"/>
  <c r="AQ516" i="17"/>
  <c r="AL528" i="17"/>
  <c r="AD528" i="17"/>
  <c r="V528" i="17"/>
  <c r="N528" i="17"/>
  <c r="AK528" i="17"/>
  <c r="AC528" i="17"/>
  <c r="U528" i="17"/>
  <c r="M528" i="17"/>
  <c r="S528" i="17"/>
  <c r="AE528" i="17"/>
  <c r="AO528" i="17"/>
  <c r="J530" i="17"/>
  <c r="T530" i="17"/>
  <c r="AF530" i="17"/>
  <c r="AP530" i="17"/>
  <c r="K532" i="17"/>
  <c r="W532" i="17"/>
  <c r="AG532" i="17"/>
  <c r="AQ532" i="17"/>
  <c r="AL544" i="17"/>
  <c r="AD544" i="17"/>
  <c r="V544" i="17"/>
  <c r="N544" i="17"/>
  <c r="AK544" i="17"/>
  <c r="AC544" i="17"/>
  <c r="U544" i="17"/>
  <c r="M544" i="17"/>
  <c r="S544" i="17"/>
  <c r="AE544" i="17"/>
  <c r="AO544" i="17"/>
  <c r="J546" i="17"/>
  <c r="T546" i="17"/>
  <c r="AF546" i="17"/>
  <c r="AP546" i="17"/>
  <c r="K548" i="17"/>
  <c r="W548" i="17"/>
  <c r="AG548" i="17"/>
  <c r="AQ548" i="17"/>
  <c r="AL560" i="17"/>
  <c r="AD560" i="17"/>
  <c r="V560" i="17"/>
  <c r="N560" i="17"/>
  <c r="AK560" i="17"/>
  <c r="AC560" i="17"/>
  <c r="U560" i="17"/>
  <c r="M560" i="17"/>
  <c r="S560" i="17"/>
  <c r="AE560" i="17"/>
  <c r="AO560" i="17"/>
  <c r="J562" i="17"/>
  <c r="T562" i="17"/>
  <c r="AF562" i="17"/>
  <c r="AP562" i="17"/>
  <c r="K564" i="17"/>
  <c r="W564" i="17"/>
  <c r="AG564" i="17"/>
  <c r="AQ564" i="17"/>
  <c r="AL576" i="17"/>
  <c r="AD576" i="17"/>
  <c r="V576" i="17"/>
  <c r="N576" i="17"/>
  <c r="AK576" i="17"/>
  <c r="AC576" i="17"/>
  <c r="U576" i="17"/>
  <c r="M576" i="17"/>
  <c r="S576" i="17"/>
  <c r="AE576" i="17"/>
  <c r="AO576" i="17"/>
  <c r="J578" i="17"/>
  <c r="T578" i="17"/>
  <c r="AF578" i="17"/>
  <c r="AP578" i="17"/>
  <c r="K580" i="17"/>
  <c r="W580" i="17"/>
  <c r="AG580" i="17"/>
  <c r="AQ580" i="17"/>
  <c r="AL592" i="17"/>
  <c r="AD592" i="17"/>
  <c r="V592" i="17"/>
  <c r="N592" i="17"/>
  <c r="AK592" i="17"/>
  <c r="AC592" i="17"/>
  <c r="U592" i="17"/>
  <c r="M592" i="17"/>
  <c r="S592" i="17"/>
  <c r="AE592" i="17"/>
  <c r="AO592" i="17"/>
  <c r="J594" i="17"/>
  <c r="T594" i="17"/>
  <c r="AF594" i="17"/>
  <c r="AQ594" i="17"/>
  <c r="J614" i="17"/>
  <c r="Y614" i="17"/>
  <c r="AP614" i="17"/>
  <c r="P622" i="17"/>
  <c r="AE622" i="17"/>
  <c r="K624" i="17"/>
  <c r="Z624" i="17"/>
  <c r="AQ624" i="17"/>
  <c r="Q638" i="17"/>
  <c r="AI638" i="17"/>
  <c r="AK642" i="17"/>
  <c r="AC642" i="17"/>
  <c r="U642" i="17"/>
  <c r="M642" i="17"/>
  <c r="AR642" i="17"/>
  <c r="AJ642" i="17"/>
  <c r="AB642" i="17"/>
  <c r="T642" i="17"/>
  <c r="L642" i="17"/>
  <c r="AI642" i="17"/>
  <c r="Y642" i="17"/>
  <c r="O642" i="17"/>
  <c r="AH642" i="17"/>
  <c r="X642" i="17"/>
  <c r="N642" i="17"/>
  <c r="AP642" i="17"/>
  <c r="AD642" i="17"/>
  <c r="P642" i="17"/>
  <c r="AM642" i="17"/>
  <c r="V642" i="17"/>
  <c r="AA642" i="17"/>
  <c r="O662" i="17"/>
  <c r="AG662" i="17"/>
  <c r="AK680" i="17"/>
  <c r="AC680" i="17"/>
  <c r="U680" i="17"/>
  <c r="M680" i="17"/>
  <c r="AR680" i="17"/>
  <c r="AJ680" i="17"/>
  <c r="AB680" i="17"/>
  <c r="T680" i="17"/>
  <c r="L680" i="17"/>
  <c r="AH680" i="17"/>
  <c r="X680" i="17"/>
  <c r="N680" i="17"/>
  <c r="AQ680" i="17"/>
  <c r="AG680" i="17"/>
  <c r="W680" i="17"/>
  <c r="K680" i="17"/>
  <c r="AL680" i="17"/>
  <c r="V680" i="17"/>
  <c r="AN680" i="17"/>
  <c r="Y680" i="17"/>
  <c r="AA680" i="17"/>
  <c r="AK684" i="17"/>
  <c r="AC684" i="17"/>
  <c r="U684" i="17"/>
  <c r="M684" i="17"/>
  <c r="AR684" i="17"/>
  <c r="AJ684" i="17"/>
  <c r="AB684" i="17"/>
  <c r="T684" i="17"/>
  <c r="L684" i="17"/>
  <c r="AL684" i="17"/>
  <c r="Z684" i="17"/>
  <c r="P684" i="17"/>
  <c r="AI684" i="17"/>
  <c r="Y684" i="17"/>
  <c r="O684" i="17"/>
  <c r="AP684" i="17"/>
  <c r="AD684" i="17"/>
  <c r="N684" i="17"/>
  <c r="AH684" i="17"/>
  <c r="S684" i="17"/>
  <c r="AA684" i="17"/>
  <c r="AK686" i="17"/>
  <c r="AC686" i="17"/>
  <c r="U686" i="17"/>
  <c r="M686" i="17"/>
  <c r="AR686" i="17"/>
  <c r="AJ686" i="17"/>
  <c r="AB686" i="17"/>
  <c r="T686" i="17"/>
  <c r="L686" i="17"/>
  <c r="AQ686" i="17"/>
  <c r="AG686" i="17"/>
  <c r="W686" i="17"/>
  <c r="K686" i="17"/>
  <c r="AP686" i="17"/>
  <c r="AF686" i="17"/>
  <c r="V686" i="17"/>
  <c r="J686" i="17"/>
  <c r="AI686" i="17"/>
  <c r="S686" i="17"/>
  <c r="AE686" i="17"/>
  <c r="P686" i="17"/>
  <c r="AA686" i="17"/>
  <c r="J688" i="17"/>
  <c r="AF688" i="17"/>
  <c r="O712" i="17"/>
  <c r="AO712" i="17"/>
  <c r="J726" i="17"/>
  <c r="AN726" i="17"/>
  <c r="J752" i="17"/>
  <c r="AF752" i="17"/>
  <c r="AK760" i="17"/>
  <c r="AC760" i="17"/>
  <c r="U760" i="17"/>
  <c r="M760" i="17"/>
  <c r="AR760" i="17"/>
  <c r="AJ760" i="17"/>
  <c r="AB760" i="17"/>
  <c r="T760" i="17"/>
  <c r="L760" i="17"/>
  <c r="AH760" i="17"/>
  <c r="X760" i="17"/>
  <c r="N760" i="17"/>
  <c r="AQ760" i="17"/>
  <c r="AG760" i="17"/>
  <c r="W760" i="17"/>
  <c r="K760" i="17"/>
  <c r="AE760" i="17"/>
  <c r="Q760" i="17"/>
  <c r="AI760" i="17"/>
  <c r="R760" i="17"/>
  <c r="AF760" i="17"/>
  <c r="P760" i="17"/>
  <c r="AD760" i="17"/>
  <c r="O760" i="17"/>
  <c r="AM760" i="17"/>
  <c r="N766" i="17"/>
  <c r="AI766" i="17"/>
  <c r="AK776" i="17"/>
  <c r="AC776" i="17"/>
  <c r="U776" i="17"/>
  <c r="M776" i="17"/>
  <c r="AR776" i="17"/>
  <c r="AJ776" i="17"/>
  <c r="AB776" i="17"/>
  <c r="T776" i="17"/>
  <c r="L776" i="17"/>
  <c r="AH776" i="17"/>
  <c r="X776" i="17"/>
  <c r="N776" i="17"/>
  <c r="AQ776" i="17"/>
  <c r="AG776" i="17"/>
  <c r="W776" i="17"/>
  <c r="K776" i="17"/>
  <c r="AF776" i="17"/>
  <c r="R776" i="17"/>
  <c r="AE776" i="17"/>
  <c r="P776" i="17"/>
  <c r="AD776" i="17"/>
  <c r="O776" i="17"/>
  <c r="AP776" i="17"/>
  <c r="AA776" i="17"/>
  <c r="J776" i="17"/>
  <c r="AM776" i="17"/>
  <c r="X787" i="17"/>
  <c r="R818" i="17"/>
  <c r="J819" i="17"/>
  <c r="L832" i="17"/>
  <c r="AQ857" i="17"/>
  <c r="AI857" i="17"/>
  <c r="AA857" i="17"/>
  <c r="S857" i="17"/>
  <c r="K857" i="17"/>
  <c r="AR857" i="17"/>
  <c r="AH857" i="17"/>
  <c r="Y857" i="17"/>
  <c r="P857" i="17"/>
  <c r="AP857" i="17"/>
  <c r="AG857" i="17"/>
  <c r="X857" i="17"/>
  <c r="O857" i="17"/>
  <c r="AN857" i="17"/>
  <c r="AC857" i="17"/>
  <c r="Q857" i="17"/>
  <c r="AM857" i="17"/>
  <c r="AB857" i="17"/>
  <c r="N857" i="17"/>
  <c r="AE857" i="17"/>
  <c r="M857" i="17"/>
  <c r="AD857" i="17"/>
  <c r="L857" i="17"/>
  <c r="AO857" i="17"/>
  <c r="U857" i="17"/>
  <c r="AL857" i="17"/>
  <c r="T857" i="17"/>
  <c r="AK857" i="17"/>
  <c r="R857" i="17"/>
  <c r="L858" i="17"/>
  <c r="AL858" i="17"/>
  <c r="AQ869" i="17"/>
  <c r="AI869" i="17"/>
  <c r="AA869" i="17"/>
  <c r="S869" i="17"/>
  <c r="K869" i="17"/>
  <c r="AO869" i="17"/>
  <c r="AF869" i="17"/>
  <c r="W869" i="17"/>
  <c r="N869" i="17"/>
  <c r="AN869" i="17"/>
  <c r="AE869" i="17"/>
  <c r="V869" i="17"/>
  <c r="M869" i="17"/>
  <c r="AR869" i="17"/>
  <c r="AD869" i="17"/>
  <c r="R869" i="17"/>
  <c r="AP869" i="17"/>
  <c r="AC869" i="17"/>
  <c r="Q869" i="17"/>
  <c r="AH869" i="17"/>
  <c r="P869" i="17"/>
  <c r="AG869" i="17"/>
  <c r="O869" i="17"/>
  <c r="AM869" i="17"/>
  <c r="U869" i="17"/>
  <c r="AL869" i="17"/>
  <c r="T869" i="17"/>
  <c r="AK869" i="17"/>
  <c r="L869" i="17"/>
  <c r="J870" i="17"/>
  <c r="AL870" i="17"/>
  <c r="M887" i="17"/>
  <c r="R890" i="17"/>
  <c r="X900" i="17"/>
  <c r="L901" i="17"/>
  <c r="L905" i="17"/>
  <c r="AQ915" i="17"/>
  <c r="AI915" i="17"/>
  <c r="AA915" i="17"/>
  <c r="S915" i="17"/>
  <c r="K915" i="17"/>
  <c r="AN915" i="17"/>
  <c r="AE915" i="17"/>
  <c r="V915" i="17"/>
  <c r="M915" i="17"/>
  <c r="AM915" i="17"/>
  <c r="AD915" i="17"/>
  <c r="U915" i="17"/>
  <c r="L915" i="17"/>
  <c r="AR915" i="17"/>
  <c r="AF915" i="17"/>
  <c r="R915" i="17"/>
  <c r="AP915" i="17"/>
  <c r="AC915" i="17"/>
  <c r="Q915" i="17"/>
  <c r="AB915" i="17"/>
  <c r="N915" i="17"/>
  <c r="Z915" i="17"/>
  <c r="J915" i="17"/>
  <c r="AL915" i="17"/>
  <c r="T915" i="17"/>
  <c r="AK915" i="17"/>
  <c r="P915" i="17"/>
  <c r="AJ915" i="17"/>
  <c r="O915" i="17"/>
  <c r="X922" i="17"/>
  <c r="R923" i="17"/>
  <c r="AM932" i="17"/>
  <c r="AE932" i="17"/>
  <c r="W932" i="17"/>
  <c r="O932" i="17"/>
  <c r="AO932" i="17"/>
  <c r="AF932" i="17"/>
  <c r="V932" i="17"/>
  <c r="M932" i="17"/>
  <c r="AN932" i="17"/>
  <c r="AD932" i="17"/>
  <c r="U932" i="17"/>
  <c r="L932" i="17"/>
  <c r="AJ932" i="17"/>
  <c r="Y932" i="17"/>
  <c r="K932" i="17"/>
  <c r="AI932" i="17"/>
  <c r="X932" i="17"/>
  <c r="J932" i="17"/>
  <c r="AP932" i="17"/>
  <c r="Z932" i="17"/>
  <c r="AL932" i="17"/>
  <c r="T932" i="17"/>
  <c r="AR932" i="17"/>
  <c r="S932" i="17"/>
  <c r="AQ932" i="17"/>
  <c r="R932" i="17"/>
  <c r="AK932" i="17"/>
  <c r="Q932" i="17"/>
  <c r="AQ933" i="17"/>
  <c r="AI933" i="17"/>
  <c r="AA933" i="17"/>
  <c r="S933" i="17"/>
  <c r="K933" i="17"/>
  <c r="AO933" i="17"/>
  <c r="AF933" i="17"/>
  <c r="W933" i="17"/>
  <c r="N933" i="17"/>
  <c r="AN933" i="17"/>
  <c r="AE933" i="17"/>
  <c r="V933" i="17"/>
  <c r="M933" i="17"/>
  <c r="AK933" i="17"/>
  <c r="Y933" i="17"/>
  <c r="L933" i="17"/>
  <c r="AJ933" i="17"/>
  <c r="X933" i="17"/>
  <c r="J933" i="17"/>
  <c r="AL933" i="17"/>
  <c r="T933" i="17"/>
  <c r="AH933" i="17"/>
  <c r="R933" i="17"/>
  <c r="AC933" i="17"/>
  <c r="AB933" i="17"/>
  <c r="Z933" i="17"/>
  <c r="AP933" i="17"/>
  <c r="AQ971" i="17"/>
  <c r="AI971" i="17"/>
  <c r="AA971" i="17"/>
  <c r="S971" i="17"/>
  <c r="K971" i="17"/>
  <c r="AJ971" i="17"/>
  <c r="Z971" i="17"/>
  <c r="Q971" i="17"/>
  <c r="AR971" i="17"/>
  <c r="AH971" i="17"/>
  <c r="Y971" i="17"/>
  <c r="P971" i="17"/>
  <c r="AL971" i="17"/>
  <c r="X971" i="17"/>
  <c r="M971" i="17"/>
  <c r="AK971" i="17"/>
  <c r="W971" i="17"/>
  <c r="L971" i="17"/>
  <c r="AM971" i="17"/>
  <c r="U971" i="17"/>
  <c r="AG971" i="17"/>
  <c r="T971" i="17"/>
  <c r="AC971" i="17"/>
  <c r="AB971" i="17"/>
  <c r="AP971" i="17"/>
  <c r="V971" i="17"/>
  <c r="AN971" i="17"/>
  <c r="V985" i="17"/>
  <c r="N995" i="17"/>
  <c r="AM1014" i="17"/>
  <c r="AE1014" i="17"/>
  <c r="W1014" i="17"/>
  <c r="O1014" i="17"/>
  <c r="AP1014" i="17"/>
  <c r="AG1014" i="17"/>
  <c r="X1014" i="17"/>
  <c r="N1014" i="17"/>
  <c r="AO1014" i="17"/>
  <c r="AF1014" i="17"/>
  <c r="V1014" i="17"/>
  <c r="M1014" i="17"/>
  <c r="AJ1014" i="17"/>
  <c r="Y1014" i="17"/>
  <c r="K1014" i="17"/>
  <c r="AI1014" i="17"/>
  <c r="U1014" i="17"/>
  <c r="J1014" i="17"/>
  <c r="AN1014" i="17"/>
  <c r="Z1014" i="17"/>
  <c r="AL1014" i="17"/>
  <c r="T1014" i="17"/>
  <c r="AK1014" i="17"/>
  <c r="Q1014" i="17"/>
  <c r="AH1014" i="17"/>
  <c r="P1014" i="17"/>
  <c r="AD1014" i="17"/>
  <c r="L1014" i="17"/>
  <c r="AQ1015" i="17"/>
  <c r="AI1015" i="17"/>
  <c r="AA1015" i="17"/>
  <c r="S1015" i="17"/>
  <c r="K1015" i="17"/>
  <c r="AP1015" i="17"/>
  <c r="AG1015" i="17"/>
  <c r="X1015" i="17"/>
  <c r="O1015" i="17"/>
  <c r="AO1015" i="17"/>
  <c r="AF1015" i="17"/>
  <c r="W1015" i="17"/>
  <c r="N1015" i="17"/>
  <c r="AK1015" i="17"/>
  <c r="Y1015" i="17"/>
  <c r="L1015" i="17"/>
  <c r="AJ1015" i="17"/>
  <c r="V1015" i="17"/>
  <c r="J1015" i="17"/>
  <c r="AL1015" i="17"/>
  <c r="T1015" i="17"/>
  <c r="AH1015" i="17"/>
  <c r="R1015" i="17"/>
  <c r="Z1015" i="17"/>
  <c r="AR1015" i="17"/>
  <c r="U1015" i="17"/>
  <c r="AN1015" i="17"/>
  <c r="Q1015" i="17"/>
  <c r="N1024" i="17"/>
  <c r="AM1034" i="17"/>
  <c r="AE1034" i="17"/>
  <c r="W1034" i="17"/>
  <c r="O1034" i="17"/>
  <c r="AR1034" i="17"/>
  <c r="AI1034" i="17"/>
  <c r="Z1034" i="17"/>
  <c r="Q1034" i="17"/>
  <c r="AQ1034" i="17"/>
  <c r="AH1034" i="17"/>
  <c r="Y1034" i="17"/>
  <c r="P1034" i="17"/>
  <c r="AP1034" i="17"/>
  <c r="AD1034" i="17"/>
  <c r="S1034" i="17"/>
  <c r="AO1034" i="17"/>
  <c r="AC1034" i="17"/>
  <c r="R1034" i="17"/>
  <c r="AF1034" i="17"/>
  <c r="M1034" i="17"/>
  <c r="AB1034" i="17"/>
  <c r="L1034" i="17"/>
  <c r="AN1034" i="17"/>
  <c r="U1034" i="17"/>
  <c r="AL1034" i="17"/>
  <c r="T1034" i="17"/>
  <c r="AK1034" i="17"/>
  <c r="N1034" i="17"/>
  <c r="AQ1035" i="17"/>
  <c r="AI1035" i="17"/>
  <c r="AA1035" i="17"/>
  <c r="S1035" i="17"/>
  <c r="K1035" i="17"/>
  <c r="AJ1035" i="17"/>
  <c r="Z1035" i="17"/>
  <c r="Q1035" i="17"/>
  <c r="AR1035" i="17"/>
  <c r="AH1035" i="17"/>
  <c r="Y1035" i="17"/>
  <c r="P1035" i="17"/>
  <c r="AP1035" i="17"/>
  <c r="AE1035" i="17"/>
  <c r="T1035" i="17"/>
  <c r="AO1035" i="17"/>
  <c r="AD1035" i="17"/>
  <c r="R1035" i="17"/>
  <c r="AB1035" i="17"/>
  <c r="L1035" i="17"/>
  <c r="AN1035" i="17"/>
  <c r="X1035" i="17"/>
  <c r="J1035" i="17"/>
  <c r="AC1035" i="17"/>
  <c r="W1035" i="17"/>
  <c r="V1035" i="17"/>
  <c r="AL1035" i="17"/>
  <c r="AN1074" i="17"/>
  <c r="AF1074" i="17"/>
  <c r="X1074" i="17"/>
  <c r="P1074" i="17"/>
  <c r="AM1074" i="17"/>
  <c r="AE1074" i="17"/>
  <c r="W1074" i="17"/>
  <c r="O1074" i="17"/>
  <c r="AK1074" i="17"/>
  <c r="AA1074" i="17"/>
  <c r="Q1074" i="17"/>
  <c r="AJ1074" i="17"/>
  <c r="Z1074" i="17"/>
  <c r="N1074" i="17"/>
  <c r="AP1074" i="17"/>
  <c r="AB1074" i="17"/>
  <c r="L1074" i="17"/>
  <c r="AO1074" i="17"/>
  <c r="Y1074" i="17"/>
  <c r="K1074" i="17"/>
  <c r="AI1074" i="17"/>
  <c r="S1074" i="17"/>
  <c r="AH1074" i="17"/>
  <c r="R1074" i="17"/>
  <c r="AC1074" i="17"/>
  <c r="V1074" i="17"/>
  <c r="U1074" i="17"/>
  <c r="AR1074" i="17"/>
  <c r="L1078" i="17"/>
  <c r="J1080" i="17"/>
  <c r="N1147" i="17"/>
  <c r="AR1149" i="17"/>
  <c r="AJ1149" i="17"/>
  <c r="AB1149" i="17"/>
  <c r="T1149" i="17"/>
  <c r="L1149" i="17"/>
  <c r="AQ1149" i="17"/>
  <c r="AI1149" i="17"/>
  <c r="AA1149" i="17"/>
  <c r="S1149" i="17"/>
  <c r="K1149" i="17"/>
  <c r="AK1149" i="17"/>
  <c r="Y1149" i="17"/>
  <c r="O1149" i="17"/>
  <c r="AH1149" i="17"/>
  <c r="X1149" i="17"/>
  <c r="N1149" i="17"/>
  <c r="AL1149" i="17"/>
  <c r="V1149" i="17"/>
  <c r="AG1149" i="17"/>
  <c r="U1149" i="17"/>
  <c r="AP1149" i="17"/>
  <c r="Z1149" i="17"/>
  <c r="AO1149" i="17"/>
  <c r="W1149" i="17"/>
  <c r="AN1149" i="17"/>
  <c r="P1149" i="17"/>
  <c r="AM1149" i="17"/>
  <c r="M1149" i="17"/>
  <c r="AF1149" i="17"/>
  <c r="J1149" i="17"/>
  <c r="Q1150" i="17"/>
  <c r="S1176" i="17"/>
  <c r="Y1179" i="17"/>
  <c r="AR1187" i="17"/>
  <c r="AJ1187" i="17"/>
  <c r="AB1187" i="17"/>
  <c r="T1187" i="17"/>
  <c r="L1187" i="17"/>
  <c r="AQ1187" i="17"/>
  <c r="AI1187" i="17"/>
  <c r="AA1187" i="17"/>
  <c r="S1187" i="17"/>
  <c r="K1187" i="17"/>
  <c r="AN1187" i="17"/>
  <c r="AD1187" i="17"/>
  <c r="R1187" i="17"/>
  <c r="AM1187" i="17"/>
  <c r="AC1187" i="17"/>
  <c r="Q1187" i="17"/>
  <c r="AH1187" i="17"/>
  <c r="V1187" i="17"/>
  <c r="AG1187" i="17"/>
  <c r="U1187" i="17"/>
  <c r="AE1187" i="17"/>
  <c r="M1187" i="17"/>
  <c r="Z1187" i="17"/>
  <c r="J1187" i="17"/>
  <c r="W1187" i="17"/>
  <c r="AP1187" i="17"/>
  <c r="P1187" i="17"/>
  <c r="AO1187" i="17"/>
  <c r="O1187" i="17"/>
  <c r="AK1187" i="17"/>
  <c r="AF1187" i="17"/>
  <c r="Y1187" i="17"/>
  <c r="N1198" i="17"/>
  <c r="AN1228" i="17"/>
  <c r="AF1228" i="17"/>
  <c r="X1228" i="17"/>
  <c r="P1228" i="17"/>
  <c r="AM1228" i="17"/>
  <c r="AE1228" i="17"/>
  <c r="W1228" i="17"/>
  <c r="O1228" i="17"/>
  <c r="AJ1228" i="17"/>
  <c r="Z1228" i="17"/>
  <c r="N1228" i="17"/>
  <c r="AI1228" i="17"/>
  <c r="Y1228" i="17"/>
  <c r="M1228" i="17"/>
  <c r="AH1228" i="17"/>
  <c r="T1228" i="17"/>
  <c r="AG1228" i="17"/>
  <c r="S1228" i="17"/>
  <c r="AP1228" i="17"/>
  <c r="V1228" i="17"/>
  <c r="AO1228" i="17"/>
  <c r="U1228" i="17"/>
  <c r="AQ1228" i="17"/>
  <c r="Q1228" i="17"/>
  <c r="AL1228" i="17"/>
  <c r="L1228" i="17"/>
  <c r="AK1228" i="17"/>
  <c r="K1228" i="17"/>
  <c r="AC1228" i="17"/>
  <c r="AB1228" i="17"/>
  <c r="AA1228" i="17"/>
  <c r="M1233" i="17"/>
  <c r="AR1251" i="17"/>
  <c r="AJ1251" i="17"/>
  <c r="AB1251" i="17"/>
  <c r="T1251" i="17"/>
  <c r="L1251" i="17"/>
  <c r="AQ1251" i="17"/>
  <c r="AI1251" i="17"/>
  <c r="AA1251" i="17"/>
  <c r="S1251" i="17"/>
  <c r="K1251" i="17"/>
  <c r="AN1251" i="17"/>
  <c r="AD1251" i="17"/>
  <c r="R1251" i="17"/>
  <c r="AM1251" i="17"/>
  <c r="AC1251" i="17"/>
  <c r="Q1251" i="17"/>
  <c r="AH1251" i="17"/>
  <c r="V1251" i="17"/>
  <c r="AG1251" i="17"/>
  <c r="U1251" i="17"/>
  <c r="AE1251" i="17"/>
  <c r="M1251" i="17"/>
  <c r="Z1251" i="17"/>
  <c r="J1251" i="17"/>
  <c r="AP1251" i="17"/>
  <c r="P1251" i="17"/>
  <c r="AO1251" i="17"/>
  <c r="O1251" i="17"/>
  <c r="AL1251" i="17"/>
  <c r="N1251" i="17"/>
  <c r="Y1251" i="17"/>
  <c r="X1251" i="17"/>
  <c r="W1251" i="17"/>
  <c r="AN1254" i="17"/>
  <c r="AF1254" i="17"/>
  <c r="X1254" i="17"/>
  <c r="P1254" i="17"/>
  <c r="AM1254" i="17"/>
  <c r="AE1254" i="17"/>
  <c r="W1254" i="17"/>
  <c r="O1254" i="17"/>
  <c r="AL1254" i="17"/>
  <c r="AB1254" i="17"/>
  <c r="R1254" i="17"/>
  <c r="AK1254" i="17"/>
  <c r="AA1254" i="17"/>
  <c r="Q1254" i="17"/>
  <c r="AG1254" i="17"/>
  <c r="S1254" i="17"/>
  <c r="AR1254" i="17"/>
  <c r="AD1254" i="17"/>
  <c r="N1254" i="17"/>
  <c r="AH1254" i="17"/>
  <c r="L1254" i="17"/>
  <c r="AC1254" i="17"/>
  <c r="K1254" i="17"/>
  <c r="AQ1254" i="17"/>
  <c r="U1254" i="17"/>
  <c r="AP1254" i="17"/>
  <c r="T1254" i="17"/>
  <c r="AO1254" i="17"/>
  <c r="M1254" i="17"/>
  <c r="AI1254" i="17"/>
  <c r="Z1254" i="17"/>
  <c r="Y1254" i="17"/>
  <c r="AF1257" i="17"/>
  <c r="AN1270" i="17"/>
  <c r="AF1270" i="17"/>
  <c r="X1270" i="17"/>
  <c r="P1270" i="17"/>
  <c r="AM1270" i="17"/>
  <c r="AE1270" i="17"/>
  <c r="W1270" i="17"/>
  <c r="O1270" i="17"/>
  <c r="AL1270" i="17"/>
  <c r="AB1270" i="17"/>
  <c r="R1270" i="17"/>
  <c r="AK1270" i="17"/>
  <c r="AA1270" i="17"/>
  <c r="Q1270" i="17"/>
  <c r="AG1270" i="17"/>
  <c r="S1270" i="17"/>
  <c r="AR1270" i="17"/>
  <c r="AD1270" i="17"/>
  <c r="N1270" i="17"/>
  <c r="AJ1270" i="17"/>
  <c r="T1270" i="17"/>
  <c r="AI1270" i="17"/>
  <c r="M1270" i="17"/>
  <c r="Y1270" i="17"/>
  <c r="V1270" i="17"/>
  <c r="AQ1270" i="17"/>
  <c r="U1270" i="17"/>
  <c r="L1270" i="17"/>
  <c r="K1270" i="17"/>
  <c r="J1270" i="17"/>
  <c r="J1275" i="17"/>
  <c r="AN1282" i="17"/>
  <c r="AF1282" i="17"/>
  <c r="X1282" i="17"/>
  <c r="P1282" i="17"/>
  <c r="AM1282" i="17"/>
  <c r="AE1282" i="17"/>
  <c r="W1282" i="17"/>
  <c r="O1282" i="17"/>
  <c r="AR1282" i="17"/>
  <c r="AH1282" i="17"/>
  <c r="V1282" i="17"/>
  <c r="L1282" i="17"/>
  <c r="AQ1282" i="17"/>
  <c r="AG1282" i="17"/>
  <c r="U1282" i="17"/>
  <c r="K1282" i="17"/>
  <c r="AP1282" i="17"/>
  <c r="AB1282" i="17"/>
  <c r="N1282" i="17"/>
  <c r="AO1282" i="17"/>
  <c r="AA1282" i="17"/>
  <c r="M1282" i="17"/>
  <c r="AK1282" i="17"/>
  <c r="S1282" i="17"/>
  <c r="AJ1282" i="17"/>
  <c r="R1282" i="17"/>
  <c r="Y1282" i="17"/>
  <c r="T1282" i="17"/>
  <c r="Q1282" i="17"/>
  <c r="AD1282" i="17"/>
  <c r="AC1282" i="17"/>
  <c r="Z1282" i="17"/>
  <c r="AN1286" i="17"/>
  <c r="AF1286" i="17"/>
  <c r="X1286" i="17"/>
  <c r="P1286" i="17"/>
  <c r="AM1286" i="17"/>
  <c r="AE1286" i="17"/>
  <c r="W1286" i="17"/>
  <c r="O1286" i="17"/>
  <c r="AL1286" i="17"/>
  <c r="AB1286" i="17"/>
  <c r="R1286" i="17"/>
  <c r="AK1286" i="17"/>
  <c r="AA1286" i="17"/>
  <c r="Q1286" i="17"/>
  <c r="AG1286" i="17"/>
  <c r="S1286" i="17"/>
  <c r="AR1286" i="17"/>
  <c r="AD1286" i="17"/>
  <c r="N1286" i="17"/>
  <c r="AP1286" i="17"/>
  <c r="V1286" i="17"/>
  <c r="AO1286" i="17"/>
  <c r="U1286" i="17"/>
  <c r="AJ1286" i="17"/>
  <c r="L1286" i="17"/>
  <c r="AI1286" i="17"/>
  <c r="K1286" i="17"/>
  <c r="AH1286" i="17"/>
  <c r="J1286" i="17"/>
  <c r="AQ1286" i="17"/>
  <c r="AC1286" i="17"/>
  <c r="Z1286" i="17"/>
  <c r="W1289" i="17"/>
  <c r="Q1292" i="17"/>
  <c r="AR1297" i="17"/>
  <c r="AJ1297" i="17"/>
  <c r="AB1297" i="17"/>
  <c r="T1297" i="17"/>
  <c r="L1297" i="17"/>
  <c r="AQ1297" i="17"/>
  <c r="AI1297" i="17"/>
  <c r="AA1297" i="17"/>
  <c r="S1297" i="17"/>
  <c r="K1297" i="17"/>
  <c r="AL1297" i="17"/>
  <c r="Z1297" i="17"/>
  <c r="P1297" i="17"/>
  <c r="AK1297" i="17"/>
  <c r="Y1297" i="17"/>
  <c r="O1297" i="17"/>
  <c r="AH1297" i="17"/>
  <c r="V1297" i="17"/>
  <c r="AG1297" i="17"/>
  <c r="U1297" i="17"/>
  <c r="AO1297" i="17"/>
  <c r="W1297" i="17"/>
  <c r="AN1297" i="17"/>
  <c r="R1297" i="17"/>
  <c r="AC1297" i="17"/>
  <c r="X1297" i="17"/>
  <c r="Q1297" i="17"/>
  <c r="AM1297" i="17"/>
  <c r="AF1297" i="17"/>
  <c r="AE1297" i="17"/>
  <c r="U1318" i="17"/>
  <c r="U1321" i="17"/>
  <c r="R1327" i="17"/>
  <c r="AK1339" i="17"/>
  <c r="M1342" i="17"/>
  <c r="AR1345" i="17"/>
  <c r="AJ1345" i="17"/>
  <c r="AB1345" i="17"/>
  <c r="T1345" i="17"/>
  <c r="L1345" i="17"/>
  <c r="AQ1345" i="17"/>
  <c r="AI1345" i="17"/>
  <c r="AA1345" i="17"/>
  <c r="S1345" i="17"/>
  <c r="K1345" i="17"/>
  <c r="AL1345" i="17"/>
  <c r="Z1345" i="17"/>
  <c r="P1345" i="17"/>
  <c r="AK1345" i="17"/>
  <c r="Y1345" i="17"/>
  <c r="O1345" i="17"/>
  <c r="AH1345" i="17"/>
  <c r="V1345" i="17"/>
  <c r="AG1345" i="17"/>
  <c r="U1345" i="17"/>
  <c r="AM1345" i="17"/>
  <c r="Q1345" i="17"/>
  <c r="AF1345" i="17"/>
  <c r="N1345" i="17"/>
  <c r="AD1345" i="17"/>
  <c r="AC1345" i="17"/>
  <c r="X1345" i="17"/>
  <c r="AE1345" i="17"/>
  <c r="W1345" i="17"/>
  <c r="R1345" i="17"/>
  <c r="AI1346" i="17"/>
  <c r="AL1507" i="17"/>
  <c r="AD1507" i="17"/>
  <c r="V1507" i="17"/>
  <c r="N1507" i="17"/>
  <c r="AK1507" i="17"/>
  <c r="AC1507" i="17"/>
  <c r="U1507" i="17"/>
  <c r="M1507" i="17"/>
  <c r="AR1507" i="17"/>
  <c r="AH1507" i="17"/>
  <c r="X1507" i="17"/>
  <c r="L1507" i="17"/>
  <c r="AQ1507" i="17"/>
  <c r="AG1507" i="17"/>
  <c r="W1507" i="17"/>
  <c r="K1507" i="17"/>
  <c r="AO1507" i="17"/>
  <c r="AA1507" i="17"/>
  <c r="O1507" i="17"/>
  <c r="AN1507" i="17"/>
  <c r="Z1507" i="17"/>
  <c r="J1507" i="17"/>
  <c r="AJ1507" i="17"/>
  <c r="R1507" i="17"/>
  <c r="AI1507" i="17"/>
  <c r="Q1507" i="17"/>
  <c r="AB1507" i="17"/>
  <c r="Y1507" i="17"/>
  <c r="T1507" i="17"/>
  <c r="AM1507" i="17"/>
  <c r="AF1507" i="17"/>
  <c r="AE1507" i="17"/>
  <c r="AP1507" i="17"/>
  <c r="S1507" i="17"/>
  <c r="P1507" i="17"/>
  <c r="AL1587" i="17"/>
  <c r="AD1587" i="17"/>
  <c r="V1587" i="17"/>
  <c r="N1587" i="17"/>
  <c r="AK1587" i="17"/>
  <c r="AC1587" i="17"/>
  <c r="U1587" i="17"/>
  <c r="M1587" i="17"/>
  <c r="AR1587" i="17"/>
  <c r="AH1587" i="17"/>
  <c r="X1587" i="17"/>
  <c r="L1587" i="17"/>
  <c r="AQ1587" i="17"/>
  <c r="AG1587" i="17"/>
  <c r="W1587" i="17"/>
  <c r="K1587" i="17"/>
  <c r="AO1587" i="17"/>
  <c r="AA1587" i="17"/>
  <c r="O1587" i="17"/>
  <c r="AN1587" i="17"/>
  <c r="Z1587" i="17"/>
  <c r="J1587" i="17"/>
  <c r="AB1587" i="17"/>
  <c r="Y1587" i="17"/>
  <c r="AP1587" i="17"/>
  <c r="R1587" i="17"/>
  <c r="AM1587" i="17"/>
  <c r="Q1587" i="17"/>
  <c r="AJ1587" i="17"/>
  <c r="P1587" i="17"/>
  <c r="AI1587" i="17"/>
  <c r="AF1587" i="17"/>
  <c r="AE1587" i="17"/>
  <c r="T1587" i="17"/>
  <c r="S1587" i="17"/>
  <c r="X1642" i="17"/>
  <c r="Y1658" i="17"/>
  <c r="AL1720" i="17"/>
  <c r="AD1720" i="17"/>
  <c r="V1720" i="17"/>
  <c r="AK1720" i="17"/>
  <c r="AO1720" i="17"/>
  <c r="AE1720" i="17"/>
  <c r="U1720" i="17"/>
  <c r="M1720" i="17"/>
  <c r="AN1720" i="17"/>
  <c r="AC1720" i="17"/>
  <c r="T1720" i="17"/>
  <c r="L1720" i="17"/>
  <c r="AM1720" i="17"/>
  <c r="Z1720" i="17"/>
  <c r="O1720" i="17"/>
  <c r="AJ1720" i="17"/>
  <c r="Y1720" i="17"/>
  <c r="N1720" i="17"/>
  <c r="AP1720" i="17"/>
  <c r="W1720" i="17"/>
  <c r="AI1720" i="17"/>
  <c r="S1720" i="17"/>
  <c r="X1720" i="17"/>
  <c r="AR1720" i="17"/>
  <c r="R1720" i="17"/>
  <c r="P1720" i="17"/>
  <c r="AQ1720" i="17"/>
  <c r="K1720" i="17"/>
  <c r="AH1720" i="17"/>
  <c r="AG1720" i="17"/>
  <c r="AF1720" i="17"/>
  <c r="AB1720" i="17"/>
  <c r="AA1720" i="17"/>
  <c r="Q1720" i="17"/>
  <c r="AN1883" i="17"/>
  <c r="AF1883" i="17"/>
  <c r="X1883" i="17"/>
  <c r="P1883" i="17"/>
  <c r="AM1883" i="17"/>
  <c r="AD1883" i="17"/>
  <c r="U1883" i="17"/>
  <c r="L1883" i="17"/>
  <c r="AL1883" i="17"/>
  <c r="AC1883" i="17"/>
  <c r="T1883" i="17"/>
  <c r="K1883" i="17"/>
  <c r="AK1883" i="17"/>
  <c r="Z1883" i="17"/>
  <c r="N1883" i="17"/>
  <c r="AJ1883" i="17"/>
  <c r="Y1883" i="17"/>
  <c r="M1883" i="17"/>
  <c r="AI1883" i="17"/>
  <c r="S1883" i="17"/>
  <c r="AH1883" i="17"/>
  <c r="R1883" i="17"/>
  <c r="AQ1883" i="17"/>
  <c r="V1883" i="17"/>
  <c r="AP1883" i="17"/>
  <c r="Q1883" i="17"/>
  <c r="AE1883" i="17"/>
  <c r="AB1883" i="17"/>
  <c r="W1883" i="17"/>
  <c r="O1883" i="17"/>
  <c r="AG1883" i="17"/>
  <c r="AA1883" i="17"/>
  <c r="AR1883" i="17"/>
  <c r="AO1883" i="17"/>
  <c r="J1883" i="17"/>
  <c r="W694" i="17"/>
  <c r="AK702" i="17"/>
  <c r="AC702" i="17"/>
  <c r="U702" i="17"/>
  <c r="M702" i="17"/>
  <c r="AR702" i="17"/>
  <c r="AJ702" i="17"/>
  <c r="AB702" i="17"/>
  <c r="T702" i="17"/>
  <c r="L702" i="17"/>
  <c r="AQ702" i="17"/>
  <c r="AG702" i="17"/>
  <c r="W702" i="17"/>
  <c r="K702" i="17"/>
  <c r="AP702" i="17"/>
  <c r="AF702" i="17"/>
  <c r="V702" i="17"/>
  <c r="J702" i="17"/>
  <c r="AL702" i="17"/>
  <c r="X702" i="17"/>
  <c r="Z702" i="17"/>
  <c r="AO702" i="17"/>
  <c r="W704" i="17"/>
  <c r="AK732" i="17"/>
  <c r="AC732" i="17"/>
  <c r="U732" i="17"/>
  <c r="M732" i="17"/>
  <c r="AR732" i="17"/>
  <c r="AJ732" i="17"/>
  <c r="AB732" i="17"/>
  <c r="T732" i="17"/>
  <c r="L732" i="17"/>
  <c r="AL732" i="17"/>
  <c r="Z732" i="17"/>
  <c r="P732" i="17"/>
  <c r="AI732" i="17"/>
  <c r="Y732" i="17"/>
  <c r="O732" i="17"/>
  <c r="AG732" i="17"/>
  <c r="S732" i="17"/>
  <c r="X732" i="17"/>
  <c r="AO732" i="17"/>
  <c r="AK748" i="17"/>
  <c r="AC748" i="17"/>
  <c r="U748" i="17"/>
  <c r="M748" i="17"/>
  <c r="AR748" i="17"/>
  <c r="AJ748" i="17"/>
  <c r="AB748" i="17"/>
  <c r="T748" i="17"/>
  <c r="L748" i="17"/>
  <c r="AL748" i="17"/>
  <c r="Z748" i="17"/>
  <c r="P748" i="17"/>
  <c r="AI748" i="17"/>
  <c r="Y748" i="17"/>
  <c r="O748" i="17"/>
  <c r="AH748" i="17"/>
  <c r="V748" i="17"/>
  <c r="X748" i="17"/>
  <c r="AO748" i="17"/>
  <c r="AM786" i="17"/>
  <c r="AE786" i="17"/>
  <c r="W786" i="17"/>
  <c r="O786" i="17"/>
  <c r="AN786" i="17"/>
  <c r="AD786" i="17"/>
  <c r="U786" i="17"/>
  <c r="L786" i="17"/>
  <c r="AL786" i="17"/>
  <c r="AC786" i="17"/>
  <c r="T786" i="17"/>
  <c r="K786" i="17"/>
  <c r="AQ786" i="17"/>
  <c r="AF786" i="17"/>
  <c r="R786" i="17"/>
  <c r="AP786" i="17"/>
  <c r="AB786" i="17"/>
  <c r="Q786" i="17"/>
  <c r="AI786" i="17"/>
  <c r="S786" i="17"/>
  <c r="AH786" i="17"/>
  <c r="P786" i="17"/>
  <c r="AA786" i="17"/>
  <c r="AQ825" i="17"/>
  <c r="AI825" i="17"/>
  <c r="AA825" i="17"/>
  <c r="S825" i="17"/>
  <c r="K825" i="17"/>
  <c r="AR825" i="17"/>
  <c r="AH825" i="17"/>
  <c r="Y825" i="17"/>
  <c r="P825" i="17"/>
  <c r="AP825" i="17"/>
  <c r="AG825" i="17"/>
  <c r="X825" i="17"/>
  <c r="O825" i="17"/>
  <c r="AE825" i="17"/>
  <c r="T825" i="17"/>
  <c r="AO825" i="17"/>
  <c r="AD825" i="17"/>
  <c r="R825" i="17"/>
  <c r="AC825" i="17"/>
  <c r="M825" i="17"/>
  <c r="AB825" i="17"/>
  <c r="L825" i="17"/>
  <c r="AF825" i="17"/>
  <c r="AQ843" i="17"/>
  <c r="AI843" i="17"/>
  <c r="AA843" i="17"/>
  <c r="S843" i="17"/>
  <c r="K843" i="17"/>
  <c r="AJ843" i="17"/>
  <c r="Z843" i="17"/>
  <c r="Q843" i="17"/>
  <c r="AR843" i="17"/>
  <c r="AH843" i="17"/>
  <c r="Y843" i="17"/>
  <c r="P843" i="17"/>
  <c r="AL843" i="17"/>
  <c r="X843" i="17"/>
  <c r="M843" i="17"/>
  <c r="AK843" i="17"/>
  <c r="W843" i="17"/>
  <c r="L843" i="17"/>
  <c r="AN843" i="17"/>
  <c r="V843" i="17"/>
  <c r="AM843" i="17"/>
  <c r="U843" i="17"/>
  <c r="AD843" i="17"/>
  <c r="AM852" i="17"/>
  <c r="AE852" i="17"/>
  <c r="W852" i="17"/>
  <c r="O852" i="17"/>
  <c r="AO852" i="17"/>
  <c r="AF852" i="17"/>
  <c r="V852" i="17"/>
  <c r="M852" i="17"/>
  <c r="AN852" i="17"/>
  <c r="AD852" i="17"/>
  <c r="U852" i="17"/>
  <c r="L852" i="17"/>
  <c r="AK852" i="17"/>
  <c r="Z852" i="17"/>
  <c r="N852" i="17"/>
  <c r="AJ852" i="17"/>
  <c r="Y852" i="17"/>
  <c r="K852" i="17"/>
  <c r="AG852" i="17"/>
  <c r="Q852" i="17"/>
  <c r="AC852" i="17"/>
  <c r="P852" i="17"/>
  <c r="AH852" i="17"/>
  <c r="AM856" i="17"/>
  <c r="AE856" i="17"/>
  <c r="W856" i="17"/>
  <c r="O856" i="17"/>
  <c r="AQ856" i="17"/>
  <c r="AH856" i="17"/>
  <c r="Y856" i="17"/>
  <c r="P856" i="17"/>
  <c r="AP856" i="17"/>
  <c r="AG856" i="17"/>
  <c r="X856" i="17"/>
  <c r="N856" i="17"/>
  <c r="AN856" i="17"/>
  <c r="AB856" i="17"/>
  <c r="Q856" i="17"/>
  <c r="AL856" i="17"/>
  <c r="AA856" i="17"/>
  <c r="M856" i="17"/>
  <c r="AI856" i="17"/>
  <c r="S856" i="17"/>
  <c r="AF856" i="17"/>
  <c r="R856" i="17"/>
  <c r="AC856" i="17"/>
  <c r="AM864" i="17"/>
  <c r="AE864" i="17"/>
  <c r="W864" i="17"/>
  <c r="O864" i="17"/>
  <c r="AL864" i="17"/>
  <c r="AC864" i="17"/>
  <c r="T864" i="17"/>
  <c r="K864" i="17"/>
  <c r="AK864" i="17"/>
  <c r="AB864" i="17"/>
  <c r="S864" i="17"/>
  <c r="J864" i="17"/>
  <c r="AO864" i="17"/>
  <c r="AA864" i="17"/>
  <c r="P864" i="17"/>
  <c r="AN864" i="17"/>
  <c r="Z864" i="17"/>
  <c r="N864" i="17"/>
  <c r="AH864" i="17"/>
  <c r="R864" i="17"/>
  <c r="AG864" i="17"/>
  <c r="Q864" i="17"/>
  <c r="AF864" i="17"/>
  <c r="AM868" i="17"/>
  <c r="AE868" i="17"/>
  <c r="W868" i="17"/>
  <c r="O868" i="17"/>
  <c r="AO868" i="17"/>
  <c r="AF868" i="17"/>
  <c r="V868" i="17"/>
  <c r="M868" i="17"/>
  <c r="AN868" i="17"/>
  <c r="AD868" i="17"/>
  <c r="U868" i="17"/>
  <c r="L868" i="17"/>
  <c r="AQ868" i="17"/>
  <c r="AC868" i="17"/>
  <c r="R868" i="17"/>
  <c r="AP868" i="17"/>
  <c r="AB868" i="17"/>
  <c r="Q868" i="17"/>
  <c r="AJ868" i="17"/>
  <c r="T868" i="17"/>
  <c r="AI868" i="17"/>
  <c r="S868" i="17"/>
  <c r="AA868" i="17"/>
  <c r="AQ889" i="17"/>
  <c r="AI889" i="17"/>
  <c r="AA889" i="17"/>
  <c r="S889" i="17"/>
  <c r="K889" i="17"/>
  <c r="AR889" i="17"/>
  <c r="AH889" i="17"/>
  <c r="Y889" i="17"/>
  <c r="P889" i="17"/>
  <c r="AP889" i="17"/>
  <c r="AG889" i="17"/>
  <c r="X889" i="17"/>
  <c r="O889" i="17"/>
  <c r="AL889" i="17"/>
  <c r="Z889" i="17"/>
  <c r="M889" i="17"/>
  <c r="AK889" i="17"/>
  <c r="W889" i="17"/>
  <c r="L889" i="17"/>
  <c r="AE889" i="17"/>
  <c r="Q889" i="17"/>
  <c r="AD889" i="17"/>
  <c r="N889" i="17"/>
  <c r="AF889" i="17"/>
  <c r="AQ897" i="17"/>
  <c r="AI897" i="17"/>
  <c r="AA897" i="17"/>
  <c r="S897" i="17"/>
  <c r="K897" i="17"/>
  <c r="AM897" i="17"/>
  <c r="AD897" i="17"/>
  <c r="U897" i="17"/>
  <c r="L897" i="17"/>
  <c r="AL897" i="17"/>
  <c r="AC897" i="17"/>
  <c r="T897" i="17"/>
  <c r="J897" i="17"/>
  <c r="AK897" i="17"/>
  <c r="Y897" i="17"/>
  <c r="N897" i="17"/>
  <c r="AJ897" i="17"/>
  <c r="X897" i="17"/>
  <c r="M897" i="17"/>
  <c r="AF897" i="17"/>
  <c r="P897" i="17"/>
  <c r="AE897" i="17"/>
  <c r="O897" i="17"/>
  <c r="AH897" i="17"/>
  <c r="AM906" i="17"/>
  <c r="AE906" i="17"/>
  <c r="W906" i="17"/>
  <c r="O906" i="17"/>
  <c r="AR906" i="17"/>
  <c r="AI906" i="17"/>
  <c r="Z906" i="17"/>
  <c r="Q906" i="17"/>
  <c r="AQ906" i="17"/>
  <c r="AH906" i="17"/>
  <c r="Y906" i="17"/>
  <c r="P906" i="17"/>
  <c r="AP906" i="17"/>
  <c r="AD906" i="17"/>
  <c r="S906" i="17"/>
  <c r="AO906" i="17"/>
  <c r="AC906" i="17"/>
  <c r="R906" i="17"/>
  <c r="AG906" i="17"/>
  <c r="N906" i="17"/>
  <c r="AF906" i="17"/>
  <c r="M906" i="17"/>
  <c r="AA906" i="17"/>
  <c r="AM934" i="17"/>
  <c r="AE934" i="17"/>
  <c r="W934" i="17"/>
  <c r="O934" i="17"/>
  <c r="AP934" i="17"/>
  <c r="AG934" i="17"/>
  <c r="X934" i="17"/>
  <c r="N934" i="17"/>
  <c r="AO934" i="17"/>
  <c r="AF934" i="17"/>
  <c r="V934" i="17"/>
  <c r="M934" i="17"/>
  <c r="AK934" i="17"/>
  <c r="Z934" i="17"/>
  <c r="L934" i="17"/>
  <c r="AJ934" i="17"/>
  <c r="Y934" i="17"/>
  <c r="K934" i="17"/>
  <c r="AH934" i="17"/>
  <c r="R934" i="17"/>
  <c r="AD934" i="17"/>
  <c r="Q934" i="17"/>
  <c r="AC934" i="17"/>
  <c r="AM938" i="17"/>
  <c r="AE938" i="17"/>
  <c r="W938" i="17"/>
  <c r="O938" i="17"/>
  <c r="AR938" i="17"/>
  <c r="AI938" i="17"/>
  <c r="Z938" i="17"/>
  <c r="Q938" i="17"/>
  <c r="AQ938" i="17"/>
  <c r="AH938" i="17"/>
  <c r="Y938" i="17"/>
  <c r="P938" i="17"/>
  <c r="AN938" i="17"/>
  <c r="AB938" i="17"/>
  <c r="N938" i="17"/>
  <c r="AL938" i="17"/>
  <c r="AA938" i="17"/>
  <c r="M938" i="17"/>
  <c r="AJ938" i="17"/>
  <c r="T938" i="17"/>
  <c r="AG938" i="17"/>
  <c r="S938" i="17"/>
  <c r="AC938" i="17"/>
  <c r="AM968" i="17"/>
  <c r="AE968" i="17"/>
  <c r="W968" i="17"/>
  <c r="O968" i="17"/>
  <c r="AQ968" i="17"/>
  <c r="AH968" i="17"/>
  <c r="Y968" i="17"/>
  <c r="P968" i="17"/>
  <c r="AP968" i="17"/>
  <c r="AG968" i="17"/>
  <c r="X968" i="17"/>
  <c r="N968" i="17"/>
  <c r="AJ968" i="17"/>
  <c r="V968" i="17"/>
  <c r="K968" i="17"/>
  <c r="AI968" i="17"/>
  <c r="U968" i="17"/>
  <c r="J968" i="17"/>
  <c r="AD968" i="17"/>
  <c r="Q968" i="17"/>
  <c r="AC968" i="17"/>
  <c r="M968" i="17"/>
  <c r="AF968" i="17"/>
  <c r="AM978" i="17"/>
  <c r="AE978" i="17"/>
  <c r="W978" i="17"/>
  <c r="O978" i="17"/>
  <c r="AN978" i="17"/>
  <c r="AD978" i="17"/>
  <c r="U978" i="17"/>
  <c r="L978" i="17"/>
  <c r="AL978" i="17"/>
  <c r="AC978" i="17"/>
  <c r="T978" i="17"/>
  <c r="K978" i="17"/>
  <c r="AJ978" i="17"/>
  <c r="Y978" i="17"/>
  <c r="M978" i="17"/>
  <c r="AI978" i="17"/>
  <c r="X978" i="17"/>
  <c r="J978" i="17"/>
  <c r="AK978" i="17"/>
  <c r="S978" i="17"/>
  <c r="AH978" i="17"/>
  <c r="R978" i="17"/>
  <c r="AF978" i="17"/>
  <c r="AM984" i="17"/>
  <c r="AE984" i="17"/>
  <c r="W984" i="17"/>
  <c r="O984" i="17"/>
  <c r="AQ984" i="17"/>
  <c r="AH984" i="17"/>
  <c r="Y984" i="17"/>
  <c r="P984" i="17"/>
  <c r="AP984" i="17"/>
  <c r="AG984" i="17"/>
  <c r="X984" i="17"/>
  <c r="N984" i="17"/>
  <c r="AN984" i="17"/>
  <c r="AB984" i="17"/>
  <c r="Q984" i="17"/>
  <c r="AL984" i="17"/>
  <c r="AA984" i="17"/>
  <c r="M984" i="17"/>
  <c r="AF984" i="17"/>
  <c r="R984" i="17"/>
  <c r="AD984" i="17"/>
  <c r="L984" i="17"/>
  <c r="AC984" i="17"/>
  <c r="AQ987" i="17"/>
  <c r="AI987" i="17"/>
  <c r="AA987" i="17"/>
  <c r="S987" i="17"/>
  <c r="K987" i="17"/>
  <c r="AJ987" i="17"/>
  <c r="Z987" i="17"/>
  <c r="Q987" i="17"/>
  <c r="AR987" i="17"/>
  <c r="AH987" i="17"/>
  <c r="Y987" i="17"/>
  <c r="P987" i="17"/>
  <c r="AO987" i="17"/>
  <c r="AD987" i="17"/>
  <c r="R987" i="17"/>
  <c r="AN987" i="17"/>
  <c r="AC987" i="17"/>
  <c r="O987" i="17"/>
  <c r="AL987" i="17"/>
  <c r="V987" i="17"/>
  <c r="AK987" i="17"/>
  <c r="U987" i="17"/>
  <c r="AB987" i="17"/>
  <c r="AM992" i="17"/>
  <c r="AE992" i="17"/>
  <c r="W992" i="17"/>
  <c r="O992" i="17"/>
  <c r="AL992" i="17"/>
  <c r="AC992" i="17"/>
  <c r="T992" i="17"/>
  <c r="K992" i="17"/>
  <c r="AK992" i="17"/>
  <c r="AB992" i="17"/>
  <c r="S992" i="17"/>
  <c r="J992" i="17"/>
  <c r="AO992" i="17"/>
  <c r="AA992" i="17"/>
  <c r="P992" i="17"/>
  <c r="AN992" i="17"/>
  <c r="Z992" i="17"/>
  <c r="N992" i="17"/>
  <c r="AG992" i="17"/>
  <c r="Q992" i="17"/>
  <c r="AF992" i="17"/>
  <c r="M992" i="17"/>
  <c r="AH992" i="17"/>
  <c r="AM996" i="17"/>
  <c r="AE996" i="17"/>
  <c r="W996" i="17"/>
  <c r="O996" i="17"/>
  <c r="AO996" i="17"/>
  <c r="AF996" i="17"/>
  <c r="V996" i="17"/>
  <c r="M996" i="17"/>
  <c r="AN996" i="17"/>
  <c r="AD996" i="17"/>
  <c r="U996" i="17"/>
  <c r="L996" i="17"/>
  <c r="AQ996" i="17"/>
  <c r="AC996" i="17"/>
  <c r="R996" i="17"/>
  <c r="AP996" i="17"/>
  <c r="AB996" i="17"/>
  <c r="Q996" i="17"/>
  <c r="AI996" i="17"/>
  <c r="S996" i="17"/>
  <c r="AH996" i="17"/>
  <c r="P996" i="17"/>
  <c r="AA996" i="17"/>
  <c r="AQ1017" i="17"/>
  <c r="AI1017" i="17"/>
  <c r="AA1017" i="17"/>
  <c r="S1017" i="17"/>
  <c r="K1017" i="17"/>
  <c r="AR1017" i="17"/>
  <c r="AH1017" i="17"/>
  <c r="Y1017" i="17"/>
  <c r="P1017" i="17"/>
  <c r="AP1017" i="17"/>
  <c r="AG1017" i="17"/>
  <c r="X1017" i="17"/>
  <c r="O1017" i="17"/>
  <c r="AL1017" i="17"/>
  <c r="Z1017" i="17"/>
  <c r="M1017" i="17"/>
  <c r="AK1017" i="17"/>
  <c r="W1017" i="17"/>
  <c r="L1017" i="17"/>
  <c r="AD1017" i="17"/>
  <c r="N1017" i="17"/>
  <c r="AC1017" i="17"/>
  <c r="J1017" i="17"/>
  <c r="AF1017" i="17"/>
  <c r="AQ1027" i="17"/>
  <c r="AI1027" i="17"/>
  <c r="AA1027" i="17"/>
  <c r="S1027" i="17"/>
  <c r="K1027" i="17"/>
  <c r="AN1027" i="17"/>
  <c r="AE1027" i="17"/>
  <c r="V1027" i="17"/>
  <c r="M1027" i="17"/>
  <c r="AM1027" i="17"/>
  <c r="AD1027" i="17"/>
  <c r="U1027" i="17"/>
  <c r="L1027" i="17"/>
  <c r="AL1027" i="17"/>
  <c r="Z1027" i="17"/>
  <c r="O1027" i="17"/>
  <c r="AK1027" i="17"/>
  <c r="Y1027" i="17"/>
  <c r="N1027" i="17"/>
  <c r="AO1027" i="17"/>
  <c r="W1027" i="17"/>
  <c r="AJ1027" i="17"/>
  <c r="T1027" i="17"/>
  <c r="AF1027" i="17"/>
  <c r="AM1030" i="17"/>
  <c r="AE1030" i="17"/>
  <c r="W1030" i="17"/>
  <c r="O1030" i="17"/>
  <c r="AP1030" i="17"/>
  <c r="AG1030" i="17"/>
  <c r="X1030" i="17"/>
  <c r="N1030" i="17"/>
  <c r="AO1030" i="17"/>
  <c r="AF1030" i="17"/>
  <c r="V1030" i="17"/>
  <c r="M1030" i="17"/>
  <c r="AN1030" i="17"/>
  <c r="AB1030" i="17"/>
  <c r="Q1030" i="17"/>
  <c r="AL1030" i="17"/>
  <c r="AA1030" i="17"/>
  <c r="P1030" i="17"/>
  <c r="AC1030" i="17"/>
  <c r="K1030" i="17"/>
  <c r="AR1030" i="17"/>
  <c r="Z1030" i="17"/>
  <c r="J1030" i="17"/>
  <c r="AH1030" i="17"/>
  <c r="AQ1033" i="17"/>
  <c r="AI1033" i="17"/>
  <c r="AA1033" i="17"/>
  <c r="S1033" i="17"/>
  <c r="K1033" i="17"/>
  <c r="AR1033" i="17"/>
  <c r="AH1033" i="17"/>
  <c r="Y1033" i="17"/>
  <c r="P1033" i="17"/>
  <c r="AP1033" i="17"/>
  <c r="AG1033" i="17"/>
  <c r="X1033" i="17"/>
  <c r="O1033" i="17"/>
  <c r="AO1033" i="17"/>
  <c r="AD1033" i="17"/>
  <c r="R1033" i="17"/>
  <c r="AN1033" i="17"/>
  <c r="AC1033" i="17"/>
  <c r="Q1033" i="17"/>
  <c r="AJ1033" i="17"/>
  <c r="T1033" i="17"/>
  <c r="AF1033" i="17"/>
  <c r="N1033" i="17"/>
  <c r="AB1033" i="17"/>
  <c r="AQ1041" i="17"/>
  <c r="AI1041" i="17"/>
  <c r="AA1041" i="17"/>
  <c r="S1041" i="17"/>
  <c r="K1041" i="17"/>
  <c r="AM1041" i="17"/>
  <c r="AD1041" i="17"/>
  <c r="U1041" i="17"/>
  <c r="L1041" i="17"/>
  <c r="AL1041" i="17"/>
  <c r="AC1041" i="17"/>
  <c r="T1041" i="17"/>
  <c r="J1041" i="17"/>
  <c r="AP1041" i="17"/>
  <c r="AE1041" i="17"/>
  <c r="Q1041" i="17"/>
  <c r="AO1041" i="17"/>
  <c r="AB1041" i="17"/>
  <c r="P1041" i="17"/>
  <c r="AH1041" i="17"/>
  <c r="R1041" i="17"/>
  <c r="AG1041" i="17"/>
  <c r="O1041" i="17"/>
  <c r="AF1041" i="17"/>
  <c r="AN1054" i="17"/>
  <c r="AF1054" i="17"/>
  <c r="X1054" i="17"/>
  <c r="P1054" i="17"/>
  <c r="AM1054" i="17"/>
  <c r="AE1054" i="17"/>
  <c r="W1054" i="17"/>
  <c r="O1054" i="17"/>
  <c r="AQ1054" i="17"/>
  <c r="AG1054" i="17"/>
  <c r="U1054" i="17"/>
  <c r="K1054" i="17"/>
  <c r="AP1054" i="17"/>
  <c r="AD1054" i="17"/>
  <c r="T1054" i="17"/>
  <c r="J1054" i="17"/>
  <c r="AR1054" i="17"/>
  <c r="AB1054" i="17"/>
  <c r="N1054" i="17"/>
  <c r="AO1054" i="17"/>
  <c r="AA1054" i="17"/>
  <c r="M1054" i="17"/>
  <c r="AJ1054" i="17"/>
  <c r="R1054" i="17"/>
  <c r="AI1054" i="17"/>
  <c r="Q1054" i="17"/>
  <c r="AK1054" i="17"/>
  <c r="AN1058" i="17"/>
  <c r="AF1058" i="17"/>
  <c r="X1058" i="17"/>
  <c r="P1058" i="17"/>
  <c r="AM1058" i="17"/>
  <c r="AE1058" i="17"/>
  <c r="W1058" i="17"/>
  <c r="O1058" i="17"/>
  <c r="AK1058" i="17"/>
  <c r="AA1058" i="17"/>
  <c r="Q1058" i="17"/>
  <c r="AJ1058" i="17"/>
  <c r="Z1058" i="17"/>
  <c r="N1058" i="17"/>
  <c r="AH1058" i="17"/>
  <c r="T1058" i="17"/>
  <c r="AG1058" i="17"/>
  <c r="S1058" i="17"/>
  <c r="AP1058" i="17"/>
  <c r="V1058" i="17"/>
  <c r="AO1058" i="17"/>
  <c r="U1058" i="17"/>
  <c r="AC1058" i="17"/>
  <c r="AR1063" i="17"/>
  <c r="AJ1063" i="17"/>
  <c r="AB1063" i="17"/>
  <c r="T1063" i="17"/>
  <c r="L1063" i="17"/>
  <c r="AQ1063" i="17"/>
  <c r="AI1063" i="17"/>
  <c r="AA1063" i="17"/>
  <c r="S1063" i="17"/>
  <c r="K1063" i="17"/>
  <c r="AM1063" i="17"/>
  <c r="AC1063" i="17"/>
  <c r="Q1063" i="17"/>
  <c r="AL1063" i="17"/>
  <c r="Z1063" i="17"/>
  <c r="P1063" i="17"/>
  <c r="AF1063" i="17"/>
  <c r="R1063" i="17"/>
  <c r="AE1063" i="17"/>
  <c r="O1063" i="17"/>
  <c r="AP1063" i="17"/>
  <c r="X1063" i="17"/>
  <c r="AO1063" i="17"/>
  <c r="W1063" i="17"/>
  <c r="AG1063" i="17"/>
  <c r="AN1072" i="17"/>
  <c r="AF1072" i="17"/>
  <c r="X1072" i="17"/>
  <c r="P1072" i="17"/>
  <c r="AM1072" i="17"/>
  <c r="AE1072" i="17"/>
  <c r="W1072" i="17"/>
  <c r="O1072" i="17"/>
  <c r="AI1072" i="17"/>
  <c r="Y1072" i="17"/>
  <c r="M1072" i="17"/>
  <c r="AR1072" i="17"/>
  <c r="AH1072" i="17"/>
  <c r="V1072" i="17"/>
  <c r="L1072" i="17"/>
  <c r="AJ1072" i="17"/>
  <c r="T1072" i="17"/>
  <c r="AG1072" i="17"/>
  <c r="S1072" i="17"/>
  <c r="AK1072" i="17"/>
  <c r="Q1072" i="17"/>
  <c r="AD1072" i="17"/>
  <c r="N1072" i="17"/>
  <c r="AC1072" i="17"/>
  <c r="AR1075" i="17"/>
  <c r="AJ1075" i="17"/>
  <c r="AB1075" i="17"/>
  <c r="T1075" i="17"/>
  <c r="L1075" i="17"/>
  <c r="AQ1075" i="17"/>
  <c r="AI1075" i="17"/>
  <c r="AA1075" i="17"/>
  <c r="S1075" i="17"/>
  <c r="K1075" i="17"/>
  <c r="AG1075" i="17"/>
  <c r="W1075" i="17"/>
  <c r="M1075" i="17"/>
  <c r="AP1075" i="17"/>
  <c r="AF1075" i="17"/>
  <c r="V1075" i="17"/>
  <c r="J1075" i="17"/>
  <c r="AH1075" i="17"/>
  <c r="R1075" i="17"/>
  <c r="AE1075" i="17"/>
  <c r="Q1075" i="17"/>
  <c r="AM1075" i="17"/>
  <c r="U1075" i="17"/>
  <c r="AL1075" i="17"/>
  <c r="P1075" i="17"/>
  <c r="AK1075" i="17"/>
  <c r="AR1157" i="17"/>
  <c r="AJ1157" i="17"/>
  <c r="AB1157" i="17"/>
  <c r="T1157" i="17"/>
  <c r="L1157" i="17"/>
  <c r="AQ1157" i="17"/>
  <c r="AI1157" i="17"/>
  <c r="AA1157" i="17"/>
  <c r="S1157" i="17"/>
  <c r="K1157" i="17"/>
  <c r="AK1157" i="17"/>
  <c r="Y1157" i="17"/>
  <c r="O1157" i="17"/>
  <c r="AH1157" i="17"/>
  <c r="X1157" i="17"/>
  <c r="N1157" i="17"/>
  <c r="AF1157" i="17"/>
  <c r="R1157" i="17"/>
  <c r="AE1157" i="17"/>
  <c r="Q1157" i="17"/>
  <c r="AG1157" i="17"/>
  <c r="M1157" i="17"/>
  <c r="AD1157" i="17"/>
  <c r="J1157" i="17"/>
  <c r="AM1157" i="17"/>
  <c r="AN1166" i="17"/>
  <c r="AF1166" i="17"/>
  <c r="X1166" i="17"/>
  <c r="P1166" i="17"/>
  <c r="AM1166" i="17"/>
  <c r="AE1166" i="17"/>
  <c r="W1166" i="17"/>
  <c r="O1166" i="17"/>
  <c r="AQ1166" i="17"/>
  <c r="AG1166" i="17"/>
  <c r="U1166" i="17"/>
  <c r="K1166" i="17"/>
  <c r="AP1166" i="17"/>
  <c r="AD1166" i="17"/>
  <c r="T1166" i="17"/>
  <c r="J1166" i="17"/>
  <c r="AJ1166" i="17"/>
  <c r="V1166" i="17"/>
  <c r="AI1166" i="17"/>
  <c r="S1166" i="17"/>
  <c r="AO1166" i="17"/>
  <c r="Y1166" i="17"/>
  <c r="AL1166" i="17"/>
  <c r="R1166" i="17"/>
  <c r="AC1166" i="17"/>
  <c r="AR1193" i="17"/>
  <c r="AJ1193" i="17"/>
  <c r="AB1193" i="17"/>
  <c r="T1193" i="17"/>
  <c r="L1193" i="17"/>
  <c r="AQ1193" i="17"/>
  <c r="AI1193" i="17"/>
  <c r="AA1193" i="17"/>
  <c r="S1193" i="17"/>
  <c r="K1193" i="17"/>
  <c r="AL1193" i="17"/>
  <c r="Z1193" i="17"/>
  <c r="P1193" i="17"/>
  <c r="AK1193" i="17"/>
  <c r="Y1193" i="17"/>
  <c r="O1193" i="17"/>
  <c r="AP1193" i="17"/>
  <c r="AD1193" i="17"/>
  <c r="N1193" i="17"/>
  <c r="AO1193" i="17"/>
  <c r="AC1193" i="17"/>
  <c r="M1193" i="17"/>
  <c r="X1193" i="17"/>
  <c r="W1193" i="17"/>
  <c r="V1193" i="17"/>
  <c r="U1193" i="17"/>
  <c r="AN1193" i="17"/>
  <c r="R1193" i="17"/>
  <c r="AR1219" i="17"/>
  <c r="AJ1219" i="17"/>
  <c r="AB1219" i="17"/>
  <c r="T1219" i="17"/>
  <c r="L1219" i="17"/>
  <c r="AQ1219" i="17"/>
  <c r="AI1219" i="17"/>
  <c r="AA1219" i="17"/>
  <c r="S1219" i="17"/>
  <c r="K1219" i="17"/>
  <c r="AN1219" i="17"/>
  <c r="AD1219" i="17"/>
  <c r="R1219" i="17"/>
  <c r="AM1219" i="17"/>
  <c r="AC1219" i="17"/>
  <c r="Q1219" i="17"/>
  <c r="AH1219" i="17"/>
  <c r="V1219" i="17"/>
  <c r="AG1219" i="17"/>
  <c r="U1219" i="17"/>
  <c r="AO1219" i="17"/>
  <c r="W1219" i="17"/>
  <c r="AL1219" i="17"/>
  <c r="P1219" i="17"/>
  <c r="AP1219" i="17"/>
  <c r="N1219" i="17"/>
  <c r="AK1219" i="17"/>
  <c r="M1219" i="17"/>
  <c r="AF1219" i="17"/>
  <c r="J1219" i="17"/>
  <c r="AR1225" i="17"/>
  <c r="AJ1225" i="17"/>
  <c r="AB1225" i="17"/>
  <c r="T1225" i="17"/>
  <c r="L1225" i="17"/>
  <c r="AQ1225" i="17"/>
  <c r="AI1225" i="17"/>
  <c r="AA1225" i="17"/>
  <c r="S1225" i="17"/>
  <c r="K1225" i="17"/>
  <c r="AL1225" i="17"/>
  <c r="Z1225" i="17"/>
  <c r="P1225" i="17"/>
  <c r="AK1225" i="17"/>
  <c r="Y1225" i="17"/>
  <c r="O1225" i="17"/>
  <c r="AP1225" i="17"/>
  <c r="AD1225" i="17"/>
  <c r="N1225" i="17"/>
  <c r="AO1225" i="17"/>
  <c r="AC1225" i="17"/>
  <c r="M1225" i="17"/>
  <c r="AH1225" i="17"/>
  <c r="R1225" i="17"/>
  <c r="AG1225" i="17"/>
  <c r="Q1225" i="17"/>
  <c r="W1225" i="17"/>
  <c r="V1225" i="17"/>
  <c r="U1225" i="17"/>
  <c r="AR1241" i="17"/>
  <c r="AJ1241" i="17"/>
  <c r="AB1241" i="17"/>
  <c r="T1241" i="17"/>
  <c r="L1241" i="17"/>
  <c r="AQ1241" i="17"/>
  <c r="AI1241" i="17"/>
  <c r="AA1241" i="17"/>
  <c r="S1241" i="17"/>
  <c r="K1241" i="17"/>
  <c r="AL1241" i="17"/>
  <c r="Z1241" i="17"/>
  <c r="P1241" i="17"/>
  <c r="AK1241" i="17"/>
  <c r="Y1241" i="17"/>
  <c r="O1241" i="17"/>
  <c r="AP1241" i="17"/>
  <c r="AD1241" i="17"/>
  <c r="N1241" i="17"/>
  <c r="AO1241" i="17"/>
  <c r="AC1241" i="17"/>
  <c r="M1241" i="17"/>
  <c r="AN1241" i="17"/>
  <c r="V1241" i="17"/>
  <c r="AM1241" i="17"/>
  <c r="U1241" i="17"/>
  <c r="R1241" i="17"/>
  <c r="Q1241" i="17"/>
  <c r="AH1241" i="17"/>
  <c r="J1241" i="17"/>
  <c r="AR1265" i="17"/>
  <c r="AJ1265" i="17"/>
  <c r="AB1265" i="17"/>
  <c r="T1265" i="17"/>
  <c r="L1265" i="17"/>
  <c r="AQ1265" i="17"/>
  <c r="AI1265" i="17"/>
  <c r="AA1265" i="17"/>
  <c r="S1265" i="17"/>
  <c r="K1265" i="17"/>
  <c r="AL1265" i="17"/>
  <c r="Z1265" i="17"/>
  <c r="P1265" i="17"/>
  <c r="AK1265" i="17"/>
  <c r="Y1265" i="17"/>
  <c r="O1265" i="17"/>
  <c r="AH1265" i="17"/>
  <c r="V1265" i="17"/>
  <c r="AG1265" i="17"/>
  <c r="U1265" i="17"/>
  <c r="AE1265" i="17"/>
  <c r="M1265" i="17"/>
  <c r="AD1265" i="17"/>
  <c r="J1265" i="17"/>
  <c r="AP1265" i="17"/>
  <c r="R1265" i="17"/>
  <c r="AO1265" i="17"/>
  <c r="Q1265" i="17"/>
  <c r="AN1265" i="17"/>
  <c r="N1265" i="17"/>
  <c r="AP1358" i="17"/>
  <c r="AH1358" i="17"/>
  <c r="Z1358" i="17"/>
  <c r="AO1358" i="17"/>
  <c r="AR1358" i="17"/>
  <c r="AG1358" i="17"/>
  <c r="X1358" i="17"/>
  <c r="P1358" i="17"/>
  <c r="AQ1358" i="17"/>
  <c r="AF1358" i="17"/>
  <c r="W1358" i="17"/>
  <c r="O1358" i="17"/>
  <c r="AN1358" i="17"/>
  <c r="AC1358" i="17"/>
  <c r="R1358" i="17"/>
  <c r="AM1358" i="17"/>
  <c r="AB1358" i="17"/>
  <c r="Q1358" i="17"/>
  <c r="Y1358" i="17"/>
  <c r="K1358" i="17"/>
  <c r="AL1358" i="17"/>
  <c r="V1358" i="17"/>
  <c r="J1358" i="17"/>
  <c r="U1358" i="17"/>
  <c r="T1358" i="17"/>
  <c r="AA1358" i="17"/>
  <c r="S1358" i="17"/>
  <c r="N1358" i="17"/>
  <c r="AL1425" i="17"/>
  <c r="AD1425" i="17"/>
  <c r="V1425" i="17"/>
  <c r="N1425" i="17"/>
  <c r="AK1425" i="17"/>
  <c r="AC1425" i="17"/>
  <c r="U1425" i="17"/>
  <c r="M1425" i="17"/>
  <c r="AQ1425" i="17"/>
  <c r="AG1425" i="17"/>
  <c r="W1425" i="17"/>
  <c r="K1425" i="17"/>
  <c r="AP1425" i="17"/>
  <c r="AF1425" i="17"/>
  <c r="T1425" i="17"/>
  <c r="J1425" i="17"/>
  <c r="AE1425" i="17"/>
  <c r="Q1425" i="17"/>
  <c r="AR1425" i="17"/>
  <c r="AB1425" i="17"/>
  <c r="P1425" i="17"/>
  <c r="AI1425" i="17"/>
  <c r="O1425" i="17"/>
  <c r="AH1425" i="17"/>
  <c r="L1425" i="17"/>
  <c r="Y1425" i="17"/>
  <c r="X1425" i="17"/>
  <c r="Z1425" i="17"/>
  <c r="S1425" i="17"/>
  <c r="R1425" i="17"/>
  <c r="AL1485" i="17"/>
  <c r="AD1485" i="17"/>
  <c r="V1485" i="17"/>
  <c r="N1485" i="17"/>
  <c r="AK1485" i="17"/>
  <c r="AC1485" i="17"/>
  <c r="U1485" i="17"/>
  <c r="M1485" i="17"/>
  <c r="AN1485" i="17"/>
  <c r="AB1485" i="17"/>
  <c r="R1485" i="17"/>
  <c r="AM1485" i="17"/>
  <c r="AA1485" i="17"/>
  <c r="Q1485" i="17"/>
  <c r="AO1485" i="17"/>
  <c r="Y1485" i="17"/>
  <c r="K1485" i="17"/>
  <c r="AJ1485" i="17"/>
  <c r="X1485" i="17"/>
  <c r="J1485" i="17"/>
  <c r="AG1485" i="17"/>
  <c r="O1485" i="17"/>
  <c r="AF1485" i="17"/>
  <c r="L1485" i="17"/>
  <c r="AE1485" i="17"/>
  <c r="Z1485" i="17"/>
  <c r="AI1485" i="17"/>
  <c r="AH1485" i="17"/>
  <c r="W1485" i="17"/>
  <c r="AL1517" i="17"/>
  <c r="AD1517" i="17"/>
  <c r="V1517" i="17"/>
  <c r="N1517" i="17"/>
  <c r="AK1517" i="17"/>
  <c r="AC1517" i="17"/>
  <c r="U1517" i="17"/>
  <c r="M1517" i="17"/>
  <c r="AN1517" i="17"/>
  <c r="AB1517" i="17"/>
  <c r="R1517" i="17"/>
  <c r="AM1517" i="17"/>
  <c r="AA1517" i="17"/>
  <c r="Q1517" i="17"/>
  <c r="AO1517" i="17"/>
  <c r="Y1517" i="17"/>
  <c r="K1517" i="17"/>
  <c r="AJ1517" i="17"/>
  <c r="X1517" i="17"/>
  <c r="J1517" i="17"/>
  <c r="AG1517" i="17"/>
  <c r="O1517" i="17"/>
  <c r="AF1517" i="17"/>
  <c r="L1517" i="17"/>
  <c r="W1517" i="17"/>
  <c r="AR1517" i="17"/>
  <c r="T1517" i="17"/>
  <c r="AQ1517" i="17"/>
  <c r="S1517" i="17"/>
  <c r="AE1517" i="17"/>
  <c r="Z1517" i="17"/>
  <c r="P1517" i="17"/>
  <c r="AL1597" i="17"/>
  <c r="AD1597" i="17"/>
  <c r="V1597" i="17"/>
  <c r="N1597" i="17"/>
  <c r="AK1597" i="17"/>
  <c r="AC1597" i="17"/>
  <c r="U1597" i="17"/>
  <c r="M1597" i="17"/>
  <c r="AN1597" i="17"/>
  <c r="AB1597" i="17"/>
  <c r="R1597" i="17"/>
  <c r="AM1597" i="17"/>
  <c r="AA1597" i="17"/>
  <c r="Q1597" i="17"/>
  <c r="AO1597" i="17"/>
  <c r="Y1597" i="17"/>
  <c r="K1597" i="17"/>
  <c r="AJ1597" i="17"/>
  <c r="X1597" i="17"/>
  <c r="J1597" i="17"/>
  <c r="AQ1597" i="17"/>
  <c r="W1597" i="17"/>
  <c r="AP1597" i="17"/>
  <c r="T1597" i="17"/>
  <c r="AE1597" i="17"/>
  <c r="Z1597" i="17"/>
  <c r="S1597" i="17"/>
  <c r="AH1597" i="17"/>
  <c r="AG1597" i="17"/>
  <c r="AF1597" i="17"/>
  <c r="AL1603" i="17"/>
  <c r="AD1603" i="17"/>
  <c r="V1603" i="17"/>
  <c r="N1603" i="17"/>
  <c r="AK1603" i="17"/>
  <c r="AC1603" i="17"/>
  <c r="U1603" i="17"/>
  <c r="M1603" i="17"/>
  <c r="AR1603" i="17"/>
  <c r="AH1603" i="17"/>
  <c r="X1603" i="17"/>
  <c r="L1603" i="17"/>
  <c r="AQ1603" i="17"/>
  <c r="AG1603" i="17"/>
  <c r="W1603" i="17"/>
  <c r="K1603" i="17"/>
  <c r="AO1603" i="17"/>
  <c r="AA1603" i="17"/>
  <c r="O1603" i="17"/>
  <c r="AN1603" i="17"/>
  <c r="Z1603" i="17"/>
  <c r="J1603" i="17"/>
  <c r="AJ1603" i="17"/>
  <c r="R1603" i="17"/>
  <c r="AI1603" i="17"/>
  <c r="Q1603" i="17"/>
  <c r="T1603" i="17"/>
  <c r="S1603" i="17"/>
  <c r="AP1603" i="17"/>
  <c r="P1603" i="17"/>
  <c r="AE1603" i="17"/>
  <c r="AB1603" i="17"/>
  <c r="Y1603" i="17"/>
  <c r="AK1688" i="17"/>
  <c r="AC1688" i="17"/>
  <c r="U1688" i="17"/>
  <c r="M1688" i="17"/>
  <c r="AR1688" i="17"/>
  <c r="AJ1688" i="17"/>
  <c r="AB1688" i="17"/>
  <c r="T1688" i="17"/>
  <c r="L1688" i="17"/>
  <c r="AI1688" i="17"/>
  <c r="Y1688" i="17"/>
  <c r="O1688" i="17"/>
  <c r="AH1688" i="17"/>
  <c r="X1688" i="17"/>
  <c r="N1688" i="17"/>
  <c r="AL1688" i="17"/>
  <c r="V1688" i="17"/>
  <c r="AG1688" i="17"/>
  <c r="S1688" i="17"/>
  <c r="AE1688" i="17"/>
  <c r="K1688" i="17"/>
  <c r="AD1688" i="17"/>
  <c r="J1688" i="17"/>
  <c r="AF1688" i="17"/>
  <c r="AA1688" i="17"/>
  <c r="AN1688" i="17"/>
  <c r="AM1688" i="17"/>
  <c r="Z1688" i="17"/>
  <c r="AP1688" i="17"/>
  <c r="AO1688" i="17"/>
  <c r="W1688" i="17"/>
  <c r="AL1804" i="17"/>
  <c r="AD1804" i="17"/>
  <c r="V1804" i="17"/>
  <c r="N1804" i="17"/>
  <c r="AK1804" i="17"/>
  <c r="AC1804" i="17"/>
  <c r="U1804" i="17"/>
  <c r="M1804" i="17"/>
  <c r="AM1804" i="17"/>
  <c r="AA1804" i="17"/>
  <c r="Q1804" i="17"/>
  <c r="AJ1804" i="17"/>
  <c r="Z1804" i="17"/>
  <c r="P1804" i="17"/>
  <c r="AP1804" i="17"/>
  <c r="AB1804" i="17"/>
  <c r="L1804" i="17"/>
  <c r="AO1804" i="17"/>
  <c r="Y1804" i="17"/>
  <c r="K1804" i="17"/>
  <c r="AR1804" i="17"/>
  <c r="X1804" i="17"/>
  <c r="AQ1804" i="17"/>
  <c r="W1804" i="17"/>
  <c r="S1804" i="17"/>
  <c r="AN1804" i="17"/>
  <c r="R1804" i="17"/>
  <c r="O1804" i="17"/>
  <c r="J1804" i="17"/>
  <c r="AF1804" i="17"/>
  <c r="AE1804" i="17"/>
  <c r="T1804" i="17"/>
  <c r="AI1804" i="17"/>
  <c r="AH1804" i="17"/>
  <c r="AR1964" i="17"/>
  <c r="AJ1964" i="17"/>
  <c r="AB1964" i="17"/>
  <c r="T1964" i="17"/>
  <c r="L1964" i="17"/>
  <c r="AN1964" i="17"/>
  <c r="AE1964" i="17"/>
  <c r="V1964" i="17"/>
  <c r="M1964" i="17"/>
  <c r="AM1964" i="17"/>
  <c r="AD1964" i="17"/>
  <c r="U1964" i="17"/>
  <c r="K1964" i="17"/>
  <c r="AQ1964" i="17"/>
  <c r="AF1964" i="17"/>
  <c r="R1964" i="17"/>
  <c r="AP1964" i="17"/>
  <c r="AC1964" i="17"/>
  <c r="Q1964" i="17"/>
  <c r="AA1964" i="17"/>
  <c r="N1964" i="17"/>
  <c r="Z1964" i="17"/>
  <c r="J1964" i="17"/>
  <c r="X1964" i="17"/>
  <c r="AO1964" i="17"/>
  <c r="W1964" i="17"/>
  <c r="Y1964" i="17"/>
  <c r="S1964" i="17"/>
  <c r="AI1964" i="17"/>
  <c r="AH1964" i="17"/>
  <c r="AL1964" i="17"/>
  <c r="AK1964" i="17"/>
  <c r="AG1964" i="17"/>
  <c r="AK694" i="17"/>
  <c r="AC694" i="17"/>
  <c r="U694" i="17"/>
  <c r="M694" i="17"/>
  <c r="AR694" i="17"/>
  <c r="AJ694" i="17"/>
  <c r="AB694" i="17"/>
  <c r="T694" i="17"/>
  <c r="L694" i="17"/>
  <c r="AM694" i="17"/>
  <c r="AA694" i="17"/>
  <c r="Q694" i="17"/>
  <c r="AL694" i="17"/>
  <c r="Z694" i="17"/>
  <c r="P694" i="17"/>
  <c r="AF694" i="17"/>
  <c r="R694" i="17"/>
  <c r="X694" i="17"/>
  <c r="AO694" i="17"/>
  <c r="AK704" i="17"/>
  <c r="AC704" i="17"/>
  <c r="U704" i="17"/>
  <c r="M704" i="17"/>
  <c r="AR704" i="17"/>
  <c r="AJ704" i="17"/>
  <c r="AB704" i="17"/>
  <c r="T704" i="17"/>
  <c r="L704" i="17"/>
  <c r="AN704" i="17"/>
  <c r="AD704" i="17"/>
  <c r="R704" i="17"/>
  <c r="AM704" i="17"/>
  <c r="AA704" i="17"/>
  <c r="Q704" i="17"/>
  <c r="AQ704" i="17"/>
  <c r="AE704" i="17"/>
  <c r="O704" i="17"/>
  <c r="X704" i="17"/>
  <c r="AO704" i="17"/>
  <c r="J732" i="17"/>
  <c r="AA732" i="17"/>
  <c r="AP732" i="17"/>
  <c r="AK780" i="17"/>
  <c r="AC780" i="17"/>
  <c r="U780" i="17"/>
  <c r="M780" i="17"/>
  <c r="AR780" i="17"/>
  <c r="AJ780" i="17"/>
  <c r="AB780" i="17"/>
  <c r="T780" i="17"/>
  <c r="L780" i="17"/>
  <c r="AL780" i="17"/>
  <c r="Z780" i="17"/>
  <c r="P780" i="17"/>
  <c r="AI780" i="17"/>
  <c r="Y780" i="17"/>
  <c r="O780" i="17"/>
  <c r="AO780" i="17"/>
  <c r="AA780" i="17"/>
  <c r="K780" i="17"/>
  <c r="AN780" i="17"/>
  <c r="X780" i="17"/>
  <c r="J780" i="17"/>
  <c r="AE780" i="17"/>
  <c r="AM914" i="17"/>
  <c r="AE914" i="17"/>
  <c r="W914" i="17"/>
  <c r="O914" i="17"/>
  <c r="AN914" i="17"/>
  <c r="AD914" i="17"/>
  <c r="U914" i="17"/>
  <c r="L914" i="17"/>
  <c r="AL914" i="17"/>
  <c r="AC914" i="17"/>
  <c r="T914" i="17"/>
  <c r="K914" i="17"/>
  <c r="AQ914" i="17"/>
  <c r="AF914" i="17"/>
  <c r="R914" i="17"/>
  <c r="AP914" i="17"/>
  <c r="AB914" i="17"/>
  <c r="Q914" i="17"/>
  <c r="AH914" i="17"/>
  <c r="P914" i="17"/>
  <c r="AG914" i="17"/>
  <c r="N914" i="17"/>
  <c r="AA914" i="17"/>
  <c r="AQ917" i="17"/>
  <c r="AI917" i="17"/>
  <c r="AA917" i="17"/>
  <c r="S917" i="17"/>
  <c r="K917" i="17"/>
  <c r="AO917" i="17"/>
  <c r="AF917" i="17"/>
  <c r="W917" i="17"/>
  <c r="N917" i="17"/>
  <c r="AN917" i="17"/>
  <c r="AE917" i="17"/>
  <c r="V917" i="17"/>
  <c r="M917" i="17"/>
  <c r="AG917" i="17"/>
  <c r="T917" i="17"/>
  <c r="AR917" i="17"/>
  <c r="AD917" i="17"/>
  <c r="R917" i="17"/>
  <c r="AL917" i="17"/>
  <c r="X917" i="17"/>
  <c r="AK917" i="17"/>
  <c r="U917" i="17"/>
  <c r="AB917" i="17"/>
  <c r="AM946" i="17"/>
  <c r="AE946" i="17"/>
  <c r="W946" i="17"/>
  <c r="O946" i="17"/>
  <c r="AN946" i="17"/>
  <c r="AD946" i="17"/>
  <c r="U946" i="17"/>
  <c r="L946" i="17"/>
  <c r="AL946" i="17"/>
  <c r="AC946" i="17"/>
  <c r="T946" i="17"/>
  <c r="K946" i="17"/>
  <c r="AO946" i="17"/>
  <c r="AA946" i="17"/>
  <c r="P946" i="17"/>
  <c r="AK946" i="17"/>
  <c r="Z946" i="17"/>
  <c r="N946" i="17"/>
  <c r="AI946" i="17"/>
  <c r="S946" i="17"/>
  <c r="AH946" i="17"/>
  <c r="R946" i="17"/>
  <c r="AF946" i="17"/>
  <c r="AM952" i="17"/>
  <c r="AE952" i="17"/>
  <c r="W952" i="17"/>
  <c r="O952" i="17"/>
  <c r="AQ952" i="17"/>
  <c r="AH952" i="17"/>
  <c r="Y952" i="17"/>
  <c r="P952" i="17"/>
  <c r="AP952" i="17"/>
  <c r="AG952" i="17"/>
  <c r="X952" i="17"/>
  <c r="N952" i="17"/>
  <c r="AR952" i="17"/>
  <c r="AD952" i="17"/>
  <c r="S952" i="17"/>
  <c r="AO952" i="17"/>
  <c r="AC952" i="17"/>
  <c r="R952" i="17"/>
  <c r="AF952" i="17"/>
  <c r="M952" i="17"/>
  <c r="AB952" i="17"/>
  <c r="L952" i="17"/>
  <c r="AA952" i="17"/>
  <c r="AI984" i="17"/>
  <c r="AE987" i="17"/>
  <c r="AM1008" i="17"/>
  <c r="AE1008" i="17"/>
  <c r="W1008" i="17"/>
  <c r="O1008" i="17"/>
  <c r="AL1008" i="17"/>
  <c r="AC1008" i="17"/>
  <c r="T1008" i="17"/>
  <c r="K1008" i="17"/>
  <c r="AK1008" i="17"/>
  <c r="AB1008" i="17"/>
  <c r="S1008" i="17"/>
  <c r="J1008" i="17"/>
  <c r="AR1008" i="17"/>
  <c r="AG1008" i="17"/>
  <c r="U1008" i="17"/>
  <c r="AQ1008" i="17"/>
  <c r="AF1008" i="17"/>
  <c r="R1008" i="17"/>
  <c r="AD1008" i="17"/>
  <c r="N1008" i="17"/>
  <c r="AA1008" i="17"/>
  <c r="M1008" i="17"/>
  <c r="AH1008" i="17"/>
  <c r="Q1017" i="17"/>
  <c r="AJ1017" i="17"/>
  <c r="J1027" i="17"/>
  <c r="AG1027" i="17"/>
  <c r="L1030" i="17"/>
  <c r="AI1030" i="17"/>
  <c r="J1033" i="17"/>
  <c r="AE1033" i="17"/>
  <c r="M1041" i="17"/>
  <c r="AJ1041" i="17"/>
  <c r="AR1051" i="17"/>
  <c r="AJ1051" i="17"/>
  <c r="AB1051" i="17"/>
  <c r="T1051" i="17"/>
  <c r="L1051" i="17"/>
  <c r="AQ1051" i="17"/>
  <c r="AI1051" i="17"/>
  <c r="AA1051" i="17"/>
  <c r="S1051" i="17"/>
  <c r="K1051" i="17"/>
  <c r="AG1051" i="17"/>
  <c r="W1051" i="17"/>
  <c r="M1051" i="17"/>
  <c r="AP1051" i="17"/>
  <c r="AF1051" i="17"/>
  <c r="V1051" i="17"/>
  <c r="J1051" i="17"/>
  <c r="AD1051" i="17"/>
  <c r="P1051" i="17"/>
  <c r="AO1051" i="17"/>
  <c r="AC1051" i="17"/>
  <c r="O1051" i="17"/>
  <c r="AK1051" i="17"/>
  <c r="Q1051" i="17"/>
  <c r="AH1051" i="17"/>
  <c r="N1051" i="17"/>
  <c r="AM1051" i="17"/>
  <c r="L1054" i="17"/>
  <c r="AL1054" i="17"/>
  <c r="J1058" i="17"/>
  <c r="AD1058" i="17"/>
  <c r="J1063" i="17"/>
  <c r="AH1063" i="17"/>
  <c r="J1072" i="17"/>
  <c r="AL1072" i="17"/>
  <c r="N1075" i="17"/>
  <c r="AN1075" i="17"/>
  <c r="AN1098" i="17"/>
  <c r="AF1098" i="17"/>
  <c r="X1098" i="17"/>
  <c r="P1098" i="17"/>
  <c r="AM1098" i="17"/>
  <c r="AE1098" i="17"/>
  <c r="W1098" i="17"/>
  <c r="O1098" i="17"/>
  <c r="AK1098" i="17"/>
  <c r="AA1098" i="17"/>
  <c r="Q1098" i="17"/>
  <c r="AJ1098" i="17"/>
  <c r="Z1098" i="17"/>
  <c r="N1098" i="17"/>
  <c r="AR1098" i="17"/>
  <c r="AD1098" i="17"/>
  <c r="R1098" i="17"/>
  <c r="AQ1098" i="17"/>
  <c r="AC1098" i="17"/>
  <c r="M1098" i="17"/>
  <c r="AI1098" i="17"/>
  <c r="S1098" i="17"/>
  <c r="AH1098" i="17"/>
  <c r="L1098" i="17"/>
  <c r="AG1098" i="17"/>
  <c r="AR1101" i="17"/>
  <c r="AJ1101" i="17"/>
  <c r="AB1101" i="17"/>
  <c r="T1101" i="17"/>
  <c r="L1101" i="17"/>
  <c r="AQ1101" i="17"/>
  <c r="AI1101" i="17"/>
  <c r="AA1101" i="17"/>
  <c r="S1101" i="17"/>
  <c r="K1101" i="17"/>
  <c r="AK1101" i="17"/>
  <c r="Y1101" i="17"/>
  <c r="O1101" i="17"/>
  <c r="AH1101" i="17"/>
  <c r="X1101" i="17"/>
  <c r="N1101" i="17"/>
  <c r="AP1101" i="17"/>
  <c r="AD1101" i="17"/>
  <c r="P1101" i="17"/>
  <c r="AO1101" i="17"/>
  <c r="AC1101" i="17"/>
  <c r="M1101" i="17"/>
  <c r="AM1101" i="17"/>
  <c r="U1101" i="17"/>
  <c r="AL1101" i="17"/>
  <c r="R1101" i="17"/>
  <c r="AG1101" i="17"/>
  <c r="AN1118" i="17"/>
  <c r="AF1118" i="17"/>
  <c r="X1118" i="17"/>
  <c r="P1118" i="17"/>
  <c r="AM1118" i="17"/>
  <c r="AE1118" i="17"/>
  <c r="W1118" i="17"/>
  <c r="O1118" i="17"/>
  <c r="AQ1118" i="17"/>
  <c r="AG1118" i="17"/>
  <c r="U1118" i="17"/>
  <c r="K1118" i="17"/>
  <c r="AP1118" i="17"/>
  <c r="AD1118" i="17"/>
  <c r="T1118" i="17"/>
  <c r="J1118" i="17"/>
  <c r="AR1118" i="17"/>
  <c r="AB1118" i="17"/>
  <c r="N1118" i="17"/>
  <c r="AO1118" i="17"/>
  <c r="AA1118" i="17"/>
  <c r="M1118" i="17"/>
  <c r="AJ1118" i="17"/>
  <c r="R1118" i="17"/>
  <c r="AI1118" i="17"/>
  <c r="Q1118" i="17"/>
  <c r="AK1118" i="17"/>
  <c r="AN1122" i="17"/>
  <c r="AF1122" i="17"/>
  <c r="X1122" i="17"/>
  <c r="P1122" i="17"/>
  <c r="AM1122" i="17"/>
  <c r="AE1122" i="17"/>
  <c r="W1122" i="17"/>
  <c r="O1122" i="17"/>
  <c r="AK1122" i="17"/>
  <c r="AA1122" i="17"/>
  <c r="Q1122" i="17"/>
  <c r="AJ1122" i="17"/>
  <c r="Z1122" i="17"/>
  <c r="N1122" i="17"/>
  <c r="AH1122" i="17"/>
  <c r="T1122" i="17"/>
  <c r="AG1122" i="17"/>
  <c r="S1122" i="17"/>
  <c r="AP1122" i="17"/>
  <c r="V1122" i="17"/>
  <c r="AO1122" i="17"/>
  <c r="U1122" i="17"/>
  <c r="AC1122" i="17"/>
  <c r="AR1127" i="17"/>
  <c r="AJ1127" i="17"/>
  <c r="AB1127" i="17"/>
  <c r="T1127" i="17"/>
  <c r="L1127" i="17"/>
  <c r="AQ1127" i="17"/>
  <c r="AI1127" i="17"/>
  <c r="AA1127" i="17"/>
  <c r="S1127" i="17"/>
  <c r="K1127" i="17"/>
  <c r="AM1127" i="17"/>
  <c r="AC1127" i="17"/>
  <c r="Q1127" i="17"/>
  <c r="AL1127" i="17"/>
  <c r="Z1127" i="17"/>
  <c r="P1127" i="17"/>
  <c r="AF1127" i="17"/>
  <c r="R1127" i="17"/>
  <c r="AE1127" i="17"/>
  <c r="O1127" i="17"/>
  <c r="AP1127" i="17"/>
  <c r="X1127" i="17"/>
  <c r="AO1127" i="17"/>
  <c r="W1127" i="17"/>
  <c r="AG1127" i="17"/>
  <c r="AN1136" i="17"/>
  <c r="AF1136" i="17"/>
  <c r="X1136" i="17"/>
  <c r="P1136" i="17"/>
  <c r="AM1136" i="17"/>
  <c r="AE1136" i="17"/>
  <c r="W1136" i="17"/>
  <c r="O1136" i="17"/>
  <c r="AI1136" i="17"/>
  <c r="Y1136" i="17"/>
  <c r="M1136" i="17"/>
  <c r="AR1136" i="17"/>
  <c r="AH1136" i="17"/>
  <c r="V1136" i="17"/>
  <c r="L1136" i="17"/>
  <c r="AJ1136" i="17"/>
  <c r="T1136" i="17"/>
  <c r="AG1136" i="17"/>
  <c r="S1136" i="17"/>
  <c r="AK1136" i="17"/>
  <c r="Q1136" i="17"/>
  <c r="AD1136" i="17"/>
  <c r="N1136" i="17"/>
  <c r="AC1136" i="17"/>
  <c r="AR1139" i="17"/>
  <c r="AJ1139" i="17"/>
  <c r="AB1139" i="17"/>
  <c r="T1139" i="17"/>
  <c r="L1139" i="17"/>
  <c r="AQ1139" i="17"/>
  <c r="AI1139" i="17"/>
  <c r="AA1139" i="17"/>
  <c r="S1139" i="17"/>
  <c r="K1139" i="17"/>
  <c r="AG1139" i="17"/>
  <c r="W1139" i="17"/>
  <c r="M1139" i="17"/>
  <c r="AP1139" i="17"/>
  <c r="AF1139" i="17"/>
  <c r="V1139" i="17"/>
  <c r="J1139" i="17"/>
  <c r="AH1139" i="17"/>
  <c r="R1139" i="17"/>
  <c r="AE1139" i="17"/>
  <c r="Q1139" i="17"/>
  <c r="AM1139" i="17"/>
  <c r="U1139" i="17"/>
  <c r="AL1139" i="17"/>
  <c r="P1139" i="17"/>
  <c r="AK1139" i="17"/>
  <c r="P1157" i="17"/>
  <c r="AN1157" i="17"/>
  <c r="L1166" i="17"/>
  <c r="AH1166" i="17"/>
  <c r="J1193" i="17"/>
  <c r="AN1218" i="17"/>
  <c r="AF1218" i="17"/>
  <c r="X1218" i="17"/>
  <c r="P1218" i="17"/>
  <c r="AM1218" i="17"/>
  <c r="AE1218" i="17"/>
  <c r="W1218" i="17"/>
  <c r="O1218" i="17"/>
  <c r="AR1218" i="17"/>
  <c r="AH1218" i="17"/>
  <c r="V1218" i="17"/>
  <c r="L1218" i="17"/>
  <c r="AQ1218" i="17"/>
  <c r="AG1218" i="17"/>
  <c r="U1218" i="17"/>
  <c r="K1218" i="17"/>
  <c r="AP1218" i="17"/>
  <c r="AB1218" i="17"/>
  <c r="N1218" i="17"/>
  <c r="AO1218" i="17"/>
  <c r="AA1218" i="17"/>
  <c r="M1218" i="17"/>
  <c r="AK1218" i="17"/>
  <c r="S1218" i="17"/>
  <c r="AJ1218" i="17"/>
  <c r="R1218" i="17"/>
  <c r="Z1218" i="17"/>
  <c r="Y1218" i="17"/>
  <c r="T1218" i="17"/>
  <c r="O1219" i="17"/>
  <c r="J1225" i="17"/>
  <c r="W1241" i="17"/>
  <c r="AR1243" i="17"/>
  <c r="AJ1243" i="17"/>
  <c r="AB1243" i="17"/>
  <c r="T1243" i="17"/>
  <c r="L1243" i="17"/>
  <c r="AQ1243" i="17"/>
  <c r="AI1243" i="17"/>
  <c r="AA1243" i="17"/>
  <c r="S1243" i="17"/>
  <c r="K1243" i="17"/>
  <c r="AN1243" i="17"/>
  <c r="AD1243" i="17"/>
  <c r="R1243" i="17"/>
  <c r="AM1243" i="17"/>
  <c r="AC1243" i="17"/>
  <c r="Q1243" i="17"/>
  <c r="AP1243" i="17"/>
  <c r="Z1243" i="17"/>
  <c r="N1243" i="17"/>
  <c r="AO1243" i="17"/>
  <c r="Y1243" i="17"/>
  <c r="M1243" i="17"/>
  <c r="X1243" i="17"/>
  <c r="W1243" i="17"/>
  <c r="V1243" i="17"/>
  <c r="U1243" i="17"/>
  <c r="AL1243" i="17"/>
  <c r="P1243" i="17"/>
  <c r="AN1262" i="17"/>
  <c r="AF1262" i="17"/>
  <c r="X1262" i="17"/>
  <c r="P1262" i="17"/>
  <c r="AM1262" i="17"/>
  <c r="AE1262" i="17"/>
  <c r="W1262" i="17"/>
  <c r="O1262" i="17"/>
  <c r="AL1262" i="17"/>
  <c r="AB1262" i="17"/>
  <c r="R1262" i="17"/>
  <c r="AK1262" i="17"/>
  <c r="AA1262" i="17"/>
  <c r="Q1262" i="17"/>
  <c r="AO1262" i="17"/>
  <c r="Y1262" i="17"/>
  <c r="K1262" i="17"/>
  <c r="AJ1262" i="17"/>
  <c r="V1262" i="17"/>
  <c r="J1262" i="17"/>
  <c r="AG1262" i="17"/>
  <c r="M1262" i="17"/>
  <c r="AD1262" i="17"/>
  <c r="L1262" i="17"/>
  <c r="AR1262" i="17"/>
  <c r="T1262" i="17"/>
  <c r="AQ1262" i="17"/>
  <c r="S1262" i="17"/>
  <c r="AP1262" i="17"/>
  <c r="N1262" i="17"/>
  <c r="W1265" i="17"/>
  <c r="AR1355" i="17"/>
  <c r="AJ1355" i="17"/>
  <c r="AB1355" i="17"/>
  <c r="T1355" i="17"/>
  <c r="L1355" i="17"/>
  <c r="AQ1355" i="17"/>
  <c r="AI1355" i="17"/>
  <c r="AA1355" i="17"/>
  <c r="S1355" i="17"/>
  <c r="K1355" i="17"/>
  <c r="AN1355" i="17"/>
  <c r="AD1355" i="17"/>
  <c r="R1355" i="17"/>
  <c r="AM1355" i="17"/>
  <c r="AC1355" i="17"/>
  <c r="Q1355" i="17"/>
  <c r="AP1355" i="17"/>
  <c r="Z1355" i="17"/>
  <c r="N1355" i="17"/>
  <c r="AO1355" i="17"/>
  <c r="Y1355" i="17"/>
  <c r="M1355" i="17"/>
  <c r="AL1355" i="17"/>
  <c r="V1355" i="17"/>
  <c r="AK1355" i="17"/>
  <c r="U1355" i="17"/>
  <c r="W1355" i="17"/>
  <c r="P1355" i="17"/>
  <c r="O1355" i="17"/>
  <c r="L1358" i="17"/>
  <c r="AA1425" i="17"/>
  <c r="AL1443" i="17"/>
  <c r="AD1443" i="17"/>
  <c r="V1443" i="17"/>
  <c r="N1443" i="17"/>
  <c r="AK1443" i="17"/>
  <c r="AC1443" i="17"/>
  <c r="U1443" i="17"/>
  <c r="M1443" i="17"/>
  <c r="AR1443" i="17"/>
  <c r="AH1443" i="17"/>
  <c r="X1443" i="17"/>
  <c r="L1443" i="17"/>
  <c r="AQ1443" i="17"/>
  <c r="AG1443" i="17"/>
  <c r="W1443" i="17"/>
  <c r="K1443" i="17"/>
  <c r="AJ1443" i="17"/>
  <c r="T1443" i="17"/>
  <c r="AI1443" i="17"/>
  <c r="S1443" i="17"/>
  <c r="AP1443" i="17"/>
  <c r="Z1443" i="17"/>
  <c r="AO1443" i="17"/>
  <c r="Y1443" i="17"/>
  <c r="AM1443" i="17"/>
  <c r="O1443" i="17"/>
  <c r="AF1443" i="17"/>
  <c r="J1443" i="17"/>
  <c r="AN1443" i="17"/>
  <c r="AE1443" i="17"/>
  <c r="AB1443" i="17"/>
  <c r="P1485" i="17"/>
  <c r="AL1513" i="17"/>
  <c r="AD1513" i="17"/>
  <c r="V1513" i="17"/>
  <c r="N1513" i="17"/>
  <c r="AK1513" i="17"/>
  <c r="AC1513" i="17"/>
  <c r="U1513" i="17"/>
  <c r="M1513" i="17"/>
  <c r="AN1513" i="17"/>
  <c r="AB1513" i="17"/>
  <c r="R1513" i="17"/>
  <c r="AM1513" i="17"/>
  <c r="AA1513" i="17"/>
  <c r="Q1513" i="17"/>
  <c r="AQ1513" i="17"/>
  <c r="AE1513" i="17"/>
  <c r="O1513" i="17"/>
  <c r="AP1513" i="17"/>
  <c r="Z1513" i="17"/>
  <c r="L1513" i="17"/>
  <c r="AG1513" i="17"/>
  <c r="K1513" i="17"/>
  <c r="AF1513" i="17"/>
  <c r="J1513" i="17"/>
  <c r="W1513" i="17"/>
  <c r="AR1513" i="17"/>
  <c r="T1513" i="17"/>
  <c r="AO1513" i="17"/>
  <c r="S1513" i="17"/>
  <c r="AI1513" i="17"/>
  <c r="AH1513" i="17"/>
  <c r="Y1513" i="17"/>
  <c r="AH1517" i="17"/>
  <c r="L1597" i="17"/>
  <c r="AF1603" i="17"/>
  <c r="AK1676" i="17"/>
  <c r="AC1676" i="17"/>
  <c r="U1676" i="17"/>
  <c r="M1676" i="17"/>
  <c r="AR1676" i="17"/>
  <c r="AJ1676" i="17"/>
  <c r="AB1676" i="17"/>
  <c r="T1676" i="17"/>
  <c r="L1676" i="17"/>
  <c r="AN1676" i="17"/>
  <c r="AD1676" i="17"/>
  <c r="R1676" i="17"/>
  <c r="AM1676" i="17"/>
  <c r="AA1676" i="17"/>
  <c r="Q1676" i="17"/>
  <c r="AG1676" i="17"/>
  <c r="S1676" i="17"/>
  <c r="AF1676" i="17"/>
  <c r="P1676" i="17"/>
  <c r="AL1676" i="17"/>
  <c r="V1676" i="17"/>
  <c r="AI1676" i="17"/>
  <c r="O1676" i="17"/>
  <c r="Y1676" i="17"/>
  <c r="X1676" i="17"/>
  <c r="W1676" i="17"/>
  <c r="N1676" i="17"/>
  <c r="AQ1676" i="17"/>
  <c r="K1676" i="17"/>
  <c r="AP1676" i="17"/>
  <c r="AO1676" i="17"/>
  <c r="P1688" i="17"/>
  <c r="AG1804" i="17"/>
  <c r="O1964" i="17"/>
  <c r="AK610" i="17"/>
  <c r="AC610" i="17"/>
  <c r="U610" i="17"/>
  <c r="M610" i="17"/>
  <c r="AR610" i="17"/>
  <c r="AJ610" i="17"/>
  <c r="AB610" i="17"/>
  <c r="T610" i="17"/>
  <c r="L610" i="17"/>
  <c r="AI610" i="17"/>
  <c r="Y610" i="17"/>
  <c r="O610" i="17"/>
  <c r="AH610" i="17"/>
  <c r="X610" i="17"/>
  <c r="N610" i="17"/>
  <c r="W610" i="17"/>
  <c r="AM610" i="17"/>
  <c r="AK630" i="17"/>
  <c r="AC630" i="17"/>
  <c r="U630" i="17"/>
  <c r="M630" i="17"/>
  <c r="AR630" i="17"/>
  <c r="AJ630" i="17"/>
  <c r="AB630" i="17"/>
  <c r="T630" i="17"/>
  <c r="L630" i="17"/>
  <c r="AM630" i="17"/>
  <c r="AA630" i="17"/>
  <c r="Q630" i="17"/>
  <c r="AL630" i="17"/>
  <c r="Z630" i="17"/>
  <c r="P630" i="17"/>
  <c r="W630" i="17"/>
  <c r="AI630" i="17"/>
  <c r="AK646" i="17"/>
  <c r="AC646" i="17"/>
  <c r="U646" i="17"/>
  <c r="M646" i="17"/>
  <c r="AR646" i="17"/>
  <c r="AJ646" i="17"/>
  <c r="AB646" i="17"/>
  <c r="T646" i="17"/>
  <c r="L646" i="17"/>
  <c r="AM646" i="17"/>
  <c r="AA646" i="17"/>
  <c r="Q646" i="17"/>
  <c r="AL646" i="17"/>
  <c r="Z646" i="17"/>
  <c r="P646" i="17"/>
  <c r="AO646" i="17"/>
  <c r="Y646" i="17"/>
  <c r="K646" i="17"/>
  <c r="X646" i="17"/>
  <c r="AP646" i="17"/>
  <c r="AK674" i="17"/>
  <c r="AC674" i="17"/>
  <c r="U674" i="17"/>
  <c r="M674" i="17"/>
  <c r="AR674" i="17"/>
  <c r="AJ674" i="17"/>
  <c r="AB674" i="17"/>
  <c r="T674" i="17"/>
  <c r="L674" i="17"/>
  <c r="AI674" i="17"/>
  <c r="Y674" i="17"/>
  <c r="O674" i="17"/>
  <c r="AH674" i="17"/>
  <c r="X674" i="17"/>
  <c r="N674" i="17"/>
  <c r="AF674" i="17"/>
  <c r="R674" i="17"/>
  <c r="Z674" i="17"/>
  <c r="AO674" i="17"/>
  <c r="AK690" i="17"/>
  <c r="AC690" i="17"/>
  <c r="U690" i="17"/>
  <c r="M690" i="17"/>
  <c r="AR690" i="17"/>
  <c r="AJ690" i="17"/>
  <c r="AB690" i="17"/>
  <c r="T690" i="17"/>
  <c r="L690" i="17"/>
  <c r="AI690" i="17"/>
  <c r="Y690" i="17"/>
  <c r="O690" i="17"/>
  <c r="AH690" i="17"/>
  <c r="X690" i="17"/>
  <c r="N690" i="17"/>
  <c r="AG690" i="17"/>
  <c r="S690" i="17"/>
  <c r="Z690" i="17"/>
  <c r="AO690" i="17"/>
  <c r="J694" i="17"/>
  <c r="Y694" i="17"/>
  <c r="AP694" i="17"/>
  <c r="O702" i="17"/>
  <c r="AD702" i="17"/>
  <c r="J704" i="17"/>
  <c r="Y704" i="17"/>
  <c r="AP704" i="17"/>
  <c r="AK710" i="17"/>
  <c r="AC710" i="17"/>
  <c r="U710" i="17"/>
  <c r="M710" i="17"/>
  <c r="AR710" i="17"/>
  <c r="AJ710" i="17"/>
  <c r="AB710" i="17"/>
  <c r="T710" i="17"/>
  <c r="L710" i="17"/>
  <c r="AM710" i="17"/>
  <c r="AA710" i="17"/>
  <c r="Q710" i="17"/>
  <c r="AL710" i="17"/>
  <c r="Z710" i="17"/>
  <c r="P710" i="17"/>
  <c r="AG710" i="17"/>
  <c r="S710" i="17"/>
  <c r="X710" i="17"/>
  <c r="AO710" i="17"/>
  <c r="AK720" i="17"/>
  <c r="AC720" i="17"/>
  <c r="U720" i="17"/>
  <c r="M720" i="17"/>
  <c r="AR720" i="17"/>
  <c r="AJ720" i="17"/>
  <c r="AB720" i="17"/>
  <c r="T720" i="17"/>
  <c r="L720" i="17"/>
  <c r="AN720" i="17"/>
  <c r="AD720" i="17"/>
  <c r="R720" i="17"/>
  <c r="AM720" i="17"/>
  <c r="AA720" i="17"/>
  <c r="Q720" i="17"/>
  <c r="AF720" i="17"/>
  <c r="P720" i="17"/>
  <c r="X720" i="17"/>
  <c r="AO720" i="17"/>
  <c r="K732" i="17"/>
  <c r="AD732" i="17"/>
  <c r="AQ732" i="17"/>
  <c r="K748" i="17"/>
  <c r="AD748" i="17"/>
  <c r="AQ748" i="17"/>
  <c r="N780" i="17"/>
  <c r="AF780" i="17"/>
  <c r="M786" i="17"/>
  <c r="AJ786" i="17"/>
  <c r="AQ805" i="17"/>
  <c r="AI805" i="17"/>
  <c r="AA805" i="17"/>
  <c r="S805" i="17"/>
  <c r="K805" i="17"/>
  <c r="AO805" i="17"/>
  <c r="AF805" i="17"/>
  <c r="W805" i="17"/>
  <c r="N805" i="17"/>
  <c r="AN805" i="17"/>
  <c r="AE805" i="17"/>
  <c r="V805" i="17"/>
  <c r="M805" i="17"/>
  <c r="AK805" i="17"/>
  <c r="Y805" i="17"/>
  <c r="L805" i="17"/>
  <c r="AJ805" i="17"/>
  <c r="X805" i="17"/>
  <c r="J805" i="17"/>
  <c r="AM805" i="17"/>
  <c r="U805" i="17"/>
  <c r="AL805" i="17"/>
  <c r="T805" i="17"/>
  <c r="AD805" i="17"/>
  <c r="AM808" i="17"/>
  <c r="AE808" i="17"/>
  <c r="W808" i="17"/>
  <c r="O808" i="17"/>
  <c r="AQ808" i="17"/>
  <c r="AH808" i="17"/>
  <c r="Y808" i="17"/>
  <c r="P808" i="17"/>
  <c r="AP808" i="17"/>
  <c r="AG808" i="17"/>
  <c r="X808" i="17"/>
  <c r="N808" i="17"/>
  <c r="AL808" i="17"/>
  <c r="AA808" i="17"/>
  <c r="M808" i="17"/>
  <c r="AK808" i="17"/>
  <c r="Z808" i="17"/>
  <c r="L808" i="17"/>
  <c r="AC808" i="17"/>
  <c r="K808" i="17"/>
  <c r="AR808" i="17"/>
  <c r="AB808" i="17"/>
  <c r="J808" i="17"/>
  <c r="AF808" i="17"/>
  <c r="AQ811" i="17"/>
  <c r="AI811" i="17"/>
  <c r="AA811" i="17"/>
  <c r="S811" i="17"/>
  <c r="K811" i="17"/>
  <c r="AJ811" i="17"/>
  <c r="Z811" i="17"/>
  <c r="Q811" i="17"/>
  <c r="AR811" i="17"/>
  <c r="AH811" i="17"/>
  <c r="Y811" i="17"/>
  <c r="P811" i="17"/>
  <c r="AN811" i="17"/>
  <c r="AC811" i="17"/>
  <c r="O811" i="17"/>
  <c r="AM811" i="17"/>
  <c r="AB811" i="17"/>
  <c r="N811" i="17"/>
  <c r="AG811" i="17"/>
  <c r="T811" i="17"/>
  <c r="AF811" i="17"/>
  <c r="R811" i="17"/>
  <c r="AD811" i="17"/>
  <c r="AQ817" i="17"/>
  <c r="AI817" i="17"/>
  <c r="AA817" i="17"/>
  <c r="S817" i="17"/>
  <c r="K817" i="17"/>
  <c r="AM817" i="17"/>
  <c r="AD817" i="17"/>
  <c r="U817" i="17"/>
  <c r="L817" i="17"/>
  <c r="AL817" i="17"/>
  <c r="AC817" i="17"/>
  <c r="T817" i="17"/>
  <c r="J817" i="17"/>
  <c r="AN817" i="17"/>
  <c r="Z817" i="17"/>
  <c r="O817" i="17"/>
  <c r="AK817" i="17"/>
  <c r="Y817" i="17"/>
  <c r="N817" i="17"/>
  <c r="AP817" i="17"/>
  <c r="X817" i="17"/>
  <c r="AO817" i="17"/>
  <c r="W817" i="17"/>
  <c r="AF817" i="17"/>
  <c r="AM820" i="17"/>
  <c r="AE820" i="17"/>
  <c r="W820" i="17"/>
  <c r="O820" i="17"/>
  <c r="AO820" i="17"/>
  <c r="AF820" i="17"/>
  <c r="V820" i="17"/>
  <c r="M820" i="17"/>
  <c r="AN820" i="17"/>
  <c r="AD820" i="17"/>
  <c r="U820" i="17"/>
  <c r="L820" i="17"/>
  <c r="AP820" i="17"/>
  <c r="AB820" i="17"/>
  <c r="Q820" i="17"/>
  <c r="AL820" i="17"/>
  <c r="AA820" i="17"/>
  <c r="P820" i="17"/>
  <c r="AG820" i="17"/>
  <c r="N820" i="17"/>
  <c r="AC820" i="17"/>
  <c r="K820" i="17"/>
  <c r="AH820" i="17"/>
  <c r="AM824" i="17"/>
  <c r="AE824" i="17"/>
  <c r="W824" i="17"/>
  <c r="O824" i="17"/>
  <c r="AQ824" i="17"/>
  <c r="AH824" i="17"/>
  <c r="Y824" i="17"/>
  <c r="P824" i="17"/>
  <c r="AP824" i="17"/>
  <c r="AG824" i="17"/>
  <c r="X824" i="17"/>
  <c r="N824" i="17"/>
  <c r="AR824" i="17"/>
  <c r="AD824" i="17"/>
  <c r="S824" i="17"/>
  <c r="AO824" i="17"/>
  <c r="AC824" i="17"/>
  <c r="R824" i="17"/>
  <c r="AI824" i="17"/>
  <c r="Q824" i="17"/>
  <c r="AF824" i="17"/>
  <c r="M824" i="17"/>
  <c r="AA824" i="17"/>
  <c r="N825" i="17"/>
  <c r="AK825" i="17"/>
  <c r="N843" i="17"/>
  <c r="AF843" i="17"/>
  <c r="R852" i="17"/>
  <c r="AL852" i="17"/>
  <c r="K856" i="17"/>
  <c r="AJ856" i="17"/>
  <c r="M864" i="17"/>
  <c r="AJ864" i="17"/>
  <c r="K868" i="17"/>
  <c r="AH868" i="17"/>
  <c r="AQ881" i="17"/>
  <c r="AI881" i="17"/>
  <c r="AA881" i="17"/>
  <c r="S881" i="17"/>
  <c r="K881" i="17"/>
  <c r="AM881" i="17"/>
  <c r="AD881" i="17"/>
  <c r="U881" i="17"/>
  <c r="L881" i="17"/>
  <c r="AL881" i="17"/>
  <c r="AC881" i="17"/>
  <c r="T881" i="17"/>
  <c r="J881" i="17"/>
  <c r="AG881" i="17"/>
  <c r="V881" i="17"/>
  <c r="AR881" i="17"/>
  <c r="AF881" i="17"/>
  <c r="R881" i="17"/>
  <c r="AB881" i="17"/>
  <c r="N881" i="17"/>
  <c r="AP881" i="17"/>
  <c r="Z881" i="17"/>
  <c r="M881" i="17"/>
  <c r="AH881" i="17"/>
  <c r="AM888" i="17"/>
  <c r="AE888" i="17"/>
  <c r="W888" i="17"/>
  <c r="O888" i="17"/>
  <c r="AQ888" i="17"/>
  <c r="AH888" i="17"/>
  <c r="Y888" i="17"/>
  <c r="P888" i="17"/>
  <c r="AP888" i="17"/>
  <c r="AG888" i="17"/>
  <c r="X888" i="17"/>
  <c r="N888" i="17"/>
  <c r="AK888" i="17"/>
  <c r="Z888" i="17"/>
  <c r="L888" i="17"/>
  <c r="AJ888" i="17"/>
  <c r="V888" i="17"/>
  <c r="K888" i="17"/>
  <c r="AI888" i="17"/>
  <c r="S888" i="17"/>
  <c r="AF888" i="17"/>
  <c r="R888" i="17"/>
  <c r="AC888" i="17"/>
  <c r="R889" i="17"/>
  <c r="AM889" i="17"/>
  <c r="AM896" i="17"/>
  <c r="AE896" i="17"/>
  <c r="W896" i="17"/>
  <c r="O896" i="17"/>
  <c r="AL896" i="17"/>
  <c r="AC896" i="17"/>
  <c r="T896" i="17"/>
  <c r="K896" i="17"/>
  <c r="AK896" i="17"/>
  <c r="AB896" i="17"/>
  <c r="S896" i="17"/>
  <c r="J896" i="17"/>
  <c r="AJ896" i="17"/>
  <c r="Y896" i="17"/>
  <c r="M896" i="17"/>
  <c r="AI896" i="17"/>
  <c r="X896" i="17"/>
  <c r="L896" i="17"/>
  <c r="AH896" i="17"/>
  <c r="R896" i="17"/>
  <c r="AG896" i="17"/>
  <c r="Q896" i="17"/>
  <c r="AF896" i="17"/>
  <c r="R897" i="17"/>
  <c r="AO897" i="17"/>
  <c r="AQ899" i="17"/>
  <c r="AI899" i="17"/>
  <c r="AA899" i="17"/>
  <c r="S899" i="17"/>
  <c r="K899" i="17"/>
  <c r="AN899" i="17"/>
  <c r="AE899" i="17"/>
  <c r="V899" i="17"/>
  <c r="M899" i="17"/>
  <c r="AM899" i="17"/>
  <c r="AD899" i="17"/>
  <c r="U899" i="17"/>
  <c r="L899" i="17"/>
  <c r="AL899" i="17"/>
  <c r="Z899" i="17"/>
  <c r="O899" i="17"/>
  <c r="AK899" i="17"/>
  <c r="Y899" i="17"/>
  <c r="N899" i="17"/>
  <c r="AP899" i="17"/>
  <c r="X899" i="17"/>
  <c r="AO899" i="17"/>
  <c r="W899" i="17"/>
  <c r="AF899" i="17"/>
  <c r="AM902" i="17"/>
  <c r="AE902" i="17"/>
  <c r="W902" i="17"/>
  <c r="O902" i="17"/>
  <c r="AP902" i="17"/>
  <c r="AG902" i="17"/>
  <c r="X902" i="17"/>
  <c r="N902" i="17"/>
  <c r="AO902" i="17"/>
  <c r="AF902" i="17"/>
  <c r="V902" i="17"/>
  <c r="M902" i="17"/>
  <c r="AN902" i="17"/>
  <c r="AB902" i="17"/>
  <c r="Q902" i="17"/>
  <c r="AL902" i="17"/>
  <c r="AA902" i="17"/>
  <c r="P902" i="17"/>
  <c r="AD902" i="17"/>
  <c r="L902" i="17"/>
  <c r="AC902" i="17"/>
  <c r="K902" i="17"/>
  <c r="AH902" i="17"/>
  <c r="K906" i="17"/>
  <c r="AJ906" i="17"/>
  <c r="J914" i="17"/>
  <c r="AI914" i="17"/>
  <c r="J917" i="17"/>
  <c r="AC917" i="17"/>
  <c r="P934" i="17"/>
  <c r="AL934" i="17"/>
  <c r="K938" i="17"/>
  <c r="AF938" i="17"/>
  <c r="J946" i="17"/>
  <c r="AG946" i="17"/>
  <c r="J952" i="17"/>
  <c r="AI952" i="17"/>
  <c r="AM960" i="17"/>
  <c r="AE960" i="17"/>
  <c r="W960" i="17"/>
  <c r="O960" i="17"/>
  <c r="AL960" i="17"/>
  <c r="AC960" i="17"/>
  <c r="T960" i="17"/>
  <c r="K960" i="17"/>
  <c r="AK960" i="17"/>
  <c r="AB960" i="17"/>
  <c r="S960" i="17"/>
  <c r="J960" i="17"/>
  <c r="AQ960" i="17"/>
  <c r="AF960" i="17"/>
  <c r="R960" i="17"/>
  <c r="AP960" i="17"/>
  <c r="AD960" i="17"/>
  <c r="Q960" i="17"/>
  <c r="AA960" i="17"/>
  <c r="M960" i="17"/>
  <c r="AR960" i="17"/>
  <c r="Z960" i="17"/>
  <c r="L960" i="17"/>
  <c r="AH960" i="17"/>
  <c r="AQ963" i="17"/>
  <c r="AI963" i="17"/>
  <c r="AA963" i="17"/>
  <c r="S963" i="17"/>
  <c r="K963" i="17"/>
  <c r="AN963" i="17"/>
  <c r="AE963" i="17"/>
  <c r="V963" i="17"/>
  <c r="M963" i="17"/>
  <c r="AM963" i="17"/>
  <c r="AD963" i="17"/>
  <c r="U963" i="17"/>
  <c r="L963" i="17"/>
  <c r="AG963" i="17"/>
  <c r="T963" i="17"/>
  <c r="AR963" i="17"/>
  <c r="AF963" i="17"/>
  <c r="R963" i="17"/>
  <c r="AJ963" i="17"/>
  <c r="Q963" i="17"/>
  <c r="AH963" i="17"/>
  <c r="P963" i="17"/>
  <c r="AB963" i="17"/>
  <c r="R968" i="17"/>
  <c r="AL968" i="17"/>
  <c r="P978" i="17"/>
  <c r="AO978" i="17"/>
  <c r="K984" i="17"/>
  <c r="AJ984" i="17"/>
  <c r="L987" i="17"/>
  <c r="AF987" i="17"/>
  <c r="R992" i="17"/>
  <c r="AJ992" i="17"/>
  <c r="K996" i="17"/>
  <c r="AJ996" i="17"/>
  <c r="L1008" i="17"/>
  <c r="AI1008" i="17"/>
  <c r="AM1016" i="17"/>
  <c r="AE1016" i="17"/>
  <c r="W1016" i="17"/>
  <c r="O1016" i="17"/>
  <c r="AQ1016" i="17"/>
  <c r="AH1016" i="17"/>
  <c r="Y1016" i="17"/>
  <c r="P1016" i="17"/>
  <c r="AP1016" i="17"/>
  <c r="AG1016" i="17"/>
  <c r="X1016" i="17"/>
  <c r="N1016" i="17"/>
  <c r="AK1016" i="17"/>
  <c r="Z1016" i="17"/>
  <c r="L1016" i="17"/>
  <c r="AJ1016" i="17"/>
  <c r="V1016" i="17"/>
  <c r="K1016" i="17"/>
  <c r="AF1016" i="17"/>
  <c r="R1016" i="17"/>
  <c r="AD1016" i="17"/>
  <c r="Q1016" i="17"/>
  <c r="AC1016" i="17"/>
  <c r="R1017" i="17"/>
  <c r="AM1017" i="17"/>
  <c r="P1027" i="17"/>
  <c r="AH1027" i="17"/>
  <c r="R1030" i="17"/>
  <c r="AJ1030" i="17"/>
  <c r="AM1032" i="17"/>
  <c r="AE1032" i="17"/>
  <c r="W1032" i="17"/>
  <c r="O1032" i="17"/>
  <c r="AQ1032" i="17"/>
  <c r="AH1032" i="17"/>
  <c r="Y1032" i="17"/>
  <c r="P1032" i="17"/>
  <c r="AP1032" i="17"/>
  <c r="AG1032" i="17"/>
  <c r="X1032" i="17"/>
  <c r="N1032" i="17"/>
  <c r="AO1032" i="17"/>
  <c r="AC1032" i="17"/>
  <c r="R1032" i="17"/>
  <c r="AN1032" i="17"/>
  <c r="AB1032" i="17"/>
  <c r="Q1032" i="17"/>
  <c r="AK1032" i="17"/>
  <c r="U1032" i="17"/>
  <c r="AJ1032" i="17"/>
  <c r="T1032" i="17"/>
  <c r="AA1032" i="17"/>
  <c r="L1033" i="17"/>
  <c r="AK1033" i="17"/>
  <c r="AM1040" i="17"/>
  <c r="AE1040" i="17"/>
  <c r="W1040" i="17"/>
  <c r="O1040" i="17"/>
  <c r="AL1040" i="17"/>
  <c r="AC1040" i="17"/>
  <c r="T1040" i="17"/>
  <c r="K1040" i="17"/>
  <c r="AK1040" i="17"/>
  <c r="AB1040" i="17"/>
  <c r="S1040" i="17"/>
  <c r="J1040" i="17"/>
  <c r="AP1040" i="17"/>
  <c r="AD1040" i="17"/>
  <c r="Q1040" i="17"/>
  <c r="AO1040" i="17"/>
  <c r="AA1040" i="17"/>
  <c r="P1040" i="17"/>
  <c r="AJ1040" i="17"/>
  <c r="V1040" i="17"/>
  <c r="AI1040" i="17"/>
  <c r="U1040" i="17"/>
  <c r="AF1040" i="17"/>
  <c r="N1041" i="17"/>
  <c r="AK1041" i="17"/>
  <c r="R1051" i="17"/>
  <c r="AN1051" i="17"/>
  <c r="S1054" i="17"/>
  <c r="AR1055" i="17"/>
  <c r="AJ1055" i="17"/>
  <c r="AB1055" i="17"/>
  <c r="T1055" i="17"/>
  <c r="L1055" i="17"/>
  <c r="AQ1055" i="17"/>
  <c r="AI1055" i="17"/>
  <c r="AA1055" i="17"/>
  <c r="S1055" i="17"/>
  <c r="K1055" i="17"/>
  <c r="AM1055" i="17"/>
  <c r="AC1055" i="17"/>
  <c r="Q1055" i="17"/>
  <c r="AL1055" i="17"/>
  <c r="Z1055" i="17"/>
  <c r="P1055" i="17"/>
  <c r="AH1055" i="17"/>
  <c r="V1055" i="17"/>
  <c r="AG1055" i="17"/>
  <c r="U1055" i="17"/>
  <c r="AN1055" i="17"/>
  <c r="R1055" i="17"/>
  <c r="AK1055" i="17"/>
  <c r="O1055" i="17"/>
  <c r="AE1055" i="17"/>
  <c r="K1058" i="17"/>
  <c r="AI1058" i="17"/>
  <c r="M1063" i="17"/>
  <c r="AK1063" i="17"/>
  <c r="AN1070" i="17"/>
  <c r="AF1070" i="17"/>
  <c r="X1070" i="17"/>
  <c r="P1070" i="17"/>
  <c r="AM1070" i="17"/>
  <c r="AE1070" i="17"/>
  <c r="W1070" i="17"/>
  <c r="O1070" i="17"/>
  <c r="AQ1070" i="17"/>
  <c r="AG1070" i="17"/>
  <c r="U1070" i="17"/>
  <c r="K1070" i="17"/>
  <c r="AP1070" i="17"/>
  <c r="AD1070" i="17"/>
  <c r="T1070" i="17"/>
  <c r="J1070" i="17"/>
  <c r="AJ1070" i="17"/>
  <c r="V1070" i="17"/>
  <c r="AI1070" i="17"/>
  <c r="S1070" i="17"/>
  <c r="AC1070" i="17"/>
  <c r="M1070" i="17"/>
  <c r="AB1070" i="17"/>
  <c r="L1070" i="17"/>
  <c r="AK1070" i="17"/>
  <c r="K1072" i="17"/>
  <c r="AO1072" i="17"/>
  <c r="O1075" i="17"/>
  <c r="AO1075" i="17"/>
  <c r="AR1083" i="17"/>
  <c r="AJ1083" i="17"/>
  <c r="AB1083" i="17"/>
  <c r="T1083" i="17"/>
  <c r="L1083" i="17"/>
  <c r="AQ1083" i="17"/>
  <c r="AI1083" i="17"/>
  <c r="AA1083" i="17"/>
  <c r="S1083" i="17"/>
  <c r="K1083" i="17"/>
  <c r="AG1083" i="17"/>
  <c r="W1083" i="17"/>
  <c r="M1083" i="17"/>
  <c r="AP1083" i="17"/>
  <c r="AF1083" i="17"/>
  <c r="V1083" i="17"/>
  <c r="J1083" i="17"/>
  <c r="AD1083" i="17"/>
  <c r="P1083" i="17"/>
  <c r="AO1083" i="17"/>
  <c r="AC1083" i="17"/>
  <c r="O1083" i="17"/>
  <c r="Y1083" i="17"/>
  <c r="AN1083" i="17"/>
  <c r="X1083" i="17"/>
  <c r="AK1083" i="17"/>
  <c r="AN1086" i="17"/>
  <c r="AF1086" i="17"/>
  <c r="X1086" i="17"/>
  <c r="P1086" i="17"/>
  <c r="AM1086" i="17"/>
  <c r="AE1086" i="17"/>
  <c r="W1086" i="17"/>
  <c r="O1086" i="17"/>
  <c r="AQ1086" i="17"/>
  <c r="AG1086" i="17"/>
  <c r="U1086" i="17"/>
  <c r="K1086" i="17"/>
  <c r="AP1086" i="17"/>
  <c r="AD1086" i="17"/>
  <c r="T1086" i="17"/>
  <c r="J1086" i="17"/>
  <c r="AR1086" i="17"/>
  <c r="AB1086" i="17"/>
  <c r="N1086" i="17"/>
  <c r="AO1086" i="17"/>
  <c r="AA1086" i="17"/>
  <c r="M1086" i="17"/>
  <c r="Z1086" i="17"/>
  <c r="Y1086" i="17"/>
  <c r="AI1086" i="17"/>
  <c r="J1098" i="17"/>
  <c r="AL1098" i="17"/>
  <c r="J1101" i="17"/>
  <c r="AN1101" i="17"/>
  <c r="AR1115" i="17"/>
  <c r="AJ1115" i="17"/>
  <c r="AB1115" i="17"/>
  <c r="T1115" i="17"/>
  <c r="L1115" i="17"/>
  <c r="AQ1115" i="17"/>
  <c r="AI1115" i="17"/>
  <c r="AA1115" i="17"/>
  <c r="S1115" i="17"/>
  <c r="K1115" i="17"/>
  <c r="AG1115" i="17"/>
  <c r="W1115" i="17"/>
  <c r="M1115" i="17"/>
  <c r="AP1115" i="17"/>
  <c r="AF1115" i="17"/>
  <c r="V1115" i="17"/>
  <c r="J1115" i="17"/>
  <c r="AD1115" i="17"/>
  <c r="P1115" i="17"/>
  <c r="AO1115" i="17"/>
  <c r="AC1115" i="17"/>
  <c r="O1115" i="17"/>
  <c r="AK1115" i="17"/>
  <c r="Q1115" i="17"/>
  <c r="AH1115" i="17"/>
  <c r="N1115" i="17"/>
  <c r="AM1115" i="17"/>
  <c r="L1118" i="17"/>
  <c r="AL1118" i="17"/>
  <c r="J1122" i="17"/>
  <c r="AD1122" i="17"/>
  <c r="J1127" i="17"/>
  <c r="AH1127" i="17"/>
  <c r="J1136" i="17"/>
  <c r="AL1136" i="17"/>
  <c r="N1139" i="17"/>
  <c r="AN1139" i="17"/>
  <c r="U1157" i="17"/>
  <c r="AO1157" i="17"/>
  <c r="AR1163" i="17"/>
  <c r="AJ1163" i="17"/>
  <c r="AB1163" i="17"/>
  <c r="T1163" i="17"/>
  <c r="L1163" i="17"/>
  <c r="AQ1163" i="17"/>
  <c r="AI1163" i="17"/>
  <c r="AA1163" i="17"/>
  <c r="S1163" i="17"/>
  <c r="K1163" i="17"/>
  <c r="AG1163" i="17"/>
  <c r="W1163" i="17"/>
  <c r="M1163" i="17"/>
  <c r="AP1163" i="17"/>
  <c r="AF1163" i="17"/>
  <c r="V1163" i="17"/>
  <c r="J1163" i="17"/>
  <c r="AL1163" i="17"/>
  <c r="X1163" i="17"/>
  <c r="AK1163" i="17"/>
  <c r="U1163" i="17"/>
  <c r="AM1163" i="17"/>
  <c r="Q1163" i="17"/>
  <c r="AH1163" i="17"/>
  <c r="P1163" i="17"/>
  <c r="AE1163" i="17"/>
  <c r="M1166" i="17"/>
  <c r="AK1166" i="17"/>
  <c r="AR1181" i="17"/>
  <c r="AJ1181" i="17"/>
  <c r="AB1181" i="17"/>
  <c r="T1181" i="17"/>
  <c r="L1181" i="17"/>
  <c r="AQ1181" i="17"/>
  <c r="AI1181" i="17"/>
  <c r="AA1181" i="17"/>
  <c r="S1181" i="17"/>
  <c r="K1181" i="17"/>
  <c r="AK1181" i="17"/>
  <c r="Y1181" i="17"/>
  <c r="O1181" i="17"/>
  <c r="AH1181" i="17"/>
  <c r="X1181" i="17"/>
  <c r="N1181" i="17"/>
  <c r="AL1181" i="17"/>
  <c r="V1181" i="17"/>
  <c r="AG1181" i="17"/>
  <c r="U1181" i="17"/>
  <c r="AF1181" i="17"/>
  <c r="P1181" i="17"/>
  <c r="AE1181" i="17"/>
  <c r="M1181" i="17"/>
  <c r="AM1181" i="17"/>
  <c r="Q1193" i="17"/>
  <c r="AN1212" i="17"/>
  <c r="AF1212" i="17"/>
  <c r="X1212" i="17"/>
  <c r="P1212" i="17"/>
  <c r="AM1212" i="17"/>
  <c r="AE1212" i="17"/>
  <c r="W1212" i="17"/>
  <c r="O1212" i="17"/>
  <c r="AJ1212" i="17"/>
  <c r="Z1212" i="17"/>
  <c r="N1212" i="17"/>
  <c r="AI1212" i="17"/>
  <c r="Y1212" i="17"/>
  <c r="M1212" i="17"/>
  <c r="AH1212" i="17"/>
  <c r="T1212" i="17"/>
  <c r="AG1212" i="17"/>
  <c r="S1212" i="17"/>
  <c r="AL1212" i="17"/>
  <c r="R1212" i="17"/>
  <c r="AK1212" i="17"/>
  <c r="Q1212" i="17"/>
  <c r="AA1212" i="17"/>
  <c r="AR1212" i="17"/>
  <c r="V1212" i="17"/>
  <c r="AQ1212" i="17"/>
  <c r="U1212" i="17"/>
  <c r="AP1212" i="17"/>
  <c r="J1218" i="17"/>
  <c r="X1219" i="17"/>
  <c r="X1225" i="17"/>
  <c r="X1241" i="17"/>
  <c r="J1243" i="17"/>
  <c r="U1262" i="17"/>
  <c r="X1265" i="17"/>
  <c r="AR1331" i="17"/>
  <c r="AJ1331" i="17"/>
  <c r="AB1331" i="17"/>
  <c r="T1331" i="17"/>
  <c r="L1331" i="17"/>
  <c r="AQ1331" i="17"/>
  <c r="AI1331" i="17"/>
  <c r="AA1331" i="17"/>
  <c r="S1331" i="17"/>
  <c r="K1331" i="17"/>
  <c r="AN1331" i="17"/>
  <c r="AD1331" i="17"/>
  <c r="R1331" i="17"/>
  <c r="AM1331" i="17"/>
  <c r="AC1331" i="17"/>
  <c r="Q1331" i="17"/>
  <c r="AH1331" i="17"/>
  <c r="V1331" i="17"/>
  <c r="AG1331" i="17"/>
  <c r="U1331" i="17"/>
  <c r="AK1331" i="17"/>
  <c r="O1331" i="17"/>
  <c r="AF1331" i="17"/>
  <c r="N1331" i="17"/>
  <c r="W1331" i="17"/>
  <c r="AP1331" i="17"/>
  <c r="P1331" i="17"/>
  <c r="AO1331" i="17"/>
  <c r="M1331" i="17"/>
  <c r="AN1334" i="17"/>
  <c r="AF1334" i="17"/>
  <c r="X1334" i="17"/>
  <c r="P1334" i="17"/>
  <c r="AM1334" i="17"/>
  <c r="AE1334" i="17"/>
  <c r="W1334" i="17"/>
  <c r="O1334" i="17"/>
  <c r="AL1334" i="17"/>
  <c r="AB1334" i="17"/>
  <c r="R1334" i="17"/>
  <c r="AK1334" i="17"/>
  <c r="AA1334" i="17"/>
  <c r="Q1334" i="17"/>
  <c r="AG1334" i="17"/>
  <c r="S1334" i="17"/>
  <c r="AR1334" i="17"/>
  <c r="AD1334" i="17"/>
  <c r="N1334" i="17"/>
  <c r="AJ1334" i="17"/>
  <c r="T1334" i="17"/>
  <c r="AI1334" i="17"/>
  <c r="M1334" i="17"/>
  <c r="V1334" i="17"/>
  <c r="AQ1334" i="17"/>
  <c r="U1334" i="17"/>
  <c r="AP1334" i="17"/>
  <c r="L1334" i="17"/>
  <c r="J1355" i="17"/>
  <c r="M1358" i="17"/>
  <c r="AL1391" i="17"/>
  <c r="AD1391" i="17"/>
  <c r="V1391" i="17"/>
  <c r="N1391" i="17"/>
  <c r="AK1391" i="17"/>
  <c r="AC1391" i="17"/>
  <c r="U1391" i="17"/>
  <c r="M1391" i="17"/>
  <c r="AJ1391" i="17"/>
  <c r="Z1391" i="17"/>
  <c r="P1391" i="17"/>
  <c r="AI1391" i="17"/>
  <c r="Y1391" i="17"/>
  <c r="O1391" i="17"/>
  <c r="AR1391" i="17"/>
  <c r="AF1391" i="17"/>
  <c r="R1391" i="17"/>
  <c r="AQ1391" i="17"/>
  <c r="AE1391" i="17"/>
  <c r="Q1391" i="17"/>
  <c r="AO1391" i="17"/>
  <c r="W1391" i="17"/>
  <c r="AN1391" i="17"/>
  <c r="T1391" i="17"/>
  <c r="AP1391" i="17"/>
  <c r="L1391" i="17"/>
  <c r="AM1391" i="17"/>
  <c r="K1391" i="17"/>
  <c r="AB1391" i="17"/>
  <c r="AA1391" i="17"/>
  <c r="X1391" i="17"/>
  <c r="AL1413" i="17"/>
  <c r="AD1413" i="17"/>
  <c r="V1413" i="17"/>
  <c r="N1413" i="17"/>
  <c r="AK1413" i="17"/>
  <c r="AC1413" i="17"/>
  <c r="U1413" i="17"/>
  <c r="M1413" i="17"/>
  <c r="AM1413" i="17"/>
  <c r="AA1413" i="17"/>
  <c r="Q1413" i="17"/>
  <c r="AJ1413" i="17"/>
  <c r="Z1413" i="17"/>
  <c r="P1413" i="17"/>
  <c r="AH1413" i="17"/>
  <c r="T1413" i="17"/>
  <c r="AG1413" i="17"/>
  <c r="S1413" i="17"/>
  <c r="AI1413" i="17"/>
  <c r="O1413" i="17"/>
  <c r="AF1413" i="17"/>
  <c r="L1413" i="17"/>
  <c r="Y1413" i="17"/>
  <c r="AR1413" i="17"/>
  <c r="X1413" i="17"/>
  <c r="AN1413" i="17"/>
  <c r="AE1413" i="17"/>
  <c r="AB1413" i="17"/>
  <c r="AJ1425" i="17"/>
  <c r="P1443" i="17"/>
  <c r="AL1445" i="17"/>
  <c r="AD1445" i="17"/>
  <c r="V1445" i="17"/>
  <c r="N1445" i="17"/>
  <c r="AK1445" i="17"/>
  <c r="AC1445" i="17"/>
  <c r="U1445" i="17"/>
  <c r="M1445" i="17"/>
  <c r="AR1445" i="17"/>
  <c r="AH1445" i="17"/>
  <c r="X1445" i="17"/>
  <c r="L1445" i="17"/>
  <c r="AQ1445" i="17"/>
  <c r="AG1445" i="17"/>
  <c r="W1445" i="17"/>
  <c r="K1445" i="17"/>
  <c r="AJ1445" i="17"/>
  <c r="T1445" i="17"/>
  <c r="AI1445" i="17"/>
  <c r="S1445" i="17"/>
  <c r="AF1445" i="17"/>
  <c r="P1445" i="17"/>
  <c r="AE1445" i="17"/>
  <c r="O1445" i="17"/>
  <c r="AO1445" i="17"/>
  <c r="Q1445" i="17"/>
  <c r="AN1445" i="17"/>
  <c r="J1445" i="17"/>
  <c r="Z1445" i="17"/>
  <c r="Y1445" i="17"/>
  <c r="R1445" i="17"/>
  <c r="AL1469" i="17"/>
  <c r="AD1469" i="17"/>
  <c r="V1469" i="17"/>
  <c r="N1469" i="17"/>
  <c r="AK1469" i="17"/>
  <c r="AC1469" i="17"/>
  <c r="U1469" i="17"/>
  <c r="M1469" i="17"/>
  <c r="AR1469" i="17"/>
  <c r="AH1469" i="17"/>
  <c r="X1469" i="17"/>
  <c r="L1469" i="17"/>
  <c r="AQ1469" i="17"/>
  <c r="AG1469" i="17"/>
  <c r="W1469" i="17"/>
  <c r="K1469" i="17"/>
  <c r="AE1469" i="17"/>
  <c r="Q1469" i="17"/>
  <c r="AP1469" i="17"/>
  <c r="AB1469" i="17"/>
  <c r="P1469" i="17"/>
  <c r="AM1469" i="17"/>
  <c r="S1469" i="17"/>
  <c r="AJ1469" i="17"/>
  <c r="R1469" i="17"/>
  <c r="AO1469" i="17"/>
  <c r="O1469" i="17"/>
  <c r="AN1469" i="17"/>
  <c r="J1469" i="17"/>
  <c r="AI1469" i="17"/>
  <c r="AF1469" i="17"/>
  <c r="AL1471" i="17"/>
  <c r="AD1471" i="17"/>
  <c r="V1471" i="17"/>
  <c r="N1471" i="17"/>
  <c r="AK1471" i="17"/>
  <c r="AC1471" i="17"/>
  <c r="U1471" i="17"/>
  <c r="M1471" i="17"/>
  <c r="AI1471" i="17"/>
  <c r="Y1471" i="17"/>
  <c r="O1471" i="17"/>
  <c r="AR1471" i="17"/>
  <c r="AH1471" i="17"/>
  <c r="X1471" i="17"/>
  <c r="L1471" i="17"/>
  <c r="AF1471" i="17"/>
  <c r="R1471" i="17"/>
  <c r="AQ1471" i="17"/>
  <c r="AE1471" i="17"/>
  <c r="Q1471" i="17"/>
  <c r="AG1471" i="17"/>
  <c r="K1471" i="17"/>
  <c r="AB1471" i="17"/>
  <c r="J1471" i="17"/>
  <c r="W1471" i="17"/>
  <c r="AP1471" i="17"/>
  <c r="T1471" i="17"/>
  <c r="AJ1471" i="17"/>
  <c r="AA1471" i="17"/>
  <c r="Z1471" i="17"/>
  <c r="S1485" i="17"/>
  <c r="P1513" i="17"/>
  <c r="AI1517" i="17"/>
  <c r="AL1529" i="17"/>
  <c r="AD1529" i="17"/>
  <c r="V1529" i="17"/>
  <c r="N1529" i="17"/>
  <c r="AK1529" i="17"/>
  <c r="AC1529" i="17"/>
  <c r="U1529" i="17"/>
  <c r="M1529" i="17"/>
  <c r="AN1529" i="17"/>
  <c r="AB1529" i="17"/>
  <c r="R1529" i="17"/>
  <c r="AM1529" i="17"/>
  <c r="AA1529" i="17"/>
  <c r="Q1529" i="17"/>
  <c r="AQ1529" i="17"/>
  <c r="AE1529" i="17"/>
  <c r="O1529" i="17"/>
  <c r="AP1529" i="17"/>
  <c r="Z1529" i="17"/>
  <c r="L1529" i="17"/>
  <c r="AO1529" i="17"/>
  <c r="W1529" i="17"/>
  <c r="AJ1529" i="17"/>
  <c r="T1529" i="17"/>
  <c r="Y1529" i="17"/>
  <c r="X1529" i="17"/>
  <c r="S1529" i="17"/>
  <c r="AH1529" i="17"/>
  <c r="AG1529" i="17"/>
  <c r="AF1529" i="17"/>
  <c r="AL1563" i="17"/>
  <c r="AD1563" i="17"/>
  <c r="V1563" i="17"/>
  <c r="N1563" i="17"/>
  <c r="AK1563" i="17"/>
  <c r="AC1563" i="17"/>
  <c r="U1563" i="17"/>
  <c r="M1563" i="17"/>
  <c r="AR1563" i="17"/>
  <c r="AH1563" i="17"/>
  <c r="X1563" i="17"/>
  <c r="L1563" i="17"/>
  <c r="AQ1563" i="17"/>
  <c r="AG1563" i="17"/>
  <c r="W1563" i="17"/>
  <c r="K1563" i="17"/>
  <c r="AI1563" i="17"/>
  <c r="S1563" i="17"/>
  <c r="AF1563" i="17"/>
  <c r="R1563" i="17"/>
  <c r="AO1563" i="17"/>
  <c r="Y1563" i="17"/>
  <c r="AN1563" i="17"/>
  <c r="T1563" i="17"/>
  <c r="AA1563" i="17"/>
  <c r="Z1563" i="17"/>
  <c r="Q1563" i="17"/>
  <c r="AE1563" i="17"/>
  <c r="AB1563" i="17"/>
  <c r="P1563" i="17"/>
  <c r="O1597" i="17"/>
  <c r="AM1603" i="17"/>
  <c r="J1676" i="17"/>
  <c r="Q1688" i="17"/>
  <c r="AL1728" i="17"/>
  <c r="AD1728" i="17"/>
  <c r="V1728" i="17"/>
  <c r="N1728" i="17"/>
  <c r="AK1728" i="17"/>
  <c r="AC1728" i="17"/>
  <c r="U1728" i="17"/>
  <c r="M1728" i="17"/>
  <c r="AI1728" i="17"/>
  <c r="Y1728" i="17"/>
  <c r="O1728" i="17"/>
  <c r="AR1728" i="17"/>
  <c r="AH1728" i="17"/>
  <c r="X1728" i="17"/>
  <c r="L1728" i="17"/>
  <c r="AP1728" i="17"/>
  <c r="AB1728" i="17"/>
  <c r="P1728" i="17"/>
  <c r="AO1728" i="17"/>
  <c r="AA1728" i="17"/>
  <c r="K1728" i="17"/>
  <c r="AM1728" i="17"/>
  <c r="S1728" i="17"/>
  <c r="AJ1728" i="17"/>
  <c r="R1728" i="17"/>
  <c r="T1728" i="17"/>
  <c r="AQ1728" i="17"/>
  <c r="Q1728" i="17"/>
  <c r="AE1728" i="17"/>
  <c r="Z1728" i="17"/>
  <c r="AF1728" i="17"/>
  <c r="W1728" i="17"/>
  <c r="J1728" i="17"/>
  <c r="AN1728" i="17"/>
  <c r="AG1728" i="17"/>
  <c r="AL1859" i="17"/>
  <c r="AD1859" i="17"/>
  <c r="V1859" i="17"/>
  <c r="N1859" i="17"/>
  <c r="AK1859" i="17"/>
  <c r="AC1859" i="17"/>
  <c r="U1859" i="17"/>
  <c r="M1859" i="17"/>
  <c r="AQ1859" i="17"/>
  <c r="AG1859" i="17"/>
  <c r="W1859" i="17"/>
  <c r="K1859" i="17"/>
  <c r="AP1859" i="17"/>
  <c r="AF1859" i="17"/>
  <c r="T1859" i="17"/>
  <c r="J1859" i="17"/>
  <c r="AJ1859" i="17"/>
  <c r="X1859" i="17"/>
  <c r="AI1859" i="17"/>
  <c r="S1859" i="17"/>
  <c r="AR1859" i="17"/>
  <c r="Z1859" i="17"/>
  <c r="AO1859" i="17"/>
  <c r="Y1859" i="17"/>
  <c r="Q1859" i="17"/>
  <c r="AN1859" i="17"/>
  <c r="P1859" i="17"/>
  <c r="O1859" i="17"/>
  <c r="L1859" i="17"/>
  <c r="AA1859" i="17"/>
  <c r="R1859" i="17"/>
  <c r="AM1859" i="17"/>
  <c r="AH1859" i="17"/>
  <c r="P1964" i="17"/>
  <c r="AN1204" i="17"/>
  <c r="AF1204" i="17"/>
  <c r="X1204" i="17"/>
  <c r="P1204" i="17"/>
  <c r="AM1204" i="17"/>
  <c r="AE1204" i="17"/>
  <c r="W1204" i="17"/>
  <c r="O1204" i="17"/>
  <c r="AJ1204" i="17"/>
  <c r="Z1204" i="17"/>
  <c r="N1204" i="17"/>
  <c r="AI1204" i="17"/>
  <c r="Y1204" i="17"/>
  <c r="M1204" i="17"/>
  <c r="AP1204" i="17"/>
  <c r="AB1204" i="17"/>
  <c r="L1204" i="17"/>
  <c r="AO1204" i="17"/>
  <c r="AA1204" i="17"/>
  <c r="K1204" i="17"/>
  <c r="AK1204" i="17"/>
  <c r="S1204" i="17"/>
  <c r="AH1204" i="17"/>
  <c r="R1204" i="17"/>
  <c r="AG1204" i="17"/>
  <c r="AN1226" i="17"/>
  <c r="AF1226" i="17"/>
  <c r="X1226" i="17"/>
  <c r="P1226" i="17"/>
  <c r="AM1226" i="17"/>
  <c r="AE1226" i="17"/>
  <c r="W1226" i="17"/>
  <c r="O1226" i="17"/>
  <c r="AR1226" i="17"/>
  <c r="AH1226" i="17"/>
  <c r="V1226" i="17"/>
  <c r="L1226" i="17"/>
  <c r="AQ1226" i="17"/>
  <c r="AG1226" i="17"/>
  <c r="U1226" i="17"/>
  <c r="K1226" i="17"/>
  <c r="AJ1226" i="17"/>
  <c r="T1226" i="17"/>
  <c r="AI1226" i="17"/>
  <c r="S1226" i="17"/>
  <c r="AL1226" i="17"/>
  <c r="R1226" i="17"/>
  <c r="AK1226" i="17"/>
  <c r="Q1226" i="17"/>
  <c r="AC1226" i="17"/>
  <c r="AR1283" i="17"/>
  <c r="AJ1283" i="17"/>
  <c r="AB1283" i="17"/>
  <c r="T1283" i="17"/>
  <c r="L1283" i="17"/>
  <c r="AQ1283" i="17"/>
  <c r="AI1283" i="17"/>
  <c r="AA1283" i="17"/>
  <c r="S1283" i="17"/>
  <c r="K1283" i="17"/>
  <c r="AN1283" i="17"/>
  <c r="AD1283" i="17"/>
  <c r="R1283" i="17"/>
  <c r="AM1283" i="17"/>
  <c r="AC1283" i="17"/>
  <c r="Q1283" i="17"/>
  <c r="AH1283" i="17"/>
  <c r="V1283" i="17"/>
  <c r="AG1283" i="17"/>
  <c r="U1283" i="17"/>
  <c r="AO1283" i="17"/>
  <c r="W1283" i="17"/>
  <c r="AL1283" i="17"/>
  <c r="P1283" i="17"/>
  <c r="AE1283" i="17"/>
  <c r="AR1295" i="17"/>
  <c r="AJ1295" i="17"/>
  <c r="AB1295" i="17"/>
  <c r="T1295" i="17"/>
  <c r="L1295" i="17"/>
  <c r="AQ1295" i="17"/>
  <c r="AI1295" i="17"/>
  <c r="AA1295" i="17"/>
  <c r="S1295" i="17"/>
  <c r="K1295" i="17"/>
  <c r="AH1295" i="17"/>
  <c r="X1295" i="17"/>
  <c r="N1295" i="17"/>
  <c r="AG1295" i="17"/>
  <c r="W1295" i="17"/>
  <c r="M1295" i="17"/>
  <c r="AE1295" i="17"/>
  <c r="Q1295" i="17"/>
  <c r="AP1295" i="17"/>
  <c r="AD1295" i="17"/>
  <c r="P1295" i="17"/>
  <c r="AO1295" i="17"/>
  <c r="Y1295" i="17"/>
  <c r="AN1295" i="17"/>
  <c r="V1295" i="17"/>
  <c r="AK1295" i="17"/>
  <c r="AN1298" i="17"/>
  <c r="AF1298" i="17"/>
  <c r="X1298" i="17"/>
  <c r="P1298" i="17"/>
  <c r="AM1298" i="17"/>
  <c r="AE1298" i="17"/>
  <c r="W1298" i="17"/>
  <c r="O1298" i="17"/>
  <c r="AR1298" i="17"/>
  <c r="AH1298" i="17"/>
  <c r="V1298" i="17"/>
  <c r="L1298" i="17"/>
  <c r="AQ1298" i="17"/>
  <c r="AG1298" i="17"/>
  <c r="U1298" i="17"/>
  <c r="K1298" i="17"/>
  <c r="AP1298" i="17"/>
  <c r="AB1298" i="17"/>
  <c r="N1298" i="17"/>
  <c r="AO1298" i="17"/>
  <c r="AA1298" i="17"/>
  <c r="M1298" i="17"/>
  <c r="Y1298" i="17"/>
  <c r="AL1298" i="17"/>
  <c r="T1298" i="17"/>
  <c r="AI1298" i="17"/>
  <c r="AR1305" i="17"/>
  <c r="AJ1305" i="17"/>
  <c r="AB1305" i="17"/>
  <c r="T1305" i="17"/>
  <c r="L1305" i="17"/>
  <c r="AQ1305" i="17"/>
  <c r="AI1305" i="17"/>
  <c r="AA1305" i="17"/>
  <c r="S1305" i="17"/>
  <c r="K1305" i="17"/>
  <c r="AL1305" i="17"/>
  <c r="Z1305" i="17"/>
  <c r="P1305" i="17"/>
  <c r="AK1305" i="17"/>
  <c r="Y1305" i="17"/>
  <c r="O1305" i="17"/>
  <c r="AP1305" i="17"/>
  <c r="AD1305" i="17"/>
  <c r="N1305" i="17"/>
  <c r="AO1305" i="17"/>
  <c r="AC1305" i="17"/>
  <c r="M1305" i="17"/>
  <c r="AN1305" i="17"/>
  <c r="V1305" i="17"/>
  <c r="AM1305" i="17"/>
  <c r="U1305" i="17"/>
  <c r="AG1305" i="17"/>
  <c r="AR1315" i="17"/>
  <c r="AJ1315" i="17"/>
  <c r="AB1315" i="17"/>
  <c r="T1315" i="17"/>
  <c r="L1315" i="17"/>
  <c r="AQ1315" i="17"/>
  <c r="AI1315" i="17"/>
  <c r="AA1315" i="17"/>
  <c r="S1315" i="17"/>
  <c r="K1315" i="17"/>
  <c r="AN1315" i="17"/>
  <c r="AD1315" i="17"/>
  <c r="R1315" i="17"/>
  <c r="AM1315" i="17"/>
  <c r="AC1315" i="17"/>
  <c r="Q1315" i="17"/>
  <c r="AH1315" i="17"/>
  <c r="V1315" i="17"/>
  <c r="AG1315" i="17"/>
  <c r="U1315" i="17"/>
  <c r="AE1315" i="17"/>
  <c r="M1315" i="17"/>
  <c r="Z1315" i="17"/>
  <c r="J1315" i="17"/>
  <c r="AK1315" i="17"/>
  <c r="AN1326" i="17"/>
  <c r="AF1326" i="17"/>
  <c r="X1326" i="17"/>
  <c r="P1326" i="17"/>
  <c r="AM1326" i="17"/>
  <c r="AE1326" i="17"/>
  <c r="W1326" i="17"/>
  <c r="O1326" i="17"/>
  <c r="AL1326" i="17"/>
  <c r="AB1326" i="17"/>
  <c r="R1326" i="17"/>
  <c r="AK1326" i="17"/>
  <c r="AA1326" i="17"/>
  <c r="Q1326" i="17"/>
  <c r="AO1326" i="17"/>
  <c r="Y1326" i="17"/>
  <c r="K1326" i="17"/>
  <c r="AJ1326" i="17"/>
  <c r="V1326" i="17"/>
  <c r="J1326" i="17"/>
  <c r="AG1326" i="17"/>
  <c r="M1326" i="17"/>
  <c r="AD1326" i="17"/>
  <c r="L1326" i="17"/>
  <c r="AI1326" i="17"/>
  <c r="AR1329" i="17"/>
  <c r="AJ1329" i="17"/>
  <c r="AB1329" i="17"/>
  <c r="T1329" i="17"/>
  <c r="L1329" i="17"/>
  <c r="AQ1329" i="17"/>
  <c r="AI1329" i="17"/>
  <c r="AA1329" i="17"/>
  <c r="S1329" i="17"/>
  <c r="K1329" i="17"/>
  <c r="AL1329" i="17"/>
  <c r="Z1329" i="17"/>
  <c r="P1329" i="17"/>
  <c r="AK1329" i="17"/>
  <c r="Y1329" i="17"/>
  <c r="O1329" i="17"/>
  <c r="AH1329" i="17"/>
  <c r="V1329" i="17"/>
  <c r="AG1329" i="17"/>
  <c r="U1329" i="17"/>
  <c r="AE1329" i="17"/>
  <c r="M1329" i="17"/>
  <c r="AD1329" i="17"/>
  <c r="J1329" i="17"/>
  <c r="AM1329" i="17"/>
  <c r="AN1338" i="17"/>
  <c r="AF1338" i="17"/>
  <c r="X1338" i="17"/>
  <c r="P1338" i="17"/>
  <c r="AM1338" i="17"/>
  <c r="AE1338" i="17"/>
  <c r="W1338" i="17"/>
  <c r="O1338" i="17"/>
  <c r="AR1338" i="17"/>
  <c r="AH1338" i="17"/>
  <c r="V1338" i="17"/>
  <c r="L1338" i="17"/>
  <c r="AQ1338" i="17"/>
  <c r="AG1338" i="17"/>
  <c r="U1338" i="17"/>
  <c r="K1338" i="17"/>
  <c r="AJ1338" i="17"/>
  <c r="T1338" i="17"/>
  <c r="AI1338" i="17"/>
  <c r="S1338" i="17"/>
  <c r="AD1338" i="17"/>
  <c r="N1338" i="17"/>
  <c r="AC1338" i="17"/>
  <c r="M1338" i="17"/>
  <c r="AK1338" i="17"/>
  <c r="AN1350" i="17"/>
  <c r="AF1350" i="17"/>
  <c r="X1350" i="17"/>
  <c r="P1350" i="17"/>
  <c r="AM1350" i="17"/>
  <c r="AE1350" i="17"/>
  <c r="W1350" i="17"/>
  <c r="O1350" i="17"/>
  <c r="AL1350" i="17"/>
  <c r="AB1350" i="17"/>
  <c r="R1350" i="17"/>
  <c r="AK1350" i="17"/>
  <c r="AA1350" i="17"/>
  <c r="Q1350" i="17"/>
  <c r="AG1350" i="17"/>
  <c r="S1350" i="17"/>
  <c r="AR1350" i="17"/>
  <c r="AD1350" i="17"/>
  <c r="N1350" i="17"/>
  <c r="AP1350" i="17"/>
  <c r="V1350" i="17"/>
  <c r="AO1350" i="17"/>
  <c r="U1350" i="17"/>
  <c r="AC1350" i="17"/>
  <c r="AR1353" i="17"/>
  <c r="AJ1353" i="17"/>
  <c r="AB1353" i="17"/>
  <c r="T1353" i="17"/>
  <c r="L1353" i="17"/>
  <c r="AQ1353" i="17"/>
  <c r="AI1353" i="17"/>
  <c r="AA1353" i="17"/>
  <c r="S1353" i="17"/>
  <c r="K1353" i="17"/>
  <c r="AL1353" i="17"/>
  <c r="Z1353" i="17"/>
  <c r="P1353" i="17"/>
  <c r="AK1353" i="17"/>
  <c r="Y1353" i="17"/>
  <c r="O1353" i="17"/>
  <c r="AP1353" i="17"/>
  <c r="AD1353" i="17"/>
  <c r="N1353" i="17"/>
  <c r="AO1353" i="17"/>
  <c r="AC1353" i="17"/>
  <c r="M1353" i="17"/>
  <c r="AH1353" i="17"/>
  <c r="R1353" i="17"/>
  <c r="AG1353" i="17"/>
  <c r="Q1353" i="17"/>
  <c r="AM1353" i="17"/>
  <c r="AN1356" i="17"/>
  <c r="AF1356" i="17"/>
  <c r="X1356" i="17"/>
  <c r="P1356" i="17"/>
  <c r="AM1356" i="17"/>
  <c r="AE1356" i="17"/>
  <c r="W1356" i="17"/>
  <c r="O1356" i="17"/>
  <c r="AJ1356" i="17"/>
  <c r="Z1356" i="17"/>
  <c r="N1356" i="17"/>
  <c r="AI1356" i="17"/>
  <c r="Y1356" i="17"/>
  <c r="M1356" i="17"/>
  <c r="AH1356" i="17"/>
  <c r="T1356" i="17"/>
  <c r="AG1356" i="17"/>
  <c r="S1356" i="17"/>
  <c r="AP1356" i="17"/>
  <c r="V1356" i="17"/>
  <c r="AO1356" i="17"/>
  <c r="U1356" i="17"/>
  <c r="AC1356" i="17"/>
  <c r="AL1393" i="17"/>
  <c r="AD1393" i="17"/>
  <c r="V1393" i="17"/>
  <c r="N1393" i="17"/>
  <c r="AK1393" i="17"/>
  <c r="AC1393" i="17"/>
  <c r="U1393" i="17"/>
  <c r="M1393" i="17"/>
  <c r="AM1393" i="17"/>
  <c r="AA1393" i="17"/>
  <c r="Q1393" i="17"/>
  <c r="AJ1393" i="17"/>
  <c r="Z1393" i="17"/>
  <c r="P1393" i="17"/>
  <c r="AQ1393" i="17"/>
  <c r="AE1393" i="17"/>
  <c r="O1393" i="17"/>
  <c r="AP1393" i="17"/>
  <c r="AB1393" i="17"/>
  <c r="L1393" i="17"/>
  <c r="AH1393" i="17"/>
  <c r="R1393" i="17"/>
  <c r="AG1393" i="17"/>
  <c r="K1393" i="17"/>
  <c r="W1393" i="17"/>
  <c r="AR1393" i="17"/>
  <c r="T1393" i="17"/>
  <c r="AO1393" i="17"/>
  <c r="AL1467" i="17"/>
  <c r="AD1467" i="17"/>
  <c r="V1467" i="17"/>
  <c r="N1467" i="17"/>
  <c r="AK1467" i="17"/>
  <c r="AC1467" i="17"/>
  <c r="U1467" i="17"/>
  <c r="M1467" i="17"/>
  <c r="AQ1467" i="17"/>
  <c r="AG1467" i="17"/>
  <c r="W1467" i="17"/>
  <c r="K1467" i="17"/>
  <c r="AP1467" i="17"/>
  <c r="AF1467" i="17"/>
  <c r="T1467" i="17"/>
  <c r="J1467" i="17"/>
  <c r="AR1467" i="17"/>
  <c r="AB1467" i="17"/>
  <c r="P1467" i="17"/>
  <c r="AO1467" i="17"/>
  <c r="AA1467" i="17"/>
  <c r="O1467" i="17"/>
  <c r="AN1467" i="17"/>
  <c r="X1467" i="17"/>
  <c r="AM1467" i="17"/>
  <c r="S1467" i="17"/>
  <c r="AH1467" i="17"/>
  <c r="AE1467" i="17"/>
  <c r="AL1491" i="17"/>
  <c r="AD1491" i="17"/>
  <c r="V1491" i="17"/>
  <c r="N1491" i="17"/>
  <c r="AK1491" i="17"/>
  <c r="AC1491" i="17"/>
  <c r="U1491" i="17"/>
  <c r="M1491" i="17"/>
  <c r="AR1491" i="17"/>
  <c r="AH1491" i="17"/>
  <c r="X1491" i="17"/>
  <c r="L1491" i="17"/>
  <c r="AQ1491" i="17"/>
  <c r="AG1491" i="17"/>
  <c r="W1491" i="17"/>
  <c r="K1491" i="17"/>
  <c r="AO1491" i="17"/>
  <c r="AA1491" i="17"/>
  <c r="O1491" i="17"/>
  <c r="AN1491" i="17"/>
  <c r="Z1491" i="17"/>
  <c r="J1491" i="17"/>
  <c r="AB1491" i="17"/>
  <c r="Y1491" i="17"/>
  <c r="AP1491" i="17"/>
  <c r="R1491" i="17"/>
  <c r="AM1491" i="17"/>
  <c r="Q1491" i="17"/>
  <c r="AJ1491" i="17"/>
  <c r="P1491" i="17"/>
  <c r="AL1499" i="17"/>
  <c r="AD1499" i="17"/>
  <c r="V1499" i="17"/>
  <c r="N1499" i="17"/>
  <c r="AK1499" i="17"/>
  <c r="AC1499" i="17"/>
  <c r="U1499" i="17"/>
  <c r="M1499" i="17"/>
  <c r="AR1499" i="17"/>
  <c r="AH1499" i="17"/>
  <c r="X1499" i="17"/>
  <c r="L1499" i="17"/>
  <c r="AQ1499" i="17"/>
  <c r="AG1499" i="17"/>
  <c r="W1499" i="17"/>
  <c r="K1499" i="17"/>
  <c r="AI1499" i="17"/>
  <c r="S1499" i="17"/>
  <c r="AF1499" i="17"/>
  <c r="R1499" i="17"/>
  <c r="AO1499" i="17"/>
  <c r="Y1499" i="17"/>
  <c r="AN1499" i="17"/>
  <c r="T1499" i="17"/>
  <c r="Q1499" i="17"/>
  <c r="AP1499" i="17"/>
  <c r="P1499" i="17"/>
  <c r="AM1499" i="17"/>
  <c r="O1499" i="17"/>
  <c r="AL1547" i="17"/>
  <c r="AD1547" i="17"/>
  <c r="V1547" i="17"/>
  <c r="N1547" i="17"/>
  <c r="AK1547" i="17"/>
  <c r="AC1547" i="17"/>
  <c r="U1547" i="17"/>
  <c r="M1547" i="17"/>
  <c r="AR1547" i="17"/>
  <c r="AH1547" i="17"/>
  <c r="X1547" i="17"/>
  <c r="L1547" i="17"/>
  <c r="AQ1547" i="17"/>
  <c r="AG1547" i="17"/>
  <c r="W1547" i="17"/>
  <c r="K1547" i="17"/>
  <c r="AI1547" i="17"/>
  <c r="S1547" i="17"/>
  <c r="AF1547" i="17"/>
  <c r="R1547" i="17"/>
  <c r="AE1547" i="17"/>
  <c r="O1547" i="17"/>
  <c r="AB1547" i="17"/>
  <c r="J1547" i="17"/>
  <c r="AA1547" i="17"/>
  <c r="Z1547" i="17"/>
  <c r="Y1547" i="17"/>
  <c r="AP1547" i="17"/>
  <c r="AL1551" i="17"/>
  <c r="AD1551" i="17"/>
  <c r="V1551" i="17"/>
  <c r="N1551" i="17"/>
  <c r="AK1551" i="17"/>
  <c r="AC1551" i="17"/>
  <c r="U1551" i="17"/>
  <c r="M1551" i="17"/>
  <c r="AR1551" i="17"/>
  <c r="AH1551" i="17"/>
  <c r="X1551" i="17"/>
  <c r="L1551" i="17"/>
  <c r="AQ1551" i="17"/>
  <c r="AG1551" i="17"/>
  <c r="W1551" i="17"/>
  <c r="K1551" i="17"/>
  <c r="AE1551" i="17"/>
  <c r="Q1551" i="17"/>
  <c r="AP1551" i="17"/>
  <c r="AB1551" i="17"/>
  <c r="P1551" i="17"/>
  <c r="AI1551" i="17"/>
  <c r="O1551" i="17"/>
  <c r="AF1551" i="17"/>
  <c r="J1551" i="17"/>
  <c r="AA1551" i="17"/>
  <c r="Z1551" i="17"/>
  <c r="Y1551" i="17"/>
  <c r="AL1573" i="17"/>
  <c r="AD1573" i="17"/>
  <c r="V1573" i="17"/>
  <c r="N1573" i="17"/>
  <c r="AK1573" i="17"/>
  <c r="AC1573" i="17"/>
  <c r="U1573" i="17"/>
  <c r="M1573" i="17"/>
  <c r="AN1573" i="17"/>
  <c r="AB1573" i="17"/>
  <c r="R1573" i="17"/>
  <c r="AM1573" i="17"/>
  <c r="AA1573" i="17"/>
  <c r="Q1573" i="17"/>
  <c r="AG1573" i="17"/>
  <c r="S1573" i="17"/>
  <c r="AR1573" i="17"/>
  <c r="AF1573" i="17"/>
  <c r="P1573" i="17"/>
  <c r="AJ1573" i="17"/>
  <c r="T1573" i="17"/>
  <c r="AI1573" i="17"/>
  <c r="O1573" i="17"/>
  <c r="X1573" i="17"/>
  <c r="AQ1573" i="17"/>
  <c r="W1573" i="17"/>
  <c r="AP1573" i="17"/>
  <c r="L1573" i="17"/>
  <c r="AL1611" i="17"/>
  <c r="AD1611" i="17"/>
  <c r="V1611" i="17"/>
  <c r="N1611" i="17"/>
  <c r="AK1611" i="17"/>
  <c r="AC1611" i="17"/>
  <c r="U1611" i="17"/>
  <c r="M1611" i="17"/>
  <c r="AR1611" i="17"/>
  <c r="AH1611" i="17"/>
  <c r="X1611" i="17"/>
  <c r="L1611" i="17"/>
  <c r="AQ1611" i="17"/>
  <c r="AG1611" i="17"/>
  <c r="W1611" i="17"/>
  <c r="K1611" i="17"/>
  <c r="AI1611" i="17"/>
  <c r="S1611" i="17"/>
  <c r="AF1611" i="17"/>
  <c r="R1611" i="17"/>
  <c r="AE1611" i="17"/>
  <c r="O1611" i="17"/>
  <c r="AB1611" i="17"/>
  <c r="J1611" i="17"/>
  <c r="AA1611" i="17"/>
  <c r="Z1611" i="17"/>
  <c r="Y1611" i="17"/>
  <c r="AP1611" i="17"/>
  <c r="AL1615" i="17"/>
  <c r="AD1615" i="17"/>
  <c r="V1615" i="17"/>
  <c r="N1615" i="17"/>
  <c r="AK1615" i="17"/>
  <c r="AC1615" i="17"/>
  <c r="U1615" i="17"/>
  <c r="M1615" i="17"/>
  <c r="AR1615" i="17"/>
  <c r="AH1615" i="17"/>
  <c r="X1615" i="17"/>
  <c r="L1615" i="17"/>
  <c r="AQ1615" i="17"/>
  <c r="AG1615" i="17"/>
  <c r="W1615" i="17"/>
  <c r="K1615" i="17"/>
  <c r="AE1615" i="17"/>
  <c r="Q1615" i="17"/>
  <c r="AP1615" i="17"/>
  <c r="AB1615" i="17"/>
  <c r="P1615" i="17"/>
  <c r="AI1615" i="17"/>
  <c r="O1615" i="17"/>
  <c r="AF1615" i="17"/>
  <c r="J1615" i="17"/>
  <c r="AA1615" i="17"/>
  <c r="Z1615" i="17"/>
  <c r="Y1615" i="17"/>
  <c r="AK1626" i="17"/>
  <c r="AC1626" i="17"/>
  <c r="U1626" i="17"/>
  <c r="M1626" i="17"/>
  <c r="AR1626" i="17"/>
  <c r="AJ1626" i="17"/>
  <c r="AB1626" i="17"/>
  <c r="T1626" i="17"/>
  <c r="L1626" i="17"/>
  <c r="AM1626" i="17"/>
  <c r="AA1626" i="17"/>
  <c r="Q1626" i="17"/>
  <c r="AL1626" i="17"/>
  <c r="Z1626" i="17"/>
  <c r="P1626" i="17"/>
  <c r="AH1626" i="17"/>
  <c r="V1626" i="17"/>
  <c r="AG1626" i="17"/>
  <c r="S1626" i="17"/>
  <c r="AO1626" i="17"/>
  <c r="W1626" i="17"/>
  <c r="AN1626" i="17"/>
  <c r="R1626" i="17"/>
  <c r="AP1626" i="17"/>
  <c r="N1626" i="17"/>
  <c r="AI1626" i="17"/>
  <c r="K1626" i="17"/>
  <c r="X1626" i="17"/>
  <c r="O1626" i="17"/>
  <c r="J1626" i="17"/>
  <c r="AL1748" i="17"/>
  <c r="AD1748" i="17"/>
  <c r="V1748" i="17"/>
  <c r="N1748" i="17"/>
  <c r="AK1748" i="17"/>
  <c r="AC1748" i="17"/>
  <c r="U1748" i="17"/>
  <c r="M1748" i="17"/>
  <c r="AM1748" i="17"/>
  <c r="AA1748" i="17"/>
  <c r="Q1748" i="17"/>
  <c r="AJ1748" i="17"/>
  <c r="Z1748" i="17"/>
  <c r="P1748" i="17"/>
  <c r="AR1748" i="17"/>
  <c r="AF1748" i="17"/>
  <c r="R1748" i="17"/>
  <c r="AQ1748" i="17"/>
  <c r="AE1748" i="17"/>
  <c r="O1748" i="17"/>
  <c r="AI1748" i="17"/>
  <c r="S1748" i="17"/>
  <c r="AH1748" i="17"/>
  <c r="L1748" i="17"/>
  <c r="W1748" i="17"/>
  <c r="AP1748" i="17"/>
  <c r="T1748" i="17"/>
  <c r="Y1748" i="17"/>
  <c r="X1748" i="17"/>
  <c r="AB1748" i="17"/>
  <c r="K1748" i="17"/>
  <c r="J1748" i="17"/>
  <c r="AL1802" i="17"/>
  <c r="AD1802" i="17"/>
  <c r="V1802" i="17"/>
  <c r="N1802" i="17"/>
  <c r="AK1802" i="17"/>
  <c r="AC1802" i="17"/>
  <c r="U1802" i="17"/>
  <c r="M1802" i="17"/>
  <c r="AJ1802" i="17"/>
  <c r="Z1802" i="17"/>
  <c r="P1802" i="17"/>
  <c r="AI1802" i="17"/>
  <c r="Y1802" i="17"/>
  <c r="O1802" i="17"/>
  <c r="AQ1802" i="17"/>
  <c r="AE1802" i="17"/>
  <c r="Q1802" i="17"/>
  <c r="AP1802" i="17"/>
  <c r="AB1802" i="17"/>
  <c r="L1802" i="17"/>
  <c r="AG1802" i="17"/>
  <c r="K1802" i="17"/>
  <c r="AF1802" i="17"/>
  <c r="J1802" i="17"/>
  <c r="AR1802" i="17"/>
  <c r="T1802" i="17"/>
  <c r="AO1802" i="17"/>
  <c r="S1802" i="17"/>
  <c r="AH1802" i="17"/>
  <c r="AA1802" i="17"/>
  <c r="AM1802" i="17"/>
  <c r="X1802" i="17"/>
  <c r="W1802" i="17"/>
  <c r="AR1872" i="17"/>
  <c r="AJ1872" i="17"/>
  <c r="AB1872" i="17"/>
  <c r="T1872" i="17"/>
  <c r="L1872" i="17"/>
  <c r="AP1872" i="17"/>
  <c r="AG1872" i="17"/>
  <c r="X1872" i="17"/>
  <c r="O1872" i="17"/>
  <c r="AO1872" i="17"/>
  <c r="AF1872" i="17"/>
  <c r="W1872" i="17"/>
  <c r="N1872" i="17"/>
  <c r="AL1872" i="17"/>
  <c r="Z1872" i="17"/>
  <c r="M1872" i="17"/>
  <c r="AK1872" i="17"/>
  <c r="Y1872" i="17"/>
  <c r="K1872" i="17"/>
  <c r="AE1872" i="17"/>
  <c r="Q1872" i="17"/>
  <c r="AD1872" i="17"/>
  <c r="P1872" i="17"/>
  <c r="V1872" i="17"/>
  <c r="AQ1872" i="17"/>
  <c r="U1872" i="17"/>
  <c r="AA1872" i="17"/>
  <c r="S1872" i="17"/>
  <c r="AC1872" i="17"/>
  <c r="R1872" i="17"/>
  <c r="AN1872" i="17"/>
  <c r="AR1890" i="17"/>
  <c r="AJ1890" i="17"/>
  <c r="AB1890" i="17"/>
  <c r="T1890" i="17"/>
  <c r="L1890" i="17"/>
  <c r="AQ1890" i="17"/>
  <c r="AH1890" i="17"/>
  <c r="Y1890" i="17"/>
  <c r="P1890" i="17"/>
  <c r="AP1890" i="17"/>
  <c r="AG1890" i="17"/>
  <c r="X1890" i="17"/>
  <c r="O1890" i="17"/>
  <c r="AO1890" i="17"/>
  <c r="AD1890" i="17"/>
  <c r="R1890" i="17"/>
  <c r="AN1890" i="17"/>
  <c r="AC1890" i="17"/>
  <c r="Q1890" i="17"/>
  <c r="AA1890" i="17"/>
  <c r="K1890" i="17"/>
  <c r="Z1890" i="17"/>
  <c r="J1890" i="17"/>
  <c r="W1890" i="17"/>
  <c r="V1890" i="17"/>
  <c r="AF1890" i="17"/>
  <c r="AE1890" i="17"/>
  <c r="S1890" i="17"/>
  <c r="N1890" i="17"/>
  <c r="AM1890" i="17"/>
  <c r="AI1890" i="17"/>
  <c r="U1890" i="17"/>
  <c r="M1890" i="17"/>
  <c r="AP1926" i="17"/>
  <c r="AH1926" i="17"/>
  <c r="Z1926" i="17"/>
  <c r="R1926" i="17"/>
  <c r="J1926" i="17"/>
  <c r="AO1926" i="17"/>
  <c r="AG1926" i="17"/>
  <c r="AR1926" i="17"/>
  <c r="AF1926" i="17"/>
  <c r="W1926" i="17"/>
  <c r="N1926" i="17"/>
  <c r="AQ1926" i="17"/>
  <c r="AE1926" i="17"/>
  <c r="V1926" i="17"/>
  <c r="M1926" i="17"/>
  <c r="AM1926" i="17"/>
  <c r="AA1926" i="17"/>
  <c r="O1926" i="17"/>
  <c r="AL1926" i="17"/>
  <c r="Y1926" i="17"/>
  <c r="L1926" i="17"/>
  <c r="AI1926" i="17"/>
  <c r="Q1926" i="17"/>
  <c r="AD1926" i="17"/>
  <c r="P1926" i="17"/>
  <c r="X1926" i="17"/>
  <c r="U1926" i="17"/>
  <c r="AJ1926" i="17"/>
  <c r="AC1926" i="17"/>
  <c r="AN1926" i="17"/>
  <c r="AK1926" i="17"/>
  <c r="AB1926" i="17"/>
  <c r="AR1952" i="17"/>
  <c r="AJ1952" i="17"/>
  <c r="AB1952" i="17"/>
  <c r="T1952" i="17"/>
  <c r="L1952" i="17"/>
  <c r="AP1952" i="17"/>
  <c r="AG1952" i="17"/>
  <c r="X1952" i="17"/>
  <c r="O1952" i="17"/>
  <c r="AO1952" i="17"/>
  <c r="AF1952" i="17"/>
  <c r="W1952" i="17"/>
  <c r="N1952" i="17"/>
  <c r="AL1952" i="17"/>
  <c r="Z1952" i="17"/>
  <c r="M1952" i="17"/>
  <c r="AK1952" i="17"/>
  <c r="Y1952" i="17"/>
  <c r="K1952" i="17"/>
  <c r="AE1952" i="17"/>
  <c r="Q1952" i="17"/>
  <c r="AD1952" i="17"/>
  <c r="P1952" i="17"/>
  <c r="AC1952" i="17"/>
  <c r="AA1952" i="17"/>
  <c r="AI1952" i="17"/>
  <c r="AH1952" i="17"/>
  <c r="U1952" i="17"/>
  <c r="S1952" i="17"/>
  <c r="R1952" i="17"/>
  <c r="J1952" i="17"/>
  <c r="AQ1952" i="17"/>
  <c r="AN1952" i="17"/>
  <c r="AK640" i="17"/>
  <c r="AC640" i="17"/>
  <c r="U640" i="17"/>
  <c r="M640" i="17"/>
  <c r="AR640" i="17"/>
  <c r="AJ640" i="17"/>
  <c r="AB640" i="17"/>
  <c r="T640" i="17"/>
  <c r="L640" i="17"/>
  <c r="AN640" i="17"/>
  <c r="AD640" i="17"/>
  <c r="R640" i="17"/>
  <c r="AM640" i="17"/>
  <c r="AA640" i="17"/>
  <c r="Q640" i="17"/>
  <c r="W640" i="17"/>
  <c r="AI640" i="17"/>
  <c r="AK696" i="17"/>
  <c r="AC696" i="17"/>
  <c r="U696" i="17"/>
  <c r="M696" i="17"/>
  <c r="AR696" i="17"/>
  <c r="AJ696" i="17"/>
  <c r="AB696" i="17"/>
  <c r="T696" i="17"/>
  <c r="L696" i="17"/>
  <c r="AH696" i="17"/>
  <c r="X696" i="17"/>
  <c r="N696" i="17"/>
  <c r="AQ696" i="17"/>
  <c r="AG696" i="17"/>
  <c r="W696" i="17"/>
  <c r="K696" i="17"/>
  <c r="Y696" i="17"/>
  <c r="AM696" i="17"/>
  <c r="AK718" i="17"/>
  <c r="AC718" i="17"/>
  <c r="U718" i="17"/>
  <c r="M718" i="17"/>
  <c r="AR718" i="17"/>
  <c r="AJ718" i="17"/>
  <c r="AB718" i="17"/>
  <c r="T718" i="17"/>
  <c r="L718" i="17"/>
  <c r="AQ718" i="17"/>
  <c r="AG718" i="17"/>
  <c r="W718" i="17"/>
  <c r="K718" i="17"/>
  <c r="AP718" i="17"/>
  <c r="AF718" i="17"/>
  <c r="V718" i="17"/>
  <c r="J718" i="17"/>
  <c r="Y718" i="17"/>
  <c r="AM718" i="17"/>
  <c r="AK722" i="17"/>
  <c r="AC722" i="17"/>
  <c r="U722" i="17"/>
  <c r="M722" i="17"/>
  <c r="AR722" i="17"/>
  <c r="AJ722" i="17"/>
  <c r="AB722" i="17"/>
  <c r="T722" i="17"/>
  <c r="L722" i="17"/>
  <c r="AI722" i="17"/>
  <c r="Y722" i="17"/>
  <c r="O722" i="17"/>
  <c r="AH722" i="17"/>
  <c r="X722" i="17"/>
  <c r="N722" i="17"/>
  <c r="W722" i="17"/>
  <c r="AM722" i="17"/>
  <c r="AK742" i="17"/>
  <c r="AC742" i="17"/>
  <c r="U742" i="17"/>
  <c r="M742" i="17"/>
  <c r="AR742" i="17"/>
  <c r="AJ742" i="17"/>
  <c r="AB742" i="17"/>
  <c r="T742" i="17"/>
  <c r="L742" i="17"/>
  <c r="AM742" i="17"/>
  <c r="AA742" i="17"/>
  <c r="Q742" i="17"/>
  <c r="AL742" i="17"/>
  <c r="Z742" i="17"/>
  <c r="P742" i="17"/>
  <c r="W742" i="17"/>
  <c r="AI742" i="17"/>
  <c r="AK764" i="17"/>
  <c r="AC764" i="17"/>
  <c r="U764" i="17"/>
  <c r="M764" i="17"/>
  <c r="AR764" i="17"/>
  <c r="AJ764" i="17"/>
  <c r="AB764" i="17"/>
  <c r="T764" i="17"/>
  <c r="L764" i="17"/>
  <c r="AL764" i="17"/>
  <c r="Z764" i="17"/>
  <c r="P764" i="17"/>
  <c r="AI764" i="17"/>
  <c r="Y764" i="17"/>
  <c r="O764" i="17"/>
  <c r="W764" i="17"/>
  <c r="AM764" i="17"/>
  <c r="AK768" i="17"/>
  <c r="AC768" i="17"/>
  <c r="U768" i="17"/>
  <c r="M768" i="17"/>
  <c r="AR768" i="17"/>
  <c r="AJ768" i="17"/>
  <c r="AB768" i="17"/>
  <c r="T768" i="17"/>
  <c r="L768" i="17"/>
  <c r="AN768" i="17"/>
  <c r="AD768" i="17"/>
  <c r="R768" i="17"/>
  <c r="AM768" i="17"/>
  <c r="AA768" i="17"/>
  <c r="Q768" i="17"/>
  <c r="W768" i="17"/>
  <c r="AI768" i="17"/>
  <c r="X784" i="17"/>
  <c r="X789" i="17"/>
  <c r="Z804" i="17"/>
  <c r="V809" i="17"/>
  <c r="AM816" i="17"/>
  <c r="AE816" i="17"/>
  <c r="W816" i="17"/>
  <c r="O816" i="17"/>
  <c r="AL816" i="17"/>
  <c r="AC816" i="17"/>
  <c r="T816" i="17"/>
  <c r="K816" i="17"/>
  <c r="AK816" i="17"/>
  <c r="AB816" i="17"/>
  <c r="S816" i="17"/>
  <c r="J816" i="17"/>
  <c r="AN816" i="17"/>
  <c r="Z816" i="17"/>
  <c r="N816" i="17"/>
  <c r="AJ816" i="17"/>
  <c r="Y816" i="17"/>
  <c r="M816" i="17"/>
  <c r="AA816" i="17"/>
  <c r="AQ816" i="17"/>
  <c r="AQ821" i="17"/>
  <c r="AI821" i="17"/>
  <c r="AA821" i="17"/>
  <c r="S821" i="17"/>
  <c r="K821" i="17"/>
  <c r="AO821" i="17"/>
  <c r="AF821" i="17"/>
  <c r="W821" i="17"/>
  <c r="N821" i="17"/>
  <c r="AN821" i="17"/>
  <c r="AE821" i="17"/>
  <c r="V821" i="17"/>
  <c r="M821" i="17"/>
  <c r="AP821" i="17"/>
  <c r="AC821" i="17"/>
  <c r="Q821" i="17"/>
  <c r="AM821" i="17"/>
  <c r="AB821" i="17"/>
  <c r="P821" i="17"/>
  <c r="Y821" i="17"/>
  <c r="AR821" i="17"/>
  <c r="U822" i="17"/>
  <c r="AQ833" i="17"/>
  <c r="AI833" i="17"/>
  <c r="AA833" i="17"/>
  <c r="S833" i="17"/>
  <c r="K833" i="17"/>
  <c r="AM833" i="17"/>
  <c r="AD833" i="17"/>
  <c r="U833" i="17"/>
  <c r="L833" i="17"/>
  <c r="AL833" i="17"/>
  <c r="AC833" i="17"/>
  <c r="T833" i="17"/>
  <c r="J833" i="17"/>
  <c r="AR833" i="17"/>
  <c r="AF833" i="17"/>
  <c r="R833" i="17"/>
  <c r="AP833" i="17"/>
  <c r="AE833" i="17"/>
  <c r="Q833" i="17"/>
  <c r="Y833" i="17"/>
  <c r="AO833" i="17"/>
  <c r="X834" i="17"/>
  <c r="AM842" i="17"/>
  <c r="AE842" i="17"/>
  <c r="W842" i="17"/>
  <c r="O842" i="17"/>
  <c r="AR842" i="17"/>
  <c r="AI842" i="17"/>
  <c r="Z842" i="17"/>
  <c r="Q842" i="17"/>
  <c r="AQ842" i="17"/>
  <c r="AH842" i="17"/>
  <c r="Y842" i="17"/>
  <c r="P842" i="17"/>
  <c r="AK842" i="17"/>
  <c r="X842" i="17"/>
  <c r="L842" i="17"/>
  <c r="AJ842" i="17"/>
  <c r="V842" i="17"/>
  <c r="K842" i="17"/>
  <c r="AA842" i="17"/>
  <c r="AO842" i="17"/>
  <c r="AQ853" i="17"/>
  <c r="AI853" i="17"/>
  <c r="AA853" i="17"/>
  <c r="S853" i="17"/>
  <c r="K853" i="17"/>
  <c r="AO853" i="17"/>
  <c r="AF853" i="17"/>
  <c r="W853" i="17"/>
  <c r="N853" i="17"/>
  <c r="AN853" i="17"/>
  <c r="AE853" i="17"/>
  <c r="V853" i="17"/>
  <c r="M853" i="17"/>
  <c r="AL853" i="17"/>
  <c r="Z853" i="17"/>
  <c r="O853" i="17"/>
  <c r="AK853" i="17"/>
  <c r="Y853" i="17"/>
  <c r="L853" i="17"/>
  <c r="AB853" i="17"/>
  <c r="AR853" i="17"/>
  <c r="U854" i="17"/>
  <c r="V859" i="17"/>
  <c r="AM866" i="17"/>
  <c r="AE866" i="17"/>
  <c r="W866" i="17"/>
  <c r="O866" i="17"/>
  <c r="AN866" i="17"/>
  <c r="AD866" i="17"/>
  <c r="U866" i="17"/>
  <c r="L866" i="17"/>
  <c r="AL866" i="17"/>
  <c r="AC866" i="17"/>
  <c r="T866" i="17"/>
  <c r="K866" i="17"/>
  <c r="AP866" i="17"/>
  <c r="AB866" i="17"/>
  <c r="Q866" i="17"/>
  <c r="AO866" i="17"/>
  <c r="AA866" i="17"/>
  <c r="P866" i="17"/>
  <c r="Y866" i="17"/>
  <c r="AQ866" i="17"/>
  <c r="AQ871" i="17"/>
  <c r="AI871" i="17"/>
  <c r="AA871" i="17"/>
  <c r="S871" i="17"/>
  <c r="K871" i="17"/>
  <c r="AP871" i="17"/>
  <c r="AG871" i="17"/>
  <c r="X871" i="17"/>
  <c r="O871" i="17"/>
  <c r="AO871" i="17"/>
  <c r="AF871" i="17"/>
  <c r="W871" i="17"/>
  <c r="N871" i="17"/>
  <c r="AE871" i="17"/>
  <c r="T871" i="17"/>
  <c r="AR871" i="17"/>
  <c r="AD871" i="17"/>
  <c r="R871" i="17"/>
  <c r="Y871" i="17"/>
  <c r="AM871" i="17"/>
  <c r="Z886" i="17"/>
  <c r="V891" i="17"/>
  <c r="AM898" i="17"/>
  <c r="AE898" i="17"/>
  <c r="W898" i="17"/>
  <c r="O898" i="17"/>
  <c r="AN898" i="17"/>
  <c r="AD898" i="17"/>
  <c r="U898" i="17"/>
  <c r="L898" i="17"/>
  <c r="AL898" i="17"/>
  <c r="AC898" i="17"/>
  <c r="T898" i="17"/>
  <c r="K898" i="17"/>
  <c r="AK898" i="17"/>
  <c r="Z898" i="17"/>
  <c r="N898" i="17"/>
  <c r="AJ898" i="17"/>
  <c r="Y898" i="17"/>
  <c r="M898" i="17"/>
  <c r="AA898" i="17"/>
  <c r="AQ898" i="17"/>
  <c r="AQ903" i="17"/>
  <c r="AI903" i="17"/>
  <c r="AA903" i="17"/>
  <c r="S903" i="17"/>
  <c r="K903" i="17"/>
  <c r="AP903" i="17"/>
  <c r="AG903" i="17"/>
  <c r="X903" i="17"/>
  <c r="O903" i="17"/>
  <c r="AO903" i="17"/>
  <c r="AF903" i="17"/>
  <c r="W903" i="17"/>
  <c r="N903" i="17"/>
  <c r="AN903" i="17"/>
  <c r="AC903" i="17"/>
  <c r="Q903" i="17"/>
  <c r="AM903" i="17"/>
  <c r="AB903" i="17"/>
  <c r="P903" i="17"/>
  <c r="Y903" i="17"/>
  <c r="AR903" i="17"/>
  <c r="U904" i="17"/>
  <c r="AM916" i="17"/>
  <c r="AE916" i="17"/>
  <c r="W916" i="17"/>
  <c r="O916" i="17"/>
  <c r="AO916" i="17"/>
  <c r="AF916" i="17"/>
  <c r="V916" i="17"/>
  <c r="M916" i="17"/>
  <c r="AN916" i="17"/>
  <c r="AD916" i="17"/>
  <c r="U916" i="17"/>
  <c r="L916" i="17"/>
  <c r="AR916" i="17"/>
  <c r="AG916" i="17"/>
  <c r="S916" i="17"/>
  <c r="AQ916" i="17"/>
  <c r="AC916" i="17"/>
  <c r="R916" i="17"/>
  <c r="Y916" i="17"/>
  <c r="AL916" i="17"/>
  <c r="AM936" i="17"/>
  <c r="AE936" i="17"/>
  <c r="W936" i="17"/>
  <c r="O936" i="17"/>
  <c r="AQ936" i="17"/>
  <c r="AH936" i="17"/>
  <c r="Y936" i="17"/>
  <c r="P936" i="17"/>
  <c r="AP936" i="17"/>
  <c r="AG936" i="17"/>
  <c r="X936" i="17"/>
  <c r="N936" i="17"/>
  <c r="AL936" i="17"/>
  <c r="AA936" i="17"/>
  <c r="M936" i="17"/>
  <c r="AK936" i="17"/>
  <c r="Z936" i="17"/>
  <c r="L936" i="17"/>
  <c r="V936" i="17"/>
  <c r="AO936" i="17"/>
  <c r="X944" i="17"/>
  <c r="X949" i="17"/>
  <c r="X961" i="17"/>
  <c r="AQ969" i="17"/>
  <c r="AI969" i="17"/>
  <c r="AA969" i="17"/>
  <c r="S969" i="17"/>
  <c r="K969" i="17"/>
  <c r="AR969" i="17"/>
  <c r="AH969" i="17"/>
  <c r="Y969" i="17"/>
  <c r="P969" i="17"/>
  <c r="AP969" i="17"/>
  <c r="AG969" i="17"/>
  <c r="X969" i="17"/>
  <c r="O969" i="17"/>
  <c r="AK969" i="17"/>
  <c r="W969" i="17"/>
  <c r="L969" i="17"/>
  <c r="AJ969" i="17"/>
  <c r="V969" i="17"/>
  <c r="J969" i="17"/>
  <c r="AB969" i="17"/>
  <c r="AO969" i="17"/>
  <c r="U970" i="17"/>
  <c r="X981" i="17"/>
  <c r="AM986" i="17"/>
  <c r="AE986" i="17"/>
  <c r="W986" i="17"/>
  <c r="O986" i="17"/>
  <c r="AR986" i="17"/>
  <c r="AI986" i="17"/>
  <c r="Z986" i="17"/>
  <c r="Q986" i="17"/>
  <c r="AQ986" i="17"/>
  <c r="AH986" i="17"/>
  <c r="Y986" i="17"/>
  <c r="P986" i="17"/>
  <c r="AO986" i="17"/>
  <c r="AC986" i="17"/>
  <c r="R986" i="17"/>
  <c r="AN986" i="17"/>
  <c r="AB986" i="17"/>
  <c r="N986" i="17"/>
  <c r="V986" i="17"/>
  <c r="AL986" i="17"/>
  <c r="AQ993" i="17"/>
  <c r="AI993" i="17"/>
  <c r="AA993" i="17"/>
  <c r="S993" i="17"/>
  <c r="K993" i="17"/>
  <c r="AM993" i="17"/>
  <c r="AD993" i="17"/>
  <c r="U993" i="17"/>
  <c r="L993" i="17"/>
  <c r="AL993" i="17"/>
  <c r="AC993" i="17"/>
  <c r="T993" i="17"/>
  <c r="J993" i="17"/>
  <c r="AO993" i="17"/>
  <c r="AB993" i="17"/>
  <c r="P993" i="17"/>
  <c r="AN993" i="17"/>
  <c r="Z993" i="17"/>
  <c r="O993" i="17"/>
  <c r="Y993" i="17"/>
  <c r="AR993" i="17"/>
  <c r="X994" i="17"/>
  <c r="V999" i="17"/>
  <c r="AQ1009" i="17"/>
  <c r="AI1009" i="17"/>
  <c r="AA1009" i="17"/>
  <c r="S1009" i="17"/>
  <c r="K1009" i="17"/>
  <c r="AM1009" i="17"/>
  <c r="AD1009" i="17"/>
  <c r="U1009" i="17"/>
  <c r="L1009" i="17"/>
  <c r="AL1009" i="17"/>
  <c r="AC1009" i="17"/>
  <c r="T1009" i="17"/>
  <c r="J1009" i="17"/>
  <c r="AG1009" i="17"/>
  <c r="V1009" i="17"/>
  <c r="AR1009" i="17"/>
  <c r="AF1009" i="17"/>
  <c r="R1009" i="17"/>
  <c r="Y1009" i="17"/>
  <c r="AO1009" i="17"/>
  <c r="AM1018" i="17"/>
  <c r="AE1018" i="17"/>
  <c r="W1018" i="17"/>
  <c r="O1018" i="17"/>
  <c r="AR1018" i="17"/>
  <c r="AI1018" i="17"/>
  <c r="Z1018" i="17"/>
  <c r="Q1018" i="17"/>
  <c r="AQ1018" i="17"/>
  <c r="AH1018" i="17"/>
  <c r="Y1018" i="17"/>
  <c r="P1018" i="17"/>
  <c r="AL1018" i="17"/>
  <c r="AA1018" i="17"/>
  <c r="M1018" i="17"/>
  <c r="AK1018" i="17"/>
  <c r="X1018" i="17"/>
  <c r="L1018" i="17"/>
  <c r="V1018" i="17"/>
  <c r="AO1018" i="17"/>
  <c r="AQ1025" i="17"/>
  <c r="AI1025" i="17"/>
  <c r="AA1025" i="17"/>
  <c r="S1025" i="17"/>
  <c r="K1025" i="17"/>
  <c r="AM1025" i="17"/>
  <c r="AD1025" i="17"/>
  <c r="U1025" i="17"/>
  <c r="L1025" i="17"/>
  <c r="AL1025" i="17"/>
  <c r="AC1025" i="17"/>
  <c r="T1025" i="17"/>
  <c r="J1025" i="17"/>
  <c r="AK1025" i="17"/>
  <c r="Y1025" i="17"/>
  <c r="N1025" i="17"/>
  <c r="AJ1025" i="17"/>
  <c r="X1025" i="17"/>
  <c r="M1025" i="17"/>
  <c r="AB1025" i="17"/>
  <c r="AR1025" i="17"/>
  <c r="X1026" i="17"/>
  <c r="V1031" i="17"/>
  <c r="AR1043" i="17"/>
  <c r="AJ1043" i="17"/>
  <c r="AB1043" i="17"/>
  <c r="T1043" i="17"/>
  <c r="AQ1043" i="17"/>
  <c r="AI1043" i="17"/>
  <c r="AA1043" i="17"/>
  <c r="S1043" i="17"/>
  <c r="K1043" i="17"/>
  <c r="AG1043" i="17"/>
  <c r="W1043" i="17"/>
  <c r="M1043" i="17"/>
  <c r="AP1043" i="17"/>
  <c r="AF1043" i="17"/>
  <c r="V1043" i="17"/>
  <c r="L1043" i="17"/>
  <c r="AH1043" i="17"/>
  <c r="R1043" i="17"/>
  <c r="AE1043" i="17"/>
  <c r="Q1043" i="17"/>
  <c r="Z1043" i="17"/>
  <c r="AN1046" i="17"/>
  <c r="AF1046" i="17"/>
  <c r="X1046" i="17"/>
  <c r="P1046" i="17"/>
  <c r="AM1046" i="17"/>
  <c r="AE1046" i="17"/>
  <c r="W1046" i="17"/>
  <c r="O1046" i="17"/>
  <c r="AQ1046" i="17"/>
  <c r="AG1046" i="17"/>
  <c r="U1046" i="17"/>
  <c r="K1046" i="17"/>
  <c r="AP1046" i="17"/>
  <c r="AD1046" i="17"/>
  <c r="T1046" i="17"/>
  <c r="J1046" i="17"/>
  <c r="AH1046" i="17"/>
  <c r="R1046" i="17"/>
  <c r="AC1046" i="17"/>
  <c r="Q1046" i="17"/>
  <c r="AA1046" i="17"/>
  <c r="V1066" i="17"/>
  <c r="AR1087" i="17"/>
  <c r="AJ1087" i="17"/>
  <c r="AB1087" i="17"/>
  <c r="T1087" i="17"/>
  <c r="L1087" i="17"/>
  <c r="AQ1087" i="17"/>
  <c r="AI1087" i="17"/>
  <c r="AA1087" i="17"/>
  <c r="S1087" i="17"/>
  <c r="K1087" i="17"/>
  <c r="AM1087" i="17"/>
  <c r="AC1087" i="17"/>
  <c r="Q1087" i="17"/>
  <c r="AL1087" i="17"/>
  <c r="Z1087" i="17"/>
  <c r="P1087" i="17"/>
  <c r="AH1087" i="17"/>
  <c r="V1087" i="17"/>
  <c r="AG1087" i="17"/>
  <c r="U1087" i="17"/>
  <c r="Y1087" i="17"/>
  <c r="AN1088" i="17"/>
  <c r="AF1088" i="17"/>
  <c r="X1088" i="17"/>
  <c r="P1088" i="17"/>
  <c r="AM1088" i="17"/>
  <c r="AE1088" i="17"/>
  <c r="W1088" i="17"/>
  <c r="O1088" i="17"/>
  <c r="AI1088" i="17"/>
  <c r="Y1088" i="17"/>
  <c r="M1088" i="17"/>
  <c r="AR1088" i="17"/>
  <c r="AH1088" i="17"/>
  <c r="V1088" i="17"/>
  <c r="L1088" i="17"/>
  <c r="AP1088" i="17"/>
  <c r="AB1088" i="17"/>
  <c r="N1088" i="17"/>
  <c r="AO1088" i="17"/>
  <c r="AA1088" i="17"/>
  <c r="K1088" i="17"/>
  <c r="AC1088" i="17"/>
  <c r="Z1104" i="17"/>
  <c r="AN1110" i="17"/>
  <c r="AF1110" i="17"/>
  <c r="X1110" i="17"/>
  <c r="P1110" i="17"/>
  <c r="AM1110" i="17"/>
  <c r="AE1110" i="17"/>
  <c r="W1110" i="17"/>
  <c r="O1110" i="17"/>
  <c r="AQ1110" i="17"/>
  <c r="AG1110" i="17"/>
  <c r="U1110" i="17"/>
  <c r="K1110" i="17"/>
  <c r="AP1110" i="17"/>
  <c r="AD1110" i="17"/>
  <c r="T1110" i="17"/>
  <c r="J1110" i="17"/>
  <c r="AH1110" i="17"/>
  <c r="R1110" i="17"/>
  <c r="AC1110" i="17"/>
  <c r="Q1110" i="17"/>
  <c r="AA1110" i="17"/>
  <c r="V1130" i="17"/>
  <c r="AR1151" i="17"/>
  <c r="AJ1151" i="17"/>
  <c r="AB1151" i="17"/>
  <c r="T1151" i="17"/>
  <c r="L1151" i="17"/>
  <c r="AQ1151" i="17"/>
  <c r="AI1151" i="17"/>
  <c r="AA1151" i="17"/>
  <c r="S1151" i="17"/>
  <c r="K1151" i="17"/>
  <c r="AM1151" i="17"/>
  <c r="AC1151" i="17"/>
  <c r="Q1151" i="17"/>
  <c r="AL1151" i="17"/>
  <c r="Z1151" i="17"/>
  <c r="P1151" i="17"/>
  <c r="AH1151" i="17"/>
  <c r="V1151" i="17"/>
  <c r="AG1151" i="17"/>
  <c r="U1151" i="17"/>
  <c r="Y1151" i="17"/>
  <c r="AN1152" i="17"/>
  <c r="AF1152" i="17"/>
  <c r="X1152" i="17"/>
  <c r="P1152" i="17"/>
  <c r="AM1152" i="17"/>
  <c r="AE1152" i="17"/>
  <c r="W1152" i="17"/>
  <c r="O1152" i="17"/>
  <c r="AI1152" i="17"/>
  <c r="Y1152" i="17"/>
  <c r="M1152" i="17"/>
  <c r="AR1152" i="17"/>
  <c r="AH1152" i="17"/>
  <c r="V1152" i="17"/>
  <c r="L1152" i="17"/>
  <c r="AP1152" i="17"/>
  <c r="AB1152" i="17"/>
  <c r="N1152" i="17"/>
  <c r="AO1152" i="17"/>
  <c r="AA1152" i="17"/>
  <c r="K1152" i="17"/>
  <c r="AC1152" i="17"/>
  <c r="Z1168" i="17"/>
  <c r="V1170" i="17"/>
  <c r="AN1174" i="17"/>
  <c r="AF1174" i="17"/>
  <c r="X1174" i="17"/>
  <c r="P1174" i="17"/>
  <c r="AM1174" i="17"/>
  <c r="AE1174" i="17"/>
  <c r="W1174" i="17"/>
  <c r="O1174" i="17"/>
  <c r="AQ1174" i="17"/>
  <c r="AG1174" i="17"/>
  <c r="U1174" i="17"/>
  <c r="K1174" i="17"/>
  <c r="AP1174" i="17"/>
  <c r="AD1174" i="17"/>
  <c r="T1174" i="17"/>
  <c r="J1174" i="17"/>
  <c r="AH1174" i="17"/>
  <c r="R1174" i="17"/>
  <c r="AC1174" i="17"/>
  <c r="Q1174" i="17"/>
  <c r="AA1174" i="17"/>
  <c r="AN1196" i="17"/>
  <c r="AF1196" i="17"/>
  <c r="X1196" i="17"/>
  <c r="P1196" i="17"/>
  <c r="AM1196" i="17"/>
  <c r="AE1196" i="17"/>
  <c r="W1196" i="17"/>
  <c r="O1196" i="17"/>
  <c r="AJ1196" i="17"/>
  <c r="Z1196" i="17"/>
  <c r="N1196" i="17"/>
  <c r="AI1196" i="17"/>
  <c r="Y1196" i="17"/>
  <c r="M1196" i="17"/>
  <c r="AH1196" i="17"/>
  <c r="T1196" i="17"/>
  <c r="AG1196" i="17"/>
  <c r="S1196" i="17"/>
  <c r="AD1196" i="17"/>
  <c r="L1196" i="17"/>
  <c r="AC1196" i="17"/>
  <c r="K1196" i="17"/>
  <c r="AK1196" i="17"/>
  <c r="J1204" i="17"/>
  <c r="AL1204" i="17"/>
  <c r="AN1214" i="17"/>
  <c r="AF1214" i="17"/>
  <c r="X1214" i="17"/>
  <c r="P1214" i="17"/>
  <c r="AM1214" i="17"/>
  <c r="AE1214" i="17"/>
  <c r="W1214" i="17"/>
  <c r="O1214" i="17"/>
  <c r="AL1214" i="17"/>
  <c r="AB1214" i="17"/>
  <c r="R1214" i="17"/>
  <c r="AK1214" i="17"/>
  <c r="AA1214" i="17"/>
  <c r="Q1214" i="17"/>
  <c r="AO1214" i="17"/>
  <c r="Y1214" i="17"/>
  <c r="K1214" i="17"/>
  <c r="AJ1214" i="17"/>
  <c r="V1214" i="17"/>
  <c r="J1214" i="17"/>
  <c r="AI1214" i="17"/>
  <c r="S1214" i="17"/>
  <c r="AH1214" i="17"/>
  <c r="N1214" i="17"/>
  <c r="AG1214" i="17"/>
  <c r="AR1217" i="17"/>
  <c r="AJ1217" i="17"/>
  <c r="AB1217" i="17"/>
  <c r="T1217" i="17"/>
  <c r="L1217" i="17"/>
  <c r="AQ1217" i="17"/>
  <c r="AI1217" i="17"/>
  <c r="AA1217" i="17"/>
  <c r="S1217" i="17"/>
  <c r="K1217" i="17"/>
  <c r="AL1217" i="17"/>
  <c r="Z1217" i="17"/>
  <c r="P1217" i="17"/>
  <c r="AK1217" i="17"/>
  <c r="Y1217" i="17"/>
  <c r="O1217" i="17"/>
  <c r="AH1217" i="17"/>
  <c r="V1217" i="17"/>
  <c r="AG1217" i="17"/>
  <c r="U1217" i="17"/>
  <c r="AM1217" i="17"/>
  <c r="Q1217" i="17"/>
  <c r="AF1217" i="17"/>
  <c r="N1217" i="17"/>
  <c r="AE1217" i="17"/>
  <c r="J1226" i="17"/>
  <c r="AD1226" i="17"/>
  <c r="AN1242" i="17"/>
  <c r="AF1242" i="17"/>
  <c r="X1242" i="17"/>
  <c r="P1242" i="17"/>
  <c r="AM1242" i="17"/>
  <c r="AE1242" i="17"/>
  <c r="W1242" i="17"/>
  <c r="O1242" i="17"/>
  <c r="AR1242" i="17"/>
  <c r="AH1242" i="17"/>
  <c r="V1242" i="17"/>
  <c r="L1242" i="17"/>
  <c r="AQ1242" i="17"/>
  <c r="AG1242" i="17"/>
  <c r="U1242" i="17"/>
  <c r="K1242" i="17"/>
  <c r="AJ1242" i="17"/>
  <c r="T1242" i="17"/>
  <c r="AI1242" i="17"/>
  <c r="S1242" i="17"/>
  <c r="AP1242" i="17"/>
  <c r="Z1242" i="17"/>
  <c r="AO1242" i="17"/>
  <c r="Y1242" i="17"/>
  <c r="AC1242" i="17"/>
  <c r="AN1268" i="17"/>
  <c r="AF1268" i="17"/>
  <c r="X1268" i="17"/>
  <c r="P1268" i="17"/>
  <c r="AM1268" i="17"/>
  <c r="AE1268" i="17"/>
  <c r="W1268" i="17"/>
  <c r="O1268" i="17"/>
  <c r="AJ1268" i="17"/>
  <c r="Z1268" i="17"/>
  <c r="N1268" i="17"/>
  <c r="AI1268" i="17"/>
  <c r="Y1268" i="17"/>
  <c r="M1268" i="17"/>
  <c r="AP1268" i="17"/>
  <c r="AB1268" i="17"/>
  <c r="L1268" i="17"/>
  <c r="AO1268" i="17"/>
  <c r="AA1268" i="17"/>
  <c r="K1268" i="17"/>
  <c r="AK1268" i="17"/>
  <c r="S1268" i="17"/>
  <c r="AH1268" i="17"/>
  <c r="R1268" i="17"/>
  <c r="AG1268" i="17"/>
  <c r="J1283" i="17"/>
  <c r="AF1283" i="17"/>
  <c r="AN1290" i="17"/>
  <c r="AF1290" i="17"/>
  <c r="X1290" i="17"/>
  <c r="P1290" i="17"/>
  <c r="AM1290" i="17"/>
  <c r="AE1290" i="17"/>
  <c r="W1290" i="17"/>
  <c r="O1290" i="17"/>
  <c r="AR1290" i="17"/>
  <c r="AH1290" i="17"/>
  <c r="V1290" i="17"/>
  <c r="L1290" i="17"/>
  <c r="AQ1290" i="17"/>
  <c r="AG1290" i="17"/>
  <c r="U1290" i="17"/>
  <c r="K1290" i="17"/>
  <c r="AJ1290" i="17"/>
  <c r="T1290" i="17"/>
  <c r="AI1290" i="17"/>
  <c r="S1290" i="17"/>
  <c r="AL1290" i="17"/>
  <c r="R1290" i="17"/>
  <c r="AK1290" i="17"/>
  <c r="Q1290" i="17"/>
  <c r="AC1290" i="17"/>
  <c r="J1295" i="17"/>
  <c r="AL1295" i="17"/>
  <c r="J1298" i="17"/>
  <c r="AJ1298" i="17"/>
  <c r="J1305" i="17"/>
  <c r="AH1305" i="17"/>
  <c r="N1315" i="17"/>
  <c r="AL1315" i="17"/>
  <c r="N1326" i="17"/>
  <c r="AP1326" i="17"/>
  <c r="N1329" i="17"/>
  <c r="AN1329" i="17"/>
  <c r="J1338" i="17"/>
  <c r="AL1338" i="17"/>
  <c r="AR1347" i="17"/>
  <c r="AJ1347" i="17"/>
  <c r="AB1347" i="17"/>
  <c r="T1347" i="17"/>
  <c r="L1347" i="17"/>
  <c r="AQ1347" i="17"/>
  <c r="AI1347" i="17"/>
  <c r="AA1347" i="17"/>
  <c r="S1347" i="17"/>
  <c r="K1347" i="17"/>
  <c r="AN1347" i="17"/>
  <c r="AD1347" i="17"/>
  <c r="R1347" i="17"/>
  <c r="AM1347" i="17"/>
  <c r="AC1347" i="17"/>
  <c r="Q1347" i="17"/>
  <c r="AH1347" i="17"/>
  <c r="V1347" i="17"/>
  <c r="AG1347" i="17"/>
  <c r="U1347" i="17"/>
  <c r="AO1347" i="17"/>
  <c r="W1347" i="17"/>
  <c r="AL1347" i="17"/>
  <c r="P1347" i="17"/>
  <c r="AE1347" i="17"/>
  <c r="J1350" i="17"/>
  <c r="AH1350" i="17"/>
  <c r="J1353" i="17"/>
  <c r="AN1353" i="17"/>
  <c r="J1356" i="17"/>
  <c r="AD1356" i="17"/>
  <c r="J1393" i="17"/>
  <c r="AL1405" i="17"/>
  <c r="AD1405" i="17"/>
  <c r="V1405" i="17"/>
  <c r="N1405" i="17"/>
  <c r="AK1405" i="17"/>
  <c r="AC1405" i="17"/>
  <c r="U1405" i="17"/>
  <c r="M1405" i="17"/>
  <c r="AM1405" i="17"/>
  <c r="AA1405" i="17"/>
  <c r="Q1405" i="17"/>
  <c r="AJ1405" i="17"/>
  <c r="Z1405" i="17"/>
  <c r="P1405" i="17"/>
  <c r="AR1405" i="17"/>
  <c r="AF1405" i="17"/>
  <c r="R1405" i="17"/>
  <c r="AQ1405" i="17"/>
  <c r="AE1405" i="17"/>
  <c r="O1405" i="17"/>
  <c r="AI1405" i="17"/>
  <c r="S1405" i="17"/>
  <c r="AH1405" i="17"/>
  <c r="L1405" i="17"/>
  <c r="Y1405" i="17"/>
  <c r="X1405" i="17"/>
  <c r="AO1405" i="17"/>
  <c r="AL1415" i="17"/>
  <c r="AD1415" i="17"/>
  <c r="V1415" i="17"/>
  <c r="N1415" i="17"/>
  <c r="AK1415" i="17"/>
  <c r="AC1415" i="17"/>
  <c r="U1415" i="17"/>
  <c r="M1415" i="17"/>
  <c r="AN1415" i="17"/>
  <c r="AB1415" i="17"/>
  <c r="R1415" i="17"/>
  <c r="AM1415" i="17"/>
  <c r="AA1415" i="17"/>
  <c r="Q1415" i="17"/>
  <c r="AG1415" i="17"/>
  <c r="S1415" i="17"/>
  <c r="AR1415" i="17"/>
  <c r="AF1415" i="17"/>
  <c r="P1415" i="17"/>
  <c r="AP1415" i="17"/>
  <c r="X1415" i="17"/>
  <c r="AO1415" i="17"/>
  <c r="W1415" i="17"/>
  <c r="T1415" i="17"/>
  <c r="AQ1415" i="17"/>
  <c r="O1415" i="17"/>
  <c r="AI1415" i="17"/>
  <c r="AL1433" i="17"/>
  <c r="AD1433" i="17"/>
  <c r="V1433" i="17"/>
  <c r="N1433" i="17"/>
  <c r="AK1433" i="17"/>
  <c r="AC1433" i="17"/>
  <c r="U1433" i="17"/>
  <c r="M1433" i="17"/>
  <c r="AM1433" i="17"/>
  <c r="AA1433" i="17"/>
  <c r="Q1433" i="17"/>
  <c r="AJ1433" i="17"/>
  <c r="Z1433" i="17"/>
  <c r="P1433" i="17"/>
  <c r="AR1433" i="17"/>
  <c r="AF1433" i="17"/>
  <c r="R1433" i="17"/>
  <c r="AQ1433" i="17"/>
  <c r="AE1433" i="17"/>
  <c r="O1433" i="17"/>
  <c r="AN1433" i="17"/>
  <c r="T1433" i="17"/>
  <c r="AI1433" i="17"/>
  <c r="S1433" i="17"/>
  <c r="W1433" i="17"/>
  <c r="AP1433" i="17"/>
  <c r="L1433" i="17"/>
  <c r="AO1433" i="17"/>
  <c r="AL1449" i="17"/>
  <c r="AD1449" i="17"/>
  <c r="V1449" i="17"/>
  <c r="N1449" i="17"/>
  <c r="AK1449" i="17"/>
  <c r="AC1449" i="17"/>
  <c r="U1449" i="17"/>
  <c r="M1449" i="17"/>
  <c r="AR1449" i="17"/>
  <c r="AH1449" i="17"/>
  <c r="X1449" i="17"/>
  <c r="L1449" i="17"/>
  <c r="AQ1449" i="17"/>
  <c r="AG1449" i="17"/>
  <c r="W1449" i="17"/>
  <c r="K1449" i="17"/>
  <c r="AF1449" i="17"/>
  <c r="R1449" i="17"/>
  <c r="AE1449" i="17"/>
  <c r="Q1449" i="17"/>
  <c r="AJ1449" i="17"/>
  <c r="P1449" i="17"/>
  <c r="AI1449" i="17"/>
  <c r="O1449" i="17"/>
  <c r="AO1449" i="17"/>
  <c r="S1449" i="17"/>
  <c r="AN1449" i="17"/>
  <c r="J1449" i="17"/>
  <c r="L1467" i="17"/>
  <c r="AL1473" i="17"/>
  <c r="AD1473" i="17"/>
  <c r="V1473" i="17"/>
  <c r="N1473" i="17"/>
  <c r="AK1473" i="17"/>
  <c r="AC1473" i="17"/>
  <c r="U1473" i="17"/>
  <c r="M1473" i="17"/>
  <c r="AJ1473" i="17"/>
  <c r="Z1473" i="17"/>
  <c r="P1473" i="17"/>
  <c r="AI1473" i="17"/>
  <c r="Y1473" i="17"/>
  <c r="O1473" i="17"/>
  <c r="AR1473" i="17"/>
  <c r="AF1473" i="17"/>
  <c r="R1473" i="17"/>
  <c r="AQ1473" i="17"/>
  <c r="AE1473" i="17"/>
  <c r="Q1473" i="17"/>
  <c r="AP1473" i="17"/>
  <c r="X1473" i="17"/>
  <c r="AO1473" i="17"/>
  <c r="W1473" i="17"/>
  <c r="T1473" i="17"/>
  <c r="S1473" i="17"/>
  <c r="AM1473" i="17"/>
  <c r="S1491" i="17"/>
  <c r="J1499" i="17"/>
  <c r="P1547" i="17"/>
  <c r="R1551" i="17"/>
  <c r="AL1571" i="17"/>
  <c r="AD1571" i="17"/>
  <c r="V1571" i="17"/>
  <c r="N1571" i="17"/>
  <c r="AK1571" i="17"/>
  <c r="AC1571" i="17"/>
  <c r="U1571" i="17"/>
  <c r="M1571" i="17"/>
  <c r="AR1571" i="17"/>
  <c r="AH1571" i="17"/>
  <c r="X1571" i="17"/>
  <c r="L1571" i="17"/>
  <c r="AQ1571" i="17"/>
  <c r="AG1571" i="17"/>
  <c r="W1571" i="17"/>
  <c r="K1571" i="17"/>
  <c r="AO1571" i="17"/>
  <c r="AA1571" i="17"/>
  <c r="O1571" i="17"/>
  <c r="AN1571" i="17"/>
  <c r="Z1571" i="17"/>
  <c r="J1571" i="17"/>
  <c r="AJ1571" i="17"/>
  <c r="R1571" i="17"/>
  <c r="AI1571" i="17"/>
  <c r="Q1571" i="17"/>
  <c r="AF1571" i="17"/>
  <c r="AE1571" i="17"/>
  <c r="AB1571" i="17"/>
  <c r="J1573" i="17"/>
  <c r="P1611" i="17"/>
  <c r="R1615" i="17"/>
  <c r="Y1626" i="17"/>
  <c r="AK1674" i="17"/>
  <c r="AC1674" i="17"/>
  <c r="U1674" i="17"/>
  <c r="M1674" i="17"/>
  <c r="AR1674" i="17"/>
  <c r="AJ1674" i="17"/>
  <c r="AB1674" i="17"/>
  <c r="T1674" i="17"/>
  <c r="L1674" i="17"/>
  <c r="AM1674" i="17"/>
  <c r="AA1674" i="17"/>
  <c r="Q1674" i="17"/>
  <c r="AL1674" i="17"/>
  <c r="Z1674" i="17"/>
  <c r="P1674" i="17"/>
  <c r="AH1674" i="17"/>
  <c r="V1674" i="17"/>
  <c r="AG1674" i="17"/>
  <c r="S1674" i="17"/>
  <c r="AE1674" i="17"/>
  <c r="K1674" i="17"/>
  <c r="AD1674" i="17"/>
  <c r="J1674" i="17"/>
  <c r="AF1674" i="17"/>
  <c r="Y1674" i="17"/>
  <c r="R1674" i="17"/>
  <c r="AQ1674" i="17"/>
  <c r="O1674" i="17"/>
  <c r="AP1674" i="17"/>
  <c r="N1674" i="17"/>
  <c r="AL1732" i="17"/>
  <c r="AD1732" i="17"/>
  <c r="V1732" i="17"/>
  <c r="N1732" i="17"/>
  <c r="AK1732" i="17"/>
  <c r="AC1732" i="17"/>
  <c r="U1732" i="17"/>
  <c r="M1732" i="17"/>
  <c r="AM1732" i="17"/>
  <c r="AA1732" i="17"/>
  <c r="Q1732" i="17"/>
  <c r="AJ1732" i="17"/>
  <c r="Z1732" i="17"/>
  <c r="P1732" i="17"/>
  <c r="AO1732" i="17"/>
  <c r="Y1732" i="17"/>
  <c r="K1732" i="17"/>
  <c r="AN1732" i="17"/>
  <c r="X1732" i="17"/>
  <c r="J1732" i="17"/>
  <c r="AR1732" i="17"/>
  <c r="AB1732" i="17"/>
  <c r="AQ1732" i="17"/>
  <c r="W1732" i="17"/>
  <c r="AE1732" i="17"/>
  <c r="T1732" i="17"/>
  <c r="S1732" i="17"/>
  <c r="R1732" i="17"/>
  <c r="AI1732" i="17"/>
  <c r="AH1732" i="17"/>
  <c r="AG1732" i="17"/>
  <c r="AG1748" i="17"/>
  <c r="R1802" i="17"/>
  <c r="AL1816" i="17"/>
  <c r="AD1816" i="17"/>
  <c r="V1816" i="17"/>
  <c r="N1816" i="17"/>
  <c r="AK1816" i="17"/>
  <c r="AC1816" i="17"/>
  <c r="U1816" i="17"/>
  <c r="M1816" i="17"/>
  <c r="AI1816" i="17"/>
  <c r="Y1816" i="17"/>
  <c r="O1816" i="17"/>
  <c r="AR1816" i="17"/>
  <c r="AH1816" i="17"/>
  <c r="X1816" i="17"/>
  <c r="L1816" i="17"/>
  <c r="AG1816" i="17"/>
  <c r="S1816" i="17"/>
  <c r="AF1816" i="17"/>
  <c r="R1816" i="17"/>
  <c r="AP1816" i="17"/>
  <c r="Z1816" i="17"/>
  <c r="AO1816" i="17"/>
  <c r="W1816" i="17"/>
  <c r="AQ1816" i="17"/>
  <c r="Q1816" i="17"/>
  <c r="AN1816" i="17"/>
  <c r="P1816" i="17"/>
  <c r="AE1816" i="17"/>
  <c r="AB1816" i="17"/>
  <c r="AA1816" i="17"/>
  <c r="T1816" i="17"/>
  <c r="K1816" i="17"/>
  <c r="J1872" i="17"/>
  <c r="AK1890" i="17"/>
  <c r="K1926" i="17"/>
  <c r="V1952" i="17"/>
  <c r="AM784" i="17"/>
  <c r="AE784" i="17"/>
  <c r="W784" i="17"/>
  <c r="O784" i="17"/>
  <c r="AL784" i="17"/>
  <c r="AC784" i="17"/>
  <c r="T784" i="17"/>
  <c r="K784" i="17"/>
  <c r="AK784" i="17"/>
  <c r="AB784" i="17"/>
  <c r="S784" i="17"/>
  <c r="J784" i="17"/>
  <c r="AP784" i="17"/>
  <c r="AD784" i="17"/>
  <c r="Q784" i="17"/>
  <c r="AO784" i="17"/>
  <c r="AA784" i="17"/>
  <c r="P784" i="17"/>
  <c r="Y784" i="17"/>
  <c r="AQ784" i="17"/>
  <c r="AQ789" i="17"/>
  <c r="AI789" i="17"/>
  <c r="AA789" i="17"/>
  <c r="S789" i="17"/>
  <c r="K789" i="17"/>
  <c r="AO789" i="17"/>
  <c r="AF789" i="17"/>
  <c r="W789" i="17"/>
  <c r="N789" i="17"/>
  <c r="AN789" i="17"/>
  <c r="AE789" i="17"/>
  <c r="V789" i="17"/>
  <c r="M789" i="17"/>
  <c r="AG789" i="17"/>
  <c r="T789" i="17"/>
  <c r="AR789" i="17"/>
  <c r="AD789" i="17"/>
  <c r="R789" i="17"/>
  <c r="Y789" i="17"/>
  <c r="AM789" i="17"/>
  <c r="AM804" i="17"/>
  <c r="AE804" i="17"/>
  <c r="W804" i="17"/>
  <c r="O804" i="17"/>
  <c r="AO804" i="17"/>
  <c r="AF804" i="17"/>
  <c r="V804" i="17"/>
  <c r="M804" i="17"/>
  <c r="AN804" i="17"/>
  <c r="AD804" i="17"/>
  <c r="U804" i="17"/>
  <c r="L804" i="17"/>
  <c r="AJ804" i="17"/>
  <c r="Y804" i="17"/>
  <c r="K804" i="17"/>
  <c r="AI804" i="17"/>
  <c r="X804" i="17"/>
  <c r="J804" i="17"/>
  <c r="AA804" i="17"/>
  <c r="AQ804" i="17"/>
  <c r="AQ809" i="17"/>
  <c r="AI809" i="17"/>
  <c r="AA809" i="17"/>
  <c r="S809" i="17"/>
  <c r="K809" i="17"/>
  <c r="AR809" i="17"/>
  <c r="AH809" i="17"/>
  <c r="Y809" i="17"/>
  <c r="P809" i="17"/>
  <c r="AP809" i="17"/>
  <c r="AG809" i="17"/>
  <c r="X809" i="17"/>
  <c r="O809" i="17"/>
  <c r="AM809" i="17"/>
  <c r="AB809" i="17"/>
  <c r="N809" i="17"/>
  <c r="AL809" i="17"/>
  <c r="Z809" i="17"/>
  <c r="M809" i="17"/>
  <c r="W809" i="17"/>
  <c r="AO809" i="17"/>
  <c r="AM822" i="17"/>
  <c r="AE822" i="17"/>
  <c r="W822" i="17"/>
  <c r="O822" i="17"/>
  <c r="AP822" i="17"/>
  <c r="AG822" i="17"/>
  <c r="X822" i="17"/>
  <c r="N822" i="17"/>
  <c r="AO822" i="17"/>
  <c r="AF822" i="17"/>
  <c r="V822" i="17"/>
  <c r="M822" i="17"/>
  <c r="AQ822" i="17"/>
  <c r="AC822" i="17"/>
  <c r="R822" i="17"/>
  <c r="AN822" i="17"/>
  <c r="AB822" i="17"/>
  <c r="Q822" i="17"/>
  <c r="Y822" i="17"/>
  <c r="AL822" i="17"/>
  <c r="AM834" i="17"/>
  <c r="AE834" i="17"/>
  <c r="W834" i="17"/>
  <c r="O834" i="17"/>
  <c r="AN834" i="17"/>
  <c r="AD834" i="17"/>
  <c r="U834" i="17"/>
  <c r="L834" i="17"/>
  <c r="AL834" i="17"/>
  <c r="AC834" i="17"/>
  <c r="T834" i="17"/>
  <c r="K834" i="17"/>
  <c r="AR834" i="17"/>
  <c r="AG834" i="17"/>
  <c r="S834" i="17"/>
  <c r="AQ834" i="17"/>
  <c r="AF834" i="17"/>
  <c r="R834" i="17"/>
  <c r="Y834" i="17"/>
  <c r="AO834" i="17"/>
  <c r="AM854" i="17"/>
  <c r="AE854" i="17"/>
  <c r="W854" i="17"/>
  <c r="O854" i="17"/>
  <c r="AP854" i="17"/>
  <c r="AG854" i="17"/>
  <c r="X854" i="17"/>
  <c r="N854" i="17"/>
  <c r="AO854" i="17"/>
  <c r="AF854" i="17"/>
  <c r="V854" i="17"/>
  <c r="M854" i="17"/>
  <c r="AL854" i="17"/>
  <c r="AA854" i="17"/>
  <c r="P854" i="17"/>
  <c r="AK854" i="17"/>
  <c r="Z854" i="17"/>
  <c r="L854" i="17"/>
  <c r="Y854" i="17"/>
  <c r="AQ854" i="17"/>
  <c r="AQ859" i="17"/>
  <c r="AI859" i="17"/>
  <c r="AA859" i="17"/>
  <c r="S859" i="17"/>
  <c r="K859" i="17"/>
  <c r="AJ859" i="17"/>
  <c r="Z859" i="17"/>
  <c r="Q859" i="17"/>
  <c r="AR859" i="17"/>
  <c r="AH859" i="17"/>
  <c r="Y859" i="17"/>
  <c r="P859" i="17"/>
  <c r="AO859" i="17"/>
  <c r="AD859" i="17"/>
  <c r="R859" i="17"/>
  <c r="AN859" i="17"/>
  <c r="AC859" i="17"/>
  <c r="O859" i="17"/>
  <c r="W859" i="17"/>
  <c r="AM859" i="17"/>
  <c r="AM886" i="17"/>
  <c r="AE886" i="17"/>
  <c r="W886" i="17"/>
  <c r="O886" i="17"/>
  <c r="AP886" i="17"/>
  <c r="AG886" i="17"/>
  <c r="X886" i="17"/>
  <c r="N886" i="17"/>
  <c r="AO886" i="17"/>
  <c r="AF886" i="17"/>
  <c r="V886" i="17"/>
  <c r="M886" i="17"/>
  <c r="AJ886" i="17"/>
  <c r="Y886" i="17"/>
  <c r="K886" i="17"/>
  <c r="AI886" i="17"/>
  <c r="U886" i="17"/>
  <c r="J886" i="17"/>
  <c r="AA886" i="17"/>
  <c r="AQ886" i="17"/>
  <c r="AQ891" i="17"/>
  <c r="AI891" i="17"/>
  <c r="AA891" i="17"/>
  <c r="S891" i="17"/>
  <c r="K891" i="17"/>
  <c r="AJ891" i="17"/>
  <c r="Z891" i="17"/>
  <c r="Q891" i="17"/>
  <c r="AR891" i="17"/>
  <c r="AH891" i="17"/>
  <c r="Y891" i="17"/>
  <c r="P891" i="17"/>
  <c r="AM891" i="17"/>
  <c r="AB891" i="17"/>
  <c r="N891" i="17"/>
  <c r="AL891" i="17"/>
  <c r="X891" i="17"/>
  <c r="M891" i="17"/>
  <c r="W891" i="17"/>
  <c r="AO891" i="17"/>
  <c r="J898" i="17"/>
  <c r="AB898" i="17"/>
  <c r="AR898" i="17"/>
  <c r="J903" i="17"/>
  <c r="Z903" i="17"/>
  <c r="AM904" i="17"/>
  <c r="AE904" i="17"/>
  <c r="W904" i="17"/>
  <c r="O904" i="17"/>
  <c r="AQ904" i="17"/>
  <c r="AH904" i="17"/>
  <c r="Y904" i="17"/>
  <c r="P904" i="17"/>
  <c r="AP904" i="17"/>
  <c r="AG904" i="17"/>
  <c r="X904" i="17"/>
  <c r="N904" i="17"/>
  <c r="AO904" i="17"/>
  <c r="AC904" i="17"/>
  <c r="R904" i="17"/>
  <c r="AN904" i="17"/>
  <c r="AB904" i="17"/>
  <c r="Q904" i="17"/>
  <c r="V904" i="17"/>
  <c r="AL904" i="17"/>
  <c r="J916" i="17"/>
  <c r="Z916" i="17"/>
  <c r="AP916" i="17"/>
  <c r="AM944" i="17"/>
  <c r="AE944" i="17"/>
  <c r="W944" i="17"/>
  <c r="O944" i="17"/>
  <c r="AL944" i="17"/>
  <c r="AC944" i="17"/>
  <c r="T944" i="17"/>
  <c r="K944" i="17"/>
  <c r="AK944" i="17"/>
  <c r="AB944" i="17"/>
  <c r="S944" i="17"/>
  <c r="J944" i="17"/>
  <c r="AN944" i="17"/>
  <c r="Z944" i="17"/>
  <c r="N944" i="17"/>
  <c r="AJ944" i="17"/>
  <c r="Y944" i="17"/>
  <c r="M944" i="17"/>
  <c r="AA944" i="17"/>
  <c r="AQ944" i="17"/>
  <c r="AQ949" i="17"/>
  <c r="AI949" i="17"/>
  <c r="AA949" i="17"/>
  <c r="S949" i="17"/>
  <c r="K949" i="17"/>
  <c r="AO949" i="17"/>
  <c r="AF949" i="17"/>
  <c r="W949" i="17"/>
  <c r="N949" i="17"/>
  <c r="AN949" i="17"/>
  <c r="AE949" i="17"/>
  <c r="V949" i="17"/>
  <c r="M949" i="17"/>
  <c r="AP949" i="17"/>
  <c r="AC949" i="17"/>
  <c r="Q949" i="17"/>
  <c r="AM949" i="17"/>
  <c r="AB949" i="17"/>
  <c r="P949" i="17"/>
  <c r="Y949" i="17"/>
  <c r="AR949" i="17"/>
  <c r="AQ961" i="17"/>
  <c r="AI961" i="17"/>
  <c r="AA961" i="17"/>
  <c r="S961" i="17"/>
  <c r="K961" i="17"/>
  <c r="AM961" i="17"/>
  <c r="AD961" i="17"/>
  <c r="U961" i="17"/>
  <c r="L961" i="17"/>
  <c r="AL961" i="17"/>
  <c r="AC961" i="17"/>
  <c r="T961" i="17"/>
  <c r="J961" i="17"/>
  <c r="AR961" i="17"/>
  <c r="AF961" i="17"/>
  <c r="R961" i="17"/>
  <c r="AP961" i="17"/>
  <c r="AE961" i="17"/>
  <c r="Q961" i="17"/>
  <c r="Y961" i="17"/>
  <c r="AO961" i="17"/>
  <c r="AM970" i="17"/>
  <c r="AE970" i="17"/>
  <c r="W970" i="17"/>
  <c r="O970" i="17"/>
  <c r="AR970" i="17"/>
  <c r="AI970" i="17"/>
  <c r="Z970" i="17"/>
  <c r="Q970" i="17"/>
  <c r="AQ970" i="17"/>
  <c r="AH970" i="17"/>
  <c r="Y970" i="17"/>
  <c r="P970" i="17"/>
  <c r="AK970" i="17"/>
  <c r="X970" i="17"/>
  <c r="L970" i="17"/>
  <c r="AJ970" i="17"/>
  <c r="V970" i="17"/>
  <c r="K970" i="17"/>
  <c r="AA970" i="17"/>
  <c r="AO970" i="17"/>
  <c r="AQ981" i="17"/>
  <c r="AI981" i="17"/>
  <c r="AA981" i="17"/>
  <c r="S981" i="17"/>
  <c r="K981" i="17"/>
  <c r="AO981" i="17"/>
  <c r="AF981" i="17"/>
  <c r="W981" i="17"/>
  <c r="N981" i="17"/>
  <c r="AN981" i="17"/>
  <c r="AE981" i="17"/>
  <c r="V981" i="17"/>
  <c r="M981" i="17"/>
  <c r="AL981" i="17"/>
  <c r="Z981" i="17"/>
  <c r="O981" i="17"/>
  <c r="AK981" i="17"/>
  <c r="Y981" i="17"/>
  <c r="L981" i="17"/>
  <c r="AB981" i="17"/>
  <c r="AR981" i="17"/>
  <c r="J986" i="17"/>
  <c r="X986" i="17"/>
  <c r="AP986" i="17"/>
  <c r="AM994" i="17"/>
  <c r="AE994" i="17"/>
  <c r="W994" i="17"/>
  <c r="O994" i="17"/>
  <c r="AN994" i="17"/>
  <c r="AD994" i="17"/>
  <c r="U994" i="17"/>
  <c r="L994" i="17"/>
  <c r="AL994" i="17"/>
  <c r="AC994" i="17"/>
  <c r="T994" i="17"/>
  <c r="K994" i="17"/>
  <c r="AP994" i="17"/>
  <c r="AB994" i="17"/>
  <c r="Q994" i="17"/>
  <c r="AO994" i="17"/>
  <c r="AA994" i="17"/>
  <c r="P994" i="17"/>
  <c r="Y994" i="17"/>
  <c r="AQ994" i="17"/>
  <c r="AQ999" i="17"/>
  <c r="AI999" i="17"/>
  <c r="AA999" i="17"/>
  <c r="S999" i="17"/>
  <c r="K999" i="17"/>
  <c r="AP999" i="17"/>
  <c r="AG999" i="17"/>
  <c r="X999" i="17"/>
  <c r="O999" i="17"/>
  <c r="AO999" i="17"/>
  <c r="AF999" i="17"/>
  <c r="W999" i="17"/>
  <c r="N999" i="17"/>
  <c r="AE999" i="17"/>
  <c r="T999" i="17"/>
  <c r="AR999" i="17"/>
  <c r="AD999" i="17"/>
  <c r="R999" i="17"/>
  <c r="Y999" i="17"/>
  <c r="AM999" i="17"/>
  <c r="AM1026" i="17"/>
  <c r="AE1026" i="17"/>
  <c r="W1026" i="17"/>
  <c r="O1026" i="17"/>
  <c r="AN1026" i="17"/>
  <c r="AD1026" i="17"/>
  <c r="U1026" i="17"/>
  <c r="L1026" i="17"/>
  <c r="AL1026" i="17"/>
  <c r="AC1026" i="17"/>
  <c r="T1026" i="17"/>
  <c r="K1026" i="17"/>
  <c r="AK1026" i="17"/>
  <c r="Z1026" i="17"/>
  <c r="N1026" i="17"/>
  <c r="AJ1026" i="17"/>
  <c r="Y1026" i="17"/>
  <c r="M1026" i="17"/>
  <c r="AA1026" i="17"/>
  <c r="AQ1026" i="17"/>
  <c r="AQ1031" i="17"/>
  <c r="AI1031" i="17"/>
  <c r="AA1031" i="17"/>
  <c r="S1031" i="17"/>
  <c r="K1031" i="17"/>
  <c r="AP1031" i="17"/>
  <c r="AG1031" i="17"/>
  <c r="X1031" i="17"/>
  <c r="O1031" i="17"/>
  <c r="AO1031" i="17"/>
  <c r="AF1031" i="17"/>
  <c r="W1031" i="17"/>
  <c r="N1031" i="17"/>
  <c r="AN1031" i="17"/>
  <c r="AC1031" i="17"/>
  <c r="Q1031" i="17"/>
  <c r="AM1031" i="17"/>
  <c r="AB1031" i="17"/>
  <c r="P1031" i="17"/>
  <c r="Y1031" i="17"/>
  <c r="AR1031" i="17"/>
  <c r="J1043" i="17"/>
  <c r="AC1043" i="17"/>
  <c r="AB1046" i="17"/>
  <c r="AN1066" i="17"/>
  <c r="AF1066" i="17"/>
  <c r="X1066" i="17"/>
  <c r="P1066" i="17"/>
  <c r="AM1066" i="17"/>
  <c r="AE1066" i="17"/>
  <c r="W1066" i="17"/>
  <c r="O1066" i="17"/>
  <c r="AK1066" i="17"/>
  <c r="AA1066" i="17"/>
  <c r="Q1066" i="17"/>
  <c r="AJ1066" i="17"/>
  <c r="Z1066" i="17"/>
  <c r="N1066" i="17"/>
  <c r="AR1066" i="17"/>
  <c r="AD1066" i="17"/>
  <c r="R1066" i="17"/>
  <c r="AQ1066" i="17"/>
  <c r="AC1066" i="17"/>
  <c r="M1066" i="17"/>
  <c r="Y1066" i="17"/>
  <c r="AR1067" i="17"/>
  <c r="AJ1067" i="17"/>
  <c r="AB1067" i="17"/>
  <c r="T1067" i="17"/>
  <c r="L1067" i="17"/>
  <c r="AQ1067" i="17"/>
  <c r="AI1067" i="17"/>
  <c r="AA1067" i="17"/>
  <c r="S1067" i="17"/>
  <c r="K1067" i="17"/>
  <c r="AG1067" i="17"/>
  <c r="W1067" i="17"/>
  <c r="M1067" i="17"/>
  <c r="AP1067" i="17"/>
  <c r="AF1067" i="17"/>
  <c r="V1067" i="17"/>
  <c r="J1067" i="17"/>
  <c r="AL1067" i="17"/>
  <c r="X1067" i="17"/>
  <c r="AK1067" i="17"/>
  <c r="U1067" i="17"/>
  <c r="AC1067" i="17"/>
  <c r="AR1069" i="17"/>
  <c r="AJ1069" i="17"/>
  <c r="AB1069" i="17"/>
  <c r="T1069" i="17"/>
  <c r="L1069" i="17"/>
  <c r="AQ1069" i="17"/>
  <c r="AI1069" i="17"/>
  <c r="AA1069" i="17"/>
  <c r="S1069" i="17"/>
  <c r="K1069" i="17"/>
  <c r="AK1069" i="17"/>
  <c r="Y1069" i="17"/>
  <c r="O1069" i="17"/>
  <c r="AH1069" i="17"/>
  <c r="X1069" i="17"/>
  <c r="N1069" i="17"/>
  <c r="AP1069" i="17"/>
  <c r="AD1069" i="17"/>
  <c r="P1069" i="17"/>
  <c r="AO1069" i="17"/>
  <c r="AC1069" i="17"/>
  <c r="M1069" i="17"/>
  <c r="AE1069" i="17"/>
  <c r="J1087" i="17"/>
  <c r="AD1087" i="17"/>
  <c r="J1088" i="17"/>
  <c r="AD1088" i="17"/>
  <c r="AN1104" i="17"/>
  <c r="AF1104" i="17"/>
  <c r="X1104" i="17"/>
  <c r="P1104" i="17"/>
  <c r="AM1104" i="17"/>
  <c r="AE1104" i="17"/>
  <c r="W1104" i="17"/>
  <c r="O1104" i="17"/>
  <c r="AI1104" i="17"/>
  <c r="Y1104" i="17"/>
  <c r="M1104" i="17"/>
  <c r="AR1104" i="17"/>
  <c r="AH1104" i="17"/>
  <c r="V1104" i="17"/>
  <c r="L1104" i="17"/>
  <c r="AJ1104" i="17"/>
  <c r="T1104" i="17"/>
  <c r="AG1104" i="17"/>
  <c r="S1104" i="17"/>
  <c r="AA1104" i="17"/>
  <c r="AQ1104" i="17"/>
  <c r="AN1106" i="17"/>
  <c r="AF1106" i="17"/>
  <c r="X1106" i="17"/>
  <c r="P1106" i="17"/>
  <c r="AM1106" i="17"/>
  <c r="AE1106" i="17"/>
  <c r="W1106" i="17"/>
  <c r="O1106" i="17"/>
  <c r="AK1106" i="17"/>
  <c r="AA1106" i="17"/>
  <c r="Q1106" i="17"/>
  <c r="AJ1106" i="17"/>
  <c r="Z1106" i="17"/>
  <c r="N1106" i="17"/>
  <c r="AP1106" i="17"/>
  <c r="AB1106" i="17"/>
  <c r="L1106" i="17"/>
  <c r="AO1106" i="17"/>
  <c r="Y1106" i="17"/>
  <c r="K1106" i="17"/>
  <c r="AC1106" i="17"/>
  <c r="AR1107" i="17"/>
  <c r="AJ1107" i="17"/>
  <c r="AB1107" i="17"/>
  <c r="T1107" i="17"/>
  <c r="L1107" i="17"/>
  <c r="AQ1107" i="17"/>
  <c r="AI1107" i="17"/>
  <c r="AA1107" i="17"/>
  <c r="S1107" i="17"/>
  <c r="K1107" i="17"/>
  <c r="AG1107" i="17"/>
  <c r="W1107" i="17"/>
  <c r="M1107" i="17"/>
  <c r="AP1107" i="17"/>
  <c r="AF1107" i="17"/>
  <c r="V1107" i="17"/>
  <c r="J1107" i="17"/>
  <c r="AH1107" i="17"/>
  <c r="R1107" i="17"/>
  <c r="AE1107" i="17"/>
  <c r="Q1107" i="17"/>
  <c r="AC1107" i="17"/>
  <c r="L1110" i="17"/>
  <c r="AB1110" i="17"/>
  <c r="AN1130" i="17"/>
  <c r="AF1130" i="17"/>
  <c r="X1130" i="17"/>
  <c r="P1130" i="17"/>
  <c r="AM1130" i="17"/>
  <c r="AE1130" i="17"/>
  <c r="W1130" i="17"/>
  <c r="O1130" i="17"/>
  <c r="AK1130" i="17"/>
  <c r="AA1130" i="17"/>
  <c r="Q1130" i="17"/>
  <c r="AJ1130" i="17"/>
  <c r="Z1130" i="17"/>
  <c r="N1130" i="17"/>
  <c r="AR1130" i="17"/>
  <c r="AD1130" i="17"/>
  <c r="R1130" i="17"/>
  <c r="AQ1130" i="17"/>
  <c r="AC1130" i="17"/>
  <c r="M1130" i="17"/>
  <c r="Y1130" i="17"/>
  <c r="AR1131" i="17"/>
  <c r="AJ1131" i="17"/>
  <c r="AB1131" i="17"/>
  <c r="T1131" i="17"/>
  <c r="L1131" i="17"/>
  <c r="AQ1131" i="17"/>
  <c r="AI1131" i="17"/>
  <c r="AA1131" i="17"/>
  <c r="S1131" i="17"/>
  <c r="K1131" i="17"/>
  <c r="AG1131" i="17"/>
  <c r="W1131" i="17"/>
  <c r="M1131" i="17"/>
  <c r="AP1131" i="17"/>
  <c r="AF1131" i="17"/>
  <c r="V1131" i="17"/>
  <c r="J1131" i="17"/>
  <c r="AL1131" i="17"/>
  <c r="X1131" i="17"/>
  <c r="AK1131" i="17"/>
  <c r="U1131" i="17"/>
  <c r="AC1131" i="17"/>
  <c r="AR1133" i="17"/>
  <c r="AJ1133" i="17"/>
  <c r="AB1133" i="17"/>
  <c r="T1133" i="17"/>
  <c r="L1133" i="17"/>
  <c r="AQ1133" i="17"/>
  <c r="AI1133" i="17"/>
  <c r="AA1133" i="17"/>
  <c r="S1133" i="17"/>
  <c r="K1133" i="17"/>
  <c r="AK1133" i="17"/>
  <c r="Y1133" i="17"/>
  <c r="O1133" i="17"/>
  <c r="AH1133" i="17"/>
  <c r="X1133" i="17"/>
  <c r="N1133" i="17"/>
  <c r="AP1133" i="17"/>
  <c r="AD1133" i="17"/>
  <c r="P1133" i="17"/>
  <c r="AO1133" i="17"/>
  <c r="AC1133" i="17"/>
  <c r="M1133" i="17"/>
  <c r="AE1133" i="17"/>
  <c r="AN1168" i="17"/>
  <c r="AF1168" i="17"/>
  <c r="X1168" i="17"/>
  <c r="P1168" i="17"/>
  <c r="AM1168" i="17"/>
  <c r="AE1168" i="17"/>
  <c r="W1168" i="17"/>
  <c r="O1168" i="17"/>
  <c r="AI1168" i="17"/>
  <c r="Y1168" i="17"/>
  <c r="M1168" i="17"/>
  <c r="AR1168" i="17"/>
  <c r="AH1168" i="17"/>
  <c r="V1168" i="17"/>
  <c r="L1168" i="17"/>
  <c r="AJ1168" i="17"/>
  <c r="T1168" i="17"/>
  <c r="AG1168" i="17"/>
  <c r="S1168" i="17"/>
  <c r="AA1168" i="17"/>
  <c r="AQ1168" i="17"/>
  <c r="AN1170" i="17"/>
  <c r="AF1170" i="17"/>
  <c r="X1170" i="17"/>
  <c r="P1170" i="17"/>
  <c r="AM1170" i="17"/>
  <c r="AE1170" i="17"/>
  <c r="W1170" i="17"/>
  <c r="O1170" i="17"/>
  <c r="AK1170" i="17"/>
  <c r="AA1170" i="17"/>
  <c r="Q1170" i="17"/>
  <c r="AJ1170" i="17"/>
  <c r="Z1170" i="17"/>
  <c r="N1170" i="17"/>
  <c r="AP1170" i="17"/>
  <c r="AB1170" i="17"/>
  <c r="L1170" i="17"/>
  <c r="AO1170" i="17"/>
  <c r="Y1170" i="17"/>
  <c r="K1170" i="17"/>
  <c r="AC1170" i="17"/>
  <c r="AR1171" i="17"/>
  <c r="AJ1171" i="17"/>
  <c r="AB1171" i="17"/>
  <c r="T1171" i="17"/>
  <c r="L1171" i="17"/>
  <c r="AQ1171" i="17"/>
  <c r="AI1171" i="17"/>
  <c r="AA1171" i="17"/>
  <c r="S1171" i="17"/>
  <c r="K1171" i="17"/>
  <c r="AG1171" i="17"/>
  <c r="W1171" i="17"/>
  <c r="M1171" i="17"/>
  <c r="AP1171" i="17"/>
  <c r="AF1171" i="17"/>
  <c r="V1171" i="17"/>
  <c r="J1171" i="17"/>
  <c r="AH1171" i="17"/>
  <c r="R1171" i="17"/>
  <c r="AE1171" i="17"/>
  <c r="Q1171" i="17"/>
  <c r="AC1171" i="17"/>
  <c r="AN1188" i="17"/>
  <c r="AF1188" i="17"/>
  <c r="X1188" i="17"/>
  <c r="P1188" i="17"/>
  <c r="AM1188" i="17"/>
  <c r="AE1188" i="17"/>
  <c r="W1188" i="17"/>
  <c r="O1188" i="17"/>
  <c r="AJ1188" i="17"/>
  <c r="Z1188" i="17"/>
  <c r="N1188" i="17"/>
  <c r="AI1188" i="17"/>
  <c r="Y1188" i="17"/>
  <c r="M1188" i="17"/>
  <c r="AP1188" i="17"/>
  <c r="AB1188" i="17"/>
  <c r="L1188" i="17"/>
  <c r="AO1188" i="17"/>
  <c r="AA1188" i="17"/>
  <c r="K1188" i="17"/>
  <c r="AG1188" i="17"/>
  <c r="Q1188" i="17"/>
  <c r="AD1188" i="17"/>
  <c r="J1188" i="17"/>
  <c r="AK1188" i="17"/>
  <c r="AR1199" i="17"/>
  <c r="AJ1199" i="17"/>
  <c r="AB1199" i="17"/>
  <c r="T1199" i="17"/>
  <c r="L1199" i="17"/>
  <c r="AQ1199" i="17"/>
  <c r="AI1199" i="17"/>
  <c r="AA1199" i="17"/>
  <c r="S1199" i="17"/>
  <c r="K1199" i="17"/>
  <c r="AH1199" i="17"/>
  <c r="X1199" i="17"/>
  <c r="N1199" i="17"/>
  <c r="AG1199" i="17"/>
  <c r="W1199" i="17"/>
  <c r="M1199" i="17"/>
  <c r="AE1199" i="17"/>
  <c r="Q1199" i="17"/>
  <c r="AP1199" i="17"/>
  <c r="AD1199" i="17"/>
  <c r="P1199" i="17"/>
  <c r="AK1199" i="17"/>
  <c r="O1199" i="17"/>
  <c r="AF1199" i="17"/>
  <c r="J1199" i="17"/>
  <c r="AM1199" i="17"/>
  <c r="AN1202" i="17"/>
  <c r="AF1202" i="17"/>
  <c r="X1202" i="17"/>
  <c r="P1202" i="17"/>
  <c r="AM1202" i="17"/>
  <c r="AE1202" i="17"/>
  <c r="W1202" i="17"/>
  <c r="O1202" i="17"/>
  <c r="AR1202" i="17"/>
  <c r="AH1202" i="17"/>
  <c r="V1202" i="17"/>
  <c r="L1202" i="17"/>
  <c r="AQ1202" i="17"/>
  <c r="AG1202" i="17"/>
  <c r="U1202" i="17"/>
  <c r="K1202" i="17"/>
  <c r="AP1202" i="17"/>
  <c r="AB1202" i="17"/>
  <c r="N1202" i="17"/>
  <c r="AO1202" i="17"/>
  <c r="AA1202" i="17"/>
  <c r="M1202" i="17"/>
  <c r="AI1202" i="17"/>
  <c r="Q1202" i="17"/>
  <c r="AD1202" i="17"/>
  <c r="J1202" i="17"/>
  <c r="AK1202" i="17"/>
  <c r="Q1204" i="17"/>
  <c r="AQ1204" i="17"/>
  <c r="AR1211" i="17"/>
  <c r="AJ1211" i="17"/>
  <c r="AB1211" i="17"/>
  <c r="T1211" i="17"/>
  <c r="L1211" i="17"/>
  <c r="AQ1211" i="17"/>
  <c r="AI1211" i="17"/>
  <c r="AA1211" i="17"/>
  <c r="S1211" i="17"/>
  <c r="K1211" i="17"/>
  <c r="AN1211" i="17"/>
  <c r="AD1211" i="17"/>
  <c r="R1211" i="17"/>
  <c r="AM1211" i="17"/>
  <c r="AC1211" i="17"/>
  <c r="Q1211" i="17"/>
  <c r="AP1211" i="17"/>
  <c r="Z1211" i="17"/>
  <c r="N1211" i="17"/>
  <c r="AO1211" i="17"/>
  <c r="Y1211" i="17"/>
  <c r="M1211" i="17"/>
  <c r="AH1211" i="17"/>
  <c r="P1211" i="17"/>
  <c r="AG1211" i="17"/>
  <c r="O1211" i="17"/>
  <c r="AK1211" i="17"/>
  <c r="M1226" i="17"/>
  <c r="AO1226" i="17"/>
  <c r="AN1260" i="17"/>
  <c r="AF1260" i="17"/>
  <c r="X1260" i="17"/>
  <c r="P1260" i="17"/>
  <c r="AM1260" i="17"/>
  <c r="AE1260" i="17"/>
  <c r="W1260" i="17"/>
  <c r="O1260" i="17"/>
  <c r="AJ1260" i="17"/>
  <c r="Z1260" i="17"/>
  <c r="N1260" i="17"/>
  <c r="AI1260" i="17"/>
  <c r="Y1260" i="17"/>
  <c r="M1260" i="17"/>
  <c r="AH1260" i="17"/>
  <c r="T1260" i="17"/>
  <c r="AG1260" i="17"/>
  <c r="S1260" i="17"/>
  <c r="AD1260" i="17"/>
  <c r="L1260" i="17"/>
  <c r="AC1260" i="17"/>
  <c r="K1260" i="17"/>
  <c r="AK1260" i="17"/>
  <c r="AN1278" i="17"/>
  <c r="AF1278" i="17"/>
  <c r="X1278" i="17"/>
  <c r="P1278" i="17"/>
  <c r="AM1278" i="17"/>
  <c r="AE1278" i="17"/>
  <c r="W1278" i="17"/>
  <c r="O1278" i="17"/>
  <c r="AL1278" i="17"/>
  <c r="AB1278" i="17"/>
  <c r="R1278" i="17"/>
  <c r="AK1278" i="17"/>
  <c r="AA1278" i="17"/>
  <c r="Q1278" i="17"/>
  <c r="AO1278" i="17"/>
  <c r="Y1278" i="17"/>
  <c r="K1278" i="17"/>
  <c r="AJ1278" i="17"/>
  <c r="V1278" i="17"/>
  <c r="J1278" i="17"/>
  <c r="AI1278" i="17"/>
  <c r="S1278" i="17"/>
  <c r="AH1278" i="17"/>
  <c r="N1278" i="17"/>
  <c r="AG1278" i="17"/>
  <c r="AR1281" i="17"/>
  <c r="AJ1281" i="17"/>
  <c r="AB1281" i="17"/>
  <c r="T1281" i="17"/>
  <c r="L1281" i="17"/>
  <c r="AQ1281" i="17"/>
  <c r="AI1281" i="17"/>
  <c r="AA1281" i="17"/>
  <c r="S1281" i="17"/>
  <c r="K1281" i="17"/>
  <c r="AL1281" i="17"/>
  <c r="Z1281" i="17"/>
  <c r="P1281" i="17"/>
  <c r="AK1281" i="17"/>
  <c r="Y1281" i="17"/>
  <c r="O1281" i="17"/>
  <c r="AH1281" i="17"/>
  <c r="V1281" i="17"/>
  <c r="AG1281" i="17"/>
  <c r="U1281" i="17"/>
  <c r="AM1281" i="17"/>
  <c r="Q1281" i="17"/>
  <c r="AF1281" i="17"/>
  <c r="N1281" i="17"/>
  <c r="AE1281" i="17"/>
  <c r="M1283" i="17"/>
  <c r="AK1283" i="17"/>
  <c r="J1290" i="17"/>
  <c r="AD1290" i="17"/>
  <c r="O1295" i="17"/>
  <c r="AM1295" i="17"/>
  <c r="Q1298" i="17"/>
  <c r="AK1298" i="17"/>
  <c r="Q1305" i="17"/>
  <c r="AN1306" i="17"/>
  <c r="AF1306" i="17"/>
  <c r="X1306" i="17"/>
  <c r="P1306" i="17"/>
  <c r="AM1306" i="17"/>
  <c r="AE1306" i="17"/>
  <c r="W1306" i="17"/>
  <c r="O1306" i="17"/>
  <c r="AR1306" i="17"/>
  <c r="AH1306" i="17"/>
  <c r="V1306" i="17"/>
  <c r="L1306" i="17"/>
  <c r="AQ1306" i="17"/>
  <c r="AG1306" i="17"/>
  <c r="U1306" i="17"/>
  <c r="K1306" i="17"/>
  <c r="AJ1306" i="17"/>
  <c r="T1306" i="17"/>
  <c r="AI1306" i="17"/>
  <c r="S1306" i="17"/>
  <c r="AP1306" i="17"/>
  <c r="Z1306" i="17"/>
  <c r="AO1306" i="17"/>
  <c r="Y1306" i="17"/>
  <c r="AC1306" i="17"/>
  <c r="O1315" i="17"/>
  <c r="AO1315" i="17"/>
  <c r="S1326" i="17"/>
  <c r="AQ1326" i="17"/>
  <c r="Q1329" i="17"/>
  <c r="AO1329" i="17"/>
  <c r="AN1332" i="17"/>
  <c r="AF1332" i="17"/>
  <c r="X1332" i="17"/>
  <c r="P1332" i="17"/>
  <c r="AM1332" i="17"/>
  <c r="AE1332" i="17"/>
  <c r="W1332" i="17"/>
  <c r="O1332" i="17"/>
  <c r="AJ1332" i="17"/>
  <c r="Z1332" i="17"/>
  <c r="N1332" i="17"/>
  <c r="AI1332" i="17"/>
  <c r="Y1332" i="17"/>
  <c r="M1332" i="17"/>
  <c r="AP1332" i="17"/>
  <c r="AB1332" i="17"/>
  <c r="L1332" i="17"/>
  <c r="AO1332" i="17"/>
  <c r="AA1332" i="17"/>
  <c r="K1332" i="17"/>
  <c r="AK1332" i="17"/>
  <c r="S1332" i="17"/>
  <c r="AH1332" i="17"/>
  <c r="R1332" i="17"/>
  <c r="AG1332" i="17"/>
  <c r="Q1338" i="17"/>
  <c r="AO1338" i="17"/>
  <c r="K1350" i="17"/>
  <c r="AI1350" i="17"/>
  <c r="U1353" i="17"/>
  <c r="AN1354" i="17"/>
  <c r="AF1354" i="17"/>
  <c r="X1354" i="17"/>
  <c r="P1354" i="17"/>
  <c r="AM1354" i="17"/>
  <c r="AE1354" i="17"/>
  <c r="W1354" i="17"/>
  <c r="O1354" i="17"/>
  <c r="AR1354" i="17"/>
  <c r="AH1354" i="17"/>
  <c r="V1354" i="17"/>
  <c r="L1354" i="17"/>
  <c r="AQ1354" i="17"/>
  <c r="AG1354" i="17"/>
  <c r="U1354" i="17"/>
  <c r="K1354" i="17"/>
  <c r="AJ1354" i="17"/>
  <c r="T1354" i="17"/>
  <c r="AI1354" i="17"/>
  <c r="S1354" i="17"/>
  <c r="AL1354" i="17"/>
  <c r="R1354" i="17"/>
  <c r="AK1354" i="17"/>
  <c r="Q1354" i="17"/>
  <c r="AC1354" i="17"/>
  <c r="K1356" i="17"/>
  <c r="AK1356" i="17"/>
  <c r="S1393" i="17"/>
  <c r="AL1399" i="17"/>
  <c r="AD1399" i="17"/>
  <c r="V1399" i="17"/>
  <c r="N1399" i="17"/>
  <c r="AK1399" i="17"/>
  <c r="AC1399" i="17"/>
  <c r="U1399" i="17"/>
  <c r="M1399" i="17"/>
  <c r="AN1399" i="17"/>
  <c r="AB1399" i="17"/>
  <c r="R1399" i="17"/>
  <c r="AM1399" i="17"/>
  <c r="AA1399" i="17"/>
  <c r="Q1399" i="17"/>
  <c r="AH1399" i="17"/>
  <c r="T1399" i="17"/>
  <c r="AG1399" i="17"/>
  <c r="S1399" i="17"/>
  <c r="AE1399" i="17"/>
  <c r="K1399" i="17"/>
  <c r="AR1399" i="17"/>
  <c r="Z1399" i="17"/>
  <c r="J1399" i="17"/>
  <c r="AF1399" i="17"/>
  <c r="Y1399" i="17"/>
  <c r="AO1399" i="17"/>
  <c r="J1405" i="17"/>
  <c r="AP1405" i="17"/>
  <c r="J1415" i="17"/>
  <c r="AJ1415" i="17"/>
  <c r="J1433" i="17"/>
  <c r="T1449" i="17"/>
  <c r="AL1453" i="17"/>
  <c r="AD1453" i="17"/>
  <c r="V1453" i="17"/>
  <c r="N1453" i="17"/>
  <c r="AK1453" i="17"/>
  <c r="AC1453" i="17"/>
  <c r="U1453" i="17"/>
  <c r="M1453" i="17"/>
  <c r="AR1453" i="17"/>
  <c r="AH1453" i="17"/>
  <c r="X1453" i="17"/>
  <c r="L1453" i="17"/>
  <c r="AQ1453" i="17"/>
  <c r="AG1453" i="17"/>
  <c r="W1453" i="17"/>
  <c r="K1453" i="17"/>
  <c r="AP1453" i="17"/>
  <c r="AB1453" i="17"/>
  <c r="P1453" i="17"/>
  <c r="AO1453" i="17"/>
  <c r="AA1453" i="17"/>
  <c r="O1453" i="17"/>
  <c r="AI1453" i="17"/>
  <c r="Q1453" i="17"/>
  <c r="AF1453" i="17"/>
  <c r="J1453" i="17"/>
  <c r="Z1453" i="17"/>
  <c r="Y1453" i="17"/>
  <c r="AL1455" i="17"/>
  <c r="AD1455" i="17"/>
  <c r="V1455" i="17"/>
  <c r="N1455" i="17"/>
  <c r="AK1455" i="17"/>
  <c r="AC1455" i="17"/>
  <c r="U1455" i="17"/>
  <c r="M1455" i="17"/>
  <c r="AN1455" i="17"/>
  <c r="AB1455" i="17"/>
  <c r="R1455" i="17"/>
  <c r="AM1455" i="17"/>
  <c r="AA1455" i="17"/>
  <c r="Q1455" i="17"/>
  <c r="AH1455" i="17"/>
  <c r="T1455" i="17"/>
  <c r="AG1455" i="17"/>
  <c r="S1455" i="17"/>
  <c r="AI1455" i="17"/>
  <c r="O1455" i="17"/>
  <c r="AF1455" i="17"/>
  <c r="L1455" i="17"/>
  <c r="AP1455" i="17"/>
  <c r="P1455" i="17"/>
  <c r="AO1455" i="17"/>
  <c r="K1455" i="17"/>
  <c r="AQ1455" i="17"/>
  <c r="AL1457" i="17"/>
  <c r="AD1457" i="17"/>
  <c r="V1457" i="17"/>
  <c r="N1457" i="17"/>
  <c r="AK1457" i="17"/>
  <c r="AC1457" i="17"/>
  <c r="U1457" i="17"/>
  <c r="M1457" i="17"/>
  <c r="AJ1457" i="17"/>
  <c r="Z1457" i="17"/>
  <c r="P1457" i="17"/>
  <c r="AI1457" i="17"/>
  <c r="Y1457" i="17"/>
  <c r="O1457" i="17"/>
  <c r="AP1457" i="17"/>
  <c r="AB1457" i="17"/>
  <c r="L1457" i="17"/>
  <c r="AO1457" i="17"/>
  <c r="AA1457" i="17"/>
  <c r="K1457" i="17"/>
  <c r="AM1457" i="17"/>
  <c r="S1457" i="17"/>
  <c r="AH1457" i="17"/>
  <c r="R1457" i="17"/>
  <c r="AF1457" i="17"/>
  <c r="AE1457" i="17"/>
  <c r="AQ1457" i="17"/>
  <c r="Q1467" i="17"/>
  <c r="J1473" i="17"/>
  <c r="AN1473" i="17"/>
  <c r="T1491" i="17"/>
  <c r="Z1499" i="17"/>
  <c r="AL1503" i="17"/>
  <c r="AD1503" i="17"/>
  <c r="V1503" i="17"/>
  <c r="N1503" i="17"/>
  <c r="AK1503" i="17"/>
  <c r="AC1503" i="17"/>
  <c r="U1503" i="17"/>
  <c r="M1503" i="17"/>
  <c r="AR1503" i="17"/>
  <c r="AH1503" i="17"/>
  <c r="X1503" i="17"/>
  <c r="L1503" i="17"/>
  <c r="AQ1503" i="17"/>
  <c r="AG1503" i="17"/>
  <c r="W1503" i="17"/>
  <c r="K1503" i="17"/>
  <c r="AE1503" i="17"/>
  <c r="Q1503" i="17"/>
  <c r="AP1503" i="17"/>
  <c r="AB1503" i="17"/>
  <c r="P1503" i="17"/>
  <c r="AO1503" i="17"/>
  <c r="Y1503" i="17"/>
  <c r="AN1503" i="17"/>
  <c r="T1503" i="17"/>
  <c r="S1503" i="17"/>
  <c r="R1503" i="17"/>
  <c r="AM1503" i="17"/>
  <c r="O1503" i="17"/>
  <c r="Q1547" i="17"/>
  <c r="S1551" i="17"/>
  <c r="P1571" i="17"/>
  <c r="K1573" i="17"/>
  <c r="AL1577" i="17"/>
  <c r="AD1577" i="17"/>
  <c r="V1577" i="17"/>
  <c r="N1577" i="17"/>
  <c r="AK1577" i="17"/>
  <c r="AC1577" i="17"/>
  <c r="U1577" i="17"/>
  <c r="M1577" i="17"/>
  <c r="AN1577" i="17"/>
  <c r="AB1577" i="17"/>
  <c r="R1577" i="17"/>
  <c r="AM1577" i="17"/>
  <c r="AA1577" i="17"/>
  <c r="Q1577" i="17"/>
  <c r="AQ1577" i="17"/>
  <c r="AE1577" i="17"/>
  <c r="O1577" i="17"/>
  <c r="AP1577" i="17"/>
  <c r="Z1577" i="17"/>
  <c r="L1577" i="17"/>
  <c r="AG1577" i="17"/>
  <c r="K1577" i="17"/>
  <c r="AF1577" i="17"/>
  <c r="J1577" i="17"/>
  <c r="Y1577" i="17"/>
  <c r="X1577" i="17"/>
  <c r="W1577" i="17"/>
  <c r="AR1577" i="17"/>
  <c r="AL1581" i="17"/>
  <c r="AD1581" i="17"/>
  <c r="V1581" i="17"/>
  <c r="N1581" i="17"/>
  <c r="AK1581" i="17"/>
  <c r="AC1581" i="17"/>
  <c r="U1581" i="17"/>
  <c r="M1581" i="17"/>
  <c r="AN1581" i="17"/>
  <c r="AB1581" i="17"/>
  <c r="R1581" i="17"/>
  <c r="AM1581" i="17"/>
  <c r="AA1581" i="17"/>
  <c r="Q1581" i="17"/>
  <c r="AO1581" i="17"/>
  <c r="Y1581" i="17"/>
  <c r="K1581" i="17"/>
  <c r="AJ1581" i="17"/>
  <c r="X1581" i="17"/>
  <c r="J1581" i="17"/>
  <c r="AG1581" i="17"/>
  <c r="O1581" i="17"/>
  <c r="AF1581" i="17"/>
  <c r="L1581" i="17"/>
  <c r="AE1581" i="17"/>
  <c r="Z1581" i="17"/>
  <c r="W1581" i="17"/>
  <c r="AR1581" i="17"/>
  <c r="Q1611" i="17"/>
  <c r="S1615" i="17"/>
  <c r="AD1626" i="17"/>
  <c r="W1674" i="17"/>
  <c r="L1732" i="17"/>
  <c r="AN1748" i="17"/>
  <c r="AL1764" i="17"/>
  <c r="AD1764" i="17"/>
  <c r="V1764" i="17"/>
  <c r="N1764" i="17"/>
  <c r="AK1764" i="17"/>
  <c r="AC1764" i="17"/>
  <c r="U1764" i="17"/>
  <c r="M1764" i="17"/>
  <c r="AQ1764" i="17"/>
  <c r="AG1764" i="17"/>
  <c r="W1764" i="17"/>
  <c r="K1764" i="17"/>
  <c r="AP1764" i="17"/>
  <c r="AF1764" i="17"/>
  <c r="T1764" i="17"/>
  <c r="J1764" i="17"/>
  <c r="AH1764" i="17"/>
  <c r="R1764" i="17"/>
  <c r="AE1764" i="17"/>
  <c r="Q1764" i="17"/>
  <c r="AM1764" i="17"/>
  <c r="S1764" i="17"/>
  <c r="AJ1764" i="17"/>
  <c r="P1764" i="17"/>
  <c r="AO1764" i="17"/>
  <c r="O1764" i="17"/>
  <c r="AN1764" i="17"/>
  <c r="L1764" i="17"/>
  <c r="AB1764" i="17"/>
  <c r="AA1764" i="17"/>
  <c r="AR1764" i="17"/>
  <c r="AI1764" i="17"/>
  <c r="AN1802" i="17"/>
  <c r="AL1822" i="17"/>
  <c r="AD1822" i="17"/>
  <c r="V1822" i="17"/>
  <c r="N1822" i="17"/>
  <c r="AK1822" i="17"/>
  <c r="AC1822" i="17"/>
  <c r="U1822" i="17"/>
  <c r="M1822" i="17"/>
  <c r="AN1822" i="17"/>
  <c r="AB1822" i="17"/>
  <c r="R1822" i="17"/>
  <c r="AM1822" i="17"/>
  <c r="AA1822" i="17"/>
  <c r="Q1822" i="17"/>
  <c r="AQ1822" i="17"/>
  <c r="AE1822" i="17"/>
  <c r="O1822" i="17"/>
  <c r="AP1822" i="17"/>
  <c r="Z1822" i="17"/>
  <c r="L1822" i="17"/>
  <c r="AI1822" i="17"/>
  <c r="S1822" i="17"/>
  <c r="AH1822" i="17"/>
  <c r="P1822" i="17"/>
  <c r="X1822" i="17"/>
  <c r="W1822" i="17"/>
  <c r="K1822" i="17"/>
  <c r="AR1822" i="17"/>
  <c r="J1822" i="17"/>
  <c r="AO1822" i="17"/>
  <c r="AJ1822" i="17"/>
  <c r="AG1822" i="17"/>
  <c r="AH1872" i="17"/>
  <c r="AL1890" i="17"/>
  <c r="S1926" i="17"/>
  <c r="AM1952" i="17"/>
  <c r="AL1531" i="17"/>
  <c r="AD1531" i="17"/>
  <c r="V1531" i="17"/>
  <c r="N1531" i="17"/>
  <c r="AK1531" i="17"/>
  <c r="AC1531" i="17"/>
  <c r="U1531" i="17"/>
  <c r="M1531" i="17"/>
  <c r="AR1531" i="17"/>
  <c r="AH1531" i="17"/>
  <c r="X1531" i="17"/>
  <c r="L1531" i="17"/>
  <c r="AQ1531" i="17"/>
  <c r="AG1531" i="17"/>
  <c r="W1531" i="17"/>
  <c r="K1531" i="17"/>
  <c r="AI1531" i="17"/>
  <c r="S1531" i="17"/>
  <c r="AF1531" i="17"/>
  <c r="R1531" i="17"/>
  <c r="AO1531" i="17"/>
  <c r="Y1531" i="17"/>
  <c r="AN1531" i="17"/>
  <c r="T1531" i="17"/>
  <c r="AE1531" i="17"/>
  <c r="AL1535" i="17"/>
  <c r="AD1535" i="17"/>
  <c r="V1535" i="17"/>
  <c r="N1535" i="17"/>
  <c r="AK1535" i="17"/>
  <c r="AC1535" i="17"/>
  <c r="U1535" i="17"/>
  <c r="M1535" i="17"/>
  <c r="AR1535" i="17"/>
  <c r="AH1535" i="17"/>
  <c r="X1535" i="17"/>
  <c r="L1535" i="17"/>
  <c r="AQ1535" i="17"/>
  <c r="AG1535" i="17"/>
  <c r="W1535" i="17"/>
  <c r="K1535" i="17"/>
  <c r="AE1535" i="17"/>
  <c r="Q1535" i="17"/>
  <c r="AP1535" i="17"/>
  <c r="AB1535" i="17"/>
  <c r="P1535" i="17"/>
  <c r="AO1535" i="17"/>
  <c r="Y1535" i="17"/>
  <c r="AN1535" i="17"/>
  <c r="T1535" i="17"/>
  <c r="AI1535" i="17"/>
  <c r="AL1545" i="17"/>
  <c r="AD1545" i="17"/>
  <c r="V1545" i="17"/>
  <c r="N1545" i="17"/>
  <c r="AK1545" i="17"/>
  <c r="AC1545" i="17"/>
  <c r="U1545" i="17"/>
  <c r="M1545" i="17"/>
  <c r="AN1545" i="17"/>
  <c r="AB1545" i="17"/>
  <c r="R1545" i="17"/>
  <c r="AM1545" i="17"/>
  <c r="AA1545" i="17"/>
  <c r="Q1545" i="17"/>
  <c r="AQ1545" i="17"/>
  <c r="AE1545" i="17"/>
  <c r="O1545" i="17"/>
  <c r="AP1545" i="17"/>
  <c r="Z1545" i="17"/>
  <c r="L1545" i="17"/>
  <c r="AG1545" i="17"/>
  <c r="K1545" i="17"/>
  <c r="AF1545" i="17"/>
  <c r="J1545" i="17"/>
  <c r="AI1545" i="17"/>
  <c r="AL1549" i="17"/>
  <c r="AD1549" i="17"/>
  <c r="V1549" i="17"/>
  <c r="N1549" i="17"/>
  <c r="AK1549" i="17"/>
  <c r="AC1549" i="17"/>
  <c r="U1549" i="17"/>
  <c r="M1549" i="17"/>
  <c r="AN1549" i="17"/>
  <c r="AB1549" i="17"/>
  <c r="R1549" i="17"/>
  <c r="AM1549" i="17"/>
  <c r="AA1549" i="17"/>
  <c r="Q1549" i="17"/>
  <c r="AO1549" i="17"/>
  <c r="Y1549" i="17"/>
  <c r="K1549" i="17"/>
  <c r="AJ1549" i="17"/>
  <c r="X1549" i="17"/>
  <c r="J1549" i="17"/>
  <c r="AG1549" i="17"/>
  <c r="O1549" i="17"/>
  <c r="AF1549" i="17"/>
  <c r="L1549" i="17"/>
  <c r="AI1549" i="17"/>
  <c r="AL1561" i="17"/>
  <c r="AD1561" i="17"/>
  <c r="V1561" i="17"/>
  <c r="N1561" i="17"/>
  <c r="AK1561" i="17"/>
  <c r="AC1561" i="17"/>
  <c r="U1561" i="17"/>
  <c r="M1561" i="17"/>
  <c r="AN1561" i="17"/>
  <c r="AB1561" i="17"/>
  <c r="R1561" i="17"/>
  <c r="AM1561" i="17"/>
  <c r="AA1561" i="17"/>
  <c r="Q1561" i="17"/>
  <c r="AQ1561" i="17"/>
  <c r="AE1561" i="17"/>
  <c r="O1561" i="17"/>
  <c r="AP1561" i="17"/>
  <c r="Z1561" i="17"/>
  <c r="L1561" i="17"/>
  <c r="AO1561" i="17"/>
  <c r="W1561" i="17"/>
  <c r="AJ1561" i="17"/>
  <c r="T1561" i="17"/>
  <c r="AG1561" i="17"/>
  <c r="AL1565" i="17"/>
  <c r="AD1565" i="17"/>
  <c r="V1565" i="17"/>
  <c r="N1565" i="17"/>
  <c r="AK1565" i="17"/>
  <c r="AC1565" i="17"/>
  <c r="U1565" i="17"/>
  <c r="M1565" i="17"/>
  <c r="AN1565" i="17"/>
  <c r="AB1565" i="17"/>
  <c r="R1565" i="17"/>
  <c r="AM1565" i="17"/>
  <c r="AA1565" i="17"/>
  <c r="Q1565" i="17"/>
  <c r="AO1565" i="17"/>
  <c r="Y1565" i="17"/>
  <c r="K1565" i="17"/>
  <c r="AJ1565" i="17"/>
  <c r="X1565" i="17"/>
  <c r="J1565" i="17"/>
  <c r="AQ1565" i="17"/>
  <c r="W1565" i="17"/>
  <c r="AP1565" i="17"/>
  <c r="T1565" i="17"/>
  <c r="AG1565" i="17"/>
  <c r="AL1579" i="17"/>
  <c r="AD1579" i="17"/>
  <c r="V1579" i="17"/>
  <c r="N1579" i="17"/>
  <c r="AK1579" i="17"/>
  <c r="AC1579" i="17"/>
  <c r="U1579" i="17"/>
  <c r="M1579" i="17"/>
  <c r="AR1579" i="17"/>
  <c r="AH1579" i="17"/>
  <c r="X1579" i="17"/>
  <c r="L1579" i="17"/>
  <c r="AQ1579" i="17"/>
  <c r="AG1579" i="17"/>
  <c r="W1579" i="17"/>
  <c r="K1579" i="17"/>
  <c r="AI1579" i="17"/>
  <c r="S1579" i="17"/>
  <c r="AF1579" i="17"/>
  <c r="R1579" i="17"/>
  <c r="AE1579" i="17"/>
  <c r="O1579" i="17"/>
  <c r="AB1579" i="17"/>
  <c r="J1579" i="17"/>
  <c r="AM1579" i="17"/>
  <c r="AL1583" i="17"/>
  <c r="AD1583" i="17"/>
  <c r="V1583" i="17"/>
  <c r="N1583" i="17"/>
  <c r="AK1583" i="17"/>
  <c r="AC1583" i="17"/>
  <c r="U1583" i="17"/>
  <c r="M1583" i="17"/>
  <c r="AR1583" i="17"/>
  <c r="AH1583" i="17"/>
  <c r="X1583" i="17"/>
  <c r="L1583" i="17"/>
  <c r="AQ1583" i="17"/>
  <c r="AG1583" i="17"/>
  <c r="W1583" i="17"/>
  <c r="K1583" i="17"/>
  <c r="AE1583" i="17"/>
  <c r="Q1583" i="17"/>
  <c r="AP1583" i="17"/>
  <c r="AB1583" i="17"/>
  <c r="P1583" i="17"/>
  <c r="AI1583" i="17"/>
  <c r="O1583" i="17"/>
  <c r="AF1583" i="17"/>
  <c r="J1583" i="17"/>
  <c r="AM1583" i="17"/>
  <c r="AL1595" i="17"/>
  <c r="AD1595" i="17"/>
  <c r="V1595" i="17"/>
  <c r="N1595" i="17"/>
  <c r="AK1595" i="17"/>
  <c r="AC1595" i="17"/>
  <c r="U1595" i="17"/>
  <c r="M1595" i="17"/>
  <c r="AR1595" i="17"/>
  <c r="AH1595" i="17"/>
  <c r="X1595" i="17"/>
  <c r="L1595" i="17"/>
  <c r="AQ1595" i="17"/>
  <c r="AG1595" i="17"/>
  <c r="W1595" i="17"/>
  <c r="K1595" i="17"/>
  <c r="AI1595" i="17"/>
  <c r="S1595" i="17"/>
  <c r="AF1595" i="17"/>
  <c r="R1595" i="17"/>
  <c r="AO1595" i="17"/>
  <c r="Y1595" i="17"/>
  <c r="AN1595" i="17"/>
  <c r="T1595" i="17"/>
  <c r="AE1595" i="17"/>
  <c r="AL1599" i="17"/>
  <c r="AD1599" i="17"/>
  <c r="V1599" i="17"/>
  <c r="N1599" i="17"/>
  <c r="AK1599" i="17"/>
  <c r="AC1599" i="17"/>
  <c r="U1599" i="17"/>
  <c r="M1599" i="17"/>
  <c r="AR1599" i="17"/>
  <c r="AH1599" i="17"/>
  <c r="X1599" i="17"/>
  <c r="L1599" i="17"/>
  <c r="AQ1599" i="17"/>
  <c r="AG1599" i="17"/>
  <c r="W1599" i="17"/>
  <c r="K1599" i="17"/>
  <c r="AE1599" i="17"/>
  <c r="Q1599" i="17"/>
  <c r="AP1599" i="17"/>
  <c r="AB1599" i="17"/>
  <c r="P1599" i="17"/>
  <c r="AO1599" i="17"/>
  <c r="Y1599" i="17"/>
  <c r="AN1599" i="17"/>
  <c r="T1599" i="17"/>
  <c r="AI1599" i="17"/>
  <c r="AL1609" i="17"/>
  <c r="AD1609" i="17"/>
  <c r="V1609" i="17"/>
  <c r="N1609" i="17"/>
  <c r="AK1609" i="17"/>
  <c r="AC1609" i="17"/>
  <c r="U1609" i="17"/>
  <c r="M1609" i="17"/>
  <c r="AN1609" i="17"/>
  <c r="AB1609" i="17"/>
  <c r="R1609" i="17"/>
  <c r="AM1609" i="17"/>
  <c r="AA1609" i="17"/>
  <c r="Q1609" i="17"/>
  <c r="AQ1609" i="17"/>
  <c r="AE1609" i="17"/>
  <c r="O1609" i="17"/>
  <c r="AP1609" i="17"/>
  <c r="Z1609" i="17"/>
  <c r="L1609" i="17"/>
  <c r="AG1609" i="17"/>
  <c r="K1609" i="17"/>
  <c r="AF1609" i="17"/>
  <c r="J1609" i="17"/>
  <c r="AI1609" i="17"/>
  <c r="AL1613" i="17"/>
  <c r="AD1613" i="17"/>
  <c r="V1613" i="17"/>
  <c r="N1613" i="17"/>
  <c r="AK1613" i="17"/>
  <c r="AC1613" i="17"/>
  <c r="U1613" i="17"/>
  <c r="M1613" i="17"/>
  <c r="AN1613" i="17"/>
  <c r="AB1613" i="17"/>
  <c r="R1613" i="17"/>
  <c r="AM1613" i="17"/>
  <c r="AA1613" i="17"/>
  <c r="Q1613" i="17"/>
  <c r="AO1613" i="17"/>
  <c r="Y1613" i="17"/>
  <c r="K1613" i="17"/>
  <c r="AJ1613" i="17"/>
  <c r="X1613" i="17"/>
  <c r="J1613" i="17"/>
  <c r="AG1613" i="17"/>
  <c r="O1613" i="17"/>
  <c r="AF1613" i="17"/>
  <c r="L1613" i="17"/>
  <c r="AI1613" i="17"/>
  <c r="AL1796" i="17"/>
  <c r="AD1796" i="17"/>
  <c r="V1796" i="17"/>
  <c r="N1796" i="17"/>
  <c r="AK1796" i="17"/>
  <c r="AC1796" i="17"/>
  <c r="U1796" i="17"/>
  <c r="M1796" i="17"/>
  <c r="AQ1796" i="17"/>
  <c r="AG1796" i="17"/>
  <c r="W1796" i="17"/>
  <c r="K1796" i="17"/>
  <c r="AP1796" i="17"/>
  <c r="AF1796" i="17"/>
  <c r="T1796" i="17"/>
  <c r="J1796" i="17"/>
  <c r="AO1796" i="17"/>
  <c r="AA1796" i="17"/>
  <c r="O1796" i="17"/>
  <c r="AN1796" i="17"/>
  <c r="Z1796" i="17"/>
  <c r="L1796" i="17"/>
  <c r="Y1796" i="17"/>
  <c r="AR1796" i="17"/>
  <c r="X1796" i="17"/>
  <c r="S1796" i="17"/>
  <c r="R1796" i="17"/>
  <c r="AJ1796" i="17"/>
  <c r="AI1796" i="17"/>
  <c r="AL1818" i="17"/>
  <c r="AD1818" i="17"/>
  <c r="V1818" i="17"/>
  <c r="N1818" i="17"/>
  <c r="AK1818" i="17"/>
  <c r="AC1818" i="17"/>
  <c r="U1818" i="17"/>
  <c r="M1818" i="17"/>
  <c r="AJ1818" i="17"/>
  <c r="Z1818" i="17"/>
  <c r="P1818" i="17"/>
  <c r="AI1818" i="17"/>
  <c r="Y1818" i="17"/>
  <c r="O1818" i="17"/>
  <c r="AG1818" i="17"/>
  <c r="S1818" i="17"/>
  <c r="AR1818" i="17"/>
  <c r="AF1818" i="17"/>
  <c r="R1818" i="17"/>
  <c r="AH1818" i="17"/>
  <c r="L1818" i="17"/>
  <c r="AE1818" i="17"/>
  <c r="K1818" i="17"/>
  <c r="AQ1818" i="17"/>
  <c r="W1818" i="17"/>
  <c r="AP1818" i="17"/>
  <c r="T1818" i="17"/>
  <c r="Q1818" i="17"/>
  <c r="J1818" i="17"/>
  <c r="I5933" i="16"/>
  <c r="T5933" i="16"/>
  <c r="I5941" i="16"/>
  <c r="T5941" i="16"/>
  <c r="I5949" i="16"/>
  <c r="T5949" i="16"/>
  <c r="I5957" i="16"/>
  <c r="T5957" i="16"/>
  <c r="I5965" i="16"/>
  <c r="T5965" i="16"/>
  <c r="I5973" i="16"/>
  <c r="T5973" i="16"/>
  <c r="I5981" i="16"/>
  <c r="T5981" i="16"/>
  <c r="I5989" i="16"/>
  <c r="T5989" i="16"/>
  <c r="I5997" i="16"/>
  <c r="T5997" i="16"/>
  <c r="Q3" i="17"/>
  <c r="Y3" i="17"/>
  <c r="AO3" i="17"/>
  <c r="Q5" i="17"/>
  <c r="Y5" i="17"/>
  <c r="AO5" i="17"/>
  <c r="Q7" i="17"/>
  <c r="Y7" i="17"/>
  <c r="AO7" i="17"/>
  <c r="Q9" i="17"/>
  <c r="Y9" i="17"/>
  <c r="AO9" i="17"/>
  <c r="Q11" i="17"/>
  <c r="Y11" i="17"/>
  <c r="AO11" i="17"/>
  <c r="Q13" i="17"/>
  <c r="Y13" i="17"/>
  <c r="AO13" i="17"/>
  <c r="Q15" i="17"/>
  <c r="Y15" i="17"/>
  <c r="AO15" i="17"/>
  <c r="Q17" i="17"/>
  <c r="Y17" i="17"/>
  <c r="AO17" i="17"/>
  <c r="Q19" i="17"/>
  <c r="Y19" i="17"/>
  <c r="AO19" i="17"/>
  <c r="Q21" i="17"/>
  <c r="Y21" i="17"/>
  <c r="AO21" i="17"/>
  <c r="Q23" i="17"/>
  <c r="Y23" i="17"/>
  <c r="AO23" i="17"/>
  <c r="Q25" i="17"/>
  <c r="Y25" i="17"/>
  <c r="AG25" i="17"/>
  <c r="AO25" i="17"/>
  <c r="Q27" i="17"/>
  <c r="Y27" i="17"/>
  <c r="AO27" i="17"/>
  <c r="Q29" i="17"/>
  <c r="Y29" i="17"/>
  <c r="AO29" i="17"/>
  <c r="Q31" i="17"/>
  <c r="Y31" i="17"/>
  <c r="AO31" i="17"/>
  <c r="Q33" i="17"/>
  <c r="Y33" i="17"/>
  <c r="AO33" i="17"/>
  <c r="Q35" i="17"/>
  <c r="Y35" i="17"/>
  <c r="AO35" i="17"/>
  <c r="Q37" i="17"/>
  <c r="Y37" i="17"/>
  <c r="AO37" i="17"/>
  <c r="Q39" i="17"/>
  <c r="Y39" i="17"/>
  <c r="AO39" i="17"/>
  <c r="Q41" i="17"/>
  <c r="Y41" i="17"/>
  <c r="AO41" i="17"/>
  <c r="Q43" i="17"/>
  <c r="Y43" i="17"/>
  <c r="AO43" i="17"/>
  <c r="Q45" i="17"/>
  <c r="Y45" i="17"/>
  <c r="AO45" i="17"/>
  <c r="Q47" i="17"/>
  <c r="Y47" i="17"/>
  <c r="AO47" i="17"/>
  <c r="Q49" i="17"/>
  <c r="Y49" i="17"/>
  <c r="AO49" i="17"/>
  <c r="Q51" i="17"/>
  <c r="Y51" i="17"/>
  <c r="AO51" i="17"/>
  <c r="Q53" i="17"/>
  <c r="Y53" i="17"/>
  <c r="AO53" i="17"/>
  <c r="Q55" i="17"/>
  <c r="Y55" i="17"/>
  <c r="AO55" i="17"/>
  <c r="Q57" i="17"/>
  <c r="Y57" i="17"/>
  <c r="AO57" i="17"/>
  <c r="Q59" i="17"/>
  <c r="Y59" i="17"/>
  <c r="AO59" i="17"/>
  <c r="Q61" i="17"/>
  <c r="Y61" i="17"/>
  <c r="AO61" i="17"/>
  <c r="Q63" i="17"/>
  <c r="Y63" i="17"/>
  <c r="AO63" i="17"/>
  <c r="Q65" i="17"/>
  <c r="Y65" i="17"/>
  <c r="AO65" i="17"/>
  <c r="Q67" i="17"/>
  <c r="Y67" i="17"/>
  <c r="AO67" i="17"/>
  <c r="Q69" i="17"/>
  <c r="Y69" i="17"/>
  <c r="AO69" i="17"/>
  <c r="Q71" i="17"/>
  <c r="Y71" i="17"/>
  <c r="AO71" i="17"/>
  <c r="Q73" i="17"/>
  <c r="Y73" i="17"/>
  <c r="AO73" i="17"/>
  <c r="Q75" i="17"/>
  <c r="Y75" i="17"/>
  <c r="AO75" i="17"/>
  <c r="Q77" i="17"/>
  <c r="Y77" i="17"/>
  <c r="AO77" i="17"/>
  <c r="Q79" i="17"/>
  <c r="Y79" i="17"/>
  <c r="AO79" i="17"/>
  <c r="Q81" i="17"/>
  <c r="Y81" i="17"/>
  <c r="AO81" i="17"/>
  <c r="Q83" i="17"/>
  <c r="Y83" i="17"/>
  <c r="AO83" i="17"/>
  <c r="Q85" i="17"/>
  <c r="Y85" i="17"/>
  <c r="AO85" i="17"/>
  <c r="Q87" i="17"/>
  <c r="Y87" i="17"/>
  <c r="AO87" i="17"/>
  <c r="Q89" i="17"/>
  <c r="Y89" i="17"/>
  <c r="AO89" i="17"/>
  <c r="Q91" i="17"/>
  <c r="Y91" i="17"/>
  <c r="AO91" i="17"/>
  <c r="Q93" i="17"/>
  <c r="Y93" i="17"/>
  <c r="AO93" i="17"/>
  <c r="Q95" i="17"/>
  <c r="Y95" i="17"/>
  <c r="AO95" i="17"/>
  <c r="Q97" i="17"/>
  <c r="Y97" i="17"/>
  <c r="AO97" i="17"/>
  <c r="Q99" i="17"/>
  <c r="Y99" i="17"/>
  <c r="AO99" i="17"/>
  <c r="Q101" i="17"/>
  <c r="Y101" i="17"/>
  <c r="AO101" i="17"/>
  <c r="Q103" i="17"/>
  <c r="Y103" i="17"/>
  <c r="AO103" i="17"/>
  <c r="Q105" i="17"/>
  <c r="Y105" i="17"/>
  <c r="AO105" i="17"/>
  <c r="Q107" i="17"/>
  <c r="Y107" i="17"/>
  <c r="AO107" i="17"/>
  <c r="Q109" i="17"/>
  <c r="Y109" i="17"/>
  <c r="AO109" i="17"/>
  <c r="Q111" i="17"/>
  <c r="Y111" i="17"/>
  <c r="AO111" i="17"/>
  <c r="Q113" i="17"/>
  <c r="Y113" i="17"/>
  <c r="AO113" i="17"/>
  <c r="Q115" i="17"/>
  <c r="Y115" i="17"/>
  <c r="AO115" i="17"/>
  <c r="Q117" i="17"/>
  <c r="Y117" i="17"/>
  <c r="AO117" i="17"/>
  <c r="Q119" i="17"/>
  <c r="Y119" i="17"/>
  <c r="AO119" i="17"/>
  <c r="Q121" i="17"/>
  <c r="Y121" i="17"/>
  <c r="AO121" i="17"/>
  <c r="Q123" i="17"/>
  <c r="Y123" i="17"/>
  <c r="AO123" i="17"/>
  <c r="Q125" i="17"/>
  <c r="Y125" i="17"/>
  <c r="AO125" i="17"/>
  <c r="Q127" i="17"/>
  <c r="Y127" i="17"/>
  <c r="AO127" i="17"/>
  <c r="Q129" i="17"/>
  <c r="Y129" i="17"/>
  <c r="AO129" i="17"/>
  <c r="Q131" i="17"/>
  <c r="Y131" i="17"/>
  <c r="AO131" i="17"/>
  <c r="Q133" i="17"/>
  <c r="Y133" i="17"/>
  <c r="AG133" i="17"/>
  <c r="AO133" i="17"/>
  <c r="Q135" i="17"/>
  <c r="Y135" i="17"/>
  <c r="AO135" i="17"/>
  <c r="Q137" i="17"/>
  <c r="Y137" i="17"/>
  <c r="AO137" i="17"/>
  <c r="Q139" i="17"/>
  <c r="Y139" i="17"/>
  <c r="AO139" i="17"/>
  <c r="Q141" i="17"/>
  <c r="Y141" i="17"/>
  <c r="AO141" i="17"/>
  <c r="Q143" i="17"/>
  <c r="Y143" i="17"/>
  <c r="AO143" i="17"/>
  <c r="Q145" i="17"/>
  <c r="Y145" i="17"/>
  <c r="AO145" i="17"/>
  <c r="Q147" i="17"/>
  <c r="Y147" i="17"/>
  <c r="AO147" i="17"/>
  <c r="Q149" i="17"/>
  <c r="Y149" i="17"/>
  <c r="AO149" i="17"/>
  <c r="Q151" i="17"/>
  <c r="Y151" i="17"/>
  <c r="AO151" i="17"/>
  <c r="Q153" i="17"/>
  <c r="Y153" i="17"/>
  <c r="AO153" i="17"/>
  <c r="Q155" i="17"/>
  <c r="Y155" i="17"/>
  <c r="AO155" i="17"/>
  <c r="Q157" i="17"/>
  <c r="Y157" i="17"/>
  <c r="AO157" i="17"/>
  <c r="Q159" i="17"/>
  <c r="Y159" i="17"/>
  <c r="AO159" i="17"/>
  <c r="Q161" i="17"/>
  <c r="Y161" i="17"/>
  <c r="AO161" i="17"/>
  <c r="Q163" i="17"/>
  <c r="Y163" i="17"/>
  <c r="AO163" i="17"/>
  <c r="Q165" i="17"/>
  <c r="Y165" i="17"/>
  <c r="AO165" i="17"/>
  <c r="Q167" i="17"/>
  <c r="Y167" i="17"/>
  <c r="AO167" i="17"/>
  <c r="Q169" i="17"/>
  <c r="Y169" i="17"/>
  <c r="AO169" i="17"/>
  <c r="Q171" i="17"/>
  <c r="Y171" i="17"/>
  <c r="AO171" i="17"/>
  <c r="Q173" i="17"/>
  <c r="Y173" i="17"/>
  <c r="AO173" i="17"/>
  <c r="Q175" i="17"/>
  <c r="Y175" i="17"/>
  <c r="AO175" i="17"/>
  <c r="Q177" i="17"/>
  <c r="Y177" i="17"/>
  <c r="AG177" i="17"/>
  <c r="AO177" i="17"/>
  <c r="Q179" i="17"/>
  <c r="Y179" i="17"/>
  <c r="AG179" i="17"/>
  <c r="AO179" i="17"/>
  <c r="Q181" i="17"/>
  <c r="Y181" i="17"/>
  <c r="AG181" i="17"/>
  <c r="AO181" i="17"/>
  <c r="Q183" i="17"/>
  <c r="Y183" i="17"/>
  <c r="AG183" i="17"/>
  <c r="AO183" i="17"/>
  <c r="Q185" i="17"/>
  <c r="Y185" i="17"/>
  <c r="AG185" i="17"/>
  <c r="AO185" i="17"/>
  <c r="Q187" i="17"/>
  <c r="Y187" i="17"/>
  <c r="AG187" i="17"/>
  <c r="AO187" i="17"/>
  <c r="Q189" i="17"/>
  <c r="Y189" i="17"/>
  <c r="AG189" i="17"/>
  <c r="AO189" i="17"/>
  <c r="Q191" i="17"/>
  <c r="Y191" i="17"/>
  <c r="AG191" i="17"/>
  <c r="AO191" i="17"/>
  <c r="Q193" i="17"/>
  <c r="Y193" i="17"/>
  <c r="AG193" i="17"/>
  <c r="AO193" i="17"/>
  <c r="Q195" i="17"/>
  <c r="Y195" i="17"/>
  <c r="AG195" i="17"/>
  <c r="AO195" i="17"/>
  <c r="Q197" i="17"/>
  <c r="Y197" i="17"/>
  <c r="AG197" i="17"/>
  <c r="AO197" i="17"/>
  <c r="Q199" i="17"/>
  <c r="Y199" i="17"/>
  <c r="AG199" i="17"/>
  <c r="AO199" i="17"/>
  <c r="Q201" i="17"/>
  <c r="Y201" i="17"/>
  <c r="AG201" i="17"/>
  <c r="AO201" i="17"/>
  <c r="Q203" i="17"/>
  <c r="Y203" i="17"/>
  <c r="AG203" i="17"/>
  <c r="AO203" i="17"/>
  <c r="Q205" i="17"/>
  <c r="Y205" i="17"/>
  <c r="AG205" i="17"/>
  <c r="AO205" i="17"/>
  <c r="Q207" i="17"/>
  <c r="Y207" i="17"/>
  <c r="AG207" i="17"/>
  <c r="AO207" i="17"/>
  <c r="Q209" i="17"/>
  <c r="Y209" i="17"/>
  <c r="AG209" i="17"/>
  <c r="AO209" i="17"/>
  <c r="Q211" i="17"/>
  <c r="Y211" i="17"/>
  <c r="AG211" i="17"/>
  <c r="AO211" i="17"/>
  <c r="Q213" i="17"/>
  <c r="Y213" i="17"/>
  <c r="AG213" i="17"/>
  <c r="AO213" i="17"/>
  <c r="Q215" i="17"/>
  <c r="Y215" i="17"/>
  <c r="AG215" i="17"/>
  <c r="AO215" i="17"/>
  <c r="Q217" i="17"/>
  <c r="Y217" i="17"/>
  <c r="AG217" i="17"/>
  <c r="AO217" i="17"/>
  <c r="Q219" i="17"/>
  <c r="Y219" i="17"/>
  <c r="AG219" i="17"/>
  <c r="AO219" i="17"/>
  <c r="Q221" i="17"/>
  <c r="Y221" i="17"/>
  <c r="AG221" i="17"/>
  <c r="AO221" i="17"/>
  <c r="Q223" i="17"/>
  <c r="Y223" i="17"/>
  <c r="AG223" i="17"/>
  <c r="AO223" i="17"/>
  <c r="Q225" i="17"/>
  <c r="Y225" i="17"/>
  <c r="AG225" i="17"/>
  <c r="AO225" i="17"/>
  <c r="Q227" i="17"/>
  <c r="Y227" i="17"/>
  <c r="AG227" i="17"/>
  <c r="AO227" i="17"/>
  <c r="Q229" i="17"/>
  <c r="Y229" i="17"/>
  <c r="AG229" i="17"/>
  <c r="AO229" i="17"/>
  <c r="Q231" i="17"/>
  <c r="Y231" i="17"/>
  <c r="AG231" i="17"/>
  <c r="AO231" i="17"/>
  <c r="Q233" i="17"/>
  <c r="Y233" i="17"/>
  <c r="AG233" i="17"/>
  <c r="AO233" i="17"/>
  <c r="Q235" i="17"/>
  <c r="Y235" i="17"/>
  <c r="AG235" i="17"/>
  <c r="AO235" i="17"/>
  <c r="Q237" i="17"/>
  <c r="Y237" i="17"/>
  <c r="AG237" i="17"/>
  <c r="AO237" i="17"/>
  <c r="Q239" i="17"/>
  <c r="Y239" i="17"/>
  <c r="AG239" i="17"/>
  <c r="AO239" i="17"/>
  <c r="Q241" i="17"/>
  <c r="Y241" i="17"/>
  <c r="AG241" i="17"/>
  <c r="AO241" i="17"/>
  <c r="Q243" i="17"/>
  <c r="Y243" i="17"/>
  <c r="AG243" i="17"/>
  <c r="AO243" i="17"/>
  <c r="Q245" i="17"/>
  <c r="Y245" i="17"/>
  <c r="AG245" i="17"/>
  <c r="AO245" i="17"/>
  <c r="Q247" i="17"/>
  <c r="Y247" i="17"/>
  <c r="AG247" i="17"/>
  <c r="AO247" i="17"/>
  <c r="Q249" i="17"/>
  <c r="Y249" i="17"/>
  <c r="AG249" i="17"/>
  <c r="AO249" i="17"/>
  <c r="Q251" i="17"/>
  <c r="Y251" i="17"/>
  <c r="AG251" i="17"/>
  <c r="AO251" i="17"/>
  <c r="Q253" i="17"/>
  <c r="Y253" i="17"/>
  <c r="AG253" i="17"/>
  <c r="AO253" i="17"/>
  <c r="Q255" i="17"/>
  <c r="Y255" i="17"/>
  <c r="AG255" i="17"/>
  <c r="AO255" i="17"/>
  <c r="Q257" i="17"/>
  <c r="Y257" i="17"/>
  <c r="AG257" i="17"/>
  <c r="AO257" i="17"/>
  <c r="Q259" i="17"/>
  <c r="Y259" i="17"/>
  <c r="AG259" i="17"/>
  <c r="AO259" i="17"/>
  <c r="Q261" i="17"/>
  <c r="Y261" i="17"/>
  <c r="AG261" i="17"/>
  <c r="AO261" i="17"/>
  <c r="Q263" i="17"/>
  <c r="Y263" i="17"/>
  <c r="AG263" i="17"/>
  <c r="AO263" i="17"/>
  <c r="Q265" i="17"/>
  <c r="Y265" i="17"/>
  <c r="AG265" i="17"/>
  <c r="AO265" i="17"/>
  <c r="Q267" i="17"/>
  <c r="Y267" i="17"/>
  <c r="AG267" i="17"/>
  <c r="AO267" i="17"/>
  <c r="Q269" i="17"/>
  <c r="Y269" i="17"/>
  <c r="AG269" i="17"/>
  <c r="AO269" i="17"/>
  <c r="Q271" i="17"/>
  <c r="Y271" i="17"/>
  <c r="AG271" i="17"/>
  <c r="AO271" i="17"/>
  <c r="Q273" i="17"/>
  <c r="Y273" i="17"/>
  <c r="AG273" i="17"/>
  <c r="AO273" i="17"/>
  <c r="Q275" i="17"/>
  <c r="Y275" i="17"/>
  <c r="AG275" i="17"/>
  <c r="AO275" i="17"/>
  <c r="Q277" i="17"/>
  <c r="Y277" i="17"/>
  <c r="AG277" i="17"/>
  <c r="AO277" i="17"/>
  <c r="Q279" i="17"/>
  <c r="Y279" i="17"/>
  <c r="AG279" i="17"/>
  <c r="AO279" i="17"/>
  <c r="Q281" i="17"/>
  <c r="Y281" i="17"/>
  <c r="AG281" i="17"/>
  <c r="AO281" i="17"/>
  <c r="Q283" i="17"/>
  <c r="Y283" i="17"/>
  <c r="AG283" i="17"/>
  <c r="AO283" i="17"/>
  <c r="Q285" i="17"/>
  <c r="Y285" i="17"/>
  <c r="AG285" i="17"/>
  <c r="AO285" i="17"/>
  <c r="Q287" i="17"/>
  <c r="Y287" i="17"/>
  <c r="AG287" i="17"/>
  <c r="AO287" i="17"/>
  <c r="Q289" i="17"/>
  <c r="Y289" i="17"/>
  <c r="AG289" i="17"/>
  <c r="AO289" i="17"/>
  <c r="Q291" i="17"/>
  <c r="Y291" i="17"/>
  <c r="AG291" i="17"/>
  <c r="AO291" i="17"/>
  <c r="Q293" i="17"/>
  <c r="Y293" i="17"/>
  <c r="AG293" i="17"/>
  <c r="AO293" i="17"/>
  <c r="Q295" i="17"/>
  <c r="Y295" i="17"/>
  <c r="AG295" i="17"/>
  <c r="AO295" i="17"/>
  <c r="Q297" i="17"/>
  <c r="Y297" i="17"/>
  <c r="AG297" i="17"/>
  <c r="AO297" i="17"/>
  <c r="Q299" i="17"/>
  <c r="Y299" i="17"/>
  <c r="AG299" i="17"/>
  <c r="AO299" i="17"/>
  <c r="Q301" i="17"/>
  <c r="Y301" i="17"/>
  <c r="AG301" i="17"/>
  <c r="AO301" i="17"/>
  <c r="Q303" i="17"/>
  <c r="Y303" i="17"/>
  <c r="AG303" i="17"/>
  <c r="AO303" i="17"/>
  <c r="Q305" i="17"/>
  <c r="Y305" i="17"/>
  <c r="AG305" i="17"/>
  <c r="AO305" i="17"/>
  <c r="Q307" i="17"/>
  <c r="Y307" i="17"/>
  <c r="AG307" i="17"/>
  <c r="AO307" i="17"/>
  <c r="Q309" i="17"/>
  <c r="Y309" i="17"/>
  <c r="AG309" i="17"/>
  <c r="AO309" i="17"/>
  <c r="Q311" i="17"/>
  <c r="Y311" i="17"/>
  <c r="AG311" i="17"/>
  <c r="AO311" i="17"/>
  <c r="Q313" i="17"/>
  <c r="Y313" i="17"/>
  <c r="AG313" i="17"/>
  <c r="AO313" i="17"/>
  <c r="Q315" i="17"/>
  <c r="Y315" i="17"/>
  <c r="AG315" i="17"/>
  <c r="AO315" i="17"/>
  <c r="Q317" i="17"/>
  <c r="Y317" i="17"/>
  <c r="AG317" i="17"/>
  <c r="AO317" i="17"/>
  <c r="Q319" i="17"/>
  <c r="Y319" i="17"/>
  <c r="AG319" i="17"/>
  <c r="AO319" i="17"/>
  <c r="Q321" i="17"/>
  <c r="Y321" i="17"/>
  <c r="AG321" i="17"/>
  <c r="AO321" i="17"/>
  <c r="Q323" i="17"/>
  <c r="Y323" i="17"/>
  <c r="AG323" i="17"/>
  <c r="AO323" i="17"/>
  <c r="Q325" i="17"/>
  <c r="Y325" i="17"/>
  <c r="AG325" i="17"/>
  <c r="AO325" i="17"/>
  <c r="Q327" i="17"/>
  <c r="Y327" i="17"/>
  <c r="AG327" i="17"/>
  <c r="AO327" i="17"/>
  <c r="Q329" i="17"/>
  <c r="Y329" i="17"/>
  <c r="AG329" i="17"/>
  <c r="AO329" i="17"/>
  <c r="Q331" i="17"/>
  <c r="Y331" i="17"/>
  <c r="AG331" i="17"/>
  <c r="AO331" i="17"/>
  <c r="Q333" i="17"/>
  <c r="Y333" i="17"/>
  <c r="AG333" i="17"/>
  <c r="AO333" i="17"/>
  <c r="Q335" i="17"/>
  <c r="Y335" i="17"/>
  <c r="AG335" i="17"/>
  <c r="AO335" i="17"/>
  <c r="Q337" i="17"/>
  <c r="Y337" i="17"/>
  <c r="AG337" i="17"/>
  <c r="AO337" i="17"/>
  <c r="Q339" i="17"/>
  <c r="Y339" i="17"/>
  <c r="AG339" i="17"/>
  <c r="Q341" i="17"/>
  <c r="Y341" i="17"/>
  <c r="AG341" i="17"/>
  <c r="Q343" i="17"/>
  <c r="Y343" i="17"/>
  <c r="AG343" i="17"/>
  <c r="Q345" i="17"/>
  <c r="Y345" i="17"/>
  <c r="AG345" i="17"/>
  <c r="Q347" i="17"/>
  <c r="Y347" i="17"/>
  <c r="AG347" i="17"/>
  <c r="Q349" i="17"/>
  <c r="Y349" i="17"/>
  <c r="AG349" i="17"/>
  <c r="Q351" i="17"/>
  <c r="Y351" i="17"/>
  <c r="AG351" i="17"/>
  <c r="Q353" i="17"/>
  <c r="Y353" i="17"/>
  <c r="AG353" i="17"/>
  <c r="Q355" i="17"/>
  <c r="Y355" i="17"/>
  <c r="AG355" i="17"/>
  <c r="Q357" i="17"/>
  <c r="Y357" i="17"/>
  <c r="AG357" i="17"/>
  <c r="Q359" i="17"/>
  <c r="Y359" i="17"/>
  <c r="AG359" i="17"/>
  <c r="Q361" i="17"/>
  <c r="Y361" i="17"/>
  <c r="AG361" i="17"/>
  <c r="Q363" i="17"/>
  <c r="Y363" i="17"/>
  <c r="AG363" i="17"/>
  <c r="Q365" i="17"/>
  <c r="Y365" i="17"/>
  <c r="AG365" i="17"/>
  <c r="Q367" i="17"/>
  <c r="Y367" i="17"/>
  <c r="AG367" i="17"/>
  <c r="Q369" i="17"/>
  <c r="Y369" i="17"/>
  <c r="AG369" i="17"/>
  <c r="Q371" i="17"/>
  <c r="Y371" i="17"/>
  <c r="AG371" i="17"/>
  <c r="Q373" i="17"/>
  <c r="Y373" i="17"/>
  <c r="AG373" i="17"/>
  <c r="Q375" i="17"/>
  <c r="Y375" i="17"/>
  <c r="AG375" i="17"/>
  <c r="Q377" i="17"/>
  <c r="Y377" i="17"/>
  <c r="AG377" i="17"/>
  <c r="Q379" i="17"/>
  <c r="Y379" i="17"/>
  <c r="AG379" i="17"/>
  <c r="Q381" i="17"/>
  <c r="Y381" i="17"/>
  <c r="AG381" i="17"/>
  <c r="Q383" i="17"/>
  <c r="Y383" i="17"/>
  <c r="AG383" i="17"/>
  <c r="Q385" i="17"/>
  <c r="Y385" i="17"/>
  <c r="AG385" i="17"/>
  <c r="Q387" i="17"/>
  <c r="Y387" i="17"/>
  <c r="AG387" i="17"/>
  <c r="Q389" i="17"/>
  <c r="Y389" i="17"/>
  <c r="AG389" i="17"/>
  <c r="Q391" i="17"/>
  <c r="Y391" i="17"/>
  <c r="AG391" i="17"/>
  <c r="Q393" i="17"/>
  <c r="Y393" i="17"/>
  <c r="AG393" i="17"/>
  <c r="Q395" i="17"/>
  <c r="Y395" i="17"/>
  <c r="AG395" i="17"/>
  <c r="AO395" i="17"/>
  <c r="Q397" i="17"/>
  <c r="Y397" i="17"/>
  <c r="AG397" i="17"/>
  <c r="AO397" i="17"/>
  <c r="Q399" i="17"/>
  <c r="Y399" i="17"/>
  <c r="AG399" i="17"/>
  <c r="AO399" i="17"/>
  <c r="Q401" i="17"/>
  <c r="Y401" i="17"/>
  <c r="AG401" i="17"/>
  <c r="AO401" i="17"/>
  <c r="Q403" i="17"/>
  <c r="Y403" i="17"/>
  <c r="AG403" i="17"/>
  <c r="AO403" i="17"/>
  <c r="Q405" i="17"/>
  <c r="Y405" i="17"/>
  <c r="AG405" i="17"/>
  <c r="AO405" i="17"/>
  <c r="Q407" i="17"/>
  <c r="Y407" i="17"/>
  <c r="AG407" i="17"/>
  <c r="AO407" i="17"/>
  <c r="Q409" i="17"/>
  <c r="Y409" i="17"/>
  <c r="AG409" i="17"/>
  <c r="AO409" i="17"/>
  <c r="Q411" i="17"/>
  <c r="Y411" i="17"/>
  <c r="AG411" i="17"/>
  <c r="AO411" i="17"/>
  <c r="Q413" i="17"/>
  <c r="Y413" i="17"/>
  <c r="AG413" i="17"/>
  <c r="AO413" i="17"/>
  <c r="Q415" i="17"/>
  <c r="Y415" i="17"/>
  <c r="AG415" i="17"/>
  <c r="AO415" i="17"/>
  <c r="Q417" i="17"/>
  <c r="Y417" i="17"/>
  <c r="AG417" i="17"/>
  <c r="AO417" i="17"/>
  <c r="Q419" i="17"/>
  <c r="Y419" i="17"/>
  <c r="AG419" i="17"/>
  <c r="AO419" i="17"/>
  <c r="Q421" i="17"/>
  <c r="Y421" i="17"/>
  <c r="AG421" i="17"/>
  <c r="AO421" i="17"/>
  <c r="Q423" i="17"/>
  <c r="Y423" i="17"/>
  <c r="AG423" i="17"/>
  <c r="AO423" i="17"/>
  <c r="Q425" i="17"/>
  <c r="Y425" i="17"/>
  <c r="AG425" i="17"/>
  <c r="AO425" i="17"/>
  <c r="Q427" i="17"/>
  <c r="Y427" i="17"/>
  <c r="AG427" i="17"/>
  <c r="AO427" i="17"/>
  <c r="Q429" i="17"/>
  <c r="Y429" i="17"/>
  <c r="AG429" i="17"/>
  <c r="AO429" i="17"/>
  <c r="Q431" i="17"/>
  <c r="Y431" i="17"/>
  <c r="AG431" i="17"/>
  <c r="AO431" i="17"/>
  <c r="Q433" i="17"/>
  <c r="Y433" i="17"/>
  <c r="AG433" i="17"/>
  <c r="AO433" i="17"/>
  <c r="Q435" i="17"/>
  <c r="Y435" i="17"/>
  <c r="AG435" i="17"/>
  <c r="AO435" i="17"/>
  <c r="Q437" i="17"/>
  <c r="Y437" i="17"/>
  <c r="AG437" i="17"/>
  <c r="AO437" i="17"/>
  <c r="Q439" i="17"/>
  <c r="Y439" i="17"/>
  <c r="AG439" i="17"/>
  <c r="AO439" i="17"/>
  <c r="Q441" i="17"/>
  <c r="Y441" i="17"/>
  <c r="AG441" i="17"/>
  <c r="AO441" i="17"/>
  <c r="Q443" i="17"/>
  <c r="Y443" i="17"/>
  <c r="AG443" i="17"/>
  <c r="AO443" i="17"/>
  <c r="Q445" i="17"/>
  <c r="Y445" i="17"/>
  <c r="AG445" i="17"/>
  <c r="AO445" i="17"/>
  <c r="Q447" i="17"/>
  <c r="Y447" i="17"/>
  <c r="AG447" i="17"/>
  <c r="AO447" i="17"/>
  <c r="Q449" i="17"/>
  <c r="Y449" i="17"/>
  <c r="AG449" i="17"/>
  <c r="AO449" i="17"/>
  <c r="Q451" i="17"/>
  <c r="Y451" i="17"/>
  <c r="AG451" i="17"/>
  <c r="AO451" i="17"/>
  <c r="Q453" i="17"/>
  <c r="Y453" i="17"/>
  <c r="AG453" i="17"/>
  <c r="AO453" i="17"/>
  <c r="Q455" i="17"/>
  <c r="Y455" i="17"/>
  <c r="AG455" i="17"/>
  <c r="AO455" i="17"/>
  <c r="Q457" i="17"/>
  <c r="Y457" i="17"/>
  <c r="AG457" i="17"/>
  <c r="AO457" i="17"/>
  <c r="Q459" i="17"/>
  <c r="Y459" i="17"/>
  <c r="AG459" i="17"/>
  <c r="AO459" i="17"/>
  <c r="Q461" i="17"/>
  <c r="Y461" i="17"/>
  <c r="AG461" i="17"/>
  <c r="AO461" i="17"/>
  <c r="Q463" i="17"/>
  <c r="Y463" i="17"/>
  <c r="AG463" i="17"/>
  <c r="AO463" i="17"/>
  <c r="Q465" i="17"/>
  <c r="Y465" i="17"/>
  <c r="AG465" i="17"/>
  <c r="AO465" i="17"/>
  <c r="Q467" i="17"/>
  <c r="Y467" i="17"/>
  <c r="AG467" i="17"/>
  <c r="AO467" i="17"/>
  <c r="Q469" i="17"/>
  <c r="Y469" i="17"/>
  <c r="AG469" i="17"/>
  <c r="AO469" i="17"/>
  <c r="Q471" i="17"/>
  <c r="Y471" i="17"/>
  <c r="AG471" i="17"/>
  <c r="AO471" i="17"/>
  <c r="Q473" i="17"/>
  <c r="Y473" i="17"/>
  <c r="AG473" i="17"/>
  <c r="AO473" i="17"/>
  <c r="Q475" i="17"/>
  <c r="Y475" i="17"/>
  <c r="AG475" i="17"/>
  <c r="AO475" i="17"/>
  <c r="Q477" i="17"/>
  <c r="Y477" i="17"/>
  <c r="AG477" i="17"/>
  <c r="AO477" i="17"/>
  <c r="Q479" i="17"/>
  <c r="Y479" i="17"/>
  <c r="AG479" i="17"/>
  <c r="AO479" i="17"/>
  <c r="Q481" i="17"/>
  <c r="Y481" i="17"/>
  <c r="AG481" i="17"/>
  <c r="AO481" i="17"/>
  <c r="Q483" i="17"/>
  <c r="Y483" i="17"/>
  <c r="AG483" i="17"/>
  <c r="AO483" i="17"/>
  <c r="Q485" i="17"/>
  <c r="Y485" i="17"/>
  <c r="AG485" i="17"/>
  <c r="AO485" i="17"/>
  <c r="Q487" i="17"/>
  <c r="Y487" i="17"/>
  <c r="AG487" i="17"/>
  <c r="AO487" i="17"/>
  <c r="Q489" i="17"/>
  <c r="Y489" i="17"/>
  <c r="AG489" i="17"/>
  <c r="AO489" i="17"/>
  <c r="Q491" i="17"/>
  <c r="Y491" i="17"/>
  <c r="AG491" i="17"/>
  <c r="AO491" i="17"/>
  <c r="Q493" i="17"/>
  <c r="Y493" i="17"/>
  <c r="AG493" i="17"/>
  <c r="AO493" i="17"/>
  <c r="Q495" i="17"/>
  <c r="Y495" i="17"/>
  <c r="AG495" i="17"/>
  <c r="AO495" i="17"/>
  <c r="Q497" i="17"/>
  <c r="Y497" i="17"/>
  <c r="AG497" i="17"/>
  <c r="AO497" i="17"/>
  <c r="Q499" i="17"/>
  <c r="Y499" i="17"/>
  <c r="AG499" i="17"/>
  <c r="AO499" i="17"/>
  <c r="Q501" i="17"/>
  <c r="Y501" i="17"/>
  <c r="AG501" i="17"/>
  <c r="AO501" i="17"/>
  <c r="Q503" i="17"/>
  <c r="Y503" i="17"/>
  <c r="AG503" i="17"/>
  <c r="AO503" i="17"/>
  <c r="Q505" i="17"/>
  <c r="Y505" i="17"/>
  <c r="AG505" i="17"/>
  <c r="AO505" i="17"/>
  <c r="Q507" i="17"/>
  <c r="Y507" i="17"/>
  <c r="AG507" i="17"/>
  <c r="AO507" i="17"/>
  <c r="Q509" i="17"/>
  <c r="Y509" i="17"/>
  <c r="AG509" i="17"/>
  <c r="AO509" i="17"/>
  <c r="Q511" i="17"/>
  <c r="Y511" i="17"/>
  <c r="AG511" i="17"/>
  <c r="AO511" i="17"/>
  <c r="Q513" i="17"/>
  <c r="Y513" i="17"/>
  <c r="AG513" i="17"/>
  <c r="AO513" i="17"/>
  <c r="Q515" i="17"/>
  <c r="Y515" i="17"/>
  <c r="AG515" i="17"/>
  <c r="AO515" i="17"/>
  <c r="Q517" i="17"/>
  <c r="Y517" i="17"/>
  <c r="AG517" i="17"/>
  <c r="AO517" i="17"/>
  <c r="Q519" i="17"/>
  <c r="Y519" i="17"/>
  <c r="AG519" i="17"/>
  <c r="AO519" i="17"/>
  <c r="Q521" i="17"/>
  <c r="Y521" i="17"/>
  <c r="AG521" i="17"/>
  <c r="AO521" i="17"/>
  <c r="Q523" i="17"/>
  <c r="Y523" i="17"/>
  <c r="AG523" i="17"/>
  <c r="AO523" i="17"/>
  <c r="Q525" i="17"/>
  <c r="Y525" i="17"/>
  <c r="AG525" i="17"/>
  <c r="AO525" i="17"/>
  <c r="Q527" i="17"/>
  <c r="Y527" i="17"/>
  <c r="AG527" i="17"/>
  <c r="AO527" i="17"/>
  <c r="Q529" i="17"/>
  <c r="Y529" i="17"/>
  <c r="AG529" i="17"/>
  <c r="AO529" i="17"/>
  <c r="Q531" i="17"/>
  <c r="Y531" i="17"/>
  <c r="AG531" i="17"/>
  <c r="AO531" i="17"/>
  <c r="Q533" i="17"/>
  <c r="Y533" i="17"/>
  <c r="AG533" i="17"/>
  <c r="AO533" i="17"/>
  <c r="Q535" i="17"/>
  <c r="Y535" i="17"/>
  <c r="AG535" i="17"/>
  <c r="AO535" i="17"/>
  <c r="Q537" i="17"/>
  <c r="Y537" i="17"/>
  <c r="AG537" i="17"/>
  <c r="AO537" i="17"/>
  <c r="Q539" i="17"/>
  <c r="Y539" i="17"/>
  <c r="AG539" i="17"/>
  <c r="AO539" i="17"/>
  <c r="Q541" i="17"/>
  <c r="Y541" i="17"/>
  <c r="AG541" i="17"/>
  <c r="AO541" i="17"/>
  <c r="Q543" i="17"/>
  <c r="Y543" i="17"/>
  <c r="AG543" i="17"/>
  <c r="AO543" i="17"/>
  <c r="Q545" i="17"/>
  <c r="Y545" i="17"/>
  <c r="AG545" i="17"/>
  <c r="AO545" i="17"/>
  <c r="Q547" i="17"/>
  <c r="Y547" i="17"/>
  <c r="AG547" i="17"/>
  <c r="AO547" i="17"/>
  <c r="Q549" i="17"/>
  <c r="Y549" i="17"/>
  <c r="AG549" i="17"/>
  <c r="AO549" i="17"/>
  <c r="Q551" i="17"/>
  <c r="Y551" i="17"/>
  <c r="AG551" i="17"/>
  <c r="AO551" i="17"/>
  <c r="Q553" i="17"/>
  <c r="Y553" i="17"/>
  <c r="AG553" i="17"/>
  <c r="AO553" i="17"/>
  <c r="Q555" i="17"/>
  <c r="Y555" i="17"/>
  <c r="AG555" i="17"/>
  <c r="AO555" i="17"/>
  <c r="Q557" i="17"/>
  <c r="Y557" i="17"/>
  <c r="AG557" i="17"/>
  <c r="AO557" i="17"/>
  <c r="Q559" i="17"/>
  <c r="Y559" i="17"/>
  <c r="AG559" i="17"/>
  <c r="AO559" i="17"/>
  <c r="Q561" i="17"/>
  <c r="Y561" i="17"/>
  <c r="AG561" i="17"/>
  <c r="AO561" i="17"/>
  <c r="Q563" i="17"/>
  <c r="Y563" i="17"/>
  <c r="AG563" i="17"/>
  <c r="AO563" i="17"/>
  <c r="Q565" i="17"/>
  <c r="Y565" i="17"/>
  <c r="AG565" i="17"/>
  <c r="AO565" i="17"/>
  <c r="Q567" i="17"/>
  <c r="Y567" i="17"/>
  <c r="AG567" i="17"/>
  <c r="AO567" i="17"/>
  <c r="Q569" i="17"/>
  <c r="Y569" i="17"/>
  <c r="AG569" i="17"/>
  <c r="AO569" i="17"/>
  <c r="Q571" i="17"/>
  <c r="Y571" i="17"/>
  <c r="AG571" i="17"/>
  <c r="AO571" i="17"/>
  <c r="Q573" i="17"/>
  <c r="Y573" i="17"/>
  <c r="AG573" i="17"/>
  <c r="AO573" i="17"/>
  <c r="Q575" i="17"/>
  <c r="Y575" i="17"/>
  <c r="AG575" i="17"/>
  <c r="AO575" i="17"/>
  <c r="Q577" i="17"/>
  <c r="Y577" i="17"/>
  <c r="AG577" i="17"/>
  <c r="AO577" i="17"/>
  <c r="Q579" i="17"/>
  <c r="Y579" i="17"/>
  <c r="AG579" i="17"/>
  <c r="AO579" i="17"/>
  <c r="Q581" i="17"/>
  <c r="Y581" i="17"/>
  <c r="AG581" i="17"/>
  <c r="AO581" i="17"/>
  <c r="Q583" i="17"/>
  <c r="Y583" i="17"/>
  <c r="AG583" i="17"/>
  <c r="AO583" i="17"/>
  <c r="Q585" i="17"/>
  <c r="Y585" i="17"/>
  <c r="AG585" i="17"/>
  <c r="AO585" i="17"/>
  <c r="Q587" i="17"/>
  <c r="Y587" i="17"/>
  <c r="AG587" i="17"/>
  <c r="AO587" i="17"/>
  <c r="Q589" i="17"/>
  <c r="Y589" i="17"/>
  <c r="AG589" i="17"/>
  <c r="AO589" i="17"/>
  <c r="Q591" i="17"/>
  <c r="Y591" i="17"/>
  <c r="AG591" i="17"/>
  <c r="AO591" i="17"/>
  <c r="Q593" i="17"/>
  <c r="Y593" i="17"/>
  <c r="AG593" i="17"/>
  <c r="AO593" i="17"/>
  <c r="AK612" i="17"/>
  <c r="AC612" i="17"/>
  <c r="U612" i="17"/>
  <c r="M612" i="17"/>
  <c r="AR612" i="17"/>
  <c r="AJ612" i="17"/>
  <c r="AB612" i="17"/>
  <c r="T612" i="17"/>
  <c r="L612" i="17"/>
  <c r="S612" i="17"/>
  <c r="AE612" i="17"/>
  <c r="AO612" i="17"/>
  <c r="AK628" i="17"/>
  <c r="AC628" i="17"/>
  <c r="U628" i="17"/>
  <c r="M628" i="17"/>
  <c r="AR628" i="17"/>
  <c r="AJ628" i="17"/>
  <c r="AB628" i="17"/>
  <c r="T628" i="17"/>
  <c r="L628" i="17"/>
  <c r="S628" i="17"/>
  <c r="AE628" i="17"/>
  <c r="AO628" i="17"/>
  <c r="AK644" i="17"/>
  <c r="AC644" i="17"/>
  <c r="U644" i="17"/>
  <c r="M644" i="17"/>
  <c r="AR644" i="17"/>
  <c r="AJ644" i="17"/>
  <c r="AB644" i="17"/>
  <c r="T644" i="17"/>
  <c r="L644" i="17"/>
  <c r="S644" i="17"/>
  <c r="AE644" i="17"/>
  <c r="AO644" i="17"/>
  <c r="AK660" i="17"/>
  <c r="AC660" i="17"/>
  <c r="U660" i="17"/>
  <c r="M660" i="17"/>
  <c r="AR660" i="17"/>
  <c r="AJ660" i="17"/>
  <c r="AB660" i="17"/>
  <c r="T660" i="17"/>
  <c r="L660" i="17"/>
  <c r="S660" i="17"/>
  <c r="AE660" i="17"/>
  <c r="AO660" i="17"/>
  <c r="AK676" i="17"/>
  <c r="AC676" i="17"/>
  <c r="U676" i="17"/>
  <c r="M676" i="17"/>
  <c r="AR676" i="17"/>
  <c r="AJ676" i="17"/>
  <c r="AB676" i="17"/>
  <c r="T676" i="17"/>
  <c r="L676" i="17"/>
  <c r="S676" i="17"/>
  <c r="AE676" i="17"/>
  <c r="AO676" i="17"/>
  <c r="AK692" i="17"/>
  <c r="AC692" i="17"/>
  <c r="U692" i="17"/>
  <c r="M692" i="17"/>
  <c r="AR692" i="17"/>
  <c r="AJ692" i="17"/>
  <c r="AB692" i="17"/>
  <c r="T692" i="17"/>
  <c r="L692" i="17"/>
  <c r="S692" i="17"/>
  <c r="AE692" i="17"/>
  <c r="AO692" i="17"/>
  <c r="AK708" i="17"/>
  <c r="AC708" i="17"/>
  <c r="U708" i="17"/>
  <c r="M708" i="17"/>
  <c r="AR708" i="17"/>
  <c r="AJ708" i="17"/>
  <c r="AB708" i="17"/>
  <c r="T708" i="17"/>
  <c r="L708" i="17"/>
  <c r="S708" i="17"/>
  <c r="AE708" i="17"/>
  <c r="AO708" i="17"/>
  <c r="AK724" i="17"/>
  <c r="AC724" i="17"/>
  <c r="U724" i="17"/>
  <c r="M724" i="17"/>
  <c r="AR724" i="17"/>
  <c r="AJ724" i="17"/>
  <c r="AB724" i="17"/>
  <c r="T724" i="17"/>
  <c r="L724" i="17"/>
  <c r="S724" i="17"/>
  <c r="AE724" i="17"/>
  <c r="AO724" i="17"/>
  <c r="AK740" i="17"/>
  <c r="AC740" i="17"/>
  <c r="U740" i="17"/>
  <c r="M740" i="17"/>
  <c r="AR740" i="17"/>
  <c r="AJ740" i="17"/>
  <c r="AB740" i="17"/>
  <c r="T740" i="17"/>
  <c r="L740" i="17"/>
  <c r="S740" i="17"/>
  <c r="AE740" i="17"/>
  <c r="AO740" i="17"/>
  <c r="AK756" i="17"/>
  <c r="AC756" i="17"/>
  <c r="U756" i="17"/>
  <c r="M756" i="17"/>
  <c r="AR756" i="17"/>
  <c r="AJ756" i="17"/>
  <c r="AB756" i="17"/>
  <c r="T756" i="17"/>
  <c r="L756" i="17"/>
  <c r="S756" i="17"/>
  <c r="AE756" i="17"/>
  <c r="AO756" i="17"/>
  <c r="AK772" i="17"/>
  <c r="AC772" i="17"/>
  <c r="U772" i="17"/>
  <c r="M772" i="17"/>
  <c r="AR772" i="17"/>
  <c r="AJ772" i="17"/>
  <c r="AB772" i="17"/>
  <c r="T772" i="17"/>
  <c r="L772" i="17"/>
  <c r="S772" i="17"/>
  <c r="AE772" i="17"/>
  <c r="AO772" i="17"/>
  <c r="AM792" i="17"/>
  <c r="AE792" i="17"/>
  <c r="W792" i="17"/>
  <c r="O792" i="17"/>
  <c r="AQ792" i="17"/>
  <c r="AH792" i="17"/>
  <c r="Y792" i="17"/>
  <c r="P792" i="17"/>
  <c r="AP792" i="17"/>
  <c r="AG792" i="17"/>
  <c r="X792" i="17"/>
  <c r="N792" i="17"/>
  <c r="T792" i="17"/>
  <c r="AF792" i="17"/>
  <c r="AQ793" i="17"/>
  <c r="AI793" i="17"/>
  <c r="AA793" i="17"/>
  <c r="S793" i="17"/>
  <c r="K793" i="17"/>
  <c r="AR793" i="17"/>
  <c r="AH793" i="17"/>
  <c r="Y793" i="17"/>
  <c r="P793" i="17"/>
  <c r="AP793" i="17"/>
  <c r="AG793" i="17"/>
  <c r="X793" i="17"/>
  <c r="O793" i="17"/>
  <c r="U793" i="17"/>
  <c r="AF793" i="17"/>
  <c r="AM802" i="17"/>
  <c r="AE802" i="17"/>
  <c r="W802" i="17"/>
  <c r="O802" i="17"/>
  <c r="AN802" i="17"/>
  <c r="AD802" i="17"/>
  <c r="U802" i="17"/>
  <c r="L802" i="17"/>
  <c r="AL802" i="17"/>
  <c r="AC802" i="17"/>
  <c r="T802" i="17"/>
  <c r="K802" i="17"/>
  <c r="V802" i="17"/>
  <c r="AH802" i="17"/>
  <c r="AQ803" i="17"/>
  <c r="AI803" i="17"/>
  <c r="AA803" i="17"/>
  <c r="S803" i="17"/>
  <c r="K803" i="17"/>
  <c r="AN803" i="17"/>
  <c r="AE803" i="17"/>
  <c r="V803" i="17"/>
  <c r="M803" i="17"/>
  <c r="AM803" i="17"/>
  <c r="AD803" i="17"/>
  <c r="U803" i="17"/>
  <c r="L803" i="17"/>
  <c r="W803" i="17"/>
  <c r="AH803" i="17"/>
  <c r="AM838" i="17"/>
  <c r="AE838" i="17"/>
  <c r="W838" i="17"/>
  <c r="O838" i="17"/>
  <c r="AP838" i="17"/>
  <c r="AG838" i="17"/>
  <c r="X838" i="17"/>
  <c r="N838" i="17"/>
  <c r="AO838" i="17"/>
  <c r="AF838" i="17"/>
  <c r="V838" i="17"/>
  <c r="M838" i="17"/>
  <c r="T838" i="17"/>
  <c r="AH838" i="17"/>
  <c r="AQ839" i="17"/>
  <c r="AI839" i="17"/>
  <c r="AA839" i="17"/>
  <c r="S839" i="17"/>
  <c r="K839" i="17"/>
  <c r="AP839" i="17"/>
  <c r="AG839" i="17"/>
  <c r="X839" i="17"/>
  <c r="O839" i="17"/>
  <c r="AO839" i="17"/>
  <c r="AF839" i="17"/>
  <c r="W839" i="17"/>
  <c r="N839" i="17"/>
  <c r="U839" i="17"/>
  <c r="AH839" i="17"/>
  <c r="AM848" i="17"/>
  <c r="AE848" i="17"/>
  <c r="W848" i="17"/>
  <c r="O848" i="17"/>
  <c r="AL848" i="17"/>
  <c r="AC848" i="17"/>
  <c r="T848" i="17"/>
  <c r="K848" i="17"/>
  <c r="AK848" i="17"/>
  <c r="AB848" i="17"/>
  <c r="S848" i="17"/>
  <c r="J848" i="17"/>
  <c r="V848" i="17"/>
  <c r="AH848" i="17"/>
  <c r="AQ849" i="17"/>
  <c r="AI849" i="17"/>
  <c r="AA849" i="17"/>
  <c r="S849" i="17"/>
  <c r="K849" i="17"/>
  <c r="AM849" i="17"/>
  <c r="AD849" i="17"/>
  <c r="U849" i="17"/>
  <c r="L849" i="17"/>
  <c r="AL849" i="17"/>
  <c r="AC849" i="17"/>
  <c r="T849" i="17"/>
  <c r="J849" i="17"/>
  <c r="W849" i="17"/>
  <c r="AH849" i="17"/>
  <c r="AM874" i="17"/>
  <c r="AE874" i="17"/>
  <c r="W874" i="17"/>
  <c r="O874" i="17"/>
  <c r="AR874" i="17"/>
  <c r="AI874" i="17"/>
  <c r="Z874" i="17"/>
  <c r="Q874" i="17"/>
  <c r="AQ874" i="17"/>
  <c r="AH874" i="17"/>
  <c r="Y874" i="17"/>
  <c r="P874" i="17"/>
  <c r="T874" i="17"/>
  <c r="AF874" i="17"/>
  <c r="AQ875" i="17"/>
  <c r="AI875" i="17"/>
  <c r="AA875" i="17"/>
  <c r="S875" i="17"/>
  <c r="K875" i="17"/>
  <c r="AJ875" i="17"/>
  <c r="Z875" i="17"/>
  <c r="Q875" i="17"/>
  <c r="AR875" i="17"/>
  <c r="AH875" i="17"/>
  <c r="Y875" i="17"/>
  <c r="P875" i="17"/>
  <c r="U875" i="17"/>
  <c r="AF875" i="17"/>
  <c r="AM884" i="17"/>
  <c r="AE884" i="17"/>
  <c r="W884" i="17"/>
  <c r="O884" i="17"/>
  <c r="AO884" i="17"/>
  <c r="AF884" i="17"/>
  <c r="V884" i="17"/>
  <c r="M884" i="17"/>
  <c r="AN884" i="17"/>
  <c r="AD884" i="17"/>
  <c r="U884" i="17"/>
  <c r="L884" i="17"/>
  <c r="T884" i="17"/>
  <c r="AH884" i="17"/>
  <c r="AQ885" i="17"/>
  <c r="AI885" i="17"/>
  <c r="AA885" i="17"/>
  <c r="S885" i="17"/>
  <c r="K885" i="17"/>
  <c r="AO885" i="17"/>
  <c r="AF885" i="17"/>
  <c r="W885" i="17"/>
  <c r="N885" i="17"/>
  <c r="AN885" i="17"/>
  <c r="AE885" i="17"/>
  <c r="V885" i="17"/>
  <c r="M885" i="17"/>
  <c r="U885" i="17"/>
  <c r="AH885" i="17"/>
  <c r="AM920" i="17"/>
  <c r="AE920" i="17"/>
  <c r="W920" i="17"/>
  <c r="O920" i="17"/>
  <c r="AQ920" i="17"/>
  <c r="AH920" i="17"/>
  <c r="Y920" i="17"/>
  <c r="P920" i="17"/>
  <c r="AP920" i="17"/>
  <c r="AG920" i="17"/>
  <c r="X920" i="17"/>
  <c r="N920" i="17"/>
  <c r="T920" i="17"/>
  <c r="AF920" i="17"/>
  <c r="AQ921" i="17"/>
  <c r="AI921" i="17"/>
  <c r="AA921" i="17"/>
  <c r="S921" i="17"/>
  <c r="K921" i="17"/>
  <c r="AR921" i="17"/>
  <c r="AH921" i="17"/>
  <c r="Y921" i="17"/>
  <c r="P921" i="17"/>
  <c r="AP921" i="17"/>
  <c r="AG921" i="17"/>
  <c r="X921" i="17"/>
  <c r="O921" i="17"/>
  <c r="U921" i="17"/>
  <c r="AF921" i="17"/>
  <c r="AM930" i="17"/>
  <c r="AE930" i="17"/>
  <c r="W930" i="17"/>
  <c r="O930" i="17"/>
  <c r="AN930" i="17"/>
  <c r="AD930" i="17"/>
  <c r="U930" i="17"/>
  <c r="L930" i="17"/>
  <c r="AL930" i="17"/>
  <c r="AC930" i="17"/>
  <c r="T930" i="17"/>
  <c r="K930" i="17"/>
  <c r="V930" i="17"/>
  <c r="AH930" i="17"/>
  <c r="AQ931" i="17"/>
  <c r="AI931" i="17"/>
  <c r="AA931" i="17"/>
  <c r="S931" i="17"/>
  <c r="K931" i="17"/>
  <c r="AN931" i="17"/>
  <c r="AE931" i="17"/>
  <c r="V931" i="17"/>
  <c r="M931" i="17"/>
  <c r="AM931" i="17"/>
  <c r="AD931" i="17"/>
  <c r="U931" i="17"/>
  <c r="L931" i="17"/>
  <c r="W931" i="17"/>
  <c r="AH931" i="17"/>
  <c r="AM966" i="17"/>
  <c r="AE966" i="17"/>
  <c r="W966" i="17"/>
  <c r="O966" i="17"/>
  <c r="AP966" i="17"/>
  <c r="AG966" i="17"/>
  <c r="X966" i="17"/>
  <c r="N966" i="17"/>
  <c r="AO966" i="17"/>
  <c r="AF966" i="17"/>
  <c r="V966" i="17"/>
  <c r="M966" i="17"/>
  <c r="T966" i="17"/>
  <c r="AH966" i="17"/>
  <c r="AQ967" i="17"/>
  <c r="AI967" i="17"/>
  <c r="AA967" i="17"/>
  <c r="S967" i="17"/>
  <c r="K967" i="17"/>
  <c r="AP967" i="17"/>
  <c r="AG967" i="17"/>
  <c r="X967" i="17"/>
  <c r="O967" i="17"/>
  <c r="AO967" i="17"/>
  <c r="AF967" i="17"/>
  <c r="W967" i="17"/>
  <c r="N967" i="17"/>
  <c r="U967" i="17"/>
  <c r="AH967" i="17"/>
  <c r="AM976" i="17"/>
  <c r="AE976" i="17"/>
  <c r="W976" i="17"/>
  <c r="O976" i="17"/>
  <c r="AL976" i="17"/>
  <c r="AC976" i="17"/>
  <c r="T976" i="17"/>
  <c r="K976" i="17"/>
  <c r="AK976" i="17"/>
  <c r="AB976" i="17"/>
  <c r="S976" i="17"/>
  <c r="J976" i="17"/>
  <c r="V976" i="17"/>
  <c r="AH976" i="17"/>
  <c r="AQ977" i="17"/>
  <c r="AI977" i="17"/>
  <c r="AA977" i="17"/>
  <c r="S977" i="17"/>
  <c r="K977" i="17"/>
  <c r="AM977" i="17"/>
  <c r="AD977" i="17"/>
  <c r="U977" i="17"/>
  <c r="L977" i="17"/>
  <c r="AL977" i="17"/>
  <c r="AC977" i="17"/>
  <c r="T977" i="17"/>
  <c r="J977" i="17"/>
  <c r="W977" i="17"/>
  <c r="AH977" i="17"/>
  <c r="AM1002" i="17"/>
  <c r="AE1002" i="17"/>
  <c r="W1002" i="17"/>
  <c r="O1002" i="17"/>
  <c r="AR1002" i="17"/>
  <c r="AI1002" i="17"/>
  <c r="Z1002" i="17"/>
  <c r="Q1002" i="17"/>
  <c r="AQ1002" i="17"/>
  <c r="AH1002" i="17"/>
  <c r="Y1002" i="17"/>
  <c r="P1002" i="17"/>
  <c r="T1002" i="17"/>
  <c r="AF1002" i="17"/>
  <c r="AQ1003" i="17"/>
  <c r="AI1003" i="17"/>
  <c r="AA1003" i="17"/>
  <c r="S1003" i="17"/>
  <c r="K1003" i="17"/>
  <c r="AJ1003" i="17"/>
  <c r="Z1003" i="17"/>
  <c r="Q1003" i="17"/>
  <c r="AR1003" i="17"/>
  <c r="AH1003" i="17"/>
  <c r="Y1003" i="17"/>
  <c r="P1003" i="17"/>
  <c r="U1003" i="17"/>
  <c r="AF1003" i="17"/>
  <c r="AM1012" i="17"/>
  <c r="AE1012" i="17"/>
  <c r="W1012" i="17"/>
  <c r="O1012" i="17"/>
  <c r="AO1012" i="17"/>
  <c r="AF1012" i="17"/>
  <c r="V1012" i="17"/>
  <c r="M1012" i="17"/>
  <c r="AN1012" i="17"/>
  <c r="AD1012" i="17"/>
  <c r="U1012" i="17"/>
  <c r="L1012" i="17"/>
  <c r="T1012" i="17"/>
  <c r="AH1012" i="17"/>
  <c r="AQ1013" i="17"/>
  <c r="AI1013" i="17"/>
  <c r="AA1013" i="17"/>
  <c r="S1013" i="17"/>
  <c r="K1013" i="17"/>
  <c r="AO1013" i="17"/>
  <c r="AF1013" i="17"/>
  <c r="W1013" i="17"/>
  <c r="N1013" i="17"/>
  <c r="AN1013" i="17"/>
  <c r="AE1013" i="17"/>
  <c r="V1013" i="17"/>
  <c r="M1013" i="17"/>
  <c r="U1013" i="17"/>
  <c r="AH1013" i="17"/>
  <c r="AR1045" i="17"/>
  <c r="AJ1045" i="17"/>
  <c r="AB1045" i="17"/>
  <c r="T1045" i="17"/>
  <c r="L1045" i="17"/>
  <c r="AQ1045" i="17"/>
  <c r="AI1045" i="17"/>
  <c r="AA1045" i="17"/>
  <c r="S1045" i="17"/>
  <c r="K1045" i="17"/>
  <c r="AK1045" i="17"/>
  <c r="Y1045" i="17"/>
  <c r="O1045" i="17"/>
  <c r="AH1045" i="17"/>
  <c r="X1045" i="17"/>
  <c r="N1045" i="17"/>
  <c r="W1045" i="17"/>
  <c r="AM1045" i="17"/>
  <c r="AR1047" i="17"/>
  <c r="AJ1047" i="17"/>
  <c r="AB1047" i="17"/>
  <c r="T1047" i="17"/>
  <c r="L1047" i="17"/>
  <c r="AQ1047" i="17"/>
  <c r="AI1047" i="17"/>
  <c r="AA1047" i="17"/>
  <c r="S1047" i="17"/>
  <c r="K1047" i="17"/>
  <c r="AM1047" i="17"/>
  <c r="AC1047" i="17"/>
  <c r="Q1047" i="17"/>
  <c r="AL1047" i="17"/>
  <c r="Z1047" i="17"/>
  <c r="P1047" i="17"/>
  <c r="W1047" i="17"/>
  <c r="AK1047" i="17"/>
  <c r="AN1050" i="17"/>
  <c r="AF1050" i="17"/>
  <c r="X1050" i="17"/>
  <c r="P1050" i="17"/>
  <c r="AM1050" i="17"/>
  <c r="AE1050" i="17"/>
  <c r="W1050" i="17"/>
  <c r="O1050" i="17"/>
  <c r="AK1050" i="17"/>
  <c r="AA1050" i="17"/>
  <c r="Q1050" i="17"/>
  <c r="AJ1050" i="17"/>
  <c r="Z1050" i="17"/>
  <c r="N1050" i="17"/>
  <c r="U1050" i="17"/>
  <c r="AI1050" i="17"/>
  <c r="AR1059" i="17"/>
  <c r="AJ1059" i="17"/>
  <c r="AB1059" i="17"/>
  <c r="T1059" i="17"/>
  <c r="L1059" i="17"/>
  <c r="AQ1059" i="17"/>
  <c r="AI1059" i="17"/>
  <c r="AA1059" i="17"/>
  <c r="S1059" i="17"/>
  <c r="K1059" i="17"/>
  <c r="AG1059" i="17"/>
  <c r="W1059" i="17"/>
  <c r="M1059" i="17"/>
  <c r="AP1059" i="17"/>
  <c r="AF1059" i="17"/>
  <c r="V1059" i="17"/>
  <c r="J1059" i="17"/>
  <c r="Y1059" i="17"/>
  <c r="AM1059" i="17"/>
  <c r="AN1062" i="17"/>
  <c r="AF1062" i="17"/>
  <c r="X1062" i="17"/>
  <c r="P1062" i="17"/>
  <c r="AM1062" i="17"/>
  <c r="AE1062" i="17"/>
  <c r="W1062" i="17"/>
  <c r="O1062" i="17"/>
  <c r="AQ1062" i="17"/>
  <c r="AG1062" i="17"/>
  <c r="U1062" i="17"/>
  <c r="K1062" i="17"/>
  <c r="AP1062" i="17"/>
  <c r="AD1062" i="17"/>
  <c r="T1062" i="17"/>
  <c r="J1062" i="17"/>
  <c r="Y1062" i="17"/>
  <c r="AK1062" i="17"/>
  <c r="AN1064" i="17"/>
  <c r="AF1064" i="17"/>
  <c r="X1064" i="17"/>
  <c r="P1064" i="17"/>
  <c r="AM1064" i="17"/>
  <c r="AE1064" i="17"/>
  <c r="W1064" i="17"/>
  <c r="O1064" i="17"/>
  <c r="AI1064" i="17"/>
  <c r="Y1064" i="17"/>
  <c r="M1064" i="17"/>
  <c r="AR1064" i="17"/>
  <c r="AH1064" i="17"/>
  <c r="V1064" i="17"/>
  <c r="L1064" i="17"/>
  <c r="U1064" i="17"/>
  <c r="AK1064" i="17"/>
  <c r="AR1077" i="17"/>
  <c r="AJ1077" i="17"/>
  <c r="AB1077" i="17"/>
  <c r="T1077" i="17"/>
  <c r="L1077" i="17"/>
  <c r="AQ1077" i="17"/>
  <c r="AI1077" i="17"/>
  <c r="AA1077" i="17"/>
  <c r="S1077" i="17"/>
  <c r="K1077" i="17"/>
  <c r="AK1077" i="17"/>
  <c r="Y1077" i="17"/>
  <c r="O1077" i="17"/>
  <c r="AH1077" i="17"/>
  <c r="X1077" i="17"/>
  <c r="N1077" i="17"/>
  <c r="W1077" i="17"/>
  <c r="AM1077" i="17"/>
  <c r="AR1079" i="17"/>
  <c r="AJ1079" i="17"/>
  <c r="AB1079" i="17"/>
  <c r="T1079" i="17"/>
  <c r="L1079" i="17"/>
  <c r="AQ1079" i="17"/>
  <c r="AI1079" i="17"/>
  <c r="AA1079" i="17"/>
  <c r="S1079" i="17"/>
  <c r="K1079" i="17"/>
  <c r="AM1079" i="17"/>
  <c r="AC1079" i="17"/>
  <c r="Q1079" i="17"/>
  <c r="AL1079" i="17"/>
  <c r="Z1079" i="17"/>
  <c r="P1079" i="17"/>
  <c r="W1079" i="17"/>
  <c r="AK1079" i="17"/>
  <c r="AN1082" i="17"/>
  <c r="AF1082" i="17"/>
  <c r="X1082" i="17"/>
  <c r="P1082" i="17"/>
  <c r="AM1082" i="17"/>
  <c r="AE1082" i="17"/>
  <c r="W1082" i="17"/>
  <c r="O1082" i="17"/>
  <c r="AK1082" i="17"/>
  <c r="AA1082" i="17"/>
  <c r="Q1082" i="17"/>
  <c r="AJ1082" i="17"/>
  <c r="Z1082" i="17"/>
  <c r="N1082" i="17"/>
  <c r="U1082" i="17"/>
  <c r="AI1082" i="17"/>
  <c r="AR1091" i="17"/>
  <c r="AJ1091" i="17"/>
  <c r="AB1091" i="17"/>
  <c r="T1091" i="17"/>
  <c r="L1091" i="17"/>
  <c r="AQ1091" i="17"/>
  <c r="AI1091" i="17"/>
  <c r="AA1091" i="17"/>
  <c r="S1091" i="17"/>
  <c r="K1091" i="17"/>
  <c r="AG1091" i="17"/>
  <c r="W1091" i="17"/>
  <c r="M1091" i="17"/>
  <c r="AP1091" i="17"/>
  <c r="AF1091" i="17"/>
  <c r="V1091" i="17"/>
  <c r="J1091" i="17"/>
  <c r="Y1091" i="17"/>
  <c r="AM1091" i="17"/>
  <c r="AN1094" i="17"/>
  <c r="AF1094" i="17"/>
  <c r="X1094" i="17"/>
  <c r="P1094" i="17"/>
  <c r="AM1094" i="17"/>
  <c r="AE1094" i="17"/>
  <c r="W1094" i="17"/>
  <c r="O1094" i="17"/>
  <c r="AQ1094" i="17"/>
  <c r="AG1094" i="17"/>
  <c r="U1094" i="17"/>
  <c r="K1094" i="17"/>
  <c r="AP1094" i="17"/>
  <c r="AD1094" i="17"/>
  <c r="T1094" i="17"/>
  <c r="J1094" i="17"/>
  <c r="Y1094" i="17"/>
  <c r="AK1094" i="17"/>
  <c r="AN1096" i="17"/>
  <c r="AF1096" i="17"/>
  <c r="X1096" i="17"/>
  <c r="P1096" i="17"/>
  <c r="AM1096" i="17"/>
  <c r="AE1096" i="17"/>
  <c r="W1096" i="17"/>
  <c r="O1096" i="17"/>
  <c r="AI1096" i="17"/>
  <c r="Y1096" i="17"/>
  <c r="M1096" i="17"/>
  <c r="AR1096" i="17"/>
  <c r="AH1096" i="17"/>
  <c r="V1096" i="17"/>
  <c r="L1096" i="17"/>
  <c r="U1096" i="17"/>
  <c r="AK1096" i="17"/>
  <c r="AR1109" i="17"/>
  <c r="AJ1109" i="17"/>
  <c r="AB1109" i="17"/>
  <c r="T1109" i="17"/>
  <c r="L1109" i="17"/>
  <c r="AQ1109" i="17"/>
  <c r="AI1109" i="17"/>
  <c r="AA1109" i="17"/>
  <c r="S1109" i="17"/>
  <c r="K1109" i="17"/>
  <c r="AK1109" i="17"/>
  <c r="Y1109" i="17"/>
  <c r="O1109" i="17"/>
  <c r="AH1109" i="17"/>
  <c r="X1109" i="17"/>
  <c r="N1109" i="17"/>
  <c r="W1109" i="17"/>
  <c r="AM1109" i="17"/>
  <c r="AR1111" i="17"/>
  <c r="AJ1111" i="17"/>
  <c r="AB1111" i="17"/>
  <c r="T1111" i="17"/>
  <c r="L1111" i="17"/>
  <c r="AQ1111" i="17"/>
  <c r="AI1111" i="17"/>
  <c r="AA1111" i="17"/>
  <c r="S1111" i="17"/>
  <c r="K1111" i="17"/>
  <c r="AM1111" i="17"/>
  <c r="AC1111" i="17"/>
  <c r="Q1111" i="17"/>
  <c r="AL1111" i="17"/>
  <c r="Z1111" i="17"/>
  <c r="P1111" i="17"/>
  <c r="W1111" i="17"/>
  <c r="AK1111" i="17"/>
  <c r="AN1114" i="17"/>
  <c r="AF1114" i="17"/>
  <c r="X1114" i="17"/>
  <c r="P1114" i="17"/>
  <c r="AM1114" i="17"/>
  <c r="AE1114" i="17"/>
  <c r="W1114" i="17"/>
  <c r="O1114" i="17"/>
  <c r="AK1114" i="17"/>
  <c r="AA1114" i="17"/>
  <c r="Q1114" i="17"/>
  <c r="AJ1114" i="17"/>
  <c r="Z1114" i="17"/>
  <c r="N1114" i="17"/>
  <c r="U1114" i="17"/>
  <c r="AI1114" i="17"/>
  <c r="AR1123" i="17"/>
  <c r="AJ1123" i="17"/>
  <c r="AB1123" i="17"/>
  <c r="T1123" i="17"/>
  <c r="L1123" i="17"/>
  <c r="AQ1123" i="17"/>
  <c r="AI1123" i="17"/>
  <c r="AA1123" i="17"/>
  <c r="S1123" i="17"/>
  <c r="K1123" i="17"/>
  <c r="AG1123" i="17"/>
  <c r="W1123" i="17"/>
  <c r="M1123" i="17"/>
  <c r="AP1123" i="17"/>
  <c r="AF1123" i="17"/>
  <c r="V1123" i="17"/>
  <c r="J1123" i="17"/>
  <c r="Y1123" i="17"/>
  <c r="AM1123" i="17"/>
  <c r="AN1126" i="17"/>
  <c r="AF1126" i="17"/>
  <c r="X1126" i="17"/>
  <c r="P1126" i="17"/>
  <c r="AM1126" i="17"/>
  <c r="AE1126" i="17"/>
  <c r="W1126" i="17"/>
  <c r="O1126" i="17"/>
  <c r="AQ1126" i="17"/>
  <c r="AG1126" i="17"/>
  <c r="U1126" i="17"/>
  <c r="K1126" i="17"/>
  <c r="AP1126" i="17"/>
  <c r="AD1126" i="17"/>
  <c r="T1126" i="17"/>
  <c r="J1126" i="17"/>
  <c r="Y1126" i="17"/>
  <c r="AK1126" i="17"/>
  <c r="AN1128" i="17"/>
  <c r="AF1128" i="17"/>
  <c r="X1128" i="17"/>
  <c r="P1128" i="17"/>
  <c r="AM1128" i="17"/>
  <c r="AE1128" i="17"/>
  <c r="W1128" i="17"/>
  <c r="O1128" i="17"/>
  <c r="AI1128" i="17"/>
  <c r="Y1128" i="17"/>
  <c r="M1128" i="17"/>
  <c r="AR1128" i="17"/>
  <c r="AH1128" i="17"/>
  <c r="V1128" i="17"/>
  <c r="L1128" i="17"/>
  <c r="U1128" i="17"/>
  <c r="AK1128" i="17"/>
  <c r="AR1141" i="17"/>
  <c r="AJ1141" i="17"/>
  <c r="AB1141" i="17"/>
  <c r="T1141" i="17"/>
  <c r="L1141" i="17"/>
  <c r="AQ1141" i="17"/>
  <c r="AI1141" i="17"/>
  <c r="AA1141" i="17"/>
  <c r="S1141" i="17"/>
  <c r="K1141" i="17"/>
  <c r="AK1141" i="17"/>
  <c r="Y1141" i="17"/>
  <c r="O1141" i="17"/>
  <c r="AH1141" i="17"/>
  <c r="X1141" i="17"/>
  <c r="N1141" i="17"/>
  <c r="W1141" i="17"/>
  <c r="AM1141" i="17"/>
  <c r="AR1143" i="17"/>
  <c r="AJ1143" i="17"/>
  <c r="AB1143" i="17"/>
  <c r="T1143" i="17"/>
  <c r="L1143" i="17"/>
  <c r="AQ1143" i="17"/>
  <c r="AI1143" i="17"/>
  <c r="AA1143" i="17"/>
  <c r="S1143" i="17"/>
  <c r="K1143" i="17"/>
  <c r="AM1143" i="17"/>
  <c r="AC1143" i="17"/>
  <c r="Q1143" i="17"/>
  <c r="AL1143" i="17"/>
  <c r="Z1143" i="17"/>
  <c r="P1143" i="17"/>
  <c r="W1143" i="17"/>
  <c r="AK1143" i="17"/>
  <c r="AN1146" i="17"/>
  <c r="AF1146" i="17"/>
  <c r="X1146" i="17"/>
  <c r="P1146" i="17"/>
  <c r="AM1146" i="17"/>
  <c r="AE1146" i="17"/>
  <c r="W1146" i="17"/>
  <c r="O1146" i="17"/>
  <c r="AK1146" i="17"/>
  <c r="AA1146" i="17"/>
  <c r="Q1146" i="17"/>
  <c r="AJ1146" i="17"/>
  <c r="Z1146" i="17"/>
  <c r="N1146" i="17"/>
  <c r="U1146" i="17"/>
  <c r="AI1146" i="17"/>
  <c r="AR1155" i="17"/>
  <c r="AJ1155" i="17"/>
  <c r="AB1155" i="17"/>
  <c r="T1155" i="17"/>
  <c r="L1155" i="17"/>
  <c r="AQ1155" i="17"/>
  <c r="AI1155" i="17"/>
  <c r="AA1155" i="17"/>
  <c r="S1155" i="17"/>
  <c r="K1155" i="17"/>
  <c r="AG1155" i="17"/>
  <c r="W1155" i="17"/>
  <c r="M1155" i="17"/>
  <c r="AP1155" i="17"/>
  <c r="AF1155" i="17"/>
  <c r="V1155" i="17"/>
  <c r="J1155" i="17"/>
  <c r="Y1155" i="17"/>
  <c r="AM1155" i="17"/>
  <c r="AN1158" i="17"/>
  <c r="AF1158" i="17"/>
  <c r="X1158" i="17"/>
  <c r="P1158" i="17"/>
  <c r="AM1158" i="17"/>
  <c r="AE1158" i="17"/>
  <c r="W1158" i="17"/>
  <c r="O1158" i="17"/>
  <c r="AQ1158" i="17"/>
  <c r="AG1158" i="17"/>
  <c r="U1158" i="17"/>
  <c r="K1158" i="17"/>
  <c r="AP1158" i="17"/>
  <c r="AD1158" i="17"/>
  <c r="T1158" i="17"/>
  <c r="J1158" i="17"/>
  <c r="Y1158" i="17"/>
  <c r="AK1158" i="17"/>
  <c r="AN1160" i="17"/>
  <c r="AF1160" i="17"/>
  <c r="X1160" i="17"/>
  <c r="P1160" i="17"/>
  <c r="AM1160" i="17"/>
  <c r="AE1160" i="17"/>
  <c r="W1160" i="17"/>
  <c r="O1160" i="17"/>
  <c r="AI1160" i="17"/>
  <c r="Y1160" i="17"/>
  <c r="M1160" i="17"/>
  <c r="AR1160" i="17"/>
  <c r="AH1160" i="17"/>
  <c r="V1160" i="17"/>
  <c r="L1160" i="17"/>
  <c r="U1160" i="17"/>
  <c r="AK1160" i="17"/>
  <c r="AR1173" i="17"/>
  <c r="AJ1173" i="17"/>
  <c r="AB1173" i="17"/>
  <c r="T1173" i="17"/>
  <c r="L1173" i="17"/>
  <c r="AQ1173" i="17"/>
  <c r="AI1173" i="17"/>
  <c r="AA1173" i="17"/>
  <c r="S1173" i="17"/>
  <c r="K1173" i="17"/>
  <c r="AK1173" i="17"/>
  <c r="Y1173" i="17"/>
  <c r="O1173" i="17"/>
  <c r="AH1173" i="17"/>
  <c r="X1173" i="17"/>
  <c r="N1173" i="17"/>
  <c r="W1173" i="17"/>
  <c r="AM1173" i="17"/>
  <c r="AR1175" i="17"/>
  <c r="AJ1175" i="17"/>
  <c r="AB1175" i="17"/>
  <c r="T1175" i="17"/>
  <c r="L1175" i="17"/>
  <c r="AQ1175" i="17"/>
  <c r="AI1175" i="17"/>
  <c r="AA1175" i="17"/>
  <c r="S1175" i="17"/>
  <c r="K1175" i="17"/>
  <c r="AM1175" i="17"/>
  <c r="AC1175" i="17"/>
  <c r="Q1175" i="17"/>
  <c r="AL1175" i="17"/>
  <c r="Z1175" i="17"/>
  <c r="P1175" i="17"/>
  <c r="W1175" i="17"/>
  <c r="AK1175" i="17"/>
  <c r="AN1178" i="17"/>
  <c r="AF1178" i="17"/>
  <c r="X1178" i="17"/>
  <c r="P1178" i="17"/>
  <c r="AM1178" i="17"/>
  <c r="AE1178" i="17"/>
  <c r="W1178" i="17"/>
  <c r="O1178" i="17"/>
  <c r="AK1178" i="17"/>
  <c r="AA1178" i="17"/>
  <c r="Q1178" i="17"/>
  <c r="AJ1178" i="17"/>
  <c r="Z1178" i="17"/>
  <c r="N1178" i="17"/>
  <c r="U1178" i="17"/>
  <c r="AI1178" i="17"/>
  <c r="AN1194" i="17"/>
  <c r="AF1194" i="17"/>
  <c r="X1194" i="17"/>
  <c r="P1194" i="17"/>
  <c r="AM1194" i="17"/>
  <c r="AE1194" i="17"/>
  <c r="W1194" i="17"/>
  <c r="O1194" i="17"/>
  <c r="AR1194" i="17"/>
  <c r="AH1194" i="17"/>
  <c r="V1194" i="17"/>
  <c r="L1194" i="17"/>
  <c r="AQ1194" i="17"/>
  <c r="AG1194" i="17"/>
  <c r="U1194" i="17"/>
  <c r="K1194" i="17"/>
  <c r="AJ1194" i="17"/>
  <c r="T1194" i="17"/>
  <c r="AI1194" i="17"/>
  <c r="S1194" i="17"/>
  <c r="AA1194" i="17"/>
  <c r="AR1195" i="17"/>
  <c r="AJ1195" i="17"/>
  <c r="AB1195" i="17"/>
  <c r="T1195" i="17"/>
  <c r="L1195" i="17"/>
  <c r="AQ1195" i="17"/>
  <c r="AI1195" i="17"/>
  <c r="AA1195" i="17"/>
  <c r="S1195" i="17"/>
  <c r="K1195" i="17"/>
  <c r="AN1195" i="17"/>
  <c r="AD1195" i="17"/>
  <c r="R1195" i="17"/>
  <c r="AM1195" i="17"/>
  <c r="AC1195" i="17"/>
  <c r="Q1195" i="17"/>
  <c r="AP1195" i="17"/>
  <c r="Z1195" i="17"/>
  <c r="N1195" i="17"/>
  <c r="AO1195" i="17"/>
  <c r="Y1195" i="17"/>
  <c r="M1195" i="17"/>
  <c r="AE1195" i="17"/>
  <c r="AR1209" i="17"/>
  <c r="AJ1209" i="17"/>
  <c r="AB1209" i="17"/>
  <c r="T1209" i="17"/>
  <c r="L1209" i="17"/>
  <c r="AQ1209" i="17"/>
  <c r="AI1209" i="17"/>
  <c r="AA1209" i="17"/>
  <c r="S1209" i="17"/>
  <c r="K1209" i="17"/>
  <c r="AL1209" i="17"/>
  <c r="Z1209" i="17"/>
  <c r="P1209" i="17"/>
  <c r="AK1209" i="17"/>
  <c r="Y1209" i="17"/>
  <c r="O1209" i="17"/>
  <c r="AP1209" i="17"/>
  <c r="AD1209" i="17"/>
  <c r="N1209" i="17"/>
  <c r="AO1209" i="17"/>
  <c r="AC1209" i="17"/>
  <c r="M1209" i="17"/>
  <c r="AE1209" i="17"/>
  <c r="AN1238" i="17"/>
  <c r="AF1238" i="17"/>
  <c r="X1238" i="17"/>
  <c r="P1238" i="17"/>
  <c r="AM1238" i="17"/>
  <c r="AE1238" i="17"/>
  <c r="W1238" i="17"/>
  <c r="O1238" i="17"/>
  <c r="AL1238" i="17"/>
  <c r="AB1238" i="17"/>
  <c r="R1238" i="17"/>
  <c r="AK1238" i="17"/>
  <c r="AA1238" i="17"/>
  <c r="Q1238" i="17"/>
  <c r="AG1238" i="17"/>
  <c r="S1238" i="17"/>
  <c r="AR1238" i="17"/>
  <c r="AD1238" i="17"/>
  <c r="N1238" i="17"/>
  <c r="Y1238" i="17"/>
  <c r="AQ1238" i="17"/>
  <c r="AN1244" i="17"/>
  <c r="AF1244" i="17"/>
  <c r="X1244" i="17"/>
  <c r="P1244" i="17"/>
  <c r="AM1244" i="17"/>
  <c r="AE1244" i="17"/>
  <c r="W1244" i="17"/>
  <c r="O1244" i="17"/>
  <c r="AJ1244" i="17"/>
  <c r="Z1244" i="17"/>
  <c r="N1244" i="17"/>
  <c r="AI1244" i="17"/>
  <c r="Y1244" i="17"/>
  <c r="M1244" i="17"/>
  <c r="AH1244" i="17"/>
  <c r="T1244" i="17"/>
  <c r="AG1244" i="17"/>
  <c r="S1244" i="17"/>
  <c r="AA1244" i="17"/>
  <c r="AQ1244" i="17"/>
  <c r="AN1258" i="17"/>
  <c r="AF1258" i="17"/>
  <c r="X1258" i="17"/>
  <c r="P1258" i="17"/>
  <c r="AM1258" i="17"/>
  <c r="AE1258" i="17"/>
  <c r="W1258" i="17"/>
  <c r="O1258" i="17"/>
  <c r="AR1258" i="17"/>
  <c r="AH1258" i="17"/>
  <c r="V1258" i="17"/>
  <c r="L1258" i="17"/>
  <c r="AQ1258" i="17"/>
  <c r="AG1258" i="17"/>
  <c r="U1258" i="17"/>
  <c r="K1258" i="17"/>
  <c r="AJ1258" i="17"/>
  <c r="T1258" i="17"/>
  <c r="AI1258" i="17"/>
  <c r="S1258" i="17"/>
  <c r="AA1258" i="17"/>
  <c r="AR1259" i="17"/>
  <c r="AJ1259" i="17"/>
  <c r="AB1259" i="17"/>
  <c r="T1259" i="17"/>
  <c r="L1259" i="17"/>
  <c r="AQ1259" i="17"/>
  <c r="AI1259" i="17"/>
  <c r="AA1259" i="17"/>
  <c r="S1259" i="17"/>
  <c r="K1259" i="17"/>
  <c r="AN1259" i="17"/>
  <c r="AD1259" i="17"/>
  <c r="R1259" i="17"/>
  <c r="AM1259" i="17"/>
  <c r="AC1259" i="17"/>
  <c r="Q1259" i="17"/>
  <c r="AP1259" i="17"/>
  <c r="Z1259" i="17"/>
  <c r="N1259" i="17"/>
  <c r="AO1259" i="17"/>
  <c r="Y1259" i="17"/>
  <c r="M1259" i="17"/>
  <c r="AE1259" i="17"/>
  <c r="AR1273" i="17"/>
  <c r="AJ1273" i="17"/>
  <c r="AB1273" i="17"/>
  <c r="T1273" i="17"/>
  <c r="L1273" i="17"/>
  <c r="AQ1273" i="17"/>
  <c r="AI1273" i="17"/>
  <c r="AA1273" i="17"/>
  <c r="S1273" i="17"/>
  <c r="K1273" i="17"/>
  <c r="AL1273" i="17"/>
  <c r="Z1273" i="17"/>
  <c r="P1273" i="17"/>
  <c r="AK1273" i="17"/>
  <c r="Y1273" i="17"/>
  <c r="O1273" i="17"/>
  <c r="AP1273" i="17"/>
  <c r="AD1273" i="17"/>
  <c r="N1273" i="17"/>
  <c r="AO1273" i="17"/>
  <c r="AC1273" i="17"/>
  <c r="M1273" i="17"/>
  <c r="AE1273" i="17"/>
  <c r="AN1302" i="17"/>
  <c r="AF1302" i="17"/>
  <c r="X1302" i="17"/>
  <c r="P1302" i="17"/>
  <c r="AM1302" i="17"/>
  <c r="AE1302" i="17"/>
  <c r="W1302" i="17"/>
  <c r="O1302" i="17"/>
  <c r="AL1302" i="17"/>
  <c r="AB1302" i="17"/>
  <c r="R1302" i="17"/>
  <c r="AK1302" i="17"/>
  <c r="AA1302" i="17"/>
  <c r="Q1302" i="17"/>
  <c r="AG1302" i="17"/>
  <c r="S1302" i="17"/>
  <c r="AR1302" i="17"/>
  <c r="AD1302" i="17"/>
  <c r="N1302" i="17"/>
  <c r="Y1302" i="17"/>
  <c r="AQ1302" i="17"/>
  <c r="AN1308" i="17"/>
  <c r="AF1308" i="17"/>
  <c r="X1308" i="17"/>
  <c r="P1308" i="17"/>
  <c r="AM1308" i="17"/>
  <c r="AE1308" i="17"/>
  <c r="W1308" i="17"/>
  <c r="O1308" i="17"/>
  <c r="AJ1308" i="17"/>
  <c r="Z1308" i="17"/>
  <c r="N1308" i="17"/>
  <c r="AI1308" i="17"/>
  <c r="Y1308" i="17"/>
  <c r="M1308" i="17"/>
  <c r="AH1308" i="17"/>
  <c r="T1308" i="17"/>
  <c r="AG1308" i="17"/>
  <c r="S1308" i="17"/>
  <c r="AA1308" i="17"/>
  <c r="AQ1308" i="17"/>
  <c r="AN1322" i="17"/>
  <c r="AF1322" i="17"/>
  <c r="X1322" i="17"/>
  <c r="P1322" i="17"/>
  <c r="AM1322" i="17"/>
  <c r="AE1322" i="17"/>
  <c r="W1322" i="17"/>
  <c r="O1322" i="17"/>
  <c r="AR1322" i="17"/>
  <c r="AH1322" i="17"/>
  <c r="V1322" i="17"/>
  <c r="L1322" i="17"/>
  <c r="AQ1322" i="17"/>
  <c r="AG1322" i="17"/>
  <c r="U1322" i="17"/>
  <c r="K1322" i="17"/>
  <c r="AJ1322" i="17"/>
  <c r="T1322" i="17"/>
  <c r="AI1322" i="17"/>
  <c r="S1322" i="17"/>
  <c r="AA1322" i="17"/>
  <c r="AR1323" i="17"/>
  <c r="AJ1323" i="17"/>
  <c r="AB1323" i="17"/>
  <c r="T1323" i="17"/>
  <c r="L1323" i="17"/>
  <c r="AQ1323" i="17"/>
  <c r="AI1323" i="17"/>
  <c r="AA1323" i="17"/>
  <c r="S1323" i="17"/>
  <c r="K1323" i="17"/>
  <c r="AN1323" i="17"/>
  <c r="AD1323" i="17"/>
  <c r="R1323" i="17"/>
  <c r="AM1323" i="17"/>
  <c r="AC1323" i="17"/>
  <c r="Q1323" i="17"/>
  <c r="AP1323" i="17"/>
  <c r="Z1323" i="17"/>
  <c r="N1323" i="17"/>
  <c r="AO1323" i="17"/>
  <c r="Y1323" i="17"/>
  <c r="M1323" i="17"/>
  <c r="AE1323" i="17"/>
  <c r="AR1337" i="17"/>
  <c r="AJ1337" i="17"/>
  <c r="AB1337" i="17"/>
  <c r="T1337" i="17"/>
  <c r="L1337" i="17"/>
  <c r="AQ1337" i="17"/>
  <c r="AI1337" i="17"/>
  <c r="AA1337" i="17"/>
  <c r="S1337" i="17"/>
  <c r="K1337" i="17"/>
  <c r="AL1337" i="17"/>
  <c r="Z1337" i="17"/>
  <c r="P1337" i="17"/>
  <c r="AK1337" i="17"/>
  <c r="Y1337" i="17"/>
  <c r="O1337" i="17"/>
  <c r="AP1337" i="17"/>
  <c r="AD1337" i="17"/>
  <c r="N1337" i="17"/>
  <c r="AO1337" i="17"/>
  <c r="AC1337" i="17"/>
  <c r="M1337" i="17"/>
  <c r="AE1337" i="17"/>
  <c r="AL1377" i="17"/>
  <c r="AD1377" i="17"/>
  <c r="V1377" i="17"/>
  <c r="N1377" i="17"/>
  <c r="AK1377" i="17"/>
  <c r="AC1377" i="17"/>
  <c r="U1377" i="17"/>
  <c r="M1377" i="17"/>
  <c r="AM1377" i="17"/>
  <c r="AA1377" i="17"/>
  <c r="Q1377" i="17"/>
  <c r="AJ1377" i="17"/>
  <c r="Z1377" i="17"/>
  <c r="P1377" i="17"/>
  <c r="AO1377" i="17"/>
  <c r="Y1377" i="17"/>
  <c r="K1377" i="17"/>
  <c r="AN1377" i="17"/>
  <c r="X1377" i="17"/>
  <c r="J1377" i="17"/>
  <c r="AH1377" i="17"/>
  <c r="R1377" i="17"/>
  <c r="AG1377" i="17"/>
  <c r="O1377" i="17"/>
  <c r="AI1377" i="17"/>
  <c r="AL1387" i="17"/>
  <c r="AD1387" i="17"/>
  <c r="V1387" i="17"/>
  <c r="N1387" i="17"/>
  <c r="AK1387" i="17"/>
  <c r="AC1387" i="17"/>
  <c r="U1387" i="17"/>
  <c r="M1387" i="17"/>
  <c r="AR1387" i="17"/>
  <c r="AH1387" i="17"/>
  <c r="X1387" i="17"/>
  <c r="L1387" i="17"/>
  <c r="AQ1387" i="17"/>
  <c r="AG1387" i="17"/>
  <c r="W1387" i="17"/>
  <c r="K1387" i="17"/>
  <c r="AE1387" i="17"/>
  <c r="Q1387" i="17"/>
  <c r="AP1387" i="17"/>
  <c r="AB1387" i="17"/>
  <c r="P1387" i="17"/>
  <c r="AJ1387" i="17"/>
  <c r="R1387" i="17"/>
  <c r="AI1387" i="17"/>
  <c r="O1387" i="17"/>
  <c r="AM1387" i="17"/>
  <c r="AL1441" i="17"/>
  <c r="AD1441" i="17"/>
  <c r="V1441" i="17"/>
  <c r="N1441" i="17"/>
  <c r="AK1441" i="17"/>
  <c r="AC1441" i="17"/>
  <c r="U1441" i="17"/>
  <c r="M1441" i="17"/>
  <c r="AQ1441" i="17"/>
  <c r="AG1441" i="17"/>
  <c r="W1441" i="17"/>
  <c r="K1441" i="17"/>
  <c r="AP1441" i="17"/>
  <c r="AF1441" i="17"/>
  <c r="T1441" i="17"/>
  <c r="J1441" i="17"/>
  <c r="AI1441" i="17"/>
  <c r="S1441" i="17"/>
  <c r="AH1441" i="17"/>
  <c r="R1441" i="17"/>
  <c r="AE1441" i="17"/>
  <c r="O1441" i="17"/>
  <c r="AB1441" i="17"/>
  <c r="L1441" i="17"/>
  <c r="AM1441" i="17"/>
  <c r="AL1523" i="17"/>
  <c r="AD1523" i="17"/>
  <c r="V1523" i="17"/>
  <c r="N1523" i="17"/>
  <c r="AK1523" i="17"/>
  <c r="AC1523" i="17"/>
  <c r="U1523" i="17"/>
  <c r="M1523" i="17"/>
  <c r="AR1523" i="17"/>
  <c r="AH1523" i="17"/>
  <c r="X1523" i="17"/>
  <c r="L1523" i="17"/>
  <c r="AQ1523" i="17"/>
  <c r="AG1523" i="17"/>
  <c r="W1523" i="17"/>
  <c r="K1523" i="17"/>
  <c r="AO1523" i="17"/>
  <c r="AA1523" i="17"/>
  <c r="O1523" i="17"/>
  <c r="AN1523" i="17"/>
  <c r="Z1523" i="17"/>
  <c r="J1523" i="17"/>
  <c r="AB1523" i="17"/>
  <c r="Y1523" i="17"/>
  <c r="AI1523" i="17"/>
  <c r="J1531" i="17"/>
  <c r="AJ1531" i="17"/>
  <c r="J1535" i="17"/>
  <c r="AJ1535" i="17"/>
  <c r="AL1541" i="17"/>
  <c r="AD1541" i="17"/>
  <c r="V1541" i="17"/>
  <c r="N1541" i="17"/>
  <c r="AK1541" i="17"/>
  <c r="AC1541" i="17"/>
  <c r="U1541" i="17"/>
  <c r="M1541" i="17"/>
  <c r="AN1541" i="17"/>
  <c r="AB1541" i="17"/>
  <c r="R1541" i="17"/>
  <c r="AM1541" i="17"/>
  <c r="AA1541" i="17"/>
  <c r="Q1541" i="17"/>
  <c r="AG1541" i="17"/>
  <c r="S1541" i="17"/>
  <c r="AR1541" i="17"/>
  <c r="AF1541" i="17"/>
  <c r="P1541" i="17"/>
  <c r="AJ1541" i="17"/>
  <c r="T1541" i="17"/>
  <c r="AI1541" i="17"/>
  <c r="O1541" i="17"/>
  <c r="AE1541" i="17"/>
  <c r="P1545" i="17"/>
  <c r="AJ1545" i="17"/>
  <c r="P1549" i="17"/>
  <c r="AP1549" i="17"/>
  <c r="J1561" i="17"/>
  <c r="AH1561" i="17"/>
  <c r="L1565" i="17"/>
  <c r="AH1565" i="17"/>
  <c r="P1579" i="17"/>
  <c r="AN1579" i="17"/>
  <c r="R1583" i="17"/>
  <c r="AN1583" i="17"/>
  <c r="J1595" i="17"/>
  <c r="AJ1595" i="17"/>
  <c r="J1599" i="17"/>
  <c r="AJ1599" i="17"/>
  <c r="AL1605" i="17"/>
  <c r="AD1605" i="17"/>
  <c r="V1605" i="17"/>
  <c r="N1605" i="17"/>
  <c r="AK1605" i="17"/>
  <c r="AC1605" i="17"/>
  <c r="U1605" i="17"/>
  <c r="M1605" i="17"/>
  <c r="AN1605" i="17"/>
  <c r="AB1605" i="17"/>
  <c r="R1605" i="17"/>
  <c r="AM1605" i="17"/>
  <c r="AA1605" i="17"/>
  <c r="Q1605" i="17"/>
  <c r="AG1605" i="17"/>
  <c r="S1605" i="17"/>
  <c r="AR1605" i="17"/>
  <c r="AF1605" i="17"/>
  <c r="P1605" i="17"/>
  <c r="AJ1605" i="17"/>
  <c r="T1605" i="17"/>
  <c r="AI1605" i="17"/>
  <c r="O1605" i="17"/>
  <c r="AE1605" i="17"/>
  <c r="P1609" i="17"/>
  <c r="AJ1609" i="17"/>
  <c r="P1613" i="17"/>
  <c r="AP1613" i="17"/>
  <c r="AK1698" i="17"/>
  <c r="AC1698" i="17"/>
  <c r="U1698" i="17"/>
  <c r="M1698" i="17"/>
  <c r="AR1698" i="17"/>
  <c r="AJ1698" i="17"/>
  <c r="AB1698" i="17"/>
  <c r="T1698" i="17"/>
  <c r="L1698" i="17"/>
  <c r="AL1698" i="17"/>
  <c r="Z1698" i="17"/>
  <c r="P1698" i="17"/>
  <c r="AI1698" i="17"/>
  <c r="Y1698" i="17"/>
  <c r="O1698" i="17"/>
  <c r="AQ1698" i="17"/>
  <c r="AE1698" i="17"/>
  <c r="Q1698" i="17"/>
  <c r="AP1698" i="17"/>
  <c r="AD1698" i="17"/>
  <c r="N1698" i="17"/>
  <c r="AN1698" i="17"/>
  <c r="V1698" i="17"/>
  <c r="AM1698" i="17"/>
  <c r="S1698" i="17"/>
  <c r="X1698" i="17"/>
  <c r="W1698" i="17"/>
  <c r="AO1698" i="17"/>
  <c r="AK1702" i="17"/>
  <c r="AC1702" i="17"/>
  <c r="U1702" i="17"/>
  <c r="M1702" i="17"/>
  <c r="AR1702" i="17"/>
  <c r="AJ1702" i="17"/>
  <c r="AB1702" i="17"/>
  <c r="T1702" i="17"/>
  <c r="L1702" i="17"/>
  <c r="AN1702" i="17"/>
  <c r="AD1702" i="17"/>
  <c r="R1702" i="17"/>
  <c r="AM1702" i="17"/>
  <c r="AA1702" i="17"/>
  <c r="Q1702" i="17"/>
  <c r="AQ1702" i="17"/>
  <c r="AE1702" i="17"/>
  <c r="O1702" i="17"/>
  <c r="AP1702" i="17"/>
  <c r="Z1702" i="17"/>
  <c r="N1702" i="17"/>
  <c r="X1702" i="17"/>
  <c r="AO1702" i="17"/>
  <c r="W1702" i="17"/>
  <c r="AF1702" i="17"/>
  <c r="Y1702" i="17"/>
  <c r="AI1702" i="17"/>
  <c r="P1796" i="17"/>
  <c r="AL1806" i="17"/>
  <c r="AD1806" i="17"/>
  <c r="V1806" i="17"/>
  <c r="N1806" i="17"/>
  <c r="AK1806" i="17"/>
  <c r="AC1806" i="17"/>
  <c r="U1806" i="17"/>
  <c r="M1806" i="17"/>
  <c r="AN1806" i="17"/>
  <c r="AB1806" i="17"/>
  <c r="R1806" i="17"/>
  <c r="AM1806" i="17"/>
  <c r="AA1806" i="17"/>
  <c r="Q1806" i="17"/>
  <c r="AO1806" i="17"/>
  <c r="Y1806" i="17"/>
  <c r="K1806" i="17"/>
  <c r="AJ1806" i="17"/>
  <c r="X1806" i="17"/>
  <c r="J1806" i="17"/>
  <c r="AI1806" i="17"/>
  <c r="S1806" i="17"/>
  <c r="AH1806" i="17"/>
  <c r="P1806" i="17"/>
  <c r="Z1806" i="17"/>
  <c r="W1806" i="17"/>
  <c r="AG1806" i="17"/>
  <c r="AF1806" i="17"/>
  <c r="X1818" i="17"/>
  <c r="AL1845" i="17"/>
  <c r="AD1845" i="17"/>
  <c r="V1845" i="17"/>
  <c r="N1845" i="17"/>
  <c r="AK1845" i="17"/>
  <c r="AC1845" i="17"/>
  <c r="U1845" i="17"/>
  <c r="M1845" i="17"/>
  <c r="AR1845" i="17"/>
  <c r="AH1845" i="17"/>
  <c r="X1845" i="17"/>
  <c r="L1845" i="17"/>
  <c r="AQ1845" i="17"/>
  <c r="AG1845" i="17"/>
  <c r="W1845" i="17"/>
  <c r="K1845" i="17"/>
  <c r="AF1845" i="17"/>
  <c r="R1845" i="17"/>
  <c r="AE1845" i="17"/>
  <c r="Q1845" i="17"/>
  <c r="AM1845" i="17"/>
  <c r="S1845" i="17"/>
  <c r="AJ1845" i="17"/>
  <c r="P1845" i="17"/>
  <c r="AA1845" i="17"/>
  <c r="Z1845" i="17"/>
  <c r="AI1845" i="17"/>
  <c r="AB1845" i="17"/>
  <c r="AP1845" i="17"/>
  <c r="AO1845" i="17"/>
  <c r="I5902" i="16"/>
  <c r="I5910" i="16"/>
  <c r="I5918" i="16"/>
  <c r="I5926" i="16"/>
  <c r="I5934" i="16"/>
  <c r="I5942" i="16"/>
  <c r="I5950" i="16"/>
  <c r="I5958" i="16"/>
  <c r="I5966" i="16"/>
  <c r="I5974" i="16"/>
  <c r="I5982" i="16"/>
  <c r="I5990" i="16"/>
  <c r="I5998" i="16"/>
  <c r="J3" i="17"/>
  <c r="R3" i="17"/>
  <c r="AF3" i="17" s="1"/>
  <c r="Z3" i="17"/>
  <c r="J5" i="17"/>
  <c r="R5" i="17"/>
  <c r="AF5" i="17" s="1"/>
  <c r="Z5" i="17"/>
  <c r="J7" i="17"/>
  <c r="R7" i="17"/>
  <c r="AF7" i="17" s="1"/>
  <c r="Z7" i="17"/>
  <c r="AH7" i="17"/>
  <c r="J9" i="17"/>
  <c r="R9" i="17"/>
  <c r="Z9" i="17"/>
  <c r="J11" i="17"/>
  <c r="R11" i="17"/>
  <c r="Z11" i="17"/>
  <c r="AH11" i="17"/>
  <c r="J13" i="17"/>
  <c r="R13" i="17"/>
  <c r="AG13" i="17" s="1"/>
  <c r="Z13" i="17"/>
  <c r="J15" i="17"/>
  <c r="R15" i="17"/>
  <c r="Z15" i="17"/>
  <c r="J17" i="17"/>
  <c r="R17" i="17"/>
  <c r="Z17" i="17"/>
  <c r="AH17" i="17"/>
  <c r="J19" i="17"/>
  <c r="R19" i="17"/>
  <c r="AF19" i="17" s="1"/>
  <c r="Z19" i="17"/>
  <c r="AH19" i="17"/>
  <c r="J21" i="17"/>
  <c r="R21" i="17"/>
  <c r="AP21" i="17" s="1"/>
  <c r="Z21" i="17"/>
  <c r="AH21" i="17"/>
  <c r="J23" i="17"/>
  <c r="R23" i="17"/>
  <c r="Z23" i="17"/>
  <c r="J25" i="17"/>
  <c r="R25" i="17"/>
  <c r="Z25" i="17"/>
  <c r="AH25" i="17"/>
  <c r="J27" i="17"/>
  <c r="R27" i="17"/>
  <c r="AF27" i="17" s="1"/>
  <c r="Z27" i="17"/>
  <c r="AH27" i="17"/>
  <c r="J29" i="17"/>
  <c r="R29" i="17"/>
  <c r="AG29" i="17" s="1"/>
  <c r="Z29" i="17"/>
  <c r="AH29" i="17"/>
  <c r="J31" i="17"/>
  <c r="R31" i="17"/>
  <c r="Z31" i="17"/>
  <c r="J33" i="17"/>
  <c r="R33" i="17"/>
  <c r="AG33" i="17" s="1"/>
  <c r="Z33" i="17"/>
  <c r="J35" i="17"/>
  <c r="R35" i="17"/>
  <c r="AF35" i="17" s="1"/>
  <c r="Z35" i="17"/>
  <c r="AH35" i="17"/>
  <c r="J37" i="17"/>
  <c r="R37" i="17"/>
  <c r="AF37" i="17" s="1"/>
  <c r="Z37" i="17"/>
  <c r="AH37" i="17"/>
  <c r="J39" i="17"/>
  <c r="R39" i="17"/>
  <c r="Z39" i="17"/>
  <c r="J41" i="17"/>
  <c r="R41" i="17"/>
  <c r="AG41" i="17" s="1"/>
  <c r="Z41" i="17"/>
  <c r="J43" i="17"/>
  <c r="R43" i="17"/>
  <c r="AF43" i="17" s="1"/>
  <c r="Z43" i="17"/>
  <c r="J45" i="17"/>
  <c r="R45" i="17"/>
  <c r="Z45" i="17"/>
  <c r="J47" i="17"/>
  <c r="R47" i="17"/>
  <c r="Z47" i="17"/>
  <c r="AH47" i="17"/>
  <c r="J49" i="17"/>
  <c r="R49" i="17"/>
  <c r="AP49" i="17" s="1"/>
  <c r="Z49" i="17"/>
  <c r="J51" i="17"/>
  <c r="R51" i="17"/>
  <c r="AF51" i="17" s="1"/>
  <c r="Z51" i="17"/>
  <c r="J53" i="17"/>
  <c r="R53" i="17"/>
  <c r="AG53" i="17" s="1"/>
  <c r="Z53" i="17"/>
  <c r="AH53" i="17"/>
  <c r="J55" i="17"/>
  <c r="R55" i="17"/>
  <c r="Z55" i="17"/>
  <c r="AH55" i="17"/>
  <c r="J57" i="17"/>
  <c r="R57" i="17"/>
  <c r="AG57" i="17" s="1"/>
  <c r="Z57" i="17"/>
  <c r="J59" i="17"/>
  <c r="R59" i="17"/>
  <c r="AF59" i="17" s="1"/>
  <c r="Z59" i="17"/>
  <c r="J61" i="17"/>
  <c r="R61" i="17"/>
  <c r="AG61" i="17" s="1"/>
  <c r="Z61" i="17"/>
  <c r="J63" i="17"/>
  <c r="R63" i="17"/>
  <c r="Z63" i="17"/>
  <c r="AH63" i="17"/>
  <c r="J65" i="17"/>
  <c r="R65" i="17"/>
  <c r="AF65" i="17" s="1"/>
  <c r="Z65" i="17"/>
  <c r="J67" i="17"/>
  <c r="R67" i="17"/>
  <c r="AF67" i="17" s="1"/>
  <c r="Z67" i="17"/>
  <c r="J69" i="17"/>
  <c r="R69" i="17"/>
  <c r="AF69" i="17" s="1"/>
  <c r="Z69" i="17"/>
  <c r="J71" i="17"/>
  <c r="R71" i="17"/>
  <c r="AF71" i="17" s="1"/>
  <c r="Z71" i="17"/>
  <c r="J73" i="17"/>
  <c r="R73" i="17"/>
  <c r="Z73" i="17"/>
  <c r="AH73" i="17"/>
  <c r="J75" i="17"/>
  <c r="R75" i="17"/>
  <c r="Z75" i="17"/>
  <c r="AH75" i="17"/>
  <c r="J77" i="17"/>
  <c r="R77" i="17"/>
  <c r="AG77" i="17" s="1"/>
  <c r="Z77" i="17"/>
  <c r="J79" i="17"/>
  <c r="R79" i="17"/>
  <c r="AF79" i="17" s="1"/>
  <c r="Z79" i="17"/>
  <c r="J81" i="17"/>
  <c r="R81" i="17"/>
  <c r="Z81" i="17"/>
  <c r="J83" i="17"/>
  <c r="R83" i="17"/>
  <c r="AF83" i="17" s="1"/>
  <c r="Z83" i="17"/>
  <c r="AH83" i="17"/>
  <c r="J85" i="17"/>
  <c r="R85" i="17"/>
  <c r="AP85" i="17" s="1"/>
  <c r="Z85" i="17"/>
  <c r="J87" i="17"/>
  <c r="R87" i="17"/>
  <c r="AF87" i="17" s="1"/>
  <c r="Z87" i="17"/>
  <c r="J89" i="17"/>
  <c r="R89" i="17"/>
  <c r="AG89" i="17" s="1"/>
  <c r="Z89" i="17"/>
  <c r="AH89" i="17"/>
  <c r="J91" i="17"/>
  <c r="R91" i="17"/>
  <c r="Z91" i="17"/>
  <c r="J93" i="17"/>
  <c r="R93" i="17"/>
  <c r="AF93" i="17" s="1"/>
  <c r="Z93" i="17"/>
  <c r="J95" i="17"/>
  <c r="R95" i="17"/>
  <c r="Z95" i="17"/>
  <c r="AH95" i="17"/>
  <c r="J97" i="17"/>
  <c r="R97" i="17"/>
  <c r="AF97" i="17" s="1"/>
  <c r="Z97" i="17"/>
  <c r="J99" i="17"/>
  <c r="R99" i="17"/>
  <c r="AF99" i="17" s="1"/>
  <c r="Z99" i="17"/>
  <c r="AH99" i="17"/>
  <c r="J101" i="17"/>
  <c r="R101" i="17"/>
  <c r="AF101" i="17" s="1"/>
  <c r="Z101" i="17"/>
  <c r="J103" i="17"/>
  <c r="R103" i="17"/>
  <c r="AF103" i="17" s="1"/>
  <c r="Z103" i="17"/>
  <c r="J105" i="17"/>
  <c r="R105" i="17"/>
  <c r="AG105" i="17" s="1"/>
  <c r="Z105" i="17"/>
  <c r="J107" i="17"/>
  <c r="R107" i="17"/>
  <c r="AF107" i="17" s="1"/>
  <c r="Z107" i="17"/>
  <c r="J109" i="17"/>
  <c r="R109" i="17"/>
  <c r="AG109" i="17" s="1"/>
  <c r="Z109" i="17"/>
  <c r="AH109" i="17"/>
  <c r="J111" i="17"/>
  <c r="R111" i="17"/>
  <c r="Z111" i="17"/>
  <c r="AH111" i="17"/>
  <c r="J113" i="17"/>
  <c r="R113" i="17"/>
  <c r="Z113" i="17"/>
  <c r="J115" i="17"/>
  <c r="R115" i="17"/>
  <c r="AF115" i="17" s="1"/>
  <c r="Z115" i="17"/>
  <c r="J117" i="17"/>
  <c r="R117" i="17"/>
  <c r="AG117" i="17" s="1"/>
  <c r="Z117" i="17"/>
  <c r="J119" i="17"/>
  <c r="R119" i="17"/>
  <c r="Z119" i="17"/>
  <c r="J121" i="17"/>
  <c r="R121" i="17"/>
  <c r="AF121" i="17" s="1"/>
  <c r="Z121" i="17"/>
  <c r="J123" i="17"/>
  <c r="R123" i="17"/>
  <c r="AF123" i="17" s="1"/>
  <c r="Z123" i="17"/>
  <c r="AH123" i="17"/>
  <c r="J125" i="17"/>
  <c r="R125" i="17"/>
  <c r="AG125" i="17" s="1"/>
  <c r="Z125" i="17"/>
  <c r="J127" i="17"/>
  <c r="R127" i="17"/>
  <c r="Z127" i="17"/>
  <c r="AH127" i="17"/>
  <c r="J129" i="17"/>
  <c r="R129" i="17"/>
  <c r="AF129" i="17" s="1"/>
  <c r="Z129" i="17"/>
  <c r="J131" i="17"/>
  <c r="R131" i="17"/>
  <c r="AF131" i="17" s="1"/>
  <c r="Z131" i="17"/>
  <c r="AH131" i="17"/>
  <c r="J133" i="17"/>
  <c r="R133" i="17"/>
  <c r="Z133" i="17"/>
  <c r="J135" i="17"/>
  <c r="R135" i="17"/>
  <c r="AF135" i="17" s="1"/>
  <c r="Z135" i="17"/>
  <c r="J137" i="17"/>
  <c r="R137" i="17"/>
  <c r="Z137" i="17"/>
  <c r="J139" i="17"/>
  <c r="R139" i="17"/>
  <c r="Z139" i="17"/>
  <c r="J141" i="17"/>
  <c r="R141" i="17"/>
  <c r="AG141" i="17" s="1"/>
  <c r="Z141" i="17"/>
  <c r="J143" i="17"/>
  <c r="R143" i="17"/>
  <c r="AF143" i="17" s="1"/>
  <c r="Z143" i="17"/>
  <c r="J145" i="17"/>
  <c r="R145" i="17"/>
  <c r="AG145" i="17" s="1"/>
  <c r="Z145" i="17"/>
  <c r="AH145" i="17"/>
  <c r="J147" i="17"/>
  <c r="R147" i="17"/>
  <c r="AF147" i="17" s="1"/>
  <c r="Z147" i="17"/>
  <c r="J149" i="17"/>
  <c r="R149" i="17"/>
  <c r="Z149" i="17"/>
  <c r="AH149" i="17"/>
  <c r="J151" i="17"/>
  <c r="R151" i="17"/>
  <c r="Z151" i="17"/>
  <c r="J153" i="17"/>
  <c r="R153" i="17"/>
  <c r="AG153" i="17" s="1"/>
  <c r="Z153" i="17"/>
  <c r="J155" i="17"/>
  <c r="R155" i="17"/>
  <c r="AF155" i="17" s="1"/>
  <c r="Z155" i="17"/>
  <c r="J157" i="17"/>
  <c r="R157" i="17"/>
  <c r="AF157" i="17" s="1"/>
  <c r="Z157" i="17"/>
  <c r="AH157" i="17"/>
  <c r="J159" i="17"/>
  <c r="R159" i="17"/>
  <c r="AF159" i="17" s="1"/>
  <c r="Z159" i="17"/>
  <c r="J161" i="17"/>
  <c r="R161" i="17"/>
  <c r="AF161" i="17" s="1"/>
  <c r="Z161" i="17"/>
  <c r="J163" i="17"/>
  <c r="R163" i="17"/>
  <c r="Z163" i="17"/>
  <c r="AH163" i="17"/>
  <c r="J165" i="17"/>
  <c r="R165" i="17"/>
  <c r="AF165" i="17" s="1"/>
  <c r="Z165" i="17"/>
  <c r="J167" i="17"/>
  <c r="R167" i="17"/>
  <c r="AF167" i="17" s="1"/>
  <c r="Z167" i="17"/>
  <c r="AH167" i="17"/>
  <c r="J169" i="17"/>
  <c r="R169" i="17"/>
  <c r="AG169" i="17" s="1"/>
  <c r="Z169" i="17"/>
  <c r="AH169" i="17"/>
  <c r="J171" i="17"/>
  <c r="R171" i="17"/>
  <c r="AF171" i="17" s="1"/>
  <c r="Z171" i="17"/>
  <c r="J173" i="17"/>
  <c r="R173" i="17"/>
  <c r="AG173" i="17" s="1"/>
  <c r="Z173" i="17"/>
  <c r="J175" i="17"/>
  <c r="R175" i="17"/>
  <c r="Z175" i="17"/>
  <c r="J177" i="17"/>
  <c r="R177" i="17"/>
  <c r="Z177" i="17"/>
  <c r="AH177" i="17"/>
  <c r="J179" i="17"/>
  <c r="R179" i="17"/>
  <c r="Z179" i="17"/>
  <c r="AH179" i="17"/>
  <c r="J181" i="17"/>
  <c r="R181" i="17"/>
  <c r="Z181" i="17"/>
  <c r="AH181" i="17"/>
  <c r="J183" i="17"/>
  <c r="R183" i="17"/>
  <c r="Z183" i="17"/>
  <c r="AH183" i="17"/>
  <c r="J185" i="17"/>
  <c r="R185" i="17"/>
  <c r="Z185" i="17"/>
  <c r="AH185" i="17"/>
  <c r="J187" i="17"/>
  <c r="R187" i="17"/>
  <c r="Z187" i="17"/>
  <c r="AH187" i="17"/>
  <c r="J189" i="17"/>
  <c r="R189" i="17"/>
  <c r="Z189" i="17"/>
  <c r="AH189" i="17"/>
  <c r="J191" i="17"/>
  <c r="R191" i="17"/>
  <c r="Z191" i="17"/>
  <c r="AH191" i="17"/>
  <c r="J193" i="17"/>
  <c r="R193" i="17"/>
  <c r="Z193" i="17"/>
  <c r="AH193" i="17"/>
  <c r="J195" i="17"/>
  <c r="R195" i="17"/>
  <c r="Z195" i="17"/>
  <c r="AH195" i="17"/>
  <c r="J197" i="17"/>
  <c r="R197" i="17"/>
  <c r="Z197" i="17"/>
  <c r="AH197" i="17"/>
  <c r="J199" i="17"/>
  <c r="R199" i="17"/>
  <c r="Z199" i="17"/>
  <c r="AH199" i="17"/>
  <c r="J201" i="17"/>
  <c r="R201" i="17"/>
  <c r="Z201" i="17"/>
  <c r="AH201" i="17"/>
  <c r="J203" i="17"/>
  <c r="R203" i="17"/>
  <c r="Z203" i="17"/>
  <c r="AH203" i="17"/>
  <c r="J205" i="17"/>
  <c r="R205" i="17"/>
  <c r="Z205" i="17"/>
  <c r="AH205" i="17"/>
  <c r="J207" i="17"/>
  <c r="R207" i="17"/>
  <c r="Z207" i="17"/>
  <c r="AH207" i="17"/>
  <c r="J209" i="17"/>
  <c r="R209" i="17"/>
  <c r="Z209" i="17"/>
  <c r="AH209" i="17"/>
  <c r="J211" i="17"/>
  <c r="R211" i="17"/>
  <c r="Z211" i="17"/>
  <c r="AH211" i="17"/>
  <c r="J213" i="17"/>
  <c r="R213" i="17"/>
  <c r="Z213" i="17"/>
  <c r="AH213" i="17"/>
  <c r="J215" i="17"/>
  <c r="R215" i="17"/>
  <c r="Z215" i="17"/>
  <c r="AH215" i="17"/>
  <c r="J217" i="17"/>
  <c r="R217" i="17"/>
  <c r="Z217" i="17"/>
  <c r="AH217" i="17"/>
  <c r="J219" i="17"/>
  <c r="R219" i="17"/>
  <c r="Z219" i="17"/>
  <c r="AH219" i="17"/>
  <c r="J221" i="17"/>
  <c r="R221" i="17"/>
  <c r="Z221" i="17"/>
  <c r="AH221" i="17"/>
  <c r="J223" i="17"/>
  <c r="R223" i="17"/>
  <c r="Z223" i="17"/>
  <c r="AH223" i="17"/>
  <c r="J225" i="17"/>
  <c r="R225" i="17"/>
  <c r="Z225" i="17"/>
  <c r="AH225" i="17"/>
  <c r="J227" i="17"/>
  <c r="R227" i="17"/>
  <c r="Z227" i="17"/>
  <c r="AH227" i="17"/>
  <c r="J229" i="17"/>
  <c r="R229" i="17"/>
  <c r="Z229" i="17"/>
  <c r="AH229" i="17"/>
  <c r="J231" i="17"/>
  <c r="R231" i="17"/>
  <c r="Z231" i="17"/>
  <c r="AH231" i="17"/>
  <c r="J233" i="17"/>
  <c r="R233" i="17"/>
  <c r="Z233" i="17"/>
  <c r="AH233" i="17"/>
  <c r="J235" i="17"/>
  <c r="R235" i="17"/>
  <c r="Z235" i="17"/>
  <c r="AH235" i="17"/>
  <c r="J237" i="17"/>
  <c r="R237" i="17"/>
  <c r="Z237" i="17"/>
  <c r="AH237" i="17"/>
  <c r="J239" i="17"/>
  <c r="R239" i="17"/>
  <c r="Z239" i="17"/>
  <c r="AH239" i="17"/>
  <c r="J241" i="17"/>
  <c r="R241" i="17"/>
  <c r="Z241" i="17"/>
  <c r="AH241" i="17"/>
  <c r="J243" i="17"/>
  <c r="R243" i="17"/>
  <c r="Z243" i="17"/>
  <c r="AH243" i="17"/>
  <c r="J245" i="17"/>
  <c r="R245" i="17"/>
  <c r="Z245" i="17"/>
  <c r="AH245" i="17"/>
  <c r="J247" i="17"/>
  <c r="R247" i="17"/>
  <c r="Z247" i="17"/>
  <c r="AH247" i="17"/>
  <c r="J249" i="17"/>
  <c r="R249" i="17"/>
  <c r="Z249" i="17"/>
  <c r="AH249" i="17"/>
  <c r="J251" i="17"/>
  <c r="R251" i="17"/>
  <c r="Z251" i="17"/>
  <c r="AH251" i="17"/>
  <c r="J253" i="17"/>
  <c r="R253" i="17"/>
  <c r="Z253" i="17"/>
  <c r="AH253" i="17"/>
  <c r="J255" i="17"/>
  <c r="R255" i="17"/>
  <c r="Z255" i="17"/>
  <c r="AH255" i="17"/>
  <c r="J257" i="17"/>
  <c r="R257" i="17"/>
  <c r="Z257" i="17"/>
  <c r="AH257" i="17"/>
  <c r="J259" i="17"/>
  <c r="R259" i="17"/>
  <c r="Z259" i="17"/>
  <c r="AH259" i="17"/>
  <c r="J261" i="17"/>
  <c r="R261" i="17"/>
  <c r="Z261" i="17"/>
  <c r="AH261" i="17"/>
  <c r="J263" i="17"/>
  <c r="R263" i="17"/>
  <c r="Z263" i="17"/>
  <c r="AH263" i="17"/>
  <c r="J265" i="17"/>
  <c r="R265" i="17"/>
  <c r="Z265" i="17"/>
  <c r="AH265" i="17"/>
  <c r="J267" i="17"/>
  <c r="R267" i="17"/>
  <c r="Z267" i="17"/>
  <c r="AH267" i="17"/>
  <c r="J269" i="17"/>
  <c r="R269" i="17"/>
  <c r="Z269" i="17"/>
  <c r="AH269" i="17"/>
  <c r="J271" i="17"/>
  <c r="R271" i="17"/>
  <c r="Z271" i="17"/>
  <c r="AH271" i="17"/>
  <c r="J273" i="17"/>
  <c r="R273" i="17"/>
  <c r="Z273" i="17"/>
  <c r="AH273" i="17"/>
  <c r="J275" i="17"/>
  <c r="R275" i="17"/>
  <c r="Z275" i="17"/>
  <c r="AH275" i="17"/>
  <c r="J277" i="17"/>
  <c r="R277" i="17"/>
  <c r="Z277" i="17"/>
  <c r="AH277" i="17"/>
  <c r="J279" i="17"/>
  <c r="R279" i="17"/>
  <c r="Z279" i="17"/>
  <c r="AH279" i="17"/>
  <c r="J281" i="17"/>
  <c r="R281" i="17"/>
  <c r="Z281" i="17"/>
  <c r="AH281" i="17"/>
  <c r="J283" i="17"/>
  <c r="R283" i="17"/>
  <c r="Z283" i="17"/>
  <c r="AH283" i="17"/>
  <c r="J285" i="17"/>
  <c r="R285" i="17"/>
  <c r="Z285" i="17"/>
  <c r="AH285" i="17"/>
  <c r="J287" i="17"/>
  <c r="R287" i="17"/>
  <c r="Z287" i="17"/>
  <c r="AH287" i="17"/>
  <c r="J289" i="17"/>
  <c r="R289" i="17"/>
  <c r="Z289" i="17"/>
  <c r="AH289" i="17"/>
  <c r="J291" i="17"/>
  <c r="R291" i="17"/>
  <c r="Z291" i="17"/>
  <c r="AH291" i="17"/>
  <c r="J293" i="17"/>
  <c r="R293" i="17"/>
  <c r="Z293" i="17"/>
  <c r="AH293" i="17"/>
  <c r="J295" i="17"/>
  <c r="R295" i="17"/>
  <c r="Z295" i="17"/>
  <c r="AH295" i="17"/>
  <c r="J297" i="17"/>
  <c r="R297" i="17"/>
  <c r="Z297" i="17"/>
  <c r="AH297" i="17"/>
  <c r="J299" i="17"/>
  <c r="R299" i="17"/>
  <c r="Z299" i="17"/>
  <c r="AH299" i="17"/>
  <c r="J301" i="17"/>
  <c r="R301" i="17"/>
  <c r="Z301" i="17"/>
  <c r="AH301" i="17"/>
  <c r="J303" i="17"/>
  <c r="R303" i="17"/>
  <c r="Z303" i="17"/>
  <c r="AH303" i="17"/>
  <c r="J305" i="17"/>
  <c r="R305" i="17"/>
  <c r="Z305" i="17"/>
  <c r="AH305" i="17"/>
  <c r="J307" i="17"/>
  <c r="R307" i="17"/>
  <c r="Z307" i="17"/>
  <c r="AH307" i="17"/>
  <c r="J309" i="17"/>
  <c r="R309" i="17"/>
  <c r="Z309" i="17"/>
  <c r="AH309" i="17"/>
  <c r="J311" i="17"/>
  <c r="R311" i="17"/>
  <c r="Z311" i="17"/>
  <c r="AH311" i="17"/>
  <c r="J313" i="17"/>
  <c r="R313" i="17"/>
  <c r="Z313" i="17"/>
  <c r="AH313" i="17"/>
  <c r="J315" i="17"/>
  <c r="R315" i="17"/>
  <c r="Z315" i="17"/>
  <c r="AH315" i="17"/>
  <c r="J317" i="17"/>
  <c r="R317" i="17"/>
  <c r="Z317" i="17"/>
  <c r="AH317" i="17"/>
  <c r="J319" i="17"/>
  <c r="R319" i="17"/>
  <c r="Z319" i="17"/>
  <c r="AH319" i="17"/>
  <c r="J321" i="17"/>
  <c r="R321" i="17"/>
  <c r="Z321" i="17"/>
  <c r="AH321" i="17"/>
  <c r="J323" i="17"/>
  <c r="R323" i="17"/>
  <c r="Z323" i="17"/>
  <c r="AH323" i="17"/>
  <c r="J325" i="17"/>
  <c r="R325" i="17"/>
  <c r="Z325" i="17"/>
  <c r="AH325" i="17"/>
  <c r="J327" i="17"/>
  <c r="R327" i="17"/>
  <c r="Z327" i="17"/>
  <c r="AH327" i="17"/>
  <c r="J329" i="17"/>
  <c r="R329" i="17"/>
  <c r="Z329" i="17"/>
  <c r="AH329" i="17"/>
  <c r="J331" i="17"/>
  <c r="R331" i="17"/>
  <c r="Z331" i="17"/>
  <c r="AH331" i="17"/>
  <c r="J333" i="17"/>
  <c r="R333" i="17"/>
  <c r="Z333" i="17"/>
  <c r="AH333" i="17"/>
  <c r="J335" i="17"/>
  <c r="R335" i="17"/>
  <c r="Z335" i="17"/>
  <c r="AH335" i="17"/>
  <c r="J337" i="17"/>
  <c r="R337" i="17"/>
  <c r="Z337" i="17"/>
  <c r="AH337" i="17"/>
  <c r="Z395" i="17"/>
  <c r="AH395" i="17"/>
  <c r="J397" i="17"/>
  <c r="R397" i="17"/>
  <c r="Z397" i="17"/>
  <c r="AH397" i="17"/>
  <c r="J399" i="17"/>
  <c r="R399" i="17"/>
  <c r="Z399" i="17"/>
  <c r="AH399" i="17"/>
  <c r="J401" i="17"/>
  <c r="R401" i="17"/>
  <c r="Z401" i="17"/>
  <c r="AH401" i="17"/>
  <c r="J403" i="17"/>
  <c r="R403" i="17"/>
  <c r="Z403" i="17"/>
  <c r="AH403" i="17"/>
  <c r="J405" i="17"/>
  <c r="R405" i="17"/>
  <c r="Z405" i="17"/>
  <c r="AH405" i="17"/>
  <c r="J407" i="17"/>
  <c r="R407" i="17"/>
  <c r="Z407" i="17"/>
  <c r="AH407" i="17"/>
  <c r="J409" i="17"/>
  <c r="R409" i="17"/>
  <c r="Z409" i="17"/>
  <c r="AH409" i="17"/>
  <c r="J411" i="17"/>
  <c r="R411" i="17"/>
  <c r="Z411" i="17"/>
  <c r="AH411" i="17"/>
  <c r="J413" i="17"/>
  <c r="R413" i="17"/>
  <c r="Z413" i="17"/>
  <c r="AH413" i="17"/>
  <c r="J415" i="17"/>
  <c r="R415" i="17"/>
  <c r="Z415" i="17"/>
  <c r="AH415" i="17"/>
  <c r="J417" i="17"/>
  <c r="R417" i="17"/>
  <c r="Z417" i="17"/>
  <c r="AH417" i="17"/>
  <c r="J419" i="17"/>
  <c r="R419" i="17"/>
  <c r="Z419" i="17"/>
  <c r="AH419" i="17"/>
  <c r="J421" i="17"/>
  <c r="R421" i="17"/>
  <c r="Z421" i="17"/>
  <c r="AH421" i="17"/>
  <c r="J423" i="17"/>
  <c r="R423" i="17"/>
  <c r="Z423" i="17"/>
  <c r="AH423" i="17"/>
  <c r="J425" i="17"/>
  <c r="R425" i="17"/>
  <c r="Z425" i="17"/>
  <c r="AH425" i="17"/>
  <c r="J427" i="17"/>
  <c r="R427" i="17"/>
  <c r="Z427" i="17"/>
  <c r="AH427" i="17"/>
  <c r="J429" i="17"/>
  <c r="R429" i="17"/>
  <c r="Z429" i="17"/>
  <c r="AH429" i="17"/>
  <c r="J431" i="17"/>
  <c r="R431" i="17"/>
  <c r="Z431" i="17"/>
  <c r="AH431" i="17"/>
  <c r="J433" i="17"/>
  <c r="R433" i="17"/>
  <c r="Z433" i="17"/>
  <c r="AH433" i="17"/>
  <c r="J435" i="17"/>
  <c r="R435" i="17"/>
  <c r="Z435" i="17"/>
  <c r="AH435" i="17"/>
  <c r="J437" i="17"/>
  <c r="R437" i="17"/>
  <c r="Z437" i="17"/>
  <c r="AH437" i="17"/>
  <c r="J439" i="17"/>
  <c r="R439" i="17"/>
  <c r="Z439" i="17"/>
  <c r="AH439" i="17"/>
  <c r="J441" i="17"/>
  <c r="R441" i="17"/>
  <c r="Z441" i="17"/>
  <c r="AH441" i="17"/>
  <c r="J443" i="17"/>
  <c r="R443" i="17"/>
  <c r="Z443" i="17"/>
  <c r="AH443" i="17"/>
  <c r="J445" i="17"/>
  <c r="R445" i="17"/>
  <c r="Z445" i="17"/>
  <c r="AH445" i="17"/>
  <c r="J447" i="17"/>
  <c r="R447" i="17"/>
  <c r="Z447" i="17"/>
  <c r="AH447" i="17"/>
  <c r="J449" i="17"/>
  <c r="R449" i="17"/>
  <c r="Z449" i="17"/>
  <c r="AH449" i="17"/>
  <c r="J451" i="17"/>
  <c r="R451" i="17"/>
  <c r="Z451" i="17"/>
  <c r="AH451" i="17"/>
  <c r="J453" i="17"/>
  <c r="R453" i="17"/>
  <c r="Z453" i="17"/>
  <c r="AH453" i="17"/>
  <c r="J455" i="17"/>
  <c r="R455" i="17"/>
  <c r="Z455" i="17"/>
  <c r="AH455" i="17"/>
  <c r="J457" i="17"/>
  <c r="R457" i="17"/>
  <c r="Z457" i="17"/>
  <c r="AH457" i="17"/>
  <c r="J459" i="17"/>
  <c r="R459" i="17"/>
  <c r="Z459" i="17"/>
  <c r="AH459" i="17"/>
  <c r="J461" i="17"/>
  <c r="R461" i="17"/>
  <c r="Z461" i="17"/>
  <c r="AH461" i="17"/>
  <c r="J463" i="17"/>
  <c r="R463" i="17"/>
  <c r="Z463" i="17"/>
  <c r="AH463" i="17"/>
  <c r="J465" i="17"/>
  <c r="R465" i="17"/>
  <c r="Z465" i="17"/>
  <c r="AH465" i="17"/>
  <c r="J467" i="17"/>
  <c r="R467" i="17"/>
  <c r="Z467" i="17"/>
  <c r="AH467" i="17"/>
  <c r="J469" i="17"/>
  <c r="R469" i="17"/>
  <c r="Z469" i="17"/>
  <c r="AH469" i="17"/>
  <c r="J471" i="17"/>
  <c r="R471" i="17"/>
  <c r="Z471" i="17"/>
  <c r="AH471" i="17"/>
  <c r="J473" i="17"/>
  <c r="R473" i="17"/>
  <c r="Z473" i="17"/>
  <c r="AH473" i="17"/>
  <c r="J475" i="17"/>
  <c r="R475" i="17"/>
  <c r="Z475" i="17"/>
  <c r="AH475" i="17"/>
  <c r="J477" i="17"/>
  <c r="R477" i="17"/>
  <c r="Z477" i="17"/>
  <c r="AH477" i="17"/>
  <c r="J479" i="17"/>
  <c r="R479" i="17"/>
  <c r="Z479" i="17"/>
  <c r="AH479" i="17"/>
  <c r="J481" i="17"/>
  <c r="R481" i="17"/>
  <c r="Z481" i="17"/>
  <c r="AH481" i="17"/>
  <c r="J483" i="17"/>
  <c r="R483" i="17"/>
  <c r="Z483" i="17"/>
  <c r="AH483" i="17"/>
  <c r="J485" i="17"/>
  <c r="R485" i="17"/>
  <c r="Z485" i="17"/>
  <c r="AH485" i="17"/>
  <c r="J487" i="17"/>
  <c r="R487" i="17"/>
  <c r="Z487" i="17"/>
  <c r="AH487" i="17"/>
  <c r="J489" i="17"/>
  <c r="R489" i="17"/>
  <c r="Z489" i="17"/>
  <c r="AH489" i="17"/>
  <c r="J491" i="17"/>
  <c r="R491" i="17"/>
  <c r="Z491" i="17"/>
  <c r="AH491" i="17"/>
  <c r="J493" i="17"/>
  <c r="R493" i="17"/>
  <c r="Z493" i="17"/>
  <c r="AH493" i="17"/>
  <c r="J495" i="17"/>
  <c r="R495" i="17"/>
  <c r="Z495" i="17"/>
  <c r="AH495" i="17"/>
  <c r="J497" i="17"/>
  <c r="R497" i="17"/>
  <c r="Z497" i="17"/>
  <c r="AH497" i="17"/>
  <c r="J499" i="17"/>
  <c r="R499" i="17"/>
  <c r="Z499" i="17"/>
  <c r="AH499" i="17"/>
  <c r="J501" i="17"/>
  <c r="R501" i="17"/>
  <c r="Z501" i="17"/>
  <c r="AH501" i="17"/>
  <c r="J503" i="17"/>
  <c r="R503" i="17"/>
  <c r="Z503" i="17"/>
  <c r="AH503" i="17"/>
  <c r="J505" i="17"/>
  <c r="R505" i="17"/>
  <c r="Z505" i="17"/>
  <c r="AH505" i="17"/>
  <c r="J507" i="17"/>
  <c r="R507" i="17"/>
  <c r="Z507" i="17"/>
  <c r="AH507" i="17"/>
  <c r="J509" i="17"/>
  <c r="R509" i="17"/>
  <c r="Z509" i="17"/>
  <c r="AH509" i="17"/>
  <c r="J511" i="17"/>
  <c r="R511" i="17"/>
  <c r="Z511" i="17"/>
  <c r="AH511" i="17"/>
  <c r="J513" i="17"/>
  <c r="R513" i="17"/>
  <c r="Z513" i="17"/>
  <c r="AH513" i="17"/>
  <c r="J515" i="17"/>
  <c r="R515" i="17"/>
  <c r="Z515" i="17"/>
  <c r="AH515" i="17"/>
  <c r="J517" i="17"/>
  <c r="R517" i="17"/>
  <c r="Z517" i="17"/>
  <c r="AH517" i="17"/>
  <c r="J519" i="17"/>
  <c r="R519" i="17"/>
  <c r="Z519" i="17"/>
  <c r="AH519" i="17"/>
  <c r="J521" i="17"/>
  <c r="R521" i="17"/>
  <c r="Z521" i="17"/>
  <c r="AH521" i="17"/>
  <c r="J523" i="17"/>
  <c r="R523" i="17"/>
  <c r="Z523" i="17"/>
  <c r="AH523" i="17"/>
  <c r="J525" i="17"/>
  <c r="R525" i="17"/>
  <c r="Z525" i="17"/>
  <c r="AH525" i="17"/>
  <c r="J527" i="17"/>
  <c r="R527" i="17"/>
  <c r="Z527" i="17"/>
  <c r="AH527" i="17"/>
  <c r="J529" i="17"/>
  <c r="R529" i="17"/>
  <c r="Z529" i="17"/>
  <c r="AH529" i="17"/>
  <c r="J531" i="17"/>
  <c r="R531" i="17"/>
  <c r="Z531" i="17"/>
  <c r="AH531" i="17"/>
  <c r="J533" i="17"/>
  <c r="R533" i="17"/>
  <c r="Z533" i="17"/>
  <c r="AH533" i="17"/>
  <c r="J535" i="17"/>
  <c r="R535" i="17"/>
  <c r="Z535" i="17"/>
  <c r="AH535" i="17"/>
  <c r="J537" i="17"/>
  <c r="R537" i="17"/>
  <c r="Z537" i="17"/>
  <c r="AH537" i="17"/>
  <c r="J539" i="17"/>
  <c r="R539" i="17"/>
  <c r="Z539" i="17"/>
  <c r="AH539" i="17"/>
  <c r="J541" i="17"/>
  <c r="R541" i="17"/>
  <c r="Z541" i="17"/>
  <c r="AH541" i="17"/>
  <c r="J543" i="17"/>
  <c r="R543" i="17"/>
  <c r="Z543" i="17"/>
  <c r="AH543" i="17"/>
  <c r="J545" i="17"/>
  <c r="R545" i="17"/>
  <c r="Z545" i="17"/>
  <c r="AH545" i="17"/>
  <c r="J547" i="17"/>
  <c r="R547" i="17"/>
  <c r="Z547" i="17"/>
  <c r="AH547" i="17"/>
  <c r="J549" i="17"/>
  <c r="R549" i="17"/>
  <c r="Z549" i="17"/>
  <c r="AH549" i="17"/>
  <c r="J551" i="17"/>
  <c r="R551" i="17"/>
  <c r="Z551" i="17"/>
  <c r="AH551" i="17"/>
  <c r="J553" i="17"/>
  <c r="R553" i="17"/>
  <c r="Z553" i="17"/>
  <c r="AH553" i="17"/>
  <c r="J555" i="17"/>
  <c r="R555" i="17"/>
  <c r="Z555" i="17"/>
  <c r="AH555" i="17"/>
  <c r="J557" i="17"/>
  <c r="R557" i="17"/>
  <c r="Z557" i="17"/>
  <c r="AH557" i="17"/>
  <c r="J559" i="17"/>
  <c r="R559" i="17"/>
  <c r="Z559" i="17"/>
  <c r="AH559" i="17"/>
  <c r="J561" i="17"/>
  <c r="R561" i="17"/>
  <c r="Z561" i="17"/>
  <c r="AH561" i="17"/>
  <c r="J563" i="17"/>
  <c r="R563" i="17"/>
  <c r="Z563" i="17"/>
  <c r="AH563" i="17"/>
  <c r="J565" i="17"/>
  <c r="R565" i="17"/>
  <c r="Z565" i="17"/>
  <c r="AH565" i="17"/>
  <c r="J567" i="17"/>
  <c r="R567" i="17"/>
  <c r="Z567" i="17"/>
  <c r="AH567" i="17"/>
  <c r="J569" i="17"/>
  <c r="R569" i="17"/>
  <c r="Z569" i="17"/>
  <c r="AH569" i="17"/>
  <c r="J571" i="17"/>
  <c r="R571" i="17"/>
  <c r="Z571" i="17"/>
  <c r="AH571" i="17"/>
  <c r="J573" i="17"/>
  <c r="R573" i="17"/>
  <c r="Z573" i="17"/>
  <c r="AH573" i="17"/>
  <c r="J575" i="17"/>
  <c r="R575" i="17"/>
  <c r="Z575" i="17"/>
  <c r="AH575" i="17"/>
  <c r="J577" i="17"/>
  <c r="R577" i="17"/>
  <c r="Z577" i="17"/>
  <c r="AH577" i="17"/>
  <c r="J579" i="17"/>
  <c r="R579" i="17"/>
  <c r="Z579" i="17"/>
  <c r="AH579" i="17"/>
  <c r="J581" i="17"/>
  <c r="R581" i="17"/>
  <c r="Z581" i="17"/>
  <c r="AH581" i="17"/>
  <c r="J583" i="17"/>
  <c r="R583" i="17"/>
  <c r="Z583" i="17"/>
  <c r="AH583" i="17"/>
  <c r="J585" i="17"/>
  <c r="R585" i="17"/>
  <c r="Z585" i="17"/>
  <c r="AH585" i="17"/>
  <c r="J587" i="17"/>
  <c r="R587" i="17"/>
  <c r="Z587" i="17"/>
  <c r="AH587" i="17"/>
  <c r="J589" i="17"/>
  <c r="R589" i="17"/>
  <c r="Z589" i="17"/>
  <c r="AH589" i="17"/>
  <c r="J591" i="17"/>
  <c r="R591" i="17"/>
  <c r="Z591" i="17"/>
  <c r="AH591" i="17"/>
  <c r="J593" i="17"/>
  <c r="R593" i="17"/>
  <c r="Z593" i="17"/>
  <c r="AH593" i="17"/>
  <c r="J612" i="17"/>
  <c r="V612" i="17"/>
  <c r="AF612" i="17"/>
  <c r="AP612" i="17"/>
  <c r="AK618" i="17"/>
  <c r="AC618" i="17"/>
  <c r="U618" i="17"/>
  <c r="M618" i="17"/>
  <c r="AR618" i="17"/>
  <c r="AJ618" i="17"/>
  <c r="AB618" i="17"/>
  <c r="T618" i="17"/>
  <c r="L618" i="17"/>
  <c r="S618" i="17"/>
  <c r="AE618" i="17"/>
  <c r="AO618" i="17"/>
  <c r="J628" i="17"/>
  <c r="V628" i="17"/>
  <c r="AF628" i="17"/>
  <c r="AP628" i="17"/>
  <c r="AK634" i="17"/>
  <c r="AC634" i="17"/>
  <c r="U634" i="17"/>
  <c r="M634" i="17"/>
  <c r="AR634" i="17"/>
  <c r="AJ634" i="17"/>
  <c r="AB634" i="17"/>
  <c r="T634" i="17"/>
  <c r="L634" i="17"/>
  <c r="S634" i="17"/>
  <c r="AE634" i="17"/>
  <c r="AO634" i="17"/>
  <c r="J644" i="17"/>
  <c r="V644" i="17"/>
  <c r="AF644" i="17"/>
  <c r="AP644" i="17"/>
  <c r="AK650" i="17"/>
  <c r="AC650" i="17"/>
  <c r="U650" i="17"/>
  <c r="M650" i="17"/>
  <c r="AR650" i="17"/>
  <c r="AJ650" i="17"/>
  <c r="AB650" i="17"/>
  <c r="T650" i="17"/>
  <c r="L650" i="17"/>
  <c r="S650" i="17"/>
  <c r="AE650" i="17"/>
  <c r="AO650" i="17"/>
  <c r="J660" i="17"/>
  <c r="V660" i="17"/>
  <c r="AF660" i="17"/>
  <c r="AP660" i="17"/>
  <c r="AK666" i="17"/>
  <c r="AC666" i="17"/>
  <c r="U666" i="17"/>
  <c r="M666" i="17"/>
  <c r="AR666" i="17"/>
  <c r="AJ666" i="17"/>
  <c r="AB666" i="17"/>
  <c r="T666" i="17"/>
  <c r="L666" i="17"/>
  <c r="S666" i="17"/>
  <c r="AE666" i="17"/>
  <c r="AO666" i="17"/>
  <c r="J676" i="17"/>
  <c r="V676" i="17"/>
  <c r="AF676" i="17"/>
  <c r="AP676" i="17"/>
  <c r="AK682" i="17"/>
  <c r="AC682" i="17"/>
  <c r="U682" i="17"/>
  <c r="M682" i="17"/>
  <c r="AR682" i="17"/>
  <c r="AJ682" i="17"/>
  <c r="AB682" i="17"/>
  <c r="T682" i="17"/>
  <c r="L682" i="17"/>
  <c r="S682" i="17"/>
  <c r="AE682" i="17"/>
  <c r="AO682" i="17"/>
  <c r="J692" i="17"/>
  <c r="V692" i="17"/>
  <c r="AF692" i="17"/>
  <c r="AP692" i="17"/>
  <c r="AK698" i="17"/>
  <c r="AC698" i="17"/>
  <c r="U698" i="17"/>
  <c r="M698" i="17"/>
  <c r="AR698" i="17"/>
  <c r="AJ698" i="17"/>
  <c r="AB698" i="17"/>
  <c r="T698" i="17"/>
  <c r="L698" i="17"/>
  <c r="S698" i="17"/>
  <c r="AE698" i="17"/>
  <c r="AO698" i="17"/>
  <c r="J708" i="17"/>
  <c r="V708" i="17"/>
  <c r="AF708" i="17"/>
  <c r="AP708" i="17"/>
  <c r="AK714" i="17"/>
  <c r="AC714" i="17"/>
  <c r="U714" i="17"/>
  <c r="M714" i="17"/>
  <c r="AR714" i="17"/>
  <c r="AJ714" i="17"/>
  <c r="AB714" i="17"/>
  <c r="T714" i="17"/>
  <c r="L714" i="17"/>
  <c r="S714" i="17"/>
  <c r="AE714" i="17"/>
  <c r="AO714" i="17"/>
  <c r="J724" i="17"/>
  <c r="V724" i="17"/>
  <c r="AF724" i="17"/>
  <c r="AP724" i="17"/>
  <c r="AK730" i="17"/>
  <c r="AC730" i="17"/>
  <c r="U730" i="17"/>
  <c r="M730" i="17"/>
  <c r="AR730" i="17"/>
  <c r="AJ730" i="17"/>
  <c r="AB730" i="17"/>
  <c r="T730" i="17"/>
  <c r="L730" i="17"/>
  <c r="S730" i="17"/>
  <c r="AE730" i="17"/>
  <c r="AO730" i="17"/>
  <c r="J740" i="17"/>
  <c r="V740" i="17"/>
  <c r="AF740" i="17"/>
  <c r="AP740" i="17"/>
  <c r="AK746" i="17"/>
  <c r="AC746" i="17"/>
  <c r="U746" i="17"/>
  <c r="M746" i="17"/>
  <c r="AR746" i="17"/>
  <c r="AJ746" i="17"/>
  <c r="AB746" i="17"/>
  <c r="T746" i="17"/>
  <c r="L746" i="17"/>
  <c r="S746" i="17"/>
  <c r="AE746" i="17"/>
  <c r="AO746" i="17"/>
  <c r="J756" i="17"/>
  <c r="V756" i="17"/>
  <c r="AF756" i="17"/>
  <c r="AP756" i="17"/>
  <c r="AK762" i="17"/>
  <c r="AC762" i="17"/>
  <c r="U762" i="17"/>
  <c r="M762" i="17"/>
  <c r="AR762" i="17"/>
  <c r="AJ762" i="17"/>
  <c r="AB762" i="17"/>
  <c r="T762" i="17"/>
  <c r="L762" i="17"/>
  <c r="S762" i="17"/>
  <c r="AE762" i="17"/>
  <c r="AO762" i="17"/>
  <c r="J772" i="17"/>
  <c r="V772" i="17"/>
  <c r="AF772" i="17"/>
  <c r="AP772" i="17"/>
  <c r="AK778" i="17"/>
  <c r="AC778" i="17"/>
  <c r="U778" i="17"/>
  <c r="M778" i="17"/>
  <c r="AR778" i="17"/>
  <c r="AJ778" i="17"/>
  <c r="AB778" i="17"/>
  <c r="T778" i="17"/>
  <c r="L778" i="17"/>
  <c r="S778" i="17"/>
  <c r="AE778" i="17"/>
  <c r="AO778" i="17"/>
  <c r="AM790" i="17"/>
  <c r="AE790" i="17"/>
  <c r="W790" i="17"/>
  <c r="O790" i="17"/>
  <c r="AP790" i="17"/>
  <c r="AG790" i="17"/>
  <c r="X790" i="17"/>
  <c r="N790" i="17"/>
  <c r="AO790" i="17"/>
  <c r="AF790" i="17"/>
  <c r="V790" i="17"/>
  <c r="M790" i="17"/>
  <c r="T790" i="17"/>
  <c r="AH790" i="17"/>
  <c r="AQ791" i="17"/>
  <c r="AI791" i="17"/>
  <c r="AA791" i="17"/>
  <c r="S791" i="17"/>
  <c r="K791" i="17"/>
  <c r="AP791" i="17"/>
  <c r="AG791" i="17"/>
  <c r="X791" i="17"/>
  <c r="O791" i="17"/>
  <c r="AO791" i="17"/>
  <c r="AF791" i="17"/>
  <c r="W791" i="17"/>
  <c r="N791" i="17"/>
  <c r="U791" i="17"/>
  <c r="AH791" i="17"/>
  <c r="J792" i="17"/>
  <c r="U792" i="17"/>
  <c r="AI792" i="17"/>
  <c r="J793" i="17"/>
  <c r="V793" i="17"/>
  <c r="AJ793" i="17"/>
  <c r="AM800" i="17"/>
  <c r="AE800" i="17"/>
  <c r="W800" i="17"/>
  <c r="O800" i="17"/>
  <c r="AL800" i="17"/>
  <c r="AC800" i="17"/>
  <c r="T800" i="17"/>
  <c r="K800" i="17"/>
  <c r="AK800" i="17"/>
  <c r="AB800" i="17"/>
  <c r="S800" i="17"/>
  <c r="J800" i="17"/>
  <c r="V800" i="17"/>
  <c r="AH800" i="17"/>
  <c r="AQ801" i="17"/>
  <c r="AI801" i="17"/>
  <c r="AA801" i="17"/>
  <c r="S801" i="17"/>
  <c r="K801" i="17"/>
  <c r="AM801" i="17"/>
  <c r="AD801" i="17"/>
  <c r="U801" i="17"/>
  <c r="L801" i="17"/>
  <c r="AL801" i="17"/>
  <c r="AC801" i="17"/>
  <c r="T801" i="17"/>
  <c r="J801" i="17"/>
  <c r="W801" i="17"/>
  <c r="AH801" i="17"/>
  <c r="J802" i="17"/>
  <c r="X802" i="17"/>
  <c r="AI802" i="17"/>
  <c r="J803" i="17"/>
  <c r="X803" i="17"/>
  <c r="AJ803" i="17"/>
  <c r="AM826" i="17"/>
  <c r="AE826" i="17"/>
  <c r="W826" i="17"/>
  <c r="O826" i="17"/>
  <c r="AR826" i="17"/>
  <c r="AI826" i="17"/>
  <c r="Z826" i="17"/>
  <c r="Q826" i="17"/>
  <c r="AQ826" i="17"/>
  <c r="AH826" i="17"/>
  <c r="Y826" i="17"/>
  <c r="P826" i="17"/>
  <c r="T826" i="17"/>
  <c r="AF826" i="17"/>
  <c r="AQ827" i="17"/>
  <c r="AI827" i="17"/>
  <c r="AA827" i="17"/>
  <c r="S827" i="17"/>
  <c r="K827" i="17"/>
  <c r="AJ827" i="17"/>
  <c r="Z827" i="17"/>
  <c r="Q827" i="17"/>
  <c r="AR827" i="17"/>
  <c r="AH827" i="17"/>
  <c r="Y827" i="17"/>
  <c r="P827" i="17"/>
  <c r="U827" i="17"/>
  <c r="AF827" i="17"/>
  <c r="AM836" i="17"/>
  <c r="AE836" i="17"/>
  <c r="W836" i="17"/>
  <c r="O836" i="17"/>
  <c r="AO836" i="17"/>
  <c r="AF836" i="17"/>
  <c r="V836" i="17"/>
  <c r="M836" i="17"/>
  <c r="AN836" i="17"/>
  <c r="AD836" i="17"/>
  <c r="U836" i="17"/>
  <c r="L836" i="17"/>
  <c r="T836" i="17"/>
  <c r="AH836" i="17"/>
  <c r="AQ837" i="17"/>
  <c r="AI837" i="17"/>
  <c r="AA837" i="17"/>
  <c r="S837" i="17"/>
  <c r="K837" i="17"/>
  <c r="AO837" i="17"/>
  <c r="AF837" i="17"/>
  <c r="W837" i="17"/>
  <c r="N837" i="17"/>
  <c r="AN837" i="17"/>
  <c r="AE837" i="17"/>
  <c r="V837" i="17"/>
  <c r="M837" i="17"/>
  <c r="U837" i="17"/>
  <c r="AH837" i="17"/>
  <c r="J838" i="17"/>
  <c r="U838" i="17"/>
  <c r="AI838" i="17"/>
  <c r="J839" i="17"/>
  <c r="V839" i="17"/>
  <c r="AJ839" i="17"/>
  <c r="L848" i="17"/>
  <c r="X848" i="17"/>
  <c r="AI848" i="17"/>
  <c r="M849" i="17"/>
  <c r="X849" i="17"/>
  <c r="AJ849" i="17"/>
  <c r="AM872" i="17"/>
  <c r="AE872" i="17"/>
  <c r="W872" i="17"/>
  <c r="O872" i="17"/>
  <c r="AQ872" i="17"/>
  <c r="AH872" i="17"/>
  <c r="Y872" i="17"/>
  <c r="P872" i="17"/>
  <c r="AP872" i="17"/>
  <c r="AG872" i="17"/>
  <c r="X872" i="17"/>
  <c r="N872" i="17"/>
  <c r="T872" i="17"/>
  <c r="AF872" i="17"/>
  <c r="AQ873" i="17"/>
  <c r="AI873" i="17"/>
  <c r="AA873" i="17"/>
  <c r="S873" i="17"/>
  <c r="K873" i="17"/>
  <c r="AR873" i="17"/>
  <c r="AH873" i="17"/>
  <c r="Y873" i="17"/>
  <c r="P873" i="17"/>
  <c r="AP873" i="17"/>
  <c r="AG873" i="17"/>
  <c r="X873" i="17"/>
  <c r="O873" i="17"/>
  <c r="U873" i="17"/>
  <c r="AF873" i="17"/>
  <c r="J874" i="17"/>
  <c r="U874" i="17"/>
  <c r="AG874" i="17"/>
  <c r="J875" i="17"/>
  <c r="V875" i="17"/>
  <c r="AG875" i="17"/>
  <c r="AM882" i="17"/>
  <c r="AE882" i="17"/>
  <c r="W882" i="17"/>
  <c r="O882" i="17"/>
  <c r="AN882" i="17"/>
  <c r="AD882" i="17"/>
  <c r="U882" i="17"/>
  <c r="L882" i="17"/>
  <c r="AL882" i="17"/>
  <c r="AC882" i="17"/>
  <c r="T882" i="17"/>
  <c r="K882" i="17"/>
  <c r="V882" i="17"/>
  <c r="AH882" i="17"/>
  <c r="AQ883" i="17"/>
  <c r="AI883" i="17"/>
  <c r="AA883" i="17"/>
  <c r="S883" i="17"/>
  <c r="K883" i="17"/>
  <c r="AN883" i="17"/>
  <c r="AE883" i="17"/>
  <c r="V883" i="17"/>
  <c r="M883" i="17"/>
  <c r="AM883" i="17"/>
  <c r="AD883" i="17"/>
  <c r="U883" i="17"/>
  <c r="L883" i="17"/>
  <c r="W883" i="17"/>
  <c r="AH883" i="17"/>
  <c r="J884" i="17"/>
  <c r="X884" i="17"/>
  <c r="AI884" i="17"/>
  <c r="J885" i="17"/>
  <c r="X885" i="17"/>
  <c r="AJ885" i="17"/>
  <c r="AM918" i="17"/>
  <c r="AE918" i="17"/>
  <c r="W918" i="17"/>
  <c r="O918" i="17"/>
  <c r="AP918" i="17"/>
  <c r="AG918" i="17"/>
  <c r="X918" i="17"/>
  <c r="N918" i="17"/>
  <c r="AO918" i="17"/>
  <c r="AF918" i="17"/>
  <c r="V918" i="17"/>
  <c r="M918" i="17"/>
  <c r="T918" i="17"/>
  <c r="AH918" i="17"/>
  <c r="AQ919" i="17"/>
  <c r="AI919" i="17"/>
  <c r="AA919" i="17"/>
  <c r="S919" i="17"/>
  <c r="K919" i="17"/>
  <c r="AP919" i="17"/>
  <c r="AG919" i="17"/>
  <c r="X919" i="17"/>
  <c r="O919" i="17"/>
  <c r="AO919" i="17"/>
  <c r="AF919" i="17"/>
  <c r="W919" i="17"/>
  <c r="N919" i="17"/>
  <c r="U919" i="17"/>
  <c r="AH919" i="17"/>
  <c r="J920" i="17"/>
  <c r="U920" i="17"/>
  <c r="AI920" i="17"/>
  <c r="J921" i="17"/>
  <c r="V921" i="17"/>
  <c r="AJ921" i="17"/>
  <c r="AM928" i="17"/>
  <c r="AE928" i="17"/>
  <c r="W928" i="17"/>
  <c r="O928" i="17"/>
  <c r="AL928" i="17"/>
  <c r="AC928" i="17"/>
  <c r="T928" i="17"/>
  <c r="K928" i="17"/>
  <c r="AK928" i="17"/>
  <c r="AB928" i="17"/>
  <c r="S928" i="17"/>
  <c r="J928" i="17"/>
  <c r="V928" i="17"/>
  <c r="AH928" i="17"/>
  <c r="AQ929" i="17"/>
  <c r="AI929" i="17"/>
  <c r="AA929" i="17"/>
  <c r="S929" i="17"/>
  <c r="K929" i="17"/>
  <c r="AM929" i="17"/>
  <c r="AD929" i="17"/>
  <c r="U929" i="17"/>
  <c r="L929" i="17"/>
  <c r="AL929" i="17"/>
  <c r="AC929" i="17"/>
  <c r="T929" i="17"/>
  <c r="J929" i="17"/>
  <c r="W929" i="17"/>
  <c r="AH929" i="17"/>
  <c r="J930" i="17"/>
  <c r="X930" i="17"/>
  <c r="AI930" i="17"/>
  <c r="J931" i="17"/>
  <c r="X931" i="17"/>
  <c r="AJ931" i="17"/>
  <c r="AM954" i="17"/>
  <c r="AE954" i="17"/>
  <c r="W954" i="17"/>
  <c r="O954" i="17"/>
  <c r="AR954" i="17"/>
  <c r="AI954" i="17"/>
  <c r="Z954" i="17"/>
  <c r="Q954" i="17"/>
  <c r="AQ954" i="17"/>
  <c r="AH954" i="17"/>
  <c r="Y954" i="17"/>
  <c r="P954" i="17"/>
  <c r="T954" i="17"/>
  <c r="AF954" i="17"/>
  <c r="AQ955" i="17"/>
  <c r="AI955" i="17"/>
  <c r="AA955" i="17"/>
  <c r="S955" i="17"/>
  <c r="K955" i="17"/>
  <c r="AJ955" i="17"/>
  <c r="Z955" i="17"/>
  <c r="Q955" i="17"/>
  <c r="AR955" i="17"/>
  <c r="AH955" i="17"/>
  <c r="Y955" i="17"/>
  <c r="P955" i="17"/>
  <c r="U955" i="17"/>
  <c r="AF955" i="17"/>
  <c r="AM964" i="17"/>
  <c r="AE964" i="17"/>
  <c r="W964" i="17"/>
  <c r="O964" i="17"/>
  <c r="AO964" i="17"/>
  <c r="AF964" i="17"/>
  <c r="V964" i="17"/>
  <c r="M964" i="17"/>
  <c r="AN964" i="17"/>
  <c r="AD964" i="17"/>
  <c r="U964" i="17"/>
  <c r="L964" i="17"/>
  <c r="T964" i="17"/>
  <c r="AH964" i="17"/>
  <c r="AQ965" i="17"/>
  <c r="AI965" i="17"/>
  <c r="AA965" i="17"/>
  <c r="S965" i="17"/>
  <c r="K965" i="17"/>
  <c r="AO965" i="17"/>
  <c r="AF965" i="17"/>
  <c r="W965" i="17"/>
  <c r="N965" i="17"/>
  <c r="AN965" i="17"/>
  <c r="AE965" i="17"/>
  <c r="V965" i="17"/>
  <c r="M965" i="17"/>
  <c r="U965" i="17"/>
  <c r="AH965" i="17"/>
  <c r="J966" i="17"/>
  <c r="U966" i="17"/>
  <c r="AI966" i="17"/>
  <c r="J967" i="17"/>
  <c r="V967" i="17"/>
  <c r="AJ967" i="17"/>
  <c r="L976" i="17"/>
  <c r="X976" i="17"/>
  <c r="AI976" i="17"/>
  <c r="M977" i="17"/>
  <c r="X977" i="17"/>
  <c r="AJ977" i="17"/>
  <c r="AM1000" i="17"/>
  <c r="AE1000" i="17"/>
  <c r="W1000" i="17"/>
  <c r="O1000" i="17"/>
  <c r="AQ1000" i="17"/>
  <c r="AH1000" i="17"/>
  <c r="Y1000" i="17"/>
  <c r="P1000" i="17"/>
  <c r="AP1000" i="17"/>
  <c r="AG1000" i="17"/>
  <c r="X1000" i="17"/>
  <c r="N1000" i="17"/>
  <c r="T1000" i="17"/>
  <c r="AF1000" i="17"/>
  <c r="AQ1001" i="17"/>
  <c r="AI1001" i="17"/>
  <c r="AA1001" i="17"/>
  <c r="S1001" i="17"/>
  <c r="K1001" i="17"/>
  <c r="AR1001" i="17"/>
  <c r="AH1001" i="17"/>
  <c r="Y1001" i="17"/>
  <c r="P1001" i="17"/>
  <c r="AP1001" i="17"/>
  <c r="AG1001" i="17"/>
  <c r="X1001" i="17"/>
  <c r="O1001" i="17"/>
  <c r="U1001" i="17"/>
  <c r="AF1001" i="17"/>
  <c r="J1002" i="17"/>
  <c r="U1002" i="17"/>
  <c r="AG1002" i="17"/>
  <c r="J1003" i="17"/>
  <c r="V1003" i="17"/>
  <c r="AG1003" i="17"/>
  <c r="AM1010" i="17"/>
  <c r="AE1010" i="17"/>
  <c r="W1010" i="17"/>
  <c r="O1010" i="17"/>
  <c r="AN1010" i="17"/>
  <c r="AD1010" i="17"/>
  <c r="U1010" i="17"/>
  <c r="L1010" i="17"/>
  <c r="AL1010" i="17"/>
  <c r="AC1010" i="17"/>
  <c r="T1010" i="17"/>
  <c r="K1010" i="17"/>
  <c r="V1010" i="17"/>
  <c r="AH1010" i="17"/>
  <c r="AQ1011" i="17"/>
  <c r="AI1011" i="17"/>
  <c r="AA1011" i="17"/>
  <c r="S1011" i="17"/>
  <c r="K1011" i="17"/>
  <c r="AN1011" i="17"/>
  <c r="AE1011" i="17"/>
  <c r="V1011" i="17"/>
  <c r="M1011" i="17"/>
  <c r="AM1011" i="17"/>
  <c r="AD1011" i="17"/>
  <c r="U1011" i="17"/>
  <c r="L1011" i="17"/>
  <c r="W1011" i="17"/>
  <c r="AH1011" i="17"/>
  <c r="J1012" i="17"/>
  <c r="X1012" i="17"/>
  <c r="AI1012" i="17"/>
  <c r="J1013" i="17"/>
  <c r="X1013" i="17"/>
  <c r="AJ1013" i="17"/>
  <c r="J1045" i="17"/>
  <c r="Z1045" i="17"/>
  <c r="AN1045" i="17"/>
  <c r="J1047" i="17"/>
  <c r="X1047" i="17"/>
  <c r="AN1047" i="17"/>
  <c r="J1050" i="17"/>
  <c r="V1050" i="17"/>
  <c r="AL1050" i="17"/>
  <c r="N1059" i="17"/>
  <c r="Z1059" i="17"/>
  <c r="AN1059" i="17"/>
  <c r="L1062" i="17"/>
  <c r="Z1062" i="17"/>
  <c r="AL1062" i="17"/>
  <c r="J1064" i="17"/>
  <c r="Z1064" i="17"/>
  <c r="AL1064" i="17"/>
  <c r="J1077" i="17"/>
  <c r="Z1077" i="17"/>
  <c r="AN1077" i="17"/>
  <c r="J1079" i="17"/>
  <c r="X1079" i="17"/>
  <c r="AN1079" i="17"/>
  <c r="J1082" i="17"/>
  <c r="V1082" i="17"/>
  <c r="AL1082" i="17"/>
  <c r="N1091" i="17"/>
  <c r="Z1091" i="17"/>
  <c r="AN1091" i="17"/>
  <c r="L1094" i="17"/>
  <c r="Z1094" i="17"/>
  <c r="AL1094" i="17"/>
  <c r="J1096" i="17"/>
  <c r="Z1096" i="17"/>
  <c r="AL1096" i="17"/>
  <c r="J1109" i="17"/>
  <c r="Z1109" i="17"/>
  <c r="AN1109" i="17"/>
  <c r="J1111" i="17"/>
  <c r="X1111" i="17"/>
  <c r="AN1111" i="17"/>
  <c r="J1114" i="17"/>
  <c r="V1114" i="17"/>
  <c r="AL1114" i="17"/>
  <c r="N1123" i="17"/>
  <c r="Z1123" i="17"/>
  <c r="AN1123" i="17"/>
  <c r="L1126" i="17"/>
  <c r="Z1126" i="17"/>
  <c r="AL1126" i="17"/>
  <c r="J1128" i="17"/>
  <c r="Z1128" i="17"/>
  <c r="AL1128" i="17"/>
  <c r="J1141" i="17"/>
  <c r="Z1141" i="17"/>
  <c r="AN1141" i="17"/>
  <c r="J1143" i="17"/>
  <c r="X1143" i="17"/>
  <c r="AN1143" i="17"/>
  <c r="J1146" i="17"/>
  <c r="V1146" i="17"/>
  <c r="AL1146" i="17"/>
  <c r="N1155" i="17"/>
  <c r="Z1155" i="17"/>
  <c r="AN1155" i="17"/>
  <c r="L1158" i="17"/>
  <c r="Z1158" i="17"/>
  <c r="AL1158" i="17"/>
  <c r="J1160" i="17"/>
  <c r="Z1160" i="17"/>
  <c r="AL1160" i="17"/>
  <c r="J1173" i="17"/>
  <c r="Z1173" i="17"/>
  <c r="AN1173" i="17"/>
  <c r="J1175" i="17"/>
  <c r="X1175" i="17"/>
  <c r="AN1175" i="17"/>
  <c r="J1178" i="17"/>
  <c r="V1178" i="17"/>
  <c r="AL1178" i="17"/>
  <c r="AR1185" i="17"/>
  <c r="AJ1185" i="17"/>
  <c r="AB1185" i="17"/>
  <c r="T1185" i="17"/>
  <c r="L1185" i="17"/>
  <c r="AQ1185" i="17"/>
  <c r="AI1185" i="17"/>
  <c r="AA1185" i="17"/>
  <c r="S1185" i="17"/>
  <c r="K1185" i="17"/>
  <c r="AL1185" i="17"/>
  <c r="Z1185" i="17"/>
  <c r="P1185" i="17"/>
  <c r="AK1185" i="17"/>
  <c r="Y1185" i="17"/>
  <c r="O1185" i="17"/>
  <c r="AH1185" i="17"/>
  <c r="V1185" i="17"/>
  <c r="AG1185" i="17"/>
  <c r="U1185" i="17"/>
  <c r="AC1185" i="17"/>
  <c r="AN1186" i="17"/>
  <c r="AF1186" i="17"/>
  <c r="X1186" i="17"/>
  <c r="P1186" i="17"/>
  <c r="AM1186" i="17"/>
  <c r="AE1186" i="17"/>
  <c r="W1186" i="17"/>
  <c r="O1186" i="17"/>
  <c r="AR1186" i="17"/>
  <c r="AH1186" i="17"/>
  <c r="V1186" i="17"/>
  <c r="L1186" i="17"/>
  <c r="AQ1186" i="17"/>
  <c r="AG1186" i="17"/>
  <c r="U1186" i="17"/>
  <c r="K1186" i="17"/>
  <c r="AP1186" i="17"/>
  <c r="AB1186" i="17"/>
  <c r="N1186" i="17"/>
  <c r="AO1186" i="17"/>
  <c r="AA1186" i="17"/>
  <c r="M1186" i="17"/>
  <c r="AC1186" i="17"/>
  <c r="J1194" i="17"/>
  <c r="AB1194" i="17"/>
  <c r="J1195" i="17"/>
  <c r="AF1195" i="17"/>
  <c r="J1209" i="17"/>
  <c r="AF1209" i="17"/>
  <c r="AR1235" i="17"/>
  <c r="AJ1235" i="17"/>
  <c r="AB1235" i="17"/>
  <c r="T1235" i="17"/>
  <c r="L1235" i="17"/>
  <c r="AQ1235" i="17"/>
  <c r="AI1235" i="17"/>
  <c r="AA1235" i="17"/>
  <c r="S1235" i="17"/>
  <c r="K1235" i="17"/>
  <c r="AN1235" i="17"/>
  <c r="AD1235" i="17"/>
  <c r="R1235" i="17"/>
  <c r="AM1235" i="17"/>
  <c r="AC1235" i="17"/>
  <c r="Q1235" i="17"/>
  <c r="AH1235" i="17"/>
  <c r="V1235" i="17"/>
  <c r="AG1235" i="17"/>
  <c r="U1235" i="17"/>
  <c r="Y1235" i="17"/>
  <c r="AN1236" i="17"/>
  <c r="AF1236" i="17"/>
  <c r="X1236" i="17"/>
  <c r="P1236" i="17"/>
  <c r="AM1236" i="17"/>
  <c r="AE1236" i="17"/>
  <c r="W1236" i="17"/>
  <c r="O1236" i="17"/>
  <c r="AJ1236" i="17"/>
  <c r="Z1236" i="17"/>
  <c r="N1236" i="17"/>
  <c r="AI1236" i="17"/>
  <c r="Y1236" i="17"/>
  <c r="M1236" i="17"/>
  <c r="AP1236" i="17"/>
  <c r="AB1236" i="17"/>
  <c r="L1236" i="17"/>
  <c r="AO1236" i="17"/>
  <c r="AA1236" i="17"/>
  <c r="K1236" i="17"/>
  <c r="AC1236" i="17"/>
  <c r="J1238" i="17"/>
  <c r="Z1238" i="17"/>
  <c r="J1244" i="17"/>
  <c r="AB1244" i="17"/>
  <c r="AR1244" i="17"/>
  <c r="AN1246" i="17"/>
  <c r="AF1246" i="17"/>
  <c r="X1246" i="17"/>
  <c r="P1246" i="17"/>
  <c r="AM1246" i="17"/>
  <c r="AE1246" i="17"/>
  <c r="W1246" i="17"/>
  <c r="O1246" i="17"/>
  <c r="AL1246" i="17"/>
  <c r="AB1246" i="17"/>
  <c r="R1246" i="17"/>
  <c r="AK1246" i="17"/>
  <c r="AA1246" i="17"/>
  <c r="Q1246" i="17"/>
  <c r="AO1246" i="17"/>
  <c r="Y1246" i="17"/>
  <c r="K1246" i="17"/>
  <c r="AJ1246" i="17"/>
  <c r="V1246" i="17"/>
  <c r="J1246" i="17"/>
  <c r="AC1246" i="17"/>
  <c r="AR1247" i="17"/>
  <c r="AJ1247" i="17"/>
  <c r="AB1247" i="17"/>
  <c r="T1247" i="17"/>
  <c r="L1247" i="17"/>
  <c r="AQ1247" i="17"/>
  <c r="AI1247" i="17"/>
  <c r="AA1247" i="17"/>
  <c r="S1247" i="17"/>
  <c r="K1247" i="17"/>
  <c r="AH1247" i="17"/>
  <c r="X1247" i="17"/>
  <c r="N1247" i="17"/>
  <c r="AG1247" i="17"/>
  <c r="W1247" i="17"/>
  <c r="M1247" i="17"/>
  <c r="AE1247" i="17"/>
  <c r="Q1247" i="17"/>
  <c r="AP1247" i="17"/>
  <c r="AD1247" i="17"/>
  <c r="P1247" i="17"/>
  <c r="AC1247" i="17"/>
  <c r="AR1249" i="17"/>
  <c r="AJ1249" i="17"/>
  <c r="AB1249" i="17"/>
  <c r="T1249" i="17"/>
  <c r="L1249" i="17"/>
  <c r="AQ1249" i="17"/>
  <c r="AI1249" i="17"/>
  <c r="AA1249" i="17"/>
  <c r="S1249" i="17"/>
  <c r="K1249" i="17"/>
  <c r="AL1249" i="17"/>
  <c r="Z1249" i="17"/>
  <c r="P1249" i="17"/>
  <c r="AK1249" i="17"/>
  <c r="Y1249" i="17"/>
  <c r="O1249" i="17"/>
  <c r="AH1249" i="17"/>
  <c r="V1249" i="17"/>
  <c r="AG1249" i="17"/>
  <c r="U1249" i="17"/>
  <c r="AC1249" i="17"/>
  <c r="AN1250" i="17"/>
  <c r="AF1250" i="17"/>
  <c r="X1250" i="17"/>
  <c r="P1250" i="17"/>
  <c r="AM1250" i="17"/>
  <c r="AE1250" i="17"/>
  <c r="W1250" i="17"/>
  <c r="O1250" i="17"/>
  <c r="AR1250" i="17"/>
  <c r="AH1250" i="17"/>
  <c r="V1250" i="17"/>
  <c r="L1250" i="17"/>
  <c r="AQ1250" i="17"/>
  <c r="AG1250" i="17"/>
  <c r="U1250" i="17"/>
  <c r="K1250" i="17"/>
  <c r="AP1250" i="17"/>
  <c r="AB1250" i="17"/>
  <c r="N1250" i="17"/>
  <c r="AO1250" i="17"/>
  <c r="AA1250" i="17"/>
  <c r="M1250" i="17"/>
  <c r="AC1250" i="17"/>
  <c r="J1258" i="17"/>
  <c r="AB1258" i="17"/>
  <c r="J1259" i="17"/>
  <c r="AF1259" i="17"/>
  <c r="J1273" i="17"/>
  <c r="AF1273" i="17"/>
  <c r="AR1299" i="17"/>
  <c r="AJ1299" i="17"/>
  <c r="AB1299" i="17"/>
  <c r="T1299" i="17"/>
  <c r="L1299" i="17"/>
  <c r="AQ1299" i="17"/>
  <c r="AI1299" i="17"/>
  <c r="AA1299" i="17"/>
  <c r="S1299" i="17"/>
  <c r="K1299" i="17"/>
  <c r="AN1299" i="17"/>
  <c r="AD1299" i="17"/>
  <c r="R1299" i="17"/>
  <c r="AM1299" i="17"/>
  <c r="AC1299" i="17"/>
  <c r="Q1299" i="17"/>
  <c r="AH1299" i="17"/>
  <c r="V1299" i="17"/>
  <c r="AG1299" i="17"/>
  <c r="U1299" i="17"/>
  <c r="Y1299" i="17"/>
  <c r="AN1300" i="17"/>
  <c r="AF1300" i="17"/>
  <c r="X1300" i="17"/>
  <c r="P1300" i="17"/>
  <c r="AM1300" i="17"/>
  <c r="AE1300" i="17"/>
  <c r="W1300" i="17"/>
  <c r="O1300" i="17"/>
  <c r="AJ1300" i="17"/>
  <c r="Z1300" i="17"/>
  <c r="N1300" i="17"/>
  <c r="AI1300" i="17"/>
  <c r="Y1300" i="17"/>
  <c r="M1300" i="17"/>
  <c r="AP1300" i="17"/>
  <c r="AB1300" i="17"/>
  <c r="L1300" i="17"/>
  <c r="AO1300" i="17"/>
  <c r="AA1300" i="17"/>
  <c r="K1300" i="17"/>
  <c r="AC1300" i="17"/>
  <c r="J1302" i="17"/>
  <c r="Z1302" i="17"/>
  <c r="J1308" i="17"/>
  <c r="AB1308" i="17"/>
  <c r="AR1308" i="17"/>
  <c r="AN1310" i="17"/>
  <c r="AF1310" i="17"/>
  <c r="X1310" i="17"/>
  <c r="P1310" i="17"/>
  <c r="AM1310" i="17"/>
  <c r="AE1310" i="17"/>
  <c r="W1310" i="17"/>
  <c r="O1310" i="17"/>
  <c r="AL1310" i="17"/>
  <c r="AB1310" i="17"/>
  <c r="R1310" i="17"/>
  <c r="AK1310" i="17"/>
  <c r="AA1310" i="17"/>
  <c r="Q1310" i="17"/>
  <c r="AO1310" i="17"/>
  <c r="Y1310" i="17"/>
  <c r="K1310" i="17"/>
  <c r="AJ1310" i="17"/>
  <c r="V1310" i="17"/>
  <c r="J1310" i="17"/>
  <c r="AC1310" i="17"/>
  <c r="AR1311" i="17"/>
  <c r="AJ1311" i="17"/>
  <c r="AB1311" i="17"/>
  <c r="T1311" i="17"/>
  <c r="L1311" i="17"/>
  <c r="AQ1311" i="17"/>
  <c r="AI1311" i="17"/>
  <c r="AA1311" i="17"/>
  <c r="S1311" i="17"/>
  <c r="K1311" i="17"/>
  <c r="AH1311" i="17"/>
  <c r="X1311" i="17"/>
  <c r="N1311" i="17"/>
  <c r="AG1311" i="17"/>
  <c r="W1311" i="17"/>
  <c r="M1311" i="17"/>
  <c r="AE1311" i="17"/>
  <c r="Q1311" i="17"/>
  <c r="AP1311" i="17"/>
  <c r="AD1311" i="17"/>
  <c r="P1311" i="17"/>
  <c r="AC1311" i="17"/>
  <c r="AR1313" i="17"/>
  <c r="AJ1313" i="17"/>
  <c r="AB1313" i="17"/>
  <c r="T1313" i="17"/>
  <c r="L1313" i="17"/>
  <c r="AQ1313" i="17"/>
  <c r="AI1313" i="17"/>
  <c r="AA1313" i="17"/>
  <c r="S1313" i="17"/>
  <c r="K1313" i="17"/>
  <c r="AL1313" i="17"/>
  <c r="Z1313" i="17"/>
  <c r="P1313" i="17"/>
  <c r="AK1313" i="17"/>
  <c r="Y1313" i="17"/>
  <c r="O1313" i="17"/>
  <c r="AH1313" i="17"/>
  <c r="V1313" i="17"/>
  <c r="AG1313" i="17"/>
  <c r="U1313" i="17"/>
  <c r="AC1313" i="17"/>
  <c r="AN1314" i="17"/>
  <c r="AF1314" i="17"/>
  <c r="X1314" i="17"/>
  <c r="P1314" i="17"/>
  <c r="AM1314" i="17"/>
  <c r="AE1314" i="17"/>
  <c r="W1314" i="17"/>
  <c r="O1314" i="17"/>
  <c r="AR1314" i="17"/>
  <c r="AH1314" i="17"/>
  <c r="V1314" i="17"/>
  <c r="L1314" i="17"/>
  <c r="AQ1314" i="17"/>
  <c r="AG1314" i="17"/>
  <c r="U1314" i="17"/>
  <c r="K1314" i="17"/>
  <c r="AP1314" i="17"/>
  <c r="AB1314" i="17"/>
  <c r="N1314" i="17"/>
  <c r="AO1314" i="17"/>
  <c r="AA1314" i="17"/>
  <c r="M1314" i="17"/>
  <c r="AC1314" i="17"/>
  <c r="J1322" i="17"/>
  <c r="AB1322" i="17"/>
  <c r="J1323" i="17"/>
  <c r="AF1323" i="17"/>
  <c r="J1337" i="17"/>
  <c r="AF1337" i="17"/>
  <c r="AL1375" i="17"/>
  <c r="AD1375" i="17"/>
  <c r="V1375" i="17"/>
  <c r="N1375" i="17"/>
  <c r="AK1375" i="17"/>
  <c r="AC1375" i="17"/>
  <c r="U1375" i="17"/>
  <c r="M1375" i="17"/>
  <c r="AJ1375" i="17"/>
  <c r="Z1375" i="17"/>
  <c r="P1375" i="17"/>
  <c r="AI1375" i="17"/>
  <c r="Y1375" i="17"/>
  <c r="O1375" i="17"/>
  <c r="AP1375" i="17"/>
  <c r="AB1375" i="17"/>
  <c r="L1375" i="17"/>
  <c r="AO1375" i="17"/>
  <c r="AA1375" i="17"/>
  <c r="K1375" i="17"/>
  <c r="AQ1375" i="17"/>
  <c r="W1375" i="17"/>
  <c r="AN1375" i="17"/>
  <c r="T1375" i="17"/>
  <c r="AG1375" i="17"/>
  <c r="L1377" i="17"/>
  <c r="AP1377" i="17"/>
  <c r="J1387" i="17"/>
  <c r="AN1387" i="17"/>
  <c r="P1441" i="17"/>
  <c r="AN1441" i="17"/>
  <c r="AL1497" i="17"/>
  <c r="AD1497" i="17"/>
  <c r="V1497" i="17"/>
  <c r="N1497" i="17"/>
  <c r="AK1497" i="17"/>
  <c r="AC1497" i="17"/>
  <c r="U1497" i="17"/>
  <c r="M1497" i="17"/>
  <c r="AN1497" i="17"/>
  <c r="AB1497" i="17"/>
  <c r="R1497" i="17"/>
  <c r="AM1497" i="17"/>
  <c r="AA1497" i="17"/>
  <c r="Q1497" i="17"/>
  <c r="AQ1497" i="17"/>
  <c r="AE1497" i="17"/>
  <c r="O1497" i="17"/>
  <c r="AP1497" i="17"/>
  <c r="Z1497" i="17"/>
  <c r="L1497" i="17"/>
  <c r="AO1497" i="17"/>
  <c r="W1497" i="17"/>
  <c r="AJ1497" i="17"/>
  <c r="T1497" i="17"/>
  <c r="AG1497" i="17"/>
  <c r="AL1501" i="17"/>
  <c r="AD1501" i="17"/>
  <c r="V1501" i="17"/>
  <c r="N1501" i="17"/>
  <c r="AK1501" i="17"/>
  <c r="AC1501" i="17"/>
  <c r="U1501" i="17"/>
  <c r="M1501" i="17"/>
  <c r="AN1501" i="17"/>
  <c r="AB1501" i="17"/>
  <c r="R1501" i="17"/>
  <c r="AM1501" i="17"/>
  <c r="AA1501" i="17"/>
  <c r="Q1501" i="17"/>
  <c r="AO1501" i="17"/>
  <c r="Y1501" i="17"/>
  <c r="K1501" i="17"/>
  <c r="AJ1501" i="17"/>
  <c r="X1501" i="17"/>
  <c r="J1501" i="17"/>
  <c r="AQ1501" i="17"/>
  <c r="W1501" i="17"/>
  <c r="AP1501" i="17"/>
  <c r="T1501" i="17"/>
  <c r="AG1501" i="17"/>
  <c r="AL1515" i="17"/>
  <c r="AD1515" i="17"/>
  <c r="V1515" i="17"/>
  <c r="N1515" i="17"/>
  <c r="AK1515" i="17"/>
  <c r="AC1515" i="17"/>
  <c r="U1515" i="17"/>
  <c r="M1515" i="17"/>
  <c r="AR1515" i="17"/>
  <c r="AH1515" i="17"/>
  <c r="X1515" i="17"/>
  <c r="L1515" i="17"/>
  <c r="AQ1515" i="17"/>
  <c r="AG1515" i="17"/>
  <c r="W1515" i="17"/>
  <c r="K1515" i="17"/>
  <c r="AI1515" i="17"/>
  <c r="S1515" i="17"/>
  <c r="AF1515" i="17"/>
  <c r="R1515" i="17"/>
  <c r="AE1515" i="17"/>
  <c r="O1515" i="17"/>
  <c r="AB1515" i="17"/>
  <c r="J1515" i="17"/>
  <c r="AM1515" i="17"/>
  <c r="AL1519" i="17"/>
  <c r="AD1519" i="17"/>
  <c r="V1519" i="17"/>
  <c r="N1519" i="17"/>
  <c r="AK1519" i="17"/>
  <c r="AC1519" i="17"/>
  <c r="U1519" i="17"/>
  <c r="M1519" i="17"/>
  <c r="AR1519" i="17"/>
  <c r="AH1519" i="17"/>
  <c r="X1519" i="17"/>
  <c r="L1519" i="17"/>
  <c r="AQ1519" i="17"/>
  <c r="AG1519" i="17"/>
  <c r="W1519" i="17"/>
  <c r="K1519" i="17"/>
  <c r="AE1519" i="17"/>
  <c r="Q1519" i="17"/>
  <c r="AP1519" i="17"/>
  <c r="AB1519" i="17"/>
  <c r="P1519" i="17"/>
  <c r="AI1519" i="17"/>
  <c r="O1519" i="17"/>
  <c r="AF1519" i="17"/>
  <c r="J1519" i="17"/>
  <c r="AM1519" i="17"/>
  <c r="P1523" i="17"/>
  <c r="AJ1523" i="17"/>
  <c r="O1531" i="17"/>
  <c r="AM1531" i="17"/>
  <c r="O1535" i="17"/>
  <c r="AM1535" i="17"/>
  <c r="J1541" i="17"/>
  <c r="AH1541" i="17"/>
  <c r="S1545" i="17"/>
  <c r="AO1545" i="17"/>
  <c r="S1549" i="17"/>
  <c r="AQ1549" i="17"/>
  <c r="K1561" i="17"/>
  <c r="AI1561" i="17"/>
  <c r="O1565" i="17"/>
  <c r="AI1565" i="17"/>
  <c r="Q1579" i="17"/>
  <c r="AO1579" i="17"/>
  <c r="S1583" i="17"/>
  <c r="AO1583" i="17"/>
  <c r="O1595" i="17"/>
  <c r="AM1595" i="17"/>
  <c r="O1599" i="17"/>
  <c r="AM1599" i="17"/>
  <c r="J1605" i="17"/>
  <c r="AH1605" i="17"/>
  <c r="S1609" i="17"/>
  <c r="AO1609" i="17"/>
  <c r="S1613" i="17"/>
  <c r="AQ1613" i="17"/>
  <c r="AK1694" i="17"/>
  <c r="AC1694" i="17"/>
  <c r="U1694" i="17"/>
  <c r="M1694" i="17"/>
  <c r="AR1694" i="17"/>
  <c r="AJ1694" i="17"/>
  <c r="AB1694" i="17"/>
  <c r="T1694" i="17"/>
  <c r="L1694" i="17"/>
  <c r="AH1694" i="17"/>
  <c r="X1694" i="17"/>
  <c r="N1694" i="17"/>
  <c r="AQ1694" i="17"/>
  <c r="AG1694" i="17"/>
  <c r="W1694" i="17"/>
  <c r="K1694" i="17"/>
  <c r="AF1694" i="17"/>
  <c r="R1694" i="17"/>
  <c r="AE1694" i="17"/>
  <c r="Q1694" i="17"/>
  <c r="AI1694" i="17"/>
  <c r="O1694" i="17"/>
  <c r="AD1694" i="17"/>
  <c r="J1694" i="17"/>
  <c r="AA1694" i="17"/>
  <c r="Z1694" i="17"/>
  <c r="AO1694" i="17"/>
  <c r="J1698" i="17"/>
  <c r="AK1700" i="17"/>
  <c r="AC1700" i="17"/>
  <c r="U1700" i="17"/>
  <c r="M1700" i="17"/>
  <c r="AR1700" i="17"/>
  <c r="AJ1700" i="17"/>
  <c r="AB1700" i="17"/>
  <c r="T1700" i="17"/>
  <c r="L1700" i="17"/>
  <c r="AQ1700" i="17"/>
  <c r="AG1700" i="17"/>
  <c r="W1700" i="17"/>
  <c r="K1700" i="17"/>
  <c r="AP1700" i="17"/>
  <c r="AF1700" i="17"/>
  <c r="V1700" i="17"/>
  <c r="J1700" i="17"/>
  <c r="AL1700" i="17"/>
  <c r="X1700" i="17"/>
  <c r="AI1700" i="17"/>
  <c r="S1700" i="17"/>
  <c r="AO1700" i="17"/>
  <c r="Y1700" i="17"/>
  <c r="AN1700" i="17"/>
  <c r="R1700" i="17"/>
  <c r="AM1700" i="17"/>
  <c r="O1700" i="17"/>
  <c r="AH1700" i="17"/>
  <c r="N1700" i="17"/>
  <c r="J1702" i="17"/>
  <c r="AL1702" i="17"/>
  <c r="AK1708" i="17"/>
  <c r="AC1708" i="17"/>
  <c r="U1708" i="17"/>
  <c r="M1708" i="17"/>
  <c r="AR1708" i="17"/>
  <c r="AJ1708" i="17"/>
  <c r="AB1708" i="17"/>
  <c r="T1708" i="17"/>
  <c r="L1708" i="17"/>
  <c r="AM1708" i="17"/>
  <c r="AA1708" i="17"/>
  <c r="Q1708" i="17"/>
  <c r="AL1708" i="17"/>
  <c r="Z1708" i="17"/>
  <c r="P1708" i="17"/>
  <c r="AO1708" i="17"/>
  <c r="Y1708" i="17"/>
  <c r="K1708" i="17"/>
  <c r="AN1708" i="17"/>
  <c r="X1708" i="17"/>
  <c r="J1708" i="17"/>
  <c r="AD1708" i="17"/>
  <c r="AQ1708" i="17"/>
  <c r="W1708" i="17"/>
  <c r="S1708" i="17"/>
  <c r="AP1708" i="17"/>
  <c r="R1708" i="17"/>
  <c r="AI1708" i="17"/>
  <c r="AK1718" i="17"/>
  <c r="AC1718" i="17"/>
  <c r="U1718" i="17"/>
  <c r="M1718" i="17"/>
  <c r="AR1718" i="17"/>
  <c r="AJ1718" i="17"/>
  <c r="AB1718" i="17"/>
  <c r="T1718" i="17"/>
  <c r="L1718" i="17"/>
  <c r="AN1718" i="17"/>
  <c r="AD1718" i="17"/>
  <c r="R1718" i="17"/>
  <c r="AM1718" i="17"/>
  <c r="AA1718" i="17"/>
  <c r="Q1718" i="17"/>
  <c r="AQ1718" i="17"/>
  <c r="AE1718" i="17"/>
  <c r="O1718" i="17"/>
  <c r="AP1718" i="17"/>
  <c r="Z1718" i="17"/>
  <c r="N1718" i="17"/>
  <c r="AL1718" i="17"/>
  <c r="V1718" i="17"/>
  <c r="AI1718" i="17"/>
  <c r="S1718" i="17"/>
  <c r="Y1718" i="17"/>
  <c r="X1718" i="17"/>
  <c r="AO1718" i="17"/>
  <c r="Q1796" i="17"/>
  <c r="AL1798" i="17"/>
  <c r="AD1798" i="17"/>
  <c r="V1798" i="17"/>
  <c r="N1798" i="17"/>
  <c r="AK1798" i="17"/>
  <c r="AC1798" i="17"/>
  <c r="U1798" i="17"/>
  <c r="M1798" i="17"/>
  <c r="AR1798" i="17"/>
  <c r="AH1798" i="17"/>
  <c r="X1798" i="17"/>
  <c r="L1798" i="17"/>
  <c r="AQ1798" i="17"/>
  <c r="AG1798" i="17"/>
  <c r="W1798" i="17"/>
  <c r="K1798" i="17"/>
  <c r="AP1798" i="17"/>
  <c r="AB1798" i="17"/>
  <c r="P1798" i="17"/>
  <c r="AO1798" i="17"/>
  <c r="AA1798" i="17"/>
  <c r="O1798" i="17"/>
  <c r="AN1798" i="17"/>
  <c r="T1798" i="17"/>
  <c r="AM1798" i="17"/>
  <c r="S1798" i="17"/>
  <c r="AE1798" i="17"/>
  <c r="Z1798" i="17"/>
  <c r="R1798" i="17"/>
  <c r="Q1798" i="17"/>
  <c r="L1806" i="17"/>
  <c r="AA1818" i="17"/>
  <c r="AL1820" i="17"/>
  <c r="AD1820" i="17"/>
  <c r="V1820" i="17"/>
  <c r="N1820" i="17"/>
  <c r="AK1820" i="17"/>
  <c r="AC1820" i="17"/>
  <c r="U1820" i="17"/>
  <c r="M1820" i="17"/>
  <c r="AM1820" i="17"/>
  <c r="AA1820" i="17"/>
  <c r="Q1820" i="17"/>
  <c r="AJ1820" i="17"/>
  <c r="Z1820" i="17"/>
  <c r="P1820" i="17"/>
  <c r="AR1820" i="17"/>
  <c r="AF1820" i="17"/>
  <c r="R1820" i="17"/>
  <c r="AQ1820" i="17"/>
  <c r="AE1820" i="17"/>
  <c r="O1820" i="17"/>
  <c r="AP1820" i="17"/>
  <c r="X1820" i="17"/>
  <c r="AO1820" i="17"/>
  <c r="W1820" i="17"/>
  <c r="S1820" i="17"/>
  <c r="AN1820" i="17"/>
  <c r="L1820" i="17"/>
  <c r="AG1820" i="17"/>
  <c r="AB1820" i="17"/>
  <c r="J1845" i="17"/>
  <c r="AR1892" i="17"/>
  <c r="AJ1892" i="17"/>
  <c r="AB1892" i="17"/>
  <c r="T1892" i="17"/>
  <c r="L1892" i="17"/>
  <c r="AI1892" i="17"/>
  <c r="Z1892" i="17"/>
  <c r="Q1892" i="17"/>
  <c r="AQ1892" i="17"/>
  <c r="AH1892" i="17"/>
  <c r="Y1892" i="17"/>
  <c r="P1892" i="17"/>
  <c r="AP1892" i="17"/>
  <c r="AE1892" i="17"/>
  <c r="S1892" i="17"/>
  <c r="AO1892" i="17"/>
  <c r="AD1892" i="17"/>
  <c r="R1892" i="17"/>
  <c r="AL1892" i="17"/>
  <c r="V1892" i="17"/>
  <c r="AK1892" i="17"/>
  <c r="U1892" i="17"/>
  <c r="AM1892" i="17"/>
  <c r="N1892" i="17"/>
  <c r="AG1892" i="17"/>
  <c r="M1892" i="17"/>
  <c r="AA1892" i="17"/>
  <c r="X1892" i="17"/>
  <c r="AC1892" i="17"/>
  <c r="W1892" i="17"/>
  <c r="O1892" i="17"/>
  <c r="K1892" i="17"/>
  <c r="AM782" i="17"/>
  <c r="AE782" i="17"/>
  <c r="W782" i="17"/>
  <c r="O782" i="17"/>
  <c r="R782" i="17"/>
  <c r="AA782" i="17"/>
  <c r="AJ782" i="17"/>
  <c r="AQ783" i="17"/>
  <c r="AI783" i="17"/>
  <c r="AA783" i="17"/>
  <c r="S783" i="17"/>
  <c r="K783" i="17"/>
  <c r="R783" i="17"/>
  <c r="AB783" i="17"/>
  <c r="AK783" i="17"/>
  <c r="AM798" i="17"/>
  <c r="AE798" i="17"/>
  <c r="W798" i="17"/>
  <c r="O798" i="17"/>
  <c r="R798" i="17"/>
  <c r="AA798" i="17"/>
  <c r="AJ798" i="17"/>
  <c r="AQ799" i="17"/>
  <c r="AI799" i="17"/>
  <c r="AA799" i="17"/>
  <c r="S799" i="17"/>
  <c r="K799" i="17"/>
  <c r="R799" i="17"/>
  <c r="AB799" i="17"/>
  <c r="AK799" i="17"/>
  <c r="AM814" i="17"/>
  <c r="AE814" i="17"/>
  <c r="W814" i="17"/>
  <c r="O814" i="17"/>
  <c r="R814" i="17"/>
  <c r="AA814" i="17"/>
  <c r="AJ814" i="17"/>
  <c r="AQ815" i="17"/>
  <c r="AI815" i="17"/>
  <c r="AA815" i="17"/>
  <c r="S815" i="17"/>
  <c r="K815" i="17"/>
  <c r="R815" i="17"/>
  <c r="AB815" i="17"/>
  <c r="AK815" i="17"/>
  <c r="AM830" i="17"/>
  <c r="AE830" i="17"/>
  <c r="W830" i="17"/>
  <c r="O830" i="17"/>
  <c r="R830" i="17"/>
  <c r="AA830" i="17"/>
  <c r="AJ830" i="17"/>
  <c r="AQ831" i="17"/>
  <c r="AI831" i="17"/>
  <c r="AA831" i="17"/>
  <c r="S831" i="17"/>
  <c r="K831" i="17"/>
  <c r="R831" i="17"/>
  <c r="AB831" i="17"/>
  <c r="AK831" i="17"/>
  <c r="AM846" i="17"/>
  <c r="AE846" i="17"/>
  <c r="W846" i="17"/>
  <c r="O846" i="17"/>
  <c r="R846" i="17"/>
  <c r="AA846" i="17"/>
  <c r="AJ846" i="17"/>
  <c r="AQ847" i="17"/>
  <c r="AI847" i="17"/>
  <c r="AA847" i="17"/>
  <c r="S847" i="17"/>
  <c r="K847" i="17"/>
  <c r="R847" i="17"/>
  <c r="AB847" i="17"/>
  <c r="AK847" i="17"/>
  <c r="AM862" i="17"/>
  <c r="AE862" i="17"/>
  <c r="W862" i="17"/>
  <c r="O862" i="17"/>
  <c r="R862" i="17"/>
  <c r="AA862" i="17"/>
  <c r="AJ862" i="17"/>
  <c r="AQ863" i="17"/>
  <c r="AI863" i="17"/>
  <c r="AA863" i="17"/>
  <c r="S863" i="17"/>
  <c r="K863" i="17"/>
  <c r="R863" i="17"/>
  <c r="AB863" i="17"/>
  <c r="AK863" i="17"/>
  <c r="AM878" i="17"/>
  <c r="AE878" i="17"/>
  <c r="W878" i="17"/>
  <c r="O878" i="17"/>
  <c r="R878" i="17"/>
  <c r="AA878" i="17"/>
  <c r="AJ878" i="17"/>
  <c r="AQ879" i="17"/>
  <c r="AI879" i="17"/>
  <c r="AA879" i="17"/>
  <c r="S879" i="17"/>
  <c r="K879" i="17"/>
  <c r="R879" i="17"/>
  <c r="AB879" i="17"/>
  <c r="AK879" i="17"/>
  <c r="AM894" i="17"/>
  <c r="AE894" i="17"/>
  <c r="W894" i="17"/>
  <c r="O894" i="17"/>
  <c r="R894" i="17"/>
  <c r="AA894" i="17"/>
  <c r="AJ894" i="17"/>
  <c r="AQ895" i="17"/>
  <c r="AI895" i="17"/>
  <c r="AA895" i="17"/>
  <c r="S895" i="17"/>
  <c r="K895" i="17"/>
  <c r="R895" i="17"/>
  <c r="AB895" i="17"/>
  <c r="AK895" i="17"/>
  <c r="AM910" i="17"/>
  <c r="AE910" i="17"/>
  <c r="W910" i="17"/>
  <c r="O910" i="17"/>
  <c r="R910" i="17"/>
  <c r="AA910" i="17"/>
  <c r="AJ910" i="17"/>
  <c r="AQ911" i="17"/>
  <c r="AI911" i="17"/>
  <c r="AA911" i="17"/>
  <c r="S911" i="17"/>
  <c r="K911" i="17"/>
  <c r="R911" i="17"/>
  <c r="AB911" i="17"/>
  <c r="AK911" i="17"/>
  <c r="AM926" i="17"/>
  <c r="AE926" i="17"/>
  <c r="W926" i="17"/>
  <c r="O926" i="17"/>
  <c r="R926" i="17"/>
  <c r="AA926" i="17"/>
  <c r="AJ926" i="17"/>
  <c r="AQ927" i="17"/>
  <c r="AI927" i="17"/>
  <c r="AA927" i="17"/>
  <c r="S927" i="17"/>
  <c r="K927" i="17"/>
  <c r="R927" i="17"/>
  <c r="AB927" i="17"/>
  <c r="AK927" i="17"/>
  <c r="AM942" i="17"/>
  <c r="AE942" i="17"/>
  <c r="W942" i="17"/>
  <c r="O942" i="17"/>
  <c r="R942" i="17"/>
  <c r="AA942" i="17"/>
  <c r="AJ942" i="17"/>
  <c r="AQ943" i="17"/>
  <c r="AI943" i="17"/>
  <c r="AA943" i="17"/>
  <c r="S943" i="17"/>
  <c r="K943" i="17"/>
  <c r="R943" i="17"/>
  <c r="AB943" i="17"/>
  <c r="AK943" i="17"/>
  <c r="AM958" i="17"/>
  <c r="AE958" i="17"/>
  <c r="W958" i="17"/>
  <c r="O958" i="17"/>
  <c r="R958" i="17"/>
  <c r="AA958" i="17"/>
  <c r="AJ958" i="17"/>
  <c r="AQ959" i="17"/>
  <c r="AI959" i="17"/>
  <c r="AA959" i="17"/>
  <c r="S959" i="17"/>
  <c r="K959" i="17"/>
  <c r="R959" i="17"/>
  <c r="AB959" i="17"/>
  <c r="AK959" i="17"/>
  <c r="AM974" i="17"/>
  <c r="AE974" i="17"/>
  <c r="W974" i="17"/>
  <c r="O974" i="17"/>
  <c r="R974" i="17"/>
  <c r="AA974" i="17"/>
  <c r="AJ974" i="17"/>
  <c r="AQ975" i="17"/>
  <c r="AI975" i="17"/>
  <c r="AA975" i="17"/>
  <c r="S975" i="17"/>
  <c r="K975" i="17"/>
  <c r="R975" i="17"/>
  <c r="AB975" i="17"/>
  <c r="AK975" i="17"/>
  <c r="AM990" i="17"/>
  <c r="AE990" i="17"/>
  <c r="W990" i="17"/>
  <c r="O990" i="17"/>
  <c r="R990" i="17"/>
  <c r="AA990" i="17"/>
  <c r="AJ990" i="17"/>
  <c r="AQ991" i="17"/>
  <c r="AI991" i="17"/>
  <c r="AA991" i="17"/>
  <c r="S991" i="17"/>
  <c r="K991" i="17"/>
  <c r="R991" i="17"/>
  <c r="AB991" i="17"/>
  <c r="AK991" i="17"/>
  <c r="AM1006" i="17"/>
  <c r="AE1006" i="17"/>
  <c r="W1006" i="17"/>
  <c r="O1006" i="17"/>
  <c r="R1006" i="17"/>
  <c r="AA1006" i="17"/>
  <c r="AJ1006" i="17"/>
  <c r="AQ1007" i="17"/>
  <c r="AI1007" i="17"/>
  <c r="AA1007" i="17"/>
  <c r="S1007" i="17"/>
  <c r="K1007" i="17"/>
  <c r="R1007" i="17"/>
  <c r="AB1007" i="17"/>
  <c r="AK1007" i="17"/>
  <c r="AM1022" i="17"/>
  <c r="AE1022" i="17"/>
  <c r="W1022" i="17"/>
  <c r="O1022" i="17"/>
  <c r="R1022" i="17"/>
  <c r="AA1022" i="17"/>
  <c r="AJ1022" i="17"/>
  <c r="AQ1023" i="17"/>
  <c r="AI1023" i="17"/>
  <c r="AA1023" i="17"/>
  <c r="S1023" i="17"/>
  <c r="K1023" i="17"/>
  <c r="R1023" i="17"/>
  <c r="AB1023" i="17"/>
  <c r="AK1023" i="17"/>
  <c r="AM1038" i="17"/>
  <c r="AE1038" i="17"/>
  <c r="W1038" i="17"/>
  <c r="O1038" i="17"/>
  <c r="R1038" i="17"/>
  <c r="AA1038" i="17"/>
  <c r="AJ1038" i="17"/>
  <c r="AQ1039" i="17"/>
  <c r="AI1039" i="17"/>
  <c r="AA1039" i="17"/>
  <c r="S1039" i="17"/>
  <c r="K1039" i="17"/>
  <c r="R1039" i="17"/>
  <c r="AB1039" i="17"/>
  <c r="AK1039" i="17"/>
  <c r="AL1367" i="17"/>
  <c r="AD1367" i="17"/>
  <c r="V1367" i="17"/>
  <c r="N1367" i="17"/>
  <c r="AK1367" i="17"/>
  <c r="AC1367" i="17"/>
  <c r="U1367" i="17"/>
  <c r="M1367" i="17"/>
  <c r="AR1367" i="17"/>
  <c r="AH1367" i="17"/>
  <c r="X1367" i="17"/>
  <c r="L1367" i="17"/>
  <c r="AQ1367" i="17"/>
  <c r="AG1367" i="17"/>
  <c r="W1367" i="17"/>
  <c r="K1367" i="17"/>
  <c r="AO1367" i="17"/>
  <c r="AA1367" i="17"/>
  <c r="O1367" i="17"/>
  <c r="AN1367" i="17"/>
  <c r="Z1367" i="17"/>
  <c r="J1367" i="17"/>
  <c r="AE1367" i="17"/>
  <c r="AL1371" i="17"/>
  <c r="AD1371" i="17"/>
  <c r="V1371" i="17"/>
  <c r="N1371" i="17"/>
  <c r="AK1371" i="17"/>
  <c r="AC1371" i="17"/>
  <c r="U1371" i="17"/>
  <c r="M1371" i="17"/>
  <c r="AR1371" i="17"/>
  <c r="AH1371" i="17"/>
  <c r="X1371" i="17"/>
  <c r="L1371" i="17"/>
  <c r="AQ1371" i="17"/>
  <c r="AG1371" i="17"/>
  <c r="W1371" i="17"/>
  <c r="K1371" i="17"/>
  <c r="AO1371" i="17"/>
  <c r="AA1371" i="17"/>
  <c r="O1371" i="17"/>
  <c r="AN1371" i="17"/>
  <c r="Z1371" i="17"/>
  <c r="J1371" i="17"/>
  <c r="AE1371" i="17"/>
  <c r="AL1389" i="17"/>
  <c r="AD1389" i="17"/>
  <c r="V1389" i="17"/>
  <c r="N1389" i="17"/>
  <c r="AK1389" i="17"/>
  <c r="AC1389" i="17"/>
  <c r="U1389" i="17"/>
  <c r="M1389" i="17"/>
  <c r="AI1389" i="17"/>
  <c r="Y1389" i="17"/>
  <c r="O1389" i="17"/>
  <c r="AR1389" i="17"/>
  <c r="AH1389" i="17"/>
  <c r="X1389" i="17"/>
  <c r="L1389" i="17"/>
  <c r="AF1389" i="17"/>
  <c r="R1389" i="17"/>
  <c r="AQ1389" i="17"/>
  <c r="AE1389" i="17"/>
  <c r="Q1389" i="17"/>
  <c r="AA1389" i="17"/>
  <c r="AL1431" i="17"/>
  <c r="AD1431" i="17"/>
  <c r="V1431" i="17"/>
  <c r="N1431" i="17"/>
  <c r="AK1431" i="17"/>
  <c r="AC1431" i="17"/>
  <c r="U1431" i="17"/>
  <c r="M1431" i="17"/>
  <c r="AJ1431" i="17"/>
  <c r="Z1431" i="17"/>
  <c r="P1431" i="17"/>
  <c r="AI1431" i="17"/>
  <c r="Y1431" i="17"/>
  <c r="O1431" i="17"/>
  <c r="AG1431" i="17"/>
  <c r="S1431" i="17"/>
  <c r="AR1431" i="17"/>
  <c r="AF1431" i="17"/>
  <c r="R1431" i="17"/>
  <c r="AA1431" i="17"/>
  <c r="AQ1431" i="17"/>
  <c r="AL1459" i="17"/>
  <c r="AD1459" i="17"/>
  <c r="V1459" i="17"/>
  <c r="N1459" i="17"/>
  <c r="AK1459" i="17"/>
  <c r="AC1459" i="17"/>
  <c r="U1459" i="17"/>
  <c r="M1459" i="17"/>
  <c r="AM1459" i="17"/>
  <c r="AA1459" i="17"/>
  <c r="Q1459" i="17"/>
  <c r="AJ1459" i="17"/>
  <c r="Z1459" i="17"/>
  <c r="P1459" i="17"/>
  <c r="AO1459" i="17"/>
  <c r="Y1459" i="17"/>
  <c r="K1459" i="17"/>
  <c r="AN1459" i="17"/>
  <c r="X1459" i="17"/>
  <c r="J1459" i="17"/>
  <c r="AE1459" i="17"/>
  <c r="AL1477" i="17"/>
  <c r="AD1477" i="17"/>
  <c r="V1477" i="17"/>
  <c r="N1477" i="17"/>
  <c r="AK1477" i="17"/>
  <c r="AC1477" i="17"/>
  <c r="U1477" i="17"/>
  <c r="M1477" i="17"/>
  <c r="AN1477" i="17"/>
  <c r="AB1477" i="17"/>
  <c r="R1477" i="17"/>
  <c r="AM1477" i="17"/>
  <c r="AA1477" i="17"/>
  <c r="Q1477" i="17"/>
  <c r="AP1477" i="17"/>
  <c r="Z1477" i="17"/>
  <c r="L1477" i="17"/>
  <c r="AO1477" i="17"/>
  <c r="Y1477" i="17"/>
  <c r="K1477" i="17"/>
  <c r="AE1477" i="17"/>
  <c r="AL1483" i="17"/>
  <c r="AD1483" i="17"/>
  <c r="V1483" i="17"/>
  <c r="N1483" i="17"/>
  <c r="AK1483" i="17"/>
  <c r="AC1483" i="17"/>
  <c r="U1483" i="17"/>
  <c r="M1483" i="17"/>
  <c r="AQ1483" i="17"/>
  <c r="AG1483" i="17"/>
  <c r="W1483" i="17"/>
  <c r="K1483" i="17"/>
  <c r="AP1483" i="17"/>
  <c r="AF1483" i="17"/>
  <c r="T1483" i="17"/>
  <c r="J1483" i="17"/>
  <c r="AH1483" i="17"/>
  <c r="R1483" i="17"/>
  <c r="AE1483" i="17"/>
  <c r="Q1483" i="17"/>
  <c r="AA1483" i="17"/>
  <c r="AL1493" i="17"/>
  <c r="AD1493" i="17"/>
  <c r="V1493" i="17"/>
  <c r="N1493" i="17"/>
  <c r="AK1493" i="17"/>
  <c r="AC1493" i="17"/>
  <c r="U1493" i="17"/>
  <c r="M1493" i="17"/>
  <c r="AN1493" i="17"/>
  <c r="AB1493" i="17"/>
  <c r="R1493" i="17"/>
  <c r="AM1493" i="17"/>
  <c r="AA1493" i="17"/>
  <c r="Q1493" i="17"/>
  <c r="AG1493" i="17"/>
  <c r="S1493" i="17"/>
  <c r="AR1493" i="17"/>
  <c r="AF1493" i="17"/>
  <c r="P1493" i="17"/>
  <c r="Y1493" i="17"/>
  <c r="AQ1493" i="17"/>
  <c r="AL1525" i="17"/>
  <c r="AD1525" i="17"/>
  <c r="V1525" i="17"/>
  <c r="N1525" i="17"/>
  <c r="AK1525" i="17"/>
  <c r="AC1525" i="17"/>
  <c r="U1525" i="17"/>
  <c r="M1525" i="17"/>
  <c r="AN1525" i="17"/>
  <c r="AB1525" i="17"/>
  <c r="R1525" i="17"/>
  <c r="AM1525" i="17"/>
  <c r="AA1525" i="17"/>
  <c r="Q1525" i="17"/>
  <c r="AG1525" i="17"/>
  <c r="S1525" i="17"/>
  <c r="AR1525" i="17"/>
  <c r="AF1525" i="17"/>
  <c r="P1525" i="17"/>
  <c r="Y1525" i="17"/>
  <c r="AQ1525" i="17"/>
  <c r="AL1557" i="17"/>
  <c r="AD1557" i="17"/>
  <c r="V1557" i="17"/>
  <c r="N1557" i="17"/>
  <c r="AK1557" i="17"/>
  <c r="AC1557" i="17"/>
  <c r="U1557" i="17"/>
  <c r="M1557" i="17"/>
  <c r="AN1557" i="17"/>
  <c r="AB1557" i="17"/>
  <c r="R1557" i="17"/>
  <c r="AM1557" i="17"/>
  <c r="AA1557" i="17"/>
  <c r="Q1557" i="17"/>
  <c r="AG1557" i="17"/>
  <c r="S1557" i="17"/>
  <c r="AR1557" i="17"/>
  <c r="AF1557" i="17"/>
  <c r="P1557" i="17"/>
  <c r="Y1557" i="17"/>
  <c r="AQ1557" i="17"/>
  <c r="AL1589" i="17"/>
  <c r="AD1589" i="17"/>
  <c r="V1589" i="17"/>
  <c r="N1589" i="17"/>
  <c r="AK1589" i="17"/>
  <c r="AC1589" i="17"/>
  <c r="U1589" i="17"/>
  <c r="M1589" i="17"/>
  <c r="AN1589" i="17"/>
  <c r="AB1589" i="17"/>
  <c r="R1589" i="17"/>
  <c r="AM1589" i="17"/>
  <c r="AA1589" i="17"/>
  <c r="Q1589" i="17"/>
  <c r="AG1589" i="17"/>
  <c r="S1589" i="17"/>
  <c r="AR1589" i="17"/>
  <c r="AF1589" i="17"/>
  <c r="P1589" i="17"/>
  <c r="Y1589" i="17"/>
  <c r="AQ1589" i="17"/>
  <c r="AK1716" i="17"/>
  <c r="AC1716" i="17"/>
  <c r="U1716" i="17"/>
  <c r="M1716" i="17"/>
  <c r="AR1716" i="17"/>
  <c r="AJ1716" i="17"/>
  <c r="AB1716" i="17"/>
  <c r="T1716" i="17"/>
  <c r="L1716" i="17"/>
  <c r="AQ1716" i="17"/>
  <c r="AG1716" i="17"/>
  <c r="W1716" i="17"/>
  <c r="K1716" i="17"/>
  <c r="AP1716" i="17"/>
  <c r="AF1716" i="17"/>
  <c r="V1716" i="17"/>
  <c r="J1716" i="17"/>
  <c r="AL1716" i="17"/>
  <c r="X1716" i="17"/>
  <c r="AI1716" i="17"/>
  <c r="S1716" i="17"/>
  <c r="AM1716" i="17"/>
  <c r="Q1716" i="17"/>
  <c r="AH1716" i="17"/>
  <c r="P1716" i="17"/>
  <c r="AE1716" i="17"/>
  <c r="AL1730" i="17"/>
  <c r="AD1730" i="17"/>
  <c r="V1730" i="17"/>
  <c r="N1730" i="17"/>
  <c r="AK1730" i="17"/>
  <c r="AC1730" i="17"/>
  <c r="U1730" i="17"/>
  <c r="M1730" i="17"/>
  <c r="AJ1730" i="17"/>
  <c r="Z1730" i="17"/>
  <c r="P1730" i="17"/>
  <c r="AI1730" i="17"/>
  <c r="Y1730" i="17"/>
  <c r="O1730" i="17"/>
  <c r="AP1730" i="17"/>
  <c r="AB1730" i="17"/>
  <c r="L1730" i="17"/>
  <c r="AO1730" i="17"/>
  <c r="AA1730" i="17"/>
  <c r="K1730" i="17"/>
  <c r="AG1730" i="17"/>
  <c r="Q1730" i="17"/>
  <c r="AF1730" i="17"/>
  <c r="J1730" i="17"/>
  <c r="X1730" i="17"/>
  <c r="W1730" i="17"/>
  <c r="AQ1730" i="17"/>
  <c r="AL1814" i="17"/>
  <c r="AD1814" i="17"/>
  <c r="V1814" i="17"/>
  <c r="N1814" i="17"/>
  <c r="AK1814" i="17"/>
  <c r="AC1814" i="17"/>
  <c r="U1814" i="17"/>
  <c r="M1814" i="17"/>
  <c r="AR1814" i="17"/>
  <c r="AH1814" i="17"/>
  <c r="X1814" i="17"/>
  <c r="L1814" i="17"/>
  <c r="AQ1814" i="17"/>
  <c r="AG1814" i="17"/>
  <c r="W1814" i="17"/>
  <c r="K1814" i="17"/>
  <c r="AF1814" i="17"/>
  <c r="R1814" i="17"/>
  <c r="AE1814" i="17"/>
  <c r="Q1814" i="17"/>
  <c r="AI1814" i="17"/>
  <c r="O1814" i="17"/>
  <c r="AB1814" i="17"/>
  <c r="J1814" i="17"/>
  <c r="AP1814" i="17"/>
  <c r="T1814" i="17"/>
  <c r="AO1814" i="17"/>
  <c r="S1814" i="17"/>
  <c r="AL1833" i="17"/>
  <c r="AD1833" i="17"/>
  <c r="V1833" i="17"/>
  <c r="N1833" i="17"/>
  <c r="AK1833" i="17"/>
  <c r="AC1833" i="17"/>
  <c r="U1833" i="17"/>
  <c r="M1833" i="17"/>
  <c r="AJ1833" i="17"/>
  <c r="Z1833" i="17"/>
  <c r="P1833" i="17"/>
  <c r="AI1833" i="17"/>
  <c r="Y1833" i="17"/>
  <c r="O1833" i="17"/>
  <c r="AP1833" i="17"/>
  <c r="AB1833" i="17"/>
  <c r="L1833" i="17"/>
  <c r="AO1833" i="17"/>
  <c r="AA1833" i="17"/>
  <c r="K1833" i="17"/>
  <c r="AR1833" i="17"/>
  <c r="X1833" i="17"/>
  <c r="AQ1833" i="17"/>
  <c r="W1833" i="17"/>
  <c r="T1833" i="17"/>
  <c r="S1833" i="17"/>
  <c r="AH1833" i="17"/>
  <c r="AG1833" i="17"/>
  <c r="AL1843" i="17"/>
  <c r="AD1843" i="17"/>
  <c r="V1843" i="17"/>
  <c r="N1843" i="17"/>
  <c r="AK1843" i="17"/>
  <c r="AC1843" i="17"/>
  <c r="U1843" i="17"/>
  <c r="M1843" i="17"/>
  <c r="AQ1843" i="17"/>
  <c r="AG1843" i="17"/>
  <c r="W1843" i="17"/>
  <c r="K1843" i="17"/>
  <c r="AP1843" i="17"/>
  <c r="AF1843" i="17"/>
  <c r="T1843" i="17"/>
  <c r="J1843" i="17"/>
  <c r="AE1843" i="17"/>
  <c r="Q1843" i="17"/>
  <c r="AR1843" i="17"/>
  <c r="AB1843" i="17"/>
  <c r="P1843" i="17"/>
  <c r="AO1843" i="17"/>
  <c r="Y1843" i="17"/>
  <c r="AN1843" i="17"/>
  <c r="X1843" i="17"/>
  <c r="S1843" i="17"/>
  <c r="R1843" i="17"/>
  <c r="O1843" i="17"/>
  <c r="L1843" i="17"/>
  <c r="AL1853" i="17"/>
  <c r="AD1853" i="17"/>
  <c r="V1853" i="17"/>
  <c r="N1853" i="17"/>
  <c r="AK1853" i="17"/>
  <c r="AC1853" i="17"/>
  <c r="U1853" i="17"/>
  <c r="M1853" i="17"/>
  <c r="AN1853" i="17"/>
  <c r="AB1853" i="17"/>
  <c r="R1853" i="17"/>
  <c r="AM1853" i="17"/>
  <c r="AA1853" i="17"/>
  <c r="Q1853" i="17"/>
  <c r="AQ1853" i="17"/>
  <c r="AE1853" i="17"/>
  <c r="O1853" i="17"/>
  <c r="AP1853" i="17"/>
  <c r="Z1853" i="17"/>
  <c r="L1853" i="17"/>
  <c r="AO1853" i="17"/>
  <c r="W1853" i="17"/>
  <c r="AJ1853" i="17"/>
  <c r="T1853" i="17"/>
  <c r="AF1853" i="17"/>
  <c r="Y1853" i="17"/>
  <c r="P1853" i="17"/>
  <c r="K1853" i="17"/>
  <c r="AN1875" i="17"/>
  <c r="AF1875" i="17"/>
  <c r="X1875" i="17"/>
  <c r="P1875" i="17"/>
  <c r="AR1875" i="17"/>
  <c r="AI1875" i="17"/>
  <c r="Z1875" i="17"/>
  <c r="Q1875" i="17"/>
  <c r="AQ1875" i="17"/>
  <c r="AH1875" i="17"/>
  <c r="Y1875" i="17"/>
  <c r="O1875" i="17"/>
  <c r="AM1875" i="17"/>
  <c r="AB1875" i="17"/>
  <c r="N1875" i="17"/>
  <c r="AL1875" i="17"/>
  <c r="AA1875" i="17"/>
  <c r="M1875" i="17"/>
  <c r="AK1875" i="17"/>
  <c r="U1875" i="17"/>
  <c r="AJ1875" i="17"/>
  <c r="T1875" i="17"/>
  <c r="V1875" i="17"/>
  <c r="AP1875" i="17"/>
  <c r="S1875" i="17"/>
  <c r="AO1875" i="17"/>
  <c r="K1875" i="17"/>
  <c r="AG1875" i="17"/>
  <c r="J1875" i="17"/>
  <c r="W1875" i="17"/>
  <c r="R1875" i="17"/>
  <c r="AR1956" i="17"/>
  <c r="AJ1956" i="17"/>
  <c r="AB1956" i="17"/>
  <c r="T1956" i="17"/>
  <c r="L1956" i="17"/>
  <c r="AI1956" i="17"/>
  <c r="Z1956" i="17"/>
  <c r="Q1956" i="17"/>
  <c r="AQ1956" i="17"/>
  <c r="AG1956" i="17"/>
  <c r="W1956" i="17"/>
  <c r="M1956" i="17"/>
  <c r="AP1956" i="17"/>
  <c r="AF1956" i="17"/>
  <c r="V1956" i="17"/>
  <c r="K1956" i="17"/>
  <c r="AK1956" i="17"/>
  <c r="U1956" i="17"/>
  <c r="AH1956" i="17"/>
  <c r="S1956" i="17"/>
  <c r="AO1956" i="17"/>
  <c r="Y1956" i="17"/>
  <c r="AN1956" i="17"/>
  <c r="X1956" i="17"/>
  <c r="P1956" i="17"/>
  <c r="AM1956" i="17"/>
  <c r="O1956" i="17"/>
  <c r="R1956" i="17"/>
  <c r="N1956" i="17"/>
  <c r="AD1956" i="17"/>
  <c r="AC1956" i="17"/>
  <c r="AL1956" i="17"/>
  <c r="AE1956" i="17"/>
  <c r="Q595" i="17"/>
  <c r="Y595" i="17"/>
  <c r="AG595" i="17"/>
  <c r="Q597" i="17"/>
  <c r="Y597" i="17"/>
  <c r="AG597" i="17"/>
  <c r="Q599" i="17"/>
  <c r="Y599" i="17"/>
  <c r="AG599" i="17"/>
  <c r="Q601" i="17"/>
  <c r="Y601" i="17"/>
  <c r="AG601" i="17"/>
  <c r="Q603" i="17"/>
  <c r="Y603" i="17"/>
  <c r="AG603" i="17"/>
  <c r="Q605" i="17"/>
  <c r="Y605" i="17"/>
  <c r="AG605" i="17"/>
  <c r="Q607" i="17"/>
  <c r="Y607" i="17"/>
  <c r="AG607" i="17"/>
  <c r="Q609" i="17"/>
  <c r="Y609" i="17"/>
  <c r="AG609" i="17"/>
  <c r="Q611" i="17"/>
  <c r="Y611" i="17"/>
  <c r="AG611" i="17"/>
  <c r="Q613" i="17"/>
  <c r="Y613" i="17"/>
  <c r="AG613" i="17"/>
  <c r="Q615" i="17"/>
  <c r="Y615" i="17"/>
  <c r="AG615" i="17"/>
  <c r="Q617" i="17"/>
  <c r="Y617" i="17"/>
  <c r="AG617" i="17"/>
  <c r="Q619" i="17"/>
  <c r="Y619" i="17"/>
  <c r="AG619" i="17"/>
  <c r="Q621" i="17"/>
  <c r="Y621" i="17"/>
  <c r="AG621" i="17"/>
  <c r="Q623" i="17"/>
  <c r="Y623" i="17"/>
  <c r="AG623" i="17"/>
  <c r="Q625" i="17"/>
  <c r="Y625" i="17"/>
  <c r="AG625" i="17"/>
  <c r="Q627" i="17"/>
  <c r="Y627" i="17"/>
  <c r="AG627" i="17"/>
  <c r="Q629" i="17"/>
  <c r="Y629" i="17"/>
  <c r="AG629" i="17"/>
  <c r="Q631" i="17"/>
  <c r="Y631" i="17"/>
  <c r="AG631" i="17"/>
  <c r="Q633" i="17"/>
  <c r="Y633" i="17"/>
  <c r="AG633" i="17"/>
  <c r="Q635" i="17"/>
  <c r="Y635" i="17"/>
  <c r="AG635" i="17"/>
  <c r="Q637" i="17"/>
  <c r="Y637" i="17"/>
  <c r="AG637" i="17"/>
  <c r="Q639" i="17"/>
  <c r="Y639" i="17"/>
  <c r="AG639" i="17"/>
  <c r="Q641" i="17"/>
  <c r="Y641" i="17"/>
  <c r="AG641" i="17"/>
  <c r="Q643" i="17"/>
  <c r="Y643" i="17"/>
  <c r="AG643" i="17"/>
  <c r="Q645" i="17"/>
  <c r="Y645" i="17"/>
  <c r="AG645" i="17"/>
  <c r="Q647" i="17"/>
  <c r="Y647" i="17"/>
  <c r="AG647" i="17"/>
  <c r="Q649" i="17"/>
  <c r="Y649" i="17"/>
  <c r="AG649" i="17"/>
  <c r="Q651" i="17"/>
  <c r="Y651" i="17"/>
  <c r="AG651" i="17"/>
  <c r="Q653" i="17"/>
  <c r="Y653" i="17"/>
  <c r="AG653" i="17"/>
  <c r="Q655" i="17"/>
  <c r="Y655" i="17"/>
  <c r="AG655" i="17"/>
  <c r="Q657" i="17"/>
  <c r="Y657" i="17"/>
  <c r="AG657" i="17"/>
  <c r="Q659" i="17"/>
  <c r="Y659" i="17"/>
  <c r="AG659" i="17"/>
  <c r="Q661" i="17"/>
  <c r="Y661" i="17"/>
  <c r="AG661" i="17"/>
  <c r="Q663" i="17"/>
  <c r="Y663" i="17"/>
  <c r="AG663" i="17"/>
  <c r="Q665" i="17"/>
  <c r="Y665" i="17"/>
  <c r="AG665" i="17"/>
  <c r="Q667" i="17"/>
  <c r="Y667" i="17"/>
  <c r="AG667" i="17"/>
  <c r="Q669" i="17"/>
  <c r="Y669" i="17"/>
  <c r="AG669" i="17"/>
  <c r="Q671" i="17"/>
  <c r="Y671" i="17"/>
  <c r="AG671" i="17"/>
  <c r="Q673" i="17"/>
  <c r="Y673" i="17"/>
  <c r="AG673" i="17"/>
  <c r="Q675" i="17"/>
  <c r="Y675" i="17"/>
  <c r="AG675" i="17"/>
  <c r="Q677" i="17"/>
  <c r="Y677" i="17"/>
  <c r="AG677" i="17"/>
  <c r="Q679" i="17"/>
  <c r="Y679" i="17"/>
  <c r="AG679" i="17"/>
  <c r="Q681" i="17"/>
  <c r="Y681" i="17"/>
  <c r="AG681" i="17"/>
  <c r="Q683" i="17"/>
  <c r="Y683" i="17"/>
  <c r="AG683" i="17"/>
  <c r="Q685" i="17"/>
  <c r="Y685" i="17"/>
  <c r="AG685" i="17"/>
  <c r="Q687" i="17"/>
  <c r="Y687" i="17"/>
  <c r="AG687" i="17"/>
  <c r="Q689" i="17"/>
  <c r="Y689" i="17"/>
  <c r="AG689" i="17"/>
  <c r="Q691" i="17"/>
  <c r="Y691" i="17"/>
  <c r="AG691" i="17"/>
  <c r="Q693" i="17"/>
  <c r="Y693" i="17"/>
  <c r="AG693" i="17"/>
  <c r="Q695" i="17"/>
  <c r="Y695" i="17"/>
  <c r="AG695" i="17"/>
  <c r="Q697" i="17"/>
  <c r="Y697" i="17"/>
  <c r="AG697" i="17"/>
  <c r="Q699" i="17"/>
  <c r="Y699" i="17"/>
  <c r="AG699" i="17"/>
  <c r="Q701" i="17"/>
  <c r="Y701" i="17"/>
  <c r="AG701" i="17"/>
  <c r="Q703" i="17"/>
  <c r="Y703" i="17"/>
  <c r="AG703" i="17"/>
  <c r="Q705" i="17"/>
  <c r="Y705" i="17"/>
  <c r="AG705" i="17"/>
  <c r="Q707" i="17"/>
  <c r="Y707" i="17"/>
  <c r="AG707" i="17"/>
  <c r="Q709" i="17"/>
  <c r="Y709" i="17"/>
  <c r="AG709" i="17"/>
  <c r="Q711" i="17"/>
  <c r="Y711" i="17"/>
  <c r="AG711" i="17"/>
  <c r="Q713" i="17"/>
  <c r="Y713" i="17"/>
  <c r="AG713" i="17"/>
  <c r="Q715" i="17"/>
  <c r="Y715" i="17"/>
  <c r="AG715" i="17"/>
  <c r="Q717" i="17"/>
  <c r="Y717" i="17"/>
  <c r="AG717" i="17"/>
  <c r="Q719" i="17"/>
  <c r="Y719" i="17"/>
  <c r="AG719" i="17"/>
  <c r="Q721" i="17"/>
  <c r="Y721" i="17"/>
  <c r="AG721" i="17"/>
  <c r="Q723" i="17"/>
  <c r="Y723" i="17"/>
  <c r="AG723" i="17"/>
  <c r="Q725" i="17"/>
  <c r="Y725" i="17"/>
  <c r="AG725" i="17"/>
  <c r="Q727" i="17"/>
  <c r="Y727" i="17"/>
  <c r="AG727" i="17"/>
  <c r="Q729" i="17"/>
  <c r="Y729" i="17"/>
  <c r="AG729" i="17"/>
  <c r="Q731" i="17"/>
  <c r="Y731" i="17"/>
  <c r="AG731" i="17"/>
  <c r="Q733" i="17"/>
  <c r="Y733" i="17"/>
  <c r="AG733" i="17"/>
  <c r="Q735" i="17"/>
  <c r="Y735" i="17"/>
  <c r="AG735" i="17"/>
  <c r="Q737" i="17"/>
  <c r="Y737" i="17"/>
  <c r="AG737" i="17"/>
  <c r="Q739" i="17"/>
  <c r="Y739" i="17"/>
  <c r="AG739" i="17"/>
  <c r="Q741" i="17"/>
  <c r="Y741" i="17"/>
  <c r="AG741" i="17"/>
  <c r="Q743" i="17"/>
  <c r="Y743" i="17"/>
  <c r="AG743" i="17"/>
  <c r="Q745" i="17"/>
  <c r="Y745" i="17"/>
  <c r="AG745" i="17"/>
  <c r="Q747" i="17"/>
  <c r="Y747" i="17"/>
  <c r="AG747" i="17"/>
  <c r="Q749" i="17"/>
  <c r="Y749" i="17"/>
  <c r="AG749" i="17"/>
  <c r="Q751" i="17"/>
  <c r="Y751" i="17"/>
  <c r="AG751" i="17"/>
  <c r="Q753" i="17"/>
  <c r="Y753" i="17"/>
  <c r="AG753" i="17"/>
  <c r="Q755" i="17"/>
  <c r="Y755" i="17"/>
  <c r="AG755" i="17"/>
  <c r="Q757" i="17"/>
  <c r="Y757" i="17"/>
  <c r="AG757" i="17"/>
  <c r="Q759" i="17"/>
  <c r="Y759" i="17"/>
  <c r="AG759" i="17"/>
  <c r="Q761" i="17"/>
  <c r="Y761" i="17"/>
  <c r="AG761" i="17"/>
  <c r="Q763" i="17"/>
  <c r="Y763" i="17"/>
  <c r="AG763" i="17"/>
  <c r="Q765" i="17"/>
  <c r="Y765" i="17"/>
  <c r="AG765" i="17"/>
  <c r="Q767" i="17"/>
  <c r="Y767" i="17"/>
  <c r="AG767" i="17"/>
  <c r="Q769" i="17"/>
  <c r="Y769" i="17"/>
  <c r="AG769" i="17"/>
  <c r="Q771" i="17"/>
  <c r="Y771" i="17"/>
  <c r="AG771" i="17"/>
  <c r="Q773" i="17"/>
  <c r="Y773" i="17"/>
  <c r="AG773" i="17"/>
  <c r="Q775" i="17"/>
  <c r="Y775" i="17"/>
  <c r="AG775" i="17"/>
  <c r="Q777" i="17"/>
  <c r="Y777" i="17"/>
  <c r="AG777" i="17"/>
  <c r="Q779" i="17"/>
  <c r="Y779" i="17"/>
  <c r="AG779" i="17"/>
  <c r="AQ781" i="17"/>
  <c r="AI781" i="17"/>
  <c r="AA781" i="17"/>
  <c r="S781" i="17"/>
  <c r="K781" i="17"/>
  <c r="R781" i="17"/>
  <c r="AB781" i="17"/>
  <c r="AK781" i="17"/>
  <c r="J782" i="17"/>
  <c r="S782" i="17"/>
  <c r="AB782" i="17"/>
  <c r="AK782" i="17"/>
  <c r="J783" i="17"/>
  <c r="T783" i="17"/>
  <c r="AC783" i="17"/>
  <c r="AL783" i="17"/>
  <c r="AM796" i="17"/>
  <c r="AE796" i="17"/>
  <c r="W796" i="17"/>
  <c r="O796" i="17"/>
  <c r="R796" i="17"/>
  <c r="AA796" i="17"/>
  <c r="AJ796" i="17"/>
  <c r="AQ797" i="17"/>
  <c r="AI797" i="17"/>
  <c r="AA797" i="17"/>
  <c r="S797" i="17"/>
  <c r="K797" i="17"/>
  <c r="R797" i="17"/>
  <c r="AB797" i="17"/>
  <c r="AK797" i="17"/>
  <c r="J798" i="17"/>
  <c r="S798" i="17"/>
  <c r="AB798" i="17"/>
  <c r="AK798" i="17"/>
  <c r="J799" i="17"/>
  <c r="T799" i="17"/>
  <c r="AC799" i="17"/>
  <c r="AL799" i="17"/>
  <c r="AM812" i="17"/>
  <c r="AE812" i="17"/>
  <c r="W812" i="17"/>
  <c r="O812" i="17"/>
  <c r="R812" i="17"/>
  <c r="AA812" i="17"/>
  <c r="AJ812" i="17"/>
  <c r="AQ813" i="17"/>
  <c r="AI813" i="17"/>
  <c r="AA813" i="17"/>
  <c r="S813" i="17"/>
  <c r="K813" i="17"/>
  <c r="R813" i="17"/>
  <c r="AB813" i="17"/>
  <c r="AK813" i="17"/>
  <c r="J814" i="17"/>
  <c r="S814" i="17"/>
  <c r="AB814" i="17"/>
  <c r="AK814" i="17"/>
  <c r="J815" i="17"/>
  <c r="T815" i="17"/>
  <c r="AC815" i="17"/>
  <c r="AL815" i="17"/>
  <c r="AM828" i="17"/>
  <c r="AE828" i="17"/>
  <c r="W828" i="17"/>
  <c r="O828" i="17"/>
  <c r="R828" i="17"/>
  <c r="AA828" i="17"/>
  <c r="AJ828" i="17"/>
  <c r="AQ829" i="17"/>
  <c r="AI829" i="17"/>
  <c r="AA829" i="17"/>
  <c r="S829" i="17"/>
  <c r="K829" i="17"/>
  <c r="R829" i="17"/>
  <c r="AB829" i="17"/>
  <c r="AK829" i="17"/>
  <c r="J830" i="17"/>
  <c r="S830" i="17"/>
  <c r="AB830" i="17"/>
  <c r="AK830" i="17"/>
  <c r="J831" i="17"/>
  <c r="T831" i="17"/>
  <c r="AC831" i="17"/>
  <c r="AL831" i="17"/>
  <c r="AM844" i="17"/>
  <c r="AE844" i="17"/>
  <c r="W844" i="17"/>
  <c r="O844" i="17"/>
  <c r="R844" i="17"/>
  <c r="AA844" i="17"/>
  <c r="AJ844" i="17"/>
  <c r="AQ845" i="17"/>
  <c r="AI845" i="17"/>
  <c r="AA845" i="17"/>
  <c r="S845" i="17"/>
  <c r="K845" i="17"/>
  <c r="R845" i="17"/>
  <c r="AB845" i="17"/>
  <c r="AK845" i="17"/>
  <c r="J846" i="17"/>
  <c r="S846" i="17"/>
  <c r="AB846" i="17"/>
  <c r="AK846" i="17"/>
  <c r="J847" i="17"/>
  <c r="T847" i="17"/>
  <c r="AC847" i="17"/>
  <c r="AL847" i="17"/>
  <c r="AM860" i="17"/>
  <c r="AE860" i="17"/>
  <c r="W860" i="17"/>
  <c r="O860" i="17"/>
  <c r="R860" i="17"/>
  <c r="AA860" i="17"/>
  <c r="AJ860" i="17"/>
  <c r="AQ861" i="17"/>
  <c r="AI861" i="17"/>
  <c r="AA861" i="17"/>
  <c r="S861" i="17"/>
  <c r="K861" i="17"/>
  <c r="R861" i="17"/>
  <c r="AB861" i="17"/>
  <c r="AK861" i="17"/>
  <c r="J862" i="17"/>
  <c r="S862" i="17"/>
  <c r="AB862" i="17"/>
  <c r="AK862" i="17"/>
  <c r="J863" i="17"/>
  <c r="T863" i="17"/>
  <c r="AC863" i="17"/>
  <c r="AL863" i="17"/>
  <c r="AM876" i="17"/>
  <c r="AE876" i="17"/>
  <c r="W876" i="17"/>
  <c r="O876" i="17"/>
  <c r="R876" i="17"/>
  <c r="AA876" i="17"/>
  <c r="AJ876" i="17"/>
  <c r="AQ877" i="17"/>
  <c r="AI877" i="17"/>
  <c r="AA877" i="17"/>
  <c r="S877" i="17"/>
  <c r="K877" i="17"/>
  <c r="R877" i="17"/>
  <c r="AB877" i="17"/>
  <c r="AK877" i="17"/>
  <c r="J878" i="17"/>
  <c r="S878" i="17"/>
  <c r="AB878" i="17"/>
  <c r="AK878" i="17"/>
  <c r="J879" i="17"/>
  <c r="T879" i="17"/>
  <c r="AC879" i="17"/>
  <c r="AL879" i="17"/>
  <c r="AM892" i="17"/>
  <c r="AE892" i="17"/>
  <c r="W892" i="17"/>
  <c r="O892" i="17"/>
  <c r="R892" i="17"/>
  <c r="AA892" i="17"/>
  <c r="AJ892" i="17"/>
  <c r="AQ893" i="17"/>
  <c r="AI893" i="17"/>
  <c r="AA893" i="17"/>
  <c r="S893" i="17"/>
  <c r="K893" i="17"/>
  <c r="R893" i="17"/>
  <c r="AB893" i="17"/>
  <c r="AK893" i="17"/>
  <c r="J894" i="17"/>
  <c r="S894" i="17"/>
  <c r="AB894" i="17"/>
  <c r="AK894" i="17"/>
  <c r="J895" i="17"/>
  <c r="T895" i="17"/>
  <c r="AC895" i="17"/>
  <c r="AL895" i="17"/>
  <c r="AM908" i="17"/>
  <c r="AE908" i="17"/>
  <c r="W908" i="17"/>
  <c r="O908" i="17"/>
  <c r="R908" i="17"/>
  <c r="AA908" i="17"/>
  <c r="AJ908" i="17"/>
  <c r="AQ909" i="17"/>
  <c r="AI909" i="17"/>
  <c r="AA909" i="17"/>
  <c r="S909" i="17"/>
  <c r="K909" i="17"/>
  <c r="R909" i="17"/>
  <c r="AB909" i="17"/>
  <c r="AK909" i="17"/>
  <c r="J910" i="17"/>
  <c r="S910" i="17"/>
  <c r="AB910" i="17"/>
  <c r="AK910" i="17"/>
  <c r="J911" i="17"/>
  <c r="T911" i="17"/>
  <c r="AC911" i="17"/>
  <c r="AL911" i="17"/>
  <c r="AM924" i="17"/>
  <c r="AE924" i="17"/>
  <c r="W924" i="17"/>
  <c r="O924" i="17"/>
  <c r="R924" i="17"/>
  <c r="AA924" i="17"/>
  <c r="AJ924" i="17"/>
  <c r="AQ925" i="17"/>
  <c r="AI925" i="17"/>
  <c r="AA925" i="17"/>
  <c r="S925" i="17"/>
  <c r="K925" i="17"/>
  <c r="R925" i="17"/>
  <c r="AB925" i="17"/>
  <c r="AK925" i="17"/>
  <c r="J926" i="17"/>
  <c r="S926" i="17"/>
  <c r="AB926" i="17"/>
  <c r="AK926" i="17"/>
  <c r="J927" i="17"/>
  <c r="T927" i="17"/>
  <c r="AC927" i="17"/>
  <c r="AL927" i="17"/>
  <c r="AM940" i="17"/>
  <c r="AE940" i="17"/>
  <c r="W940" i="17"/>
  <c r="O940" i="17"/>
  <c r="R940" i="17"/>
  <c r="AA940" i="17"/>
  <c r="AJ940" i="17"/>
  <c r="AQ941" i="17"/>
  <c r="AI941" i="17"/>
  <c r="AA941" i="17"/>
  <c r="S941" i="17"/>
  <c r="K941" i="17"/>
  <c r="R941" i="17"/>
  <c r="AB941" i="17"/>
  <c r="AK941" i="17"/>
  <c r="J942" i="17"/>
  <c r="S942" i="17"/>
  <c r="AB942" i="17"/>
  <c r="AK942" i="17"/>
  <c r="J943" i="17"/>
  <c r="T943" i="17"/>
  <c r="AC943" i="17"/>
  <c r="AL943" i="17"/>
  <c r="AM956" i="17"/>
  <c r="AE956" i="17"/>
  <c r="W956" i="17"/>
  <c r="O956" i="17"/>
  <c r="R956" i="17"/>
  <c r="AA956" i="17"/>
  <c r="AJ956" i="17"/>
  <c r="AQ957" i="17"/>
  <c r="AI957" i="17"/>
  <c r="AA957" i="17"/>
  <c r="S957" i="17"/>
  <c r="K957" i="17"/>
  <c r="R957" i="17"/>
  <c r="AB957" i="17"/>
  <c r="AK957" i="17"/>
  <c r="J958" i="17"/>
  <c r="S958" i="17"/>
  <c r="AB958" i="17"/>
  <c r="AK958" i="17"/>
  <c r="J959" i="17"/>
  <c r="T959" i="17"/>
  <c r="AC959" i="17"/>
  <c r="AL959" i="17"/>
  <c r="AM972" i="17"/>
  <c r="AE972" i="17"/>
  <c r="W972" i="17"/>
  <c r="O972" i="17"/>
  <c r="R972" i="17"/>
  <c r="AA972" i="17"/>
  <c r="AJ972" i="17"/>
  <c r="AQ973" i="17"/>
  <c r="AI973" i="17"/>
  <c r="AA973" i="17"/>
  <c r="S973" i="17"/>
  <c r="K973" i="17"/>
  <c r="R973" i="17"/>
  <c r="AB973" i="17"/>
  <c r="AK973" i="17"/>
  <c r="J974" i="17"/>
  <c r="S974" i="17"/>
  <c r="AB974" i="17"/>
  <c r="AK974" i="17"/>
  <c r="J975" i="17"/>
  <c r="T975" i="17"/>
  <c r="AC975" i="17"/>
  <c r="AL975" i="17"/>
  <c r="AM988" i="17"/>
  <c r="AE988" i="17"/>
  <c r="W988" i="17"/>
  <c r="O988" i="17"/>
  <c r="R988" i="17"/>
  <c r="AA988" i="17"/>
  <c r="AJ988" i="17"/>
  <c r="AQ989" i="17"/>
  <c r="AI989" i="17"/>
  <c r="AA989" i="17"/>
  <c r="S989" i="17"/>
  <c r="K989" i="17"/>
  <c r="R989" i="17"/>
  <c r="AB989" i="17"/>
  <c r="AK989" i="17"/>
  <c r="J990" i="17"/>
  <c r="S990" i="17"/>
  <c r="AB990" i="17"/>
  <c r="AK990" i="17"/>
  <c r="J991" i="17"/>
  <c r="T991" i="17"/>
  <c r="AC991" i="17"/>
  <c r="AL991" i="17"/>
  <c r="AM1004" i="17"/>
  <c r="AE1004" i="17"/>
  <c r="W1004" i="17"/>
  <c r="O1004" i="17"/>
  <c r="R1004" i="17"/>
  <c r="AA1004" i="17"/>
  <c r="AJ1004" i="17"/>
  <c r="AQ1005" i="17"/>
  <c r="AI1005" i="17"/>
  <c r="AA1005" i="17"/>
  <c r="S1005" i="17"/>
  <c r="K1005" i="17"/>
  <c r="R1005" i="17"/>
  <c r="AB1005" i="17"/>
  <c r="AK1005" i="17"/>
  <c r="J1006" i="17"/>
  <c r="S1006" i="17"/>
  <c r="AB1006" i="17"/>
  <c r="AK1006" i="17"/>
  <c r="J1007" i="17"/>
  <c r="T1007" i="17"/>
  <c r="AC1007" i="17"/>
  <c r="AL1007" i="17"/>
  <c r="AM1020" i="17"/>
  <c r="AE1020" i="17"/>
  <c r="W1020" i="17"/>
  <c r="O1020" i="17"/>
  <c r="R1020" i="17"/>
  <c r="AA1020" i="17"/>
  <c r="AJ1020" i="17"/>
  <c r="AQ1021" i="17"/>
  <c r="AI1021" i="17"/>
  <c r="AA1021" i="17"/>
  <c r="S1021" i="17"/>
  <c r="K1021" i="17"/>
  <c r="R1021" i="17"/>
  <c r="AB1021" i="17"/>
  <c r="AK1021" i="17"/>
  <c r="J1022" i="17"/>
  <c r="S1022" i="17"/>
  <c r="AB1022" i="17"/>
  <c r="AK1022" i="17"/>
  <c r="J1023" i="17"/>
  <c r="T1023" i="17"/>
  <c r="AC1023" i="17"/>
  <c r="AL1023" i="17"/>
  <c r="AM1036" i="17"/>
  <c r="AE1036" i="17"/>
  <c r="W1036" i="17"/>
  <c r="O1036" i="17"/>
  <c r="R1036" i="17"/>
  <c r="AA1036" i="17"/>
  <c r="AJ1036" i="17"/>
  <c r="AQ1037" i="17"/>
  <c r="AI1037" i="17"/>
  <c r="AA1037" i="17"/>
  <c r="S1037" i="17"/>
  <c r="K1037" i="17"/>
  <c r="R1037" i="17"/>
  <c r="AB1037" i="17"/>
  <c r="AK1037" i="17"/>
  <c r="J1038" i="17"/>
  <c r="S1038" i="17"/>
  <c r="AB1038" i="17"/>
  <c r="AK1038" i="17"/>
  <c r="J1039" i="17"/>
  <c r="T1039" i="17"/>
  <c r="AC1039" i="17"/>
  <c r="AL1039" i="17"/>
  <c r="AN1044" i="17"/>
  <c r="AF1044" i="17"/>
  <c r="X1044" i="17"/>
  <c r="P1044" i="17"/>
  <c r="AM1044" i="17"/>
  <c r="AE1044" i="17"/>
  <c r="W1044" i="17"/>
  <c r="O1044" i="17"/>
  <c r="S1044" i="17"/>
  <c r="AC1044" i="17"/>
  <c r="AO1044" i="17"/>
  <c r="AR1049" i="17"/>
  <c r="AJ1049" i="17"/>
  <c r="AB1049" i="17"/>
  <c r="T1049" i="17"/>
  <c r="L1049" i="17"/>
  <c r="AQ1049" i="17"/>
  <c r="AI1049" i="17"/>
  <c r="AA1049" i="17"/>
  <c r="S1049" i="17"/>
  <c r="K1049" i="17"/>
  <c r="U1049" i="17"/>
  <c r="AE1049" i="17"/>
  <c r="AO1049" i="17"/>
  <c r="AN1052" i="17"/>
  <c r="AF1052" i="17"/>
  <c r="X1052" i="17"/>
  <c r="P1052" i="17"/>
  <c r="AM1052" i="17"/>
  <c r="AE1052" i="17"/>
  <c r="W1052" i="17"/>
  <c r="O1052" i="17"/>
  <c r="S1052" i="17"/>
  <c r="AC1052" i="17"/>
  <c r="AO1052" i="17"/>
  <c r="AR1057" i="17"/>
  <c r="AJ1057" i="17"/>
  <c r="AB1057" i="17"/>
  <c r="T1057" i="17"/>
  <c r="L1057" i="17"/>
  <c r="AQ1057" i="17"/>
  <c r="AI1057" i="17"/>
  <c r="AA1057" i="17"/>
  <c r="S1057" i="17"/>
  <c r="K1057" i="17"/>
  <c r="U1057" i="17"/>
  <c r="AE1057" i="17"/>
  <c r="AO1057" i="17"/>
  <c r="AN1060" i="17"/>
  <c r="AF1060" i="17"/>
  <c r="X1060" i="17"/>
  <c r="P1060" i="17"/>
  <c r="AM1060" i="17"/>
  <c r="AE1060" i="17"/>
  <c r="W1060" i="17"/>
  <c r="O1060" i="17"/>
  <c r="S1060" i="17"/>
  <c r="AC1060" i="17"/>
  <c r="AO1060" i="17"/>
  <c r="AR1065" i="17"/>
  <c r="AJ1065" i="17"/>
  <c r="AB1065" i="17"/>
  <c r="T1065" i="17"/>
  <c r="L1065" i="17"/>
  <c r="AQ1065" i="17"/>
  <c r="AI1065" i="17"/>
  <c r="AA1065" i="17"/>
  <c r="S1065" i="17"/>
  <c r="K1065" i="17"/>
  <c r="U1065" i="17"/>
  <c r="AE1065" i="17"/>
  <c r="AO1065" i="17"/>
  <c r="AN1068" i="17"/>
  <c r="AF1068" i="17"/>
  <c r="X1068" i="17"/>
  <c r="P1068" i="17"/>
  <c r="AM1068" i="17"/>
  <c r="AE1068" i="17"/>
  <c r="W1068" i="17"/>
  <c r="O1068" i="17"/>
  <c r="S1068" i="17"/>
  <c r="AC1068" i="17"/>
  <c r="AO1068" i="17"/>
  <c r="AR1073" i="17"/>
  <c r="AJ1073" i="17"/>
  <c r="AB1073" i="17"/>
  <c r="T1073" i="17"/>
  <c r="L1073" i="17"/>
  <c r="AQ1073" i="17"/>
  <c r="AI1073" i="17"/>
  <c r="AA1073" i="17"/>
  <c r="S1073" i="17"/>
  <c r="K1073" i="17"/>
  <c r="U1073" i="17"/>
  <c r="AE1073" i="17"/>
  <c r="AO1073" i="17"/>
  <c r="AN1076" i="17"/>
  <c r="AF1076" i="17"/>
  <c r="X1076" i="17"/>
  <c r="P1076" i="17"/>
  <c r="AM1076" i="17"/>
  <c r="AE1076" i="17"/>
  <c r="W1076" i="17"/>
  <c r="O1076" i="17"/>
  <c r="S1076" i="17"/>
  <c r="AC1076" i="17"/>
  <c r="AO1076" i="17"/>
  <c r="AR1081" i="17"/>
  <c r="AJ1081" i="17"/>
  <c r="AB1081" i="17"/>
  <c r="T1081" i="17"/>
  <c r="L1081" i="17"/>
  <c r="AQ1081" i="17"/>
  <c r="AI1081" i="17"/>
  <c r="AA1081" i="17"/>
  <c r="S1081" i="17"/>
  <c r="K1081" i="17"/>
  <c r="U1081" i="17"/>
  <c r="AE1081" i="17"/>
  <c r="AO1081" i="17"/>
  <c r="AN1084" i="17"/>
  <c r="AF1084" i="17"/>
  <c r="X1084" i="17"/>
  <c r="P1084" i="17"/>
  <c r="AM1084" i="17"/>
  <c r="AE1084" i="17"/>
  <c r="W1084" i="17"/>
  <c r="O1084" i="17"/>
  <c r="S1084" i="17"/>
  <c r="AC1084" i="17"/>
  <c r="AO1084" i="17"/>
  <c r="AR1089" i="17"/>
  <c r="AJ1089" i="17"/>
  <c r="AB1089" i="17"/>
  <c r="T1089" i="17"/>
  <c r="L1089" i="17"/>
  <c r="AQ1089" i="17"/>
  <c r="AI1089" i="17"/>
  <c r="AA1089" i="17"/>
  <c r="S1089" i="17"/>
  <c r="K1089" i="17"/>
  <c r="U1089" i="17"/>
  <c r="AE1089" i="17"/>
  <c r="AO1089" i="17"/>
  <c r="AN1092" i="17"/>
  <c r="AF1092" i="17"/>
  <c r="X1092" i="17"/>
  <c r="P1092" i="17"/>
  <c r="AM1092" i="17"/>
  <c r="AE1092" i="17"/>
  <c r="W1092" i="17"/>
  <c r="O1092" i="17"/>
  <c r="S1092" i="17"/>
  <c r="AC1092" i="17"/>
  <c r="AO1092" i="17"/>
  <c r="AR1097" i="17"/>
  <c r="AJ1097" i="17"/>
  <c r="AB1097" i="17"/>
  <c r="T1097" i="17"/>
  <c r="L1097" i="17"/>
  <c r="AQ1097" i="17"/>
  <c r="AI1097" i="17"/>
  <c r="AA1097" i="17"/>
  <c r="S1097" i="17"/>
  <c r="K1097" i="17"/>
  <c r="U1097" i="17"/>
  <c r="AE1097" i="17"/>
  <c r="AO1097" i="17"/>
  <c r="AN1100" i="17"/>
  <c r="AF1100" i="17"/>
  <c r="X1100" i="17"/>
  <c r="P1100" i="17"/>
  <c r="AM1100" i="17"/>
  <c r="AE1100" i="17"/>
  <c r="W1100" i="17"/>
  <c r="O1100" i="17"/>
  <c r="S1100" i="17"/>
  <c r="AC1100" i="17"/>
  <c r="AO1100" i="17"/>
  <c r="AR1105" i="17"/>
  <c r="AJ1105" i="17"/>
  <c r="AB1105" i="17"/>
  <c r="T1105" i="17"/>
  <c r="L1105" i="17"/>
  <c r="AQ1105" i="17"/>
  <c r="AI1105" i="17"/>
  <c r="AA1105" i="17"/>
  <c r="S1105" i="17"/>
  <c r="K1105" i="17"/>
  <c r="U1105" i="17"/>
  <c r="AE1105" i="17"/>
  <c r="AO1105" i="17"/>
  <c r="AN1108" i="17"/>
  <c r="AF1108" i="17"/>
  <c r="X1108" i="17"/>
  <c r="P1108" i="17"/>
  <c r="AM1108" i="17"/>
  <c r="AE1108" i="17"/>
  <c r="W1108" i="17"/>
  <c r="O1108" i="17"/>
  <c r="S1108" i="17"/>
  <c r="AC1108" i="17"/>
  <c r="AO1108" i="17"/>
  <c r="AR1113" i="17"/>
  <c r="AJ1113" i="17"/>
  <c r="AB1113" i="17"/>
  <c r="T1113" i="17"/>
  <c r="L1113" i="17"/>
  <c r="AQ1113" i="17"/>
  <c r="AI1113" i="17"/>
  <c r="AA1113" i="17"/>
  <c r="S1113" i="17"/>
  <c r="K1113" i="17"/>
  <c r="U1113" i="17"/>
  <c r="AE1113" i="17"/>
  <c r="AO1113" i="17"/>
  <c r="AN1116" i="17"/>
  <c r="AF1116" i="17"/>
  <c r="X1116" i="17"/>
  <c r="P1116" i="17"/>
  <c r="AM1116" i="17"/>
  <c r="AE1116" i="17"/>
  <c r="W1116" i="17"/>
  <c r="O1116" i="17"/>
  <c r="S1116" i="17"/>
  <c r="AC1116" i="17"/>
  <c r="AO1116" i="17"/>
  <c r="AR1121" i="17"/>
  <c r="AJ1121" i="17"/>
  <c r="AB1121" i="17"/>
  <c r="T1121" i="17"/>
  <c r="L1121" i="17"/>
  <c r="AQ1121" i="17"/>
  <c r="AI1121" i="17"/>
  <c r="AA1121" i="17"/>
  <c r="S1121" i="17"/>
  <c r="K1121" i="17"/>
  <c r="U1121" i="17"/>
  <c r="AE1121" i="17"/>
  <c r="AO1121" i="17"/>
  <c r="AN1124" i="17"/>
  <c r="AF1124" i="17"/>
  <c r="X1124" i="17"/>
  <c r="P1124" i="17"/>
  <c r="AM1124" i="17"/>
  <c r="AE1124" i="17"/>
  <c r="W1124" i="17"/>
  <c r="O1124" i="17"/>
  <c r="S1124" i="17"/>
  <c r="AC1124" i="17"/>
  <c r="AO1124" i="17"/>
  <c r="AR1129" i="17"/>
  <c r="AJ1129" i="17"/>
  <c r="AB1129" i="17"/>
  <c r="T1129" i="17"/>
  <c r="L1129" i="17"/>
  <c r="AQ1129" i="17"/>
  <c r="AI1129" i="17"/>
  <c r="AA1129" i="17"/>
  <c r="S1129" i="17"/>
  <c r="K1129" i="17"/>
  <c r="U1129" i="17"/>
  <c r="AE1129" i="17"/>
  <c r="AO1129" i="17"/>
  <c r="AN1132" i="17"/>
  <c r="AF1132" i="17"/>
  <c r="X1132" i="17"/>
  <c r="P1132" i="17"/>
  <c r="AM1132" i="17"/>
  <c r="AE1132" i="17"/>
  <c r="W1132" i="17"/>
  <c r="O1132" i="17"/>
  <c r="S1132" i="17"/>
  <c r="AC1132" i="17"/>
  <c r="AO1132" i="17"/>
  <c r="AR1137" i="17"/>
  <c r="AJ1137" i="17"/>
  <c r="AB1137" i="17"/>
  <c r="T1137" i="17"/>
  <c r="L1137" i="17"/>
  <c r="AQ1137" i="17"/>
  <c r="AI1137" i="17"/>
  <c r="AA1137" i="17"/>
  <c r="S1137" i="17"/>
  <c r="K1137" i="17"/>
  <c r="U1137" i="17"/>
  <c r="AE1137" i="17"/>
  <c r="AO1137" i="17"/>
  <c r="AN1140" i="17"/>
  <c r="AF1140" i="17"/>
  <c r="X1140" i="17"/>
  <c r="P1140" i="17"/>
  <c r="AM1140" i="17"/>
  <c r="AE1140" i="17"/>
  <c r="W1140" i="17"/>
  <c r="O1140" i="17"/>
  <c r="S1140" i="17"/>
  <c r="AC1140" i="17"/>
  <c r="AO1140" i="17"/>
  <c r="AR1145" i="17"/>
  <c r="AJ1145" i="17"/>
  <c r="AB1145" i="17"/>
  <c r="T1145" i="17"/>
  <c r="L1145" i="17"/>
  <c r="AQ1145" i="17"/>
  <c r="AI1145" i="17"/>
  <c r="AA1145" i="17"/>
  <c r="S1145" i="17"/>
  <c r="K1145" i="17"/>
  <c r="U1145" i="17"/>
  <c r="AE1145" i="17"/>
  <c r="AO1145" i="17"/>
  <c r="AN1148" i="17"/>
  <c r="AF1148" i="17"/>
  <c r="X1148" i="17"/>
  <c r="P1148" i="17"/>
  <c r="AM1148" i="17"/>
  <c r="AE1148" i="17"/>
  <c r="W1148" i="17"/>
  <c r="O1148" i="17"/>
  <c r="S1148" i="17"/>
  <c r="AC1148" i="17"/>
  <c r="AO1148" i="17"/>
  <c r="AR1153" i="17"/>
  <c r="AJ1153" i="17"/>
  <c r="AB1153" i="17"/>
  <c r="T1153" i="17"/>
  <c r="L1153" i="17"/>
  <c r="AQ1153" i="17"/>
  <c r="AI1153" i="17"/>
  <c r="AA1153" i="17"/>
  <c r="S1153" i="17"/>
  <c r="K1153" i="17"/>
  <c r="U1153" i="17"/>
  <c r="AE1153" i="17"/>
  <c r="AO1153" i="17"/>
  <c r="AN1156" i="17"/>
  <c r="AF1156" i="17"/>
  <c r="X1156" i="17"/>
  <c r="P1156" i="17"/>
  <c r="AM1156" i="17"/>
  <c r="AE1156" i="17"/>
  <c r="W1156" i="17"/>
  <c r="O1156" i="17"/>
  <c r="S1156" i="17"/>
  <c r="AC1156" i="17"/>
  <c r="AO1156" i="17"/>
  <c r="AR1161" i="17"/>
  <c r="AJ1161" i="17"/>
  <c r="AB1161" i="17"/>
  <c r="T1161" i="17"/>
  <c r="L1161" i="17"/>
  <c r="AQ1161" i="17"/>
  <c r="AI1161" i="17"/>
  <c r="AA1161" i="17"/>
  <c r="S1161" i="17"/>
  <c r="K1161" i="17"/>
  <c r="U1161" i="17"/>
  <c r="AE1161" i="17"/>
  <c r="AO1161" i="17"/>
  <c r="AN1164" i="17"/>
  <c r="AF1164" i="17"/>
  <c r="X1164" i="17"/>
  <c r="P1164" i="17"/>
  <c r="AM1164" i="17"/>
  <c r="AE1164" i="17"/>
  <c r="W1164" i="17"/>
  <c r="O1164" i="17"/>
  <c r="S1164" i="17"/>
  <c r="AC1164" i="17"/>
  <c r="AO1164" i="17"/>
  <c r="AR1169" i="17"/>
  <c r="AJ1169" i="17"/>
  <c r="AB1169" i="17"/>
  <c r="T1169" i="17"/>
  <c r="L1169" i="17"/>
  <c r="AQ1169" i="17"/>
  <c r="AI1169" i="17"/>
  <c r="AA1169" i="17"/>
  <c r="S1169" i="17"/>
  <c r="K1169" i="17"/>
  <c r="U1169" i="17"/>
  <c r="AE1169" i="17"/>
  <c r="AO1169" i="17"/>
  <c r="AN1172" i="17"/>
  <c r="AF1172" i="17"/>
  <c r="X1172" i="17"/>
  <c r="P1172" i="17"/>
  <c r="AM1172" i="17"/>
  <c r="AE1172" i="17"/>
  <c r="W1172" i="17"/>
  <c r="O1172" i="17"/>
  <c r="S1172" i="17"/>
  <c r="AC1172" i="17"/>
  <c r="AO1172" i="17"/>
  <c r="AR1177" i="17"/>
  <c r="AJ1177" i="17"/>
  <c r="AB1177" i="17"/>
  <c r="T1177" i="17"/>
  <c r="L1177" i="17"/>
  <c r="AQ1177" i="17"/>
  <c r="AI1177" i="17"/>
  <c r="AA1177" i="17"/>
  <c r="S1177" i="17"/>
  <c r="K1177" i="17"/>
  <c r="U1177" i="17"/>
  <c r="AE1177" i="17"/>
  <c r="AO1177" i="17"/>
  <c r="AN1180" i="17"/>
  <c r="AF1180" i="17"/>
  <c r="X1180" i="17"/>
  <c r="P1180" i="17"/>
  <c r="AM1180" i="17"/>
  <c r="AE1180" i="17"/>
  <c r="W1180" i="17"/>
  <c r="O1180" i="17"/>
  <c r="S1180" i="17"/>
  <c r="AC1180" i="17"/>
  <c r="AO1180" i="17"/>
  <c r="AR1191" i="17"/>
  <c r="AJ1191" i="17"/>
  <c r="AB1191" i="17"/>
  <c r="T1191" i="17"/>
  <c r="L1191" i="17"/>
  <c r="AQ1191" i="17"/>
  <c r="AI1191" i="17"/>
  <c r="AA1191" i="17"/>
  <c r="S1191" i="17"/>
  <c r="K1191" i="17"/>
  <c r="AH1191" i="17"/>
  <c r="X1191" i="17"/>
  <c r="N1191" i="17"/>
  <c r="AG1191" i="17"/>
  <c r="W1191" i="17"/>
  <c r="M1191" i="17"/>
  <c r="Y1191" i="17"/>
  <c r="AM1191" i="17"/>
  <c r="AR1207" i="17"/>
  <c r="AJ1207" i="17"/>
  <c r="AB1207" i="17"/>
  <c r="T1207" i="17"/>
  <c r="L1207" i="17"/>
  <c r="AQ1207" i="17"/>
  <c r="AI1207" i="17"/>
  <c r="AA1207" i="17"/>
  <c r="S1207" i="17"/>
  <c r="K1207" i="17"/>
  <c r="AH1207" i="17"/>
  <c r="X1207" i="17"/>
  <c r="N1207" i="17"/>
  <c r="AG1207" i="17"/>
  <c r="W1207" i="17"/>
  <c r="M1207" i="17"/>
  <c r="Y1207" i="17"/>
  <c r="AM1207" i="17"/>
  <c r="AR1223" i="17"/>
  <c r="AJ1223" i="17"/>
  <c r="AB1223" i="17"/>
  <c r="T1223" i="17"/>
  <c r="L1223" i="17"/>
  <c r="AQ1223" i="17"/>
  <c r="AI1223" i="17"/>
  <c r="AA1223" i="17"/>
  <c r="S1223" i="17"/>
  <c r="K1223" i="17"/>
  <c r="AH1223" i="17"/>
  <c r="X1223" i="17"/>
  <c r="N1223" i="17"/>
  <c r="AG1223" i="17"/>
  <c r="W1223" i="17"/>
  <c r="M1223" i="17"/>
  <c r="Y1223" i="17"/>
  <c r="AM1223" i="17"/>
  <c r="AR1239" i="17"/>
  <c r="AJ1239" i="17"/>
  <c r="AB1239" i="17"/>
  <c r="T1239" i="17"/>
  <c r="L1239" i="17"/>
  <c r="AQ1239" i="17"/>
  <c r="AI1239" i="17"/>
  <c r="AA1239" i="17"/>
  <c r="S1239" i="17"/>
  <c r="K1239" i="17"/>
  <c r="AH1239" i="17"/>
  <c r="X1239" i="17"/>
  <c r="N1239" i="17"/>
  <c r="AG1239" i="17"/>
  <c r="W1239" i="17"/>
  <c r="M1239" i="17"/>
  <c r="Y1239" i="17"/>
  <c r="AM1239" i="17"/>
  <c r="AR1255" i="17"/>
  <c r="AJ1255" i="17"/>
  <c r="AB1255" i="17"/>
  <c r="T1255" i="17"/>
  <c r="L1255" i="17"/>
  <c r="AQ1255" i="17"/>
  <c r="AI1255" i="17"/>
  <c r="AA1255" i="17"/>
  <c r="S1255" i="17"/>
  <c r="K1255" i="17"/>
  <c r="AH1255" i="17"/>
  <c r="X1255" i="17"/>
  <c r="N1255" i="17"/>
  <c r="AG1255" i="17"/>
  <c r="W1255" i="17"/>
  <c r="M1255" i="17"/>
  <c r="Y1255" i="17"/>
  <c r="AM1255" i="17"/>
  <c r="AR1271" i="17"/>
  <c r="AJ1271" i="17"/>
  <c r="AB1271" i="17"/>
  <c r="T1271" i="17"/>
  <c r="L1271" i="17"/>
  <c r="AQ1271" i="17"/>
  <c r="AI1271" i="17"/>
  <c r="AA1271" i="17"/>
  <c r="S1271" i="17"/>
  <c r="K1271" i="17"/>
  <c r="AH1271" i="17"/>
  <c r="X1271" i="17"/>
  <c r="N1271" i="17"/>
  <c r="AG1271" i="17"/>
  <c r="W1271" i="17"/>
  <c r="M1271" i="17"/>
  <c r="Y1271" i="17"/>
  <c r="AM1271" i="17"/>
  <c r="AR1287" i="17"/>
  <c r="AJ1287" i="17"/>
  <c r="AB1287" i="17"/>
  <c r="T1287" i="17"/>
  <c r="L1287" i="17"/>
  <c r="AQ1287" i="17"/>
  <c r="AI1287" i="17"/>
  <c r="AA1287" i="17"/>
  <c r="S1287" i="17"/>
  <c r="K1287" i="17"/>
  <c r="AH1287" i="17"/>
  <c r="X1287" i="17"/>
  <c r="N1287" i="17"/>
  <c r="AG1287" i="17"/>
  <c r="W1287" i="17"/>
  <c r="M1287" i="17"/>
  <c r="Y1287" i="17"/>
  <c r="AM1287" i="17"/>
  <c r="AR1303" i="17"/>
  <c r="AJ1303" i="17"/>
  <c r="AB1303" i="17"/>
  <c r="T1303" i="17"/>
  <c r="L1303" i="17"/>
  <c r="AQ1303" i="17"/>
  <c r="AI1303" i="17"/>
  <c r="AA1303" i="17"/>
  <c r="S1303" i="17"/>
  <c r="K1303" i="17"/>
  <c r="AH1303" i="17"/>
  <c r="X1303" i="17"/>
  <c r="N1303" i="17"/>
  <c r="AG1303" i="17"/>
  <c r="W1303" i="17"/>
  <c r="M1303" i="17"/>
  <c r="Y1303" i="17"/>
  <c r="AM1303" i="17"/>
  <c r="AR1319" i="17"/>
  <c r="AJ1319" i="17"/>
  <c r="AB1319" i="17"/>
  <c r="T1319" i="17"/>
  <c r="L1319" i="17"/>
  <c r="AQ1319" i="17"/>
  <c r="AI1319" i="17"/>
  <c r="AA1319" i="17"/>
  <c r="S1319" i="17"/>
  <c r="K1319" i="17"/>
  <c r="AH1319" i="17"/>
  <c r="X1319" i="17"/>
  <c r="N1319" i="17"/>
  <c r="AG1319" i="17"/>
  <c r="W1319" i="17"/>
  <c r="M1319" i="17"/>
  <c r="Y1319" i="17"/>
  <c r="AM1319" i="17"/>
  <c r="AR1335" i="17"/>
  <c r="AJ1335" i="17"/>
  <c r="AB1335" i="17"/>
  <c r="T1335" i="17"/>
  <c r="L1335" i="17"/>
  <c r="AQ1335" i="17"/>
  <c r="AI1335" i="17"/>
  <c r="AA1335" i="17"/>
  <c r="S1335" i="17"/>
  <c r="K1335" i="17"/>
  <c r="AH1335" i="17"/>
  <c r="X1335" i="17"/>
  <c r="N1335" i="17"/>
  <c r="AG1335" i="17"/>
  <c r="W1335" i="17"/>
  <c r="M1335" i="17"/>
  <c r="Y1335" i="17"/>
  <c r="AM1335" i="17"/>
  <c r="AR1351" i="17"/>
  <c r="AJ1351" i="17"/>
  <c r="AB1351" i="17"/>
  <c r="T1351" i="17"/>
  <c r="L1351" i="17"/>
  <c r="AQ1351" i="17"/>
  <c r="AI1351" i="17"/>
  <c r="AA1351" i="17"/>
  <c r="S1351" i="17"/>
  <c r="K1351" i="17"/>
  <c r="AH1351" i="17"/>
  <c r="X1351" i="17"/>
  <c r="N1351" i="17"/>
  <c r="AG1351" i="17"/>
  <c r="W1351" i="17"/>
  <c r="M1351" i="17"/>
  <c r="Y1351" i="17"/>
  <c r="AM1351" i="17"/>
  <c r="AL1359" i="17"/>
  <c r="AD1359" i="17"/>
  <c r="V1359" i="17"/>
  <c r="N1359" i="17"/>
  <c r="AK1359" i="17"/>
  <c r="AC1359" i="17"/>
  <c r="U1359" i="17"/>
  <c r="M1359" i="17"/>
  <c r="AN1359" i="17"/>
  <c r="AB1359" i="17"/>
  <c r="R1359" i="17"/>
  <c r="AM1359" i="17"/>
  <c r="AA1359" i="17"/>
  <c r="Q1359" i="17"/>
  <c r="AH1359" i="17"/>
  <c r="T1359" i="17"/>
  <c r="AG1359" i="17"/>
  <c r="S1359" i="17"/>
  <c r="Y1359" i="17"/>
  <c r="AQ1359" i="17"/>
  <c r="P1367" i="17"/>
  <c r="AF1367" i="17"/>
  <c r="P1371" i="17"/>
  <c r="AF1371" i="17"/>
  <c r="AL1373" i="17"/>
  <c r="AD1373" i="17"/>
  <c r="V1373" i="17"/>
  <c r="N1373" i="17"/>
  <c r="AK1373" i="17"/>
  <c r="AC1373" i="17"/>
  <c r="U1373" i="17"/>
  <c r="M1373" i="17"/>
  <c r="AI1373" i="17"/>
  <c r="Y1373" i="17"/>
  <c r="O1373" i="17"/>
  <c r="AR1373" i="17"/>
  <c r="AH1373" i="17"/>
  <c r="X1373" i="17"/>
  <c r="L1373" i="17"/>
  <c r="AP1373" i="17"/>
  <c r="AB1373" i="17"/>
  <c r="P1373" i="17"/>
  <c r="AO1373" i="17"/>
  <c r="AA1373" i="17"/>
  <c r="K1373" i="17"/>
  <c r="AE1373" i="17"/>
  <c r="J1389" i="17"/>
  <c r="AB1389" i="17"/>
  <c r="AL1427" i="17"/>
  <c r="AD1427" i="17"/>
  <c r="V1427" i="17"/>
  <c r="N1427" i="17"/>
  <c r="AK1427" i="17"/>
  <c r="AC1427" i="17"/>
  <c r="U1427" i="17"/>
  <c r="M1427" i="17"/>
  <c r="AR1427" i="17"/>
  <c r="AH1427" i="17"/>
  <c r="X1427" i="17"/>
  <c r="L1427" i="17"/>
  <c r="AQ1427" i="17"/>
  <c r="AG1427" i="17"/>
  <c r="W1427" i="17"/>
  <c r="K1427" i="17"/>
  <c r="AF1427" i="17"/>
  <c r="R1427" i="17"/>
  <c r="AE1427" i="17"/>
  <c r="Q1427" i="17"/>
  <c r="AA1427" i="17"/>
  <c r="J1431" i="17"/>
  <c r="AB1431" i="17"/>
  <c r="L1459" i="17"/>
  <c r="AF1459" i="17"/>
  <c r="J1477" i="17"/>
  <c r="AF1477" i="17"/>
  <c r="L1483" i="17"/>
  <c r="AB1483" i="17"/>
  <c r="J1493" i="17"/>
  <c r="Z1493" i="17"/>
  <c r="J1525" i="17"/>
  <c r="Z1525" i="17"/>
  <c r="AL1744" i="17"/>
  <c r="AD1744" i="17"/>
  <c r="V1744" i="17"/>
  <c r="N1744" i="17"/>
  <c r="AK1744" i="17"/>
  <c r="AC1744" i="17"/>
  <c r="U1744" i="17"/>
  <c r="M1744" i="17"/>
  <c r="AI1744" i="17"/>
  <c r="Y1744" i="17"/>
  <c r="O1744" i="17"/>
  <c r="AR1744" i="17"/>
  <c r="AH1744" i="17"/>
  <c r="X1744" i="17"/>
  <c r="L1744" i="17"/>
  <c r="AG1744" i="17"/>
  <c r="S1744" i="17"/>
  <c r="AF1744" i="17"/>
  <c r="R1744" i="17"/>
  <c r="AM1744" i="17"/>
  <c r="Q1744" i="17"/>
  <c r="AJ1744" i="17"/>
  <c r="P1744" i="17"/>
  <c r="AQ1744" i="17"/>
  <c r="W1744" i="17"/>
  <c r="AP1744" i="17"/>
  <c r="T1744" i="17"/>
  <c r="AO1744" i="17"/>
  <c r="P1814" i="17"/>
  <c r="J1833" i="17"/>
  <c r="J1956" i="17"/>
  <c r="Q1182" i="17"/>
  <c r="Z1182" i="17"/>
  <c r="AI1182" i="17"/>
  <c r="Q1183" i="17"/>
  <c r="Z1183" i="17"/>
  <c r="AN1184" i="17"/>
  <c r="AF1184" i="17"/>
  <c r="X1184" i="17"/>
  <c r="P1184" i="17"/>
  <c r="AM1184" i="17"/>
  <c r="AE1184" i="17"/>
  <c r="W1184" i="17"/>
  <c r="O1184" i="17"/>
  <c r="S1184" i="17"/>
  <c r="AC1184" i="17"/>
  <c r="AO1184" i="17"/>
  <c r="AR1189" i="17"/>
  <c r="AJ1189" i="17"/>
  <c r="AB1189" i="17"/>
  <c r="T1189" i="17"/>
  <c r="L1189" i="17"/>
  <c r="AQ1189" i="17"/>
  <c r="AI1189" i="17"/>
  <c r="AA1189" i="17"/>
  <c r="S1189" i="17"/>
  <c r="K1189" i="17"/>
  <c r="U1189" i="17"/>
  <c r="AE1189" i="17"/>
  <c r="AO1189" i="17"/>
  <c r="AN1192" i="17"/>
  <c r="AF1192" i="17"/>
  <c r="X1192" i="17"/>
  <c r="P1192" i="17"/>
  <c r="AM1192" i="17"/>
  <c r="AE1192" i="17"/>
  <c r="W1192" i="17"/>
  <c r="O1192" i="17"/>
  <c r="S1192" i="17"/>
  <c r="AC1192" i="17"/>
  <c r="AO1192" i="17"/>
  <c r="AR1197" i="17"/>
  <c r="AJ1197" i="17"/>
  <c r="AB1197" i="17"/>
  <c r="T1197" i="17"/>
  <c r="L1197" i="17"/>
  <c r="AQ1197" i="17"/>
  <c r="AI1197" i="17"/>
  <c r="AA1197" i="17"/>
  <c r="S1197" i="17"/>
  <c r="K1197" i="17"/>
  <c r="U1197" i="17"/>
  <c r="AE1197" i="17"/>
  <c r="AO1197" i="17"/>
  <c r="AN1200" i="17"/>
  <c r="AF1200" i="17"/>
  <c r="X1200" i="17"/>
  <c r="P1200" i="17"/>
  <c r="AM1200" i="17"/>
  <c r="AE1200" i="17"/>
  <c r="W1200" i="17"/>
  <c r="O1200" i="17"/>
  <c r="S1200" i="17"/>
  <c r="AC1200" i="17"/>
  <c r="AO1200" i="17"/>
  <c r="AR1205" i="17"/>
  <c r="AJ1205" i="17"/>
  <c r="AB1205" i="17"/>
  <c r="T1205" i="17"/>
  <c r="L1205" i="17"/>
  <c r="AQ1205" i="17"/>
  <c r="AI1205" i="17"/>
  <c r="AA1205" i="17"/>
  <c r="S1205" i="17"/>
  <c r="K1205" i="17"/>
  <c r="U1205" i="17"/>
  <c r="AE1205" i="17"/>
  <c r="AO1205" i="17"/>
  <c r="AN1208" i="17"/>
  <c r="AF1208" i="17"/>
  <c r="X1208" i="17"/>
  <c r="P1208" i="17"/>
  <c r="AM1208" i="17"/>
  <c r="AE1208" i="17"/>
  <c r="W1208" i="17"/>
  <c r="O1208" i="17"/>
  <c r="S1208" i="17"/>
  <c r="AC1208" i="17"/>
  <c r="AO1208" i="17"/>
  <c r="AR1213" i="17"/>
  <c r="AJ1213" i="17"/>
  <c r="AB1213" i="17"/>
  <c r="T1213" i="17"/>
  <c r="L1213" i="17"/>
  <c r="AQ1213" i="17"/>
  <c r="AI1213" i="17"/>
  <c r="AA1213" i="17"/>
  <c r="S1213" i="17"/>
  <c r="K1213" i="17"/>
  <c r="U1213" i="17"/>
  <c r="AE1213" i="17"/>
  <c r="AO1213" i="17"/>
  <c r="AN1216" i="17"/>
  <c r="AF1216" i="17"/>
  <c r="X1216" i="17"/>
  <c r="P1216" i="17"/>
  <c r="AM1216" i="17"/>
  <c r="AE1216" i="17"/>
  <c r="W1216" i="17"/>
  <c r="O1216" i="17"/>
  <c r="S1216" i="17"/>
  <c r="AC1216" i="17"/>
  <c r="AO1216" i="17"/>
  <c r="AR1221" i="17"/>
  <c r="AJ1221" i="17"/>
  <c r="AB1221" i="17"/>
  <c r="T1221" i="17"/>
  <c r="L1221" i="17"/>
  <c r="AQ1221" i="17"/>
  <c r="AI1221" i="17"/>
  <c r="AA1221" i="17"/>
  <c r="S1221" i="17"/>
  <c r="K1221" i="17"/>
  <c r="U1221" i="17"/>
  <c r="AE1221" i="17"/>
  <c r="AO1221" i="17"/>
  <c r="AN1224" i="17"/>
  <c r="AF1224" i="17"/>
  <c r="X1224" i="17"/>
  <c r="P1224" i="17"/>
  <c r="AM1224" i="17"/>
  <c r="AE1224" i="17"/>
  <c r="W1224" i="17"/>
  <c r="O1224" i="17"/>
  <c r="S1224" i="17"/>
  <c r="AC1224" i="17"/>
  <c r="AO1224" i="17"/>
  <c r="AR1229" i="17"/>
  <c r="AJ1229" i="17"/>
  <c r="AB1229" i="17"/>
  <c r="T1229" i="17"/>
  <c r="L1229" i="17"/>
  <c r="AQ1229" i="17"/>
  <c r="AI1229" i="17"/>
  <c r="AA1229" i="17"/>
  <c r="S1229" i="17"/>
  <c r="K1229" i="17"/>
  <c r="U1229" i="17"/>
  <c r="AE1229" i="17"/>
  <c r="AO1229" i="17"/>
  <c r="AN1232" i="17"/>
  <c r="AF1232" i="17"/>
  <c r="X1232" i="17"/>
  <c r="P1232" i="17"/>
  <c r="AM1232" i="17"/>
  <c r="AE1232" i="17"/>
  <c r="W1232" i="17"/>
  <c r="O1232" i="17"/>
  <c r="S1232" i="17"/>
  <c r="AC1232" i="17"/>
  <c r="AO1232" i="17"/>
  <c r="AR1237" i="17"/>
  <c r="AJ1237" i="17"/>
  <c r="AB1237" i="17"/>
  <c r="T1237" i="17"/>
  <c r="L1237" i="17"/>
  <c r="AQ1237" i="17"/>
  <c r="AI1237" i="17"/>
  <c r="AA1237" i="17"/>
  <c r="S1237" i="17"/>
  <c r="K1237" i="17"/>
  <c r="U1237" i="17"/>
  <c r="AE1237" i="17"/>
  <c r="AO1237" i="17"/>
  <c r="AN1240" i="17"/>
  <c r="AF1240" i="17"/>
  <c r="X1240" i="17"/>
  <c r="P1240" i="17"/>
  <c r="AM1240" i="17"/>
  <c r="AE1240" i="17"/>
  <c r="W1240" i="17"/>
  <c r="O1240" i="17"/>
  <c r="S1240" i="17"/>
  <c r="AC1240" i="17"/>
  <c r="AO1240" i="17"/>
  <c r="AR1245" i="17"/>
  <c r="AJ1245" i="17"/>
  <c r="AB1245" i="17"/>
  <c r="T1245" i="17"/>
  <c r="L1245" i="17"/>
  <c r="AQ1245" i="17"/>
  <c r="AI1245" i="17"/>
  <c r="AA1245" i="17"/>
  <c r="S1245" i="17"/>
  <c r="K1245" i="17"/>
  <c r="U1245" i="17"/>
  <c r="AE1245" i="17"/>
  <c r="AO1245" i="17"/>
  <c r="AN1248" i="17"/>
  <c r="AF1248" i="17"/>
  <c r="X1248" i="17"/>
  <c r="P1248" i="17"/>
  <c r="AM1248" i="17"/>
  <c r="AE1248" i="17"/>
  <c r="W1248" i="17"/>
  <c r="O1248" i="17"/>
  <c r="S1248" i="17"/>
  <c r="AC1248" i="17"/>
  <c r="AO1248" i="17"/>
  <c r="AR1253" i="17"/>
  <c r="AJ1253" i="17"/>
  <c r="AB1253" i="17"/>
  <c r="T1253" i="17"/>
  <c r="L1253" i="17"/>
  <c r="AQ1253" i="17"/>
  <c r="AI1253" i="17"/>
  <c r="AA1253" i="17"/>
  <c r="S1253" i="17"/>
  <c r="K1253" i="17"/>
  <c r="U1253" i="17"/>
  <c r="AE1253" i="17"/>
  <c r="AO1253" i="17"/>
  <c r="AN1256" i="17"/>
  <c r="AF1256" i="17"/>
  <c r="X1256" i="17"/>
  <c r="P1256" i="17"/>
  <c r="AM1256" i="17"/>
  <c r="AE1256" i="17"/>
  <c r="W1256" i="17"/>
  <c r="O1256" i="17"/>
  <c r="S1256" i="17"/>
  <c r="AC1256" i="17"/>
  <c r="AO1256" i="17"/>
  <c r="AR1261" i="17"/>
  <c r="AJ1261" i="17"/>
  <c r="AB1261" i="17"/>
  <c r="T1261" i="17"/>
  <c r="L1261" i="17"/>
  <c r="AQ1261" i="17"/>
  <c r="AI1261" i="17"/>
  <c r="AA1261" i="17"/>
  <c r="S1261" i="17"/>
  <c r="K1261" i="17"/>
  <c r="U1261" i="17"/>
  <c r="AE1261" i="17"/>
  <c r="AO1261" i="17"/>
  <c r="AN1264" i="17"/>
  <c r="AF1264" i="17"/>
  <c r="X1264" i="17"/>
  <c r="P1264" i="17"/>
  <c r="AM1264" i="17"/>
  <c r="AE1264" i="17"/>
  <c r="W1264" i="17"/>
  <c r="O1264" i="17"/>
  <c r="S1264" i="17"/>
  <c r="AC1264" i="17"/>
  <c r="AO1264" i="17"/>
  <c r="AR1269" i="17"/>
  <c r="AJ1269" i="17"/>
  <c r="AB1269" i="17"/>
  <c r="T1269" i="17"/>
  <c r="L1269" i="17"/>
  <c r="AQ1269" i="17"/>
  <c r="AI1269" i="17"/>
  <c r="AA1269" i="17"/>
  <c r="S1269" i="17"/>
  <c r="K1269" i="17"/>
  <c r="U1269" i="17"/>
  <c r="AE1269" i="17"/>
  <c r="AO1269" i="17"/>
  <c r="AN1272" i="17"/>
  <c r="AF1272" i="17"/>
  <c r="X1272" i="17"/>
  <c r="P1272" i="17"/>
  <c r="AM1272" i="17"/>
  <c r="AE1272" i="17"/>
  <c r="W1272" i="17"/>
  <c r="O1272" i="17"/>
  <c r="S1272" i="17"/>
  <c r="AC1272" i="17"/>
  <c r="AO1272" i="17"/>
  <c r="AR1277" i="17"/>
  <c r="AJ1277" i="17"/>
  <c r="AB1277" i="17"/>
  <c r="T1277" i="17"/>
  <c r="L1277" i="17"/>
  <c r="AQ1277" i="17"/>
  <c r="AI1277" i="17"/>
  <c r="AA1277" i="17"/>
  <c r="S1277" i="17"/>
  <c r="K1277" i="17"/>
  <c r="U1277" i="17"/>
  <c r="AE1277" i="17"/>
  <c r="AO1277" i="17"/>
  <c r="AN1280" i="17"/>
  <c r="AF1280" i="17"/>
  <c r="X1280" i="17"/>
  <c r="P1280" i="17"/>
  <c r="AM1280" i="17"/>
  <c r="AE1280" i="17"/>
  <c r="W1280" i="17"/>
  <c r="O1280" i="17"/>
  <c r="S1280" i="17"/>
  <c r="AC1280" i="17"/>
  <c r="AO1280" i="17"/>
  <c r="AR1285" i="17"/>
  <c r="AJ1285" i="17"/>
  <c r="AB1285" i="17"/>
  <c r="T1285" i="17"/>
  <c r="L1285" i="17"/>
  <c r="AQ1285" i="17"/>
  <c r="AI1285" i="17"/>
  <c r="AA1285" i="17"/>
  <c r="S1285" i="17"/>
  <c r="K1285" i="17"/>
  <c r="U1285" i="17"/>
  <c r="AE1285" i="17"/>
  <c r="AO1285" i="17"/>
  <c r="AN1288" i="17"/>
  <c r="AF1288" i="17"/>
  <c r="X1288" i="17"/>
  <c r="P1288" i="17"/>
  <c r="AM1288" i="17"/>
  <c r="AE1288" i="17"/>
  <c r="W1288" i="17"/>
  <c r="O1288" i="17"/>
  <c r="S1288" i="17"/>
  <c r="AC1288" i="17"/>
  <c r="AO1288" i="17"/>
  <c r="AR1293" i="17"/>
  <c r="AJ1293" i="17"/>
  <c r="AB1293" i="17"/>
  <c r="T1293" i="17"/>
  <c r="L1293" i="17"/>
  <c r="AQ1293" i="17"/>
  <c r="AI1293" i="17"/>
  <c r="AA1293" i="17"/>
  <c r="S1293" i="17"/>
  <c r="K1293" i="17"/>
  <c r="U1293" i="17"/>
  <c r="AE1293" i="17"/>
  <c r="AO1293" i="17"/>
  <c r="AN1296" i="17"/>
  <c r="AF1296" i="17"/>
  <c r="X1296" i="17"/>
  <c r="P1296" i="17"/>
  <c r="AM1296" i="17"/>
  <c r="AE1296" i="17"/>
  <c r="W1296" i="17"/>
  <c r="O1296" i="17"/>
  <c r="S1296" i="17"/>
  <c r="AC1296" i="17"/>
  <c r="AO1296" i="17"/>
  <c r="AR1301" i="17"/>
  <c r="AJ1301" i="17"/>
  <c r="AB1301" i="17"/>
  <c r="T1301" i="17"/>
  <c r="L1301" i="17"/>
  <c r="AQ1301" i="17"/>
  <c r="AI1301" i="17"/>
  <c r="AA1301" i="17"/>
  <c r="S1301" i="17"/>
  <c r="K1301" i="17"/>
  <c r="U1301" i="17"/>
  <c r="AE1301" i="17"/>
  <c r="AO1301" i="17"/>
  <c r="AN1304" i="17"/>
  <c r="AF1304" i="17"/>
  <c r="X1304" i="17"/>
  <c r="P1304" i="17"/>
  <c r="AM1304" i="17"/>
  <c r="AE1304" i="17"/>
  <c r="W1304" i="17"/>
  <c r="O1304" i="17"/>
  <c r="S1304" i="17"/>
  <c r="AC1304" i="17"/>
  <c r="AO1304" i="17"/>
  <c r="AR1309" i="17"/>
  <c r="AJ1309" i="17"/>
  <c r="AB1309" i="17"/>
  <c r="T1309" i="17"/>
  <c r="L1309" i="17"/>
  <c r="AQ1309" i="17"/>
  <c r="AI1309" i="17"/>
  <c r="AA1309" i="17"/>
  <c r="S1309" i="17"/>
  <c r="K1309" i="17"/>
  <c r="U1309" i="17"/>
  <c r="AE1309" i="17"/>
  <c r="AO1309" i="17"/>
  <c r="AN1312" i="17"/>
  <c r="AF1312" i="17"/>
  <c r="X1312" i="17"/>
  <c r="P1312" i="17"/>
  <c r="AM1312" i="17"/>
  <c r="AE1312" i="17"/>
  <c r="W1312" i="17"/>
  <c r="O1312" i="17"/>
  <c r="S1312" i="17"/>
  <c r="AC1312" i="17"/>
  <c r="AO1312" i="17"/>
  <c r="AR1317" i="17"/>
  <c r="AJ1317" i="17"/>
  <c r="AB1317" i="17"/>
  <c r="T1317" i="17"/>
  <c r="L1317" i="17"/>
  <c r="AQ1317" i="17"/>
  <c r="AI1317" i="17"/>
  <c r="AA1317" i="17"/>
  <c r="S1317" i="17"/>
  <c r="K1317" i="17"/>
  <c r="U1317" i="17"/>
  <c r="AE1317" i="17"/>
  <c r="AO1317" i="17"/>
  <c r="AN1320" i="17"/>
  <c r="AF1320" i="17"/>
  <c r="X1320" i="17"/>
  <c r="P1320" i="17"/>
  <c r="AM1320" i="17"/>
  <c r="AE1320" i="17"/>
  <c r="W1320" i="17"/>
  <c r="O1320" i="17"/>
  <c r="S1320" i="17"/>
  <c r="AC1320" i="17"/>
  <c r="AO1320" i="17"/>
  <c r="AR1325" i="17"/>
  <c r="AJ1325" i="17"/>
  <c r="AB1325" i="17"/>
  <c r="T1325" i="17"/>
  <c r="L1325" i="17"/>
  <c r="AQ1325" i="17"/>
  <c r="AI1325" i="17"/>
  <c r="AA1325" i="17"/>
  <c r="S1325" i="17"/>
  <c r="K1325" i="17"/>
  <c r="U1325" i="17"/>
  <c r="AE1325" i="17"/>
  <c r="AO1325" i="17"/>
  <c r="AN1328" i="17"/>
  <c r="AF1328" i="17"/>
  <c r="X1328" i="17"/>
  <c r="P1328" i="17"/>
  <c r="AM1328" i="17"/>
  <c r="AE1328" i="17"/>
  <c r="W1328" i="17"/>
  <c r="O1328" i="17"/>
  <c r="S1328" i="17"/>
  <c r="AC1328" i="17"/>
  <c r="AO1328" i="17"/>
  <c r="AR1333" i="17"/>
  <c r="AJ1333" i="17"/>
  <c r="AB1333" i="17"/>
  <c r="T1333" i="17"/>
  <c r="L1333" i="17"/>
  <c r="AQ1333" i="17"/>
  <c r="AI1333" i="17"/>
  <c r="AA1333" i="17"/>
  <c r="S1333" i="17"/>
  <c r="K1333" i="17"/>
  <c r="U1333" i="17"/>
  <c r="AE1333" i="17"/>
  <c r="AO1333" i="17"/>
  <c r="AN1336" i="17"/>
  <c r="AF1336" i="17"/>
  <c r="X1336" i="17"/>
  <c r="P1336" i="17"/>
  <c r="AM1336" i="17"/>
  <c r="AE1336" i="17"/>
  <c r="W1336" i="17"/>
  <c r="O1336" i="17"/>
  <c r="S1336" i="17"/>
  <c r="AC1336" i="17"/>
  <c r="AO1336" i="17"/>
  <c r="AR1341" i="17"/>
  <c r="AJ1341" i="17"/>
  <c r="AB1341" i="17"/>
  <c r="T1341" i="17"/>
  <c r="L1341" i="17"/>
  <c r="AQ1341" i="17"/>
  <c r="AI1341" i="17"/>
  <c r="AA1341" i="17"/>
  <c r="S1341" i="17"/>
  <c r="K1341" i="17"/>
  <c r="U1341" i="17"/>
  <c r="AE1341" i="17"/>
  <c r="AO1341" i="17"/>
  <c r="AN1344" i="17"/>
  <c r="AF1344" i="17"/>
  <c r="X1344" i="17"/>
  <c r="P1344" i="17"/>
  <c r="AM1344" i="17"/>
  <c r="AE1344" i="17"/>
  <c r="W1344" i="17"/>
  <c r="O1344" i="17"/>
  <c r="S1344" i="17"/>
  <c r="AC1344" i="17"/>
  <c r="AO1344" i="17"/>
  <c r="AR1349" i="17"/>
  <c r="AJ1349" i="17"/>
  <c r="AB1349" i="17"/>
  <c r="T1349" i="17"/>
  <c r="L1349" i="17"/>
  <c r="AQ1349" i="17"/>
  <c r="AI1349" i="17"/>
  <c r="AA1349" i="17"/>
  <c r="S1349" i="17"/>
  <c r="K1349" i="17"/>
  <c r="U1349" i="17"/>
  <c r="AE1349" i="17"/>
  <c r="AO1349" i="17"/>
  <c r="AN1352" i="17"/>
  <c r="AF1352" i="17"/>
  <c r="X1352" i="17"/>
  <c r="P1352" i="17"/>
  <c r="AM1352" i="17"/>
  <c r="AE1352" i="17"/>
  <c r="W1352" i="17"/>
  <c r="O1352" i="17"/>
  <c r="S1352" i="17"/>
  <c r="AC1352" i="17"/>
  <c r="AO1352" i="17"/>
  <c r="AR1357" i="17"/>
  <c r="AJ1357" i="17"/>
  <c r="AB1357" i="17"/>
  <c r="T1357" i="17"/>
  <c r="L1357" i="17"/>
  <c r="AQ1357" i="17"/>
  <c r="AI1357" i="17"/>
  <c r="AA1357" i="17"/>
  <c r="S1357" i="17"/>
  <c r="K1357" i="17"/>
  <c r="U1357" i="17"/>
  <c r="AE1357" i="17"/>
  <c r="AO1357" i="17"/>
  <c r="AL1365" i="17"/>
  <c r="AD1365" i="17"/>
  <c r="V1365" i="17"/>
  <c r="N1365" i="17"/>
  <c r="AK1365" i="17"/>
  <c r="AC1365" i="17"/>
  <c r="U1365" i="17"/>
  <c r="M1365" i="17"/>
  <c r="AQ1365" i="17"/>
  <c r="AG1365" i="17"/>
  <c r="W1365" i="17"/>
  <c r="K1365" i="17"/>
  <c r="AP1365" i="17"/>
  <c r="AF1365" i="17"/>
  <c r="T1365" i="17"/>
  <c r="J1365" i="17"/>
  <c r="Y1365" i="17"/>
  <c r="AM1365" i="17"/>
  <c r="AL1369" i="17"/>
  <c r="AD1369" i="17"/>
  <c r="V1369" i="17"/>
  <c r="N1369" i="17"/>
  <c r="AK1369" i="17"/>
  <c r="AC1369" i="17"/>
  <c r="U1369" i="17"/>
  <c r="M1369" i="17"/>
  <c r="AQ1369" i="17"/>
  <c r="AG1369" i="17"/>
  <c r="W1369" i="17"/>
  <c r="K1369" i="17"/>
  <c r="AP1369" i="17"/>
  <c r="AF1369" i="17"/>
  <c r="T1369" i="17"/>
  <c r="J1369" i="17"/>
  <c r="Y1369" i="17"/>
  <c r="AM1369" i="17"/>
  <c r="AL1379" i="17"/>
  <c r="AD1379" i="17"/>
  <c r="V1379" i="17"/>
  <c r="N1379" i="17"/>
  <c r="AK1379" i="17"/>
  <c r="AC1379" i="17"/>
  <c r="U1379" i="17"/>
  <c r="M1379" i="17"/>
  <c r="AN1379" i="17"/>
  <c r="AB1379" i="17"/>
  <c r="R1379" i="17"/>
  <c r="AM1379" i="17"/>
  <c r="AA1379" i="17"/>
  <c r="Q1379" i="17"/>
  <c r="W1379" i="17"/>
  <c r="AI1379" i="17"/>
  <c r="AL1395" i="17"/>
  <c r="AD1395" i="17"/>
  <c r="V1395" i="17"/>
  <c r="N1395" i="17"/>
  <c r="AK1395" i="17"/>
  <c r="AC1395" i="17"/>
  <c r="U1395" i="17"/>
  <c r="M1395" i="17"/>
  <c r="AJ1395" i="17"/>
  <c r="Z1395" i="17"/>
  <c r="P1395" i="17"/>
  <c r="AI1395" i="17"/>
  <c r="Y1395" i="17"/>
  <c r="O1395" i="17"/>
  <c r="W1395" i="17"/>
  <c r="AM1395" i="17"/>
  <c r="T1397" i="17"/>
  <c r="T1411" i="17"/>
  <c r="AL1451" i="17"/>
  <c r="AD1451" i="17"/>
  <c r="V1451" i="17"/>
  <c r="N1451" i="17"/>
  <c r="AK1451" i="17"/>
  <c r="AC1451" i="17"/>
  <c r="U1451" i="17"/>
  <c r="M1451" i="17"/>
  <c r="AN1451" i="17"/>
  <c r="AB1451" i="17"/>
  <c r="R1451" i="17"/>
  <c r="AM1451" i="17"/>
  <c r="AA1451" i="17"/>
  <c r="Q1451" i="17"/>
  <c r="W1451" i="17"/>
  <c r="AI1451" i="17"/>
  <c r="AL1461" i="17"/>
  <c r="AD1461" i="17"/>
  <c r="V1461" i="17"/>
  <c r="N1461" i="17"/>
  <c r="AK1461" i="17"/>
  <c r="AC1461" i="17"/>
  <c r="U1461" i="17"/>
  <c r="M1461" i="17"/>
  <c r="AN1461" i="17"/>
  <c r="AB1461" i="17"/>
  <c r="R1461" i="17"/>
  <c r="AM1461" i="17"/>
  <c r="AA1461" i="17"/>
  <c r="Q1461" i="17"/>
  <c r="W1461" i="17"/>
  <c r="AI1461" i="17"/>
  <c r="AK1628" i="17"/>
  <c r="AC1628" i="17"/>
  <c r="U1628" i="17"/>
  <c r="M1628" i="17"/>
  <c r="AR1628" i="17"/>
  <c r="AJ1628" i="17"/>
  <c r="AB1628" i="17"/>
  <c r="T1628" i="17"/>
  <c r="L1628" i="17"/>
  <c r="AN1628" i="17"/>
  <c r="AD1628" i="17"/>
  <c r="R1628" i="17"/>
  <c r="AM1628" i="17"/>
  <c r="AA1628" i="17"/>
  <c r="Q1628" i="17"/>
  <c r="AG1628" i="17"/>
  <c r="S1628" i="17"/>
  <c r="AF1628" i="17"/>
  <c r="P1628" i="17"/>
  <c r="Y1628" i="17"/>
  <c r="AQ1628" i="17"/>
  <c r="AK1660" i="17"/>
  <c r="AC1660" i="17"/>
  <c r="U1660" i="17"/>
  <c r="M1660" i="17"/>
  <c r="AR1660" i="17"/>
  <c r="AJ1660" i="17"/>
  <c r="AB1660" i="17"/>
  <c r="T1660" i="17"/>
  <c r="L1660" i="17"/>
  <c r="AN1660" i="17"/>
  <c r="AD1660" i="17"/>
  <c r="R1660" i="17"/>
  <c r="AM1660" i="17"/>
  <c r="AA1660" i="17"/>
  <c r="Q1660" i="17"/>
  <c r="AG1660" i="17"/>
  <c r="S1660" i="17"/>
  <c r="AF1660" i="17"/>
  <c r="P1660" i="17"/>
  <c r="Y1660" i="17"/>
  <c r="AQ1660" i="17"/>
  <c r="AK1692" i="17"/>
  <c r="AC1692" i="17"/>
  <c r="U1692" i="17"/>
  <c r="M1692" i="17"/>
  <c r="AR1692" i="17"/>
  <c r="AJ1692" i="17"/>
  <c r="AB1692" i="17"/>
  <c r="T1692" i="17"/>
  <c r="L1692" i="17"/>
  <c r="AM1692" i="17"/>
  <c r="AA1692" i="17"/>
  <c r="Q1692" i="17"/>
  <c r="AL1692" i="17"/>
  <c r="Z1692" i="17"/>
  <c r="P1692" i="17"/>
  <c r="AO1692" i="17"/>
  <c r="Y1692" i="17"/>
  <c r="K1692" i="17"/>
  <c r="AN1692" i="17"/>
  <c r="X1692" i="17"/>
  <c r="J1692" i="17"/>
  <c r="AE1692" i="17"/>
  <c r="AL1768" i="17"/>
  <c r="AD1768" i="17"/>
  <c r="V1768" i="17"/>
  <c r="N1768" i="17"/>
  <c r="AK1768" i="17"/>
  <c r="AC1768" i="17"/>
  <c r="U1768" i="17"/>
  <c r="M1768" i="17"/>
  <c r="AI1768" i="17"/>
  <c r="Y1768" i="17"/>
  <c r="O1768" i="17"/>
  <c r="AR1768" i="17"/>
  <c r="AH1768" i="17"/>
  <c r="X1768" i="17"/>
  <c r="L1768" i="17"/>
  <c r="AJ1768" i="17"/>
  <c r="T1768" i="17"/>
  <c r="AG1768" i="17"/>
  <c r="S1768" i="17"/>
  <c r="AO1768" i="17"/>
  <c r="W1768" i="17"/>
  <c r="AN1768" i="17"/>
  <c r="R1768" i="17"/>
  <c r="AE1768" i="17"/>
  <c r="AL1770" i="17"/>
  <c r="AD1770" i="17"/>
  <c r="V1770" i="17"/>
  <c r="N1770" i="17"/>
  <c r="AK1770" i="17"/>
  <c r="AC1770" i="17"/>
  <c r="U1770" i="17"/>
  <c r="M1770" i="17"/>
  <c r="AJ1770" i="17"/>
  <c r="Z1770" i="17"/>
  <c r="P1770" i="17"/>
  <c r="AI1770" i="17"/>
  <c r="Y1770" i="17"/>
  <c r="O1770" i="17"/>
  <c r="AH1770" i="17"/>
  <c r="T1770" i="17"/>
  <c r="AG1770" i="17"/>
  <c r="S1770" i="17"/>
  <c r="AE1770" i="17"/>
  <c r="K1770" i="17"/>
  <c r="AR1770" i="17"/>
  <c r="AB1770" i="17"/>
  <c r="J1770" i="17"/>
  <c r="AM1770" i="17"/>
  <c r="AL1772" i="17"/>
  <c r="AD1772" i="17"/>
  <c r="V1772" i="17"/>
  <c r="N1772" i="17"/>
  <c r="AK1772" i="17"/>
  <c r="AC1772" i="17"/>
  <c r="U1772" i="17"/>
  <c r="M1772" i="17"/>
  <c r="AM1772" i="17"/>
  <c r="AA1772" i="17"/>
  <c r="Q1772" i="17"/>
  <c r="AJ1772" i="17"/>
  <c r="Z1772" i="17"/>
  <c r="P1772" i="17"/>
  <c r="AG1772" i="17"/>
  <c r="S1772" i="17"/>
  <c r="AR1772" i="17"/>
  <c r="AF1772" i="17"/>
  <c r="R1772" i="17"/>
  <c r="AN1772" i="17"/>
  <c r="T1772" i="17"/>
  <c r="AI1772" i="17"/>
  <c r="O1772" i="17"/>
  <c r="AE1772" i="17"/>
  <c r="AL1790" i="17"/>
  <c r="AD1790" i="17"/>
  <c r="V1790" i="17"/>
  <c r="N1790" i="17"/>
  <c r="AK1790" i="17"/>
  <c r="AC1790" i="17"/>
  <c r="U1790" i="17"/>
  <c r="M1790" i="17"/>
  <c r="AN1790" i="17"/>
  <c r="AB1790" i="17"/>
  <c r="R1790" i="17"/>
  <c r="AM1790" i="17"/>
  <c r="AA1790" i="17"/>
  <c r="Q1790" i="17"/>
  <c r="AH1790" i="17"/>
  <c r="T1790" i="17"/>
  <c r="AG1790" i="17"/>
  <c r="S1790" i="17"/>
  <c r="AP1790" i="17"/>
  <c r="X1790" i="17"/>
  <c r="AO1790" i="17"/>
  <c r="W1790" i="17"/>
  <c r="AE1790" i="17"/>
  <c r="AL1800" i="17"/>
  <c r="AD1800" i="17"/>
  <c r="V1800" i="17"/>
  <c r="N1800" i="17"/>
  <c r="AK1800" i="17"/>
  <c r="AC1800" i="17"/>
  <c r="U1800" i="17"/>
  <c r="M1800" i="17"/>
  <c r="AI1800" i="17"/>
  <c r="Y1800" i="17"/>
  <c r="O1800" i="17"/>
  <c r="AR1800" i="17"/>
  <c r="AH1800" i="17"/>
  <c r="X1800" i="17"/>
  <c r="L1800" i="17"/>
  <c r="AQ1800" i="17"/>
  <c r="AE1800" i="17"/>
  <c r="Q1800" i="17"/>
  <c r="AP1800" i="17"/>
  <c r="AB1800" i="17"/>
  <c r="P1800" i="17"/>
  <c r="AM1800" i="17"/>
  <c r="S1800" i="17"/>
  <c r="AJ1800" i="17"/>
  <c r="R1800" i="17"/>
  <c r="AG1800" i="17"/>
  <c r="AL1812" i="17"/>
  <c r="AD1812" i="17"/>
  <c r="V1812" i="17"/>
  <c r="N1812" i="17"/>
  <c r="AK1812" i="17"/>
  <c r="AC1812" i="17"/>
  <c r="U1812" i="17"/>
  <c r="M1812" i="17"/>
  <c r="AQ1812" i="17"/>
  <c r="AG1812" i="17"/>
  <c r="W1812" i="17"/>
  <c r="K1812" i="17"/>
  <c r="AP1812" i="17"/>
  <c r="AF1812" i="17"/>
  <c r="T1812" i="17"/>
  <c r="J1812" i="17"/>
  <c r="AE1812" i="17"/>
  <c r="Q1812" i="17"/>
  <c r="AR1812" i="17"/>
  <c r="AB1812" i="17"/>
  <c r="P1812" i="17"/>
  <c r="AM1812" i="17"/>
  <c r="S1812" i="17"/>
  <c r="AJ1812" i="17"/>
  <c r="R1812" i="17"/>
  <c r="AI1812" i="17"/>
  <c r="AL1828" i="17"/>
  <c r="AD1828" i="17"/>
  <c r="V1828" i="17"/>
  <c r="N1828" i="17"/>
  <c r="AK1828" i="17"/>
  <c r="AC1828" i="17"/>
  <c r="U1828" i="17"/>
  <c r="M1828" i="17"/>
  <c r="AQ1828" i="17"/>
  <c r="AG1828" i="17"/>
  <c r="W1828" i="17"/>
  <c r="K1828" i="17"/>
  <c r="AP1828" i="17"/>
  <c r="AF1828" i="17"/>
  <c r="T1828" i="17"/>
  <c r="J1828" i="17"/>
  <c r="AI1828" i="17"/>
  <c r="S1828" i="17"/>
  <c r="AH1828" i="17"/>
  <c r="R1828" i="17"/>
  <c r="AM1828" i="17"/>
  <c r="Q1828" i="17"/>
  <c r="AJ1828" i="17"/>
  <c r="P1828" i="17"/>
  <c r="AE1828" i="17"/>
  <c r="AL1849" i="17"/>
  <c r="AD1849" i="17"/>
  <c r="V1849" i="17"/>
  <c r="N1849" i="17"/>
  <c r="AK1849" i="17"/>
  <c r="AC1849" i="17"/>
  <c r="U1849" i="17"/>
  <c r="M1849" i="17"/>
  <c r="AJ1849" i="17"/>
  <c r="Z1849" i="17"/>
  <c r="P1849" i="17"/>
  <c r="AI1849" i="17"/>
  <c r="Y1849" i="17"/>
  <c r="O1849" i="17"/>
  <c r="AG1849" i="17"/>
  <c r="S1849" i="17"/>
  <c r="AR1849" i="17"/>
  <c r="AF1849" i="17"/>
  <c r="R1849" i="17"/>
  <c r="AN1849" i="17"/>
  <c r="T1849" i="17"/>
  <c r="AM1849" i="17"/>
  <c r="Q1849" i="17"/>
  <c r="AB1849" i="17"/>
  <c r="AA1849" i="17"/>
  <c r="AO1849" i="17"/>
  <c r="AN1963" i="17"/>
  <c r="AF1963" i="17"/>
  <c r="X1963" i="17"/>
  <c r="P1963" i="17"/>
  <c r="AM1963" i="17"/>
  <c r="AD1963" i="17"/>
  <c r="U1963" i="17"/>
  <c r="L1963" i="17"/>
  <c r="AL1963" i="17"/>
  <c r="AC1963" i="17"/>
  <c r="T1963" i="17"/>
  <c r="K1963" i="17"/>
  <c r="AQ1963" i="17"/>
  <c r="AE1963" i="17"/>
  <c r="R1963" i="17"/>
  <c r="AP1963" i="17"/>
  <c r="AB1963" i="17"/>
  <c r="Q1963" i="17"/>
  <c r="AH1963" i="17"/>
  <c r="O1963" i="17"/>
  <c r="AG1963" i="17"/>
  <c r="N1963" i="17"/>
  <c r="AK1963" i="17"/>
  <c r="S1963" i="17"/>
  <c r="AJ1963" i="17"/>
  <c r="M1963" i="17"/>
  <c r="AA1963" i="17"/>
  <c r="Z1963" i="17"/>
  <c r="AI1963" i="17"/>
  <c r="Y1963" i="17"/>
  <c r="AR1963" i="17"/>
  <c r="AO1963" i="17"/>
  <c r="W1963" i="17"/>
  <c r="V1963" i="17"/>
  <c r="AN1182" i="17"/>
  <c r="AF1182" i="17"/>
  <c r="X1182" i="17"/>
  <c r="P1182" i="17"/>
  <c r="R1182" i="17"/>
  <c r="AA1182" i="17"/>
  <c r="AJ1182" i="17"/>
  <c r="AR1183" i="17"/>
  <c r="AJ1183" i="17"/>
  <c r="AB1183" i="17"/>
  <c r="T1183" i="17"/>
  <c r="L1183" i="17"/>
  <c r="R1183" i="17"/>
  <c r="AA1183" i="17"/>
  <c r="AK1183" i="17"/>
  <c r="AL1397" i="17"/>
  <c r="AD1397" i="17"/>
  <c r="V1397" i="17"/>
  <c r="N1397" i="17"/>
  <c r="AK1397" i="17"/>
  <c r="AC1397" i="17"/>
  <c r="U1397" i="17"/>
  <c r="M1397" i="17"/>
  <c r="AM1397" i="17"/>
  <c r="AA1397" i="17"/>
  <c r="Q1397" i="17"/>
  <c r="AJ1397" i="17"/>
  <c r="Z1397" i="17"/>
  <c r="P1397" i="17"/>
  <c r="W1397" i="17"/>
  <c r="AI1397" i="17"/>
  <c r="AL1411" i="17"/>
  <c r="AD1411" i="17"/>
  <c r="V1411" i="17"/>
  <c r="N1411" i="17"/>
  <c r="AK1411" i="17"/>
  <c r="AC1411" i="17"/>
  <c r="U1411" i="17"/>
  <c r="M1411" i="17"/>
  <c r="AJ1411" i="17"/>
  <c r="Z1411" i="17"/>
  <c r="P1411" i="17"/>
  <c r="AI1411" i="17"/>
  <c r="Y1411" i="17"/>
  <c r="O1411" i="17"/>
  <c r="W1411" i="17"/>
  <c r="AM1411" i="17"/>
  <c r="J1451" i="17"/>
  <c r="X1451" i="17"/>
  <c r="AJ1451" i="17"/>
  <c r="J1461" i="17"/>
  <c r="X1461" i="17"/>
  <c r="AJ1461" i="17"/>
  <c r="AL1489" i="17"/>
  <c r="AD1489" i="17"/>
  <c r="V1489" i="17"/>
  <c r="N1489" i="17"/>
  <c r="AK1489" i="17"/>
  <c r="AC1489" i="17"/>
  <c r="U1489" i="17"/>
  <c r="M1489" i="17"/>
  <c r="AN1489" i="17"/>
  <c r="AB1489" i="17"/>
  <c r="R1489" i="17"/>
  <c r="AM1489" i="17"/>
  <c r="AA1489" i="17"/>
  <c r="Q1489" i="17"/>
  <c r="W1489" i="17"/>
  <c r="AI1489" i="17"/>
  <c r="AL1495" i="17"/>
  <c r="AD1495" i="17"/>
  <c r="V1495" i="17"/>
  <c r="N1495" i="17"/>
  <c r="AK1495" i="17"/>
  <c r="AC1495" i="17"/>
  <c r="U1495" i="17"/>
  <c r="M1495" i="17"/>
  <c r="AR1495" i="17"/>
  <c r="AH1495" i="17"/>
  <c r="X1495" i="17"/>
  <c r="L1495" i="17"/>
  <c r="AQ1495" i="17"/>
  <c r="AG1495" i="17"/>
  <c r="W1495" i="17"/>
  <c r="K1495" i="17"/>
  <c r="Y1495" i="17"/>
  <c r="AM1495" i="17"/>
  <c r="AL1505" i="17"/>
  <c r="AD1505" i="17"/>
  <c r="V1505" i="17"/>
  <c r="N1505" i="17"/>
  <c r="AK1505" i="17"/>
  <c r="AC1505" i="17"/>
  <c r="U1505" i="17"/>
  <c r="M1505" i="17"/>
  <c r="AN1505" i="17"/>
  <c r="AB1505" i="17"/>
  <c r="R1505" i="17"/>
  <c r="AM1505" i="17"/>
  <c r="AA1505" i="17"/>
  <c r="Q1505" i="17"/>
  <c r="W1505" i="17"/>
  <c r="AI1505" i="17"/>
  <c r="AL1511" i="17"/>
  <c r="AD1511" i="17"/>
  <c r="V1511" i="17"/>
  <c r="N1511" i="17"/>
  <c r="AK1511" i="17"/>
  <c r="AC1511" i="17"/>
  <c r="U1511" i="17"/>
  <c r="M1511" i="17"/>
  <c r="AR1511" i="17"/>
  <c r="AH1511" i="17"/>
  <c r="X1511" i="17"/>
  <c r="L1511" i="17"/>
  <c r="AQ1511" i="17"/>
  <c r="AG1511" i="17"/>
  <c r="W1511" i="17"/>
  <c r="K1511" i="17"/>
  <c r="Y1511" i="17"/>
  <c r="AM1511" i="17"/>
  <c r="AL1521" i="17"/>
  <c r="AD1521" i="17"/>
  <c r="V1521" i="17"/>
  <c r="N1521" i="17"/>
  <c r="AK1521" i="17"/>
  <c r="AC1521" i="17"/>
  <c r="U1521" i="17"/>
  <c r="M1521" i="17"/>
  <c r="AN1521" i="17"/>
  <c r="AB1521" i="17"/>
  <c r="R1521" i="17"/>
  <c r="AM1521" i="17"/>
  <c r="AA1521" i="17"/>
  <c r="Q1521" i="17"/>
  <c r="W1521" i="17"/>
  <c r="AI1521" i="17"/>
  <c r="AL1527" i="17"/>
  <c r="AD1527" i="17"/>
  <c r="V1527" i="17"/>
  <c r="N1527" i="17"/>
  <c r="AK1527" i="17"/>
  <c r="AC1527" i="17"/>
  <c r="U1527" i="17"/>
  <c r="M1527" i="17"/>
  <c r="AR1527" i="17"/>
  <c r="AH1527" i="17"/>
  <c r="X1527" i="17"/>
  <c r="L1527" i="17"/>
  <c r="AQ1527" i="17"/>
  <c r="AG1527" i="17"/>
  <c r="W1527" i="17"/>
  <c r="K1527" i="17"/>
  <c r="Y1527" i="17"/>
  <c r="AM1527" i="17"/>
  <c r="AL1537" i="17"/>
  <c r="AD1537" i="17"/>
  <c r="V1537" i="17"/>
  <c r="N1537" i="17"/>
  <c r="AK1537" i="17"/>
  <c r="AC1537" i="17"/>
  <c r="U1537" i="17"/>
  <c r="M1537" i="17"/>
  <c r="AN1537" i="17"/>
  <c r="AB1537" i="17"/>
  <c r="R1537" i="17"/>
  <c r="AM1537" i="17"/>
  <c r="AA1537" i="17"/>
  <c r="Q1537" i="17"/>
  <c r="W1537" i="17"/>
  <c r="AI1537" i="17"/>
  <c r="AL1543" i="17"/>
  <c r="AD1543" i="17"/>
  <c r="V1543" i="17"/>
  <c r="N1543" i="17"/>
  <c r="AK1543" i="17"/>
  <c r="AC1543" i="17"/>
  <c r="U1543" i="17"/>
  <c r="M1543" i="17"/>
  <c r="AR1543" i="17"/>
  <c r="AH1543" i="17"/>
  <c r="X1543" i="17"/>
  <c r="L1543" i="17"/>
  <c r="AQ1543" i="17"/>
  <c r="AG1543" i="17"/>
  <c r="W1543" i="17"/>
  <c r="K1543" i="17"/>
  <c r="Y1543" i="17"/>
  <c r="AM1543" i="17"/>
  <c r="AL1553" i="17"/>
  <c r="AD1553" i="17"/>
  <c r="V1553" i="17"/>
  <c r="N1553" i="17"/>
  <c r="AK1553" i="17"/>
  <c r="AC1553" i="17"/>
  <c r="U1553" i="17"/>
  <c r="M1553" i="17"/>
  <c r="AN1553" i="17"/>
  <c r="AB1553" i="17"/>
  <c r="R1553" i="17"/>
  <c r="AM1553" i="17"/>
  <c r="AA1553" i="17"/>
  <c r="Q1553" i="17"/>
  <c r="W1553" i="17"/>
  <c r="AI1553" i="17"/>
  <c r="AL1559" i="17"/>
  <c r="AD1559" i="17"/>
  <c r="V1559" i="17"/>
  <c r="N1559" i="17"/>
  <c r="AK1559" i="17"/>
  <c r="AC1559" i="17"/>
  <c r="U1559" i="17"/>
  <c r="M1559" i="17"/>
  <c r="AR1559" i="17"/>
  <c r="AH1559" i="17"/>
  <c r="X1559" i="17"/>
  <c r="L1559" i="17"/>
  <c r="AQ1559" i="17"/>
  <c r="AG1559" i="17"/>
  <c r="W1559" i="17"/>
  <c r="K1559" i="17"/>
  <c r="Y1559" i="17"/>
  <c r="AM1559" i="17"/>
  <c r="AL1569" i="17"/>
  <c r="AD1569" i="17"/>
  <c r="V1569" i="17"/>
  <c r="N1569" i="17"/>
  <c r="AK1569" i="17"/>
  <c r="AC1569" i="17"/>
  <c r="U1569" i="17"/>
  <c r="M1569" i="17"/>
  <c r="AN1569" i="17"/>
  <c r="AB1569" i="17"/>
  <c r="R1569" i="17"/>
  <c r="AM1569" i="17"/>
  <c r="AA1569" i="17"/>
  <c r="Q1569" i="17"/>
  <c r="W1569" i="17"/>
  <c r="AI1569" i="17"/>
  <c r="AL1575" i="17"/>
  <c r="AD1575" i="17"/>
  <c r="V1575" i="17"/>
  <c r="N1575" i="17"/>
  <c r="AK1575" i="17"/>
  <c r="AC1575" i="17"/>
  <c r="U1575" i="17"/>
  <c r="M1575" i="17"/>
  <c r="AR1575" i="17"/>
  <c r="AH1575" i="17"/>
  <c r="X1575" i="17"/>
  <c r="L1575" i="17"/>
  <c r="AQ1575" i="17"/>
  <c r="AG1575" i="17"/>
  <c r="W1575" i="17"/>
  <c r="K1575" i="17"/>
  <c r="Y1575" i="17"/>
  <c r="AM1575" i="17"/>
  <c r="AL1585" i="17"/>
  <c r="AD1585" i="17"/>
  <c r="V1585" i="17"/>
  <c r="N1585" i="17"/>
  <c r="AK1585" i="17"/>
  <c r="AC1585" i="17"/>
  <c r="U1585" i="17"/>
  <c r="M1585" i="17"/>
  <c r="AN1585" i="17"/>
  <c r="AB1585" i="17"/>
  <c r="R1585" i="17"/>
  <c r="AM1585" i="17"/>
  <c r="AA1585" i="17"/>
  <c r="Q1585" i="17"/>
  <c r="W1585" i="17"/>
  <c r="AI1585" i="17"/>
  <c r="AL1591" i="17"/>
  <c r="AD1591" i="17"/>
  <c r="V1591" i="17"/>
  <c r="N1591" i="17"/>
  <c r="AK1591" i="17"/>
  <c r="AC1591" i="17"/>
  <c r="U1591" i="17"/>
  <c r="M1591" i="17"/>
  <c r="AR1591" i="17"/>
  <c r="AH1591" i="17"/>
  <c r="X1591" i="17"/>
  <c r="L1591" i="17"/>
  <c r="AQ1591" i="17"/>
  <c r="AG1591" i="17"/>
  <c r="W1591" i="17"/>
  <c r="K1591" i="17"/>
  <c r="Y1591" i="17"/>
  <c r="AM1591" i="17"/>
  <c r="AL1601" i="17"/>
  <c r="AD1601" i="17"/>
  <c r="V1601" i="17"/>
  <c r="N1601" i="17"/>
  <c r="AK1601" i="17"/>
  <c r="AC1601" i="17"/>
  <c r="U1601" i="17"/>
  <c r="M1601" i="17"/>
  <c r="AN1601" i="17"/>
  <c r="AB1601" i="17"/>
  <c r="R1601" i="17"/>
  <c r="AM1601" i="17"/>
  <c r="AA1601" i="17"/>
  <c r="Q1601" i="17"/>
  <c r="W1601" i="17"/>
  <c r="AI1601" i="17"/>
  <c r="AL1607" i="17"/>
  <c r="AD1607" i="17"/>
  <c r="V1607" i="17"/>
  <c r="N1607" i="17"/>
  <c r="AK1607" i="17"/>
  <c r="AC1607" i="17"/>
  <c r="U1607" i="17"/>
  <c r="M1607" i="17"/>
  <c r="AR1607" i="17"/>
  <c r="AH1607" i="17"/>
  <c r="X1607" i="17"/>
  <c r="L1607" i="17"/>
  <c r="AQ1607" i="17"/>
  <c r="AG1607" i="17"/>
  <c r="W1607" i="17"/>
  <c r="K1607" i="17"/>
  <c r="Y1607" i="17"/>
  <c r="AM1607" i="17"/>
  <c r="AL1617" i="17"/>
  <c r="AD1617" i="17"/>
  <c r="V1617" i="17"/>
  <c r="N1617" i="17"/>
  <c r="AK1617" i="17"/>
  <c r="AC1617" i="17"/>
  <c r="U1617" i="17"/>
  <c r="M1617" i="17"/>
  <c r="AN1617" i="17"/>
  <c r="AB1617" i="17"/>
  <c r="R1617" i="17"/>
  <c r="AM1617" i="17"/>
  <c r="AA1617" i="17"/>
  <c r="Q1617" i="17"/>
  <c r="W1617" i="17"/>
  <c r="AI1617" i="17"/>
  <c r="J1628" i="17"/>
  <c r="Z1628" i="17"/>
  <c r="J1660" i="17"/>
  <c r="Z1660" i="17"/>
  <c r="N1692" i="17"/>
  <c r="AF1692" i="17"/>
  <c r="AK1704" i="17"/>
  <c r="AC1704" i="17"/>
  <c r="U1704" i="17"/>
  <c r="M1704" i="17"/>
  <c r="AR1704" i="17"/>
  <c r="AJ1704" i="17"/>
  <c r="AB1704" i="17"/>
  <c r="T1704" i="17"/>
  <c r="L1704" i="17"/>
  <c r="AI1704" i="17"/>
  <c r="Y1704" i="17"/>
  <c r="O1704" i="17"/>
  <c r="AH1704" i="17"/>
  <c r="X1704" i="17"/>
  <c r="N1704" i="17"/>
  <c r="AL1704" i="17"/>
  <c r="V1704" i="17"/>
  <c r="AG1704" i="17"/>
  <c r="S1704" i="17"/>
  <c r="AA1704" i="17"/>
  <c r="AQ1704" i="17"/>
  <c r="AK1710" i="17"/>
  <c r="AC1710" i="17"/>
  <c r="U1710" i="17"/>
  <c r="M1710" i="17"/>
  <c r="AR1710" i="17"/>
  <c r="AJ1710" i="17"/>
  <c r="AB1710" i="17"/>
  <c r="T1710" i="17"/>
  <c r="L1710" i="17"/>
  <c r="AH1710" i="17"/>
  <c r="X1710" i="17"/>
  <c r="N1710" i="17"/>
  <c r="AQ1710" i="17"/>
  <c r="AG1710" i="17"/>
  <c r="W1710" i="17"/>
  <c r="K1710" i="17"/>
  <c r="AF1710" i="17"/>
  <c r="R1710" i="17"/>
  <c r="AE1710" i="17"/>
  <c r="Q1710" i="17"/>
  <c r="AA1710" i="17"/>
  <c r="AL1726" i="17"/>
  <c r="AD1726" i="17"/>
  <c r="V1726" i="17"/>
  <c r="N1726" i="17"/>
  <c r="AK1726" i="17"/>
  <c r="AC1726" i="17"/>
  <c r="U1726" i="17"/>
  <c r="M1726" i="17"/>
  <c r="AR1726" i="17"/>
  <c r="AH1726" i="17"/>
  <c r="X1726" i="17"/>
  <c r="L1726" i="17"/>
  <c r="AQ1726" i="17"/>
  <c r="AG1726" i="17"/>
  <c r="W1726" i="17"/>
  <c r="K1726" i="17"/>
  <c r="AO1726" i="17"/>
  <c r="AA1726" i="17"/>
  <c r="O1726" i="17"/>
  <c r="AN1726" i="17"/>
  <c r="Z1726" i="17"/>
  <c r="J1726" i="17"/>
  <c r="AP1726" i="17"/>
  <c r="T1726" i="17"/>
  <c r="AM1726" i="17"/>
  <c r="S1726" i="17"/>
  <c r="AI1726" i="17"/>
  <c r="J1768" i="17"/>
  <c r="AF1768" i="17"/>
  <c r="L1770" i="17"/>
  <c r="AN1770" i="17"/>
  <c r="J1772" i="17"/>
  <c r="AH1772" i="17"/>
  <c r="J1790" i="17"/>
  <c r="AF1790" i="17"/>
  <c r="J1800" i="17"/>
  <c r="AN1800" i="17"/>
  <c r="L1812" i="17"/>
  <c r="AN1812" i="17"/>
  <c r="L1828" i="17"/>
  <c r="AN1828" i="17"/>
  <c r="J1849" i="17"/>
  <c r="AP1849" i="17"/>
  <c r="AK1916" i="17"/>
  <c r="AC1916" i="17"/>
  <c r="U1916" i="17"/>
  <c r="M1916" i="17"/>
  <c r="AR1916" i="17"/>
  <c r="AJ1916" i="17"/>
  <c r="AB1916" i="17"/>
  <c r="T1916" i="17"/>
  <c r="L1916" i="17"/>
  <c r="AI1916" i="17"/>
  <c r="Y1916" i="17"/>
  <c r="O1916" i="17"/>
  <c r="AH1916" i="17"/>
  <c r="X1916" i="17"/>
  <c r="N1916" i="17"/>
  <c r="AO1916" i="17"/>
  <c r="AA1916" i="17"/>
  <c r="K1916" i="17"/>
  <c r="AN1916" i="17"/>
  <c r="Z1916" i="17"/>
  <c r="J1916" i="17"/>
  <c r="AD1916" i="17"/>
  <c r="AQ1916" i="17"/>
  <c r="W1916" i="17"/>
  <c r="AF1916" i="17"/>
  <c r="AE1916" i="17"/>
  <c r="R1916" i="17"/>
  <c r="Q1916" i="17"/>
  <c r="AL1927" i="17"/>
  <c r="AD1927" i="17"/>
  <c r="V1927" i="17"/>
  <c r="N1927" i="17"/>
  <c r="AK1927" i="17"/>
  <c r="AC1927" i="17"/>
  <c r="U1927" i="17"/>
  <c r="M1927" i="17"/>
  <c r="AN1927" i="17"/>
  <c r="AB1927" i="17"/>
  <c r="R1927" i="17"/>
  <c r="AM1927" i="17"/>
  <c r="AA1927" i="17"/>
  <c r="Q1927" i="17"/>
  <c r="AG1927" i="17"/>
  <c r="S1927" i="17"/>
  <c r="AR1927" i="17"/>
  <c r="AF1927" i="17"/>
  <c r="P1927" i="17"/>
  <c r="AI1927" i="17"/>
  <c r="O1927" i="17"/>
  <c r="AH1927" i="17"/>
  <c r="L1927" i="17"/>
  <c r="AO1927" i="17"/>
  <c r="K1927" i="17"/>
  <c r="AJ1927" i="17"/>
  <c r="J1927" i="17"/>
  <c r="Z1927" i="17"/>
  <c r="Y1927" i="17"/>
  <c r="AQ1927" i="17"/>
  <c r="J1963" i="17"/>
  <c r="R1361" i="17"/>
  <c r="AB1361" i="17"/>
  <c r="AL1363" i="17"/>
  <c r="AD1363" i="17"/>
  <c r="V1363" i="17"/>
  <c r="N1363" i="17"/>
  <c r="AK1363" i="17"/>
  <c r="AC1363" i="17"/>
  <c r="U1363" i="17"/>
  <c r="M1363" i="17"/>
  <c r="S1363" i="17"/>
  <c r="AE1363" i="17"/>
  <c r="AO1363" i="17"/>
  <c r="R1381" i="17"/>
  <c r="AB1381" i="17"/>
  <c r="AL1383" i="17"/>
  <c r="AD1383" i="17"/>
  <c r="V1383" i="17"/>
  <c r="N1383" i="17"/>
  <c r="AK1383" i="17"/>
  <c r="AC1383" i="17"/>
  <c r="U1383" i="17"/>
  <c r="M1383" i="17"/>
  <c r="S1383" i="17"/>
  <c r="AE1383" i="17"/>
  <c r="AO1383" i="17"/>
  <c r="R1401" i="17"/>
  <c r="AB1401" i="17"/>
  <c r="AL1403" i="17"/>
  <c r="AD1403" i="17"/>
  <c r="V1403" i="17"/>
  <c r="N1403" i="17"/>
  <c r="AK1403" i="17"/>
  <c r="AC1403" i="17"/>
  <c r="U1403" i="17"/>
  <c r="M1403" i="17"/>
  <c r="S1403" i="17"/>
  <c r="AE1403" i="17"/>
  <c r="AO1403" i="17"/>
  <c r="R1409" i="17"/>
  <c r="AB1409" i="17"/>
  <c r="R1417" i="17"/>
  <c r="AB1417" i="17"/>
  <c r="R1419" i="17"/>
  <c r="AB1419" i="17"/>
  <c r="R1421" i="17"/>
  <c r="AB1421" i="17"/>
  <c r="AL1423" i="17"/>
  <c r="AD1423" i="17"/>
  <c r="V1423" i="17"/>
  <c r="N1423" i="17"/>
  <c r="AK1423" i="17"/>
  <c r="AC1423" i="17"/>
  <c r="U1423" i="17"/>
  <c r="M1423" i="17"/>
  <c r="S1423" i="17"/>
  <c r="AE1423" i="17"/>
  <c r="AO1423" i="17"/>
  <c r="R1437" i="17"/>
  <c r="AB1437" i="17"/>
  <c r="AL1439" i="17"/>
  <c r="AD1439" i="17"/>
  <c r="V1439" i="17"/>
  <c r="N1439" i="17"/>
  <c r="AK1439" i="17"/>
  <c r="AC1439" i="17"/>
  <c r="U1439" i="17"/>
  <c r="M1439" i="17"/>
  <c r="S1439" i="17"/>
  <c r="AE1439" i="17"/>
  <c r="AO1439" i="17"/>
  <c r="R1463" i="17"/>
  <c r="AB1463" i="17"/>
  <c r="AL1465" i="17"/>
  <c r="AD1465" i="17"/>
  <c r="V1465" i="17"/>
  <c r="N1465" i="17"/>
  <c r="AK1465" i="17"/>
  <c r="AC1465" i="17"/>
  <c r="U1465" i="17"/>
  <c r="M1465" i="17"/>
  <c r="S1465" i="17"/>
  <c r="AE1465" i="17"/>
  <c r="AO1465" i="17"/>
  <c r="R1479" i="17"/>
  <c r="AB1479" i="17"/>
  <c r="AL1481" i="17"/>
  <c r="AD1481" i="17"/>
  <c r="V1481" i="17"/>
  <c r="N1481" i="17"/>
  <c r="AK1481" i="17"/>
  <c r="AC1481" i="17"/>
  <c r="U1481" i="17"/>
  <c r="M1481" i="17"/>
  <c r="S1481" i="17"/>
  <c r="AE1481" i="17"/>
  <c r="AO1481" i="17"/>
  <c r="AK1620" i="17"/>
  <c r="AC1620" i="17"/>
  <c r="U1620" i="17"/>
  <c r="M1620" i="17"/>
  <c r="AR1620" i="17"/>
  <c r="AJ1620" i="17"/>
  <c r="AB1620" i="17"/>
  <c r="T1620" i="17"/>
  <c r="L1620" i="17"/>
  <c r="AH1620" i="17"/>
  <c r="X1620" i="17"/>
  <c r="N1620" i="17"/>
  <c r="AQ1620" i="17"/>
  <c r="AG1620" i="17"/>
  <c r="W1620" i="17"/>
  <c r="K1620" i="17"/>
  <c r="Y1620" i="17"/>
  <c r="AM1620" i="17"/>
  <c r="AK1622" i="17"/>
  <c r="AC1622" i="17"/>
  <c r="U1622" i="17"/>
  <c r="M1622" i="17"/>
  <c r="AR1622" i="17"/>
  <c r="AJ1622" i="17"/>
  <c r="AB1622" i="17"/>
  <c r="T1622" i="17"/>
  <c r="L1622" i="17"/>
  <c r="AI1622" i="17"/>
  <c r="Y1622" i="17"/>
  <c r="O1622" i="17"/>
  <c r="AH1622" i="17"/>
  <c r="X1622" i="17"/>
  <c r="N1622" i="17"/>
  <c r="W1622" i="17"/>
  <c r="AM1622" i="17"/>
  <c r="V1624" i="17"/>
  <c r="X1634" i="17"/>
  <c r="AK1636" i="17"/>
  <c r="AC1636" i="17"/>
  <c r="U1636" i="17"/>
  <c r="M1636" i="17"/>
  <c r="AR1636" i="17"/>
  <c r="AJ1636" i="17"/>
  <c r="AB1636" i="17"/>
  <c r="T1636" i="17"/>
  <c r="L1636" i="17"/>
  <c r="AH1636" i="17"/>
  <c r="X1636" i="17"/>
  <c r="N1636" i="17"/>
  <c r="AQ1636" i="17"/>
  <c r="AG1636" i="17"/>
  <c r="W1636" i="17"/>
  <c r="K1636" i="17"/>
  <c r="Y1636" i="17"/>
  <c r="AM1636" i="17"/>
  <c r="AK1638" i="17"/>
  <c r="AC1638" i="17"/>
  <c r="U1638" i="17"/>
  <c r="M1638" i="17"/>
  <c r="AR1638" i="17"/>
  <c r="AJ1638" i="17"/>
  <c r="AB1638" i="17"/>
  <c r="T1638" i="17"/>
  <c r="L1638" i="17"/>
  <c r="AI1638" i="17"/>
  <c r="Y1638" i="17"/>
  <c r="O1638" i="17"/>
  <c r="AH1638" i="17"/>
  <c r="X1638" i="17"/>
  <c r="N1638" i="17"/>
  <c r="W1638" i="17"/>
  <c r="AM1638" i="17"/>
  <c r="V1640" i="17"/>
  <c r="X1650" i="17"/>
  <c r="AK1652" i="17"/>
  <c r="AC1652" i="17"/>
  <c r="U1652" i="17"/>
  <c r="M1652" i="17"/>
  <c r="AR1652" i="17"/>
  <c r="AJ1652" i="17"/>
  <c r="AB1652" i="17"/>
  <c r="T1652" i="17"/>
  <c r="L1652" i="17"/>
  <c r="AH1652" i="17"/>
  <c r="X1652" i="17"/>
  <c r="N1652" i="17"/>
  <c r="AQ1652" i="17"/>
  <c r="AG1652" i="17"/>
  <c r="W1652" i="17"/>
  <c r="K1652" i="17"/>
  <c r="Y1652" i="17"/>
  <c r="AM1652" i="17"/>
  <c r="AK1654" i="17"/>
  <c r="AC1654" i="17"/>
  <c r="U1654" i="17"/>
  <c r="M1654" i="17"/>
  <c r="AR1654" i="17"/>
  <c r="AJ1654" i="17"/>
  <c r="AB1654" i="17"/>
  <c r="T1654" i="17"/>
  <c r="L1654" i="17"/>
  <c r="AI1654" i="17"/>
  <c r="Y1654" i="17"/>
  <c r="O1654" i="17"/>
  <c r="AH1654" i="17"/>
  <c r="X1654" i="17"/>
  <c r="N1654" i="17"/>
  <c r="W1654" i="17"/>
  <c r="AM1654" i="17"/>
  <c r="V1656" i="17"/>
  <c r="X1666" i="17"/>
  <c r="AK1668" i="17"/>
  <c r="AC1668" i="17"/>
  <c r="U1668" i="17"/>
  <c r="M1668" i="17"/>
  <c r="AR1668" i="17"/>
  <c r="AJ1668" i="17"/>
  <c r="AB1668" i="17"/>
  <c r="T1668" i="17"/>
  <c r="L1668" i="17"/>
  <c r="AH1668" i="17"/>
  <c r="X1668" i="17"/>
  <c r="N1668" i="17"/>
  <c r="AQ1668" i="17"/>
  <c r="AG1668" i="17"/>
  <c r="W1668" i="17"/>
  <c r="K1668" i="17"/>
  <c r="Y1668" i="17"/>
  <c r="AM1668" i="17"/>
  <c r="AK1670" i="17"/>
  <c r="AC1670" i="17"/>
  <c r="U1670" i="17"/>
  <c r="M1670" i="17"/>
  <c r="AR1670" i="17"/>
  <c r="AJ1670" i="17"/>
  <c r="AB1670" i="17"/>
  <c r="T1670" i="17"/>
  <c r="L1670" i="17"/>
  <c r="AI1670" i="17"/>
  <c r="Y1670" i="17"/>
  <c r="O1670" i="17"/>
  <c r="AH1670" i="17"/>
  <c r="X1670" i="17"/>
  <c r="N1670" i="17"/>
  <c r="W1670" i="17"/>
  <c r="AM1670" i="17"/>
  <c r="V1672" i="17"/>
  <c r="X1682" i="17"/>
  <c r="AK1684" i="17"/>
  <c r="AC1684" i="17"/>
  <c r="U1684" i="17"/>
  <c r="M1684" i="17"/>
  <c r="AR1684" i="17"/>
  <c r="AJ1684" i="17"/>
  <c r="AB1684" i="17"/>
  <c r="T1684" i="17"/>
  <c r="L1684" i="17"/>
  <c r="AH1684" i="17"/>
  <c r="X1684" i="17"/>
  <c r="N1684" i="17"/>
  <c r="AQ1684" i="17"/>
  <c r="AG1684" i="17"/>
  <c r="W1684" i="17"/>
  <c r="K1684" i="17"/>
  <c r="Y1684" i="17"/>
  <c r="AM1684" i="17"/>
  <c r="AK1686" i="17"/>
  <c r="AC1686" i="17"/>
  <c r="U1686" i="17"/>
  <c r="M1686" i="17"/>
  <c r="AR1686" i="17"/>
  <c r="AJ1686" i="17"/>
  <c r="AB1686" i="17"/>
  <c r="T1686" i="17"/>
  <c r="L1686" i="17"/>
  <c r="AI1686" i="17"/>
  <c r="Y1686" i="17"/>
  <c r="O1686" i="17"/>
  <c r="AH1686" i="17"/>
  <c r="X1686" i="17"/>
  <c r="N1686" i="17"/>
  <c r="W1686" i="17"/>
  <c r="AM1686" i="17"/>
  <c r="AL1740" i="17"/>
  <c r="AD1740" i="17"/>
  <c r="V1740" i="17"/>
  <c r="N1740" i="17"/>
  <c r="AK1740" i="17"/>
  <c r="AC1740" i="17"/>
  <c r="U1740" i="17"/>
  <c r="M1740" i="17"/>
  <c r="AQ1740" i="17"/>
  <c r="AG1740" i="17"/>
  <c r="W1740" i="17"/>
  <c r="K1740" i="17"/>
  <c r="AP1740" i="17"/>
  <c r="AF1740" i="17"/>
  <c r="T1740" i="17"/>
  <c r="J1740" i="17"/>
  <c r="AE1740" i="17"/>
  <c r="Q1740" i="17"/>
  <c r="AR1740" i="17"/>
  <c r="AB1740" i="17"/>
  <c r="P1740" i="17"/>
  <c r="AA1740" i="17"/>
  <c r="X1746" i="17"/>
  <c r="AL1750" i="17"/>
  <c r="AD1750" i="17"/>
  <c r="V1750" i="17"/>
  <c r="N1750" i="17"/>
  <c r="AK1750" i="17"/>
  <c r="AC1750" i="17"/>
  <c r="U1750" i="17"/>
  <c r="M1750" i="17"/>
  <c r="AN1750" i="17"/>
  <c r="AB1750" i="17"/>
  <c r="R1750" i="17"/>
  <c r="AM1750" i="17"/>
  <c r="AA1750" i="17"/>
  <c r="Q1750" i="17"/>
  <c r="AQ1750" i="17"/>
  <c r="AE1750" i="17"/>
  <c r="O1750" i="17"/>
  <c r="AP1750" i="17"/>
  <c r="Z1750" i="17"/>
  <c r="L1750" i="17"/>
  <c r="Y1750" i="17"/>
  <c r="AL1756" i="17"/>
  <c r="AD1756" i="17"/>
  <c r="V1756" i="17"/>
  <c r="N1756" i="17"/>
  <c r="AK1756" i="17"/>
  <c r="AC1756" i="17"/>
  <c r="U1756" i="17"/>
  <c r="M1756" i="17"/>
  <c r="AQ1756" i="17"/>
  <c r="AG1756" i="17"/>
  <c r="W1756" i="17"/>
  <c r="K1756" i="17"/>
  <c r="AP1756" i="17"/>
  <c r="AF1756" i="17"/>
  <c r="T1756" i="17"/>
  <c r="J1756" i="17"/>
  <c r="AI1756" i="17"/>
  <c r="S1756" i="17"/>
  <c r="AH1756" i="17"/>
  <c r="R1756" i="17"/>
  <c r="AA1756" i="17"/>
  <c r="AL1766" i="17"/>
  <c r="AD1766" i="17"/>
  <c r="V1766" i="17"/>
  <c r="N1766" i="17"/>
  <c r="AK1766" i="17"/>
  <c r="AC1766" i="17"/>
  <c r="U1766" i="17"/>
  <c r="M1766" i="17"/>
  <c r="AR1766" i="17"/>
  <c r="AH1766" i="17"/>
  <c r="X1766" i="17"/>
  <c r="L1766" i="17"/>
  <c r="AQ1766" i="17"/>
  <c r="AG1766" i="17"/>
  <c r="W1766" i="17"/>
  <c r="K1766" i="17"/>
  <c r="AI1766" i="17"/>
  <c r="S1766" i="17"/>
  <c r="AF1766" i="17"/>
  <c r="R1766" i="17"/>
  <c r="AA1766" i="17"/>
  <c r="AL1774" i="17"/>
  <c r="AD1774" i="17"/>
  <c r="V1774" i="17"/>
  <c r="N1774" i="17"/>
  <c r="AK1774" i="17"/>
  <c r="AC1774" i="17"/>
  <c r="U1774" i="17"/>
  <c r="M1774" i="17"/>
  <c r="AN1774" i="17"/>
  <c r="AB1774" i="17"/>
  <c r="R1774" i="17"/>
  <c r="AM1774" i="17"/>
  <c r="AA1774" i="17"/>
  <c r="Q1774" i="17"/>
  <c r="AR1774" i="17"/>
  <c r="AF1774" i="17"/>
  <c r="P1774" i="17"/>
  <c r="AQ1774" i="17"/>
  <c r="AE1774" i="17"/>
  <c r="O1774" i="17"/>
  <c r="Y1774" i="17"/>
  <c r="AL1780" i="17"/>
  <c r="AD1780" i="17"/>
  <c r="V1780" i="17"/>
  <c r="N1780" i="17"/>
  <c r="AK1780" i="17"/>
  <c r="AC1780" i="17"/>
  <c r="U1780" i="17"/>
  <c r="M1780" i="17"/>
  <c r="AQ1780" i="17"/>
  <c r="AG1780" i="17"/>
  <c r="W1780" i="17"/>
  <c r="K1780" i="17"/>
  <c r="AP1780" i="17"/>
  <c r="AF1780" i="17"/>
  <c r="T1780" i="17"/>
  <c r="J1780" i="17"/>
  <c r="AJ1780" i="17"/>
  <c r="X1780" i="17"/>
  <c r="AI1780" i="17"/>
  <c r="S1780" i="17"/>
  <c r="AA1780" i="17"/>
  <c r="AL1830" i="17"/>
  <c r="AD1830" i="17"/>
  <c r="V1830" i="17"/>
  <c r="N1830" i="17"/>
  <c r="AK1830" i="17"/>
  <c r="AC1830" i="17"/>
  <c r="U1830" i="17"/>
  <c r="M1830" i="17"/>
  <c r="AR1830" i="17"/>
  <c r="AH1830" i="17"/>
  <c r="X1830" i="17"/>
  <c r="L1830" i="17"/>
  <c r="AQ1830" i="17"/>
  <c r="AG1830" i="17"/>
  <c r="W1830" i="17"/>
  <c r="K1830" i="17"/>
  <c r="AJ1830" i="17"/>
  <c r="T1830" i="17"/>
  <c r="AI1830" i="17"/>
  <c r="S1830" i="17"/>
  <c r="AA1830" i="17"/>
  <c r="AR1960" i="17"/>
  <c r="AJ1960" i="17"/>
  <c r="AB1960" i="17"/>
  <c r="T1960" i="17"/>
  <c r="L1960" i="17"/>
  <c r="AL1960" i="17"/>
  <c r="AC1960" i="17"/>
  <c r="S1960" i="17"/>
  <c r="J1960" i="17"/>
  <c r="AQ1960" i="17"/>
  <c r="AG1960" i="17"/>
  <c r="W1960" i="17"/>
  <c r="M1960" i="17"/>
  <c r="AP1960" i="17"/>
  <c r="AF1960" i="17"/>
  <c r="V1960" i="17"/>
  <c r="K1960" i="17"/>
  <c r="AE1960" i="17"/>
  <c r="Q1960" i="17"/>
  <c r="AD1960" i="17"/>
  <c r="P1960" i="17"/>
  <c r="AO1960" i="17"/>
  <c r="Y1960" i="17"/>
  <c r="AN1960" i="17"/>
  <c r="X1960" i="17"/>
  <c r="R1960" i="17"/>
  <c r="AM1960" i="17"/>
  <c r="O1960" i="17"/>
  <c r="AK1960" i="17"/>
  <c r="AI1960" i="17"/>
  <c r="AH1960" i="17"/>
  <c r="AA1960" i="17"/>
  <c r="AL1361" i="17"/>
  <c r="AD1361" i="17"/>
  <c r="V1361" i="17"/>
  <c r="N1361" i="17"/>
  <c r="AK1361" i="17"/>
  <c r="AC1361" i="17"/>
  <c r="U1361" i="17"/>
  <c r="M1361" i="17"/>
  <c r="S1361" i="17"/>
  <c r="AE1361" i="17"/>
  <c r="AO1361" i="17"/>
  <c r="AL1381" i="17"/>
  <c r="AD1381" i="17"/>
  <c r="V1381" i="17"/>
  <c r="N1381" i="17"/>
  <c r="AK1381" i="17"/>
  <c r="AC1381" i="17"/>
  <c r="U1381" i="17"/>
  <c r="M1381" i="17"/>
  <c r="S1381" i="17"/>
  <c r="AE1381" i="17"/>
  <c r="AO1381" i="17"/>
  <c r="AL1401" i="17"/>
  <c r="AD1401" i="17"/>
  <c r="V1401" i="17"/>
  <c r="N1401" i="17"/>
  <c r="AK1401" i="17"/>
  <c r="AC1401" i="17"/>
  <c r="U1401" i="17"/>
  <c r="M1401" i="17"/>
  <c r="S1401" i="17"/>
  <c r="AE1401" i="17"/>
  <c r="AO1401" i="17"/>
  <c r="AL1409" i="17"/>
  <c r="AD1409" i="17"/>
  <c r="V1409" i="17"/>
  <c r="N1409" i="17"/>
  <c r="AK1409" i="17"/>
  <c r="AC1409" i="17"/>
  <c r="U1409" i="17"/>
  <c r="M1409" i="17"/>
  <c r="S1409" i="17"/>
  <c r="AE1409" i="17"/>
  <c r="AO1409" i="17"/>
  <c r="AL1417" i="17"/>
  <c r="AD1417" i="17"/>
  <c r="V1417" i="17"/>
  <c r="N1417" i="17"/>
  <c r="AK1417" i="17"/>
  <c r="AC1417" i="17"/>
  <c r="U1417" i="17"/>
  <c r="M1417" i="17"/>
  <c r="S1417" i="17"/>
  <c r="AE1417" i="17"/>
  <c r="AO1417" i="17"/>
  <c r="AL1419" i="17"/>
  <c r="AD1419" i="17"/>
  <c r="V1419" i="17"/>
  <c r="N1419" i="17"/>
  <c r="AK1419" i="17"/>
  <c r="AC1419" i="17"/>
  <c r="U1419" i="17"/>
  <c r="M1419" i="17"/>
  <c r="S1419" i="17"/>
  <c r="AE1419" i="17"/>
  <c r="AO1419" i="17"/>
  <c r="AL1421" i="17"/>
  <c r="AD1421" i="17"/>
  <c r="V1421" i="17"/>
  <c r="N1421" i="17"/>
  <c r="AK1421" i="17"/>
  <c r="AC1421" i="17"/>
  <c r="U1421" i="17"/>
  <c r="M1421" i="17"/>
  <c r="S1421" i="17"/>
  <c r="AE1421" i="17"/>
  <c r="AO1421" i="17"/>
  <c r="AL1437" i="17"/>
  <c r="AD1437" i="17"/>
  <c r="V1437" i="17"/>
  <c r="N1437" i="17"/>
  <c r="AK1437" i="17"/>
  <c r="AC1437" i="17"/>
  <c r="U1437" i="17"/>
  <c r="M1437" i="17"/>
  <c r="S1437" i="17"/>
  <c r="AE1437" i="17"/>
  <c r="AO1437" i="17"/>
  <c r="AL1463" i="17"/>
  <c r="AD1463" i="17"/>
  <c r="V1463" i="17"/>
  <c r="N1463" i="17"/>
  <c r="AK1463" i="17"/>
  <c r="AC1463" i="17"/>
  <c r="U1463" i="17"/>
  <c r="M1463" i="17"/>
  <c r="S1463" i="17"/>
  <c r="AE1463" i="17"/>
  <c r="AO1463" i="17"/>
  <c r="AL1479" i="17"/>
  <c r="AD1479" i="17"/>
  <c r="V1479" i="17"/>
  <c r="N1479" i="17"/>
  <c r="AK1479" i="17"/>
  <c r="AC1479" i="17"/>
  <c r="U1479" i="17"/>
  <c r="M1479" i="17"/>
  <c r="S1479" i="17"/>
  <c r="AE1479" i="17"/>
  <c r="AO1479" i="17"/>
  <c r="AK1624" i="17"/>
  <c r="AC1624" i="17"/>
  <c r="U1624" i="17"/>
  <c r="M1624" i="17"/>
  <c r="AR1624" i="17"/>
  <c r="AJ1624" i="17"/>
  <c r="AB1624" i="17"/>
  <c r="T1624" i="17"/>
  <c r="L1624" i="17"/>
  <c r="AL1624" i="17"/>
  <c r="Z1624" i="17"/>
  <c r="P1624" i="17"/>
  <c r="AI1624" i="17"/>
  <c r="Y1624" i="17"/>
  <c r="O1624" i="17"/>
  <c r="W1624" i="17"/>
  <c r="AM1624" i="17"/>
  <c r="AK1634" i="17"/>
  <c r="AC1634" i="17"/>
  <c r="U1634" i="17"/>
  <c r="M1634" i="17"/>
  <c r="AR1634" i="17"/>
  <c r="AJ1634" i="17"/>
  <c r="AB1634" i="17"/>
  <c r="T1634" i="17"/>
  <c r="L1634" i="17"/>
  <c r="AQ1634" i="17"/>
  <c r="AG1634" i="17"/>
  <c r="W1634" i="17"/>
  <c r="K1634" i="17"/>
  <c r="AP1634" i="17"/>
  <c r="AF1634" i="17"/>
  <c r="V1634" i="17"/>
  <c r="J1634" i="17"/>
  <c r="Y1634" i="17"/>
  <c r="AM1634" i="17"/>
  <c r="AK1640" i="17"/>
  <c r="AC1640" i="17"/>
  <c r="U1640" i="17"/>
  <c r="M1640" i="17"/>
  <c r="AR1640" i="17"/>
  <c r="AJ1640" i="17"/>
  <c r="AB1640" i="17"/>
  <c r="T1640" i="17"/>
  <c r="L1640" i="17"/>
  <c r="AL1640" i="17"/>
  <c r="Z1640" i="17"/>
  <c r="P1640" i="17"/>
  <c r="AI1640" i="17"/>
  <c r="Y1640" i="17"/>
  <c r="O1640" i="17"/>
  <c r="W1640" i="17"/>
  <c r="AM1640" i="17"/>
  <c r="AK1650" i="17"/>
  <c r="AC1650" i="17"/>
  <c r="U1650" i="17"/>
  <c r="M1650" i="17"/>
  <c r="AR1650" i="17"/>
  <c r="AJ1650" i="17"/>
  <c r="AB1650" i="17"/>
  <c r="T1650" i="17"/>
  <c r="L1650" i="17"/>
  <c r="AQ1650" i="17"/>
  <c r="AG1650" i="17"/>
  <c r="W1650" i="17"/>
  <c r="K1650" i="17"/>
  <c r="AP1650" i="17"/>
  <c r="AF1650" i="17"/>
  <c r="V1650" i="17"/>
  <c r="J1650" i="17"/>
  <c r="Y1650" i="17"/>
  <c r="AM1650" i="17"/>
  <c r="AK1656" i="17"/>
  <c r="AC1656" i="17"/>
  <c r="U1656" i="17"/>
  <c r="M1656" i="17"/>
  <c r="AR1656" i="17"/>
  <c r="AJ1656" i="17"/>
  <c r="AB1656" i="17"/>
  <c r="T1656" i="17"/>
  <c r="L1656" i="17"/>
  <c r="AL1656" i="17"/>
  <c r="Z1656" i="17"/>
  <c r="P1656" i="17"/>
  <c r="AI1656" i="17"/>
  <c r="Y1656" i="17"/>
  <c r="O1656" i="17"/>
  <c r="W1656" i="17"/>
  <c r="AM1656" i="17"/>
  <c r="AK1666" i="17"/>
  <c r="AC1666" i="17"/>
  <c r="U1666" i="17"/>
  <c r="M1666" i="17"/>
  <c r="AR1666" i="17"/>
  <c r="AJ1666" i="17"/>
  <c r="AB1666" i="17"/>
  <c r="T1666" i="17"/>
  <c r="L1666" i="17"/>
  <c r="AQ1666" i="17"/>
  <c r="AG1666" i="17"/>
  <c r="W1666" i="17"/>
  <c r="K1666" i="17"/>
  <c r="AP1666" i="17"/>
  <c r="AF1666" i="17"/>
  <c r="V1666" i="17"/>
  <c r="J1666" i="17"/>
  <c r="Y1666" i="17"/>
  <c r="AM1666" i="17"/>
  <c r="AK1672" i="17"/>
  <c r="AC1672" i="17"/>
  <c r="U1672" i="17"/>
  <c r="M1672" i="17"/>
  <c r="AR1672" i="17"/>
  <c r="AJ1672" i="17"/>
  <c r="AB1672" i="17"/>
  <c r="T1672" i="17"/>
  <c r="L1672" i="17"/>
  <c r="AL1672" i="17"/>
  <c r="Z1672" i="17"/>
  <c r="P1672" i="17"/>
  <c r="AI1672" i="17"/>
  <c r="Y1672" i="17"/>
  <c r="O1672" i="17"/>
  <c r="W1672" i="17"/>
  <c r="AM1672" i="17"/>
  <c r="AK1682" i="17"/>
  <c r="AC1682" i="17"/>
  <c r="U1682" i="17"/>
  <c r="M1682" i="17"/>
  <c r="AR1682" i="17"/>
  <c r="AJ1682" i="17"/>
  <c r="AB1682" i="17"/>
  <c r="T1682" i="17"/>
  <c r="L1682" i="17"/>
  <c r="AQ1682" i="17"/>
  <c r="AG1682" i="17"/>
  <c r="W1682" i="17"/>
  <c r="K1682" i="17"/>
  <c r="AP1682" i="17"/>
  <c r="AF1682" i="17"/>
  <c r="V1682" i="17"/>
  <c r="J1682" i="17"/>
  <c r="Y1682" i="17"/>
  <c r="AM1682" i="17"/>
  <c r="AL1746" i="17"/>
  <c r="AD1746" i="17"/>
  <c r="V1746" i="17"/>
  <c r="N1746" i="17"/>
  <c r="AK1746" i="17"/>
  <c r="AC1746" i="17"/>
  <c r="U1746" i="17"/>
  <c r="M1746" i="17"/>
  <c r="AJ1746" i="17"/>
  <c r="Z1746" i="17"/>
  <c r="P1746" i="17"/>
  <c r="AI1746" i="17"/>
  <c r="Y1746" i="17"/>
  <c r="O1746" i="17"/>
  <c r="AG1746" i="17"/>
  <c r="S1746" i="17"/>
  <c r="AR1746" i="17"/>
  <c r="AF1746" i="17"/>
  <c r="R1746" i="17"/>
  <c r="AA1746" i="17"/>
  <c r="AQ1746" i="17"/>
  <c r="AL1863" i="17"/>
  <c r="AD1863" i="17"/>
  <c r="V1863" i="17"/>
  <c r="N1863" i="17"/>
  <c r="AK1863" i="17"/>
  <c r="AC1863" i="17"/>
  <c r="U1863" i="17"/>
  <c r="M1863" i="17"/>
  <c r="AQ1863" i="17"/>
  <c r="AG1863" i="17"/>
  <c r="W1863" i="17"/>
  <c r="K1863" i="17"/>
  <c r="AP1863" i="17"/>
  <c r="AF1863" i="17"/>
  <c r="T1863" i="17"/>
  <c r="J1863" i="17"/>
  <c r="AJ1863" i="17"/>
  <c r="X1863" i="17"/>
  <c r="AI1863" i="17"/>
  <c r="S1863" i="17"/>
  <c r="AR1863" i="17"/>
  <c r="Z1863" i="17"/>
  <c r="AO1863" i="17"/>
  <c r="Y1863" i="17"/>
  <c r="AE1863" i="17"/>
  <c r="AL1867" i="17"/>
  <c r="AD1867" i="17"/>
  <c r="V1867" i="17"/>
  <c r="N1867" i="17"/>
  <c r="AK1867" i="17"/>
  <c r="AC1867" i="17"/>
  <c r="U1867" i="17"/>
  <c r="M1867" i="17"/>
  <c r="AN1867" i="17"/>
  <c r="AB1867" i="17"/>
  <c r="R1867" i="17"/>
  <c r="AM1867" i="17"/>
  <c r="AA1867" i="17"/>
  <c r="Q1867" i="17"/>
  <c r="AH1867" i="17"/>
  <c r="T1867" i="17"/>
  <c r="AG1867" i="17"/>
  <c r="S1867" i="17"/>
  <c r="AF1867" i="17"/>
  <c r="L1867" i="17"/>
  <c r="AE1867" i="17"/>
  <c r="K1867" i="17"/>
  <c r="AI1867" i="17"/>
  <c r="AN1887" i="17"/>
  <c r="AF1887" i="17"/>
  <c r="X1887" i="17"/>
  <c r="P1887" i="17"/>
  <c r="AP1887" i="17"/>
  <c r="AG1887" i="17"/>
  <c r="W1887" i="17"/>
  <c r="N1887" i="17"/>
  <c r="AO1887" i="17"/>
  <c r="AE1887" i="17"/>
  <c r="V1887" i="17"/>
  <c r="M1887" i="17"/>
  <c r="AM1887" i="17"/>
  <c r="AB1887" i="17"/>
  <c r="Q1887" i="17"/>
  <c r="AL1887" i="17"/>
  <c r="AA1887" i="17"/>
  <c r="O1887" i="17"/>
  <c r="AK1887" i="17"/>
  <c r="U1887" i="17"/>
  <c r="AJ1887" i="17"/>
  <c r="T1887" i="17"/>
  <c r="Z1887" i="17"/>
  <c r="Y1887" i="17"/>
  <c r="AH1887" i="17"/>
  <c r="AN1889" i="17"/>
  <c r="AF1889" i="17"/>
  <c r="X1889" i="17"/>
  <c r="P1889" i="17"/>
  <c r="AQ1889" i="17"/>
  <c r="AH1889" i="17"/>
  <c r="Y1889" i="17"/>
  <c r="O1889" i="17"/>
  <c r="AP1889" i="17"/>
  <c r="AG1889" i="17"/>
  <c r="W1889" i="17"/>
  <c r="N1889" i="17"/>
  <c r="AO1889" i="17"/>
  <c r="AC1889" i="17"/>
  <c r="R1889" i="17"/>
  <c r="AM1889" i="17"/>
  <c r="AB1889" i="17"/>
  <c r="Q1889" i="17"/>
  <c r="AE1889" i="17"/>
  <c r="M1889" i="17"/>
  <c r="AD1889" i="17"/>
  <c r="L1889" i="17"/>
  <c r="AL1889" i="17"/>
  <c r="T1889" i="17"/>
  <c r="AK1889" i="17"/>
  <c r="S1889" i="17"/>
  <c r="AJ1889" i="17"/>
  <c r="AK1906" i="17"/>
  <c r="AC1906" i="17"/>
  <c r="U1906" i="17"/>
  <c r="M1906" i="17"/>
  <c r="AR1906" i="17"/>
  <c r="AJ1906" i="17"/>
  <c r="AB1906" i="17"/>
  <c r="T1906" i="17"/>
  <c r="L1906" i="17"/>
  <c r="AN1906" i="17"/>
  <c r="AD1906" i="17"/>
  <c r="R1906" i="17"/>
  <c r="AM1906" i="17"/>
  <c r="AA1906" i="17"/>
  <c r="Q1906" i="17"/>
  <c r="AH1906" i="17"/>
  <c r="V1906" i="17"/>
  <c r="AG1906" i="17"/>
  <c r="S1906" i="17"/>
  <c r="AL1906" i="17"/>
  <c r="P1906" i="17"/>
  <c r="AI1906" i="17"/>
  <c r="O1906" i="17"/>
  <c r="Y1906" i="17"/>
  <c r="X1906" i="17"/>
  <c r="AO1906" i="17"/>
  <c r="AL1937" i="17"/>
  <c r="AD1937" i="17"/>
  <c r="V1937" i="17"/>
  <c r="N1937" i="17"/>
  <c r="AK1937" i="17"/>
  <c r="AC1937" i="17"/>
  <c r="U1937" i="17"/>
  <c r="M1937" i="17"/>
  <c r="AI1937" i="17"/>
  <c r="Y1937" i="17"/>
  <c r="O1937" i="17"/>
  <c r="AR1937" i="17"/>
  <c r="AH1937" i="17"/>
  <c r="X1937" i="17"/>
  <c r="L1937" i="17"/>
  <c r="AO1937" i="17"/>
  <c r="AA1937" i="17"/>
  <c r="K1937" i="17"/>
  <c r="AN1937" i="17"/>
  <c r="Z1937" i="17"/>
  <c r="J1937" i="17"/>
  <c r="AJ1937" i="17"/>
  <c r="R1937" i="17"/>
  <c r="AG1937" i="17"/>
  <c r="Q1937" i="17"/>
  <c r="AB1937" i="17"/>
  <c r="W1937" i="17"/>
  <c r="AE1937" i="17"/>
  <c r="T1937" i="17"/>
  <c r="Q1360" i="17"/>
  <c r="Y1360" i="17"/>
  <c r="AG1360" i="17"/>
  <c r="AO1360" i="17"/>
  <c r="Q1362" i="17"/>
  <c r="Y1362" i="17"/>
  <c r="AG1362" i="17"/>
  <c r="AO1362" i="17"/>
  <c r="Q1364" i="17"/>
  <c r="Y1364" i="17"/>
  <c r="AG1364" i="17"/>
  <c r="AO1364" i="17"/>
  <c r="Q1366" i="17"/>
  <c r="Y1366" i="17"/>
  <c r="AG1366" i="17"/>
  <c r="AO1366" i="17"/>
  <c r="Q1368" i="17"/>
  <c r="Y1368" i="17"/>
  <c r="AG1368" i="17"/>
  <c r="AO1368" i="17"/>
  <c r="Q1370" i="17"/>
  <c r="Y1370" i="17"/>
  <c r="AG1370" i="17"/>
  <c r="AO1370" i="17"/>
  <c r="Q1372" i="17"/>
  <c r="Y1372" i="17"/>
  <c r="AG1372" i="17"/>
  <c r="AO1372" i="17"/>
  <c r="Q1374" i="17"/>
  <c r="Y1374" i="17"/>
  <c r="AG1374" i="17"/>
  <c r="AO1374" i="17"/>
  <c r="Q1376" i="17"/>
  <c r="Y1376" i="17"/>
  <c r="AG1376" i="17"/>
  <c r="AO1376" i="17"/>
  <c r="Q1378" i="17"/>
  <c r="Y1378" i="17"/>
  <c r="AG1378" i="17"/>
  <c r="AO1378" i="17"/>
  <c r="Q1380" i="17"/>
  <c r="Y1380" i="17"/>
  <c r="AG1380" i="17"/>
  <c r="AO1380" i="17"/>
  <c r="Q1382" i="17"/>
  <c r="Y1382" i="17"/>
  <c r="AG1382" i="17"/>
  <c r="AO1382" i="17"/>
  <c r="Q1384" i="17"/>
  <c r="Y1384" i="17"/>
  <c r="AG1384" i="17"/>
  <c r="AO1384" i="17"/>
  <c r="Q1386" i="17"/>
  <c r="Y1386" i="17"/>
  <c r="AG1386" i="17"/>
  <c r="AO1386" i="17"/>
  <c r="Q1388" i="17"/>
  <c r="Y1388" i="17"/>
  <c r="AG1388" i="17"/>
  <c r="AO1388" i="17"/>
  <c r="Q1390" i="17"/>
  <c r="Y1390" i="17"/>
  <c r="AG1390" i="17"/>
  <c r="AO1390" i="17"/>
  <c r="Q1392" i="17"/>
  <c r="Y1392" i="17"/>
  <c r="AG1392" i="17"/>
  <c r="AO1392" i="17"/>
  <c r="Q1394" i="17"/>
  <c r="Y1394" i="17"/>
  <c r="AG1394" i="17"/>
  <c r="AO1394" i="17"/>
  <c r="Q1396" i="17"/>
  <c r="Y1396" i="17"/>
  <c r="AG1396" i="17"/>
  <c r="AO1396" i="17"/>
  <c r="Q1398" i="17"/>
  <c r="Y1398" i="17"/>
  <c r="AG1398" i="17"/>
  <c r="AO1398" i="17"/>
  <c r="Q1400" i="17"/>
  <c r="Y1400" i="17"/>
  <c r="AG1400" i="17"/>
  <c r="AO1400" i="17"/>
  <c r="Q1402" i="17"/>
  <c r="Y1402" i="17"/>
  <c r="AG1402" i="17"/>
  <c r="AO1402" i="17"/>
  <c r="Q1404" i="17"/>
  <c r="Y1404" i="17"/>
  <c r="AG1404" i="17"/>
  <c r="AO1404" i="17"/>
  <c r="Q1406" i="17"/>
  <c r="Y1406" i="17"/>
  <c r="AG1406" i="17"/>
  <c r="Q1408" i="17"/>
  <c r="Y1408" i="17"/>
  <c r="AG1408" i="17"/>
  <c r="AO1408" i="17"/>
  <c r="Q1410" i="17"/>
  <c r="Y1410" i="17"/>
  <c r="AG1410" i="17"/>
  <c r="AO1410" i="17"/>
  <c r="Q1412" i="17"/>
  <c r="Y1412" i="17"/>
  <c r="AG1412" i="17"/>
  <c r="AO1412" i="17"/>
  <c r="Q1414" i="17"/>
  <c r="Y1414" i="17"/>
  <c r="AG1414" i="17"/>
  <c r="AO1414" i="17"/>
  <c r="Q1416" i="17"/>
  <c r="Y1416" i="17"/>
  <c r="AG1416" i="17"/>
  <c r="AO1416" i="17"/>
  <c r="Q1418" i="17"/>
  <c r="Y1418" i="17"/>
  <c r="AG1418" i="17"/>
  <c r="AO1418" i="17"/>
  <c r="Q1420" i="17"/>
  <c r="Y1420" i="17"/>
  <c r="AG1420" i="17"/>
  <c r="AO1420" i="17"/>
  <c r="Q1422" i="17"/>
  <c r="Y1422" i="17"/>
  <c r="AG1422" i="17"/>
  <c r="AO1422" i="17"/>
  <c r="Q1424" i="17"/>
  <c r="Y1424" i="17"/>
  <c r="AG1424" i="17"/>
  <c r="AO1424" i="17"/>
  <c r="Q1426" i="17"/>
  <c r="Y1426" i="17"/>
  <c r="AG1426" i="17"/>
  <c r="AO1426" i="17"/>
  <c r="Q1428" i="17"/>
  <c r="Y1428" i="17"/>
  <c r="AG1428" i="17"/>
  <c r="AO1428" i="17"/>
  <c r="Q1430" i="17"/>
  <c r="Y1430" i="17"/>
  <c r="AG1430" i="17"/>
  <c r="AO1430" i="17"/>
  <c r="Q1432" i="17"/>
  <c r="Y1432" i="17"/>
  <c r="AG1432" i="17"/>
  <c r="AO1432" i="17"/>
  <c r="Q1434" i="17"/>
  <c r="Y1434" i="17"/>
  <c r="AG1434" i="17"/>
  <c r="AO1434" i="17"/>
  <c r="Q1436" i="17"/>
  <c r="Y1436" i="17"/>
  <c r="AG1436" i="17"/>
  <c r="AO1436" i="17"/>
  <c r="Q1438" i="17"/>
  <c r="Y1438" i="17"/>
  <c r="AG1438" i="17"/>
  <c r="AO1438" i="17"/>
  <c r="Q1440" i="17"/>
  <c r="Y1440" i="17"/>
  <c r="AG1440" i="17"/>
  <c r="AO1440" i="17"/>
  <c r="Q1442" i="17"/>
  <c r="Y1442" i="17"/>
  <c r="AG1442" i="17"/>
  <c r="AO1442" i="17"/>
  <c r="Q1444" i="17"/>
  <c r="Y1444" i="17"/>
  <c r="AG1444" i="17"/>
  <c r="AO1444" i="17"/>
  <c r="Q1446" i="17"/>
  <c r="Y1446" i="17"/>
  <c r="AG1446" i="17"/>
  <c r="Q1448" i="17"/>
  <c r="Y1448" i="17"/>
  <c r="AG1448" i="17"/>
  <c r="Q1450" i="17"/>
  <c r="Y1450" i="17"/>
  <c r="AG1450" i="17"/>
  <c r="Q1452" i="17"/>
  <c r="Y1452" i="17"/>
  <c r="AG1452" i="17"/>
  <c r="Q1454" i="17"/>
  <c r="Y1454" i="17"/>
  <c r="AG1454" i="17"/>
  <c r="Q1456" i="17"/>
  <c r="Y1456" i="17"/>
  <c r="AG1456" i="17"/>
  <c r="AO1456" i="17"/>
  <c r="Q1458" i="17"/>
  <c r="Y1458" i="17"/>
  <c r="AG1458" i="17"/>
  <c r="AO1458" i="17"/>
  <c r="Q1460" i="17"/>
  <c r="Y1460" i="17"/>
  <c r="AG1460" i="17"/>
  <c r="AO1460" i="17"/>
  <c r="Q1462" i="17"/>
  <c r="Y1462" i="17"/>
  <c r="AG1462" i="17"/>
  <c r="AO1462" i="17"/>
  <c r="Q1464" i="17"/>
  <c r="Y1464" i="17"/>
  <c r="AG1464" i="17"/>
  <c r="AO1464" i="17"/>
  <c r="Q1466" i="17"/>
  <c r="Y1466" i="17"/>
  <c r="AG1466" i="17"/>
  <c r="AO1466" i="17"/>
  <c r="Q1468" i="17"/>
  <c r="Y1468" i="17"/>
  <c r="AG1468" i="17"/>
  <c r="AO1468" i="17"/>
  <c r="Q1470" i="17"/>
  <c r="Y1470" i="17"/>
  <c r="AG1470" i="17"/>
  <c r="AO1470" i="17"/>
  <c r="Q1472" i="17"/>
  <c r="Y1472" i="17"/>
  <c r="AG1472" i="17"/>
  <c r="AO1472" i="17"/>
  <c r="Q1474" i="17"/>
  <c r="Y1474" i="17"/>
  <c r="AG1474" i="17"/>
  <c r="AO1474" i="17"/>
  <c r="Q1476" i="17"/>
  <c r="Y1476" i="17"/>
  <c r="AG1476" i="17"/>
  <c r="AO1476" i="17"/>
  <c r="Q1478" i="17"/>
  <c r="Y1478" i="17"/>
  <c r="AG1478" i="17"/>
  <c r="AO1478" i="17"/>
  <c r="Q1480" i="17"/>
  <c r="Y1480" i="17"/>
  <c r="AG1480" i="17"/>
  <c r="AO1480" i="17"/>
  <c r="Q1482" i="17"/>
  <c r="Y1482" i="17"/>
  <c r="AG1482" i="17"/>
  <c r="AO1482" i="17"/>
  <c r="Q1484" i="17"/>
  <c r="Y1484" i="17"/>
  <c r="AG1484" i="17"/>
  <c r="AO1484" i="17"/>
  <c r="Q1486" i="17"/>
  <c r="Y1486" i="17"/>
  <c r="AG1486" i="17"/>
  <c r="Q1488" i="17"/>
  <c r="Y1488" i="17"/>
  <c r="AG1488" i="17"/>
  <c r="Q1490" i="17"/>
  <c r="Y1490" i="17"/>
  <c r="AG1490" i="17"/>
  <c r="Q1492" i="17"/>
  <c r="Y1492" i="17"/>
  <c r="AG1492" i="17"/>
  <c r="Q1494" i="17"/>
  <c r="Y1494" i="17"/>
  <c r="AG1494" i="17"/>
  <c r="Q1496" i="17"/>
  <c r="Y1496" i="17"/>
  <c r="AG1496" i="17"/>
  <c r="Q1498" i="17"/>
  <c r="Y1498" i="17"/>
  <c r="AG1498" i="17"/>
  <c r="Q1500" i="17"/>
  <c r="Y1500" i="17"/>
  <c r="AG1500" i="17"/>
  <c r="Q1502" i="17"/>
  <c r="Y1502" i="17"/>
  <c r="AG1502" i="17"/>
  <c r="Q1504" i="17"/>
  <c r="Y1504" i="17"/>
  <c r="AG1504" i="17"/>
  <c r="Q1506" i="17"/>
  <c r="Y1506" i="17"/>
  <c r="AG1506" i="17"/>
  <c r="Q1508" i="17"/>
  <c r="Y1508" i="17"/>
  <c r="AG1508" i="17"/>
  <c r="Q1510" i="17"/>
  <c r="Y1510" i="17"/>
  <c r="AG1510" i="17"/>
  <c r="Q1512" i="17"/>
  <c r="Y1512" i="17"/>
  <c r="AG1512" i="17"/>
  <c r="Q1514" i="17"/>
  <c r="Y1514" i="17"/>
  <c r="AG1514" i="17"/>
  <c r="Q1516" i="17"/>
  <c r="Y1516" i="17"/>
  <c r="AG1516" i="17"/>
  <c r="Q1518" i="17"/>
  <c r="Y1518" i="17"/>
  <c r="AG1518" i="17"/>
  <c r="Q1520" i="17"/>
  <c r="Y1520" i="17"/>
  <c r="AG1520" i="17"/>
  <c r="Q1522" i="17"/>
  <c r="Y1522" i="17"/>
  <c r="AG1522" i="17"/>
  <c r="Q1524" i="17"/>
  <c r="Y1524" i="17"/>
  <c r="AG1524" i="17"/>
  <c r="Q1526" i="17"/>
  <c r="Y1526" i="17"/>
  <c r="AG1526" i="17"/>
  <c r="Q1528" i="17"/>
  <c r="Y1528" i="17"/>
  <c r="AG1528" i="17"/>
  <c r="Q1530" i="17"/>
  <c r="Y1530" i="17"/>
  <c r="AG1530" i="17"/>
  <c r="Q1532" i="17"/>
  <c r="Y1532" i="17"/>
  <c r="AG1532" i="17"/>
  <c r="Q1534" i="17"/>
  <c r="Y1534" i="17"/>
  <c r="AG1534" i="17"/>
  <c r="Q1536" i="17"/>
  <c r="Y1536" i="17"/>
  <c r="AG1536" i="17"/>
  <c r="Q1538" i="17"/>
  <c r="Y1538" i="17"/>
  <c r="AG1538" i="17"/>
  <c r="Q1540" i="17"/>
  <c r="Y1540" i="17"/>
  <c r="AG1540" i="17"/>
  <c r="Q1542" i="17"/>
  <c r="Y1542" i="17"/>
  <c r="AG1542" i="17"/>
  <c r="Q1544" i="17"/>
  <c r="Y1544" i="17"/>
  <c r="AG1544" i="17"/>
  <c r="Q1546" i="17"/>
  <c r="Y1546" i="17"/>
  <c r="AG1546" i="17"/>
  <c r="Q1548" i="17"/>
  <c r="Y1548" i="17"/>
  <c r="AG1548" i="17"/>
  <c r="Q1550" i="17"/>
  <c r="Y1550" i="17"/>
  <c r="AG1550" i="17"/>
  <c r="Q1552" i="17"/>
  <c r="Y1552" i="17"/>
  <c r="AG1552" i="17"/>
  <c r="Q1554" i="17"/>
  <c r="Y1554" i="17"/>
  <c r="AG1554" i="17"/>
  <c r="Q1556" i="17"/>
  <c r="Y1556" i="17"/>
  <c r="AG1556" i="17"/>
  <c r="Q1558" i="17"/>
  <c r="Y1558" i="17"/>
  <c r="AG1558" i="17"/>
  <c r="Q1560" i="17"/>
  <c r="Y1560" i="17"/>
  <c r="AG1560" i="17"/>
  <c r="Q1562" i="17"/>
  <c r="Y1562" i="17"/>
  <c r="AG1562" i="17"/>
  <c r="Q1564" i="17"/>
  <c r="Y1564" i="17"/>
  <c r="AG1564" i="17"/>
  <c r="Q1566" i="17"/>
  <c r="Y1566" i="17"/>
  <c r="AG1566" i="17"/>
  <c r="Q1568" i="17"/>
  <c r="Y1568" i="17"/>
  <c r="AG1568" i="17"/>
  <c r="Q1570" i="17"/>
  <c r="Y1570" i="17"/>
  <c r="AG1570" i="17"/>
  <c r="Q1572" i="17"/>
  <c r="Y1572" i="17"/>
  <c r="AG1572" i="17"/>
  <c r="Q1574" i="17"/>
  <c r="Y1574" i="17"/>
  <c r="AG1574" i="17"/>
  <c r="Q1576" i="17"/>
  <c r="Y1576" i="17"/>
  <c r="AG1576" i="17"/>
  <c r="Q1578" i="17"/>
  <c r="Y1578" i="17"/>
  <c r="AG1578" i="17"/>
  <c r="Q1580" i="17"/>
  <c r="Y1580" i="17"/>
  <c r="AG1580" i="17"/>
  <c r="Q1582" i="17"/>
  <c r="Y1582" i="17"/>
  <c r="AG1582" i="17"/>
  <c r="Q1584" i="17"/>
  <c r="Y1584" i="17"/>
  <c r="AG1584" i="17"/>
  <c r="Q1586" i="17"/>
  <c r="Y1586" i="17"/>
  <c r="AG1586" i="17"/>
  <c r="Q1588" i="17"/>
  <c r="Y1588" i="17"/>
  <c r="AG1588" i="17"/>
  <c r="Q1590" i="17"/>
  <c r="Y1590" i="17"/>
  <c r="AG1590" i="17"/>
  <c r="Q1592" i="17"/>
  <c r="Y1592" i="17"/>
  <c r="AG1592" i="17"/>
  <c r="Q1594" i="17"/>
  <c r="Y1594" i="17"/>
  <c r="AG1594" i="17"/>
  <c r="Q1596" i="17"/>
  <c r="Y1596" i="17"/>
  <c r="AG1596" i="17"/>
  <c r="Q1598" i="17"/>
  <c r="Y1598" i="17"/>
  <c r="AG1598" i="17"/>
  <c r="Q1600" i="17"/>
  <c r="Y1600" i="17"/>
  <c r="AG1600" i="17"/>
  <c r="Q1602" i="17"/>
  <c r="Y1602" i="17"/>
  <c r="AG1602" i="17"/>
  <c r="Q1604" i="17"/>
  <c r="Y1604" i="17"/>
  <c r="AG1604" i="17"/>
  <c r="Q1606" i="17"/>
  <c r="Y1606" i="17"/>
  <c r="AG1606" i="17"/>
  <c r="Q1608" i="17"/>
  <c r="Y1608" i="17"/>
  <c r="AG1608" i="17"/>
  <c r="Q1610" i="17"/>
  <c r="Y1610" i="17"/>
  <c r="AG1610" i="17"/>
  <c r="Q1612" i="17"/>
  <c r="Y1612" i="17"/>
  <c r="AG1612" i="17"/>
  <c r="Q1614" i="17"/>
  <c r="Y1614" i="17"/>
  <c r="AG1614" i="17"/>
  <c r="Q1616" i="17"/>
  <c r="Y1616" i="17"/>
  <c r="AG1616" i="17"/>
  <c r="AR1618" i="17"/>
  <c r="AJ1618" i="17"/>
  <c r="Q1618" i="17"/>
  <c r="Y1618" i="17"/>
  <c r="AG1618" i="17"/>
  <c r="AP1618" i="17"/>
  <c r="R1630" i="17"/>
  <c r="AD1630" i="17"/>
  <c r="AK1632" i="17"/>
  <c r="AC1632" i="17"/>
  <c r="U1632" i="17"/>
  <c r="M1632" i="17"/>
  <c r="AR1632" i="17"/>
  <c r="AJ1632" i="17"/>
  <c r="AB1632" i="17"/>
  <c r="T1632" i="17"/>
  <c r="L1632" i="17"/>
  <c r="S1632" i="17"/>
  <c r="AE1632" i="17"/>
  <c r="AO1632" i="17"/>
  <c r="R1646" i="17"/>
  <c r="AD1646" i="17"/>
  <c r="AK1648" i="17"/>
  <c r="AC1648" i="17"/>
  <c r="U1648" i="17"/>
  <c r="M1648" i="17"/>
  <c r="AR1648" i="17"/>
  <c r="AJ1648" i="17"/>
  <c r="AB1648" i="17"/>
  <c r="T1648" i="17"/>
  <c r="L1648" i="17"/>
  <c r="S1648" i="17"/>
  <c r="AE1648" i="17"/>
  <c r="AO1648" i="17"/>
  <c r="R1662" i="17"/>
  <c r="AD1662" i="17"/>
  <c r="AK1664" i="17"/>
  <c r="AC1664" i="17"/>
  <c r="U1664" i="17"/>
  <c r="M1664" i="17"/>
  <c r="AR1664" i="17"/>
  <c r="AJ1664" i="17"/>
  <c r="AB1664" i="17"/>
  <c r="T1664" i="17"/>
  <c r="L1664" i="17"/>
  <c r="S1664" i="17"/>
  <c r="AE1664" i="17"/>
  <c r="AO1664" i="17"/>
  <c r="R1678" i="17"/>
  <c r="AD1678" i="17"/>
  <c r="AK1680" i="17"/>
  <c r="AC1680" i="17"/>
  <c r="U1680" i="17"/>
  <c r="M1680" i="17"/>
  <c r="AR1680" i="17"/>
  <c r="AJ1680" i="17"/>
  <c r="AB1680" i="17"/>
  <c r="T1680" i="17"/>
  <c r="L1680" i="17"/>
  <c r="S1680" i="17"/>
  <c r="AE1680" i="17"/>
  <c r="AO1680" i="17"/>
  <c r="AK1690" i="17"/>
  <c r="AC1690" i="17"/>
  <c r="U1690" i="17"/>
  <c r="M1690" i="17"/>
  <c r="AR1690" i="17"/>
  <c r="AJ1690" i="17"/>
  <c r="AB1690" i="17"/>
  <c r="T1690" i="17"/>
  <c r="L1690" i="17"/>
  <c r="S1690" i="17"/>
  <c r="AE1690" i="17"/>
  <c r="AO1690" i="17"/>
  <c r="R1696" i="17"/>
  <c r="AD1696" i="17"/>
  <c r="AK1706" i="17"/>
  <c r="AC1706" i="17"/>
  <c r="U1706" i="17"/>
  <c r="M1706" i="17"/>
  <c r="AR1706" i="17"/>
  <c r="AJ1706" i="17"/>
  <c r="AB1706" i="17"/>
  <c r="T1706" i="17"/>
  <c r="L1706" i="17"/>
  <c r="S1706" i="17"/>
  <c r="AE1706" i="17"/>
  <c r="AO1706" i="17"/>
  <c r="R1712" i="17"/>
  <c r="AD1712" i="17"/>
  <c r="AL1724" i="17"/>
  <c r="AD1724" i="17"/>
  <c r="V1724" i="17"/>
  <c r="N1724" i="17"/>
  <c r="AK1724" i="17"/>
  <c r="AC1724" i="17"/>
  <c r="U1724" i="17"/>
  <c r="M1724" i="17"/>
  <c r="AQ1724" i="17"/>
  <c r="AG1724" i="17"/>
  <c r="W1724" i="17"/>
  <c r="K1724" i="17"/>
  <c r="AP1724" i="17"/>
  <c r="AF1724" i="17"/>
  <c r="T1724" i="17"/>
  <c r="J1724" i="17"/>
  <c r="Y1724" i="17"/>
  <c r="AM1724" i="17"/>
  <c r="AL1734" i="17"/>
  <c r="AD1734" i="17"/>
  <c r="V1734" i="17"/>
  <c r="N1734" i="17"/>
  <c r="AK1734" i="17"/>
  <c r="AC1734" i="17"/>
  <c r="U1734" i="17"/>
  <c r="M1734" i="17"/>
  <c r="AN1734" i="17"/>
  <c r="AB1734" i="17"/>
  <c r="R1734" i="17"/>
  <c r="AM1734" i="17"/>
  <c r="AA1734" i="17"/>
  <c r="Q1734" i="17"/>
  <c r="W1734" i="17"/>
  <c r="AI1734" i="17"/>
  <c r="T1782" i="17"/>
  <c r="AL1784" i="17"/>
  <c r="AD1784" i="17"/>
  <c r="V1784" i="17"/>
  <c r="N1784" i="17"/>
  <c r="AK1784" i="17"/>
  <c r="AC1784" i="17"/>
  <c r="U1784" i="17"/>
  <c r="M1784" i="17"/>
  <c r="AI1784" i="17"/>
  <c r="Y1784" i="17"/>
  <c r="O1784" i="17"/>
  <c r="AR1784" i="17"/>
  <c r="AH1784" i="17"/>
  <c r="X1784" i="17"/>
  <c r="L1784" i="17"/>
  <c r="W1784" i="17"/>
  <c r="AM1784" i="17"/>
  <c r="AL1786" i="17"/>
  <c r="AD1786" i="17"/>
  <c r="V1786" i="17"/>
  <c r="N1786" i="17"/>
  <c r="AK1786" i="17"/>
  <c r="AC1786" i="17"/>
  <c r="U1786" i="17"/>
  <c r="M1786" i="17"/>
  <c r="AJ1786" i="17"/>
  <c r="Z1786" i="17"/>
  <c r="P1786" i="17"/>
  <c r="AI1786" i="17"/>
  <c r="Y1786" i="17"/>
  <c r="O1786" i="17"/>
  <c r="W1786" i="17"/>
  <c r="AM1786" i="17"/>
  <c r="T1788" i="17"/>
  <c r="AL1847" i="17"/>
  <c r="AD1847" i="17"/>
  <c r="V1847" i="17"/>
  <c r="N1847" i="17"/>
  <c r="AK1847" i="17"/>
  <c r="AC1847" i="17"/>
  <c r="U1847" i="17"/>
  <c r="M1847" i="17"/>
  <c r="AI1847" i="17"/>
  <c r="Y1847" i="17"/>
  <c r="O1847" i="17"/>
  <c r="AR1847" i="17"/>
  <c r="AH1847" i="17"/>
  <c r="X1847" i="17"/>
  <c r="L1847" i="17"/>
  <c r="AG1847" i="17"/>
  <c r="S1847" i="17"/>
  <c r="AF1847" i="17"/>
  <c r="R1847" i="17"/>
  <c r="AA1847" i="17"/>
  <c r="AQ1847" i="17"/>
  <c r="AL1851" i="17"/>
  <c r="AD1851" i="17"/>
  <c r="V1851" i="17"/>
  <c r="N1851" i="17"/>
  <c r="AK1851" i="17"/>
  <c r="AC1851" i="17"/>
  <c r="U1851" i="17"/>
  <c r="M1851" i="17"/>
  <c r="AM1851" i="17"/>
  <c r="AA1851" i="17"/>
  <c r="Q1851" i="17"/>
  <c r="AJ1851" i="17"/>
  <c r="Z1851" i="17"/>
  <c r="P1851" i="17"/>
  <c r="AR1851" i="17"/>
  <c r="AF1851" i="17"/>
  <c r="R1851" i="17"/>
  <c r="AQ1851" i="17"/>
  <c r="AE1851" i="17"/>
  <c r="O1851" i="17"/>
  <c r="Y1851" i="17"/>
  <c r="AR1882" i="17"/>
  <c r="AJ1882" i="17"/>
  <c r="AB1882" i="17"/>
  <c r="T1882" i="17"/>
  <c r="L1882" i="17"/>
  <c r="AM1882" i="17"/>
  <c r="AD1882" i="17"/>
  <c r="U1882" i="17"/>
  <c r="K1882" i="17"/>
  <c r="AL1882" i="17"/>
  <c r="AC1882" i="17"/>
  <c r="S1882" i="17"/>
  <c r="J1882" i="17"/>
  <c r="AK1882" i="17"/>
  <c r="Y1882" i="17"/>
  <c r="N1882" i="17"/>
  <c r="AI1882" i="17"/>
  <c r="X1882" i="17"/>
  <c r="M1882" i="17"/>
  <c r="AO1882" i="17"/>
  <c r="W1882" i="17"/>
  <c r="AN1882" i="17"/>
  <c r="V1882" i="17"/>
  <c r="AF1882" i="17"/>
  <c r="AN1885" i="17"/>
  <c r="AF1885" i="17"/>
  <c r="X1885" i="17"/>
  <c r="P1885" i="17"/>
  <c r="AO1885" i="17"/>
  <c r="AE1885" i="17"/>
  <c r="V1885" i="17"/>
  <c r="M1885" i="17"/>
  <c r="AM1885" i="17"/>
  <c r="AD1885" i="17"/>
  <c r="U1885" i="17"/>
  <c r="L1885" i="17"/>
  <c r="AL1885" i="17"/>
  <c r="AA1885" i="17"/>
  <c r="O1885" i="17"/>
  <c r="AK1885" i="17"/>
  <c r="Z1885" i="17"/>
  <c r="N1885" i="17"/>
  <c r="AC1885" i="17"/>
  <c r="K1885" i="17"/>
  <c r="AR1885" i="17"/>
  <c r="AB1885" i="17"/>
  <c r="J1885" i="17"/>
  <c r="AH1885" i="17"/>
  <c r="AR1888" i="17"/>
  <c r="AJ1888" i="17"/>
  <c r="AB1888" i="17"/>
  <c r="T1888" i="17"/>
  <c r="L1888" i="17"/>
  <c r="AP1888" i="17"/>
  <c r="AG1888" i="17"/>
  <c r="X1888" i="17"/>
  <c r="O1888" i="17"/>
  <c r="AO1888" i="17"/>
  <c r="AF1888" i="17"/>
  <c r="W1888" i="17"/>
  <c r="N1888" i="17"/>
  <c r="AN1888" i="17"/>
  <c r="AC1888" i="17"/>
  <c r="Q1888" i="17"/>
  <c r="AM1888" i="17"/>
  <c r="AA1888" i="17"/>
  <c r="P1888" i="17"/>
  <c r="AI1888" i="17"/>
  <c r="S1888" i="17"/>
  <c r="AH1888" i="17"/>
  <c r="R1888" i="17"/>
  <c r="AD1888" i="17"/>
  <c r="J1360" i="17"/>
  <c r="R1360" i="17"/>
  <c r="Z1360" i="17"/>
  <c r="AH1360" i="17"/>
  <c r="J1362" i="17"/>
  <c r="R1362" i="17"/>
  <c r="Z1362" i="17"/>
  <c r="AH1362" i="17"/>
  <c r="J1364" i="17"/>
  <c r="R1364" i="17"/>
  <c r="Z1364" i="17"/>
  <c r="AH1364" i="17"/>
  <c r="J1366" i="17"/>
  <c r="R1366" i="17"/>
  <c r="Z1366" i="17"/>
  <c r="AH1366" i="17"/>
  <c r="Z1368" i="17"/>
  <c r="AH1368" i="17"/>
  <c r="J1370" i="17"/>
  <c r="R1370" i="17"/>
  <c r="Z1370" i="17"/>
  <c r="AH1370" i="17"/>
  <c r="J1372" i="17"/>
  <c r="R1372" i="17"/>
  <c r="Z1372" i="17"/>
  <c r="AH1372" i="17"/>
  <c r="J1374" i="17"/>
  <c r="R1374" i="17"/>
  <c r="Z1374" i="17"/>
  <c r="AH1374" i="17"/>
  <c r="J1376" i="17"/>
  <c r="R1376" i="17"/>
  <c r="Z1376" i="17"/>
  <c r="AH1376" i="17"/>
  <c r="J1378" i="17"/>
  <c r="R1378" i="17"/>
  <c r="Z1378" i="17"/>
  <c r="AH1378" i="17"/>
  <c r="J1380" i="17"/>
  <c r="R1380" i="17"/>
  <c r="Z1380" i="17"/>
  <c r="AH1380" i="17"/>
  <c r="J1382" i="17"/>
  <c r="R1382" i="17"/>
  <c r="Z1382" i="17"/>
  <c r="AH1382" i="17"/>
  <c r="J1384" i="17"/>
  <c r="R1384" i="17"/>
  <c r="Z1384" i="17"/>
  <c r="AH1384" i="17"/>
  <c r="J1386" i="17"/>
  <c r="R1386" i="17"/>
  <c r="Z1386" i="17"/>
  <c r="AH1386" i="17"/>
  <c r="J1388" i="17"/>
  <c r="R1388" i="17"/>
  <c r="Z1388" i="17"/>
  <c r="AH1388" i="17"/>
  <c r="J1390" i="17"/>
  <c r="R1390" i="17"/>
  <c r="Z1390" i="17"/>
  <c r="AH1390" i="17"/>
  <c r="J1392" i="17"/>
  <c r="R1392" i="17"/>
  <c r="Z1392" i="17"/>
  <c r="AH1392" i="17"/>
  <c r="Z1394" i="17"/>
  <c r="AH1394" i="17"/>
  <c r="J1396" i="17"/>
  <c r="R1396" i="17"/>
  <c r="Z1396" i="17"/>
  <c r="AH1396" i="17"/>
  <c r="J1398" i="17"/>
  <c r="R1398" i="17"/>
  <c r="Z1398" i="17"/>
  <c r="AH1398" i="17"/>
  <c r="J1400" i="17"/>
  <c r="R1400" i="17"/>
  <c r="Z1400" i="17"/>
  <c r="AH1400" i="17"/>
  <c r="J1402" i="17"/>
  <c r="R1402" i="17"/>
  <c r="Z1402" i="17"/>
  <c r="AH1402" i="17"/>
  <c r="AH1408" i="17"/>
  <c r="J1412" i="17"/>
  <c r="R1412" i="17"/>
  <c r="Z1412" i="17"/>
  <c r="AH1412" i="17"/>
  <c r="J1414" i="17"/>
  <c r="R1414" i="17"/>
  <c r="Z1414" i="17"/>
  <c r="AH1414" i="17"/>
  <c r="J1416" i="17"/>
  <c r="R1416" i="17"/>
  <c r="Z1416" i="17"/>
  <c r="AH1416" i="17"/>
  <c r="R1418" i="17"/>
  <c r="Z1418" i="17"/>
  <c r="AH1418" i="17"/>
  <c r="R1420" i="17"/>
  <c r="Z1420" i="17"/>
  <c r="AH1420" i="17"/>
  <c r="J1422" i="17"/>
  <c r="R1422" i="17"/>
  <c r="Z1422" i="17"/>
  <c r="AH1422" i="17"/>
  <c r="J1424" i="17"/>
  <c r="R1424" i="17"/>
  <c r="Z1424" i="17"/>
  <c r="AH1424" i="17"/>
  <c r="J1426" i="17"/>
  <c r="R1426" i="17"/>
  <c r="Z1426" i="17"/>
  <c r="AH1426" i="17"/>
  <c r="J1428" i="17"/>
  <c r="R1428" i="17"/>
  <c r="Z1428" i="17"/>
  <c r="AH1428" i="17"/>
  <c r="J1430" i="17"/>
  <c r="R1430" i="17"/>
  <c r="Z1430" i="17"/>
  <c r="AH1430" i="17"/>
  <c r="J1432" i="17"/>
  <c r="R1432" i="17"/>
  <c r="Z1432" i="17"/>
  <c r="AH1432" i="17"/>
  <c r="J1434" i="17"/>
  <c r="R1434" i="17"/>
  <c r="Z1434" i="17"/>
  <c r="AH1434" i="17"/>
  <c r="J1436" i="17"/>
  <c r="R1436" i="17"/>
  <c r="Z1436" i="17"/>
  <c r="AH1436" i="17"/>
  <c r="J1438" i="17"/>
  <c r="R1438" i="17"/>
  <c r="Z1438" i="17"/>
  <c r="AH1438" i="17"/>
  <c r="J1440" i="17"/>
  <c r="R1440" i="17"/>
  <c r="Z1440" i="17"/>
  <c r="AH1440" i="17"/>
  <c r="J1442" i="17"/>
  <c r="R1442" i="17"/>
  <c r="Z1442" i="17"/>
  <c r="AH1442" i="17"/>
  <c r="R1444" i="17"/>
  <c r="Z1444" i="17"/>
  <c r="AH1444" i="17"/>
  <c r="AH1456" i="17"/>
  <c r="J1458" i="17"/>
  <c r="R1458" i="17"/>
  <c r="Z1458" i="17"/>
  <c r="AH1458" i="17"/>
  <c r="J1460" i="17"/>
  <c r="R1460" i="17"/>
  <c r="Z1460" i="17"/>
  <c r="AH1460" i="17"/>
  <c r="J1462" i="17"/>
  <c r="R1462" i="17"/>
  <c r="Z1462" i="17"/>
  <c r="AH1462" i="17"/>
  <c r="J1464" i="17"/>
  <c r="R1464" i="17"/>
  <c r="Z1464" i="17"/>
  <c r="AH1464" i="17"/>
  <c r="J1466" i="17"/>
  <c r="R1466" i="17"/>
  <c r="Z1466" i="17"/>
  <c r="AH1466" i="17"/>
  <c r="J1468" i="17"/>
  <c r="R1468" i="17"/>
  <c r="Z1468" i="17"/>
  <c r="AH1468" i="17"/>
  <c r="J1470" i="17"/>
  <c r="R1470" i="17"/>
  <c r="Z1470" i="17"/>
  <c r="AH1470" i="17"/>
  <c r="J1472" i="17"/>
  <c r="R1472" i="17"/>
  <c r="Z1472" i="17"/>
  <c r="AH1472" i="17"/>
  <c r="J1474" i="17"/>
  <c r="R1474" i="17"/>
  <c r="Z1474" i="17"/>
  <c r="AH1474" i="17"/>
  <c r="J1476" i="17"/>
  <c r="R1476" i="17"/>
  <c r="Z1476" i="17"/>
  <c r="AH1476" i="17"/>
  <c r="J1478" i="17"/>
  <c r="R1478" i="17"/>
  <c r="Z1478" i="17"/>
  <c r="AH1478" i="17"/>
  <c r="J1480" i="17"/>
  <c r="R1480" i="17"/>
  <c r="Z1480" i="17"/>
  <c r="AH1480" i="17"/>
  <c r="J1482" i="17"/>
  <c r="R1482" i="17"/>
  <c r="Z1482" i="17"/>
  <c r="AH1482" i="17"/>
  <c r="AK1630" i="17"/>
  <c r="AC1630" i="17"/>
  <c r="U1630" i="17"/>
  <c r="M1630" i="17"/>
  <c r="AR1630" i="17"/>
  <c r="AJ1630" i="17"/>
  <c r="AB1630" i="17"/>
  <c r="T1630" i="17"/>
  <c r="L1630" i="17"/>
  <c r="S1630" i="17"/>
  <c r="AE1630" i="17"/>
  <c r="AO1630" i="17"/>
  <c r="AK1646" i="17"/>
  <c r="AC1646" i="17"/>
  <c r="U1646" i="17"/>
  <c r="M1646" i="17"/>
  <c r="AR1646" i="17"/>
  <c r="AJ1646" i="17"/>
  <c r="AB1646" i="17"/>
  <c r="T1646" i="17"/>
  <c r="L1646" i="17"/>
  <c r="S1646" i="17"/>
  <c r="AE1646" i="17"/>
  <c r="AO1646" i="17"/>
  <c r="AK1662" i="17"/>
  <c r="AC1662" i="17"/>
  <c r="U1662" i="17"/>
  <c r="M1662" i="17"/>
  <c r="AR1662" i="17"/>
  <c r="AJ1662" i="17"/>
  <c r="AB1662" i="17"/>
  <c r="T1662" i="17"/>
  <c r="L1662" i="17"/>
  <c r="S1662" i="17"/>
  <c r="AE1662" i="17"/>
  <c r="AO1662" i="17"/>
  <c r="AK1678" i="17"/>
  <c r="AC1678" i="17"/>
  <c r="U1678" i="17"/>
  <c r="M1678" i="17"/>
  <c r="AR1678" i="17"/>
  <c r="AJ1678" i="17"/>
  <c r="AB1678" i="17"/>
  <c r="T1678" i="17"/>
  <c r="L1678" i="17"/>
  <c r="S1678" i="17"/>
  <c r="AE1678" i="17"/>
  <c r="AO1678" i="17"/>
  <c r="AK1696" i="17"/>
  <c r="AC1696" i="17"/>
  <c r="U1696" i="17"/>
  <c r="M1696" i="17"/>
  <c r="AR1696" i="17"/>
  <c r="AJ1696" i="17"/>
  <c r="AB1696" i="17"/>
  <c r="T1696" i="17"/>
  <c r="L1696" i="17"/>
  <c r="S1696" i="17"/>
  <c r="AE1696" i="17"/>
  <c r="AO1696" i="17"/>
  <c r="AK1712" i="17"/>
  <c r="AC1712" i="17"/>
  <c r="U1712" i="17"/>
  <c r="M1712" i="17"/>
  <c r="AR1712" i="17"/>
  <c r="AJ1712" i="17"/>
  <c r="AB1712" i="17"/>
  <c r="T1712" i="17"/>
  <c r="L1712" i="17"/>
  <c r="S1712" i="17"/>
  <c r="AE1712" i="17"/>
  <c r="AO1712" i="17"/>
  <c r="AL1782" i="17"/>
  <c r="AD1782" i="17"/>
  <c r="V1782" i="17"/>
  <c r="N1782" i="17"/>
  <c r="AK1782" i="17"/>
  <c r="AC1782" i="17"/>
  <c r="U1782" i="17"/>
  <c r="M1782" i="17"/>
  <c r="AR1782" i="17"/>
  <c r="AH1782" i="17"/>
  <c r="X1782" i="17"/>
  <c r="L1782" i="17"/>
  <c r="AQ1782" i="17"/>
  <c r="AG1782" i="17"/>
  <c r="W1782" i="17"/>
  <c r="K1782" i="17"/>
  <c r="Y1782" i="17"/>
  <c r="AM1782" i="17"/>
  <c r="J1784" i="17"/>
  <c r="Z1784" i="17"/>
  <c r="AN1784" i="17"/>
  <c r="J1786" i="17"/>
  <c r="X1786" i="17"/>
  <c r="AN1786" i="17"/>
  <c r="AL1788" i="17"/>
  <c r="AD1788" i="17"/>
  <c r="V1788" i="17"/>
  <c r="N1788" i="17"/>
  <c r="AK1788" i="17"/>
  <c r="AC1788" i="17"/>
  <c r="U1788" i="17"/>
  <c r="M1788" i="17"/>
  <c r="AM1788" i="17"/>
  <c r="AA1788" i="17"/>
  <c r="Q1788" i="17"/>
  <c r="AJ1788" i="17"/>
  <c r="Z1788" i="17"/>
  <c r="P1788" i="17"/>
  <c r="W1788" i="17"/>
  <c r="AI1788" i="17"/>
  <c r="J1847" i="17"/>
  <c r="AB1847" i="17"/>
  <c r="J1851" i="17"/>
  <c r="AB1851" i="17"/>
  <c r="AR1870" i="17"/>
  <c r="AJ1870" i="17"/>
  <c r="AB1870" i="17"/>
  <c r="T1870" i="17"/>
  <c r="L1870" i="17"/>
  <c r="AO1870" i="17"/>
  <c r="AF1870" i="17"/>
  <c r="W1870" i="17"/>
  <c r="N1870" i="17"/>
  <c r="AN1870" i="17"/>
  <c r="AE1870" i="17"/>
  <c r="V1870" i="17"/>
  <c r="M1870" i="17"/>
  <c r="AK1870" i="17"/>
  <c r="Y1870" i="17"/>
  <c r="K1870" i="17"/>
  <c r="AI1870" i="17"/>
  <c r="X1870" i="17"/>
  <c r="J1870" i="17"/>
  <c r="AM1870" i="17"/>
  <c r="U1870" i="17"/>
  <c r="AL1870" i="17"/>
  <c r="S1870" i="17"/>
  <c r="AD1870" i="17"/>
  <c r="AN1873" i="17"/>
  <c r="AF1873" i="17"/>
  <c r="X1873" i="17"/>
  <c r="P1873" i="17"/>
  <c r="AQ1873" i="17"/>
  <c r="AH1873" i="17"/>
  <c r="Y1873" i="17"/>
  <c r="O1873" i="17"/>
  <c r="AP1873" i="17"/>
  <c r="AG1873" i="17"/>
  <c r="W1873" i="17"/>
  <c r="N1873" i="17"/>
  <c r="AL1873" i="17"/>
  <c r="AA1873" i="17"/>
  <c r="M1873" i="17"/>
  <c r="AK1873" i="17"/>
  <c r="Z1873" i="17"/>
  <c r="L1873" i="17"/>
  <c r="AC1873" i="17"/>
  <c r="K1873" i="17"/>
  <c r="AR1873" i="17"/>
  <c r="AB1873" i="17"/>
  <c r="J1873" i="17"/>
  <c r="AE1873" i="17"/>
  <c r="AR1876" i="17"/>
  <c r="AJ1876" i="17"/>
  <c r="AB1876" i="17"/>
  <c r="T1876" i="17"/>
  <c r="L1876" i="17"/>
  <c r="AI1876" i="17"/>
  <c r="Z1876" i="17"/>
  <c r="Q1876" i="17"/>
  <c r="AQ1876" i="17"/>
  <c r="AH1876" i="17"/>
  <c r="Y1876" i="17"/>
  <c r="P1876" i="17"/>
  <c r="AN1876" i="17"/>
  <c r="AC1876" i="17"/>
  <c r="O1876" i="17"/>
  <c r="AM1876" i="17"/>
  <c r="AA1876" i="17"/>
  <c r="N1876" i="17"/>
  <c r="AG1876" i="17"/>
  <c r="S1876" i="17"/>
  <c r="AF1876" i="17"/>
  <c r="R1876" i="17"/>
  <c r="AD1876" i="17"/>
  <c r="AK1900" i="17"/>
  <c r="AC1900" i="17"/>
  <c r="U1900" i="17"/>
  <c r="M1900" i="17"/>
  <c r="AR1900" i="17"/>
  <c r="AJ1900" i="17"/>
  <c r="AB1900" i="17"/>
  <c r="T1900" i="17"/>
  <c r="L1900" i="17"/>
  <c r="AI1900" i="17"/>
  <c r="Y1900" i="17"/>
  <c r="O1900" i="17"/>
  <c r="AH1900" i="17"/>
  <c r="X1900" i="17"/>
  <c r="N1900" i="17"/>
  <c r="AO1900" i="17"/>
  <c r="AA1900" i="17"/>
  <c r="K1900" i="17"/>
  <c r="AN1900" i="17"/>
  <c r="Z1900" i="17"/>
  <c r="J1900" i="17"/>
  <c r="AL1900" i="17"/>
  <c r="R1900" i="17"/>
  <c r="AG1900" i="17"/>
  <c r="Q1900" i="17"/>
  <c r="AM1900" i="17"/>
  <c r="AL1925" i="17"/>
  <c r="AD1925" i="17"/>
  <c r="V1925" i="17"/>
  <c r="N1925" i="17"/>
  <c r="AO1925" i="17"/>
  <c r="AF1925" i="17"/>
  <c r="W1925" i="17"/>
  <c r="M1925" i="17"/>
  <c r="AN1925" i="17"/>
  <c r="AE1925" i="17"/>
  <c r="U1925" i="17"/>
  <c r="L1925" i="17"/>
  <c r="AK1925" i="17"/>
  <c r="Z1925" i="17"/>
  <c r="O1925" i="17"/>
  <c r="AJ1925" i="17"/>
  <c r="Y1925" i="17"/>
  <c r="K1925" i="17"/>
  <c r="AI1925" i="17"/>
  <c r="S1925" i="17"/>
  <c r="AH1925" i="17"/>
  <c r="R1925" i="17"/>
  <c r="AP1925" i="17"/>
  <c r="Q1925" i="17"/>
  <c r="AM1925" i="17"/>
  <c r="P1925" i="17"/>
  <c r="AQ1925" i="17"/>
  <c r="AK1989" i="17"/>
  <c r="AC1989" i="17"/>
  <c r="U1989" i="17"/>
  <c r="M1989" i="17"/>
  <c r="AO1989" i="17"/>
  <c r="AF1989" i="17"/>
  <c r="W1989" i="17"/>
  <c r="N1989" i="17"/>
  <c r="AI1989" i="17"/>
  <c r="Y1989" i="17"/>
  <c r="O1989" i="17"/>
  <c r="AR1989" i="17"/>
  <c r="AH1989" i="17"/>
  <c r="X1989" i="17"/>
  <c r="L1989" i="17"/>
  <c r="AG1989" i="17"/>
  <c r="S1989" i="17"/>
  <c r="AE1989" i="17"/>
  <c r="R1989" i="17"/>
  <c r="AD1989" i="17"/>
  <c r="K1989" i="17"/>
  <c r="AB1989" i="17"/>
  <c r="J1989" i="17"/>
  <c r="AN1989" i="17"/>
  <c r="Q1989" i="17"/>
  <c r="AM1989" i="17"/>
  <c r="P1989" i="17"/>
  <c r="AA1989" i="17"/>
  <c r="Z1989" i="17"/>
  <c r="V1989" i="17"/>
  <c r="T1989" i="17"/>
  <c r="P1619" i="17"/>
  <c r="X1619" i="17"/>
  <c r="AF1619" i="17"/>
  <c r="AN1619" i="17"/>
  <c r="P1621" i="17"/>
  <c r="X1621" i="17"/>
  <c r="AF1621" i="17"/>
  <c r="AN1621" i="17"/>
  <c r="P1623" i="17"/>
  <c r="X1623" i="17"/>
  <c r="AF1623" i="17"/>
  <c r="AN1623" i="17"/>
  <c r="P1625" i="17"/>
  <c r="X1625" i="17"/>
  <c r="AF1625" i="17"/>
  <c r="AN1625" i="17"/>
  <c r="P1627" i="17"/>
  <c r="X1627" i="17"/>
  <c r="AF1627" i="17"/>
  <c r="AN1627" i="17"/>
  <c r="P1629" i="17"/>
  <c r="X1629" i="17"/>
  <c r="AF1629" i="17"/>
  <c r="AN1629" i="17"/>
  <c r="P1631" i="17"/>
  <c r="X1631" i="17"/>
  <c r="AF1631" i="17"/>
  <c r="AN1631" i="17"/>
  <c r="P1633" i="17"/>
  <c r="X1633" i="17"/>
  <c r="AF1633" i="17"/>
  <c r="AN1633" i="17"/>
  <c r="P1635" i="17"/>
  <c r="X1635" i="17"/>
  <c r="AF1635" i="17"/>
  <c r="AN1635" i="17"/>
  <c r="P1637" i="17"/>
  <c r="X1637" i="17"/>
  <c r="AF1637" i="17"/>
  <c r="AN1637" i="17"/>
  <c r="P1639" i="17"/>
  <c r="X1639" i="17"/>
  <c r="AF1639" i="17"/>
  <c r="AN1639" i="17"/>
  <c r="P1641" i="17"/>
  <c r="X1641" i="17"/>
  <c r="AF1641" i="17"/>
  <c r="AN1641" i="17"/>
  <c r="P1643" i="17"/>
  <c r="X1643" i="17"/>
  <c r="AF1643" i="17"/>
  <c r="AN1643" i="17"/>
  <c r="P1645" i="17"/>
  <c r="X1645" i="17"/>
  <c r="AF1645" i="17"/>
  <c r="AN1645" i="17"/>
  <c r="P1647" i="17"/>
  <c r="X1647" i="17"/>
  <c r="AF1647" i="17"/>
  <c r="AN1647" i="17"/>
  <c r="P1649" i="17"/>
  <c r="X1649" i="17"/>
  <c r="AF1649" i="17"/>
  <c r="AN1649" i="17"/>
  <c r="P1651" i="17"/>
  <c r="X1651" i="17"/>
  <c r="AF1651" i="17"/>
  <c r="AN1651" i="17"/>
  <c r="P1653" i="17"/>
  <c r="X1653" i="17"/>
  <c r="AF1653" i="17"/>
  <c r="AN1653" i="17"/>
  <c r="P1655" i="17"/>
  <c r="X1655" i="17"/>
  <c r="AF1655" i="17"/>
  <c r="AN1655" i="17"/>
  <c r="P1657" i="17"/>
  <c r="X1657" i="17"/>
  <c r="AF1657" i="17"/>
  <c r="AN1657" i="17"/>
  <c r="P1659" i="17"/>
  <c r="X1659" i="17"/>
  <c r="AF1659" i="17"/>
  <c r="AN1659" i="17"/>
  <c r="P1661" i="17"/>
  <c r="X1661" i="17"/>
  <c r="AF1661" i="17"/>
  <c r="AN1661" i="17"/>
  <c r="P1663" i="17"/>
  <c r="X1663" i="17"/>
  <c r="AF1663" i="17"/>
  <c r="AN1663" i="17"/>
  <c r="P1665" i="17"/>
  <c r="X1665" i="17"/>
  <c r="AF1665" i="17"/>
  <c r="AN1665" i="17"/>
  <c r="P1667" i="17"/>
  <c r="X1667" i="17"/>
  <c r="AF1667" i="17"/>
  <c r="AN1667" i="17"/>
  <c r="P1669" i="17"/>
  <c r="X1669" i="17"/>
  <c r="AF1669" i="17"/>
  <c r="AN1669" i="17"/>
  <c r="P1671" i="17"/>
  <c r="X1671" i="17"/>
  <c r="AF1671" i="17"/>
  <c r="AN1671" i="17"/>
  <c r="P1673" i="17"/>
  <c r="X1673" i="17"/>
  <c r="AF1673" i="17"/>
  <c r="AN1673" i="17"/>
  <c r="P1675" i="17"/>
  <c r="X1675" i="17"/>
  <c r="AF1675" i="17"/>
  <c r="AN1675" i="17"/>
  <c r="P1677" i="17"/>
  <c r="X1677" i="17"/>
  <c r="AF1677" i="17"/>
  <c r="AN1677" i="17"/>
  <c r="P1679" i="17"/>
  <c r="X1679" i="17"/>
  <c r="AF1679" i="17"/>
  <c r="AN1679" i="17"/>
  <c r="P1681" i="17"/>
  <c r="X1681" i="17"/>
  <c r="AF1681" i="17"/>
  <c r="AN1681" i="17"/>
  <c r="P1683" i="17"/>
  <c r="X1683" i="17"/>
  <c r="AF1683" i="17"/>
  <c r="AN1683" i="17"/>
  <c r="P1685" i="17"/>
  <c r="X1685" i="17"/>
  <c r="AF1685" i="17"/>
  <c r="AN1685" i="17"/>
  <c r="X1687" i="17"/>
  <c r="AF1687" i="17"/>
  <c r="AN1687" i="17"/>
  <c r="AL1722" i="17"/>
  <c r="AD1722" i="17"/>
  <c r="V1722" i="17"/>
  <c r="N1722" i="17"/>
  <c r="AK1722" i="17"/>
  <c r="AC1722" i="17"/>
  <c r="U1722" i="17"/>
  <c r="M1722" i="17"/>
  <c r="S1722" i="17"/>
  <c r="AE1722" i="17"/>
  <c r="AO1722" i="17"/>
  <c r="AL1738" i="17"/>
  <c r="AD1738" i="17"/>
  <c r="V1738" i="17"/>
  <c r="N1738" i="17"/>
  <c r="AK1738" i="17"/>
  <c r="AC1738" i="17"/>
  <c r="U1738" i="17"/>
  <c r="M1738" i="17"/>
  <c r="S1738" i="17"/>
  <c r="AE1738" i="17"/>
  <c r="AO1738" i="17"/>
  <c r="R1752" i="17"/>
  <c r="AB1752" i="17"/>
  <c r="AL1754" i="17"/>
  <c r="AD1754" i="17"/>
  <c r="V1754" i="17"/>
  <c r="N1754" i="17"/>
  <c r="AK1754" i="17"/>
  <c r="AC1754" i="17"/>
  <c r="U1754" i="17"/>
  <c r="M1754" i="17"/>
  <c r="S1754" i="17"/>
  <c r="AE1754" i="17"/>
  <c r="AO1754" i="17"/>
  <c r="R1758" i="17"/>
  <c r="AB1758" i="17"/>
  <c r="R1760" i="17"/>
  <c r="AB1760" i="17"/>
  <c r="AL1762" i="17"/>
  <c r="AD1762" i="17"/>
  <c r="V1762" i="17"/>
  <c r="N1762" i="17"/>
  <c r="AK1762" i="17"/>
  <c r="AC1762" i="17"/>
  <c r="U1762" i="17"/>
  <c r="M1762" i="17"/>
  <c r="S1762" i="17"/>
  <c r="AE1762" i="17"/>
  <c r="AO1762" i="17"/>
  <c r="R1776" i="17"/>
  <c r="AB1776" i="17"/>
  <c r="AL1778" i="17"/>
  <c r="AD1778" i="17"/>
  <c r="V1778" i="17"/>
  <c r="N1778" i="17"/>
  <c r="AK1778" i="17"/>
  <c r="AC1778" i="17"/>
  <c r="U1778" i="17"/>
  <c r="M1778" i="17"/>
  <c r="S1778" i="17"/>
  <c r="AE1778" i="17"/>
  <c r="AO1778" i="17"/>
  <c r="R1792" i="17"/>
  <c r="AB1792" i="17"/>
  <c r="AL1794" i="17"/>
  <c r="AD1794" i="17"/>
  <c r="V1794" i="17"/>
  <c r="N1794" i="17"/>
  <c r="AK1794" i="17"/>
  <c r="AC1794" i="17"/>
  <c r="U1794" i="17"/>
  <c r="M1794" i="17"/>
  <c r="S1794" i="17"/>
  <c r="AE1794" i="17"/>
  <c r="AO1794" i="17"/>
  <c r="R1808" i="17"/>
  <c r="AB1808" i="17"/>
  <c r="AL1810" i="17"/>
  <c r="AD1810" i="17"/>
  <c r="V1810" i="17"/>
  <c r="N1810" i="17"/>
  <c r="AK1810" i="17"/>
  <c r="AC1810" i="17"/>
  <c r="U1810" i="17"/>
  <c r="M1810" i="17"/>
  <c r="S1810" i="17"/>
  <c r="AE1810" i="17"/>
  <c r="AO1810" i="17"/>
  <c r="R1824" i="17"/>
  <c r="AB1824" i="17"/>
  <c r="AL1826" i="17"/>
  <c r="AD1826" i="17"/>
  <c r="V1826" i="17"/>
  <c r="N1826" i="17"/>
  <c r="AK1826" i="17"/>
  <c r="AC1826" i="17"/>
  <c r="U1826" i="17"/>
  <c r="M1826" i="17"/>
  <c r="S1826" i="17"/>
  <c r="AE1826" i="17"/>
  <c r="AO1826" i="17"/>
  <c r="AL1837" i="17"/>
  <c r="AD1837" i="17"/>
  <c r="V1837" i="17"/>
  <c r="N1837" i="17"/>
  <c r="AK1837" i="17"/>
  <c r="AC1837" i="17"/>
  <c r="U1837" i="17"/>
  <c r="M1837" i="17"/>
  <c r="AN1837" i="17"/>
  <c r="AB1837" i="17"/>
  <c r="R1837" i="17"/>
  <c r="AM1837" i="17"/>
  <c r="AA1837" i="17"/>
  <c r="Q1837" i="17"/>
  <c r="W1837" i="17"/>
  <c r="AI1837" i="17"/>
  <c r="T1861" i="17"/>
  <c r="AN1869" i="17"/>
  <c r="AF1869" i="17"/>
  <c r="X1869" i="17"/>
  <c r="AO1869" i="17"/>
  <c r="AE1869" i="17"/>
  <c r="V1869" i="17"/>
  <c r="N1869" i="17"/>
  <c r="AM1869" i="17"/>
  <c r="AD1869" i="17"/>
  <c r="U1869" i="17"/>
  <c r="M1869" i="17"/>
  <c r="AJ1869" i="17"/>
  <c r="Y1869" i="17"/>
  <c r="L1869" i="17"/>
  <c r="AI1869" i="17"/>
  <c r="W1869" i="17"/>
  <c r="K1869" i="17"/>
  <c r="Z1869" i="17"/>
  <c r="AP1869" i="17"/>
  <c r="V1874" i="17"/>
  <c r="Z1881" i="17"/>
  <c r="X1886" i="17"/>
  <c r="AN1891" i="17"/>
  <c r="AF1891" i="17"/>
  <c r="X1891" i="17"/>
  <c r="P1891" i="17"/>
  <c r="AR1891" i="17"/>
  <c r="AI1891" i="17"/>
  <c r="Z1891" i="17"/>
  <c r="Q1891" i="17"/>
  <c r="AQ1891" i="17"/>
  <c r="AH1891" i="17"/>
  <c r="Y1891" i="17"/>
  <c r="O1891" i="17"/>
  <c r="AP1891" i="17"/>
  <c r="AD1891" i="17"/>
  <c r="S1891" i="17"/>
  <c r="AO1891" i="17"/>
  <c r="AC1891" i="17"/>
  <c r="R1891" i="17"/>
  <c r="V1891" i="17"/>
  <c r="AL1891" i="17"/>
  <c r="AK1914" i="17"/>
  <c r="AC1914" i="17"/>
  <c r="U1914" i="17"/>
  <c r="M1914" i="17"/>
  <c r="AR1914" i="17"/>
  <c r="AJ1914" i="17"/>
  <c r="AB1914" i="17"/>
  <c r="T1914" i="17"/>
  <c r="L1914" i="17"/>
  <c r="AH1914" i="17"/>
  <c r="X1914" i="17"/>
  <c r="N1914" i="17"/>
  <c r="AQ1914" i="17"/>
  <c r="AG1914" i="17"/>
  <c r="W1914" i="17"/>
  <c r="K1914" i="17"/>
  <c r="AO1914" i="17"/>
  <c r="AA1914" i="17"/>
  <c r="O1914" i="17"/>
  <c r="AN1914" i="17"/>
  <c r="Z1914" i="17"/>
  <c r="J1914" i="17"/>
  <c r="AE1914" i="17"/>
  <c r="AN1951" i="17"/>
  <c r="AF1951" i="17"/>
  <c r="X1951" i="17"/>
  <c r="P1951" i="17"/>
  <c r="AP1951" i="17"/>
  <c r="AG1951" i="17"/>
  <c r="W1951" i="17"/>
  <c r="N1951" i="17"/>
  <c r="AO1951" i="17"/>
  <c r="AE1951" i="17"/>
  <c r="V1951" i="17"/>
  <c r="M1951" i="17"/>
  <c r="AK1951" i="17"/>
  <c r="Z1951" i="17"/>
  <c r="L1951" i="17"/>
  <c r="AJ1951" i="17"/>
  <c r="Y1951" i="17"/>
  <c r="K1951" i="17"/>
  <c r="AI1951" i="17"/>
  <c r="S1951" i="17"/>
  <c r="AH1951" i="17"/>
  <c r="R1951" i="17"/>
  <c r="AR1951" i="17"/>
  <c r="U1951" i="17"/>
  <c r="AQ1951" i="17"/>
  <c r="T1951" i="17"/>
  <c r="AL1951" i="17"/>
  <c r="AN1959" i="17"/>
  <c r="AF1959" i="17"/>
  <c r="X1959" i="17"/>
  <c r="P1959" i="17"/>
  <c r="AK1959" i="17"/>
  <c r="AB1959" i="17"/>
  <c r="S1959" i="17"/>
  <c r="J1959" i="17"/>
  <c r="AL1959" i="17"/>
  <c r="AA1959" i="17"/>
  <c r="Q1959" i="17"/>
  <c r="AJ1959" i="17"/>
  <c r="Z1959" i="17"/>
  <c r="O1959" i="17"/>
  <c r="AO1959" i="17"/>
  <c r="Y1959" i="17"/>
  <c r="L1959" i="17"/>
  <c r="AM1959" i="17"/>
  <c r="W1959" i="17"/>
  <c r="K1959" i="17"/>
  <c r="AQ1959" i="17"/>
  <c r="V1959" i="17"/>
  <c r="AP1959" i="17"/>
  <c r="U1959" i="17"/>
  <c r="AE1959" i="17"/>
  <c r="AD1959" i="17"/>
  <c r="AI1959" i="17"/>
  <c r="Q1619" i="17"/>
  <c r="Y1619" i="17"/>
  <c r="AG1619" i="17"/>
  <c r="Q1621" i="17"/>
  <c r="Y1621" i="17"/>
  <c r="AG1621" i="17"/>
  <c r="Q1623" i="17"/>
  <c r="Y1623" i="17"/>
  <c r="AG1623" i="17"/>
  <c r="Q1625" i="17"/>
  <c r="Y1625" i="17"/>
  <c r="AG1625" i="17"/>
  <c r="Q1627" i="17"/>
  <c r="Y1627" i="17"/>
  <c r="AG1627" i="17"/>
  <c r="Q1629" i="17"/>
  <c r="Y1629" i="17"/>
  <c r="AG1629" i="17"/>
  <c r="Q1631" i="17"/>
  <c r="Y1631" i="17"/>
  <c r="AG1631" i="17"/>
  <c r="Q1633" i="17"/>
  <c r="Y1633" i="17"/>
  <c r="AG1633" i="17"/>
  <c r="Q1635" i="17"/>
  <c r="Y1635" i="17"/>
  <c r="AG1635" i="17"/>
  <c r="Q1637" i="17"/>
  <c r="Y1637" i="17"/>
  <c r="AG1637" i="17"/>
  <c r="Q1639" i="17"/>
  <c r="Y1639" i="17"/>
  <c r="AG1639" i="17"/>
  <c r="Q1641" i="17"/>
  <c r="Y1641" i="17"/>
  <c r="AG1641" i="17"/>
  <c r="Q1643" i="17"/>
  <c r="Y1643" i="17"/>
  <c r="AG1643" i="17"/>
  <c r="Q1645" i="17"/>
  <c r="Y1645" i="17"/>
  <c r="AG1645" i="17"/>
  <c r="Q1647" i="17"/>
  <c r="Y1647" i="17"/>
  <c r="AG1647" i="17"/>
  <c r="Q1649" i="17"/>
  <c r="Y1649" i="17"/>
  <c r="AG1649" i="17"/>
  <c r="Q1651" i="17"/>
  <c r="Y1651" i="17"/>
  <c r="AG1651" i="17"/>
  <c r="Q1653" i="17"/>
  <c r="Y1653" i="17"/>
  <c r="AG1653" i="17"/>
  <c r="Q1655" i="17"/>
  <c r="Y1655" i="17"/>
  <c r="AG1655" i="17"/>
  <c r="Q1657" i="17"/>
  <c r="Y1657" i="17"/>
  <c r="AG1657" i="17"/>
  <c r="Q1659" i="17"/>
  <c r="Y1659" i="17"/>
  <c r="AG1659" i="17"/>
  <c r="Q1661" i="17"/>
  <c r="Y1661" i="17"/>
  <c r="AG1661" i="17"/>
  <c r="Q1663" i="17"/>
  <c r="Y1663" i="17"/>
  <c r="AG1663" i="17"/>
  <c r="Q1665" i="17"/>
  <c r="Y1665" i="17"/>
  <c r="AG1665" i="17"/>
  <c r="Q1667" i="17"/>
  <c r="Y1667" i="17"/>
  <c r="AG1667" i="17"/>
  <c r="Q1669" i="17"/>
  <c r="Y1669" i="17"/>
  <c r="AG1669" i="17"/>
  <c r="Q1671" i="17"/>
  <c r="Y1671" i="17"/>
  <c r="AG1671" i="17"/>
  <c r="Q1673" i="17"/>
  <c r="Y1673" i="17"/>
  <c r="AG1673" i="17"/>
  <c r="Q1675" i="17"/>
  <c r="Y1675" i="17"/>
  <c r="AG1675" i="17"/>
  <c r="Q1677" i="17"/>
  <c r="Y1677" i="17"/>
  <c r="AG1677" i="17"/>
  <c r="Q1679" i="17"/>
  <c r="Y1679" i="17"/>
  <c r="AG1679" i="17"/>
  <c r="Q1681" i="17"/>
  <c r="Y1681" i="17"/>
  <c r="AG1681" i="17"/>
  <c r="Q1683" i="17"/>
  <c r="Y1683" i="17"/>
  <c r="AG1683" i="17"/>
  <c r="Q1685" i="17"/>
  <c r="Y1685" i="17"/>
  <c r="AG1685" i="17"/>
  <c r="Q1687" i="17"/>
  <c r="Y1687" i="17"/>
  <c r="AG1687" i="17"/>
  <c r="Q1689" i="17"/>
  <c r="Y1689" i="17"/>
  <c r="AG1689" i="17"/>
  <c r="Q1691" i="17"/>
  <c r="Y1691" i="17"/>
  <c r="AG1691" i="17"/>
  <c r="Q1693" i="17"/>
  <c r="Y1693" i="17"/>
  <c r="AG1693" i="17"/>
  <c r="Q1695" i="17"/>
  <c r="Y1695" i="17"/>
  <c r="AG1695" i="17"/>
  <c r="Q1697" i="17"/>
  <c r="Y1697" i="17"/>
  <c r="AG1697" i="17"/>
  <c r="Q1699" i="17"/>
  <c r="Y1699" i="17"/>
  <c r="AG1699" i="17"/>
  <c r="Q1701" i="17"/>
  <c r="Y1701" i="17"/>
  <c r="AG1701" i="17"/>
  <c r="Q1703" i="17"/>
  <c r="Y1703" i="17"/>
  <c r="AG1703" i="17"/>
  <c r="Q1705" i="17"/>
  <c r="Y1705" i="17"/>
  <c r="AG1705" i="17"/>
  <c r="Q1707" i="17"/>
  <c r="Y1707" i="17"/>
  <c r="AG1707" i="17"/>
  <c r="Q1709" i="17"/>
  <c r="Y1709" i="17"/>
  <c r="AG1709" i="17"/>
  <c r="Q1711" i="17"/>
  <c r="Y1711" i="17"/>
  <c r="AG1711" i="17"/>
  <c r="Q1713" i="17"/>
  <c r="Y1713" i="17"/>
  <c r="AG1713" i="17"/>
  <c r="Q1715" i="17"/>
  <c r="Y1715" i="17"/>
  <c r="AG1715" i="17"/>
  <c r="Q1717" i="17"/>
  <c r="Y1717" i="17"/>
  <c r="AG1717" i="17"/>
  <c r="Q1719" i="17"/>
  <c r="Y1719" i="17"/>
  <c r="AG1719" i="17"/>
  <c r="J1722" i="17"/>
  <c r="T1722" i="17"/>
  <c r="AF1722" i="17"/>
  <c r="AP1722" i="17"/>
  <c r="AL1736" i="17"/>
  <c r="AD1736" i="17"/>
  <c r="V1736" i="17"/>
  <c r="N1736" i="17"/>
  <c r="AK1736" i="17"/>
  <c r="AC1736" i="17"/>
  <c r="U1736" i="17"/>
  <c r="M1736" i="17"/>
  <c r="S1736" i="17"/>
  <c r="AE1736" i="17"/>
  <c r="AO1736" i="17"/>
  <c r="J1738" i="17"/>
  <c r="T1738" i="17"/>
  <c r="AF1738" i="17"/>
  <c r="AP1738" i="17"/>
  <c r="AL1752" i="17"/>
  <c r="AD1752" i="17"/>
  <c r="V1752" i="17"/>
  <c r="N1752" i="17"/>
  <c r="AK1752" i="17"/>
  <c r="AC1752" i="17"/>
  <c r="U1752" i="17"/>
  <c r="M1752" i="17"/>
  <c r="S1752" i="17"/>
  <c r="AE1752" i="17"/>
  <c r="AO1752" i="17"/>
  <c r="AL1758" i="17"/>
  <c r="AD1758" i="17"/>
  <c r="V1758" i="17"/>
  <c r="N1758" i="17"/>
  <c r="AK1758" i="17"/>
  <c r="AC1758" i="17"/>
  <c r="U1758" i="17"/>
  <c r="M1758" i="17"/>
  <c r="S1758" i="17"/>
  <c r="AE1758" i="17"/>
  <c r="AO1758" i="17"/>
  <c r="AL1760" i="17"/>
  <c r="AD1760" i="17"/>
  <c r="V1760" i="17"/>
  <c r="N1760" i="17"/>
  <c r="AK1760" i="17"/>
  <c r="AC1760" i="17"/>
  <c r="U1760" i="17"/>
  <c r="M1760" i="17"/>
  <c r="S1760" i="17"/>
  <c r="AE1760" i="17"/>
  <c r="AO1760" i="17"/>
  <c r="AL1776" i="17"/>
  <c r="AD1776" i="17"/>
  <c r="V1776" i="17"/>
  <c r="N1776" i="17"/>
  <c r="AK1776" i="17"/>
  <c r="AC1776" i="17"/>
  <c r="U1776" i="17"/>
  <c r="M1776" i="17"/>
  <c r="S1776" i="17"/>
  <c r="AE1776" i="17"/>
  <c r="AO1776" i="17"/>
  <c r="AL1792" i="17"/>
  <c r="AD1792" i="17"/>
  <c r="V1792" i="17"/>
  <c r="N1792" i="17"/>
  <c r="AK1792" i="17"/>
  <c r="AC1792" i="17"/>
  <c r="U1792" i="17"/>
  <c r="M1792" i="17"/>
  <c r="S1792" i="17"/>
  <c r="AE1792" i="17"/>
  <c r="AO1792" i="17"/>
  <c r="AP1794" i="17"/>
  <c r="AL1808" i="17"/>
  <c r="AD1808" i="17"/>
  <c r="V1808" i="17"/>
  <c r="N1808" i="17"/>
  <c r="AK1808" i="17"/>
  <c r="AC1808" i="17"/>
  <c r="U1808" i="17"/>
  <c r="M1808" i="17"/>
  <c r="S1808" i="17"/>
  <c r="AE1808" i="17"/>
  <c r="AO1808" i="17"/>
  <c r="AL1824" i="17"/>
  <c r="AD1824" i="17"/>
  <c r="V1824" i="17"/>
  <c r="N1824" i="17"/>
  <c r="AK1824" i="17"/>
  <c r="AC1824" i="17"/>
  <c r="U1824" i="17"/>
  <c r="M1824" i="17"/>
  <c r="S1824" i="17"/>
  <c r="AE1824" i="17"/>
  <c r="AO1824" i="17"/>
  <c r="AL1861" i="17"/>
  <c r="AD1861" i="17"/>
  <c r="V1861" i="17"/>
  <c r="N1861" i="17"/>
  <c r="AK1861" i="17"/>
  <c r="AC1861" i="17"/>
  <c r="U1861" i="17"/>
  <c r="M1861" i="17"/>
  <c r="AR1861" i="17"/>
  <c r="AH1861" i="17"/>
  <c r="X1861" i="17"/>
  <c r="L1861" i="17"/>
  <c r="AQ1861" i="17"/>
  <c r="AG1861" i="17"/>
  <c r="W1861" i="17"/>
  <c r="K1861" i="17"/>
  <c r="Y1861" i="17"/>
  <c r="AM1861" i="17"/>
  <c r="AR1874" i="17"/>
  <c r="AJ1874" i="17"/>
  <c r="AB1874" i="17"/>
  <c r="T1874" i="17"/>
  <c r="L1874" i="17"/>
  <c r="AQ1874" i="17"/>
  <c r="AH1874" i="17"/>
  <c r="Y1874" i="17"/>
  <c r="P1874" i="17"/>
  <c r="AP1874" i="17"/>
  <c r="AG1874" i="17"/>
  <c r="X1874" i="17"/>
  <c r="O1874" i="17"/>
  <c r="AM1874" i="17"/>
  <c r="AA1874" i="17"/>
  <c r="N1874" i="17"/>
  <c r="AL1874" i="17"/>
  <c r="Z1874" i="17"/>
  <c r="M1874" i="17"/>
  <c r="W1874" i="17"/>
  <c r="AO1874" i="17"/>
  <c r="AN1881" i="17"/>
  <c r="AF1881" i="17"/>
  <c r="X1881" i="17"/>
  <c r="P1881" i="17"/>
  <c r="AL1881" i="17"/>
  <c r="AC1881" i="17"/>
  <c r="T1881" i="17"/>
  <c r="K1881" i="17"/>
  <c r="AK1881" i="17"/>
  <c r="AB1881" i="17"/>
  <c r="S1881" i="17"/>
  <c r="J1881" i="17"/>
  <c r="AJ1881" i="17"/>
  <c r="Y1881" i="17"/>
  <c r="M1881" i="17"/>
  <c r="AI1881" i="17"/>
  <c r="W1881" i="17"/>
  <c r="L1881" i="17"/>
  <c r="AA1881" i="17"/>
  <c r="AQ1881" i="17"/>
  <c r="AR1886" i="17"/>
  <c r="AJ1886" i="17"/>
  <c r="AB1886" i="17"/>
  <c r="T1886" i="17"/>
  <c r="L1886" i="17"/>
  <c r="AO1886" i="17"/>
  <c r="AF1886" i="17"/>
  <c r="W1886" i="17"/>
  <c r="N1886" i="17"/>
  <c r="AN1886" i="17"/>
  <c r="AE1886" i="17"/>
  <c r="V1886" i="17"/>
  <c r="M1886" i="17"/>
  <c r="AM1886" i="17"/>
  <c r="AA1886" i="17"/>
  <c r="P1886" i="17"/>
  <c r="AL1886" i="17"/>
  <c r="Z1886" i="17"/>
  <c r="O1886" i="17"/>
  <c r="Y1886" i="17"/>
  <c r="AQ1886" i="17"/>
  <c r="J1891" i="17"/>
  <c r="W1891" i="17"/>
  <c r="AM1891" i="17"/>
  <c r="P1914" i="17"/>
  <c r="AF1914" i="17"/>
  <c r="AP1924" i="17"/>
  <c r="AH1924" i="17"/>
  <c r="Z1924" i="17"/>
  <c r="R1924" i="17"/>
  <c r="J1924" i="17"/>
  <c r="AN1924" i="17"/>
  <c r="AE1924" i="17"/>
  <c r="V1924" i="17"/>
  <c r="M1924" i="17"/>
  <c r="AM1924" i="17"/>
  <c r="AD1924" i="17"/>
  <c r="U1924" i="17"/>
  <c r="L1924" i="17"/>
  <c r="AK1924" i="17"/>
  <c r="Y1924" i="17"/>
  <c r="N1924" i="17"/>
  <c r="AJ1924" i="17"/>
  <c r="X1924" i="17"/>
  <c r="K1924" i="17"/>
  <c r="AO1924" i="17"/>
  <c r="W1924" i="17"/>
  <c r="AL1924" i="17"/>
  <c r="T1924" i="17"/>
  <c r="AF1924" i="17"/>
  <c r="AL1949" i="17"/>
  <c r="AD1949" i="17"/>
  <c r="V1949" i="17"/>
  <c r="N1949" i="17"/>
  <c r="AK1949" i="17"/>
  <c r="AC1949" i="17"/>
  <c r="U1949" i="17"/>
  <c r="M1949" i="17"/>
  <c r="AQ1949" i="17"/>
  <c r="AG1949" i="17"/>
  <c r="W1949" i="17"/>
  <c r="K1949" i="17"/>
  <c r="AP1949" i="17"/>
  <c r="AF1949" i="17"/>
  <c r="T1949" i="17"/>
  <c r="J1949" i="17"/>
  <c r="AE1949" i="17"/>
  <c r="Q1949" i="17"/>
  <c r="AR1949" i="17"/>
  <c r="AB1949" i="17"/>
  <c r="P1949" i="17"/>
  <c r="Z1949" i="17"/>
  <c r="AO1949" i="17"/>
  <c r="Y1949" i="17"/>
  <c r="AI1949" i="17"/>
  <c r="J1951" i="17"/>
  <c r="AM1951" i="17"/>
  <c r="M1959" i="17"/>
  <c r="AR1959" i="17"/>
  <c r="AR1966" i="17"/>
  <c r="AJ1966" i="17"/>
  <c r="AB1966" i="17"/>
  <c r="T1966" i="17"/>
  <c r="L1966" i="17"/>
  <c r="AO1966" i="17"/>
  <c r="AF1966" i="17"/>
  <c r="W1966" i="17"/>
  <c r="N1966" i="17"/>
  <c r="AN1966" i="17"/>
  <c r="AE1966" i="17"/>
  <c r="V1966" i="17"/>
  <c r="M1966" i="17"/>
  <c r="AG1966" i="17"/>
  <c r="S1966" i="17"/>
  <c r="AQ1966" i="17"/>
  <c r="AD1966" i="17"/>
  <c r="R1966" i="17"/>
  <c r="AL1966" i="17"/>
  <c r="X1966" i="17"/>
  <c r="AK1966" i="17"/>
  <c r="U1966" i="17"/>
  <c r="AI1966" i="17"/>
  <c r="O1966" i="17"/>
  <c r="AH1966" i="17"/>
  <c r="K1966" i="17"/>
  <c r="Z1966" i="17"/>
  <c r="Y1966" i="17"/>
  <c r="AN1971" i="17"/>
  <c r="AF1971" i="17"/>
  <c r="X1971" i="17"/>
  <c r="P1971" i="17"/>
  <c r="AR1971" i="17"/>
  <c r="AI1971" i="17"/>
  <c r="Z1971" i="17"/>
  <c r="Q1971" i="17"/>
  <c r="AQ1971" i="17"/>
  <c r="AH1971" i="17"/>
  <c r="Y1971" i="17"/>
  <c r="O1971" i="17"/>
  <c r="AJ1971" i="17"/>
  <c r="V1971" i="17"/>
  <c r="K1971" i="17"/>
  <c r="AG1971" i="17"/>
  <c r="U1971" i="17"/>
  <c r="J1971" i="17"/>
  <c r="AK1971" i="17"/>
  <c r="S1971" i="17"/>
  <c r="AE1971" i="17"/>
  <c r="R1971" i="17"/>
  <c r="AP1971" i="17"/>
  <c r="W1971" i="17"/>
  <c r="AO1971" i="17"/>
  <c r="T1971" i="17"/>
  <c r="N1971" i="17"/>
  <c r="M1971" i="17"/>
  <c r="AK1981" i="17"/>
  <c r="AC1981" i="17"/>
  <c r="U1981" i="17"/>
  <c r="M1981" i="17"/>
  <c r="AO1981" i="17"/>
  <c r="AF1981" i="17"/>
  <c r="W1981" i="17"/>
  <c r="N1981" i="17"/>
  <c r="AI1981" i="17"/>
  <c r="Y1981" i="17"/>
  <c r="O1981" i="17"/>
  <c r="AR1981" i="17"/>
  <c r="AH1981" i="17"/>
  <c r="X1981" i="17"/>
  <c r="L1981" i="17"/>
  <c r="AN1981" i="17"/>
  <c r="AA1981" i="17"/>
  <c r="K1981" i="17"/>
  <c r="AM1981" i="17"/>
  <c r="Z1981" i="17"/>
  <c r="J1981" i="17"/>
  <c r="AG1981" i="17"/>
  <c r="Q1981" i="17"/>
  <c r="AE1981" i="17"/>
  <c r="P1981" i="17"/>
  <c r="AQ1981" i="17"/>
  <c r="S1981" i="17"/>
  <c r="AP1981" i="17"/>
  <c r="R1981" i="17"/>
  <c r="AL1981" i="17"/>
  <c r="AJ1981" i="17"/>
  <c r="Q1721" i="17"/>
  <c r="Y1721" i="17"/>
  <c r="AG1721" i="17"/>
  <c r="AO1721" i="17"/>
  <c r="Q1723" i="17"/>
  <c r="Y1723" i="17"/>
  <c r="AG1723" i="17"/>
  <c r="AO1723" i="17"/>
  <c r="Q1725" i="17"/>
  <c r="Y1725" i="17"/>
  <c r="AG1725" i="17"/>
  <c r="AO1725" i="17"/>
  <c r="Q1727" i="17"/>
  <c r="Y1727" i="17"/>
  <c r="AG1727" i="17"/>
  <c r="AO1727" i="17"/>
  <c r="Q1729" i="17"/>
  <c r="Y1729" i="17"/>
  <c r="AG1729" i="17"/>
  <c r="AO1729" i="17"/>
  <c r="Q1731" i="17"/>
  <c r="Y1731" i="17"/>
  <c r="AG1731" i="17"/>
  <c r="AO1731" i="17"/>
  <c r="Q1733" i="17"/>
  <c r="Y1733" i="17"/>
  <c r="AG1733" i="17"/>
  <c r="AO1733" i="17"/>
  <c r="Q1735" i="17"/>
  <c r="Y1735" i="17"/>
  <c r="AG1735" i="17"/>
  <c r="AO1735" i="17"/>
  <c r="Q1737" i="17"/>
  <c r="Y1737" i="17"/>
  <c r="AG1737" i="17"/>
  <c r="AO1737" i="17"/>
  <c r="Q1739" i="17"/>
  <c r="Y1739" i="17"/>
  <c r="AG1739" i="17"/>
  <c r="AO1739" i="17"/>
  <c r="Q1741" i="17"/>
  <c r="Y1741" i="17"/>
  <c r="AG1741" i="17"/>
  <c r="AO1741" i="17"/>
  <c r="Q1743" i="17"/>
  <c r="Y1743" i="17"/>
  <c r="AG1743" i="17"/>
  <c r="AO1743" i="17"/>
  <c r="Q1745" i="17"/>
  <c r="Y1745" i="17"/>
  <c r="AG1745" i="17"/>
  <c r="AO1745" i="17"/>
  <c r="Q1747" i="17"/>
  <c r="Y1747" i="17"/>
  <c r="AG1747" i="17"/>
  <c r="AO1747" i="17"/>
  <c r="Q1749" i="17"/>
  <c r="Y1749" i="17"/>
  <c r="AG1749" i="17"/>
  <c r="AO1749" i="17"/>
  <c r="Q1751" i="17"/>
  <c r="Y1751" i="17"/>
  <c r="AG1751" i="17"/>
  <c r="AO1751" i="17"/>
  <c r="Q1753" i="17"/>
  <c r="Y1753" i="17"/>
  <c r="AG1753" i="17"/>
  <c r="AO1753" i="17"/>
  <c r="Q1755" i="17"/>
  <c r="Y1755" i="17"/>
  <c r="AG1755" i="17"/>
  <c r="AO1755" i="17"/>
  <c r="Q1757" i="17"/>
  <c r="Y1757" i="17"/>
  <c r="AG1757" i="17"/>
  <c r="AO1757" i="17"/>
  <c r="Q1759" i="17"/>
  <c r="Y1759" i="17"/>
  <c r="AG1759" i="17"/>
  <c r="AO1759" i="17"/>
  <c r="Q1761" i="17"/>
  <c r="Y1761" i="17"/>
  <c r="AG1761" i="17"/>
  <c r="AO1761" i="17"/>
  <c r="Q1763" i="17"/>
  <c r="Y1763" i="17"/>
  <c r="AG1763" i="17"/>
  <c r="AO1763" i="17"/>
  <c r="Q1765" i="17"/>
  <c r="Y1765" i="17"/>
  <c r="AG1765" i="17"/>
  <c r="AO1765" i="17"/>
  <c r="Q1767" i="17"/>
  <c r="Y1767" i="17"/>
  <c r="AG1767" i="17"/>
  <c r="AO1767" i="17"/>
  <c r="Q1769" i="17"/>
  <c r="Y1769" i="17"/>
  <c r="AG1769" i="17"/>
  <c r="AO1769" i="17"/>
  <c r="Q1771" i="17"/>
  <c r="Y1771" i="17"/>
  <c r="AG1771" i="17"/>
  <c r="AO1771" i="17"/>
  <c r="Q1773" i="17"/>
  <c r="Y1773" i="17"/>
  <c r="AG1773" i="17"/>
  <c r="AO1773" i="17"/>
  <c r="Q1775" i="17"/>
  <c r="Y1775" i="17"/>
  <c r="AG1775" i="17"/>
  <c r="AO1775" i="17"/>
  <c r="Q1777" i="17"/>
  <c r="Y1777" i="17"/>
  <c r="AG1777" i="17"/>
  <c r="AO1777" i="17"/>
  <c r="Q1779" i="17"/>
  <c r="Y1779" i="17"/>
  <c r="AG1779" i="17"/>
  <c r="AO1779" i="17"/>
  <c r="Q1781" i="17"/>
  <c r="Y1781" i="17"/>
  <c r="AG1781" i="17"/>
  <c r="AO1781" i="17"/>
  <c r="Q1783" i="17"/>
  <c r="Y1783" i="17"/>
  <c r="AG1783" i="17"/>
  <c r="AO1783" i="17"/>
  <c r="Q1785" i="17"/>
  <c r="Y1785" i="17"/>
  <c r="AG1785" i="17"/>
  <c r="AO1785" i="17"/>
  <c r="Q1787" i="17"/>
  <c r="Y1787" i="17"/>
  <c r="AG1787" i="17"/>
  <c r="AO1787" i="17"/>
  <c r="Q1789" i="17"/>
  <c r="Y1789" i="17"/>
  <c r="AG1789" i="17"/>
  <c r="AO1789" i="17"/>
  <c r="Q1791" i="17"/>
  <c r="Y1791" i="17"/>
  <c r="AG1791" i="17"/>
  <c r="AO1791" i="17"/>
  <c r="Q1793" i="17"/>
  <c r="Y1793" i="17"/>
  <c r="AG1793" i="17"/>
  <c r="AO1793" i="17"/>
  <c r="Q1795" i="17"/>
  <c r="Y1795" i="17"/>
  <c r="AG1795" i="17"/>
  <c r="AO1795" i="17"/>
  <c r="Q1797" i="17"/>
  <c r="Y1797" i="17"/>
  <c r="AG1797" i="17"/>
  <c r="AO1797" i="17"/>
  <c r="Q1799" i="17"/>
  <c r="Y1799" i="17"/>
  <c r="AG1799" i="17"/>
  <c r="AO1799" i="17"/>
  <c r="Q1801" i="17"/>
  <c r="Y1801" i="17"/>
  <c r="AG1801" i="17"/>
  <c r="AO1801" i="17"/>
  <c r="Q1803" i="17"/>
  <c r="Y1803" i="17"/>
  <c r="AG1803" i="17"/>
  <c r="AO1803" i="17"/>
  <c r="Q1805" i="17"/>
  <c r="Y1805" i="17"/>
  <c r="AG1805" i="17"/>
  <c r="AO1805" i="17"/>
  <c r="Q1807" i="17"/>
  <c r="Y1807" i="17"/>
  <c r="AG1807" i="17"/>
  <c r="AO1807" i="17"/>
  <c r="Q1809" i="17"/>
  <c r="Y1809" i="17"/>
  <c r="AG1809" i="17"/>
  <c r="AO1809" i="17"/>
  <c r="Q1811" i="17"/>
  <c r="Y1811" i="17"/>
  <c r="AG1811" i="17"/>
  <c r="AO1811" i="17"/>
  <c r="Q1813" i="17"/>
  <c r="Y1813" i="17"/>
  <c r="AG1813" i="17"/>
  <c r="AO1813" i="17"/>
  <c r="Q1815" i="17"/>
  <c r="Y1815" i="17"/>
  <c r="AG1815" i="17"/>
  <c r="AO1815" i="17"/>
  <c r="Q1817" i="17"/>
  <c r="Y1817" i="17"/>
  <c r="AG1817" i="17"/>
  <c r="AO1817" i="17"/>
  <c r="Q1819" i="17"/>
  <c r="Y1819" i="17"/>
  <c r="AG1819" i="17"/>
  <c r="AO1819" i="17"/>
  <c r="Q1821" i="17"/>
  <c r="Y1821" i="17"/>
  <c r="AG1821" i="17"/>
  <c r="AO1821" i="17"/>
  <c r="Q1823" i="17"/>
  <c r="Y1823" i="17"/>
  <c r="AG1823" i="17"/>
  <c r="AO1823" i="17"/>
  <c r="Q1825" i="17"/>
  <c r="Y1825" i="17"/>
  <c r="AG1825" i="17"/>
  <c r="AO1825" i="17"/>
  <c r="Q1827" i="17"/>
  <c r="Y1827" i="17"/>
  <c r="AG1827" i="17"/>
  <c r="AO1827" i="17"/>
  <c r="Q1829" i="17"/>
  <c r="Y1829" i="17"/>
  <c r="AG1829" i="17"/>
  <c r="AO1829" i="17"/>
  <c r="AL1831" i="17"/>
  <c r="AK1831" i="17"/>
  <c r="AC1831" i="17"/>
  <c r="Q1831" i="17"/>
  <c r="Y1831" i="17"/>
  <c r="AH1831" i="17"/>
  <c r="AR1831" i="17"/>
  <c r="AL1841" i="17"/>
  <c r="AD1841" i="17"/>
  <c r="V1841" i="17"/>
  <c r="N1841" i="17"/>
  <c r="AK1841" i="17"/>
  <c r="AC1841" i="17"/>
  <c r="U1841" i="17"/>
  <c r="M1841" i="17"/>
  <c r="S1841" i="17"/>
  <c r="AE1841" i="17"/>
  <c r="AO1841" i="17"/>
  <c r="AL1857" i="17"/>
  <c r="AD1857" i="17"/>
  <c r="V1857" i="17"/>
  <c r="N1857" i="17"/>
  <c r="AK1857" i="17"/>
  <c r="AC1857" i="17"/>
  <c r="U1857" i="17"/>
  <c r="M1857" i="17"/>
  <c r="S1857" i="17"/>
  <c r="AE1857" i="17"/>
  <c r="AO1857" i="17"/>
  <c r="AK1896" i="17"/>
  <c r="AC1896" i="17"/>
  <c r="U1896" i="17"/>
  <c r="M1896" i="17"/>
  <c r="AR1896" i="17"/>
  <c r="AJ1896" i="17"/>
  <c r="AB1896" i="17"/>
  <c r="T1896" i="17"/>
  <c r="L1896" i="17"/>
  <c r="AQ1896" i="17"/>
  <c r="AG1896" i="17"/>
  <c r="W1896" i="17"/>
  <c r="K1896" i="17"/>
  <c r="AP1896" i="17"/>
  <c r="AF1896" i="17"/>
  <c r="V1896" i="17"/>
  <c r="J1896" i="17"/>
  <c r="Y1896" i="17"/>
  <c r="AM1896" i="17"/>
  <c r="AK1902" i="17"/>
  <c r="AC1902" i="17"/>
  <c r="U1902" i="17"/>
  <c r="M1902" i="17"/>
  <c r="AR1902" i="17"/>
  <c r="AJ1902" i="17"/>
  <c r="AB1902" i="17"/>
  <c r="T1902" i="17"/>
  <c r="L1902" i="17"/>
  <c r="AL1902" i="17"/>
  <c r="Z1902" i="17"/>
  <c r="P1902" i="17"/>
  <c r="AI1902" i="17"/>
  <c r="Y1902" i="17"/>
  <c r="O1902" i="17"/>
  <c r="W1902" i="17"/>
  <c r="AM1902" i="17"/>
  <c r="AK1912" i="17"/>
  <c r="AC1912" i="17"/>
  <c r="U1912" i="17"/>
  <c r="M1912" i="17"/>
  <c r="AR1912" i="17"/>
  <c r="AJ1912" i="17"/>
  <c r="AB1912" i="17"/>
  <c r="T1912" i="17"/>
  <c r="L1912" i="17"/>
  <c r="AQ1912" i="17"/>
  <c r="AG1912" i="17"/>
  <c r="W1912" i="17"/>
  <c r="K1912" i="17"/>
  <c r="AP1912" i="17"/>
  <c r="AF1912" i="17"/>
  <c r="V1912" i="17"/>
  <c r="J1912" i="17"/>
  <c r="Y1912" i="17"/>
  <c r="AM1912" i="17"/>
  <c r="AP1918" i="17"/>
  <c r="AK1918" i="17"/>
  <c r="AC1918" i="17"/>
  <c r="U1918" i="17"/>
  <c r="M1918" i="17"/>
  <c r="AJ1918" i="17"/>
  <c r="AB1918" i="17"/>
  <c r="T1918" i="17"/>
  <c r="L1918" i="17"/>
  <c r="AL1918" i="17"/>
  <c r="Z1918" i="17"/>
  <c r="P1918" i="17"/>
  <c r="AI1918" i="17"/>
  <c r="Y1918" i="17"/>
  <c r="O1918" i="17"/>
  <c r="W1918" i="17"/>
  <c r="AM1918" i="17"/>
  <c r="AL1939" i="17"/>
  <c r="AD1939" i="17"/>
  <c r="V1939" i="17"/>
  <c r="N1939" i="17"/>
  <c r="AK1939" i="17"/>
  <c r="AC1939" i="17"/>
  <c r="U1939" i="17"/>
  <c r="M1939" i="17"/>
  <c r="AJ1939" i="17"/>
  <c r="Z1939" i="17"/>
  <c r="P1939" i="17"/>
  <c r="AI1939" i="17"/>
  <c r="Y1939" i="17"/>
  <c r="O1939" i="17"/>
  <c r="AO1939" i="17"/>
  <c r="AA1939" i="17"/>
  <c r="K1939" i="17"/>
  <c r="AN1939" i="17"/>
  <c r="X1939" i="17"/>
  <c r="J1939" i="17"/>
  <c r="AE1939" i="17"/>
  <c r="AR1972" i="17"/>
  <c r="AJ1972" i="17"/>
  <c r="AB1972" i="17"/>
  <c r="T1972" i="17"/>
  <c r="L1972" i="17"/>
  <c r="AI1972" i="17"/>
  <c r="Z1972" i="17"/>
  <c r="Q1972" i="17"/>
  <c r="AQ1972" i="17"/>
  <c r="AH1972" i="17"/>
  <c r="Y1972" i="17"/>
  <c r="P1972" i="17"/>
  <c r="AK1972" i="17"/>
  <c r="W1972" i="17"/>
  <c r="K1972" i="17"/>
  <c r="AG1972" i="17"/>
  <c r="V1972" i="17"/>
  <c r="J1972" i="17"/>
  <c r="AE1972" i="17"/>
  <c r="O1972" i="17"/>
  <c r="AD1972" i="17"/>
  <c r="N1972" i="17"/>
  <c r="AC1972" i="17"/>
  <c r="AA1972" i="17"/>
  <c r="AM1972" i="17"/>
  <c r="J1721" i="17"/>
  <c r="R1721" i="17"/>
  <c r="Z1721" i="17"/>
  <c r="AH1721" i="17"/>
  <c r="J1723" i="17"/>
  <c r="R1723" i="17"/>
  <c r="Z1723" i="17"/>
  <c r="AH1723" i="17"/>
  <c r="J1725" i="17"/>
  <c r="R1725" i="17"/>
  <c r="Z1725" i="17"/>
  <c r="AH1725" i="17"/>
  <c r="J1727" i="17"/>
  <c r="R1727" i="17"/>
  <c r="Z1727" i="17"/>
  <c r="AH1727" i="17"/>
  <c r="J1729" i="17"/>
  <c r="R1729" i="17"/>
  <c r="Z1729" i="17"/>
  <c r="AH1729" i="17"/>
  <c r="J1731" i="17"/>
  <c r="R1731" i="17"/>
  <c r="Z1731" i="17"/>
  <c r="AH1731" i="17"/>
  <c r="J1733" i="17"/>
  <c r="R1733" i="17"/>
  <c r="Z1733" i="17"/>
  <c r="AH1733" i="17"/>
  <c r="J1735" i="17"/>
  <c r="R1735" i="17"/>
  <c r="Z1735" i="17"/>
  <c r="AH1735" i="17"/>
  <c r="J1737" i="17"/>
  <c r="R1737" i="17"/>
  <c r="Z1737" i="17"/>
  <c r="AH1737" i="17"/>
  <c r="J1739" i="17"/>
  <c r="R1739" i="17"/>
  <c r="Z1739" i="17"/>
  <c r="AH1739" i="17"/>
  <c r="J1741" i="17"/>
  <c r="R1741" i="17"/>
  <c r="Z1741" i="17"/>
  <c r="AH1741" i="17"/>
  <c r="J1743" i="17"/>
  <c r="R1743" i="17"/>
  <c r="Z1743" i="17"/>
  <c r="AH1743" i="17"/>
  <c r="J1745" i="17"/>
  <c r="R1745" i="17"/>
  <c r="Z1745" i="17"/>
  <c r="AH1745" i="17"/>
  <c r="J1747" i="17"/>
  <c r="R1747" i="17"/>
  <c r="Z1747" i="17"/>
  <c r="AH1747" i="17"/>
  <c r="J1749" i="17"/>
  <c r="R1749" i="17"/>
  <c r="Z1749" i="17"/>
  <c r="AH1749" i="17"/>
  <c r="J1751" i="17"/>
  <c r="R1751" i="17"/>
  <c r="Z1751" i="17"/>
  <c r="AH1751" i="17"/>
  <c r="J1753" i="17"/>
  <c r="R1753" i="17"/>
  <c r="Z1753" i="17"/>
  <c r="AH1753" i="17"/>
  <c r="J1755" i="17"/>
  <c r="R1755" i="17"/>
  <c r="Z1755" i="17"/>
  <c r="AH1755" i="17"/>
  <c r="AH1757" i="17"/>
  <c r="R1759" i="17"/>
  <c r="Z1759" i="17"/>
  <c r="AH1759" i="17"/>
  <c r="J1761" i="17"/>
  <c r="R1761" i="17"/>
  <c r="Z1761" i="17"/>
  <c r="AH1761" i="17"/>
  <c r="J1763" i="17"/>
  <c r="R1763" i="17"/>
  <c r="Z1763" i="17"/>
  <c r="AH1763" i="17"/>
  <c r="J1765" i="17"/>
  <c r="R1765" i="17"/>
  <c r="Z1765" i="17"/>
  <c r="AH1765" i="17"/>
  <c r="J1767" i="17"/>
  <c r="R1767" i="17"/>
  <c r="Z1767" i="17"/>
  <c r="AH1767" i="17"/>
  <c r="J1769" i="17"/>
  <c r="R1769" i="17"/>
  <c r="Z1769" i="17"/>
  <c r="AH1769" i="17"/>
  <c r="J1771" i="17"/>
  <c r="R1771" i="17"/>
  <c r="Z1771" i="17"/>
  <c r="AH1771" i="17"/>
  <c r="J1773" i="17"/>
  <c r="R1773" i="17"/>
  <c r="Z1773" i="17"/>
  <c r="AH1773" i="17"/>
  <c r="J1775" i="17"/>
  <c r="R1775" i="17"/>
  <c r="Z1775" i="17"/>
  <c r="AH1775" i="17"/>
  <c r="J1777" i="17"/>
  <c r="R1777" i="17"/>
  <c r="Z1777" i="17"/>
  <c r="AH1777" i="17"/>
  <c r="J1779" i="17"/>
  <c r="R1779" i="17"/>
  <c r="Z1779" i="17"/>
  <c r="AH1779" i="17"/>
  <c r="J1781" i="17"/>
  <c r="R1781" i="17"/>
  <c r="Z1781" i="17"/>
  <c r="AH1781" i="17"/>
  <c r="J1783" i="17"/>
  <c r="R1783" i="17"/>
  <c r="Z1783" i="17"/>
  <c r="AH1783" i="17"/>
  <c r="J1785" i="17"/>
  <c r="R1785" i="17"/>
  <c r="Z1785" i="17"/>
  <c r="AH1785" i="17"/>
  <c r="J1787" i="17"/>
  <c r="R1787" i="17"/>
  <c r="Z1787" i="17"/>
  <c r="AH1787" i="17"/>
  <c r="J1789" i="17"/>
  <c r="R1789" i="17"/>
  <c r="Z1789" i="17"/>
  <c r="AH1789" i="17"/>
  <c r="J1791" i="17"/>
  <c r="R1791" i="17"/>
  <c r="Z1791" i="17"/>
  <c r="AH1791" i="17"/>
  <c r="J1793" i="17"/>
  <c r="R1793" i="17"/>
  <c r="Z1793" i="17"/>
  <c r="AH1793" i="17"/>
  <c r="J1795" i="17"/>
  <c r="R1795" i="17"/>
  <c r="Z1795" i="17"/>
  <c r="AH1795" i="17"/>
  <c r="J1797" i="17"/>
  <c r="R1797" i="17"/>
  <c r="Z1797" i="17"/>
  <c r="AH1797" i="17"/>
  <c r="J1799" i="17"/>
  <c r="R1799" i="17"/>
  <c r="Z1799" i="17"/>
  <c r="AH1799" i="17"/>
  <c r="J1801" i="17"/>
  <c r="R1801" i="17"/>
  <c r="Z1801" i="17"/>
  <c r="AH1801" i="17"/>
  <c r="J1803" i="17"/>
  <c r="R1803" i="17"/>
  <c r="Z1803" i="17"/>
  <c r="AH1803" i="17"/>
  <c r="J1805" i="17"/>
  <c r="R1805" i="17"/>
  <c r="Z1805" i="17"/>
  <c r="AH1805" i="17"/>
  <c r="J1807" i="17"/>
  <c r="R1807" i="17"/>
  <c r="Z1807" i="17"/>
  <c r="AH1807" i="17"/>
  <c r="J1809" i="17"/>
  <c r="R1809" i="17"/>
  <c r="Z1809" i="17"/>
  <c r="AH1809" i="17"/>
  <c r="J1811" i="17"/>
  <c r="R1811" i="17"/>
  <c r="Z1811" i="17"/>
  <c r="AH1811" i="17"/>
  <c r="J1813" i="17"/>
  <c r="R1813" i="17"/>
  <c r="Z1813" i="17"/>
  <c r="AH1813" i="17"/>
  <c r="J1815" i="17"/>
  <c r="R1815" i="17"/>
  <c r="Z1815" i="17"/>
  <c r="AH1815" i="17"/>
  <c r="J1817" i="17"/>
  <c r="R1817" i="17"/>
  <c r="Z1817" i="17"/>
  <c r="AH1817" i="17"/>
  <c r="J1819" i="17"/>
  <c r="R1819" i="17"/>
  <c r="Z1819" i="17"/>
  <c r="AH1819" i="17"/>
  <c r="J1821" i="17"/>
  <c r="R1821" i="17"/>
  <c r="Z1821" i="17"/>
  <c r="AH1821" i="17"/>
  <c r="J1823" i="17"/>
  <c r="R1823" i="17"/>
  <c r="Z1823" i="17"/>
  <c r="AH1823" i="17"/>
  <c r="J1825" i="17"/>
  <c r="R1825" i="17"/>
  <c r="Z1825" i="17"/>
  <c r="AH1825" i="17"/>
  <c r="J1827" i="17"/>
  <c r="R1827" i="17"/>
  <c r="Z1827" i="17"/>
  <c r="AH1827" i="17"/>
  <c r="J1829" i="17"/>
  <c r="R1829" i="17"/>
  <c r="Z1829" i="17"/>
  <c r="AH1829" i="17"/>
  <c r="J1831" i="17"/>
  <c r="R1831" i="17"/>
  <c r="Z1831" i="17"/>
  <c r="AI1831" i="17"/>
  <c r="AL1839" i="17"/>
  <c r="AD1839" i="17"/>
  <c r="V1839" i="17"/>
  <c r="N1839" i="17"/>
  <c r="AK1839" i="17"/>
  <c r="AC1839" i="17"/>
  <c r="U1839" i="17"/>
  <c r="M1839" i="17"/>
  <c r="S1839" i="17"/>
  <c r="AE1839" i="17"/>
  <c r="AO1839" i="17"/>
  <c r="J1841" i="17"/>
  <c r="T1841" i="17"/>
  <c r="AF1841" i="17"/>
  <c r="AP1841" i="17"/>
  <c r="AL1855" i="17"/>
  <c r="AD1855" i="17"/>
  <c r="V1855" i="17"/>
  <c r="N1855" i="17"/>
  <c r="AK1855" i="17"/>
  <c r="AC1855" i="17"/>
  <c r="U1855" i="17"/>
  <c r="M1855" i="17"/>
  <c r="S1855" i="17"/>
  <c r="AE1855" i="17"/>
  <c r="AO1855" i="17"/>
  <c r="J1857" i="17"/>
  <c r="T1857" i="17"/>
  <c r="AF1857" i="17"/>
  <c r="AP1857" i="17"/>
  <c r="AL1865" i="17"/>
  <c r="AD1865" i="17"/>
  <c r="V1865" i="17"/>
  <c r="N1865" i="17"/>
  <c r="AK1865" i="17"/>
  <c r="AC1865" i="17"/>
  <c r="U1865" i="17"/>
  <c r="M1865" i="17"/>
  <c r="S1865" i="17"/>
  <c r="AE1865" i="17"/>
  <c r="AO1865" i="17"/>
  <c r="N1896" i="17"/>
  <c r="Z1896" i="17"/>
  <c r="AN1896" i="17"/>
  <c r="J1902" i="17"/>
  <c r="X1902" i="17"/>
  <c r="AN1902" i="17"/>
  <c r="AK1904" i="17"/>
  <c r="AC1904" i="17"/>
  <c r="U1904" i="17"/>
  <c r="M1904" i="17"/>
  <c r="AR1904" i="17"/>
  <c r="AJ1904" i="17"/>
  <c r="AB1904" i="17"/>
  <c r="T1904" i="17"/>
  <c r="L1904" i="17"/>
  <c r="AM1904" i="17"/>
  <c r="AA1904" i="17"/>
  <c r="Q1904" i="17"/>
  <c r="AL1904" i="17"/>
  <c r="Z1904" i="17"/>
  <c r="P1904" i="17"/>
  <c r="W1904" i="17"/>
  <c r="AI1904" i="17"/>
  <c r="N1912" i="17"/>
  <c r="Z1912" i="17"/>
  <c r="AN1912" i="17"/>
  <c r="J1918" i="17"/>
  <c r="X1918" i="17"/>
  <c r="AN1918" i="17"/>
  <c r="AL1923" i="17"/>
  <c r="AD1923" i="17"/>
  <c r="V1923" i="17"/>
  <c r="N1923" i="17"/>
  <c r="AN1923" i="17"/>
  <c r="AE1923" i="17"/>
  <c r="U1923" i="17"/>
  <c r="L1923" i="17"/>
  <c r="AM1923" i="17"/>
  <c r="AC1923" i="17"/>
  <c r="T1923" i="17"/>
  <c r="K1923" i="17"/>
  <c r="AJ1923" i="17"/>
  <c r="Y1923" i="17"/>
  <c r="M1923" i="17"/>
  <c r="AI1923" i="17"/>
  <c r="X1923" i="17"/>
  <c r="J1923" i="17"/>
  <c r="AA1923" i="17"/>
  <c r="AQ1923" i="17"/>
  <c r="L1939" i="17"/>
  <c r="AF1939" i="17"/>
  <c r="AN1955" i="17"/>
  <c r="AF1955" i="17"/>
  <c r="X1955" i="17"/>
  <c r="P1955" i="17"/>
  <c r="AR1955" i="17"/>
  <c r="AI1955" i="17"/>
  <c r="Z1955" i="17"/>
  <c r="Q1955" i="17"/>
  <c r="AL1955" i="17"/>
  <c r="AB1955" i="17"/>
  <c r="R1955" i="17"/>
  <c r="AK1955" i="17"/>
  <c r="AA1955" i="17"/>
  <c r="O1955" i="17"/>
  <c r="AQ1955" i="17"/>
  <c r="AD1955" i="17"/>
  <c r="N1955" i="17"/>
  <c r="AP1955" i="17"/>
  <c r="AC1955" i="17"/>
  <c r="M1955" i="17"/>
  <c r="AO1955" i="17"/>
  <c r="V1955" i="17"/>
  <c r="AM1955" i="17"/>
  <c r="U1955" i="17"/>
  <c r="AE1955" i="17"/>
  <c r="M1972" i="17"/>
  <c r="AN1972" i="17"/>
  <c r="Q1832" i="17"/>
  <c r="Y1832" i="17"/>
  <c r="AG1832" i="17"/>
  <c r="AO1832" i="17"/>
  <c r="Q1834" i="17"/>
  <c r="Y1834" i="17"/>
  <c r="AG1834" i="17"/>
  <c r="AO1834" i="17"/>
  <c r="Q1836" i="17"/>
  <c r="Y1836" i="17"/>
  <c r="AG1836" i="17"/>
  <c r="AO1836" i="17"/>
  <c r="Q1838" i="17"/>
  <c r="Y1838" i="17"/>
  <c r="AG1838" i="17"/>
  <c r="AO1838" i="17"/>
  <c r="Q1840" i="17"/>
  <c r="Y1840" i="17"/>
  <c r="AG1840" i="17"/>
  <c r="AO1840" i="17"/>
  <c r="Q1842" i="17"/>
  <c r="Y1842" i="17"/>
  <c r="AG1842" i="17"/>
  <c r="AO1842" i="17"/>
  <c r="Q1844" i="17"/>
  <c r="Y1844" i="17"/>
  <c r="AG1844" i="17"/>
  <c r="AO1844" i="17"/>
  <c r="Q1846" i="17"/>
  <c r="Y1846" i="17"/>
  <c r="AG1846" i="17"/>
  <c r="AO1846" i="17"/>
  <c r="Q1848" i="17"/>
  <c r="Y1848" i="17"/>
  <c r="AG1848" i="17"/>
  <c r="AO1848" i="17"/>
  <c r="Q1850" i="17"/>
  <c r="Y1850" i="17"/>
  <c r="AG1850" i="17"/>
  <c r="AO1850" i="17"/>
  <c r="Q1852" i="17"/>
  <c r="Y1852" i="17"/>
  <c r="AG1852" i="17"/>
  <c r="AO1852" i="17"/>
  <c r="Q1854" i="17"/>
  <c r="Y1854" i="17"/>
  <c r="AG1854" i="17"/>
  <c r="AO1854" i="17"/>
  <c r="Q1856" i="17"/>
  <c r="Y1856" i="17"/>
  <c r="AG1856" i="17"/>
  <c r="AO1856" i="17"/>
  <c r="Q1858" i="17"/>
  <c r="Y1858" i="17"/>
  <c r="AG1858" i="17"/>
  <c r="AO1858" i="17"/>
  <c r="Q1860" i="17"/>
  <c r="Y1860" i="17"/>
  <c r="AG1860" i="17"/>
  <c r="AO1860" i="17"/>
  <c r="Q1862" i="17"/>
  <c r="Y1862" i="17"/>
  <c r="AG1862" i="17"/>
  <c r="AO1862" i="17"/>
  <c r="Q1864" i="17"/>
  <c r="Y1864" i="17"/>
  <c r="AG1864" i="17"/>
  <c r="AO1864" i="17"/>
  <c r="Q1866" i="17"/>
  <c r="Y1866" i="17"/>
  <c r="AG1866" i="17"/>
  <c r="AO1866" i="17"/>
  <c r="Q1868" i="17"/>
  <c r="Y1868" i="17"/>
  <c r="AG1868" i="17"/>
  <c r="Q1877" i="17"/>
  <c r="Z1877" i="17"/>
  <c r="AI1877" i="17"/>
  <c r="Q1878" i="17"/>
  <c r="Z1878" i="17"/>
  <c r="AN1879" i="17"/>
  <c r="AF1879" i="17"/>
  <c r="X1879" i="17"/>
  <c r="P1879" i="17"/>
  <c r="R1879" i="17"/>
  <c r="AA1879" i="17"/>
  <c r="AJ1879" i="17"/>
  <c r="AR1880" i="17"/>
  <c r="AJ1880" i="17"/>
  <c r="AB1880" i="17"/>
  <c r="T1880" i="17"/>
  <c r="L1880" i="17"/>
  <c r="R1880" i="17"/>
  <c r="AA1880" i="17"/>
  <c r="AK1880" i="17"/>
  <c r="Q1893" i="17"/>
  <c r="Z1893" i="17"/>
  <c r="AI1893" i="17"/>
  <c r="Q1894" i="17"/>
  <c r="Z1894" i="17"/>
  <c r="AO1895" i="17"/>
  <c r="AN1895" i="17"/>
  <c r="AF1895" i="17"/>
  <c r="X1895" i="17"/>
  <c r="P1895" i="17"/>
  <c r="R1895" i="17"/>
  <c r="AA1895" i="17"/>
  <c r="AJ1895" i="17"/>
  <c r="R1908" i="17"/>
  <c r="AD1908" i="17"/>
  <c r="AK1910" i="17"/>
  <c r="AC1910" i="17"/>
  <c r="U1910" i="17"/>
  <c r="M1910" i="17"/>
  <c r="AR1910" i="17"/>
  <c r="AJ1910" i="17"/>
  <c r="AB1910" i="17"/>
  <c r="T1910" i="17"/>
  <c r="L1910" i="17"/>
  <c r="S1910" i="17"/>
  <c r="AE1910" i="17"/>
  <c r="AO1910" i="17"/>
  <c r="AL1921" i="17"/>
  <c r="AD1921" i="17"/>
  <c r="V1921" i="17"/>
  <c r="N1921" i="17"/>
  <c r="AM1921" i="17"/>
  <c r="AC1921" i="17"/>
  <c r="T1921" i="17"/>
  <c r="K1921" i="17"/>
  <c r="AK1921" i="17"/>
  <c r="AB1921" i="17"/>
  <c r="S1921" i="17"/>
  <c r="J1921" i="17"/>
  <c r="W1921" i="17"/>
  <c r="AH1921" i="17"/>
  <c r="AP1922" i="17"/>
  <c r="AH1922" i="17"/>
  <c r="Z1922" i="17"/>
  <c r="R1922" i="17"/>
  <c r="J1922" i="17"/>
  <c r="AM1922" i="17"/>
  <c r="AD1922" i="17"/>
  <c r="U1922" i="17"/>
  <c r="L1922" i="17"/>
  <c r="AL1922" i="17"/>
  <c r="AC1922" i="17"/>
  <c r="T1922" i="17"/>
  <c r="K1922" i="17"/>
  <c r="W1922" i="17"/>
  <c r="AI1922" i="17"/>
  <c r="X1933" i="17"/>
  <c r="AL1935" i="17"/>
  <c r="AD1935" i="17"/>
  <c r="V1935" i="17"/>
  <c r="N1935" i="17"/>
  <c r="AK1935" i="17"/>
  <c r="AC1935" i="17"/>
  <c r="U1935" i="17"/>
  <c r="M1935" i="17"/>
  <c r="AR1935" i="17"/>
  <c r="AH1935" i="17"/>
  <c r="X1935" i="17"/>
  <c r="L1935" i="17"/>
  <c r="AQ1935" i="17"/>
  <c r="AG1935" i="17"/>
  <c r="W1935" i="17"/>
  <c r="K1935" i="17"/>
  <c r="Y1935" i="17"/>
  <c r="AM1935" i="17"/>
  <c r="AL1941" i="17"/>
  <c r="AD1941" i="17"/>
  <c r="V1941" i="17"/>
  <c r="N1941" i="17"/>
  <c r="AK1941" i="17"/>
  <c r="AC1941" i="17"/>
  <c r="U1941" i="17"/>
  <c r="M1941" i="17"/>
  <c r="AM1941" i="17"/>
  <c r="AA1941" i="17"/>
  <c r="Q1941" i="17"/>
  <c r="AJ1941" i="17"/>
  <c r="Z1941" i="17"/>
  <c r="P1941" i="17"/>
  <c r="W1941" i="17"/>
  <c r="AI1941" i="17"/>
  <c r="T1943" i="17"/>
  <c r="V1954" i="17"/>
  <c r="J1832" i="17"/>
  <c r="R1832" i="17"/>
  <c r="Z1832" i="17"/>
  <c r="AH1832" i="17"/>
  <c r="J1834" i="17"/>
  <c r="R1834" i="17"/>
  <c r="Z1834" i="17"/>
  <c r="AH1834" i="17"/>
  <c r="J1836" i="17"/>
  <c r="R1836" i="17"/>
  <c r="Z1836" i="17"/>
  <c r="AH1836" i="17"/>
  <c r="J1838" i="17"/>
  <c r="R1838" i="17"/>
  <c r="Z1838" i="17"/>
  <c r="AH1838" i="17"/>
  <c r="J1840" i="17"/>
  <c r="R1840" i="17"/>
  <c r="Z1840" i="17"/>
  <c r="AH1840" i="17"/>
  <c r="J1842" i="17"/>
  <c r="R1842" i="17"/>
  <c r="Z1842" i="17"/>
  <c r="AH1842" i="17"/>
  <c r="J1844" i="17"/>
  <c r="R1844" i="17"/>
  <c r="Z1844" i="17"/>
  <c r="AH1844" i="17"/>
  <c r="J1846" i="17"/>
  <c r="R1846" i="17"/>
  <c r="Z1846" i="17"/>
  <c r="AH1846" i="17"/>
  <c r="J1848" i="17"/>
  <c r="R1848" i="17"/>
  <c r="Z1848" i="17"/>
  <c r="AH1848" i="17"/>
  <c r="J1850" i="17"/>
  <c r="R1850" i="17"/>
  <c r="Z1850" i="17"/>
  <c r="AH1850" i="17"/>
  <c r="J1852" i="17"/>
  <c r="R1852" i="17"/>
  <c r="Z1852" i="17"/>
  <c r="AH1852" i="17"/>
  <c r="J1854" i="17"/>
  <c r="R1854" i="17"/>
  <c r="Z1854" i="17"/>
  <c r="AH1854" i="17"/>
  <c r="J1856" i="17"/>
  <c r="R1856" i="17"/>
  <c r="Z1856" i="17"/>
  <c r="AH1856" i="17"/>
  <c r="J1858" i="17"/>
  <c r="R1858" i="17"/>
  <c r="Z1858" i="17"/>
  <c r="AH1858" i="17"/>
  <c r="J1860" i="17"/>
  <c r="R1860" i="17"/>
  <c r="Z1860" i="17"/>
  <c r="AH1860" i="17"/>
  <c r="Z1862" i="17"/>
  <c r="AH1862" i="17"/>
  <c r="AH1864" i="17"/>
  <c r="Z1866" i="17"/>
  <c r="AH1866" i="17"/>
  <c r="AN1877" i="17"/>
  <c r="AF1877" i="17"/>
  <c r="X1877" i="17"/>
  <c r="P1877" i="17"/>
  <c r="R1877" i="17"/>
  <c r="AA1877" i="17"/>
  <c r="AJ1877" i="17"/>
  <c r="AR1878" i="17"/>
  <c r="AJ1878" i="17"/>
  <c r="AB1878" i="17"/>
  <c r="T1878" i="17"/>
  <c r="L1878" i="17"/>
  <c r="R1878" i="17"/>
  <c r="AA1878" i="17"/>
  <c r="AK1878" i="17"/>
  <c r="AN1893" i="17"/>
  <c r="AF1893" i="17"/>
  <c r="X1893" i="17"/>
  <c r="P1893" i="17"/>
  <c r="R1893" i="17"/>
  <c r="AA1893" i="17"/>
  <c r="AJ1893" i="17"/>
  <c r="AR1894" i="17"/>
  <c r="AJ1894" i="17"/>
  <c r="AB1894" i="17"/>
  <c r="T1894" i="17"/>
  <c r="L1894" i="17"/>
  <c r="R1894" i="17"/>
  <c r="AA1894" i="17"/>
  <c r="AK1894" i="17"/>
  <c r="AK1908" i="17"/>
  <c r="AC1908" i="17"/>
  <c r="U1908" i="17"/>
  <c r="M1908" i="17"/>
  <c r="AR1908" i="17"/>
  <c r="AJ1908" i="17"/>
  <c r="AB1908" i="17"/>
  <c r="T1908" i="17"/>
  <c r="L1908" i="17"/>
  <c r="S1908" i="17"/>
  <c r="AE1908" i="17"/>
  <c r="AO1908" i="17"/>
  <c r="AL1933" i="17"/>
  <c r="AD1933" i="17"/>
  <c r="V1933" i="17"/>
  <c r="N1933" i="17"/>
  <c r="AK1933" i="17"/>
  <c r="AC1933" i="17"/>
  <c r="U1933" i="17"/>
  <c r="M1933" i="17"/>
  <c r="AQ1933" i="17"/>
  <c r="AG1933" i="17"/>
  <c r="W1933" i="17"/>
  <c r="K1933" i="17"/>
  <c r="AP1933" i="17"/>
  <c r="AF1933" i="17"/>
  <c r="T1933" i="17"/>
  <c r="J1933" i="17"/>
  <c r="Y1933" i="17"/>
  <c r="AM1933" i="17"/>
  <c r="AL1943" i="17"/>
  <c r="AD1943" i="17"/>
  <c r="V1943" i="17"/>
  <c r="N1943" i="17"/>
  <c r="AK1943" i="17"/>
  <c r="AC1943" i="17"/>
  <c r="U1943" i="17"/>
  <c r="M1943" i="17"/>
  <c r="AN1943" i="17"/>
  <c r="AB1943" i="17"/>
  <c r="R1943" i="17"/>
  <c r="AM1943" i="17"/>
  <c r="AA1943" i="17"/>
  <c r="Q1943" i="17"/>
  <c r="W1943" i="17"/>
  <c r="AI1943" i="17"/>
  <c r="AR1954" i="17"/>
  <c r="AJ1954" i="17"/>
  <c r="AB1954" i="17"/>
  <c r="T1954" i="17"/>
  <c r="L1954" i="17"/>
  <c r="AQ1954" i="17"/>
  <c r="AH1954" i="17"/>
  <c r="Y1954" i="17"/>
  <c r="P1954" i="17"/>
  <c r="AP1954" i="17"/>
  <c r="AG1954" i="17"/>
  <c r="X1954" i="17"/>
  <c r="O1954" i="17"/>
  <c r="AM1954" i="17"/>
  <c r="AA1954" i="17"/>
  <c r="N1954" i="17"/>
  <c r="AL1954" i="17"/>
  <c r="Z1954" i="17"/>
  <c r="M1954" i="17"/>
  <c r="W1954" i="17"/>
  <c r="AO1954" i="17"/>
  <c r="AR1962" i="17"/>
  <c r="AJ1962" i="17"/>
  <c r="AB1962" i="17"/>
  <c r="T1962" i="17"/>
  <c r="L1962" i="17"/>
  <c r="AM1962" i="17"/>
  <c r="AD1962" i="17"/>
  <c r="U1962" i="17"/>
  <c r="K1962" i="17"/>
  <c r="AL1962" i="17"/>
  <c r="AC1962" i="17"/>
  <c r="S1962" i="17"/>
  <c r="J1962" i="17"/>
  <c r="AP1962" i="17"/>
  <c r="AE1962" i="17"/>
  <c r="Q1962" i="17"/>
  <c r="AO1962" i="17"/>
  <c r="AA1962" i="17"/>
  <c r="P1962" i="17"/>
  <c r="AI1962" i="17"/>
  <c r="V1962" i="17"/>
  <c r="AH1962" i="17"/>
  <c r="R1962" i="17"/>
  <c r="AF1962" i="17"/>
  <c r="AK1997" i="17"/>
  <c r="AC1997" i="17"/>
  <c r="U1997" i="17"/>
  <c r="M1997" i="17"/>
  <c r="AO1997" i="17"/>
  <c r="AF1997" i="17"/>
  <c r="W1997" i="17"/>
  <c r="N1997" i="17"/>
  <c r="AI1997" i="17"/>
  <c r="Y1997" i="17"/>
  <c r="O1997" i="17"/>
  <c r="AR1997" i="17"/>
  <c r="AH1997" i="17"/>
  <c r="X1997" i="17"/>
  <c r="L1997" i="17"/>
  <c r="AN1997" i="17"/>
  <c r="AA1997" i="17"/>
  <c r="K1997" i="17"/>
  <c r="AM1997" i="17"/>
  <c r="Z1997" i="17"/>
  <c r="J1997" i="17"/>
  <c r="AL1997" i="17"/>
  <c r="S1997" i="17"/>
  <c r="AJ1997" i="17"/>
  <c r="R1997" i="17"/>
  <c r="AG1997" i="17"/>
  <c r="P1897" i="17"/>
  <c r="X1897" i="17"/>
  <c r="AF1897" i="17"/>
  <c r="AN1897" i="17"/>
  <c r="P1899" i="17"/>
  <c r="X1899" i="17"/>
  <c r="AF1899" i="17"/>
  <c r="AN1899" i="17"/>
  <c r="P1901" i="17"/>
  <c r="X1901" i="17"/>
  <c r="AF1901" i="17"/>
  <c r="AN1901" i="17"/>
  <c r="P1903" i="17"/>
  <c r="X1903" i="17"/>
  <c r="AF1903" i="17"/>
  <c r="AN1903" i="17"/>
  <c r="P1905" i="17"/>
  <c r="X1905" i="17"/>
  <c r="AF1905" i="17"/>
  <c r="AN1905" i="17"/>
  <c r="P1907" i="17"/>
  <c r="X1907" i="17"/>
  <c r="AF1907" i="17"/>
  <c r="AN1907" i="17"/>
  <c r="P1909" i="17"/>
  <c r="X1909" i="17"/>
  <c r="AF1909" i="17"/>
  <c r="AN1909" i="17"/>
  <c r="P1911" i="17"/>
  <c r="X1911" i="17"/>
  <c r="AF1911" i="17"/>
  <c r="AN1911" i="17"/>
  <c r="P1913" i="17"/>
  <c r="X1913" i="17"/>
  <c r="AF1913" i="17"/>
  <c r="AN1913" i="17"/>
  <c r="P1915" i="17"/>
  <c r="X1915" i="17"/>
  <c r="AF1915" i="17"/>
  <c r="AN1915" i="17"/>
  <c r="P1917" i="17"/>
  <c r="X1917" i="17"/>
  <c r="AF1917" i="17"/>
  <c r="AN1917" i="17"/>
  <c r="AL1919" i="17"/>
  <c r="AD1919" i="17"/>
  <c r="V1919" i="17"/>
  <c r="N1919" i="17"/>
  <c r="R1919" i="17"/>
  <c r="AA1919" i="17"/>
  <c r="AJ1919" i="17"/>
  <c r="AP1920" i="17"/>
  <c r="AH1920" i="17"/>
  <c r="Z1920" i="17"/>
  <c r="R1920" i="17"/>
  <c r="J1920" i="17"/>
  <c r="S1920" i="17"/>
  <c r="AB1920" i="17"/>
  <c r="AK1920" i="17"/>
  <c r="R1929" i="17"/>
  <c r="AB1929" i="17"/>
  <c r="AL1931" i="17"/>
  <c r="AD1931" i="17"/>
  <c r="V1931" i="17"/>
  <c r="N1931" i="17"/>
  <c r="AK1931" i="17"/>
  <c r="AC1931" i="17"/>
  <c r="U1931" i="17"/>
  <c r="M1931" i="17"/>
  <c r="S1931" i="17"/>
  <c r="AE1931" i="17"/>
  <c r="AO1931" i="17"/>
  <c r="R1945" i="17"/>
  <c r="AB1945" i="17"/>
  <c r="AL1947" i="17"/>
  <c r="AD1947" i="17"/>
  <c r="V1947" i="17"/>
  <c r="N1947" i="17"/>
  <c r="AK1947" i="17"/>
  <c r="AC1947" i="17"/>
  <c r="U1947" i="17"/>
  <c r="M1947" i="17"/>
  <c r="S1947" i="17"/>
  <c r="AE1947" i="17"/>
  <c r="AO1947" i="17"/>
  <c r="AN1961" i="17"/>
  <c r="AF1961" i="17"/>
  <c r="X1961" i="17"/>
  <c r="P1961" i="17"/>
  <c r="AL1961" i="17"/>
  <c r="AC1961" i="17"/>
  <c r="T1961" i="17"/>
  <c r="K1961" i="17"/>
  <c r="AK1961" i="17"/>
  <c r="AB1961" i="17"/>
  <c r="AP1961" i="17"/>
  <c r="AD1961" i="17"/>
  <c r="R1961" i="17"/>
  <c r="AO1961" i="17"/>
  <c r="AA1961" i="17"/>
  <c r="Q1961" i="17"/>
  <c r="V1961" i="17"/>
  <c r="AJ1961" i="17"/>
  <c r="AN1965" i="17"/>
  <c r="AF1965" i="17"/>
  <c r="X1965" i="17"/>
  <c r="P1965" i="17"/>
  <c r="AO1965" i="17"/>
  <c r="AE1965" i="17"/>
  <c r="V1965" i="17"/>
  <c r="M1965" i="17"/>
  <c r="AM1965" i="17"/>
  <c r="AD1965" i="17"/>
  <c r="U1965" i="17"/>
  <c r="L1965" i="17"/>
  <c r="AR1965" i="17"/>
  <c r="AG1965" i="17"/>
  <c r="S1965" i="17"/>
  <c r="AQ1965" i="17"/>
  <c r="AC1965" i="17"/>
  <c r="R1965" i="17"/>
  <c r="Y1965" i="17"/>
  <c r="AL1965" i="17"/>
  <c r="Q1897" i="17"/>
  <c r="Y1897" i="17"/>
  <c r="AG1897" i="17"/>
  <c r="Q1899" i="17"/>
  <c r="Y1899" i="17"/>
  <c r="AG1899" i="17"/>
  <c r="Q1901" i="17"/>
  <c r="Y1901" i="17"/>
  <c r="AG1901" i="17"/>
  <c r="Q1903" i="17"/>
  <c r="Y1903" i="17"/>
  <c r="AG1903" i="17"/>
  <c r="Q1905" i="17"/>
  <c r="Y1905" i="17"/>
  <c r="AG1905" i="17"/>
  <c r="Q1907" i="17"/>
  <c r="Y1907" i="17"/>
  <c r="AG1907" i="17"/>
  <c r="Q1909" i="17"/>
  <c r="Y1909" i="17"/>
  <c r="AG1909" i="17"/>
  <c r="Q1911" i="17"/>
  <c r="Y1911" i="17"/>
  <c r="AG1911" i="17"/>
  <c r="Q1913" i="17"/>
  <c r="Y1913" i="17"/>
  <c r="AG1913" i="17"/>
  <c r="Q1915" i="17"/>
  <c r="Y1915" i="17"/>
  <c r="AG1915" i="17"/>
  <c r="Q1917" i="17"/>
  <c r="Y1917" i="17"/>
  <c r="AG1917" i="17"/>
  <c r="AL1929" i="17"/>
  <c r="AD1929" i="17"/>
  <c r="V1929" i="17"/>
  <c r="N1929" i="17"/>
  <c r="AK1929" i="17"/>
  <c r="AC1929" i="17"/>
  <c r="U1929" i="17"/>
  <c r="M1929" i="17"/>
  <c r="S1929" i="17"/>
  <c r="AE1929" i="17"/>
  <c r="AO1929" i="17"/>
  <c r="AL1945" i="17"/>
  <c r="AD1945" i="17"/>
  <c r="V1945" i="17"/>
  <c r="N1945" i="17"/>
  <c r="AK1945" i="17"/>
  <c r="AC1945" i="17"/>
  <c r="U1945" i="17"/>
  <c r="M1945" i="17"/>
  <c r="S1945" i="17"/>
  <c r="AE1945" i="17"/>
  <c r="AO1945" i="17"/>
  <c r="AF1947" i="17"/>
  <c r="AP1947" i="17"/>
  <c r="J1961" i="17"/>
  <c r="W1961" i="17"/>
  <c r="AM1961" i="17"/>
  <c r="J1965" i="17"/>
  <c r="Z1965" i="17"/>
  <c r="AP1965" i="17"/>
  <c r="Q1928" i="17"/>
  <c r="Y1928" i="17"/>
  <c r="AG1928" i="17"/>
  <c r="AO1928" i="17"/>
  <c r="Q1930" i="17"/>
  <c r="Y1930" i="17"/>
  <c r="AG1930" i="17"/>
  <c r="AO1930" i="17"/>
  <c r="Q1932" i="17"/>
  <c r="Y1932" i="17"/>
  <c r="AG1932" i="17"/>
  <c r="AO1932" i="17"/>
  <c r="Q1934" i="17"/>
  <c r="Y1934" i="17"/>
  <c r="AG1934" i="17"/>
  <c r="AO1934" i="17"/>
  <c r="Q1936" i="17"/>
  <c r="Y1936" i="17"/>
  <c r="AG1936" i="17"/>
  <c r="AO1936" i="17"/>
  <c r="Q1938" i="17"/>
  <c r="Y1938" i="17"/>
  <c r="AG1938" i="17"/>
  <c r="AO1938" i="17"/>
  <c r="Q1940" i="17"/>
  <c r="Y1940" i="17"/>
  <c r="AG1940" i="17"/>
  <c r="AO1940" i="17"/>
  <c r="Q1942" i="17"/>
  <c r="Y1942" i="17"/>
  <c r="AG1942" i="17"/>
  <c r="AO1942" i="17"/>
  <c r="Q1944" i="17"/>
  <c r="Y1944" i="17"/>
  <c r="AG1944" i="17"/>
  <c r="AO1944" i="17"/>
  <c r="Q1946" i="17"/>
  <c r="Y1946" i="17"/>
  <c r="AG1946" i="17"/>
  <c r="AO1946" i="17"/>
  <c r="Q1948" i="17"/>
  <c r="Y1948" i="17"/>
  <c r="AG1948" i="17"/>
  <c r="AO1948" i="17"/>
  <c r="Q1950" i="17"/>
  <c r="Y1950" i="17"/>
  <c r="AG1950" i="17"/>
  <c r="AO1950" i="17"/>
  <c r="AN1969" i="17"/>
  <c r="AF1969" i="17"/>
  <c r="X1969" i="17"/>
  <c r="P1969" i="17"/>
  <c r="AQ1969" i="17"/>
  <c r="AH1969" i="17"/>
  <c r="Y1969" i="17"/>
  <c r="O1969" i="17"/>
  <c r="AP1969" i="17"/>
  <c r="AG1969" i="17"/>
  <c r="W1969" i="17"/>
  <c r="N1969" i="17"/>
  <c r="T1969" i="17"/>
  <c r="AE1969" i="17"/>
  <c r="AR1970" i="17"/>
  <c r="AJ1970" i="17"/>
  <c r="AB1970" i="17"/>
  <c r="T1970" i="17"/>
  <c r="L1970" i="17"/>
  <c r="AQ1970" i="17"/>
  <c r="AH1970" i="17"/>
  <c r="Y1970" i="17"/>
  <c r="P1970" i="17"/>
  <c r="AP1970" i="17"/>
  <c r="AG1970" i="17"/>
  <c r="X1970" i="17"/>
  <c r="O1970" i="17"/>
  <c r="U1970" i="17"/>
  <c r="AF1970" i="17"/>
  <c r="AK1979" i="17"/>
  <c r="AO1979" i="17"/>
  <c r="AF1979" i="17"/>
  <c r="X1979" i="17"/>
  <c r="P1979" i="17"/>
  <c r="AN1979" i="17"/>
  <c r="AD1979" i="17"/>
  <c r="U1979" i="17"/>
  <c r="L1979" i="17"/>
  <c r="AM1979" i="17"/>
  <c r="AC1979" i="17"/>
  <c r="T1979" i="17"/>
  <c r="K1979" i="17"/>
  <c r="V1979" i="17"/>
  <c r="AH1979" i="17"/>
  <c r="J1928" i="17"/>
  <c r="R1928" i="17"/>
  <c r="Z1928" i="17"/>
  <c r="AH1928" i="17"/>
  <c r="J1930" i="17"/>
  <c r="R1930" i="17"/>
  <c r="Z1930" i="17"/>
  <c r="AH1930" i="17"/>
  <c r="J1932" i="17"/>
  <c r="R1932" i="17"/>
  <c r="Z1932" i="17"/>
  <c r="AH1932" i="17"/>
  <c r="J1934" i="17"/>
  <c r="R1934" i="17"/>
  <c r="Z1934" i="17"/>
  <c r="AH1934" i="17"/>
  <c r="J1936" i="17"/>
  <c r="R1936" i="17"/>
  <c r="Z1936" i="17"/>
  <c r="AH1936" i="17"/>
  <c r="J1938" i="17"/>
  <c r="R1938" i="17"/>
  <c r="Z1938" i="17"/>
  <c r="AH1938" i="17"/>
  <c r="J1940" i="17"/>
  <c r="R1940" i="17"/>
  <c r="Z1940" i="17"/>
  <c r="AH1940" i="17"/>
  <c r="J1942" i="17"/>
  <c r="R1942" i="17"/>
  <c r="Z1942" i="17"/>
  <c r="AH1942" i="17"/>
  <c r="J1944" i="17"/>
  <c r="R1944" i="17"/>
  <c r="Z1944" i="17"/>
  <c r="AH1944" i="17"/>
  <c r="J1946" i="17"/>
  <c r="R1946" i="17"/>
  <c r="Z1946" i="17"/>
  <c r="AH1946" i="17"/>
  <c r="J1948" i="17"/>
  <c r="R1948" i="17"/>
  <c r="Z1948" i="17"/>
  <c r="AH1948" i="17"/>
  <c r="J1950" i="17"/>
  <c r="R1950" i="17"/>
  <c r="Z1950" i="17"/>
  <c r="AH1950" i="17"/>
  <c r="AN1967" i="17"/>
  <c r="AF1967" i="17"/>
  <c r="X1967" i="17"/>
  <c r="P1967" i="17"/>
  <c r="AP1967" i="17"/>
  <c r="AG1967" i="17"/>
  <c r="W1967" i="17"/>
  <c r="N1967" i="17"/>
  <c r="AO1967" i="17"/>
  <c r="AE1967" i="17"/>
  <c r="V1967" i="17"/>
  <c r="M1967" i="17"/>
  <c r="T1967" i="17"/>
  <c r="AH1967" i="17"/>
  <c r="AR1968" i="17"/>
  <c r="AJ1968" i="17"/>
  <c r="AB1968" i="17"/>
  <c r="T1968" i="17"/>
  <c r="L1968" i="17"/>
  <c r="AP1968" i="17"/>
  <c r="AG1968" i="17"/>
  <c r="X1968" i="17"/>
  <c r="O1968" i="17"/>
  <c r="AO1968" i="17"/>
  <c r="AF1968" i="17"/>
  <c r="W1968" i="17"/>
  <c r="N1968" i="17"/>
  <c r="U1968" i="17"/>
  <c r="AH1968" i="17"/>
  <c r="J1969" i="17"/>
  <c r="U1969" i="17"/>
  <c r="AI1969" i="17"/>
  <c r="J1970" i="17"/>
  <c r="V1970" i="17"/>
  <c r="AI1970" i="17"/>
  <c r="AN1977" i="17"/>
  <c r="AF1977" i="17"/>
  <c r="X1977" i="17"/>
  <c r="P1977" i="17"/>
  <c r="AL1977" i="17"/>
  <c r="AC1977" i="17"/>
  <c r="T1977" i="17"/>
  <c r="K1977" i="17"/>
  <c r="AK1977" i="17"/>
  <c r="AB1977" i="17"/>
  <c r="S1977" i="17"/>
  <c r="J1977" i="17"/>
  <c r="V1977" i="17"/>
  <c r="AH1977" i="17"/>
  <c r="AR1978" i="17"/>
  <c r="AJ1978" i="17"/>
  <c r="AB1978" i="17"/>
  <c r="T1978" i="17"/>
  <c r="L1978" i="17"/>
  <c r="AM1978" i="17"/>
  <c r="AD1978" i="17"/>
  <c r="U1978" i="17"/>
  <c r="K1978" i="17"/>
  <c r="AL1978" i="17"/>
  <c r="AC1978" i="17"/>
  <c r="S1978" i="17"/>
  <c r="J1978" i="17"/>
  <c r="W1978" i="17"/>
  <c r="AH1978" i="17"/>
  <c r="J1979" i="17"/>
  <c r="W1979" i="17"/>
  <c r="AI1979" i="17"/>
  <c r="AK1993" i="17"/>
  <c r="AC1993" i="17"/>
  <c r="U1993" i="17"/>
  <c r="M1993" i="17"/>
  <c r="AO1993" i="17"/>
  <c r="AF1993" i="17"/>
  <c r="W1993" i="17"/>
  <c r="N1993" i="17"/>
  <c r="AI1993" i="17"/>
  <c r="Y1993" i="17"/>
  <c r="O1993" i="17"/>
  <c r="AR1993" i="17"/>
  <c r="AH1993" i="17"/>
  <c r="X1993" i="17"/>
  <c r="L1993" i="17"/>
  <c r="V1993" i="17"/>
  <c r="AL1993" i="17"/>
  <c r="AN1975" i="17"/>
  <c r="AF1975" i="17"/>
  <c r="X1975" i="17"/>
  <c r="P1975" i="17"/>
  <c r="R1975" i="17"/>
  <c r="AA1975" i="17"/>
  <c r="AJ1975" i="17"/>
  <c r="AR1976" i="17"/>
  <c r="AJ1976" i="17"/>
  <c r="AB1976" i="17"/>
  <c r="T1976" i="17"/>
  <c r="L1976" i="17"/>
  <c r="R1976" i="17"/>
  <c r="AA1976" i="17"/>
  <c r="AK1976" i="17"/>
  <c r="AN1957" i="17"/>
  <c r="AF1957" i="17"/>
  <c r="X1957" i="17"/>
  <c r="P1957" i="17"/>
  <c r="R1957" i="17"/>
  <c r="AA1957" i="17"/>
  <c r="AJ1957" i="17"/>
  <c r="AR1958" i="17"/>
  <c r="AJ1958" i="17"/>
  <c r="AB1958" i="17"/>
  <c r="T1958" i="17"/>
  <c r="L1958" i="17"/>
  <c r="R1958" i="17"/>
  <c r="AA1958" i="17"/>
  <c r="AK1958" i="17"/>
  <c r="AN1973" i="17"/>
  <c r="AF1973" i="17"/>
  <c r="X1973" i="17"/>
  <c r="P1973" i="17"/>
  <c r="R1973" i="17"/>
  <c r="AA1973" i="17"/>
  <c r="AJ1973" i="17"/>
  <c r="AR1974" i="17"/>
  <c r="AJ1974" i="17"/>
  <c r="AB1974" i="17"/>
  <c r="T1974" i="17"/>
  <c r="L1974" i="17"/>
  <c r="R1974" i="17"/>
  <c r="AA1974" i="17"/>
  <c r="AK1974" i="17"/>
  <c r="J1975" i="17"/>
  <c r="S1975" i="17"/>
  <c r="AB1975" i="17"/>
  <c r="AK1975" i="17"/>
  <c r="J1976" i="17"/>
  <c r="S1976" i="17"/>
  <c r="AC1976" i="17"/>
  <c r="AL1976" i="17"/>
  <c r="AK1983" i="17"/>
  <c r="AC1983" i="17"/>
  <c r="U1983" i="17"/>
  <c r="M1983" i="17"/>
  <c r="AO1983" i="17"/>
  <c r="AF1983" i="17"/>
  <c r="W1983" i="17"/>
  <c r="N1983" i="17"/>
  <c r="S1983" i="17"/>
  <c r="AD1983" i="17"/>
  <c r="AN1983" i="17"/>
  <c r="AK1987" i="17"/>
  <c r="AC1987" i="17"/>
  <c r="U1987" i="17"/>
  <c r="M1987" i="17"/>
  <c r="AO1987" i="17"/>
  <c r="AF1987" i="17"/>
  <c r="W1987" i="17"/>
  <c r="N1987" i="17"/>
  <c r="S1987" i="17"/>
  <c r="AD1987" i="17"/>
  <c r="AN1987" i="17"/>
  <c r="AK1991" i="17"/>
  <c r="AC1991" i="17"/>
  <c r="U1991" i="17"/>
  <c r="M1991" i="17"/>
  <c r="AO1991" i="17"/>
  <c r="AF1991" i="17"/>
  <c r="W1991" i="17"/>
  <c r="N1991" i="17"/>
  <c r="S1991" i="17"/>
  <c r="AD1991" i="17"/>
  <c r="AN1991" i="17"/>
  <c r="AK1995" i="17"/>
  <c r="AC1995" i="17"/>
  <c r="U1995" i="17"/>
  <c r="M1995" i="17"/>
  <c r="AO1995" i="17"/>
  <c r="AF1995" i="17"/>
  <c r="W1995" i="17"/>
  <c r="N1995" i="17"/>
  <c r="S1995" i="17"/>
  <c r="AD1995" i="17"/>
  <c r="AN1995" i="17"/>
  <c r="AK1999" i="17"/>
  <c r="AC1999" i="17"/>
  <c r="U1999" i="17"/>
  <c r="M1999" i="17"/>
  <c r="AO1999" i="17"/>
  <c r="AF1999" i="17"/>
  <c r="W1999" i="17"/>
  <c r="N1999" i="17"/>
  <c r="S1999" i="17"/>
  <c r="AD1999" i="17"/>
  <c r="AN1999" i="17"/>
  <c r="Q1980" i="17"/>
  <c r="Y1980" i="17"/>
  <c r="AG1980" i="17"/>
  <c r="Q1982" i="17"/>
  <c r="Y1982" i="17"/>
  <c r="AG1982" i="17"/>
  <c r="Q1984" i="17"/>
  <c r="Y1984" i="17"/>
  <c r="AG1984" i="17"/>
  <c r="Q1986" i="17"/>
  <c r="Y1986" i="17"/>
  <c r="AG1986" i="17"/>
  <c r="Q1988" i="17"/>
  <c r="Y1988" i="17"/>
  <c r="AG1988" i="17"/>
  <c r="Q1990" i="17"/>
  <c r="Y1990" i="17"/>
  <c r="AG1990" i="17"/>
  <c r="Q1992" i="17"/>
  <c r="Y1992" i="17"/>
  <c r="AG1992" i="17"/>
  <c r="Q1994" i="17"/>
  <c r="Y1994" i="17"/>
  <c r="AG1994" i="17"/>
  <c r="Q1996" i="17"/>
  <c r="Y1996" i="17"/>
  <c r="AG1996" i="17"/>
  <c r="Q1998" i="17"/>
  <c r="Y1998" i="17"/>
  <c r="AG1998" i="17"/>
  <c r="Q2000" i="17"/>
  <c r="Y2000" i="17"/>
  <c r="AG2000" i="17"/>
  <c r="O135" i="17" l="1"/>
  <c r="AQ49" i="17"/>
  <c r="AG20" i="17"/>
  <c r="P118" i="17"/>
  <c r="O90" i="17"/>
  <c r="AJ90" i="17" s="1"/>
  <c r="W90" i="12" s="1"/>
  <c r="O121" i="17"/>
  <c r="AI121" i="17" s="1"/>
  <c r="AF50" i="17"/>
  <c r="AE5" i="17"/>
  <c r="AH9" i="17"/>
  <c r="P153" i="17"/>
  <c r="AE130" i="17"/>
  <c r="AG160" i="17"/>
  <c r="AQ85" i="17"/>
  <c r="AI175" i="17"/>
  <c r="V175" i="12" s="1"/>
  <c r="AG92" i="17"/>
  <c r="P31" i="17"/>
  <c r="AK31" i="17" s="1"/>
  <c r="X31" i="12" s="1"/>
  <c r="AD15" i="17"/>
  <c r="O32" i="17"/>
  <c r="AL103" i="17"/>
  <c r="Y103" i="12" s="1"/>
  <c r="AE89" i="17"/>
  <c r="AH81" i="17"/>
  <c r="AP50" i="17"/>
  <c r="AR50" i="17" s="1"/>
  <c r="AC50" i="12" s="1"/>
  <c r="I41" i="14" s="1"/>
  <c r="AH80" i="17"/>
  <c r="AM80" i="17" s="1"/>
  <c r="Z80" i="12" s="1"/>
  <c r="J54" i="14" s="1"/>
  <c r="AD126" i="17"/>
  <c r="AD175" i="17"/>
  <c r="AL175" i="17" s="1"/>
  <c r="Y175" i="12" s="1"/>
  <c r="AQ43" i="17"/>
  <c r="P111" i="17"/>
  <c r="AQ12" i="17"/>
  <c r="AD42" i="17"/>
  <c r="AL42" i="17" s="1"/>
  <c r="Y42" i="12" s="1"/>
  <c r="AF80" i="17"/>
  <c r="AG94" i="17"/>
  <c r="AD59" i="17"/>
  <c r="AL59" i="17" s="1"/>
  <c r="Y59" i="12" s="1"/>
  <c r="AE113" i="17"/>
  <c r="AD12" i="17"/>
  <c r="AG78" i="17"/>
  <c r="AH62" i="17"/>
  <c r="O169" i="17"/>
  <c r="AI169" i="17" s="1"/>
  <c r="V169" i="12" s="1"/>
  <c r="E94" i="14" s="1"/>
  <c r="O134" i="17"/>
  <c r="AI134" i="17" s="1"/>
  <c r="V134" i="12" s="1"/>
  <c r="AG172" i="17"/>
  <c r="AD117" i="17"/>
  <c r="AL117" i="17" s="1"/>
  <c r="Y117" i="12" s="1"/>
  <c r="H69" i="14" s="1"/>
  <c r="AH33" i="17"/>
  <c r="AE51" i="17"/>
  <c r="AD25" i="17"/>
  <c r="AL25" i="17" s="1"/>
  <c r="Y25" i="12" s="1"/>
  <c r="AP116" i="17"/>
  <c r="AE129" i="17"/>
  <c r="AH41" i="17"/>
  <c r="AD22" i="17"/>
  <c r="AL22" i="17" s="1"/>
  <c r="Y22" i="12" s="1"/>
  <c r="AG30" i="17"/>
  <c r="AM30" i="17" s="1"/>
  <c r="Z30" i="12" s="1"/>
  <c r="AF128" i="17"/>
  <c r="AE171" i="17"/>
  <c r="AE83" i="17"/>
  <c r="AH159" i="17"/>
  <c r="AH155" i="17"/>
  <c r="AP58" i="17"/>
  <c r="AH160" i="17"/>
  <c r="AP144" i="17"/>
  <c r="AD134" i="17"/>
  <c r="AG62" i="17"/>
  <c r="AE30" i="17"/>
  <c r="AG112" i="17"/>
  <c r="AH126" i="17"/>
  <c r="AD111" i="17"/>
  <c r="AL111" i="17" s="1"/>
  <c r="Y111" i="12" s="1"/>
  <c r="AD145" i="17"/>
  <c r="AL145" i="17" s="1"/>
  <c r="Y145" i="12" s="1"/>
  <c r="AQ59" i="17"/>
  <c r="AF144" i="17"/>
  <c r="AE99" i="17"/>
  <c r="AH87" i="17"/>
  <c r="AF58" i="17"/>
  <c r="AD94" i="17"/>
  <c r="AP112" i="17"/>
  <c r="AD65" i="17"/>
  <c r="AL65" i="17" s="1"/>
  <c r="Y65" i="12" s="1"/>
  <c r="H48" i="14" s="1"/>
  <c r="AQ121" i="17"/>
  <c r="AE174" i="17"/>
  <c r="AE125" i="17"/>
  <c r="AP76" i="17"/>
  <c r="AP124" i="17"/>
  <c r="AF70" i="17"/>
  <c r="AQ84" i="17"/>
  <c r="AQ23" i="17"/>
  <c r="AH101" i="17"/>
  <c r="AH97" i="17"/>
  <c r="AH93" i="17"/>
  <c r="AH71" i="17"/>
  <c r="AP128" i="17"/>
  <c r="AF62" i="17"/>
  <c r="AE96" i="17"/>
  <c r="AG70" i="17"/>
  <c r="AQ166" i="17"/>
  <c r="AL137" i="17"/>
  <c r="Y137" i="12" s="1"/>
  <c r="H80" i="14" s="1"/>
  <c r="AD29" i="17"/>
  <c r="AL29" i="17" s="1"/>
  <c r="Y29" i="12" s="1"/>
  <c r="AL73" i="17"/>
  <c r="Y73" i="12" s="1"/>
  <c r="AD17" i="17"/>
  <c r="AL17" i="17" s="1"/>
  <c r="Y17" i="12" s="1"/>
  <c r="H26" i="14" s="1"/>
  <c r="AQ153" i="17"/>
  <c r="AF66" i="17"/>
  <c r="AE155" i="17"/>
  <c r="AE39" i="17"/>
  <c r="AG34" i="17"/>
  <c r="AQ92" i="17"/>
  <c r="AF34" i="17"/>
  <c r="AF162" i="17"/>
  <c r="AD139" i="17"/>
  <c r="AL139" i="17" s="1"/>
  <c r="Y139" i="12" s="1"/>
  <c r="AD143" i="17"/>
  <c r="AL143" i="17" s="1"/>
  <c r="Y143" i="12" s="1"/>
  <c r="AD163" i="17"/>
  <c r="AE11" i="17"/>
  <c r="AQ108" i="17"/>
  <c r="AF76" i="17"/>
  <c r="AP167" i="17"/>
  <c r="AR167" i="17" s="1"/>
  <c r="AC167" i="12" s="1"/>
  <c r="AP60" i="17"/>
  <c r="AP6" i="17"/>
  <c r="AP86" i="17"/>
  <c r="AH38" i="17"/>
  <c r="AH96" i="17"/>
  <c r="AM96" i="17" s="1"/>
  <c r="Z96" i="12" s="1"/>
  <c r="J61" i="14" s="1"/>
  <c r="AE80" i="17"/>
  <c r="AD91" i="17"/>
  <c r="AL91" i="17" s="1"/>
  <c r="Y91" i="12" s="1"/>
  <c r="AE61" i="17"/>
  <c r="AH117" i="17"/>
  <c r="AP32" i="17"/>
  <c r="AP84" i="17"/>
  <c r="AP170" i="17"/>
  <c r="AQ44" i="17"/>
  <c r="AF6" i="17"/>
  <c r="AG162" i="17"/>
  <c r="AH65" i="17"/>
  <c r="AG5" i="17"/>
  <c r="AQ28" i="17"/>
  <c r="AD160" i="17"/>
  <c r="AL160" i="17" s="1"/>
  <c r="Y160" i="12" s="1"/>
  <c r="H90" i="14" s="1"/>
  <c r="AF96" i="17"/>
  <c r="AF64" i="17"/>
  <c r="AD123" i="17"/>
  <c r="AD55" i="17"/>
  <c r="AL55" i="17" s="1"/>
  <c r="Y55" i="12" s="1"/>
  <c r="AQ103" i="17"/>
  <c r="AE75" i="17"/>
  <c r="AL93" i="17"/>
  <c r="Y93" i="12" s="1"/>
  <c r="H58" i="14" s="1"/>
  <c r="AL125" i="17"/>
  <c r="Y125" i="12" s="1"/>
  <c r="H72" i="14" s="1"/>
  <c r="AL161" i="17"/>
  <c r="Y161" i="12" s="1"/>
  <c r="AJ169" i="17"/>
  <c r="W169" i="12" s="1"/>
  <c r="F94" i="14" s="1"/>
  <c r="AL19" i="17"/>
  <c r="Y19" i="12" s="1"/>
  <c r="H28" i="14" s="1"/>
  <c r="AH54" i="17"/>
  <c r="AF20" i="17"/>
  <c r="AQ98" i="17"/>
  <c r="O91" i="17"/>
  <c r="AJ91" i="17" s="1"/>
  <c r="W91" i="12" s="1"/>
  <c r="AE105" i="17"/>
  <c r="AE19" i="17"/>
  <c r="AH137" i="17"/>
  <c r="P16" i="17"/>
  <c r="AK16" i="17" s="1"/>
  <c r="X16" i="12" s="1"/>
  <c r="O172" i="17"/>
  <c r="AJ172" i="17" s="1"/>
  <c r="W172" i="12" s="1"/>
  <c r="AQ139" i="17"/>
  <c r="AQ135" i="17"/>
  <c r="AE153" i="17"/>
  <c r="P33" i="17"/>
  <c r="AK33" i="17" s="1"/>
  <c r="X33" i="12" s="1"/>
  <c r="G33" i="14" s="1"/>
  <c r="AL170" i="17"/>
  <c r="Y170" i="12" s="1"/>
  <c r="AF94" i="17"/>
  <c r="AG32" i="17"/>
  <c r="AF78" i="17"/>
  <c r="O89" i="17"/>
  <c r="AI89" i="17" s="1"/>
  <c r="V89" i="12" s="1"/>
  <c r="O167" i="17"/>
  <c r="AI167" i="17" s="1"/>
  <c r="V167" i="12" s="1"/>
  <c r="AL61" i="17"/>
  <c r="Y61" i="12" s="1"/>
  <c r="AL31" i="17"/>
  <c r="Y31" i="12" s="1"/>
  <c r="AQ115" i="17"/>
  <c r="AE87" i="17"/>
  <c r="AL15" i="17"/>
  <c r="Y15" i="12" s="1"/>
  <c r="AQ119" i="17"/>
  <c r="P99" i="17"/>
  <c r="AK99" i="17" s="1"/>
  <c r="X99" i="12" s="1"/>
  <c r="AP42" i="17"/>
  <c r="AF26" i="17"/>
  <c r="AQ48" i="17"/>
  <c r="AJ55" i="17"/>
  <c r="W55" i="12" s="1"/>
  <c r="AL77" i="17"/>
  <c r="Y77" i="12" s="1"/>
  <c r="H51" i="14" s="1"/>
  <c r="AL75" i="17"/>
  <c r="Y75" i="12" s="1"/>
  <c r="AL95" i="17"/>
  <c r="Y95" i="12" s="1"/>
  <c r="H60" i="14" s="1"/>
  <c r="AQ61" i="17"/>
  <c r="AG100" i="17"/>
  <c r="AH171" i="17"/>
  <c r="AF42" i="17"/>
  <c r="AP5" i="17"/>
  <c r="O144" i="17"/>
  <c r="AI144" i="17" s="1"/>
  <c r="V144" i="12" s="1"/>
  <c r="AF84" i="17"/>
  <c r="AL113" i="17"/>
  <c r="Y113" i="12" s="1"/>
  <c r="AQ133" i="17"/>
  <c r="AH175" i="17"/>
  <c r="P125" i="17"/>
  <c r="AK125" i="17" s="1"/>
  <c r="X125" i="12" s="1"/>
  <c r="AH107" i="17"/>
  <c r="AH39" i="17"/>
  <c r="AH15" i="17"/>
  <c r="AF90" i="17"/>
  <c r="AF172" i="17"/>
  <c r="AD106" i="17"/>
  <c r="AL106" i="17" s="1"/>
  <c r="Y106" i="12" s="1"/>
  <c r="AF60" i="17"/>
  <c r="O69" i="17"/>
  <c r="AI69" i="17" s="1"/>
  <c r="AL30" i="17"/>
  <c r="Y30" i="12" s="1"/>
  <c r="AL34" i="17"/>
  <c r="Y34" i="12" s="1"/>
  <c r="H34" i="14" s="1"/>
  <c r="AF86" i="17"/>
  <c r="O164" i="17"/>
  <c r="AI164" i="17" s="1"/>
  <c r="AQ162" i="17"/>
  <c r="AE110" i="17"/>
  <c r="AD54" i="17"/>
  <c r="AL54" i="17" s="1"/>
  <c r="Y54" i="12" s="1"/>
  <c r="AL5" i="17"/>
  <c r="Y5" i="12" s="1"/>
  <c r="H23" i="14" s="1"/>
  <c r="AL89" i="17"/>
  <c r="Y89" i="12" s="1"/>
  <c r="AL129" i="17"/>
  <c r="Y129" i="12" s="1"/>
  <c r="AF100" i="17"/>
  <c r="AE161" i="17"/>
  <c r="O168" i="17"/>
  <c r="AI168" i="17" s="1"/>
  <c r="AH77" i="17"/>
  <c r="P57" i="17"/>
  <c r="AK57" i="17" s="1"/>
  <c r="X57" i="12" s="1"/>
  <c r="P53" i="17"/>
  <c r="AK53" i="17" s="1"/>
  <c r="X53" i="12" s="1"/>
  <c r="AG157" i="17"/>
  <c r="AP122" i="17"/>
  <c r="AD56" i="17"/>
  <c r="AL56" i="17" s="1"/>
  <c r="Y56" i="12" s="1"/>
  <c r="AP92" i="17"/>
  <c r="AF174" i="17"/>
  <c r="O40" i="17"/>
  <c r="AJ40" i="17" s="1"/>
  <c r="W40" i="12" s="1"/>
  <c r="AP166" i="17"/>
  <c r="AH46" i="17"/>
  <c r="O110" i="17"/>
  <c r="AI110" i="17" s="1"/>
  <c r="AD141" i="17"/>
  <c r="AL141" i="17" s="1"/>
  <c r="Y141" i="12" s="1"/>
  <c r="AD107" i="17"/>
  <c r="AL107" i="17" s="1"/>
  <c r="Y107" i="12" s="1"/>
  <c r="H64" i="14" s="1"/>
  <c r="AL169" i="17"/>
  <c r="Y169" i="12" s="1"/>
  <c r="H94" i="14" s="1"/>
  <c r="AD157" i="17"/>
  <c r="AL157" i="17" s="1"/>
  <c r="Y157" i="12" s="1"/>
  <c r="AL3" i="17"/>
  <c r="Y3" i="12" s="1"/>
  <c r="H21" i="14" s="1"/>
  <c r="AD149" i="17"/>
  <c r="AL149" i="17" s="1"/>
  <c r="Y149" i="12" s="1"/>
  <c r="H85" i="14" s="1"/>
  <c r="AD131" i="17"/>
  <c r="AL131" i="17" s="1"/>
  <c r="Y131" i="12" s="1"/>
  <c r="AD49" i="17"/>
  <c r="AL49" i="17" s="1"/>
  <c r="Y49" i="12" s="1"/>
  <c r="H40" i="14" s="1"/>
  <c r="AE121" i="17"/>
  <c r="AE169" i="17"/>
  <c r="AG82" i="17"/>
  <c r="O124" i="17"/>
  <c r="AJ124" i="17" s="1"/>
  <c r="W124" i="12" s="1"/>
  <c r="O141" i="17"/>
  <c r="AI141" i="17" s="1"/>
  <c r="V141" i="12" s="1"/>
  <c r="O77" i="17"/>
  <c r="AJ77" i="17" s="1"/>
  <c r="W77" i="12" s="1"/>
  <c r="AJ121" i="17"/>
  <c r="W121" i="12" s="1"/>
  <c r="AI55" i="17"/>
  <c r="V55" i="12" s="1"/>
  <c r="AL165" i="17"/>
  <c r="Y165" i="12" s="1"/>
  <c r="AL105" i="17"/>
  <c r="Y105" i="12" s="1"/>
  <c r="AP26" i="17"/>
  <c r="AG174" i="17"/>
  <c r="AL164" i="17"/>
  <c r="Y164" i="12" s="1"/>
  <c r="AD81" i="17"/>
  <c r="AL81" i="17" s="1"/>
  <c r="Y81" i="12" s="1"/>
  <c r="H55" i="14" s="1"/>
  <c r="AH3" i="17"/>
  <c r="AF166" i="17"/>
  <c r="AP90" i="17"/>
  <c r="AP160" i="17"/>
  <c r="P66" i="17"/>
  <c r="AG161" i="17"/>
  <c r="AQ156" i="17"/>
  <c r="AF122" i="17"/>
  <c r="AD88" i="17"/>
  <c r="AL88" i="17" s="1"/>
  <c r="Y88" i="12" s="1"/>
  <c r="AL26" i="17"/>
  <c r="Y26" i="12" s="1"/>
  <c r="AD166" i="17"/>
  <c r="AL166" i="17" s="1"/>
  <c r="Y166" i="12" s="1"/>
  <c r="AD142" i="17"/>
  <c r="AL142" i="17" s="1"/>
  <c r="Y142" i="12" s="1"/>
  <c r="AL110" i="17"/>
  <c r="Y110" i="12" s="1"/>
  <c r="AP110" i="17"/>
  <c r="AP158" i="17"/>
  <c r="AL9" i="17"/>
  <c r="Y9" i="12" s="1"/>
  <c r="AL163" i="17"/>
  <c r="Y163" i="12" s="1"/>
  <c r="AL159" i="17"/>
  <c r="Y159" i="12" s="1"/>
  <c r="H89" i="14" s="1"/>
  <c r="AL127" i="17"/>
  <c r="Y127" i="12" s="1"/>
  <c r="H74" i="14" s="1"/>
  <c r="AL79" i="17"/>
  <c r="Y79" i="12" s="1"/>
  <c r="H53" i="14" s="1"/>
  <c r="AL119" i="17"/>
  <c r="Y119" i="12" s="1"/>
  <c r="O153" i="17"/>
  <c r="AJ153" i="17" s="1"/>
  <c r="W153" i="12" s="1"/>
  <c r="O151" i="17"/>
  <c r="AJ151" i="17" s="1"/>
  <c r="W151" i="12" s="1"/>
  <c r="O152" i="17"/>
  <c r="AJ152" i="17" s="1"/>
  <c r="W152" i="12" s="1"/>
  <c r="O116" i="17"/>
  <c r="AJ116" i="17" s="1"/>
  <c r="W116" i="12" s="1"/>
  <c r="F68" i="14" s="1"/>
  <c r="AE33" i="17"/>
  <c r="AD33" i="17"/>
  <c r="AF81" i="17"/>
  <c r="AG81" i="17"/>
  <c r="AF73" i="17"/>
  <c r="AP73" i="17"/>
  <c r="AG73" i="17"/>
  <c r="AH51" i="17"/>
  <c r="AE124" i="17"/>
  <c r="AM124" i="17" s="1"/>
  <c r="Z124" i="12" s="1"/>
  <c r="AD124" i="17"/>
  <c r="AL124" i="17" s="1"/>
  <c r="Y124" i="12" s="1"/>
  <c r="AQ34" i="17"/>
  <c r="AH34" i="17"/>
  <c r="AG52" i="17"/>
  <c r="AH67" i="17"/>
  <c r="AG93" i="17"/>
  <c r="AM93" i="17" s="1"/>
  <c r="Z93" i="12" s="1"/>
  <c r="J58" i="14" s="1"/>
  <c r="AD115" i="17"/>
  <c r="AL115" i="17" s="1"/>
  <c r="Y115" i="12" s="1"/>
  <c r="AQ78" i="17"/>
  <c r="AH78" i="17"/>
  <c r="O118" i="17"/>
  <c r="AI118" i="17" s="1"/>
  <c r="V118" i="12" s="1"/>
  <c r="E70" i="14" s="1"/>
  <c r="AQ68" i="17"/>
  <c r="AH68" i="17"/>
  <c r="AF137" i="17"/>
  <c r="AG137" i="17"/>
  <c r="AF133" i="17"/>
  <c r="AM133" i="17" s="1"/>
  <c r="Z133" i="12" s="1"/>
  <c r="AP133" i="17"/>
  <c r="P129" i="17"/>
  <c r="AK129" i="17" s="1"/>
  <c r="X129" i="12" s="1"/>
  <c r="AG165" i="17"/>
  <c r="AM165" i="17" s="1"/>
  <c r="Z165" i="12" s="1"/>
  <c r="AG101" i="17"/>
  <c r="AG37" i="17"/>
  <c r="AE172" i="17"/>
  <c r="AD172" i="17"/>
  <c r="AL172" i="17" s="1"/>
  <c r="Y172" i="12" s="1"/>
  <c r="AE82" i="17"/>
  <c r="AD82" i="17"/>
  <c r="AL82" i="17" s="1"/>
  <c r="Y82" i="12" s="1"/>
  <c r="AP104" i="17"/>
  <c r="AF104" i="17"/>
  <c r="AH16" i="17"/>
  <c r="AQ16" i="17"/>
  <c r="AQ70" i="17"/>
  <c r="AH70" i="17"/>
  <c r="AE162" i="17"/>
  <c r="AD162" i="17"/>
  <c r="AL162" i="17" s="1"/>
  <c r="Y162" i="12" s="1"/>
  <c r="AL130" i="17"/>
  <c r="Y130" i="12" s="1"/>
  <c r="AQ36" i="17"/>
  <c r="AD21" i="17"/>
  <c r="AL21" i="17" s="1"/>
  <c r="Y21" i="12" s="1"/>
  <c r="H30" i="14" s="1"/>
  <c r="AQ143" i="17"/>
  <c r="AE101" i="17"/>
  <c r="O83" i="17"/>
  <c r="AI83" i="17" s="1"/>
  <c r="O82" i="17"/>
  <c r="AI82" i="17" s="1"/>
  <c r="V82" i="12" s="1"/>
  <c r="O23" i="17"/>
  <c r="AJ23" i="17" s="1"/>
  <c r="W23" i="12" s="1"/>
  <c r="O26" i="17"/>
  <c r="AF16" i="17"/>
  <c r="AP16" i="17"/>
  <c r="AG16" i="17"/>
  <c r="O2" i="17"/>
  <c r="AI2" i="17" s="1"/>
  <c r="V2" i="12" s="1"/>
  <c r="O5" i="17"/>
  <c r="AJ5" i="17" s="1"/>
  <c r="W5" i="12" s="1"/>
  <c r="F23" i="14" s="1"/>
  <c r="O4" i="17"/>
  <c r="AI4" i="17" s="1"/>
  <c r="V4" i="12" s="1"/>
  <c r="E22" i="14" s="1"/>
  <c r="AL167" i="17"/>
  <c r="Y167" i="12" s="1"/>
  <c r="H92" i="14" s="1"/>
  <c r="AQ69" i="17"/>
  <c r="AR69" i="17" s="1"/>
  <c r="AC69" i="12" s="1"/>
  <c r="AH69" i="17"/>
  <c r="AH113" i="17"/>
  <c r="AQ113" i="17"/>
  <c r="AF48" i="17"/>
  <c r="AG48" i="17"/>
  <c r="AH144" i="17"/>
  <c r="AQ144" i="17"/>
  <c r="AD84" i="17"/>
  <c r="AL84" i="17" s="1"/>
  <c r="Y84" i="12" s="1"/>
  <c r="AE84" i="17"/>
  <c r="AQ124" i="17"/>
  <c r="AE16" i="17"/>
  <c r="AD16" i="17"/>
  <c r="AL16" i="17" s="1"/>
  <c r="Y16" i="12" s="1"/>
  <c r="AI6" i="17"/>
  <c r="V6" i="12" s="1"/>
  <c r="E24" i="14" s="1"/>
  <c r="O22" i="17"/>
  <c r="AI22" i="17" s="1"/>
  <c r="V22" i="12" s="1"/>
  <c r="AF149" i="17"/>
  <c r="AG149" i="17"/>
  <c r="AP149" i="17"/>
  <c r="AF9" i="17"/>
  <c r="AG9" i="17"/>
  <c r="AM9" i="17" s="1"/>
  <c r="Z9" i="12" s="1"/>
  <c r="AG121" i="17"/>
  <c r="AE152" i="17"/>
  <c r="AD152" i="17"/>
  <c r="AL152" i="17" s="1"/>
  <c r="Y152" i="12" s="1"/>
  <c r="AE26" i="17"/>
  <c r="AJ137" i="17"/>
  <c r="W137" i="12" s="1"/>
  <c r="F80" i="14" s="1"/>
  <c r="AE62" i="17"/>
  <c r="AD62" i="17"/>
  <c r="AL62" i="17" s="1"/>
  <c r="Y62" i="12" s="1"/>
  <c r="H45" i="14" s="1"/>
  <c r="AE114" i="17"/>
  <c r="AD114" i="17"/>
  <c r="AL114" i="17" s="1"/>
  <c r="Y114" i="12" s="1"/>
  <c r="O103" i="17"/>
  <c r="AI103" i="17" s="1"/>
  <c r="P101" i="17"/>
  <c r="AK101" i="17" s="1"/>
  <c r="X101" i="12" s="1"/>
  <c r="O24" i="17"/>
  <c r="AJ24" i="17" s="1"/>
  <c r="W24" i="12" s="1"/>
  <c r="AQ57" i="17"/>
  <c r="AQ173" i="17"/>
  <c r="AQ151" i="17"/>
  <c r="AE67" i="17"/>
  <c r="AP44" i="17"/>
  <c r="AG44" i="17"/>
  <c r="AM44" i="17" s="1"/>
  <c r="Z44" i="12" s="1"/>
  <c r="AJ6" i="17"/>
  <c r="W6" i="12" s="1"/>
  <c r="F24" i="14" s="1"/>
  <c r="O25" i="17"/>
  <c r="AJ25" i="17" s="1"/>
  <c r="W25" i="12" s="1"/>
  <c r="AQ64" i="17"/>
  <c r="AH64" i="17"/>
  <c r="O113" i="17"/>
  <c r="AJ113" i="17" s="1"/>
  <c r="W113" i="12" s="1"/>
  <c r="O115" i="17"/>
  <c r="AJ115" i="17" s="1"/>
  <c r="W115" i="12" s="1"/>
  <c r="AL45" i="17"/>
  <c r="Y45" i="12" s="1"/>
  <c r="AE43" i="17"/>
  <c r="AD43" i="17"/>
  <c r="AL43" i="17" s="1"/>
  <c r="Y43" i="12" s="1"/>
  <c r="AL33" i="17"/>
  <c r="Y33" i="12" s="1"/>
  <c r="H33" i="14" s="1"/>
  <c r="AF113" i="17"/>
  <c r="AG113" i="17"/>
  <c r="P74" i="17"/>
  <c r="AK74" i="17" s="1"/>
  <c r="X74" i="12" s="1"/>
  <c r="AP113" i="17"/>
  <c r="AE128" i="17"/>
  <c r="AD128" i="17"/>
  <c r="AL128" i="17" s="1"/>
  <c r="Y128" i="12" s="1"/>
  <c r="O16" i="17"/>
  <c r="AI16" i="17" s="1"/>
  <c r="V16" i="12" s="1"/>
  <c r="AE122" i="17"/>
  <c r="AD122" i="17"/>
  <c r="AL122" i="17" s="1"/>
  <c r="Y122" i="12" s="1"/>
  <c r="AQ32" i="17"/>
  <c r="O158" i="17"/>
  <c r="AI158" i="17" s="1"/>
  <c r="V158" i="12" s="1"/>
  <c r="O159" i="17"/>
  <c r="AJ159" i="17" s="1"/>
  <c r="W159" i="12" s="1"/>
  <c r="F89" i="14" s="1"/>
  <c r="AF45" i="17"/>
  <c r="AG45" i="17"/>
  <c r="AF21" i="17"/>
  <c r="AR21" i="17" s="1"/>
  <c r="AC21" i="12" s="1"/>
  <c r="I30" i="14" s="1"/>
  <c r="AG21" i="17"/>
  <c r="AF17" i="17"/>
  <c r="AG17" i="17"/>
  <c r="AD154" i="17"/>
  <c r="AL154" i="17" s="1"/>
  <c r="Y154" i="12" s="1"/>
  <c r="AD108" i="17"/>
  <c r="AM108" i="17" s="1"/>
  <c r="Z108" i="12" s="1"/>
  <c r="J65" i="14" s="1"/>
  <c r="AD76" i="17"/>
  <c r="AL76" i="17" s="1"/>
  <c r="Y76" i="12" s="1"/>
  <c r="AE150" i="17"/>
  <c r="AD150" i="17"/>
  <c r="AL150" i="17" s="1"/>
  <c r="Y150" i="12" s="1"/>
  <c r="P134" i="17"/>
  <c r="AK134" i="17" s="1"/>
  <c r="X134" i="12" s="1"/>
  <c r="AE116" i="17"/>
  <c r="AD116" i="17"/>
  <c r="AL116" i="17" s="1"/>
  <c r="Y116" i="12" s="1"/>
  <c r="AQ128" i="17"/>
  <c r="AQ114" i="17"/>
  <c r="AH114" i="17"/>
  <c r="AE102" i="17"/>
  <c r="O117" i="17"/>
  <c r="AI117" i="17" s="1"/>
  <c r="V117" i="12" s="1"/>
  <c r="E69" i="14" s="1"/>
  <c r="O146" i="17"/>
  <c r="AJ146" i="17" s="1"/>
  <c r="W146" i="12" s="1"/>
  <c r="AQ146" i="17"/>
  <c r="AH146" i="17"/>
  <c r="O112" i="17"/>
  <c r="O111" i="17"/>
  <c r="AJ111" i="17" s="1"/>
  <c r="W111" i="12" s="1"/>
  <c r="P76" i="17"/>
  <c r="AK76" i="17" s="1"/>
  <c r="X76" i="12" s="1"/>
  <c r="O150" i="17"/>
  <c r="AJ150" i="17" s="1"/>
  <c r="W150" i="12" s="1"/>
  <c r="AG69" i="17"/>
  <c r="AE58" i="17"/>
  <c r="AD58" i="17"/>
  <c r="AL58" i="17" s="1"/>
  <c r="Y58" i="12" s="1"/>
  <c r="O11" i="17"/>
  <c r="AI11" i="17" s="1"/>
  <c r="V11" i="12" s="1"/>
  <c r="O8" i="17"/>
  <c r="AJ8" i="17" s="1"/>
  <c r="W8" i="12" s="1"/>
  <c r="O9" i="17"/>
  <c r="AJ9" i="17" s="1"/>
  <c r="W9" i="12" s="1"/>
  <c r="O7" i="17"/>
  <c r="O10" i="17"/>
  <c r="AI10" i="17" s="1"/>
  <c r="AF85" i="17"/>
  <c r="AR85" i="17" s="1"/>
  <c r="AC85" i="12" s="1"/>
  <c r="AG85" i="17"/>
  <c r="AE34" i="17"/>
  <c r="AF54" i="17"/>
  <c r="AP54" i="17"/>
  <c r="AG54" i="17"/>
  <c r="AD109" i="17"/>
  <c r="AL109" i="17" s="1"/>
  <c r="Y109" i="12" s="1"/>
  <c r="H66" i="14" s="1"/>
  <c r="AD35" i="17"/>
  <c r="AL35" i="17" s="1"/>
  <c r="Y35" i="12" s="1"/>
  <c r="H35" i="14" s="1"/>
  <c r="O119" i="17"/>
  <c r="AJ119" i="17" s="1"/>
  <c r="W119" i="12" s="1"/>
  <c r="AE147" i="17"/>
  <c r="AD147" i="17"/>
  <c r="AL147" i="17" s="1"/>
  <c r="Y147" i="12" s="1"/>
  <c r="H83" i="14" s="1"/>
  <c r="AE173" i="17"/>
  <c r="AD173" i="17"/>
  <c r="AL173" i="17" s="1"/>
  <c r="Y173" i="12" s="1"/>
  <c r="AP97" i="17"/>
  <c r="AR97" i="17" s="1"/>
  <c r="AC97" i="12" s="1"/>
  <c r="AE90" i="17"/>
  <c r="AD90" i="17"/>
  <c r="AL90" i="17" s="1"/>
  <c r="Y90" i="12" s="1"/>
  <c r="AE140" i="17"/>
  <c r="AD140" i="17"/>
  <c r="AL140" i="17" s="1"/>
  <c r="Y140" i="12" s="1"/>
  <c r="O78" i="17"/>
  <c r="AJ78" i="17" s="1"/>
  <c r="W78" i="12" s="1"/>
  <c r="F52" i="14" s="1"/>
  <c r="AE86" i="17"/>
  <c r="AD86" i="17"/>
  <c r="AL86" i="17" s="1"/>
  <c r="Y86" i="12" s="1"/>
  <c r="AH112" i="17"/>
  <c r="AQ112" i="17"/>
  <c r="AH91" i="17"/>
  <c r="AH79" i="17"/>
  <c r="AG97" i="17"/>
  <c r="AM97" i="17" s="1"/>
  <c r="Z97" i="12" s="1"/>
  <c r="AE68" i="17"/>
  <c r="AH147" i="17"/>
  <c r="AF49" i="17"/>
  <c r="AG49" i="17"/>
  <c r="P39" i="17"/>
  <c r="AK39" i="17" s="1"/>
  <c r="X39" i="12" s="1"/>
  <c r="P20" i="17"/>
  <c r="AK20" i="17" s="1"/>
  <c r="X20" i="12" s="1"/>
  <c r="G29" i="14" s="1"/>
  <c r="AG129" i="17"/>
  <c r="AG65" i="17"/>
  <c r="AP69" i="17"/>
  <c r="O65" i="17"/>
  <c r="AJ65" i="17" s="1"/>
  <c r="W65" i="12" s="1"/>
  <c r="F48" i="14" s="1"/>
  <c r="O64" i="17"/>
  <c r="AJ64" i="17" s="1"/>
  <c r="W64" i="12" s="1"/>
  <c r="F47" i="14" s="1"/>
  <c r="O63" i="17"/>
  <c r="AJ63" i="17" s="1"/>
  <c r="W63" i="12" s="1"/>
  <c r="F46" i="14" s="1"/>
  <c r="AH20" i="17"/>
  <c r="AE20" i="17"/>
  <c r="AD20" i="17"/>
  <c r="AL20" i="17" s="1"/>
  <c r="Y20" i="12" s="1"/>
  <c r="H29" i="14" s="1"/>
  <c r="P117" i="17"/>
  <c r="AK117" i="17" s="1"/>
  <c r="X117" i="12" s="1"/>
  <c r="G69" i="14" s="1"/>
  <c r="AD52" i="17"/>
  <c r="AL52" i="17" s="1"/>
  <c r="Y52" i="12" s="1"/>
  <c r="AE52" i="17"/>
  <c r="AP142" i="17"/>
  <c r="AF142" i="17"/>
  <c r="AJ135" i="17"/>
  <c r="W135" i="12" s="1"/>
  <c r="F78" i="14" s="1"/>
  <c r="AI135" i="17"/>
  <c r="V135" i="12" s="1"/>
  <c r="E78" i="14" s="1"/>
  <c r="AL85" i="17"/>
  <c r="Y85" i="12" s="1"/>
  <c r="AE23" i="17"/>
  <c r="O131" i="17"/>
  <c r="AJ131" i="17" s="1"/>
  <c r="W131" i="12" s="1"/>
  <c r="O132" i="17"/>
  <c r="AJ132" i="17" s="1"/>
  <c r="W132" i="12" s="1"/>
  <c r="O127" i="17"/>
  <c r="AI127" i="17" s="1"/>
  <c r="O125" i="17"/>
  <c r="AI125" i="17" s="1"/>
  <c r="AG140" i="17"/>
  <c r="AF140" i="17"/>
  <c r="AP140" i="17"/>
  <c r="AH13" i="17"/>
  <c r="AQ13" i="17"/>
  <c r="O157" i="17"/>
  <c r="AI157" i="17" s="1"/>
  <c r="O154" i="17"/>
  <c r="AJ154" i="17" s="1"/>
  <c r="W154" i="12" s="1"/>
  <c r="AI151" i="17"/>
  <c r="V151" i="12" s="1"/>
  <c r="O52" i="17"/>
  <c r="AJ52" i="17" s="1"/>
  <c r="W52" i="12" s="1"/>
  <c r="O53" i="17"/>
  <c r="AI53" i="17" s="1"/>
  <c r="V53" i="12" s="1"/>
  <c r="O56" i="17"/>
  <c r="AI56" i="17" s="1"/>
  <c r="AE57" i="17"/>
  <c r="AD57" i="17"/>
  <c r="AL57" i="17" s="1"/>
  <c r="Y57" i="12" s="1"/>
  <c r="AQ161" i="17"/>
  <c r="AH161" i="17"/>
  <c r="AD71" i="17"/>
  <c r="AL71" i="17" s="1"/>
  <c r="Y71" i="12" s="1"/>
  <c r="AE71" i="17"/>
  <c r="AD37" i="17"/>
  <c r="AL37" i="17" s="1"/>
  <c r="Y37" i="12" s="1"/>
  <c r="AE37" i="17"/>
  <c r="AH129" i="17"/>
  <c r="AQ129" i="17"/>
  <c r="AD6" i="17"/>
  <c r="AL6" i="17" s="1"/>
  <c r="Y6" i="12" s="1"/>
  <c r="H24" i="14" s="1"/>
  <c r="AD118" i="17"/>
  <c r="AL118" i="17" s="1"/>
  <c r="Y118" i="12" s="1"/>
  <c r="H70" i="14" s="1"/>
  <c r="AH174" i="17"/>
  <c r="O136" i="17"/>
  <c r="AI136" i="17" s="1"/>
  <c r="V136" i="12" s="1"/>
  <c r="E79" i="14" s="1"/>
  <c r="O45" i="17"/>
  <c r="AJ45" i="17" s="1"/>
  <c r="W45" i="12" s="1"/>
  <c r="AF2" i="17"/>
  <c r="AG2" i="17"/>
  <c r="AF130" i="17"/>
  <c r="AR130" i="17" s="1"/>
  <c r="AC130" i="12" s="1"/>
  <c r="AD36" i="17"/>
  <c r="AL36" i="17" s="1"/>
  <c r="Y36" i="12" s="1"/>
  <c r="H36" i="14" s="1"/>
  <c r="AP64" i="17"/>
  <c r="AJ168" i="17"/>
  <c r="W168" i="12" s="1"/>
  <c r="F93" i="14" s="1"/>
  <c r="AE158" i="17"/>
  <c r="AE159" i="17"/>
  <c r="AG106" i="17"/>
  <c r="O84" i="17"/>
  <c r="AI84" i="17" s="1"/>
  <c r="V84" i="12" s="1"/>
  <c r="O48" i="17"/>
  <c r="AJ48" i="17" s="1"/>
  <c r="W48" i="12" s="1"/>
  <c r="F39" i="14" s="1"/>
  <c r="AP106" i="17"/>
  <c r="O160" i="17"/>
  <c r="AI160" i="17" s="1"/>
  <c r="V160" i="12" s="1"/>
  <c r="E90" i="14" s="1"/>
  <c r="P116" i="17"/>
  <c r="AK116" i="17" s="1"/>
  <c r="X116" i="12" s="1"/>
  <c r="G68" i="14" s="1"/>
  <c r="AP155" i="17"/>
  <c r="AP80" i="17"/>
  <c r="AH40" i="17"/>
  <c r="AL134" i="17"/>
  <c r="Y134" i="12" s="1"/>
  <c r="H77" i="14" s="1"/>
  <c r="AF46" i="17"/>
  <c r="P149" i="17"/>
  <c r="AK149" i="17" s="1"/>
  <c r="X149" i="12" s="1"/>
  <c r="G85" i="14" s="1"/>
  <c r="P138" i="17"/>
  <c r="AK138" i="17" s="1"/>
  <c r="X138" i="12" s="1"/>
  <c r="P124" i="17"/>
  <c r="AK124" i="17" s="1"/>
  <c r="X124" i="12" s="1"/>
  <c r="P107" i="17"/>
  <c r="AK107" i="17" s="1"/>
  <c r="X107" i="12" s="1"/>
  <c r="P36" i="17"/>
  <c r="AK36" i="17" s="1"/>
  <c r="X36" i="12" s="1"/>
  <c r="G36" i="14" s="1"/>
  <c r="P13" i="17"/>
  <c r="AK13" i="17" s="1"/>
  <c r="X13" i="12" s="1"/>
  <c r="O95" i="17"/>
  <c r="AI95" i="17" s="1"/>
  <c r="V95" i="12" s="1"/>
  <c r="E60" i="14" s="1"/>
  <c r="O27" i="17"/>
  <c r="AJ27" i="17" s="1"/>
  <c r="W27" i="12" s="1"/>
  <c r="P64" i="17"/>
  <c r="AK64" i="17" s="1"/>
  <c r="X64" i="12" s="1"/>
  <c r="G47" i="14" s="1"/>
  <c r="AP30" i="17"/>
  <c r="AG46" i="17"/>
  <c r="AG130" i="17"/>
  <c r="P112" i="17"/>
  <c r="AK112" i="17" s="1"/>
  <c r="X112" i="12" s="1"/>
  <c r="AL80" i="17"/>
  <c r="Y80" i="12" s="1"/>
  <c r="H54" i="14" s="1"/>
  <c r="O54" i="17"/>
  <c r="AJ54" i="17" s="1"/>
  <c r="W54" i="12" s="1"/>
  <c r="AL53" i="17"/>
  <c r="Y53" i="12" s="1"/>
  <c r="AL27" i="17"/>
  <c r="Y27" i="12" s="1"/>
  <c r="AL123" i="17"/>
  <c r="Y123" i="12" s="1"/>
  <c r="AL155" i="17"/>
  <c r="Y155" i="12" s="1"/>
  <c r="AL101" i="17"/>
  <c r="Y101" i="12" s="1"/>
  <c r="AL67" i="17"/>
  <c r="Y67" i="12" s="1"/>
  <c r="AQ105" i="17"/>
  <c r="AQ136" i="17"/>
  <c r="AH141" i="17"/>
  <c r="AL44" i="17"/>
  <c r="Y44" i="12" s="1"/>
  <c r="AL66" i="17"/>
  <c r="Y66" i="12" s="1"/>
  <c r="H49" i="14" s="1"/>
  <c r="O37" i="17"/>
  <c r="AJ37" i="17" s="1"/>
  <c r="W37" i="12" s="1"/>
  <c r="O87" i="17"/>
  <c r="AI87" i="17" s="1"/>
  <c r="V87" i="12" s="1"/>
  <c r="AG36" i="17"/>
  <c r="P160" i="17"/>
  <c r="AK160" i="17" s="1"/>
  <c r="X160" i="12" s="1"/>
  <c r="G90" i="14" s="1"/>
  <c r="AJ56" i="17"/>
  <c r="W56" i="12" s="1"/>
  <c r="AL151" i="17"/>
  <c r="Y151" i="12" s="1"/>
  <c r="AL23" i="17"/>
  <c r="Y23" i="12" s="1"/>
  <c r="AL87" i="17"/>
  <c r="Y87" i="12" s="1"/>
  <c r="P957" i="16"/>
  <c r="T702" i="16"/>
  <c r="T934" i="16"/>
  <c r="P825" i="16"/>
  <c r="H825" i="9" s="1"/>
  <c r="P720" i="16"/>
  <c r="P1312" i="16"/>
  <c r="H1312" i="9" s="1"/>
  <c r="I1312" i="9" s="1"/>
  <c r="T949" i="16"/>
  <c r="P767" i="16"/>
  <c r="H767" i="9" s="1"/>
  <c r="I767" i="9" s="1"/>
  <c r="T686" i="16"/>
  <c r="P1287" i="16"/>
  <c r="T1246" i="16"/>
  <c r="AL94" i="17"/>
  <c r="Y94" i="12" s="1"/>
  <c r="H59" i="14" s="1"/>
  <c r="T814" i="16"/>
  <c r="T683" i="16"/>
  <c r="T1252" i="16"/>
  <c r="T1270" i="16"/>
  <c r="T1262" i="16"/>
  <c r="T701" i="16"/>
  <c r="P1247" i="16"/>
  <c r="H1247" i="9" s="1"/>
  <c r="I1247" i="9" s="1"/>
  <c r="P1009" i="16"/>
  <c r="H1009" i="9" s="1"/>
  <c r="I1009" i="9" s="1"/>
  <c r="P951" i="16"/>
  <c r="H951" i="9" s="1"/>
  <c r="I951" i="9" s="1"/>
  <c r="P759" i="16"/>
  <c r="P691" i="16"/>
  <c r="H691" i="9" s="1"/>
  <c r="I691" i="9" s="1"/>
  <c r="P820" i="16"/>
  <c r="H820" i="9" s="1"/>
  <c r="P726" i="16"/>
  <c r="P1333" i="16"/>
  <c r="T1333" i="16" s="1"/>
  <c r="T678" i="16"/>
  <c r="T1318" i="16"/>
  <c r="T966" i="16"/>
  <c r="P1329" i="16"/>
  <c r="H1329" i="9" s="1"/>
  <c r="I1329" i="9" s="1"/>
  <c r="P1307" i="16"/>
  <c r="H1307" i="9" s="1"/>
  <c r="I1307" i="9" s="1"/>
  <c r="H1264" i="9"/>
  <c r="T1264" i="16"/>
  <c r="H904" i="9"/>
  <c r="I904" i="9" s="1"/>
  <c r="T904" i="16"/>
  <c r="H1303" i="9"/>
  <c r="I1303" i="9" s="1"/>
  <c r="T1303" i="16"/>
  <c r="AI32" i="17"/>
  <c r="V32" i="12" s="1"/>
  <c r="T1334" i="16"/>
  <c r="T1278" i="16"/>
  <c r="T933" i="16"/>
  <c r="P960" i="16"/>
  <c r="H960" i="9" s="1"/>
  <c r="I960" i="9" s="1"/>
  <c r="T902" i="16"/>
  <c r="P1280" i="16"/>
  <c r="H1280" i="9" s="1"/>
  <c r="I1280" i="9" s="1"/>
  <c r="P991" i="16"/>
  <c r="H991" i="9" s="1"/>
  <c r="I991" i="9" s="1"/>
  <c r="P1296" i="16"/>
  <c r="P1321" i="16"/>
  <c r="T1321" i="16" s="1"/>
  <c r="P983" i="16"/>
  <c r="H983" i="9" s="1"/>
  <c r="I983" i="9" s="1"/>
  <c r="T1255" i="16"/>
  <c r="T887" i="16"/>
  <c r="T712" i="16"/>
  <c r="T804" i="16"/>
  <c r="P1263" i="16"/>
  <c r="P893" i="16"/>
  <c r="H893" i="9" s="1"/>
  <c r="I893" i="9" s="1"/>
  <c r="P719" i="16"/>
  <c r="H719" i="9" s="1"/>
  <c r="I719" i="9" s="1"/>
  <c r="T1251" i="16"/>
  <c r="AK66" i="17"/>
  <c r="X66" i="12" s="1"/>
  <c r="G49" i="14" s="1"/>
  <c r="P725" i="16"/>
  <c r="H725" i="9" s="1"/>
  <c r="I725" i="9" s="1"/>
  <c r="AL158" i="17"/>
  <c r="Y158" i="12" s="1"/>
  <c r="H88" i="14" s="1"/>
  <c r="T1260" i="16"/>
  <c r="P1328" i="16"/>
  <c r="H1328" i="9" s="1"/>
  <c r="P964" i="16"/>
  <c r="T964" i="16" s="1"/>
  <c r="P992" i="16"/>
  <c r="H992" i="9" s="1"/>
  <c r="I992" i="9" s="1"/>
  <c r="T1326" i="16"/>
  <c r="P937" i="16"/>
  <c r="H937" i="9" s="1"/>
  <c r="I937" i="9" s="1"/>
  <c r="T870" i="16"/>
  <c r="T1245" i="16"/>
  <c r="T1259" i="16"/>
  <c r="P1332" i="16"/>
  <c r="H1332" i="9" s="1"/>
  <c r="I1332" i="9" s="1"/>
  <c r="T767" i="16"/>
  <c r="V126" i="12"/>
  <c r="E73" i="14" s="1"/>
  <c r="H759" i="9"/>
  <c r="I759" i="9" s="1"/>
  <c r="T759" i="16"/>
  <c r="H1296" i="9"/>
  <c r="I1296" i="9" s="1"/>
  <c r="T1296" i="16"/>
  <c r="H1321" i="9"/>
  <c r="I1321" i="9" s="1"/>
  <c r="O75" i="17"/>
  <c r="O73" i="17"/>
  <c r="O76" i="17"/>
  <c r="AJ76" i="17" s="1"/>
  <c r="W76" i="12" s="1"/>
  <c r="O72" i="17"/>
  <c r="AH122" i="17"/>
  <c r="AQ122" i="17"/>
  <c r="AQ58" i="17"/>
  <c r="AH58" i="17"/>
  <c r="O98" i="17"/>
  <c r="AI98" i="17" s="1"/>
  <c r="AH6" i="17"/>
  <c r="AQ6" i="17"/>
  <c r="AQ118" i="17"/>
  <c r="AH118" i="17"/>
  <c r="AP114" i="17"/>
  <c r="AF114" i="17"/>
  <c r="AP40" i="17"/>
  <c r="AG40" i="17"/>
  <c r="AF40" i="17"/>
  <c r="P85" i="17"/>
  <c r="AK85" i="17" s="1"/>
  <c r="X85" i="12" s="1"/>
  <c r="P84" i="17"/>
  <c r="AK84" i="17" s="1"/>
  <c r="X84" i="12" s="1"/>
  <c r="P86" i="17"/>
  <c r="AK86" i="17" s="1"/>
  <c r="X86" i="12" s="1"/>
  <c r="P3" i="17"/>
  <c r="AK3" i="17" s="1"/>
  <c r="X3" i="12" s="1"/>
  <c r="G21" i="14" s="1"/>
  <c r="P4" i="17"/>
  <c r="AK4" i="17" s="1"/>
  <c r="X4" i="12" s="1"/>
  <c r="G22" i="14" s="1"/>
  <c r="P2" i="17"/>
  <c r="AK2" i="17" s="1"/>
  <c r="X2" i="12" s="1"/>
  <c r="P5" i="17"/>
  <c r="AK5" i="17" s="1"/>
  <c r="X5" i="12" s="1"/>
  <c r="G23" i="14" s="1"/>
  <c r="P6" i="17"/>
  <c r="AK6" i="17" s="1"/>
  <c r="H879" i="9"/>
  <c r="I879" i="9" s="1"/>
  <c r="T879" i="16"/>
  <c r="H815" i="9"/>
  <c r="I815" i="9" s="1"/>
  <c r="T815" i="16"/>
  <c r="P83" i="17"/>
  <c r="AK83" i="17" s="1"/>
  <c r="X83" i="12" s="1"/>
  <c r="O29" i="17"/>
  <c r="H926" i="9"/>
  <c r="I926" i="9" s="1"/>
  <c r="T926" i="16"/>
  <c r="H791" i="9"/>
  <c r="I791" i="9" s="1"/>
  <c r="T791" i="16"/>
  <c r="H711" i="9"/>
  <c r="I711" i="9" s="1"/>
  <c r="T711" i="16"/>
  <c r="F1099" i="16"/>
  <c r="F1064" i="16"/>
  <c r="F1033" i="16"/>
  <c r="H726" i="9"/>
  <c r="I726" i="9" s="1"/>
  <c r="T726" i="16"/>
  <c r="P562" i="16"/>
  <c r="H562" i="9" s="1"/>
  <c r="T562" i="16"/>
  <c r="I562" i="9"/>
  <c r="F562" i="16"/>
  <c r="F1346" i="16"/>
  <c r="P1346" i="16" s="1"/>
  <c r="H1346" i="9" s="1"/>
  <c r="I1346" i="9" s="1"/>
  <c r="H728" i="9"/>
  <c r="I728" i="9" s="1"/>
  <c r="T728" i="16"/>
  <c r="F930" i="16"/>
  <c r="P930" i="16" s="1"/>
  <c r="H964" i="9"/>
  <c r="H939" i="9"/>
  <c r="I939" i="9" s="1"/>
  <c r="T939" i="16"/>
  <c r="P171" i="7"/>
  <c r="AH171" i="15"/>
  <c r="R171" i="7" s="1"/>
  <c r="S171" i="7" s="1"/>
  <c r="AP175" i="17"/>
  <c r="AF175" i="17"/>
  <c r="AF163" i="17"/>
  <c r="AP163" i="17"/>
  <c r="AR163" i="17" s="1"/>
  <c r="AC163" i="12" s="1"/>
  <c r="AF151" i="17"/>
  <c r="AP151" i="17"/>
  <c r="AP139" i="17"/>
  <c r="AF139" i="17"/>
  <c r="AF127" i="17"/>
  <c r="AP127" i="17"/>
  <c r="AF119" i="17"/>
  <c r="AP119" i="17"/>
  <c r="AF111" i="17"/>
  <c r="AP111" i="17"/>
  <c r="AF95" i="17"/>
  <c r="AP95" i="17"/>
  <c r="AP91" i="17"/>
  <c r="AF91" i="17"/>
  <c r="AP75" i="17"/>
  <c r="AF75" i="17"/>
  <c r="AP63" i="17"/>
  <c r="AF63" i="17"/>
  <c r="AF55" i="17"/>
  <c r="AP55" i="17"/>
  <c r="AF47" i="17"/>
  <c r="AP47" i="17"/>
  <c r="AF39" i="17"/>
  <c r="AP39" i="17"/>
  <c r="AF31" i="17"/>
  <c r="AP31" i="17"/>
  <c r="AF23" i="17"/>
  <c r="AP23" i="17"/>
  <c r="AF15" i="17"/>
  <c r="AP15" i="17"/>
  <c r="AR15" i="17" s="1"/>
  <c r="AC15" i="12" s="1"/>
  <c r="AP11" i="17"/>
  <c r="AF11" i="17"/>
  <c r="AR73" i="17"/>
  <c r="AC73" i="12" s="1"/>
  <c r="AQ24" i="17"/>
  <c r="AH24" i="17"/>
  <c r="AM12" i="17"/>
  <c r="Z12" i="12" s="1"/>
  <c r="AQ170" i="17"/>
  <c r="AH170" i="17"/>
  <c r="AP83" i="17"/>
  <c r="AR83" i="17" s="1"/>
  <c r="AC83" i="12" s="1"/>
  <c r="AP19" i="17"/>
  <c r="AR19" i="17" s="1"/>
  <c r="AC19" i="12" s="1"/>
  <c r="I28" i="14" s="1"/>
  <c r="AG150" i="17"/>
  <c r="AF150" i="17"/>
  <c r="O71" i="17"/>
  <c r="O70" i="17"/>
  <c r="AP171" i="17"/>
  <c r="AG134" i="17"/>
  <c r="AF134" i="17"/>
  <c r="AK118" i="17"/>
  <c r="X118" i="12" s="1"/>
  <c r="G70" i="14" s="1"/>
  <c r="AP71" i="17"/>
  <c r="AG114" i="17"/>
  <c r="AH30" i="17"/>
  <c r="AQ30" i="17"/>
  <c r="AP123" i="17"/>
  <c r="AP24" i="17"/>
  <c r="AF24" i="17"/>
  <c r="AG24" i="17"/>
  <c r="P143" i="17"/>
  <c r="AK143" i="17" s="1"/>
  <c r="X143" i="12" s="1"/>
  <c r="P145" i="17"/>
  <c r="AK145" i="17" s="1"/>
  <c r="X145" i="12" s="1"/>
  <c r="P142" i="17"/>
  <c r="AK142" i="17" s="1"/>
  <c r="X142" i="12" s="1"/>
  <c r="AH102" i="17"/>
  <c r="AQ102" i="17"/>
  <c r="AP98" i="17"/>
  <c r="AG98" i="17"/>
  <c r="AF98" i="17"/>
  <c r="P144" i="17"/>
  <c r="AK144" i="17" s="1"/>
  <c r="O67" i="17"/>
  <c r="AJ67" i="17" s="1"/>
  <c r="W67" i="12" s="1"/>
  <c r="O99" i="17"/>
  <c r="P156" i="17"/>
  <c r="AK156" i="17" s="1"/>
  <c r="X156" i="12" s="1"/>
  <c r="H878" i="9"/>
  <c r="I878" i="9" s="1"/>
  <c r="T878" i="16"/>
  <c r="H861" i="9"/>
  <c r="I861" i="9" s="1"/>
  <c r="T861" i="16"/>
  <c r="H694" i="9"/>
  <c r="I694" i="9" s="1"/>
  <c r="T694" i="16"/>
  <c r="AE146" i="17"/>
  <c r="AD146" i="17"/>
  <c r="AD18" i="17"/>
  <c r="AL18" i="17" s="1"/>
  <c r="Y18" i="12" s="1"/>
  <c r="AE18" i="17"/>
  <c r="I585" i="9"/>
  <c r="T585" i="16"/>
  <c r="P585" i="16"/>
  <c r="H585" i="9" s="1"/>
  <c r="F585" i="16"/>
  <c r="F779" i="16"/>
  <c r="P779" i="16" s="1"/>
  <c r="F331" i="16"/>
  <c r="I331" i="9"/>
  <c r="T331" i="16"/>
  <c r="P331" i="16"/>
  <c r="H331" i="9" s="1"/>
  <c r="F1338" i="16"/>
  <c r="P1338" i="16" s="1"/>
  <c r="F1016" i="16"/>
  <c r="P167" i="17"/>
  <c r="AK167" i="17" s="1"/>
  <c r="P169" i="17"/>
  <c r="AK169" i="17" s="1"/>
  <c r="P168" i="17"/>
  <c r="AK168" i="17" s="1"/>
  <c r="X168" i="12" s="1"/>
  <c r="G93" i="14" s="1"/>
  <c r="P131" i="17"/>
  <c r="P133" i="17"/>
  <c r="AK133" i="17" s="1"/>
  <c r="P68" i="17"/>
  <c r="AK68" i="17" s="1"/>
  <c r="X68" i="12" s="1"/>
  <c r="P69" i="17"/>
  <c r="AK69" i="17" s="1"/>
  <c r="X69" i="12" s="1"/>
  <c r="P70" i="17"/>
  <c r="AK70" i="17" s="1"/>
  <c r="X70" i="12" s="1"/>
  <c r="P71" i="17"/>
  <c r="AK71" i="17" s="1"/>
  <c r="X71" i="12" s="1"/>
  <c r="P67" i="17"/>
  <c r="P30" i="17"/>
  <c r="AK30" i="17" s="1"/>
  <c r="X30" i="12" s="1"/>
  <c r="P28" i="17"/>
  <c r="AK28" i="17" s="1"/>
  <c r="X28" i="12" s="1"/>
  <c r="P29" i="17"/>
  <c r="AK29" i="17" s="1"/>
  <c r="X29" i="12" s="1"/>
  <c r="P27" i="17"/>
  <c r="AK27" i="17" s="1"/>
  <c r="X27" i="12" s="1"/>
  <c r="P8" i="17"/>
  <c r="AK8" i="17" s="1"/>
  <c r="X8" i="12" s="1"/>
  <c r="P7" i="17"/>
  <c r="AK7" i="17" s="1"/>
  <c r="P9" i="17"/>
  <c r="AK9" i="17" s="1"/>
  <c r="X9" i="12" s="1"/>
  <c r="P172" i="17"/>
  <c r="P170" i="17"/>
  <c r="AK170" i="17" s="1"/>
  <c r="X170" i="12" s="1"/>
  <c r="P42" i="17"/>
  <c r="AK42" i="17" s="1"/>
  <c r="X42" i="12" s="1"/>
  <c r="P43" i="17"/>
  <c r="AK43" i="17" s="1"/>
  <c r="X43" i="12" s="1"/>
  <c r="P46" i="17"/>
  <c r="AK46" i="17" s="1"/>
  <c r="X46" i="12" s="1"/>
  <c r="AH74" i="17"/>
  <c r="AM74" i="17" s="1"/>
  <c r="Z74" i="12" s="1"/>
  <c r="AQ74" i="17"/>
  <c r="AH10" i="17"/>
  <c r="AQ10" i="17"/>
  <c r="AP87" i="17"/>
  <c r="AE78" i="17"/>
  <c r="AD78" i="17"/>
  <c r="AL78" i="17" s="1"/>
  <c r="Y78" i="12" s="1"/>
  <c r="AQ52" i="17"/>
  <c r="AH52" i="17"/>
  <c r="O163" i="17"/>
  <c r="AJ163" i="17" s="1"/>
  <c r="W163" i="12" s="1"/>
  <c r="O161" i="17"/>
  <c r="O162" i="17"/>
  <c r="AI162" i="17" s="1"/>
  <c r="O46" i="17"/>
  <c r="AI46" i="17" s="1"/>
  <c r="H1309" i="9"/>
  <c r="I1309" i="9" s="1"/>
  <c r="T1309" i="16"/>
  <c r="H958" i="9"/>
  <c r="I958" i="9" s="1"/>
  <c r="T958" i="16"/>
  <c r="H750" i="9"/>
  <c r="I750" i="9" s="1"/>
  <c r="T750" i="16"/>
  <c r="AP146" i="17"/>
  <c r="AG146" i="17"/>
  <c r="AF146" i="17"/>
  <c r="F451" i="16"/>
  <c r="P451" i="16"/>
  <c r="H451" i="9" s="1"/>
  <c r="I451" i="9"/>
  <c r="T451" i="16"/>
  <c r="AK153" i="17"/>
  <c r="X153" i="12" s="1"/>
  <c r="AP161" i="17"/>
  <c r="O122" i="17"/>
  <c r="O123" i="17"/>
  <c r="AH120" i="17"/>
  <c r="AQ120" i="17"/>
  <c r="O59" i="17"/>
  <c r="O60" i="17"/>
  <c r="AJ60" i="17" s="1"/>
  <c r="W60" i="12" s="1"/>
  <c r="O57" i="17"/>
  <c r="O61" i="17"/>
  <c r="O12" i="17"/>
  <c r="AJ12" i="17" s="1"/>
  <c r="W12" i="12" s="1"/>
  <c r="O13" i="17"/>
  <c r="O14" i="17"/>
  <c r="AJ14" i="17" s="1"/>
  <c r="W14" i="12" s="1"/>
  <c r="AP99" i="17"/>
  <c r="AR99" i="17" s="1"/>
  <c r="AC99" i="12" s="1"/>
  <c r="AP35" i="17"/>
  <c r="AL156" i="17"/>
  <c r="Y156" i="12" s="1"/>
  <c r="AL92" i="17"/>
  <c r="Y92" i="12" s="1"/>
  <c r="AL28" i="17"/>
  <c r="Y28" i="12" s="1"/>
  <c r="P82" i="17"/>
  <c r="AK82" i="17" s="1"/>
  <c r="X82" i="12" s="1"/>
  <c r="AF22" i="17"/>
  <c r="AG22" i="17"/>
  <c r="O130" i="17"/>
  <c r="AJ130" i="17" s="1"/>
  <c r="W130" i="12" s="1"/>
  <c r="O129" i="17"/>
  <c r="O128" i="17"/>
  <c r="AJ128" i="17" s="1"/>
  <c r="W128" i="12" s="1"/>
  <c r="O100" i="17"/>
  <c r="AI100" i="17" s="1"/>
  <c r="AH100" i="17"/>
  <c r="AQ100" i="17"/>
  <c r="H919" i="9"/>
  <c r="I919" i="9" s="1"/>
  <c r="T919" i="16"/>
  <c r="AP137" i="17"/>
  <c r="P44" i="17"/>
  <c r="AK44" i="17" s="1"/>
  <c r="X44" i="12" s="1"/>
  <c r="O97" i="17"/>
  <c r="O58" i="17"/>
  <c r="AH2" i="17"/>
  <c r="AQ2" i="17"/>
  <c r="T950" i="16"/>
  <c r="P130" i="17"/>
  <c r="AK130" i="17" s="1"/>
  <c r="X130" i="12" s="1"/>
  <c r="H909" i="9"/>
  <c r="I909" i="9" s="1"/>
  <c r="T909" i="16"/>
  <c r="AL146" i="17"/>
  <c r="Y146" i="12" s="1"/>
  <c r="AI112" i="17"/>
  <c r="P150" i="17"/>
  <c r="AK150" i="17" s="1"/>
  <c r="P151" i="17"/>
  <c r="AK151" i="17" s="1"/>
  <c r="X151" i="12" s="1"/>
  <c r="P152" i="17"/>
  <c r="AK152" i="17" s="1"/>
  <c r="AF68" i="17"/>
  <c r="AP68" i="17"/>
  <c r="F1281" i="16"/>
  <c r="P1281" i="16" s="1"/>
  <c r="H1281" i="9" s="1"/>
  <c r="I1281" i="9" s="1"/>
  <c r="F1186" i="16"/>
  <c r="F1331" i="16"/>
  <c r="P1331" i="16" s="1"/>
  <c r="F1274" i="16"/>
  <c r="P1274" i="16" s="1"/>
  <c r="F946" i="16"/>
  <c r="P946" i="16" s="1"/>
  <c r="F1253" i="16"/>
  <c r="P1253" i="16" s="1"/>
  <c r="H935" i="9"/>
  <c r="I935" i="9" s="1"/>
  <c r="T935" i="16"/>
  <c r="F746" i="16"/>
  <c r="P746" i="16" s="1"/>
  <c r="F1305" i="16"/>
  <c r="P1305" i="16" s="1"/>
  <c r="H1305" i="9" s="1"/>
  <c r="I1305" i="9" s="1"/>
  <c r="O348" i="16"/>
  <c r="P755" i="16"/>
  <c r="O28" i="17"/>
  <c r="AJ28" i="17" s="1"/>
  <c r="W28" i="12" s="1"/>
  <c r="O30" i="17"/>
  <c r="AI30" i="17" s="1"/>
  <c r="P154" i="17"/>
  <c r="AK154" i="17" s="1"/>
  <c r="X154" i="12" s="1"/>
  <c r="P157" i="17"/>
  <c r="AK157" i="17" s="1"/>
  <c r="X157" i="12" s="1"/>
  <c r="P155" i="17"/>
  <c r="AK155" i="17" s="1"/>
  <c r="X155" i="12" s="1"/>
  <c r="P121" i="17"/>
  <c r="AK121" i="17" s="1"/>
  <c r="P120" i="17"/>
  <c r="AK120" i="17" s="1"/>
  <c r="X120" i="12" s="1"/>
  <c r="P119" i="17"/>
  <c r="AK119" i="17" s="1"/>
  <c r="X119" i="12" s="1"/>
  <c r="P89" i="17"/>
  <c r="AK89" i="17" s="1"/>
  <c r="P91" i="17"/>
  <c r="AK91" i="17" s="1"/>
  <c r="X91" i="12" s="1"/>
  <c r="P90" i="17"/>
  <c r="AK90" i="17" s="1"/>
  <c r="X90" i="12" s="1"/>
  <c r="P88" i="17"/>
  <c r="AK88" i="17" s="1"/>
  <c r="X88" i="12" s="1"/>
  <c r="P50" i="17"/>
  <c r="AK50" i="17" s="1"/>
  <c r="X50" i="12" s="1"/>
  <c r="G41" i="14" s="1"/>
  <c r="P51" i="17"/>
  <c r="AK51" i="17" s="1"/>
  <c r="X51" i="12" s="1"/>
  <c r="G42" i="14" s="1"/>
  <c r="P47" i="17"/>
  <c r="AK47" i="17" s="1"/>
  <c r="X47" i="12" s="1"/>
  <c r="P49" i="17"/>
  <c r="AK49" i="17" s="1"/>
  <c r="X49" i="12" s="1"/>
  <c r="G40" i="14" s="1"/>
  <c r="P48" i="17"/>
  <c r="AK48" i="17" s="1"/>
  <c r="X48" i="12" s="1"/>
  <c r="G39" i="14" s="1"/>
  <c r="AL136" i="17"/>
  <c r="Y136" i="12" s="1"/>
  <c r="H79" i="14" s="1"/>
  <c r="AI155" i="17"/>
  <c r="P132" i="17"/>
  <c r="AK132" i="17" s="1"/>
  <c r="O34" i="17"/>
  <c r="AJ34" i="17" s="1"/>
  <c r="W34" i="12" s="1"/>
  <c r="F34" i="14" s="1"/>
  <c r="O36" i="17"/>
  <c r="AJ36" i="17" s="1"/>
  <c r="W36" i="12" s="1"/>
  <c r="F36" i="14" s="1"/>
  <c r="O35" i="17"/>
  <c r="AJ35" i="17" s="1"/>
  <c r="W35" i="12" s="1"/>
  <c r="F35" i="14" s="1"/>
  <c r="O33" i="17"/>
  <c r="AP134" i="17"/>
  <c r="AE100" i="17"/>
  <c r="AD100" i="17"/>
  <c r="AL100" i="17" s="1"/>
  <c r="Y100" i="12" s="1"/>
  <c r="AI65" i="17"/>
  <c r="P55" i="17"/>
  <c r="AK55" i="17" s="1"/>
  <c r="X55" i="12" s="1"/>
  <c r="P25" i="17"/>
  <c r="AK25" i="17" s="1"/>
  <c r="P26" i="17"/>
  <c r="AK26" i="17" s="1"/>
  <c r="P23" i="17"/>
  <c r="AK23" i="17" s="1"/>
  <c r="X23" i="12" s="1"/>
  <c r="P22" i="17"/>
  <c r="AK22" i="17" s="1"/>
  <c r="X22" i="12" s="1"/>
  <c r="P147" i="17"/>
  <c r="AK147" i="17" s="1"/>
  <c r="X147" i="12" s="1"/>
  <c r="G83" i="14" s="1"/>
  <c r="O863" i="16"/>
  <c r="P863" i="16" s="1"/>
  <c r="AP143" i="17"/>
  <c r="P87" i="17"/>
  <c r="AK87" i="17" s="1"/>
  <c r="X87" i="12" s="1"/>
  <c r="H1333" i="9"/>
  <c r="I1333" i="9" s="1"/>
  <c r="H766" i="9"/>
  <c r="I766" i="9" s="1"/>
  <c r="T766" i="16"/>
  <c r="H727" i="9"/>
  <c r="I727" i="9" s="1"/>
  <c r="T727" i="16"/>
  <c r="P24" i="17"/>
  <c r="AK24" i="17" s="1"/>
  <c r="X24" i="12" s="1"/>
  <c r="AP7" i="17"/>
  <c r="AR7" i="17" s="1"/>
  <c r="AC7" i="12" s="1"/>
  <c r="AQ18" i="17"/>
  <c r="AH18" i="17"/>
  <c r="F1145" i="16"/>
  <c r="F1211" i="16"/>
  <c r="H1344" i="9"/>
  <c r="I1344" i="9" s="1"/>
  <c r="T1344" i="16"/>
  <c r="F818" i="16"/>
  <c r="P818" i="16" s="1"/>
  <c r="F682" i="16"/>
  <c r="P682" i="16" s="1"/>
  <c r="T170" i="16"/>
  <c r="P170" i="16"/>
  <c r="H170" i="9" s="1"/>
  <c r="I170" i="9"/>
  <c r="T323" i="16"/>
  <c r="P323" i="16"/>
  <c r="H323" i="9" s="1"/>
  <c r="I323" i="9"/>
  <c r="F323" i="16"/>
  <c r="T195" i="16"/>
  <c r="P195" i="16"/>
  <c r="H195" i="9" s="1"/>
  <c r="F195" i="16"/>
  <c r="I195" i="9"/>
  <c r="H839" i="9"/>
  <c r="I839" i="9" s="1"/>
  <c r="T839" i="16"/>
  <c r="O139" i="17"/>
  <c r="O138" i="17"/>
  <c r="O140" i="17"/>
  <c r="AJ140" i="17" s="1"/>
  <c r="W140" i="12" s="1"/>
  <c r="O107" i="17"/>
  <c r="O109" i="17"/>
  <c r="O108" i="17"/>
  <c r="AI108" i="17" s="1"/>
  <c r="AQ56" i="17"/>
  <c r="AH56" i="17"/>
  <c r="AE40" i="17"/>
  <c r="AH90" i="17"/>
  <c r="AQ90" i="17"/>
  <c r="AH26" i="17"/>
  <c r="AQ26" i="17"/>
  <c r="AH140" i="17"/>
  <c r="AQ140" i="17"/>
  <c r="AH76" i="17"/>
  <c r="AQ76" i="17"/>
  <c r="AP150" i="17"/>
  <c r="AD132" i="17"/>
  <c r="AL132" i="17" s="1"/>
  <c r="Y132" i="12" s="1"/>
  <c r="AH94" i="17"/>
  <c r="AE4" i="17"/>
  <c r="AD4" i="17"/>
  <c r="AL4" i="17" s="1"/>
  <c r="Y4" i="12" s="1"/>
  <c r="H22" i="14" s="1"/>
  <c r="AH134" i="17"/>
  <c r="AQ134" i="17"/>
  <c r="AH66" i="17"/>
  <c r="AM66" i="17" s="1"/>
  <c r="Z66" i="12" s="1"/>
  <c r="J49" i="14" s="1"/>
  <c r="AQ66" i="17"/>
  <c r="AP88" i="17"/>
  <c r="AF88" i="17"/>
  <c r="AG88" i="17"/>
  <c r="AI35" i="17"/>
  <c r="O174" i="17"/>
  <c r="AI174" i="17" s="1"/>
  <c r="P141" i="17"/>
  <c r="AK141" i="17" s="1"/>
  <c r="AP107" i="17"/>
  <c r="AR107" i="17" s="1"/>
  <c r="AC107" i="12" s="1"/>
  <c r="AP164" i="17"/>
  <c r="AG164" i="17"/>
  <c r="AF164" i="17"/>
  <c r="O142" i="17"/>
  <c r="AI142" i="17" s="1"/>
  <c r="O145" i="17"/>
  <c r="H783" i="9"/>
  <c r="I783" i="9" s="1"/>
  <c r="T783" i="16"/>
  <c r="P139" i="17"/>
  <c r="AK139" i="17" s="1"/>
  <c r="X139" i="12" s="1"/>
  <c r="P108" i="17"/>
  <c r="AK108" i="17" s="1"/>
  <c r="X108" i="12" s="1"/>
  <c r="G65" i="14" s="1"/>
  <c r="V133" i="12"/>
  <c r="P62" i="17"/>
  <c r="AK62" i="17" s="1"/>
  <c r="X62" i="12" s="1"/>
  <c r="O143" i="17"/>
  <c r="P45" i="17"/>
  <c r="AK45" i="17" s="1"/>
  <c r="X45" i="12" s="1"/>
  <c r="T742" i="16"/>
  <c r="H782" i="9"/>
  <c r="I782" i="9" s="1"/>
  <c r="T782" i="16"/>
  <c r="AH148" i="17"/>
  <c r="AQ148" i="17"/>
  <c r="O62" i="17"/>
  <c r="AI62" i="17" s="1"/>
  <c r="O66" i="17"/>
  <c r="AP9" i="17"/>
  <c r="AJ133" i="17"/>
  <c r="W133" i="12" s="1"/>
  <c r="T994" i="16"/>
  <c r="F994" i="16"/>
  <c r="P994" i="16" s="1"/>
  <c r="H994" i="9" s="1"/>
  <c r="I994" i="9" s="1"/>
  <c r="AP121" i="17"/>
  <c r="T457" i="16"/>
  <c r="P457" i="16"/>
  <c r="H457" i="9" s="1"/>
  <c r="I457" i="9"/>
  <c r="T434" i="16"/>
  <c r="P434" i="16"/>
  <c r="H434" i="9" s="1"/>
  <c r="I434" i="9"/>
  <c r="F434" i="16"/>
  <c r="T265" i="16"/>
  <c r="P265" i="16"/>
  <c r="H265" i="9" s="1"/>
  <c r="I265" i="9"/>
  <c r="T242" i="16"/>
  <c r="P242" i="16"/>
  <c r="H242" i="9" s="1"/>
  <c r="I242" i="9"/>
  <c r="F242" i="16"/>
  <c r="F1248" i="16"/>
  <c r="P1248" i="16" s="1"/>
  <c r="F1125" i="16"/>
  <c r="P920" i="16"/>
  <c r="F170" i="16"/>
  <c r="F1026" i="16"/>
  <c r="H845" i="9"/>
  <c r="I845" i="9" s="1"/>
  <c r="T845" i="16"/>
  <c r="P761" i="16"/>
  <c r="H761" i="9" s="1"/>
  <c r="O528" i="16"/>
  <c r="H687" i="9"/>
  <c r="I687" i="9" s="1"/>
  <c r="T687" i="16"/>
  <c r="AP173" i="17"/>
  <c r="AF173" i="17"/>
  <c r="AF169" i="17"/>
  <c r="AP169" i="17"/>
  <c r="AF153" i="17"/>
  <c r="AM153" i="17" s="1"/>
  <c r="AP153" i="17"/>
  <c r="AF145" i="17"/>
  <c r="AP145" i="17"/>
  <c r="AF141" i="17"/>
  <c r="AP141" i="17"/>
  <c r="AF125" i="17"/>
  <c r="AP125" i="17"/>
  <c r="AF117" i="17"/>
  <c r="AP117" i="17"/>
  <c r="AF109" i="17"/>
  <c r="AP109" i="17"/>
  <c r="AP105" i="17"/>
  <c r="AF105" i="17"/>
  <c r="AF89" i="17"/>
  <c r="AM89" i="17" s="1"/>
  <c r="Z89" i="12" s="1"/>
  <c r="AP89" i="17"/>
  <c r="AF77" i="17"/>
  <c r="AP77" i="17"/>
  <c r="AR77" i="17" s="1"/>
  <c r="AC77" i="12" s="1"/>
  <c r="AF61" i="17"/>
  <c r="AP61" i="17"/>
  <c r="AF57" i="17"/>
  <c r="AP57" i="17"/>
  <c r="AF53" i="17"/>
  <c r="AM53" i="17" s="1"/>
  <c r="Z53" i="12" s="1"/>
  <c r="AP53" i="17"/>
  <c r="AF41" i="17"/>
  <c r="AP41" i="17"/>
  <c r="AP33" i="17"/>
  <c r="AF33" i="17"/>
  <c r="AP29" i="17"/>
  <c r="AF29" i="17"/>
  <c r="AP25" i="17"/>
  <c r="AF25" i="17"/>
  <c r="AF13" i="17"/>
  <c r="AP13" i="17"/>
  <c r="AD168" i="17"/>
  <c r="AE168" i="17"/>
  <c r="AI92" i="17"/>
  <c r="AP81" i="17"/>
  <c r="AD24" i="17"/>
  <c r="AL24" i="17" s="1"/>
  <c r="Y24" i="12" s="1"/>
  <c r="AK172" i="17"/>
  <c r="X172" i="12" s="1"/>
  <c r="AP115" i="17"/>
  <c r="AP51" i="17"/>
  <c r="AR51" i="17" s="1"/>
  <c r="AC51" i="12" s="1"/>
  <c r="I42" i="14" s="1"/>
  <c r="P15" i="17"/>
  <c r="AP165" i="17"/>
  <c r="AR165" i="17" s="1"/>
  <c r="AC165" i="12" s="1"/>
  <c r="AP101" i="17"/>
  <c r="AP37" i="17"/>
  <c r="AL12" i="17"/>
  <c r="Y12" i="12" s="1"/>
  <c r="P136" i="17"/>
  <c r="AK136" i="17" s="1"/>
  <c r="X136" i="12" s="1"/>
  <c r="G79" i="14" s="1"/>
  <c r="P137" i="17"/>
  <c r="AK137" i="17" s="1"/>
  <c r="P135" i="17"/>
  <c r="AK135" i="17" s="1"/>
  <c r="X135" i="12" s="1"/>
  <c r="G78" i="14" s="1"/>
  <c r="AP59" i="17"/>
  <c r="AH4" i="17"/>
  <c r="AQ4" i="17"/>
  <c r="AP79" i="17"/>
  <c r="AR79" i="17" s="1"/>
  <c r="AC79" i="12" s="1"/>
  <c r="I53" i="14" s="1"/>
  <c r="AG118" i="17"/>
  <c r="AF118" i="17"/>
  <c r="AL174" i="17"/>
  <c r="Y174" i="12" s="1"/>
  <c r="AP159" i="17"/>
  <c r="O51" i="17"/>
  <c r="AI51" i="17" s="1"/>
  <c r="O49" i="17"/>
  <c r="O47" i="17"/>
  <c r="AG10" i="17"/>
  <c r="AP10" i="17"/>
  <c r="AF10" i="17"/>
  <c r="P105" i="17"/>
  <c r="AK105" i="17" s="1"/>
  <c r="X105" i="12" s="1"/>
  <c r="P104" i="17"/>
  <c r="AK104" i="17" s="1"/>
  <c r="X104" i="12" s="1"/>
  <c r="P103" i="17"/>
  <c r="AK103" i="17" s="1"/>
  <c r="X103" i="12" s="1"/>
  <c r="P102" i="17"/>
  <c r="AK102" i="17" s="1"/>
  <c r="X102" i="12" s="1"/>
  <c r="P106" i="17"/>
  <c r="AK106" i="17" s="1"/>
  <c r="X106" i="12" s="1"/>
  <c r="AL102" i="17"/>
  <c r="Y102" i="12" s="1"/>
  <c r="AE98" i="17"/>
  <c r="AD98" i="17"/>
  <c r="AL98" i="17" s="1"/>
  <c r="Y98" i="12" s="1"/>
  <c r="AP93" i="17"/>
  <c r="AR93" i="17" s="1"/>
  <c r="AC93" i="12" s="1"/>
  <c r="I58" i="14" s="1"/>
  <c r="P10" i="17"/>
  <c r="AK10" i="17" s="1"/>
  <c r="X10" i="12" s="1"/>
  <c r="H942" i="9"/>
  <c r="I942" i="9" s="1"/>
  <c r="T942" i="16"/>
  <c r="H775" i="9"/>
  <c r="I775" i="9" s="1"/>
  <c r="T775" i="16"/>
  <c r="H710" i="9"/>
  <c r="I710" i="9" s="1"/>
  <c r="T710" i="16"/>
  <c r="AH110" i="17"/>
  <c r="AQ110" i="17"/>
  <c r="AG8" i="17"/>
  <c r="AP8" i="17"/>
  <c r="AF8" i="17"/>
  <c r="AF14" i="17"/>
  <c r="AG14" i="17"/>
  <c r="AP14" i="17"/>
  <c r="AP126" i="17"/>
  <c r="AF126" i="17"/>
  <c r="O68" i="17"/>
  <c r="AJ68" i="17" s="1"/>
  <c r="W68" i="12" s="1"/>
  <c r="F1339" i="16"/>
  <c r="P1339" i="16" s="1"/>
  <c r="H1339" i="9" s="1"/>
  <c r="I1339" i="9" s="1"/>
  <c r="F1073" i="16"/>
  <c r="F690" i="16"/>
  <c r="P690" i="16" s="1"/>
  <c r="F874" i="16"/>
  <c r="P874" i="16" s="1"/>
  <c r="H874" i="9" s="1"/>
  <c r="I874" i="9" s="1"/>
  <c r="P257" i="16"/>
  <c r="H257" i="9" s="1"/>
  <c r="T257" i="16"/>
  <c r="I257" i="9"/>
  <c r="F257" i="16"/>
  <c r="P175" i="17"/>
  <c r="AK175" i="17" s="1"/>
  <c r="P173" i="17"/>
  <c r="AK173" i="17" s="1"/>
  <c r="X173" i="12" s="1"/>
  <c r="P162" i="17"/>
  <c r="AK162" i="17" s="1"/>
  <c r="X162" i="12" s="1"/>
  <c r="P126" i="17"/>
  <c r="AK126" i="17" s="1"/>
  <c r="X126" i="12" s="1"/>
  <c r="G73" i="14" s="1"/>
  <c r="P127" i="17"/>
  <c r="AK127" i="17" s="1"/>
  <c r="X127" i="12" s="1"/>
  <c r="G74" i="14" s="1"/>
  <c r="P113" i="17"/>
  <c r="AK113" i="17" s="1"/>
  <c r="X113" i="12" s="1"/>
  <c r="P114" i="17"/>
  <c r="AK114" i="17" s="1"/>
  <c r="X114" i="12" s="1"/>
  <c r="P115" i="17"/>
  <c r="AK115" i="17" s="1"/>
  <c r="X115" i="12" s="1"/>
  <c r="P100" i="17"/>
  <c r="AK100" i="17" s="1"/>
  <c r="X100" i="12" s="1"/>
  <c r="P97" i="17"/>
  <c r="AK97" i="17" s="1"/>
  <c r="X97" i="12" s="1"/>
  <c r="P98" i="17"/>
  <c r="AK98" i="17" s="1"/>
  <c r="X98" i="12" s="1"/>
  <c r="P95" i="17"/>
  <c r="AK95" i="17" s="1"/>
  <c r="X95" i="12" s="1"/>
  <c r="G60" i="14" s="1"/>
  <c r="P92" i="17"/>
  <c r="AK92" i="17" s="1"/>
  <c r="X92" i="12" s="1"/>
  <c r="P79" i="17"/>
  <c r="AK79" i="17" s="1"/>
  <c r="X79" i="12" s="1"/>
  <c r="G53" i="14" s="1"/>
  <c r="P81" i="17"/>
  <c r="AK81" i="17" s="1"/>
  <c r="X81" i="12" s="1"/>
  <c r="G55" i="14" s="1"/>
  <c r="P80" i="17"/>
  <c r="AK80" i="17" s="1"/>
  <c r="X80" i="12" s="1"/>
  <c r="G54" i="14" s="1"/>
  <c r="P77" i="17"/>
  <c r="AK77" i="17" s="1"/>
  <c r="X77" i="12" s="1"/>
  <c r="P78" i="17"/>
  <c r="AK78" i="17" s="1"/>
  <c r="X78" i="12" s="1"/>
  <c r="G52" i="14" s="1"/>
  <c r="P60" i="17"/>
  <c r="AK60" i="17" s="1"/>
  <c r="X60" i="12" s="1"/>
  <c r="P58" i="17"/>
  <c r="AK58" i="17" s="1"/>
  <c r="X58" i="12" s="1"/>
  <c r="P59" i="17"/>
  <c r="AK59" i="17" s="1"/>
  <c r="X59" i="12" s="1"/>
  <c r="P61" i="17"/>
  <c r="AK61" i="17" s="1"/>
  <c r="X61" i="12" s="1"/>
  <c r="P37" i="17"/>
  <c r="AK37" i="17" s="1"/>
  <c r="X37" i="12" s="1"/>
  <c r="P38" i="17"/>
  <c r="AK38" i="17" s="1"/>
  <c r="X38" i="12" s="1"/>
  <c r="P41" i="17"/>
  <c r="AK41" i="17" s="1"/>
  <c r="X41" i="12" s="1"/>
  <c r="P40" i="17"/>
  <c r="AK40" i="17" s="1"/>
  <c r="X40" i="12" s="1"/>
  <c r="P35" i="17"/>
  <c r="AK35" i="17" s="1"/>
  <c r="X35" i="12" s="1"/>
  <c r="G35" i="14" s="1"/>
  <c r="P34" i="17"/>
  <c r="AK34" i="17" s="1"/>
  <c r="X34" i="12" s="1"/>
  <c r="G34" i="14" s="1"/>
  <c r="P17" i="17"/>
  <c r="AK17" i="17" s="1"/>
  <c r="X17" i="12" s="1"/>
  <c r="P18" i="17"/>
  <c r="AK18" i="17" s="1"/>
  <c r="X18" i="12" s="1"/>
  <c r="G27" i="14" s="1"/>
  <c r="P19" i="17"/>
  <c r="AK19" i="17" s="1"/>
  <c r="X19" i="12" s="1"/>
  <c r="G28" i="14" s="1"/>
  <c r="P14" i="17"/>
  <c r="AK14" i="17" s="1"/>
  <c r="X14" i="12" s="1"/>
  <c r="AG175" i="17"/>
  <c r="AG171" i="17"/>
  <c r="AG167" i="17"/>
  <c r="AM167" i="17" s="1"/>
  <c r="Z167" i="12" s="1"/>
  <c r="AG163" i="17"/>
  <c r="AG159" i="17"/>
  <c r="AG155" i="17"/>
  <c r="AG151" i="17"/>
  <c r="AG147" i="17"/>
  <c r="AG143" i="17"/>
  <c r="AG139" i="17"/>
  <c r="AG135" i="17"/>
  <c r="AM135" i="17" s="1"/>
  <c r="Z135" i="12" s="1"/>
  <c r="J78" i="14" s="1"/>
  <c r="AG131" i="17"/>
  <c r="AG127" i="17"/>
  <c r="AM127" i="17" s="1"/>
  <c r="Z127" i="12" s="1"/>
  <c r="J74" i="14" s="1"/>
  <c r="AG123" i="17"/>
  <c r="AM123" i="17" s="1"/>
  <c r="Z123" i="12" s="1"/>
  <c r="AG119" i="17"/>
  <c r="AG115" i="17"/>
  <c r="AG111" i="17"/>
  <c r="AG107" i="17"/>
  <c r="AG103" i="17"/>
  <c r="AM103" i="17" s="1"/>
  <c r="Z103" i="12" s="1"/>
  <c r="AG99" i="17"/>
  <c r="AG95" i="17"/>
  <c r="AG91" i="17"/>
  <c r="AG87" i="17"/>
  <c r="AG83" i="17"/>
  <c r="AM83" i="17" s="1"/>
  <c r="Z83" i="12" s="1"/>
  <c r="AG79" i="17"/>
  <c r="AG75" i="17"/>
  <c r="AG71" i="17"/>
  <c r="AG67" i="17"/>
  <c r="AG63" i="17"/>
  <c r="AG59" i="17"/>
  <c r="AG55" i="17"/>
  <c r="AG51" i="17"/>
  <c r="AG47" i="17"/>
  <c r="AG43" i="17"/>
  <c r="AG39" i="17"/>
  <c r="AG35" i="17"/>
  <c r="AG31" i="17"/>
  <c r="AG27" i="17"/>
  <c r="AM27" i="17" s="1"/>
  <c r="Z27" i="12" s="1"/>
  <c r="AG23" i="17"/>
  <c r="AG19" i="17"/>
  <c r="AG15" i="17"/>
  <c r="AG11" i="17"/>
  <c r="AG7" i="17"/>
  <c r="AM7" i="17" s="1"/>
  <c r="Z7" i="12" s="1"/>
  <c r="AG3" i="17"/>
  <c r="O171" i="17"/>
  <c r="AE136" i="17"/>
  <c r="AL104" i="17"/>
  <c r="Y104" i="12" s="1"/>
  <c r="AE72" i="17"/>
  <c r="O42" i="17"/>
  <c r="O43" i="17"/>
  <c r="O44" i="17"/>
  <c r="AJ44" i="17" s="1"/>
  <c r="W44" i="12" s="1"/>
  <c r="AH106" i="17"/>
  <c r="AQ106" i="17"/>
  <c r="AD74" i="17"/>
  <c r="AL74" i="17" s="1"/>
  <c r="Y74" i="12" s="1"/>
  <c r="AH42" i="17"/>
  <c r="AQ42" i="17"/>
  <c r="AD10" i="17"/>
  <c r="AL10" i="17" s="1"/>
  <c r="Y10" i="12" s="1"/>
  <c r="AH22" i="17"/>
  <c r="AQ22" i="17"/>
  <c r="AP45" i="17"/>
  <c r="AP118" i="17"/>
  <c r="P63" i="17"/>
  <c r="AK63" i="17" s="1"/>
  <c r="X63" i="12" s="1"/>
  <c r="G46" i="14" s="1"/>
  <c r="P65" i="17"/>
  <c r="AK65" i="17" s="1"/>
  <c r="X65" i="12" s="1"/>
  <c r="G48" i="14" s="1"/>
  <c r="AH50" i="17"/>
  <c r="AL50" i="17"/>
  <c r="Y50" i="12" s="1"/>
  <c r="H41" i="14" s="1"/>
  <c r="P174" i="17"/>
  <c r="AK174" i="17" s="1"/>
  <c r="X174" i="12" s="1"/>
  <c r="AP135" i="17"/>
  <c r="AE38" i="17"/>
  <c r="AD38" i="17"/>
  <c r="AL38" i="17" s="1"/>
  <c r="Y38" i="12" s="1"/>
  <c r="AE48" i="17"/>
  <c r="AD48" i="17"/>
  <c r="AL48" i="17" s="1"/>
  <c r="Y48" i="12" s="1"/>
  <c r="H39" i="14" s="1"/>
  <c r="O166" i="17"/>
  <c r="AI166" i="17" s="1"/>
  <c r="O165" i="17"/>
  <c r="AP102" i="17"/>
  <c r="AG102" i="17"/>
  <c r="AF102" i="17"/>
  <c r="AD46" i="17"/>
  <c r="AL46" i="17" s="1"/>
  <c r="Y46" i="12" s="1"/>
  <c r="AE46" i="17"/>
  <c r="P21" i="17"/>
  <c r="AK21" i="17" s="1"/>
  <c r="X21" i="12" s="1"/>
  <c r="G30" i="14" s="1"/>
  <c r="O15" i="17"/>
  <c r="P161" i="17"/>
  <c r="AK161" i="17" s="1"/>
  <c r="X161" i="12" s="1"/>
  <c r="P93" i="17"/>
  <c r="AK93" i="17" s="1"/>
  <c r="X93" i="12" s="1"/>
  <c r="G58" i="14" s="1"/>
  <c r="H806" i="9"/>
  <c r="I806" i="9" s="1"/>
  <c r="T806" i="16"/>
  <c r="T758" i="16"/>
  <c r="H797" i="9"/>
  <c r="I797" i="9" s="1"/>
  <c r="T797" i="16"/>
  <c r="AF4" i="17"/>
  <c r="AG4" i="17"/>
  <c r="P163" i="17"/>
  <c r="AK163" i="17" s="1"/>
  <c r="X163" i="12" s="1"/>
  <c r="P32" i="17"/>
  <c r="AK32" i="17" s="1"/>
  <c r="P158" i="17"/>
  <c r="AK158" i="17" s="1"/>
  <c r="P159" i="17"/>
  <c r="AK159" i="17" s="1"/>
  <c r="X159" i="12" s="1"/>
  <c r="G89" i="14" s="1"/>
  <c r="AH158" i="17"/>
  <c r="AQ158" i="17"/>
  <c r="O74" i="17"/>
  <c r="F1027" i="16"/>
  <c r="F457" i="16"/>
  <c r="T393" i="16"/>
  <c r="P393" i="16"/>
  <c r="H393" i="9" s="1"/>
  <c r="I393" i="9"/>
  <c r="P370" i="16"/>
  <c r="H370" i="9" s="1"/>
  <c r="I370" i="9"/>
  <c r="T370" i="16"/>
  <c r="F370" i="16"/>
  <c r="F265" i="16"/>
  <c r="T459" i="16"/>
  <c r="P459" i="16"/>
  <c r="H459" i="9" s="1"/>
  <c r="F459" i="16"/>
  <c r="I459" i="9"/>
  <c r="O569" i="16"/>
  <c r="O515" i="16"/>
  <c r="T387" i="16"/>
  <c r="P387" i="16"/>
  <c r="H387" i="9" s="1"/>
  <c r="I387" i="9"/>
  <c r="F387" i="16"/>
  <c r="P354" i="16"/>
  <c r="H354" i="9" s="1"/>
  <c r="T354" i="16"/>
  <c r="I354" i="9"/>
  <c r="F354" i="16"/>
  <c r="F1277" i="16"/>
  <c r="P1277" i="16" s="1"/>
  <c r="AK171" i="17"/>
  <c r="X171" i="12" s="1"/>
  <c r="AK131" i="17"/>
  <c r="X131" i="12" s="1"/>
  <c r="AK111" i="17"/>
  <c r="X111" i="12" s="1"/>
  <c r="AK67" i="17"/>
  <c r="X67" i="12" s="1"/>
  <c r="AK15" i="17"/>
  <c r="X15" i="12" s="1"/>
  <c r="AL168" i="17"/>
  <c r="Y168" i="12" s="1"/>
  <c r="H93" i="14" s="1"/>
  <c r="O156" i="17"/>
  <c r="AJ156" i="17" s="1"/>
  <c r="W156" i="12" s="1"/>
  <c r="AP129" i="17"/>
  <c r="P123" i="17"/>
  <c r="AK123" i="17" s="1"/>
  <c r="X123" i="12" s="1"/>
  <c r="P122" i="17"/>
  <c r="AK122" i="17" s="1"/>
  <c r="X122" i="12" s="1"/>
  <c r="AD120" i="17"/>
  <c r="AL120" i="17" s="1"/>
  <c r="Y120" i="12" s="1"/>
  <c r="AQ88" i="17"/>
  <c r="AH88" i="17"/>
  <c r="AP65" i="17"/>
  <c r="AP17" i="17"/>
  <c r="AE8" i="17"/>
  <c r="AP147" i="17"/>
  <c r="AQ138" i="17"/>
  <c r="AH138" i="17"/>
  <c r="AP131" i="17"/>
  <c r="P96" i="17"/>
  <c r="AK96" i="17" s="1"/>
  <c r="X96" i="12" s="1"/>
  <c r="G61" i="14" s="1"/>
  <c r="AP67" i="17"/>
  <c r="AP3" i="17"/>
  <c r="AR3" i="17" s="1"/>
  <c r="AC3" i="12" s="1"/>
  <c r="I21" i="14" s="1"/>
  <c r="AE156" i="17"/>
  <c r="AM156" i="17" s="1"/>
  <c r="Z156" i="12" s="1"/>
  <c r="AE92" i="17"/>
  <c r="AM92" i="17" s="1"/>
  <c r="Z92" i="12" s="1"/>
  <c r="AL60" i="17"/>
  <c r="Y60" i="12" s="1"/>
  <c r="AE28" i="17"/>
  <c r="AM28" i="17" s="1"/>
  <c r="Z28" i="12" s="1"/>
  <c r="AP103" i="17"/>
  <c r="AQ82" i="17"/>
  <c r="AH82" i="17"/>
  <c r="AJ32" i="17"/>
  <c r="W32" i="12" s="1"/>
  <c r="AD144" i="17"/>
  <c r="AL144" i="17" s="1"/>
  <c r="Y144" i="12" s="1"/>
  <c r="AP43" i="17"/>
  <c r="AP157" i="17"/>
  <c r="AR157" i="17" s="1"/>
  <c r="AC157" i="12" s="1"/>
  <c r="O50" i="17"/>
  <c r="AI50" i="17" s="1"/>
  <c r="AP27" i="17"/>
  <c r="AR27" i="17" s="1"/>
  <c r="AC27" i="12" s="1"/>
  <c r="AQ164" i="17"/>
  <c r="AH164" i="17"/>
  <c r="O105" i="17"/>
  <c r="O104" i="17"/>
  <c r="O106" i="17"/>
  <c r="O102" i="17"/>
  <c r="AJ102" i="17" s="1"/>
  <c r="W102" i="12" s="1"/>
  <c r="P11" i="17"/>
  <c r="AK11" i="17" s="1"/>
  <c r="O170" i="17"/>
  <c r="P128" i="17"/>
  <c r="AK128" i="17" s="1"/>
  <c r="X128" i="12" s="1"/>
  <c r="O31" i="17"/>
  <c r="O173" i="17"/>
  <c r="P109" i="17"/>
  <c r="AK109" i="17" s="1"/>
  <c r="X109" i="12" s="1"/>
  <c r="G66" i="14" s="1"/>
  <c r="T886" i="16"/>
  <c r="O373" i="16"/>
  <c r="H718" i="9"/>
  <c r="I718" i="9" s="1"/>
  <c r="T718" i="16"/>
  <c r="P110" i="17"/>
  <c r="AK110" i="17" s="1"/>
  <c r="X110" i="12" s="1"/>
  <c r="F1217" i="16"/>
  <c r="F1242" i="16"/>
  <c r="H736" i="9"/>
  <c r="I736" i="9" s="1"/>
  <c r="T736" i="16"/>
  <c r="F713" i="16"/>
  <c r="P713" i="16" s="1"/>
  <c r="T626" i="16"/>
  <c r="P626" i="16"/>
  <c r="H626" i="9" s="1"/>
  <c r="I626" i="9"/>
  <c r="F626" i="16"/>
  <c r="F587" i="16"/>
  <c r="T587" i="16"/>
  <c r="I587" i="9"/>
  <c r="P587" i="16"/>
  <c r="H587" i="9" s="1"/>
  <c r="T298" i="16"/>
  <c r="P298" i="16"/>
  <c r="H298" i="9" s="1"/>
  <c r="I298" i="9"/>
  <c r="F298" i="16"/>
  <c r="H1287" i="9"/>
  <c r="I1287" i="9" s="1"/>
  <c r="T1287" i="16"/>
  <c r="P953" i="16"/>
  <c r="T346" i="16"/>
  <c r="I346" i="9"/>
  <c r="F346" i="16"/>
  <c r="F1176" i="16"/>
  <c r="F1156" i="16"/>
  <c r="I615" i="9"/>
  <c r="F615" i="16"/>
  <c r="I180" i="9"/>
  <c r="T180" i="16"/>
  <c r="F180" i="16"/>
  <c r="F1131" i="16"/>
  <c r="F581" i="16"/>
  <c r="P581" i="16"/>
  <c r="H581" i="9" s="1"/>
  <c r="I581" i="9"/>
  <c r="T581" i="16"/>
  <c r="F557" i="16"/>
  <c r="P557" i="16"/>
  <c r="H557" i="9" s="1"/>
  <c r="I557" i="9"/>
  <c r="P529" i="16"/>
  <c r="H529" i="9" s="1"/>
  <c r="I529" i="9"/>
  <c r="T529" i="16"/>
  <c r="F529" i="16"/>
  <c r="F1282" i="16"/>
  <c r="P1282" i="16" s="1"/>
  <c r="P952" i="16"/>
  <c r="H952" i="9" s="1"/>
  <c r="I952" i="9" s="1"/>
  <c r="I444" i="9"/>
  <c r="F444" i="16"/>
  <c r="P444" i="16"/>
  <c r="H444" i="9" s="1"/>
  <c r="T444" i="16"/>
  <c r="I371" i="9"/>
  <c r="T371" i="16"/>
  <c r="F371" i="16"/>
  <c r="P371" i="16"/>
  <c r="H371" i="9" s="1"/>
  <c r="F631" i="16"/>
  <c r="I631" i="9"/>
  <c r="T631" i="16"/>
  <c r="P631" i="16"/>
  <c r="H631" i="9" s="1"/>
  <c r="F990" i="16"/>
  <c r="P990" i="16" s="1"/>
  <c r="H990" i="9" s="1"/>
  <c r="I990" i="9" s="1"/>
  <c r="AH173" i="15"/>
  <c r="R173" i="7" s="1"/>
  <c r="S173" i="7" s="1"/>
  <c r="P173" i="7"/>
  <c r="P31" i="7"/>
  <c r="AH31" i="15"/>
  <c r="R31" i="7" s="1"/>
  <c r="S31" i="7" s="1"/>
  <c r="I402" i="9"/>
  <c r="T402" i="16"/>
  <c r="F402" i="16"/>
  <c r="P402" i="16"/>
  <c r="H402" i="9" s="1"/>
  <c r="P932" i="16"/>
  <c r="F772" i="16"/>
  <c r="P772" i="16" s="1"/>
  <c r="P123" i="7"/>
  <c r="AH123" i="15"/>
  <c r="R123" i="7" s="1"/>
  <c r="S123" i="7" s="1"/>
  <c r="AG69" i="15"/>
  <c r="Q69" i="7" s="1"/>
  <c r="P10" i="7"/>
  <c r="AH10" i="15"/>
  <c r="R10" i="7" s="1"/>
  <c r="S10" i="7" s="1"/>
  <c r="P6" i="7"/>
  <c r="T1332" i="16"/>
  <c r="O905" i="16"/>
  <c r="T538" i="16"/>
  <c r="P538" i="16"/>
  <c r="H538" i="9" s="1"/>
  <c r="I538" i="9"/>
  <c r="T1290" i="16"/>
  <c r="O833" i="16"/>
  <c r="F762" i="16"/>
  <c r="P762" i="16" s="1"/>
  <c r="F645" i="16"/>
  <c r="P645" i="16"/>
  <c r="H645" i="9" s="1"/>
  <c r="I645" i="9"/>
  <c r="T645" i="16"/>
  <c r="F606" i="16"/>
  <c r="I606" i="9"/>
  <c r="P606" i="16"/>
  <c r="H606" i="9" s="1"/>
  <c r="F447" i="16"/>
  <c r="I447" i="9"/>
  <c r="T447" i="16"/>
  <c r="P447" i="16"/>
  <c r="H447" i="9" s="1"/>
  <c r="P180" i="16"/>
  <c r="H180" i="9" s="1"/>
  <c r="T143" i="16"/>
  <c r="P143" i="16"/>
  <c r="H143" i="9" s="1"/>
  <c r="I143" i="9"/>
  <c r="F704" i="16"/>
  <c r="P704" i="16" s="1"/>
  <c r="I376" i="9"/>
  <c r="P376" i="16"/>
  <c r="H376" i="9" s="1"/>
  <c r="T376" i="16"/>
  <c r="T232" i="16"/>
  <c r="I232" i="9"/>
  <c r="F232" i="16"/>
  <c r="T56" i="16"/>
  <c r="F56" i="16"/>
  <c r="P56" i="16"/>
  <c r="H56" i="9" s="1"/>
  <c r="I56" i="9"/>
  <c r="T606" i="16"/>
  <c r="I219" i="9"/>
  <c r="T219" i="16"/>
  <c r="F219" i="16"/>
  <c r="T78" i="16"/>
  <c r="P78" i="16"/>
  <c r="H78" i="9" s="1"/>
  <c r="I78" i="9"/>
  <c r="F78" i="16"/>
  <c r="F1256" i="16"/>
  <c r="P1256" i="16" s="1"/>
  <c r="P896" i="16"/>
  <c r="I142" i="9"/>
  <c r="F142" i="16"/>
  <c r="T142" i="16"/>
  <c r="F898" i="16"/>
  <c r="I260" i="9"/>
  <c r="T260" i="16"/>
  <c r="F260" i="16"/>
  <c r="P260" i="16"/>
  <c r="H260" i="9" s="1"/>
  <c r="H823" i="9"/>
  <c r="I823" i="9" s="1"/>
  <c r="T823" i="16"/>
  <c r="I330" i="9"/>
  <c r="T330" i="16"/>
  <c r="P330" i="16"/>
  <c r="H330" i="9" s="1"/>
  <c r="F330" i="16"/>
  <c r="T67" i="16"/>
  <c r="F67" i="16"/>
  <c r="I67" i="9"/>
  <c r="P67" i="16"/>
  <c r="H67" i="9" s="1"/>
  <c r="H1316" i="9"/>
  <c r="I1316" i="9" s="1"/>
  <c r="T1316" i="16"/>
  <c r="T50" i="16"/>
  <c r="I50" i="9"/>
  <c r="P50" i="16"/>
  <c r="H50" i="9" s="1"/>
  <c r="F50" i="16"/>
  <c r="I111" i="9"/>
  <c r="P111" i="16"/>
  <c r="H111" i="9" s="1"/>
  <c r="T111" i="16"/>
  <c r="F111" i="16"/>
  <c r="P927" i="16"/>
  <c r="AE37" i="15"/>
  <c r="O37" i="7" s="1"/>
  <c r="AF37" i="15"/>
  <c r="P97" i="7"/>
  <c r="I20" i="9"/>
  <c r="T20" i="16"/>
  <c r="P20" i="16"/>
  <c r="H20" i="9" s="1"/>
  <c r="F20" i="16"/>
  <c r="F1115" i="16"/>
  <c r="F1008" i="16"/>
  <c r="P1008" i="16" s="1"/>
  <c r="H1008" i="9" s="1"/>
  <c r="I1008" i="9" s="1"/>
  <c r="P635" i="16"/>
  <c r="H635" i="9" s="1"/>
  <c r="F635" i="16"/>
  <c r="T635" i="16"/>
  <c r="I635" i="9"/>
  <c r="O457" i="16"/>
  <c r="P1007" i="16"/>
  <c r="H1007" i="9" s="1"/>
  <c r="I1007" i="9" s="1"/>
  <c r="F629" i="16"/>
  <c r="I629" i="9"/>
  <c r="P629" i="16"/>
  <c r="H629" i="9" s="1"/>
  <c r="T629" i="16"/>
  <c r="I188" i="9"/>
  <c r="T188" i="16"/>
  <c r="F188" i="16"/>
  <c r="H1319" i="9"/>
  <c r="I1319" i="9" s="1"/>
  <c r="T1319" i="16"/>
  <c r="F1210" i="16"/>
  <c r="P903" i="16"/>
  <c r="F708" i="16"/>
  <c r="P708" i="16" s="1"/>
  <c r="I307" i="9"/>
  <c r="T307" i="16"/>
  <c r="F307" i="16"/>
  <c r="P307" i="16"/>
  <c r="H307" i="9" s="1"/>
  <c r="P475" i="16"/>
  <c r="H475" i="9" s="1"/>
  <c r="I475" i="9"/>
  <c r="T475" i="16"/>
  <c r="F475" i="16"/>
  <c r="I233" i="9"/>
  <c r="P233" i="16"/>
  <c r="H233" i="9" s="1"/>
  <c r="F233" i="16"/>
  <c r="F106" i="16"/>
  <c r="P106" i="16"/>
  <c r="H106" i="9" s="1"/>
  <c r="I106" i="9"/>
  <c r="T106" i="16"/>
  <c r="T368" i="16"/>
  <c r="I368" i="9"/>
  <c r="F368" i="16"/>
  <c r="F64" i="16"/>
  <c r="P64" i="16"/>
  <c r="H64" i="9" s="1"/>
  <c r="I64" i="9"/>
  <c r="T64" i="16"/>
  <c r="F884" i="16"/>
  <c r="P884" i="16" s="1"/>
  <c r="AH175" i="15"/>
  <c r="R175" i="7" s="1"/>
  <c r="S175" i="7" s="1"/>
  <c r="P175" i="7"/>
  <c r="I547" i="9"/>
  <c r="F547" i="16"/>
  <c r="P547" i="16"/>
  <c r="H547" i="9" s="1"/>
  <c r="T547" i="16"/>
  <c r="F749" i="16"/>
  <c r="P749" i="16" s="1"/>
  <c r="I18" i="9"/>
  <c r="T18" i="16"/>
  <c r="P18" i="16"/>
  <c r="H18" i="9" s="1"/>
  <c r="F18" i="16"/>
  <c r="AE144" i="15"/>
  <c r="O144" i="7" s="1"/>
  <c r="AF144" i="15"/>
  <c r="H1335" i="9"/>
  <c r="I1335" i="9" s="1"/>
  <c r="T1335" i="16"/>
  <c r="I72" i="9"/>
  <c r="T72" i="16"/>
  <c r="P72" i="16"/>
  <c r="H72" i="9" s="1"/>
  <c r="F72" i="16"/>
  <c r="AH154" i="17"/>
  <c r="AQ154" i="17"/>
  <c r="AP152" i="17"/>
  <c r="AG152" i="17"/>
  <c r="AF152" i="17"/>
  <c r="AD138" i="17"/>
  <c r="AL138" i="17" s="1"/>
  <c r="Y138" i="12" s="1"/>
  <c r="AE138" i="17"/>
  <c r="AG136" i="17"/>
  <c r="AF136" i="17"/>
  <c r="AP136" i="17"/>
  <c r="O80" i="17"/>
  <c r="AJ80" i="17" s="1"/>
  <c r="W80" i="12" s="1"/>
  <c r="F54" i="14" s="1"/>
  <c r="O81" i="17"/>
  <c r="AR174" i="17"/>
  <c r="AC174" i="12" s="1"/>
  <c r="P75" i="17"/>
  <c r="AK75" i="17" s="1"/>
  <c r="X75" i="12" s="1"/>
  <c r="AD70" i="17"/>
  <c r="O86" i="17"/>
  <c r="O85" i="17"/>
  <c r="AJ85" i="17" s="1"/>
  <c r="W85" i="12" s="1"/>
  <c r="P615" i="16"/>
  <c r="H615" i="9" s="1"/>
  <c r="AI91" i="17"/>
  <c r="H957" i="9"/>
  <c r="I957" i="9" s="1"/>
  <c r="T957" i="16"/>
  <c r="O549" i="16"/>
  <c r="AJ126" i="17"/>
  <c r="W126" i="12" s="1"/>
  <c r="F73" i="14" s="1"/>
  <c r="F1153" i="16"/>
  <c r="P1337" i="16"/>
  <c r="H1337" i="9" s="1"/>
  <c r="I1337" i="9" s="1"/>
  <c r="F1037" i="16"/>
  <c r="F1042" i="16"/>
  <c r="F1177" i="16"/>
  <c r="F979" i="16"/>
  <c r="P979" i="16"/>
  <c r="H979" i="9" s="1"/>
  <c r="I979" i="9" s="1"/>
  <c r="T979" i="16"/>
  <c r="P649" i="16"/>
  <c r="H649" i="9" s="1"/>
  <c r="T649" i="16"/>
  <c r="I649" i="9"/>
  <c r="P856" i="16"/>
  <c r="F833" i="16"/>
  <c r="P833" i="16" s="1"/>
  <c r="F789" i="16"/>
  <c r="P789" i="16"/>
  <c r="H789" i="9" s="1"/>
  <c r="I789" i="9" s="1"/>
  <c r="T789" i="16"/>
  <c r="F963" i="16"/>
  <c r="P963" i="16" s="1"/>
  <c r="O848" i="16"/>
  <c r="H720" i="9"/>
  <c r="I720" i="9" s="1"/>
  <c r="T720" i="16"/>
  <c r="T569" i="16"/>
  <c r="I569" i="9"/>
  <c r="P569" i="16"/>
  <c r="H569" i="9" s="1"/>
  <c r="F569" i="16"/>
  <c r="P482" i="16"/>
  <c r="H482" i="9" s="1"/>
  <c r="T482" i="16"/>
  <c r="I482" i="9"/>
  <c r="F1184" i="16"/>
  <c r="F1012" i="16"/>
  <c r="O928" i="16"/>
  <c r="P928" i="16" s="1"/>
  <c r="O777" i="16"/>
  <c r="F538" i="16"/>
  <c r="O416" i="16"/>
  <c r="P369" i="16"/>
  <c r="H369" i="9" s="1"/>
  <c r="I369" i="9"/>
  <c r="F369" i="16"/>
  <c r="T369" i="16"/>
  <c r="P315" i="16"/>
  <c r="H315" i="9" s="1"/>
  <c r="T315" i="16"/>
  <c r="F315" i="16"/>
  <c r="I315" i="9"/>
  <c r="F1323" i="16"/>
  <c r="P1323" i="16" s="1"/>
  <c r="F1128" i="16"/>
  <c r="F770" i="16"/>
  <c r="P770" i="16" s="1"/>
  <c r="F752" i="16"/>
  <c r="P752" i="16" s="1"/>
  <c r="F453" i="16"/>
  <c r="P453" i="16"/>
  <c r="H453" i="9" s="1"/>
  <c r="I453" i="9"/>
  <c r="P188" i="16"/>
  <c r="H188" i="9" s="1"/>
  <c r="F143" i="16"/>
  <c r="H1311" i="9"/>
  <c r="I1311" i="9" s="1"/>
  <c r="T1311" i="16"/>
  <c r="P744" i="16"/>
  <c r="H744" i="9" s="1"/>
  <c r="F376" i="16"/>
  <c r="F1132" i="16"/>
  <c r="T691" i="16"/>
  <c r="I150" i="9"/>
  <c r="F150" i="16"/>
  <c r="T150" i="16"/>
  <c r="T947" i="16"/>
  <c r="F923" i="16"/>
  <c r="P923" i="16" s="1"/>
  <c r="F900" i="16"/>
  <c r="P900" i="16" s="1"/>
  <c r="H900" i="9" s="1"/>
  <c r="I900" i="9" s="1"/>
  <c r="O372" i="16"/>
  <c r="T88" i="16"/>
  <c r="I88" i="9"/>
  <c r="F88" i="16"/>
  <c r="P88" i="16"/>
  <c r="H88" i="9" s="1"/>
  <c r="I85" i="9"/>
  <c r="F85" i="16"/>
  <c r="P85" i="16"/>
  <c r="H85" i="9" s="1"/>
  <c r="F836" i="16"/>
  <c r="P836" i="16" s="1"/>
  <c r="T1295" i="16"/>
  <c r="H1308" i="9"/>
  <c r="I1308" i="9" s="1"/>
  <c r="T1308" i="16"/>
  <c r="F936" i="16"/>
  <c r="P936" i="16" s="1"/>
  <c r="H936" i="9" s="1"/>
  <c r="I936" i="9" s="1"/>
  <c r="P847" i="16"/>
  <c r="F834" i="16"/>
  <c r="P834" i="16" s="1"/>
  <c r="T110" i="16"/>
  <c r="I110" i="9"/>
  <c r="P110" i="16"/>
  <c r="H110" i="9" s="1"/>
  <c r="F110" i="16"/>
  <c r="P941" i="16"/>
  <c r="O324" i="16"/>
  <c r="O778" i="16"/>
  <c r="P44" i="7"/>
  <c r="AH44" i="15"/>
  <c r="R44" i="7" s="1"/>
  <c r="S44" i="7" s="1"/>
  <c r="P23" i="7"/>
  <c r="AH23" i="15"/>
  <c r="R23" i="7" s="1"/>
  <c r="S23" i="7" s="1"/>
  <c r="H855" i="9"/>
  <c r="I855" i="9" s="1"/>
  <c r="T855" i="16"/>
  <c r="F582" i="16"/>
  <c r="I582" i="9"/>
  <c r="P582" i="16"/>
  <c r="H582" i="9" s="1"/>
  <c r="T304" i="16"/>
  <c r="I304" i="9"/>
  <c r="F304" i="16"/>
  <c r="I274" i="9"/>
  <c r="T274" i="16"/>
  <c r="P274" i="16"/>
  <c r="H274" i="9" s="1"/>
  <c r="F274" i="16"/>
  <c r="T135" i="16"/>
  <c r="I135" i="9"/>
  <c r="P135" i="16"/>
  <c r="H135" i="9" s="1"/>
  <c r="P831" i="16"/>
  <c r="F745" i="16"/>
  <c r="P745" i="16" s="1"/>
  <c r="P219" i="16"/>
  <c r="H219" i="9" s="1"/>
  <c r="I86" i="9"/>
  <c r="P86" i="16"/>
  <c r="H86" i="9" s="1"/>
  <c r="T86" i="16"/>
  <c r="F86" i="16"/>
  <c r="I650" i="9"/>
  <c r="P650" i="16"/>
  <c r="H650" i="9" s="1"/>
  <c r="F650" i="16"/>
  <c r="T650" i="16"/>
  <c r="P609" i="16"/>
  <c r="H609" i="9" s="1"/>
  <c r="I609" i="9"/>
  <c r="T609" i="16"/>
  <c r="F609" i="16"/>
  <c r="P143" i="7"/>
  <c r="AH61" i="15"/>
  <c r="R61" i="7" s="1"/>
  <c r="S61" i="7" s="1"/>
  <c r="P61" i="7"/>
  <c r="P70" i="7"/>
  <c r="AH70" i="15"/>
  <c r="R70" i="7" s="1"/>
  <c r="S70" i="7" s="1"/>
  <c r="AG59" i="15"/>
  <c r="Q59" i="7" s="1"/>
  <c r="AF172" i="15"/>
  <c r="AE172" i="15"/>
  <c r="O172" i="7" s="1"/>
  <c r="P138" i="7"/>
  <c r="AH138" i="15"/>
  <c r="R138" i="7" s="1"/>
  <c r="S138" i="7" s="1"/>
  <c r="F99" i="16"/>
  <c r="I99" i="9"/>
  <c r="AL40" i="17"/>
  <c r="Y40" i="12" s="1"/>
  <c r="V121" i="12"/>
  <c r="P52" i="17"/>
  <c r="AK52" i="17" s="1"/>
  <c r="X52" i="12" s="1"/>
  <c r="O38" i="17"/>
  <c r="AJ38" i="17" s="1"/>
  <c r="W38" i="12" s="1"/>
  <c r="H743" i="9"/>
  <c r="I743" i="9" s="1"/>
  <c r="T743" i="16"/>
  <c r="O551" i="16"/>
  <c r="O79" i="17"/>
  <c r="O93" i="17"/>
  <c r="AJ93" i="17" s="1"/>
  <c r="W93" i="12" s="1"/>
  <c r="F58" i="14" s="1"/>
  <c r="H735" i="9"/>
  <c r="I735" i="9" s="1"/>
  <c r="T735" i="16"/>
  <c r="P73" i="17"/>
  <c r="AK73" i="17" s="1"/>
  <c r="X73" i="12" s="1"/>
  <c r="H1310" i="9"/>
  <c r="I1310" i="9" s="1"/>
  <c r="T1310" i="16"/>
  <c r="H925" i="9"/>
  <c r="I925" i="9" s="1"/>
  <c r="T925" i="16"/>
  <c r="O573" i="16"/>
  <c r="T557" i="16"/>
  <c r="P148" i="17"/>
  <c r="AK148" i="17" s="1"/>
  <c r="X148" i="12" s="1"/>
  <c r="G84" i="14" s="1"/>
  <c r="O147" i="17"/>
  <c r="O148" i="17"/>
  <c r="O149" i="17"/>
  <c r="AD112" i="17"/>
  <c r="AL112" i="17" s="1"/>
  <c r="Y112" i="12" s="1"/>
  <c r="AE112" i="17"/>
  <c r="AE14" i="17"/>
  <c r="AD14" i="17"/>
  <c r="AL14" i="17" s="1"/>
  <c r="Y14" i="12" s="1"/>
  <c r="O19" i="17"/>
  <c r="AI19" i="17" s="1"/>
  <c r="O20" i="17"/>
  <c r="AJ20" i="17" s="1"/>
  <c r="W20" i="12" s="1"/>
  <c r="F29" i="14" s="1"/>
  <c r="O21" i="17"/>
  <c r="AJ21" i="17" s="1"/>
  <c r="W21" i="12" s="1"/>
  <c r="F30" i="14" s="1"/>
  <c r="O17" i="17"/>
  <c r="O18" i="17"/>
  <c r="AI18" i="17" s="1"/>
  <c r="F1035" i="16"/>
  <c r="F1314" i="16"/>
  <c r="P1314" i="16" s="1"/>
  <c r="F1219" i="16"/>
  <c r="T1343" i="16"/>
  <c r="F905" i="16"/>
  <c r="P905" i="16" s="1"/>
  <c r="H905" i="9" s="1"/>
  <c r="I905" i="9" s="1"/>
  <c r="P864" i="16"/>
  <c r="T329" i="16"/>
  <c r="P329" i="16"/>
  <c r="H329" i="9" s="1"/>
  <c r="I329" i="9"/>
  <c r="F1268" i="16"/>
  <c r="P1268" i="16" s="1"/>
  <c r="O577" i="16"/>
  <c r="P385" i="16"/>
  <c r="H385" i="9" s="1"/>
  <c r="T385" i="16"/>
  <c r="I385" i="9"/>
  <c r="F385" i="16"/>
  <c r="T633" i="16"/>
  <c r="I633" i="9"/>
  <c r="P633" i="16"/>
  <c r="H633" i="9" s="1"/>
  <c r="T615" i="16"/>
  <c r="F482" i="16"/>
  <c r="P840" i="16"/>
  <c r="P776" i="16"/>
  <c r="P561" i="16"/>
  <c r="H561" i="9" s="1"/>
  <c r="I561" i="9"/>
  <c r="F561" i="16"/>
  <c r="F885" i="16"/>
  <c r="P885" i="16" s="1"/>
  <c r="F877" i="16"/>
  <c r="P877" i="16" s="1"/>
  <c r="F849" i="16"/>
  <c r="P849" i="16" s="1"/>
  <c r="H849" i="9" s="1"/>
  <c r="I849" i="9" s="1"/>
  <c r="F350" i="16"/>
  <c r="I350" i="9"/>
  <c r="T350" i="16"/>
  <c r="P350" i="16"/>
  <c r="H350" i="9" s="1"/>
  <c r="T314" i="16"/>
  <c r="P314" i="16"/>
  <c r="H314" i="9" s="1"/>
  <c r="I314" i="9"/>
  <c r="F314" i="16"/>
  <c r="T102" i="16"/>
  <c r="P102" i="16"/>
  <c r="H102" i="9" s="1"/>
  <c r="I102" i="9"/>
  <c r="F102" i="16"/>
  <c r="T970" i="16"/>
  <c r="F970" i="16"/>
  <c r="P970" i="16" s="1"/>
  <c r="H970" i="9" s="1"/>
  <c r="I970" i="9" s="1"/>
  <c r="O792" i="16"/>
  <c r="P792" i="16" s="1"/>
  <c r="F747" i="16"/>
  <c r="P747" i="16" s="1"/>
  <c r="H747" i="9" s="1"/>
  <c r="I747" i="9" s="1"/>
  <c r="P696" i="16"/>
  <c r="H696" i="9" s="1"/>
  <c r="I696" i="9" s="1"/>
  <c r="T656" i="16"/>
  <c r="I656" i="9"/>
  <c r="P656" i="16"/>
  <c r="H656" i="9" s="1"/>
  <c r="F1096" i="16"/>
  <c r="P785" i="16"/>
  <c r="H785" i="9" s="1"/>
  <c r="I785" i="9" s="1"/>
  <c r="I299" i="9"/>
  <c r="T299" i="16"/>
  <c r="F299" i="16"/>
  <c r="P299" i="16"/>
  <c r="H299" i="9" s="1"/>
  <c r="F179" i="16"/>
  <c r="I179" i="9"/>
  <c r="P179" i="16"/>
  <c r="H179" i="9" s="1"/>
  <c r="F944" i="16"/>
  <c r="P944" i="16" s="1"/>
  <c r="H944" i="9" s="1"/>
  <c r="I944" i="9" s="1"/>
  <c r="P665" i="16"/>
  <c r="H665" i="9" s="1"/>
  <c r="T665" i="16"/>
  <c r="I665" i="9"/>
  <c r="F665" i="16"/>
  <c r="F197" i="16"/>
  <c r="P197" i="16"/>
  <c r="H197" i="9" s="1"/>
  <c r="I197" i="9"/>
  <c r="F1063" i="16"/>
  <c r="I312" i="9"/>
  <c r="F312" i="16"/>
  <c r="T312" i="16"/>
  <c r="P312" i="16"/>
  <c r="H312" i="9" s="1"/>
  <c r="F1299" i="16"/>
  <c r="P1299" i="16" s="1"/>
  <c r="H1299" i="9" s="1"/>
  <c r="I1299" i="9" s="1"/>
  <c r="P848" i="16"/>
  <c r="H848" i="9" s="1"/>
  <c r="I848" i="9" s="1"/>
  <c r="P760" i="16"/>
  <c r="F237" i="16"/>
  <c r="P237" i="16"/>
  <c r="H237" i="9" s="1"/>
  <c r="I237" i="9"/>
  <c r="P83" i="7"/>
  <c r="P38" i="7"/>
  <c r="AH38" i="15"/>
  <c r="R38" i="7" s="1"/>
  <c r="S38" i="7" s="1"/>
  <c r="AE22" i="15"/>
  <c r="O22" i="7" s="1"/>
  <c r="AF22" i="15"/>
  <c r="AP96" i="17"/>
  <c r="P8" i="7"/>
  <c r="AH8" i="15"/>
  <c r="R8" i="7" s="1"/>
  <c r="S8" i="7" s="1"/>
  <c r="P81" i="7"/>
  <c r="AH81" i="15"/>
  <c r="R81" i="7" s="1"/>
  <c r="S81" i="7" s="1"/>
  <c r="P145" i="7"/>
  <c r="AH145" i="15"/>
  <c r="R145" i="7" s="1"/>
  <c r="S145" i="7" s="1"/>
  <c r="O961" i="16"/>
  <c r="AG38" i="17"/>
  <c r="AP38" i="17"/>
  <c r="P72" i="17"/>
  <c r="AK72" i="17" s="1"/>
  <c r="X72" i="12" s="1"/>
  <c r="P56" i="17"/>
  <c r="AK56" i="17" s="1"/>
  <c r="X56" i="12" s="1"/>
  <c r="AF52" i="17"/>
  <c r="AP138" i="17"/>
  <c r="AG138" i="17"/>
  <c r="AF138" i="17"/>
  <c r="AG142" i="17"/>
  <c r="O927" i="16"/>
  <c r="V137" i="12"/>
  <c r="E80" i="14" s="1"/>
  <c r="O39" i="17"/>
  <c r="AI39" i="17" s="1"/>
  <c r="T869" i="16"/>
  <c r="AF148" i="17"/>
  <c r="AP148" i="17"/>
  <c r="AP56" i="17"/>
  <c r="AF56" i="17"/>
  <c r="AH14" i="17"/>
  <c r="AQ14" i="17"/>
  <c r="O1291" i="16"/>
  <c r="H1288" i="9"/>
  <c r="I1288" i="9" s="1"/>
  <c r="T1288" i="16"/>
  <c r="F754" i="16"/>
  <c r="P754" i="16" s="1"/>
  <c r="T521" i="16"/>
  <c r="P521" i="16"/>
  <c r="H521" i="9" s="1"/>
  <c r="I521" i="9"/>
  <c r="T498" i="16"/>
  <c r="P498" i="16"/>
  <c r="H498" i="9" s="1"/>
  <c r="I498" i="9"/>
  <c r="F498" i="16"/>
  <c r="T306" i="16"/>
  <c r="P306" i="16"/>
  <c r="H306" i="9" s="1"/>
  <c r="I306" i="9"/>
  <c r="F306" i="16"/>
  <c r="F975" i="16"/>
  <c r="P975" i="16" s="1"/>
  <c r="H975" i="9" s="1"/>
  <c r="I975" i="9" s="1"/>
  <c r="T975" i="16"/>
  <c r="F961" i="16"/>
  <c r="P961" i="16" s="1"/>
  <c r="F907" i="16"/>
  <c r="P907" i="16" s="1"/>
  <c r="F771" i="16"/>
  <c r="P771" i="16" s="1"/>
  <c r="H771" i="9" s="1"/>
  <c r="I771" i="9" s="1"/>
  <c r="O418" i="16"/>
  <c r="O891" i="16"/>
  <c r="T799" i="16"/>
  <c r="T187" i="16"/>
  <c r="P187" i="16"/>
  <c r="H187" i="9" s="1"/>
  <c r="I187" i="9"/>
  <c r="F187" i="16"/>
  <c r="F809" i="16"/>
  <c r="P809" i="16" s="1"/>
  <c r="H809" i="9" s="1"/>
  <c r="I809" i="9" s="1"/>
  <c r="T756" i="16"/>
  <c r="F714" i="16"/>
  <c r="P714" i="16" s="1"/>
  <c r="I308" i="9"/>
  <c r="T308" i="16"/>
  <c r="F135" i="16"/>
  <c r="F837" i="16"/>
  <c r="P837" i="16" s="1"/>
  <c r="P142" i="16"/>
  <c r="H142" i="9" s="1"/>
  <c r="F888" i="16"/>
  <c r="P888" i="16" s="1"/>
  <c r="F685" i="16"/>
  <c r="P685" i="16" s="1"/>
  <c r="I619" i="9"/>
  <c r="T619" i="16"/>
  <c r="P619" i="16"/>
  <c r="H619" i="9" s="1"/>
  <c r="F619" i="16"/>
  <c r="P15" i="16"/>
  <c r="H15" i="9" s="1"/>
  <c r="I15" i="9"/>
  <c r="F15" i="16"/>
  <c r="T15" i="16"/>
  <c r="F872" i="16"/>
  <c r="P872" i="16" s="1"/>
  <c r="H872" i="9" s="1"/>
  <c r="I872" i="9" s="1"/>
  <c r="P111" i="7"/>
  <c r="P89" i="7"/>
  <c r="I617" i="9"/>
  <c r="F617" i="16"/>
  <c r="T617" i="16"/>
  <c r="P617" i="16"/>
  <c r="H617" i="9" s="1"/>
  <c r="P80" i="7"/>
  <c r="P122" i="7"/>
  <c r="AH122" i="15"/>
  <c r="R122" i="7" s="1"/>
  <c r="S122" i="7" s="1"/>
  <c r="P60" i="7"/>
  <c r="P75" i="7"/>
  <c r="AH75" i="15"/>
  <c r="R75" i="7" s="1"/>
  <c r="S75" i="7" s="1"/>
  <c r="I568" i="9"/>
  <c r="F568" i="16"/>
  <c r="T568" i="16"/>
  <c r="P568" i="16"/>
  <c r="H568" i="9" s="1"/>
  <c r="I483" i="9"/>
  <c r="T483" i="16"/>
  <c r="F483" i="16"/>
  <c r="P483" i="16"/>
  <c r="H483" i="9" s="1"/>
  <c r="P133" i="7"/>
  <c r="AH133" i="15"/>
  <c r="R133" i="7" s="1"/>
  <c r="S133" i="7" s="1"/>
  <c r="P16" i="7"/>
  <c r="AH16" i="15"/>
  <c r="R16" i="7" s="1"/>
  <c r="S16" i="7" s="1"/>
  <c r="AG56" i="17"/>
  <c r="F811" i="16"/>
  <c r="P811" i="16" s="1"/>
  <c r="H811" i="9" s="1"/>
  <c r="I811" i="9" s="1"/>
  <c r="P120" i="7"/>
  <c r="AH120" i="15"/>
  <c r="R120" i="7" s="1"/>
  <c r="S120" i="7" s="1"/>
  <c r="P165" i="7"/>
  <c r="AH165" i="15"/>
  <c r="R165" i="7" s="1"/>
  <c r="S165" i="7" s="1"/>
  <c r="P54" i="7"/>
  <c r="AH54" i="15"/>
  <c r="R54" i="7" s="1"/>
  <c r="S54" i="7" s="1"/>
  <c r="O94" i="17"/>
  <c r="AI94" i="17" s="1"/>
  <c r="O96" i="17"/>
  <c r="AJ96" i="17" s="1"/>
  <c r="W96" i="12" s="1"/>
  <c r="F61" i="14" s="1"/>
  <c r="AJ92" i="17"/>
  <c r="W92" i="12" s="1"/>
  <c r="AL8" i="17"/>
  <c r="Y8" i="12" s="1"/>
  <c r="AE32" i="17"/>
  <c r="AD32" i="17"/>
  <c r="AL32" i="17" s="1"/>
  <c r="Y32" i="12" s="1"/>
  <c r="H38" i="14"/>
  <c r="P140" i="17"/>
  <c r="AK140" i="17" s="1"/>
  <c r="X140" i="12" s="1"/>
  <c r="AL96" i="17"/>
  <c r="Y96" i="12" s="1"/>
  <c r="H61" i="14" s="1"/>
  <c r="AL72" i="17"/>
  <c r="Y72" i="12" s="1"/>
  <c r="AH86" i="17"/>
  <c r="AQ86" i="17"/>
  <c r="O101" i="17"/>
  <c r="AI101" i="17" s="1"/>
  <c r="P164" i="17"/>
  <c r="AK164" i="17" s="1"/>
  <c r="X164" i="12" s="1"/>
  <c r="P166" i="17"/>
  <c r="AK166" i="17" s="1"/>
  <c r="X166" i="12" s="1"/>
  <c r="AI88" i="17"/>
  <c r="AI90" i="17"/>
  <c r="P165" i="17"/>
  <c r="AK165" i="17" s="1"/>
  <c r="X165" i="12" s="1"/>
  <c r="T990" i="16"/>
  <c r="T734" i="16"/>
  <c r="T1261" i="16"/>
  <c r="O114" i="17"/>
  <c r="P54" i="17"/>
  <c r="AK54" i="17" s="1"/>
  <c r="X54" i="12" s="1"/>
  <c r="AL126" i="17"/>
  <c r="Y126" i="12" s="1"/>
  <c r="H73" i="14" s="1"/>
  <c r="O41" i="17"/>
  <c r="H1304" i="9"/>
  <c r="I1304" i="9" s="1"/>
  <c r="T1304" i="16"/>
  <c r="P1258" i="16"/>
  <c r="H1258" i="9" s="1"/>
  <c r="I1258" i="9"/>
  <c r="F1273" i="16"/>
  <c r="P1273" i="16" s="1"/>
  <c r="H1273" i="9" s="1"/>
  <c r="I1273" i="9" s="1"/>
  <c r="F1091" i="16"/>
  <c r="P1275" i="16"/>
  <c r="H1275" i="9" s="1"/>
  <c r="I1275" i="9" s="1"/>
  <c r="F1275" i="16"/>
  <c r="F1267" i="16"/>
  <c r="P1267" i="16" s="1"/>
  <c r="H800" i="9"/>
  <c r="I800" i="9" s="1"/>
  <c r="T800" i="16"/>
  <c r="P777" i="16"/>
  <c r="H777" i="9" s="1"/>
  <c r="I777" i="9" s="1"/>
  <c r="P1336" i="16"/>
  <c r="H1336" i="9" s="1"/>
  <c r="I1336" i="9" s="1"/>
  <c r="F917" i="16"/>
  <c r="P917" i="16"/>
  <c r="F715" i="16"/>
  <c r="T651" i="16"/>
  <c r="P651" i="16"/>
  <c r="H651" i="9" s="1"/>
  <c r="F651" i="16"/>
  <c r="I651" i="9"/>
  <c r="T490" i="16"/>
  <c r="P490" i="16"/>
  <c r="H490" i="9" s="1"/>
  <c r="I490" i="9"/>
  <c r="O449" i="16"/>
  <c r="F1225" i="16"/>
  <c r="O835" i="16"/>
  <c r="P802" i="16"/>
  <c r="H802" i="9" s="1"/>
  <c r="I802" i="9" s="1"/>
  <c r="O754" i="16"/>
  <c r="O451" i="16"/>
  <c r="P418" i="16"/>
  <c r="H418" i="9" s="1"/>
  <c r="T418" i="16"/>
  <c r="I418" i="9"/>
  <c r="F418" i="16"/>
  <c r="H968" i="9"/>
  <c r="I968" i="9" s="1"/>
  <c r="T968" i="16"/>
  <c r="F955" i="16"/>
  <c r="P955" i="16" s="1"/>
  <c r="H955" i="9" s="1"/>
  <c r="I955" i="9" s="1"/>
  <c r="F891" i="16"/>
  <c r="P891" i="16" s="1"/>
  <c r="P684" i="16"/>
  <c r="T666" i="16"/>
  <c r="P666" i="16"/>
  <c r="H666" i="9" s="1"/>
  <c r="I666" i="9"/>
  <c r="F666" i="16"/>
  <c r="O1297" i="16"/>
  <c r="P1297" i="16" s="1"/>
  <c r="H967" i="9"/>
  <c r="I967" i="9" s="1"/>
  <c r="T967" i="16"/>
  <c r="I931" i="9"/>
  <c r="T931" i="16"/>
  <c r="P850" i="16"/>
  <c r="F700" i="16"/>
  <c r="P700" i="16" s="1"/>
  <c r="H700" i="9" s="1"/>
  <c r="I700" i="9" s="1"/>
  <c r="I291" i="9"/>
  <c r="T291" i="16"/>
  <c r="F291" i="16"/>
  <c r="P291" i="16"/>
  <c r="H291" i="9" s="1"/>
  <c r="T94" i="16"/>
  <c r="I94" i="9"/>
  <c r="F1330" i="16"/>
  <c r="P1330" i="16" s="1"/>
  <c r="H1330" i="9" s="1"/>
  <c r="I1330" i="9" s="1"/>
  <c r="F813" i="16"/>
  <c r="P813" i="16" s="1"/>
  <c r="O692" i="16"/>
  <c r="P692" i="16" s="1"/>
  <c r="F588" i="16"/>
  <c r="I588" i="9"/>
  <c r="T588" i="16"/>
  <c r="F1276" i="16"/>
  <c r="P1276" i="16"/>
  <c r="H1276" i="9" s="1"/>
  <c r="I1276" i="9" s="1"/>
  <c r="F906" i="16"/>
  <c r="P906" i="16" s="1"/>
  <c r="H906" i="9" s="1"/>
  <c r="I906" i="9" s="1"/>
  <c r="F892" i="16"/>
  <c r="P892" i="16" s="1"/>
  <c r="H892" i="9" s="1"/>
  <c r="I892" i="9" s="1"/>
  <c r="T892" i="16"/>
  <c r="F1200" i="16"/>
  <c r="F774" i="16"/>
  <c r="P774" i="16" s="1"/>
  <c r="P131" i="7"/>
  <c r="AH131" i="15"/>
  <c r="R131" i="7" s="1"/>
  <c r="S131" i="7" s="1"/>
  <c r="AH121" i="15"/>
  <c r="R121" i="7" s="1"/>
  <c r="S121" i="7" s="1"/>
  <c r="P121" i="7"/>
  <c r="P115" i="7"/>
  <c r="P105" i="7"/>
  <c r="AH105" i="15"/>
  <c r="R105" i="7" s="1"/>
  <c r="S105" i="7" s="1"/>
  <c r="P99" i="7"/>
  <c r="I363" i="9"/>
  <c r="T363" i="16"/>
  <c r="F363" i="16"/>
  <c r="P363" i="16"/>
  <c r="H363" i="9" s="1"/>
  <c r="F751" i="16"/>
  <c r="P751" i="16" s="1"/>
  <c r="P91" i="7"/>
  <c r="AH91" i="15"/>
  <c r="R91" i="7" s="1"/>
  <c r="S91" i="7" s="1"/>
  <c r="F406" i="16"/>
  <c r="I406" i="9"/>
  <c r="P25" i="7"/>
  <c r="AH25" i="15"/>
  <c r="R25" i="7" s="1"/>
  <c r="S25" i="7" s="1"/>
  <c r="P9" i="7"/>
  <c r="F954" i="16"/>
  <c r="P954" i="16" s="1"/>
  <c r="F764" i="16"/>
  <c r="P764" i="16" s="1"/>
  <c r="H764" i="9" s="1"/>
  <c r="I764" i="9" s="1"/>
  <c r="F214" i="16"/>
  <c r="I214" i="9"/>
  <c r="I44" i="9"/>
  <c r="P44" i="16"/>
  <c r="H44" i="9" s="1"/>
  <c r="T44" i="16"/>
  <c r="AF59" i="15"/>
  <c r="P857" i="16"/>
  <c r="P155" i="7"/>
  <c r="AH155" i="15"/>
  <c r="R155" i="7" s="1"/>
  <c r="S155" i="7" s="1"/>
  <c r="AQ168" i="17"/>
  <c r="P732" i="16"/>
  <c r="I627" i="9"/>
  <c r="T627" i="16"/>
  <c r="P627" i="16"/>
  <c r="H627" i="9" s="1"/>
  <c r="AF74" i="15"/>
  <c r="AE74" i="15"/>
  <c r="O74" i="7" s="1"/>
  <c r="P17" i="16"/>
  <c r="H17" i="9" s="1"/>
  <c r="F17" i="16"/>
  <c r="I17" i="9"/>
  <c r="P52" i="7"/>
  <c r="AH52" i="15"/>
  <c r="R52" i="7" s="1"/>
  <c r="S52" i="7" s="1"/>
  <c r="P149" i="7"/>
  <c r="AH149" i="15"/>
  <c r="R149" i="7" s="1"/>
  <c r="S149" i="7" s="1"/>
  <c r="AF156" i="15"/>
  <c r="P170" i="7"/>
  <c r="AH170" i="15"/>
  <c r="R170" i="7" s="1"/>
  <c r="S170" i="7" s="1"/>
  <c r="P163" i="7"/>
  <c r="AH163" i="15"/>
  <c r="R163" i="7" s="1"/>
  <c r="S163" i="7" s="1"/>
  <c r="P12" i="17"/>
  <c r="AK12" i="17" s="1"/>
  <c r="X12" i="12" s="1"/>
  <c r="AD2" i="17"/>
  <c r="AL2" i="17" s="1"/>
  <c r="T1254" i="16"/>
  <c r="O894" i="16"/>
  <c r="P894" i="16" s="1"/>
  <c r="O830" i="16"/>
  <c r="P830" i="16" s="1"/>
  <c r="O798" i="16"/>
  <c r="P798" i="16" s="1"/>
  <c r="O741" i="16"/>
  <c r="P741" i="16" s="1"/>
  <c r="O598" i="16"/>
  <c r="AF154" i="17"/>
  <c r="AG154" i="17"/>
  <c r="AH130" i="17"/>
  <c r="T1325" i="16"/>
  <c r="O429" i="16"/>
  <c r="AD148" i="17"/>
  <c r="AL148" i="17" s="1"/>
  <c r="Y148" i="12" s="1"/>
  <c r="H84" i="14" s="1"/>
  <c r="P146" i="17"/>
  <c r="AK146" i="17" s="1"/>
  <c r="X146" i="12" s="1"/>
  <c r="AJ112" i="17"/>
  <c r="W112" i="12" s="1"/>
  <c r="AG110" i="17"/>
  <c r="AD64" i="17"/>
  <c r="AF158" i="17"/>
  <c r="AP18" i="17"/>
  <c r="AF18" i="17"/>
  <c r="F1301" i="16"/>
  <c r="P1301" i="16" s="1"/>
  <c r="O1347" i="16"/>
  <c r="F1283" i="16"/>
  <c r="P1283" i="16"/>
  <c r="H1283" i="9" s="1"/>
  <c r="I1283" i="9" s="1"/>
  <c r="F1285" i="16"/>
  <c r="P1285" i="16"/>
  <c r="F1147" i="16"/>
  <c r="F1203" i="16"/>
  <c r="F1028" i="16"/>
  <c r="F851" i="16"/>
  <c r="P851" i="16" s="1"/>
  <c r="I1264" i="9"/>
  <c r="F1085" i="16"/>
  <c r="F911" i="16"/>
  <c r="P911" i="16" s="1"/>
  <c r="T618" i="16"/>
  <c r="P618" i="16"/>
  <c r="H618" i="9" s="1"/>
  <c r="I618" i="9"/>
  <c r="P513" i="16"/>
  <c r="H513" i="9" s="1"/>
  <c r="T513" i="16"/>
  <c r="I513" i="9"/>
  <c r="F469" i="16"/>
  <c r="P469" i="16"/>
  <c r="H469" i="9" s="1"/>
  <c r="I469" i="9"/>
  <c r="F267" i="16"/>
  <c r="T267" i="16"/>
  <c r="P267" i="16"/>
  <c r="H267" i="9" s="1"/>
  <c r="I267" i="9"/>
  <c r="P193" i="16"/>
  <c r="H193" i="9" s="1"/>
  <c r="T193" i="16"/>
  <c r="I193" i="9"/>
  <c r="I1260" i="9"/>
  <c r="I1259" i="9"/>
  <c r="F899" i="16"/>
  <c r="P899" i="16" s="1"/>
  <c r="H899" i="9" s="1"/>
  <c r="I899" i="9" s="1"/>
  <c r="O860" i="16"/>
  <c r="P860" i="16" s="1"/>
  <c r="T825" i="16"/>
  <c r="I825" i="9"/>
  <c r="P738" i="16"/>
  <c r="H738" i="9" s="1"/>
  <c r="I738" i="9" s="1"/>
  <c r="F707" i="16"/>
  <c r="P707" i="16" s="1"/>
  <c r="O604" i="16"/>
  <c r="T505" i="16"/>
  <c r="I505" i="9"/>
  <c r="P290" i="16"/>
  <c r="H290" i="9" s="1"/>
  <c r="T290" i="16"/>
  <c r="I290" i="9"/>
  <c r="F259" i="16"/>
  <c r="T259" i="16"/>
  <c r="P259" i="16"/>
  <c r="H259" i="9" s="1"/>
  <c r="I259" i="9"/>
  <c r="T185" i="16"/>
  <c r="I185" i="9"/>
  <c r="T1328" i="16"/>
  <c r="O852" i="16"/>
  <c r="P852" i="16" s="1"/>
  <c r="P817" i="16"/>
  <c r="H817" i="9" s="1"/>
  <c r="I817" i="9" s="1"/>
  <c r="P812" i="16"/>
  <c r="P794" i="16"/>
  <c r="H794" i="9" s="1"/>
  <c r="I794" i="9" s="1"/>
  <c r="F763" i="16"/>
  <c r="P763" i="16" s="1"/>
  <c r="P689" i="16"/>
  <c r="H689" i="9" s="1"/>
  <c r="I689" i="9"/>
  <c r="P443" i="16"/>
  <c r="H443" i="9" s="1"/>
  <c r="F443" i="16"/>
  <c r="T443" i="16"/>
  <c r="I443" i="9"/>
  <c r="O404" i="16"/>
  <c r="P251" i="16"/>
  <c r="H251" i="9" s="1"/>
  <c r="F251" i="16"/>
  <c r="I251" i="9"/>
  <c r="T251" i="16"/>
  <c r="P177" i="16"/>
  <c r="H177" i="9" s="1"/>
  <c r="I177" i="9"/>
  <c r="F1341" i="16"/>
  <c r="F871" i="16"/>
  <c r="P871" i="16" s="1"/>
  <c r="P553" i="16"/>
  <c r="H553" i="9" s="1"/>
  <c r="O411" i="16"/>
  <c r="T409" i="16"/>
  <c r="P409" i="16"/>
  <c r="H409" i="9" s="1"/>
  <c r="I409" i="9"/>
  <c r="T273" i="16"/>
  <c r="P273" i="16"/>
  <c r="H273" i="9" s="1"/>
  <c r="I273" i="9"/>
  <c r="T161" i="16"/>
  <c r="P122" i="16"/>
  <c r="H122" i="9" s="1"/>
  <c r="F122" i="16"/>
  <c r="I122" i="9"/>
  <c r="T122" i="16"/>
  <c r="T912" i="16"/>
  <c r="I912" i="9"/>
  <c r="F838" i="16"/>
  <c r="P838" i="16" s="1"/>
  <c r="F829" i="16"/>
  <c r="P829" i="16" s="1"/>
  <c r="P673" i="16"/>
  <c r="H673" i="9" s="1"/>
  <c r="I673" i="9"/>
  <c r="T594" i="16"/>
  <c r="F429" i="16"/>
  <c r="P429" i="16"/>
  <c r="H429" i="9" s="1"/>
  <c r="I429" i="9"/>
  <c r="F253" i="16"/>
  <c r="P253" i="16"/>
  <c r="H253" i="9" s="1"/>
  <c r="I253" i="9"/>
  <c r="T104" i="16"/>
  <c r="P104" i="16"/>
  <c r="H104" i="9" s="1"/>
  <c r="I104" i="9"/>
  <c r="F104" i="16"/>
  <c r="F1061" i="16"/>
  <c r="I964" i="9"/>
  <c r="F807" i="16"/>
  <c r="P807" i="16" s="1"/>
  <c r="F551" i="16"/>
  <c r="I551" i="9"/>
  <c r="P667" i="16"/>
  <c r="H667" i="9" s="1"/>
  <c r="I667" i="9"/>
  <c r="T667" i="16"/>
  <c r="I632" i="9"/>
  <c r="F632" i="16"/>
  <c r="P632" i="16"/>
  <c r="H632" i="9" s="1"/>
  <c r="T632" i="16"/>
  <c r="P353" i="16"/>
  <c r="H353" i="9" s="1"/>
  <c r="I353" i="9"/>
  <c r="T353" i="16"/>
  <c r="F353" i="16"/>
  <c r="F1010" i="16"/>
  <c r="P1010" i="16" s="1"/>
  <c r="H1010" i="9" s="1"/>
  <c r="I1010" i="9" s="1"/>
  <c r="T1010" i="16"/>
  <c r="F709" i="16"/>
  <c r="O334" i="16"/>
  <c r="I243" i="9"/>
  <c r="T243" i="16"/>
  <c r="F243" i="16"/>
  <c r="I69" i="9"/>
  <c r="P69" i="16"/>
  <c r="H69" i="9" s="1"/>
  <c r="F69" i="16"/>
  <c r="F859" i="16"/>
  <c r="P859" i="16" s="1"/>
  <c r="F768" i="16"/>
  <c r="P768" i="16" s="1"/>
  <c r="I89" i="9"/>
  <c r="T89" i="16"/>
  <c r="F89" i="16"/>
  <c r="I586" i="9"/>
  <c r="T586" i="16"/>
  <c r="P586" i="16"/>
  <c r="H586" i="9" s="1"/>
  <c r="I576" i="9"/>
  <c r="P576" i="16"/>
  <c r="H576" i="9" s="1"/>
  <c r="AF114" i="15"/>
  <c r="AE114" i="15"/>
  <c r="O114" i="7" s="1"/>
  <c r="F828" i="16"/>
  <c r="P828" i="16"/>
  <c r="I820" i="9"/>
  <c r="F790" i="16"/>
  <c r="P790" i="16" s="1"/>
  <c r="O780" i="16"/>
  <c r="I580" i="9"/>
  <c r="F580" i="16"/>
  <c r="P580" i="16"/>
  <c r="H580" i="9" s="1"/>
  <c r="O402" i="16"/>
  <c r="I149" i="9"/>
  <c r="P149" i="16"/>
  <c r="H149" i="9" s="1"/>
  <c r="T149" i="16"/>
  <c r="T133" i="16"/>
  <c r="I133" i="9"/>
  <c r="F133" i="16"/>
  <c r="P133" i="16"/>
  <c r="H133" i="9" s="1"/>
  <c r="F390" i="16"/>
  <c r="I390" i="9"/>
  <c r="F181" i="16"/>
  <c r="P181" i="16"/>
  <c r="H181" i="9" s="1"/>
  <c r="I181" i="9"/>
  <c r="AG14" i="15"/>
  <c r="Q14" i="7" s="1"/>
  <c r="P1284" i="16"/>
  <c r="H1284" i="9" s="1"/>
  <c r="I1284" i="9" s="1"/>
  <c r="AG141" i="15"/>
  <c r="Q141" i="7" s="1"/>
  <c r="AF132" i="15"/>
  <c r="AE132" i="15"/>
  <c r="O132" i="7" s="1"/>
  <c r="AQ8" i="17"/>
  <c r="AP154" i="17"/>
  <c r="I248" i="9"/>
  <c r="P248" i="16"/>
  <c r="H248" i="9" s="1"/>
  <c r="T248" i="16"/>
  <c r="AF95" i="15"/>
  <c r="I347" i="9"/>
  <c r="P347" i="16"/>
  <c r="H347" i="9" s="1"/>
  <c r="T347" i="16"/>
  <c r="AF90" i="15"/>
  <c r="AE90" i="15"/>
  <c r="O90" i="7" s="1"/>
  <c r="O570" i="16"/>
  <c r="I524" i="9"/>
  <c r="F524" i="16"/>
  <c r="T524" i="16"/>
  <c r="P524" i="16"/>
  <c r="H524" i="9" s="1"/>
  <c r="F819" i="16"/>
  <c r="P819" i="16" s="1"/>
  <c r="F681" i="16"/>
  <c r="P681" i="16" s="1"/>
  <c r="AF29" i="15"/>
  <c r="F1208" i="16"/>
  <c r="O565" i="16"/>
  <c r="V120" i="12"/>
  <c r="P94" i="17"/>
  <c r="AK94" i="17" s="1"/>
  <c r="X94" i="12" s="1"/>
  <c r="G59" i="14" s="1"/>
  <c r="F1291" i="16"/>
  <c r="P1291" i="16" s="1"/>
  <c r="F1227" i="16"/>
  <c r="F1163" i="16"/>
  <c r="O1342" i="16"/>
  <c r="P1342" i="16" s="1"/>
  <c r="F1221" i="16"/>
  <c r="F1157" i="16"/>
  <c r="F1139" i="16"/>
  <c r="I1340" i="9"/>
  <c r="P1004" i="16"/>
  <c r="H1004" i="9" s="1"/>
  <c r="I1004" i="9" s="1"/>
  <c r="P969" i="16"/>
  <c r="H969" i="9" s="1"/>
  <c r="I969" i="9" s="1"/>
  <c r="P882" i="16"/>
  <c r="H882" i="9" s="1"/>
  <c r="I882" i="9" s="1"/>
  <c r="O787" i="16"/>
  <c r="O531" i="16"/>
  <c r="F1071" i="16"/>
  <c r="P938" i="16"/>
  <c r="H938" i="9" s="1"/>
  <c r="I938" i="9" s="1"/>
  <c r="O843" i="16"/>
  <c r="F597" i="16"/>
  <c r="P597" i="16"/>
  <c r="H597" i="9" s="1"/>
  <c r="I597" i="9"/>
  <c r="P426" i="16"/>
  <c r="H426" i="9" s="1"/>
  <c r="T426" i="16"/>
  <c r="I426" i="9"/>
  <c r="F1220" i="16"/>
  <c r="P866" i="16"/>
  <c r="H866" i="9" s="1"/>
  <c r="I866" i="9" s="1"/>
  <c r="H781" i="9"/>
  <c r="I781" i="9" s="1"/>
  <c r="T781" i="16"/>
  <c r="P674" i="16"/>
  <c r="H674" i="9" s="1"/>
  <c r="T674" i="16"/>
  <c r="I674" i="9"/>
  <c r="F643" i="16"/>
  <c r="I643" i="9"/>
  <c r="P643" i="16"/>
  <c r="H643" i="9" s="1"/>
  <c r="T643" i="16"/>
  <c r="T441" i="16"/>
  <c r="I441" i="9"/>
  <c r="T226" i="16"/>
  <c r="P226" i="16"/>
  <c r="H226" i="9" s="1"/>
  <c r="I226" i="9"/>
  <c r="I1328" i="9"/>
  <c r="P876" i="16"/>
  <c r="O858" i="16"/>
  <c r="T497" i="16"/>
  <c r="P497" i="16"/>
  <c r="H497" i="9" s="1"/>
  <c r="I497" i="9"/>
  <c r="T474" i="16"/>
  <c r="I474" i="9"/>
  <c r="P305" i="16"/>
  <c r="H305" i="9" s="1"/>
  <c r="I305" i="9"/>
  <c r="T282" i="16"/>
  <c r="I282" i="9"/>
  <c r="T218" i="16"/>
  <c r="I218" i="9"/>
  <c r="I1290" i="9"/>
  <c r="F1021" i="16"/>
  <c r="F862" i="16"/>
  <c r="P862" i="16" s="1"/>
  <c r="T553" i="16"/>
  <c r="P514" i="16"/>
  <c r="H514" i="9" s="1"/>
  <c r="I514" i="9"/>
  <c r="F112" i="16"/>
  <c r="T112" i="16"/>
  <c r="I112" i="9"/>
  <c r="P112" i="16"/>
  <c r="H112" i="9" s="1"/>
  <c r="P729" i="16"/>
  <c r="H729" i="9" s="1"/>
  <c r="I729" i="9" s="1"/>
  <c r="T464" i="16"/>
  <c r="I464" i="9"/>
  <c r="P384" i="16"/>
  <c r="H384" i="9" s="1"/>
  <c r="P119" i="16"/>
  <c r="H119" i="9" s="1"/>
  <c r="F114" i="16"/>
  <c r="P114" i="16"/>
  <c r="H114" i="9" s="1"/>
  <c r="I114" i="9"/>
  <c r="F1189" i="16"/>
  <c r="F821" i="16"/>
  <c r="P821" i="16"/>
  <c r="F565" i="16"/>
  <c r="P565" i="16"/>
  <c r="H565" i="9" s="1"/>
  <c r="I565" i="9"/>
  <c r="P386" i="16"/>
  <c r="H386" i="9" s="1"/>
  <c r="I386" i="9"/>
  <c r="T337" i="16"/>
  <c r="P337" i="16"/>
  <c r="H337" i="9" s="1"/>
  <c r="I337" i="9"/>
  <c r="P66" i="16"/>
  <c r="H66" i="9" s="1"/>
  <c r="F66" i="16"/>
  <c r="I66" i="9"/>
  <c r="I644" i="9"/>
  <c r="P644" i="16"/>
  <c r="H644" i="9" s="1"/>
  <c r="I372" i="9"/>
  <c r="P372" i="16"/>
  <c r="H372" i="9" s="1"/>
  <c r="I152" i="9"/>
  <c r="P152" i="16"/>
  <c r="H152" i="9" s="1"/>
  <c r="F152" i="16"/>
  <c r="T152" i="16"/>
  <c r="O808" i="16"/>
  <c r="P808" i="16" s="1"/>
  <c r="H808" i="9" s="1"/>
  <c r="I808" i="9" s="1"/>
  <c r="P805" i="16"/>
  <c r="O619" i="16"/>
  <c r="I564" i="9"/>
  <c r="T564" i="16"/>
  <c r="F564" i="16"/>
  <c r="T272" i="16"/>
  <c r="I272" i="9"/>
  <c r="P1271" i="16"/>
  <c r="I11" i="9"/>
  <c r="F11" i="16"/>
  <c r="T11" i="16"/>
  <c r="P11" i="16"/>
  <c r="H11" i="9" s="1"/>
  <c r="P1292" i="16"/>
  <c r="F959" i="16"/>
  <c r="P959" i="16" s="1"/>
  <c r="T624" i="16"/>
  <c r="I624" i="9"/>
  <c r="I169" i="9"/>
  <c r="F169" i="16"/>
  <c r="I572" i="9"/>
  <c r="F572" i="16"/>
  <c r="P572" i="16"/>
  <c r="H572" i="9" s="1"/>
  <c r="I283" i="9"/>
  <c r="P283" i="16"/>
  <c r="H283" i="9" s="1"/>
  <c r="AG82" i="15"/>
  <c r="Q82" i="7" s="1"/>
  <c r="F873" i="16"/>
  <c r="P873" i="16" s="1"/>
  <c r="F1197" i="16"/>
  <c r="T28" i="16"/>
  <c r="P28" i="16"/>
  <c r="H28" i="9" s="1"/>
  <c r="I28" i="9"/>
  <c r="AH164" i="15"/>
  <c r="R164" i="7" s="1"/>
  <c r="S164" i="7" s="1"/>
  <c r="T616" i="16"/>
  <c r="I616" i="9"/>
  <c r="F616" i="16"/>
  <c r="P616" i="16"/>
  <c r="H616" i="9" s="1"/>
  <c r="I97" i="9"/>
  <c r="T97" i="16"/>
  <c r="F1120" i="16"/>
  <c r="F737" i="16"/>
  <c r="P737" i="16" s="1"/>
  <c r="I512" i="9"/>
  <c r="P512" i="16"/>
  <c r="H512" i="9" s="1"/>
  <c r="F44" i="16"/>
  <c r="AE69" i="15"/>
  <c r="O69" i="7" s="1"/>
  <c r="AF69" i="15"/>
  <c r="F1235" i="16"/>
  <c r="P113" i="7"/>
  <c r="AH113" i="15"/>
  <c r="R113" i="7" s="1"/>
  <c r="S113" i="7" s="1"/>
  <c r="P166" i="7"/>
  <c r="AH166" i="15"/>
  <c r="R166" i="7" s="1"/>
  <c r="S166" i="7" s="1"/>
  <c r="AE6" i="15"/>
  <c r="O6" i="7" s="1"/>
  <c r="P36" i="7"/>
  <c r="AH36" i="15"/>
  <c r="R36" i="7" s="1"/>
  <c r="S36" i="7" s="1"/>
  <c r="AG104" i="17"/>
  <c r="I252" i="9"/>
  <c r="T252" i="16"/>
  <c r="P85" i="7"/>
  <c r="AH85" i="15"/>
  <c r="R85" i="7" s="1"/>
  <c r="S85" i="7" s="1"/>
  <c r="AI12" i="17"/>
  <c r="AE170" i="17"/>
  <c r="AG72" i="17"/>
  <c r="AF72" i="17"/>
  <c r="AR72" i="17" s="1"/>
  <c r="AC72" i="12" s="1"/>
  <c r="AP168" i="17"/>
  <c r="AF168" i="17"/>
  <c r="AG168" i="17"/>
  <c r="O3" i="17"/>
  <c r="AI3" i="17" s="1"/>
  <c r="O918" i="16"/>
  <c r="P918" i="16" s="1"/>
  <c r="O854" i="16"/>
  <c r="P854" i="16" s="1"/>
  <c r="O709" i="16"/>
  <c r="O693" i="16"/>
  <c r="P693" i="16" s="1"/>
  <c r="O574" i="16"/>
  <c r="O510" i="16"/>
  <c r="T406" i="16"/>
  <c r="O317" i="16"/>
  <c r="O757" i="16"/>
  <c r="O437" i="16"/>
  <c r="F1155" i="16"/>
  <c r="O1300" i="16"/>
  <c r="P1300" i="16" s="1"/>
  <c r="F1083" i="16"/>
  <c r="F1075" i="16"/>
  <c r="P1340" i="16"/>
  <c r="H1340" i="9" s="1"/>
  <c r="O940" i="16"/>
  <c r="F787" i="16"/>
  <c r="P787" i="16" s="1"/>
  <c r="F723" i="16"/>
  <c r="P723" i="16" s="1"/>
  <c r="P659" i="16"/>
  <c r="H659" i="9" s="1"/>
  <c r="F659" i="16"/>
  <c r="T659" i="16"/>
  <c r="I659" i="9"/>
  <c r="T595" i="16"/>
  <c r="P595" i="16"/>
  <c r="H595" i="9" s="1"/>
  <c r="F595" i="16"/>
  <c r="I595" i="9"/>
  <c r="T531" i="16"/>
  <c r="F531" i="16"/>
  <c r="I531" i="9"/>
  <c r="P531" i="16"/>
  <c r="H531" i="9" s="1"/>
  <c r="P467" i="16"/>
  <c r="H467" i="9" s="1"/>
  <c r="F467" i="16"/>
  <c r="T467" i="16"/>
  <c r="I467" i="9"/>
  <c r="F403" i="16"/>
  <c r="T403" i="16"/>
  <c r="P403" i="16"/>
  <c r="H403" i="9" s="1"/>
  <c r="I403" i="9"/>
  <c r="T339" i="16"/>
  <c r="P339" i="16"/>
  <c r="H339" i="9" s="1"/>
  <c r="F339" i="16"/>
  <c r="I339" i="9"/>
  <c r="T275" i="16"/>
  <c r="P275" i="16"/>
  <c r="H275" i="9" s="1"/>
  <c r="F275" i="16"/>
  <c r="I275" i="9"/>
  <c r="F1302" i="16"/>
  <c r="P1302" i="16" s="1"/>
  <c r="F1213" i="16"/>
  <c r="I1003" i="9"/>
  <c r="T971" i="16"/>
  <c r="F971" i="16"/>
  <c r="P971" i="16" s="1"/>
  <c r="H971" i="9" s="1"/>
  <c r="I971" i="9" s="1"/>
  <c r="F843" i="16"/>
  <c r="P843" i="16"/>
  <c r="H843" i="9" s="1"/>
  <c r="I843" i="9" s="1"/>
  <c r="O715" i="16"/>
  <c r="T554" i="16"/>
  <c r="P554" i="16"/>
  <c r="H554" i="9" s="1"/>
  <c r="I554" i="9"/>
  <c r="O484" i="16"/>
  <c r="P395" i="16"/>
  <c r="H395" i="9" s="1"/>
  <c r="F395" i="16"/>
  <c r="I395" i="9"/>
  <c r="T395" i="16"/>
  <c r="O356" i="16"/>
  <c r="O331" i="16"/>
  <c r="P321" i="16"/>
  <c r="H321" i="9" s="1"/>
  <c r="T321" i="16"/>
  <c r="I321" i="9"/>
  <c r="P282" i="16"/>
  <c r="H282" i="9" s="1"/>
  <c r="O882" i="16"/>
  <c r="P610" i="16"/>
  <c r="H610" i="9" s="1"/>
  <c r="T610" i="16"/>
  <c r="I610" i="9"/>
  <c r="F579" i="16"/>
  <c r="T579" i="16"/>
  <c r="I579" i="9"/>
  <c r="P579" i="16"/>
  <c r="H579" i="9" s="1"/>
  <c r="O540" i="16"/>
  <c r="T377" i="16"/>
  <c r="I377" i="9"/>
  <c r="P162" i="16"/>
  <c r="H162" i="9" s="1"/>
  <c r="T162" i="16"/>
  <c r="I162" i="9"/>
  <c r="O1302" i="16"/>
  <c r="O916" i="16"/>
  <c r="P916" i="16" s="1"/>
  <c r="O724" i="16"/>
  <c r="P724" i="16" s="1"/>
  <c r="P625" i="16"/>
  <c r="H625" i="9" s="1"/>
  <c r="I625" i="9"/>
  <c r="T602" i="16"/>
  <c r="P602" i="16"/>
  <c r="H602" i="9" s="1"/>
  <c r="I602" i="9"/>
  <c r="P571" i="16"/>
  <c r="H571" i="9" s="1"/>
  <c r="F571" i="16"/>
  <c r="T571" i="16"/>
  <c r="I571" i="9"/>
  <c r="O532" i="16"/>
  <c r="F895" i="16"/>
  <c r="P895" i="16" s="1"/>
  <c r="F639" i="16"/>
  <c r="I639" i="9"/>
  <c r="T496" i="16"/>
  <c r="I496" i="9"/>
  <c r="P496" i="16"/>
  <c r="H496" i="9" s="1"/>
  <c r="T70" i="16"/>
  <c r="P70" i="16"/>
  <c r="H70" i="9" s="1"/>
  <c r="F70" i="16"/>
  <c r="I70" i="9"/>
  <c r="O1324" i="16"/>
  <c r="P1324" i="16" s="1"/>
  <c r="F1272" i="16"/>
  <c r="P1272" i="16" s="1"/>
  <c r="H1272" i="9" s="1"/>
  <c r="I1272" i="9" s="1"/>
  <c r="T744" i="16"/>
  <c r="I744" i="9"/>
  <c r="F437" i="16"/>
  <c r="P437" i="16"/>
  <c r="H437" i="9" s="1"/>
  <c r="I437" i="9"/>
  <c r="T384" i="16"/>
  <c r="F1080" i="16"/>
  <c r="P688" i="16"/>
  <c r="H688" i="9" s="1"/>
  <c r="I688" i="9" s="1"/>
  <c r="T378" i="16"/>
  <c r="P378" i="16"/>
  <c r="H378" i="9" s="1"/>
  <c r="I378" i="9"/>
  <c r="F268" i="16"/>
  <c r="I268" i="9"/>
  <c r="F153" i="16"/>
  <c r="I153" i="9"/>
  <c r="T127" i="16"/>
  <c r="I127" i="9"/>
  <c r="P1243" i="16"/>
  <c r="H1243" i="9" s="1"/>
  <c r="I1243" i="9" s="1"/>
  <c r="T1000" i="16"/>
  <c r="P1000" i="16"/>
  <c r="H1000" i="9" s="1"/>
  <c r="I1000" i="9" s="1"/>
  <c r="O962" i="16"/>
  <c r="P956" i="16"/>
  <c r="H956" i="9" s="1"/>
  <c r="I956" i="9" s="1"/>
  <c r="F680" i="16"/>
  <c r="P680" i="16"/>
  <c r="H680" i="9" s="1"/>
  <c r="I680" i="9" s="1"/>
  <c r="F644" i="16"/>
  <c r="I448" i="9"/>
  <c r="F448" i="16"/>
  <c r="P448" i="16"/>
  <c r="H448" i="9" s="1"/>
  <c r="F372" i="16"/>
  <c r="P564" i="16"/>
  <c r="H564" i="9" s="1"/>
  <c r="T432" i="16"/>
  <c r="I432" i="9"/>
  <c r="T360" i="16"/>
  <c r="I360" i="9"/>
  <c r="P360" i="16"/>
  <c r="H360" i="9" s="1"/>
  <c r="P47" i="16"/>
  <c r="H47" i="9" s="1"/>
  <c r="I47" i="9"/>
  <c r="F47" i="16"/>
  <c r="P642" i="16"/>
  <c r="H642" i="9" s="1"/>
  <c r="I642" i="9"/>
  <c r="T642" i="16"/>
  <c r="T240" i="16"/>
  <c r="P240" i="16"/>
  <c r="H240" i="9" s="1"/>
  <c r="I62" i="9"/>
  <c r="T62" i="16"/>
  <c r="F62" i="16"/>
  <c r="I211" i="9"/>
  <c r="P211" i="16"/>
  <c r="H211" i="9" s="1"/>
  <c r="T211" i="16"/>
  <c r="T87" i="16"/>
  <c r="P87" i="16"/>
  <c r="H87" i="9" s="1"/>
  <c r="I87" i="9"/>
  <c r="F87" i="16"/>
  <c r="I10" i="9"/>
  <c r="P10" i="16"/>
  <c r="H10" i="9" s="1"/>
  <c r="T10" i="16"/>
  <c r="F765" i="16"/>
  <c r="P765" i="16" s="1"/>
  <c r="O628" i="16"/>
  <c r="T572" i="16"/>
  <c r="F283" i="16"/>
  <c r="T105" i="16"/>
  <c r="I105" i="9"/>
  <c r="AE130" i="15"/>
  <c r="O130" i="7" s="1"/>
  <c r="AF130" i="15"/>
  <c r="AG66" i="15"/>
  <c r="Q66" i="7" s="1"/>
  <c r="F1069" i="16"/>
  <c r="I657" i="9"/>
  <c r="F657" i="16"/>
  <c r="P657" i="16"/>
  <c r="H657" i="9" s="1"/>
  <c r="I36" i="9"/>
  <c r="F36" i="16"/>
  <c r="T784" i="16"/>
  <c r="I784" i="9"/>
  <c r="I345" i="9"/>
  <c r="P345" i="16"/>
  <c r="H345" i="9" s="1"/>
  <c r="I29" i="9"/>
  <c r="T29" i="16"/>
  <c r="P29" i="16"/>
  <c r="H29" i="9" s="1"/>
  <c r="AF30" i="15"/>
  <c r="AE30" i="15"/>
  <c r="O30" i="7" s="1"/>
  <c r="O316" i="16"/>
  <c r="P97" i="16"/>
  <c r="H97" i="9" s="1"/>
  <c r="F512" i="16"/>
  <c r="AF84" i="15"/>
  <c r="P148" i="16"/>
  <c r="H148" i="9" s="1"/>
  <c r="F148" i="16"/>
  <c r="I148" i="9"/>
  <c r="P106" i="7"/>
  <c r="AH106" i="15"/>
  <c r="R106" i="7" s="1"/>
  <c r="S106" i="7" s="1"/>
  <c r="P119" i="7"/>
  <c r="AH119" i="15"/>
  <c r="R119" i="7" s="1"/>
  <c r="S119" i="7" s="1"/>
  <c r="AQ116" i="17"/>
  <c r="I192" i="9"/>
  <c r="F192" i="16"/>
  <c r="I45" i="9"/>
  <c r="P45" i="16"/>
  <c r="H45" i="9" s="1"/>
  <c r="AH72" i="17"/>
  <c r="AG27" i="15"/>
  <c r="Q27" i="7" s="1"/>
  <c r="AG97" i="15"/>
  <c r="Q97" i="7" s="1"/>
  <c r="P35" i="7"/>
  <c r="AH35" i="15"/>
  <c r="R35" i="7" s="1"/>
  <c r="S35" i="7" s="1"/>
  <c r="P1322" i="16"/>
  <c r="H1322" i="9" s="1"/>
  <c r="I1322" i="9" s="1"/>
  <c r="T1002" i="16"/>
  <c r="P1002" i="16"/>
  <c r="H1002" i="9" s="1"/>
  <c r="I1002" i="9" s="1"/>
  <c r="F1347" i="16"/>
  <c r="P1347" i="16" s="1"/>
  <c r="H1347" i="9" s="1"/>
  <c r="I1347" i="9" s="1"/>
  <c r="F1093" i="16"/>
  <c r="F1019" i="16"/>
  <c r="F1011" i="16"/>
  <c r="P1011" i="16" s="1"/>
  <c r="H1011" i="9" s="1"/>
  <c r="I1011" i="9" s="1"/>
  <c r="T1011" i="16"/>
  <c r="I1251" i="9"/>
  <c r="P841" i="16"/>
  <c r="H841" i="9" s="1"/>
  <c r="I841" i="9" s="1"/>
  <c r="O748" i="16"/>
  <c r="P748" i="16" s="1"/>
  <c r="O620" i="16"/>
  <c r="O556" i="16"/>
  <c r="O492" i="16"/>
  <c r="O428" i="16"/>
  <c r="F1038" i="16"/>
  <c r="F853" i="16"/>
  <c r="P853" i="16" s="1"/>
  <c r="P810" i="16"/>
  <c r="H810" i="9" s="1"/>
  <c r="I810" i="9" s="1"/>
  <c r="P769" i="16"/>
  <c r="H769" i="9" s="1"/>
  <c r="I769" i="9" s="1"/>
  <c r="P641" i="16"/>
  <c r="H641" i="9" s="1"/>
  <c r="T641" i="16"/>
  <c r="I641" i="9"/>
  <c r="F523" i="16"/>
  <c r="T523" i="16"/>
  <c r="P523" i="16"/>
  <c r="H523" i="9" s="1"/>
  <c r="I523" i="9"/>
  <c r="F405" i="16"/>
  <c r="P405" i="16"/>
  <c r="H405" i="9" s="1"/>
  <c r="I405" i="9"/>
  <c r="T234" i="16"/>
  <c r="P234" i="16"/>
  <c r="H234" i="9" s="1"/>
  <c r="I234" i="9"/>
  <c r="P203" i="16"/>
  <c r="H203" i="9" s="1"/>
  <c r="T203" i="16"/>
  <c r="I203" i="9"/>
  <c r="F203" i="16"/>
  <c r="O796" i="16"/>
  <c r="P796" i="16" s="1"/>
  <c r="T761" i="16"/>
  <c r="I761" i="9"/>
  <c r="O626" i="16"/>
  <c r="P546" i="16"/>
  <c r="H546" i="9" s="1"/>
  <c r="T546" i="16"/>
  <c r="I546" i="9"/>
  <c r="O476" i="16"/>
  <c r="T313" i="16"/>
  <c r="I313" i="9"/>
  <c r="F1092" i="16"/>
  <c r="I995" i="9"/>
  <c r="P945" i="16"/>
  <c r="H945" i="9" s="1"/>
  <c r="I945" i="9" s="1"/>
  <c r="P940" i="16"/>
  <c r="F699" i="16"/>
  <c r="P699" i="16" s="1"/>
  <c r="T410" i="16"/>
  <c r="I410" i="9"/>
  <c r="P379" i="16"/>
  <c r="H379" i="9" s="1"/>
  <c r="T379" i="16"/>
  <c r="F379" i="16"/>
  <c r="I379" i="9"/>
  <c r="P154" i="16"/>
  <c r="H154" i="9" s="1"/>
  <c r="T154" i="16"/>
  <c r="I154" i="9"/>
  <c r="O1341" i="16"/>
  <c r="F908" i="16"/>
  <c r="P908" i="16" s="1"/>
  <c r="O770" i="16"/>
  <c r="T506" i="16"/>
  <c r="P506" i="16"/>
  <c r="H506" i="9" s="1"/>
  <c r="I506" i="9"/>
  <c r="P411" i="16"/>
  <c r="H411" i="9" s="1"/>
  <c r="I411" i="9"/>
  <c r="F262" i="16"/>
  <c r="I262" i="9"/>
  <c r="F190" i="16"/>
  <c r="I190" i="9"/>
  <c r="P985" i="16"/>
  <c r="H985" i="9" s="1"/>
  <c r="I985" i="9" s="1"/>
  <c r="P706" i="16"/>
  <c r="F423" i="16"/>
  <c r="I423" i="9"/>
  <c r="F261" i="16"/>
  <c r="P261" i="16"/>
  <c r="H261" i="9" s="1"/>
  <c r="I261" i="9"/>
  <c r="P96" i="16"/>
  <c r="H96" i="9" s="1"/>
  <c r="F96" i="16"/>
  <c r="I96" i="9"/>
  <c r="T96" i="16"/>
  <c r="I947" i="9"/>
  <c r="O867" i="16"/>
  <c r="I611" i="9"/>
  <c r="T611" i="16"/>
  <c r="F611" i="16"/>
  <c r="O530" i="16"/>
  <c r="I452" i="9"/>
  <c r="T452" i="16"/>
  <c r="F452" i="16"/>
  <c r="P186" i="16"/>
  <c r="H186" i="9" s="1"/>
  <c r="I186" i="9"/>
  <c r="F186" i="16"/>
  <c r="I119" i="9"/>
  <c r="F119" i="16"/>
  <c r="F1041" i="16"/>
  <c r="F590" i="16"/>
  <c r="I590" i="9"/>
  <c r="P578" i="16"/>
  <c r="H578" i="9" s="1"/>
  <c r="I578" i="9"/>
  <c r="F578" i="16"/>
  <c r="T560" i="16"/>
  <c r="I560" i="9"/>
  <c r="I465" i="9"/>
  <c r="T465" i="16"/>
  <c r="O442" i="16"/>
  <c r="O537" i="16"/>
  <c r="T336" i="16"/>
  <c r="I336" i="9"/>
  <c r="P309" i="16"/>
  <c r="H309" i="9" s="1"/>
  <c r="F309" i="16"/>
  <c r="I309" i="9"/>
  <c r="F826" i="16"/>
  <c r="P826" i="16"/>
  <c r="H826" i="9" s="1"/>
  <c r="I826" i="9" s="1"/>
  <c r="F703" i="16"/>
  <c r="P703" i="16" s="1"/>
  <c r="H703" i="9" s="1"/>
  <c r="I703" i="9"/>
  <c r="I136" i="9"/>
  <c r="F136" i="16"/>
  <c r="P136" i="16"/>
  <c r="H136" i="9" s="1"/>
  <c r="P1293" i="16"/>
  <c r="I628" i="9"/>
  <c r="F628" i="16"/>
  <c r="P628" i="16"/>
  <c r="H628" i="9" s="1"/>
  <c r="AF66" i="15"/>
  <c r="AE66" i="15"/>
  <c r="O66" i="7" s="1"/>
  <c r="F679" i="16"/>
  <c r="P679" i="16" s="1"/>
  <c r="F517" i="16"/>
  <c r="P517" i="16"/>
  <c r="H517" i="9" s="1"/>
  <c r="I517" i="9"/>
  <c r="I324" i="9"/>
  <c r="F324" i="16"/>
  <c r="P324" i="16"/>
  <c r="H324" i="9" s="1"/>
  <c r="AH137" i="15"/>
  <c r="R137" i="7" s="1"/>
  <c r="S137" i="7" s="1"/>
  <c r="P137" i="7"/>
  <c r="AH68" i="15"/>
  <c r="R68" i="7" s="1"/>
  <c r="S68" i="7" s="1"/>
  <c r="F722" i="16"/>
  <c r="P722" i="16" s="1"/>
  <c r="AG159" i="15"/>
  <c r="Q159" i="7" s="1"/>
  <c r="AF76" i="15"/>
  <c r="AE76" i="15"/>
  <c r="O76" i="7" s="1"/>
  <c r="AE5" i="15"/>
  <c r="O5" i="7" s="1"/>
  <c r="AF5" i="15"/>
  <c r="O857" i="16"/>
  <c r="AG64" i="15"/>
  <c r="Q64" i="7" s="1"/>
  <c r="AH53" i="15"/>
  <c r="R53" i="7" s="1"/>
  <c r="S53" i="7" s="1"/>
  <c r="P53" i="7"/>
  <c r="AP36" i="17"/>
  <c r="AF20" i="15"/>
  <c r="AF150" i="15"/>
  <c r="AF129" i="15"/>
  <c r="F252" i="16"/>
  <c r="AE39" i="15"/>
  <c r="O39" i="7" s="1"/>
  <c r="AF39" i="15"/>
  <c r="P139" i="7"/>
  <c r="AH139" i="15"/>
  <c r="R139" i="7" s="1"/>
  <c r="S139" i="7" s="1"/>
  <c r="F439" i="16"/>
  <c r="I439" i="9"/>
  <c r="P96" i="7"/>
  <c r="AH96" i="15"/>
  <c r="R96" i="7" s="1"/>
  <c r="S96" i="7" s="1"/>
  <c r="AQ152" i="17"/>
  <c r="AH152" i="17"/>
  <c r="AQ104" i="17"/>
  <c r="AH104" i="17"/>
  <c r="AR12" i="17"/>
  <c r="AC12" i="12" s="1"/>
  <c r="AH150" i="17"/>
  <c r="AQ150" i="17"/>
  <c r="AH132" i="17"/>
  <c r="AQ132" i="17"/>
  <c r="AF120" i="17"/>
  <c r="AG120" i="17"/>
  <c r="AJ120" i="17"/>
  <c r="W120" i="12" s="1"/>
  <c r="O910" i="16"/>
  <c r="P910" i="16" s="1"/>
  <c r="O846" i="16"/>
  <c r="P846" i="16" s="1"/>
  <c r="O677" i="16"/>
  <c r="P677" i="16" s="1"/>
  <c r="O462" i="16"/>
  <c r="O389" i="16"/>
  <c r="O765" i="16"/>
  <c r="P590" i="16"/>
  <c r="H590" i="9" s="1"/>
  <c r="P1345" i="16"/>
  <c r="H1345" i="9" s="1"/>
  <c r="I1345" i="9" s="1"/>
  <c r="O1294" i="16"/>
  <c r="P1294" i="16" s="1"/>
  <c r="O1286" i="16"/>
  <c r="P1286" i="16" s="1"/>
  <c r="F1250" i="16"/>
  <c r="P1250" i="16" s="1"/>
  <c r="F1209" i="16"/>
  <c r="F1017" i="16"/>
  <c r="T1306" i="16"/>
  <c r="I1306" i="9"/>
  <c r="F1265" i="16"/>
  <c r="P1265" i="16" s="1"/>
  <c r="F1029" i="16"/>
  <c r="P986" i="16"/>
  <c r="H986" i="9" s="1"/>
  <c r="I986" i="9" s="1"/>
  <c r="T986" i="16"/>
  <c r="F1298" i="16"/>
  <c r="P1298" i="16" s="1"/>
  <c r="F1257" i="16"/>
  <c r="P1257" i="16" s="1"/>
  <c r="F1049" i="16"/>
  <c r="F915" i="16"/>
  <c r="P915" i="16" s="1"/>
  <c r="O684" i="16"/>
  <c r="O364" i="16"/>
  <c r="O300" i="16"/>
  <c r="F1059" i="16"/>
  <c r="F1020" i="16"/>
  <c r="O907" i="16"/>
  <c r="F897" i="16"/>
  <c r="P897" i="16" s="1"/>
  <c r="O868" i="16"/>
  <c r="P868" i="16" s="1"/>
  <c r="O740" i="16"/>
  <c r="P740" i="16" s="1"/>
  <c r="F705" i="16"/>
  <c r="P705" i="16" s="1"/>
  <c r="O676" i="16"/>
  <c r="P676" i="16" s="1"/>
  <c r="T625" i="16"/>
  <c r="O612" i="16"/>
  <c r="P577" i="16"/>
  <c r="H577" i="9" s="1"/>
  <c r="T577" i="16"/>
  <c r="I577" i="9"/>
  <c r="F554" i="16"/>
  <c r="P449" i="16"/>
  <c r="H449" i="9" s="1"/>
  <c r="T449" i="16"/>
  <c r="I449" i="9"/>
  <c r="T362" i="16"/>
  <c r="P362" i="16"/>
  <c r="H362" i="9" s="1"/>
  <c r="I362" i="9"/>
  <c r="F321" i="16"/>
  <c r="F1315" i="16"/>
  <c r="P1315" i="16" s="1"/>
  <c r="P1266" i="16"/>
  <c r="H1266" i="9" s="1"/>
  <c r="I1266" i="9"/>
  <c r="F1249" i="16"/>
  <c r="P1249" i="16" s="1"/>
  <c r="H1249" i="9" s="1"/>
  <c r="I1249" i="9" s="1"/>
  <c r="F1187" i="16"/>
  <c r="O924" i="16"/>
  <c r="P924" i="16" s="1"/>
  <c r="T889" i="16"/>
  <c r="I889" i="9"/>
  <c r="F835" i="16"/>
  <c r="P835" i="16" s="1"/>
  <c r="H835" i="9" s="1"/>
  <c r="I835" i="9" s="1"/>
  <c r="T697" i="16"/>
  <c r="I697" i="9"/>
  <c r="F610" i="16"/>
  <c r="O562" i="16"/>
  <c r="T515" i="16"/>
  <c r="P515" i="16"/>
  <c r="H515" i="9" s="1"/>
  <c r="F515" i="16"/>
  <c r="I515" i="9"/>
  <c r="O412" i="16"/>
  <c r="F377" i="16"/>
  <c r="O323" i="16"/>
  <c r="F272" i="16"/>
  <c r="T249" i="16"/>
  <c r="I249" i="9"/>
  <c r="F162" i="16"/>
  <c r="P922" i="16"/>
  <c r="H922" i="9" s="1"/>
  <c r="I922" i="9" s="1"/>
  <c r="F881" i="16"/>
  <c r="P881" i="16" s="1"/>
  <c r="H881" i="9" s="1"/>
  <c r="I881" i="9" s="1"/>
  <c r="F858" i="16"/>
  <c r="P858" i="16" s="1"/>
  <c r="H858" i="9" s="1"/>
  <c r="I858" i="9" s="1"/>
  <c r="F827" i="16"/>
  <c r="P827" i="16" s="1"/>
  <c r="O788" i="16"/>
  <c r="P788" i="16" s="1"/>
  <c r="P753" i="16"/>
  <c r="H753" i="9" s="1"/>
  <c r="I753" i="9" s="1"/>
  <c r="P730" i="16"/>
  <c r="H730" i="9" s="1"/>
  <c r="I730" i="9" s="1"/>
  <c r="F625" i="16"/>
  <c r="F602" i="16"/>
  <c r="O538" i="16"/>
  <c r="P507" i="16"/>
  <c r="H507" i="9" s="1"/>
  <c r="T507" i="16"/>
  <c r="I507" i="9"/>
  <c r="F507" i="16"/>
  <c r="P433" i="16"/>
  <c r="H433" i="9" s="1"/>
  <c r="I433" i="9"/>
  <c r="O340" i="16"/>
  <c r="P241" i="16"/>
  <c r="H241" i="9" s="1"/>
  <c r="I241" i="9"/>
  <c r="P993" i="16"/>
  <c r="H993" i="9" s="1"/>
  <c r="I993" i="9"/>
  <c r="F901" i="16"/>
  <c r="P901" i="16" s="1"/>
  <c r="O762" i="16"/>
  <c r="I756" i="9"/>
  <c r="F652" i="16"/>
  <c r="I652" i="9"/>
  <c r="P621" i="16"/>
  <c r="H621" i="9" s="1"/>
  <c r="F621" i="16"/>
  <c r="I621" i="9"/>
  <c r="T593" i="16"/>
  <c r="P593" i="16"/>
  <c r="H593" i="9" s="1"/>
  <c r="I593" i="9"/>
  <c r="T514" i="16"/>
  <c r="F460" i="16"/>
  <c r="I460" i="9"/>
  <c r="F411" i="16"/>
  <c r="F359" i="16"/>
  <c r="I359" i="9"/>
  <c r="P322" i="16"/>
  <c r="H322" i="9" s="1"/>
  <c r="I322" i="9"/>
  <c r="P235" i="16"/>
  <c r="H235" i="9" s="1"/>
  <c r="T196" i="16"/>
  <c r="I196" i="9"/>
  <c r="F196" i="16"/>
  <c r="F161" i="16"/>
  <c r="F929" i="16"/>
  <c r="P929" i="16" s="1"/>
  <c r="P731" i="16"/>
  <c r="P675" i="16"/>
  <c r="H675" i="9" s="1"/>
  <c r="F573" i="16"/>
  <c r="P573" i="16"/>
  <c r="H573" i="9" s="1"/>
  <c r="I573" i="9"/>
  <c r="F491" i="16"/>
  <c r="T488" i="16"/>
  <c r="I488" i="9"/>
  <c r="F394" i="16"/>
  <c r="F388" i="16"/>
  <c r="F384" i="16"/>
  <c r="P380" i="16"/>
  <c r="H380" i="9" s="1"/>
  <c r="P289" i="16"/>
  <c r="H289" i="9" s="1"/>
  <c r="I289" i="9"/>
  <c r="F1269" i="16"/>
  <c r="P1269" i="16" s="1"/>
  <c r="F844" i="16"/>
  <c r="P844" i="16" s="1"/>
  <c r="H844" i="9" s="1"/>
  <c r="I844" i="9" s="1"/>
  <c r="P698" i="16"/>
  <c r="H698" i="9" s="1"/>
  <c r="I698" i="9" s="1"/>
  <c r="T639" i="16"/>
  <c r="O475" i="16"/>
  <c r="T473" i="16"/>
  <c r="P473" i="16"/>
  <c r="H473" i="9" s="1"/>
  <c r="I473" i="9"/>
  <c r="T386" i="16"/>
  <c r="F378" i="16"/>
  <c r="F127" i="16"/>
  <c r="P987" i="16"/>
  <c r="H987" i="9" s="1"/>
  <c r="I987" i="9" s="1"/>
  <c r="P962" i="16"/>
  <c r="P948" i="16"/>
  <c r="F921" i="16"/>
  <c r="P921" i="16" s="1"/>
  <c r="H921" i="9" s="1"/>
  <c r="I921" i="9" s="1"/>
  <c r="F867" i="16"/>
  <c r="P867" i="16" s="1"/>
  <c r="P786" i="16"/>
  <c r="P452" i="16"/>
  <c r="H452" i="9" s="1"/>
  <c r="I355" i="9"/>
  <c r="T355" i="16"/>
  <c r="F355" i="16"/>
  <c r="O296" i="16"/>
  <c r="I202" i="9"/>
  <c r="F202" i="16"/>
  <c r="I194" i="9"/>
  <c r="P194" i="16"/>
  <c r="H194" i="9" s="1"/>
  <c r="F194" i="16"/>
  <c r="P1289" i="16"/>
  <c r="P31" i="16"/>
  <c r="H31" i="9" s="1"/>
  <c r="F31" i="16"/>
  <c r="I31" i="9"/>
  <c r="F642" i="16"/>
  <c r="F123" i="16"/>
  <c r="I123" i="9"/>
  <c r="F624" i="16"/>
  <c r="F10" i="16"/>
  <c r="T628" i="16"/>
  <c r="I163" i="9"/>
  <c r="T163" i="16"/>
  <c r="F163" i="16"/>
  <c r="AH45" i="15"/>
  <c r="R45" i="7" s="1"/>
  <c r="S45" i="7" s="1"/>
  <c r="P45" i="7"/>
  <c r="P15" i="7"/>
  <c r="F1135" i="16"/>
  <c r="F1113" i="16"/>
  <c r="F780" i="16"/>
  <c r="P780" i="16" s="1"/>
  <c r="H780" i="9" s="1"/>
  <c r="I780" i="9" s="1"/>
  <c r="P739" i="16"/>
  <c r="H739" i="9" s="1"/>
  <c r="I739" i="9" s="1"/>
  <c r="I118" i="9"/>
  <c r="T118" i="16"/>
  <c r="F118" i="16"/>
  <c r="AG163" i="15"/>
  <c r="Q163" i="7" s="1"/>
  <c r="AG115" i="15"/>
  <c r="Q115" i="7" s="1"/>
  <c r="AG99" i="15"/>
  <c r="F1082" i="16"/>
  <c r="I361" i="9"/>
  <c r="T361" i="16"/>
  <c r="T345" i="16"/>
  <c r="F345" i="16"/>
  <c r="T324" i="16"/>
  <c r="AG174" i="15"/>
  <c r="Q174" i="7" s="1"/>
  <c r="AG158" i="15"/>
  <c r="Q158" i="7" s="1"/>
  <c r="AG142" i="15"/>
  <c r="Q142" i="7" s="1"/>
  <c r="AF110" i="15"/>
  <c r="AE110" i="15"/>
  <c r="O110" i="7" s="1"/>
  <c r="AG94" i="15"/>
  <c r="Q94" i="7" s="1"/>
  <c r="P51" i="7"/>
  <c r="AH51" i="15"/>
  <c r="R51" i="7" s="1"/>
  <c r="S51" i="7" s="1"/>
  <c r="F1149" i="16"/>
  <c r="P890" i="16"/>
  <c r="H890" i="9" s="1"/>
  <c r="I890" i="9" s="1"/>
  <c r="O424" i="16"/>
  <c r="AG111" i="15"/>
  <c r="Q111" i="7" s="1"/>
  <c r="P1279" i="16"/>
  <c r="AG169" i="15"/>
  <c r="Q169" i="7" s="1"/>
  <c r="AF151" i="15"/>
  <c r="I13" i="9"/>
  <c r="T13" i="16"/>
  <c r="P13" i="16"/>
  <c r="H13" i="9" s="1"/>
  <c r="F627" i="16"/>
  <c r="T192" i="16"/>
  <c r="AE21" i="15"/>
  <c r="O21" i="7" s="1"/>
  <c r="AF21" i="15"/>
  <c r="I223" i="9"/>
  <c r="F223" i="16"/>
  <c r="P124" i="7"/>
  <c r="AH124" i="15"/>
  <c r="R124" i="7" s="1"/>
  <c r="S124" i="7" s="1"/>
  <c r="P55" i="7"/>
  <c r="AH55" i="15"/>
  <c r="R55" i="7" s="1"/>
  <c r="S55" i="7" s="1"/>
  <c r="AF112" i="15"/>
  <c r="T1001" i="16"/>
  <c r="P1001" i="16"/>
  <c r="H1001" i="9" s="1"/>
  <c r="I1001" i="9" s="1"/>
  <c r="P989" i="16"/>
  <c r="H989" i="9" s="1"/>
  <c r="I989" i="9" s="1"/>
  <c r="P128" i="7"/>
  <c r="AH128" i="15"/>
  <c r="R128" i="7" s="1"/>
  <c r="S128" i="7" s="1"/>
  <c r="O819" i="16"/>
  <c r="AG65" i="15"/>
  <c r="Q65" i="7" s="1"/>
  <c r="P178" i="16"/>
  <c r="H178" i="9" s="1"/>
  <c r="I178" i="9"/>
  <c r="O898" i="16"/>
  <c r="T601" i="16"/>
  <c r="P601" i="16"/>
  <c r="H601" i="9" s="1"/>
  <c r="I601" i="9"/>
  <c r="T256" i="16"/>
  <c r="T250" i="16"/>
  <c r="I250" i="9"/>
  <c r="P77" i="16"/>
  <c r="H77" i="9" s="1"/>
  <c r="F21" i="16"/>
  <c r="T21" i="16"/>
  <c r="P21" i="16"/>
  <c r="H21" i="9" s="1"/>
  <c r="I21" i="9"/>
  <c r="F1327" i="16"/>
  <c r="P1327" i="16" s="1"/>
  <c r="T716" i="16"/>
  <c r="I716" i="9"/>
  <c r="P481" i="16"/>
  <c r="H481" i="9" s="1"/>
  <c r="T427" i="16"/>
  <c r="T73" i="16"/>
  <c r="AE98" i="15"/>
  <c r="O98" i="7" s="1"/>
  <c r="AF98" i="15"/>
  <c r="AG50" i="15"/>
  <c r="Q50" i="7" s="1"/>
  <c r="AG3" i="15"/>
  <c r="Q3" i="7" s="1"/>
  <c r="F1317" i="16"/>
  <c r="P1317" i="16" s="1"/>
  <c r="F435" i="16"/>
  <c r="F206" i="16"/>
  <c r="I206" i="9"/>
  <c r="AG46" i="15"/>
  <c r="Q46" i="7" s="1"/>
  <c r="AL69" i="17"/>
  <c r="Y69" i="12" s="1"/>
  <c r="AL121" i="17"/>
  <c r="Y121" i="12" s="1"/>
  <c r="AG13" i="15"/>
  <c r="Q13" i="7" s="1"/>
  <c r="T504" i="16"/>
  <c r="P504" i="16"/>
  <c r="H504" i="9" s="1"/>
  <c r="AE59" i="15"/>
  <c r="O59" i="7" s="1"/>
  <c r="F695" i="16"/>
  <c r="P695" i="16" s="1"/>
  <c r="AE60" i="15"/>
  <c r="O60" i="7" s="1"/>
  <c r="F997" i="16"/>
  <c r="P997" i="16"/>
  <c r="H997" i="9" s="1"/>
  <c r="I997" i="9" s="1"/>
  <c r="AG9" i="15"/>
  <c r="Q9" i="7" s="1"/>
  <c r="F518" i="16"/>
  <c r="I518" i="9"/>
  <c r="F189" i="16"/>
  <c r="I189" i="9"/>
  <c r="P189" i="16"/>
  <c r="H189" i="9" s="1"/>
  <c r="T34" i="16"/>
  <c r="T201" i="16"/>
  <c r="P201" i="16"/>
  <c r="H201" i="9" s="1"/>
  <c r="I201" i="9"/>
  <c r="T977" i="16"/>
  <c r="F757" i="16"/>
  <c r="P757" i="16" s="1"/>
  <c r="T442" i="16"/>
  <c r="P442" i="16"/>
  <c r="H442" i="9" s="1"/>
  <c r="I442" i="9"/>
  <c r="O326" i="16"/>
  <c r="F173" i="16"/>
  <c r="P173" i="16"/>
  <c r="H173" i="9" s="1"/>
  <c r="I173" i="9"/>
  <c r="T75" i="16"/>
  <c r="I75" i="9"/>
  <c r="F75" i="16"/>
  <c r="F1055" i="16"/>
  <c r="F165" i="16"/>
  <c r="P165" i="16"/>
  <c r="H165" i="9" s="1"/>
  <c r="I165" i="9"/>
  <c r="T217" i="16"/>
  <c r="P217" i="16"/>
  <c r="H217" i="9" s="1"/>
  <c r="I217" i="9"/>
  <c r="I972" i="9"/>
  <c r="P32" i="16"/>
  <c r="H32" i="9" s="1"/>
  <c r="I32" i="9"/>
  <c r="F32" i="16"/>
  <c r="AF50" i="15"/>
  <c r="AE50" i="15"/>
  <c r="O50" i="7" s="1"/>
  <c r="AG2" i="15"/>
  <c r="Q2" i="7" s="1"/>
  <c r="I35" i="9"/>
  <c r="P35" i="16"/>
  <c r="H35" i="9" s="1"/>
  <c r="AG83" i="15"/>
  <c r="Q83" i="7" s="1"/>
  <c r="F295" i="16"/>
  <c r="I295" i="9"/>
  <c r="AF67" i="15"/>
  <c r="AF46" i="15"/>
  <c r="AE46" i="15"/>
  <c r="O46" i="7" s="1"/>
  <c r="AG30" i="15"/>
  <c r="Q30" i="7" s="1"/>
  <c r="P501" i="16"/>
  <c r="H501" i="9" s="1"/>
  <c r="F501" i="16"/>
  <c r="I501" i="9"/>
  <c r="T332" i="16"/>
  <c r="I332" i="9"/>
  <c r="F325" i="16"/>
  <c r="P325" i="16"/>
  <c r="H325" i="9" s="1"/>
  <c r="I325" i="9"/>
  <c r="AG127" i="15"/>
  <c r="Q127" i="7" s="1"/>
  <c r="AG63" i="15"/>
  <c r="Q63" i="7" s="1"/>
  <c r="AL7" i="17"/>
  <c r="Y7" i="12" s="1"/>
  <c r="AL99" i="17"/>
  <c r="Y99" i="12" s="1"/>
  <c r="F965" i="16"/>
  <c r="P965" i="16" s="1"/>
  <c r="F943" i="16"/>
  <c r="P943" i="16" s="1"/>
  <c r="F317" i="16"/>
  <c r="P317" i="16"/>
  <c r="H317" i="9" s="1"/>
  <c r="I317" i="9"/>
  <c r="AG42" i="15"/>
  <c r="Q42" i="7" s="1"/>
  <c r="P493" i="16"/>
  <c r="H493" i="9" s="1"/>
  <c r="F493" i="16"/>
  <c r="I493" i="9"/>
  <c r="P450" i="16"/>
  <c r="H450" i="9" s="1"/>
  <c r="I450" i="9"/>
  <c r="P159" i="16"/>
  <c r="H159" i="9" s="1"/>
  <c r="F159" i="16"/>
  <c r="I159" i="9"/>
  <c r="AG89" i="15"/>
  <c r="Q89" i="7" s="1"/>
  <c r="AG137" i="15"/>
  <c r="Q137" i="7" s="1"/>
  <c r="F55" i="16"/>
  <c r="AE156" i="15"/>
  <c r="O156" i="7" s="1"/>
  <c r="AE112" i="15"/>
  <c r="O112" i="7" s="1"/>
  <c r="I19" i="9"/>
  <c r="T19" i="16"/>
  <c r="T592" i="16"/>
  <c r="I592" i="9"/>
  <c r="P7" i="16"/>
  <c r="H7" i="9" s="1"/>
  <c r="F7" i="16"/>
  <c r="I7" i="9"/>
  <c r="AG29" i="15"/>
  <c r="Q29" i="7" s="1"/>
  <c r="P865" i="16"/>
  <c r="H865" i="9" s="1"/>
  <c r="I865" i="9" s="1"/>
  <c r="T636" i="16"/>
  <c r="F338" i="16"/>
  <c r="F201" i="16"/>
  <c r="F977" i="16"/>
  <c r="P977" i="16" s="1"/>
  <c r="H977" i="9" s="1"/>
  <c r="I977" i="9" s="1"/>
  <c r="O564" i="16"/>
  <c r="F534" i="16"/>
  <c r="I534" i="9"/>
  <c r="F442" i="16"/>
  <c r="F326" i="16"/>
  <c r="I326" i="9"/>
  <c r="T168" i="16"/>
  <c r="I168" i="9"/>
  <c r="P168" i="16"/>
  <c r="H168" i="9" s="1"/>
  <c r="F1072" i="16"/>
  <c r="F914" i="16"/>
  <c r="P914" i="16" s="1"/>
  <c r="F880" i="16"/>
  <c r="P880" i="16" s="1"/>
  <c r="F801" i="16"/>
  <c r="P801" i="16" s="1"/>
  <c r="F389" i="16"/>
  <c r="P389" i="16"/>
  <c r="H389" i="9" s="1"/>
  <c r="I389" i="9"/>
  <c r="T128" i="16"/>
  <c r="F27" i="16"/>
  <c r="F1161" i="16"/>
  <c r="F217" i="16"/>
  <c r="I126" i="9"/>
  <c r="P126" i="16"/>
  <c r="H126" i="9" s="1"/>
  <c r="F1313" i="16"/>
  <c r="P1313" i="16" s="1"/>
  <c r="F982" i="16"/>
  <c r="P982" i="16" s="1"/>
  <c r="H982" i="9" s="1"/>
  <c r="I982" i="9" s="1"/>
  <c r="F522" i="16"/>
  <c r="AG162" i="15"/>
  <c r="Q162" i="7" s="1"/>
  <c r="AH157" i="15"/>
  <c r="R157" i="7" s="1"/>
  <c r="S157" i="7" s="1"/>
  <c r="P157" i="7"/>
  <c r="AF82" i="15"/>
  <c r="AE82" i="15"/>
  <c r="O82" i="7" s="1"/>
  <c r="AG34" i="15"/>
  <c r="Q34" i="7" s="1"/>
  <c r="F1051" i="16"/>
  <c r="F35" i="16"/>
  <c r="AG67" i="15"/>
  <c r="Q67" i="7" s="1"/>
  <c r="F978" i="16"/>
  <c r="P978" i="16" s="1"/>
  <c r="H978" i="9" s="1"/>
  <c r="I978" i="9" s="1"/>
  <c r="P793" i="16"/>
  <c r="P258" i="16"/>
  <c r="H258" i="9" s="1"/>
  <c r="T204" i="16"/>
  <c r="AF174" i="15"/>
  <c r="AE174" i="15"/>
  <c r="O174" i="7" s="1"/>
  <c r="AG126" i="15"/>
  <c r="Q126" i="7" s="1"/>
  <c r="AF14" i="15"/>
  <c r="AE14" i="15"/>
  <c r="O14" i="7" s="1"/>
  <c r="F381" i="16"/>
  <c r="P381" i="16"/>
  <c r="H381" i="9" s="1"/>
  <c r="I381" i="9"/>
  <c r="O350" i="16"/>
  <c r="F316" i="16"/>
  <c r="O286" i="16"/>
  <c r="AG143" i="15"/>
  <c r="Q143" i="7" s="1"/>
  <c r="AG79" i="15"/>
  <c r="Q79" i="7" s="1"/>
  <c r="AG15" i="15"/>
  <c r="Q15" i="7" s="1"/>
  <c r="AL171" i="17"/>
  <c r="Y171" i="12" s="1"/>
  <c r="AL133" i="17"/>
  <c r="Y133" i="12" s="1"/>
  <c r="AL135" i="17"/>
  <c r="Y135" i="12" s="1"/>
  <c r="H78" i="14" s="1"/>
  <c r="AL51" i="17"/>
  <c r="Y51" i="12" s="1"/>
  <c r="H42" i="14" s="1"/>
  <c r="F555" i="16"/>
  <c r="F913" i="16"/>
  <c r="P913" i="16" s="1"/>
  <c r="P778" i="16"/>
  <c r="P144" i="16"/>
  <c r="H144" i="9" s="1"/>
  <c r="F90" i="16"/>
  <c r="P90" i="16"/>
  <c r="H90" i="9" s="1"/>
  <c r="I90" i="9"/>
  <c r="AG80" i="15"/>
  <c r="Q80" i="7" s="1"/>
  <c r="AF7" i="15"/>
  <c r="AG93" i="15"/>
  <c r="Q93" i="7" s="1"/>
  <c r="F504" i="16"/>
  <c r="F450" i="16"/>
  <c r="AG41" i="15"/>
  <c r="Q41" i="7" s="1"/>
  <c r="AG26" i="15"/>
  <c r="Q26" i="7" s="1"/>
  <c r="F634" i="16"/>
  <c r="P281" i="16"/>
  <c r="H281" i="9" s="1"/>
  <c r="F281" i="16"/>
  <c r="F795" i="16"/>
  <c r="P795" i="16" s="1"/>
  <c r="H795" i="9" s="1"/>
  <c r="I795" i="9" s="1"/>
  <c r="P141" i="16"/>
  <c r="H141" i="9" s="1"/>
  <c r="T54" i="16"/>
  <c r="AG77" i="15"/>
  <c r="Q77" i="7" s="1"/>
  <c r="AG153" i="15"/>
  <c r="Q153" i="7" s="1"/>
  <c r="P176" i="16"/>
  <c r="H176" i="9" s="1"/>
  <c r="P55" i="16"/>
  <c r="H55" i="9" s="1"/>
  <c r="AG45" i="15"/>
  <c r="Q45" i="7" s="1"/>
  <c r="T396" i="16"/>
  <c r="P396" i="16"/>
  <c r="H396" i="9" s="1"/>
  <c r="F19" i="16"/>
  <c r="AG73" i="15"/>
  <c r="Q73" i="7" s="1"/>
  <c r="P34" i="16"/>
  <c r="H34" i="9" s="1"/>
  <c r="I683" i="9"/>
  <c r="T296" i="16"/>
  <c r="I296" i="9"/>
  <c r="F509" i="16"/>
  <c r="P509" i="16"/>
  <c r="H509" i="9" s="1"/>
  <c r="I509" i="9"/>
  <c r="P146" i="16"/>
  <c r="H146" i="9" s="1"/>
  <c r="I146" i="9"/>
  <c r="F146" i="16"/>
  <c r="T37" i="16"/>
  <c r="P37" i="16"/>
  <c r="H37" i="9" s="1"/>
  <c r="F37" i="16"/>
  <c r="I37" i="9"/>
  <c r="T5" i="16"/>
  <c r="P5" i="16"/>
  <c r="H5" i="9" s="1"/>
  <c r="F5" i="16"/>
  <c r="I5" i="9"/>
  <c r="O842" i="16"/>
  <c r="P842" i="16" s="1"/>
  <c r="F552" i="16"/>
  <c r="P417" i="16"/>
  <c r="H417" i="9" s="1"/>
  <c r="I417" i="9"/>
  <c r="P883" i="16"/>
  <c r="F832" i="16"/>
  <c r="P832" i="16" s="1"/>
  <c r="I603" i="9"/>
  <c r="P603" i="16"/>
  <c r="H603" i="9" s="1"/>
  <c r="F495" i="16"/>
  <c r="I495" i="9"/>
  <c r="P816" i="16"/>
  <c r="H816" i="9" s="1"/>
  <c r="I816" i="9" s="1"/>
  <c r="P522" i="16"/>
  <c r="H522" i="9" s="1"/>
  <c r="P68" i="16"/>
  <c r="H68" i="9" s="1"/>
  <c r="I68" i="9"/>
  <c r="F68" i="16"/>
  <c r="AF162" i="15"/>
  <c r="AE162" i="15"/>
  <c r="O162" i="7" s="1"/>
  <c r="P721" i="16"/>
  <c r="H721" i="9" s="1"/>
  <c r="I721" i="9"/>
  <c r="AG147" i="15"/>
  <c r="Q147" i="7" s="1"/>
  <c r="I151" i="9"/>
  <c r="P151" i="16"/>
  <c r="H151" i="9" s="1"/>
  <c r="T151" i="16"/>
  <c r="AG110" i="15"/>
  <c r="Q110" i="7" s="1"/>
  <c r="P803" i="16"/>
  <c r="T316" i="16"/>
  <c r="F98" i="16"/>
  <c r="P98" i="16"/>
  <c r="H98" i="9" s="1"/>
  <c r="I98" i="9"/>
  <c r="T79" i="16"/>
  <c r="AL11" i="17"/>
  <c r="Y11" i="12" s="1"/>
  <c r="F1320" i="16"/>
  <c r="P1320" i="16" s="1"/>
  <c r="H1320" i="9" s="1"/>
  <c r="I1320" i="9" s="1"/>
  <c r="T555" i="16"/>
  <c r="P436" i="16"/>
  <c r="H436" i="9" s="1"/>
  <c r="F144" i="16"/>
  <c r="AG57" i="15"/>
  <c r="Q57" i="7" s="1"/>
  <c r="F773" i="16"/>
  <c r="P773" i="16" s="1"/>
  <c r="T450" i="16"/>
  <c r="T281" i="16"/>
  <c r="F138" i="16"/>
  <c r="P138" i="16"/>
  <c r="H138" i="9" s="1"/>
  <c r="I138" i="9"/>
  <c r="I51" i="9"/>
  <c r="T51" i="16"/>
  <c r="F875" i="16"/>
  <c r="P875" i="16" s="1"/>
  <c r="P545" i="16"/>
  <c r="H545" i="9" s="1"/>
  <c r="F545" i="16"/>
  <c r="F1169" i="16"/>
  <c r="F824" i="16"/>
  <c r="P824" i="16" s="1"/>
  <c r="F487" i="16"/>
  <c r="I487" i="9"/>
  <c r="F396" i="16"/>
  <c r="F245" i="16"/>
  <c r="P245" i="16"/>
  <c r="H245" i="9" s="1"/>
  <c r="I245" i="9"/>
  <c r="AF100" i="15"/>
  <c r="AE100" i="15"/>
  <c r="O100" i="7" s="1"/>
  <c r="AR39" i="17" l="1"/>
  <c r="AC39" i="12" s="1"/>
  <c r="AM170" i="17"/>
  <c r="Z170" i="12" s="1"/>
  <c r="AR65" i="17"/>
  <c r="AC65" i="12" s="1"/>
  <c r="I48" i="14" s="1"/>
  <c r="AM50" i="17"/>
  <c r="Z50" i="12" s="1"/>
  <c r="J41" i="14" s="1"/>
  <c r="AJ134" i="17"/>
  <c r="W134" i="12" s="1"/>
  <c r="AM5" i="17"/>
  <c r="Z5" i="12" s="1"/>
  <c r="J23" i="14" s="1"/>
  <c r="AI52" i="17"/>
  <c r="V52" i="12" s="1"/>
  <c r="AR23" i="17"/>
  <c r="AC23" i="12" s="1"/>
  <c r="AJ103" i="17"/>
  <c r="W103" i="12" s="1"/>
  <c r="AR80" i="17"/>
  <c r="AC80" i="12" s="1"/>
  <c r="I54" i="14" s="1"/>
  <c r="AJ110" i="17"/>
  <c r="W110" i="12" s="1"/>
  <c r="AI44" i="17"/>
  <c r="AR46" i="17"/>
  <c r="AC46" i="12" s="1"/>
  <c r="AM59" i="17"/>
  <c r="Z59" i="12" s="1"/>
  <c r="AJ95" i="17"/>
  <c r="W95" i="12" s="1"/>
  <c r="F60" i="14" s="1"/>
  <c r="AR59" i="17"/>
  <c r="AC59" i="12" s="1"/>
  <c r="AR44" i="17"/>
  <c r="AC44" i="12" s="1"/>
  <c r="AJ94" i="17"/>
  <c r="W94" i="12" s="1"/>
  <c r="F59" i="14" s="1"/>
  <c r="AM145" i="17"/>
  <c r="Z145" i="12" s="1"/>
  <c r="AR121" i="17"/>
  <c r="AC121" i="12" s="1"/>
  <c r="AR5" i="17"/>
  <c r="AC5" i="12" s="1"/>
  <c r="I23" i="14" s="1"/>
  <c r="AI172" i="17"/>
  <c r="AM159" i="17"/>
  <c r="Z159" i="12" s="1"/>
  <c r="J89" i="14" s="1"/>
  <c r="AM25" i="17"/>
  <c r="Z25" i="12" s="1"/>
  <c r="AR53" i="17"/>
  <c r="AC53" i="12" s="1"/>
  <c r="AR89" i="17"/>
  <c r="AC89" i="12" s="1"/>
  <c r="AR125" i="17"/>
  <c r="AC125" i="12" s="1"/>
  <c r="I72" i="14" s="1"/>
  <c r="AR169" i="17"/>
  <c r="AC169" i="12" s="1"/>
  <c r="I94" i="14" s="1"/>
  <c r="AJ4" i="17"/>
  <c r="W4" i="12" s="1"/>
  <c r="F22" i="14" s="1"/>
  <c r="AR123" i="17"/>
  <c r="AC123" i="12" s="1"/>
  <c r="AR171" i="17"/>
  <c r="AC171" i="12" s="1"/>
  <c r="AJ164" i="17"/>
  <c r="W164" i="12" s="1"/>
  <c r="AJ89" i="17"/>
  <c r="W89" i="12" s="1"/>
  <c r="AJ22" i="17"/>
  <c r="W22" i="12" s="1"/>
  <c r="AM54" i="17"/>
  <c r="Z54" i="12" s="1"/>
  <c r="AR156" i="17"/>
  <c r="AC156" i="12" s="1"/>
  <c r="AJ125" i="17"/>
  <c r="W125" i="12" s="1"/>
  <c r="F72" i="14" s="1"/>
  <c r="AR55" i="17"/>
  <c r="AC55" i="12" s="1"/>
  <c r="AR95" i="17"/>
  <c r="AC95" i="12" s="1"/>
  <c r="I60" i="14" s="1"/>
  <c r="AR147" i="17"/>
  <c r="AC147" i="12" s="1"/>
  <c r="I83" i="14" s="1"/>
  <c r="AM166" i="17"/>
  <c r="Z166" i="12" s="1"/>
  <c r="AJ167" i="17"/>
  <c r="W167" i="12" s="1"/>
  <c r="F92" i="14" s="1"/>
  <c r="AR142" i="17"/>
  <c r="AC142" i="12" s="1"/>
  <c r="AJ16" i="17"/>
  <c r="W16" i="12" s="1"/>
  <c r="AI150" i="17"/>
  <c r="V150" i="12" s="1"/>
  <c r="AM114" i="17"/>
  <c r="Z114" i="12" s="1"/>
  <c r="AR94" i="17"/>
  <c r="AC94" i="12" s="1"/>
  <c r="I59" i="14" s="1"/>
  <c r="AI37" i="17"/>
  <c r="V37" i="12" s="1"/>
  <c r="AM106" i="17"/>
  <c r="Z106" i="12" s="1"/>
  <c r="AM99" i="17"/>
  <c r="Z99" i="12" s="1"/>
  <c r="AM125" i="17"/>
  <c r="Z125" i="12" s="1"/>
  <c r="AM169" i="17"/>
  <c r="Z169" i="12" s="1"/>
  <c r="J94" i="14" s="1"/>
  <c r="AI5" i="17"/>
  <c r="AM26" i="17"/>
  <c r="Z26" i="12" s="1"/>
  <c r="AR30" i="17"/>
  <c r="AC30" i="12" s="1"/>
  <c r="AR124" i="17"/>
  <c r="AC124" i="12" s="1"/>
  <c r="AM174" i="17"/>
  <c r="Z174" i="12" s="1"/>
  <c r="AI130" i="17"/>
  <c r="AM126" i="17"/>
  <c r="Z126" i="12" s="1"/>
  <c r="J73" i="14" s="1"/>
  <c r="AM13" i="17"/>
  <c r="Z13" i="12" s="1"/>
  <c r="AM41" i="17"/>
  <c r="Z41" i="12" s="1"/>
  <c r="AM117" i="17"/>
  <c r="Z117" i="12" s="1"/>
  <c r="AM121" i="17"/>
  <c r="Z121" i="12" s="1"/>
  <c r="AI163" i="17"/>
  <c r="V163" i="12" s="1"/>
  <c r="AJ84" i="17"/>
  <c r="W84" i="12" s="1"/>
  <c r="AR103" i="17"/>
  <c r="AC103" i="12" s="1"/>
  <c r="AR131" i="17"/>
  <c r="AC131" i="12" s="1"/>
  <c r="AR135" i="17"/>
  <c r="AC135" i="12" s="1"/>
  <c r="I78" i="14" s="1"/>
  <c r="K78" i="14" s="1"/>
  <c r="AM29" i="17"/>
  <c r="Z29" i="12" s="1"/>
  <c r="AJ136" i="17"/>
  <c r="W136" i="12" s="1"/>
  <c r="F79" i="14" s="1"/>
  <c r="AI152" i="17"/>
  <c r="V152" i="12" s="1"/>
  <c r="AR20" i="17"/>
  <c r="AC20" i="12" s="1"/>
  <c r="I29" i="14" s="1"/>
  <c r="AM65" i="17"/>
  <c r="Z65" i="12" s="1"/>
  <c r="J48" i="14" s="1"/>
  <c r="AM84" i="17"/>
  <c r="Z84" i="12" s="1"/>
  <c r="AR84" i="17"/>
  <c r="AC84" i="12" s="1"/>
  <c r="AM55" i="17"/>
  <c r="Z55" i="12" s="1"/>
  <c r="AJ144" i="17"/>
  <c r="W144" i="12" s="1"/>
  <c r="AR126" i="17"/>
  <c r="AC126" i="12" s="1"/>
  <c r="I73" i="14" s="1"/>
  <c r="AR166" i="17"/>
  <c r="AC166" i="12" s="1"/>
  <c r="AR96" i="17"/>
  <c r="AC96" i="12" s="1"/>
  <c r="I61" i="14" s="1"/>
  <c r="AI159" i="17"/>
  <c r="AM131" i="17"/>
  <c r="Z131" i="12" s="1"/>
  <c r="AM160" i="17"/>
  <c r="Z160" i="12" s="1"/>
  <c r="J90" i="14" s="1"/>
  <c r="AI8" i="17"/>
  <c r="V8" i="12" s="1"/>
  <c r="AM130" i="17"/>
  <c r="Z130" i="12" s="1"/>
  <c r="AI113" i="17"/>
  <c r="V113" i="12" s="1"/>
  <c r="AR26" i="17"/>
  <c r="AC26" i="12" s="1"/>
  <c r="AR47" i="17"/>
  <c r="AC47" i="12" s="1"/>
  <c r="AR91" i="17"/>
  <c r="AC91" i="12" s="1"/>
  <c r="AR127" i="17"/>
  <c r="AC127" i="12" s="1"/>
  <c r="I74" i="14" s="1"/>
  <c r="AR175" i="17"/>
  <c r="AC175" i="12" s="1"/>
  <c r="AM36" i="17"/>
  <c r="Z36" i="12" s="1"/>
  <c r="J36" i="14" s="1"/>
  <c r="AR140" i="17"/>
  <c r="AC140" i="12" s="1"/>
  <c r="AM122" i="17"/>
  <c r="Z122" i="12" s="1"/>
  <c r="AR160" i="17"/>
  <c r="AC160" i="12" s="1"/>
  <c r="I90" i="14" s="1"/>
  <c r="AR86" i="17"/>
  <c r="AC86" i="12" s="1"/>
  <c r="AR101" i="17"/>
  <c r="AC101" i="12" s="1"/>
  <c r="AR98" i="17"/>
  <c r="AC98" i="12" s="1"/>
  <c r="AR31" i="17"/>
  <c r="AC31" i="12" s="1"/>
  <c r="AR63" i="17"/>
  <c r="AC63" i="12" s="1"/>
  <c r="I46" i="14" s="1"/>
  <c r="AR111" i="17"/>
  <c r="AC111" i="12" s="1"/>
  <c r="AM46" i="17"/>
  <c r="Z46" i="12" s="1"/>
  <c r="AI115" i="17"/>
  <c r="V115" i="12" s="1"/>
  <c r="AM63" i="17"/>
  <c r="Z63" i="12" s="1"/>
  <c r="J46" i="14" s="1"/>
  <c r="AM95" i="17"/>
  <c r="Z95" i="12" s="1"/>
  <c r="J60" i="14" s="1"/>
  <c r="AR146" i="17"/>
  <c r="AC146" i="12" s="1"/>
  <c r="I82" i="14" s="1"/>
  <c r="AR155" i="17"/>
  <c r="AC155" i="12" s="1"/>
  <c r="AR149" i="17"/>
  <c r="AC149" i="12" s="1"/>
  <c r="I85" i="14" s="1"/>
  <c r="AJ174" i="17"/>
  <c r="W174" i="12" s="1"/>
  <c r="AM3" i="17"/>
  <c r="Z3" i="12" s="1"/>
  <c r="J21" i="14" s="1"/>
  <c r="AR141" i="17"/>
  <c r="AC141" i="12" s="1"/>
  <c r="AM116" i="17"/>
  <c r="Z116" i="12" s="1"/>
  <c r="J68" i="14" s="1"/>
  <c r="AM101" i="17"/>
  <c r="Z101" i="12" s="1"/>
  <c r="AM34" i="17"/>
  <c r="Z34" i="12" s="1"/>
  <c r="J34" i="14" s="1"/>
  <c r="AM81" i="17"/>
  <c r="Z81" i="12" s="1"/>
  <c r="J55" i="14" s="1"/>
  <c r="AM77" i="17"/>
  <c r="Z77" i="12" s="1"/>
  <c r="J51" i="14" s="1"/>
  <c r="AR60" i="17"/>
  <c r="AC60" i="12" s="1"/>
  <c r="AJ46" i="17"/>
  <c r="W46" i="12" s="1"/>
  <c r="AM58" i="17"/>
  <c r="Z58" i="12" s="1"/>
  <c r="AR67" i="17"/>
  <c r="AC67" i="12" s="1"/>
  <c r="AM139" i="17"/>
  <c r="Z139" i="12" s="1"/>
  <c r="AI63" i="17"/>
  <c r="AI154" i="17"/>
  <c r="V154" i="12" s="1"/>
  <c r="AR88" i="17"/>
  <c r="AC88" i="12" s="1"/>
  <c r="AM94" i="17"/>
  <c r="Z94" i="12" s="1"/>
  <c r="J59" i="14" s="1"/>
  <c r="AM69" i="17"/>
  <c r="Z69" i="12" s="1"/>
  <c r="AM78" i="17"/>
  <c r="Z78" i="12" s="1"/>
  <c r="J52" i="14" s="1"/>
  <c r="AM155" i="17"/>
  <c r="Z155" i="12" s="1"/>
  <c r="AI116" i="17"/>
  <c r="V116" i="12" s="1"/>
  <c r="AR151" i="17"/>
  <c r="AC151" i="12" s="1"/>
  <c r="AM42" i="17"/>
  <c r="Z42" i="12" s="1"/>
  <c r="AR137" i="17"/>
  <c r="AC137" i="12" s="1"/>
  <c r="I80" i="14" s="1"/>
  <c r="AR87" i="17"/>
  <c r="AC87" i="12" s="1"/>
  <c r="AR119" i="17"/>
  <c r="AC119" i="12" s="1"/>
  <c r="AM120" i="17"/>
  <c r="Z120" i="12" s="1"/>
  <c r="AM70" i="17"/>
  <c r="Z70" i="12" s="1"/>
  <c r="AM143" i="17"/>
  <c r="Z143" i="12" s="1"/>
  <c r="AR33" i="17"/>
  <c r="AC33" i="12" s="1"/>
  <c r="I33" i="14" s="1"/>
  <c r="AM61" i="17"/>
  <c r="Z61" i="12" s="1"/>
  <c r="AR66" i="17"/>
  <c r="AC66" i="12" s="1"/>
  <c r="I49" i="14" s="1"/>
  <c r="AI111" i="17"/>
  <c r="V111" i="12" s="1"/>
  <c r="AR71" i="17"/>
  <c r="AC71" i="12" s="1"/>
  <c r="AM60" i="17"/>
  <c r="Z60" i="12" s="1"/>
  <c r="AR139" i="17"/>
  <c r="AC139" i="12" s="1"/>
  <c r="AJ158" i="17"/>
  <c r="W158" i="12" s="1"/>
  <c r="F88" i="14" s="1"/>
  <c r="AR49" i="17"/>
  <c r="AC49" i="12" s="1"/>
  <c r="I40" i="14" s="1"/>
  <c r="AJ11" i="17"/>
  <c r="W11" i="12" s="1"/>
  <c r="AR162" i="17"/>
  <c r="AC162" i="12" s="1"/>
  <c r="AR133" i="17"/>
  <c r="AC133" i="12" s="1"/>
  <c r="AR116" i="17"/>
  <c r="AC116" i="12" s="1"/>
  <c r="AI76" i="17"/>
  <c r="V76" i="12" s="1"/>
  <c r="AM136" i="17"/>
  <c r="Z136" i="12" s="1"/>
  <c r="J79" i="14" s="1"/>
  <c r="AM16" i="17"/>
  <c r="Z16" i="12" s="1"/>
  <c r="AR132" i="17"/>
  <c r="AC132" i="12" s="1"/>
  <c r="AM162" i="17"/>
  <c r="Z162" i="12" s="1"/>
  <c r="AJ82" i="17"/>
  <c r="W82" i="12" s="1"/>
  <c r="AM90" i="17"/>
  <c r="Z90" i="12" s="1"/>
  <c r="AJ108" i="17"/>
  <c r="W108" i="12" s="1"/>
  <c r="F65" i="14" s="1"/>
  <c r="AR58" i="17"/>
  <c r="AC58" i="12" s="1"/>
  <c r="AM128" i="17"/>
  <c r="Z128" i="12" s="1"/>
  <c r="AM149" i="17"/>
  <c r="Z149" i="12" s="1"/>
  <c r="J85" i="14" s="1"/>
  <c r="AJ141" i="17"/>
  <c r="W141" i="12" s="1"/>
  <c r="AR115" i="17"/>
  <c r="AC115" i="12" s="1"/>
  <c r="AM64" i="17"/>
  <c r="Z64" i="12" s="1"/>
  <c r="J47" i="14" s="1"/>
  <c r="H91" i="14"/>
  <c r="AI64" i="17"/>
  <c r="V64" i="12" s="1"/>
  <c r="E47" i="14" s="1"/>
  <c r="AI60" i="17"/>
  <c r="AR120" i="17"/>
  <c r="AC120" i="12" s="1"/>
  <c r="AJ83" i="17"/>
  <c r="W83" i="12" s="1"/>
  <c r="AM15" i="17"/>
  <c r="Z15" i="12" s="1"/>
  <c r="AI146" i="17"/>
  <c r="V146" i="12" s="1"/>
  <c r="AI77" i="17"/>
  <c r="AN77" i="17" s="1"/>
  <c r="AA77" i="12" s="1"/>
  <c r="AM132" i="17"/>
  <c r="Z132" i="12" s="1"/>
  <c r="AR104" i="17"/>
  <c r="AC104" i="12" s="1"/>
  <c r="AR56" i="17"/>
  <c r="AC56" i="12" s="1"/>
  <c r="AR28" i="17"/>
  <c r="AC28" i="12" s="1"/>
  <c r="AM152" i="17"/>
  <c r="Z152" i="12" s="1"/>
  <c r="AJ157" i="17"/>
  <c r="W157" i="12" s="1"/>
  <c r="AM19" i="17"/>
  <c r="Z19" i="12" s="1"/>
  <c r="J28" i="14" s="1"/>
  <c r="AM147" i="17"/>
  <c r="Z147" i="12" s="1"/>
  <c r="J83" i="14" s="1"/>
  <c r="AR81" i="17"/>
  <c r="AC81" i="12" s="1"/>
  <c r="I55" i="14" s="1"/>
  <c r="AM105" i="17"/>
  <c r="Z105" i="12" s="1"/>
  <c r="AM173" i="17"/>
  <c r="Z173" i="12" s="1"/>
  <c r="AR76" i="17"/>
  <c r="AC76" i="12" s="1"/>
  <c r="AR40" i="17"/>
  <c r="AC40" i="12" s="1"/>
  <c r="AJ127" i="17"/>
  <c r="W127" i="12" s="1"/>
  <c r="F74" i="14" s="1"/>
  <c r="AR100" i="17"/>
  <c r="AC100" i="12" s="1"/>
  <c r="AJ69" i="17"/>
  <c r="W69" i="12" s="1"/>
  <c r="AR10" i="17"/>
  <c r="AC10" i="12" s="1"/>
  <c r="AR6" i="17"/>
  <c r="AC6" i="12" s="1"/>
  <c r="I24" i="14" s="1"/>
  <c r="AR122" i="17"/>
  <c r="AC122" i="12" s="1"/>
  <c r="AI27" i="17"/>
  <c r="AN27" i="17" s="1"/>
  <c r="AA27" i="12" s="1"/>
  <c r="AB27" i="12" s="1"/>
  <c r="AI132" i="17"/>
  <c r="V132" i="12" s="1"/>
  <c r="AJ160" i="17"/>
  <c r="W160" i="12" s="1"/>
  <c r="F90" i="14" s="1"/>
  <c r="AR128" i="17"/>
  <c r="AC128" i="12" s="1"/>
  <c r="AR113" i="17"/>
  <c r="AC113" i="12" s="1"/>
  <c r="AR70" i="17"/>
  <c r="AC70" i="12" s="1"/>
  <c r="AM137" i="17"/>
  <c r="Z137" i="12" s="1"/>
  <c r="J80" i="14" s="1"/>
  <c r="AM73" i="17"/>
  <c r="Z73" i="12" s="1"/>
  <c r="AJ117" i="17"/>
  <c r="W117" i="12" s="1"/>
  <c r="F69" i="14" s="1"/>
  <c r="AM67" i="17"/>
  <c r="Z67" i="12" s="1"/>
  <c r="AR159" i="17"/>
  <c r="AC159" i="12" s="1"/>
  <c r="I89" i="14" s="1"/>
  <c r="AM18" i="17"/>
  <c r="Z18" i="12" s="1"/>
  <c r="J27" i="14" s="1"/>
  <c r="AI45" i="17"/>
  <c r="V45" i="12" s="1"/>
  <c r="AM129" i="17"/>
  <c r="Z129" i="12" s="1"/>
  <c r="AR54" i="17"/>
  <c r="AC54" i="12" s="1"/>
  <c r="AR118" i="17"/>
  <c r="AC118" i="12" s="1"/>
  <c r="I70" i="14" s="1"/>
  <c r="AR42" i="17"/>
  <c r="AC42" i="12" s="1"/>
  <c r="AM47" i="17"/>
  <c r="Z47" i="12" s="1"/>
  <c r="J38" i="14" s="1"/>
  <c r="AR52" i="17"/>
  <c r="AC52" i="12" s="1"/>
  <c r="AI124" i="17"/>
  <c r="AR152" i="17"/>
  <c r="AC152" i="12" s="1"/>
  <c r="AM82" i="17"/>
  <c r="Z82" i="12" s="1"/>
  <c r="AR17" i="17"/>
  <c r="AC17" i="12" s="1"/>
  <c r="AR129" i="17"/>
  <c r="AC129" i="12" s="1"/>
  <c r="AM102" i="17"/>
  <c r="Z102" i="12" s="1"/>
  <c r="AM87" i="17"/>
  <c r="Z87" i="12" s="1"/>
  <c r="AI48" i="17"/>
  <c r="V48" i="12" s="1"/>
  <c r="E39" i="14" s="1"/>
  <c r="AM57" i="17"/>
  <c r="Z57" i="12" s="1"/>
  <c r="AM76" i="17"/>
  <c r="Z76" i="12" s="1"/>
  <c r="AM146" i="17"/>
  <c r="Z146" i="12" s="1"/>
  <c r="AM6" i="17"/>
  <c r="Z6" i="12" s="1"/>
  <c r="J24" i="14" s="1"/>
  <c r="AI24" i="17"/>
  <c r="V24" i="12" s="1"/>
  <c r="AI153" i="17"/>
  <c r="V153" i="12" s="1"/>
  <c r="AM85" i="17"/>
  <c r="Z85" i="12" s="1"/>
  <c r="AM157" i="17"/>
  <c r="Z157" i="12" s="1"/>
  <c r="AJ118" i="17"/>
  <c r="W118" i="12" s="1"/>
  <c r="F70" i="14" s="1"/>
  <c r="AI25" i="17"/>
  <c r="V25" i="12" s="1"/>
  <c r="AR16" i="17"/>
  <c r="AC16" i="12" s="1"/>
  <c r="AM172" i="17"/>
  <c r="Z172" i="12" s="1"/>
  <c r="AJ98" i="17"/>
  <c r="W98" i="12" s="1"/>
  <c r="AI23" i="17"/>
  <c r="V23" i="12" s="1"/>
  <c r="AR62" i="17"/>
  <c r="AC62" i="12" s="1"/>
  <c r="I45" i="14" s="1"/>
  <c r="AM32" i="17"/>
  <c r="Z32" i="12" s="1"/>
  <c r="J32" i="14" s="1"/>
  <c r="AM107" i="17"/>
  <c r="Z107" i="12" s="1"/>
  <c r="J64" i="14" s="1"/>
  <c r="AM171" i="17"/>
  <c r="Z171" i="12" s="1"/>
  <c r="AR90" i="17"/>
  <c r="AC90" i="12" s="1"/>
  <c r="AI40" i="17"/>
  <c r="V40" i="12" s="1"/>
  <c r="AR36" i="17"/>
  <c r="AC36" i="12" s="1"/>
  <c r="I36" i="14" s="1"/>
  <c r="AJ10" i="17"/>
  <c r="W10" i="12" s="1"/>
  <c r="AM150" i="17"/>
  <c r="Z150" i="12" s="1"/>
  <c r="AM142" i="17"/>
  <c r="Z142" i="12" s="1"/>
  <c r="AR136" i="17"/>
  <c r="AC136" i="12" s="1"/>
  <c r="I79" i="14" s="1"/>
  <c r="AR82" i="17"/>
  <c r="AC82" i="12" s="1"/>
  <c r="AI28" i="17"/>
  <c r="AR106" i="17"/>
  <c r="AC106" i="12" s="1"/>
  <c r="AM91" i="17"/>
  <c r="Z91" i="12" s="1"/>
  <c r="AR110" i="17"/>
  <c r="AC110" i="12" s="1"/>
  <c r="AM33" i="17"/>
  <c r="Z33" i="12" s="1"/>
  <c r="J33" i="14" s="1"/>
  <c r="AR61" i="17"/>
  <c r="AC61" i="12" s="1"/>
  <c r="AR109" i="17"/>
  <c r="AC109" i="12" s="1"/>
  <c r="I66" i="14" s="1"/>
  <c r="AR145" i="17"/>
  <c r="AC145" i="12" s="1"/>
  <c r="AR143" i="17"/>
  <c r="AC143" i="12" s="1"/>
  <c r="AR161" i="17"/>
  <c r="AC161" i="12" s="1"/>
  <c r="AM161" i="17"/>
  <c r="Z161" i="12" s="1"/>
  <c r="AM17" i="17"/>
  <c r="Z17" i="12" s="1"/>
  <c r="J26" i="14" s="1"/>
  <c r="AR32" i="17"/>
  <c r="AC32" i="12" s="1"/>
  <c r="I32" i="14" s="1"/>
  <c r="AM68" i="17"/>
  <c r="Z68" i="12" s="1"/>
  <c r="H68" i="14"/>
  <c r="H67" i="14"/>
  <c r="AR25" i="17"/>
  <c r="AC25" i="12" s="1"/>
  <c r="AJ26" i="17"/>
  <c r="W26" i="12" s="1"/>
  <c r="AI26" i="17"/>
  <c r="V26" i="12" s="1"/>
  <c r="AJ53" i="17"/>
  <c r="W53" i="12" s="1"/>
  <c r="AJ100" i="17"/>
  <c r="W100" i="12" s="1"/>
  <c r="AR154" i="17"/>
  <c r="AC154" i="12" s="1"/>
  <c r="AR158" i="17"/>
  <c r="AC158" i="12" s="1"/>
  <c r="AI102" i="17"/>
  <c r="V102" i="12" s="1"/>
  <c r="AI96" i="17"/>
  <c r="AM20" i="17"/>
  <c r="Z20" i="12" s="1"/>
  <c r="J29" i="14" s="1"/>
  <c r="AM43" i="17"/>
  <c r="Z43" i="12" s="1"/>
  <c r="AR35" i="17"/>
  <c r="AC35" i="12" s="1"/>
  <c r="I35" i="14" s="1"/>
  <c r="AR164" i="17"/>
  <c r="AC164" i="12" s="1"/>
  <c r="AI128" i="17"/>
  <c r="AI67" i="17"/>
  <c r="V67" i="12" s="1"/>
  <c r="AJ87" i="17"/>
  <c r="W87" i="12" s="1"/>
  <c r="AJ2" i="17"/>
  <c r="W2" i="12" s="1"/>
  <c r="F20" i="14" s="1"/>
  <c r="AJ3" i="17"/>
  <c r="W3" i="12" s="1"/>
  <c r="F21" i="14" s="1"/>
  <c r="AI36" i="17"/>
  <c r="AR11" i="17"/>
  <c r="AC11" i="12" s="1"/>
  <c r="AR18" i="17"/>
  <c r="AC18" i="12" s="1"/>
  <c r="I27" i="14" s="1"/>
  <c r="AM140" i="17"/>
  <c r="Z140" i="12" s="1"/>
  <c r="AR172" i="17"/>
  <c r="AC172" i="12" s="1"/>
  <c r="AR8" i="17"/>
  <c r="AC8" i="12" s="1"/>
  <c r="AI131" i="17"/>
  <c r="V131" i="12" s="1"/>
  <c r="AR38" i="17"/>
  <c r="AC38" i="12" s="1"/>
  <c r="F77" i="14"/>
  <c r="AM79" i="17"/>
  <c r="Z79" i="12" s="1"/>
  <c r="J53" i="14" s="1"/>
  <c r="AM111" i="17"/>
  <c r="Z111" i="12" s="1"/>
  <c r="AM175" i="17"/>
  <c r="Z175" i="12" s="1"/>
  <c r="AM109" i="17"/>
  <c r="Z109" i="12" s="1"/>
  <c r="J66" i="14" s="1"/>
  <c r="AR9" i="17"/>
  <c r="AC9" i="12" s="1"/>
  <c r="AR114" i="17"/>
  <c r="AC114" i="12" s="1"/>
  <c r="AL108" i="17"/>
  <c r="Y108" i="12" s="1"/>
  <c r="H62" i="14" s="1"/>
  <c r="AM49" i="17"/>
  <c r="Z49" i="12" s="1"/>
  <c r="J40" i="14" s="1"/>
  <c r="AI54" i="17"/>
  <c r="V54" i="12" s="1"/>
  <c r="AM21" i="17"/>
  <c r="Z21" i="12" s="1"/>
  <c r="J30" i="14" s="1"/>
  <c r="AM113" i="17"/>
  <c r="Z113" i="12" s="1"/>
  <c r="AR34" i="17"/>
  <c r="AC34" i="12" s="1"/>
  <c r="I34" i="14" s="1"/>
  <c r="AR68" i="17"/>
  <c r="AC68" i="12" s="1"/>
  <c r="AR108" i="17"/>
  <c r="AC108" i="12" s="1"/>
  <c r="I65" i="14" s="1"/>
  <c r="AM148" i="17"/>
  <c r="Z148" i="12" s="1"/>
  <c r="J84" i="14" s="1"/>
  <c r="AR45" i="17"/>
  <c r="AC45" i="12" s="1"/>
  <c r="AR29" i="17"/>
  <c r="AC29" i="12" s="1"/>
  <c r="AR105" i="17"/>
  <c r="AC105" i="12" s="1"/>
  <c r="AM141" i="17"/>
  <c r="Z141" i="12" s="1"/>
  <c r="AR173" i="17"/>
  <c r="AC173" i="12" s="1"/>
  <c r="AR24" i="17"/>
  <c r="AC24" i="12" s="1"/>
  <c r="AR168" i="17"/>
  <c r="AC168" i="12" s="1"/>
  <c r="I93" i="14" s="1"/>
  <c r="AM110" i="17"/>
  <c r="Z110" i="12" s="1"/>
  <c r="AM38" i="17"/>
  <c r="Z38" i="12" s="1"/>
  <c r="AM48" i="17"/>
  <c r="Z48" i="12" s="1"/>
  <c r="J39" i="14" s="1"/>
  <c r="AM51" i="17"/>
  <c r="Z51" i="12" s="1"/>
  <c r="J42" i="14" s="1"/>
  <c r="AM115" i="17"/>
  <c r="Z115" i="12" s="1"/>
  <c r="AR37" i="17"/>
  <c r="AC37" i="12" s="1"/>
  <c r="AR13" i="17"/>
  <c r="AC13" i="12" s="1"/>
  <c r="AR41" i="17"/>
  <c r="AC41" i="12" s="1"/>
  <c r="AR117" i="17"/>
  <c r="AC117" i="12" s="1"/>
  <c r="I69" i="14" s="1"/>
  <c r="AR153" i="17"/>
  <c r="AC153" i="12" s="1"/>
  <c r="AI119" i="17"/>
  <c r="V119" i="12" s="1"/>
  <c r="AM31" i="17"/>
  <c r="Z31" i="12" s="1"/>
  <c r="AM118" i="17"/>
  <c r="Z118" i="12" s="1"/>
  <c r="J70" i="14" s="1"/>
  <c r="AM134" i="17"/>
  <c r="Z134" i="12" s="1"/>
  <c r="AM62" i="17"/>
  <c r="Z62" i="12" s="1"/>
  <c r="J45" i="14" s="1"/>
  <c r="AM86" i="17"/>
  <c r="Z86" i="12" s="1"/>
  <c r="AM35" i="17"/>
  <c r="Z35" i="12" s="1"/>
  <c r="J35" i="14" s="1"/>
  <c r="AR57" i="17"/>
  <c r="AC57" i="12" s="1"/>
  <c r="AR75" i="17"/>
  <c r="AC75" i="12" s="1"/>
  <c r="AI7" i="17"/>
  <c r="V7" i="12" s="1"/>
  <c r="AJ7" i="17"/>
  <c r="W7" i="12" s="1"/>
  <c r="AM37" i="17"/>
  <c r="Z37" i="12" s="1"/>
  <c r="AJ62" i="17"/>
  <c r="W62" i="12" s="1"/>
  <c r="F45" i="14" s="1"/>
  <c r="AM71" i="17"/>
  <c r="Z71" i="12" s="1"/>
  <c r="AI78" i="17"/>
  <c r="V78" i="12" s="1"/>
  <c r="E52" i="14" s="1"/>
  <c r="AR170" i="17"/>
  <c r="AC170" i="12" s="1"/>
  <c r="AR92" i="17"/>
  <c r="AC92" i="12" s="1"/>
  <c r="I56" i="14" s="1"/>
  <c r="AR138" i="17"/>
  <c r="AC138" i="12" s="1"/>
  <c r="F91" i="14"/>
  <c r="AJ19" i="17"/>
  <c r="W19" i="12" s="1"/>
  <c r="F28" i="14" s="1"/>
  <c r="AR43" i="17"/>
  <c r="AC43" i="12" s="1"/>
  <c r="AL70" i="17"/>
  <c r="Y70" i="12" s="1"/>
  <c r="AR22" i="17"/>
  <c r="AC22" i="12" s="1"/>
  <c r="AM23" i="17"/>
  <c r="Z23" i="12" s="1"/>
  <c r="AM119" i="17"/>
  <c r="Z119" i="12" s="1"/>
  <c r="AM151" i="17"/>
  <c r="Z151" i="12" s="1"/>
  <c r="AR2" i="17"/>
  <c r="AC2" i="12" s="1"/>
  <c r="AI9" i="17"/>
  <c r="AM52" i="17"/>
  <c r="Z52" i="12" s="1"/>
  <c r="AM45" i="17"/>
  <c r="Z45" i="12" s="1"/>
  <c r="T1249" i="16"/>
  <c r="T951" i="16"/>
  <c r="T1247" i="16"/>
  <c r="T721" i="16"/>
  <c r="T956" i="16"/>
  <c r="T1312" i="16"/>
  <c r="T893" i="16"/>
  <c r="T1340" i="16"/>
  <c r="H961" i="9"/>
  <c r="I961" i="9" s="1"/>
  <c r="T961" i="16"/>
  <c r="T1329" i="16"/>
  <c r="P898" i="16"/>
  <c r="T898" i="16" s="1"/>
  <c r="T872" i="16"/>
  <c r="T1307" i="16"/>
  <c r="T719" i="16"/>
  <c r="T780" i="16"/>
  <c r="T960" i="16"/>
  <c r="T1258" i="16"/>
  <c r="T841" i="16"/>
  <c r="T820" i="16"/>
  <c r="T696" i="16"/>
  <c r="H833" i="9"/>
  <c r="I833" i="9" s="1"/>
  <c r="T833" i="16"/>
  <c r="H713" i="9"/>
  <c r="I713" i="9" s="1"/>
  <c r="T713" i="16"/>
  <c r="H1331" i="9"/>
  <c r="I1331" i="9" s="1"/>
  <c r="T1331" i="16"/>
  <c r="H873" i="9"/>
  <c r="I873" i="9" s="1"/>
  <c r="T873" i="16"/>
  <c r="H954" i="9"/>
  <c r="I954" i="9" s="1"/>
  <c r="T954" i="16"/>
  <c r="T810" i="16"/>
  <c r="T680" i="16"/>
  <c r="T937" i="16"/>
  <c r="T808" i="16"/>
  <c r="T777" i="16"/>
  <c r="T921" i="16"/>
  <c r="T1276" i="16"/>
  <c r="T1280" i="16"/>
  <c r="P1341" i="16"/>
  <c r="T952" i="16"/>
  <c r="T969" i="16"/>
  <c r="T764" i="16"/>
  <c r="T1336" i="16"/>
  <c r="T1275" i="16"/>
  <c r="T944" i="16"/>
  <c r="T725" i="16"/>
  <c r="T874" i="16"/>
  <c r="H87" i="14"/>
  <c r="H1263" i="9"/>
  <c r="I1263" i="9" s="1"/>
  <c r="T1263" i="16"/>
  <c r="P709" i="16"/>
  <c r="T688" i="16"/>
  <c r="P715" i="16"/>
  <c r="T938" i="16"/>
  <c r="T689" i="16"/>
  <c r="T747" i="16"/>
  <c r="H778" i="9"/>
  <c r="I778" i="9" s="1"/>
  <c r="T778" i="16"/>
  <c r="H875" i="9"/>
  <c r="I875" i="9" s="1"/>
  <c r="T875" i="16"/>
  <c r="H801" i="9"/>
  <c r="I801" i="9" s="1"/>
  <c r="T801" i="16"/>
  <c r="Q99" i="7"/>
  <c r="AH99" i="15"/>
  <c r="R99" i="7" s="1"/>
  <c r="S99" i="7" s="1"/>
  <c r="H676" i="9"/>
  <c r="I676" i="9" s="1"/>
  <c r="T676" i="16"/>
  <c r="H1250" i="9"/>
  <c r="I1250" i="9" s="1"/>
  <c r="T1250" i="16"/>
  <c r="H908" i="9"/>
  <c r="I908" i="9" s="1"/>
  <c r="T908" i="16"/>
  <c r="H787" i="9"/>
  <c r="I787" i="9" s="1"/>
  <c r="T787" i="16"/>
  <c r="H709" i="9"/>
  <c r="I709" i="9" s="1"/>
  <c r="T709" i="16"/>
  <c r="H751" i="9"/>
  <c r="I751" i="9" s="1"/>
  <c r="T751" i="16"/>
  <c r="H885" i="9"/>
  <c r="I885" i="9" s="1"/>
  <c r="T885" i="16"/>
  <c r="H1268" i="9"/>
  <c r="I1268" i="9" s="1"/>
  <c r="T1268" i="16"/>
  <c r="H770" i="9"/>
  <c r="I770" i="9" s="1"/>
  <c r="T770" i="16"/>
  <c r="X11" i="12"/>
  <c r="H682" i="9"/>
  <c r="I682" i="9" s="1"/>
  <c r="T682" i="16"/>
  <c r="X133" i="12"/>
  <c r="H930" i="9"/>
  <c r="I930" i="9" s="1"/>
  <c r="T930" i="16"/>
  <c r="H824" i="9"/>
  <c r="I824" i="9" s="1"/>
  <c r="T824" i="16"/>
  <c r="H880" i="9"/>
  <c r="I880" i="9" s="1"/>
  <c r="T880" i="16"/>
  <c r="H965" i="9"/>
  <c r="I965" i="9" s="1"/>
  <c r="T965" i="16"/>
  <c r="H1317" i="9"/>
  <c r="I1317" i="9" s="1"/>
  <c r="T1317" i="16"/>
  <c r="H867" i="9"/>
  <c r="I867" i="9" s="1"/>
  <c r="T867" i="16"/>
  <c r="H705" i="9"/>
  <c r="I705" i="9" s="1"/>
  <c r="T705" i="16"/>
  <c r="H1341" i="9"/>
  <c r="I1341" i="9" s="1"/>
  <c r="T1341" i="16"/>
  <c r="H707" i="9"/>
  <c r="I707" i="9" s="1"/>
  <c r="T707" i="16"/>
  <c r="H1301" i="9"/>
  <c r="I1301" i="9" s="1"/>
  <c r="T1301" i="16"/>
  <c r="H907" i="9"/>
  <c r="I907" i="9" s="1"/>
  <c r="T907" i="16"/>
  <c r="H1314" i="9"/>
  <c r="I1314" i="9" s="1"/>
  <c r="T1314" i="16"/>
  <c r="H1277" i="9"/>
  <c r="I1277" i="9" s="1"/>
  <c r="T1277" i="16"/>
  <c r="G51" i="14"/>
  <c r="G50" i="14"/>
  <c r="X175" i="12"/>
  <c r="H818" i="9"/>
  <c r="I818" i="9" s="1"/>
  <c r="T818" i="16"/>
  <c r="X132" i="12"/>
  <c r="X152" i="12"/>
  <c r="H27" i="14"/>
  <c r="H25" i="14"/>
  <c r="H914" i="9"/>
  <c r="I914" i="9" s="1"/>
  <c r="T914" i="16"/>
  <c r="H722" i="9"/>
  <c r="I722" i="9" s="1"/>
  <c r="T722" i="16"/>
  <c r="H715" i="9"/>
  <c r="I715" i="9" s="1"/>
  <c r="T715" i="16"/>
  <c r="H737" i="9"/>
  <c r="I737" i="9" s="1"/>
  <c r="T737" i="16"/>
  <c r="H754" i="9"/>
  <c r="I754" i="9" s="1"/>
  <c r="T754" i="16"/>
  <c r="H1323" i="9"/>
  <c r="I1323" i="9" s="1"/>
  <c r="T1323" i="16"/>
  <c r="H708" i="9"/>
  <c r="I708" i="9" s="1"/>
  <c r="T708" i="16"/>
  <c r="H690" i="9"/>
  <c r="I690" i="9" s="1"/>
  <c r="T690" i="16"/>
  <c r="H746" i="9"/>
  <c r="I746" i="9" s="1"/>
  <c r="T746" i="16"/>
  <c r="H52" i="14"/>
  <c r="H50" i="14"/>
  <c r="X6" i="12"/>
  <c r="G24" i="14" s="1"/>
  <c r="J69" i="14"/>
  <c r="Z153" i="12"/>
  <c r="X26" i="12"/>
  <c r="X89" i="12"/>
  <c r="AN89" i="17"/>
  <c r="AA89" i="12" s="1"/>
  <c r="AB89" i="12" s="1"/>
  <c r="X150" i="12"/>
  <c r="X169" i="12"/>
  <c r="G94" i="14" s="1"/>
  <c r="H779" i="9"/>
  <c r="I779" i="9" s="1"/>
  <c r="T779" i="16"/>
  <c r="H897" i="9"/>
  <c r="I897" i="9" s="1"/>
  <c r="T897" i="16"/>
  <c r="H1291" i="9"/>
  <c r="I1291" i="9" s="1"/>
  <c r="T1291" i="16"/>
  <c r="H819" i="9"/>
  <c r="I819" i="9" s="1"/>
  <c r="T819" i="16"/>
  <c r="H768" i="9"/>
  <c r="I768" i="9" s="1"/>
  <c r="T768" i="16"/>
  <c r="H685" i="9"/>
  <c r="I685" i="9" s="1"/>
  <c r="T685" i="16"/>
  <c r="H749" i="9"/>
  <c r="I749" i="9" s="1"/>
  <c r="T749" i="16"/>
  <c r="H1256" i="9"/>
  <c r="I1256" i="9" s="1"/>
  <c r="T1256" i="16"/>
  <c r="J57" i="14"/>
  <c r="V142" i="12"/>
  <c r="X141" i="12"/>
  <c r="X25" i="12"/>
  <c r="I20" i="14"/>
  <c r="X167" i="12"/>
  <c r="H842" i="9"/>
  <c r="I842" i="9" s="1"/>
  <c r="T842" i="16"/>
  <c r="H757" i="9"/>
  <c r="I757" i="9" s="1"/>
  <c r="T757" i="16"/>
  <c r="H1327" i="9"/>
  <c r="I1327" i="9" s="1"/>
  <c r="T1327" i="16"/>
  <c r="H929" i="9"/>
  <c r="I929" i="9" s="1"/>
  <c r="T929" i="16"/>
  <c r="H901" i="9"/>
  <c r="I901" i="9" s="1"/>
  <c r="T901" i="16"/>
  <c r="H915" i="9"/>
  <c r="I915" i="9" s="1"/>
  <c r="T915" i="16"/>
  <c r="H1265" i="9"/>
  <c r="I1265" i="9" s="1"/>
  <c r="T1265" i="16"/>
  <c r="H699" i="9"/>
  <c r="I699" i="9" s="1"/>
  <c r="T699" i="16"/>
  <c r="H1324" i="9"/>
  <c r="I1324" i="9" s="1"/>
  <c r="T1324" i="16"/>
  <c r="V3" i="12"/>
  <c r="E21" i="14" s="1"/>
  <c r="H681" i="9"/>
  <c r="I681" i="9" s="1"/>
  <c r="T681" i="16"/>
  <c r="H763" i="9"/>
  <c r="I763" i="9" s="1"/>
  <c r="T763" i="16"/>
  <c r="H911" i="9"/>
  <c r="I911" i="9" s="1"/>
  <c r="T911" i="16"/>
  <c r="H714" i="9"/>
  <c r="I714" i="9" s="1"/>
  <c r="T714" i="16"/>
  <c r="V18" i="12"/>
  <c r="E27" i="14" s="1"/>
  <c r="H963" i="9"/>
  <c r="I963" i="9" s="1"/>
  <c r="T963" i="16"/>
  <c r="H884" i="9"/>
  <c r="I884" i="9" s="1"/>
  <c r="T884" i="16"/>
  <c r="H773" i="9"/>
  <c r="I773" i="9" s="1"/>
  <c r="T773" i="16"/>
  <c r="H695" i="9"/>
  <c r="I695" i="9" s="1"/>
  <c r="T695" i="16"/>
  <c r="H895" i="9"/>
  <c r="I895" i="9" s="1"/>
  <c r="T895" i="16"/>
  <c r="H859" i="9"/>
  <c r="I859" i="9" s="1"/>
  <c r="T859" i="16"/>
  <c r="Y2" i="12"/>
  <c r="H813" i="9"/>
  <c r="I813" i="9" s="1"/>
  <c r="T813" i="16"/>
  <c r="H891" i="9"/>
  <c r="I891" i="9" s="1"/>
  <c r="T891" i="16"/>
  <c r="V101" i="12"/>
  <c r="V94" i="12"/>
  <c r="E59" i="14" s="1"/>
  <c r="H836" i="9"/>
  <c r="I836" i="9" s="1"/>
  <c r="T836" i="16"/>
  <c r="J72" i="14"/>
  <c r="J71" i="14"/>
  <c r="V174" i="12"/>
  <c r="G38" i="14"/>
  <c r="G37" i="14"/>
  <c r="H1253" i="9"/>
  <c r="I1253" i="9" s="1"/>
  <c r="T1253" i="16"/>
  <c r="X7" i="12"/>
  <c r="X144" i="12"/>
  <c r="H827" i="9"/>
  <c r="I827" i="9" s="1"/>
  <c r="T827" i="16"/>
  <c r="H1257" i="9"/>
  <c r="I1257" i="9" s="1"/>
  <c r="T1257" i="16"/>
  <c r="H834" i="9"/>
  <c r="I834" i="9" s="1"/>
  <c r="T834" i="16"/>
  <c r="H928" i="9"/>
  <c r="I928" i="9" s="1"/>
  <c r="T928" i="16"/>
  <c r="H772" i="9"/>
  <c r="I772" i="9" s="1"/>
  <c r="T772" i="16"/>
  <c r="H1282" i="9"/>
  <c r="I1282" i="9" s="1"/>
  <c r="T1282" i="16"/>
  <c r="X158" i="12"/>
  <c r="H1248" i="9"/>
  <c r="I1248" i="9" s="1"/>
  <c r="T1248" i="16"/>
  <c r="X121" i="12"/>
  <c r="AN121" i="17"/>
  <c r="AA121" i="12" s="1"/>
  <c r="AB121" i="12" s="1"/>
  <c r="H946" i="9"/>
  <c r="I946" i="9" s="1"/>
  <c r="T946" i="16"/>
  <c r="H1338" i="9"/>
  <c r="I1338" i="9" s="1"/>
  <c r="T1338" i="16"/>
  <c r="H913" i="9"/>
  <c r="I913" i="9" s="1"/>
  <c r="T913" i="16"/>
  <c r="H898" i="9"/>
  <c r="I898" i="9" s="1"/>
  <c r="H1298" i="9"/>
  <c r="I1298" i="9" s="1"/>
  <c r="T1298" i="16"/>
  <c r="H853" i="9"/>
  <c r="I853" i="9" s="1"/>
  <c r="T853" i="16"/>
  <c r="H723" i="9"/>
  <c r="I723" i="9" s="1"/>
  <c r="T723" i="16"/>
  <c r="H959" i="9"/>
  <c r="I959" i="9" s="1"/>
  <c r="T959" i="16"/>
  <c r="H807" i="9"/>
  <c r="I807" i="9" s="1"/>
  <c r="T807" i="16"/>
  <c r="H851" i="9"/>
  <c r="I851" i="9" s="1"/>
  <c r="T851" i="16"/>
  <c r="H1297" i="9"/>
  <c r="I1297" i="9" s="1"/>
  <c r="T1297" i="16"/>
  <c r="H1267" i="9"/>
  <c r="I1267" i="9" s="1"/>
  <c r="T1267" i="16"/>
  <c r="H837" i="9"/>
  <c r="I837" i="9" s="1"/>
  <c r="T837" i="16"/>
  <c r="V39" i="12"/>
  <c r="H877" i="9"/>
  <c r="I877" i="9" s="1"/>
  <c r="T877" i="16"/>
  <c r="V19" i="12"/>
  <c r="E28" i="14" s="1"/>
  <c r="H923" i="9"/>
  <c r="I923" i="9" s="1"/>
  <c r="T923" i="16"/>
  <c r="H704" i="9"/>
  <c r="I704" i="9" s="1"/>
  <c r="T704" i="16"/>
  <c r="H762" i="9"/>
  <c r="I762" i="9" s="1"/>
  <c r="T762" i="16"/>
  <c r="I26" i="14"/>
  <c r="X32" i="12"/>
  <c r="V51" i="12"/>
  <c r="E42" i="14" s="1"/>
  <c r="X137" i="12"/>
  <c r="G80" i="14" s="1"/>
  <c r="H1274" i="9"/>
  <c r="I1274" i="9" s="1"/>
  <c r="T1274" i="16"/>
  <c r="H793" i="9"/>
  <c r="I793" i="9" s="1"/>
  <c r="T793" i="16"/>
  <c r="H943" i="9"/>
  <c r="I943" i="9" s="1"/>
  <c r="T943" i="16"/>
  <c r="H1279" i="9"/>
  <c r="I1279" i="9" s="1"/>
  <c r="T1279" i="16"/>
  <c r="H962" i="9"/>
  <c r="I962" i="9" s="1"/>
  <c r="T962" i="16"/>
  <c r="H788" i="9"/>
  <c r="I788" i="9" s="1"/>
  <c r="T788" i="16"/>
  <c r="H1315" i="9"/>
  <c r="I1315" i="9" s="1"/>
  <c r="T1315" i="16"/>
  <c r="H740" i="9"/>
  <c r="I740" i="9" s="1"/>
  <c r="T740" i="16"/>
  <c r="H1294" i="9"/>
  <c r="I1294" i="9" s="1"/>
  <c r="T1294" i="16"/>
  <c r="H706" i="9"/>
  <c r="I706" i="9" s="1"/>
  <c r="T706" i="16"/>
  <c r="H854" i="9"/>
  <c r="I854" i="9" s="1"/>
  <c r="T854" i="16"/>
  <c r="H1292" i="9"/>
  <c r="I1292" i="9" s="1"/>
  <c r="T1292" i="16"/>
  <c r="H790" i="9"/>
  <c r="I790" i="9" s="1"/>
  <c r="T790" i="16"/>
  <c r="H829" i="9"/>
  <c r="I829" i="9" s="1"/>
  <c r="T829" i="16"/>
  <c r="H812" i="9"/>
  <c r="I812" i="9" s="1"/>
  <c r="T812" i="16"/>
  <c r="G81" i="14"/>
  <c r="G82" i="14"/>
  <c r="H741" i="9"/>
  <c r="I741" i="9" s="1"/>
  <c r="T741" i="16"/>
  <c r="H862" i="9"/>
  <c r="I862" i="9" s="1"/>
  <c r="T862" i="16"/>
  <c r="H684" i="9"/>
  <c r="I684" i="9" s="1"/>
  <c r="T684" i="16"/>
  <c r="H917" i="9"/>
  <c r="I917" i="9" s="1"/>
  <c r="T917" i="16"/>
  <c r="AI114" i="17"/>
  <c r="AJ114" i="17"/>
  <c r="W114" i="12" s="1"/>
  <c r="E92" i="14"/>
  <c r="P22" i="7"/>
  <c r="AH22" i="15"/>
  <c r="R22" i="7" s="1"/>
  <c r="S22" i="7" s="1"/>
  <c r="AI21" i="17"/>
  <c r="P144" i="7"/>
  <c r="AH144" i="15"/>
  <c r="R144" i="7" s="1"/>
  <c r="S144" i="7" s="1"/>
  <c r="V36" i="12"/>
  <c r="E36" i="14" s="1"/>
  <c r="AJ15" i="17"/>
  <c r="W15" i="12" s="1"/>
  <c r="AI15" i="17"/>
  <c r="AI156" i="17"/>
  <c r="AJ18" i="17"/>
  <c r="W18" i="12" s="1"/>
  <c r="F27" i="14" s="1"/>
  <c r="H86" i="14"/>
  <c r="AI49" i="17"/>
  <c r="AJ49" i="17"/>
  <c r="W49" i="12" s="1"/>
  <c r="F40" i="14" s="1"/>
  <c r="V60" i="12"/>
  <c r="AI97" i="17"/>
  <c r="AJ97" i="17"/>
  <c r="W97" i="12" s="1"/>
  <c r="AI123" i="17"/>
  <c r="AJ123" i="17"/>
  <c r="W123" i="12" s="1"/>
  <c r="G25" i="14"/>
  <c r="G26" i="14"/>
  <c r="G67" i="14"/>
  <c r="AJ71" i="17"/>
  <c r="W71" i="12" s="1"/>
  <c r="AI71" i="17"/>
  <c r="AJ101" i="17"/>
  <c r="W101" i="12" s="1"/>
  <c r="P129" i="7"/>
  <c r="AH129" i="15"/>
  <c r="R129" i="7" s="1"/>
  <c r="S129" i="7" s="1"/>
  <c r="AH82" i="15"/>
  <c r="R82" i="7" s="1"/>
  <c r="S82" i="7" s="1"/>
  <c r="P82" i="7"/>
  <c r="H1313" i="9"/>
  <c r="I1313" i="9" s="1"/>
  <c r="T1313" i="16"/>
  <c r="H786" i="9"/>
  <c r="I786" i="9" s="1"/>
  <c r="T786" i="16"/>
  <c r="T698" i="16"/>
  <c r="T922" i="16"/>
  <c r="H924" i="9"/>
  <c r="I924" i="9" s="1"/>
  <c r="T924" i="16"/>
  <c r="H868" i="9"/>
  <c r="I868" i="9" s="1"/>
  <c r="T868" i="16"/>
  <c r="H677" i="9"/>
  <c r="I677" i="9" s="1"/>
  <c r="T677" i="16"/>
  <c r="H679" i="9"/>
  <c r="I679" i="9" s="1"/>
  <c r="T679" i="16"/>
  <c r="T945" i="16"/>
  <c r="T796" i="16"/>
  <c r="H796" i="9"/>
  <c r="I796" i="9" s="1"/>
  <c r="T1347" i="16"/>
  <c r="T1322" i="16"/>
  <c r="P30" i="7"/>
  <c r="AH30" i="15"/>
  <c r="R30" i="7" s="1"/>
  <c r="S30" i="7" s="1"/>
  <c r="H765" i="9"/>
  <c r="I765" i="9" s="1"/>
  <c r="T765" i="16"/>
  <c r="T843" i="16"/>
  <c r="H1302" i="9"/>
  <c r="I1302" i="9" s="1"/>
  <c r="T1302" i="16"/>
  <c r="H918" i="9"/>
  <c r="I918" i="9" s="1"/>
  <c r="T918" i="16"/>
  <c r="V108" i="12"/>
  <c r="E65" i="14" s="1"/>
  <c r="P69" i="7"/>
  <c r="AH69" i="15"/>
  <c r="R69" i="7" s="1"/>
  <c r="S69" i="7" s="1"/>
  <c r="H821" i="9"/>
  <c r="I821" i="9" s="1"/>
  <c r="T821" i="16"/>
  <c r="T882" i="16"/>
  <c r="AH95" i="15"/>
  <c r="R95" i="7" s="1"/>
  <c r="S95" i="7" s="1"/>
  <c r="P95" i="7"/>
  <c r="H860" i="9"/>
  <c r="I860" i="9" s="1"/>
  <c r="T860" i="16"/>
  <c r="T1283" i="16"/>
  <c r="H798" i="9"/>
  <c r="I798" i="9" s="1"/>
  <c r="T798" i="16"/>
  <c r="P74" i="7"/>
  <c r="AH74" i="15"/>
  <c r="R74" i="7" s="1"/>
  <c r="S74" i="7" s="1"/>
  <c r="H857" i="9"/>
  <c r="I857" i="9" s="1"/>
  <c r="T857" i="16"/>
  <c r="T844" i="16"/>
  <c r="T771" i="16"/>
  <c r="V96" i="12"/>
  <c r="E61" i="14" s="1"/>
  <c r="AI149" i="17"/>
  <c r="AJ149" i="17"/>
  <c r="W149" i="12" s="1"/>
  <c r="F85" i="14" s="1"/>
  <c r="AJ79" i="17"/>
  <c r="W79" i="12" s="1"/>
  <c r="F53" i="14" s="1"/>
  <c r="AI79" i="17"/>
  <c r="V91" i="12"/>
  <c r="AH97" i="15"/>
  <c r="R97" i="7" s="1"/>
  <c r="S97" i="7" s="1"/>
  <c r="H927" i="9"/>
  <c r="I927" i="9" s="1"/>
  <c r="T927" i="16"/>
  <c r="E76" i="14"/>
  <c r="E77" i="14"/>
  <c r="AR14" i="17"/>
  <c r="AC14" i="12" s="1"/>
  <c r="AJ39" i="17"/>
  <c r="W39" i="12" s="1"/>
  <c r="I92" i="14"/>
  <c r="AR48" i="17"/>
  <c r="AC48" i="12" s="1"/>
  <c r="I39" i="14" s="1"/>
  <c r="AJ51" i="17"/>
  <c r="W51" i="12" s="1"/>
  <c r="F42" i="14" s="1"/>
  <c r="AJ138" i="17"/>
  <c r="W138" i="12" s="1"/>
  <c r="AI138" i="17"/>
  <c r="AM100" i="17"/>
  <c r="Z100" i="12" s="1"/>
  <c r="AR4" i="17"/>
  <c r="AC4" i="12" s="1"/>
  <c r="I22" i="14" s="1"/>
  <c r="AI61" i="17"/>
  <c r="AJ61" i="17"/>
  <c r="W61" i="12" s="1"/>
  <c r="AJ122" i="17"/>
  <c r="W122" i="12" s="1"/>
  <c r="AI122" i="17"/>
  <c r="V162" i="12"/>
  <c r="I51" i="14"/>
  <c r="T1346" i="16"/>
  <c r="E32" i="14"/>
  <c r="AI14" i="17"/>
  <c r="P84" i="7"/>
  <c r="AH84" i="15"/>
  <c r="R84" i="7" s="1"/>
  <c r="S84" i="7" s="1"/>
  <c r="T881" i="16"/>
  <c r="V172" i="12"/>
  <c r="T729" i="16"/>
  <c r="AH65" i="15"/>
  <c r="R65" i="7" s="1"/>
  <c r="S65" i="7" s="1"/>
  <c r="P90" i="7"/>
  <c r="AH90" i="15"/>
  <c r="R90" i="7" s="1"/>
  <c r="S90" i="7" s="1"/>
  <c r="H830" i="9"/>
  <c r="I830" i="9" s="1"/>
  <c r="T830" i="16"/>
  <c r="P59" i="7"/>
  <c r="AH59" i="15"/>
  <c r="R59" i="7" s="1"/>
  <c r="S59" i="7" s="1"/>
  <c r="T1330" i="16"/>
  <c r="T1266" i="16"/>
  <c r="H37" i="14"/>
  <c r="AM138" i="17"/>
  <c r="Z138" i="12" s="1"/>
  <c r="T848" i="16"/>
  <c r="T785" i="16"/>
  <c r="H792" i="9"/>
  <c r="I792" i="9" s="1"/>
  <c r="T792" i="16"/>
  <c r="H776" i="9"/>
  <c r="I776" i="9" s="1"/>
  <c r="T776" i="16"/>
  <c r="T905" i="16"/>
  <c r="AI148" i="17"/>
  <c r="AJ148" i="17"/>
  <c r="W148" i="12" s="1"/>
  <c r="F84" i="14" s="1"/>
  <c r="V46" i="12"/>
  <c r="H941" i="9"/>
  <c r="I941" i="9" s="1"/>
  <c r="T941" i="16"/>
  <c r="H856" i="9"/>
  <c r="I856" i="9" s="1"/>
  <c r="T856" i="16"/>
  <c r="V130" i="12"/>
  <c r="AN130" i="17"/>
  <c r="AA130" i="12" s="1"/>
  <c r="AB130" i="12" s="1"/>
  <c r="H896" i="9"/>
  <c r="I896" i="9" s="1"/>
  <c r="T896" i="16"/>
  <c r="V83" i="12"/>
  <c r="F32" i="14"/>
  <c r="AR74" i="17"/>
  <c r="AC74" i="12" s="1"/>
  <c r="AI43" i="17"/>
  <c r="AJ43" i="17"/>
  <c r="W43" i="12" s="1"/>
  <c r="AI171" i="17"/>
  <c r="AJ171" i="17"/>
  <c r="W171" i="12" s="1"/>
  <c r="G57" i="14"/>
  <c r="G56" i="14"/>
  <c r="AI68" i="17"/>
  <c r="AM14" i="17"/>
  <c r="Z14" i="12" s="1"/>
  <c r="G20" i="14"/>
  <c r="G77" i="14"/>
  <c r="I64" i="14"/>
  <c r="H920" i="9"/>
  <c r="I920" i="9" s="1"/>
  <c r="T920" i="16"/>
  <c r="F82" i="14"/>
  <c r="V35" i="12"/>
  <c r="E35" i="14" s="1"/>
  <c r="AJ139" i="17"/>
  <c r="W139" i="12" s="1"/>
  <c r="AI139" i="17"/>
  <c r="H863" i="9"/>
  <c r="I863" i="9" s="1"/>
  <c r="T863" i="16"/>
  <c r="H755" i="9"/>
  <c r="I755" i="9" s="1"/>
  <c r="T755" i="16"/>
  <c r="T1281" i="16"/>
  <c r="V112" i="12"/>
  <c r="AM2" i="17"/>
  <c r="Z2" i="12" s="1"/>
  <c r="AI34" i="17"/>
  <c r="V100" i="12"/>
  <c r="AM22" i="17"/>
  <c r="AI57" i="17"/>
  <c r="AJ57" i="17"/>
  <c r="W57" i="12" s="1"/>
  <c r="AI140" i="17"/>
  <c r="AI161" i="17"/>
  <c r="AJ161" i="17"/>
  <c r="W161" i="12" s="1"/>
  <c r="AJ142" i="17"/>
  <c r="W142" i="12" s="1"/>
  <c r="AN103" i="17"/>
  <c r="AA103" i="12" s="1"/>
  <c r="AB103" i="12" s="1"/>
  <c r="V103" i="12"/>
  <c r="AI72" i="17"/>
  <c r="AJ72" i="17"/>
  <c r="W72" i="12" s="1"/>
  <c r="AR144" i="17"/>
  <c r="AC144" i="12" s="1"/>
  <c r="AJ162" i="17"/>
  <c r="W162" i="12" s="1"/>
  <c r="H916" i="9"/>
  <c r="I916" i="9" s="1"/>
  <c r="T916" i="16"/>
  <c r="H828" i="9"/>
  <c r="I828" i="9" s="1"/>
  <c r="T828" i="16"/>
  <c r="AH114" i="15"/>
  <c r="R114" i="7" s="1"/>
  <c r="S114" i="7" s="1"/>
  <c r="P114" i="7"/>
  <c r="H838" i="9"/>
  <c r="I838" i="9" s="1"/>
  <c r="T838" i="16"/>
  <c r="T817" i="16"/>
  <c r="H1285" i="9"/>
  <c r="I1285" i="9" s="1"/>
  <c r="T1285" i="16"/>
  <c r="H894" i="9"/>
  <c r="I894" i="9" s="1"/>
  <c r="T894" i="16"/>
  <c r="H692" i="9"/>
  <c r="I692" i="9" s="1"/>
  <c r="T692" i="16"/>
  <c r="T700" i="16"/>
  <c r="T802" i="16"/>
  <c r="V90" i="12"/>
  <c r="T811" i="16"/>
  <c r="AH111" i="15"/>
  <c r="R111" i="7" s="1"/>
  <c r="S111" i="7" s="1"/>
  <c r="H888" i="9"/>
  <c r="I888" i="9" s="1"/>
  <c r="T888" i="16"/>
  <c r="V10" i="12"/>
  <c r="H840" i="9"/>
  <c r="I840" i="9" s="1"/>
  <c r="T840" i="16"/>
  <c r="AJ147" i="17"/>
  <c r="W147" i="12" s="1"/>
  <c r="AI147" i="17"/>
  <c r="P172" i="7"/>
  <c r="AH172" i="15"/>
  <c r="R172" i="7" s="1"/>
  <c r="S172" i="7" s="1"/>
  <c r="AH143" i="15"/>
  <c r="R143" i="7" s="1"/>
  <c r="S143" i="7" s="1"/>
  <c r="AI93" i="17"/>
  <c r="H932" i="9"/>
  <c r="I932" i="9" s="1"/>
  <c r="T932" i="16"/>
  <c r="AI106" i="17"/>
  <c r="AJ106" i="17"/>
  <c r="W106" i="12" s="1"/>
  <c r="G62" i="14"/>
  <c r="G63" i="14"/>
  <c r="G64" i="14"/>
  <c r="AJ74" i="17"/>
  <c r="W74" i="12" s="1"/>
  <c r="AI74" i="17"/>
  <c r="AM4" i="17"/>
  <c r="Z4" i="12" s="1"/>
  <c r="J22" i="14" s="1"/>
  <c r="AJ42" i="17"/>
  <c r="W42" i="12" s="1"/>
  <c r="AI42" i="17"/>
  <c r="AM163" i="17"/>
  <c r="Z163" i="12" s="1"/>
  <c r="V92" i="12"/>
  <c r="I38" i="14"/>
  <c r="AM88" i="17"/>
  <c r="Z88" i="12" s="1"/>
  <c r="V155" i="12"/>
  <c r="H82" i="14"/>
  <c r="H81" i="14"/>
  <c r="F51" i="14"/>
  <c r="G72" i="14"/>
  <c r="G71" i="14"/>
  <c r="AM98" i="17"/>
  <c r="Z98" i="12" s="1"/>
  <c r="AI29" i="17"/>
  <c r="AJ29" i="17"/>
  <c r="W29" i="12" s="1"/>
  <c r="V164" i="12"/>
  <c r="H76" i="14"/>
  <c r="AI80" i="17"/>
  <c r="T795" i="16"/>
  <c r="H883" i="9"/>
  <c r="I883" i="9" s="1"/>
  <c r="T883" i="16"/>
  <c r="P7" i="7"/>
  <c r="AH7" i="15"/>
  <c r="R7" i="7" s="1"/>
  <c r="S7" i="7" s="1"/>
  <c r="P46" i="7"/>
  <c r="AH46" i="15"/>
  <c r="R46" i="7" s="1"/>
  <c r="S46" i="7" s="1"/>
  <c r="P110" i="7"/>
  <c r="AH110" i="15"/>
  <c r="R110" i="7" s="1"/>
  <c r="S110" i="7" s="1"/>
  <c r="AH15" i="15"/>
  <c r="R15" i="7" s="1"/>
  <c r="S15" i="7" s="1"/>
  <c r="T730" i="16"/>
  <c r="T835" i="16"/>
  <c r="T724" i="16"/>
  <c r="H724" i="9"/>
  <c r="I724" i="9" s="1"/>
  <c r="AM104" i="17"/>
  <c r="Z104" i="12" s="1"/>
  <c r="H805" i="9"/>
  <c r="I805" i="9" s="1"/>
  <c r="T805" i="16"/>
  <c r="H1342" i="9"/>
  <c r="I1342" i="9" s="1"/>
  <c r="T1342" i="16"/>
  <c r="V168" i="12"/>
  <c r="E93" i="14" s="1"/>
  <c r="P132" i="7"/>
  <c r="AH132" i="15"/>
  <c r="R132" i="7" s="1"/>
  <c r="S132" i="7" s="1"/>
  <c r="H852" i="9"/>
  <c r="I852" i="9" s="1"/>
  <c r="T852" i="16"/>
  <c r="T899" i="16"/>
  <c r="AH9" i="15"/>
  <c r="R9" i="7" s="1"/>
  <c r="S9" i="7" s="1"/>
  <c r="AH115" i="15"/>
  <c r="R115" i="7" s="1"/>
  <c r="S115" i="7" s="1"/>
  <c r="AI85" i="17"/>
  <c r="H32" i="14"/>
  <c r="H31" i="14"/>
  <c r="AH89" i="15"/>
  <c r="R89" i="7" s="1"/>
  <c r="S89" i="7" s="1"/>
  <c r="T1299" i="16"/>
  <c r="H745" i="9"/>
  <c r="I745" i="9" s="1"/>
  <c r="T745" i="16"/>
  <c r="H847" i="9"/>
  <c r="I847" i="9" s="1"/>
  <c r="T847" i="16"/>
  <c r="AR112" i="17"/>
  <c r="AC112" i="12" s="1"/>
  <c r="AJ86" i="17"/>
  <c r="W86" i="12" s="1"/>
  <c r="AI86" i="17"/>
  <c r="H903" i="9"/>
  <c r="I903" i="9" s="1"/>
  <c r="T903" i="16"/>
  <c r="T900" i="16"/>
  <c r="AH6" i="15"/>
  <c r="R6" i="7" s="1"/>
  <c r="S6" i="7" s="1"/>
  <c r="AJ173" i="17"/>
  <c r="W173" i="12" s="1"/>
  <c r="AI173" i="17"/>
  <c r="AJ104" i="17"/>
  <c r="W104" i="12" s="1"/>
  <c r="AI104" i="17"/>
  <c r="V28" i="12"/>
  <c r="AR102" i="17"/>
  <c r="AC102" i="12" s="1"/>
  <c r="AM39" i="17"/>
  <c r="Z39" i="12" s="1"/>
  <c r="J92" i="14"/>
  <c r="V125" i="12"/>
  <c r="AI109" i="17"/>
  <c r="AJ109" i="17"/>
  <c r="W109" i="12" s="1"/>
  <c r="F66" i="14" s="1"/>
  <c r="AR134" i="17"/>
  <c r="AC134" i="12" s="1"/>
  <c r="AI129" i="17"/>
  <c r="AJ129" i="17"/>
  <c r="W129" i="12" s="1"/>
  <c r="AJ59" i="17"/>
  <c r="W59" i="12" s="1"/>
  <c r="AI59" i="17"/>
  <c r="AR78" i="17"/>
  <c r="AC78" i="12" s="1"/>
  <c r="I52" i="14" s="1"/>
  <c r="AM24" i="17"/>
  <c r="Z24" i="12" s="1"/>
  <c r="AM40" i="17"/>
  <c r="Z40" i="12" s="1"/>
  <c r="AJ73" i="17"/>
  <c r="W73" i="12" s="1"/>
  <c r="AI73" i="17"/>
  <c r="AJ30" i="17"/>
  <c r="W30" i="12" s="1"/>
  <c r="H832" i="9"/>
  <c r="I832" i="9" s="1"/>
  <c r="T832" i="16"/>
  <c r="AH98" i="15"/>
  <c r="R98" i="7" s="1"/>
  <c r="S98" i="7" s="1"/>
  <c r="P98" i="7"/>
  <c r="T1345" i="16"/>
  <c r="P76" i="7"/>
  <c r="AH76" i="15"/>
  <c r="R76" i="7" s="1"/>
  <c r="S76" i="7" s="1"/>
  <c r="T816" i="16"/>
  <c r="P174" i="7"/>
  <c r="AH174" i="15"/>
  <c r="R174" i="7" s="1"/>
  <c r="S174" i="7" s="1"/>
  <c r="P67" i="7"/>
  <c r="AH67" i="15"/>
  <c r="R67" i="7" s="1"/>
  <c r="S67" i="7" s="1"/>
  <c r="P151" i="7"/>
  <c r="AH151" i="15"/>
  <c r="R151" i="7" s="1"/>
  <c r="S151" i="7" s="1"/>
  <c r="H948" i="9"/>
  <c r="I948" i="9" s="1"/>
  <c r="T948" i="16"/>
  <c r="H1286" i="9"/>
  <c r="I1286" i="9" s="1"/>
  <c r="T1286" i="16"/>
  <c r="P39" i="7"/>
  <c r="AH39" i="15"/>
  <c r="R39" i="7" s="1"/>
  <c r="S39" i="7" s="1"/>
  <c r="AH66" i="15"/>
  <c r="R66" i="7" s="1"/>
  <c r="S66" i="7" s="1"/>
  <c r="P66" i="7"/>
  <c r="H748" i="9"/>
  <c r="I748" i="9" s="1"/>
  <c r="T748" i="16"/>
  <c r="T1320" i="16"/>
  <c r="V56" i="12"/>
  <c r="AM72" i="17"/>
  <c r="Z72" i="12" s="1"/>
  <c r="H1271" i="9"/>
  <c r="I1271" i="9" s="1"/>
  <c r="T1271" i="16"/>
  <c r="T866" i="16"/>
  <c r="T865" i="16"/>
  <c r="T738" i="16"/>
  <c r="T1337" i="16"/>
  <c r="AL64" i="17"/>
  <c r="Y64" i="12" s="1"/>
  <c r="AR64" i="17"/>
  <c r="AC64" i="12" s="1"/>
  <c r="AM154" i="17"/>
  <c r="Z154" i="12" s="1"/>
  <c r="P156" i="7"/>
  <c r="AH156" i="15"/>
  <c r="R156" i="7" s="1"/>
  <c r="S156" i="7" s="1"/>
  <c r="H732" i="9"/>
  <c r="I732" i="9" s="1"/>
  <c r="T732" i="16"/>
  <c r="H774" i="9"/>
  <c r="I774" i="9" s="1"/>
  <c r="T774" i="16"/>
  <c r="H850" i="9"/>
  <c r="I850" i="9" s="1"/>
  <c r="T850" i="16"/>
  <c r="T955" i="16"/>
  <c r="F57" i="14"/>
  <c r="AM56" i="17"/>
  <c r="Z56" i="12" s="1"/>
  <c r="AH80" i="15"/>
  <c r="R80" i="7" s="1"/>
  <c r="S80" i="7" s="1"/>
  <c r="T809" i="16"/>
  <c r="AR148" i="17"/>
  <c r="AC148" i="12" s="1"/>
  <c r="I84" i="14" s="1"/>
  <c r="T1273" i="16"/>
  <c r="V159" i="12"/>
  <c r="E89" i="14" s="1"/>
  <c r="AI81" i="17"/>
  <c r="AJ81" i="17"/>
  <c r="W81" i="12" s="1"/>
  <c r="F55" i="14" s="1"/>
  <c r="J82" i="14"/>
  <c r="AJ31" i="17"/>
  <c r="W31" i="12" s="1"/>
  <c r="AI31" i="17"/>
  <c r="AI105" i="17"/>
  <c r="AJ105" i="17"/>
  <c r="W105" i="12" s="1"/>
  <c r="AM158" i="17"/>
  <c r="Z158" i="12" s="1"/>
  <c r="AJ165" i="17"/>
  <c r="W165" i="12" s="1"/>
  <c r="AI165" i="17"/>
  <c r="AM11" i="17"/>
  <c r="Z11" i="12" s="1"/>
  <c r="AM75" i="17"/>
  <c r="Z75" i="12" s="1"/>
  <c r="AM10" i="17"/>
  <c r="Z10" i="12" s="1"/>
  <c r="E68" i="14"/>
  <c r="E67" i="14"/>
  <c r="AJ143" i="17"/>
  <c r="W143" i="12" s="1"/>
  <c r="AI143" i="17"/>
  <c r="AI145" i="17"/>
  <c r="AJ145" i="17"/>
  <c r="W145" i="12" s="1"/>
  <c r="AM164" i="17"/>
  <c r="Z164" i="12" s="1"/>
  <c r="AJ107" i="17"/>
  <c r="W107" i="12" s="1"/>
  <c r="AI107" i="17"/>
  <c r="AM144" i="17"/>
  <c r="Z144" i="12" s="1"/>
  <c r="AI13" i="17"/>
  <c r="AJ13" i="17"/>
  <c r="W13" i="12" s="1"/>
  <c r="H75" i="14"/>
  <c r="AI75" i="17"/>
  <c r="AJ75" i="17"/>
  <c r="W75" i="12" s="1"/>
  <c r="H910" i="9"/>
  <c r="I910" i="9" s="1"/>
  <c r="T910" i="16"/>
  <c r="P100" i="7"/>
  <c r="AH100" i="15"/>
  <c r="R100" i="7" s="1"/>
  <c r="S100" i="7" s="1"/>
  <c r="H803" i="9"/>
  <c r="I803" i="9" s="1"/>
  <c r="T803" i="16"/>
  <c r="P162" i="7"/>
  <c r="AH162" i="15"/>
  <c r="R162" i="7" s="1"/>
  <c r="S162" i="7" s="1"/>
  <c r="P14" i="7"/>
  <c r="AH14" i="15"/>
  <c r="R14" i="7" s="1"/>
  <c r="S14" i="7" s="1"/>
  <c r="T890" i="16"/>
  <c r="H1289" i="9"/>
  <c r="I1289" i="9" s="1"/>
  <c r="T1289" i="16"/>
  <c r="T1243" i="16"/>
  <c r="H1269" i="9"/>
  <c r="I1269" i="9" s="1"/>
  <c r="T1269" i="16"/>
  <c r="H731" i="9"/>
  <c r="I731" i="9" s="1"/>
  <c r="T731" i="16"/>
  <c r="P150" i="7"/>
  <c r="AH150" i="15"/>
  <c r="R150" i="7" s="1"/>
  <c r="S150" i="7" s="1"/>
  <c r="P5" i="7"/>
  <c r="AH5" i="15"/>
  <c r="R5" i="7" s="1"/>
  <c r="S5" i="7" s="1"/>
  <c r="H1293" i="9"/>
  <c r="I1293" i="9" s="1"/>
  <c r="T1293" i="16"/>
  <c r="H940" i="9"/>
  <c r="I940" i="9" s="1"/>
  <c r="T940" i="16"/>
  <c r="T739" i="16"/>
  <c r="AH130" i="15"/>
  <c r="R130" i="7" s="1"/>
  <c r="S130" i="7" s="1"/>
  <c r="P130" i="7"/>
  <c r="H693" i="9"/>
  <c r="I693" i="9" s="1"/>
  <c r="T693" i="16"/>
  <c r="AN12" i="17"/>
  <c r="AA12" i="12" s="1"/>
  <c r="AB12" i="12" s="1"/>
  <c r="V12" i="12"/>
  <c r="H876" i="9"/>
  <c r="I876" i="9" s="1"/>
  <c r="T876" i="16"/>
  <c r="H871" i="9"/>
  <c r="I871" i="9" s="1"/>
  <c r="T871" i="16"/>
  <c r="H48" i="13" s="1"/>
  <c r="V110" i="12"/>
  <c r="V88" i="12"/>
  <c r="AI20" i="17"/>
  <c r="AH83" i="15"/>
  <c r="R83" i="7" s="1"/>
  <c r="S83" i="7" s="1"/>
  <c r="H864" i="9"/>
  <c r="I864" i="9" s="1"/>
  <c r="T864" i="16"/>
  <c r="H831" i="9"/>
  <c r="I831" i="9" s="1"/>
  <c r="T831" i="16"/>
  <c r="P37" i="7"/>
  <c r="AH37" i="15"/>
  <c r="R37" i="7" s="1"/>
  <c r="S37" i="7" s="1"/>
  <c r="H953" i="9"/>
  <c r="I953" i="9" s="1"/>
  <c r="T953" i="16"/>
  <c r="V50" i="12"/>
  <c r="E41" i="14" s="1"/>
  <c r="V157" i="12"/>
  <c r="V166" i="12"/>
  <c r="AI38" i="17"/>
  <c r="AI66" i="17"/>
  <c r="AJ66" i="17"/>
  <c r="W66" i="12" s="1"/>
  <c r="F49" i="14" s="1"/>
  <c r="G43" i="14"/>
  <c r="G44" i="14"/>
  <c r="G45" i="14"/>
  <c r="E88" i="14"/>
  <c r="AN65" i="17"/>
  <c r="AA65" i="12" s="1"/>
  <c r="V65" i="12"/>
  <c r="E48" i="14" s="1"/>
  <c r="AJ33" i="17"/>
  <c r="W33" i="12" s="1"/>
  <c r="F33" i="14" s="1"/>
  <c r="AI33" i="17"/>
  <c r="V30" i="12"/>
  <c r="T1305" i="16"/>
  <c r="V127" i="12"/>
  <c r="E74" i="14" s="1"/>
  <c r="H71" i="14"/>
  <c r="AJ99" i="17"/>
  <c r="W99" i="12" s="1"/>
  <c r="AI99" i="17"/>
  <c r="AJ50" i="17"/>
  <c r="W50" i="12" s="1"/>
  <c r="F41" i="14" s="1"/>
  <c r="H846" i="9"/>
  <c r="I846" i="9" s="1"/>
  <c r="T846" i="16"/>
  <c r="AH50" i="15"/>
  <c r="R50" i="7" s="1"/>
  <c r="S50" i="7" s="1"/>
  <c r="P50" i="7"/>
  <c r="P112" i="7"/>
  <c r="AH112" i="15"/>
  <c r="R112" i="7" s="1"/>
  <c r="S112" i="7" s="1"/>
  <c r="P21" i="7"/>
  <c r="AH21" i="15"/>
  <c r="R21" i="7" s="1"/>
  <c r="S21" i="7" s="1"/>
  <c r="T753" i="16"/>
  <c r="P20" i="7"/>
  <c r="AH20" i="15"/>
  <c r="R20" i="7" s="1"/>
  <c r="S20" i="7" s="1"/>
  <c r="T826" i="16"/>
  <c r="T769" i="16"/>
  <c r="T858" i="16"/>
  <c r="T1300" i="16"/>
  <c r="H1300" i="9"/>
  <c r="I1300" i="9" s="1"/>
  <c r="AM168" i="17"/>
  <c r="Z168" i="12" s="1"/>
  <c r="J93" i="14" s="1"/>
  <c r="AN44" i="17"/>
  <c r="AA44" i="12" s="1"/>
  <c r="AB44" i="12" s="1"/>
  <c r="V44" i="12"/>
  <c r="AH29" i="15"/>
  <c r="R29" i="7" s="1"/>
  <c r="S29" i="7" s="1"/>
  <c r="P29" i="7"/>
  <c r="T1284" i="16"/>
  <c r="T794" i="16"/>
  <c r="T906" i="16"/>
  <c r="AJ41" i="17"/>
  <c r="W41" i="12" s="1"/>
  <c r="AI41" i="17"/>
  <c r="V62" i="12"/>
  <c r="AH60" i="15"/>
  <c r="R60" i="7" s="1"/>
  <c r="S60" i="7" s="1"/>
  <c r="H760" i="9"/>
  <c r="I760" i="9" s="1"/>
  <c r="T760" i="16"/>
  <c r="T849" i="16"/>
  <c r="AJ17" i="17"/>
  <c r="W17" i="12" s="1"/>
  <c r="AI17" i="17"/>
  <c r="AM112" i="17"/>
  <c r="Z112" i="12" s="1"/>
  <c r="T936" i="16"/>
  <c r="H752" i="9"/>
  <c r="I752" i="9" s="1"/>
  <c r="T752" i="16"/>
  <c r="T703" i="16"/>
  <c r="T1272" i="16"/>
  <c r="AJ170" i="17"/>
  <c r="W170" i="12" s="1"/>
  <c r="AI170" i="17"/>
  <c r="AJ166" i="17"/>
  <c r="W166" i="12" s="1"/>
  <c r="T1339" i="16"/>
  <c r="AM8" i="17"/>
  <c r="Z8" i="12" s="1"/>
  <c r="E20" i="14"/>
  <c r="AJ47" i="17"/>
  <c r="W47" i="12" s="1"/>
  <c r="AI47" i="17"/>
  <c r="AR150" i="17"/>
  <c r="AC150" i="12" s="1"/>
  <c r="AI58" i="17"/>
  <c r="AJ58" i="17"/>
  <c r="W58" i="12" s="1"/>
  <c r="H56" i="14"/>
  <c r="H57" i="14"/>
  <c r="V69" i="12"/>
  <c r="AJ70" i="17"/>
  <c r="W70" i="12" s="1"/>
  <c r="AI70" i="17"/>
  <c r="V98" i="12"/>
  <c r="K48" i="14" l="1"/>
  <c r="K21" i="14"/>
  <c r="AN46" i="17"/>
  <c r="AA46" i="12" s="1"/>
  <c r="AB46" i="12" s="1"/>
  <c r="K24" i="14"/>
  <c r="AN3" i="17"/>
  <c r="AA3" i="12" s="1"/>
  <c r="AN6" i="17"/>
  <c r="AA6" i="12" s="1"/>
  <c r="AN124" i="17"/>
  <c r="AA124" i="12" s="1"/>
  <c r="AB124" i="12" s="1"/>
  <c r="K73" i="14"/>
  <c r="AN110" i="17"/>
  <c r="AA110" i="12" s="1"/>
  <c r="AB110" i="12" s="1"/>
  <c r="AN108" i="17"/>
  <c r="AA108" i="12" s="1"/>
  <c r="AB108" i="12" s="1"/>
  <c r="AN5" i="17"/>
  <c r="AA5" i="12" s="1"/>
  <c r="F56" i="14"/>
  <c r="K60" i="14"/>
  <c r="AN9" i="17"/>
  <c r="AA9" i="12" s="1"/>
  <c r="AB9" i="12" s="1"/>
  <c r="V5" i="12"/>
  <c r="E23" i="14" s="1"/>
  <c r="K23" i="14" s="1"/>
  <c r="F19" i="14"/>
  <c r="AN16" i="17"/>
  <c r="AA16" i="12" s="1"/>
  <c r="AB16" i="12" s="1"/>
  <c r="AN84" i="17"/>
  <c r="AA84" i="12" s="1"/>
  <c r="AB84" i="12" s="1"/>
  <c r="I91" i="14"/>
  <c r="AN23" i="17"/>
  <c r="AA23" i="12" s="1"/>
  <c r="AB23" i="12" s="1"/>
  <c r="AN94" i="17"/>
  <c r="AA94" i="12" s="1"/>
  <c r="AB94" i="12" s="1"/>
  <c r="K69" i="14"/>
  <c r="AN60" i="17"/>
  <c r="AA60" i="12" s="1"/>
  <c r="AB60" i="12" s="1"/>
  <c r="F76" i="14"/>
  <c r="AN63" i="17"/>
  <c r="AA63" i="12" s="1"/>
  <c r="AB63" i="12" s="1"/>
  <c r="AN55" i="17"/>
  <c r="AA55" i="12" s="1"/>
  <c r="AB55" i="12" s="1"/>
  <c r="AN78" i="17"/>
  <c r="AA78" i="12" s="1"/>
  <c r="AB78" i="12" s="1"/>
  <c r="AN125" i="17"/>
  <c r="AA125" i="12" s="1"/>
  <c r="AB125" i="12" s="1"/>
  <c r="AN91" i="17"/>
  <c r="AA91" i="12" s="1"/>
  <c r="AB91" i="12" s="1"/>
  <c r="AN36" i="17"/>
  <c r="AA36" i="12" s="1"/>
  <c r="K59" i="14"/>
  <c r="AN167" i="17"/>
  <c r="AA167" i="12" s="1"/>
  <c r="AB167" i="12" s="1"/>
  <c r="AN169" i="17"/>
  <c r="AA169" i="12" s="1"/>
  <c r="AB169" i="12" s="1"/>
  <c r="I37" i="14"/>
  <c r="AN126" i="17"/>
  <c r="AA126" i="12" s="1"/>
  <c r="AB126" i="12" s="1"/>
  <c r="AN135" i="17"/>
  <c r="AA135" i="12" s="1"/>
  <c r="K36" i="14"/>
  <c r="AN174" i="17"/>
  <c r="AA174" i="12" s="1"/>
  <c r="AB174" i="12" s="1"/>
  <c r="K94" i="14"/>
  <c r="AN133" i="17"/>
  <c r="AA133" i="12" s="1"/>
  <c r="AB133" i="12" s="1"/>
  <c r="F67" i="14"/>
  <c r="I71" i="14"/>
  <c r="J31" i="14"/>
  <c r="V27" i="12"/>
  <c r="K90" i="14"/>
  <c r="AN131" i="17"/>
  <c r="AA131" i="12" s="1"/>
  <c r="AB131" i="12" s="1"/>
  <c r="AN28" i="17"/>
  <c r="AA28" i="12" s="1"/>
  <c r="AB28" i="12" s="1"/>
  <c r="AN54" i="17"/>
  <c r="AA54" i="12" s="1"/>
  <c r="AB54" i="12" s="1"/>
  <c r="AN92" i="17"/>
  <c r="AA92" i="12" s="1"/>
  <c r="AB92" i="12" s="1"/>
  <c r="AN116" i="17"/>
  <c r="AA116" i="12" s="1"/>
  <c r="AB116" i="12" s="1"/>
  <c r="AN132" i="17"/>
  <c r="AA132" i="12" s="1"/>
  <c r="AB132" i="12" s="1"/>
  <c r="V63" i="12"/>
  <c r="E46" i="14" s="1"/>
  <c r="K46" i="14" s="1"/>
  <c r="AN120" i="17"/>
  <c r="AA120" i="12" s="1"/>
  <c r="AB120" i="12" s="1"/>
  <c r="AN83" i="17"/>
  <c r="AA83" i="12" s="1"/>
  <c r="AB83" i="12" s="1"/>
  <c r="AN96" i="17"/>
  <c r="AA96" i="12" s="1"/>
  <c r="L61" i="14" s="1"/>
  <c r="M61" i="14" s="1"/>
  <c r="AN137" i="17"/>
  <c r="AA137" i="12" s="1"/>
  <c r="L80" i="14" s="1"/>
  <c r="M80" i="14" s="1"/>
  <c r="I86" i="14"/>
  <c r="I44" i="14"/>
  <c r="AN155" i="17"/>
  <c r="AA155" i="12" s="1"/>
  <c r="AB155" i="12" s="1"/>
  <c r="AN67" i="17"/>
  <c r="AA67" i="12" s="1"/>
  <c r="AB67" i="12" s="1"/>
  <c r="AN117" i="17"/>
  <c r="AA117" i="12" s="1"/>
  <c r="L69" i="14" s="1"/>
  <c r="M69" i="14" s="1"/>
  <c r="K61" i="14"/>
  <c r="AN95" i="17"/>
  <c r="AA95" i="12" s="1"/>
  <c r="L60" i="14" s="1"/>
  <c r="M60" i="14" s="1"/>
  <c r="K80" i="14"/>
  <c r="J56" i="14"/>
  <c r="AN153" i="17"/>
  <c r="AA153" i="12" s="1"/>
  <c r="AB153" i="12" s="1"/>
  <c r="I87" i="14"/>
  <c r="K79" i="14"/>
  <c r="J63" i="14"/>
  <c r="I88" i="14"/>
  <c r="V9" i="12"/>
  <c r="AN157" i="17"/>
  <c r="AA157" i="12" s="1"/>
  <c r="AB157" i="12" s="1"/>
  <c r="V77" i="12"/>
  <c r="F71" i="14"/>
  <c r="I63" i="14"/>
  <c r="AN141" i="17"/>
  <c r="AA141" i="12" s="1"/>
  <c r="AB141" i="12" s="1"/>
  <c r="AN87" i="17"/>
  <c r="AA87" i="12" s="1"/>
  <c r="AB87" i="12" s="1"/>
  <c r="AN25" i="17"/>
  <c r="AA25" i="12" s="1"/>
  <c r="AB25" i="12" s="1"/>
  <c r="AN82" i="17"/>
  <c r="AA82" i="12" s="1"/>
  <c r="AB82" i="12" s="1"/>
  <c r="K41" i="14"/>
  <c r="V124" i="12"/>
  <c r="AN37" i="17"/>
  <c r="AA37" i="12" s="1"/>
  <c r="AB37" i="12" s="1"/>
  <c r="J44" i="14"/>
  <c r="AN32" i="17"/>
  <c r="AA32" i="12" s="1"/>
  <c r="AB32" i="12" s="1"/>
  <c r="I62" i="14"/>
  <c r="AN90" i="17"/>
  <c r="AA90" i="12" s="1"/>
  <c r="AB90" i="12" s="1"/>
  <c r="AN76" i="17"/>
  <c r="AA76" i="12" s="1"/>
  <c r="AB76" i="12" s="1"/>
  <c r="K70" i="14"/>
  <c r="AN62" i="17"/>
  <c r="AA62" i="12" s="1"/>
  <c r="AB62" i="12" s="1"/>
  <c r="AN146" i="17"/>
  <c r="AA146" i="12" s="1"/>
  <c r="L82" i="14" s="1"/>
  <c r="M82" i="14" s="1"/>
  <c r="K28" i="14"/>
  <c r="AN136" i="17"/>
  <c r="AA136" i="12" s="1"/>
  <c r="L79" i="14" s="1"/>
  <c r="M79" i="14" s="1"/>
  <c r="F87" i="14"/>
  <c r="J81" i="14"/>
  <c r="AN128" i="17"/>
  <c r="AA128" i="12" s="1"/>
  <c r="AB128" i="12" s="1"/>
  <c r="K74" i="14"/>
  <c r="AN50" i="17"/>
  <c r="AA50" i="12" s="1"/>
  <c r="AB50" i="12" s="1"/>
  <c r="K89" i="14"/>
  <c r="AN69" i="17"/>
  <c r="AA69" i="12" s="1"/>
  <c r="AB69" i="12" s="1"/>
  <c r="AN127" i="17"/>
  <c r="AA127" i="12" s="1"/>
  <c r="AB127" i="12" s="1"/>
  <c r="AN111" i="17"/>
  <c r="AA111" i="12" s="1"/>
  <c r="AB111" i="12" s="1"/>
  <c r="AN159" i="17"/>
  <c r="AA159" i="12" s="1"/>
  <c r="AN52" i="17"/>
  <c r="AA52" i="12" s="1"/>
  <c r="AB52" i="12" s="1"/>
  <c r="AN172" i="17"/>
  <c r="AA172" i="12" s="1"/>
  <c r="AB172" i="12" s="1"/>
  <c r="AN160" i="17"/>
  <c r="AA160" i="12" s="1"/>
  <c r="AB160" i="12" s="1"/>
  <c r="AN19" i="17"/>
  <c r="AA19" i="12" s="1"/>
  <c r="L28" i="14" s="1"/>
  <c r="M28" i="14" s="1"/>
  <c r="AN152" i="17"/>
  <c r="AA152" i="12" s="1"/>
  <c r="AB152" i="12" s="1"/>
  <c r="F86" i="14"/>
  <c r="AN175" i="17"/>
  <c r="AA175" i="12" s="1"/>
  <c r="AB175" i="12" s="1"/>
  <c r="J43" i="14"/>
  <c r="AN53" i="17"/>
  <c r="AA53" i="12" s="1"/>
  <c r="AB53" i="12" s="1"/>
  <c r="I57" i="14"/>
  <c r="AN7" i="17"/>
  <c r="AA7" i="12" s="1"/>
  <c r="AB7" i="12" s="1"/>
  <c r="H65" i="14"/>
  <c r="K65" i="14" s="1"/>
  <c r="H63" i="14"/>
  <c r="AN119" i="17"/>
  <c r="AA119" i="12" s="1"/>
  <c r="AB119" i="12" s="1"/>
  <c r="J37" i="14"/>
  <c r="J50" i="14"/>
  <c r="K35" i="14"/>
  <c r="I31" i="14"/>
  <c r="I25" i="14"/>
  <c r="J25" i="14"/>
  <c r="AN118" i="17"/>
  <c r="AA118" i="12" s="1"/>
  <c r="AB118" i="12" s="1"/>
  <c r="AN115" i="17"/>
  <c r="AA115" i="12" s="1"/>
  <c r="AB115" i="12" s="1"/>
  <c r="AN45" i="17"/>
  <c r="AA45" i="12" s="1"/>
  <c r="AB45" i="12" s="1"/>
  <c r="V128" i="12"/>
  <c r="AN151" i="17"/>
  <c r="AA151" i="12" s="1"/>
  <c r="AB151" i="12" s="1"/>
  <c r="AN35" i="17"/>
  <c r="AA35" i="12" s="1"/>
  <c r="AB35" i="12" s="1"/>
  <c r="AN113" i="17"/>
  <c r="AA113" i="12" s="1"/>
  <c r="AB113" i="12" s="1"/>
  <c r="AN26" i="17"/>
  <c r="AA26" i="12" s="1"/>
  <c r="AB26" i="12" s="1"/>
  <c r="K52" i="14"/>
  <c r="F44" i="14"/>
  <c r="AN166" i="17"/>
  <c r="AA166" i="12" s="1"/>
  <c r="AB166" i="12" s="1"/>
  <c r="G19" i="14"/>
  <c r="E86" i="14"/>
  <c r="AN163" i="17"/>
  <c r="AA163" i="12" s="1"/>
  <c r="AB163" i="12" s="1"/>
  <c r="AN24" i="17"/>
  <c r="AA24" i="12" s="1"/>
  <c r="AB24" i="12" s="1"/>
  <c r="AN48" i="17"/>
  <c r="AA48" i="12" s="1"/>
  <c r="AB48" i="12" s="1"/>
  <c r="K42" i="14"/>
  <c r="E87" i="14"/>
  <c r="K39" i="14"/>
  <c r="K22" i="14"/>
  <c r="J91" i="14"/>
  <c r="G75" i="14"/>
  <c r="AN164" i="17"/>
  <c r="AA164" i="12" s="1"/>
  <c r="AB164" i="12" s="1"/>
  <c r="AN154" i="17"/>
  <c r="AA154" i="12" s="1"/>
  <c r="AB154" i="12" s="1"/>
  <c r="G76" i="14"/>
  <c r="J62" i="14"/>
  <c r="AN100" i="17"/>
  <c r="AA100" i="12" s="1"/>
  <c r="AB100" i="12" s="1"/>
  <c r="G95" i="14"/>
  <c r="AN98" i="17"/>
  <c r="AA98" i="12" s="1"/>
  <c r="AB98" i="12" s="1"/>
  <c r="AN30" i="17"/>
  <c r="AA30" i="12" s="1"/>
  <c r="AB30" i="12" s="1"/>
  <c r="AN88" i="17"/>
  <c r="AA88" i="12" s="1"/>
  <c r="AB88" i="12" s="1"/>
  <c r="K93" i="14"/>
  <c r="AN102" i="17"/>
  <c r="AA102" i="12" s="1"/>
  <c r="AB102" i="12" s="1"/>
  <c r="F38" i="14"/>
  <c r="F37" i="14"/>
  <c r="AN41" i="17"/>
  <c r="AA41" i="12" s="1"/>
  <c r="AB41" i="12" s="1"/>
  <c r="V41" i="12"/>
  <c r="I50" i="14"/>
  <c r="AN49" i="17"/>
  <c r="AA49" i="12" s="1"/>
  <c r="V49" i="12"/>
  <c r="E40" i="14" s="1"/>
  <c r="K40" i="14" s="1"/>
  <c r="AB36" i="12"/>
  <c r="L36" i="14"/>
  <c r="M36" i="14" s="1"/>
  <c r="G32" i="14"/>
  <c r="K32" i="14" s="1"/>
  <c r="G31" i="14"/>
  <c r="AN158" i="17"/>
  <c r="AA158" i="12" s="1"/>
  <c r="G91" i="14"/>
  <c r="G92" i="14"/>
  <c r="K92" i="14" s="1"/>
  <c r="L94" i="14"/>
  <c r="M94" i="14" s="1"/>
  <c r="L41" i="14"/>
  <c r="M41" i="14" s="1"/>
  <c r="E45" i="14"/>
  <c r="K45" i="14" s="1"/>
  <c r="AN170" i="17"/>
  <c r="AA170" i="12" s="1"/>
  <c r="AB170" i="12" s="1"/>
  <c r="V170" i="12"/>
  <c r="AN17" i="17"/>
  <c r="AA17" i="12" s="1"/>
  <c r="V17" i="12"/>
  <c r="L74" i="14"/>
  <c r="M74" i="14" s="1"/>
  <c r="AB159" i="12"/>
  <c r="L89" i="14"/>
  <c r="M89" i="14" s="1"/>
  <c r="E82" i="14"/>
  <c r="K82" i="14" s="1"/>
  <c r="AN173" i="17"/>
  <c r="AA173" i="12" s="1"/>
  <c r="AB173" i="12" s="1"/>
  <c r="V173" i="12"/>
  <c r="AN42" i="17"/>
  <c r="AA42" i="12" s="1"/>
  <c r="AB42" i="12" s="1"/>
  <c r="V42" i="12"/>
  <c r="AN93" i="17"/>
  <c r="AA93" i="12" s="1"/>
  <c r="V93" i="12"/>
  <c r="E58" i="14" s="1"/>
  <c r="K58" i="14" s="1"/>
  <c r="AN161" i="17"/>
  <c r="AA161" i="12" s="1"/>
  <c r="AB161" i="12" s="1"/>
  <c r="V161" i="12"/>
  <c r="J18" i="14"/>
  <c r="J20" i="14"/>
  <c r="J19" i="14"/>
  <c r="J95" i="14"/>
  <c r="AN139" i="17"/>
  <c r="AA139" i="12" s="1"/>
  <c r="AB139" i="12" s="1"/>
  <c r="V139" i="12"/>
  <c r="V148" i="12"/>
  <c r="E84" i="14" s="1"/>
  <c r="K84" i="14" s="1"/>
  <c r="AN148" i="17"/>
  <c r="AA148" i="12" s="1"/>
  <c r="V70" i="12"/>
  <c r="AN70" i="17"/>
  <c r="AA70" i="12" s="1"/>
  <c r="AB70" i="12" s="1"/>
  <c r="F25" i="14"/>
  <c r="F26" i="14"/>
  <c r="V20" i="12"/>
  <c r="E29" i="14" s="1"/>
  <c r="K29" i="14" s="1"/>
  <c r="AN20" i="17"/>
  <c r="AA20" i="12" s="1"/>
  <c r="AN107" i="17"/>
  <c r="AA107" i="12" s="1"/>
  <c r="V107" i="12"/>
  <c r="AN31" i="17"/>
  <c r="AA31" i="12" s="1"/>
  <c r="AB31" i="12" s="1"/>
  <c r="V31" i="12"/>
  <c r="AN73" i="17"/>
  <c r="AA73" i="12" s="1"/>
  <c r="AB73" i="12" s="1"/>
  <c r="V73" i="12"/>
  <c r="AN59" i="17"/>
  <c r="AA59" i="12" s="1"/>
  <c r="AB59" i="12" s="1"/>
  <c r="V59" i="12"/>
  <c r="I75" i="14"/>
  <c r="I77" i="14"/>
  <c r="I76" i="14"/>
  <c r="AN10" i="17"/>
  <c r="AA10" i="12" s="1"/>
  <c r="AB10" i="12" s="1"/>
  <c r="AN72" i="17"/>
  <c r="AA72" i="12" s="1"/>
  <c r="AB72" i="12" s="1"/>
  <c r="V72" i="12"/>
  <c r="AN140" i="17"/>
  <c r="AA140" i="12" s="1"/>
  <c r="AB140" i="12" s="1"/>
  <c r="V140" i="12"/>
  <c r="AN112" i="17"/>
  <c r="AA112" i="12" s="1"/>
  <c r="AB112" i="12" s="1"/>
  <c r="G18" i="14"/>
  <c r="AN171" i="17"/>
  <c r="AA171" i="12" s="1"/>
  <c r="AB171" i="12" s="1"/>
  <c r="V171" i="12"/>
  <c r="AN61" i="17"/>
  <c r="AA61" i="12" s="1"/>
  <c r="AB61" i="12" s="1"/>
  <c r="V61" i="12"/>
  <c r="AB117" i="12"/>
  <c r="AN134" i="17"/>
  <c r="AA134" i="12" s="1"/>
  <c r="G86" i="14"/>
  <c r="G88" i="14"/>
  <c r="G87" i="14"/>
  <c r="AN101" i="17"/>
  <c r="AA101" i="12" s="1"/>
  <c r="AB101" i="12" s="1"/>
  <c r="I95" i="14"/>
  <c r="AN11" i="17"/>
  <c r="AA11" i="12" s="1"/>
  <c r="AB11" i="12" s="1"/>
  <c r="AN99" i="17"/>
  <c r="AA99" i="12" s="1"/>
  <c r="AB99" i="12" s="1"/>
  <c r="V99" i="12"/>
  <c r="AN66" i="17"/>
  <c r="AA66" i="12" s="1"/>
  <c r="V66" i="12"/>
  <c r="E49" i="14" s="1"/>
  <c r="K49" i="14" s="1"/>
  <c r="AN75" i="17"/>
  <c r="AA75" i="12" s="1"/>
  <c r="AB75" i="12" s="1"/>
  <c r="V75" i="12"/>
  <c r="F62" i="14"/>
  <c r="F63" i="14"/>
  <c r="F64" i="14"/>
  <c r="L46" i="14"/>
  <c r="M46" i="14" s="1"/>
  <c r="F95" i="14"/>
  <c r="AN106" i="17"/>
  <c r="AA106" i="12" s="1"/>
  <c r="AB106" i="12" s="1"/>
  <c r="V106" i="12"/>
  <c r="AN149" i="17"/>
  <c r="AA149" i="12" s="1"/>
  <c r="V149" i="12"/>
  <c r="E85" i="14" s="1"/>
  <c r="K85" i="14" s="1"/>
  <c r="L90" i="14"/>
  <c r="M90" i="14" s="1"/>
  <c r="E91" i="14"/>
  <c r="J77" i="14"/>
  <c r="J76" i="14"/>
  <c r="J75" i="14"/>
  <c r="AB19" i="12"/>
  <c r="I18" i="14"/>
  <c r="AN150" i="17"/>
  <c r="AA150" i="12" s="1"/>
  <c r="AB150" i="12" s="1"/>
  <c r="J67" i="14"/>
  <c r="AN8" i="17"/>
  <c r="AA8" i="12" s="1"/>
  <c r="AB8" i="12" s="1"/>
  <c r="AN165" i="17"/>
  <c r="AA165" i="12" s="1"/>
  <c r="AB165" i="12" s="1"/>
  <c r="V165" i="12"/>
  <c r="I47" i="14"/>
  <c r="I43" i="14"/>
  <c r="AN109" i="17"/>
  <c r="AA109" i="12" s="1"/>
  <c r="V109" i="12"/>
  <c r="E66" i="14" s="1"/>
  <c r="K66" i="14" s="1"/>
  <c r="AN85" i="17"/>
  <c r="AA85" i="12" s="1"/>
  <c r="AB85" i="12" s="1"/>
  <c r="V85" i="12"/>
  <c r="AN29" i="17"/>
  <c r="AA29" i="12" s="1"/>
  <c r="AB29" i="12" s="1"/>
  <c r="V29" i="12"/>
  <c r="AN57" i="17"/>
  <c r="AA57" i="12" s="1"/>
  <c r="AB57" i="12" s="1"/>
  <c r="V57" i="12"/>
  <c r="L35" i="14"/>
  <c r="M35" i="14" s="1"/>
  <c r="AN43" i="17"/>
  <c r="AA43" i="12" s="1"/>
  <c r="AB43" i="12" s="1"/>
  <c r="V43" i="12"/>
  <c r="I81" i="14"/>
  <c r="V14" i="12"/>
  <c r="AN14" i="17"/>
  <c r="AA14" i="12" s="1"/>
  <c r="AB14" i="12" s="1"/>
  <c r="AN64" i="17"/>
  <c r="AA64" i="12" s="1"/>
  <c r="AN156" i="17"/>
  <c r="AA156" i="12" s="1"/>
  <c r="AB156" i="12" s="1"/>
  <c r="V156" i="12"/>
  <c r="AB3" i="12"/>
  <c r="L21" i="14"/>
  <c r="M21" i="14" s="1"/>
  <c r="AN142" i="17"/>
  <c r="AA142" i="12" s="1"/>
  <c r="AB142" i="12" s="1"/>
  <c r="AN58" i="17"/>
  <c r="AA58" i="12" s="1"/>
  <c r="AB58" i="12" s="1"/>
  <c r="V58" i="12"/>
  <c r="AN33" i="17"/>
  <c r="AA33" i="12" s="1"/>
  <c r="V33" i="12"/>
  <c r="H47" i="14"/>
  <c r="H44" i="14"/>
  <c r="H43" i="14"/>
  <c r="AN129" i="17"/>
  <c r="AA129" i="12" s="1"/>
  <c r="AB129" i="12" s="1"/>
  <c r="V129" i="12"/>
  <c r="E71" i="14"/>
  <c r="E72" i="14"/>
  <c r="K72" i="14" s="1"/>
  <c r="AN74" i="17"/>
  <c r="AA74" i="12" s="1"/>
  <c r="AB74" i="12" s="1"/>
  <c r="V74" i="12"/>
  <c r="AN147" i="17"/>
  <c r="AA147" i="12" s="1"/>
  <c r="V147" i="12"/>
  <c r="E83" i="14" s="1"/>
  <c r="AN4" i="17"/>
  <c r="AA4" i="12" s="1"/>
  <c r="Z22" i="12"/>
  <c r="AN22" i="17"/>
  <c r="AA22" i="12" s="1"/>
  <c r="AB22" i="12" s="1"/>
  <c r="AB95" i="12"/>
  <c r="AN15" i="17"/>
  <c r="AA15" i="12" s="1"/>
  <c r="AB15" i="12" s="1"/>
  <c r="V15" i="12"/>
  <c r="AN144" i="17"/>
  <c r="AA144" i="12" s="1"/>
  <c r="AB144" i="12" s="1"/>
  <c r="I19" i="14"/>
  <c r="J88" i="14"/>
  <c r="J87" i="14"/>
  <c r="J86" i="14"/>
  <c r="AN56" i="17"/>
  <c r="AA56" i="12" s="1"/>
  <c r="AB56" i="12" s="1"/>
  <c r="E51" i="14"/>
  <c r="K51" i="14" s="1"/>
  <c r="E57" i="14"/>
  <c r="F83" i="14"/>
  <c r="F75" i="14"/>
  <c r="V68" i="12"/>
  <c r="AN68" i="17"/>
  <c r="AA68" i="12" s="1"/>
  <c r="AB68" i="12" s="1"/>
  <c r="F18" i="14"/>
  <c r="AN162" i="17"/>
  <c r="AA162" i="12" s="1"/>
  <c r="AB162" i="12" s="1"/>
  <c r="L65" i="14"/>
  <c r="M65" i="14" s="1"/>
  <c r="AN123" i="17"/>
  <c r="AA123" i="12" s="1"/>
  <c r="AB123" i="12" s="1"/>
  <c r="V123" i="12"/>
  <c r="V114" i="12"/>
  <c r="AN114" i="17"/>
  <c r="AA114" i="12" s="1"/>
  <c r="AB114" i="12" s="1"/>
  <c r="L68" i="14"/>
  <c r="M68" i="14" s="1"/>
  <c r="AN18" i="17"/>
  <c r="AA18" i="12" s="1"/>
  <c r="AB6" i="12"/>
  <c r="L24" i="14"/>
  <c r="M24" i="14" s="1"/>
  <c r="AN81" i="17"/>
  <c r="AA81" i="12" s="1"/>
  <c r="V81" i="12"/>
  <c r="E55" i="14" s="1"/>
  <c r="K55" i="14" s="1"/>
  <c r="AB77" i="12"/>
  <c r="L51" i="14"/>
  <c r="M51" i="14" s="1"/>
  <c r="AN104" i="17"/>
  <c r="AA104" i="12" s="1"/>
  <c r="AB104" i="12" s="1"/>
  <c r="V104" i="12"/>
  <c r="V86" i="12"/>
  <c r="AN86" i="17"/>
  <c r="AA86" i="12" s="1"/>
  <c r="AB86" i="12" s="1"/>
  <c r="V80" i="12"/>
  <c r="E54" i="14" s="1"/>
  <c r="K54" i="14" s="1"/>
  <c r="AN80" i="17"/>
  <c r="AA80" i="12" s="1"/>
  <c r="L57" i="14"/>
  <c r="M57" i="14" s="1"/>
  <c r="F43" i="14"/>
  <c r="F31" i="14"/>
  <c r="AN122" i="17"/>
  <c r="AA122" i="12" s="1"/>
  <c r="AB122" i="12" s="1"/>
  <c r="V122" i="12"/>
  <c r="AN138" i="17"/>
  <c r="AA138" i="12" s="1"/>
  <c r="AB138" i="12" s="1"/>
  <c r="V138" i="12"/>
  <c r="AN71" i="17"/>
  <c r="AA71" i="12" s="1"/>
  <c r="AB71" i="12" s="1"/>
  <c r="V71" i="12"/>
  <c r="AB5" i="12"/>
  <c r="L23" i="14"/>
  <c r="M23" i="14" s="1"/>
  <c r="AN21" i="17"/>
  <c r="AA21" i="12" s="1"/>
  <c r="V21" i="12"/>
  <c r="E30" i="14" s="1"/>
  <c r="K30" i="14" s="1"/>
  <c r="AN51" i="17"/>
  <c r="AA51" i="12" s="1"/>
  <c r="AN39" i="17"/>
  <c r="AA39" i="12" s="1"/>
  <c r="AB39" i="12" s="1"/>
  <c r="I67" i="14"/>
  <c r="I68" i="14"/>
  <c r="K68" i="14" s="1"/>
  <c r="AN2" i="17"/>
  <c r="AA2" i="12" s="1"/>
  <c r="K27" i="14"/>
  <c r="AB135" i="12"/>
  <c r="L78" i="14"/>
  <c r="M78" i="14" s="1"/>
  <c r="AN13" i="17"/>
  <c r="AA13" i="12" s="1"/>
  <c r="AB13" i="12" s="1"/>
  <c r="V13" i="12"/>
  <c r="AN145" i="17"/>
  <c r="AA145" i="12" s="1"/>
  <c r="AB145" i="12" s="1"/>
  <c r="V145" i="12"/>
  <c r="AN47" i="17"/>
  <c r="AA47" i="12" s="1"/>
  <c r="V47" i="12"/>
  <c r="L45" i="14"/>
  <c r="M45" i="14" s="1"/>
  <c r="AB65" i="12"/>
  <c r="L48" i="14"/>
  <c r="M48" i="14" s="1"/>
  <c r="V38" i="12"/>
  <c r="AN38" i="17"/>
  <c r="AA38" i="12" s="1"/>
  <c r="AB38" i="12" s="1"/>
  <c r="AN143" i="17"/>
  <c r="AA143" i="12" s="1"/>
  <c r="AB143" i="12" s="1"/>
  <c r="V143" i="12"/>
  <c r="AN105" i="17"/>
  <c r="AA105" i="12" s="1"/>
  <c r="AB105" i="12" s="1"/>
  <c r="V105" i="12"/>
  <c r="AN40" i="17"/>
  <c r="AA40" i="12" s="1"/>
  <c r="AB40" i="12" s="1"/>
  <c r="AN168" i="17"/>
  <c r="AA168" i="12" s="1"/>
  <c r="F50" i="14"/>
  <c r="V34" i="12"/>
  <c r="E34" i="14" s="1"/>
  <c r="K34" i="14" s="1"/>
  <c r="AN34" i="17"/>
  <c r="AA34" i="12" s="1"/>
  <c r="F81" i="14"/>
  <c r="AN79" i="17"/>
  <c r="AA79" i="12" s="1"/>
  <c r="V79" i="12"/>
  <c r="E53" i="14" s="1"/>
  <c r="K53" i="14" s="1"/>
  <c r="AN97" i="17"/>
  <c r="AA97" i="12" s="1"/>
  <c r="AB97" i="12" s="1"/>
  <c r="V97" i="12"/>
  <c r="H19" i="14"/>
  <c r="H95" i="14"/>
  <c r="H18" i="14"/>
  <c r="H20" i="14"/>
  <c r="L92" i="14"/>
  <c r="M92" i="14" s="1"/>
  <c r="AB146" i="12" l="1"/>
  <c r="E19" i="14"/>
  <c r="K19" i="14" s="1"/>
  <c r="L59" i="14"/>
  <c r="M59" i="14" s="1"/>
  <c r="L73" i="14"/>
  <c r="M73" i="14" s="1"/>
  <c r="L52" i="14"/>
  <c r="M52" i="14" s="1"/>
  <c r="L72" i="14"/>
  <c r="M72" i="14" s="1"/>
  <c r="L44" i="14"/>
  <c r="M44" i="14" s="1"/>
  <c r="L56" i="14"/>
  <c r="M56" i="14" s="1"/>
  <c r="AB96" i="12"/>
  <c r="L71" i="14"/>
  <c r="M71" i="14" s="1"/>
  <c r="AB137" i="12"/>
  <c r="K57" i="14"/>
  <c r="K77" i="14"/>
  <c r="K71" i="14"/>
  <c r="K88" i="14"/>
  <c r="L32" i="14"/>
  <c r="M32" i="14" s="1"/>
  <c r="AB136" i="12"/>
  <c r="L67" i="14"/>
  <c r="M67" i="14" s="1"/>
  <c r="L70" i="14"/>
  <c r="M70" i="14" s="1"/>
  <c r="L50" i="14"/>
  <c r="M50" i="14" s="1"/>
  <c r="K20" i="14"/>
  <c r="K76" i="14"/>
  <c r="K87" i="14"/>
  <c r="K86" i="14"/>
  <c r="L39" i="14"/>
  <c r="M39" i="14" s="1"/>
  <c r="K67" i="14"/>
  <c r="K47" i="14"/>
  <c r="E56" i="14"/>
  <c r="K56" i="14" s="1"/>
  <c r="L81" i="14"/>
  <c r="M81" i="14" s="1"/>
  <c r="E43" i="14"/>
  <c r="K43" i="14" s="1"/>
  <c r="E37" i="14"/>
  <c r="K37" i="14" s="1"/>
  <c r="E38" i="14"/>
  <c r="K38" i="14" s="1"/>
  <c r="AB81" i="12"/>
  <c r="L55" i="14"/>
  <c r="M55" i="14" s="1"/>
  <c r="AB147" i="12"/>
  <c r="L83" i="14"/>
  <c r="M83" i="14" s="1"/>
  <c r="L58" i="14"/>
  <c r="M58" i="14" s="1"/>
  <c r="AB93" i="12"/>
  <c r="AB158" i="12"/>
  <c r="L87" i="14"/>
  <c r="M87" i="14" s="1"/>
  <c r="L86" i="14"/>
  <c r="M86" i="14" s="1"/>
  <c r="L88" i="14"/>
  <c r="M88" i="14" s="1"/>
  <c r="AB47" i="12"/>
  <c r="L38" i="14"/>
  <c r="M38" i="14" s="1"/>
  <c r="L37" i="14"/>
  <c r="M37" i="14" s="1"/>
  <c r="E44" i="14"/>
  <c r="K44" i="14" s="1"/>
  <c r="L63" i="14"/>
  <c r="M63" i="14" s="1"/>
  <c r="L62" i="14"/>
  <c r="M62" i="14" s="1"/>
  <c r="AB107" i="12"/>
  <c r="L64" i="14"/>
  <c r="M64" i="14" s="1"/>
  <c r="L84" i="14"/>
  <c r="M84" i="14" s="1"/>
  <c r="AB148" i="12"/>
  <c r="E81" i="14"/>
  <c r="K81" i="14" s="1"/>
  <c r="AB49" i="12"/>
  <c r="L40" i="14"/>
  <c r="M40" i="14" s="1"/>
  <c r="K83" i="14"/>
  <c r="AB64" i="12"/>
  <c r="L47" i="14"/>
  <c r="M47" i="14" s="1"/>
  <c r="K91" i="14"/>
  <c r="AB66" i="12"/>
  <c r="L49" i="14"/>
  <c r="M49" i="14" s="1"/>
  <c r="E18" i="14"/>
  <c r="K18" i="14" s="1"/>
  <c r="AB33" i="12"/>
  <c r="L33" i="14"/>
  <c r="M33" i="14" s="1"/>
  <c r="AB21" i="12"/>
  <c r="L30" i="14"/>
  <c r="M30" i="14" s="1"/>
  <c r="AB80" i="12"/>
  <c r="L54" i="14"/>
  <c r="M54" i="14" s="1"/>
  <c r="AB18" i="12"/>
  <c r="L27" i="14"/>
  <c r="M27" i="14" s="1"/>
  <c r="AB4" i="12"/>
  <c r="L22" i="14"/>
  <c r="M22" i="14" s="1"/>
  <c r="AB20" i="12"/>
  <c r="L29" i="14"/>
  <c r="M29" i="14" s="1"/>
  <c r="AB168" i="12"/>
  <c r="L93" i="14"/>
  <c r="M93" i="14" s="1"/>
  <c r="AB79" i="12"/>
  <c r="L53" i="14"/>
  <c r="M53" i="14" s="1"/>
  <c r="E25" i="14"/>
  <c r="K25" i="14" s="1"/>
  <c r="E26" i="14"/>
  <c r="K26" i="14" s="1"/>
  <c r="E95" i="14"/>
  <c r="K95" i="14" s="1"/>
  <c r="AB149" i="12"/>
  <c r="L85" i="14"/>
  <c r="M85" i="14" s="1"/>
  <c r="E75" i="14"/>
  <c r="K75" i="14" s="1"/>
  <c r="L91" i="14"/>
  <c r="M91" i="14" s="1"/>
  <c r="L31" i="14"/>
  <c r="M31" i="14" s="1"/>
  <c r="AB34" i="12"/>
  <c r="L34" i="14"/>
  <c r="M34" i="14" s="1"/>
  <c r="L43" i="14"/>
  <c r="M43" i="14" s="1"/>
  <c r="AB2" i="12"/>
  <c r="L18" i="14"/>
  <c r="M18" i="14" s="1"/>
  <c r="L95" i="14"/>
  <c r="M95" i="14" s="1"/>
  <c r="L20" i="14"/>
  <c r="M20" i="14" s="1"/>
  <c r="L19" i="14"/>
  <c r="M19" i="14" s="1"/>
  <c r="AB51" i="12"/>
  <c r="L42" i="14"/>
  <c r="M42" i="14" s="1"/>
  <c r="E50" i="14"/>
  <c r="K50" i="14" s="1"/>
  <c r="E33" i="14"/>
  <c r="K33" i="14" s="1"/>
  <c r="E31" i="14"/>
  <c r="K31" i="14" s="1"/>
  <c r="L66" i="14"/>
  <c r="M66" i="14" s="1"/>
  <c r="AB109" i="12"/>
  <c r="AB134" i="12"/>
  <c r="L76" i="14"/>
  <c r="M76" i="14" s="1"/>
  <c r="L77" i="14"/>
  <c r="M77" i="14" s="1"/>
  <c r="L75" i="14"/>
  <c r="M75" i="14" s="1"/>
  <c r="E63" i="14"/>
  <c r="K63" i="14" s="1"/>
  <c r="E64" i="14"/>
  <c r="K64" i="14" s="1"/>
  <c r="E62" i="14"/>
  <c r="K62" i="14" s="1"/>
  <c r="AB17" i="12"/>
  <c r="L26" i="14"/>
  <c r="M26" i="14" s="1"/>
  <c r="L25" i="14"/>
  <c r="M25" i="14" s="1"/>
  <c r="O2" i="16" l="1"/>
  <c r="I1098" i="9"/>
  <c r="H1098" i="9"/>
  <c r="I1209" i="9"/>
  <c r="H1209" i="9"/>
  <c r="I1048" i="9"/>
  <c r="H1048" i="9"/>
  <c r="O84" i="16"/>
  <c r="N84" i="16"/>
  <c r="O186" i="16"/>
  <c r="N186" i="16"/>
  <c r="I1165" i="9"/>
  <c r="H1165" i="9"/>
  <c r="O118" i="16"/>
  <c r="N118" i="16"/>
  <c r="I1198" i="9"/>
  <c r="H1198" i="9"/>
  <c r="O167" i="16"/>
  <c r="N167" i="16"/>
  <c r="O25" i="16"/>
  <c r="N25" i="16"/>
  <c r="I1068" i="9"/>
  <c r="H1068" i="9"/>
  <c r="I1060" i="9"/>
  <c r="H1060" i="9"/>
  <c r="O36" i="16"/>
  <c r="N36" i="16"/>
  <c r="T1108" i="16"/>
  <c r="O113" i="16"/>
  <c r="N113" i="16"/>
  <c r="T1228" i="16"/>
  <c r="I1212" i="9"/>
  <c r="H1212" i="9"/>
  <c r="O35" i="16"/>
  <c r="N35" i="16"/>
  <c r="O54" i="16"/>
  <c r="N54" i="16"/>
  <c r="I1057" i="9"/>
  <c r="H1057" i="9"/>
  <c r="I1026" i="9"/>
  <c r="H1026" i="9"/>
  <c r="O185" i="16"/>
  <c r="N185" i="16"/>
  <c r="O157" i="16"/>
  <c r="N157" i="16"/>
  <c r="I1190" i="9"/>
  <c r="H1190" i="9"/>
  <c r="I1167" i="9"/>
  <c r="H1167" i="9"/>
  <c r="T1104" i="16"/>
  <c r="O74" i="16"/>
  <c r="N74" i="16"/>
  <c r="T1231" i="16"/>
  <c r="I1091" i="9"/>
  <c r="H1091" i="9"/>
  <c r="N1167" i="16"/>
  <c r="O1167" i="16"/>
  <c r="P1167" i="16"/>
  <c r="T1167" i="16"/>
  <c r="I1185" i="9"/>
  <c r="H1185" i="9"/>
  <c r="O98" i="16"/>
  <c r="N98" i="16"/>
  <c r="I1059" i="9"/>
  <c r="H1059" i="9"/>
  <c r="O214" i="16"/>
  <c r="N214" i="16"/>
  <c r="I1056" i="9"/>
  <c r="H1056" i="9"/>
  <c r="I1196" i="9"/>
  <c r="H1196" i="9"/>
  <c r="O72" i="16"/>
  <c r="N72" i="16"/>
  <c r="O92" i="16"/>
  <c r="N92" i="16"/>
  <c r="O89" i="16"/>
  <c r="N89" i="16"/>
  <c r="O33" i="16"/>
  <c r="N33" i="16"/>
  <c r="I1149" i="9"/>
  <c r="H1149" i="9"/>
  <c r="O132" i="16"/>
  <c r="N132" i="16"/>
  <c r="O231" i="16"/>
  <c r="N231" i="16"/>
  <c r="I1070" i="9"/>
  <c r="H1070" i="9"/>
  <c r="I1229" i="9"/>
  <c r="H1229" i="9"/>
  <c r="N1185" i="16"/>
  <c r="O1185" i="16"/>
  <c r="P1185" i="16"/>
  <c r="T1185" i="16"/>
  <c r="O177" i="16"/>
  <c r="N177" i="16"/>
  <c r="O12" i="16"/>
  <c r="N12" i="16"/>
  <c r="O56" i="16"/>
  <c r="N56" i="16"/>
  <c r="O117" i="16"/>
  <c r="N117" i="16"/>
  <c r="O202" i="16"/>
  <c r="N202" i="16"/>
  <c r="I1230" i="9"/>
  <c r="H1230" i="9"/>
  <c r="O14" i="16"/>
  <c r="N14" i="16"/>
  <c r="O212" i="16"/>
  <c r="N212" i="16"/>
  <c r="O61" i="16"/>
  <c r="N61" i="16"/>
  <c r="N1229" i="16"/>
  <c r="O1229" i="16"/>
  <c r="P1229" i="16"/>
  <c r="T1229" i="16"/>
  <c r="I1137" i="9"/>
  <c r="H1137" i="9"/>
  <c r="I1024" i="9"/>
  <c r="H1024" i="9"/>
  <c r="O178" i="16"/>
  <c r="N178" i="16"/>
  <c r="I1197" i="9"/>
  <c r="H1197" i="9"/>
  <c r="I1181" i="9"/>
  <c r="H1181" i="9"/>
  <c r="I1233" i="9"/>
  <c r="H1233" i="9"/>
  <c r="I1213" i="9"/>
  <c r="H1213" i="9"/>
  <c r="O55" i="16"/>
  <c r="N55" i="16"/>
  <c r="I1150" i="9"/>
  <c r="H1150" i="9"/>
  <c r="I1030" i="9"/>
  <c r="H1030" i="9"/>
  <c r="O86" i="16"/>
  <c r="N86" i="16"/>
  <c r="T1122" i="16"/>
  <c r="I1220" i="9"/>
  <c r="H1220" i="9"/>
  <c r="O206" i="16"/>
  <c r="N206" i="16"/>
  <c r="O87" i="16"/>
  <c r="N87" i="16"/>
  <c r="O108" i="16"/>
  <c r="N108" i="16"/>
  <c r="O38" i="16"/>
  <c r="N38" i="16"/>
  <c r="I1194" i="9"/>
  <c r="H1194" i="9"/>
  <c r="N1233" i="16"/>
  <c r="O1233" i="16"/>
  <c r="P1233" i="16"/>
  <c r="T1233" i="16"/>
  <c r="O28" i="16"/>
  <c r="N28" i="16"/>
  <c r="N1149" i="16"/>
  <c r="O1149" i="16"/>
  <c r="P1149" i="16"/>
  <c r="T1149" i="16"/>
  <c r="T1224" i="16"/>
  <c r="O168" i="16"/>
  <c r="N168" i="16"/>
  <c r="I1144" i="9"/>
  <c r="H1144" i="9"/>
  <c r="O155" i="16"/>
  <c r="N155" i="16"/>
  <c r="O229" i="16"/>
  <c r="N229" i="16"/>
  <c r="N1098" i="16"/>
  <c r="O1098" i="16"/>
  <c r="P1098" i="16"/>
  <c r="T1098" i="16"/>
  <c r="I1177" i="9"/>
  <c r="H1177" i="9"/>
  <c r="O169" i="16"/>
  <c r="N169" i="16"/>
  <c r="O95" i="16"/>
  <c r="N95" i="16"/>
  <c r="N1059" i="16"/>
  <c r="O1059" i="16"/>
  <c r="P1059" i="16"/>
  <c r="T1059" i="16"/>
  <c r="O20" i="16"/>
  <c r="N20" i="16"/>
  <c r="I1042" i="9"/>
  <c r="H1042" i="9"/>
  <c r="O230" i="16"/>
  <c r="N230" i="16"/>
  <c r="O232" i="16"/>
  <c r="N232" i="16"/>
  <c r="T1127" i="16"/>
  <c r="O192" i="16"/>
  <c r="N192" i="16"/>
  <c r="I1065" i="9"/>
  <c r="H1065" i="9"/>
  <c r="O10" i="16"/>
  <c r="N10" i="16"/>
  <c r="T1035" i="16"/>
  <c r="I1067" i="9"/>
  <c r="H1067" i="9"/>
  <c r="I1078" i="9"/>
  <c r="H1078" i="9"/>
  <c r="N1067" i="16"/>
  <c r="O1067" i="16"/>
  <c r="P1067" i="16"/>
  <c r="T1067" i="16"/>
  <c r="N1078" i="16"/>
  <c r="O1078" i="16"/>
  <c r="P1078" i="16"/>
  <c r="T1078" i="16"/>
  <c r="O148" i="16"/>
  <c r="N148" i="16"/>
  <c r="T1028" i="16"/>
  <c r="T1019" i="16"/>
  <c r="O6" i="16"/>
  <c r="N6" i="16"/>
  <c r="T1151" i="16"/>
  <c r="I1232" i="9"/>
  <c r="H1232" i="9"/>
  <c r="O59" i="16"/>
  <c r="N59" i="16"/>
  <c r="I1138" i="9"/>
  <c r="H1138" i="9"/>
  <c r="I1075" i="9"/>
  <c r="H1075" i="9"/>
  <c r="O109" i="16"/>
  <c r="N109" i="16"/>
  <c r="O52" i="16"/>
  <c r="N52" i="16"/>
  <c r="T1081" i="16"/>
  <c r="O53" i="16"/>
  <c r="N53" i="16"/>
  <c r="I1088" i="9"/>
  <c r="H1088" i="9"/>
  <c r="T1076" i="16"/>
  <c r="O114" i="16"/>
  <c r="N114" i="16"/>
  <c r="I1186" i="9"/>
  <c r="H1186" i="9"/>
  <c r="O62" i="16"/>
  <c r="N62" i="16"/>
  <c r="I1115" i="9"/>
  <c r="H1115" i="9"/>
  <c r="T1106" i="16"/>
  <c r="N1070" i="16"/>
  <c r="O1070" i="16"/>
  <c r="P1070" i="16"/>
  <c r="T1070" i="16"/>
  <c r="N1091" i="16"/>
  <c r="O1091" i="16"/>
  <c r="P1091" i="16"/>
  <c r="T1091" i="16"/>
  <c r="O152" i="16"/>
  <c r="N152" i="16"/>
  <c r="O183" i="16"/>
  <c r="N183" i="16"/>
  <c r="N1104" i="16"/>
  <c r="O1104" i="16"/>
  <c r="P1104" i="16"/>
  <c r="H1104" i="9"/>
  <c r="I1104" i="9"/>
  <c r="I1016" i="9"/>
  <c r="H1016" i="9"/>
  <c r="N1028" i="16"/>
  <c r="O1028" i="16"/>
  <c r="P1028" i="16"/>
  <c r="H1028" i="9"/>
  <c r="I1028" i="9"/>
  <c r="N1228" i="16"/>
  <c r="O1228" i="16"/>
  <c r="P1228" i="16"/>
  <c r="H1228" i="9"/>
  <c r="I1228" i="9"/>
  <c r="T1178" i="16"/>
  <c r="I1111" i="9"/>
  <c r="H1111" i="9"/>
  <c r="O46" i="16"/>
  <c r="N46" i="16"/>
  <c r="O7" i="16"/>
  <c r="N7" i="16"/>
  <c r="I1114" i="9"/>
  <c r="H1114" i="9"/>
  <c r="O126" i="16"/>
  <c r="N126" i="16"/>
  <c r="I1237" i="9"/>
  <c r="H1237" i="9"/>
  <c r="I1184" i="9"/>
  <c r="H1184" i="9"/>
  <c r="T1202" i="16"/>
  <c r="I1092" i="9"/>
  <c r="H1092" i="9"/>
  <c r="N1181" i="16"/>
  <c r="O1181" i="16"/>
  <c r="P1181" i="16"/>
  <c r="T1181" i="16"/>
  <c r="N1202" i="16"/>
  <c r="O1202" i="16"/>
  <c r="P1202" i="16"/>
  <c r="H1202" i="9"/>
  <c r="I1202" i="9"/>
  <c r="I1146" i="9"/>
  <c r="H1146" i="9"/>
  <c r="O147" i="16"/>
  <c r="N147" i="16"/>
  <c r="I1110" i="9"/>
  <c r="H1110" i="9"/>
  <c r="I1109" i="9"/>
  <c r="H1109" i="9"/>
  <c r="I1129" i="9"/>
  <c r="H1129" i="9"/>
  <c r="O228" i="16"/>
  <c r="N228" i="16"/>
  <c r="I1087" i="9"/>
  <c r="H1087" i="9"/>
  <c r="O80" i="16"/>
  <c r="N80" i="16"/>
  <c r="O60" i="16"/>
  <c r="N60" i="16"/>
  <c r="O90" i="16"/>
  <c r="N90" i="16"/>
  <c r="N1137" i="16"/>
  <c r="O1137" i="16"/>
  <c r="P1137" i="16"/>
  <c r="T1137" i="16"/>
  <c r="O39" i="16"/>
  <c r="N39" i="16"/>
  <c r="N1106" i="16"/>
  <c r="O1106" i="16"/>
  <c r="P1106" i="16"/>
  <c r="H1106" i="9"/>
  <c r="I1106" i="9"/>
  <c r="N1197" i="16"/>
  <c r="O1197" i="16"/>
  <c r="P1197" i="16"/>
  <c r="T1197" i="16"/>
  <c r="O131" i="16"/>
  <c r="N131" i="16"/>
  <c r="O196" i="16"/>
  <c r="N196" i="16"/>
  <c r="O51" i="16"/>
  <c r="N51" i="16"/>
  <c r="N1224" i="16"/>
  <c r="O1224" i="16"/>
  <c r="P1224" i="16"/>
  <c r="H1224" i="9"/>
  <c r="I1224" i="9"/>
  <c r="O199" i="16"/>
  <c r="N199" i="16"/>
  <c r="O125" i="16"/>
  <c r="N125" i="16"/>
  <c r="O143" i="16"/>
  <c r="N143" i="16"/>
  <c r="T1029" i="16"/>
  <c r="O222" i="16"/>
  <c r="N222" i="16"/>
  <c r="I1214" i="9"/>
  <c r="H1214" i="9"/>
  <c r="O19" i="16"/>
  <c r="N19" i="16"/>
  <c r="O187" i="16"/>
  <c r="N187" i="16"/>
  <c r="I1124" i="9"/>
  <c r="H1124" i="9"/>
  <c r="O37" i="16"/>
  <c r="N37" i="16"/>
  <c r="T1140" i="16"/>
  <c r="T1207" i="16"/>
  <c r="I1187" i="9"/>
  <c r="H1187" i="9"/>
  <c r="O81" i="16"/>
  <c r="N81" i="16"/>
  <c r="I1118" i="9"/>
  <c r="H1118" i="9"/>
  <c r="T1158" i="16"/>
  <c r="I1219" i="9"/>
  <c r="H1219" i="9"/>
  <c r="N1220" i="16"/>
  <c r="O1220" i="16"/>
  <c r="P1220" i="16"/>
  <c r="T1220" i="16"/>
  <c r="O50" i="16"/>
  <c r="N50" i="16"/>
  <c r="I1071" i="9"/>
  <c r="H1071" i="9"/>
  <c r="I1130" i="9"/>
  <c r="H1130" i="9"/>
  <c r="N1122" i="16"/>
  <c r="O1122" i="16"/>
  <c r="P1122" i="16"/>
  <c r="H1122" i="9"/>
  <c r="I1122" i="9"/>
  <c r="I1077" i="9"/>
  <c r="H1077" i="9"/>
  <c r="I1148" i="9"/>
  <c r="H1148" i="9"/>
  <c r="O15" i="16"/>
  <c r="N15" i="16"/>
  <c r="O63" i="16"/>
  <c r="N63" i="16"/>
  <c r="I1123" i="9"/>
  <c r="H1123" i="9"/>
  <c r="O96" i="16"/>
  <c r="N96" i="16"/>
  <c r="I1027" i="9"/>
  <c r="H1027" i="9"/>
  <c r="I1172" i="9"/>
  <c r="H1172" i="9"/>
  <c r="O158" i="16"/>
  <c r="N158" i="16"/>
  <c r="O73" i="16"/>
  <c r="N73" i="16"/>
  <c r="O48" i="16"/>
  <c r="N48" i="16"/>
  <c r="I1199" i="9"/>
  <c r="H1199" i="9"/>
  <c r="O4" i="16"/>
  <c r="N4" i="16"/>
  <c r="I1234" i="9"/>
  <c r="H1234" i="9"/>
  <c r="I1096" i="9"/>
  <c r="H1096" i="9"/>
  <c r="O18" i="16"/>
  <c r="N18" i="16"/>
  <c r="O94" i="16"/>
  <c r="N94" i="16"/>
  <c r="I1226" i="9"/>
  <c r="H1226" i="9"/>
  <c r="O27" i="16"/>
  <c r="N27" i="16"/>
  <c r="I1094" i="9"/>
  <c r="H1094" i="9"/>
  <c r="O161" i="16"/>
  <c r="N161" i="16"/>
  <c r="T1132" i="16"/>
  <c r="O110" i="16"/>
  <c r="N110" i="16"/>
  <c r="I1166" i="9"/>
  <c r="H1166" i="9"/>
  <c r="N1029" i="16"/>
  <c r="O1029" i="16"/>
  <c r="P1029" i="16"/>
  <c r="H1029" i="9"/>
  <c r="I1029" i="9"/>
  <c r="O156" i="16"/>
  <c r="N156" i="16"/>
  <c r="I1222" i="9"/>
  <c r="H1222" i="9"/>
  <c r="N1214" i="16"/>
  <c r="O1214" i="16"/>
  <c r="P1214" i="16"/>
  <c r="T1214" i="16"/>
  <c r="I1046" i="9"/>
  <c r="H1046" i="9"/>
  <c r="N1190" i="16"/>
  <c r="O1190" i="16"/>
  <c r="P1190" i="16"/>
  <c r="T1190" i="16"/>
  <c r="N1118" i="16"/>
  <c r="O1118" i="16"/>
  <c r="P1118" i="16"/>
  <c r="T1118" i="16"/>
  <c r="I1218" i="9"/>
  <c r="H1218" i="9"/>
  <c r="O215" i="16"/>
  <c r="N215" i="16"/>
  <c r="O188" i="16"/>
  <c r="N188" i="16"/>
  <c r="I1152" i="9"/>
  <c r="H1152" i="9"/>
  <c r="T1102" i="16"/>
  <c r="I1126" i="9"/>
  <c r="H1126" i="9"/>
  <c r="I1064" i="9"/>
  <c r="H1064" i="9"/>
  <c r="O173" i="16"/>
  <c r="N173" i="16"/>
  <c r="O24" i="16"/>
  <c r="N24" i="16"/>
  <c r="O204" i="16"/>
  <c r="N204" i="16"/>
  <c r="O43" i="16"/>
  <c r="N43" i="16"/>
  <c r="O130" i="16"/>
  <c r="N130" i="16"/>
  <c r="O32" i="16"/>
  <c r="N32" i="16"/>
  <c r="T1061" i="16"/>
  <c r="I1121" i="9"/>
  <c r="H1121" i="9"/>
  <c r="T1235" i="16"/>
  <c r="T1206" i="16"/>
  <c r="O82" i="16"/>
  <c r="N82" i="16"/>
  <c r="O181" i="16"/>
  <c r="N181" i="16"/>
  <c r="N1016" i="16"/>
  <c r="O1016" i="16"/>
  <c r="P1016" i="16"/>
  <c r="T1016" i="16"/>
  <c r="O139" i="16"/>
  <c r="N139" i="16"/>
  <c r="T1125" i="16"/>
  <c r="T1063" i="16"/>
  <c r="N1194" i="16"/>
  <c r="O1194" i="16"/>
  <c r="P1194" i="16"/>
  <c r="T1194" i="16"/>
  <c r="N1234" i="16"/>
  <c r="O1234" i="16"/>
  <c r="P1234" i="16"/>
  <c r="T1234" i="16"/>
  <c r="N1115" i="16"/>
  <c r="O1115" i="16"/>
  <c r="P1115" i="16"/>
  <c r="T1115" i="16"/>
  <c r="N1226" i="16"/>
  <c r="O1226" i="16"/>
  <c r="P1226" i="16"/>
  <c r="T1226" i="16"/>
  <c r="N1151" i="16"/>
  <c r="O1151" i="16"/>
  <c r="P1151" i="16"/>
  <c r="H1151" i="9"/>
  <c r="I1151" i="9"/>
  <c r="O79" i="16"/>
  <c r="N79" i="16"/>
  <c r="I1208" i="9"/>
  <c r="H1208" i="9"/>
  <c r="O159" i="16"/>
  <c r="N159" i="16"/>
  <c r="N1138" i="16"/>
  <c r="O1138" i="16"/>
  <c r="P1138" i="16"/>
  <c r="T1138" i="16"/>
  <c r="N1166" i="16"/>
  <c r="O1166" i="16"/>
  <c r="P1166" i="16"/>
  <c r="T1166" i="16"/>
  <c r="T1041" i="16"/>
  <c r="N1213" i="16"/>
  <c r="O1213" i="16"/>
  <c r="P1213" i="16"/>
  <c r="T1213" i="16"/>
  <c r="N1165" i="16"/>
  <c r="O1165" i="16"/>
  <c r="P1165" i="16"/>
  <c r="T1165" i="16"/>
  <c r="N1222" i="16"/>
  <c r="O1222" i="16"/>
  <c r="P1222" i="16"/>
  <c r="T1222" i="16"/>
  <c r="N1187" i="16"/>
  <c r="O1187" i="16"/>
  <c r="P1187" i="16"/>
  <c r="T1187" i="16"/>
  <c r="O225" i="16"/>
  <c r="N225" i="16"/>
  <c r="N1046" i="16"/>
  <c r="O1046" i="16"/>
  <c r="P1046" i="16"/>
  <c r="T1046" i="16"/>
  <c r="O163" i="16"/>
  <c r="N163" i="16"/>
  <c r="N1125" i="16"/>
  <c r="O1125" i="16"/>
  <c r="P1125" i="16"/>
  <c r="H1125" i="9"/>
  <c r="I1125" i="9"/>
  <c r="N1056" i="16"/>
  <c r="O1056" i="16"/>
  <c r="P1056" i="16"/>
  <c r="T1056" i="16"/>
  <c r="I1227" i="9"/>
  <c r="H1227" i="9"/>
  <c r="T1160" i="16"/>
  <c r="O149" i="16"/>
  <c r="N149" i="16"/>
  <c r="O151" i="16"/>
  <c r="N151" i="16"/>
  <c r="O11" i="16"/>
  <c r="N11" i="16"/>
  <c r="I1211" i="9"/>
  <c r="H1211" i="9"/>
  <c r="I1050" i="9"/>
  <c r="H1050" i="9"/>
  <c r="O119" i="16"/>
  <c r="N119" i="16"/>
  <c r="O133" i="16"/>
  <c r="N133" i="16"/>
  <c r="N1206" i="16"/>
  <c r="O1206" i="16"/>
  <c r="P1206" i="16"/>
  <c r="H1206" i="9"/>
  <c r="I1206" i="9"/>
  <c r="O190" i="16"/>
  <c r="N190" i="16"/>
  <c r="O170" i="16"/>
  <c r="N170" i="16"/>
  <c r="N1132" i="16"/>
  <c r="O1132" i="16"/>
  <c r="P1132" i="16"/>
  <c r="H1132" i="9"/>
  <c r="I1132" i="9"/>
  <c r="O227" i="16"/>
  <c r="N227" i="16"/>
  <c r="N1150" i="16"/>
  <c r="O1150" i="16"/>
  <c r="P1150" i="16"/>
  <c r="T1150" i="16"/>
  <c r="O220" i="16"/>
  <c r="N220" i="16"/>
  <c r="H1015" i="9"/>
  <c r="I1015" i="9"/>
  <c r="N1108" i="16"/>
  <c r="O1108" i="16"/>
  <c r="P1108" i="16"/>
  <c r="H1108" i="9"/>
  <c r="I1108" i="9"/>
  <c r="I1084" i="9"/>
  <c r="H1084" i="9"/>
  <c r="T1082" i="16"/>
  <c r="T1170" i="16"/>
  <c r="I1117" i="9"/>
  <c r="H1117" i="9"/>
  <c r="N1126" i="16"/>
  <c r="O1126" i="16"/>
  <c r="P1126" i="16"/>
  <c r="T1126" i="16"/>
  <c r="N1117" i="16"/>
  <c r="O1117" i="16"/>
  <c r="P1117" i="16"/>
  <c r="T1117" i="16"/>
  <c r="N1102" i="16"/>
  <c r="O1102" i="16"/>
  <c r="P1102" i="16"/>
  <c r="H1102" i="9"/>
  <c r="I1102" i="9"/>
  <c r="N1035" i="16"/>
  <c r="O1035" i="16"/>
  <c r="P1035" i="16"/>
  <c r="H1035" i="9"/>
  <c r="I1035" i="9"/>
  <c r="I1239" i="9"/>
  <c r="H1239" i="9"/>
  <c r="I1040" i="9"/>
  <c r="H1040" i="9"/>
  <c r="O16" i="16"/>
  <c r="N16" i="16"/>
  <c r="I1058" i="9"/>
  <c r="H1058" i="9"/>
  <c r="O105" i="16"/>
  <c r="N105" i="16"/>
  <c r="I1017" i="9"/>
  <c r="H1017" i="9"/>
  <c r="T1171" i="16"/>
  <c r="N1121" i="16"/>
  <c r="O1121" i="16"/>
  <c r="P1121" i="16"/>
  <c r="T1121" i="16"/>
  <c r="T1020" i="16"/>
  <c r="I1079" i="9"/>
  <c r="H1079" i="9"/>
  <c r="T1074" i="16"/>
  <c r="I1072" i="9"/>
  <c r="H1072" i="9"/>
  <c r="O75" i="16"/>
  <c r="N75" i="16"/>
  <c r="I1101" i="9"/>
  <c r="H1101" i="9"/>
  <c r="N1074" i="16"/>
  <c r="O1074" i="16"/>
  <c r="P1074" i="16"/>
  <c r="H1074" i="9"/>
  <c r="I1074" i="9"/>
  <c r="I1195" i="9"/>
  <c r="H1195" i="9"/>
  <c r="O205" i="16"/>
  <c r="N205" i="16"/>
  <c r="I1105" i="9"/>
  <c r="H1105" i="9"/>
  <c r="I1113" i="9"/>
  <c r="H1113" i="9"/>
  <c r="O127" i="16"/>
  <c r="N127" i="16"/>
  <c r="I1225" i="9"/>
  <c r="H1225" i="9"/>
  <c r="N1096" i="16"/>
  <c r="O1096" i="16"/>
  <c r="P1096" i="16"/>
  <c r="T1096" i="16"/>
  <c r="N1068" i="16"/>
  <c r="O1068" i="16"/>
  <c r="P1068" i="16"/>
  <c r="T1068" i="16"/>
  <c r="O221" i="16"/>
  <c r="N221" i="16"/>
  <c r="O30" i="16"/>
  <c r="N30" i="16"/>
  <c r="N1094" i="16"/>
  <c r="O1094" i="16"/>
  <c r="P1094" i="16"/>
  <c r="T1094" i="16"/>
  <c r="O88" i="16"/>
  <c r="N88" i="16"/>
  <c r="N1178" i="16"/>
  <c r="O1178" i="16"/>
  <c r="P1178" i="16"/>
  <c r="H1178" i="9"/>
  <c r="I1178" i="9"/>
  <c r="O200" i="16"/>
  <c r="N200" i="16"/>
  <c r="O191" i="16"/>
  <c r="N191" i="16"/>
  <c r="N1232" i="16"/>
  <c r="O1232" i="16"/>
  <c r="P1232" i="16"/>
  <c r="T1232" i="16"/>
  <c r="O57" i="16"/>
  <c r="N57" i="16"/>
  <c r="O58" i="16"/>
  <c r="N58" i="16"/>
  <c r="O112" i="16"/>
  <c r="N112" i="16"/>
  <c r="O193" i="16"/>
  <c r="N193" i="16"/>
  <c r="O124" i="16"/>
  <c r="N124" i="16"/>
  <c r="N1111" i="16"/>
  <c r="O1111" i="16"/>
  <c r="P1111" i="16"/>
  <c r="T1111" i="16"/>
  <c r="N1114" i="16"/>
  <c r="O1114" i="16"/>
  <c r="P1114" i="16"/>
  <c r="T1114" i="16"/>
  <c r="O201" i="16"/>
  <c r="N201" i="16"/>
  <c r="T1240" i="16"/>
  <c r="O103" i="16"/>
  <c r="N103" i="16"/>
  <c r="O116" i="16"/>
  <c r="N116" i="16"/>
  <c r="N1219" i="16"/>
  <c r="O1219" i="16"/>
  <c r="P1219" i="16"/>
  <c r="T1219" i="16"/>
  <c r="I1142" i="9"/>
  <c r="H1142" i="9"/>
  <c r="N1152" i="16"/>
  <c r="O1152" i="16"/>
  <c r="P1152" i="16"/>
  <c r="T1152" i="16"/>
  <c r="N1198" i="16"/>
  <c r="O1198" i="16"/>
  <c r="P1198" i="16"/>
  <c r="T1198" i="16"/>
  <c r="O210" i="16"/>
  <c r="N210" i="16"/>
  <c r="N1146" i="16"/>
  <c r="O1146" i="16"/>
  <c r="P1146" i="16"/>
  <c r="T1146" i="16"/>
  <c r="N1020" i="16"/>
  <c r="O1020" i="16"/>
  <c r="P1020" i="16"/>
  <c r="H1020" i="9"/>
  <c r="I1020" i="9"/>
  <c r="O165" i="16"/>
  <c r="N165" i="16"/>
  <c r="N1019" i="16"/>
  <c r="O1019" i="16"/>
  <c r="P1019" i="16"/>
  <c r="H1019" i="9"/>
  <c r="I1019" i="9"/>
  <c r="H1036" i="9"/>
  <c r="I1036" i="9"/>
  <c r="O203" i="16"/>
  <c r="N203" i="16"/>
  <c r="N1208" i="16"/>
  <c r="O1208" i="16"/>
  <c r="P1208" i="16"/>
  <c r="T1208" i="16"/>
  <c r="O34" i="16"/>
  <c r="N34" i="16"/>
  <c r="I1145" i="9"/>
  <c r="H1145" i="9"/>
  <c r="I1156" i="9"/>
  <c r="H1156" i="9"/>
  <c r="N1235" i="16"/>
  <c r="O1235" i="16"/>
  <c r="P1235" i="16"/>
  <c r="H1235" i="9"/>
  <c r="I1235" i="9"/>
  <c r="N1050" i="16"/>
  <c r="O1050" i="16"/>
  <c r="P1050" i="16"/>
  <c r="T1050" i="16"/>
  <c r="O224" i="16"/>
  <c r="N224" i="16"/>
  <c r="T1168" i="16"/>
  <c r="O166" i="16"/>
  <c r="N166" i="16"/>
  <c r="T1182" i="16"/>
  <c r="N1144" i="16"/>
  <c r="O1144" i="16"/>
  <c r="P1144" i="16"/>
  <c r="T1144" i="16"/>
  <c r="N1124" i="16"/>
  <c r="O1124" i="16"/>
  <c r="P1124" i="16"/>
  <c r="T1124" i="16"/>
  <c r="N1207" i="16"/>
  <c r="O1207" i="16"/>
  <c r="P1207" i="16"/>
  <c r="H1207" i="9"/>
  <c r="I1207" i="9"/>
  <c r="O176" i="16"/>
  <c r="N176" i="16"/>
  <c r="N1237" i="16"/>
  <c r="O1237" i="16"/>
  <c r="P1237" i="16"/>
  <c r="T1237" i="16"/>
  <c r="N1196" i="16"/>
  <c r="O1196" i="16"/>
  <c r="P1196" i="16"/>
  <c r="T1196" i="16"/>
  <c r="T1175" i="16"/>
  <c r="N1184" i="16"/>
  <c r="O1184" i="16"/>
  <c r="P1184" i="16"/>
  <c r="T1184" i="16"/>
  <c r="T1189" i="16"/>
  <c r="N1071" i="16"/>
  <c r="O1071" i="16"/>
  <c r="P1071" i="16"/>
  <c r="T1071" i="16"/>
  <c r="I1131" i="9"/>
  <c r="H1131" i="9"/>
  <c r="N1186" i="16"/>
  <c r="O1186" i="16"/>
  <c r="P1186" i="16"/>
  <c r="T1186" i="16"/>
  <c r="O136" i="16"/>
  <c r="N136" i="16"/>
  <c r="I1047" i="9"/>
  <c r="H1047" i="9"/>
  <c r="I1204" i="9"/>
  <c r="H1204" i="9"/>
  <c r="N1060" i="16"/>
  <c r="O1060" i="16"/>
  <c r="P1060" i="16"/>
  <c r="T1060" i="16"/>
  <c r="O122" i="16"/>
  <c r="N122" i="16"/>
  <c r="T1128" i="16"/>
  <c r="I1174" i="9"/>
  <c r="H1174" i="9"/>
  <c r="T1013" i="16"/>
  <c r="T1236" i="16"/>
  <c r="I1176" i="9"/>
  <c r="H1176" i="9"/>
  <c r="I1242" i="9"/>
  <c r="H1242" i="9"/>
  <c r="T1205" i="16"/>
  <c r="N1076" i="16"/>
  <c r="O1076" i="16"/>
  <c r="P1076" i="16"/>
  <c r="H1076" i="9"/>
  <c r="I1076" i="9"/>
  <c r="O137" i="16"/>
  <c r="N137" i="16"/>
  <c r="N1092" i="16"/>
  <c r="O1092" i="16"/>
  <c r="P1092" i="16"/>
  <c r="T1092" i="16"/>
  <c r="O144" i="16"/>
  <c r="N144" i="16"/>
  <c r="I1014" i="9"/>
  <c r="H1014" i="9"/>
  <c r="N1140" i="16"/>
  <c r="O1140" i="16"/>
  <c r="P1140" i="16"/>
  <c r="H1140" i="9"/>
  <c r="I1140" i="9"/>
  <c r="I1223" i="9"/>
  <c r="H1223" i="9"/>
  <c r="I1153" i="9"/>
  <c r="H1153" i="9"/>
  <c r="O44" i="16"/>
  <c r="N44" i="16"/>
  <c r="I1089" i="9"/>
  <c r="H1089" i="9"/>
  <c r="O104" i="16"/>
  <c r="N104" i="16"/>
  <c r="I1090" i="9"/>
  <c r="H1090" i="9"/>
  <c r="T1135" i="16"/>
  <c r="N1182" i="16"/>
  <c r="O1182" i="16"/>
  <c r="P1182" i="16"/>
  <c r="H1182" i="9"/>
  <c r="I1182" i="9"/>
  <c r="N1189" i="16"/>
  <c r="O1189" i="16"/>
  <c r="P1189" i="16"/>
  <c r="H1189" i="9"/>
  <c r="I1189" i="9"/>
  <c r="T1093" i="16"/>
  <c r="I1139" i="9"/>
  <c r="H1139" i="9"/>
  <c r="N1131" i="16"/>
  <c r="O1131" i="16"/>
  <c r="P1131" i="16"/>
  <c r="T1131" i="16"/>
  <c r="I1163" i="9"/>
  <c r="H1163" i="9"/>
  <c r="N1064" i="16"/>
  <c r="O1064" i="16"/>
  <c r="P1064" i="16"/>
  <c r="T1064" i="16"/>
  <c r="N1204" i="16"/>
  <c r="O1204" i="16"/>
  <c r="P1204" i="16"/>
  <c r="T1204" i="16"/>
  <c r="N1128" i="16"/>
  <c r="O1128" i="16"/>
  <c r="P1128" i="16"/>
  <c r="H1128" i="9"/>
  <c r="I1128" i="9"/>
  <c r="I1157" i="9"/>
  <c r="H1157" i="9"/>
  <c r="N1174" i="16"/>
  <c r="O1174" i="16"/>
  <c r="P1174" i="16"/>
  <c r="T1174" i="16"/>
  <c r="O5" i="16"/>
  <c r="N5" i="16"/>
  <c r="N1236" i="16"/>
  <c r="O1236" i="16"/>
  <c r="P1236" i="16"/>
  <c r="H1236" i="9"/>
  <c r="I1236" i="9"/>
  <c r="O9" i="16"/>
  <c r="N9" i="16"/>
  <c r="N1176" i="16"/>
  <c r="O1176" i="16"/>
  <c r="P1176" i="16"/>
  <c r="T1176" i="16"/>
  <c r="T1154" i="16"/>
  <c r="T1069" i="16"/>
  <c r="I1193" i="9"/>
  <c r="H1193" i="9"/>
  <c r="N1154" i="16"/>
  <c r="O1154" i="16"/>
  <c r="P1154" i="16"/>
  <c r="H1154" i="9"/>
  <c r="I1154" i="9"/>
  <c r="I1134" i="9"/>
  <c r="H1134" i="9"/>
  <c r="O154" i="16"/>
  <c r="N154" i="16"/>
  <c r="I1217" i="9"/>
  <c r="H1217" i="9"/>
  <c r="O70" i="16"/>
  <c r="N70" i="16"/>
  <c r="I1210" i="9"/>
  <c r="H1210" i="9"/>
  <c r="I1200" i="9"/>
  <c r="H1200" i="9"/>
  <c r="I1062" i="9"/>
  <c r="H1062" i="9"/>
  <c r="I1083" i="9"/>
  <c r="H1083" i="9"/>
  <c r="O49" i="16"/>
  <c r="N49" i="16"/>
  <c r="O140" i="16"/>
  <c r="N140" i="16"/>
  <c r="I1034" i="9"/>
  <c r="H1034" i="9"/>
  <c r="I1107" i="9"/>
  <c r="H1107" i="9"/>
  <c r="T1169" i="16"/>
  <c r="T1133" i="16"/>
  <c r="T1073" i="16"/>
  <c r="O29" i="16"/>
  <c r="N29" i="16"/>
  <c r="N1135" i="16"/>
  <c r="O1135" i="16"/>
  <c r="P1135" i="16"/>
  <c r="H1135" i="9"/>
  <c r="I1135" i="9"/>
  <c r="T1179" i="16"/>
  <c r="N1212" i="16"/>
  <c r="O1212" i="16"/>
  <c r="P1212" i="16"/>
  <c r="T1212" i="16"/>
  <c r="N1240" i="16"/>
  <c r="O1240" i="16"/>
  <c r="P1240" i="16"/>
  <c r="H1240" i="9"/>
  <c r="I1240" i="9"/>
  <c r="N1175" i="16"/>
  <c r="O1175" i="16"/>
  <c r="P1175" i="16"/>
  <c r="H1175" i="9"/>
  <c r="I1175" i="9"/>
  <c r="N1127" i="16"/>
  <c r="O1127" i="16"/>
  <c r="P1127" i="16"/>
  <c r="H1127" i="9"/>
  <c r="I1127" i="9"/>
  <c r="O150" i="16"/>
  <c r="N150" i="16"/>
  <c r="N1227" i="16"/>
  <c r="O1227" i="16"/>
  <c r="P1227" i="16"/>
  <c r="T1227" i="16"/>
  <c r="N1158" i="16"/>
  <c r="O1158" i="16"/>
  <c r="P1158" i="16"/>
  <c r="H1158" i="9"/>
  <c r="I1158" i="9"/>
  <c r="N1082" i="16"/>
  <c r="O1082" i="16"/>
  <c r="P1082" i="16"/>
  <c r="H1082" i="9"/>
  <c r="I1082" i="9"/>
  <c r="N1081" i="16"/>
  <c r="O1081" i="16"/>
  <c r="P1081" i="16"/>
  <c r="H1081" i="9"/>
  <c r="I1081" i="9"/>
  <c r="N1170" i="16"/>
  <c r="O1170" i="16"/>
  <c r="P1170" i="16"/>
  <c r="H1170" i="9"/>
  <c r="I1170" i="9"/>
  <c r="O23" i="16"/>
  <c r="N23" i="16"/>
  <c r="N1139" i="16"/>
  <c r="O1139" i="16"/>
  <c r="P1139" i="16"/>
  <c r="T1139" i="16"/>
  <c r="N1157" i="16"/>
  <c r="O1157" i="16"/>
  <c r="P1157" i="16"/>
  <c r="T1157" i="16"/>
  <c r="N1163" i="16"/>
  <c r="O1163" i="16"/>
  <c r="P1163" i="16"/>
  <c r="T1163" i="16"/>
  <c r="O3" i="16"/>
  <c r="N3" i="16"/>
  <c r="N1142" i="16"/>
  <c r="O1142" i="16"/>
  <c r="P1142" i="16"/>
  <c r="T1142" i="16"/>
  <c r="O164" i="16"/>
  <c r="N164" i="16"/>
  <c r="T1086" i="16"/>
  <c r="N1148" i="16"/>
  <c r="O1148" i="16"/>
  <c r="P1148" i="16"/>
  <c r="T1148" i="16"/>
  <c r="N1130" i="16"/>
  <c r="O1130" i="16"/>
  <c r="P1130" i="16"/>
  <c r="T1130" i="16"/>
  <c r="N1239" i="16"/>
  <c r="O1239" i="16"/>
  <c r="P1239" i="16"/>
  <c r="T1239" i="16"/>
  <c r="N1242" i="16"/>
  <c r="O1242" i="16"/>
  <c r="P1242" i="16"/>
  <c r="T1242" i="16"/>
  <c r="T1112" i="16"/>
  <c r="O180" i="16"/>
  <c r="N180" i="16"/>
  <c r="N1231" i="16"/>
  <c r="O1231" i="16"/>
  <c r="P1231" i="16"/>
  <c r="H1231" i="9"/>
  <c r="I1231" i="9"/>
  <c r="O129" i="16"/>
  <c r="N129" i="16"/>
  <c r="N1047" i="16"/>
  <c r="O1047" i="16"/>
  <c r="P1047" i="16"/>
  <c r="T1047" i="16"/>
  <c r="N1077" i="16"/>
  <c r="O1077" i="16"/>
  <c r="P1077" i="16"/>
  <c r="T1077" i="16"/>
  <c r="N1134" i="16"/>
  <c r="O1134" i="16"/>
  <c r="P1134" i="16"/>
  <c r="T1134" i="16"/>
  <c r="I1066" i="9"/>
  <c r="H1066" i="9"/>
  <c r="O216" i="16"/>
  <c r="N216" i="16"/>
  <c r="O207" i="16"/>
  <c r="N207" i="16"/>
  <c r="I1052" i="9"/>
  <c r="H1052" i="9"/>
  <c r="N1084" i="16"/>
  <c r="O1084" i="16"/>
  <c r="P1084" i="16"/>
  <c r="T1084" i="16"/>
  <c r="N1200" i="16"/>
  <c r="O1200" i="16"/>
  <c r="P1200" i="16"/>
  <c r="T1200" i="16"/>
  <c r="N1079" i="16"/>
  <c r="O1079" i="16"/>
  <c r="P1079" i="16"/>
  <c r="T1079" i="16"/>
  <c r="I1025" i="9"/>
  <c r="H1025" i="9"/>
  <c r="O217" i="16"/>
  <c r="N217" i="16"/>
  <c r="N1086" i="16"/>
  <c r="O1086" i="16"/>
  <c r="P1086" i="16"/>
  <c r="H1086" i="9"/>
  <c r="I1086" i="9"/>
  <c r="O69" i="16"/>
  <c r="N69" i="16"/>
  <c r="I1173" i="9"/>
  <c r="H1173" i="9"/>
  <c r="I1162" i="9"/>
  <c r="H1162" i="9"/>
  <c r="N1169" i="16"/>
  <c r="O1169" i="16"/>
  <c r="P1169" i="16"/>
  <c r="H1169" i="9"/>
  <c r="I1169" i="9"/>
  <c r="N1133" i="16"/>
  <c r="O1133" i="16"/>
  <c r="P1133" i="16"/>
  <c r="H1133" i="9"/>
  <c r="I1133" i="9"/>
  <c r="N1073" i="16"/>
  <c r="O1073" i="16"/>
  <c r="P1073" i="16"/>
  <c r="H1073" i="9"/>
  <c r="I1073" i="9"/>
  <c r="T1054" i="16"/>
  <c r="N1179" i="16"/>
  <c r="O1179" i="16"/>
  <c r="P1179" i="16"/>
  <c r="H1179" i="9"/>
  <c r="I1179" i="9"/>
  <c r="H1045" i="9"/>
  <c r="I1045" i="9"/>
  <c r="N1088" i="16"/>
  <c r="O1088" i="16"/>
  <c r="P1088" i="16"/>
  <c r="T1088" i="16"/>
  <c r="O68" i="16"/>
  <c r="N68" i="16"/>
  <c r="N1205" i="16"/>
  <c r="O1205" i="16"/>
  <c r="P1205" i="16"/>
  <c r="H1205" i="9"/>
  <c r="I1205" i="9"/>
  <c r="N1110" i="16"/>
  <c r="O1110" i="16"/>
  <c r="P1110" i="16"/>
  <c r="T1110" i="16"/>
  <c r="O142" i="16"/>
  <c r="N142" i="16"/>
  <c r="N1153" i="16"/>
  <c r="O1153" i="16"/>
  <c r="P1153" i="16"/>
  <c r="T1153" i="16"/>
  <c r="N1090" i="16"/>
  <c r="O1090" i="16"/>
  <c r="P1090" i="16"/>
  <c r="T1090" i="16"/>
  <c r="N1063" i="16"/>
  <c r="O1063" i="16"/>
  <c r="P1063" i="16"/>
  <c r="H1063" i="9"/>
  <c r="I1063" i="9"/>
  <c r="I1080" i="9"/>
  <c r="H1080" i="9"/>
  <c r="O107" i="16"/>
  <c r="N107" i="16"/>
  <c r="I1055" i="9"/>
  <c r="H1055" i="9"/>
  <c r="O195" i="16"/>
  <c r="N195" i="16"/>
  <c r="I1120" i="9"/>
  <c r="H1120" i="9"/>
  <c r="T1032" i="16"/>
  <c r="O21" i="16"/>
  <c r="N21" i="16"/>
  <c r="T1238" i="16"/>
  <c r="O141" i="16"/>
  <c r="N141" i="16"/>
  <c r="T1085" i="16"/>
  <c r="O71" i="16"/>
  <c r="N71" i="16"/>
  <c r="I1136" i="9"/>
  <c r="H1136" i="9"/>
  <c r="O121" i="16"/>
  <c r="N121" i="16"/>
  <c r="O85" i="16"/>
  <c r="N85" i="16"/>
  <c r="T1203" i="16"/>
  <c r="T1221" i="16"/>
  <c r="O135" i="16"/>
  <c r="N135" i="16"/>
  <c r="H1051" i="9"/>
  <c r="I1051" i="9"/>
  <c r="O97" i="16"/>
  <c r="N97" i="16"/>
  <c r="O226" i="16"/>
  <c r="N226" i="16"/>
  <c r="O106" i="16"/>
  <c r="N106" i="16"/>
  <c r="I1095" i="9"/>
  <c r="H1095" i="9"/>
  <c r="T1099" i="16"/>
  <c r="N1075" i="16"/>
  <c r="O1075" i="16"/>
  <c r="P1075" i="16"/>
  <c r="T1075" i="16"/>
  <c r="T1188" i="16"/>
  <c r="N1032" i="16"/>
  <c r="O1032" i="16"/>
  <c r="P1032" i="16"/>
  <c r="H1032" i="9"/>
  <c r="I1032" i="9"/>
  <c r="N1188" i="16"/>
  <c r="O1188" i="16"/>
  <c r="P1188" i="16"/>
  <c r="H1188" i="9"/>
  <c r="I1188" i="9"/>
  <c r="N1238" i="16"/>
  <c r="O1238" i="16"/>
  <c r="P1238" i="16"/>
  <c r="H1238" i="9"/>
  <c r="I1238" i="9"/>
  <c r="T1159" i="16"/>
  <c r="I1031" i="9"/>
  <c r="H1031" i="9"/>
  <c r="O101" i="16"/>
  <c r="N101" i="16"/>
  <c r="T1183" i="16"/>
  <c r="O78" i="16"/>
  <c r="N78" i="16"/>
  <c r="N1085" i="16"/>
  <c r="O1085" i="16"/>
  <c r="P1085" i="16"/>
  <c r="H1085" i="9"/>
  <c r="I1085" i="9"/>
  <c r="O209" i="16"/>
  <c r="N209" i="16"/>
  <c r="I1022" i="9"/>
  <c r="H1022" i="9"/>
  <c r="O66" i="16"/>
  <c r="N66" i="16"/>
  <c r="I1033" i="9"/>
  <c r="H1033" i="9"/>
  <c r="O198" i="16"/>
  <c r="N198" i="16"/>
  <c r="O8" i="16"/>
  <c r="N8" i="16"/>
  <c r="N1040" i="16"/>
  <c r="O1040" i="16"/>
  <c r="P1040" i="16"/>
  <c r="T1040" i="16"/>
  <c r="N1230" i="16"/>
  <c r="O1230" i="16"/>
  <c r="P1230" i="16"/>
  <c r="T1230" i="16"/>
  <c r="N1193" i="16"/>
  <c r="O1193" i="16"/>
  <c r="P1193" i="16"/>
  <c r="T1193" i="16"/>
  <c r="N1058" i="16"/>
  <c r="O1058" i="16"/>
  <c r="P1058" i="16"/>
  <c r="T1058" i="16"/>
  <c r="N1145" i="16"/>
  <c r="O1145" i="16"/>
  <c r="P1145" i="16"/>
  <c r="T1145" i="16"/>
  <c r="T1143" i="16"/>
  <c r="N1066" i="16"/>
  <c r="O1066" i="16"/>
  <c r="P1066" i="16"/>
  <c r="T1066" i="16"/>
  <c r="N1143" i="16"/>
  <c r="O1143" i="16"/>
  <c r="P1143" i="16"/>
  <c r="H1143" i="9"/>
  <c r="I1143" i="9"/>
  <c r="N1211" i="16"/>
  <c r="O1211" i="16"/>
  <c r="P1211" i="16"/>
  <c r="T1211" i="16"/>
  <c r="N1095" i="16"/>
  <c r="O1095" i="16"/>
  <c r="P1095" i="16"/>
  <c r="T1095" i="16"/>
  <c r="O218" i="16"/>
  <c r="N218" i="16"/>
  <c r="I1164" i="9"/>
  <c r="H1164" i="9"/>
  <c r="N1172" i="16"/>
  <c r="O1172" i="16"/>
  <c r="P1172" i="16"/>
  <c r="T1172" i="16"/>
  <c r="N1129" i="16"/>
  <c r="O1129" i="16"/>
  <c r="P1129" i="16"/>
  <c r="T1129" i="16"/>
  <c r="N1177" i="16"/>
  <c r="O1177" i="16"/>
  <c r="P1177" i="16"/>
  <c r="T1177" i="16"/>
  <c r="O182" i="16"/>
  <c r="N182" i="16"/>
  <c r="I1097" i="9"/>
  <c r="H1097" i="9"/>
  <c r="N1168" i="16"/>
  <c r="O1168" i="16"/>
  <c r="P1168" i="16"/>
  <c r="H1168" i="9"/>
  <c r="I1168" i="9"/>
  <c r="N1183" i="16"/>
  <c r="O1183" i="16"/>
  <c r="P1183" i="16"/>
  <c r="H1183" i="9"/>
  <c r="I1183" i="9"/>
  <c r="N1014" i="16"/>
  <c r="O1014" i="16"/>
  <c r="P1014" i="16"/>
  <c r="T1014" i="16"/>
  <c r="N1162" i="16"/>
  <c r="O1162" i="16"/>
  <c r="P1162" i="16"/>
  <c r="T1162" i="16"/>
  <c r="T1049" i="16"/>
  <c r="T1038" i="16"/>
  <c r="O45" i="16"/>
  <c r="N45" i="16"/>
  <c r="O64" i="16"/>
  <c r="N64" i="16"/>
  <c r="N1225" i="16"/>
  <c r="O1225" i="16"/>
  <c r="P1225" i="16"/>
  <c r="T1225" i="16"/>
  <c r="N1017" i="16"/>
  <c r="O1017" i="16"/>
  <c r="P1017" i="16"/>
  <c r="T1017" i="16"/>
  <c r="N1123" i="16"/>
  <c r="O1123" i="16"/>
  <c r="P1123" i="16"/>
  <c r="T1123" i="16"/>
  <c r="N1171" i="16"/>
  <c r="O1171" i="16"/>
  <c r="P1171" i="16"/>
  <c r="H1171" i="9"/>
  <c r="I1171" i="9"/>
  <c r="O41" i="16"/>
  <c r="N41" i="16"/>
  <c r="N1156" i="16"/>
  <c r="O1156" i="16"/>
  <c r="P1156" i="16"/>
  <c r="T1156" i="16"/>
  <c r="N1217" i="16"/>
  <c r="O1217" i="16"/>
  <c r="P1217" i="16"/>
  <c r="T1217" i="16"/>
  <c r="N1223" i="16"/>
  <c r="O1223" i="16"/>
  <c r="P1223" i="16"/>
  <c r="T1223" i="16"/>
  <c r="N1083" i="16"/>
  <c r="O1083" i="16"/>
  <c r="P1083" i="16"/>
  <c r="T1083" i="16"/>
  <c r="N1080" i="16"/>
  <c r="O1080" i="16"/>
  <c r="P1080" i="16"/>
  <c r="T1080" i="16"/>
  <c r="O123" i="16"/>
  <c r="N123" i="16"/>
  <c r="N1209" i="16"/>
  <c r="O1209" i="16"/>
  <c r="P1209" i="16"/>
  <c r="T1209" i="16"/>
  <c r="N1034" i="16"/>
  <c r="O1034" i="16"/>
  <c r="P1034" i="16"/>
  <c r="T1034" i="16"/>
  <c r="N1107" i="16"/>
  <c r="O1107" i="16"/>
  <c r="P1107" i="16"/>
  <c r="T1107" i="16"/>
  <c r="N1041" i="16"/>
  <c r="O1041" i="16"/>
  <c r="P1041" i="16"/>
  <c r="H1041" i="9"/>
  <c r="I1041" i="9"/>
  <c r="N1099" i="16"/>
  <c r="O1099" i="16"/>
  <c r="P1099" i="16"/>
  <c r="H1099" i="9"/>
  <c r="I1099" i="9"/>
  <c r="N1199" i="16"/>
  <c r="O1199" i="16"/>
  <c r="P1199" i="16"/>
  <c r="T1199" i="16"/>
  <c r="O65" i="16"/>
  <c r="N65" i="16"/>
  <c r="O184" i="16"/>
  <c r="N184" i="16"/>
  <c r="N1113" i="16"/>
  <c r="O1113" i="16"/>
  <c r="P1113" i="16"/>
  <c r="T1113" i="16"/>
  <c r="N1136" i="16"/>
  <c r="O1136" i="16"/>
  <c r="P1136" i="16"/>
  <c r="T1136" i="16"/>
  <c r="N1057" i="16"/>
  <c r="O1057" i="16"/>
  <c r="P1057" i="16"/>
  <c r="T1057" i="16"/>
  <c r="O47" i="16"/>
  <c r="N47" i="16"/>
  <c r="N1069" i="16"/>
  <c r="O1069" i="16"/>
  <c r="P1069" i="16"/>
  <c r="H1069" i="9"/>
  <c r="I1069" i="9"/>
  <c r="O67" i="16"/>
  <c r="N67" i="16"/>
  <c r="O128" i="16"/>
  <c r="N128" i="16"/>
  <c r="N1061" i="16"/>
  <c r="O1061" i="16"/>
  <c r="P1061" i="16"/>
  <c r="H1061" i="9"/>
  <c r="I1061" i="9"/>
  <c r="N1109" i="16"/>
  <c r="O1109" i="16"/>
  <c r="P1109" i="16"/>
  <c r="T1109" i="16"/>
  <c r="N1013" i="16"/>
  <c r="O1013" i="16"/>
  <c r="P1013" i="16"/>
  <c r="H1013" i="9"/>
  <c r="I1013" i="9"/>
  <c r="O197" i="16"/>
  <c r="N197" i="16"/>
  <c r="O145" i="16"/>
  <c r="N145" i="16"/>
  <c r="N1052" i="16"/>
  <c r="O1052" i="16"/>
  <c r="P1052" i="16"/>
  <c r="T1052" i="16"/>
  <c r="N842" i="16"/>
  <c r="N845" i="16"/>
  <c r="N1289" i="16"/>
  <c r="N932" i="16"/>
  <c r="N977" i="16"/>
  <c r="N755" i="16"/>
  <c r="N1334" i="16"/>
  <c r="N878" i="16"/>
  <c r="N1283" i="16"/>
  <c r="N992" i="16"/>
  <c r="N701" i="16"/>
  <c r="N1004" i="16"/>
  <c r="N830" i="16"/>
  <c r="N713" i="16"/>
  <c r="N809" i="16"/>
  <c r="N935" i="16"/>
  <c r="N971" i="16"/>
  <c r="N806" i="16"/>
  <c r="N761" i="16"/>
  <c r="N1007" i="16"/>
  <c r="N848" i="16"/>
  <c r="N869" i="16"/>
  <c r="N803" i="16"/>
  <c r="N1328" i="16"/>
  <c r="N794" i="16"/>
  <c r="N698" i="16"/>
  <c r="N764" i="16"/>
  <c r="N902" i="16"/>
  <c r="N1253" i="16"/>
  <c r="N770" i="16"/>
  <c r="N692" i="16"/>
  <c r="N1256" i="16"/>
  <c r="N881" i="16"/>
  <c r="N896" i="16"/>
  <c r="N950" i="16"/>
  <c r="N833" i="16"/>
  <c r="N1337" i="16"/>
  <c r="N1292" i="16"/>
  <c r="N917" i="16"/>
  <c r="N680" i="16"/>
  <c r="N767" i="16"/>
  <c r="N779" i="16"/>
  <c r="N1316" i="16"/>
  <c r="N1280" i="16"/>
  <c r="N818" i="16"/>
  <c r="N788" i="16"/>
  <c r="N941" i="16"/>
  <c r="N1343" i="16"/>
  <c r="N740" i="16"/>
  <c r="N953" i="16"/>
  <c r="N1319" i="16"/>
  <c r="N962" i="16"/>
  <c r="N737" i="16"/>
  <c r="N1313" i="16"/>
  <c r="N1274" i="16"/>
  <c r="N728" i="16"/>
  <c r="N923" i="16"/>
  <c r="N998" i="16"/>
  <c r="N854" i="16"/>
  <c r="N914" i="16"/>
  <c r="N956" i="16"/>
  <c r="N707" i="16"/>
  <c r="N1301" i="16"/>
  <c r="N1340" i="16"/>
  <c r="N851" i="16"/>
  <c r="N1247" i="16"/>
  <c r="N983" i="16"/>
  <c r="N860" i="16"/>
  <c r="N989" i="16"/>
  <c r="N746" i="16"/>
  <c r="N929" i="16"/>
  <c r="N986" i="16"/>
  <c r="N686" i="16"/>
  <c r="N710" i="16"/>
  <c r="N968" i="16"/>
  <c r="N1001" i="16"/>
  <c r="N1322" i="16"/>
  <c r="N800" i="16"/>
  <c r="N677" i="16"/>
  <c r="N1298" i="16"/>
  <c r="N749" i="16"/>
  <c r="N758" i="16"/>
  <c r="N947" i="16"/>
  <c r="N1271" i="16"/>
  <c r="N1346" i="16"/>
  <c r="N857" i="16"/>
  <c r="N824" i="16"/>
  <c r="N1265" i="16"/>
  <c r="N797" i="16"/>
  <c r="N785" i="16"/>
  <c r="N752" i="16"/>
  <c r="N944" i="16"/>
  <c r="N782" i="16"/>
  <c r="N911" i="16"/>
  <c r="N875" i="16"/>
  <c r="N812" i="16"/>
  <c r="N965" i="16"/>
  <c r="N1268" i="16"/>
  <c r="N1286" i="16"/>
  <c r="N1325" i="16"/>
  <c r="N1307" i="16"/>
  <c r="N1010" i="16"/>
  <c r="N1310" i="16"/>
  <c r="N884" i="16"/>
  <c r="N959" i="16"/>
  <c r="N821" i="16"/>
  <c r="N863" i="16"/>
  <c r="N1262" i="16"/>
  <c r="N1244" i="16"/>
  <c r="N1304" i="16"/>
  <c r="N1295" i="16"/>
  <c r="N890" i="16"/>
  <c r="N791" i="16"/>
  <c r="N689" i="16"/>
  <c r="N815" i="16"/>
  <c r="N920" i="16"/>
  <c r="N938" i="16"/>
  <c r="N827" i="16"/>
  <c r="N725" i="16"/>
  <c r="N731" i="16"/>
  <c r="N836" i="16"/>
  <c r="N887" i="16"/>
  <c r="N734" i="16"/>
  <c r="N893" i="16"/>
  <c r="N776" i="16"/>
  <c r="N899" i="16"/>
  <c r="N1250" i="16"/>
  <c r="N704" i="16"/>
  <c r="N1331" i="16"/>
  <c r="N722" i="16"/>
  <c r="N872" i="16"/>
  <c r="N743" i="16"/>
  <c r="N905" i="16"/>
  <c r="N866" i="16"/>
  <c r="N974" i="16"/>
  <c r="N773" i="16"/>
  <c r="N926" i="16"/>
  <c r="N683" i="16"/>
  <c r="N716" i="16"/>
  <c r="N1277" i="16"/>
  <c r="N908" i="16"/>
  <c r="N719" i="16"/>
  <c r="N980" i="16"/>
  <c r="N695" i="16"/>
  <c r="N839" i="16"/>
  <c r="N1259" i="16"/>
  <c r="N995" i="16"/>
  <c r="N1210" i="16"/>
  <c r="O1210" i="16"/>
  <c r="P1210" i="16"/>
  <c r="T1210" i="16"/>
  <c r="O174" i="16"/>
  <c r="N174" i="16"/>
  <c r="N1120" i="16"/>
  <c r="O1120" i="16"/>
  <c r="P1120" i="16"/>
  <c r="T1120" i="16"/>
  <c r="N1218" i="16"/>
  <c r="O1218" i="16"/>
  <c r="P1218" i="16"/>
  <c r="T1218" i="16"/>
  <c r="N1062" i="16"/>
  <c r="O1062" i="16"/>
  <c r="P1062" i="16"/>
  <c r="T1062" i="16"/>
  <c r="H1039" i="9"/>
  <c r="I1039" i="9"/>
  <c r="N1089" i="16"/>
  <c r="O1089" i="16"/>
  <c r="P1089" i="16"/>
  <c r="T1089" i="16"/>
  <c r="T1191" i="16"/>
  <c r="O76" i="16"/>
  <c r="N76" i="16"/>
  <c r="H1012" i="9"/>
  <c r="I1012" i="9"/>
  <c r="N1112" i="16"/>
  <c r="O1112" i="16"/>
  <c r="P1112" i="16"/>
  <c r="H1112" i="9"/>
  <c r="I1112" i="9"/>
  <c r="N1038" i="16"/>
  <c r="O1038" i="16"/>
  <c r="P1038" i="16"/>
  <c r="H1038" i="9"/>
  <c r="I1038" i="9"/>
  <c r="N1203" i="16"/>
  <c r="O1203" i="16"/>
  <c r="P1203" i="16"/>
  <c r="H1203" i="9"/>
  <c r="I1203" i="9"/>
  <c r="N1065" i="16"/>
  <c r="O1065" i="16"/>
  <c r="P1065" i="16"/>
  <c r="T1065" i="16"/>
  <c r="N1195" i="16"/>
  <c r="O1195" i="16"/>
  <c r="P1195" i="16"/>
  <c r="T1195" i="16"/>
  <c r="T1103" i="16"/>
  <c r="O115" i="16"/>
  <c r="N115" i="16"/>
  <c r="T1043" i="16"/>
  <c r="O223" i="16"/>
  <c r="N223" i="16"/>
  <c r="N1093" i="16"/>
  <c r="O1093" i="16"/>
  <c r="P1093" i="16"/>
  <c r="H1093" i="9"/>
  <c r="I1093" i="9"/>
  <c r="T1241" i="16"/>
  <c r="T1216" i="16"/>
  <c r="T1119" i="16"/>
  <c r="O77" i="16"/>
  <c r="N77" i="16"/>
  <c r="O13" i="16"/>
  <c r="N13" i="16"/>
  <c r="O100" i="16"/>
  <c r="N100" i="16"/>
  <c r="I1053" i="9"/>
  <c r="H1053" i="9"/>
  <c r="N1159" i="16"/>
  <c r="O1159" i="16"/>
  <c r="P1159" i="16"/>
  <c r="H1159" i="9"/>
  <c r="I1159" i="9"/>
  <c r="N1160" i="16"/>
  <c r="O1160" i="16"/>
  <c r="P1160" i="16"/>
  <c r="H1160" i="9"/>
  <c r="I1160" i="9"/>
  <c r="N1049" i="16"/>
  <c r="O1049" i="16"/>
  <c r="P1049" i="16"/>
  <c r="H1049" i="9"/>
  <c r="I1049" i="9"/>
  <c r="O93" i="16"/>
  <c r="N93" i="16"/>
  <c r="T1141" i="16"/>
  <c r="N1191" i="16"/>
  <c r="O1191" i="16"/>
  <c r="P1191" i="16"/>
  <c r="H1191" i="9"/>
  <c r="I1191" i="9"/>
  <c r="O83" i="16"/>
  <c r="N83" i="16"/>
  <c r="O171" i="16"/>
  <c r="N171" i="16"/>
  <c r="N1054" i="16"/>
  <c r="O1054" i="16"/>
  <c r="P1054" i="16"/>
  <c r="H1054" i="9"/>
  <c r="I1054" i="9"/>
  <c r="O153" i="16"/>
  <c r="N153" i="16"/>
  <c r="O138" i="16"/>
  <c r="N138" i="16"/>
  <c r="O208" i="16"/>
  <c r="N208" i="16"/>
  <c r="N1221" i="16"/>
  <c r="O1221" i="16"/>
  <c r="P1221" i="16"/>
  <c r="H1221" i="9"/>
  <c r="I1221" i="9"/>
  <c r="N1055" i="16"/>
  <c r="O1055" i="16"/>
  <c r="P1055" i="16"/>
  <c r="T1055" i="16"/>
  <c r="N1101" i="16"/>
  <c r="O1101" i="16"/>
  <c r="P1101" i="16"/>
  <c r="T1101" i="16"/>
  <c r="T1037" i="16"/>
  <c r="T1215" i="16"/>
  <c r="T1161" i="16"/>
  <c r="N1103" i="16"/>
  <c r="O1103" i="16"/>
  <c r="P1103" i="16"/>
  <c r="H1103" i="9"/>
  <c r="I1103" i="9"/>
  <c r="N1043" i="16"/>
  <c r="O1043" i="16"/>
  <c r="P1043" i="16"/>
  <c r="H1043" i="9"/>
  <c r="I1043" i="9"/>
  <c r="T1023" i="16"/>
  <c r="N1241" i="16"/>
  <c r="O1241" i="16"/>
  <c r="P1241" i="16"/>
  <c r="H1241" i="9"/>
  <c r="I1241" i="9"/>
  <c r="O175" i="16"/>
  <c r="N175" i="16"/>
  <c r="N1216" i="16"/>
  <c r="O1216" i="16"/>
  <c r="P1216" i="16"/>
  <c r="H1216" i="9"/>
  <c r="I1216" i="9"/>
  <c r="N1119" i="16"/>
  <c r="O1119" i="16"/>
  <c r="P1119" i="16"/>
  <c r="H1119" i="9"/>
  <c r="I1119" i="9"/>
  <c r="N1215" i="16"/>
  <c r="O1215" i="16"/>
  <c r="P1215" i="16"/>
  <c r="H1215" i="9"/>
  <c r="I1215" i="9"/>
  <c r="T1201" i="16"/>
  <c r="O99" i="16"/>
  <c r="N99" i="16"/>
  <c r="T1180" i="16"/>
  <c r="T1192" i="16"/>
  <c r="O91" i="16"/>
  <c r="N91" i="16"/>
  <c r="O179" i="16"/>
  <c r="N179" i="16"/>
  <c r="O160" i="16"/>
  <c r="N160" i="16"/>
  <c r="N1053" i="16"/>
  <c r="O1053" i="16"/>
  <c r="P1053" i="16"/>
  <c r="T1053" i="16"/>
  <c r="O172" i="16"/>
  <c r="N172" i="16"/>
  <c r="O134" i="16"/>
  <c r="N134" i="16"/>
  <c r="T1155" i="16"/>
  <c r="N1027" i="16"/>
  <c r="O1027" i="16"/>
  <c r="P1027" i="16"/>
  <c r="T1027" i="16"/>
  <c r="H38" i="13"/>
  <c r="N1141" i="16"/>
  <c r="O1141" i="16"/>
  <c r="P1141" i="16"/>
  <c r="H1141" i="9"/>
  <c r="I1141" i="9"/>
  <c r="T1147" i="16"/>
  <c r="T1100" i="16"/>
  <c r="H1018" i="9"/>
  <c r="I1018" i="9"/>
  <c r="N1192" i="16"/>
  <c r="O1192" i="16"/>
  <c r="P1192" i="16"/>
  <c r="H1192" i="9"/>
  <c r="I1192" i="9"/>
  <c r="I1116" i="9"/>
  <c r="H1116" i="9"/>
  <c r="H1021" i="9"/>
  <c r="I1021" i="9"/>
  <c r="O211" i="16"/>
  <c r="N211" i="16"/>
  <c r="T1044" i="16"/>
  <c r="O26" i="16"/>
  <c r="N26" i="16"/>
  <c r="O102" i="16"/>
  <c r="N102" i="16"/>
  <c r="N1025" i="16"/>
  <c r="O1025" i="16"/>
  <c r="P1025" i="16"/>
  <c r="T1025" i="16"/>
  <c r="N1042" i="16"/>
  <c r="O1042" i="16"/>
  <c r="P1042" i="16"/>
  <c r="T1042" i="16"/>
  <c r="H43" i="13"/>
  <c r="N1037" i="16"/>
  <c r="O1037" i="16"/>
  <c r="P1037" i="16"/>
  <c r="H1037" i="9"/>
  <c r="I1037" i="9"/>
  <c r="O120" i="16"/>
  <c r="N120" i="16"/>
  <c r="N1161" i="16"/>
  <c r="O1161" i="16"/>
  <c r="P1161" i="16"/>
  <c r="H1161" i="9"/>
  <c r="I1161" i="9"/>
  <c r="N1164" i="16"/>
  <c r="O1164" i="16"/>
  <c r="P1164" i="16"/>
  <c r="T1164" i="16"/>
  <c r="O162" i="16"/>
  <c r="N162" i="16"/>
  <c r="N1087" i="16"/>
  <c r="O1087" i="16"/>
  <c r="P1087" i="16"/>
  <c r="T1087" i="16"/>
  <c r="O194" i="16"/>
  <c r="N194" i="16"/>
  <c r="N1015" i="16"/>
  <c r="O1015" i="16"/>
  <c r="P1015" i="16"/>
  <c r="T1015" i="16"/>
  <c r="H34" i="13"/>
  <c r="N1023" i="16"/>
  <c r="O1023" i="16"/>
  <c r="P1023" i="16"/>
  <c r="H1023" i="9"/>
  <c r="I1023" i="9"/>
  <c r="O111" i="16"/>
  <c r="N111" i="16"/>
  <c r="O42" i="16"/>
  <c r="N42" i="16"/>
  <c r="N1033" i="16"/>
  <c r="O1033" i="16"/>
  <c r="P1033" i="16"/>
  <c r="T1033" i="16"/>
  <c r="H40" i="13"/>
  <c r="N1097" i="16"/>
  <c r="O1097" i="16"/>
  <c r="P1097" i="16"/>
  <c r="T1097" i="16"/>
  <c r="N1031" i="16"/>
  <c r="O1031" i="16"/>
  <c r="P1031" i="16"/>
  <c r="T1031" i="16"/>
  <c r="O189" i="16"/>
  <c r="N189" i="16"/>
  <c r="N1201" i="16"/>
  <c r="O1201" i="16"/>
  <c r="P1201" i="16"/>
  <c r="H1201" i="9"/>
  <c r="I1201" i="9"/>
  <c r="N1022" i="16"/>
  <c r="O1022" i="16"/>
  <c r="P1022" i="16"/>
  <c r="T1022" i="16"/>
  <c r="N1026" i="16"/>
  <c r="O1026" i="16"/>
  <c r="P1026" i="16"/>
  <c r="T1026" i="16"/>
  <c r="N676" i="16"/>
  <c r="N964" i="16"/>
  <c r="N1324" i="16"/>
  <c r="N868" i="16"/>
  <c r="N946" i="16"/>
  <c r="N919" i="16"/>
  <c r="N862" i="16"/>
  <c r="N856" i="16"/>
  <c r="N1315" i="16"/>
  <c r="N922" i="16"/>
  <c r="N874" i="16"/>
  <c r="N976" i="16"/>
  <c r="N688" i="16"/>
  <c r="N970" i="16"/>
  <c r="N943" i="16"/>
  <c r="N787" i="16"/>
  <c r="N1261" i="16"/>
  <c r="N709" i="16"/>
  <c r="N1267" i="16"/>
  <c r="N1000" i="16"/>
  <c r="N1336" i="16"/>
  <c r="N1264" i="16"/>
  <c r="N793" i="16"/>
  <c r="N859" i="16"/>
  <c r="N934" i="16"/>
  <c r="N784" i="16"/>
  <c r="N817" i="16"/>
  <c r="N910" i="16"/>
  <c r="N790" i="16"/>
  <c r="N796" i="16"/>
  <c r="N838" i="16"/>
  <c r="N907" i="16"/>
  <c r="N913" i="16"/>
  <c r="N718" i="16"/>
  <c r="N1270" i="16"/>
  <c r="N799" i="16"/>
  <c r="N763" i="16"/>
  <c r="N886" i="16"/>
  <c r="N757" i="16"/>
  <c r="N1297" i="16"/>
  <c r="N1303" i="16"/>
  <c r="N808" i="16"/>
  <c r="N754" i="16"/>
  <c r="N1273" i="16"/>
  <c r="N925" i="16"/>
  <c r="N1249" i="16"/>
  <c r="N883" i="16"/>
  <c r="N769" i="16"/>
  <c r="N1309" i="16"/>
  <c r="N982" i="16"/>
  <c r="N1003" i="16"/>
  <c r="N997" i="16"/>
  <c r="N679" i="16"/>
  <c r="N835" i="16"/>
  <c r="N1258" i="16"/>
  <c r="N973" i="16"/>
  <c r="N937" i="16"/>
  <c r="N961" i="16"/>
  <c r="N1327" i="16"/>
  <c r="N1333" i="16"/>
  <c r="N985" i="16"/>
  <c r="N682" i="16"/>
  <c r="N712" i="16"/>
  <c r="N1252" i="16"/>
  <c r="N706" i="16"/>
  <c r="N1282" i="16"/>
  <c r="N880" i="16"/>
  <c r="N979" i="16"/>
  <c r="N1243" i="16"/>
  <c r="N1321" i="16"/>
  <c r="N988" i="16"/>
  <c r="N892" i="16"/>
  <c r="N802" i="16"/>
  <c r="N778" i="16"/>
  <c r="N721" i="16"/>
  <c r="N748" i="16"/>
  <c r="N1330" i="16"/>
  <c r="N766" i="16"/>
  <c r="N736" i="16"/>
  <c r="N775" i="16"/>
  <c r="N1318" i="16"/>
  <c r="N841" i="16"/>
  <c r="N739" i="16"/>
  <c r="N991" i="16"/>
  <c r="N901" i="16"/>
  <c r="N1300" i="16"/>
  <c r="N1342" i="16"/>
  <c r="N1276" i="16"/>
  <c r="N1339" i="16"/>
  <c r="N820" i="16"/>
  <c r="N865" i="16"/>
  <c r="N895" i="16"/>
  <c r="N730" i="16"/>
  <c r="N1006" i="16"/>
  <c r="N847" i="16"/>
  <c r="N1246" i="16"/>
  <c r="N694" i="16"/>
  <c r="N1312" i="16"/>
  <c r="N832" i="16"/>
  <c r="N703" i="16"/>
  <c r="N1009" i="16"/>
  <c r="N1279" i="16"/>
  <c r="N889" i="16"/>
  <c r="N700" i="16"/>
  <c r="N994" i="16"/>
  <c r="N697" i="16"/>
  <c r="N760" i="16"/>
  <c r="N967" i="16"/>
  <c r="N805" i="16"/>
  <c r="N1288" i="16"/>
  <c r="N949" i="16"/>
  <c r="N733" i="16"/>
  <c r="N853" i="16"/>
  <c r="N742" i="16"/>
  <c r="N955" i="16"/>
  <c r="N772" i="16"/>
  <c r="N1285" i="16"/>
  <c r="N829" i="16"/>
  <c r="N1255" i="16"/>
  <c r="N1306" i="16"/>
  <c r="N814" i="16"/>
  <c r="N958" i="16"/>
  <c r="N877" i="16"/>
  <c r="N940" i="16"/>
  <c r="N844" i="16"/>
  <c r="N745" i="16"/>
  <c r="N1345" i="16"/>
  <c r="N826" i="16"/>
  <c r="N823" i="16"/>
  <c r="N928" i="16"/>
  <c r="N871" i="16"/>
  <c r="N898" i="16"/>
  <c r="N715" i="16"/>
  <c r="N1291" i="16"/>
  <c r="N916" i="16"/>
  <c r="N751" i="16"/>
  <c r="N724" i="16"/>
  <c r="N904" i="16"/>
  <c r="N931" i="16"/>
  <c r="N1294" i="16"/>
  <c r="N850" i="16"/>
  <c r="N781" i="16"/>
  <c r="N811" i="16"/>
  <c r="N691" i="16"/>
  <c r="N685" i="16"/>
  <c r="N952" i="16"/>
  <c r="N727" i="16"/>
  <c r="N1180" i="16"/>
  <c r="O1180" i="16"/>
  <c r="P1180" i="16"/>
  <c r="H1180" i="9"/>
  <c r="I1180" i="9"/>
  <c r="N1018" i="16"/>
  <c r="O1018" i="16"/>
  <c r="P1018" i="16"/>
  <c r="T1018" i="16"/>
  <c r="H35" i="13"/>
  <c r="N1116" i="16"/>
  <c r="O1116" i="16"/>
  <c r="P1116" i="16"/>
  <c r="T1116" i="16"/>
  <c r="N1051" i="16"/>
  <c r="O1051" i="16"/>
  <c r="P1051" i="16"/>
  <c r="T1051" i="16"/>
  <c r="H46" i="13"/>
  <c r="N1173" i="16"/>
  <c r="O1173" i="16"/>
  <c r="P1173" i="16"/>
  <c r="T1173" i="16"/>
  <c r="N1155" i="16"/>
  <c r="O1155" i="16"/>
  <c r="P1155" i="16"/>
  <c r="H1155" i="9"/>
  <c r="I1155" i="9"/>
  <c r="N1039" i="16"/>
  <c r="O1039" i="16"/>
  <c r="P1039" i="16"/>
  <c r="T1039" i="16"/>
  <c r="H42" i="13"/>
  <c r="O213" i="16"/>
  <c r="N213" i="16"/>
  <c r="N1030" i="16"/>
  <c r="O1030" i="16"/>
  <c r="P1030" i="16"/>
  <c r="T1030" i="16"/>
  <c r="H39" i="13"/>
  <c r="O22" i="16"/>
  <c r="N22" i="16"/>
  <c r="N1105" i="16"/>
  <c r="O1105" i="16"/>
  <c r="P1105" i="16"/>
  <c r="T1105" i="16"/>
  <c r="N1048" i="16"/>
  <c r="O1048" i="16"/>
  <c r="P1048" i="16"/>
  <c r="T1048" i="16"/>
  <c r="H45" i="13"/>
  <c r="N1072" i="16"/>
  <c r="O1072" i="16"/>
  <c r="P1072" i="16"/>
  <c r="T1072" i="16"/>
  <c r="N1147" i="16"/>
  <c r="O1147" i="16"/>
  <c r="P1147" i="16"/>
  <c r="H1147" i="9"/>
  <c r="I1147" i="9"/>
  <c r="N1036" i="16"/>
  <c r="O1036" i="16"/>
  <c r="P1036" i="16"/>
  <c r="T1036" i="16"/>
  <c r="H41" i="13"/>
  <c r="N1100" i="16"/>
  <c r="O1100" i="16"/>
  <c r="P1100" i="16"/>
  <c r="H1100" i="9"/>
  <c r="I1100" i="9"/>
  <c r="O31" i="16"/>
  <c r="N31" i="16"/>
  <c r="O17" i="16"/>
  <c r="N17" i="16"/>
  <c r="N416" i="16"/>
  <c r="N607" i="16"/>
  <c r="N563" i="16"/>
  <c r="N282" i="16"/>
  <c r="N659" i="16"/>
  <c r="N630" i="16"/>
  <c r="N588" i="16"/>
  <c r="N532" i="16"/>
  <c r="N1311" i="16"/>
  <c r="N645" i="16"/>
  <c r="N729" i="16"/>
  <c r="N813" i="16"/>
  <c r="N499" i="16"/>
  <c r="N445" i="16"/>
  <c r="N261" i="16"/>
  <c r="N587" i="16"/>
  <c r="N341" i="16"/>
  <c r="N759" i="16"/>
  <c r="N361" i="16"/>
  <c r="N342" i="16"/>
  <c r="N617" i="16"/>
  <c r="N383" i="16"/>
  <c r="N291" i="16"/>
  <c r="N461" i="16"/>
  <c r="N330" i="16"/>
  <c r="N268" i="16"/>
  <c r="N343" i="16"/>
  <c r="N411" i="16"/>
  <c r="N633" i="16"/>
  <c r="N304" i="16"/>
  <c r="N377" i="16"/>
  <c r="N580" i="16"/>
  <c r="N602" i="16"/>
  <c r="N664" i="16"/>
  <c r="N350" i="16"/>
  <c r="N561" i="16"/>
  <c r="N460" i="16"/>
  <c r="N508" i="16"/>
  <c r="N391" i="16"/>
  <c r="N1275" i="16"/>
  <c r="N322" i="16"/>
  <c r="N960" i="16"/>
  <c r="N510" i="16"/>
  <c r="N558" i="16"/>
  <c r="N314" i="16"/>
  <c r="N412" i="16"/>
  <c r="N472" i="16"/>
  <c r="N506" i="16"/>
  <c r="N609" i="16"/>
  <c r="N708" i="16"/>
  <c r="N525" i="16"/>
  <c r="N550" i="16"/>
  <c r="N1305" i="16"/>
  <c r="N286" i="16"/>
  <c r="N999" i="16"/>
  <c r="N1002" i="16"/>
  <c r="N646" i="16"/>
  <c r="N235" i="16"/>
  <c r="N247" i="16"/>
  <c r="N312" i="16"/>
  <c r="N768" i="16"/>
  <c r="N551" i="16"/>
  <c r="N804" i="16"/>
  <c r="N539" i="16"/>
  <c r="N494" i="16"/>
  <c r="N649" i="16"/>
  <c r="N1278" i="16"/>
  <c r="N553" i="16"/>
  <c r="N258" i="16"/>
  <c r="N336" i="16"/>
  <c r="N822" i="16"/>
  <c r="N577" i="16"/>
  <c r="N420" i="16"/>
  <c r="N447" i="16"/>
  <c r="N257" i="16"/>
  <c r="N358" i="16"/>
  <c r="N522" i="16"/>
  <c r="N433" i="16"/>
  <c r="N477" i="16"/>
  <c r="N521" i="16"/>
  <c r="N828" i="16"/>
  <c r="N1329" i="16"/>
  <c r="N276" i="16"/>
  <c r="N318" i="16"/>
  <c r="N1245" i="16"/>
  <c r="N690" i="16"/>
  <c r="N636" i="16"/>
  <c r="N392" i="16"/>
  <c r="N810" i="16"/>
  <c r="N678" i="16"/>
  <c r="N594" i="16"/>
  <c r="N1314" i="16"/>
  <c r="N320" i="16"/>
  <c r="N401" i="16"/>
  <c r="N581" i="16"/>
  <c r="N921" i="16"/>
  <c r="N316" i="16"/>
  <c r="N482" i="16"/>
  <c r="N368" i="16"/>
  <c r="N402" i="16"/>
  <c r="N335" i="16"/>
  <c r="N765" i="16"/>
  <c r="N536" i="16"/>
  <c r="N485" i="16"/>
  <c r="N285" i="16"/>
  <c r="N1005" i="16"/>
  <c r="N1011" i="16"/>
  <c r="N332" i="16"/>
  <c r="N492" i="16"/>
  <c r="N557" i="16"/>
  <c r="N891" i="16"/>
  <c r="N279" i="16"/>
  <c r="N408" i="16"/>
  <c r="N293" i="16"/>
  <c r="N324" i="16"/>
  <c r="N903" i="16"/>
  <c r="N665" i="16"/>
  <c r="N511" i="16"/>
  <c r="N489" i="16"/>
  <c r="N614" i="16"/>
  <c r="N735" i="16"/>
  <c r="N1323" i="16"/>
  <c r="N399" i="16"/>
  <c r="N560" i="16"/>
  <c r="N1335" i="16"/>
  <c r="N533" i="16"/>
  <c r="N527" i="16"/>
  <c r="N632" i="16"/>
  <c r="N375" i="16"/>
  <c r="N283" i="16"/>
  <c r="N459" i="16"/>
  <c r="N1248" i="16"/>
  <c r="N548" i="16"/>
  <c r="N448" i="16"/>
  <c r="N1293" i="16"/>
  <c r="N582" i="16"/>
  <c r="N346" i="16"/>
  <c r="N297" i="16"/>
  <c r="N515" i="16"/>
  <c r="N415" i="16"/>
  <c r="N254" i="16"/>
  <c r="N540" i="16"/>
  <c r="N288" i="16"/>
  <c r="N647" i="16"/>
  <c r="N634" i="16"/>
  <c r="N302" i="16"/>
  <c r="N789" i="16"/>
  <c r="N906" i="16"/>
  <c r="N260" i="16"/>
  <c r="N443" i="16"/>
  <c r="N849" i="16"/>
  <c r="N1317" i="16"/>
  <c r="N798" i="16"/>
  <c r="N248" i="16"/>
  <c r="N807" i="16"/>
  <c r="N948" i="16"/>
  <c r="N538" i="16"/>
  <c r="N373" i="16"/>
  <c r="N504" i="16"/>
  <c r="N387" i="16"/>
  <c r="N449" i="16"/>
  <c r="N517" i="16"/>
  <c r="N753" i="16"/>
  <c r="N396" i="16"/>
  <c r="N858" i="16"/>
  <c r="N266" i="16"/>
  <c r="N547" i="16"/>
  <c r="N441" i="16"/>
  <c r="N623" i="16"/>
  <c r="N1260" i="16"/>
  <c r="N933" i="16"/>
  <c r="N301" i="16"/>
  <c r="N509" i="16"/>
  <c r="N888" i="16"/>
  <c r="N635" i="16"/>
  <c r="N359" i="16"/>
  <c r="N783" i="16"/>
  <c r="N470" i="16"/>
  <c r="N549" i="16"/>
  <c r="N1320" i="16"/>
  <c r="N741" i="16"/>
  <c r="N918" i="16"/>
  <c r="N592" i="16"/>
  <c r="N641" i="16"/>
  <c r="N723" i="16"/>
  <c r="N308" i="16"/>
  <c r="N292" i="16"/>
  <c r="N462" i="16"/>
  <c r="N658" i="16"/>
  <c r="N627" i="16"/>
  <c r="N242" i="16"/>
  <c r="N502" i="16"/>
  <c r="N546" i="16"/>
  <c r="N969" i="16"/>
  <c r="N600" i="16"/>
  <c r="N442" i="16"/>
  <c r="N294" i="16"/>
  <c r="N750" i="16"/>
  <c r="N344" i="16"/>
  <c r="N491" i="16"/>
  <c r="N495" i="16"/>
  <c r="N543" i="16"/>
  <c r="N1347" i="16"/>
  <c r="N840" i="16"/>
  <c r="N927" i="16"/>
  <c r="N514" i="16"/>
  <c r="N409" i="16"/>
  <c r="N439" i="16"/>
  <c r="N249" i="16"/>
  <c r="N284" i="16"/>
  <c r="N819" i="16"/>
  <c r="N334" i="16"/>
  <c r="N263" i="16"/>
  <c r="N1326" i="16"/>
  <c r="N354" i="16"/>
  <c r="N385" i="16"/>
  <c r="N909" i="16"/>
  <c r="N597" i="16"/>
  <c r="N606" i="16"/>
  <c r="N333" i="16"/>
  <c r="N290" i="16"/>
  <c r="N349" i="16"/>
  <c r="N241" i="16"/>
  <c r="N652" i="16"/>
  <c r="N371" i="16"/>
  <c r="N720" i="16"/>
  <c r="N882" i="16"/>
  <c r="N541" i="16"/>
  <c r="N951" i="16"/>
  <c r="N397" i="16"/>
  <c r="N867" i="16"/>
  <c r="N484" i="16"/>
  <c r="N240" i="16"/>
  <c r="N1296" i="16"/>
  <c r="N669" i="16"/>
  <c r="N366" i="16"/>
  <c r="N467" i="16"/>
  <c r="N642" i="16"/>
  <c r="N915" i="16"/>
  <c r="N654" i="16"/>
  <c r="N608" i="16"/>
  <c r="N394" i="16"/>
  <c r="N576" i="16"/>
  <c r="N667" i="16"/>
  <c r="N870" i="16"/>
  <c r="N280" i="16"/>
  <c r="N493" i="16"/>
  <c r="N876" i="16"/>
  <c r="N1299" i="16"/>
  <c r="N379" i="16"/>
  <c r="N897" i="16"/>
  <c r="N966" i="16"/>
  <c r="N663" i="16"/>
  <c r="N684" i="16"/>
  <c r="N930" i="16"/>
  <c r="N621" i="16"/>
  <c r="N593" i="16"/>
  <c r="N386" i="16"/>
  <c r="N367" i="16"/>
  <c r="N631" i="16"/>
  <c r="N648" i="16"/>
  <c r="N305" i="16"/>
  <c r="N389" i="16"/>
  <c r="N400" i="16"/>
  <c r="N429" i="16"/>
  <c r="N535" i="16"/>
  <c r="N626" i="16"/>
  <c r="N660" i="16"/>
  <c r="N418" i="16"/>
  <c r="N570" i="16"/>
  <c r="N423" i="16"/>
  <c r="N273" i="16"/>
  <c r="N512" i="16"/>
  <c r="N1338" i="16"/>
  <c r="N702" i="16"/>
  <c r="N873" i="16"/>
  <c r="N357" i="16"/>
  <c r="N624" i="16"/>
  <c r="N440" i="16"/>
  <c r="N434" i="16"/>
  <c r="N505" i="16"/>
  <c r="N717" i="16"/>
  <c r="N269" i="16"/>
  <c r="N338" i="16"/>
  <c r="N629" i="16"/>
  <c r="N611" i="16"/>
  <c r="N590" i="16"/>
  <c r="N662" i="16"/>
  <c r="N578" i="16"/>
  <c r="N388" i="16"/>
  <c r="N668" i="16"/>
  <c r="N528" i="16"/>
  <c r="N579" i="16"/>
  <c r="N780" i="16"/>
  <c r="N518" i="16"/>
  <c r="N310" i="16"/>
  <c r="N598" i="16"/>
  <c r="N262" i="16"/>
  <c r="N651" i="16"/>
  <c r="N473" i="16"/>
  <c r="N555" i="16"/>
  <c r="N786" i="16"/>
  <c r="N622" i="16"/>
  <c r="N1257" i="16"/>
  <c r="N450" i="16"/>
  <c r="N345" i="16"/>
  <c r="N595" i="16"/>
  <c r="N465" i="16"/>
  <c r="N990" i="16"/>
  <c r="N256" i="16"/>
  <c r="N762" i="16"/>
  <c r="N395" i="16"/>
  <c r="N393" i="16"/>
  <c r="N446" i="16"/>
  <c r="N655" i="16"/>
  <c r="N534" i="16"/>
  <c r="N437" i="16"/>
  <c r="N238" i="16"/>
  <c r="N552" i="16"/>
  <c r="N975" i="16"/>
  <c r="N455" i="16"/>
  <c r="N360" i="16"/>
  <c r="N265" i="16"/>
  <c r="N315" i="16"/>
  <c r="N426" i="16"/>
  <c r="N586" i="16"/>
  <c r="N376" i="16"/>
  <c r="N1284" i="16"/>
  <c r="N501" i="16"/>
  <c r="N454" i="16"/>
  <c r="N255" i="16"/>
  <c r="N281" i="16"/>
  <c r="N236" i="16"/>
  <c r="N656" i="16"/>
  <c r="N250" i="16"/>
  <c r="N894" i="16"/>
  <c r="N424" i="16"/>
  <c r="N480" i="16"/>
  <c r="N287" i="16"/>
  <c r="N1281" i="16"/>
  <c r="N246" i="16"/>
  <c r="N1332" i="16"/>
  <c r="N834" i="16"/>
  <c r="N670" i="16"/>
  <c r="N564" i="16"/>
  <c r="N531" i="16"/>
  <c r="N340" i="16"/>
  <c r="N337" i="16"/>
  <c r="N756" i="16"/>
  <c r="N537" i="16"/>
  <c r="N942" i="16"/>
  <c r="N714" i="16"/>
  <c r="N435" i="16"/>
  <c r="N251" i="16"/>
  <c r="N270" i="16"/>
  <c r="N589" i="16"/>
  <c r="N329" i="16"/>
  <c r="N430" i="16"/>
  <c r="N407" i="16"/>
  <c r="N428" i="16"/>
  <c r="N963" i="16"/>
  <c r="N610" i="16"/>
  <c r="N1272" i="16"/>
  <c r="N295" i="16"/>
  <c r="N275" i="16"/>
  <c r="N474" i="16"/>
  <c r="N675" i="16"/>
  <c r="N479" i="16"/>
  <c r="N852" i="16"/>
  <c r="N243" i="16"/>
  <c r="N299" i="16"/>
  <c r="N584" i="16"/>
  <c r="N405" i="16"/>
  <c r="N996" i="16"/>
  <c r="N825" i="16"/>
  <c r="N616" i="16"/>
  <c r="N309" i="16"/>
  <c r="N939" i="16"/>
  <c r="N252" i="16"/>
  <c r="N364" i="16"/>
  <c r="N681" i="16"/>
  <c r="N468" i="16"/>
  <c r="N436" i="16"/>
  <c r="N612" i="16"/>
  <c r="N644" i="16"/>
  <c r="N362" i="16"/>
  <c r="N639" i="16"/>
  <c r="N427" i="16"/>
  <c r="N481" i="16"/>
  <c r="N620" i="16"/>
  <c r="N452" i="16"/>
  <c r="N475" i="16"/>
  <c r="N413" i="16"/>
  <c r="N855" i="16"/>
  <c r="N945" i="16"/>
  <c r="N425" i="16"/>
  <c r="N523" i="16"/>
  <c r="N556" i="16"/>
  <c r="N599" i="16"/>
  <c r="N774" i="16"/>
  <c r="N1269" i="16"/>
  <c r="N414" i="16"/>
  <c r="N272" i="16"/>
  <c r="N453" i="16"/>
  <c r="N1263" i="16"/>
  <c r="N972" i="16"/>
  <c r="N615" i="16"/>
  <c r="N885" i="16"/>
  <c r="N307" i="16"/>
  <c r="N422" i="16"/>
  <c r="N520" i="16"/>
  <c r="N380" i="16"/>
  <c r="N253" i="16"/>
  <c r="N861" i="16"/>
  <c r="N864" i="16"/>
  <c r="N519" i="16"/>
  <c r="N666" i="16"/>
  <c r="N264" i="16"/>
  <c r="N661" i="16"/>
  <c r="N398" i="16"/>
  <c r="N303" i="16"/>
  <c r="N271" i="16"/>
  <c r="N726" i="16"/>
  <c r="N1266" i="16"/>
  <c r="N687" i="16"/>
  <c r="N513" i="16"/>
  <c r="N544" i="16"/>
  <c r="N497" i="16"/>
  <c r="N613" i="16"/>
  <c r="N987" i="16"/>
  <c r="N699" i="16"/>
  <c r="N278" i="16"/>
  <c r="N456" i="16"/>
  <c r="N583" i="16"/>
  <c r="N476" i="16"/>
  <c r="N574" i="16"/>
  <c r="N603" i="16"/>
  <c r="N431" i="16"/>
  <c r="N954" i="16"/>
  <c r="N628" i="16"/>
  <c r="N530" i="16"/>
  <c r="N328" i="16"/>
  <c r="N370" i="16"/>
  <c r="N274" i="16"/>
  <c r="N339" i="16"/>
  <c r="N326" i="16"/>
  <c r="N466" i="16"/>
  <c r="N575" i="16"/>
  <c r="N696" i="16"/>
  <c r="N384" i="16"/>
  <c r="N562" i="16"/>
  <c r="N487" i="16"/>
  <c r="N289" i="16"/>
  <c r="N503" i="16"/>
  <c r="N732" i="16"/>
  <c r="N601" i="16"/>
  <c r="N381" i="16"/>
  <c r="N374" i="16"/>
  <c r="N351" i="16"/>
  <c r="N653" i="16"/>
  <c r="N569" i="16"/>
  <c r="N573" i="16"/>
  <c r="N486" i="16"/>
  <c r="N469" i="16"/>
  <c r="N744" i="16"/>
  <c r="N463" i="16"/>
  <c r="N771" i="16"/>
  <c r="N605" i="16"/>
  <c r="N637" i="16"/>
  <c r="N267" i="16"/>
  <c r="N831" i="16"/>
  <c r="N451" i="16"/>
  <c r="N410" i="16"/>
  <c r="N1344" i="16"/>
  <c r="N347" i="16"/>
  <c r="N471" i="16"/>
  <c r="N353" i="16"/>
  <c r="N566" i="16"/>
  <c r="N738" i="16"/>
  <c r="N816" i="16"/>
  <c r="N643" i="16"/>
  <c r="N444" i="16"/>
  <c r="N382" i="16"/>
  <c r="N458" i="16"/>
  <c r="N239" i="16"/>
  <c r="N498" i="16"/>
  <c r="N421" i="16"/>
  <c r="N457" i="16"/>
  <c r="N300" i="16"/>
  <c r="N363" i="16"/>
  <c r="N404" i="16"/>
  <c r="N693" i="16"/>
  <c r="N313" i="16"/>
  <c r="N348" i="16"/>
  <c r="N604" i="16"/>
  <c r="N1287" i="16"/>
  <c r="N500" i="16"/>
  <c r="N572" i="16"/>
  <c r="N432" i="16"/>
  <c r="N478" i="16"/>
  <c r="N705" i="16"/>
  <c r="N673" i="16"/>
  <c r="N625" i="16"/>
  <c r="N542" i="16"/>
  <c r="N419" i="16"/>
  <c r="N325" i="16"/>
  <c r="N490" i="16"/>
  <c r="N657" i="16"/>
  <c r="N323" i="16"/>
  <c r="N674" i="16"/>
  <c r="N259" i="16"/>
  <c r="N378" i="16"/>
  <c r="N417" i="16"/>
  <c r="N585" i="16"/>
  <c r="N936" i="16"/>
  <c r="N234" i="16"/>
  <c r="N711" i="16"/>
  <c r="N327" i="16"/>
  <c r="N801" i="16"/>
  <c r="N672" i="16"/>
  <c r="N319" i="16"/>
  <c r="N1341" i="16"/>
  <c r="N406" i="16"/>
  <c r="N981" i="16"/>
  <c r="N464" i="16"/>
  <c r="N317" i="16"/>
  <c r="N846" i="16"/>
  <c r="N1302" i="16"/>
  <c r="N277" i="16"/>
  <c r="N516" i="16"/>
  <c r="N1008" i="16"/>
  <c r="N488" i="16"/>
  <c r="N296" i="16"/>
  <c r="N900" i="16"/>
  <c r="N483" i="16"/>
  <c r="N619" i="16"/>
  <c r="N671" i="16"/>
  <c r="N843" i="16"/>
  <c r="N545" i="16"/>
  <c r="N777" i="16"/>
  <c r="N879" i="16"/>
  <c r="N640" i="16"/>
  <c r="N529" i="16"/>
  <c r="N568" i="16"/>
  <c r="N245" i="16"/>
  <c r="N298" i="16"/>
  <c r="N1290" i="16"/>
  <c r="N978" i="16"/>
  <c r="N650" i="16"/>
  <c r="N638" i="16"/>
  <c r="N591" i="16"/>
  <c r="N438" i="16"/>
  <c r="N331" i="16"/>
  <c r="N912" i="16"/>
  <c r="N372" i="16"/>
  <c r="N618" i="16"/>
  <c r="N352" i="16"/>
  <c r="N507" i="16"/>
  <c r="N306" i="16"/>
  <c r="N984" i="16"/>
  <c r="N567" i="16"/>
  <c r="N403" i="16"/>
  <c r="N356" i="16"/>
  <c r="N369" i="16"/>
  <c r="N496" i="16"/>
  <c r="N321" i="16"/>
  <c r="N924" i="16"/>
  <c r="N311" i="16"/>
  <c r="N837" i="16"/>
  <c r="N1254" i="16"/>
  <c r="N244" i="16"/>
  <c r="N526" i="16"/>
  <c r="N365" i="16"/>
  <c r="N355" i="16"/>
  <c r="N957" i="16"/>
  <c r="N565" i="16"/>
  <c r="N233" i="16"/>
  <c r="N237" i="16"/>
  <c r="N596" i="16"/>
  <c r="N1251" i="16"/>
  <c r="N559" i="16"/>
  <c r="N747" i="16"/>
  <c r="N1308" i="16"/>
  <c r="N390" i="16"/>
  <c r="N792" i="16"/>
  <c r="N554" i="16"/>
  <c r="N571" i="16"/>
  <c r="N993" i="16"/>
  <c r="N795" i="16"/>
  <c r="N524" i="16"/>
  <c r="N1045" i="16"/>
  <c r="O1045" i="16"/>
  <c r="P1045" i="16"/>
  <c r="T1045" i="16"/>
  <c r="H44" i="13"/>
  <c r="N40" i="16"/>
  <c r="O40" i="16"/>
  <c r="N1024" i="16"/>
  <c r="O1024" i="16"/>
  <c r="P1024" i="16"/>
  <c r="T1024" i="16"/>
  <c r="H37" i="13"/>
  <c r="N219" i="16"/>
  <c r="O219" i="16"/>
  <c r="N1021" i="16"/>
  <c r="O1021" i="16"/>
  <c r="P1021" i="16"/>
  <c r="T1021" i="16"/>
  <c r="H36" i="13"/>
  <c r="N146" i="16"/>
  <c r="O146" i="16"/>
  <c r="N1012" i="16"/>
  <c r="O1012" i="16"/>
  <c r="P1012" i="16"/>
  <c r="T1012" i="16"/>
  <c r="H33" i="13"/>
  <c r="N1044" i="16"/>
  <c r="O1044" i="16"/>
  <c r="P1044" i="16"/>
  <c r="H1044" i="9"/>
  <c r="I1044" i="9"/>
  <c r="H47" i="13" l="1"/>
  <c r="H49" i="13" l="1"/>
  <c r="H7" i="13" l="1"/>
  <c r="AE2" i="15"/>
  <c r="O2" i="7" s="1"/>
  <c r="T2" i="15"/>
  <c r="AD2" i="15" s="1"/>
  <c r="AF2" i="15"/>
  <c r="P2" i="7" s="1"/>
  <c r="AD75" i="15"/>
  <c r="T75" i="15"/>
  <c r="S78" i="7"/>
  <c r="R78" i="7"/>
  <c r="AH78" i="15"/>
  <c r="AD21" i="15"/>
  <c r="T21" i="15"/>
  <c r="O43" i="7"/>
  <c r="AE43" i="15"/>
  <c r="S126" i="7"/>
  <c r="R126" i="7"/>
  <c r="AH126" i="15"/>
  <c r="O13" i="7"/>
  <c r="AE13" i="15"/>
  <c r="S49" i="7"/>
  <c r="R49" i="7"/>
  <c r="AH49" i="15"/>
  <c r="O58" i="7"/>
  <c r="AE58" i="15"/>
  <c r="S168" i="7"/>
  <c r="R168" i="7"/>
  <c r="AH168" i="15"/>
  <c r="O158" i="7"/>
  <c r="AE158" i="15"/>
  <c r="O153" i="7"/>
  <c r="AE153" i="15"/>
  <c r="AD132" i="15"/>
  <c r="T132" i="15"/>
  <c r="AD172" i="15"/>
  <c r="T172" i="15"/>
  <c r="AD35" i="15"/>
  <c r="T35" i="15"/>
  <c r="AD46" i="15"/>
  <c r="T46" i="15"/>
  <c r="AD99" i="15"/>
  <c r="T99" i="15"/>
  <c r="AD31" i="15"/>
  <c r="T31" i="15"/>
  <c r="AD98" i="15"/>
  <c r="T98" i="15"/>
  <c r="S72" i="7"/>
  <c r="R72" i="7"/>
  <c r="AH72" i="15"/>
  <c r="AD68" i="15"/>
  <c r="T68" i="15"/>
  <c r="O86" i="7"/>
  <c r="AE86" i="15"/>
  <c r="O125" i="7"/>
  <c r="AE125" i="15"/>
  <c r="S57" i="7"/>
  <c r="R57" i="7"/>
  <c r="AH57" i="15"/>
  <c r="O127" i="7"/>
  <c r="AE127" i="15"/>
  <c r="AD123" i="15"/>
  <c r="T123" i="15"/>
  <c r="O3" i="7"/>
  <c r="AE3" i="15"/>
  <c r="S142" i="7"/>
  <c r="R142" i="7"/>
  <c r="AH142" i="15"/>
  <c r="O102" i="7"/>
  <c r="AE102" i="15"/>
  <c r="AD128" i="15"/>
  <c r="T128" i="15"/>
  <c r="P159" i="7"/>
  <c r="AD36" i="15"/>
  <c r="T36" i="15"/>
  <c r="AD133" i="15"/>
  <c r="T133" i="15"/>
  <c r="O140" i="7"/>
  <c r="AE140" i="15"/>
  <c r="AD170" i="15"/>
  <c r="T170" i="15"/>
  <c r="AH79" i="15"/>
  <c r="R79" i="7"/>
  <c r="S79" i="7"/>
  <c r="AD10" i="15"/>
  <c r="T10" i="15"/>
  <c r="P73" i="7"/>
  <c r="AD138" i="15"/>
  <c r="T138" i="15"/>
  <c r="AD171" i="15"/>
  <c r="T171" i="15"/>
  <c r="S117" i="7"/>
  <c r="R117" i="7"/>
  <c r="AH117" i="15"/>
  <c r="O148" i="7"/>
  <c r="AE148" i="15"/>
  <c r="O62" i="7"/>
  <c r="AE62" i="15"/>
  <c r="AD173" i="15"/>
  <c r="T173" i="15"/>
  <c r="O87" i="7"/>
  <c r="AE87" i="15"/>
  <c r="O101" i="7"/>
  <c r="AE101" i="15"/>
  <c r="S42" i="7"/>
  <c r="R42" i="7"/>
  <c r="AH42" i="15"/>
  <c r="O28" i="7"/>
  <c r="AE28" i="15"/>
  <c r="AD163" i="15"/>
  <c r="T163" i="15"/>
  <c r="AD20" i="15"/>
  <c r="T20" i="15"/>
  <c r="S169" i="7"/>
  <c r="R169" i="7"/>
  <c r="AH169" i="15"/>
  <c r="O135" i="7"/>
  <c r="AE135" i="15"/>
  <c r="AD22" i="15"/>
  <c r="T22" i="15"/>
  <c r="O26" i="7"/>
  <c r="AE26" i="15"/>
  <c r="S86" i="7"/>
  <c r="R86" i="7"/>
  <c r="AH86" i="15"/>
  <c r="S153" i="7"/>
  <c r="R153" i="7"/>
  <c r="AH153" i="15"/>
  <c r="O41" i="7"/>
  <c r="AE41" i="15"/>
  <c r="AH28" i="15"/>
  <c r="R28" i="7"/>
  <c r="S28" i="7"/>
  <c r="O47" i="7"/>
  <c r="AE47" i="15"/>
  <c r="S109" i="7"/>
  <c r="R109" i="7"/>
  <c r="AH109" i="15"/>
  <c r="AD137" i="15"/>
  <c r="T137" i="15"/>
  <c r="S108" i="7"/>
  <c r="R108" i="7"/>
  <c r="AH108" i="15"/>
  <c r="O73" i="7"/>
  <c r="AE73" i="15"/>
  <c r="AD124" i="15"/>
  <c r="T124" i="15"/>
  <c r="O109" i="7"/>
  <c r="AE109" i="15"/>
  <c r="AD82" i="15"/>
  <c r="T82" i="15"/>
  <c r="AD166" i="15"/>
  <c r="T166" i="15"/>
  <c r="AD89" i="15"/>
  <c r="T89" i="15"/>
  <c r="S27" i="7"/>
  <c r="R27" i="7"/>
  <c r="AH27" i="15"/>
  <c r="S63" i="7"/>
  <c r="R63" i="7"/>
  <c r="AH63" i="15"/>
  <c r="O33" i="7"/>
  <c r="AE33" i="15"/>
  <c r="AH26" i="15"/>
  <c r="R26" i="7"/>
  <c r="S26" i="7"/>
  <c r="P64" i="7"/>
  <c r="AD54" i="15"/>
  <c r="T54" i="15"/>
  <c r="S4" i="7"/>
  <c r="AF169" i="15"/>
  <c r="P169" i="7"/>
  <c r="AD55" i="15"/>
  <c r="T55" i="15"/>
  <c r="AD6" i="15"/>
  <c r="T6" i="15"/>
  <c r="O34" i="7"/>
  <c r="AE34" i="15"/>
  <c r="T109" i="15"/>
  <c r="AD109" i="15"/>
  <c r="AF109" i="15"/>
  <c r="P109" i="7"/>
  <c r="S146" i="7"/>
  <c r="AD150" i="15"/>
  <c r="T150" i="15"/>
  <c r="S107" i="7"/>
  <c r="S148" i="7"/>
  <c r="R148" i="7"/>
  <c r="AH148" i="15"/>
  <c r="AD51" i="15"/>
  <c r="T51" i="15"/>
  <c r="AD156" i="15"/>
  <c r="T156" i="15"/>
  <c r="S71" i="7"/>
  <c r="R71" i="7"/>
  <c r="AH71" i="15"/>
  <c r="AD53" i="15"/>
  <c r="T53" i="15"/>
  <c r="S160" i="7"/>
  <c r="R160" i="7"/>
  <c r="AH160" i="15"/>
  <c r="O79" i="7"/>
  <c r="AE79" i="15"/>
  <c r="S41" i="7"/>
  <c r="R41" i="7"/>
  <c r="AH41" i="15"/>
  <c r="E37" i="13"/>
  <c r="I37" i="13" s="1"/>
  <c r="AD14" i="15"/>
  <c r="T14" i="15"/>
  <c r="O168" i="7"/>
  <c r="AE168" i="15"/>
  <c r="O107" i="7"/>
  <c r="AE107" i="15"/>
  <c r="AE94" i="15"/>
  <c r="O94" i="7"/>
  <c r="P88" i="7"/>
  <c r="AD24" i="15"/>
  <c r="T24" i="15"/>
  <c r="AD91" i="15"/>
  <c r="T91" i="15"/>
  <c r="AD174" i="15"/>
  <c r="T174" i="15"/>
  <c r="P135" i="7"/>
  <c r="AD39" i="15"/>
  <c r="T39" i="15"/>
  <c r="AD112" i="15"/>
  <c r="T112" i="15"/>
  <c r="S147" i="7"/>
  <c r="R147" i="7"/>
  <c r="AH147" i="15"/>
  <c r="S152" i="7"/>
  <c r="R152" i="7"/>
  <c r="AH152" i="15"/>
  <c r="AE64" i="15"/>
  <c r="O64" i="7"/>
  <c r="AH4" i="15"/>
  <c r="R4" i="7"/>
  <c r="R4" i="16"/>
  <c r="N2" i="16" s="1"/>
  <c r="T28" i="15"/>
  <c r="AD28" i="15"/>
  <c r="AF28" i="15"/>
  <c r="P28" i="7"/>
  <c r="T26" i="15"/>
  <c r="AD26" i="15"/>
  <c r="AF26" i="15"/>
  <c r="P26" i="7"/>
  <c r="AH62" i="15"/>
  <c r="R62" i="7"/>
  <c r="S62" i="7"/>
  <c r="AD161" i="15"/>
  <c r="T161" i="15"/>
  <c r="AD90" i="15"/>
  <c r="T90" i="15"/>
  <c r="AH146" i="15"/>
  <c r="R146" i="7"/>
  <c r="E44" i="13"/>
  <c r="AH56" i="15"/>
  <c r="R56" i="7"/>
  <c r="S56" i="7"/>
  <c r="AH154" i="15"/>
  <c r="R154" i="7"/>
  <c r="S154" i="7"/>
  <c r="AE48" i="15"/>
  <c r="O48" i="7"/>
  <c r="AD130" i="15"/>
  <c r="T130" i="15"/>
  <c r="AE19" i="15"/>
  <c r="O19" i="7"/>
  <c r="S103" i="7"/>
  <c r="R103" i="7"/>
  <c r="AH103" i="15"/>
  <c r="AD97" i="15"/>
  <c r="T97" i="15"/>
  <c r="AD74" i="15"/>
  <c r="T74" i="15"/>
  <c r="S47" i="7"/>
  <c r="S34" i="7"/>
  <c r="R34" i="7"/>
  <c r="AH34" i="15"/>
  <c r="AH13" i="15"/>
  <c r="R13" i="7"/>
  <c r="S13" i="7"/>
  <c r="AD175" i="15"/>
  <c r="T175" i="15"/>
  <c r="AD29" i="15"/>
  <c r="T29" i="15"/>
  <c r="O126" i="7"/>
  <c r="AE126" i="15"/>
  <c r="AE27" i="15"/>
  <c r="O27" i="7"/>
  <c r="T27" i="15"/>
  <c r="AD27" i="15"/>
  <c r="AF27" i="15"/>
  <c r="P27" i="7"/>
  <c r="T153" i="15"/>
  <c r="AD153" i="15"/>
  <c r="AF153" i="15"/>
  <c r="P153" i="7"/>
  <c r="AE32" i="15"/>
  <c r="O32" i="7"/>
  <c r="AD44" i="15"/>
  <c r="T44" i="15"/>
  <c r="AD110" i="15"/>
  <c r="T110" i="15"/>
  <c r="O159" i="7"/>
  <c r="AE159" i="15"/>
  <c r="S136" i="7"/>
  <c r="R136" i="7"/>
  <c r="AH136" i="15"/>
  <c r="AF117" i="15"/>
  <c r="P117" i="7"/>
  <c r="S134" i="7"/>
  <c r="P94" i="7"/>
  <c r="AE154" i="15"/>
  <c r="O154" i="7"/>
  <c r="AD76" i="15"/>
  <c r="T76" i="15"/>
  <c r="P140" i="7"/>
  <c r="T135" i="15"/>
  <c r="AD135" i="15"/>
  <c r="AF135" i="15"/>
  <c r="AH135" i="15"/>
  <c r="R135" i="7"/>
  <c r="S135" i="7"/>
  <c r="AD25" i="15"/>
  <c r="T25" i="15"/>
  <c r="O103" i="7"/>
  <c r="AE103" i="15"/>
  <c r="S127" i="7"/>
  <c r="R127" i="7"/>
  <c r="AH127" i="15"/>
  <c r="AD9" i="15"/>
  <c r="T9" i="15"/>
  <c r="AD145" i="15"/>
  <c r="T145" i="15"/>
  <c r="O118" i="7"/>
  <c r="AE118" i="15"/>
  <c r="T148" i="15"/>
  <c r="AD148" i="15"/>
  <c r="AF148" i="15"/>
  <c r="P148" i="7"/>
  <c r="AD151" i="15"/>
  <c r="T151" i="15"/>
  <c r="P102" i="7"/>
  <c r="AH107" i="15"/>
  <c r="R107" i="7"/>
  <c r="E40" i="13"/>
  <c r="T154" i="15"/>
  <c r="AD154" i="15"/>
  <c r="AF154" i="15"/>
  <c r="P154" i="7"/>
  <c r="AE77" i="15"/>
  <c r="O77" i="7"/>
  <c r="AD165" i="15"/>
  <c r="T165" i="15"/>
  <c r="P3" i="7"/>
  <c r="AD70" i="15"/>
  <c r="T70" i="15"/>
  <c r="AE4" i="15"/>
  <c r="O4" i="7"/>
  <c r="T4" i="15"/>
  <c r="AD4" i="15"/>
  <c r="AF4" i="15"/>
  <c r="P4" i="7"/>
  <c r="AE17" i="15"/>
  <c r="O17" i="7"/>
  <c r="T102" i="15"/>
  <c r="AD102" i="15"/>
  <c r="AF102" i="15"/>
  <c r="AH102" i="15"/>
  <c r="R102" i="7"/>
  <c r="S102" i="7"/>
  <c r="O136" i="7"/>
  <c r="AE136" i="15"/>
  <c r="AD81" i="15"/>
  <c r="T81" i="15"/>
  <c r="O92" i="7"/>
  <c r="AE92" i="15"/>
  <c r="T159" i="15"/>
  <c r="AD159" i="15"/>
  <c r="AF159" i="15"/>
  <c r="AH159" i="15"/>
  <c r="R159" i="7"/>
  <c r="S159" i="7"/>
  <c r="T41" i="15"/>
  <c r="AD41" i="15"/>
  <c r="AF41" i="15"/>
  <c r="P41" i="7"/>
  <c r="AD50" i="15"/>
  <c r="T50" i="15"/>
  <c r="AD85" i="15"/>
  <c r="T85" i="15"/>
  <c r="T79" i="15"/>
  <c r="AD79" i="15"/>
  <c r="AF79" i="15"/>
  <c r="P79" i="7"/>
  <c r="S17" i="7"/>
  <c r="AF147" i="15"/>
  <c r="P147" i="7"/>
  <c r="O141" i="7"/>
  <c r="AE141" i="15"/>
  <c r="AD37" i="15"/>
  <c r="T37" i="15"/>
  <c r="AE108" i="15"/>
  <c r="O108" i="7"/>
  <c r="T73" i="15"/>
  <c r="AD73" i="15"/>
  <c r="AF73" i="15"/>
  <c r="AH73" i="15"/>
  <c r="R73" i="7"/>
  <c r="S73" i="7"/>
  <c r="T103" i="15"/>
  <c r="AD103" i="15"/>
  <c r="AF103" i="15"/>
  <c r="P103" i="7"/>
  <c r="AD114" i="15"/>
  <c r="T114" i="15"/>
  <c r="S18" i="7"/>
  <c r="R18" i="7"/>
  <c r="AH18" i="15"/>
  <c r="S125" i="7"/>
  <c r="AD23" i="15"/>
  <c r="T23" i="15"/>
  <c r="T64" i="15"/>
  <c r="AD64" i="15"/>
  <c r="AF64" i="15"/>
  <c r="AH64" i="15"/>
  <c r="R64" i="7"/>
  <c r="S64" i="7"/>
  <c r="S33" i="7"/>
  <c r="R33" i="7"/>
  <c r="AH33" i="15"/>
  <c r="AD15" i="15"/>
  <c r="T15" i="15"/>
  <c r="AD66" i="15"/>
  <c r="T66" i="15"/>
  <c r="AD30" i="15"/>
  <c r="T30" i="15"/>
  <c r="O72" i="7"/>
  <c r="AE72" i="15"/>
  <c r="T34" i="15"/>
  <c r="AD34" i="15"/>
  <c r="AF34" i="15"/>
  <c r="P34" i="7"/>
  <c r="AF142" i="15"/>
  <c r="P142" i="7"/>
  <c r="AD106" i="15"/>
  <c r="T106" i="15"/>
  <c r="P93" i="7"/>
  <c r="AD113" i="15"/>
  <c r="T113" i="15"/>
  <c r="AD83" i="15"/>
  <c r="T83" i="15"/>
  <c r="AD95" i="15"/>
  <c r="T95" i="15"/>
  <c r="AD7" i="15"/>
  <c r="T7" i="15"/>
  <c r="AE160" i="15"/>
  <c r="O160" i="7"/>
  <c r="AF78" i="15"/>
  <c r="P78" i="7"/>
  <c r="AE167" i="15"/>
  <c r="O167" i="7"/>
  <c r="AE134" i="15"/>
  <c r="O134" i="7"/>
  <c r="AE11" i="15"/>
  <c r="O11" i="7"/>
  <c r="T117" i="15"/>
  <c r="AD117" i="15"/>
  <c r="AE117" i="15"/>
  <c r="O117" i="7"/>
  <c r="AD129" i="15"/>
  <c r="T129" i="15"/>
  <c r="AE88" i="15"/>
  <c r="O88" i="7"/>
  <c r="AD61" i="15"/>
  <c r="T61" i="15"/>
  <c r="AE56" i="15"/>
  <c r="O56" i="7"/>
  <c r="AE42" i="15"/>
  <c r="O42" i="7"/>
  <c r="T56" i="15"/>
  <c r="AD56" i="15"/>
  <c r="AF56" i="15"/>
  <c r="P56" i="7"/>
  <c r="AF57" i="15"/>
  <c r="P57" i="7"/>
  <c r="S167" i="7"/>
  <c r="E39" i="13"/>
  <c r="T168" i="15"/>
  <c r="AD168" i="15"/>
  <c r="AF168" i="15"/>
  <c r="P168" i="7"/>
  <c r="O57" i="7"/>
  <c r="T57" i="15"/>
  <c r="AD57" i="15"/>
  <c r="AE57" i="15"/>
  <c r="E35" i="13"/>
  <c r="S58" i="7"/>
  <c r="R58" i="7"/>
  <c r="AH58" i="15"/>
  <c r="E45" i="13"/>
  <c r="I45" i="13" s="1"/>
  <c r="AH134" i="15"/>
  <c r="R134" i="7"/>
  <c r="E43" i="13"/>
  <c r="I43" i="13" s="1"/>
  <c r="S87" i="7"/>
  <c r="R87" i="7"/>
  <c r="AH87" i="15"/>
  <c r="P12" i="7"/>
  <c r="S48" i="7"/>
  <c r="R48" i="7"/>
  <c r="AH48" i="15"/>
  <c r="AD120" i="15"/>
  <c r="T120" i="15"/>
  <c r="T94" i="15"/>
  <c r="AD94" i="15"/>
  <c r="AF94" i="15"/>
  <c r="AH94" i="15"/>
  <c r="R94" i="7"/>
  <c r="S94" i="7"/>
  <c r="AH92" i="15"/>
  <c r="R92" i="7"/>
  <c r="S92" i="7"/>
  <c r="T169" i="15"/>
  <c r="AD169" i="15"/>
  <c r="AE169" i="15"/>
  <c r="O169" i="7"/>
  <c r="AH17" i="15"/>
  <c r="R17" i="7"/>
  <c r="E34" i="13"/>
  <c r="I34" i="13" s="1"/>
  <c r="AD122" i="15"/>
  <c r="T122" i="15"/>
  <c r="O49" i="7"/>
  <c r="AE49" i="15"/>
  <c r="T140" i="15"/>
  <c r="AD140" i="15"/>
  <c r="AF140" i="15"/>
  <c r="AH140" i="15"/>
  <c r="R140" i="7"/>
  <c r="S140" i="7"/>
  <c r="S116" i="7"/>
  <c r="AE116" i="15"/>
  <c r="O116" i="7"/>
  <c r="S43" i="7"/>
  <c r="R43" i="7"/>
  <c r="AH43" i="15"/>
  <c r="AD84" i="15"/>
  <c r="T84" i="15"/>
  <c r="T126" i="15"/>
  <c r="AD126" i="15"/>
  <c r="AF126" i="15"/>
  <c r="P126" i="7"/>
  <c r="AD40" i="15"/>
  <c r="T40" i="15"/>
  <c r="S19" i="7"/>
  <c r="R19" i="7"/>
  <c r="AH19" i="15"/>
  <c r="AH158" i="15"/>
  <c r="R158" i="7"/>
  <c r="S158" i="7"/>
  <c r="AD38" i="15"/>
  <c r="T38" i="15"/>
  <c r="AD8" i="15"/>
  <c r="T8" i="15"/>
  <c r="T49" i="15"/>
  <c r="AD49" i="15"/>
  <c r="AF49" i="15"/>
  <c r="P49" i="7"/>
  <c r="P141" i="7"/>
  <c r="T60" i="15"/>
  <c r="AD60" i="15"/>
  <c r="P101" i="7"/>
  <c r="AD105" i="15"/>
  <c r="T105" i="15"/>
  <c r="P118" i="7"/>
  <c r="T42" i="15"/>
  <c r="AD42" i="15"/>
  <c r="AF42" i="15"/>
  <c r="P42" i="7"/>
  <c r="T127" i="15"/>
  <c r="AD127" i="15"/>
  <c r="AF127" i="15"/>
  <c r="P127" i="7"/>
  <c r="AD80" i="15"/>
  <c r="T80" i="15"/>
  <c r="AD67" i="15"/>
  <c r="T67" i="15"/>
  <c r="AD100" i="15"/>
  <c r="T100" i="15"/>
  <c r="AD65" i="15"/>
  <c r="T65" i="15"/>
  <c r="T108" i="15"/>
  <c r="AD108" i="15"/>
  <c r="AF108" i="15"/>
  <c r="P108" i="7"/>
  <c r="T13" i="15"/>
  <c r="AD13" i="15"/>
  <c r="AF13" i="15"/>
  <c r="P13" i="7"/>
  <c r="S3" i="7"/>
  <c r="T3" i="15"/>
  <c r="AD3" i="15"/>
  <c r="AF3" i="15"/>
  <c r="AH3" i="15"/>
  <c r="R3" i="7"/>
  <c r="R3" i="16"/>
  <c r="AH47" i="15"/>
  <c r="R47" i="7"/>
  <c r="E36" i="13"/>
  <c r="AD119" i="15"/>
  <c r="T119" i="15"/>
  <c r="AF18" i="15"/>
  <c r="P18" i="7"/>
  <c r="AD139" i="15"/>
  <c r="T139" i="15"/>
  <c r="T59" i="15"/>
  <c r="AD59" i="15"/>
  <c r="T33" i="15"/>
  <c r="AD33" i="15"/>
  <c r="AF33" i="15"/>
  <c r="P33" i="7"/>
  <c r="AD121" i="15"/>
  <c r="T121" i="15"/>
  <c r="E38" i="13"/>
  <c r="AE152" i="15"/>
  <c r="O152" i="7"/>
  <c r="T152" i="15"/>
  <c r="AD152" i="15"/>
  <c r="AF152" i="15"/>
  <c r="P152" i="7"/>
  <c r="AF93" i="15"/>
  <c r="AH93" i="15"/>
  <c r="R93" i="7"/>
  <c r="S93" i="7"/>
  <c r="T52" i="15"/>
  <c r="AD52" i="15"/>
  <c r="AD164" i="15"/>
  <c r="T164" i="15"/>
  <c r="T86" i="15"/>
  <c r="AD86" i="15"/>
  <c r="AF86" i="15"/>
  <c r="P86" i="7"/>
  <c r="AD104" i="15"/>
  <c r="T104" i="15"/>
  <c r="AE146" i="15"/>
  <c r="O146" i="7"/>
  <c r="AD149" i="15"/>
  <c r="T149" i="15"/>
  <c r="AE12" i="15"/>
  <c r="O12" i="7"/>
  <c r="T16" i="15"/>
  <c r="AD16" i="15"/>
  <c r="O18" i="7"/>
  <c r="T18" i="15"/>
  <c r="AD18" i="15"/>
  <c r="AE18" i="15"/>
  <c r="AF63" i="15"/>
  <c r="P63" i="7"/>
  <c r="AH125" i="15"/>
  <c r="R125" i="7"/>
  <c r="E42" i="13"/>
  <c r="I42" i="13" s="1"/>
  <c r="P167" i="7"/>
  <c r="D46" i="13"/>
  <c r="J46" i="13" s="1"/>
  <c r="T167" i="15"/>
  <c r="AD167" i="15"/>
  <c r="AF167" i="15"/>
  <c r="AH167" i="15"/>
  <c r="R167" i="7"/>
  <c r="E46" i="13"/>
  <c r="AD45" i="15"/>
  <c r="T45" i="15"/>
  <c r="T78" i="15"/>
  <c r="AD78" i="15"/>
  <c r="AE78" i="15"/>
  <c r="O78" i="7"/>
  <c r="T88" i="15"/>
  <c r="AD88" i="15"/>
  <c r="AF88" i="15"/>
  <c r="AH88" i="15"/>
  <c r="R88" i="7"/>
  <c r="S88" i="7"/>
  <c r="T58" i="15"/>
  <c r="AD58" i="15"/>
  <c r="AF58" i="15"/>
  <c r="P58" i="7"/>
  <c r="AD162" i="15"/>
  <c r="T162" i="15"/>
  <c r="T87" i="15"/>
  <c r="AD87" i="15"/>
  <c r="AF87" i="15"/>
  <c r="P87" i="7"/>
  <c r="T12" i="15"/>
  <c r="AD12" i="15"/>
  <c r="AF12" i="15"/>
  <c r="AH12" i="15"/>
  <c r="R12" i="7"/>
  <c r="S12" i="7"/>
  <c r="E33" i="13"/>
  <c r="I33" i="13" s="1"/>
  <c r="AH116" i="15"/>
  <c r="R116" i="7"/>
  <c r="E41" i="13"/>
  <c r="I41" i="13" s="1"/>
  <c r="T47" i="15"/>
  <c r="AD47" i="15"/>
  <c r="AF47" i="15"/>
  <c r="P47" i="7"/>
  <c r="D36" i="13"/>
  <c r="J36" i="13" s="1"/>
  <c r="T48" i="15"/>
  <c r="AD48" i="15"/>
  <c r="AF48" i="15"/>
  <c r="P48" i="7"/>
  <c r="T144" i="15"/>
  <c r="AD144" i="15"/>
  <c r="T111" i="15"/>
  <c r="AD111" i="15"/>
  <c r="T93" i="15"/>
  <c r="AD93" i="15"/>
  <c r="AE93" i="15"/>
  <c r="O93" i="7"/>
  <c r="AH32" i="15"/>
  <c r="R32" i="7"/>
  <c r="S32" i="7"/>
  <c r="AE71" i="15"/>
  <c r="O71" i="7"/>
  <c r="T136" i="15"/>
  <c r="AD136" i="15"/>
  <c r="AF136" i="15"/>
  <c r="P136" i="7"/>
  <c r="T157" i="15"/>
  <c r="AD157" i="15"/>
  <c r="T32" i="15"/>
  <c r="AD32" i="15"/>
  <c r="AF32" i="15"/>
  <c r="P32" i="7"/>
  <c r="D35" i="13"/>
  <c r="J35" i="13" s="1"/>
  <c r="T43" i="15"/>
  <c r="AD43" i="15"/>
  <c r="AF43" i="15"/>
  <c r="P43" i="7"/>
  <c r="T63" i="15"/>
  <c r="AD63" i="15"/>
  <c r="AE63" i="15"/>
  <c r="O63" i="7"/>
  <c r="T69" i="15"/>
  <c r="AD69" i="15"/>
  <c r="T142" i="15"/>
  <c r="AD142" i="15"/>
  <c r="AE142" i="15"/>
  <c r="O142" i="7"/>
  <c r="T17" i="15"/>
  <c r="AD17" i="15"/>
  <c r="AF17" i="15"/>
  <c r="P17" i="7"/>
  <c r="D34" i="13"/>
  <c r="T19" i="15"/>
  <c r="AD19" i="15"/>
  <c r="AF19" i="15"/>
  <c r="P19" i="7"/>
  <c r="S11" i="7"/>
  <c r="R2" i="16"/>
  <c r="AH11" i="15"/>
  <c r="R11" i="7"/>
  <c r="T107" i="15"/>
  <c r="AD107" i="15"/>
  <c r="AF107" i="15"/>
  <c r="P107" i="7"/>
  <c r="D40" i="13"/>
  <c r="J40" i="13" s="1"/>
  <c r="T115" i="15"/>
  <c r="AD115" i="15"/>
  <c r="P77" i="7"/>
  <c r="D38" i="13"/>
  <c r="J38" i="13" s="1"/>
  <c r="T77" i="15"/>
  <c r="AD77" i="15"/>
  <c r="AF77" i="15"/>
  <c r="AH77" i="15"/>
  <c r="R77" i="7"/>
  <c r="S77" i="7"/>
  <c r="T71" i="15"/>
  <c r="AD71" i="15"/>
  <c r="AF71" i="15"/>
  <c r="P71" i="7"/>
  <c r="T141" i="15"/>
  <c r="AD141" i="15"/>
  <c r="AF141" i="15"/>
  <c r="AH141" i="15"/>
  <c r="R141" i="7"/>
  <c r="S141" i="7"/>
  <c r="T101" i="15"/>
  <c r="AD101" i="15"/>
  <c r="AF101" i="15"/>
  <c r="AH101" i="15"/>
  <c r="R101" i="7"/>
  <c r="S101" i="7"/>
  <c r="T11" i="15"/>
  <c r="AD11" i="15"/>
  <c r="AF11" i="15"/>
  <c r="P11" i="7"/>
  <c r="D33" i="13"/>
  <c r="J33" i="13" s="1"/>
  <c r="T5" i="15"/>
  <c r="AD5" i="15"/>
  <c r="T158" i="15"/>
  <c r="AD158" i="15"/>
  <c r="AF158" i="15"/>
  <c r="P158" i="7"/>
  <c r="D45" i="13"/>
  <c r="J45" i="13" s="1"/>
  <c r="T160" i="15"/>
  <c r="AD160" i="15"/>
  <c r="AF160" i="15"/>
  <c r="P160" i="7"/>
  <c r="T116" i="15"/>
  <c r="AD116" i="15"/>
  <c r="AF116" i="15"/>
  <c r="P116" i="7"/>
  <c r="D41" i="13"/>
  <c r="J41" i="13" s="1"/>
  <c r="T118" i="15"/>
  <c r="AD118" i="15"/>
  <c r="AF118" i="15"/>
  <c r="AH118" i="15"/>
  <c r="R118" i="7"/>
  <c r="S118" i="7"/>
  <c r="T125" i="15"/>
  <c r="AD125" i="15"/>
  <c r="AF125" i="15"/>
  <c r="P125" i="7"/>
  <c r="D42" i="13"/>
  <c r="J42" i="13" s="1"/>
  <c r="T131" i="15"/>
  <c r="AD131" i="15"/>
  <c r="T62" i="15"/>
  <c r="AD62" i="15"/>
  <c r="AF62" i="15"/>
  <c r="P62" i="7"/>
  <c r="D37" i="13"/>
  <c r="J37" i="13" s="1"/>
  <c r="T72" i="15"/>
  <c r="AD72" i="15"/>
  <c r="AF72" i="15"/>
  <c r="P72" i="7"/>
  <c r="T92" i="15"/>
  <c r="AD92" i="15"/>
  <c r="AF92" i="15"/>
  <c r="P92" i="7"/>
  <c r="D39" i="13"/>
  <c r="J39" i="13" s="1"/>
  <c r="T96" i="15"/>
  <c r="AD96" i="15"/>
  <c r="T147" i="15"/>
  <c r="AD147" i="15"/>
  <c r="AE147" i="15"/>
  <c r="O147" i="7"/>
  <c r="T146" i="15"/>
  <c r="AD146" i="15"/>
  <c r="AF146" i="15"/>
  <c r="P146" i="7"/>
  <c r="D44" i="13"/>
  <c r="J44" i="13" s="1"/>
  <c r="T155" i="15"/>
  <c r="AD155" i="15"/>
  <c r="T134" i="15"/>
  <c r="AD134" i="15"/>
  <c r="AF134" i="15"/>
  <c r="P134" i="7"/>
  <c r="D43" i="13"/>
  <c r="J43" i="13" s="1"/>
  <c r="T143" i="15"/>
  <c r="AD143" i="15"/>
  <c r="F34" i="13" l="1"/>
  <c r="J34" i="13"/>
  <c r="F41" i="13"/>
  <c r="F45" i="13"/>
  <c r="G46" i="13"/>
  <c r="F38" i="13"/>
  <c r="G35" i="13"/>
  <c r="F40" i="13"/>
  <c r="I46" i="13"/>
  <c r="G38" i="13"/>
  <c r="F36" i="13"/>
  <c r="F44" i="13"/>
  <c r="AH2" i="15"/>
  <c r="R2" i="7" s="1"/>
  <c r="S2" i="7" s="1"/>
  <c r="I35" i="13"/>
  <c r="F46" i="13"/>
  <c r="F42" i="13"/>
  <c r="I38" i="13"/>
  <c r="G39" i="13"/>
  <c r="D47" i="13"/>
  <c r="J47" i="13" s="1"/>
  <c r="F37" i="13"/>
  <c r="G41" i="13"/>
  <c r="F39" i="13"/>
  <c r="G43" i="13"/>
  <c r="G40" i="13"/>
  <c r="E47" i="13"/>
  <c r="G34" i="13"/>
  <c r="G44" i="13"/>
  <c r="G37" i="13"/>
  <c r="I36" i="13"/>
  <c r="I39" i="13"/>
  <c r="I40" i="13"/>
  <c r="F33" i="13"/>
  <c r="G45" i="13"/>
  <c r="G36" i="13"/>
  <c r="F43" i="13"/>
  <c r="F35" i="13"/>
  <c r="I44" i="13"/>
  <c r="G42" i="13"/>
  <c r="G33" i="13"/>
  <c r="D49" i="13" l="1"/>
  <c r="J49" i="13" s="1"/>
  <c r="E49" i="13"/>
  <c r="F47" i="13"/>
  <c r="I47" i="13"/>
  <c r="G49" i="13"/>
  <c r="G47" i="13"/>
  <c r="N7" i="13" l="1"/>
  <c r="B7" i="13"/>
  <c r="F49" i="13"/>
  <c r="I49" i="13"/>
  <c r="K7" i="13" s="1"/>
</calcChain>
</file>

<file path=xl/sharedStrings.xml><?xml version="1.0" encoding="utf-8"?>
<sst xmlns="http://schemas.openxmlformats.org/spreadsheetml/2006/main" count="1869" uniqueCount="443">
  <si>
    <t>Template00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</si>
  <si>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</si>
  <si>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</si>
  <si>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</si>
  <si>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</si>
  <si>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</si>
  <si>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</si>
  <si>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</si>
  <si>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</si>
  <si>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</si>
  <si>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</si>
  <si>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</si>
  <si>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</si>
  <si>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</si>
  <si>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</si>
  <si>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</si>
  <si>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</si>
  <si>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</si>
  <si>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</si>
  <si>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</si>
  <si>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</si>
  <si>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</si>
  <si>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</si>
  <si>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</si>
  <si>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</si>
  <si>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</si>
  <si>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</si>
  <si>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</si>
  <si>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</si>
  <si>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</si>
  <si>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</si>
  <si>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</si>
  <si>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</si>
  <si>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</si>
  <si>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</si>
  <si>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</si>
  <si>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</si>
  <si>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</si>
  <si>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</si>
  <si>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</si>
  <si>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</si>
  <si>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</si>
  <si>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</si>
  <si>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</si>
  <si>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</si>
  <si>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</si>
  <si>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</si>
  <si>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</si>
  <si>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</si>
  <si>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</si>
  <si>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</si>
  <si>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</si>
  <si>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</si>
  <si>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</si>
  <si>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</si>
  <si>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</si>
  <si>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</si>
  <si>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</si>
  <si>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</si>
  <si>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</si>
  <si>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</si>
  <si>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</si>
  <si>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</si>
  <si>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</si>
  <si>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</si>
  <si>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</si>
  <si>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</si>
  <si>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</si>
  <si>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</si>
  <si>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</si>
  <si>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</si>
  <si>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</si>
  <si>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</si>
  <si>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</si>
  <si>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</si>
  <si>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</si>
  <si>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</si>
  <si>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</si>
  <si>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</si>
  <si>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</si>
  <si>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</si>
  <si>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</si>
  <si>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Paramètre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</si>
  <si>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</si>
  <si>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</si>
  <si>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</si>
  <si>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</si>
  <si>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</si>
  <si>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</si>
  <si>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</si>
  <si>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</si>
  <si>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</si>
  <si>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</si>
  <si>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</si>
  <si>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</si>
  <si>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</si>
  <si>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</si>
  <si>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</si>
  <si>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</si>
  <si>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</si>
  <si>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</si>
  <si>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</si>
  <si>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</si>
  <si>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</si>
  <si>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</si>
  <si>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</si>
  <si>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</si>
  <si>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</si>
  <si>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</si>
  <si>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</si>
  <si>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EBITDA (après siège)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</si>
  <si>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</si>
  <si>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</si>
  <si>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</si>
  <si>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</si>
  <si>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</si>
  <si>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</si>
  <si>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</si>
  <si>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</si>
  <si>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</si>
  <si>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</si>
  <si>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</si>
  <si>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</si>
  <si>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</si>
  <si>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</si>
  <si>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</si>
  <si>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</si>
  <si>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</si>
  <si>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</si>
  <si>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</si>
  <si>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</si>
  <si>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</si>
  <si>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</si>
  <si>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</si>
  <si>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3 · ALLOCATION &amp; RENTABILITE  —  cout complet du groupe a la classe</t>
  </si>
  <si>
    <t>Template09</t>
  </si>
  <si>
    <t>🟢 AMOUNT (live)</t>
  </si>
  <si>
    <t>Δ vs Tagetik</t>
  </si>
  <si>
    <t>Maille fine — deplie campus/classe avec les [+]</t>
  </si>
  <si>
    <t>Marque ▸ Campus ▸ Classe</t>
  </si>
  <si>
    <t>VAC</t>
  </si>
  <si>
    <t>PERM</t>
  </si>
  <si>
    <t>ODIR</t>
  </si>
  <si>
    <t>STRUCT</t>
  </si>
  <si>
    <t>Frais marque</t>
  </si>
  <si>
    <t>Holding</t>
  </si>
  <si>
    <t>Cout complet</t>
  </si>
  <si>
    <t>Marge complete</t>
  </si>
  <si>
    <t>Marge %</t>
  </si>
  <si>
    <t xml:space="preserve">   Paris  (MBWAY_PAR)</t>
  </si>
  <si>
    <t xml:space="preserve">      BAC_MGT B1 INIT</t>
  </si>
  <si>
    <t xml:space="preserve">      BAC_MGT B2 ALT</t>
  </si>
  <si>
    <t xml:space="preserve">      BAC_MGT B3 ALT</t>
  </si>
  <si>
    <t xml:space="preserve">      MAS_MGT M1 ALT</t>
  </si>
  <si>
    <t xml:space="preserve">      MAS_MGT M2 ALT</t>
  </si>
  <si>
    <t xml:space="preserve">   Lyon  (MBWAY_LYO)</t>
  </si>
  <si>
    <t xml:space="preserve">   Nantes  (MBWAY_NAN)</t>
  </si>
  <si>
    <t xml:space="preserve">   Bordeaux  (MBWAY_BOR)</t>
  </si>
  <si>
    <t xml:space="preserve">   Paris  (ISCOM_PAR)</t>
  </si>
  <si>
    <t xml:space="preserve">      BAC_COM B1 INIT</t>
  </si>
  <si>
    <t xml:space="preserve">      BAC_COM B2 ALT</t>
  </si>
  <si>
    <t xml:space="preserve">      BAC_COM B3 ALT</t>
  </si>
  <si>
    <t xml:space="preserve">      MAS_COM M1 ALT</t>
  </si>
  <si>
    <t xml:space="preserve">      MAS_COM M2 ALT</t>
  </si>
  <si>
    <t xml:space="preserve">   Lille  (ISCOM_LIL)</t>
  </si>
  <si>
    <t xml:space="preserve">   Toulouse  (ISCOM_TLS)</t>
  </si>
  <si>
    <t xml:space="preserve">   Nantes  (IPAC_NAN)</t>
  </si>
  <si>
    <t xml:space="preserve">      BAC_CCE B1 ALT</t>
  </si>
  <si>
    <t xml:space="preserve">      BAC_CCE B2 ALT</t>
  </si>
  <si>
    <t xml:space="preserve">      BAC_CCE B3 ALT</t>
  </si>
  <si>
    <t xml:space="preserve">   Rennes  (IPAC_REN)</t>
  </si>
  <si>
    <t xml:space="preserve">   Montpellier  (IPAC_MTP)</t>
  </si>
  <si>
    <t xml:space="preserve">   Lyon  (PIGIER_LYO)</t>
  </si>
  <si>
    <t xml:space="preserve">      BTS_GES BTS1 ALT</t>
  </si>
  <si>
    <t xml:space="preserve">      BTS_GES BTS2 ALT</t>
  </si>
  <si>
    <t xml:space="preserve">      BAC_RH B1 ALT</t>
  </si>
  <si>
    <t xml:space="preserve">      BAC_RH B3 ALT</t>
  </si>
  <si>
    <t xml:space="preserve">   Bordeaux  (PIGIER_BOR)</t>
  </si>
  <si>
    <t xml:space="preserve">   Paris  (TUNON_PAR)</t>
  </si>
  <si>
    <t xml:space="preserve">      BAC_TOU B1 ALT</t>
  </si>
  <si>
    <t xml:space="preserve">      BAC_TOU B2 ALT</t>
  </si>
  <si>
    <t xml:space="preserve">      BAC_TOU B3 ALT</t>
  </si>
  <si>
    <t xml:space="preserve">   Lyon  (TUNON_LYO)</t>
  </si>
  <si>
    <t>GROUPE</t>
  </si>
  <si>
    <t>Cles d'allocation (saisie)</t>
  </si>
  <si>
    <t>Campus</t>
  </si>
  <si>
    <t>Prix moy.</t>
  </si>
  <si>
    <t>Part CA</t>
  </si>
  <si>
    <t>EBITDA campus</t>
  </si>
  <si>
    <t>Mrg EBITDA</t>
  </si>
  <si>
    <t>EBITDA/etud.</t>
  </si>
  <si>
    <t>Rejoue</t>
  </si>
  <si>
    <t>CAC marg.</t>
  </si>
  <si>
    <t>MBWAY_PAR</t>
  </si>
  <si>
    <t>MBWAY_LYO</t>
  </si>
  <si>
    <t>MBWAY_NAN</t>
  </si>
  <si>
    <t>MBWAY_BOR</t>
  </si>
  <si>
    <t>ISCOM_PAR</t>
  </si>
  <si>
    <t>ISCOM_LIL</t>
  </si>
  <si>
    <t>ISCOM_TLS</t>
  </si>
  <si>
    <t>IPAC_NAN</t>
  </si>
  <si>
    <t>IPAC_REN</t>
  </si>
  <si>
    <t>IPAC_MTP</t>
  </si>
  <si>
    <t>PIGIER_LYO</t>
  </si>
  <si>
    <t>PIGIER_BOR</t>
  </si>
  <si>
    <t>TUNON_PAR</t>
  </si>
  <si>
    <t>TUNON_LYO</t>
  </si>
  <si>
    <t>Sous-total campus</t>
  </si>
  <si>
    <t>Siege / holding (GRP)</t>
  </si>
  <si>
    <t>GROUPE 2027 V01</t>
  </si>
  <si>
    <t>Scenario actif :</t>
  </si>
  <si>
    <t>Coeff prix par marque (decision)</t>
  </si>
  <si>
    <t>Coeff prix</t>
  </si>
  <si>
    <t>CAP_EFF (live)</t>
  </si>
  <si>
    <t>CAP_MOM (live)</t>
  </si>
  <si>
    <t>CAP_POT (live)</t>
  </si>
  <si>
    <t>à masquer</t>
  </si>
  <si>
    <t>2027BUD_V1</t>
  </si>
  <si>
    <t>12</t>
  </si>
  <si>
    <t>BAC_MGT</t>
  </si>
  <si>
    <t>B1</t>
  </si>
  <si>
    <t>INIT</t>
  </si>
  <si>
    <t>B2</t>
  </si>
  <si>
    <t>ALT</t>
  </si>
  <si>
    <t>B3</t>
  </si>
  <si>
    <t>MAS_MGT</t>
  </si>
  <si>
    <t>M1</t>
  </si>
  <si>
    <t>M2</t>
  </si>
  <si>
    <t>BAC_COM</t>
  </si>
  <si>
    <t>MAS_COM</t>
  </si>
  <si>
    <t>BAC_CCE</t>
  </si>
  <si>
    <t>BTS_GES</t>
  </si>
  <si>
    <t>BTS1</t>
  </si>
  <si>
    <t>BTS2</t>
  </si>
  <si>
    <t>BAC_RH</t>
  </si>
  <si>
    <t>BAC_TOU</t>
  </si>
  <si>
    <t>2025</t>
  </si>
  <si>
    <t>2024</t>
  </si>
  <si>
    <t>NOUVEAUX (live)</t>
  </si>
  <si>
    <t>EFFECTIF (live)</t>
  </si>
  <si>
    <t>PRIX (live)</t>
  </si>
  <si>
    <t>🟢 CA (live)</t>
  </si>
  <si>
    <t>Δ CA vs Tagetik</t>
  </si>
  <si>
    <t>TEC_PL</t>
  </si>
  <si>
    <t>TEC_EBITDA</t>
  </si>
  <si>
    <t>COST_VAC (live)</t>
  </si>
  <si>
    <t>COST_HOLDING (live)</t>
  </si>
  <si>
    <t>🟢 MARGE (live)</t>
  </si>
  <si>
    <t>COST_MARQUE (live)</t>
  </si>
  <si>
    <t>KENT</t>
  </si>
  <si>
    <t>KVER</t>
  </si>
  <si>
    <t>KPROG</t>
  </si>
  <si>
    <t>KAN</t>
  </si>
  <si>
    <t>KMOD</t>
  </si>
  <si>
    <t>KMARQ</t>
  </si>
  <si>
    <t>RLC</t>
  </si>
  <si>
    <t>RCA</t>
  </si>
  <si>
    <t>YLD</t>
  </si>
  <si>
    <t>PASSAGE</t>
  </si>
  <si>
    <t>IS_ENTRY</t>
  </si>
  <si>
    <t>REJOUE</t>
  </si>
  <si>
    <t>BUD_REF</t>
  </si>
  <si>
    <t>ACQ</t>
  </si>
  <si>
    <t>BRAND</t>
  </si>
  <si>
    <t>PRICE</t>
  </si>
  <si>
    <t>GLC</t>
  </si>
  <si>
    <t>GCV</t>
  </si>
  <si>
    <t>PASS</t>
  </si>
  <si>
    <t>FEE</t>
  </si>
  <si>
    <t>PRICE_COEF</t>
  </si>
  <si>
    <t>NOUV_CALC</t>
  </si>
  <si>
    <t>■ VIOLET = colonne branchee sur une saisie (cad / Pilotage / 3_Allocation) -&gt; a recabler cote Tagetik</t>
  </si>
  <si>
    <t>ENT</t>
  </si>
  <si>
    <t>ACC</t>
  </si>
  <si>
    <t>EX</t>
  </si>
  <si>
    <t>VER</t>
  </si>
  <si>
    <t>ISBUD</t>
  </si>
  <si>
    <t>CPT26</t>
  </si>
  <si>
    <t>INFL</t>
  </si>
  <si>
    <t>SAL</t>
  </si>
  <si>
    <t>FTE</t>
  </si>
  <si>
    <t>PROD</t>
  </si>
  <si>
    <t>CAF</t>
  </si>
  <si>
    <t>FAC</t>
  </si>
  <si>
    <t>AMT_LIVE</t>
  </si>
  <si>
    <t>EBITDA_SIGNED</t>
  </si>
  <si>
    <t>PROG</t>
  </si>
  <si>
    <t>AN</t>
  </si>
  <si>
    <t>MOD</t>
  </si>
  <si>
    <t>HRS</t>
  </si>
  <si>
    <t>E_EFF</t>
  </si>
  <si>
    <t>E_CLS</t>
  </si>
  <si>
    <t>E_CA</t>
  </si>
  <si>
    <t>E_HRS</t>
  </si>
  <si>
    <t>E_NEW</t>
  </si>
  <si>
    <t>M_EFF</t>
  </si>
  <si>
    <t>M_CLS</t>
  </si>
  <si>
    <t>M_CA</t>
  </si>
  <si>
    <t>G_EFF</t>
  </si>
  <si>
    <t>G_CLS</t>
  </si>
  <si>
    <t>G_CA</t>
  </si>
  <si>
    <t>MKT</t>
  </si>
  <si>
    <t>STRUCT_CAMP</t>
  </si>
  <si>
    <t>SIEGE</t>
  </si>
  <si>
    <t>D3C</t>
  </si>
  <si>
    <t>D3E</t>
  </si>
  <si>
    <t>D2E</t>
  </si>
  <si>
    <t>D2M</t>
  </si>
  <si>
    <t>D1M</t>
  </si>
  <si>
    <t>D1G</t>
  </si>
  <si>
    <t>MARGE</t>
  </si>
  <si>
    <t>FRAIS_MARQUE_TOT</t>
  </si>
  <si>
    <t>D1M_K4</t>
  </si>
  <si>
    <t>D1G_K4</t>
  </si>
  <si>
    <t>COST_MARQUE</t>
  </si>
  <si>
    <t>CARTOGRAPHIE DES SAISIES  →  CALCUL   (data dictionary Tagetik)</t>
  </si>
  <si>
    <t>Pour chaque cellule de saisie : son membre Tagetik, où elle est stockée, et LA/LES colonne(s) de calcul qui la consomment (violet dans les onglets _CALC).</t>
  </si>
  <si>
    <t>Famille</t>
  </si>
  <si>
    <t>Paramètre (métier)</t>
  </si>
  <si>
    <t>Cellule(s) Excel</t>
  </si>
  <si>
    <t>Code / membre Tagetik</t>
  </si>
  <si>
    <t>Stockage (table · version · entity)</t>
  </si>
  <si>
    <t>Colonne calcul consommatrice</t>
  </si>
  <si>
    <t>Vue / mesure impactée</t>
  </si>
  <si>
    <t>Règle (résumé)</t>
  </si>
  <si>
    <t>Revenus</t>
  </si>
  <si>
    <t>Variation budget acquisition → leads payants</t>
  </si>
  <si>
    <t>cad!E/F/G 16</t>
  </si>
  <si>
    <t>HYP_ACQ_BUD</t>
  </si>
  <si>
    <t>AW_002_000001 · V01/V02/V03 · GRP</t>
  </si>
  <si>
    <t>_CALC_MOTEUR!V (ACQ) · _CALC_PNL!G</t>
  </si>
  <si>
    <t>V_MOTEUR · V_BUDGET</t>
  </si>
  <si>
    <t>NOUV via ((rejoué/réf)×(1+ACQ))^REND_ACQ ; compte 6231 ×(1+ACQ)</t>
  </si>
  <si>
    <t>Variation budget marque → socle organique</t>
  </si>
  <si>
    <t>cad!E/F/G 17</t>
  </si>
  <si>
    <t>HYP_BRAND_BUD</t>
  </si>
  <si>
    <t>_CALC_MOTEUR!W (BRAND) · _CALC_PNL!H</t>
  </si>
  <si>
    <t>ORG_REF×(1+BRAND)^REND_BRAND ; compte 6236 ×(1+BRAND)</t>
  </si>
  <si>
    <t>cad!E/F/G 18</t>
  </si>
  <si>
    <t>HYP_PRICE</t>
  </si>
  <si>
    <t>_CALC_MOTEUR!X (PRICE)</t>
  </si>
  <si>
    <t>V_MOTEUR</t>
  </si>
  <si>
    <t>PRIX = REV_STUD ×(1+PRICE×COEF_marque)</t>
  </si>
  <si>
    <t>Gain conversion Lead → Candidature</t>
  </si>
  <si>
    <t>cad!E/F/G 19</t>
  </si>
  <si>
    <t>HYP_CONV_LEAD</t>
  </si>
  <si>
    <t>_CALC_MOTEUR!Y (GLC)</t>
  </si>
  <si>
    <t>facteur (RLC + GLC)</t>
  </si>
  <si>
    <t>Gain conversion Admis → Inscrit</t>
  </si>
  <si>
    <t>cad!E/F/G 20</t>
  </si>
  <si>
    <t>HYP_CONV_ADM</t>
  </si>
  <si>
    <t>_CALC_MOTEUR!Z (GCV)</t>
  </si>
  <si>
    <t>facteur (YLD + GCV)</t>
  </si>
  <si>
    <t>cad!E/F/G 21</t>
  </si>
  <si>
    <t>HYP_PASSAGE</t>
  </si>
  <si>
    <t>_CALC_MOTEUR!AA (PASS)</t>
  </si>
  <si>
    <t>EFFECTIF réinscrits = VOL_EFF_INF ×(PASSAGE+PASS)</t>
  </si>
  <si>
    <t>Frais de dossier / nouvel inscrit</t>
  </si>
  <si>
    <t>cad!E/F/G 30</t>
  </si>
  <si>
    <t>HYP_FEE</t>
  </si>
  <si>
    <t>_CALC_MOTEUR!AB (FEE)</t>
  </si>
  <si>
    <t>CA += NOUVEAUX × FEE</t>
  </si>
  <si>
    <t>Coefficient prix par marque (décision)</t>
  </si>
  <si>
    <t>cad!K7:K11</t>
  </si>
  <si>
    <t>HYP_PRICE_COEF</t>
  </si>
  <si>
    <t>AW_002_000001 · GEN · &lt;MARQUE&gt;_REF</t>
  </si>
  <si>
    <t>_CALC_MOTEUR!AC (PRICE_COEF)</t>
  </si>
  <si>
    <t>module l'effet prix par marque</t>
  </si>
  <si>
    <t>Coûts</t>
  </si>
  <si>
    <t>cad!E/F/G 23</t>
  </si>
  <si>
    <t>HYP_INFL_EXT</t>
  </si>
  <si>
    <t>_CALC_PNL!I (INFL)</t>
  </si>
  <si>
    <t>V_BUDGET</t>
  </si>
  <si>
    <t>structure/impôts/dotations ×(1+INFL)</t>
  </si>
  <si>
    <t>Politique salariale (masse permanente)</t>
  </si>
  <si>
    <t>cad!E/F/G 24</t>
  </si>
  <si>
    <t>HYP_SALARY</t>
  </si>
  <si>
    <t>_CALC_PNL!J (SAL)</t>
  </si>
  <si>
    <t>personnel ×(1+SAL)</t>
  </si>
  <si>
    <t>cad!E/F/G 25</t>
  </si>
  <si>
    <t>HYP_FTE_PERM</t>
  </si>
  <si>
    <t>_CALC_PNL!K (FTE)</t>
  </si>
  <si>
    <t>personnel ×(1+FTE)</t>
  </si>
  <si>
    <t>Effort de productivité (achats &amp; structure)</t>
  </si>
  <si>
    <t>cad!E/F/G 26</t>
  </si>
  <si>
    <t>HYP_PRODUCTIVITY</t>
  </si>
  <si>
    <t>_CALC_PNL!L (PROD)</t>
  </si>
  <si>
    <t>achats &amp; structure ×(1-PROD)</t>
  </si>
  <si>
    <t>Variation des coûts de structure</t>
  </si>
  <si>
    <t>cad!E/F/G 27</t>
  </si>
  <si>
    <t>HYP_STRUCT_COST</t>
  </si>
  <si>
    <t>_CALC_PNL!M (STRUCT)</t>
  </si>
  <si>
    <t>structure ×(1+STRUCT)</t>
  </si>
  <si>
    <t>Cap</t>
  </si>
  <si>
    <t>Cap retenu par campus (marque×ville)</t>
  </si>
  <si>
    <t>Pilotage!M13:M26</t>
  </si>
  <si>
    <t>HYP_CAP_RETENU (par ENTITY)</t>
  </si>
  <si>
    <t>AW_002_000001 · V01 · &lt;ENTITY&gt;</t>
  </si>
  <si>
    <t>→ Pilotage!Q (rejoué) → _CALC_MOTEUR!T (REJOUE) · U (BUD_REF)</t>
  </si>
  <si>
    <t>V_CAP · V_MOTEUR</t>
  </si>
  <si>
    <t>budget acquisition REJOUÉ (somme groupe constante) → alimente NOUV</t>
  </si>
  <si>
    <t>Cibles</t>
  </si>
  <si>
    <t>Croissance CA cible</t>
  </si>
  <si>
    <t>cad!F3</t>
  </si>
  <si>
    <t>AW_002_000001 · GEN</t>
  </si>
  <si>
    <t>→ cad!D7 (réconciliation)</t>
  </si>
  <si>
    <t>(pilotage)</t>
  </si>
  <si>
    <t>CA cible = CA_réf ×(1+croissance)</t>
  </si>
  <si>
    <t>Marge EBITDA cible</t>
  </si>
  <si>
    <t>cad!H3</t>
  </si>
  <si>
    <t>→ cad!D8 (réconciliation)</t>
  </si>
  <si>
    <t>EBITDA cible = CA cible × marge</t>
  </si>
  <si>
    <t>Contexte</t>
  </si>
  <si>
    <t>Scénario actif</t>
  </si>
  <si>
    <t>cad!D3 → code cad!P1</t>
  </si>
  <si>
    <t>(dimension Version)</t>
  </si>
  <si>
    <t>—</t>
  </si>
  <si>
    <t>→ synthèse Pilotage · réconciliation cad · rollup</t>
  </si>
  <si>
    <t>toutes</t>
  </si>
  <si>
    <t>filtre la version affichée (V01/V02/V03)</t>
  </si>
  <si>
    <t>Clés</t>
  </si>
  <si>
    <t>Clé siège administratif → marque</t>
  </si>
  <si>
    <t>3_Allocation!C5</t>
  </si>
  <si>
    <t>ALLOC_GRP_BRAND</t>
  </si>
  <si>
    <t>_CALC_ALLOC!AG (D1M) · AH (D1G)</t>
  </si>
  <si>
    <t>V_ALLOCATION</t>
  </si>
  <si>
    <t>cascade holding, niveau 1 (groupe→marque)</t>
  </si>
  <si>
    <t>Clé pub de marque → marque</t>
  </si>
  <si>
    <t>3_Allocation!C6</t>
  </si>
  <si>
    <t>ALLOC_GRP_MARQUE</t>
  </si>
  <si>
    <t>_CALC_ALLOC!AP (D1M_K4) · AQ (D1G_K4)</t>
  </si>
  <si>
    <t>cascade frais de marque (6236), niveau 1</t>
  </si>
  <si>
    <t>Clé marque → campus</t>
  </si>
  <si>
    <t>3_Allocation!C7</t>
  </si>
  <si>
    <t>ALLOC_BRAND_CAMP</t>
  </si>
  <si>
    <t>_CALC_ALLOC!AE (D2E) · AF (D2M)</t>
  </si>
  <si>
    <t>niveau 2 (marque→campus)</t>
  </si>
  <si>
    <t>Clé campus → classe</t>
  </si>
  <si>
    <t>3_Allocation!C8</t>
  </si>
  <si>
    <t>ALLOC_CAMP_CLASS</t>
  </si>
  <si>
    <t>_CALC_ALLOC!AC (D3C) · AD (D3E)</t>
  </si>
  <si>
    <t>niveau 3 (campus→classe) + structure campus</t>
  </si>
  <si>
    <t>Effectif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</si>
</sst>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_-* #,##0_-;\-* #,##0_-;_-* &quot;-&quot;??_-;_-@_-"/>
    <numFmt numFmtId="168" formatCode="#\ ##0"/>
    <numFmt numFmtId="169" formatCode="_(* #,##0.0_);_(* \(#,##0.0\);_(* &quot;-&quot;??_);_(@_)"/>
    <numFmt numFmtId="170" formatCode="#\ ##0\ &quot;EUR&quot;"/>
    <numFmt numFmtId="171" formatCode="#,##0&quot; €&quot;;-#,##0&quot; €&quot;;&quot;–&quot;"/>
    <numFmt numFmtId="172" formatCode="0.0%;-0.0%;&quot;–&quot;"/>
    <numFmt numFmtId="173" formatCode="#,##0;-#,##0;&quot;–&quot;"/>
    <numFmt numFmtId="174" formatCode="&quot;▲ &quot;#,##0&quot; €&quot;;&quot;▼ &quot;#,##0&quot; €&quot;;&quot;–&quot;"/>
    <numFmt numFmtId="175" formatCode="&quot;▲ &quot;0.0%;&quot;▼ &quot;0.0%;&quot;–&quot;"/>
    <numFmt numFmtId="176" formatCode="0.00"/>
    <numFmt numFmtId="177" formatCode="&quot;▲ &quot;0.0&quot; pt&quot;;&quot;▼ &quot;0.0&quot; pt&quot;;&quot;–&quot;"/>
    <numFmt numFmtId="178" formatCode="&quot;▲ &quot;#,##0;&quot;▼ &quot;#,##0;&quot;–&quot;"/>
  </numFmts>
  <fonts count="5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0"/>
      <color rgb="FF15406E"/>
      <name val="Aptos Narrow"/>
      <family val="2"/>
    </font>
    <font>
      <b/>
      <sz val="11"/>
      <color rgb="FF1F3864"/>
      <name val="Aptos Narrow"/>
      <family val="2"/>
    </font>
    <font>
      <sz val="9"/>
      <color rgb="FF3B3B3B"/>
      <name val="Aptos Narrow"/>
      <family val="2"/>
    </font>
    <font>
      <sz val="9"/>
      <color rgb="FF000000"/>
      <name val="Aptos Narrow"/>
      <family val="2"/>
    </font>
    <font>
      <b/>
      <sz val="9"/>
      <color rgb="FF1B5FA6"/>
      <name val="Aptos Narrow"/>
      <family val="2"/>
    </font>
    <font>
      <b/>
      <sz val="9"/>
      <color rgb="FF2E7D42"/>
      <name val="Aptos Narrow"/>
      <family val="2"/>
    </font>
    <font>
      <b/>
      <sz val="9"/>
      <color rgb="FF9A6B00"/>
      <name val="Aptos Narrow"/>
      <family val="2"/>
    </font>
    <font>
      <b/>
      <sz val="11"/>
      <color rgb="FF2E86DE"/>
      <name val="Aptos Narrow"/>
      <family val="2"/>
    </font>
    <font>
      <b/>
      <sz val="9"/>
      <color rgb="FF375623"/>
      <name val="Aptos Narrow"/>
      <family val="2"/>
    </font>
    <font>
      <b/>
      <sz val="16"/>
      <color rgb="FF0F5FB0"/>
      <name val="Aptos Narrow"/>
      <family val="2"/>
    </font>
    <font>
      <b/>
      <sz val="17"/>
      <color rgb="FF0F5FB0"/>
      <name val="Aptos Narrow"/>
      <family val="2"/>
    </font>
    <font>
      <b/>
      <sz val="9"/>
      <color rgb="FF15406E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1"/>
      <name val="Arial"/>
      <family val="2"/>
    </font>
    <font>
      <b/>
      <sz val="12"/>
      <color rgb="FF1F3864"/>
      <name val="Aptos Narrow"/>
      <family val="2"/>
    </font>
    <font>
      <b/>
      <sz val="8"/>
      <color rgb="FFFFFFFF"/>
      <name val="Aptos Narrow"/>
      <family val="2"/>
    </font>
    <font>
      <b/>
      <sz val="8"/>
      <color rgb="FF8A8FA0"/>
      <name val="Aptos Narrow"/>
      <family val="2"/>
    </font>
    <font>
      <b/>
      <sz val="11"/>
      <color rgb="FF15406E"/>
      <name val="Calibri"/>
      <family val="2"/>
    </font>
    <font>
      <b/>
      <sz val="8"/>
      <color rgb="FF15406E"/>
      <name val="Calibri"/>
      <family val="2"/>
    </font>
    <font>
      <sz val="9"/>
      <color rgb="FF333333"/>
      <name val="Aptos Narrow"/>
      <family val="2"/>
    </font>
    <font>
      <b/>
      <sz val="15"/>
      <color rgb="FFB8860B"/>
      <name val="Aptos Narrow"/>
      <family val="2"/>
    </font>
    <font>
      <b/>
      <sz val="11"/>
      <color rgb="FFB8860B"/>
      <name val="Aptos Narrow"/>
      <family val="2"/>
    </font>
    <font>
      <b/>
      <sz val="11"/>
      <color rgb="FF15406E"/>
      <name val="Aptos Narrow"/>
      <family val="2"/>
    </font>
    <font>
      <b/>
      <sz val="9"/>
      <color rgb="FFFFFFFF"/>
      <name val="Aptos Narrow"/>
      <family val="2"/>
    </font>
    <font>
      <b/>
      <sz val="9"/>
      <color rgb="FF333333"/>
      <name val="Aptos Narrow"/>
      <family val="2"/>
    </font>
    <font>
      <sz val="9"/>
      <color rgb="FF555555"/>
      <name val="Aptos Narrow"/>
      <family val="2"/>
    </font>
    <font>
      <b/>
      <sz val="11"/>
      <color rgb="FFFFFFFF"/>
      <name val="Aptos Narrow"/>
      <family val="2"/>
    </font>
    <font>
      <b/>
      <sz val="10"/>
      <color rgb="FF7F6000"/>
      <name val="Aptos Narrow"/>
      <family val="2"/>
    </font>
    <font>
      <b/>
      <sz val="11"/>
      <color rgb="FF843C0C"/>
      <name val="Aptos Narrow"/>
      <family val="2"/>
    </font>
    <font>
      <b/>
      <sz val="10"/>
      <color rgb="FF1F3864"/>
      <name val="Aptos Narrow"/>
      <family val="2"/>
    </font>
    <font>
      <b/>
      <sz val="12"/>
      <color rgb="FF1B5FA6"/>
      <name val="Aptos Narrow"/>
      <family val="2"/>
    </font>
    <font>
      <sz val="11"/>
      <color theme="0"/>
      <name val="Aptos Narrow"/>
      <family val="2"/>
      <scheme val="minor"/>
    </font>
    <font>
      <sz val="11"/>
      <color rgb="FF3B3B3B"/>
      <name val="Arial"/>
      <family val="2"/>
    </font>
    <font>
      <sz val="11"/>
      <color rgb="FFB8860B"/>
      <name val="Arial"/>
      <family val="2"/>
    </font>
    <font>
      <b/>
      <sz val="11"/>
      <color rgb="FF0F5FB0"/>
      <name val="Arial"/>
      <family val="2"/>
    </font>
    <font>
      <b/>
      <sz val="11"/>
      <color rgb="FF1B5FA6"/>
      <name val="Arial"/>
      <family val="2"/>
    </font>
    <font>
      <b/>
      <sz val="11"/>
      <color rgb="FF1F3864"/>
      <name val="Arial"/>
      <family val="2"/>
    </font>
    <font>
      <b/>
      <sz val="10"/>
      <color rgb="FF1F3864"/>
      <name val="Arial"/>
      <family val="2"/>
    </font>
    <font>
      <b/>
      <sz val="10"/>
      <color rgb="FF15406E"/>
      <name val="Arial"/>
      <family val="2"/>
    </font>
    <font>
      <b/>
      <sz val="9"/>
      <color rgb="FF1F3864"/>
      <name val="Arial"/>
      <family val="2"/>
    </font>
    <font>
      <b/>
      <sz val="15"/>
      <color rgb="FF0F5FB0"/>
      <name val="Arial"/>
      <family val="2"/>
    </font>
    <font>
      <sz val="11"/>
      <color rgb="FF1B5FA6"/>
      <name val="Arial"/>
      <family val="2"/>
    </font>
    <font>
      <sz val="11"/>
      <color rgb="FF1F3864"/>
      <name val="Arial"/>
      <family val="2"/>
    </font>
    <font>
      <sz val="11"/>
      <color rgb="FFBFBFBF"/>
      <name val="Arial"/>
      <family val="2"/>
    </font>
    <font>
      <b/>
      <sz val="11"/>
      <color rgb="FF2E7D42"/>
      <name val="Arial"/>
      <family val="2"/>
    </font>
    <font>
      <sz val="11"/>
      <color rgb="FF2E7D4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E8F0FB"/>
      </patternFill>
    </fill>
    <fill>
      <patternFill patternType="solid">
        <fgColor rgb="FFD4E6FA"/>
      </patternFill>
    </fill>
    <fill>
      <patternFill patternType="solid">
        <fgColor rgb="FFDDF2E3"/>
      </patternFill>
    </fill>
    <fill>
      <patternFill patternType="solid">
        <fgColor rgb="FFE9F7EE"/>
      </patternFill>
    </fill>
    <fill>
      <patternFill patternType="solid">
        <fgColor rgb="FFEAF3FC"/>
      </patternFill>
    </fill>
    <fill>
      <patternFill patternType="solid">
        <fgColor rgb="FFEAF7EF"/>
      </patternFill>
    </fill>
    <fill>
      <patternFill patternType="solid">
        <fgColor rgb="FFFFF2CC"/>
      </patternFill>
    </fill>
    <fill>
      <patternFill patternType="solid">
        <fgColor rgb="FFC6E0B4"/>
      </patternFill>
    </fill>
    <fill>
      <patternFill patternType="solid">
        <fgColor rgb="FFFFFFFF"/>
      </patternFill>
    </fill>
    <fill>
      <patternFill patternType="solid">
        <fgColor rgb="FFECEEF1"/>
      </patternFill>
    </fill>
    <fill>
      <patternFill patternType="solid">
        <fgColor rgb="FFFBEFD0"/>
      </patternFill>
    </fill>
    <fill>
      <patternFill patternType="solid">
        <fgColor rgb="FF4A90D9"/>
      </patternFill>
    </fill>
    <fill>
      <patternFill patternType="solid">
        <fgColor rgb="FFEDEDF2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BF3DE"/>
      </patternFill>
    </fill>
    <fill>
      <patternFill patternType="solid">
        <fgColor rgb="FFB8860B"/>
      </patternFill>
    </fill>
    <fill>
      <patternFill patternType="solid">
        <fgColor rgb="FFF7F7F9"/>
      </patternFill>
    </fill>
    <fill>
      <patternFill patternType="solid">
        <fgColor rgb="FFF6E2D4"/>
      </patternFill>
    </fill>
    <fill>
      <patternFill patternType="solid">
        <fgColor rgb="FFECE0F6"/>
      </patternFill>
    </fill>
    <fill>
      <patternFill patternType="solid">
        <fgColor rgb="FFFCEDE3"/>
      </patternFill>
    </fill>
    <fill>
      <patternFill patternType="solid">
        <fgColor rgb="FFFFF2CC"/>
        <bgColor indexed="64"/>
      </patternFill>
    </fill>
    <fill>
      <patternFill patternType="solid">
        <fgColor rgb="FFEAF7EF"/>
        <bgColor indexed="64"/>
      </patternFill>
    </fill>
    <fill>
      <patternFill patternType="solid">
        <fgColor rgb="FFE8F0FB"/>
        <bgColor indexed="64"/>
      </patternFill>
    </fill>
    <fill>
      <patternFill patternType="solid">
        <fgColor rgb="FFD4E6FA"/>
        <bgColor indexed="64"/>
      </patternFill>
    </fill>
    <fill>
      <patternFill patternType="solid">
        <fgColor rgb="FFDDF2E3"/>
        <bgColor indexed="64"/>
      </patternFill>
    </fill>
    <fill>
      <patternFill patternType="solid">
        <fgColor rgb="FFECEEF1"/>
        <bgColor indexed="64"/>
      </patternFill>
    </fill>
    <fill>
      <patternFill patternType="solid">
        <fgColor rgb="FFFBEFD0"/>
        <bgColor indexed="64"/>
      </patternFill>
    </fill>
    <fill>
      <patternFill patternType="solid">
        <fgColor rgb="FFFCEDE3"/>
        <bgColor indexed="64"/>
      </patternFill>
    </fill>
  </fills>
  <borders count="18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ck">
        <color rgb="FF2E86DE"/>
      </left>
      <right/>
      <top style="thin">
        <color rgb="FFD9D9D9"/>
      </top>
      <bottom style="thin">
        <color rgb="FFD9D9D9"/>
      </bottom>
      <diagonal/>
    </border>
    <border>
      <left style="thick">
        <color rgb="FF27AE60"/>
      </left>
      <right/>
      <top style="thin">
        <color rgb="FFD9D9D9"/>
      </top>
      <bottom style="thin">
        <color rgb="FFD9D9D9"/>
      </bottom>
      <diagonal/>
    </border>
    <border>
      <left/>
      <right/>
      <top/>
      <bottom style="thick">
        <color rgb="FF2E86DE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medium">
        <color rgb="FFE0A800"/>
      </left>
      <right style="medium">
        <color rgb="FFE0A800"/>
      </right>
      <top style="medium">
        <color rgb="FFE0A800"/>
      </top>
      <bottom style="medium">
        <color rgb="FFE0A800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E0A800"/>
      </left>
      <right style="thin">
        <color rgb="FFE0A800"/>
      </right>
      <top style="thin">
        <color rgb="FFE0A800"/>
      </top>
      <bottom style="thin">
        <color rgb="FFE0A800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58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167" fontId="0" fillId="0" borderId="0" xfId="2" applyNumberFormat="1" applyFont="1"/>
    <xf numFmtId="0" fontId="3" fillId="0" borderId="0" xfId="0" quotePrefix="1" applyFont="1"/>
    <xf numFmtId="0" fontId="2" fillId="0" borderId="0" xfId="0" quotePrefix="1" applyFont="1"/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vertical="center"/>
    </xf>
    <xf numFmtId="165" fontId="7" fillId="0" borderId="1" xfId="0" applyNumberFormat="1" applyFont="1" applyBorder="1" applyAlignment="1">
      <alignment horizontal="right" vertical="center"/>
    </xf>
    <xf numFmtId="0" fontId="8" fillId="7" borderId="2" xfId="0" applyFont="1" applyFill="1" applyBorder="1" applyAlignment="1">
      <alignment horizontal="center" vertical="center" wrapText="1"/>
    </xf>
    <xf numFmtId="0" fontId="9" fillId="8" borderId="2" xfId="0" applyFont="1" applyFill="1" applyBorder="1" applyAlignment="1">
      <alignment horizontal="center" vertical="center" wrapText="1"/>
    </xf>
    <xf numFmtId="0" fontId="10" fillId="9" borderId="2" xfId="0" applyFont="1" applyFill="1" applyBorder="1" applyAlignment="1">
      <alignment horizontal="center" vertical="center" wrapText="1"/>
    </xf>
    <xf numFmtId="0" fontId="11" fillId="6" borderId="0" xfId="0" applyFont="1" applyFill="1" applyAlignment="1">
      <alignment vertical="center"/>
    </xf>
    <xf numFmtId="0" fontId="12" fillId="10" borderId="2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left" vertical="center" wrapText="1"/>
    </xf>
    <xf numFmtId="0" fontId="5" fillId="7" borderId="0" xfId="0" applyFont="1" applyFill="1" applyAlignment="1">
      <alignment horizontal="centerContinuous" vertical="center"/>
    </xf>
    <xf numFmtId="0" fontId="13" fillId="3" borderId="5" xfId="0" applyFont="1" applyFill="1" applyBorder="1" applyAlignment="1">
      <alignment horizontal="centerContinuous" vertical="center"/>
    </xf>
    <xf numFmtId="0" fontId="14" fillId="3" borderId="5" xfId="0" applyFont="1" applyFill="1" applyBorder="1" applyAlignment="1">
      <alignment vertical="center"/>
    </xf>
    <xf numFmtId="0" fontId="0" fillId="0" borderId="5" xfId="0" applyBorder="1"/>
    <xf numFmtId="169" fontId="0" fillId="0" borderId="0" xfId="3" applyNumberFormat="1" applyFont="1"/>
    <xf numFmtId="164" fontId="0" fillId="0" borderId="0" xfId="3" applyFont="1"/>
    <xf numFmtId="0" fontId="15" fillId="4" borderId="6" xfId="0" applyFont="1" applyFill="1" applyBorder="1" applyAlignment="1">
      <alignment horizontal="centerContinuous" vertical="center" wrapText="1"/>
    </xf>
    <xf numFmtId="0" fontId="15" fillId="5" borderId="0" xfId="0" applyFont="1" applyFill="1" applyAlignment="1">
      <alignment horizontal="centerContinuous" vertical="center" wrapText="1"/>
    </xf>
    <xf numFmtId="0" fontId="15" fillId="3" borderId="0" xfId="0" applyFont="1" applyFill="1" applyAlignment="1">
      <alignment horizontal="centerContinuous" vertical="center" wrapText="1"/>
    </xf>
    <xf numFmtId="0" fontId="15" fillId="12" borderId="0" xfId="0" applyFont="1" applyFill="1" applyAlignment="1">
      <alignment horizontal="centerContinuous" vertical="center" wrapText="1"/>
    </xf>
    <xf numFmtId="0" fontId="15" fillId="13" borderId="0" xfId="0" applyFont="1" applyFill="1" applyAlignment="1">
      <alignment horizontal="centerContinuous" vertical="center" wrapText="1"/>
    </xf>
    <xf numFmtId="164" fontId="20" fillId="0" borderId="0" xfId="3" applyFont="1" applyAlignment="1">
      <alignment vertical="center"/>
    </xf>
    <xf numFmtId="169" fontId="0" fillId="0" borderId="0" xfId="3" applyNumberFormat="1" applyFont="1" applyAlignment="1"/>
    <xf numFmtId="0" fontId="21" fillId="7" borderId="0" xfId="0" applyFont="1" applyFill="1" applyAlignment="1">
      <alignment vertical="center"/>
    </xf>
    <xf numFmtId="0" fontId="21" fillId="7" borderId="0" xfId="0" applyFont="1" applyFill="1" applyAlignment="1">
      <alignment vertical="center" indent="1"/>
    </xf>
    <xf numFmtId="0" fontId="22" fillId="14" borderId="2" xfId="0" applyFont="1" applyFill="1" applyBorder="1" applyAlignment="1">
      <alignment horizontal="center" vertical="center"/>
    </xf>
    <xf numFmtId="0" fontId="23" fillId="15" borderId="2" xfId="0" quotePrefix="1" applyFont="1" applyFill="1" applyBorder="1" applyAlignment="1">
      <alignment horizontal="center" vertical="center" wrapText="1"/>
    </xf>
    <xf numFmtId="0" fontId="24" fillId="3" borderId="1" xfId="0" quotePrefix="1" applyFont="1" applyFill="1" applyBorder="1" applyAlignment="1">
      <alignment horizontal="center" vertical="center" wrapText="1"/>
    </xf>
    <xf numFmtId="0" fontId="23" fillId="16" borderId="2" xfId="0" quotePrefix="1" applyFont="1" applyFill="1" applyBorder="1" applyAlignment="1">
      <alignment horizontal="center" vertical="center" wrapText="1"/>
    </xf>
    <xf numFmtId="0" fontId="25" fillId="16" borderId="1" xfId="0" quotePrefix="1" applyFont="1" applyFill="1" applyBorder="1" applyAlignment="1">
      <alignment horizontal="center" vertical="center" wrapText="1"/>
    </xf>
    <xf numFmtId="0" fontId="4" fillId="13" borderId="1" xfId="0" quotePrefix="1" applyFont="1" applyFill="1" applyBorder="1" applyAlignment="1">
      <alignment horizontal="center" vertical="center" wrapText="1"/>
    </xf>
    <xf numFmtId="0" fontId="26" fillId="0" borderId="2" xfId="0" applyFont="1" applyBorder="1" applyAlignment="1">
      <alignment horizontal="left" vertical="center"/>
    </xf>
    <xf numFmtId="169" fontId="0" fillId="0" borderId="0" xfId="3" quotePrefix="1" applyNumberFormat="1" applyFont="1"/>
    <xf numFmtId="0" fontId="26" fillId="0" borderId="2" xfId="0" quotePrefix="1" applyFont="1" applyBorder="1" applyAlignment="1">
      <alignment horizontal="left" vertical="center"/>
    </xf>
    <xf numFmtId="0" fontId="21" fillId="6" borderId="0" xfId="0" applyFont="1" applyFill="1" applyAlignment="1">
      <alignment vertical="center"/>
    </xf>
    <xf numFmtId="0" fontId="27" fillId="17" borderId="0" xfId="0" applyFont="1" applyFill="1"/>
    <xf numFmtId="0" fontId="28" fillId="0" borderId="0" xfId="0" applyFont="1"/>
    <xf numFmtId="0" fontId="6" fillId="7" borderId="3" xfId="0" quotePrefix="1" applyFont="1" applyFill="1" applyBorder="1" applyAlignment="1">
      <alignment horizontal="left" vertical="center" wrapText="1"/>
    </xf>
    <xf numFmtId="0" fontId="6" fillId="8" borderId="4" xfId="0" quotePrefix="1" applyFont="1" applyFill="1" applyBorder="1" applyAlignment="1">
      <alignment horizontal="left" vertical="center"/>
    </xf>
    <xf numFmtId="0" fontId="30" fillId="18" borderId="13" xfId="0" applyFont="1" applyFill="1" applyBorder="1" applyAlignment="1">
      <alignment horizontal="center" vertical="center" wrapText="1"/>
    </xf>
    <xf numFmtId="0" fontId="15" fillId="4" borderId="13" xfId="0" applyFont="1" applyFill="1" applyBorder="1" applyAlignment="1">
      <alignment horizontal="left" vertical="center"/>
    </xf>
    <xf numFmtId="0" fontId="31" fillId="19" borderId="13" xfId="0" applyFont="1" applyFill="1" applyBorder="1" applyAlignment="1">
      <alignment horizontal="left" vertical="center"/>
    </xf>
    <xf numFmtId="0" fontId="32" fillId="11" borderId="13" xfId="0" applyFont="1" applyFill="1" applyBorder="1" applyAlignment="1">
      <alignment horizontal="left" vertical="center"/>
    </xf>
    <xf numFmtId="0" fontId="15" fillId="5" borderId="13" xfId="0" applyFont="1" applyFill="1" applyBorder="1" applyAlignment="1">
      <alignment horizontal="left" vertical="center"/>
    </xf>
    <xf numFmtId="0" fontId="15" fillId="13" borderId="13" xfId="0" applyFont="1" applyFill="1" applyBorder="1" applyAlignment="1">
      <alignment horizontal="left" vertical="center"/>
    </xf>
    <xf numFmtId="0" fontId="15" fillId="20" borderId="13" xfId="0" applyFont="1" applyFill="1" applyBorder="1" applyAlignment="1">
      <alignment horizontal="left" vertical="center"/>
    </xf>
    <xf numFmtId="0" fontId="15" fillId="21" borderId="13" xfId="0" applyFont="1" applyFill="1" applyBorder="1" applyAlignment="1">
      <alignment horizontal="left" vertical="center"/>
    </xf>
    <xf numFmtId="0" fontId="33" fillId="18" borderId="13" xfId="0" applyFont="1" applyFill="1" applyBorder="1"/>
    <xf numFmtId="0" fontId="15" fillId="0" borderId="0" xfId="0" applyFont="1" applyAlignment="1">
      <alignment horizontal="left" vertical="center"/>
    </xf>
    <xf numFmtId="0" fontId="34" fillId="9" borderId="12" xfId="0" applyFont="1" applyFill="1" applyBorder="1" applyAlignment="1">
      <alignment vertical="center" wrapText="1"/>
    </xf>
    <xf numFmtId="0" fontId="27" fillId="17" borderId="0" xfId="0" applyFont="1" applyFill="1" applyAlignment="1">
      <alignment horizontal="centerContinuous"/>
    </xf>
    <xf numFmtId="0" fontId="27" fillId="17" borderId="0" xfId="0" applyFont="1" applyFill="1" applyAlignment="1">
      <alignment horizontal="left"/>
    </xf>
    <xf numFmtId="0" fontId="5" fillId="7" borderId="1" xfId="0" applyFont="1" applyFill="1" applyBorder="1" applyAlignment="1">
      <alignment horizontal="left" vertical="center"/>
    </xf>
    <xf numFmtId="0" fontId="0" fillId="7" borderId="1" xfId="0" applyFill="1" applyBorder="1"/>
    <xf numFmtId="0" fontId="35" fillId="22" borderId="1" xfId="0" applyFont="1" applyFill="1" applyBorder="1" applyAlignment="1">
      <alignment horizontal="left" vertical="center"/>
    </xf>
    <xf numFmtId="0" fontId="0" fillId="22" borderId="1" xfId="0" applyFill="1" applyBorder="1"/>
    <xf numFmtId="0" fontId="29" fillId="3" borderId="1" xfId="0" applyFont="1" applyFill="1" applyBorder="1" applyAlignment="1">
      <alignment horizontal="left" vertical="center"/>
    </xf>
    <xf numFmtId="0" fontId="0" fillId="3" borderId="1" xfId="0" applyFill="1" applyBorder="1"/>
    <xf numFmtId="0" fontId="6" fillId="11" borderId="1" xfId="0" quotePrefix="1" applyFont="1" applyFill="1" applyBorder="1" applyAlignment="1">
      <alignment horizontal="left" vertical="center" wrapText="1"/>
    </xf>
    <xf numFmtId="0" fontId="6" fillId="2" borderId="1" xfId="0" quotePrefix="1" applyFont="1" applyFill="1" applyBorder="1" applyAlignment="1">
      <alignment horizontal="left" vertical="center" wrapText="1"/>
    </xf>
    <xf numFmtId="0" fontId="36" fillId="0" borderId="0" xfId="0" applyFont="1" applyAlignment="1">
      <alignment horizontal="right" vertical="center"/>
    </xf>
    <xf numFmtId="0" fontId="37" fillId="9" borderId="12" xfId="0" applyFont="1" applyFill="1" applyBorder="1" applyAlignment="1">
      <alignment horizontal="center" vertical="center" wrapText="1"/>
    </xf>
    <xf numFmtId="0" fontId="11" fillId="6" borderId="0" xfId="0" quotePrefix="1" applyFont="1" applyFill="1" applyAlignment="1">
      <alignment vertical="center"/>
    </xf>
    <xf numFmtId="0" fontId="0" fillId="0" borderId="0" xfId="0" applyAlignment="1">
      <alignment horizontal="centerContinuous"/>
    </xf>
    <xf numFmtId="170" fontId="16" fillId="11" borderId="8" xfId="0" applyNumberFormat="1" applyFont="1" applyFill="1" applyBorder="1" applyAlignment="1">
      <alignment horizontal="centerContinuous" vertical="center" wrapText="1"/>
    </xf>
    <xf numFmtId="170" fontId="16" fillId="11" borderId="9" xfId="0" applyNumberFormat="1" applyFont="1" applyFill="1" applyBorder="1" applyAlignment="1">
      <alignment horizontal="centerContinuous" vertical="center" wrapText="1"/>
    </xf>
    <xf numFmtId="170" fontId="16" fillId="11" borderId="10" xfId="0" applyNumberFormat="1" applyFont="1" applyFill="1" applyBorder="1" applyAlignment="1">
      <alignment horizontal="centerContinuous" vertical="center" wrapText="1"/>
    </xf>
    <xf numFmtId="170" fontId="16" fillId="11" borderId="6" xfId="0" applyNumberFormat="1" applyFont="1" applyFill="1" applyBorder="1" applyAlignment="1">
      <alignment horizontal="centerContinuous" vertical="center" wrapText="1"/>
    </xf>
    <xf numFmtId="170" fontId="16" fillId="11" borderId="11" xfId="0" applyNumberFormat="1" applyFont="1" applyFill="1" applyBorder="1" applyAlignment="1">
      <alignment horizontal="centerContinuous" vertical="center" wrapText="1"/>
    </xf>
    <xf numFmtId="170" fontId="16" fillId="11" borderId="14" xfId="0" applyNumberFormat="1" applyFont="1" applyFill="1" applyBorder="1" applyAlignment="1">
      <alignment horizontal="centerContinuous" vertical="center" wrapText="1"/>
    </xf>
    <xf numFmtId="170" fontId="16" fillId="11" borderId="0" xfId="0" applyNumberFormat="1" applyFont="1" applyFill="1" applyAlignment="1">
      <alignment horizontal="centerContinuous" vertical="center" wrapText="1"/>
    </xf>
    <xf numFmtId="170" fontId="16" fillId="11" borderId="15" xfId="0" applyNumberFormat="1" applyFont="1" applyFill="1" applyBorder="1" applyAlignment="1">
      <alignment horizontal="centerContinuous" vertical="center" wrapText="1"/>
    </xf>
    <xf numFmtId="170" fontId="17" fillId="11" borderId="8" xfId="0" applyNumberFormat="1" applyFont="1" applyFill="1" applyBorder="1" applyAlignment="1">
      <alignment vertical="center" wrapText="1"/>
    </xf>
    <xf numFmtId="170" fontId="17" fillId="11" borderId="9" xfId="0" applyNumberFormat="1" applyFont="1" applyFill="1" applyBorder="1" applyAlignment="1">
      <alignment vertical="center" wrapText="1"/>
    </xf>
    <xf numFmtId="170" fontId="17" fillId="11" borderId="10" xfId="0" applyNumberFormat="1" applyFont="1" applyFill="1" applyBorder="1" applyAlignment="1">
      <alignment vertical="center" wrapText="1"/>
    </xf>
    <xf numFmtId="170" fontId="17" fillId="11" borderId="6" xfId="0" applyNumberFormat="1" applyFont="1" applyFill="1" applyBorder="1" applyAlignment="1">
      <alignment vertical="center" wrapText="1"/>
    </xf>
    <xf numFmtId="170" fontId="17" fillId="11" borderId="11" xfId="0" applyNumberFormat="1" applyFont="1" applyFill="1" applyBorder="1" applyAlignment="1">
      <alignment vertical="center" wrapText="1"/>
    </xf>
    <xf numFmtId="170" fontId="17" fillId="11" borderId="14" xfId="0" applyNumberFormat="1" applyFont="1" applyFill="1" applyBorder="1" applyAlignment="1">
      <alignment horizontal="centerContinuous" vertical="center" wrapText="1"/>
    </xf>
    <xf numFmtId="170" fontId="17" fillId="11" borderId="0" xfId="0" applyNumberFormat="1" applyFont="1" applyFill="1" applyAlignment="1">
      <alignment horizontal="centerContinuous" vertical="center" wrapText="1"/>
    </xf>
    <xf numFmtId="170" fontId="17" fillId="11" borderId="15" xfId="0" applyNumberFormat="1" applyFont="1" applyFill="1" applyBorder="1" applyAlignment="1">
      <alignment horizontal="centerContinuous" vertical="center" wrapText="1"/>
    </xf>
    <xf numFmtId="165" fontId="18" fillId="11" borderId="8" xfId="0" applyNumberFormat="1" applyFont="1" applyFill="1" applyBorder="1" applyAlignment="1">
      <alignment vertical="center" wrapText="1"/>
    </xf>
    <xf numFmtId="165" fontId="18" fillId="11" borderId="9" xfId="0" applyNumberFormat="1" applyFont="1" applyFill="1" applyBorder="1" applyAlignment="1">
      <alignment vertical="center" wrapText="1"/>
    </xf>
    <xf numFmtId="165" fontId="18" fillId="11" borderId="10" xfId="0" applyNumberFormat="1" applyFont="1" applyFill="1" applyBorder="1" applyAlignment="1">
      <alignment vertical="center" wrapText="1"/>
    </xf>
    <xf numFmtId="165" fontId="18" fillId="11" borderId="6" xfId="0" applyNumberFormat="1" applyFont="1" applyFill="1" applyBorder="1" applyAlignment="1">
      <alignment vertical="center" wrapText="1"/>
    </xf>
    <xf numFmtId="165" fontId="18" fillId="11" borderId="11" xfId="0" applyNumberFormat="1" applyFont="1" applyFill="1" applyBorder="1" applyAlignment="1">
      <alignment vertical="center" wrapText="1"/>
    </xf>
    <xf numFmtId="165" fontId="18" fillId="11" borderId="14" xfId="0" applyNumberFormat="1" applyFont="1" applyFill="1" applyBorder="1" applyAlignment="1">
      <alignment horizontal="centerContinuous" vertical="center" wrapText="1"/>
    </xf>
    <xf numFmtId="165" fontId="18" fillId="11" borderId="0" xfId="0" applyNumberFormat="1" applyFont="1" applyFill="1" applyAlignment="1">
      <alignment horizontal="centerContinuous" vertical="center" wrapText="1"/>
    </xf>
    <xf numFmtId="165" fontId="18" fillId="11" borderId="15" xfId="0" applyNumberFormat="1" applyFont="1" applyFill="1" applyBorder="1" applyAlignment="1">
      <alignment horizontal="centerContinuous" vertical="center" wrapText="1"/>
    </xf>
    <xf numFmtId="168" fontId="19" fillId="11" borderId="7" xfId="0" applyNumberFormat="1" applyFont="1" applyFill="1" applyBorder="1" applyAlignment="1">
      <alignment vertical="center" wrapText="1"/>
    </xf>
    <xf numFmtId="168" fontId="19" fillId="11" borderId="8" xfId="0" applyNumberFormat="1" applyFont="1" applyFill="1" applyBorder="1" applyAlignment="1">
      <alignment vertical="center" wrapText="1"/>
    </xf>
    <xf numFmtId="168" fontId="19" fillId="11" borderId="9" xfId="0" applyNumberFormat="1" applyFont="1" applyFill="1" applyBorder="1" applyAlignment="1">
      <alignment vertical="center" wrapText="1"/>
    </xf>
    <xf numFmtId="168" fontId="19" fillId="11" borderId="10" xfId="0" applyNumberFormat="1" applyFont="1" applyFill="1" applyBorder="1" applyAlignment="1">
      <alignment vertical="center" wrapText="1"/>
    </xf>
    <xf numFmtId="168" fontId="19" fillId="11" borderId="6" xfId="0" applyNumberFormat="1" applyFont="1" applyFill="1" applyBorder="1" applyAlignment="1">
      <alignment vertical="center" wrapText="1"/>
    </xf>
    <xf numFmtId="168" fontId="19" fillId="11" borderId="11" xfId="0" applyNumberFormat="1" applyFont="1" applyFill="1" applyBorder="1" applyAlignment="1">
      <alignment vertical="center" wrapText="1"/>
    </xf>
    <xf numFmtId="168" fontId="19" fillId="11" borderId="14" xfId="0" applyNumberFormat="1" applyFont="1" applyFill="1" applyBorder="1" applyAlignment="1">
      <alignment horizontal="centerContinuous" vertical="center" wrapText="1"/>
    </xf>
    <xf numFmtId="168" fontId="19" fillId="11" borderId="0" xfId="0" applyNumberFormat="1" applyFont="1" applyFill="1" applyAlignment="1">
      <alignment horizontal="centerContinuous" vertical="center" wrapText="1"/>
    </xf>
    <xf numFmtId="168" fontId="19" fillId="11" borderId="15" xfId="0" applyNumberFormat="1" applyFont="1" applyFill="1" applyBorder="1" applyAlignment="1">
      <alignment horizontal="centerContinuous" vertical="center" wrapText="1"/>
    </xf>
    <xf numFmtId="0" fontId="4" fillId="5" borderId="1" xfId="0" quotePrefix="1" applyFont="1" applyFill="1" applyBorder="1" applyAlignment="1">
      <alignment horizontal="center" vertical="center" wrapText="1"/>
    </xf>
    <xf numFmtId="164" fontId="38" fillId="0" borderId="0" xfId="3" applyFont="1"/>
    <xf numFmtId="164" fontId="38" fillId="0" borderId="0" xfId="3" quotePrefix="1" applyFont="1"/>
    <xf numFmtId="171" fontId="39" fillId="0" borderId="16" xfId="0" applyFont="1" applyFill="1" applyBorder="1" applyNumberFormat="1" applyAlignment="1">
      <alignment horizontal="right" vertical="center"/>
    </xf>
    <xf numFmtId="173" fontId="39" fillId="0" borderId="16" xfId="0" applyFont="1" applyFill="1" applyBorder="1" applyNumberFormat="1" applyAlignment="1">
      <alignment horizontal="right" vertical="center"/>
    </xf>
    <xf numFmtId="172" fontId="39" fillId="0" borderId="16" xfId="0" applyFont="1" applyFill="1" applyBorder="1" applyNumberFormat="1" applyAlignment="1">
      <alignment horizontal="right" vertical="center"/>
    </xf>
    <xf numFmtId="171" fontId="40" fillId="0" borderId="16" xfId="0" applyFont="1" applyFill="1" applyBorder="1" applyNumberFormat="1" applyAlignment="1">
      <alignment horizontal="right" vertical="center"/>
    </xf>
    <xf numFmtId="172" fontId="40" fillId="0" borderId="16" xfId="0" applyFont="1" applyFill="1" applyBorder="1" applyNumberFormat="1" applyAlignment="1">
      <alignment horizontal="right" vertical="center"/>
    </xf>
    <xf numFmtId="171" fontId="41" fillId="0" borderId="16" xfId="0" applyFont="1" applyFill="1" applyBorder="1" applyNumberFormat="1" applyAlignment="1">
      <alignment horizontal="right" vertical="center"/>
    </xf>
    <xf numFmtId="173" fontId="41" fillId="0" borderId="16" xfId="0" applyFont="1" applyFill="1" applyBorder="1" applyNumberFormat="1" applyAlignment="1">
      <alignment horizontal="right" vertical="center"/>
    </xf>
    <xf numFmtId="172" fontId="41" fillId="0" borderId="16" xfId="0" applyFont="1" applyFill="1" applyBorder="1" applyNumberFormat="1" applyAlignment="1">
      <alignment horizontal="right" vertical="center"/>
    </xf>
    <xf numFmtId="174" fontId="39" fillId="0" borderId="16" xfId="0" applyFont="1" applyFill="1" applyBorder="1" applyNumberFormat="1" applyAlignment="1">
      <alignment horizontal="right" vertical="center"/>
    </xf>
    <xf numFmtId="175" fontId="39" fillId="0" borderId="16" xfId="0" applyFont="1" applyFill="1" applyBorder="1" applyNumberFormat="1" applyAlignment="1">
      <alignment horizontal="right" vertical="center"/>
    </xf>
    <xf numFmtId="177" fontId="39" fillId="0" borderId="16" xfId="0" applyFont="1" applyFill="1" applyBorder="1" applyNumberFormat="1" applyAlignment="1">
      <alignment horizontal="right" vertical="center"/>
    </xf>
    <xf numFmtId="0" fontId="0" fillId="0" borderId="16" xfId="0" applyFont="1" applyFill="1" applyBorder="1"/>
    <xf numFmtId="172" fontId="42" fillId="23" borderId="17" xfId="0" applyFont="1" applyFill="1" applyBorder="1" applyNumberFormat="1" applyAlignment="1">
      <alignment horizontal="center" vertical="center"/>
    </xf>
    <xf numFmtId="171" fontId="42" fillId="23" borderId="17" xfId="0" applyFont="1" applyFill="1" applyBorder="1" applyNumberFormat="1" applyAlignment="1">
      <alignment horizontal="center" vertical="center"/>
    </xf>
    <xf numFmtId="176" fontId="42" fillId="23" borderId="17" xfId="0" applyFont="1" applyFill="1" applyBorder="1" applyNumberFormat="1" applyAlignment="1">
      <alignment horizontal="center" vertical="center"/>
    </xf>
    <xf numFmtId="178" fontId="39" fillId="0" borderId="16" xfId="0" applyFont="1" applyFill="1" applyBorder="1" applyNumberFormat="1" applyAlignment="1">
      <alignment horizontal="right" vertical="center"/>
    </xf>
    <xf numFmtId="172" fontId="43" fillId="24" borderId="16" xfId="0" applyFont="1" applyFill="1" applyBorder="1" applyNumberFormat="1" applyAlignment="1">
      <alignment horizontal="center" vertical="center"/>
    </xf>
    <xf numFmtId="171" fontId="43" fillId="24" borderId="16" xfId="0" applyFont="1" applyFill="1" applyBorder="1" applyNumberFormat="1" applyAlignment="1">
      <alignment horizontal="center" vertical="center"/>
    </xf>
    <xf numFmtId="0" fontId="44" fillId="25" borderId="16" xfId="0" applyFont="1" applyFill="1" applyBorder="1" applyAlignment="1">
      <alignment horizontal="center" vertical="center"/>
    </xf>
    <xf numFmtId="0" fontId="41" fillId="25" borderId="0" xfId="0" applyFont="1" applyFill="1" applyBorder="1" applyAlignment="1">
      <alignment horizontal="left" vertical="center"/>
    </xf>
    <xf numFmtId="0" fontId="45" fillId="25" borderId="16" xfId="0" applyFont="1" applyFill="1" applyBorder="1" applyAlignment="1">
      <alignment horizontal="center" vertical="center" wrapText="1"/>
    </xf>
    <xf numFmtId="0" fontId="0" fillId="0" borderId="0" xfId="0" applyFont="1" applyFill="1" applyBorder="1"/>
    <xf numFmtId="0" fontId="46" fillId="26" borderId="0" xfId="0" applyFont="1" applyFill="1" applyBorder="1" applyAlignment="1">
      <alignment horizontal="centerContinuous" vertical="center" wrapText="1"/>
    </xf>
    <xf numFmtId="0" fontId="0" fillId="26" borderId="0" xfId="0" applyFont="1" applyFill="1" applyBorder="1" applyAlignment="1">
      <alignment horizontal="centerContinuous"/>
    </xf>
    <xf numFmtId="171" fontId="47" fillId="0" borderId="0" xfId="0" applyFont="1" applyFill="1" applyBorder="1" applyNumberFormat="1" applyAlignment="1">
      <alignment horizontal="centerContinuous" vertical="center"/>
    </xf>
    <xf numFmtId="0" fontId="0" fillId="0" borderId="0" xfId="0" applyFont="1" applyFill="1" applyBorder="1" applyAlignment="1">
      <alignment horizontal="centerContinuous"/>
    </xf>
    <xf numFmtId="0" fontId="46" fillId="27" borderId="0" xfId="0" applyFont="1" applyFill="1" applyBorder="1" applyAlignment="1">
      <alignment horizontal="centerContinuous" vertical="center" wrapText="1"/>
    </xf>
    <xf numFmtId="0" fontId="0" fillId="27" borderId="0" xfId="0" applyFont="1" applyFill="1" applyBorder="1" applyAlignment="1">
      <alignment horizontal="centerContinuous"/>
    </xf>
    <xf numFmtId="0" fontId="46" fillId="25" borderId="0" xfId="0" applyFont="1" applyFill="1" applyBorder="1" applyAlignment="1">
      <alignment horizontal="centerContinuous" vertical="center" wrapText="1"/>
    </xf>
    <xf numFmtId="0" fontId="0" fillId="25" borderId="0" xfId="0" applyFont="1" applyFill="1" applyBorder="1" applyAlignment="1">
      <alignment horizontal="centerContinuous"/>
    </xf>
    <xf numFmtId="172" fontId="47" fillId="0" borderId="0" xfId="0" applyFont="1" applyFill="1" applyBorder="1" applyNumberFormat="1" applyAlignment="1">
      <alignment horizontal="centerContinuous" vertical="center"/>
    </xf>
    <xf numFmtId="0" fontId="46" fillId="28" borderId="0" xfId="0" applyFont="1" applyFill="1" applyBorder="1" applyAlignment="1">
      <alignment horizontal="centerContinuous" vertical="center" wrapText="1"/>
    </xf>
    <xf numFmtId="0" fontId="0" fillId="28" borderId="0" xfId="0" applyFont="1" applyFill="1" applyBorder="1" applyAlignment="1">
      <alignment horizontal="centerContinuous"/>
    </xf>
    <xf numFmtId="173" fontId="47" fillId="0" borderId="0" xfId="0" applyFont="1" applyFill="1" applyBorder="1" applyNumberFormat="1" applyAlignment="1">
      <alignment horizontal="centerContinuous" vertical="center"/>
    </xf>
    <xf numFmtId="0" fontId="46" fillId="29" borderId="0" xfId="0" applyFont="1" applyFill="1" applyBorder="1" applyAlignment="1">
      <alignment horizontal="centerContinuous" vertical="center" wrapText="1"/>
    </xf>
    <xf numFmtId="0" fontId="0" fillId="29" borderId="0" xfId="0" applyFont="1" applyFill="1" applyBorder="1" applyAlignment="1">
      <alignment horizontal="centerContinuous"/>
    </xf>
    <xf numFmtId="176" fontId="39" fillId="0" borderId="16" xfId="0" applyFont="1" applyFill="1" applyBorder="1" applyNumberFormat="1" applyAlignment="1">
      <alignment horizontal="right" vertical="center"/>
    </xf>
    <xf numFmtId="173" fontId="48" fillId="0" borderId="16" xfId="0" applyFont="1" applyFill="1" applyBorder="1" applyNumberFormat="1" applyAlignment="1">
      <alignment horizontal="center" vertical="center"/>
    </xf>
    <xf numFmtId="171" fontId="49" fillId="0" borderId="16" xfId="0" applyFont="1" applyFill="1" applyBorder="1" applyNumberFormat="1" applyAlignment="1">
      <alignment horizontal="right" vertical="center"/>
    </xf>
    <xf numFmtId="0" fontId="50" fillId="0" borderId="16" xfId="0" applyFont="1" applyFill="1" applyBorder="1" applyAlignment="1">
      <alignment horizontal="left" vertical="center"/>
    </xf>
    <xf numFmtId="173" fontId="43" fillId="0" borderId="16" xfId="0" applyFont="1" applyFill="1" applyBorder="1" applyNumberFormat="1" applyAlignment="1">
      <alignment horizontal="right" vertical="center"/>
    </xf>
    <xf numFmtId="171" fontId="43" fillId="0" borderId="16" xfId="0" applyFont="1" applyFill="1" applyBorder="1" applyNumberFormat="1" applyAlignment="1">
      <alignment horizontal="right" vertical="center"/>
    </xf>
    <xf numFmtId="172" fontId="43" fillId="0" borderId="16" xfId="0" applyFont="1" applyFill="1" applyBorder="1" applyNumberFormat="1" applyAlignment="1">
      <alignment horizontal="right" vertical="center"/>
    </xf>
    <xf numFmtId="173" fontId="43" fillId="30" borderId="16" xfId="0" applyFont="1" applyFill="1" applyBorder="1" applyNumberFormat="1" applyAlignment="1">
      <alignment horizontal="right" vertical="center"/>
    </xf>
    <xf numFmtId="171" fontId="43" fillId="30" borderId="16" xfId="0" applyFont="1" applyFill="1" applyBorder="1" applyNumberFormat="1" applyAlignment="1">
      <alignment horizontal="right" vertical="center"/>
    </xf>
    <xf numFmtId="172" fontId="43" fillId="30" borderId="16" xfId="0" applyFont="1" applyFill="1" applyBorder="1" applyNumberFormat="1" applyAlignment="1">
      <alignment horizontal="right" vertical="center"/>
    </xf>
    <xf numFmtId="0" fontId="43" fillId="0" borderId="0" xfId="0" applyFont="1" applyFill="1" applyBorder="1" applyAlignment="1">
      <alignment horizontal="left" vertical="center"/>
    </xf>
    <xf numFmtId="0" fontId="42" fillId="23" borderId="17" xfId="0" applyFont="1" applyFill="1" applyBorder="1" applyAlignment="1">
      <alignment horizontal="center" vertical="center" wrapText="1"/>
    </xf>
    <xf numFmtId="171" fontId="51" fillId="0" borderId="16" xfId="0" applyFont="1" applyFill="1" applyBorder="1" applyNumberFormat="1" applyAlignment="1">
      <alignment horizontal="right" vertical="center"/>
    </xf>
    <xf numFmtId="171" fontId="52" fillId="0" borderId="16" xfId="0" applyFont="1" applyFill="1" applyBorder="1" applyNumberFormat="1" applyAlignment="1">
      <alignment horizontal="right" vertical="center"/>
    </xf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2">
    <dxf>
      <font>
        <b/>
        <color rgb="FF2E7D42"/>
      </font>
    </dxf>
    <dxf>
      <font>
        <b/>
        <color rgb="FFC0392B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10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cad!A65546</f>
        <v>0</v>
      </c>
    </row>
    <row r="2" spans="1:2" x14ac:dyDescent="0.45">
      <c r="A2" t="s">
        <v>26</v>
      </c>
      <c r="B2">
        <f>Socle!A65536</f>
        <v>0</v>
      </c>
    </row>
    <row r="3" spans="1:2" x14ac:dyDescent="0.45">
      <c r="A3" t="s">
        <v>56</v>
      </c>
      <c r="B3">
        <f>Campagne!A65536</f>
        <v>0</v>
      </c>
    </row>
    <row r="4" spans="1:2" x14ac:dyDescent="0.45">
      <c r="A4" t="s">
        <v>66</v>
      </c>
      <c r="B4">
        <f>Moteur!A65536</f>
        <v>0</v>
      </c>
    </row>
    <row r="5" spans="1:2" x14ac:dyDescent="0.45">
      <c r="A5" t="s">
        <v>72</v>
      </c>
      <c r="B5">
        <f>Compta!A65536</f>
        <v>0</v>
      </c>
    </row>
    <row r="6" spans="1:2" x14ac:dyDescent="0.45">
      <c r="A6" t="s">
        <v>78</v>
      </c>
      <c r="B6">
        <f>PNL!A65536</f>
        <v>0</v>
      </c>
    </row>
    <row r="7" spans="1:2" x14ac:dyDescent="0.45">
      <c r="A7" t="s">
        <v>133</v>
      </c>
      <c r="B7">
        <f>PIL!A65538</f>
        <v>0</v>
      </c>
    </row>
    <row r="9" spans="1:2" x14ac:dyDescent="0.45">
      <c r="A9" t="s">
        <v>83</v>
      </c>
      <c r="B9">
        <f>Allocation!A65536</f>
        <v>0</v>
      </c>
    </row>
    <row r="10" spans="1:2" x14ac:dyDescent="0.45">
      <c r="A10" t="s">
        <v>135</v>
      </c>
      <c r="B10">
        <f>ALLOC!B65537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A1:P69"/>
  <sheetViews>
    <sheetView showGridLines="0" tabSelected="1" zoomScale="90" zoomScaleNormal="90" workbookViewId="0">
      <selection activeCell="B8" sqref="B8"/>
    </sheetView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5" max="5" width="22.9296875" customWidth="1"/>
    <col min="7" max="7" width="19.796875" bestFit="1" customWidth="1"/>
    <col min="8" max="8" width="1.86328125" customWidth="1"/>
    <col min="9" max="9" width="15.53125" customWidth="1"/>
    <col min="10" max="10" width="15.86328125" customWidth="1"/>
  </cols>
  <sheetData>
    <row r="1" spans="2:16" x14ac:dyDescent="0.45">
      <c r="P1">
        <f>IF(cad!$C$5="Optimiste","V02",IF(cad!$C$5="Prudent","V03","V01"))</f>
      </c>
    </row>
    <row r="2" spans="2:16" ht="21.4" thickBot="1" x14ac:dyDescent="0.5">
      <c r="B2" s="19" t="s">
        <v>106</v>
      </c>
      <c r="C2" s="19"/>
      <c r="D2" s="19"/>
      <c r="E2" s="19"/>
      <c r="F2" s="19"/>
      <c r="G2" s="19"/>
      <c r="H2" s="19"/>
    </row>
    <row r="3" spans="2:16" ht="14.65" thickTop="1" x14ac:dyDescent="0.45"/>
    <row r="4" spans="2:16" ht="14.65" thickBot="1" x14ac:dyDescent="0.5">
      <c r="K4" s="1"/>
    </row>
    <row r="5" spans="2:16" ht="16.149999999999999" thickBot="1" x14ac:dyDescent="0.5">
      <c r="B5" s="68" t="s">
        <v>210</v>
      </c>
      <c r="C5" s="69">
        <v>1000</v>
      </c>
      <c r="E5" s="6" t="s">
        <v>24</v>
      </c>
      <c r="F5" s="120">
        <v>0.05</v>
      </c>
      <c r="J5" s="1"/>
    </row>
    <row r="6" spans="2:16" x14ac:dyDescent="0.45">
      <c r="B6" s="68"/>
      <c r="E6" s="6" t="s">
        <v>25</v>
      </c>
      <c r="F6" s="120">
        <v>0.15</v>
      </c>
    </row>
    <row r="8" spans="2:16" x14ac:dyDescent="0.45">
      <c r="B8" s="10" t="s">
        <v>100</v>
      </c>
      <c r="C8" s="10"/>
      <c r="D8" s="10"/>
      <c r="E8" s="10"/>
      <c r="F8" s="10"/>
      <c r="G8" s="10"/>
      <c r="I8" s="18" t="s">
        <v>211</v>
      </c>
      <c r="J8" s="71"/>
    </row>
    <row r="10" spans="2:16" x14ac:dyDescent="0.45">
      <c r="B10" s="7" t="s">
        <v>94</v>
      </c>
      <c r="C10" s="9" t="s">
        <v>95</v>
      </c>
      <c r="D10" s="9" t="s">
        <v>96</v>
      </c>
      <c r="E10" s="9" t="s">
        <v>97</v>
      </c>
      <c r="F10" s="9" t="s">
        <v>98</v>
      </c>
      <c r="G10" s="9" t="s">
        <v>99</v>
      </c>
      <c r="I10" s="7" t="s">
        <v>93</v>
      </c>
      <c r="J10" s="8" t="s">
        <v>212</v>
      </c>
    </row>
    <row r="11" spans="2:16" hidden="1" x14ac:dyDescent="0.45">
      <c r="C11" s="1" t="s">
        <v>107</v>
      </c>
    </row>
    <row r="12" spans="2:16" x14ac:dyDescent="0.45">
      <c r="B12" s="45" t="s">
        <v>21</v>
      </c>
      <c r="C12" s="108">
        <v>22544725</v>
      </c>
      <c r="D12" s="111">
        <f>C12*(1+cad!$F$5)</f>
      </c>
      <c r="E12" s="113">
        <f>SUMIFS(Moteur!$R$1:$R$175,Moteur!$B$1:$B$175,cad!$P$1)</f>
      </c>
      <c r="F12" s="116">
        <f>E12-D12</f>
      </c>
      <c r="G12" s="117">
        <f>IFERROR(E12/D12-1,0)</f>
      </c>
      <c r="I12" s="67" t="s">
        <v>1</v>
      </c>
      <c r="J12" s="122">
        <v>1.2</v>
      </c>
    </row>
    <row r="13" spans="2:16" x14ac:dyDescent="0.45">
      <c r="B13" s="45" t="s">
        <v>22</v>
      </c>
      <c r="C13" s="108">
        <v>3291530</v>
      </c>
      <c r="D13" s="111">
        <f>D12*cad!$F$6</f>
      </c>
      <c r="E13" s="113">
        <f>SUMIFS(_CALC_PNL!$T$1:$T$1347,_CALC_PNL!$D$1:$D$1347,cad!$P$1,_CALC_PNL!$C$1:$C$1347,"2027")</f>
      </c>
      <c r="F13" s="116">
        <f>E13-D13</f>
      </c>
      <c r="G13" s="117">
        <f>IFERROR(E13/D13-1,0)</f>
      </c>
      <c r="I13" s="67" t="s">
        <v>2</v>
      </c>
      <c r="J13" s="122">
        <v>1.15</v>
      </c>
    </row>
    <row r="14" spans="2:16" x14ac:dyDescent="0.45">
      <c r="B14" s="45" t="s">
        <v>101</v>
      </c>
      <c r="C14" s="110">
        <f>IFERROR(C13/C12,0)</f>
      </c>
      <c r="D14" s="112">
        <f>cad!$F$6</f>
      </c>
      <c r="E14" s="115">
        <f>IFERROR(E13/E12,0)</f>
      </c>
      <c r="F14" s="118">
        <f>E14-D14</f>
      </c>
      <c r="G14" s="119"/>
      <c r="I14" s="66" t="s">
        <v>3</v>
      </c>
      <c r="J14" s="122">
        <v>0.95</v>
      </c>
    </row>
    <row r="15" spans="2:16" x14ac:dyDescent="0.45">
      <c r="B15" s="45" t="s">
        <v>442</v>
      </c>
      <c r="C15" s="109">
        <v>3036</v>
      </c>
      <c r="D15" s="119"/>
      <c r="E15" s="114">
        <f>SUMIFS(Moteur!$P$1:$P$175,Moteur!$B$1:$B$175,cad!$P$1)</f>
      </c>
      <c r="F15" s="123">
        <f>E15-C15</f>
      </c>
      <c r="G15" s="117">
        <f>IFERROR(E15/C15-1,0)</f>
      </c>
      <c r="I15" s="67" t="s">
        <v>4</v>
      </c>
      <c r="J15" s="122">
        <v>0.9</v>
      </c>
    </row>
    <row r="16" spans="2:16" x14ac:dyDescent="0.45">
      <c r="I16" s="66" t="s">
        <v>5</v>
      </c>
      <c r="J16" s="122">
        <v>1.05</v>
      </c>
    </row>
    <row r="17" spans="1:6" x14ac:dyDescent="0.45">
      <c r="B17" s="1"/>
    </row>
    <row r="19" spans="1:6" x14ac:dyDescent="0.45">
      <c r="B19" s="15" t="s">
        <v>102</v>
      </c>
    </row>
    <row r="21" spans="1:6" ht="24" x14ac:dyDescent="0.45">
      <c r="B21" s="7" t="s">
        <v>82</v>
      </c>
      <c r="C21" s="126" t="str">
        <f>C22</f>
        <v>Cadrage</v>
      </c>
      <c r="D21" s="126" t="str">
        <f>D22</f>
        <v>Optimiste</v>
      </c>
      <c r="E21" s="126" t="str">
        <f>E22</f>
        <v>Prudent</v>
      </c>
      <c r="F21" s="16" t="s">
        <v>105</v>
      </c>
    </row>
    <row r="22" hidden="1">
      <c r="C22" s="1" t="s">
        <v>6</v>
      </c>
      <c r="D22" s="1" t="s">
        <v>7</v>
      </c>
      <c r="E22" s="1" t="s">
        <v>8</v>
      </c>
    </row>
    <row r="23" spans="1:6" x14ac:dyDescent="0.45">
      <c r="B23" s="45" t="s">
        <v>9</v>
      </c>
      <c r="C23" s="120">
        <v>0.08</v>
      </c>
      <c r="D23" s="120">
        <v>0.15</v>
      </c>
      <c r="E23" s="120">
        <v>-0.05</v>
      </c>
      <c r="F23" s="124" t="e">
        <f t="shared" ref="F23:F28" si="0">INDEX(C23:E23,MATCH(cad!$C$5,$C$22:$E$22,0))</f>
        <v>#N/A</v>
      </c>
    </row>
    <row r="24" spans="1:6" x14ac:dyDescent="0.45">
      <c r="B24" s="45" t="s">
        <v>10</v>
      </c>
      <c r="C24" s="120">
        <v>0.1</v>
      </c>
      <c r="D24" s="120">
        <v>0.2</v>
      </c>
      <c r="E24" s="120">
        <v>-0.05</v>
      </c>
      <c r="F24" s="124" t="e">
        <f t="shared" si="0"/>
        <v>#N/A</v>
      </c>
    </row>
    <row r="25" spans="1:6" x14ac:dyDescent="0.45">
      <c r="B25" s="45" t="s">
        <v>11</v>
      </c>
      <c r="C25" s="120">
        <v>0.002855</v>
      </c>
      <c r="D25" s="120">
        <v>0.035</v>
      </c>
      <c r="E25" s="120">
        <v>0.02</v>
      </c>
      <c r="F25" s="124" t="e">
        <f t="shared" si="0"/>
        <v>#N/A</v>
      </c>
    </row>
    <row r="26" spans="1:6" x14ac:dyDescent="0.45">
      <c r="B26" s="45" t="s">
        <v>12</v>
      </c>
      <c r="C26" s="120">
        <v>0.01</v>
      </c>
      <c r="D26" s="120">
        <v>0.03</v>
      </c>
      <c r="E26" s="120">
        <v>0</v>
      </c>
      <c r="F26" s="124" t="e">
        <f t="shared" si="0"/>
        <v>#N/A</v>
      </c>
    </row>
    <row r="27" spans="1:6" x14ac:dyDescent="0.45">
      <c r="B27" s="45" t="s">
        <v>13</v>
      </c>
      <c r="C27" s="120">
        <v>0.01</v>
      </c>
      <c r="D27" s="120">
        <v>0.025</v>
      </c>
      <c r="E27" s="120">
        <v>0</v>
      </c>
      <c r="F27" s="124" t="e">
        <f t="shared" si="0"/>
        <v>#N/A</v>
      </c>
    </row>
    <row r="28" spans="1:6" x14ac:dyDescent="0.45">
      <c r="B28" s="45" t="s">
        <v>14</v>
      </c>
      <c r="C28" s="120">
        <v>0.005</v>
      </c>
      <c r="D28" s="120">
        <v>0.015</v>
      </c>
      <c r="E28" s="120">
        <v>-0.01</v>
      </c>
      <c r="F28" s="124" t="e">
        <f t="shared" si="0"/>
        <v>#N/A</v>
      </c>
    </row>
    <row r="29" spans="1:6" ht="18" customHeight="1" x14ac:dyDescent="0.45">
      <c r="A29" s="2"/>
      <c r="B29" s="2"/>
      <c r="C29" s="2"/>
      <c r="D29" s="2"/>
      <c r="E29" s="2"/>
    </row>
    <row r="30" spans="1:6" x14ac:dyDescent="0.45">
      <c r="B30" s="70" t="s">
        <v>103</v>
      </c>
      <c r="C30" s="2"/>
      <c r="D30" s="2"/>
      <c r="E30" s="2"/>
    </row>
    <row r="31" spans="1:6" x14ac:dyDescent="0.45">
      <c r="A31" s="2"/>
      <c r="B31" s="2"/>
      <c r="C31" s="2"/>
      <c r="D31" s="2"/>
      <c r="E31" s="2"/>
    </row>
    <row r="32" spans="1:6" x14ac:dyDescent="0.45">
      <c r="B32" s="46" t="s">
        <v>15</v>
      </c>
      <c r="C32" s="120">
        <v>0.02</v>
      </c>
      <c r="D32" s="120">
        <v>0.015</v>
      </c>
      <c r="E32" s="120">
        <v>0.03</v>
      </c>
      <c r="F32" s="124" t="e">
        <f>INDEX(C32:E32,MATCH(cad!$C$5,$C$22:$E$22,0))</f>
        <v>#N/A</v>
      </c>
    </row>
    <row r="33" spans="1:6" x14ac:dyDescent="0.45">
      <c r="B33" s="46" t="s">
        <v>16</v>
      </c>
      <c r="C33" s="120">
        <v>0.025</v>
      </c>
      <c r="D33" s="120">
        <v>0.02</v>
      </c>
      <c r="E33" s="120">
        <v>0.03</v>
      </c>
      <c r="F33" s="124" t="e">
        <f>INDEX(C33:E33,MATCH(cad!$C$5,$C$22:$E$22,0))</f>
        <v>#N/A</v>
      </c>
    </row>
    <row r="34" spans="1:6" x14ac:dyDescent="0.45">
      <c r="B34" s="46" t="s">
        <v>17</v>
      </c>
      <c r="C34" s="120">
        <v>0.04</v>
      </c>
      <c r="D34" s="120">
        <v>0.03</v>
      </c>
      <c r="E34" s="120">
        <v>0.05</v>
      </c>
      <c r="F34" s="124" t="e">
        <f>INDEX(C34:E34,MATCH(cad!$C$5,$C$22:$E$22,0))</f>
        <v>#N/A</v>
      </c>
    </row>
    <row r="35" spans="1:6" x14ac:dyDescent="0.45">
      <c r="B35" s="46" t="s">
        <v>18</v>
      </c>
      <c r="C35" s="120">
        <v>0.018697</v>
      </c>
      <c r="D35" s="120">
        <v>0.03</v>
      </c>
      <c r="E35" s="120">
        <v>0</v>
      </c>
      <c r="F35" s="124" t="e">
        <f>INDEX(C35:E35,MATCH(cad!$C$5,$C$22:$E$22,0))</f>
        <v>#N/A</v>
      </c>
    </row>
    <row r="36" spans="1:6" x14ac:dyDescent="0.45">
      <c r="B36" s="46" t="s">
        <v>19</v>
      </c>
      <c r="C36" s="120">
        <v>0</v>
      </c>
      <c r="D36" s="120">
        <v>-0.03</v>
      </c>
      <c r="E36" s="120">
        <v>0.04</v>
      </c>
      <c r="F36" s="124" t="e">
        <f>INDEX(C36:E36,MATCH(cad!$C$5,$C$22:$E$22,0))</f>
        <v>#N/A</v>
      </c>
    </row>
    <row r="37" spans="1:6" x14ac:dyDescent="0.45">
      <c r="A37" s="2"/>
      <c r="B37" s="2"/>
      <c r="C37" s="2"/>
      <c r="D37" s="2"/>
      <c r="E37" s="2"/>
    </row>
    <row r="38" spans="1:6" x14ac:dyDescent="0.45">
      <c r="B38" s="127" t="s">
        <v>104</v>
      </c>
    </row>
    <row r="39" spans="1:6" x14ac:dyDescent="0.45">
      <c r="B39" s="17" t="s">
        <v>20</v>
      </c>
      <c r="C39" s="121">
        <v>90</v>
      </c>
      <c r="D39" s="121">
        <v>90</v>
      </c>
      <c r="E39" s="121">
        <v>90</v>
      </c>
      <c r="F39" s="125" t="e">
        <f>INDEX(C39:E39,MATCH(cad!$C$5,$C$22:$E$22,0))</f>
        <v>#N/A</v>
      </c>
    </row>
    <row r="40" spans="1:6" x14ac:dyDescent="0.45">
      <c r="B40" s="1"/>
      <c r="C40" s="3"/>
      <c r="D40" s="3"/>
      <c r="E40" s="3"/>
    </row>
    <row r="57" spans="7:8" x14ac:dyDescent="0.45">
      <c r="H57" s="1"/>
    </row>
    <row r="58" spans="7:8" x14ac:dyDescent="0.45">
      <c r="G58" s="1"/>
      <c r="H58" s="4"/>
    </row>
    <row r="59" spans="7:8" x14ac:dyDescent="0.45">
      <c r="G59" s="1"/>
      <c r="H59" s="4"/>
    </row>
    <row r="60" spans="7:8" hidden="1" x14ac:dyDescent="0.45">
      <c r="H60" s="1"/>
    </row>
    <row r="61" spans="7:8" x14ac:dyDescent="0.45">
      <c r="G61" s="1"/>
      <c r="H61" s="4"/>
    </row>
    <row r="67" spans="7:8" hidden="1" x14ac:dyDescent="0.45">
      <c r="H67" s="1"/>
    </row>
    <row r="68" spans="7:8" x14ac:dyDescent="0.45">
      <c r="G68" s="1"/>
    </row>
    <row r="69" spans="7:8" x14ac:dyDescent="0.45">
      <c r="G69" s="1"/>
    </row>
  </sheetData>
  <conditionalFormatting sqref="F12:G15">
    <cfRule type="cellIs" dxfId="0" priority="1" operator="greaterThan">
      <formula>0</formula>
    </cfRule>
    <cfRule type="cellIs" dxfId="1" priority="2" operator="lessThan">
      <formula>0</formula>
    </cfRule>
  </conditionalFormatting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2:W49"/>
  <sheetViews>
    <sheetView showGridLines="0" workbookViewId="0">
      <selection activeCell="U13" sqref="U13:W14"/>
    </sheetView>
  </sheetViews>
  <sheetFormatPr baseColWidth="10" defaultRowHeight="14.25" x14ac:dyDescent="0.45"/>
  <cols>
    <col min="1" max="1" width="10.6640625" customWidth="1"/>
    <col min="2" max="6" width="12.59765625" customWidth="1"/>
    <col min="7" max="7" width="12.59765625" style="22" customWidth="1"/>
    <col min="8" max="9" width="12.59765625" style="2" customWidth="1"/>
    <col min="10" max="13" width="12.59765625" style="23" customWidth="1"/>
    <col min="14" max="15" width="12.59765625" style="22" customWidth="1"/>
    <col min="16" max="19" width="12.59765625" customWidth="1"/>
    <col min="21" max="21" width="11.796875" bestFit="1" customWidth="1"/>
    <col min="22" max="22" width="13" bestFit="1" customWidth="1"/>
    <col min="23" max="23" width="12.06640625" bestFit="1" customWidth="1"/>
  </cols>
  <sheetData>
    <row r="2" spans="1:23" ht="15" customHeight="1" thickBot="1" x14ac:dyDescent="0.5">
      <c r="B2" s="20" t="s">
        <v>108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</row>
    <row r="3" spans="1:23" ht="14.55" customHeight="1" thickTop="1" thickBot="1" x14ac:dyDescent="0.5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</row>
    <row r="4" spans="1:23" ht="14.65" thickTop="1" x14ac:dyDescent="0.45"/>
    <row r="6" ht="26" customHeight="1">
      <c r="B6" s="130" t="inlineStr">
        <is>
          <t xml:space="preserve">CA 2027</t>
        </is>
      </c>
      <c r="C6" s="131"/>
      <c r="D6" s="134" t="inlineStr">
        <is>
          <t xml:space="preserve">EBITDA (après siège)</t>
        </is>
      </c>
      <c r="E6" s="135"/>
      <c r="F6" s="136" t="inlineStr">
        <is>
          <t xml:space="preserve">Marge EBITDA</t>
        </is>
      </c>
      <c r="G6" s="137"/>
      <c r="H6" s="139" t="inlineStr">
        <is>
          <t xml:space="preserve">Effectif</t>
        </is>
      </c>
      <c r="I6" s="140"/>
      <c r="J6" s="142" t="inlineStr">
        <is>
          <t xml:space="preserve">Croissance CA vs 2026</t>
        </is>
      </c>
      <c r="K6" s="143"/>
      <c r="L6" s="129"/>
      <c r="M6" s="129"/>
      <c r="N6" s="129"/>
      <c r="O6" s="129"/>
      <c r="P6" s="129"/>
      <c r="Q6" s="129"/>
      <c r="R6" s="129"/>
      <c r="S6" s="129"/>
      <c r="U6" s="1"/>
      <c r="V6" s="1"/>
    </row>
    <row r="7" ht="30" customHeight="1">
      <c r="B7" s="132">
        <f>E49</f>
      </c>
      <c r="C7" s="133"/>
      <c r="D7" s="132">
        <f>H49</f>
      </c>
      <c r="E7" s="133"/>
      <c r="F7" s="138">
        <f>I49</f>
      </c>
      <c r="G7" s="133"/>
      <c r="H7" s="141">
        <f>D49</f>
      </c>
      <c r="I7" s="133"/>
      <c r="J7" s="138">
        <f>IFERROR(E49/cad!$C$12-1,0)</f>
      </c>
      <c r="K7" s="133"/>
      <c r="L7" s="129"/>
      <c r="M7" s="129"/>
      <c r="N7" s="129"/>
      <c r="O7" s="129"/>
      <c r="P7" s="129"/>
      <c r="Q7" s="129"/>
      <c r="R7" s="129"/>
      <c r="S7" s="129"/>
    </row>
    <row r="8" spans="1:23" ht="14.55" customHeight="1" x14ac:dyDescent="0.45">
      <c r="B8" s="77"/>
      <c r="C8" s="78"/>
      <c r="D8" s="78"/>
      <c r="E8" s="78"/>
      <c r="F8" s="78"/>
      <c r="G8" s="79"/>
      <c r="H8" s="85"/>
      <c r="I8" s="86"/>
      <c r="J8" s="87"/>
      <c r="K8" s="93"/>
      <c r="L8" s="94"/>
      <c r="M8" s="95"/>
      <c r="N8" s="102"/>
      <c r="O8" s="103"/>
      <c r="P8" s="104"/>
      <c r="Q8" s="102"/>
      <c r="R8" s="103"/>
      <c r="S8" s="104"/>
    </row>
    <row r="9" spans="1:23" ht="14.55" customHeight="1" x14ac:dyDescent="0.45">
      <c r="B9" s="74"/>
      <c r="C9" s="75"/>
      <c r="D9" s="75"/>
      <c r="E9" s="75"/>
      <c r="F9" s="75"/>
      <c r="G9" s="76"/>
      <c r="H9" s="82"/>
      <c r="I9" s="83"/>
      <c r="J9" s="84"/>
      <c r="K9" s="90"/>
      <c r="L9" s="91"/>
      <c r="M9" s="92"/>
      <c r="N9" s="99"/>
      <c r="O9" s="100"/>
      <c r="P9" s="101"/>
      <c r="Q9" s="99"/>
      <c r="R9" s="100"/>
      <c r="S9" s="101"/>
    </row>
    <row r="10" spans="1:23" ht="14.55" customHeight="1" x14ac:dyDescent="0.45">
      <c r="J10" s="29"/>
      <c r="K10" s="29"/>
      <c r="L10" s="29"/>
      <c r="N10" s="30"/>
      <c r="O10" s="30"/>
      <c r="P10" s="30"/>
    </row>
    <row r="11" spans="1:23" ht="14.55" customHeight="1" x14ac:dyDescent="0.45">
      <c r="J11" s="29"/>
      <c r="K11" s="29"/>
      <c r="L11" s="29"/>
    </row>
    <row r="12" spans="1:23" ht="15.75" x14ac:dyDescent="0.45">
      <c r="B12" s="31" t="s">
        <v>113</v>
      </c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2"/>
    </row>
    <row r="13" spans="1:23" x14ac:dyDescent="0.45">
      <c r="L13" s="106"/>
      <c r="U13" t="s">
        <v>216</v>
      </c>
      <c r="V13" t="s">
        <v>216</v>
      </c>
      <c r="W13" t="s">
        <v>216</v>
      </c>
    </row>
    <row r="14" spans="1:23" ht="14.65" thickBot="1" x14ac:dyDescent="0.5">
      <c r="A14" s="33" t="s">
        <v>185</v>
      </c>
      <c r="B14" s="33" t="s">
        <v>93</v>
      </c>
      <c r="C14" s="33" t="s">
        <v>114</v>
      </c>
      <c r="D14" s="128" t="s">
        <v>115</v>
      </c>
      <c r="E14" s="128" t="s">
        <v>116</v>
      </c>
      <c r="F14" s="128" t="s">
        <v>117</v>
      </c>
      <c r="G14" s="128" t="s">
        <v>118</v>
      </c>
      <c r="H14" s="128" t="s">
        <v>119</v>
      </c>
      <c r="I14" s="38" t="s">
        <v>120</v>
      </c>
      <c r="J14" s="128" t="s">
        <v>121</v>
      </c>
      <c r="K14" s="105" t="s">
        <v>122</v>
      </c>
      <c r="L14" s="107" t="s">
        <v>73</v>
      </c>
      <c r="U14" t="s">
        <v>213</v>
      </c>
      <c r="V14" t="s">
        <v>214</v>
      </c>
      <c r="W14" t="s">
        <v>215</v>
      </c>
    </row>
    <row r="15" spans="1:23" ht="14.65" thickBot="1" x14ac:dyDescent="0.5">
      <c r="A15" s="39" t="s">
        <v>193</v>
      </c>
      <c r="B15" s="39" t="s">
        <v>1</v>
      </c>
      <c r="C15" s="39" t="s">
        <v>123</v>
      </c>
      <c r="D15" s="108">
        <v>1475</v>
      </c>
      <c r="E15" s="110">
        <v>0.110736</v>
      </c>
      <c r="F15" s="110">
        <v>0.021757</v>
      </c>
      <c r="G15" s="144">
        <v>0.81</v>
      </c>
      <c r="H15" s="144">
        <v>1.06</v>
      </c>
      <c r="I15" s="144">
        <v>0.86</v>
      </c>
      <c r="J15" s="145">
        <v>1</v>
      </c>
      <c r="K15" s="146">
        <v>68291</v>
      </c>
      <c r="L15" s="147" t="inlineStr">
        <is>
          <t xml:space="preserve">MBWAY_PAR</t>
        </is>
      </c>
      <c r="O15" s="40"/>
    </row>
    <row r="16" spans="1:23" ht="14.65" thickBot="1" x14ac:dyDescent="0.5">
      <c r="A16" s="39" t="s">
        <v>194</v>
      </c>
      <c r="B16" s="39" t="s">
        <v>1</v>
      </c>
      <c r="C16" s="41" t="s">
        <v>124</v>
      </c>
      <c r="D16" s="108">
        <v>1102</v>
      </c>
      <c r="E16" s="110">
        <v>0.118872</v>
      </c>
      <c r="F16" s="110">
        <v>0.016735</v>
      </c>
      <c r="G16" s="144">
        <v>1.09</v>
      </c>
      <c r="H16" s="144">
        <v>1.14</v>
      </c>
      <c r="I16" s="144">
        <v>1.12</v>
      </c>
      <c r="J16" s="145">
        <v>1</v>
      </c>
      <c r="K16" s="146">
        <v>41783</v>
      </c>
      <c r="L16" s="106"/>
    </row>
    <row r="17" spans="1:19" ht="14.65" thickBot="1" x14ac:dyDescent="0.5">
      <c r="A17" s="39" t="s">
        <v>195</v>
      </c>
      <c r="B17" s="39" t="s">
        <v>1</v>
      </c>
      <c r="C17" s="39" t="s">
        <v>125</v>
      </c>
      <c r="D17" s="108">
        <v>964</v>
      </c>
      <c r="E17" s="110">
        <v>0.123795</v>
      </c>
      <c r="F17" s="110">
        <v>0.01461</v>
      </c>
      <c r="G17" s="144">
        <v>1.25</v>
      </c>
      <c r="H17" s="144">
        <v>1.18</v>
      </c>
      <c r="I17" s="144">
        <v>1.29</v>
      </c>
      <c r="J17" s="145">
        <v>1</v>
      </c>
      <c r="K17" s="146">
        <v>31533</v>
      </c>
      <c r="L17" s="106"/>
    </row>
    <row r="18" spans="1:19" ht="14.65" thickBot="1" x14ac:dyDescent="0.5">
      <c r="A18" s="39" t="s">
        <v>196</v>
      </c>
      <c r="B18" s="39" t="s">
        <v>1</v>
      </c>
      <c r="C18" s="39" t="s">
        <v>126</v>
      </c>
      <c r="D18" s="108">
        <v>890</v>
      </c>
      <c r="E18" s="110">
        <v>0.126095</v>
      </c>
      <c r="F18" s="110">
        <v>0.014052</v>
      </c>
      <c r="G18" s="144">
        <v>1.35</v>
      </c>
      <c r="H18" s="144">
        <v>1.21</v>
      </c>
      <c r="I18" s="144">
        <v>1.34</v>
      </c>
      <c r="J18" s="145">
        <v>1</v>
      </c>
      <c r="K18" s="146">
        <v>24923</v>
      </c>
      <c r="L18" s="106"/>
    </row>
    <row r="19" spans="1:19" ht="14.65" thickBot="1" x14ac:dyDescent="0.5">
      <c r="A19" s="39" t="s">
        <v>197</v>
      </c>
      <c r="B19" s="39" t="s">
        <v>2</v>
      </c>
      <c r="C19" s="39" t="s">
        <v>123</v>
      </c>
      <c r="D19" s="108">
        <v>1540</v>
      </c>
      <c r="E19" s="110">
        <v>0.077745</v>
      </c>
      <c r="F19" s="110">
        <v>0.020903</v>
      </c>
      <c r="G19" s="144">
        <v>0.78</v>
      </c>
      <c r="H19" s="144">
        <v>0.74</v>
      </c>
      <c r="I19" s="144">
        <v>0.9</v>
      </c>
      <c r="J19" s="145">
        <v>1</v>
      </c>
      <c r="K19" s="146">
        <v>60800</v>
      </c>
      <c r="L19" s="106"/>
    </row>
    <row r="20" spans="1:19" ht="14.65" thickBot="1" x14ac:dyDescent="0.5">
      <c r="A20" s="39" t="s">
        <v>198</v>
      </c>
      <c r="B20" s="39" t="s">
        <v>2</v>
      </c>
      <c r="C20" s="39" t="s">
        <v>127</v>
      </c>
      <c r="D20" s="108">
        <v>979</v>
      </c>
      <c r="E20" s="110">
        <v>0.081545</v>
      </c>
      <c r="F20" s="110">
        <v>0.014363</v>
      </c>
      <c r="G20" s="144">
        <v>1.23</v>
      </c>
      <c r="H20" s="144">
        <v>0.78</v>
      </c>
      <c r="I20" s="144">
        <v>1.31</v>
      </c>
      <c r="J20" s="145">
        <v>1</v>
      </c>
      <c r="K20" s="146">
        <v>25220</v>
      </c>
      <c r="L20" s="106"/>
    </row>
    <row r="21" spans="1:19" ht="14.65" thickBot="1" x14ac:dyDescent="0.5">
      <c r="A21" s="39" t="s">
        <v>199</v>
      </c>
      <c r="B21" s="39" t="s">
        <v>2</v>
      </c>
      <c r="C21" s="39" t="s">
        <v>128</v>
      </c>
      <c r="D21" s="108">
        <v>919</v>
      </c>
      <c r="E21" s="110">
        <v>0.082117</v>
      </c>
      <c r="F21" s="110">
        <v>0.013565</v>
      </c>
      <c r="G21" s="144">
        <v>1.31</v>
      </c>
      <c r="H21" s="144">
        <v>0.79</v>
      </c>
      <c r="I21" s="144">
        <v>1.39</v>
      </c>
      <c r="J21" s="145">
        <v>1</v>
      </c>
      <c r="K21" s="146">
        <v>22083</v>
      </c>
      <c r="L21" s="106"/>
    </row>
    <row r="22" spans="1:19" ht="14.65" thickBot="1" x14ac:dyDescent="0.5">
      <c r="A22" s="39" t="s">
        <v>200</v>
      </c>
      <c r="B22" s="39" t="s">
        <v>129</v>
      </c>
      <c r="C22" s="39" t="s">
        <v>125</v>
      </c>
      <c r="D22" s="108">
        <v>1216</v>
      </c>
      <c r="E22" s="110">
        <v>0.137885</v>
      </c>
      <c r="F22" s="110">
        <v>0.021344</v>
      </c>
      <c r="G22" s="144">
        <v>0.99</v>
      </c>
      <c r="H22" s="144">
        <v>1.32</v>
      </c>
      <c r="I22" s="144">
        <v>0.88</v>
      </c>
      <c r="J22" s="145">
        <v>1</v>
      </c>
      <c r="K22" s="146">
        <v>21760</v>
      </c>
      <c r="L22" s="106"/>
    </row>
    <row r="23" spans="1:19" ht="14.65" thickBot="1" x14ac:dyDescent="0.5">
      <c r="A23" s="39" t="s">
        <v>201</v>
      </c>
      <c r="B23" s="39" t="s">
        <v>129</v>
      </c>
      <c r="C23" s="39" t="s">
        <v>130</v>
      </c>
      <c r="D23" s="108">
        <v>1041</v>
      </c>
      <c r="E23" s="110">
        <v>0.144781</v>
      </c>
      <c r="F23" s="110">
        <v>0.019104</v>
      </c>
      <c r="G23" s="144">
        <v>1.16</v>
      </c>
      <c r="H23" s="144">
        <v>1.39</v>
      </c>
      <c r="I23" s="144">
        <v>0.98</v>
      </c>
      <c r="J23" s="145">
        <v>1</v>
      </c>
      <c r="K23" s="146">
        <v>14933</v>
      </c>
      <c r="L23" s="106"/>
    </row>
    <row r="24" spans="1:19" ht="14.65" thickBot="1" x14ac:dyDescent="0.5">
      <c r="A24" s="39" t="s">
        <v>202</v>
      </c>
      <c r="B24" s="39" t="s">
        <v>129</v>
      </c>
      <c r="C24" s="39" t="s">
        <v>131</v>
      </c>
      <c r="D24" s="108">
        <v>1034</v>
      </c>
      <c r="E24" s="110">
        <v>0.144781</v>
      </c>
      <c r="F24" s="110">
        <v>0.019418</v>
      </c>
      <c r="G24" s="144">
        <v>1.16</v>
      </c>
      <c r="H24" s="144">
        <v>1.39</v>
      </c>
      <c r="I24" s="144">
        <v>0.97</v>
      </c>
      <c r="J24" s="145">
        <v>1</v>
      </c>
      <c r="K24" s="146">
        <v>15178</v>
      </c>
      <c r="L24" s="106"/>
    </row>
    <row r="25" spans="1:19" ht="14.65" thickBot="1" x14ac:dyDescent="0.5">
      <c r="A25" s="39" t="s">
        <v>203</v>
      </c>
      <c r="B25" s="39" t="s">
        <v>4</v>
      </c>
      <c r="C25" s="39" t="s">
        <v>124</v>
      </c>
      <c r="D25" s="108">
        <v>1705</v>
      </c>
      <c r="E25" s="110">
        <v>0.085003</v>
      </c>
      <c r="F25" s="110">
        <v>0.02928</v>
      </c>
      <c r="G25" s="144">
        <v>0.71</v>
      </c>
      <c r="H25" s="144">
        <v>0.81</v>
      </c>
      <c r="I25" s="144">
        <v>0.64</v>
      </c>
      <c r="J25" s="145">
        <v>1</v>
      </c>
      <c r="K25" s="146">
        <v>36612</v>
      </c>
      <c r="L25" s="106"/>
    </row>
    <row r="26" spans="1:19" ht="14.65" thickBot="1" x14ac:dyDescent="0.5">
      <c r="A26" s="39" t="s">
        <v>204</v>
      </c>
      <c r="B26" s="39" t="s">
        <v>4</v>
      </c>
      <c r="C26" s="39" t="s">
        <v>126</v>
      </c>
      <c r="D26" s="108">
        <v>1368</v>
      </c>
      <c r="E26" s="110">
        <v>0.087533</v>
      </c>
      <c r="F26" s="110">
        <v>0.02436</v>
      </c>
      <c r="G26" s="144">
        <v>0.88</v>
      </c>
      <c r="H26" s="144">
        <v>0.84</v>
      </c>
      <c r="I26" s="144">
        <v>0.77</v>
      </c>
      <c r="J26" s="145">
        <v>1</v>
      </c>
      <c r="K26" s="146">
        <v>21968</v>
      </c>
      <c r="L26" s="106"/>
    </row>
    <row r="27" spans="1:19" ht="14.65" thickBot="1" x14ac:dyDescent="0.5">
      <c r="A27" s="39" t="s">
        <v>205</v>
      </c>
      <c r="B27" s="39" t="s">
        <v>5</v>
      </c>
      <c r="C27" s="39" t="s">
        <v>123</v>
      </c>
      <c r="D27" s="108">
        <v>2193</v>
      </c>
      <c r="E27" s="110">
        <v>0.069519</v>
      </c>
      <c r="F27" s="110">
        <v>0.027841</v>
      </c>
      <c r="G27" s="144">
        <v>0.55</v>
      </c>
      <c r="H27" s="144">
        <v>0.67</v>
      </c>
      <c r="I27" s="144">
        <v>0.68</v>
      </c>
      <c r="J27" s="145">
        <v>1</v>
      </c>
      <c r="K27" s="146">
        <v>30240</v>
      </c>
      <c r="L27" s="106"/>
      <c r="O27"/>
    </row>
    <row r="28" spans="1:19" ht="14.65" thickBot="1" x14ac:dyDescent="0.5">
      <c r="A28" s="39" t="s">
        <v>206</v>
      </c>
      <c r="B28" s="39" t="s">
        <v>5</v>
      </c>
      <c r="C28" s="39" t="s">
        <v>124</v>
      </c>
      <c r="D28" s="108">
        <v>1625</v>
      </c>
      <c r="E28" s="110">
        <v>0.072555</v>
      </c>
      <c r="F28" s="110">
        <v>0.021828</v>
      </c>
      <c r="G28" s="144">
        <v>0.74</v>
      </c>
      <c r="H28" s="144">
        <v>0.69</v>
      </c>
      <c r="I28" s="144">
        <v>0.86</v>
      </c>
      <c r="J28" s="145">
        <v>1</v>
      </c>
      <c r="K28" s="146">
        <v>18850</v>
      </c>
      <c r="L28" s="106"/>
      <c r="O28"/>
    </row>
    <row r="29" spans="1:19" x14ac:dyDescent="0.45">
      <c r="L29" s="106"/>
      <c r="O29"/>
    </row>
    <row r="30" spans="1:19" ht="15.75" x14ac:dyDescent="0.45">
      <c r="B30" s="42" t="s">
        <v>132</v>
      </c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</row>
    <row r="31" spans="1:19" x14ac:dyDescent="0.45">
      <c r="O31"/>
    </row>
    <row r="32" spans="1:19" x14ac:dyDescent="0.45">
      <c r="A32" s="33" t="s">
        <v>185</v>
      </c>
      <c r="B32" s="33" t="s">
        <v>93</v>
      </c>
      <c r="C32" s="33" t="s">
        <v>114</v>
      </c>
      <c r="D32" s="9" t="s">
        <v>23</v>
      </c>
      <c r="E32" s="9" t="s">
        <v>109</v>
      </c>
      <c r="F32" s="9" t="s">
        <v>186</v>
      </c>
      <c r="G32" s="9" t="s">
        <v>187</v>
      </c>
      <c r="H32" s="9" t="s">
        <v>188</v>
      </c>
      <c r="I32" s="9" t="s">
        <v>189</v>
      </c>
      <c r="J32" s="9" t="s">
        <v>190</v>
      </c>
      <c r="K32" s="9" t="s">
        <v>191</v>
      </c>
      <c r="L32" s="9" t="s">
        <v>192</v>
      </c>
      <c r="O32"/>
    </row>
    <row r="33" spans="1:15" x14ac:dyDescent="0.45">
      <c r="A33" s="39" t="s">
        <v>193</v>
      </c>
      <c r="B33" s="39" t="s">
        <v>1</v>
      </c>
      <c r="C33" s="39" t="s">
        <v>123</v>
      </c>
      <c r="D33" s="109">
        <f>SUMIFS(Moteur!$P$1:$P$175,Moteur!$D$1:$D$175,$A33,Moteur!$B$1:$B$175,cad!$P$1)</f>
        <v>0</v>
      </c>
      <c r="E33" s="113">
        <f>SUMIFS(Moteur!$R$1:$R$175,Moteur!$D$1:$D$175,$A33,Moteur!$B$1:$B$175,cad!$P$1)</f>
        <v>0</v>
      </c>
      <c r="F33" s="108">
        <f t="shared" ref="F33:F47" si="0">IFERROR(E33/D33,0)</f>
        <v>0</v>
      </c>
      <c r="G33" s="110">
        <f t="shared" ref="G33:G46" si="1">IFERROR(E33/SUM($E$33:$E$46),0)</f>
        <v>0</v>
      </c>
      <c r="H33" s="113">
        <f>SUMIFS(_CALC_PNL!$T$1:$T$1347,_CALC_PNL!$A$1:$A$1347,$A33,_CALC_PNL!$D$1:$D$1347,cad!$P$1,_CALC_PNL!$C$1:$C$1347,"2027")</f>
        <v>0</v>
      </c>
      <c r="I33" s="110">
        <f t="shared" ref="I33:I47" si="2">IFERROR(H33/E33,0)</f>
        <v>0</v>
      </c>
      <c r="J33" s="108">
        <f t="shared" ref="J33:J47" si="3">IFERROR(H33/D33,0)</f>
        <v>0</v>
      </c>
      <c r="K33" s="108">
        <f>SUMIFS(PIL!$K$15:$K$28,PIL!$A$15:$A$28,$A33)*SUMIFS(PIL!$J$15:$J$28,PIL!$A$15:$A$28,$A33)*(SUM(PIL!$K$15:$K$28)/SUMPRODUCT(PIL!$K$15:$K$28,PIL!$J$15:$J$28))</f>
        <v>1000</v>
      </c>
      <c r="L33" s="108">
        <f>SUMIFS(PIL!$D$15:$D$28,PIL!$A$15:$A$28,$A33)</f>
        <v>1000</v>
      </c>
      <c r="O33"/>
    </row>
    <row r="34" spans="1:15" x14ac:dyDescent="0.45">
      <c r="A34" s="39" t="s">
        <v>194</v>
      </c>
      <c r="B34" s="39" t="s">
        <v>1</v>
      </c>
      <c r="C34" s="39" t="s">
        <v>124</v>
      </c>
      <c r="D34" s="109">
        <f>SUMIFS(Moteur!$P$1:$P$175,Moteur!$D$1:$D$175,$A34,Moteur!$B$1:$B$175,cad!$P$1)</f>
        <v>0</v>
      </c>
      <c r="E34" s="113">
        <f>SUMIFS(Moteur!$R$1:$R$175,Moteur!$D$1:$D$175,$A34,Moteur!$B$1:$B$175,cad!$P$1)</f>
        <v>0</v>
      </c>
      <c r="F34" s="108">
        <f t="shared" si="0"/>
        <v>0</v>
      </c>
      <c r="G34" s="110">
        <f t="shared" si="1"/>
        <v>0</v>
      </c>
      <c r="H34" s="113">
        <f>SUMIFS(_CALC_PNL!$T$1:$T$1347,_CALC_PNL!$A$1:$A$1347,$A34,_CALC_PNL!$D$1:$D$1347,cad!$P$1,_CALC_PNL!$C$1:$C$1347,"2027")</f>
        <v>0</v>
      </c>
      <c r="I34" s="110">
        <f t="shared" si="2"/>
        <v>0</v>
      </c>
      <c r="J34" s="108">
        <f t="shared" si="3"/>
        <v>0</v>
      </c>
      <c r="K34" s="108">
        <f>SUMIFS(PIL!$K$15:$K$28,PIL!$A$15:$A$28,$A34)*SUMIFS(PIL!$J$15:$J$28,PIL!$A$15:$A$28,$A34)*(SUM(PIL!$K$15:$K$28)/SUMPRODUCT(PIL!$K$15:$K$28,PIL!$J$15:$J$28))</f>
        <v>0</v>
      </c>
      <c r="L34" s="108">
        <f>SUMIFS(PIL!$D$15:$D$28,PIL!$A$15:$A$28,$A34)</f>
        <v>0</v>
      </c>
      <c r="O34"/>
    </row>
    <row r="35" spans="1:15" x14ac:dyDescent="0.45">
      <c r="A35" s="39" t="s">
        <v>195</v>
      </c>
      <c r="B35" s="39" t="s">
        <v>1</v>
      </c>
      <c r="C35" s="39" t="s">
        <v>125</v>
      </c>
      <c r="D35" s="109">
        <f>SUMIFS(Moteur!$P$1:$P$175,Moteur!$D$1:$D$175,$A35,Moteur!$B$1:$B$175,cad!$P$1)</f>
        <v>0</v>
      </c>
      <c r="E35" s="113">
        <f>SUMIFS(Moteur!$R$1:$R$175,Moteur!$D$1:$D$175,$A35,Moteur!$B$1:$B$175,cad!$P$1)</f>
        <v>0</v>
      </c>
      <c r="F35" s="108">
        <f t="shared" si="0"/>
        <v>0</v>
      </c>
      <c r="G35" s="110">
        <f t="shared" si="1"/>
        <v>0</v>
      </c>
      <c r="H35" s="113">
        <f>SUMIFS(_CALC_PNL!$T$1:$T$1347,_CALC_PNL!$A$1:$A$1347,$A35,_CALC_PNL!$D$1:$D$1347,cad!$P$1,_CALC_PNL!$C$1:$C$1347,"2027")</f>
        <v>0</v>
      </c>
      <c r="I35" s="110">
        <f t="shared" si="2"/>
        <v>0</v>
      </c>
      <c r="J35" s="108">
        <f t="shared" si="3"/>
        <v>0</v>
      </c>
      <c r="K35" s="108">
        <f>SUMIFS(PIL!$K$15:$K$28,PIL!$A$15:$A$28,$A35)*SUMIFS(PIL!$J$15:$J$28,PIL!$A$15:$A$28,$A35)*(SUM(PIL!$K$15:$K$28)/SUMPRODUCT(PIL!$K$15:$K$28,PIL!$J$15:$J$28))</f>
        <v>0</v>
      </c>
      <c r="L35" s="108">
        <f>SUMIFS(PIL!$D$15:$D$28,PIL!$A$15:$A$28,$A35)</f>
        <v>0</v>
      </c>
      <c r="O35"/>
    </row>
    <row r="36" spans="1:15" x14ac:dyDescent="0.45">
      <c r="A36" s="39" t="s">
        <v>196</v>
      </c>
      <c r="B36" s="39" t="s">
        <v>1</v>
      </c>
      <c r="C36" s="39" t="s">
        <v>126</v>
      </c>
      <c r="D36" s="109">
        <f>SUMIFS(Moteur!$P$1:$P$175,Moteur!$D$1:$D$175,$A36,Moteur!$B$1:$B$175,cad!$P$1)</f>
        <v>0</v>
      </c>
      <c r="E36" s="113">
        <f>SUMIFS(Moteur!$R$1:$R$175,Moteur!$D$1:$D$175,$A36,Moteur!$B$1:$B$175,cad!$P$1)</f>
        <v>0</v>
      </c>
      <c r="F36" s="108">
        <f t="shared" si="0"/>
        <v>0</v>
      </c>
      <c r="G36" s="110">
        <f t="shared" si="1"/>
        <v>0</v>
      </c>
      <c r="H36" s="113">
        <f>SUMIFS(_CALC_PNL!$T$1:$T$1347,_CALC_PNL!$A$1:$A$1347,$A36,_CALC_PNL!$D$1:$D$1347,cad!$P$1,_CALC_PNL!$C$1:$C$1347,"2027")</f>
        <v>0</v>
      </c>
      <c r="I36" s="110">
        <f t="shared" si="2"/>
        <v>0</v>
      </c>
      <c r="J36" s="108">
        <f t="shared" si="3"/>
        <v>0</v>
      </c>
      <c r="K36" s="108">
        <f>SUMIFS(PIL!$K$15:$K$28,PIL!$A$15:$A$28,$A36)*SUMIFS(PIL!$J$15:$J$28,PIL!$A$15:$A$28,$A36)*(SUM(PIL!$K$15:$K$28)/SUMPRODUCT(PIL!$K$15:$K$28,PIL!$J$15:$J$28))</f>
        <v>0</v>
      </c>
      <c r="L36" s="108">
        <f>SUMIFS(PIL!$D$15:$D$28,PIL!$A$15:$A$28,$A36)</f>
        <v>0</v>
      </c>
      <c r="O36"/>
    </row>
    <row r="37" spans="1:15" x14ac:dyDescent="0.45">
      <c r="A37" s="39" t="s">
        <v>197</v>
      </c>
      <c r="B37" s="39" t="s">
        <v>2</v>
      </c>
      <c r="C37" s="39" t="s">
        <v>123</v>
      </c>
      <c r="D37" s="109">
        <f>SUMIFS(Moteur!$P$1:$P$175,Moteur!$D$1:$D$175,$A37,Moteur!$B$1:$B$175,cad!$P$1)</f>
        <v>0</v>
      </c>
      <c r="E37" s="113">
        <f>SUMIFS(Moteur!$R$1:$R$175,Moteur!$D$1:$D$175,$A37,Moteur!$B$1:$B$175,cad!$P$1)</f>
        <v>0</v>
      </c>
      <c r="F37" s="108">
        <f t="shared" si="0"/>
        <v>0</v>
      </c>
      <c r="G37" s="110">
        <f t="shared" si="1"/>
        <v>0</v>
      </c>
      <c r="H37" s="113">
        <f>SUMIFS(_CALC_PNL!$T$1:$T$1347,_CALC_PNL!$A$1:$A$1347,$A37,_CALC_PNL!$D$1:$D$1347,cad!$P$1,_CALC_PNL!$C$1:$C$1347,"2027")</f>
        <v>0</v>
      </c>
      <c r="I37" s="110">
        <f t="shared" si="2"/>
        <v>0</v>
      </c>
      <c r="J37" s="108">
        <f t="shared" si="3"/>
        <v>0</v>
      </c>
      <c r="K37" s="108">
        <f>SUMIFS(PIL!$K$15:$K$28,PIL!$A$15:$A$28,$A37)*SUMIFS(PIL!$J$15:$J$28,PIL!$A$15:$A$28,$A37)*(SUM(PIL!$K$15:$K$28)/SUMPRODUCT(PIL!$K$15:$K$28,PIL!$J$15:$J$28))</f>
        <v>0</v>
      </c>
      <c r="L37" s="108">
        <f>SUMIFS(PIL!$D$15:$D$28,PIL!$A$15:$A$28,$A37)</f>
        <v>0</v>
      </c>
      <c r="O37"/>
    </row>
    <row r="38" spans="1:15" x14ac:dyDescent="0.45">
      <c r="A38" s="39" t="s">
        <v>198</v>
      </c>
      <c r="B38" s="39" t="s">
        <v>2</v>
      </c>
      <c r="C38" s="39" t="s">
        <v>127</v>
      </c>
      <c r="D38" s="109">
        <f>SUMIFS(Moteur!$P$1:$P$175,Moteur!$D$1:$D$175,$A38,Moteur!$B$1:$B$175,cad!$P$1)</f>
        <v>0</v>
      </c>
      <c r="E38" s="113">
        <f>SUMIFS(Moteur!$R$1:$R$175,Moteur!$D$1:$D$175,$A38,Moteur!$B$1:$B$175,cad!$P$1)</f>
        <v>0</v>
      </c>
      <c r="F38" s="108">
        <f t="shared" si="0"/>
        <v>0</v>
      </c>
      <c r="G38" s="110">
        <f t="shared" si="1"/>
        <v>0</v>
      </c>
      <c r="H38" s="113">
        <f>SUMIFS(_CALC_PNL!$T$1:$T$1347,_CALC_PNL!$A$1:$A$1347,$A38,_CALC_PNL!$D$1:$D$1347,cad!$P$1,_CALC_PNL!$C$1:$C$1347,"2027")</f>
        <v>0</v>
      </c>
      <c r="I38" s="110">
        <f t="shared" si="2"/>
        <v>0</v>
      </c>
      <c r="J38" s="108">
        <f t="shared" si="3"/>
        <v>0</v>
      </c>
      <c r="K38" s="108">
        <f>SUMIFS(PIL!$K$15:$K$28,PIL!$A$15:$A$28,$A38)*SUMIFS(PIL!$J$15:$J$28,PIL!$A$15:$A$28,$A38)*(SUM(PIL!$K$15:$K$28)/SUMPRODUCT(PIL!$K$15:$K$28,PIL!$J$15:$J$28))</f>
        <v>0</v>
      </c>
      <c r="L38" s="108">
        <f>SUMIFS(PIL!$D$15:$D$28,PIL!$A$15:$A$28,$A38)</f>
        <v>0</v>
      </c>
      <c r="O38"/>
    </row>
    <row r="39" spans="1:15" x14ac:dyDescent="0.45">
      <c r="A39" s="39" t="s">
        <v>199</v>
      </c>
      <c r="B39" s="39" t="s">
        <v>2</v>
      </c>
      <c r="C39" s="39" t="s">
        <v>128</v>
      </c>
      <c r="D39" s="109">
        <f>SUMIFS(Moteur!$P$1:$P$175,Moteur!$D$1:$D$175,$A39,Moteur!$B$1:$B$175,cad!$P$1)</f>
        <v>0</v>
      </c>
      <c r="E39" s="113">
        <f>SUMIFS(Moteur!$R$1:$R$175,Moteur!$D$1:$D$175,$A39,Moteur!$B$1:$B$175,cad!$P$1)</f>
        <v>0</v>
      </c>
      <c r="F39" s="108">
        <f t="shared" si="0"/>
        <v>0</v>
      </c>
      <c r="G39" s="110">
        <f t="shared" si="1"/>
        <v>0</v>
      </c>
      <c r="H39" s="113">
        <f>SUMIFS(_CALC_PNL!$T$1:$T$1347,_CALC_PNL!$A$1:$A$1347,$A39,_CALC_PNL!$D$1:$D$1347,cad!$P$1,_CALC_PNL!$C$1:$C$1347,"2027")</f>
        <v>0</v>
      </c>
      <c r="I39" s="110">
        <f t="shared" si="2"/>
        <v>0</v>
      </c>
      <c r="J39" s="108">
        <f t="shared" si="3"/>
        <v>0</v>
      </c>
      <c r="K39" s="108">
        <f>SUMIFS(PIL!$K$15:$K$28,PIL!$A$15:$A$28,$A39)*SUMIFS(PIL!$J$15:$J$28,PIL!$A$15:$A$28,$A39)*(SUM(PIL!$K$15:$K$28)/SUMPRODUCT(PIL!$K$15:$K$28,PIL!$J$15:$J$28))</f>
        <v>0</v>
      </c>
      <c r="L39" s="108">
        <f>SUMIFS(PIL!$D$15:$D$28,PIL!$A$15:$A$28,$A39)</f>
        <v>0</v>
      </c>
      <c r="O39"/>
    </row>
    <row r="40" spans="1:15" x14ac:dyDescent="0.45">
      <c r="A40" s="39" t="s">
        <v>200</v>
      </c>
      <c r="B40" s="39" t="s">
        <v>129</v>
      </c>
      <c r="C40" s="39" t="s">
        <v>125</v>
      </c>
      <c r="D40" s="109">
        <f>SUMIFS(Moteur!$P$1:$P$175,Moteur!$D$1:$D$175,$A40,Moteur!$B$1:$B$175,cad!$P$1)</f>
        <v>0</v>
      </c>
      <c r="E40" s="113">
        <f>SUMIFS(Moteur!$R$1:$R$175,Moteur!$D$1:$D$175,$A40,Moteur!$B$1:$B$175,cad!$P$1)</f>
        <v>0</v>
      </c>
      <c r="F40" s="108">
        <f t="shared" si="0"/>
        <v>0</v>
      </c>
      <c r="G40" s="110">
        <f t="shared" si="1"/>
        <v>0</v>
      </c>
      <c r="H40" s="113">
        <f>SUMIFS(_CALC_PNL!$T$1:$T$1347,_CALC_PNL!$A$1:$A$1347,$A40,_CALC_PNL!$D$1:$D$1347,cad!$P$1,_CALC_PNL!$C$1:$C$1347,"2027")</f>
        <v>0</v>
      </c>
      <c r="I40" s="110">
        <f t="shared" si="2"/>
        <v>0</v>
      </c>
      <c r="J40" s="108">
        <f t="shared" si="3"/>
        <v>0</v>
      </c>
      <c r="K40" s="108">
        <f>SUMIFS(PIL!$K$15:$K$28,PIL!$A$15:$A$28,$A40)*SUMIFS(PIL!$J$15:$J$28,PIL!$A$15:$A$28,$A40)*(SUM(PIL!$K$15:$K$28)/SUMPRODUCT(PIL!$K$15:$K$28,PIL!$J$15:$J$28))</f>
        <v>0</v>
      </c>
      <c r="L40" s="108">
        <f>SUMIFS(PIL!$D$15:$D$28,PIL!$A$15:$A$28,$A40)</f>
        <v>0</v>
      </c>
      <c r="O40"/>
    </row>
    <row r="41" spans="1:15" x14ac:dyDescent="0.45">
      <c r="A41" s="39" t="s">
        <v>201</v>
      </c>
      <c r="B41" s="39" t="s">
        <v>129</v>
      </c>
      <c r="C41" s="39" t="s">
        <v>130</v>
      </c>
      <c r="D41" s="109">
        <f>SUMIFS(Moteur!$P$1:$P$175,Moteur!$D$1:$D$175,$A41,Moteur!$B$1:$B$175,cad!$P$1)</f>
        <v>0</v>
      </c>
      <c r="E41" s="113">
        <f>SUMIFS(Moteur!$R$1:$R$175,Moteur!$D$1:$D$175,$A41,Moteur!$B$1:$B$175,cad!$P$1)</f>
        <v>0</v>
      </c>
      <c r="F41" s="108">
        <f t="shared" si="0"/>
        <v>0</v>
      </c>
      <c r="G41" s="110">
        <f t="shared" si="1"/>
        <v>0</v>
      </c>
      <c r="H41" s="113">
        <f>SUMIFS(_CALC_PNL!$T$1:$T$1347,_CALC_PNL!$A$1:$A$1347,$A41,_CALC_PNL!$D$1:$D$1347,cad!$P$1,_CALC_PNL!$C$1:$C$1347,"2027")</f>
        <v>0</v>
      </c>
      <c r="I41" s="110">
        <f t="shared" si="2"/>
        <v>0</v>
      </c>
      <c r="J41" s="108">
        <f t="shared" si="3"/>
        <v>0</v>
      </c>
      <c r="K41" s="108">
        <f>SUMIFS(PIL!$K$15:$K$28,PIL!$A$15:$A$28,$A41)*SUMIFS(PIL!$J$15:$J$28,PIL!$A$15:$A$28,$A41)*(SUM(PIL!$K$15:$K$28)/SUMPRODUCT(PIL!$K$15:$K$28,PIL!$J$15:$J$28))</f>
        <v>0</v>
      </c>
      <c r="L41" s="108">
        <f>SUMIFS(PIL!$D$15:$D$28,PIL!$A$15:$A$28,$A41)</f>
        <v>0</v>
      </c>
    </row>
    <row r="42" spans="1:15" x14ac:dyDescent="0.45">
      <c r="A42" s="39" t="s">
        <v>202</v>
      </c>
      <c r="B42" s="39" t="s">
        <v>129</v>
      </c>
      <c r="C42" s="39" t="s">
        <v>131</v>
      </c>
      <c r="D42" s="109">
        <f>SUMIFS(Moteur!$P$1:$P$175,Moteur!$D$1:$D$175,$A42,Moteur!$B$1:$B$175,cad!$P$1)</f>
        <v>0</v>
      </c>
      <c r="E42" s="113">
        <f>SUMIFS(Moteur!$R$1:$R$175,Moteur!$D$1:$D$175,$A42,Moteur!$B$1:$B$175,cad!$P$1)</f>
        <v>0</v>
      </c>
      <c r="F42" s="108">
        <f t="shared" si="0"/>
        <v>0</v>
      </c>
      <c r="G42" s="110">
        <f t="shared" si="1"/>
        <v>0</v>
      </c>
      <c r="H42" s="113">
        <f>SUMIFS(_CALC_PNL!$T$1:$T$1347,_CALC_PNL!$A$1:$A$1347,$A42,_CALC_PNL!$D$1:$D$1347,cad!$P$1,_CALC_PNL!$C$1:$C$1347,"2027")</f>
        <v>0</v>
      </c>
      <c r="I42" s="110">
        <f t="shared" si="2"/>
        <v>0</v>
      </c>
      <c r="J42" s="108">
        <f t="shared" si="3"/>
        <v>0</v>
      </c>
      <c r="K42" s="108">
        <f>SUMIFS(PIL!$K$15:$K$28,PIL!$A$15:$A$28,$A42)*SUMIFS(PIL!$J$15:$J$28,PIL!$A$15:$A$28,$A42)*(SUM(PIL!$K$15:$K$28)/SUMPRODUCT(PIL!$K$15:$K$28,PIL!$J$15:$J$28))</f>
        <v>0</v>
      </c>
      <c r="L42" s="108">
        <f>SUMIFS(PIL!$D$15:$D$28,PIL!$A$15:$A$28,$A42)</f>
        <v>0</v>
      </c>
    </row>
    <row r="43" spans="1:15" x14ac:dyDescent="0.45">
      <c r="A43" s="39" t="s">
        <v>203</v>
      </c>
      <c r="B43" s="39" t="s">
        <v>4</v>
      </c>
      <c r="C43" s="39" t="s">
        <v>124</v>
      </c>
      <c r="D43" s="109">
        <f>SUMIFS(Moteur!$P$1:$P$175,Moteur!$D$1:$D$175,$A43,Moteur!$B$1:$B$175,cad!$P$1)</f>
        <v>0</v>
      </c>
      <c r="E43" s="113">
        <f>SUMIFS(Moteur!$R$1:$R$175,Moteur!$D$1:$D$175,$A43,Moteur!$B$1:$B$175,cad!$P$1)</f>
        <v>0</v>
      </c>
      <c r="F43" s="108">
        <f t="shared" si="0"/>
        <v>0</v>
      </c>
      <c r="G43" s="110">
        <f t="shared" si="1"/>
        <v>0</v>
      </c>
      <c r="H43" s="113">
        <f>SUMIFS(_CALC_PNL!$T$1:$T$1347,_CALC_PNL!$A$1:$A$1347,$A43,_CALC_PNL!$D$1:$D$1347,cad!$P$1,_CALC_PNL!$C$1:$C$1347,"2027")</f>
        <v>0</v>
      </c>
      <c r="I43" s="110">
        <f t="shared" si="2"/>
        <v>0</v>
      </c>
      <c r="J43" s="108">
        <f t="shared" si="3"/>
        <v>0</v>
      </c>
      <c r="K43" s="108">
        <f>SUMIFS(PIL!$K$15:$K$28,PIL!$A$15:$A$28,$A43)*SUMIFS(PIL!$J$15:$J$28,PIL!$A$15:$A$28,$A43)*(SUM(PIL!$K$15:$K$28)/SUMPRODUCT(PIL!$K$15:$K$28,PIL!$J$15:$J$28))</f>
        <v>0</v>
      </c>
      <c r="L43" s="108">
        <f>SUMIFS(PIL!$D$15:$D$28,PIL!$A$15:$A$28,$A43)</f>
        <v>0</v>
      </c>
    </row>
    <row r="44" spans="1:15" x14ac:dyDescent="0.45">
      <c r="A44" s="39" t="s">
        <v>204</v>
      </c>
      <c r="B44" s="39" t="s">
        <v>4</v>
      </c>
      <c r="C44" s="39" t="s">
        <v>126</v>
      </c>
      <c r="D44" s="109">
        <f>SUMIFS(Moteur!$P$1:$P$175,Moteur!$D$1:$D$175,$A44,Moteur!$B$1:$B$175,cad!$P$1)</f>
        <v>0</v>
      </c>
      <c r="E44" s="113">
        <f>SUMIFS(Moteur!$R$1:$R$175,Moteur!$D$1:$D$175,$A44,Moteur!$B$1:$B$175,cad!$P$1)</f>
        <v>0</v>
      </c>
      <c r="F44" s="108">
        <f t="shared" si="0"/>
        <v>0</v>
      </c>
      <c r="G44" s="110">
        <f t="shared" si="1"/>
        <v>0</v>
      </c>
      <c r="H44" s="113">
        <f>SUMIFS(_CALC_PNL!$T$1:$T$1347,_CALC_PNL!$A$1:$A$1347,$A44,_CALC_PNL!$D$1:$D$1347,cad!$P$1,_CALC_PNL!$C$1:$C$1347,"2027")</f>
        <v>0</v>
      </c>
      <c r="I44" s="110">
        <f t="shared" si="2"/>
        <v>0</v>
      </c>
      <c r="J44" s="108">
        <f t="shared" si="3"/>
        <v>0</v>
      </c>
      <c r="K44" s="108">
        <f>SUMIFS(PIL!$K$15:$K$28,PIL!$A$15:$A$28,$A44)*SUMIFS(PIL!$J$15:$J$28,PIL!$A$15:$A$28,$A44)*(SUM(PIL!$K$15:$K$28)/SUMPRODUCT(PIL!$K$15:$K$28,PIL!$J$15:$J$28))</f>
        <v>0</v>
      </c>
      <c r="L44" s="108">
        <f>SUMIFS(PIL!$D$15:$D$28,PIL!$A$15:$A$28,$A44)</f>
        <v>0</v>
      </c>
    </row>
    <row r="45" spans="1:15" x14ac:dyDescent="0.45">
      <c r="A45" s="39" t="s">
        <v>205</v>
      </c>
      <c r="B45" s="39" t="s">
        <v>5</v>
      </c>
      <c r="C45" s="39" t="s">
        <v>123</v>
      </c>
      <c r="D45" s="109">
        <f>SUMIFS(Moteur!$P$1:$P$175,Moteur!$D$1:$D$175,$A45,Moteur!$B$1:$B$175,cad!$P$1)</f>
        <v>0</v>
      </c>
      <c r="E45" s="113">
        <f>SUMIFS(Moteur!$R$1:$R$175,Moteur!$D$1:$D$175,$A45,Moteur!$B$1:$B$175,cad!$P$1)</f>
        <v>0</v>
      </c>
      <c r="F45" s="108">
        <f t="shared" si="0"/>
        <v>0</v>
      </c>
      <c r="G45" s="110">
        <f t="shared" si="1"/>
        <v>0</v>
      </c>
      <c r="H45" s="113">
        <f>SUMIFS(_CALC_PNL!$T$1:$T$1347,_CALC_PNL!$A$1:$A$1347,$A45,_CALC_PNL!$D$1:$D$1347,cad!$P$1,_CALC_PNL!$C$1:$C$1347,"2027")</f>
        <v>0</v>
      </c>
      <c r="I45" s="110">
        <f t="shared" si="2"/>
        <v>0</v>
      </c>
      <c r="J45" s="108">
        <f t="shared" si="3"/>
        <v>0</v>
      </c>
      <c r="K45" s="108">
        <f>SUMIFS(PIL!$K$15:$K$28,PIL!$A$15:$A$28,$A45)*SUMIFS(PIL!$J$15:$J$28,PIL!$A$15:$A$28,$A45)*(SUM(PIL!$K$15:$K$28)/SUMPRODUCT(PIL!$K$15:$K$28,PIL!$J$15:$J$28))</f>
        <v>0</v>
      </c>
      <c r="L45" s="108">
        <f>SUMIFS(PIL!$D$15:$D$28,PIL!$A$15:$A$28,$A45)</f>
        <v>0</v>
      </c>
    </row>
    <row r="46" spans="1:15" x14ac:dyDescent="0.45">
      <c r="A46" s="39" t="s">
        <v>206</v>
      </c>
      <c r="B46" s="39" t="s">
        <v>5</v>
      </c>
      <c r="C46" s="39" t="s">
        <v>124</v>
      </c>
      <c r="D46" s="109">
        <f>SUMIFS(Moteur!$P$1:$P$175,Moteur!$D$1:$D$175,$A46,Moteur!$B$1:$B$175,cad!$P$1)</f>
        <v>0</v>
      </c>
      <c r="E46" s="113">
        <f>SUMIFS(Moteur!$R$1:$R$175,Moteur!$D$1:$D$175,$A46,Moteur!$B$1:$B$175,cad!$P$1)</f>
        <v>0</v>
      </c>
      <c r="F46" s="108">
        <f t="shared" si="0"/>
        <v>0</v>
      </c>
      <c r="G46" s="110">
        <f t="shared" si="1"/>
        <v>0</v>
      </c>
      <c r="H46" s="113">
        <f>SUMIFS(_CALC_PNL!$T$1:$T$1347,_CALC_PNL!$A$1:$A$1347,$A46,_CALC_PNL!$D$1:$D$1347,cad!$P$1,_CALC_PNL!$C$1:$C$1347,"2027")</f>
        <v>0</v>
      </c>
      <c r="I46" s="110">
        <f t="shared" si="2"/>
        <v>0</v>
      </c>
      <c r="J46" s="108">
        <f t="shared" si="3"/>
        <v>0</v>
      </c>
      <c r="K46" s="108">
        <f>SUMIFS(PIL!$K$15:$K$28,PIL!$A$15:$A$28,$A46)*SUMIFS(PIL!$J$15:$J$28,PIL!$A$15:$A$28,$A46)*(SUM(PIL!$K$15:$K$28)/SUMPRODUCT(PIL!$K$15:$K$28,PIL!$J$15:$J$28))</f>
        <v>0</v>
      </c>
      <c r="L46" s="108">
        <f>SUMIFS(PIL!$D$15:$D$28,PIL!$A$15:$A$28,$A46)</f>
        <v>0</v>
      </c>
    </row>
    <row r="47" spans="1:15" x14ac:dyDescent="0.45">
      <c r="A47" s="60" t="s">
        <v>207</v>
      </c>
      <c r="B47" s="61"/>
      <c r="C47" s="61"/>
      <c r="D47" s="148">
        <f>SUM(D33:D46)</f>
        <v>0</v>
      </c>
      <c r="E47" s="149">
        <f>SUM(E33:E46)</f>
        <v>0</v>
      </c>
      <c r="F47" s="149">
        <f t="shared" si="0"/>
        <v>0</v>
      </c>
      <c r="G47" s="150">
        <f>SUM(G33:G46)</f>
        <v>0</v>
      </c>
      <c r="H47" s="149">
        <f>SUM(H33:H46)</f>
        <v>0</v>
      </c>
      <c r="I47" s="150">
        <f t="shared" si="2"/>
        <v>0</v>
      </c>
      <c r="J47" s="149">
        <f t="shared" si="3"/>
        <v>0</v>
      </c>
      <c r="K47" s="149">
        <f>SUM(K33:K46)</f>
        <v>1000</v>
      </c>
      <c r="L47" s="149"/>
    </row>
    <row r="48" spans="1:15" x14ac:dyDescent="0.45">
      <c r="A48" s="62" t="s">
        <v>208</v>
      </c>
      <c r="B48" s="63"/>
      <c r="C48" s="63"/>
      <c r="D48" s="151"/>
      <c r="E48" s="152"/>
      <c r="F48" s="152"/>
      <c r="G48" s="63"/>
      <c r="H48" s="149">
        <f>SUMIFS(_CALC_PNL!$T$1:$T$1347,_CALC_PNL!$A$1:$A$1347,"GRP",_CALC_PNL!$D$1:$D$1347,cad!$P$1,_CALC_PNL!$C$1:$C$1347,"2027")</f>
        <v>0</v>
      </c>
      <c r="I48" s="153"/>
      <c r="J48" s="152"/>
      <c r="K48" s="152"/>
      <c r="L48" s="152"/>
    </row>
    <row r="49" spans="1:12" x14ac:dyDescent="0.45">
      <c r="A49" s="64" t="s">
        <v>209</v>
      </c>
      <c r="B49" s="65"/>
      <c r="C49" s="65"/>
      <c r="D49" s="148">
        <f>D47</f>
        <v>0</v>
      </c>
      <c r="E49" s="149">
        <f>E47</f>
        <v>0</v>
      </c>
      <c r="F49" s="149">
        <f>IFERROR(E49/D49,0)</f>
        <v>0</v>
      </c>
      <c r="G49" s="150">
        <f>SUM(G33:G46)</f>
        <v>0</v>
      </c>
      <c r="H49" s="149">
        <f>H47+H48</f>
        <v>0</v>
      </c>
      <c r="I49" s="150">
        <f>IFERROR(H49/E49,0)</f>
        <v>0</v>
      </c>
      <c r="J49" s="149">
        <f>IFERROR(H49/D49,0)</f>
        <v>0</v>
      </c>
      <c r="K49" s="149">
        <f>SUM(K33:K46)</f>
        <v>1000</v>
      </c>
      <c r="L49" s="149"/>
    </row>
  </sheetData>
  <conditionalFormatting sqref="I33:I46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conditionalFormatting sqref="G33:G46">
    <cfRule type="colorScale" priority="2">
      <colorScale>
        <cfvo type="min"/>
        <cfvo type="max"/>
        <color rgb="FFFFFFFF"/>
        <color rgb="FF9CC3E6"/>
      </colorScale>
    </cfRule>
  </conditionalFormatting>
  <conditionalFormatting sqref="I15:I28">
    <cfRule type="colorScale" priority="3">
      <colorScale>
        <cfvo type="min"/>
        <cfvo type="percentile" val="50"/>
        <cfvo type="max"/>
        <color rgb="FFF4A79E"/>
        <color rgb="FFFCEFC7"/>
        <color rgb="FFA9D08E"/>
      </colorScale>
    </cfRule>
  </conditionalFormatting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E9DB-11D0-48C2-89B1-E51C22120F44}">
  <dimension ref="B1:N95"/>
  <sheetViews>
    <sheetView showGridLines="0" workbookViewId="0">
      <selection activeCell="C6" sqref="C6"/>
    </sheetView>
  </sheetViews>
  <sheetFormatPr baseColWidth="10" defaultRowHeight="14.25" outlineLevelRow="2" x14ac:dyDescent="0.45"/>
  <cols>
    <col min="1" max="1" width="3.19921875" customWidth="1"/>
    <col min="2" max="2" width="29.796875" customWidth="1"/>
    <col min="3" max="3" width="20.19921875" bestFit="1" customWidth="1"/>
    <col min="4" max="4" width="17.06640625" customWidth="1"/>
  </cols>
  <sheetData>
    <row r="1" spans="2:14" x14ac:dyDescent="0.45">
      <c r="N1" t="str">
        <f>IF($C$6="Chiffre d'affaires","REV_CA",IF($C$6="Nombre de classes","VOL_CLASS","VOL_EFF"))</f>
        <v>VOL_EFF</v>
      </c>
    </row>
    <row r="2" spans="2:14" ht="19.5" x14ac:dyDescent="0.6">
      <c r="B2" s="59" t="s">
        <v>134</v>
      </c>
      <c r="C2" s="58"/>
      <c r="D2" s="58"/>
      <c r="E2" s="43"/>
      <c r="F2" s="43"/>
      <c r="G2" s="43"/>
      <c r="H2" s="43"/>
      <c r="I2" s="43"/>
      <c r="J2" s="43"/>
      <c r="K2" s="43"/>
      <c r="L2" s="43"/>
      <c r="M2" s="43"/>
      <c r="N2" t="str">
        <f>IF($C$7="Chiffre d'affaires","REV_CA",IF($C$7="Nombre de classes","VOL_CLASS","VOL_EFF"))</f>
        <v>VOL_EFF</v>
      </c>
    </row>
    <row r="3" spans="2:14" x14ac:dyDescent="0.45">
      <c r="N3" t="str">
        <f>IF($C$8="Chiffre d'affaires","REV_CA",IF($C$8="Nombre de classes","VOL_CLASS","VOL_EFF"))</f>
        <v>VOL_EFF</v>
      </c>
    </row>
    <row r="4" spans="2:14" x14ac:dyDescent="0.45">
      <c r="N4" t="str">
        <f>IF($C$9="Chiffre d'affaires","REV_CA",IF($C$9="Nombre de classes","VOL_CLASS","VOL_EFF"))</f>
        <v>VOL_EFF</v>
      </c>
    </row>
    <row r="5" spans="2:14" ht="14.65" thickBot="1" x14ac:dyDescent="0.5">
      <c r="B5" s="44" t="s">
        <v>184</v>
      </c>
    </row>
    <row r="6" spans="2:14" ht="14.65" thickBot="1" x14ac:dyDescent="0.5">
      <c r="B6" s="154" t="inlineStr">
        <is>
          <t xml:space="preserve">Siège administratif  →  marque</t>
        </is>
      </c>
      <c r="C6" s="155" t="inlineStr">
        <is>
          <t xml:space="preserve">Chiffre d'affaires</t>
        </is>
      </c>
    </row>
    <row r="7" spans="2:14" ht="14.65" thickBot="1" x14ac:dyDescent="0.5">
      <c r="B7" s="154" t="inlineStr">
        <is>
          <t xml:space="preserve">Publicité de marque  →  marque</t>
        </is>
      </c>
      <c r="C7" s="155" t="inlineStr">
        <is>
          <t xml:space="preserve">Effectif</t>
        </is>
      </c>
    </row>
    <row r="8" spans="2:14" ht="14.65" thickBot="1" x14ac:dyDescent="0.5">
      <c r="B8" s="154" t="inlineStr">
        <is>
          <t xml:space="preserve">Marque  →  campus</t>
        </is>
      </c>
      <c r="C8" s="155" t="inlineStr">
        <is>
          <t xml:space="preserve">Effectif</t>
        </is>
      </c>
    </row>
    <row r="9" spans="2:14" ht="14.65" thickBot="1" x14ac:dyDescent="0.5">
      <c r="B9" s="154" t="inlineStr">
        <is>
          <t xml:space="preserve">Campus  →  classe</t>
        </is>
      </c>
      <c r="C9" s="155" t="inlineStr">
        <is>
          <t xml:space="preserve">Nombre de classes</t>
        </is>
      </c>
    </row>
    <row r="14" spans="2:14" x14ac:dyDescent="0.45">
      <c r="B14" s="44" t="s">
        <v>138</v>
      </c>
    </row>
    <row r="17" spans="2:13" ht="26" customHeight="1" x14ac:dyDescent="0.45">
      <c r="B17" s="47" t="s">
        <v>139</v>
      </c>
      <c r="C17" s="47" t="s">
        <v>23</v>
      </c>
      <c r="D17" s="47" t="s">
        <v>55</v>
      </c>
      <c r="E17" s="47" t="s">
        <v>140</v>
      </c>
      <c r="F17" s="47" t="s">
        <v>141</v>
      </c>
      <c r="G17" s="47" t="s">
        <v>142</v>
      </c>
      <c r="H17" s="47" t="s">
        <v>143</v>
      </c>
      <c r="I17" s="47" t="s">
        <v>144</v>
      </c>
      <c r="J17" s="47" t="s">
        <v>145</v>
      </c>
      <c r="K17" s="47" t="s">
        <v>146</v>
      </c>
      <c r="L17" s="47" t="s">
        <v>147</v>
      </c>
      <c r="M17" s="47" t="s">
        <v>148</v>
      </c>
    </row>
    <row r="18" spans="2:13" x14ac:dyDescent="0.45">
      <c r="B18" s="48" t="s">
        <v>1</v>
      </c>
      <c r="C18" s="148">
        <f>SUMIFS(Allocation!$I$1:$I$175,Allocation!$C$1:$C$175,"2026",Allocation!$E$1:$E$175,"MBWAY")</f>
        <v>0</v>
      </c>
      <c r="D18" s="149">
        <f>SUMIFS(Allocation!$K$1:$K$175,Allocation!$C$1:$C$175,"2026",Allocation!$E$1:$E$175,"MBWAY")</f>
        <v>0</v>
      </c>
      <c r="E18" s="149">
        <f>SUMIFS(Allocation!$V$1:$V$175,Allocation!$C$1:$C$175,"2026",Allocation!$E$1:$E$175,"MBWAY")</f>
        <v>0</v>
      </c>
      <c r="F18" s="149">
        <f>SUMIFS(Allocation!$W$1:$W$175,Allocation!$C$1:$C$175,"2026",Allocation!$E$1:$E$175,"MBWAY")</f>
        <v>0</v>
      </c>
      <c r="G18" s="149">
        <f>SUMIFS(Allocation!$X$1:$X$175,Allocation!$C$1:$C$175,"2026",Allocation!$E$1:$E$175,"MBWAY")</f>
        <v>0</v>
      </c>
      <c r="H18" s="149">
        <f>SUMIFS(Allocation!$Y$1:$Y$175,Allocation!$C$1:$C$175,"2026",Allocation!$E$1:$E$175,"MBWAY")</f>
        <v>0</v>
      </c>
      <c r="I18" s="149">
        <f>SUMIFS(Allocation!$AC$1:$AC$175,Allocation!$C$1:$C$175,"2026",Allocation!$E$1:$E$175,"MBWAY")</f>
        <v>0</v>
      </c>
      <c r="J18" s="149">
        <f>SUMIFS(Allocation!$Z$1:$Z$175,Allocation!$C$1:$C$175,"2026",Allocation!$E$1:$E$175,"MBWAY")</f>
        <v>0</v>
      </c>
      <c r="K18" s="149">
        <f t="shared" ref="K18:K49" si="0">E18+F18+G18+H18+I18+J18</f>
        <v>0</v>
      </c>
      <c r="L18" s="156">
        <f>SUMIFS(Allocation!$AA$1:$AA$175,Allocation!$C$1:$C$175,"2026",Allocation!$E$1:$E$175,"MBWAY")</f>
        <v>0</v>
      </c>
      <c r="M18" s="150">
        <f t="shared" ref="M18:M49" si="1">IFERROR(L18/D18,0)</f>
        <v>0</v>
      </c>
    </row>
    <row r="19" spans="2:13" outlineLevel="1" collapsed="1" x14ac:dyDescent="0.45">
      <c r="B19" s="49" t="s">
        <v>149</v>
      </c>
      <c r="C19" s="148">
        <f>SUMIFS(Allocation!$I$1:$I$175,Allocation!$C$1:$C$175,"2026",Allocation!$D$1:$D$175,"MBWAY_PAR")</f>
        <v>0</v>
      </c>
      <c r="D19" s="149">
        <f>SUMIFS(Allocation!$K$1:$K$175,Allocation!$C$1:$C$175,"2026",Allocation!$D$1:$D$175,"MBWAY_PAR")</f>
        <v>0</v>
      </c>
      <c r="E19" s="149">
        <f>SUMIFS(Allocation!$V$1:$V$175,Allocation!$C$1:$C$175,"2026",Allocation!$D$1:$D$175,"MBWAY_PAR")</f>
        <v>0</v>
      </c>
      <c r="F19" s="149">
        <f>SUMIFS(Allocation!$W$1:$W$175,Allocation!$C$1:$C$175,"2026",Allocation!$D$1:$D$175,"MBWAY_PAR")</f>
        <v>0</v>
      </c>
      <c r="G19" s="149">
        <f>SUMIFS(Allocation!$X$1:$X$175,Allocation!$C$1:$C$175,"2026",Allocation!$D$1:$D$175,"MBWAY_PAR")</f>
        <v>0</v>
      </c>
      <c r="H19" s="149">
        <f>SUMIFS(Allocation!$Y$1:$Y$175,Allocation!$C$1:$C$175,"2026",Allocation!$D$1:$D$175,"MBWAY_PAR")</f>
        <v>0</v>
      </c>
      <c r="I19" s="149">
        <f>SUMIFS(Allocation!$AC$1:$AC$175,Allocation!$C$1:$C$175,"2026",Allocation!$D$1:$D$175,"MBWAY_PAR")</f>
        <v>0</v>
      </c>
      <c r="J19" s="149">
        <f>SUMIFS(Allocation!$Z$1:$Z$175,Allocation!$C$1:$C$175,"2026",Allocation!$D$1:$D$175,"MBWAY_PAR")</f>
        <v>0</v>
      </c>
      <c r="K19" s="149">
        <f t="shared" si="0"/>
        <v>0</v>
      </c>
      <c r="L19" s="156">
        <f>SUMIFS(Allocation!$AA$1:$AA$175,Allocation!$C$1:$C$175,"2026",Allocation!$D$1:$D$175,"MBWAY_PAR")</f>
        <v>0</v>
      </c>
      <c r="M19" s="150">
        <f t="shared" si="1"/>
        <v>0</v>
      </c>
    </row>
    <row r="20" outlineLevel="2">
      <c r="B20" s="50" t="s">
        <v>150</v>
      </c>
      <c r="C20" s="109">
        <f>SUMIFS(Allocation!$I$1:$I$175,Allocation!$C$1:$C$175,"2026",Allocation!$D$1:$D$175,"MBWAY_PAR",Allocation!$F$1:$F$175,"BAC_MGT",Allocation!$G$1:$G$175,"B1",Allocation!$H$1:$H$175,"INIT")</f>
        <v>0</v>
      </c>
      <c r="D20" s="108">
        <f>SUMIFS(Allocation!$K$1:$K$175,Allocation!$C$1:$C$175,"2026",Allocation!$D$1:$D$175,"MBWAY_PAR",Allocation!$F$1:$F$175,"BAC_MGT",Allocation!$G$1:$G$175,"B1",Allocation!$H$1:$H$175,"INIT")</f>
        <v>0</v>
      </c>
      <c r="E20" s="108">
        <f>SUMIFS(Allocation!$V$1:$V$175,Allocation!$C$1:$C$175,"2026",Allocation!$D$1:$D$175,"MBWAY_PAR",Allocation!$F$1:$F$175,"BAC_MGT",Allocation!$G$1:$G$175,"B1",Allocation!$H$1:$H$175,"INIT")</f>
        <v>0</v>
      </c>
      <c r="F20" s="108">
        <f>SUMIFS(Allocation!$W$1:$W$175,Allocation!$C$1:$C$175,"2026",Allocation!$D$1:$D$175,"MBWAY_PAR",Allocation!$F$1:$F$175,"BAC_MGT",Allocation!$G$1:$G$175,"B1",Allocation!$H$1:$H$175,"INIT")</f>
        <v>0</v>
      </c>
      <c r="G20" s="108">
        <f>SUMIFS(Allocation!$X$1:$X$175,Allocation!$C$1:$C$175,"2026",Allocation!$D$1:$D$175,"MBWAY_PAR",Allocation!$F$1:$F$175,"BAC_MGT",Allocation!$G$1:$G$175,"B1",Allocation!$H$1:$H$175,"INIT")</f>
        <v>0</v>
      </c>
      <c r="H20" s="108">
        <f>SUMIFS(Allocation!$Y$1:$Y$175,Allocation!$C$1:$C$175,"2026",Allocation!$D$1:$D$175,"MBWAY_PAR",Allocation!$F$1:$F$175,"BAC_MGT",Allocation!$G$1:$G$175,"B1",Allocation!$H$1:$H$175,"INIT")</f>
        <v>0</v>
      </c>
      <c r="I20" s="108">
        <f>SUMIFS(Allocation!$AC$1:$AC$175,Allocation!$C$1:$C$175,"2026",Allocation!$D$1:$D$175,"MBWAY_PAR",Allocation!$F$1:$F$175,"BAC_MGT",Allocation!$G$1:$G$175,"B1",Allocation!$H$1:$H$175,"INIT")</f>
        <v>0</v>
      </c>
      <c r="J20" s="108">
        <f>SUMIFS(Allocation!$Z$1:$Z$175,Allocation!$C$1:$C$175,"2026",Allocation!$D$1:$D$175,"MBWAY_PAR",Allocation!$F$1:$F$175,"BAC_MGT",Allocation!$G$1:$G$175,"B1",Allocation!$H$1:$H$175,"INIT")</f>
        <v>0</v>
      </c>
      <c r="K20" s="149">
        <f t="shared" si="0"/>
        <v>0</v>
      </c>
      <c r="L20" s="157">
        <f>SUMIFS(Allocation!$AA$1:$AA$175,Allocation!$C$1:$C$175,"2026",Allocation!$D$1:$D$175,"MBWAY_PAR",Allocation!$F$1:$F$175,"BAC_MGT",Allocation!$G$1:$G$175,"B1",Allocation!$H$1:$H$175,"INIT")</f>
        <v>0</v>
      </c>
      <c r="M20" s="110">
        <f t="shared" si="1"/>
        <v>0</v>
      </c>
    </row>
    <row r="21" outlineLevel="2">
      <c r="B21" s="50" t="s">
        <v>151</v>
      </c>
      <c r="C21" s="109">
        <f>SUMIFS(Allocation!$I$1:$I$175,Allocation!$C$1:$C$175,"2026",Allocation!$D$1:$D$175,"MBWAY_PAR",Allocation!$F$1:$F$175,"BAC_MGT",Allocation!$G$1:$G$175,"B2",Allocation!$H$1:$H$175,"ALT")</f>
        <v>0</v>
      </c>
      <c r="D21" s="108">
        <f>SUMIFS(Allocation!$K$1:$K$175,Allocation!$C$1:$C$175,"2026",Allocation!$D$1:$D$175,"MBWAY_PAR",Allocation!$F$1:$F$175,"BAC_MGT",Allocation!$G$1:$G$175,"B2",Allocation!$H$1:$H$175,"ALT")</f>
        <v>0</v>
      </c>
      <c r="E21" s="108">
        <f>SUMIFS(Allocation!$V$1:$V$175,Allocation!$C$1:$C$175,"2026",Allocation!$D$1:$D$175,"MBWAY_PAR",Allocation!$F$1:$F$175,"BAC_MGT",Allocation!$G$1:$G$175,"B2",Allocation!$H$1:$H$175,"ALT")</f>
        <v>0</v>
      </c>
      <c r="F21" s="108">
        <f>SUMIFS(Allocation!$W$1:$W$175,Allocation!$C$1:$C$175,"2026",Allocation!$D$1:$D$175,"MBWAY_PAR",Allocation!$F$1:$F$175,"BAC_MGT",Allocation!$G$1:$G$175,"B2",Allocation!$H$1:$H$175,"ALT")</f>
        <v>0</v>
      </c>
      <c r="G21" s="108">
        <f>SUMIFS(Allocation!$X$1:$X$175,Allocation!$C$1:$C$175,"2026",Allocation!$D$1:$D$175,"MBWAY_PAR",Allocation!$F$1:$F$175,"BAC_MGT",Allocation!$G$1:$G$175,"B2",Allocation!$H$1:$H$175,"ALT")</f>
        <v>0</v>
      </c>
      <c r="H21" s="108">
        <f>SUMIFS(Allocation!$Y$1:$Y$175,Allocation!$C$1:$C$175,"2026",Allocation!$D$1:$D$175,"MBWAY_PAR",Allocation!$F$1:$F$175,"BAC_MGT",Allocation!$G$1:$G$175,"B2",Allocation!$H$1:$H$175,"ALT")</f>
        <v>0</v>
      </c>
      <c r="I21" s="108">
        <f>SUMIFS(Allocation!$AC$1:$AC$175,Allocation!$C$1:$C$175,"2026",Allocation!$D$1:$D$175,"MBWAY_PAR",Allocation!$F$1:$F$175,"BAC_MGT",Allocation!$G$1:$G$175,"B2",Allocation!$H$1:$H$175,"ALT")</f>
        <v>0</v>
      </c>
      <c r="J21" s="108">
        <f>SUMIFS(Allocation!$Z$1:$Z$175,Allocation!$C$1:$C$175,"2026",Allocation!$D$1:$D$175,"MBWAY_PAR",Allocation!$F$1:$F$175,"BAC_MGT",Allocation!$G$1:$G$175,"B2",Allocation!$H$1:$H$175,"ALT")</f>
        <v>0</v>
      </c>
      <c r="K21" s="149">
        <f t="shared" si="0"/>
        <v>0</v>
      </c>
      <c r="L21" s="157">
        <f>SUMIFS(Allocation!$AA$1:$AA$175,Allocation!$C$1:$C$175,"2026",Allocation!$D$1:$D$175,"MBWAY_PAR",Allocation!$F$1:$F$175,"BAC_MGT",Allocation!$G$1:$G$175,"B2",Allocation!$H$1:$H$175,"ALT")</f>
        <v>0</v>
      </c>
      <c r="M21" s="110">
        <f t="shared" si="1"/>
        <v>0</v>
      </c>
    </row>
    <row r="22" outlineLevel="2">
      <c r="B22" s="50" t="s">
        <v>152</v>
      </c>
      <c r="C22" s="109">
        <f>SUMIFS(Allocation!$I$1:$I$175,Allocation!$C$1:$C$175,"2026",Allocation!$D$1:$D$175,"MBWAY_PAR",Allocation!$F$1:$F$175,"BAC_MGT",Allocation!$G$1:$G$175,"B3",Allocation!$H$1:$H$175,"ALT")</f>
        <v>0</v>
      </c>
      <c r="D22" s="108">
        <f>SUMIFS(Allocation!$K$1:$K$175,Allocation!$C$1:$C$175,"2026",Allocation!$D$1:$D$175,"MBWAY_PAR",Allocation!$F$1:$F$175,"BAC_MGT",Allocation!$G$1:$G$175,"B3",Allocation!$H$1:$H$175,"ALT")</f>
        <v>0</v>
      </c>
      <c r="E22" s="108">
        <f>SUMIFS(Allocation!$V$1:$V$175,Allocation!$C$1:$C$175,"2026",Allocation!$D$1:$D$175,"MBWAY_PAR",Allocation!$F$1:$F$175,"BAC_MGT",Allocation!$G$1:$G$175,"B3",Allocation!$H$1:$H$175,"ALT")</f>
        <v>0</v>
      </c>
      <c r="F22" s="108">
        <f>SUMIFS(Allocation!$W$1:$W$175,Allocation!$C$1:$C$175,"2026",Allocation!$D$1:$D$175,"MBWAY_PAR",Allocation!$F$1:$F$175,"BAC_MGT",Allocation!$G$1:$G$175,"B3",Allocation!$H$1:$H$175,"ALT")</f>
        <v>0</v>
      </c>
      <c r="G22" s="108">
        <f>SUMIFS(Allocation!$X$1:$X$175,Allocation!$C$1:$C$175,"2026",Allocation!$D$1:$D$175,"MBWAY_PAR",Allocation!$F$1:$F$175,"BAC_MGT",Allocation!$G$1:$G$175,"B3",Allocation!$H$1:$H$175,"ALT")</f>
        <v>0</v>
      </c>
      <c r="H22" s="108">
        <f>SUMIFS(Allocation!$Y$1:$Y$175,Allocation!$C$1:$C$175,"2026",Allocation!$D$1:$D$175,"MBWAY_PAR",Allocation!$F$1:$F$175,"BAC_MGT",Allocation!$G$1:$G$175,"B3",Allocation!$H$1:$H$175,"ALT")</f>
        <v>0</v>
      </c>
      <c r="I22" s="108">
        <f>SUMIFS(Allocation!$AC$1:$AC$175,Allocation!$C$1:$C$175,"2026",Allocation!$D$1:$D$175,"MBWAY_PAR",Allocation!$F$1:$F$175,"BAC_MGT",Allocation!$G$1:$G$175,"B3",Allocation!$H$1:$H$175,"ALT")</f>
        <v>0</v>
      </c>
      <c r="J22" s="108">
        <f>SUMIFS(Allocation!$Z$1:$Z$175,Allocation!$C$1:$C$175,"2026",Allocation!$D$1:$D$175,"MBWAY_PAR",Allocation!$F$1:$F$175,"BAC_MGT",Allocation!$G$1:$G$175,"B3",Allocation!$H$1:$H$175,"ALT")</f>
        <v>0</v>
      </c>
      <c r="K22" s="149">
        <f t="shared" si="0"/>
        <v>0</v>
      </c>
      <c r="L22" s="157">
        <f>SUMIFS(Allocation!$AA$1:$AA$175,Allocation!$C$1:$C$175,"2026",Allocation!$D$1:$D$175,"MBWAY_PAR",Allocation!$F$1:$F$175,"BAC_MGT",Allocation!$G$1:$G$175,"B3",Allocation!$H$1:$H$175,"ALT")</f>
        <v>0</v>
      </c>
      <c r="M22" s="110">
        <f t="shared" si="1"/>
        <v>0</v>
      </c>
    </row>
    <row r="23" outlineLevel="2">
      <c r="B23" s="50" t="s">
        <v>153</v>
      </c>
      <c r="C23" s="109">
        <f>SUMIFS(Allocation!$I$1:$I$175,Allocation!$C$1:$C$175,"2026",Allocation!$D$1:$D$175,"MBWAY_PAR",Allocation!$F$1:$F$175,"MAS_MGT",Allocation!$G$1:$G$175,"M1",Allocation!$H$1:$H$175,"ALT")</f>
        <v>0</v>
      </c>
      <c r="D23" s="108">
        <f>SUMIFS(Allocation!$K$1:$K$175,Allocation!$C$1:$C$175,"2026",Allocation!$D$1:$D$175,"MBWAY_PAR",Allocation!$F$1:$F$175,"MAS_MGT",Allocation!$G$1:$G$175,"M1",Allocation!$H$1:$H$175,"ALT")</f>
        <v>0</v>
      </c>
      <c r="E23" s="108">
        <f>SUMIFS(Allocation!$V$1:$V$175,Allocation!$C$1:$C$175,"2026",Allocation!$D$1:$D$175,"MBWAY_PAR",Allocation!$F$1:$F$175,"MAS_MGT",Allocation!$G$1:$G$175,"M1",Allocation!$H$1:$H$175,"ALT")</f>
        <v>0</v>
      </c>
      <c r="F23" s="108">
        <f>SUMIFS(Allocation!$W$1:$W$175,Allocation!$C$1:$C$175,"2026",Allocation!$D$1:$D$175,"MBWAY_PAR",Allocation!$F$1:$F$175,"MAS_MGT",Allocation!$G$1:$G$175,"M1",Allocation!$H$1:$H$175,"ALT")</f>
        <v>0</v>
      </c>
      <c r="G23" s="108">
        <f>SUMIFS(Allocation!$X$1:$X$175,Allocation!$C$1:$C$175,"2026",Allocation!$D$1:$D$175,"MBWAY_PAR",Allocation!$F$1:$F$175,"MAS_MGT",Allocation!$G$1:$G$175,"M1",Allocation!$H$1:$H$175,"ALT")</f>
        <v>0</v>
      </c>
      <c r="H23" s="108">
        <f>SUMIFS(Allocation!$Y$1:$Y$175,Allocation!$C$1:$C$175,"2026",Allocation!$D$1:$D$175,"MBWAY_PAR",Allocation!$F$1:$F$175,"MAS_MGT",Allocation!$G$1:$G$175,"M1",Allocation!$H$1:$H$175,"ALT")</f>
        <v>0</v>
      </c>
      <c r="I23" s="108">
        <f>SUMIFS(Allocation!$AC$1:$AC$175,Allocation!$C$1:$C$175,"2026",Allocation!$D$1:$D$175,"MBWAY_PAR",Allocation!$F$1:$F$175,"MAS_MGT",Allocation!$G$1:$G$175,"M1",Allocation!$H$1:$H$175,"ALT")</f>
        <v>0</v>
      </c>
      <c r="J23" s="108">
        <f>SUMIFS(Allocation!$Z$1:$Z$175,Allocation!$C$1:$C$175,"2026",Allocation!$D$1:$D$175,"MBWAY_PAR",Allocation!$F$1:$F$175,"MAS_MGT",Allocation!$G$1:$G$175,"M1",Allocation!$H$1:$H$175,"ALT")</f>
        <v>0</v>
      </c>
      <c r="K23" s="149">
        <f t="shared" si="0"/>
        <v>0</v>
      </c>
      <c r="L23" s="157">
        <f>SUMIFS(Allocation!$AA$1:$AA$175,Allocation!$C$1:$C$175,"2026",Allocation!$D$1:$D$175,"MBWAY_PAR",Allocation!$F$1:$F$175,"MAS_MGT",Allocation!$G$1:$G$175,"M1",Allocation!$H$1:$H$175,"ALT")</f>
        <v>0</v>
      </c>
      <c r="M23" s="110">
        <f t="shared" si="1"/>
        <v>0</v>
      </c>
    </row>
    <row r="24" outlineLevel="2">
      <c r="B24" s="50" t="s">
        <v>154</v>
      </c>
      <c r="C24" s="109">
        <f>SUMIFS(Allocation!$I$1:$I$175,Allocation!$C$1:$C$175,"2026",Allocation!$D$1:$D$175,"MBWAY_PAR",Allocation!$F$1:$F$175,"MAS_MGT",Allocation!$G$1:$G$175,"M2",Allocation!$H$1:$H$175,"ALT")</f>
        <v>0</v>
      </c>
      <c r="D24" s="108">
        <f>SUMIFS(Allocation!$K$1:$K$175,Allocation!$C$1:$C$175,"2026",Allocation!$D$1:$D$175,"MBWAY_PAR",Allocation!$F$1:$F$175,"MAS_MGT",Allocation!$G$1:$G$175,"M2",Allocation!$H$1:$H$175,"ALT")</f>
        <v>0</v>
      </c>
      <c r="E24" s="108">
        <f>SUMIFS(Allocation!$V$1:$V$175,Allocation!$C$1:$C$175,"2026",Allocation!$D$1:$D$175,"MBWAY_PAR",Allocation!$F$1:$F$175,"MAS_MGT",Allocation!$G$1:$G$175,"M2",Allocation!$H$1:$H$175,"ALT")</f>
        <v>0</v>
      </c>
      <c r="F24" s="108">
        <f>SUMIFS(Allocation!$W$1:$W$175,Allocation!$C$1:$C$175,"2026",Allocation!$D$1:$D$175,"MBWAY_PAR",Allocation!$F$1:$F$175,"MAS_MGT",Allocation!$G$1:$G$175,"M2",Allocation!$H$1:$H$175,"ALT")</f>
        <v>0</v>
      </c>
      <c r="G24" s="108">
        <f>SUMIFS(Allocation!$X$1:$X$175,Allocation!$C$1:$C$175,"2026",Allocation!$D$1:$D$175,"MBWAY_PAR",Allocation!$F$1:$F$175,"MAS_MGT",Allocation!$G$1:$G$175,"M2",Allocation!$H$1:$H$175,"ALT")</f>
        <v>0</v>
      </c>
      <c r="H24" s="108">
        <f>SUMIFS(Allocation!$Y$1:$Y$175,Allocation!$C$1:$C$175,"2026",Allocation!$D$1:$D$175,"MBWAY_PAR",Allocation!$F$1:$F$175,"MAS_MGT",Allocation!$G$1:$G$175,"M2",Allocation!$H$1:$H$175,"ALT")</f>
        <v>0</v>
      </c>
      <c r="I24" s="108">
        <f>SUMIFS(Allocation!$AC$1:$AC$175,Allocation!$C$1:$C$175,"2026",Allocation!$D$1:$D$175,"MBWAY_PAR",Allocation!$F$1:$F$175,"MAS_MGT",Allocation!$G$1:$G$175,"M2",Allocation!$H$1:$H$175,"ALT")</f>
        <v>0</v>
      </c>
      <c r="J24" s="108">
        <f>SUMIFS(Allocation!$Z$1:$Z$175,Allocation!$C$1:$C$175,"2026",Allocation!$D$1:$D$175,"MBWAY_PAR",Allocation!$F$1:$F$175,"MAS_MGT",Allocation!$G$1:$G$175,"M2",Allocation!$H$1:$H$175,"ALT")</f>
        <v>0</v>
      </c>
      <c r="K24" s="149">
        <f t="shared" si="0"/>
        <v>0</v>
      </c>
      <c r="L24" s="157">
        <f>SUMIFS(Allocation!$AA$1:$AA$175,Allocation!$C$1:$C$175,"2026",Allocation!$D$1:$D$175,"MBWAY_PAR",Allocation!$F$1:$F$175,"MAS_MGT",Allocation!$G$1:$G$175,"M2",Allocation!$H$1:$H$175,"ALT")</f>
        <v>0</v>
      </c>
      <c r="M24" s="110">
        <f t="shared" si="1"/>
        <v>0</v>
      </c>
    </row>
    <row r="25" spans="2:13" outlineLevel="1" collapsed="1" x14ac:dyDescent="0.45">
      <c r="B25" s="49" t="s">
        <v>155</v>
      </c>
      <c r="C25" s="148">
        <f>SUMIFS(Allocation!$I$1:$I$175,Allocation!$C$1:$C$175,"2026",Allocation!$D$1:$D$175,"MBWAY_LYO")</f>
        <v>0</v>
      </c>
      <c r="D25" s="149">
        <f>SUMIFS(Allocation!$K$1:$K$175,Allocation!$C$1:$C$175,"2026",Allocation!$D$1:$D$175,"MBWAY_LYO")</f>
        <v>0</v>
      </c>
      <c r="E25" s="149">
        <f>SUMIFS(Allocation!$V$1:$V$175,Allocation!$C$1:$C$175,"2026",Allocation!$D$1:$D$175,"MBWAY_LYO")</f>
        <v>0</v>
      </c>
      <c r="F25" s="149">
        <f>SUMIFS(Allocation!$W$1:$W$175,Allocation!$C$1:$C$175,"2026",Allocation!$D$1:$D$175,"MBWAY_LYO")</f>
        <v>0</v>
      </c>
      <c r="G25" s="149">
        <f>SUMIFS(Allocation!$X$1:$X$175,Allocation!$C$1:$C$175,"2026",Allocation!$D$1:$D$175,"MBWAY_LYO")</f>
        <v>0</v>
      </c>
      <c r="H25" s="149">
        <f>SUMIFS(Allocation!$Y$1:$Y$175,Allocation!$C$1:$C$175,"2026",Allocation!$D$1:$D$175,"MBWAY_LYO")</f>
        <v>0</v>
      </c>
      <c r="I25" s="149">
        <f>SUMIFS(Allocation!$AC$1:$AC$175,Allocation!$C$1:$C$175,"2026",Allocation!$D$1:$D$175,"MBWAY_LYO")</f>
        <v>0</v>
      </c>
      <c r="J25" s="149">
        <f>SUMIFS(Allocation!$Z$1:$Z$175,Allocation!$C$1:$C$175,"2026",Allocation!$D$1:$D$175,"MBWAY_LYO")</f>
        <v>0</v>
      </c>
      <c r="K25" s="149">
        <f t="shared" si="0"/>
        <v>0</v>
      </c>
      <c r="L25" s="156">
        <f>SUMIFS(Allocation!$AA$1:$AA$175,Allocation!$C$1:$C$175,"2026",Allocation!$D$1:$D$175,"MBWAY_LYO")</f>
        <v>0</v>
      </c>
      <c r="M25" s="150">
        <f t="shared" si="1"/>
        <v>0</v>
      </c>
    </row>
    <row r="26" outlineLevel="2">
      <c r="B26" s="50" t="s">
        <v>150</v>
      </c>
      <c r="C26" s="109">
        <f>SUMIFS(Allocation!$I$1:$I$175,Allocation!$C$1:$C$175,"2026",Allocation!$D$1:$D$175,"MBWAY_LYO",Allocation!$F$1:$F$175,"BAC_MGT",Allocation!$G$1:$G$175,"B1",Allocation!$H$1:$H$175,"INIT")</f>
        <v>0</v>
      </c>
      <c r="D26" s="108">
        <f>SUMIFS(Allocation!$K$1:$K$175,Allocation!$C$1:$C$175,"2026",Allocation!$D$1:$D$175,"MBWAY_LYO",Allocation!$F$1:$F$175,"BAC_MGT",Allocation!$G$1:$G$175,"B1",Allocation!$H$1:$H$175,"INIT")</f>
        <v>0</v>
      </c>
      <c r="E26" s="108">
        <f>SUMIFS(Allocation!$V$1:$V$175,Allocation!$C$1:$C$175,"2026",Allocation!$D$1:$D$175,"MBWAY_LYO",Allocation!$F$1:$F$175,"BAC_MGT",Allocation!$G$1:$G$175,"B1",Allocation!$H$1:$H$175,"INIT")</f>
        <v>0</v>
      </c>
      <c r="F26" s="108">
        <f>SUMIFS(Allocation!$W$1:$W$175,Allocation!$C$1:$C$175,"2026",Allocation!$D$1:$D$175,"MBWAY_LYO",Allocation!$F$1:$F$175,"BAC_MGT",Allocation!$G$1:$G$175,"B1",Allocation!$H$1:$H$175,"INIT")</f>
        <v>0</v>
      </c>
      <c r="G26" s="108">
        <f>SUMIFS(Allocation!$X$1:$X$175,Allocation!$C$1:$C$175,"2026",Allocation!$D$1:$D$175,"MBWAY_LYO",Allocation!$F$1:$F$175,"BAC_MGT",Allocation!$G$1:$G$175,"B1",Allocation!$H$1:$H$175,"INIT")</f>
        <v>0</v>
      </c>
      <c r="H26" s="108">
        <f>SUMIFS(Allocation!$Y$1:$Y$175,Allocation!$C$1:$C$175,"2026",Allocation!$D$1:$D$175,"MBWAY_LYO",Allocation!$F$1:$F$175,"BAC_MGT",Allocation!$G$1:$G$175,"B1",Allocation!$H$1:$H$175,"INIT")</f>
        <v>0</v>
      </c>
      <c r="I26" s="108">
        <f>SUMIFS(Allocation!$AC$1:$AC$175,Allocation!$C$1:$C$175,"2026",Allocation!$D$1:$D$175,"MBWAY_LYO",Allocation!$F$1:$F$175,"BAC_MGT",Allocation!$G$1:$G$175,"B1",Allocation!$H$1:$H$175,"INIT")</f>
        <v>0</v>
      </c>
      <c r="J26" s="108">
        <f>SUMIFS(Allocation!$Z$1:$Z$175,Allocation!$C$1:$C$175,"2026",Allocation!$D$1:$D$175,"MBWAY_LYO",Allocation!$F$1:$F$175,"BAC_MGT",Allocation!$G$1:$G$175,"B1",Allocation!$H$1:$H$175,"INIT")</f>
        <v>0</v>
      </c>
      <c r="K26" s="149">
        <f t="shared" si="0"/>
        <v>0</v>
      </c>
      <c r="L26" s="157">
        <f>SUMIFS(Allocation!$AA$1:$AA$175,Allocation!$C$1:$C$175,"2026",Allocation!$D$1:$D$175,"MBWAY_LYO",Allocation!$F$1:$F$175,"BAC_MGT",Allocation!$G$1:$G$175,"B1",Allocation!$H$1:$H$175,"INIT")</f>
        <v>0</v>
      </c>
      <c r="M26" s="110">
        <f t="shared" si="1"/>
        <v>0</v>
      </c>
    </row>
    <row r="27" outlineLevel="2">
      <c r="B27" s="50" t="s">
        <v>151</v>
      </c>
      <c r="C27" s="109">
        <f>SUMIFS(Allocation!$I$1:$I$175,Allocation!$C$1:$C$175,"2026",Allocation!$D$1:$D$175,"MBWAY_LYO",Allocation!$F$1:$F$175,"BAC_MGT",Allocation!$G$1:$G$175,"B2",Allocation!$H$1:$H$175,"ALT")</f>
        <v>0</v>
      </c>
      <c r="D27" s="108">
        <f>SUMIFS(Allocation!$K$1:$K$175,Allocation!$C$1:$C$175,"2026",Allocation!$D$1:$D$175,"MBWAY_LYO",Allocation!$F$1:$F$175,"BAC_MGT",Allocation!$G$1:$G$175,"B2",Allocation!$H$1:$H$175,"ALT")</f>
        <v>0</v>
      </c>
      <c r="E27" s="108">
        <f>SUMIFS(Allocation!$V$1:$V$175,Allocation!$C$1:$C$175,"2026",Allocation!$D$1:$D$175,"MBWAY_LYO",Allocation!$F$1:$F$175,"BAC_MGT",Allocation!$G$1:$G$175,"B2",Allocation!$H$1:$H$175,"ALT")</f>
        <v>0</v>
      </c>
      <c r="F27" s="108">
        <f>SUMIFS(Allocation!$W$1:$W$175,Allocation!$C$1:$C$175,"2026",Allocation!$D$1:$D$175,"MBWAY_LYO",Allocation!$F$1:$F$175,"BAC_MGT",Allocation!$G$1:$G$175,"B2",Allocation!$H$1:$H$175,"ALT")</f>
        <v>0</v>
      </c>
      <c r="G27" s="108">
        <f>SUMIFS(Allocation!$X$1:$X$175,Allocation!$C$1:$C$175,"2026",Allocation!$D$1:$D$175,"MBWAY_LYO",Allocation!$F$1:$F$175,"BAC_MGT",Allocation!$G$1:$G$175,"B2",Allocation!$H$1:$H$175,"ALT")</f>
        <v>0</v>
      </c>
      <c r="H27" s="108">
        <f>SUMIFS(Allocation!$Y$1:$Y$175,Allocation!$C$1:$C$175,"2026",Allocation!$D$1:$D$175,"MBWAY_LYO",Allocation!$F$1:$F$175,"BAC_MGT",Allocation!$G$1:$G$175,"B2",Allocation!$H$1:$H$175,"ALT")</f>
        <v>0</v>
      </c>
      <c r="I27" s="108">
        <f>SUMIFS(Allocation!$AC$1:$AC$175,Allocation!$C$1:$C$175,"2026",Allocation!$D$1:$D$175,"MBWAY_LYO",Allocation!$F$1:$F$175,"BAC_MGT",Allocation!$G$1:$G$175,"B2",Allocation!$H$1:$H$175,"ALT")</f>
        <v>0</v>
      </c>
      <c r="J27" s="108">
        <f>SUMIFS(Allocation!$Z$1:$Z$175,Allocation!$C$1:$C$175,"2026",Allocation!$D$1:$D$175,"MBWAY_LYO",Allocation!$F$1:$F$175,"BAC_MGT",Allocation!$G$1:$G$175,"B2",Allocation!$H$1:$H$175,"ALT")</f>
        <v>0</v>
      </c>
      <c r="K27" s="149">
        <f t="shared" si="0"/>
        <v>0</v>
      </c>
      <c r="L27" s="157">
        <f>SUMIFS(Allocation!$AA$1:$AA$175,Allocation!$C$1:$C$175,"2026",Allocation!$D$1:$D$175,"MBWAY_LYO",Allocation!$F$1:$F$175,"BAC_MGT",Allocation!$G$1:$G$175,"B2",Allocation!$H$1:$H$175,"ALT")</f>
        <v>0</v>
      </c>
      <c r="M27" s="110">
        <f t="shared" si="1"/>
        <v>0</v>
      </c>
    </row>
    <row r="28" outlineLevel="2">
      <c r="B28" s="50" t="s">
        <v>152</v>
      </c>
      <c r="C28" s="109">
        <f>SUMIFS(Allocation!$I$1:$I$175,Allocation!$C$1:$C$175,"2026",Allocation!$D$1:$D$175,"MBWAY_LYO",Allocation!$F$1:$F$175,"BAC_MGT",Allocation!$G$1:$G$175,"B3",Allocation!$H$1:$H$175,"ALT")</f>
        <v>0</v>
      </c>
      <c r="D28" s="108">
        <f>SUMIFS(Allocation!$K$1:$K$175,Allocation!$C$1:$C$175,"2026",Allocation!$D$1:$D$175,"MBWAY_LYO",Allocation!$F$1:$F$175,"BAC_MGT",Allocation!$G$1:$G$175,"B3",Allocation!$H$1:$H$175,"ALT")</f>
        <v>0</v>
      </c>
      <c r="E28" s="108">
        <f>SUMIFS(Allocation!$V$1:$V$175,Allocation!$C$1:$C$175,"2026",Allocation!$D$1:$D$175,"MBWAY_LYO",Allocation!$F$1:$F$175,"BAC_MGT",Allocation!$G$1:$G$175,"B3",Allocation!$H$1:$H$175,"ALT")</f>
        <v>0</v>
      </c>
      <c r="F28" s="108">
        <f>SUMIFS(Allocation!$W$1:$W$175,Allocation!$C$1:$C$175,"2026",Allocation!$D$1:$D$175,"MBWAY_LYO",Allocation!$F$1:$F$175,"BAC_MGT",Allocation!$G$1:$G$175,"B3",Allocation!$H$1:$H$175,"ALT")</f>
        <v>0</v>
      </c>
      <c r="G28" s="108">
        <f>SUMIFS(Allocation!$X$1:$X$175,Allocation!$C$1:$C$175,"2026",Allocation!$D$1:$D$175,"MBWAY_LYO",Allocation!$F$1:$F$175,"BAC_MGT",Allocation!$G$1:$G$175,"B3",Allocation!$H$1:$H$175,"ALT")</f>
        <v>0</v>
      </c>
      <c r="H28" s="108">
        <f>SUMIFS(Allocation!$Y$1:$Y$175,Allocation!$C$1:$C$175,"2026",Allocation!$D$1:$D$175,"MBWAY_LYO",Allocation!$F$1:$F$175,"BAC_MGT",Allocation!$G$1:$G$175,"B3",Allocation!$H$1:$H$175,"ALT")</f>
        <v>0</v>
      </c>
      <c r="I28" s="108">
        <f>SUMIFS(Allocation!$AC$1:$AC$175,Allocation!$C$1:$C$175,"2026",Allocation!$D$1:$D$175,"MBWAY_LYO",Allocation!$F$1:$F$175,"BAC_MGT",Allocation!$G$1:$G$175,"B3",Allocation!$H$1:$H$175,"ALT")</f>
        <v>0</v>
      </c>
      <c r="J28" s="108">
        <f>SUMIFS(Allocation!$Z$1:$Z$175,Allocation!$C$1:$C$175,"2026",Allocation!$D$1:$D$175,"MBWAY_LYO",Allocation!$F$1:$F$175,"BAC_MGT",Allocation!$G$1:$G$175,"B3",Allocation!$H$1:$H$175,"ALT")</f>
        <v>0</v>
      </c>
      <c r="K28" s="149">
        <f t="shared" si="0"/>
        <v>0</v>
      </c>
      <c r="L28" s="157">
        <f>SUMIFS(Allocation!$AA$1:$AA$175,Allocation!$C$1:$C$175,"2026",Allocation!$D$1:$D$175,"MBWAY_LYO",Allocation!$F$1:$F$175,"BAC_MGT",Allocation!$G$1:$G$175,"B3",Allocation!$H$1:$H$175,"ALT")</f>
        <v>0</v>
      </c>
      <c r="M28" s="110">
        <f t="shared" si="1"/>
        <v>0</v>
      </c>
    </row>
    <row r="29" outlineLevel="2">
      <c r="B29" s="50" t="s">
        <v>153</v>
      </c>
      <c r="C29" s="109">
        <f>SUMIFS(Allocation!$I$1:$I$175,Allocation!$C$1:$C$175,"2026",Allocation!$D$1:$D$175,"MBWAY_LYO",Allocation!$F$1:$F$175,"MAS_MGT",Allocation!$G$1:$G$175,"M1",Allocation!$H$1:$H$175,"ALT")</f>
        <v>0</v>
      </c>
      <c r="D29" s="108">
        <f>SUMIFS(Allocation!$K$1:$K$175,Allocation!$C$1:$C$175,"2026",Allocation!$D$1:$D$175,"MBWAY_LYO",Allocation!$F$1:$F$175,"MAS_MGT",Allocation!$G$1:$G$175,"M1",Allocation!$H$1:$H$175,"ALT")</f>
        <v>0</v>
      </c>
      <c r="E29" s="108">
        <f>SUMIFS(Allocation!$V$1:$V$175,Allocation!$C$1:$C$175,"2026",Allocation!$D$1:$D$175,"MBWAY_LYO",Allocation!$F$1:$F$175,"MAS_MGT",Allocation!$G$1:$G$175,"M1",Allocation!$H$1:$H$175,"ALT")</f>
        <v>0</v>
      </c>
      <c r="F29" s="108">
        <f>SUMIFS(Allocation!$W$1:$W$175,Allocation!$C$1:$C$175,"2026",Allocation!$D$1:$D$175,"MBWAY_LYO",Allocation!$F$1:$F$175,"MAS_MGT",Allocation!$G$1:$G$175,"M1",Allocation!$H$1:$H$175,"ALT")</f>
        <v>0</v>
      </c>
      <c r="G29" s="108">
        <f>SUMIFS(Allocation!$X$1:$X$175,Allocation!$C$1:$C$175,"2026",Allocation!$D$1:$D$175,"MBWAY_LYO",Allocation!$F$1:$F$175,"MAS_MGT",Allocation!$G$1:$G$175,"M1",Allocation!$H$1:$H$175,"ALT")</f>
        <v>0</v>
      </c>
      <c r="H29" s="108">
        <f>SUMIFS(Allocation!$Y$1:$Y$175,Allocation!$C$1:$C$175,"2026",Allocation!$D$1:$D$175,"MBWAY_LYO",Allocation!$F$1:$F$175,"MAS_MGT",Allocation!$G$1:$G$175,"M1",Allocation!$H$1:$H$175,"ALT")</f>
        <v>0</v>
      </c>
      <c r="I29" s="108">
        <f>SUMIFS(Allocation!$AC$1:$AC$175,Allocation!$C$1:$C$175,"2026",Allocation!$D$1:$D$175,"MBWAY_LYO",Allocation!$F$1:$F$175,"MAS_MGT",Allocation!$G$1:$G$175,"M1",Allocation!$H$1:$H$175,"ALT")</f>
        <v>0</v>
      </c>
      <c r="J29" s="108">
        <f>SUMIFS(Allocation!$Z$1:$Z$175,Allocation!$C$1:$C$175,"2026",Allocation!$D$1:$D$175,"MBWAY_LYO",Allocation!$F$1:$F$175,"MAS_MGT",Allocation!$G$1:$G$175,"M1",Allocation!$H$1:$H$175,"ALT")</f>
        <v>0</v>
      </c>
      <c r="K29" s="149">
        <f t="shared" si="0"/>
        <v>0</v>
      </c>
      <c r="L29" s="157">
        <f>SUMIFS(Allocation!$AA$1:$AA$175,Allocation!$C$1:$C$175,"2026",Allocation!$D$1:$D$175,"MBWAY_LYO",Allocation!$F$1:$F$175,"MAS_MGT",Allocation!$G$1:$G$175,"M1",Allocation!$H$1:$H$175,"ALT")</f>
        <v>0</v>
      </c>
      <c r="M29" s="110">
        <f t="shared" si="1"/>
        <v>0</v>
      </c>
    </row>
    <row r="30" outlineLevel="2">
      <c r="B30" s="50" t="s">
        <v>154</v>
      </c>
      <c r="C30" s="109">
        <f>SUMIFS(Allocation!$I$1:$I$175,Allocation!$C$1:$C$175,"2026",Allocation!$D$1:$D$175,"MBWAY_LYO",Allocation!$F$1:$F$175,"MAS_MGT",Allocation!$G$1:$G$175,"M2",Allocation!$H$1:$H$175,"ALT")</f>
        <v>0</v>
      </c>
      <c r="D30" s="108">
        <f>SUMIFS(Allocation!$K$1:$K$175,Allocation!$C$1:$C$175,"2026",Allocation!$D$1:$D$175,"MBWAY_LYO",Allocation!$F$1:$F$175,"MAS_MGT",Allocation!$G$1:$G$175,"M2",Allocation!$H$1:$H$175,"ALT")</f>
        <v>0</v>
      </c>
      <c r="E30" s="108">
        <f>SUMIFS(Allocation!$V$1:$V$175,Allocation!$C$1:$C$175,"2026",Allocation!$D$1:$D$175,"MBWAY_LYO",Allocation!$F$1:$F$175,"MAS_MGT",Allocation!$G$1:$G$175,"M2",Allocation!$H$1:$H$175,"ALT")</f>
        <v>0</v>
      </c>
      <c r="F30" s="108">
        <f>SUMIFS(Allocation!$W$1:$W$175,Allocation!$C$1:$C$175,"2026",Allocation!$D$1:$D$175,"MBWAY_LYO",Allocation!$F$1:$F$175,"MAS_MGT",Allocation!$G$1:$G$175,"M2",Allocation!$H$1:$H$175,"ALT")</f>
        <v>0</v>
      </c>
      <c r="G30" s="108">
        <f>SUMIFS(Allocation!$X$1:$X$175,Allocation!$C$1:$C$175,"2026",Allocation!$D$1:$D$175,"MBWAY_LYO",Allocation!$F$1:$F$175,"MAS_MGT",Allocation!$G$1:$G$175,"M2",Allocation!$H$1:$H$175,"ALT")</f>
        <v>0</v>
      </c>
      <c r="H30" s="108">
        <f>SUMIFS(Allocation!$Y$1:$Y$175,Allocation!$C$1:$C$175,"2026",Allocation!$D$1:$D$175,"MBWAY_LYO",Allocation!$F$1:$F$175,"MAS_MGT",Allocation!$G$1:$G$175,"M2",Allocation!$H$1:$H$175,"ALT")</f>
        <v>0</v>
      </c>
      <c r="I30" s="108">
        <f>SUMIFS(Allocation!$AC$1:$AC$175,Allocation!$C$1:$C$175,"2026",Allocation!$D$1:$D$175,"MBWAY_LYO",Allocation!$F$1:$F$175,"MAS_MGT",Allocation!$G$1:$G$175,"M2",Allocation!$H$1:$H$175,"ALT")</f>
        <v>0</v>
      </c>
      <c r="J30" s="108">
        <f>SUMIFS(Allocation!$Z$1:$Z$175,Allocation!$C$1:$C$175,"2026",Allocation!$D$1:$D$175,"MBWAY_LYO",Allocation!$F$1:$F$175,"MAS_MGT",Allocation!$G$1:$G$175,"M2",Allocation!$H$1:$H$175,"ALT")</f>
        <v>0</v>
      </c>
      <c r="K30" s="149">
        <f t="shared" si="0"/>
        <v>0</v>
      </c>
      <c r="L30" s="157">
        <f>SUMIFS(Allocation!$AA$1:$AA$175,Allocation!$C$1:$C$175,"2026",Allocation!$D$1:$D$175,"MBWAY_LYO",Allocation!$F$1:$F$175,"MAS_MGT",Allocation!$G$1:$G$175,"M2",Allocation!$H$1:$H$175,"ALT")</f>
        <v>0</v>
      </c>
      <c r="M30" s="110">
        <f t="shared" si="1"/>
        <v>0</v>
      </c>
    </row>
    <row r="31" spans="2:13" outlineLevel="1" collapsed="1" x14ac:dyDescent="0.45">
      <c r="B31" s="49" t="s">
        <v>156</v>
      </c>
      <c r="C31" s="148">
        <f>SUMIFS(Allocation!$I$1:$I$175,Allocation!$C$1:$C$175,"2026",Allocation!$D$1:$D$175,"MBWAY_NAN")</f>
        <v>0</v>
      </c>
      <c r="D31" s="149">
        <f>SUMIFS(Allocation!$K$1:$K$175,Allocation!$C$1:$C$175,"2026",Allocation!$D$1:$D$175,"MBWAY_NAN")</f>
        <v>0</v>
      </c>
      <c r="E31" s="149">
        <f>SUMIFS(Allocation!$V$1:$V$175,Allocation!$C$1:$C$175,"2026",Allocation!$D$1:$D$175,"MBWAY_NAN")</f>
        <v>0</v>
      </c>
      <c r="F31" s="149">
        <f>SUMIFS(Allocation!$W$1:$W$175,Allocation!$C$1:$C$175,"2026",Allocation!$D$1:$D$175,"MBWAY_NAN")</f>
        <v>0</v>
      </c>
      <c r="G31" s="149">
        <f>SUMIFS(Allocation!$X$1:$X$175,Allocation!$C$1:$C$175,"2026",Allocation!$D$1:$D$175,"MBWAY_NAN")</f>
        <v>0</v>
      </c>
      <c r="H31" s="149">
        <f>SUMIFS(Allocation!$Y$1:$Y$175,Allocation!$C$1:$C$175,"2026",Allocation!$D$1:$D$175,"MBWAY_NAN")</f>
        <v>0</v>
      </c>
      <c r="I31" s="149">
        <f>SUMIFS(Allocation!$AC$1:$AC$175,Allocation!$C$1:$C$175,"2026",Allocation!$D$1:$D$175,"MBWAY_NAN")</f>
        <v>0</v>
      </c>
      <c r="J31" s="149">
        <f>SUMIFS(Allocation!$Z$1:$Z$175,Allocation!$C$1:$C$175,"2026",Allocation!$D$1:$D$175,"MBWAY_NAN")</f>
        <v>0</v>
      </c>
      <c r="K31" s="149">
        <f t="shared" si="0"/>
        <v>0</v>
      </c>
      <c r="L31" s="156">
        <f>SUMIFS(Allocation!$AA$1:$AA$175,Allocation!$C$1:$C$175,"2026",Allocation!$D$1:$D$175,"MBWAY_NAN")</f>
        <v>0</v>
      </c>
      <c r="M31" s="150">
        <f t="shared" si="1"/>
        <v>0</v>
      </c>
    </row>
    <row r="32" outlineLevel="2">
      <c r="B32" s="50" t="s">
        <v>150</v>
      </c>
      <c r="C32" s="109">
        <f>SUMIFS(Allocation!$I$1:$I$175,Allocation!$C$1:$C$175,"2026",Allocation!$D$1:$D$175,"MBWAY_NAN",Allocation!$F$1:$F$175,"BAC_MGT",Allocation!$G$1:$G$175,"B1",Allocation!$H$1:$H$175,"INIT")</f>
        <v>0</v>
      </c>
      <c r="D32" s="108">
        <f>SUMIFS(Allocation!$K$1:$K$175,Allocation!$C$1:$C$175,"2026",Allocation!$D$1:$D$175,"MBWAY_NAN",Allocation!$F$1:$F$175,"BAC_MGT",Allocation!$G$1:$G$175,"B1",Allocation!$H$1:$H$175,"INIT")</f>
        <v>0</v>
      </c>
      <c r="E32" s="108">
        <f>SUMIFS(Allocation!$V$1:$V$175,Allocation!$C$1:$C$175,"2026",Allocation!$D$1:$D$175,"MBWAY_NAN",Allocation!$F$1:$F$175,"BAC_MGT",Allocation!$G$1:$G$175,"B1",Allocation!$H$1:$H$175,"INIT")</f>
        <v>0</v>
      </c>
      <c r="F32" s="108">
        <f>SUMIFS(Allocation!$W$1:$W$175,Allocation!$C$1:$C$175,"2026",Allocation!$D$1:$D$175,"MBWAY_NAN",Allocation!$F$1:$F$175,"BAC_MGT",Allocation!$G$1:$G$175,"B1",Allocation!$H$1:$H$175,"INIT")</f>
        <v>0</v>
      </c>
      <c r="G32" s="108">
        <f>SUMIFS(Allocation!$X$1:$X$175,Allocation!$C$1:$C$175,"2026",Allocation!$D$1:$D$175,"MBWAY_NAN",Allocation!$F$1:$F$175,"BAC_MGT",Allocation!$G$1:$G$175,"B1",Allocation!$H$1:$H$175,"INIT")</f>
        <v>0</v>
      </c>
      <c r="H32" s="108">
        <f>SUMIFS(Allocation!$Y$1:$Y$175,Allocation!$C$1:$C$175,"2026",Allocation!$D$1:$D$175,"MBWAY_NAN",Allocation!$F$1:$F$175,"BAC_MGT",Allocation!$G$1:$G$175,"B1",Allocation!$H$1:$H$175,"INIT")</f>
        <v>0</v>
      </c>
      <c r="I32" s="108">
        <f>SUMIFS(Allocation!$AC$1:$AC$175,Allocation!$C$1:$C$175,"2026",Allocation!$D$1:$D$175,"MBWAY_NAN",Allocation!$F$1:$F$175,"BAC_MGT",Allocation!$G$1:$G$175,"B1",Allocation!$H$1:$H$175,"INIT")</f>
        <v>0</v>
      </c>
      <c r="J32" s="108">
        <f>SUMIFS(Allocation!$Z$1:$Z$175,Allocation!$C$1:$C$175,"2026",Allocation!$D$1:$D$175,"MBWAY_NAN",Allocation!$F$1:$F$175,"BAC_MGT",Allocation!$G$1:$G$175,"B1",Allocation!$H$1:$H$175,"INIT")</f>
        <v>0</v>
      </c>
      <c r="K32" s="149">
        <f t="shared" si="0"/>
        <v>0</v>
      </c>
      <c r="L32" s="157">
        <f>SUMIFS(Allocation!$AA$1:$AA$175,Allocation!$C$1:$C$175,"2026",Allocation!$D$1:$D$175,"MBWAY_NAN",Allocation!$F$1:$F$175,"BAC_MGT",Allocation!$G$1:$G$175,"B1",Allocation!$H$1:$H$175,"INIT")</f>
        <v>0</v>
      </c>
      <c r="M32" s="110">
        <f t="shared" si="1"/>
        <v>0</v>
      </c>
    </row>
    <row r="33" outlineLevel="2">
      <c r="B33" s="50" t="s">
        <v>151</v>
      </c>
      <c r="C33" s="109">
        <f>SUMIFS(Allocation!$I$1:$I$175,Allocation!$C$1:$C$175,"2026",Allocation!$D$1:$D$175,"MBWAY_NAN",Allocation!$F$1:$F$175,"BAC_MGT",Allocation!$G$1:$G$175,"B2",Allocation!$H$1:$H$175,"ALT")</f>
        <v>0</v>
      </c>
      <c r="D33" s="108">
        <f>SUMIFS(Allocation!$K$1:$K$175,Allocation!$C$1:$C$175,"2026",Allocation!$D$1:$D$175,"MBWAY_NAN",Allocation!$F$1:$F$175,"BAC_MGT",Allocation!$G$1:$G$175,"B2",Allocation!$H$1:$H$175,"ALT")</f>
        <v>0</v>
      </c>
      <c r="E33" s="108">
        <f>SUMIFS(Allocation!$V$1:$V$175,Allocation!$C$1:$C$175,"2026",Allocation!$D$1:$D$175,"MBWAY_NAN",Allocation!$F$1:$F$175,"BAC_MGT",Allocation!$G$1:$G$175,"B2",Allocation!$H$1:$H$175,"ALT")</f>
        <v>0</v>
      </c>
      <c r="F33" s="108">
        <f>SUMIFS(Allocation!$W$1:$W$175,Allocation!$C$1:$C$175,"2026",Allocation!$D$1:$D$175,"MBWAY_NAN",Allocation!$F$1:$F$175,"BAC_MGT",Allocation!$G$1:$G$175,"B2",Allocation!$H$1:$H$175,"ALT")</f>
        <v>0</v>
      </c>
      <c r="G33" s="108">
        <f>SUMIFS(Allocation!$X$1:$X$175,Allocation!$C$1:$C$175,"2026",Allocation!$D$1:$D$175,"MBWAY_NAN",Allocation!$F$1:$F$175,"BAC_MGT",Allocation!$G$1:$G$175,"B2",Allocation!$H$1:$H$175,"ALT")</f>
        <v>0</v>
      </c>
      <c r="H33" s="108">
        <f>SUMIFS(Allocation!$Y$1:$Y$175,Allocation!$C$1:$C$175,"2026",Allocation!$D$1:$D$175,"MBWAY_NAN",Allocation!$F$1:$F$175,"BAC_MGT",Allocation!$G$1:$G$175,"B2",Allocation!$H$1:$H$175,"ALT")</f>
        <v>0</v>
      </c>
      <c r="I33" s="108">
        <f>SUMIFS(Allocation!$AC$1:$AC$175,Allocation!$C$1:$C$175,"2026",Allocation!$D$1:$D$175,"MBWAY_NAN",Allocation!$F$1:$F$175,"BAC_MGT",Allocation!$G$1:$G$175,"B2",Allocation!$H$1:$H$175,"ALT")</f>
        <v>0</v>
      </c>
      <c r="J33" s="108">
        <f>SUMIFS(Allocation!$Z$1:$Z$175,Allocation!$C$1:$C$175,"2026",Allocation!$D$1:$D$175,"MBWAY_NAN",Allocation!$F$1:$F$175,"BAC_MGT",Allocation!$G$1:$G$175,"B2",Allocation!$H$1:$H$175,"ALT")</f>
        <v>0</v>
      </c>
      <c r="K33" s="149">
        <f t="shared" si="0"/>
        <v>0</v>
      </c>
      <c r="L33" s="157">
        <f>SUMIFS(Allocation!$AA$1:$AA$175,Allocation!$C$1:$C$175,"2026",Allocation!$D$1:$D$175,"MBWAY_NAN",Allocation!$F$1:$F$175,"BAC_MGT",Allocation!$G$1:$G$175,"B2",Allocation!$H$1:$H$175,"ALT")</f>
        <v>0</v>
      </c>
      <c r="M33" s="110">
        <f t="shared" si="1"/>
        <v>0</v>
      </c>
    </row>
    <row r="34" outlineLevel="2">
      <c r="B34" s="50" t="s">
        <v>152</v>
      </c>
      <c r="C34" s="109">
        <f>SUMIFS(Allocation!$I$1:$I$175,Allocation!$C$1:$C$175,"2026",Allocation!$D$1:$D$175,"MBWAY_NAN",Allocation!$F$1:$F$175,"BAC_MGT",Allocation!$G$1:$G$175,"B3",Allocation!$H$1:$H$175,"ALT")</f>
        <v>0</v>
      </c>
      <c r="D34" s="108">
        <f>SUMIFS(Allocation!$K$1:$K$175,Allocation!$C$1:$C$175,"2026",Allocation!$D$1:$D$175,"MBWAY_NAN",Allocation!$F$1:$F$175,"BAC_MGT",Allocation!$G$1:$G$175,"B3",Allocation!$H$1:$H$175,"ALT")</f>
        <v>0</v>
      </c>
      <c r="E34" s="108">
        <f>SUMIFS(Allocation!$V$1:$V$175,Allocation!$C$1:$C$175,"2026",Allocation!$D$1:$D$175,"MBWAY_NAN",Allocation!$F$1:$F$175,"BAC_MGT",Allocation!$G$1:$G$175,"B3",Allocation!$H$1:$H$175,"ALT")</f>
        <v>0</v>
      </c>
      <c r="F34" s="108">
        <f>SUMIFS(Allocation!$W$1:$W$175,Allocation!$C$1:$C$175,"2026",Allocation!$D$1:$D$175,"MBWAY_NAN",Allocation!$F$1:$F$175,"BAC_MGT",Allocation!$G$1:$G$175,"B3",Allocation!$H$1:$H$175,"ALT")</f>
        <v>0</v>
      </c>
      <c r="G34" s="108">
        <f>SUMIFS(Allocation!$X$1:$X$175,Allocation!$C$1:$C$175,"2026",Allocation!$D$1:$D$175,"MBWAY_NAN",Allocation!$F$1:$F$175,"BAC_MGT",Allocation!$G$1:$G$175,"B3",Allocation!$H$1:$H$175,"ALT")</f>
        <v>0</v>
      </c>
      <c r="H34" s="108">
        <f>SUMIFS(Allocation!$Y$1:$Y$175,Allocation!$C$1:$C$175,"2026",Allocation!$D$1:$D$175,"MBWAY_NAN",Allocation!$F$1:$F$175,"BAC_MGT",Allocation!$G$1:$G$175,"B3",Allocation!$H$1:$H$175,"ALT")</f>
        <v>0</v>
      </c>
      <c r="I34" s="108">
        <f>SUMIFS(Allocation!$AC$1:$AC$175,Allocation!$C$1:$C$175,"2026",Allocation!$D$1:$D$175,"MBWAY_NAN",Allocation!$F$1:$F$175,"BAC_MGT",Allocation!$G$1:$G$175,"B3",Allocation!$H$1:$H$175,"ALT")</f>
        <v>0</v>
      </c>
      <c r="J34" s="108">
        <f>SUMIFS(Allocation!$Z$1:$Z$175,Allocation!$C$1:$C$175,"2026",Allocation!$D$1:$D$175,"MBWAY_NAN",Allocation!$F$1:$F$175,"BAC_MGT",Allocation!$G$1:$G$175,"B3",Allocation!$H$1:$H$175,"ALT")</f>
        <v>0</v>
      </c>
      <c r="K34" s="149">
        <f t="shared" si="0"/>
        <v>0</v>
      </c>
      <c r="L34" s="157">
        <f>SUMIFS(Allocation!$AA$1:$AA$175,Allocation!$C$1:$C$175,"2026",Allocation!$D$1:$D$175,"MBWAY_NAN",Allocation!$F$1:$F$175,"BAC_MGT",Allocation!$G$1:$G$175,"B3",Allocation!$H$1:$H$175,"ALT")</f>
        <v>0</v>
      </c>
      <c r="M34" s="110">
        <f t="shared" si="1"/>
        <v>0</v>
      </c>
    </row>
    <row r="35" outlineLevel="2">
      <c r="B35" s="50" t="s">
        <v>153</v>
      </c>
      <c r="C35" s="109">
        <f>SUMIFS(Allocation!$I$1:$I$175,Allocation!$C$1:$C$175,"2026",Allocation!$D$1:$D$175,"MBWAY_NAN",Allocation!$F$1:$F$175,"MAS_MGT",Allocation!$G$1:$G$175,"M1",Allocation!$H$1:$H$175,"ALT")</f>
        <v>0</v>
      </c>
      <c r="D35" s="108">
        <f>SUMIFS(Allocation!$K$1:$K$175,Allocation!$C$1:$C$175,"2026",Allocation!$D$1:$D$175,"MBWAY_NAN",Allocation!$F$1:$F$175,"MAS_MGT",Allocation!$G$1:$G$175,"M1",Allocation!$H$1:$H$175,"ALT")</f>
        <v>0</v>
      </c>
      <c r="E35" s="108">
        <f>SUMIFS(Allocation!$V$1:$V$175,Allocation!$C$1:$C$175,"2026",Allocation!$D$1:$D$175,"MBWAY_NAN",Allocation!$F$1:$F$175,"MAS_MGT",Allocation!$G$1:$G$175,"M1",Allocation!$H$1:$H$175,"ALT")</f>
        <v>0</v>
      </c>
      <c r="F35" s="108">
        <f>SUMIFS(Allocation!$W$1:$W$175,Allocation!$C$1:$C$175,"2026",Allocation!$D$1:$D$175,"MBWAY_NAN",Allocation!$F$1:$F$175,"MAS_MGT",Allocation!$G$1:$G$175,"M1",Allocation!$H$1:$H$175,"ALT")</f>
        <v>0</v>
      </c>
      <c r="G35" s="108">
        <f>SUMIFS(Allocation!$X$1:$X$175,Allocation!$C$1:$C$175,"2026",Allocation!$D$1:$D$175,"MBWAY_NAN",Allocation!$F$1:$F$175,"MAS_MGT",Allocation!$G$1:$G$175,"M1",Allocation!$H$1:$H$175,"ALT")</f>
        <v>0</v>
      </c>
      <c r="H35" s="108">
        <f>SUMIFS(Allocation!$Y$1:$Y$175,Allocation!$C$1:$C$175,"2026",Allocation!$D$1:$D$175,"MBWAY_NAN",Allocation!$F$1:$F$175,"MAS_MGT",Allocation!$G$1:$G$175,"M1",Allocation!$H$1:$H$175,"ALT")</f>
        <v>0</v>
      </c>
      <c r="I35" s="108">
        <f>SUMIFS(Allocation!$AC$1:$AC$175,Allocation!$C$1:$C$175,"2026",Allocation!$D$1:$D$175,"MBWAY_NAN",Allocation!$F$1:$F$175,"MAS_MGT",Allocation!$G$1:$G$175,"M1",Allocation!$H$1:$H$175,"ALT")</f>
        <v>0</v>
      </c>
      <c r="J35" s="108">
        <f>SUMIFS(Allocation!$Z$1:$Z$175,Allocation!$C$1:$C$175,"2026",Allocation!$D$1:$D$175,"MBWAY_NAN",Allocation!$F$1:$F$175,"MAS_MGT",Allocation!$G$1:$G$175,"M1",Allocation!$H$1:$H$175,"ALT")</f>
        <v>0</v>
      </c>
      <c r="K35" s="149">
        <f t="shared" si="0"/>
        <v>0</v>
      </c>
      <c r="L35" s="157">
        <f>SUMIFS(Allocation!$AA$1:$AA$175,Allocation!$C$1:$C$175,"2026",Allocation!$D$1:$D$175,"MBWAY_NAN",Allocation!$F$1:$F$175,"MAS_MGT",Allocation!$G$1:$G$175,"M1",Allocation!$H$1:$H$175,"ALT")</f>
        <v>0</v>
      </c>
      <c r="M35" s="110">
        <f t="shared" si="1"/>
        <v>0</v>
      </c>
    </row>
    <row r="36" outlineLevel="2">
      <c r="B36" s="50" t="s">
        <v>154</v>
      </c>
      <c r="C36" s="109">
        <f>SUMIFS(Allocation!$I$1:$I$175,Allocation!$C$1:$C$175,"2026",Allocation!$D$1:$D$175,"MBWAY_NAN",Allocation!$F$1:$F$175,"MAS_MGT",Allocation!$G$1:$G$175,"M2",Allocation!$H$1:$H$175,"ALT")</f>
        <v>0</v>
      </c>
      <c r="D36" s="108">
        <f>SUMIFS(Allocation!$K$1:$K$175,Allocation!$C$1:$C$175,"2026",Allocation!$D$1:$D$175,"MBWAY_NAN",Allocation!$F$1:$F$175,"MAS_MGT",Allocation!$G$1:$G$175,"M2",Allocation!$H$1:$H$175,"ALT")</f>
        <v>0</v>
      </c>
      <c r="E36" s="108">
        <f>SUMIFS(Allocation!$V$1:$V$175,Allocation!$C$1:$C$175,"2026",Allocation!$D$1:$D$175,"MBWAY_NAN",Allocation!$F$1:$F$175,"MAS_MGT",Allocation!$G$1:$G$175,"M2",Allocation!$H$1:$H$175,"ALT")</f>
        <v>0</v>
      </c>
      <c r="F36" s="108">
        <f>SUMIFS(Allocation!$W$1:$W$175,Allocation!$C$1:$C$175,"2026",Allocation!$D$1:$D$175,"MBWAY_NAN",Allocation!$F$1:$F$175,"MAS_MGT",Allocation!$G$1:$G$175,"M2",Allocation!$H$1:$H$175,"ALT")</f>
        <v>0</v>
      </c>
      <c r="G36" s="108">
        <f>SUMIFS(Allocation!$X$1:$X$175,Allocation!$C$1:$C$175,"2026",Allocation!$D$1:$D$175,"MBWAY_NAN",Allocation!$F$1:$F$175,"MAS_MGT",Allocation!$G$1:$G$175,"M2",Allocation!$H$1:$H$175,"ALT")</f>
        <v>0</v>
      </c>
      <c r="H36" s="108">
        <f>SUMIFS(Allocation!$Y$1:$Y$175,Allocation!$C$1:$C$175,"2026",Allocation!$D$1:$D$175,"MBWAY_NAN",Allocation!$F$1:$F$175,"MAS_MGT",Allocation!$G$1:$G$175,"M2",Allocation!$H$1:$H$175,"ALT")</f>
        <v>0</v>
      </c>
      <c r="I36" s="108">
        <f>SUMIFS(Allocation!$AC$1:$AC$175,Allocation!$C$1:$C$175,"2026",Allocation!$D$1:$D$175,"MBWAY_NAN",Allocation!$F$1:$F$175,"MAS_MGT",Allocation!$G$1:$G$175,"M2",Allocation!$H$1:$H$175,"ALT")</f>
        <v>0</v>
      </c>
      <c r="J36" s="108">
        <f>SUMIFS(Allocation!$Z$1:$Z$175,Allocation!$C$1:$C$175,"2026",Allocation!$D$1:$D$175,"MBWAY_NAN",Allocation!$F$1:$F$175,"MAS_MGT",Allocation!$G$1:$G$175,"M2",Allocation!$H$1:$H$175,"ALT")</f>
        <v>0</v>
      </c>
      <c r="K36" s="149">
        <f t="shared" si="0"/>
        <v>0</v>
      </c>
      <c r="L36" s="157">
        <f>SUMIFS(Allocation!$AA$1:$AA$175,Allocation!$C$1:$C$175,"2026",Allocation!$D$1:$D$175,"MBWAY_NAN",Allocation!$F$1:$F$175,"MAS_MGT",Allocation!$G$1:$G$175,"M2",Allocation!$H$1:$H$175,"ALT")</f>
        <v>0</v>
      </c>
      <c r="M36" s="110">
        <f t="shared" si="1"/>
        <v>0</v>
      </c>
    </row>
    <row r="37" spans="2:13" outlineLevel="1" collapsed="1" x14ac:dyDescent="0.45">
      <c r="B37" s="49" t="s">
        <v>157</v>
      </c>
      <c r="C37" s="148">
        <f>SUMIFS(Allocation!$I$1:$I$175,Allocation!$C$1:$C$175,"2026",Allocation!$D$1:$D$175,"MBWAY_BOR")</f>
        <v>0</v>
      </c>
      <c r="D37" s="149">
        <f>SUMIFS(Allocation!$K$1:$K$175,Allocation!$C$1:$C$175,"2026",Allocation!$D$1:$D$175,"MBWAY_BOR")</f>
        <v>0</v>
      </c>
      <c r="E37" s="149">
        <f>SUMIFS(Allocation!$V$1:$V$175,Allocation!$C$1:$C$175,"2026",Allocation!$D$1:$D$175,"MBWAY_BOR")</f>
        <v>0</v>
      </c>
      <c r="F37" s="149">
        <f>SUMIFS(Allocation!$W$1:$W$175,Allocation!$C$1:$C$175,"2026",Allocation!$D$1:$D$175,"MBWAY_BOR")</f>
        <v>0</v>
      </c>
      <c r="G37" s="149">
        <f>SUMIFS(Allocation!$X$1:$X$175,Allocation!$C$1:$C$175,"2026",Allocation!$D$1:$D$175,"MBWAY_BOR")</f>
        <v>0</v>
      </c>
      <c r="H37" s="149">
        <f>SUMIFS(Allocation!$Y$1:$Y$175,Allocation!$C$1:$C$175,"2026",Allocation!$D$1:$D$175,"MBWAY_BOR")</f>
        <v>0</v>
      </c>
      <c r="I37" s="149">
        <f>SUMIFS(Allocation!$AC$1:$AC$175,Allocation!$C$1:$C$175,"2026",Allocation!$D$1:$D$175,"MBWAY_BOR")</f>
        <v>0</v>
      </c>
      <c r="J37" s="149">
        <f>SUMIFS(Allocation!$Z$1:$Z$175,Allocation!$C$1:$C$175,"2026",Allocation!$D$1:$D$175,"MBWAY_BOR")</f>
        <v>0</v>
      </c>
      <c r="K37" s="149">
        <f t="shared" si="0"/>
        <v>0</v>
      </c>
      <c r="L37" s="156">
        <f>SUMIFS(Allocation!$AA$1:$AA$175,Allocation!$C$1:$C$175,"2026",Allocation!$D$1:$D$175,"MBWAY_BOR")</f>
        <v>0</v>
      </c>
      <c r="M37" s="150">
        <f t="shared" si="1"/>
        <v>0</v>
      </c>
    </row>
    <row r="38" outlineLevel="2">
      <c r="B38" s="50" t="s">
        <v>150</v>
      </c>
      <c r="C38" s="109">
        <f>SUMIFS(Allocation!$I$1:$I$175,Allocation!$C$1:$C$175,"2026",Allocation!$D$1:$D$175,"MBWAY_BOR",Allocation!$F$1:$F$175,"BAC_MGT",Allocation!$G$1:$G$175,"B1",Allocation!$H$1:$H$175,"INIT")</f>
        <v>0</v>
      </c>
      <c r="D38" s="108">
        <f>SUMIFS(Allocation!$K$1:$K$175,Allocation!$C$1:$C$175,"2026",Allocation!$D$1:$D$175,"MBWAY_BOR",Allocation!$F$1:$F$175,"BAC_MGT",Allocation!$G$1:$G$175,"B1",Allocation!$H$1:$H$175,"INIT")</f>
        <v>0</v>
      </c>
      <c r="E38" s="108">
        <f>SUMIFS(Allocation!$V$1:$V$175,Allocation!$C$1:$C$175,"2026",Allocation!$D$1:$D$175,"MBWAY_BOR",Allocation!$F$1:$F$175,"BAC_MGT",Allocation!$G$1:$G$175,"B1",Allocation!$H$1:$H$175,"INIT")</f>
        <v>0</v>
      </c>
      <c r="F38" s="108">
        <f>SUMIFS(Allocation!$W$1:$W$175,Allocation!$C$1:$C$175,"2026",Allocation!$D$1:$D$175,"MBWAY_BOR",Allocation!$F$1:$F$175,"BAC_MGT",Allocation!$G$1:$G$175,"B1",Allocation!$H$1:$H$175,"INIT")</f>
        <v>0</v>
      </c>
      <c r="G38" s="108">
        <f>SUMIFS(Allocation!$X$1:$X$175,Allocation!$C$1:$C$175,"2026",Allocation!$D$1:$D$175,"MBWAY_BOR",Allocation!$F$1:$F$175,"BAC_MGT",Allocation!$G$1:$G$175,"B1",Allocation!$H$1:$H$175,"INIT")</f>
        <v>0</v>
      </c>
      <c r="H38" s="108">
        <f>SUMIFS(Allocation!$Y$1:$Y$175,Allocation!$C$1:$C$175,"2026",Allocation!$D$1:$D$175,"MBWAY_BOR",Allocation!$F$1:$F$175,"BAC_MGT",Allocation!$G$1:$G$175,"B1",Allocation!$H$1:$H$175,"INIT")</f>
        <v>0</v>
      </c>
      <c r="I38" s="108">
        <f>SUMIFS(Allocation!$AC$1:$AC$175,Allocation!$C$1:$C$175,"2026",Allocation!$D$1:$D$175,"MBWAY_BOR",Allocation!$F$1:$F$175,"BAC_MGT",Allocation!$G$1:$G$175,"B1",Allocation!$H$1:$H$175,"INIT")</f>
        <v>0</v>
      </c>
      <c r="J38" s="108">
        <f>SUMIFS(Allocation!$Z$1:$Z$175,Allocation!$C$1:$C$175,"2026",Allocation!$D$1:$D$175,"MBWAY_BOR",Allocation!$F$1:$F$175,"BAC_MGT",Allocation!$G$1:$G$175,"B1",Allocation!$H$1:$H$175,"INIT")</f>
        <v>0</v>
      </c>
      <c r="K38" s="149">
        <f t="shared" si="0"/>
        <v>0</v>
      </c>
      <c r="L38" s="157">
        <f>SUMIFS(Allocation!$AA$1:$AA$175,Allocation!$C$1:$C$175,"2026",Allocation!$D$1:$D$175,"MBWAY_BOR",Allocation!$F$1:$F$175,"BAC_MGT",Allocation!$G$1:$G$175,"B1",Allocation!$H$1:$H$175,"INIT")</f>
        <v>0</v>
      </c>
      <c r="M38" s="110">
        <f t="shared" si="1"/>
        <v>0</v>
      </c>
    </row>
    <row r="39" outlineLevel="2">
      <c r="B39" s="50" t="s">
        <v>151</v>
      </c>
      <c r="C39" s="109">
        <f>SUMIFS(Allocation!$I$1:$I$175,Allocation!$C$1:$C$175,"2026",Allocation!$D$1:$D$175,"MBWAY_BOR",Allocation!$F$1:$F$175,"BAC_MGT",Allocation!$G$1:$G$175,"B2",Allocation!$H$1:$H$175,"ALT")</f>
        <v>0</v>
      </c>
      <c r="D39" s="108">
        <f>SUMIFS(Allocation!$K$1:$K$175,Allocation!$C$1:$C$175,"2026",Allocation!$D$1:$D$175,"MBWAY_BOR",Allocation!$F$1:$F$175,"BAC_MGT",Allocation!$G$1:$G$175,"B2",Allocation!$H$1:$H$175,"ALT")</f>
        <v>0</v>
      </c>
      <c r="E39" s="108">
        <f>SUMIFS(Allocation!$V$1:$V$175,Allocation!$C$1:$C$175,"2026",Allocation!$D$1:$D$175,"MBWAY_BOR",Allocation!$F$1:$F$175,"BAC_MGT",Allocation!$G$1:$G$175,"B2",Allocation!$H$1:$H$175,"ALT")</f>
        <v>0</v>
      </c>
      <c r="F39" s="108">
        <f>SUMIFS(Allocation!$W$1:$W$175,Allocation!$C$1:$C$175,"2026",Allocation!$D$1:$D$175,"MBWAY_BOR",Allocation!$F$1:$F$175,"BAC_MGT",Allocation!$G$1:$G$175,"B2",Allocation!$H$1:$H$175,"ALT")</f>
        <v>0</v>
      </c>
      <c r="G39" s="108">
        <f>SUMIFS(Allocation!$X$1:$X$175,Allocation!$C$1:$C$175,"2026",Allocation!$D$1:$D$175,"MBWAY_BOR",Allocation!$F$1:$F$175,"BAC_MGT",Allocation!$G$1:$G$175,"B2",Allocation!$H$1:$H$175,"ALT")</f>
        <v>0</v>
      </c>
      <c r="H39" s="108">
        <f>SUMIFS(Allocation!$Y$1:$Y$175,Allocation!$C$1:$C$175,"2026",Allocation!$D$1:$D$175,"MBWAY_BOR",Allocation!$F$1:$F$175,"BAC_MGT",Allocation!$G$1:$G$175,"B2",Allocation!$H$1:$H$175,"ALT")</f>
        <v>0</v>
      </c>
      <c r="I39" s="108">
        <f>SUMIFS(Allocation!$AC$1:$AC$175,Allocation!$C$1:$C$175,"2026",Allocation!$D$1:$D$175,"MBWAY_BOR",Allocation!$F$1:$F$175,"BAC_MGT",Allocation!$G$1:$G$175,"B2",Allocation!$H$1:$H$175,"ALT")</f>
        <v>0</v>
      </c>
      <c r="J39" s="108">
        <f>SUMIFS(Allocation!$Z$1:$Z$175,Allocation!$C$1:$C$175,"2026",Allocation!$D$1:$D$175,"MBWAY_BOR",Allocation!$F$1:$F$175,"BAC_MGT",Allocation!$G$1:$G$175,"B2",Allocation!$H$1:$H$175,"ALT")</f>
        <v>0</v>
      </c>
      <c r="K39" s="149">
        <f t="shared" si="0"/>
        <v>0</v>
      </c>
      <c r="L39" s="157">
        <f>SUMIFS(Allocation!$AA$1:$AA$175,Allocation!$C$1:$C$175,"2026",Allocation!$D$1:$D$175,"MBWAY_BOR",Allocation!$F$1:$F$175,"BAC_MGT",Allocation!$G$1:$G$175,"B2",Allocation!$H$1:$H$175,"ALT")</f>
        <v>0</v>
      </c>
      <c r="M39" s="110">
        <f t="shared" si="1"/>
        <v>0</v>
      </c>
    </row>
    <row r="40" outlineLevel="2">
      <c r="B40" s="50" t="s">
        <v>152</v>
      </c>
      <c r="C40" s="109">
        <f>SUMIFS(Allocation!$I$1:$I$175,Allocation!$C$1:$C$175,"2026",Allocation!$D$1:$D$175,"MBWAY_BOR",Allocation!$F$1:$F$175,"BAC_MGT",Allocation!$G$1:$G$175,"B3",Allocation!$H$1:$H$175,"ALT")</f>
        <v>0</v>
      </c>
      <c r="D40" s="108">
        <f>SUMIFS(Allocation!$K$1:$K$175,Allocation!$C$1:$C$175,"2026",Allocation!$D$1:$D$175,"MBWAY_BOR",Allocation!$F$1:$F$175,"BAC_MGT",Allocation!$G$1:$G$175,"B3",Allocation!$H$1:$H$175,"ALT")</f>
        <v>0</v>
      </c>
      <c r="E40" s="108">
        <f>SUMIFS(Allocation!$V$1:$V$175,Allocation!$C$1:$C$175,"2026",Allocation!$D$1:$D$175,"MBWAY_BOR",Allocation!$F$1:$F$175,"BAC_MGT",Allocation!$G$1:$G$175,"B3",Allocation!$H$1:$H$175,"ALT")</f>
        <v>0</v>
      </c>
      <c r="F40" s="108">
        <f>SUMIFS(Allocation!$W$1:$W$175,Allocation!$C$1:$C$175,"2026",Allocation!$D$1:$D$175,"MBWAY_BOR",Allocation!$F$1:$F$175,"BAC_MGT",Allocation!$G$1:$G$175,"B3",Allocation!$H$1:$H$175,"ALT")</f>
        <v>0</v>
      </c>
      <c r="G40" s="108">
        <f>SUMIFS(Allocation!$X$1:$X$175,Allocation!$C$1:$C$175,"2026",Allocation!$D$1:$D$175,"MBWAY_BOR",Allocation!$F$1:$F$175,"BAC_MGT",Allocation!$G$1:$G$175,"B3",Allocation!$H$1:$H$175,"ALT")</f>
        <v>0</v>
      </c>
      <c r="H40" s="108">
        <f>SUMIFS(Allocation!$Y$1:$Y$175,Allocation!$C$1:$C$175,"2026",Allocation!$D$1:$D$175,"MBWAY_BOR",Allocation!$F$1:$F$175,"BAC_MGT",Allocation!$G$1:$G$175,"B3",Allocation!$H$1:$H$175,"ALT")</f>
        <v>0</v>
      </c>
      <c r="I40" s="108">
        <f>SUMIFS(Allocation!$AC$1:$AC$175,Allocation!$C$1:$C$175,"2026",Allocation!$D$1:$D$175,"MBWAY_BOR",Allocation!$F$1:$F$175,"BAC_MGT",Allocation!$G$1:$G$175,"B3",Allocation!$H$1:$H$175,"ALT")</f>
        <v>0</v>
      </c>
      <c r="J40" s="108">
        <f>SUMIFS(Allocation!$Z$1:$Z$175,Allocation!$C$1:$C$175,"2026",Allocation!$D$1:$D$175,"MBWAY_BOR",Allocation!$F$1:$F$175,"BAC_MGT",Allocation!$G$1:$G$175,"B3",Allocation!$H$1:$H$175,"ALT")</f>
        <v>0</v>
      </c>
      <c r="K40" s="149">
        <f t="shared" si="0"/>
        <v>0</v>
      </c>
      <c r="L40" s="157">
        <f>SUMIFS(Allocation!$AA$1:$AA$175,Allocation!$C$1:$C$175,"2026",Allocation!$D$1:$D$175,"MBWAY_BOR",Allocation!$F$1:$F$175,"BAC_MGT",Allocation!$G$1:$G$175,"B3",Allocation!$H$1:$H$175,"ALT")</f>
        <v>0</v>
      </c>
      <c r="M40" s="110">
        <f t="shared" si="1"/>
        <v>0</v>
      </c>
    </row>
    <row r="41" outlineLevel="2">
      <c r="B41" s="50" t="s">
        <v>153</v>
      </c>
      <c r="C41" s="109">
        <f>SUMIFS(Allocation!$I$1:$I$175,Allocation!$C$1:$C$175,"2026",Allocation!$D$1:$D$175,"MBWAY_BOR",Allocation!$F$1:$F$175,"MAS_MGT",Allocation!$G$1:$G$175,"M1",Allocation!$H$1:$H$175,"ALT")</f>
        <v>0</v>
      </c>
      <c r="D41" s="108">
        <f>SUMIFS(Allocation!$K$1:$K$175,Allocation!$C$1:$C$175,"2026",Allocation!$D$1:$D$175,"MBWAY_BOR",Allocation!$F$1:$F$175,"MAS_MGT",Allocation!$G$1:$G$175,"M1",Allocation!$H$1:$H$175,"ALT")</f>
        <v>0</v>
      </c>
      <c r="E41" s="108">
        <f>SUMIFS(Allocation!$V$1:$V$175,Allocation!$C$1:$C$175,"2026",Allocation!$D$1:$D$175,"MBWAY_BOR",Allocation!$F$1:$F$175,"MAS_MGT",Allocation!$G$1:$G$175,"M1",Allocation!$H$1:$H$175,"ALT")</f>
        <v>0</v>
      </c>
      <c r="F41" s="108">
        <f>SUMIFS(Allocation!$W$1:$W$175,Allocation!$C$1:$C$175,"2026",Allocation!$D$1:$D$175,"MBWAY_BOR",Allocation!$F$1:$F$175,"MAS_MGT",Allocation!$G$1:$G$175,"M1",Allocation!$H$1:$H$175,"ALT")</f>
        <v>0</v>
      </c>
      <c r="G41" s="108">
        <f>SUMIFS(Allocation!$X$1:$X$175,Allocation!$C$1:$C$175,"2026",Allocation!$D$1:$D$175,"MBWAY_BOR",Allocation!$F$1:$F$175,"MAS_MGT",Allocation!$G$1:$G$175,"M1",Allocation!$H$1:$H$175,"ALT")</f>
        <v>0</v>
      </c>
      <c r="H41" s="108">
        <f>SUMIFS(Allocation!$Y$1:$Y$175,Allocation!$C$1:$C$175,"2026",Allocation!$D$1:$D$175,"MBWAY_BOR",Allocation!$F$1:$F$175,"MAS_MGT",Allocation!$G$1:$G$175,"M1",Allocation!$H$1:$H$175,"ALT")</f>
        <v>0</v>
      </c>
      <c r="I41" s="108">
        <f>SUMIFS(Allocation!$AC$1:$AC$175,Allocation!$C$1:$C$175,"2026",Allocation!$D$1:$D$175,"MBWAY_BOR",Allocation!$F$1:$F$175,"MAS_MGT",Allocation!$G$1:$G$175,"M1",Allocation!$H$1:$H$175,"ALT")</f>
        <v>0</v>
      </c>
      <c r="J41" s="108">
        <f>SUMIFS(Allocation!$Z$1:$Z$175,Allocation!$C$1:$C$175,"2026",Allocation!$D$1:$D$175,"MBWAY_BOR",Allocation!$F$1:$F$175,"MAS_MGT",Allocation!$G$1:$G$175,"M1",Allocation!$H$1:$H$175,"ALT")</f>
        <v>0</v>
      </c>
      <c r="K41" s="149">
        <f t="shared" si="0"/>
        <v>0</v>
      </c>
      <c r="L41" s="157">
        <f>SUMIFS(Allocation!$AA$1:$AA$175,Allocation!$C$1:$C$175,"2026",Allocation!$D$1:$D$175,"MBWAY_BOR",Allocation!$F$1:$F$175,"MAS_MGT",Allocation!$G$1:$G$175,"M1",Allocation!$H$1:$H$175,"ALT")</f>
        <v>0</v>
      </c>
      <c r="M41" s="110">
        <f t="shared" si="1"/>
        <v>0</v>
      </c>
    </row>
    <row r="42" outlineLevel="2">
      <c r="B42" s="50" t="s">
        <v>154</v>
      </c>
      <c r="C42" s="109">
        <f>SUMIFS(Allocation!$I$1:$I$175,Allocation!$C$1:$C$175,"2026",Allocation!$D$1:$D$175,"MBWAY_BOR",Allocation!$F$1:$F$175,"MAS_MGT",Allocation!$G$1:$G$175,"M2",Allocation!$H$1:$H$175,"ALT")</f>
        <v>0</v>
      </c>
      <c r="D42" s="108">
        <f>SUMIFS(Allocation!$K$1:$K$175,Allocation!$C$1:$C$175,"2026",Allocation!$D$1:$D$175,"MBWAY_BOR",Allocation!$F$1:$F$175,"MAS_MGT",Allocation!$G$1:$G$175,"M2",Allocation!$H$1:$H$175,"ALT")</f>
        <v>0</v>
      </c>
      <c r="E42" s="108">
        <f>SUMIFS(Allocation!$V$1:$V$175,Allocation!$C$1:$C$175,"2026",Allocation!$D$1:$D$175,"MBWAY_BOR",Allocation!$F$1:$F$175,"MAS_MGT",Allocation!$G$1:$G$175,"M2",Allocation!$H$1:$H$175,"ALT")</f>
        <v>0</v>
      </c>
      <c r="F42" s="108">
        <f>SUMIFS(Allocation!$W$1:$W$175,Allocation!$C$1:$C$175,"2026",Allocation!$D$1:$D$175,"MBWAY_BOR",Allocation!$F$1:$F$175,"MAS_MGT",Allocation!$G$1:$G$175,"M2",Allocation!$H$1:$H$175,"ALT")</f>
        <v>0</v>
      </c>
      <c r="G42" s="108">
        <f>SUMIFS(Allocation!$X$1:$X$175,Allocation!$C$1:$C$175,"2026",Allocation!$D$1:$D$175,"MBWAY_BOR",Allocation!$F$1:$F$175,"MAS_MGT",Allocation!$G$1:$G$175,"M2",Allocation!$H$1:$H$175,"ALT")</f>
        <v>0</v>
      </c>
      <c r="H42" s="108">
        <f>SUMIFS(Allocation!$Y$1:$Y$175,Allocation!$C$1:$C$175,"2026",Allocation!$D$1:$D$175,"MBWAY_BOR",Allocation!$F$1:$F$175,"MAS_MGT",Allocation!$G$1:$G$175,"M2",Allocation!$H$1:$H$175,"ALT")</f>
        <v>0</v>
      </c>
      <c r="I42" s="108">
        <f>SUMIFS(Allocation!$AC$1:$AC$175,Allocation!$C$1:$C$175,"2026",Allocation!$D$1:$D$175,"MBWAY_BOR",Allocation!$F$1:$F$175,"MAS_MGT",Allocation!$G$1:$G$175,"M2",Allocation!$H$1:$H$175,"ALT")</f>
        <v>0</v>
      </c>
      <c r="J42" s="108">
        <f>SUMIFS(Allocation!$Z$1:$Z$175,Allocation!$C$1:$C$175,"2026",Allocation!$D$1:$D$175,"MBWAY_BOR",Allocation!$F$1:$F$175,"MAS_MGT",Allocation!$G$1:$G$175,"M2",Allocation!$H$1:$H$175,"ALT")</f>
        <v>0</v>
      </c>
      <c r="K42" s="149">
        <f t="shared" si="0"/>
        <v>0</v>
      </c>
      <c r="L42" s="157">
        <f>SUMIFS(Allocation!$AA$1:$AA$175,Allocation!$C$1:$C$175,"2026",Allocation!$D$1:$D$175,"MBWAY_BOR",Allocation!$F$1:$F$175,"MAS_MGT",Allocation!$G$1:$G$175,"M2",Allocation!$H$1:$H$175,"ALT")</f>
        <v>0</v>
      </c>
      <c r="M42" s="110">
        <f t="shared" si="1"/>
        <v>0</v>
      </c>
    </row>
    <row r="43" spans="2:13" x14ac:dyDescent="0.45">
      <c r="B43" s="51" t="s">
        <v>2</v>
      </c>
      <c r="C43" s="148">
        <f>SUMIFS(Allocation!$I$1:$I$175,Allocation!$C$1:$C$175,"2026",Allocation!$E$1:$E$175,"ISCOM")</f>
        <v>0</v>
      </c>
      <c r="D43" s="149">
        <f>SUMIFS(Allocation!$K$1:$K$175,Allocation!$C$1:$C$175,"2026",Allocation!$E$1:$E$175,"ISCOM")</f>
        <v>0</v>
      </c>
      <c r="E43" s="149">
        <f>SUMIFS(Allocation!$V$1:$V$175,Allocation!$C$1:$C$175,"2026",Allocation!$E$1:$E$175,"ISCOM")</f>
        <v>0</v>
      </c>
      <c r="F43" s="149">
        <f>SUMIFS(Allocation!$W$1:$W$175,Allocation!$C$1:$C$175,"2026",Allocation!$E$1:$E$175,"ISCOM")</f>
        <v>0</v>
      </c>
      <c r="G43" s="149">
        <f>SUMIFS(Allocation!$X$1:$X$175,Allocation!$C$1:$C$175,"2026",Allocation!$E$1:$E$175,"ISCOM")</f>
        <v>0</v>
      </c>
      <c r="H43" s="149">
        <f>SUMIFS(Allocation!$Y$1:$Y$175,Allocation!$C$1:$C$175,"2026",Allocation!$E$1:$E$175,"ISCOM")</f>
        <v>0</v>
      </c>
      <c r="I43" s="149">
        <f>SUMIFS(Allocation!$AC$1:$AC$175,Allocation!$C$1:$C$175,"2026",Allocation!$E$1:$E$175,"ISCOM")</f>
        <v>0</v>
      </c>
      <c r="J43" s="149">
        <f>SUMIFS(Allocation!$Z$1:$Z$175,Allocation!$C$1:$C$175,"2026",Allocation!$E$1:$E$175,"ISCOM")</f>
        <v>0</v>
      </c>
      <c r="K43" s="149">
        <f t="shared" si="0"/>
        <v>0</v>
      </c>
      <c r="L43" s="156">
        <f>SUMIFS(Allocation!$AA$1:$AA$175,Allocation!$C$1:$C$175,"2026",Allocation!$E$1:$E$175,"ISCOM")</f>
        <v>0</v>
      </c>
      <c r="M43" s="150">
        <f t="shared" si="1"/>
        <v>0</v>
      </c>
    </row>
    <row r="44" spans="2:13" outlineLevel="1" collapsed="1" x14ac:dyDescent="0.45">
      <c r="B44" s="49" t="s">
        <v>158</v>
      </c>
      <c r="C44" s="148">
        <f>SUMIFS(Allocation!$I$1:$I$175,Allocation!$C$1:$C$175,"2026",Allocation!$D$1:$D$175,"ISCOM_PAR")</f>
        <v>0</v>
      </c>
      <c r="D44" s="149">
        <f>SUMIFS(Allocation!$K$1:$K$175,Allocation!$C$1:$C$175,"2026",Allocation!$D$1:$D$175,"ISCOM_PAR")</f>
        <v>0</v>
      </c>
      <c r="E44" s="149">
        <f>SUMIFS(Allocation!$V$1:$V$175,Allocation!$C$1:$C$175,"2026",Allocation!$D$1:$D$175,"ISCOM_PAR")</f>
        <v>0</v>
      </c>
      <c r="F44" s="149">
        <f>SUMIFS(Allocation!$W$1:$W$175,Allocation!$C$1:$C$175,"2026",Allocation!$D$1:$D$175,"ISCOM_PAR")</f>
        <v>0</v>
      </c>
      <c r="G44" s="149">
        <f>SUMIFS(Allocation!$X$1:$X$175,Allocation!$C$1:$C$175,"2026",Allocation!$D$1:$D$175,"ISCOM_PAR")</f>
        <v>0</v>
      </c>
      <c r="H44" s="149">
        <f>SUMIFS(Allocation!$Y$1:$Y$175,Allocation!$C$1:$C$175,"2026",Allocation!$D$1:$D$175,"ISCOM_PAR")</f>
        <v>0</v>
      </c>
      <c r="I44" s="149">
        <f>SUMIFS(Allocation!$AC$1:$AC$175,Allocation!$C$1:$C$175,"2026",Allocation!$D$1:$D$175,"ISCOM_PAR")</f>
        <v>0</v>
      </c>
      <c r="J44" s="149">
        <f>SUMIFS(Allocation!$Z$1:$Z$175,Allocation!$C$1:$C$175,"2026",Allocation!$D$1:$D$175,"ISCOM_PAR")</f>
        <v>0</v>
      </c>
      <c r="K44" s="149">
        <f t="shared" si="0"/>
        <v>0</v>
      </c>
      <c r="L44" s="156">
        <f>SUMIFS(Allocation!$AA$1:$AA$175,Allocation!$C$1:$C$175,"2026",Allocation!$D$1:$D$175,"ISCOM_PAR")</f>
        <v>0</v>
      </c>
      <c r="M44" s="150">
        <f t="shared" si="1"/>
        <v>0</v>
      </c>
    </row>
    <row r="45" outlineLevel="2">
      <c r="B45" s="50" t="s">
        <v>159</v>
      </c>
      <c r="C45" s="109">
        <f>SUMIFS(Allocation!$I$1:$I$175,Allocation!$C$1:$C$175,"2026",Allocation!$D$1:$D$175,"ISCOM_PAR",Allocation!$F$1:$F$175,"BAC_COM",Allocation!$G$1:$G$175,"B1",Allocation!$H$1:$H$175,"INIT")</f>
        <v>0</v>
      </c>
      <c r="D45" s="108">
        <f>SUMIFS(Allocation!$K$1:$K$175,Allocation!$C$1:$C$175,"2026",Allocation!$D$1:$D$175,"ISCOM_PAR",Allocation!$F$1:$F$175,"BAC_COM",Allocation!$G$1:$G$175,"B1",Allocation!$H$1:$H$175,"INIT")</f>
        <v>0</v>
      </c>
      <c r="E45" s="108">
        <f>SUMIFS(Allocation!$V$1:$V$175,Allocation!$C$1:$C$175,"2026",Allocation!$D$1:$D$175,"ISCOM_PAR",Allocation!$F$1:$F$175,"BAC_COM",Allocation!$G$1:$G$175,"B1",Allocation!$H$1:$H$175,"INIT")</f>
        <v>0</v>
      </c>
      <c r="F45" s="108">
        <f>SUMIFS(Allocation!$W$1:$W$175,Allocation!$C$1:$C$175,"2026",Allocation!$D$1:$D$175,"ISCOM_PAR",Allocation!$F$1:$F$175,"BAC_COM",Allocation!$G$1:$G$175,"B1",Allocation!$H$1:$H$175,"INIT")</f>
        <v>0</v>
      </c>
      <c r="G45" s="108">
        <f>SUMIFS(Allocation!$X$1:$X$175,Allocation!$C$1:$C$175,"2026",Allocation!$D$1:$D$175,"ISCOM_PAR",Allocation!$F$1:$F$175,"BAC_COM",Allocation!$G$1:$G$175,"B1",Allocation!$H$1:$H$175,"INIT")</f>
        <v>0</v>
      </c>
      <c r="H45" s="108">
        <f>SUMIFS(Allocation!$Y$1:$Y$175,Allocation!$C$1:$C$175,"2026",Allocation!$D$1:$D$175,"ISCOM_PAR",Allocation!$F$1:$F$175,"BAC_COM",Allocation!$G$1:$G$175,"B1",Allocation!$H$1:$H$175,"INIT")</f>
        <v>0</v>
      </c>
      <c r="I45" s="108">
        <f>SUMIFS(Allocation!$AC$1:$AC$175,Allocation!$C$1:$C$175,"2026",Allocation!$D$1:$D$175,"ISCOM_PAR",Allocation!$F$1:$F$175,"BAC_COM",Allocation!$G$1:$G$175,"B1",Allocation!$H$1:$H$175,"INIT")</f>
        <v>0</v>
      </c>
      <c r="J45" s="108">
        <f>SUMIFS(Allocation!$Z$1:$Z$175,Allocation!$C$1:$C$175,"2026",Allocation!$D$1:$D$175,"ISCOM_PAR",Allocation!$F$1:$F$175,"BAC_COM",Allocation!$G$1:$G$175,"B1",Allocation!$H$1:$H$175,"INIT")</f>
        <v>0</v>
      </c>
      <c r="K45" s="149">
        <f t="shared" si="0"/>
        <v>0</v>
      </c>
      <c r="L45" s="157">
        <f>SUMIFS(Allocation!$AA$1:$AA$175,Allocation!$C$1:$C$175,"2026",Allocation!$D$1:$D$175,"ISCOM_PAR",Allocation!$F$1:$F$175,"BAC_COM",Allocation!$G$1:$G$175,"B1",Allocation!$H$1:$H$175,"INIT")</f>
        <v>0</v>
      </c>
      <c r="M45" s="110">
        <f t="shared" si="1"/>
        <v>0</v>
      </c>
    </row>
    <row r="46" outlineLevel="2">
      <c r="B46" s="50" t="s">
        <v>160</v>
      </c>
      <c r="C46" s="109">
        <f>SUMIFS(Allocation!$I$1:$I$175,Allocation!$C$1:$C$175,"2026",Allocation!$D$1:$D$175,"ISCOM_PAR",Allocation!$F$1:$F$175,"BAC_COM",Allocation!$G$1:$G$175,"B2",Allocation!$H$1:$H$175,"ALT")</f>
        <v>0</v>
      </c>
      <c r="D46" s="108">
        <f>SUMIFS(Allocation!$K$1:$K$175,Allocation!$C$1:$C$175,"2026",Allocation!$D$1:$D$175,"ISCOM_PAR",Allocation!$F$1:$F$175,"BAC_COM",Allocation!$G$1:$G$175,"B2",Allocation!$H$1:$H$175,"ALT")</f>
        <v>0</v>
      </c>
      <c r="E46" s="108">
        <f>SUMIFS(Allocation!$V$1:$V$175,Allocation!$C$1:$C$175,"2026",Allocation!$D$1:$D$175,"ISCOM_PAR",Allocation!$F$1:$F$175,"BAC_COM",Allocation!$G$1:$G$175,"B2",Allocation!$H$1:$H$175,"ALT")</f>
        <v>0</v>
      </c>
      <c r="F46" s="108">
        <f>SUMIFS(Allocation!$W$1:$W$175,Allocation!$C$1:$C$175,"2026",Allocation!$D$1:$D$175,"ISCOM_PAR",Allocation!$F$1:$F$175,"BAC_COM",Allocation!$G$1:$G$175,"B2",Allocation!$H$1:$H$175,"ALT")</f>
        <v>0</v>
      </c>
      <c r="G46" s="108">
        <f>SUMIFS(Allocation!$X$1:$X$175,Allocation!$C$1:$C$175,"2026",Allocation!$D$1:$D$175,"ISCOM_PAR",Allocation!$F$1:$F$175,"BAC_COM",Allocation!$G$1:$G$175,"B2",Allocation!$H$1:$H$175,"ALT")</f>
        <v>0</v>
      </c>
      <c r="H46" s="108">
        <f>SUMIFS(Allocation!$Y$1:$Y$175,Allocation!$C$1:$C$175,"2026",Allocation!$D$1:$D$175,"ISCOM_PAR",Allocation!$F$1:$F$175,"BAC_COM",Allocation!$G$1:$G$175,"B2",Allocation!$H$1:$H$175,"ALT")</f>
        <v>0</v>
      </c>
      <c r="I46" s="108">
        <f>SUMIFS(Allocation!$AC$1:$AC$175,Allocation!$C$1:$C$175,"2026",Allocation!$D$1:$D$175,"ISCOM_PAR",Allocation!$F$1:$F$175,"BAC_COM",Allocation!$G$1:$G$175,"B2",Allocation!$H$1:$H$175,"ALT")</f>
        <v>0</v>
      </c>
      <c r="J46" s="108">
        <f>SUMIFS(Allocation!$Z$1:$Z$175,Allocation!$C$1:$C$175,"2026",Allocation!$D$1:$D$175,"ISCOM_PAR",Allocation!$F$1:$F$175,"BAC_COM",Allocation!$G$1:$G$175,"B2",Allocation!$H$1:$H$175,"ALT")</f>
        <v>0</v>
      </c>
      <c r="K46" s="149">
        <f t="shared" si="0"/>
        <v>0</v>
      </c>
      <c r="L46" s="157">
        <f>SUMIFS(Allocation!$AA$1:$AA$175,Allocation!$C$1:$C$175,"2026",Allocation!$D$1:$D$175,"ISCOM_PAR",Allocation!$F$1:$F$175,"BAC_COM",Allocation!$G$1:$G$175,"B2",Allocation!$H$1:$H$175,"ALT")</f>
        <v>0</v>
      </c>
      <c r="M46" s="110">
        <f t="shared" si="1"/>
        <v>0</v>
      </c>
    </row>
    <row r="47" outlineLevel="2">
      <c r="B47" s="50" t="s">
        <v>161</v>
      </c>
      <c r="C47" s="109">
        <f>SUMIFS(Allocation!$I$1:$I$175,Allocation!$C$1:$C$175,"2026",Allocation!$D$1:$D$175,"ISCOM_PAR",Allocation!$F$1:$F$175,"BAC_COM",Allocation!$G$1:$G$175,"B3",Allocation!$H$1:$H$175,"ALT")</f>
        <v>0</v>
      </c>
      <c r="D47" s="108">
        <f>SUMIFS(Allocation!$K$1:$K$175,Allocation!$C$1:$C$175,"2026",Allocation!$D$1:$D$175,"ISCOM_PAR",Allocation!$F$1:$F$175,"BAC_COM",Allocation!$G$1:$G$175,"B3",Allocation!$H$1:$H$175,"ALT")</f>
        <v>0</v>
      </c>
      <c r="E47" s="108">
        <f>SUMIFS(Allocation!$V$1:$V$175,Allocation!$C$1:$C$175,"2026",Allocation!$D$1:$D$175,"ISCOM_PAR",Allocation!$F$1:$F$175,"BAC_COM",Allocation!$G$1:$G$175,"B3",Allocation!$H$1:$H$175,"ALT")</f>
        <v>0</v>
      </c>
      <c r="F47" s="108">
        <f>SUMIFS(Allocation!$W$1:$W$175,Allocation!$C$1:$C$175,"2026",Allocation!$D$1:$D$175,"ISCOM_PAR",Allocation!$F$1:$F$175,"BAC_COM",Allocation!$G$1:$G$175,"B3",Allocation!$H$1:$H$175,"ALT")</f>
        <v>0</v>
      </c>
      <c r="G47" s="108">
        <f>SUMIFS(Allocation!$X$1:$X$175,Allocation!$C$1:$C$175,"2026",Allocation!$D$1:$D$175,"ISCOM_PAR",Allocation!$F$1:$F$175,"BAC_COM",Allocation!$G$1:$G$175,"B3",Allocation!$H$1:$H$175,"ALT")</f>
        <v>0</v>
      </c>
      <c r="H47" s="108">
        <f>SUMIFS(Allocation!$Y$1:$Y$175,Allocation!$C$1:$C$175,"2026",Allocation!$D$1:$D$175,"ISCOM_PAR",Allocation!$F$1:$F$175,"BAC_COM",Allocation!$G$1:$G$175,"B3",Allocation!$H$1:$H$175,"ALT")</f>
        <v>0</v>
      </c>
      <c r="I47" s="108">
        <f>SUMIFS(Allocation!$AC$1:$AC$175,Allocation!$C$1:$C$175,"2026",Allocation!$D$1:$D$175,"ISCOM_PAR",Allocation!$F$1:$F$175,"BAC_COM",Allocation!$G$1:$G$175,"B3",Allocation!$H$1:$H$175,"ALT")</f>
        <v>0</v>
      </c>
      <c r="J47" s="108">
        <f>SUMIFS(Allocation!$Z$1:$Z$175,Allocation!$C$1:$C$175,"2026",Allocation!$D$1:$D$175,"ISCOM_PAR",Allocation!$F$1:$F$175,"BAC_COM",Allocation!$G$1:$G$175,"B3",Allocation!$H$1:$H$175,"ALT")</f>
        <v>0</v>
      </c>
      <c r="K47" s="149">
        <f t="shared" si="0"/>
        <v>0</v>
      </c>
      <c r="L47" s="157">
        <f>SUMIFS(Allocation!$AA$1:$AA$175,Allocation!$C$1:$C$175,"2026",Allocation!$D$1:$D$175,"ISCOM_PAR",Allocation!$F$1:$F$175,"BAC_COM",Allocation!$G$1:$G$175,"B3",Allocation!$H$1:$H$175,"ALT")</f>
        <v>0</v>
      </c>
      <c r="M47" s="110">
        <f t="shared" si="1"/>
        <v>0</v>
      </c>
    </row>
    <row r="48" outlineLevel="2">
      <c r="B48" s="50" t="s">
        <v>162</v>
      </c>
      <c r="C48" s="109">
        <f>SUMIFS(Allocation!$I$1:$I$175,Allocation!$C$1:$C$175,"2026",Allocation!$D$1:$D$175,"ISCOM_PAR",Allocation!$F$1:$F$175,"MAS_COM",Allocation!$G$1:$G$175,"M1",Allocation!$H$1:$H$175,"ALT")</f>
        <v>0</v>
      </c>
      <c r="D48" s="108">
        <f>SUMIFS(Allocation!$K$1:$K$175,Allocation!$C$1:$C$175,"2026",Allocation!$D$1:$D$175,"ISCOM_PAR",Allocation!$F$1:$F$175,"MAS_COM",Allocation!$G$1:$G$175,"M1",Allocation!$H$1:$H$175,"ALT")</f>
        <v>0</v>
      </c>
      <c r="E48" s="108">
        <f>SUMIFS(Allocation!$V$1:$V$175,Allocation!$C$1:$C$175,"2026",Allocation!$D$1:$D$175,"ISCOM_PAR",Allocation!$F$1:$F$175,"MAS_COM",Allocation!$G$1:$G$175,"M1",Allocation!$H$1:$H$175,"ALT")</f>
        <v>0</v>
      </c>
      <c r="F48" s="108">
        <f>SUMIFS(Allocation!$W$1:$W$175,Allocation!$C$1:$C$175,"2026",Allocation!$D$1:$D$175,"ISCOM_PAR",Allocation!$F$1:$F$175,"MAS_COM",Allocation!$G$1:$G$175,"M1",Allocation!$H$1:$H$175,"ALT")</f>
        <v>0</v>
      </c>
      <c r="G48" s="108">
        <f>SUMIFS(Allocation!$X$1:$X$175,Allocation!$C$1:$C$175,"2026",Allocation!$D$1:$D$175,"ISCOM_PAR",Allocation!$F$1:$F$175,"MAS_COM",Allocation!$G$1:$G$175,"M1",Allocation!$H$1:$H$175,"ALT")</f>
        <v>0</v>
      </c>
      <c r="H48" s="108">
        <f>SUMIFS(Allocation!$Y$1:$Y$175,Allocation!$C$1:$C$175,"2026",Allocation!$D$1:$D$175,"ISCOM_PAR",Allocation!$F$1:$F$175,"MAS_COM",Allocation!$G$1:$G$175,"M1",Allocation!$H$1:$H$175,"ALT")</f>
        <v>0</v>
      </c>
      <c r="I48" s="108">
        <f>SUMIFS(Allocation!$AC$1:$AC$175,Allocation!$C$1:$C$175,"2026",Allocation!$D$1:$D$175,"ISCOM_PAR",Allocation!$F$1:$F$175,"MAS_COM",Allocation!$G$1:$G$175,"M1",Allocation!$H$1:$H$175,"ALT")</f>
        <v>0</v>
      </c>
      <c r="J48" s="108">
        <f>SUMIFS(Allocation!$Z$1:$Z$175,Allocation!$C$1:$C$175,"2026",Allocation!$D$1:$D$175,"ISCOM_PAR",Allocation!$F$1:$F$175,"MAS_COM",Allocation!$G$1:$G$175,"M1",Allocation!$H$1:$H$175,"ALT")</f>
        <v>0</v>
      </c>
      <c r="K48" s="149">
        <f t="shared" si="0"/>
        <v>0</v>
      </c>
      <c r="L48" s="157">
        <f>SUMIFS(Allocation!$AA$1:$AA$175,Allocation!$C$1:$C$175,"2026",Allocation!$D$1:$D$175,"ISCOM_PAR",Allocation!$F$1:$F$175,"MAS_COM",Allocation!$G$1:$G$175,"M1",Allocation!$H$1:$H$175,"ALT")</f>
        <v>0</v>
      </c>
      <c r="M48" s="110">
        <f t="shared" si="1"/>
        <v>0</v>
      </c>
    </row>
    <row r="49" outlineLevel="2">
      <c r="B49" s="50" t="s">
        <v>163</v>
      </c>
      <c r="C49" s="109">
        <f>SUMIFS(Allocation!$I$1:$I$175,Allocation!$C$1:$C$175,"2026",Allocation!$D$1:$D$175,"ISCOM_PAR",Allocation!$F$1:$F$175,"MAS_COM",Allocation!$G$1:$G$175,"M2",Allocation!$H$1:$H$175,"ALT")</f>
        <v>0</v>
      </c>
      <c r="D49" s="108">
        <f>SUMIFS(Allocation!$K$1:$K$175,Allocation!$C$1:$C$175,"2026",Allocation!$D$1:$D$175,"ISCOM_PAR",Allocation!$F$1:$F$175,"MAS_COM",Allocation!$G$1:$G$175,"M2",Allocation!$H$1:$H$175,"ALT")</f>
        <v>0</v>
      </c>
      <c r="E49" s="108">
        <f>SUMIFS(Allocation!$V$1:$V$175,Allocation!$C$1:$C$175,"2026",Allocation!$D$1:$D$175,"ISCOM_PAR",Allocation!$F$1:$F$175,"MAS_COM",Allocation!$G$1:$G$175,"M2",Allocation!$H$1:$H$175,"ALT")</f>
        <v>0</v>
      </c>
      <c r="F49" s="108">
        <f>SUMIFS(Allocation!$W$1:$W$175,Allocation!$C$1:$C$175,"2026",Allocation!$D$1:$D$175,"ISCOM_PAR",Allocation!$F$1:$F$175,"MAS_COM",Allocation!$G$1:$G$175,"M2",Allocation!$H$1:$H$175,"ALT")</f>
        <v>0</v>
      </c>
      <c r="G49" s="108">
        <f>SUMIFS(Allocation!$X$1:$X$175,Allocation!$C$1:$C$175,"2026",Allocation!$D$1:$D$175,"ISCOM_PAR",Allocation!$F$1:$F$175,"MAS_COM",Allocation!$G$1:$G$175,"M2",Allocation!$H$1:$H$175,"ALT")</f>
        <v>0</v>
      </c>
      <c r="H49" s="108">
        <f>SUMIFS(Allocation!$Y$1:$Y$175,Allocation!$C$1:$C$175,"2026",Allocation!$D$1:$D$175,"ISCOM_PAR",Allocation!$F$1:$F$175,"MAS_COM",Allocation!$G$1:$G$175,"M2",Allocation!$H$1:$H$175,"ALT")</f>
        <v>0</v>
      </c>
      <c r="I49" s="108">
        <f>SUMIFS(Allocation!$AC$1:$AC$175,Allocation!$C$1:$C$175,"2026",Allocation!$D$1:$D$175,"ISCOM_PAR",Allocation!$F$1:$F$175,"MAS_COM",Allocation!$G$1:$G$175,"M2",Allocation!$H$1:$H$175,"ALT")</f>
        <v>0</v>
      </c>
      <c r="J49" s="108">
        <f>SUMIFS(Allocation!$Z$1:$Z$175,Allocation!$C$1:$C$175,"2026",Allocation!$D$1:$D$175,"ISCOM_PAR",Allocation!$F$1:$F$175,"MAS_COM",Allocation!$G$1:$G$175,"M2",Allocation!$H$1:$H$175,"ALT")</f>
        <v>0</v>
      </c>
      <c r="K49" s="149">
        <f t="shared" si="0"/>
        <v>0</v>
      </c>
      <c r="L49" s="157">
        <f>SUMIFS(Allocation!$AA$1:$AA$175,Allocation!$C$1:$C$175,"2026",Allocation!$D$1:$D$175,"ISCOM_PAR",Allocation!$F$1:$F$175,"MAS_COM",Allocation!$G$1:$G$175,"M2",Allocation!$H$1:$H$175,"ALT")</f>
        <v>0</v>
      </c>
      <c r="M49" s="110">
        <f t="shared" si="1"/>
        <v>0</v>
      </c>
    </row>
    <row r="50" spans="2:13" outlineLevel="1" collapsed="1" x14ac:dyDescent="0.45">
      <c r="B50" s="49" t="s">
        <v>164</v>
      </c>
      <c r="C50" s="148">
        <f>SUMIFS(Allocation!$I$1:$I$175,Allocation!$C$1:$C$175,"2026",Allocation!$D$1:$D$175,"ISCOM_LIL")</f>
        <v>0</v>
      </c>
      <c r="D50" s="149">
        <f>SUMIFS(Allocation!$K$1:$K$175,Allocation!$C$1:$C$175,"2026",Allocation!$D$1:$D$175,"ISCOM_LIL")</f>
        <v>0</v>
      </c>
      <c r="E50" s="149">
        <f>SUMIFS(Allocation!$V$1:$V$175,Allocation!$C$1:$C$175,"2026",Allocation!$D$1:$D$175,"ISCOM_LIL")</f>
        <v>0</v>
      </c>
      <c r="F50" s="149">
        <f>SUMIFS(Allocation!$W$1:$W$175,Allocation!$C$1:$C$175,"2026",Allocation!$D$1:$D$175,"ISCOM_LIL")</f>
        <v>0</v>
      </c>
      <c r="G50" s="149">
        <f>SUMIFS(Allocation!$X$1:$X$175,Allocation!$C$1:$C$175,"2026",Allocation!$D$1:$D$175,"ISCOM_LIL")</f>
        <v>0</v>
      </c>
      <c r="H50" s="149">
        <f>SUMIFS(Allocation!$Y$1:$Y$175,Allocation!$C$1:$C$175,"2026",Allocation!$D$1:$D$175,"ISCOM_LIL")</f>
        <v>0</v>
      </c>
      <c r="I50" s="149">
        <f>SUMIFS(Allocation!$AC$1:$AC$175,Allocation!$C$1:$C$175,"2026",Allocation!$D$1:$D$175,"ISCOM_LIL")</f>
        <v>0</v>
      </c>
      <c r="J50" s="149">
        <f>SUMIFS(Allocation!$Z$1:$Z$175,Allocation!$C$1:$C$175,"2026",Allocation!$D$1:$D$175,"ISCOM_LIL")</f>
        <v>0</v>
      </c>
      <c r="K50" s="149">
        <f t="shared" ref="K50:K81" si="2">E50+F50+G50+H50+I50+J50</f>
        <v>0</v>
      </c>
      <c r="L50" s="156">
        <f>SUMIFS(Allocation!$AA$1:$AA$175,Allocation!$C$1:$C$175,"2026",Allocation!$D$1:$D$175,"ISCOM_LIL")</f>
        <v>0</v>
      </c>
      <c r="M50" s="150">
        <f t="shared" ref="M50:M81" si="3">IFERROR(L50/D50,0)</f>
        <v>0</v>
      </c>
    </row>
    <row r="51" outlineLevel="2">
      <c r="B51" s="50" t="s">
        <v>159</v>
      </c>
      <c r="C51" s="109">
        <f>SUMIFS(Allocation!$I$1:$I$175,Allocation!$C$1:$C$175,"2026",Allocation!$D$1:$D$175,"ISCOM_LIL",Allocation!$F$1:$F$175,"BAC_COM",Allocation!$G$1:$G$175,"B1",Allocation!$H$1:$H$175,"INIT")</f>
        <v>0</v>
      </c>
      <c r="D51" s="108">
        <f>SUMIFS(Allocation!$K$1:$K$175,Allocation!$C$1:$C$175,"2026",Allocation!$D$1:$D$175,"ISCOM_LIL",Allocation!$F$1:$F$175,"BAC_COM",Allocation!$G$1:$G$175,"B1",Allocation!$H$1:$H$175,"INIT")</f>
        <v>0</v>
      </c>
      <c r="E51" s="108">
        <f>SUMIFS(Allocation!$V$1:$V$175,Allocation!$C$1:$C$175,"2026",Allocation!$D$1:$D$175,"ISCOM_LIL",Allocation!$F$1:$F$175,"BAC_COM",Allocation!$G$1:$G$175,"B1",Allocation!$H$1:$H$175,"INIT")</f>
        <v>0</v>
      </c>
      <c r="F51" s="108">
        <f>SUMIFS(Allocation!$W$1:$W$175,Allocation!$C$1:$C$175,"2026",Allocation!$D$1:$D$175,"ISCOM_LIL",Allocation!$F$1:$F$175,"BAC_COM",Allocation!$G$1:$G$175,"B1",Allocation!$H$1:$H$175,"INIT")</f>
        <v>0</v>
      </c>
      <c r="G51" s="108">
        <f>SUMIFS(Allocation!$X$1:$X$175,Allocation!$C$1:$C$175,"2026",Allocation!$D$1:$D$175,"ISCOM_LIL",Allocation!$F$1:$F$175,"BAC_COM",Allocation!$G$1:$G$175,"B1",Allocation!$H$1:$H$175,"INIT")</f>
        <v>0</v>
      </c>
      <c r="H51" s="108">
        <f>SUMIFS(Allocation!$Y$1:$Y$175,Allocation!$C$1:$C$175,"2026",Allocation!$D$1:$D$175,"ISCOM_LIL",Allocation!$F$1:$F$175,"BAC_COM",Allocation!$G$1:$G$175,"B1",Allocation!$H$1:$H$175,"INIT")</f>
        <v>0</v>
      </c>
      <c r="I51" s="108">
        <f>SUMIFS(Allocation!$AC$1:$AC$175,Allocation!$C$1:$C$175,"2026",Allocation!$D$1:$D$175,"ISCOM_LIL",Allocation!$F$1:$F$175,"BAC_COM",Allocation!$G$1:$G$175,"B1",Allocation!$H$1:$H$175,"INIT")</f>
        <v>0</v>
      </c>
      <c r="J51" s="108">
        <f>SUMIFS(Allocation!$Z$1:$Z$175,Allocation!$C$1:$C$175,"2026",Allocation!$D$1:$D$175,"ISCOM_LIL",Allocation!$F$1:$F$175,"BAC_COM",Allocation!$G$1:$G$175,"B1",Allocation!$H$1:$H$175,"INIT")</f>
        <v>0</v>
      </c>
      <c r="K51" s="149">
        <f t="shared" si="2"/>
        <v>0</v>
      </c>
      <c r="L51" s="157">
        <f>SUMIFS(Allocation!$AA$1:$AA$175,Allocation!$C$1:$C$175,"2026",Allocation!$D$1:$D$175,"ISCOM_LIL",Allocation!$F$1:$F$175,"BAC_COM",Allocation!$G$1:$G$175,"B1",Allocation!$H$1:$H$175,"INIT")</f>
        <v>0</v>
      </c>
      <c r="M51" s="110">
        <f t="shared" si="3"/>
        <v>0</v>
      </c>
    </row>
    <row r="52" outlineLevel="2">
      <c r="B52" s="50" t="s">
        <v>160</v>
      </c>
      <c r="C52" s="109">
        <f>SUMIFS(Allocation!$I$1:$I$175,Allocation!$C$1:$C$175,"2026",Allocation!$D$1:$D$175,"ISCOM_LIL",Allocation!$F$1:$F$175,"BAC_COM",Allocation!$G$1:$G$175,"B2",Allocation!$H$1:$H$175,"ALT")</f>
        <v>0</v>
      </c>
      <c r="D52" s="108">
        <f>SUMIFS(Allocation!$K$1:$K$175,Allocation!$C$1:$C$175,"2026",Allocation!$D$1:$D$175,"ISCOM_LIL",Allocation!$F$1:$F$175,"BAC_COM",Allocation!$G$1:$G$175,"B2",Allocation!$H$1:$H$175,"ALT")</f>
        <v>0</v>
      </c>
      <c r="E52" s="108">
        <f>SUMIFS(Allocation!$V$1:$V$175,Allocation!$C$1:$C$175,"2026",Allocation!$D$1:$D$175,"ISCOM_LIL",Allocation!$F$1:$F$175,"BAC_COM",Allocation!$G$1:$G$175,"B2",Allocation!$H$1:$H$175,"ALT")</f>
        <v>0</v>
      </c>
      <c r="F52" s="108">
        <f>SUMIFS(Allocation!$W$1:$W$175,Allocation!$C$1:$C$175,"2026",Allocation!$D$1:$D$175,"ISCOM_LIL",Allocation!$F$1:$F$175,"BAC_COM",Allocation!$G$1:$G$175,"B2",Allocation!$H$1:$H$175,"ALT")</f>
        <v>0</v>
      </c>
      <c r="G52" s="108">
        <f>SUMIFS(Allocation!$X$1:$X$175,Allocation!$C$1:$C$175,"2026",Allocation!$D$1:$D$175,"ISCOM_LIL",Allocation!$F$1:$F$175,"BAC_COM",Allocation!$G$1:$G$175,"B2",Allocation!$H$1:$H$175,"ALT")</f>
        <v>0</v>
      </c>
      <c r="H52" s="108">
        <f>SUMIFS(Allocation!$Y$1:$Y$175,Allocation!$C$1:$C$175,"2026",Allocation!$D$1:$D$175,"ISCOM_LIL",Allocation!$F$1:$F$175,"BAC_COM",Allocation!$G$1:$G$175,"B2",Allocation!$H$1:$H$175,"ALT")</f>
        <v>0</v>
      </c>
      <c r="I52" s="108">
        <f>SUMIFS(Allocation!$AC$1:$AC$175,Allocation!$C$1:$C$175,"2026",Allocation!$D$1:$D$175,"ISCOM_LIL",Allocation!$F$1:$F$175,"BAC_COM",Allocation!$G$1:$G$175,"B2",Allocation!$H$1:$H$175,"ALT")</f>
        <v>0</v>
      </c>
      <c r="J52" s="108">
        <f>SUMIFS(Allocation!$Z$1:$Z$175,Allocation!$C$1:$C$175,"2026",Allocation!$D$1:$D$175,"ISCOM_LIL",Allocation!$F$1:$F$175,"BAC_COM",Allocation!$G$1:$G$175,"B2",Allocation!$H$1:$H$175,"ALT")</f>
        <v>0</v>
      </c>
      <c r="K52" s="149">
        <f t="shared" si="2"/>
        <v>0</v>
      </c>
      <c r="L52" s="157">
        <f>SUMIFS(Allocation!$AA$1:$AA$175,Allocation!$C$1:$C$175,"2026",Allocation!$D$1:$D$175,"ISCOM_LIL",Allocation!$F$1:$F$175,"BAC_COM",Allocation!$G$1:$G$175,"B2",Allocation!$H$1:$H$175,"ALT")</f>
        <v>0</v>
      </c>
      <c r="M52" s="110">
        <f t="shared" si="3"/>
        <v>0</v>
      </c>
    </row>
    <row r="53" outlineLevel="2">
      <c r="B53" s="50" t="s">
        <v>161</v>
      </c>
      <c r="C53" s="109">
        <f>SUMIFS(Allocation!$I$1:$I$175,Allocation!$C$1:$C$175,"2026",Allocation!$D$1:$D$175,"ISCOM_LIL",Allocation!$F$1:$F$175,"BAC_COM",Allocation!$G$1:$G$175,"B3",Allocation!$H$1:$H$175,"ALT")</f>
        <v>0</v>
      </c>
      <c r="D53" s="108">
        <f>SUMIFS(Allocation!$K$1:$K$175,Allocation!$C$1:$C$175,"2026",Allocation!$D$1:$D$175,"ISCOM_LIL",Allocation!$F$1:$F$175,"BAC_COM",Allocation!$G$1:$G$175,"B3",Allocation!$H$1:$H$175,"ALT")</f>
        <v>0</v>
      </c>
      <c r="E53" s="108">
        <f>SUMIFS(Allocation!$V$1:$V$175,Allocation!$C$1:$C$175,"2026",Allocation!$D$1:$D$175,"ISCOM_LIL",Allocation!$F$1:$F$175,"BAC_COM",Allocation!$G$1:$G$175,"B3",Allocation!$H$1:$H$175,"ALT")</f>
        <v>0</v>
      </c>
      <c r="F53" s="108">
        <f>SUMIFS(Allocation!$W$1:$W$175,Allocation!$C$1:$C$175,"2026",Allocation!$D$1:$D$175,"ISCOM_LIL",Allocation!$F$1:$F$175,"BAC_COM",Allocation!$G$1:$G$175,"B3",Allocation!$H$1:$H$175,"ALT")</f>
        <v>0</v>
      </c>
      <c r="G53" s="108">
        <f>SUMIFS(Allocation!$X$1:$X$175,Allocation!$C$1:$C$175,"2026",Allocation!$D$1:$D$175,"ISCOM_LIL",Allocation!$F$1:$F$175,"BAC_COM",Allocation!$G$1:$G$175,"B3",Allocation!$H$1:$H$175,"ALT")</f>
        <v>0</v>
      </c>
      <c r="H53" s="108">
        <f>SUMIFS(Allocation!$Y$1:$Y$175,Allocation!$C$1:$C$175,"2026",Allocation!$D$1:$D$175,"ISCOM_LIL",Allocation!$F$1:$F$175,"BAC_COM",Allocation!$G$1:$G$175,"B3",Allocation!$H$1:$H$175,"ALT")</f>
        <v>0</v>
      </c>
      <c r="I53" s="108">
        <f>SUMIFS(Allocation!$AC$1:$AC$175,Allocation!$C$1:$C$175,"2026",Allocation!$D$1:$D$175,"ISCOM_LIL",Allocation!$F$1:$F$175,"BAC_COM",Allocation!$G$1:$G$175,"B3",Allocation!$H$1:$H$175,"ALT")</f>
        <v>0</v>
      </c>
      <c r="J53" s="108">
        <f>SUMIFS(Allocation!$Z$1:$Z$175,Allocation!$C$1:$C$175,"2026",Allocation!$D$1:$D$175,"ISCOM_LIL",Allocation!$F$1:$F$175,"BAC_COM",Allocation!$G$1:$G$175,"B3",Allocation!$H$1:$H$175,"ALT")</f>
        <v>0</v>
      </c>
      <c r="K53" s="149">
        <f t="shared" si="2"/>
        <v>0</v>
      </c>
      <c r="L53" s="157">
        <f>SUMIFS(Allocation!$AA$1:$AA$175,Allocation!$C$1:$C$175,"2026",Allocation!$D$1:$D$175,"ISCOM_LIL",Allocation!$F$1:$F$175,"BAC_COM",Allocation!$G$1:$G$175,"B3",Allocation!$H$1:$H$175,"ALT")</f>
        <v>0</v>
      </c>
      <c r="M53" s="110">
        <f t="shared" si="3"/>
        <v>0</v>
      </c>
    </row>
    <row r="54" outlineLevel="2">
      <c r="B54" s="50" t="s">
        <v>162</v>
      </c>
      <c r="C54" s="109">
        <f>SUMIFS(Allocation!$I$1:$I$175,Allocation!$C$1:$C$175,"2026",Allocation!$D$1:$D$175,"ISCOM_LIL",Allocation!$F$1:$F$175,"MAS_COM",Allocation!$G$1:$G$175,"M1",Allocation!$H$1:$H$175,"ALT")</f>
        <v>0</v>
      </c>
      <c r="D54" s="108">
        <f>SUMIFS(Allocation!$K$1:$K$175,Allocation!$C$1:$C$175,"2026",Allocation!$D$1:$D$175,"ISCOM_LIL",Allocation!$F$1:$F$175,"MAS_COM",Allocation!$G$1:$G$175,"M1",Allocation!$H$1:$H$175,"ALT")</f>
        <v>0</v>
      </c>
      <c r="E54" s="108">
        <f>SUMIFS(Allocation!$V$1:$V$175,Allocation!$C$1:$C$175,"2026",Allocation!$D$1:$D$175,"ISCOM_LIL",Allocation!$F$1:$F$175,"MAS_COM",Allocation!$G$1:$G$175,"M1",Allocation!$H$1:$H$175,"ALT")</f>
        <v>0</v>
      </c>
      <c r="F54" s="108">
        <f>SUMIFS(Allocation!$W$1:$W$175,Allocation!$C$1:$C$175,"2026",Allocation!$D$1:$D$175,"ISCOM_LIL",Allocation!$F$1:$F$175,"MAS_COM",Allocation!$G$1:$G$175,"M1",Allocation!$H$1:$H$175,"ALT")</f>
        <v>0</v>
      </c>
      <c r="G54" s="108">
        <f>SUMIFS(Allocation!$X$1:$X$175,Allocation!$C$1:$C$175,"2026",Allocation!$D$1:$D$175,"ISCOM_LIL",Allocation!$F$1:$F$175,"MAS_COM",Allocation!$G$1:$G$175,"M1",Allocation!$H$1:$H$175,"ALT")</f>
        <v>0</v>
      </c>
      <c r="H54" s="108">
        <f>SUMIFS(Allocation!$Y$1:$Y$175,Allocation!$C$1:$C$175,"2026",Allocation!$D$1:$D$175,"ISCOM_LIL",Allocation!$F$1:$F$175,"MAS_COM",Allocation!$G$1:$G$175,"M1",Allocation!$H$1:$H$175,"ALT")</f>
        <v>0</v>
      </c>
      <c r="I54" s="108">
        <f>SUMIFS(Allocation!$AC$1:$AC$175,Allocation!$C$1:$C$175,"2026",Allocation!$D$1:$D$175,"ISCOM_LIL",Allocation!$F$1:$F$175,"MAS_COM",Allocation!$G$1:$G$175,"M1",Allocation!$H$1:$H$175,"ALT")</f>
        <v>0</v>
      </c>
      <c r="J54" s="108">
        <f>SUMIFS(Allocation!$Z$1:$Z$175,Allocation!$C$1:$C$175,"2026",Allocation!$D$1:$D$175,"ISCOM_LIL",Allocation!$F$1:$F$175,"MAS_COM",Allocation!$G$1:$G$175,"M1",Allocation!$H$1:$H$175,"ALT")</f>
        <v>0</v>
      </c>
      <c r="K54" s="149">
        <f t="shared" si="2"/>
        <v>0</v>
      </c>
      <c r="L54" s="157">
        <f>SUMIFS(Allocation!$AA$1:$AA$175,Allocation!$C$1:$C$175,"2026",Allocation!$D$1:$D$175,"ISCOM_LIL",Allocation!$F$1:$F$175,"MAS_COM",Allocation!$G$1:$G$175,"M1",Allocation!$H$1:$H$175,"ALT")</f>
        <v>0</v>
      </c>
      <c r="M54" s="110">
        <f t="shared" si="3"/>
        <v>0</v>
      </c>
    </row>
    <row r="55" outlineLevel="2">
      <c r="B55" s="50" t="s">
        <v>163</v>
      </c>
      <c r="C55" s="109">
        <f>SUMIFS(Allocation!$I$1:$I$175,Allocation!$C$1:$C$175,"2026",Allocation!$D$1:$D$175,"ISCOM_LIL",Allocation!$F$1:$F$175,"MAS_COM",Allocation!$G$1:$G$175,"M2",Allocation!$H$1:$H$175,"ALT")</f>
        <v>0</v>
      </c>
      <c r="D55" s="108">
        <f>SUMIFS(Allocation!$K$1:$K$175,Allocation!$C$1:$C$175,"2026",Allocation!$D$1:$D$175,"ISCOM_LIL",Allocation!$F$1:$F$175,"MAS_COM",Allocation!$G$1:$G$175,"M2",Allocation!$H$1:$H$175,"ALT")</f>
        <v>0</v>
      </c>
      <c r="E55" s="108">
        <f>SUMIFS(Allocation!$V$1:$V$175,Allocation!$C$1:$C$175,"2026",Allocation!$D$1:$D$175,"ISCOM_LIL",Allocation!$F$1:$F$175,"MAS_COM",Allocation!$G$1:$G$175,"M2",Allocation!$H$1:$H$175,"ALT")</f>
        <v>0</v>
      </c>
      <c r="F55" s="108">
        <f>SUMIFS(Allocation!$W$1:$W$175,Allocation!$C$1:$C$175,"2026",Allocation!$D$1:$D$175,"ISCOM_LIL",Allocation!$F$1:$F$175,"MAS_COM",Allocation!$G$1:$G$175,"M2",Allocation!$H$1:$H$175,"ALT")</f>
        <v>0</v>
      </c>
      <c r="G55" s="108">
        <f>SUMIFS(Allocation!$X$1:$X$175,Allocation!$C$1:$C$175,"2026",Allocation!$D$1:$D$175,"ISCOM_LIL",Allocation!$F$1:$F$175,"MAS_COM",Allocation!$G$1:$G$175,"M2",Allocation!$H$1:$H$175,"ALT")</f>
        <v>0</v>
      </c>
      <c r="H55" s="108">
        <f>SUMIFS(Allocation!$Y$1:$Y$175,Allocation!$C$1:$C$175,"2026",Allocation!$D$1:$D$175,"ISCOM_LIL",Allocation!$F$1:$F$175,"MAS_COM",Allocation!$G$1:$G$175,"M2",Allocation!$H$1:$H$175,"ALT")</f>
        <v>0</v>
      </c>
      <c r="I55" s="108">
        <f>SUMIFS(Allocation!$AC$1:$AC$175,Allocation!$C$1:$C$175,"2026",Allocation!$D$1:$D$175,"ISCOM_LIL",Allocation!$F$1:$F$175,"MAS_COM",Allocation!$G$1:$G$175,"M2",Allocation!$H$1:$H$175,"ALT")</f>
        <v>0</v>
      </c>
      <c r="J55" s="108">
        <f>SUMIFS(Allocation!$Z$1:$Z$175,Allocation!$C$1:$C$175,"2026",Allocation!$D$1:$D$175,"ISCOM_LIL",Allocation!$F$1:$F$175,"MAS_COM",Allocation!$G$1:$G$175,"M2",Allocation!$H$1:$H$175,"ALT")</f>
        <v>0</v>
      </c>
      <c r="K55" s="149">
        <f t="shared" si="2"/>
        <v>0</v>
      </c>
      <c r="L55" s="157">
        <f>SUMIFS(Allocation!$AA$1:$AA$175,Allocation!$C$1:$C$175,"2026",Allocation!$D$1:$D$175,"ISCOM_LIL",Allocation!$F$1:$F$175,"MAS_COM",Allocation!$G$1:$G$175,"M2",Allocation!$H$1:$H$175,"ALT")</f>
        <v>0</v>
      </c>
      <c r="M55" s="110">
        <f t="shared" si="3"/>
        <v>0</v>
      </c>
    </row>
    <row r="56" spans="2:13" outlineLevel="1" collapsed="1" x14ac:dyDescent="0.45">
      <c r="B56" s="49" t="s">
        <v>165</v>
      </c>
      <c r="C56" s="148">
        <f>SUMIFS(Allocation!$I$1:$I$175,Allocation!$C$1:$C$175,"2026",Allocation!$D$1:$D$175,"ISCOM_TLS")</f>
        <v>0</v>
      </c>
      <c r="D56" s="149">
        <f>SUMIFS(Allocation!$K$1:$K$175,Allocation!$C$1:$C$175,"2026",Allocation!$D$1:$D$175,"ISCOM_TLS")</f>
        <v>0</v>
      </c>
      <c r="E56" s="149">
        <f>SUMIFS(Allocation!$V$1:$V$175,Allocation!$C$1:$C$175,"2026",Allocation!$D$1:$D$175,"ISCOM_TLS")</f>
        <v>0</v>
      </c>
      <c r="F56" s="149">
        <f>SUMIFS(Allocation!$W$1:$W$175,Allocation!$C$1:$C$175,"2026",Allocation!$D$1:$D$175,"ISCOM_TLS")</f>
        <v>0</v>
      </c>
      <c r="G56" s="149">
        <f>SUMIFS(Allocation!$X$1:$X$175,Allocation!$C$1:$C$175,"2026",Allocation!$D$1:$D$175,"ISCOM_TLS")</f>
        <v>0</v>
      </c>
      <c r="H56" s="149">
        <f>SUMIFS(Allocation!$Y$1:$Y$175,Allocation!$C$1:$C$175,"2026",Allocation!$D$1:$D$175,"ISCOM_TLS")</f>
        <v>0</v>
      </c>
      <c r="I56" s="149">
        <f>SUMIFS(Allocation!$AC$1:$AC$175,Allocation!$C$1:$C$175,"2026",Allocation!$D$1:$D$175,"ISCOM_TLS")</f>
        <v>0</v>
      </c>
      <c r="J56" s="149">
        <f>SUMIFS(Allocation!$Z$1:$Z$175,Allocation!$C$1:$C$175,"2026",Allocation!$D$1:$D$175,"ISCOM_TLS")</f>
        <v>0</v>
      </c>
      <c r="K56" s="149">
        <f t="shared" si="2"/>
        <v>0</v>
      </c>
      <c r="L56" s="156">
        <f>SUMIFS(Allocation!$AA$1:$AA$175,Allocation!$C$1:$C$175,"2026",Allocation!$D$1:$D$175,"ISCOM_TLS")</f>
        <v>0</v>
      </c>
      <c r="M56" s="150">
        <f t="shared" si="3"/>
        <v>0</v>
      </c>
    </row>
    <row r="57" outlineLevel="2">
      <c r="B57" s="50" t="s">
        <v>159</v>
      </c>
      <c r="C57" s="109">
        <f>SUMIFS(Allocation!$I$1:$I$175,Allocation!$C$1:$C$175,"2026",Allocation!$D$1:$D$175,"ISCOM_TLS",Allocation!$F$1:$F$175,"BAC_COM",Allocation!$G$1:$G$175,"B1",Allocation!$H$1:$H$175,"INIT")</f>
        <v>0</v>
      </c>
      <c r="D57" s="108">
        <f>SUMIFS(Allocation!$K$1:$K$175,Allocation!$C$1:$C$175,"2026",Allocation!$D$1:$D$175,"ISCOM_TLS",Allocation!$F$1:$F$175,"BAC_COM",Allocation!$G$1:$G$175,"B1",Allocation!$H$1:$H$175,"INIT")</f>
        <v>0</v>
      </c>
      <c r="E57" s="108">
        <f>SUMIFS(Allocation!$V$1:$V$175,Allocation!$C$1:$C$175,"2026",Allocation!$D$1:$D$175,"ISCOM_TLS",Allocation!$F$1:$F$175,"BAC_COM",Allocation!$G$1:$G$175,"B1",Allocation!$H$1:$H$175,"INIT")</f>
        <v>0</v>
      </c>
      <c r="F57" s="108">
        <f>SUMIFS(Allocation!$W$1:$W$175,Allocation!$C$1:$C$175,"2026",Allocation!$D$1:$D$175,"ISCOM_TLS",Allocation!$F$1:$F$175,"BAC_COM",Allocation!$G$1:$G$175,"B1",Allocation!$H$1:$H$175,"INIT")</f>
        <v>0</v>
      </c>
      <c r="G57" s="108">
        <f>SUMIFS(Allocation!$X$1:$X$175,Allocation!$C$1:$C$175,"2026",Allocation!$D$1:$D$175,"ISCOM_TLS",Allocation!$F$1:$F$175,"BAC_COM",Allocation!$G$1:$G$175,"B1",Allocation!$H$1:$H$175,"INIT")</f>
        <v>0</v>
      </c>
      <c r="H57" s="108">
        <f>SUMIFS(Allocation!$Y$1:$Y$175,Allocation!$C$1:$C$175,"2026",Allocation!$D$1:$D$175,"ISCOM_TLS",Allocation!$F$1:$F$175,"BAC_COM",Allocation!$G$1:$G$175,"B1",Allocation!$H$1:$H$175,"INIT")</f>
        <v>0</v>
      </c>
      <c r="I57" s="108">
        <f>SUMIFS(Allocation!$AC$1:$AC$175,Allocation!$C$1:$C$175,"2026",Allocation!$D$1:$D$175,"ISCOM_TLS",Allocation!$F$1:$F$175,"BAC_COM",Allocation!$G$1:$G$175,"B1",Allocation!$H$1:$H$175,"INIT")</f>
        <v>0</v>
      </c>
      <c r="J57" s="108">
        <f>SUMIFS(Allocation!$Z$1:$Z$175,Allocation!$C$1:$C$175,"2026",Allocation!$D$1:$D$175,"ISCOM_TLS",Allocation!$F$1:$F$175,"BAC_COM",Allocation!$G$1:$G$175,"B1",Allocation!$H$1:$H$175,"INIT")</f>
        <v>0</v>
      </c>
      <c r="K57" s="149">
        <f t="shared" si="2"/>
        <v>0</v>
      </c>
      <c r="L57" s="157">
        <f>SUMIFS(Allocation!$AA$1:$AA$175,Allocation!$C$1:$C$175,"2026",Allocation!$D$1:$D$175,"ISCOM_TLS",Allocation!$F$1:$F$175,"BAC_COM",Allocation!$G$1:$G$175,"B1",Allocation!$H$1:$H$175,"INIT")</f>
        <v>0</v>
      </c>
      <c r="M57" s="110">
        <f t="shared" si="3"/>
        <v>0</v>
      </c>
    </row>
    <row r="58" outlineLevel="2">
      <c r="B58" s="50" t="s">
        <v>160</v>
      </c>
      <c r="C58" s="109">
        <f>SUMIFS(Allocation!$I$1:$I$175,Allocation!$C$1:$C$175,"2026",Allocation!$D$1:$D$175,"ISCOM_TLS",Allocation!$F$1:$F$175,"BAC_COM",Allocation!$G$1:$G$175,"B2",Allocation!$H$1:$H$175,"ALT")</f>
        <v>0</v>
      </c>
      <c r="D58" s="108">
        <f>SUMIFS(Allocation!$K$1:$K$175,Allocation!$C$1:$C$175,"2026",Allocation!$D$1:$D$175,"ISCOM_TLS",Allocation!$F$1:$F$175,"BAC_COM",Allocation!$G$1:$G$175,"B2",Allocation!$H$1:$H$175,"ALT")</f>
        <v>0</v>
      </c>
      <c r="E58" s="108">
        <f>SUMIFS(Allocation!$V$1:$V$175,Allocation!$C$1:$C$175,"2026",Allocation!$D$1:$D$175,"ISCOM_TLS",Allocation!$F$1:$F$175,"BAC_COM",Allocation!$G$1:$G$175,"B2",Allocation!$H$1:$H$175,"ALT")</f>
        <v>0</v>
      </c>
      <c r="F58" s="108">
        <f>SUMIFS(Allocation!$W$1:$W$175,Allocation!$C$1:$C$175,"2026",Allocation!$D$1:$D$175,"ISCOM_TLS",Allocation!$F$1:$F$175,"BAC_COM",Allocation!$G$1:$G$175,"B2",Allocation!$H$1:$H$175,"ALT")</f>
        <v>0</v>
      </c>
      <c r="G58" s="108">
        <f>SUMIFS(Allocation!$X$1:$X$175,Allocation!$C$1:$C$175,"2026",Allocation!$D$1:$D$175,"ISCOM_TLS",Allocation!$F$1:$F$175,"BAC_COM",Allocation!$G$1:$G$175,"B2",Allocation!$H$1:$H$175,"ALT")</f>
        <v>0</v>
      </c>
      <c r="H58" s="108">
        <f>SUMIFS(Allocation!$Y$1:$Y$175,Allocation!$C$1:$C$175,"2026",Allocation!$D$1:$D$175,"ISCOM_TLS",Allocation!$F$1:$F$175,"BAC_COM",Allocation!$G$1:$G$175,"B2",Allocation!$H$1:$H$175,"ALT")</f>
        <v>0</v>
      </c>
      <c r="I58" s="108">
        <f>SUMIFS(Allocation!$AC$1:$AC$175,Allocation!$C$1:$C$175,"2026",Allocation!$D$1:$D$175,"ISCOM_TLS",Allocation!$F$1:$F$175,"BAC_COM",Allocation!$G$1:$G$175,"B2",Allocation!$H$1:$H$175,"ALT")</f>
        <v>0</v>
      </c>
      <c r="J58" s="108">
        <f>SUMIFS(Allocation!$Z$1:$Z$175,Allocation!$C$1:$C$175,"2026",Allocation!$D$1:$D$175,"ISCOM_TLS",Allocation!$F$1:$F$175,"BAC_COM",Allocation!$G$1:$G$175,"B2",Allocation!$H$1:$H$175,"ALT")</f>
        <v>0</v>
      </c>
      <c r="K58" s="149">
        <f t="shared" si="2"/>
        <v>0</v>
      </c>
      <c r="L58" s="157">
        <f>SUMIFS(Allocation!$AA$1:$AA$175,Allocation!$C$1:$C$175,"2026",Allocation!$D$1:$D$175,"ISCOM_TLS",Allocation!$F$1:$F$175,"BAC_COM",Allocation!$G$1:$G$175,"B2",Allocation!$H$1:$H$175,"ALT")</f>
        <v>0</v>
      </c>
      <c r="M58" s="110">
        <f t="shared" si="3"/>
        <v>0</v>
      </c>
    </row>
    <row r="59" outlineLevel="2">
      <c r="B59" s="50" t="s">
        <v>161</v>
      </c>
      <c r="C59" s="109">
        <f>SUMIFS(Allocation!$I$1:$I$175,Allocation!$C$1:$C$175,"2026",Allocation!$D$1:$D$175,"ISCOM_TLS",Allocation!$F$1:$F$175,"BAC_COM",Allocation!$G$1:$G$175,"B3",Allocation!$H$1:$H$175,"ALT")</f>
        <v>0</v>
      </c>
      <c r="D59" s="108">
        <f>SUMIFS(Allocation!$K$1:$K$175,Allocation!$C$1:$C$175,"2026",Allocation!$D$1:$D$175,"ISCOM_TLS",Allocation!$F$1:$F$175,"BAC_COM",Allocation!$G$1:$G$175,"B3",Allocation!$H$1:$H$175,"ALT")</f>
        <v>0</v>
      </c>
      <c r="E59" s="108">
        <f>SUMIFS(Allocation!$V$1:$V$175,Allocation!$C$1:$C$175,"2026",Allocation!$D$1:$D$175,"ISCOM_TLS",Allocation!$F$1:$F$175,"BAC_COM",Allocation!$G$1:$G$175,"B3",Allocation!$H$1:$H$175,"ALT")</f>
        <v>0</v>
      </c>
      <c r="F59" s="108">
        <f>SUMIFS(Allocation!$W$1:$W$175,Allocation!$C$1:$C$175,"2026",Allocation!$D$1:$D$175,"ISCOM_TLS",Allocation!$F$1:$F$175,"BAC_COM",Allocation!$G$1:$G$175,"B3",Allocation!$H$1:$H$175,"ALT")</f>
        <v>0</v>
      </c>
      <c r="G59" s="108">
        <f>SUMIFS(Allocation!$X$1:$X$175,Allocation!$C$1:$C$175,"2026",Allocation!$D$1:$D$175,"ISCOM_TLS",Allocation!$F$1:$F$175,"BAC_COM",Allocation!$G$1:$G$175,"B3",Allocation!$H$1:$H$175,"ALT")</f>
        <v>0</v>
      </c>
      <c r="H59" s="108">
        <f>SUMIFS(Allocation!$Y$1:$Y$175,Allocation!$C$1:$C$175,"2026",Allocation!$D$1:$D$175,"ISCOM_TLS",Allocation!$F$1:$F$175,"BAC_COM",Allocation!$G$1:$G$175,"B3",Allocation!$H$1:$H$175,"ALT")</f>
        <v>0</v>
      </c>
      <c r="I59" s="108">
        <f>SUMIFS(Allocation!$AC$1:$AC$175,Allocation!$C$1:$C$175,"2026",Allocation!$D$1:$D$175,"ISCOM_TLS",Allocation!$F$1:$F$175,"BAC_COM",Allocation!$G$1:$G$175,"B3",Allocation!$H$1:$H$175,"ALT")</f>
        <v>0</v>
      </c>
      <c r="J59" s="108">
        <f>SUMIFS(Allocation!$Z$1:$Z$175,Allocation!$C$1:$C$175,"2026",Allocation!$D$1:$D$175,"ISCOM_TLS",Allocation!$F$1:$F$175,"BAC_COM",Allocation!$G$1:$G$175,"B3",Allocation!$H$1:$H$175,"ALT")</f>
        <v>0</v>
      </c>
      <c r="K59" s="149">
        <f t="shared" si="2"/>
        <v>0</v>
      </c>
      <c r="L59" s="157">
        <f>SUMIFS(Allocation!$AA$1:$AA$175,Allocation!$C$1:$C$175,"2026",Allocation!$D$1:$D$175,"ISCOM_TLS",Allocation!$F$1:$F$175,"BAC_COM",Allocation!$G$1:$G$175,"B3",Allocation!$H$1:$H$175,"ALT")</f>
        <v>0</v>
      </c>
      <c r="M59" s="110">
        <f t="shared" si="3"/>
        <v>0</v>
      </c>
    </row>
    <row r="60" outlineLevel="2">
      <c r="B60" s="50" t="s">
        <v>162</v>
      </c>
      <c r="C60" s="109">
        <f>SUMIFS(Allocation!$I$1:$I$175,Allocation!$C$1:$C$175,"2026",Allocation!$D$1:$D$175,"ISCOM_TLS",Allocation!$F$1:$F$175,"MAS_COM",Allocation!$G$1:$G$175,"M1",Allocation!$H$1:$H$175,"ALT")</f>
        <v>0</v>
      </c>
      <c r="D60" s="108">
        <f>SUMIFS(Allocation!$K$1:$K$175,Allocation!$C$1:$C$175,"2026",Allocation!$D$1:$D$175,"ISCOM_TLS",Allocation!$F$1:$F$175,"MAS_COM",Allocation!$G$1:$G$175,"M1",Allocation!$H$1:$H$175,"ALT")</f>
        <v>0</v>
      </c>
      <c r="E60" s="108">
        <f>SUMIFS(Allocation!$V$1:$V$175,Allocation!$C$1:$C$175,"2026",Allocation!$D$1:$D$175,"ISCOM_TLS",Allocation!$F$1:$F$175,"MAS_COM",Allocation!$G$1:$G$175,"M1",Allocation!$H$1:$H$175,"ALT")</f>
        <v>0</v>
      </c>
      <c r="F60" s="108">
        <f>SUMIFS(Allocation!$W$1:$W$175,Allocation!$C$1:$C$175,"2026",Allocation!$D$1:$D$175,"ISCOM_TLS",Allocation!$F$1:$F$175,"MAS_COM",Allocation!$G$1:$G$175,"M1",Allocation!$H$1:$H$175,"ALT")</f>
        <v>0</v>
      </c>
      <c r="G60" s="108">
        <f>SUMIFS(Allocation!$X$1:$X$175,Allocation!$C$1:$C$175,"2026",Allocation!$D$1:$D$175,"ISCOM_TLS",Allocation!$F$1:$F$175,"MAS_COM",Allocation!$G$1:$G$175,"M1",Allocation!$H$1:$H$175,"ALT")</f>
        <v>0</v>
      </c>
      <c r="H60" s="108">
        <f>SUMIFS(Allocation!$Y$1:$Y$175,Allocation!$C$1:$C$175,"2026",Allocation!$D$1:$D$175,"ISCOM_TLS",Allocation!$F$1:$F$175,"MAS_COM",Allocation!$G$1:$G$175,"M1",Allocation!$H$1:$H$175,"ALT")</f>
        <v>0</v>
      </c>
      <c r="I60" s="108">
        <f>SUMIFS(Allocation!$AC$1:$AC$175,Allocation!$C$1:$C$175,"2026",Allocation!$D$1:$D$175,"ISCOM_TLS",Allocation!$F$1:$F$175,"MAS_COM",Allocation!$G$1:$G$175,"M1",Allocation!$H$1:$H$175,"ALT")</f>
        <v>0</v>
      </c>
      <c r="J60" s="108">
        <f>SUMIFS(Allocation!$Z$1:$Z$175,Allocation!$C$1:$C$175,"2026",Allocation!$D$1:$D$175,"ISCOM_TLS",Allocation!$F$1:$F$175,"MAS_COM",Allocation!$G$1:$G$175,"M1",Allocation!$H$1:$H$175,"ALT")</f>
        <v>0</v>
      </c>
      <c r="K60" s="149">
        <f t="shared" si="2"/>
        <v>0</v>
      </c>
      <c r="L60" s="157">
        <f>SUMIFS(Allocation!$AA$1:$AA$175,Allocation!$C$1:$C$175,"2026",Allocation!$D$1:$D$175,"ISCOM_TLS",Allocation!$F$1:$F$175,"MAS_COM",Allocation!$G$1:$G$175,"M1",Allocation!$H$1:$H$175,"ALT")</f>
        <v>0</v>
      </c>
      <c r="M60" s="110">
        <f t="shared" si="3"/>
        <v>0</v>
      </c>
    </row>
    <row r="61" outlineLevel="2">
      <c r="B61" s="50" t="s">
        <v>163</v>
      </c>
      <c r="C61" s="109">
        <f>SUMIFS(Allocation!$I$1:$I$175,Allocation!$C$1:$C$175,"2026",Allocation!$D$1:$D$175,"ISCOM_TLS",Allocation!$F$1:$F$175,"MAS_COM",Allocation!$G$1:$G$175,"M2",Allocation!$H$1:$H$175,"ALT")</f>
        <v>0</v>
      </c>
      <c r="D61" s="108">
        <f>SUMIFS(Allocation!$K$1:$K$175,Allocation!$C$1:$C$175,"2026",Allocation!$D$1:$D$175,"ISCOM_TLS",Allocation!$F$1:$F$175,"MAS_COM",Allocation!$G$1:$G$175,"M2",Allocation!$H$1:$H$175,"ALT")</f>
        <v>0</v>
      </c>
      <c r="E61" s="108">
        <f>SUMIFS(Allocation!$V$1:$V$175,Allocation!$C$1:$C$175,"2026",Allocation!$D$1:$D$175,"ISCOM_TLS",Allocation!$F$1:$F$175,"MAS_COM",Allocation!$G$1:$G$175,"M2",Allocation!$H$1:$H$175,"ALT")</f>
        <v>0</v>
      </c>
      <c r="F61" s="108">
        <f>SUMIFS(Allocation!$W$1:$W$175,Allocation!$C$1:$C$175,"2026",Allocation!$D$1:$D$175,"ISCOM_TLS",Allocation!$F$1:$F$175,"MAS_COM",Allocation!$G$1:$G$175,"M2",Allocation!$H$1:$H$175,"ALT")</f>
        <v>0</v>
      </c>
      <c r="G61" s="108">
        <f>SUMIFS(Allocation!$X$1:$X$175,Allocation!$C$1:$C$175,"2026",Allocation!$D$1:$D$175,"ISCOM_TLS",Allocation!$F$1:$F$175,"MAS_COM",Allocation!$G$1:$G$175,"M2",Allocation!$H$1:$H$175,"ALT")</f>
        <v>0</v>
      </c>
      <c r="H61" s="108">
        <f>SUMIFS(Allocation!$Y$1:$Y$175,Allocation!$C$1:$C$175,"2026",Allocation!$D$1:$D$175,"ISCOM_TLS",Allocation!$F$1:$F$175,"MAS_COM",Allocation!$G$1:$G$175,"M2",Allocation!$H$1:$H$175,"ALT")</f>
        <v>0</v>
      </c>
      <c r="I61" s="108">
        <f>SUMIFS(Allocation!$AC$1:$AC$175,Allocation!$C$1:$C$175,"2026",Allocation!$D$1:$D$175,"ISCOM_TLS",Allocation!$F$1:$F$175,"MAS_COM",Allocation!$G$1:$G$175,"M2",Allocation!$H$1:$H$175,"ALT")</f>
        <v>0</v>
      </c>
      <c r="J61" s="108">
        <f>SUMIFS(Allocation!$Z$1:$Z$175,Allocation!$C$1:$C$175,"2026",Allocation!$D$1:$D$175,"ISCOM_TLS",Allocation!$F$1:$F$175,"MAS_COM",Allocation!$G$1:$G$175,"M2",Allocation!$H$1:$H$175,"ALT")</f>
        <v>0</v>
      </c>
      <c r="K61" s="149">
        <f t="shared" si="2"/>
        <v>0</v>
      </c>
      <c r="L61" s="157">
        <f>SUMIFS(Allocation!$AA$1:$AA$175,Allocation!$C$1:$C$175,"2026",Allocation!$D$1:$D$175,"ISCOM_TLS",Allocation!$F$1:$F$175,"MAS_COM",Allocation!$G$1:$G$175,"M2",Allocation!$H$1:$H$175,"ALT")</f>
        <v>0</v>
      </c>
      <c r="M61" s="110">
        <f t="shared" si="3"/>
        <v>0</v>
      </c>
    </row>
    <row r="62" spans="2:13" x14ac:dyDescent="0.45">
      <c r="B62" s="52" t="s">
        <v>129</v>
      </c>
      <c r="C62" s="148">
        <f>SUMIFS(Allocation!$I$1:$I$175,Allocation!$C$1:$C$175,"2026",Allocation!$E$1:$E$175,"IPAC")</f>
        <v>0</v>
      </c>
      <c r="D62" s="149">
        <f>SUMIFS(Allocation!$K$1:$K$175,Allocation!$C$1:$C$175,"2026",Allocation!$E$1:$E$175,"IPAC")</f>
        <v>0</v>
      </c>
      <c r="E62" s="149">
        <f>SUMIFS(Allocation!$V$1:$V$175,Allocation!$C$1:$C$175,"2026",Allocation!$E$1:$E$175,"IPAC")</f>
        <v>0</v>
      </c>
      <c r="F62" s="149">
        <f>SUMIFS(Allocation!$W$1:$W$175,Allocation!$C$1:$C$175,"2026",Allocation!$E$1:$E$175,"IPAC")</f>
        <v>0</v>
      </c>
      <c r="G62" s="149">
        <f>SUMIFS(Allocation!$X$1:$X$175,Allocation!$C$1:$C$175,"2026",Allocation!$E$1:$E$175,"IPAC")</f>
        <v>0</v>
      </c>
      <c r="H62" s="149">
        <f>SUMIFS(Allocation!$Y$1:$Y$175,Allocation!$C$1:$C$175,"2026",Allocation!$E$1:$E$175,"IPAC")</f>
        <v>0</v>
      </c>
      <c r="I62" s="149">
        <f>SUMIFS(Allocation!$AC$1:$AC$175,Allocation!$C$1:$C$175,"2026",Allocation!$E$1:$E$175,"IPAC")</f>
        <v>0</v>
      </c>
      <c r="J62" s="149">
        <f>SUMIFS(Allocation!$Z$1:$Z$175,Allocation!$C$1:$C$175,"2026",Allocation!$E$1:$E$175,"IPAC")</f>
        <v>0</v>
      </c>
      <c r="K62" s="149">
        <f t="shared" si="2"/>
        <v>0</v>
      </c>
      <c r="L62" s="156">
        <f>SUMIFS(Allocation!$AA$1:$AA$175,Allocation!$C$1:$C$175,"2026",Allocation!$E$1:$E$175,"IPAC")</f>
        <v>0</v>
      </c>
      <c r="M62" s="150">
        <f t="shared" si="3"/>
        <v>0</v>
      </c>
    </row>
    <row r="63" spans="2:13" outlineLevel="1" collapsed="1" x14ac:dyDescent="0.45">
      <c r="B63" s="49" t="s">
        <v>166</v>
      </c>
      <c r="C63" s="148">
        <f>SUMIFS(Allocation!$I$1:$I$175,Allocation!$C$1:$C$175,"2026",Allocation!$D$1:$D$175,"IPAC_NAN")</f>
        <v>0</v>
      </c>
      <c r="D63" s="149">
        <f>SUMIFS(Allocation!$K$1:$K$175,Allocation!$C$1:$C$175,"2026",Allocation!$D$1:$D$175,"IPAC_NAN")</f>
        <v>0</v>
      </c>
      <c r="E63" s="149">
        <f>SUMIFS(Allocation!$V$1:$V$175,Allocation!$C$1:$C$175,"2026",Allocation!$D$1:$D$175,"IPAC_NAN")</f>
        <v>0</v>
      </c>
      <c r="F63" s="149">
        <f>SUMIFS(Allocation!$W$1:$W$175,Allocation!$C$1:$C$175,"2026",Allocation!$D$1:$D$175,"IPAC_NAN")</f>
        <v>0</v>
      </c>
      <c r="G63" s="149">
        <f>SUMIFS(Allocation!$X$1:$X$175,Allocation!$C$1:$C$175,"2026",Allocation!$D$1:$D$175,"IPAC_NAN")</f>
        <v>0</v>
      </c>
      <c r="H63" s="149">
        <f>SUMIFS(Allocation!$Y$1:$Y$175,Allocation!$C$1:$C$175,"2026",Allocation!$D$1:$D$175,"IPAC_NAN")</f>
        <v>0</v>
      </c>
      <c r="I63" s="149">
        <f>SUMIFS(Allocation!$AC$1:$AC$175,Allocation!$C$1:$C$175,"2026",Allocation!$D$1:$D$175,"IPAC_NAN")</f>
        <v>0</v>
      </c>
      <c r="J63" s="149">
        <f>SUMIFS(Allocation!$Z$1:$Z$175,Allocation!$C$1:$C$175,"2026",Allocation!$D$1:$D$175,"IPAC_NAN")</f>
        <v>0</v>
      </c>
      <c r="K63" s="149">
        <f t="shared" si="2"/>
        <v>0</v>
      </c>
      <c r="L63" s="156">
        <f>SUMIFS(Allocation!$AA$1:$AA$175,Allocation!$C$1:$C$175,"2026",Allocation!$D$1:$D$175,"IPAC_NAN")</f>
        <v>0</v>
      </c>
      <c r="M63" s="150">
        <f t="shared" si="3"/>
        <v>0</v>
      </c>
    </row>
    <row r="64" outlineLevel="2">
      <c r="B64" s="50" t="s">
        <v>167</v>
      </c>
      <c r="C64" s="109">
        <f>SUMIFS(Allocation!$I$1:$I$175,Allocation!$C$1:$C$175,"2026",Allocation!$D$1:$D$175,"IPAC_NAN",Allocation!$F$1:$F$175,"BAC_CCE",Allocation!$G$1:$G$175,"B1",Allocation!$H$1:$H$175,"ALT")</f>
        <v>0</v>
      </c>
      <c r="D64" s="108">
        <f>SUMIFS(Allocation!$K$1:$K$175,Allocation!$C$1:$C$175,"2026",Allocation!$D$1:$D$175,"IPAC_NAN",Allocation!$F$1:$F$175,"BAC_CCE",Allocation!$G$1:$G$175,"B1",Allocation!$H$1:$H$175,"ALT")</f>
        <v>0</v>
      </c>
      <c r="E64" s="108">
        <f>SUMIFS(Allocation!$V$1:$V$175,Allocation!$C$1:$C$175,"2026",Allocation!$D$1:$D$175,"IPAC_NAN",Allocation!$F$1:$F$175,"BAC_CCE",Allocation!$G$1:$G$175,"B1",Allocation!$H$1:$H$175,"ALT")</f>
        <v>0</v>
      </c>
      <c r="F64" s="108">
        <f>SUMIFS(Allocation!$W$1:$W$175,Allocation!$C$1:$C$175,"2026",Allocation!$D$1:$D$175,"IPAC_NAN",Allocation!$F$1:$F$175,"BAC_CCE",Allocation!$G$1:$G$175,"B1",Allocation!$H$1:$H$175,"ALT")</f>
        <v>0</v>
      </c>
      <c r="G64" s="108">
        <f>SUMIFS(Allocation!$X$1:$X$175,Allocation!$C$1:$C$175,"2026",Allocation!$D$1:$D$175,"IPAC_NAN",Allocation!$F$1:$F$175,"BAC_CCE",Allocation!$G$1:$G$175,"B1",Allocation!$H$1:$H$175,"ALT")</f>
        <v>0</v>
      </c>
      <c r="H64" s="108">
        <f>SUMIFS(Allocation!$Y$1:$Y$175,Allocation!$C$1:$C$175,"2026",Allocation!$D$1:$D$175,"IPAC_NAN",Allocation!$F$1:$F$175,"BAC_CCE",Allocation!$G$1:$G$175,"B1",Allocation!$H$1:$H$175,"ALT")</f>
        <v>0</v>
      </c>
      <c r="I64" s="108">
        <f>SUMIFS(Allocation!$AC$1:$AC$175,Allocation!$C$1:$C$175,"2026",Allocation!$D$1:$D$175,"IPAC_NAN",Allocation!$F$1:$F$175,"BAC_CCE",Allocation!$G$1:$G$175,"B1",Allocation!$H$1:$H$175,"ALT")</f>
        <v>0</v>
      </c>
      <c r="J64" s="108">
        <f>SUMIFS(Allocation!$Z$1:$Z$175,Allocation!$C$1:$C$175,"2026",Allocation!$D$1:$D$175,"IPAC_NAN",Allocation!$F$1:$F$175,"BAC_CCE",Allocation!$G$1:$G$175,"B1",Allocation!$H$1:$H$175,"ALT")</f>
        <v>0</v>
      </c>
      <c r="K64" s="149">
        <f t="shared" si="2"/>
        <v>0</v>
      </c>
      <c r="L64" s="157">
        <f>SUMIFS(Allocation!$AA$1:$AA$175,Allocation!$C$1:$C$175,"2026",Allocation!$D$1:$D$175,"IPAC_NAN",Allocation!$F$1:$F$175,"BAC_CCE",Allocation!$G$1:$G$175,"B1",Allocation!$H$1:$H$175,"ALT")</f>
        <v>0</v>
      </c>
      <c r="M64" s="110">
        <f t="shared" si="3"/>
        <v>0</v>
      </c>
    </row>
    <row r="65" outlineLevel="2">
      <c r="B65" s="50" t="s">
        <v>168</v>
      </c>
      <c r="C65" s="109">
        <f>SUMIFS(Allocation!$I$1:$I$175,Allocation!$C$1:$C$175,"2026",Allocation!$D$1:$D$175,"IPAC_NAN",Allocation!$F$1:$F$175,"BAC_CCE",Allocation!$G$1:$G$175,"B2",Allocation!$H$1:$H$175,"ALT")</f>
        <v>0</v>
      </c>
      <c r="D65" s="108">
        <f>SUMIFS(Allocation!$K$1:$K$175,Allocation!$C$1:$C$175,"2026",Allocation!$D$1:$D$175,"IPAC_NAN",Allocation!$F$1:$F$175,"BAC_CCE",Allocation!$G$1:$G$175,"B2",Allocation!$H$1:$H$175,"ALT")</f>
        <v>0</v>
      </c>
      <c r="E65" s="108">
        <f>SUMIFS(Allocation!$V$1:$V$175,Allocation!$C$1:$C$175,"2026",Allocation!$D$1:$D$175,"IPAC_NAN",Allocation!$F$1:$F$175,"BAC_CCE",Allocation!$G$1:$G$175,"B2",Allocation!$H$1:$H$175,"ALT")</f>
        <v>0</v>
      </c>
      <c r="F65" s="108">
        <f>SUMIFS(Allocation!$W$1:$W$175,Allocation!$C$1:$C$175,"2026",Allocation!$D$1:$D$175,"IPAC_NAN",Allocation!$F$1:$F$175,"BAC_CCE",Allocation!$G$1:$G$175,"B2",Allocation!$H$1:$H$175,"ALT")</f>
        <v>0</v>
      </c>
      <c r="G65" s="108">
        <f>SUMIFS(Allocation!$X$1:$X$175,Allocation!$C$1:$C$175,"2026",Allocation!$D$1:$D$175,"IPAC_NAN",Allocation!$F$1:$F$175,"BAC_CCE",Allocation!$G$1:$G$175,"B2",Allocation!$H$1:$H$175,"ALT")</f>
        <v>0</v>
      </c>
      <c r="H65" s="108">
        <f>SUMIFS(Allocation!$Y$1:$Y$175,Allocation!$C$1:$C$175,"2026",Allocation!$D$1:$D$175,"IPAC_NAN",Allocation!$F$1:$F$175,"BAC_CCE",Allocation!$G$1:$G$175,"B2",Allocation!$H$1:$H$175,"ALT")</f>
        <v>0</v>
      </c>
      <c r="I65" s="108">
        <f>SUMIFS(Allocation!$AC$1:$AC$175,Allocation!$C$1:$C$175,"2026",Allocation!$D$1:$D$175,"IPAC_NAN",Allocation!$F$1:$F$175,"BAC_CCE",Allocation!$G$1:$G$175,"B2",Allocation!$H$1:$H$175,"ALT")</f>
        <v>0</v>
      </c>
      <c r="J65" s="108">
        <f>SUMIFS(Allocation!$Z$1:$Z$175,Allocation!$C$1:$C$175,"2026",Allocation!$D$1:$D$175,"IPAC_NAN",Allocation!$F$1:$F$175,"BAC_CCE",Allocation!$G$1:$G$175,"B2",Allocation!$H$1:$H$175,"ALT")</f>
        <v>0</v>
      </c>
      <c r="K65" s="149">
        <f t="shared" si="2"/>
        <v>0</v>
      </c>
      <c r="L65" s="157">
        <f>SUMIFS(Allocation!$AA$1:$AA$175,Allocation!$C$1:$C$175,"2026",Allocation!$D$1:$D$175,"IPAC_NAN",Allocation!$F$1:$F$175,"BAC_CCE",Allocation!$G$1:$G$175,"B2",Allocation!$H$1:$H$175,"ALT")</f>
        <v>0</v>
      </c>
      <c r="M65" s="110">
        <f t="shared" si="3"/>
        <v>0</v>
      </c>
    </row>
    <row r="66" outlineLevel="2">
      <c r="B66" s="50" t="s">
        <v>169</v>
      </c>
      <c r="C66" s="109">
        <f>SUMIFS(Allocation!$I$1:$I$175,Allocation!$C$1:$C$175,"2026",Allocation!$D$1:$D$175,"IPAC_NAN",Allocation!$F$1:$F$175,"BAC_CCE",Allocation!$G$1:$G$175,"B3",Allocation!$H$1:$H$175,"ALT")</f>
        <v>0</v>
      </c>
      <c r="D66" s="108">
        <f>SUMIFS(Allocation!$K$1:$K$175,Allocation!$C$1:$C$175,"2026",Allocation!$D$1:$D$175,"IPAC_NAN",Allocation!$F$1:$F$175,"BAC_CCE",Allocation!$G$1:$G$175,"B3",Allocation!$H$1:$H$175,"ALT")</f>
        <v>0</v>
      </c>
      <c r="E66" s="108">
        <f>SUMIFS(Allocation!$V$1:$V$175,Allocation!$C$1:$C$175,"2026",Allocation!$D$1:$D$175,"IPAC_NAN",Allocation!$F$1:$F$175,"BAC_CCE",Allocation!$G$1:$G$175,"B3",Allocation!$H$1:$H$175,"ALT")</f>
        <v>0</v>
      </c>
      <c r="F66" s="108">
        <f>SUMIFS(Allocation!$W$1:$W$175,Allocation!$C$1:$C$175,"2026",Allocation!$D$1:$D$175,"IPAC_NAN",Allocation!$F$1:$F$175,"BAC_CCE",Allocation!$G$1:$G$175,"B3",Allocation!$H$1:$H$175,"ALT")</f>
        <v>0</v>
      </c>
      <c r="G66" s="108">
        <f>SUMIFS(Allocation!$X$1:$X$175,Allocation!$C$1:$C$175,"2026",Allocation!$D$1:$D$175,"IPAC_NAN",Allocation!$F$1:$F$175,"BAC_CCE",Allocation!$G$1:$G$175,"B3",Allocation!$H$1:$H$175,"ALT")</f>
        <v>0</v>
      </c>
      <c r="H66" s="108">
        <f>SUMIFS(Allocation!$Y$1:$Y$175,Allocation!$C$1:$C$175,"2026",Allocation!$D$1:$D$175,"IPAC_NAN",Allocation!$F$1:$F$175,"BAC_CCE",Allocation!$G$1:$G$175,"B3",Allocation!$H$1:$H$175,"ALT")</f>
        <v>0</v>
      </c>
      <c r="I66" s="108">
        <f>SUMIFS(Allocation!$AC$1:$AC$175,Allocation!$C$1:$C$175,"2026",Allocation!$D$1:$D$175,"IPAC_NAN",Allocation!$F$1:$F$175,"BAC_CCE",Allocation!$G$1:$G$175,"B3",Allocation!$H$1:$H$175,"ALT")</f>
        <v>0</v>
      </c>
      <c r="J66" s="108">
        <f>SUMIFS(Allocation!$Z$1:$Z$175,Allocation!$C$1:$C$175,"2026",Allocation!$D$1:$D$175,"IPAC_NAN",Allocation!$F$1:$F$175,"BAC_CCE",Allocation!$G$1:$G$175,"B3",Allocation!$H$1:$H$175,"ALT")</f>
        <v>0</v>
      </c>
      <c r="K66" s="149">
        <f t="shared" si="2"/>
        <v>0</v>
      </c>
      <c r="L66" s="157">
        <f>SUMIFS(Allocation!$AA$1:$AA$175,Allocation!$C$1:$C$175,"2026",Allocation!$D$1:$D$175,"IPAC_NAN",Allocation!$F$1:$F$175,"BAC_CCE",Allocation!$G$1:$G$175,"B3",Allocation!$H$1:$H$175,"ALT")</f>
        <v>0</v>
      </c>
      <c r="M66" s="110">
        <f t="shared" si="3"/>
        <v>0</v>
      </c>
    </row>
    <row r="67" spans="2:13" outlineLevel="1" collapsed="1" x14ac:dyDescent="0.45">
      <c r="B67" s="49" t="s">
        <v>170</v>
      </c>
      <c r="C67" s="148">
        <f>SUMIFS(Allocation!$I$1:$I$175,Allocation!$C$1:$C$175,"2026",Allocation!$D$1:$D$175,"IPAC_REN")</f>
        <v>0</v>
      </c>
      <c r="D67" s="149">
        <f>SUMIFS(Allocation!$K$1:$K$175,Allocation!$C$1:$C$175,"2026",Allocation!$D$1:$D$175,"IPAC_REN")</f>
        <v>0</v>
      </c>
      <c r="E67" s="149">
        <f>SUMIFS(Allocation!$V$1:$V$175,Allocation!$C$1:$C$175,"2026",Allocation!$D$1:$D$175,"IPAC_REN")</f>
        <v>0</v>
      </c>
      <c r="F67" s="149">
        <f>SUMIFS(Allocation!$W$1:$W$175,Allocation!$C$1:$C$175,"2026",Allocation!$D$1:$D$175,"IPAC_REN")</f>
        <v>0</v>
      </c>
      <c r="G67" s="149">
        <f>SUMIFS(Allocation!$X$1:$X$175,Allocation!$C$1:$C$175,"2026",Allocation!$D$1:$D$175,"IPAC_REN")</f>
        <v>0</v>
      </c>
      <c r="H67" s="149">
        <f>SUMIFS(Allocation!$Y$1:$Y$175,Allocation!$C$1:$C$175,"2026",Allocation!$D$1:$D$175,"IPAC_REN")</f>
        <v>0</v>
      </c>
      <c r="I67" s="149">
        <f>SUMIFS(Allocation!$AC$1:$AC$175,Allocation!$C$1:$C$175,"2026",Allocation!$D$1:$D$175,"IPAC_REN")</f>
        <v>0</v>
      </c>
      <c r="J67" s="149">
        <f>SUMIFS(Allocation!$Z$1:$Z$175,Allocation!$C$1:$C$175,"2026",Allocation!$D$1:$D$175,"IPAC_REN")</f>
        <v>0</v>
      </c>
      <c r="K67" s="149">
        <f t="shared" si="2"/>
        <v>0</v>
      </c>
      <c r="L67" s="156">
        <f>SUMIFS(Allocation!$AA$1:$AA$175,Allocation!$C$1:$C$175,"2026",Allocation!$D$1:$D$175,"IPAC_REN")</f>
        <v>0</v>
      </c>
      <c r="M67" s="150">
        <f t="shared" si="3"/>
        <v>0</v>
      </c>
    </row>
    <row r="68" outlineLevel="2">
      <c r="B68" s="50" t="s">
        <v>167</v>
      </c>
      <c r="C68" s="109">
        <f>SUMIFS(Allocation!$I$1:$I$175,Allocation!$C$1:$C$175,"2026",Allocation!$D$1:$D$175,"IPAC_REN",Allocation!$F$1:$F$175,"BAC_CCE",Allocation!$G$1:$G$175,"B1",Allocation!$H$1:$H$175,"ALT")</f>
        <v>0</v>
      </c>
      <c r="D68" s="108">
        <f>SUMIFS(Allocation!$K$1:$K$175,Allocation!$C$1:$C$175,"2026",Allocation!$D$1:$D$175,"IPAC_REN",Allocation!$F$1:$F$175,"BAC_CCE",Allocation!$G$1:$G$175,"B1",Allocation!$H$1:$H$175,"ALT")</f>
        <v>0</v>
      </c>
      <c r="E68" s="108">
        <f>SUMIFS(Allocation!$V$1:$V$175,Allocation!$C$1:$C$175,"2026",Allocation!$D$1:$D$175,"IPAC_REN",Allocation!$F$1:$F$175,"BAC_CCE",Allocation!$G$1:$G$175,"B1",Allocation!$H$1:$H$175,"ALT")</f>
        <v>0</v>
      </c>
      <c r="F68" s="108">
        <f>SUMIFS(Allocation!$W$1:$W$175,Allocation!$C$1:$C$175,"2026",Allocation!$D$1:$D$175,"IPAC_REN",Allocation!$F$1:$F$175,"BAC_CCE",Allocation!$G$1:$G$175,"B1",Allocation!$H$1:$H$175,"ALT")</f>
        <v>0</v>
      </c>
      <c r="G68" s="108">
        <f>SUMIFS(Allocation!$X$1:$X$175,Allocation!$C$1:$C$175,"2026",Allocation!$D$1:$D$175,"IPAC_REN",Allocation!$F$1:$F$175,"BAC_CCE",Allocation!$G$1:$G$175,"B1",Allocation!$H$1:$H$175,"ALT")</f>
        <v>0</v>
      </c>
      <c r="H68" s="108">
        <f>SUMIFS(Allocation!$Y$1:$Y$175,Allocation!$C$1:$C$175,"2026",Allocation!$D$1:$D$175,"IPAC_REN",Allocation!$F$1:$F$175,"BAC_CCE",Allocation!$G$1:$G$175,"B1",Allocation!$H$1:$H$175,"ALT")</f>
        <v>0</v>
      </c>
      <c r="I68" s="108">
        <f>SUMIFS(Allocation!$AC$1:$AC$175,Allocation!$C$1:$C$175,"2026",Allocation!$D$1:$D$175,"IPAC_REN",Allocation!$F$1:$F$175,"BAC_CCE",Allocation!$G$1:$G$175,"B1",Allocation!$H$1:$H$175,"ALT")</f>
        <v>0</v>
      </c>
      <c r="J68" s="108">
        <f>SUMIFS(Allocation!$Z$1:$Z$175,Allocation!$C$1:$C$175,"2026",Allocation!$D$1:$D$175,"IPAC_REN",Allocation!$F$1:$F$175,"BAC_CCE",Allocation!$G$1:$G$175,"B1",Allocation!$H$1:$H$175,"ALT")</f>
        <v>0</v>
      </c>
      <c r="K68" s="149">
        <f t="shared" si="2"/>
        <v>0</v>
      </c>
      <c r="L68" s="157">
        <f>SUMIFS(Allocation!$AA$1:$AA$175,Allocation!$C$1:$C$175,"2026",Allocation!$D$1:$D$175,"IPAC_REN",Allocation!$F$1:$F$175,"BAC_CCE",Allocation!$G$1:$G$175,"B1",Allocation!$H$1:$H$175,"ALT")</f>
        <v>0</v>
      </c>
      <c r="M68" s="110">
        <f t="shared" si="3"/>
        <v>0</v>
      </c>
    </row>
    <row r="69" outlineLevel="2">
      <c r="B69" s="50" t="s">
        <v>168</v>
      </c>
      <c r="C69" s="109">
        <f>SUMIFS(Allocation!$I$1:$I$175,Allocation!$C$1:$C$175,"2026",Allocation!$D$1:$D$175,"IPAC_REN",Allocation!$F$1:$F$175,"BAC_CCE",Allocation!$G$1:$G$175,"B2",Allocation!$H$1:$H$175,"ALT")</f>
        <v>0</v>
      </c>
      <c r="D69" s="108">
        <f>SUMIFS(Allocation!$K$1:$K$175,Allocation!$C$1:$C$175,"2026",Allocation!$D$1:$D$175,"IPAC_REN",Allocation!$F$1:$F$175,"BAC_CCE",Allocation!$G$1:$G$175,"B2",Allocation!$H$1:$H$175,"ALT")</f>
        <v>0</v>
      </c>
      <c r="E69" s="108">
        <f>SUMIFS(Allocation!$V$1:$V$175,Allocation!$C$1:$C$175,"2026",Allocation!$D$1:$D$175,"IPAC_REN",Allocation!$F$1:$F$175,"BAC_CCE",Allocation!$G$1:$G$175,"B2",Allocation!$H$1:$H$175,"ALT")</f>
        <v>0</v>
      </c>
      <c r="F69" s="108">
        <f>SUMIFS(Allocation!$W$1:$W$175,Allocation!$C$1:$C$175,"2026",Allocation!$D$1:$D$175,"IPAC_REN",Allocation!$F$1:$F$175,"BAC_CCE",Allocation!$G$1:$G$175,"B2",Allocation!$H$1:$H$175,"ALT")</f>
        <v>0</v>
      </c>
      <c r="G69" s="108">
        <f>SUMIFS(Allocation!$X$1:$X$175,Allocation!$C$1:$C$175,"2026",Allocation!$D$1:$D$175,"IPAC_REN",Allocation!$F$1:$F$175,"BAC_CCE",Allocation!$G$1:$G$175,"B2",Allocation!$H$1:$H$175,"ALT")</f>
        <v>0</v>
      </c>
      <c r="H69" s="108">
        <f>SUMIFS(Allocation!$Y$1:$Y$175,Allocation!$C$1:$C$175,"2026",Allocation!$D$1:$D$175,"IPAC_REN",Allocation!$F$1:$F$175,"BAC_CCE",Allocation!$G$1:$G$175,"B2",Allocation!$H$1:$H$175,"ALT")</f>
        <v>0</v>
      </c>
      <c r="I69" s="108">
        <f>SUMIFS(Allocation!$AC$1:$AC$175,Allocation!$C$1:$C$175,"2026",Allocation!$D$1:$D$175,"IPAC_REN",Allocation!$F$1:$F$175,"BAC_CCE",Allocation!$G$1:$G$175,"B2",Allocation!$H$1:$H$175,"ALT")</f>
        <v>0</v>
      </c>
      <c r="J69" s="108">
        <f>SUMIFS(Allocation!$Z$1:$Z$175,Allocation!$C$1:$C$175,"2026",Allocation!$D$1:$D$175,"IPAC_REN",Allocation!$F$1:$F$175,"BAC_CCE",Allocation!$G$1:$G$175,"B2",Allocation!$H$1:$H$175,"ALT")</f>
        <v>0</v>
      </c>
      <c r="K69" s="149">
        <f t="shared" si="2"/>
        <v>0</v>
      </c>
      <c r="L69" s="157">
        <f>SUMIFS(Allocation!$AA$1:$AA$175,Allocation!$C$1:$C$175,"2026",Allocation!$D$1:$D$175,"IPAC_REN",Allocation!$F$1:$F$175,"BAC_CCE",Allocation!$G$1:$G$175,"B2",Allocation!$H$1:$H$175,"ALT")</f>
        <v>0</v>
      </c>
      <c r="M69" s="110">
        <f t="shared" si="3"/>
        <v>0</v>
      </c>
    </row>
    <row r="70" outlineLevel="2">
      <c r="B70" s="50" t="s">
        <v>169</v>
      </c>
      <c r="C70" s="109">
        <f>SUMIFS(Allocation!$I$1:$I$175,Allocation!$C$1:$C$175,"2026",Allocation!$D$1:$D$175,"IPAC_REN",Allocation!$F$1:$F$175,"BAC_CCE",Allocation!$G$1:$G$175,"B3",Allocation!$H$1:$H$175,"ALT")</f>
        <v>0</v>
      </c>
      <c r="D70" s="108">
        <f>SUMIFS(Allocation!$K$1:$K$175,Allocation!$C$1:$C$175,"2026",Allocation!$D$1:$D$175,"IPAC_REN",Allocation!$F$1:$F$175,"BAC_CCE",Allocation!$G$1:$G$175,"B3",Allocation!$H$1:$H$175,"ALT")</f>
        <v>0</v>
      </c>
      <c r="E70" s="108">
        <f>SUMIFS(Allocation!$V$1:$V$175,Allocation!$C$1:$C$175,"2026",Allocation!$D$1:$D$175,"IPAC_REN",Allocation!$F$1:$F$175,"BAC_CCE",Allocation!$G$1:$G$175,"B3",Allocation!$H$1:$H$175,"ALT")</f>
        <v>0</v>
      </c>
      <c r="F70" s="108">
        <f>SUMIFS(Allocation!$W$1:$W$175,Allocation!$C$1:$C$175,"2026",Allocation!$D$1:$D$175,"IPAC_REN",Allocation!$F$1:$F$175,"BAC_CCE",Allocation!$G$1:$G$175,"B3",Allocation!$H$1:$H$175,"ALT")</f>
        <v>0</v>
      </c>
      <c r="G70" s="108">
        <f>SUMIFS(Allocation!$X$1:$X$175,Allocation!$C$1:$C$175,"2026",Allocation!$D$1:$D$175,"IPAC_REN",Allocation!$F$1:$F$175,"BAC_CCE",Allocation!$G$1:$G$175,"B3",Allocation!$H$1:$H$175,"ALT")</f>
        <v>0</v>
      </c>
      <c r="H70" s="108">
        <f>SUMIFS(Allocation!$Y$1:$Y$175,Allocation!$C$1:$C$175,"2026",Allocation!$D$1:$D$175,"IPAC_REN",Allocation!$F$1:$F$175,"BAC_CCE",Allocation!$G$1:$G$175,"B3",Allocation!$H$1:$H$175,"ALT")</f>
        <v>0</v>
      </c>
      <c r="I70" s="108">
        <f>SUMIFS(Allocation!$AC$1:$AC$175,Allocation!$C$1:$C$175,"2026",Allocation!$D$1:$D$175,"IPAC_REN",Allocation!$F$1:$F$175,"BAC_CCE",Allocation!$G$1:$G$175,"B3",Allocation!$H$1:$H$175,"ALT")</f>
        <v>0</v>
      </c>
      <c r="J70" s="108">
        <f>SUMIFS(Allocation!$Z$1:$Z$175,Allocation!$C$1:$C$175,"2026",Allocation!$D$1:$D$175,"IPAC_REN",Allocation!$F$1:$F$175,"BAC_CCE",Allocation!$G$1:$G$175,"B3",Allocation!$H$1:$H$175,"ALT")</f>
        <v>0</v>
      </c>
      <c r="K70" s="149">
        <f t="shared" si="2"/>
        <v>0</v>
      </c>
      <c r="L70" s="157">
        <f>SUMIFS(Allocation!$AA$1:$AA$175,Allocation!$C$1:$C$175,"2026",Allocation!$D$1:$D$175,"IPAC_REN",Allocation!$F$1:$F$175,"BAC_CCE",Allocation!$G$1:$G$175,"B3",Allocation!$H$1:$H$175,"ALT")</f>
        <v>0</v>
      </c>
      <c r="M70" s="110">
        <f t="shared" si="3"/>
        <v>0</v>
      </c>
    </row>
    <row r="71" spans="2:13" outlineLevel="1" collapsed="1" x14ac:dyDescent="0.45">
      <c r="B71" s="49" t="s">
        <v>171</v>
      </c>
      <c r="C71" s="148">
        <f>SUMIFS(Allocation!$I$1:$I$175,Allocation!$C$1:$C$175,"2026",Allocation!$D$1:$D$175,"IPAC_MTP")</f>
        <v>0</v>
      </c>
      <c r="D71" s="149">
        <f>SUMIFS(Allocation!$K$1:$K$175,Allocation!$C$1:$C$175,"2026",Allocation!$D$1:$D$175,"IPAC_MTP")</f>
        <v>0</v>
      </c>
      <c r="E71" s="149">
        <f>SUMIFS(Allocation!$V$1:$V$175,Allocation!$C$1:$C$175,"2026",Allocation!$D$1:$D$175,"IPAC_MTP")</f>
        <v>0</v>
      </c>
      <c r="F71" s="149">
        <f>SUMIFS(Allocation!$W$1:$W$175,Allocation!$C$1:$C$175,"2026",Allocation!$D$1:$D$175,"IPAC_MTP")</f>
        <v>0</v>
      </c>
      <c r="G71" s="149">
        <f>SUMIFS(Allocation!$X$1:$X$175,Allocation!$C$1:$C$175,"2026",Allocation!$D$1:$D$175,"IPAC_MTP")</f>
        <v>0</v>
      </c>
      <c r="H71" s="149">
        <f>SUMIFS(Allocation!$Y$1:$Y$175,Allocation!$C$1:$C$175,"2026",Allocation!$D$1:$D$175,"IPAC_MTP")</f>
        <v>0</v>
      </c>
      <c r="I71" s="149">
        <f>SUMIFS(Allocation!$AC$1:$AC$175,Allocation!$C$1:$C$175,"2026",Allocation!$D$1:$D$175,"IPAC_MTP")</f>
        <v>0</v>
      </c>
      <c r="J71" s="149">
        <f>SUMIFS(Allocation!$Z$1:$Z$175,Allocation!$C$1:$C$175,"2026",Allocation!$D$1:$D$175,"IPAC_MTP")</f>
        <v>0</v>
      </c>
      <c r="K71" s="149">
        <f t="shared" si="2"/>
        <v>0</v>
      </c>
      <c r="L71" s="156">
        <f>SUMIFS(Allocation!$AA$1:$AA$175,Allocation!$C$1:$C$175,"2026",Allocation!$D$1:$D$175,"IPAC_MTP")</f>
        <v>0</v>
      </c>
      <c r="M71" s="150">
        <f t="shared" si="3"/>
        <v>0</v>
      </c>
    </row>
    <row r="72" outlineLevel="2">
      <c r="B72" s="50" t="s">
        <v>167</v>
      </c>
      <c r="C72" s="109">
        <f>SUMIFS(Allocation!$I$1:$I$175,Allocation!$C$1:$C$175,"2026",Allocation!$D$1:$D$175,"IPAC_MTP",Allocation!$F$1:$F$175,"BAC_CCE",Allocation!$G$1:$G$175,"B1",Allocation!$H$1:$H$175,"ALT")</f>
        <v>0</v>
      </c>
      <c r="D72" s="108">
        <f>SUMIFS(Allocation!$K$1:$K$175,Allocation!$C$1:$C$175,"2026",Allocation!$D$1:$D$175,"IPAC_MTP",Allocation!$F$1:$F$175,"BAC_CCE",Allocation!$G$1:$G$175,"B1",Allocation!$H$1:$H$175,"ALT")</f>
        <v>0</v>
      </c>
      <c r="E72" s="108">
        <f>SUMIFS(Allocation!$V$1:$V$175,Allocation!$C$1:$C$175,"2026",Allocation!$D$1:$D$175,"IPAC_MTP",Allocation!$F$1:$F$175,"BAC_CCE",Allocation!$G$1:$G$175,"B1",Allocation!$H$1:$H$175,"ALT")</f>
        <v>0</v>
      </c>
      <c r="F72" s="108">
        <f>SUMIFS(Allocation!$W$1:$W$175,Allocation!$C$1:$C$175,"2026",Allocation!$D$1:$D$175,"IPAC_MTP",Allocation!$F$1:$F$175,"BAC_CCE",Allocation!$G$1:$G$175,"B1",Allocation!$H$1:$H$175,"ALT")</f>
        <v>0</v>
      </c>
      <c r="G72" s="108">
        <f>SUMIFS(Allocation!$X$1:$X$175,Allocation!$C$1:$C$175,"2026",Allocation!$D$1:$D$175,"IPAC_MTP",Allocation!$F$1:$F$175,"BAC_CCE",Allocation!$G$1:$G$175,"B1",Allocation!$H$1:$H$175,"ALT")</f>
        <v>0</v>
      </c>
      <c r="H72" s="108">
        <f>SUMIFS(Allocation!$Y$1:$Y$175,Allocation!$C$1:$C$175,"2026",Allocation!$D$1:$D$175,"IPAC_MTP",Allocation!$F$1:$F$175,"BAC_CCE",Allocation!$G$1:$G$175,"B1",Allocation!$H$1:$H$175,"ALT")</f>
        <v>0</v>
      </c>
      <c r="I72" s="108">
        <f>SUMIFS(Allocation!$AC$1:$AC$175,Allocation!$C$1:$C$175,"2026",Allocation!$D$1:$D$175,"IPAC_MTP",Allocation!$F$1:$F$175,"BAC_CCE",Allocation!$G$1:$G$175,"B1",Allocation!$H$1:$H$175,"ALT")</f>
        <v>0</v>
      </c>
      <c r="J72" s="108">
        <f>SUMIFS(Allocation!$Z$1:$Z$175,Allocation!$C$1:$C$175,"2026",Allocation!$D$1:$D$175,"IPAC_MTP",Allocation!$F$1:$F$175,"BAC_CCE",Allocation!$G$1:$G$175,"B1",Allocation!$H$1:$H$175,"ALT")</f>
        <v>0</v>
      </c>
      <c r="K72" s="149">
        <f t="shared" si="2"/>
        <v>0</v>
      </c>
      <c r="L72" s="157">
        <f>SUMIFS(Allocation!$AA$1:$AA$175,Allocation!$C$1:$C$175,"2026",Allocation!$D$1:$D$175,"IPAC_MTP",Allocation!$F$1:$F$175,"BAC_CCE",Allocation!$G$1:$G$175,"B1",Allocation!$H$1:$H$175,"ALT")</f>
        <v>0</v>
      </c>
      <c r="M72" s="110">
        <f t="shared" si="3"/>
        <v>0</v>
      </c>
    </row>
    <row r="73" outlineLevel="2">
      <c r="B73" s="50" t="s">
        <v>168</v>
      </c>
      <c r="C73" s="109">
        <f>SUMIFS(Allocation!$I$1:$I$175,Allocation!$C$1:$C$175,"2026",Allocation!$D$1:$D$175,"IPAC_MTP",Allocation!$F$1:$F$175,"BAC_CCE",Allocation!$G$1:$G$175,"B2",Allocation!$H$1:$H$175,"ALT")</f>
        <v>0</v>
      </c>
      <c r="D73" s="108">
        <f>SUMIFS(Allocation!$K$1:$K$175,Allocation!$C$1:$C$175,"2026",Allocation!$D$1:$D$175,"IPAC_MTP",Allocation!$F$1:$F$175,"BAC_CCE",Allocation!$G$1:$G$175,"B2",Allocation!$H$1:$H$175,"ALT")</f>
        <v>0</v>
      </c>
      <c r="E73" s="108">
        <f>SUMIFS(Allocation!$V$1:$V$175,Allocation!$C$1:$C$175,"2026",Allocation!$D$1:$D$175,"IPAC_MTP",Allocation!$F$1:$F$175,"BAC_CCE",Allocation!$G$1:$G$175,"B2",Allocation!$H$1:$H$175,"ALT")</f>
        <v>0</v>
      </c>
      <c r="F73" s="108">
        <f>SUMIFS(Allocation!$W$1:$W$175,Allocation!$C$1:$C$175,"2026",Allocation!$D$1:$D$175,"IPAC_MTP",Allocation!$F$1:$F$175,"BAC_CCE",Allocation!$G$1:$G$175,"B2",Allocation!$H$1:$H$175,"ALT")</f>
        <v>0</v>
      </c>
      <c r="G73" s="108">
        <f>SUMIFS(Allocation!$X$1:$X$175,Allocation!$C$1:$C$175,"2026",Allocation!$D$1:$D$175,"IPAC_MTP",Allocation!$F$1:$F$175,"BAC_CCE",Allocation!$G$1:$G$175,"B2",Allocation!$H$1:$H$175,"ALT")</f>
        <v>0</v>
      </c>
      <c r="H73" s="108">
        <f>SUMIFS(Allocation!$Y$1:$Y$175,Allocation!$C$1:$C$175,"2026",Allocation!$D$1:$D$175,"IPAC_MTP",Allocation!$F$1:$F$175,"BAC_CCE",Allocation!$G$1:$G$175,"B2",Allocation!$H$1:$H$175,"ALT")</f>
        <v>0</v>
      </c>
      <c r="I73" s="108">
        <f>SUMIFS(Allocation!$AC$1:$AC$175,Allocation!$C$1:$C$175,"2026",Allocation!$D$1:$D$175,"IPAC_MTP",Allocation!$F$1:$F$175,"BAC_CCE",Allocation!$G$1:$G$175,"B2",Allocation!$H$1:$H$175,"ALT")</f>
        <v>0</v>
      </c>
      <c r="J73" s="108">
        <f>SUMIFS(Allocation!$Z$1:$Z$175,Allocation!$C$1:$C$175,"2026",Allocation!$D$1:$D$175,"IPAC_MTP",Allocation!$F$1:$F$175,"BAC_CCE",Allocation!$G$1:$G$175,"B2",Allocation!$H$1:$H$175,"ALT")</f>
        <v>0</v>
      </c>
      <c r="K73" s="149">
        <f t="shared" si="2"/>
        <v>0</v>
      </c>
      <c r="L73" s="157">
        <f>SUMIFS(Allocation!$AA$1:$AA$175,Allocation!$C$1:$C$175,"2026",Allocation!$D$1:$D$175,"IPAC_MTP",Allocation!$F$1:$F$175,"BAC_CCE",Allocation!$G$1:$G$175,"B2",Allocation!$H$1:$H$175,"ALT")</f>
        <v>0</v>
      </c>
      <c r="M73" s="110">
        <f t="shared" si="3"/>
        <v>0</v>
      </c>
    </row>
    <row r="74" outlineLevel="2">
      <c r="B74" s="50" t="s">
        <v>169</v>
      </c>
      <c r="C74" s="109">
        <f>SUMIFS(Allocation!$I$1:$I$175,Allocation!$C$1:$C$175,"2026",Allocation!$D$1:$D$175,"IPAC_MTP",Allocation!$F$1:$F$175,"BAC_CCE",Allocation!$G$1:$G$175,"B3",Allocation!$H$1:$H$175,"ALT")</f>
        <v>0</v>
      </c>
      <c r="D74" s="108">
        <f>SUMIFS(Allocation!$K$1:$K$175,Allocation!$C$1:$C$175,"2026",Allocation!$D$1:$D$175,"IPAC_MTP",Allocation!$F$1:$F$175,"BAC_CCE",Allocation!$G$1:$G$175,"B3",Allocation!$H$1:$H$175,"ALT")</f>
        <v>0</v>
      </c>
      <c r="E74" s="108">
        <f>SUMIFS(Allocation!$V$1:$V$175,Allocation!$C$1:$C$175,"2026",Allocation!$D$1:$D$175,"IPAC_MTP",Allocation!$F$1:$F$175,"BAC_CCE",Allocation!$G$1:$G$175,"B3",Allocation!$H$1:$H$175,"ALT")</f>
        <v>0</v>
      </c>
      <c r="F74" s="108">
        <f>SUMIFS(Allocation!$W$1:$W$175,Allocation!$C$1:$C$175,"2026",Allocation!$D$1:$D$175,"IPAC_MTP",Allocation!$F$1:$F$175,"BAC_CCE",Allocation!$G$1:$G$175,"B3",Allocation!$H$1:$H$175,"ALT")</f>
        <v>0</v>
      </c>
      <c r="G74" s="108">
        <f>SUMIFS(Allocation!$X$1:$X$175,Allocation!$C$1:$C$175,"2026",Allocation!$D$1:$D$175,"IPAC_MTP",Allocation!$F$1:$F$175,"BAC_CCE",Allocation!$G$1:$G$175,"B3",Allocation!$H$1:$H$175,"ALT")</f>
        <v>0</v>
      </c>
      <c r="H74" s="108">
        <f>SUMIFS(Allocation!$Y$1:$Y$175,Allocation!$C$1:$C$175,"2026",Allocation!$D$1:$D$175,"IPAC_MTP",Allocation!$F$1:$F$175,"BAC_CCE",Allocation!$G$1:$G$175,"B3",Allocation!$H$1:$H$175,"ALT")</f>
        <v>0</v>
      </c>
      <c r="I74" s="108">
        <f>SUMIFS(Allocation!$AC$1:$AC$175,Allocation!$C$1:$C$175,"2026",Allocation!$D$1:$D$175,"IPAC_MTP",Allocation!$F$1:$F$175,"BAC_CCE",Allocation!$G$1:$G$175,"B3",Allocation!$H$1:$H$175,"ALT")</f>
        <v>0</v>
      </c>
      <c r="J74" s="108">
        <f>SUMIFS(Allocation!$Z$1:$Z$175,Allocation!$C$1:$C$175,"2026",Allocation!$D$1:$D$175,"IPAC_MTP",Allocation!$F$1:$F$175,"BAC_CCE",Allocation!$G$1:$G$175,"B3",Allocation!$H$1:$H$175,"ALT")</f>
        <v>0</v>
      </c>
      <c r="K74" s="149">
        <f t="shared" si="2"/>
        <v>0</v>
      </c>
      <c r="L74" s="157">
        <f>SUMIFS(Allocation!$AA$1:$AA$175,Allocation!$C$1:$C$175,"2026",Allocation!$D$1:$D$175,"IPAC_MTP",Allocation!$F$1:$F$175,"BAC_CCE",Allocation!$G$1:$G$175,"B3",Allocation!$H$1:$H$175,"ALT")</f>
        <v>0</v>
      </c>
      <c r="M74" s="110">
        <f t="shared" si="3"/>
        <v>0</v>
      </c>
    </row>
    <row r="75" spans="2:13" x14ac:dyDescent="0.45">
      <c r="B75" s="53" t="s">
        <v>4</v>
      </c>
      <c r="C75" s="148">
        <f>SUMIFS(Allocation!$I$1:$I$175,Allocation!$C$1:$C$175,"2026",Allocation!$E$1:$E$175,"PIGIER")</f>
        <v>0</v>
      </c>
      <c r="D75" s="149">
        <f>SUMIFS(Allocation!$K$1:$K$175,Allocation!$C$1:$C$175,"2026",Allocation!$E$1:$E$175,"PIGIER")</f>
        <v>0</v>
      </c>
      <c r="E75" s="149">
        <f>SUMIFS(Allocation!$V$1:$V$175,Allocation!$C$1:$C$175,"2026",Allocation!$E$1:$E$175,"PIGIER")</f>
        <v>0</v>
      </c>
      <c r="F75" s="149">
        <f>SUMIFS(Allocation!$W$1:$W$175,Allocation!$C$1:$C$175,"2026",Allocation!$E$1:$E$175,"PIGIER")</f>
        <v>0</v>
      </c>
      <c r="G75" s="149">
        <f>SUMIFS(Allocation!$X$1:$X$175,Allocation!$C$1:$C$175,"2026",Allocation!$E$1:$E$175,"PIGIER")</f>
        <v>0</v>
      </c>
      <c r="H75" s="149">
        <f>SUMIFS(Allocation!$Y$1:$Y$175,Allocation!$C$1:$C$175,"2026",Allocation!$E$1:$E$175,"PIGIER")</f>
        <v>0</v>
      </c>
      <c r="I75" s="149">
        <f>SUMIFS(Allocation!$AC$1:$AC$175,Allocation!$C$1:$C$175,"2026",Allocation!$E$1:$E$175,"PIGIER")</f>
        <v>0</v>
      </c>
      <c r="J75" s="149">
        <f>SUMIFS(Allocation!$Z$1:$Z$175,Allocation!$C$1:$C$175,"2026",Allocation!$E$1:$E$175,"PIGIER")</f>
        <v>0</v>
      </c>
      <c r="K75" s="149">
        <f t="shared" si="2"/>
        <v>0</v>
      </c>
      <c r="L75" s="156">
        <f>SUMIFS(Allocation!$AA$1:$AA$175,Allocation!$C$1:$C$175,"2026",Allocation!$E$1:$E$175,"PIGIER")</f>
        <v>0</v>
      </c>
      <c r="M75" s="150">
        <f t="shared" si="3"/>
        <v>0</v>
      </c>
    </row>
    <row r="76" spans="2:13" outlineLevel="1" collapsed="1" x14ac:dyDescent="0.45">
      <c r="B76" s="49" t="s">
        <v>172</v>
      </c>
      <c r="C76" s="148">
        <f>SUMIFS(Allocation!$I$1:$I$175,Allocation!$C$1:$C$175,"2026",Allocation!$D$1:$D$175,"PIGIER_LYO")</f>
        <v>0</v>
      </c>
      <c r="D76" s="149">
        <f>SUMIFS(Allocation!$K$1:$K$175,Allocation!$C$1:$C$175,"2026",Allocation!$D$1:$D$175,"PIGIER_LYO")</f>
        <v>0</v>
      </c>
      <c r="E76" s="149">
        <f>SUMIFS(Allocation!$V$1:$V$175,Allocation!$C$1:$C$175,"2026",Allocation!$D$1:$D$175,"PIGIER_LYO")</f>
        <v>0</v>
      </c>
      <c r="F76" s="149">
        <f>SUMIFS(Allocation!$W$1:$W$175,Allocation!$C$1:$C$175,"2026",Allocation!$D$1:$D$175,"PIGIER_LYO")</f>
        <v>0</v>
      </c>
      <c r="G76" s="149">
        <f>SUMIFS(Allocation!$X$1:$X$175,Allocation!$C$1:$C$175,"2026",Allocation!$D$1:$D$175,"PIGIER_LYO")</f>
        <v>0</v>
      </c>
      <c r="H76" s="149">
        <f>SUMIFS(Allocation!$Y$1:$Y$175,Allocation!$C$1:$C$175,"2026",Allocation!$D$1:$D$175,"PIGIER_LYO")</f>
        <v>0</v>
      </c>
      <c r="I76" s="149">
        <f>SUMIFS(Allocation!$AC$1:$AC$175,Allocation!$C$1:$C$175,"2026",Allocation!$D$1:$D$175,"PIGIER_LYO")</f>
        <v>0</v>
      </c>
      <c r="J76" s="149">
        <f>SUMIFS(Allocation!$Z$1:$Z$175,Allocation!$C$1:$C$175,"2026",Allocation!$D$1:$D$175,"PIGIER_LYO")</f>
        <v>0</v>
      </c>
      <c r="K76" s="149">
        <f t="shared" si="2"/>
        <v>0</v>
      </c>
      <c r="L76" s="156">
        <f>SUMIFS(Allocation!$AA$1:$AA$175,Allocation!$C$1:$C$175,"2026",Allocation!$D$1:$D$175,"PIGIER_LYO")</f>
        <v>0</v>
      </c>
      <c r="M76" s="150">
        <f t="shared" si="3"/>
        <v>0</v>
      </c>
    </row>
    <row r="77" outlineLevel="2">
      <c r="B77" s="50" t="s">
        <v>173</v>
      </c>
      <c r="C77" s="109">
        <f>SUMIFS(Allocation!$I$1:$I$175,Allocation!$C$1:$C$175,"2026",Allocation!$D$1:$D$175,"PIGIER_LYO",Allocation!$F$1:$F$175,"BTS_GES",Allocation!$G$1:$G$175,"BTS1",Allocation!$H$1:$H$175,"ALT")</f>
        <v>0</v>
      </c>
      <c r="D77" s="108">
        <f>SUMIFS(Allocation!$K$1:$K$175,Allocation!$C$1:$C$175,"2026",Allocation!$D$1:$D$175,"PIGIER_LYO",Allocation!$F$1:$F$175,"BTS_GES",Allocation!$G$1:$G$175,"BTS1",Allocation!$H$1:$H$175,"ALT")</f>
        <v>0</v>
      </c>
      <c r="E77" s="108">
        <f>SUMIFS(Allocation!$V$1:$V$175,Allocation!$C$1:$C$175,"2026",Allocation!$D$1:$D$175,"PIGIER_LYO",Allocation!$F$1:$F$175,"BTS_GES",Allocation!$G$1:$G$175,"BTS1",Allocation!$H$1:$H$175,"ALT")</f>
        <v>0</v>
      </c>
      <c r="F77" s="108">
        <f>SUMIFS(Allocation!$W$1:$W$175,Allocation!$C$1:$C$175,"2026",Allocation!$D$1:$D$175,"PIGIER_LYO",Allocation!$F$1:$F$175,"BTS_GES",Allocation!$G$1:$G$175,"BTS1",Allocation!$H$1:$H$175,"ALT")</f>
        <v>0</v>
      </c>
      <c r="G77" s="108">
        <f>SUMIFS(Allocation!$X$1:$X$175,Allocation!$C$1:$C$175,"2026",Allocation!$D$1:$D$175,"PIGIER_LYO",Allocation!$F$1:$F$175,"BTS_GES",Allocation!$G$1:$G$175,"BTS1",Allocation!$H$1:$H$175,"ALT")</f>
        <v>0</v>
      </c>
      <c r="H77" s="108">
        <f>SUMIFS(Allocation!$Y$1:$Y$175,Allocation!$C$1:$C$175,"2026",Allocation!$D$1:$D$175,"PIGIER_LYO",Allocation!$F$1:$F$175,"BTS_GES",Allocation!$G$1:$G$175,"BTS1",Allocation!$H$1:$H$175,"ALT")</f>
        <v>0</v>
      </c>
      <c r="I77" s="108">
        <f>SUMIFS(Allocation!$AC$1:$AC$175,Allocation!$C$1:$C$175,"2026",Allocation!$D$1:$D$175,"PIGIER_LYO",Allocation!$F$1:$F$175,"BTS_GES",Allocation!$G$1:$G$175,"BTS1",Allocation!$H$1:$H$175,"ALT")</f>
        <v>0</v>
      </c>
      <c r="J77" s="108">
        <f>SUMIFS(Allocation!$Z$1:$Z$175,Allocation!$C$1:$C$175,"2026",Allocation!$D$1:$D$175,"PIGIER_LYO",Allocation!$F$1:$F$175,"BTS_GES",Allocation!$G$1:$G$175,"BTS1",Allocation!$H$1:$H$175,"ALT")</f>
        <v>0</v>
      </c>
      <c r="K77" s="149">
        <f t="shared" si="2"/>
        <v>0</v>
      </c>
      <c r="L77" s="157">
        <f>SUMIFS(Allocation!$AA$1:$AA$175,Allocation!$C$1:$C$175,"2026",Allocation!$D$1:$D$175,"PIGIER_LYO",Allocation!$F$1:$F$175,"BTS_GES",Allocation!$G$1:$G$175,"BTS1",Allocation!$H$1:$H$175,"ALT")</f>
        <v>0</v>
      </c>
      <c r="M77" s="110">
        <f t="shared" si="3"/>
        <v>0</v>
      </c>
    </row>
    <row r="78" outlineLevel="2">
      <c r="B78" s="50" t="s">
        <v>174</v>
      </c>
      <c r="C78" s="109">
        <f>SUMIFS(Allocation!$I$1:$I$175,Allocation!$C$1:$C$175,"2026",Allocation!$D$1:$D$175,"PIGIER_LYO",Allocation!$F$1:$F$175,"BTS_GES",Allocation!$G$1:$G$175,"BTS2",Allocation!$H$1:$H$175,"ALT")</f>
        <v>0</v>
      </c>
      <c r="D78" s="108">
        <f>SUMIFS(Allocation!$K$1:$K$175,Allocation!$C$1:$C$175,"2026",Allocation!$D$1:$D$175,"PIGIER_LYO",Allocation!$F$1:$F$175,"BTS_GES",Allocation!$G$1:$G$175,"BTS2",Allocation!$H$1:$H$175,"ALT")</f>
        <v>0</v>
      </c>
      <c r="E78" s="108">
        <f>SUMIFS(Allocation!$V$1:$V$175,Allocation!$C$1:$C$175,"2026",Allocation!$D$1:$D$175,"PIGIER_LYO",Allocation!$F$1:$F$175,"BTS_GES",Allocation!$G$1:$G$175,"BTS2",Allocation!$H$1:$H$175,"ALT")</f>
        <v>0</v>
      </c>
      <c r="F78" s="108">
        <f>SUMIFS(Allocation!$W$1:$W$175,Allocation!$C$1:$C$175,"2026",Allocation!$D$1:$D$175,"PIGIER_LYO",Allocation!$F$1:$F$175,"BTS_GES",Allocation!$G$1:$G$175,"BTS2",Allocation!$H$1:$H$175,"ALT")</f>
        <v>0</v>
      </c>
      <c r="G78" s="108">
        <f>SUMIFS(Allocation!$X$1:$X$175,Allocation!$C$1:$C$175,"2026",Allocation!$D$1:$D$175,"PIGIER_LYO",Allocation!$F$1:$F$175,"BTS_GES",Allocation!$G$1:$G$175,"BTS2",Allocation!$H$1:$H$175,"ALT")</f>
        <v>0</v>
      </c>
      <c r="H78" s="108">
        <f>SUMIFS(Allocation!$Y$1:$Y$175,Allocation!$C$1:$C$175,"2026",Allocation!$D$1:$D$175,"PIGIER_LYO",Allocation!$F$1:$F$175,"BTS_GES",Allocation!$G$1:$G$175,"BTS2",Allocation!$H$1:$H$175,"ALT")</f>
        <v>0</v>
      </c>
      <c r="I78" s="108">
        <f>SUMIFS(Allocation!$AC$1:$AC$175,Allocation!$C$1:$C$175,"2026",Allocation!$D$1:$D$175,"PIGIER_LYO",Allocation!$F$1:$F$175,"BTS_GES",Allocation!$G$1:$G$175,"BTS2",Allocation!$H$1:$H$175,"ALT")</f>
        <v>0</v>
      </c>
      <c r="J78" s="108">
        <f>SUMIFS(Allocation!$Z$1:$Z$175,Allocation!$C$1:$C$175,"2026",Allocation!$D$1:$D$175,"PIGIER_LYO",Allocation!$F$1:$F$175,"BTS_GES",Allocation!$G$1:$G$175,"BTS2",Allocation!$H$1:$H$175,"ALT")</f>
        <v>0</v>
      </c>
      <c r="K78" s="149">
        <f t="shared" si="2"/>
        <v>0</v>
      </c>
      <c r="L78" s="157">
        <f>SUMIFS(Allocation!$AA$1:$AA$175,Allocation!$C$1:$C$175,"2026",Allocation!$D$1:$D$175,"PIGIER_LYO",Allocation!$F$1:$F$175,"BTS_GES",Allocation!$G$1:$G$175,"BTS2",Allocation!$H$1:$H$175,"ALT")</f>
        <v>0</v>
      </c>
      <c r="M78" s="110">
        <f t="shared" si="3"/>
        <v>0</v>
      </c>
    </row>
    <row r="79" outlineLevel="2">
      <c r="B79" s="50" t="s">
        <v>175</v>
      </c>
      <c r="C79" s="109">
        <f>SUMIFS(Allocation!$I$1:$I$175,Allocation!$C$1:$C$175,"2026",Allocation!$D$1:$D$175,"PIGIER_LYO",Allocation!$F$1:$F$175,"BAC_RH",Allocation!$G$1:$G$175,"B1",Allocation!$H$1:$H$175,"ALT")</f>
        <v>0</v>
      </c>
      <c r="D79" s="108">
        <f>SUMIFS(Allocation!$K$1:$K$175,Allocation!$C$1:$C$175,"2026",Allocation!$D$1:$D$175,"PIGIER_LYO",Allocation!$F$1:$F$175,"BAC_RH",Allocation!$G$1:$G$175,"B1",Allocation!$H$1:$H$175,"ALT")</f>
        <v>0</v>
      </c>
      <c r="E79" s="108">
        <f>SUMIFS(Allocation!$V$1:$V$175,Allocation!$C$1:$C$175,"2026",Allocation!$D$1:$D$175,"PIGIER_LYO",Allocation!$F$1:$F$175,"BAC_RH",Allocation!$G$1:$G$175,"B1",Allocation!$H$1:$H$175,"ALT")</f>
        <v>0</v>
      </c>
      <c r="F79" s="108">
        <f>SUMIFS(Allocation!$W$1:$W$175,Allocation!$C$1:$C$175,"2026",Allocation!$D$1:$D$175,"PIGIER_LYO",Allocation!$F$1:$F$175,"BAC_RH",Allocation!$G$1:$G$175,"B1",Allocation!$H$1:$H$175,"ALT")</f>
        <v>0</v>
      </c>
      <c r="G79" s="108">
        <f>SUMIFS(Allocation!$X$1:$X$175,Allocation!$C$1:$C$175,"2026",Allocation!$D$1:$D$175,"PIGIER_LYO",Allocation!$F$1:$F$175,"BAC_RH",Allocation!$G$1:$G$175,"B1",Allocation!$H$1:$H$175,"ALT")</f>
        <v>0</v>
      </c>
      <c r="H79" s="108">
        <f>SUMIFS(Allocation!$Y$1:$Y$175,Allocation!$C$1:$C$175,"2026",Allocation!$D$1:$D$175,"PIGIER_LYO",Allocation!$F$1:$F$175,"BAC_RH",Allocation!$G$1:$G$175,"B1",Allocation!$H$1:$H$175,"ALT")</f>
        <v>0</v>
      </c>
      <c r="I79" s="108">
        <f>SUMIFS(Allocation!$AC$1:$AC$175,Allocation!$C$1:$C$175,"2026",Allocation!$D$1:$D$175,"PIGIER_LYO",Allocation!$F$1:$F$175,"BAC_RH",Allocation!$G$1:$G$175,"B1",Allocation!$H$1:$H$175,"ALT")</f>
        <v>0</v>
      </c>
      <c r="J79" s="108">
        <f>SUMIFS(Allocation!$Z$1:$Z$175,Allocation!$C$1:$C$175,"2026",Allocation!$D$1:$D$175,"PIGIER_LYO",Allocation!$F$1:$F$175,"BAC_RH",Allocation!$G$1:$G$175,"B1",Allocation!$H$1:$H$175,"ALT")</f>
        <v>0</v>
      </c>
      <c r="K79" s="149">
        <f t="shared" si="2"/>
        <v>0</v>
      </c>
      <c r="L79" s="157">
        <f>SUMIFS(Allocation!$AA$1:$AA$175,Allocation!$C$1:$C$175,"2026",Allocation!$D$1:$D$175,"PIGIER_LYO",Allocation!$F$1:$F$175,"BAC_RH",Allocation!$G$1:$G$175,"B1",Allocation!$H$1:$H$175,"ALT")</f>
        <v>0</v>
      </c>
      <c r="M79" s="110">
        <f t="shared" si="3"/>
        <v>0</v>
      </c>
    </row>
    <row r="80" outlineLevel="2">
      <c r="B80" s="50" t="s">
        <v>176</v>
      </c>
      <c r="C80" s="109">
        <f>SUMIFS(Allocation!$I$1:$I$175,Allocation!$C$1:$C$175,"2026",Allocation!$D$1:$D$175,"PIGIER_LYO",Allocation!$F$1:$F$175,"BAC_RH",Allocation!$G$1:$G$175,"B3",Allocation!$H$1:$H$175,"ALT")</f>
        <v>0</v>
      </c>
      <c r="D80" s="108">
        <f>SUMIFS(Allocation!$K$1:$K$175,Allocation!$C$1:$C$175,"2026",Allocation!$D$1:$D$175,"PIGIER_LYO",Allocation!$F$1:$F$175,"BAC_RH",Allocation!$G$1:$G$175,"B3",Allocation!$H$1:$H$175,"ALT")</f>
        <v>0</v>
      </c>
      <c r="E80" s="108">
        <f>SUMIFS(Allocation!$V$1:$V$175,Allocation!$C$1:$C$175,"2026",Allocation!$D$1:$D$175,"PIGIER_LYO",Allocation!$F$1:$F$175,"BAC_RH",Allocation!$G$1:$G$175,"B3",Allocation!$H$1:$H$175,"ALT")</f>
        <v>0</v>
      </c>
      <c r="F80" s="108">
        <f>SUMIFS(Allocation!$W$1:$W$175,Allocation!$C$1:$C$175,"2026",Allocation!$D$1:$D$175,"PIGIER_LYO",Allocation!$F$1:$F$175,"BAC_RH",Allocation!$G$1:$G$175,"B3",Allocation!$H$1:$H$175,"ALT")</f>
        <v>0</v>
      </c>
      <c r="G80" s="108">
        <f>SUMIFS(Allocation!$X$1:$X$175,Allocation!$C$1:$C$175,"2026",Allocation!$D$1:$D$175,"PIGIER_LYO",Allocation!$F$1:$F$175,"BAC_RH",Allocation!$G$1:$G$175,"B3",Allocation!$H$1:$H$175,"ALT")</f>
        <v>0</v>
      </c>
      <c r="H80" s="108">
        <f>SUMIFS(Allocation!$Y$1:$Y$175,Allocation!$C$1:$C$175,"2026",Allocation!$D$1:$D$175,"PIGIER_LYO",Allocation!$F$1:$F$175,"BAC_RH",Allocation!$G$1:$G$175,"B3",Allocation!$H$1:$H$175,"ALT")</f>
        <v>0</v>
      </c>
      <c r="I80" s="108">
        <f>SUMIFS(Allocation!$AC$1:$AC$175,Allocation!$C$1:$C$175,"2026",Allocation!$D$1:$D$175,"PIGIER_LYO",Allocation!$F$1:$F$175,"BAC_RH",Allocation!$G$1:$G$175,"B3",Allocation!$H$1:$H$175,"ALT")</f>
        <v>0</v>
      </c>
      <c r="J80" s="108">
        <f>SUMIFS(Allocation!$Z$1:$Z$175,Allocation!$C$1:$C$175,"2026",Allocation!$D$1:$D$175,"PIGIER_LYO",Allocation!$F$1:$F$175,"BAC_RH",Allocation!$G$1:$G$175,"B3",Allocation!$H$1:$H$175,"ALT")</f>
        <v>0</v>
      </c>
      <c r="K80" s="149">
        <f t="shared" si="2"/>
        <v>0</v>
      </c>
      <c r="L80" s="157">
        <f>SUMIFS(Allocation!$AA$1:$AA$175,Allocation!$C$1:$C$175,"2026",Allocation!$D$1:$D$175,"PIGIER_LYO",Allocation!$F$1:$F$175,"BAC_RH",Allocation!$G$1:$G$175,"B3",Allocation!$H$1:$H$175,"ALT")</f>
        <v>0</v>
      </c>
      <c r="M80" s="110">
        <f t="shared" si="3"/>
        <v>0</v>
      </c>
    </row>
    <row r="81" spans="2:13" outlineLevel="1" collapsed="1" x14ac:dyDescent="0.45">
      <c r="B81" s="49" t="s">
        <v>177</v>
      </c>
      <c r="C81" s="148">
        <f>SUMIFS(Allocation!$I$1:$I$175,Allocation!$C$1:$C$175,"2026",Allocation!$D$1:$D$175,"PIGIER_BOR")</f>
        <v>0</v>
      </c>
      <c r="D81" s="149">
        <f>SUMIFS(Allocation!$K$1:$K$175,Allocation!$C$1:$C$175,"2026",Allocation!$D$1:$D$175,"PIGIER_BOR")</f>
        <v>0</v>
      </c>
      <c r="E81" s="149">
        <f>SUMIFS(Allocation!$V$1:$V$175,Allocation!$C$1:$C$175,"2026",Allocation!$D$1:$D$175,"PIGIER_BOR")</f>
        <v>0</v>
      </c>
      <c r="F81" s="149">
        <f>SUMIFS(Allocation!$W$1:$W$175,Allocation!$C$1:$C$175,"2026",Allocation!$D$1:$D$175,"PIGIER_BOR")</f>
        <v>0</v>
      </c>
      <c r="G81" s="149">
        <f>SUMIFS(Allocation!$X$1:$X$175,Allocation!$C$1:$C$175,"2026",Allocation!$D$1:$D$175,"PIGIER_BOR")</f>
        <v>0</v>
      </c>
      <c r="H81" s="149">
        <f>SUMIFS(Allocation!$Y$1:$Y$175,Allocation!$C$1:$C$175,"2026",Allocation!$D$1:$D$175,"PIGIER_BOR")</f>
        <v>0</v>
      </c>
      <c r="I81" s="149">
        <f>SUMIFS(Allocation!$AC$1:$AC$175,Allocation!$C$1:$C$175,"2026",Allocation!$D$1:$D$175,"PIGIER_BOR")</f>
        <v>0</v>
      </c>
      <c r="J81" s="149">
        <f>SUMIFS(Allocation!$Z$1:$Z$175,Allocation!$C$1:$C$175,"2026",Allocation!$D$1:$D$175,"PIGIER_BOR")</f>
        <v>0</v>
      </c>
      <c r="K81" s="149">
        <f t="shared" si="2"/>
        <v>0</v>
      </c>
      <c r="L81" s="156">
        <f>SUMIFS(Allocation!$AA$1:$AA$175,Allocation!$C$1:$C$175,"2026",Allocation!$D$1:$D$175,"PIGIER_BOR")</f>
        <v>0</v>
      </c>
      <c r="M81" s="150">
        <f t="shared" si="3"/>
        <v>0</v>
      </c>
    </row>
    <row r="82" outlineLevel="2">
      <c r="B82" s="50" t="s">
        <v>173</v>
      </c>
      <c r="C82" s="109">
        <f>SUMIFS(Allocation!$I$1:$I$175,Allocation!$C$1:$C$175,"2026",Allocation!$D$1:$D$175,"PIGIER_BOR",Allocation!$F$1:$F$175,"BTS_GES",Allocation!$G$1:$G$175,"BTS1",Allocation!$H$1:$H$175,"ALT")</f>
        <v>0</v>
      </c>
      <c r="D82" s="108">
        <f>SUMIFS(Allocation!$K$1:$K$175,Allocation!$C$1:$C$175,"2026",Allocation!$D$1:$D$175,"PIGIER_BOR",Allocation!$F$1:$F$175,"BTS_GES",Allocation!$G$1:$G$175,"BTS1",Allocation!$H$1:$H$175,"ALT")</f>
        <v>0</v>
      </c>
      <c r="E82" s="108">
        <f>SUMIFS(Allocation!$V$1:$V$175,Allocation!$C$1:$C$175,"2026",Allocation!$D$1:$D$175,"PIGIER_BOR",Allocation!$F$1:$F$175,"BTS_GES",Allocation!$G$1:$G$175,"BTS1",Allocation!$H$1:$H$175,"ALT")</f>
        <v>0</v>
      </c>
      <c r="F82" s="108">
        <f>SUMIFS(Allocation!$W$1:$W$175,Allocation!$C$1:$C$175,"2026",Allocation!$D$1:$D$175,"PIGIER_BOR",Allocation!$F$1:$F$175,"BTS_GES",Allocation!$G$1:$G$175,"BTS1",Allocation!$H$1:$H$175,"ALT")</f>
        <v>0</v>
      </c>
      <c r="G82" s="108">
        <f>SUMIFS(Allocation!$X$1:$X$175,Allocation!$C$1:$C$175,"2026",Allocation!$D$1:$D$175,"PIGIER_BOR",Allocation!$F$1:$F$175,"BTS_GES",Allocation!$G$1:$G$175,"BTS1",Allocation!$H$1:$H$175,"ALT")</f>
        <v>0</v>
      </c>
      <c r="H82" s="108">
        <f>SUMIFS(Allocation!$Y$1:$Y$175,Allocation!$C$1:$C$175,"2026",Allocation!$D$1:$D$175,"PIGIER_BOR",Allocation!$F$1:$F$175,"BTS_GES",Allocation!$G$1:$G$175,"BTS1",Allocation!$H$1:$H$175,"ALT")</f>
        <v>0</v>
      </c>
      <c r="I82" s="108">
        <f>SUMIFS(Allocation!$AC$1:$AC$175,Allocation!$C$1:$C$175,"2026",Allocation!$D$1:$D$175,"PIGIER_BOR",Allocation!$F$1:$F$175,"BTS_GES",Allocation!$G$1:$G$175,"BTS1",Allocation!$H$1:$H$175,"ALT")</f>
        <v>0</v>
      </c>
      <c r="J82" s="108">
        <f>SUMIFS(Allocation!$Z$1:$Z$175,Allocation!$C$1:$C$175,"2026",Allocation!$D$1:$D$175,"PIGIER_BOR",Allocation!$F$1:$F$175,"BTS_GES",Allocation!$G$1:$G$175,"BTS1",Allocation!$H$1:$H$175,"ALT")</f>
        <v>0</v>
      </c>
      <c r="K82" s="149">
        <f t="shared" ref="K82:K95" si="4">E82+F82+G82+H82+I82+J82</f>
        <v>0</v>
      </c>
      <c r="L82" s="157">
        <f>SUMIFS(Allocation!$AA$1:$AA$175,Allocation!$C$1:$C$175,"2026",Allocation!$D$1:$D$175,"PIGIER_BOR",Allocation!$F$1:$F$175,"BTS_GES",Allocation!$G$1:$G$175,"BTS1",Allocation!$H$1:$H$175,"ALT")</f>
        <v>0</v>
      </c>
      <c r="M82" s="110">
        <f t="shared" ref="M82:M95" si="5">IFERROR(L82/D82,0)</f>
        <v>0</v>
      </c>
    </row>
    <row r="83" outlineLevel="2">
      <c r="B83" s="50" t="s">
        <v>174</v>
      </c>
      <c r="C83" s="109">
        <f>SUMIFS(Allocation!$I$1:$I$175,Allocation!$C$1:$C$175,"2026",Allocation!$D$1:$D$175,"PIGIER_BOR",Allocation!$F$1:$F$175,"BTS_GES",Allocation!$G$1:$G$175,"BTS2",Allocation!$H$1:$H$175,"ALT")</f>
        <v>0</v>
      </c>
      <c r="D83" s="108">
        <f>SUMIFS(Allocation!$K$1:$K$175,Allocation!$C$1:$C$175,"2026",Allocation!$D$1:$D$175,"PIGIER_BOR",Allocation!$F$1:$F$175,"BTS_GES",Allocation!$G$1:$G$175,"BTS2",Allocation!$H$1:$H$175,"ALT")</f>
        <v>0</v>
      </c>
      <c r="E83" s="108">
        <f>SUMIFS(Allocation!$V$1:$V$175,Allocation!$C$1:$C$175,"2026",Allocation!$D$1:$D$175,"PIGIER_BOR",Allocation!$F$1:$F$175,"BTS_GES",Allocation!$G$1:$G$175,"BTS2",Allocation!$H$1:$H$175,"ALT")</f>
        <v>0</v>
      </c>
      <c r="F83" s="108">
        <f>SUMIFS(Allocation!$W$1:$W$175,Allocation!$C$1:$C$175,"2026",Allocation!$D$1:$D$175,"PIGIER_BOR",Allocation!$F$1:$F$175,"BTS_GES",Allocation!$G$1:$G$175,"BTS2",Allocation!$H$1:$H$175,"ALT")</f>
        <v>0</v>
      </c>
      <c r="G83" s="108">
        <f>SUMIFS(Allocation!$X$1:$X$175,Allocation!$C$1:$C$175,"2026",Allocation!$D$1:$D$175,"PIGIER_BOR",Allocation!$F$1:$F$175,"BTS_GES",Allocation!$G$1:$G$175,"BTS2",Allocation!$H$1:$H$175,"ALT")</f>
        <v>0</v>
      </c>
      <c r="H83" s="108">
        <f>SUMIFS(Allocation!$Y$1:$Y$175,Allocation!$C$1:$C$175,"2026",Allocation!$D$1:$D$175,"PIGIER_BOR",Allocation!$F$1:$F$175,"BTS_GES",Allocation!$G$1:$G$175,"BTS2",Allocation!$H$1:$H$175,"ALT")</f>
        <v>0</v>
      </c>
      <c r="I83" s="108">
        <f>SUMIFS(Allocation!$AC$1:$AC$175,Allocation!$C$1:$C$175,"2026",Allocation!$D$1:$D$175,"PIGIER_BOR",Allocation!$F$1:$F$175,"BTS_GES",Allocation!$G$1:$G$175,"BTS2",Allocation!$H$1:$H$175,"ALT")</f>
        <v>0</v>
      </c>
      <c r="J83" s="108">
        <f>SUMIFS(Allocation!$Z$1:$Z$175,Allocation!$C$1:$C$175,"2026",Allocation!$D$1:$D$175,"PIGIER_BOR",Allocation!$F$1:$F$175,"BTS_GES",Allocation!$G$1:$G$175,"BTS2",Allocation!$H$1:$H$175,"ALT")</f>
        <v>0</v>
      </c>
      <c r="K83" s="149">
        <f t="shared" si="4"/>
        <v>0</v>
      </c>
      <c r="L83" s="157">
        <f>SUMIFS(Allocation!$AA$1:$AA$175,Allocation!$C$1:$C$175,"2026",Allocation!$D$1:$D$175,"PIGIER_BOR",Allocation!$F$1:$F$175,"BTS_GES",Allocation!$G$1:$G$175,"BTS2",Allocation!$H$1:$H$175,"ALT")</f>
        <v>0</v>
      </c>
      <c r="M83" s="110">
        <f t="shared" si="5"/>
        <v>0</v>
      </c>
    </row>
    <row r="84" outlineLevel="2">
      <c r="B84" s="50" t="s">
        <v>175</v>
      </c>
      <c r="C84" s="109">
        <f>SUMIFS(Allocation!$I$1:$I$175,Allocation!$C$1:$C$175,"2026",Allocation!$D$1:$D$175,"PIGIER_BOR",Allocation!$F$1:$F$175,"BAC_RH",Allocation!$G$1:$G$175,"B1",Allocation!$H$1:$H$175,"ALT")</f>
        <v>0</v>
      </c>
      <c r="D84" s="108">
        <f>SUMIFS(Allocation!$K$1:$K$175,Allocation!$C$1:$C$175,"2026",Allocation!$D$1:$D$175,"PIGIER_BOR",Allocation!$F$1:$F$175,"BAC_RH",Allocation!$G$1:$G$175,"B1",Allocation!$H$1:$H$175,"ALT")</f>
        <v>0</v>
      </c>
      <c r="E84" s="108">
        <f>SUMIFS(Allocation!$V$1:$V$175,Allocation!$C$1:$C$175,"2026",Allocation!$D$1:$D$175,"PIGIER_BOR",Allocation!$F$1:$F$175,"BAC_RH",Allocation!$G$1:$G$175,"B1",Allocation!$H$1:$H$175,"ALT")</f>
        <v>0</v>
      </c>
      <c r="F84" s="108">
        <f>SUMIFS(Allocation!$W$1:$W$175,Allocation!$C$1:$C$175,"2026",Allocation!$D$1:$D$175,"PIGIER_BOR",Allocation!$F$1:$F$175,"BAC_RH",Allocation!$G$1:$G$175,"B1",Allocation!$H$1:$H$175,"ALT")</f>
        <v>0</v>
      </c>
      <c r="G84" s="108">
        <f>SUMIFS(Allocation!$X$1:$X$175,Allocation!$C$1:$C$175,"2026",Allocation!$D$1:$D$175,"PIGIER_BOR",Allocation!$F$1:$F$175,"BAC_RH",Allocation!$G$1:$G$175,"B1",Allocation!$H$1:$H$175,"ALT")</f>
        <v>0</v>
      </c>
      <c r="H84" s="108">
        <f>SUMIFS(Allocation!$Y$1:$Y$175,Allocation!$C$1:$C$175,"2026",Allocation!$D$1:$D$175,"PIGIER_BOR",Allocation!$F$1:$F$175,"BAC_RH",Allocation!$G$1:$G$175,"B1",Allocation!$H$1:$H$175,"ALT")</f>
        <v>0</v>
      </c>
      <c r="I84" s="108">
        <f>SUMIFS(Allocation!$AC$1:$AC$175,Allocation!$C$1:$C$175,"2026",Allocation!$D$1:$D$175,"PIGIER_BOR",Allocation!$F$1:$F$175,"BAC_RH",Allocation!$G$1:$G$175,"B1",Allocation!$H$1:$H$175,"ALT")</f>
        <v>0</v>
      </c>
      <c r="J84" s="108">
        <f>SUMIFS(Allocation!$Z$1:$Z$175,Allocation!$C$1:$C$175,"2026",Allocation!$D$1:$D$175,"PIGIER_BOR",Allocation!$F$1:$F$175,"BAC_RH",Allocation!$G$1:$G$175,"B1",Allocation!$H$1:$H$175,"ALT")</f>
        <v>0</v>
      </c>
      <c r="K84" s="149">
        <f t="shared" si="4"/>
        <v>0</v>
      </c>
      <c r="L84" s="157">
        <f>SUMIFS(Allocation!$AA$1:$AA$175,Allocation!$C$1:$C$175,"2026",Allocation!$D$1:$D$175,"PIGIER_BOR",Allocation!$F$1:$F$175,"BAC_RH",Allocation!$G$1:$G$175,"B1",Allocation!$H$1:$H$175,"ALT")</f>
        <v>0</v>
      </c>
      <c r="M84" s="110">
        <f t="shared" si="5"/>
        <v>0</v>
      </c>
    </row>
    <row r="85" outlineLevel="2">
      <c r="B85" s="50" t="s">
        <v>176</v>
      </c>
      <c r="C85" s="109">
        <f>SUMIFS(Allocation!$I$1:$I$175,Allocation!$C$1:$C$175,"2026",Allocation!$D$1:$D$175,"PIGIER_BOR",Allocation!$F$1:$F$175,"BAC_RH",Allocation!$G$1:$G$175,"B3",Allocation!$H$1:$H$175,"ALT")</f>
        <v>0</v>
      </c>
      <c r="D85" s="108">
        <f>SUMIFS(Allocation!$K$1:$K$175,Allocation!$C$1:$C$175,"2026",Allocation!$D$1:$D$175,"PIGIER_BOR",Allocation!$F$1:$F$175,"BAC_RH",Allocation!$G$1:$G$175,"B3",Allocation!$H$1:$H$175,"ALT")</f>
        <v>0</v>
      </c>
      <c r="E85" s="108">
        <f>SUMIFS(Allocation!$V$1:$V$175,Allocation!$C$1:$C$175,"2026",Allocation!$D$1:$D$175,"PIGIER_BOR",Allocation!$F$1:$F$175,"BAC_RH",Allocation!$G$1:$G$175,"B3",Allocation!$H$1:$H$175,"ALT")</f>
        <v>0</v>
      </c>
      <c r="F85" s="108">
        <f>SUMIFS(Allocation!$W$1:$W$175,Allocation!$C$1:$C$175,"2026",Allocation!$D$1:$D$175,"PIGIER_BOR",Allocation!$F$1:$F$175,"BAC_RH",Allocation!$G$1:$G$175,"B3",Allocation!$H$1:$H$175,"ALT")</f>
        <v>0</v>
      </c>
      <c r="G85" s="108">
        <f>SUMIFS(Allocation!$X$1:$X$175,Allocation!$C$1:$C$175,"2026",Allocation!$D$1:$D$175,"PIGIER_BOR",Allocation!$F$1:$F$175,"BAC_RH",Allocation!$G$1:$G$175,"B3",Allocation!$H$1:$H$175,"ALT")</f>
        <v>0</v>
      </c>
      <c r="H85" s="108">
        <f>SUMIFS(Allocation!$Y$1:$Y$175,Allocation!$C$1:$C$175,"2026",Allocation!$D$1:$D$175,"PIGIER_BOR",Allocation!$F$1:$F$175,"BAC_RH",Allocation!$G$1:$G$175,"B3",Allocation!$H$1:$H$175,"ALT")</f>
        <v>0</v>
      </c>
      <c r="I85" s="108">
        <f>SUMIFS(Allocation!$AC$1:$AC$175,Allocation!$C$1:$C$175,"2026",Allocation!$D$1:$D$175,"PIGIER_BOR",Allocation!$F$1:$F$175,"BAC_RH",Allocation!$G$1:$G$175,"B3",Allocation!$H$1:$H$175,"ALT")</f>
        <v>0</v>
      </c>
      <c r="J85" s="108">
        <f>SUMIFS(Allocation!$Z$1:$Z$175,Allocation!$C$1:$C$175,"2026",Allocation!$D$1:$D$175,"PIGIER_BOR",Allocation!$F$1:$F$175,"BAC_RH",Allocation!$G$1:$G$175,"B3",Allocation!$H$1:$H$175,"ALT")</f>
        <v>0</v>
      </c>
      <c r="K85" s="149">
        <f t="shared" si="4"/>
        <v>0</v>
      </c>
      <c r="L85" s="157">
        <f>SUMIFS(Allocation!$AA$1:$AA$175,Allocation!$C$1:$C$175,"2026",Allocation!$D$1:$D$175,"PIGIER_BOR",Allocation!$F$1:$F$175,"BAC_RH",Allocation!$G$1:$G$175,"B3",Allocation!$H$1:$H$175,"ALT")</f>
        <v>0</v>
      </c>
      <c r="M85" s="110">
        <f t="shared" si="5"/>
        <v>0</v>
      </c>
    </row>
    <row r="86" spans="2:13" x14ac:dyDescent="0.45">
      <c r="B86" s="54" t="s">
        <v>5</v>
      </c>
      <c r="C86" s="148">
        <f>SUMIFS(Allocation!$I$1:$I$175,Allocation!$C$1:$C$175,"2026",Allocation!$E$1:$E$175,"TUNON")</f>
        <v>0</v>
      </c>
      <c r="D86" s="149">
        <f>SUMIFS(Allocation!$K$1:$K$175,Allocation!$C$1:$C$175,"2026",Allocation!$E$1:$E$175,"TUNON")</f>
        <v>0</v>
      </c>
      <c r="E86" s="149">
        <f>SUMIFS(Allocation!$V$1:$V$175,Allocation!$C$1:$C$175,"2026",Allocation!$E$1:$E$175,"TUNON")</f>
        <v>0</v>
      </c>
      <c r="F86" s="149">
        <f>SUMIFS(Allocation!$W$1:$W$175,Allocation!$C$1:$C$175,"2026",Allocation!$E$1:$E$175,"TUNON")</f>
        <v>0</v>
      </c>
      <c r="G86" s="149">
        <f>SUMIFS(Allocation!$X$1:$X$175,Allocation!$C$1:$C$175,"2026",Allocation!$E$1:$E$175,"TUNON")</f>
        <v>0</v>
      </c>
      <c r="H86" s="149">
        <f>SUMIFS(Allocation!$Y$1:$Y$175,Allocation!$C$1:$C$175,"2026",Allocation!$E$1:$E$175,"TUNON")</f>
        <v>0</v>
      </c>
      <c r="I86" s="149">
        <f>SUMIFS(Allocation!$AC$1:$AC$175,Allocation!$C$1:$C$175,"2026",Allocation!$E$1:$E$175,"TUNON")</f>
        <v>0</v>
      </c>
      <c r="J86" s="149">
        <f>SUMIFS(Allocation!$Z$1:$Z$175,Allocation!$C$1:$C$175,"2026",Allocation!$E$1:$E$175,"TUNON")</f>
        <v>0</v>
      </c>
      <c r="K86" s="149">
        <f t="shared" si="4"/>
        <v>0</v>
      </c>
      <c r="L86" s="156">
        <f>SUMIFS(Allocation!$AA$1:$AA$175,Allocation!$C$1:$C$175,"2026",Allocation!$E$1:$E$175,"TUNON")</f>
        <v>0</v>
      </c>
      <c r="M86" s="150">
        <f t="shared" si="5"/>
        <v>0</v>
      </c>
    </row>
    <row r="87" spans="2:13" outlineLevel="1" collapsed="1" x14ac:dyDescent="0.45">
      <c r="B87" s="49" t="s">
        <v>178</v>
      </c>
      <c r="C87" s="148">
        <f>SUMIFS(Allocation!$I$1:$I$175,Allocation!$C$1:$C$175,"2026",Allocation!$D$1:$D$175,"TUNON_PAR")</f>
        <v>0</v>
      </c>
      <c r="D87" s="149">
        <f>SUMIFS(Allocation!$K$1:$K$175,Allocation!$C$1:$C$175,"2026",Allocation!$D$1:$D$175,"TUNON_PAR")</f>
        <v>0</v>
      </c>
      <c r="E87" s="149">
        <f>SUMIFS(Allocation!$V$1:$V$175,Allocation!$C$1:$C$175,"2026",Allocation!$D$1:$D$175,"TUNON_PAR")</f>
        <v>0</v>
      </c>
      <c r="F87" s="149">
        <f>SUMIFS(Allocation!$W$1:$W$175,Allocation!$C$1:$C$175,"2026",Allocation!$D$1:$D$175,"TUNON_PAR")</f>
        <v>0</v>
      </c>
      <c r="G87" s="149">
        <f>SUMIFS(Allocation!$X$1:$X$175,Allocation!$C$1:$C$175,"2026",Allocation!$D$1:$D$175,"TUNON_PAR")</f>
        <v>0</v>
      </c>
      <c r="H87" s="149">
        <f>SUMIFS(Allocation!$Y$1:$Y$175,Allocation!$C$1:$C$175,"2026",Allocation!$D$1:$D$175,"TUNON_PAR")</f>
        <v>0</v>
      </c>
      <c r="I87" s="149">
        <f>SUMIFS(Allocation!$AC$1:$AC$175,Allocation!$C$1:$C$175,"2026",Allocation!$D$1:$D$175,"TUNON_PAR")</f>
        <v>0</v>
      </c>
      <c r="J87" s="149">
        <f>SUMIFS(Allocation!$Z$1:$Z$175,Allocation!$C$1:$C$175,"2026",Allocation!$D$1:$D$175,"TUNON_PAR")</f>
        <v>0</v>
      </c>
      <c r="K87" s="149">
        <f t="shared" si="4"/>
        <v>0</v>
      </c>
      <c r="L87" s="156">
        <f>SUMIFS(Allocation!$AA$1:$AA$175,Allocation!$C$1:$C$175,"2026",Allocation!$D$1:$D$175,"TUNON_PAR")</f>
        <v>0</v>
      </c>
      <c r="M87" s="150">
        <f t="shared" si="5"/>
        <v>0</v>
      </c>
    </row>
    <row r="88" outlineLevel="2">
      <c r="B88" s="50" t="s">
        <v>179</v>
      </c>
      <c r="C88" s="109">
        <f>SUMIFS(Allocation!$I$1:$I$175,Allocation!$C$1:$C$175,"2026",Allocation!$D$1:$D$175,"TUNON_PAR",Allocation!$F$1:$F$175,"BAC_TOU",Allocation!$G$1:$G$175,"B1",Allocation!$H$1:$H$175,"ALT")</f>
        <v>0</v>
      </c>
      <c r="D88" s="108">
        <f>SUMIFS(Allocation!$K$1:$K$175,Allocation!$C$1:$C$175,"2026",Allocation!$D$1:$D$175,"TUNON_PAR",Allocation!$F$1:$F$175,"BAC_TOU",Allocation!$G$1:$G$175,"B1",Allocation!$H$1:$H$175,"ALT")</f>
        <v>0</v>
      </c>
      <c r="E88" s="108">
        <f>SUMIFS(Allocation!$V$1:$V$175,Allocation!$C$1:$C$175,"2026",Allocation!$D$1:$D$175,"TUNON_PAR",Allocation!$F$1:$F$175,"BAC_TOU",Allocation!$G$1:$G$175,"B1",Allocation!$H$1:$H$175,"ALT")</f>
        <v>0</v>
      </c>
      <c r="F88" s="108">
        <f>SUMIFS(Allocation!$W$1:$W$175,Allocation!$C$1:$C$175,"2026",Allocation!$D$1:$D$175,"TUNON_PAR",Allocation!$F$1:$F$175,"BAC_TOU",Allocation!$G$1:$G$175,"B1",Allocation!$H$1:$H$175,"ALT")</f>
        <v>0</v>
      </c>
      <c r="G88" s="108">
        <f>SUMIFS(Allocation!$X$1:$X$175,Allocation!$C$1:$C$175,"2026",Allocation!$D$1:$D$175,"TUNON_PAR",Allocation!$F$1:$F$175,"BAC_TOU",Allocation!$G$1:$G$175,"B1",Allocation!$H$1:$H$175,"ALT")</f>
        <v>0</v>
      </c>
      <c r="H88" s="108">
        <f>SUMIFS(Allocation!$Y$1:$Y$175,Allocation!$C$1:$C$175,"2026",Allocation!$D$1:$D$175,"TUNON_PAR",Allocation!$F$1:$F$175,"BAC_TOU",Allocation!$G$1:$G$175,"B1",Allocation!$H$1:$H$175,"ALT")</f>
        <v>0</v>
      </c>
      <c r="I88" s="108">
        <f>SUMIFS(Allocation!$AC$1:$AC$175,Allocation!$C$1:$C$175,"2026",Allocation!$D$1:$D$175,"TUNON_PAR",Allocation!$F$1:$F$175,"BAC_TOU",Allocation!$G$1:$G$175,"B1",Allocation!$H$1:$H$175,"ALT")</f>
        <v>0</v>
      </c>
      <c r="J88" s="108">
        <f>SUMIFS(Allocation!$Z$1:$Z$175,Allocation!$C$1:$C$175,"2026",Allocation!$D$1:$D$175,"TUNON_PAR",Allocation!$F$1:$F$175,"BAC_TOU",Allocation!$G$1:$G$175,"B1",Allocation!$H$1:$H$175,"ALT")</f>
        <v>0</v>
      </c>
      <c r="K88" s="149">
        <f t="shared" si="4"/>
        <v>0</v>
      </c>
      <c r="L88" s="157">
        <f>SUMIFS(Allocation!$AA$1:$AA$175,Allocation!$C$1:$C$175,"2026",Allocation!$D$1:$D$175,"TUNON_PAR",Allocation!$F$1:$F$175,"BAC_TOU",Allocation!$G$1:$G$175,"B1",Allocation!$H$1:$H$175,"ALT")</f>
        <v>0</v>
      </c>
      <c r="M88" s="110">
        <f t="shared" si="5"/>
        <v>0</v>
      </c>
    </row>
    <row r="89" outlineLevel="2">
      <c r="B89" s="50" t="s">
        <v>180</v>
      </c>
      <c r="C89" s="109">
        <f>SUMIFS(Allocation!$I$1:$I$175,Allocation!$C$1:$C$175,"2026",Allocation!$D$1:$D$175,"TUNON_PAR",Allocation!$F$1:$F$175,"BAC_TOU",Allocation!$G$1:$G$175,"B2",Allocation!$H$1:$H$175,"ALT")</f>
        <v>0</v>
      </c>
      <c r="D89" s="108">
        <f>SUMIFS(Allocation!$K$1:$K$175,Allocation!$C$1:$C$175,"2026",Allocation!$D$1:$D$175,"TUNON_PAR",Allocation!$F$1:$F$175,"BAC_TOU",Allocation!$G$1:$G$175,"B2",Allocation!$H$1:$H$175,"ALT")</f>
        <v>0</v>
      </c>
      <c r="E89" s="108">
        <f>SUMIFS(Allocation!$V$1:$V$175,Allocation!$C$1:$C$175,"2026",Allocation!$D$1:$D$175,"TUNON_PAR",Allocation!$F$1:$F$175,"BAC_TOU",Allocation!$G$1:$G$175,"B2",Allocation!$H$1:$H$175,"ALT")</f>
        <v>0</v>
      </c>
      <c r="F89" s="108">
        <f>SUMIFS(Allocation!$W$1:$W$175,Allocation!$C$1:$C$175,"2026",Allocation!$D$1:$D$175,"TUNON_PAR",Allocation!$F$1:$F$175,"BAC_TOU",Allocation!$G$1:$G$175,"B2",Allocation!$H$1:$H$175,"ALT")</f>
        <v>0</v>
      </c>
      <c r="G89" s="108">
        <f>SUMIFS(Allocation!$X$1:$X$175,Allocation!$C$1:$C$175,"2026",Allocation!$D$1:$D$175,"TUNON_PAR",Allocation!$F$1:$F$175,"BAC_TOU",Allocation!$G$1:$G$175,"B2",Allocation!$H$1:$H$175,"ALT")</f>
        <v>0</v>
      </c>
      <c r="H89" s="108">
        <f>SUMIFS(Allocation!$Y$1:$Y$175,Allocation!$C$1:$C$175,"2026",Allocation!$D$1:$D$175,"TUNON_PAR",Allocation!$F$1:$F$175,"BAC_TOU",Allocation!$G$1:$G$175,"B2",Allocation!$H$1:$H$175,"ALT")</f>
        <v>0</v>
      </c>
      <c r="I89" s="108">
        <f>SUMIFS(Allocation!$AC$1:$AC$175,Allocation!$C$1:$C$175,"2026",Allocation!$D$1:$D$175,"TUNON_PAR",Allocation!$F$1:$F$175,"BAC_TOU",Allocation!$G$1:$G$175,"B2",Allocation!$H$1:$H$175,"ALT")</f>
        <v>0</v>
      </c>
      <c r="J89" s="108">
        <f>SUMIFS(Allocation!$Z$1:$Z$175,Allocation!$C$1:$C$175,"2026",Allocation!$D$1:$D$175,"TUNON_PAR",Allocation!$F$1:$F$175,"BAC_TOU",Allocation!$G$1:$G$175,"B2",Allocation!$H$1:$H$175,"ALT")</f>
        <v>0</v>
      </c>
      <c r="K89" s="149">
        <f t="shared" si="4"/>
        <v>0</v>
      </c>
      <c r="L89" s="157">
        <f>SUMIFS(Allocation!$AA$1:$AA$175,Allocation!$C$1:$C$175,"2026",Allocation!$D$1:$D$175,"TUNON_PAR",Allocation!$F$1:$F$175,"BAC_TOU",Allocation!$G$1:$G$175,"B2",Allocation!$H$1:$H$175,"ALT")</f>
        <v>0</v>
      </c>
      <c r="M89" s="110">
        <f t="shared" si="5"/>
        <v>0</v>
      </c>
    </row>
    <row r="90" outlineLevel="2">
      <c r="B90" s="50" t="s">
        <v>181</v>
      </c>
      <c r="C90" s="109">
        <f>SUMIFS(Allocation!$I$1:$I$175,Allocation!$C$1:$C$175,"2026",Allocation!$D$1:$D$175,"TUNON_PAR",Allocation!$F$1:$F$175,"BAC_TOU",Allocation!$G$1:$G$175,"B3",Allocation!$H$1:$H$175,"ALT")</f>
        <v>0</v>
      </c>
      <c r="D90" s="108">
        <f>SUMIFS(Allocation!$K$1:$K$175,Allocation!$C$1:$C$175,"2026",Allocation!$D$1:$D$175,"TUNON_PAR",Allocation!$F$1:$F$175,"BAC_TOU",Allocation!$G$1:$G$175,"B3",Allocation!$H$1:$H$175,"ALT")</f>
        <v>0</v>
      </c>
      <c r="E90" s="108">
        <f>SUMIFS(Allocation!$V$1:$V$175,Allocation!$C$1:$C$175,"2026",Allocation!$D$1:$D$175,"TUNON_PAR",Allocation!$F$1:$F$175,"BAC_TOU",Allocation!$G$1:$G$175,"B3",Allocation!$H$1:$H$175,"ALT")</f>
        <v>0</v>
      </c>
      <c r="F90" s="108">
        <f>SUMIFS(Allocation!$W$1:$W$175,Allocation!$C$1:$C$175,"2026",Allocation!$D$1:$D$175,"TUNON_PAR",Allocation!$F$1:$F$175,"BAC_TOU",Allocation!$G$1:$G$175,"B3",Allocation!$H$1:$H$175,"ALT")</f>
        <v>0</v>
      </c>
      <c r="G90" s="108">
        <f>SUMIFS(Allocation!$X$1:$X$175,Allocation!$C$1:$C$175,"2026",Allocation!$D$1:$D$175,"TUNON_PAR",Allocation!$F$1:$F$175,"BAC_TOU",Allocation!$G$1:$G$175,"B3",Allocation!$H$1:$H$175,"ALT")</f>
        <v>0</v>
      </c>
      <c r="H90" s="108">
        <f>SUMIFS(Allocation!$Y$1:$Y$175,Allocation!$C$1:$C$175,"2026",Allocation!$D$1:$D$175,"TUNON_PAR",Allocation!$F$1:$F$175,"BAC_TOU",Allocation!$G$1:$G$175,"B3",Allocation!$H$1:$H$175,"ALT")</f>
        <v>0</v>
      </c>
      <c r="I90" s="108">
        <f>SUMIFS(Allocation!$AC$1:$AC$175,Allocation!$C$1:$C$175,"2026",Allocation!$D$1:$D$175,"TUNON_PAR",Allocation!$F$1:$F$175,"BAC_TOU",Allocation!$G$1:$G$175,"B3",Allocation!$H$1:$H$175,"ALT")</f>
        <v>0</v>
      </c>
      <c r="J90" s="108">
        <f>SUMIFS(Allocation!$Z$1:$Z$175,Allocation!$C$1:$C$175,"2026",Allocation!$D$1:$D$175,"TUNON_PAR",Allocation!$F$1:$F$175,"BAC_TOU",Allocation!$G$1:$G$175,"B3",Allocation!$H$1:$H$175,"ALT")</f>
        <v>0</v>
      </c>
      <c r="K90" s="149">
        <f t="shared" si="4"/>
        <v>0</v>
      </c>
      <c r="L90" s="157">
        <f>SUMIFS(Allocation!$AA$1:$AA$175,Allocation!$C$1:$C$175,"2026",Allocation!$D$1:$D$175,"TUNON_PAR",Allocation!$F$1:$F$175,"BAC_TOU",Allocation!$G$1:$G$175,"B3",Allocation!$H$1:$H$175,"ALT")</f>
        <v>0</v>
      </c>
      <c r="M90" s="110">
        <f t="shared" si="5"/>
        <v>0</v>
      </c>
    </row>
    <row r="91" spans="2:13" outlineLevel="1" collapsed="1" x14ac:dyDescent="0.45">
      <c r="B91" s="49" t="s">
        <v>182</v>
      </c>
      <c r="C91" s="148">
        <f>SUMIFS(Allocation!$I$1:$I$175,Allocation!$C$1:$C$175,"2026",Allocation!$D$1:$D$175,"TUNON_LYO")</f>
        <v>0</v>
      </c>
      <c r="D91" s="149">
        <f>SUMIFS(Allocation!$K$1:$K$175,Allocation!$C$1:$C$175,"2026",Allocation!$D$1:$D$175,"TUNON_LYO")</f>
        <v>0</v>
      </c>
      <c r="E91" s="149">
        <f>SUMIFS(Allocation!$V$1:$V$175,Allocation!$C$1:$C$175,"2026",Allocation!$D$1:$D$175,"TUNON_LYO")</f>
        <v>0</v>
      </c>
      <c r="F91" s="149">
        <f>SUMIFS(Allocation!$W$1:$W$175,Allocation!$C$1:$C$175,"2026",Allocation!$D$1:$D$175,"TUNON_LYO")</f>
        <v>0</v>
      </c>
      <c r="G91" s="149">
        <f>SUMIFS(Allocation!$X$1:$X$175,Allocation!$C$1:$C$175,"2026",Allocation!$D$1:$D$175,"TUNON_LYO")</f>
        <v>0</v>
      </c>
      <c r="H91" s="149">
        <f>SUMIFS(Allocation!$Y$1:$Y$175,Allocation!$C$1:$C$175,"2026",Allocation!$D$1:$D$175,"TUNON_LYO")</f>
        <v>0</v>
      </c>
      <c r="I91" s="149">
        <f>SUMIFS(Allocation!$AC$1:$AC$175,Allocation!$C$1:$C$175,"2026",Allocation!$D$1:$D$175,"TUNON_LYO")</f>
        <v>0</v>
      </c>
      <c r="J91" s="149">
        <f>SUMIFS(Allocation!$Z$1:$Z$175,Allocation!$C$1:$C$175,"2026",Allocation!$D$1:$D$175,"TUNON_LYO")</f>
        <v>0</v>
      </c>
      <c r="K91" s="149">
        <f t="shared" si="4"/>
        <v>0</v>
      </c>
      <c r="L91" s="156">
        <f>SUMIFS(Allocation!$AA$1:$AA$175,Allocation!$C$1:$C$175,"2026",Allocation!$D$1:$D$175,"TUNON_LYO")</f>
        <v>0</v>
      </c>
      <c r="M91" s="150">
        <f t="shared" si="5"/>
        <v>0</v>
      </c>
    </row>
    <row r="92" outlineLevel="2">
      <c r="B92" s="50" t="s">
        <v>179</v>
      </c>
      <c r="C92" s="109">
        <f>SUMIFS(Allocation!$I$1:$I$175,Allocation!$C$1:$C$175,"2026",Allocation!$D$1:$D$175,"TUNON_LYO",Allocation!$F$1:$F$175,"BAC_TOU",Allocation!$G$1:$G$175,"B1",Allocation!$H$1:$H$175,"ALT")</f>
        <v>0</v>
      </c>
      <c r="D92" s="108">
        <f>SUMIFS(Allocation!$K$1:$K$175,Allocation!$C$1:$C$175,"2026",Allocation!$D$1:$D$175,"TUNON_LYO",Allocation!$F$1:$F$175,"BAC_TOU",Allocation!$G$1:$G$175,"B1",Allocation!$H$1:$H$175,"ALT")</f>
        <v>0</v>
      </c>
      <c r="E92" s="108">
        <f>SUMIFS(Allocation!$V$1:$V$175,Allocation!$C$1:$C$175,"2026",Allocation!$D$1:$D$175,"TUNON_LYO",Allocation!$F$1:$F$175,"BAC_TOU",Allocation!$G$1:$G$175,"B1",Allocation!$H$1:$H$175,"ALT")</f>
        <v>0</v>
      </c>
      <c r="F92" s="108">
        <f>SUMIFS(Allocation!$W$1:$W$175,Allocation!$C$1:$C$175,"2026",Allocation!$D$1:$D$175,"TUNON_LYO",Allocation!$F$1:$F$175,"BAC_TOU",Allocation!$G$1:$G$175,"B1",Allocation!$H$1:$H$175,"ALT")</f>
        <v>0</v>
      </c>
      <c r="G92" s="108">
        <f>SUMIFS(Allocation!$X$1:$X$175,Allocation!$C$1:$C$175,"2026",Allocation!$D$1:$D$175,"TUNON_LYO",Allocation!$F$1:$F$175,"BAC_TOU",Allocation!$G$1:$G$175,"B1",Allocation!$H$1:$H$175,"ALT")</f>
        <v>0</v>
      </c>
      <c r="H92" s="108">
        <f>SUMIFS(Allocation!$Y$1:$Y$175,Allocation!$C$1:$C$175,"2026",Allocation!$D$1:$D$175,"TUNON_LYO",Allocation!$F$1:$F$175,"BAC_TOU",Allocation!$G$1:$G$175,"B1",Allocation!$H$1:$H$175,"ALT")</f>
        <v>0</v>
      </c>
      <c r="I92" s="108">
        <f>SUMIFS(Allocation!$AC$1:$AC$175,Allocation!$C$1:$C$175,"2026",Allocation!$D$1:$D$175,"TUNON_LYO",Allocation!$F$1:$F$175,"BAC_TOU",Allocation!$G$1:$G$175,"B1",Allocation!$H$1:$H$175,"ALT")</f>
        <v>0</v>
      </c>
      <c r="J92" s="108">
        <f>SUMIFS(Allocation!$Z$1:$Z$175,Allocation!$C$1:$C$175,"2026",Allocation!$D$1:$D$175,"TUNON_LYO",Allocation!$F$1:$F$175,"BAC_TOU",Allocation!$G$1:$G$175,"B1",Allocation!$H$1:$H$175,"ALT")</f>
        <v>0</v>
      </c>
      <c r="K92" s="149">
        <f t="shared" si="4"/>
        <v>0</v>
      </c>
      <c r="L92" s="157">
        <f>SUMIFS(Allocation!$AA$1:$AA$175,Allocation!$C$1:$C$175,"2026",Allocation!$D$1:$D$175,"TUNON_LYO",Allocation!$F$1:$F$175,"BAC_TOU",Allocation!$G$1:$G$175,"B1",Allocation!$H$1:$H$175,"ALT")</f>
        <v>0</v>
      </c>
      <c r="M92" s="110">
        <f t="shared" si="5"/>
        <v>0</v>
      </c>
    </row>
    <row r="93" outlineLevel="2">
      <c r="B93" s="50" t="s">
        <v>180</v>
      </c>
      <c r="C93" s="109">
        <f>SUMIFS(Allocation!$I$1:$I$175,Allocation!$C$1:$C$175,"2026",Allocation!$D$1:$D$175,"TUNON_LYO",Allocation!$F$1:$F$175,"BAC_TOU",Allocation!$G$1:$G$175,"B2",Allocation!$H$1:$H$175,"ALT")</f>
        <v>0</v>
      </c>
      <c r="D93" s="108">
        <f>SUMIFS(Allocation!$K$1:$K$175,Allocation!$C$1:$C$175,"2026",Allocation!$D$1:$D$175,"TUNON_LYO",Allocation!$F$1:$F$175,"BAC_TOU",Allocation!$G$1:$G$175,"B2",Allocation!$H$1:$H$175,"ALT")</f>
        <v>0</v>
      </c>
      <c r="E93" s="108">
        <f>SUMIFS(Allocation!$V$1:$V$175,Allocation!$C$1:$C$175,"2026",Allocation!$D$1:$D$175,"TUNON_LYO",Allocation!$F$1:$F$175,"BAC_TOU",Allocation!$G$1:$G$175,"B2",Allocation!$H$1:$H$175,"ALT")</f>
        <v>0</v>
      </c>
      <c r="F93" s="108">
        <f>SUMIFS(Allocation!$W$1:$W$175,Allocation!$C$1:$C$175,"2026",Allocation!$D$1:$D$175,"TUNON_LYO",Allocation!$F$1:$F$175,"BAC_TOU",Allocation!$G$1:$G$175,"B2",Allocation!$H$1:$H$175,"ALT")</f>
        <v>0</v>
      </c>
      <c r="G93" s="108">
        <f>SUMIFS(Allocation!$X$1:$X$175,Allocation!$C$1:$C$175,"2026",Allocation!$D$1:$D$175,"TUNON_LYO",Allocation!$F$1:$F$175,"BAC_TOU",Allocation!$G$1:$G$175,"B2",Allocation!$H$1:$H$175,"ALT")</f>
        <v>0</v>
      </c>
      <c r="H93" s="108">
        <f>SUMIFS(Allocation!$Y$1:$Y$175,Allocation!$C$1:$C$175,"2026",Allocation!$D$1:$D$175,"TUNON_LYO",Allocation!$F$1:$F$175,"BAC_TOU",Allocation!$G$1:$G$175,"B2",Allocation!$H$1:$H$175,"ALT")</f>
        <v>0</v>
      </c>
      <c r="I93" s="108">
        <f>SUMIFS(Allocation!$AC$1:$AC$175,Allocation!$C$1:$C$175,"2026",Allocation!$D$1:$D$175,"TUNON_LYO",Allocation!$F$1:$F$175,"BAC_TOU",Allocation!$G$1:$G$175,"B2",Allocation!$H$1:$H$175,"ALT")</f>
        <v>0</v>
      </c>
      <c r="J93" s="108">
        <f>SUMIFS(Allocation!$Z$1:$Z$175,Allocation!$C$1:$C$175,"2026",Allocation!$D$1:$D$175,"TUNON_LYO",Allocation!$F$1:$F$175,"BAC_TOU",Allocation!$G$1:$G$175,"B2",Allocation!$H$1:$H$175,"ALT")</f>
        <v>0</v>
      </c>
      <c r="K93" s="149">
        <f t="shared" si="4"/>
        <v>0</v>
      </c>
      <c r="L93" s="157">
        <f>SUMIFS(Allocation!$AA$1:$AA$175,Allocation!$C$1:$C$175,"2026",Allocation!$D$1:$D$175,"TUNON_LYO",Allocation!$F$1:$F$175,"BAC_TOU",Allocation!$G$1:$G$175,"B2",Allocation!$H$1:$H$175,"ALT")</f>
        <v>0</v>
      </c>
      <c r="M93" s="110">
        <f t="shared" si="5"/>
        <v>0</v>
      </c>
    </row>
    <row r="94" outlineLevel="2">
      <c r="B94" s="50" t="s">
        <v>181</v>
      </c>
      <c r="C94" s="109">
        <f>SUMIFS(Allocation!$I$1:$I$175,Allocation!$C$1:$C$175,"2026",Allocation!$D$1:$D$175,"TUNON_LYO",Allocation!$F$1:$F$175,"BAC_TOU",Allocation!$G$1:$G$175,"B3",Allocation!$H$1:$H$175,"ALT")</f>
        <v>0</v>
      </c>
      <c r="D94" s="108">
        <f>SUMIFS(Allocation!$K$1:$K$175,Allocation!$C$1:$C$175,"2026",Allocation!$D$1:$D$175,"TUNON_LYO",Allocation!$F$1:$F$175,"BAC_TOU",Allocation!$G$1:$G$175,"B3",Allocation!$H$1:$H$175,"ALT")</f>
        <v>0</v>
      </c>
      <c r="E94" s="108">
        <f>SUMIFS(Allocation!$V$1:$V$175,Allocation!$C$1:$C$175,"2026",Allocation!$D$1:$D$175,"TUNON_LYO",Allocation!$F$1:$F$175,"BAC_TOU",Allocation!$G$1:$G$175,"B3",Allocation!$H$1:$H$175,"ALT")</f>
        <v>0</v>
      </c>
      <c r="F94" s="108">
        <f>SUMIFS(Allocation!$W$1:$W$175,Allocation!$C$1:$C$175,"2026",Allocation!$D$1:$D$175,"TUNON_LYO",Allocation!$F$1:$F$175,"BAC_TOU",Allocation!$G$1:$G$175,"B3",Allocation!$H$1:$H$175,"ALT")</f>
        <v>0</v>
      </c>
      <c r="G94" s="108">
        <f>SUMIFS(Allocation!$X$1:$X$175,Allocation!$C$1:$C$175,"2026",Allocation!$D$1:$D$175,"TUNON_LYO",Allocation!$F$1:$F$175,"BAC_TOU",Allocation!$G$1:$G$175,"B3",Allocation!$H$1:$H$175,"ALT")</f>
        <v>0</v>
      </c>
      <c r="H94" s="108">
        <f>SUMIFS(Allocation!$Y$1:$Y$175,Allocation!$C$1:$C$175,"2026",Allocation!$D$1:$D$175,"TUNON_LYO",Allocation!$F$1:$F$175,"BAC_TOU",Allocation!$G$1:$G$175,"B3",Allocation!$H$1:$H$175,"ALT")</f>
        <v>0</v>
      </c>
      <c r="I94" s="108">
        <f>SUMIFS(Allocation!$AC$1:$AC$175,Allocation!$C$1:$C$175,"2026",Allocation!$D$1:$D$175,"TUNON_LYO",Allocation!$F$1:$F$175,"BAC_TOU",Allocation!$G$1:$G$175,"B3",Allocation!$H$1:$H$175,"ALT")</f>
        <v>0</v>
      </c>
      <c r="J94" s="108">
        <f>SUMIFS(Allocation!$Z$1:$Z$175,Allocation!$C$1:$C$175,"2026",Allocation!$D$1:$D$175,"TUNON_LYO",Allocation!$F$1:$F$175,"BAC_TOU",Allocation!$G$1:$G$175,"B3",Allocation!$H$1:$H$175,"ALT")</f>
        <v>0</v>
      </c>
      <c r="K94" s="149">
        <f t="shared" si="4"/>
        <v>0</v>
      </c>
      <c r="L94" s="157">
        <f>SUMIFS(Allocation!$AA$1:$AA$175,Allocation!$C$1:$C$175,"2026",Allocation!$D$1:$D$175,"TUNON_LYO",Allocation!$F$1:$F$175,"BAC_TOU",Allocation!$G$1:$G$175,"B3",Allocation!$H$1:$H$175,"ALT")</f>
        <v>0</v>
      </c>
      <c r="M94" s="110">
        <f t="shared" si="5"/>
        <v>0</v>
      </c>
    </row>
    <row r="95" spans="2:13" x14ac:dyDescent="0.45">
      <c r="B95" s="55" t="s">
        <v>183</v>
      </c>
      <c r="C95" s="148">
        <f>SUMIFS(Allocation!$I$1:$I$175,Allocation!$C$1:$C$175,"2026")</f>
        <v>0</v>
      </c>
      <c r="D95" s="149">
        <f>SUMIFS(Allocation!$K$1:$K$175,Allocation!$C$1:$C$175,"2026")</f>
        <v>0</v>
      </c>
      <c r="E95" s="149">
        <f>SUMIFS(Allocation!$V$1:$V$175,Allocation!$C$1:$C$175,"2026")</f>
        <v>0</v>
      </c>
      <c r="F95" s="149">
        <f>SUMIFS(Allocation!$W$1:$W$175,Allocation!$C$1:$C$175,"2026")</f>
        <v>0</v>
      </c>
      <c r="G95" s="149">
        <f>SUMIFS(Allocation!$X$1:$X$175,Allocation!$C$1:$C$175,"2026")</f>
        <v>0</v>
      </c>
      <c r="H95" s="149">
        <f>SUMIFS(Allocation!$Y$1:$Y$175,Allocation!$C$1:$C$175,"2026")</f>
        <v>0</v>
      </c>
      <c r="I95" s="149">
        <f>SUMIFS(Allocation!$AC$1:$AC$175,Allocation!$C$1:$C$175,"2026")</f>
        <v>0</v>
      </c>
      <c r="J95" s="149">
        <f>SUMIFS(Allocation!$Z$1:$Z$175,Allocation!$C$1:$C$175,"2026")</f>
        <v>0</v>
      </c>
      <c r="K95" s="149">
        <f t="shared" si="4"/>
        <v>0</v>
      </c>
      <c r="L95" s="149">
        <f>SUMIFS(Allocation!$AA$1:$AA$175,Allocation!$C$1:$C$175,"2026")</f>
        <v>0</v>
      </c>
      <c r="M95" s="150">
        <f t="shared" si="5"/>
        <v>0</v>
      </c>
    </row>
  </sheetData>
  <conditionalFormatting sqref="M18:M95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dataValidations count="1">
    <dataValidation type="list" sqref="C6:C9" xr:uid="{643C8AEF-C9CB-41E8-8D41-FA7157143D7E}">
      <formula1>"Chiffre d'affaires,Effectif,Nombre de classes"</formula1>
    </dataValidation>
  </dataValidations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175"/>
  <sheetViews>
    <sheetView workbookViewId="0">
      <selection activeCell="A2" sqref="A2"/>
    </sheetView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1" t="s">
        <v>38</v>
      </c>
      <c r="M1" s="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  <c r="V1" s="1" t="s">
        <v>48</v>
      </c>
      <c r="W1" s="1" t="s">
        <v>49</v>
      </c>
      <c r="X1" s="1" t="s">
        <v>50</v>
      </c>
      <c r="Y1" s="1" t="s">
        <v>51</v>
      </c>
      <c r="Z1" s="1" t="s">
        <v>52</v>
      </c>
      <c r="AA1" s="1" t="s">
        <v>53</v>
      </c>
      <c r="AB1" s="1" t="s">
        <v>54</v>
      </c>
      <c r="AC1" s="1" t="s">
        <v>55</v>
      </c>
    </row>
    <row r="2" spans="1:29" x14ac:dyDescent="0.45">
      <c r="A2" t="s">
        <v>217</v>
      </c>
      <c r="B2" t="s">
        <v>218</v>
      </c>
      <c r="C2" t="s">
        <v>193</v>
      </c>
      <c r="D2" t="s">
        <v>219</v>
      </c>
      <c r="E2" t="s">
        <v>220</v>
      </c>
      <c r="F2" t="s">
        <v>221</v>
      </c>
      <c r="G2" t="s">
        <v>107</v>
      </c>
      <c r="H2">
        <v>646</v>
      </c>
      <c r="I2">
        <v>181</v>
      </c>
      <c r="J2">
        <v>130</v>
      </c>
      <c r="K2">
        <v>78</v>
      </c>
      <c r="L2">
        <v>0</v>
      </c>
      <c r="M2">
        <v>78</v>
      </c>
      <c r="N2">
        <v>0</v>
      </c>
      <c r="O2">
        <v>3</v>
      </c>
      <c r="P2">
        <v>8400</v>
      </c>
      <c r="Q2">
        <v>90</v>
      </c>
      <c r="R2">
        <v>232</v>
      </c>
      <c r="S2">
        <v>414</v>
      </c>
      <c r="T2">
        <v>22326</v>
      </c>
      <c r="U2">
        <v>21185</v>
      </c>
      <c r="V2">
        <v>0</v>
      </c>
      <c r="W2">
        <v>0.28018575899999998</v>
      </c>
      <c r="X2">
        <v>0.71823204399999996</v>
      </c>
      <c r="Y2">
        <v>0.6</v>
      </c>
      <c r="Z2">
        <v>646</v>
      </c>
      <c r="AA2">
        <v>0.359133127</v>
      </c>
      <c r="AB2">
        <v>53.927536232000001</v>
      </c>
      <c r="AC2">
        <v>662220</v>
      </c>
    </row>
    <row r="3" spans="1:29" x14ac:dyDescent="0.45">
      <c r="A3" t="s">
        <v>217</v>
      </c>
      <c r="B3" t="s">
        <v>218</v>
      </c>
      <c r="C3" t="s">
        <v>193</v>
      </c>
      <c r="D3" t="s">
        <v>219</v>
      </c>
      <c r="E3" t="s">
        <v>222</v>
      </c>
      <c r="F3" t="s">
        <v>223</v>
      </c>
      <c r="G3" t="s">
        <v>107</v>
      </c>
      <c r="H3">
        <v>0</v>
      </c>
      <c r="I3">
        <v>0</v>
      </c>
      <c r="J3">
        <v>0</v>
      </c>
      <c r="K3">
        <v>0</v>
      </c>
      <c r="L3">
        <v>76</v>
      </c>
      <c r="M3">
        <v>76</v>
      </c>
      <c r="N3">
        <v>78</v>
      </c>
      <c r="O3">
        <v>3</v>
      </c>
      <c r="P3">
        <v>7840</v>
      </c>
      <c r="Q3">
        <v>90</v>
      </c>
      <c r="R3">
        <v>0</v>
      </c>
      <c r="S3">
        <v>0</v>
      </c>
      <c r="T3">
        <v>0</v>
      </c>
      <c r="U3">
        <v>0</v>
      </c>
      <c r="V3">
        <v>0.97435897400000004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595840</v>
      </c>
    </row>
    <row r="4" spans="1:29" x14ac:dyDescent="0.45">
      <c r="A4" t="s">
        <v>217</v>
      </c>
      <c r="B4" t="s">
        <v>218</v>
      </c>
      <c r="C4" t="s">
        <v>193</v>
      </c>
      <c r="D4" t="s">
        <v>219</v>
      </c>
      <c r="E4" t="s">
        <v>224</v>
      </c>
      <c r="F4" t="s">
        <v>223</v>
      </c>
      <c r="G4" t="s">
        <v>107</v>
      </c>
      <c r="H4">
        <v>0</v>
      </c>
      <c r="I4">
        <v>0</v>
      </c>
      <c r="J4">
        <v>0</v>
      </c>
      <c r="K4">
        <v>0</v>
      </c>
      <c r="L4">
        <v>74</v>
      </c>
      <c r="M4">
        <v>74</v>
      </c>
      <c r="N4">
        <v>76</v>
      </c>
      <c r="O4">
        <v>3</v>
      </c>
      <c r="P4">
        <v>7840</v>
      </c>
      <c r="Q4">
        <v>90</v>
      </c>
      <c r="R4">
        <v>0</v>
      </c>
      <c r="S4">
        <v>0</v>
      </c>
      <c r="T4">
        <v>0</v>
      </c>
      <c r="U4">
        <v>0</v>
      </c>
      <c r="V4">
        <v>0.97368421100000002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580160</v>
      </c>
    </row>
    <row r="5" spans="1:29" x14ac:dyDescent="0.45">
      <c r="A5" t="s">
        <v>217</v>
      </c>
      <c r="B5" t="s">
        <v>218</v>
      </c>
      <c r="C5" t="s">
        <v>193</v>
      </c>
      <c r="D5" t="s">
        <v>225</v>
      </c>
      <c r="E5" t="s">
        <v>226</v>
      </c>
      <c r="F5" t="s">
        <v>223</v>
      </c>
      <c r="G5" t="s">
        <v>107</v>
      </c>
      <c r="H5">
        <v>1330</v>
      </c>
      <c r="I5">
        <v>266</v>
      </c>
      <c r="J5">
        <v>186</v>
      </c>
      <c r="K5">
        <v>78</v>
      </c>
      <c r="L5">
        <v>0</v>
      </c>
      <c r="M5">
        <v>78</v>
      </c>
      <c r="N5">
        <v>0</v>
      </c>
      <c r="O5">
        <v>3</v>
      </c>
      <c r="P5">
        <v>8400</v>
      </c>
      <c r="Q5">
        <v>90</v>
      </c>
      <c r="R5">
        <v>479</v>
      </c>
      <c r="S5">
        <v>851</v>
      </c>
      <c r="T5">
        <v>45965</v>
      </c>
      <c r="U5">
        <v>43615</v>
      </c>
      <c r="V5">
        <v>0</v>
      </c>
      <c r="W5">
        <v>0.2</v>
      </c>
      <c r="X5">
        <v>0.69924812000000003</v>
      </c>
      <c r="Y5">
        <v>0.41935483899999998</v>
      </c>
      <c r="Z5">
        <v>1330</v>
      </c>
      <c r="AA5">
        <v>0.36015037599999999</v>
      </c>
      <c r="AB5">
        <v>54.012925969000001</v>
      </c>
      <c r="AC5">
        <v>662220</v>
      </c>
    </row>
    <row r="6" spans="1:29" x14ac:dyDescent="0.45">
      <c r="A6" t="s">
        <v>217</v>
      </c>
      <c r="B6" t="s">
        <v>218</v>
      </c>
      <c r="C6" t="s">
        <v>193</v>
      </c>
      <c r="D6" t="s">
        <v>225</v>
      </c>
      <c r="E6" t="s">
        <v>227</v>
      </c>
      <c r="F6" t="s">
        <v>223</v>
      </c>
      <c r="G6" t="s">
        <v>107</v>
      </c>
      <c r="H6">
        <v>0</v>
      </c>
      <c r="I6">
        <v>0</v>
      </c>
      <c r="J6">
        <v>0</v>
      </c>
      <c r="K6">
        <v>0</v>
      </c>
      <c r="L6">
        <v>76</v>
      </c>
      <c r="M6">
        <v>76</v>
      </c>
      <c r="N6">
        <v>78</v>
      </c>
      <c r="O6">
        <v>3</v>
      </c>
      <c r="P6">
        <v>8400</v>
      </c>
      <c r="Q6">
        <v>90</v>
      </c>
      <c r="R6">
        <v>0</v>
      </c>
      <c r="S6">
        <v>0</v>
      </c>
      <c r="T6">
        <v>0</v>
      </c>
      <c r="U6">
        <v>0</v>
      </c>
      <c r="V6">
        <v>0.97435897400000004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638400</v>
      </c>
    </row>
    <row r="7" spans="1:29" x14ac:dyDescent="0.45">
      <c r="A7" t="s">
        <v>217</v>
      </c>
      <c r="B7" t="s">
        <v>218</v>
      </c>
      <c r="C7" t="s">
        <v>194</v>
      </c>
      <c r="D7" t="s">
        <v>219</v>
      </c>
      <c r="E7" t="s">
        <v>220</v>
      </c>
      <c r="F7" t="s">
        <v>221</v>
      </c>
      <c r="G7" t="s">
        <v>107</v>
      </c>
      <c r="H7">
        <v>546</v>
      </c>
      <c r="I7">
        <v>153</v>
      </c>
      <c r="J7">
        <v>110</v>
      </c>
      <c r="K7">
        <v>66</v>
      </c>
      <c r="L7">
        <v>0</v>
      </c>
      <c r="M7">
        <v>66</v>
      </c>
      <c r="N7">
        <v>0</v>
      </c>
      <c r="O7">
        <v>3</v>
      </c>
      <c r="P7">
        <v>7875</v>
      </c>
      <c r="Q7">
        <v>90</v>
      </c>
      <c r="R7">
        <v>235</v>
      </c>
      <c r="S7">
        <v>311</v>
      </c>
      <c r="T7">
        <v>13694</v>
      </c>
      <c r="U7">
        <v>21386</v>
      </c>
      <c r="V7">
        <v>0</v>
      </c>
      <c r="W7">
        <v>0.28021977999999997</v>
      </c>
      <c r="X7">
        <v>0.71895424799999996</v>
      </c>
      <c r="Y7">
        <v>0.6</v>
      </c>
      <c r="Z7">
        <v>546</v>
      </c>
      <c r="AA7">
        <v>0.43040293000000002</v>
      </c>
      <c r="AB7">
        <v>44.032154341000002</v>
      </c>
      <c r="AC7">
        <v>525690</v>
      </c>
    </row>
    <row r="8" spans="1:29" x14ac:dyDescent="0.45">
      <c r="A8" t="s">
        <v>217</v>
      </c>
      <c r="B8" t="s">
        <v>218</v>
      </c>
      <c r="C8" t="s">
        <v>194</v>
      </c>
      <c r="D8" t="s">
        <v>219</v>
      </c>
      <c r="E8" t="s">
        <v>222</v>
      </c>
      <c r="F8" t="s">
        <v>223</v>
      </c>
      <c r="G8" t="s">
        <v>107</v>
      </c>
      <c r="H8">
        <v>0</v>
      </c>
      <c r="I8">
        <v>0</v>
      </c>
      <c r="J8">
        <v>0</v>
      </c>
      <c r="K8">
        <v>0</v>
      </c>
      <c r="L8">
        <v>64</v>
      </c>
      <c r="M8">
        <v>64</v>
      </c>
      <c r="N8">
        <v>66</v>
      </c>
      <c r="O8">
        <v>2</v>
      </c>
      <c r="P8">
        <v>7350</v>
      </c>
      <c r="Q8">
        <v>90</v>
      </c>
      <c r="R8">
        <v>0</v>
      </c>
      <c r="S8">
        <v>0</v>
      </c>
      <c r="T8">
        <v>0</v>
      </c>
      <c r="U8">
        <v>0</v>
      </c>
      <c r="V8">
        <v>0.96969696999999999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470400</v>
      </c>
    </row>
    <row r="9" spans="1:29" x14ac:dyDescent="0.45">
      <c r="A9" t="s">
        <v>217</v>
      </c>
      <c r="B9" t="s">
        <v>218</v>
      </c>
      <c r="C9" t="s">
        <v>194</v>
      </c>
      <c r="D9" t="s">
        <v>219</v>
      </c>
      <c r="E9" t="s">
        <v>224</v>
      </c>
      <c r="F9" t="s">
        <v>223</v>
      </c>
      <c r="G9" t="s">
        <v>107</v>
      </c>
      <c r="H9">
        <v>0</v>
      </c>
      <c r="I9">
        <v>0</v>
      </c>
      <c r="J9">
        <v>0</v>
      </c>
      <c r="K9">
        <v>0</v>
      </c>
      <c r="L9">
        <v>63</v>
      </c>
      <c r="M9">
        <v>63</v>
      </c>
      <c r="N9">
        <v>64</v>
      </c>
      <c r="O9">
        <v>2</v>
      </c>
      <c r="P9">
        <v>7350</v>
      </c>
      <c r="Q9">
        <v>90</v>
      </c>
      <c r="R9">
        <v>0</v>
      </c>
      <c r="S9">
        <v>0</v>
      </c>
      <c r="T9">
        <v>0</v>
      </c>
      <c r="U9">
        <v>0</v>
      </c>
      <c r="V9">
        <v>0.984375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463050</v>
      </c>
    </row>
    <row r="10" spans="1:29" x14ac:dyDescent="0.45">
      <c r="A10" t="s">
        <v>217</v>
      </c>
      <c r="B10" t="s">
        <v>218</v>
      </c>
      <c r="C10" t="s">
        <v>194</v>
      </c>
      <c r="D10" t="s">
        <v>225</v>
      </c>
      <c r="E10" t="s">
        <v>226</v>
      </c>
      <c r="F10" t="s">
        <v>223</v>
      </c>
      <c r="G10" t="s">
        <v>107</v>
      </c>
      <c r="H10">
        <v>1120</v>
      </c>
      <c r="I10">
        <v>224</v>
      </c>
      <c r="J10">
        <v>157</v>
      </c>
      <c r="K10">
        <v>66</v>
      </c>
      <c r="L10">
        <v>0</v>
      </c>
      <c r="M10">
        <v>66</v>
      </c>
      <c r="N10">
        <v>0</v>
      </c>
      <c r="O10">
        <v>3</v>
      </c>
      <c r="P10">
        <v>7875</v>
      </c>
      <c r="Q10">
        <v>90</v>
      </c>
      <c r="R10">
        <v>481</v>
      </c>
      <c r="S10">
        <v>639</v>
      </c>
      <c r="T10">
        <v>28089</v>
      </c>
      <c r="U10">
        <v>43869</v>
      </c>
      <c r="V10">
        <v>0</v>
      </c>
      <c r="W10">
        <v>0.2</v>
      </c>
      <c r="X10">
        <v>0.70089285700000004</v>
      </c>
      <c r="Y10">
        <v>0.420382166</v>
      </c>
      <c r="Z10">
        <v>1120</v>
      </c>
      <c r="AA10">
        <v>0.42946428599999997</v>
      </c>
      <c r="AB10">
        <v>43.957746479000001</v>
      </c>
      <c r="AC10">
        <v>525690</v>
      </c>
    </row>
    <row r="11" spans="1:29" x14ac:dyDescent="0.45">
      <c r="A11" t="s">
        <v>217</v>
      </c>
      <c r="B11" t="s">
        <v>218</v>
      </c>
      <c r="C11" t="s">
        <v>194</v>
      </c>
      <c r="D11" t="s">
        <v>225</v>
      </c>
      <c r="E11" t="s">
        <v>227</v>
      </c>
      <c r="F11" t="s">
        <v>223</v>
      </c>
      <c r="G11" t="s">
        <v>107</v>
      </c>
      <c r="H11">
        <v>0</v>
      </c>
      <c r="I11">
        <v>0</v>
      </c>
      <c r="J11">
        <v>0</v>
      </c>
      <c r="K11">
        <v>0</v>
      </c>
      <c r="L11">
        <v>65</v>
      </c>
      <c r="M11">
        <v>65</v>
      </c>
      <c r="N11">
        <v>66</v>
      </c>
      <c r="O11">
        <v>3</v>
      </c>
      <c r="P11">
        <v>7875</v>
      </c>
      <c r="Q11">
        <v>90</v>
      </c>
      <c r="R11">
        <v>0</v>
      </c>
      <c r="S11">
        <v>0</v>
      </c>
      <c r="T11">
        <v>0</v>
      </c>
      <c r="U11">
        <v>0</v>
      </c>
      <c r="V11">
        <v>0.984848485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511875</v>
      </c>
    </row>
    <row r="12" spans="1:29" x14ac:dyDescent="0.45">
      <c r="A12" t="s">
        <v>217</v>
      </c>
      <c r="B12" t="s">
        <v>218</v>
      </c>
      <c r="C12" t="s">
        <v>195</v>
      </c>
      <c r="D12" t="s">
        <v>219</v>
      </c>
      <c r="E12" t="s">
        <v>220</v>
      </c>
      <c r="F12" t="s">
        <v>221</v>
      </c>
      <c r="G12" t="s">
        <v>107</v>
      </c>
      <c r="H12">
        <v>496</v>
      </c>
      <c r="I12">
        <v>139</v>
      </c>
      <c r="J12">
        <v>100</v>
      </c>
      <c r="K12">
        <v>60</v>
      </c>
      <c r="L12">
        <v>0</v>
      </c>
      <c r="M12">
        <v>60</v>
      </c>
      <c r="N12">
        <v>0</v>
      </c>
      <c r="O12">
        <v>2</v>
      </c>
      <c r="P12">
        <v>7500</v>
      </c>
      <c r="Q12">
        <v>90</v>
      </c>
      <c r="R12">
        <v>238</v>
      </c>
      <c r="S12">
        <v>258</v>
      </c>
      <c r="T12">
        <v>10317</v>
      </c>
      <c r="U12">
        <v>21708</v>
      </c>
      <c r="V12">
        <v>0</v>
      </c>
      <c r="W12">
        <v>0.280241935</v>
      </c>
      <c r="X12">
        <v>0.71942446000000004</v>
      </c>
      <c r="Y12">
        <v>0.6</v>
      </c>
      <c r="Z12">
        <v>496</v>
      </c>
      <c r="AA12">
        <v>0.47983871</v>
      </c>
      <c r="AB12">
        <v>39.988372093000002</v>
      </c>
      <c r="AC12">
        <v>455400</v>
      </c>
    </row>
    <row r="13" spans="1:29" x14ac:dyDescent="0.45">
      <c r="A13" t="s">
        <v>217</v>
      </c>
      <c r="B13" t="s">
        <v>218</v>
      </c>
      <c r="C13" t="s">
        <v>195</v>
      </c>
      <c r="D13" t="s">
        <v>219</v>
      </c>
      <c r="E13" t="s">
        <v>222</v>
      </c>
      <c r="F13" t="s">
        <v>223</v>
      </c>
      <c r="G13" t="s">
        <v>107</v>
      </c>
      <c r="H13">
        <v>0</v>
      </c>
      <c r="I13">
        <v>0</v>
      </c>
      <c r="J13">
        <v>0</v>
      </c>
      <c r="K13">
        <v>0</v>
      </c>
      <c r="L13">
        <v>58</v>
      </c>
      <c r="M13">
        <v>58</v>
      </c>
      <c r="N13">
        <v>60</v>
      </c>
      <c r="O13">
        <v>2</v>
      </c>
      <c r="P13">
        <v>7000</v>
      </c>
      <c r="Q13">
        <v>90</v>
      </c>
      <c r="R13">
        <v>0</v>
      </c>
      <c r="S13">
        <v>0</v>
      </c>
      <c r="T13">
        <v>0</v>
      </c>
      <c r="U13">
        <v>0</v>
      </c>
      <c r="V13">
        <v>0.96666666700000003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406000</v>
      </c>
    </row>
    <row r="14" spans="1:29" x14ac:dyDescent="0.45">
      <c r="A14" t="s">
        <v>217</v>
      </c>
      <c r="B14" t="s">
        <v>218</v>
      </c>
      <c r="C14" t="s">
        <v>195</v>
      </c>
      <c r="D14" t="s">
        <v>219</v>
      </c>
      <c r="E14" t="s">
        <v>224</v>
      </c>
      <c r="F14" t="s">
        <v>223</v>
      </c>
      <c r="G14" t="s">
        <v>107</v>
      </c>
      <c r="H14">
        <v>0</v>
      </c>
      <c r="I14">
        <v>0</v>
      </c>
      <c r="J14">
        <v>0</v>
      </c>
      <c r="K14">
        <v>0</v>
      </c>
      <c r="L14">
        <v>57</v>
      </c>
      <c r="M14">
        <v>57</v>
      </c>
      <c r="N14">
        <v>58</v>
      </c>
      <c r="O14">
        <v>2</v>
      </c>
      <c r="P14">
        <v>7000</v>
      </c>
      <c r="Q14">
        <v>90</v>
      </c>
      <c r="R14">
        <v>0</v>
      </c>
      <c r="S14">
        <v>0</v>
      </c>
      <c r="T14">
        <v>0</v>
      </c>
      <c r="U14">
        <v>0</v>
      </c>
      <c r="V14">
        <v>0.982758621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399000</v>
      </c>
    </row>
    <row r="15" spans="1:29" x14ac:dyDescent="0.45">
      <c r="A15" t="s">
        <v>217</v>
      </c>
      <c r="B15" t="s">
        <v>218</v>
      </c>
      <c r="C15" t="s">
        <v>195</v>
      </c>
      <c r="D15" t="s">
        <v>225</v>
      </c>
      <c r="E15" t="s">
        <v>226</v>
      </c>
      <c r="F15" t="s">
        <v>223</v>
      </c>
      <c r="G15" t="s">
        <v>107</v>
      </c>
      <c r="H15">
        <v>1020</v>
      </c>
      <c r="I15">
        <v>204</v>
      </c>
      <c r="J15">
        <v>143</v>
      </c>
      <c r="K15">
        <v>60</v>
      </c>
      <c r="L15">
        <v>0</v>
      </c>
      <c r="M15">
        <v>60</v>
      </c>
      <c r="N15">
        <v>0</v>
      </c>
      <c r="O15">
        <v>3</v>
      </c>
      <c r="P15">
        <v>7500</v>
      </c>
      <c r="Q15">
        <v>90</v>
      </c>
      <c r="R15">
        <v>490</v>
      </c>
      <c r="S15">
        <v>530</v>
      </c>
      <c r="T15">
        <v>21216</v>
      </c>
      <c r="U15">
        <v>44641</v>
      </c>
      <c r="V15">
        <v>0</v>
      </c>
      <c r="W15">
        <v>0.2</v>
      </c>
      <c r="X15">
        <v>0.70098039199999995</v>
      </c>
      <c r="Y15">
        <v>0.41958042000000001</v>
      </c>
      <c r="Z15">
        <v>1020</v>
      </c>
      <c r="AA15">
        <v>0.48039215699999999</v>
      </c>
      <c r="AB15">
        <v>40.030188678999998</v>
      </c>
      <c r="AC15">
        <v>455400</v>
      </c>
    </row>
    <row r="16" spans="1:29" x14ac:dyDescent="0.45">
      <c r="A16" t="s">
        <v>217</v>
      </c>
      <c r="B16" t="s">
        <v>218</v>
      </c>
      <c r="C16" t="s">
        <v>195</v>
      </c>
      <c r="D16" t="s">
        <v>225</v>
      </c>
      <c r="E16" t="s">
        <v>227</v>
      </c>
      <c r="F16" t="s">
        <v>223</v>
      </c>
      <c r="G16" t="s">
        <v>107</v>
      </c>
      <c r="H16">
        <v>0</v>
      </c>
      <c r="I16">
        <v>0</v>
      </c>
      <c r="J16">
        <v>0</v>
      </c>
      <c r="K16">
        <v>0</v>
      </c>
      <c r="L16">
        <v>59</v>
      </c>
      <c r="M16">
        <v>59</v>
      </c>
      <c r="N16">
        <v>60</v>
      </c>
      <c r="O16">
        <v>3</v>
      </c>
      <c r="P16">
        <v>7500</v>
      </c>
      <c r="Q16">
        <v>90</v>
      </c>
      <c r="R16">
        <v>0</v>
      </c>
      <c r="S16">
        <v>0</v>
      </c>
      <c r="T16">
        <v>0</v>
      </c>
      <c r="U16">
        <v>0</v>
      </c>
      <c r="V16">
        <v>0.98333333300000003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442500</v>
      </c>
    </row>
    <row r="17" spans="1:29" x14ac:dyDescent="0.45">
      <c r="A17" t="s">
        <v>217</v>
      </c>
      <c r="B17" t="s">
        <v>218</v>
      </c>
      <c r="C17" t="s">
        <v>196</v>
      </c>
      <c r="D17" t="s">
        <v>219</v>
      </c>
      <c r="E17" t="s">
        <v>220</v>
      </c>
      <c r="F17" t="s">
        <v>221</v>
      </c>
      <c r="G17" t="s">
        <v>107</v>
      </c>
      <c r="H17">
        <v>421</v>
      </c>
      <c r="I17">
        <v>118</v>
      </c>
      <c r="J17">
        <v>85</v>
      </c>
      <c r="K17">
        <v>51</v>
      </c>
      <c r="L17">
        <v>0</v>
      </c>
      <c r="M17">
        <v>51</v>
      </c>
      <c r="N17">
        <v>0</v>
      </c>
      <c r="O17">
        <v>2</v>
      </c>
      <c r="P17">
        <v>7275</v>
      </c>
      <c r="Q17">
        <v>90</v>
      </c>
      <c r="R17">
        <v>206</v>
      </c>
      <c r="S17">
        <v>215</v>
      </c>
      <c r="T17">
        <v>8159</v>
      </c>
      <c r="U17">
        <v>18797</v>
      </c>
      <c r="V17">
        <v>0</v>
      </c>
      <c r="W17">
        <v>0.28028503599999999</v>
      </c>
      <c r="X17">
        <v>0.72033898299999999</v>
      </c>
      <c r="Y17">
        <v>0.6</v>
      </c>
      <c r="Z17">
        <v>421</v>
      </c>
      <c r="AA17">
        <v>0.48931116400000002</v>
      </c>
      <c r="AB17">
        <v>37.948837208999997</v>
      </c>
      <c r="AC17">
        <v>375615</v>
      </c>
    </row>
    <row r="18" spans="1:29" x14ac:dyDescent="0.45">
      <c r="A18" t="s">
        <v>217</v>
      </c>
      <c r="B18" t="s">
        <v>218</v>
      </c>
      <c r="C18" t="s">
        <v>196</v>
      </c>
      <c r="D18" t="s">
        <v>219</v>
      </c>
      <c r="E18" t="s">
        <v>222</v>
      </c>
      <c r="F18" t="s">
        <v>223</v>
      </c>
      <c r="G18" t="s">
        <v>107</v>
      </c>
      <c r="H18">
        <v>0</v>
      </c>
      <c r="I18">
        <v>0</v>
      </c>
      <c r="J18">
        <v>0</v>
      </c>
      <c r="K18">
        <v>0</v>
      </c>
      <c r="L18">
        <v>49</v>
      </c>
      <c r="M18">
        <v>49</v>
      </c>
      <c r="N18">
        <v>51</v>
      </c>
      <c r="O18">
        <v>2</v>
      </c>
      <c r="P18">
        <v>6790</v>
      </c>
      <c r="Q18">
        <v>90</v>
      </c>
      <c r="R18">
        <v>0</v>
      </c>
      <c r="S18">
        <v>0</v>
      </c>
      <c r="T18">
        <v>0</v>
      </c>
      <c r="U18">
        <v>0</v>
      </c>
      <c r="V18">
        <v>0.96078431399999997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332710</v>
      </c>
    </row>
    <row r="19" spans="1:29" x14ac:dyDescent="0.45">
      <c r="A19" t="s">
        <v>217</v>
      </c>
      <c r="B19" t="s">
        <v>218</v>
      </c>
      <c r="C19" t="s">
        <v>196</v>
      </c>
      <c r="D19" t="s">
        <v>219</v>
      </c>
      <c r="E19" t="s">
        <v>224</v>
      </c>
      <c r="F19" t="s">
        <v>223</v>
      </c>
      <c r="G19" t="s">
        <v>107</v>
      </c>
      <c r="H19">
        <v>0</v>
      </c>
      <c r="I19">
        <v>0</v>
      </c>
      <c r="J19">
        <v>0</v>
      </c>
      <c r="K19">
        <v>0</v>
      </c>
      <c r="L19">
        <v>48</v>
      </c>
      <c r="M19">
        <v>48</v>
      </c>
      <c r="N19">
        <v>49</v>
      </c>
      <c r="O19">
        <v>2</v>
      </c>
      <c r="P19">
        <v>6790</v>
      </c>
      <c r="Q19">
        <v>90</v>
      </c>
      <c r="R19">
        <v>0</v>
      </c>
      <c r="S19">
        <v>0</v>
      </c>
      <c r="T19">
        <v>0</v>
      </c>
      <c r="U19">
        <v>0</v>
      </c>
      <c r="V19">
        <v>0.97959183699999997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325920</v>
      </c>
    </row>
    <row r="20" spans="1:29" x14ac:dyDescent="0.45">
      <c r="A20" t="s">
        <v>217</v>
      </c>
      <c r="B20" t="s">
        <v>218</v>
      </c>
      <c r="C20" t="s">
        <v>196</v>
      </c>
      <c r="D20" t="s">
        <v>225</v>
      </c>
      <c r="E20" t="s">
        <v>226</v>
      </c>
      <c r="F20" t="s">
        <v>223</v>
      </c>
      <c r="G20" t="s">
        <v>107</v>
      </c>
      <c r="H20">
        <v>865</v>
      </c>
      <c r="I20">
        <v>173</v>
      </c>
      <c r="J20">
        <v>121</v>
      </c>
      <c r="K20">
        <v>51</v>
      </c>
      <c r="L20">
        <v>0</v>
      </c>
      <c r="M20">
        <v>51</v>
      </c>
      <c r="N20">
        <v>0</v>
      </c>
      <c r="O20">
        <v>2</v>
      </c>
      <c r="P20">
        <v>7275</v>
      </c>
      <c r="Q20">
        <v>90</v>
      </c>
      <c r="R20">
        <v>424</v>
      </c>
      <c r="S20">
        <v>441</v>
      </c>
      <c r="T20">
        <v>16764</v>
      </c>
      <c r="U20">
        <v>38621</v>
      </c>
      <c r="V20">
        <v>0</v>
      </c>
      <c r="W20">
        <v>0.2</v>
      </c>
      <c r="X20">
        <v>0.69942196499999998</v>
      </c>
      <c r="Y20">
        <v>0.42148760299999999</v>
      </c>
      <c r="Z20">
        <v>865</v>
      </c>
      <c r="AA20">
        <v>0.49017340999999998</v>
      </c>
      <c r="AB20">
        <v>38.013605441999999</v>
      </c>
      <c r="AC20">
        <v>375615</v>
      </c>
    </row>
    <row r="21" spans="1:29" x14ac:dyDescent="0.45">
      <c r="A21" t="s">
        <v>217</v>
      </c>
      <c r="B21" t="s">
        <v>218</v>
      </c>
      <c r="C21" t="s">
        <v>196</v>
      </c>
      <c r="D21" t="s">
        <v>225</v>
      </c>
      <c r="E21" t="s">
        <v>227</v>
      </c>
      <c r="F21" t="s">
        <v>223</v>
      </c>
      <c r="G21" t="s">
        <v>107</v>
      </c>
      <c r="H21">
        <v>0</v>
      </c>
      <c r="I21">
        <v>0</v>
      </c>
      <c r="J21">
        <v>0</v>
      </c>
      <c r="K21">
        <v>0</v>
      </c>
      <c r="L21">
        <v>50</v>
      </c>
      <c r="M21">
        <v>50</v>
      </c>
      <c r="N21">
        <v>51</v>
      </c>
      <c r="O21">
        <v>2</v>
      </c>
      <c r="P21">
        <v>7275</v>
      </c>
      <c r="Q21">
        <v>90</v>
      </c>
      <c r="R21">
        <v>0</v>
      </c>
      <c r="S21">
        <v>0</v>
      </c>
      <c r="T21">
        <v>0</v>
      </c>
      <c r="U21">
        <v>0</v>
      </c>
      <c r="V21">
        <v>0.98039215700000004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363750</v>
      </c>
    </row>
    <row r="22" spans="1:29" x14ac:dyDescent="0.45">
      <c r="A22" t="s">
        <v>217</v>
      </c>
      <c r="B22" t="s">
        <v>218</v>
      </c>
      <c r="C22" t="s">
        <v>197</v>
      </c>
      <c r="D22" t="s">
        <v>228</v>
      </c>
      <c r="E22" t="s">
        <v>220</v>
      </c>
      <c r="F22" t="s">
        <v>221</v>
      </c>
      <c r="G22" t="s">
        <v>107</v>
      </c>
      <c r="H22">
        <v>596</v>
      </c>
      <c r="I22">
        <v>167</v>
      </c>
      <c r="J22">
        <v>120</v>
      </c>
      <c r="K22">
        <v>72</v>
      </c>
      <c r="L22">
        <v>0</v>
      </c>
      <c r="M22">
        <v>72</v>
      </c>
      <c r="N22">
        <v>0</v>
      </c>
      <c r="O22">
        <v>3</v>
      </c>
      <c r="P22">
        <v>8400</v>
      </c>
      <c r="Q22">
        <v>90</v>
      </c>
      <c r="R22">
        <v>226</v>
      </c>
      <c r="S22">
        <v>370</v>
      </c>
      <c r="T22">
        <v>19954</v>
      </c>
      <c r="U22">
        <v>20639</v>
      </c>
      <c r="V22">
        <v>0</v>
      </c>
      <c r="W22">
        <v>0.28020134200000002</v>
      </c>
      <c r="X22">
        <v>0.71856287399999996</v>
      </c>
      <c r="Y22">
        <v>0.6</v>
      </c>
      <c r="Z22">
        <v>596</v>
      </c>
      <c r="AA22">
        <v>0.379194631</v>
      </c>
      <c r="AB22">
        <v>53.929729729999998</v>
      </c>
      <c r="AC22">
        <v>611280</v>
      </c>
    </row>
    <row r="23" spans="1:29" x14ac:dyDescent="0.45">
      <c r="A23" t="s">
        <v>217</v>
      </c>
      <c r="B23" t="s">
        <v>218</v>
      </c>
      <c r="C23" t="s">
        <v>197</v>
      </c>
      <c r="D23" t="s">
        <v>228</v>
      </c>
      <c r="E23" t="s">
        <v>222</v>
      </c>
      <c r="F23" t="s">
        <v>223</v>
      </c>
      <c r="G23" t="s">
        <v>107</v>
      </c>
      <c r="H23">
        <v>0</v>
      </c>
      <c r="I23">
        <v>0</v>
      </c>
      <c r="J23">
        <v>0</v>
      </c>
      <c r="K23">
        <v>0</v>
      </c>
      <c r="L23">
        <v>70</v>
      </c>
      <c r="M23">
        <v>70</v>
      </c>
      <c r="N23">
        <v>72</v>
      </c>
      <c r="O23">
        <v>3</v>
      </c>
      <c r="P23">
        <v>7840</v>
      </c>
      <c r="Q23">
        <v>90</v>
      </c>
      <c r="R23">
        <v>0</v>
      </c>
      <c r="S23">
        <v>0</v>
      </c>
      <c r="T23">
        <v>0</v>
      </c>
      <c r="U23">
        <v>0</v>
      </c>
      <c r="V23">
        <v>0.97222222199999997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548800</v>
      </c>
    </row>
    <row r="24" spans="1:29" x14ac:dyDescent="0.45">
      <c r="A24" t="s">
        <v>217</v>
      </c>
      <c r="B24" t="s">
        <v>218</v>
      </c>
      <c r="C24" t="s">
        <v>197</v>
      </c>
      <c r="D24" t="s">
        <v>228</v>
      </c>
      <c r="E24" t="s">
        <v>224</v>
      </c>
      <c r="F24" t="s">
        <v>223</v>
      </c>
      <c r="G24" t="s">
        <v>107</v>
      </c>
      <c r="H24">
        <v>0</v>
      </c>
      <c r="I24">
        <v>0</v>
      </c>
      <c r="J24">
        <v>0</v>
      </c>
      <c r="K24">
        <v>0</v>
      </c>
      <c r="L24">
        <v>69</v>
      </c>
      <c r="M24">
        <v>69</v>
      </c>
      <c r="N24">
        <v>70</v>
      </c>
      <c r="O24">
        <v>3</v>
      </c>
      <c r="P24">
        <v>7840</v>
      </c>
      <c r="Q24">
        <v>90</v>
      </c>
      <c r="R24">
        <v>0</v>
      </c>
      <c r="S24">
        <v>0</v>
      </c>
      <c r="T24">
        <v>0</v>
      </c>
      <c r="U24">
        <v>0</v>
      </c>
      <c r="V24">
        <v>0.985714286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540960</v>
      </c>
    </row>
    <row r="25" spans="1:29" x14ac:dyDescent="0.45">
      <c r="A25" t="s">
        <v>217</v>
      </c>
      <c r="B25" t="s">
        <v>218</v>
      </c>
      <c r="C25" t="s">
        <v>197</v>
      </c>
      <c r="D25" t="s">
        <v>229</v>
      </c>
      <c r="E25" t="s">
        <v>226</v>
      </c>
      <c r="F25" t="s">
        <v>223</v>
      </c>
      <c r="G25" t="s">
        <v>107</v>
      </c>
      <c r="H25">
        <v>1220</v>
      </c>
      <c r="I25">
        <v>244</v>
      </c>
      <c r="J25">
        <v>171</v>
      </c>
      <c r="K25">
        <v>72</v>
      </c>
      <c r="L25">
        <v>0</v>
      </c>
      <c r="M25">
        <v>72</v>
      </c>
      <c r="N25">
        <v>0</v>
      </c>
      <c r="O25">
        <v>3</v>
      </c>
      <c r="P25">
        <v>8400</v>
      </c>
      <c r="Q25">
        <v>90</v>
      </c>
      <c r="R25">
        <v>464</v>
      </c>
      <c r="S25">
        <v>756</v>
      </c>
      <c r="T25">
        <v>40846</v>
      </c>
      <c r="U25">
        <v>42247</v>
      </c>
      <c r="V25">
        <v>0</v>
      </c>
      <c r="W25">
        <v>0.2</v>
      </c>
      <c r="X25">
        <v>0.70081967199999995</v>
      </c>
      <c r="Y25">
        <v>0.42105263199999998</v>
      </c>
      <c r="Z25">
        <v>1220</v>
      </c>
      <c r="AA25">
        <v>0.38032786899999999</v>
      </c>
      <c r="AB25">
        <v>54.029100528999997</v>
      </c>
      <c r="AC25">
        <v>611280</v>
      </c>
    </row>
    <row r="26" spans="1:29" x14ac:dyDescent="0.45">
      <c r="A26" t="s">
        <v>217</v>
      </c>
      <c r="B26" t="s">
        <v>218</v>
      </c>
      <c r="C26" t="s">
        <v>197</v>
      </c>
      <c r="D26" t="s">
        <v>229</v>
      </c>
      <c r="E26" t="s">
        <v>227</v>
      </c>
      <c r="F26" t="s">
        <v>223</v>
      </c>
      <c r="G26" t="s">
        <v>107</v>
      </c>
      <c r="H26">
        <v>0</v>
      </c>
      <c r="I26">
        <v>0</v>
      </c>
      <c r="J26">
        <v>0</v>
      </c>
      <c r="K26">
        <v>0</v>
      </c>
      <c r="L26">
        <v>71</v>
      </c>
      <c r="M26">
        <v>71</v>
      </c>
      <c r="N26">
        <v>72</v>
      </c>
      <c r="O26">
        <v>3</v>
      </c>
      <c r="P26">
        <v>8400</v>
      </c>
      <c r="Q26">
        <v>90</v>
      </c>
      <c r="R26">
        <v>0</v>
      </c>
      <c r="S26">
        <v>0</v>
      </c>
      <c r="T26">
        <v>0</v>
      </c>
      <c r="U26">
        <v>0</v>
      </c>
      <c r="V26">
        <v>0.98611111100000004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596400</v>
      </c>
    </row>
    <row r="27" spans="1:29" x14ac:dyDescent="0.45">
      <c r="A27" t="s">
        <v>217</v>
      </c>
      <c r="B27" t="s">
        <v>218</v>
      </c>
      <c r="C27" t="s">
        <v>198</v>
      </c>
      <c r="D27" t="s">
        <v>228</v>
      </c>
      <c r="E27" t="s">
        <v>220</v>
      </c>
      <c r="F27" t="s">
        <v>221</v>
      </c>
      <c r="G27" t="s">
        <v>107</v>
      </c>
      <c r="H27">
        <v>411</v>
      </c>
      <c r="I27">
        <v>115</v>
      </c>
      <c r="J27">
        <v>83</v>
      </c>
      <c r="K27">
        <v>50</v>
      </c>
      <c r="L27">
        <v>0</v>
      </c>
      <c r="M27">
        <v>50</v>
      </c>
      <c r="N27">
        <v>0</v>
      </c>
      <c r="O27">
        <v>2</v>
      </c>
      <c r="P27">
        <v>7350</v>
      </c>
      <c r="Q27">
        <v>90</v>
      </c>
      <c r="R27">
        <v>205</v>
      </c>
      <c r="S27">
        <v>205</v>
      </c>
      <c r="T27">
        <v>8220</v>
      </c>
      <c r="U27">
        <v>18714</v>
      </c>
      <c r="V27">
        <v>0</v>
      </c>
      <c r="W27">
        <v>0.27980535299999998</v>
      </c>
      <c r="X27">
        <v>0.72173913000000001</v>
      </c>
      <c r="Y27">
        <v>0.602409639</v>
      </c>
      <c r="Z27">
        <v>410</v>
      </c>
      <c r="AA27">
        <v>0.5</v>
      </c>
      <c r="AB27">
        <v>40.097560975999997</v>
      </c>
      <c r="AC27">
        <v>372000</v>
      </c>
    </row>
    <row r="28" spans="1:29" x14ac:dyDescent="0.45">
      <c r="A28" t="s">
        <v>217</v>
      </c>
      <c r="B28" t="s">
        <v>218</v>
      </c>
      <c r="C28" t="s">
        <v>198</v>
      </c>
      <c r="D28" t="s">
        <v>228</v>
      </c>
      <c r="E28" t="s">
        <v>222</v>
      </c>
      <c r="F28" t="s">
        <v>223</v>
      </c>
      <c r="G28" t="s">
        <v>107</v>
      </c>
      <c r="H28">
        <v>0</v>
      </c>
      <c r="I28">
        <v>0</v>
      </c>
      <c r="J28">
        <v>0</v>
      </c>
      <c r="K28">
        <v>0</v>
      </c>
      <c r="L28">
        <v>48</v>
      </c>
      <c r="M28">
        <v>48</v>
      </c>
      <c r="N28">
        <v>50</v>
      </c>
      <c r="O28">
        <v>2</v>
      </c>
      <c r="P28">
        <v>6860</v>
      </c>
      <c r="Q28">
        <v>90</v>
      </c>
      <c r="R28">
        <v>0</v>
      </c>
      <c r="S28">
        <v>0</v>
      </c>
      <c r="T28">
        <v>0</v>
      </c>
      <c r="U28">
        <v>0</v>
      </c>
      <c r="V28">
        <v>0.96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329280</v>
      </c>
    </row>
    <row r="29" spans="1:29" x14ac:dyDescent="0.45">
      <c r="A29" t="s">
        <v>217</v>
      </c>
      <c r="B29" t="s">
        <v>218</v>
      </c>
      <c r="C29" t="s">
        <v>198</v>
      </c>
      <c r="D29" t="s">
        <v>228</v>
      </c>
      <c r="E29" t="s">
        <v>224</v>
      </c>
      <c r="F29" t="s">
        <v>223</v>
      </c>
      <c r="G29" t="s">
        <v>107</v>
      </c>
      <c r="H29">
        <v>0</v>
      </c>
      <c r="I29">
        <v>0</v>
      </c>
      <c r="J29">
        <v>0</v>
      </c>
      <c r="K29">
        <v>0</v>
      </c>
      <c r="L29">
        <v>47</v>
      </c>
      <c r="M29">
        <v>47</v>
      </c>
      <c r="N29">
        <v>48</v>
      </c>
      <c r="O29">
        <v>2</v>
      </c>
      <c r="P29">
        <v>6860</v>
      </c>
      <c r="Q29">
        <v>90</v>
      </c>
      <c r="R29">
        <v>0</v>
      </c>
      <c r="S29">
        <v>0</v>
      </c>
      <c r="T29">
        <v>0</v>
      </c>
      <c r="U29">
        <v>0</v>
      </c>
      <c r="V29">
        <v>0.97916666699999999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322420</v>
      </c>
    </row>
    <row r="30" spans="1:29" x14ac:dyDescent="0.45">
      <c r="A30" t="s">
        <v>217</v>
      </c>
      <c r="B30" t="s">
        <v>218</v>
      </c>
      <c r="C30" t="s">
        <v>198</v>
      </c>
      <c r="D30" t="s">
        <v>229</v>
      </c>
      <c r="E30" t="s">
        <v>226</v>
      </c>
      <c r="F30" t="s">
        <v>223</v>
      </c>
      <c r="G30" t="s">
        <v>107</v>
      </c>
      <c r="H30">
        <v>850</v>
      </c>
      <c r="I30">
        <v>170</v>
      </c>
      <c r="J30">
        <v>119</v>
      </c>
      <c r="K30">
        <v>50</v>
      </c>
      <c r="L30">
        <v>0</v>
      </c>
      <c r="M30">
        <v>50</v>
      </c>
      <c r="N30">
        <v>0</v>
      </c>
      <c r="O30">
        <v>2</v>
      </c>
      <c r="P30">
        <v>7350</v>
      </c>
      <c r="Q30">
        <v>90</v>
      </c>
      <c r="R30">
        <v>425</v>
      </c>
      <c r="S30">
        <v>425</v>
      </c>
      <c r="T30">
        <v>17000</v>
      </c>
      <c r="U30">
        <v>38704</v>
      </c>
      <c r="V30">
        <v>0</v>
      </c>
      <c r="W30">
        <v>0.2</v>
      </c>
      <c r="X30">
        <v>0.7</v>
      </c>
      <c r="Y30">
        <v>0.42016806699999998</v>
      </c>
      <c r="Z30">
        <v>850</v>
      </c>
      <c r="AA30">
        <v>0.5</v>
      </c>
      <c r="AB30">
        <v>40</v>
      </c>
      <c r="AC30">
        <v>372000</v>
      </c>
    </row>
    <row r="31" spans="1:29" x14ac:dyDescent="0.45">
      <c r="A31" t="s">
        <v>217</v>
      </c>
      <c r="B31" t="s">
        <v>218</v>
      </c>
      <c r="C31" t="s">
        <v>198</v>
      </c>
      <c r="D31" t="s">
        <v>229</v>
      </c>
      <c r="E31" t="s">
        <v>227</v>
      </c>
      <c r="F31" t="s">
        <v>223</v>
      </c>
      <c r="G31" t="s">
        <v>107</v>
      </c>
      <c r="H31">
        <v>0</v>
      </c>
      <c r="I31">
        <v>0</v>
      </c>
      <c r="J31">
        <v>0</v>
      </c>
      <c r="K31">
        <v>0</v>
      </c>
      <c r="L31">
        <v>49</v>
      </c>
      <c r="M31">
        <v>49</v>
      </c>
      <c r="N31">
        <v>50</v>
      </c>
      <c r="O31">
        <v>2</v>
      </c>
      <c r="P31">
        <v>7350</v>
      </c>
      <c r="Q31">
        <v>90</v>
      </c>
      <c r="R31">
        <v>0</v>
      </c>
      <c r="S31">
        <v>0</v>
      </c>
      <c r="T31">
        <v>0</v>
      </c>
      <c r="U31">
        <v>0</v>
      </c>
      <c r="V31">
        <v>0.98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360150</v>
      </c>
    </row>
    <row r="32" spans="1:29" x14ac:dyDescent="0.45">
      <c r="A32" t="s">
        <v>217</v>
      </c>
      <c r="B32" t="s">
        <v>218</v>
      </c>
      <c r="C32" t="s">
        <v>199</v>
      </c>
      <c r="D32" t="s">
        <v>228</v>
      </c>
      <c r="E32" t="s">
        <v>220</v>
      </c>
      <c r="F32" t="s">
        <v>221</v>
      </c>
      <c r="G32" t="s">
        <v>107</v>
      </c>
      <c r="H32">
        <v>386</v>
      </c>
      <c r="I32">
        <v>108</v>
      </c>
      <c r="J32">
        <v>78</v>
      </c>
      <c r="K32">
        <v>47</v>
      </c>
      <c r="L32">
        <v>0</v>
      </c>
      <c r="M32">
        <v>47</v>
      </c>
      <c r="N32">
        <v>0</v>
      </c>
      <c r="O32">
        <v>2</v>
      </c>
      <c r="P32">
        <v>7200</v>
      </c>
      <c r="Q32">
        <v>90</v>
      </c>
      <c r="R32">
        <v>197</v>
      </c>
      <c r="S32">
        <v>189</v>
      </c>
      <c r="T32">
        <v>7187</v>
      </c>
      <c r="U32">
        <v>17946</v>
      </c>
      <c r="V32">
        <v>0</v>
      </c>
      <c r="W32">
        <v>0.27979274599999998</v>
      </c>
      <c r="X32">
        <v>0.72222222199999997</v>
      </c>
      <c r="Y32">
        <v>0.60256410299999996</v>
      </c>
      <c r="Z32">
        <v>386</v>
      </c>
      <c r="AA32">
        <v>0.51036269400000001</v>
      </c>
      <c r="AB32">
        <v>38.026455026000001</v>
      </c>
      <c r="AC32">
        <v>342630</v>
      </c>
    </row>
    <row r="33" spans="1:29" x14ac:dyDescent="0.45">
      <c r="A33" t="s">
        <v>217</v>
      </c>
      <c r="B33" t="s">
        <v>218</v>
      </c>
      <c r="C33" t="s">
        <v>199</v>
      </c>
      <c r="D33" t="s">
        <v>228</v>
      </c>
      <c r="E33" t="s">
        <v>222</v>
      </c>
      <c r="F33" t="s">
        <v>223</v>
      </c>
      <c r="G33" t="s">
        <v>107</v>
      </c>
      <c r="H33">
        <v>0</v>
      </c>
      <c r="I33">
        <v>0</v>
      </c>
      <c r="J33">
        <v>0</v>
      </c>
      <c r="K33">
        <v>0</v>
      </c>
      <c r="L33">
        <v>46</v>
      </c>
      <c r="M33">
        <v>46</v>
      </c>
      <c r="N33">
        <v>47</v>
      </c>
      <c r="O33">
        <v>2</v>
      </c>
      <c r="P33">
        <v>6720</v>
      </c>
      <c r="Q33">
        <v>90</v>
      </c>
      <c r="R33">
        <v>0</v>
      </c>
      <c r="S33">
        <v>0</v>
      </c>
      <c r="T33">
        <v>0</v>
      </c>
      <c r="U33">
        <v>0</v>
      </c>
      <c r="V33">
        <v>0.97872340400000002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309120</v>
      </c>
    </row>
    <row r="34" spans="1:29" x14ac:dyDescent="0.45">
      <c r="A34" t="s">
        <v>217</v>
      </c>
      <c r="B34" t="s">
        <v>218</v>
      </c>
      <c r="C34" t="s">
        <v>199</v>
      </c>
      <c r="D34" t="s">
        <v>228</v>
      </c>
      <c r="E34" t="s">
        <v>224</v>
      </c>
      <c r="F34" t="s">
        <v>223</v>
      </c>
      <c r="G34" t="s">
        <v>107</v>
      </c>
      <c r="H34">
        <v>0</v>
      </c>
      <c r="I34">
        <v>0</v>
      </c>
      <c r="J34">
        <v>0</v>
      </c>
      <c r="K34">
        <v>0</v>
      </c>
      <c r="L34">
        <v>45</v>
      </c>
      <c r="M34">
        <v>45</v>
      </c>
      <c r="N34">
        <v>46</v>
      </c>
      <c r="O34">
        <v>2</v>
      </c>
      <c r="P34">
        <v>6720</v>
      </c>
      <c r="Q34">
        <v>90</v>
      </c>
      <c r="R34">
        <v>0</v>
      </c>
      <c r="S34">
        <v>0</v>
      </c>
      <c r="T34">
        <v>0</v>
      </c>
      <c r="U34">
        <v>0</v>
      </c>
      <c r="V34">
        <v>0.97826086999999995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302400</v>
      </c>
    </row>
    <row r="35" spans="1:29" x14ac:dyDescent="0.45">
      <c r="A35" t="s">
        <v>217</v>
      </c>
      <c r="B35" t="s">
        <v>218</v>
      </c>
      <c r="C35" t="s">
        <v>199</v>
      </c>
      <c r="D35" t="s">
        <v>229</v>
      </c>
      <c r="E35" t="s">
        <v>226</v>
      </c>
      <c r="F35" t="s">
        <v>223</v>
      </c>
      <c r="G35" t="s">
        <v>107</v>
      </c>
      <c r="H35">
        <v>800</v>
      </c>
      <c r="I35">
        <v>160</v>
      </c>
      <c r="J35">
        <v>112</v>
      </c>
      <c r="K35">
        <v>47</v>
      </c>
      <c r="L35">
        <v>0</v>
      </c>
      <c r="M35">
        <v>47</v>
      </c>
      <c r="N35">
        <v>0</v>
      </c>
      <c r="O35">
        <v>2</v>
      </c>
      <c r="P35">
        <v>7200</v>
      </c>
      <c r="Q35">
        <v>90</v>
      </c>
      <c r="R35">
        <v>408</v>
      </c>
      <c r="S35">
        <v>392</v>
      </c>
      <c r="T35">
        <v>14896</v>
      </c>
      <c r="U35">
        <v>37193</v>
      </c>
      <c r="V35">
        <v>0</v>
      </c>
      <c r="W35">
        <v>0.2</v>
      </c>
      <c r="X35">
        <v>0.7</v>
      </c>
      <c r="Y35">
        <v>0.41964285699999998</v>
      </c>
      <c r="Z35">
        <v>800</v>
      </c>
      <c r="AA35">
        <v>0.51</v>
      </c>
      <c r="AB35">
        <v>38</v>
      </c>
      <c r="AC35">
        <v>342630</v>
      </c>
    </row>
    <row r="36" spans="1:29" x14ac:dyDescent="0.45">
      <c r="A36" t="s">
        <v>217</v>
      </c>
      <c r="B36" t="s">
        <v>218</v>
      </c>
      <c r="C36" t="s">
        <v>199</v>
      </c>
      <c r="D36" t="s">
        <v>229</v>
      </c>
      <c r="E36" t="s">
        <v>227</v>
      </c>
      <c r="F36" t="s">
        <v>223</v>
      </c>
      <c r="G36" t="s">
        <v>107</v>
      </c>
      <c r="H36">
        <v>0</v>
      </c>
      <c r="I36">
        <v>0</v>
      </c>
      <c r="J36">
        <v>0</v>
      </c>
      <c r="K36">
        <v>0</v>
      </c>
      <c r="L36">
        <v>46</v>
      </c>
      <c r="M36">
        <v>46</v>
      </c>
      <c r="N36">
        <v>47</v>
      </c>
      <c r="O36">
        <v>2</v>
      </c>
      <c r="P36">
        <v>7200</v>
      </c>
      <c r="Q36">
        <v>90</v>
      </c>
      <c r="R36">
        <v>0</v>
      </c>
      <c r="S36">
        <v>0</v>
      </c>
      <c r="T36">
        <v>0</v>
      </c>
      <c r="U36">
        <v>0</v>
      </c>
      <c r="V36">
        <v>0.97872340400000002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331200</v>
      </c>
    </row>
    <row r="37" spans="1:29" x14ac:dyDescent="0.45">
      <c r="A37" t="s">
        <v>217</v>
      </c>
      <c r="B37" t="s">
        <v>218</v>
      </c>
      <c r="C37" t="s">
        <v>200</v>
      </c>
      <c r="D37" t="s">
        <v>230</v>
      </c>
      <c r="E37" t="s">
        <v>220</v>
      </c>
      <c r="F37" t="s">
        <v>223</v>
      </c>
      <c r="G37" t="s">
        <v>107</v>
      </c>
      <c r="H37">
        <v>850</v>
      </c>
      <c r="I37">
        <v>170</v>
      </c>
      <c r="J37">
        <v>119</v>
      </c>
      <c r="K37">
        <v>50</v>
      </c>
      <c r="L37">
        <v>0</v>
      </c>
      <c r="M37">
        <v>50</v>
      </c>
      <c r="N37">
        <v>0</v>
      </c>
      <c r="O37">
        <v>2</v>
      </c>
      <c r="P37">
        <v>7000</v>
      </c>
      <c r="Q37">
        <v>90</v>
      </c>
      <c r="R37">
        <v>306</v>
      </c>
      <c r="S37">
        <v>544</v>
      </c>
      <c r="T37">
        <v>21760</v>
      </c>
      <c r="U37">
        <v>27889</v>
      </c>
      <c r="V37">
        <v>0</v>
      </c>
      <c r="W37">
        <v>0.2</v>
      </c>
      <c r="X37">
        <v>0.7</v>
      </c>
      <c r="Y37">
        <v>0.42016806699999998</v>
      </c>
      <c r="Z37">
        <v>850</v>
      </c>
      <c r="AA37">
        <v>0.36</v>
      </c>
      <c r="AB37">
        <v>40</v>
      </c>
      <c r="AC37">
        <v>354500</v>
      </c>
    </row>
    <row r="38" spans="1:29" x14ac:dyDescent="0.45">
      <c r="A38" t="s">
        <v>217</v>
      </c>
      <c r="B38" t="s">
        <v>218</v>
      </c>
      <c r="C38" t="s">
        <v>200</v>
      </c>
      <c r="D38" t="s">
        <v>230</v>
      </c>
      <c r="E38" t="s">
        <v>222</v>
      </c>
      <c r="F38" t="s">
        <v>223</v>
      </c>
      <c r="G38" t="s">
        <v>107</v>
      </c>
      <c r="H38">
        <v>0</v>
      </c>
      <c r="I38">
        <v>0</v>
      </c>
      <c r="J38">
        <v>0</v>
      </c>
      <c r="K38">
        <v>0</v>
      </c>
      <c r="L38">
        <v>48</v>
      </c>
      <c r="M38">
        <v>48</v>
      </c>
      <c r="N38">
        <v>50</v>
      </c>
      <c r="O38">
        <v>2</v>
      </c>
      <c r="P38">
        <v>7000</v>
      </c>
      <c r="Q38">
        <v>90</v>
      </c>
      <c r="R38">
        <v>0</v>
      </c>
      <c r="S38">
        <v>0</v>
      </c>
      <c r="T38">
        <v>0</v>
      </c>
      <c r="U38">
        <v>0</v>
      </c>
      <c r="V38">
        <v>0.96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336000</v>
      </c>
    </row>
    <row r="39" spans="1:29" x14ac:dyDescent="0.45">
      <c r="A39" t="s">
        <v>217</v>
      </c>
      <c r="B39" t="s">
        <v>218</v>
      </c>
      <c r="C39" t="s">
        <v>200</v>
      </c>
      <c r="D39" t="s">
        <v>230</v>
      </c>
      <c r="E39" t="s">
        <v>224</v>
      </c>
      <c r="F39" t="s">
        <v>223</v>
      </c>
      <c r="G39" t="s">
        <v>107</v>
      </c>
      <c r="H39">
        <v>0</v>
      </c>
      <c r="I39">
        <v>0</v>
      </c>
      <c r="J39">
        <v>0</v>
      </c>
      <c r="K39">
        <v>0</v>
      </c>
      <c r="L39">
        <v>47</v>
      </c>
      <c r="M39">
        <v>47</v>
      </c>
      <c r="N39">
        <v>48</v>
      </c>
      <c r="O39">
        <v>2</v>
      </c>
      <c r="P39">
        <v>7000</v>
      </c>
      <c r="Q39">
        <v>90</v>
      </c>
      <c r="R39">
        <v>0</v>
      </c>
      <c r="S39">
        <v>0</v>
      </c>
      <c r="T39">
        <v>0</v>
      </c>
      <c r="U39">
        <v>0</v>
      </c>
      <c r="V39">
        <v>0.97916666699999999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329000</v>
      </c>
    </row>
    <row r="40" spans="1:29" x14ac:dyDescent="0.45">
      <c r="A40" t="s">
        <v>217</v>
      </c>
      <c r="B40" t="s">
        <v>218</v>
      </c>
      <c r="C40" t="s">
        <v>201</v>
      </c>
      <c r="D40" t="s">
        <v>230</v>
      </c>
      <c r="E40" t="s">
        <v>220</v>
      </c>
      <c r="F40" t="s">
        <v>223</v>
      </c>
      <c r="G40" t="s">
        <v>107</v>
      </c>
      <c r="H40">
        <v>680</v>
      </c>
      <c r="I40">
        <v>136</v>
      </c>
      <c r="J40">
        <v>95</v>
      </c>
      <c r="K40">
        <v>40</v>
      </c>
      <c r="L40">
        <v>0</v>
      </c>
      <c r="M40">
        <v>40</v>
      </c>
      <c r="N40">
        <v>0</v>
      </c>
      <c r="O40">
        <v>2</v>
      </c>
      <c r="P40">
        <v>6650</v>
      </c>
      <c r="Q40">
        <v>90</v>
      </c>
      <c r="R40">
        <v>265</v>
      </c>
      <c r="S40">
        <v>415</v>
      </c>
      <c r="T40">
        <v>14933</v>
      </c>
      <c r="U40">
        <v>24152</v>
      </c>
      <c r="V40">
        <v>0</v>
      </c>
      <c r="W40">
        <v>0.2</v>
      </c>
      <c r="X40">
        <v>0.69852941199999996</v>
      </c>
      <c r="Y40">
        <v>0.42105263199999998</v>
      </c>
      <c r="Z40">
        <v>680</v>
      </c>
      <c r="AA40">
        <v>0.389705882</v>
      </c>
      <c r="AB40">
        <v>35.983132529999999</v>
      </c>
      <c r="AC40">
        <v>269600</v>
      </c>
    </row>
    <row r="41" spans="1:29" x14ac:dyDescent="0.45">
      <c r="A41" t="s">
        <v>217</v>
      </c>
      <c r="B41" t="s">
        <v>218</v>
      </c>
      <c r="C41" t="s">
        <v>201</v>
      </c>
      <c r="D41" t="s">
        <v>230</v>
      </c>
      <c r="E41" t="s">
        <v>222</v>
      </c>
      <c r="F41" t="s">
        <v>223</v>
      </c>
      <c r="G41" t="s">
        <v>107</v>
      </c>
      <c r="H41">
        <v>0</v>
      </c>
      <c r="I41">
        <v>0</v>
      </c>
      <c r="J41">
        <v>0</v>
      </c>
      <c r="K41">
        <v>0</v>
      </c>
      <c r="L41">
        <v>39</v>
      </c>
      <c r="M41">
        <v>39</v>
      </c>
      <c r="N41">
        <v>40</v>
      </c>
      <c r="O41">
        <v>2</v>
      </c>
      <c r="P41">
        <v>6650</v>
      </c>
      <c r="Q41">
        <v>90</v>
      </c>
      <c r="R41">
        <v>0</v>
      </c>
      <c r="S41">
        <v>0</v>
      </c>
      <c r="T41">
        <v>0</v>
      </c>
      <c r="U41">
        <v>0</v>
      </c>
      <c r="V41">
        <v>0.97499999999999998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259350</v>
      </c>
    </row>
    <row r="42" spans="1:29" x14ac:dyDescent="0.45">
      <c r="A42" t="s">
        <v>217</v>
      </c>
      <c r="B42" t="s">
        <v>218</v>
      </c>
      <c r="C42" t="s">
        <v>201</v>
      </c>
      <c r="D42" t="s">
        <v>230</v>
      </c>
      <c r="E42" t="s">
        <v>224</v>
      </c>
      <c r="F42" t="s">
        <v>223</v>
      </c>
      <c r="G42" t="s">
        <v>107</v>
      </c>
      <c r="H42">
        <v>0</v>
      </c>
      <c r="I42">
        <v>0</v>
      </c>
      <c r="J42">
        <v>0</v>
      </c>
      <c r="K42">
        <v>0</v>
      </c>
      <c r="L42">
        <v>38</v>
      </c>
      <c r="M42">
        <v>38</v>
      </c>
      <c r="N42">
        <v>39</v>
      </c>
      <c r="O42">
        <v>2</v>
      </c>
      <c r="P42">
        <v>6650</v>
      </c>
      <c r="Q42">
        <v>90</v>
      </c>
      <c r="R42">
        <v>0</v>
      </c>
      <c r="S42">
        <v>0</v>
      </c>
      <c r="T42">
        <v>0</v>
      </c>
      <c r="U42">
        <v>0</v>
      </c>
      <c r="V42">
        <v>0.97435897400000004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252700</v>
      </c>
    </row>
    <row r="43" spans="1:29" x14ac:dyDescent="0.45">
      <c r="A43" t="s">
        <v>217</v>
      </c>
      <c r="B43" t="s">
        <v>218</v>
      </c>
      <c r="C43" t="s">
        <v>202</v>
      </c>
      <c r="D43" t="s">
        <v>230</v>
      </c>
      <c r="E43" t="s">
        <v>220</v>
      </c>
      <c r="F43" t="s">
        <v>223</v>
      </c>
      <c r="G43" t="s">
        <v>107</v>
      </c>
      <c r="H43">
        <v>680</v>
      </c>
      <c r="I43">
        <v>136</v>
      </c>
      <c r="J43">
        <v>95</v>
      </c>
      <c r="K43">
        <v>40</v>
      </c>
      <c r="L43">
        <v>0</v>
      </c>
      <c r="M43">
        <v>40</v>
      </c>
      <c r="N43">
        <v>0</v>
      </c>
      <c r="O43">
        <v>2</v>
      </c>
      <c r="P43">
        <v>6650</v>
      </c>
      <c r="Q43">
        <v>90</v>
      </c>
      <c r="R43">
        <v>258</v>
      </c>
      <c r="S43">
        <v>422</v>
      </c>
      <c r="T43">
        <v>15178</v>
      </c>
      <c r="U43">
        <v>23514</v>
      </c>
      <c r="V43">
        <v>0</v>
      </c>
      <c r="W43">
        <v>0.2</v>
      </c>
      <c r="X43">
        <v>0.69852941199999996</v>
      </c>
      <c r="Y43">
        <v>0.42105263199999998</v>
      </c>
      <c r="Z43">
        <v>680</v>
      </c>
      <c r="AA43">
        <v>0.37941176500000001</v>
      </c>
      <c r="AB43">
        <v>35.966824645000003</v>
      </c>
      <c r="AC43">
        <v>269600</v>
      </c>
    </row>
    <row r="44" spans="1:29" x14ac:dyDescent="0.45">
      <c r="A44" t="s">
        <v>217</v>
      </c>
      <c r="B44" t="s">
        <v>218</v>
      </c>
      <c r="C44" t="s">
        <v>202</v>
      </c>
      <c r="D44" t="s">
        <v>230</v>
      </c>
      <c r="E44" t="s">
        <v>222</v>
      </c>
      <c r="F44" t="s">
        <v>223</v>
      </c>
      <c r="G44" t="s">
        <v>107</v>
      </c>
      <c r="H44">
        <v>0</v>
      </c>
      <c r="I44">
        <v>0</v>
      </c>
      <c r="J44">
        <v>0</v>
      </c>
      <c r="K44">
        <v>0</v>
      </c>
      <c r="L44">
        <v>39</v>
      </c>
      <c r="M44">
        <v>39</v>
      </c>
      <c r="N44">
        <v>40</v>
      </c>
      <c r="O44">
        <v>2</v>
      </c>
      <c r="P44">
        <v>6650</v>
      </c>
      <c r="Q44">
        <v>90</v>
      </c>
      <c r="R44">
        <v>0</v>
      </c>
      <c r="S44">
        <v>0</v>
      </c>
      <c r="T44">
        <v>0</v>
      </c>
      <c r="U44">
        <v>0</v>
      </c>
      <c r="V44">
        <v>0.97499999999999998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259350</v>
      </c>
    </row>
    <row r="45" spans="1:29" x14ac:dyDescent="0.45">
      <c r="A45" t="s">
        <v>217</v>
      </c>
      <c r="B45" t="s">
        <v>218</v>
      </c>
      <c r="C45" t="s">
        <v>202</v>
      </c>
      <c r="D45" t="s">
        <v>230</v>
      </c>
      <c r="E45" t="s">
        <v>224</v>
      </c>
      <c r="F45" t="s">
        <v>223</v>
      </c>
      <c r="G45" t="s">
        <v>107</v>
      </c>
      <c r="H45">
        <v>0</v>
      </c>
      <c r="I45">
        <v>0</v>
      </c>
      <c r="J45">
        <v>0</v>
      </c>
      <c r="K45">
        <v>0</v>
      </c>
      <c r="L45">
        <v>38</v>
      </c>
      <c r="M45">
        <v>38</v>
      </c>
      <c r="N45">
        <v>39</v>
      </c>
      <c r="O45">
        <v>2</v>
      </c>
      <c r="P45">
        <v>6650</v>
      </c>
      <c r="Q45">
        <v>90</v>
      </c>
      <c r="R45">
        <v>0</v>
      </c>
      <c r="S45">
        <v>0</v>
      </c>
      <c r="T45">
        <v>0</v>
      </c>
      <c r="U45">
        <v>0</v>
      </c>
      <c r="V45">
        <v>0.97435897400000004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252700</v>
      </c>
    </row>
    <row r="46" spans="1:29" x14ac:dyDescent="0.45">
      <c r="A46" t="s">
        <v>217</v>
      </c>
      <c r="B46" t="s">
        <v>218</v>
      </c>
      <c r="C46" t="s">
        <v>203</v>
      </c>
      <c r="D46" t="s">
        <v>231</v>
      </c>
      <c r="E46" t="s">
        <v>232</v>
      </c>
      <c r="F46" t="s">
        <v>223</v>
      </c>
      <c r="G46" t="s">
        <v>107</v>
      </c>
      <c r="H46">
        <v>785</v>
      </c>
      <c r="I46">
        <v>157</v>
      </c>
      <c r="J46">
        <v>110</v>
      </c>
      <c r="K46">
        <v>46</v>
      </c>
      <c r="L46">
        <v>0</v>
      </c>
      <c r="M46">
        <v>46</v>
      </c>
      <c r="N46">
        <v>0</v>
      </c>
      <c r="O46">
        <v>2</v>
      </c>
      <c r="P46">
        <v>6300</v>
      </c>
      <c r="Q46">
        <v>90</v>
      </c>
      <c r="R46">
        <v>369</v>
      </c>
      <c r="S46">
        <v>416</v>
      </c>
      <c r="T46">
        <v>18306</v>
      </c>
      <c r="U46">
        <v>33630</v>
      </c>
      <c r="V46">
        <v>0</v>
      </c>
      <c r="W46">
        <v>0.2</v>
      </c>
      <c r="X46">
        <v>0.70063694300000001</v>
      </c>
      <c r="Y46">
        <v>0.41818181799999998</v>
      </c>
      <c r="Z46">
        <v>785</v>
      </c>
      <c r="AA46">
        <v>0.47006369399999998</v>
      </c>
      <c r="AB46">
        <v>44.004807692</v>
      </c>
      <c r="AC46">
        <v>293940</v>
      </c>
    </row>
    <row r="47" spans="1:29" x14ac:dyDescent="0.45">
      <c r="A47" t="s">
        <v>217</v>
      </c>
      <c r="B47" t="s">
        <v>218</v>
      </c>
      <c r="C47" t="s">
        <v>203</v>
      </c>
      <c r="D47" t="s">
        <v>231</v>
      </c>
      <c r="E47" t="s">
        <v>233</v>
      </c>
      <c r="F47" t="s">
        <v>223</v>
      </c>
      <c r="G47" t="s">
        <v>107</v>
      </c>
      <c r="H47">
        <v>0</v>
      </c>
      <c r="I47">
        <v>0</v>
      </c>
      <c r="J47">
        <v>0</v>
      </c>
      <c r="K47">
        <v>0</v>
      </c>
      <c r="L47">
        <v>45</v>
      </c>
      <c r="M47">
        <v>45</v>
      </c>
      <c r="N47">
        <v>46</v>
      </c>
      <c r="O47">
        <v>2</v>
      </c>
      <c r="P47">
        <v>6300</v>
      </c>
      <c r="Q47">
        <v>90</v>
      </c>
      <c r="R47">
        <v>0</v>
      </c>
      <c r="S47">
        <v>0</v>
      </c>
      <c r="T47">
        <v>0</v>
      </c>
      <c r="U47">
        <v>0</v>
      </c>
      <c r="V47">
        <v>0.97826086999999995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283500</v>
      </c>
    </row>
    <row r="48" spans="1:29" x14ac:dyDescent="0.45">
      <c r="A48" t="s">
        <v>217</v>
      </c>
      <c r="B48" t="s">
        <v>218</v>
      </c>
      <c r="C48" t="s">
        <v>203</v>
      </c>
      <c r="D48" t="s">
        <v>234</v>
      </c>
      <c r="E48" t="s">
        <v>220</v>
      </c>
      <c r="F48" t="s">
        <v>223</v>
      </c>
      <c r="G48" t="s">
        <v>107</v>
      </c>
      <c r="H48">
        <v>785</v>
      </c>
      <c r="I48">
        <v>157</v>
      </c>
      <c r="J48">
        <v>110</v>
      </c>
      <c r="K48">
        <v>46</v>
      </c>
      <c r="L48">
        <v>0</v>
      </c>
      <c r="M48">
        <v>46</v>
      </c>
      <c r="N48">
        <v>0</v>
      </c>
      <c r="O48">
        <v>2</v>
      </c>
      <c r="P48">
        <v>7350</v>
      </c>
      <c r="Q48">
        <v>90</v>
      </c>
      <c r="R48">
        <v>369</v>
      </c>
      <c r="S48">
        <v>416</v>
      </c>
      <c r="T48">
        <v>18306</v>
      </c>
      <c r="U48">
        <v>33631</v>
      </c>
      <c r="V48">
        <v>0</v>
      </c>
      <c r="W48">
        <v>0.2</v>
      </c>
      <c r="X48">
        <v>0.70063694300000001</v>
      </c>
      <c r="Y48">
        <v>0.41818181799999998</v>
      </c>
      <c r="Z48">
        <v>785</v>
      </c>
      <c r="AA48">
        <v>0.47006369399999998</v>
      </c>
      <c r="AB48">
        <v>44.004807692</v>
      </c>
      <c r="AC48">
        <v>342240</v>
      </c>
    </row>
    <row r="49" spans="1:29" x14ac:dyDescent="0.45">
      <c r="A49" t="s">
        <v>217</v>
      </c>
      <c r="B49" t="s">
        <v>218</v>
      </c>
      <c r="C49" t="s">
        <v>203</v>
      </c>
      <c r="D49" t="s">
        <v>234</v>
      </c>
      <c r="E49" t="s">
        <v>224</v>
      </c>
      <c r="F49" t="s">
        <v>223</v>
      </c>
      <c r="G49" t="s">
        <v>107</v>
      </c>
      <c r="H49">
        <v>0</v>
      </c>
      <c r="I49">
        <v>0</v>
      </c>
      <c r="J49">
        <v>0</v>
      </c>
      <c r="K49">
        <v>0</v>
      </c>
      <c r="L49">
        <v>45</v>
      </c>
      <c r="M49">
        <v>45</v>
      </c>
      <c r="N49">
        <v>46</v>
      </c>
      <c r="O49">
        <v>2</v>
      </c>
      <c r="P49">
        <v>7350</v>
      </c>
      <c r="Q49">
        <v>90</v>
      </c>
      <c r="R49">
        <v>0</v>
      </c>
      <c r="S49">
        <v>0</v>
      </c>
      <c r="T49">
        <v>0</v>
      </c>
      <c r="U49">
        <v>0</v>
      </c>
      <c r="V49">
        <v>0.97826086999999995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330750</v>
      </c>
    </row>
    <row r="50" spans="1:29" x14ac:dyDescent="0.45">
      <c r="A50" t="s">
        <v>217</v>
      </c>
      <c r="B50" t="s">
        <v>218</v>
      </c>
      <c r="C50" t="s">
        <v>204</v>
      </c>
      <c r="D50" t="s">
        <v>231</v>
      </c>
      <c r="E50" t="s">
        <v>232</v>
      </c>
      <c r="F50" t="s">
        <v>223</v>
      </c>
      <c r="G50" t="s">
        <v>107</v>
      </c>
      <c r="H50">
        <v>615</v>
      </c>
      <c r="I50">
        <v>123</v>
      </c>
      <c r="J50">
        <v>86</v>
      </c>
      <c r="K50">
        <v>36</v>
      </c>
      <c r="L50">
        <v>0</v>
      </c>
      <c r="M50">
        <v>36</v>
      </c>
      <c r="N50">
        <v>0</v>
      </c>
      <c r="O50">
        <v>2</v>
      </c>
      <c r="P50">
        <v>5820</v>
      </c>
      <c r="Q50">
        <v>90</v>
      </c>
      <c r="R50">
        <v>326</v>
      </c>
      <c r="S50">
        <v>289</v>
      </c>
      <c r="T50">
        <v>10984</v>
      </c>
      <c r="U50">
        <v>29712</v>
      </c>
      <c r="V50">
        <v>0</v>
      </c>
      <c r="W50">
        <v>0.2</v>
      </c>
      <c r="X50">
        <v>0.69918699200000001</v>
      </c>
      <c r="Y50">
        <v>0.41860465099999999</v>
      </c>
      <c r="Z50">
        <v>615</v>
      </c>
      <c r="AA50">
        <v>0.53008130099999995</v>
      </c>
      <c r="AB50">
        <v>38.006920415000003</v>
      </c>
      <c r="AC50">
        <v>212760</v>
      </c>
    </row>
    <row r="51" spans="1:29" x14ac:dyDescent="0.45">
      <c r="A51" t="s">
        <v>217</v>
      </c>
      <c r="B51" t="s">
        <v>218</v>
      </c>
      <c r="C51" t="s">
        <v>204</v>
      </c>
      <c r="D51" t="s">
        <v>231</v>
      </c>
      <c r="E51" t="s">
        <v>233</v>
      </c>
      <c r="F51" t="s">
        <v>223</v>
      </c>
      <c r="G51" t="s">
        <v>107</v>
      </c>
      <c r="H51">
        <v>0</v>
      </c>
      <c r="I51">
        <v>0</v>
      </c>
      <c r="J51">
        <v>0</v>
      </c>
      <c r="K51">
        <v>0</v>
      </c>
      <c r="L51">
        <v>35</v>
      </c>
      <c r="M51">
        <v>35</v>
      </c>
      <c r="N51">
        <v>36</v>
      </c>
      <c r="O51">
        <v>2</v>
      </c>
      <c r="P51">
        <v>5820</v>
      </c>
      <c r="Q51">
        <v>90</v>
      </c>
      <c r="R51">
        <v>0</v>
      </c>
      <c r="S51">
        <v>0</v>
      </c>
      <c r="T51">
        <v>0</v>
      </c>
      <c r="U51">
        <v>0</v>
      </c>
      <c r="V51">
        <v>0.97222222199999997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203700</v>
      </c>
    </row>
    <row r="52" spans="1:29" x14ac:dyDescent="0.45">
      <c r="A52" t="s">
        <v>217</v>
      </c>
      <c r="B52" t="s">
        <v>218</v>
      </c>
      <c r="C52" t="s">
        <v>204</v>
      </c>
      <c r="D52" t="s">
        <v>234</v>
      </c>
      <c r="E52" t="s">
        <v>220</v>
      </c>
      <c r="F52" t="s">
        <v>223</v>
      </c>
      <c r="G52" t="s">
        <v>107</v>
      </c>
      <c r="H52">
        <v>615</v>
      </c>
      <c r="I52">
        <v>123</v>
      </c>
      <c r="J52">
        <v>86</v>
      </c>
      <c r="K52">
        <v>36</v>
      </c>
      <c r="L52">
        <v>0</v>
      </c>
      <c r="M52">
        <v>36</v>
      </c>
      <c r="N52">
        <v>0</v>
      </c>
      <c r="O52">
        <v>2</v>
      </c>
      <c r="P52">
        <v>6790</v>
      </c>
      <c r="Q52">
        <v>90</v>
      </c>
      <c r="R52">
        <v>326</v>
      </c>
      <c r="S52">
        <v>289</v>
      </c>
      <c r="T52">
        <v>10984</v>
      </c>
      <c r="U52">
        <v>29711</v>
      </c>
      <c r="V52">
        <v>0</v>
      </c>
      <c r="W52">
        <v>0.2</v>
      </c>
      <c r="X52">
        <v>0.69918699200000001</v>
      </c>
      <c r="Y52">
        <v>0.41860465099999999</v>
      </c>
      <c r="Z52">
        <v>615</v>
      </c>
      <c r="AA52">
        <v>0.53008130099999995</v>
      </c>
      <c r="AB52">
        <v>38.006920415000003</v>
      </c>
      <c r="AC52">
        <v>247680</v>
      </c>
    </row>
    <row r="53" spans="1:29" x14ac:dyDescent="0.45">
      <c r="A53" t="s">
        <v>217</v>
      </c>
      <c r="B53" t="s">
        <v>218</v>
      </c>
      <c r="C53" t="s">
        <v>204</v>
      </c>
      <c r="D53" t="s">
        <v>234</v>
      </c>
      <c r="E53" t="s">
        <v>224</v>
      </c>
      <c r="F53" t="s">
        <v>223</v>
      </c>
      <c r="G53" t="s">
        <v>107</v>
      </c>
      <c r="H53">
        <v>0</v>
      </c>
      <c r="I53">
        <v>0</v>
      </c>
      <c r="J53">
        <v>0</v>
      </c>
      <c r="K53">
        <v>0</v>
      </c>
      <c r="L53">
        <v>35</v>
      </c>
      <c r="M53">
        <v>35</v>
      </c>
      <c r="N53">
        <v>36</v>
      </c>
      <c r="O53">
        <v>2</v>
      </c>
      <c r="P53">
        <v>6790</v>
      </c>
      <c r="Q53">
        <v>90</v>
      </c>
      <c r="R53">
        <v>0</v>
      </c>
      <c r="S53">
        <v>0</v>
      </c>
      <c r="T53">
        <v>0</v>
      </c>
      <c r="U53">
        <v>0</v>
      </c>
      <c r="V53">
        <v>0.97222222199999997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237650</v>
      </c>
    </row>
    <row r="54" spans="1:29" x14ac:dyDescent="0.45">
      <c r="A54" t="s">
        <v>217</v>
      </c>
      <c r="B54" t="s">
        <v>218</v>
      </c>
      <c r="C54" t="s">
        <v>205</v>
      </c>
      <c r="D54" t="s">
        <v>235</v>
      </c>
      <c r="E54" t="s">
        <v>220</v>
      </c>
      <c r="F54" t="s">
        <v>223</v>
      </c>
      <c r="G54" t="s">
        <v>107</v>
      </c>
      <c r="H54">
        <v>800</v>
      </c>
      <c r="I54">
        <v>160</v>
      </c>
      <c r="J54">
        <v>112</v>
      </c>
      <c r="K54">
        <v>47</v>
      </c>
      <c r="L54">
        <v>0</v>
      </c>
      <c r="M54">
        <v>47</v>
      </c>
      <c r="N54">
        <v>0</v>
      </c>
      <c r="O54">
        <v>2</v>
      </c>
      <c r="P54">
        <v>7840</v>
      </c>
      <c r="Q54">
        <v>90</v>
      </c>
      <c r="R54">
        <v>240</v>
      </c>
      <c r="S54">
        <v>560</v>
      </c>
      <c r="T54">
        <v>30240</v>
      </c>
      <c r="U54">
        <v>21873</v>
      </c>
      <c r="V54">
        <v>0</v>
      </c>
      <c r="W54">
        <v>0.2</v>
      </c>
      <c r="X54">
        <v>0.7</v>
      </c>
      <c r="Y54">
        <v>0.41964285699999998</v>
      </c>
      <c r="Z54">
        <v>800</v>
      </c>
      <c r="AA54">
        <v>0.3</v>
      </c>
      <c r="AB54">
        <v>54</v>
      </c>
      <c r="AC54">
        <v>372710</v>
      </c>
    </row>
    <row r="55" spans="1:29" x14ac:dyDescent="0.45">
      <c r="A55" t="s">
        <v>217</v>
      </c>
      <c r="B55" t="s">
        <v>218</v>
      </c>
      <c r="C55" t="s">
        <v>205</v>
      </c>
      <c r="D55" t="s">
        <v>235</v>
      </c>
      <c r="E55" t="s">
        <v>222</v>
      </c>
      <c r="F55" t="s">
        <v>223</v>
      </c>
      <c r="G55" t="s">
        <v>107</v>
      </c>
      <c r="H55">
        <v>0</v>
      </c>
      <c r="I55">
        <v>0</v>
      </c>
      <c r="J55">
        <v>0</v>
      </c>
      <c r="K55">
        <v>0</v>
      </c>
      <c r="L55">
        <v>46</v>
      </c>
      <c r="M55">
        <v>46</v>
      </c>
      <c r="N55">
        <v>47</v>
      </c>
      <c r="O55">
        <v>2</v>
      </c>
      <c r="P55">
        <v>7840</v>
      </c>
      <c r="Q55">
        <v>90</v>
      </c>
      <c r="R55">
        <v>0</v>
      </c>
      <c r="S55">
        <v>0</v>
      </c>
      <c r="T55">
        <v>0</v>
      </c>
      <c r="U55">
        <v>0</v>
      </c>
      <c r="V55">
        <v>0.97872340400000002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360640</v>
      </c>
    </row>
    <row r="56" spans="1:29" x14ac:dyDescent="0.45">
      <c r="A56" t="s">
        <v>217</v>
      </c>
      <c r="B56" t="s">
        <v>218</v>
      </c>
      <c r="C56" t="s">
        <v>205</v>
      </c>
      <c r="D56" t="s">
        <v>235</v>
      </c>
      <c r="E56" t="s">
        <v>224</v>
      </c>
      <c r="F56" t="s">
        <v>223</v>
      </c>
      <c r="G56" t="s">
        <v>107</v>
      </c>
      <c r="H56">
        <v>0</v>
      </c>
      <c r="I56">
        <v>0</v>
      </c>
      <c r="J56">
        <v>0</v>
      </c>
      <c r="K56">
        <v>0</v>
      </c>
      <c r="L56">
        <v>45</v>
      </c>
      <c r="M56">
        <v>45</v>
      </c>
      <c r="N56">
        <v>46</v>
      </c>
      <c r="O56">
        <v>2</v>
      </c>
      <c r="P56">
        <v>7840</v>
      </c>
      <c r="Q56">
        <v>90</v>
      </c>
      <c r="R56">
        <v>0</v>
      </c>
      <c r="S56">
        <v>0</v>
      </c>
      <c r="T56">
        <v>0</v>
      </c>
      <c r="U56">
        <v>0</v>
      </c>
      <c r="V56">
        <v>0.97826086999999995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352800</v>
      </c>
    </row>
    <row r="57" spans="1:29" x14ac:dyDescent="0.45">
      <c r="A57" t="s">
        <v>217</v>
      </c>
      <c r="B57" t="s">
        <v>218</v>
      </c>
      <c r="C57" t="s">
        <v>206</v>
      </c>
      <c r="D57" t="s">
        <v>235</v>
      </c>
      <c r="E57" t="s">
        <v>220</v>
      </c>
      <c r="F57" t="s">
        <v>223</v>
      </c>
      <c r="G57" t="s">
        <v>107</v>
      </c>
      <c r="H57">
        <v>680</v>
      </c>
      <c r="I57">
        <v>136</v>
      </c>
      <c r="J57">
        <v>95</v>
      </c>
      <c r="K57">
        <v>40</v>
      </c>
      <c r="L57">
        <v>0</v>
      </c>
      <c r="M57">
        <v>40</v>
      </c>
      <c r="N57">
        <v>0</v>
      </c>
      <c r="O57">
        <v>2</v>
      </c>
      <c r="P57">
        <v>7350</v>
      </c>
      <c r="Q57">
        <v>90</v>
      </c>
      <c r="R57">
        <v>252</v>
      </c>
      <c r="S57">
        <v>428</v>
      </c>
      <c r="T57">
        <v>18850</v>
      </c>
      <c r="U57">
        <v>22967</v>
      </c>
      <c r="V57">
        <v>0</v>
      </c>
      <c r="W57">
        <v>0.2</v>
      </c>
      <c r="X57">
        <v>0.69852941199999996</v>
      </c>
      <c r="Y57">
        <v>0.42105263199999998</v>
      </c>
      <c r="Z57">
        <v>680</v>
      </c>
      <c r="AA57">
        <v>0.37058823499999999</v>
      </c>
      <c r="AB57">
        <v>44.042056074999998</v>
      </c>
      <c r="AC57">
        <v>297600</v>
      </c>
    </row>
    <row r="58" spans="1:29" x14ac:dyDescent="0.45">
      <c r="A58" t="s">
        <v>217</v>
      </c>
      <c r="B58" t="s">
        <v>218</v>
      </c>
      <c r="C58" t="s">
        <v>206</v>
      </c>
      <c r="D58" t="s">
        <v>235</v>
      </c>
      <c r="E58" t="s">
        <v>222</v>
      </c>
      <c r="F58" t="s">
        <v>223</v>
      </c>
      <c r="G58" t="s">
        <v>107</v>
      </c>
      <c r="H58">
        <v>0</v>
      </c>
      <c r="I58">
        <v>0</v>
      </c>
      <c r="J58">
        <v>0</v>
      </c>
      <c r="K58">
        <v>0</v>
      </c>
      <c r="L58">
        <v>39</v>
      </c>
      <c r="M58">
        <v>39</v>
      </c>
      <c r="N58">
        <v>40</v>
      </c>
      <c r="O58">
        <v>2</v>
      </c>
      <c r="P58">
        <v>7350</v>
      </c>
      <c r="Q58">
        <v>90</v>
      </c>
      <c r="R58">
        <v>0</v>
      </c>
      <c r="S58">
        <v>0</v>
      </c>
      <c r="T58">
        <v>0</v>
      </c>
      <c r="U58">
        <v>0</v>
      </c>
      <c r="V58">
        <v>0.97499999999999998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286650</v>
      </c>
    </row>
    <row r="59" spans="1:29" x14ac:dyDescent="0.45">
      <c r="A59" t="s">
        <v>217</v>
      </c>
      <c r="B59" t="s">
        <v>218</v>
      </c>
      <c r="C59" t="s">
        <v>206</v>
      </c>
      <c r="D59" t="s">
        <v>235</v>
      </c>
      <c r="E59" t="s">
        <v>224</v>
      </c>
      <c r="F59" t="s">
        <v>223</v>
      </c>
      <c r="G59" t="s">
        <v>107</v>
      </c>
      <c r="H59">
        <v>0</v>
      </c>
      <c r="I59">
        <v>0</v>
      </c>
      <c r="J59">
        <v>0</v>
      </c>
      <c r="K59">
        <v>0</v>
      </c>
      <c r="L59">
        <v>38</v>
      </c>
      <c r="M59">
        <v>38</v>
      </c>
      <c r="N59">
        <v>39</v>
      </c>
      <c r="O59">
        <v>2</v>
      </c>
      <c r="P59">
        <v>7350</v>
      </c>
      <c r="Q59">
        <v>90</v>
      </c>
      <c r="R59">
        <v>0</v>
      </c>
      <c r="S59">
        <v>0</v>
      </c>
      <c r="T59">
        <v>0</v>
      </c>
      <c r="U59">
        <v>0</v>
      </c>
      <c r="V59">
        <v>0.97435897400000004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279300</v>
      </c>
    </row>
    <row r="60" spans="1:29" x14ac:dyDescent="0.45">
      <c r="A60" t="s">
        <v>217</v>
      </c>
      <c r="B60" t="s">
        <v>218</v>
      </c>
      <c r="C60" t="s">
        <v>193</v>
      </c>
      <c r="D60" t="s">
        <v>219</v>
      </c>
      <c r="E60" t="s">
        <v>220</v>
      </c>
      <c r="F60" t="s">
        <v>221</v>
      </c>
      <c r="G60" t="s">
        <v>236</v>
      </c>
      <c r="H60">
        <v>609</v>
      </c>
      <c r="I60">
        <v>171</v>
      </c>
      <c r="J60">
        <v>123</v>
      </c>
      <c r="K60">
        <v>74</v>
      </c>
      <c r="L60">
        <v>0</v>
      </c>
      <c r="M60">
        <v>74</v>
      </c>
      <c r="N60">
        <v>0</v>
      </c>
      <c r="O60">
        <v>3</v>
      </c>
      <c r="P60">
        <v>8400</v>
      </c>
      <c r="Q60">
        <v>90</v>
      </c>
      <c r="R60">
        <v>217</v>
      </c>
      <c r="S60">
        <v>396</v>
      </c>
      <c r="T60">
        <v>20296</v>
      </c>
      <c r="U60">
        <v>17007</v>
      </c>
      <c r="V60">
        <v>0</v>
      </c>
      <c r="W60">
        <v>0.28078817700000003</v>
      </c>
      <c r="X60">
        <v>0.71929824600000003</v>
      </c>
      <c r="Y60">
        <v>0.60162601599999999</v>
      </c>
      <c r="Z60">
        <v>613</v>
      </c>
      <c r="AA60">
        <v>0.35399673700000001</v>
      </c>
      <c r="AB60">
        <v>51.252525253000002</v>
      </c>
      <c r="AC60">
        <v>628260</v>
      </c>
    </row>
    <row r="61" spans="1:29" x14ac:dyDescent="0.45">
      <c r="A61" t="s">
        <v>217</v>
      </c>
      <c r="B61" t="s">
        <v>218</v>
      </c>
      <c r="C61" t="s">
        <v>193</v>
      </c>
      <c r="D61" t="s">
        <v>219</v>
      </c>
      <c r="E61" t="s">
        <v>222</v>
      </c>
      <c r="F61" t="s">
        <v>223</v>
      </c>
      <c r="G61" t="s">
        <v>236</v>
      </c>
      <c r="H61">
        <v>0</v>
      </c>
      <c r="I61">
        <v>0</v>
      </c>
      <c r="J61">
        <v>0</v>
      </c>
      <c r="K61">
        <v>0</v>
      </c>
      <c r="L61">
        <v>72</v>
      </c>
      <c r="M61">
        <v>72</v>
      </c>
      <c r="N61">
        <v>74</v>
      </c>
      <c r="O61">
        <v>3</v>
      </c>
      <c r="P61">
        <v>7840</v>
      </c>
      <c r="Q61">
        <v>90</v>
      </c>
      <c r="R61">
        <v>0</v>
      </c>
      <c r="S61">
        <v>0</v>
      </c>
      <c r="T61">
        <v>0</v>
      </c>
      <c r="U61">
        <v>0</v>
      </c>
      <c r="V61">
        <v>0.97297297299999996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564480</v>
      </c>
    </row>
    <row r="62" spans="1:29" x14ac:dyDescent="0.45">
      <c r="A62" t="s">
        <v>217</v>
      </c>
      <c r="B62" t="s">
        <v>218</v>
      </c>
      <c r="C62" t="s">
        <v>193</v>
      </c>
      <c r="D62" t="s">
        <v>219</v>
      </c>
      <c r="E62" t="s">
        <v>224</v>
      </c>
      <c r="F62" t="s">
        <v>223</v>
      </c>
      <c r="G62" t="s">
        <v>236</v>
      </c>
      <c r="H62">
        <v>0</v>
      </c>
      <c r="I62">
        <v>0</v>
      </c>
      <c r="J62">
        <v>0</v>
      </c>
      <c r="K62">
        <v>0</v>
      </c>
      <c r="L62">
        <v>70</v>
      </c>
      <c r="M62">
        <v>70</v>
      </c>
      <c r="N62">
        <v>72</v>
      </c>
      <c r="O62">
        <v>3</v>
      </c>
      <c r="P62">
        <v>7840</v>
      </c>
      <c r="Q62">
        <v>90</v>
      </c>
      <c r="R62">
        <v>0</v>
      </c>
      <c r="S62">
        <v>0</v>
      </c>
      <c r="T62">
        <v>0</v>
      </c>
      <c r="U62">
        <v>0</v>
      </c>
      <c r="V62">
        <v>0.97222222199999997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548800</v>
      </c>
    </row>
    <row r="63" spans="1:29" x14ac:dyDescent="0.45">
      <c r="A63" t="s">
        <v>217</v>
      </c>
      <c r="B63" t="s">
        <v>218</v>
      </c>
      <c r="C63" t="s">
        <v>193</v>
      </c>
      <c r="D63" t="s">
        <v>225</v>
      </c>
      <c r="E63" t="s">
        <v>226</v>
      </c>
      <c r="F63" t="s">
        <v>223</v>
      </c>
      <c r="G63" t="s">
        <v>236</v>
      </c>
      <c r="H63">
        <v>1255</v>
      </c>
      <c r="I63">
        <v>251</v>
      </c>
      <c r="J63">
        <v>175</v>
      </c>
      <c r="K63">
        <v>74</v>
      </c>
      <c r="L63">
        <v>0</v>
      </c>
      <c r="M63">
        <v>74</v>
      </c>
      <c r="N63">
        <v>0</v>
      </c>
      <c r="O63">
        <v>3</v>
      </c>
      <c r="P63">
        <v>8400</v>
      </c>
      <c r="Q63">
        <v>90</v>
      </c>
      <c r="R63">
        <v>448</v>
      </c>
      <c r="S63">
        <v>814</v>
      </c>
      <c r="T63">
        <v>41786</v>
      </c>
      <c r="U63">
        <v>35013</v>
      </c>
      <c r="V63">
        <v>0</v>
      </c>
      <c r="W63">
        <v>0.2</v>
      </c>
      <c r="X63">
        <v>0.69721115499999997</v>
      </c>
      <c r="Y63">
        <v>0.42285714299999999</v>
      </c>
      <c r="Z63">
        <v>1262</v>
      </c>
      <c r="AA63">
        <v>0.35499207599999999</v>
      </c>
      <c r="AB63">
        <v>51.334152334000002</v>
      </c>
      <c r="AC63">
        <v>628260</v>
      </c>
    </row>
    <row r="64" spans="1:29" x14ac:dyDescent="0.45">
      <c r="A64" t="s">
        <v>217</v>
      </c>
      <c r="B64" t="s">
        <v>218</v>
      </c>
      <c r="C64" t="s">
        <v>193</v>
      </c>
      <c r="D64" t="s">
        <v>225</v>
      </c>
      <c r="E64" t="s">
        <v>227</v>
      </c>
      <c r="F64" t="s">
        <v>223</v>
      </c>
      <c r="G64" t="s">
        <v>236</v>
      </c>
      <c r="H64">
        <v>0</v>
      </c>
      <c r="I64">
        <v>0</v>
      </c>
      <c r="J64">
        <v>0</v>
      </c>
      <c r="K64">
        <v>0</v>
      </c>
      <c r="L64">
        <v>72</v>
      </c>
      <c r="M64">
        <v>72</v>
      </c>
      <c r="N64">
        <v>74</v>
      </c>
      <c r="O64">
        <v>3</v>
      </c>
      <c r="P64">
        <v>8400</v>
      </c>
      <c r="Q64">
        <v>90</v>
      </c>
      <c r="R64">
        <v>0</v>
      </c>
      <c r="S64">
        <v>0</v>
      </c>
      <c r="T64">
        <v>0</v>
      </c>
      <c r="U64">
        <v>0</v>
      </c>
      <c r="V64">
        <v>0.97297297299999996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604800</v>
      </c>
    </row>
    <row r="65" spans="1:29" x14ac:dyDescent="0.45">
      <c r="A65" t="s">
        <v>217</v>
      </c>
      <c r="B65" t="s">
        <v>218</v>
      </c>
      <c r="C65" t="s">
        <v>194</v>
      </c>
      <c r="D65" t="s">
        <v>219</v>
      </c>
      <c r="E65" t="s">
        <v>220</v>
      </c>
      <c r="F65" t="s">
        <v>221</v>
      </c>
      <c r="G65" t="s">
        <v>236</v>
      </c>
      <c r="H65">
        <v>515</v>
      </c>
      <c r="I65">
        <v>144</v>
      </c>
      <c r="J65">
        <v>104</v>
      </c>
      <c r="K65">
        <v>62</v>
      </c>
      <c r="L65">
        <v>0</v>
      </c>
      <c r="M65">
        <v>62</v>
      </c>
      <c r="N65">
        <v>0</v>
      </c>
      <c r="O65">
        <v>3</v>
      </c>
      <c r="P65">
        <v>7875</v>
      </c>
      <c r="Q65">
        <v>90</v>
      </c>
      <c r="R65">
        <v>220</v>
      </c>
      <c r="S65">
        <v>297</v>
      </c>
      <c r="T65">
        <v>12449</v>
      </c>
      <c r="U65">
        <v>17411</v>
      </c>
      <c r="V65">
        <v>0</v>
      </c>
      <c r="W65">
        <v>0.27961164999999999</v>
      </c>
      <c r="X65">
        <v>0.72222222199999997</v>
      </c>
      <c r="Y65">
        <v>0.59615384599999999</v>
      </c>
      <c r="Z65">
        <v>517</v>
      </c>
      <c r="AA65">
        <v>0.42553191499999998</v>
      </c>
      <c r="AB65">
        <v>41.915824915999998</v>
      </c>
      <c r="AC65">
        <v>493830</v>
      </c>
    </row>
    <row r="66" spans="1:29" x14ac:dyDescent="0.45">
      <c r="A66" t="s">
        <v>217</v>
      </c>
      <c r="B66" t="s">
        <v>218</v>
      </c>
      <c r="C66" t="s">
        <v>194</v>
      </c>
      <c r="D66" t="s">
        <v>219</v>
      </c>
      <c r="E66" t="s">
        <v>222</v>
      </c>
      <c r="F66" t="s">
        <v>223</v>
      </c>
      <c r="G66" t="s">
        <v>236</v>
      </c>
      <c r="H66">
        <v>0</v>
      </c>
      <c r="I66">
        <v>0</v>
      </c>
      <c r="J66">
        <v>0</v>
      </c>
      <c r="K66">
        <v>0</v>
      </c>
      <c r="L66">
        <v>60</v>
      </c>
      <c r="M66">
        <v>60</v>
      </c>
      <c r="N66">
        <v>62</v>
      </c>
      <c r="O66">
        <v>2</v>
      </c>
      <c r="P66">
        <v>7350</v>
      </c>
      <c r="Q66">
        <v>90</v>
      </c>
      <c r="R66">
        <v>0</v>
      </c>
      <c r="S66">
        <v>0</v>
      </c>
      <c r="T66">
        <v>0</v>
      </c>
      <c r="U66">
        <v>0</v>
      </c>
      <c r="V66">
        <v>0.96774193500000005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441000</v>
      </c>
    </row>
    <row r="67" spans="1:29" x14ac:dyDescent="0.45">
      <c r="A67" t="s">
        <v>217</v>
      </c>
      <c r="B67" t="s">
        <v>218</v>
      </c>
      <c r="C67" t="s">
        <v>194</v>
      </c>
      <c r="D67" t="s">
        <v>219</v>
      </c>
      <c r="E67" t="s">
        <v>224</v>
      </c>
      <c r="F67" t="s">
        <v>223</v>
      </c>
      <c r="G67" t="s">
        <v>236</v>
      </c>
      <c r="H67">
        <v>0</v>
      </c>
      <c r="I67">
        <v>0</v>
      </c>
      <c r="J67">
        <v>0</v>
      </c>
      <c r="K67">
        <v>0</v>
      </c>
      <c r="L67">
        <v>59</v>
      </c>
      <c r="M67">
        <v>59</v>
      </c>
      <c r="N67">
        <v>60</v>
      </c>
      <c r="O67">
        <v>2</v>
      </c>
      <c r="P67">
        <v>7350</v>
      </c>
      <c r="Q67">
        <v>90</v>
      </c>
      <c r="R67">
        <v>0</v>
      </c>
      <c r="S67">
        <v>0</v>
      </c>
      <c r="T67">
        <v>0</v>
      </c>
      <c r="U67">
        <v>0</v>
      </c>
      <c r="V67">
        <v>0.98333333300000003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433650</v>
      </c>
    </row>
    <row r="68" spans="1:29" x14ac:dyDescent="0.45">
      <c r="A68" t="s">
        <v>217</v>
      </c>
      <c r="B68" t="s">
        <v>218</v>
      </c>
      <c r="C68" t="s">
        <v>194</v>
      </c>
      <c r="D68" t="s">
        <v>225</v>
      </c>
      <c r="E68" t="s">
        <v>226</v>
      </c>
      <c r="F68" t="s">
        <v>223</v>
      </c>
      <c r="G68" t="s">
        <v>236</v>
      </c>
      <c r="H68">
        <v>1057</v>
      </c>
      <c r="I68">
        <v>211</v>
      </c>
      <c r="J68">
        <v>148</v>
      </c>
      <c r="K68">
        <v>62</v>
      </c>
      <c r="L68">
        <v>0</v>
      </c>
      <c r="M68">
        <v>62</v>
      </c>
      <c r="N68">
        <v>0</v>
      </c>
      <c r="O68">
        <v>3</v>
      </c>
      <c r="P68">
        <v>7875</v>
      </c>
      <c r="Q68">
        <v>90</v>
      </c>
      <c r="R68">
        <v>450</v>
      </c>
      <c r="S68">
        <v>608</v>
      </c>
      <c r="T68">
        <v>25536</v>
      </c>
      <c r="U68">
        <v>35714</v>
      </c>
      <c r="V68">
        <v>0</v>
      </c>
      <c r="W68">
        <v>0.19962157</v>
      </c>
      <c r="X68">
        <v>0.70142180099999996</v>
      </c>
      <c r="Y68">
        <v>0.418918919</v>
      </c>
      <c r="Z68">
        <v>1058</v>
      </c>
      <c r="AA68">
        <v>0.42533081299999997</v>
      </c>
      <c r="AB68">
        <v>42</v>
      </c>
      <c r="AC68">
        <v>493830</v>
      </c>
    </row>
    <row r="69" spans="1:29" x14ac:dyDescent="0.45">
      <c r="A69" t="s">
        <v>217</v>
      </c>
      <c r="B69" t="s">
        <v>218</v>
      </c>
      <c r="C69" t="s">
        <v>194</v>
      </c>
      <c r="D69" t="s">
        <v>225</v>
      </c>
      <c r="E69" t="s">
        <v>227</v>
      </c>
      <c r="F69" t="s">
        <v>223</v>
      </c>
      <c r="G69" t="s">
        <v>236</v>
      </c>
      <c r="H69">
        <v>0</v>
      </c>
      <c r="I69">
        <v>0</v>
      </c>
      <c r="J69">
        <v>0</v>
      </c>
      <c r="K69">
        <v>0</v>
      </c>
      <c r="L69">
        <v>61</v>
      </c>
      <c r="M69">
        <v>61</v>
      </c>
      <c r="N69">
        <v>62</v>
      </c>
      <c r="O69">
        <v>3</v>
      </c>
      <c r="P69">
        <v>7875</v>
      </c>
      <c r="Q69">
        <v>90</v>
      </c>
      <c r="R69">
        <v>0</v>
      </c>
      <c r="S69">
        <v>0</v>
      </c>
      <c r="T69">
        <v>0</v>
      </c>
      <c r="U69">
        <v>0</v>
      </c>
      <c r="V69">
        <v>0.98387096799999996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480375</v>
      </c>
    </row>
    <row r="70" spans="1:29" x14ac:dyDescent="0.45">
      <c r="A70" t="s">
        <v>217</v>
      </c>
      <c r="B70" t="s">
        <v>218</v>
      </c>
      <c r="C70" t="s">
        <v>195</v>
      </c>
      <c r="D70" t="s">
        <v>219</v>
      </c>
      <c r="E70" t="s">
        <v>220</v>
      </c>
      <c r="F70" t="s">
        <v>221</v>
      </c>
      <c r="G70" t="s">
        <v>236</v>
      </c>
      <c r="H70">
        <v>468</v>
      </c>
      <c r="I70">
        <v>131</v>
      </c>
      <c r="J70">
        <v>94</v>
      </c>
      <c r="K70">
        <v>57</v>
      </c>
      <c r="L70">
        <v>0</v>
      </c>
      <c r="M70">
        <v>57</v>
      </c>
      <c r="N70">
        <v>0</v>
      </c>
      <c r="O70">
        <v>2</v>
      </c>
      <c r="P70">
        <v>7500</v>
      </c>
      <c r="Q70">
        <v>90</v>
      </c>
      <c r="R70">
        <v>222</v>
      </c>
      <c r="S70">
        <v>245</v>
      </c>
      <c r="T70">
        <v>9379</v>
      </c>
      <c r="U70">
        <v>17832</v>
      </c>
      <c r="V70">
        <v>0</v>
      </c>
      <c r="W70">
        <v>0.27991452999999999</v>
      </c>
      <c r="X70">
        <v>0.71755725199999998</v>
      </c>
      <c r="Y70">
        <v>0.60638297900000004</v>
      </c>
      <c r="Z70">
        <v>467</v>
      </c>
      <c r="AA70">
        <v>0.47537473200000002</v>
      </c>
      <c r="AB70">
        <v>38.281632653000003</v>
      </c>
      <c r="AC70">
        <v>432630</v>
      </c>
    </row>
    <row r="71" spans="1:29" x14ac:dyDescent="0.45">
      <c r="A71" t="s">
        <v>217</v>
      </c>
      <c r="B71" t="s">
        <v>218</v>
      </c>
      <c r="C71" t="s">
        <v>195</v>
      </c>
      <c r="D71" t="s">
        <v>219</v>
      </c>
      <c r="E71" t="s">
        <v>222</v>
      </c>
      <c r="F71" t="s">
        <v>223</v>
      </c>
      <c r="G71" t="s">
        <v>236</v>
      </c>
      <c r="H71">
        <v>0</v>
      </c>
      <c r="I71">
        <v>0</v>
      </c>
      <c r="J71">
        <v>0</v>
      </c>
      <c r="K71">
        <v>0</v>
      </c>
      <c r="L71">
        <v>55</v>
      </c>
      <c r="M71">
        <v>55</v>
      </c>
      <c r="N71">
        <v>57</v>
      </c>
      <c r="O71">
        <v>2</v>
      </c>
      <c r="P71">
        <v>7000</v>
      </c>
      <c r="Q71">
        <v>90</v>
      </c>
      <c r="R71">
        <v>0</v>
      </c>
      <c r="S71">
        <v>0</v>
      </c>
      <c r="T71">
        <v>0</v>
      </c>
      <c r="U71">
        <v>0</v>
      </c>
      <c r="V71">
        <v>0.96491228100000004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385000</v>
      </c>
    </row>
    <row r="72" spans="1:29" x14ac:dyDescent="0.45">
      <c r="A72" t="s">
        <v>217</v>
      </c>
      <c r="B72" t="s">
        <v>218</v>
      </c>
      <c r="C72" t="s">
        <v>195</v>
      </c>
      <c r="D72" t="s">
        <v>219</v>
      </c>
      <c r="E72" t="s">
        <v>224</v>
      </c>
      <c r="F72" t="s">
        <v>223</v>
      </c>
      <c r="G72" t="s">
        <v>236</v>
      </c>
      <c r="H72">
        <v>0</v>
      </c>
      <c r="I72">
        <v>0</v>
      </c>
      <c r="J72">
        <v>0</v>
      </c>
      <c r="K72">
        <v>0</v>
      </c>
      <c r="L72">
        <v>54</v>
      </c>
      <c r="M72">
        <v>54</v>
      </c>
      <c r="N72">
        <v>55</v>
      </c>
      <c r="O72">
        <v>2</v>
      </c>
      <c r="P72">
        <v>7000</v>
      </c>
      <c r="Q72">
        <v>90</v>
      </c>
      <c r="R72">
        <v>0</v>
      </c>
      <c r="S72">
        <v>0</v>
      </c>
      <c r="T72">
        <v>0</v>
      </c>
      <c r="U72">
        <v>0</v>
      </c>
      <c r="V72">
        <v>0.98181818200000004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378000</v>
      </c>
    </row>
    <row r="73" spans="1:29" x14ac:dyDescent="0.45">
      <c r="A73" t="s">
        <v>217</v>
      </c>
      <c r="B73" t="s">
        <v>218</v>
      </c>
      <c r="C73" t="s">
        <v>195</v>
      </c>
      <c r="D73" t="s">
        <v>225</v>
      </c>
      <c r="E73" t="s">
        <v>226</v>
      </c>
      <c r="F73" t="s">
        <v>223</v>
      </c>
      <c r="G73" t="s">
        <v>236</v>
      </c>
      <c r="H73">
        <v>962</v>
      </c>
      <c r="I73">
        <v>192</v>
      </c>
      <c r="J73">
        <v>135</v>
      </c>
      <c r="K73">
        <v>57</v>
      </c>
      <c r="L73">
        <v>0</v>
      </c>
      <c r="M73">
        <v>57</v>
      </c>
      <c r="N73">
        <v>0</v>
      </c>
      <c r="O73">
        <v>3</v>
      </c>
      <c r="P73">
        <v>7500</v>
      </c>
      <c r="Q73">
        <v>90</v>
      </c>
      <c r="R73">
        <v>458</v>
      </c>
      <c r="S73">
        <v>504</v>
      </c>
      <c r="T73">
        <v>19287</v>
      </c>
      <c r="U73">
        <v>36670</v>
      </c>
      <c r="V73">
        <v>0</v>
      </c>
      <c r="W73">
        <v>0.19958419999999999</v>
      </c>
      <c r="X73">
        <v>0.703125</v>
      </c>
      <c r="Y73">
        <v>0.42222222199999998</v>
      </c>
      <c r="Z73">
        <v>962</v>
      </c>
      <c r="AA73">
        <v>0.47609147600000001</v>
      </c>
      <c r="AB73">
        <v>38.267857143000001</v>
      </c>
      <c r="AC73">
        <v>432630</v>
      </c>
    </row>
    <row r="74" spans="1:29" x14ac:dyDescent="0.45">
      <c r="A74" t="s">
        <v>217</v>
      </c>
      <c r="B74" t="s">
        <v>218</v>
      </c>
      <c r="C74" t="s">
        <v>195</v>
      </c>
      <c r="D74" t="s">
        <v>225</v>
      </c>
      <c r="E74" t="s">
        <v>227</v>
      </c>
      <c r="F74" t="s">
        <v>223</v>
      </c>
      <c r="G74" t="s">
        <v>236</v>
      </c>
      <c r="H74">
        <v>0</v>
      </c>
      <c r="I74">
        <v>0</v>
      </c>
      <c r="J74">
        <v>0</v>
      </c>
      <c r="K74">
        <v>0</v>
      </c>
      <c r="L74">
        <v>56</v>
      </c>
      <c r="M74">
        <v>56</v>
      </c>
      <c r="N74">
        <v>57</v>
      </c>
      <c r="O74">
        <v>3</v>
      </c>
      <c r="P74">
        <v>7500</v>
      </c>
      <c r="Q74">
        <v>90</v>
      </c>
      <c r="R74">
        <v>0</v>
      </c>
      <c r="S74">
        <v>0</v>
      </c>
      <c r="T74">
        <v>0</v>
      </c>
      <c r="U74">
        <v>0</v>
      </c>
      <c r="V74">
        <v>0.98245614000000003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420000</v>
      </c>
    </row>
    <row r="75" spans="1:29" x14ac:dyDescent="0.45">
      <c r="A75" t="s">
        <v>217</v>
      </c>
      <c r="B75" t="s">
        <v>218</v>
      </c>
      <c r="C75" t="s">
        <v>196</v>
      </c>
      <c r="D75" t="s">
        <v>219</v>
      </c>
      <c r="E75" t="s">
        <v>220</v>
      </c>
      <c r="F75" t="s">
        <v>221</v>
      </c>
      <c r="G75" t="s">
        <v>236</v>
      </c>
      <c r="H75">
        <v>397</v>
      </c>
      <c r="I75">
        <v>111</v>
      </c>
      <c r="J75">
        <v>80</v>
      </c>
      <c r="K75">
        <v>48</v>
      </c>
      <c r="L75">
        <v>0</v>
      </c>
      <c r="M75">
        <v>48</v>
      </c>
      <c r="N75">
        <v>0</v>
      </c>
      <c r="O75">
        <v>2</v>
      </c>
      <c r="P75">
        <v>7275</v>
      </c>
      <c r="Q75">
        <v>90</v>
      </c>
      <c r="R75">
        <v>193</v>
      </c>
      <c r="S75">
        <v>204</v>
      </c>
      <c r="T75">
        <v>7417</v>
      </c>
      <c r="U75">
        <v>15467</v>
      </c>
      <c r="V75">
        <v>0</v>
      </c>
      <c r="W75">
        <v>0.27959697700000002</v>
      </c>
      <c r="X75">
        <v>0.72072072099999995</v>
      </c>
      <c r="Y75">
        <v>0.6</v>
      </c>
      <c r="Z75">
        <v>397</v>
      </c>
      <c r="AA75">
        <v>0.48614609600000003</v>
      </c>
      <c r="AB75">
        <v>36.357843137000003</v>
      </c>
      <c r="AC75">
        <v>353520</v>
      </c>
    </row>
    <row r="76" spans="1:29" x14ac:dyDescent="0.45">
      <c r="A76" t="s">
        <v>217</v>
      </c>
      <c r="B76" t="s">
        <v>218</v>
      </c>
      <c r="C76" t="s">
        <v>196</v>
      </c>
      <c r="D76" t="s">
        <v>219</v>
      </c>
      <c r="E76" t="s">
        <v>222</v>
      </c>
      <c r="F76" t="s">
        <v>223</v>
      </c>
      <c r="G76" t="s">
        <v>236</v>
      </c>
      <c r="H76">
        <v>0</v>
      </c>
      <c r="I76">
        <v>0</v>
      </c>
      <c r="J76">
        <v>0</v>
      </c>
      <c r="K76">
        <v>0</v>
      </c>
      <c r="L76">
        <v>46</v>
      </c>
      <c r="M76">
        <v>46</v>
      </c>
      <c r="N76">
        <v>48</v>
      </c>
      <c r="O76">
        <v>2</v>
      </c>
      <c r="P76">
        <v>6790</v>
      </c>
      <c r="Q76">
        <v>90</v>
      </c>
      <c r="R76">
        <v>0</v>
      </c>
      <c r="S76">
        <v>0</v>
      </c>
      <c r="T76">
        <v>0</v>
      </c>
      <c r="U76">
        <v>0</v>
      </c>
      <c r="V76">
        <v>0.95833333300000001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312340</v>
      </c>
    </row>
    <row r="77" spans="1:29" x14ac:dyDescent="0.45">
      <c r="A77" t="s">
        <v>217</v>
      </c>
      <c r="B77" t="s">
        <v>218</v>
      </c>
      <c r="C77" t="s">
        <v>196</v>
      </c>
      <c r="D77" t="s">
        <v>219</v>
      </c>
      <c r="E77" t="s">
        <v>224</v>
      </c>
      <c r="F77" t="s">
        <v>223</v>
      </c>
      <c r="G77" t="s">
        <v>236</v>
      </c>
      <c r="H77">
        <v>0</v>
      </c>
      <c r="I77">
        <v>0</v>
      </c>
      <c r="J77">
        <v>0</v>
      </c>
      <c r="K77">
        <v>0</v>
      </c>
      <c r="L77">
        <v>45</v>
      </c>
      <c r="M77">
        <v>45</v>
      </c>
      <c r="N77">
        <v>46</v>
      </c>
      <c r="O77">
        <v>2</v>
      </c>
      <c r="P77">
        <v>6790</v>
      </c>
      <c r="Q77">
        <v>90</v>
      </c>
      <c r="R77">
        <v>0</v>
      </c>
      <c r="S77">
        <v>0</v>
      </c>
      <c r="T77">
        <v>0</v>
      </c>
      <c r="U77">
        <v>0</v>
      </c>
      <c r="V77">
        <v>0.97826086999999995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305550</v>
      </c>
    </row>
    <row r="78" spans="1:29" x14ac:dyDescent="0.45">
      <c r="A78" t="s">
        <v>217</v>
      </c>
      <c r="B78" t="s">
        <v>218</v>
      </c>
      <c r="C78" t="s">
        <v>196</v>
      </c>
      <c r="D78" t="s">
        <v>225</v>
      </c>
      <c r="E78" t="s">
        <v>226</v>
      </c>
      <c r="F78" t="s">
        <v>223</v>
      </c>
      <c r="G78" t="s">
        <v>236</v>
      </c>
      <c r="H78">
        <v>816</v>
      </c>
      <c r="I78">
        <v>163</v>
      </c>
      <c r="J78">
        <v>114</v>
      </c>
      <c r="K78">
        <v>48</v>
      </c>
      <c r="L78">
        <v>0</v>
      </c>
      <c r="M78">
        <v>48</v>
      </c>
      <c r="N78">
        <v>0</v>
      </c>
      <c r="O78">
        <v>2</v>
      </c>
      <c r="P78">
        <v>7275</v>
      </c>
      <c r="Q78">
        <v>90</v>
      </c>
      <c r="R78">
        <v>396</v>
      </c>
      <c r="S78">
        <v>419</v>
      </c>
      <c r="T78">
        <v>15240</v>
      </c>
      <c r="U78">
        <v>31779</v>
      </c>
      <c r="V78">
        <v>0</v>
      </c>
      <c r="W78">
        <v>0.19975490200000001</v>
      </c>
      <c r="X78">
        <v>0.69938650300000005</v>
      </c>
      <c r="Y78">
        <v>0.42105263199999998</v>
      </c>
      <c r="Z78">
        <v>815</v>
      </c>
      <c r="AA78">
        <v>0.48588957100000002</v>
      </c>
      <c r="AB78">
        <v>36.372315036000003</v>
      </c>
      <c r="AC78">
        <v>353520</v>
      </c>
    </row>
    <row r="79" spans="1:29" x14ac:dyDescent="0.45">
      <c r="A79" t="s">
        <v>217</v>
      </c>
      <c r="B79" t="s">
        <v>218</v>
      </c>
      <c r="C79" t="s">
        <v>196</v>
      </c>
      <c r="D79" t="s">
        <v>225</v>
      </c>
      <c r="E79" t="s">
        <v>227</v>
      </c>
      <c r="F79" t="s">
        <v>223</v>
      </c>
      <c r="G79" t="s">
        <v>236</v>
      </c>
      <c r="H79">
        <v>0</v>
      </c>
      <c r="I79">
        <v>0</v>
      </c>
      <c r="J79">
        <v>0</v>
      </c>
      <c r="K79">
        <v>0</v>
      </c>
      <c r="L79">
        <v>47</v>
      </c>
      <c r="M79">
        <v>47</v>
      </c>
      <c r="N79">
        <v>48</v>
      </c>
      <c r="O79">
        <v>2</v>
      </c>
      <c r="P79">
        <v>7275</v>
      </c>
      <c r="Q79">
        <v>90</v>
      </c>
      <c r="R79">
        <v>0</v>
      </c>
      <c r="S79">
        <v>0</v>
      </c>
      <c r="T79">
        <v>0</v>
      </c>
      <c r="U79">
        <v>0</v>
      </c>
      <c r="V79">
        <v>0.97916666699999999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341925</v>
      </c>
    </row>
    <row r="80" spans="1:29" x14ac:dyDescent="0.45">
      <c r="A80" t="s">
        <v>217</v>
      </c>
      <c r="B80" t="s">
        <v>218</v>
      </c>
      <c r="C80" t="s">
        <v>197</v>
      </c>
      <c r="D80" t="s">
        <v>228</v>
      </c>
      <c r="E80" t="s">
        <v>220</v>
      </c>
      <c r="F80" t="s">
        <v>221</v>
      </c>
      <c r="G80" t="s">
        <v>236</v>
      </c>
      <c r="H80">
        <v>562</v>
      </c>
      <c r="I80">
        <v>158</v>
      </c>
      <c r="J80">
        <v>113</v>
      </c>
      <c r="K80">
        <v>68</v>
      </c>
      <c r="L80">
        <v>0</v>
      </c>
      <c r="M80">
        <v>68</v>
      </c>
      <c r="N80">
        <v>0</v>
      </c>
      <c r="O80">
        <v>3</v>
      </c>
      <c r="P80">
        <v>8400</v>
      </c>
      <c r="Q80">
        <v>90</v>
      </c>
      <c r="R80">
        <v>220</v>
      </c>
      <c r="S80">
        <v>354</v>
      </c>
      <c r="T80">
        <v>18140</v>
      </c>
      <c r="U80">
        <v>18785</v>
      </c>
      <c r="V80">
        <v>0</v>
      </c>
      <c r="W80">
        <v>0.28113879000000003</v>
      </c>
      <c r="X80">
        <v>0.71518987300000003</v>
      </c>
      <c r="Y80">
        <v>0.60176991199999996</v>
      </c>
      <c r="Z80">
        <v>574</v>
      </c>
      <c r="AA80">
        <v>0.38327526099999998</v>
      </c>
      <c r="AB80">
        <v>51.242937853000001</v>
      </c>
      <c r="AC80">
        <v>577320</v>
      </c>
    </row>
    <row r="81" spans="1:29" x14ac:dyDescent="0.45">
      <c r="A81" t="s">
        <v>217</v>
      </c>
      <c r="B81" t="s">
        <v>218</v>
      </c>
      <c r="C81" t="s">
        <v>197</v>
      </c>
      <c r="D81" t="s">
        <v>228</v>
      </c>
      <c r="E81" t="s">
        <v>222</v>
      </c>
      <c r="F81" t="s">
        <v>223</v>
      </c>
      <c r="G81" t="s">
        <v>236</v>
      </c>
      <c r="H81">
        <v>0</v>
      </c>
      <c r="I81">
        <v>0</v>
      </c>
      <c r="J81">
        <v>0</v>
      </c>
      <c r="K81">
        <v>0</v>
      </c>
      <c r="L81">
        <v>66</v>
      </c>
      <c r="M81">
        <v>66</v>
      </c>
      <c r="N81">
        <v>68</v>
      </c>
      <c r="O81">
        <v>3</v>
      </c>
      <c r="P81">
        <v>7840</v>
      </c>
      <c r="Q81">
        <v>90</v>
      </c>
      <c r="R81">
        <v>0</v>
      </c>
      <c r="S81">
        <v>0</v>
      </c>
      <c r="T81">
        <v>0</v>
      </c>
      <c r="U81">
        <v>0</v>
      </c>
      <c r="V81">
        <v>0.97058823500000002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517440</v>
      </c>
    </row>
    <row r="82" spans="1:29" x14ac:dyDescent="0.45">
      <c r="A82" t="s">
        <v>217</v>
      </c>
      <c r="B82" t="s">
        <v>218</v>
      </c>
      <c r="C82" t="s">
        <v>197</v>
      </c>
      <c r="D82" t="s">
        <v>228</v>
      </c>
      <c r="E82" t="s">
        <v>224</v>
      </c>
      <c r="F82" t="s">
        <v>223</v>
      </c>
      <c r="G82" t="s">
        <v>236</v>
      </c>
      <c r="H82">
        <v>0</v>
      </c>
      <c r="I82">
        <v>0</v>
      </c>
      <c r="J82">
        <v>0</v>
      </c>
      <c r="K82">
        <v>0</v>
      </c>
      <c r="L82">
        <v>65</v>
      </c>
      <c r="M82">
        <v>65</v>
      </c>
      <c r="N82">
        <v>66</v>
      </c>
      <c r="O82">
        <v>3</v>
      </c>
      <c r="P82">
        <v>7840</v>
      </c>
      <c r="Q82">
        <v>90</v>
      </c>
      <c r="R82">
        <v>0</v>
      </c>
      <c r="S82">
        <v>0</v>
      </c>
      <c r="T82">
        <v>0</v>
      </c>
      <c r="U82">
        <v>0</v>
      </c>
      <c r="V82">
        <v>0.984848485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509600</v>
      </c>
    </row>
    <row r="83" spans="1:29" x14ac:dyDescent="0.45">
      <c r="A83" t="s">
        <v>217</v>
      </c>
      <c r="B83" t="s">
        <v>218</v>
      </c>
      <c r="C83" t="s">
        <v>197</v>
      </c>
      <c r="D83" t="s">
        <v>229</v>
      </c>
      <c r="E83" t="s">
        <v>226</v>
      </c>
      <c r="F83" t="s">
        <v>223</v>
      </c>
      <c r="G83" t="s">
        <v>236</v>
      </c>
      <c r="H83">
        <v>1151</v>
      </c>
      <c r="I83">
        <v>230</v>
      </c>
      <c r="J83">
        <v>161</v>
      </c>
      <c r="K83">
        <v>68</v>
      </c>
      <c r="L83">
        <v>0</v>
      </c>
      <c r="M83">
        <v>68</v>
      </c>
      <c r="N83">
        <v>0</v>
      </c>
      <c r="O83">
        <v>3</v>
      </c>
      <c r="P83">
        <v>8400</v>
      </c>
      <c r="Q83">
        <v>90</v>
      </c>
      <c r="R83">
        <v>450</v>
      </c>
      <c r="S83">
        <v>726</v>
      </c>
      <c r="T83">
        <v>37132</v>
      </c>
      <c r="U83">
        <v>38451</v>
      </c>
      <c r="V83">
        <v>0</v>
      </c>
      <c r="W83">
        <v>0.19982623799999999</v>
      </c>
      <c r="X83">
        <v>0.7</v>
      </c>
      <c r="Y83">
        <v>0.42236024799999999</v>
      </c>
      <c r="Z83">
        <v>1176</v>
      </c>
      <c r="AA83">
        <v>0.38265306100000002</v>
      </c>
      <c r="AB83">
        <v>51.146005510000002</v>
      </c>
      <c r="AC83">
        <v>577320</v>
      </c>
    </row>
    <row r="84" spans="1:29" x14ac:dyDescent="0.45">
      <c r="A84" t="s">
        <v>217</v>
      </c>
      <c r="B84" t="s">
        <v>218</v>
      </c>
      <c r="C84" t="s">
        <v>197</v>
      </c>
      <c r="D84" t="s">
        <v>229</v>
      </c>
      <c r="E84" t="s">
        <v>227</v>
      </c>
      <c r="F84" t="s">
        <v>223</v>
      </c>
      <c r="G84" t="s">
        <v>236</v>
      </c>
      <c r="H84">
        <v>0</v>
      </c>
      <c r="I84">
        <v>0</v>
      </c>
      <c r="J84">
        <v>0</v>
      </c>
      <c r="K84">
        <v>0</v>
      </c>
      <c r="L84">
        <v>67</v>
      </c>
      <c r="M84">
        <v>67</v>
      </c>
      <c r="N84">
        <v>68</v>
      </c>
      <c r="O84">
        <v>3</v>
      </c>
      <c r="P84">
        <v>8400</v>
      </c>
      <c r="Q84">
        <v>90</v>
      </c>
      <c r="R84">
        <v>0</v>
      </c>
      <c r="S84">
        <v>0</v>
      </c>
      <c r="T84">
        <v>0</v>
      </c>
      <c r="U84">
        <v>0</v>
      </c>
      <c r="V84">
        <v>0.985294118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562800</v>
      </c>
    </row>
    <row r="85" spans="1:29" x14ac:dyDescent="0.45">
      <c r="A85" t="s">
        <v>217</v>
      </c>
      <c r="B85" t="s">
        <v>218</v>
      </c>
      <c r="C85" t="s">
        <v>198</v>
      </c>
      <c r="D85" t="s">
        <v>228</v>
      </c>
      <c r="E85" t="s">
        <v>220</v>
      </c>
      <c r="F85" t="s">
        <v>221</v>
      </c>
      <c r="G85" t="s">
        <v>236</v>
      </c>
      <c r="H85">
        <v>388</v>
      </c>
      <c r="I85">
        <v>108</v>
      </c>
      <c r="J85">
        <v>78</v>
      </c>
      <c r="K85">
        <v>47</v>
      </c>
      <c r="L85">
        <v>0</v>
      </c>
      <c r="M85">
        <v>47</v>
      </c>
      <c r="N85">
        <v>0</v>
      </c>
      <c r="O85">
        <v>2</v>
      </c>
      <c r="P85">
        <v>7350</v>
      </c>
      <c r="Q85">
        <v>90</v>
      </c>
      <c r="R85">
        <v>199</v>
      </c>
      <c r="S85">
        <v>196</v>
      </c>
      <c r="T85">
        <v>7473</v>
      </c>
      <c r="U85">
        <v>17199</v>
      </c>
      <c r="V85">
        <v>0</v>
      </c>
      <c r="W85">
        <v>0.27835051500000002</v>
      </c>
      <c r="X85">
        <v>0.72222222199999997</v>
      </c>
      <c r="Y85">
        <v>0.60256410299999996</v>
      </c>
      <c r="Z85">
        <v>395</v>
      </c>
      <c r="AA85">
        <v>0.50379746800000003</v>
      </c>
      <c r="AB85">
        <v>38.127551019999999</v>
      </c>
      <c r="AC85">
        <v>349680</v>
      </c>
    </row>
    <row r="86" spans="1:29" x14ac:dyDescent="0.45">
      <c r="A86" t="s">
        <v>217</v>
      </c>
      <c r="B86" t="s">
        <v>218</v>
      </c>
      <c r="C86" t="s">
        <v>198</v>
      </c>
      <c r="D86" t="s">
        <v>228</v>
      </c>
      <c r="E86" t="s">
        <v>222</v>
      </c>
      <c r="F86" t="s">
        <v>223</v>
      </c>
      <c r="G86" t="s">
        <v>236</v>
      </c>
      <c r="H86">
        <v>0</v>
      </c>
      <c r="I86">
        <v>0</v>
      </c>
      <c r="J86">
        <v>0</v>
      </c>
      <c r="K86">
        <v>0</v>
      </c>
      <c r="L86">
        <v>45</v>
      </c>
      <c r="M86">
        <v>45</v>
      </c>
      <c r="N86">
        <v>47</v>
      </c>
      <c r="O86">
        <v>2</v>
      </c>
      <c r="P86">
        <v>6860</v>
      </c>
      <c r="Q86">
        <v>90</v>
      </c>
      <c r="R86">
        <v>0</v>
      </c>
      <c r="S86">
        <v>0</v>
      </c>
      <c r="T86">
        <v>0</v>
      </c>
      <c r="U86">
        <v>0</v>
      </c>
      <c r="V86">
        <v>0.95744680900000001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308700</v>
      </c>
    </row>
    <row r="87" spans="1:29" x14ac:dyDescent="0.45">
      <c r="A87" t="s">
        <v>217</v>
      </c>
      <c r="B87" t="s">
        <v>218</v>
      </c>
      <c r="C87" t="s">
        <v>198</v>
      </c>
      <c r="D87" t="s">
        <v>228</v>
      </c>
      <c r="E87" t="s">
        <v>224</v>
      </c>
      <c r="F87" t="s">
        <v>223</v>
      </c>
      <c r="G87" t="s">
        <v>236</v>
      </c>
      <c r="H87">
        <v>0</v>
      </c>
      <c r="I87">
        <v>0</v>
      </c>
      <c r="J87">
        <v>0</v>
      </c>
      <c r="K87">
        <v>0</v>
      </c>
      <c r="L87">
        <v>44</v>
      </c>
      <c r="M87">
        <v>44</v>
      </c>
      <c r="N87">
        <v>45</v>
      </c>
      <c r="O87">
        <v>2</v>
      </c>
      <c r="P87">
        <v>6860</v>
      </c>
      <c r="Q87">
        <v>90</v>
      </c>
      <c r="R87">
        <v>0</v>
      </c>
      <c r="S87">
        <v>0</v>
      </c>
      <c r="T87">
        <v>0</v>
      </c>
      <c r="U87">
        <v>0</v>
      </c>
      <c r="V87">
        <v>0.97777777799999999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301840</v>
      </c>
    </row>
    <row r="88" spans="1:29" x14ac:dyDescent="0.45">
      <c r="A88" t="s">
        <v>217</v>
      </c>
      <c r="B88" t="s">
        <v>218</v>
      </c>
      <c r="C88" t="s">
        <v>198</v>
      </c>
      <c r="D88" t="s">
        <v>229</v>
      </c>
      <c r="E88" t="s">
        <v>226</v>
      </c>
      <c r="F88" t="s">
        <v>223</v>
      </c>
      <c r="G88" t="s">
        <v>236</v>
      </c>
      <c r="H88">
        <v>802</v>
      </c>
      <c r="I88">
        <v>160</v>
      </c>
      <c r="J88">
        <v>112</v>
      </c>
      <c r="K88">
        <v>47</v>
      </c>
      <c r="L88">
        <v>0</v>
      </c>
      <c r="M88">
        <v>47</v>
      </c>
      <c r="N88">
        <v>0</v>
      </c>
      <c r="O88">
        <v>2</v>
      </c>
      <c r="P88">
        <v>7350</v>
      </c>
      <c r="Q88">
        <v>90</v>
      </c>
      <c r="R88">
        <v>413</v>
      </c>
      <c r="S88">
        <v>404</v>
      </c>
      <c r="T88">
        <v>15454</v>
      </c>
      <c r="U88">
        <v>35569</v>
      </c>
      <c r="V88">
        <v>0</v>
      </c>
      <c r="W88">
        <v>0.19950124699999999</v>
      </c>
      <c r="X88">
        <v>0.7</v>
      </c>
      <c r="Y88">
        <v>0.41964285699999998</v>
      </c>
      <c r="Z88">
        <v>817</v>
      </c>
      <c r="AA88">
        <v>0.50550795599999998</v>
      </c>
      <c r="AB88">
        <v>38.252475248000003</v>
      </c>
      <c r="AC88">
        <v>349680</v>
      </c>
    </row>
    <row r="89" spans="1:29" x14ac:dyDescent="0.45">
      <c r="A89" t="s">
        <v>217</v>
      </c>
      <c r="B89" t="s">
        <v>218</v>
      </c>
      <c r="C89" t="s">
        <v>198</v>
      </c>
      <c r="D89" t="s">
        <v>229</v>
      </c>
      <c r="E89" t="s">
        <v>227</v>
      </c>
      <c r="F89" t="s">
        <v>223</v>
      </c>
      <c r="G89" t="s">
        <v>236</v>
      </c>
      <c r="H89">
        <v>0</v>
      </c>
      <c r="I89">
        <v>0</v>
      </c>
      <c r="J89">
        <v>0</v>
      </c>
      <c r="K89">
        <v>0</v>
      </c>
      <c r="L89">
        <v>46</v>
      </c>
      <c r="M89">
        <v>46</v>
      </c>
      <c r="N89">
        <v>47</v>
      </c>
      <c r="O89">
        <v>2</v>
      </c>
      <c r="P89">
        <v>7350</v>
      </c>
      <c r="Q89">
        <v>90</v>
      </c>
      <c r="R89">
        <v>0</v>
      </c>
      <c r="S89">
        <v>0</v>
      </c>
      <c r="T89">
        <v>0</v>
      </c>
      <c r="U89">
        <v>0</v>
      </c>
      <c r="V89">
        <v>0.97872340400000002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338100</v>
      </c>
    </row>
    <row r="90" spans="1:29" x14ac:dyDescent="0.45">
      <c r="A90" t="s">
        <v>217</v>
      </c>
      <c r="B90" t="s">
        <v>218</v>
      </c>
      <c r="C90" t="s">
        <v>199</v>
      </c>
      <c r="D90" t="s">
        <v>228</v>
      </c>
      <c r="E90" t="s">
        <v>220</v>
      </c>
      <c r="F90" t="s">
        <v>221</v>
      </c>
      <c r="G90" t="s">
        <v>236</v>
      </c>
      <c r="H90">
        <v>364</v>
      </c>
      <c r="I90">
        <v>102</v>
      </c>
      <c r="J90">
        <v>74</v>
      </c>
      <c r="K90">
        <v>44</v>
      </c>
      <c r="L90">
        <v>0</v>
      </c>
      <c r="M90">
        <v>44</v>
      </c>
      <c r="N90">
        <v>0</v>
      </c>
      <c r="O90">
        <v>2</v>
      </c>
      <c r="P90">
        <v>7200</v>
      </c>
      <c r="Q90">
        <v>90</v>
      </c>
      <c r="R90">
        <v>191</v>
      </c>
      <c r="S90">
        <v>180</v>
      </c>
      <c r="T90">
        <v>6534</v>
      </c>
      <c r="U90">
        <v>16504</v>
      </c>
      <c r="V90">
        <v>0</v>
      </c>
      <c r="W90">
        <v>0.28021977999999997</v>
      </c>
      <c r="X90">
        <v>0.72549019599999998</v>
      </c>
      <c r="Y90">
        <v>0.594594595</v>
      </c>
      <c r="Z90">
        <v>371</v>
      </c>
      <c r="AA90">
        <v>0.51482479800000003</v>
      </c>
      <c r="AB90">
        <v>36.299999999999997</v>
      </c>
      <c r="AC90">
        <v>320760</v>
      </c>
    </row>
    <row r="91" spans="1:29" x14ac:dyDescent="0.45">
      <c r="A91" t="s">
        <v>217</v>
      </c>
      <c r="B91" t="s">
        <v>218</v>
      </c>
      <c r="C91" t="s">
        <v>199</v>
      </c>
      <c r="D91" t="s">
        <v>228</v>
      </c>
      <c r="E91" t="s">
        <v>222</v>
      </c>
      <c r="F91" t="s">
        <v>223</v>
      </c>
      <c r="G91" t="s">
        <v>236</v>
      </c>
      <c r="H91">
        <v>0</v>
      </c>
      <c r="I91">
        <v>0</v>
      </c>
      <c r="J91">
        <v>0</v>
      </c>
      <c r="K91">
        <v>0</v>
      </c>
      <c r="L91">
        <v>43</v>
      </c>
      <c r="M91">
        <v>43</v>
      </c>
      <c r="N91">
        <v>44</v>
      </c>
      <c r="O91">
        <v>2</v>
      </c>
      <c r="P91">
        <v>6720</v>
      </c>
      <c r="Q91">
        <v>90</v>
      </c>
      <c r="R91">
        <v>0</v>
      </c>
      <c r="S91">
        <v>0</v>
      </c>
      <c r="T91">
        <v>0</v>
      </c>
      <c r="U91">
        <v>0</v>
      </c>
      <c r="V91">
        <v>0.97727272700000001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288960</v>
      </c>
    </row>
    <row r="92" spans="1:29" x14ac:dyDescent="0.45">
      <c r="A92" t="s">
        <v>217</v>
      </c>
      <c r="B92" t="s">
        <v>218</v>
      </c>
      <c r="C92" t="s">
        <v>199</v>
      </c>
      <c r="D92" t="s">
        <v>228</v>
      </c>
      <c r="E92" t="s">
        <v>224</v>
      </c>
      <c r="F92" t="s">
        <v>223</v>
      </c>
      <c r="G92" t="s">
        <v>236</v>
      </c>
      <c r="H92">
        <v>0</v>
      </c>
      <c r="I92">
        <v>0</v>
      </c>
      <c r="J92">
        <v>0</v>
      </c>
      <c r="K92">
        <v>0</v>
      </c>
      <c r="L92">
        <v>42</v>
      </c>
      <c r="M92">
        <v>42</v>
      </c>
      <c r="N92">
        <v>43</v>
      </c>
      <c r="O92">
        <v>2</v>
      </c>
      <c r="P92">
        <v>6720</v>
      </c>
      <c r="Q92">
        <v>90</v>
      </c>
      <c r="R92">
        <v>0</v>
      </c>
      <c r="S92">
        <v>0</v>
      </c>
      <c r="T92">
        <v>0</v>
      </c>
      <c r="U92">
        <v>0</v>
      </c>
      <c r="V92">
        <v>0.97674418600000001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282240</v>
      </c>
    </row>
    <row r="93" spans="1:29" x14ac:dyDescent="0.45">
      <c r="A93" t="s">
        <v>217</v>
      </c>
      <c r="B93" t="s">
        <v>218</v>
      </c>
      <c r="C93" t="s">
        <v>199</v>
      </c>
      <c r="D93" t="s">
        <v>229</v>
      </c>
      <c r="E93" t="s">
        <v>226</v>
      </c>
      <c r="F93" t="s">
        <v>223</v>
      </c>
      <c r="G93" t="s">
        <v>236</v>
      </c>
      <c r="H93">
        <v>755</v>
      </c>
      <c r="I93">
        <v>151</v>
      </c>
      <c r="J93">
        <v>106</v>
      </c>
      <c r="K93">
        <v>44</v>
      </c>
      <c r="L93">
        <v>0</v>
      </c>
      <c r="M93">
        <v>44</v>
      </c>
      <c r="N93">
        <v>0</v>
      </c>
      <c r="O93">
        <v>2</v>
      </c>
      <c r="P93">
        <v>7200</v>
      </c>
      <c r="Q93">
        <v>90</v>
      </c>
      <c r="R93">
        <v>396</v>
      </c>
      <c r="S93">
        <v>373</v>
      </c>
      <c r="T93">
        <v>13542</v>
      </c>
      <c r="U93">
        <v>34206</v>
      </c>
      <c r="V93">
        <v>0</v>
      </c>
      <c r="W93">
        <v>0.2</v>
      </c>
      <c r="X93">
        <v>0.70198675499999996</v>
      </c>
      <c r="Y93">
        <v>0.41509434000000001</v>
      </c>
      <c r="Z93">
        <v>769</v>
      </c>
      <c r="AA93">
        <v>0.51495448600000004</v>
      </c>
      <c r="AB93">
        <v>36.305630026999999</v>
      </c>
      <c r="AC93">
        <v>320760</v>
      </c>
    </row>
    <row r="94" spans="1:29" x14ac:dyDescent="0.45">
      <c r="A94" t="s">
        <v>217</v>
      </c>
      <c r="B94" t="s">
        <v>218</v>
      </c>
      <c r="C94" t="s">
        <v>199</v>
      </c>
      <c r="D94" t="s">
        <v>229</v>
      </c>
      <c r="E94" t="s">
        <v>227</v>
      </c>
      <c r="F94" t="s">
        <v>223</v>
      </c>
      <c r="G94" t="s">
        <v>236</v>
      </c>
      <c r="H94">
        <v>0</v>
      </c>
      <c r="I94">
        <v>0</v>
      </c>
      <c r="J94">
        <v>0</v>
      </c>
      <c r="K94">
        <v>0</v>
      </c>
      <c r="L94">
        <v>43</v>
      </c>
      <c r="M94">
        <v>43</v>
      </c>
      <c r="N94">
        <v>44</v>
      </c>
      <c r="O94">
        <v>2</v>
      </c>
      <c r="P94">
        <v>7200</v>
      </c>
      <c r="Q94">
        <v>90</v>
      </c>
      <c r="R94">
        <v>0</v>
      </c>
      <c r="S94">
        <v>0</v>
      </c>
      <c r="T94">
        <v>0</v>
      </c>
      <c r="U94">
        <v>0</v>
      </c>
      <c r="V94">
        <v>0.97727272700000001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309600</v>
      </c>
    </row>
    <row r="95" spans="1:29" x14ac:dyDescent="0.45">
      <c r="A95" t="s">
        <v>217</v>
      </c>
      <c r="B95" t="s">
        <v>218</v>
      </c>
      <c r="C95" t="s">
        <v>200</v>
      </c>
      <c r="D95" t="s">
        <v>230</v>
      </c>
      <c r="E95" t="s">
        <v>220</v>
      </c>
      <c r="F95" t="s">
        <v>223</v>
      </c>
      <c r="G95" t="s">
        <v>236</v>
      </c>
      <c r="H95">
        <v>802</v>
      </c>
      <c r="I95">
        <v>160</v>
      </c>
      <c r="J95">
        <v>112</v>
      </c>
      <c r="K95">
        <v>47</v>
      </c>
      <c r="L95">
        <v>0</v>
      </c>
      <c r="M95">
        <v>47</v>
      </c>
      <c r="N95">
        <v>0</v>
      </c>
      <c r="O95">
        <v>2</v>
      </c>
      <c r="P95">
        <v>7000</v>
      </c>
      <c r="Q95">
        <v>90</v>
      </c>
      <c r="R95">
        <v>281</v>
      </c>
      <c r="S95">
        <v>516</v>
      </c>
      <c r="T95">
        <v>19782</v>
      </c>
      <c r="U95">
        <v>21082</v>
      </c>
      <c r="V95">
        <v>0</v>
      </c>
      <c r="W95">
        <v>0.19950124699999999</v>
      </c>
      <c r="X95">
        <v>0.7</v>
      </c>
      <c r="Y95">
        <v>0.41964285699999998</v>
      </c>
      <c r="Z95">
        <v>797</v>
      </c>
      <c r="AA95">
        <v>0.35257214599999998</v>
      </c>
      <c r="AB95">
        <v>38.337209301999998</v>
      </c>
      <c r="AC95">
        <v>333230</v>
      </c>
    </row>
    <row r="96" spans="1:29" x14ac:dyDescent="0.45">
      <c r="A96" t="s">
        <v>217</v>
      </c>
      <c r="B96" t="s">
        <v>218</v>
      </c>
      <c r="C96" t="s">
        <v>200</v>
      </c>
      <c r="D96" t="s">
        <v>230</v>
      </c>
      <c r="E96" t="s">
        <v>222</v>
      </c>
      <c r="F96" t="s">
        <v>223</v>
      </c>
      <c r="G96" t="s">
        <v>236</v>
      </c>
      <c r="H96">
        <v>0</v>
      </c>
      <c r="I96">
        <v>0</v>
      </c>
      <c r="J96">
        <v>0</v>
      </c>
      <c r="K96">
        <v>0</v>
      </c>
      <c r="L96">
        <v>45</v>
      </c>
      <c r="M96">
        <v>45</v>
      </c>
      <c r="N96">
        <v>47</v>
      </c>
      <c r="O96">
        <v>2</v>
      </c>
      <c r="P96">
        <v>7000</v>
      </c>
      <c r="Q96">
        <v>90</v>
      </c>
      <c r="R96">
        <v>0</v>
      </c>
      <c r="S96">
        <v>0</v>
      </c>
      <c r="T96">
        <v>0</v>
      </c>
      <c r="U96">
        <v>0</v>
      </c>
      <c r="V96">
        <v>0.95744680900000001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315000</v>
      </c>
    </row>
    <row r="97" spans="1:29" x14ac:dyDescent="0.45">
      <c r="A97" t="s">
        <v>217</v>
      </c>
      <c r="B97" t="s">
        <v>218</v>
      </c>
      <c r="C97" t="s">
        <v>200</v>
      </c>
      <c r="D97" t="s">
        <v>230</v>
      </c>
      <c r="E97" t="s">
        <v>224</v>
      </c>
      <c r="F97" t="s">
        <v>223</v>
      </c>
      <c r="G97" t="s">
        <v>236</v>
      </c>
      <c r="H97">
        <v>0</v>
      </c>
      <c r="I97">
        <v>0</v>
      </c>
      <c r="J97">
        <v>0</v>
      </c>
      <c r="K97">
        <v>0</v>
      </c>
      <c r="L97">
        <v>44</v>
      </c>
      <c r="M97">
        <v>44</v>
      </c>
      <c r="N97">
        <v>45</v>
      </c>
      <c r="O97">
        <v>2</v>
      </c>
      <c r="P97">
        <v>7000</v>
      </c>
      <c r="Q97">
        <v>90</v>
      </c>
      <c r="R97">
        <v>0</v>
      </c>
      <c r="S97">
        <v>0</v>
      </c>
      <c r="T97">
        <v>0</v>
      </c>
      <c r="U97">
        <v>0</v>
      </c>
      <c r="V97">
        <v>0.97777777799999999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308000</v>
      </c>
    </row>
    <row r="98" spans="1:29" x14ac:dyDescent="0.45">
      <c r="A98" t="s">
        <v>217</v>
      </c>
      <c r="B98" t="s">
        <v>218</v>
      </c>
      <c r="C98" t="s">
        <v>201</v>
      </c>
      <c r="D98" t="s">
        <v>230</v>
      </c>
      <c r="E98" t="s">
        <v>220</v>
      </c>
      <c r="F98" t="s">
        <v>223</v>
      </c>
      <c r="G98" t="s">
        <v>236</v>
      </c>
      <c r="H98">
        <v>642</v>
      </c>
      <c r="I98">
        <v>128</v>
      </c>
      <c r="J98">
        <v>90</v>
      </c>
      <c r="K98">
        <v>38</v>
      </c>
      <c r="L98">
        <v>0</v>
      </c>
      <c r="M98">
        <v>38</v>
      </c>
      <c r="N98">
        <v>0</v>
      </c>
      <c r="O98">
        <v>2</v>
      </c>
      <c r="P98">
        <v>6650</v>
      </c>
      <c r="Q98">
        <v>90</v>
      </c>
      <c r="R98">
        <v>243</v>
      </c>
      <c r="S98">
        <v>392</v>
      </c>
      <c r="T98">
        <v>13575</v>
      </c>
      <c r="U98">
        <v>18403</v>
      </c>
      <c r="V98">
        <v>0</v>
      </c>
      <c r="W98">
        <v>0.199376947</v>
      </c>
      <c r="X98">
        <v>0.703125</v>
      </c>
      <c r="Y98">
        <v>0.42222222199999998</v>
      </c>
      <c r="Z98">
        <v>635</v>
      </c>
      <c r="AA98">
        <v>0.38267716499999999</v>
      </c>
      <c r="AB98">
        <v>34.630102041000001</v>
      </c>
      <c r="AC98">
        <v>256120</v>
      </c>
    </row>
    <row r="99" spans="1:29" x14ac:dyDescent="0.45">
      <c r="A99" t="s">
        <v>217</v>
      </c>
      <c r="B99" t="s">
        <v>218</v>
      </c>
      <c r="C99" t="s">
        <v>201</v>
      </c>
      <c r="D99" t="s">
        <v>230</v>
      </c>
      <c r="E99" t="s">
        <v>222</v>
      </c>
      <c r="F99" t="s">
        <v>223</v>
      </c>
      <c r="G99" t="s">
        <v>236</v>
      </c>
      <c r="H99">
        <v>0</v>
      </c>
      <c r="I99">
        <v>0</v>
      </c>
      <c r="J99">
        <v>0</v>
      </c>
      <c r="K99">
        <v>0</v>
      </c>
      <c r="L99">
        <v>37</v>
      </c>
      <c r="M99">
        <v>37</v>
      </c>
      <c r="N99">
        <v>38</v>
      </c>
      <c r="O99">
        <v>2</v>
      </c>
      <c r="P99">
        <v>6650</v>
      </c>
      <c r="Q99">
        <v>90</v>
      </c>
      <c r="R99">
        <v>0</v>
      </c>
      <c r="S99">
        <v>0</v>
      </c>
      <c r="T99">
        <v>0</v>
      </c>
      <c r="U99">
        <v>0</v>
      </c>
      <c r="V99">
        <v>0.97368421100000002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246050</v>
      </c>
    </row>
    <row r="100" spans="1:29" x14ac:dyDescent="0.45">
      <c r="A100" t="s">
        <v>217</v>
      </c>
      <c r="B100" t="s">
        <v>218</v>
      </c>
      <c r="C100" t="s">
        <v>201</v>
      </c>
      <c r="D100" t="s">
        <v>230</v>
      </c>
      <c r="E100" t="s">
        <v>224</v>
      </c>
      <c r="F100" t="s">
        <v>223</v>
      </c>
      <c r="G100" t="s">
        <v>236</v>
      </c>
      <c r="H100">
        <v>0</v>
      </c>
      <c r="I100">
        <v>0</v>
      </c>
      <c r="J100">
        <v>0</v>
      </c>
      <c r="K100">
        <v>0</v>
      </c>
      <c r="L100">
        <v>36</v>
      </c>
      <c r="M100">
        <v>36</v>
      </c>
      <c r="N100">
        <v>37</v>
      </c>
      <c r="O100">
        <v>2</v>
      </c>
      <c r="P100">
        <v>6650</v>
      </c>
      <c r="Q100">
        <v>90</v>
      </c>
      <c r="R100">
        <v>0</v>
      </c>
      <c r="S100">
        <v>0</v>
      </c>
      <c r="T100">
        <v>0</v>
      </c>
      <c r="U100">
        <v>0</v>
      </c>
      <c r="V100">
        <v>0.97297297299999996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239400</v>
      </c>
    </row>
    <row r="101" spans="1:29" x14ac:dyDescent="0.45">
      <c r="A101" t="s">
        <v>217</v>
      </c>
      <c r="B101" t="s">
        <v>218</v>
      </c>
      <c r="C101" t="s">
        <v>202</v>
      </c>
      <c r="D101" t="s">
        <v>230</v>
      </c>
      <c r="E101" t="s">
        <v>220</v>
      </c>
      <c r="F101" t="s">
        <v>223</v>
      </c>
      <c r="G101" t="s">
        <v>236</v>
      </c>
      <c r="H101">
        <v>642</v>
      </c>
      <c r="I101">
        <v>128</v>
      </c>
      <c r="J101">
        <v>90</v>
      </c>
      <c r="K101">
        <v>38</v>
      </c>
      <c r="L101">
        <v>0</v>
      </c>
      <c r="M101">
        <v>38</v>
      </c>
      <c r="N101">
        <v>0</v>
      </c>
      <c r="O101">
        <v>2</v>
      </c>
      <c r="P101">
        <v>6650</v>
      </c>
      <c r="Q101">
        <v>90</v>
      </c>
      <c r="R101">
        <v>237</v>
      </c>
      <c r="S101">
        <v>399</v>
      </c>
      <c r="T101">
        <v>13798</v>
      </c>
      <c r="U101">
        <v>17870</v>
      </c>
      <c r="V101">
        <v>0</v>
      </c>
      <c r="W101">
        <v>0.199376947</v>
      </c>
      <c r="X101">
        <v>0.703125</v>
      </c>
      <c r="Y101">
        <v>0.42222222199999998</v>
      </c>
      <c r="Z101">
        <v>636</v>
      </c>
      <c r="AA101">
        <v>0.37264150899999998</v>
      </c>
      <c r="AB101">
        <v>34.581453633999999</v>
      </c>
      <c r="AC101">
        <v>256120</v>
      </c>
    </row>
    <row r="102" spans="1:29" x14ac:dyDescent="0.45">
      <c r="A102" t="s">
        <v>217</v>
      </c>
      <c r="B102" t="s">
        <v>218</v>
      </c>
      <c r="C102" t="s">
        <v>202</v>
      </c>
      <c r="D102" t="s">
        <v>230</v>
      </c>
      <c r="E102" t="s">
        <v>222</v>
      </c>
      <c r="F102" t="s">
        <v>223</v>
      </c>
      <c r="G102" t="s">
        <v>236</v>
      </c>
      <c r="H102">
        <v>0</v>
      </c>
      <c r="I102">
        <v>0</v>
      </c>
      <c r="J102">
        <v>0</v>
      </c>
      <c r="K102">
        <v>0</v>
      </c>
      <c r="L102">
        <v>37</v>
      </c>
      <c r="M102">
        <v>37</v>
      </c>
      <c r="N102">
        <v>38</v>
      </c>
      <c r="O102">
        <v>2</v>
      </c>
      <c r="P102">
        <v>6650</v>
      </c>
      <c r="Q102">
        <v>90</v>
      </c>
      <c r="R102">
        <v>0</v>
      </c>
      <c r="S102">
        <v>0</v>
      </c>
      <c r="T102">
        <v>0</v>
      </c>
      <c r="U102">
        <v>0</v>
      </c>
      <c r="V102">
        <v>0.97368421100000002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246050</v>
      </c>
    </row>
    <row r="103" spans="1:29" x14ac:dyDescent="0.45">
      <c r="A103" t="s">
        <v>217</v>
      </c>
      <c r="B103" t="s">
        <v>218</v>
      </c>
      <c r="C103" t="s">
        <v>202</v>
      </c>
      <c r="D103" t="s">
        <v>230</v>
      </c>
      <c r="E103" t="s">
        <v>224</v>
      </c>
      <c r="F103" t="s">
        <v>223</v>
      </c>
      <c r="G103" t="s">
        <v>236</v>
      </c>
      <c r="H103">
        <v>0</v>
      </c>
      <c r="I103">
        <v>0</v>
      </c>
      <c r="J103">
        <v>0</v>
      </c>
      <c r="K103">
        <v>0</v>
      </c>
      <c r="L103">
        <v>36</v>
      </c>
      <c r="M103">
        <v>36</v>
      </c>
      <c r="N103">
        <v>37</v>
      </c>
      <c r="O103">
        <v>2</v>
      </c>
      <c r="P103">
        <v>6650</v>
      </c>
      <c r="Q103">
        <v>90</v>
      </c>
      <c r="R103">
        <v>0</v>
      </c>
      <c r="S103">
        <v>0</v>
      </c>
      <c r="T103">
        <v>0</v>
      </c>
      <c r="U103">
        <v>0</v>
      </c>
      <c r="V103">
        <v>0.97297297299999996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239400</v>
      </c>
    </row>
    <row r="104" spans="1:29" x14ac:dyDescent="0.45">
      <c r="A104" t="s">
        <v>217</v>
      </c>
      <c r="B104" t="s">
        <v>218</v>
      </c>
      <c r="C104" t="s">
        <v>203</v>
      </c>
      <c r="D104" t="s">
        <v>231</v>
      </c>
      <c r="E104" t="s">
        <v>232</v>
      </c>
      <c r="F104" t="s">
        <v>223</v>
      </c>
      <c r="G104" t="s">
        <v>236</v>
      </c>
      <c r="H104">
        <v>741</v>
      </c>
      <c r="I104">
        <v>148</v>
      </c>
      <c r="J104">
        <v>104</v>
      </c>
      <c r="K104">
        <v>43</v>
      </c>
      <c r="L104">
        <v>0</v>
      </c>
      <c r="M104">
        <v>43</v>
      </c>
      <c r="N104">
        <v>0</v>
      </c>
      <c r="O104">
        <v>2</v>
      </c>
      <c r="P104">
        <v>6300</v>
      </c>
      <c r="Q104">
        <v>90</v>
      </c>
      <c r="R104">
        <v>355</v>
      </c>
      <c r="S104">
        <v>399</v>
      </c>
      <c r="T104">
        <v>16642</v>
      </c>
      <c r="U104">
        <v>29976</v>
      </c>
      <c r="V104">
        <v>0</v>
      </c>
      <c r="W104">
        <v>0.199730094</v>
      </c>
      <c r="X104">
        <v>0.70270270300000004</v>
      </c>
      <c r="Y104">
        <v>0.41346153800000002</v>
      </c>
      <c r="Z104">
        <v>754</v>
      </c>
      <c r="AA104">
        <v>0.47082228100000001</v>
      </c>
      <c r="AB104">
        <v>41.709273183000001</v>
      </c>
      <c r="AC104">
        <v>274770</v>
      </c>
    </row>
    <row r="105" spans="1:29" x14ac:dyDescent="0.45">
      <c r="A105" t="s">
        <v>217</v>
      </c>
      <c r="B105" t="s">
        <v>218</v>
      </c>
      <c r="C105" t="s">
        <v>203</v>
      </c>
      <c r="D105" t="s">
        <v>231</v>
      </c>
      <c r="E105" t="s">
        <v>233</v>
      </c>
      <c r="F105" t="s">
        <v>223</v>
      </c>
      <c r="G105" t="s">
        <v>236</v>
      </c>
      <c r="H105">
        <v>0</v>
      </c>
      <c r="I105">
        <v>0</v>
      </c>
      <c r="J105">
        <v>0</v>
      </c>
      <c r="K105">
        <v>0</v>
      </c>
      <c r="L105">
        <v>42</v>
      </c>
      <c r="M105">
        <v>42</v>
      </c>
      <c r="N105">
        <v>43</v>
      </c>
      <c r="O105">
        <v>2</v>
      </c>
      <c r="P105">
        <v>6300</v>
      </c>
      <c r="Q105">
        <v>90</v>
      </c>
      <c r="R105">
        <v>0</v>
      </c>
      <c r="S105">
        <v>0</v>
      </c>
      <c r="T105">
        <v>0</v>
      </c>
      <c r="U105">
        <v>0</v>
      </c>
      <c r="V105">
        <v>0.97674418600000001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264600</v>
      </c>
    </row>
    <row r="106" spans="1:29" x14ac:dyDescent="0.45">
      <c r="A106" t="s">
        <v>217</v>
      </c>
      <c r="B106" t="s">
        <v>218</v>
      </c>
      <c r="C106" t="s">
        <v>203</v>
      </c>
      <c r="D106" t="s">
        <v>234</v>
      </c>
      <c r="E106" t="s">
        <v>220</v>
      </c>
      <c r="F106" t="s">
        <v>223</v>
      </c>
      <c r="G106" t="s">
        <v>236</v>
      </c>
      <c r="H106">
        <v>741</v>
      </c>
      <c r="I106">
        <v>148</v>
      </c>
      <c r="J106">
        <v>104</v>
      </c>
      <c r="K106">
        <v>43</v>
      </c>
      <c r="L106">
        <v>0</v>
      </c>
      <c r="M106">
        <v>43</v>
      </c>
      <c r="N106">
        <v>0</v>
      </c>
      <c r="O106">
        <v>2</v>
      </c>
      <c r="P106">
        <v>7350</v>
      </c>
      <c r="Q106">
        <v>90</v>
      </c>
      <c r="R106">
        <v>355</v>
      </c>
      <c r="S106">
        <v>399</v>
      </c>
      <c r="T106">
        <v>16642</v>
      </c>
      <c r="U106">
        <v>29977</v>
      </c>
      <c r="V106">
        <v>0</v>
      </c>
      <c r="W106">
        <v>0.199730094</v>
      </c>
      <c r="X106">
        <v>0.70270270300000004</v>
      </c>
      <c r="Y106">
        <v>0.41346153800000002</v>
      </c>
      <c r="Z106">
        <v>754</v>
      </c>
      <c r="AA106">
        <v>0.47082228100000001</v>
      </c>
      <c r="AB106">
        <v>41.709273183000001</v>
      </c>
      <c r="AC106">
        <v>319920</v>
      </c>
    </row>
    <row r="107" spans="1:29" x14ac:dyDescent="0.45">
      <c r="A107" t="s">
        <v>217</v>
      </c>
      <c r="B107" t="s">
        <v>218</v>
      </c>
      <c r="C107" t="s">
        <v>203</v>
      </c>
      <c r="D107" t="s">
        <v>234</v>
      </c>
      <c r="E107" t="s">
        <v>224</v>
      </c>
      <c r="F107" t="s">
        <v>223</v>
      </c>
      <c r="G107" t="s">
        <v>236</v>
      </c>
      <c r="H107">
        <v>0</v>
      </c>
      <c r="I107">
        <v>0</v>
      </c>
      <c r="J107">
        <v>0</v>
      </c>
      <c r="K107">
        <v>0</v>
      </c>
      <c r="L107">
        <v>42</v>
      </c>
      <c r="M107">
        <v>42</v>
      </c>
      <c r="N107">
        <v>43</v>
      </c>
      <c r="O107">
        <v>2</v>
      </c>
      <c r="P107">
        <v>7350</v>
      </c>
      <c r="Q107">
        <v>90</v>
      </c>
      <c r="R107">
        <v>0</v>
      </c>
      <c r="S107">
        <v>0</v>
      </c>
      <c r="T107">
        <v>0</v>
      </c>
      <c r="U107">
        <v>0</v>
      </c>
      <c r="V107">
        <v>0.97674418600000001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308700</v>
      </c>
    </row>
    <row r="108" spans="1:29" x14ac:dyDescent="0.45">
      <c r="A108" t="s">
        <v>217</v>
      </c>
      <c r="B108" t="s">
        <v>218</v>
      </c>
      <c r="C108" t="s">
        <v>204</v>
      </c>
      <c r="D108" t="s">
        <v>231</v>
      </c>
      <c r="E108" t="s">
        <v>232</v>
      </c>
      <c r="F108" t="s">
        <v>223</v>
      </c>
      <c r="G108" t="s">
        <v>236</v>
      </c>
      <c r="H108">
        <v>580</v>
      </c>
      <c r="I108">
        <v>116</v>
      </c>
      <c r="J108">
        <v>81</v>
      </c>
      <c r="K108">
        <v>34</v>
      </c>
      <c r="L108">
        <v>0</v>
      </c>
      <c r="M108">
        <v>34</v>
      </c>
      <c r="N108">
        <v>0</v>
      </c>
      <c r="O108">
        <v>2</v>
      </c>
      <c r="P108">
        <v>5820</v>
      </c>
      <c r="Q108">
        <v>90</v>
      </c>
      <c r="R108">
        <v>314</v>
      </c>
      <c r="S108">
        <v>276</v>
      </c>
      <c r="T108">
        <v>9986</v>
      </c>
      <c r="U108">
        <v>26636</v>
      </c>
      <c r="V108">
        <v>0</v>
      </c>
      <c r="W108">
        <v>0.2</v>
      </c>
      <c r="X108">
        <v>0.69827586200000002</v>
      </c>
      <c r="Y108">
        <v>0.419753086</v>
      </c>
      <c r="Z108">
        <v>590</v>
      </c>
      <c r="AA108">
        <v>0.53220339000000005</v>
      </c>
      <c r="AB108">
        <v>36.18115942</v>
      </c>
      <c r="AC108">
        <v>200940</v>
      </c>
    </row>
    <row r="109" spans="1:29" x14ac:dyDescent="0.45">
      <c r="A109" t="s">
        <v>217</v>
      </c>
      <c r="B109" t="s">
        <v>218</v>
      </c>
      <c r="C109" t="s">
        <v>204</v>
      </c>
      <c r="D109" t="s">
        <v>231</v>
      </c>
      <c r="E109" t="s">
        <v>233</v>
      </c>
      <c r="F109" t="s">
        <v>223</v>
      </c>
      <c r="G109" t="s">
        <v>236</v>
      </c>
      <c r="H109">
        <v>0</v>
      </c>
      <c r="I109">
        <v>0</v>
      </c>
      <c r="J109">
        <v>0</v>
      </c>
      <c r="K109">
        <v>0</v>
      </c>
      <c r="L109">
        <v>33</v>
      </c>
      <c r="M109">
        <v>33</v>
      </c>
      <c r="N109">
        <v>34</v>
      </c>
      <c r="O109">
        <v>2</v>
      </c>
      <c r="P109">
        <v>5820</v>
      </c>
      <c r="Q109">
        <v>90</v>
      </c>
      <c r="R109">
        <v>0</v>
      </c>
      <c r="S109">
        <v>0</v>
      </c>
      <c r="T109">
        <v>0</v>
      </c>
      <c r="U109">
        <v>0</v>
      </c>
      <c r="V109">
        <v>0.97058823500000002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192060</v>
      </c>
    </row>
    <row r="110" spans="1:29" x14ac:dyDescent="0.45">
      <c r="A110" t="s">
        <v>217</v>
      </c>
      <c r="B110" t="s">
        <v>218</v>
      </c>
      <c r="C110" t="s">
        <v>204</v>
      </c>
      <c r="D110" t="s">
        <v>234</v>
      </c>
      <c r="E110" t="s">
        <v>220</v>
      </c>
      <c r="F110" t="s">
        <v>223</v>
      </c>
      <c r="G110" t="s">
        <v>236</v>
      </c>
      <c r="H110">
        <v>580</v>
      </c>
      <c r="I110">
        <v>116</v>
      </c>
      <c r="J110">
        <v>81</v>
      </c>
      <c r="K110">
        <v>34</v>
      </c>
      <c r="L110">
        <v>0</v>
      </c>
      <c r="M110">
        <v>34</v>
      </c>
      <c r="N110">
        <v>0</v>
      </c>
      <c r="O110">
        <v>2</v>
      </c>
      <c r="P110">
        <v>6790</v>
      </c>
      <c r="Q110">
        <v>90</v>
      </c>
      <c r="R110">
        <v>313</v>
      </c>
      <c r="S110">
        <v>276</v>
      </c>
      <c r="T110">
        <v>9985</v>
      </c>
      <c r="U110">
        <v>26637</v>
      </c>
      <c r="V110">
        <v>0</v>
      </c>
      <c r="W110">
        <v>0.2</v>
      </c>
      <c r="X110">
        <v>0.69827586200000002</v>
      </c>
      <c r="Y110">
        <v>0.419753086</v>
      </c>
      <c r="Z110">
        <v>589</v>
      </c>
      <c r="AA110">
        <v>0.53140916800000004</v>
      </c>
      <c r="AB110">
        <v>36.177536232000001</v>
      </c>
      <c r="AC110">
        <v>233920</v>
      </c>
    </row>
    <row r="111" spans="1:29" x14ac:dyDescent="0.45">
      <c r="A111" t="s">
        <v>217</v>
      </c>
      <c r="B111" t="s">
        <v>218</v>
      </c>
      <c r="C111" t="s">
        <v>204</v>
      </c>
      <c r="D111" t="s">
        <v>234</v>
      </c>
      <c r="E111" t="s">
        <v>224</v>
      </c>
      <c r="F111" t="s">
        <v>223</v>
      </c>
      <c r="G111" t="s">
        <v>236</v>
      </c>
      <c r="H111">
        <v>0</v>
      </c>
      <c r="I111">
        <v>0</v>
      </c>
      <c r="J111">
        <v>0</v>
      </c>
      <c r="K111">
        <v>0</v>
      </c>
      <c r="L111">
        <v>33</v>
      </c>
      <c r="M111">
        <v>33</v>
      </c>
      <c r="N111">
        <v>34</v>
      </c>
      <c r="O111">
        <v>2</v>
      </c>
      <c r="P111">
        <v>6790</v>
      </c>
      <c r="Q111">
        <v>90</v>
      </c>
      <c r="R111">
        <v>0</v>
      </c>
      <c r="S111">
        <v>0</v>
      </c>
      <c r="T111">
        <v>0</v>
      </c>
      <c r="U111">
        <v>0</v>
      </c>
      <c r="V111">
        <v>0.97058823500000002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224070</v>
      </c>
    </row>
    <row r="112" spans="1:29" x14ac:dyDescent="0.45">
      <c r="A112" t="s">
        <v>217</v>
      </c>
      <c r="B112" t="s">
        <v>218</v>
      </c>
      <c r="C112" t="s">
        <v>205</v>
      </c>
      <c r="D112" t="s">
        <v>235</v>
      </c>
      <c r="E112" t="s">
        <v>220</v>
      </c>
      <c r="F112" t="s">
        <v>223</v>
      </c>
      <c r="G112" t="s">
        <v>236</v>
      </c>
      <c r="H112">
        <v>755</v>
      </c>
      <c r="I112">
        <v>151</v>
      </c>
      <c r="J112">
        <v>106</v>
      </c>
      <c r="K112">
        <v>44</v>
      </c>
      <c r="L112">
        <v>0</v>
      </c>
      <c r="M112">
        <v>44</v>
      </c>
      <c r="N112">
        <v>0</v>
      </c>
      <c r="O112">
        <v>2</v>
      </c>
      <c r="P112">
        <v>7840</v>
      </c>
      <c r="Q112">
        <v>90</v>
      </c>
      <c r="R112">
        <v>235</v>
      </c>
      <c r="S112">
        <v>538</v>
      </c>
      <c r="T112">
        <v>27491</v>
      </c>
      <c r="U112">
        <v>20429</v>
      </c>
      <c r="V112">
        <v>0</v>
      </c>
      <c r="W112">
        <v>0.2</v>
      </c>
      <c r="X112">
        <v>0.70198675499999996</v>
      </c>
      <c r="Y112">
        <v>0.41509434000000001</v>
      </c>
      <c r="Z112">
        <v>773</v>
      </c>
      <c r="AA112">
        <v>0.30401034900000001</v>
      </c>
      <c r="AB112">
        <v>51.098513011000001</v>
      </c>
      <c r="AC112">
        <v>348920</v>
      </c>
    </row>
    <row r="113" spans="1:29" x14ac:dyDescent="0.45">
      <c r="A113" t="s">
        <v>217</v>
      </c>
      <c r="B113" t="s">
        <v>218</v>
      </c>
      <c r="C113" t="s">
        <v>205</v>
      </c>
      <c r="D113" t="s">
        <v>235</v>
      </c>
      <c r="E113" t="s">
        <v>222</v>
      </c>
      <c r="F113" t="s">
        <v>223</v>
      </c>
      <c r="G113" t="s">
        <v>236</v>
      </c>
      <c r="H113">
        <v>0</v>
      </c>
      <c r="I113">
        <v>0</v>
      </c>
      <c r="J113">
        <v>0</v>
      </c>
      <c r="K113">
        <v>0</v>
      </c>
      <c r="L113">
        <v>43</v>
      </c>
      <c r="M113">
        <v>43</v>
      </c>
      <c r="N113">
        <v>44</v>
      </c>
      <c r="O113">
        <v>2</v>
      </c>
      <c r="P113">
        <v>7840</v>
      </c>
      <c r="Q113">
        <v>90</v>
      </c>
      <c r="R113">
        <v>0</v>
      </c>
      <c r="S113">
        <v>0</v>
      </c>
      <c r="T113">
        <v>0</v>
      </c>
      <c r="U113">
        <v>0</v>
      </c>
      <c r="V113">
        <v>0.97727272700000001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337120</v>
      </c>
    </row>
    <row r="114" spans="1:29" x14ac:dyDescent="0.45">
      <c r="A114" t="s">
        <v>217</v>
      </c>
      <c r="B114" t="s">
        <v>218</v>
      </c>
      <c r="C114" t="s">
        <v>205</v>
      </c>
      <c r="D114" t="s">
        <v>235</v>
      </c>
      <c r="E114" t="s">
        <v>224</v>
      </c>
      <c r="F114" t="s">
        <v>223</v>
      </c>
      <c r="G114" t="s">
        <v>236</v>
      </c>
      <c r="H114">
        <v>0</v>
      </c>
      <c r="I114">
        <v>0</v>
      </c>
      <c r="J114">
        <v>0</v>
      </c>
      <c r="K114">
        <v>0</v>
      </c>
      <c r="L114">
        <v>42</v>
      </c>
      <c r="M114">
        <v>42</v>
      </c>
      <c r="N114">
        <v>43</v>
      </c>
      <c r="O114">
        <v>2</v>
      </c>
      <c r="P114">
        <v>7840</v>
      </c>
      <c r="Q114">
        <v>90</v>
      </c>
      <c r="R114">
        <v>0</v>
      </c>
      <c r="S114">
        <v>0</v>
      </c>
      <c r="T114">
        <v>0</v>
      </c>
      <c r="U114">
        <v>0</v>
      </c>
      <c r="V114">
        <v>0.97674418600000001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329280</v>
      </c>
    </row>
    <row r="115" spans="1:29" x14ac:dyDescent="0.45">
      <c r="A115" t="s">
        <v>217</v>
      </c>
      <c r="B115" t="s">
        <v>218</v>
      </c>
      <c r="C115" t="s">
        <v>206</v>
      </c>
      <c r="D115" t="s">
        <v>235</v>
      </c>
      <c r="E115" t="s">
        <v>220</v>
      </c>
      <c r="F115" t="s">
        <v>223</v>
      </c>
      <c r="G115" t="s">
        <v>236</v>
      </c>
      <c r="H115">
        <v>642</v>
      </c>
      <c r="I115">
        <v>128</v>
      </c>
      <c r="J115">
        <v>90</v>
      </c>
      <c r="K115">
        <v>38</v>
      </c>
      <c r="L115">
        <v>0</v>
      </c>
      <c r="M115">
        <v>38</v>
      </c>
      <c r="N115">
        <v>0</v>
      </c>
      <c r="O115">
        <v>2</v>
      </c>
      <c r="P115">
        <v>7350</v>
      </c>
      <c r="Q115">
        <v>90</v>
      </c>
      <c r="R115">
        <v>247</v>
      </c>
      <c r="S115">
        <v>410</v>
      </c>
      <c r="T115">
        <v>17136</v>
      </c>
      <c r="U115">
        <v>21550</v>
      </c>
      <c r="V115">
        <v>0</v>
      </c>
      <c r="W115">
        <v>0.199376947</v>
      </c>
      <c r="X115">
        <v>0.703125</v>
      </c>
      <c r="Y115">
        <v>0.42222222199999998</v>
      </c>
      <c r="Z115">
        <v>657</v>
      </c>
      <c r="AA115">
        <v>0.37595129399999999</v>
      </c>
      <c r="AB115">
        <v>41.795121950999999</v>
      </c>
      <c r="AC115">
        <v>282720</v>
      </c>
    </row>
    <row r="116" spans="1:29" x14ac:dyDescent="0.45">
      <c r="A116" t="s">
        <v>217</v>
      </c>
      <c r="B116" t="s">
        <v>218</v>
      </c>
      <c r="C116" t="s">
        <v>206</v>
      </c>
      <c r="D116" t="s">
        <v>235</v>
      </c>
      <c r="E116" t="s">
        <v>222</v>
      </c>
      <c r="F116" t="s">
        <v>223</v>
      </c>
      <c r="G116" t="s">
        <v>236</v>
      </c>
      <c r="H116">
        <v>0</v>
      </c>
      <c r="I116">
        <v>0</v>
      </c>
      <c r="J116">
        <v>0</v>
      </c>
      <c r="K116">
        <v>0</v>
      </c>
      <c r="L116">
        <v>37</v>
      </c>
      <c r="M116">
        <v>37</v>
      </c>
      <c r="N116">
        <v>38</v>
      </c>
      <c r="O116">
        <v>2</v>
      </c>
      <c r="P116">
        <v>7350</v>
      </c>
      <c r="Q116">
        <v>90</v>
      </c>
      <c r="R116">
        <v>0</v>
      </c>
      <c r="S116">
        <v>0</v>
      </c>
      <c r="T116">
        <v>0</v>
      </c>
      <c r="U116">
        <v>0</v>
      </c>
      <c r="V116">
        <v>0.97368421100000002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271950</v>
      </c>
    </row>
    <row r="117" spans="1:29" x14ac:dyDescent="0.45">
      <c r="A117" t="s">
        <v>217</v>
      </c>
      <c r="B117" t="s">
        <v>218</v>
      </c>
      <c r="C117" t="s">
        <v>206</v>
      </c>
      <c r="D117" t="s">
        <v>235</v>
      </c>
      <c r="E117" t="s">
        <v>224</v>
      </c>
      <c r="F117" t="s">
        <v>223</v>
      </c>
      <c r="G117" t="s">
        <v>236</v>
      </c>
      <c r="H117">
        <v>0</v>
      </c>
      <c r="I117">
        <v>0</v>
      </c>
      <c r="J117">
        <v>0</v>
      </c>
      <c r="K117">
        <v>0</v>
      </c>
      <c r="L117">
        <v>36</v>
      </c>
      <c r="M117">
        <v>36</v>
      </c>
      <c r="N117">
        <v>37</v>
      </c>
      <c r="O117">
        <v>2</v>
      </c>
      <c r="P117">
        <v>7350</v>
      </c>
      <c r="Q117">
        <v>90</v>
      </c>
      <c r="R117">
        <v>0</v>
      </c>
      <c r="S117">
        <v>0</v>
      </c>
      <c r="T117">
        <v>0</v>
      </c>
      <c r="U117">
        <v>0</v>
      </c>
      <c r="V117">
        <v>0.97297297299999996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264600</v>
      </c>
    </row>
    <row r="118" spans="1:29" x14ac:dyDescent="0.45">
      <c r="A118" t="s">
        <v>217</v>
      </c>
      <c r="B118" t="s">
        <v>218</v>
      </c>
      <c r="C118" t="s">
        <v>193</v>
      </c>
      <c r="D118" t="s">
        <v>219</v>
      </c>
      <c r="E118" t="s">
        <v>220</v>
      </c>
      <c r="F118" t="s">
        <v>221</v>
      </c>
      <c r="G118" t="s">
        <v>237</v>
      </c>
      <c r="H118">
        <v>575</v>
      </c>
      <c r="I118">
        <v>161</v>
      </c>
      <c r="J118">
        <v>116</v>
      </c>
      <c r="K118">
        <v>69</v>
      </c>
      <c r="L118">
        <v>0</v>
      </c>
      <c r="M118">
        <v>69</v>
      </c>
      <c r="N118">
        <v>0</v>
      </c>
      <c r="O118">
        <v>3</v>
      </c>
      <c r="P118">
        <v>8400</v>
      </c>
      <c r="Q118">
        <v>90</v>
      </c>
      <c r="R118">
        <v>203</v>
      </c>
      <c r="S118">
        <v>379</v>
      </c>
      <c r="T118">
        <v>18451</v>
      </c>
      <c r="U118">
        <v>13653</v>
      </c>
      <c r="V118">
        <v>0</v>
      </c>
      <c r="W118">
        <v>0.28000000000000003</v>
      </c>
      <c r="X118">
        <v>0.72049689400000005</v>
      </c>
      <c r="Y118">
        <v>0.59482758599999996</v>
      </c>
      <c r="Z118">
        <v>582</v>
      </c>
      <c r="AA118">
        <v>0.34879725099999997</v>
      </c>
      <c r="AB118">
        <v>48.683377309000001</v>
      </c>
      <c r="AC118">
        <v>585810</v>
      </c>
    </row>
    <row r="119" spans="1:29" x14ac:dyDescent="0.45">
      <c r="A119" t="s">
        <v>217</v>
      </c>
      <c r="B119" t="s">
        <v>218</v>
      </c>
      <c r="C119" t="s">
        <v>193</v>
      </c>
      <c r="D119" t="s">
        <v>219</v>
      </c>
      <c r="E119" t="s">
        <v>222</v>
      </c>
      <c r="F119" t="s">
        <v>223</v>
      </c>
      <c r="G119" t="s">
        <v>237</v>
      </c>
      <c r="H119">
        <v>0</v>
      </c>
      <c r="I119">
        <v>0</v>
      </c>
      <c r="J119">
        <v>0</v>
      </c>
      <c r="K119">
        <v>0</v>
      </c>
      <c r="L119">
        <v>68</v>
      </c>
      <c r="M119">
        <v>68</v>
      </c>
      <c r="N119">
        <v>69</v>
      </c>
      <c r="O119">
        <v>3</v>
      </c>
      <c r="P119">
        <v>7840</v>
      </c>
      <c r="Q119">
        <v>90</v>
      </c>
      <c r="R119">
        <v>0</v>
      </c>
      <c r="S119">
        <v>0</v>
      </c>
      <c r="T119">
        <v>0</v>
      </c>
      <c r="U119">
        <v>0</v>
      </c>
      <c r="V119">
        <v>0.98550724599999995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533120</v>
      </c>
    </row>
    <row r="120" spans="1:29" x14ac:dyDescent="0.45">
      <c r="A120" t="s">
        <v>217</v>
      </c>
      <c r="B120" t="s">
        <v>218</v>
      </c>
      <c r="C120" t="s">
        <v>193</v>
      </c>
      <c r="D120" t="s">
        <v>219</v>
      </c>
      <c r="E120" t="s">
        <v>224</v>
      </c>
      <c r="F120" t="s">
        <v>223</v>
      </c>
      <c r="G120" t="s">
        <v>237</v>
      </c>
      <c r="H120">
        <v>0</v>
      </c>
      <c r="I120">
        <v>0</v>
      </c>
      <c r="J120">
        <v>0</v>
      </c>
      <c r="K120">
        <v>0</v>
      </c>
      <c r="L120">
        <v>66</v>
      </c>
      <c r="M120">
        <v>66</v>
      </c>
      <c r="N120">
        <v>68</v>
      </c>
      <c r="O120">
        <v>3</v>
      </c>
      <c r="P120">
        <v>7840</v>
      </c>
      <c r="Q120">
        <v>90</v>
      </c>
      <c r="R120">
        <v>0</v>
      </c>
      <c r="S120">
        <v>0</v>
      </c>
      <c r="T120">
        <v>0</v>
      </c>
      <c r="U120">
        <v>0</v>
      </c>
      <c r="V120">
        <v>0.97058823500000002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517440</v>
      </c>
    </row>
    <row r="121" spans="1:29" x14ac:dyDescent="0.45">
      <c r="A121" t="s">
        <v>217</v>
      </c>
      <c r="B121" t="s">
        <v>218</v>
      </c>
      <c r="C121" t="s">
        <v>193</v>
      </c>
      <c r="D121" t="s">
        <v>225</v>
      </c>
      <c r="E121" t="s">
        <v>226</v>
      </c>
      <c r="F121" t="s">
        <v>223</v>
      </c>
      <c r="G121" t="s">
        <v>237</v>
      </c>
      <c r="H121">
        <v>1184</v>
      </c>
      <c r="I121">
        <v>237</v>
      </c>
      <c r="J121">
        <v>166</v>
      </c>
      <c r="K121">
        <v>69</v>
      </c>
      <c r="L121">
        <v>0</v>
      </c>
      <c r="M121">
        <v>69</v>
      </c>
      <c r="N121">
        <v>0</v>
      </c>
      <c r="O121">
        <v>3</v>
      </c>
      <c r="P121">
        <v>8400</v>
      </c>
      <c r="Q121">
        <v>90</v>
      </c>
      <c r="R121">
        <v>418</v>
      </c>
      <c r="S121">
        <v>779</v>
      </c>
      <c r="T121">
        <v>37987</v>
      </c>
      <c r="U121">
        <v>28108</v>
      </c>
      <c r="V121">
        <v>0</v>
      </c>
      <c r="W121">
        <v>0.200168919</v>
      </c>
      <c r="X121">
        <v>0.70042194099999999</v>
      </c>
      <c r="Y121">
        <v>0.41566265099999999</v>
      </c>
      <c r="Z121">
        <v>1197</v>
      </c>
      <c r="AA121">
        <v>0.34920634900000003</v>
      </c>
      <c r="AB121">
        <v>48.763799743</v>
      </c>
      <c r="AC121">
        <v>585810</v>
      </c>
    </row>
    <row r="122" spans="1:29" x14ac:dyDescent="0.45">
      <c r="A122" t="s">
        <v>217</v>
      </c>
      <c r="B122" t="s">
        <v>218</v>
      </c>
      <c r="C122" t="s">
        <v>193</v>
      </c>
      <c r="D122" t="s">
        <v>225</v>
      </c>
      <c r="E122" t="s">
        <v>227</v>
      </c>
      <c r="F122" t="s">
        <v>223</v>
      </c>
      <c r="G122" t="s">
        <v>237</v>
      </c>
      <c r="H122">
        <v>0</v>
      </c>
      <c r="I122">
        <v>0</v>
      </c>
      <c r="J122">
        <v>0</v>
      </c>
      <c r="K122">
        <v>0</v>
      </c>
      <c r="L122">
        <v>68</v>
      </c>
      <c r="M122">
        <v>68</v>
      </c>
      <c r="N122">
        <v>69</v>
      </c>
      <c r="O122">
        <v>3</v>
      </c>
      <c r="P122">
        <v>8400</v>
      </c>
      <c r="Q122">
        <v>90</v>
      </c>
      <c r="R122">
        <v>0</v>
      </c>
      <c r="S122">
        <v>0</v>
      </c>
      <c r="T122">
        <v>0</v>
      </c>
      <c r="U122">
        <v>0</v>
      </c>
      <c r="V122">
        <v>0.98550724599999995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571200</v>
      </c>
    </row>
    <row r="123" spans="1:29" x14ac:dyDescent="0.45">
      <c r="A123" t="s">
        <v>217</v>
      </c>
      <c r="B123" t="s">
        <v>218</v>
      </c>
      <c r="C123" t="s">
        <v>194</v>
      </c>
      <c r="D123" t="s">
        <v>219</v>
      </c>
      <c r="E123" t="s">
        <v>220</v>
      </c>
      <c r="F123" t="s">
        <v>221</v>
      </c>
      <c r="G123" t="s">
        <v>237</v>
      </c>
      <c r="H123">
        <v>486</v>
      </c>
      <c r="I123">
        <v>136</v>
      </c>
      <c r="J123">
        <v>98</v>
      </c>
      <c r="K123">
        <v>59</v>
      </c>
      <c r="L123">
        <v>0</v>
      </c>
      <c r="M123">
        <v>59</v>
      </c>
      <c r="N123">
        <v>0</v>
      </c>
      <c r="O123">
        <v>3</v>
      </c>
      <c r="P123">
        <v>7875</v>
      </c>
      <c r="Q123">
        <v>90</v>
      </c>
      <c r="R123">
        <v>205</v>
      </c>
      <c r="S123">
        <v>283</v>
      </c>
      <c r="T123">
        <v>11317</v>
      </c>
      <c r="U123">
        <v>14174</v>
      </c>
      <c r="V123">
        <v>0</v>
      </c>
      <c r="W123">
        <v>0.27983539099999999</v>
      </c>
      <c r="X123">
        <v>0.72058823500000002</v>
      </c>
      <c r="Y123">
        <v>0.60204081600000003</v>
      </c>
      <c r="Z123">
        <v>488</v>
      </c>
      <c r="AA123">
        <v>0.420081967</v>
      </c>
      <c r="AB123">
        <v>39.989399292999998</v>
      </c>
      <c r="AC123">
        <v>469935</v>
      </c>
    </row>
    <row r="124" spans="1:29" x14ac:dyDescent="0.45">
      <c r="A124" t="s">
        <v>217</v>
      </c>
      <c r="B124" t="s">
        <v>218</v>
      </c>
      <c r="C124" t="s">
        <v>194</v>
      </c>
      <c r="D124" t="s">
        <v>219</v>
      </c>
      <c r="E124" t="s">
        <v>222</v>
      </c>
      <c r="F124" t="s">
        <v>223</v>
      </c>
      <c r="G124" t="s">
        <v>237</v>
      </c>
      <c r="H124">
        <v>0</v>
      </c>
      <c r="I124">
        <v>0</v>
      </c>
      <c r="J124">
        <v>0</v>
      </c>
      <c r="K124">
        <v>0</v>
      </c>
      <c r="L124">
        <v>57</v>
      </c>
      <c r="M124">
        <v>57</v>
      </c>
      <c r="N124">
        <v>59</v>
      </c>
      <c r="O124">
        <v>2</v>
      </c>
      <c r="P124">
        <v>7350</v>
      </c>
      <c r="Q124">
        <v>90</v>
      </c>
      <c r="R124">
        <v>0</v>
      </c>
      <c r="S124">
        <v>0</v>
      </c>
      <c r="T124">
        <v>0</v>
      </c>
      <c r="U124">
        <v>0</v>
      </c>
      <c r="V124">
        <v>0.96610169499999998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418950</v>
      </c>
    </row>
    <row r="125" spans="1:29" x14ac:dyDescent="0.45">
      <c r="A125" t="s">
        <v>217</v>
      </c>
      <c r="B125" t="s">
        <v>218</v>
      </c>
      <c r="C125" t="s">
        <v>194</v>
      </c>
      <c r="D125" t="s">
        <v>219</v>
      </c>
      <c r="E125" t="s">
        <v>224</v>
      </c>
      <c r="F125" t="s">
        <v>223</v>
      </c>
      <c r="G125" t="s">
        <v>237</v>
      </c>
      <c r="H125">
        <v>0</v>
      </c>
      <c r="I125">
        <v>0</v>
      </c>
      <c r="J125">
        <v>0</v>
      </c>
      <c r="K125">
        <v>0</v>
      </c>
      <c r="L125">
        <v>56</v>
      </c>
      <c r="M125">
        <v>56</v>
      </c>
      <c r="N125">
        <v>57</v>
      </c>
      <c r="O125">
        <v>2</v>
      </c>
      <c r="P125">
        <v>7350</v>
      </c>
      <c r="Q125">
        <v>90</v>
      </c>
      <c r="R125">
        <v>0</v>
      </c>
      <c r="S125">
        <v>0</v>
      </c>
      <c r="T125">
        <v>0</v>
      </c>
      <c r="U125">
        <v>0</v>
      </c>
      <c r="V125">
        <v>0.98245614000000003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411600</v>
      </c>
    </row>
    <row r="126" spans="1:29" x14ac:dyDescent="0.45">
      <c r="A126" t="s">
        <v>217</v>
      </c>
      <c r="B126" t="s">
        <v>218</v>
      </c>
      <c r="C126" t="s">
        <v>194</v>
      </c>
      <c r="D126" t="s">
        <v>225</v>
      </c>
      <c r="E126" t="s">
        <v>226</v>
      </c>
      <c r="F126" t="s">
        <v>223</v>
      </c>
      <c r="G126" t="s">
        <v>237</v>
      </c>
      <c r="H126">
        <v>997</v>
      </c>
      <c r="I126">
        <v>199</v>
      </c>
      <c r="J126">
        <v>140</v>
      </c>
      <c r="K126">
        <v>59</v>
      </c>
      <c r="L126">
        <v>0</v>
      </c>
      <c r="M126">
        <v>59</v>
      </c>
      <c r="N126">
        <v>0</v>
      </c>
      <c r="O126">
        <v>3</v>
      </c>
      <c r="P126">
        <v>7875</v>
      </c>
      <c r="Q126">
        <v>90</v>
      </c>
      <c r="R126">
        <v>421</v>
      </c>
      <c r="S126">
        <v>580</v>
      </c>
      <c r="T126">
        <v>23215</v>
      </c>
      <c r="U126">
        <v>29076</v>
      </c>
      <c r="V126">
        <v>0</v>
      </c>
      <c r="W126">
        <v>0.19959879599999999</v>
      </c>
      <c r="X126">
        <v>0.70351758799999997</v>
      </c>
      <c r="Y126">
        <v>0.42142857099999997</v>
      </c>
      <c r="Z126">
        <v>1001</v>
      </c>
      <c r="AA126">
        <v>0.42057942100000001</v>
      </c>
      <c r="AB126">
        <v>40.025862068999999</v>
      </c>
      <c r="AC126">
        <v>469935</v>
      </c>
    </row>
    <row r="127" spans="1:29" x14ac:dyDescent="0.45">
      <c r="A127" t="s">
        <v>217</v>
      </c>
      <c r="B127" t="s">
        <v>218</v>
      </c>
      <c r="C127" t="s">
        <v>194</v>
      </c>
      <c r="D127" t="s">
        <v>225</v>
      </c>
      <c r="E127" t="s">
        <v>227</v>
      </c>
      <c r="F127" t="s">
        <v>223</v>
      </c>
      <c r="G127" t="s">
        <v>237</v>
      </c>
      <c r="H127">
        <v>0</v>
      </c>
      <c r="I127">
        <v>0</v>
      </c>
      <c r="J127">
        <v>0</v>
      </c>
      <c r="K127">
        <v>0</v>
      </c>
      <c r="L127">
        <v>58</v>
      </c>
      <c r="M127">
        <v>58</v>
      </c>
      <c r="N127">
        <v>59</v>
      </c>
      <c r="O127">
        <v>3</v>
      </c>
      <c r="P127">
        <v>7875</v>
      </c>
      <c r="Q127">
        <v>90</v>
      </c>
      <c r="R127">
        <v>0</v>
      </c>
      <c r="S127">
        <v>0</v>
      </c>
      <c r="T127">
        <v>0</v>
      </c>
      <c r="U127">
        <v>0</v>
      </c>
      <c r="V127">
        <v>0.98305084700000001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456750</v>
      </c>
    </row>
    <row r="128" spans="1:29" x14ac:dyDescent="0.45">
      <c r="A128" t="s">
        <v>217</v>
      </c>
      <c r="B128" t="s">
        <v>218</v>
      </c>
      <c r="C128" t="s">
        <v>195</v>
      </c>
      <c r="D128" t="s">
        <v>219</v>
      </c>
      <c r="E128" t="s">
        <v>220</v>
      </c>
      <c r="F128" t="s">
        <v>221</v>
      </c>
      <c r="G128" t="s">
        <v>237</v>
      </c>
      <c r="H128">
        <v>441</v>
      </c>
      <c r="I128">
        <v>124</v>
      </c>
      <c r="J128">
        <v>89</v>
      </c>
      <c r="K128">
        <v>53</v>
      </c>
      <c r="L128">
        <v>0</v>
      </c>
      <c r="M128">
        <v>53</v>
      </c>
      <c r="N128">
        <v>0</v>
      </c>
      <c r="O128">
        <v>2</v>
      </c>
      <c r="P128">
        <v>7500</v>
      </c>
      <c r="Q128">
        <v>90</v>
      </c>
      <c r="R128">
        <v>208</v>
      </c>
      <c r="S128">
        <v>233</v>
      </c>
      <c r="T128">
        <v>8526</v>
      </c>
      <c r="U128">
        <v>14648</v>
      </c>
      <c r="V128">
        <v>0</v>
      </c>
      <c r="W128">
        <v>0.281179138</v>
      </c>
      <c r="X128">
        <v>0.71774193500000005</v>
      </c>
      <c r="Y128">
        <v>0.59550561800000001</v>
      </c>
      <c r="Z128">
        <v>441</v>
      </c>
      <c r="AA128">
        <v>0.47165532900000001</v>
      </c>
      <c r="AB128">
        <v>36.592274678000003</v>
      </c>
      <c r="AC128">
        <v>402270</v>
      </c>
    </row>
    <row r="129" spans="1:29" x14ac:dyDescent="0.45">
      <c r="A129" t="s">
        <v>217</v>
      </c>
      <c r="B129" t="s">
        <v>218</v>
      </c>
      <c r="C129" t="s">
        <v>195</v>
      </c>
      <c r="D129" t="s">
        <v>219</v>
      </c>
      <c r="E129" t="s">
        <v>222</v>
      </c>
      <c r="F129" t="s">
        <v>223</v>
      </c>
      <c r="G129" t="s">
        <v>237</v>
      </c>
      <c r="H129">
        <v>0</v>
      </c>
      <c r="I129">
        <v>0</v>
      </c>
      <c r="J129">
        <v>0</v>
      </c>
      <c r="K129">
        <v>0</v>
      </c>
      <c r="L129">
        <v>52</v>
      </c>
      <c r="M129">
        <v>52</v>
      </c>
      <c r="N129">
        <v>53</v>
      </c>
      <c r="O129">
        <v>2</v>
      </c>
      <c r="P129">
        <v>7000</v>
      </c>
      <c r="Q129">
        <v>90</v>
      </c>
      <c r="R129">
        <v>0</v>
      </c>
      <c r="S129">
        <v>0</v>
      </c>
      <c r="T129">
        <v>0</v>
      </c>
      <c r="U129">
        <v>0</v>
      </c>
      <c r="V129">
        <v>0.98113207499999999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364000</v>
      </c>
    </row>
    <row r="130" spans="1:29" x14ac:dyDescent="0.45">
      <c r="A130" t="s">
        <v>217</v>
      </c>
      <c r="B130" t="s">
        <v>218</v>
      </c>
      <c r="C130" t="s">
        <v>195</v>
      </c>
      <c r="D130" t="s">
        <v>219</v>
      </c>
      <c r="E130" t="s">
        <v>224</v>
      </c>
      <c r="F130" t="s">
        <v>223</v>
      </c>
      <c r="G130" t="s">
        <v>237</v>
      </c>
      <c r="H130">
        <v>0</v>
      </c>
      <c r="I130">
        <v>0</v>
      </c>
      <c r="J130">
        <v>0</v>
      </c>
      <c r="K130">
        <v>0</v>
      </c>
      <c r="L130">
        <v>51</v>
      </c>
      <c r="M130">
        <v>51</v>
      </c>
      <c r="N130">
        <v>52</v>
      </c>
      <c r="O130">
        <v>2</v>
      </c>
      <c r="P130">
        <v>7000</v>
      </c>
      <c r="Q130">
        <v>90</v>
      </c>
      <c r="R130">
        <v>0</v>
      </c>
      <c r="S130">
        <v>0</v>
      </c>
      <c r="T130">
        <v>0</v>
      </c>
      <c r="U130">
        <v>0</v>
      </c>
      <c r="V130">
        <v>0.98076923100000002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357000</v>
      </c>
    </row>
    <row r="131" spans="1:29" x14ac:dyDescent="0.45">
      <c r="A131" t="s">
        <v>217</v>
      </c>
      <c r="B131" t="s">
        <v>218</v>
      </c>
      <c r="C131" t="s">
        <v>195</v>
      </c>
      <c r="D131" t="s">
        <v>225</v>
      </c>
      <c r="E131" t="s">
        <v>226</v>
      </c>
      <c r="F131" t="s">
        <v>223</v>
      </c>
      <c r="G131" t="s">
        <v>237</v>
      </c>
      <c r="H131">
        <v>908</v>
      </c>
      <c r="I131">
        <v>182</v>
      </c>
      <c r="J131">
        <v>127</v>
      </c>
      <c r="K131">
        <v>53</v>
      </c>
      <c r="L131">
        <v>0</v>
      </c>
      <c r="M131">
        <v>53</v>
      </c>
      <c r="N131">
        <v>0</v>
      </c>
      <c r="O131">
        <v>3</v>
      </c>
      <c r="P131">
        <v>7500</v>
      </c>
      <c r="Q131">
        <v>90</v>
      </c>
      <c r="R131">
        <v>428</v>
      </c>
      <c r="S131">
        <v>480</v>
      </c>
      <c r="T131">
        <v>17534</v>
      </c>
      <c r="U131">
        <v>30123</v>
      </c>
      <c r="V131">
        <v>0</v>
      </c>
      <c r="W131">
        <v>0.20044052900000001</v>
      </c>
      <c r="X131">
        <v>0.69780219799999998</v>
      </c>
      <c r="Y131">
        <v>0.417322835</v>
      </c>
      <c r="Z131">
        <v>908</v>
      </c>
      <c r="AA131">
        <v>0.471365639</v>
      </c>
      <c r="AB131">
        <v>36.529166666999998</v>
      </c>
      <c r="AC131">
        <v>402270</v>
      </c>
    </row>
    <row r="132" spans="1:29" x14ac:dyDescent="0.45">
      <c r="A132" t="s">
        <v>217</v>
      </c>
      <c r="B132" t="s">
        <v>218</v>
      </c>
      <c r="C132" t="s">
        <v>195</v>
      </c>
      <c r="D132" t="s">
        <v>225</v>
      </c>
      <c r="E132" t="s">
        <v>227</v>
      </c>
      <c r="F132" t="s">
        <v>223</v>
      </c>
      <c r="G132" t="s">
        <v>237</v>
      </c>
      <c r="H132">
        <v>0</v>
      </c>
      <c r="I132">
        <v>0</v>
      </c>
      <c r="J132">
        <v>0</v>
      </c>
      <c r="K132">
        <v>0</v>
      </c>
      <c r="L132">
        <v>53</v>
      </c>
      <c r="M132">
        <v>53</v>
      </c>
      <c r="N132">
        <v>53</v>
      </c>
      <c r="O132">
        <v>3</v>
      </c>
      <c r="P132">
        <v>7500</v>
      </c>
      <c r="Q132">
        <v>90</v>
      </c>
      <c r="R132">
        <v>0</v>
      </c>
      <c r="S132">
        <v>0</v>
      </c>
      <c r="T132">
        <v>0</v>
      </c>
      <c r="U132">
        <v>0</v>
      </c>
      <c r="V132">
        <v>1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397500</v>
      </c>
    </row>
    <row r="133" spans="1:29" x14ac:dyDescent="0.45">
      <c r="A133" t="s">
        <v>217</v>
      </c>
      <c r="B133" t="s">
        <v>218</v>
      </c>
      <c r="C133" t="s">
        <v>196</v>
      </c>
      <c r="D133" t="s">
        <v>219</v>
      </c>
      <c r="E133" t="s">
        <v>220</v>
      </c>
      <c r="F133" t="s">
        <v>221</v>
      </c>
      <c r="G133" t="s">
        <v>237</v>
      </c>
      <c r="H133">
        <v>375</v>
      </c>
      <c r="I133">
        <v>105</v>
      </c>
      <c r="J133">
        <v>76</v>
      </c>
      <c r="K133">
        <v>45</v>
      </c>
      <c r="L133">
        <v>0</v>
      </c>
      <c r="M133">
        <v>45</v>
      </c>
      <c r="N133">
        <v>0</v>
      </c>
      <c r="O133">
        <v>2</v>
      </c>
      <c r="P133">
        <v>7275</v>
      </c>
      <c r="Q133">
        <v>90</v>
      </c>
      <c r="R133">
        <v>180</v>
      </c>
      <c r="S133">
        <v>194</v>
      </c>
      <c r="T133">
        <v>6743</v>
      </c>
      <c r="U133">
        <v>12727</v>
      </c>
      <c r="V133">
        <v>0</v>
      </c>
      <c r="W133">
        <v>0.28000000000000003</v>
      </c>
      <c r="X133">
        <v>0.72380952399999998</v>
      </c>
      <c r="Y133">
        <v>0.59210526299999999</v>
      </c>
      <c r="Z133">
        <v>374</v>
      </c>
      <c r="AA133">
        <v>0.48128342200000002</v>
      </c>
      <c r="AB133">
        <v>34.757731958999997</v>
      </c>
      <c r="AC133">
        <v>331425</v>
      </c>
    </row>
    <row r="134" spans="1:29" x14ac:dyDescent="0.45">
      <c r="A134" t="s">
        <v>217</v>
      </c>
      <c r="B134" t="s">
        <v>218</v>
      </c>
      <c r="C134" t="s">
        <v>196</v>
      </c>
      <c r="D134" t="s">
        <v>219</v>
      </c>
      <c r="E134" t="s">
        <v>222</v>
      </c>
      <c r="F134" t="s">
        <v>223</v>
      </c>
      <c r="G134" t="s">
        <v>237</v>
      </c>
      <c r="H134">
        <v>0</v>
      </c>
      <c r="I134">
        <v>0</v>
      </c>
      <c r="J134">
        <v>0</v>
      </c>
      <c r="K134">
        <v>0</v>
      </c>
      <c r="L134">
        <v>44</v>
      </c>
      <c r="M134">
        <v>44</v>
      </c>
      <c r="N134">
        <v>45</v>
      </c>
      <c r="O134">
        <v>2</v>
      </c>
      <c r="P134">
        <v>6790</v>
      </c>
      <c r="Q134">
        <v>90</v>
      </c>
      <c r="R134">
        <v>0</v>
      </c>
      <c r="S134">
        <v>0</v>
      </c>
      <c r="T134">
        <v>0</v>
      </c>
      <c r="U134">
        <v>0</v>
      </c>
      <c r="V134">
        <v>0.97777777799999999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298760</v>
      </c>
    </row>
    <row r="135" spans="1:29" x14ac:dyDescent="0.45">
      <c r="A135" t="s">
        <v>217</v>
      </c>
      <c r="B135" t="s">
        <v>218</v>
      </c>
      <c r="C135" t="s">
        <v>196</v>
      </c>
      <c r="D135" t="s">
        <v>219</v>
      </c>
      <c r="E135" t="s">
        <v>224</v>
      </c>
      <c r="F135" t="s">
        <v>223</v>
      </c>
      <c r="G135" t="s">
        <v>237</v>
      </c>
      <c r="H135">
        <v>0</v>
      </c>
      <c r="I135">
        <v>0</v>
      </c>
      <c r="J135">
        <v>0</v>
      </c>
      <c r="K135">
        <v>0</v>
      </c>
      <c r="L135">
        <v>43</v>
      </c>
      <c r="M135">
        <v>43</v>
      </c>
      <c r="N135">
        <v>44</v>
      </c>
      <c r="O135">
        <v>2</v>
      </c>
      <c r="P135">
        <v>6790</v>
      </c>
      <c r="Q135">
        <v>90</v>
      </c>
      <c r="R135">
        <v>0</v>
      </c>
      <c r="S135">
        <v>0</v>
      </c>
      <c r="T135">
        <v>0</v>
      </c>
      <c r="U135">
        <v>0</v>
      </c>
      <c r="V135">
        <v>0.97727272700000001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291970</v>
      </c>
    </row>
    <row r="136" spans="1:29" x14ac:dyDescent="0.45">
      <c r="A136" t="s">
        <v>217</v>
      </c>
      <c r="B136" t="s">
        <v>218</v>
      </c>
      <c r="C136" t="s">
        <v>196</v>
      </c>
      <c r="D136" t="s">
        <v>225</v>
      </c>
      <c r="E136" t="s">
        <v>226</v>
      </c>
      <c r="F136" t="s">
        <v>223</v>
      </c>
      <c r="G136" t="s">
        <v>237</v>
      </c>
      <c r="H136">
        <v>770</v>
      </c>
      <c r="I136">
        <v>154</v>
      </c>
      <c r="J136">
        <v>108</v>
      </c>
      <c r="K136">
        <v>45</v>
      </c>
      <c r="L136">
        <v>0</v>
      </c>
      <c r="M136">
        <v>45</v>
      </c>
      <c r="N136">
        <v>0</v>
      </c>
      <c r="O136">
        <v>2</v>
      </c>
      <c r="P136">
        <v>7275</v>
      </c>
      <c r="Q136">
        <v>90</v>
      </c>
      <c r="R136">
        <v>370</v>
      </c>
      <c r="S136">
        <v>398</v>
      </c>
      <c r="T136">
        <v>13854</v>
      </c>
      <c r="U136">
        <v>26150</v>
      </c>
      <c r="V136">
        <v>0</v>
      </c>
      <c r="W136">
        <v>0.2</v>
      </c>
      <c r="X136">
        <v>0.70129870100000002</v>
      </c>
      <c r="Y136">
        <v>0.41666666699999999</v>
      </c>
      <c r="Z136">
        <v>768</v>
      </c>
      <c r="AA136">
        <v>0.48177083300000001</v>
      </c>
      <c r="AB136">
        <v>34.809045226000002</v>
      </c>
      <c r="AC136">
        <v>331425</v>
      </c>
    </row>
    <row r="137" spans="1:29" x14ac:dyDescent="0.45">
      <c r="A137" t="s">
        <v>217</v>
      </c>
      <c r="B137" t="s">
        <v>218</v>
      </c>
      <c r="C137" t="s">
        <v>196</v>
      </c>
      <c r="D137" t="s">
        <v>225</v>
      </c>
      <c r="E137" t="s">
        <v>227</v>
      </c>
      <c r="F137" t="s">
        <v>223</v>
      </c>
      <c r="G137" t="s">
        <v>237</v>
      </c>
      <c r="H137">
        <v>0</v>
      </c>
      <c r="I137">
        <v>0</v>
      </c>
      <c r="J137">
        <v>0</v>
      </c>
      <c r="K137">
        <v>0</v>
      </c>
      <c r="L137">
        <v>44</v>
      </c>
      <c r="M137">
        <v>44</v>
      </c>
      <c r="N137">
        <v>45</v>
      </c>
      <c r="O137">
        <v>2</v>
      </c>
      <c r="P137">
        <v>7275</v>
      </c>
      <c r="Q137">
        <v>90</v>
      </c>
      <c r="R137">
        <v>0</v>
      </c>
      <c r="S137">
        <v>0</v>
      </c>
      <c r="T137">
        <v>0</v>
      </c>
      <c r="U137">
        <v>0</v>
      </c>
      <c r="V137">
        <v>0.97777777799999999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320100</v>
      </c>
    </row>
    <row r="138" spans="1:29" x14ac:dyDescent="0.45">
      <c r="A138" t="s">
        <v>217</v>
      </c>
      <c r="B138" t="s">
        <v>218</v>
      </c>
      <c r="C138" t="s">
        <v>197</v>
      </c>
      <c r="D138" t="s">
        <v>228</v>
      </c>
      <c r="E138" t="s">
        <v>220</v>
      </c>
      <c r="F138" t="s">
        <v>221</v>
      </c>
      <c r="G138" t="s">
        <v>237</v>
      </c>
      <c r="H138">
        <v>530</v>
      </c>
      <c r="I138">
        <v>149</v>
      </c>
      <c r="J138">
        <v>107</v>
      </c>
      <c r="K138">
        <v>64</v>
      </c>
      <c r="L138">
        <v>0</v>
      </c>
      <c r="M138">
        <v>64</v>
      </c>
      <c r="N138">
        <v>0</v>
      </c>
      <c r="O138">
        <v>3</v>
      </c>
      <c r="P138">
        <v>8400</v>
      </c>
      <c r="Q138">
        <v>90</v>
      </c>
      <c r="R138">
        <v>213</v>
      </c>
      <c r="S138">
        <v>340</v>
      </c>
      <c r="T138">
        <v>16491</v>
      </c>
      <c r="U138">
        <v>17097</v>
      </c>
      <c r="V138">
        <v>0</v>
      </c>
      <c r="W138">
        <v>0.28113207499999998</v>
      </c>
      <c r="X138">
        <v>0.71812080499999997</v>
      </c>
      <c r="Y138">
        <v>0.59813084100000002</v>
      </c>
      <c r="Z138">
        <v>553</v>
      </c>
      <c r="AA138">
        <v>0.38517179000000001</v>
      </c>
      <c r="AB138">
        <v>48.502941176</v>
      </c>
      <c r="AC138">
        <v>543360</v>
      </c>
    </row>
    <row r="139" spans="1:29" x14ac:dyDescent="0.45">
      <c r="A139" t="s">
        <v>217</v>
      </c>
      <c r="B139" t="s">
        <v>218</v>
      </c>
      <c r="C139" t="s">
        <v>197</v>
      </c>
      <c r="D139" t="s">
        <v>228</v>
      </c>
      <c r="E139" t="s">
        <v>222</v>
      </c>
      <c r="F139" t="s">
        <v>223</v>
      </c>
      <c r="G139" t="s">
        <v>237</v>
      </c>
      <c r="H139">
        <v>0</v>
      </c>
      <c r="I139">
        <v>0</v>
      </c>
      <c r="J139">
        <v>0</v>
      </c>
      <c r="K139">
        <v>0</v>
      </c>
      <c r="L139">
        <v>62</v>
      </c>
      <c r="M139">
        <v>62</v>
      </c>
      <c r="N139">
        <v>64</v>
      </c>
      <c r="O139">
        <v>3</v>
      </c>
      <c r="P139">
        <v>7840</v>
      </c>
      <c r="Q139">
        <v>90</v>
      </c>
      <c r="R139">
        <v>0</v>
      </c>
      <c r="S139">
        <v>0</v>
      </c>
      <c r="T139">
        <v>0</v>
      </c>
      <c r="U139">
        <v>0</v>
      </c>
      <c r="V139">
        <v>0.96875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486080</v>
      </c>
    </row>
    <row r="140" spans="1:29" x14ac:dyDescent="0.45">
      <c r="A140" t="s">
        <v>217</v>
      </c>
      <c r="B140" t="s">
        <v>218</v>
      </c>
      <c r="C140" t="s">
        <v>197</v>
      </c>
      <c r="D140" t="s">
        <v>228</v>
      </c>
      <c r="E140" t="s">
        <v>224</v>
      </c>
      <c r="F140" t="s">
        <v>223</v>
      </c>
      <c r="G140" t="s">
        <v>237</v>
      </c>
      <c r="H140">
        <v>0</v>
      </c>
      <c r="I140">
        <v>0</v>
      </c>
      <c r="J140">
        <v>0</v>
      </c>
      <c r="K140">
        <v>0</v>
      </c>
      <c r="L140">
        <v>61</v>
      </c>
      <c r="M140">
        <v>61</v>
      </c>
      <c r="N140">
        <v>62</v>
      </c>
      <c r="O140">
        <v>3</v>
      </c>
      <c r="P140">
        <v>7840</v>
      </c>
      <c r="Q140">
        <v>90</v>
      </c>
      <c r="R140">
        <v>0</v>
      </c>
      <c r="S140">
        <v>0</v>
      </c>
      <c r="T140">
        <v>0</v>
      </c>
      <c r="U140">
        <v>0</v>
      </c>
      <c r="V140">
        <v>0.98387096799999996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478240</v>
      </c>
    </row>
    <row r="141" spans="1:29" x14ac:dyDescent="0.45">
      <c r="A141" t="s">
        <v>217</v>
      </c>
      <c r="B141" t="s">
        <v>218</v>
      </c>
      <c r="C141" t="s">
        <v>197</v>
      </c>
      <c r="D141" t="s">
        <v>229</v>
      </c>
      <c r="E141" t="s">
        <v>226</v>
      </c>
      <c r="F141" t="s">
        <v>223</v>
      </c>
      <c r="G141" t="s">
        <v>237</v>
      </c>
      <c r="H141">
        <v>1086</v>
      </c>
      <c r="I141">
        <v>217</v>
      </c>
      <c r="J141">
        <v>152</v>
      </c>
      <c r="K141">
        <v>64</v>
      </c>
      <c r="L141">
        <v>0</v>
      </c>
      <c r="M141">
        <v>64</v>
      </c>
      <c r="N141">
        <v>0</v>
      </c>
      <c r="O141">
        <v>3</v>
      </c>
      <c r="P141">
        <v>8400</v>
      </c>
      <c r="Q141">
        <v>90</v>
      </c>
      <c r="R141">
        <v>437</v>
      </c>
      <c r="S141">
        <v>695</v>
      </c>
      <c r="T141">
        <v>33757</v>
      </c>
      <c r="U141">
        <v>34997</v>
      </c>
      <c r="V141">
        <v>0</v>
      </c>
      <c r="W141">
        <v>0.199815838</v>
      </c>
      <c r="X141">
        <v>0.70046082899999995</v>
      </c>
      <c r="Y141">
        <v>0.42105263199999998</v>
      </c>
      <c r="Z141">
        <v>1132</v>
      </c>
      <c r="AA141">
        <v>0.38604240299999998</v>
      </c>
      <c r="AB141">
        <v>48.571223021999998</v>
      </c>
      <c r="AC141">
        <v>543360</v>
      </c>
    </row>
    <row r="142" spans="1:29" x14ac:dyDescent="0.45">
      <c r="A142" t="s">
        <v>217</v>
      </c>
      <c r="B142" t="s">
        <v>218</v>
      </c>
      <c r="C142" t="s">
        <v>197</v>
      </c>
      <c r="D142" t="s">
        <v>229</v>
      </c>
      <c r="E142" t="s">
        <v>227</v>
      </c>
      <c r="F142" t="s">
        <v>223</v>
      </c>
      <c r="G142" t="s">
        <v>237</v>
      </c>
      <c r="H142">
        <v>0</v>
      </c>
      <c r="I142">
        <v>0</v>
      </c>
      <c r="J142">
        <v>0</v>
      </c>
      <c r="K142">
        <v>0</v>
      </c>
      <c r="L142">
        <v>63</v>
      </c>
      <c r="M142">
        <v>63</v>
      </c>
      <c r="N142">
        <v>64</v>
      </c>
      <c r="O142">
        <v>3</v>
      </c>
      <c r="P142">
        <v>8400</v>
      </c>
      <c r="Q142">
        <v>90</v>
      </c>
      <c r="R142">
        <v>0</v>
      </c>
      <c r="S142">
        <v>0</v>
      </c>
      <c r="T142">
        <v>0</v>
      </c>
      <c r="U142">
        <v>0</v>
      </c>
      <c r="V142">
        <v>0.984375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529200</v>
      </c>
    </row>
    <row r="143" spans="1:29" x14ac:dyDescent="0.45">
      <c r="A143" t="s">
        <v>217</v>
      </c>
      <c r="B143" t="s">
        <v>218</v>
      </c>
      <c r="C143" t="s">
        <v>198</v>
      </c>
      <c r="D143" t="s">
        <v>228</v>
      </c>
      <c r="E143" t="s">
        <v>220</v>
      </c>
      <c r="F143" t="s">
        <v>221</v>
      </c>
      <c r="G143" t="s">
        <v>237</v>
      </c>
      <c r="H143">
        <v>366</v>
      </c>
      <c r="I143">
        <v>102</v>
      </c>
      <c r="J143">
        <v>74</v>
      </c>
      <c r="K143">
        <v>44</v>
      </c>
      <c r="L143">
        <v>0</v>
      </c>
      <c r="M143">
        <v>44</v>
      </c>
      <c r="N143">
        <v>0</v>
      </c>
      <c r="O143">
        <v>2</v>
      </c>
      <c r="P143">
        <v>7350</v>
      </c>
      <c r="Q143">
        <v>90</v>
      </c>
      <c r="R143">
        <v>194</v>
      </c>
      <c r="S143">
        <v>186</v>
      </c>
      <c r="T143">
        <v>6793</v>
      </c>
      <c r="U143">
        <v>15806</v>
      </c>
      <c r="V143">
        <v>0</v>
      </c>
      <c r="W143">
        <v>0.27868852500000002</v>
      </c>
      <c r="X143">
        <v>0.72549019599999998</v>
      </c>
      <c r="Y143">
        <v>0.594594595</v>
      </c>
      <c r="Z143">
        <v>380</v>
      </c>
      <c r="AA143">
        <v>0.51052631599999998</v>
      </c>
      <c r="AB143">
        <v>36.521505376</v>
      </c>
      <c r="AC143">
        <v>327360</v>
      </c>
    </row>
    <row r="144" spans="1:29" x14ac:dyDescent="0.45">
      <c r="A144" t="s">
        <v>217</v>
      </c>
      <c r="B144" t="s">
        <v>218</v>
      </c>
      <c r="C144" t="s">
        <v>198</v>
      </c>
      <c r="D144" t="s">
        <v>228</v>
      </c>
      <c r="E144" t="s">
        <v>222</v>
      </c>
      <c r="F144" t="s">
        <v>223</v>
      </c>
      <c r="G144" t="s">
        <v>237</v>
      </c>
      <c r="H144">
        <v>0</v>
      </c>
      <c r="I144">
        <v>0</v>
      </c>
      <c r="J144">
        <v>0</v>
      </c>
      <c r="K144">
        <v>0</v>
      </c>
      <c r="L144">
        <v>43</v>
      </c>
      <c r="M144">
        <v>43</v>
      </c>
      <c r="N144">
        <v>44</v>
      </c>
      <c r="O144">
        <v>2</v>
      </c>
      <c r="P144">
        <v>6860</v>
      </c>
      <c r="Q144">
        <v>90</v>
      </c>
      <c r="R144">
        <v>0</v>
      </c>
      <c r="S144">
        <v>0</v>
      </c>
      <c r="T144">
        <v>0</v>
      </c>
      <c r="U144">
        <v>0</v>
      </c>
      <c r="V144">
        <v>0.97727272700000001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294980</v>
      </c>
    </row>
    <row r="145" spans="1:29" x14ac:dyDescent="0.45">
      <c r="A145" t="s">
        <v>217</v>
      </c>
      <c r="B145" t="s">
        <v>218</v>
      </c>
      <c r="C145" t="s">
        <v>198</v>
      </c>
      <c r="D145" t="s">
        <v>228</v>
      </c>
      <c r="E145" t="s">
        <v>224</v>
      </c>
      <c r="F145" t="s">
        <v>223</v>
      </c>
      <c r="G145" t="s">
        <v>237</v>
      </c>
      <c r="H145">
        <v>0</v>
      </c>
      <c r="I145">
        <v>0</v>
      </c>
      <c r="J145">
        <v>0</v>
      </c>
      <c r="K145">
        <v>0</v>
      </c>
      <c r="L145">
        <v>42</v>
      </c>
      <c r="M145">
        <v>42</v>
      </c>
      <c r="N145">
        <v>43</v>
      </c>
      <c r="O145">
        <v>2</v>
      </c>
      <c r="P145">
        <v>6860</v>
      </c>
      <c r="Q145">
        <v>90</v>
      </c>
      <c r="R145">
        <v>0</v>
      </c>
      <c r="S145">
        <v>0</v>
      </c>
      <c r="T145">
        <v>0</v>
      </c>
      <c r="U145">
        <v>0</v>
      </c>
      <c r="V145">
        <v>0.97674418600000001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288120</v>
      </c>
    </row>
    <row r="146" spans="1:29" x14ac:dyDescent="0.45">
      <c r="A146" t="s">
        <v>217</v>
      </c>
      <c r="B146" t="s">
        <v>218</v>
      </c>
      <c r="C146" t="s">
        <v>198</v>
      </c>
      <c r="D146" t="s">
        <v>229</v>
      </c>
      <c r="E146" t="s">
        <v>226</v>
      </c>
      <c r="F146" t="s">
        <v>223</v>
      </c>
      <c r="G146" t="s">
        <v>237</v>
      </c>
      <c r="H146">
        <v>756</v>
      </c>
      <c r="I146">
        <v>151</v>
      </c>
      <c r="J146">
        <v>106</v>
      </c>
      <c r="K146">
        <v>44</v>
      </c>
      <c r="L146">
        <v>0</v>
      </c>
      <c r="M146">
        <v>44</v>
      </c>
      <c r="N146">
        <v>0</v>
      </c>
      <c r="O146">
        <v>2</v>
      </c>
      <c r="P146">
        <v>7350</v>
      </c>
      <c r="Q146">
        <v>90</v>
      </c>
      <c r="R146">
        <v>400</v>
      </c>
      <c r="S146">
        <v>385</v>
      </c>
      <c r="T146">
        <v>14050</v>
      </c>
      <c r="U146">
        <v>32689</v>
      </c>
      <c r="V146">
        <v>0</v>
      </c>
      <c r="W146">
        <v>0.19973545000000001</v>
      </c>
      <c r="X146">
        <v>0.70198675499999996</v>
      </c>
      <c r="Y146">
        <v>0.41509434000000001</v>
      </c>
      <c r="Z146">
        <v>785</v>
      </c>
      <c r="AA146">
        <v>0.50955413999999999</v>
      </c>
      <c r="AB146">
        <v>36.493506494000002</v>
      </c>
      <c r="AC146">
        <v>327360</v>
      </c>
    </row>
    <row r="147" spans="1:29" x14ac:dyDescent="0.45">
      <c r="A147" t="s">
        <v>217</v>
      </c>
      <c r="B147" t="s">
        <v>218</v>
      </c>
      <c r="C147" t="s">
        <v>198</v>
      </c>
      <c r="D147" t="s">
        <v>229</v>
      </c>
      <c r="E147" t="s">
        <v>227</v>
      </c>
      <c r="F147" t="s">
        <v>223</v>
      </c>
      <c r="G147" t="s">
        <v>237</v>
      </c>
      <c r="H147">
        <v>0</v>
      </c>
      <c r="I147">
        <v>0</v>
      </c>
      <c r="J147">
        <v>0</v>
      </c>
      <c r="K147">
        <v>0</v>
      </c>
      <c r="L147">
        <v>44</v>
      </c>
      <c r="M147">
        <v>44</v>
      </c>
      <c r="N147">
        <v>44</v>
      </c>
      <c r="O147">
        <v>2</v>
      </c>
      <c r="P147">
        <v>7350</v>
      </c>
      <c r="Q147">
        <v>90</v>
      </c>
      <c r="R147">
        <v>0</v>
      </c>
      <c r="S147">
        <v>0</v>
      </c>
      <c r="T147">
        <v>0</v>
      </c>
      <c r="U147">
        <v>0</v>
      </c>
      <c r="V147">
        <v>1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323400</v>
      </c>
    </row>
    <row r="148" spans="1:29" x14ac:dyDescent="0.45">
      <c r="A148" t="s">
        <v>217</v>
      </c>
      <c r="B148" t="s">
        <v>218</v>
      </c>
      <c r="C148" t="s">
        <v>199</v>
      </c>
      <c r="D148" t="s">
        <v>228</v>
      </c>
      <c r="E148" t="s">
        <v>220</v>
      </c>
      <c r="F148" t="s">
        <v>221</v>
      </c>
      <c r="G148" t="s">
        <v>237</v>
      </c>
      <c r="H148">
        <v>344</v>
      </c>
      <c r="I148">
        <v>96</v>
      </c>
      <c r="J148">
        <v>69</v>
      </c>
      <c r="K148">
        <v>42</v>
      </c>
      <c r="L148">
        <v>0</v>
      </c>
      <c r="M148">
        <v>42</v>
      </c>
      <c r="N148">
        <v>0</v>
      </c>
      <c r="O148">
        <v>2</v>
      </c>
      <c r="P148">
        <v>7200</v>
      </c>
      <c r="Q148">
        <v>90</v>
      </c>
      <c r="R148">
        <v>186</v>
      </c>
      <c r="S148">
        <v>171</v>
      </c>
      <c r="T148">
        <v>5940</v>
      </c>
      <c r="U148">
        <v>15179</v>
      </c>
      <c r="V148">
        <v>0</v>
      </c>
      <c r="W148">
        <v>0.27906976700000002</v>
      </c>
      <c r="X148">
        <v>0.71875</v>
      </c>
      <c r="Y148">
        <v>0.60869565199999998</v>
      </c>
      <c r="Z148">
        <v>357</v>
      </c>
      <c r="AA148">
        <v>0.52100840299999995</v>
      </c>
      <c r="AB148">
        <v>34.736842105000001</v>
      </c>
      <c r="AC148">
        <v>306180</v>
      </c>
    </row>
    <row r="149" spans="1:29" x14ac:dyDescent="0.45">
      <c r="A149" t="s">
        <v>217</v>
      </c>
      <c r="B149" t="s">
        <v>218</v>
      </c>
      <c r="C149" t="s">
        <v>199</v>
      </c>
      <c r="D149" t="s">
        <v>228</v>
      </c>
      <c r="E149" t="s">
        <v>222</v>
      </c>
      <c r="F149" t="s">
        <v>223</v>
      </c>
      <c r="G149" t="s">
        <v>237</v>
      </c>
      <c r="H149">
        <v>0</v>
      </c>
      <c r="I149">
        <v>0</v>
      </c>
      <c r="J149">
        <v>0</v>
      </c>
      <c r="K149">
        <v>0</v>
      </c>
      <c r="L149">
        <v>41</v>
      </c>
      <c r="M149">
        <v>41</v>
      </c>
      <c r="N149">
        <v>42</v>
      </c>
      <c r="O149">
        <v>2</v>
      </c>
      <c r="P149">
        <v>6720</v>
      </c>
      <c r="Q149">
        <v>90</v>
      </c>
      <c r="R149">
        <v>0</v>
      </c>
      <c r="S149">
        <v>0</v>
      </c>
      <c r="T149">
        <v>0</v>
      </c>
      <c r="U149">
        <v>0</v>
      </c>
      <c r="V149">
        <v>0.97619047599999997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275520</v>
      </c>
    </row>
    <row r="150" spans="1:29" x14ac:dyDescent="0.45">
      <c r="A150" t="s">
        <v>217</v>
      </c>
      <c r="B150" t="s">
        <v>218</v>
      </c>
      <c r="C150" t="s">
        <v>199</v>
      </c>
      <c r="D150" t="s">
        <v>228</v>
      </c>
      <c r="E150" t="s">
        <v>224</v>
      </c>
      <c r="F150" t="s">
        <v>223</v>
      </c>
      <c r="G150" t="s">
        <v>237</v>
      </c>
      <c r="H150">
        <v>0</v>
      </c>
      <c r="I150">
        <v>0</v>
      </c>
      <c r="J150">
        <v>0</v>
      </c>
      <c r="K150">
        <v>0</v>
      </c>
      <c r="L150">
        <v>40</v>
      </c>
      <c r="M150">
        <v>40</v>
      </c>
      <c r="N150">
        <v>41</v>
      </c>
      <c r="O150">
        <v>2</v>
      </c>
      <c r="P150">
        <v>6720</v>
      </c>
      <c r="Q150">
        <v>90</v>
      </c>
      <c r="R150">
        <v>0</v>
      </c>
      <c r="S150">
        <v>0</v>
      </c>
      <c r="T150">
        <v>0</v>
      </c>
      <c r="U150">
        <v>0</v>
      </c>
      <c r="V150">
        <v>0.97560975599999999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268800</v>
      </c>
    </row>
    <row r="151" spans="1:29" x14ac:dyDescent="0.45">
      <c r="A151" t="s">
        <v>217</v>
      </c>
      <c r="B151" t="s">
        <v>218</v>
      </c>
      <c r="C151" t="s">
        <v>199</v>
      </c>
      <c r="D151" t="s">
        <v>229</v>
      </c>
      <c r="E151" t="s">
        <v>226</v>
      </c>
      <c r="F151" t="s">
        <v>223</v>
      </c>
      <c r="G151" t="s">
        <v>237</v>
      </c>
      <c r="H151">
        <v>712</v>
      </c>
      <c r="I151">
        <v>142</v>
      </c>
      <c r="J151">
        <v>100</v>
      </c>
      <c r="K151">
        <v>42</v>
      </c>
      <c r="L151">
        <v>0</v>
      </c>
      <c r="M151">
        <v>42</v>
      </c>
      <c r="N151">
        <v>0</v>
      </c>
      <c r="O151">
        <v>2</v>
      </c>
      <c r="P151">
        <v>7200</v>
      </c>
      <c r="Q151">
        <v>90</v>
      </c>
      <c r="R151">
        <v>384</v>
      </c>
      <c r="S151">
        <v>355</v>
      </c>
      <c r="T151">
        <v>12311</v>
      </c>
      <c r="U151">
        <v>31458</v>
      </c>
      <c r="V151">
        <v>0</v>
      </c>
      <c r="W151">
        <v>0.19943820200000001</v>
      </c>
      <c r="X151">
        <v>0.70422535200000003</v>
      </c>
      <c r="Y151">
        <v>0.42</v>
      </c>
      <c r="Z151">
        <v>739</v>
      </c>
      <c r="AA151">
        <v>0.51962111</v>
      </c>
      <c r="AB151">
        <v>34.678873238999998</v>
      </c>
      <c r="AC151">
        <v>306180</v>
      </c>
    </row>
    <row r="152" spans="1:29" x14ac:dyDescent="0.45">
      <c r="A152" t="s">
        <v>217</v>
      </c>
      <c r="B152" t="s">
        <v>218</v>
      </c>
      <c r="C152" t="s">
        <v>199</v>
      </c>
      <c r="D152" t="s">
        <v>229</v>
      </c>
      <c r="E152" t="s">
        <v>227</v>
      </c>
      <c r="F152" t="s">
        <v>223</v>
      </c>
      <c r="G152" t="s">
        <v>237</v>
      </c>
      <c r="H152">
        <v>0</v>
      </c>
      <c r="I152">
        <v>0</v>
      </c>
      <c r="J152">
        <v>0</v>
      </c>
      <c r="K152">
        <v>0</v>
      </c>
      <c r="L152">
        <v>41</v>
      </c>
      <c r="M152">
        <v>41</v>
      </c>
      <c r="N152">
        <v>42</v>
      </c>
      <c r="O152">
        <v>2</v>
      </c>
      <c r="P152">
        <v>7200</v>
      </c>
      <c r="Q152">
        <v>90</v>
      </c>
      <c r="R152">
        <v>0</v>
      </c>
      <c r="S152">
        <v>0</v>
      </c>
      <c r="T152">
        <v>0</v>
      </c>
      <c r="U152">
        <v>0</v>
      </c>
      <c r="V152">
        <v>0.97619047599999997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295200</v>
      </c>
    </row>
    <row r="153" spans="1:29" x14ac:dyDescent="0.45">
      <c r="A153" t="s">
        <v>217</v>
      </c>
      <c r="B153" t="s">
        <v>218</v>
      </c>
      <c r="C153" t="s">
        <v>200</v>
      </c>
      <c r="D153" t="s">
        <v>230</v>
      </c>
      <c r="E153" t="s">
        <v>220</v>
      </c>
      <c r="F153" t="s">
        <v>223</v>
      </c>
      <c r="G153" t="s">
        <v>237</v>
      </c>
      <c r="H153">
        <v>756</v>
      </c>
      <c r="I153">
        <v>151</v>
      </c>
      <c r="J153">
        <v>106</v>
      </c>
      <c r="K153">
        <v>44</v>
      </c>
      <c r="L153">
        <v>0</v>
      </c>
      <c r="M153">
        <v>44</v>
      </c>
      <c r="N153">
        <v>0</v>
      </c>
      <c r="O153">
        <v>2</v>
      </c>
      <c r="P153">
        <v>7000</v>
      </c>
      <c r="Q153">
        <v>90</v>
      </c>
      <c r="R153">
        <v>258</v>
      </c>
      <c r="S153">
        <v>489</v>
      </c>
      <c r="T153">
        <v>17983</v>
      </c>
      <c r="U153">
        <v>15937</v>
      </c>
      <c r="V153">
        <v>0</v>
      </c>
      <c r="W153">
        <v>0.19973545000000001</v>
      </c>
      <c r="X153">
        <v>0.70198675499999996</v>
      </c>
      <c r="Y153">
        <v>0.41509434000000001</v>
      </c>
      <c r="Z153">
        <v>747</v>
      </c>
      <c r="AA153">
        <v>0.34538152599999999</v>
      </c>
      <c r="AB153">
        <v>36.775051124999997</v>
      </c>
      <c r="AC153">
        <v>311960</v>
      </c>
    </row>
    <row r="154" spans="1:29" x14ac:dyDescent="0.45">
      <c r="A154" t="s">
        <v>217</v>
      </c>
      <c r="B154" t="s">
        <v>218</v>
      </c>
      <c r="C154" t="s">
        <v>200</v>
      </c>
      <c r="D154" t="s">
        <v>230</v>
      </c>
      <c r="E154" t="s">
        <v>222</v>
      </c>
      <c r="F154" t="s">
        <v>223</v>
      </c>
      <c r="G154" t="s">
        <v>237</v>
      </c>
      <c r="H154">
        <v>0</v>
      </c>
      <c r="I154">
        <v>0</v>
      </c>
      <c r="J154">
        <v>0</v>
      </c>
      <c r="K154">
        <v>0</v>
      </c>
      <c r="L154">
        <v>43</v>
      </c>
      <c r="M154">
        <v>43</v>
      </c>
      <c r="N154">
        <v>44</v>
      </c>
      <c r="O154">
        <v>2</v>
      </c>
      <c r="P154">
        <v>7000</v>
      </c>
      <c r="Q154">
        <v>90</v>
      </c>
      <c r="R154">
        <v>0</v>
      </c>
      <c r="S154">
        <v>0</v>
      </c>
      <c r="T154">
        <v>0</v>
      </c>
      <c r="U154">
        <v>0</v>
      </c>
      <c r="V154">
        <v>0.97727272700000001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301000</v>
      </c>
    </row>
    <row r="155" spans="1:29" x14ac:dyDescent="0.45">
      <c r="A155" t="s">
        <v>217</v>
      </c>
      <c r="B155" t="s">
        <v>218</v>
      </c>
      <c r="C155" t="s">
        <v>200</v>
      </c>
      <c r="D155" t="s">
        <v>230</v>
      </c>
      <c r="E155" t="s">
        <v>224</v>
      </c>
      <c r="F155" t="s">
        <v>223</v>
      </c>
      <c r="G155" t="s">
        <v>237</v>
      </c>
      <c r="H155">
        <v>0</v>
      </c>
      <c r="I155">
        <v>0</v>
      </c>
      <c r="J155">
        <v>0</v>
      </c>
      <c r="K155">
        <v>0</v>
      </c>
      <c r="L155">
        <v>42</v>
      </c>
      <c r="M155">
        <v>42</v>
      </c>
      <c r="N155">
        <v>43</v>
      </c>
      <c r="O155">
        <v>2</v>
      </c>
      <c r="P155">
        <v>7000</v>
      </c>
      <c r="Q155">
        <v>90</v>
      </c>
      <c r="R155">
        <v>0</v>
      </c>
      <c r="S155">
        <v>0</v>
      </c>
      <c r="T155">
        <v>0</v>
      </c>
      <c r="U155">
        <v>0</v>
      </c>
      <c r="V155">
        <v>0.97674418600000001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294000</v>
      </c>
    </row>
    <row r="156" spans="1:29" x14ac:dyDescent="0.45">
      <c r="A156" t="s">
        <v>217</v>
      </c>
      <c r="B156" t="s">
        <v>218</v>
      </c>
      <c r="C156" t="s">
        <v>201</v>
      </c>
      <c r="D156" t="s">
        <v>230</v>
      </c>
      <c r="E156" t="s">
        <v>220</v>
      </c>
      <c r="F156" t="s">
        <v>223</v>
      </c>
      <c r="G156" t="s">
        <v>237</v>
      </c>
      <c r="H156">
        <v>605</v>
      </c>
      <c r="I156">
        <v>121</v>
      </c>
      <c r="J156">
        <v>85</v>
      </c>
      <c r="K156">
        <v>36</v>
      </c>
      <c r="L156">
        <v>0</v>
      </c>
      <c r="M156">
        <v>36</v>
      </c>
      <c r="N156">
        <v>0</v>
      </c>
      <c r="O156">
        <v>2</v>
      </c>
      <c r="P156">
        <v>6650</v>
      </c>
      <c r="Q156">
        <v>90</v>
      </c>
      <c r="R156">
        <v>223</v>
      </c>
      <c r="S156">
        <v>371</v>
      </c>
      <c r="T156">
        <v>12341</v>
      </c>
      <c r="U156">
        <v>14022</v>
      </c>
      <c r="V156">
        <v>0</v>
      </c>
      <c r="W156">
        <v>0.2</v>
      </c>
      <c r="X156">
        <v>0.70247933900000004</v>
      </c>
      <c r="Y156">
        <v>0.42352941199999999</v>
      </c>
      <c r="Z156">
        <v>594</v>
      </c>
      <c r="AA156">
        <v>0.37542087499999999</v>
      </c>
      <c r="AB156">
        <v>33.264150942999997</v>
      </c>
      <c r="AC156">
        <v>242640</v>
      </c>
    </row>
    <row r="157" spans="1:29" x14ac:dyDescent="0.45">
      <c r="A157" t="s">
        <v>217</v>
      </c>
      <c r="B157" t="s">
        <v>218</v>
      </c>
      <c r="C157" t="s">
        <v>201</v>
      </c>
      <c r="D157" t="s">
        <v>230</v>
      </c>
      <c r="E157" t="s">
        <v>222</v>
      </c>
      <c r="F157" t="s">
        <v>223</v>
      </c>
      <c r="G157" t="s">
        <v>237</v>
      </c>
      <c r="H157">
        <v>0</v>
      </c>
      <c r="I157">
        <v>0</v>
      </c>
      <c r="J157">
        <v>0</v>
      </c>
      <c r="K157">
        <v>0</v>
      </c>
      <c r="L157">
        <v>35</v>
      </c>
      <c r="M157">
        <v>35</v>
      </c>
      <c r="N157">
        <v>36</v>
      </c>
      <c r="O157">
        <v>2</v>
      </c>
      <c r="P157">
        <v>6650</v>
      </c>
      <c r="Q157">
        <v>90</v>
      </c>
      <c r="R157">
        <v>0</v>
      </c>
      <c r="S157">
        <v>0</v>
      </c>
      <c r="T157">
        <v>0</v>
      </c>
      <c r="U157">
        <v>0</v>
      </c>
      <c r="V157">
        <v>0.97222222199999997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232750</v>
      </c>
    </row>
    <row r="158" spans="1:29" x14ac:dyDescent="0.45">
      <c r="A158" t="s">
        <v>217</v>
      </c>
      <c r="B158" t="s">
        <v>218</v>
      </c>
      <c r="C158" t="s">
        <v>201</v>
      </c>
      <c r="D158" t="s">
        <v>230</v>
      </c>
      <c r="E158" t="s">
        <v>224</v>
      </c>
      <c r="F158" t="s">
        <v>223</v>
      </c>
      <c r="G158" t="s">
        <v>237</v>
      </c>
      <c r="H158">
        <v>0</v>
      </c>
      <c r="I158">
        <v>0</v>
      </c>
      <c r="J158">
        <v>0</v>
      </c>
      <c r="K158">
        <v>0</v>
      </c>
      <c r="L158">
        <v>34</v>
      </c>
      <c r="M158">
        <v>34</v>
      </c>
      <c r="N158">
        <v>35</v>
      </c>
      <c r="O158">
        <v>2</v>
      </c>
      <c r="P158">
        <v>6650</v>
      </c>
      <c r="Q158">
        <v>90</v>
      </c>
      <c r="R158">
        <v>0</v>
      </c>
      <c r="S158">
        <v>0</v>
      </c>
      <c r="T158">
        <v>0</v>
      </c>
      <c r="U158">
        <v>0</v>
      </c>
      <c r="V158">
        <v>0.97142857100000002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226100</v>
      </c>
    </row>
    <row r="159" spans="1:29" x14ac:dyDescent="0.45">
      <c r="A159" t="s">
        <v>217</v>
      </c>
      <c r="B159" t="s">
        <v>218</v>
      </c>
      <c r="C159" t="s">
        <v>202</v>
      </c>
      <c r="D159" t="s">
        <v>230</v>
      </c>
      <c r="E159" t="s">
        <v>220</v>
      </c>
      <c r="F159" t="s">
        <v>223</v>
      </c>
      <c r="G159" t="s">
        <v>237</v>
      </c>
      <c r="H159">
        <v>605</v>
      </c>
      <c r="I159">
        <v>121</v>
      </c>
      <c r="J159">
        <v>85</v>
      </c>
      <c r="K159">
        <v>36</v>
      </c>
      <c r="L159">
        <v>0</v>
      </c>
      <c r="M159">
        <v>36</v>
      </c>
      <c r="N159">
        <v>0</v>
      </c>
      <c r="O159">
        <v>2</v>
      </c>
      <c r="P159">
        <v>6650</v>
      </c>
      <c r="Q159">
        <v>90</v>
      </c>
      <c r="R159">
        <v>217</v>
      </c>
      <c r="S159">
        <v>377</v>
      </c>
      <c r="T159">
        <v>12543</v>
      </c>
      <c r="U159">
        <v>13581</v>
      </c>
      <c r="V159">
        <v>0</v>
      </c>
      <c r="W159">
        <v>0.2</v>
      </c>
      <c r="X159">
        <v>0.70247933900000004</v>
      </c>
      <c r="Y159">
        <v>0.42352941199999999</v>
      </c>
      <c r="Z159">
        <v>594</v>
      </c>
      <c r="AA159">
        <v>0.36531986500000002</v>
      </c>
      <c r="AB159">
        <v>33.270557029000003</v>
      </c>
      <c r="AC159">
        <v>242640</v>
      </c>
    </row>
    <row r="160" spans="1:29" x14ac:dyDescent="0.45">
      <c r="A160" t="s">
        <v>217</v>
      </c>
      <c r="B160" t="s">
        <v>218</v>
      </c>
      <c r="C160" t="s">
        <v>202</v>
      </c>
      <c r="D160" t="s">
        <v>230</v>
      </c>
      <c r="E160" t="s">
        <v>222</v>
      </c>
      <c r="F160" t="s">
        <v>223</v>
      </c>
      <c r="G160" t="s">
        <v>237</v>
      </c>
      <c r="H160">
        <v>0</v>
      </c>
      <c r="I160">
        <v>0</v>
      </c>
      <c r="J160">
        <v>0</v>
      </c>
      <c r="K160">
        <v>0</v>
      </c>
      <c r="L160">
        <v>35</v>
      </c>
      <c r="M160">
        <v>35</v>
      </c>
      <c r="N160">
        <v>36</v>
      </c>
      <c r="O160">
        <v>2</v>
      </c>
      <c r="P160">
        <v>6650</v>
      </c>
      <c r="Q160">
        <v>90</v>
      </c>
      <c r="R160">
        <v>0</v>
      </c>
      <c r="S160">
        <v>0</v>
      </c>
      <c r="T160">
        <v>0</v>
      </c>
      <c r="U160">
        <v>0</v>
      </c>
      <c r="V160">
        <v>0.97222222199999997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232750</v>
      </c>
    </row>
    <row r="161" spans="1:29" x14ac:dyDescent="0.45">
      <c r="A161" t="s">
        <v>217</v>
      </c>
      <c r="B161" t="s">
        <v>218</v>
      </c>
      <c r="C161" t="s">
        <v>202</v>
      </c>
      <c r="D161" t="s">
        <v>230</v>
      </c>
      <c r="E161" t="s">
        <v>224</v>
      </c>
      <c r="F161" t="s">
        <v>223</v>
      </c>
      <c r="G161" t="s">
        <v>237</v>
      </c>
      <c r="H161">
        <v>0</v>
      </c>
      <c r="I161">
        <v>0</v>
      </c>
      <c r="J161">
        <v>0</v>
      </c>
      <c r="K161">
        <v>0</v>
      </c>
      <c r="L161">
        <v>34</v>
      </c>
      <c r="M161">
        <v>34</v>
      </c>
      <c r="N161">
        <v>35</v>
      </c>
      <c r="O161">
        <v>2</v>
      </c>
      <c r="P161">
        <v>6650</v>
      </c>
      <c r="Q161">
        <v>90</v>
      </c>
      <c r="R161">
        <v>0</v>
      </c>
      <c r="S161">
        <v>0</v>
      </c>
      <c r="T161">
        <v>0</v>
      </c>
      <c r="U161">
        <v>0</v>
      </c>
      <c r="V161">
        <v>0.97142857100000002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226100</v>
      </c>
    </row>
    <row r="162" spans="1:29" x14ac:dyDescent="0.45">
      <c r="A162" t="s">
        <v>217</v>
      </c>
      <c r="B162" t="s">
        <v>218</v>
      </c>
      <c r="C162" t="s">
        <v>203</v>
      </c>
      <c r="D162" t="s">
        <v>231</v>
      </c>
      <c r="E162" t="s">
        <v>232</v>
      </c>
      <c r="F162" t="s">
        <v>223</v>
      </c>
      <c r="G162" t="s">
        <v>237</v>
      </c>
      <c r="H162">
        <v>699</v>
      </c>
      <c r="I162">
        <v>140</v>
      </c>
      <c r="J162">
        <v>98</v>
      </c>
      <c r="K162">
        <v>41</v>
      </c>
      <c r="L162">
        <v>0</v>
      </c>
      <c r="M162">
        <v>41</v>
      </c>
      <c r="N162">
        <v>0</v>
      </c>
      <c r="O162">
        <v>2</v>
      </c>
      <c r="P162">
        <v>6300</v>
      </c>
      <c r="Q162">
        <v>90</v>
      </c>
      <c r="R162">
        <v>341</v>
      </c>
      <c r="S162">
        <v>382</v>
      </c>
      <c r="T162">
        <v>15129</v>
      </c>
      <c r="U162">
        <v>26720</v>
      </c>
      <c r="V162">
        <v>0</v>
      </c>
      <c r="W162">
        <v>0.20028612300000001</v>
      </c>
      <c r="X162">
        <v>0.7</v>
      </c>
      <c r="Y162">
        <v>0.418367347</v>
      </c>
      <c r="Z162">
        <v>723</v>
      </c>
      <c r="AA162">
        <v>0.47164592</v>
      </c>
      <c r="AB162">
        <v>39.604712042000003</v>
      </c>
      <c r="AC162">
        <v>261990</v>
      </c>
    </row>
    <row r="163" spans="1:29" x14ac:dyDescent="0.45">
      <c r="A163" t="s">
        <v>217</v>
      </c>
      <c r="B163" t="s">
        <v>218</v>
      </c>
      <c r="C163" t="s">
        <v>203</v>
      </c>
      <c r="D163" t="s">
        <v>231</v>
      </c>
      <c r="E163" t="s">
        <v>233</v>
      </c>
      <c r="F163" t="s">
        <v>223</v>
      </c>
      <c r="G163" t="s">
        <v>237</v>
      </c>
      <c r="H163">
        <v>0</v>
      </c>
      <c r="I163">
        <v>0</v>
      </c>
      <c r="J163">
        <v>0</v>
      </c>
      <c r="K163">
        <v>0</v>
      </c>
      <c r="L163">
        <v>40</v>
      </c>
      <c r="M163">
        <v>40</v>
      </c>
      <c r="N163">
        <v>41</v>
      </c>
      <c r="O163">
        <v>2</v>
      </c>
      <c r="P163">
        <v>6300</v>
      </c>
      <c r="Q163">
        <v>90</v>
      </c>
      <c r="R163">
        <v>0</v>
      </c>
      <c r="S163">
        <v>0</v>
      </c>
      <c r="T163">
        <v>0</v>
      </c>
      <c r="U163">
        <v>0</v>
      </c>
      <c r="V163">
        <v>0.97560975599999999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252000</v>
      </c>
    </row>
    <row r="164" spans="1:29" x14ac:dyDescent="0.45">
      <c r="A164" t="s">
        <v>217</v>
      </c>
      <c r="B164" t="s">
        <v>218</v>
      </c>
      <c r="C164" t="s">
        <v>203</v>
      </c>
      <c r="D164" t="s">
        <v>234</v>
      </c>
      <c r="E164" t="s">
        <v>220</v>
      </c>
      <c r="F164" t="s">
        <v>223</v>
      </c>
      <c r="G164" t="s">
        <v>237</v>
      </c>
      <c r="H164">
        <v>699</v>
      </c>
      <c r="I164">
        <v>140</v>
      </c>
      <c r="J164">
        <v>98</v>
      </c>
      <c r="K164">
        <v>41</v>
      </c>
      <c r="L164">
        <v>0</v>
      </c>
      <c r="M164">
        <v>41</v>
      </c>
      <c r="N164">
        <v>0</v>
      </c>
      <c r="O164">
        <v>2</v>
      </c>
      <c r="P164">
        <v>7350</v>
      </c>
      <c r="Q164">
        <v>90</v>
      </c>
      <c r="R164">
        <v>341</v>
      </c>
      <c r="S164">
        <v>383</v>
      </c>
      <c r="T164">
        <v>15129</v>
      </c>
      <c r="U164">
        <v>26719</v>
      </c>
      <c r="V164">
        <v>0</v>
      </c>
      <c r="W164">
        <v>0.20028612300000001</v>
      </c>
      <c r="X164">
        <v>0.7</v>
      </c>
      <c r="Y164">
        <v>0.418367347</v>
      </c>
      <c r="Z164">
        <v>724</v>
      </c>
      <c r="AA164">
        <v>0.47099447500000002</v>
      </c>
      <c r="AB164">
        <v>39.501305483000003</v>
      </c>
      <c r="AC164">
        <v>305040</v>
      </c>
    </row>
    <row r="165" spans="1:29" x14ac:dyDescent="0.45">
      <c r="A165" t="s">
        <v>217</v>
      </c>
      <c r="B165" t="s">
        <v>218</v>
      </c>
      <c r="C165" t="s">
        <v>203</v>
      </c>
      <c r="D165" t="s">
        <v>234</v>
      </c>
      <c r="E165" t="s">
        <v>224</v>
      </c>
      <c r="F165" t="s">
        <v>223</v>
      </c>
      <c r="G165" t="s">
        <v>237</v>
      </c>
      <c r="H165">
        <v>0</v>
      </c>
      <c r="I165">
        <v>0</v>
      </c>
      <c r="J165">
        <v>0</v>
      </c>
      <c r="K165">
        <v>0</v>
      </c>
      <c r="L165">
        <v>40</v>
      </c>
      <c r="M165">
        <v>40</v>
      </c>
      <c r="N165">
        <v>41</v>
      </c>
      <c r="O165">
        <v>2</v>
      </c>
      <c r="P165">
        <v>7350</v>
      </c>
      <c r="Q165">
        <v>90</v>
      </c>
      <c r="R165">
        <v>0</v>
      </c>
      <c r="S165">
        <v>0</v>
      </c>
      <c r="T165">
        <v>0</v>
      </c>
      <c r="U165">
        <v>0</v>
      </c>
      <c r="V165">
        <v>0.97560975599999999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294000</v>
      </c>
    </row>
    <row r="166" spans="1:29" x14ac:dyDescent="0.45">
      <c r="A166" t="s">
        <v>217</v>
      </c>
      <c r="B166" t="s">
        <v>218</v>
      </c>
      <c r="C166" t="s">
        <v>204</v>
      </c>
      <c r="D166" t="s">
        <v>231</v>
      </c>
      <c r="E166" t="s">
        <v>232</v>
      </c>
      <c r="F166" t="s">
        <v>223</v>
      </c>
      <c r="G166" t="s">
        <v>237</v>
      </c>
      <c r="H166">
        <v>547</v>
      </c>
      <c r="I166">
        <v>109</v>
      </c>
      <c r="J166">
        <v>77</v>
      </c>
      <c r="K166">
        <v>32</v>
      </c>
      <c r="L166">
        <v>0</v>
      </c>
      <c r="M166">
        <v>32</v>
      </c>
      <c r="N166">
        <v>0</v>
      </c>
      <c r="O166">
        <v>2</v>
      </c>
      <c r="P166">
        <v>5820</v>
      </c>
      <c r="Q166">
        <v>90</v>
      </c>
      <c r="R166">
        <v>302</v>
      </c>
      <c r="S166">
        <v>264</v>
      </c>
      <c r="T166">
        <v>9078</v>
      </c>
      <c r="U166">
        <v>23880</v>
      </c>
      <c r="V166">
        <v>0</v>
      </c>
      <c r="W166">
        <v>0.199268739</v>
      </c>
      <c r="X166">
        <v>0.70642201800000004</v>
      </c>
      <c r="Y166">
        <v>0.41558441600000001</v>
      </c>
      <c r="Z166">
        <v>566</v>
      </c>
      <c r="AA166">
        <v>0.53356890499999998</v>
      </c>
      <c r="AB166">
        <v>34.386363635999999</v>
      </c>
      <c r="AC166">
        <v>189120</v>
      </c>
    </row>
    <row r="167" spans="1:29" x14ac:dyDescent="0.45">
      <c r="A167" t="s">
        <v>217</v>
      </c>
      <c r="B167" t="s">
        <v>218</v>
      </c>
      <c r="C167" t="s">
        <v>204</v>
      </c>
      <c r="D167" t="s">
        <v>231</v>
      </c>
      <c r="E167" t="s">
        <v>233</v>
      </c>
      <c r="F167" t="s">
        <v>223</v>
      </c>
      <c r="G167" t="s">
        <v>237</v>
      </c>
      <c r="H167">
        <v>0</v>
      </c>
      <c r="I167">
        <v>0</v>
      </c>
      <c r="J167">
        <v>0</v>
      </c>
      <c r="K167">
        <v>0</v>
      </c>
      <c r="L167">
        <v>31</v>
      </c>
      <c r="M167">
        <v>31</v>
      </c>
      <c r="N167">
        <v>32</v>
      </c>
      <c r="O167">
        <v>2</v>
      </c>
      <c r="P167">
        <v>5820</v>
      </c>
      <c r="Q167">
        <v>90</v>
      </c>
      <c r="R167">
        <v>0</v>
      </c>
      <c r="S167">
        <v>0</v>
      </c>
      <c r="T167">
        <v>0</v>
      </c>
      <c r="U167">
        <v>0</v>
      </c>
      <c r="V167">
        <v>0.96875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180420</v>
      </c>
    </row>
    <row r="168" spans="1:29" x14ac:dyDescent="0.45">
      <c r="A168" t="s">
        <v>217</v>
      </c>
      <c r="B168" t="s">
        <v>218</v>
      </c>
      <c r="C168" t="s">
        <v>204</v>
      </c>
      <c r="D168" t="s">
        <v>234</v>
      </c>
      <c r="E168" t="s">
        <v>220</v>
      </c>
      <c r="F168" t="s">
        <v>223</v>
      </c>
      <c r="G168" t="s">
        <v>237</v>
      </c>
      <c r="H168">
        <v>547</v>
      </c>
      <c r="I168">
        <v>109</v>
      </c>
      <c r="J168">
        <v>77</v>
      </c>
      <c r="K168">
        <v>32</v>
      </c>
      <c r="L168">
        <v>0</v>
      </c>
      <c r="M168">
        <v>32</v>
      </c>
      <c r="N168">
        <v>0</v>
      </c>
      <c r="O168">
        <v>2</v>
      </c>
      <c r="P168">
        <v>6790</v>
      </c>
      <c r="Q168">
        <v>90</v>
      </c>
      <c r="R168">
        <v>301</v>
      </c>
      <c r="S168">
        <v>264</v>
      </c>
      <c r="T168">
        <v>9077</v>
      </c>
      <c r="U168">
        <v>23880</v>
      </c>
      <c r="V168">
        <v>0</v>
      </c>
      <c r="W168">
        <v>0.199268739</v>
      </c>
      <c r="X168">
        <v>0.70642201800000004</v>
      </c>
      <c r="Y168">
        <v>0.41558441600000001</v>
      </c>
      <c r="Z168">
        <v>565</v>
      </c>
      <c r="AA168">
        <v>0.53274336300000003</v>
      </c>
      <c r="AB168">
        <v>34.382575758000002</v>
      </c>
      <c r="AC168">
        <v>220160</v>
      </c>
    </row>
    <row r="169" spans="1:29" x14ac:dyDescent="0.45">
      <c r="A169" t="s">
        <v>217</v>
      </c>
      <c r="B169" t="s">
        <v>218</v>
      </c>
      <c r="C169" t="s">
        <v>204</v>
      </c>
      <c r="D169" t="s">
        <v>234</v>
      </c>
      <c r="E169" t="s">
        <v>224</v>
      </c>
      <c r="F169" t="s">
        <v>223</v>
      </c>
      <c r="G169" t="s">
        <v>237</v>
      </c>
      <c r="H169">
        <v>0</v>
      </c>
      <c r="I169">
        <v>0</v>
      </c>
      <c r="J169">
        <v>0</v>
      </c>
      <c r="K169">
        <v>0</v>
      </c>
      <c r="L169">
        <v>31</v>
      </c>
      <c r="M169">
        <v>31</v>
      </c>
      <c r="N169">
        <v>32</v>
      </c>
      <c r="O169">
        <v>2</v>
      </c>
      <c r="P169">
        <v>6790</v>
      </c>
      <c r="Q169">
        <v>90</v>
      </c>
      <c r="R169">
        <v>0</v>
      </c>
      <c r="S169">
        <v>0</v>
      </c>
      <c r="T169">
        <v>0</v>
      </c>
      <c r="U169">
        <v>0</v>
      </c>
      <c r="V169">
        <v>0.96875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210490</v>
      </c>
    </row>
    <row r="170" spans="1:29" x14ac:dyDescent="0.45">
      <c r="A170" t="s">
        <v>217</v>
      </c>
      <c r="B170" t="s">
        <v>218</v>
      </c>
      <c r="C170" t="s">
        <v>205</v>
      </c>
      <c r="D170" t="s">
        <v>235</v>
      </c>
      <c r="E170" t="s">
        <v>220</v>
      </c>
      <c r="F170" t="s">
        <v>223</v>
      </c>
      <c r="G170" t="s">
        <v>237</v>
      </c>
      <c r="H170">
        <v>712</v>
      </c>
      <c r="I170">
        <v>142</v>
      </c>
      <c r="J170">
        <v>100</v>
      </c>
      <c r="K170">
        <v>42</v>
      </c>
      <c r="L170">
        <v>0</v>
      </c>
      <c r="M170">
        <v>42</v>
      </c>
      <c r="N170">
        <v>0</v>
      </c>
      <c r="O170">
        <v>2</v>
      </c>
      <c r="P170">
        <v>7840</v>
      </c>
      <c r="Q170">
        <v>90</v>
      </c>
      <c r="R170">
        <v>231</v>
      </c>
      <c r="S170">
        <v>517</v>
      </c>
      <c r="T170">
        <v>24992</v>
      </c>
      <c r="U170">
        <v>19081</v>
      </c>
      <c r="V170">
        <v>0</v>
      </c>
      <c r="W170">
        <v>0.19943820200000001</v>
      </c>
      <c r="X170">
        <v>0.70422535200000003</v>
      </c>
      <c r="Y170">
        <v>0.42</v>
      </c>
      <c r="Z170">
        <v>748</v>
      </c>
      <c r="AA170">
        <v>0.30882352899999999</v>
      </c>
      <c r="AB170">
        <v>48.340425531999998</v>
      </c>
      <c r="AC170">
        <v>333060</v>
      </c>
    </row>
    <row r="171" spans="1:29" x14ac:dyDescent="0.45">
      <c r="A171" t="s">
        <v>217</v>
      </c>
      <c r="B171" t="s">
        <v>218</v>
      </c>
      <c r="C171" t="s">
        <v>205</v>
      </c>
      <c r="D171" t="s">
        <v>235</v>
      </c>
      <c r="E171" t="s">
        <v>222</v>
      </c>
      <c r="F171" t="s">
        <v>223</v>
      </c>
      <c r="G171" t="s">
        <v>237</v>
      </c>
      <c r="H171">
        <v>0</v>
      </c>
      <c r="I171">
        <v>0</v>
      </c>
      <c r="J171">
        <v>0</v>
      </c>
      <c r="K171">
        <v>0</v>
      </c>
      <c r="L171">
        <v>41</v>
      </c>
      <c r="M171">
        <v>41</v>
      </c>
      <c r="N171">
        <v>42</v>
      </c>
      <c r="O171">
        <v>2</v>
      </c>
      <c r="P171">
        <v>7840</v>
      </c>
      <c r="Q171">
        <v>90</v>
      </c>
      <c r="R171">
        <v>0</v>
      </c>
      <c r="S171">
        <v>0</v>
      </c>
      <c r="T171">
        <v>0</v>
      </c>
      <c r="U171">
        <v>0</v>
      </c>
      <c r="V171">
        <v>0.97619047599999997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321440</v>
      </c>
    </row>
    <row r="172" spans="1:29" x14ac:dyDescent="0.45">
      <c r="A172" t="s">
        <v>217</v>
      </c>
      <c r="B172" t="s">
        <v>218</v>
      </c>
      <c r="C172" t="s">
        <v>205</v>
      </c>
      <c r="D172" t="s">
        <v>235</v>
      </c>
      <c r="E172" t="s">
        <v>224</v>
      </c>
      <c r="F172" t="s">
        <v>223</v>
      </c>
      <c r="G172" t="s">
        <v>237</v>
      </c>
      <c r="H172">
        <v>0</v>
      </c>
      <c r="I172">
        <v>0</v>
      </c>
      <c r="J172">
        <v>0</v>
      </c>
      <c r="K172">
        <v>0</v>
      </c>
      <c r="L172">
        <v>40</v>
      </c>
      <c r="M172">
        <v>40</v>
      </c>
      <c r="N172">
        <v>41</v>
      </c>
      <c r="O172">
        <v>2</v>
      </c>
      <c r="P172">
        <v>7840</v>
      </c>
      <c r="Q172">
        <v>90</v>
      </c>
      <c r="R172">
        <v>0</v>
      </c>
      <c r="S172">
        <v>0</v>
      </c>
      <c r="T172">
        <v>0</v>
      </c>
      <c r="U172">
        <v>0</v>
      </c>
      <c r="V172">
        <v>0.97560975599999999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313600</v>
      </c>
    </row>
    <row r="173" spans="1:29" x14ac:dyDescent="0.45">
      <c r="A173" t="s">
        <v>217</v>
      </c>
      <c r="B173" t="s">
        <v>218</v>
      </c>
      <c r="C173" t="s">
        <v>206</v>
      </c>
      <c r="D173" t="s">
        <v>235</v>
      </c>
      <c r="E173" t="s">
        <v>220</v>
      </c>
      <c r="F173" t="s">
        <v>223</v>
      </c>
      <c r="G173" t="s">
        <v>237</v>
      </c>
      <c r="H173">
        <v>605</v>
      </c>
      <c r="I173">
        <v>121</v>
      </c>
      <c r="J173">
        <v>85</v>
      </c>
      <c r="K173">
        <v>36</v>
      </c>
      <c r="L173">
        <v>0</v>
      </c>
      <c r="M173">
        <v>36</v>
      </c>
      <c r="N173">
        <v>0</v>
      </c>
      <c r="O173">
        <v>2</v>
      </c>
      <c r="P173">
        <v>7350</v>
      </c>
      <c r="Q173">
        <v>90</v>
      </c>
      <c r="R173">
        <v>242</v>
      </c>
      <c r="S173">
        <v>392</v>
      </c>
      <c r="T173">
        <v>15578</v>
      </c>
      <c r="U173">
        <v>20221</v>
      </c>
      <c r="V173">
        <v>0</v>
      </c>
      <c r="W173">
        <v>0.2</v>
      </c>
      <c r="X173">
        <v>0.70247933900000004</v>
      </c>
      <c r="Y173">
        <v>0.42352941199999999</v>
      </c>
      <c r="Z173">
        <v>634</v>
      </c>
      <c r="AA173">
        <v>0.38170346999999999</v>
      </c>
      <c r="AB173">
        <v>39.739795917999999</v>
      </c>
      <c r="AC173">
        <v>267840</v>
      </c>
    </row>
    <row r="174" spans="1:29" x14ac:dyDescent="0.45">
      <c r="A174" t="s">
        <v>217</v>
      </c>
      <c r="B174" t="s">
        <v>218</v>
      </c>
      <c r="C174" t="s">
        <v>206</v>
      </c>
      <c r="D174" t="s">
        <v>235</v>
      </c>
      <c r="E174" t="s">
        <v>222</v>
      </c>
      <c r="F174" t="s">
        <v>223</v>
      </c>
      <c r="G174" t="s">
        <v>237</v>
      </c>
      <c r="H174">
        <v>0</v>
      </c>
      <c r="I174">
        <v>0</v>
      </c>
      <c r="J174">
        <v>0</v>
      </c>
      <c r="K174">
        <v>0</v>
      </c>
      <c r="L174">
        <v>35</v>
      </c>
      <c r="M174">
        <v>35</v>
      </c>
      <c r="N174">
        <v>36</v>
      </c>
      <c r="O174">
        <v>2</v>
      </c>
      <c r="P174">
        <v>7350</v>
      </c>
      <c r="Q174">
        <v>90</v>
      </c>
      <c r="R174">
        <v>0</v>
      </c>
      <c r="S174">
        <v>0</v>
      </c>
      <c r="T174">
        <v>0</v>
      </c>
      <c r="U174">
        <v>0</v>
      </c>
      <c r="V174">
        <v>0.97222222199999997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257250</v>
      </c>
    </row>
    <row r="175" spans="1:29" x14ac:dyDescent="0.45">
      <c r="A175" t="s">
        <v>217</v>
      </c>
      <c r="B175" t="s">
        <v>218</v>
      </c>
      <c r="C175" t="s">
        <v>206</v>
      </c>
      <c r="D175" t="s">
        <v>235</v>
      </c>
      <c r="E175" t="s">
        <v>224</v>
      </c>
      <c r="F175" t="s">
        <v>223</v>
      </c>
      <c r="G175" t="s">
        <v>237</v>
      </c>
      <c r="H175">
        <v>0</v>
      </c>
      <c r="I175">
        <v>0</v>
      </c>
      <c r="J175">
        <v>0</v>
      </c>
      <c r="K175">
        <v>0</v>
      </c>
      <c r="L175">
        <v>34</v>
      </c>
      <c r="M175">
        <v>34</v>
      </c>
      <c r="N175">
        <v>35</v>
      </c>
      <c r="O175">
        <v>2</v>
      </c>
      <c r="P175">
        <v>7350</v>
      </c>
      <c r="Q175">
        <v>90</v>
      </c>
      <c r="R175">
        <v>0</v>
      </c>
      <c r="S175">
        <v>0</v>
      </c>
      <c r="T175">
        <v>0</v>
      </c>
      <c r="U175">
        <v>0</v>
      </c>
      <c r="V175">
        <v>0.97142857100000002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249900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27</v>
      </c>
      <c r="B1" s="1" t="s">
        <v>28</v>
      </c>
      <c r="C1" s="1" t="s">
        <v>29</v>
      </c>
      <c r="D1" s="1" t="s">
        <v>57</v>
      </c>
      <c r="E1" s="1" t="s">
        <v>58</v>
      </c>
      <c r="F1" s="1" t="s">
        <v>59</v>
      </c>
      <c r="G1" s="1" t="s">
        <v>60</v>
      </c>
      <c r="H1" s="1" t="s">
        <v>61</v>
      </c>
      <c r="I1" s="1" t="s">
        <v>53</v>
      </c>
      <c r="J1" s="1" t="s">
        <v>54</v>
      </c>
      <c r="K1" s="1" t="s">
        <v>62</v>
      </c>
      <c r="L1" s="1" t="s">
        <v>63</v>
      </c>
      <c r="M1" s="1" t="s">
        <v>64</v>
      </c>
      <c r="N1" s="1" t="s">
        <v>65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S175"/>
  <sheetViews>
    <sheetView workbookViewId="0">
      <selection activeCell="E2" sqref="E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9" x14ac:dyDescent="0.45">
      <c r="A1" s="5" t="s">
        <v>27</v>
      </c>
      <c r="B1" s="1" t="s">
        <v>67</v>
      </c>
      <c r="C1" s="1" t="s">
        <v>28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69</v>
      </c>
      <c r="K1" s="1" t="s">
        <v>70</v>
      </c>
      <c r="L1" s="1" t="s">
        <v>71</v>
      </c>
      <c r="M1" s="1" t="s">
        <v>55</v>
      </c>
      <c r="O1" t="s">
        <v>238</v>
      </c>
      <c r="P1" t="s">
        <v>239</v>
      </c>
      <c r="Q1" t="s">
        <v>240</v>
      </c>
      <c r="R1" t="s">
        <v>241</v>
      </c>
      <c r="S1" t="s">
        <v>242</v>
      </c>
    </row>
    <row r="2" spans="1:1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O2">
        <f>IF(D2="","",_CALC_MOTEUR!AE2)</f>
        <v>0</v>
      </c>
      <c r="P2">
        <f>IF(D2="","",_CALC_MOTEUR!AF2)</f>
        <v>0</v>
      </c>
      <c r="Q2">
        <f>IF(D2="","",_CALC_MOTEUR!AG2)</f>
        <v>0</v>
      </c>
      <c r="R2">
        <f>IF(D2="","",_CALC_MOTEUR!AH2)</f>
        <v>0</v>
      </c>
      <c r="S2">
        <f t="shared" ref="S2:S65" si="0">IF(D2="","",R2-M2)</f>
        <v>-1000</v>
      </c>
    </row>
    <row r="3" spans="1:19" x14ac:dyDescent="0.45">
      <c r="O3" t="str">
        <f>IF(D3="","",_CALC_MOTEUR!AE3)</f>
        <v/>
      </c>
      <c r="P3" t="str">
        <f>IF(D3="","",_CALC_MOTEUR!AF3)</f>
        <v/>
      </c>
      <c r="Q3" t="str">
        <f>IF(D3="","",_CALC_MOTEUR!AG3)</f>
        <v/>
      </c>
      <c r="R3" t="str">
        <f>IF(D3="","",_CALC_MOTEUR!AH3)</f>
        <v/>
      </c>
      <c r="S3" t="str">
        <f t="shared" si="0"/>
        <v/>
      </c>
    </row>
    <row r="4" spans="1:19" x14ac:dyDescent="0.45">
      <c r="O4" t="str">
        <f>IF(D4="","",_CALC_MOTEUR!AE4)</f>
        <v/>
      </c>
      <c r="P4" t="str">
        <f>IF(D4="","",_CALC_MOTEUR!AF4)</f>
        <v/>
      </c>
      <c r="Q4" t="str">
        <f>IF(D4="","",_CALC_MOTEUR!AG4)</f>
        <v/>
      </c>
      <c r="R4" t="str">
        <f>IF(D4="","",_CALC_MOTEUR!AH4)</f>
        <v/>
      </c>
      <c r="S4" t="str">
        <f t="shared" si="0"/>
        <v/>
      </c>
    </row>
    <row r="5" spans="1:19" x14ac:dyDescent="0.45">
      <c r="O5" t="str">
        <f>IF(D5="","",_CALC_MOTEUR!AE5)</f>
        <v/>
      </c>
      <c r="P5" t="str">
        <f>IF(D5="","",_CALC_MOTEUR!AF5)</f>
        <v/>
      </c>
      <c r="Q5" t="str">
        <f>IF(D5="","",_CALC_MOTEUR!AG5)</f>
        <v/>
      </c>
      <c r="R5" t="str">
        <f>IF(D5="","",_CALC_MOTEUR!AH5)</f>
        <v/>
      </c>
      <c r="S5" t="str">
        <f t="shared" si="0"/>
        <v/>
      </c>
    </row>
    <row r="6" spans="1:19" x14ac:dyDescent="0.45">
      <c r="O6" t="str">
        <f>IF(D6="","",_CALC_MOTEUR!AE6)</f>
        <v/>
      </c>
      <c r="P6" t="str">
        <f>IF(D6="","",_CALC_MOTEUR!AF6)</f>
        <v/>
      </c>
      <c r="Q6" t="str">
        <f>IF(D6="","",_CALC_MOTEUR!AG6)</f>
        <v/>
      </c>
      <c r="R6" t="str">
        <f>IF(D6="","",_CALC_MOTEUR!AH6)</f>
        <v/>
      </c>
      <c r="S6" t="str">
        <f t="shared" si="0"/>
        <v/>
      </c>
    </row>
    <row r="7" spans="1:19" x14ac:dyDescent="0.45">
      <c r="O7" t="str">
        <f>IF(D7="","",_CALC_MOTEUR!AE7)</f>
        <v/>
      </c>
      <c r="P7" t="str">
        <f>IF(D7="","",_CALC_MOTEUR!AF7)</f>
        <v/>
      </c>
      <c r="Q7" t="str">
        <f>IF(D7="","",_CALC_MOTEUR!AG7)</f>
        <v/>
      </c>
      <c r="R7" t="str">
        <f>IF(D7="","",_CALC_MOTEUR!AH7)</f>
        <v/>
      </c>
      <c r="S7" t="str">
        <f t="shared" si="0"/>
        <v/>
      </c>
    </row>
    <row r="8" spans="1:19" x14ac:dyDescent="0.45">
      <c r="O8" t="str">
        <f>IF(D8="","",_CALC_MOTEUR!AE8)</f>
        <v/>
      </c>
      <c r="P8" t="str">
        <f>IF(D8="","",_CALC_MOTEUR!AF8)</f>
        <v/>
      </c>
      <c r="Q8" t="str">
        <f>IF(D8="","",_CALC_MOTEUR!AG8)</f>
        <v/>
      </c>
      <c r="R8" t="str">
        <f>IF(D8="","",_CALC_MOTEUR!AH8)</f>
        <v/>
      </c>
      <c r="S8" t="str">
        <f t="shared" si="0"/>
        <v/>
      </c>
    </row>
    <row r="9" spans="1:19" x14ac:dyDescent="0.45">
      <c r="O9" t="str">
        <f>IF(D9="","",_CALC_MOTEUR!AE9)</f>
        <v/>
      </c>
      <c r="P9" t="str">
        <f>IF(D9="","",_CALC_MOTEUR!AF9)</f>
        <v/>
      </c>
      <c r="Q9" t="str">
        <f>IF(D9="","",_CALC_MOTEUR!AG9)</f>
        <v/>
      </c>
      <c r="R9" t="str">
        <f>IF(D9="","",_CALC_MOTEUR!AH9)</f>
        <v/>
      </c>
      <c r="S9" t="str">
        <f t="shared" si="0"/>
        <v/>
      </c>
    </row>
    <row r="10" spans="1:19" x14ac:dyDescent="0.45">
      <c r="O10" t="str">
        <f>IF(D10="","",_CALC_MOTEUR!AE10)</f>
        <v/>
      </c>
      <c r="P10" t="str">
        <f>IF(D10="","",_CALC_MOTEUR!AF10)</f>
        <v/>
      </c>
      <c r="Q10" t="str">
        <f>IF(D10="","",_CALC_MOTEUR!AG10)</f>
        <v/>
      </c>
      <c r="R10" t="str">
        <f>IF(D10="","",_CALC_MOTEUR!AH10)</f>
        <v/>
      </c>
      <c r="S10" t="str">
        <f t="shared" si="0"/>
        <v/>
      </c>
    </row>
    <row r="11" spans="1:19" x14ac:dyDescent="0.45">
      <c r="O11" t="str">
        <f>IF(D11="","",_CALC_MOTEUR!AE11)</f>
        <v/>
      </c>
      <c r="P11" t="str">
        <f>IF(D11="","",_CALC_MOTEUR!AF11)</f>
        <v/>
      </c>
      <c r="Q11" t="str">
        <f>IF(D11="","",_CALC_MOTEUR!AG11)</f>
        <v/>
      </c>
      <c r="R11" t="str">
        <f>IF(D11="","",_CALC_MOTEUR!AH11)</f>
        <v/>
      </c>
      <c r="S11" t="str">
        <f t="shared" si="0"/>
        <v/>
      </c>
    </row>
    <row r="12" spans="1:19" x14ac:dyDescent="0.45">
      <c r="O12" t="str">
        <f>IF(D12="","",_CALC_MOTEUR!AE12)</f>
        <v/>
      </c>
      <c r="P12" t="str">
        <f>IF(D12="","",_CALC_MOTEUR!AF12)</f>
        <v/>
      </c>
      <c r="Q12" t="str">
        <f>IF(D12="","",_CALC_MOTEUR!AG12)</f>
        <v/>
      </c>
      <c r="R12" t="str">
        <f>IF(D12="","",_CALC_MOTEUR!AH12)</f>
        <v/>
      </c>
      <c r="S12" t="str">
        <f t="shared" si="0"/>
        <v/>
      </c>
    </row>
    <row r="13" spans="1:19" x14ac:dyDescent="0.45">
      <c r="O13" t="str">
        <f>IF(D13="","",_CALC_MOTEUR!AE13)</f>
        <v/>
      </c>
      <c r="P13" t="str">
        <f>IF(D13="","",_CALC_MOTEUR!AF13)</f>
        <v/>
      </c>
      <c r="Q13" t="str">
        <f>IF(D13="","",_CALC_MOTEUR!AG13)</f>
        <v/>
      </c>
      <c r="R13" t="str">
        <f>IF(D13="","",_CALC_MOTEUR!AH13)</f>
        <v/>
      </c>
      <c r="S13" t="str">
        <f t="shared" si="0"/>
        <v/>
      </c>
    </row>
    <row r="14" spans="1:19" x14ac:dyDescent="0.45">
      <c r="O14" t="str">
        <f>IF(D14="","",_CALC_MOTEUR!AE14)</f>
        <v/>
      </c>
      <c r="P14" t="str">
        <f>IF(D14="","",_CALC_MOTEUR!AF14)</f>
        <v/>
      </c>
      <c r="Q14" t="str">
        <f>IF(D14="","",_CALC_MOTEUR!AG14)</f>
        <v/>
      </c>
      <c r="R14" t="str">
        <f>IF(D14="","",_CALC_MOTEUR!AH14)</f>
        <v/>
      </c>
      <c r="S14" t="str">
        <f t="shared" si="0"/>
        <v/>
      </c>
    </row>
    <row r="15" spans="1:19" x14ac:dyDescent="0.45">
      <c r="O15" t="str">
        <f>IF(D15="","",_CALC_MOTEUR!AE15)</f>
        <v/>
      </c>
      <c r="P15" t="str">
        <f>IF(D15="","",_CALC_MOTEUR!AF15)</f>
        <v/>
      </c>
      <c r="Q15" t="str">
        <f>IF(D15="","",_CALC_MOTEUR!AG15)</f>
        <v/>
      </c>
      <c r="R15" t="str">
        <f>IF(D15="","",_CALC_MOTEUR!AH15)</f>
        <v/>
      </c>
      <c r="S15" t="str">
        <f t="shared" si="0"/>
        <v/>
      </c>
    </row>
    <row r="16" spans="1:19" x14ac:dyDescent="0.45">
      <c r="O16" t="str">
        <f>IF(D16="","",_CALC_MOTEUR!AE16)</f>
        <v/>
      </c>
      <c r="P16" t="str">
        <f>IF(D16="","",_CALC_MOTEUR!AF16)</f>
        <v/>
      </c>
      <c r="Q16" t="str">
        <f>IF(D16="","",_CALC_MOTEUR!AG16)</f>
        <v/>
      </c>
      <c r="R16" t="str">
        <f>IF(D16="","",_CALC_MOTEUR!AH16)</f>
        <v/>
      </c>
      <c r="S16" t="str">
        <f t="shared" si="0"/>
        <v/>
      </c>
    </row>
    <row r="17" spans="15:19" x14ac:dyDescent="0.45">
      <c r="O17" t="str">
        <f>IF(D17="","",_CALC_MOTEUR!AE17)</f>
        <v/>
      </c>
      <c r="P17" t="str">
        <f>IF(D17="","",_CALC_MOTEUR!AF17)</f>
        <v/>
      </c>
      <c r="Q17" t="str">
        <f>IF(D17="","",_CALC_MOTEUR!AG17)</f>
        <v/>
      </c>
      <c r="R17" t="str">
        <f>IF(D17="","",_CALC_MOTEUR!AH17)</f>
        <v/>
      </c>
      <c r="S17" t="str">
        <f t="shared" si="0"/>
        <v/>
      </c>
    </row>
    <row r="18" spans="15:19" x14ac:dyDescent="0.45">
      <c r="O18" t="str">
        <f>IF(D18="","",_CALC_MOTEUR!AE18)</f>
        <v/>
      </c>
      <c r="P18" t="str">
        <f>IF(D18="","",_CALC_MOTEUR!AF18)</f>
        <v/>
      </c>
      <c r="Q18" t="str">
        <f>IF(D18="","",_CALC_MOTEUR!AG18)</f>
        <v/>
      </c>
      <c r="R18" t="str">
        <f>IF(D18="","",_CALC_MOTEUR!AH18)</f>
        <v/>
      </c>
      <c r="S18" t="str">
        <f t="shared" si="0"/>
        <v/>
      </c>
    </row>
    <row r="19" spans="15:19" x14ac:dyDescent="0.45">
      <c r="O19" t="str">
        <f>IF(D19="","",_CALC_MOTEUR!AE19)</f>
        <v/>
      </c>
      <c r="P19" t="str">
        <f>IF(D19="","",_CALC_MOTEUR!AF19)</f>
        <v/>
      </c>
      <c r="Q19" t="str">
        <f>IF(D19="","",_CALC_MOTEUR!AG19)</f>
        <v/>
      </c>
      <c r="R19" t="str">
        <f>IF(D19="","",_CALC_MOTEUR!AH19)</f>
        <v/>
      </c>
      <c r="S19" t="str">
        <f t="shared" si="0"/>
        <v/>
      </c>
    </row>
    <row r="20" spans="15:19" x14ac:dyDescent="0.45">
      <c r="O20" t="str">
        <f>IF(D20="","",_CALC_MOTEUR!AE20)</f>
        <v/>
      </c>
      <c r="P20" t="str">
        <f>IF(D20="","",_CALC_MOTEUR!AF20)</f>
        <v/>
      </c>
      <c r="Q20" t="str">
        <f>IF(D20="","",_CALC_MOTEUR!AG20)</f>
        <v/>
      </c>
      <c r="R20" t="str">
        <f>IF(D20="","",_CALC_MOTEUR!AH20)</f>
        <v/>
      </c>
      <c r="S20" t="str">
        <f t="shared" si="0"/>
        <v/>
      </c>
    </row>
    <row r="21" spans="15:19" x14ac:dyDescent="0.45">
      <c r="O21" t="str">
        <f>IF(D21="","",_CALC_MOTEUR!AE21)</f>
        <v/>
      </c>
      <c r="P21" t="str">
        <f>IF(D21="","",_CALC_MOTEUR!AF21)</f>
        <v/>
      </c>
      <c r="Q21" t="str">
        <f>IF(D21="","",_CALC_MOTEUR!AG21)</f>
        <v/>
      </c>
      <c r="R21" t="str">
        <f>IF(D21="","",_CALC_MOTEUR!AH21)</f>
        <v/>
      </c>
      <c r="S21" t="str">
        <f t="shared" si="0"/>
        <v/>
      </c>
    </row>
    <row r="22" spans="15:19" x14ac:dyDescent="0.45">
      <c r="O22" t="str">
        <f>IF(D22="","",_CALC_MOTEUR!AE22)</f>
        <v/>
      </c>
      <c r="P22" t="str">
        <f>IF(D22="","",_CALC_MOTEUR!AF22)</f>
        <v/>
      </c>
      <c r="Q22" t="str">
        <f>IF(D22="","",_CALC_MOTEUR!AG22)</f>
        <v/>
      </c>
      <c r="R22" t="str">
        <f>IF(D22="","",_CALC_MOTEUR!AH22)</f>
        <v/>
      </c>
      <c r="S22" t="str">
        <f t="shared" si="0"/>
        <v/>
      </c>
    </row>
    <row r="23" spans="15:19" x14ac:dyDescent="0.45">
      <c r="O23" t="str">
        <f>IF(D23="","",_CALC_MOTEUR!AE23)</f>
        <v/>
      </c>
      <c r="P23" t="str">
        <f>IF(D23="","",_CALC_MOTEUR!AF23)</f>
        <v/>
      </c>
      <c r="Q23" t="str">
        <f>IF(D23="","",_CALC_MOTEUR!AG23)</f>
        <v/>
      </c>
      <c r="R23" t="str">
        <f>IF(D23="","",_CALC_MOTEUR!AH23)</f>
        <v/>
      </c>
      <c r="S23" t="str">
        <f t="shared" si="0"/>
        <v/>
      </c>
    </row>
    <row r="24" spans="15:19" x14ac:dyDescent="0.45">
      <c r="O24" t="str">
        <f>IF(D24="","",_CALC_MOTEUR!AE24)</f>
        <v/>
      </c>
      <c r="P24" t="str">
        <f>IF(D24="","",_CALC_MOTEUR!AF24)</f>
        <v/>
      </c>
      <c r="Q24" t="str">
        <f>IF(D24="","",_CALC_MOTEUR!AG24)</f>
        <v/>
      </c>
      <c r="R24" t="str">
        <f>IF(D24="","",_CALC_MOTEUR!AH24)</f>
        <v/>
      </c>
      <c r="S24" t="str">
        <f t="shared" si="0"/>
        <v/>
      </c>
    </row>
    <row r="25" spans="15:19" x14ac:dyDescent="0.45">
      <c r="O25" t="str">
        <f>IF(D25="","",_CALC_MOTEUR!AE25)</f>
        <v/>
      </c>
      <c r="P25" t="str">
        <f>IF(D25="","",_CALC_MOTEUR!AF25)</f>
        <v/>
      </c>
      <c r="Q25" t="str">
        <f>IF(D25="","",_CALC_MOTEUR!AG25)</f>
        <v/>
      </c>
      <c r="R25" t="str">
        <f>IF(D25="","",_CALC_MOTEUR!AH25)</f>
        <v/>
      </c>
      <c r="S25" t="str">
        <f t="shared" si="0"/>
        <v/>
      </c>
    </row>
    <row r="26" spans="15:19" x14ac:dyDescent="0.45">
      <c r="O26" t="str">
        <f>IF(D26="","",_CALC_MOTEUR!AE26)</f>
        <v/>
      </c>
      <c r="P26" t="str">
        <f>IF(D26="","",_CALC_MOTEUR!AF26)</f>
        <v/>
      </c>
      <c r="Q26" t="str">
        <f>IF(D26="","",_CALC_MOTEUR!AG26)</f>
        <v/>
      </c>
      <c r="R26" t="str">
        <f>IF(D26="","",_CALC_MOTEUR!AH26)</f>
        <v/>
      </c>
      <c r="S26" t="str">
        <f t="shared" si="0"/>
        <v/>
      </c>
    </row>
    <row r="27" spans="15:19" x14ac:dyDescent="0.45">
      <c r="O27" t="str">
        <f>IF(D27="","",_CALC_MOTEUR!AE27)</f>
        <v/>
      </c>
      <c r="P27" t="str">
        <f>IF(D27="","",_CALC_MOTEUR!AF27)</f>
        <v/>
      </c>
      <c r="Q27" t="str">
        <f>IF(D27="","",_CALC_MOTEUR!AG27)</f>
        <v/>
      </c>
      <c r="R27" t="str">
        <f>IF(D27="","",_CALC_MOTEUR!AH27)</f>
        <v/>
      </c>
      <c r="S27" t="str">
        <f t="shared" si="0"/>
        <v/>
      </c>
    </row>
    <row r="28" spans="15:19" x14ac:dyDescent="0.45">
      <c r="O28" t="str">
        <f>IF(D28="","",_CALC_MOTEUR!AE28)</f>
        <v/>
      </c>
      <c r="P28" t="str">
        <f>IF(D28="","",_CALC_MOTEUR!AF28)</f>
        <v/>
      </c>
      <c r="Q28" t="str">
        <f>IF(D28="","",_CALC_MOTEUR!AG28)</f>
        <v/>
      </c>
      <c r="R28" t="str">
        <f>IF(D28="","",_CALC_MOTEUR!AH28)</f>
        <v/>
      </c>
      <c r="S28" t="str">
        <f t="shared" si="0"/>
        <v/>
      </c>
    </row>
    <row r="29" spans="15:19" x14ac:dyDescent="0.45">
      <c r="O29" t="str">
        <f>IF(D29="","",_CALC_MOTEUR!AE29)</f>
        <v/>
      </c>
      <c r="P29" t="str">
        <f>IF(D29="","",_CALC_MOTEUR!AF29)</f>
        <v/>
      </c>
      <c r="Q29" t="str">
        <f>IF(D29="","",_CALC_MOTEUR!AG29)</f>
        <v/>
      </c>
      <c r="R29" t="str">
        <f>IF(D29="","",_CALC_MOTEUR!AH29)</f>
        <v/>
      </c>
      <c r="S29" t="str">
        <f t="shared" si="0"/>
        <v/>
      </c>
    </row>
    <row r="30" spans="15:19" x14ac:dyDescent="0.45">
      <c r="O30" t="str">
        <f>IF(D30="","",_CALC_MOTEUR!AE30)</f>
        <v/>
      </c>
      <c r="P30" t="str">
        <f>IF(D30="","",_CALC_MOTEUR!AF30)</f>
        <v/>
      </c>
      <c r="Q30" t="str">
        <f>IF(D30="","",_CALC_MOTEUR!AG30)</f>
        <v/>
      </c>
      <c r="R30" t="str">
        <f>IF(D30="","",_CALC_MOTEUR!AH30)</f>
        <v/>
      </c>
      <c r="S30" t="str">
        <f t="shared" si="0"/>
        <v/>
      </c>
    </row>
    <row r="31" spans="15:19" x14ac:dyDescent="0.45">
      <c r="O31" t="str">
        <f>IF(D31="","",_CALC_MOTEUR!AE31)</f>
        <v/>
      </c>
      <c r="P31" t="str">
        <f>IF(D31="","",_CALC_MOTEUR!AF31)</f>
        <v/>
      </c>
      <c r="Q31" t="str">
        <f>IF(D31="","",_CALC_MOTEUR!AG31)</f>
        <v/>
      </c>
      <c r="R31" t="str">
        <f>IF(D31="","",_CALC_MOTEUR!AH31)</f>
        <v/>
      </c>
      <c r="S31" t="str">
        <f t="shared" si="0"/>
        <v/>
      </c>
    </row>
    <row r="32" spans="15:19" x14ac:dyDescent="0.45">
      <c r="O32" t="str">
        <f>IF(D32="","",_CALC_MOTEUR!AE32)</f>
        <v/>
      </c>
      <c r="P32" t="str">
        <f>IF(D32="","",_CALC_MOTEUR!AF32)</f>
        <v/>
      </c>
      <c r="Q32" t="str">
        <f>IF(D32="","",_CALC_MOTEUR!AG32)</f>
        <v/>
      </c>
      <c r="R32" t="str">
        <f>IF(D32="","",_CALC_MOTEUR!AH32)</f>
        <v/>
      </c>
      <c r="S32" t="str">
        <f t="shared" si="0"/>
        <v/>
      </c>
    </row>
    <row r="33" spans="15:19" x14ac:dyDescent="0.45">
      <c r="O33" t="str">
        <f>IF(D33="","",_CALC_MOTEUR!AE33)</f>
        <v/>
      </c>
      <c r="P33" t="str">
        <f>IF(D33="","",_CALC_MOTEUR!AF33)</f>
        <v/>
      </c>
      <c r="Q33" t="str">
        <f>IF(D33="","",_CALC_MOTEUR!AG33)</f>
        <v/>
      </c>
      <c r="R33" t="str">
        <f>IF(D33="","",_CALC_MOTEUR!AH33)</f>
        <v/>
      </c>
      <c r="S33" t="str">
        <f t="shared" si="0"/>
        <v/>
      </c>
    </row>
    <row r="34" spans="15:19" x14ac:dyDescent="0.45">
      <c r="O34" t="str">
        <f>IF(D34="","",_CALC_MOTEUR!AE34)</f>
        <v/>
      </c>
      <c r="P34" t="str">
        <f>IF(D34="","",_CALC_MOTEUR!AF34)</f>
        <v/>
      </c>
      <c r="Q34" t="str">
        <f>IF(D34="","",_CALC_MOTEUR!AG34)</f>
        <v/>
      </c>
      <c r="R34" t="str">
        <f>IF(D34="","",_CALC_MOTEUR!AH34)</f>
        <v/>
      </c>
      <c r="S34" t="str">
        <f t="shared" si="0"/>
        <v/>
      </c>
    </row>
    <row r="35" spans="15:19" x14ac:dyDescent="0.45">
      <c r="O35" t="str">
        <f>IF(D35="","",_CALC_MOTEUR!AE35)</f>
        <v/>
      </c>
      <c r="P35" t="str">
        <f>IF(D35="","",_CALC_MOTEUR!AF35)</f>
        <v/>
      </c>
      <c r="Q35" t="str">
        <f>IF(D35="","",_CALC_MOTEUR!AG35)</f>
        <v/>
      </c>
      <c r="R35" t="str">
        <f>IF(D35="","",_CALC_MOTEUR!AH35)</f>
        <v/>
      </c>
      <c r="S35" t="str">
        <f t="shared" si="0"/>
        <v/>
      </c>
    </row>
    <row r="36" spans="15:19" x14ac:dyDescent="0.45">
      <c r="O36" t="str">
        <f>IF(D36="","",_CALC_MOTEUR!AE36)</f>
        <v/>
      </c>
      <c r="P36" t="str">
        <f>IF(D36="","",_CALC_MOTEUR!AF36)</f>
        <v/>
      </c>
      <c r="Q36" t="str">
        <f>IF(D36="","",_CALC_MOTEUR!AG36)</f>
        <v/>
      </c>
      <c r="R36" t="str">
        <f>IF(D36="","",_CALC_MOTEUR!AH36)</f>
        <v/>
      </c>
      <c r="S36" t="str">
        <f t="shared" si="0"/>
        <v/>
      </c>
    </row>
    <row r="37" spans="15:19" x14ac:dyDescent="0.45">
      <c r="O37" t="str">
        <f>IF(D37="","",_CALC_MOTEUR!AE37)</f>
        <v/>
      </c>
      <c r="P37" t="str">
        <f>IF(D37="","",_CALC_MOTEUR!AF37)</f>
        <v/>
      </c>
      <c r="Q37" t="str">
        <f>IF(D37="","",_CALC_MOTEUR!AG37)</f>
        <v/>
      </c>
      <c r="R37" t="str">
        <f>IF(D37="","",_CALC_MOTEUR!AH37)</f>
        <v/>
      </c>
      <c r="S37" t="str">
        <f t="shared" si="0"/>
        <v/>
      </c>
    </row>
    <row r="38" spans="15:19" x14ac:dyDescent="0.45">
      <c r="O38" t="str">
        <f>IF(D38="","",_CALC_MOTEUR!AE38)</f>
        <v/>
      </c>
      <c r="P38" t="str">
        <f>IF(D38="","",_CALC_MOTEUR!AF38)</f>
        <v/>
      </c>
      <c r="Q38" t="str">
        <f>IF(D38="","",_CALC_MOTEUR!AG38)</f>
        <v/>
      </c>
      <c r="R38" t="str">
        <f>IF(D38="","",_CALC_MOTEUR!AH38)</f>
        <v/>
      </c>
      <c r="S38" t="str">
        <f t="shared" si="0"/>
        <v/>
      </c>
    </row>
    <row r="39" spans="15:19" x14ac:dyDescent="0.45">
      <c r="O39" t="str">
        <f>IF(D39="","",_CALC_MOTEUR!AE39)</f>
        <v/>
      </c>
      <c r="P39" t="str">
        <f>IF(D39="","",_CALC_MOTEUR!AF39)</f>
        <v/>
      </c>
      <c r="Q39" t="str">
        <f>IF(D39="","",_CALC_MOTEUR!AG39)</f>
        <v/>
      </c>
      <c r="R39" t="str">
        <f>IF(D39="","",_CALC_MOTEUR!AH39)</f>
        <v/>
      </c>
      <c r="S39" t="str">
        <f t="shared" si="0"/>
        <v/>
      </c>
    </row>
    <row r="40" spans="15:19" x14ac:dyDescent="0.45">
      <c r="O40" t="str">
        <f>IF(D40="","",_CALC_MOTEUR!AE40)</f>
        <v/>
      </c>
      <c r="P40" t="str">
        <f>IF(D40="","",_CALC_MOTEUR!AF40)</f>
        <v/>
      </c>
      <c r="Q40" t="str">
        <f>IF(D40="","",_CALC_MOTEUR!AG40)</f>
        <v/>
      </c>
      <c r="R40" t="str">
        <f>IF(D40="","",_CALC_MOTEUR!AH40)</f>
        <v/>
      </c>
      <c r="S40" t="str">
        <f t="shared" si="0"/>
        <v/>
      </c>
    </row>
    <row r="41" spans="15:19" x14ac:dyDescent="0.45">
      <c r="O41" t="str">
        <f>IF(D41="","",_CALC_MOTEUR!AE41)</f>
        <v/>
      </c>
      <c r="P41" t="str">
        <f>IF(D41="","",_CALC_MOTEUR!AF41)</f>
        <v/>
      </c>
      <c r="Q41" t="str">
        <f>IF(D41="","",_CALC_MOTEUR!AG41)</f>
        <v/>
      </c>
      <c r="R41" t="str">
        <f>IF(D41="","",_CALC_MOTEUR!AH41)</f>
        <v/>
      </c>
      <c r="S41" t="str">
        <f t="shared" si="0"/>
        <v/>
      </c>
    </row>
    <row r="42" spans="15:19" x14ac:dyDescent="0.45">
      <c r="O42" t="str">
        <f>IF(D42="","",_CALC_MOTEUR!AE42)</f>
        <v/>
      </c>
      <c r="P42" t="str">
        <f>IF(D42="","",_CALC_MOTEUR!AF42)</f>
        <v/>
      </c>
      <c r="Q42" t="str">
        <f>IF(D42="","",_CALC_MOTEUR!AG42)</f>
        <v/>
      </c>
      <c r="R42" t="str">
        <f>IF(D42="","",_CALC_MOTEUR!AH42)</f>
        <v/>
      </c>
      <c r="S42" t="str">
        <f t="shared" si="0"/>
        <v/>
      </c>
    </row>
    <row r="43" spans="15:19" x14ac:dyDescent="0.45">
      <c r="O43" t="str">
        <f>IF(D43="","",_CALC_MOTEUR!AE43)</f>
        <v/>
      </c>
      <c r="P43" t="str">
        <f>IF(D43="","",_CALC_MOTEUR!AF43)</f>
        <v/>
      </c>
      <c r="Q43" t="str">
        <f>IF(D43="","",_CALC_MOTEUR!AG43)</f>
        <v/>
      </c>
      <c r="R43" t="str">
        <f>IF(D43="","",_CALC_MOTEUR!AH43)</f>
        <v/>
      </c>
      <c r="S43" t="str">
        <f t="shared" si="0"/>
        <v/>
      </c>
    </row>
    <row r="44" spans="15:19" x14ac:dyDescent="0.45">
      <c r="O44" t="str">
        <f>IF(D44="","",_CALC_MOTEUR!AE44)</f>
        <v/>
      </c>
      <c r="P44" t="str">
        <f>IF(D44="","",_CALC_MOTEUR!AF44)</f>
        <v/>
      </c>
      <c r="Q44" t="str">
        <f>IF(D44="","",_CALC_MOTEUR!AG44)</f>
        <v/>
      </c>
      <c r="R44" t="str">
        <f>IF(D44="","",_CALC_MOTEUR!AH44)</f>
        <v/>
      </c>
      <c r="S44" t="str">
        <f t="shared" si="0"/>
        <v/>
      </c>
    </row>
    <row r="45" spans="15:19" x14ac:dyDescent="0.45">
      <c r="O45" t="str">
        <f>IF(D45="","",_CALC_MOTEUR!AE45)</f>
        <v/>
      </c>
      <c r="P45" t="str">
        <f>IF(D45="","",_CALC_MOTEUR!AF45)</f>
        <v/>
      </c>
      <c r="Q45" t="str">
        <f>IF(D45="","",_CALC_MOTEUR!AG45)</f>
        <v/>
      </c>
      <c r="R45" t="str">
        <f>IF(D45="","",_CALC_MOTEUR!AH45)</f>
        <v/>
      </c>
      <c r="S45" t="str">
        <f t="shared" si="0"/>
        <v/>
      </c>
    </row>
    <row r="46" spans="15:19" x14ac:dyDescent="0.45">
      <c r="O46" t="str">
        <f>IF(D46="","",_CALC_MOTEUR!AE46)</f>
        <v/>
      </c>
      <c r="P46" t="str">
        <f>IF(D46="","",_CALC_MOTEUR!AF46)</f>
        <v/>
      </c>
      <c r="Q46" t="str">
        <f>IF(D46="","",_CALC_MOTEUR!AG46)</f>
        <v/>
      </c>
      <c r="R46" t="str">
        <f>IF(D46="","",_CALC_MOTEUR!AH46)</f>
        <v/>
      </c>
      <c r="S46" t="str">
        <f t="shared" si="0"/>
        <v/>
      </c>
    </row>
    <row r="47" spans="15:19" x14ac:dyDescent="0.45">
      <c r="O47" t="str">
        <f>IF(D47="","",_CALC_MOTEUR!AE47)</f>
        <v/>
      </c>
      <c r="P47" t="str">
        <f>IF(D47="","",_CALC_MOTEUR!AF47)</f>
        <v/>
      </c>
      <c r="Q47" t="str">
        <f>IF(D47="","",_CALC_MOTEUR!AG47)</f>
        <v/>
      </c>
      <c r="R47" t="str">
        <f>IF(D47="","",_CALC_MOTEUR!AH47)</f>
        <v/>
      </c>
      <c r="S47" t="str">
        <f t="shared" si="0"/>
        <v/>
      </c>
    </row>
    <row r="48" spans="15:19" x14ac:dyDescent="0.45">
      <c r="O48" t="str">
        <f>IF(D48="","",_CALC_MOTEUR!AE48)</f>
        <v/>
      </c>
      <c r="P48" t="str">
        <f>IF(D48="","",_CALC_MOTEUR!AF48)</f>
        <v/>
      </c>
      <c r="Q48" t="str">
        <f>IF(D48="","",_CALC_MOTEUR!AG48)</f>
        <v/>
      </c>
      <c r="R48" t="str">
        <f>IF(D48="","",_CALC_MOTEUR!AH48)</f>
        <v/>
      </c>
      <c r="S48" t="str">
        <f t="shared" si="0"/>
        <v/>
      </c>
    </row>
    <row r="49" spans="15:19" x14ac:dyDescent="0.45">
      <c r="O49" t="str">
        <f>IF(D49="","",_CALC_MOTEUR!AE49)</f>
        <v/>
      </c>
      <c r="P49" t="str">
        <f>IF(D49="","",_CALC_MOTEUR!AF49)</f>
        <v/>
      </c>
      <c r="Q49" t="str">
        <f>IF(D49="","",_CALC_MOTEUR!AG49)</f>
        <v/>
      </c>
      <c r="R49" t="str">
        <f>IF(D49="","",_CALC_MOTEUR!AH49)</f>
        <v/>
      </c>
      <c r="S49" t="str">
        <f t="shared" si="0"/>
        <v/>
      </c>
    </row>
    <row r="50" spans="15:19" x14ac:dyDescent="0.45">
      <c r="O50" t="str">
        <f>IF(D50="","",_CALC_MOTEUR!AE50)</f>
        <v/>
      </c>
      <c r="P50" t="str">
        <f>IF(D50="","",_CALC_MOTEUR!AF50)</f>
        <v/>
      </c>
      <c r="Q50" t="str">
        <f>IF(D50="","",_CALC_MOTEUR!AG50)</f>
        <v/>
      </c>
      <c r="R50" t="str">
        <f>IF(D50="","",_CALC_MOTEUR!AH50)</f>
        <v/>
      </c>
      <c r="S50" t="str">
        <f t="shared" si="0"/>
        <v/>
      </c>
    </row>
    <row r="51" spans="15:19" x14ac:dyDescent="0.45">
      <c r="O51" t="str">
        <f>IF(D51="","",_CALC_MOTEUR!AE51)</f>
        <v/>
      </c>
      <c r="P51" t="str">
        <f>IF(D51="","",_CALC_MOTEUR!AF51)</f>
        <v/>
      </c>
      <c r="Q51" t="str">
        <f>IF(D51="","",_CALC_MOTEUR!AG51)</f>
        <v/>
      </c>
      <c r="R51" t="str">
        <f>IF(D51="","",_CALC_MOTEUR!AH51)</f>
        <v/>
      </c>
      <c r="S51" t="str">
        <f t="shared" si="0"/>
        <v/>
      </c>
    </row>
    <row r="52" spans="15:19" x14ac:dyDescent="0.45">
      <c r="O52" t="str">
        <f>IF(D52="","",_CALC_MOTEUR!AE52)</f>
        <v/>
      </c>
      <c r="P52" t="str">
        <f>IF(D52="","",_CALC_MOTEUR!AF52)</f>
        <v/>
      </c>
      <c r="Q52" t="str">
        <f>IF(D52="","",_CALC_MOTEUR!AG52)</f>
        <v/>
      </c>
      <c r="R52" t="str">
        <f>IF(D52="","",_CALC_MOTEUR!AH52)</f>
        <v/>
      </c>
      <c r="S52" t="str">
        <f t="shared" si="0"/>
        <v/>
      </c>
    </row>
    <row r="53" spans="15:19" x14ac:dyDescent="0.45">
      <c r="O53" t="str">
        <f>IF(D53="","",_CALC_MOTEUR!AE53)</f>
        <v/>
      </c>
      <c r="P53" t="str">
        <f>IF(D53="","",_CALC_MOTEUR!AF53)</f>
        <v/>
      </c>
      <c r="Q53" t="str">
        <f>IF(D53="","",_CALC_MOTEUR!AG53)</f>
        <v/>
      </c>
      <c r="R53" t="str">
        <f>IF(D53="","",_CALC_MOTEUR!AH53)</f>
        <v/>
      </c>
      <c r="S53" t="str">
        <f t="shared" si="0"/>
        <v/>
      </c>
    </row>
    <row r="54" spans="15:19" x14ac:dyDescent="0.45">
      <c r="O54" t="str">
        <f>IF(D54="","",_CALC_MOTEUR!AE54)</f>
        <v/>
      </c>
      <c r="P54" t="str">
        <f>IF(D54="","",_CALC_MOTEUR!AF54)</f>
        <v/>
      </c>
      <c r="Q54" t="str">
        <f>IF(D54="","",_CALC_MOTEUR!AG54)</f>
        <v/>
      </c>
      <c r="R54" t="str">
        <f>IF(D54="","",_CALC_MOTEUR!AH54)</f>
        <v/>
      </c>
      <c r="S54" t="str">
        <f t="shared" si="0"/>
        <v/>
      </c>
    </row>
    <row r="55" spans="15:19" x14ac:dyDescent="0.45">
      <c r="O55" t="str">
        <f>IF(D55="","",_CALC_MOTEUR!AE55)</f>
        <v/>
      </c>
      <c r="P55" t="str">
        <f>IF(D55="","",_CALC_MOTEUR!AF55)</f>
        <v/>
      </c>
      <c r="Q55" t="str">
        <f>IF(D55="","",_CALC_MOTEUR!AG55)</f>
        <v/>
      </c>
      <c r="R55" t="str">
        <f>IF(D55="","",_CALC_MOTEUR!AH55)</f>
        <v/>
      </c>
      <c r="S55" t="str">
        <f t="shared" si="0"/>
        <v/>
      </c>
    </row>
    <row r="56" spans="15:19" x14ac:dyDescent="0.45">
      <c r="O56" t="str">
        <f>IF(D56="","",_CALC_MOTEUR!AE56)</f>
        <v/>
      </c>
      <c r="P56" t="str">
        <f>IF(D56="","",_CALC_MOTEUR!AF56)</f>
        <v/>
      </c>
      <c r="Q56" t="str">
        <f>IF(D56="","",_CALC_MOTEUR!AG56)</f>
        <v/>
      </c>
      <c r="R56" t="str">
        <f>IF(D56="","",_CALC_MOTEUR!AH56)</f>
        <v/>
      </c>
      <c r="S56" t="str">
        <f t="shared" si="0"/>
        <v/>
      </c>
    </row>
    <row r="57" spans="15:19" x14ac:dyDescent="0.45">
      <c r="O57" t="str">
        <f>IF(D57="","",_CALC_MOTEUR!AE57)</f>
        <v/>
      </c>
      <c r="P57" t="str">
        <f>IF(D57="","",_CALC_MOTEUR!AF57)</f>
        <v/>
      </c>
      <c r="Q57" t="str">
        <f>IF(D57="","",_CALC_MOTEUR!AG57)</f>
        <v/>
      </c>
      <c r="R57" t="str">
        <f>IF(D57="","",_CALC_MOTEUR!AH57)</f>
        <v/>
      </c>
      <c r="S57" t="str">
        <f t="shared" si="0"/>
        <v/>
      </c>
    </row>
    <row r="58" spans="15:19" x14ac:dyDescent="0.45">
      <c r="O58" t="str">
        <f>IF(D58="","",_CALC_MOTEUR!AE58)</f>
        <v/>
      </c>
      <c r="P58" t="str">
        <f>IF(D58="","",_CALC_MOTEUR!AF58)</f>
        <v/>
      </c>
      <c r="Q58" t="str">
        <f>IF(D58="","",_CALC_MOTEUR!AG58)</f>
        <v/>
      </c>
      <c r="R58" t="str">
        <f>IF(D58="","",_CALC_MOTEUR!AH58)</f>
        <v/>
      </c>
      <c r="S58" t="str">
        <f t="shared" si="0"/>
        <v/>
      </c>
    </row>
    <row r="59" spans="15:19" x14ac:dyDescent="0.45">
      <c r="O59" t="str">
        <f>IF(D59="","",_CALC_MOTEUR!AE59)</f>
        <v/>
      </c>
      <c r="P59" t="str">
        <f>IF(D59="","",_CALC_MOTEUR!AF59)</f>
        <v/>
      </c>
      <c r="Q59" t="str">
        <f>IF(D59="","",_CALC_MOTEUR!AG59)</f>
        <v/>
      </c>
      <c r="R59" t="str">
        <f>IF(D59="","",_CALC_MOTEUR!AH59)</f>
        <v/>
      </c>
      <c r="S59" t="str">
        <f t="shared" si="0"/>
        <v/>
      </c>
    </row>
    <row r="60" spans="15:19" x14ac:dyDescent="0.45">
      <c r="O60" t="str">
        <f>IF(D60="","",_CALC_MOTEUR!AE60)</f>
        <v/>
      </c>
      <c r="P60" t="str">
        <f>IF(D60="","",_CALC_MOTEUR!AF60)</f>
        <v/>
      </c>
      <c r="Q60" t="str">
        <f>IF(D60="","",_CALC_MOTEUR!AG60)</f>
        <v/>
      </c>
      <c r="R60" t="str">
        <f>IF(D60="","",_CALC_MOTEUR!AH60)</f>
        <v/>
      </c>
      <c r="S60" t="str">
        <f t="shared" si="0"/>
        <v/>
      </c>
    </row>
    <row r="61" spans="15:19" x14ac:dyDescent="0.45">
      <c r="O61" t="str">
        <f>IF(D61="","",_CALC_MOTEUR!AE61)</f>
        <v/>
      </c>
      <c r="P61" t="str">
        <f>IF(D61="","",_CALC_MOTEUR!AF61)</f>
        <v/>
      </c>
      <c r="Q61" t="str">
        <f>IF(D61="","",_CALC_MOTEUR!AG61)</f>
        <v/>
      </c>
      <c r="R61" t="str">
        <f>IF(D61="","",_CALC_MOTEUR!AH61)</f>
        <v/>
      </c>
      <c r="S61" t="str">
        <f t="shared" si="0"/>
        <v/>
      </c>
    </row>
    <row r="62" spans="15:19" x14ac:dyDescent="0.45">
      <c r="O62" t="str">
        <f>IF(D62="","",_CALC_MOTEUR!AE62)</f>
        <v/>
      </c>
      <c r="P62" t="str">
        <f>IF(D62="","",_CALC_MOTEUR!AF62)</f>
        <v/>
      </c>
      <c r="Q62" t="str">
        <f>IF(D62="","",_CALC_MOTEUR!AG62)</f>
        <v/>
      </c>
      <c r="R62" t="str">
        <f>IF(D62="","",_CALC_MOTEUR!AH62)</f>
        <v/>
      </c>
      <c r="S62" t="str">
        <f t="shared" si="0"/>
        <v/>
      </c>
    </row>
    <row r="63" spans="15:19" x14ac:dyDescent="0.45">
      <c r="O63" t="str">
        <f>IF(D63="","",_CALC_MOTEUR!AE63)</f>
        <v/>
      </c>
      <c r="P63" t="str">
        <f>IF(D63="","",_CALC_MOTEUR!AF63)</f>
        <v/>
      </c>
      <c r="Q63" t="str">
        <f>IF(D63="","",_CALC_MOTEUR!AG63)</f>
        <v/>
      </c>
      <c r="R63" t="str">
        <f>IF(D63="","",_CALC_MOTEUR!AH63)</f>
        <v/>
      </c>
      <c r="S63" t="str">
        <f t="shared" si="0"/>
        <v/>
      </c>
    </row>
    <row r="64" spans="15:19" x14ac:dyDescent="0.45">
      <c r="O64" t="str">
        <f>IF(D64="","",_CALC_MOTEUR!AE64)</f>
        <v/>
      </c>
      <c r="P64" t="str">
        <f>IF(D64="","",_CALC_MOTEUR!AF64)</f>
        <v/>
      </c>
      <c r="Q64" t="str">
        <f>IF(D64="","",_CALC_MOTEUR!AG64)</f>
        <v/>
      </c>
      <c r="R64" t="str">
        <f>IF(D64="","",_CALC_MOTEUR!AH64)</f>
        <v/>
      </c>
      <c r="S64" t="str">
        <f t="shared" si="0"/>
        <v/>
      </c>
    </row>
    <row r="65" spans="15:19" x14ac:dyDescent="0.45">
      <c r="O65" t="str">
        <f>IF(D65="","",_CALC_MOTEUR!AE65)</f>
        <v/>
      </c>
      <c r="P65" t="str">
        <f>IF(D65="","",_CALC_MOTEUR!AF65)</f>
        <v/>
      </c>
      <c r="Q65" t="str">
        <f>IF(D65="","",_CALC_MOTEUR!AG65)</f>
        <v/>
      </c>
      <c r="R65" t="str">
        <f>IF(D65="","",_CALC_MOTEUR!AH65)</f>
        <v/>
      </c>
      <c r="S65" t="str">
        <f t="shared" si="0"/>
        <v/>
      </c>
    </row>
    <row r="66" spans="15:19" x14ac:dyDescent="0.45">
      <c r="O66" t="str">
        <f>IF(D66="","",_CALC_MOTEUR!AE66)</f>
        <v/>
      </c>
      <c r="P66" t="str">
        <f>IF(D66="","",_CALC_MOTEUR!AF66)</f>
        <v/>
      </c>
      <c r="Q66" t="str">
        <f>IF(D66="","",_CALC_MOTEUR!AG66)</f>
        <v/>
      </c>
      <c r="R66" t="str">
        <f>IF(D66="","",_CALC_MOTEUR!AH66)</f>
        <v/>
      </c>
      <c r="S66" t="str">
        <f t="shared" ref="S66:S129" si="1">IF(D66="","",R66-M66)</f>
        <v/>
      </c>
    </row>
    <row r="67" spans="15:19" x14ac:dyDescent="0.45">
      <c r="O67" t="str">
        <f>IF(D67="","",_CALC_MOTEUR!AE67)</f>
        <v/>
      </c>
      <c r="P67" t="str">
        <f>IF(D67="","",_CALC_MOTEUR!AF67)</f>
        <v/>
      </c>
      <c r="Q67" t="str">
        <f>IF(D67="","",_CALC_MOTEUR!AG67)</f>
        <v/>
      </c>
      <c r="R67" t="str">
        <f>IF(D67="","",_CALC_MOTEUR!AH67)</f>
        <v/>
      </c>
      <c r="S67" t="str">
        <f t="shared" si="1"/>
        <v/>
      </c>
    </row>
    <row r="68" spans="15:19" x14ac:dyDescent="0.45">
      <c r="O68" t="str">
        <f>IF(D68="","",_CALC_MOTEUR!AE68)</f>
        <v/>
      </c>
      <c r="P68" t="str">
        <f>IF(D68="","",_CALC_MOTEUR!AF68)</f>
        <v/>
      </c>
      <c r="Q68" t="str">
        <f>IF(D68="","",_CALC_MOTEUR!AG68)</f>
        <v/>
      </c>
      <c r="R68" t="str">
        <f>IF(D68="","",_CALC_MOTEUR!AH68)</f>
        <v/>
      </c>
      <c r="S68" t="str">
        <f t="shared" si="1"/>
        <v/>
      </c>
    </row>
    <row r="69" spans="15:19" x14ac:dyDescent="0.45">
      <c r="O69" t="str">
        <f>IF(D69="","",_CALC_MOTEUR!AE69)</f>
        <v/>
      </c>
      <c r="P69" t="str">
        <f>IF(D69="","",_CALC_MOTEUR!AF69)</f>
        <v/>
      </c>
      <c r="Q69" t="str">
        <f>IF(D69="","",_CALC_MOTEUR!AG69)</f>
        <v/>
      </c>
      <c r="R69" t="str">
        <f>IF(D69="","",_CALC_MOTEUR!AH69)</f>
        <v/>
      </c>
      <c r="S69" t="str">
        <f t="shared" si="1"/>
        <v/>
      </c>
    </row>
    <row r="70" spans="15:19" x14ac:dyDescent="0.45">
      <c r="O70" t="str">
        <f>IF(D70="","",_CALC_MOTEUR!AE70)</f>
        <v/>
      </c>
      <c r="P70" t="str">
        <f>IF(D70="","",_CALC_MOTEUR!AF70)</f>
        <v/>
      </c>
      <c r="Q70" t="str">
        <f>IF(D70="","",_CALC_MOTEUR!AG70)</f>
        <v/>
      </c>
      <c r="R70" t="str">
        <f>IF(D70="","",_CALC_MOTEUR!AH70)</f>
        <v/>
      </c>
      <c r="S70" t="str">
        <f t="shared" si="1"/>
        <v/>
      </c>
    </row>
    <row r="71" spans="15:19" x14ac:dyDescent="0.45">
      <c r="O71" t="str">
        <f>IF(D71="","",_CALC_MOTEUR!AE71)</f>
        <v/>
      </c>
      <c r="P71" t="str">
        <f>IF(D71="","",_CALC_MOTEUR!AF71)</f>
        <v/>
      </c>
      <c r="Q71" t="str">
        <f>IF(D71="","",_CALC_MOTEUR!AG71)</f>
        <v/>
      </c>
      <c r="R71" t="str">
        <f>IF(D71="","",_CALC_MOTEUR!AH71)</f>
        <v/>
      </c>
      <c r="S71" t="str">
        <f t="shared" si="1"/>
        <v/>
      </c>
    </row>
    <row r="72" spans="15:19" x14ac:dyDescent="0.45">
      <c r="O72" t="str">
        <f>IF(D72="","",_CALC_MOTEUR!AE72)</f>
        <v/>
      </c>
      <c r="P72" t="str">
        <f>IF(D72="","",_CALC_MOTEUR!AF72)</f>
        <v/>
      </c>
      <c r="Q72" t="str">
        <f>IF(D72="","",_CALC_MOTEUR!AG72)</f>
        <v/>
      </c>
      <c r="R72" t="str">
        <f>IF(D72="","",_CALC_MOTEUR!AH72)</f>
        <v/>
      </c>
      <c r="S72" t="str">
        <f t="shared" si="1"/>
        <v/>
      </c>
    </row>
    <row r="73" spans="15:19" x14ac:dyDescent="0.45">
      <c r="O73" t="str">
        <f>IF(D73="","",_CALC_MOTEUR!AE73)</f>
        <v/>
      </c>
      <c r="P73" t="str">
        <f>IF(D73="","",_CALC_MOTEUR!AF73)</f>
        <v/>
      </c>
      <c r="Q73" t="str">
        <f>IF(D73="","",_CALC_MOTEUR!AG73)</f>
        <v/>
      </c>
      <c r="R73" t="str">
        <f>IF(D73="","",_CALC_MOTEUR!AH73)</f>
        <v/>
      </c>
      <c r="S73" t="str">
        <f t="shared" si="1"/>
        <v/>
      </c>
    </row>
    <row r="74" spans="15:19" x14ac:dyDescent="0.45">
      <c r="O74" t="str">
        <f>IF(D74="","",_CALC_MOTEUR!AE74)</f>
        <v/>
      </c>
      <c r="P74" t="str">
        <f>IF(D74="","",_CALC_MOTEUR!AF74)</f>
        <v/>
      </c>
      <c r="Q74" t="str">
        <f>IF(D74="","",_CALC_MOTEUR!AG74)</f>
        <v/>
      </c>
      <c r="R74" t="str">
        <f>IF(D74="","",_CALC_MOTEUR!AH74)</f>
        <v/>
      </c>
      <c r="S74" t="str">
        <f t="shared" si="1"/>
        <v/>
      </c>
    </row>
    <row r="75" spans="15:19" x14ac:dyDescent="0.45">
      <c r="O75" t="str">
        <f>IF(D75="","",_CALC_MOTEUR!AE75)</f>
        <v/>
      </c>
      <c r="P75" t="str">
        <f>IF(D75="","",_CALC_MOTEUR!AF75)</f>
        <v/>
      </c>
      <c r="Q75" t="str">
        <f>IF(D75="","",_CALC_MOTEUR!AG75)</f>
        <v/>
      </c>
      <c r="R75" t="str">
        <f>IF(D75="","",_CALC_MOTEUR!AH75)</f>
        <v/>
      </c>
      <c r="S75" t="str">
        <f t="shared" si="1"/>
        <v/>
      </c>
    </row>
    <row r="76" spans="15:19" x14ac:dyDescent="0.45">
      <c r="O76" t="str">
        <f>IF(D76="","",_CALC_MOTEUR!AE76)</f>
        <v/>
      </c>
      <c r="P76" t="str">
        <f>IF(D76="","",_CALC_MOTEUR!AF76)</f>
        <v/>
      </c>
      <c r="Q76" t="str">
        <f>IF(D76="","",_CALC_MOTEUR!AG76)</f>
        <v/>
      </c>
      <c r="R76" t="str">
        <f>IF(D76="","",_CALC_MOTEUR!AH76)</f>
        <v/>
      </c>
      <c r="S76" t="str">
        <f t="shared" si="1"/>
        <v/>
      </c>
    </row>
    <row r="77" spans="15:19" x14ac:dyDescent="0.45">
      <c r="O77" t="str">
        <f>IF(D77="","",_CALC_MOTEUR!AE77)</f>
        <v/>
      </c>
      <c r="P77" t="str">
        <f>IF(D77="","",_CALC_MOTEUR!AF77)</f>
        <v/>
      </c>
      <c r="Q77" t="str">
        <f>IF(D77="","",_CALC_MOTEUR!AG77)</f>
        <v/>
      </c>
      <c r="R77" t="str">
        <f>IF(D77="","",_CALC_MOTEUR!AH77)</f>
        <v/>
      </c>
      <c r="S77" t="str">
        <f t="shared" si="1"/>
        <v/>
      </c>
    </row>
    <row r="78" spans="15:19" x14ac:dyDescent="0.45">
      <c r="O78" t="str">
        <f>IF(D78="","",_CALC_MOTEUR!AE78)</f>
        <v/>
      </c>
      <c r="P78" t="str">
        <f>IF(D78="","",_CALC_MOTEUR!AF78)</f>
        <v/>
      </c>
      <c r="Q78" t="str">
        <f>IF(D78="","",_CALC_MOTEUR!AG78)</f>
        <v/>
      </c>
      <c r="R78" t="str">
        <f>IF(D78="","",_CALC_MOTEUR!AH78)</f>
        <v/>
      </c>
      <c r="S78" t="str">
        <f t="shared" si="1"/>
        <v/>
      </c>
    </row>
    <row r="79" spans="15:19" x14ac:dyDescent="0.45">
      <c r="O79" t="str">
        <f>IF(D79="","",_CALC_MOTEUR!AE79)</f>
        <v/>
      </c>
      <c r="P79" t="str">
        <f>IF(D79="","",_CALC_MOTEUR!AF79)</f>
        <v/>
      </c>
      <c r="Q79" t="str">
        <f>IF(D79="","",_CALC_MOTEUR!AG79)</f>
        <v/>
      </c>
      <c r="R79" t="str">
        <f>IF(D79="","",_CALC_MOTEUR!AH79)</f>
        <v/>
      </c>
      <c r="S79" t="str">
        <f t="shared" si="1"/>
        <v/>
      </c>
    </row>
    <row r="80" spans="15:19" x14ac:dyDescent="0.45">
      <c r="O80" t="str">
        <f>IF(D80="","",_CALC_MOTEUR!AE80)</f>
        <v/>
      </c>
      <c r="P80" t="str">
        <f>IF(D80="","",_CALC_MOTEUR!AF80)</f>
        <v/>
      </c>
      <c r="Q80" t="str">
        <f>IF(D80="","",_CALC_MOTEUR!AG80)</f>
        <v/>
      </c>
      <c r="R80" t="str">
        <f>IF(D80="","",_CALC_MOTEUR!AH80)</f>
        <v/>
      </c>
      <c r="S80" t="str">
        <f t="shared" si="1"/>
        <v/>
      </c>
    </row>
    <row r="81" spans="15:19" x14ac:dyDescent="0.45">
      <c r="O81" t="str">
        <f>IF(D81="","",_CALC_MOTEUR!AE81)</f>
        <v/>
      </c>
      <c r="P81" t="str">
        <f>IF(D81="","",_CALC_MOTEUR!AF81)</f>
        <v/>
      </c>
      <c r="Q81" t="str">
        <f>IF(D81="","",_CALC_MOTEUR!AG81)</f>
        <v/>
      </c>
      <c r="R81" t="str">
        <f>IF(D81="","",_CALC_MOTEUR!AH81)</f>
        <v/>
      </c>
      <c r="S81" t="str">
        <f t="shared" si="1"/>
        <v/>
      </c>
    </row>
    <row r="82" spans="15:19" x14ac:dyDescent="0.45">
      <c r="O82" t="str">
        <f>IF(D82="","",_CALC_MOTEUR!AE82)</f>
        <v/>
      </c>
      <c r="P82" t="str">
        <f>IF(D82="","",_CALC_MOTEUR!AF82)</f>
        <v/>
      </c>
      <c r="Q82" t="str">
        <f>IF(D82="","",_CALC_MOTEUR!AG82)</f>
        <v/>
      </c>
      <c r="R82" t="str">
        <f>IF(D82="","",_CALC_MOTEUR!AH82)</f>
        <v/>
      </c>
      <c r="S82" t="str">
        <f t="shared" si="1"/>
        <v/>
      </c>
    </row>
    <row r="83" spans="15:19" x14ac:dyDescent="0.45">
      <c r="O83" t="str">
        <f>IF(D83="","",_CALC_MOTEUR!AE83)</f>
        <v/>
      </c>
      <c r="P83" t="str">
        <f>IF(D83="","",_CALC_MOTEUR!AF83)</f>
        <v/>
      </c>
      <c r="Q83" t="str">
        <f>IF(D83="","",_CALC_MOTEUR!AG83)</f>
        <v/>
      </c>
      <c r="R83" t="str">
        <f>IF(D83="","",_CALC_MOTEUR!AH83)</f>
        <v/>
      </c>
      <c r="S83" t="str">
        <f t="shared" si="1"/>
        <v/>
      </c>
    </row>
    <row r="84" spans="15:19" x14ac:dyDescent="0.45">
      <c r="O84" t="str">
        <f>IF(D84="","",_CALC_MOTEUR!AE84)</f>
        <v/>
      </c>
      <c r="P84" t="str">
        <f>IF(D84="","",_CALC_MOTEUR!AF84)</f>
        <v/>
      </c>
      <c r="Q84" t="str">
        <f>IF(D84="","",_CALC_MOTEUR!AG84)</f>
        <v/>
      </c>
      <c r="R84" t="str">
        <f>IF(D84="","",_CALC_MOTEUR!AH84)</f>
        <v/>
      </c>
      <c r="S84" t="str">
        <f t="shared" si="1"/>
        <v/>
      </c>
    </row>
    <row r="85" spans="15:19" x14ac:dyDescent="0.45">
      <c r="O85" t="str">
        <f>IF(D85="","",_CALC_MOTEUR!AE85)</f>
        <v/>
      </c>
      <c r="P85" t="str">
        <f>IF(D85="","",_CALC_MOTEUR!AF85)</f>
        <v/>
      </c>
      <c r="Q85" t="str">
        <f>IF(D85="","",_CALC_MOTEUR!AG85)</f>
        <v/>
      </c>
      <c r="R85" t="str">
        <f>IF(D85="","",_CALC_MOTEUR!AH85)</f>
        <v/>
      </c>
      <c r="S85" t="str">
        <f t="shared" si="1"/>
        <v/>
      </c>
    </row>
    <row r="86" spans="15:19" x14ac:dyDescent="0.45">
      <c r="O86" t="str">
        <f>IF(D86="","",_CALC_MOTEUR!AE86)</f>
        <v/>
      </c>
      <c r="P86" t="str">
        <f>IF(D86="","",_CALC_MOTEUR!AF86)</f>
        <v/>
      </c>
      <c r="Q86" t="str">
        <f>IF(D86="","",_CALC_MOTEUR!AG86)</f>
        <v/>
      </c>
      <c r="R86" t="str">
        <f>IF(D86="","",_CALC_MOTEUR!AH86)</f>
        <v/>
      </c>
      <c r="S86" t="str">
        <f t="shared" si="1"/>
        <v/>
      </c>
    </row>
    <row r="87" spans="15:19" x14ac:dyDescent="0.45">
      <c r="O87" t="str">
        <f>IF(D87="","",_CALC_MOTEUR!AE87)</f>
        <v/>
      </c>
      <c r="P87" t="str">
        <f>IF(D87="","",_CALC_MOTEUR!AF87)</f>
        <v/>
      </c>
      <c r="Q87" t="str">
        <f>IF(D87="","",_CALC_MOTEUR!AG87)</f>
        <v/>
      </c>
      <c r="R87" t="str">
        <f>IF(D87="","",_CALC_MOTEUR!AH87)</f>
        <v/>
      </c>
      <c r="S87" t="str">
        <f t="shared" si="1"/>
        <v/>
      </c>
    </row>
    <row r="88" spans="15:19" x14ac:dyDescent="0.45">
      <c r="O88" t="str">
        <f>IF(D88="","",_CALC_MOTEUR!AE88)</f>
        <v/>
      </c>
      <c r="P88" t="str">
        <f>IF(D88="","",_CALC_MOTEUR!AF88)</f>
        <v/>
      </c>
      <c r="Q88" t="str">
        <f>IF(D88="","",_CALC_MOTEUR!AG88)</f>
        <v/>
      </c>
      <c r="R88" t="str">
        <f>IF(D88="","",_CALC_MOTEUR!AH88)</f>
        <v/>
      </c>
      <c r="S88" t="str">
        <f t="shared" si="1"/>
        <v/>
      </c>
    </row>
    <row r="89" spans="15:19" x14ac:dyDescent="0.45">
      <c r="O89" t="str">
        <f>IF(D89="","",_CALC_MOTEUR!AE89)</f>
        <v/>
      </c>
      <c r="P89" t="str">
        <f>IF(D89="","",_CALC_MOTEUR!AF89)</f>
        <v/>
      </c>
      <c r="Q89" t="str">
        <f>IF(D89="","",_CALC_MOTEUR!AG89)</f>
        <v/>
      </c>
      <c r="R89" t="str">
        <f>IF(D89="","",_CALC_MOTEUR!AH89)</f>
        <v/>
      </c>
      <c r="S89" t="str">
        <f t="shared" si="1"/>
        <v/>
      </c>
    </row>
    <row r="90" spans="15:19" x14ac:dyDescent="0.45">
      <c r="O90" t="str">
        <f>IF(D90="","",_CALC_MOTEUR!AE90)</f>
        <v/>
      </c>
      <c r="P90" t="str">
        <f>IF(D90="","",_CALC_MOTEUR!AF90)</f>
        <v/>
      </c>
      <c r="Q90" t="str">
        <f>IF(D90="","",_CALC_MOTEUR!AG90)</f>
        <v/>
      </c>
      <c r="R90" t="str">
        <f>IF(D90="","",_CALC_MOTEUR!AH90)</f>
        <v/>
      </c>
      <c r="S90" t="str">
        <f t="shared" si="1"/>
        <v/>
      </c>
    </row>
    <row r="91" spans="15:19" x14ac:dyDescent="0.45">
      <c r="O91" t="str">
        <f>IF(D91="","",_CALC_MOTEUR!AE91)</f>
        <v/>
      </c>
      <c r="P91" t="str">
        <f>IF(D91="","",_CALC_MOTEUR!AF91)</f>
        <v/>
      </c>
      <c r="Q91" t="str">
        <f>IF(D91="","",_CALC_MOTEUR!AG91)</f>
        <v/>
      </c>
      <c r="R91" t="str">
        <f>IF(D91="","",_CALC_MOTEUR!AH91)</f>
        <v/>
      </c>
      <c r="S91" t="str">
        <f t="shared" si="1"/>
        <v/>
      </c>
    </row>
    <row r="92" spans="15:19" x14ac:dyDescent="0.45">
      <c r="O92" t="str">
        <f>IF(D92="","",_CALC_MOTEUR!AE92)</f>
        <v/>
      </c>
      <c r="P92" t="str">
        <f>IF(D92="","",_CALC_MOTEUR!AF92)</f>
        <v/>
      </c>
      <c r="Q92" t="str">
        <f>IF(D92="","",_CALC_MOTEUR!AG92)</f>
        <v/>
      </c>
      <c r="R92" t="str">
        <f>IF(D92="","",_CALC_MOTEUR!AH92)</f>
        <v/>
      </c>
      <c r="S92" t="str">
        <f t="shared" si="1"/>
        <v/>
      </c>
    </row>
    <row r="93" spans="15:19" x14ac:dyDescent="0.45">
      <c r="O93" t="str">
        <f>IF(D93="","",_CALC_MOTEUR!AE93)</f>
        <v/>
      </c>
      <c r="P93" t="str">
        <f>IF(D93="","",_CALC_MOTEUR!AF93)</f>
        <v/>
      </c>
      <c r="Q93" t="str">
        <f>IF(D93="","",_CALC_MOTEUR!AG93)</f>
        <v/>
      </c>
      <c r="R93" t="str">
        <f>IF(D93="","",_CALC_MOTEUR!AH93)</f>
        <v/>
      </c>
      <c r="S93" t="str">
        <f t="shared" si="1"/>
        <v/>
      </c>
    </row>
    <row r="94" spans="15:19" x14ac:dyDescent="0.45">
      <c r="O94" t="str">
        <f>IF(D94="","",_CALC_MOTEUR!AE94)</f>
        <v/>
      </c>
      <c r="P94" t="str">
        <f>IF(D94="","",_CALC_MOTEUR!AF94)</f>
        <v/>
      </c>
      <c r="Q94" t="str">
        <f>IF(D94="","",_CALC_MOTEUR!AG94)</f>
        <v/>
      </c>
      <c r="R94" t="str">
        <f>IF(D94="","",_CALC_MOTEUR!AH94)</f>
        <v/>
      </c>
      <c r="S94" t="str">
        <f t="shared" si="1"/>
        <v/>
      </c>
    </row>
    <row r="95" spans="15:19" x14ac:dyDescent="0.45">
      <c r="O95" t="str">
        <f>IF(D95="","",_CALC_MOTEUR!AE95)</f>
        <v/>
      </c>
      <c r="P95" t="str">
        <f>IF(D95="","",_CALC_MOTEUR!AF95)</f>
        <v/>
      </c>
      <c r="Q95" t="str">
        <f>IF(D95="","",_CALC_MOTEUR!AG95)</f>
        <v/>
      </c>
      <c r="R95" t="str">
        <f>IF(D95="","",_CALC_MOTEUR!AH95)</f>
        <v/>
      </c>
      <c r="S95" t="str">
        <f t="shared" si="1"/>
        <v/>
      </c>
    </row>
    <row r="96" spans="15:19" x14ac:dyDescent="0.45">
      <c r="O96" t="str">
        <f>IF(D96="","",_CALC_MOTEUR!AE96)</f>
        <v/>
      </c>
      <c r="P96" t="str">
        <f>IF(D96="","",_CALC_MOTEUR!AF96)</f>
        <v/>
      </c>
      <c r="Q96" t="str">
        <f>IF(D96="","",_CALC_MOTEUR!AG96)</f>
        <v/>
      </c>
      <c r="R96" t="str">
        <f>IF(D96="","",_CALC_MOTEUR!AH96)</f>
        <v/>
      </c>
      <c r="S96" t="str">
        <f t="shared" si="1"/>
        <v/>
      </c>
    </row>
    <row r="97" spans="15:19" x14ac:dyDescent="0.45">
      <c r="O97" t="str">
        <f>IF(D97="","",_CALC_MOTEUR!AE97)</f>
        <v/>
      </c>
      <c r="P97" t="str">
        <f>IF(D97="","",_CALC_MOTEUR!AF97)</f>
        <v/>
      </c>
      <c r="Q97" t="str">
        <f>IF(D97="","",_CALC_MOTEUR!AG97)</f>
        <v/>
      </c>
      <c r="R97" t="str">
        <f>IF(D97="","",_CALC_MOTEUR!AH97)</f>
        <v/>
      </c>
      <c r="S97" t="str">
        <f t="shared" si="1"/>
        <v/>
      </c>
    </row>
    <row r="98" spans="15:19" x14ac:dyDescent="0.45">
      <c r="O98" t="str">
        <f>IF(D98="","",_CALC_MOTEUR!AE98)</f>
        <v/>
      </c>
      <c r="P98" t="str">
        <f>IF(D98="","",_CALC_MOTEUR!AF98)</f>
        <v/>
      </c>
      <c r="Q98" t="str">
        <f>IF(D98="","",_CALC_MOTEUR!AG98)</f>
        <v/>
      </c>
      <c r="R98" t="str">
        <f>IF(D98="","",_CALC_MOTEUR!AH98)</f>
        <v/>
      </c>
      <c r="S98" t="str">
        <f t="shared" si="1"/>
        <v/>
      </c>
    </row>
    <row r="99" spans="15:19" x14ac:dyDescent="0.45">
      <c r="O99" t="str">
        <f>IF(D99="","",_CALC_MOTEUR!AE99)</f>
        <v/>
      </c>
      <c r="P99" t="str">
        <f>IF(D99="","",_CALC_MOTEUR!AF99)</f>
        <v/>
      </c>
      <c r="Q99" t="str">
        <f>IF(D99="","",_CALC_MOTEUR!AG99)</f>
        <v/>
      </c>
      <c r="R99" t="str">
        <f>IF(D99="","",_CALC_MOTEUR!AH99)</f>
        <v/>
      </c>
      <c r="S99" t="str">
        <f t="shared" si="1"/>
        <v/>
      </c>
    </row>
    <row r="100" spans="15:19" x14ac:dyDescent="0.45">
      <c r="O100" t="str">
        <f>IF(D100="","",_CALC_MOTEUR!AE100)</f>
        <v/>
      </c>
      <c r="P100" t="str">
        <f>IF(D100="","",_CALC_MOTEUR!AF100)</f>
        <v/>
      </c>
      <c r="Q100" t="str">
        <f>IF(D100="","",_CALC_MOTEUR!AG100)</f>
        <v/>
      </c>
      <c r="R100" t="str">
        <f>IF(D100="","",_CALC_MOTEUR!AH100)</f>
        <v/>
      </c>
      <c r="S100" t="str">
        <f t="shared" si="1"/>
        <v/>
      </c>
    </row>
    <row r="101" spans="15:19" x14ac:dyDescent="0.45">
      <c r="O101" t="str">
        <f>IF(D101="","",_CALC_MOTEUR!AE101)</f>
        <v/>
      </c>
      <c r="P101" t="str">
        <f>IF(D101="","",_CALC_MOTEUR!AF101)</f>
        <v/>
      </c>
      <c r="Q101" t="str">
        <f>IF(D101="","",_CALC_MOTEUR!AG101)</f>
        <v/>
      </c>
      <c r="R101" t="str">
        <f>IF(D101="","",_CALC_MOTEUR!AH101)</f>
        <v/>
      </c>
      <c r="S101" t="str">
        <f t="shared" si="1"/>
        <v/>
      </c>
    </row>
    <row r="102" spans="15:19" x14ac:dyDescent="0.45">
      <c r="O102" t="str">
        <f>IF(D102="","",_CALC_MOTEUR!AE102)</f>
        <v/>
      </c>
      <c r="P102" t="str">
        <f>IF(D102="","",_CALC_MOTEUR!AF102)</f>
        <v/>
      </c>
      <c r="Q102" t="str">
        <f>IF(D102="","",_CALC_MOTEUR!AG102)</f>
        <v/>
      </c>
      <c r="R102" t="str">
        <f>IF(D102="","",_CALC_MOTEUR!AH102)</f>
        <v/>
      </c>
      <c r="S102" t="str">
        <f t="shared" si="1"/>
        <v/>
      </c>
    </row>
    <row r="103" spans="15:19" x14ac:dyDescent="0.45">
      <c r="O103" t="str">
        <f>IF(D103="","",_CALC_MOTEUR!AE103)</f>
        <v/>
      </c>
      <c r="P103" t="str">
        <f>IF(D103="","",_CALC_MOTEUR!AF103)</f>
        <v/>
      </c>
      <c r="Q103" t="str">
        <f>IF(D103="","",_CALC_MOTEUR!AG103)</f>
        <v/>
      </c>
      <c r="R103" t="str">
        <f>IF(D103="","",_CALC_MOTEUR!AH103)</f>
        <v/>
      </c>
      <c r="S103" t="str">
        <f t="shared" si="1"/>
        <v/>
      </c>
    </row>
    <row r="104" spans="15:19" x14ac:dyDescent="0.45">
      <c r="O104" t="str">
        <f>IF(D104="","",_CALC_MOTEUR!AE104)</f>
        <v/>
      </c>
      <c r="P104" t="str">
        <f>IF(D104="","",_CALC_MOTEUR!AF104)</f>
        <v/>
      </c>
      <c r="Q104" t="str">
        <f>IF(D104="","",_CALC_MOTEUR!AG104)</f>
        <v/>
      </c>
      <c r="R104" t="str">
        <f>IF(D104="","",_CALC_MOTEUR!AH104)</f>
        <v/>
      </c>
      <c r="S104" t="str">
        <f t="shared" si="1"/>
        <v/>
      </c>
    </row>
    <row r="105" spans="15:19" x14ac:dyDescent="0.45">
      <c r="O105" t="str">
        <f>IF(D105="","",_CALC_MOTEUR!AE105)</f>
        <v/>
      </c>
      <c r="P105" t="str">
        <f>IF(D105="","",_CALC_MOTEUR!AF105)</f>
        <v/>
      </c>
      <c r="Q105" t="str">
        <f>IF(D105="","",_CALC_MOTEUR!AG105)</f>
        <v/>
      </c>
      <c r="R105" t="str">
        <f>IF(D105="","",_CALC_MOTEUR!AH105)</f>
        <v/>
      </c>
      <c r="S105" t="str">
        <f t="shared" si="1"/>
        <v/>
      </c>
    </row>
    <row r="106" spans="15:19" x14ac:dyDescent="0.45">
      <c r="O106" t="str">
        <f>IF(D106="","",_CALC_MOTEUR!AE106)</f>
        <v/>
      </c>
      <c r="P106" t="str">
        <f>IF(D106="","",_CALC_MOTEUR!AF106)</f>
        <v/>
      </c>
      <c r="Q106" t="str">
        <f>IF(D106="","",_CALC_MOTEUR!AG106)</f>
        <v/>
      </c>
      <c r="R106" t="str">
        <f>IF(D106="","",_CALC_MOTEUR!AH106)</f>
        <v/>
      </c>
      <c r="S106" t="str">
        <f t="shared" si="1"/>
        <v/>
      </c>
    </row>
    <row r="107" spans="15:19" x14ac:dyDescent="0.45">
      <c r="O107" t="str">
        <f>IF(D107="","",_CALC_MOTEUR!AE107)</f>
        <v/>
      </c>
      <c r="P107" t="str">
        <f>IF(D107="","",_CALC_MOTEUR!AF107)</f>
        <v/>
      </c>
      <c r="Q107" t="str">
        <f>IF(D107="","",_CALC_MOTEUR!AG107)</f>
        <v/>
      </c>
      <c r="R107" t="str">
        <f>IF(D107="","",_CALC_MOTEUR!AH107)</f>
        <v/>
      </c>
      <c r="S107" t="str">
        <f t="shared" si="1"/>
        <v/>
      </c>
    </row>
    <row r="108" spans="15:19" x14ac:dyDescent="0.45">
      <c r="O108" t="str">
        <f>IF(D108="","",_CALC_MOTEUR!AE108)</f>
        <v/>
      </c>
      <c r="P108" t="str">
        <f>IF(D108="","",_CALC_MOTEUR!AF108)</f>
        <v/>
      </c>
      <c r="Q108" t="str">
        <f>IF(D108="","",_CALC_MOTEUR!AG108)</f>
        <v/>
      </c>
      <c r="R108" t="str">
        <f>IF(D108="","",_CALC_MOTEUR!AH108)</f>
        <v/>
      </c>
      <c r="S108" t="str">
        <f t="shared" si="1"/>
        <v/>
      </c>
    </row>
    <row r="109" spans="15:19" x14ac:dyDescent="0.45">
      <c r="O109" t="str">
        <f>IF(D109="","",_CALC_MOTEUR!AE109)</f>
        <v/>
      </c>
      <c r="P109" t="str">
        <f>IF(D109="","",_CALC_MOTEUR!AF109)</f>
        <v/>
      </c>
      <c r="Q109" t="str">
        <f>IF(D109="","",_CALC_MOTEUR!AG109)</f>
        <v/>
      </c>
      <c r="R109" t="str">
        <f>IF(D109="","",_CALC_MOTEUR!AH109)</f>
        <v/>
      </c>
      <c r="S109" t="str">
        <f t="shared" si="1"/>
        <v/>
      </c>
    </row>
    <row r="110" spans="15:19" x14ac:dyDescent="0.45">
      <c r="O110" t="str">
        <f>IF(D110="","",_CALC_MOTEUR!AE110)</f>
        <v/>
      </c>
      <c r="P110" t="str">
        <f>IF(D110="","",_CALC_MOTEUR!AF110)</f>
        <v/>
      </c>
      <c r="Q110" t="str">
        <f>IF(D110="","",_CALC_MOTEUR!AG110)</f>
        <v/>
      </c>
      <c r="R110" t="str">
        <f>IF(D110="","",_CALC_MOTEUR!AH110)</f>
        <v/>
      </c>
      <c r="S110" t="str">
        <f t="shared" si="1"/>
        <v/>
      </c>
    </row>
    <row r="111" spans="15:19" x14ac:dyDescent="0.45">
      <c r="O111" t="str">
        <f>IF(D111="","",_CALC_MOTEUR!AE111)</f>
        <v/>
      </c>
      <c r="P111" t="str">
        <f>IF(D111="","",_CALC_MOTEUR!AF111)</f>
        <v/>
      </c>
      <c r="Q111" t="str">
        <f>IF(D111="","",_CALC_MOTEUR!AG111)</f>
        <v/>
      </c>
      <c r="R111" t="str">
        <f>IF(D111="","",_CALC_MOTEUR!AH111)</f>
        <v/>
      </c>
      <c r="S111" t="str">
        <f t="shared" si="1"/>
        <v/>
      </c>
    </row>
    <row r="112" spans="15:19" x14ac:dyDescent="0.45">
      <c r="O112" t="str">
        <f>IF(D112="","",_CALC_MOTEUR!AE112)</f>
        <v/>
      </c>
      <c r="P112" t="str">
        <f>IF(D112="","",_CALC_MOTEUR!AF112)</f>
        <v/>
      </c>
      <c r="Q112" t="str">
        <f>IF(D112="","",_CALC_MOTEUR!AG112)</f>
        <v/>
      </c>
      <c r="R112" t="str">
        <f>IF(D112="","",_CALC_MOTEUR!AH112)</f>
        <v/>
      </c>
      <c r="S112" t="str">
        <f t="shared" si="1"/>
        <v/>
      </c>
    </row>
    <row r="113" spans="15:19" x14ac:dyDescent="0.45">
      <c r="O113" t="str">
        <f>IF(D113="","",_CALC_MOTEUR!AE113)</f>
        <v/>
      </c>
      <c r="P113" t="str">
        <f>IF(D113="","",_CALC_MOTEUR!AF113)</f>
        <v/>
      </c>
      <c r="Q113" t="str">
        <f>IF(D113="","",_CALC_MOTEUR!AG113)</f>
        <v/>
      </c>
      <c r="R113" t="str">
        <f>IF(D113="","",_CALC_MOTEUR!AH113)</f>
        <v/>
      </c>
      <c r="S113" t="str">
        <f t="shared" si="1"/>
        <v/>
      </c>
    </row>
    <row r="114" spans="15:19" x14ac:dyDescent="0.45">
      <c r="O114" t="str">
        <f>IF(D114="","",_CALC_MOTEUR!AE114)</f>
        <v/>
      </c>
      <c r="P114" t="str">
        <f>IF(D114="","",_CALC_MOTEUR!AF114)</f>
        <v/>
      </c>
      <c r="Q114" t="str">
        <f>IF(D114="","",_CALC_MOTEUR!AG114)</f>
        <v/>
      </c>
      <c r="R114" t="str">
        <f>IF(D114="","",_CALC_MOTEUR!AH114)</f>
        <v/>
      </c>
      <c r="S114" t="str">
        <f t="shared" si="1"/>
        <v/>
      </c>
    </row>
    <row r="115" spans="15:19" x14ac:dyDescent="0.45">
      <c r="O115" t="str">
        <f>IF(D115="","",_CALC_MOTEUR!AE115)</f>
        <v/>
      </c>
      <c r="P115" t="str">
        <f>IF(D115="","",_CALC_MOTEUR!AF115)</f>
        <v/>
      </c>
      <c r="Q115" t="str">
        <f>IF(D115="","",_CALC_MOTEUR!AG115)</f>
        <v/>
      </c>
      <c r="R115" t="str">
        <f>IF(D115="","",_CALC_MOTEUR!AH115)</f>
        <v/>
      </c>
      <c r="S115" t="str">
        <f t="shared" si="1"/>
        <v/>
      </c>
    </row>
    <row r="116" spans="15:19" x14ac:dyDescent="0.45">
      <c r="O116" t="str">
        <f>IF(D116="","",_CALC_MOTEUR!AE116)</f>
        <v/>
      </c>
      <c r="P116" t="str">
        <f>IF(D116="","",_CALC_MOTEUR!AF116)</f>
        <v/>
      </c>
      <c r="Q116" t="str">
        <f>IF(D116="","",_CALC_MOTEUR!AG116)</f>
        <v/>
      </c>
      <c r="R116" t="str">
        <f>IF(D116="","",_CALC_MOTEUR!AH116)</f>
        <v/>
      </c>
      <c r="S116" t="str">
        <f t="shared" si="1"/>
        <v/>
      </c>
    </row>
    <row r="117" spans="15:19" x14ac:dyDescent="0.45">
      <c r="O117" t="str">
        <f>IF(D117="","",_CALC_MOTEUR!AE117)</f>
        <v/>
      </c>
      <c r="P117" t="str">
        <f>IF(D117="","",_CALC_MOTEUR!AF117)</f>
        <v/>
      </c>
      <c r="Q117" t="str">
        <f>IF(D117="","",_CALC_MOTEUR!AG117)</f>
        <v/>
      </c>
      <c r="R117" t="str">
        <f>IF(D117="","",_CALC_MOTEUR!AH117)</f>
        <v/>
      </c>
      <c r="S117" t="str">
        <f t="shared" si="1"/>
        <v/>
      </c>
    </row>
    <row r="118" spans="15:19" x14ac:dyDescent="0.45">
      <c r="O118" t="str">
        <f>IF(D118="","",_CALC_MOTEUR!AE118)</f>
        <v/>
      </c>
      <c r="P118" t="str">
        <f>IF(D118="","",_CALC_MOTEUR!AF118)</f>
        <v/>
      </c>
      <c r="Q118" t="str">
        <f>IF(D118="","",_CALC_MOTEUR!AG118)</f>
        <v/>
      </c>
      <c r="R118" t="str">
        <f>IF(D118="","",_CALC_MOTEUR!AH118)</f>
        <v/>
      </c>
      <c r="S118" t="str">
        <f t="shared" si="1"/>
        <v/>
      </c>
    </row>
    <row r="119" spans="15:19" x14ac:dyDescent="0.45">
      <c r="O119" t="str">
        <f>IF(D119="","",_CALC_MOTEUR!AE119)</f>
        <v/>
      </c>
      <c r="P119" t="str">
        <f>IF(D119="","",_CALC_MOTEUR!AF119)</f>
        <v/>
      </c>
      <c r="Q119" t="str">
        <f>IF(D119="","",_CALC_MOTEUR!AG119)</f>
        <v/>
      </c>
      <c r="R119" t="str">
        <f>IF(D119="","",_CALC_MOTEUR!AH119)</f>
        <v/>
      </c>
      <c r="S119" t="str">
        <f t="shared" si="1"/>
        <v/>
      </c>
    </row>
    <row r="120" spans="15:19" x14ac:dyDescent="0.45">
      <c r="O120" t="str">
        <f>IF(D120="","",_CALC_MOTEUR!AE120)</f>
        <v/>
      </c>
      <c r="P120" t="str">
        <f>IF(D120="","",_CALC_MOTEUR!AF120)</f>
        <v/>
      </c>
      <c r="Q120" t="str">
        <f>IF(D120="","",_CALC_MOTEUR!AG120)</f>
        <v/>
      </c>
      <c r="R120" t="str">
        <f>IF(D120="","",_CALC_MOTEUR!AH120)</f>
        <v/>
      </c>
      <c r="S120" t="str">
        <f t="shared" si="1"/>
        <v/>
      </c>
    </row>
    <row r="121" spans="15:19" x14ac:dyDescent="0.45">
      <c r="O121" t="str">
        <f>IF(D121="","",_CALC_MOTEUR!AE121)</f>
        <v/>
      </c>
      <c r="P121" t="str">
        <f>IF(D121="","",_CALC_MOTEUR!AF121)</f>
        <v/>
      </c>
      <c r="Q121" t="str">
        <f>IF(D121="","",_CALC_MOTEUR!AG121)</f>
        <v/>
      </c>
      <c r="R121" t="str">
        <f>IF(D121="","",_CALC_MOTEUR!AH121)</f>
        <v/>
      </c>
      <c r="S121" t="str">
        <f t="shared" si="1"/>
        <v/>
      </c>
    </row>
    <row r="122" spans="15:19" x14ac:dyDescent="0.45">
      <c r="O122" t="str">
        <f>IF(D122="","",_CALC_MOTEUR!AE122)</f>
        <v/>
      </c>
      <c r="P122" t="str">
        <f>IF(D122="","",_CALC_MOTEUR!AF122)</f>
        <v/>
      </c>
      <c r="Q122" t="str">
        <f>IF(D122="","",_CALC_MOTEUR!AG122)</f>
        <v/>
      </c>
      <c r="R122" t="str">
        <f>IF(D122="","",_CALC_MOTEUR!AH122)</f>
        <v/>
      </c>
      <c r="S122" t="str">
        <f t="shared" si="1"/>
        <v/>
      </c>
    </row>
    <row r="123" spans="15:19" x14ac:dyDescent="0.45">
      <c r="O123" t="str">
        <f>IF(D123="","",_CALC_MOTEUR!AE123)</f>
        <v/>
      </c>
      <c r="P123" t="str">
        <f>IF(D123="","",_CALC_MOTEUR!AF123)</f>
        <v/>
      </c>
      <c r="Q123" t="str">
        <f>IF(D123="","",_CALC_MOTEUR!AG123)</f>
        <v/>
      </c>
      <c r="R123" t="str">
        <f>IF(D123="","",_CALC_MOTEUR!AH123)</f>
        <v/>
      </c>
      <c r="S123" t="str">
        <f t="shared" si="1"/>
        <v/>
      </c>
    </row>
    <row r="124" spans="15:19" x14ac:dyDescent="0.45">
      <c r="O124" t="str">
        <f>IF(D124="","",_CALC_MOTEUR!AE124)</f>
        <v/>
      </c>
      <c r="P124" t="str">
        <f>IF(D124="","",_CALC_MOTEUR!AF124)</f>
        <v/>
      </c>
      <c r="Q124" t="str">
        <f>IF(D124="","",_CALC_MOTEUR!AG124)</f>
        <v/>
      </c>
      <c r="R124" t="str">
        <f>IF(D124="","",_CALC_MOTEUR!AH124)</f>
        <v/>
      </c>
      <c r="S124" t="str">
        <f t="shared" si="1"/>
        <v/>
      </c>
    </row>
    <row r="125" spans="15:19" x14ac:dyDescent="0.45">
      <c r="O125" t="str">
        <f>IF(D125="","",_CALC_MOTEUR!AE125)</f>
        <v/>
      </c>
      <c r="P125" t="str">
        <f>IF(D125="","",_CALC_MOTEUR!AF125)</f>
        <v/>
      </c>
      <c r="Q125" t="str">
        <f>IF(D125="","",_CALC_MOTEUR!AG125)</f>
        <v/>
      </c>
      <c r="R125" t="str">
        <f>IF(D125="","",_CALC_MOTEUR!AH125)</f>
        <v/>
      </c>
      <c r="S125" t="str">
        <f t="shared" si="1"/>
        <v/>
      </c>
    </row>
    <row r="126" spans="15:19" x14ac:dyDescent="0.45">
      <c r="O126" t="str">
        <f>IF(D126="","",_CALC_MOTEUR!AE126)</f>
        <v/>
      </c>
      <c r="P126" t="str">
        <f>IF(D126="","",_CALC_MOTEUR!AF126)</f>
        <v/>
      </c>
      <c r="Q126" t="str">
        <f>IF(D126="","",_CALC_MOTEUR!AG126)</f>
        <v/>
      </c>
      <c r="R126" t="str">
        <f>IF(D126="","",_CALC_MOTEUR!AH126)</f>
        <v/>
      </c>
      <c r="S126" t="str">
        <f t="shared" si="1"/>
        <v/>
      </c>
    </row>
    <row r="127" spans="15:19" x14ac:dyDescent="0.45">
      <c r="O127" t="str">
        <f>IF(D127="","",_CALC_MOTEUR!AE127)</f>
        <v/>
      </c>
      <c r="P127" t="str">
        <f>IF(D127="","",_CALC_MOTEUR!AF127)</f>
        <v/>
      </c>
      <c r="Q127" t="str">
        <f>IF(D127="","",_CALC_MOTEUR!AG127)</f>
        <v/>
      </c>
      <c r="R127" t="str">
        <f>IF(D127="","",_CALC_MOTEUR!AH127)</f>
        <v/>
      </c>
      <c r="S127" t="str">
        <f t="shared" si="1"/>
        <v/>
      </c>
    </row>
    <row r="128" spans="15:19" x14ac:dyDescent="0.45">
      <c r="O128" t="str">
        <f>IF(D128="","",_CALC_MOTEUR!AE128)</f>
        <v/>
      </c>
      <c r="P128" t="str">
        <f>IF(D128="","",_CALC_MOTEUR!AF128)</f>
        <v/>
      </c>
      <c r="Q128" t="str">
        <f>IF(D128="","",_CALC_MOTEUR!AG128)</f>
        <v/>
      </c>
      <c r="R128" t="str">
        <f>IF(D128="","",_CALC_MOTEUR!AH128)</f>
        <v/>
      </c>
      <c r="S128" t="str">
        <f t="shared" si="1"/>
        <v/>
      </c>
    </row>
    <row r="129" spans="15:19" x14ac:dyDescent="0.45">
      <c r="O129" t="str">
        <f>IF(D129="","",_CALC_MOTEUR!AE129)</f>
        <v/>
      </c>
      <c r="P129" t="str">
        <f>IF(D129="","",_CALC_MOTEUR!AF129)</f>
        <v/>
      </c>
      <c r="Q129" t="str">
        <f>IF(D129="","",_CALC_MOTEUR!AG129)</f>
        <v/>
      </c>
      <c r="R129" t="str">
        <f>IF(D129="","",_CALC_MOTEUR!AH129)</f>
        <v/>
      </c>
      <c r="S129" t="str">
        <f t="shared" si="1"/>
        <v/>
      </c>
    </row>
    <row r="130" spans="15:19" x14ac:dyDescent="0.45">
      <c r="O130" t="str">
        <f>IF(D130="","",_CALC_MOTEUR!AE130)</f>
        <v/>
      </c>
      <c r="P130" t="str">
        <f>IF(D130="","",_CALC_MOTEUR!AF130)</f>
        <v/>
      </c>
      <c r="Q130" t="str">
        <f>IF(D130="","",_CALC_MOTEUR!AG130)</f>
        <v/>
      </c>
      <c r="R130" t="str">
        <f>IF(D130="","",_CALC_MOTEUR!AH130)</f>
        <v/>
      </c>
      <c r="S130" t="str">
        <f t="shared" ref="S130:S175" si="2">IF(D130="","",R130-M130)</f>
        <v/>
      </c>
    </row>
    <row r="131" spans="15:19" x14ac:dyDescent="0.45">
      <c r="O131" t="str">
        <f>IF(D131="","",_CALC_MOTEUR!AE131)</f>
        <v/>
      </c>
      <c r="P131" t="str">
        <f>IF(D131="","",_CALC_MOTEUR!AF131)</f>
        <v/>
      </c>
      <c r="Q131" t="str">
        <f>IF(D131="","",_CALC_MOTEUR!AG131)</f>
        <v/>
      </c>
      <c r="R131" t="str">
        <f>IF(D131="","",_CALC_MOTEUR!AH131)</f>
        <v/>
      </c>
      <c r="S131" t="str">
        <f t="shared" si="2"/>
        <v/>
      </c>
    </row>
    <row r="132" spans="15:19" x14ac:dyDescent="0.45">
      <c r="O132" t="str">
        <f>IF(D132="","",_CALC_MOTEUR!AE132)</f>
        <v/>
      </c>
      <c r="P132" t="str">
        <f>IF(D132="","",_CALC_MOTEUR!AF132)</f>
        <v/>
      </c>
      <c r="Q132" t="str">
        <f>IF(D132="","",_CALC_MOTEUR!AG132)</f>
        <v/>
      </c>
      <c r="R132" t="str">
        <f>IF(D132="","",_CALC_MOTEUR!AH132)</f>
        <v/>
      </c>
      <c r="S132" t="str">
        <f t="shared" si="2"/>
        <v/>
      </c>
    </row>
    <row r="133" spans="15:19" x14ac:dyDescent="0.45">
      <c r="O133" t="str">
        <f>IF(D133="","",_CALC_MOTEUR!AE133)</f>
        <v/>
      </c>
      <c r="P133" t="str">
        <f>IF(D133="","",_CALC_MOTEUR!AF133)</f>
        <v/>
      </c>
      <c r="Q133" t="str">
        <f>IF(D133="","",_CALC_MOTEUR!AG133)</f>
        <v/>
      </c>
      <c r="R133" t="str">
        <f>IF(D133="","",_CALC_MOTEUR!AH133)</f>
        <v/>
      </c>
      <c r="S133" t="str">
        <f t="shared" si="2"/>
        <v/>
      </c>
    </row>
    <row r="134" spans="15:19" x14ac:dyDescent="0.45">
      <c r="O134" t="str">
        <f>IF(D134="","",_CALC_MOTEUR!AE134)</f>
        <v/>
      </c>
      <c r="P134" t="str">
        <f>IF(D134="","",_CALC_MOTEUR!AF134)</f>
        <v/>
      </c>
      <c r="Q134" t="str">
        <f>IF(D134="","",_CALC_MOTEUR!AG134)</f>
        <v/>
      </c>
      <c r="R134" t="str">
        <f>IF(D134="","",_CALC_MOTEUR!AH134)</f>
        <v/>
      </c>
      <c r="S134" t="str">
        <f t="shared" si="2"/>
        <v/>
      </c>
    </row>
    <row r="135" spans="15:19" x14ac:dyDescent="0.45">
      <c r="O135" t="str">
        <f>IF(D135="","",_CALC_MOTEUR!AE135)</f>
        <v/>
      </c>
      <c r="P135" t="str">
        <f>IF(D135="","",_CALC_MOTEUR!AF135)</f>
        <v/>
      </c>
      <c r="Q135" t="str">
        <f>IF(D135="","",_CALC_MOTEUR!AG135)</f>
        <v/>
      </c>
      <c r="R135" t="str">
        <f>IF(D135="","",_CALC_MOTEUR!AH135)</f>
        <v/>
      </c>
      <c r="S135" t="str">
        <f t="shared" si="2"/>
        <v/>
      </c>
    </row>
    <row r="136" spans="15:19" x14ac:dyDescent="0.45">
      <c r="O136" t="str">
        <f>IF(D136="","",_CALC_MOTEUR!AE136)</f>
        <v/>
      </c>
      <c r="P136" t="str">
        <f>IF(D136="","",_CALC_MOTEUR!AF136)</f>
        <v/>
      </c>
      <c r="Q136" t="str">
        <f>IF(D136="","",_CALC_MOTEUR!AG136)</f>
        <v/>
      </c>
      <c r="R136" t="str">
        <f>IF(D136="","",_CALC_MOTEUR!AH136)</f>
        <v/>
      </c>
      <c r="S136" t="str">
        <f t="shared" si="2"/>
        <v/>
      </c>
    </row>
    <row r="137" spans="15:19" x14ac:dyDescent="0.45">
      <c r="O137" t="str">
        <f>IF(D137="","",_CALC_MOTEUR!AE137)</f>
        <v/>
      </c>
      <c r="P137" t="str">
        <f>IF(D137="","",_CALC_MOTEUR!AF137)</f>
        <v/>
      </c>
      <c r="Q137" t="str">
        <f>IF(D137="","",_CALC_MOTEUR!AG137)</f>
        <v/>
      </c>
      <c r="R137" t="str">
        <f>IF(D137="","",_CALC_MOTEUR!AH137)</f>
        <v/>
      </c>
      <c r="S137" t="str">
        <f t="shared" si="2"/>
        <v/>
      </c>
    </row>
    <row r="138" spans="15:19" x14ac:dyDescent="0.45">
      <c r="O138" t="str">
        <f>IF(D138="","",_CALC_MOTEUR!AE138)</f>
        <v/>
      </c>
      <c r="P138" t="str">
        <f>IF(D138="","",_CALC_MOTEUR!AF138)</f>
        <v/>
      </c>
      <c r="Q138" t="str">
        <f>IF(D138="","",_CALC_MOTEUR!AG138)</f>
        <v/>
      </c>
      <c r="R138" t="str">
        <f>IF(D138="","",_CALC_MOTEUR!AH138)</f>
        <v/>
      </c>
      <c r="S138" t="str">
        <f t="shared" si="2"/>
        <v/>
      </c>
    </row>
    <row r="139" spans="15:19" x14ac:dyDescent="0.45">
      <c r="O139" t="str">
        <f>IF(D139="","",_CALC_MOTEUR!AE139)</f>
        <v/>
      </c>
      <c r="P139" t="str">
        <f>IF(D139="","",_CALC_MOTEUR!AF139)</f>
        <v/>
      </c>
      <c r="Q139" t="str">
        <f>IF(D139="","",_CALC_MOTEUR!AG139)</f>
        <v/>
      </c>
      <c r="R139" t="str">
        <f>IF(D139="","",_CALC_MOTEUR!AH139)</f>
        <v/>
      </c>
      <c r="S139" t="str">
        <f t="shared" si="2"/>
        <v/>
      </c>
    </row>
    <row r="140" spans="15:19" x14ac:dyDescent="0.45">
      <c r="O140" t="str">
        <f>IF(D140="","",_CALC_MOTEUR!AE140)</f>
        <v/>
      </c>
      <c r="P140" t="str">
        <f>IF(D140="","",_CALC_MOTEUR!AF140)</f>
        <v/>
      </c>
      <c r="Q140" t="str">
        <f>IF(D140="","",_CALC_MOTEUR!AG140)</f>
        <v/>
      </c>
      <c r="R140" t="str">
        <f>IF(D140="","",_CALC_MOTEUR!AH140)</f>
        <v/>
      </c>
      <c r="S140" t="str">
        <f t="shared" si="2"/>
        <v/>
      </c>
    </row>
    <row r="141" spans="15:19" x14ac:dyDescent="0.45">
      <c r="O141" t="str">
        <f>IF(D141="","",_CALC_MOTEUR!AE141)</f>
        <v/>
      </c>
      <c r="P141" t="str">
        <f>IF(D141="","",_CALC_MOTEUR!AF141)</f>
        <v/>
      </c>
      <c r="Q141" t="str">
        <f>IF(D141="","",_CALC_MOTEUR!AG141)</f>
        <v/>
      </c>
      <c r="R141" t="str">
        <f>IF(D141="","",_CALC_MOTEUR!AH141)</f>
        <v/>
      </c>
      <c r="S141" t="str">
        <f t="shared" si="2"/>
        <v/>
      </c>
    </row>
    <row r="142" spans="15:19" x14ac:dyDescent="0.45">
      <c r="O142" t="str">
        <f>IF(D142="","",_CALC_MOTEUR!AE142)</f>
        <v/>
      </c>
      <c r="P142" t="str">
        <f>IF(D142="","",_CALC_MOTEUR!AF142)</f>
        <v/>
      </c>
      <c r="Q142" t="str">
        <f>IF(D142="","",_CALC_MOTEUR!AG142)</f>
        <v/>
      </c>
      <c r="R142" t="str">
        <f>IF(D142="","",_CALC_MOTEUR!AH142)</f>
        <v/>
      </c>
      <c r="S142" t="str">
        <f t="shared" si="2"/>
        <v/>
      </c>
    </row>
    <row r="143" spans="15:19" x14ac:dyDescent="0.45">
      <c r="O143" t="str">
        <f>IF(D143="","",_CALC_MOTEUR!AE143)</f>
        <v/>
      </c>
      <c r="P143" t="str">
        <f>IF(D143="","",_CALC_MOTEUR!AF143)</f>
        <v/>
      </c>
      <c r="Q143" t="str">
        <f>IF(D143="","",_CALC_MOTEUR!AG143)</f>
        <v/>
      </c>
      <c r="R143" t="str">
        <f>IF(D143="","",_CALC_MOTEUR!AH143)</f>
        <v/>
      </c>
      <c r="S143" t="str">
        <f t="shared" si="2"/>
        <v/>
      </c>
    </row>
    <row r="144" spans="15:19" x14ac:dyDescent="0.45">
      <c r="O144" t="str">
        <f>IF(D144="","",_CALC_MOTEUR!AE144)</f>
        <v/>
      </c>
      <c r="P144" t="str">
        <f>IF(D144="","",_CALC_MOTEUR!AF144)</f>
        <v/>
      </c>
      <c r="Q144" t="str">
        <f>IF(D144="","",_CALC_MOTEUR!AG144)</f>
        <v/>
      </c>
      <c r="R144" t="str">
        <f>IF(D144="","",_CALC_MOTEUR!AH144)</f>
        <v/>
      </c>
      <c r="S144" t="str">
        <f t="shared" si="2"/>
        <v/>
      </c>
    </row>
    <row r="145" spans="15:19" x14ac:dyDescent="0.45">
      <c r="O145" t="str">
        <f>IF(D145="","",_CALC_MOTEUR!AE145)</f>
        <v/>
      </c>
      <c r="P145" t="str">
        <f>IF(D145="","",_CALC_MOTEUR!AF145)</f>
        <v/>
      </c>
      <c r="Q145" t="str">
        <f>IF(D145="","",_CALC_MOTEUR!AG145)</f>
        <v/>
      </c>
      <c r="R145" t="str">
        <f>IF(D145="","",_CALC_MOTEUR!AH145)</f>
        <v/>
      </c>
      <c r="S145" t="str">
        <f t="shared" si="2"/>
        <v/>
      </c>
    </row>
    <row r="146" spans="15:19" x14ac:dyDescent="0.45">
      <c r="O146" t="str">
        <f>IF(D146="","",_CALC_MOTEUR!AE146)</f>
        <v/>
      </c>
      <c r="P146" t="str">
        <f>IF(D146="","",_CALC_MOTEUR!AF146)</f>
        <v/>
      </c>
      <c r="Q146" t="str">
        <f>IF(D146="","",_CALC_MOTEUR!AG146)</f>
        <v/>
      </c>
      <c r="R146" t="str">
        <f>IF(D146="","",_CALC_MOTEUR!AH146)</f>
        <v/>
      </c>
      <c r="S146" t="str">
        <f t="shared" si="2"/>
        <v/>
      </c>
    </row>
    <row r="147" spans="15:19" x14ac:dyDescent="0.45">
      <c r="O147" t="str">
        <f>IF(D147="","",_CALC_MOTEUR!AE147)</f>
        <v/>
      </c>
      <c r="P147" t="str">
        <f>IF(D147="","",_CALC_MOTEUR!AF147)</f>
        <v/>
      </c>
      <c r="Q147" t="str">
        <f>IF(D147="","",_CALC_MOTEUR!AG147)</f>
        <v/>
      </c>
      <c r="R147" t="str">
        <f>IF(D147="","",_CALC_MOTEUR!AH147)</f>
        <v/>
      </c>
      <c r="S147" t="str">
        <f t="shared" si="2"/>
        <v/>
      </c>
    </row>
    <row r="148" spans="15:19" x14ac:dyDescent="0.45">
      <c r="O148" t="str">
        <f>IF(D148="","",_CALC_MOTEUR!AE148)</f>
        <v/>
      </c>
      <c r="P148" t="str">
        <f>IF(D148="","",_CALC_MOTEUR!AF148)</f>
        <v/>
      </c>
      <c r="Q148" t="str">
        <f>IF(D148="","",_CALC_MOTEUR!AG148)</f>
        <v/>
      </c>
      <c r="R148" t="str">
        <f>IF(D148="","",_CALC_MOTEUR!AH148)</f>
        <v/>
      </c>
      <c r="S148" t="str">
        <f t="shared" si="2"/>
        <v/>
      </c>
    </row>
    <row r="149" spans="15:19" x14ac:dyDescent="0.45">
      <c r="O149" t="str">
        <f>IF(D149="","",_CALC_MOTEUR!AE149)</f>
        <v/>
      </c>
      <c r="P149" t="str">
        <f>IF(D149="","",_CALC_MOTEUR!AF149)</f>
        <v/>
      </c>
      <c r="Q149" t="str">
        <f>IF(D149="","",_CALC_MOTEUR!AG149)</f>
        <v/>
      </c>
      <c r="R149" t="str">
        <f>IF(D149="","",_CALC_MOTEUR!AH149)</f>
        <v/>
      </c>
      <c r="S149" t="str">
        <f t="shared" si="2"/>
        <v/>
      </c>
    </row>
    <row r="150" spans="15:19" x14ac:dyDescent="0.45">
      <c r="O150" t="str">
        <f>IF(D150="","",_CALC_MOTEUR!AE150)</f>
        <v/>
      </c>
      <c r="P150" t="str">
        <f>IF(D150="","",_CALC_MOTEUR!AF150)</f>
        <v/>
      </c>
      <c r="Q150" t="str">
        <f>IF(D150="","",_CALC_MOTEUR!AG150)</f>
        <v/>
      </c>
      <c r="R150" t="str">
        <f>IF(D150="","",_CALC_MOTEUR!AH150)</f>
        <v/>
      </c>
      <c r="S150" t="str">
        <f t="shared" si="2"/>
        <v/>
      </c>
    </row>
    <row r="151" spans="15:19" x14ac:dyDescent="0.45">
      <c r="O151" t="str">
        <f>IF(D151="","",_CALC_MOTEUR!AE151)</f>
        <v/>
      </c>
      <c r="P151" t="str">
        <f>IF(D151="","",_CALC_MOTEUR!AF151)</f>
        <v/>
      </c>
      <c r="Q151" t="str">
        <f>IF(D151="","",_CALC_MOTEUR!AG151)</f>
        <v/>
      </c>
      <c r="R151" t="str">
        <f>IF(D151="","",_CALC_MOTEUR!AH151)</f>
        <v/>
      </c>
      <c r="S151" t="str">
        <f t="shared" si="2"/>
        <v/>
      </c>
    </row>
    <row r="152" spans="15:19" x14ac:dyDescent="0.45">
      <c r="O152" t="str">
        <f>IF(D152="","",_CALC_MOTEUR!AE152)</f>
        <v/>
      </c>
      <c r="P152" t="str">
        <f>IF(D152="","",_CALC_MOTEUR!AF152)</f>
        <v/>
      </c>
      <c r="Q152" t="str">
        <f>IF(D152="","",_CALC_MOTEUR!AG152)</f>
        <v/>
      </c>
      <c r="R152" t="str">
        <f>IF(D152="","",_CALC_MOTEUR!AH152)</f>
        <v/>
      </c>
      <c r="S152" t="str">
        <f t="shared" si="2"/>
        <v/>
      </c>
    </row>
    <row r="153" spans="15:19" x14ac:dyDescent="0.45">
      <c r="O153" t="str">
        <f>IF(D153="","",_CALC_MOTEUR!AE153)</f>
        <v/>
      </c>
      <c r="P153" t="str">
        <f>IF(D153="","",_CALC_MOTEUR!AF153)</f>
        <v/>
      </c>
      <c r="Q153" t="str">
        <f>IF(D153="","",_CALC_MOTEUR!AG153)</f>
        <v/>
      </c>
      <c r="R153" t="str">
        <f>IF(D153="","",_CALC_MOTEUR!AH153)</f>
        <v/>
      </c>
      <c r="S153" t="str">
        <f t="shared" si="2"/>
        <v/>
      </c>
    </row>
    <row r="154" spans="15:19" x14ac:dyDescent="0.45">
      <c r="O154" t="str">
        <f>IF(D154="","",_CALC_MOTEUR!AE154)</f>
        <v/>
      </c>
      <c r="P154" t="str">
        <f>IF(D154="","",_CALC_MOTEUR!AF154)</f>
        <v/>
      </c>
      <c r="Q154" t="str">
        <f>IF(D154="","",_CALC_MOTEUR!AG154)</f>
        <v/>
      </c>
      <c r="R154" t="str">
        <f>IF(D154="","",_CALC_MOTEUR!AH154)</f>
        <v/>
      </c>
      <c r="S154" t="str">
        <f t="shared" si="2"/>
        <v/>
      </c>
    </row>
    <row r="155" spans="15:19" x14ac:dyDescent="0.45">
      <c r="O155" t="str">
        <f>IF(D155="","",_CALC_MOTEUR!AE155)</f>
        <v/>
      </c>
      <c r="P155" t="str">
        <f>IF(D155="","",_CALC_MOTEUR!AF155)</f>
        <v/>
      </c>
      <c r="Q155" t="str">
        <f>IF(D155="","",_CALC_MOTEUR!AG155)</f>
        <v/>
      </c>
      <c r="R155" t="str">
        <f>IF(D155="","",_CALC_MOTEUR!AH155)</f>
        <v/>
      </c>
      <c r="S155" t="str">
        <f t="shared" si="2"/>
        <v/>
      </c>
    </row>
    <row r="156" spans="15:19" x14ac:dyDescent="0.45">
      <c r="O156" t="str">
        <f>IF(D156="","",_CALC_MOTEUR!AE156)</f>
        <v/>
      </c>
      <c r="P156" t="str">
        <f>IF(D156="","",_CALC_MOTEUR!AF156)</f>
        <v/>
      </c>
      <c r="Q156" t="str">
        <f>IF(D156="","",_CALC_MOTEUR!AG156)</f>
        <v/>
      </c>
      <c r="R156" t="str">
        <f>IF(D156="","",_CALC_MOTEUR!AH156)</f>
        <v/>
      </c>
      <c r="S156" t="str">
        <f t="shared" si="2"/>
        <v/>
      </c>
    </row>
    <row r="157" spans="15:19" x14ac:dyDescent="0.45">
      <c r="O157" t="str">
        <f>IF(D157="","",_CALC_MOTEUR!AE157)</f>
        <v/>
      </c>
      <c r="P157" t="str">
        <f>IF(D157="","",_CALC_MOTEUR!AF157)</f>
        <v/>
      </c>
      <c r="Q157" t="str">
        <f>IF(D157="","",_CALC_MOTEUR!AG157)</f>
        <v/>
      </c>
      <c r="R157" t="str">
        <f>IF(D157="","",_CALC_MOTEUR!AH157)</f>
        <v/>
      </c>
      <c r="S157" t="str">
        <f t="shared" si="2"/>
        <v/>
      </c>
    </row>
    <row r="158" spans="15:19" x14ac:dyDescent="0.45">
      <c r="O158" t="str">
        <f>IF(D158="","",_CALC_MOTEUR!AE158)</f>
        <v/>
      </c>
      <c r="P158" t="str">
        <f>IF(D158="","",_CALC_MOTEUR!AF158)</f>
        <v/>
      </c>
      <c r="Q158" t="str">
        <f>IF(D158="","",_CALC_MOTEUR!AG158)</f>
        <v/>
      </c>
      <c r="R158" t="str">
        <f>IF(D158="","",_CALC_MOTEUR!AH158)</f>
        <v/>
      </c>
      <c r="S158" t="str">
        <f t="shared" si="2"/>
        <v/>
      </c>
    </row>
    <row r="159" spans="15:19" x14ac:dyDescent="0.45">
      <c r="O159" t="str">
        <f>IF(D159="","",_CALC_MOTEUR!AE159)</f>
        <v/>
      </c>
      <c r="P159" t="str">
        <f>IF(D159="","",_CALC_MOTEUR!AF159)</f>
        <v/>
      </c>
      <c r="Q159" t="str">
        <f>IF(D159="","",_CALC_MOTEUR!AG159)</f>
        <v/>
      </c>
      <c r="R159" t="str">
        <f>IF(D159="","",_CALC_MOTEUR!AH159)</f>
        <v/>
      </c>
      <c r="S159" t="str">
        <f t="shared" si="2"/>
        <v/>
      </c>
    </row>
    <row r="160" spans="15:19" x14ac:dyDescent="0.45">
      <c r="O160" t="str">
        <f>IF(D160="","",_CALC_MOTEUR!AE160)</f>
        <v/>
      </c>
      <c r="P160" t="str">
        <f>IF(D160="","",_CALC_MOTEUR!AF160)</f>
        <v/>
      </c>
      <c r="Q160" t="str">
        <f>IF(D160="","",_CALC_MOTEUR!AG160)</f>
        <v/>
      </c>
      <c r="R160" t="str">
        <f>IF(D160="","",_CALC_MOTEUR!AH160)</f>
        <v/>
      </c>
      <c r="S160" t="str">
        <f t="shared" si="2"/>
        <v/>
      </c>
    </row>
    <row r="161" spans="15:19" x14ac:dyDescent="0.45">
      <c r="O161" t="str">
        <f>IF(D161="","",_CALC_MOTEUR!AE161)</f>
        <v/>
      </c>
      <c r="P161" t="str">
        <f>IF(D161="","",_CALC_MOTEUR!AF161)</f>
        <v/>
      </c>
      <c r="Q161" t="str">
        <f>IF(D161="","",_CALC_MOTEUR!AG161)</f>
        <v/>
      </c>
      <c r="R161" t="str">
        <f>IF(D161="","",_CALC_MOTEUR!AH161)</f>
        <v/>
      </c>
      <c r="S161" t="str">
        <f t="shared" si="2"/>
        <v/>
      </c>
    </row>
    <row r="162" spans="15:19" x14ac:dyDescent="0.45">
      <c r="O162" t="str">
        <f>IF(D162="","",_CALC_MOTEUR!AE162)</f>
        <v/>
      </c>
      <c r="P162" t="str">
        <f>IF(D162="","",_CALC_MOTEUR!AF162)</f>
        <v/>
      </c>
      <c r="Q162" t="str">
        <f>IF(D162="","",_CALC_MOTEUR!AG162)</f>
        <v/>
      </c>
      <c r="R162" t="str">
        <f>IF(D162="","",_CALC_MOTEUR!AH162)</f>
        <v/>
      </c>
      <c r="S162" t="str">
        <f t="shared" si="2"/>
        <v/>
      </c>
    </row>
    <row r="163" spans="15:19" x14ac:dyDescent="0.45">
      <c r="O163" t="str">
        <f>IF(D163="","",_CALC_MOTEUR!AE163)</f>
        <v/>
      </c>
      <c r="P163" t="str">
        <f>IF(D163="","",_CALC_MOTEUR!AF163)</f>
        <v/>
      </c>
      <c r="Q163" t="str">
        <f>IF(D163="","",_CALC_MOTEUR!AG163)</f>
        <v/>
      </c>
      <c r="R163" t="str">
        <f>IF(D163="","",_CALC_MOTEUR!AH163)</f>
        <v/>
      </c>
      <c r="S163" t="str">
        <f t="shared" si="2"/>
        <v/>
      </c>
    </row>
    <row r="164" spans="15:19" x14ac:dyDescent="0.45">
      <c r="O164" t="str">
        <f>IF(D164="","",_CALC_MOTEUR!AE164)</f>
        <v/>
      </c>
      <c r="P164" t="str">
        <f>IF(D164="","",_CALC_MOTEUR!AF164)</f>
        <v/>
      </c>
      <c r="Q164" t="str">
        <f>IF(D164="","",_CALC_MOTEUR!AG164)</f>
        <v/>
      </c>
      <c r="R164" t="str">
        <f>IF(D164="","",_CALC_MOTEUR!AH164)</f>
        <v/>
      </c>
      <c r="S164" t="str">
        <f t="shared" si="2"/>
        <v/>
      </c>
    </row>
    <row r="165" spans="15:19" x14ac:dyDescent="0.45">
      <c r="O165" t="str">
        <f>IF(D165="","",_CALC_MOTEUR!AE165)</f>
        <v/>
      </c>
      <c r="P165" t="str">
        <f>IF(D165="","",_CALC_MOTEUR!AF165)</f>
        <v/>
      </c>
      <c r="Q165" t="str">
        <f>IF(D165="","",_CALC_MOTEUR!AG165)</f>
        <v/>
      </c>
      <c r="R165" t="str">
        <f>IF(D165="","",_CALC_MOTEUR!AH165)</f>
        <v/>
      </c>
      <c r="S165" t="str">
        <f t="shared" si="2"/>
        <v/>
      </c>
    </row>
    <row r="166" spans="15:19" x14ac:dyDescent="0.45">
      <c r="O166" t="str">
        <f>IF(D166="","",_CALC_MOTEUR!AE166)</f>
        <v/>
      </c>
      <c r="P166" t="str">
        <f>IF(D166="","",_CALC_MOTEUR!AF166)</f>
        <v/>
      </c>
      <c r="Q166" t="str">
        <f>IF(D166="","",_CALC_MOTEUR!AG166)</f>
        <v/>
      </c>
      <c r="R166" t="str">
        <f>IF(D166="","",_CALC_MOTEUR!AH166)</f>
        <v/>
      </c>
      <c r="S166" t="str">
        <f t="shared" si="2"/>
        <v/>
      </c>
    </row>
    <row r="167" spans="15:19" x14ac:dyDescent="0.45">
      <c r="O167" t="str">
        <f>IF(D167="","",_CALC_MOTEUR!AE167)</f>
        <v/>
      </c>
      <c r="P167" t="str">
        <f>IF(D167="","",_CALC_MOTEUR!AF167)</f>
        <v/>
      </c>
      <c r="Q167" t="str">
        <f>IF(D167="","",_CALC_MOTEUR!AG167)</f>
        <v/>
      </c>
      <c r="R167" t="str">
        <f>IF(D167="","",_CALC_MOTEUR!AH167)</f>
        <v/>
      </c>
      <c r="S167" t="str">
        <f t="shared" si="2"/>
        <v/>
      </c>
    </row>
    <row r="168" spans="15:19" x14ac:dyDescent="0.45">
      <c r="O168" t="str">
        <f>IF(D168="","",_CALC_MOTEUR!AE168)</f>
        <v/>
      </c>
      <c r="P168" t="str">
        <f>IF(D168="","",_CALC_MOTEUR!AF168)</f>
        <v/>
      </c>
      <c r="Q168" t="str">
        <f>IF(D168="","",_CALC_MOTEUR!AG168)</f>
        <v/>
      </c>
      <c r="R168" t="str">
        <f>IF(D168="","",_CALC_MOTEUR!AH168)</f>
        <v/>
      </c>
      <c r="S168" t="str">
        <f t="shared" si="2"/>
        <v/>
      </c>
    </row>
    <row r="169" spans="15:19" x14ac:dyDescent="0.45">
      <c r="O169" t="str">
        <f>IF(D169="","",_CALC_MOTEUR!AE169)</f>
        <v/>
      </c>
      <c r="P169" t="str">
        <f>IF(D169="","",_CALC_MOTEUR!AF169)</f>
        <v/>
      </c>
      <c r="Q169" t="str">
        <f>IF(D169="","",_CALC_MOTEUR!AG169)</f>
        <v/>
      </c>
      <c r="R169" t="str">
        <f>IF(D169="","",_CALC_MOTEUR!AH169)</f>
        <v/>
      </c>
      <c r="S169" t="str">
        <f t="shared" si="2"/>
        <v/>
      </c>
    </row>
    <row r="170" spans="15:19" x14ac:dyDescent="0.45">
      <c r="O170" t="str">
        <f>IF(D170="","",_CALC_MOTEUR!AE170)</f>
        <v/>
      </c>
      <c r="P170" t="str">
        <f>IF(D170="","",_CALC_MOTEUR!AF170)</f>
        <v/>
      </c>
      <c r="Q170" t="str">
        <f>IF(D170="","",_CALC_MOTEUR!AG170)</f>
        <v/>
      </c>
      <c r="R170" t="str">
        <f>IF(D170="","",_CALC_MOTEUR!AH170)</f>
        <v/>
      </c>
      <c r="S170" t="str">
        <f t="shared" si="2"/>
        <v/>
      </c>
    </row>
    <row r="171" spans="15:19" x14ac:dyDescent="0.45">
      <c r="O171" t="str">
        <f>IF(D171="","",_CALC_MOTEUR!AE171)</f>
        <v/>
      </c>
      <c r="P171" t="str">
        <f>IF(D171="","",_CALC_MOTEUR!AF171)</f>
        <v/>
      </c>
      <c r="Q171" t="str">
        <f>IF(D171="","",_CALC_MOTEUR!AG171)</f>
        <v/>
      </c>
      <c r="R171" t="str">
        <f>IF(D171="","",_CALC_MOTEUR!AH171)</f>
        <v/>
      </c>
      <c r="S171" t="str">
        <f t="shared" si="2"/>
        <v/>
      </c>
    </row>
    <row r="172" spans="15:19" x14ac:dyDescent="0.45">
      <c r="O172" t="str">
        <f>IF(D172="","",_CALC_MOTEUR!AE172)</f>
        <v/>
      </c>
      <c r="P172" t="str">
        <f>IF(D172="","",_CALC_MOTEUR!AF172)</f>
        <v/>
      </c>
      <c r="Q172" t="str">
        <f>IF(D172="","",_CALC_MOTEUR!AG172)</f>
        <v/>
      </c>
      <c r="R172" t="str">
        <f>IF(D172="","",_CALC_MOTEUR!AH172)</f>
        <v/>
      </c>
      <c r="S172" t="str">
        <f t="shared" si="2"/>
        <v/>
      </c>
    </row>
    <row r="173" spans="15:19" x14ac:dyDescent="0.45">
      <c r="O173" t="str">
        <f>IF(D173="","",_CALC_MOTEUR!AE173)</f>
        <v/>
      </c>
      <c r="P173" t="str">
        <f>IF(D173="","",_CALC_MOTEUR!AF173)</f>
        <v/>
      </c>
      <c r="Q173" t="str">
        <f>IF(D173="","",_CALC_MOTEUR!AG173)</f>
        <v/>
      </c>
      <c r="R173" t="str">
        <f>IF(D173="","",_CALC_MOTEUR!AH173)</f>
        <v/>
      </c>
      <c r="S173" t="str">
        <f t="shared" si="2"/>
        <v/>
      </c>
    </row>
    <row r="174" spans="15:19" x14ac:dyDescent="0.45">
      <c r="O174" t="str">
        <f>IF(D174="","",_CALC_MOTEUR!AE174)</f>
        <v/>
      </c>
      <c r="P174" t="str">
        <f>IF(D174="","",_CALC_MOTEUR!AF174)</f>
        <v/>
      </c>
      <c r="Q174" t="str">
        <f>IF(D174="","",_CALC_MOTEUR!AG174)</f>
        <v/>
      </c>
      <c r="R174" t="str">
        <f>IF(D174="","",_CALC_MOTEUR!AH174)</f>
        <v/>
      </c>
      <c r="S174" t="str">
        <f t="shared" si="2"/>
        <v/>
      </c>
    </row>
    <row r="175" spans="15:19" x14ac:dyDescent="0.45">
      <c r="O175" t="str">
        <f>IF(D175="","",_CALC_MOTEUR!AE175)</f>
        <v/>
      </c>
      <c r="P175" t="str">
        <f>IF(D175="","",_CALC_MOTEUR!AF175)</f>
        <v/>
      </c>
      <c r="Q175" t="str">
        <f>IF(D175="","",_CALC_MOTEUR!AG175)</f>
        <v/>
      </c>
      <c r="R175" t="str">
        <f>IF(D175="","",_CALC_MOTEUR!AH175)</f>
        <v/>
      </c>
      <c r="S175" t="str">
        <f t="shared" si="2"/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>
      <selection activeCell="C2" sqref="C2"/>
    </sheetView>
  </sheetViews>
  <sheetFormatPr baseColWidth="10" defaultRowHeight="14.25" x14ac:dyDescent="0.45"/>
  <sheetData>
    <row r="1" spans="1:6" x14ac:dyDescent="0.45">
      <c r="A1" s="1" t="s">
        <v>73</v>
      </c>
      <c r="B1" s="1" t="s">
        <v>74</v>
      </c>
      <c r="C1" s="1" t="s">
        <v>33</v>
      </c>
      <c r="D1" s="1" t="s">
        <v>75</v>
      </c>
      <c r="E1" s="1" t="s">
        <v>76</v>
      </c>
      <c r="F1" s="1" t="s">
        <v>77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1347"/>
  <sheetViews>
    <sheetView workbookViewId="0">
      <selection activeCell="D2" sqref="D2"/>
    </sheetView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29</v>
      </c>
      <c r="B1" s="1" t="s">
        <v>79</v>
      </c>
      <c r="C1" s="1" t="s">
        <v>33</v>
      </c>
      <c r="D1" s="1" t="s">
        <v>67</v>
      </c>
      <c r="E1" s="1" t="s">
        <v>27</v>
      </c>
      <c r="F1" s="1" t="s">
        <v>80</v>
      </c>
      <c r="G1" s="1" t="s">
        <v>81</v>
      </c>
      <c r="H1" t="s">
        <v>136</v>
      </c>
      <c r="I1" t="s">
        <v>137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f>IF(PNL!A2="","",_CALC_PNL!P2)</f>
        <v>1000</v>
      </c>
      <c r="I2" t="str">
        <f>IF(PNL!A2="","",IF(_CALC_PNL!E2=1,H2-G2,""))</f>
        <v/>
      </c>
    </row>
    <row r="3" spans="1:9" x14ac:dyDescent="0.45">
      <c r="H3" t="str">
        <f>IF(PNL!A3="","",_CALC_PNL!P3)</f>
        <v/>
      </c>
      <c r="I3" t="str">
        <f>IF(PNL!A3="","",IF(_CALC_PNL!E3=1,H3-G3,""))</f>
        <v/>
      </c>
    </row>
    <row r="4" spans="1:9" x14ac:dyDescent="0.45">
      <c r="H4" t="str">
        <f>IF(PNL!A4="","",_CALC_PNL!P4)</f>
        <v/>
      </c>
      <c r="I4" t="str">
        <f>IF(PNL!A4="","",IF(_CALC_PNL!E4=1,H4-G4,""))</f>
        <v/>
      </c>
    </row>
    <row r="5" spans="1:9" x14ac:dyDescent="0.45">
      <c r="H5" t="str">
        <f>IF(PNL!A5="","",_CALC_PNL!P5)</f>
        <v/>
      </c>
      <c r="I5" t="str">
        <f>IF(PNL!A5="","",IF(_CALC_PNL!E5=1,H5-G5,""))</f>
        <v/>
      </c>
    </row>
    <row r="6" spans="1:9" x14ac:dyDescent="0.45">
      <c r="H6" t="str">
        <f>IF(PNL!A6="","",_CALC_PNL!P6)</f>
        <v/>
      </c>
      <c r="I6" t="str">
        <f>IF(PNL!A6="","",IF(_CALC_PNL!E6=1,H6-G6,""))</f>
        <v/>
      </c>
    </row>
    <row r="7" spans="1:9" x14ac:dyDescent="0.45">
      <c r="H7" t="str">
        <f>IF(PNL!A7="","",_CALC_PNL!P7)</f>
        <v/>
      </c>
      <c r="I7" t="str">
        <f>IF(PNL!A7="","",IF(_CALC_PNL!E7=1,H7-G7,""))</f>
        <v/>
      </c>
    </row>
    <row r="8" spans="1:9" x14ac:dyDescent="0.45">
      <c r="H8" t="str">
        <f>IF(PNL!A8="","",_CALC_PNL!P8)</f>
        <v/>
      </c>
      <c r="I8" t="str">
        <f>IF(PNL!A8="","",IF(_CALC_PNL!E8=1,H8-G8,""))</f>
        <v/>
      </c>
    </row>
    <row r="9" spans="1:9" x14ac:dyDescent="0.45">
      <c r="H9" t="str">
        <f>IF(PNL!A9="","",_CALC_PNL!P9)</f>
        <v/>
      </c>
      <c r="I9" t="str">
        <f>IF(PNL!A9="","",IF(_CALC_PNL!E9=1,H9-G9,""))</f>
        <v/>
      </c>
    </row>
    <row r="10" spans="1:9" x14ac:dyDescent="0.45">
      <c r="H10" t="str">
        <f>IF(PNL!A10="","",_CALC_PNL!P10)</f>
        <v/>
      </c>
      <c r="I10" t="str">
        <f>IF(PNL!A10="","",IF(_CALC_PNL!E10=1,H10-G10,""))</f>
        <v/>
      </c>
    </row>
    <row r="11" spans="1:9" x14ac:dyDescent="0.45">
      <c r="H11" t="str">
        <f>IF(PNL!A11="","",_CALC_PNL!P11)</f>
        <v/>
      </c>
      <c r="I11" t="str">
        <f>IF(PNL!A11="","",IF(_CALC_PNL!E11=1,H11-G11,""))</f>
        <v/>
      </c>
    </row>
    <row r="12" spans="1:9" x14ac:dyDescent="0.45">
      <c r="H12" t="str">
        <f>IF(PNL!A12="","",_CALC_PNL!P12)</f>
        <v/>
      </c>
      <c r="I12" t="str">
        <f>IF(PNL!A12="","",IF(_CALC_PNL!E12=1,H12-G12,""))</f>
        <v/>
      </c>
    </row>
    <row r="13" spans="1:9" x14ac:dyDescent="0.45">
      <c r="H13" t="str">
        <f>IF(PNL!A13="","",_CALC_PNL!P13)</f>
        <v/>
      </c>
      <c r="I13" t="str">
        <f>IF(PNL!A13="","",IF(_CALC_PNL!E13=1,H13-G13,""))</f>
        <v/>
      </c>
    </row>
    <row r="14" spans="1:9" x14ac:dyDescent="0.45">
      <c r="H14" t="str">
        <f>IF(PNL!A14="","",_CALC_PNL!P14)</f>
        <v/>
      </c>
      <c r="I14" t="str">
        <f>IF(PNL!A14="","",IF(_CALC_PNL!E14=1,H14-G14,""))</f>
        <v/>
      </c>
    </row>
    <row r="15" spans="1:9" x14ac:dyDescent="0.45">
      <c r="H15" t="str">
        <f>IF(PNL!A15="","",_CALC_PNL!P15)</f>
        <v/>
      </c>
      <c r="I15" t="str">
        <f>IF(PNL!A15="","",IF(_CALC_PNL!E15=1,H15-G15,""))</f>
        <v/>
      </c>
    </row>
    <row r="16" spans="1:9" x14ac:dyDescent="0.45">
      <c r="H16" t="str">
        <f>IF(PNL!A16="","",_CALC_PNL!P16)</f>
        <v/>
      </c>
      <c r="I16" t="str">
        <f>IF(PNL!A16="","",IF(_CALC_PNL!E16=1,H16-G16,""))</f>
        <v/>
      </c>
    </row>
    <row r="17" spans="8:9" x14ac:dyDescent="0.45">
      <c r="H17" t="str">
        <f>IF(PNL!A17="","",_CALC_PNL!P17)</f>
        <v/>
      </c>
      <c r="I17" t="str">
        <f>IF(PNL!A17="","",IF(_CALC_PNL!E17=1,H17-G17,""))</f>
        <v/>
      </c>
    </row>
    <row r="18" spans="8:9" x14ac:dyDescent="0.45">
      <c r="H18" t="str">
        <f>IF(PNL!A18="","",_CALC_PNL!P18)</f>
        <v/>
      </c>
      <c r="I18" t="str">
        <f>IF(PNL!A18="","",IF(_CALC_PNL!E18=1,H18-G18,""))</f>
        <v/>
      </c>
    </row>
    <row r="19" spans="8:9" x14ac:dyDescent="0.45">
      <c r="H19" t="str">
        <f>IF(PNL!A19="","",_CALC_PNL!P19)</f>
        <v/>
      </c>
      <c r="I19" t="str">
        <f>IF(PNL!A19="","",IF(_CALC_PNL!E19=1,H19-G19,""))</f>
        <v/>
      </c>
    </row>
    <row r="20" spans="8:9" x14ac:dyDescent="0.45">
      <c r="H20" t="str">
        <f>IF(PNL!A20="","",_CALC_PNL!P20)</f>
        <v/>
      </c>
      <c r="I20" t="str">
        <f>IF(PNL!A20="","",IF(_CALC_PNL!E20=1,H20-G20,""))</f>
        <v/>
      </c>
    </row>
    <row r="21" spans="8:9" x14ac:dyDescent="0.45">
      <c r="H21" t="str">
        <f>IF(PNL!A21="","",_CALC_PNL!P21)</f>
        <v/>
      </c>
      <c r="I21" t="str">
        <f>IF(PNL!A21="","",IF(_CALC_PNL!E21=1,H21-G21,""))</f>
        <v/>
      </c>
    </row>
    <row r="22" spans="8:9" x14ac:dyDescent="0.45">
      <c r="H22" t="str">
        <f>IF(PNL!A22="","",_CALC_PNL!P22)</f>
        <v/>
      </c>
      <c r="I22" t="str">
        <f>IF(PNL!A22="","",IF(_CALC_PNL!E22=1,H22-G22,""))</f>
        <v/>
      </c>
    </row>
    <row r="23" spans="8:9" x14ac:dyDescent="0.45">
      <c r="H23" t="str">
        <f>IF(PNL!A23="","",_CALC_PNL!P23)</f>
        <v/>
      </c>
      <c r="I23" t="str">
        <f>IF(PNL!A23="","",IF(_CALC_PNL!E23=1,H23-G23,""))</f>
        <v/>
      </c>
    </row>
    <row r="24" spans="8:9" x14ac:dyDescent="0.45">
      <c r="H24" t="str">
        <f>IF(PNL!A24="","",_CALC_PNL!P24)</f>
        <v/>
      </c>
      <c r="I24" t="str">
        <f>IF(PNL!A24="","",IF(_CALC_PNL!E24=1,H24-G24,""))</f>
        <v/>
      </c>
    </row>
    <row r="25" spans="8:9" x14ac:dyDescent="0.45">
      <c r="H25" t="str">
        <f>IF(PNL!A25="","",_CALC_PNL!P25)</f>
        <v/>
      </c>
      <c r="I25" t="str">
        <f>IF(PNL!A25="","",IF(_CALC_PNL!E25=1,H25-G25,""))</f>
        <v/>
      </c>
    </row>
    <row r="26" spans="8:9" x14ac:dyDescent="0.45">
      <c r="H26" t="str">
        <f>IF(PNL!A26="","",_CALC_PNL!P26)</f>
        <v/>
      </c>
      <c r="I26" t="str">
        <f>IF(PNL!A26="","",IF(_CALC_PNL!E26=1,H26-G26,""))</f>
        <v/>
      </c>
    </row>
    <row r="27" spans="8:9" x14ac:dyDescent="0.45">
      <c r="H27" t="str">
        <f>IF(PNL!A27="","",_CALC_PNL!P27)</f>
        <v/>
      </c>
      <c r="I27" t="str">
        <f>IF(PNL!A27="","",IF(_CALC_PNL!E27=1,H27-G27,""))</f>
        <v/>
      </c>
    </row>
    <row r="28" spans="8:9" x14ac:dyDescent="0.45">
      <c r="H28" t="str">
        <f>IF(PNL!A28="","",_CALC_PNL!P28)</f>
        <v/>
      </c>
      <c r="I28" t="str">
        <f>IF(PNL!A28="","",IF(_CALC_PNL!E28=1,H28-G28,""))</f>
        <v/>
      </c>
    </row>
    <row r="29" spans="8:9" x14ac:dyDescent="0.45">
      <c r="H29" t="str">
        <f>IF(PNL!A29="","",_CALC_PNL!P29)</f>
        <v/>
      </c>
      <c r="I29" t="str">
        <f>IF(PNL!A29="","",IF(_CALC_PNL!E29=1,H29-G29,""))</f>
        <v/>
      </c>
    </row>
    <row r="30" spans="8:9" x14ac:dyDescent="0.45">
      <c r="H30" t="str">
        <f>IF(PNL!A30="","",_CALC_PNL!P30)</f>
        <v/>
      </c>
      <c r="I30" t="str">
        <f>IF(PNL!A30="","",IF(_CALC_PNL!E30=1,H30-G30,""))</f>
        <v/>
      </c>
    </row>
    <row r="31" spans="8:9" x14ac:dyDescent="0.45">
      <c r="H31" t="str">
        <f>IF(PNL!A31="","",_CALC_PNL!P31)</f>
        <v/>
      </c>
      <c r="I31" t="str">
        <f>IF(PNL!A31="","",IF(_CALC_PNL!E31=1,H31-G31,""))</f>
        <v/>
      </c>
    </row>
    <row r="32" spans="8:9" x14ac:dyDescent="0.45">
      <c r="H32" t="str">
        <f>IF(PNL!A32="","",_CALC_PNL!P32)</f>
        <v/>
      </c>
      <c r="I32" t="str">
        <f>IF(PNL!A32="","",IF(_CALC_PNL!E32=1,H32-G32,""))</f>
        <v/>
      </c>
    </row>
    <row r="33" spans="8:9" x14ac:dyDescent="0.45">
      <c r="H33" t="str">
        <f>IF(PNL!A33="","",_CALC_PNL!P33)</f>
        <v/>
      </c>
      <c r="I33" t="str">
        <f>IF(PNL!A33="","",IF(_CALC_PNL!E33=1,H33-G33,""))</f>
        <v/>
      </c>
    </row>
    <row r="34" spans="8:9" x14ac:dyDescent="0.45">
      <c r="H34" t="str">
        <f>IF(PNL!A34="","",_CALC_PNL!P34)</f>
        <v/>
      </c>
      <c r="I34" t="str">
        <f>IF(PNL!A34="","",IF(_CALC_PNL!E34=1,H34-G34,""))</f>
        <v/>
      </c>
    </row>
    <row r="35" spans="8:9" x14ac:dyDescent="0.45">
      <c r="H35" t="str">
        <f>IF(PNL!A35="","",_CALC_PNL!P35)</f>
        <v/>
      </c>
      <c r="I35" t="str">
        <f>IF(PNL!A35="","",IF(_CALC_PNL!E35=1,H35-G35,""))</f>
        <v/>
      </c>
    </row>
    <row r="36" spans="8:9" x14ac:dyDescent="0.45">
      <c r="H36" t="str">
        <f>IF(PNL!A36="","",_CALC_PNL!P36)</f>
        <v/>
      </c>
      <c r="I36" t="str">
        <f>IF(PNL!A36="","",IF(_CALC_PNL!E36=1,H36-G36,""))</f>
        <v/>
      </c>
    </row>
    <row r="37" spans="8:9" x14ac:dyDescent="0.45">
      <c r="H37" t="str">
        <f>IF(PNL!A37="","",_CALC_PNL!P37)</f>
        <v/>
      </c>
      <c r="I37" t="str">
        <f>IF(PNL!A37="","",IF(_CALC_PNL!E37=1,H37-G37,""))</f>
        <v/>
      </c>
    </row>
    <row r="38" spans="8:9" x14ac:dyDescent="0.45">
      <c r="H38" t="str">
        <f>IF(PNL!A38="","",_CALC_PNL!P38)</f>
        <v/>
      </c>
      <c r="I38" t="str">
        <f>IF(PNL!A38="","",IF(_CALC_PNL!E38=1,H38-G38,""))</f>
        <v/>
      </c>
    </row>
    <row r="39" spans="8:9" x14ac:dyDescent="0.45">
      <c r="H39" t="str">
        <f>IF(PNL!A39="","",_CALC_PNL!P39)</f>
        <v/>
      </c>
      <c r="I39" t="str">
        <f>IF(PNL!A39="","",IF(_CALC_PNL!E39=1,H39-G39,""))</f>
        <v/>
      </c>
    </row>
    <row r="40" spans="8:9" x14ac:dyDescent="0.45">
      <c r="H40" t="str">
        <f>IF(PNL!A40="","",_CALC_PNL!P40)</f>
        <v/>
      </c>
      <c r="I40" t="str">
        <f>IF(PNL!A40="","",IF(_CALC_PNL!E40=1,H40-G40,""))</f>
        <v/>
      </c>
    </row>
    <row r="41" spans="8:9" x14ac:dyDescent="0.45">
      <c r="H41" t="str">
        <f>IF(PNL!A41="","",_CALC_PNL!P41)</f>
        <v/>
      </c>
      <c r="I41" t="str">
        <f>IF(PNL!A41="","",IF(_CALC_PNL!E41=1,H41-G41,""))</f>
        <v/>
      </c>
    </row>
    <row r="42" spans="8:9" x14ac:dyDescent="0.45">
      <c r="H42" t="str">
        <f>IF(PNL!A42="","",_CALC_PNL!P42)</f>
        <v/>
      </c>
      <c r="I42" t="str">
        <f>IF(PNL!A42="","",IF(_CALC_PNL!E42=1,H42-G42,""))</f>
        <v/>
      </c>
    </row>
    <row r="43" spans="8:9" x14ac:dyDescent="0.45">
      <c r="H43" t="str">
        <f>IF(PNL!A43="","",_CALC_PNL!P43)</f>
        <v/>
      </c>
      <c r="I43" t="str">
        <f>IF(PNL!A43="","",IF(_CALC_PNL!E43=1,H43-G43,""))</f>
        <v/>
      </c>
    </row>
    <row r="44" spans="8:9" x14ac:dyDescent="0.45">
      <c r="H44" t="str">
        <f>IF(PNL!A44="","",_CALC_PNL!P44)</f>
        <v/>
      </c>
      <c r="I44" t="str">
        <f>IF(PNL!A44="","",IF(_CALC_PNL!E44=1,H44-G44,""))</f>
        <v/>
      </c>
    </row>
    <row r="45" spans="8:9" x14ac:dyDescent="0.45">
      <c r="H45" t="str">
        <f>IF(PNL!A45="","",_CALC_PNL!P45)</f>
        <v/>
      </c>
      <c r="I45" t="str">
        <f>IF(PNL!A45="","",IF(_CALC_PNL!E45=1,H45-G45,""))</f>
        <v/>
      </c>
    </row>
    <row r="46" spans="8:9" x14ac:dyDescent="0.45">
      <c r="H46" t="str">
        <f>IF(PNL!A46="","",_CALC_PNL!P46)</f>
        <v/>
      </c>
      <c r="I46" t="str">
        <f>IF(PNL!A46="","",IF(_CALC_PNL!E46=1,H46-G46,""))</f>
        <v/>
      </c>
    </row>
    <row r="47" spans="8:9" x14ac:dyDescent="0.45">
      <c r="H47" t="str">
        <f>IF(PNL!A47="","",_CALC_PNL!P47)</f>
        <v/>
      </c>
      <c r="I47" t="str">
        <f>IF(PNL!A47="","",IF(_CALC_PNL!E47=1,H47-G47,""))</f>
        <v/>
      </c>
    </row>
    <row r="48" spans="8:9" x14ac:dyDescent="0.45">
      <c r="H48" t="str">
        <f>IF(PNL!A48="","",_CALC_PNL!P48)</f>
        <v/>
      </c>
      <c r="I48" t="str">
        <f>IF(PNL!A48="","",IF(_CALC_PNL!E48=1,H48-G48,""))</f>
        <v/>
      </c>
    </row>
    <row r="49" spans="8:9" x14ac:dyDescent="0.45">
      <c r="H49" t="str">
        <f>IF(PNL!A49="","",_CALC_PNL!P49)</f>
        <v/>
      </c>
      <c r="I49" t="str">
        <f>IF(PNL!A49="","",IF(_CALC_PNL!E49=1,H49-G49,""))</f>
        <v/>
      </c>
    </row>
    <row r="50" spans="8:9" x14ac:dyDescent="0.45">
      <c r="H50" t="str">
        <f>IF(PNL!A50="","",_CALC_PNL!P50)</f>
        <v/>
      </c>
      <c r="I50" t="str">
        <f>IF(PNL!A50="","",IF(_CALC_PNL!E50=1,H50-G50,""))</f>
        <v/>
      </c>
    </row>
    <row r="51" spans="8:9" x14ac:dyDescent="0.45">
      <c r="H51" t="str">
        <f>IF(PNL!A51="","",_CALC_PNL!P51)</f>
        <v/>
      </c>
      <c r="I51" t="str">
        <f>IF(PNL!A51="","",IF(_CALC_PNL!E51=1,H51-G51,""))</f>
        <v/>
      </c>
    </row>
    <row r="52" spans="8:9" x14ac:dyDescent="0.45">
      <c r="H52" t="str">
        <f>IF(PNL!A52="","",_CALC_PNL!P52)</f>
        <v/>
      </c>
      <c r="I52" t="str">
        <f>IF(PNL!A52="","",IF(_CALC_PNL!E52=1,H52-G52,""))</f>
        <v/>
      </c>
    </row>
    <row r="53" spans="8:9" x14ac:dyDescent="0.45">
      <c r="H53" t="str">
        <f>IF(PNL!A53="","",_CALC_PNL!P53)</f>
        <v/>
      </c>
      <c r="I53" t="str">
        <f>IF(PNL!A53="","",IF(_CALC_PNL!E53=1,H53-G53,""))</f>
        <v/>
      </c>
    </row>
    <row r="54" spans="8:9" x14ac:dyDescent="0.45">
      <c r="H54" t="str">
        <f>IF(PNL!A54="","",_CALC_PNL!P54)</f>
        <v/>
      </c>
      <c r="I54" t="str">
        <f>IF(PNL!A54="","",IF(_CALC_PNL!E54=1,H54-G54,""))</f>
        <v/>
      </c>
    </row>
    <row r="55" spans="8:9" x14ac:dyDescent="0.45">
      <c r="H55" t="str">
        <f>IF(PNL!A55="","",_CALC_PNL!P55)</f>
        <v/>
      </c>
      <c r="I55" t="str">
        <f>IF(PNL!A55="","",IF(_CALC_PNL!E55=1,H55-G55,""))</f>
        <v/>
      </c>
    </row>
    <row r="56" spans="8:9" x14ac:dyDescent="0.45">
      <c r="H56" t="str">
        <f>IF(PNL!A56="","",_CALC_PNL!P56)</f>
        <v/>
      </c>
      <c r="I56" t="str">
        <f>IF(PNL!A56="","",IF(_CALC_PNL!E56=1,H56-G56,""))</f>
        <v/>
      </c>
    </row>
    <row r="57" spans="8:9" x14ac:dyDescent="0.45">
      <c r="H57" t="str">
        <f>IF(PNL!A57="","",_CALC_PNL!P57)</f>
        <v/>
      </c>
      <c r="I57" t="str">
        <f>IF(PNL!A57="","",IF(_CALC_PNL!E57=1,H57-G57,""))</f>
        <v/>
      </c>
    </row>
    <row r="58" spans="8:9" x14ac:dyDescent="0.45">
      <c r="H58" t="str">
        <f>IF(PNL!A58="","",_CALC_PNL!P58)</f>
        <v/>
      </c>
      <c r="I58" t="str">
        <f>IF(PNL!A58="","",IF(_CALC_PNL!E58=1,H58-G58,""))</f>
        <v/>
      </c>
    </row>
    <row r="59" spans="8:9" x14ac:dyDescent="0.45">
      <c r="H59" t="str">
        <f>IF(PNL!A59="","",_CALC_PNL!P59)</f>
        <v/>
      </c>
      <c r="I59" t="str">
        <f>IF(PNL!A59="","",IF(_CALC_PNL!E59=1,H59-G59,""))</f>
        <v/>
      </c>
    </row>
    <row r="60" spans="8:9" x14ac:dyDescent="0.45">
      <c r="H60" t="str">
        <f>IF(PNL!A60="","",_CALC_PNL!P60)</f>
        <v/>
      </c>
      <c r="I60" t="str">
        <f>IF(PNL!A60="","",IF(_CALC_PNL!E60=1,H60-G60,""))</f>
        <v/>
      </c>
    </row>
    <row r="61" spans="8:9" x14ac:dyDescent="0.45">
      <c r="H61" t="str">
        <f>IF(PNL!A61="","",_CALC_PNL!P61)</f>
        <v/>
      </c>
      <c r="I61" t="str">
        <f>IF(PNL!A61="","",IF(_CALC_PNL!E61=1,H61-G61,""))</f>
        <v/>
      </c>
    </row>
    <row r="62" spans="8:9" x14ac:dyDescent="0.45">
      <c r="H62" t="str">
        <f>IF(PNL!A62="","",_CALC_PNL!P62)</f>
        <v/>
      </c>
      <c r="I62" t="str">
        <f>IF(PNL!A62="","",IF(_CALC_PNL!E62=1,H62-G62,""))</f>
        <v/>
      </c>
    </row>
    <row r="63" spans="8:9" x14ac:dyDescent="0.45">
      <c r="H63" t="str">
        <f>IF(PNL!A63="","",_CALC_PNL!P63)</f>
        <v/>
      </c>
      <c r="I63" t="str">
        <f>IF(PNL!A63="","",IF(_CALC_PNL!E63=1,H63-G63,""))</f>
        <v/>
      </c>
    </row>
    <row r="64" spans="8:9" x14ac:dyDescent="0.45">
      <c r="H64" t="str">
        <f>IF(PNL!A64="","",_CALC_PNL!P64)</f>
        <v/>
      </c>
      <c r="I64" t="str">
        <f>IF(PNL!A64="","",IF(_CALC_PNL!E64=1,H64-G64,""))</f>
        <v/>
      </c>
    </row>
    <row r="65" spans="8:9" x14ac:dyDescent="0.45">
      <c r="H65" t="str">
        <f>IF(PNL!A65="","",_CALC_PNL!P65)</f>
        <v/>
      </c>
      <c r="I65" t="str">
        <f>IF(PNL!A65="","",IF(_CALC_PNL!E65=1,H65-G65,""))</f>
        <v/>
      </c>
    </row>
    <row r="66" spans="8:9" x14ac:dyDescent="0.45">
      <c r="H66" t="str">
        <f>IF(PNL!A66="","",_CALC_PNL!P66)</f>
        <v/>
      </c>
      <c r="I66" t="str">
        <f>IF(PNL!A66="","",IF(_CALC_PNL!E66=1,H66-G66,""))</f>
        <v/>
      </c>
    </row>
    <row r="67" spans="8:9" x14ac:dyDescent="0.45">
      <c r="H67" t="str">
        <f>IF(PNL!A67="","",_CALC_PNL!P67)</f>
        <v/>
      </c>
      <c r="I67" t="str">
        <f>IF(PNL!A67="","",IF(_CALC_PNL!E67=1,H67-G67,""))</f>
        <v/>
      </c>
    </row>
    <row r="68" spans="8:9" x14ac:dyDescent="0.45">
      <c r="H68" t="str">
        <f>IF(PNL!A68="","",_CALC_PNL!P68)</f>
        <v/>
      </c>
      <c r="I68" t="str">
        <f>IF(PNL!A68="","",IF(_CALC_PNL!E68=1,H68-G68,""))</f>
        <v/>
      </c>
    </row>
    <row r="69" spans="8:9" x14ac:dyDescent="0.45">
      <c r="H69" t="str">
        <f>IF(PNL!A69="","",_CALC_PNL!P69)</f>
        <v/>
      </c>
      <c r="I69" t="str">
        <f>IF(PNL!A69="","",IF(_CALC_PNL!E69=1,H69-G69,""))</f>
        <v/>
      </c>
    </row>
    <row r="70" spans="8:9" x14ac:dyDescent="0.45">
      <c r="H70" t="str">
        <f>IF(PNL!A70="","",_CALC_PNL!P70)</f>
        <v/>
      </c>
      <c r="I70" t="str">
        <f>IF(PNL!A70="","",IF(_CALC_PNL!E70=1,H70-G70,""))</f>
        <v/>
      </c>
    </row>
    <row r="71" spans="8:9" x14ac:dyDescent="0.45">
      <c r="H71" t="str">
        <f>IF(PNL!A71="","",_CALC_PNL!P71)</f>
        <v/>
      </c>
      <c r="I71" t="str">
        <f>IF(PNL!A71="","",IF(_CALC_PNL!E71=1,H71-G71,""))</f>
        <v/>
      </c>
    </row>
    <row r="72" spans="8:9" x14ac:dyDescent="0.45">
      <c r="H72" t="str">
        <f>IF(PNL!A72="","",_CALC_PNL!P72)</f>
        <v/>
      </c>
      <c r="I72" t="str">
        <f>IF(PNL!A72="","",IF(_CALC_PNL!E72=1,H72-G72,""))</f>
        <v/>
      </c>
    </row>
    <row r="73" spans="8:9" x14ac:dyDescent="0.45">
      <c r="H73" t="str">
        <f>IF(PNL!A73="","",_CALC_PNL!P73)</f>
        <v/>
      </c>
      <c r="I73" t="str">
        <f>IF(PNL!A73="","",IF(_CALC_PNL!E73=1,H73-G73,""))</f>
        <v/>
      </c>
    </row>
    <row r="74" spans="8:9" x14ac:dyDescent="0.45">
      <c r="H74" t="str">
        <f>IF(PNL!A74="","",_CALC_PNL!P74)</f>
        <v/>
      </c>
      <c r="I74" t="str">
        <f>IF(PNL!A74="","",IF(_CALC_PNL!E74=1,H74-G74,""))</f>
        <v/>
      </c>
    </row>
    <row r="75" spans="8:9" x14ac:dyDescent="0.45">
      <c r="H75" t="str">
        <f>IF(PNL!A75="","",_CALC_PNL!P75)</f>
        <v/>
      </c>
      <c r="I75" t="str">
        <f>IF(PNL!A75="","",IF(_CALC_PNL!E75=1,H75-G75,""))</f>
        <v/>
      </c>
    </row>
    <row r="76" spans="8:9" x14ac:dyDescent="0.45">
      <c r="H76" t="str">
        <f>IF(PNL!A76="","",_CALC_PNL!P76)</f>
        <v/>
      </c>
      <c r="I76" t="str">
        <f>IF(PNL!A76="","",IF(_CALC_PNL!E76=1,H76-G76,""))</f>
        <v/>
      </c>
    </row>
    <row r="77" spans="8:9" x14ac:dyDescent="0.45">
      <c r="H77" t="str">
        <f>IF(PNL!A77="","",_CALC_PNL!P77)</f>
        <v/>
      </c>
      <c r="I77" t="str">
        <f>IF(PNL!A77="","",IF(_CALC_PNL!E77=1,H77-G77,""))</f>
        <v/>
      </c>
    </row>
    <row r="78" spans="8:9" x14ac:dyDescent="0.45">
      <c r="H78" t="str">
        <f>IF(PNL!A78="","",_CALC_PNL!P78)</f>
        <v/>
      </c>
      <c r="I78" t="str">
        <f>IF(PNL!A78="","",IF(_CALC_PNL!E78=1,H78-G78,""))</f>
        <v/>
      </c>
    </row>
    <row r="79" spans="8:9" x14ac:dyDescent="0.45">
      <c r="H79" t="str">
        <f>IF(PNL!A79="","",_CALC_PNL!P79)</f>
        <v/>
      </c>
      <c r="I79" t="str">
        <f>IF(PNL!A79="","",IF(_CALC_PNL!E79=1,H79-G79,""))</f>
        <v/>
      </c>
    </row>
    <row r="80" spans="8:9" x14ac:dyDescent="0.45">
      <c r="H80" t="str">
        <f>IF(PNL!A80="","",_CALC_PNL!P80)</f>
        <v/>
      </c>
      <c r="I80" t="str">
        <f>IF(PNL!A80="","",IF(_CALC_PNL!E80=1,H80-G80,""))</f>
        <v/>
      </c>
    </row>
    <row r="81" spans="8:9" x14ac:dyDescent="0.45">
      <c r="H81" t="str">
        <f>IF(PNL!A81="","",_CALC_PNL!P81)</f>
        <v/>
      </c>
      <c r="I81" t="str">
        <f>IF(PNL!A81="","",IF(_CALC_PNL!E81=1,H81-G81,""))</f>
        <v/>
      </c>
    </row>
    <row r="82" spans="8:9" x14ac:dyDescent="0.45">
      <c r="H82" t="str">
        <f>IF(PNL!A82="","",_CALC_PNL!P82)</f>
        <v/>
      </c>
      <c r="I82" t="str">
        <f>IF(PNL!A82="","",IF(_CALC_PNL!E82=1,H82-G82,""))</f>
        <v/>
      </c>
    </row>
    <row r="83" spans="8:9" x14ac:dyDescent="0.45">
      <c r="H83" t="str">
        <f>IF(PNL!A83="","",_CALC_PNL!P83)</f>
        <v/>
      </c>
      <c r="I83" t="str">
        <f>IF(PNL!A83="","",IF(_CALC_PNL!E83=1,H83-G83,""))</f>
        <v/>
      </c>
    </row>
    <row r="84" spans="8:9" x14ac:dyDescent="0.45">
      <c r="H84" t="str">
        <f>IF(PNL!A84="","",_CALC_PNL!P84)</f>
        <v/>
      </c>
      <c r="I84" t="str">
        <f>IF(PNL!A84="","",IF(_CALC_PNL!E84=1,H84-G84,""))</f>
        <v/>
      </c>
    </row>
    <row r="85" spans="8:9" x14ac:dyDescent="0.45">
      <c r="H85" t="str">
        <f>IF(PNL!A85="","",_CALC_PNL!P85)</f>
        <v/>
      </c>
      <c r="I85" t="str">
        <f>IF(PNL!A85="","",IF(_CALC_PNL!E85=1,H85-G85,""))</f>
        <v/>
      </c>
    </row>
    <row r="86" spans="8:9" x14ac:dyDescent="0.45">
      <c r="H86" t="str">
        <f>IF(PNL!A86="","",_CALC_PNL!P86)</f>
        <v/>
      </c>
      <c r="I86" t="str">
        <f>IF(PNL!A86="","",IF(_CALC_PNL!E86=1,H86-G86,""))</f>
        <v/>
      </c>
    </row>
    <row r="87" spans="8:9" x14ac:dyDescent="0.45">
      <c r="H87" t="str">
        <f>IF(PNL!A87="","",_CALC_PNL!P87)</f>
        <v/>
      </c>
      <c r="I87" t="str">
        <f>IF(PNL!A87="","",IF(_CALC_PNL!E87=1,H87-G87,""))</f>
        <v/>
      </c>
    </row>
    <row r="88" spans="8:9" x14ac:dyDescent="0.45">
      <c r="H88" t="str">
        <f>IF(PNL!A88="","",_CALC_PNL!P88)</f>
        <v/>
      </c>
      <c r="I88" t="str">
        <f>IF(PNL!A88="","",IF(_CALC_PNL!E88=1,H88-G88,""))</f>
        <v/>
      </c>
    </row>
    <row r="89" spans="8:9" x14ac:dyDescent="0.45">
      <c r="H89" t="str">
        <f>IF(PNL!A89="","",_CALC_PNL!P89)</f>
        <v/>
      </c>
      <c r="I89" t="str">
        <f>IF(PNL!A89="","",IF(_CALC_PNL!E89=1,H89-G89,""))</f>
        <v/>
      </c>
    </row>
    <row r="90" spans="8:9" x14ac:dyDescent="0.45">
      <c r="H90" t="str">
        <f>IF(PNL!A90="","",_CALC_PNL!P90)</f>
        <v/>
      </c>
      <c r="I90" t="str">
        <f>IF(PNL!A90="","",IF(_CALC_PNL!E90=1,H90-G90,""))</f>
        <v/>
      </c>
    </row>
    <row r="91" spans="8:9" x14ac:dyDescent="0.45">
      <c r="H91" t="str">
        <f>IF(PNL!A91="","",_CALC_PNL!P91)</f>
        <v/>
      </c>
      <c r="I91" t="str">
        <f>IF(PNL!A91="","",IF(_CALC_PNL!E91=1,H91-G91,""))</f>
        <v/>
      </c>
    </row>
    <row r="92" spans="8:9" x14ac:dyDescent="0.45">
      <c r="H92" t="str">
        <f>IF(PNL!A92="","",_CALC_PNL!P92)</f>
        <v/>
      </c>
      <c r="I92" t="str">
        <f>IF(PNL!A92="","",IF(_CALC_PNL!E92=1,H92-G92,""))</f>
        <v/>
      </c>
    </row>
    <row r="93" spans="8:9" x14ac:dyDescent="0.45">
      <c r="H93" t="str">
        <f>IF(PNL!A93="","",_CALC_PNL!P93)</f>
        <v/>
      </c>
      <c r="I93" t="str">
        <f>IF(PNL!A93="","",IF(_CALC_PNL!E93=1,H93-G93,""))</f>
        <v/>
      </c>
    </row>
    <row r="94" spans="8:9" x14ac:dyDescent="0.45">
      <c r="H94" t="str">
        <f>IF(PNL!A94="","",_CALC_PNL!P94)</f>
        <v/>
      </c>
      <c r="I94" t="str">
        <f>IF(PNL!A94="","",IF(_CALC_PNL!E94=1,H94-G94,""))</f>
        <v/>
      </c>
    </row>
    <row r="95" spans="8:9" x14ac:dyDescent="0.45">
      <c r="H95" t="str">
        <f>IF(PNL!A95="","",_CALC_PNL!P95)</f>
        <v/>
      </c>
      <c r="I95" t="str">
        <f>IF(PNL!A95="","",IF(_CALC_PNL!E95=1,H95-G95,""))</f>
        <v/>
      </c>
    </row>
    <row r="96" spans="8:9" x14ac:dyDescent="0.45">
      <c r="H96" t="str">
        <f>IF(PNL!A96="","",_CALC_PNL!P96)</f>
        <v/>
      </c>
      <c r="I96" t="str">
        <f>IF(PNL!A96="","",IF(_CALC_PNL!E96=1,H96-G96,""))</f>
        <v/>
      </c>
    </row>
    <row r="97" spans="8:9" x14ac:dyDescent="0.45">
      <c r="H97" t="str">
        <f>IF(PNL!A97="","",_CALC_PNL!P97)</f>
        <v/>
      </c>
      <c r="I97" t="str">
        <f>IF(PNL!A97="","",IF(_CALC_PNL!E97=1,H97-G97,""))</f>
        <v/>
      </c>
    </row>
    <row r="98" spans="8:9" x14ac:dyDescent="0.45">
      <c r="H98" t="str">
        <f>IF(PNL!A98="","",_CALC_PNL!P98)</f>
        <v/>
      </c>
      <c r="I98" t="str">
        <f>IF(PNL!A98="","",IF(_CALC_PNL!E98=1,H98-G98,""))</f>
        <v/>
      </c>
    </row>
    <row r="99" spans="8:9" x14ac:dyDescent="0.45">
      <c r="H99" t="str">
        <f>IF(PNL!A99="","",_CALC_PNL!P99)</f>
        <v/>
      </c>
      <c r="I99" t="str">
        <f>IF(PNL!A99="","",IF(_CALC_PNL!E99=1,H99-G99,""))</f>
        <v/>
      </c>
    </row>
    <row r="100" spans="8:9" x14ac:dyDescent="0.45">
      <c r="H100" t="str">
        <f>IF(PNL!A100="","",_CALC_PNL!P100)</f>
        <v/>
      </c>
      <c r="I100" t="str">
        <f>IF(PNL!A100="","",IF(_CALC_PNL!E100=1,H100-G100,""))</f>
        <v/>
      </c>
    </row>
    <row r="101" spans="8:9" x14ac:dyDescent="0.45">
      <c r="H101" t="str">
        <f>IF(PNL!A101="","",_CALC_PNL!P101)</f>
        <v/>
      </c>
      <c r="I101" t="str">
        <f>IF(PNL!A101="","",IF(_CALC_PNL!E101=1,H101-G101,""))</f>
        <v/>
      </c>
    </row>
    <row r="102" spans="8:9" x14ac:dyDescent="0.45">
      <c r="H102" t="str">
        <f>IF(PNL!A102="","",_CALC_PNL!P102)</f>
        <v/>
      </c>
      <c r="I102" t="str">
        <f>IF(PNL!A102="","",IF(_CALC_PNL!E102=1,H102-G102,""))</f>
        <v/>
      </c>
    </row>
    <row r="103" spans="8:9" x14ac:dyDescent="0.45">
      <c r="H103" t="str">
        <f>IF(PNL!A103="","",_CALC_PNL!P103)</f>
        <v/>
      </c>
      <c r="I103" t="str">
        <f>IF(PNL!A103="","",IF(_CALC_PNL!E103=1,H103-G103,""))</f>
        <v/>
      </c>
    </row>
    <row r="104" spans="8:9" x14ac:dyDescent="0.45">
      <c r="H104" t="str">
        <f>IF(PNL!A104="","",_CALC_PNL!P104)</f>
        <v/>
      </c>
      <c r="I104" t="str">
        <f>IF(PNL!A104="","",IF(_CALC_PNL!E104=1,H104-G104,""))</f>
        <v/>
      </c>
    </row>
    <row r="105" spans="8:9" x14ac:dyDescent="0.45">
      <c r="H105" t="str">
        <f>IF(PNL!A105="","",_CALC_PNL!P105)</f>
        <v/>
      </c>
      <c r="I105" t="str">
        <f>IF(PNL!A105="","",IF(_CALC_PNL!E105=1,H105-G105,""))</f>
        <v/>
      </c>
    </row>
    <row r="106" spans="8:9" x14ac:dyDescent="0.45">
      <c r="H106" t="str">
        <f>IF(PNL!A106="","",_CALC_PNL!P106)</f>
        <v/>
      </c>
      <c r="I106" t="str">
        <f>IF(PNL!A106="","",IF(_CALC_PNL!E106=1,H106-G106,""))</f>
        <v/>
      </c>
    </row>
    <row r="107" spans="8:9" x14ac:dyDescent="0.45">
      <c r="H107" t="str">
        <f>IF(PNL!A107="","",_CALC_PNL!P107)</f>
        <v/>
      </c>
      <c r="I107" t="str">
        <f>IF(PNL!A107="","",IF(_CALC_PNL!E107=1,H107-G107,""))</f>
        <v/>
      </c>
    </row>
    <row r="108" spans="8:9" x14ac:dyDescent="0.45">
      <c r="H108" t="str">
        <f>IF(PNL!A108="","",_CALC_PNL!P108)</f>
        <v/>
      </c>
      <c r="I108" t="str">
        <f>IF(PNL!A108="","",IF(_CALC_PNL!E108=1,H108-G108,""))</f>
        <v/>
      </c>
    </row>
    <row r="109" spans="8:9" x14ac:dyDescent="0.45">
      <c r="H109" t="str">
        <f>IF(PNL!A109="","",_CALC_PNL!P109)</f>
        <v/>
      </c>
      <c r="I109" t="str">
        <f>IF(PNL!A109="","",IF(_CALC_PNL!E109=1,H109-G109,""))</f>
        <v/>
      </c>
    </row>
    <row r="110" spans="8:9" x14ac:dyDescent="0.45">
      <c r="H110" t="str">
        <f>IF(PNL!A110="","",_CALC_PNL!P110)</f>
        <v/>
      </c>
      <c r="I110" t="str">
        <f>IF(PNL!A110="","",IF(_CALC_PNL!E110=1,H110-G110,""))</f>
        <v/>
      </c>
    </row>
    <row r="111" spans="8:9" x14ac:dyDescent="0.45">
      <c r="H111" t="str">
        <f>IF(PNL!A111="","",_CALC_PNL!P111)</f>
        <v/>
      </c>
      <c r="I111" t="str">
        <f>IF(PNL!A111="","",IF(_CALC_PNL!E111=1,H111-G111,""))</f>
        <v/>
      </c>
    </row>
    <row r="112" spans="8:9" x14ac:dyDescent="0.45">
      <c r="H112" t="str">
        <f>IF(PNL!A112="","",_CALC_PNL!P112)</f>
        <v/>
      </c>
      <c r="I112" t="str">
        <f>IF(PNL!A112="","",IF(_CALC_PNL!E112=1,H112-G112,""))</f>
        <v/>
      </c>
    </row>
    <row r="113" spans="8:9" x14ac:dyDescent="0.45">
      <c r="H113" t="str">
        <f>IF(PNL!A113="","",_CALC_PNL!P113)</f>
        <v/>
      </c>
      <c r="I113" t="str">
        <f>IF(PNL!A113="","",IF(_CALC_PNL!E113=1,H113-G113,""))</f>
        <v/>
      </c>
    </row>
    <row r="114" spans="8:9" x14ac:dyDescent="0.45">
      <c r="H114" t="str">
        <f>IF(PNL!A114="","",_CALC_PNL!P114)</f>
        <v/>
      </c>
      <c r="I114" t="str">
        <f>IF(PNL!A114="","",IF(_CALC_PNL!E114=1,H114-G114,""))</f>
        <v/>
      </c>
    </row>
    <row r="115" spans="8:9" x14ac:dyDescent="0.45">
      <c r="H115" t="str">
        <f>IF(PNL!A115="","",_CALC_PNL!P115)</f>
        <v/>
      </c>
      <c r="I115" t="str">
        <f>IF(PNL!A115="","",IF(_CALC_PNL!E115=1,H115-G115,""))</f>
        <v/>
      </c>
    </row>
    <row r="116" spans="8:9" x14ac:dyDescent="0.45">
      <c r="H116" t="str">
        <f>IF(PNL!A116="","",_CALC_PNL!P116)</f>
        <v/>
      </c>
      <c r="I116" t="str">
        <f>IF(PNL!A116="","",IF(_CALC_PNL!E116=1,H116-G116,""))</f>
        <v/>
      </c>
    </row>
    <row r="117" spans="8:9" x14ac:dyDescent="0.45">
      <c r="H117" t="str">
        <f>IF(PNL!A117="","",_CALC_PNL!P117)</f>
        <v/>
      </c>
      <c r="I117" t="str">
        <f>IF(PNL!A117="","",IF(_CALC_PNL!E117=1,H117-G117,""))</f>
        <v/>
      </c>
    </row>
    <row r="118" spans="8:9" x14ac:dyDescent="0.45">
      <c r="H118" t="str">
        <f>IF(PNL!A118="","",_CALC_PNL!P118)</f>
        <v/>
      </c>
      <c r="I118" t="str">
        <f>IF(PNL!A118="","",IF(_CALC_PNL!E118=1,H118-G118,""))</f>
        <v/>
      </c>
    </row>
    <row r="119" spans="8:9" x14ac:dyDescent="0.45">
      <c r="H119" t="str">
        <f>IF(PNL!A119="","",_CALC_PNL!P119)</f>
        <v/>
      </c>
      <c r="I119" t="str">
        <f>IF(PNL!A119="","",IF(_CALC_PNL!E119=1,H119-G119,""))</f>
        <v/>
      </c>
    </row>
    <row r="120" spans="8:9" x14ac:dyDescent="0.45">
      <c r="H120" t="str">
        <f>IF(PNL!A120="","",_CALC_PNL!P120)</f>
        <v/>
      </c>
      <c r="I120" t="str">
        <f>IF(PNL!A120="","",IF(_CALC_PNL!E120=1,H120-G120,""))</f>
        <v/>
      </c>
    </row>
    <row r="121" spans="8:9" x14ac:dyDescent="0.45">
      <c r="H121" t="str">
        <f>IF(PNL!A121="","",_CALC_PNL!P121)</f>
        <v/>
      </c>
      <c r="I121" t="str">
        <f>IF(PNL!A121="","",IF(_CALC_PNL!E121=1,H121-G121,""))</f>
        <v/>
      </c>
    </row>
    <row r="122" spans="8:9" x14ac:dyDescent="0.45">
      <c r="H122" t="str">
        <f>IF(PNL!A122="","",_CALC_PNL!P122)</f>
        <v/>
      </c>
      <c r="I122" t="str">
        <f>IF(PNL!A122="","",IF(_CALC_PNL!E122=1,H122-G122,""))</f>
        <v/>
      </c>
    </row>
    <row r="123" spans="8:9" x14ac:dyDescent="0.45">
      <c r="H123" t="str">
        <f>IF(PNL!A123="","",_CALC_PNL!P123)</f>
        <v/>
      </c>
      <c r="I123" t="str">
        <f>IF(PNL!A123="","",IF(_CALC_PNL!E123=1,H123-G123,""))</f>
        <v/>
      </c>
    </row>
    <row r="124" spans="8:9" x14ac:dyDescent="0.45">
      <c r="H124" t="str">
        <f>IF(PNL!A124="","",_CALC_PNL!P124)</f>
        <v/>
      </c>
      <c r="I124" t="str">
        <f>IF(PNL!A124="","",IF(_CALC_PNL!E124=1,H124-G124,""))</f>
        <v/>
      </c>
    </row>
    <row r="125" spans="8:9" x14ac:dyDescent="0.45">
      <c r="H125" t="str">
        <f>IF(PNL!A125="","",_CALC_PNL!P125)</f>
        <v/>
      </c>
      <c r="I125" t="str">
        <f>IF(PNL!A125="","",IF(_CALC_PNL!E125=1,H125-G125,""))</f>
        <v/>
      </c>
    </row>
    <row r="126" spans="8:9" x14ac:dyDescent="0.45">
      <c r="H126" t="str">
        <f>IF(PNL!A126="","",_CALC_PNL!P126)</f>
        <v/>
      </c>
      <c r="I126" t="str">
        <f>IF(PNL!A126="","",IF(_CALC_PNL!E126=1,H126-G126,""))</f>
        <v/>
      </c>
    </row>
    <row r="127" spans="8:9" x14ac:dyDescent="0.45">
      <c r="H127" t="str">
        <f>IF(PNL!A127="","",_CALC_PNL!P127)</f>
        <v/>
      </c>
      <c r="I127" t="str">
        <f>IF(PNL!A127="","",IF(_CALC_PNL!E127=1,H127-G127,""))</f>
        <v/>
      </c>
    </row>
    <row r="128" spans="8:9" x14ac:dyDescent="0.45">
      <c r="H128" t="str">
        <f>IF(PNL!A128="","",_CALC_PNL!P128)</f>
        <v/>
      </c>
      <c r="I128" t="str">
        <f>IF(PNL!A128="","",IF(_CALC_PNL!E128=1,H128-G128,""))</f>
        <v/>
      </c>
    </row>
    <row r="129" spans="8:9" x14ac:dyDescent="0.45">
      <c r="H129" t="str">
        <f>IF(PNL!A129="","",_CALC_PNL!P129)</f>
        <v/>
      </c>
      <c r="I129" t="str">
        <f>IF(PNL!A129="","",IF(_CALC_PNL!E129=1,H129-G129,""))</f>
        <v/>
      </c>
    </row>
    <row r="130" spans="8:9" x14ac:dyDescent="0.45">
      <c r="H130" t="str">
        <f>IF(PNL!A130="","",_CALC_PNL!P130)</f>
        <v/>
      </c>
      <c r="I130" t="str">
        <f>IF(PNL!A130="","",IF(_CALC_PNL!E130=1,H130-G130,""))</f>
        <v/>
      </c>
    </row>
    <row r="131" spans="8:9" x14ac:dyDescent="0.45">
      <c r="H131" t="str">
        <f>IF(PNL!A131="","",_CALC_PNL!P131)</f>
        <v/>
      </c>
      <c r="I131" t="str">
        <f>IF(PNL!A131="","",IF(_CALC_PNL!E131=1,H131-G131,""))</f>
        <v/>
      </c>
    </row>
    <row r="132" spans="8:9" x14ac:dyDescent="0.45">
      <c r="H132" t="str">
        <f>IF(PNL!A132="","",_CALC_PNL!P132)</f>
        <v/>
      </c>
      <c r="I132" t="str">
        <f>IF(PNL!A132="","",IF(_CALC_PNL!E132=1,H132-G132,""))</f>
        <v/>
      </c>
    </row>
    <row r="133" spans="8:9" x14ac:dyDescent="0.45">
      <c r="H133" t="str">
        <f>IF(PNL!A133="","",_CALC_PNL!P133)</f>
        <v/>
      </c>
      <c r="I133" t="str">
        <f>IF(PNL!A133="","",IF(_CALC_PNL!E133=1,H133-G133,""))</f>
        <v/>
      </c>
    </row>
    <row r="134" spans="8:9" x14ac:dyDescent="0.45">
      <c r="H134" t="str">
        <f>IF(PNL!A134="","",_CALC_PNL!P134)</f>
        <v/>
      </c>
      <c r="I134" t="str">
        <f>IF(PNL!A134="","",IF(_CALC_PNL!E134=1,H134-G134,""))</f>
        <v/>
      </c>
    </row>
    <row r="135" spans="8:9" x14ac:dyDescent="0.45">
      <c r="H135" t="str">
        <f>IF(PNL!A135="","",_CALC_PNL!P135)</f>
        <v/>
      </c>
      <c r="I135" t="str">
        <f>IF(PNL!A135="","",IF(_CALC_PNL!E135=1,H135-G135,""))</f>
        <v/>
      </c>
    </row>
    <row r="136" spans="8:9" x14ac:dyDescent="0.45">
      <c r="H136" t="str">
        <f>IF(PNL!A136="","",_CALC_PNL!P136)</f>
        <v/>
      </c>
      <c r="I136" t="str">
        <f>IF(PNL!A136="","",IF(_CALC_PNL!E136=1,H136-G136,""))</f>
        <v/>
      </c>
    </row>
    <row r="137" spans="8:9" x14ac:dyDescent="0.45">
      <c r="H137" t="str">
        <f>IF(PNL!A137="","",_CALC_PNL!P137)</f>
        <v/>
      </c>
      <c r="I137" t="str">
        <f>IF(PNL!A137="","",IF(_CALC_PNL!E137=1,H137-G137,""))</f>
        <v/>
      </c>
    </row>
    <row r="138" spans="8:9" x14ac:dyDescent="0.45">
      <c r="H138" t="str">
        <f>IF(PNL!A138="","",_CALC_PNL!P138)</f>
        <v/>
      </c>
      <c r="I138" t="str">
        <f>IF(PNL!A138="","",IF(_CALC_PNL!E138=1,H138-G138,""))</f>
        <v/>
      </c>
    </row>
    <row r="139" spans="8:9" x14ac:dyDescent="0.45">
      <c r="H139" t="str">
        <f>IF(PNL!A139="","",_CALC_PNL!P139)</f>
        <v/>
      </c>
      <c r="I139" t="str">
        <f>IF(PNL!A139="","",IF(_CALC_PNL!E139=1,H139-G139,""))</f>
        <v/>
      </c>
    </row>
    <row r="140" spans="8:9" x14ac:dyDescent="0.45">
      <c r="H140" t="str">
        <f>IF(PNL!A140="","",_CALC_PNL!P140)</f>
        <v/>
      </c>
      <c r="I140" t="str">
        <f>IF(PNL!A140="","",IF(_CALC_PNL!E140=1,H140-G140,""))</f>
        <v/>
      </c>
    </row>
    <row r="141" spans="8:9" x14ac:dyDescent="0.45">
      <c r="H141" t="str">
        <f>IF(PNL!A141="","",_CALC_PNL!P141)</f>
        <v/>
      </c>
      <c r="I141" t="str">
        <f>IF(PNL!A141="","",IF(_CALC_PNL!E141=1,H141-G141,""))</f>
        <v/>
      </c>
    </row>
    <row r="142" spans="8:9" x14ac:dyDescent="0.45">
      <c r="H142" t="str">
        <f>IF(PNL!A142="","",_CALC_PNL!P142)</f>
        <v/>
      </c>
      <c r="I142" t="str">
        <f>IF(PNL!A142="","",IF(_CALC_PNL!E142=1,H142-G142,""))</f>
        <v/>
      </c>
    </row>
    <row r="143" spans="8:9" x14ac:dyDescent="0.45">
      <c r="H143" t="str">
        <f>IF(PNL!A143="","",_CALC_PNL!P143)</f>
        <v/>
      </c>
      <c r="I143" t="str">
        <f>IF(PNL!A143="","",IF(_CALC_PNL!E143=1,H143-G143,""))</f>
        <v/>
      </c>
    </row>
    <row r="144" spans="8:9" x14ac:dyDescent="0.45">
      <c r="H144" t="str">
        <f>IF(PNL!A144="","",_CALC_PNL!P144)</f>
        <v/>
      </c>
      <c r="I144" t="str">
        <f>IF(PNL!A144="","",IF(_CALC_PNL!E144=1,H144-G144,""))</f>
        <v/>
      </c>
    </row>
    <row r="145" spans="8:9" x14ac:dyDescent="0.45">
      <c r="H145" t="str">
        <f>IF(PNL!A145="","",_CALC_PNL!P145)</f>
        <v/>
      </c>
      <c r="I145" t="str">
        <f>IF(PNL!A145="","",IF(_CALC_PNL!E145=1,H145-G145,""))</f>
        <v/>
      </c>
    </row>
    <row r="146" spans="8:9" x14ac:dyDescent="0.45">
      <c r="H146" t="str">
        <f>IF(PNL!A146="","",_CALC_PNL!P146)</f>
        <v/>
      </c>
      <c r="I146" t="str">
        <f>IF(PNL!A146="","",IF(_CALC_PNL!E146=1,H146-G146,""))</f>
        <v/>
      </c>
    </row>
    <row r="147" spans="8:9" x14ac:dyDescent="0.45">
      <c r="H147" t="str">
        <f>IF(PNL!A147="","",_CALC_PNL!P147)</f>
        <v/>
      </c>
      <c r="I147" t="str">
        <f>IF(PNL!A147="","",IF(_CALC_PNL!E147=1,H147-G147,""))</f>
        <v/>
      </c>
    </row>
    <row r="148" spans="8:9" x14ac:dyDescent="0.45">
      <c r="H148" t="str">
        <f>IF(PNL!A148="","",_CALC_PNL!P148)</f>
        <v/>
      </c>
      <c r="I148" t="str">
        <f>IF(PNL!A148="","",IF(_CALC_PNL!E148=1,H148-G148,""))</f>
        <v/>
      </c>
    </row>
    <row r="149" spans="8:9" x14ac:dyDescent="0.45">
      <c r="H149" t="str">
        <f>IF(PNL!A149="","",_CALC_PNL!P149)</f>
        <v/>
      </c>
      <c r="I149" t="str">
        <f>IF(PNL!A149="","",IF(_CALC_PNL!E149=1,H149-G149,""))</f>
        <v/>
      </c>
    </row>
    <row r="150" spans="8:9" x14ac:dyDescent="0.45">
      <c r="H150" t="str">
        <f>IF(PNL!A150="","",_CALC_PNL!P150)</f>
        <v/>
      </c>
      <c r="I150" t="str">
        <f>IF(PNL!A150="","",IF(_CALC_PNL!E150=1,H150-G150,""))</f>
        <v/>
      </c>
    </row>
    <row r="151" spans="8:9" x14ac:dyDescent="0.45">
      <c r="H151" t="str">
        <f>IF(PNL!A151="","",_CALC_PNL!P151)</f>
        <v/>
      </c>
      <c r="I151" t="str">
        <f>IF(PNL!A151="","",IF(_CALC_PNL!E151=1,H151-G151,""))</f>
        <v/>
      </c>
    </row>
    <row r="152" spans="8:9" x14ac:dyDescent="0.45">
      <c r="H152" t="str">
        <f>IF(PNL!A152="","",_CALC_PNL!P152)</f>
        <v/>
      </c>
      <c r="I152" t="str">
        <f>IF(PNL!A152="","",IF(_CALC_PNL!E152=1,H152-G152,""))</f>
        <v/>
      </c>
    </row>
    <row r="153" spans="8:9" x14ac:dyDescent="0.45">
      <c r="H153" t="str">
        <f>IF(PNL!A153="","",_CALC_PNL!P153)</f>
        <v/>
      </c>
      <c r="I153" t="str">
        <f>IF(PNL!A153="","",IF(_CALC_PNL!E153=1,H153-G153,""))</f>
        <v/>
      </c>
    </row>
    <row r="154" spans="8:9" x14ac:dyDescent="0.45">
      <c r="H154" t="str">
        <f>IF(PNL!A154="","",_CALC_PNL!P154)</f>
        <v/>
      </c>
      <c r="I154" t="str">
        <f>IF(PNL!A154="","",IF(_CALC_PNL!E154=1,H154-G154,""))</f>
        <v/>
      </c>
    </row>
    <row r="155" spans="8:9" x14ac:dyDescent="0.45">
      <c r="H155" t="str">
        <f>IF(PNL!A155="","",_CALC_PNL!P155)</f>
        <v/>
      </c>
      <c r="I155" t="str">
        <f>IF(PNL!A155="","",IF(_CALC_PNL!E155=1,H155-G155,""))</f>
        <v/>
      </c>
    </row>
    <row r="156" spans="8:9" x14ac:dyDescent="0.45">
      <c r="H156" t="str">
        <f>IF(PNL!A156="","",_CALC_PNL!P156)</f>
        <v/>
      </c>
      <c r="I156" t="str">
        <f>IF(PNL!A156="","",IF(_CALC_PNL!E156=1,H156-G156,""))</f>
        <v/>
      </c>
    </row>
    <row r="157" spans="8:9" x14ac:dyDescent="0.45">
      <c r="H157" t="str">
        <f>IF(PNL!A157="","",_CALC_PNL!P157)</f>
        <v/>
      </c>
      <c r="I157" t="str">
        <f>IF(PNL!A157="","",IF(_CALC_PNL!E157=1,H157-G157,""))</f>
        <v/>
      </c>
    </row>
    <row r="158" spans="8:9" x14ac:dyDescent="0.45">
      <c r="H158" t="str">
        <f>IF(PNL!A158="","",_CALC_PNL!P158)</f>
        <v/>
      </c>
      <c r="I158" t="str">
        <f>IF(PNL!A158="","",IF(_CALC_PNL!E158=1,H158-G158,""))</f>
        <v/>
      </c>
    </row>
    <row r="159" spans="8:9" x14ac:dyDescent="0.45">
      <c r="H159" t="str">
        <f>IF(PNL!A159="","",_CALC_PNL!P159)</f>
        <v/>
      </c>
      <c r="I159" t="str">
        <f>IF(PNL!A159="","",IF(_CALC_PNL!E159=1,H159-G159,""))</f>
        <v/>
      </c>
    </row>
    <row r="160" spans="8:9" x14ac:dyDescent="0.45">
      <c r="H160" t="str">
        <f>IF(PNL!A160="","",_CALC_PNL!P160)</f>
        <v/>
      </c>
      <c r="I160" t="str">
        <f>IF(PNL!A160="","",IF(_CALC_PNL!E160=1,H160-G160,""))</f>
        <v/>
      </c>
    </row>
    <row r="161" spans="8:9" x14ac:dyDescent="0.45">
      <c r="H161" t="str">
        <f>IF(PNL!A161="","",_CALC_PNL!P161)</f>
        <v/>
      </c>
      <c r="I161" t="str">
        <f>IF(PNL!A161="","",IF(_CALC_PNL!E161=1,H161-G161,""))</f>
        <v/>
      </c>
    </row>
    <row r="162" spans="8:9" x14ac:dyDescent="0.45">
      <c r="H162" t="str">
        <f>IF(PNL!A162="","",_CALC_PNL!P162)</f>
        <v/>
      </c>
      <c r="I162" t="str">
        <f>IF(PNL!A162="","",IF(_CALC_PNL!E162=1,H162-G162,""))</f>
        <v/>
      </c>
    </row>
    <row r="163" spans="8:9" x14ac:dyDescent="0.45">
      <c r="H163" t="str">
        <f>IF(PNL!A163="","",_CALC_PNL!P163)</f>
        <v/>
      </c>
      <c r="I163" t="str">
        <f>IF(PNL!A163="","",IF(_CALC_PNL!E163=1,H163-G163,""))</f>
        <v/>
      </c>
    </row>
    <row r="164" spans="8:9" x14ac:dyDescent="0.45">
      <c r="H164" t="str">
        <f>IF(PNL!A164="","",_CALC_PNL!P164)</f>
        <v/>
      </c>
      <c r="I164" t="str">
        <f>IF(PNL!A164="","",IF(_CALC_PNL!E164=1,H164-G164,""))</f>
        <v/>
      </c>
    </row>
    <row r="165" spans="8:9" x14ac:dyDescent="0.45">
      <c r="H165" t="str">
        <f>IF(PNL!A165="","",_CALC_PNL!P165)</f>
        <v/>
      </c>
      <c r="I165" t="str">
        <f>IF(PNL!A165="","",IF(_CALC_PNL!E165=1,H165-G165,""))</f>
        <v/>
      </c>
    </row>
    <row r="166" spans="8:9" x14ac:dyDescent="0.45">
      <c r="H166" t="str">
        <f>IF(PNL!A166="","",_CALC_PNL!P166)</f>
        <v/>
      </c>
      <c r="I166" t="str">
        <f>IF(PNL!A166="","",IF(_CALC_PNL!E166=1,H166-G166,""))</f>
        <v/>
      </c>
    </row>
    <row r="167" spans="8:9" x14ac:dyDescent="0.45">
      <c r="H167" t="str">
        <f>IF(PNL!A167="","",_CALC_PNL!P167)</f>
        <v/>
      </c>
      <c r="I167" t="str">
        <f>IF(PNL!A167="","",IF(_CALC_PNL!E167=1,H167-G167,""))</f>
        <v/>
      </c>
    </row>
    <row r="168" spans="8:9" x14ac:dyDescent="0.45">
      <c r="H168" t="str">
        <f>IF(PNL!A168="","",_CALC_PNL!P168)</f>
        <v/>
      </c>
      <c r="I168" t="str">
        <f>IF(PNL!A168="","",IF(_CALC_PNL!E168=1,H168-G168,""))</f>
        <v/>
      </c>
    </row>
    <row r="169" spans="8:9" x14ac:dyDescent="0.45">
      <c r="H169" t="str">
        <f>IF(PNL!A169="","",_CALC_PNL!P169)</f>
        <v/>
      </c>
      <c r="I169" t="str">
        <f>IF(PNL!A169="","",IF(_CALC_PNL!E169=1,H169-G169,""))</f>
        <v/>
      </c>
    </row>
    <row r="170" spans="8:9" x14ac:dyDescent="0.45">
      <c r="H170" t="str">
        <f>IF(PNL!A170="","",_CALC_PNL!P170)</f>
        <v/>
      </c>
      <c r="I170" t="str">
        <f>IF(PNL!A170="","",IF(_CALC_PNL!E170=1,H170-G170,""))</f>
        <v/>
      </c>
    </row>
    <row r="171" spans="8:9" x14ac:dyDescent="0.45">
      <c r="H171" t="str">
        <f>IF(PNL!A171="","",_CALC_PNL!P171)</f>
        <v/>
      </c>
      <c r="I171" t="str">
        <f>IF(PNL!A171="","",IF(_CALC_PNL!E171=1,H171-G171,""))</f>
        <v/>
      </c>
    </row>
    <row r="172" spans="8:9" x14ac:dyDescent="0.45">
      <c r="H172" t="str">
        <f>IF(PNL!A172="","",_CALC_PNL!P172)</f>
        <v/>
      </c>
      <c r="I172" t="str">
        <f>IF(PNL!A172="","",IF(_CALC_PNL!E172=1,H172-G172,""))</f>
        <v/>
      </c>
    </row>
    <row r="173" spans="8:9" x14ac:dyDescent="0.45">
      <c r="H173" t="str">
        <f>IF(PNL!A173="","",_CALC_PNL!P173)</f>
        <v/>
      </c>
      <c r="I173" t="str">
        <f>IF(PNL!A173="","",IF(_CALC_PNL!E173=1,H173-G173,""))</f>
        <v/>
      </c>
    </row>
    <row r="174" spans="8:9" x14ac:dyDescent="0.45">
      <c r="H174" t="str">
        <f>IF(PNL!A174="","",_CALC_PNL!P174)</f>
        <v/>
      </c>
      <c r="I174" t="str">
        <f>IF(PNL!A174="","",IF(_CALC_PNL!E174=1,H174-G174,""))</f>
        <v/>
      </c>
    </row>
    <row r="175" spans="8:9" x14ac:dyDescent="0.45">
      <c r="H175" t="str">
        <f>IF(PNL!A175="","",_CALC_PNL!P175)</f>
        <v/>
      </c>
      <c r="I175" t="str">
        <f>IF(PNL!A175="","",IF(_CALC_PNL!E175=1,H175-G175,""))</f>
        <v/>
      </c>
    </row>
    <row r="176" spans="8:9" x14ac:dyDescent="0.45">
      <c r="H176" t="str">
        <f>IF(PNL!A176="","",_CALC_PNL!P176)</f>
        <v/>
      </c>
      <c r="I176" t="str">
        <f>IF(PNL!A176="","",IF(_CALC_PNL!E176=1,H176-G176,""))</f>
        <v/>
      </c>
    </row>
    <row r="177" spans="8:9" x14ac:dyDescent="0.45">
      <c r="H177" t="str">
        <f>IF(PNL!A177="","",_CALC_PNL!P177)</f>
        <v/>
      </c>
      <c r="I177" t="str">
        <f>IF(PNL!A177="","",IF(_CALC_PNL!E177=1,H177-G177,""))</f>
        <v/>
      </c>
    </row>
    <row r="178" spans="8:9" x14ac:dyDescent="0.45">
      <c r="H178" t="str">
        <f>IF(PNL!A178="","",_CALC_PNL!P178)</f>
        <v/>
      </c>
      <c r="I178" t="str">
        <f>IF(PNL!A178="","",IF(_CALC_PNL!E178=1,H178-G178,""))</f>
        <v/>
      </c>
    </row>
    <row r="179" spans="8:9" x14ac:dyDescent="0.45">
      <c r="H179" t="str">
        <f>IF(PNL!A179="","",_CALC_PNL!P179)</f>
        <v/>
      </c>
      <c r="I179" t="str">
        <f>IF(PNL!A179="","",IF(_CALC_PNL!E179=1,H179-G179,""))</f>
        <v/>
      </c>
    </row>
    <row r="180" spans="8:9" x14ac:dyDescent="0.45">
      <c r="H180" t="str">
        <f>IF(PNL!A180="","",_CALC_PNL!P180)</f>
        <v/>
      </c>
      <c r="I180" t="str">
        <f>IF(PNL!A180="","",IF(_CALC_PNL!E180=1,H180-G180,""))</f>
        <v/>
      </c>
    </row>
    <row r="181" spans="8:9" x14ac:dyDescent="0.45">
      <c r="H181" t="str">
        <f>IF(PNL!A181="","",_CALC_PNL!P181)</f>
        <v/>
      </c>
      <c r="I181" t="str">
        <f>IF(PNL!A181="","",IF(_CALC_PNL!E181=1,H181-G181,""))</f>
        <v/>
      </c>
    </row>
    <row r="182" spans="8:9" x14ac:dyDescent="0.45">
      <c r="H182" t="str">
        <f>IF(PNL!A182="","",_CALC_PNL!P182)</f>
        <v/>
      </c>
      <c r="I182" t="str">
        <f>IF(PNL!A182="","",IF(_CALC_PNL!E182=1,H182-G182,""))</f>
        <v/>
      </c>
    </row>
    <row r="183" spans="8:9" x14ac:dyDescent="0.45">
      <c r="H183" t="str">
        <f>IF(PNL!A183="","",_CALC_PNL!P183)</f>
        <v/>
      </c>
      <c r="I183" t="str">
        <f>IF(PNL!A183="","",IF(_CALC_PNL!E183=1,H183-G183,""))</f>
        <v/>
      </c>
    </row>
    <row r="184" spans="8:9" x14ac:dyDescent="0.45">
      <c r="H184" t="str">
        <f>IF(PNL!A184="","",_CALC_PNL!P184)</f>
        <v/>
      </c>
      <c r="I184" t="str">
        <f>IF(PNL!A184="","",IF(_CALC_PNL!E184=1,H184-G184,""))</f>
        <v/>
      </c>
    </row>
    <row r="185" spans="8:9" x14ac:dyDescent="0.45">
      <c r="H185" t="str">
        <f>IF(PNL!A185="","",_CALC_PNL!P185)</f>
        <v/>
      </c>
      <c r="I185" t="str">
        <f>IF(PNL!A185="","",IF(_CALC_PNL!E185=1,H185-G185,""))</f>
        <v/>
      </c>
    </row>
    <row r="186" spans="8:9" x14ac:dyDescent="0.45">
      <c r="H186" t="str">
        <f>IF(PNL!A186="","",_CALC_PNL!P186)</f>
        <v/>
      </c>
      <c r="I186" t="str">
        <f>IF(PNL!A186="","",IF(_CALC_PNL!E186=1,H186-G186,""))</f>
        <v/>
      </c>
    </row>
    <row r="187" spans="8:9" x14ac:dyDescent="0.45">
      <c r="H187" t="str">
        <f>IF(PNL!A187="","",_CALC_PNL!P187)</f>
        <v/>
      </c>
      <c r="I187" t="str">
        <f>IF(PNL!A187="","",IF(_CALC_PNL!E187=1,H187-G187,""))</f>
        <v/>
      </c>
    </row>
    <row r="188" spans="8:9" x14ac:dyDescent="0.45">
      <c r="H188" t="str">
        <f>IF(PNL!A188="","",_CALC_PNL!P188)</f>
        <v/>
      </c>
      <c r="I188" t="str">
        <f>IF(PNL!A188="","",IF(_CALC_PNL!E188=1,H188-G188,""))</f>
        <v/>
      </c>
    </row>
    <row r="189" spans="8:9" x14ac:dyDescent="0.45">
      <c r="H189" t="str">
        <f>IF(PNL!A189="","",_CALC_PNL!P189)</f>
        <v/>
      </c>
      <c r="I189" t="str">
        <f>IF(PNL!A189="","",IF(_CALC_PNL!E189=1,H189-G189,""))</f>
        <v/>
      </c>
    </row>
    <row r="190" spans="8:9" x14ac:dyDescent="0.45">
      <c r="H190" t="str">
        <f>IF(PNL!A190="","",_CALC_PNL!P190)</f>
        <v/>
      </c>
      <c r="I190" t="str">
        <f>IF(PNL!A190="","",IF(_CALC_PNL!E190=1,H190-G190,""))</f>
        <v/>
      </c>
    </row>
    <row r="191" spans="8:9" x14ac:dyDescent="0.45">
      <c r="H191" t="str">
        <f>IF(PNL!A191="","",_CALC_PNL!P191)</f>
        <v/>
      </c>
      <c r="I191" t="str">
        <f>IF(PNL!A191="","",IF(_CALC_PNL!E191=1,H191-G191,""))</f>
        <v/>
      </c>
    </row>
    <row r="192" spans="8:9" x14ac:dyDescent="0.45">
      <c r="H192" t="str">
        <f>IF(PNL!A192="","",_CALC_PNL!P192)</f>
        <v/>
      </c>
      <c r="I192" t="str">
        <f>IF(PNL!A192="","",IF(_CALC_PNL!E192=1,H192-G192,""))</f>
        <v/>
      </c>
    </row>
    <row r="193" spans="8:9" x14ac:dyDescent="0.45">
      <c r="H193" t="str">
        <f>IF(PNL!A193="","",_CALC_PNL!P193)</f>
        <v/>
      </c>
      <c r="I193" t="str">
        <f>IF(PNL!A193="","",IF(_CALC_PNL!E193=1,H193-G193,""))</f>
        <v/>
      </c>
    </row>
    <row r="194" spans="8:9" x14ac:dyDescent="0.45">
      <c r="H194" t="str">
        <f>IF(PNL!A194="","",_CALC_PNL!P194)</f>
        <v/>
      </c>
      <c r="I194" t="str">
        <f>IF(PNL!A194="","",IF(_CALC_PNL!E194=1,H194-G194,""))</f>
        <v/>
      </c>
    </row>
    <row r="195" spans="8:9" x14ac:dyDescent="0.45">
      <c r="H195" t="str">
        <f>IF(PNL!A195="","",_CALC_PNL!P195)</f>
        <v/>
      </c>
      <c r="I195" t="str">
        <f>IF(PNL!A195="","",IF(_CALC_PNL!E195=1,H195-G195,""))</f>
        <v/>
      </c>
    </row>
    <row r="196" spans="8:9" x14ac:dyDescent="0.45">
      <c r="H196" t="str">
        <f>IF(PNL!A196="","",_CALC_PNL!P196)</f>
        <v/>
      </c>
      <c r="I196" t="str">
        <f>IF(PNL!A196="","",IF(_CALC_PNL!E196=1,H196-G196,""))</f>
        <v/>
      </c>
    </row>
    <row r="197" spans="8:9" x14ac:dyDescent="0.45">
      <c r="H197" t="str">
        <f>IF(PNL!A197="","",_CALC_PNL!P197)</f>
        <v/>
      </c>
      <c r="I197" t="str">
        <f>IF(PNL!A197="","",IF(_CALC_PNL!E197=1,H197-G197,""))</f>
        <v/>
      </c>
    </row>
    <row r="198" spans="8:9" x14ac:dyDescent="0.45">
      <c r="H198" t="str">
        <f>IF(PNL!A198="","",_CALC_PNL!P198)</f>
        <v/>
      </c>
      <c r="I198" t="str">
        <f>IF(PNL!A198="","",IF(_CALC_PNL!E198=1,H198-G198,""))</f>
        <v/>
      </c>
    </row>
    <row r="199" spans="8:9" x14ac:dyDescent="0.45">
      <c r="H199" t="str">
        <f>IF(PNL!A199="","",_CALC_PNL!P199)</f>
        <v/>
      </c>
      <c r="I199" t="str">
        <f>IF(PNL!A199="","",IF(_CALC_PNL!E199=1,H199-G199,""))</f>
        <v/>
      </c>
    </row>
    <row r="200" spans="8:9" x14ac:dyDescent="0.45">
      <c r="H200" t="str">
        <f>IF(PNL!A200="","",_CALC_PNL!P200)</f>
        <v/>
      </c>
      <c r="I200" t="str">
        <f>IF(PNL!A200="","",IF(_CALC_PNL!E200=1,H200-G200,""))</f>
        <v/>
      </c>
    </row>
    <row r="201" spans="8:9" x14ac:dyDescent="0.45">
      <c r="H201" t="str">
        <f>IF(PNL!A201="","",_CALC_PNL!P201)</f>
        <v/>
      </c>
      <c r="I201" t="str">
        <f>IF(PNL!A201="","",IF(_CALC_PNL!E201=1,H201-G201,""))</f>
        <v/>
      </c>
    </row>
    <row r="202" spans="8:9" x14ac:dyDescent="0.45">
      <c r="H202" t="str">
        <f>IF(PNL!A202="","",_CALC_PNL!P202)</f>
        <v/>
      </c>
      <c r="I202" t="str">
        <f>IF(PNL!A202="","",IF(_CALC_PNL!E202=1,H202-G202,""))</f>
        <v/>
      </c>
    </row>
    <row r="203" spans="8:9" x14ac:dyDescent="0.45">
      <c r="H203" t="str">
        <f>IF(PNL!A203="","",_CALC_PNL!P203)</f>
        <v/>
      </c>
      <c r="I203" t="str">
        <f>IF(PNL!A203="","",IF(_CALC_PNL!E203=1,H203-G203,""))</f>
        <v/>
      </c>
    </row>
    <row r="204" spans="8:9" x14ac:dyDescent="0.45">
      <c r="H204" t="str">
        <f>IF(PNL!A204="","",_CALC_PNL!P204)</f>
        <v/>
      </c>
      <c r="I204" t="str">
        <f>IF(PNL!A204="","",IF(_CALC_PNL!E204=1,H204-G204,""))</f>
        <v/>
      </c>
    </row>
    <row r="205" spans="8:9" x14ac:dyDescent="0.45">
      <c r="H205" t="str">
        <f>IF(PNL!A205="","",_CALC_PNL!P205)</f>
        <v/>
      </c>
      <c r="I205" t="str">
        <f>IF(PNL!A205="","",IF(_CALC_PNL!E205=1,H205-G205,""))</f>
        <v/>
      </c>
    </row>
    <row r="206" spans="8:9" x14ac:dyDescent="0.45">
      <c r="H206" t="str">
        <f>IF(PNL!A206="","",_CALC_PNL!P206)</f>
        <v/>
      </c>
      <c r="I206" t="str">
        <f>IF(PNL!A206="","",IF(_CALC_PNL!E206=1,H206-G206,""))</f>
        <v/>
      </c>
    </row>
    <row r="207" spans="8:9" x14ac:dyDescent="0.45">
      <c r="H207" t="str">
        <f>IF(PNL!A207="","",_CALC_PNL!P207)</f>
        <v/>
      </c>
      <c r="I207" t="str">
        <f>IF(PNL!A207="","",IF(_CALC_PNL!E207=1,H207-G207,""))</f>
        <v/>
      </c>
    </row>
    <row r="208" spans="8:9" x14ac:dyDescent="0.45">
      <c r="H208" t="str">
        <f>IF(PNL!A208="","",_CALC_PNL!P208)</f>
        <v/>
      </c>
      <c r="I208" t="str">
        <f>IF(PNL!A208="","",IF(_CALC_PNL!E208=1,H208-G208,""))</f>
        <v/>
      </c>
    </row>
    <row r="209" spans="8:9" x14ac:dyDescent="0.45">
      <c r="H209" t="str">
        <f>IF(PNL!A209="","",_CALC_PNL!P209)</f>
        <v/>
      </c>
      <c r="I209" t="str">
        <f>IF(PNL!A209="","",IF(_CALC_PNL!E209=1,H209-G209,""))</f>
        <v/>
      </c>
    </row>
    <row r="210" spans="8:9" x14ac:dyDescent="0.45">
      <c r="H210" t="str">
        <f>IF(PNL!A210="","",_CALC_PNL!P210)</f>
        <v/>
      </c>
      <c r="I210" t="str">
        <f>IF(PNL!A210="","",IF(_CALC_PNL!E210=1,H210-G210,""))</f>
        <v/>
      </c>
    </row>
    <row r="211" spans="8:9" x14ac:dyDescent="0.45">
      <c r="H211" t="str">
        <f>IF(PNL!A211="","",_CALC_PNL!P211)</f>
        <v/>
      </c>
      <c r="I211" t="str">
        <f>IF(PNL!A211="","",IF(_CALC_PNL!E211=1,H211-G211,""))</f>
        <v/>
      </c>
    </row>
    <row r="212" spans="8:9" x14ac:dyDescent="0.45">
      <c r="H212" t="str">
        <f>IF(PNL!A212="","",_CALC_PNL!P212)</f>
        <v/>
      </c>
      <c r="I212" t="str">
        <f>IF(PNL!A212="","",IF(_CALC_PNL!E212=1,H212-G212,""))</f>
        <v/>
      </c>
    </row>
    <row r="213" spans="8:9" x14ac:dyDescent="0.45">
      <c r="H213" t="str">
        <f>IF(PNL!A213="","",_CALC_PNL!P213)</f>
        <v/>
      </c>
      <c r="I213" t="str">
        <f>IF(PNL!A213="","",IF(_CALC_PNL!E213=1,H213-G213,""))</f>
        <v/>
      </c>
    </row>
    <row r="214" spans="8:9" x14ac:dyDescent="0.45">
      <c r="H214" t="str">
        <f>IF(PNL!A214="","",_CALC_PNL!P214)</f>
        <v/>
      </c>
      <c r="I214" t="str">
        <f>IF(PNL!A214="","",IF(_CALC_PNL!E214=1,H214-G214,""))</f>
        <v/>
      </c>
    </row>
    <row r="215" spans="8:9" x14ac:dyDescent="0.45">
      <c r="H215" t="str">
        <f>IF(PNL!A215="","",_CALC_PNL!P215)</f>
        <v/>
      </c>
      <c r="I215" t="str">
        <f>IF(PNL!A215="","",IF(_CALC_PNL!E215=1,H215-G215,""))</f>
        <v/>
      </c>
    </row>
    <row r="216" spans="8:9" x14ac:dyDescent="0.45">
      <c r="H216" t="str">
        <f>IF(PNL!A216="","",_CALC_PNL!P216)</f>
        <v/>
      </c>
      <c r="I216" t="str">
        <f>IF(PNL!A216="","",IF(_CALC_PNL!E216=1,H216-G216,""))</f>
        <v/>
      </c>
    </row>
    <row r="217" spans="8:9" x14ac:dyDescent="0.45">
      <c r="H217" t="str">
        <f>IF(PNL!A217="","",_CALC_PNL!P217)</f>
        <v/>
      </c>
      <c r="I217" t="str">
        <f>IF(PNL!A217="","",IF(_CALC_PNL!E217=1,H217-G217,""))</f>
        <v/>
      </c>
    </row>
    <row r="218" spans="8:9" x14ac:dyDescent="0.45">
      <c r="H218" t="str">
        <f>IF(PNL!A218="","",_CALC_PNL!P218)</f>
        <v/>
      </c>
      <c r="I218" t="str">
        <f>IF(PNL!A218="","",IF(_CALC_PNL!E218=1,H218-G218,""))</f>
        <v/>
      </c>
    </row>
    <row r="219" spans="8:9" x14ac:dyDescent="0.45">
      <c r="H219" t="str">
        <f>IF(PNL!A219="","",_CALC_PNL!P219)</f>
        <v/>
      </c>
      <c r="I219" t="str">
        <f>IF(PNL!A219="","",IF(_CALC_PNL!E219=1,H219-G219,""))</f>
        <v/>
      </c>
    </row>
    <row r="220" spans="8:9" x14ac:dyDescent="0.45">
      <c r="H220" t="str">
        <f>IF(PNL!A220="","",_CALC_PNL!P220)</f>
        <v/>
      </c>
      <c r="I220" t="str">
        <f>IF(PNL!A220="","",IF(_CALC_PNL!E220=1,H220-G220,""))</f>
        <v/>
      </c>
    </row>
    <row r="221" spans="8:9" x14ac:dyDescent="0.45">
      <c r="H221" t="str">
        <f>IF(PNL!A221="","",_CALC_PNL!P221)</f>
        <v/>
      </c>
      <c r="I221" t="str">
        <f>IF(PNL!A221="","",IF(_CALC_PNL!E221=1,H221-G221,""))</f>
        <v/>
      </c>
    </row>
    <row r="222" spans="8:9" x14ac:dyDescent="0.45">
      <c r="H222" t="str">
        <f>IF(PNL!A222="","",_CALC_PNL!P222)</f>
        <v/>
      </c>
      <c r="I222" t="str">
        <f>IF(PNL!A222="","",IF(_CALC_PNL!E222=1,H222-G222,""))</f>
        <v/>
      </c>
    </row>
    <row r="223" spans="8:9" x14ac:dyDescent="0.45">
      <c r="H223" t="str">
        <f>IF(PNL!A223="","",_CALC_PNL!P223)</f>
        <v/>
      </c>
      <c r="I223" t="str">
        <f>IF(PNL!A223="","",IF(_CALC_PNL!E223=1,H223-G223,""))</f>
        <v/>
      </c>
    </row>
    <row r="224" spans="8:9" x14ac:dyDescent="0.45">
      <c r="H224" t="str">
        <f>IF(PNL!A224="","",_CALC_PNL!P224)</f>
        <v/>
      </c>
      <c r="I224" t="str">
        <f>IF(PNL!A224="","",IF(_CALC_PNL!E224=1,H224-G224,""))</f>
        <v/>
      </c>
    </row>
    <row r="225" spans="8:9" x14ac:dyDescent="0.45">
      <c r="H225" t="str">
        <f>IF(PNL!A225="","",_CALC_PNL!P225)</f>
        <v/>
      </c>
      <c r="I225" t="str">
        <f>IF(PNL!A225="","",IF(_CALC_PNL!E225=1,H225-G225,""))</f>
        <v/>
      </c>
    </row>
    <row r="226" spans="8:9" x14ac:dyDescent="0.45">
      <c r="H226" t="str">
        <f>IF(PNL!A226="","",_CALC_PNL!P226)</f>
        <v/>
      </c>
      <c r="I226" t="str">
        <f>IF(PNL!A226="","",IF(_CALC_PNL!E226=1,H226-G226,""))</f>
        <v/>
      </c>
    </row>
    <row r="227" spans="8:9" x14ac:dyDescent="0.45">
      <c r="H227" t="str">
        <f>IF(PNL!A227="","",_CALC_PNL!P227)</f>
        <v/>
      </c>
      <c r="I227" t="str">
        <f>IF(PNL!A227="","",IF(_CALC_PNL!E227=1,H227-G227,""))</f>
        <v/>
      </c>
    </row>
    <row r="228" spans="8:9" x14ac:dyDescent="0.45">
      <c r="H228" t="str">
        <f>IF(PNL!A228="","",_CALC_PNL!P228)</f>
        <v/>
      </c>
      <c r="I228" t="str">
        <f>IF(PNL!A228="","",IF(_CALC_PNL!E228=1,H228-G228,""))</f>
        <v/>
      </c>
    </row>
    <row r="229" spans="8:9" x14ac:dyDescent="0.45">
      <c r="H229" t="str">
        <f>IF(PNL!A229="","",_CALC_PNL!P229)</f>
        <v/>
      </c>
      <c r="I229" t="str">
        <f>IF(PNL!A229="","",IF(_CALC_PNL!E229=1,H229-G229,""))</f>
        <v/>
      </c>
    </row>
    <row r="230" spans="8:9" x14ac:dyDescent="0.45">
      <c r="H230" t="str">
        <f>IF(PNL!A230="","",_CALC_PNL!P230)</f>
        <v/>
      </c>
      <c r="I230" t="str">
        <f>IF(PNL!A230="","",IF(_CALC_PNL!E230=1,H230-G230,""))</f>
        <v/>
      </c>
    </row>
    <row r="231" spans="8:9" x14ac:dyDescent="0.45">
      <c r="H231" t="str">
        <f>IF(PNL!A231="","",_CALC_PNL!P231)</f>
        <v/>
      </c>
      <c r="I231" t="str">
        <f>IF(PNL!A231="","",IF(_CALC_PNL!E231=1,H231-G231,""))</f>
        <v/>
      </c>
    </row>
    <row r="232" spans="8:9" x14ac:dyDescent="0.45">
      <c r="H232" t="str">
        <f>IF(PNL!A232="","",_CALC_PNL!P232)</f>
        <v/>
      </c>
      <c r="I232" t="str">
        <f>IF(PNL!A232="","",IF(_CALC_PNL!E232=1,H232-G232,""))</f>
        <v/>
      </c>
    </row>
    <row r="233" spans="8:9" x14ac:dyDescent="0.45">
      <c r="H233" t="str">
        <f>IF(PNL!A233="","",_CALC_PNL!P233)</f>
        <v/>
      </c>
      <c r="I233" t="str">
        <f>IF(PNL!A233="","",IF(_CALC_PNL!E233=1,H233-G233,""))</f>
        <v/>
      </c>
    </row>
    <row r="234" spans="8:9" x14ac:dyDescent="0.45">
      <c r="H234" t="str">
        <f>IF(PNL!A234="","",_CALC_PNL!P234)</f>
        <v/>
      </c>
      <c r="I234" t="str">
        <f>IF(PNL!A234="","",IF(_CALC_PNL!E234=1,H234-G234,""))</f>
        <v/>
      </c>
    </row>
    <row r="235" spans="8:9" x14ac:dyDescent="0.45">
      <c r="H235" t="str">
        <f>IF(PNL!A235="","",_CALC_PNL!P235)</f>
        <v/>
      </c>
      <c r="I235" t="str">
        <f>IF(PNL!A235="","",IF(_CALC_PNL!E235=1,H235-G235,""))</f>
        <v/>
      </c>
    </row>
    <row r="236" spans="8:9" x14ac:dyDescent="0.45">
      <c r="H236" t="str">
        <f>IF(PNL!A236="","",_CALC_PNL!P236)</f>
        <v/>
      </c>
      <c r="I236" t="str">
        <f>IF(PNL!A236="","",IF(_CALC_PNL!E236=1,H236-G236,""))</f>
        <v/>
      </c>
    </row>
    <row r="237" spans="8:9" x14ac:dyDescent="0.45">
      <c r="H237" t="str">
        <f>IF(PNL!A237="","",_CALC_PNL!P237)</f>
        <v/>
      </c>
      <c r="I237" t="str">
        <f>IF(PNL!A237="","",IF(_CALC_PNL!E237=1,H237-G237,""))</f>
        <v/>
      </c>
    </row>
    <row r="238" spans="8:9" x14ac:dyDescent="0.45">
      <c r="H238" t="str">
        <f>IF(PNL!A238="","",_CALC_PNL!P238)</f>
        <v/>
      </c>
      <c r="I238" t="str">
        <f>IF(PNL!A238="","",IF(_CALC_PNL!E238=1,H238-G238,""))</f>
        <v/>
      </c>
    </row>
    <row r="239" spans="8:9" x14ac:dyDescent="0.45">
      <c r="H239" t="str">
        <f>IF(PNL!A239="","",_CALC_PNL!P239)</f>
        <v/>
      </c>
      <c r="I239" t="str">
        <f>IF(PNL!A239="","",IF(_CALC_PNL!E239=1,H239-G239,""))</f>
        <v/>
      </c>
    </row>
    <row r="240" spans="8:9" x14ac:dyDescent="0.45">
      <c r="H240" t="str">
        <f>IF(PNL!A240="","",_CALC_PNL!P240)</f>
        <v/>
      </c>
      <c r="I240" t="str">
        <f>IF(PNL!A240="","",IF(_CALC_PNL!E240=1,H240-G240,""))</f>
        <v/>
      </c>
    </row>
    <row r="241" spans="8:9" x14ac:dyDescent="0.45">
      <c r="H241" t="str">
        <f>IF(PNL!A241="","",_CALC_PNL!P241)</f>
        <v/>
      </c>
      <c r="I241" t="str">
        <f>IF(PNL!A241="","",IF(_CALC_PNL!E241=1,H241-G241,""))</f>
        <v/>
      </c>
    </row>
    <row r="242" spans="8:9" x14ac:dyDescent="0.45">
      <c r="H242" t="str">
        <f>IF(PNL!A242="","",_CALC_PNL!P242)</f>
        <v/>
      </c>
      <c r="I242" t="str">
        <f>IF(PNL!A242="","",IF(_CALC_PNL!E242=1,H242-G242,""))</f>
        <v/>
      </c>
    </row>
    <row r="243" spans="8:9" x14ac:dyDescent="0.45">
      <c r="H243" t="str">
        <f>IF(PNL!A243="","",_CALC_PNL!P243)</f>
        <v/>
      </c>
      <c r="I243" t="str">
        <f>IF(PNL!A243="","",IF(_CALC_PNL!E243=1,H243-G243,""))</f>
        <v/>
      </c>
    </row>
    <row r="244" spans="8:9" x14ac:dyDescent="0.45">
      <c r="H244" t="str">
        <f>IF(PNL!A244="","",_CALC_PNL!P244)</f>
        <v/>
      </c>
      <c r="I244" t="str">
        <f>IF(PNL!A244="","",IF(_CALC_PNL!E244=1,H244-G244,""))</f>
        <v/>
      </c>
    </row>
    <row r="245" spans="8:9" x14ac:dyDescent="0.45">
      <c r="H245" t="str">
        <f>IF(PNL!A245="","",_CALC_PNL!P245)</f>
        <v/>
      </c>
      <c r="I245" t="str">
        <f>IF(PNL!A245="","",IF(_CALC_PNL!E245=1,H245-G245,""))</f>
        <v/>
      </c>
    </row>
    <row r="246" spans="8:9" x14ac:dyDescent="0.45">
      <c r="H246" t="str">
        <f>IF(PNL!A246="","",_CALC_PNL!P246)</f>
        <v/>
      </c>
      <c r="I246" t="str">
        <f>IF(PNL!A246="","",IF(_CALC_PNL!E246=1,H246-G246,""))</f>
        <v/>
      </c>
    </row>
    <row r="247" spans="8:9" x14ac:dyDescent="0.45">
      <c r="H247" t="str">
        <f>IF(PNL!A247="","",_CALC_PNL!P247)</f>
        <v/>
      </c>
      <c r="I247" t="str">
        <f>IF(PNL!A247="","",IF(_CALC_PNL!E247=1,H247-G247,""))</f>
        <v/>
      </c>
    </row>
    <row r="248" spans="8:9" x14ac:dyDescent="0.45">
      <c r="H248" t="str">
        <f>IF(PNL!A248="","",_CALC_PNL!P248)</f>
        <v/>
      </c>
      <c r="I248" t="str">
        <f>IF(PNL!A248="","",IF(_CALC_PNL!E248=1,H248-G248,""))</f>
        <v/>
      </c>
    </row>
    <row r="249" spans="8:9" x14ac:dyDescent="0.45">
      <c r="H249" t="str">
        <f>IF(PNL!A249="","",_CALC_PNL!P249)</f>
        <v/>
      </c>
      <c r="I249" t="str">
        <f>IF(PNL!A249="","",IF(_CALC_PNL!E249=1,H249-G249,""))</f>
        <v/>
      </c>
    </row>
    <row r="250" spans="8:9" x14ac:dyDescent="0.45">
      <c r="H250" t="str">
        <f>IF(PNL!A250="","",_CALC_PNL!P250)</f>
        <v/>
      </c>
      <c r="I250" t="str">
        <f>IF(PNL!A250="","",IF(_CALC_PNL!E250=1,H250-G250,""))</f>
        <v/>
      </c>
    </row>
    <row r="251" spans="8:9" x14ac:dyDescent="0.45">
      <c r="H251" t="str">
        <f>IF(PNL!A251="","",_CALC_PNL!P251)</f>
        <v/>
      </c>
      <c r="I251" t="str">
        <f>IF(PNL!A251="","",IF(_CALC_PNL!E251=1,H251-G251,""))</f>
        <v/>
      </c>
    </row>
    <row r="252" spans="8:9" x14ac:dyDescent="0.45">
      <c r="H252" t="str">
        <f>IF(PNL!A252="","",_CALC_PNL!P252)</f>
        <v/>
      </c>
      <c r="I252" t="str">
        <f>IF(PNL!A252="","",IF(_CALC_PNL!E252=1,H252-G252,""))</f>
        <v/>
      </c>
    </row>
    <row r="253" spans="8:9" x14ac:dyDescent="0.45">
      <c r="H253" t="str">
        <f>IF(PNL!A253="","",_CALC_PNL!P253)</f>
        <v/>
      </c>
      <c r="I253" t="str">
        <f>IF(PNL!A253="","",IF(_CALC_PNL!E253=1,H253-G253,""))</f>
        <v/>
      </c>
    </row>
    <row r="254" spans="8:9" x14ac:dyDescent="0.45">
      <c r="H254" t="str">
        <f>IF(PNL!A254="","",_CALC_PNL!P254)</f>
        <v/>
      </c>
      <c r="I254" t="str">
        <f>IF(PNL!A254="","",IF(_CALC_PNL!E254=1,H254-G254,""))</f>
        <v/>
      </c>
    </row>
    <row r="255" spans="8:9" x14ac:dyDescent="0.45">
      <c r="H255" t="str">
        <f>IF(PNL!A255="","",_CALC_PNL!P255)</f>
        <v/>
      </c>
      <c r="I255" t="str">
        <f>IF(PNL!A255="","",IF(_CALC_PNL!E255=1,H255-G255,""))</f>
        <v/>
      </c>
    </row>
    <row r="256" spans="8:9" x14ac:dyDescent="0.45">
      <c r="H256" t="str">
        <f>IF(PNL!A256="","",_CALC_PNL!P256)</f>
        <v/>
      </c>
      <c r="I256" t="str">
        <f>IF(PNL!A256="","",IF(_CALC_PNL!E256=1,H256-G256,""))</f>
        <v/>
      </c>
    </row>
    <row r="257" spans="8:9" x14ac:dyDescent="0.45">
      <c r="H257" t="str">
        <f>IF(PNL!A257="","",_CALC_PNL!P257)</f>
        <v/>
      </c>
      <c r="I257" t="str">
        <f>IF(PNL!A257="","",IF(_CALC_PNL!E257=1,H257-G257,""))</f>
        <v/>
      </c>
    </row>
    <row r="258" spans="8:9" x14ac:dyDescent="0.45">
      <c r="H258" t="str">
        <f>IF(PNL!A258="","",_CALC_PNL!P258)</f>
        <v/>
      </c>
      <c r="I258" t="str">
        <f>IF(PNL!A258="","",IF(_CALC_PNL!E258=1,H258-G258,""))</f>
        <v/>
      </c>
    </row>
    <row r="259" spans="8:9" x14ac:dyDescent="0.45">
      <c r="H259" t="str">
        <f>IF(PNL!A259="","",_CALC_PNL!P259)</f>
        <v/>
      </c>
      <c r="I259" t="str">
        <f>IF(PNL!A259="","",IF(_CALC_PNL!E259=1,H259-G259,""))</f>
        <v/>
      </c>
    </row>
    <row r="260" spans="8:9" x14ac:dyDescent="0.45">
      <c r="H260" t="str">
        <f>IF(PNL!A260="","",_CALC_PNL!P260)</f>
        <v/>
      </c>
      <c r="I260" t="str">
        <f>IF(PNL!A260="","",IF(_CALC_PNL!E260=1,H260-G260,""))</f>
        <v/>
      </c>
    </row>
    <row r="261" spans="8:9" x14ac:dyDescent="0.45">
      <c r="H261" t="str">
        <f>IF(PNL!A261="","",_CALC_PNL!P261)</f>
        <v/>
      </c>
      <c r="I261" t="str">
        <f>IF(PNL!A261="","",IF(_CALC_PNL!E261=1,H261-G261,""))</f>
        <v/>
      </c>
    </row>
    <row r="262" spans="8:9" x14ac:dyDescent="0.45">
      <c r="H262" t="str">
        <f>IF(PNL!A262="","",_CALC_PNL!P262)</f>
        <v/>
      </c>
      <c r="I262" t="str">
        <f>IF(PNL!A262="","",IF(_CALC_PNL!E262=1,H262-G262,""))</f>
        <v/>
      </c>
    </row>
    <row r="263" spans="8:9" x14ac:dyDescent="0.45">
      <c r="H263" t="str">
        <f>IF(PNL!A263="","",_CALC_PNL!P263)</f>
        <v/>
      </c>
      <c r="I263" t="str">
        <f>IF(PNL!A263="","",IF(_CALC_PNL!E263=1,H263-G263,""))</f>
        <v/>
      </c>
    </row>
    <row r="264" spans="8:9" x14ac:dyDescent="0.45">
      <c r="H264" t="str">
        <f>IF(PNL!A264="","",_CALC_PNL!P264)</f>
        <v/>
      </c>
      <c r="I264" t="str">
        <f>IF(PNL!A264="","",IF(_CALC_PNL!E264=1,H264-G264,""))</f>
        <v/>
      </c>
    </row>
    <row r="265" spans="8:9" x14ac:dyDescent="0.45">
      <c r="H265" t="str">
        <f>IF(PNL!A265="","",_CALC_PNL!P265)</f>
        <v/>
      </c>
      <c r="I265" t="str">
        <f>IF(PNL!A265="","",IF(_CALC_PNL!E265=1,H265-G265,""))</f>
        <v/>
      </c>
    </row>
    <row r="266" spans="8:9" x14ac:dyDescent="0.45">
      <c r="H266" t="str">
        <f>IF(PNL!A266="","",_CALC_PNL!P266)</f>
        <v/>
      </c>
      <c r="I266" t="str">
        <f>IF(PNL!A266="","",IF(_CALC_PNL!E266=1,H266-G266,""))</f>
        <v/>
      </c>
    </row>
    <row r="267" spans="8:9" x14ac:dyDescent="0.45">
      <c r="H267" t="str">
        <f>IF(PNL!A267="","",_CALC_PNL!P267)</f>
        <v/>
      </c>
      <c r="I267" t="str">
        <f>IF(PNL!A267="","",IF(_CALC_PNL!E267=1,H267-G267,""))</f>
        <v/>
      </c>
    </row>
    <row r="268" spans="8:9" x14ac:dyDescent="0.45">
      <c r="H268" t="str">
        <f>IF(PNL!A268="","",_CALC_PNL!P268)</f>
        <v/>
      </c>
      <c r="I268" t="str">
        <f>IF(PNL!A268="","",IF(_CALC_PNL!E268=1,H268-G268,""))</f>
        <v/>
      </c>
    </row>
    <row r="269" spans="8:9" x14ac:dyDescent="0.45">
      <c r="H269" t="str">
        <f>IF(PNL!A269="","",_CALC_PNL!P269)</f>
        <v/>
      </c>
      <c r="I269" t="str">
        <f>IF(PNL!A269="","",IF(_CALC_PNL!E269=1,H269-G269,""))</f>
        <v/>
      </c>
    </row>
    <row r="270" spans="8:9" x14ac:dyDescent="0.45">
      <c r="H270" t="str">
        <f>IF(PNL!A270="","",_CALC_PNL!P270)</f>
        <v/>
      </c>
      <c r="I270" t="str">
        <f>IF(PNL!A270="","",IF(_CALC_PNL!E270=1,H270-G270,""))</f>
        <v/>
      </c>
    </row>
    <row r="271" spans="8:9" x14ac:dyDescent="0.45">
      <c r="H271" t="str">
        <f>IF(PNL!A271="","",_CALC_PNL!P271)</f>
        <v/>
      </c>
      <c r="I271" t="str">
        <f>IF(PNL!A271="","",IF(_CALC_PNL!E271=1,H271-G271,""))</f>
        <v/>
      </c>
    </row>
    <row r="272" spans="8:9" x14ac:dyDescent="0.45">
      <c r="H272" t="str">
        <f>IF(PNL!A272="","",_CALC_PNL!P272)</f>
        <v/>
      </c>
      <c r="I272" t="str">
        <f>IF(PNL!A272="","",IF(_CALC_PNL!E272=1,H272-G272,""))</f>
        <v/>
      </c>
    </row>
    <row r="273" spans="8:9" x14ac:dyDescent="0.45">
      <c r="H273" t="str">
        <f>IF(PNL!A273="","",_CALC_PNL!P273)</f>
        <v/>
      </c>
      <c r="I273" t="str">
        <f>IF(PNL!A273="","",IF(_CALC_PNL!E273=1,H273-G273,""))</f>
        <v/>
      </c>
    </row>
    <row r="274" spans="8:9" x14ac:dyDescent="0.45">
      <c r="H274" t="str">
        <f>IF(PNL!A274="","",_CALC_PNL!P274)</f>
        <v/>
      </c>
      <c r="I274" t="str">
        <f>IF(PNL!A274="","",IF(_CALC_PNL!E274=1,H274-G274,""))</f>
        <v/>
      </c>
    </row>
    <row r="275" spans="8:9" x14ac:dyDescent="0.45">
      <c r="H275" t="str">
        <f>IF(PNL!A275="","",_CALC_PNL!P275)</f>
        <v/>
      </c>
      <c r="I275" t="str">
        <f>IF(PNL!A275="","",IF(_CALC_PNL!E275=1,H275-G275,""))</f>
        <v/>
      </c>
    </row>
    <row r="276" spans="8:9" x14ac:dyDescent="0.45">
      <c r="H276" t="str">
        <f>IF(PNL!A276="","",_CALC_PNL!P276)</f>
        <v/>
      </c>
      <c r="I276" t="str">
        <f>IF(PNL!A276="","",IF(_CALC_PNL!E276=1,H276-G276,""))</f>
        <v/>
      </c>
    </row>
    <row r="277" spans="8:9" x14ac:dyDescent="0.45">
      <c r="H277" t="str">
        <f>IF(PNL!A277="","",_CALC_PNL!P277)</f>
        <v/>
      </c>
      <c r="I277" t="str">
        <f>IF(PNL!A277="","",IF(_CALC_PNL!E277=1,H277-G277,""))</f>
        <v/>
      </c>
    </row>
    <row r="278" spans="8:9" x14ac:dyDescent="0.45">
      <c r="H278" t="str">
        <f>IF(PNL!A278="","",_CALC_PNL!P278)</f>
        <v/>
      </c>
      <c r="I278" t="str">
        <f>IF(PNL!A278="","",IF(_CALC_PNL!E278=1,H278-G278,""))</f>
        <v/>
      </c>
    </row>
    <row r="279" spans="8:9" x14ac:dyDescent="0.45">
      <c r="H279" t="str">
        <f>IF(PNL!A279="","",_CALC_PNL!P279)</f>
        <v/>
      </c>
      <c r="I279" t="str">
        <f>IF(PNL!A279="","",IF(_CALC_PNL!E279=1,H279-G279,""))</f>
        <v/>
      </c>
    </row>
    <row r="280" spans="8:9" x14ac:dyDescent="0.45">
      <c r="H280" t="str">
        <f>IF(PNL!A280="","",_CALC_PNL!P280)</f>
        <v/>
      </c>
      <c r="I280" t="str">
        <f>IF(PNL!A280="","",IF(_CALC_PNL!E280=1,H280-G280,""))</f>
        <v/>
      </c>
    </row>
    <row r="281" spans="8:9" x14ac:dyDescent="0.45">
      <c r="H281" t="str">
        <f>IF(PNL!A281="","",_CALC_PNL!P281)</f>
        <v/>
      </c>
      <c r="I281" t="str">
        <f>IF(PNL!A281="","",IF(_CALC_PNL!E281=1,H281-G281,""))</f>
        <v/>
      </c>
    </row>
    <row r="282" spans="8:9" x14ac:dyDescent="0.45">
      <c r="H282" t="str">
        <f>IF(PNL!A282="","",_CALC_PNL!P282)</f>
        <v/>
      </c>
      <c r="I282" t="str">
        <f>IF(PNL!A282="","",IF(_CALC_PNL!E282=1,H282-G282,""))</f>
        <v/>
      </c>
    </row>
    <row r="283" spans="8:9" x14ac:dyDescent="0.45">
      <c r="H283" t="str">
        <f>IF(PNL!A283="","",_CALC_PNL!P283)</f>
        <v/>
      </c>
      <c r="I283" t="str">
        <f>IF(PNL!A283="","",IF(_CALC_PNL!E283=1,H283-G283,""))</f>
        <v/>
      </c>
    </row>
    <row r="284" spans="8:9" x14ac:dyDescent="0.45">
      <c r="H284" t="str">
        <f>IF(PNL!A284="","",_CALC_PNL!P284)</f>
        <v/>
      </c>
      <c r="I284" t="str">
        <f>IF(PNL!A284="","",IF(_CALC_PNL!E284=1,H284-G284,""))</f>
        <v/>
      </c>
    </row>
    <row r="285" spans="8:9" x14ac:dyDescent="0.45">
      <c r="H285" t="str">
        <f>IF(PNL!A285="","",_CALC_PNL!P285)</f>
        <v/>
      </c>
      <c r="I285" t="str">
        <f>IF(PNL!A285="","",IF(_CALC_PNL!E285=1,H285-G285,""))</f>
        <v/>
      </c>
    </row>
    <row r="286" spans="8:9" x14ac:dyDescent="0.45">
      <c r="H286" t="str">
        <f>IF(PNL!A286="","",_CALC_PNL!P286)</f>
        <v/>
      </c>
      <c r="I286" t="str">
        <f>IF(PNL!A286="","",IF(_CALC_PNL!E286=1,H286-G286,""))</f>
        <v/>
      </c>
    </row>
    <row r="287" spans="8:9" x14ac:dyDescent="0.45">
      <c r="H287" t="str">
        <f>IF(PNL!A287="","",_CALC_PNL!P287)</f>
        <v/>
      </c>
      <c r="I287" t="str">
        <f>IF(PNL!A287="","",IF(_CALC_PNL!E287=1,H287-G287,""))</f>
        <v/>
      </c>
    </row>
    <row r="288" spans="8:9" x14ac:dyDescent="0.45">
      <c r="H288" t="str">
        <f>IF(PNL!A288="","",_CALC_PNL!P288)</f>
        <v/>
      </c>
      <c r="I288" t="str">
        <f>IF(PNL!A288="","",IF(_CALC_PNL!E288=1,H288-G288,""))</f>
        <v/>
      </c>
    </row>
    <row r="289" spans="8:9" x14ac:dyDescent="0.45">
      <c r="H289" t="str">
        <f>IF(PNL!A289="","",_CALC_PNL!P289)</f>
        <v/>
      </c>
      <c r="I289" t="str">
        <f>IF(PNL!A289="","",IF(_CALC_PNL!E289=1,H289-G289,""))</f>
        <v/>
      </c>
    </row>
    <row r="290" spans="8:9" x14ac:dyDescent="0.45">
      <c r="H290" t="str">
        <f>IF(PNL!A290="","",_CALC_PNL!P290)</f>
        <v/>
      </c>
      <c r="I290" t="str">
        <f>IF(PNL!A290="","",IF(_CALC_PNL!E290=1,H290-G290,""))</f>
        <v/>
      </c>
    </row>
    <row r="291" spans="8:9" x14ac:dyDescent="0.45">
      <c r="H291" t="str">
        <f>IF(PNL!A291="","",_CALC_PNL!P291)</f>
        <v/>
      </c>
      <c r="I291" t="str">
        <f>IF(PNL!A291="","",IF(_CALC_PNL!E291=1,H291-G291,""))</f>
        <v/>
      </c>
    </row>
    <row r="292" spans="8:9" x14ac:dyDescent="0.45">
      <c r="H292" t="str">
        <f>IF(PNL!A292="","",_CALC_PNL!P292)</f>
        <v/>
      </c>
      <c r="I292" t="str">
        <f>IF(PNL!A292="","",IF(_CALC_PNL!E292=1,H292-G292,""))</f>
        <v/>
      </c>
    </row>
    <row r="293" spans="8:9" x14ac:dyDescent="0.45">
      <c r="H293" t="str">
        <f>IF(PNL!A293="","",_CALC_PNL!P293)</f>
        <v/>
      </c>
      <c r="I293" t="str">
        <f>IF(PNL!A293="","",IF(_CALC_PNL!E293=1,H293-G293,""))</f>
        <v/>
      </c>
    </row>
    <row r="294" spans="8:9" x14ac:dyDescent="0.45">
      <c r="H294" t="str">
        <f>IF(PNL!A294="","",_CALC_PNL!P294)</f>
        <v/>
      </c>
      <c r="I294" t="str">
        <f>IF(PNL!A294="","",IF(_CALC_PNL!E294=1,H294-G294,""))</f>
        <v/>
      </c>
    </row>
    <row r="295" spans="8:9" x14ac:dyDescent="0.45">
      <c r="H295" t="str">
        <f>IF(PNL!A295="","",_CALC_PNL!P295)</f>
        <v/>
      </c>
      <c r="I295" t="str">
        <f>IF(PNL!A295="","",IF(_CALC_PNL!E295=1,H295-G295,""))</f>
        <v/>
      </c>
    </row>
    <row r="296" spans="8:9" x14ac:dyDescent="0.45">
      <c r="H296" t="str">
        <f>IF(PNL!A296="","",_CALC_PNL!P296)</f>
        <v/>
      </c>
      <c r="I296" t="str">
        <f>IF(PNL!A296="","",IF(_CALC_PNL!E296=1,H296-G296,""))</f>
        <v/>
      </c>
    </row>
    <row r="297" spans="8:9" x14ac:dyDescent="0.45">
      <c r="H297" t="str">
        <f>IF(PNL!A297="","",_CALC_PNL!P297)</f>
        <v/>
      </c>
      <c r="I297" t="str">
        <f>IF(PNL!A297="","",IF(_CALC_PNL!E297=1,H297-G297,""))</f>
        <v/>
      </c>
    </row>
    <row r="298" spans="8:9" x14ac:dyDescent="0.45">
      <c r="H298" t="str">
        <f>IF(PNL!A298="","",_CALC_PNL!P298)</f>
        <v/>
      </c>
      <c r="I298" t="str">
        <f>IF(PNL!A298="","",IF(_CALC_PNL!E298=1,H298-G298,""))</f>
        <v/>
      </c>
    </row>
    <row r="299" spans="8:9" x14ac:dyDescent="0.45">
      <c r="H299" t="str">
        <f>IF(PNL!A299="","",_CALC_PNL!P299)</f>
        <v/>
      </c>
      <c r="I299" t="str">
        <f>IF(PNL!A299="","",IF(_CALC_PNL!E299=1,H299-G299,""))</f>
        <v/>
      </c>
    </row>
    <row r="300" spans="8:9" x14ac:dyDescent="0.45">
      <c r="H300" t="str">
        <f>IF(PNL!A300="","",_CALC_PNL!P300)</f>
        <v/>
      </c>
      <c r="I300" t="str">
        <f>IF(PNL!A300="","",IF(_CALC_PNL!E300=1,H300-G300,""))</f>
        <v/>
      </c>
    </row>
    <row r="301" spans="8:9" x14ac:dyDescent="0.45">
      <c r="H301" t="str">
        <f>IF(PNL!A301="","",_CALC_PNL!P301)</f>
        <v/>
      </c>
      <c r="I301" t="str">
        <f>IF(PNL!A301="","",IF(_CALC_PNL!E301=1,H301-G301,""))</f>
        <v/>
      </c>
    </row>
    <row r="302" spans="8:9" x14ac:dyDescent="0.45">
      <c r="H302" t="str">
        <f>IF(PNL!A302="","",_CALC_PNL!P302)</f>
        <v/>
      </c>
      <c r="I302" t="str">
        <f>IF(PNL!A302="","",IF(_CALC_PNL!E302=1,H302-G302,""))</f>
        <v/>
      </c>
    </row>
    <row r="303" spans="8:9" x14ac:dyDescent="0.45">
      <c r="H303" t="str">
        <f>IF(PNL!A303="","",_CALC_PNL!P303)</f>
        <v/>
      </c>
      <c r="I303" t="str">
        <f>IF(PNL!A303="","",IF(_CALC_PNL!E303=1,H303-G303,""))</f>
        <v/>
      </c>
    </row>
    <row r="304" spans="8:9" x14ac:dyDescent="0.45">
      <c r="H304" t="str">
        <f>IF(PNL!A304="","",_CALC_PNL!P304)</f>
        <v/>
      </c>
      <c r="I304" t="str">
        <f>IF(PNL!A304="","",IF(_CALC_PNL!E304=1,H304-G304,""))</f>
        <v/>
      </c>
    </row>
    <row r="305" spans="8:9" x14ac:dyDescent="0.45">
      <c r="H305" t="str">
        <f>IF(PNL!A305="","",_CALC_PNL!P305)</f>
        <v/>
      </c>
      <c r="I305" t="str">
        <f>IF(PNL!A305="","",IF(_CALC_PNL!E305=1,H305-G305,""))</f>
        <v/>
      </c>
    </row>
    <row r="306" spans="8:9" x14ac:dyDescent="0.45">
      <c r="H306" t="str">
        <f>IF(PNL!A306="","",_CALC_PNL!P306)</f>
        <v/>
      </c>
      <c r="I306" t="str">
        <f>IF(PNL!A306="","",IF(_CALC_PNL!E306=1,H306-G306,""))</f>
        <v/>
      </c>
    </row>
    <row r="307" spans="8:9" x14ac:dyDescent="0.45">
      <c r="H307" t="str">
        <f>IF(PNL!A307="","",_CALC_PNL!P307)</f>
        <v/>
      </c>
      <c r="I307" t="str">
        <f>IF(PNL!A307="","",IF(_CALC_PNL!E307=1,H307-G307,""))</f>
        <v/>
      </c>
    </row>
    <row r="308" spans="8:9" x14ac:dyDescent="0.45">
      <c r="H308" t="str">
        <f>IF(PNL!A308="","",_CALC_PNL!P308)</f>
        <v/>
      </c>
      <c r="I308" t="str">
        <f>IF(PNL!A308="","",IF(_CALC_PNL!E308=1,H308-G308,""))</f>
        <v/>
      </c>
    </row>
    <row r="309" spans="8:9" x14ac:dyDescent="0.45">
      <c r="H309" t="str">
        <f>IF(PNL!A309="","",_CALC_PNL!P309)</f>
        <v/>
      </c>
      <c r="I309" t="str">
        <f>IF(PNL!A309="","",IF(_CALC_PNL!E309=1,H309-G309,""))</f>
        <v/>
      </c>
    </row>
    <row r="310" spans="8:9" x14ac:dyDescent="0.45">
      <c r="H310" t="str">
        <f>IF(PNL!A310="","",_CALC_PNL!P310)</f>
        <v/>
      </c>
      <c r="I310" t="str">
        <f>IF(PNL!A310="","",IF(_CALC_PNL!E310=1,H310-G310,""))</f>
        <v/>
      </c>
    </row>
    <row r="311" spans="8:9" x14ac:dyDescent="0.45">
      <c r="H311" t="str">
        <f>IF(PNL!A311="","",_CALC_PNL!P311)</f>
        <v/>
      </c>
      <c r="I311" t="str">
        <f>IF(PNL!A311="","",IF(_CALC_PNL!E311=1,H311-G311,""))</f>
        <v/>
      </c>
    </row>
    <row r="312" spans="8:9" x14ac:dyDescent="0.45">
      <c r="H312" t="str">
        <f>IF(PNL!A312="","",_CALC_PNL!P312)</f>
        <v/>
      </c>
      <c r="I312" t="str">
        <f>IF(PNL!A312="","",IF(_CALC_PNL!E312=1,H312-G312,""))</f>
        <v/>
      </c>
    </row>
    <row r="313" spans="8:9" x14ac:dyDescent="0.45">
      <c r="H313" t="str">
        <f>IF(PNL!A313="","",_CALC_PNL!P313)</f>
        <v/>
      </c>
      <c r="I313" t="str">
        <f>IF(PNL!A313="","",IF(_CALC_PNL!E313=1,H313-G313,""))</f>
        <v/>
      </c>
    </row>
    <row r="314" spans="8:9" x14ac:dyDescent="0.45">
      <c r="H314" t="str">
        <f>IF(PNL!A314="","",_CALC_PNL!P314)</f>
        <v/>
      </c>
      <c r="I314" t="str">
        <f>IF(PNL!A314="","",IF(_CALC_PNL!E314=1,H314-G314,""))</f>
        <v/>
      </c>
    </row>
    <row r="315" spans="8:9" x14ac:dyDescent="0.45">
      <c r="H315" t="str">
        <f>IF(PNL!A315="","",_CALC_PNL!P315)</f>
        <v/>
      </c>
      <c r="I315" t="str">
        <f>IF(PNL!A315="","",IF(_CALC_PNL!E315=1,H315-G315,""))</f>
        <v/>
      </c>
    </row>
    <row r="316" spans="8:9" x14ac:dyDescent="0.45">
      <c r="H316" t="str">
        <f>IF(PNL!A316="","",_CALC_PNL!P316)</f>
        <v/>
      </c>
      <c r="I316" t="str">
        <f>IF(PNL!A316="","",IF(_CALC_PNL!E316=1,H316-G316,""))</f>
        <v/>
      </c>
    </row>
    <row r="317" spans="8:9" x14ac:dyDescent="0.45">
      <c r="H317" t="str">
        <f>IF(PNL!A317="","",_CALC_PNL!P317)</f>
        <v/>
      </c>
      <c r="I317" t="str">
        <f>IF(PNL!A317="","",IF(_CALC_PNL!E317=1,H317-G317,""))</f>
        <v/>
      </c>
    </row>
    <row r="318" spans="8:9" x14ac:dyDescent="0.45">
      <c r="H318" t="str">
        <f>IF(PNL!A318="","",_CALC_PNL!P318)</f>
        <v/>
      </c>
      <c r="I318" t="str">
        <f>IF(PNL!A318="","",IF(_CALC_PNL!E318=1,H318-G318,""))</f>
        <v/>
      </c>
    </row>
    <row r="319" spans="8:9" x14ac:dyDescent="0.45">
      <c r="H319" t="str">
        <f>IF(PNL!A319="","",_CALC_PNL!P319)</f>
        <v/>
      </c>
      <c r="I319" t="str">
        <f>IF(PNL!A319="","",IF(_CALC_PNL!E319=1,H319-G319,""))</f>
        <v/>
      </c>
    </row>
    <row r="320" spans="8:9" x14ac:dyDescent="0.45">
      <c r="H320" t="str">
        <f>IF(PNL!A320="","",_CALC_PNL!P320)</f>
        <v/>
      </c>
      <c r="I320" t="str">
        <f>IF(PNL!A320="","",IF(_CALC_PNL!E320=1,H320-G320,""))</f>
        <v/>
      </c>
    </row>
    <row r="321" spans="8:9" x14ac:dyDescent="0.45">
      <c r="H321" t="str">
        <f>IF(PNL!A321="","",_CALC_PNL!P321)</f>
        <v/>
      </c>
      <c r="I321" t="str">
        <f>IF(PNL!A321="","",IF(_CALC_PNL!E321=1,H321-G321,""))</f>
        <v/>
      </c>
    </row>
    <row r="322" spans="8:9" x14ac:dyDescent="0.45">
      <c r="H322" t="str">
        <f>IF(PNL!A322="","",_CALC_PNL!P322)</f>
        <v/>
      </c>
      <c r="I322" t="str">
        <f>IF(PNL!A322="","",IF(_CALC_PNL!E322=1,H322-G322,""))</f>
        <v/>
      </c>
    </row>
    <row r="323" spans="8:9" x14ac:dyDescent="0.45">
      <c r="H323" t="str">
        <f>IF(PNL!A323="","",_CALC_PNL!P323)</f>
        <v/>
      </c>
      <c r="I323" t="str">
        <f>IF(PNL!A323="","",IF(_CALC_PNL!E323=1,H323-G323,""))</f>
        <v/>
      </c>
    </row>
    <row r="324" spans="8:9" x14ac:dyDescent="0.45">
      <c r="H324" t="str">
        <f>IF(PNL!A324="","",_CALC_PNL!P324)</f>
        <v/>
      </c>
      <c r="I324" t="str">
        <f>IF(PNL!A324="","",IF(_CALC_PNL!E324=1,H324-G324,""))</f>
        <v/>
      </c>
    </row>
    <row r="325" spans="8:9" x14ac:dyDescent="0.45">
      <c r="H325" t="str">
        <f>IF(PNL!A325="","",_CALC_PNL!P325)</f>
        <v/>
      </c>
      <c r="I325" t="str">
        <f>IF(PNL!A325="","",IF(_CALC_PNL!E325=1,H325-G325,""))</f>
        <v/>
      </c>
    </row>
    <row r="326" spans="8:9" x14ac:dyDescent="0.45">
      <c r="H326" t="str">
        <f>IF(PNL!A326="","",_CALC_PNL!P326)</f>
        <v/>
      </c>
      <c r="I326" t="str">
        <f>IF(PNL!A326="","",IF(_CALC_PNL!E326=1,H326-G326,""))</f>
        <v/>
      </c>
    </row>
    <row r="327" spans="8:9" x14ac:dyDescent="0.45">
      <c r="H327" t="str">
        <f>IF(PNL!A327="","",_CALC_PNL!P327)</f>
        <v/>
      </c>
      <c r="I327" t="str">
        <f>IF(PNL!A327="","",IF(_CALC_PNL!E327=1,H327-G327,""))</f>
        <v/>
      </c>
    </row>
    <row r="328" spans="8:9" x14ac:dyDescent="0.45">
      <c r="H328" t="str">
        <f>IF(PNL!A328="","",_CALC_PNL!P328)</f>
        <v/>
      </c>
      <c r="I328" t="str">
        <f>IF(PNL!A328="","",IF(_CALC_PNL!E328=1,H328-G328,""))</f>
        <v/>
      </c>
    </row>
    <row r="329" spans="8:9" x14ac:dyDescent="0.45">
      <c r="H329" t="str">
        <f>IF(PNL!A329="","",_CALC_PNL!P329)</f>
        <v/>
      </c>
      <c r="I329" t="str">
        <f>IF(PNL!A329="","",IF(_CALC_PNL!E329=1,H329-G329,""))</f>
        <v/>
      </c>
    </row>
    <row r="330" spans="8:9" x14ac:dyDescent="0.45">
      <c r="H330" t="str">
        <f>IF(PNL!A330="","",_CALC_PNL!P330)</f>
        <v/>
      </c>
      <c r="I330" t="str">
        <f>IF(PNL!A330="","",IF(_CALC_PNL!E330=1,H330-G330,""))</f>
        <v/>
      </c>
    </row>
    <row r="331" spans="8:9" x14ac:dyDescent="0.45">
      <c r="H331" t="str">
        <f>IF(PNL!A331="","",_CALC_PNL!P331)</f>
        <v/>
      </c>
      <c r="I331" t="str">
        <f>IF(PNL!A331="","",IF(_CALC_PNL!E331=1,H331-G331,""))</f>
        <v/>
      </c>
    </row>
    <row r="332" spans="8:9" x14ac:dyDescent="0.45">
      <c r="H332" t="str">
        <f>IF(PNL!A332="","",_CALC_PNL!P332)</f>
        <v/>
      </c>
      <c r="I332" t="str">
        <f>IF(PNL!A332="","",IF(_CALC_PNL!E332=1,H332-G332,""))</f>
        <v/>
      </c>
    </row>
    <row r="333" spans="8:9" x14ac:dyDescent="0.45">
      <c r="H333" t="str">
        <f>IF(PNL!A333="","",_CALC_PNL!P333)</f>
        <v/>
      </c>
      <c r="I333" t="str">
        <f>IF(PNL!A333="","",IF(_CALC_PNL!E333=1,H333-G333,""))</f>
        <v/>
      </c>
    </row>
    <row r="334" spans="8:9" x14ac:dyDescent="0.45">
      <c r="H334" t="str">
        <f>IF(PNL!A334="","",_CALC_PNL!P334)</f>
        <v/>
      </c>
      <c r="I334" t="str">
        <f>IF(PNL!A334="","",IF(_CALC_PNL!E334=1,H334-G334,""))</f>
        <v/>
      </c>
    </row>
    <row r="335" spans="8:9" x14ac:dyDescent="0.45">
      <c r="H335" t="str">
        <f>IF(PNL!A335="","",_CALC_PNL!P335)</f>
        <v/>
      </c>
      <c r="I335" t="str">
        <f>IF(PNL!A335="","",IF(_CALC_PNL!E335=1,H335-G335,""))</f>
        <v/>
      </c>
    </row>
    <row r="336" spans="8:9" x14ac:dyDescent="0.45">
      <c r="H336" t="str">
        <f>IF(PNL!A336="","",_CALC_PNL!P336)</f>
        <v/>
      </c>
      <c r="I336" t="str">
        <f>IF(PNL!A336="","",IF(_CALC_PNL!E336=1,H336-G336,""))</f>
        <v/>
      </c>
    </row>
    <row r="337" spans="8:9" x14ac:dyDescent="0.45">
      <c r="H337" t="str">
        <f>IF(PNL!A337="","",_CALC_PNL!P337)</f>
        <v/>
      </c>
      <c r="I337" t="str">
        <f>IF(PNL!A337="","",IF(_CALC_PNL!E337=1,H337-G337,""))</f>
        <v/>
      </c>
    </row>
    <row r="338" spans="8:9" x14ac:dyDescent="0.45">
      <c r="H338" t="str">
        <f>IF(PNL!A338="","",_CALC_PNL!P338)</f>
        <v/>
      </c>
      <c r="I338" t="str">
        <f>IF(PNL!A338="","",IF(_CALC_PNL!E338=1,H338-G338,""))</f>
        <v/>
      </c>
    </row>
    <row r="339" spans="8:9" x14ac:dyDescent="0.45">
      <c r="H339" t="str">
        <f>IF(PNL!A339="","",_CALC_PNL!P339)</f>
        <v/>
      </c>
      <c r="I339" t="str">
        <f>IF(PNL!A339="","",IF(_CALC_PNL!E339=1,H339-G339,""))</f>
        <v/>
      </c>
    </row>
    <row r="340" spans="8:9" x14ac:dyDescent="0.45">
      <c r="H340" t="str">
        <f>IF(PNL!A340="","",_CALC_PNL!P340)</f>
        <v/>
      </c>
      <c r="I340" t="str">
        <f>IF(PNL!A340="","",IF(_CALC_PNL!E340=1,H340-G340,""))</f>
        <v/>
      </c>
    </row>
    <row r="341" spans="8:9" x14ac:dyDescent="0.45">
      <c r="H341" t="str">
        <f>IF(PNL!A341="","",_CALC_PNL!P341)</f>
        <v/>
      </c>
      <c r="I341" t="str">
        <f>IF(PNL!A341="","",IF(_CALC_PNL!E341=1,H341-G341,""))</f>
        <v/>
      </c>
    </row>
    <row r="342" spans="8:9" x14ac:dyDescent="0.45">
      <c r="H342" t="str">
        <f>IF(PNL!A342="","",_CALC_PNL!P342)</f>
        <v/>
      </c>
      <c r="I342" t="str">
        <f>IF(PNL!A342="","",IF(_CALC_PNL!E342=1,H342-G342,""))</f>
        <v/>
      </c>
    </row>
    <row r="343" spans="8:9" x14ac:dyDescent="0.45">
      <c r="H343" t="str">
        <f>IF(PNL!A343="","",_CALC_PNL!P343)</f>
        <v/>
      </c>
      <c r="I343" t="str">
        <f>IF(PNL!A343="","",IF(_CALC_PNL!E343=1,H343-G343,""))</f>
        <v/>
      </c>
    </row>
    <row r="344" spans="8:9" x14ac:dyDescent="0.45">
      <c r="H344" t="str">
        <f>IF(PNL!A344="","",_CALC_PNL!P344)</f>
        <v/>
      </c>
      <c r="I344" t="str">
        <f>IF(PNL!A344="","",IF(_CALC_PNL!E344=1,H344-G344,""))</f>
        <v/>
      </c>
    </row>
    <row r="345" spans="8:9" x14ac:dyDescent="0.45">
      <c r="H345" t="str">
        <f>IF(PNL!A345="","",_CALC_PNL!P345)</f>
        <v/>
      </c>
      <c r="I345" t="str">
        <f>IF(PNL!A345="","",IF(_CALC_PNL!E345=1,H345-G345,""))</f>
        <v/>
      </c>
    </row>
    <row r="346" spans="8:9" x14ac:dyDescent="0.45">
      <c r="H346" t="str">
        <f>IF(PNL!A346="","",_CALC_PNL!P346)</f>
        <v/>
      </c>
      <c r="I346" t="str">
        <f>IF(PNL!A346="","",IF(_CALC_PNL!E346=1,H346-G346,""))</f>
        <v/>
      </c>
    </row>
    <row r="347" spans="8:9" x14ac:dyDescent="0.45">
      <c r="H347" t="str">
        <f>IF(PNL!A347="","",_CALC_PNL!P347)</f>
        <v/>
      </c>
      <c r="I347" t="str">
        <f>IF(PNL!A347="","",IF(_CALC_PNL!E347=1,H347-G347,""))</f>
        <v/>
      </c>
    </row>
    <row r="348" spans="8:9" x14ac:dyDescent="0.45">
      <c r="H348" t="str">
        <f>IF(PNL!A348="","",_CALC_PNL!P348)</f>
        <v/>
      </c>
      <c r="I348" t="str">
        <f>IF(PNL!A348="","",IF(_CALC_PNL!E348=1,H348-G348,""))</f>
        <v/>
      </c>
    </row>
    <row r="349" spans="8:9" x14ac:dyDescent="0.45">
      <c r="H349" t="str">
        <f>IF(PNL!A349="","",_CALC_PNL!P349)</f>
        <v/>
      </c>
      <c r="I349" t="str">
        <f>IF(PNL!A349="","",IF(_CALC_PNL!E349=1,H349-G349,""))</f>
        <v/>
      </c>
    </row>
    <row r="350" spans="8:9" x14ac:dyDescent="0.45">
      <c r="H350" t="str">
        <f>IF(PNL!A350="","",_CALC_PNL!P350)</f>
        <v/>
      </c>
      <c r="I350" t="str">
        <f>IF(PNL!A350="","",IF(_CALC_PNL!E350=1,H350-G350,""))</f>
        <v/>
      </c>
    </row>
    <row r="351" spans="8:9" x14ac:dyDescent="0.45">
      <c r="H351" t="str">
        <f>IF(PNL!A351="","",_CALC_PNL!P351)</f>
        <v/>
      </c>
      <c r="I351" t="str">
        <f>IF(PNL!A351="","",IF(_CALC_PNL!E351=1,H351-G351,""))</f>
        <v/>
      </c>
    </row>
    <row r="352" spans="8:9" x14ac:dyDescent="0.45">
      <c r="H352" t="str">
        <f>IF(PNL!A352="","",_CALC_PNL!P352)</f>
        <v/>
      </c>
      <c r="I352" t="str">
        <f>IF(PNL!A352="","",IF(_CALC_PNL!E352=1,H352-G352,""))</f>
        <v/>
      </c>
    </row>
    <row r="353" spans="8:9" x14ac:dyDescent="0.45">
      <c r="H353" t="str">
        <f>IF(PNL!A353="","",_CALC_PNL!P353)</f>
        <v/>
      </c>
      <c r="I353" t="str">
        <f>IF(PNL!A353="","",IF(_CALC_PNL!E353=1,H353-G353,""))</f>
        <v/>
      </c>
    </row>
    <row r="354" spans="8:9" x14ac:dyDescent="0.45">
      <c r="H354" t="str">
        <f>IF(PNL!A354="","",_CALC_PNL!P354)</f>
        <v/>
      </c>
      <c r="I354" t="str">
        <f>IF(PNL!A354="","",IF(_CALC_PNL!E354=1,H354-G354,""))</f>
        <v/>
      </c>
    </row>
    <row r="355" spans="8:9" x14ac:dyDescent="0.45">
      <c r="H355" t="str">
        <f>IF(PNL!A355="","",_CALC_PNL!P355)</f>
        <v/>
      </c>
      <c r="I355" t="str">
        <f>IF(PNL!A355="","",IF(_CALC_PNL!E355=1,H355-G355,""))</f>
        <v/>
      </c>
    </row>
    <row r="356" spans="8:9" x14ac:dyDescent="0.45">
      <c r="H356" t="str">
        <f>IF(PNL!A356="","",_CALC_PNL!P356)</f>
        <v/>
      </c>
      <c r="I356" t="str">
        <f>IF(PNL!A356="","",IF(_CALC_PNL!E356=1,H356-G356,""))</f>
        <v/>
      </c>
    </row>
    <row r="357" spans="8:9" x14ac:dyDescent="0.45">
      <c r="H357" t="str">
        <f>IF(PNL!A357="","",_CALC_PNL!P357)</f>
        <v/>
      </c>
      <c r="I357" t="str">
        <f>IF(PNL!A357="","",IF(_CALC_PNL!E357=1,H357-G357,""))</f>
        <v/>
      </c>
    </row>
    <row r="358" spans="8:9" x14ac:dyDescent="0.45">
      <c r="H358" t="str">
        <f>IF(PNL!A358="","",_CALC_PNL!P358)</f>
        <v/>
      </c>
      <c r="I358" t="str">
        <f>IF(PNL!A358="","",IF(_CALC_PNL!E358=1,H358-G358,""))</f>
        <v/>
      </c>
    </row>
    <row r="359" spans="8:9" x14ac:dyDescent="0.45">
      <c r="H359" t="str">
        <f>IF(PNL!A359="","",_CALC_PNL!P359)</f>
        <v/>
      </c>
      <c r="I359" t="str">
        <f>IF(PNL!A359="","",IF(_CALC_PNL!E359=1,H359-G359,""))</f>
        <v/>
      </c>
    </row>
    <row r="360" spans="8:9" x14ac:dyDescent="0.45">
      <c r="H360" t="str">
        <f>IF(PNL!A360="","",_CALC_PNL!P360)</f>
        <v/>
      </c>
      <c r="I360" t="str">
        <f>IF(PNL!A360="","",IF(_CALC_PNL!E360=1,H360-G360,""))</f>
        <v/>
      </c>
    </row>
    <row r="361" spans="8:9" x14ac:dyDescent="0.45">
      <c r="H361" t="str">
        <f>IF(PNL!A361="","",_CALC_PNL!P361)</f>
        <v/>
      </c>
      <c r="I361" t="str">
        <f>IF(PNL!A361="","",IF(_CALC_PNL!E361=1,H361-G361,""))</f>
        <v/>
      </c>
    </row>
    <row r="362" spans="8:9" x14ac:dyDescent="0.45">
      <c r="H362" t="str">
        <f>IF(PNL!A362="","",_CALC_PNL!P362)</f>
        <v/>
      </c>
      <c r="I362" t="str">
        <f>IF(PNL!A362="","",IF(_CALC_PNL!E362=1,H362-G362,""))</f>
        <v/>
      </c>
    </row>
    <row r="363" spans="8:9" x14ac:dyDescent="0.45">
      <c r="H363" t="str">
        <f>IF(PNL!A363="","",_CALC_PNL!P363)</f>
        <v/>
      </c>
      <c r="I363" t="str">
        <f>IF(PNL!A363="","",IF(_CALC_PNL!E363=1,H363-G363,""))</f>
        <v/>
      </c>
    </row>
    <row r="364" spans="8:9" x14ac:dyDescent="0.45">
      <c r="H364" t="str">
        <f>IF(PNL!A364="","",_CALC_PNL!P364)</f>
        <v/>
      </c>
      <c r="I364" t="str">
        <f>IF(PNL!A364="","",IF(_CALC_PNL!E364=1,H364-G364,""))</f>
        <v/>
      </c>
    </row>
    <row r="365" spans="8:9" x14ac:dyDescent="0.45">
      <c r="H365" t="str">
        <f>IF(PNL!A365="","",_CALC_PNL!P365)</f>
        <v/>
      </c>
      <c r="I365" t="str">
        <f>IF(PNL!A365="","",IF(_CALC_PNL!E365=1,H365-G365,""))</f>
        <v/>
      </c>
    </row>
    <row r="366" spans="8:9" x14ac:dyDescent="0.45">
      <c r="H366" t="str">
        <f>IF(PNL!A366="","",_CALC_PNL!P366)</f>
        <v/>
      </c>
      <c r="I366" t="str">
        <f>IF(PNL!A366="","",IF(_CALC_PNL!E366=1,H366-G366,""))</f>
        <v/>
      </c>
    </row>
    <row r="367" spans="8:9" x14ac:dyDescent="0.45">
      <c r="H367" t="str">
        <f>IF(PNL!A367="","",_CALC_PNL!P367)</f>
        <v/>
      </c>
      <c r="I367" t="str">
        <f>IF(PNL!A367="","",IF(_CALC_PNL!E367=1,H367-G367,""))</f>
        <v/>
      </c>
    </row>
    <row r="368" spans="8:9" x14ac:dyDescent="0.45">
      <c r="H368" t="str">
        <f>IF(PNL!A368="","",_CALC_PNL!P368)</f>
        <v/>
      </c>
      <c r="I368" t="str">
        <f>IF(PNL!A368="","",IF(_CALC_PNL!E368=1,H368-G368,""))</f>
        <v/>
      </c>
    </row>
    <row r="369" spans="8:9" x14ac:dyDescent="0.45">
      <c r="H369" t="str">
        <f>IF(PNL!A369="","",_CALC_PNL!P369)</f>
        <v/>
      </c>
      <c r="I369" t="str">
        <f>IF(PNL!A369="","",IF(_CALC_PNL!E369=1,H369-G369,""))</f>
        <v/>
      </c>
    </row>
    <row r="370" spans="8:9" x14ac:dyDescent="0.45">
      <c r="H370" t="str">
        <f>IF(PNL!A370="","",_CALC_PNL!P370)</f>
        <v/>
      </c>
      <c r="I370" t="str">
        <f>IF(PNL!A370="","",IF(_CALC_PNL!E370=1,H370-G370,""))</f>
        <v/>
      </c>
    </row>
    <row r="371" spans="8:9" x14ac:dyDescent="0.45">
      <c r="H371" t="str">
        <f>IF(PNL!A371="","",_CALC_PNL!P371)</f>
        <v/>
      </c>
      <c r="I371" t="str">
        <f>IF(PNL!A371="","",IF(_CALC_PNL!E371=1,H371-G371,""))</f>
        <v/>
      </c>
    </row>
    <row r="372" spans="8:9" x14ac:dyDescent="0.45">
      <c r="H372" t="str">
        <f>IF(PNL!A372="","",_CALC_PNL!P372)</f>
        <v/>
      </c>
      <c r="I372" t="str">
        <f>IF(PNL!A372="","",IF(_CALC_PNL!E372=1,H372-G372,""))</f>
        <v/>
      </c>
    </row>
    <row r="373" spans="8:9" x14ac:dyDescent="0.45">
      <c r="H373" t="str">
        <f>IF(PNL!A373="","",_CALC_PNL!P373)</f>
        <v/>
      </c>
      <c r="I373" t="str">
        <f>IF(PNL!A373="","",IF(_CALC_PNL!E373=1,H373-G373,""))</f>
        <v/>
      </c>
    </row>
    <row r="374" spans="8:9" x14ac:dyDescent="0.45">
      <c r="H374" t="str">
        <f>IF(PNL!A374="","",_CALC_PNL!P374)</f>
        <v/>
      </c>
      <c r="I374" t="str">
        <f>IF(PNL!A374="","",IF(_CALC_PNL!E374=1,H374-G374,""))</f>
        <v/>
      </c>
    </row>
    <row r="375" spans="8:9" x14ac:dyDescent="0.45">
      <c r="H375" t="str">
        <f>IF(PNL!A375="","",_CALC_PNL!P375)</f>
        <v/>
      </c>
      <c r="I375" t="str">
        <f>IF(PNL!A375="","",IF(_CALC_PNL!E375=1,H375-G375,""))</f>
        <v/>
      </c>
    </row>
    <row r="376" spans="8:9" x14ac:dyDescent="0.45">
      <c r="H376" t="str">
        <f>IF(PNL!A376="","",_CALC_PNL!P376)</f>
        <v/>
      </c>
      <c r="I376" t="str">
        <f>IF(PNL!A376="","",IF(_CALC_PNL!E376=1,H376-G376,""))</f>
        <v/>
      </c>
    </row>
    <row r="377" spans="8:9" x14ac:dyDescent="0.45">
      <c r="H377" t="str">
        <f>IF(PNL!A377="","",_CALC_PNL!P377)</f>
        <v/>
      </c>
      <c r="I377" t="str">
        <f>IF(PNL!A377="","",IF(_CALC_PNL!E377=1,H377-G377,""))</f>
        <v/>
      </c>
    </row>
    <row r="378" spans="8:9" x14ac:dyDescent="0.45">
      <c r="H378" t="str">
        <f>IF(PNL!A378="","",_CALC_PNL!P378)</f>
        <v/>
      </c>
      <c r="I378" t="str">
        <f>IF(PNL!A378="","",IF(_CALC_PNL!E378=1,H378-G378,""))</f>
        <v/>
      </c>
    </row>
    <row r="379" spans="8:9" x14ac:dyDescent="0.45">
      <c r="H379" t="str">
        <f>IF(PNL!A379="","",_CALC_PNL!P379)</f>
        <v/>
      </c>
      <c r="I379" t="str">
        <f>IF(PNL!A379="","",IF(_CALC_PNL!E379=1,H379-G379,""))</f>
        <v/>
      </c>
    </row>
    <row r="380" spans="8:9" x14ac:dyDescent="0.45">
      <c r="H380" t="str">
        <f>IF(PNL!A380="","",_CALC_PNL!P380)</f>
        <v/>
      </c>
      <c r="I380" t="str">
        <f>IF(PNL!A380="","",IF(_CALC_PNL!E380=1,H380-G380,""))</f>
        <v/>
      </c>
    </row>
    <row r="381" spans="8:9" x14ac:dyDescent="0.45">
      <c r="H381" t="str">
        <f>IF(PNL!A381="","",_CALC_PNL!P381)</f>
        <v/>
      </c>
      <c r="I381" t="str">
        <f>IF(PNL!A381="","",IF(_CALC_PNL!E381=1,H381-G381,""))</f>
        <v/>
      </c>
    </row>
    <row r="382" spans="8:9" x14ac:dyDescent="0.45">
      <c r="H382" t="str">
        <f>IF(PNL!A382="","",_CALC_PNL!P382)</f>
        <v/>
      </c>
      <c r="I382" t="str">
        <f>IF(PNL!A382="","",IF(_CALC_PNL!E382=1,H382-G382,""))</f>
        <v/>
      </c>
    </row>
    <row r="383" spans="8:9" x14ac:dyDescent="0.45">
      <c r="H383" t="str">
        <f>IF(PNL!A383="","",_CALC_PNL!P383)</f>
        <v/>
      </c>
      <c r="I383" t="str">
        <f>IF(PNL!A383="","",IF(_CALC_PNL!E383=1,H383-G383,""))</f>
        <v/>
      </c>
    </row>
    <row r="384" spans="8:9" x14ac:dyDescent="0.45">
      <c r="H384" t="str">
        <f>IF(PNL!A384="","",_CALC_PNL!P384)</f>
        <v/>
      </c>
      <c r="I384" t="str">
        <f>IF(PNL!A384="","",IF(_CALC_PNL!E384=1,H384-G384,""))</f>
        <v/>
      </c>
    </row>
    <row r="385" spans="8:9" x14ac:dyDescent="0.45">
      <c r="H385" t="str">
        <f>IF(PNL!A385="","",_CALC_PNL!P385)</f>
        <v/>
      </c>
      <c r="I385" t="str">
        <f>IF(PNL!A385="","",IF(_CALC_PNL!E385=1,H385-G385,""))</f>
        <v/>
      </c>
    </row>
    <row r="386" spans="8:9" x14ac:dyDescent="0.45">
      <c r="H386" t="str">
        <f>IF(PNL!A386="","",_CALC_PNL!P386)</f>
        <v/>
      </c>
      <c r="I386" t="str">
        <f>IF(PNL!A386="","",IF(_CALC_PNL!E386=1,H386-G386,""))</f>
        <v/>
      </c>
    </row>
    <row r="387" spans="8:9" x14ac:dyDescent="0.45">
      <c r="H387" t="str">
        <f>IF(PNL!A387="","",_CALC_PNL!P387)</f>
        <v/>
      </c>
      <c r="I387" t="str">
        <f>IF(PNL!A387="","",IF(_CALC_PNL!E387=1,H387-G387,""))</f>
        <v/>
      </c>
    </row>
    <row r="388" spans="8:9" x14ac:dyDescent="0.45">
      <c r="H388" t="str">
        <f>IF(PNL!A388="","",_CALC_PNL!P388)</f>
        <v/>
      </c>
      <c r="I388" t="str">
        <f>IF(PNL!A388="","",IF(_CALC_PNL!E388=1,H388-G388,""))</f>
        <v/>
      </c>
    </row>
    <row r="389" spans="8:9" x14ac:dyDescent="0.45">
      <c r="H389" t="str">
        <f>IF(PNL!A389="","",_CALC_PNL!P389)</f>
        <v/>
      </c>
      <c r="I389" t="str">
        <f>IF(PNL!A389="","",IF(_CALC_PNL!E389=1,H389-G389,""))</f>
        <v/>
      </c>
    </row>
    <row r="390" spans="8:9" x14ac:dyDescent="0.45">
      <c r="H390" t="str">
        <f>IF(PNL!A390="","",_CALC_PNL!P390)</f>
        <v/>
      </c>
      <c r="I390" t="str">
        <f>IF(PNL!A390="","",IF(_CALC_PNL!E390=1,H390-G390,""))</f>
        <v/>
      </c>
    </row>
    <row r="391" spans="8:9" x14ac:dyDescent="0.45">
      <c r="H391" t="str">
        <f>IF(PNL!A391="","",_CALC_PNL!P391)</f>
        <v/>
      </c>
      <c r="I391" t="str">
        <f>IF(PNL!A391="","",IF(_CALC_PNL!E391=1,H391-G391,""))</f>
        <v/>
      </c>
    </row>
    <row r="392" spans="8:9" x14ac:dyDescent="0.45">
      <c r="H392" t="str">
        <f>IF(PNL!A392="","",_CALC_PNL!P392)</f>
        <v/>
      </c>
      <c r="I392" t="str">
        <f>IF(PNL!A392="","",IF(_CALC_PNL!E392=1,H392-G392,""))</f>
        <v/>
      </c>
    </row>
    <row r="393" spans="8:9" x14ac:dyDescent="0.45">
      <c r="H393" t="str">
        <f>IF(PNL!A393="","",_CALC_PNL!P393)</f>
        <v/>
      </c>
      <c r="I393" t="str">
        <f>IF(PNL!A393="","",IF(_CALC_PNL!E393=1,H393-G393,""))</f>
        <v/>
      </c>
    </row>
    <row r="394" spans="8:9" x14ac:dyDescent="0.45">
      <c r="H394" t="str">
        <f>IF(PNL!A394="","",_CALC_PNL!P394)</f>
        <v/>
      </c>
      <c r="I394" t="str">
        <f>IF(PNL!A394="","",IF(_CALC_PNL!E394=1,H394-G394,""))</f>
        <v/>
      </c>
    </row>
    <row r="395" spans="8:9" x14ac:dyDescent="0.45">
      <c r="H395" t="str">
        <f>IF(PNL!A395="","",_CALC_PNL!P395)</f>
        <v/>
      </c>
      <c r="I395" t="str">
        <f>IF(PNL!A395="","",IF(_CALC_PNL!E395=1,H395-G395,""))</f>
        <v/>
      </c>
    </row>
    <row r="396" spans="8:9" x14ac:dyDescent="0.45">
      <c r="H396" t="str">
        <f>IF(PNL!A396="","",_CALC_PNL!P396)</f>
        <v/>
      </c>
      <c r="I396" t="str">
        <f>IF(PNL!A396="","",IF(_CALC_PNL!E396=1,H396-G396,""))</f>
        <v/>
      </c>
    </row>
    <row r="397" spans="8:9" x14ac:dyDescent="0.45">
      <c r="H397" t="str">
        <f>IF(PNL!A397="","",_CALC_PNL!P397)</f>
        <v/>
      </c>
      <c r="I397" t="str">
        <f>IF(PNL!A397="","",IF(_CALC_PNL!E397=1,H397-G397,""))</f>
        <v/>
      </c>
    </row>
    <row r="398" spans="8:9" x14ac:dyDescent="0.45">
      <c r="H398" t="str">
        <f>IF(PNL!A398="","",_CALC_PNL!P398)</f>
        <v/>
      </c>
      <c r="I398" t="str">
        <f>IF(PNL!A398="","",IF(_CALC_PNL!E398=1,H398-G398,""))</f>
        <v/>
      </c>
    </row>
    <row r="399" spans="8:9" x14ac:dyDescent="0.45">
      <c r="H399" t="str">
        <f>IF(PNL!A399="","",_CALC_PNL!P399)</f>
        <v/>
      </c>
      <c r="I399" t="str">
        <f>IF(PNL!A399="","",IF(_CALC_PNL!E399=1,H399-G399,""))</f>
        <v/>
      </c>
    </row>
    <row r="400" spans="8:9" x14ac:dyDescent="0.45">
      <c r="H400" t="str">
        <f>IF(PNL!A400="","",_CALC_PNL!P400)</f>
        <v/>
      </c>
      <c r="I400" t="str">
        <f>IF(PNL!A400="","",IF(_CALC_PNL!E400=1,H400-G400,""))</f>
        <v/>
      </c>
    </row>
    <row r="401" spans="8:9" x14ac:dyDescent="0.45">
      <c r="H401" t="str">
        <f>IF(PNL!A401="","",_CALC_PNL!P401)</f>
        <v/>
      </c>
      <c r="I401" t="str">
        <f>IF(PNL!A401="","",IF(_CALC_PNL!E401=1,H401-G401,""))</f>
        <v/>
      </c>
    </row>
    <row r="402" spans="8:9" x14ac:dyDescent="0.45">
      <c r="H402" t="str">
        <f>IF(PNL!A402="","",_CALC_PNL!P402)</f>
        <v/>
      </c>
      <c r="I402" t="str">
        <f>IF(PNL!A402="","",IF(_CALC_PNL!E402=1,H402-G402,""))</f>
        <v/>
      </c>
    </row>
    <row r="403" spans="8:9" x14ac:dyDescent="0.45">
      <c r="H403" t="str">
        <f>IF(PNL!A403="","",_CALC_PNL!P403)</f>
        <v/>
      </c>
      <c r="I403" t="str">
        <f>IF(PNL!A403="","",IF(_CALC_PNL!E403=1,H403-G403,""))</f>
        <v/>
      </c>
    </row>
    <row r="404" spans="8:9" x14ac:dyDescent="0.45">
      <c r="H404" t="str">
        <f>IF(PNL!A404="","",_CALC_PNL!P404)</f>
        <v/>
      </c>
      <c r="I404" t="str">
        <f>IF(PNL!A404="","",IF(_CALC_PNL!E404=1,H404-G404,""))</f>
        <v/>
      </c>
    </row>
    <row r="405" spans="8:9" x14ac:dyDescent="0.45">
      <c r="H405" t="str">
        <f>IF(PNL!A405="","",_CALC_PNL!P405)</f>
        <v/>
      </c>
      <c r="I405" t="str">
        <f>IF(PNL!A405="","",IF(_CALC_PNL!E405=1,H405-G405,""))</f>
        <v/>
      </c>
    </row>
    <row r="406" spans="8:9" x14ac:dyDescent="0.45">
      <c r="H406" t="str">
        <f>IF(PNL!A406="","",_CALC_PNL!P406)</f>
        <v/>
      </c>
      <c r="I406" t="str">
        <f>IF(PNL!A406="","",IF(_CALC_PNL!E406=1,H406-G406,""))</f>
        <v/>
      </c>
    </row>
    <row r="407" spans="8:9" x14ac:dyDescent="0.45">
      <c r="H407" t="str">
        <f>IF(PNL!A407="","",_CALC_PNL!P407)</f>
        <v/>
      </c>
      <c r="I407" t="str">
        <f>IF(PNL!A407="","",IF(_CALC_PNL!E407=1,H407-G407,""))</f>
        <v/>
      </c>
    </row>
    <row r="408" spans="8:9" x14ac:dyDescent="0.45">
      <c r="H408" t="str">
        <f>IF(PNL!A408="","",_CALC_PNL!P408)</f>
        <v/>
      </c>
      <c r="I408" t="str">
        <f>IF(PNL!A408="","",IF(_CALC_PNL!E408=1,H408-G408,""))</f>
        <v/>
      </c>
    </row>
    <row r="409" spans="8:9" x14ac:dyDescent="0.45">
      <c r="H409" t="str">
        <f>IF(PNL!A409="","",_CALC_PNL!P409)</f>
        <v/>
      </c>
      <c r="I409" t="str">
        <f>IF(PNL!A409="","",IF(_CALC_PNL!E409=1,H409-G409,""))</f>
        <v/>
      </c>
    </row>
    <row r="410" spans="8:9" x14ac:dyDescent="0.45">
      <c r="H410" t="str">
        <f>IF(PNL!A410="","",_CALC_PNL!P410)</f>
        <v/>
      </c>
      <c r="I410" t="str">
        <f>IF(PNL!A410="","",IF(_CALC_PNL!E410=1,H410-G410,""))</f>
        <v/>
      </c>
    </row>
    <row r="411" spans="8:9" x14ac:dyDescent="0.45">
      <c r="H411" t="str">
        <f>IF(PNL!A411="","",_CALC_PNL!P411)</f>
        <v/>
      </c>
      <c r="I411" t="str">
        <f>IF(PNL!A411="","",IF(_CALC_PNL!E411=1,H411-G411,""))</f>
        <v/>
      </c>
    </row>
    <row r="412" spans="8:9" x14ac:dyDescent="0.45">
      <c r="H412" t="str">
        <f>IF(PNL!A412="","",_CALC_PNL!P412)</f>
        <v/>
      </c>
      <c r="I412" t="str">
        <f>IF(PNL!A412="","",IF(_CALC_PNL!E412=1,H412-G412,""))</f>
        <v/>
      </c>
    </row>
    <row r="413" spans="8:9" x14ac:dyDescent="0.45">
      <c r="H413" t="str">
        <f>IF(PNL!A413="","",_CALC_PNL!P413)</f>
        <v/>
      </c>
      <c r="I413" t="str">
        <f>IF(PNL!A413="","",IF(_CALC_PNL!E413=1,H413-G413,""))</f>
        <v/>
      </c>
    </row>
    <row r="414" spans="8:9" x14ac:dyDescent="0.45">
      <c r="H414" t="str">
        <f>IF(PNL!A414="","",_CALC_PNL!P414)</f>
        <v/>
      </c>
      <c r="I414" t="str">
        <f>IF(PNL!A414="","",IF(_CALC_PNL!E414=1,H414-G414,""))</f>
        <v/>
      </c>
    </row>
    <row r="415" spans="8:9" x14ac:dyDescent="0.45">
      <c r="H415" t="str">
        <f>IF(PNL!A415="","",_CALC_PNL!P415)</f>
        <v/>
      </c>
      <c r="I415" t="str">
        <f>IF(PNL!A415="","",IF(_CALC_PNL!E415=1,H415-G415,""))</f>
        <v/>
      </c>
    </row>
    <row r="416" spans="8:9" x14ac:dyDescent="0.45">
      <c r="H416" t="str">
        <f>IF(PNL!A416="","",_CALC_PNL!P416)</f>
        <v/>
      </c>
      <c r="I416" t="str">
        <f>IF(PNL!A416="","",IF(_CALC_PNL!E416=1,H416-G416,""))</f>
        <v/>
      </c>
    </row>
    <row r="417" spans="8:9" x14ac:dyDescent="0.45">
      <c r="H417" t="str">
        <f>IF(PNL!A417="","",_CALC_PNL!P417)</f>
        <v/>
      </c>
      <c r="I417" t="str">
        <f>IF(PNL!A417="","",IF(_CALC_PNL!E417=1,H417-G417,""))</f>
        <v/>
      </c>
    </row>
    <row r="418" spans="8:9" x14ac:dyDescent="0.45">
      <c r="H418" t="str">
        <f>IF(PNL!A418="","",_CALC_PNL!P418)</f>
        <v/>
      </c>
      <c r="I418" t="str">
        <f>IF(PNL!A418="","",IF(_CALC_PNL!E418=1,H418-G418,""))</f>
        <v/>
      </c>
    </row>
    <row r="419" spans="8:9" x14ac:dyDescent="0.45">
      <c r="H419" t="str">
        <f>IF(PNL!A419="","",_CALC_PNL!P419)</f>
        <v/>
      </c>
      <c r="I419" t="str">
        <f>IF(PNL!A419="","",IF(_CALC_PNL!E419=1,H419-G419,""))</f>
        <v/>
      </c>
    </row>
    <row r="420" spans="8:9" x14ac:dyDescent="0.45">
      <c r="H420" t="str">
        <f>IF(PNL!A420="","",_CALC_PNL!P420)</f>
        <v/>
      </c>
      <c r="I420" t="str">
        <f>IF(PNL!A420="","",IF(_CALC_PNL!E420=1,H420-G420,""))</f>
        <v/>
      </c>
    </row>
    <row r="421" spans="8:9" x14ac:dyDescent="0.45">
      <c r="H421" t="str">
        <f>IF(PNL!A421="","",_CALC_PNL!P421)</f>
        <v/>
      </c>
      <c r="I421" t="str">
        <f>IF(PNL!A421="","",IF(_CALC_PNL!E421=1,H421-G421,""))</f>
        <v/>
      </c>
    </row>
    <row r="422" spans="8:9" x14ac:dyDescent="0.45">
      <c r="H422" t="str">
        <f>IF(PNL!A422="","",_CALC_PNL!P422)</f>
        <v/>
      </c>
      <c r="I422" t="str">
        <f>IF(PNL!A422="","",IF(_CALC_PNL!E422=1,H422-G422,""))</f>
        <v/>
      </c>
    </row>
    <row r="423" spans="8:9" x14ac:dyDescent="0.45">
      <c r="H423" t="str">
        <f>IF(PNL!A423="","",_CALC_PNL!P423)</f>
        <v/>
      </c>
      <c r="I423" t="str">
        <f>IF(PNL!A423="","",IF(_CALC_PNL!E423=1,H423-G423,""))</f>
        <v/>
      </c>
    </row>
    <row r="424" spans="8:9" x14ac:dyDescent="0.45">
      <c r="H424" t="str">
        <f>IF(PNL!A424="","",_CALC_PNL!P424)</f>
        <v/>
      </c>
      <c r="I424" t="str">
        <f>IF(PNL!A424="","",IF(_CALC_PNL!E424=1,H424-G424,""))</f>
        <v/>
      </c>
    </row>
    <row r="425" spans="8:9" x14ac:dyDescent="0.45">
      <c r="H425" t="str">
        <f>IF(PNL!A425="","",_CALC_PNL!P425)</f>
        <v/>
      </c>
      <c r="I425" t="str">
        <f>IF(PNL!A425="","",IF(_CALC_PNL!E425=1,H425-G425,""))</f>
        <v/>
      </c>
    </row>
    <row r="426" spans="8:9" x14ac:dyDescent="0.45">
      <c r="H426" t="str">
        <f>IF(PNL!A426="","",_CALC_PNL!P426)</f>
        <v/>
      </c>
      <c r="I426" t="str">
        <f>IF(PNL!A426="","",IF(_CALC_PNL!E426=1,H426-G426,""))</f>
        <v/>
      </c>
    </row>
    <row r="427" spans="8:9" x14ac:dyDescent="0.45">
      <c r="H427" t="str">
        <f>IF(PNL!A427="","",_CALC_PNL!P427)</f>
        <v/>
      </c>
      <c r="I427" t="str">
        <f>IF(PNL!A427="","",IF(_CALC_PNL!E427=1,H427-G427,""))</f>
        <v/>
      </c>
    </row>
    <row r="428" spans="8:9" x14ac:dyDescent="0.45">
      <c r="H428" t="str">
        <f>IF(PNL!A428="","",_CALC_PNL!P428)</f>
        <v/>
      </c>
      <c r="I428" t="str">
        <f>IF(PNL!A428="","",IF(_CALC_PNL!E428=1,H428-G428,""))</f>
        <v/>
      </c>
    </row>
    <row r="429" spans="8:9" x14ac:dyDescent="0.45">
      <c r="H429" t="str">
        <f>IF(PNL!A429="","",_CALC_PNL!P429)</f>
        <v/>
      </c>
      <c r="I429" t="str">
        <f>IF(PNL!A429="","",IF(_CALC_PNL!E429=1,H429-G429,""))</f>
        <v/>
      </c>
    </row>
    <row r="430" spans="8:9" x14ac:dyDescent="0.45">
      <c r="H430" t="str">
        <f>IF(PNL!A430="","",_CALC_PNL!P430)</f>
        <v/>
      </c>
      <c r="I430" t="str">
        <f>IF(PNL!A430="","",IF(_CALC_PNL!E430=1,H430-G430,""))</f>
        <v/>
      </c>
    </row>
    <row r="431" spans="8:9" x14ac:dyDescent="0.45">
      <c r="H431" t="str">
        <f>IF(PNL!A431="","",_CALC_PNL!P431)</f>
        <v/>
      </c>
      <c r="I431" t="str">
        <f>IF(PNL!A431="","",IF(_CALC_PNL!E431=1,H431-G431,""))</f>
        <v/>
      </c>
    </row>
    <row r="432" spans="8:9" x14ac:dyDescent="0.45">
      <c r="H432" t="str">
        <f>IF(PNL!A432="","",_CALC_PNL!P432)</f>
        <v/>
      </c>
      <c r="I432" t="str">
        <f>IF(PNL!A432="","",IF(_CALC_PNL!E432=1,H432-G432,""))</f>
        <v/>
      </c>
    </row>
    <row r="433" spans="8:9" x14ac:dyDescent="0.45">
      <c r="H433" t="str">
        <f>IF(PNL!A433="","",_CALC_PNL!P433)</f>
        <v/>
      </c>
      <c r="I433" t="str">
        <f>IF(PNL!A433="","",IF(_CALC_PNL!E433=1,H433-G433,""))</f>
        <v/>
      </c>
    </row>
    <row r="434" spans="8:9" x14ac:dyDescent="0.45">
      <c r="H434" t="str">
        <f>IF(PNL!A434="","",_CALC_PNL!P434)</f>
        <v/>
      </c>
      <c r="I434" t="str">
        <f>IF(PNL!A434="","",IF(_CALC_PNL!E434=1,H434-G434,""))</f>
        <v/>
      </c>
    </row>
    <row r="435" spans="8:9" x14ac:dyDescent="0.45">
      <c r="H435" t="str">
        <f>IF(PNL!A435="","",_CALC_PNL!P435)</f>
        <v/>
      </c>
      <c r="I435" t="str">
        <f>IF(PNL!A435="","",IF(_CALC_PNL!E435=1,H435-G435,""))</f>
        <v/>
      </c>
    </row>
    <row r="436" spans="8:9" x14ac:dyDescent="0.45">
      <c r="H436" t="str">
        <f>IF(PNL!A436="","",_CALC_PNL!P436)</f>
        <v/>
      </c>
      <c r="I436" t="str">
        <f>IF(PNL!A436="","",IF(_CALC_PNL!E436=1,H436-G436,""))</f>
        <v/>
      </c>
    </row>
    <row r="437" spans="8:9" x14ac:dyDescent="0.45">
      <c r="H437" t="str">
        <f>IF(PNL!A437="","",_CALC_PNL!P437)</f>
        <v/>
      </c>
      <c r="I437" t="str">
        <f>IF(PNL!A437="","",IF(_CALC_PNL!E437=1,H437-G437,""))</f>
        <v/>
      </c>
    </row>
    <row r="438" spans="8:9" x14ac:dyDescent="0.45">
      <c r="H438" t="str">
        <f>IF(PNL!A438="","",_CALC_PNL!P438)</f>
        <v/>
      </c>
      <c r="I438" t="str">
        <f>IF(PNL!A438="","",IF(_CALC_PNL!E438=1,H438-G438,""))</f>
        <v/>
      </c>
    </row>
    <row r="439" spans="8:9" x14ac:dyDescent="0.45">
      <c r="H439" t="str">
        <f>IF(PNL!A439="","",_CALC_PNL!P439)</f>
        <v/>
      </c>
      <c r="I439" t="str">
        <f>IF(PNL!A439="","",IF(_CALC_PNL!E439=1,H439-G439,""))</f>
        <v/>
      </c>
    </row>
    <row r="440" spans="8:9" x14ac:dyDescent="0.45">
      <c r="H440" t="str">
        <f>IF(PNL!A440="","",_CALC_PNL!P440)</f>
        <v/>
      </c>
      <c r="I440" t="str">
        <f>IF(PNL!A440="","",IF(_CALC_PNL!E440=1,H440-G440,""))</f>
        <v/>
      </c>
    </row>
    <row r="441" spans="8:9" x14ac:dyDescent="0.45">
      <c r="H441" t="str">
        <f>IF(PNL!A441="","",_CALC_PNL!P441)</f>
        <v/>
      </c>
      <c r="I441" t="str">
        <f>IF(PNL!A441="","",IF(_CALC_PNL!E441=1,H441-G441,""))</f>
        <v/>
      </c>
    </row>
    <row r="442" spans="8:9" x14ac:dyDescent="0.45">
      <c r="H442" t="str">
        <f>IF(PNL!A442="","",_CALC_PNL!P442)</f>
        <v/>
      </c>
      <c r="I442" t="str">
        <f>IF(PNL!A442="","",IF(_CALC_PNL!E442=1,H442-G442,""))</f>
        <v/>
      </c>
    </row>
    <row r="443" spans="8:9" x14ac:dyDescent="0.45">
      <c r="H443" t="str">
        <f>IF(PNL!A443="","",_CALC_PNL!P443)</f>
        <v/>
      </c>
      <c r="I443" t="str">
        <f>IF(PNL!A443="","",IF(_CALC_PNL!E443=1,H443-G443,""))</f>
        <v/>
      </c>
    </row>
    <row r="444" spans="8:9" x14ac:dyDescent="0.45">
      <c r="H444" t="str">
        <f>IF(PNL!A444="","",_CALC_PNL!P444)</f>
        <v/>
      </c>
      <c r="I444" t="str">
        <f>IF(PNL!A444="","",IF(_CALC_PNL!E444=1,H444-G444,""))</f>
        <v/>
      </c>
    </row>
    <row r="445" spans="8:9" x14ac:dyDescent="0.45">
      <c r="H445" t="str">
        <f>IF(PNL!A445="","",_CALC_PNL!P445)</f>
        <v/>
      </c>
      <c r="I445" t="str">
        <f>IF(PNL!A445="","",IF(_CALC_PNL!E445=1,H445-G445,""))</f>
        <v/>
      </c>
    </row>
    <row r="446" spans="8:9" x14ac:dyDescent="0.45">
      <c r="H446" t="str">
        <f>IF(PNL!A446="","",_CALC_PNL!P446)</f>
        <v/>
      </c>
      <c r="I446" t="str">
        <f>IF(PNL!A446="","",IF(_CALC_PNL!E446=1,H446-G446,""))</f>
        <v/>
      </c>
    </row>
    <row r="447" spans="8:9" x14ac:dyDescent="0.45">
      <c r="H447" t="str">
        <f>IF(PNL!A447="","",_CALC_PNL!P447)</f>
        <v/>
      </c>
      <c r="I447" t="str">
        <f>IF(PNL!A447="","",IF(_CALC_PNL!E447=1,H447-G447,""))</f>
        <v/>
      </c>
    </row>
    <row r="448" spans="8:9" x14ac:dyDescent="0.45">
      <c r="H448" t="str">
        <f>IF(PNL!A448="","",_CALC_PNL!P448)</f>
        <v/>
      </c>
      <c r="I448" t="str">
        <f>IF(PNL!A448="","",IF(_CALC_PNL!E448=1,H448-G448,""))</f>
        <v/>
      </c>
    </row>
    <row r="449" spans="8:9" x14ac:dyDescent="0.45">
      <c r="H449" t="str">
        <f>IF(PNL!A449="","",_CALC_PNL!P449)</f>
        <v/>
      </c>
      <c r="I449" t="str">
        <f>IF(PNL!A449="","",IF(_CALC_PNL!E449=1,H449-G449,""))</f>
        <v/>
      </c>
    </row>
    <row r="450" spans="8:9" x14ac:dyDescent="0.45">
      <c r="H450" t="str">
        <f>IF(PNL!A450="","",_CALC_PNL!P450)</f>
        <v/>
      </c>
      <c r="I450" t="str">
        <f>IF(PNL!A450="","",IF(_CALC_PNL!E450=1,H450-G450,""))</f>
        <v/>
      </c>
    </row>
    <row r="451" spans="8:9" x14ac:dyDescent="0.45">
      <c r="H451" t="str">
        <f>IF(PNL!A451="","",_CALC_PNL!P451)</f>
        <v/>
      </c>
      <c r="I451" t="str">
        <f>IF(PNL!A451="","",IF(_CALC_PNL!E451=1,H451-G451,""))</f>
        <v/>
      </c>
    </row>
    <row r="452" spans="8:9" x14ac:dyDescent="0.45">
      <c r="H452" t="str">
        <f>IF(PNL!A452="","",_CALC_PNL!P452)</f>
        <v/>
      </c>
      <c r="I452" t="str">
        <f>IF(PNL!A452="","",IF(_CALC_PNL!E452=1,H452-G452,""))</f>
        <v/>
      </c>
    </row>
    <row r="453" spans="8:9" x14ac:dyDescent="0.45">
      <c r="H453" t="str">
        <f>IF(PNL!A453="","",_CALC_PNL!P453)</f>
        <v/>
      </c>
      <c r="I453" t="str">
        <f>IF(PNL!A453="","",IF(_CALC_PNL!E453=1,H453-G453,""))</f>
        <v/>
      </c>
    </row>
    <row r="454" spans="8:9" x14ac:dyDescent="0.45">
      <c r="H454" t="str">
        <f>IF(PNL!A454="","",_CALC_PNL!P454)</f>
        <v/>
      </c>
      <c r="I454" t="str">
        <f>IF(PNL!A454="","",IF(_CALC_PNL!E454=1,H454-G454,""))</f>
        <v/>
      </c>
    </row>
    <row r="455" spans="8:9" x14ac:dyDescent="0.45">
      <c r="H455" t="str">
        <f>IF(PNL!A455="","",_CALC_PNL!P455)</f>
        <v/>
      </c>
      <c r="I455" t="str">
        <f>IF(PNL!A455="","",IF(_CALC_PNL!E455=1,H455-G455,""))</f>
        <v/>
      </c>
    </row>
    <row r="456" spans="8:9" x14ac:dyDescent="0.45">
      <c r="H456" t="str">
        <f>IF(PNL!A456="","",_CALC_PNL!P456)</f>
        <v/>
      </c>
      <c r="I456" t="str">
        <f>IF(PNL!A456="","",IF(_CALC_PNL!E456=1,H456-G456,""))</f>
        <v/>
      </c>
    </row>
    <row r="457" spans="8:9" x14ac:dyDescent="0.45">
      <c r="H457" t="str">
        <f>IF(PNL!A457="","",_CALC_PNL!P457)</f>
        <v/>
      </c>
      <c r="I457" t="str">
        <f>IF(PNL!A457="","",IF(_CALC_PNL!E457=1,H457-G457,""))</f>
        <v/>
      </c>
    </row>
    <row r="458" spans="8:9" x14ac:dyDescent="0.45">
      <c r="H458" t="str">
        <f>IF(PNL!A458="","",_CALC_PNL!P458)</f>
        <v/>
      </c>
      <c r="I458" t="str">
        <f>IF(PNL!A458="","",IF(_CALC_PNL!E458=1,H458-G458,""))</f>
        <v/>
      </c>
    </row>
    <row r="459" spans="8:9" x14ac:dyDescent="0.45">
      <c r="H459" t="str">
        <f>IF(PNL!A459="","",_CALC_PNL!P459)</f>
        <v/>
      </c>
      <c r="I459" t="str">
        <f>IF(PNL!A459="","",IF(_CALC_PNL!E459=1,H459-G459,""))</f>
        <v/>
      </c>
    </row>
    <row r="460" spans="8:9" x14ac:dyDescent="0.45">
      <c r="H460" t="str">
        <f>IF(PNL!A460="","",_CALC_PNL!P460)</f>
        <v/>
      </c>
      <c r="I460" t="str">
        <f>IF(PNL!A460="","",IF(_CALC_PNL!E460=1,H460-G460,""))</f>
        <v/>
      </c>
    </row>
    <row r="461" spans="8:9" x14ac:dyDescent="0.45">
      <c r="H461" t="str">
        <f>IF(PNL!A461="","",_CALC_PNL!P461)</f>
        <v/>
      </c>
      <c r="I461" t="str">
        <f>IF(PNL!A461="","",IF(_CALC_PNL!E461=1,H461-G461,""))</f>
        <v/>
      </c>
    </row>
    <row r="462" spans="8:9" x14ac:dyDescent="0.45">
      <c r="H462" t="str">
        <f>IF(PNL!A462="","",_CALC_PNL!P462)</f>
        <v/>
      </c>
      <c r="I462" t="str">
        <f>IF(PNL!A462="","",IF(_CALC_PNL!E462=1,H462-G462,""))</f>
        <v/>
      </c>
    </row>
    <row r="463" spans="8:9" x14ac:dyDescent="0.45">
      <c r="H463" t="str">
        <f>IF(PNL!A463="","",_CALC_PNL!P463)</f>
        <v/>
      </c>
      <c r="I463" t="str">
        <f>IF(PNL!A463="","",IF(_CALC_PNL!E463=1,H463-G463,""))</f>
        <v/>
      </c>
    </row>
    <row r="464" spans="8:9" x14ac:dyDescent="0.45">
      <c r="H464" t="str">
        <f>IF(PNL!A464="","",_CALC_PNL!P464)</f>
        <v/>
      </c>
      <c r="I464" t="str">
        <f>IF(PNL!A464="","",IF(_CALC_PNL!E464=1,H464-G464,""))</f>
        <v/>
      </c>
    </row>
    <row r="465" spans="8:9" x14ac:dyDescent="0.45">
      <c r="H465" t="str">
        <f>IF(PNL!A465="","",_CALC_PNL!P465)</f>
        <v/>
      </c>
      <c r="I465" t="str">
        <f>IF(PNL!A465="","",IF(_CALC_PNL!E465=1,H465-G465,""))</f>
        <v/>
      </c>
    </row>
    <row r="466" spans="8:9" x14ac:dyDescent="0.45">
      <c r="H466" t="str">
        <f>IF(PNL!A466="","",_CALC_PNL!P466)</f>
        <v/>
      </c>
      <c r="I466" t="str">
        <f>IF(PNL!A466="","",IF(_CALC_PNL!E466=1,H466-G466,""))</f>
        <v/>
      </c>
    </row>
    <row r="467" spans="8:9" x14ac:dyDescent="0.45">
      <c r="H467" t="str">
        <f>IF(PNL!A467="","",_CALC_PNL!P467)</f>
        <v/>
      </c>
      <c r="I467" t="str">
        <f>IF(PNL!A467="","",IF(_CALC_PNL!E467=1,H467-G467,""))</f>
        <v/>
      </c>
    </row>
    <row r="468" spans="8:9" x14ac:dyDescent="0.45">
      <c r="H468" t="str">
        <f>IF(PNL!A468="","",_CALC_PNL!P468)</f>
        <v/>
      </c>
      <c r="I468" t="str">
        <f>IF(PNL!A468="","",IF(_CALC_PNL!E468=1,H468-G468,""))</f>
        <v/>
      </c>
    </row>
    <row r="469" spans="8:9" x14ac:dyDescent="0.45">
      <c r="H469" t="str">
        <f>IF(PNL!A469="","",_CALC_PNL!P469)</f>
        <v/>
      </c>
      <c r="I469" t="str">
        <f>IF(PNL!A469="","",IF(_CALC_PNL!E469=1,H469-G469,""))</f>
        <v/>
      </c>
    </row>
    <row r="470" spans="8:9" x14ac:dyDescent="0.45">
      <c r="H470" t="str">
        <f>IF(PNL!A470="","",_CALC_PNL!P470)</f>
        <v/>
      </c>
      <c r="I470" t="str">
        <f>IF(PNL!A470="","",IF(_CALC_PNL!E470=1,H470-G470,""))</f>
        <v/>
      </c>
    </row>
    <row r="471" spans="8:9" x14ac:dyDescent="0.45">
      <c r="H471" t="str">
        <f>IF(PNL!A471="","",_CALC_PNL!P471)</f>
        <v/>
      </c>
      <c r="I471" t="str">
        <f>IF(PNL!A471="","",IF(_CALC_PNL!E471=1,H471-G471,""))</f>
        <v/>
      </c>
    </row>
    <row r="472" spans="8:9" x14ac:dyDescent="0.45">
      <c r="H472" t="str">
        <f>IF(PNL!A472="","",_CALC_PNL!P472)</f>
        <v/>
      </c>
      <c r="I472" t="str">
        <f>IF(PNL!A472="","",IF(_CALC_PNL!E472=1,H472-G472,""))</f>
        <v/>
      </c>
    </row>
    <row r="473" spans="8:9" x14ac:dyDescent="0.45">
      <c r="H473" t="str">
        <f>IF(PNL!A473="","",_CALC_PNL!P473)</f>
        <v/>
      </c>
      <c r="I473" t="str">
        <f>IF(PNL!A473="","",IF(_CALC_PNL!E473=1,H473-G473,""))</f>
        <v/>
      </c>
    </row>
    <row r="474" spans="8:9" x14ac:dyDescent="0.45">
      <c r="H474" t="str">
        <f>IF(PNL!A474="","",_CALC_PNL!P474)</f>
        <v/>
      </c>
      <c r="I474" t="str">
        <f>IF(PNL!A474="","",IF(_CALC_PNL!E474=1,H474-G474,""))</f>
        <v/>
      </c>
    </row>
    <row r="475" spans="8:9" x14ac:dyDescent="0.45">
      <c r="H475" t="str">
        <f>IF(PNL!A475="","",_CALC_PNL!P475)</f>
        <v/>
      </c>
      <c r="I475" t="str">
        <f>IF(PNL!A475="","",IF(_CALC_PNL!E475=1,H475-G475,""))</f>
        <v/>
      </c>
    </row>
    <row r="476" spans="8:9" x14ac:dyDescent="0.45">
      <c r="H476" t="str">
        <f>IF(PNL!A476="","",_CALC_PNL!P476)</f>
        <v/>
      </c>
      <c r="I476" t="str">
        <f>IF(PNL!A476="","",IF(_CALC_PNL!E476=1,H476-G476,""))</f>
        <v/>
      </c>
    </row>
    <row r="477" spans="8:9" x14ac:dyDescent="0.45">
      <c r="H477" t="str">
        <f>IF(PNL!A477="","",_CALC_PNL!P477)</f>
        <v/>
      </c>
      <c r="I477" t="str">
        <f>IF(PNL!A477="","",IF(_CALC_PNL!E477=1,H477-G477,""))</f>
        <v/>
      </c>
    </row>
    <row r="478" spans="8:9" x14ac:dyDescent="0.45">
      <c r="H478" t="str">
        <f>IF(PNL!A478="","",_CALC_PNL!P478)</f>
        <v/>
      </c>
      <c r="I478" t="str">
        <f>IF(PNL!A478="","",IF(_CALC_PNL!E478=1,H478-G478,""))</f>
        <v/>
      </c>
    </row>
    <row r="479" spans="8:9" x14ac:dyDescent="0.45">
      <c r="H479" t="str">
        <f>IF(PNL!A479="","",_CALC_PNL!P479)</f>
        <v/>
      </c>
      <c r="I479" t="str">
        <f>IF(PNL!A479="","",IF(_CALC_PNL!E479=1,H479-G479,""))</f>
        <v/>
      </c>
    </row>
    <row r="480" spans="8:9" x14ac:dyDescent="0.45">
      <c r="H480" t="str">
        <f>IF(PNL!A480="","",_CALC_PNL!P480)</f>
        <v/>
      </c>
      <c r="I480" t="str">
        <f>IF(PNL!A480="","",IF(_CALC_PNL!E480=1,H480-G480,""))</f>
        <v/>
      </c>
    </row>
    <row r="481" spans="8:9" x14ac:dyDescent="0.45">
      <c r="H481" t="str">
        <f>IF(PNL!A481="","",_CALC_PNL!P481)</f>
        <v/>
      </c>
      <c r="I481" t="str">
        <f>IF(PNL!A481="","",IF(_CALC_PNL!E481=1,H481-G481,""))</f>
        <v/>
      </c>
    </row>
    <row r="482" spans="8:9" x14ac:dyDescent="0.45">
      <c r="H482" t="str">
        <f>IF(PNL!A482="","",_CALC_PNL!P482)</f>
        <v/>
      </c>
      <c r="I482" t="str">
        <f>IF(PNL!A482="","",IF(_CALC_PNL!E482=1,H482-G482,""))</f>
        <v/>
      </c>
    </row>
    <row r="483" spans="8:9" x14ac:dyDescent="0.45">
      <c r="H483" t="str">
        <f>IF(PNL!A483="","",_CALC_PNL!P483)</f>
        <v/>
      </c>
      <c r="I483" t="str">
        <f>IF(PNL!A483="","",IF(_CALC_PNL!E483=1,H483-G483,""))</f>
        <v/>
      </c>
    </row>
    <row r="484" spans="8:9" x14ac:dyDescent="0.45">
      <c r="H484" t="str">
        <f>IF(PNL!A484="","",_CALC_PNL!P484)</f>
        <v/>
      </c>
      <c r="I484" t="str">
        <f>IF(PNL!A484="","",IF(_CALC_PNL!E484=1,H484-G484,""))</f>
        <v/>
      </c>
    </row>
    <row r="485" spans="8:9" x14ac:dyDescent="0.45">
      <c r="H485" t="str">
        <f>IF(PNL!A485="","",_CALC_PNL!P485)</f>
        <v/>
      </c>
      <c r="I485" t="str">
        <f>IF(PNL!A485="","",IF(_CALC_PNL!E485=1,H485-G485,""))</f>
        <v/>
      </c>
    </row>
    <row r="486" spans="8:9" x14ac:dyDescent="0.45">
      <c r="H486" t="str">
        <f>IF(PNL!A486="","",_CALC_PNL!P486)</f>
        <v/>
      </c>
      <c r="I486" t="str">
        <f>IF(PNL!A486="","",IF(_CALC_PNL!E486=1,H486-G486,""))</f>
        <v/>
      </c>
    </row>
    <row r="487" spans="8:9" x14ac:dyDescent="0.45">
      <c r="H487" t="str">
        <f>IF(PNL!A487="","",_CALC_PNL!P487)</f>
        <v/>
      </c>
      <c r="I487" t="str">
        <f>IF(PNL!A487="","",IF(_CALC_PNL!E487=1,H487-G487,""))</f>
        <v/>
      </c>
    </row>
    <row r="488" spans="8:9" x14ac:dyDescent="0.45">
      <c r="H488" t="str">
        <f>IF(PNL!A488="","",_CALC_PNL!P488)</f>
        <v/>
      </c>
      <c r="I488" t="str">
        <f>IF(PNL!A488="","",IF(_CALC_PNL!E488=1,H488-G488,""))</f>
        <v/>
      </c>
    </row>
    <row r="489" spans="8:9" x14ac:dyDescent="0.45">
      <c r="H489" t="str">
        <f>IF(PNL!A489="","",_CALC_PNL!P489)</f>
        <v/>
      </c>
      <c r="I489" t="str">
        <f>IF(PNL!A489="","",IF(_CALC_PNL!E489=1,H489-G489,""))</f>
        <v/>
      </c>
    </row>
    <row r="490" spans="8:9" x14ac:dyDescent="0.45">
      <c r="H490" t="str">
        <f>IF(PNL!A490="","",_CALC_PNL!P490)</f>
        <v/>
      </c>
      <c r="I490" t="str">
        <f>IF(PNL!A490="","",IF(_CALC_PNL!E490=1,H490-G490,""))</f>
        <v/>
      </c>
    </row>
    <row r="491" spans="8:9" x14ac:dyDescent="0.45">
      <c r="H491" t="str">
        <f>IF(PNL!A491="","",_CALC_PNL!P491)</f>
        <v/>
      </c>
      <c r="I491" t="str">
        <f>IF(PNL!A491="","",IF(_CALC_PNL!E491=1,H491-G491,""))</f>
        <v/>
      </c>
    </row>
    <row r="492" spans="8:9" x14ac:dyDescent="0.45">
      <c r="H492" t="str">
        <f>IF(PNL!A492="","",_CALC_PNL!P492)</f>
        <v/>
      </c>
      <c r="I492" t="str">
        <f>IF(PNL!A492="","",IF(_CALC_PNL!E492=1,H492-G492,""))</f>
        <v/>
      </c>
    </row>
    <row r="493" spans="8:9" x14ac:dyDescent="0.45">
      <c r="H493" t="str">
        <f>IF(PNL!A493="","",_CALC_PNL!P493)</f>
        <v/>
      </c>
      <c r="I493" t="str">
        <f>IF(PNL!A493="","",IF(_CALC_PNL!E493=1,H493-G493,""))</f>
        <v/>
      </c>
    </row>
    <row r="494" spans="8:9" x14ac:dyDescent="0.45">
      <c r="H494" t="str">
        <f>IF(PNL!A494="","",_CALC_PNL!P494)</f>
        <v/>
      </c>
      <c r="I494" t="str">
        <f>IF(PNL!A494="","",IF(_CALC_PNL!E494=1,H494-G494,""))</f>
        <v/>
      </c>
    </row>
    <row r="495" spans="8:9" x14ac:dyDescent="0.45">
      <c r="H495" t="str">
        <f>IF(PNL!A495="","",_CALC_PNL!P495)</f>
        <v/>
      </c>
      <c r="I495" t="str">
        <f>IF(PNL!A495="","",IF(_CALC_PNL!E495=1,H495-G495,""))</f>
        <v/>
      </c>
    </row>
    <row r="496" spans="8:9" x14ac:dyDescent="0.45">
      <c r="H496" t="str">
        <f>IF(PNL!A496="","",_CALC_PNL!P496)</f>
        <v/>
      </c>
      <c r="I496" t="str">
        <f>IF(PNL!A496="","",IF(_CALC_PNL!E496=1,H496-G496,""))</f>
        <v/>
      </c>
    </row>
    <row r="497" spans="8:9" x14ac:dyDescent="0.45">
      <c r="H497" t="str">
        <f>IF(PNL!A497="","",_CALC_PNL!P497)</f>
        <v/>
      </c>
      <c r="I497" t="str">
        <f>IF(PNL!A497="","",IF(_CALC_PNL!E497=1,H497-G497,""))</f>
        <v/>
      </c>
    </row>
    <row r="498" spans="8:9" x14ac:dyDescent="0.45">
      <c r="H498" t="str">
        <f>IF(PNL!A498="","",_CALC_PNL!P498)</f>
        <v/>
      </c>
      <c r="I498" t="str">
        <f>IF(PNL!A498="","",IF(_CALC_PNL!E498=1,H498-G498,""))</f>
        <v/>
      </c>
    </row>
    <row r="499" spans="8:9" x14ac:dyDescent="0.45">
      <c r="H499" t="str">
        <f>IF(PNL!A499="","",_CALC_PNL!P499)</f>
        <v/>
      </c>
      <c r="I499" t="str">
        <f>IF(PNL!A499="","",IF(_CALC_PNL!E499=1,H499-G499,""))</f>
        <v/>
      </c>
    </row>
    <row r="500" spans="8:9" x14ac:dyDescent="0.45">
      <c r="H500" t="str">
        <f>IF(PNL!A500="","",_CALC_PNL!P500)</f>
        <v/>
      </c>
      <c r="I500" t="str">
        <f>IF(PNL!A500="","",IF(_CALC_PNL!E500=1,H500-G500,""))</f>
        <v/>
      </c>
    </row>
    <row r="501" spans="8:9" x14ac:dyDescent="0.45">
      <c r="H501" t="str">
        <f>IF(PNL!A501="","",_CALC_PNL!P501)</f>
        <v/>
      </c>
      <c r="I501" t="str">
        <f>IF(PNL!A501="","",IF(_CALC_PNL!E501=1,H501-G501,""))</f>
        <v/>
      </c>
    </row>
    <row r="502" spans="8:9" x14ac:dyDescent="0.45">
      <c r="H502" t="str">
        <f>IF(PNL!A502="","",_CALC_PNL!P502)</f>
        <v/>
      </c>
      <c r="I502" t="str">
        <f>IF(PNL!A502="","",IF(_CALC_PNL!E502=1,H502-G502,""))</f>
        <v/>
      </c>
    </row>
    <row r="503" spans="8:9" x14ac:dyDescent="0.45">
      <c r="H503" t="str">
        <f>IF(PNL!A503="","",_CALC_PNL!P503)</f>
        <v/>
      </c>
      <c r="I503" t="str">
        <f>IF(PNL!A503="","",IF(_CALC_PNL!E503=1,H503-G503,""))</f>
        <v/>
      </c>
    </row>
    <row r="504" spans="8:9" x14ac:dyDescent="0.45">
      <c r="H504" t="str">
        <f>IF(PNL!A504="","",_CALC_PNL!P504)</f>
        <v/>
      </c>
      <c r="I504" t="str">
        <f>IF(PNL!A504="","",IF(_CALC_PNL!E504=1,H504-G504,""))</f>
        <v/>
      </c>
    </row>
    <row r="505" spans="8:9" x14ac:dyDescent="0.45">
      <c r="H505" t="str">
        <f>IF(PNL!A505="","",_CALC_PNL!P505)</f>
        <v/>
      </c>
      <c r="I505" t="str">
        <f>IF(PNL!A505="","",IF(_CALC_PNL!E505=1,H505-G505,""))</f>
        <v/>
      </c>
    </row>
    <row r="506" spans="8:9" x14ac:dyDescent="0.45">
      <c r="H506" t="str">
        <f>IF(PNL!A506="","",_CALC_PNL!P506)</f>
        <v/>
      </c>
      <c r="I506" t="str">
        <f>IF(PNL!A506="","",IF(_CALC_PNL!E506=1,H506-G506,""))</f>
        <v/>
      </c>
    </row>
    <row r="507" spans="8:9" x14ac:dyDescent="0.45">
      <c r="H507" t="str">
        <f>IF(PNL!A507="","",_CALC_PNL!P507)</f>
        <v/>
      </c>
      <c r="I507" t="str">
        <f>IF(PNL!A507="","",IF(_CALC_PNL!E507=1,H507-G507,""))</f>
        <v/>
      </c>
    </row>
    <row r="508" spans="8:9" x14ac:dyDescent="0.45">
      <c r="H508" t="str">
        <f>IF(PNL!A508="","",_CALC_PNL!P508)</f>
        <v/>
      </c>
      <c r="I508" t="str">
        <f>IF(PNL!A508="","",IF(_CALC_PNL!E508=1,H508-G508,""))</f>
        <v/>
      </c>
    </row>
    <row r="509" spans="8:9" x14ac:dyDescent="0.45">
      <c r="H509" t="str">
        <f>IF(PNL!A509="","",_CALC_PNL!P509)</f>
        <v/>
      </c>
      <c r="I509" t="str">
        <f>IF(PNL!A509="","",IF(_CALC_PNL!E509=1,H509-G509,""))</f>
        <v/>
      </c>
    </row>
    <row r="510" spans="8:9" x14ac:dyDescent="0.45">
      <c r="H510" t="str">
        <f>IF(PNL!A510="","",_CALC_PNL!P510)</f>
        <v/>
      </c>
      <c r="I510" t="str">
        <f>IF(PNL!A510="","",IF(_CALC_PNL!E510=1,H510-G510,""))</f>
        <v/>
      </c>
    </row>
    <row r="511" spans="8:9" x14ac:dyDescent="0.45">
      <c r="H511" t="str">
        <f>IF(PNL!A511="","",_CALC_PNL!P511)</f>
        <v/>
      </c>
      <c r="I511" t="str">
        <f>IF(PNL!A511="","",IF(_CALC_PNL!E511=1,H511-G511,""))</f>
        <v/>
      </c>
    </row>
    <row r="512" spans="8:9" x14ac:dyDescent="0.45">
      <c r="H512" t="str">
        <f>IF(PNL!A512="","",_CALC_PNL!P512)</f>
        <v/>
      </c>
      <c r="I512" t="str">
        <f>IF(PNL!A512="","",IF(_CALC_PNL!E512=1,H512-G512,""))</f>
        <v/>
      </c>
    </row>
    <row r="513" spans="8:9" x14ac:dyDescent="0.45">
      <c r="H513" t="str">
        <f>IF(PNL!A513="","",_CALC_PNL!P513)</f>
        <v/>
      </c>
      <c r="I513" t="str">
        <f>IF(PNL!A513="","",IF(_CALC_PNL!E513=1,H513-G513,""))</f>
        <v/>
      </c>
    </row>
    <row r="514" spans="8:9" x14ac:dyDescent="0.45">
      <c r="H514" t="str">
        <f>IF(PNL!A514="","",_CALC_PNL!P514)</f>
        <v/>
      </c>
      <c r="I514" t="str">
        <f>IF(PNL!A514="","",IF(_CALC_PNL!E514=1,H514-G514,""))</f>
        <v/>
      </c>
    </row>
    <row r="515" spans="8:9" x14ac:dyDescent="0.45">
      <c r="H515" t="str">
        <f>IF(PNL!A515="","",_CALC_PNL!P515)</f>
        <v/>
      </c>
      <c r="I515" t="str">
        <f>IF(PNL!A515="","",IF(_CALC_PNL!E515=1,H515-G515,""))</f>
        <v/>
      </c>
    </row>
    <row r="516" spans="8:9" x14ac:dyDescent="0.45">
      <c r="H516" t="str">
        <f>IF(PNL!A516="","",_CALC_PNL!P516)</f>
        <v/>
      </c>
      <c r="I516" t="str">
        <f>IF(PNL!A516="","",IF(_CALC_PNL!E516=1,H516-G516,""))</f>
        <v/>
      </c>
    </row>
    <row r="517" spans="8:9" x14ac:dyDescent="0.45">
      <c r="H517" t="str">
        <f>IF(PNL!A517="","",_CALC_PNL!P517)</f>
        <v/>
      </c>
      <c r="I517" t="str">
        <f>IF(PNL!A517="","",IF(_CALC_PNL!E517=1,H517-G517,""))</f>
        <v/>
      </c>
    </row>
    <row r="518" spans="8:9" x14ac:dyDescent="0.45">
      <c r="H518" t="str">
        <f>IF(PNL!A518="","",_CALC_PNL!P518)</f>
        <v/>
      </c>
      <c r="I518" t="str">
        <f>IF(PNL!A518="","",IF(_CALC_PNL!E518=1,H518-G518,""))</f>
        <v/>
      </c>
    </row>
    <row r="519" spans="8:9" x14ac:dyDescent="0.45">
      <c r="H519" t="str">
        <f>IF(PNL!A519="","",_CALC_PNL!P519)</f>
        <v/>
      </c>
      <c r="I519" t="str">
        <f>IF(PNL!A519="","",IF(_CALC_PNL!E519=1,H519-G519,""))</f>
        <v/>
      </c>
    </row>
    <row r="520" spans="8:9" x14ac:dyDescent="0.45">
      <c r="H520" t="str">
        <f>IF(PNL!A520="","",_CALC_PNL!P520)</f>
        <v/>
      </c>
      <c r="I520" t="str">
        <f>IF(PNL!A520="","",IF(_CALC_PNL!E520=1,H520-G520,""))</f>
        <v/>
      </c>
    </row>
    <row r="521" spans="8:9" x14ac:dyDescent="0.45">
      <c r="H521" t="str">
        <f>IF(PNL!A521="","",_CALC_PNL!P521)</f>
        <v/>
      </c>
      <c r="I521" t="str">
        <f>IF(PNL!A521="","",IF(_CALC_PNL!E521=1,H521-G521,""))</f>
        <v/>
      </c>
    </row>
    <row r="522" spans="8:9" x14ac:dyDescent="0.45">
      <c r="H522" t="str">
        <f>IF(PNL!A522="","",_CALC_PNL!P522)</f>
        <v/>
      </c>
      <c r="I522" t="str">
        <f>IF(PNL!A522="","",IF(_CALC_PNL!E522=1,H522-G522,""))</f>
        <v/>
      </c>
    </row>
    <row r="523" spans="8:9" x14ac:dyDescent="0.45">
      <c r="H523" t="str">
        <f>IF(PNL!A523="","",_CALC_PNL!P523)</f>
        <v/>
      </c>
      <c r="I523" t="str">
        <f>IF(PNL!A523="","",IF(_CALC_PNL!E523=1,H523-G523,""))</f>
        <v/>
      </c>
    </row>
    <row r="524" spans="8:9" x14ac:dyDescent="0.45">
      <c r="H524" t="str">
        <f>IF(PNL!A524="","",_CALC_PNL!P524)</f>
        <v/>
      </c>
      <c r="I524" t="str">
        <f>IF(PNL!A524="","",IF(_CALC_PNL!E524=1,H524-G524,""))</f>
        <v/>
      </c>
    </row>
    <row r="525" spans="8:9" x14ac:dyDescent="0.45">
      <c r="H525" t="str">
        <f>IF(PNL!A525="","",_CALC_PNL!P525)</f>
        <v/>
      </c>
      <c r="I525" t="str">
        <f>IF(PNL!A525="","",IF(_CALC_PNL!E525=1,H525-G525,""))</f>
        <v/>
      </c>
    </row>
    <row r="526" spans="8:9" x14ac:dyDescent="0.45">
      <c r="H526" t="str">
        <f>IF(PNL!A526="","",_CALC_PNL!P526)</f>
        <v/>
      </c>
      <c r="I526" t="str">
        <f>IF(PNL!A526="","",IF(_CALC_PNL!E526=1,H526-G526,""))</f>
        <v/>
      </c>
    </row>
    <row r="527" spans="8:9" x14ac:dyDescent="0.45">
      <c r="H527" t="str">
        <f>IF(PNL!A527="","",_CALC_PNL!P527)</f>
        <v/>
      </c>
      <c r="I527" t="str">
        <f>IF(PNL!A527="","",IF(_CALC_PNL!E527=1,H527-G527,""))</f>
        <v/>
      </c>
    </row>
    <row r="528" spans="8:9" x14ac:dyDescent="0.45">
      <c r="H528" t="str">
        <f>IF(PNL!A528="","",_CALC_PNL!P528)</f>
        <v/>
      </c>
      <c r="I528" t="str">
        <f>IF(PNL!A528="","",IF(_CALC_PNL!E528=1,H528-G528,""))</f>
        <v/>
      </c>
    </row>
    <row r="529" spans="8:9" x14ac:dyDescent="0.45">
      <c r="H529" t="str">
        <f>IF(PNL!A529="","",_CALC_PNL!P529)</f>
        <v/>
      </c>
      <c r="I529" t="str">
        <f>IF(PNL!A529="","",IF(_CALC_PNL!E529=1,H529-G529,""))</f>
        <v/>
      </c>
    </row>
    <row r="530" spans="8:9" x14ac:dyDescent="0.45">
      <c r="H530" t="str">
        <f>IF(PNL!A530="","",_CALC_PNL!P530)</f>
        <v/>
      </c>
      <c r="I530" t="str">
        <f>IF(PNL!A530="","",IF(_CALC_PNL!E530=1,H530-G530,""))</f>
        <v/>
      </c>
    </row>
    <row r="531" spans="8:9" x14ac:dyDescent="0.45">
      <c r="H531" t="str">
        <f>IF(PNL!A531="","",_CALC_PNL!P531)</f>
        <v/>
      </c>
      <c r="I531" t="str">
        <f>IF(PNL!A531="","",IF(_CALC_PNL!E531=1,H531-G531,""))</f>
        <v/>
      </c>
    </row>
    <row r="532" spans="8:9" x14ac:dyDescent="0.45">
      <c r="H532" t="str">
        <f>IF(PNL!A532="","",_CALC_PNL!P532)</f>
        <v/>
      </c>
      <c r="I532" t="str">
        <f>IF(PNL!A532="","",IF(_CALC_PNL!E532=1,H532-G532,""))</f>
        <v/>
      </c>
    </row>
    <row r="533" spans="8:9" x14ac:dyDescent="0.45">
      <c r="H533" t="str">
        <f>IF(PNL!A533="","",_CALC_PNL!P533)</f>
        <v/>
      </c>
      <c r="I533" t="str">
        <f>IF(PNL!A533="","",IF(_CALC_PNL!E533=1,H533-G533,""))</f>
        <v/>
      </c>
    </row>
    <row r="534" spans="8:9" x14ac:dyDescent="0.45">
      <c r="H534" t="str">
        <f>IF(PNL!A534="","",_CALC_PNL!P534)</f>
        <v/>
      </c>
      <c r="I534" t="str">
        <f>IF(PNL!A534="","",IF(_CALC_PNL!E534=1,H534-G534,""))</f>
        <v/>
      </c>
    </row>
    <row r="535" spans="8:9" x14ac:dyDescent="0.45">
      <c r="H535" t="str">
        <f>IF(PNL!A535="","",_CALC_PNL!P535)</f>
        <v/>
      </c>
      <c r="I535" t="str">
        <f>IF(PNL!A535="","",IF(_CALC_PNL!E535=1,H535-G535,""))</f>
        <v/>
      </c>
    </row>
    <row r="536" spans="8:9" x14ac:dyDescent="0.45">
      <c r="H536" t="str">
        <f>IF(PNL!A536="","",_CALC_PNL!P536)</f>
        <v/>
      </c>
      <c r="I536" t="str">
        <f>IF(PNL!A536="","",IF(_CALC_PNL!E536=1,H536-G536,""))</f>
        <v/>
      </c>
    </row>
    <row r="537" spans="8:9" x14ac:dyDescent="0.45">
      <c r="H537" t="str">
        <f>IF(PNL!A537="","",_CALC_PNL!P537)</f>
        <v/>
      </c>
      <c r="I537" t="str">
        <f>IF(PNL!A537="","",IF(_CALC_PNL!E537=1,H537-G537,""))</f>
        <v/>
      </c>
    </row>
    <row r="538" spans="8:9" x14ac:dyDescent="0.45">
      <c r="H538" t="str">
        <f>IF(PNL!A538="","",_CALC_PNL!P538)</f>
        <v/>
      </c>
      <c r="I538" t="str">
        <f>IF(PNL!A538="","",IF(_CALC_PNL!E538=1,H538-G538,""))</f>
        <v/>
      </c>
    </row>
    <row r="539" spans="8:9" x14ac:dyDescent="0.45">
      <c r="H539" t="str">
        <f>IF(PNL!A539="","",_CALC_PNL!P539)</f>
        <v/>
      </c>
      <c r="I539" t="str">
        <f>IF(PNL!A539="","",IF(_CALC_PNL!E539=1,H539-G539,""))</f>
        <v/>
      </c>
    </row>
    <row r="540" spans="8:9" x14ac:dyDescent="0.45">
      <c r="H540" t="str">
        <f>IF(PNL!A540="","",_CALC_PNL!P540)</f>
        <v/>
      </c>
      <c r="I540" t="str">
        <f>IF(PNL!A540="","",IF(_CALC_PNL!E540=1,H540-G540,""))</f>
        <v/>
      </c>
    </row>
    <row r="541" spans="8:9" x14ac:dyDescent="0.45">
      <c r="H541" t="str">
        <f>IF(PNL!A541="","",_CALC_PNL!P541)</f>
        <v/>
      </c>
      <c r="I541" t="str">
        <f>IF(PNL!A541="","",IF(_CALC_PNL!E541=1,H541-G541,""))</f>
        <v/>
      </c>
    </row>
    <row r="542" spans="8:9" x14ac:dyDescent="0.45">
      <c r="H542" t="str">
        <f>IF(PNL!A542="","",_CALC_PNL!P542)</f>
        <v/>
      </c>
      <c r="I542" t="str">
        <f>IF(PNL!A542="","",IF(_CALC_PNL!E542=1,H542-G542,""))</f>
        <v/>
      </c>
    </row>
    <row r="543" spans="8:9" x14ac:dyDescent="0.45">
      <c r="H543" t="str">
        <f>IF(PNL!A543="","",_CALC_PNL!P543)</f>
        <v/>
      </c>
      <c r="I543" t="str">
        <f>IF(PNL!A543="","",IF(_CALC_PNL!E543=1,H543-G543,""))</f>
        <v/>
      </c>
    </row>
    <row r="544" spans="8:9" x14ac:dyDescent="0.45">
      <c r="H544" t="str">
        <f>IF(PNL!A544="","",_CALC_PNL!P544)</f>
        <v/>
      </c>
      <c r="I544" t="str">
        <f>IF(PNL!A544="","",IF(_CALC_PNL!E544=1,H544-G544,""))</f>
        <v/>
      </c>
    </row>
    <row r="545" spans="8:9" x14ac:dyDescent="0.45">
      <c r="H545" t="str">
        <f>IF(PNL!A545="","",_CALC_PNL!P545)</f>
        <v/>
      </c>
      <c r="I545" t="str">
        <f>IF(PNL!A545="","",IF(_CALC_PNL!E545=1,H545-G545,""))</f>
        <v/>
      </c>
    </row>
    <row r="546" spans="8:9" x14ac:dyDescent="0.45">
      <c r="H546" t="str">
        <f>IF(PNL!A546="","",_CALC_PNL!P546)</f>
        <v/>
      </c>
      <c r="I546" t="str">
        <f>IF(PNL!A546="","",IF(_CALC_PNL!E546=1,H546-G546,""))</f>
        <v/>
      </c>
    </row>
    <row r="547" spans="8:9" x14ac:dyDescent="0.45">
      <c r="H547" t="str">
        <f>IF(PNL!A547="","",_CALC_PNL!P547)</f>
        <v/>
      </c>
      <c r="I547" t="str">
        <f>IF(PNL!A547="","",IF(_CALC_PNL!E547=1,H547-G547,""))</f>
        <v/>
      </c>
    </row>
    <row r="548" spans="8:9" x14ac:dyDescent="0.45">
      <c r="H548" t="str">
        <f>IF(PNL!A548="","",_CALC_PNL!P548)</f>
        <v/>
      </c>
      <c r="I548" t="str">
        <f>IF(PNL!A548="","",IF(_CALC_PNL!E548=1,H548-G548,""))</f>
        <v/>
      </c>
    </row>
    <row r="549" spans="8:9" x14ac:dyDescent="0.45">
      <c r="H549" t="str">
        <f>IF(PNL!A549="","",_CALC_PNL!P549)</f>
        <v/>
      </c>
      <c r="I549" t="str">
        <f>IF(PNL!A549="","",IF(_CALC_PNL!E549=1,H549-G549,""))</f>
        <v/>
      </c>
    </row>
    <row r="550" spans="8:9" x14ac:dyDescent="0.45">
      <c r="H550" t="str">
        <f>IF(PNL!A550="","",_CALC_PNL!P550)</f>
        <v/>
      </c>
      <c r="I550" t="str">
        <f>IF(PNL!A550="","",IF(_CALC_PNL!E550=1,H550-G550,""))</f>
        <v/>
      </c>
    </row>
    <row r="551" spans="8:9" x14ac:dyDescent="0.45">
      <c r="H551" t="str">
        <f>IF(PNL!A551="","",_CALC_PNL!P551)</f>
        <v/>
      </c>
      <c r="I551" t="str">
        <f>IF(PNL!A551="","",IF(_CALC_PNL!E551=1,H551-G551,""))</f>
        <v/>
      </c>
    </row>
    <row r="552" spans="8:9" x14ac:dyDescent="0.45">
      <c r="H552" t="str">
        <f>IF(PNL!A552="","",_CALC_PNL!P552)</f>
        <v/>
      </c>
      <c r="I552" t="str">
        <f>IF(PNL!A552="","",IF(_CALC_PNL!E552=1,H552-G552,""))</f>
        <v/>
      </c>
    </row>
    <row r="553" spans="8:9" x14ac:dyDescent="0.45">
      <c r="H553" t="str">
        <f>IF(PNL!A553="","",_CALC_PNL!P553)</f>
        <v/>
      </c>
      <c r="I553" t="str">
        <f>IF(PNL!A553="","",IF(_CALC_PNL!E553=1,H553-G553,""))</f>
        <v/>
      </c>
    </row>
    <row r="554" spans="8:9" x14ac:dyDescent="0.45">
      <c r="H554" t="str">
        <f>IF(PNL!A554="","",_CALC_PNL!P554)</f>
        <v/>
      </c>
      <c r="I554" t="str">
        <f>IF(PNL!A554="","",IF(_CALC_PNL!E554=1,H554-G554,""))</f>
        <v/>
      </c>
    </row>
    <row r="555" spans="8:9" x14ac:dyDescent="0.45">
      <c r="H555" t="str">
        <f>IF(PNL!A555="","",_CALC_PNL!P555)</f>
        <v/>
      </c>
      <c r="I555" t="str">
        <f>IF(PNL!A555="","",IF(_CALC_PNL!E555=1,H555-G555,""))</f>
        <v/>
      </c>
    </row>
    <row r="556" spans="8:9" x14ac:dyDescent="0.45">
      <c r="H556" t="str">
        <f>IF(PNL!A556="","",_CALC_PNL!P556)</f>
        <v/>
      </c>
      <c r="I556" t="str">
        <f>IF(PNL!A556="","",IF(_CALC_PNL!E556=1,H556-G556,""))</f>
        <v/>
      </c>
    </row>
    <row r="557" spans="8:9" x14ac:dyDescent="0.45">
      <c r="H557" t="str">
        <f>IF(PNL!A557="","",_CALC_PNL!P557)</f>
        <v/>
      </c>
      <c r="I557" t="str">
        <f>IF(PNL!A557="","",IF(_CALC_PNL!E557=1,H557-G557,""))</f>
        <v/>
      </c>
    </row>
    <row r="558" spans="8:9" x14ac:dyDescent="0.45">
      <c r="H558" t="str">
        <f>IF(PNL!A558="","",_CALC_PNL!P558)</f>
        <v/>
      </c>
      <c r="I558" t="str">
        <f>IF(PNL!A558="","",IF(_CALC_PNL!E558=1,H558-G558,""))</f>
        <v/>
      </c>
    </row>
    <row r="559" spans="8:9" x14ac:dyDescent="0.45">
      <c r="H559" t="str">
        <f>IF(PNL!A559="","",_CALC_PNL!P559)</f>
        <v/>
      </c>
      <c r="I559" t="str">
        <f>IF(PNL!A559="","",IF(_CALC_PNL!E559=1,H559-G559,""))</f>
        <v/>
      </c>
    </row>
    <row r="560" spans="8:9" x14ac:dyDescent="0.45">
      <c r="H560" t="str">
        <f>IF(PNL!A560="","",_CALC_PNL!P560)</f>
        <v/>
      </c>
      <c r="I560" t="str">
        <f>IF(PNL!A560="","",IF(_CALC_PNL!E560=1,H560-G560,""))</f>
        <v/>
      </c>
    </row>
    <row r="561" spans="8:9" x14ac:dyDescent="0.45">
      <c r="H561" t="str">
        <f>IF(PNL!A561="","",_CALC_PNL!P561)</f>
        <v/>
      </c>
      <c r="I561" t="str">
        <f>IF(PNL!A561="","",IF(_CALC_PNL!E561=1,H561-G561,""))</f>
        <v/>
      </c>
    </row>
    <row r="562" spans="8:9" x14ac:dyDescent="0.45">
      <c r="H562" t="str">
        <f>IF(PNL!A562="","",_CALC_PNL!P562)</f>
        <v/>
      </c>
      <c r="I562" t="str">
        <f>IF(PNL!A562="","",IF(_CALC_PNL!E562=1,H562-G562,""))</f>
        <v/>
      </c>
    </row>
    <row r="563" spans="8:9" x14ac:dyDescent="0.45">
      <c r="H563" t="str">
        <f>IF(PNL!A563="","",_CALC_PNL!P563)</f>
        <v/>
      </c>
      <c r="I563" t="str">
        <f>IF(PNL!A563="","",IF(_CALC_PNL!E563=1,H563-G563,""))</f>
        <v/>
      </c>
    </row>
    <row r="564" spans="8:9" x14ac:dyDescent="0.45">
      <c r="H564" t="str">
        <f>IF(PNL!A564="","",_CALC_PNL!P564)</f>
        <v/>
      </c>
      <c r="I564" t="str">
        <f>IF(PNL!A564="","",IF(_CALC_PNL!E564=1,H564-G564,""))</f>
        <v/>
      </c>
    </row>
    <row r="565" spans="8:9" x14ac:dyDescent="0.45">
      <c r="H565" t="str">
        <f>IF(PNL!A565="","",_CALC_PNL!P565)</f>
        <v/>
      </c>
      <c r="I565" t="str">
        <f>IF(PNL!A565="","",IF(_CALC_PNL!E565=1,H565-G565,""))</f>
        <v/>
      </c>
    </row>
    <row r="566" spans="8:9" x14ac:dyDescent="0.45">
      <c r="H566" t="str">
        <f>IF(PNL!A566="","",_CALC_PNL!P566)</f>
        <v/>
      </c>
      <c r="I566" t="str">
        <f>IF(PNL!A566="","",IF(_CALC_PNL!E566=1,H566-G566,""))</f>
        <v/>
      </c>
    </row>
    <row r="567" spans="8:9" x14ac:dyDescent="0.45">
      <c r="H567" t="str">
        <f>IF(PNL!A567="","",_CALC_PNL!P567)</f>
        <v/>
      </c>
      <c r="I567" t="str">
        <f>IF(PNL!A567="","",IF(_CALC_PNL!E567=1,H567-G567,""))</f>
        <v/>
      </c>
    </row>
    <row r="568" spans="8:9" x14ac:dyDescent="0.45">
      <c r="H568" t="str">
        <f>IF(PNL!A568="","",_CALC_PNL!P568)</f>
        <v/>
      </c>
      <c r="I568" t="str">
        <f>IF(PNL!A568="","",IF(_CALC_PNL!E568=1,H568-G568,""))</f>
        <v/>
      </c>
    </row>
    <row r="569" spans="8:9" x14ac:dyDescent="0.45">
      <c r="H569" t="str">
        <f>IF(PNL!A569="","",_CALC_PNL!P569)</f>
        <v/>
      </c>
      <c r="I569" t="str">
        <f>IF(PNL!A569="","",IF(_CALC_PNL!E569=1,H569-G569,""))</f>
        <v/>
      </c>
    </row>
    <row r="570" spans="8:9" x14ac:dyDescent="0.45">
      <c r="H570" t="str">
        <f>IF(PNL!A570="","",_CALC_PNL!P570)</f>
        <v/>
      </c>
      <c r="I570" t="str">
        <f>IF(PNL!A570="","",IF(_CALC_PNL!E570=1,H570-G570,""))</f>
        <v/>
      </c>
    </row>
    <row r="571" spans="8:9" x14ac:dyDescent="0.45">
      <c r="H571" t="str">
        <f>IF(PNL!A571="","",_CALC_PNL!P571)</f>
        <v/>
      </c>
      <c r="I571" t="str">
        <f>IF(PNL!A571="","",IF(_CALC_PNL!E571=1,H571-G571,""))</f>
        <v/>
      </c>
    </row>
    <row r="572" spans="8:9" x14ac:dyDescent="0.45">
      <c r="H572" t="str">
        <f>IF(PNL!A572="","",_CALC_PNL!P572)</f>
        <v/>
      </c>
      <c r="I572" t="str">
        <f>IF(PNL!A572="","",IF(_CALC_PNL!E572=1,H572-G572,""))</f>
        <v/>
      </c>
    </row>
    <row r="573" spans="8:9" x14ac:dyDescent="0.45">
      <c r="H573" t="str">
        <f>IF(PNL!A573="","",_CALC_PNL!P573)</f>
        <v/>
      </c>
      <c r="I573" t="str">
        <f>IF(PNL!A573="","",IF(_CALC_PNL!E573=1,H573-G573,""))</f>
        <v/>
      </c>
    </row>
    <row r="574" spans="8:9" x14ac:dyDescent="0.45">
      <c r="H574" t="str">
        <f>IF(PNL!A574="","",_CALC_PNL!P574)</f>
        <v/>
      </c>
      <c r="I574" t="str">
        <f>IF(PNL!A574="","",IF(_CALC_PNL!E574=1,H574-G574,""))</f>
        <v/>
      </c>
    </row>
    <row r="575" spans="8:9" x14ac:dyDescent="0.45">
      <c r="H575" t="str">
        <f>IF(PNL!A575="","",_CALC_PNL!P575)</f>
        <v/>
      </c>
      <c r="I575" t="str">
        <f>IF(PNL!A575="","",IF(_CALC_PNL!E575=1,H575-G575,""))</f>
        <v/>
      </c>
    </row>
    <row r="576" spans="8:9" x14ac:dyDescent="0.45">
      <c r="H576" t="str">
        <f>IF(PNL!A576="","",_CALC_PNL!P576)</f>
        <v/>
      </c>
      <c r="I576" t="str">
        <f>IF(PNL!A576="","",IF(_CALC_PNL!E576=1,H576-G576,""))</f>
        <v/>
      </c>
    </row>
    <row r="577" spans="8:9" x14ac:dyDescent="0.45">
      <c r="H577" t="str">
        <f>IF(PNL!A577="","",_CALC_PNL!P577)</f>
        <v/>
      </c>
      <c r="I577" t="str">
        <f>IF(PNL!A577="","",IF(_CALC_PNL!E577=1,H577-G577,""))</f>
        <v/>
      </c>
    </row>
    <row r="578" spans="8:9" x14ac:dyDescent="0.45">
      <c r="H578" t="str">
        <f>IF(PNL!A578="","",_CALC_PNL!P578)</f>
        <v/>
      </c>
      <c r="I578" t="str">
        <f>IF(PNL!A578="","",IF(_CALC_PNL!E578=1,H578-G578,""))</f>
        <v/>
      </c>
    </row>
    <row r="579" spans="8:9" x14ac:dyDescent="0.45">
      <c r="H579" t="str">
        <f>IF(PNL!A579="","",_CALC_PNL!P579)</f>
        <v/>
      </c>
      <c r="I579" t="str">
        <f>IF(PNL!A579="","",IF(_CALC_PNL!E579=1,H579-G579,""))</f>
        <v/>
      </c>
    </row>
    <row r="580" spans="8:9" x14ac:dyDescent="0.45">
      <c r="H580" t="str">
        <f>IF(PNL!A580="","",_CALC_PNL!P580)</f>
        <v/>
      </c>
      <c r="I580" t="str">
        <f>IF(PNL!A580="","",IF(_CALC_PNL!E580=1,H580-G580,""))</f>
        <v/>
      </c>
    </row>
    <row r="581" spans="8:9" x14ac:dyDescent="0.45">
      <c r="H581" t="str">
        <f>IF(PNL!A581="","",_CALC_PNL!P581)</f>
        <v/>
      </c>
      <c r="I581" t="str">
        <f>IF(PNL!A581="","",IF(_CALC_PNL!E581=1,H581-G581,""))</f>
        <v/>
      </c>
    </row>
    <row r="582" spans="8:9" x14ac:dyDescent="0.45">
      <c r="H582" t="str">
        <f>IF(PNL!A582="","",_CALC_PNL!P582)</f>
        <v/>
      </c>
      <c r="I582" t="str">
        <f>IF(PNL!A582="","",IF(_CALC_PNL!E582=1,H582-G582,""))</f>
        <v/>
      </c>
    </row>
    <row r="583" spans="8:9" x14ac:dyDescent="0.45">
      <c r="H583" t="str">
        <f>IF(PNL!A583="","",_CALC_PNL!P583)</f>
        <v/>
      </c>
      <c r="I583" t="str">
        <f>IF(PNL!A583="","",IF(_CALC_PNL!E583=1,H583-G583,""))</f>
        <v/>
      </c>
    </row>
    <row r="584" spans="8:9" x14ac:dyDescent="0.45">
      <c r="H584" t="str">
        <f>IF(PNL!A584="","",_CALC_PNL!P584)</f>
        <v/>
      </c>
      <c r="I584" t="str">
        <f>IF(PNL!A584="","",IF(_CALC_PNL!E584=1,H584-G584,""))</f>
        <v/>
      </c>
    </row>
    <row r="585" spans="8:9" x14ac:dyDescent="0.45">
      <c r="H585" t="str">
        <f>IF(PNL!A585="","",_CALC_PNL!P585)</f>
        <v/>
      </c>
      <c r="I585" t="str">
        <f>IF(PNL!A585="","",IF(_CALC_PNL!E585=1,H585-G585,""))</f>
        <v/>
      </c>
    </row>
    <row r="586" spans="8:9" x14ac:dyDescent="0.45">
      <c r="H586" t="str">
        <f>IF(PNL!A586="","",_CALC_PNL!P586)</f>
        <v/>
      </c>
      <c r="I586" t="str">
        <f>IF(PNL!A586="","",IF(_CALC_PNL!E586=1,H586-G586,""))</f>
        <v/>
      </c>
    </row>
    <row r="587" spans="8:9" x14ac:dyDescent="0.45">
      <c r="H587" t="str">
        <f>IF(PNL!A587="","",_CALC_PNL!P587)</f>
        <v/>
      </c>
      <c r="I587" t="str">
        <f>IF(PNL!A587="","",IF(_CALC_PNL!E587=1,H587-G587,""))</f>
        <v/>
      </c>
    </row>
    <row r="588" spans="8:9" x14ac:dyDescent="0.45">
      <c r="H588" t="str">
        <f>IF(PNL!A588="","",_CALC_PNL!P588)</f>
        <v/>
      </c>
      <c r="I588" t="str">
        <f>IF(PNL!A588="","",IF(_CALC_PNL!E588=1,H588-G588,""))</f>
        <v/>
      </c>
    </row>
    <row r="589" spans="8:9" x14ac:dyDescent="0.45">
      <c r="H589" t="str">
        <f>IF(PNL!A589="","",_CALC_PNL!P589)</f>
        <v/>
      </c>
      <c r="I589" t="str">
        <f>IF(PNL!A589="","",IF(_CALC_PNL!E589=1,H589-G589,""))</f>
        <v/>
      </c>
    </row>
    <row r="590" spans="8:9" x14ac:dyDescent="0.45">
      <c r="H590" t="str">
        <f>IF(PNL!A590="","",_CALC_PNL!P590)</f>
        <v/>
      </c>
      <c r="I590" t="str">
        <f>IF(PNL!A590="","",IF(_CALC_PNL!E590=1,H590-G590,""))</f>
        <v/>
      </c>
    </row>
    <row r="591" spans="8:9" x14ac:dyDescent="0.45">
      <c r="H591" t="str">
        <f>IF(PNL!A591="","",_CALC_PNL!P591)</f>
        <v/>
      </c>
      <c r="I591" t="str">
        <f>IF(PNL!A591="","",IF(_CALC_PNL!E591=1,H591-G591,""))</f>
        <v/>
      </c>
    </row>
    <row r="592" spans="8:9" x14ac:dyDescent="0.45">
      <c r="H592" t="str">
        <f>IF(PNL!A592="","",_CALC_PNL!P592)</f>
        <v/>
      </c>
      <c r="I592" t="str">
        <f>IF(PNL!A592="","",IF(_CALC_PNL!E592=1,H592-G592,""))</f>
        <v/>
      </c>
    </row>
    <row r="593" spans="8:9" x14ac:dyDescent="0.45">
      <c r="H593" t="str">
        <f>IF(PNL!A593="","",_CALC_PNL!P593)</f>
        <v/>
      </c>
      <c r="I593" t="str">
        <f>IF(PNL!A593="","",IF(_CALC_PNL!E593=1,H593-G593,""))</f>
        <v/>
      </c>
    </row>
    <row r="594" spans="8:9" x14ac:dyDescent="0.45">
      <c r="H594" t="str">
        <f>IF(PNL!A594="","",_CALC_PNL!P594)</f>
        <v/>
      </c>
      <c r="I594" t="str">
        <f>IF(PNL!A594="","",IF(_CALC_PNL!E594=1,H594-G594,""))</f>
        <v/>
      </c>
    </row>
    <row r="595" spans="8:9" x14ac:dyDescent="0.45">
      <c r="H595" t="str">
        <f>IF(PNL!A595="","",_CALC_PNL!P595)</f>
        <v/>
      </c>
      <c r="I595" t="str">
        <f>IF(PNL!A595="","",IF(_CALC_PNL!E595=1,H595-G595,""))</f>
        <v/>
      </c>
    </row>
    <row r="596" spans="8:9" x14ac:dyDescent="0.45">
      <c r="H596" t="str">
        <f>IF(PNL!A596="","",_CALC_PNL!P596)</f>
        <v/>
      </c>
      <c r="I596" t="str">
        <f>IF(PNL!A596="","",IF(_CALC_PNL!E596=1,H596-G596,""))</f>
        <v/>
      </c>
    </row>
    <row r="597" spans="8:9" x14ac:dyDescent="0.45">
      <c r="H597" t="str">
        <f>IF(PNL!A597="","",_CALC_PNL!P597)</f>
        <v/>
      </c>
      <c r="I597" t="str">
        <f>IF(PNL!A597="","",IF(_CALC_PNL!E597=1,H597-G597,""))</f>
        <v/>
      </c>
    </row>
    <row r="598" spans="8:9" x14ac:dyDescent="0.45">
      <c r="H598" t="str">
        <f>IF(PNL!A598="","",_CALC_PNL!P598)</f>
        <v/>
      </c>
      <c r="I598" t="str">
        <f>IF(PNL!A598="","",IF(_CALC_PNL!E598=1,H598-G598,""))</f>
        <v/>
      </c>
    </row>
    <row r="599" spans="8:9" x14ac:dyDescent="0.45">
      <c r="H599" t="str">
        <f>IF(PNL!A599="","",_CALC_PNL!P599)</f>
        <v/>
      </c>
      <c r="I599" t="str">
        <f>IF(PNL!A599="","",IF(_CALC_PNL!E599=1,H599-G599,""))</f>
        <v/>
      </c>
    </row>
    <row r="600" spans="8:9" x14ac:dyDescent="0.45">
      <c r="H600" t="str">
        <f>IF(PNL!A600="","",_CALC_PNL!P600)</f>
        <v/>
      </c>
      <c r="I600" t="str">
        <f>IF(PNL!A600="","",IF(_CALC_PNL!E600=1,H600-G600,""))</f>
        <v/>
      </c>
    </row>
    <row r="601" spans="8:9" x14ac:dyDescent="0.45">
      <c r="H601" t="str">
        <f>IF(PNL!A601="","",_CALC_PNL!P601)</f>
        <v/>
      </c>
      <c r="I601" t="str">
        <f>IF(PNL!A601="","",IF(_CALC_PNL!E601=1,H601-G601,""))</f>
        <v/>
      </c>
    </row>
    <row r="602" spans="8:9" x14ac:dyDescent="0.45">
      <c r="H602" t="str">
        <f>IF(PNL!A602="","",_CALC_PNL!P602)</f>
        <v/>
      </c>
      <c r="I602" t="str">
        <f>IF(PNL!A602="","",IF(_CALC_PNL!E602=1,H602-G602,""))</f>
        <v/>
      </c>
    </row>
    <row r="603" spans="8:9" x14ac:dyDescent="0.45">
      <c r="H603" t="str">
        <f>IF(PNL!A603="","",_CALC_PNL!P603)</f>
        <v/>
      </c>
      <c r="I603" t="str">
        <f>IF(PNL!A603="","",IF(_CALC_PNL!E603=1,H603-G603,""))</f>
        <v/>
      </c>
    </row>
    <row r="604" spans="8:9" x14ac:dyDescent="0.45">
      <c r="H604" t="str">
        <f>IF(PNL!A604="","",_CALC_PNL!P604)</f>
        <v/>
      </c>
      <c r="I604" t="str">
        <f>IF(PNL!A604="","",IF(_CALC_PNL!E604=1,H604-G604,""))</f>
        <v/>
      </c>
    </row>
    <row r="605" spans="8:9" x14ac:dyDescent="0.45">
      <c r="H605" t="str">
        <f>IF(PNL!A605="","",_CALC_PNL!P605)</f>
        <v/>
      </c>
      <c r="I605" t="str">
        <f>IF(PNL!A605="","",IF(_CALC_PNL!E605=1,H605-G605,""))</f>
        <v/>
      </c>
    </row>
    <row r="606" spans="8:9" x14ac:dyDescent="0.45">
      <c r="H606" t="str">
        <f>IF(PNL!A606="","",_CALC_PNL!P606)</f>
        <v/>
      </c>
      <c r="I606" t="str">
        <f>IF(PNL!A606="","",IF(_CALC_PNL!E606=1,H606-G606,""))</f>
        <v/>
      </c>
    </row>
    <row r="607" spans="8:9" x14ac:dyDescent="0.45">
      <c r="H607" t="str">
        <f>IF(PNL!A607="","",_CALC_PNL!P607)</f>
        <v/>
      </c>
      <c r="I607" t="str">
        <f>IF(PNL!A607="","",IF(_CALC_PNL!E607=1,H607-G607,""))</f>
        <v/>
      </c>
    </row>
    <row r="608" spans="8:9" x14ac:dyDescent="0.45">
      <c r="H608" t="str">
        <f>IF(PNL!A608="","",_CALC_PNL!P608)</f>
        <v/>
      </c>
      <c r="I608" t="str">
        <f>IF(PNL!A608="","",IF(_CALC_PNL!E608=1,H608-G608,""))</f>
        <v/>
      </c>
    </row>
    <row r="609" spans="8:9" x14ac:dyDescent="0.45">
      <c r="H609" t="str">
        <f>IF(PNL!A609="","",_CALC_PNL!P609)</f>
        <v/>
      </c>
      <c r="I609" t="str">
        <f>IF(PNL!A609="","",IF(_CALC_PNL!E609=1,H609-G609,""))</f>
        <v/>
      </c>
    </row>
    <row r="610" spans="8:9" x14ac:dyDescent="0.45">
      <c r="H610" t="str">
        <f>IF(PNL!A610="","",_CALC_PNL!P610)</f>
        <v/>
      </c>
      <c r="I610" t="str">
        <f>IF(PNL!A610="","",IF(_CALC_PNL!E610=1,H610-G610,""))</f>
        <v/>
      </c>
    </row>
    <row r="611" spans="8:9" x14ac:dyDescent="0.45">
      <c r="H611" t="str">
        <f>IF(PNL!A611="","",_CALC_PNL!P611)</f>
        <v/>
      </c>
      <c r="I611" t="str">
        <f>IF(PNL!A611="","",IF(_CALC_PNL!E611=1,H611-G611,""))</f>
        <v/>
      </c>
    </row>
    <row r="612" spans="8:9" x14ac:dyDescent="0.45">
      <c r="H612" t="str">
        <f>IF(PNL!A612="","",_CALC_PNL!P612)</f>
        <v/>
      </c>
      <c r="I612" t="str">
        <f>IF(PNL!A612="","",IF(_CALC_PNL!E612=1,H612-G612,""))</f>
        <v/>
      </c>
    </row>
    <row r="613" spans="8:9" x14ac:dyDescent="0.45">
      <c r="H613" t="str">
        <f>IF(PNL!A613="","",_CALC_PNL!P613)</f>
        <v/>
      </c>
      <c r="I613" t="str">
        <f>IF(PNL!A613="","",IF(_CALC_PNL!E613=1,H613-G613,""))</f>
        <v/>
      </c>
    </row>
    <row r="614" spans="8:9" x14ac:dyDescent="0.45">
      <c r="H614" t="str">
        <f>IF(PNL!A614="","",_CALC_PNL!P614)</f>
        <v/>
      </c>
      <c r="I614" t="str">
        <f>IF(PNL!A614="","",IF(_CALC_PNL!E614=1,H614-G614,""))</f>
        <v/>
      </c>
    </row>
    <row r="615" spans="8:9" x14ac:dyDescent="0.45">
      <c r="H615" t="str">
        <f>IF(PNL!A615="","",_CALC_PNL!P615)</f>
        <v/>
      </c>
      <c r="I615" t="str">
        <f>IF(PNL!A615="","",IF(_CALC_PNL!E615=1,H615-G615,""))</f>
        <v/>
      </c>
    </row>
    <row r="616" spans="8:9" x14ac:dyDescent="0.45">
      <c r="H616" t="str">
        <f>IF(PNL!A616="","",_CALC_PNL!P616)</f>
        <v/>
      </c>
      <c r="I616" t="str">
        <f>IF(PNL!A616="","",IF(_CALC_PNL!E616=1,H616-G616,""))</f>
        <v/>
      </c>
    </row>
    <row r="617" spans="8:9" x14ac:dyDescent="0.45">
      <c r="H617" t="str">
        <f>IF(PNL!A617="","",_CALC_PNL!P617)</f>
        <v/>
      </c>
      <c r="I617" t="str">
        <f>IF(PNL!A617="","",IF(_CALC_PNL!E617=1,H617-G617,""))</f>
        <v/>
      </c>
    </row>
    <row r="618" spans="8:9" x14ac:dyDescent="0.45">
      <c r="H618" t="str">
        <f>IF(PNL!A618="","",_CALC_PNL!P618)</f>
        <v/>
      </c>
      <c r="I618" t="str">
        <f>IF(PNL!A618="","",IF(_CALC_PNL!E618=1,H618-G618,""))</f>
        <v/>
      </c>
    </row>
    <row r="619" spans="8:9" x14ac:dyDescent="0.45">
      <c r="H619" t="str">
        <f>IF(PNL!A619="","",_CALC_PNL!P619)</f>
        <v/>
      </c>
      <c r="I619" t="str">
        <f>IF(PNL!A619="","",IF(_CALC_PNL!E619=1,H619-G619,""))</f>
        <v/>
      </c>
    </row>
    <row r="620" spans="8:9" x14ac:dyDescent="0.45">
      <c r="H620" t="str">
        <f>IF(PNL!A620="","",_CALC_PNL!P620)</f>
        <v/>
      </c>
      <c r="I620" t="str">
        <f>IF(PNL!A620="","",IF(_CALC_PNL!E620=1,H620-G620,""))</f>
        <v/>
      </c>
    </row>
    <row r="621" spans="8:9" x14ac:dyDescent="0.45">
      <c r="H621" t="str">
        <f>IF(PNL!A621="","",_CALC_PNL!P621)</f>
        <v/>
      </c>
      <c r="I621" t="str">
        <f>IF(PNL!A621="","",IF(_CALC_PNL!E621=1,H621-G621,""))</f>
        <v/>
      </c>
    </row>
    <row r="622" spans="8:9" x14ac:dyDescent="0.45">
      <c r="H622" t="str">
        <f>IF(PNL!A622="","",_CALC_PNL!P622)</f>
        <v/>
      </c>
      <c r="I622" t="str">
        <f>IF(PNL!A622="","",IF(_CALC_PNL!E622=1,H622-G622,""))</f>
        <v/>
      </c>
    </row>
    <row r="623" spans="8:9" x14ac:dyDescent="0.45">
      <c r="H623" t="str">
        <f>IF(PNL!A623="","",_CALC_PNL!P623)</f>
        <v/>
      </c>
      <c r="I623" t="str">
        <f>IF(PNL!A623="","",IF(_CALC_PNL!E623=1,H623-G623,""))</f>
        <v/>
      </c>
    </row>
    <row r="624" spans="8:9" x14ac:dyDescent="0.45">
      <c r="H624" t="str">
        <f>IF(PNL!A624="","",_CALC_PNL!P624)</f>
        <v/>
      </c>
      <c r="I624" t="str">
        <f>IF(PNL!A624="","",IF(_CALC_PNL!E624=1,H624-G624,""))</f>
        <v/>
      </c>
    </row>
    <row r="625" spans="8:9" x14ac:dyDescent="0.45">
      <c r="H625" t="str">
        <f>IF(PNL!A625="","",_CALC_PNL!P625)</f>
        <v/>
      </c>
      <c r="I625" t="str">
        <f>IF(PNL!A625="","",IF(_CALC_PNL!E625=1,H625-G625,""))</f>
        <v/>
      </c>
    </row>
    <row r="626" spans="8:9" x14ac:dyDescent="0.45">
      <c r="H626" t="str">
        <f>IF(PNL!A626="","",_CALC_PNL!P626)</f>
        <v/>
      </c>
      <c r="I626" t="str">
        <f>IF(PNL!A626="","",IF(_CALC_PNL!E626=1,H626-G626,""))</f>
        <v/>
      </c>
    </row>
    <row r="627" spans="8:9" x14ac:dyDescent="0.45">
      <c r="H627" t="str">
        <f>IF(PNL!A627="","",_CALC_PNL!P627)</f>
        <v/>
      </c>
      <c r="I627" t="str">
        <f>IF(PNL!A627="","",IF(_CALC_PNL!E627=1,H627-G627,""))</f>
        <v/>
      </c>
    </row>
    <row r="628" spans="8:9" x14ac:dyDescent="0.45">
      <c r="H628" t="str">
        <f>IF(PNL!A628="","",_CALC_PNL!P628)</f>
        <v/>
      </c>
      <c r="I628" t="str">
        <f>IF(PNL!A628="","",IF(_CALC_PNL!E628=1,H628-G628,""))</f>
        <v/>
      </c>
    </row>
    <row r="629" spans="8:9" x14ac:dyDescent="0.45">
      <c r="H629" t="str">
        <f>IF(PNL!A629="","",_CALC_PNL!P629)</f>
        <v/>
      </c>
      <c r="I629" t="str">
        <f>IF(PNL!A629="","",IF(_CALC_PNL!E629=1,H629-G629,""))</f>
        <v/>
      </c>
    </row>
    <row r="630" spans="8:9" x14ac:dyDescent="0.45">
      <c r="H630" t="str">
        <f>IF(PNL!A630="","",_CALC_PNL!P630)</f>
        <v/>
      </c>
      <c r="I630" t="str">
        <f>IF(PNL!A630="","",IF(_CALC_PNL!E630=1,H630-G630,""))</f>
        <v/>
      </c>
    </row>
    <row r="631" spans="8:9" x14ac:dyDescent="0.45">
      <c r="H631" t="str">
        <f>IF(PNL!A631="","",_CALC_PNL!P631)</f>
        <v/>
      </c>
      <c r="I631" t="str">
        <f>IF(PNL!A631="","",IF(_CALC_PNL!E631=1,H631-G631,""))</f>
        <v/>
      </c>
    </row>
    <row r="632" spans="8:9" x14ac:dyDescent="0.45">
      <c r="H632" t="str">
        <f>IF(PNL!A632="","",_CALC_PNL!P632)</f>
        <v/>
      </c>
      <c r="I632" t="str">
        <f>IF(PNL!A632="","",IF(_CALC_PNL!E632=1,H632-G632,""))</f>
        <v/>
      </c>
    </row>
    <row r="633" spans="8:9" x14ac:dyDescent="0.45">
      <c r="H633" t="str">
        <f>IF(PNL!A633="","",_CALC_PNL!P633)</f>
        <v/>
      </c>
      <c r="I633" t="str">
        <f>IF(PNL!A633="","",IF(_CALC_PNL!E633=1,H633-G633,""))</f>
        <v/>
      </c>
    </row>
    <row r="634" spans="8:9" x14ac:dyDescent="0.45">
      <c r="H634" t="str">
        <f>IF(PNL!A634="","",_CALC_PNL!P634)</f>
        <v/>
      </c>
      <c r="I634" t="str">
        <f>IF(PNL!A634="","",IF(_CALC_PNL!E634=1,H634-G634,""))</f>
        <v/>
      </c>
    </row>
    <row r="635" spans="8:9" x14ac:dyDescent="0.45">
      <c r="H635" t="str">
        <f>IF(PNL!A635="","",_CALC_PNL!P635)</f>
        <v/>
      </c>
      <c r="I635" t="str">
        <f>IF(PNL!A635="","",IF(_CALC_PNL!E635=1,H635-G635,""))</f>
        <v/>
      </c>
    </row>
    <row r="636" spans="8:9" x14ac:dyDescent="0.45">
      <c r="H636" t="str">
        <f>IF(PNL!A636="","",_CALC_PNL!P636)</f>
        <v/>
      </c>
      <c r="I636" t="str">
        <f>IF(PNL!A636="","",IF(_CALC_PNL!E636=1,H636-G636,""))</f>
        <v/>
      </c>
    </row>
    <row r="637" spans="8:9" x14ac:dyDescent="0.45">
      <c r="H637" t="str">
        <f>IF(PNL!A637="","",_CALC_PNL!P637)</f>
        <v/>
      </c>
      <c r="I637" t="str">
        <f>IF(PNL!A637="","",IF(_CALC_PNL!E637=1,H637-G637,""))</f>
        <v/>
      </c>
    </row>
    <row r="638" spans="8:9" x14ac:dyDescent="0.45">
      <c r="H638" t="str">
        <f>IF(PNL!A638="","",_CALC_PNL!P638)</f>
        <v/>
      </c>
      <c r="I638" t="str">
        <f>IF(PNL!A638="","",IF(_CALC_PNL!E638=1,H638-G638,""))</f>
        <v/>
      </c>
    </row>
    <row r="639" spans="8:9" x14ac:dyDescent="0.45">
      <c r="H639" t="str">
        <f>IF(PNL!A639="","",_CALC_PNL!P639)</f>
        <v/>
      </c>
      <c r="I639" t="str">
        <f>IF(PNL!A639="","",IF(_CALC_PNL!E639=1,H639-G639,""))</f>
        <v/>
      </c>
    </row>
    <row r="640" spans="8:9" x14ac:dyDescent="0.45">
      <c r="H640" t="str">
        <f>IF(PNL!A640="","",_CALC_PNL!P640)</f>
        <v/>
      </c>
      <c r="I640" t="str">
        <f>IF(PNL!A640="","",IF(_CALC_PNL!E640=1,H640-G640,""))</f>
        <v/>
      </c>
    </row>
    <row r="641" spans="8:9" x14ac:dyDescent="0.45">
      <c r="H641" t="str">
        <f>IF(PNL!A641="","",_CALC_PNL!P641)</f>
        <v/>
      </c>
      <c r="I641" t="str">
        <f>IF(PNL!A641="","",IF(_CALC_PNL!E641=1,H641-G641,""))</f>
        <v/>
      </c>
    </row>
    <row r="642" spans="8:9" x14ac:dyDescent="0.45">
      <c r="H642" t="str">
        <f>IF(PNL!A642="","",_CALC_PNL!P642)</f>
        <v/>
      </c>
      <c r="I642" t="str">
        <f>IF(PNL!A642="","",IF(_CALC_PNL!E642=1,H642-G642,""))</f>
        <v/>
      </c>
    </row>
    <row r="643" spans="8:9" x14ac:dyDescent="0.45">
      <c r="H643" t="str">
        <f>IF(PNL!A643="","",_CALC_PNL!P643)</f>
        <v/>
      </c>
      <c r="I643" t="str">
        <f>IF(PNL!A643="","",IF(_CALC_PNL!E643=1,H643-G643,""))</f>
        <v/>
      </c>
    </row>
    <row r="644" spans="8:9" x14ac:dyDescent="0.45">
      <c r="H644" t="str">
        <f>IF(PNL!A644="","",_CALC_PNL!P644)</f>
        <v/>
      </c>
      <c r="I644" t="str">
        <f>IF(PNL!A644="","",IF(_CALC_PNL!E644=1,H644-G644,""))</f>
        <v/>
      </c>
    </row>
    <row r="645" spans="8:9" x14ac:dyDescent="0.45">
      <c r="H645" t="str">
        <f>IF(PNL!A645="","",_CALC_PNL!P645)</f>
        <v/>
      </c>
      <c r="I645" t="str">
        <f>IF(PNL!A645="","",IF(_CALC_PNL!E645=1,H645-G645,""))</f>
        <v/>
      </c>
    </row>
    <row r="646" spans="8:9" x14ac:dyDescent="0.45">
      <c r="H646" t="str">
        <f>IF(PNL!A646="","",_CALC_PNL!P646)</f>
        <v/>
      </c>
      <c r="I646" t="str">
        <f>IF(PNL!A646="","",IF(_CALC_PNL!E646=1,H646-G646,""))</f>
        <v/>
      </c>
    </row>
    <row r="647" spans="8:9" x14ac:dyDescent="0.45">
      <c r="H647" t="str">
        <f>IF(PNL!A647="","",_CALC_PNL!P647)</f>
        <v/>
      </c>
      <c r="I647" t="str">
        <f>IF(PNL!A647="","",IF(_CALC_PNL!E647=1,H647-G647,""))</f>
        <v/>
      </c>
    </row>
    <row r="648" spans="8:9" x14ac:dyDescent="0.45">
      <c r="H648" t="str">
        <f>IF(PNL!A648="","",_CALC_PNL!P648)</f>
        <v/>
      </c>
      <c r="I648" t="str">
        <f>IF(PNL!A648="","",IF(_CALC_PNL!E648=1,H648-G648,""))</f>
        <v/>
      </c>
    </row>
    <row r="649" spans="8:9" x14ac:dyDescent="0.45">
      <c r="H649" t="str">
        <f>IF(PNL!A649="","",_CALC_PNL!P649)</f>
        <v/>
      </c>
      <c r="I649" t="str">
        <f>IF(PNL!A649="","",IF(_CALC_PNL!E649=1,H649-G649,""))</f>
        <v/>
      </c>
    </row>
    <row r="650" spans="8:9" x14ac:dyDescent="0.45">
      <c r="H650" t="str">
        <f>IF(PNL!A650="","",_CALC_PNL!P650)</f>
        <v/>
      </c>
      <c r="I650" t="str">
        <f>IF(PNL!A650="","",IF(_CALC_PNL!E650=1,H650-G650,""))</f>
        <v/>
      </c>
    </row>
    <row r="651" spans="8:9" x14ac:dyDescent="0.45">
      <c r="H651" t="str">
        <f>IF(PNL!A651="","",_CALC_PNL!P651)</f>
        <v/>
      </c>
      <c r="I651" t="str">
        <f>IF(PNL!A651="","",IF(_CALC_PNL!E651=1,H651-G651,""))</f>
        <v/>
      </c>
    </row>
    <row r="652" spans="8:9" x14ac:dyDescent="0.45">
      <c r="H652" t="str">
        <f>IF(PNL!A652="","",_CALC_PNL!P652)</f>
        <v/>
      </c>
      <c r="I652" t="str">
        <f>IF(PNL!A652="","",IF(_CALC_PNL!E652=1,H652-G652,""))</f>
        <v/>
      </c>
    </row>
    <row r="653" spans="8:9" x14ac:dyDescent="0.45">
      <c r="H653" t="str">
        <f>IF(PNL!A653="","",_CALC_PNL!P653)</f>
        <v/>
      </c>
      <c r="I653" t="str">
        <f>IF(PNL!A653="","",IF(_CALC_PNL!E653=1,H653-G653,""))</f>
        <v/>
      </c>
    </row>
    <row r="654" spans="8:9" x14ac:dyDescent="0.45">
      <c r="H654" t="str">
        <f>IF(PNL!A654="","",_CALC_PNL!P654)</f>
        <v/>
      </c>
      <c r="I654" t="str">
        <f>IF(PNL!A654="","",IF(_CALC_PNL!E654=1,H654-G654,""))</f>
        <v/>
      </c>
    </row>
    <row r="655" spans="8:9" x14ac:dyDescent="0.45">
      <c r="H655" t="str">
        <f>IF(PNL!A655="","",_CALC_PNL!P655)</f>
        <v/>
      </c>
      <c r="I655" t="str">
        <f>IF(PNL!A655="","",IF(_CALC_PNL!E655=1,H655-G655,""))</f>
        <v/>
      </c>
    </row>
    <row r="656" spans="8:9" x14ac:dyDescent="0.45">
      <c r="H656" t="str">
        <f>IF(PNL!A656="","",_CALC_PNL!P656)</f>
        <v/>
      </c>
      <c r="I656" t="str">
        <f>IF(PNL!A656="","",IF(_CALC_PNL!E656=1,H656-G656,""))</f>
        <v/>
      </c>
    </row>
    <row r="657" spans="8:9" x14ac:dyDescent="0.45">
      <c r="H657" t="str">
        <f>IF(PNL!A657="","",_CALC_PNL!P657)</f>
        <v/>
      </c>
      <c r="I657" t="str">
        <f>IF(PNL!A657="","",IF(_CALC_PNL!E657=1,H657-G657,""))</f>
        <v/>
      </c>
    </row>
    <row r="658" spans="8:9" x14ac:dyDescent="0.45">
      <c r="H658" t="str">
        <f>IF(PNL!A658="","",_CALC_PNL!P658)</f>
        <v/>
      </c>
      <c r="I658" t="str">
        <f>IF(PNL!A658="","",IF(_CALC_PNL!E658=1,H658-G658,""))</f>
        <v/>
      </c>
    </row>
    <row r="659" spans="8:9" x14ac:dyDescent="0.45">
      <c r="H659" t="str">
        <f>IF(PNL!A659="","",_CALC_PNL!P659)</f>
        <v/>
      </c>
      <c r="I659" t="str">
        <f>IF(PNL!A659="","",IF(_CALC_PNL!E659=1,H659-G659,""))</f>
        <v/>
      </c>
    </row>
    <row r="660" spans="8:9" x14ac:dyDescent="0.45">
      <c r="H660" t="str">
        <f>IF(PNL!A660="","",_CALC_PNL!P660)</f>
        <v/>
      </c>
      <c r="I660" t="str">
        <f>IF(PNL!A660="","",IF(_CALC_PNL!E660=1,H660-G660,""))</f>
        <v/>
      </c>
    </row>
    <row r="661" spans="8:9" x14ac:dyDescent="0.45">
      <c r="H661" t="str">
        <f>IF(PNL!A661="","",_CALC_PNL!P661)</f>
        <v/>
      </c>
      <c r="I661" t="str">
        <f>IF(PNL!A661="","",IF(_CALC_PNL!E661=1,H661-G661,""))</f>
        <v/>
      </c>
    </row>
    <row r="662" spans="8:9" x14ac:dyDescent="0.45">
      <c r="H662" t="str">
        <f>IF(PNL!A662="","",_CALC_PNL!P662)</f>
        <v/>
      </c>
      <c r="I662" t="str">
        <f>IF(PNL!A662="","",IF(_CALC_PNL!E662=1,H662-G662,""))</f>
        <v/>
      </c>
    </row>
    <row r="663" spans="8:9" x14ac:dyDescent="0.45">
      <c r="H663" t="str">
        <f>IF(PNL!A663="","",_CALC_PNL!P663)</f>
        <v/>
      </c>
      <c r="I663" t="str">
        <f>IF(PNL!A663="","",IF(_CALC_PNL!E663=1,H663-G663,""))</f>
        <v/>
      </c>
    </row>
    <row r="664" spans="8:9" x14ac:dyDescent="0.45">
      <c r="H664" t="str">
        <f>IF(PNL!A664="","",_CALC_PNL!P664)</f>
        <v/>
      </c>
      <c r="I664" t="str">
        <f>IF(PNL!A664="","",IF(_CALC_PNL!E664=1,H664-G664,""))</f>
        <v/>
      </c>
    </row>
    <row r="665" spans="8:9" x14ac:dyDescent="0.45">
      <c r="H665" t="str">
        <f>IF(PNL!A665="","",_CALC_PNL!P665)</f>
        <v/>
      </c>
      <c r="I665" t="str">
        <f>IF(PNL!A665="","",IF(_CALC_PNL!E665=1,H665-G665,""))</f>
        <v/>
      </c>
    </row>
    <row r="666" spans="8:9" x14ac:dyDescent="0.45">
      <c r="H666" t="str">
        <f>IF(PNL!A666="","",_CALC_PNL!P666)</f>
        <v/>
      </c>
      <c r="I666" t="str">
        <f>IF(PNL!A666="","",IF(_CALC_PNL!E666=1,H666-G666,""))</f>
        <v/>
      </c>
    </row>
    <row r="667" spans="8:9" x14ac:dyDescent="0.45">
      <c r="H667" t="str">
        <f>IF(PNL!A667="","",_CALC_PNL!P667)</f>
        <v/>
      </c>
      <c r="I667" t="str">
        <f>IF(PNL!A667="","",IF(_CALC_PNL!E667=1,H667-G667,""))</f>
        <v/>
      </c>
    </row>
    <row r="668" spans="8:9" x14ac:dyDescent="0.45">
      <c r="H668" t="str">
        <f>IF(PNL!A668="","",_CALC_PNL!P668)</f>
        <v/>
      </c>
      <c r="I668" t="str">
        <f>IF(PNL!A668="","",IF(_CALC_PNL!E668=1,H668-G668,""))</f>
        <v/>
      </c>
    </row>
    <row r="669" spans="8:9" x14ac:dyDescent="0.45">
      <c r="H669" t="str">
        <f>IF(PNL!A669="","",_CALC_PNL!P669)</f>
        <v/>
      </c>
      <c r="I669" t="str">
        <f>IF(PNL!A669="","",IF(_CALC_PNL!E669=1,H669-G669,""))</f>
        <v/>
      </c>
    </row>
    <row r="670" spans="8:9" x14ac:dyDescent="0.45">
      <c r="H670" t="str">
        <f>IF(PNL!A670="","",_CALC_PNL!P670)</f>
        <v/>
      </c>
      <c r="I670" t="str">
        <f>IF(PNL!A670="","",IF(_CALC_PNL!E670=1,H670-G670,""))</f>
        <v/>
      </c>
    </row>
    <row r="671" spans="8:9" x14ac:dyDescent="0.45">
      <c r="H671" t="str">
        <f>IF(PNL!A671="","",_CALC_PNL!P671)</f>
        <v/>
      </c>
      <c r="I671" t="str">
        <f>IF(PNL!A671="","",IF(_CALC_PNL!E671=1,H671-G671,""))</f>
        <v/>
      </c>
    </row>
    <row r="672" spans="8:9" x14ac:dyDescent="0.45">
      <c r="H672" t="str">
        <f>IF(PNL!A672="","",_CALC_PNL!P672)</f>
        <v/>
      </c>
      <c r="I672" t="str">
        <f>IF(PNL!A672="","",IF(_CALC_PNL!E672=1,H672-G672,""))</f>
        <v/>
      </c>
    </row>
    <row r="673" spans="8:9" x14ac:dyDescent="0.45">
      <c r="H673" t="str">
        <f>IF(PNL!A673="","",_CALC_PNL!P673)</f>
        <v/>
      </c>
      <c r="I673" t="str">
        <f>IF(PNL!A673="","",IF(_CALC_PNL!E673=1,H673-G673,""))</f>
        <v/>
      </c>
    </row>
    <row r="674" spans="8:9" x14ac:dyDescent="0.45">
      <c r="H674" t="str">
        <f>IF(PNL!A674="","",_CALC_PNL!P674)</f>
        <v/>
      </c>
      <c r="I674" t="str">
        <f>IF(PNL!A674="","",IF(_CALC_PNL!E674=1,H674-G674,""))</f>
        <v/>
      </c>
    </row>
    <row r="675" spans="8:9" x14ac:dyDescent="0.45">
      <c r="H675" t="str">
        <f>IF(PNL!A675="","",_CALC_PNL!P675)</f>
        <v/>
      </c>
      <c r="I675" t="str">
        <f>IF(PNL!A675="","",IF(_CALC_PNL!E675=1,H675-G675,""))</f>
        <v/>
      </c>
    </row>
    <row r="676" spans="8:9" x14ac:dyDescent="0.45">
      <c r="H676" t="str">
        <f>IF(PNL!A676="","",_CALC_PNL!P676)</f>
        <v/>
      </c>
      <c r="I676" t="str">
        <f>IF(PNL!A676="","",IF(_CALC_PNL!E676=1,H676-G676,""))</f>
        <v/>
      </c>
    </row>
    <row r="677" spans="8:9" x14ac:dyDescent="0.45">
      <c r="H677" t="str">
        <f>IF(PNL!A677="","",_CALC_PNL!P677)</f>
        <v/>
      </c>
      <c r="I677" t="str">
        <f>IF(PNL!A677="","",IF(_CALC_PNL!E677=1,H677-G677,""))</f>
        <v/>
      </c>
    </row>
    <row r="678" spans="8:9" x14ac:dyDescent="0.45">
      <c r="H678" t="str">
        <f>IF(PNL!A678="","",_CALC_PNL!P678)</f>
        <v/>
      </c>
      <c r="I678" t="str">
        <f>IF(PNL!A678="","",IF(_CALC_PNL!E678=1,H678-G678,""))</f>
        <v/>
      </c>
    </row>
    <row r="679" spans="8:9" x14ac:dyDescent="0.45">
      <c r="H679" t="str">
        <f>IF(PNL!A679="","",_CALC_PNL!P679)</f>
        <v/>
      </c>
      <c r="I679" t="str">
        <f>IF(PNL!A679="","",IF(_CALC_PNL!E679=1,H679-G679,""))</f>
        <v/>
      </c>
    </row>
    <row r="680" spans="8:9" x14ac:dyDescent="0.45">
      <c r="H680" t="str">
        <f>IF(PNL!A680="","",_CALC_PNL!P680)</f>
        <v/>
      </c>
      <c r="I680" t="str">
        <f>IF(PNL!A680="","",IF(_CALC_PNL!E680=1,H680-G680,""))</f>
        <v/>
      </c>
    </row>
    <row r="681" spans="8:9" x14ac:dyDescent="0.45">
      <c r="H681" t="str">
        <f>IF(PNL!A681="","",_CALC_PNL!P681)</f>
        <v/>
      </c>
      <c r="I681" t="str">
        <f>IF(PNL!A681="","",IF(_CALC_PNL!E681=1,H681-G681,""))</f>
        <v/>
      </c>
    </row>
    <row r="682" spans="8:9" x14ac:dyDescent="0.45">
      <c r="H682" t="str">
        <f>IF(PNL!A682="","",_CALC_PNL!P682)</f>
        <v/>
      </c>
      <c r="I682" t="str">
        <f>IF(PNL!A682="","",IF(_CALC_PNL!E682=1,H682-G682,""))</f>
        <v/>
      </c>
    </row>
    <row r="683" spans="8:9" x14ac:dyDescent="0.45">
      <c r="H683" t="str">
        <f>IF(PNL!A683="","",_CALC_PNL!P683)</f>
        <v/>
      </c>
      <c r="I683" t="str">
        <f>IF(PNL!A683="","",IF(_CALC_PNL!E683=1,H683-G683,""))</f>
        <v/>
      </c>
    </row>
    <row r="684" spans="8:9" x14ac:dyDescent="0.45">
      <c r="H684" t="str">
        <f>IF(PNL!A684="","",_CALC_PNL!P684)</f>
        <v/>
      </c>
      <c r="I684" t="str">
        <f>IF(PNL!A684="","",IF(_CALC_PNL!E684=1,H684-G684,""))</f>
        <v/>
      </c>
    </row>
    <row r="685" spans="8:9" x14ac:dyDescent="0.45">
      <c r="H685" t="str">
        <f>IF(PNL!A685="","",_CALC_PNL!P685)</f>
        <v/>
      </c>
      <c r="I685" t="str">
        <f>IF(PNL!A685="","",IF(_CALC_PNL!E685=1,H685-G685,""))</f>
        <v/>
      </c>
    </row>
    <row r="686" spans="8:9" x14ac:dyDescent="0.45">
      <c r="H686" t="str">
        <f>IF(PNL!A686="","",_CALC_PNL!P686)</f>
        <v/>
      </c>
      <c r="I686" t="str">
        <f>IF(PNL!A686="","",IF(_CALC_PNL!E686=1,H686-G686,""))</f>
        <v/>
      </c>
    </row>
    <row r="687" spans="8:9" x14ac:dyDescent="0.45">
      <c r="H687" t="str">
        <f>IF(PNL!A687="","",_CALC_PNL!P687)</f>
        <v/>
      </c>
      <c r="I687" t="str">
        <f>IF(PNL!A687="","",IF(_CALC_PNL!E687=1,H687-G687,""))</f>
        <v/>
      </c>
    </row>
    <row r="688" spans="8:9" x14ac:dyDescent="0.45">
      <c r="H688" t="str">
        <f>IF(PNL!A688="","",_CALC_PNL!P688)</f>
        <v/>
      </c>
      <c r="I688" t="str">
        <f>IF(PNL!A688="","",IF(_CALC_PNL!E688=1,H688-G688,""))</f>
        <v/>
      </c>
    </row>
    <row r="689" spans="8:9" x14ac:dyDescent="0.45">
      <c r="H689" t="str">
        <f>IF(PNL!A689="","",_CALC_PNL!P689)</f>
        <v/>
      </c>
      <c r="I689" t="str">
        <f>IF(PNL!A689="","",IF(_CALC_PNL!E689=1,H689-G689,""))</f>
        <v/>
      </c>
    </row>
    <row r="690" spans="8:9" x14ac:dyDescent="0.45">
      <c r="H690" t="str">
        <f>IF(PNL!A690="","",_CALC_PNL!P690)</f>
        <v/>
      </c>
      <c r="I690" t="str">
        <f>IF(PNL!A690="","",IF(_CALC_PNL!E690=1,H690-G690,""))</f>
        <v/>
      </c>
    </row>
    <row r="691" spans="8:9" x14ac:dyDescent="0.45">
      <c r="H691" t="str">
        <f>IF(PNL!A691="","",_CALC_PNL!P691)</f>
        <v/>
      </c>
      <c r="I691" t="str">
        <f>IF(PNL!A691="","",IF(_CALC_PNL!E691=1,H691-G691,""))</f>
        <v/>
      </c>
    </row>
    <row r="692" spans="8:9" x14ac:dyDescent="0.45">
      <c r="H692" t="str">
        <f>IF(PNL!A692="","",_CALC_PNL!P692)</f>
        <v/>
      </c>
      <c r="I692" t="str">
        <f>IF(PNL!A692="","",IF(_CALC_PNL!E692=1,H692-G692,""))</f>
        <v/>
      </c>
    </row>
    <row r="693" spans="8:9" x14ac:dyDescent="0.45">
      <c r="H693" t="str">
        <f>IF(PNL!A693="","",_CALC_PNL!P693)</f>
        <v/>
      </c>
      <c r="I693" t="str">
        <f>IF(PNL!A693="","",IF(_CALC_PNL!E693=1,H693-G693,""))</f>
        <v/>
      </c>
    </row>
    <row r="694" spans="8:9" x14ac:dyDescent="0.45">
      <c r="H694" t="str">
        <f>IF(PNL!A694="","",_CALC_PNL!P694)</f>
        <v/>
      </c>
      <c r="I694" t="str">
        <f>IF(PNL!A694="","",IF(_CALC_PNL!E694=1,H694-G694,""))</f>
        <v/>
      </c>
    </row>
    <row r="695" spans="8:9" x14ac:dyDescent="0.45">
      <c r="H695" t="str">
        <f>IF(PNL!A695="","",_CALC_PNL!P695)</f>
        <v/>
      </c>
      <c r="I695" t="str">
        <f>IF(PNL!A695="","",IF(_CALC_PNL!E695=1,H695-G695,""))</f>
        <v/>
      </c>
    </row>
    <row r="696" spans="8:9" x14ac:dyDescent="0.45">
      <c r="H696" t="str">
        <f>IF(PNL!A696="","",_CALC_PNL!P696)</f>
        <v/>
      </c>
      <c r="I696" t="str">
        <f>IF(PNL!A696="","",IF(_CALC_PNL!E696=1,H696-G696,""))</f>
        <v/>
      </c>
    </row>
    <row r="697" spans="8:9" x14ac:dyDescent="0.45">
      <c r="H697" t="str">
        <f>IF(PNL!A697="","",_CALC_PNL!P697)</f>
        <v/>
      </c>
      <c r="I697" t="str">
        <f>IF(PNL!A697="","",IF(_CALC_PNL!E697=1,H697-G697,""))</f>
        <v/>
      </c>
    </row>
    <row r="698" spans="8:9" x14ac:dyDescent="0.45">
      <c r="H698" t="str">
        <f>IF(PNL!A698="","",_CALC_PNL!P698)</f>
        <v/>
      </c>
      <c r="I698" t="str">
        <f>IF(PNL!A698="","",IF(_CALC_PNL!E698=1,H698-G698,""))</f>
        <v/>
      </c>
    </row>
    <row r="699" spans="8:9" x14ac:dyDescent="0.45">
      <c r="H699" t="str">
        <f>IF(PNL!A699="","",_CALC_PNL!P699)</f>
        <v/>
      </c>
      <c r="I699" t="str">
        <f>IF(PNL!A699="","",IF(_CALC_PNL!E699=1,H699-G699,""))</f>
        <v/>
      </c>
    </row>
    <row r="700" spans="8:9" x14ac:dyDescent="0.45">
      <c r="H700" t="str">
        <f>IF(PNL!A700="","",_CALC_PNL!P700)</f>
        <v/>
      </c>
      <c r="I700" t="str">
        <f>IF(PNL!A700="","",IF(_CALC_PNL!E700=1,H700-G700,""))</f>
        <v/>
      </c>
    </row>
    <row r="701" spans="8:9" x14ac:dyDescent="0.45">
      <c r="H701" t="str">
        <f>IF(PNL!A701="","",_CALC_PNL!P701)</f>
        <v/>
      </c>
      <c r="I701" t="str">
        <f>IF(PNL!A701="","",IF(_CALC_PNL!E701=1,H701-G701,""))</f>
        <v/>
      </c>
    </row>
    <row r="702" spans="8:9" x14ac:dyDescent="0.45">
      <c r="H702" t="str">
        <f>IF(PNL!A702="","",_CALC_PNL!P702)</f>
        <v/>
      </c>
      <c r="I702" t="str">
        <f>IF(PNL!A702="","",IF(_CALC_PNL!E702=1,H702-G702,""))</f>
        <v/>
      </c>
    </row>
    <row r="703" spans="8:9" x14ac:dyDescent="0.45">
      <c r="H703" t="str">
        <f>IF(PNL!A703="","",_CALC_PNL!P703)</f>
        <v/>
      </c>
      <c r="I703" t="str">
        <f>IF(PNL!A703="","",IF(_CALC_PNL!E703=1,H703-G703,""))</f>
        <v/>
      </c>
    </row>
    <row r="704" spans="8:9" x14ac:dyDescent="0.45">
      <c r="H704" t="str">
        <f>IF(PNL!A704="","",_CALC_PNL!P704)</f>
        <v/>
      </c>
      <c r="I704" t="str">
        <f>IF(PNL!A704="","",IF(_CALC_PNL!E704=1,H704-G704,""))</f>
        <v/>
      </c>
    </row>
    <row r="705" spans="8:9" x14ac:dyDescent="0.45">
      <c r="H705" t="str">
        <f>IF(PNL!A705="","",_CALC_PNL!P705)</f>
        <v/>
      </c>
      <c r="I705" t="str">
        <f>IF(PNL!A705="","",IF(_CALC_PNL!E705=1,H705-G705,""))</f>
        <v/>
      </c>
    </row>
    <row r="706" spans="8:9" x14ac:dyDescent="0.45">
      <c r="H706" t="str">
        <f>IF(PNL!A706="","",_CALC_PNL!P706)</f>
        <v/>
      </c>
      <c r="I706" t="str">
        <f>IF(PNL!A706="","",IF(_CALC_PNL!E706=1,H706-G706,""))</f>
        <v/>
      </c>
    </row>
    <row r="707" spans="8:9" x14ac:dyDescent="0.45">
      <c r="H707" t="str">
        <f>IF(PNL!A707="","",_CALC_PNL!P707)</f>
        <v/>
      </c>
      <c r="I707" t="str">
        <f>IF(PNL!A707="","",IF(_CALC_PNL!E707=1,H707-G707,""))</f>
        <v/>
      </c>
    </row>
    <row r="708" spans="8:9" x14ac:dyDescent="0.45">
      <c r="H708" t="str">
        <f>IF(PNL!A708="","",_CALC_PNL!P708)</f>
        <v/>
      </c>
      <c r="I708" t="str">
        <f>IF(PNL!A708="","",IF(_CALC_PNL!E708=1,H708-G708,""))</f>
        <v/>
      </c>
    </row>
    <row r="709" spans="8:9" x14ac:dyDescent="0.45">
      <c r="H709" t="str">
        <f>IF(PNL!A709="","",_CALC_PNL!P709)</f>
        <v/>
      </c>
      <c r="I709" t="str">
        <f>IF(PNL!A709="","",IF(_CALC_PNL!E709=1,H709-G709,""))</f>
        <v/>
      </c>
    </row>
    <row r="710" spans="8:9" x14ac:dyDescent="0.45">
      <c r="H710" t="str">
        <f>IF(PNL!A710="","",_CALC_PNL!P710)</f>
        <v/>
      </c>
      <c r="I710" t="str">
        <f>IF(PNL!A710="","",IF(_CALC_PNL!E710=1,H710-G710,""))</f>
        <v/>
      </c>
    </row>
    <row r="711" spans="8:9" x14ac:dyDescent="0.45">
      <c r="H711" t="str">
        <f>IF(PNL!A711="","",_CALC_PNL!P711)</f>
        <v/>
      </c>
      <c r="I711" t="str">
        <f>IF(PNL!A711="","",IF(_CALC_PNL!E711=1,H711-G711,""))</f>
        <v/>
      </c>
    </row>
    <row r="712" spans="8:9" x14ac:dyDescent="0.45">
      <c r="H712" t="str">
        <f>IF(PNL!A712="","",_CALC_PNL!P712)</f>
        <v/>
      </c>
      <c r="I712" t="str">
        <f>IF(PNL!A712="","",IF(_CALC_PNL!E712=1,H712-G712,""))</f>
        <v/>
      </c>
    </row>
    <row r="713" spans="8:9" x14ac:dyDescent="0.45">
      <c r="H713" t="str">
        <f>IF(PNL!A713="","",_CALC_PNL!P713)</f>
        <v/>
      </c>
      <c r="I713" t="str">
        <f>IF(PNL!A713="","",IF(_CALC_PNL!E713=1,H713-G713,""))</f>
        <v/>
      </c>
    </row>
    <row r="714" spans="8:9" x14ac:dyDescent="0.45">
      <c r="H714" t="str">
        <f>IF(PNL!A714="","",_CALC_PNL!P714)</f>
        <v/>
      </c>
      <c r="I714" t="str">
        <f>IF(PNL!A714="","",IF(_CALC_PNL!E714=1,H714-G714,""))</f>
        <v/>
      </c>
    </row>
    <row r="715" spans="8:9" x14ac:dyDescent="0.45">
      <c r="H715" t="str">
        <f>IF(PNL!A715="","",_CALC_PNL!P715)</f>
        <v/>
      </c>
      <c r="I715" t="str">
        <f>IF(PNL!A715="","",IF(_CALC_PNL!E715=1,H715-G715,""))</f>
        <v/>
      </c>
    </row>
    <row r="716" spans="8:9" x14ac:dyDescent="0.45">
      <c r="H716" t="str">
        <f>IF(PNL!A716="","",_CALC_PNL!P716)</f>
        <v/>
      </c>
      <c r="I716" t="str">
        <f>IF(PNL!A716="","",IF(_CALC_PNL!E716=1,H716-G716,""))</f>
        <v/>
      </c>
    </row>
    <row r="717" spans="8:9" x14ac:dyDescent="0.45">
      <c r="H717" t="str">
        <f>IF(PNL!A717="","",_CALC_PNL!P717)</f>
        <v/>
      </c>
      <c r="I717" t="str">
        <f>IF(PNL!A717="","",IF(_CALC_PNL!E717=1,H717-G717,""))</f>
        <v/>
      </c>
    </row>
    <row r="718" spans="8:9" x14ac:dyDescent="0.45">
      <c r="H718" t="str">
        <f>IF(PNL!A718="","",_CALC_PNL!P718)</f>
        <v/>
      </c>
      <c r="I718" t="str">
        <f>IF(PNL!A718="","",IF(_CALC_PNL!E718=1,H718-G718,""))</f>
        <v/>
      </c>
    </row>
    <row r="719" spans="8:9" x14ac:dyDescent="0.45">
      <c r="H719" t="str">
        <f>IF(PNL!A719="","",_CALC_PNL!P719)</f>
        <v/>
      </c>
      <c r="I719" t="str">
        <f>IF(PNL!A719="","",IF(_CALC_PNL!E719=1,H719-G719,""))</f>
        <v/>
      </c>
    </row>
    <row r="720" spans="8:9" x14ac:dyDescent="0.45">
      <c r="H720" t="str">
        <f>IF(PNL!A720="","",_CALC_PNL!P720)</f>
        <v/>
      </c>
      <c r="I720" t="str">
        <f>IF(PNL!A720="","",IF(_CALC_PNL!E720=1,H720-G720,""))</f>
        <v/>
      </c>
    </row>
    <row r="721" spans="8:9" x14ac:dyDescent="0.45">
      <c r="H721" t="str">
        <f>IF(PNL!A721="","",_CALC_PNL!P721)</f>
        <v/>
      </c>
      <c r="I721" t="str">
        <f>IF(PNL!A721="","",IF(_CALC_PNL!E721=1,H721-G721,""))</f>
        <v/>
      </c>
    </row>
    <row r="722" spans="8:9" x14ac:dyDescent="0.45">
      <c r="H722" t="str">
        <f>IF(PNL!A722="","",_CALC_PNL!P722)</f>
        <v/>
      </c>
      <c r="I722" t="str">
        <f>IF(PNL!A722="","",IF(_CALC_PNL!E722=1,H722-G722,""))</f>
        <v/>
      </c>
    </row>
    <row r="723" spans="8:9" x14ac:dyDescent="0.45">
      <c r="H723" t="str">
        <f>IF(PNL!A723="","",_CALC_PNL!P723)</f>
        <v/>
      </c>
      <c r="I723" t="str">
        <f>IF(PNL!A723="","",IF(_CALC_PNL!E723=1,H723-G723,""))</f>
        <v/>
      </c>
    </row>
    <row r="724" spans="8:9" x14ac:dyDescent="0.45">
      <c r="H724" t="str">
        <f>IF(PNL!A724="","",_CALC_PNL!P724)</f>
        <v/>
      </c>
      <c r="I724" t="str">
        <f>IF(PNL!A724="","",IF(_CALC_PNL!E724=1,H724-G724,""))</f>
        <v/>
      </c>
    </row>
    <row r="725" spans="8:9" x14ac:dyDescent="0.45">
      <c r="H725" t="str">
        <f>IF(PNL!A725="","",_CALC_PNL!P725)</f>
        <v/>
      </c>
      <c r="I725" t="str">
        <f>IF(PNL!A725="","",IF(_CALC_PNL!E725=1,H725-G725,""))</f>
        <v/>
      </c>
    </row>
    <row r="726" spans="8:9" x14ac:dyDescent="0.45">
      <c r="H726" t="str">
        <f>IF(PNL!A726="","",_CALC_PNL!P726)</f>
        <v/>
      </c>
      <c r="I726" t="str">
        <f>IF(PNL!A726="","",IF(_CALC_PNL!E726=1,H726-G726,""))</f>
        <v/>
      </c>
    </row>
    <row r="727" spans="8:9" x14ac:dyDescent="0.45">
      <c r="H727" t="str">
        <f>IF(PNL!A727="","",_CALC_PNL!P727)</f>
        <v/>
      </c>
      <c r="I727" t="str">
        <f>IF(PNL!A727="","",IF(_CALC_PNL!E727=1,H727-G727,""))</f>
        <v/>
      </c>
    </row>
    <row r="728" spans="8:9" x14ac:dyDescent="0.45">
      <c r="H728" t="str">
        <f>IF(PNL!A728="","",_CALC_PNL!P728)</f>
        <v/>
      </c>
      <c r="I728" t="str">
        <f>IF(PNL!A728="","",IF(_CALC_PNL!E728=1,H728-G728,""))</f>
        <v/>
      </c>
    </row>
    <row r="729" spans="8:9" x14ac:dyDescent="0.45">
      <c r="H729" t="str">
        <f>IF(PNL!A729="","",_CALC_PNL!P729)</f>
        <v/>
      </c>
      <c r="I729" t="str">
        <f>IF(PNL!A729="","",IF(_CALC_PNL!E729=1,H729-G729,""))</f>
        <v/>
      </c>
    </row>
    <row r="730" spans="8:9" x14ac:dyDescent="0.45">
      <c r="H730" t="str">
        <f>IF(PNL!A730="","",_CALC_PNL!P730)</f>
        <v/>
      </c>
      <c r="I730" t="str">
        <f>IF(PNL!A730="","",IF(_CALC_PNL!E730=1,H730-G730,""))</f>
        <v/>
      </c>
    </row>
    <row r="731" spans="8:9" x14ac:dyDescent="0.45">
      <c r="H731" t="str">
        <f>IF(PNL!A731="","",_CALC_PNL!P731)</f>
        <v/>
      </c>
      <c r="I731" t="str">
        <f>IF(PNL!A731="","",IF(_CALC_PNL!E731=1,H731-G731,""))</f>
        <v/>
      </c>
    </row>
    <row r="732" spans="8:9" x14ac:dyDescent="0.45">
      <c r="H732" t="str">
        <f>IF(PNL!A732="","",_CALC_PNL!P732)</f>
        <v/>
      </c>
      <c r="I732" t="str">
        <f>IF(PNL!A732="","",IF(_CALC_PNL!E732=1,H732-G732,""))</f>
        <v/>
      </c>
    </row>
    <row r="733" spans="8:9" x14ac:dyDescent="0.45">
      <c r="H733" t="str">
        <f>IF(PNL!A733="","",_CALC_PNL!P733)</f>
        <v/>
      </c>
      <c r="I733" t="str">
        <f>IF(PNL!A733="","",IF(_CALC_PNL!E733=1,H733-G733,""))</f>
        <v/>
      </c>
    </row>
    <row r="734" spans="8:9" x14ac:dyDescent="0.45">
      <c r="H734" t="str">
        <f>IF(PNL!A734="","",_CALC_PNL!P734)</f>
        <v/>
      </c>
      <c r="I734" t="str">
        <f>IF(PNL!A734="","",IF(_CALC_PNL!E734=1,H734-G734,""))</f>
        <v/>
      </c>
    </row>
    <row r="735" spans="8:9" x14ac:dyDescent="0.45">
      <c r="H735" t="str">
        <f>IF(PNL!A735="","",_CALC_PNL!P735)</f>
        <v/>
      </c>
      <c r="I735" t="str">
        <f>IF(PNL!A735="","",IF(_CALC_PNL!E735=1,H735-G735,""))</f>
        <v/>
      </c>
    </row>
    <row r="736" spans="8:9" x14ac:dyDescent="0.45">
      <c r="H736" t="str">
        <f>IF(PNL!A736="","",_CALC_PNL!P736)</f>
        <v/>
      </c>
      <c r="I736" t="str">
        <f>IF(PNL!A736="","",IF(_CALC_PNL!E736=1,H736-G736,""))</f>
        <v/>
      </c>
    </row>
    <row r="737" spans="8:9" x14ac:dyDescent="0.45">
      <c r="H737" t="str">
        <f>IF(PNL!A737="","",_CALC_PNL!P737)</f>
        <v/>
      </c>
      <c r="I737" t="str">
        <f>IF(PNL!A737="","",IF(_CALC_PNL!E737=1,H737-G737,""))</f>
        <v/>
      </c>
    </row>
    <row r="738" spans="8:9" x14ac:dyDescent="0.45">
      <c r="H738" t="str">
        <f>IF(PNL!A738="","",_CALC_PNL!P738)</f>
        <v/>
      </c>
      <c r="I738" t="str">
        <f>IF(PNL!A738="","",IF(_CALC_PNL!E738=1,H738-G738,""))</f>
        <v/>
      </c>
    </row>
    <row r="739" spans="8:9" x14ac:dyDescent="0.45">
      <c r="H739" t="str">
        <f>IF(PNL!A739="","",_CALC_PNL!P739)</f>
        <v/>
      </c>
      <c r="I739" t="str">
        <f>IF(PNL!A739="","",IF(_CALC_PNL!E739=1,H739-G739,""))</f>
        <v/>
      </c>
    </row>
    <row r="740" spans="8:9" x14ac:dyDescent="0.45">
      <c r="H740" t="str">
        <f>IF(PNL!A740="","",_CALC_PNL!P740)</f>
        <v/>
      </c>
      <c r="I740" t="str">
        <f>IF(PNL!A740="","",IF(_CALC_PNL!E740=1,H740-G740,""))</f>
        <v/>
      </c>
    </row>
    <row r="741" spans="8:9" x14ac:dyDescent="0.45">
      <c r="H741" t="str">
        <f>IF(PNL!A741="","",_CALC_PNL!P741)</f>
        <v/>
      </c>
      <c r="I741" t="str">
        <f>IF(PNL!A741="","",IF(_CALC_PNL!E741=1,H741-G741,""))</f>
        <v/>
      </c>
    </row>
    <row r="742" spans="8:9" x14ac:dyDescent="0.45">
      <c r="H742" t="str">
        <f>IF(PNL!A742="","",_CALC_PNL!P742)</f>
        <v/>
      </c>
      <c r="I742" t="str">
        <f>IF(PNL!A742="","",IF(_CALC_PNL!E742=1,H742-G742,""))</f>
        <v/>
      </c>
    </row>
    <row r="743" spans="8:9" x14ac:dyDescent="0.45">
      <c r="H743" t="str">
        <f>IF(PNL!A743="","",_CALC_PNL!P743)</f>
        <v/>
      </c>
      <c r="I743" t="str">
        <f>IF(PNL!A743="","",IF(_CALC_PNL!E743=1,H743-G743,""))</f>
        <v/>
      </c>
    </row>
    <row r="744" spans="8:9" x14ac:dyDescent="0.45">
      <c r="H744" t="str">
        <f>IF(PNL!A744="","",_CALC_PNL!P744)</f>
        <v/>
      </c>
      <c r="I744" t="str">
        <f>IF(PNL!A744="","",IF(_CALC_PNL!E744=1,H744-G744,""))</f>
        <v/>
      </c>
    </row>
    <row r="745" spans="8:9" x14ac:dyDescent="0.45">
      <c r="H745" t="str">
        <f>IF(PNL!A745="","",_CALC_PNL!P745)</f>
        <v/>
      </c>
      <c r="I745" t="str">
        <f>IF(PNL!A745="","",IF(_CALC_PNL!E745=1,H745-G745,""))</f>
        <v/>
      </c>
    </row>
    <row r="746" spans="8:9" x14ac:dyDescent="0.45">
      <c r="H746" t="str">
        <f>IF(PNL!A746="","",_CALC_PNL!P746)</f>
        <v/>
      </c>
      <c r="I746" t="str">
        <f>IF(PNL!A746="","",IF(_CALC_PNL!E746=1,H746-G746,""))</f>
        <v/>
      </c>
    </row>
    <row r="747" spans="8:9" x14ac:dyDescent="0.45">
      <c r="H747" t="str">
        <f>IF(PNL!A747="","",_CALC_PNL!P747)</f>
        <v/>
      </c>
      <c r="I747" t="str">
        <f>IF(PNL!A747="","",IF(_CALC_PNL!E747=1,H747-G747,""))</f>
        <v/>
      </c>
    </row>
    <row r="748" spans="8:9" x14ac:dyDescent="0.45">
      <c r="H748" t="str">
        <f>IF(PNL!A748="","",_CALC_PNL!P748)</f>
        <v/>
      </c>
      <c r="I748" t="str">
        <f>IF(PNL!A748="","",IF(_CALC_PNL!E748=1,H748-G748,""))</f>
        <v/>
      </c>
    </row>
    <row r="749" spans="8:9" x14ac:dyDescent="0.45">
      <c r="H749" t="str">
        <f>IF(PNL!A749="","",_CALC_PNL!P749)</f>
        <v/>
      </c>
      <c r="I749" t="str">
        <f>IF(PNL!A749="","",IF(_CALC_PNL!E749=1,H749-G749,""))</f>
        <v/>
      </c>
    </row>
    <row r="750" spans="8:9" x14ac:dyDescent="0.45">
      <c r="H750" t="str">
        <f>IF(PNL!A750="","",_CALC_PNL!P750)</f>
        <v/>
      </c>
      <c r="I750" t="str">
        <f>IF(PNL!A750="","",IF(_CALC_PNL!E750=1,H750-G750,""))</f>
        <v/>
      </c>
    </row>
    <row r="751" spans="8:9" x14ac:dyDescent="0.45">
      <c r="H751" t="str">
        <f>IF(PNL!A751="","",_CALC_PNL!P751)</f>
        <v/>
      </c>
      <c r="I751" t="str">
        <f>IF(PNL!A751="","",IF(_CALC_PNL!E751=1,H751-G751,""))</f>
        <v/>
      </c>
    </row>
    <row r="752" spans="8:9" x14ac:dyDescent="0.45">
      <c r="H752" t="str">
        <f>IF(PNL!A752="","",_CALC_PNL!P752)</f>
        <v/>
      </c>
      <c r="I752" t="str">
        <f>IF(PNL!A752="","",IF(_CALC_PNL!E752=1,H752-G752,""))</f>
        <v/>
      </c>
    </row>
    <row r="753" spans="8:9" x14ac:dyDescent="0.45">
      <c r="H753" t="str">
        <f>IF(PNL!A753="","",_CALC_PNL!P753)</f>
        <v/>
      </c>
      <c r="I753" t="str">
        <f>IF(PNL!A753="","",IF(_CALC_PNL!E753=1,H753-G753,""))</f>
        <v/>
      </c>
    </row>
    <row r="754" spans="8:9" x14ac:dyDescent="0.45">
      <c r="H754" t="str">
        <f>IF(PNL!A754="","",_CALC_PNL!P754)</f>
        <v/>
      </c>
      <c r="I754" t="str">
        <f>IF(PNL!A754="","",IF(_CALC_PNL!E754=1,H754-G754,""))</f>
        <v/>
      </c>
    </row>
    <row r="755" spans="8:9" x14ac:dyDescent="0.45">
      <c r="H755" t="str">
        <f>IF(PNL!A755="","",_CALC_PNL!P755)</f>
        <v/>
      </c>
      <c r="I755" t="str">
        <f>IF(PNL!A755="","",IF(_CALC_PNL!E755=1,H755-G755,""))</f>
        <v/>
      </c>
    </row>
    <row r="756" spans="8:9" x14ac:dyDescent="0.45">
      <c r="H756" t="str">
        <f>IF(PNL!A756="","",_CALC_PNL!P756)</f>
        <v/>
      </c>
      <c r="I756" t="str">
        <f>IF(PNL!A756="","",IF(_CALC_PNL!E756=1,H756-G756,""))</f>
        <v/>
      </c>
    </row>
    <row r="757" spans="8:9" x14ac:dyDescent="0.45">
      <c r="H757" t="str">
        <f>IF(PNL!A757="","",_CALC_PNL!P757)</f>
        <v/>
      </c>
      <c r="I757" t="str">
        <f>IF(PNL!A757="","",IF(_CALC_PNL!E757=1,H757-G757,""))</f>
        <v/>
      </c>
    </row>
    <row r="758" spans="8:9" x14ac:dyDescent="0.45">
      <c r="H758" t="str">
        <f>IF(PNL!A758="","",_CALC_PNL!P758)</f>
        <v/>
      </c>
      <c r="I758" t="str">
        <f>IF(PNL!A758="","",IF(_CALC_PNL!E758=1,H758-G758,""))</f>
        <v/>
      </c>
    </row>
    <row r="759" spans="8:9" x14ac:dyDescent="0.45">
      <c r="H759" t="str">
        <f>IF(PNL!A759="","",_CALC_PNL!P759)</f>
        <v/>
      </c>
      <c r="I759" t="str">
        <f>IF(PNL!A759="","",IF(_CALC_PNL!E759=1,H759-G759,""))</f>
        <v/>
      </c>
    </row>
    <row r="760" spans="8:9" x14ac:dyDescent="0.45">
      <c r="H760" t="str">
        <f>IF(PNL!A760="","",_CALC_PNL!P760)</f>
        <v/>
      </c>
      <c r="I760" t="str">
        <f>IF(PNL!A760="","",IF(_CALC_PNL!E760=1,H760-G760,""))</f>
        <v/>
      </c>
    </row>
    <row r="761" spans="8:9" x14ac:dyDescent="0.45">
      <c r="H761" t="str">
        <f>IF(PNL!A761="","",_CALC_PNL!P761)</f>
        <v/>
      </c>
      <c r="I761" t="str">
        <f>IF(PNL!A761="","",IF(_CALC_PNL!E761=1,H761-G761,""))</f>
        <v/>
      </c>
    </row>
    <row r="762" spans="8:9" x14ac:dyDescent="0.45">
      <c r="H762" t="str">
        <f>IF(PNL!A762="","",_CALC_PNL!P762)</f>
        <v/>
      </c>
      <c r="I762" t="str">
        <f>IF(PNL!A762="","",IF(_CALC_PNL!E762=1,H762-G762,""))</f>
        <v/>
      </c>
    </row>
    <row r="763" spans="8:9" x14ac:dyDescent="0.45">
      <c r="H763" t="str">
        <f>IF(PNL!A763="","",_CALC_PNL!P763)</f>
        <v/>
      </c>
      <c r="I763" t="str">
        <f>IF(PNL!A763="","",IF(_CALC_PNL!E763=1,H763-G763,""))</f>
        <v/>
      </c>
    </row>
    <row r="764" spans="8:9" x14ac:dyDescent="0.45">
      <c r="H764" t="str">
        <f>IF(PNL!A764="","",_CALC_PNL!P764)</f>
        <v/>
      </c>
      <c r="I764" t="str">
        <f>IF(PNL!A764="","",IF(_CALC_PNL!E764=1,H764-G764,""))</f>
        <v/>
      </c>
    </row>
    <row r="765" spans="8:9" x14ac:dyDescent="0.45">
      <c r="H765" t="str">
        <f>IF(PNL!A765="","",_CALC_PNL!P765)</f>
        <v/>
      </c>
      <c r="I765" t="str">
        <f>IF(PNL!A765="","",IF(_CALC_PNL!E765=1,H765-G765,""))</f>
        <v/>
      </c>
    </row>
    <row r="766" spans="8:9" x14ac:dyDescent="0.45">
      <c r="H766" t="str">
        <f>IF(PNL!A766="","",_CALC_PNL!P766)</f>
        <v/>
      </c>
      <c r="I766" t="str">
        <f>IF(PNL!A766="","",IF(_CALC_PNL!E766=1,H766-G766,""))</f>
        <v/>
      </c>
    </row>
    <row r="767" spans="8:9" x14ac:dyDescent="0.45">
      <c r="H767" t="str">
        <f>IF(PNL!A767="","",_CALC_PNL!P767)</f>
        <v/>
      </c>
      <c r="I767" t="str">
        <f>IF(PNL!A767="","",IF(_CALC_PNL!E767=1,H767-G767,""))</f>
        <v/>
      </c>
    </row>
    <row r="768" spans="8:9" x14ac:dyDescent="0.45">
      <c r="H768" t="str">
        <f>IF(PNL!A768="","",_CALC_PNL!P768)</f>
        <v/>
      </c>
      <c r="I768" t="str">
        <f>IF(PNL!A768="","",IF(_CALC_PNL!E768=1,H768-G768,""))</f>
        <v/>
      </c>
    </row>
    <row r="769" spans="8:9" x14ac:dyDescent="0.45">
      <c r="H769" t="str">
        <f>IF(PNL!A769="","",_CALC_PNL!P769)</f>
        <v/>
      </c>
      <c r="I769" t="str">
        <f>IF(PNL!A769="","",IF(_CALC_PNL!E769=1,H769-G769,""))</f>
        <v/>
      </c>
    </row>
    <row r="770" spans="8:9" x14ac:dyDescent="0.45">
      <c r="H770" t="str">
        <f>IF(PNL!A770="","",_CALC_PNL!P770)</f>
        <v/>
      </c>
      <c r="I770" t="str">
        <f>IF(PNL!A770="","",IF(_CALC_PNL!E770=1,H770-G770,""))</f>
        <v/>
      </c>
    </row>
    <row r="771" spans="8:9" x14ac:dyDescent="0.45">
      <c r="H771" t="str">
        <f>IF(PNL!A771="","",_CALC_PNL!P771)</f>
        <v/>
      </c>
      <c r="I771" t="str">
        <f>IF(PNL!A771="","",IF(_CALC_PNL!E771=1,H771-G771,""))</f>
        <v/>
      </c>
    </row>
    <row r="772" spans="8:9" x14ac:dyDescent="0.45">
      <c r="H772" t="str">
        <f>IF(PNL!A772="","",_CALC_PNL!P772)</f>
        <v/>
      </c>
      <c r="I772" t="str">
        <f>IF(PNL!A772="","",IF(_CALC_PNL!E772=1,H772-G772,""))</f>
        <v/>
      </c>
    </row>
    <row r="773" spans="8:9" x14ac:dyDescent="0.45">
      <c r="H773" t="str">
        <f>IF(PNL!A773="","",_CALC_PNL!P773)</f>
        <v/>
      </c>
      <c r="I773" t="str">
        <f>IF(PNL!A773="","",IF(_CALC_PNL!E773=1,H773-G773,""))</f>
        <v/>
      </c>
    </row>
    <row r="774" spans="8:9" x14ac:dyDescent="0.45">
      <c r="H774" t="str">
        <f>IF(PNL!A774="","",_CALC_PNL!P774)</f>
        <v/>
      </c>
      <c r="I774" t="str">
        <f>IF(PNL!A774="","",IF(_CALC_PNL!E774=1,H774-G774,""))</f>
        <v/>
      </c>
    </row>
    <row r="775" spans="8:9" x14ac:dyDescent="0.45">
      <c r="H775" t="str">
        <f>IF(PNL!A775="","",_CALC_PNL!P775)</f>
        <v/>
      </c>
      <c r="I775" t="str">
        <f>IF(PNL!A775="","",IF(_CALC_PNL!E775=1,H775-G775,""))</f>
        <v/>
      </c>
    </row>
    <row r="776" spans="8:9" x14ac:dyDescent="0.45">
      <c r="H776" t="str">
        <f>IF(PNL!A776="","",_CALC_PNL!P776)</f>
        <v/>
      </c>
      <c r="I776" t="str">
        <f>IF(PNL!A776="","",IF(_CALC_PNL!E776=1,H776-G776,""))</f>
        <v/>
      </c>
    </row>
    <row r="777" spans="8:9" x14ac:dyDescent="0.45">
      <c r="H777" t="str">
        <f>IF(PNL!A777="","",_CALC_PNL!P777)</f>
        <v/>
      </c>
      <c r="I777" t="str">
        <f>IF(PNL!A777="","",IF(_CALC_PNL!E777=1,H777-G777,""))</f>
        <v/>
      </c>
    </row>
    <row r="778" spans="8:9" x14ac:dyDescent="0.45">
      <c r="H778" t="str">
        <f>IF(PNL!A778="","",_CALC_PNL!P778)</f>
        <v/>
      </c>
      <c r="I778" t="str">
        <f>IF(PNL!A778="","",IF(_CALC_PNL!E778=1,H778-G778,""))</f>
        <v/>
      </c>
    </row>
    <row r="779" spans="8:9" x14ac:dyDescent="0.45">
      <c r="H779" t="str">
        <f>IF(PNL!A779="","",_CALC_PNL!P779)</f>
        <v/>
      </c>
      <c r="I779" t="str">
        <f>IF(PNL!A779="","",IF(_CALC_PNL!E779=1,H779-G779,""))</f>
        <v/>
      </c>
    </row>
    <row r="780" spans="8:9" x14ac:dyDescent="0.45">
      <c r="H780" t="str">
        <f>IF(PNL!A780="","",_CALC_PNL!P780)</f>
        <v/>
      </c>
      <c r="I780" t="str">
        <f>IF(PNL!A780="","",IF(_CALC_PNL!E780=1,H780-G780,""))</f>
        <v/>
      </c>
    </row>
    <row r="781" spans="8:9" x14ac:dyDescent="0.45">
      <c r="H781" t="str">
        <f>IF(PNL!A781="","",_CALC_PNL!P781)</f>
        <v/>
      </c>
      <c r="I781" t="str">
        <f>IF(PNL!A781="","",IF(_CALC_PNL!E781=1,H781-G781,""))</f>
        <v/>
      </c>
    </row>
    <row r="782" spans="8:9" x14ac:dyDescent="0.45">
      <c r="H782" t="str">
        <f>IF(PNL!A782="","",_CALC_PNL!P782)</f>
        <v/>
      </c>
      <c r="I782" t="str">
        <f>IF(PNL!A782="","",IF(_CALC_PNL!E782=1,H782-G782,""))</f>
        <v/>
      </c>
    </row>
    <row r="783" spans="8:9" x14ac:dyDescent="0.45">
      <c r="H783" t="str">
        <f>IF(PNL!A783="","",_CALC_PNL!P783)</f>
        <v/>
      </c>
      <c r="I783" t="str">
        <f>IF(PNL!A783="","",IF(_CALC_PNL!E783=1,H783-G783,""))</f>
        <v/>
      </c>
    </row>
    <row r="784" spans="8:9" x14ac:dyDescent="0.45">
      <c r="H784" t="str">
        <f>IF(PNL!A784="","",_CALC_PNL!P784)</f>
        <v/>
      </c>
      <c r="I784" t="str">
        <f>IF(PNL!A784="","",IF(_CALC_PNL!E784=1,H784-G784,""))</f>
        <v/>
      </c>
    </row>
    <row r="785" spans="8:9" x14ac:dyDescent="0.45">
      <c r="H785" t="str">
        <f>IF(PNL!A785="","",_CALC_PNL!P785)</f>
        <v/>
      </c>
      <c r="I785" t="str">
        <f>IF(PNL!A785="","",IF(_CALC_PNL!E785=1,H785-G785,""))</f>
        <v/>
      </c>
    </row>
    <row r="786" spans="8:9" x14ac:dyDescent="0.45">
      <c r="H786" t="str">
        <f>IF(PNL!A786="","",_CALC_PNL!P786)</f>
        <v/>
      </c>
      <c r="I786" t="str">
        <f>IF(PNL!A786="","",IF(_CALC_PNL!E786=1,H786-G786,""))</f>
        <v/>
      </c>
    </row>
    <row r="787" spans="8:9" x14ac:dyDescent="0.45">
      <c r="H787" t="str">
        <f>IF(PNL!A787="","",_CALC_PNL!P787)</f>
        <v/>
      </c>
      <c r="I787" t="str">
        <f>IF(PNL!A787="","",IF(_CALC_PNL!E787=1,H787-G787,""))</f>
        <v/>
      </c>
    </row>
    <row r="788" spans="8:9" x14ac:dyDescent="0.45">
      <c r="H788" t="str">
        <f>IF(PNL!A788="","",_CALC_PNL!P788)</f>
        <v/>
      </c>
      <c r="I788" t="str">
        <f>IF(PNL!A788="","",IF(_CALC_PNL!E788=1,H788-G788,""))</f>
        <v/>
      </c>
    </row>
    <row r="789" spans="8:9" x14ac:dyDescent="0.45">
      <c r="H789" t="str">
        <f>IF(PNL!A789="","",_CALC_PNL!P789)</f>
        <v/>
      </c>
      <c r="I789" t="str">
        <f>IF(PNL!A789="","",IF(_CALC_PNL!E789=1,H789-G789,""))</f>
        <v/>
      </c>
    </row>
    <row r="790" spans="8:9" x14ac:dyDescent="0.45">
      <c r="H790" t="str">
        <f>IF(PNL!A790="","",_CALC_PNL!P790)</f>
        <v/>
      </c>
      <c r="I790" t="str">
        <f>IF(PNL!A790="","",IF(_CALC_PNL!E790=1,H790-G790,""))</f>
        <v/>
      </c>
    </row>
    <row r="791" spans="8:9" x14ac:dyDescent="0.45">
      <c r="H791" t="str">
        <f>IF(PNL!A791="","",_CALC_PNL!P791)</f>
        <v/>
      </c>
      <c r="I791" t="str">
        <f>IF(PNL!A791="","",IF(_CALC_PNL!E791=1,H791-G791,""))</f>
        <v/>
      </c>
    </row>
    <row r="792" spans="8:9" x14ac:dyDescent="0.45">
      <c r="H792" t="str">
        <f>IF(PNL!A792="","",_CALC_PNL!P792)</f>
        <v/>
      </c>
      <c r="I792" t="str">
        <f>IF(PNL!A792="","",IF(_CALC_PNL!E792=1,H792-G792,""))</f>
        <v/>
      </c>
    </row>
    <row r="793" spans="8:9" x14ac:dyDescent="0.45">
      <c r="H793" t="str">
        <f>IF(PNL!A793="","",_CALC_PNL!P793)</f>
        <v/>
      </c>
      <c r="I793" t="str">
        <f>IF(PNL!A793="","",IF(_CALC_PNL!E793=1,H793-G793,""))</f>
        <v/>
      </c>
    </row>
    <row r="794" spans="8:9" x14ac:dyDescent="0.45">
      <c r="H794" t="str">
        <f>IF(PNL!A794="","",_CALC_PNL!P794)</f>
        <v/>
      </c>
      <c r="I794" t="str">
        <f>IF(PNL!A794="","",IF(_CALC_PNL!E794=1,H794-G794,""))</f>
        <v/>
      </c>
    </row>
    <row r="795" spans="8:9" x14ac:dyDescent="0.45">
      <c r="H795" t="str">
        <f>IF(PNL!A795="","",_CALC_PNL!P795)</f>
        <v/>
      </c>
      <c r="I795" t="str">
        <f>IF(PNL!A795="","",IF(_CALC_PNL!E795=1,H795-G795,""))</f>
        <v/>
      </c>
    </row>
    <row r="796" spans="8:9" x14ac:dyDescent="0.45">
      <c r="H796" t="str">
        <f>IF(PNL!A796="","",_CALC_PNL!P796)</f>
        <v/>
      </c>
      <c r="I796" t="str">
        <f>IF(PNL!A796="","",IF(_CALC_PNL!E796=1,H796-G796,""))</f>
        <v/>
      </c>
    </row>
    <row r="797" spans="8:9" x14ac:dyDescent="0.45">
      <c r="H797" t="str">
        <f>IF(PNL!A797="","",_CALC_PNL!P797)</f>
        <v/>
      </c>
      <c r="I797" t="str">
        <f>IF(PNL!A797="","",IF(_CALC_PNL!E797=1,H797-G797,""))</f>
        <v/>
      </c>
    </row>
    <row r="798" spans="8:9" x14ac:dyDescent="0.45">
      <c r="H798" t="str">
        <f>IF(PNL!A798="","",_CALC_PNL!P798)</f>
        <v/>
      </c>
      <c r="I798" t="str">
        <f>IF(PNL!A798="","",IF(_CALC_PNL!E798=1,H798-G798,""))</f>
        <v/>
      </c>
    </row>
    <row r="799" spans="8:9" x14ac:dyDescent="0.45">
      <c r="H799" t="str">
        <f>IF(PNL!A799="","",_CALC_PNL!P799)</f>
        <v/>
      </c>
      <c r="I799" t="str">
        <f>IF(PNL!A799="","",IF(_CALC_PNL!E799=1,H799-G799,""))</f>
        <v/>
      </c>
    </row>
    <row r="800" spans="8:9" x14ac:dyDescent="0.45">
      <c r="H800" t="str">
        <f>IF(PNL!A800="","",_CALC_PNL!P800)</f>
        <v/>
      </c>
      <c r="I800" t="str">
        <f>IF(PNL!A800="","",IF(_CALC_PNL!E800=1,H800-G800,""))</f>
        <v/>
      </c>
    </row>
    <row r="801" spans="8:9" x14ac:dyDescent="0.45">
      <c r="H801" t="str">
        <f>IF(PNL!A801="","",_CALC_PNL!P801)</f>
        <v/>
      </c>
      <c r="I801" t="str">
        <f>IF(PNL!A801="","",IF(_CALC_PNL!E801=1,H801-G801,""))</f>
        <v/>
      </c>
    </row>
    <row r="802" spans="8:9" x14ac:dyDescent="0.45">
      <c r="H802" t="str">
        <f>IF(PNL!A802="","",_CALC_PNL!P802)</f>
        <v/>
      </c>
      <c r="I802" t="str">
        <f>IF(PNL!A802="","",IF(_CALC_PNL!E802=1,H802-G802,""))</f>
        <v/>
      </c>
    </row>
    <row r="803" spans="8:9" x14ac:dyDescent="0.45">
      <c r="H803" t="str">
        <f>IF(PNL!A803="","",_CALC_PNL!P803)</f>
        <v/>
      </c>
      <c r="I803" t="str">
        <f>IF(PNL!A803="","",IF(_CALC_PNL!E803=1,H803-G803,""))</f>
        <v/>
      </c>
    </row>
    <row r="804" spans="8:9" x14ac:dyDescent="0.45">
      <c r="H804" t="str">
        <f>IF(PNL!A804="","",_CALC_PNL!P804)</f>
        <v/>
      </c>
      <c r="I804" t="str">
        <f>IF(PNL!A804="","",IF(_CALC_PNL!E804=1,H804-G804,""))</f>
        <v/>
      </c>
    </row>
    <row r="805" spans="8:9" x14ac:dyDescent="0.45">
      <c r="H805" t="str">
        <f>IF(PNL!A805="","",_CALC_PNL!P805)</f>
        <v/>
      </c>
      <c r="I805" t="str">
        <f>IF(PNL!A805="","",IF(_CALC_PNL!E805=1,H805-G805,""))</f>
        <v/>
      </c>
    </row>
    <row r="806" spans="8:9" x14ac:dyDescent="0.45">
      <c r="H806" t="str">
        <f>IF(PNL!A806="","",_CALC_PNL!P806)</f>
        <v/>
      </c>
      <c r="I806" t="str">
        <f>IF(PNL!A806="","",IF(_CALC_PNL!E806=1,H806-G806,""))</f>
        <v/>
      </c>
    </row>
    <row r="807" spans="8:9" x14ac:dyDescent="0.45">
      <c r="H807" t="str">
        <f>IF(PNL!A807="","",_CALC_PNL!P807)</f>
        <v/>
      </c>
      <c r="I807" t="str">
        <f>IF(PNL!A807="","",IF(_CALC_PNL!E807=1,H807-G807,""))</f>
        <v/>
      </c>
    </row>
    <row r="808" spans="8:9" x14ac:dyDescent="0.45">
      <c r="H808" t="str">
        <f>IF(PNL!A808="","",_CALC_PNL!P808)</f>
        <v/>
      </c>
      <c r="I808" t="str">
        <f>IF(PNL!A808="","",IF(_CALC_PNL!E808=1,H808-G808,""))</f>
        <v/>
      </c>
    </row>
    <row r="809" spans="8:9" x14ac:dyDescent="0.45">
      <c r="H809" t="str">
        <f>IF(PNL!A809="","",_CALC_PNL!P809)</f>
        <v/>
      </c>
      <c r="I809" t="str">
        <f>IF(PNL!A809="","",IF(_CALC_PNL!E809=1,H809-G809,""))</f>
        <v/>
      </c>
    </row>
    <row r="810" spans="8:9" x14ac:dyDescent="0.45">
      <c r="H810" t="str">
        <f>IF(PNL!A810="","",_CALC_PNL!P810)</f>
        <v/>
      </c>
      <c r="I810" t="str">
        <f>IF(PNL!A810="","",IF(_CALC_PNL!E810=1,H810-G810,""))</f>
        <v/>
      </c>
    </row>
    <row r="811" spans="8:9" x14ac:dyDescent="0.45">
      <c r="H811" t="str">
        <f>IF(PNL!A811="","",_CALC_PNL!P811)</f>
        <v/>
      </c>
      <c r="I811" t="str">
        <f>IF(PNL!A811="","",IF(_CALC_PNL!E811=1,H811-G811,""))</f>
        <v/>
      </c>
    </row>
    <row r="812" spans="8:9" x14ac:dyDescent="0.45">
      <c r="H812" t="str">
        <f>IF(PNL!A812="","",_CALC_PNL!P812)</f>
        <v/>
      </c>
      <c r="I812" t="str">
        <f>IF(PNL!A812="","",IF(_CALC_PNL!E812=1,H812-G812,""))</f>
        <v/>
      </c>
    </row>
    <row r="813" spans="8:9" x14ac:dyDescent="0.45">
      <c r="H813" t="str">
        <f>IF(PNL!A813="","",_CALC_PNL!P813)</f>
        <v/>
      </c>
      <c r="I813" t="str">
        <f>IF(PNL!A813="","",IF(_CALC_PNL!E813=1,H813-G813,""))</f>
        <v/>
      </c>
    </row>
    <row r="814" spans="8:9" x14ac:dyDescent="0.45">
      <c r="H814" t="str">
        <f>IF(PNL!A814="","",_CALC_PNL!P814)</f>
        <v/>
      </c>
      <c r="I814" t="str">
        <f>IF(PNL!A814="","",IF(_CALC_PNL!E814=1,H814-G814,""))</f>
        <v/>
      </c>
    </row>
    <row r="815" spans="8:9" x14ac:dyDescent="0.45">
      <c r="H815" t="str">
        <f>IF(PNL!A815="","",_CALC_PNL!P815)</f>
        <v/>
      </c>
      <c r="I815" t="str">
        <f>IF(PNL!A815="","",IF(_CALC_PNL!E815=1,H815-G815,""))</f>
        <v/>
      </c>
    </row>
    <row r="816" spans="8:9" x14ac:dyDescent="0.45">
      <c r="H816" t="str">
        <f>IF(PNL!A816="","",_CALC_PNL!P816)</f>
        <v/>
      </c>
      <c r="I816" t="str">
        <f>IF(PNL!A816="","",IF(_CALC_PNL!E816=1,H816-G816,""))</f>
        <v/>
      </c>
    </row>
    <row r="817" spans="8:9" x14ac:dyDescent="0.45">
      <c r="H817" t="str">
        <f>IF(PNL!A817="","",_CALC_PNL!P817)</f>
        <v/>
      </c>
      <c r="I817" t="str">
        <f>IF(PNL!A817="","",IF(_CALC_PNL!E817=1,H817-G817,""))</f>
        <v/>
      </c>
    </row>
    <row r="818" spans="8:9" x14ac:dyDescent="0.45">
      <c r="H818" t="str">
        <f>IF(PNL!A818="","",_CALC_PNL!P818)</f>
        <v/>
      </c>
      <c r="I818" t="str">
        <f>IF(PNL!A818="","",IF(_CALC_PNL!E818=1,H818-G818,""))</f>
        <v/>
      </c>
    </row>
    <row r="819" spans="8:9" x14ac:dyDescent="0.45">
      <c r="H819" t="str">
        <f>IF(PNL!A819="","",_CALC_PNL!P819)</f>
        <v/>
      </c>
      <c r="I819" t="str">
        <f>IF(PNL!A819="","",IF(_CALC_PNL!E819=1,H819-G819,""))</f>
        <v/>
      </c>
    </row>
    <row r="820" spans="8:9" x14ac:dyDescent="0.45">
      <c r="H820" t="str">
        <f>IF(PNL!A820="","",_CALC_PNL!P820)</f>
        <v/>
      </c>
      <c r="I820" t="str">
        <f>IF(PNL!A820="","",IF(_CALC_PNL!E820=1,H820-G820,""))</f>
        <v/>
      </c>
    </row>
    <row r="821" spans="8:9" x14ac:dyDescent="0.45">
      <c r="H821" t="str">
        <f>IF(PNL!A821="","",_CALC_PNL!P821)</f>
        <v/>
      </c>
      <c r="I821" t="str">
        <f>IF(PNL!A821="","",IF(_CALC_PNL!E821=1,H821-G821,""))</f>
        <v/>
      </c>
    </row>
    <row r="822" spans="8:9" x14ac:dyDescent="0.45">
      <c r="H822" t="str">
        <f>IF(PNL!A822="","",_CALC_PNL!P822)</f>
        <v/>
      </c>
      <c r="I822" t="str">
        <f>IF(PNL!A822="","",IF(_CALC_PNL!E822=1,H822-G822,""))</f>
        <v/>
      </c>
    </row>
    <row r="823" spans="8:9" x14ac:dyDescent="0.45">
      <c r="H823" t="str">
        <f>IF(PNL!A823="","",_CALC_PNL!P823)</f>
        <v/>
      </c>
      <c r="I823" t="str">
        <f>IF(PNL!A823="","",IF(_CALC_PNL!E823=1,H823-G823,""))</f>
        <v/>
      </c>
    </row>
    <row r="824" spans="8:9" x14ac:dyDescent="0.45">
      <c r="H824" t="str">
        <f>IF(PNL!A824="","",_CALC_PNL!P824)</f>
        <v/>
      </c>
      <c r="I824" t="str">
        <f>IF(PNL!A824="","",IF(_CALC_PNL!E824=1,H824-G824,""))</f>
        <v/>
      </c>
    </row>
    <row r="825" spans="8:9" x14ac:dyDescent="0.45">
      <c r="H825" t="str">
        <f>IF(PNL!A825="","",_CALC_PNL!P825)</f>
        <v/>
      </c>
      <c r="I825" t="str">
        <f>IF(PNL!A825="","",IF(_CALC_PNL!E825=1,H825-G825,""))</f>
        <v/>
      </c>
    </row>
    <row r="826" spans="8:9" x14ac:dyDescent="0.45">
      <c r="H826" t="str">
        <f>IF(PNL!A826="","",_CALC_PNL!P826)</f>
        <v/>
      </c>
      <c r="I826" t="str">
        <f>IF(PNL!A826="","",IF(_CALC_PNL!E826=1,H826-G826,""))</f>
        <v/>
      </c>
    </row>
    <row r="827" spans="8:9" x14ac:dyDescent="0.45">
      <c r="H827" t="str">
        <f>IF(PNL!A827="","",_CALC_PNL!P827)</f>
        <v/>
      </c>
      <c r="I827" t="str">
        <f>IF(PNL!A827="","",IF(_CALC_PNL!E827=1,H827-G827,""))</f>
        <v/>
      </c>
    </row>
    <row r="828" spans="8:9" x14ac:dyDescent="0.45">
      <c r="H828" t="str">
        <f>IF(PNL!A828="","",_CALC_PNL!P828)</f>
        <v/>
      </c>
      <c r="I828" t="str">
        <f>IF(PNL!A828="","",IF(_CALC_PNL!E828=1,H828-G828,""))</f>
        <v/>
      </c>
    </row>
    <row r="829" spans="8:9" x14ac:dyDescent="0.45">
      <c r="H829" t="str">
        <f>IF(PNL!A829="","",_CALC_PNL!P829)</f>
        <v/>
      </c>
      <c r="I829" t="str">
        <f>IF(PNL!A829="","",IF(_CALC_PNL!E829=1,H829-G829,""))</f>
        <v/>
      </c>
    </row>
    <row r="830" spans="8:9" x14ac:dyDescent="0.45">
      <c r="H830" t="str">
        <f>IF(PNL!A830="","",_CALC_PNL!P830)</f>
        <v/>
      </c>
      <c r="I830" t="str">
        <f>IF(PNL!A830="","",IF(_CALC_PNL!E830=1,H830-G830,""))</f>
        <v/>
      </c>
    </row>
    <row r="831" spans="8:9" x14ac:dyDescent="0.45">
      <c r="H831" t="str">
        <f>IF(PNL!A831="","",_CALC_PNL!P831)</f>
        <v/>
      </c>
      <c r="I831" t="str">
        <f>IF(PNL!A831="","",IF(_CALC_PNL!E831=1,H831-G831,""))</f>
        <v/>
      </c>
    </row>
    <row r="832" spans="8:9" x14ac:dyDescent="0.45">
      <c r="H832" t="str">
        <f>IF(PNL!A832="","",_CALC_PNL!P832)</f>
        <v/>
      </c>
      <c r="I832" t="str">
        <f>IF(PNL!A832="","",IF(_CALC_PNL!E832=1,H832-G832,""))</f>
        <v/>
      </c>
    </row>
    <row r="833" spans="8:9" x14ac:dyDescent="0.45">
      <c r="H833" t="str">
        <f>IF(PNL!A833="","",_CALC_PNL!P833)</f>
        <v/>
      </c>
      <c r="I833" t="str">
        <f>IF(PNL!A833="","",IF(_CALC_PNL!E833=1,H833-G833,""))</f>
        <v/>
      </c>
    </row>
    <row r="834" spans="8:9" x14ac:dyDescent="0.45">
      <c r="H834" t="str">
        <f>IF(PNL!A834="","",_CALC_PNL!P834)</f>
        <v/>
      </c>
      <c r="I834" t="str">
        <f>IF(PNL!A834="","",IF(_CALC_PNL!E834=1,H834-G834,""))</f>
        <v/>
      </c>
    </row>
    <row r="835" spans="8:9" x14ac:dyDescent="0.45">
      <c r="H835" t="str">
        <f>IF(PNL!A835="","",_CALC_PNL!P835)</f>
        <v/>
      </c>
      <c r="I835" t="str">
        <f>IF(PNL!A835="","",IF(_CALC_PNL!E835=1,H835-G835,""))</f>
        <v/>
      </c>
    </row>
    <row r="836" spans="8:9" x14ac:dyDescent="0.45">
      <c r="H836" t="str">
        <f>IF(PNL!A836="","",_CALC_PNL!P836)</f>
        <v/>
      </c>
      <c r="I836" t="str">
        <f>IF(PNL!A836="","",IF(_CALC_PNL!E836=1,H836-G836,""))</f>
        <v/>
      </c>
    </row>
    <row r="837" spans="8:9" x14ac:dyDescent="0.45">
      <c r="H837" t="str">
        <f>IF(PNL!A837="","",_CALC_PNL!P837)</f>
        <v/>
      </c>
      <c r="I837" t="str">
        <f>IF(PNL!A837="","",IF(_CALC_PNL!E837=1,H837-G837,""))</f>
        <v/>
      </c>
    </row>
    <row r="838" spans="8:9" x14ac:dyDescent="0.45">
      <c r="H838" t="str">
        <f>IF(PNL!A838="","",_CALC_PNL!P838)</f>
        <v/>
      </c>
      <c r="I838" t="str">
        <f>IF(PNL!A838="","",IF(_CALC_PNL!E838=1,H838-G838,""))</f>
        <v/>
      </c>
    </row>
    <row r="839" spans="8:9" x14ac:dyDescent="0.45">
      <c r="H839" t="str">
        <f>IF(PNL!A839="","",_CALC_PNL!P839)</f>
        <v/>
      </c>
      <c r="I839" t="str">
        <f>IF(PNL!A839="","",IF(_CALC_PNL!E839=1,H839-G839,""))</f>
        <v/>
      </c>
    </row>
    <row r="840" spans="8:9" x14ac:dyDescent="0.45">
      <c r="H840" t="str">
        <f>IF(PNL!A840="","",_CALC_PNL!P840)</f>
        <v/>
      </c>
      <c r="I840" t="str">
        <f>IF(PNL!A840="","",IF(_CALC_PNL!E840=1,H840-G840,""))</f>
        <v/>
      </c>
    </row>
    <row r="841" spans="8:9" x14ac:dyDescent="0.45">
      <c r="H841" t="str">
        <f>IF(PNL!A841="","",_CALC_PNL!P841)</f>
        <v/>
      </c>
      <c r="I841" t="str">
        <f>IF(PNL!A841="","",IF(_CALC_PNL!E841=1,H841-G841,""))</f>
        <v/>
      </c>
    </row>
    <row r="842" spans="8:9" x14ac:dyDescent="0.45">
      <c r="H842" t="str">
        <f>IF(PNL!A842="","",_CALC_PNL!P842)</f>
        <v/>
      </c>
      <c r="I842" t="str">
        <f>IF(PNL!A842="","",IF(_CALC_PNL!E842=1,H842-G842,""))</f>
        <v/>
      </c>
    </row>
    <row r="843" spans="8:9" x14ac:dyDescent="0.45">
      <c r="H843" t="str">
        <f>IF(PNL!A843="","",_CALC_PNL!P843)</f>
        <v/>
      </c>
      <c r="I843" t="str">
        <f>IF(PNL!A843="","",IF(_CALC_PNL!E843=1,H843-G843,""))</f>
        <v/>
      </c>
    </row>
    <row r="844" spans="8:9" x14ac:dyDescent="0.45">
      <c r="H844" t="str">
        <f>IF(PNL!A844="","",_CALC_PNL!P844)</f>
        <v/>
      </c>
      <c r="I844" t="str">
        <f>IF(PNL!A844="","",IF(_CALC_PNL!E844=1,H844-G844,""))</f>
        <v/>
      </c>
    </row>
    <row r="845" spans="8:9" x14ac:dyDescent="0.45">
      <c r="H845" t="str">
        <f>IF(PNL!A845="","",_CALC_PNL!P845)</f>
        <v/>
      </c>
      <c r="I845" t="str">
        <f>IF(PNL!A845="","",IF(_CALC_PNL!E845=1,H845-G845,""))</f>
        <v/>
      </c>
    </row>
    <row r="846" spans="8:9" x14ac:dyDescent="0.45">
      <c r="H846" t="str">
        <f>IF(PNL!A846="","",_CALC_PNL!P846)</f>
        <v/>
      </c>
      <c r="I846" t="str">
        <f>IF(PNL!A846="","",IF(_CALC_PNL!E846=1,H846-G846,""))</f>
        <v/>
      </c>
    </row>
    <row r="847" spans="8:9" x14ac:dyDescent="0.45">
      <c r="H847" t="str">
        <f>IF(PNL!A847="","",_CALC_PNL!P847)</f>
        <v/>
      </c>
      <c r="I847" t="str">
        <f>IF(PNL!A847="","",IF(_CALC_PNL!E847=1,H847-G847,""))</f>
        <v/>
      </c>
    </row>
    <row r="848" spans="8:9" x14ac:dyDescent="0.45">
      <c r="H848" t="str">
        <f>IF(PNL!A848="","",_CALC_PNL!P848)</f>
        <v/>
      </c>
      <c r="I848" t="str">
        <f>IF(PNL!A848="","",IF(_CALC_PNL!E848=1,H848-G848,""))</f>
        <v/>
      </c>
    </row>
    <row r="849" spans="8:9" x14ac:dyDescent="0.45">
      <c r="H849" t="str">
        <f>IF(PNL!A849="","",_CALC_PNL!P849)</f>
        <v/>
      </c>
      <c r="I849" t="str">
        <f>IF(PNL!A849="","",IF(_CALC_PNL!E849=1,H849-G849,""))</f>
        <v/>
      </c>
    </row>
    <row r="850" spans="8:9" x14ac:dyDescent="0.45">
      <c r="H850" t="str">
        <f>IF(PNL!A850="","",_CALC_PNL!P850)</f>
        <v/>
      </c>
      <c r="I850" t="str">
        <f>IF(PNL!A850="","",IF(_CALC_PNL!E850=1,H850-G850,""))</f>
        <v/>
      </c>
    </row>
    <row r="851" spans="8:9" x14ac:dyDescent="0.45">
      <c r="H851" t="str">
        <f>IF(PNL!A851="","",_CALC_PNL!P851)</f>
        <v/>
      </c>
      <c r="I851" t="str">
        <f>IF(PNL!A851="","",IF(_CALC_PNL!E851=1,H851-G851,""))</f>
        <v/>
      </c>
    </row>
    <row r="852" spans="8:9" x14ac:dyDescent="0.45">
      <c r="H852" t="str">
        <f>IF(PNL!A852="","",_CALC_PNL!P852)</f>
        <v/>
      </c>
      <c r="I852" t="str">
        <f>IF(PNL!A852="","",IF(_CALC_PNL!E852=1,H852-G852,""))</f>
        <v/>
      </c>
    </row>
    <row r="853" spans="8:9" x14ac:dyDescent="0.45">
      <c r="H853" t="str">
        <f>IF(PNL!A853="","",_CALC_PNL!P853)</f>
        <v/>
      </c>
      <c r="I853" t="str">
        <f>IF(PNL!A853="","",IF(_CALC_PNL!E853=1,H853-G853,""))</f>
        <v/>
      </c>
    </row>
    <row r="854" spans="8:9" x14ac:dyDescent="0.45">
      <c r="H854" t="str">
        <f>IF(PNL!A854="","",_CALC_PNL!P854)</f>
        <v/>
      </c>
      <c r="I854" t="str">
        <f>IF(PNL!A854="","",IF(_CALC_PNL!E854=1,H854-G854,""))</f>
        <v/>
      </c>
    </row>
    <row r="855" spans="8:9" x14ac:dyDescent="0.45">
      <c r="H855" t="str">
        <f>IF(PNL!A855="","",_CALC_PNL!P855)</f>
        <v/>
      </c>
      <c r="I855" t="str">
        <f>IF(PNL!A855="","",IF(_CALC_PNL!E855=1,H855-G855,""))</f>
        <v/>
      </c>
    </row>
    <row r="856" spans="8:9" x14ac:dyDescent="0.45">
      <c r="H856" t="str">
        <f>IF(PNL!A856="","",_CALC_PNL!P856)</f>
        <v/>
      </c>
      <c r="I856" t="str">
        <f>IF(PNL!A856="","",IF(_CALC_PNL!E856=1,H856-G856,""))</f>
        <v/>
      </c>
    </row>
    <row r="857" spans="8:9" x14ac:dyDescent="0.45">
      <c r="H857" t="str">
        <f>IF(PNL!A857="","",_CALC_PNL!P857)</f>
        <v/>
      </c>
      <c r="I857" t="str">
        <f>IF(PNL!A857="","",IF(_CALC_PNL!E857=1,H857-G857,""))</f>
        <v/>
      </c>
    </row>
    <row r="858" spans="8:9" x14ac:dyDescent="0.45">
      <c r="H858" t="str">
        <f>IF(PNL!A858="","",_CALC_PNL!P858)</f>
        <v/>
      </c>
      <c r="I858" t="str">
        <f>IF(PNL!A858="","",IF(_CALC_PNL!E858=1,H858-G858,""))</f>
        <v/>
      </c>
    </row>
    <row r="859" spans="8:9" x14ac:dyDescent="0.45">
      <c r="H859" t="str">
        <f>IF(PNL!A859="","",_CALC_PNL!P859)</f>
        <v/>
      </c>
      <c r="I859" t="str">
        <f>IF(PNL!A859="","",IF(_CALC_PNL!E859=1,H859-G859,""))</f>
        <v/>
      </c>
    </row>
    <row r="860" spans="8:9" x14ac:dyDescent="0.45">
      <c r="H860" t="str">
        <f>IF(PNL!A860="","",_CALC_PNL!P860)</f>
        <v/>
      </c>
      <c r="I860" t="str">
        <f>IF(PNL!A860="","",IF(_CALC_PNL!E860=1,H860-G860,""))</f>
        <v/>
      </c>
    </row>
    <row r="861" spans="8:9" x14ac:dyDescent="0.45">
      <c r="H861" t="str">
        <f>IF(PNL!A861="","",_CALC_PNL!P861)</f>
        <v/>
      </c>
      <c r="I861" t="str">
        <f>IF(PNL!A861="","",IF(_CALC_PNL!E861=1,H861-G861,""))</f>
        <v/>
      </c>
    </row>
    <row r="862" spans="8:9" x14ac:dyDescent="0.45">
      <c r="H862" t="str">
        <f>IF(PNL!A862="","",_CALC_PNL!P862)</f>
        <v/>
      </c>
      <c r="I862" t="str">
        <f>IF(PNL!A862="","",IF(_CALC_PNL!E862=1,H862-G862,""))</f>
        <v/>
      </c>
    </row>
    <row r="863" spans="8:9" x14ac:dyDescent="0.45">
      <c r="H863" t="str">
        <f>IF(PNL!A863="","",_CALC_PNL!P863)</f>
        <v/>
      </c>
      <c r="I863" t="str">
        <f>IF(PNL!A863="","",IF(_CALC_PNL!E863=1,H863-G863,""))</f>
        <v/>
      </c>
    </row>
    <row r="864" spans="8:9" x14ac:dyDescent="0.45">
      <c r="H864" t="str">
        <f>IF(PNL!A864="","",_CALC_PNL!P864)</f>
        <v/>
      </c>
      <c r="I864" t="str">
        <f>IF(PNL!A864="","",IF(_CALC_PNL!E864=1,H864-G864,""))</f>
        <v/>
      </c>
    </row>
    <row r="865" spans="8:9" x14ac:dyDescent="0.45">
      <c r="H865" t="str">
        <f>IF(PNL!A865="","",_CALC_PNL!P865)</f>
        <v/>
      </c>
      <c r="I865" t="str">
        <f>IF(PNL!A865="","",IF(_CALC_PNL!E865=1,H865-G865,""))</f>
        <v/>
      </c>
    </row>
    <row r="866" spans="8:9" x14ac:dyDescent="0.45">
      <c r="H866" t="str">
        <f>IF(PNL!A866="","",_CALC_PNL!P866)</f>
        <v/>
      </c>
      <c r="I866" t="str">
        <f>IF(PNL!A866="","",IF(_CALC_PNL!E866=1,H866-G866,""))</f>
        <v/>
      </c>
    </row>
    <row r="867" spans="8:9" x14ac:dyDescent="0.45">
      <c r="H867" t="str">
        <f>IF(PNL!A867="","",_CALC_PNL!P867)</f>
        <v/>
      </c>
      <c r="I867" t="str">
        <f>IF(PNL!A867="","",IF(_CALC_PNL!E867=1,H867-G867,""))</f>
        <v/>
      </c>
    </row>
    <row r="868" spans="8:9" x14ac:dyDescent="0.45">
      <c r="H868" t="str">
        <f>IF(PNL!A868="","",_CALC_PNL!P868)</f>
        <v/>
      </c>
      <c r="I868" t="str">
        <f>IF(PNL!A868="","",IF(_CALC_PNL!E868=1,H868-G868,""))</f>
        <v/>
      </c>
    </row>
    <row r="869" spans="8:9" x14ac:dyDescent="0.45">
      <c r="H869" t="str">
        <f>IF(PNL!A869="","",_CALC_PNL!P869)</f>
        <v/>
      </c>
      <c r="I869" t="str">
        <f>IF(PNL!A869="","",IF(_CALC_PNL!E869=1,H869-G869,""))</f>
        <v/>
      </c>
    </row>
    <row r="870" spans="8:9" x14ac:dyDescent="0.45">
      <c r="H870" t="str">
        <f>IF(PNL!A870="","",_CALC_PNL!P870)</f>
        <v/>
      </c>
      <c r="I870" t="str">
        <f>IF(PNL!A870="","",IF(_CALC_PNL!E870=1,H870-G870,""))</f>
        <v/>
      </c>
    </row>
    <row r="871" spans="8:9" x14ac:dyDescent="0.45">
      <c r="H871" t="str">
        <f>IF(PNL!A871="","",_CALC_PNL!P871)</f>
        <v/>
      </c>
      <c r="I871" t="str">
        <f>IF(PNL!A871="","",IF(_CALC_PNL!E871=1,H871-G871,""))</f>
        <v/>
      </c>
    </row>
    <row r="872" spans="8:9" x14ac:dyDescent="0.45">
      <c r="H872" t="str">
        <f>IF(PNL!A872="","",_CALC_PNL!P872)</f>
        <v/>
      </c>
      <c r="I872" t="str">
        <f>IF(PNL!A872="","",IF(_CALC_PNL!E872=1,H872-G872,""))</f>
        <v/>
      </c>
    </row>
    <row r="873" spans="8:9" x14ac:dyDescent="0.45">
      <c r="H873" t="str">
        <f>IF(PNL!A873="","",_CALC_PNL!P873)</f>
        <v/>
      </c>
      <c r="I873" t="str">
        <f>IF(PNL!A873="","",IF(_CALC_PNL!E873=1,H873-G873,""))</f>
        <v/>
      </c>
    </row>
    <row r="874" spans="8:9" x14ac:dyDescent="0.45">
      <c r="H874" t="str">
        <f>IF(PNL!A874="","",_CALC_PNL!P874)</f>
        <v/>
      </c>
      <c r="I874" t="str">
        <f>IF(PNL!A874="","",IF(_CALC_PNL!E874=1,H874-G874,""))</f>
        <v/>
      </c>
    </row>
    <row r="875" spans="8:9" x14ac:dyDescent="0.45">
      <c r="H875" t="str">
        <f>IF(PNL!A875="","",_CALC_PNL!P875)</f>
        <v/>
      </c>
      <c r="I875" t="str">
        <f>IF(PNL!A875="","",IF(_CALC_PNL!E875=1,H875-G875,""))</f>
        <v/>
      </c>
    </row>
    <row r="876" spans="8:9" x14ac:dyDescent="0.45">
      <c r="H876" t="str">
        <f>IF(PNL!A876="","",_CALC_PNL!P876)</f>
        <v/>
      </c>
      <c r="I876" t="str">
        <f>IF(PNL!A876="","",IF(_CALC_PNL!E876=1,H876-G876,""))</f>
        <v/>
      </c>
    </row>
    <row r="877" spans="8:9" x14ac:dyDescent="0.45">
      <c r="H877" t="str">
        <f>IF(PNL!A877="","",_CALC_PNL!P877)</f>
        <v/>
      </c>
      <c r="I877" t="str">
        <f>IF(PNL!A877="","",IF(_CALC_PNL!E877=1,H877-G877,""))</f>
        <v/>
      </c>
    </row>
    <row r="878" spans="8:9" x14ac:dyDescent="0.45">
      <c r="H878" t="str">
        <f>IF(PNL!A878="","",_CALC_PNL!P878)</f>
        <v/>
      </c>
      <c r="I878" t="str">
        <f>IF(PNL!A878="","",IF(_CALC_PNL!E878=1,H878-G878,""))</f>
        <v/>
      </c>
    </row>
    <row r="879" spans="8:9" x14ac:dyDescent="0.45">
      <c r="H879" t="str">
        <f>IF(PNL!A879="","",_CALC_PNL!P879)</f>
        <v/>
      </c>
      <c r="I879" t="str">
        <f>IF(PNL!A879="","",IF(_CALC_PNL!E879=1,H879-G879,""))</f>
        <v/>
      </c>
    </row>
    <row r="880" spans="8:9" x14ac:dyDescent="0.45">
      <c r="H880" t="str">
        <f>IF(PNL!A880="","",_CALC_PNL!P880)</f>
        <v/>
      </c>
      <c r="I880" t="str">
        <f>IF(PNL!A880="","",IF(_CALC_PNL!E880=1,H880-G880,""))</f>
        <v/>
      </c>
    </row>
    <row r="881" spans="8:9" x14ac:dyDescent="0.45">
      <c r="H881" t="str">
        <f>IF(PNL!A881="","",_CALC_PNL!P881)</f>
        <v/>
      </c>
      <c r="I881" t="str">
        <f>IF(PNL!A881="","",IF(_CALC_PNL!E881=1,H881-G881,""))</f>
        <v/>
      </c>
    </row>
    <row r="882" spans="8:9" x14ac:dyDescent="0.45">
      <c r="H882" t="str">
        <f>IF(PNL!A882="","",_CALC_PNL!P882)</f>
        <v/>
      </c>
      <c r="I882" t="str">
        <f>IF(PNL!A882="","",IF(_CALC_PNL!E882=1,H882-G882,""))</f>
        <v/>
      </c>
    </row>
    <row r="883" spans="8:9" x14ac:dyDescent="0.45">
      <c r="H883" t="str">
        <f>IF(PNL!A883="","",_CALC_PNL!P883)</f>
        <v/>
      </c>
      <c r="I883" t="str">
        <f>IF(PNL!A883="","",IF(_CALC_PNL!E883=1,H883-G883,""))</f>
        <v/>
      </c>
    </row>
    <row r="884" spans="8:9" x14ac:dyDescent="0.45">
      <c r="H884" t="str">
        <f>IF(PNL!A884="","",_CALC_PNL!P884)</f>
        <v/>
      </c>
      <c r="I884" t="str">
        <f>IF(PNL!A884="","",IF(_CALC_PNL!E884=1,H884-G884,""))</f>
        <v/>
      </c>
    </row>
    <row r="885" spans="8:9" x14ac:dyDescent="0.45">
      <c r="H885" t="str">
        <f>IF(PNL!A885="","",_CALC_PNL!P885)</f>
        <v/>
      </c>
      <c r="I885" t="str">
        <f>IF(PNL!A885="","",IF(_CALC_PNL!E885=1,H885-G885,""))</f>
        <v/>
      </c>
    </row>
    <row r="886" spans="8:9" x14ac:dyDescent="0.45">
      <c r="H886" t="str">
        <f>IF(PNL!A886="","",_CALC_PNL!P886)</f>
        <v/>
      </c>
      <c r="I886" t="str">
        <f>IF(PNL!A886="","",IF(_CALC_PNL!E886=1,H886-G886,""))</f>
        <v/>
      </c>
    </row>
    <row r="887" spans="8:9" x14ac:dyDescent="0.45">
      <c r="H887" t="str">
        <f>IF(PNL!A887="","",_CALC_PNL!P887)</f>
        <v/>
      </c>
      <c r="I887" t="str">
        <f>IF(PNL!A887="","",IF(_CALC_PNL!E887=1,H887-G887,""))</f>
        <v/>
      </c>
    </row>
    <row r="888" spans="8:9" x14ac:dyDescent="0.45">
      <c r="H888" t="str">
        <f>IF(PNL!A888="","",_CALC_PNL!P888)</f>
        <v/>
      </c>
      <c r="I888" t="str">
        <f>IF(PNL!A888="","",IF(_CALC_PNL!E888=1,H888-G888,""))</f>
        <v/>
      </c>
    </row>
    <row r="889" spans="8:9" x14ac:dyDescent="0.45">
      <c r="H889" t="str">
        <f>IF(PNL!A889="","",_CALC_PNL!P889)</f>
        <v/>
      </c>
      <c r="I889" t="str">
        <f>IF(PNL!A889="","",IF(_CALC_PNL!E889=1,H889-G889,""))</f>
        <v/>
      </c>
    </row>
    <row r="890" spans="8:9" x14ac:dyDescent="0.45">
      <c r="H890" t="str">
        <f>IF(PNL!A890="","",_CALC_PNL!P890)</f>
        <v/>
      </c>
      <c r="I890" t="str">
        <f>IF(PNL!A890="","",IF(_CALC_PNL!E890=1,H890-G890,""))</f>
        <v/>
      </c>
    </row>
    <row r="891" spans="8:9" x14ac:dyDescent="0.45">
      <c r="H891" t="str">
        <f>IF(PNL!A891="","",_CALC_PNL!P891)</f>
        <v/>
      </c>
      <c r="I891" t="str">
        <f>IF(PNL!A891="","",IF(_CALC_PNL!E891=1,H891-G891,""))</f>
        <v/>
      </c>
    </row>
    <row r="892" spans="8:9" x14ac:dyDescent="0.45">
      <c r="H892" t="str">
        <f>IF(PNL!A892="","",_CALC_PNL!P892)</f>
        <v/>
      </c>
      <c r="I892" t="str">
        <f>IF(PNL!A892="","",IF(_CALC_PNL!E892=1,H892-G892,""))</f>
        <v/>
      </c>
    </row>
    <row r="893" spans="8:9" x14ac:dyDescent="0.45">
      <c r="H893" t="str">
        <f>IF(PNL!A893="","",_CALC_PNL!P893)</f>
        <v/>
      </c>
      <c r="I893" t="str">
        <f>IF(PNL!A893="","",IF(_CALC_PNL!E893=1,H893-G893,""))</f>
        <v/>
      </c>
    </row>
    <row r="894" spans="8:9" x14ac:dyDescent="0.45">
      <c r="H894" t="str">
        <f>IF(PNL!A894="","",_CALC_PNL!P894)</f>
        <v/>
      </c>
      <c r="I894" t="str">
        <f>IF(PNL!A894="","",IF(_CALC_PNL!E894=1,H894-G894,""))</f>
        <v/>
      </c>
    </row>
    <row r="895" spans="8:9" x14ac:dyDescent="0.45">
      <c r="H895" t="str">
        <f>IF(PNL!A895="","",_CALC_PNL!P895)</f>
        <v/>
      </c>
      <c r="I895" t="str">
        <f>IF(PNL!A895="","",IF(_CALC_PNL!E895=1,H895-G895,""))</f>
        <v/>
      </c>
    </row>
    <row r="896" spans="8:9" x14ac:dyDescent="0.45">
      <c r="H896" t="str">
        <f>IF(PNL!A896="","",_CALC_PNL!P896)</f>
        <v/>
      </c>
      <c r="I896" t="str">
        <f>IF(PNL!A896="","",IF(_CALC_PNL!E896=1,H896-G896,""))</f>
        <v/>
      </c>
    </row>
    <row r="897" spans="8:9" x14ac:dyDescent="0.45">
      <c r="H897" t="str">
        <f>IF(PNL!A897="","",_CALC_PNL!P897)</f>
        <v/>
      </c>
      <c r="I897" t="str">
        <f>IF(PNL!A897="","",IF(_CALC_PNL!E897=1,H897-G897,""))</f>
        <v/>
      </c>
    </row>
    <row r="898" spans="8:9" x14ac:dyDescent="0.45">
      <c r="H898" t="str">
        <f>IF(PNL!A898="","",_CALC_PNL!P898)</f>
        <v/>
      </c>
      <c r="I898" t="str">
        <f>IF(PNL!A898="","",IF(_CALC_PNL!E898=1,H898-G898,""))</f>
        <v/>
      </c>
    </row>
    <row r="899" spans="8:9" x14ac:dyDescent="0.45">
      <c r="H899" t="str">
        <f>IF(PNL!A899="","",_CALC_PNL!P899)</f>
        <v/>
      </c>
      <c r="I899" t="str">
        <f>IF(PNL!A899="","",IF(_CALC_PNL!E899=1,H899-G899,""))</f>
        <v/>
      </c>
    </row>
    <row r="900" spans="8:9" x14ac:dyDescent="0.45">
      <c r="H900" t="str">
        <f>IF(PNL!A900="","",_CALC_PNL!P900)</f>
        <v/>
      </c>
      <c r="I900" t="str">
        <f>IF(PNL!A900="","",IF(_CALC_PNL!E900=1,H900-G900,""))</f>
        <v/>
      </c>
    </row>
    <row r="901" spans="8:9" x14ac:dyDescent="0.45">
      <c r="H901" t="str">
        <f>IF(PNL!A901="","",_CALC_PNL!P901)</f>
        <v/>
      </c>
      <c r="I901" t="str">
        <f>IF(PNL!A901="","",IF(_CALC_PNL!E901=1,H901-G901,""))</f>
        <v/>
      </c>
    </row>
    <row r="902" spans="8:9" x14ac:dyDescent="0.45">
      <c r="H902" t="str">
        <f>IF(PNL!A902="","",_CALC_PNL!P902)</f>
        <v/>
      </c>
      <c r="I902" t="str">
        <f>IF(PNL!A902="","",IF(_CALC_PNL!E902=1,H902-G902,""))</f>
        <v/>
      </c>
    </row>
    <row r="903" spans="8:9" x14ac:dyDescent="0.45">
      <c r="H903" t="str">
        <f>IF(PNL!A903="","",_CALC_PNL!P903)</f>
        <v/>
      </c>
      <c r="I903" t="str">
        <f>IF(PNL!A903="","",IF(_CALC_PNL!E903=1,H903-G903,""))</f>
        <v/>
      </c>
    </row>
    <row r="904" spans="8:9" x14ac:dyDescent="0.45">
      <c r="H904" t="str">
        <f>IF(PNL!A904="","",_CALC_PNL!P904)</f>
        <v/>
      </c>
      <c r="I904" t="str">
        <f>IF(PNL!A904="","",IF(_CALC_PNL!E904=1,H904-G904,""))</f>
        <v/>
      </c>
    </row>
    <row r="905" spans="8:9" x14ac:dyDescent="0.45">
      <c r="H905" t="str">
        <f>IF(PNL!A905="","",_CALC_PNL!P905)</f>
        <v/>
      </c>
      <c r="I905" t="str">
        <f>IF(PNL!A905="","",IF(_CALC_PNL!E905=1,H905-G905,""))</f>
        <v/>
      </c>
    </row>
    <row r="906" spans="8:9" x14ac:dyDescent="0.45">
      <c r="H906" t="str">
        <f>IF(PNL!A906="","",_CALC_PNL!P906)</f>
        <v/>
      </c>
      <c r="I906" t="str">
        <f>IF(PNL!A906="","",IF(_CALC_PNL!E906=1,H906-G906,""))</f>
        <v/>
      </c>
    </row>
    <row r="907" spans="8:9" x14ac:dyDescent="0.45">
      <c r="H907" t="str">
        <f>IF(PNL!A907="","",_CALC_PNL!P907)</f>
        <v/>
      </c>
      <c r="I907" t="str">
        <f>IF(PNL!A907="","",IF(_CALC_PNL!E907=1,H907-G907,""))</f>
        <v/>
      </c>
    </row>
    <row r="908" spans="8:9" x14ac:dyDescent="0.45">
      <c r="H908" t="str">
        <f>IF(PNL!A908="","",_CALC_PNL!P908)</f>
        <v/>
      </c>
      <c r="I908" t="str">
        <f>IF(PNL!A908="","",IF(_CALC_PNL!E908=1,H908-G908,""))</f>
        <v/>
      </c>
    </row>
    <row r="909" spans="8:9" x14ac:dyDescent="0.45">
      <c r="H909" t="str">
        <f>IF(PNL!A909="","",_CALC_PNL!P909)</f>
        <v/>
      </c>
      <c r="I909" t="str">
        <f>IF(PNL!A909="","",IF(_CALC_PNL!E909=1,H909-G909,""))</f>
        <v/>
      </c>
    </row>
    <row r="910" spans="8:9" x14ac:dyDescent="0.45">
      <c r="H910" t="str">
        <f>IF(PNL!A910="","",_CALC_PNL!P910)</f>
        <v/>
      </c>
      <c r="I910" t="str">
        <f>IF(PNL!A910="","",IF(_CALC_PNL!E910=1,H910-G910,""))</f>
        <v/>
      </c>
    </row>
    <row r="911" spans="8:9" x14ac:dyDescent="0.45">
      <c r="H911" t="str">
        <f>IF(PNL!A911="","",_CALC_PNL!P911)</f>
        <v/>
      </c>
      <c r="I911" t="str">
        <f>IF(PNL!A911="","",IF(_CALC_PNL!E911=1,H911-G911,""))</f>
        <v/>
      </c>
    </row>
    <row r="912" spans="8:9" x14ac:dyDescent="0.45">
      <c r="H912" t="str">
        <f>IF(PNL!A912="","",_CALC_PNL!P912)</f>
        <v/>
      </c>
      <c r="I912" t="str">
        <f>IF(PNL!A912="","",IF(_CALC_PNL!E912=1,H912-G912,""))</f>
        <v/>
      </c>
    </row>
    <row r="913" spans="8:9" x14ac:dyDescent="0.45">
      <c r="H913" t="str">
        <f>IF(PNL!A913="","",_CALC_PNL!P913)</f>
        <v/>
      </c>
      <c r="I913" t="str">
        <f>IF(PNL!A913="","",IF(_CALC_PNL!E913=1,H913-G913,""))</f>
        <v/>
      </c>
    </row>
    <row r="914" spans="8:9" x14ac:dyDescent="0.45">
      <c r="H914" t="str">
        <f>IF(PNL!A914="","",_CALC_PNL!P914)</f>
        <v/>
      </c>
      <c r="I914" t="str">
        <f>IF(PNL!A914="","",IF(_CALC_PNL!E914=1,H914-G914,""))</f>
        <v/>
      </c>
    </row>
    <row r="915" spans="8:9" x14ac:dyDescent="0.45">
      <c r="H915" t="str">
        <f>IF(PNL!A915="","",_CALC_PNL!P915)</f>
        <v/>
      </c>
      <c r="I915" t="str">
        <f>IF(PNL!A915="","",IF(_CALC_PNL!E915=1,H915-G915,""))</f>
        <v/>
      </c>
    </row>
    <row r="916" spans="8:9" x14ac:dyDescent="0.45">
      <c r="H916" t="str">
        <f>IF(PNL!A916="","",_CALC_PNL!P916)</f>
        <v/>
      </c>
      <c r="I916" t="str">
        <f>IF(PNL!A916="","",IF(_CALC_PNL!E916=1,H916-G916,""))</f>
        <v/>
      </c>
    </row>
    <row r="917" spans="8:9" x14ac:dyDescent="0.45">
      <c r="H917" t="str">
        <f>IF(PNL!A917="","",_CALC_PNL!P917)</f>
        <v/>
      </c>
      <c r="I917" t="str">
        <f>IF(PNL!A917="","",IF(_CALC_PNL!E917=1,H917-G917,""))</f>
        <v/>
      </c>
    </row>
    <row r="918" spans="8:9" x14ac:dyDescent="0.45">
      <c r="H918" t="str">
        <f>IF(PNL!A918="","",_CALC_PNL!P918)</f>
        <v/>
      </c>
      <c r="I918" t="str">
        <f>IF(PNL!A918="","",IF(_CALC_PNL!E918=1,H918-G918,""))</f>
        <v/>
      </c>
    </row>
    <row r="919" spans="8:9" x14ac:dyDescent="0.45">
      <c r="H919" t="str">
        <f>IF(PNL!A919="","",_CALC_PNL!P919)</f>
        <v/>
      </c>
      <c r="I919" t="str">
        <f>IF(PNL!A919="","",IF(_CALC_PNL!E919=1,H919-G919,""))</f>
        <v/>
      </c>
    </row>
    <row r="920" spans="8:9" x14ac:dyDescent="0.45">
      <c r="H920" t="str">
        <f>IF(PNL!A920="","",_CALC_PNL!P920)</f>
        <v/>
      </c>
      <c r="I920" t="str">
        <f>IF(PNL!A920="","",IF(_CALC_PNL!E920=1,H920-G920,""))</f>
        <v/>
      </c>
    </row>
    <row r="921" spans="8:9" x14ac:dyDescent="0.45">
      <c r="H921" t="str">
        <f>IF(PNL!A921="","",_CALC_PNL!P921)</f>
        <v/>
      </c>
      <c r="I921" t="str">
        <f>IF(PNL!A921="","",IF(_CALC_PNL!E921=1,H921-G921,""))</f>
        <v/>
      </c>
    </row>
    <row r="922" spans="8:9" x14ac:dyDescent="0.45">
      <c r="H922" t="str">
        <f>IF(PNL!A922="","",_CALC_PNL!P922)</f>
        <v/>
      </c>
      <c r="I922" t="str">
        <f>IF(PNL!A922="","",IF(_CALC_PNL!E922=1,H922-G922,""))</f>
        <v/>
      </c>
    </row>
    <row r="923" spans="8:9" x14ac:dyDescent="0.45">
      <c r="H923" t="str">
        <f>IF(PNL!A923="","",_CALC_PNL!P923)</f>
        <v/>
      </c>
      <c r="I923" t="str">
        <f>IF(PNL!A923="","",IF(_CALC_PNL!E923=1,H923-G923,""))</f>
        <v/>
      </c>
    </row>
    <row r="924" spans="8:9" x14ac:dyDescent="0.45">
      <c r="H924" t="str">
        <f>IF(PNL!A924="","",_CALC_PNL!P924)</f>
        <v/>
      </c>
      <c r="I924" t="str">
        <f>IF(PNL!A924="","",IF(_CALC_PNL!E924=1,H924-G924,""))</f>
        <v/>
      </c>
    </row>
    <row r="925" spans="8:9" x14ac:dyDescent="0.45">
      <c r="H925" t="str">
        <f>IF(PNL!A925="","",_CALC_PNL!P925)</f>
        <v/>
      </c>
      <c r="I925" t="str">
        <f>IF(PNL!A925="","",IF(_CALC_PNL!E925=1,H925-G925,""))</f>
        <v/>
      </c>
    </row>
    <row r="926" spans="8:9" x14ac:dyDescent="0.45">
      <c r="H926" t="str">
        <f>IF(PNL!A926="","",_CALC_PNL!P926)</f>
        <v/>
      </c>
      <c r="I926" t="str">
        <f>IF(PNL!A926="","",IF(_CALC_PNL!E926=1,H926-G926,""))</f>
        <v/>
      </c>
    </row>
    <row r="927" spans="8:9" x14ac:dyDescent="0.45">
      <c r="H927" t="str">
        <f>IF(PNL!A927="","",_CALC_PNL!P927)</f>
        <v/>
      </c>
      <c r="I927" t="str">
        <f>IF(PNL!A927="","",IF(_CALC_PNL!E927=1,H927-G927,""))</f>
        <v/>
      </c>
    </row>
    <row r="928" spans="8:9" x14ac:dyDescent="0.45">
      <c r="H928" t="str">
        <f>IF(PNL!A928="","",_CALC_PNL!P928)</f>
        <v/>
      </c>
      <c r="I928" t="str">
        <f>IF(PNL!A928="","",IF(_CALC_PNL!E928=1,H928-G928,""))</f>
        <v/>
      </c>
    </row>
    <row r="929" spans="8:9" x14ac:dyDescent="0.45">
      <c r="H929" t="str">
        <f>IF(PNL!A929="","",_CALC_PNL!P929)</f>
        <v/>
      </c>
      <c r="I929" t="str">
        <f>IF(PNL!A929="","",IF(_CALC_PNL!E929=1,H929-G929,""))</f>
        <v/>
      </c>
    </row>
    <row r="930" spans="8:9" x14ac:dyDescent="0.45">
      <c r="H930" t="str">
        <f>IF(PNL!A930="","",_CALC_PNL!P930)</f>
        <v/>
      </c>
      <c r="I930" t="str">
        <f>IF(PNL!A930="","",IF(_CALC_PNL!E930=1,H930-G930,""))</f>
        <v/>
      </c>
    </row>
    <row r="931" spans="8:9" x14ac:dyDescent="0.45">
      <c r="H931" t="str">
        <f>IF(PNL!A931="","",_CALC_PNL!P931)</f>
        <v/>
      </c>
      <c r="I931" t="str">
        <f>IF(PNL!A931="","",IF(_CALC_PNL!E931=1,H931-G931,""))</f>
        <v/>
      </c>
    </row>
    <row r="932" spans="8:9" x14ac:dyDescent="0.45">
      <c r="H932" t="str">
        <f>IF(PNL!A932="","",_CALC_PNL!P932)</f>
        <v/>
      </c>
      <c r="I932" t="str">
        <f>IF(PNL!A932="","",IF(_CALC_PNL!E932=1,H932-G932,""))</f>
        <v/>
      </c>
    </row>
    <row r="933" spans="8:9" x14ac:dyDescent="0.45">
      <c r="H933" t="str">
        <f>IF(PNL!A933="","",_CALC_PNL!P933)</f>
        <v/>
      </c>
      <c r="I933" t="str">
        <f>IF(PNL!A933="","",IF(_CALC_PNL!E933=1,H933-G933,""))</f>
        <v/>
      </c>
    </row>
    <row r="934" spans="8:9" x14ac:dyDescent="0.45">
      <c r="H934" t="str">
        <f>IF(PNL!A934="","",_CALC_PNL!P934)</f>
        <v/>
      </c>
      <c r="I934" t="str">
        <f>IF(PNL!A934="","",IF(_CALC_PNL!E934=1,H934-G934,""))</f>
        <v/>
      </c>
    </row>
    <row r="935" spans="8:9" x14ac:dyDescent="0.45">
      <c r="H935" t="str">
        <f>IF(PNL!A935="","",_CALC_PNL!P935)</f>
        <v/>
      </c>
      <c r="I935" t="str">
        <f>IF(PNL!A935="","",IF(_CALC_PNL!E935=1,H935-G935,""))</f>
        <v/>
      </c>
    </row>
    <row r="936" spans="8:9" x14ac:dyDescent="0.45">
      <c r="H936" t="str">
        <f>IF(PNL!A936="","",_CALC_PNL!P936)</f>
        <v/>
      </c>
      <c r="I936" t="str">
        <f>IF(PNL!A936="","",IF(_CALC_PNL!E936=1,H936-G936,""))</f>
        <v/>
      </c>
    </row>
    <row r="937" spans="8:9" x14ac:dyDescent="0.45">
      <c r="H937" t="str">
        <f>IF(PNL!A937="","",_CALC_PNL!P937)</f>
        <v/>
      </c>
      <c r="I937" t="str">
        <f>IF(PNL!A937="","",IF(_CALC_PNL!E937=1,H937-G937,""))</f>
        <v/>
      </c>
    </row>
    <row r="938" spans="8:9" x14ac:dyDescent="0.45">
      <c r="H938" t="str">
        <f>IF(PNL!A938="","",_CALC_PNL!P938)</f>
        <v/>
      </c>
      <c r="I938" t="str">
        <f>IF(PNL!A938="","",IF(_CALC_PNL!E938=1,H938-G938,""))</f>
        <v/>
      </c>
    </row>
    <row r="939" spans="8:9" x14ac:dyDescent="0.45">
      <c r="H939" t="str">
        <f>IF(PNL!A939="","",_CALC_PNL!P939)</f>
        <v/>
      </c>
      <c r="I939" t="str">
        <f>IF(PNL!A939="","",IF(_CALC_PNL!E939=1,H939-G939,""))</f>
        <v/>
      </c>
    </row>
    <row r="940" spans="8:9" x14ac:dyDescent="0.45">
      <c r="H940" t="str">
        <f>IF(PNL!A940="","",_CALC_PNL!P940)</f>
        <v/>
      </c>
      <c r="I940" t="str">
        <f>IF(PNL!A940="","",IF(_CALC_PNL!E940=1,H940-G940,""))</f>
        <v/>
      </c>
    </row>
    <row r="941" spans="8:9" x14ac:dyDescent="0.45">
      <c r="H941" t="str">
        <f>IF(PNL!A941="","",_CALC_PNL!P941)</f>
        <v/>
      </c>
      <c r="I941" t="str">
        <f>IF(PNL!A941="","",IF(_CALC_PNL!E941=1,H941-G941,""))</f>
        <v/>
      </c>
    </row>
    <row r="942" spans="8:9" x14ac:dyDescent="0.45">
      <c r="H942" t="str">
        <f>IF(PNL!A942="","",_CALC_PNL!P942)</f>
        <v/>
      </c>
      <c r="I942" t="str">
        <f>IF(PNL!A942="","",IF(_CALC_PNL!E942=1,H942-G942,""))</f>
        <v/>
      </c>
    </row>
    <row r="943" spans="8:9" x14ac:dyDescent="0.45">
      <c r="H943" t="str">
        <f>IF(PNL!A943="","",_CALC_PNL!P943)</f>
        <v/>
      </c>
      <c r="I943" t="str">
        <f>IF(PNL!A943="","",IF(_CALC_PNL!E943=1,H943-G943,""))</f>
        <v/>
      </c>
    </row>
    <row r="944" spans="8:9" x14ac:dyDescent="0.45">
      <c r="H944" t="str">
        <f>IF(PNL!A944="","",_CALC_PNL!P944)</f>
        <v/>
      </c>
      <c r="I944" t="str">
        <f>IF(PNL!A944="","",IF(_CALC_PNL!E944=1,H944-G944,""))</f>
        <v/>
      </c>
    </row>
    <row r="945" spans="8:9" x14ac:dyDescent="0.45">
      <c r="H945" t="str">
        <f>IF(PNL!A945="","",_CALC_PNL!P945)</f>
        <v/>
      </c>
      <c r="I945" t="str">
        <f>IF(PNL!A945="","",IF(_CALC_PNL!E945=1,H945-G945,""))</f>
        <v/>
      </c>
    </row>
    <row r="946" spans="8:9" x14ac:dyDescent="0.45">
      <c r="H946" t="str">
        <f>IF(PNL!A946="","",_CALC_PNL!P946)</f>
        <v/>
      </c>
      <c r="I946" t="str">
        <f>IF(PNL!A946="","",IF(_CALC_PNL!E946=1,H946-G946,""))</f>
        <v/>
      </c>
    </row>
    <row r="947" spans="8:9" x14ac:dyDescent="0.45">
      <c r="H947" t="str">
        <f>IF(PNL!A947="","",_CALC_PNL!P947)</f>
        <v/>
      </c>
      <c r="I947" t="str">
        <f>IF(PNL!A947="","",IF(_CALC_PNL!E947=1,H947-G947,""))</f>
        <v/>
      </c>
    </row>
    <row r="948" spans="8:9" x14ac:dyDescent="0.45">
      <c r="H948" t="str">
        <f>IF(PNL!A948="","",_CALC_PNL!P948)</f>
        <v/>
      </c>
      <c r="I948" t="str">
        <f>IF(PNL!A948="","",IF(_CALC_PNL!E948=1,H948-G948,""))</f>
        <v/>
      </c>
    </row>
    <row r="949" spans="8:9" x14ac:dyDescent="0.45">
      <c r="H949" t="str">
        <f>IF(PNL!A949="","",_CALC_PNL!P949)</f>
        <v/>
      </c>
      <c r="I949" t="str">
        <f>IF(PNL!A949="","",IF(_CALC_PNL!E949=1,H949-G949,""))</f>
        <v/>
      </c>
    </row>
    <row r="950" spans="8:9" x14ac:dyDescent="0.45">
      <c r="H950" t="str">
        <f>IF(PNL!A950="","",_CALC_PNL!P950)</f>
        <v/>
      </c>
      <c r="I950" t="str">
        <f>IF(PNL!A950="","",IF(_CALC_PNL!E950=1,H950-G950,""))</f>
        <v/>
      </c>
    </row>
    <row r="951" spans="8:9" x14ac:dyDescent="0.45">
      <c r="H951" t="str">
        <f>IF(PNL!A951="","",_CALC_PNL!P951)</f>
        <v/>
      </c>
      <c r="I951" t="str">
        <f>IF(PNL!A951="","",IF(_CALC_PNL!E951=1,H951-G951,""))</f>
        <v/>
      </c>
    </row>
    <row r="952" spans="8:9" x14ac:dyDescent="0.45">
      <c r="H952" t="str">
        <f>IF(PNL!A952="","",_CALC_PNL!P952)</f>
        <v/>
      </c>
      <c r="I952" t="str">
        <f>IF(PNL!A952="","",IF(_CALC_PNL!E952=1,H952-G952,""))</f>
        <v/>
      </c>
    </row>
    <row r="953" spans="8:9" x14ac:dyDescent="0.45">
      <c r="H953" t="str">
        <f>IF(PNL!A953="","",_CALC_PNL!P953)</f>
        <v/>
      </c>
      <c r="I953" t="str">
        <f>IF(PNL!A953="","",IF(_CALC_PNL!E953=1,H953-G953,""))</f>
        <v/>
      </c>
    </row>
    <row r="954" spans="8:9" x14ac:dyDescent="0.45">
      <c r="H954" t="str">
        <f>IF(PNL!A954="","",_CALC_PNL!P954)</f>
        <v/>
      </c>
      <c r="I954" t="str">
        <f>IF(PNL!A954="","",IF(_CALC_PNL!E954=1,H954-G954,""))</f>
        <v/>
      </c>
    </row>
    <row r="955" spans="8:9" x14ac:dyDescent="0.45">
      <c r="H955" t="str">
        <f>IF(PNL!A955="","",_CALC_PNL!P955)</f>
        <v/>
      </c>
      <c r="I955" t="str">
        <f>IF(PNL!A955="","",IF(_CALC_PNL!E955=1,H955-G955,""))</f>
        <v/>
      </c>
    </row>
    <row r="956" spans="8:9" x14ac:dyDescent="0.45">
      <c r="H956" t="str">
        <f>IF(PNL!A956="","",_CALC_PNL!P956)</f>
        <v/>
      </c>
      <c r="I956" t="str">
        <f>IF(PNL!A956="","",IF(_CALC_PNL!E956=1,H956-G956,""))</f>
        <v/>
      </c>
    </row>
    <row r="957" spans="8:9" x14ac:dyDescent="0.45">
      <c r="H957" t="str">
        <f>IF(PNL!A957="","",_CALC_PNL!P957)</f>
        <v/>
      </c>
      <c r="I957" t="str">
        <f>IF(PNL!A957="","",IF(_CALC_PNL!E957=1,H957-G957,""))</f>
        <v/>
      </c>
    </row>
    <row r="958" spans="8:9" x14ac:dyDescent="0.45">
      <c r="H958" t="str">
        <f>IF(PNL!A958="","",_CALC_PNL!P958)</f>
        <v/>
      </c>
      <c r="I958" t="str">
        <f>IF(PNL!A958="","",IF(_CALC_PNL!E958=1,H958-G958,""))</f>
        <v/>
      </c>
    </row>
    <row r="959" spans="8:9" x14ac:dyDescent="0.45">
      <c r="H959" t="str">
        <f>IF(PNL!A959="","",_CALC_PNL!P959)</f>
        <v/>
      </c>
      <c r="I959" t="str">
        <f>IF(PNL!A959="","",IF(_CALC_PNL!E959=1,H959-G959,""))</f>
        <v/>
      </c>
    </row>
    <row r="960" spans="8:9" x14ac:dyDescent="0.45">
      <c r="H960" t="str">
        <f>IF(PNL!A960="","",_CALC_PNL!P960)</f>
        <v/>
      </c>
      <c r="I960" t="str">
        <f>IF(PNL!A960="","",IF(_CALC_PNL!E960=1,H960-G960,""))</f>
        <v/>
      </c>
    </row>
    <row r="961" spans="8:9" x14ac:dyDescent="0.45">
      <c r="H961" t="str">
        <f>IF(PNL!A961="","",_CALC_PNL!P961)</f>
        <v/>
      </c>
      <c r="I961" t="str">
        <f>IF(PNL!A961="","",IF(_CALC_PNL!E961=1,H961-G961,""))</f>
        <v/>
      </c>
    </row>
    <row r="962" spans="8:9" x14ac:dyDescent="0.45">
      <c r="H962" t="str">
        <f>IF(PNL!A962="","",_CALC_PNL!P962)</f>
        <v/>
      </c>
      <c r="I962" t="str">
        <f>IF(PNL!A962="","",IF(_CALC_PNL!E962=1,H962-G962,""))</f>
        <v/>
      </c>
    </row>
    <row r="963" spans="8:9" x14ac:dyDescent="0.45">
      <c r="H963" t="str">
        <f>IF(PNL!A963="","",_CALC_PNL!P963)</f>
        <v/>
      </c>
      <c r="I963" t="str">
        <f>IF(PNL!A963="","",IF(_CALC_PNL!E963=1,H963-G963,""))</f>
        <v/>
      </c>
    </row>
    <row r="964" spans="8:9" x14ac:dyDescent="0.45">
      <c r="H964" t="str">
        <f>IF(PNL!A964="","",_CALC_PNL!P964)</f>
        <v/>
      </c>
      <c r="I964" t="str">
        <f>IF(PNL!A964="","",IF(_CALC_PNL!E964=1,H964-G964,""))</f>
        <v/>
      </c>
    </row>
    <row r="965" spans="8:9" x14ac:dyDescent="0.45">
      <c r="H965" t="str">
        <f>IF(PNL!A965="","",_CALC_PNL!P965)</f>
        <v/>
      </c>
      <c r="I965" t="str">
        <f>IF(PNL!A965="","",IF(_CALC_PNL!E965=1,H965-G965,""))</f>
        <v/>
      </c>
    </row>
    <row r="966" spans="8:9" x14ac:dyDescent="0.45">
      <c r="H966" t="str">
        <f>IF(PNL!A966="","",_CALC_PNL!P966)</f>
        <v/>
      </c>
      <c r="I966" t="str">
        <f>IF(PNL!A966="","",IF(_CALC_PNL!E966=1,H966-G966,""))</f>
        <v/>
      </c>
    </row>
    <row r="967" spans="8:9" x14ac:dyDescent="0.45">
      <c r="H967" t="str">
        <f>IF(PNL!A967="","",_CALC_PNL!P967)</f>
        <v/>
      </c>
      <c r="I967" t="str">
        <f>IF(PNL!A967="","",IF(_CALC_PNL!E967=1,H967-G967,""))</f>
        <v/>
      </c>
    </row>
    <row r="968" spans="8:9" x14ac:dyDescent="0.45">
      <c r="H968" t="str">
        <f>IF(PNL!A968="","",_CALC_PNL!P968)</f>
        <v/>
      </c>
      <c r="I968" t="str">
        <f>IF(PNL!A968="","",IF(_CALC_PNL!E968=1,H968-G968,""))</f>
        <v/>
      </c>
    </row>
    <row r="969" spans="8:9" x14ac:dyDescent="0.45">
      <c r="H969" t="str">
        <f>IF(PNL!A969="","",_CALC_PNL!P969)</f>
        <v/>
      </c>
      <c r="I969" t="str">
        <f>IF(PNL!A969="","",IF(_CALC_PNL!E969=1,H969-G969,""))</f>
        <v/>
      </c>
    </row>
    <row r="970" spans="8:9" x14ac:dyDescent="0.45">
      <c r="H970" t="str">
        <f>IF(PNL!A970="","",_CALC_PNL!P970)</f>
        <v/>
      </c>
      <c r="I970" t="str">
        <f>IF(PNL!A970="","",IF(_CALC_PNL!E970=1,H970-G970,""))</f>
        <v/>
      </c>
    </row>
    <row r="971" spans="8:9" x14ac:dyDescent="0.45">
      <c r="H971" t="str">
        <f>IF(PNL!A971="","",_CALC_PNL!P971)</f>
        <v/>
      </c>
      <c r="I971" t="str">
        <f>IF(PNL!A971="","",IF(_CALC_PNL!E971=1,H971-G971,""))</f>
        <v/>
      </c>
    </row>
    <row r="972" spans="8:9" x14ac:dyDescent="0.45">
      <c r="H972" t="str">
        <f>IF(PNL!A972="","",_CALC_PNL!P972)</f>
        <v/>
      </c>
      <c r="I972" t="str">
        <f>IF(PNL!A972="","",IF(_CALC_PNL!E972=1,H972-G972,""))</f>
        <v/>
      </c>
    </row>
    <row r="973" spans="8:9" x14ac:dyDescent="0.45">
      <c r="H973" t="str">
        <f>IF(PNL!A973="","",_CALC_PNL!P973)</f>
        <v/>
      </c>
      <c r="I973" t="str">
        <f>IF(PNL!A973="","",IF(_CALC_PNL!E973=1,H973-G973,""))</f>
        <v/>
      </c>
    </row>
    <row r="974" spans="8:9" x14ac:dyDescent="0.45">
      <c r="H974" t="str">
        <f>IF(PNL!A974="","",_CALC_PNL!P974)</f>
        <v/>
      </c>
      <c r="I974" t="str">
        <f>IF(PNL!A974="","",IF(_CALC_PNL!E974=1,H974-G974,""))</f>
        <v/>
      </c>
    </row>
    <row r="975" spans="8:9" x14ac:dyDescent="0.45">
      <c r="H975" t="str">
        <f>IF(PNL!A975="","",_CALC_PNL!P975)</f>
        <v/>
      </c>
      <c r="I975" t="str">
        <f>IF(PNL!A975="","",IF(_CALC_PNL!E975=1,H975-G975,""))</f>
        <v/>
      </c>
    </row>
    <row r="976" spans="8:9" x14ac:dyDescent="0.45">
      <c r="H976" t="str">
        <f>IF(PNL!A976="","",_CALC_PNL!P976)</f>
        <v/>
      </c>
      <c r="I976" t="str">
        <f>IF(PNL!A976="","",IF(_CALC_PNL!E976=1,H976-G976,""))</f>
        <v/>
      </c>
    </row>
    <row r="977" spans="8:9" x14ac:dyDescent="0.45">
      <c r="H977" t="str">
        <f>IF(PNL!A977="","",_CALC_PNL!P977)</f>
        <v/>
      </c>
      <c r="I977" t="str">
        <f>IF(PNL!A977="","",IF(_CALC_PNL!E977=1,H977-G977,""))</f>
        <v/>
      </c>
    </row>
    <row r="978" spans="8:9" x14ac:dyDescent="0.45">
      <c r="H978" t="str">
        <f>IF(PNL!A978="","",_CALC_PNL!P978)</f>
        <v/>
      </c>
      <c r="I978" t="str">
        <f>IF(PNL!A978="","",IF(_CALC_PNL!E978=1,H978-G978,""))</f>
        <v/>
      </c>
    </row>
    <row r="979" spans="8:9" x14ac:dyDescent="0.45">
      <c r="H979" t="str">
        <f>IF(PNL!A979="","",_CALC_PNL!P979)</f>
        <v/>
      </c>
      <c r="I979" t="str">
        <f>IF(PNL!A979="","",IF(_CALC_PNL!E979=1,H979-G979,""))</f>
        <v/>
      </c>
    </row>
    <row r="980" spans="8:9" x14ac:dyDescent="0.45">
      <c r="H980" t="str">
        <f>IF(PNL!A980="","",_CALC_PNL!P980)</f>
        <v/>
      </c>
      <c r="I980" t="str">
        <f>IF(PNL!A980="","",IF(_CALC_PNL!E980=1,H980-G980,""))</f>
        <v/>
      </c>
    </row>
    <row r="981" spans="8:9" x14ac:dyDescent="0.45">
      <c r="H981" t="str">
        <f>IF(PNL!A981="","",_CALC_PNL!P981)</f>
        <v/>
      </c>
      <c r="I981" t="str">
        <f>IF(PNL!A981="","",IF(_CALC_PNL!E981=1,H981-G981,""))</f>
        <v/>
      </c>
    </row>
    <row r="982" spans="8:9" x14ac:dyDescent="0.45">
      <c r="H982" t="str">
        <f>IF(PNL!A982="","",_CALC_PNL!P982)</f>
        <v/>
      </c>
      <c r="I982" t="str">
        <f>IF(PNL!A982="","",IF(_CALC_PNL!E982=1,H982-G982,""))</f>
        <v/>
      </c>
    </row>
    <row r="983" spans="8:9" x14ac:dyDescent="0.45">
      <c r="H983" t="str">
        <f>IF(PNL!A983="","",_CALC_PNL!P983)</f>
        <v/>
      </c>
      <c r="I983" t="str">
        <f>IF(PNL!A983="","",IF(_CALC_PNL!E983=1,H983-G983,""))</f>
        <v/>
      </c>
    </row>
    <row r="984" spans="8:9" x14ac:dyDescent="0.45">
      <c r="H984" t="str">
        <f>IF(PNL!A984="","",_CALC_PNL!P984)</f>
        <v/>
      </c>
      <c r="I984" t="str">
        <f>IF(PNL!A984="","",IF(_CALC_PNL!E984=1,H984-G984,""))</f>
        <v/>
      </c>
    </row>
    <row r="985" spans="8:9" x14ac:dyDescent="0.45">
      <c r="H985" t="str">
        <f>IF(PNL!A985="","",_CALC_PNL!P985)</f>
        <v/>
      </c>
      <c r="I985" t="str">
        <f>IF(PNL!A985="","",IF(_CALC_PNL!E985=1,H985-G985,""))</f>
        <v/>
      </c>
    </row>
    <row r="986" spans="8:9" x14ac:dyDescent="0.45">
      <c r="H986" t="str">
        <f>IF(PNL!A986="","",_CALC_PNL!P986)</f>
        <v/>
      </c>
      <c r="I986" t="str">
        <f>IF(PNL!A986="","",IF(_CALC_PNL!E986=1,H986-G986,""))</f>
        <v/>
      </c>
    </row>
    <row r="987" spans="8:9" x14ac:dyDescent="0.45">
      <c r="H987" t="str">
        <f>IF(PNL!A987="","",_CALC_PNL!P987)</f>
        <v/>
      </c>
      <c r="I987" t="str">
        <f>IF(PNL!A987="","",IF(_CALC_PNL!E987=1,H987-G987,""))</f>
        <v/>
      </c>
    </row>
    <row r="988" spans="8:9" x14ac:dyDescent="0.45">
      <c r="H988" t="str">
        <f>IF(PNL!A988="","",_CALC_PNL!P988)</f>
        <v/>
      </c>
      <c r="I988" t="str">
        <f>IF(PNL!A988="","",IF(_CALC_PNL!E988=1,H988-G988,""))</f>
        <v/>
      </c>
    </row>
    <row r="989" spans="8:9" x14ac:dyDescent="0.45">
      <c r="H989" t="str">
        <f>IF(PNL!A989="","",_CALC_PNL!P989)</f>
        <v/>
      </c>
      <c r="I989" t="str">
        <f>IF(PNL!A989="","",IF(_CALC_PNL!E989=1,H989-G989,""))</f>
        <v/>
      </c>
    </row>
    <row r="990" spans="8:9" x14ac:dyDescent="0.45">
      <c r="H990" t="str">
        <f>IF(PNL!A990="","",_CALC_PNL!P990)</f>
        <v/>
      </c>
      <c r="I990" t="str">
        <f>IF(PNL!A990="","",IF(_CALC_PNL!E990=1,H990-G990,""))</f>
        <v/>
      </c>
    </row>
    <row r="991" spans="8:9" x14ac:dyDescent="0.45">
      <c r="H991" t="str">
        <f>IF(PNL!A991="","",_CALC_PNL!P991)</f>
        <v/>
      </c>
      <c r="I991" t="str">
        <f>IF(PNL!A991="","",IF(_CALC_PNL!E991=1,H991-G991,""))</f>
        <v/>
      </c>
    </row>
    <row r="992" spans="8:9" x14ac:dyDescent="0.45">
      <c r="H992" t="str">
        <f>IF(PNL!A992="","",_CALC_PNL!P992)</f>
        <v/>
      </c>
      <c r="I992" t="str">
        <f>IF(PNL!A992="","",IF(_CALC_PNL!E992=1,H992-G992,""))</f>
        <v/>
      </c>
    </row>
    <row r="993" spans="8:9" x14ac:dyDescent="0.45">
      <c r="H993" t="str">
        <f>IF(PNL!A993="","",_CALC_PNL!P993)</f>
        <v/>
      </c>
      <c r="I993" t="str">
        <f>IF(PNL!A993="","",IF(_CALC_PNL!E993=1,H993-G993,""))</f>
        <v/>
      </c>
    </row>
    <row r="994" spans="8:9" x14ac:dyDescent="0.45">
      <c r="H994" t="str">
        <f>IF(PNL!A994="","",_CALC_PNL!P994)</f>
        <v/>
      </c>
      <c r="I994" t="str">
        <f>IF(PNL!A994="","",IF(_CALC_PNL!E994=1,H994-G994,""))</f>
        <v/>
      </c>
    </row>
    <row r="995" spans="8:9" x14ac:dyDescent="0.45">
      <c r="H995" t="str">
        <f>IF(PNL!A995="","",_CALC_PNL!P995)</f>
        <v/>
      </c>
      <c r="I995" t="str">
        <f>IF(PNL!A995="","",IF(_CALC_PNL!E995=1,H995-G995,""))</f>
        <v/>
      </c>
    </row>
    <row r="996" spans="8:9" x14ac:dyDescent="0.45">
      <c r="H996" t="str">
        <f>IF(PNL!A996="","",_CALC_PNL!P996)</f>
        <v/>
      </c>
      <c r="I996" t="str">
        <f>IF(PNL!A996="","",IF(_CALC_PNL!E996=1,H996-G996,""))</f>
        <v/>
      </c>
    </row>
    <row r="997" spans="8:9" x14ac:dyDescent="0.45">
      <c r="H997" t="str">
        <f>IF(PNL!A997="","",_CALC_PNL!P997)</f>
        <v/>
      </c>
      <c r="I997" t="str">
        <f>IF(PNL!A997="","",IF(_CALC_PNL!E997=1,H997-G997,""))</f>
        <v/>
      </c>
    </row>
    <row r="998" spans="8:9" x14ac:dyDescent="0.45">
      <c r="H998" t="str">
        <f>IF(PNL!A998="","",_CALC_PNL!P998)</f>
        <v/>
      </c>
      <c r="I998" t="str">
        <f>IF(PNL!A998="","",IF(_CALC_PNL!E998=1,H998-G998,""))</f>
        <v/>
      </c>
    </row>
    <row r="999" spans="8:9" x14ac:dyDescent="0.45">
      <c r="H999" t="str">
        <f>IF(PNL!A999="","",_CALC_PNL!P999)</f>
        <v/>
      </c>
      <c r="I999" t="str">
        <f>IF(PNL!A999="","",IF(_CALC_PNL!E999=1,H999-G999,""))</f>
        <v/>
      </c>
    </row>
    <row r="1000" spans="8:9" x14ac:dyDescent="0.45">
      <c r="H1000" t="str">
        <f>IF(PNL!A1000="","",_CALC_PNL!P1000)</f>
        <v/>
      </c>
      <c r="I1000" t="str">
        <f>IF(PNL!A1000="","",IF(_CALC_PNL!E1000=1,H1000-G1000,""))</f>
        <v/>
      </c>
    </row>
    <row r="1001" spans="8:9" x14ac:dyDescent="0.45">
      <c r="H1001" t="str">
        <f>IF(PNL!A1001="","",_CALC_PNL!P1001)</f>
        <v/>
      </c>
      <c r="I1001" t="str">
        <f>IF(PNL!A1001="","",IF(_CALC_PNL!E1001=1,H1001-G1001,""))</f>
        <v/>
      </c>
    </row>
    <row r="1002" spans="8:9" x14ac:dyDescent="0.45">
      <c r="H1002" t="str">
        <f>IF(PNL!A1002="","",_CALC_PNL!P1002)</f>
        <v/>
      </c>
      <c r="I1002" t="str">
        <f>IF(PNL!A1002="","",IF(_CALC_PNL!E1002=1,H1002-G1002,""))</f>
        <v/>
      </c>
    </row>
    <row r="1003" spans="8:9" x14ac:dyDescent="0.45">
      <c r="H1003" t="str">
        <f>IF(PNL!A1003="","",_CALC_PNL!P1003)</f>
        <v/>
      </c>
      <c r="I1003" t="str">
        <f>IF(PNL!A1003="","",IF(_CALC_PNL!E1003=1,H1003-G1003,""))</f>
        <v/>
      </c>
    </row>
    <row r="1004" spans="8:9" x14ac:dyDescent="0.45">
      <c r="H1004" t="str">
        <f>IF(PNL!A1004="","",_CALC_PNL!P1004)</f>
        <v/>
      </c>
      <c r="I1004" t="str">
        <f>IF(PNL!A1004="","",IF(_CALC_PNL!E1004=1,H1004-G1004,""))</f>
        <v/>
      </c>
    </row>
    <row r="1005" spans="8:9" x14ac:dyDescent="0.45">
      <c r="H1005" t="str">
        <f>IF(PNL!A1005="","",_CALC_PNL!P1005)</f>
        <v/>
      </c>
      <c r="I1005" t="str">
        <f>IF(PNL!A1005="","",IF(_CALC_PNL!E1005=1,H1005-G1005,""))</f>
        <v/>
      </c>
    </row>
    <row r="1006" spans="8:9" x14ac:dyDescent="0.45">
      <c r="H1006" t="str">
        <f>IF(PNL!A1006="","",_CALC_PNL!P1006)</f>
        <v/>
      </c>
      <c r="I1006" t="str">
        <f>IF(PNL!A1006="","",IF(_CALC_PNL!E1006=1,H1006-G1006,""))</f>
        <v/>
      </c>
    </row>
    <row r="1007" spans="8:9" x14ac:dyDescent="0.45">
      <c r="H1007" t="str">
        <f>IF(PNL!A1007="","",_CALC_PNL!P1007)</f>
        <v/>
      </c>
      <c r="I1007" t="str">
        <f>IF(PNL!A1007="","",IF(_CALC_PNL!E1007=1,H1007-G1007,""))</f>
        <v/>
      </c>
    </row>
    <row r="1008" spans="8:9" x14ac:dyDescent="0.45">
      <c r="H1008" t="str">
        <f>IF(PNL!A1008="","",_CALC_PNL!P1008)</f>
        <v/>
      </c>
      <c r="I1008" t="str">
        <f>IF(PNL!A1008="","",IF(_CALC_PNL!E1008=1,H1008-G1008,""))</f>
        <v/>
      </c>
    </row>
    <row r="1009" spans="8:9" x14ac:dyDescent="0.45">
      <c r="H1009" t="str">
        <f>IF(PNL!A1009="","",_CALC_PNL!P1009)</f>
        <v/>
      </c>
      <c r="I1009" t="str">
        <f>IF(PNL!A1009="","",IF(_CALC_PNL!E1009=1,H1009-G1009,""))</f>
        <v/>
      </c>
    </row>
    <row r="1010" spans="8:9" x14ac:dyDescent="0.45">
      <c r="H1010" t="str">
        <f>IF(PNL!A1010="","",_CALC_PNL!P1010)</f>
        <v/>
      </c>
      <c r="I1010" t="str">
        <f>IF(PNL!A1010="","",IF(_CALC_PNL!E1010=1,H1010-G1010,""))</f>
        <v/>
      </c>
    </row>
    <row r="1011" spans="8:9" x14ac:dyDescent="0.45">
      <c r="H1011" t="str">
        <f>IF(PNL!A1011="","",_CALC_PNL!P1011)</f>
        <v/>
      </c>
      <c r="I1011" t="str">
        <f>IF(PNL!A1011="","",IF(_CALC_PNL!E1011=1,H1011-G1011,""))</f>
        <v/>
      </c>
    </row>
    <row r="1012" spans="8:9" x14ac:dyDescent="0.45">
      <c r="H1012" t="str">
        <f>IF(PNL!A1012="","",_CALC_PNL!P1012)</f>
        <v/>
      </c>
      <c r="I1012" t="str">
        <f>IF(PNL!A1012="","",IF(_CALC_PNL!E1012=1,H1012-G1012,""))</f>
        <v/>
      </c>
    </row>
    <row r="1013" spans="8:9" x14ac:dyDescent="0.45">
      <c r="H1013" t="str">
        <f>IF(PNL!A1013="","",_CALC_PNL!P1013)</f>
        <v/>
      </c>
      <c r="I1013" t="str">
        <f>IF(PNL!A1013="","",IF(_CALC_PNL!E1013=1,H1013-G1013,""))</f>
        <v/>
      </c>
    </row>
    <row r="1014" spans="8:9" x14ac:dyDescent="0.45">
      <c r="H1014" t="str">
        <f>IF(PNL!A1014="","",_CALC_PNL!P1014)</f>
        <v/>
      </c>
      <c r="I1014" t="str">
        <f>IF(PNL!A1014="","",IF(_CALC_PNL!E1014=1,H1014-G1014,""))</f>
        <v/>
      </c>
    </row>
    <row r="1015" spans="8:9" x14ac:dyDescent="0.45">
      <c r="H1015" t="str">
        <f>IF(PNL!A1015="","",_CALC_PNL!P1015)</f>
        <v/>
      </c>
      <c r="I1015" t="str">
        <f>IF(PNL!A1015="","",IF(_CALC_PNL!E1015=1,H1015-G1015,""))</f>
        <v/>
      </c>
    </row>
    <row r="1016" spans="8:9" x14ac:dyDescent="0.45">
      <c r="H1016" t="str">
        <f>IF(PNL!A1016="","",_CALC_PNL!P1016)</f>
        <v/>
      </c>
      <c r="I1016" t="str">
        <f>IF(PNL!A1016="","",IF(_CALC_PNL!E1016=1,H1016-G1016,""))</f>
        <v/>
      </c>
    </row>
    <row r="1017" spans="8:9" x14ac:dyDescent="0.45">
      <c r="H1017" t="str">
        <f>IF(PNL!A1017="","",_CALC_PNL!P1017)</f>
        <v/>
      </c>
      <c r="I1017" t="str">
        <f>IF(PNL!A1017="","",IF(_CALC_PNL!E1017=1,H1017-G1017,""))</f>
        <v/>
      </c>
    </row>
    <row r="1018" spans="8:9" x14ac:dyDescent="0.45">
      <c r="H1018" t="str">
        <f>IF(PNL!A1018="","",_CALC_PNL!P1018)</f>
        <v/>
      </c>
      <c r="I1018" t="str">
        <f>IF(PNL!A1018="","",IF(_CALC_PNL!E1018=1,H1018-G1018,""))</f>
        <v/>
      </c>
    </row>
    <row r="1019" spans="8:9" x14ac:dyDescent="0.45">
      <c r="H1019" t="str">
        <f>IF(PNL!A1019="","",_CALC_PNL!P1019)</f>
        <v/>
      </c>
      <c r="I1019" t="str">
        <f>IF(PNL!A1019="","",IF(_CALC_PNL!E1019=1,H1019-G1019,""))</f>
        <v/>
      </c>
    </row>
    <row r="1020" spans="8:9" x14ac:dyDescent="0.45">
      <c r="H1020" t="str">
        <f>IF(PNL!A1020="","",_CALC_PNL!P1020)</f>
        <v/>
      </c>
      <c r="I1020" t="str">
        <f>IF(PNL!A1020="","",IF(_CALC_PNL!E1020=1,H1020-G1020,""))</f>
        <v/>
      </c>
    </row>
    <row r="1021" spans="8:9" x14ac:dyDescent="0.45">
      <c r="H1021" t="str">
        <f>IF(PNL!A1021="","",_CALC_PNL!P1021)</f>
        <v/>
      </c>
      <c r="I1021" t="str">
        <f>IF(PNL!A1021="","",IF(_CALC_PNL!E1021=1,H1021-G1021,""))</f>
        <v/>
      </c>
    </row>
    <row r="1022" spans="8:9" x14ac:dyDescent="0.45">
      <c r="H1022" t="str">
        <f>IF(PNL!A1022="","",_CALC_PNL!P1022)</f>
        <v/>
      </c>
      <c r="I1022" t="str">
        <f>IF(PNL!A1022="","",IF(_CALC_PNL!E1022=1,H1022-G1022,""))</f>
        <v/>
      </c>
    </row>
    <row r="1023" spans="8:9" x14ac:dyDescent="0.45">
      <c r="H1023" t="str">
        <f>IF(PNL!A1023="","",_CALC_PNL!P1023)</f>
        <v/>
      </c>
      <c r="I1023" t="str">
        <f>IF(PNL!A1023="","",IF(_CALC_PNL!E1023=1,H1023-G1023,""))</f>
        <v/>
      </c>
    </row>
    <row r="1024" spans="8:9" x14ac:dyDescent="0.45">
      <c r="H1024" t="str">
        <f>IF(PNL!A1024="","",_CALC_PNL!P1024)</f>
        <v/>
      </c>
      <c r="I1024" t="str">
        <f>IF(PNL!A1024="","",IF(_CALC_PNL!E1024=1,H1024-G1024,""))</f>
        <v/>
      </c>
    </row>
    <row r="1025" spans="8:9" x14ac:dyDescent="0.45">
      <c r="H1025" t="str">
        <f>IF(PNL!A1025="","",_CALC_PNL!P1025)</f>
        <v/>
      </c>
      <c r="I1025" t="str">
        <f>IF(PNL!A1025="","",IF(_CALC_PNL!E1025=1,H1025-G1025,""))</f>
        <v/>
      </c>
    </row>
    <row r="1026" spans="8:9" x14ac:dyDescent="0.45">
      <c r="H1026" t="str">
        <f>IF(PNL!A1026="","",_CALC_PNL!P1026)</f>
        <v/>
      </c>
      <c r="I1026" t="str">
        <f>IF(PNL!A1026="","",IF(_CALC_PNL!E1026=1,H1026-G1026,""))</f>
        <v/>
      </c>
    </row>
    <row r="1027" spans="8:9" x14ac:dyDescent="0.45">
      <c r="H1027" t="str">
        <f>IF(PNL!A1027="","",_CALC_PNL!P1027)</f>
        <v/>
      </c>
      <c r="I1027" t="str">
        <f>IF(PNL!A1027="","",IF(_CALC_PNL!E1027=1,H1027-G1027,""))</f>
        <v/>
      </c>
    </row>
    <row r="1028" spans="8:9" x14ac:dyDescent="0.45">
      <c r="H1028" t="str">
        <f>IF(PNL!A1028="","",_CALC_PNL!P1028)</f>
        <v/>
      </c>
      <c r="I1028" t="str">
        <f>IF(PNL!A1028="","",IF(_CALC_PNL!E1028=1,H1028-G1028,""))</f>
        <v/>
      </c>
    </row>
    <row r="1029" spans="8:9" x14ac:dyDescent="0.45">
      <c r="H1029" t="str">
        <f>IF(PNL!A1029="","",_CALC_PNL!P1029)</f>
        <v/>
      </c>
      <c r="I1029" t="str">
        <f>IF(PNL!A1029="","",IF(_CALC_PNL!E1029=1,H1029-G1029,""))</f>
        <v/>
      </c>
    </row>
    <row r="1030" spans="8:9" x14ac:dyDescent="0.45">
      <c r="H1030" t="str">
        <f>IF(PNL!A1030="","",_CALC_PNL!P1030)</f>
        <v/>
      </c>
      <c r="I1030" t="str">
        <f>IF(PNL!A1030="","",IF(_CALC_PNL!E1030=1,H1030-G1030,""))</f>
        <v/>
      </c>
    </row>
    <row r="1031" spans="8:9" x14ac:dyDescent="0.45">
      <c r="H1031" t="str">
        <f>IF(PNL!A1031="","",_CALC_PNL!P1031)</f>
        <v/>
      </c>
      <c r="I1031" t="str">
        <f>IF(PNL!A1031="","",IF(_CALC_PNL!E1031=1,H1031-G1031,""))</f>
        <v/>
      </c>
    </row>
    <row r="1032" spans="8:9" x14ac:dyDescent="0.45">
      <c r="H1032" t="str">
        <f>IF(PNL!A1032="","",_CALC_PNL!P1032)</f>
        <v/>
      </c>
      <c r="I1032" t="str">
        <f>IF(PNL!A1032="","",IF(_CALC_PNL!E1032=1,H1032-G1032,""))</f>
        <v/>
      </c>
    </row>
    <row r="1033" spans="8:9" x14ac:dyDescent="0.45">
      <c r="H1033" t="str">
        <f>IF(PNL!A1033="","",_CALC_PNL!P1033)</f>
        <v/>
      </c>
      <c r="I1033" t="str">
        <f>IF(PNL!A1033="","",IF(_CALC_PNL!E1033=1,H1033-G1033,""))</f>
        <v/>
      </c>
    </row>
    <row r="1034" spans="8:9" x14ac:dyDescent="0.45">
      <c r="H1034" t="str">
        <f>IF(PNL!A1034="","",_CALC_PNL!P1034)</f>
        <v/>
      </c>
      <c r="I1034" t="str">
        <f>IF(PNL!A1034="","",IF(_CALC_PNL!E1034=1,H1034-G1034,""))</f>
        <v/>
      </c>
    </row>
    <row r="1035" spans="8:9" x14ac:dyDescent="0.45">
      <c r="H1035" t="str">
        <f>IF(PNL!A1035="","",_CALC_PNL!P1035)</f>
        <v/>
      </c>
      <c r="I1035" t="str">
        <f>IF(PNL!A1035="","",IF(_CALC_PNL!E1035=1,H1035-G1035,""))</f>
        <v/>
      </c>
    </row>
    <row r="1036" spans="8:9" x14ac:dyDescent="0.45">
      <c r="H1036" t="str">
        <f>IF(PNL!A1036="","",_CALC_PNL!P1036)</f>
        <v/>
      </c>
      <c r="I1036" t="str">
        <f>IF(PNL!A1036="","",IF(_CALC_PNL!E1036=1,H1036-G1036,""))</f>
        <v/>
      </c>
    </row>
    <row r="1037" spans="8:9" x14ac:dyDescent="0.45">
      <c r="H1037" t="str">
        <f>IF(PNL!A1037="","",_CALC_PNL!P1037)</f>
        <v/>
      </c>
      <c r="I1037" t="str">
        <f>IF(PNL!A1037="","",IF(_CALC_PNL!E1037=1,H1037-G1037,""))</f>
        <v/>
      </c>
    </row>
    <row r="1038" spans="8:9" x14ac:dyDescent="0.45">
      <c r="H1038" t="str">
        <f>IF(PNL!A1038="","",_CALC_PNL!P1038)</f>
        <v/>
      </c>
      <c r="I1038" t="str">
        <f>IF(PNL!A1038="","",IF(_CALC_PNL!E1038=1,H1038-G1038,""))</f>
        <v/>
      </c>
    </row>
    <row r="1039" spans="8:9" x14ac:dyDescent="0.45">
      <c r="H1039" t="str">
        <f>IF(PNL!A1039="","",_CALC_PNL!P1039)</f>
        <v/>
      </c>
      <c r="I1039" t="str">
        <f>IF(PNL!A1039="","",IF(_CALC_PNL!E1039=1,H1039-G1039,""))</f>
        <v/>
      </c>
    </row>
    <row r="1040" spans="8:9" x14ac:dyDescent="0.45">
      <c r="H1040" t="str">
        <f>IF(PNL!A1040="","",_CALC_PNL!P1040)</f>
        <v/>
      </c>
      <c r="I1040" t="str">
        <f>IF(PNL!A1040="","",IF(_CALC_PNL!E1040=1,H1040-G1040,""))</f>
        <v/>
      </c>
    </row>
    <row r="1041" spans="8:9" x14ac:dyDescent="0.45">
      <c r="H1041" t="str">
        <f>IF(PNL!A1041="","",_CALC_PNL!P1041)</f>
        <v/>
      </c>
      <c r="I1041" t="str">
        <f>IF(PNL!A1041="","",IF(_CALC_PNL!E1041=1,H1041-G1041,""))</f>
        <v/>
      </c>
    </row>
    <row r="1042" spans="8:9" x14ac:dyDescent="0.45">
      <c r="H1042" t="str">
        <f>IF(PNL!A1042="","",_CALC_PNL!P1042)</f>
        <v/>
      </c>
      <c r="I1042" t="str">
        <f>IF(PNL!A1042="","",IF(_CALC_PNL!E1042=1,H1042-G1042,""))</f>
        <v/>
      </c>
    </row>
    <row r="1043" spans="8:9" x14ac:dyDescent="0.45">
      <c r="H1043" t="str">
        <f>IF(PNL!A1043="","",_CALC_PNL!P1043)</f>
        <v/>
      </c>
      <c r="I1043" t="str">
        <f>IF(PNL!A1043="","",IF(_CALC_PNL!E1043=1,H1043-G1043,""))</f>
        <v/>
      </c>
    </row>
    <row r="1044" spans="8:9" x14ac:dyDescent="0.45">
      <c r="H1044" t="str">
        <f>IF(PNL!A1044="","",_CALC_PNL!P1044)</f>
        <v/>
      </c>
      <c r="I1044" t="str">
        <f>IF(PNL!A1044="","",IF(_CALC_PNL!E1044=1,H1044-G1044,""))</f>
        <v/>
      </c>
    </row>
    <row r="1045" spans="8:9" x14ac:dyDescent="0.45">
      <c r="H1045" t="str">
        <f>IF(PNL!A1045="","",_CALC_PNL!P1045)</f>
        <v/>
      </c>
      <c r="I1045" t="str">
        <f>IF(PNL!A1045="","",IF(_CALC_PNL!E1045=1,H1045-G1045,""))</f>
        <v/>
      </c>
    </row>
    <row r="1046" spans="8:9" x14ac:dyDescent="0.45">
      <c r="H1046" t="str">
        <f>IF(PNL!A1046="","",_CALC_PNL!P1046)</f>
        <v/>
      </c>
      <c r="I1046" t="str">
        <f>IF(PNL!A1046="","",IF(_CALC_PNL!E1046=1,H1046-G1046,""))</f>
        <v/>
      </c>
    </row>
    <row r="1047" spans="8:9" x14ac:dyDescent="0.45">
      <c r="H1047" t="str">
        <f>IF(PNL!A1047="","",_CALC_PNL!P1047)</f>
        <v/>
      </c>
      <c r="I1047" t="str">
        <f>IF(PNL!A1047="","",IF(_CALC_PNL!E1047=1,H1047-G1047,""))</f>
        <v/>
      </c>
    </row>
    <row r="1048" spans="8:9" x14ac:dyDescent="0.45">
      <c r="H1048" t="str">
        <f>IF(PNL!A1048="","",_CALC_PNL!P1048)</f>
        <v/>
      </c>
      <c r="I1048" t="str">
        <f>IF(PNL!A1048="","",IF(_CALC_PNL!E1048=1,H1048-G1048,""))</f>
        <v/>
      </c>
    </row>
    <row r="1049" spans="8:9" x14ac:dyDescent="0.45">
      <c r="H1049" t="str">
        <f>IF(PNL!A1049="","",_CALC_PNL!P1049)</f>
        <v/>
      </c>
      <c r="I1049" t="str">
        <f>IF(PNL!A1049="","",IF(_CALC_PNL!E1049=1,H1049-G1049,""))</f>
        <v/>
      </c>
    </row>
    <row r="1050" spans="8:9" x14ac:dyDescent="0.45">
      <c r="H1050" t="str">
        <f>IF(PNL!A1050="","",_CALC_PNL!P1050)</f>
        <v/>
      </c>
      <c r="I1050" t="str">
        <f>IF(PNL!A1050="","",IF(_CALC_PNL!E1050=1,H1050-G1050,""))</f>
        <v/>
      </c>
    </row>
    <row r="1051" spans="8:9" x14ac:dyDescent="0.45">
      <c r="H1051" t="str">
        <f>IF(PNL!A1051="","",_CALC_PNL!P1051)</f>
        <v/>
      </c>
      <c r="I1051" t="str">
        <f>IF(PNL!A1051="","",IF(_CALC_PNL!E1051=1,H1051-G1051,""))</f>
        <v/>
      </c>
    </row>
    <row r="1052" spans="8:9" x14ac:dyDescent="0.45">
      <c r="H1052" t="str">
        <f>IF(PNL!A1052="","",_CALC_PNL!P1052)</f>
        <v/>
      </c>
      <c r="I1052" t="str">
        <f>IF(PNL!A1052="","",IF(_CALC_PNL!E1052=1,H1052-G1052,""))</f>
        <v/>
      </c>
    </row>
    <row r="1053" spans="8:9" x14ac:dyDescent="0.45">
      <c r="H1053" t="str">
        <f>IF(PNL!A1053="","",_CALC_PNL!P1053)</f>
        <v/>
      </c>
      <c r="I1053" t="str">
        <f>IF(PNL!A1053="","",IF(_CALC_PNL!E1053=1,H1053-G1053,""))</f>
        <v/>
      </c>
    </row>
    <row r="1054" spans="8:9" x14ac:dyDescent="0.45">
      <c r="H1054" t="str">
        <f>IF(PNL!A1054="","",_CALC_PNL!P1054)</f>
        <v/>
      </c>
      <c r="I1054" t="str">
        <f>IF(PNL!A1054="","",IF(_CALC_PNL!E1054=1,H1054-G1054,""))</f>
        <v/>
      </c>
    </row>
    <row r="1055" spans="8:9" x14ac:dyDescent="0.45">
      <c r="H1055" t="str">
        <f>IF(PNL!A1055="","",_CALC_PNL!P1055)</f>
        <v/>
      </c>
      <c r="I1055" t="str">
        <f>IF(PNL!A1055="","",IF(_CALC_PNL!E1055=1,H1055-G1055,""))</f>
        <v/>
      </c>
    </row>
    <row r="1056" spans="8:9" x14ac:dyDescent="0.45">
      <c r="H1056" t="str">
        <f>IF(PNL!A1056="","",_CALC_PNL!P1056)</f>
        <v/>
      </c>
      <c r="I1056" t="str">
        <f>IF(PNL!A1056="","",IF(_CALC_PNL!E1056=1,H1056-G1056,""))</f>
        <v/>
      </c>
    </row>
    <row r="1057" spans="8:9" x14ac:dyDescent="0.45">
      <c r="H1057" t="str">
        <f>IF(PNL!A1057="","",_CALC_PNL!P1057)</f>
        <v/>
      </c>
      <c r="I1057" t="str">
        <f>IF(PNL!A1057="","",IF(_CALC_PNL!E1057=1,H1057-G1057,""))</f>
        <v/>
      </c>
    </row>
    <row r="1058" spans="8:9" x14ac:dyDescent="0.45">
      <c r="H1058" t="str">
        <f>IF(PNL!A1058="","",_CALC_PNL!P1058)</f>
        <v/>
      </c>
      <c r="I1058" t="str">
        <f>IF(PNL!A1058="","",IF(_CALC_PNL!E1058=1,H1058-G1058,""))</f>
        <v/>
      </c>
    </row>
    <row r="1059" spans="8:9" x14ac:dyDescent="0.45">
      <c r="H1059" t="str">
        <f>IF(PNL!A1059="","",_CALC_PNL!P1059)</f>
        <v/>
      </c>
      <c r="I1059" t="str">
        <f>IF(PNL!A1059="","",IF(_CALC_PNL!E1059=1,H1059-G1059,""))</f>
        <v/>
      </c>
    </row>
    <row r="1060" spans="8:9" x14ac:dyDescent="0.45">
      <c r="H1060" t="str">
        <f>IF(PNL!A1060="","",_CALC_PNL!P1060)</f>
        <v/>
      </c>
      <c r="I1060" t="str">
        <f>IF(PNL!A1060="","",IF(_CALC_PNL!E1060=1,H1060-G1060,""))</f>
        <v/>
      </c>
    </row>
    <row r="1061" spans="8:9" x14ac:dyDescent="0.45">
      <c r="H1061" t="str">
        <f>IF(PNL!A1061="","",_CALC_PNL!P1061)</f>
        <v/>
      </c>
      <c r="I1061" t="str">
        <f>IF(PNL!A1061="","",IF(_CALC_PNL!E1061=1,H1061-G1061,""))</f>
        <v/>
      </c>
    </row>
    <row r="1062" spans="8:9" x14ac:dyDescent="0.45">
      <c r="H1062" t="str">
        <f>IF(PNL!A1062="","",_CALC_PNL!P1062)</f>
        <v/>
      </c>
      <c r="I1062" t="str">
        <f>IF(PNL!A1062="","",IF(_CALC_PNL!E1062=1,H1062-G1062,""))</f>
        <v/>
      </c>
    </row>
    <row r="1063" spans="8:9" x14ac:dyDescent="0.45">
      <c r="H1063" t="str">
        <f>IF(PNL!A1063="","",_CALC_PNL!P1063)</f>
        <v/>
      </c>
      <c r="I1063" t="str">
        <f>IF(PNL!A1063="","",IF(_CALC_PNL!E1063=1,H1063-G1063,""))</f>
        <v/>
      </c>
    </row>
    <row r="1064" spans="8:9" x14ac:dyDescent="0.45">
      <c r="H1064" t="str">
        <f>IF(PNL!A1064="","",_CALC_PNL!P1064)</f>
        <v/>
      </c>
      <c r="I1064" t="str">
        <f>IF(PNL!A1064="","",IF(_CALC_PNL!E1064=1,H1064-G1064,""))</f>
        <v/>
      </c>
    </row>
    <row r="1065" spans="8:9" x14ac:dyDescent="0.45">
      <c r="H1065" t="str">
        <f>IF(PNL!A1065="","",_CALC_PNL!P1065)</f>
        <v/>
      </c>
      <c r="I1065" t="str">
        <f>IF(PNL!A1065="","",IF(_CALC_PNL!E1065=1,H1065-G1065,""))</f>
        <v/>
      </c>
    </row>
    <row r="1066" spans="8:9" x14ac:dyDescent="0.45">
      <c r="H1066" t="str">
        <f>IF(PNL!A1066="","",_CALC_PNL!P1066)</f>
        <v/>
      </c>
      <c r="I1066" t="str">
        <f>IF(PNL!A1066="","",IF(_CALC_PNL!E1066=1,H1066-G1066,""))</f>
        <v/>
      </c>
    </row>
    <row r="1067" spans="8:9" x14ac:dyDescent="0.45">
      <c r="H1067" t="str">
        <f>IF(PNL!A1067="","",_CALC_PNL!P1067)</f>
        <v/>
      </c>
      <c r="I1067" t="str">
        <f>IF(PNL!A1067="","",IF(_CALC_PNL!E1067=1,H1067-G1067,""))</f>
        <v/>
      </c>
    </row>
    <row r="1068" spans="8:9" x14ac:dyDescent="0.45">
      <c r="H1068" t="str">
        <f>IF(PNL!A1068="","",_CALC_PNL!P1068)</f>
        <v/>
      </c>
      <c r="I1068" t="str">
        <f>IF(PNL!A1068="","",IF(_CALC_PNL!E1068=1,H1068-G1068,""))</f>
        <v/>
      </c>
    </row>
    <row r="1069" spans="8:9" x14ac:dyDescent="0.45">
      <c r="H1069" t="str">
        <f>IF(PNL!A1069="","",_CALC_PNL!P1069)</f>
        <v/>
      </c>
      <c r="I1069" t="str">
        <f>IF(PNL!A1069="","",IF(_CALC_PNL!E1069=1,H1069-G1069,""))</f>
        <v/>
      </c>
    </row>
    <row r="1070" spans="8:9" x14ac:dyDescent="0.45">
      <c r="H1070" t="str">
        <f>IF(PNL!A1070="","",_CALC_PNL!P1070)</f>
        <v/>
      </c>
      <c r="I1070" t="str">
        <f>IF(PNL!A1070="","",IF(_CALC_PNL!E1070=1,H1070-G1070,""))</f>
        <v/>
      </c>
    </row>
    <row r="1071" spans="8:9" x14ac:dyDescent="0.45">
      <c r="H1071" t="str">
        <f>IF(PNL!A1071="","",_CALC_PNL!P1071)</f>
        <v/>
      </c>
      <c r="I1071" t="str">
        <f>IF(PNL!A1071="","",IF(_CALC_PNL!E1071=1,H1071-G1071,""))</f>
        <v/>
      </c>
    </row>
    <row r="1072" spans="8:9" x14ac:dyDescent="0.45">
      <c r="H1072" t="str">
        <f>IF(PNL!A1072="","",_CALC_PNL!P1072)</f>
        <v/>
      </c>
      <c r="I1072" t="str">
        <f>IF(PNL!A1072="","",IF(_CALC_PNL!E1072=1,H1072-G1072,""))</f>
        <v/>
      </c>
    </row>
    <row r="1073" spans="8:9" x14ac:dyDescent="0.45">
      <c r="H1073" t="str">
        <f>IF(PNL!A1073="","",_CALC_PNL!P1073)</f>
        <v/>
      </c>
      <c r="I1073" t="str">
        <f>IF(PNL!A1073="","",IF(_CALC_PNL!E1073=1,H1073-G1073,""))</f>
        <v/>
      </c>
    </row>
    <row r="1074" spans="8:9" x14ac:dyDescent="0.45">
      <c r="H1074" t="str">
        <f>IF(PNL!A1074="","",_CALC_PNL!P1074)</f>
        <v/>
      </c>
      <c r="I1074" t="str">
        <f>IF(PNL!A1074="","",IF(_CALC_PNL!E1074=1,H1074-G1074,""))</f>
        <v/>
      </c>
    </row>
    <row r="1075" spans="8:9" x14ac:dyDescent="0.45">
      <c r="H1075" t="str">
        <f>IF(PNL!A1075="","",_CALC_PNL!P1075)</f>
        <v/>
      </c>
      <c r="I1075" t="str">
        <f>IF(PNL!A1075="","",IF(_CALC_PNL!E1075=1,H1075-G1075,""))</f>
        <v/>
      </c>
    </row>
    <row r="1076" spans="8:9" x14ac:dyDescent="0.45">
      <c r="H1076" t="str">
        <f>IF(PNL!A1076="","",_CALC_PNL!P1076)</f>
        <v/>
      </c>
      <c r="I1076" t="str">
        <f>IF(PNL!A1076="","",IF(_CALC_PNL!E1076=1,H1076-G1076,""))</f>
        <v/>
      </c>
    </row>
    <row r="1077" spans="8:9" x14ac:dyDescent="0.45">
      <c r="H1077" t="str">
        <f>IF(PNL!A1077="","",_CALC_PNL!P1077)</f>
        <v/>
      </c>
      <c r="I1077" t="str">
        <f>IF(PNL!A1077="","",IF(_CALC_PNL!E1077=1,H1077-G1077,""))</f>
        <v/>
      </c>
    </row>
    <row r="1078" spans="8:9" x14ac:dyDescent="0.45">
      <c r="H1078" t="str">
        <f>IF(PNL!A1078="","",_CALC_PNL!P1078)</f>
        <v/>
      </c>
      <c r="I1078" t="str">
        <f>IF(PNL!A1078="","",IF(_CALC_PNL!E1078=1,H1078-G1078,""))</f>
        <v/>
      </c>
    </row>
    <row r="1079" spans="8:9" x14ac:dyDescent="0.45">
      <c r="H1079" t="str">
        <f>IF(PNL!A1079="","",_CALC_PNL!P1079)</f>
        <v/>
      </c>
      <c r="I1079" t="str">
        <f>IF(PNL!A1079="","",IF(_CALC_PNL!E1079=1,H1079-G1079,""))</f>
        <v/>
      </c>
    </row>
    <row r="1080" spans="8:9" x14ac:dyDescent="0.45">
      <c r="H1080" t="str">
        <f>IF(PNL!A1080="","",_CALC_PNL!P1080)</f>
        <v/>
      </c>
      <c r="I1080" t="str">
        <f>IF(PNL!A1080="","",IF(_CALC_PNL!E1080=1,H1080-G1080,""))</f>
        <v/>
      </c>
    </row>
    <row r="1081" spans="8:9" x14ac:dyDescent="0.45">
      <c r="H1081" t="str">
        <f>IF(PNL!A1081="","",_CALC_PNL!P1081)</f>
        <v/>
      </c>
      <c r="I1081" t="str">
        <f>IF(PNL!A1081="","",IF(_CALC_PNL!E1081=1,H1081-G1081,""))</f>
        <v/>
      </c>
    </row>
    <row r="1082" spans="8:9" x14ac:dyDescent="0.45">
      <c r="H1082" t="str">
        <f>IF(PNL!A1082="","",_CALC_PNL!P1082)</f>
        <v/>
      </c>
      <c r="I1082" t="str">
        <f>IF(PNL!A1082="","",IF(_CALC_PNL!E1082=1,H1082-G1082,""))</f>
        <v/>
      </c>
    </row>
    <row r="1083" spans="8:9" x14ac:dyDescent="0.45">
      <c r="H1083" t="str">
        <f>IF(PNL!A1083="","",_CALC_PNL!P1083)</f>
        <v/>
      </c>
      <c r="I1083" t="str">
        <f>IF(PNL!A1083="","",IF(_CALC_PNL!E1083=1,H1083-G1083,""))</f>
        <v/>
      </c>
    </row>
    <row r="1084" spans="8:9" x14ac:dyDescent="0.45">
      <c r="H1084" t="str">
        <f>IF(PNL!A1084="","",_CALC_PNL!P1084)</f>
        <v/>
      </c>
      <c r="I1084" t="str">
        <f>IF(PNL!A1084="","",IF(_CALC_PNL!E1084=1,H1084-G1084,""))</f>
        <v/>
      </c>
    </row>
    <row r="1085" spans="8:9" x14ac:dyDescent="0.45">
      <c r="H1085" t="str">
        <f>IF(PNL!A1085="","",_CALC_PNL!P1085)</f>
        <v/>
      </c>
      <c r="I1085" t="str">
        <f>IF(PNL!A1085="","",IF(_CALC_PNL!E1085=1,H1085-G1085,""))</f>
        <v/>
      </c>
    </row>
    <row r="1086" spans="8:9" x14ac:dyDescent="0.45">
      <c r="H1086" t="str">
        <f>IF(PNL!A1086="","",_CALC_PNL!P1086)</f>
        <v/>
      </c>
      <c r="I1086" t="str">
        <f>IF(PNL!A1086="","",IF(_CALC_PNL!E1086=1,H1086-G1086,""))</f>
        <v/>
      </c>
    </row>
    <row r="1087" spans="8:9" x14ac:dyDescent="0.45">
      <c r="H1087" t="str">
        <f>IF(PNL!A1087="","",_CALC_PNL!P1087)</f>
        <v/>
      </c>
      <c r="I1087" t="str">
        <f>IF(PNL!A1087="","",IF(_CALC_PNL!E1087=1,H1087-G1087,""))</f>
        <v/>
      </c>
    </row>
    <row r="1088" spans="8:9" x14ac:dyDescent="0.45">
      <c r="H1088" t="str">
        <f>IF(PNL!A1088="","",_CALC_PNL!P1088)</f>
        <v/>
      </c>
      <c r="I1088" t="str">
        <f>IF(PNL!A1088="","",IF(_CALC_PNL!E1088=1,H1088-G1088,""))</f>
        <v/>
      </c>
    </row>
    <row r="1089" spans="8:9" x14ac:dyDescent="0.45">
      <c r="H1089" t="str">
        <f>IF(PNL!A1089="","",_CALC_PNL!P1089)</f>
        <v/>
      </c>
      <c r="I1089" t="str">
        <f>IF(PNL!A1089="","",IF(_CALC_PNL!E1089=1,H1089-G1089,""))</f>
        <v/>
      </c>
    </row>
    <row r="1090" spans="8:9" x14ac:dyDescent="0.45">
      <c r="H1090" t="str">
        <f>IF(PNL!A1090="","",_CALC_PNL!P1090)</f>
        <v/>
      </c>
      <c r="I1090" t="str">
        <f>IF(PNL!A1090="","",IF(_CALC_PNL!E1090=1,H1090-G1090,""))</f>
        <v/>
      </c>
    </row>
    <row r="1091" spans="8:9" x14ac:dyDescent="0.45">
      <c r="H1091" t="str">
        <f>IF(PNL!A1091="","",_CALC_PNL!P1091)</f>
        <v/>
      </c>
      <c r="I1091" t="str">
        <f>IF(PNL!A1091="","",IF(_CALC_PNL!E1091=1,H1091-G1091,""))</f>
        <v/>
      </c>
    </row>
    <row r="1092" spans="8:9" x14ac:dyDescent="0.45">
      <c r="H1092" t="str">
        <f>IF(PNL!A1092="","",_CALC_PNL!P1092)</f>
        <v/>
      </c>
      <c r="I1092" t="str">
        <f>IF(PNL!A1092="","",IF(_CALC_PNL!E1092=1,H1092-G1092,""))</f>
        <v/>
      </c>
    </row>
    <row r="1093" spans="8:9" x14ac:dyDescent="0.45">
      <c r="H1093" t="str">
        <f>IF(PNL!A1093="","",_CALC_PNL!P1093)</f>
        <v/>
      </c>
      <c r="I1093" t="str">
        <f>IF(PNL!A1093="","",IF(_CALC_PNL!E1093=1,H1093-G1093,""))</f>
        <v/>
      </c>
    </row>
    <row r="1094" spans="8:9" x14ac:dyDescent="0.45">
      <c r="H1094" t="str">
        <f>IF(PNL!A1094="","",_CALC_PNL!P1094)</f>
        <v/>
      </c>
      <c r="I1094" t="str">
        <f>IF(PNL!A1094="","",IF(_CALC_PNL!E1094=1,H1094-G1094,""))</f>
        <v/>
      </c>
    </row>
    <row r="1095" spans="8:9" x14ac:dyDescent="0.45">
      <c r="H1095" t="str">
        <f>IF(PNL!A1095="","",_CALC_PNL!P1095)</f>
        <v/>
      </c>
      <c r="I1095" t="str">
        <f>IF(PNL!A1095="","",IF(_CALC_PNL!E1095=1,H1095-G1095,""))</f>
        <v/>
      </c>
    </row>
    <row r="1096" spans="8:9" x14ac:dyDescent="0.45">
      <c r="H1096" t="str">
        <f>IF(PNL!A1096="","",_CALC_PNL!P1096)</f>
        <v/>
      </c>
      <c r="I1096" t="str">
        <f>IF(PNL!A1096="","",IF(_CALC_PNL!E1096=1,H1096-G1096,""))</f>
        <v/>
      </c>
    </row>
    <row r="1097" spans="8:9" x14ac:dyDescent="0.45">
      <c r="H1097" t="str">
        <f>IF(PNL!A1097="","",_CALC_PNL!P1097)</f>
        <v/>
      </c>
      <c r="I1097" t="str">
        <f>IF(PNL!A1097="","",IF(_CALC_PNL!E1097=1,H1097-G1097,""))</f>
        <v/>
      </c>
    </row>
    <row r="1098" spans="8:9" x14ac:dyDescent="0.45">
      <c r="H1098" t="str">
        <f>IF(PNL!A1098="","",_CALC_PNL!P1098)</f>
        <v/>
      </c>
      <c r="I1098" t="str">
        <f>IF(PNL!A1098="","",IF(_CALC_PNL!E1098=1,H1098-G1098,""))</f>
        <v/>
      </c>
    </row>
    <row r="1099" spans="8:9" x14ac:dyDescent="0.45">
      <c r="H1099" t="str">
        <f>IF(PNL!A1099="","",_CALC_PNL!P1099)</f>
        <v/>
      </c>
      <c r="I1099" t="str">
        <f>IF(PNL!A1099="","",IF(_CALC_PNL!E1099=1,H1099-G1099,""))</f>
        <v/>
      </c>
    </row>
    <row r="1100" spans="8:9" x14ac:dyDescent="0.45">
      <c r="H1100" t="str">
        <f>IF(PNL!A1100="","",_CALC_PNL!P1100)</f>
        <v/>
      </c>
      <c r="I1100" t="str">
        <f>IF(PNL!A1100="","",IF(_CALC_PNL!E1100=1,H1100-G1100,""))</f>
        <v/>
      </c>
    </row>
    <row r="1101" spans="8:9" x14ac:dyDescent="0.45">
      <c r="H1101" t="str">
        <f>IF(PNL!A1101="","",_CALC_PNL!P1101)</f>
        <v/>
      </c>
      <c r="I1101" t="str">
        <f>IF(PNL!A1101="","",IF(_CALC_PNL!E1101=1,H1101-G1101,""))</f>
        <v/>
      </c>
    </row>
    <row r="1102" spans="8:9" x14ac:dyDescent="0.45">
      <c r="H1102" t="str">
        <f>IF(PNL!A1102="","",_CALC_PNL!P1102)</f>
        <v/>
      </c>
      <c r="I1102" t="str">
        <f>IF(PNL!A1102="","",IF(_CALC_PNL!E1102=1,H1102-G1102,""))</f>
        <v/>
      </c>
    </row>
    <row r="1103" spans="8:9" x14ac:dyDescent="0.45">
      <c r="H1103" t="str">
        <f>IF(PNL!A1103="","",_CALC_PNL!P1103)</f>
        <v/>
      </c>
      <c r="I1103" t="str">
        <f>IF(PNL!A1103="","",IF(_CALC_PNL!E1103=1,H1103-G1103,""))</f>
        <v/>
      </c>
    </row>
    <row r="1104" spans="8:9" x14ac:dyDescent="0.45">
      <c r="H1104" t="str">
        <f>IF(PNL!A1104="","",_CALC_PNL!P1104)</f>
        <v/>
      </c>
      <c r="I1104" t="str">
        <f>IF(PNL!A1104="","",IF(_CALC_PNL!E1104=1,H1104-G1104,""))</f>
        <v/>
      </c>
    </row>
    <row r="1105" spans="8:9" x14ac:dyDescent="0.45">
      <c r="H1105" t="str">
        <f>IF(PNL!A1105="","",_CALC_PNL!P1105)</f>
        <v/>
      </c>
      <c r="I1105" t="str">
        <f>IF(PNL!A1105="","",IF(_CALC_PNL!E1105=1,H1105-G1105,""))</f>
        <v/>
      </c>
    </row>
    <row r="1106" spans="8:9" x14ac:dyDescent="0.45">
      <c r="H1106" t="str">
        <f>IF(PNL!A1106="","",_CALC_PNL!P1106)</f>
        <v/>
      </c>
      <c r="I1106" t="str">
        <f>IF(PNL!A1106="","",IF(_CALC_PNL!E1106=1,H1106-G1106,""))</f>
        <v/>
      </c>
    </row>
    <row r="1107" spans="8:9" x14ac:dyDescent="0.45">
      <c r="H1107" t="str">
        <f>IF(PNL!A1107="","",_CALC_PNL!P1107)</f>
        <v/>
      </c>
      <c r="I1107" t="str">
        <f>IF(PNL!A1107="","",IF(_CALC_PNL!E1107=1,H1107-G1107,""))</f>
        <v/>
      </c>
    </row>
    <row r="1108" spans="8:9" x14ac:dyDescent="0.45">
      <c r="H1108" t="str">
        <f>IF(PNL!A1108="","",_CALC_PNL!P1108)</f>
        <v/>
      </c>
      <c r="I1108" t="str">
        <f>IF(PNL!A1108="","",IF(_CALC_PNL!E1108=1,H1108-G1108,""))</f>
        <v/>
      </c>
    </row>
    <row r="1109" spans="8:9" x14ac:dyDescent="0.45">
      <c r="H1109" t="str">
        <f>IF(PNL!A1109="","",_CALC_PNL!P1109)</f>
        <v/>
      </c>
      <c r="I1109" t="str">
        <f>IF(PNL!A1109="","",IF(_CALC_PNL!E1109=1,H1109-G1109,""))</f>
        <v/>
      </c>
    </row>
    <row r="1110" spans="8:9" x14ac:dyDescent="0.45">
      <c r="H1110" t="str">
        <f>IF(PNL!A1110="","",_CALC_PNL!P1110)</f>
        <v/>
      </c>
      <c r="I1110" t="str">
        <f>IF(PNL!A1110="","",IF(_CALC_PNL!E1110=1,H1110-G1110,""))</f>
        <v/>
      </c>
    </row>
    <row r="1111" spans="8:9" x14ac:dyDescent="0.45">
      <c r="H1111" t="str">
        <f>IF(PNL!A1111="","",_CALC_PNL!P1111)</f>
        <v/>
      </c>
      <c r="I1111" t="str">
        <f>IF(PNL!A1111="","",IF(_CALC_PNL!E1111=1,H1111-G1111,""))</f>
        <v/>
      </c>
    </row>
    <row r="1112" spans="8:9" x14ac:dyDescent="0.45">
      <c r="H1112" t="str">
        <f>IF(PNL!A1112="","",_CALC_PNL!P1112)</f>
        <v/>
      </c>
      <c r="I1112" t="str">
        <f>IF(PNL!A1112="","",IF(_CALC_PNL!E1112=1,H1112-G1112,""))</f>
        <v/>
      </c>
    </row>
    <row r="1113" spans="8:9" x14ac:dyDescent="0.45">
      <c r="H1113" t="str">
        <f>IF(PNL!A1113="","",_CALC_PNL!P1113)</f>
        <v/>
      </c>
      <c r="I1113" t="str">
        <f>IF(PNL!A1113="","",IF(_CALC_PNL!E1113=1,H1113-G1113,""))</f>
        <v/>
      </c>
    </row>
    <row r="1114" spans="8:9" x14ac:dyDescent="0.45">
      <c r="H1114" t="str">
        <f>IF(PNL!A1114="","",_CALC_PNL!P1114)</f>
        <v/>
      </c>
      <c r="I1114" t="str">
        <f>IF(PNL!A1114="","",IF(_CALC_PNL!E1114=1,H1114-G1114,""))</f>
        <v/>
      </c>
    </row>
    <row r="1115" spans="8:9" x14ac:dyDescent="0.45">
      <c r="H1115" t="str">
        <f>IF(PNL!A1115="","",_CALC_PNL!P1115)</f>
        <v/>
      </c>
      <c r="I1115" t="str">
        <f>IF(PNL!A1115="","",IF(_CALC_PNL!E1115=1,H1115-G1115,""))</f>
        <v/>
      </c>
    </row>
    <row r="1116" spans="8:9" x14ac:dyDescent="0.45">
      <c r="H1116" t="str">
        <f>IF(PNL!A1116="","",_CALC_PNL!P1116)</f>
        <v/>
      </c>
      <c r="I1116" t="str">
        <f>IF(PNL!A1116="","",IF(_CALC_PNL!E1116=1,H1116-G1116,""))</f>
        <v/>
      </c>
    </row>
    <row r="1117" spans="8:9" x14ac:dyDescent="0.45">
      <c r="H1117" t="str">
        <f>IF(PNL!A1117="","",_CALC_PNL!P1117)</f>
        <v/>
      </c>
      <c r="I1117" t="str">
        <f>IF(PNL!A1117="","",IF(_CALC_PNL!E1117=1,H1117-G1117,""))</f>
        <v/>
      </c>
    </row>
    <row r="1118" spans="8:9" x14ac:dyDescent="0.45">
      <c r="H1118" t="str">
        <f>IF(PNL!A1118="","",_CALC_PNL!P1118)</f>
        <v/>
      </c>
      <c r="I1118" t="str">
        <f>IF(PNL!A1118="","",IF(_CALC_PNL!E1118=1,H1118-G1118,""))</f>
        <v/>
      </c>
    </row>
    <row r="1119" spans="8:9" x14ac:dyDescent="0.45">
      <c r="H1119" t="str">
        <f>IF(PNL!A1119="","",_CALC_PNL!P1119)</f>
        <v/>
      </c>
      <c r="I1119" t="str">
        <f>IF(PNL!A1119="","",IF(_CALC_PNL!E1119=1,H1119-G1119,""))</f>
        <v/>
      </c>
    </row>
    <row r="1120" spans="8:9" x14ac:dyDescent="0.45">
      <c r="H1120" t="str">
        <f>IF(PNL!A1120="","",_CALC_PNL!P1120)</f>
        <v/>
      </c>
      <c r="I1120" t="str">
        <f>IF(PNL!A1120="","",IF(_CALC_PNL!E1120=1,H1120-G1120,""))</f>
        <v/>
      </c>
    </row>
    <row r="1121" spans="8:9" x14ac:dyDescent="0.45">
      <c r="H1121" t="str">
        <f>IF(PNL!A1121="","",_CALC_PNL!P1121)</f>
        <v/>
      </c>
      <c r="I1121" t="str">
        <f>IF(PNL!A1121="","",IF(_CALC_PNL!E1121=1,H1121-G1121,""))</f>
        <v/>
      </c>
    </row>
    <row r="1122" spans="8:9" x14ac:dyDescent="0.45">
      <c r="H1122" t="str">
        <f>IF(PNL!A1122="","",_CALC_PNL!P1122)</f>
        <v/>
      </c>
      <c r="I1122" t="str">
        <f>IF(PNL!A1122="","",IF(_CALC_PNL!E1122=1,H1122-G1122,""))</f>
        <v/>
      </c>
    </row>
    <row r="1123" spans="8:9" x14ac:dyDescent="0.45">
      <c r="H1123" t="str">
        <f>IF(PNL!A1123="","",_CALC_PNL!P1123)</f>
        <v/>
      </c>
      <c r="I1123" t="str">
        <f>IF(PNL!A1123="","",IF(_CALC_PNL!E1123=1,H1123-G1123,""))</f>
        <v/>
      </c>
    </row>
    <row r="1124" spans="8:9" x14ac:dyDescent="0.45">
      <c r="H1124" t="str">
        <f>IF(PNL!A1124="","",_CALC_PNL!P1124)</f>
        <v/>
      </c>
      <c r="I1124" t="str">
        <f>IF(PNL!A1124="","",IF(_CALC_PNL!E1124=1,H1124-G1124,""))</f>
        <v/>
      </c>
    </row>
    <row r="1125" spans="8:9" x14ac:dyDescent="0.45">
      <c r="H1125" t="str">
        <f>IF(PNL!A1125="","",_CALC_PNL!P1125)</f>
        <v/>
      </c>
      <c r="I1125" t="str">
        <f>IF(PNL!A1125="","",IF(_CALC_PNL!E1125=1,H1125-G1125,""))</f>
        <v/>
      </c>
    </row>
    <row r="1126" spans="8:9" x14ac:dyDescent="0.45">
      <c r="H1126" t="str">
        <f>IF(PNL!A1126="","",_CALC_PNL!P1126)</f>
        <v/>
      </c>
      <c r="I1126" t="str">
        <f>IF(PNL!A1126="","",IF(_CALC_PNL!E1126=1,H1126-G1126,""))</f>
        <v/>
      </c>
    </row>
    <row r="1127" spans="8:9" x14ac:dyDescent="0.45">
      <c r="H1127" t="str">
        <f>IF(PNL!A1127="","",_CALC_PNL!P1127)</f>
        <v/>
      </c>
      <c r="I1127" t="str">
        <f>IF(PNL!A1127="","",IF(_CALC_PNL!E1127=1,H1127-G1127,""))</f>
        <v/>
      </c>
    </row>
    <row r="1128" spans="8:9" x14ac:dyDescent="0.45">
      <c r="H1128" t="str">
        <f>IF(PNL!A1128="","",_CALC_PNL!P1128)</f>
        <v/>
      </c>
      <c r="I1128" t="str">
        <f>IF(PNL!A1128="","",IF(_CALC_PNL!E1128=1,H1128-G1128,""))</f>
        <v/>
      </c>
    </row>
    <row r="1129" spans="8:9" x14ac:dyDescent="0.45">
      <c r="H1129" t="str">
        <f>IF(PNL!A1129="","",_CALC_PNL!P1129)</f>
        <v/>
      </c>
      <c r="I1129" t="str">
        <f>IF(PNL!A1129="","",IF(_CALC_PNL!E1129=1,H1129-G1129,""))</f>
        <v/>
      </c>
    </row>
    <row r="1130" spans="8:9" x14ac:dyDescent="0.45">
      <c r="H1130" t="str">
        <f>IF(PNL!A1130="","",_CALC_PNL!P1130)</f>
        <v/>
      </c>
      <c r="I1130" t="str">
        <f>IF(PNL!A1130="","",IF(_CALC_PNL!E1130=1,H1130-G1130,""))</f>
        <v/>
      </c>
    </row>
    <row r="1131" spans="8:9" x14ac:dyDescent="0.45">
      <c r="H1131" t="str">
        <f>IF(PNL!A1131="","",_CALC_PNL!P1131)</f>
        <v/>
      </c>
      <c r="I1131" t="str">
        <f>IF(PNL!A1131="","",IF(_CALC_PNL!E1131=1,H1131-G1131,""))</f>
        <v/>
      </c>
    </row>
    <row r="1132" spans="8:9" x14ac:dyDescent="0.45">
      <c r="H1132" t="str">
        <f>IF(PNL!A1132="","",_CALC_PNL!P1132)</f>
        <v/>
      </c>
      <c r="I1132" t="str">
        <f>IF(PNL!A1132="","",IF(_CALC_PNL!E1132=1,H1132-G1132,""))</f>
        <v/>
      </c>
    </row>
    <row r="1133" spans="8:9" x14ac:dyDescent="0.45">
      <c r="H1133" t="str">
        <f>IF(PNL!A1133="","",_CALC_PNL!P1133)</f>
        <v/>
      </c>
      <c r="I1133" t="str">
        <f>IF(PNL!A1133="","",IF(_CALC_PNL!E1133=1,H1133-G1133,""))</f>
        <v/>
      </c>
    </row>
    <row r="1134" spans="8:9" x14ac:dyDescent="0.45">
      <c r="H1134" t="str">
        <f>IF(PNL!A1134="","",_CALC_PNL!P1134)</f>
        <v/>
      </c>
      <c r="I1134" t="str">
        <f>IF(PNL!A1134="","",IF(_CALC_PNL!E1134=1,H1134-G1134,""))</f>
        <v/>
      </c>
    </row>
    <row r="1135" spans="8:9" x14ac:dyDescent="0.45">
      <c r="H1135" t="str">
        <f>IF(PNL!A1135="","",_CALC_PNL!P1135)</f>
        <v/>
      </c>
      <c r="I1135" t="str">
        <f>IF(PNL!A1135="","",IF(_CALC_PNL!E1135=1,H1135-G1135,""))</f>
        <v/>
      </c>
    </row>
    <row r="1136" spans="8:9" x14ac:dyDescent="0.45">
      <c r="H1136" t="str">
        <f>IF(PNL!A1136="","",_CALC_PNL!P1136)</f>
        <v/>
      </c>
      <c r="I1136" t="str">
        <f>IF(PNL!A1136="","",IF(_CALC_PNL!E1136=1,H1136-G1136,""))</f>
        <v/>
      </c>
    </row>
    <row r="1137" spans="8:9" x14ac:dyDescent="0.45">
      <c r="H1137" t="str">
        <f>IF(PNL!A1137="","",_CALC_PNL!P1137)</f>
        <v/>
      </c>
      <c r="I1137" t="str">
        <f>IF(PNL!A1137="","",IF(_CALC_PNL!E1137=1,H1137-G1137,""))</f>
        <v/>
      </c>
    </row>
    <row r="1138" spans="8:9" x14ac:dyDescent="0.45">
      <c r="H1138" t="str">
        <f>IF(PNL!A1138="","",_CALC_PNL!P1138)</f>
        <v/>
      </c>
      <c r="I1138" t="str">
        <f>IF(PNL!A1138="","",IF(_CALC_PNL!E1138=1,H1138-G1138,""))</f>
        <v/>
      </c>
    </row>
    <row r="1139" spans="8:9" x14ac:dyDescent="0.45">
      <c r="H1139" t="str">
        <f>IF(PNL!A1139="","",_CALC_PNL!P1139)</f>
        <v/>
      </c>
      <c r="I1139" t="str">
        <f>IF(PNL!A1139="","",IF(_CALC_PNL!E1139=1,H1139-G1139,""))</f>
        <v/>
      </c>
    </row>
    <row r="1140" spans="8:9" x14ac:dyDescent="0.45">
      <c r="H1140" t="str">
        <f>IF(PNL!A1140="","",_CALC_PNL!P1140)</f>
        <v/>
      </c>
      <c r="I1140" t="str">
        <f>IF(PNL!A1140="","",IF(_CALC_PNL!E1140=1,H1140-G1140,""))</f>
        <v/>
      </c>
    </row>
    <row r="1141" spans="8:9" x14ac:dyDescent="0.45">
      <c r="H1141" t="str">
        <f>IF(PNL!A1141="","",_CALC_PNL!P1141)</f>
        <v/>
      </c>
      <c r="I1141" t="str">
        <f>IF(PNL!A1141="","",IF(_CALC_PNL!E1141=1,H1141-G1141,""))</f>
        <v/>
      </c>
    </row>
    <row r="1142" spans="8:9" x14ac:dyDescent="0.45">
      <c r="H1142" t="str">
        <f>IF(PNL!A1142="","",_CALC_PNL!P1142)</f>
        <v/>
      </c>
      <c r="I1142" t="str">
        <f>IF(PNL!A1142="","",IF(_CALC_PNL!E1142=1,H1142-G1142,""))</f>
        <v/>
      </c>
    </row>
    <row r="1143" spans="8:9" x14ac:dyDescent="0.45">
      <c r="H1143" t="str">
        <f>IF(PNL!A1143="","",_CALC_PNL!P1143)</f>
        <v/>
      </c>
      <c r="I1143" t="str">
        <f>IF(PNL!A1143="","",IF(_CALC_PNL!E1143=1,H1143-G1143,""))</f>
        <v/>
      </c>
    </row>
    <row r="1144" spans="8:9" x14ac:dyDescent="0.45">
      <c r="H1144" t="str">
        <f>IF(PNL!A1144="","",_CALC_PNL!P1144)</f>
        <v/>
      </c>
      <c r="I1144" t="str">
        <f>IF(PNL!A1144="","",IF(_CALC_PNL!E1144=1,H1144-G1144,""))</f>
        <v/>
      </c>
    </row>
    <row r="1145" spans="8:9" x14ac:dyDescent="0.45">
      <c r="H1145" t="str">
        <f>IF(PNL!A1145="","",_CALC_PNL!P1145)</f>
        <v/>
      </c>
      <c r="I1145" t="str">
        <f>IF(PNL!A1145="","",IF(_CALC_PNL!E1145=1,H1145-G1145,""))</f>
        <v/>
      </c>
    </row>
    <row r="1146" spans="8:9" x14ac:dyDescent="0.45">
      <c r="H1146" t="str">
        <f>IF(PNL!A1146="","",_CALC_PNL!P1146)</f>
        <v/>
      </c>
      <c r="I1146" t="str">
        <f>IF(PNL!A1146="","",IF(_CALC_PNL!E1146=1,H1146-G1146,""))</f>
        <v/>
      </c>
    </row>
    <row r="1147" spans="8:9" x14ac:dyDescent="0.45">
      <c r="H1147" t="str">
        <f>IF(PNL!A1147="","",_CALC_PNL!P1147)</f>
        <v/>
      </c>
      <c r="I1147" t="str">
        <f>IF(PNL!A1147="","",IF(_CALC_PNL!E1147=1,H1147-G1147,""))</f>
        <v/>
      </c>
    </row>
    <row r="1148" spans="8:9" x14ac:dyDescent="0.45">
      <c r="H1148" t="str">
        <f>IF(PNL!A1148="","",_CALC_PNL!P1148)</f>
        <v/>
      </c>
      <c r="I1148" t="str">
        <f>IF(PNL!A1148="","",IF(_CALC_PNL!E1148=1,H1148-G1148,""))</f>
        <v/>
      </c>
    </row>
    <row r="1149" spans="8:9" x14ac:dyDescent="0.45">
      <c r="H1149" t="str">
        <f>IF(PNL!A1149="","",_CALC_PNL!P1149)</f>
        <v/>
      </c>
      <c r="I1149" t="str">
        <f>IF(PNL!A1149="","",IF(_CALC_PNL!E1149=1,H1149-G1149,""))</f>
        <v/>
      </c>
    </row>
    <row r="1150" spans="8:9" x14ac:dyDescent="0.45">
      <c r="H1150" t="str">
        <f>IF(PNL!A1150="","",_CALC_PNL!P1150)</f>
        <v/>
      </c>
      <c r="I1150" t="str">
        <f>IF(PNL!A1150="","",IF(_CALC_PNL!E1150=1,H1150-G1150,""))</f>
        <v/>
      </c>
    </row>
    <row r="1151" spans="8:9" x14ac:dyDescent="0.45">
      <c r="H1151" t="str">
        <f>IF(PNL!A1151="","",_CALC_PNL!P1151)</f>
        <v/>
      </c>
      <c r="I1151" t="str">
        <f>IF(PNL!A1151="","",IF(_CALC_PNL!E1151=1,H1151-G1151,""))</f>
        <v/>
      </c>
    </row>
    <row r="1152" spans="8:9" x14ac:dyDescent="0.45">
      <c r="H1152" t="str">
        <f>IF(PNL!A1152="","",_CALC_PNL!P1152)</f>
        <v/>
      </c>
      <c r="I1152" t="str">
        <f>IF(PNL!A1152="","",IF(_CALC_PNL!E1152=1,H1152-G1152,""))</f>
        <v/>
      </c>
    </row>
    <row r="1153" spans="8:9" x14ac:dyDescent="0.45">
      <c r="H1153" t="str">
        <f>IF(PNL!A1153="","",_CALC_PNL!P1153)</f>
        <v/>
      </c>
      <c r="I1153" t="str">
        <f>IF(PNL!A1153="","",IF(_CALC_PNL!E1153=1,H1153-G1153,""))</f>
        <v/>
      </c>
    </row>
    <row r="1154" spans="8:9" x14ac:dyDescent="0.45">
      <c r="H1154" t="str">
        <f>IF(PNL!A1154="","",_CALC_PNL!P1154)</f>
        <v/>
      </c>
      <c r="I1154" t="str">
        <f>IF(PNL!A1154="","",IF(_CALC_PNL!E1154=1,H1154-G1154,""))</f>
        <v/>
      </c>
    </row>
    <row r="1155" spans="8:9" x14ac:dyDescent="0.45">
      <c r="H1155" t="str">
        <f>IF(PNL!A1155="","",_CALC_PNL!P1155)</f>
        <v/>
      </c>
      <c r="I1155" t="str">
        <f>IF(PNL!A1155="","",IF(_CALC_PNL!E1155=1,H1155-G1155,""))</f>
        <v/>
      </c>
    </row>
    <row r="1156" spans="8:9" x14ac:dyDescent="0.45">
      <c r="H1156" t="str">
        <f>IF(PNL!A1156="","",_CALC_PNL!P1156)</f>
        <v/>
      </c>
      <c r="I1156" t="str">
        <f>IF(PNL!A1156="","",IF(_CALC_PNL!E1156=1,H1156-G1156,""))</f>
        <v/>
      </c>
    </row>
    <row r="1157" spans="8:9" x14ac:dyDescent="0.45">
      <c r="H1157" t="str">
        <f>IF(PNL!A1157="","",_CALC_PNL!P1157)</f>
        <v/>
      </c>
      <c r="I1157" t="str">
        <f>IF(PNL!A1157="","",IF(_CALC_PNL!E1157=1,H1157-G1157,""))</f>
        <v/>
      </c>
    </row>
    <row r="1158" spans="8:9" x14ac:dyDescent="0.45">
      <c r="H1158" t="str">
        <f>IF(PNL!A1158="","",_CALC_PNL!P1158)</f>
        <v/>
      </c>
      <c r="I1158" t="str">
        <f>IF(PNL!A1158="","",IF(_CALC_PNL!E1158=1,H1158-G1158,""))</f>
        <v/>
      </c>
    </row>
    <row r="1159" spans="8:9" x14ac:dyDescent="0.45">
      <c r="H1159" t="str">
        <f>IF(PNL!A1159="","",_CALC_PNL!P1159)</f>
        <v/>
      </c>
      <c r="I1159" t="str">
        <f>IF(PNL!A1159="","",IF(_CALC_PNL!E1159=1,H1159-G1159,""))</f>
        <v/>
      </c>
    </row>
    <row r="1160" spans="8:9" x14ac:dyDescent="0.45">
      <c r="H1160" t="str">
        <f>IF(PNL!A1160="","",_CALC_PNL!P1160)</f>
        <v/>
      </c>
      <c r="I1160" t="str">
        <f>IF(PNL!A1160="","",IF(_CALC_PNL!E1160=1,H1160-G1160,""))</f>
        <v/>
      </c>
    </row>
    <row r="1161" spans="8:9" x14ac:dyDescent="0.45">
      <c r="H1161" t="str">
        <f>IF(PNL!A1161="","",_CALC_PNL!P1161)</f>
        <v/>
      </c>
      <c r="I1161" t="str">
        <f>IF(PNL!A1161="","",IF(_CALC_PNL!E1161=1,H1161-G1161,""))</f>
        <v/>
      </c>
    </row>
    <row r="1162" spans="8:9" x14ac:dyDescent="0.45">
      <c r="H1162" t="str">
        <f>IF(PNL!A1162="","",_CALC_PNL!P1162)</f>
        <v/>
      </c>
      <c r="I1162" t="str">
        <f>IF(PNL!A1162="","",IF(_CALC_PNL!E1162=1,H1162-G1162,""))</f>
        <v/>
      </c>
    </row>
    <row r="1163" spans="8:9" x14ac:dyDescent="0.45">
      <c r="H1163" t="str">
        <f>IF(PNL!A1163="","",_CALC_PNL!P1163)</f>
        <v/>
      </c>
      <c r="I1163" t="str">
        <f>IF(PNL!A1163="","",IF(_CALC_PNL!E1163=1,H1163-G1163,""))</f>
        <v/>
      </c>
    </row>
    <row r="1164" spans="8:9" x14ac:dyDescent="0.45">
      <c r="H1164" t="str">
        <f>IF(PNL!A1164="","",_CALC_PNL!P1164)</f>
        <v/>
      </c>
      <c r="I1164" t="str">
        <f>IF(PNL!A1164="","",IF(_CALC_PNL!E1164=1,H1164-G1164,""))</f>
        <v/>
      </c>
    </row>
    <row r="1165" spans="8:9" x14ac:dyDescent="0.45">
      <c r="H1165" t="str">
        <f>IF(PNL!A1165="","",_CALC_PNL!P1165)</f>
        <v/>
      </c>
      <c r="I1165" t="str">
        <f>IF(PNL!A1165="","",IF(_CALC_PNL!E1165=1,H1165-G1165,""))</f>
        <v/>
      </c>
    </row>
    <row r="1166" spans="8:9" x14ac:dyDescent="0.45">
      <c r="H1166" t="str">
        <f>IF(PNL!A1166="","",_CALC_PNL!P1166)</f>
        <v/>
      </c>
      <c r="I1166" t="str">
        <f>IF(PNL!A1166="","",IF(_CALC_PNL!E1166=1,H1166-G1166,""))</f>
        <v/>
      </c>
    </row>
    <row r="1167" spans="8:9" x14ac:dyDescent="0.45">
      <c r="H1167" t="str">
        <f>IF(PNL!A1167="","",_CALC_PNL!P1167)</f>
        <v/>
      </c>
      <c r="I1167" t="str">
        <f>IF(PNL!A1167="","",IF(_CALC_PNL!E1167=1,H1167-G1167,""))</f>
        <v/>
      </c>
    </row>
    <row r="1168" spans="8:9" x14ac:dyDescent="0.45">
      <c r="H1168" t="str">
        <f>IF(PNL!A1168="","",_CALC_PNL!P1168)</f>
        <v/>
      </c>
      <c r="I1168" t="str">
        <f>IF(PNL!A1168="","",IF(_CALC_PNL!E1168=1,H1168-G1168,""))</f>
        <v/>
      </c>
    </row>
    <row r="1169" spans="8:9" x14ac:dyDescent="0.45">
      <c r="H1169" t="str">
        <f>IF(PNL!A1169="","",_CALC_PNL!P1169)</f>
        <v/>
      </c>
      <c r="I1169" t="str">
        <f>IF(PNL!A1169="","",IF(_CALC_PNL!E1169=1,H1169-G1169,""))</f>
        <v/>
      </c>
    </row>
    <row r="1170" spans="8:9" x14ac:dyDescent="0.45">
      <c r="H1170" t="str">
        <f>IF(PNL!A1170="","",_CALC_PNL!P1170)</f>
        <v/>
      </c>
      <c r="I1170" t="str">
        <f>IF(PNL!A1170="","",IF(_CALC_PNL!E1170=1,H1170-G1170,""))</f>
        <v/>
      </c>
    </row>
    <row r="1171" spans="8:9" x14ac:dyDescent="0.45">
      <c r="H1171" t="str">
        <f>IF(PNL!A1171="","",_CALC_PNL!P1171)</f>
        <v/>
      </c>
      <c r="I1171" t="str">
        <f>IF(PNL!A1171="","",IF(_CALC_PNL!E1171=1,H1171-G1171,""))</f>
        <v/>
      </c>
    </row>
    <row r="1172" spans="8:9" x14ac:dyDescent="0.45">
      <c r="H1172" t="str">
        <f>IF(PNL!A1172="","",_CALC_PNL!P1172)</f>
        <v/>
      </c>
      <c r="I1172" t="str">
        <f>IF(PNL!A1172="","",IF(_CALC_PNL!E1172=1,H1172-G1172,""))</f>
        <v/>
      </c>
    </row>
    <row r="1173" spans="8:9" x14ac:dyDescent="0.45">
      <c r="H1173" t="str">
        <f>IF(PNL!A1173="","",_CALC_PNL!P1173)</f>
        <v/>
      </c>
      <c r="I1173" t="str">
        <f>IF(PNL!A1173="","",IF(_CALC_PNL!E1173=1,H1173-G1173,""))</f>
        <v/>
      </c>
    </row>
    <row r="1174" spans="8:9" x14ac:dyDescent="0.45">
      <c r="H1174" t="str">
        <f>IF(PNL!A1174="","",_CALC_PNL!P1174)</f>
        <v/>
      </c>
      <c r="I1174" t="str">
        <f>IF(PNL!A1174="","",IF(_CALC_PNL!E1174=1,H1174-G1174,""))</f>
        <v/>
      </c>
    </row>
    <row r="1175" spans="8:9" x14ac:dyDescent="0.45">
      <c r="H1175" t="str">
        <f>IF(PNL!A1175="","",_CALC_PNL!P1175)</f>
        <v/>
      </c>
      <c r="I1175" t="str">
        <f>IF(PNL!A1175="","",IF(_CALC_PNL!E1175=1,H1175-G1175,""))</f>
        <v/>
      </c>
    </row>
    <row r="1176" spans="8:9" x14ac:dyDescent="0.45">
      <c r="H1176" t="str">
        <f>IF(PNL!A1176="","",_CALC_PNL!P1176)</f>
        <v/>
      </c>
      <c r="I1176" t="str">
        <f>IF(PNL!A1176="","",IF(_CALC_PNL!E1176=1,H1176-G1176,""))</f>
        <v/>
      </c>
    </row>
    <row r="1177" spans="8:9" x14ac:dyDescent="0.45">
      <c r="H1177" t="str">
        <f>IF(PNL!A1177="","",_CALC_PNL!P1177)</f>
        <v/>
      </c>
      <c r="I1177" t="str">
        <f>IF(PNL!A1177="","",IF(_CALC_PNL!E1177=1,H1177-G1177,""))</f>
        <v/>
      </c>
    </row>
    <row r="1178" spans="8:9" x14ac:dyDescent="0.45">
      <c r="H1178" t="str">
        <f>IF(PNL!A1178="","",_CALC_PNL!P1178)</f>
        <v/>
      </c>
      <c r="I1178" t="str">
        <f>IF(PNL!A1178="","",IF(_CALC_PNL!E1178=1,H1178-G1178,""))</f>
        <v/>
      </c>
    </row>
    <row r="1179" spans="8:9" x14ac:dyDescent="0.45">
      <c r="H1179" t="str">
        <f>IF(PNL!A1179="","",_CALC_PNL!P1179)</f>
        <v/>
      </c>
      <c r="I1179" t="str">
        <f>IF(PNL!A1179="","",IF(_CALC_PNL!E1179=1,H1179-G1179,""))</f>
        <v/>
      </c>
    </row>
    <row r="1180" spans="8:9" x14ac:dyDescent="0.45">
      <c r="H1180" t="str">
        <f>IF(PNL!A1180="","",_CALC_PNL!P1180)</f>
        <v/>
      </c>
      <c r="I1180" t="str">
        <f>IF(PNL!A1180="","",IF(_CALC_PNL!E1180=1,H1180-G1180,""))</f>
        <v/>
      </c>
    </row>
    <row r="1181" spans="8:9" x14ac:dyDescent="0.45">
      <c r="H1181" t="str">
        <f>IF(PNL!A1181="","",_CALC_PNL!P1181)</f>
        <v/>
      </c>
      <c r="I1181" t="str">
        <f>IF(PNL!A1181="","",IF(_CALC_PNL!E1181=1,H1181-G1181,""))</f>
        <v/>
      </c>
    </row>
    <row r="1182" spans="8:9" x14ac:dyDescent="0.45">
      <c r="H1182" t="str">
        <f>IF(PNL!A1182="","",_CALC_PNL!P1182)</f>
        <v/>
      </c>
      <c r="I1182" t="str">
        <f>IF(PNL!A1182="","",IF(_CALC_PNL!E1182=1,H1182-G1182,""))</f>
        <v/>
      </c>
    </row>
    <row r="1183" spans="8:9" x14ac:dyDescent="0.45">
      <c r="H1183" t="str">
        <f>IF(PNL!A1183="","",_CALC_PNL!P1183)</f>
        <v/>
      </c>
      <c r="I1183" t="str">
        <f>IF(PNL!A1183="","",IF(_CALC_PNL!E1183=1,H1183-G1183,""))</f>
        <v/>
      </c>
    </row>
    <row r="1184" spans="8:9" x14ac:dyDescent="0.45">
      <c r="H1184" t="str">
        <f>IF(PNL!A1184="","",_CALC_PNL!P1184)</f>
        <v/>
      </c>
      <c r="I1184" t="str">
        <f>IF(PNL!A1184="","",IF(_CALC_PNL!E1184=1,H1184-G1184,""))</f>
        <v/>
      </c>
    </row>
    <row r="1185" spans="8:9" x14ac:dyDescent="0.45">
      <c r="H1185" t="str">
        <f>IF(PNL!A1185="","",_CALC_PNL!P1185)</f>
        <v/>
      </c>
      <c r="I1185" t="str">
        <f>IF(PNL!A1185="","",IF(_CALC_PNL!E1185=1,H1185-G1185,""))</f>
        <v/>
      </c>
    </row>
    <row r="1186" spans="8:9" x14ac:dyDescent="0.45">
      <c r="H1186" t="str">
        <f>IF(PNL!A1186="","",_CALC_PNL!P1186)</f>
        <v/>
      </c>
      <c r="I1186" t="str">
        <f>IF(PNL!A1186="","",IF(_CALC_PNL!E1186=1,H1186-G1186,""))</f>
        <v/>
      </c>
    </row>
    <row r="1187" spans="8:9" x14ac:dyDescent="0.45">
      <c r="H1187" t="str">
        <f>IF(PNL!A1187="","",_CALC_PNL!P1187)</f>
        <v/>
      </c>
      <c r="I1187" t="str">
        <f>IF(PNL!A1187="","",IF(_CALC_PNL!E1187=1,H1187-G1187,""))</f>
        <v/>
      </c>
    </row>
    <row r="1188" spans="8:9" x14ac:dyDescent="0.45">
      <c r="H1188" t="str">
        <f>IF(PNL!A1188="","",_CALC_PNL!P1188)</f>
        <v/>
      </c>
      <c r="I1188" t="str">
        <f>IF(PNL!A1188="","",IF(_CALC_PNL!E1188=1,H1188-G1188,""))</f>
        <v/>
      </c>
    </row>
    <row r="1189" spans="8:9" x14ac:dyDescent="0.45">
      <c r="H1189" t="str">
        <f>IF(PNL!A1189="","",_CALC_PNL!P1189)</f>
        <v/>
      </c>
      <c r="I1189" t="str">
        <f>IF(PNL!A1189="","",IF(_CALC_PNL!E1189=1,H1189-G1189,""))</f>
        <v/>
      </c>
    </row>
    <row r="1190" spans="8:9" x14ac:dyDescent="0.45">
      <c r="H1190" t="str">
        <f>IF(PNL!A1190="","",_CALC_PNL!P1190)</f>
        <v/>
      </c>
      <c r="I1190" t="str">
        <f>IF(PNL!A1190="","",IF(_CALC_PNL!E1190=1,H1190-G1190,""))</f>
        <v/>
      </c>
    </row>
    <row r="1191" spans="8:9" x14ac:dyDescent="0.45">
      <c r="H1191" t="str">
        <f>IF(PNL!A1191="","",_CALC_PNL!P1191)</f>
        <v/>
      </c>
      <c r="I1191" t="str">
        <f>IF(PNL!A1191="","",IF(_CALC_PNL!E1191=1,H1191-G1191,""))</f>
        <v/>
      </c>
    </row>
    <row r="1192" spans="8:9" x14ac:dyDescent="0.45">
      <c r="H1192" t="str">
        <f>IF(PNL!A1192="","",_CALC_PNL!P1192)</f>
        <v/>
      </c>
      <c r="I1192" t="str">
        <f>IF(PNL!A1192="","",IF(_CALC_PNL!E1192=1,H1192-G1192,""))</f>
        <v/>
      </c>
    </row>
    <row r="1193" spans="8:9" x14ac:dyDescent="0.45">
      <c r="H1193" t="str">
        <f>IF(PNL!A1193="","",_CALC_PNL!P1193)</f>
        <v/>
      </c>
      <c r="I1193" t="str">
        <f>IF(PNL!A1193="","",IF(_CALC_PNL!E1193=1,H1193-G1193,""))</f>
        <v/>
      </c>
    </row>
    <row r="1194" spans="8:9" x14ac:dyDescent="0.45">
      <c r="H1194" t="str">
        <f>IF(PNL!A1194="","",_CALC_PNL!P1194)</f>
        <v/>
      </c>
      <c r="I1194" t="str">
        <f>IF(PNL!A1194="","",IF(_CALC_PNL!E1194=1,H1194-G1194,""))</f>
        <v/>
      </c>
    </row>
    <row r="1195" spans="8:9" x14ac:dyDescent="0.45">
      <c r="H1195" t="str">
        <f>IF(PNL!A1195="","",_CALC_PNL!P1195)</f>
        <v/>
      </c>
      <c r="I1195" t="str">
        <f>IF(PNL!A1195="","",IF(_CALC_PNL!E1195=1,H1195-G1195,""))</f>
        <v/>
      </c>
    </row>
    <row r="1196" spans="8:9" x14ac:dyDescent="0.45">
      <c r="H1196" t="str">
        <f>IF(PNL!A1196="","",_CALC_PNL!P1196)</f>
        <v/>
      </c>
      <c r="I1196" t="str">
        <f>IF(PNL!A1196="","",IF(_CALC_PNL!E1196=1,H1196-G1196,""))</f>
        <v/>
      </c>
    </row>
    <row r="1197" spans="8:9" x14ac:dyDescent="0.45">
      <c r="H1197" t="str">
        <f>IF(PNL!A1197="","",_CALC_PNL!P1197)</f>
        <v/>
      </c>
      <c r="I1197" t="str">
        <f>IF(PNL!A1197="","",IF(_CALC_PNL!E1197=1,H1197-G1197,""))</f>
        <v/>
      </c>
    </row>
    <row r="1198" spans="8:9" x14ac:dyDescent="0.45">
      <c r="H1198" t="str">
        <f>IF(PNL!A1198="","",_CALC_PNL!P1198)</f>
        <v/>
      </c>
      <c r="I1198" t="str">
        <f>IF(PNL!A1198="","",IF(_CALC_PNL!E1198=1,H1198-G1198,""))</f>
        <v/>
      </c>
    </row>
    <row r="1199" spans="8:9" x14ac:dyDescent="0.45">
      <c r="H1199" t="str">
        <f>IF(PNL!A1199="","",_CALC_PNL!P1199)</f>
        <v/>
      </c>
      <c r="I1199" t="str">
        <f>IF(PNL!A1199="","",IF(_CALC_PNL!E1199=1,H1199-G1199,""))</f>
        <v/>
      </c>
    </row>
    <row r="1200" spans="8:9" x14ac:dyDescent="0.45">
      <c r="H1200" t="str">
        <f>IF(PNL!A1200="","",_CALC_PNL!P1200)</f>
        <v/>
      </c>
      <c r="I1200" t="str">
        <f>IF(PNL!A1200="","",IF(_CALC_PNL!E1200=1,H1200-G1200,""))</f>
        <v/>
      </c>
    </row>
    <row r="1201" spans="8:9" x14ac:dyDescent="0.45">
      <c r="H1201" t="str">
        <f>IF(PNL!A1201="","",_CALC_PNL!P1201)</f>
        <v/>
      </c>
      <c r="I1201" t="str">
        <f>IF(PNL!A1201="","",IF(_CALC_PNL!E1201=1,H1201-G1201,""))</f>
        <v/>
      </c>
    </row>
    <row r="1202" spans="8:9" x14ac:dyDescent="0.45">
      <c r="H1202" t="str">
        <f>IF(PNL!A1202="","",_CALC_PNL!P1202)</f>
        <v/>
      </c>
      <c r="I1202" t="str">
        <f>IF(PNL!A1202="","",IF(_CALC_PNL!E1202=1,H1202-G1202,""))</f>
        <v/>
      </c>
    </row>
    <row r="1203" spans="8:9" x14ac:dyDescent="0.45">
      <c r="H1203" t="str">
        <f>IF(PNL!A1203="","",_CALC_PNL!P1203)</f>
        <v/>
      </c>
      <c r="I1203" t="str">
        <f>IF(PNL!A1203="","",IF(_CALC_PNL!E1203=1,H1203-G1203,""))</f>
        <v/>
      </c>
    </row>
    <row r="1204" spans="8:9" x14ac:dyDescent="0.45">
      <c r="H1204" t="str">
        <f>IF(PNL!A1204="","",_CALC_PNL!P1204)</f>
        <v/>
      </c>
      <c r="I1204" t="str">
        <f>IF(PNL!A1204="","",IF(_CALC_PNL!E1204=1,H1204-G1204,""))</f>
        <v/>
      </c>
    </row>
    <row r="1205" spans="8:9" x14ac:dyDescent="0.45">
      <c r="H1205" t="str">
        <f>IF(PNL!A1205="","",_CALC_PNL!P1205)</f>
        <v/>
      </c>
      <c r="I1205" t="str">
        <f>IF(PNL!A1205="","",IF(_CALC_PNL!E1205=1,H1205-G1205,""))</f>
        <v/>
      </c>
    </row>
    <row r="1206" spans="8:9" x14ac:dyDescent="0.45">
      <c r="H1206" t="str">
        <f>IF(PNL!A1206="","",_CALC_PNL!P1206)</f>
        <v/>
      </c>
      <c r="I1206" t="str">
        <f>IF(PNL!A1206="","",IF(_CALC_PNL!E1206=1,H1206-G1206,""))</f>
        <v/>
      </c>
    </row>
    <row r="1207" spans="8:9" x14ac:dyDescent="0.45">
      <c r="H1207" t="str">
        <f>IF(PNL!A1207="","",_CALC_PNL!P1207)</f>
        <v/>
      </c>
      <c r="I1207" t="str">
        <f>IF(PNL!A1207="","",IF(_CALC_PNL!E1207=1,H1207-G1207,""))</f>
        <v/>
      </c>
    </row>
    <row r="1208" spans="8:9" x14ac:dyDescent="0.45">
      <c r="H1208" t="str">
        <f>IF(PNL!A1208="","",_CALC_PNL!P1208)</f>
        <v/>
      </c>
      <c r="I1208" t="str">
        <f>IF(PNL!A1208="","",IF(_CALC_PNL!E1208=1,H1208-G1208,""))</f>
        <v/>
      </c>
    </row>
    <row r="1209" spans="8:9" x14ac:dyDescent="0.45">
      <c r="H1209" t="str">
        <f>IF(PNL!A1209="","",_CALC_PNL!P1209)</f>
        <v/>
      </c>
      <c r="I1209" t="str">
        <f>IF(PNL!A1209="","",IF(_CALC_PNL!E1209=1,H1209-G1209,""))</f>
        <v/>
      </c>
    </row>
    <row r="1210" spans="8:9" x14ac:dyDescent="0.45">
      <c r="H1210" t="str">
        <f>IF(PNL!A1210="","",_CALC_PNL!P1210)</f>
        <v/>
      </c>
      <c r="I1210" t="str">
        <f>IF(PNL!A1210="","",IF(_CALC_PNL!E1210=1,H1210-G1210,""))</f>
        <v/>
      </c>
    </row>
    <row r="1211" spans="8:9" x14ac:dyDescent="0.45">
      <c r="H1211" t="str">
        <f>IF(PNL!A1211="","",_CALC_PNL!P1211)</f>
        <v/>
      </c>
      <c r="I1211" t="str">
        <f>IF(PNL!A1211="","",IF(_CALC_PNL!E1211=1,H1211-G1211,""))</f>
        <v/>
      </c>
    </row>
    <row r="1212" spans="8:9" x14ac:dyDescent="0.45">
      <c r="H1212" t="str">
        <f>IF(PNL!A1212="","",_CALC_PNL!P1212)</f>
        <v/>
      </c>
      <c r="I1212" t="str">
        <f>IF(PNL!A1212="","",IF(_CALC_PNL!E1212=1,H1212-G1212,""))</f>
        <v/>
      </c>
    </row>
    <row r="1213" spans="8:9" x14ac:dyDescent="0.45">
      <c r="H1213" t="str">
        <f>IF(PNL!A1213="","",_CALC_PNL!P1213)</f>
        <v/>
      </c>
      <c r="I1213" t="str">
        <f>IF(PNL!A1213="","",IF(_CALC_PNL!E1213=1,H1213-G1213,""))</f>
        <v/>
      </c>
    </row>
    <row r="1214" spans="8:9" x14ac:dyDescent="0.45">
      <c r="H1214" t="str">
        <f>IF(PNL!A1214="","",_CALC_PNL!P1214)</f>
        <v/>
      </c>
      <c r="I1214" t="str">
        <f>IF(PNL!A1214="","",IF(_CALC_PNL!E1214=1,H1214-G1214,""))</f>
        <v/>
      </c>
    </row>
    <row r="1215" spans="8:9" x14ac:dyDescent="0.45">
      <c r="H1215" t="str">
        <f>IF(PNL!A1215="","",_CALC_PNL!P1215)</f>
        <v/>
      </c>
      <c r="I1215" t="str">
        <f>IF(PNL!A1215="","",IF(_CALC_PNL!E1215=1,H1215-G1215,""))</f>
        <v/>
      </c>
    </row>
    <row r="1216" spans="8:9" x14ac:dyDescent="0.45">
      <c r="H1216" t="str">
        <f>IF(PNL!A1216="","",_CALC_PNL!P1216)</f>
        <v/>
      </c>
      <c r="I1216" t="str">
        <f>IF(PNL!A1216="","",IF(_CALC_PNL!E1216=1,H1216-G1216,""))</f>
        <v/>
      </c>
    </row>
    <row r="1217" spans="8:9" x14ac:dyDescent="0.45">
      <c r="H1217" t="str">
        <f>IF(PNL!A1217="","",_CALC_PNL!P1217)</f>
        <v/>
      </c>
      <c r="I1217" t="str">
        <f>IF(PNL!A1217="","",IF(_CALC_PNL!E1217=1,H1217-G1217,""))</f>
        <v/>
      </c>
    </row>
    <row r="1218" spans="8:9" x14ac:dyDescent="0.45">
      <c r="H1218" t="str">
        <f>IF(PNL!A1218="","",_CALC_PNL!P1218)</f>
        <v/>
      </c>
      <c r="I1218" t="str">
        <f>IF(PNL!A1218="","",IF(_CALC_PNL!E1218=1,H1218-G1218,""))</f>
        <v/>
      </c>
    </row>
    <row r="1219" spans="8:9" x14ac:dyDescent="0.45">
      <c r="H1219" t="str">
        <f>IF(PNL!A1219="","",_CALC_PNL!P1219)</f>
        <v/>
      </c>
      <c r="I1219" t="str">
        <f>IF(PNL!A1219="","",IF(_CALC_PNL!E1219=1,H1219-G1219,""))</f>
        <v/>
      </c>
    </row>
    <row r="1220" spans="8:9" x14ac:dyDescent="0.45">
      <c r="H1220" t="str">
        <f>IF(PNL!A1220="","",_CALC_PNL!P1220)</f>
        <v/>
      </c>
      <c r="I1220" t="str">
        <f>IF(PNL!A1220="","",IF(_CALC_PNL!E1220=1,H1220-G1220,""))</f>
        <v/>
      </c>
    </row>
    <row r="1221" spans="8:9" x14ac:dyDescent="0.45">
      <c r="H1221" t="str">
        <f>IF(PNL!A1221="","",_CALC_PNL!P1221)</f>
        <v/>
      </c>
      <c r="I1221" t="str">
        <f>IF(PNL!A1221="","",IF(_CALC_PNL!E1221=1,H1221-G1221,""))</f>
        <v/>
      </c>
    </row>
    <row r="1222" spans="8:9" x14ac:dyDescent="0.45">
      <c r="H1222" t="str">
        <f>IF(PNL!A1222="","",_CALC_PNL!P1222)</f>
        <v/>
      </c>
      <c r="I1222" t="str">
        <f>IF(PNL!A1222="","",IF(_CALC_PNL!E1222=1,H1222-G1222,""))</f>
        <v/>
      </c>
    </row>
    <row r="1223" spans="8:9" x14ac:dyDescent="0.45">
      <c r="H1223" t="str">
        <f>IF(PNL!A1223="","",_CALC_PNL!P1223)</f>
        <v/>
      </c>
      <c r="I1223" t="str">
        <f>IF(PNL!A1223="","",IF(_CALC_PNL!E1223=1,H1223-G1223,""))</f>
        <v/>
      </c>
    </row>
    <row r="1224" spans="8:9" x14ac:dyDescent="0.45">
      <c r="H1224" t="str">
        <f>IF(PNL!A1224="","",_CALC_PNL!P1224)</f>
        <v/>
      </c>
      <c r="I1224" t="str">
        <f>IF(PNL!A1224="","",IF(_CALC_PNL!E1224=1,H1224-G1224,""))</f>
        <v/>
      </c>
    </row>
    <row r="1225" spans="8:9" x14ac:dyDescent="0.45">
      <c r="H1225" t="str">
        <f>IF(PNL!A1225="","",_CALC_PNL!P1225)</f>
        <v/>
      </c>
      <c r="I1225" t="str">
        <f>IF(PNL!A1225="","",IF(_CALC_PNL!E1225=1,H1225-G1225,""))</f>
        <v/>
      </c>
    </row>
    <row r="1226" spans="8:9" x14ac:dyDescent="0.45">
      <c r="H1226" t="str">
        <f>IF(PNL!A1226="","",_CALC_PNL!P1226)</f>
        <v/>
      </c>
      <c r="I1226" t="str">
        <f>IF(PNL!A1226="","",IF(_CALC_PNL!E1226=1,H1226-G1226,""))</f>
        <v/>
      </c>
    </row>
    <row r="1227" spans="8:9" x14ac:dyDescent="0.45">
      <c r="H1227" t="str">
        <f>IF(PNL!A1227="","",_CALC_PNL!P1227)</f>
        <v/>
      </c>
      <c r="I1227" t="str">
        <f>IF(PNL!A1227="","",IF(_CALC_PNL!E1227=1,H1227-G1227,""))</f>
        <v/>
      </c>
    </row>
    <row r="1228" spans="8:9" x14ac:dyDescent="0.45">
      <c r="H1228" t="str">
        <f>IF(PNL!A1228="","",_CALC_PNL!P1228)</f>
        <v/>
      </c>
      <c r="I1228" t="str">
        <f>IF(PNL!A1228="","",IF(_CALC_PNL!E1228=1,H1228-G1228,""))</f>
        <v/>
      </c>
    </row>
    <row r="1229" spans="8:9" x14ac:dyDescent="0.45">
      <c r="H1229" t="str">
        <f>IF(PNL!A1229="","",_CALC_PNL!P1229)</f>
        <v/>
      </c>
      <c r="I1229" t="str">
        <f>IF(PNL!A1229="","",IF(_CALC_PNL!E1229=1,H1229-G1229,""))</f>
        <v/>
      </c>
    </row>
    <row r="1230" spans="8:9" x14ac:dyDescent="0.45">
      <c r="H1230" t="str">
        <f>IF(PNL!A1230="","",_CALC_PNL!P1230)</f>
        <v/>
      </c>
      <c r="I1230" t="str">
        <f>IF(PNL!A1230="","",IF(_CALC_PNL!E1230=1,H1230-G1230,""))</f>
        <v/>
      </c>
    </row>
    <row r="1231" spans="8:9" x14ac:dyDescent="0.45">
      <c r="H1231" t="str">
        <f>IF(PNL!A1231="","",_CALC_PNL!P1231)</f>
        <v/>
      </c>
      <c r="I1231" t="str">
        <f>IF(PNL!A1231="","",IF(_CALC_PNL!E1231=1,H1231-G1231,""))</f>
        <v/>
      </c>
    </row>
    <row r="1232" spans="8:9" x14ac:dyDescent="0.45">
      <c r="H1232" t="str">
        <f>IF(PNL!A1232="","",_CALC_PNL!P1232)</f>
        <v/>
      </c>
      <c r="I1232" t="str">
        <f>IF(PNL!A1232="","",IF(_CALC_PNL!E1232=1,H1232-G1232,""))</f>
        <v/>
      </c>
    </row>
    <row r="1233" spans="8:9" x14ac:dyDescent="0.45">
      <c r="H1233" t="str">
        <f>IF(PNL!A1233="","",_CALC_PNL!P1233)</f>
        <v/>
      </c>
      <c r="I1233" t="str">
        <f>IF(PNL!A1233="","",IF(_CALC_PNL!E1233=1,H1233-G1233,""))</f>
        <v/>
      </c>
    </row>
    <row r="1234" spans="8:9" x14ac:dyDescent="0.45">
      <c r="H1234" t="str">
        <f>IF(PNL!A1234="","",_CALC_PNL!P1234)</f>
        <v/>
      </c>
      <c r="I1234" t="str">
        <f>IF(PNL!A1234="","",IF(_CALC_PNL!E1234=1,H1234-G1234,""))</f>
        <v/>
      </c>
    </row>
    <row r="1235" spans="8:9" x14ac:dyDescent="0.45">
      <c r="H1235" t="str">
        <f>IF(PNL!A1235="","",_CALC_PNL!P1235)</f>
        <v/>
      </c>
      <c r="I1235" t="str">
        <f>IF(PNL!A1235="","",IF(_CALC_PNL!E1235=1,H1235-G1235,""))</f>
        <v/>
      </c>
    </row>
    <row r="1236" spans="8:9" x14ac:dyDescent="0.45">
      <c r="H1236" t="str">
        <f>IF(PNL!A1236="","",_CALC_PNL!P1236)</f>
        <v/>
      </c>
      <c r="I1236" t="str">
        <f>IF(PNL!A1236="","",IF(_CALC_PNL!E1236=1,H1236-G1236,""))</f>
        <v/>
      </c>
    </row>
    <row r="1237" spans="8:9" x14ac:dyDescent="0.45">
      <c r="H1237" t="str">
        <f>IF(PNL!A1237="","",_CALC_PNL!P1237)</f>
        <v/>
      </c>
      <c r="I1237" t="str">
        <f>IF(PNL!A1237="","",IF(_CALC_PNL!E1237=1,H1237-G1237,""))</f>
        <v/>
      </c>
    </row>
    <row r="1238" spans="8:9" x14ac:dyDescent="0.45">
      <c r="H1238" t="str">
        <f>IF(PNL!A1238="","",_CALC_PNL!P1238)</f>
        <v/>
      </c>
      <c r="I1238" t="str">
        <f>IF(PNL!A1238="","",IF(_CALC_PNL!E1238=1,H1238-G1238,""))</f>
        <v/>
      </c>
    </row>
    <row r="1239" spans="8:9" x14ac:dyDescent="0.45">
      <c r="H1239" t="str">
        <f>IF(PNL!A1239="","",_CALC_PNL!P1239)</f>
        <v/>
      </c>
      <c r="I1239" t="str">
        <f>IF(PNL!A1239="","",IF(_CALC_PNL!E1239=1,H1239-G1239,""))</f>
        <v/>
      </c>
    </row>
    <row r="1240" spans="8:9" x14ac:dyDescent="0.45">
      <c r="H1240" t="str">
        <f>IF(PNL!A1240="","",_CALC_PNL!P1240)</f>
        <v/>
      </c>
      <c r="I1240" t="str">
        <f>IF(PNL!A1240="","",IF(_CALC_PNL!E1240=1,H1240-G1240,""))</f>
        <v/>
      </c>
    </row>
    <row r="1241" spans="8:9" x14ac:dyDescent="0.45">
      <c r="H1241" t="str">
        <f>IF(PNL!A1241="","",_CALC_PNL!P1241)</f>
        <v/>
      </c>
      <c r="I1241" t="str">
        <f>IF(PNL!A1241="","",IF(_CALC_PNL!E1241=1,H1241-G1241,""))</f>
        <v/>
      </c>
    </row>
    <row r="1242" spans="8:9" x14ac:dyDescent="0.45">
      <c r="H1242" t="str">
        <f>IF(PNL!A1242="","",_CALC_PNL!P1242)</f>
        <v/>
      </c>
      <c r="I1242" t="str">
        <f>IF(PNL!A1242="","",IF(_CALC_PNL!E1242=1,H1242-G1242,""))</f>
        <v/>
      </c>
    </row>
    <row r="1243" spans="8:9" x14ac:dyDescent="0.45">
      <c r="H1243" t="str">
        <f>IF(PNL!A1243="","",_CALC_PNL!P1243)</f>
        <v/>
      </c>
      <c r="I1243" t="str">
        <f>IF(PNL!A1243="","",IF(_CALC_PNL!E1243=1,H1243-G1243,""))</f>
        <v/>
      </c>
    </row>
    <row r="1244" spans="8:9" x14ac:dyDescent="0.45">
      <c r="H1244" t="str">
        <f>IF(PNL!A1244="","",_CALC_PNL!P1244)</f>
        <v/>
      </c>
      <c r="I1244" t="str">
        <f>IF(PNL!A1244="","",IF(_CALC_PNL!E1244=1,H1244-G1244,""))</f>
        <v/>
      </c>
    </row>
    <row r="1245" spans="8:9" x14ac:dyDescent="0.45">
      <c r="H1245" t="str">
        <f>IF(PNL!A1245="","",_CALC_PNL!P1245)</f>
        <v/>
      </c>
      <c r="I1245" t="str">
        <f>IF(PNL!A1245="","",IF(_CALC_PNL!E1245=1,H1245-G1245,""))</f>
        <v/>
      </c>
    </row>
    <row r="1246" spans="8:9" x14ac:dyDescent="0.45">
      <c r="H1246" t="str">
        <f>IF(PNL!A1246="","",_CALC_PNL!P1246)</f>
        <v/>
      </c>
      <c r="I1246" t="str">
        <f>IF(PNL!A1246="","",IF(_CALC_PNL!E1246=1,H1246-G1246,""))</f>
        <v/>
      </c>
    </row>
    <row r="1247" spans="8:9" x14ac:dyDescent="0.45">
      <c r="H1247" t="str">
        <f>IF(PNL!A1247="","",_CALC_PNL!P1247)</f>
        <v/>
      </c>
      <c r="I1247" t="str">
        <f>IF(PNL!A1247="","",IF(_CALC_PNL!E1247=1,H1247-G1247,""))</f>
        <v/>
      </c>
    </row>
    <row r="1248" spans="8:9" x14ac:dyDescent="0.45">
      <c r="H1248" t="str">
        <f>IF(PNL!A1248="","",_CALC_PNL!P1248)</f>
        <v/>
      </c>
      <c r="I1248" t="str">
        <f>IF(PNL!A1248="","",IF(_CALC_PNL!E1248=1,H1248-G1248,""))</f>
        <v/>
      </c>
    </row>
    <row r="1249" spans="8:9" x14ac:dyDescent="0.45">
      <c r="H1249" t="str">
        <f>IF(PNL!A1249="","",_CALC_PNL!P1249)</f>
        <v/>
      </c>
      <c r="I1249" t="str">
        <f>IF(PNL!A1249="","",IF(_CALC_PNL!E1249=1,H1249-G1249,""))</f>
        <v/>
      </c>
    </row>
    <row r="1250" spans="8:9" x14ac:dyDescent="0.45">
      <c r="H1250" t="str">
        <f>IF(PNL!A1250="","",_CALC_PNL!P1250)</f>
        <v/>
      </c>
      <c r="I1250" t="str">
        <f>IF(PNL!A1250="","",IF(_CALC_PNL!E1250=1,H1250-G1250,""))</f>
        <v/>
      </c>
    </row>
    <row r="1251" spans="8:9" x14ac:dyDescent="0.45">
      <c r="H1251" t="str">
        <f>IF(PNL!A1251="","",_CALC_PNL!P1251)</f>
        <v/>
      </c>
      <c r="I1251" t="str">
        <f>IF(PNL!A1251="","",IF(_CALC_PNL!E1251=1,H1251-G1251,""))</f>
        <v/>
      </c>
    </row>
    <row r="1252" spans="8:9" x14ac:dyDescent="0.45">
      <c r="H1252" t="str">
        <f>IF(PNL!A1252="","",_CALC_PNL!P1252)</f>
        <v/>
      </c>
      <c r="I1252" t="str">
        <f>IF(PNL!A1252="","",IF(_CALC_PNL!E1252=1,H1252-G1252,""))</f>
        <v/>
      </c>
    </row>
    <row r="1253" spans="8:9" x14ac:dyDescent="0.45">
      <c r="H1253" t="str">
        <f>IF(PNL!A1253="","",_CALC_PNL!P1253)</f>
        <v/>
      </c>
      <c r="I1253" t="str">
        <f>IF(PNL!A1253="","",IF(_CALC_PNL!E1253=1,H1253-G1253,""))</f>
        <v/>
      </c>
    </row>
    <row r="1254" spans="8:9" x14ac:dyDescent="0.45">
      <c r="H1254" t="str">
        <f>IF(PNL!A1254="","",_CALC_PNL!P1254)</f>
        <v/>
      </c>
      <c r="I1254" t="str">
        <f>IF(PNL!A1254="","",IF(_CALC_PNL!E1254=1,H1254-G1254,""))</f>
        <v/>
      </c>
    </row>
    <row r="1255" spans="8:9" x14ac:dyDescent="0.45">
      <c r="H1255" t="str">
        <f>IF(PNL!A1255="","",_CALC_PNL!P1255)</f>
        <v/>
      </c>
      <c r="I1255" t="str">
        <f>IF(PNL!A1255="","",IF(_CALC_PNL!E1255=1,H1255-G1255,""))</f>
        <v/>
      </c>
    </row>
    <row r="1256" spans="8:9" x14ac:dyDescent="0.45">
      <c r="H1256" t="str">
        <f>IF(PNL!A1256="","",_CALC_PNL!P1256)</f>
        <v/>
      </c>
      <c r="I1256" t="str">
        <f>IF(PNL!A1256="","",IF(_CALC_PNL!E1256=1,H1256-G1256,""))</f>
        <v/>
      </c>
    </row>
    <row r="1257" spans="8:9" x14ac:dyDescent="0.45">
      <c r="H1257" t="str">
        <f>IF(PNL!A1257="","",_CALC_PNL!P1257)</f>
        <v/>
      </c>
      <c r="I1257" t="str">
        <f>IF(PNL!A1257="","",IF(_CALC_PNL!E1257=1,H1257-G1257,""))</f>
        <v/>
      </c>
    </row>
    <row r="1258" spans="8:9" x14ac:dyDescent="0.45">
      <c r="H1258" t="str">
        <f>IF(PNL!A1258="","",_CALC_PNL!P1258)</f>
        <v/>
      </c>
      <c r="I1258" t="str">
        <f>IF(PNL!A1258="","",IF(_CALC_PNL!E1258=1,H1258-G1258,""))</f>
        <v/>
      </c>
    </row>
    <row r="1259" spans="8:9" x14ac:dyDescent="0.45">
      <c r="H1259" t="str">
        <f>IF(PNL!A1259="","",_CALC_PNL!P1259)</f>
        <v/>
      </c>
      <c r="I1259" t="str">
        <f>IF(PNL!A1259="","",IF(_CALC_PNL!E1259=1,H1259-G1259,""))</f>
        <v/>
      </c>
    </row>
    <row r="1260" spans="8:9" x14ac:dyDescent="0.45">
      <c r="H1260" t="str">
        <f>IF(PNL!A1260="","",_CALC_PNL!P1260)</f>
        <v/>
      </c>
      <c r="I1260" t="str">
        <f>IF(PNL!A1260="","",IF(_CALC_PNL!E1260=1,H1260-G1260,""))</f>
        <v/>
      </c>
    </row>
    <row r="1261" spans="8:9" x14ac:dyDescent="0.45">
      <c r="H1261" t="str">
        <f>IF(PNL!A1261="","",_CALC_PNL!P1261)</f>
        <v/>
      </c>
      <c r="I1261" t="str">
        <f>IF(PNL!A1261="","",IF(_CALC_PNL!E1261=1,H1261-G1261,""))</f>
        <v/>
      </c>
    </row>
    <row r="1262" spans="8:9" x14ac:dyDescent="0.45">
      <c r="H1262" t="str">
        <f>IF(PNL!A1262="","",_CALC_PNL!P1262)</f>
        <v/>
      </c>
      <c r="I1262" t="str">
        <f>IF(PNL!A1262="","",IF(_CALC_PNL!E1262=1,H1262-G1262,""))</f>
        <v/>
      </c>
    </row>
    <row r="1263" spans="8:9" x14ac:dyDescent="0.45">
      <c r="H1263" t="str">
        <f>IF(PNL!A1263="","",_CALC_PNL!P1263)</f>
        <v/>
      </c>
      <c r="I1263" t="str">
        <f>IF(PNL!A1263="","",IF(_CALC_PNL!E1263=1,H1263-G1263,""))</f>
        <v/>
      </c>
    </row>
    <row r="1264" spans="8:9" x14ac:dyDescent="0.45">
      <c r="H1264" t="str">
        <f>IF(PNL!A1264="","",_CALC_PNL!P1264)</f>
        <v/>
      </c>
      <c r="I1264" t="str">
        <f>IF(PNL!A1264="","",IF(_CALC_PNL!E1264=1,H1264-G1264,""))</f>
        <v/>
      </c>
    </row>
    <row r="1265" spans="8:9" x14ac:dyDescent="0.45">
      <c r="H1265" t="str">
        <f>IF(PNL!A1265="","",_CALC_PNL!P1265)</f>
        <v/>
      </c>
      <c r="I1265" t="str">
        <f>IF(PNL!A1265="","",IF(_CALC_PNL!E1265=1,H1265-G1265,""))</f>
        <v/>
      </c>
    </row>
    <row r="1266" spans="8:9" x14ac:dyDescent="0.45">
      <c r="H1266" t="str">
        <f>IF(PNL!A1266="","",_CALC_PNL!P1266)</f>
        <v/>
      </c>
      <c r="I1266" t="str">
        <f>IF(PNL!A1266="","",IF(_CALC_PNL!E1266=1,H1266-G1266,""))</f>
        <v/>
      </c>
    </row>
    <row r="1267" spans="8:9" x14ac:dyDescent="0.45">
      <c r="H1267" t="str">
        <f>IF(PNL!A1267="","",_CALC_PNL!P1267)</f>
        <v/>
      </c>
      <c r="I1267" t="str">
        <f>IF(PNL!A1267="","",IF(_CALC_PNL!E1267=1,H1267-G1267,""))</f>
        <v/>
      </c>
    </row>
    <row r="1268" spans="8:9" x14ac:dyDescent="0.45">
      <c r="H1268" t="str">
        <f>IF(PNL!A1268="","",_CALC_PNL!P1268)</f>
        <v/>
      </c>
      <c r="I1268" t="str">
        <f>IF(PNL!A1268="","",IF(_CALC_PNL!E1268=1,H1268-G1268,""))</f>
        <v/>
      </c>
    </row>
    <row r="1269" spans="8:9" x14ac:dyDescent="0.45">
      <c r="H1269" t="str">
        <f>IF(PNL!A1269="","",_CALC_PNL!P1269)</f>
        <v/>
      </c>
      <c r="I1269" t="str">
        <f>IF(PNL!A1269="","",IF(_CALC_PNL!E1269=1,H1269-G1269,""))</f>
        <v/>
      </c>
    </row>
    <row r="1270" spans="8:9" x14ac:dyDescent="0.45">
      <c r="H1270" t="str">
        <f>IF(PNL!A1270="","",_CALC_PNL!P1270)</f>
        <v/>
      </c>
      <c r="I1270" t="str">
        <f>IF(PNL!A1270="","",IF(_CALC_PNL!E1270=1,H1270-G1270,""))</f>
        <v/>
      </c>
    </row>
    <row r="1271" spans="8:9" x14ac:dyDescent="0.45">
      <c r="H1271" t="str">
        <f>IF(PNL!A1271="","",_CALC_PNL!P1271)</f>
        <v/>
      </c>
      <c r="I1271" t="str">
        <f>IF(PNL!A1271="","",IF(_CALC_PNL!E1271=1,H1271-G1271,""))</f>
        <v/>
      </c>
    </row>
    <row r="1272" spans="8:9" x14ac:dyDescent="0.45">
      <c r="H1272" t="str">
        <f>IF(PNL!A1272="","",_CALC_PNL!P1272)</f>
        <v/>
      </c>
      <c r="I1272" t="str">
        <f>IF(PNL!A1272="","",IF(_CALC_PNL!E1272=1,H1272-G1272,""))</f>
        <v/>
      </c>
    </row>
    <row r="1273" spans="8:9" x14ac:dyDescent="0.45">
      <c r="H1273" t="str">
        <f>IF(PNL!A1273="","",_CALC_PNL!P1273)</f>
        <v/>
      </c>
      <c r="I1273" t="str">
        <f>IF(PNL!A1273="","",IF(_CALC_PNL!E1273=1,H1273-G1273,""))</f>
        <v/>
      </c>
    </row>
    <row r="1274" spans="8:9" x14ac:dyDescent="0.45">
      <c r="H1274" t="str">
        <f>IF(PNL!A1274="","",_CALC_PNL!P1274)</f>
        <v/>
      </c>
      <c r="I1274" t="str">
        <f>IF(PNL!A1274="","",IF(_CALC_PNL!E1274=1,H1274-G1274,""))</f>
        <v/>
      </c>
    </row>
    <row r="1275" spans="8:9" x14ac:dyDescent="0.45">
      <c r="H1275" t="str">
        <f>IF(PNL!A1275="","",_CALC_PNL!P1275)</f>
        <v/>
      </c>
      <c r="I1275" t="str">
        <f>IF(PNL!A1275="","",IF(_CALC_PNL!E1275=1,H1275-G1275,""))</f>
        <v/>
      </c>
    </row>
    <row r="1276" spans="8:9" x14ac:dyDescent="0.45">
      <c r="H1276" t="str">
        <f>IF(PNL!A1276="","",_CALC_PNL!P1276)</f>
        <v/>
      </c>
      <c r="I1276" t="str">
        <f>IF(PNL!A1276="","",IF(_CALC_PNL!E1276=1,H1276-G1276,""))</f>
        <v/>
      </c>
    </row>
    <row r="1277" spans="8:9" x14ac:dyDescent="0.45">
      <c r="H1277" t="str">
        <f>IF(PNL!A1277="","",_CALC_PNL!P1277)</f>
        <v/>
      </c>
      <c r="I1277" t="str">
        <f>IF(PNL!A1277="","",IF(_CALC_PNL!E1277=1,H1277-G1277,""))</f>
        <v/>
      </c>
    </row>
    <row r="1278" spans="8:9" x14ac:dyDescent="0.45">
      <c r="H1278" t="str">
        <f>IF(PNL!A1278="","",_CALC_PNL!P1278)</f>
        <v/>
      </c>
      <c r="I1278" t="str">
        <f>IF(PNL!A1278="","",IF(_CALC_PNL!E1278=1,H1278-G1278,""))</f>
        <v/>
      </c>
    </row>
    <row r="1279" spans="8:9" x14ac:dyDescent="0.45">
      <c r="H1279" t="str">
        <f>IF(PNL!A1279="","",_CALC_PNL!P1279)</f>
        <v/>
      </c>
      <c r="I1279" t="str">
        <f>IF(PNL!A1279="","",IF(_CALC_PNL!E1279=1,H1279-G1279,""))</f>
        <v/>
      </c>
    </row>
    <row r="1280" spans="8:9" x14ac:dyDescent="0.45">
      <c r="H1280" t="str">
        <f>IF(PNL!A1280="","",_CALC_PNL!P1280)</f>
        <v/>
      </c>
      <c r="I1280" t="str">
        <f>IF(PNL!A1280="","",IF(_CALC_PNL!E1280=1,H1280-G1280,""))</f>
        <v/>
      </c>
    </row>
    <row r="1281" spans="8:9" x14ac:dyDescent="0.45">
      <c r="H1281" t="str">
        <f>IF(PNL!A1281="","",_CALC_PNL!P1281)</f>
        <v/>
      </c>
      <c r="I1281" t="str">
        <f>IF(PNL!A1281="","",IF(_CALC_PNL!E1281=1,H1281-G1281,""))</f>
        <v/>
      </c>
    </row>
    <row r="1282" spans="8:9" x14ac:dyDescent="0.45">
      <c r="H1282" t="str">
        <f>IF(PNL!A1282="","",_CALC_PNL!P1282)</f>
        <v/>
      </c>
      <c r="I1282" t="str">
        <f>IF(PNL!A1282="","",IF(_CALC_PNL!E1282=1,H1282-G1282,""))</f>
        <v/>
      </c>
    </row>
    <row r="1283" spans="8:9" x14ac:dyDescent="0.45">
      <c r="H1283" t="str">
        <f>IF(PNL!A1283="","",_CALC_PNL!P1283)</f>
        <v/>
      </c>
      <c r="I1283" t="str">
        <f>IF(PNL!A1283="","",IF(_CALC_PNL!E1283=1,H1283-G1283,""))</f>
        <v/>
      </c>
    </row>
    <row r="1284" spans="8:9" x14ac:dyDescent="0.45">
      <c r="H1284" t="str">
        <f>IF(PNL!A1284="","",_CALC_PNL!P1284)</f>
        <v/>
      </c>
      <c r="I1284" t="str">
        <f>IF(PNL!A1284="","",IF(_CALC_PNL!E1284=1,H1284-G1284,""))</f>
        <v/>
      </c>
    </row>
    <row r="1285" spans="8:9" x14ac:dyDescent="0.45">
      <c r="H1285" t="str">
        <f>IF(PNL!A1285="","",_CALC_PNL!P1285)</f>
        <v/>
      </c>
      <c r="I1285" t="str">
        <f>IF(PNL!A1285="","",IF(_CALC_PNL!E1285=1,H1285-G1285,""))</f>
        <v/>
      </c>
    </row>
    <row r="1286" spans="8:9" x14ac:dyDescent="0.45">
      <c r="H1286" t="str">
        <f>IF(PNL!A1286="","",_CALC_PNL!P1286)</f>
        <v/>
      </c>
      <c r="I1286" t="str">
        <f>IF(PNL!A1286="","",IF(_CALC_PNL!E1286=1,H1286-G1286,""))</f>
        <v/>
      </c>
    </row>
    <row r="1287" spans="8:9" x14ac:dyDescent="0.45">
      <c r="H1287" t="str">
        <f>IF(PNL!A1287="","",_CALC_PNL!P1287)</f>
        <v/>
      </c>
      <c r="I1287" t="str">
        <f>IF(PNL!A1287="","",IF(_CALC_PNL!E1287=1,H1287-G1287,""))</f>
        <v/>
      </c>
    </row>
    <row r="1288" spans="8:9" x14ac:dyDescent="0.45">
      <c r="H1288" t="str">
        <f>IF(PNL!A1288="","",_CALC_PNL!P1288)</f>
        <v/>
      </c>
      <c r="I1288" t="str">
        <f>IF(PNL!A1288="","",IF(_CALC_PNL!E1288=1,H1288-G1288,""))</f>
        <v/>
      </c>
    </row>
    <row r="1289" spans="8:9" x14ac:dyDescent="0.45">
      <c r="H1289" t="str">
        <f>IF(PNL!A1289="","",_CALC_PNL!P1289)</f>
        <v/>
      </c>
      <c r="I1289" t="str">
        <f>IF(PNL!A1289="","",IF(_CALC_PNL!E1289=1,H1289-G1289,""))</f>
        <v/>
      </c>
    </row>
    <row r="1290" spans="8:9" x14ac:dyDescent="0.45">
      <c r="H1290" t="str">
        <f>IF(PNL!A1290="","",_CALC_PNL!P1290)</f>
        <v/>
      </c>
      <c r="I1290" t="str">
        <f>IF(PNL!A1290="","",IF(_CALC_PNL!E1290=1,H1290-G1290,""))</f>
        <v/>
      </c>
    </row>
    <row r="1291" spans="8:9" x14ac:dyDescent="0.45">
      <c r="H1291" t="str">
        <f>IF(PNL!A1291="","",_CALC_PNL!P1291)</f>
        <v/>
      </c>
      <c r="I1291" t="str">
        <f>IF(PNL!A1291="","",IF(_CALC_PNL!E1291=1,H1291-G1291,""))</f>
        <v/>
      </c>
    </row>
    <row r="1292" spans="8:9" x14ac:dyDescent="0.45">
      <c r="H1292" t="str">
        <f>IF(PNL!A1292="","",_CALC_PNL!P1292)</f>
        <v/>
      </c>
      <c r="I1292" t="str">
        <f>IF(PNL!A1292="","",IF(_CALC_PNL!E1292=1,H1292-G1292,""))</f>
        <v/>
      </c>
    </row>
    <row r="1293" spans="8:9" x14ac:dyDescent="0.45">
      <c r="H1293" t="str">
        <f>IF(PNL!A1293="","",_CALC_PNL!P1293)</f>
        <v/>
      </c>
      <c r="I1293" t="str">
        <f>IF(PNL!A1293="","",IF(_CALC_PNL!E1293=1,H1293-G1293,""))</f>
        <v/>
      </c>
    </row>
    <row r="1294" spans="8:9" x14ac:dyDescent="0.45">
      <c r="H1294" t="str">
        <f>IF(PNL!A1294="","",_CALC_PNL!P1294)</f>
        <v/>
      </c>
      <c r="I1294" t="str">
        <f>IF(PNL!A1294="","",IF(_CALC_PNL!E1294=1,H1294-G1294,""))</f>
        <v/>
      </c>
    </row>
    <row r="1295" spans="8:9" x14ac:dyDescent="0.45">
      <c r="H1295" t="str">
        <f>IF(PNL!A1295="","",_CALC_PNL!P1295)</f>
        <v/>
      </c>
      <c r="I1295" t="str">
        <f>IF(PNL!A1295="","",IF(_CALC_PNL!E1295=1,H1295-G1295,""))</f>
        <v/>
      </c>
    </row>
    <row r="1296" spans="8:9" x14ac:dyDescent="0.45">
      <c r="H1296" t="str">
        <f>IF(PNL!A1296="","",_CALC_PNL!P1296)</f>
        <v/>
      </c>
      <c r="I1296" t="str">
        <f>IF(PNL!A1296="","",IF(_CALC_PNL!E1296=1,H1296-G1296,""))</f>
        <v/>
      </c>
    </row>
    <row r="1297" spans="8:9" x14ac:dyDescent="0.45">
      <c r="H1297" t="str">
        <f>IF(PNL!A1297="","",_CALC_PNL!P1297)</f>
        <v/>
      </c>
      <c r="I1297" t="str">
        <f>IF(PNL!A1297="","",IF(_CALC_PNL!E1297=1,H1297-G1297,""))</f>
        <v/>
      </c>
    </row>
    <row r="1298" spans="8:9" x14ac:dyDescent="0.45">
      <c r="H1298" t="str">
        <f>IF(PNL!A1298="","",_CALC_PNL!P1298)</f>
        <v/>
      </c>
      <c r="I1298" t="str">
        <f>IF(PNL!A1298="","",IF(_CALC_PNL!E1298=1,H1298-G1298,""))</f>
        <v/>
      </c>
    </row>
    <row r="1299" spans="8:9" x14ac:dyDescent="0.45">
      <c r="H1299" t="str">
        <f>IF(PNL!A1299="","",_CALC_PNL!P1299)</f>
        <v/>
      </c>
      <c r="I1299" t="str">
        <f>IF(PNL!A1299="","",IF(_CALC_PNL!E1299=1,H1299-G1299,""))</f>
        <v/>
      </c>
    </row>
    <row r="1300" spans="8:9" x14ac:dyDescent="0.45">
      <c r="H1300" t="str">
        <f>IF(PNL!A1300="","",_CALC_PNL!P1300)</f>
        <v/>
      </c>
      <c r="I1300" t="str">
        <f>IF(PNL!A1300="","",IF(_CALC_PNL!E1300=1,H1300-G1300,""))</f>
        <v/>
      </c>
    </row>
    <row r="1301" spans="8:9" x14ac:dyDescent="0.45">
      <c r="H1301" t="str">
        <f>IF(PNL!A1301="","",_CALC_PNL!P1301)</f>
        <v/>
      </c>
      <c r="I1301" t="str">
        <f>IF(PNL!A1301="","",IF(_CALC_PNL!E1301=1,H1301-G1301,""))</f>
        <v/>
      </c>
    </row>
    <row r="1302" spans="8:9" x14ac:dyDescent="0.45">
      <c r="H1302" t="str">
        <f>IF(PNL!A1302="","",_CALC_PNL!P1302)</f>
        <v/>
      </c>
      <c r="I1302" t="str">
        <f>IF(PNL!A1302="","",IF(_CALC_PNL!E1302=1,H1302-G1302,""))</f>
        <v/>
      </c>
    </row>
    <row r="1303" spans="8:9" x14ac:dyDescent="0.45">
      <c r="H1303" t="str">
        <f>IF(PNL!A1303="","",_CALC_PNL!P1303)</f>
        <v/>
      </c>
      <c r="I1303" t="str">
        <f>IF(PNL!A1303="","",IF(_CALC_PNL!E1303=1,H1303-G1303,""))</f>
        <v/>
      </c>
    </row>
    <row r="1304" spans="8:9" x14ac:dyDescent="0.45">
      <c r="H1304" t="str">
        <f>IF(PNL!A1304="","",_CALC_PNL!P1304)</f>
        <v/>
      </c>
      <c r="I1304" t="str">
        <f>IF(PNL!A1304="","",IF(_CALC_PNL!E1304=1,H1304-G1304,""))</f>
        <v/>
      </c>
    </row>
    <row r="1305" spans="8:9" x14ac:dyDescent="0.45">
      <c r="H1305" t="str">
        <f>IF(PNL!A1305="","",_CALC_PNL!P1305)</f>
        <v/>
      </c>
      <c r="I1305" t="str">
        <f>IF(PNL!A1305="","",IF(_CALC_PNL!E1305=1,H1305-G1305,""))</f>
        <v/>
      </c>
    </row>
    <row r="1306" spans="8:9" x14ac:dyDescent="0.45">
      <c r="H1306" t="str">
        <f>IF(PNL!A1306="","",_CALC_PNL!P1306)</f>
        <v/>
      </c>
      <c r="I1306" t="str">
        <f>IF(PNL!A1306="","",IF(_CALC_PNL!E1306=1,H1306-G1306,""))</f>
        <v/>
      </c>
    </row>
    <row r="1307" spans="8:9" x14ac:dyDescent="0.45">
      <c r="H1307" t="str">
        <f>IF(PNL!A1307="","",_CALC_PNL!P1307)</f>
        <v/>
      </c>
      <c r="I1307" t="str">
        <f>IF(PNL!A1307="","",IF(_CALC_PNL!E1307=1,H1307-G1307,""))</f>
        <v/>
      </c>
    </row>
    <row r="1308" spans="8:9" x14ac:dyDescent="0.45">
      <c r="H1308" t="str">
        <f>IF(PNL!A1308="","",_CALC_PNL!P1308)</f>
        <v/>
      </c>
      <c r="I1308" t="str">
        <f>IF(PNL!A1308="","",IF(_CALC_PNL!E1308=1,H1308-G1308,""))</f>
        <v/>
      </c>
    </row>
    <row r="1309" spans="8:9" x14ac:dyDescent="0.45">
      <c r="H1309" t="str">
        <f>IF(PNL!A1309="","",_CALC_PNL!P1309)</f>
        <v/>
      </c>
      <c r="I1309" t="str">
        <f>IF(PNL!A1309="","",IF(_CALC_PNL!E1309=1,H1309-G1309,""))</f>
        <v/>
      </c>
    </row>
    <row r="1310" spans="8:9" x14ac:dyDescent="0.45">
      <c r="H1310" t="str">
        <f>IF(PNL!A1310="","",_CALC_PNL!P1310)</f>
        <v/>
      </c>
      <c r="I1310" t="str">
        <f>IF(PNL!A1310="","",IF(_CALC_PNL!E1310=1,H1310-G1310,""))</f>
        <v/>
      </c>
    </row>
    <row r="1311" spans="8:9" x14ac:dyDescent="0.45">
      <c r="H1311" t="str">
        <f>IF(PNL!A1311="","",_CALC_PNL!P1311)</f>
        <v/>
      </c>
      <c r="I1311" t="str">
        <f>IF(PNL!A1311="","",IF(_CALC_PNL!E1311=1,H1311-G1311,""))</f>
        <v/>
      </c>
    </row>
    <row r="1312" spans="8:9" x14ac:dyDescent="0.45">
      <c r="H1312" t="str">
        <f>IF(PNL!A1312="","",_CALC_PNL!P1312)</f>
        <v/>
      </c>
      <c r="I1312" t="str">
        <f>IF(PNL!A1312="","",IF(_CALC_PNL!E1312=1,H1312-G1312,""))</f>
        <v/>
      </c>
    </row>
    <row r="1313" spans="8:9" x14ac:dyDescent="0.45">
      <c r="H1313" t="str">
        <f>IF(PNL!A1313="","",_CALC_PNL!P1313)</f>
        <v/>
      </c>
      <c r="I1313" t="str">
        <f>IF(PNL!A1313="","",IF(_CALC_PNL!E1313=1,H1313-G1313,""))</f>
        <v/>
      </c>
    </row>
    <row r="1314" spans="8:9" x14ac:dyDescent="0.45">
      <c r="H1314" t="str">
        <f>IF(PNL!A1314="","",_CALC_PNL!P1314)</f>
        <v/>
      </c>
      <c r="I1314" t="str">
        <f>IF(PNL!A1314="","",IF(_CALC_PNL!E1314=1,H1314-G1314,""))</f>
        <v/>
      </c>
    </row>
    <row r="1315" spans="8:9" x14ac:dyDescent="0.45">
      <c r="H1315" t="str">
        <f>IF(PNL!A1315="","",_CALC_PNL!P1315)</f>
        <v/>
      </c>
      <c r="I1315" t="str">
        <f>IF(PNL!A1315="","",IF(_CALC_PNL!E1315=1,H1315-G1315,""))</f>
        <v/>
      </c>
    </row>
    <row r="1316" spans="8:9" x14ac:dyDescent="0.45">
      <c r="H1316" t="str">
        <f>IF(PNL!A1316="","",_CALC_PNL!P1316)</f>
        <v/>
      </c>
      <c r="I1316" t="str">
        <f>IF(PNL!A1316="","",IF(_CALC_PNL!E1316=1,H1316-G1316,""))</f>
        <v/>
      </c>
    </row>
    <row r="1317" spans="8:9" x14ac:dyDescent="0.45">
      <c r="H1317" t="str">
        <f>IF(PNL!A1317="","",_CALC_PNL!P1317)</f>
        <v/>
      </c>
      <c r="I1317" t="str">
        <f>IF(PNL!A1317="","",IF(_CALC_PNL!E1317=1,H1317-G1317,""))</f>
        <v/>
      </c>
    </row>
    <row r="1318" spans="8:9" x14ac:dyDescent="0.45">
      <c r="H1318" t="str">
        <f>IF(PNL!A1318="","",_CALC_PNL!P1318)</f>
        <v/>
      </c>
      <c r="I1318" t="str">
        <f>IF(PNL!A1318="","",IF(_CALC_PNL!E1318=1,H1318-G1318,""))</f>
        <v/>
      </c>
    </row>
    <row r="1319" spans="8:9" x14ac:dyDescent="0.45">
      <c r="H1319" t="str">
        <f>IF(PNL!A1319="","",_CALC_PNL!P1319)</f>
        <v/>
      </c>
      <c r="I1319" t="str">
        <f>IF(PNL!A1319="","",IF(_CALC_PNL!E1319=1,H1319-G1319,""))</f>
        <v/>
      </c>
    </row>
    <row r="1320" spans="8:9" x14ac:dyDescent="0.45">
      <c r="H1320" t="str">
        <f>IF(PNL!A1320="","",_CALC_PNL!P1320)</f>
        <v/>
      </c>
      <c r="I1320" t="str">
        <f>IF(PNL!A1320="","",IF(_CALC_PNL!E1320=1,H1320-G1320,""))</f>
        <v/>
      </c>
    </row>
    <row r="1321" spans="8:9" x14ac:dyDescent="0.45">
      <c r="H1321" t="str">
        <f>IF(PNL!A1321="","",_CALC_PNL!P1321)</f>
        <v/>
      </c>
      <c r="I1321" t="str">
        <f>IF(PNL!A1321="","",IF(_CALC_PNL!E1321=1,H1321-G1321,""))</f>
        <v/>
      </c>
    </row>
    <row r="1322" spans="8:9" x14ac:dyDescent="0.45">
      <c r="H1322" t="str">
        <f>IF(PNL!A1322="","",_CALC_PNL!P1322)</f>
        <v/>
      </c>
      <c r="I1322" t="str">
        <f>IF(PNL!A1322="","",IF(_CALC_PNL!E1322=1,H1322-G1322,""))</f>
        <v/>
      </c>
    </row>
    <row r="1323" spans="8:9" x14ac:dyDescent="0.45">
      <c r="H1323" t="str">
        <f>IF(PNL!A1323="","",_CALC_PNL!P1323)</f>
        <v/>
      </c>
      <c r="I1323" t="str">
        <f>IF(PNL!A1323="","",IF(_CALC_PNL!E1323=1,H1323-G1323,""))</f>
        <v/>
      </c>
    </row>
    <row r="1324" spans="8:9" x14ac:dyDescent="0.45">
      <c r="H1324" t="str">
        <f>IF(PNL!A1324="","",_CALC_PNL!P1324)</f>
        <v/>
      </c>
      <c r="I1324" t="str">
        <f>IF(PNL!A1324="","",IF(_CALC_PNL!E1324=1,H1324-G1324,""))</f>
        <v/>
      </c>
    </row>
    <row r="1325" spans="8:9" x14ac:dyDescent="0.45">
      <c r="H1325" t="str">
        <f>IF(PNL!A1325="","",_CALC_PNL!P1325)</f>
        <v/>
      </c>
      <c r="I1325" t="str">
        <f>IF(PNL!A1325="","",IF(_CALC_PNL!E1325=1,H1325-G1325,""))</f>
        <v/>
      </c>
    </row>
    <row r="1326" spans="8:9" x14ac:dyDescent="0.45">
      <c r="H1326" t="str">
        <f>IF(PNL!A1326="","",_CALC_PNL!P1326)</f>
        <v/>
      </c>
      <c r="I1326" t="str">
        <f>IF(PNL!A1326="","",IF(_CALC_PNL!E1326=1,H1326-G1326,""))</f>
        <v/>
      </c>
    </row>
    <row r="1327" spans="8:9" x14ac:dyDescent="0.45">
      <c r="H1327" t="str">
        <f>IF(PNL!A1327="","",_CALC_PNL!P1327)</f>
        <v/>
      </c>
      <c r="I1327" t="str">
        <f>IF(PNL!A1327="","",IF(_CALC_PNL!E1327=1,H1327-G1327,""))</f>
        <v/>
      </c>
    </row>
    <row r="1328" spans="8:9" x14ac:dyDescent="0.45">
      <c r="H1328" t="str">
        <f>IF(PNL!A1328="","",_CALC_PNL!P1328)</f>
        <v/>
      </c>
      <c r="I1328" t="str">
        <f>IF(PNL!A1328="","",IF(_CALC_PNL!E1328=1,H1328-G1328,""))</f>
        <v/>
      </c>
    </row>
    <row r="1329" spans="8:9" x14ac:dyDescent="0.45">
      <c r="H1329" t="str">
        <f>IF(PNL!A1329="","",_CALC_PNL!P1329)</f>
        <v/>
      </c>
      <c r="I1329" t="str">
        <f>IF(PNL!A1329="","",IF(_CALC_PNL!E1329=1,H1329-G1329,""))</f>
        <v/>
      </c>
    </row>
    <row r="1330" spans="8:9" x14ac:dyDescent="0.45">
      <c r="H1330" t="str">
        <f>IF(PNL!A1330="","",_CALC_PNL!P1330)</f>
        <v/>
      </c>
      <c r="I1330" t="str">
        <f>IF(PNL!A1330="","",IF(_CALC_PNL!E1330=1,H1330-G1330,""))</f>
        <v/>
      </c>
    </row>
    <row r="1331" spans="8:9" x14ac:dyDescent="0.45">
      <c r="H1331" t="str">
        <f>IF(PNL!A1331="","",_CALC_PNL!P1331)</f>
        <v/>
      </c>
      <c r="I1331" t="str">
        <f>IF(PNL!A1331="","",IF(_CALC_PNL!E1331=1,H1331-G1331,""))</f>
        <v/>
      </c>
    </row>
    <row r="1332" spans="8:9" x14ac:dyDescent="0.45">
      <c r="H1332" t="str">
        <f>IF(PNL!A1332="","",_CALC_PNL!P1332)</f>
        <v/>
      </c>
      <c r="I1332" t="str">
        <f>IF(PNL!A1332="","",IF(_CALC_PNL!E1332=1,H1332-G1332,""))</f>
        <v/>
      </c>
    </row>
    <row r="1333" spans="8:9" x14ac:dyDescent="0.45">
      <c r="H1333" t="str">
        <f>IF(PNL!A1333="","",_CALC_PNL!P1333)</f>
        <v/>
      </c>
      <c r="I1333" t="str">
        <f>IF(PNL!A1333="","",IF(_CALC_PNL!E1333=1,H1333-G1333,""))</f>
        <v/>
      </c>
    </row>
    <row r="1334" spans="8:9" x14ac:dyDescent="0.45">
      <c r="H1334" t="str">
        <f>IF(PNL!A1334="","",_CALC_PNL!P1334)</f>
        <v/>
      </c>
      <c r="I1334" t="str">
        <f>IF(PNL!A1334="","",IF(_CALC_PNL!E1334=1,H1334-G1334,""))</f>
        <v/>
      </c>
    </row>
    <row r="1335" spans="8:9" x14ac:dyDescent="0.45">
      <c r="H1335" t="str">
        <f>IF(PNL!A1335="","",_CALC_PNL!P1335)</f>
        <v/>
      </c>
      <c r="I1335" t="str">
        <f>IF(PNL!A1335="","",IF(_CALC_PNL!E1335=1,H1335-G1335,""))</f>
        <v/>
      </c>
    </row>
    <row r="1336" spans="8:9" x14ac:dyDescent="0.45">
      <c r="H1336" t="str">
        <f>IF(PNL!A1336="","",_CALC_PNL!P1336)</f>
        <v/>
      </c>
      <c r="I1336" t="str">
        <f>IF(PNL!A1336="","",IF(_CALC_PNL!E1336=1,H1336-G1336,""))</f>
        <v/>
      </c>
    </row>
    <row r="1337" spans="8:9" x14ac:dyDescent="0.45">
      <c r="H1337" t="str">
        <f>IF(PNL!A1337="","",_CALC_PNL!P1337)</f>
        <v/>
      </c>
      <c r="I1337" t="str">
        <f>IF(PNL!A1337="","",IF(_CALC_PNL!E1337=1,H1337-G1337,""))</f>
        <v/>
      </c>
    </row>
    <row r="1338" spans="8:9" x14ac:dyDescent="0.45">
      <c r="H1338" t="str">
        <f>IF(PNL!A1338="","",_CALC_PNL!P1338)</f>
        <v/>
      </c>
      <c r="I1338" t="str">
        <f>IF(PNL!A1338="","",IF(_CALC_PNL!E1338=1,H1338-G1338,""))</f>
        <v/>
      </c>
    </row>
    <row r="1339" spans="8:9" x14ac:dyDescent="0.45">
      <c r="H1339" t="str">
        <f>IF(PNL!A1339="","",_CALC_PNL!P1339)</f>
        <v/>
      </c>
      <c r="I1339" t="str">
        <f>IF(PNL!A1339="","",IF(_CALC_PNL!E1339=1,H1339-G1339,""))</f>
        <v/>
      </c>
    </row>
    <row r="1340" spans="8:9" x14ac:dyDescent="0.45">
      <c r="H1340" t="str">
        <f>IF(PNL!A1340="","",_CALC_PNL!P1340)</f>
        <v/>
      </c>
      <c r="I1340" t="str">
        <f>IF(PNL!A1340="","",IF(_CALC_PNL!E1340=1,H1340-G1340,""))</f>
        <v/>
      </c>
    </row>
    <row r="1341" spans="8:9" x14ac:dyDescent="0.45">
      <c r="H1341" t="str">
        <f>IF(PNL!A1341="","",_CALC_PNL!P1341)</f>
        <v/>
      </c>
      <c r="I1341" t="str">
        <f>IF(PNL!A1341="","",IF(_CALC_PNL!E1341=1,H1341-G1341,""))</f>
        <v/>
      </c>
    </row>
    <row r="1342" spans="8:9" x14ac:dyDescent="0.45">
      <c r="H1342" t="str">
        <f>IF(PNL!A1342="","",_CALC_PNL!P1342)</f>
        <v/>
      </c>
      <c r="I1342" t="str">
        <f>IF(PNL!A1342="","",IF(_CALC_PNL!E1342=1,H1342-G1342,""))</f>
        <v/>
      </c>
    </row>
    <row r="1343" spans="8:9" x14ac:dyDescent="0.45">
      <c r="H1343" t="str">
        <f>IF(PNL!A1343="","",_CALC_PNL!P1343)</f>
        <v/>
      </c>
      <c r="I1343" t="str">
        <f>IF(PNL!A1343="","",IF(_CALC_PNL!E1343=1,H1343-G1343,""))</f>
        <v/>
      </c>
    </row>
    <row r="1344" spans="8:9" x14ac:dyDescent="0.45">
      <c r="H1344" t="str">
        <f>IF(PNL!A1344="","",_CALC_PNL!P1344)</f>
        <v/>
      </c>
      <c r="I1344" t="str">
        <f>IF(PNL!A1344="","",IF(_CALC_PNL!E1344=1,H1344-G1344,""))</f>
        <v/>
      </c>
    </row>
    <row r="1345" spans="8:9" x14ac:dyDescent="0.45">
      <c r="H1345" t="str">
        <f>IF(PNL!A1345="","",_CALC_PNL!P1345)</f>
        <v/>
      </c>
      <c r="I1345" t="str">
        <f>IF(PNL!A1345="","",IF(_CALC_PNL!E1345=1,H1345-G1345,""))</f>
        <v/>
      </c>
    </row>
    <row r="1346" spans="8:9" x14ac:dyDescent="0.45">
      <c r="H1346" t="str">
        <f>IF(PNL!A1346="","",_CALC_PNL!P1346)</f>
        <v/>
      </c>
      <c r="I1346" t="str">
        <f>IF(PNL!A1346="","",IF(_CALC_PNL!E1346=1,H1346-G1346,""))</f>
        <v/>
      </c>
    </row>
    <row r="1347" spans="8:9" x14ac:dyDescent="0.45">
      <c r="H1347" t="str">
        <f>IF(PNL!A1347="","",_CALC_PNL!P1347)</f>
        <v/>
      </c>
      <c r="I1347" t="str">
        <f>IF(PNL!A1347="","",IF(_CALC_PNL!E1347=1,H1347-G1347,""))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AC175"/>
  <sheetViews>
    <sheetView workbookViewId="0">
      <selection activeCell="D2" sqref="D2"/>
    </sheetView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33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39</v>
      </c>
      <c r="J1" s="1" t="s">
        <v>41</v>
      </c>
      <c r="K1" s="1" t="s">
        <v>55</v>
      </c>
      <c r="L1" s="1" t="s">
        <v>84</v>
      </c>
      <c r="M1" s="1" t="s">
        <v>85</v>
      </c>
      <c r="N1" s="1" t="s">
        <v>86</v>
      </c>
      <c r="O1" s="1" t="s">
        <v>87</v>
      </c>
      <c r="P1" s="1" t="s">
        <v>88</v>
      </c>
      <c r="Q1" s="1" t="s">
        <v>89</v>
      </c>
      <c r="R1" s="1" t="s">
        <v>90</v>
      </c>
      <c r="S1" s="1" t="s">
        <v>91</v>
      </c>
      <c r="T1" s="1" t="s">
        <v>92</v>
      </c>
      <c r="V1" t="s">
        <v>245</v>
      </c>
      <c r="W1" t="s">
        <v>85</v>
      </c>
      <c r="X1" t="s">
        <v>86</v>
      </c>
      <c r="Y1" t="s">
        <v>87</v>
      </c>
      <c r="Z1" t="s">
        <v>246</v>
      </c>
      <c r="AA1" t="s">
        <v>247</v>
      </c>
      <c r="AB1" t="s">
        <v>137</v>
      </c>
      <c r="AC1" t="s">
        <v>248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V2">
        <f>IF(Allocation!D2="","",_CALC_ALLOC!AI2)</f>
        <v>0</v>
      </c>
      <c r="W2">
        <f>IF(Allocation!D2="","",_CALC_ALLOC!AJ2)</f>
        <v>0</v>
      </c>
      <c r="X2">
        <f>IF(Allocation!D2="","",_CALC_ALLOC!AK2)</f>
        <v>0</v>
      </c>
      <c r="Y2">
        <f>IF(Allocation!D2="","",_CALC_ALLOC!AL2)</f>
        <v>0</v>
      </c>
      <c r="Z2">
        <f>IF(Allocation!D2="","",_CALC_ALLOC!AM2)</f>
        <v>0</v>
      </c>
      <c r="AA2">
        <f>IF(Allocation!D2="","",_CALC_ALLOC!AN2)</f>
        <v>1000</v>
      </c>
      <c r="AB2">
        <f>IF(Allocation!D2="","",AA2-T2)</f>
        <v>0</v>
      </c>
      <c r="AC2">
        <f>IF(Allocation!D2="","",_CALC_ALLOC!AR2)</f>
        <v>0</v>
      </c>
    </row>
    <row r="3" spans="1:29" x14ac:dyDescent="0.45">
      <c r="V3" t="str">
        <f>IF(Allocation!D3="","",_CALC_ALLOC!AI3)</f>
        <v/>
      </c>
      <c r="W3" t="str">
        <f>IF(Allocation!D3="","",_CALC_ALLOC!AJ3)</f>
        <v/>
      </c>
      <c r="X3" t="str">
        <f>IF(Allocation!D3="","",_CALC_ALLOC!AK3)</f>
        <v/>
      </c>
      <c r="Y3" t="str">
        <f>IF(Allocation!D3="","",_CALC_ALLOC!AL3)</f>
        <v/>
      </c>
      <c r="Z3" t="str">
        <f>IF(Allocation!D3="","",_CALC_ALLOC!AM3)</f>
        <v/>
      </c>
      <c r="AA3" t="str">
        <f>IF(Allocation!D3="","",_CALC_ALLOC!AN3)</f>
        <v/>
      </c>
      <c r="AB3" t="str">
        <f>IF(Allocation!D3="","",AA3-T3)</f>
        <v/>
      </c>
      <c r="AC3" t="str">
        <f>IF(Allocation!D3="","",_CALC_ALLOC!AR3)</f>
        <v/>
      </c>
    </row>
    <row r="4" spans="1:29" x14ac:dyDescent="0.45">
      <c r="V4" t="str">
        <f>IF(Allocation!D4="","",_CALC_ALLOC!AI4)</f>
        <v/>
      </c>
      <c r="W4" t="str">
        <f>IF(Allocation!D4="","",_CALC_ALLOC!AJ4)</f>
        <v/>
      </c>
      <c r="X4" t="str">
        <f>IF(Allocation!D4="","",_CALC_ALLOC!AK4)</f>
        <v/>
      </c>
      <c r="Y4" t="str">
        <f>IF(Allocation!D4="","",_CALC_ALLOC!AL4)</f>
        <v/>
      </c>
      <c r="Z4" t="str">
        <f>IF(Allocation!D4="","",_CALC_ALLOC!AM4)</f>
        <v/>
      </c>
      <c r="AA4" t="str">
        <f>IF(Allocation!D4="","",_CALC_ALLOC!AN4)</f>
        <v/>
      </c>
      <c r="AB4" t="str">
        <f>IF(Allocation!D4="","",AA4-T4)</f>
        <v/>
      </c>
      <c r="AC4" t="str">
        <f>IF(Allocation!D4="","",_CALC_ALLOC!AR4)</f>
        <v/>
      </c>
    </row>
    <row r="5" spans="1:29" x14ac:dyDescent="0.45">
      <c r="V5" t="str">
        <f>IF(Allocation!D5="","",_CALC_ALLOC!AI5)</f>
        <v/>
      </c>
      <c r="W5" t="str">
        <f>IF(Allocation!D5="","",_CALC_ALLOC!AJ5)</f>
        <v/>
      </c>
      <c r="X5" t="str">
        <f>IF(Allocation!D5="","",_CALC_ALLOC!AK5)</f>
        <v/>
      </c>
      <c r="Y5" t="str">
        <f>IF(Allocation!D5="","",_CALC_ALLOC!AL5)</f>
        <v/>
      </c>
      <c r="Z5" t="str">
        <f>IF(Allocation!D5="","",_CALC_ALLOC!AM5)</f>
        <v/>
      </c>
      <c r="AA5" t="str">
        <f>IF(Allocation!D5="","",_CALC_ALLOC!AN5)</f>
        <v/>
      </c>
      <c r="AB5" t="str">
        <f>IF(Allocation!D5="","",AA5-T5)</f>
        <v/>
      </c>
      <c r="AC5" t="str">
        <f>IF(Allocation!D5="","",_CALC_ALLOC!AR5)</f>
        <v/>
      </c>
    </row>
    <row r="6" spans="1:29" x14ac:dyDescent="0.45">
      <c r="V6" t="str">
        <f>IF(Allocation!D6="","",_CALC_ALLOC!AI6)</f>
        <v/>
      </c>
      <c r="W6" t="str">
        <f>IF(Allocation!D6="","",_CALC_ALLOC!AJ6)</f>
        <v/>
      </c>
      <c r="X6" t="str">
        <f>IF(Allocation!D6="","",_CALC_ALLOC!AK6)</f>
        <v/>
      </c>
      <c r="Y6" t="str">
        <f>IF(Allocation!D6="","",_CALC_ALLOC!AL6)</f>
        <v/>
      </c>
      <c r="Z6" t="str">
        <f>IF(Allocation!D6="","",_CALC_ALLOC!AM6)</f>
        <v/>
      </c>
      <c r="AA6" t="str">
        <f>IF(Allocation!D6="","",_CALC_ALLOC!AN6)</f>
        <v/>
      </c>
      <c r="AB6" t="str">
        <f>IF(Allocation!D6="","",AA6-T6)</f>
        <v/>
      </c>
      <c r="AC6" t="str">
        <f>IF(Allocation!D6="","",_CALC_ALLOC!AR6)</f>
        <v/>
      </c>
    </row>
    <row r="7" spans="1:29" x14ac:dyDescent="0.45">
      <c r="V7" t="str">
        <f>IF(Allocation!D7="","",_CALC_ALLOC!AI7)</f>
        <v/>
      </c>
      <c r="W7" t="str">
        <f>IF(Allocation!D7="","",_CALC_ALLOC!AJ7)</f>
        <v/>
      </c>
      <c r="X7" t="str">
        <f>IF(Allocation!D7="","",_CALC_ALLOC!AK7)</f>
        <v/>
      </c>
      <c r="Y7" t="str">
        <f>IF(Allocation!D7="","",_CALC_ALLOC!AL7)</f>
        <v/>
      </c>
      <c r="Z7" t="str">
        <f>IF(Allocation!D7="","",_CALC_ALLOC!AM7)</f>
        <v/>
      </c>
      <c r="AA7" t="str">
        <f>IF(Allocation!D7="","",_CALC_ALLOC!AN7)</f>
        <v/>
      </c>
      <c r="AB7" t="str">
        <f>IF(Allocation!D7="","",AA7-T7)</f>
        <v/>
      </c>
      <c r="AC7" t="str">
        <f>IF(Allocation!D7="","",_CALC_ALLOC!AR7)</f>
        <v/>
      </c>
    </row>
    <row r="8" spans="1:29" x14ac:dyDescent="0.45">
      <c r="V8" t="str">
        <f>IF(Allocation!D8="","",_CALC_ALLOC!AI8)</f>
        <v/>
      </c>
      <c r="W8" t="str">
        <f>IF(Allocation!D8="","",_CALC_ALLOC!AJ8)</f>
        <v/>
      </c>
      <c r="X8" t="str">
        <f>IF(Allocation!D8="","",_CALC_ALLOC!AK8)</f>
        <v/>
      </c>
      <c r="Y8" t="str">
        <f>IF(Allocation!D8="","",_CALC_ALLOC!AL8)</f>
        <v/>
      </c>
      <c r="Z8" t="str">
        <f>IF(Allocation!D8="","",_CALC_ALLOC!AM8)</f>
        <v/>
      </c>
      <c r="AA8" t="str">
        <f>IF(Allocation!D8="","",_CALC_ALLOC!AN8)</f>
        <v/>
      </c>
      <c r="AB8" t="str">
        <f>IF(Allocation!D8="","",AA8-T8)</f>
        <v/>
      </c>
      <c r="AC8" t="str">
        <f>IF(Allocation!D8="","",_CALC_ALLOC!AR8)</f>
        <v/>
      </c>
    </row>
    <row r="9" spans="1:29" x14ac:dyDescent="0.45">
      <c r="V9" t="str">
        <f>IF(Allocation!D9="","",_CALC_ALLOC!AI9)</f>
        <v/>
      </c>
      <c r="W9" t="str">
        <f>IF(Allocation!D9="","",_CALC_ALLOC!AJ9)</f>
        <v/>
      </c>
      <c r="X9" t="str">
        <f>IF(Allocation!D9="","",_CALC_ALLOC!AK9)</f>
        <v/>
      </c>
      <c r="Y9" t="str">
        <f>IF(Allocation!D9="","",_CALC_ALLOC!AL9)</f>
        <v/>
      </c>
      <c r="Z9" t="str">
        <f>IF(Allocation!D9="","",_CALC_ALLOC!AM9)</f>
        <v/>
      </c>
      <c r="AA9" t="str">
        <f>IF(Allocation!D9="","",_CALC_ALLOC!AN9)</f>
        <v/>
      </c>
      <c r="AB9" t="str">
        <f>IF(Allocation!D9="","",AA9-T9)</f>
        <v/>
      </c>
      <c r="AC9" t="str">
        <f>IF(Allocation!D9="","",_CALC_ALLOC!AR9)</f>
        <v/>
      </c>
    </row>
    <row r="10" spans="1:29" x14ac:dyDescent="0.45">
      <c r="V10" t="str">
        <f>IF(Allocation!D10="","",_CALC_ALLOC!AI10)</f>
        <v/>
      </c>
      <c r="W10" t="str">
        <f>IF(Allocation!D10="","",_CALC_ALLOC!AJ10)</f>
        <v/>
      </c>
      <c r="X10" t="str">
        <f>IF(Allocation!D10="","",_CALC_ALLOC!AK10)</f>
        <v/>
      </c>
      <c r="Y10" t="str">
        <f>IF(Allocation!D10="","",_CALC_ALLOC!AL10)</f>
        <v/>
      </c>
      <c r="Z10" t="str">
        <f>IF(Allocation!D10="","",_CALC_ALLOC!AM10)</f>
        <v/>
      </c>
      <c r="AA10" t="str">
        <f>IF(Allocation!D10="","",_CALC_ALLOC!AN10)</f>
        <v/>
      </c>
      <c r="AB10" t="str">
        <f>IF(Allocation!D10="","",AA10-T10)</f>
        <v/>
      </c>
      <c r="AC10" t="str">
        <f>IF(Allocation!D10="","",_CALC_ALLOC!AR10)</f>
        <v/>
      </c>
    </row>
    <row r="11" spans="1:29" x14ac:dyDescent="0.45">
      <c r="V11" t="str">
        <f>IF(Allocation!D11="","",_CALC_ALLOC!AI11)</f>
        <v/>
      </c>
      <c r="W11" t="str">
        <f>IF(Allocation!D11="","",_CALC_ALLOC!AJ11)</f>
        <v/>
      </c>
      <c r="X11" t="str">
        <f>IF(Allocation!D11="","",_CALC_ALLOC!AK11)</f>
        <v/>
      </c>
      <c r="Y11" t="str">
        <f>IF(Allocation!D11="","",_CALC_ALLOC!AL11)</f>
        <v/>
      </c>
      <c r="Z11" t="str">
        <f>IF(Allocation!D11="","",_CALC_ALLOC!AM11)</f>
        <v/>
      </c>
      <c r="AA11" t="str">
        <f>IF(Allocation!D11="","",_CALC_ALLOC!AN11)</f>
        <v/>
      </c>
      <c r="AB11" t="str">
        <f>IF(Allocation!D11="","",AA11-T11)</f>
        <v/>
      </c>
      <c r="AC11" t="str">
        <f>IF(Allocation!D11="","",_CALC_ALLOC!AR11)</f>
        <v/>
      </c>
    </row>
    <row r="12" spans="1:29" x14ac:dyDescent="0.45">
      <c r="V12" t="str">
        <f>IF(Allocation!D12="","",_CALC_ALLOC!AI12)</f>
        <v/>
      </c>
      <c r="W12" t="str">
        <f>IF(Allocation!D12="","",_CALC_ALLOC!AJ12)</f>
        <v/>
      </c>
      <c r="X12" t="str">
        <f>IF(Allocation!D12="","",_CALC_ALLOC!AK12)</f>
        <v/>
      </c>
      <c r="Y12" t="str">
        <f>IF(Allocation!D12="","",_CALC_ALLOC!AL12)</f>
        <v/>
      </c>
      <c r="Z12" t="str">
        <f>IF(Allocation!D12="","",_CALC_ALLOC!AM12)</f>
        <v/>
      </c>
      <c r="AA12" t="str">
        <f>IF(Allocation!D12="","",_CALC_ALLOC!AN12)</f>
        <v/>
      </c>
      <c r="AB12" t="str">
        <f>IF(Allocation!D12="","",AA12-T12)</f>
        <v/>
      </c>
      <c r="AC12" t="str">
        <f>IF(Allocation!D12="","",_CALC_ALLOC!AR12)</f>
        <v/>
      </c>
    </row>
    <row r="13" spans="1:29" x14ac:dyDescent="0.45">
      <c r="V13" t="str">
        <f>IF(Allocation!D13="","",_CALC_ALLOC!AI13)</f>
        <v/>
      </c>
      <c r="W13" t="str">
        <f>IF(Allocation!D13="","",_CALC_ALLOC!AJ13)</f>
        <v/>
      </c>
      <c r="X13" t="str">
        <f>IF(Allocation!D13="","",_CALC_ALLOC!AK13)</f>
        <v/>
      </c>
      <c r="Y13" t="str">
        <f>IF(Allocation!D13="","",_CALC_ALLOC!AL13)</f>
        <v/>
      </c>
      <c r="Z13" t="str">
        <f>IF(Allocation!D13="","",_CALC_ALLOC!AM13)</f>
        <v/>
      </c>
      <c r="AA13" t="str">
        <f>IF(Allocation!D13="","",_CALC_ALLOC!AN13)</f>
        <v/>
      </c>
      <c r="AB13" t="str">
        <f>IF(Allocation!D13="","",AA13-T13)</f>
        <v/>
      </c>
      <c r="AC13" t="str">
        <f>IF(Allocation!D13="","",_CALC_ALLOC!AR13)</f>
        <v/>
      </c>
    </row>
    <row r="14" spans="1:29" x14ac:dyDescent="0.45">
      <c r="V14" t="str">
        <f>IF(Allocation!D14="","",_CALC_ALLOC!AI14)</f>
        <v/>
      </c>
      <c r="W14" t="str">
        <f>IF(Allocation!D14="","",_CALC_ALLOC!AJ14)</f>
        <v/>
      </c>
      <c r="X14" t="str">
        <f>IF(Allocation!D14="","",_CALC_ALLOC!AK14)</f>
        <v/>
      </c>
      <c r="Y14" t="str">
        <f>IF(Allocation!D14="","",_CALC_ALLOC!AL14)</f>
        <v/>
      </c>
      <c r="Z14" t="str">
        <f>IF(Allocation!D14="","",_CALC_ALLOC!AM14)</f>
        <v/>
      </c>
      <c r="AA14" t="str">
        <f>IF(Allocation!D14="","",_CALC_ALLOC!AN14)</f>
        <v/>
      </c>
      <c r="AB14" t="str">
        <f>IF(Allocation!D14="","",AA14-T14)</f>
        <v/>
      </c>
      <c r="AC14" t="str">
        <f>IF(Allocation!D14="","",_CALC_ALLOC!AR14)</f>
        <v/>
      </c>
    </row>
    <row r="15" spans="1:29" x14ac:dyDescent="0.45">
      <c r="V15" t="str">
        <f>IF(Allocation!D15="","",_CALC_ALLOC!AI15)</f>
        <v/>
      </c>
      <c r="W15" t="str">
        <f>IF(Allocation!D15="","",_CALC_ALLOC!AJ15)</f>
        <v/>
      </c>
      <c r="X15" t="str">
        <f>IF(Allocation!D15="","",_CALC_ALLOC!AK15)</f>
        <v/>
      </c>
      <c r="Y15" t="str">
        <f>IF(Allocation!D15="","",_CALC_ALLOC!AL15)</f>
        <v/>
      </c>
      <c r="Z15" t="str">
        <f>IF(Allocation!D15="","",_CALC_ALLOC!AM15)</f>
        <v/>
      </c>
      <c r="AA15" t="str">
        <f>IF(Allocation!D15="","",_CALC_ALLOC!AN15)</f>
        <v/>
      </c>
      <c r="AB15" t="str">
        <f>IF(Allocation!D15="","",AA15-T15)</f>
        <v/>
      </c>
      <c r="AC15" t="str">
        <f>IF(Allocation!D15="","",_CALC_ALLOC!AR15)</f>
        <v/>
      </c>
    </row>
    <row r="16" spans="1:29" x14ac:dyDescent="0.45">
      <c r="V16" t="str">
        <f>IF(Allocation!D16="","",_CALC_ALLOC!AI16)</f>
        <v/>
      </c>
      <c r="W16" t="str">
        <f>IF(Allocation!D16="","",_CALC_ALLOC!AJ16)</f>
        <v/>
      </c>
      <c r="X16" t="str">
        <f>IF(Allocation!D16="","",_CALC_ALLOC!AK16)</f>
        <v/>
      </c>
      <c r="Y16" t="str">
        <f>IF(Allocation!D16="","",_CALC_ALLOC!AL16)</f>
        <v/>
      </c>
      <c r="Z16" t="str">
        <f>IF(Allocation!D16="","",_CALC_ALLOC!AM16)</f>
        <v/>
      </c>
      <c r="AA16" t="str">
        <f>IF(Allocation!D16="","",_CALC_ALLOC!AN16)</f>
        <v/>
      </c>
      <c r="AB16" t="str">
        <f>IF(Allocation!D16="","",AA16-T16)</f>
        <v/>
      </c>
      <c r="AC16" t="str">
        <f>IF(Allocation!D16="","",_CALC_ALLOC!AR16)</f>
        <v/>
      </c>
    </row>
    <row r="17" spans="22:29" x14ac:dyDescent="0.45">
      <c r="V17" t="str">
        <f>IF(Allocation!D17="","",_CALC_ALLOC!AI17)</f>
        <v/>
      </c>
      <c r="W17" t="str">
        <f>IF(Allocation!D17="","",_CALC_ALLOC!AJ17)</f>
        <v/>
      </c>
      <c r="X17" t="str">
        <f>IF(Allocation!D17="","",_CALC_ALLOC!AK17)</f>
        <v/>
      </c>
      <c r="Y17" t="str">
        <f>IF(Allocation!D17="","",_CALC_ALLOC!AL17)</f>
        <v/>
      </c>
      <c r="Z17" t="str">
        <f>IF(Allocation!D17="","",_CALC_ALLOC!AM17)</f>
        <v/>
      </c>
      <c r="AA17" t="str">
        <f>IF(Allocation!D17="","",_CALC_ALLOC!AN17)</f>
        <v/>
      </c>
      <c r="AB17" t="str">
        <f>IF(Allocation!D17="","",AA17-T17)</f>
        <v/>
      </c>
      <c r="AC17" t="str">
        <f>IF(Allocation!D17="","",_CALC_ALLOC!AR17)</f>
        <v/>
      </c>
    </row>
    <row r="18" spans="22:29" x14ac:dyDescent="0.45">
      <c r="V18" t="str">
        <f>IF(Allocation!D18="","",_CALC_ALLOC!AI18)</f>
        <v/>
      </c>
      <c r="W18" t="str">
        <f>IF(Allocation!D18="","",_CALC_ALLOC!AJ18)</f>
        <v/>
      </c>
      <c r="X18" t="str">
        <f>IF(Allocation!D18="","",_CALC_ALLOC!AK18)</f>
        <v/>
      </c>
      <c r="Y18" t="str">
        <f>IF(Allocation!D18="","",_CALC_ALLOC!AL18)</f>
        <v/>
      </c>
      <c r="Z18" t="str">
        <f>IF(Allocation!D18="","",_CALC_ALLOC!AM18)</f>
        <v/>
      </c>
      <c r="AA18" t="str">
        <f>IF(Allocation!D18="","",_CALC_ALLOC!AN18)</f>
        <v/>
      </c>
      <c r="AB18" t="str">
        <f>IF(Allocation!D18="","",AA18-T18)</f>
        <v/>
      </c>
      <c r="AC18" t="str">
        <f>IF(Allocation!D18="","",_CALC_ALLOC!AR18)</f>
        <v/>
      </c>
    </row>
    <row r="19" spans="22:29" x14ac:dyDescent="0.45">
      <c r="V19" t="str">
        <f>IF(Allocation!D19="","",_CALC_ALLOC!AI19)</f>
        <v/>
      </c>
      <c r="W19" t="str">
        <f>IF(Allocation!D19="","",_CALC_ALLOC!AJ19)</f>
        <v/>
      </c>
      <c r="X19" t="str">
        <f>IF(Allocation!D19="","",_CALC_ALLOC!AK19)</f>
        <v/>
      </c>
      <c r="Y19" t="str">
        <f>IF(Allocation!D19="","",_CALC_ALLOC!AL19)</f>
        <v/>
      </c>
      <c r="Z19" t="str">
        <f>IF(Allocation!D19="","",_CALC_ALLOC!AM19)</f>
        <v/>
      </c>
      <c r="AA19" t="str">
        <f>IF(Allocation!D19="","",_CALC_ALLOC!AN19)</f>
        <v/>
      </c>
      <c r="AB19" t="str">
        <f>IF(Allocation!D19="","",AA19-T19)</f>
        <v/>
      </c>
      <c r="AC19" t="str">
        <f>IF(Allocation!D19="","",_CALC_ALLOC!AR19)</f>
        <v/>
      </c>
    </row>
    <row r="20" spans="22:29" x14ac:dyDescent="0.45">
      <c r="V20" t="str">
        <f>IF(Allocation!D20="","",_CALC_ALLOC!AI20)</f>
        <v/>
      </c>
      <c r="W20" t="str">
        <f>IF(Allocation!D20="","",_CALC_ALLOC!AJ20)</f>
        <v/>
      </c>
      <c r="X20" t="str">
        <f>IF(Allocation!D20="","",_CALC_ALLOC!AK20)</f>
        <v/>
      </c>
      <c r="Y20" t="str">
        <f>IF(Allocation!D20="","",_CALC_ALLOC!AL20)</f>
        <v/>
      </c>
      <c r="Z20" t="str">
        <f>IF(Allocation!D20="","",_CALC_ALLOC!AM20)</f>
        <v/>
      </c>
      <c r="AA20" t="str">
        <f>IF(Allocation!D20="","",_CALC_ALLOC!AN20)</f>
        <v/>
      </c>
      <c r="AB20" t="str">
        <f>IF(Allocation!D20="","",AA20-T20)</f>
        <v/>
      </c>
      <c r="AC20" t="str">
        <f>IF(Allocation!D20="","",_CALC_ALLOC!AR20)</f>
        <v/>
      </c>
    </row>
    <row r="21" spans="22:29" x14ac:dyDescent="0.45">
      <c r="V21" t="str">
        <f>IF(Allocation!D21="","",_CALC_ALLOC!AI21)</f>
        <v/>
      </c>
      <c r="W21" t="str">
        <f>IF(Allocation!D21="","",_CALC_ALLOC!AJ21)</f>
        <v/>
      </c>
      <c r="X21" t="str">
        <f>IF(Allocation!D21="","",_CALC_ALLOC!AK21)</f>
        <v/>
      </c>
      <c r="Y21" t="str">
        <f>IF(Allocation!D21="","",_CALC_ALLOC!AL21)</f>
        <v/>
      </c>
      <c r="Z21" t="str">
        <f>IF(Allocation!D21="","",_CALC_ALLOC!AM21)</f>
        <v/>
      </c>
      <c r="AA21" t="str">
        <f>IF(Allocation!D21="","",_CALC_ALLOC!AN21)</f>
        <v/>
      </c>
      <c r="AB21" t="str">
        <f>IF(Allocation!D21="","",AA21-T21)</f>
        <v/>
      </c>
      <c r="AC21" t="str">
        <f>IF(Allocation!D21="","",_CALC_ALLOC!AR21)</f>
        <v/>
      </c>
    </row>
    <row r="22" spans="22:29" x14ac:dyDescent="0.45">
      <c r="V22" t="str">
        <f>IF(Allocation!D22="","",_CALC_ALLOC!AI22)</f>
        <v/>
      </c>
      <c r="W22" t="str">
        <f>IF(Allocation!D22="","",_CALC_ALLOC!AJ22)</f>
        <v/>
      </c>
      <c r="X22" t="str">
        <f>IF(Allocation!D22="","",_CALC_ALLOC!AK22)</f>
        <v/>
      </c>
      <c r="Y22" t="str">
        <f>IF(Allocation!D22="","",_CALC_ALLOC!AL22)</f>
        <v/>
      </c>
      <c r="Z22" t="str">
        <f>IF(Allocation!D22="","",_CALC_ALLOC!AM22)</f>
        <v/>
      </c>
      <c r="AA22" t="str">
        <f>IF(Allocation!D22="","",_CALC_ALLOC!AN22)</f>
        <v/>
      </c>
      <c r="AB22" t="str">
        <f>IF(Allocation!D22="","",AA22-T22)</f>
        <v/>
      </c>
      <c r="AC22" t="str">
        <f>IF(Allocation!D22="","",_CALC_ALLOC!AR22)</f>
        <v/>
      </c>
    </row>
    <row r="23" spans="22:29" x14ac:dyDescent="0.45">
      <c r="V23" t="str">
        <f>IF(Allocation!D23="","",_CALC_ALLOC!AI23)</f>
        <v/>
      </c>
      <c r="W23" t="str">
        <f>IF(Allocation!D23="","",_CALC_ALLOC!AJ23)</f>
        <v/>
      </c>
      <c r="X23" t="str">
        <f>IF(Allocation!D23="","",_CALC_ALLOC!AK23)</f>
        <v/>
      </c>
      <c r="Y23" t="str">
        <f>IF(Allocation!D23="","",_CALC_ALLOC!AL23)</f>
        <v/>
      </c>
      <c r="Z23" t="str">
        <f>IF(Allocation!D23="","",_CALC_ALLOC!AM23)</f>
        <v/>
      </c>
      <c r="AA23" t="str">
        <f>IF(Allocation!D23="","",_CALC_ALLOC!AN23)</f>
        <v/>
      </c>
      <c r="AB23" t="str">
        <f>IF(Allocation!D23="","",AA23-T23)</f>
        <v/>
      </c>
      <c r="AC23" t="str">
        <f>IF(Allocation!D23="","",_CALC_ALLOC!AR23)</f>
        <v/>
      </c>
    </row>
    <row r="24" spans="22:29" x14ac:dyDescent="0.45">
      <c r="V24" t="str">
        <f>IF(Allocation!D24="","",_CALC_ALLOC!AI24)</f>
        <v/>
      </c>
      <c r="W24" t="str">
        <f>IF(Allocation!D24="","",_CALC_ALLOC!AJ24)</f>
        <v/>
      </c>
      <c r="X24" t="str">
        <f>IF(Allocation!D24="","",_CALC_ALLOC!AK24)</f>
        <v/>
      </c>
      <c r="Y24" t="str">
        <f>IF(Allocation!D24="","",_CALC_ALLOC!AL24)</f>
        <v/>
      </c>
      <c r="Z24" t="str">
        <f>IF(Allocation!D24="","",_CALC_ALLOC!AM24)</f>
        <v/>
      </c>
      <c r="AA24" t="str">
        <f>IF(Allocation!D24="","",_CALC_ALLOC!AN24)</f>
        <v/>
      </c>
      <c r="AB24" t="str">
        <f>IF(Allocation!D24="","",AA24-T24)</f>
        <v/>
      </c>
      <c r="AC24" t="str">
        <f>IF(Allocation!D24="","",_CALC_ALLOC!AR24)</f>
        <v/>
      </c>
    </row>
    <row r="25" spans="22:29" x14ac:dyDescent="0.45">
      <c r="V25" t="str">
        <f>IF(Allocation!D25="","",_CALC_ALLOC!AI25)</f>
        <v/>
      </c>
      <c r="W25" t="str">
        <f>IF(Allocation!D25="","",_CALC_ALLOC!AJ25)</f>
        <v/>
      </c>
      <c r="X25" t="str">
        <f>IF(Allocation!D25="","",_CALC_ALLOC!AK25)</f>
        <v/>
      </c>
      <c r="Y25" t="str">
        <f>IF(Allocation!D25="","",_CALC_ALLOC!AL25)</f>
        <v/>
      </c>
      <c r="Z25" t="str">
        <f>IF(Allocation!D25="","",_CALC_ALLOC!AM25)</f>
        <v/>
      </c>
      <c r="AA25" t="str">
        <f>IF(Allocation!D25="","",_CALC_ALLOC!AN25)</f>
        <v/>
      </c>
      <c r="AB25" t="str">
        <f>IF(Allocation!D25="","",AA25-T25)</f>
        <v/>
      </c>
      <c r="AC25" t="str">
        <f>IF(Allocation!D25="","",_CALC_ALLOC!AR25)</f>
        <v/>
      </c>
    </row>
    <row r="26" spans="22:29" x14ac:dyDescent="0.45">
      <c r="V26" t="str">
        <f>IF(Allocation!D26="","",_CALC_ALLOC!AI26)</f>
        <v/>
      </c>
      <c r="W26" t="str">
        <f>IF(Allocation!D26="","",_CALC_ALLOC!AJ26)</f>
        <v/>
      </c>
      <c r="X26" t="str">
        <f>IF(Allocation!D26="","",_CALC_ALLOC!AK26)</f>
        <v/>
      </c>
      <c r="Y26" t="str">
        <f>IF(Allocation!D26="","",_CALC_ALLOC!AL26)</f>
        <v/>
      </c>
      <c r="Z26" t="str">
        <f>IF(Allocation!D26="","",_CALC_ALLOC!AM26)</f>
        <v/>
      </c>
      <c r="AA26" t="str">
        <f>IF(Allocation!D26="","",_CALC_ALLOC!AN26)</f>
        <v/>
      </c>
      <c r="AB26" t="str">
        <f>IF(Allocation!D26="","",AA26-T26)</f>
        <v/>
      </c>
      <c r="AC26" t="str">
        <f>IF(Allocation!D26="","",_CALC_ALLOC!AR26)</f>
        <v/>
      </c>
    </row>
    <row r="27" spans="22:29" x14ac:dyDescent="0.45">
      <c r="V27" t="str">
        <f>IF(Allocation!D27="","",_CALC_ALLOC!AI27)</f>
        <v/>
      </c>
      <c r="W27" t="str">
        <f>IF(Allocation!D27="","",_CALC_ALLOC!AJ27)</f>
        <v/>
      </c>
      <c r="X27" t="str">
        <f>IF(Allocation!D27="","",_CALC_ALLOC!AK27)</f>
        <v/>
      </c>
      <c r="Y27" t="str">
        <f>IF(Allocation!D27="","",_CALC_ALLOC!AL27)</f>
        <v/>
      </c>
      <c r="Z27" t="str">
        <f>IF(Allocation!D27="","",_CALC_ALLOC!AM27)</f>
        <v/>
      </c>
      <c r="AA27" t="str">
        <f>IF(Allocation!D27="","",_CALC_ALLOC!AN27)</f>
        <v/>
      </c>
      <c r="AB27" t="str">
        <f>IF(Allocation!D27="","",AA27-T27)</f>
        <v/>
      </c>
      <c r="AC27" t="str">
        <f>IF(Allocation!D27="","",_CALC_ALLOC!AR27)</f>
        <v/>
      </c>
    </row>
    <row r="28" spans="22:29" x14ac:dyDescent="0.45">
      <c r="V28" t="str">
        <f>IF(Allocation!D28="","",_CALC_ALLOC!AI28)</f>
        <v/>
      </c>
      <c r="W28" t="str">
        <f>IF(Allocation!D28="","",_CALC_ALLOC!AJ28)</f>
        <v/>
      </c>
      <c r="X28" t="str">
        <f>IF(Allocation!D28="","",_CALC_ALLOC!AK28)</f>
        <v/>
      </c>
      <c r="Y28" t="str">
        <f>IF(Allocation!D28="","",_CALC_ALLOC!AL28)</f>
        <v/>
      </c>
      <c r="Z28" t="str">
        <f>IF(Allocation!D28="","",_CALC_ALLOC!AM28)</f>
        <v/>
      </c>
      <c r="AA28" t="str">
        <f>IF(Allocation!D28="","",_CALC_ALLOC!AN28)</f>
        <v/>
      </c>
      <c r="AB28" t="str">
        <f>IF(Allocation!D28="","",AA28-T28)</f>
        <v/>
      </c>
      <c r="AC28" t="str">
        <f>IF(Allocation!D28="","",_CALC_ALLOC!AR28)</f>
        <v/>
      </c>
    </row>
    <row r="29" spans="22:29" x14ac:dyDescent="0.45">
      <c r="V29" t="str">
        <f>IF(Allocation!D29="","",_CALC_ALLOC!AI29)</f>
        <v/>
      </c>
      <c r="W29" t="str">
        <f>IF(Allocation!D29="","",_CALC_ALLOC!AJ29)</f>
        <v/>
      </c>
      <c r="X29" t="str">
        <f>IF(Allocation!D29="","",_CALC_ALLOC!AK29)</f>
        <v/>
      </c>
      <c r="Y29" t="str">
        <f>IF(Allocation!D29="","",_CALC_ALLOC!AL29)</f>
        <v/>
      </c>
      <c r="Z29" t="str">
        <f>IF(Allocation!D29="","",_CALC_ALLOC!AM29)</f>
        <v/>
      </c>
      <c r="AA29" t="str">
        <f>IF(Allocation!D29="","",_CALC_ALLOC!AN29)</f>
        <v/>
      </c>
      <c r="AB29" t="str">
        <f>IF(Allocation!D29="","",AA29-T29)</f>
        <v/>
      </c>
      <c r="AC29" t="str">
        <f>IF(Allocation!D29="","",_CALC_ALLOC!AR29)</f>
        <v/>
      </c>
    </row>
    <row r="30" spans="22:29" x14ac:dyDescent="0.45">
      <c r="V30" t="str">
        <f>IF(Allocation!D30="","",_CALC_ALLOC!AI30)</f>
        <v/>
      </c>
      <c r="W30" t="str">
        <f>IF(Allocation!D30="","",_CALC_ALLOC!AJ30)</f>
        <v/>
      </c>
      <c r="X30" t="str">
        <f>IF(Allocation!D30="","",_CALC_ALLOC!AK30)</f>
        <v/>
      </c>
      <c r="Y30" t="str">
        <f>IF(Allocation!D30="","",_CALC_ALLOC!AL30)</f>
        <v/>
      </c>
      <c r="Z30" t="str">
        <f>IF(Allocation!D30="","",_CALC_ALLOC!AM30)</f>
        <v/>
      </c>
      <c r="AA30" t="str">
        <f>IF(Allocation!D30="","",_CALC_ALLOC!AN30)</f>
        <v/>
      </c>
      <c r="AB30" t="str">
        <f>IF(Allocation!D30="","",AA30-T30)</f>
        <v/>
      </c>
      <c r="AC30" t="str">
        <f>IF(Allocation!D30="","",_CALC_ALLOC!AR30)</f>
        <v/>
      </c>
    </row>
    <row r="31" spans="22:29" x14ac:dyDescent="0.45">
      <c r="V31" t="str">
        <f>IF(Allocation!D31="","",_CALC_ALLOC!AI31)</f>
        <v/>
      </c>
      <c r="W31" t="str">
        <f>IF(Allocation!D31="","",_CALC_ALLOC!AJ31)</f>
        <v/>
      </c>
      <c r="X31" t="str">
        <f>IF(Allocation!D31="","",_CALC_ALLOC!AK31)</f>
        <v/>
      </c>
      <c r="Y31" t="str">
        <f>IF(Allocation!D31="","",_CALC_ALLOC!AL31)</f>
        <v/>
      </c>
      <c r="Z31" t="str">
        <f>IF(Allocation!D31="","",_CALC_ALLOC!AM31)</f>
        <v/>
      </c>
      <c r="AA31" t="str">
        <f>IF(Allocation!D31="","",_CALC_ALLOC!AN31)</f>
        <v/>
      </c>
      <c r="AB31" t="str">
        <f>IF(Allocation!D31="","",AA31-T31)</f>
        <v/>
      </c>
      <c r="AC31" t="str">
        <f>IF(Allocation!D31="","",_CALC_ALLOC!AR31)</f>
        <v/>
      </c>
    </row>
    <row r="32" spans="22:29" x14ac:dyDescent="0.45">
      <c r="V32" t="str">
        <f>IF(Allocation!D32="","",_CALC_ALLOC!AI32)</f>
        <v/>
      </c>
      <c r="W32" t="str">
        <f>IF(Allocation!D32="","",_CALC_ALLOC!AJ32)</f>
        <v/>
      </c>
      <c r="X32" t="str">
        <f>IF(Allocation!D32="","",_CALC_ALLOC!AK32)</f>
        <v/>
      </c>
      <c r="Y32" t="str">
        <f>IF(Allocation!D32="","",_CALC_ALLOC!AL32)</f>
        <v/>
      </c>
      <c r="Z32" t="str">
        <f>IF(Allocation!D32="","",_CALC_ALLOC!AM32)</f>
        <v/>
      </c>
      <c r="AA32" t="str">
        <f>IF(Allocation!D32="","",_CALC_ALLOC!AN32)</f>
        <v/>
      </c>
      <c r="AB32" t="str">
        <f>IF(Allocation!D32="","",AA32-T32)</f>
        <v/>
      </c>
      <c r="AC32" t="str">
        <f>IF(Allocation!D32="","",_CALC_ALLOC!AR32)</f>
        <v/>
      </c>
    </row>
    <row r="33" spans="22:29" x14ac:dyDescent="0.45">
      <c r="V33" t="str">
        <f>IF(Allocation!D33="","",_CALC_ALLOC!AI33)</f>
        <v/>
      </c>
      <c r="W33" t="str">
        <f>IF(Allocation!D33="","",_CALC_ALLOC!AJ33)</f>
        <v/>
      </c>
      <c r="X33" t="str">
        <f>IF(Allocation!D33="","",_CALC_ALLOC!AK33)</f>
        <v/>
      </c>
      <c r="Y33" t="str">
        <f>IF(Allocation!D33="","",_CALC_ALLOC!AL33)</f>
        <v/>
      </c>
      <c r="Z33" t="str">
        <f>IF(Allocation!D33="","",_CALC_ALLOC!AM33)</f>
        <v/>
      </c>
      <c r="AA33" t="str">
        <f>IF(Allocation!D33="","",_CALC_ALLOC!AN33)</f>
        <v/>
      </c>
      <c r="AB33" t="str">
        <f>IF(Allocation!D33="","",AA33-T33)</f>
        <v/>
      </c>
      <c r="AC33" t="str">
        <f>IF(Allocation!D33="","",_CALC_ALLOC!AR33)</f>
        <v/>
      </c>
    </row>
    <row r="34" spans="22:29" x14ac:dyDescent="0.45">
      <c r="V34" t="str">
        <f>IF(Allocation!D34="","",_CALC_ALLOC!AI34)</f>
        <v/>
      </c>
      <c r="W34" t="str">
        <f>IF(Allocation!D34="","",_CALC_ALLOC!AJ34)</f>
        <v/>
      </c>
      <c r="X34" t="str">
        <f>IF(Allocation!D34="","",_CALC_ALLOC!AK34)</f>
        <v/>
      </c>
      <c r="Y34" t="str">
        <f>IF(Allocation!D34="","",_CALC_ALLOC!AL34)</f>
        <v/>
      </c>
      <c r="Z34" t="str">
        <f>IF(Allocation!D34="","",_CALC_ALLOC!AM34)</f>
        <v/>
      </c>
      <c r="AA34" t="str">
        <f>IF(Allocation!D34="","",_CALC_ALLOC!AN34)</f>
        <v/>
      </c>
      <c r="AB34" t="str">
        <f>IF(Allocation!D34="","",AA34-T34)</f>
        <v/>
      </c>
      <c r="AC34" t="str">
        <f>IF(Allocation!D34="","",_CALC_ALLOC!AR34)</f>
        <v/>
      </c>
    </row>
    <row r="35" spans="22:29" x14ac:dyDescent="0.45">
      <c r="V35" t="str">
        <f>IF(Allocation!D35="","",_CALC_ALLOC!AI35)</f>
        <v/>
      </c>
      <c r="W35" t="str">
        <f>IF(Allocation!D35="","",_CALC_ALLOC!AJ35)</f>
        <v/>
      </c>
      <c r="X35" t="str">
        <f>IF(Allocation!D35="","",_CALC_ALLOC!AK35)</f>
        <v/>
      </c>
      <c r="Y35" t="str">
        <f>IF(Allocation!D35="","",_CALC_ALLOC!AL35)</f>
        <v/>
      </c>
      <c r="Z35" t="str">
        <f>IF(Allocation!D35="","",_CALC_ALLOC!AM35)</f>
        <v/>
      </c>
      <c r="AA35" t="str">
        <f>IF(Allocation!D35="","",_CALC_ALLOC!AN35)</f>
        <v/>
      </c>
      <c r="AB35" t="str">
        <f>IF(Allocation!D35="","",AA35-T35)</f>
        <v/>
      </c>
      <c r="AC35" t="str">
        <f>IF(Allocation!D35="","",_CALC_ALLOC!AR35)</f>
        <v/>
      </c>
    </row>
    <row r="36" spans="22:29" x14ac:dyDescent="0.45">
      <c r="V36" t="str">
        <f>IF(Allocation!D36="","",_CALC_ALLOC!AI36)</f>
        <v/>
      </c>
      <c r="W36" t="str">
        <f>IF(Allocation!D36="","",_CALC_ALLOC!AJ36)</f>
        <v/>
      </c>
      <c r="X36" t="str">
        <f>IF(Allocation!D36="","",_CALC_ALLOC!AK36)</f>
        <v/>
      </c>
      <c r="Y36" t="str">
        <f>IF(Allocation!D36="","",_CALC_ALLOC!AL36)</f>
        <v/>
      </c>
      <c r="Z36" t="str">
        <f>IF(Allocation!D36="","",_CALC_ALLOC!AM36)</f>
        <v/>
      </c>
      <c r="AA36" t="str">
        <f>IF(Allocation!D36="","",_CALC_ALLOC!AN36)</f>
        <v/>
      </c>
      <c r="AB36" t="str">
        <f>IF(Allocation!D36="","",AA36-T36)</f>
        <v/>
      </c>
      <c r="AC36" t="str">
        <f>IF(Allocation!D36="","",_CALC_ALLOC!AR36)</f>
        <v/>
      </c>
    </row>
    <row r="37" spans="22:29" x14ac:dyDescent="0.45">
      <c r="V37" t="str">
        <f>IF(Allocation!D37="","",_CALC_ALLOC!AI37)</f>
        <v/>
      </c>
      <c r="W37" t="str">
        <f>IF(Allocation!D37="","",_CALC_ALLOC!AJ37)</f>
        <v/>
      </c>
      <c r="X37" t="str">
        <f>IF(Allocation!D37="","",_CALC_ALLOC!AK37)</f>
        <v/>
      </c>
      <c r="Y37" t="str">
        <f>IF(Allocation!D37="","",_CALC_ALLOC!AL37)</f>
        <v/>
      </c>
      <c r="Z37" t="str">
        <f>IF(Allocation!D37="","",_CALC_ALLOC!AM37)</f>
        <v/>
      </c>
      <c r="AA37" t="str">
        <f>IF(Allocation!D37="","",_CALC_ALLOC!AN37)</f>
        <v/>
      </c>
      <c r="AB37" t="str">
        <f>IF(Allocation!D37="","",AA37-T37)</f>
        <v/>
      </c>
      <c r="AC37" t="str">
        <f>IF(Allocation!D37="","",_CALC_ALLOC!AR37)</f>
        <v/>
      </c>
    </row>
    <row r="38" spans="22:29" x14ac:dyDescent="0.45">
      <c r="V38" t="str">
        <f>IF(Allocation!D38="","",_CALC_ALLOC!AI38)</f>
        <v/>
      </c>
      <c r="W38" t="str">
        <f>IF(Allocation!D38="","",_CALC_ALLOC!AJ38)</f>
        <v/>
      </c>
      <c r="X38" t="str">
        <f>IF(Allocation!D38="","",_CALC_ALLOC!AK38)</f>
        <v/>
      </c>
      <c r="Y38" t="str">
        <f>IF(Allocation!D38="","",_CALC_ALLOC!AL38)</f>
        <v/>
      </c>
      <c r="Z38" t="str">
        <f>IF(Allocation!D38="","",_CALC_ALLOC!AM38)</f>
        <v/>
      </c>
      <c r="AA38" t="str">
        <f>IF(Allocation!D38="","",_CALC_ALLOC!AN38)</f>
        <v/>
      </c>
      <c r="AB38" t="str">
        <f>IF(Allocation!D38="","",AA38-T38)</f>
        <v/>
      </c>
      <c r="AC38" t="str">
        <f>IF(Allocation!D38="","",_CALC_ALLOC!AR38)</f>
        <v/>
      </c>
    </row>
    <row r="39" spans="22:29" x14ac:dyDescent="0.45">
      <c r="V39" t="str">
        <f>IF(Allocation!D39="","",_CALC_ALLOC!AI39)</f>
        <v/>
      </c>
      <c r="W39" t="str">
        <f>IF(Allocation!D39="","",_CALC_ALLOC!AJ39)</f>
        <v/>
      </c>
      <c r="X39" t="str">
        <f>IF(Allocation!D39="","",_CALC_ALLOC!AK39)</f>
        <v/>
      </c>
      <c r="Y39" t="str">
        <f>IF(Allocation!D39="","",_CALC_ALLOC!AL39)</f>
        <v/>
      </c>
      <c r="Z39" t="str">
        <f>IF(Allocation!D39="","",_CALC_ALLOC!AM39)</f>
        <v/>
      </c>
      <c r="AA39" t="str">
        <f>IF(Allocation!D39="","",_CALC_ALLOC!AN39)</f>
        <v/>
      </c>
      <c r="AB39" t="str">
        <f>IF(Allocation!D39="","",AA39-T39)</f>
        <v/>
      </c>
      <c r="AC39" t="str">
        <f>IF(Allocation!D39="","",_CALC_ALLOC!AR39)</f>
        <v/>
      </c>
    </row>
    <row r="40" spans="22:29" x14ac:dyDescent="0.45">
      <c r="V40" t="str">
        <f>IF(Allocation!D40="","",_CALC_ALLOC!AI40)</f>
        <v/>
      </c>
      <c r="W40" t="str">
        <f>IF(Allocation!D40="","",_CALC_ALLOC!AJ40)</f>
        <v/>
      </c>
      <c r="X40" t="str">
        <f>IF(Allocation!D40="","",_CALC_ALLOC!AK40)</f>
        <v/>
      </c>
      <c r="Y40" t="str">
        <f>IF(Allocation!D40="","",_CALC_ALLOC!AL40)</f>
        <v/>
      </c>
      <c r="Z40" t="str">
        <f>IF(Allocation!D40="","",_CALC_ALLOC!AM40)</f>
        <v/>
      </c>
      <c r="AA40" t="str">
        <f>IF(Allocation!D40="","",_CALC_ALLOC!AN40)</f>
        <v/>
      </c>
      <c r="AB40" t="str">
        <f>IF(Allocation!D40="","",AA40-T40)</f>
        <v/>
      </c>
      <c r="AC40" t="str">
        <f>IF(Allocation!D40="","",_CALC_ALLOC!AR40)</f>
        <v/>
      </c>
    </row>
    <row r="41" spans="22:29" x14ac:dyDescent="0.45">
      <c r="V41" t="str">
        <f>IF(Allocation!D41="","",_CALC_ALLOC!AI41)</f>
        <v/>
      </c>
      <c r="W41" t="str">
        <f>IF(Allocation!D41="","",_CALC_ALLOC!AJ41)</f>
        <v/>
      </c>
      <c r="X41" t="str">
        <f>IF(Allocation!D41="","",_CALC_ALLOC!AK41)</f>
        <v/>
      </c>
      <c r="Y41" t="str">
        <f>IF(Allocation!D41="","",_CALC_ALLOC!AL41)</f>
        <v/>
      </c>
      <c r="Z41" t="str">
        <f>IF(Allocation!D41="","",_CALC_ALLOC!AM41)</f>
        <v/>
      </c>
      <c r="AA41" t="str">
        <f>IF(Allocation!D41="","",_CALC_ALLOC!AN41)</f>
        <v/>
      </c>
      <c r="AB41" t="str">
        <f>IF(Allocation!D41="","",AA41-T41)</f>
        <v/>
      </c>
      <c r="AC41" t="str">
        <f>IF(Allocation!D41="","",_CALC_ALLOC!AR41)</f>
        <v/>
      </c>
    </row>
    <row r="42" spans="22:29" x14ac:dyDescent="0.45">
      <c r="V42" t="str">
        <f>IF(Allocation!D42="","",_CALC_ALLOC!AI42)</f>
        <v/>
      </c>
      <c r="W42" t="str">
        <f>IF(Allocation!D42="","",_CALC_ALLOC!AJ42)</f>
        <v/>
      </c>
      <c r="X42" t="str">
        <f>IF(Allocation!D42="","",_CALC_ALLOC!AK42)</f>
        <v/>
      </c>
      <c r="Y42" t="str">
        <f>IF(Allocation!D42="","",_CALC_ALLOC!AL42)</f>
        <v/>
      </c>
      <c r="Z42" t="str">
        <f>IF(Allocation!D42="","",_CALC_ALLOC!AM42)</f>
        <v/>
      </c>
      <c r="AA42" t="str">
        <f>IF(Allocation!D42="","",_CALC_ALLOC!AN42)</f>
        <v/>
      </c>
      <c r="AB42" t="str">
        <f>IF(Allocation!D42="","",AA42-T42)</f>
        <v/>
      </c>
      <c r="AC42" t="str">
        <f>IF(Allocation!D42="","",_CALC_ALLOC!AR42)</f>
        <v/>
      </c>
    </row>
    <row r="43" spans="22:29" x14ac:dyDescent="0.45">
      <c r="V43" t="str">
        <f>IF(Allocation!D43="","",_CALC_ALLOC!AI43)</f>
        <v/>
      </c>
      <c r="W43" t="str">
        <f>IF(Allocation!D43="","",_CALC_ALLOC!AJ43)</f>
        <v/>
      </c>
      <c r="X43" t="str">
        <f>IF(Allocation!D43="","",_CALC_ALLOC!AK43)</f>
        <v/>
      </c>
      <c r="Y43" t="str">
        <f>IF(Allocation!D43="","",_CALC_ALLOC!AL43)</f>
        <v/>
      </c>
      <c r="Z43" t="str">
        <f>IF(Allocation!D43="","",_CALC_ALLOC!AM43)</f>
        <v/>
      </c>
      <c r="AA43" t="str">
        <f>IF(Allocation!D43="","",_CALC_ALLOC!AN43)</f>
        <v/>
      </c>
      <c r="AB43" t="str">
        <f>IF(Allocation!D43="","",AA43-T43)</f>
        <v/>
      </c>
      <c r="AC43" t="str">
        <f>IF(Allocation!D43="","",_CALC_ALLOC!AR43)</f>
        <v/>
      </c>
    </row>
    <row r="44" spans="22:29" x14ac:dyDescent="0.45">
      <c r="V44" t="str">
        <f>IF(Allocation!D44="","",_CALC_ALLOC!AI44)</f>
        <v/>
      </c>
      <c r="W44" t="str">
        <f>IF(Allocation!D44="","",_CALC_ALLOC!AJ44)</f>
        <v/>
      </c>
      <c r="X44" t="str">
        <f>IF(Allocation!D44="","",_CALC_ALLOC!AK44)</f>
        <v/>
      </c>
      <c r="Y44" t="str">
        <f>IF(Allocation!D44="","",_CALC_ALLOC!AL44)</f>
        <v/>
      </c>
      <c r="Z44" t="str">
        <f>IF(Allocation!D44="","",_CALC_ALLOC!AM44)</f>
        <v/>
      </c>
      <c r="AA44" t="str">
        <f>IF(Allocation!D44="","",_CALC_ALLOC!AN44)</f>
        <v/>
      </c>
      <c r="AB44" t="str">
        <f>IF(Allocation!D44="","",AA44-T44)</f>
        <v/>
      </c>
      <c r="AC44" t="str">
        <f>IF(Allocation!D44="","",_CALC_ALLOC!AR44)</f>
        <v/>
      </c>
    </row>
    <row r="45" spans="22:29" x14ac:dyDescent="0.45">
      <c r="V45" t="str">
        <f>IF(Allocation!D45="","",_CALC_ALLOC!AI45)</f>
        <v/>
      </c>
      <c r="W45" t="str">
        <f>IF(Allocation!D45="","",_CALC_ALLOC!AJ45)</f>
        <v/>
      </c>
      <c r="X45" t="str">
        <f>IF(Allocation!D45="","",_CALC_ALLOC!AK45)</f>
        <v/>
      </c>
      <c r="Y45" t="str">
        <f>IF(Allocation!D45="","",_CALC_ALLOC!AL45)</f>
        <v/>
      </c>
      <c r="Z45" t="str">
        <f>IF(Allocation!D45="","",_CALC_ALLOC!AM45)</f>
        <v/>
      </c>
      <c r="AA45" t="str">
        <f>IF(Allocation!D45="","",_CALC_ALLOC!AN45)</f>
        <v/>
      </c>
      <c r="AB45" t="str">
        <f>IF(Allocation!D45="","",AA45-T45)</f>
        <v/>
      </c>
      <c r="AC45" t="str">
        <f>IF(Allocation!D45="","",_CALC_ALLOC!AR45)</f>
        <v/>
      </c>
    </row>
    <row r="46" spans="22:29" x14ac:dyDescent="0.45">
      <c r="V46" t="str">
        <f>IF(Allocation!D46="","",_CALC_ALLOC!AI46)</f>
        <v/>
      </c>
      <c r="W46" t="str">
        <f>IF(Allocation!D46="","",_CALC_ALLOC!AJ46)</f>
        <v/>
      </c>
      <c r="X46" t="str">
        <f>IF(Allocation!D46="","",_CALC_ALLOC!AK46)</f>
        <v/>
      </c>
      <c r="Y46" t="str">
        <f>IF(Allocation!D46="","",_CALC_ALLOC!AL46)</f>
        <v/>
      </c>
      <c r="Z46" t="str">
        <f>IF(Allocation!D46="","",_CALC_ALLOC!AM46)</f>
        <v/>
      </c>
      <c r="AA46" t="str">
        <f>IF(Allocation!D46="","",_CALC_ALLOC!AN46)</f>
        <v/>
      </c>
      <c r="AB46" t="str">
        <f>IF(Allocation!D46="","",AA46-T46)</f>
        <v/>
      </c>
      <c r="AC46" t="str">
        <f>IF(Allocation!D46="","",_CALC_ALLOC!AR46)</f>
        <v/>
      </c>
    </row>
    <row r="47" spans="22:29" x14ac:dyDescent="0.45">
      <c r="V47" t="str">
        <f>IF(Allocation!D47="","",_CALC_ALLOC!AI47)</f>
        <v/>
      </c>
      <c r="W47" t="str">
        <f>IF(Allocation!D47="","",_CALC_ALLOC!AJ47)</f>
        <v/>
      </c>
      <c r="X47" t="str">
        <f>IF(Allocation!D47="","",_CALC_ALLOC!AK47)</f>
        <v/>
      </c>
      <c r="Y47" t="str">
        <f>IF(Allocation!D47="","",_CALC_ALLOC!AL47)</f>
        <v/>
      </c>
      <c r="Z47" t="str">
        <f>IF(Allocation!D47="","",_CALC_ALLOC!AM47)</f>
        <v/>
      </c>
      <c r="AA47" t="str">
        <f>IF(Allocation!D47="","",_CALC_ALLOC!AN47)</f>
        <v/>
      </c>
      <c r="AB47" t="str">
        <f>IF(Allocation!D47="","",AA47-T47)</f>
        <v/>
      </c>
      <c r="AC47" t="str">
        <f>IF(Allocation!D47="","",_CALC_ALLOC!AR47)</f>
        <v/>
      </c>
    </row>
    <row r="48" spans="22:29" x14ac:dyDescent="0.45">
      <c r="V48" t="str">
        <f>IF(Allocation!D48="","",_CALC_ALLOC!AI48)</f>
        <v/>
      </c>
      <c r="W48" t="str">
        <f>IF(Allocation!D48="","",_CALC_ALLOC!AJ48)</f>
        <v/>
      </c>
      <c r="X48" t="str">
        <f>IF(Allocation!D48="","",_CALC_ALLOC!AK48)</f>
        <v/>
      </c>
      <c r="Y48" t="str">
        <f>IF(Allocation!D48="","",_CALC_ALLOC!AL48)</f>
        <v/>
      </c>
      <c r="Z48" t="str">
        <f>IF(Allocation!D48="","",_CALC_ALLOC!AM48)</f>
        <v/>
      </c>
      <c r="AA48" t="str">
        <f>IF(Allocation!D48="","",_CALC_ALLOC!AN48)</f>
        <v/>
      </c>
      <c r="AB48" t="str">
        <f>IF(Allocation!D48="","",AA48-T48)</f>
        <v/>
      </c>
      <c r="AC48" t="str">
        <f>IF(Allocation!D48="","",_CALC_ALLOC!AR48)</f>
        <v/>
      </c>
    </row>
    <row r="49" spans="22:29" x14ac:dyDescent="0.45">
      <c r="V49" t="str">
        <f>IF(Allocation!D49="","",_CALC_ALLOC!AI49)</f>
        <v/>
      </c>
      <c r="W49" t="str">
        <f>IF(Allocation!D49="","",_CALC_ALLOC!AJ49)</f>
        <v/>
      </c>
      <c r="X49" t="str">
        <f>IF(Allocation!D49="","",_CALC_ALLOC!AK49)</f>
        <v/>
      </c>
      <c r="Y49" t="str">
        <f>IF(Allocation!D49="","",_CALC_ALLOC!AL49)</f>
        <v/>
      </c>
      <c r="Z49" t="str">
        <f>IF(Allocation!D49="","",_CALC_ALLOC!AM49)</f>
        <v/>
      </c>
      <c r="AA49" t="str">
        <f>IF(Allocation!D49="","",_CALC_ALLOC!AN49)</f>
        <v/>
      </c>
      <c r="AB49" t="str">
        <f>IF(Allocation!D49="","",AA49-T49)</f>
        <v/>
      </c>
      <c r="AC49" t="str">
        <f>IF(Allocation!D49="","",_CALC_ALLOC!AR49)</f>
        <v/>
      </c>
    </row>
    <row r="50" spans="22:29" x14ac:dyDescent="0.45">
      <c r="V50" t="str">
        <f>IF(Allocation!D50="","",_CALC_ALLOC!AI50)</f>
        <v/>
      </c>
      <c r="W50" t="str">
        <f>IF(Allocation!D50="","",_CALC_ALLOC!AJ50)</f>
        <v/>
      </c>
      <c r="X50" t="str">
        <f>IF(Allocation!D50="","",_CALC_ALLOC!AK50)</f>
        <v/>
      </c>
      <c r="Y50" t="str">
        <f>IF(Allocation!D50="","",_CALC_ALLOC!AL50)</f>
        <v/>
      </c>
      <c r="Z50" t="str">
        <f>IF(Allocation!D50="","",_CALC_ALLOC!AM50)</f>
        <v/>
      </c>
      <c r="AA50" t="str">
        <f>IF(Allocation!D50="","",_CALC_ALLOC!AN50)</f>
        <v/>
      </c>
      <c r="AB50" t="str">
        <f>IF(Allocation!D50="","",AA50-T50)</f>
        <v/>
      </c>
      <c r="AC50" t="str">
        <f>IF(Allocation!D50="","",_CALC_ALLOC!AR50)</f>
        <v/>
      </c>
    </row>
    <row r="51" spans="22:29" x14ac:dyDescent="0.45">
      <c r="V51" t="str">
        <f>IF(Allocation!D51="","",_CALC_ALLOC!AI51)</f>
        <v/>
      </c>
      <c r="W51" t="str">
        <f>IF(Allocation!D51="","",_CALC_ALLOC!AJ51)</f>
        <v/>
      </c>
      <c r="X51" t="str">
        <f>IF(Allocation!D51="","",_CALC_ALLOC!AK51)</f>
        <v/>
      </c>
      <c r="Y51" t="str">
        <f>IF(Allocation!D51="","",_CALC_ALLOC!AL51)</f>
        <v/>
      </c>
      <c r="Z51" t="str">
        <f>IF(Allocation!D51="","",_CALC_ALLOC!AM51)</f>
        <v/>
      </c>
      <c r="AA51" t="str">
        <f>IF(Allocation!D51="","",_CALC_ALLOC!AN51)</f>
        <v/>
      </c>
      <c r="AB51" t="str">
        <f>IF(Allocation!D51="","",AA51-T51)</f>
        <v/>
      </c>
      <c r="AC51" t="str">
        <f>IF(Allocation!D51="","",_CALC_ALLOC!AR51)</f>
        <v/>
      </c>
    </row>
    <row r="52" spans="22:29" x14ac:dyDescent="0.45">
      <c r="V52" t="str">
        <f>IF(Allocation!D52="","",_CALC_ALLOC!AI52)</f>
        <v/>
      </c>
      <c r="W52" t="str">
        <f>IF(Allocation!D52="","",_CALC_ALLOC!AJ52)</f>
        <v/>
      </c>
      <c r="X52" t="str">
        <f>IF(Allocation!D52="","",_CALC_ALLOC!AK52)</f>
        <v/>
      </c>
      <c r="Y52" t="str">
        <f>IF(Allocation!D52="","",_CALC_ALLOC!AL52)</f>
        <v/>
      </c>
      <c r="Z52" t="str">
        <f>IF(Allocation!D52="","",_CALC_ALLOC!AM52)</f>
        <v/>
      </c>
      <c r="AA52" t="str">
        <f>IF(Allocation!D52="","",_CALC_ALLOC!AN52)</f>
        <v/>
      </c>
      <c r="AB52" t="str">
        <f>IF(Allocation!D52="","",AA52-T52)</f>
        <v/>
      </c>
      <c r="AC52" t="str">
        <f>IF(Allocation!D52="","",_CALC_ALLOC!AR52)</f>
        <v/>
      </c>
    </row>
    <row r="53" spans="22:29" x14ac:dyDescent="0.45">
      <c r="V53" t="str">
        <f>IF(Allocation!D53="","",_CALC_ALLOC!AI53)</f>
        <v/>
      </c>
      <c r="W53" t="str">
        <f>IF(Allocation!D53="","",_CALC_ALLOC!AJ53)</f>
        <v/>
      </c>
      <c r="X53" t="str">
        <f>IF(Allocation!D53="","",_CALC_ALLOC!AK53)</f>
        <v/>
      </c>
      <c r="Y53" t="str">
        <f>IF(Allocation!D53="","",_CALC_ALLOC!AL53)</f>
        <v/>
      </c>
      <c r="Z53" t="str">
        <f>IF(Allocation!D53="","",_CALC_ALLOC!AM53)</f>
        <v/>
      </c>
      <c r="AA53" t="str">
        <f>IF(Allocation!D53="","",_CALC_ALLOC!AN53)</f>
        <v/>
      </c>
      <c r="AB53" t="str">
        <f>IF(Allocation!D53="","",AA53-T53)</f>
        <v/>
      </c>
      <c r="AC53" t="str">
        <f>IF(Allocation!D53="","",_CALC_ALLOC!AR53)</f>
        <v/>
      </c>
    </row>
    <row r="54" spans="22:29" x14ac:dyDescent="0.45">
      <c r="V54" t="str">
        <f>IF(Allocation!D54="","",_CALC_ALLOC!AI54)</f>
        <v/>
      </c>
      <c r="W54" t="str">
        <f>IF(Allocation!D54="","",_CALC_ALLOC!AJ54)</f>
        <v/>
      </c>
      <c r="X54" t="str">
        <f>IF(Allocation!D54="","",_CALC_ALLOC!AK54)</f>
        <v/>
      </c>
      <c r="Y54" t="str">
        <f>IF(Allocation!D54="","",_CALC_ALLOC!AL54)</f>
        <v/>
      </c>
      <c r="Z54" t="str">
        <f>IF(Allocation!D54="","",_CALC_ALLOC!AM54)</f>
        <v/>
      </c>
      <c r="AA54" t="str">
        <f>IF(Allocation!D54="","",_CALC_ALLOC!AN54)</f>
        <v/>
      </c>
      <c r="AB54" t="str">
        <f>IF(Allocation!D54="","",AA54-T54)</f>
        <v/>
      </c>
      <c r="AC54" t="str">
        <f>IF(Allocation!D54="","",_CALC_ALLOC!AR54)</f>
        <v/>
      </c>
    </row>
    <row r="55" spans="22:29" x14ac:dyDescent="0.45">
      <c r="V55" t="str">
        <f>IF(Allocation!D55="","",_CALC_ALLOC!AI55)</f>
        <v/>
      </c>
      <c r="W55" t="str">
        <f>IF(Allocation!D55="","",_CALC_ALLOC!AJ55)</f>
        <v/>
      </c>
      <c r="X55" t="str">
        <f>IF(Allocation!D55="","",_CALC_ALLOC!AK55)</f>
        <v/>
      </c>
      <c r="Y55" t="str">
        <f>IF(Allocation!D55="","",_CALC_ALLOC!AL55)</f>
        <v/>
      </c>
      <c r="Z55" t="str">
        <f>IF(Allocation!D55="","",_CALC_ALLOC!AM55)</f>
        <v/>
      </c>
      <c r="AA55" t="str">
        <f>IF(Allocation!D55="","",_CALC_ALLOC!AN55)</f>
        <v/>
      </c>
      <c r="AB55" t="str">
        <f>IF(Allocation!D55="","",AA55-T55)</f>
        <v/>
      </c>
      <c r="AC55" t="str">
        <f>IF(Allocation!D55="","",_CALC_ALLOC!AR55)</f>
        <v/>
      </c>
    </row>
    <row r="56" spans="22:29" x14ac:dyDescent="0.45">
      <c r="V56" t="str">
        <f>IF(Allocation!D56="","",_CALC_ALLOC!AI56)</f>
        <v/>
      </c>
      <c r="W56" t="str">
        <f>IF(Allocation!D56="","",_CALC_ALLOC!AJ56)</f>
        <v/>
      </c>
      <c r="X56" t="str">
        <f>IF(Allocation!D56="","",_CALC_ALLOC!AK56)</f>
        <v/>
      </c>
      <c r="Y56" t="str">
        <f>IF(Allocation!D56="","",_CALC_ALLOC!AL56)</f>
        <v/>
      </c>
      <c r="Z56" t="str">
        <f>IF(Allocation!D56="","",_CALC_ALLOC!AM56)</f>
        <v/>
      </c>
      <c r="AA56" t="str">
        <f>IF(Allocation!D56="","",_CALC_ALLOC!AN56)</f>
        <v/>
      </c>
      <c r="AB56" t="str">
        <f>IF(Allocation!D56="","",AA56-T56)</f>
        <v/>
      </c>
      <c r="AC56" t="str">
        <f>IF(Allocation!D56="","",_CALC_ALLOC!AR56)</f>
        <v/>
      </c>
    </row>
    <row r="57" spans="22:29" x14ac:dyDescent="0.45">
      <c r="V57" t="str">
        <f>IF(Allocation!D57="","",_CALC_ALLOC!AI57)</f>
        <v/>
      </c>
      <c r="W57" t="str">
        <f>IF(Allocation!D57="","",_CALC_ALLOC!AJ57)</f>
        <v/>
      </c>
      <c r="X57" t="str">
        <f>IF(Allocation!D57="","",_CALC_ALLOC!AK57)</f>
        <v/>
      </c>
      <c r="Y57" t="str">
        <f>IF(Allocation!D57="","",_CALC_ALLOC!AL57)</f>
        <v/>
      </c>
      <c r="Z57" t="str">
        <f>IF(Allocation!D57="","",_CALC_ALLOC!AM57)</f>
        <v/>
      </c>
      <c r="AA57" t="str">
        <f>IF(Allocation!D57="","",_CALC_ALLOC!AN57)</f>
        <v/>
      </c>
      <c r="AB57" t="str">
        <f>IF(Allocation!D57="","",AA57-T57)</f>
        <v/>
      </c>
      <c r="AC57" t="str">
        <f>IF(Allocation!D57="","",_CALC_ALLOC!AR57)</f>
        <v/>
      </c>
    </row>
    <row r="58" spans="22:29" x14ac:dyDescent="0.45">
      <c r="V58" t="str">
        <f>IF(Allocation!D58="","",_CALC_ALLOC!AI58)</f>
        <v/>
      </c>
      <c r="W58" t="str">
        <f>IF(Allocation!D58="","",_CALC_ALLOC!AJ58)</f>
        <v/>
      </c>
      <c r="X58" t="str">
        <f>IF(Allocation!D58="","",_CALC_ALLOC!AK58)</f>
        <v/>
      </c>
      <c r="Y58" t="str">
        <f>IF(Allocation!D58="","",_CALC_ALLOC!AL58)</f>
        <v/>
      </c>
      <c r="Z58" t="str">
        <f>IF(Allocation!D58="","",_CALC_ALLOC!AM58)</f>
        <v/>
      </c>
      <c r="AA58" t="str">
        <f>IF(Allocation!D58="","",_CALC_ALLOC!AN58)</f>
        <v/>
      </c>
      <c r="AB58" t="str">
        <f>IF(Allocation!D58="","",AA58-T58)</f>
        <v/>
      </c>
      <c r="AC58" t="str">
        <f>IF(Allocation!D58="","",_CALC_ALLOC!AR58)</f>
        <v/>
      </c>
    </row>
    <row r="59" spans="22:29" x14ac:dyDescent="0.45">
      <c r="V59" t="str">
        <f>IF(Allocation!D59="","",_CALC_ALLOC!AI59)</f>
        <v/>
      </c>
      <c r="W59" t="str">
        <f>IF(Allocation!D59="","",_CALC_ALLOC!AJ59)</f>
        <v/>
      </c>
      <c r="X59" t="str">
        <f>IF(Allocation!D59="","",_CALC_ALLOC!AK59)</f>
        <v/>
      </c>
      <c r="Y59" t="str">
        <f>IF(Allocation!D59="","",_CALC_ALLOC!AL59)</f>
        <v/>
      </c>
      <c r="Z59" t="str">
        <f>IF(Allocation!D59="","",_CALC_ALLOC!AM59)</f>
        <v/>
      </c>
      <c r="AA59" t="str">
        <f>IF(Allocation!D59="","",_CALC_ALLOC!AN59)</f>
        <v/>
      </c>
      <c r="AB59" t="str">
        <f>IF(Allocation!D59="","",AA59-T59)</f>
        <v/>
      </c>
      <c r="AC59" t="str">
        <f>IF(Allocation!D59="","",_CALC_ALLOC!AR59)</f>
        <v/>
      </c>
    </row>
    <row r="60" spans="22:29" x14ac:dyDescent="0.45">
      <c r="V60" t="str">
        <f>IF(Allocation!D60="","",_CALC_ALLOC!AI60)</f>
        <v/>
      </c>
      <c r="W60" t="str">
        <f>IF(Allocation!D60="","",_CALC_ALLOC!AJ60)</f>
        <v/>
      </c>
      <c r="X60" t="str">
        <f>IF(Allocation!D60="","",_CALC_ALLOC!AK60)</f>
        <v/>
      </c>
      <c r="Y60" t="str">
        <f>IF(Allocation!D60="","",_CALC_ALLOC!AL60)</f>
        <v/>
      </c>
      <c r="Z60" t="str">
        <f>IF(Allocation!D60="","",_CALC_ALLOC!AM60)</f>
        <v/>
      </c>
      <c r="AA60" t="str">
        <f>IF(Allocation!D60="","",_CALC_ALLOC!AN60)</f>
        <v/>
      </c>
      <c r="AB60" t="str">
        <f>IF(Allocation!D60="","",AA60-T60)</f>
        <v/>
      </c>
      <c r="AC60" t="str">
        <f>IF(Allocation!D60="","",_CALC_ALLOC!AR60)</f>
        <v/>
      </c>
    </row>
    <row r="61" spans="22:29" x14ac:dyDescent="0.45">
      <c r="V61" t="str">
        <f>IF(Allocation!D61="","",_CALC_ALLOC!AI61)</f>
        <v/>
      </c>
      <c r="W61" t="str">
        <f>IF(Allocation!D61="","",_CALC_ALLOC!AJ61)</f>
        <v/>
      </c>
      <c r="X61" t="str">
        <f>IF(Allocation!D61="","",_CALC_ALLOC!AK61)</f>
        <v/>
      </c>
      <c r="Y61" t="str">
        <f>IF(Allocation!D61="","",_CALC_ALLOC!AL61)</f>
        <v/>
      </c>
      <c r="Z61" t="str">
        <f>IF(Allocation!D61="","",_CALC_ALLOC!AM61)</f>
        <v/>
      </c>
      <c r="AA61" t="str">
        <f>IF(Allocation!D61="","",_CALC_ALLOC!AN61)</f>
        <v/>
      </c>
      <c r="AB61" t="str">
        <f>IF(Allocation!D61="","",AA61-T61)</f>
        <v/>
      </c>
      <c r="AC61" t="str">
        <f>IF(Allocation!D61="","",_CALC_ALLOC!AR61)</f>
        <v/>
      </c>
    </row>
    <row r="62" spans="22:29" x14ac:dyDescent="0.45">
      <c r="V62" t="str">
        <f>IF(Allocation!D62="","",_CALC_ALLOC!AI62)</f>
        <v/>
      </c>
      <c r="W62" t="str">
        <f>IF(Allocation!D62="","",_CALC_ALLOC!AJ62)</f>
        <v/>
      </c>
      <c r="X62" t="str">
        <f>IF(Allocation!D62="","",_CALC_ALLOC!AK62)</f>
        <v/>
      </c>
      <c r="Y62" t="str">
        <f>IF(Allocation!D62="","",_CALC_ALLOC!AL62)</f>
        <v/>
      </c>
      <c r="Z62" t="str">
        <f>IF(Allocation!D62="","",_CALC_ALLOC!AM62)</f>
        <v/>
      </c>
      <c r="AA62" t="str">
        <f>IF(Allocation!D62="","",_CALC_ALLOC!AN62)</f>
        <v/>
      </c>
      <c r="AB62" t="str">
        <f>IF(Allocation!D62="","",AA62-T62)</f>
        <v/>
      </c>
      <c r="AC62" t="str">
        <f>IF(Allocation!D62="","",_CALC_ALLOC!AR62)</f>
        <v/>
      </c>
    </row>
    <row r="63" spans="22:29" x14ac:dyDescent="0.45">
      <c r="V63" t="str">
        <f>IF(Allocation!D63="","",_CALC_ALLOC!AI63)</f>
        <v/>
      </c>
      <c r="W63" t="str">
        <f>IF(Allocation!D63="","",_CALC_ALLOC!AJ63)</f>
        <v/>
      </c>
      <c r="X63" t="str">
        <f>IF(Allocation!D63="","",_CALC_ALLOC!AK63)</f>
        <v/>
      </c>
      <c r="Y63" t="str">
        <f>IF(Allocation!D63="","",_CALC_ALLOC!AL63)</f>
        <v/>
      </c>
      <c r="Z63" t="str">
        <f>IF(Allocation!D63="","",_CALC_ALLOC!AM63)</f>
        <v/>
      </c>
      <c r="AA63" t="str">
        <f>IF(Allocation!D63="","",_CALC_ALLOC!AN63)</f>
        <v/>
      </c>
      <c r="AB63" t="str">
        <f>IF(Allocation!D63="","",AA63-T63)</f>
        <v/>
      </c>
      <c r="AC63" t="str">
        <f>IF(Allocation!D63="","",_CALC_ALLOC!AR63)</f>
        <v/>
      </c>
    </row>
    <row r="64" spans="22:29" x14ac:dyDescent="0.45">
      <c r="V64" t="str">
        <f>IF(Allocation!D64="","",_CALC_ALLOC!AI64)</f>
        <v/>
      </c>
      <c r="W64" t="str">
        <f>IF(Allocation!D64="","",_CALC_ALLOC!AJ64)</f>
        <v/>
      </c>
      <c r="X64" t="str">
        <f>IF(Allocation!D64="","",_CALC_ALLOC!AK64)</f>
        <v/>
      </c>
      <c r="Y64" t="str">
        <f>IF(Allocation!D64="","",_CALC_ALLOC!AL64)</f>
        <v/>
      </c>
      <c r="Z64" t="str">
        <f>IF(Allocation!D64="","",_CALC_ALLOC!AM64)</f>
        <v/>
      </c>
      <c r="AA64" t="str">
        <f>IF(Allocation!D64="","",_CALC_ALLOC!AN64)</f>
        <v/>
      </c>
      <c r="AB64" t="str">
        <f>IF(Allocation!D64="","",AA64-T64)</f>
        <v/>
      </c>
      <c r="AC64" t="str">
        <f>IF(Allocation!D64="","",_CALC_ALLOC!AR64)</f>
        <v/>
      </c>
    </row>
    <row r="65" spans="22:29" x14ac:dyDescent="0.45">
      <c r="V65" t="str">
        <f>IF(Allocation!D65="","",_CALC_ALLOC!AI65)</f>
        <v/>
      </c>
      <c r="W65" t="str">
        <f>IF(Allocation!D65="","",_CALC_ALLOC!AJ65)</f>
        <v/>
      </c>
      <c r="X65" t="str">
        <f>IF(Allocation!D65="","",_CALC_ALLOC!AK65)</f>
        <v/>
      </c>
      <c r="Y65" t="str">
        <f>IF(Allocation!D65="","",_CALC_ALLOC!AL65)</f>
        <v/>
      </c>
      <c r="Z65" t="str">
        <f>IF(Allocation!D65="","",_CALC_ALLOC!AM65)</f>
        <v/>
      </c>
      <c r="AA65" t="str">
        <f>IF(Allocation!D65="","",_CALC_ALLOC!AN65)</f>
        <v/>
      </c>
      <c r="AB65" t="str">
        <f>IF(Allocation!D65="","",AA65-T65)</f>
        <v/>
      </c>
      <c r="AC65" t="str">
        <f>IF(Allocation!D65="","",_CALC_ALLOC!AR65)</f>
        <v/>
      </c>
    </row>
    <row r="66" spans="22:29" x14ac:dyDescent="0.45">
      <c r="V66" t="str">
        <f>IF(Allocation!D66="","",_CALC_ALLOC!AI66)</f>
        <v/>
      </c>
      <c r="W66" t="str">
        <f>IF(Allocation!D66="","",_CALC_ALLOC!AJ66)</f>
        <v/>
      </c>
      <c r="X66" t="str">
        <f>IF(Allocation!D66="","",_CALC_ALLOC!AK66)</f>
        <v/>
      </c>
      <c r="Y66" t="str">
        <f>IF(Allocation!D66="","",_CALC_ALLOC!AL66)</f>
        <v/>
      </c>
      <c r="Z66" t="str">
        <f>IF(Allocation!D66="","",_CALC_ALLOC!AM66)</f>
        <v/>
      </c>
      <c r="AA66" t="str">
        <f>IF(Allocation!D66="","",_CALC_ALLOC!AN66)</f>
        <v/>
      </c>
      <c r="AB66" t="str">
        <f>IF(Allocation!D66="","",AA66-T66)</f>
        <v/>
      </c>
      <c r="AC66" t="str">
        <f>IF(Allocation!D66="","",_CALC_ALLOC!AR66)</f>
        <v/>
      </c>
    </row>
    <row r="67" spans="22:29" x14ac:dyDescent="0.45">
      <c r="V67" t="str">
        <f>IF(Allocation!D67="","",_CALC_ALLOC!AI67)</f>
        <v/>
      </c>
      <c r="W67" t="str">
        <f>IF(Allocation!D67="","",_CALC_ALLOC!AJ67)</f>
        <v/>
      </c>
      <c r="X67" t="str">
        <f>IF(Allocation!D67="","",_CALC_ALLOC!AK67)</f>
        <v/>
      </c>
      <c r="Y67" t="str">
        <f>IF(Allocation!D67="","",_CALC_ALLOC!AL67)</f>
        <v/>
      </c>
      <c r="Z67" t="str">
        <f>IF(Allocation!D67="","",_CALC_ALLOC!AM67)</f>
        <v/>
      </c>
      <c r="AA67" t="str">
        <f>IF(Allocation!D67="","",_CALC_ALLOC!AN67)</f>
        <v/>
      </c>
      <c r="AB67" t="str">
        <f>IF(Allocation!D67="","",AA67-T67)</f>
        <v/>
      </c>
      <c r="AC67" t="str">
        <f>IF(Allocation!D67="","",_CALC_ALLOC!AR67)</f>
        <v/>
      </c>
    </row>
    <row r="68" spans="22:29" x14ac:dyDescent="0.45">
      <c r="V68" t="str">
        <f>IF(Allocation!D68="","",_CALC_ALLOC!AI68)</f>
        <v/>
      </c>
      <c r="W68" t="str">
        <f>IF(Allocation!D68="","",_CALC_ALLOC!AJ68)</f>
        <v/>
      </c>
      <c r="X68" t="str">
        <f>IF(Allocation!D68="","",_CALC_ALLOC!AK68)</f>
        <v/>
      </c>
      <c r="Y68" t="str">
        <f>IF(Allocation!D68="","",_CALC_ALLOC!AL68)</f>
        <v/>
      </c>
      <c r="Z68" t="str">
        <f>IF(Allocation!D68="","",_CALC_ALLOC!AM68)</f>
        <v/>
      </c>
      <c r="AA68" t="str">
        <f>IF(Allocation!D68="","",_CALC_ALLOC!AN68)</f>
        <v/>
      </c>
      <c r="AB68" t="str">
        <f>IF(Allocation!D68="","",AA68-T68)</f>
        <v/>
      </c>
      <c r="AC68" t="str">
        <f>IF(Allocation!D68="","",_CALC_ALLOC!AR68)</f>
        <v/>
      </c>
    </row>
    <row r="69" spans="22:29" x14ac:dyDescent="0.45">
      <c r="V69" t="str">
        <f>IF(Allocation!D69="","",_CALC_ALLOC!AI69)</f>
        <v/>
      </c>
      <c r="W69" t="str">
        <f>IF(Allocation!D69="","",_CALC_ALLOC!AJ69)</f>
        <v/>
      </c>
      <c r="X69" t="str">
        <f>IF(Allocation!D69="","",_CALC_ALLOC!AK69)</f>
        <v/>
      </c>
      <c r="Y69" t="str">
        <f>IF(Allocation!D69="","",_CALC_ALLOC!AL69)</f>
        <v/>
      </c>
      <c r="Z69" t="str">
        <f>IF(Allocation!D69="","",_CALC_ALLOC!AM69)</f>
        <v/>
      </c>
      <c r="AA69" t="str">
        <f>IF(Allocation!D69="","",_CALC_ALLOC!AN69)</f>
        <v/>
      </c>
      <c r="AB69" t="str">
        <f>IF(Allocation!D69="","",AA69-T69)</f>
        <v/>
      </c>
      <c r="AC69" t="str">
        <f>IF(Allocation!D69="","",_CALC_ALLOC!AR69)</f>
        <v/>
      </c>
    </row>
    <row r="70" spans="22:29" x14ac:dyDescent="0.45">
      <c r="V70" t="str">
        <f>IF(Allocation!D70="","",_CALC_ALLOC!AI70)</f>
        <v/>
      </c>
      <c r="W70" t="str">
        <f>IF(Allocation!D70="","",_CALC_ALLOC!AJ70)</f>
        <v/>
      </c>
      <c r="X70" t="str">
        <f>IF(Allocation!D70="","",_CALC_ALLOC!AK70)</f>
        <v/>
      </c>
      <c r="Y70" t="str">
        <f>IF(Allocation!D70="","",_CALC_ALLOC!AL70)</f>
        <v/>
      </c>
      <c r="Z70" t="str">
        <f>IF(Allocation!D70="","",_CALC_ALLOC!AM70)</f>
        <v/>
      </c>
      <c r="AA70" t="str">
        <f>IF(Allocation!D70="","",_CALC_ALLOC!AN70)</f>
        <v/>
      </c>
      <c r="AB70" t="str">
        <f>IF(Allocation!D70="","",AA70-T70)</f>
        <v/>
      </c>
      <c r="AC70" t="str">
        <f>IF(Allocation!D70="","",_CALC_ALLOC!AR70)</f>
        <v/>
      </c>
    </row>
    <row r="71" spans="22:29" x14ac:dyDescent="0.45">
      <c r="V71" t="str">
        <f>IF(Allocation!D71="","",_CALC_ALLOC!AI71)</f>
        <v/>
      </c>
      <c r="W71" t="str">
        <f>IF(Allocation!D71="","",_CALC_ALLOC!AJ71)</f>
        <v/>
      </c>
      <c r="X71" t="str">
        <f>IF(Allocation!D71="","",_CALC_ALLOC!AK71)</f>
        <v/>
      </c>
      <c r="Y71" t="str">
        <f>IF(Allocation!D71="","",_CALC_ALLOC!AL71)</f>
        <v/>
      </c>
      <c r="Z71" t="str">
        <f>IF(Allocation!D71="","",_CALC_ALLOC!AM71)</f>
        <v/>
      </c>
      <c r="AA71" t="str">
        <f>IF(Allocation!D71="","",_CALC_ALLOC!AN71)</f>
        <v/>
      </c>
      <c r="AB71" t="str">
        <f>IF(Allocation!D71="","",AA71-T71)</f>
        <v/>
      </c>
      <c r="AC71" t="str">
        <f>IF(Allocation!D71="","",_CALC_ALLOC!AR71)</f>
        <v/>
      </c>
    </row>
    <row r="72" spans="22:29" x14ac:dyDescent="0.45">
      <c r="V72" t="str">
        <f>IF(Allocation!D72="","",_CALC_ALLOC!AI72)</f>
        <v/>
      </c>
      <c r="W72" t="str">
        <f>IF(Allocation!D72="","",_CALC_ALLOC!AJ72)</f>
        <v/>
      </c>
      <c r="X72" t="str">
        <f>IF(Allocation!D72="","",_CALC_ALLOC!AK72)</f>
        <v/>
      </c>
      <c r="Y72" t="str">
        <f>IF(Allocation!D72="","",_CALC_ALLOC!AL72)</f>
        <v/>
      </c>
      <c r="Z72" t="str">
        <f>IF(Allocation!D72="","",_CALC_ALLOC!AM72)</f>
        <v/>
      </c>
      <c r="AA72" t="str">
        <f>IF(Allocation!D72="","",_CALC_ALLOC!AN72)</f>
        <v/>
      </c>
      <c r="AB72" t="str">
        <f>IF(Allocation!D72="","",AA72-T72)</f>
        <v/>
      </c>
      <c r="AC72" t="str">
        <f>IF(Allocation!D72="","",_CALC_ALLOC!AR72)</f>
        <v/>
      </c>
    </row>
    <row r="73" spans="22:29" x14ac:dyDescent="0.45">
      <c r="V73" t="str">
        <f>IF(Allocation!D73="","",_CALC_ALLOC!AI73)</f>
        <v/>
      </c>
      <c r="W73" t="str">
        <f>IF(Allocation!D73="","",_CALC_ALLOC!AJ73)</f>
        <v/>
      </c>
      <c r="X73" t="str">
        <f>IF(Allocation!D73="","",_CALC_ALLOC!AK73)</f>
        <v/>
      </c>
      <c r="Y73" t="str">
        <f>IF(Allocation!D73="","",_CALC_ALLOC!AL73)</f>
        <v/>
      </c>
      <c r="Z73" t="str">
        <f>IF(Allocation!D73="","",_CALC_ALLOC!AM73)</f>
        <v/>
      </c>
      <c r="AA73" t="str">
        <f>IF(Allocation!D73="","",_CALC_ALLOC!AN73)</f>
        <v/>
      </c>
      <c r="AB73" t="str">
        <f>IF(Allocation!D73="","",AA73-T73)</f>
        <v/>
      </c>
      <c r="AC73" t="str">
        <f>IF(Allocation!D73="","",_CALC_ALLOC!AR73)</f>
        <v/>
      </c>
    </row>
    <row r="74" spans="22:29" x14ac:dyDescent="0.45">
      <c r="V74" t="str">
        <f>IF(Allocation!D74="","",_CALC_ALLOC!AI74)</f>
        <v/>
      </c>
      <c r="W74" t="str">
        <f>IF(Allocation!D74="","",_CALC_ALLOC!AJ74)</f>
        <v/>
      </c>
      <c r="X74" t="str">
        <f>IF(Allocation!D74="","",_CALC_ALLOC!AK74)</f>
        <v/>
      </c>
      <c r="Y74" t="str">
        <f>IF(Allocation!D74="","",_CALC_ALLOC!AL74)</f>
        <v/>
      </c>
      <c r="Z74" t="str">
        <f>IF(Allocation!D74="","",_CALC_ALLOC!AM74)</f>
        <v/>
      </c>
      <c r="AA74" t="str">
        <f>IF(Allocation!D74="","",_CALC_ALLOC!AN74)</f>
        <v/>
      </c>
      <c r="AB74" t="str">
        <f>IF(Allocation!D74="","",AA74-T74)</f>
        <v/>
      </c>
      <c r="AC74" t="str">
        <f>IF(Allocation!D74="","",_CALC_ALLOC!AR74)</f>
        <v/>
      </c>
    </row>
    <row r="75" spans="22:29" x14ac:dyDescent="0.45">
      <c r="V75" t="str">
        <f>IF(Allocation!D75="","",_CALC_ALLOC!AI75)</f>
        <v/>
      </c>
      <c r="W75" t="str">
        <f>IF(Allocation!D75="","",_CALC_ALLOC!AJ75)</f>
        <v/>
      </c>
      <c r="X75" t="str">
        <f>IF(Allocation!D75="","",_CALC_ALLOC!AK75)</f>
        <v/>
      </c>
      <c r="Y75" t="str">
        <f>IF(Allocation!D75="","",_CALC_ALLOC!AL75)</f>
        <v/>
      </c>
      <c r="Z75" t="str">
        <f>IF(Allocation!D75="","",_CALC_ALLOC!AM75)</f>
        <v/>
      </c>
      <c r="AA75" t="str">
        <f>IF(Allocation!D75="","",_CALC_ALLOC!AN75)</f>
        <v/>
      </c>
      <c r="AB75" t="str">
        <f>IF(Allocation!D75="","",AA75-T75)</f>
        <v/>
      </c>
      <c r="AC75" t="str">
        <f>IF(Allocation!D75="","",_CALC_ALLOC!AR75)</f>
        <v/>
      </c>
    </row>
    <row r="76" spans="22:29" x14ac:dyDescent="0.45">
      <c r="V76" t="str">
        <f>IF(Allocation!D76="","",_CALC_ALLOC!AI76)</f>
        <v/>
      </c>
      <c r="W76" t="str">
        <f>IF(Allocation!D76="","",_CALC_ALLOC!AJ76)</f>
        <v/>
      </c>
      <c r="X76" t="str">
        <f>IF(Allocation!D76="","",_CALC_ALLOC!AK76)</f>
        <v/>
      </c>
      <c r="Y76" t="str">
        <f>IF(Allocation!D76="","",_CALC_ALLOC!AL76)</f>
        <v/>
      </c>
      <c r="Z76" t="str">
        <f>IF(Allocation!D76="","",_CALC_ALLOC!AM76)</f>
        <v/>
      </c>
      <c r="AA76" t="str">
        <f>IF(Allocation!D76="","",_CALC_ALLOC!AN76)</f>
        <v/>
      </c>
      <c r="AB76" t="str">
        <f>IF(Allocation!D76="","",AA76-T76)</f>
        <v/>
      </c>
      <c r="AC76" t="str">
        <f>IF(Allocation!D76="","",_CALC_ALLOC!AR76)</f>
        <v/>
      </c>
    </row>
    <row r="77" spans="22:29" x14ac:dyDescent="0.45">
      <c r="V77" t="str">
        <f>IF(Allocation!D77="","",_CALC_ALLOC!AI77)</f>
        <v/>
      </c>
      <c r="W77" t="str">
        <f>IF(Allocation!D77="","",_CALC_ALLOC!AJ77)</f>
        <v/>
      </c>
      <c r="X77" t="str">
        <f>IF(Allocation!D77="","",_CALC_ALLOC!AK77)</f>
        <v/>
      </c>
      <c r="Y77" t="str">
        <f>IF(Allocation!D77="","",_CALC_ALLOC!AL77)</f>
        <v/>
      </c>
      <c r="Z77" t="str">
        <f>IF(Allocation!D77="","",_CALC_ALLOC!AM77)</f>
        <v/>
      </c>
      <c r="AA77" t="str">
        <f>IF(Allocation!D77="","",_CALC_ALLOC!AN77)</f>
        <v/>
      </c>
      <c r="AB77" t="str">
        <f>IF(Allocation!D77="","",AA77-T77)</f>
        <v/>
      </c>
      <c r="AC77" t="str">
        <f>IF(Allocation!D77="","",_CALC_ALLOC!AR77)</f>
        <v/>
      </c>
    </row>
    <row r="78" spans="22:29" x14ac:dyDescent="0.45">
      <c r="V78" t="str">
        <f>IF(Allocation!D78="","",_CALC_ALLOC!AI78)</f>
        <v/>
      </c>
      <c r="W78" t="str">
        <f>IF(Allocation!D78="","",_CALC_ALLOC!AJ78)</f>
        <v/>
      </c>
      <c r="X78" t="str">
        <f>IF(Allocation!D78="","",_CALC_ALLOC!AK78)</f>
        <v/>
      </c>
      <c r="Y78" t="str">
        <f>IF(Allocation!D78="","",_CALC_ALLOC!AL78)</f>
        <v/>
      </c>
      <c r="Z78" t="str">
        <f>IF(Allocation!D78="","",_CALC_ALLOC!AM78)</f>
        <v/>
      </c>
      <c r="AA78" t="str">
        <f>IF(Allocation!D78="","",_CALC_ALLOC!AN78)</f>
        <v/>
      </c>
      <c r="AB78" t="str">
        <f>IF(Allocation!D78="","",AA78-T78)</f>
        <v/>
      </c>
      <c r="AC78" t="str">
        <f>IF(Allocation!D78="","",_CALC_ALLOC!AR78)</f>
        <v/>
      </c>
    </row>
    <row r="79" spans="22:29" x14ac:dyDescent="0.45">
      <c r="V79" t="str">
        <f>IF(Allocation!D79="","",_CALC_ALLOC!AI79)</f>
        <v/>
      </c>
      <c r="W79" t="str">
        <f>IF(Allocation!D79="","",_CALC_ALLOC!AJ79)</f>
        <v/>
      </c>
      <c r="X79" t="str">
        <f>IF(Allocation!D79="","",_CALC_ALLOC!AK79)</f>
        <v/>
      </c>
      <c r="Y79" t="str">
        <f>IF(Allocation!D79="","",_CALC_ALLOC!AL79)</f>
        <v/>
      </c>
      <c r="Z79" t="str">
        <f>IF(Allocation!D79="","",_CALC_ALLOC!AM79)</f>
        <v/>
      </c>
      <c r="AA79" t="str">
        <f>IF(Allocation!D79="","",_CALC_ALLOC!AN79)</f>
        <v/>
      </c>
      <c r="AB79" t="str">
        <f>IF(Allocation!D79="","",AA79-T79)</f>
        <v/>
      </c>
      <c r="AC79" t="str">
        <f>IF(Allocation!D79="","",_CALC_ALLOC!AR79)</f>
        <v/>
      </c>
    </row>
    <row r="80" spans="22:29" x14ac:dyDescent="0.45">
      <c r="V80" t="str">
        <f>IF(Allocation!D80="","",_CALC_ALLOC!AI80)</f>
        <v/>
      </c>
      <c r="W80" t="str">
        <f>IF(Allocation!D80="","",_CALC_ALLOC!AJ80)</f>
        <v/>
      </c>
      <c r="X80" t="str">
        <f>IF(Allocation!D80="","",_CALC_ALLOC!AK80)</f>
        <v/>
      </c>
      <c r="Y80" t="str">
        <f>IF(Allocation!D80="","",_CALC_ALLOC!AL80)</f>
        <v/>
      </c>
      <c r="Z80" t="str">
        <f>IF(Allocation!D80="","",_CALC_ALLOC!AM80)</f>
        <v/>
      </c>
      <c r="AA80" t="str">
        <f>IF(Allocation!D80="","",_CALC_ALLOC!AN80)</f>
        <v/>
      </c>
      <c r="AB80" t="str">
        <f>IF(Allocation!D80="","",AA80-T80)</f>
        <v/>
      </c>
      <c r="AC80" t="str">
        <f>IF(Allocation!D80="","",_CALC_ALLOC!AR80)</f>
        <v/>
      </c>
    </row>
    <row r="81" spans="22:29" x14ac:dyDescent="0.45">
      <c r="V81" t="str">
        <f>IF(Allocation!D81="","",_CALC_ALLOC!AI81)</f>
        <v/>
      </c>
      <c r="W81" t="str">
        <f>IF(Allocation!D81="","",_CALC_ALLOC!AJ81)</f>
        <v/>
      </c>
      <c r="X81" t="str">
        <f>IF(Allocation!D81="","",_CALC_ALLOC!AK81)</f>
        <v/>
      </c>
      <c r="Y81" t="str">
        <f>IF(Allocation!D81="","",_CALC_ALLOC!AL81)</f>
        <v/>
      </c>
      <c r="Z81" t="str">
        <f>IF(Allocation!D81="","",_CALC_ALLOC!AM81)</f>
        <v/>
      </c>
      <c r="AA81" t="str">
        <f>IF(Allocation!D81="","",_CALC_ALLOC!AN81)</f>
        <v/>
      </c>
      <c r="AB81" t="str">
        <f>IF(Allocation!D81="","",AA81-T81)</f>
        <v/>
      </c>
      <c r="AC81" t="str">
        <f>IF(Allocation!D81="","",_CALC_ALLOC!AR81)</f>
        <v/>
      </c>
    </row>
    <row r="82" spans="22:29" x14ac:dyDescent="0.45">
      <c r="V82" t="str">
        <f>IF(Allocation!D82="","",_CALC_ALLOC!AI82)</f>
        <v/>
      </c>
      <c r="W82" t="str">
        <f>IF(Allocation!D82="","",_CALC_ALLOC!AJ82)</f>
        <v/>
      </c>
      <c r="X82" t="str">
        <f>IF(Allocation!D82="","",_CALC_ALLOC!AK82)</f>
        <v/>
      </c>
      <c r="Y82" t="str">
        <f>IF(Allocation!D82="","",_CALC_ALLOC!AL82)</f>
        <v/>
      </c>
      <c r="Z82" t="str">
        <f>IF(Allocation!D82="","",_CALC_ALLOC!AM82)</f>
        <v/>
      </c>
      <c r="AA82" t="str">
        <f>IF(Allocation!D82="","",_CALC_ALLOC!AN82)</f>
        <v/>
      </c>
      <c r="AB82" t="str">
        <f>IF(Allocation!D82="","",AA82-T82)</f>
        <v/>
      </c>
      <c r="AC82" t="str">
        <f>IF(Allocation!D82="","",_CALC_ALLOC!AR82)</f>
        <v/>
      </c>
    </row>
    <row r="83" spans="22:29" x14ac:dyDescent="0.45">
      <c r="V83" t="str">
        <f>IF(Allocation!D83="","",_CALC_ALLOC!AI83)</f>
        <v/>
      </c>
      <c r="W83" t="str">
        <f>IF(Allocation!D83="","",_CALC_ALLOC!AJ83)</f>
        <v/>
      </c>
      <c r="X83" t="str">
        <f>IF(Allocation!D83="","",_CALC_ALLOC!AK83)</f>
        <v/>
      </c>
      <c r="Y83" t="str">
        <f>IF(Allocation!D83="","",_CALC_ALLOC!AL83)</f>
        <v/>
      </c>
      <c r="Z83" t="str">
        <f>IF(Allocation!D83="","",_CALC_ALLOC!AM83)</f>
        <v/>
      </c>
      <c r="AA83" t="str">
        <f>IF(Allocation!D83="","",_CALC_ALLOC!AN83)</f>
        <v/>
      </c>
      <c r="AB83" t="str">
        <f>IF(Allocation!D83="","",AA83-T83)</f>
        <v/>
      </c>
      <c r="AC83" t="str">
        <f>IF(Allocation!D83="","",_CALC_ALLOC!AR83)</f>
        <v/>
      </c>
    </row>
    <row r="84" spans="22:29" x14ac:dyDescent="0.45">
      <c r="V84" t="str">
        <f>IF(Allocation!D84="","",_CALC_ALLOC!AI84)</f>
        <v/>
      </c>
      <c r="W84" t="str">
        <f>IF(Allocation!D84="","",_CALC_ALLOC!AJ84)</f>
        <v/>
      </c>
      <c r="X84" t="str">
        <f>IF(Allocation!D84="","",_CALC_ALLOC!AK84)</f>
        <v/>
      </c>
      <c r="Y84" t="str">
        <f>IF(Allocation!D84="","",_CALC_ALLOC!AL84)</f>
        <v/>
      </c>
      <c r="Z84" t="str">
        <f>IF(Allocation!D84="","",_CALC_ALLOC!AM84)</f>
        <v/>
      </c>
      <c r="AA84" t="str">
        <f>IF(Allocation!D84="","",_CALC_ALLOC!AN84)</f>
        <v/>
      </c>
      <c r="AB84" t="str">
        <f>IF(Allocation!D84="","",AA84-T84)</f>
        <v/>
      </c>
      <c r="AC84" t="str">
        <f>IF(Allocation!D84="","",_CALC_ALLOC!AR84)</f>
        <v/>
      </c>
    </row>
    <row r="85" spans="22:29" x14ac:dyDescent="0.45">
      <c r="V85" t="str">
        <f>IF(Allocation!D85="","",_CALC_ALLOC!AI85)</f>
        <v/>
      </c>
      <c r="W85" t="str">
        <f>IF(Allocation!D85="","",_CALC_ALLOC!AJ85)</f>
        <v/>
      </c>
      <c r="X85" t="str">
        <f>IF(Allocation!D85="","",_CALC_ALLOC!AK85)</f>
        <v/>
      </c>
      <c r="Y85" t="str">
        <f>IF(Allocation!D85="","",_CALC_ALLOC!AL85)</f>
        <v/>
      </c>
      <c r="Z85" t="str">
        <f>IF(Allocation!D85="","",_CALC_ALLOC!AM85)</f>
        <v/>
      </c>
      <c r="AA85" t="str">
        <f>IF(Allocation!D85="","",_CALC_ALLOC!AN85)</f>
        <v/>
      </c>
      <c r="AB85" t="str">
        <f>IF(Allocation!D85="","",AA85-T85)</f>
        <v/>
      </c>
      <c r="AC85" t="str">
        <f>IF(Allocation!D85="","",_CALC_ALLOC!AR85)</f>
        <v/>
      </c>
    </row>
    <row r="86" spans="22:29" x14ac:dyDescent="0.45">
      <c r="V86" t="str">
        <f>IF(Allocation!D86="","",_CALC_ALLOC!AI86)</f>
        <v/>
      </c>
      <c r="W86" t="str">
        <f>IF(Allocation!D86="","",_CALC_ALLOC!AJ86)</f>
        <v/>
      </c>
      <c r="X86" t="str">
        <f>IF(Allocation!D86="","",_CALC_ALLOC!AK86)</f>
        <v/>
      </c>
      <c r="Y86" t="str">
        <f>IF(Allocation!D86="","",_CALC_ALLOC!AL86)</f>
        <v/>
      </c>
      <c r="Z86" t="str">
        <f>IF(Allocation!D86="","",_CALC_ALLOC!AM86)</f>
        <v/>
      </c>
      <c r="AA86" t="str">
        <f>IF(Allocation!D86="","",_CALC_ALLOC!AN86)</f>
        <v/>
      </c>
      <c r="AB86" t="str">
        <f>IF(Allocation!D86="","",AA86-T86)</f>
        <v/>
      </c>
      <c r="AC86" t="str">
        <f>IF(Allocation!D86="","",_CALC_ALLOC!AR86)</f>
        <v/>
      </c>
    </row>
    <row r="87" spans="22:29" x14ac:dyDescent="0.45">
      <c r="V87" t="str">
        <f>IF(Allocation!D87="","",_CALC_ALLOC!AI87)</f>
        <v/>
      </c>
      <c r="W87" t="str">
        <f>IF(Allocation!D87="","",_CALC_ALLOC!AJ87)</f>
        <v/>
      </c>
      <c r="X87" t="str">
        <f>IF(Allocation!D87="","",_CALC_ALLOC!AK87)</f>
        <v/>
      </c>
      <c r="Y87" t="str">
        <f>IF(Allocation!D87="","",_CALC_ALLOC!AL87)</f>
        <v/>
      </c>
      <c r="Z87" t="str">
        <f>IF(Allocation!D87="","",_CALC_ALLOC!AM87)</f>
        <v/>
      </c>
      <c r="AA87" t="str">
        <f>IF(Allocation!D87="","",_CALC_ALLOC!AN87)</f>
        <v/>
      </c>
      <c r="AB87" t="str">
        <f>IF(Allocation!D87="","",AA87-T87)</f>
        <v/>
      </c>
      <c r="AC87" t="str">
        <f>IF(Allocation!D87="","",_CALC_ALLOC!AR87)</f>
        <v/>
      </c>
    </row>
    <row r="88" spans="22:29" x14ac:dyDescent="0.45">
      <c r="V88" t="str">
        <f>IF(Allocation!D88="","",_CALC_ALLOC!AI88)</f>
        <v/>
      </c>
      <c r="W88" t="str">
        <f>IF(Allocation!D88="","",_CALC_ALLOC!AJ88)</f>
        <v/>
      </c>
      <c r="X88" t="str">
        <f>IF(Allocation!D88="","",_CALC_ALLOC!AK88)</f>
        <v/>
      </c>
      <c r="Y88" t="str">
        <f>IF(Allocation!D88="","",_CALC_ALLOC!AL88)</f>
        <v/>
      </c>
      <c r="Z88" t="str">
        <f>IF(Allocation!D88="","",_CALC_ALLOC!AM88)</f>
        <v/>
      </c>
      <c r="AA88" t="str">
        <f>IF(Allocation!D88="","",_CALC_ALLOC!AN88)</f>
        <v/>
      </c>
      <c r="AB88" t="str">
        <f>IF(Allocation!D88="","",AA88-T88)</f>
        <v/>
      </c>
      <c r="AC88" t="str">
        <f>IF(Allocation!D88="","",_CALC_ALLOC!AR88)</f>
        <v/>
      </c>
    </row>
    <row r="89" spans="22:29" x14ac:dyDescent="0.45">
      <c r="V89" t="str">
        <f>IF(Allocation!D89="","",_CALC_ALLOC!AI89)</f>
        <v/>
      </c>
      <c r="W89" t="str">
        <f>IF(Allocation!D89="","",_CALC_ALLOC!AJ89)</f>
        <v/>
      </c>
      <c r="X89" t="str">
        <f>IF(Allocation!D89="","",_CALC_ALLOC!AK89)</f>
        <v/>
      </c>
      <c r="Y89" t="str">
        <f>IF(Allocation!D89="","",_CALC_ALLOC!AL89)</f>
        <v/>
      </c>
      <c r="Z89" t="str">
        <f>IF(Allocation!D89="","",_CALC_ALLOC!AM89)</f>
        <v/>
      </c>
      <c r="AA89" t="str">
        <f>IF(Allocation!D89="","",_CALC_ALLOC!AN89)</f>
        <v/>
      </c>
      <c r="AB89" t="str">
        <f>IF(Allocation!D89="","",AA89-T89)</f>
        <v/>
      </c>
      <c r="AC89" t="str">
        <f>IF(Allocation!D89="","",_CALC_ALLOC!AR89)</f>
        <v/>
      </c>
    </row>
    <row r="90" spans="22:29" x14ac:dyDescent="0.45">
      <c r="V90" t="str">
        <f>IF(Allocation!D90="","",_CALC_ALLOC!AI90)</f>
        <v/>
      </c>
      <c r="W90" t="str">
        <f>IF(Allocation!D90="","",_CALC_ALLOC!AJ90)</f>
        <v/>
      </c>
      <c r="X90" t="str">
        <f>IF(Allocation!D90="","",_CALC_ALLOC!AK90)</f>
        <v/>
      </c>
      <c r="Y90" t="str">
        <f>IF(Allocation!D90="","",_CALC_ALLOC!AL90)</f>
        <v/>
      </c>
      <c r="Z90" t="str">
        <f>IF(Allocation!D90="","",_CALC_ALLOC!AM90)</f>
        <v/>
      </c>
      <c r="AA90" t="str">
        <f>IF(Allocation!D90="","",_CALC_ALLOC!AN90)</f>
        <v/>
      </c>
      <c r="AB90" t="str">
        <f>IF(Allocation!D90="","",AA90-T90)</f>
        <v/>
      </c>
      <c r="AC90" t="str">
        <f>IF(Allocation!D90="","",_CALC_ALLOC!AR90)</f>
        <v/>
      </c>
    </row>
    <row r="91" spans="22:29" x14ac:dyDescent="0.45">
      <c r="V91" t="str">
        <f>IF(Allocation!D91="","",_CALC_ALLOC!AI91)</f>
        <v/>
      </c>
      <c r="W91" t="str">
        <f>IF(Allocation!D91="","",_CALC_ALLOC!AJ91)</f>
        <v/>
      </c>
      <c r="X91" t="str">
        <f>IF(Allocation!D91="","",_CALC_ALLOC!AK91)</f>
        <v/>
      </c>
      <c r="Y91" t="str">
        <f>IF(Allocation!D91="","",_CALC_ALLOC!AL91)</f>
        <v/>
      </c>
      <c r="Z91" t="str">
        <f>IF(Allocation!D91="","",_CALC_ALLOC!AM91)</f>
        <v/>
      </c>
      <c r="AA91" t="str">
        <f>IF(Allocation!D91="","",_CALC_ALLOC!AN91)</f>
        <v/>
      </c>
      <c r="AB91" t="str">
        <f>IF(Allocation!D91="","",AA91-T91)</f>
        <v/>
      </c>
      <c r="AC91" t="str">
        <f>IF(Allocation!D91="","",_CALC_ALLOC!AR91)</f>
        <v/>
      </c>
    </row>
    <row r="92" spans="22:29" x14ac:dyDescent="0.45">
      <c r="V92" t="str">
        <f>IF(Allocation!D92="","",_CALC_ALLOC!AI92)</f>
        <v/>
      </c>
      <c r="W92" t="str">
        <f>IF(Allocation!D92="","",_CALC_ALLOC!AJ92)</f>
        <v/>
      </c>
      <c r="X92" t="str">
        <f>IF(Allocation!D92="","",_CALC_ALLOC!AK92)</f>
        <v/>
      </c>
      <c r="Y92" t="str">
        <f>IF(Allocation!D92="","",_CALC_ALLOC!AL92)</f>
        <v/>
      </c>
      <c r="Z92" t="str">
        <f>IF(Allocation!D92="","",_CALC_ALLOC!AM92)</f>
        <v/>
      </c>
      <c r="AA92" t="str">
        <f>IF(Allocation!D92="","",_CALC_ALLOC!AN92)</f>
        <v/>
      </c>
      <c r="AB92" t="str">
        <f>IF(Allocation!D92="","",AA92-T92)</f>
        <v/>
      </c>
      <c r="AC92" t="str">
        <f>IF(Allocation!D92="","",_CALC_ALLOC!AR92)</f>
        <v/>
      </c>
    </row>
    <row r="93" spans="22:29" x14ac:dyDescent="0.45">
      <c r="V93" t="str">
        <f>IF(Allocation!D93="","",_CALC_ALLOC!AI93)</f>
        <v/>
      </c>
      <c r="W93" t="str">
        <f>IF(Allocation!D93="","",_CALC_ALLOC!AJ93)</f>
        <v/>
      </c>
      <c r="X93" t="str">
        <f>IF(Allocation!D93="","",_CALC_ALLOC!AK93)</f>
        <v/>
      </c>
      <c r="Y93" t="str">
        <f>IF(Allocation!D93="","",_CALC_ALLOC!AL93)</f>
        <v/>
      </c>
      <c r="Z93" t="str">
        <f>IF(Allocation!D93="","",_CALC_ALLOC!AM93)</f>
        <v/>
      </c>
      <c r="AA93" t="str">
        <f>IF(Allocation!D93="","",_CALC_ALLOC!AN93)</f>
        <v/>
      </c>
      <c r="AB93" t="str">
        <f>IF(Allocation!D93="","",AA93-T93)</f>
        <v/>
      </c>
      <c r="AC93" t="str">
        <f>IF(Allocation!D93="","",_CALC_ALLOC!AR93)</f>
        <v/>
      </c>
    </row>
    <row r="94" spans="22:29" x14ac:dyDescent="0.45">
      <c r="V94" t="str">
        <f>IF(Allocation!D94="","",_CALC_ALLOC!AI94)</f>
        <v/>
      </c>
      <c r="W94" t="str">
        <f>IF(Allocation!D94="","",_CALC_ALLOC!AJ94)</f>
        <v/>
      </c>
      <c r="X94" t="str">
        <f>IF(Allocation!D94="","",_CALC_ALLOC!AK94)</f>
        <v/>
      </c>
      <c r="Y94" t="str">
        <f>IF(Allocation!D94="","",_CALC_ALLOC!AL94)</f>
        <v/>
      </c>
      <c r="Z94" t="str">
        <f>IF(Allocation!D94="","",_CALC_ALLOC!AM94)</f>
        <v/>
      </c>
      <c r="AA94" t="str">
        <f>IF(Allocation!D94="","",_CALC_ALLOC!AN94)</f>
        <v/>
      </c>
      <c r="AB94" t="str">
        <f>IF(Allocation!D94="","",AA94-T94)</f>
        <v/>
      </c>
      <c r="AC94" t="str">
        <f>IF(Allocation!D94="","",_CALC_ALLOC!AR94)</f>
        <v/>
      </c>
    </row>
    <row r="95" spans="22:29" x14ac:dyDescent="0.45">
      <c r="V95" t="str">
        <f>IF(Allocation!D95="","",_CALC_ALLOC!AI95)</f>
        <v/>
      </c>
      <c r="W95" t="str">
        <f>IF(Allocation!D95="","",_CALC_ALLOC!AJ95)</f>
        <v/>
      </c>
      <c r="X95" t="str">
        <f>IF(Allocation!D95="","",_CALC_ALLOC!AK95)</f>
        <v/>
      </c>
      <c r="Y95" t="str">
        <f>IF(Allocation!D95="","",_CALC_ALLOC!AL95)</f>
        <v/>
      </c>
      <c r="Z95" t="str">
        <f>IF(Allocation!D95="","",_CALC_ALLOC!AM95)</f>
        <v/>
      </c>
      <c r="AA95" t="str">
        <f>IF(Allocation!D95="","",_CALC_ALLOC!AN95)</f>
        <v/>
      </c>
      <c r="AB95" t="str">
        <f>IF(Allocation!D95="","",AA95-T95)</f>
        <v/>
      </c>
      <c r="AC95" t="str">
        <f>IF(Allocation!D95="","",_CALC_ALLOC!AR95)</f>
        <v/>
      </c>
    </row>
    <row r="96" spans="22:29" x14ac:dyDescent="0.45">
      <c r="V96" t="str">
        <f>IF(Allocation!D96="","",_CALC_ALLOC!AI96)</f>
        <v/>
      </c>
      <c r="W96" t="str">
        <f>IF(Allocation!D96="","",_CALC_ALLOC!AJ96)</f>
        <v/>
      </c>
      <c r="X96" t="str">
        <f>IF(Allocation!D96="","",_CALC_ALLOC!AK96)</f>
        <v/>
      </c>
      <c r="Y96" t="str">
        <f>IF(Allocation!D96="","",_CALC_ALLOC!AL96)</f>
        <v/>
      </c>
      <c r="Z96" t="str">
        <f>IF(Allocation!D96="","",_CALC_ALLOC!AM96)</f>
        <v/>
      </c>
      <c r="AA96" t="str">
        <f>IF(Allocation!D96="","",_CALC_ALLOC!AN96)</f>
        <v/>
      </c>
      <c r="AB96" t="str">
        <f>IF(Allocation!D96="","",AA96-T96)</f>
        <v/>
      </c>
      <c r="AC96" t="str">
        <f>IF(Allocation!D96="","",_CALC_ALLOC!AR96)</f>
        <v/>
      </c>
    </row>
    <row r="97" spans="22:29" x14ac:dyDescent="0.45">
      <c r="V97" t="str">
        <f>IF(Allocation!D97="","",_CALC_ALLOC!AI97)</f>
        <v/>
      </c>
      <c r="W97" t="str">
        <f>IF(Allocation!D97="","",_CALC_ALLOC!AJ97)</f>
        <v/>
      </c>
      <c r="X97" t="str">
        <f>IF(Allocation!D97="","",_CALC_ALLOC!AK97)</f>
        <v/>
      </c>
      <c r="Y97" t="str">
        <f>IF(Allocation!D97="","",_CALC_ALLOC!AL97)</f>
        <v/>
      </c>
      <c r="Z97" t="str">
        <f>IF(Allocation!D97="","",_CALC_ALLOC!AM97)</f>
        <v/>
      </c>
      <c r="AA97" t="str">
        <f>IF(Allocation!D97="","",_CALC_ALLOC!AN97)</f>
        <v/>
      </c>
      <c r="AB97" t="str">
        <f>IF(Allocation!D97="","",AA97-T97)</f>
        <v/>
      </c>
      <c r="AC97" t="str">
        <f>IF(Allocation!D97="","",_CALC_ALLOC!AR97)</f>
        <v/>
      </c>
    </row>
    <row r="98" spans="22:29" x14ac:dyDescent="0.45">
      <c r="V98" t="str">
        <f>IF(Allocation!D98="","",_CALC_ALLOC!AI98)</f>
        <v/>
      </c>
      <c r="W98" t="str">
        <f>IF(Allocation!D98="","",_CALC_ALLOC!AJ98)</f>
        <v/>
      </c>
      <c r="X98" t="str">
        <f>IF(Allocation!D98="","",_CALC_ALLOC!AK98)</f>
        <v/>
      </c>
      <c r="Y98" t="str">
        <f>IF(Allocation!D98="","",_CALC_ALLOC!AL98)</f>
        <v/>
      </c>
      <c r="Z98" t="str">
        <f>IF(Allocation!D98="","",_CALC_ALLOC!AM98)</f>
        <v/>
      </c>
      <c r="AA98" t="str">
        <f>IF(Allocation!D98="","",_CALC_ALLOC!AN98)</f>
        <v/>
      </c>
      <c r="AB98" t="str">
        <f>IF(Allocation!D98="","",AA98-T98)</f>
        <v/>
      </c>
      <c r="AC98" t="str">
        <f>IF(Allocation!D98="","",_CALC_ALLOC!AR98)</f>
        <v/>
      </c>
    </row>
    <row r="99" spans="22:29" x14ac:dyDescent="0.45">
      <c r="V99" t="str">
        <f>IF(Allocation!D99="","",_CALC_ALLOC!AI99)</f>
        <v/>
      </c>
      <c r="W99" t="str">
        <f>IF(Allocation!D99="","",_CALC_ALLOC!AJ99)</f>
        <v/>
      </c>
      <c r="X99" t="str">
        <f>IF(Allocation!D99="","",_CALC_ALLOC!AK99)</f>
        <v/>
      </c>
      <c r="Y99" t="str">
        <f>IF(Allocation!D99="","",_CALC_ALLOC!AL99)</f>
        <v/>
      </c>
      <c r="Z99" t="str">
        <f>IF(Allocation!D99="","",_CALC_ALLOC!AM99)</f>
        <v/>
      </c>
      <c r="AA99" t="str">
        <f>IF(Allocation!D99="","",_CALC_ALLOC!AN99)</f>
        <v/>
      </c>
      <c r="AB99" t="str">
        <f>IF(Allocation!D99="","",AA99-T99)</f>
        <v/>
      </c>
      <c r="AC99" t="str">
        <f>IF(Allocation!D99="","",_CALC_ALLOC!AR99)</f>
        <v/>
      </c>
    </row>
    <row r="100" spans="22:29" x14ac:dyDescent="0.45">
      <c r="V100" t="str">
        <f>IF(Allocation!D100="","",_CALC_ALLOC!AI100)</f>
        <v/>
      </c>
      <c r="W100" t="str">
        <f>IF(Allocation!D100="","",_CALC_ALLOC!AJ100)</f>
        <v/>
      </c>
      <c r="X100" t="str">
        <f>IF(Allocation!D100="","",_CALC_ALLOC!AK100)</f>
        <v/>
      </c>
      <c r="Y100" t="str">
        <f>IF(Allocation!D100="","",_CALC_ALLOC!AL100)</f>
        <v/>
      </c>
      <c r="Z100" t="str">
        <f>IF(Allocation!D100="","",_CALC_ALLOC!AM100)</f>
        <v/>
      </c>
      <c r="AA100" t="str">
        <f>IF(Allocation!D100="","",_CALC_ALLOC!AN100)</f>
        <v/>
      </c>
      <c r="AB100" t="str">
        <f>IF(Allocation!D100="","",AA100-T100)</f>
        <v/>
      </c>
      <c r="AC100" t="str">
        <f>IF(Allocation!D100="","",_CALC_ALLOC!AR100)</f>
        <v/>
      </c>
    </row>
    <row r="101" spans="22:29" x14ac:dyDescent="0.45">
      <c r="V101" t="str">
        <f>IF(Allocation!D101="","",_CALC_ALLOC!AI101)</f>
        <v/>
      </c>
      <c r="W101" t="str">
        <f>IF(Allocation!D101="","",_CALC_ALLOC!AJ101)</f>
        <v/>
      </c>
      <c r="X101" t="str">
        <f>IF(Allocation!D101="","",_CALC_ALLOC!AK101)</f>
        <v/>
      </c>
      <c r="Y101" t="str">
        <f>IF(Allocation!D101="","",_CALC_ALLOC!AL101)</f>
        <v/>
      </c>
      <c r="Z101" t="str">
        <f>IF(Allocation!D101="","",_CALC_ALLOC!AM101)</f>
        <v/>
      </c>
      <c r="AA101" t="str">
        <f>IF(Allocation!D101="","",_CALC_ALLOC!AN101)</f>
        <v/>
      </c>
      <c r="AB101" t="str">
        <f>IF(Allocation!D101="","",AA101-T101)</f>
        <v/>
      </c>
      <c r="AC101" t="str">
        <f>IF(Allocation!D101="","",_CALC_ALLOC!AR101)</f>
        <v/>
      </c>
    </row>
    <row r="102" spans="22:29" x14ac:dyDescent="0.45">
      <c r="V102" t="str">
        <f>IF(Allocation!D102="","",_CALC_ALLOC!AI102)</f>
        <v/>
      </c>
      <c r="W102" t="str">
        <f>IF(Allocation!D102="","",_CALC_ALLOC!AJ102)</f>
        <v/>
      </c>
      <c r="X102" t="str">
        <f>IF(Allocation!D102="","",_CALC_ALLOC!AK102)</f>
        <v/>
      </c>
      <c r="Y102" t="str">
        <f>IF(Allocation!D102="","",_CALC_ALLOC!AL102)</f>
        <v/>
      </c>
      <c r="Z102" t="str">
        <f>IF(Allocation!D102="","",_CALC_ALLOC!AM102)</f>
        <v/>
      </c>
      <c r="AA102" t="str">
        <f>IF(Allocation!D102="","",_CALC_ALLOC!AN102)</f>
        <v/>
      </c>
      <c r="AB102" t="str">
        <f>IF(Allocation!D102="","",AA102-T102)</f>
        <v/>
      </c>
      <c r="AC102" t="str">
        <f>IF(Allocation!D102="","",_CALC_ALLOC!AR102)</f>
        <v/>
      </c>
    </row>
    <row r="103" spans="22:29" x14ac:dyDescent="0.45">
      <c r="V103" t="str">
        <f>IF(Allocation!D103="","",_CALC_ALLOC!AI103)</f>
        <v/>
      </c>
      <c r="W103" t="str">
        <f>IF(Allocation!D103="","",_CALC_ALLOC!AJ103)</f>
        <v/>
      </c>
      <c r="X103" t="str">
        <f>IF(Allocation!D103="","",_CALC_ALLOC!AK103)</f>
        <v/>
      </c>
      <c r="Y103" t="str">
        <f>IF(Allocation!D103="","",_CALC_ALLOC!AL103)</f>
        <v/>
      </c>
      <c r="Z103" t="str">
        <f>IF(Allocation!D103="","",_CALC_ALLOC!AM103)</f>
        <v/>
      </c>
      <c r="AA103" t="str">
        <f>IF(Allocation!D103="","",_CALC_ALLOC!AN103)</f>
        <v/>
      </c>
      <c r="AB103" t="str">
        <f>IF(Allocation!D103="","",AA103-T103)</f>
        <v/>
      </c>
      <c r="AC103" t="str">
        <f>IF(Allocation!D103="","",_CALC_ALLOC!AR103)</f>
        <v/>
      </c>
    </row>
    <row r="104" spans="22:29" x14ac:dyDescent="0.45">
      <c r="V104" t="str">
        <f>IF(Allocation!D104="","",_CALC_ALLOC!AI104)</f>
        <v/>
      </c>
      <c r="W104" t="str">
        <f>IF(Allocation!D104="","",_CALC_ALLOC!AJ104)</f>
        <v/>
      </c>
      <c r="X104" t="str">
        <f>IF(Allocation!D104="","",_CALC_ALLOC!AK104)</f>
        <v/>
      </c>
      <c r="Y104" t="str">
        <f>IF(Allocation!D104="","",_CALC_ALLOC!AL104)</f>
        <v/>
      </c>
      <c r="Z104" t="str">
        <f>IF(Allocation!D104="","",_CALC_ALLOC!AM104)</f>
        <v/>
      </c>
      <c r="AA104" t="str">
        <f>IF(Allocation!D104="","",_CALC_ALLOC!AN104)</f>
        <v/>
      </c>
      <c r="AB104" t="str">
        <f>IF(Allocation!D104="","",AA104-T104)</f>
        <v/>
      </c>
      <c r="AC104" t="str">
        <f>IF(Allocation!D104="","",_CALC_ALLOC!AR104)</f>
        <v/>
      </c>
    </row>
    <row r="105" spans="22:29" x14ac:dyDescent="0.45">
      <c r="V105" t="str">
        <f>IF(Allocation!D105="","",_CALC_ALLOC!AI105)</f>
        <v/>
      </c>
      <c r="W105" t="str">
        <f>IF(Allocation!D105="","",_CALC_ALLOC!AJ105)</f>
        <v/>
      </c>
      <c r="X105" t="str">
        <f>IF(Allocation!D105="","",_CALC_ALLOC!AK105)</f>
        <v/>
      </c>
      <c r="Y105" t="str">
        <f>IF(Allocation!D105="","",_CALC_ALLOC!AL105)</f>
        <v/>
      </c>
      <c r="Z105" t="str">
        <f>IF(Allocation!D105="","",_CALC_ALLOC!AM105)</f>
        <v/>
      </c>
      <c r="AA105" t="str">
        <f>IF(Allocation!D105="","",_CALC_ALLOC!AN105)</f>
        <v/>
      </c>
      <c r="AB105" t="str">
        <f>IF(Allocation!D105="","",AA105-T105)</f>
        <v/>
      </c>
      <c r="AC105" t="str">
        <f>IF(Allocation!D105="","",_CALC_ALLOC!AR105)</f>
        <v/>
      </c>
    </row>
    <row r="106" spans="22:29" x14ac:dyDescent="0.45">
      <c r="V106" t="str">
        <f>IF(Allocation!D106="","",_CALC_ALLOC!AI106)</f>
        <v/>
      </c>
      <c r="W106" t="str">
        <f>IF(Allocation!D106="","",_CALC_ALLOC!AJ106)</f>
        <v/>
      </c>
      <c r="X106" t="str">
        <f>IF(Allocation!D106="","",_CALC_ALLOC!AK106)</f>
        <v/>
      </c>
      <c r="Y106" t="str">
        <f>IF(Allocation!D106="","",_CALC_ALLOC!AL106)</f>
        <v/>
      </c>
      <c r="Z106" t="str">
        <f>IF(Allocation!D106="","",_CALC_ALLOC!AM106)</f>
        <v/>
      </c>
      <c r="AA106" t="str">
        <f>IF(Allocation!D106="","",_CALC_ALLOC!AN106)</f>
        <v/>
      </c>
      <c r="AB106" t="str">
        <f>IF(Allocation!D106="","",AA106-T106)</f>
        <v/>
      </c>
      <c r="AC106" t="str">
        <f>IF(Allocation!D106="","",_CALC_ALLOC!AR106)</f>
        <v/>
      </c>
    </row>
    <row r="107" spans="22:29" x14ac:dyDescent="0.45">
      <c r="V107" t="str">
        <f>IF(Allocation!D107="","",_CALC_ALLOC!AI107)</f>
        <v/>
      </c>
      <c r="W107" t="str">
        <f>IF(Allocation!D107="","",_CALC_ALLOC!AJ107)</f>
        <v/>
      </c>
      <c r="X107" t="str">
        <f>IF(Allocation!D107="","",_CALC_ALLOC!AK107)</f>
        <v/>
      </c>
      <c r="Y107" t="str">
        <f>IF(Allocation!D107="","",_CALC_ALLOC!AL107)</f>
        <v/>
      </c>
      <c r="Z107" t="str">
        <f>IF(Allocation!D107="","",_CALC_ALLOC!AM107)</f>
        <v/>
      </c>
      <c r="AA107" t="str">
        <f>IF(Allocation!D107="","",_CALC_ALLOC!AN107)</f>
        <v/>
      </c>
      <c r="AB107" t="str">
        <f>IF(Allocation!D107="","",AA107-T107)</f>
        <v/>
      </c>
      <c r="AC107" t="str">
        <f>IF(Allocation!D107="","",_CALC_ALLOC!AR107)</f>
        <v/>
      </c>
    </row>
    <row r="108" spans="22:29" x14ac:dyDescent="0.45">
      <c r="V108" t="str">
        <f>IF(Allocation!D108="","",_CALC_ALLOC!AI108)</f>
        <v/>
      </c>
      <c r="W108" t="str">
        <f>IF(Allocation!D108="","",_CALC_ALLOC!AJ108)</f>
        <v/>
      </c>
      <c r="X108" t="str">
        <f>IF(Allocation!D108="","",_CALC_ALLOC!AK108)</f>
        <v/>
      </c>
      <c r="Y108" t="str">
        <f>IF(Allocation!D108="","",_CALC_ALLOC!AL108)</f>
        <v/>
      </c>
      <c r="Z108" t="str">
        <f>IF(Allocation!D108="","",_CALC_ALLOC!AM108)</f>
        <v/>
      </c>
      <c r="AA108" t="str">
        <f>IF(Allocation!D108="","",_CALC_ALLOC!AN108)</f>
        <v/>
      </c>
      <c r="AB108" t="str">
        <f>IF(Allocation!D108="","",AA108-T108)</f>
        <v/>
      </c>
      <c r="AC108" t="str">
        <f>IF(Allocation!D108="","",_CALC_ALLOC!AR108)</f>
        <v/>
      </c>
    </row>
    <row r="109" spans="22:29" x14ac:dyDescent="0.45">
      <c r="V109" t="str">
        <f>IF(Allocation!D109="","",_CALC_ALLOC!AI109)</f>
        <v/>
      </c>
      <c r="W109" t="str">
        <f>IF(Allocation!D109="","",_CALC_ALLOC!AJ109)</f>
        <v/>
      </c>
      <c r="X109" t="str">
        <f>IF(Allocation!D109="","",_CALC_ALLOC!AK109)</f>
        <v/>
      </c>
      <c r="Y109" t="str">
        <f>IF(Allocation!D109="","",_CALC_ALLOC!AL109)</f>
        <v/>
      </c>
      <c r="Z109" t="str">
        <f>IF(Allocation!D109="","",_CALC_ALLOC!AM109)</f>
        <v/>
      </c>
      <c r="AA109" t="str">
        <f>IF(Allocation!D109="","",_CALC_ALLOC!AN109)</f>
        <v/>
      </c>
      <c r="AB109" t="str">
        <f>IF(Allocation!D109="","",AA109-T109)</f>
        <v/>
      </c>
      <c r="AC109" t="str">
        <f>IF(Allocation!D109="","",_CALC_ALLOC!AR109)</f>
        <v/>
      </c>
    </row>
    <row r="110" spans="22:29" x14ac:dyDescent="0.45">
      <c r="V110" t="str">
        <f>IF(Allocation!D110="","",_CALC_ALLOC!AI110)</f>
        <v/>
      </c>
      <c r="W110" t="str">
        <f>IF(Allocation!D110="","",_CALC_ALLOC!AJ110)</f>
        <v/>
      </c>
      <c r="X110" t="str">
        <f>IF(Allocation!D110="","",_CALC_ALLOC!AK110)</f>
        <v/>
      </c>
      <c r="Y110" t="str">
        <f>IF(Allocation!D110="","",_CALC_ALLOC!AL110)</f>
        <v/>
      </c>
      <c r="Z110" t="str">
        <f>IF(Allocation!D110="","",_CALC_ALLOC!AM110)</f>
        <v/>
      </c>
      <c r="AA110" t="str">
        <f>IF(Allocation!D110="","",_CALC_ALLOC!AN110)</f>
        <v/>
      </c>
      <c r="AB110" t="str">
        <f>IF(Allocation!D110="","",AA110-T110)</f>
        <v/>
      </c>
      <c r="AC110" t="str">
        <f>IF(Allocation!D110="","",_CALC_ALLOC!AR110)</f>
        <v/>
      </c>
    </row>
    <row r="111" spans="22:29" x14ac:dyDescent="0.45">
      <c r="V111" t="str">
        <f>IF(Allocation!D111="","",_CALC_ALLOC!AI111)</f>
        <v/>
      </c>
      <c r="W111" t="str">
        <f>IF(Allocation!D111="","",_CALC_ALLOC!AJ111)</f>
        <v/>
      </c>
      <c r="X111" t="str">
        <f>IF(Allocation!D111="","",_CALC_ALLOC!AK111)</f>
        <v/>
      </c>
      <c r="Y111" t="str">
        <f>IF(Allocation!D111="","",_CALC_ALLOC!AL111)</f>
        <v/>
      </c>
      <c r="Z111" t="str">
        <f>IF(Allocation!D111="","",_CALC_ALLOC!AM111)</f>
        <v/>
      </c>
      <c r="AA111" t="str">
        <f>IF(Allocation!D111="","",_CALC_ALLOC!AN111)</f>
        <v/>
      </c>
      <c r="AB111" t="str">
        <f>IF(Allocation!D111="","",AA111-T111)</f>
        <v/>
      </c>
      <c r="AC111" t="str">
        <f>IF(Allocation!D111="","",_CALC_ALLOC!AR111)</f>
        <v/>
      </c>
    </row>
    <row r="112" spans="22:29" x14ac:dyDescent="0.45">
      <c r="V112" t="str">
        <f>IF(Allocation!D112="","",_CALC_ALLOC!AI112)</f>
        <v/>
      </c>
      <c r="W112" t="str">
        <f>IF(Allocation!D112="","",_CALC_ALLOC!AJ112)</f>
        <v/>
      </c>
      <c r="X112" t="str">
        <f>IF(Allocation!D112="","",_CALC_ALLOC!AK112)</f>
        <v/>
      </c>
      <c r="Y112" t="str">
        <f>IF(Allocation!D112="","",_CALC_ALLOC!AL112)</f>
        <v/>
      </c>
      <c r="Z112" t="str">
        <f>IF(Allocation!D112="","",_CALC_ALLOC!AM112)</f>
        <v/>
      </c>
      <c r="AA112" t="str">
        <f>IF(Allocation!D112="","",_CALC_ALLOC!AN112)</f>
        <v/>
      </c>
      <c r="AB112" t="str">
        <f>IF(Allocation!D112="","",AA112-T112)</f>
        <v/>
      </c>
      <c r="AC112" t="str">
        <f>IF(Allocation!D112="","",_CALC_ALLOC!AR112)</f>
        <v/>
      </c>
    </row>
    <row r="113" spans="22:29" x14ac:dyDescent="0.45">
      <c r="V113" t="str">
        <f>IF(Allocation!D113="","",_CALC_ALLOC!AI113)</f>
        <v/>
      </c>
      <c r="W113" t="str">
        <f>IF(Allocation!D113="","",_CALC_ALLOC!AJ113)</f>
        <v/>
      </c>
      <c r="X113" t="str">
        <f>IF(Allocation!D113="","",_CALC_ALLOC!AK113)</f>
        <v/>
      </c>
      <c r="Y113" t="str">
        <f>IF(Allocation!D113="","",_CALC_ALLOC!AL113)</f>
        <v/>
      </c>
      <c r="Z113" t="str">
        <f>IF(Allocation!D113="","",_CALC_ALLOC!AM113)</f>
        <v/>
      </c>
      <c r="AA113" t="str">
        <f>IF(Allocation!D113="","",_CALC_ALLOC!AN113)</f>
        <v/>
      </c>
      <c r="AB113" t="str">
        <f>IF(Allocation!D113="","",AA113-T113)</f>
        <v/>
      </c>
      <c r="AC113" t="str">
        <f>IF(Allocation!D113="","",_CALC_ALLOC!AR113)</f>
        <v/>
      </c>
    </row>
    <row r="114" spans="22:29" x14ac:dyDescent="0.45">
      <c r="V114" t="str">
        <f>IF(Allocation!D114="","",_CALC_ALLOC!AI114)</f>
        <v/>
      </c>
      <c r="W114" t="str">
        <f>IF(Allocation!D114="","",_CALC_ALLOC!AJ114)</f>
        <v/>
      </c>
      <c r="X114" t="str">
        <f>IF(Allocation!D114="","",_CALC_ALLOC!AK114)</f>
        <v/>
      </c>
      <c r="Y114" t="str">
        <f>IF(Allocation!D114="","",_CALC_ALLOC!AL114)</f>
        <v/>
      </c>
      <c r="Z114" t="str">
        <f>IF(Allocation!D114="","",_CALC_ALLOC!AM114)</f>
        <v/>
      </c>
      <c r="AA114" t="str">
        <f>IF(Allocation!D114="","",_CALC_ALLOC!AN114)</f>
        <v/>
      </c>
      <c r="AB114" t="str">
        <f>IF(Allocation!D114="","",AA114-T114)</f>
        <v/>
      </c>
      <c r="AC114" t="str">
        <f>IF(Allocation!D114="","",_CALC_ALLOC!AR114)</f>
        <v/>
      </c>
    </row>
    <row r="115" spans="22:29" x14ac:dyDescent="0.45">
      <c r="V115" t="str">
        <f>IF(Allocation!D115="","",_CALC_ALLOC!AI115)</f>
        <v/>
      </c>
      <c r="W115" t="str">
        <f>IF(Allocation!D115="","",_CALC_ALLOC!AJ115)</f>
        <v/>
      </c>
      <c r="X115" t="str">
        <f>IF(Allocation!D115="","",_CALC_ALLOC!AK115)</f>
        <v/>
      </c>
      <c r="Y115" t="str">
        <f>IF(Allocation!D115="","",_CALC_ALLOC!AL115)</f>
        <v/>
      </c>
      <c r="Z115" t="str">
        <f>IF(Allocation!D115="","",_CALC_ALLOC!AM115)</f>
        <v/>
      </c>
      <c r="AA115" t="str">
        <f>IF(Allocation!D115="","",_CALC_ALLOC!AN115)</f>
        <v/>
      </c>
      <c r="AB115" t="str">
        <f>IF(Allocation!D115="","",AA115-T115)</f>
        <v/>
      </c>
      <c r="AC115" t="str">
        <f>IF(Allocation!D115="","",_CALC_ALLOC!AR115)</f>
        <v/>
      </c>
    </row>
    <row r="116" spans="22:29" x14ac:dyDescent="0.45">
      <c r="V116" t="str">
        <f>IF(Allocation!D116="","",_CALC_ALLOC!AI116)</f>
        <v/>
      </c>
      <c r="W116" t="str">
        <f>IF(Allocation!D116="","",_CALC_ALLOC!AJ116)</f>
        <v/>
      </c>
      <c r="X116" t="str">
        <f>IF(Allocation!D116="","",_CALC_ALLOC!AK116)</f>
        <v/>
      </c>
      <c r="Y116" t="str">
        <f>IF(Allocation!D116="","",_CALC_ALLOC!AL116)</f>
        <v/>
      </c>
      <c r="Z116" t="str">
        <f>IF(Allocation!D116="","",_CALC_ALLOC!AM116)</f>
        <v/>
      </c>
      <c r="AA116" t="str">
        <f>IF(Allocation!D116="","",_CALC_ALLOC!AN116)</f>
        <v/>
      </c>
      <c r="AB116" t="str">
        <f>IF(Allocation!D116="","",AA116-T116)</f>
        <v/>
      </c>
      <c r="AC116" t="str">
        <f>IF(Allocation!D116="","",_CALC_ALLOC!AR116)</f>
        <v/>
      </c>
    </row>
    <row r="117" spans="22:29" x14ac:dyDescent="0.45">
      <c r="V117" t="str">
        <f>IF(Allocation!D117="","",_CALC_ALLOC!AI117)</f>
        <v/>
      </c>
      <c r="W117" t="str">
        <f>IF(Allocation!D117="","",_CALC_ALLOC!AJ117)</f>
        <v/>
      </c>
      <c r="X117" t="str">
        <f>IF(Allocation!D117="","",_CALC_ALLOC!AK117)</f>
        <v/>
      </c>
      <c r="Y117" t="str">
        <f>IF(Allocation!D117="","",_CALC_ALLOC!AL117)</f>
        <v/>
      </c>
      <c r="Z117" t="str">
        <f>IF(Allocation!D117="","",_CALC_ALLOC!AM117)</f>
        <v/>
      </c>
      <c r="AA117" t="str">
        <f>IF(Allocation!D117="","",_CALC_ALLOC!AN117)</f>
        <v/>
      </c>
      <c r="AB117" t="str">
        <f>IF(Allocation!D117="","",AA117-T117)</f>
        <v/>
      </c>
      <c r="AC117" t="str">
        <f>IF(Allocation!D117="","",_CALC_ALLOC!AR117)</f>
        <v/>
      </c>
    </row>
    <row r="118" spans="22:29" x14ac:dyDescent="0.45">
      <c r="V118" t="str">
        <f>IF(Allocation!D118="","",_CALC_ALLOC!AI118)</f>
        <v/>
      </c>
      <c r="W118" t="str">
        <f>IF(Allocation!D118="","",_CALC_ALLOC!AJ118)</f>
        <v/>
      </c>
      <c r="X118" t="str">
        <f>IF(Allocation!D118="","",_CALC_ALLOC!AK118)</f>
        <v/>
      </c>
      <c r="Y118" t="str">
        <f>IF(Allocation!D118="","",_CALC_ALLOC!AL118)</f>
        <v/>
      </c>
      <c r="Z118" t="str">
        <f>IF(Allocation!D118="","",_CALC_ALLOC!AM118)</f>
        <v/>
      </c>
      <c r="AA118" t="str">
        <f>IF(Allocation!D118="","",_CALC_ALLOC!AN118)</f>
        <v/>
      </c>
      <c r="AB118" t="str">
        <f>IF(Allocation!D118="","",AA118-T118)</f>
        <v/>
      </c>
      <c r="AC118" t="str">
        <f>IF(Allocation!D118="","",_CALC_ALLOC!AR118)</f>
        <v/>
      </c>
    </row>
    <row r="119" spans="22:29" x14ac:dyDescent="0.45">
      <c r="V119" t="str">
        <f>IF(Allocation!D119="","",_CALC_ALLOC!AI119)</f>
        <v/>
      </c>
      <c r="W119" t="str">
        <f>IF(Allocation!D119="","",_CALC_ALLOC!AJ119)</f>
        <v/>
      </c>
      <c r="X119" t="str">
        <f>IF(Allocation!D119="","",_CALC_ALLOC!AK119)</f>
        <v/>
      </c>
      <c r="Y119" t="str">
        <f>IF(Allocation!D119="","",_CALC_ALLOC!AL119)</f>
        <v/>
      </c>
      <c r="Z119" t="str">
        <f>IF(Allocation!D119="","",_CALC_ALLOC!AM119)</f>
        <v/>
      </c>
      <c r="AA119" t="str">
        <f>IF(Allocation!D119="","",_CALC_ALLOC!AN119)</f>
        <v/>
      </c>
      <c r="AB119" t="str">
        <f>IF(Allocation!D119="","",AA119-T119)</f>
        <v/>
      </c>
      <c r="AC119" t="str">
        <f>IF(Allocation!D119="","",_CALC_ALLOC!AR119)</f>
        <v/>
      </c>
    </row>
    <row r="120" spans="22:29" x14ac:dyDescent="0.45">
      <c r="V120" t="str">
        <f>IF(Allocation!D120="","",_CALC_ALLOC!AI120)</f>
        <v/>
      </c>
      <c r="W120" t="str">
        <f>IF(Allocation!D120="","",_CALC_ALLOC!AJ120)</f>
        <v/>
      </c>
      <c r="X120" t="str">
        <f>IF(Allocation!D120="","",_CALC_ALLOC!AK120)</f>
        <v/>
      </c>
      <c r="Y120" t="str">
        <f>IF(Allocation!D120="","",_CALC_ALLOC!AL120)</f>
        <v/>
      </c>
      <c r="Z120" t="str">
        <f>IF(Allocation!D120="","",_CALC_ALLOC!AM120)</f>
        <v/>
      </c>
      <c r="AA120" t="str">
        <f>IF(Allocation!D120="","",_CALC_ALLOC!AN120)</f>
        <v/>
      </c>
      <c r="AB120" t="str">
        <f>IF(Allocation!D120="","",AA120-T120)</f>
        <v/>
      </c>
      <c r="AC120" t="str">
        <f>IF(Allocation!D120="","",_CALC_ALLOC!AR120)</f>
        <v/>
      </c>
    </row>
    <row r="121" spans="22:29" x14ac:dyDescent="0.45">
      <c r="V121" t="str">
        <f>IF(Allocation!D121="","",_CALC_ALLOC!AI121)</f>
        <v/>
      </c>
      <c r="W121" t="str">
        <f>IF(Allocation!D121="","",_CALC_ALLOC!AJ121)</f>
        <v/>
      </c>
      <c r="X121" t="str">
        <f>IF(Allocation!D121="","",_CALC_ALLOC!AK121)</f>
        <v/>
      </c>
      <c r="Y121" t="str">
        <f>IF(Allocation!D121="","",_CALC_ALLOC!AL121)</f>
        <v/>
      </c>
      <c r="Z121" t="str">
        <f>IF(Allocation!D121="","",_CALC_ALLOC!AM121)</f>
        <v/>
      </c>
      <c r="AA121" t="str">
        <f>IF(Allocation!D121="","",_CALC_ALLOC!AN121)</f>
        <v/>
      </c>
      <c r="AB121" t="str">
        <f>IF(Allocation!D121="","",AA121-T121)</f>
        <v/>
      </c>
      <c r="AC121" t="str">
        <f>IF(Allocation!D121="","",_CALC_ALLOC!AR121)</f>
        <v/>
      </c>
    </row>
    <row r="122" spans="22:29" x14ac:dyDescent="0.45">
      <c r="V122" t="str">
        <f>IF(Allocation!D122="","",_CALC_ALLOC!AI122)</f>
        <v/>
      </c>
      <c r="W122" t="str">
        <f>IF(Allocation!D122="","",_CALC_ALLOC!AJ122)</f>
        <v/>
      </c>
      <c r="X122" t="str">
        <f>IF(Allocation!D122="","",_CALC_ALLOC!AK122)</f>
        <v/>
      </c>
      <c r="Y122" t="str">
        <f>IF(Allocation!D122="","",_CALC_ALLOC!AL122)</f>
        <v/>
      </c>
      <c r="Z122" t="str">
        <f>IF(Allocation!D122="","",_CALC_ALLOC!AM122)</f>
        <v/>
      </c>
      <c r="AA122" t="str">
        <f>IF(Allocation!D122="","",_CALC_ALLOC!AN122)</f>
        <v/>
      </c>
      <c r="AB122" t="str">
        <f>IF(Allocation!D122="","",AA122-T122)</f>
        <v/>
      </c>
      <c r="AC122" t="str">
        <f>IF(Allocation!D122="","",_CALC_ALLOC!AR122)</f>
        <v/>
      </c>
    </row>
    <row r="123" spans="22:29" x14ac:dyDescent="0.45">
      <c r="V123" t="str">
        <f>IF(Allocation!D123="","",_CALC_ALLOC!AI123)</f>
        <v/>
      </c>
      <c r="W123" t="str">
        <f>IF(Allocation!D123="","",_CALC_ALLOC!AJ123)</f>
        <v/>
      </c>
      <c r="X123" t="str">
        <f>IF(Allocation!D123="","",_CALC_ALLOC!AK123)</f>
        <v/>
      </c>
      <c r="Y123" t="str">
        <f>IF(Allocation!D123="","",_CALC_ALLOC!AL123)</f>
        <v/>
      </c>
      <c r="Z123" t="str">
        <f>IF(Allocation!D123="","",_CALC_ALLOC!AM123)</f>
        <v/>
      </c>
      <c r="AA123" t="str">
        <f>IF(Allocation!D123="","",_CALC_ALLOC!AN123)</f>
        <v/>
      </c>
      <c r="AB123" t="str">
        <f>IF(Allocation!D123="","",AA123-T123)</f>
        <v/>
      </c>
      <c r="AC123" t="str">
        <f>IF(Allocation!D123="","",_CALC_ALLOC!AR123)</f>
        <v/>
      </c>
    </row>
    <row r="124" spans="22:29" x14ac:dyDescent="0.45">
      <c r="V124" t="str">
        <f>IF(Allocation!D124="","",_CALC_ALLOC!AI124)</f>
        <v/>
      </c>
      <c r="W124" t="str">
        <f>IF(Allocation!D124="","",_CALC_ALLOC!AJ124)</f>
        <v/>
      </c>
      <c r="X124" t="str">
        <f>IF(Allocation!D124="","",_CALC_ALLOC!AK124)</f>
        <v/>
      </c>
      <c r="Y124" t="str">
        <f>IF(Allocation!D124="","",_CALC_ALLOC!AL124)</f>
        <v/>
      </c>
      <c r="Z124" t="str">
        <f>IF(Allocation!D124="","",_CALC_ALLOC!AM124)</f>
        <v/>
      </c>
      <c r="AA124" t="str">
        <f>IF(Allocation!D124="","",_CALC_ALLOC!AN124)</f>
        <v/>
      </c>
      <c r="AB124" t="str">
        <f>IF(Allocation!D124="","",AA124-T124)</f>
        <v/>
      </c>
      <c r="AC124" t="str">
        <f>IF(Allocation!D124="","",_CALC_ALLOC!AR124)</f>
        <v/>
      </c>
    </row>
    <row r="125" spans="22:29" x14ac:dyDescent="0.45">
      <c r="V125" t="str">
        <f>IF(Allocation!D125="","",_CALC_ALLOC!AI125)</f>
        <v/>
      </c>
      <c r="W125" t="str">
        <f>IF(Allocation!D125="","",_CALC_ALLOC!AJ125)</f>
        <v/>
      </c>
      <c r="X125" t="str">
        <f>IF(Allocation!D125="","",_CALC_ALLOC!AK125)</f>
        <v/>
      </c>
      <c r="Y125" t="str">
        <f>IF(Allocation!D125="","",_CALC_ALLOC!AL125)</f>
        <v/>
      </c>
      <c r="Z125" t="str">
        <f>IF(Allocation!D125="","",_CALC_ALLOC!AM125)</f>
        <v/>
      </c>
      <c r="AA125" t="str">
        <f>IF(Allocation!D125="","",_CALC_ALLOC!AN125)</f>
        <v/>
      </c>
      <c r="AB125" t="str">
        <f>IF(Allocation!D125="","",AA125-T125)</f>
        <v/>
      </c>
      <c r="AC125" t="str">
        <f>IF(Allocation!D125="","",_CALC_ALLOC!AR125)</f>
        <v/>
      </c>
    </row>
    <row r="126" spans="22:29" x14ac:dyDescent="0.45">
      <c r="V126" t="str">
        <f>IF(Allocation!D126="","",_CALC_ALLOC!AI126)</f>
        <v/>
      </c>
      <c r="W126" t="str">
        <f>IF(Allocation!D126="","",_CALC_ALLOC!AJ126)</f>
        <v/>
      </c>
      <c r="X126" t="str">
        <f>IF(Allocation!D126="","",_CALC_ALLOC!AK126)</f>
        <v/>
      </c>
      <c r="Y126" t="str">
        <f>IF(Allocation!D126="","",_CALC_ALLOC!AL126)</f>
        <v/>
      </c>
      <c r="Z126" t="str">
        <f>IF(Allocation!D126="","",_CALC_ALLOC!AM126)</f>
        <v/>
      </c>
      <c r="AA126" t="str">
        <f>IF(Allocation!D126="","",_CALC_ALLOC!AN126)</f>
        <v/>
      </c>
      <c r="AB126" t="str">
        <f>IF(Allocation!D126="","",AA126-T126)</f>
        <v/>
      </c>
      <c r="AC126" t="str">
        <f>IF(Allocation!D126="","",_CALC_ALLOC!AR126)</f>
        <v/>
      </c>
    </row>
    <row r="127" spans="22:29" x14ac:dyDescent="0.45">
      <c r="V127" t="str">
        <f>IF(Allocation!D127="","",_CALC_ALLOC!AI127)</f>
        <v/>
      </c>
      <c r="W127" t="str">
        <f>IF(Allocation!D127="","",_CALC_ALLOC!AJ127)</f>
        <v/>
      </c>
      <c r="X127" t="str">
        <f>IF(Allocation!D127="","",_CALC_ALLOC!AK127)</f>
        <v/>
      </c>
      <c r="Y127" t="str">
        <f>IF(Allocation!D127="","",_CALC_ALLOC!AL127)</f>
        <v/>
      </c>
      <c r="Z127" t="str">
        <f>IF(Allocation!D127="","",_CALC_ALLOC!AM127)</f>
        <v/>
      </c>
      <c r="AA127" t="str">
        <f>IF(Allocation!D127="","",_CALC_ALLOC!AN127)</f>
        <v/>
      </c>
      <c r="AB127" t="str">
        <f>IF(Allocation!D127="","",AA127-T127)</f>
        <v/>
      </c>
      <c r="AC127" t="str">
        <f>IF(Allocation!D127="","",_CALC_ALLOC!AR127)</f>
        <v/>
      </c>
    </row>
    <row r="128" spans="22:29" x14ac:dyDescent="0.45">
      <c r="V128" t="str">
        <f>IF(Allocation!D128="","",_CALC_ALLOC!AI128)</f>
        <v/>
      </c>
      <c r="W128" t="str">
        <f>IF(Allocation!D128="","",_CALC_ALLOC!AJ128)</f>
        <v/>
      </c>
      <c r="X128" t="str">
        <f>IF(Allocation!D128="","",_CALC_ALLOC!AK128)</f>
        <v/>
      </c>
      <c r="Y128" t="str">
        <f>IF(Allocation!D128="","",_CALC_ALLOC!AL128)</f>
        <v/>
      </c>
      <c r="Z128" t="str">
        <f>IF(Allocation!D128="","",_CALC_ALLOC!AM128)</f>
        <v/>
      </c>
      <c r="AA128" t="str">
        <f>IF(Allocation!D128="","",_CALC_ALLOC!AN128)</f>
        <v/>
      </c>
      <c r="AB128" t="str">
        <f>IF(Allocation!D128="","",AA128-T128)</f>
        <v/>
      </c>
      <c r="AC128" t="str">
        <f>IF(Allocation!D128="","",_CALC_ALLOC!AR128)</f>
        <v/>
      </c>
    </row>
    <row r="129" spans="22:29" x14ac:dyDescent="0.45">
      <c r="V129" t="str">
        <f>IF(Allocation!D129="","",_CALC_ALLOC!AI129)</f>
        <v/>
      </c>
      <c r="W129" t="str">
        <f>IF(Allocation!D129="","",_CALC_ALLOC!AJ129)</f>
        <v/>
      </c>
      <c r="X129" t="str">
        <f>IF(Allocation!D129="","",_CALC_ALLOC!AK129)</f>
        <v/>
      </c>
      <c r="Y129" t="str">
        <f>IF(Allocation!D129="","",_CALC_ALLOC!AL129)</f>
        <v/>
      </c>
      <c r="Z129" t="str">
        <f>IF(Allocation!D129="","",_CALC_ALLOC!AM129)</f>
        <v/>
      </c>
      <c r="AA129" t="str">
        <f>IF(Allocation!D129="","",_CALC_ALLOC!AN129)</f>
        <v/>
      </c>
      <c r="AB129" t="str">
        <f>IF(Allocation!D129="","",AA129-T129)</f>
        <v/>
      </c>
      <c r="AC129" t="str">
        <f>IF(Allocation!D129="","",_CALC_ALLOC!AR129)</f>
        <v/>
      </c>
    </row>
    <row r="130" spans="22:29" x14ac:dyDescent="0.45">
      <c r="V130" t="str">
        <f>IF(Allocation!D130="","",_CALC_ALLOC!AI130)</f>
        <v/>
      </c>
      <c r="W130" t="str">
        <f>IF(Allocation!D130="","",_CALC_ALLOC!AJ130)</f>
        <v/>
      </c>
      <c r="X130" t="str">
        <f>IF(Allocation!D130="","",_CALC_ALLOC!AK130)</f>
        <v/>
      </c>
      <c r="Y130" t="str">
        <f>IF(Allocation!D130="","",_CALC_ALLOC!AL130)</f>
        <v/>
      </c>
      <c r="Z130" t="str">
        <f>IF(Allocation!D130="","",_CALC_ALLOC!AM130)</f>
        <v/>
      </c>
      <c r="AA130" t="str">
        <f>IF(Allocation!D130="","",_CALC_ALLOC!AN130)</f>
        <v/>
      </c>
      <c r="AB130" t="str">
        <f>IF(Allocation!D130="","",AA130-T130)</f>
        <v/>
      </c>
      <c r="AC130" t="str">
        <f>IF(Allocation!D130="","",_CALC_ALLOC!AR130)</f>
        <v/>
      </c>
    </row>
    <row r="131" spans="22:29" x14ac:dyDescent="0.45">
      <c r="V131" t="str">
        <f>IF(Allocation!D131="","",_CALC_ALLOC!AI131)</f>
        <v/>
      </c>
      <c r="W131" t="str">
        <f>IF(Allocation!D131="","",_CALC_ALLOC!AJ131)</f>
        <v/>
      </c>
      <c r="X131" t="str">
        <f>IF(Allocation!D131="","",_CALC_ALLOC!AK131)</f>
        <v/>
      </c>
      <c r="Y131" t="str">
        <f>IF(Allocation!D131="","",_CALC_ALLOC!AL131)</f>
        <v/>
      </c>
      <c r="Z131" t="str">
        <f>IF(Allocation!D131="","",_CALC_ALLOC!AM131)</f>
        <v/>
      </c>
      <c r="AA131" t="str">
        <f>IF(Allocation!D131="","",_CALC_ALLOC!AN131)</f>
        <v/>
      </c>
      <c r="AB131" t="str">
        <f>IF(Allocation!D131="","",AA131-T131)</f>
        <v/>
      </c>
      <c r="AC131" t="str">
        <f>IF(Allocation!D131="","",_CALC_ALLOC!AR131)</f>
        <v/>
      </c>
    </row>
    <row r="132" spans="22:29" x14ac:dyDescent="0.45">
      <c r="V132" t="str">
        <f>IF(Allocation!D132="","",_CALC_ALLOC!AI132)</f>
        <v/>
      </c>
      <c r="W132" t="str">
        <f>IF(Allocation!D132="","",_CALC_ALLOC!AJ132)</f>
        <v/>
      </c>
      <c r="X132" t="str">
        <f>IF(Allocation!D132="","",_CALC_ALLOC!AK132)</f>
        <v/>
      </c>
      <c r="Y132" t="str">
        <f>IF(Allocation!D132="","",_CALC_ALLOC!AL132)</f>
        <v/>
      </c>
      <c r="Z132" t="str">
        <f>IF(Allocation!D132="","",_CALC_ALLOC!AM132)</f>
        <v/>
      </c>
      <c r="AA132" t="str">
        <f>IF(Allocation!D132="","",_CALC_ALLOC!AN132)</f>
        <v/>
      </c>
      <c r="AB132" t="str">
        <f>IF(Allocation!D132="","",AA132-T132)</f>
        <v/>
      </c>
      <c r="AC132" t="str">
        <f>IF(Allocation!D132="","",_CALC_ALLOC!AR132)</f>
        <v/>
      </c>
    </row>
    <row r="133" spans="22:29" x14ac:dyDescent="0.45">
      <c r="V133" t="str">
        <f>IF(Allocation!D133="","",_CALC_ALLOC!AI133)</f>
        <v/>
      </c>
      <c r="W133" t="str">
        <f>IF(Allocation!D133="","",_CALC_ALLOC!AJ133)</f>
        <v/>
      </c>
      <c r="X133" t="str">
        <f>IF(Allocation!D133="","",_CALC_ALLOC!AK133)</f>
        <v/>
      </c>
      <c r="Y133" t="str">
        <f>IF(Allocation!D133="","",_CALC_ALLOC!AL133)</f>
        <v/>
      </c>
      <c r="Z133" t="str">
        <f>IF(Allocation!D133="","",_CALC_ALLOC!AM133)</f>
        <v/>
      </c>
      <c r="AA133" t="str">
        <f>IF(Allocation!D133="","",_CALC_ALLOC!AN133)</f>
        <v/>
      </c>
      <c r="AB133" t="str">
        <f>IF(Allocation!D133="","",AA133-T133)</f>
        <v/>
      </c>
      <c r="AC133" t="str">
        <f>IF(Allocation!D133="","",_CALC_ALLOC!AR133)</f>
        <v/>
      </c>
    </row>
    <row r="134" spans="22:29" x14ac:dyDescent="0.45">
      <c r="V134" t="str">
        <f>IF(Allocation!D134="","",_CALC_ALLOC!AI134)</f>
        <v/>
      </c>
      <c r="W134" t="str">
        <f>IF(Allocation!D134="","",_CALC_ALLOC!AJ134)</f>
        <v/>
      </c>
      <c r="X134" t="str">
        <f>IF(Allocation!D134="","",_CALC_ALLOC!AK134)</f>
        <v/>
      </c>
      <c r="Y134" t="str">
        <f>IF(Allocation!D134="","",_CALC_ALLOC!AL134)</f>
        <v/>
      </c>
      <c r="Z134" t="str">
        <f>IF(Allocation!D134="","",_CALC_ALLOC!AM134)</f>
        <v/>
      </c>
      <c r="AA134" t="str">
        <f>IF(Allocation!D134="","",_CALC_ALLOC!AN134)</f>
        <v/>
      </c>
      <c r="AB134" t="str">
        <f>IF(Allocation!D134="","",AA134-T134)</f>
        <v/>
      </c>
      <c r="AC134" t="str">
        <f>IF(Allocation!D134="","",_CALC_ALLOC!AR134)</f>
        <v/>
      </c>
    </row>
    <row r="135" spans="22:29" x14ac:dyDescent="0.45">
      <c r="V135" t="str">
        <f>IF(Allocation!D135="","",_CALC_ALLOC!AI135)</f>
        <v/>
      </c>
      <c r="W135" t="str">
        <f>IF(Allocation!D135="","",_CALC_ALLOC!AJ135)</f>
        <v/>
      </c>
      <c r="X135" t="str">
        <f>IF(Allocation!D135="","",_CALC_ALLOC!AK135)</f>
        <v/>
      </c>
      <c r="Y135" t="str">
        <f>IF(Allocation!D135="","",_CALC_ALLOC!AL135)</f>
        <v/>
      </c>
      <c r="Z135" t="str">
        <f>IF(Allocation!D135="","",_CALC_ALLOC!AM135)</f>
        <v/>
      </c>
      <c r="AA135" t="str">
        <f>IF(Allocation!D135="","",_CALC_ALLOC!AN135)</f>
        <v/>
      </c>
      <c r="AB135" t="str">
        <f>IF(Allocation!D135="","",AA135-T135)</f>
        <v/>
      </c>
      <c r="AC135" t="str">
        <f>IF(Allocation!D135="","",_CALC_ALLOC!AR135)</f>
        <v/>
      </c>
    </row>
    <row r="136" spans="22:29" x14ac:dyDescent="0.45">
      <c r="V136" t="str">
        <f>IF(Allocation!D136="","",_CALC_ALLOC!AI136)</f>
        <v/>
      </c>
      <c r="W136" t="str">
        <f>IF(Allocation!D136="","",_CALC_ALLOC!AJ136)</f>
        <v/>
      </c>
      <c r="X136" t="str">
        <f>IF(Allocation!D136="","",_CALC_ALLOC!AK136)</f>
        <v/>
      </c>
      <c r="Y136" t="str">
        <f>IF(Allocation!D136="","",_CALC_ALLOC!AL136)</f>
        <v/>
      </c>
      <c r="Z136" t="str">
        <f>IF(Allocation!D136="","",_CALC_ALLOC!AM136)</f>
        <v/>
      </c>
      <c r="AA136" t="str">
        <f>IF(Allocation!D136="","",_CALC_ALLOC!AN136)</f>
        <v/>
      </c>
      <c r="AB136" t="str">
        <f>IF(Allocation!D136="","",AA136-T136)</f>
        <v/>
      </c>
      <c r="AC136" t="str">
        <f>IF(Allocation!D136="","",_CALC_ALLOC!AR136)</f>
        <v/>
      </c>
    </row>
    <row r="137" spans="22:29" x14ac:dyDescent="0.45">
      <c r="V137" t="str">
        <f>IF(Allocation!D137="","",_CALC_ALLOC!AI137)</f>
        <v/>
      </c>
      <c r="W137" t="str">
        <f>IF(Allocation!D137="","",_CALC_ALLOC!AJ137)</f>
        <v/>
      </c>
      <c r="X137" t="str">
        <f>IF(Allocation!D137="","",_CALC_ALLOC!AK137)</f>
        <v/>
      </c>
      <c r="Y137" t="str">
        <f>IF(Allocation!D137="","",_CALC_ALLOC!AL137)</f>
        <v/>
      </c>
      <c r="Z137" t="str">
        <f>IF(Allocation!D137="","",_CALC_ALLOC!AM137)</f>
        <v/>
      </c>
      <c r="AA137" t="str">
        <f>IF(Allocation!D137="","",_CALC_ALLOC!AN137)</f>
        <v/>
      </c>
      <c r="AB137" t="str">
        <f>IF(Allocation!D137="","",AA137-T137)</f>
        <v/>
      </c>
      <c r="AC137" t="str">
        <f>IF(Allocation!D137="","",_CALC_ALLOC!AR137)</f>
        <v/>
      </c>
    </row>
    <row r="138" spans="22:29" x14ac:dyDescent="0.45">
      <c r="V138" t="str">
        <f>IF(Allocation!D138="","",_CALC_ALLOC!AI138)</f>
        <v/>
      </c>
      <c r="W138" t="str">
        <f>IF(Allocation!D138="","",_CALC_ALLOC!AJ138)</f>
        <v/>
      </c>
      <c r="X138" t="str">
        <f>IF(Allocation!D138="","",_CALC_ALLOC!AK138)</f>
        <v/>
      </c>
      <c r="Y138" t="str">
        <f>IF(Allocation!D138="","",_CALC_ALLOC!AL138)</f>
        <v/>
      </c>
      <c r="Z138" t="str">
        <f>IF(Allocation!D138="","",_CALC_ALLOC!AM138)</f>
        <v/>
      </c>
      <c r="AA138" t="str">
        <f>IF(Allocation!D138="","",_CALC_ALLOC!AN138)</f>
        <v/>
      </c>
      <c r="AB138" t="str">
        <f>IF(Allocation!D138="","",AA138-T138)</f>
        <v/>
      </c>
      <c r="AC138" t="str">
        <f>IF(Allocation!D138="","",_CALC_ALLOC!AR138)</f>
        <v/>
      </c>
    </row>
    <row r="139" spans="22:29" x14ac:dyDescent="0.45">
      <c r="V139" t="str">
        <f>IF(Allocation!D139="","",_CALC_ALLOC!AI139)</f>
        <v/>
      </c>
      <c r="W139" t="str">
        <f>IF(Allocation!D139="","",_CALC_ALLOC!AJ139)</f>
        <v/>
      </c>
      <c r="X139" t="str">
        <f>IF(Allocation!D139="","",_CALC_ALLOC!AK139)</f>
        <v/>
      </c>
      <c r="Y139" t="str">
        <f>IF(Allocation!D139="","",_CALC_ALLOC!AL139)</f>
        <v/>
      </c>
      <c r="Z139" t="str">
        <f>IF(Allocation!D139="","",_CALC_ALLOC!AM139)</f>
        <v/>
      </c>
      <c r="AA139" t="str">
        <f>IF(Allocation!D139="","",_CALC_ALLOC!AN139)</f>
        <v/>
      </c>
      <c r="AB139" t="str">
        <f>IF(Allocation!D139="","",AA139-T139)</f>
        <v/>
      </c>
      <c r="AC139" t="str">
        <f>IF(Allocation!D139="","",_CALC_ALLOC!AR139)</f>
        <v/>
      </c>
    </row>
    <row r="140" spans="22:29" x14ac:dyDescent="0.45">
      <c r="V140" t="str">
        <f>IF(Allocation!D140="","",_CALC_ALLOC!AI140)</f>
        <v/>
      </c>
      <c r="W140" t="str">
        <f>IF(Allocation!D140="","",_CALC_ALLOC!AJ140)</f>
        <v/>
      </c>
      <c r="X140" t="str">
        <f>IF(Allocation!D140="","",_CALC_ALLOC!AK140)</f>
        <v/>
      </c>
      <c r="Y140" t="str">
        <f>IF(Allocation!D140="","",_CALC_ALLOC!AL140)</f>
        <v/>
      </c>
      <c r="Z140" t="str">
        <f>IF(Allocation!D140="","",_CALC_ALLOC!AM140)</f>
        <v/>
      </c>
      <c r="AA140" t="str">
        <f>IF(Allocation!D140="","",_CALC_ALLOC!AN140)</f>
        <v/>
      </c>
      <c r="AB140" t="str">
        <f>IF(Allocation!D140="","",AA140-T140)</f>
        <v/>
      </c>
      <c r="AC140" t="str">
        <f>IF(Allocation!D140="","",_CALC_ALLOC!AR140)</f>
        <v/>
      </c>
    </row>
    <row r="141" spans="22:29" x14ac:dyDescent="0.45">
      <c r="V141" t="str">
        <f>IF(Allocation!D141="","",_CALC_ALLOC!AI141)</f>
        <v/>
      </c>
      <c r="W141" t="str">
        <f>IF(Allocation!D141="","",_CALC_ALLOC!AJ141)</f>
        <v/>
      </c>
      <c r="X141" t="str">
        <f>IF(Allocation!D141="","",_CALC_ALLOC!AK141)</f>
        <v/>
      </c>
      <c r="Y141" t="str">
        <f>IF(Allocation!D141="","",_CALC_ALLOC!AL141)</f>
        <v/>
      </c>
      <c r="Z141" t="str">
        <f>IF(Allocation!D141="","",_CALC_ALLOC!AM141)</f>
        <v/>
      </c>
      <c r="AA141" t="str">
        <f>IF(Allocation!D141="","",_CALC_ALLOC!AN141)</f>
        <v/>
      </c>
      <c r="AB141" t="str">
        <f>IF(Allocation!D141="","",AA141-T141)</f>
        <v/>
      </c>
      <c r="AC141" t="str">
        <f>IF(Allocation!D141="","",_CALC_ALLOC!AR141)</f>
        <v/>
      </c>
    </row>
    <row r="142" spans="22:29" x14ac:dyDescent="0.45">
      <c r="V142" t="str">
        <f>IF(Allocation!D142="","",_CALC_ALLOC!AI142)</f>
        <v/>
      </c>
      <c r="W142" t="str">
        <f>IF(Allocation!D142="","",_CALC_ALLOC!AJ142)</f>
        <v/>
      </c>
      <c r="X142" t="str">
        <f>IF(Allocation!D142="","",_CALC_ALLOC!AK142)</f>
        <v/>
      </c>
      <c r="Y142" t="str">
        <f>IF(Allocation!D142="","",_CALC_ALLOC!AL142)</f>
        <v/>
      </c>
      <c r="Z142" t="str">
        <f>IF(Allocation!D142="","",_CALC_ALLOC!AM142)</f>
        <v/>
      </c>
      <c r="AA142" t="str">
        <f>IF(Allocation!D142="","",_CALC_ALLOC!AN142)</f>
        <v/>
      </c>
      <c r="AB142" t="str">
        <f>IF(Allocation!D142="","",AA142-T142)</f>
        <v/>
      </c>
      <c r="AC142" t="str">
        <f>IF(Allocation!D142="","",_CALC_ALLOC!AR142)</f>
        <v/>
      </c>
    </row>
    <row r="143" spans="22:29" x14ac:dyDescent="0.45">
      <c r="V143" t="str">
        <f>IF(Allocation!D143="","",_CALC_ALLOC!AI143)</f>
        <v/>
      </c>
      <c r="W143" t="str">
        <f>IF(Allocation!D143="","",_CALC_ALLOC!AJ143)</f>
        <v/>
      </c>
      <c r="X143" t="str">
        <f>IF(Allocation!D143="","",_CALC_ALLOC!AK143)</f>
        <v/>
      </c>
      <c r="Y143" t="str">
        <f>IF(Allocation!D143="","",_CALC_ALLOC!AL143)</f>
        <v/>
      </c>
      <c r="Z143" t="str">
        <f>IF(Allocation!D143="","",_CALC_ALLOC!AM143)</f>
        <v/>
      </c>
      <c r="AA143" t="str">
        <f>IF(Allocation!D143="","",_CALC_ALLOC!AN143)</f>
        <v/>
      </c>
      <c r="AB143" t="str">
        <f>IF(Allocation!D143="","",AA143-T143)</f>
        <v/>
      </c>
      <c r="AC143" t="str">
        <f>IF(Allocation!D143="","",_CALC_ALLOC!AR143)</f>
        <v/>
      </c>
    </row>
    <row r="144" spans="22:29" x14ac:dyDescent="0.45">
      <c r="V144" t="str">
        <f>IF(Allocation!D144="","",_CALC_ALLOC!AI144)</f>
        <v/>
      </c>
      <c r="W144" t="str">
        <f>IF(Allocation!D144="","",_CALC_ALLOC!AJ144)</f>
        <v/>
      </c>
      <c r="X144" t="str">
        <f>IF(Allocation!D144="","",_CALC_ALLOC!AK144)</f>
        <v/>
      </c>
      <c r="Y144" t="str">
        <f>IF(Allocation!D144="","",_CALC_ALLOC!AL144)</f>
        <v/>
      </c>
      <c r="Z144" t="str">
        <f>IF(Allocation!D144="","",_CALC_ALLOC!AM144)</f>
        <v/>
      </c>
      <c r="AA144" t="str">
        <f>IF(Allocation!D144="","",_CALC_ALLOC!AN144)</f>
        <v/>
      </c>
      <c r="AB144" t="str">
        <f>IF(Allocation!D144="","",AA144-T144)</f>
        <v/>
      </c>
      <c r="AC144" t="str">
        <f>IF(Allocation!D144="","",_CALC_ALLOC!AR144)</f>
        <v/>
      </c>
    </row>
    <row r="145" spans="22:29" x14ac:dyDescent="0.45">
      <c r="V145" t="str">
        <f>IF(Allocation!D145="","",_CALC_ALLOC!AI145)</f>
        <v/>
      </c>
      <c r="W145" t="str">
        <f>IF(Allocation!D145="","",_CALC_ALLOC!AJ145)</f>
        <v/>
      </c>
      <c r="X145" t="str">
        <f>IF(Allocation!D145="","",_CALC_ALLOC!AK145)</f>
        <v/>
      </c>
      <c r="Y145" t="str">
        <f>IF(Allocation!D145="","",_CALC_ALLOC!AL145)</f>
        <v/>
      </c>
      <c r="Z145" t="str">
        <f>IF(Allocation!D145="","",_CALC_ALLOC!AM145)</f>
        <v/>
      </c>
      <c r="AA145" t="str">
        <f>IF(Allocation!D145="","",_CALC_ALLOC!AN145)</f>
        <v/>
      </c>
      <c r="AB145" t="str">
        <f>IF(Allocation!D145="","",AA145-T145)</f>
        <v/>
      </c>
      <c r="AC145" t="str">
        <f>IF(Allocation!D145="","",_CALC_ALLOC!AR145)</f>
        <v/>
      </c>
    </row>
    <row r="146" spans="22:29" x14ac:dyDescent="0.45">
      <c r="V146" t="str">
        <f>IF(Allocation!D146="","",_CALC_ALLOC!AI146)</f>
        <v/>
      </c>
      <c r="W146" t="str">
        <f>IF(Allocation!D146="","",_CALC_ALLOC!AJ146)</f>
        <v/>
      </c>
      <c r="X146" t="str">
        <f>IF(Allocation!D146="","",_CALC_ALLOC!AK146)</f>
        <v/>
      </c>
      <c r="Y146" t="str">
        <f>IF(Allocation!D146="","",_CALC_ALLOC!AL146)</f>
        <v/>
      </c>
      <c r="Z146" t="str">
        <f>IF(Allocation!D146="","",_CALC_ALLOC!AM146)</f>
        <v/>
      </c>
      <c r="AA146" t="str">
        <f>IF(Allocation!D146="","",_CALC_ALLOC!AN146)</f>
        <v/>
      </c>
      <c r="AB146" t="str">
        <f>IF(Allocation!D146="","",AA146-T146)</f>
        <v/>
      </c>
      <c r="AC146" t="str">
        <f>IF(Allocation!D146="","",_CALC_ALLOC!AR146)</f>
        <v/>
      </c>
    </row>
    <row r="147" spans="22:29" x14ac:dyDescent="0.45">
      <c r="V147" t="str">
        <f>IF(Allocation!D147="","",_CALC_ALLOC!AI147)</f>
        <v/>
      </c>
      <c r="W147" t="str">
        <f>IF(Allocation!D147="","",_CALC_ALLOC!AJ147)</f>
        <v/>
      </c>
      <c r="X147" t="str">
        <f>IF(Allocation!D147="","",_CALC_ALLOC!AK147)</f>
        <v/>
      </c>
      <c r="Y147" t="str">
        <f>IF(Allocation!D147="","",_CALC_ALLOC!AL147)</f>
        <v/>
      </c>
      <c r="Z147" t="str">
        <f>IF(Allocation!D147="","",_CALC_ALLOC!AM147)</f>
        <v/>
      </c>
      <c r="AA147" t="str">
        <f>IF(Allocation!D147="","",_CALC_ALLOC!AN147)</f>
        <v/>
      </c>
      <c r="AB147" t="str">
        <f>IF(Allocation!D147="","",AA147-T147)</f>
        <v/>
      </c>
      <c r="AC147" t="str">
        <f>IF(Allocation!D147="","",_CALC_ALLOC!AR147)</f>
        <v/>
      </c>
    </row>
    <row r="148" spans="22:29" x14ac:dyDescent="0.45">
      <c r="V148" t="str">
        <f>IF(Allocation!D148="","",_CALC_ALLOC!AI148)</f>
        <v/>
      </c>
      <c r="W148" t="str">
        <f>IF(Allocation!D148="","",_CALC_ALLOC!AJ148)</f>
        <v/>
      </c>
      <c r="X148" t="str">
        <f>IF(Allocation!D148="","",_CALC_ALLOC!AK148)</f>
        <v/>
      </c>
      <c r="Y148" t="str">
        <f>IF(Allocation!D148="","",_CALC_ALLOC!AL148)</f>
        <v/>
      </c>
      <c r="Z148" t="str">
        <f>IF(Allocation!D148="","",_CALC_ALLOC!AM148)</f>
        <v/>
      </c>
      <c r="AA148" t="str">
        <f>IF(Allocation!D148="","",_CALC_ALLOC!AN148)</f>
        <v/>
      </c>
      <c r="AB148" t="str">
        <f>IF(Allocation!D148="","",AA148-T148)</f>
        <v/>
      </c>
      <c r="AC148" t="str">
        <f>IF(Allocation!D148="","",_CALC_ALLOC!AR148)</f>
        <v/>
      </c>
    </row>
    <row r="149" spans="22:29" x14ac:dyDescent="0.45">
      <c r="V149" t="str">
        <f>IF(Allocation!D149="","",_CALC_ALLOC!AI149)</f>
        <v/>
      </c>
      <c r="W149" t="str">
        <f>IF(Allocation!D149="","",_CALC_ALLOC!AJ149)</f>
        <v/>
      </c>
      <c r="X149" t="str">
        <f>IF(Allocation!D149="","",_CALC_ALLOC!AK149)</f>
        <v/>
      </c>
      <c r="Y149" t="str">
        <f>IF(Allocation!D149="","",_CALC_ALLOC!AL149)</f>
        <v/>
      </c>
      <c r="Z149" t="str">
        <f>IF(Allocation!D149="","",_CALC_ALLOC!AM149)</f>
        <v/>
      </c>
      <c r="AA149" t="str">
        <f>IF(Allocation!D149="","",_CALC_ALLOC!AN149)</f>
        <v/>
      </c>
      <c r="AB149" t="str">
        <f>IF(Allocation!D149="","",AA149-T149)</f>
        <v/>
      </c>
      <c r="AC149" t="str">
        <f>IF(Allocation!D149="","",_CALC_ALLOC!AR149)</f>
        <v/>
      </c>
    </row>
    <row r="150" spans="22:29" x14ac:dyDescent="0.45">
      <c r="V150" t="str">
        <f>IF(Allocation!D150="","",_CALC_ALLOC!AI150)</f>
        <v/>
      </c>
      <c r="W150" t="str">
        <f>IF(Allocation!D150="","",_CALC_ALLOC!AJ150)</f>
        <v/>
      </c>
      <c r="X150" t="str">
        <f>IF(Allocation!D150="","",_CALC_ALLOC!AK150)</f>
        <v/>
      </c>
      <c r="Y150" t="str">
        <f>IF(Allocation!D150="","",_CALC_ALLOC!AL150)</f>
        <v/>
      </c>
      <c r="Z150" t="str">
        <f>IF(Allocation!D150="","",_CALC_ALLOC!AM150)</f>
        <v/>
      </c>
      <c r="AA150" t="str">
        <f>IF(Allocation!D150="","",_CALC_ALLOC!AN150)</f>
        <v/>
      </c>
      <c r="AB150" t="str">
        <f>IF(Allocation!D150="","",AA150-T150)</f>
        <v/>
      </c>
      <c r="AC150" t="str">
        <f>IF(Allocation!D150="","",_CALC_ALLOC!AR150)</f>
        <v/>
      </c>
    </row>
    <row r="151" spans="22:29" x14ac:dyDescent="0.45">
      <c r="V151" t="str">
        <f>IF(Allocation!D151="","",_CALC_ALLOC!AI151)</f>
        <v/>
      </c>
      <c r="W151" t="str">
        <f>IF(Allocation!D151="","",_CALC_ALLOC!AJ151)</f>
        <v/>
      </c>
      <c r="X151" t="str">
        <f>IF(Allocation!D151="","",_CALC_ALLOC!AK151)</f>
        <v/>
      </c>
      <c r="Y151" t="str">
        <f>IF(Allocation!D151="","",_CALC_ALLOC!AL151)</f>
        <v/>
      </c>
      <c r="Z151" t="str">
        <f>IF(Allocation!D151="","",_CALC_ALLOC!AM151)</f>
        <v/>
      </c>
      <c r="AA151" t="str">
        <f>IF(Allocation!D151="","",_CALC_ALLOC!AN151)</f>
        <v/>
      </c>
      <c r="AB151" t="str">
        <f>IF(Allocation!D151="","",AA151-T151)</f>
        <v/>
      </c>
      <c r="AC151" t="str">
        <f>IF(Allocation!D151="","",_CALC_ALLOC!AR151)</f>
        <v/>
      </c>
    </row>
    <row r="152" spans="22:29" x14ac:dyDescent="0.45">
      <c r="V152" t="str">
        <f>IF(Allocation!D152="","",_CALC_ALLOC!AI152)</f>
        <v/>
      </c>
      <c r="W152" t="str">
        <f>IF(Allocation!D152="","",_CALC_ALLOC!AJ152)</f>
        <v/>
      </c>
      <c r="X152" t="str">
        <f>IF(Allocation!D152="","",_CALC_ALLOC!AK152)</f>
        <v/>
      </c>
      <c r="Y152" t="str">
        <f>IF(Allocation!D152="","",_CALC_ALLOC!AL152)</f>
        <v/>
      </c>
      <c r="Z152" t="str">
        <f>IF(Allocation!D152="","",_CALC_ALLOC!AM152)</f>
        <v/>
      </c>
      <c r="AA152" t="str">
        <f>IF(Allocation!D152="","",_CALC_ALLOC!AN152)</f>
        <v/>
      </c>
      <c r="AB152" t="str">
        <f>IF(Allocation!D152="","",AA152-T152)</f>
        <v/>
      </c>
      <c r="AC152" t="str">
        <f>IF(Allocation!D152="","",_CALC_ALLOC!AR152)</f>
        <v/>
      </c>
    </row>
    <row r="153" spans="22:29" x14ac:dyDescent="0.45">
      <c r="V153" t="str">
        <f>IF(Allocation!D153="","",_CALC_ALLOC!AI153)</f>
        <v/>
      </c>
      <c r="W153" t="str">
        <f>IF(Allocation!D153="","",_CALC_ALLOC!AJ153)</f>
        <v/>
      </c>
      <c r="X153" t="str">
        <f>IF(Allocation!D153="","",_CALC_ALLOC!AK153)</f>
        <v/>
      </c>
      <c r="Y153" t="str">
        <f>IF(Allocation!D153="","",_CALC_ALLOC!AL153)</f>
        <v/>
      </c>
      <c r="Z153" t="str">
        <f>IF(Allocation!D153="","",_CALC_ALLOC!AM153)</f>
        <v/>
      </c>
      <c r="AA153" t="str">
        <f>IF(Allocation!D153="","",_CALC_ALLOC!AN153)</f>
        <v/>
      </c>
      <c r="AB153" t="str">
        <f>IF(Allocation!D153="","",AA153-T153)</f>
        <v/>
      </c>
      <c r="AC153" t="str">
        <f>IF(Allocation!D153="","",_CALC_ALLOC!AR153)</f>
        <v/>
      </c>
    </row>
    <row r="154" spans="22:29" x14ac:dyDescent="0.45">
      <c r="V154" t="str">
        <f>IF(Allocation!D154="","",_CALC_ALLOC!AI154)</f>
        <v/>
      </c>
      <c r="W154" t="str">
        <f>IF(Allocation!D154="","",_CALC_ALLOC!AJ154)</f>
        <v/>
      </c>
      <c r="X154" t="str">
        <f>IF(Allocation!D154="","",_CALC_ALLOC!AK154)</f>
        <v/>
      </c>
      <c r="Y154" t="str">
        <f>IF(Allocation!D154="","",_CALC_ALLOC!AL154)</f>
        <v/>
      </c>
      <c r="Z154" t="str">
        <f>IF(Allocation!D154="","",_CALC_ALLOC!AM154)</f>
        <v/>
      </c>
      <c r="AA154" t="str">
        <f>IF(Allocation!D154="","",_CALC_ALLOC!AN154)</f>
        <v/>
      </c>
      <c r="AB154" t="str">
        <f>IF(Allocation!D154="","",AA154-T154)</f>
        <v/>
      </c>
      <c r="AC154" t="str">
        <f>IF(Allocation!D154="","",_CALC_ALLOC!AR154)</f>
        <v/>
      </c>
    </row>
    <row r="155" spans="22:29" x14ac:dyDescent="0.45">
      <c r="V155" t="str">
        <f>IF(Allocation!D155="","",_CALC_ALLOC!AI155)</f>
        <v/>
      </c>
      <c r="W155" t="str">
        <f>IF(Allocation!D155="","",_CALC_ALLOC!AJ155)</f>
        <v/>
      </c>
      <c r="X155" t="str">
        <f>IF(Allocation!D155="","",_CALC_ALLOC!AK155)</f>
        <v/>
      </c>
      <c r="Y155" t="str">
        <f>IF(Allocation!D155="","",_CALC_ALLOC!AL155)</f>
        <v/>
      </c>
      <c r="Z155" t="str">
        <f>IF(Allocation!D155="","",_CALC_ALLOC!AM155)</f>
        <v/>
      </c>
      <c r="AA155" t="str">
        <f>IF(Allocation!D155="","",_CALC_ALLOC!AN155)</f>
        <v/>
      </c>
      <c r="AB155" t="str">
        <f>IF(Allocation!D155="","",AA155-T155)</f>
        <v/>
      </c>
      <c r="AC155" t="str">
        <f>IF(Allocation!D155="","",_CALC_ALLOC!AR155)</f>
        <v/>
      </c>
    </row>
    <row r="156" spans="22:29" x14ac:dyDescent="0.45">
      <c r="V156" t="str">
        <f>IF(Allocation!D156="","",_CALC_ALLOC!AI156)</f>
        <v/>
      </c>
      <c r="W156" t="str">
        <f>IF(Allocation!D156="","",_CALC_ALLOC!AJ156)</f>
        <v/>
      </c>
      <c r="X156" t="str">
        <f>IF(Allocation!D156="","",_CALC_ALLOC!AK156)</f>
        <v/>
      </c>
      <c r="Y156" t="str">
        <f>IF(Allocation!D156="","",_CALC_ALLOC!AL156)</f>
        <v/>
      </c>
      <c r="Z156" t="str">
        <f>IF(Allocation!D156="","",_CALC_ALLOC!AM156)</f>
        <v/>
      </c>
      <c r="AA156" t="str">
        <f>IF(Allocation!D156="","",_CALC_ALLOC!AN156)</f>
        <v/>
      </c>
      <c r="AB156" t="str">
        <f>IF(Allocation!D156="","",AA156-T156)</f>
        <v/>
      </c>
      <c r="AC156" t="str">
        <f>IF(Allocation!D156="","",_CALC_ALLOC!AR156)</f>
        <v/>
      </c>
    </row>
    <row r="157" spans="22:29" x14ac:dyDescent="0.45">
      <c r="V157" t="str">
        <f>IF(Allocation!D157="","",_CALC_ALLOC!AI157)</f>
        <v/>
      </c>
      <c r="W157" t="str">
        <f>IF(Allocation!D157="","",_CALC_ALLOC!AJ157)</f>
        <v/>
      </c>
      <c r="X157" t="str">
        <f>IF(Allocation!D157="","",_CALC_ALLOC!AK157)</f>
        <v/>
      </c>
      <c r="Y157" t="str">
        <f>IF(Allocation!D157="","",_CALC_ALLOC!AL157)</f>
        <v/>
      </c>
      <c r="Z157" t="str">
        <f>IF(Allocation!D157="","",_CALC_ALLOC!AM157)</f>
        <v/>
      </c>
      <c r="AA157" t="str">
        <f>IF(Allocation!D157="","",_CALC_ALLOC!AN157)</f>
        <v/>
      </c>
      <c r="AB157" t="str">
        <f>IF(Allocation!D157="","",AA157-T157)</f>
        <v/>
      </c>
      <c r="AC157" t="str">
        <f>IF(Allocation!D157="","",_CALC_ALLOC!AR157)</f>
        <v/>
      </c>
    </row>
    <row r="158" spans="22:29" x14ac:dyDescent="0.45">
      <c r="V158" t="str">
        <f>IF(Allocation!D158="","",_CALC_ALLOC!AI158)</f>
        <v/>
      </c>
      <c r="W158" t="str">
        <f>IF(Allocation!D158="","",_CALC_ALLOC!AJ158)</f>
        <v/>
      </c>
      <c r="X158" t="str">
        <f>IF(Allocation!D158="","",_CALC_ALLOC!AK158)</f>
        <v/>
      </c>
      <c r="Y158" t="str">
        <f>IF(Allocation!D158="","",_CALC_ALLOC!AL158)</f>
        <v/>
      </c>
      <c r="Z158" t="str">
        <f>IF(Allocation!D158="","",_CALC_ALLOC!AM158)</f>
        <v/>
      </c>
      <c r="AA158" t="str">
        <f>IF(Allocation!D158="","",_CALC_ALLOC!AN158)</f>
        <v/>
      </c>
      <c r="AB158" t="str">
        <f>IF(Allocation!D158="","",AA158-T158)</f>
        <v/>
      </c>
      <c r="AC158" t="str">
        <f>IF(Allocation!D158="","",_CALC_ALLOC!AR158)</f>
        <v/>
      </c>
    </row>
    <row r="159" spans="22:29" x14ac:dyDescent="0.45">
      <c r="V159" t="str">
        <f>IF(Allocation!D159="","",_CALC_ALLOC!AI159)</f>
        <v/>
      </c>
      <c r="W159" t="str">
        <f>IF(Allocation!D159="","",_CALC_ALLOC!AJ159)</f>
        <v/>
      </c>
      <c r="X159" t="str">
        <f>IF(Allocation!D159="","",_CALC_ALLOC!AK159)</f>
        <v/>
      </c>
      <c r="Y159" t="str">
        <f>IF(Allocation!D159="","",_CALC_ALLOC!AL159)</f>
        <v/>
      </c>
      <c r="Z159" t="str">
        <f>IF(Allocation!D159="","",_CALC_ALLOC!AM159)</f>
        <v/>
      </c>
      <c r="AA159" t="str">
        <f>IF(Allocation!D159="","",_CALC_ALLOC!AN159)</f>
        <v/>
      </c>
      <c r="AB159" t="str">
        <f>IF(Allocation!D159="","",AA159-T159)</f>
        <v/>
      </c>
      <c r="AC159" t="str">
        <f>IF(Allocation!D159="","",_CALC_ALLOC!AR159)</f>
        <v/>
      </c>
    </row>
    <row r="160" spans="22:29" x14ac:dyDescent="0.45">
      <c r="V160" t="str">
        <f>IF(Allocation!D160="","",_CALC_ALLOC!AI160)</f>
        <v/>
      </c>
      <c r="W160" t="str">
        <f>IF(Allocation!D160="","",_CALC_ALLOC!AJ160)</f>
        <v/>
      </c>
      <c r="X160" t="str">
        <f>IF(Allocation!D160="","",_CALC_ALLOC!AK160)</f>
        <v/>
      </c>
      <c r="Y160" t="str">
        <f>IF(Allocation!D160="","",_CALC_ALLOC!AL160)</f>
        <v/>
      </c>
      <c r="Z160" t="str">
        <f>IF(Allocation!D160="","",_CALC_ALLOC!AM160)</f>
        <v/>
      </c>
      <c r="AA160" t="str">
        <f>IF(Allocation!D160="","",_CALC_ALLOC!AN160)</f>
        <v/>
      </c>
      <c r="AB160" t="str">
        <f>IF(Allocation!D160="","",AA160-T160)</f>
        <v/>
      </c>
      <c r="AC160" t="str">
        <f>IF(Allocation!D160="","",_CALC_ALLOC!AR160)</f>
        <v/>
      </c>
    </row>
    <row r="161" spans="22:29" x14ac:dyDescent="0.45">
      <c r="V161" t="str">
        <f>IF(Allocation!D161="","",_CALC_ALLOC!AI161)</f>
        <v/>
      </c>
      <c r="W161" t="str">
        <f>IF(Allocation!D161="","",_CALC_ALLOC!AJ161)</f>
        <v/>
      </c>
      <c r="X161" t="str">
        <f>IF(Allocation!D161="","",_CALC_ALLOC!AK161)</f>
        <v/>
      </c>
      <c r="Y161" t="str">
        <f>IF(Allocation!D161="","",_CALC_ALLOC!AL161)</f>
        <v/>
      </c>
      <c r="Z161" t="str">
        <f>IF(Allocation!D161="","",_CALC_ALLOC!AM161)</f>
        <v/>
      </c>
      <c r="AA161" t="str">
        <f>IF(Allocation!D161="","",_CALC_ALLOC!AN161)</f>
        <v/>
      </c>
      <c r="AB161" t="str">
        <f>IF(Allocation!D161="","",AA161-T161)</f>
        <v/>
      </c>
      <c r="AC161" t="str">
        <f>IF(Allocation!D161="","",_CALC_ALLOC!AR161)</f>
        <v/>
      </c>
    </row>
    <row r="162" spans="22:29" x14ac:dyDescent="0.45">
      <c r="V162" t="str">
        <f>IF(Allocation!D162="","",_CALC_ALLOC!AI162)</f>
        <v/>
      </c>
      <c r="W162" t="str">
        <f>IF(Allocation!D162="","",_CALC_ALLOC!AJ162)</f>
        <v/>
      </c>
      <c r="X162" t="str">
        <f>IF(Allocation!D162="","",_CALC_ALLOC!AK162)</f>
        <v/>
      </c>
      <c r="Y162" t="str">
        <f>IF(Allocation!D162="","",_CALC_ALLOC!AL162)</f>
        <v/>
      </c>
      <c r="Z162" t="str">
        <f>IF(Allocation!D162="","",_CALC_ALLOC!AM162)</f>
        <v/>
      </c>
      <c r="AA162" t="str">
        <f>IF(Allocation!D162="","",_CALC_ALLOC!AN162)</f>
        <v/>
      </c>
      <c r="AB162" t="str">
        <f>IF(Allocation!D162="","",AA162-T162)</f>
        <v/>
      </c>
      <c r="AC162" t="str">
        <f>IF(Allocation!D162="","",_CALC_ALLOC!AR162)</f>
        <v/>
      </c>
    </row>
    <row r="163" spans="22:29" x14ac:dyDescent="0.45">
      <c r="V163" t="str">
        <f>IF(Allocation!D163="","",_CALC_ALLOC!AI163)</f>
        <v/>
      </c>
      <c r="W163" t="str">
        <f>IF(Allocation!D163="","",_CALC_ALLOC!AJ163)</f>
        <v/>
      </c>
      <c r="X163" t="str">
        <f>IF(Allocation!D163="","",_CALC_ALLOC!AK163)</f>
        <v/>
      </c>
      <c r="Y163" t="str">
        <f>IF(Allocation!D163="","",_CALC_ALLOC!AL163)</f>
        <v/>
      </c>
      <c r="Z163" t="str">
        <f>IF(Allocation!D163="","",_CALC_ALLOC!AM163)</f>
        <v/>
      </c>
      <c r="AA163" t="str">
        <f>IF(Allocation!D163="","",_CALC_ALLOC!AN163)</f>
        <v/>
      </c>
      <c r="AB163" t="str">
        <f>IF(Allocation!D163="","",AA163-T163)</f>
        <v/>
      </c>
      <c r="AC163" t="str">
        <f>IF(Allocation!D163="","",_CALC_ALLOC!AR163)</f>
        <v/>
      </c>
    </row>
    <row r="164" spans="22:29" x14ac:dyDescent="0.45">
      <c r="V164" t="str">
        <f>IF(Allocation!D164="","",_CALC_ALLOC!AI164)</f>
        <v/>
      </c>
      <c r="W164" t="str">
        <f>IF(Allocation!D164="","",_CALC_ALLOC!AJ164)</f>
        <v/>
      </c>
      <c r="X164" t="str">
        <f>IF(Allocation!D164="","",_CALC_ALLOC!AK164)</f>
        <v/>
      </c>
      <c r="Y164" t="str">
        <f>IF(Allocation!D164="","",_CALC_ALLOC!AL164)</f>
        <v/>
      </c>
      <c r="Z164" t="str">
        <f>IF(Allocation!D164="","",_CALC_ALLOC!AM164)</f>
        <v/>
      </c>
      <c r="AA164" t="str">
        <f>IF(Allocation!D164="","",_CALC_ALLOC!AN164)</f>
        <v/>
      </c>
      <c r="AB164" t="str">
        <f>IF(Allocation!D164="","",AA164-T164)</f>
        <v/>
      </c>
      <c r="AC164" t="str">
        <f>IF(Allocation!D164="","",_CALC_ALLOC!AR164)</f>
        <v/>
      </c>
    </row>
    <row r="165" spans="22:29" x14ac:dyDescent="0.45">
      <c r="V165" t="str">
        <f>IF(Allocation!D165="","",_CALC_ALLOC!AI165)</f>
        <v/>
      </c>
      <c r="W165" t="str">
        <f>IF(Allocation!D165="","",_CALC_ALLOC!AJ165)</f>
        <v/>
      </c>
      <c r="X165" t="str">
        <f>IF(Allocation!D165="","",_CALC_ALLOC!AK165)</f>
        <v/>
      </c>
      <c r="Y165" t="str">
        <f>IF(Allocation!D165="","",_CALC_ALLOC!AL165)</f>
        <v/>
      </c>
      <c r="Z165" t="str">
        <f>IF(Allocation!D165="","",_CALC_ALLOC!AM165)</f>
        <v/>
      </c>
      <c r="AA165" t="str">
        <f>IF(Allocation!D165="","",_CALC_ALLOC!AN165)</f>
        <v/>
      </c>
      <c r="AB165" t="str">
        <f>IF(Allocation!D165="","",AA165-T165)</f>
        <v/>
      </c>
      <c r="AC165" t="str">
        <f>IF(Allocation!D165="","",_CALC_ALLOC!AR165)</f>
        <v/>
      </c>
    </row>
    <row r="166" spans="22:29" x14ac:dyDescent="0.45">
      <c r="V166" t="str">
        <f>IF(Allocation!D166="","",_CALC_ALLOC!AI166)</f>
        <v/>
      </c>
      <c r="W166" t="str">
        <f>IF(Allocation!D166="","",_CALC_ALLOC!AJ166)</f>
        <v/>
      </c>
      <c r="X166" t="str">
        <f>IF(Allocation!D166="","",_CALC_ALLOC!AK166)</f>
        <v/>
      </c>
      <c r="Y166" t="str">
        <f>IF(Allocation!D166="","",_CALC_ALLOC!AL166)</f>
        <v/>
      </c>
      <c r="Z166" t="str">
        <f>IF(Allocation!D166="","",_CALC_ALLOC!AM166)</f>
        <v/>
      </c>
      <c r="AA166" t="str">
        <f>IF(Allocation!D166="","",_CALC_ALLOC!AN166)</f>
        <v/>
      </c>
      <c r="AB166" t="str">
        <f>IF(Allocation!D166="","",AA166-T166)</f>
        <v/>
      </c>
      <c r="AC166" t="str">
        <f>IF(Allocation!D166="","",_CALC_ALLOC!AR166)</f>
        <v/>
      </c>
    </row>
    <row r="167" spans="22:29" x14ac:dyDescent="0.45">
      <c r="V167" t="str">
        <f>IF(Allocation!D167="","",_CALC_ALLOC!AI167)</f>
        <v/>
      </c>
      <c r="W167" t="str">
        <f>IF(Allocation!D167="","",_CALC_ALLOC!AJ167)</f>
        <v/>
      </c>
      <c r="X167" t="str">
        <f>IF(Allocation!D167="","",_CALC_ALLOC!AK167)</f>
        <v/>
      </c>
      <c r="Y167" t="str">
        <f>IF(Allocation!D167="","",_CALC_ALLOC!AL167)</f>
        <v/>
      </c>
      <c r="Z167" t="str">
        <f>IF(Allocation!D167="","",_CALC_ALLOC!AM167)</f>
        <v/>
      </c>
      <c r="AA167" t="str">
        <f>IF(Allocation!D167="","",_CALC_ALLOC!AN167)</f>
        <v/>
      </c>
      <c r="AB167" t="str">
        <f>IF(Allocation!D167="","",AA167-T167)</f>
        <v/>
      </c>
      <c r="AC167" t="str">
        <f>IF(Allocation!D167="","",_CALC_ALLOC!AR167)</f>
        <v/>
      </c>
    </row>
    <row r="168" spans="22:29" x14ac:dyDescent="0.45">
      <c r="V168" t="str">
        <f>IF(Allocation!D168="","",_CALC_ALLOC!AI168)</f>
        <v/>
      </c>
      <c r="W168" t="str">
        <f>IF(Allocation!D168="","",_CALC_ALLOC!AJ168)</f>
        <v/>
      </c>
      <c r="X168" t="str">
        <f>IF(Allocation!D168="","",_CALC_ALLOC!AK168)</f>
        <v/>
      </c>
      <c r="Y168" t="str">
        <f>IF(Allocation!D168="","",_CALC_ALLOC!AL168)</f>
        <v/>
      </c>
      <c r="Z168" t="str">
        <f>IF(Allocation!D168="","",_CALC_ALLOC!AM168)</f>
        <v/>
      </c>
      <c r="AA168" t="str">
        <f>IF(Allocation!D168="","",_CALC_ALLOC!AN168)</f>
        <v/>
      </c>
      <c r="AB168" t="str">
        <f>IF(Allocation!D168="","",AA168-T168)</f>
        <v/>
      </c>
      <c r="AC168" t="str">
        <f>IF(Allocation!D168="","",_CALC_ALLOC!AR168)</f>
        <v/>
      </c>
    </row>
    <row r="169" spans="22:29" x14ac:dyDescent="0.45">
      <c r="V169" t="str">
        <f>IF(Allocation!D169="","",_CALC_ALLOC!AI169)</f>
        <v/>
      </c>
      <c r="W169" t="str">
        <f>IF(Allocation!D169="","",_CALC_ALLOC!AJ169)</f>
        <v/>
      </c>
      <c r="X169" t="str">
        <f>IF(Allocation!D169="","",_CALC_ALLOC!AK169)</f>
        <v/>
      </c>
      <c r="Y169" t="str">
        <f>IF(Allocation!D169="","",_CALC_ALLOC!AL169)</f>
        <v/>
      </c>
      <c r="Z169" t="str">
        <f>IF(Allocation!D169="","",_CALC_ALLOC!AM169)</f>
        <v/>
      </c>
      <c r="AA169" t="str">
        <f>IF(Allocation!D169="","",_CALC_ALLOC!AN169)</f>
        <v/>
      </c>
      <c r="AB169" t="str">
        <f>IF(Allocation!D169="","",AA169-T169)</f>
        <v/>
      </c>
      <c r="AC169" t="str">
        <f>IF(Allocation!D169="","",_CALC_ALLOC!AR169)</f>
        <v/>
      </c>
    </row>
    <row r="170" spans="22:29" x14ac:dyDescent="0.45">
      <c r="V170" t="str">
        <f>IF(Allocation!D170="","",_CALC_ALLOC!AI170)</f>
        <v/>
      </c>
      <c r="W170" t="str">
        <f>IF(Allocation!D170="","",_CALC_ALLOC!AJ170)</f>
        <v/>
      </c>
      <c r="X170" t="str">
        <f>IF(Allocation!D170="","",_CALC_ALLOC!AK170)</f>
        <v/>
      </c>
      <c r="Y170" t="str">
        <f>IF(Allocation!D170="","",_CALC_ALLOC!AL170)</f>
        <v/>
      </c>
      <c r="Z170" t="str">
        <f>IF(Allocation!D170="","",_CALC_ALLOC!AM170)</f>
        <v/>
      </c>
      <c r="AA170" t="str">
        <f>IF(Allocation!D170="","",_CALC_ALLOC!AN170)</f>
        <v/>
      </c>
      <c r="AB170" t="str">
        <f>IF(Allocation!D170="","",AA170-T170)</f>
        <v/>
      </c>
      <c r="AC170" t="str">
        <f>IF(Allocation!D170="","",_CALC_ALLOC!AR170)</f>
        <v/>
      </c>
    </row>
    <row r="171" spans="22:29" x14ac:dyDescent="0.45">
      <c r="V171" t="str">
        <f>IF(Allocation!D171="","",_CALC_ALLOC!AI171)</f>
        <v/>
      </c>
      <c r="W171" t="str">
        <f>IF(Allocation!D171="","",_CALC_ALLOC!AJ171)</f>
        <v/>
      </c>
      <c r="X171" t="str">
        <f>IF(Allocation!D171="","",_CALC_ALLOC!AK171)</f>
        <v/>
      </c>
      <c r="Y171" t="str">
        <f>IF(Allocation!D171="","",_CALC_ALLOC!AL171)</f>
        <v/>
      </c>
      <c r="Z171" t="str">
        <f>IF(Allocation!D171="","",_CALC_ALLOC!AM171)</f>
        <v/>
      </c>
      <c r="AA171" t="str">
        <f>IF(Allocation!D171="","",_CALC_ALLOC!AN171)</f>
        <v/>
      </c>
      <c r="AB171" t="str">
        <f>IF(Allocation!D171="","",AA171-T171)</f>
        <v/>
      </c>
      <c r="AC171" t="str">
        <f>IF(Allocation!D171="","",_CALC_ALLOC!AR171)</f>
        <v/>
      </c>
    </row>
    <row r="172" spans="22:29" x14ac:dyDescent="0.45">
      <c r="V172" t="str">
        <f>IF(Allocation!D172="","",_CALC_ALLOC!AI172)</f>
        <v/>
      </c>
      <c r="W172" t="str">
        <f>IF(Allocation!D172="","",_CALC_ALLOC!AJ172)</f>
        <v/>
      </c>
      <c r="X172" t="str">
        <f>IF(Allocation!D172="","",_CALC_ALLOC!AK172)</f>
        <v/>
      </c>
      <c r="Y172" t="str">
        <f>IF(Allocation!D172="","",_CALC_ALLOC!AL172)</f>
        <v/>
      </c>
      <c r="Z172" t="str">
        <f>IF(Allocation!D172="","",_CALC_ALLOC!AM172)</f>
        <v/>
      </c>
      <c r="AA172" t="str">
        <f>IF(Allocation!D172="","",_CALC_ALLOC!AN172)</f>
        <v/>
      </c>
      <c r="AB172" t="str">
        <f>IF(Allocation!D172="","",AA172-T172)</f>
        <v/>
      </c>
      <c r="AC172" t="str">
        <f>IF(Allocation!D172="","",_CALC_ALLOC!AR172)</f>
        <v/>
      </c>
    </row>
    <row r="173" spans="22:29" x14ac:dyDescent="0.45">
      <c r="V173" t="str">
        <f>IF(Allocation!D173="","",_CALC_ALLOC!AI173)</f>
        <v/>
      </c>
      <c r="W173" t="str">
        <f>IF(Allocation!D173="","",_CALC_ALLOC!AJ173)</f>
        <v/>
      </c>
      <c r="X173" t="str">
        <f>IF(Allocation!D173="","",_CALC_ALLOC!AK173)</f>
        <v/>
      </c>
      <c r="Y173" t="str">
        <f>IF(Allocation!D173="","",_CALC_ALLOC!AL173)</f>
        <v/>
      </c>
      <c r="Z173" t="str">
        <f>IF(Allocation!D173="","",_CALC_ALLOC!AM173)</f>
        <v/>
      </c>
      <c r="AA173" t="str">
        <f>IF(Allocation!D173="","",_CALC_ALLOC!AN173)</f>
        <v/>
      </c>
      <c r="AB173" t="str">
        <f>IF(Allocation!D173="","",AA173-T173)</f>
        <v/>
      </c>
      <c r="AC173" t="str">
        <f>IF(Allocation!D173="","",_CALC_ALLOC!AR173)</f>
        <v/>
      </c>
    </row>
    <row r="174" spans="22:29" x14ac:dyDescent="0.45">
      <c r="V174" t="str">
        <f>IF(Allocation!D174="","",_CALC_ALLOC!AI174)</f>
        <v/>
      </c>
      <c r="W174" t="str">
        <f>IF(Allocation!D174="","",_CALC_ALLOC!AJ174)</f>
        <v/>
      </c>
      <c r="X174" t="str">
        <f>IF(Allocation!D174="","",_CALC_ALLOC!AK174)</f>
        <v/>
      </c>
      <c r="Y174" t="str">
        <f>IF(Allocation!D174="","",_CALC_ALLOC!AL174)</f>
        <v/>
      </c>
      <c r="Z174" t="str">
        <f>IF(Allocation!D174="","",_CALC_ALLOC!AM174)</f>
        <v/>
      </c>
      <c r="AA174" t="str">
        <f>IF(Allocation!D174="","",_CALC_ALLOC!AN174)</f>
        <v/>
      </c>
      <c r="AB174" t="str">
        <f>IF(Allocation!D174="","",AA174-T174)</f>
        <v/>
      </c>
      <c r="AC174" t="str">
        <f>IF(Allocation!D174="","",_CALC_ALLOC!AR174)</f>
        <v/>
      </c>
    </row>
    <row r="175" spans="22:29" x14ac:dyDescent="0.45">
      <c r="V175" t="str">
        <f>IF(Allocation!D175="","",_CALC_ALLOC!AI175)</f>
        <v/>
      </c>
      <c r="W175" t="str">
        <f>IF(Allocation!D175="","",_CALC_ALLOC!AJ175)</f>
        <v/>
      </c>
      <c r="X175" t="str">
        <f>IF(Allocation!D175="","",_CALC_ALLOC!AK175)</f>
        <v/>
      </c>
      <c r="Y175" t="str">
        <f>IF(Allocation!D175="","",_CALC_ALLOC!AL175)</f>
        <v/>
      </c>
      <c r="Z175" t="str">
        <f>IF(Allocation!D175="","",_CALC_ALLOC!AM175)</f>
        <v/>
      </c>
      <c r="AA175" t="str">
        <f>IF(Allocation!D175="","",_CALC_ALLOC!AN175)</f>
        <v/>
      </c>
      <c r="AB175" t="str">
        <f>IF(Allocation!D175="","",AA175-T175)</f>
        <v/>
      </c>
      <c r="AC175" t="str">
        <f>IF(Allocation!D175="","",_CALC_ALLOC!AR175)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J175"/>
  <sheetViews>
    <sheetView workbookViewId="0">
      <selection activeCell="F2" sqref="F2"/>
    </sheetView>
  </sheetViews>
  <sheetFormatPr baseColWidth="10" defaultColWidth="9.06640625" defaultRowHeight="14.25" x14ac:dyDescent="0.45"/>
  <sheetData>
    <row r="1" spans="1:36" x14ac:dyDescent="0.4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254</v>
      </c>
      <c r="G1" t="s">
        <v>34</v>
      </c>
      <c r="H1" t="s">
        <v>40</v>
      </c>
      <c r="I1" t="s">
        <v>42</v>
      </c>
      <c r="J1" t="s">
        <v>255</v>
      </c>
      <c r="K1" t="s">
        <v>256</v>
      </c>
      <c r="L1" t="s">
        <v>257</v>
      </c>
      <c r="M1" t="s">
        <v>258</v>
      </c>
      <c r="N1" t="s">
        <v>259</v>
      </c>
      <c r="O1" t="s">
        <v>57</v>
      </c>
      <c r="P1" t="s">
        <v>58</v>
      </c>
      <c r="Q1" t="s">
        <v>59</v>
      </c>
      <c r="R1" t="s">
        <v>62</v>
      </c>
      <c r="S1" t="s">
        <v>64</v>
      </c>
      <c r="T1" t="s">
        <v>260</v>
      </c>
      <c r="U1" t="s">
        <v>261</v>
      </c>
      <c r="V1" t="s">
        <v>262</v>
      </c>
      <c r="W1" t="s">
        <v>263</v>
      </c>
      <c r="X1" t="s">
        <v>264</v>
      </c>
      <c r="Y1" t="s">
        <v>265</v>
      </c>
      <c r="Z1" t="s">
        <v>266</v>
      </c>
      <c r="AA1" t="s">
        <v>267</v>
      </c>
      <c r="AB1" t="s">
        <v>268</v>
      </c>
      <c r="AC1" t="s">
        <v>269</v>
      </c>
      <c r="AD1" t="s">
        <v>270</v>
      </c>
      <c r="AE1" t="s">
        <v>69</v>
      </c>
      <c r="AF1" t="s">
        <v>70</v>
      </c>
      <c r="AG1" t="s">
        <v>71</v>
      </c>
      <c r="AH1" t="s">
        <v>55</v>
      </c>
      <c r="AJ1" t="s">
        <v>271</v>
      </c>
    </row>
    <row r="2" spans="1:36" x14ac:dyDescent="0.45">
      <c r="A2">
        <f>IF(Moteur!D2="","",Moteur!D2)</f>
        <v>1000</v>
      </c>
      <c r="B2">
        <f>IF(Moteur!B2="","",Moteur!B2)</f>
        <v>1000</v>
      </c>
      <c r="C2">
        <f>IF(Moteur!F2="","",Moteur!F2)</f>
        <v>1000</v>
      </c>
      <c r="D2">
        <f>IF(Moteur!G2="","",Moteur!G2)</f>
        <v>1000</v>
      </c>
      <c r="E2">
        <f>IF(Moteur!H2="","",Moteur!H2)</f>
        <v>1000</v>
      </c>
      <c r="F2">
        <f>IF(Moteur!E2="","",Moteur!E2)</f>
        <v>1000</v>
      </c>
      <c r="G2">
        <f>IF($A2="","",SUMIFS(Socle!$H$1:$H$1000,Socle!$C$1:$C$1000,$A2,Socle!$D$1:$D$1000,$C2,Socle!$E$1:$E$1000,$D2,Socle!$F$1:$F$1000,$E2,Socle!$G$1:$G$1000,"2026"))</f>
        <v>0</v>
      </c>
      <c r="H2">
        <f>IF($A2="","",SUMIFS(Socle!$N$1:$N$1000,Socle!$C$1:$C$1000,$A2,Socle!$D$1:$D$1000,$C2,Socle!$E$1:$E$1000,$D2,Socle!$F$1:$F$1000,$E2,Socle!$G$1:$G$1000,"2026"))</f>
        <v>0</v>
      </c>
      <c r="I2">
        <f>IF($A2="","",SUMIFS(Socle!$P$1:$P$1000,Socle!$C$1:$C$1000,$A2,Socle!$D$1:$D$1000,$C2,Socle!$E$1:$E$1000,$D2,Socle!$F$1:$F$1000,$E2,Socle!$G$1:$G$1000,"2026"))</f>
        <v>0</v>
      </c>
      <c r="J2">
        <f>IF($A2="","",SUMIFS(Socle!$W$1:$W$1000,Socle!$C$1:$C$1000,$A2,Socle!$D$1:$D$1000,$C2,Socle!$E$1:$E$1000,$D2,Socle!$F$1:$F$1000,$E2,Socle!$G$1:$G$1000,"2026"))</f>
        <v>0</v>
      </c>
      <c r="K2">
        <f>IF($A2="","",SUMIFS(Socle!$X$1:$X$1000,Socle!$C$1:$C$1000,$A2,Socle!$D$1:$D$1000,$C2,Socle!$E$1:$E$1000,$D2,Socle!$F$1:$F$1000,$E2,Socle!$G$1:$G$1000,"2026"))</f>
        <v>0</v>
      </c>
      <c r="L2">
        <f>IF($A2="","",SUMIFS(Socle!$Y$1:$Y$1000,Socle!$C$1:$C$1000,$A2,Socle!$D$1:$D$1000,$C2,Socle!$E$1:$E$1000,$D2,Socle!$F$1:$F$1000,$E2,Socle!$G$1:$G$1000,"2026"))</f>
        <v>0</v>
      </c>
      <c r="M2">
        <f>IF($A2="","",SUMIFS(Socle!$V$1:$V$1000,Socle!$C$1:$C$1000,$A2,Socle!$D$1:$D$1000,$C2,Socle!$E$1:$E$1000,$D2,Socle!$F$1:$F$1000,$E2,Socle!$G$1:$G$1000,"2026"))</f>
        <v>0</v>
      </c>
      <c r="N2">
        <f t="shared" ref="N2:N65" si="0">IF($A2="","",IF(OR($D2="B1",$D2="M1",$D2="BTS1"),1,0))</f>
        <v>0</v>
      </c>
      <c r="O2">
        <f>IF($A2="","",SUMIFS(Campagne!$D$1:$D$15,Campagne!$C$1:$C$15,$A2))</f>
        <v>1000</v>
      </c>
      <c r="P2">
        <f>IF($A2="","",SUMIFS(Campagne!$E$1:$E$15,Campagne!$C$1:$C$15,$A2))</f>
        <v>1000</v>
      </c>
      <c r="Q2">
        <f>IF($A2="","",SUMIFS(Campagne!$F$1:$F$15,Campagne!$C$1:$C$15,$A2))</f>
        <v>1000</v>
      </c>
      <c r="R2">
        <f>IF($A2="","",SUMIFS(Campagne!$K$1:$K$15,Campagne!$C$1:$C$15,$A2))</f>
        <v>1000</v>
      </c>
      <c r="S2">
        <f>IF($A2="","",SUMIFS(Campagne!$M$1:$M$15,Campagne!$C$1:$C$15,$A2))</f>
        <v>1000</v>
      </c>
      <c r="T2">
        <f>IF($A2="","",SUMIFS(PIL!$K$15:$K$28,PIL!$A$15:$A$28,$A2)*SUMIFS(PIL!$J$15:$J$28,PIL!$A$15:$A$28,$A2)*(SUM(PIL!$K$15:$K$28)/SUMPRODUCT(PIL!$K$15:$K$28,PIL!$J$15:$J$28)))</f>
        <v>0</v>
      </c>
      <c r="U2">
        <f>IF($A2="","",SUMIFS(PIL!$K$15:$K$28,PIL!$A$15:$A$28,$A2))</f>
        <v>0</v>
      </c>
      <c r="V2">
        <f t="shared" ref="V2:V65" si="1">IF($A2="","",IF($B2="V01",cad!$C$23,IF($B2="V02",cad!$D$23,cad!$E$23)))</f>
        <v>1000</v>
      </c>
      <c r="W2">
        <f t="shared" ref="W2:W65" si="2">IF($A2="","",IF($B2="V01",cad!$C$24,IF($B2="V02",cad!$D$24,cad!$E$24)))</f>
        <v>1000</v>
      </c>
      <c r="X2">
        <f t="shared" ref="X2:X65" si="3">IF($A2="","",IF($B2="V01",cad!$C$25,IF($B2="V02",cad!$D$25,cad!$E$25)))</f>
        <v>1000</v>
      </c>
      <c r="Y2">
        <f t="shared" ref="Y2:Y65" si="4">IF($A2="","",IF($B2="V01",cad!$C$26,IF($B2="V02",cad!$D$26,cad!$E$26)))</f>
        <v>1000</v>
      </c>
      <c r="Z2">
        <f t="shared" ref="Z2:Z65" si="5">IF($A2="","",IF($B2="V01",cad!$C$27,IF($B2="V02",cad!$D$27,cad!$E$27)))</f>
        <v>1000</v>
      </c>
      <c r="AA2">
        <f t="shared" ref="AA2:AA65" si="6">IF($A2="","",IF($B2="V01",cad!$C$28,IF($B2="V02",cad!$D$28,cad!$E$28)))</f>
        <v>1000</v>
      </c>
      <c r="AB2">
        <f t="shared" ref="AB2:AB65" si="7">IF($A2="","",IF($B2="V01",cad!$C$39,IF($B2="V02",cad!$D$39,cad!$E$39)))</f>
        <v>90</v>
      </c>
      <c r="AC2">
        <f t="shared" ref="AC2:AC65" si="8">IF($A2="","",IF($F2="MBWAY",cad!$J$12,IF($F2="ISCOM",cad!$J$13,IF($F2="IPAC",cad!$J$14,IF($F2="PIGIER",cad!$J$15,cad!$J$16)))))</f>
        <v>1000</v>
      </c>
      <c r="AD2" t="e">
        <f t="shared" ref="AD2:AD65" si="9">IF($A2="","",($O2*(1+$W2)^$S2+$P2*IFERROR((($T2/$U2)*(1+$V2))^$R2,0))*IFERROR($G2/$Q2,0)*($J2+$Y2)*$K2*($L2+$Z2))</f>
        <v>#NUM!</v>
      </c>
      <c r="AE2">
        <f t="shared" ref="AE2:AE65" si="10">IF($A2="","",IF($N2=1,$AD2,0))</f>
        <v>0</v>
      </c>
      <c r="AF2">
        <f t="shared" ref="AF2:AF65" si="11">IF($A2="","",IF($N2=1,$AD2,$H2*($M2+$AA2)))</f>
        <v>0</v>
      </c>
      <c r="AG2">
        <f t="shared" ref="AG2:AG65" si="12">IF($A2="","",$I2*(1+$X2*$AC2))</f>
        <v>0</v>
      </c>
      <c r="AH2">
        <f t="shared" ref="AH2:AH65" si="13">IF($A2="","",$AF2*$AG2+$AE2*$AB2)</f>
        <v>0</v>
      </c>
    </row>
    <row r="3" spans="1:36" x14ac:dyDescent="0.45">
      <c r="A3" t="str">
        <f>IF(Moteur!D3="","",Moteur!D3)</f>
        <v/>
      </c>
      <c r="B3" t="str">
        <f>IF(Moteur!B3="","",Moteur!B3)</f>
        <v/>
      </c>
      <c r="C3" t="str">
        <f>IF(Moteur!F3="","",Moteur!F3)</f>
        <v/>
      </c>
      <c r="D3" t="str">
        <f>IF(Moteur!G3="","",Moteur!G3)</f>
        <v/>
      </c>
      <c r="E3" t="str">
        <f>IF(Moteur!H3="","",Moteur!H3)</f>
        <v/>
      </c>
      <c r="F3" t="str">
        <f>IF(Moteur!E3="","",Moteur!E3)</f>
        <v/>
      </c>
      <c r="G3" t="str">
        <f>IF($A3="","",SUMIFS(Socle!$H$1:$H$1000,Socle!$C$1:$C$1000,$A3,Socle!$D$1:$D$1000,$C3,Socle!$E$1:$E$1000,$D3,Socle!$F$1:$F$1000,$E3,Socle!$G$1:$G$1000,"2026"))</f>
        <v/>
      </c>
      <c r="H3" t="str">
        <f>IF($A3="","",SUMIFS(Socle!$N$1:$N$1000,Socle!$C$1:$C$1000,$A3,Socle!$D$1:$D$1000,$C3,Socle!$E$1:$E$1000,$D3,Socle!$F$1:$F$1000,$E3,Socle!$G$1:$G$1000,"2026"))</f>
        <v/>
      </c>
      <c r="I3" t="str">
        <f>IF($A3="","",SUMIFS(Socle!$P$1:$P$1000,Socle!$C$1:$C$1000,$A3,Socle!$D$1:$D$1000,$C3,Socle!$E$1:$E$1000,$D3,Socle!$F$1:$F$1000,$E3,Socle!$G$1:$G$1000,"2026"))</f>
        <v/>
      </c>
      <c r="J3" t="str">
        <f>IF($A3="","",SUMIFS(Socle!$W$1:$W$1000,Socle!$C$1:$C$1000,$A3,Socle!$D$1:$D$1000,$C3,Socle!$E$1:$E$1000,$D3,Socle!$F$1:$F$1000,$E3,Socle!$G$1:$G$1000,"2026"))</f>
        <v/>
      </c>
      <c r="K3" t="str">
        <f>IF($A3="","",SUMIFS(Socle!$X$1:$X$1000,Socle!$C$1:$C$1000,$A3,Socle!$D$1:$D$1000,$C3,Socle!$E$1:$E$1000,$D3,Socle!$F$1:$F$1000,$E3,Socle!$G$1:$G$1000,"2026"))</f>
        <v/>
      </c>
      <c r="L3" t="str">
        <f>IF($A3="","",SUMIFS(Socle!$Y$1:$Y$1000,Socle!$C$1:$C$1000,$A3,Socle!$D$1:$D$1000,$C3,Socle!$E$1:$E$1000,$D3,Socle!$F$1:$F$1000,$E3,Socle!$G$1:$G$1000,"2026"))</f>
        <v/>
      </c>
      <c r="M3" t="str">
        <f>IF($A3="","",SUMIFS(Socle!$V$1:$V$1000,Socle!$C$1:$C$1000,$A3,Socle!$D$1:$D$1000,$C3,Socle!$E$1:$E$1000,$D3,Socle!$F$1:$F$1000,$E3,Socle!$G$1:$G$1000,"2026"))</f>
        <v/>
      </c>
      <c r="N3" t="str">
        <f t="shared" si="0"/>
        <v/>
      </c>
      <c r="O3" t="str">
        <f>IF($A3="","",SUMIFS(Campagne!$D$1:$D$15,Campagne!$C$1:$C$15,$A3))</f>
        <v/>
      </c>
      <c r="P3" t="str">
        <f>IF($A3="","",SUMIFS(Campagne!$E$1:$E$15,Campagne!$C$1:$C$15,$A3))</f>
        <v/>
      </c>
      <c r="Q3" t="str">
        <f>IF($A3="","",SUMIFS(Campagne!$F$1:$F$15,Campagne!$C$1:$C$15,$A3))</f>
        <v/>
      </c>
      <c r="R3" t="str">
        <f>IF($A3="","",SUMIFS(Campagne!$K$1:$K$15,Campagne!$C$1:$C$15,$A3))</f>
        <v/>
      </c>
      <c r="S3" t="str">
        <f>IF($A3="","",SUMIFS(Campagne!$M$1:$M$15,Campagne!$C$1:$C$15,$A3))</f>
        <v/>
      </c>
      <c r="T3" t="str">
        <f>IF($A3="","",SUMIFS(PIL!$K$15:$K$28,PIL!$A$15:$A$28,$A3)*SUMIFS(PIL!$J$15:$J$28,PIL!$A$15:$A$28,$A3)*(SUM(PIL!$K$15:$K$28)/SUMPRODUCT(PIL!$K$15:$K$28,PIL!$J$15:$J$28)))</f>
        <v/>
      </c>
      <c r="U3" t="str">
        <f>IF($A3="","",SUMIFS(PIL!$K$15:$K$28,PIL!$A$15:$A$28,$A3))</f>
        <v/>
      </c>
      <c r="V3" t="str">
        <f t="shared" si="1"/>
        <v/>
      </c>
      <c r="W3" t="str">
        <f t="shared" si="2"/>
        <v/>
      </c>
      <c r="X3" t="str">
        <f t="shared" si="3"/>
        <v/>
      </c>
      <c r="Y3" t="str">
        <f t="shared" si="4"/>
        <v/>
      </c>
      <c r="Z3" t="str">
        <f t="shared" si="5"/>
        <v/>
      </c>
      <c r="AA3" t="str">
        <f t="shared" si="6"/>
        <v/>
      </c>
      <c r="AB3" t="str">
        <f t="shared" si="7"/>
        <v/>
      </c>
      <c r="AC3" t="str">
        <f t="shared" si="8"/>
        <v/>
      </c>
      <c r="AD3" t="str">
        <f t="shared" si="9"/>
        <v/>
      </c>
      <c r="AE3" t="str">
        <f t="shared" si="10"/>
        <v/>
      </c>
      <c r="AF3" t="str">
        <f t="shared" si="11"/>
        <v/>
      </c>
      <c r="AG3" t="str">
        <f t="shared" si="12"/>
        <v/>
      </c>
      <c r="AH3" t="str">
        <f t="shared" si="13"/>
        <v/>
      </c>
    </row>
    <row r="4" spans="1:36" x14ac:dyDescent="0.45">
      <c r="A4" t="str">
        <f>IF(Moteur!D4="","",Moteur!D4)</f>
        <v/>
      </c>
      <c r="B4" t="str">
        <f>IF(Moteur!B4="","",Moteur!B4)</f>
        <v/>
      </c>
      <c r="C4" t="str">
        <f>IF(Moteur!F4="","",Moteur!F4)</f>
        <v/>
      </c>
      <c r="D4" t="str">
        <f>IF(Moteur!G4="","",Moteur!G4)</f>
        <v/>
      </c>
      <c r="E4" t="str">
        <f>IF(Moteur!H4="","",Moteur!H4)</f>
        <v/>
      </c>
      <c r="F4" t="str">
        <f>IF(Moteur!E4="","",Moteur!E4)</f>
        <v/>
      </c>
      <c r="G4" t="str">
        <f>IF($A4="","",SUMIFS(Socle!$H$1:$H$1000,Socle!$C$1:$C$1000,$A4,Socle!$D$1:$D$1000,$C4,Socle!$E$1:$E$1000,$D4,Socle!$F$1:$F$1000,$E4,Socle!$G$1:$G$1000,"2026"))</f>
        <v/>
      </c>
      <c r="H4" t="str">
        <f>IF($A4="","",SUMIFS(Socle!$N$1:$N$1000,Socle!$C$1:$C$1000,$A4,Socle!$D$1:$D$1000,$C4,Socle!$E$1:$E$1000,$D4,Socle!$F$1:$F$1000,$E4,Socle!$G$1:$G$1000,"2026"))</f>
        <v/>
      </c>
      <c r="I4" t="str">
        <f>IF($A4="","",SUMIFS(Socle!$P$1:$P$1000,Socle!$C$1:$C$1000,$A4,Socle!$D$1:$D$1000,$C4,Socle!$E$1:$E$1000,$D4,Socle!$F$1:$F$1000,$E4,Socle!$G$1:$G$1000,"2026"))</f>
        <v/>
      </c>
      <c r="J4" t="str">
        <f>IF($A4="","",SUMIFS(Socle!$W$1:$W$1000,Socle!$C$1:$C$1000,$A4,Socle!$D$1:$D$1000,$C4,Socle!$E$1:$E$1000,$D4,Socle!$F$1:$F$1000,$E4,Socle!$G$1:$G$1000,"2026"))</f>
        <v/>
      </c>
      <c r="K4" t="str">
        <f>IF($A4="","",SUMIFS(Socle!$X$1:$X$1000,Socle!$C$1:$C$1000,$A4,Socle!$D$1:$D$1000,$C4,Socle!$E$1:$E$1000,$D4,Socle!$F$1:$F$1000,$E4,Socle!$G$1:$G$1000,"2026"))</f>
        <v/>
      </c>
      <c r="L4" t="str">
        <f>IF($A4="","",SUMIFS(Socle!$Y$1:$Y$1000,Socle!$C$1:$C$1000,$A4,Socle!$D$1:$D$1000,$C4,Socle!$E$1:$E$1000,$D4,Socle!$F$1:$F$1000,$E4,Socle!$G$1:$G$1000,"2026"))</f>
        <v/>
      </c>
      <c r="M4" t="str">
        <f>IF($A4="","",SUMIFS(Socle!$V$1:$V$1000,Socle!$C$1:$C$1000,$A4,Socle!$D$1:$D$1000,$C4,Socle!$E$1:$E$1000,$D4,Socle!$F$1:$F$1000,$E4,Socle!$G$1:$G$1000,"2026"))</f>
        <v/>
      </c>
      <c r="N4" t="str">
        <f t="shared" si="0"/>
        <v/>
      </c>
      <c r="O4" t="str">
        <f>IF($A4="","",SUMIFS(Campagne!$D$1:$D$15,Campagne!$C$1:$C$15,$A4))</f>
        <v/>
      </c>
      <c r="P4" t="str">
        <f>IF($A4="","",SUMIFS(Campagne!$E$1:$E$15,Campagne!$C$1:$C$15,$A4))</f>
        <v/>
      </c>
      <c r="Q4" t="str">
        <f>IF($A4="","",SUMIFS(Campagne!$F$1:$F$15,Campagne!$C$1:$C$15,$A4))</f>
        <v/>
      </c>
      <c r="R4" t="str">
        <f>IF($A4="","",SUMIFS(Campagne!$K$1:$K$15,Campagne!$C$1:$C$15,$A4))</f>
        <v/>
      </c>
      <c r="S4" t="str">
        <f>IF($A4="","",SUMIFS(Campagne!$M$1:$M$15,Campagne!$C$1:$C$15,$A4))</f>
        <v/>
      </c>
      <c r="T4" t="str">
        <f>IF($A4="","",SUMIFS(PIL!$K$15:$K$28,PIL!$A$15:$A$28,$A4)*SUMIFS(PIL!$J$15:$J$28,PIL!$A$15:$A$28,$A4)*(SUM(PIL!$K$15:$K$28)/SUMPRODUCT(PIL!$K$15:$K$28,PIL!$J$15:$J$28)))</f>
        <v/>
      </c>
      <c r="U4" t="str">
        <f>IF($A4="","",SUMIFS(PIL!$K$15:$K$28,PIL!$A$15:$A$28,$A4))</f>
        <v/>
      </c>
      <c r="V4" t="str">
        <f t="shared" si="1"/>
        <v/>
      </c>
      <c r="W4" t="str">
        <f t="shared" si="2"/>
        <v/>
      </c>
      <c r="X4" t="str">
        <f t="shared" si="3"/>
        <v/>
      </c>
      <c r="Y4" t="str">
        <f t="shared" si="4"/>
        <v/>
      </c>
      <c r="Z4" t="str">
        <f t="shared" si="5"/>
        <v/>
      </c>
      <c r="AA4" t="str">
        <f t="shared" si="6"/>
        <v/>
      </c>
      <c r="AB4" t="str">
        <f t="shared" si="7"/>
        <v/>
      </c>
      <c r="AC4" t="str">
        <f t="shared" si="8"/>
        <v/>
      </c>
      <c r="AD4" t="str">
        <f t="shared" si="9"/>
        <v/>
      </c>
      <c r="AE4" t="str">
        <f t="shared" si="10"/>
        <v/>
      </c>
      <c r="AF4" t="str">
        <f t="shared" si="11"/>
        <v/>
      </c>
      <c r="AG4" t="str">
        <f t="shared" si="12"/>
        <v/>
      </c>
      <c r="AH4" t="str">
        <f t="shared" si="13"/>
        <v/>
      </c>
    </row>
    <row r="5" spans="1:36" x14ac:dyDescent="0.45">
      <c r="A5" t="str">
        <f>IF(Moteur!D5="","",Moteur!D5)</f>
        <v/>
      </c>
      <c r="B5" t="str">
        <f>IF(Moteur!B5="","",Moteur!B5)</f>
        <v/>
      </c>
      <c r="C5" t="str">
        <f>IF(Moteur!F5="","",Moteur!F5)</f>
        <v/>
      </c>
      <c r="D5" t="str">
        <f>IF(Moteur!G5="","",Moteur!G5)</f>
        <v/>
      </c>
      <c r="E5" t="str">
        <f>IF(Moteur!H5="","",Moteur!H5)</f>
        <v/>
      </c>
      <c r="F5" t="str">
        <f>IF(Moteur!E5="","",Moteur!E5)</f>
        <v/>
      </c>
      <c r="G5" t="str">
        <f>IF($A5="","",SUMIFS(Socle!$H$1:$H$1000,Socle!$C$1:$C$1000,$A5,Socle!$D$1:$D$1000,$C5,Socle!$E$1:$E$1000,$D5,Socle!$F$1:$F$1000,$E5,Socle!$G$1:$G$1000,"2026"))</f>
        <v/>
      </c>
      <c r="H5" t="str">
        <f>IF($A5="","",SUMIFS(Socle!$N$1:$N$1000,Socle!$C$1:$C$1000,$A5,Socle!$D$1:$D$1000,$C5,Socle!$E$1:$E$1000,$D5,Socle!$F$1:$F$1000,$E5,Socle!$G$1:$G$1000,"2026"))</f>
        <v/>
      </c>
      <c r="I5" t="str">
        <f>IF($A5="","",SUMIFS(Socle!$P$1:$P$1000,Socle!$C$1:$C$1000,$A5,Socle!$D$1:$D$1000,$C5,Socle!$E$1:$E$1000,$D5,Socle!$F$1:$F$1000,$E5,Socle!$G$1:$G$1000,"2026"))</f>
        <v/>
      </c>
      <c r="J5" t="str">
        <f>IF($A5="","",SUMIFS(Socle!$W$1:$W$1000,Socle!$C$1:$C$1000,$A5,Socle!$D$1:$D$1000,$C5,Socle!$E$1:$E$1000,$D5,Socle!$F$1:$F$1000,$E5,Socle!$G$1:$G$1000,"2026"))</f>
        <v/>
      </c>
      <c r="K5" t="str">
        <f>IF($A5="","",SUMIFS(Socle!$X$1:$X$1000,Socle!$C$1:$C$1000,$A5,Socle!$D$1:$D$1000,$C5,Socle!$E$1:$E$1000,$D5,Socle!$F$1:$F$1000,$E5,Socle!$G$1:$G$1000,"2026"))</f>
        <v/>
      </c>
      <c r="L5" t="str">
        <f>IF($A5="","",SUMIFS(Socle!$Y$1:$Y$1000,Socle!$C$1:$C$1000,$A5,Socle!$D$1:$D$1000,$C5,Socle!$E$1:$E$1000,$D5,Socle!$F$1:$F$1000,$E5,Socle!$G$1:$G$1000,"2026"))</f>
        <v/>
      </c>
      <c r="M5" t="str">
        <f>IF($A5="","",SUMIFS(Socle!$V$1:$V$1000,Socle!$C$1:$C$1000,$A5,Socle!$D$1:$D$1000,$C5,Socle!$E$1:$E$1000,$D5,Socle!$F$1:$F$1000,$E5,Socle!$G$1:$G$1000,"2026"))</f>
        <v/>
      </c>
      <c r="N5" t="str">
        <f t="shared" si="0"/>
        <v/>
      </c>
      <c r="O5" t="str">
        <f>IF($A5="","",SUMIFS(Campagne!$D$1:$D$15,Campagne!$C$1:$C$15,$A5))</f>
        <v/>
      </c>
      <c r="P5" t="str">
        <f>IF($A5="","",SUMIFS(Campagne!$E$1:$E$15,Campagne!$C$1:$C$15,$A5))</f>
        <v/>
      </c>
      <c r="Q5" t="str">
        <f>IF($A5="","",SUMIFS(Campagne!$F$1:$F$15,Campagne!$C$1:$C$15,$A5))</f>
        <v/>
      </c>
      <c r="R5" t="str">
        <f>IF($A5="","",SUMIFS(Campagne!$K$1:$K$15,Campagne!$C$1:$C$15,$A5))</f>
        <v/>
      </c>
      <c r="S5" t="str">
        <f>IF($A5="","",SUMIFS(Campagne!$M$1:$M$15,Campagne!$C$1:$C$15,$A5))</f>
        <v/>
      </c>
      <c r="T5" t="str">
        <f>IF($A5="","",SUMIFS(PIL!$K$15:$K$28,PIL!$A$15:$A$28,$A5)*SUMIFS(PIL!$J$15:$J$28,PIL!$A$15:$A$28,$A5)*(SUM(PIL!$K$15:$K$28)/SUMPRODUCT(PIL!$K$15:$K$28,PIL!$J$15:$J$28)))</f>
        <v/>
      </c>
      <c r="U5" t="str">
        <f>IF($A5="","",SUMIFS(PIL!$K$15:$K$28,PIL!$A$15:$A$28,$A5))</f>
        <v/>
      </c>
      <c r="V5" t="str">
        <f t="shared" si="1"/>
        <v/>
      </c>
      <c r="W5" t="str">
        <f t="shared" si="2"/>
        <v/>
      </c>
      <c r="X5" t="str">
        <f t="shared" si="3"/>
        <v/>
      </c>
      <c r="Y5" t="str">
        <f t="shared" si="4"/>
        <v/>
      </c>
      <c r="Z5" t="str">
        <f t="shared" si="5"/>
        <v/>
      </c>
      <c r="AA5" t="str">
        <f t="shared" si="6"/>
        <v/>
      </c>
      <c r="AB5" t="str">
        <f t="shared" si="7"/>
        <v/>
      </c>
      <c r="AC5" t="str">
        <f t="shared" si="8"/>
        <v/>
      </c>
      <c r="AD5" t="str">
        <f t="shared" si="9"/>
        <v/>
      </c>
      <c r="AE5" t="str">
        <f t="shared" si="10"/>
        <v/>
      </c>
      <c r="AF5" t="str">
        <f t="shared" si="11"/>
        <v/>
      </c>
      <c r="AG5" t="str">
        <f t="shared" si="12"/>
        <v/>
      </c>
      <c r="AH5" t="str">
        <f t="shared" si="13"/>
        <v/>
      </c>
    </row>
    <row r="6" spans="1:36" x14ac:dyDescent="0.45">
      <c r="A6" t="str">
        <f>IF(Moteur!D6="","",Moteur!D6)</f>
        <v/>
      </c>
      <c r="B6" t="str">
        <f>IF(Moteur!B6="","",Moteur!B6)</f>
        <v/>
      </c>
      <c r="C6" t="str">
        <f>IF(Moteur!F6="","",Moteur!F6)</f>
        <v/>
      </c>
      <c r="D6" t="str">
        <f>IF(Moteur!G6="","",Moteur!G6)</f>
        <v/>
      </c>
      <c r="E6" t="str">
        <f>IF(Moteur!H6="","",Moteur!H6)</f>
        <v/>
      </c>
      <c r="F6" t="str">
        <f>IF(Moteur!E6="","",Moteur!E6)</f>
        <v/>
      </c>
      <c r="G6" t="str">
        <f>IF($A6="","",SUMIFS(Socle!$H$1:$H$1000,Socle!$C$1:$C$1000,$A6,Socle!$D$1:$D$1000,$C6,Socle!$E$1:$E$1000,$D6,Socle!$F$1:$F$1000,$E6,Socle!$G$1:$G$1000,"2026"))</f>
        <v/>
      </c>
      <c r="H6" t="str">
        <f>IF($A6="","",SUMIFS(Socle!$N$1:$N$1000,Socle!$C$1:$C$1000,$A6,Socle!$D$1:$D$1000,$C6,Socle!$E$1:$E$1000,$D6,Socle!$F$1:$F$1000,$E6,Socle!$G$1:$G$1000,"2026"))</f>
        <v/>
      </c>
      <c r="I6" t="str">
        <f>IF($A6="","",SUMIFS(Socle!$P$1:$P$1000,Socle!$C$1:$C$1000,$A6,Socle!$D$1:$D$1000,$C6,Socle!$E$1:$E$1000,$D6,Socle!$F$1:$F$1000,$E6,Socle!$G$1:$G$1000,"2026"))</f>
        <v/>
      </c>
      <c r="J6" t="str">
        <f>IF($A6="","",SUMIFS(Socle!$W$1:$W$1000,Socle!$C$1:$C$1000,$A6,Socle!$D$1:$D$1000,$C6,Socle!$E$1:$E$1000,$D6,Socle!$F$1:$F$1000,$E6,Socle!$G$1:$G$1000,"2026"))</f>
        <v/>
      </c>
      <c r="K6" t="str">
        <f>IF($A6="","",SUMIFS(Socle!$X$1:$X$1000,Socle!$C$1:$C$1000,$A6,Socle!$D$1:$D$1000,$C6,Socle!$E$1:$E$1000,$D6,Socle!$F$1:$F$1000,$E6,Socle!$G$1:$G$1000,"2026"))</f>
        <v/>
      </c>
      <c r="L6" t="str">
        <f>IF($A6="","",SUMIFS(Socle!$Y$1:$Y$1000,Socle!$C$1:$C$1000,$A6,Socle!$D$1:$D$1000,$C6,Socle!$E$1:$E$1000,$D6,Socle!$F$1:$F$1000,$E6,Socle!$G$1:$G$1000,"2026"))</f>
        <v/>
      </c>
      <c r="M6" t="str">
        <f>IF($A6="","",SUMIFS(Socle!$V$1:$V$1000,Socle!$C$1:$C$1000,$A6,Socle!$D$1:$D$1000,$C6,Socle!$E$1:$E$1000,$D6,Socle!$F$1:$F$1000,$E6,Socle!$G$1:$G$1000,"2026"))</f>
        <v/>
      </c>
      <c r="N6" t="str">
        <f t="shared" si="0"/>
        <v/>
      </c>
      <c r="O6" t="str">
        <f>IF($A6="","",SUMIFS(Campagne!$D$1:$D$15,Campagne!$C$1:$C$15,$A6))</f>
        <v/>
      </c>
      <c r="P6" t="str">
        <f>IF($A6="","",SUMIFS(Campagne!$E$1:$E$15,Campagne!$C$1:$C$15,$A6))</f>
        <v/>
      </c>
      <c r="Q6" t="str">
        <f>IF($A6="","",SUMIFS(Campagne!$F$1:$F$15,Campagne!$C$1:$C$15,$A6))</f>
        <v/>
      </c>
      <c r="R6" t="str">
        <f>IF($A6="","",SUMIFS(Campagne!$K$1:$K$15,Campagne!$C$1:$C$15,$A6))</f>
        <v/>
      </c>
      <c r="S6" t="str">
        <f>IF($A6="","",SUMIFS(Campagne!$M$1:$M$15,Campagne!$C$1:$C$15,$A6))</f>
        <v/>
      </c>
      <c r="T6" t="str">
        <f>IF($A6="","",SUMIFS(PIL!$K$15:$K$28,PIL!$A$15:$A$28,$A6)*SUMIFS(PIL!$J$15:$J$28,PIL!$A$15:$A$28,$A6)*(SUM(PIL!$K$15:$K$28)/SUMPRODUCT(PIL!$K$15:$K$28,PIL!$J$15:$J$28)))</f>
        <v/>
      </c>
      <c r="U6" t="str">
        <f>IF($A6="","",SUMIFS(PIL!$K$15:$K$28,PIL!$A$15:$A$28,$A6))</f>
        <v/>
      </c>
      <c r="V6" t="str">
        <f t="shared" si="1"/>
        <v/>
      </c>
      <c r="W6" t="str">
        <f t="shared" si="2"/>
        <v/>
      </c>
      <c r="X6" t="str">
        <f t="shared" si="3"/>
        <v/>
      </c>
      <c r="Y6" t="str">
        <f t="shared" si="4"/>
        <v/>
      </c>
      <c r="Z6" t="str">
        <f t="shared" si="5"/>
        <v/>
      </c>
      <c r="AA6" t="str">
        <f t="shared" si="6"/>
        <v/>
      </c>
      <c r="AB6" t="str">
        <f t="shared" si="7"/>
        <v/>
      </c>
      <c r="AC6" t="str">
        <f t="shared" si="8"/>
        <v/>
      </c>
      <c r="AD6" t="str">
        <f t="shared" si="9"/>
        <v/>
      </c>
      <c r="AE6" t="str">
        <f t="shared" si="10"/>
        <v/>
      </c>
      <c r="AF6" t="str">
        <f t="shared" si="11"/>
        <v/>
      </c>
      <c r="AG6" t="str">
        <f t="shared" si="12"/>
        <v/>
      </c>
      <c r="AH6" t="str">
        <f t="shared" si="13"/>
        <v/>
      </c>
    </row>
    <row r="7" spans="1:36" x14ac:dyDescent="0.45">
      <c r="A7" t="str">
        <f>IF(Moteur!D7="","",Moteur!D7)</f>
        <v/>
      </c>
      <c r="B7" t="str">
        <f>IF(Moteur!B7="","",Moteur!B7)</f>
        <v/>
      </c>
      <c r="C7" t="str">
        <f>IF(Moteur!F7="","",Moteur!F7)</f>
        <v/>
      </c>
      <c r="D7" t="str">
        <f>IF(Moteur!G7="","",Moteur!G7)</f>
        <v/>
      </c>
      <c r="E7" t="str">
        <f>IF(Moteur!H7="","",Moteur!H7)</f>
        <v/>
      </c>
      <c r="F7" t="str">
        <f>IF(Moteur!E7="","",Moteur!E7)</f>
        <v/>
      </c>
      <c r="G7" t="str">
        <f>IF($A7="","",SUMIFS(Socle!$H$1:$H$1000,Socle!$C$1:$C$1000,$A7,Socle!$D$1:$D$1000,$C7,Socle!$E$1:$E$1000,$D7,Socle!$F$1:$F$1000,$E7,Socle!$G$1:$G$1000,"2026"))</f>
        <v/>
      </c>
      <c r="H7" t="str">
        <f>IF($A7="","",SUMIFS(Socle!$N$1:$N$1000,Socle!$C$1:$C$1000,$A7,Socle!$D$1:$D$1000,$C7,Socle!$E$1:$E$1000,$D7,Socle!$F$1:$F$1000,$E7,Socle!$G$1:$G$1000,"2026"))</f>
        <v/>
      </c>
      <c r="I7" t="str">
        <f>IF($A7="","",SUMIFS(Socle!$P$1:$P$1000,Socle!$C$1:$C$1000,$A7,Socle!$D$1:$D$1000,$C7,Socle!$E$1:$E$1000,$D7,Socle!$F$1:$F$1000,$E7,Socle!$G$1:$G$1000,"2026"))</f>
        <v/>
      </c>
      <c r="J7" t="str">
        <f>IF($A7="","",SUMIFS(Socle!$W$1:$W$1000,Socle!$C$1:$C$1000,$A7,Socle!$D$1:$D$1000,$C7,Socle!$E$1:$E$1000,$D7,Socle!$F$1:$F$1000,$E7,Socle!$G$1:$G$1000,"2026"))</f>
        <v/>
      </c>
      <c r="K7" t="str">
        <f>IF($A7="","",SUMIFS(Socle!$X$1:$X$1000,Socle!$C$1:$C$1000,$A7,Socle!$D$1:$D$1000,$C7,Socle!$E$1:$E$1000,$D7,Socle!$F$1:$F$1000,$E7,Socle!$G$1:$G$1000,"2026"))</f>
        <v/>
      </c>
      <c r="L7" t="str">
        <f>IF($A7="","",SUMIFS(Socle!$Y$1:$Y$1000,Socle!$C$1:$C$1000,$A7,Socle!$D$1:$D$1000,$C7,Socle!$E$1:$E$1000,$D7,Socle!$F$1:$F$1000,$E7,Socle!$G$1:$G$1000,"2026"))</f>
        <v/>
      </c>
      <c r="M7" t="str">
        <f>IF($A7="","",SUMIFS(Socle!$V$1:$V$1000,Socle!$C$1:$C$1000,$A7,Socle!$D$1:$D$1000,$C7,Socle!$E$1:$E$1000,$D7,Socle!$F$1:$F$1000,$E7,Socle!$G$1:$G$1000,"2026"))</f>
        <v/>
      </c>
      <c r="N7" t="str">
        <f t="shared" si="0"/>
        <v/>
      </c>
      <c r="O7" t="str">
        <f>IF($A7="","",SUMIFS(Campagne!$D$1:$D$15,Campagne!$C$1:$C$15,$A7))</f>
        <v/>
      </c>
      <c r="P7" t="str">
        <f>IF($A7="","",SUMIFS(Campagne!$E$1:$E$15,Campagne!$C$1:$C$15,$A7))</f>
        <v/>
      </c>
      <c r="Q7" t="str">
        <f>IF($A7="","",SUMIFS(Campagne!$F$1:$F$15,Campagne!$C$1:$C$15,$A7))</f>
        <v/>
      </c>
      <c r="R7" t="str">
        <f>IF($A7="","",SUMIFS(Campagne!$K$1:$K$15,Campagne!$C$1:$C$15,$A7))</f>
        <v/>
      </c>
      <c r="S7" t="str">
        <f>IF($A7="","",SUMIFS(Campagne!$M$1:$M$15,Campagne!$C$1:$C$15,$A7))</f>
        <v/>
      </c>
      <c r="T7" t="str">
        <f>IF($A7="","",SUMIFS(PIL!$K$15:$K$28,PIL!$A$15:$A$28,$A7)*SUMIFS(PIL!$J$15:$J$28,PIL!$A$15:$A$28,$A7)*(SUM(PIL!$K$15:$K$28)/SUMPRODUCT(PIL!$K$15:$K$28,PIL!$J$15:$J$28)))</f>
        <v/>
      </c>
      <c r="U7" t="str">
        <f>IF($A7="","",SUMIFS(PIL!$K$15:$K$28,PIL!$A$15:$A$28,$A7))</f>
        <v/>
      </c>
      <c r="V7" t="str">
        <f t="shared" si="1"/>
        <v/>
      </c>
      <c r="W7" t="str">
        <f t="shared" si="2"/>
        <v/>
      </c>
      <c r="X7" t="str">
        <f t="shared" si="3"/>
        <v/>
      </c>
      <c r="Y7" t="str">
        <f t="shared" si="4"/>
        <v/>
      </c>
      <c r="Z7" t="str">
        <f t="shared" si="5"/>
        <v/>
      </c>
      <c r="AA7" t="str">
        <f t="shared" si="6"/>
        <v/>
      </c>
      <c r="AB7" t="str">
        <f t="shared" si="7"/>
        <v/>
      </c>
      <c r="AC7" t="str">
        <f t="shared" si="8"/>
        <v/>
      </c>
      <c r="AD7" t="str">
        <f t="shared" si="9"/>
        <v/>
      </c>
      <c r="AE7" t="str">
        <f t="shared" si="10"/>
        <v/>
      </c>
      <c r="AF7" t="str">
        <f t="shared" si="11"/>
        <v/>
      </c>
      <c r="AG7" t="str">
        <f t="shared" si="12"/>
        <v/>
      </c>
      <c r="AH7" t="str">
        <f t="shared" si="13"/>
        <v/>
      </c>
    </row>
    <row r="8" spans="1:36" x14ac:dyDescent="0.45">
      <c r="A8" t="str">
        <f>IF(Moteur!D8="","",Moteur!D8)</f>
        <v/>
      </c>
      <c r="B8" t="str">
        <f>IF(Moteur!B8="","",Moteur!B8)</f>
        <v/>
      </c>
      <c r="C8" t="str">
        <f>IF(Moteur!F8="","",Moteur!F8)</f>
        <v/>
      </c>
      <c r="D8" t="str">
        <f>IF(Moteur!G8="","",Moteur!G8)</f>
        <v/>
      </c>
      <c r="E8" t="str">
        <f>IF(Moteur!H8="","",Moteur!H8)</f>
        <v/>
      </c>
      <c r="F8" t="str">
        <f>IF(Moteur!E8="","",Moteur!E8)</f>
        <v/>
      </c>
      <c r="G8" t="str">
        <f>IF($A8="","",SUMIFS(Socle!$H$1:$H$1000,Socle!$C$1:$C$1000,$A8,Socle!$D$1:$D$1000,$C8,Socle!$E$1:$E$1000,$D8,Socle!$F$1:$F$1000,$E8,Socle!$G$1:$G$1000,"2026"))</f>
        <v/>
      </c>
      <c r="H8" t="str">
        <f>IF($A8="","",SUMIFS(Socle!$N$1:$N$1000,Socle!$C$1:$C$1000,$A8,Socle!$D$1:$D$1000,$C8,Socle!$E$1:$E$1000,$D8,Socle!$F$1:$F$1000,$E8,Socle!$G$1:$G$1000,"2026"))</f>
        <v/>
      </c>
      <c r="I8" t="str">
        <f>IF($A8="","",SUMIFS(Socle!$P$1:$P$1000,Socle!$C$1:$C$1000,$A8,Socle!$D$1:$D$1000,$C8,Socle!$E$1:$E$1000,$D8,Socle!$F$1:$F$1000,$E8,Socle!$G$1:$G$1000,"2026"))</f>
        <v/>
      </c>
      <c r="J8" t="str">
        <f>IF($A8="","",SUMIFS(Socle!$W$1:$W$1000,Socle!$C$1:$C$1000,$A8,Socle!$D$1:$D$1000,$C8,Socle!$E$1:$E$1000,$D8,Socle!$F$1:$F$1000,$E8,Socle!$G$1:$G$1000,"2026"))</f>
        <v/>
      </c>
      <c r="K8" t="str">
        <f>IF($A8="","",SUMIFS(Socle!$X$1:$X$1000,Socle!$C$1:$C$1000,$A8,Socle!$D$1:$D$1000,$C8,Socle!$E$1:$E$1000,$D8,Socle!$F$1:$F$1000,$E8,Socle!$G$1:$G$1000,"2026"))</f>
        <v/>
      </c>
      <c r="L8" t="str">
        <f>IF($A8="","",SUMIFS(Socle!$Y$1:$Y$1000,Socle!$C$1:$C$1000,$A8,Socle!$D$1:$D$1000,$C8,Socle!$E$1:$E$1000,$D8,Socle!$F$1:$F$1000,$E8,Socle!$G$1:$G$1000,"2026"))</f>
        <v/>
      </c>
      <c r="M8" t="str">
        <f>IF($A8="","",SUMIFS(Socle!$V$1:$V$1000,Socle!$C$1:$C$1000,$A8,Socle!$D$1:$D$1000,$C8,Socle!$E$1:$E$1000,$D8,Socle!$F$1:$F$1000,$E8,Socle!$G$1:$G$1000,"2026"))</f>
        <v/>
      </c>
      <c r="N8" t="str">
        <f t="shared" si="0"/>
        <v/>
      </c>
      <c r="O8" t="str">
        <f>IF($A8="","",SUMIFS(Campagne!$D$1:$D$15,Campagne!$C$1:$C$15,$A8))</f>
        <v/>
      </c>
      <c r="P8" t="str">
        <f>IF($A8="","",SUMIFS(Campagne!$E$1:$E$15,Campagne!$C$1:$C$15,$A8))</f>
        <v/>
      </c>
      <c r="Q8" t="str">
        <f>IF($A8="","",SUMIFS(Campagne!$F$1:$F$15,Campagne!$C$1:$C$15,$A8))</f>
        <v/>
      </c>
      <c r="R8" t="str">
        <f>IF($A8="","",SUMIFS(Campagne!$K$1:$K$15,Campagne!$C$1:$C$15,$A8))</f>
        <v/>
      </c>
      <c r="S8" t="str">
        <f>IF($A8="","",SUMIFS(Campagne!$M$1:$M$15,Campagne!$C$1:$C$15,$A8))</f>
        <v/>
      </c>
      <c r="T8" t="str">
        <f>IF($A8="","",SUMIFS(PIL!$K$15:$K$28,PIL!$A$15:$A$28,$A8)*SUMIFS(PIL!$J$15:$J$28,PIL!$A$15:$A$28,$A8)*(SUM(PIL!$K$15:$K$28)/SUMPRODUCT(PIL!$K$15:$K$28,PIL!$J$15:$J$28)))</f>
        <v/>
      </c>
      <c r="U8" t="str">
        <f>IF($A8="","",SUMIFS(PIL!$K$15:$K$28,PIL!$A$15:$A$28,$A8))</f>
        <v/>
      </c>
      <c r="V8" t="str">
        <f t="shared" si="1"/>
        <v/>
      </c>
      <c r="W8" t="str">
        <f t="shared" si="2"/>
        <v/>
      </c>
      <c r="X8" t="str">
        <f t="shared" si="3"/>
        <v/>
      </c>
      <c r="Y8" t="str">
        <f t="shared" si="4"/>
        <v/>
      </c>
      <c r="Z8" t="str">
        <f t="shared" si="5"/>
        <v/>
      </c>
      <c r="AA8" t="str">
        <f t="shared" si="6"/>
        <v/>
      </c>
      <c r="AB8" t="str">
        <f t="shared" si="7"/>
        <v/>
      </c>
      <c r="AC8" t="str">
        <f t="shared" si="8"/>
        <v/>
      </c>
      <c r="AD8" t="str">
        <f t="shared" si="9"/>
        <v/>
      </c>
      <c r="AE8" t="str">
        <f t="shared" si="10"/>
        <v/>
      </c>
      <c r="AF8" t="str">
        <f t="shared" si="11"/>
        <v/>
      </c>
      <c r="AG8" t="str">
        <f t="shared" si="12"/>
        <v/>
      </c>
      <c r="AH8" t="str">
        <f t="shared" si="13"/>
        <v/>
      </c>
    </row>
    <row r="9" spans="1:36" x14ac:dyDescent="0.45">
      <c r="A9" t="str">
        <f>IF(Moteur!D9="","",Moteur!D9)</f>
        <v/>
      </c>
      <c r="B9" t="str">
        <f>IF(Moteur!B9="","",Moteur!B9)</f>
        <v/>
      </c>
      <c r="C9" t="str">
        <f>IF(Moteur!F9="","",Moteur!F9)</f>
        <v/>
      </c>
      <c r="D9" t="str">
        <f>IF(Moteur!G9="","",Moteur!G9)</f>
        <v/>
      </c>
      <c r="E9" t="str">
        <f>IF(Moteur!H9="","",Moteur!H9)</f>
        <v/>
      </c>
      <c r="F9" t="str">
        <f>IF(Moteur!E9="","",Moteur!E9)</f>
        <v/>
      </c>
      <c r="G9" t="str">
        <f>IF($A9="","",SUMIFS(Socle!$H$1:$H$1000,Socle!$C$1:$C$1000,$A9,Socle!$D$1:$D$1000,$C9,Socle!$E$1:$E$1000,$D9,Socle!$F$1:$F$1000,$E9,Socle!$G$1:$G$1000,"2026"))</f>
        <v/>
      </c>
      <c r="H9" t="str">
        <f>IF($A9="","",SUMIFS(Socle!$N$1:$N$1000,Socle!$C$1:$C$1000,$A9,Socle!$D$1:$D$1000,$C9,Socle!$E$1:$E$1000,$D9,Socle!$F$1:$F$1000,$E9,Socle!$G$1:$G$1000,"2026"))</f>
        <v/>
      </c>
      <c r="I9" t="str">
        <f>IF($A9="","",SUMIFS(Socle!$P$1:$P$1000,Socle!$C$1:$C$1000,$A9,Socle!$D$1:$D$1000,$C9,Socle!$E$1:$E$1000,$D9,Socle!$F$1:$F$1000,$E9,Socle!$G$1:$G$1000,"2026"))</f>
        <v/>
      </c>
      <c r="J9" t="str">
        <f>IF($A9="","",SUMIFS(Socle!$W$1:$W$1000,Socle!$C$1:$C$1000,$A9,Socle!$D$1:$D$1000,$C9,Socle!$E$1:$E$1000,$D9,Socle!$F$1:$F$1000,$E9,Socle!$G$1:$G$1000,"2026"))</f>
        <v/>
      </c>
      <c r="K9" t="str">
        <f>IF($A9="","",SUMIFS(Socle!$X$1:$X$1000,Socle!$C$1:$C$1000,$A9,Socle!$D$1:$D$1000,$C9,Socle!$E$1:$E$1000,$D9,Socle!$F$1:$F$1000,$E9,Socle!$G$1:$G$1000,"2026"))</f>
        <v/>
      </c>
      <c r="L9" t="str">
        <f>IF($A9="","",SUMIFS(Socle!$Y$1:$Y$1000,Socle!$C$1:$C$1000,$A9,Socle!$D$1:$D$1000,$C9,Socle!$E$1:$E$1000,$D9,Socle!$F$1:$F$1000,$E9,Socle!$G$1:$G$1000,"2026"))</f>
        <v/>
      </c>
      <c r="M9" t="str">
        <f>IF($A9="","",SUMIFS(Socle!$V$1:$V$1000,Socle!$C$1:$C$1000,$A9,Socle!$D$1:$D$1000,$C9,Socle!$E$1:$E$1000,$D9,Socle!$F$1:$F$1000,$E9,Socle!$G$1:$G$1000,"2026"))</f>
        <v/>
      </c>
      <c r="N9" t="str">
        <f t="shared" si="0"/>
        <v/>
      </c>
      <c r="O9" t="str">
        <f>IF($A9="","",SUMIFS(Campagne!$D$1:$D$15,Campagne!$C$1:$C$15,$A9))</f>
        <v/>
      </c>
      <c r="P9" t="str">
        <f>IF($A9="","",SUMIFS(Campagne!$E$1:$E$15,Campagne!$C$1:$C$15,$A9))</f>
        <v/>
      </c>
      <c r="Q9" t="str">
        <f>IF($A9="","",SUMIFS(Campagne!$F$1:$F$15,Campagne!$C$1:$C$15,$A9))</f>
        <v/>
      </c>
      <c r="R9" t="str">
        <f>IF($A9="","",SUMIFS(Campagne!$K$1:$K$15,Campagne!$C$1:$C$15,$A9))</f>
        <v/>
      </c>
      <c r="S9" t="str">
        <f>IF($A9="","",SUMIFS(Campagne!$M$1:$M$15,Campagne!$C$1:$C$15,$A9))</f>
        <v/>
      </c>
      <c r="T9" t="str">
        <f>IF($A9="","",SUMIFS(PIL!$K$15:$K$28,PIL!$A$15:$A$28,$A9)*SUMIFS(PIL!$J$15:$J$28,PIL!$A$15:$A$28,$A9)*(SUM(PIL!$K$15:$K$28)/SUMPRODUCT(PIL!$K$15:$K$28,PIL!$J$15:$J$28)))</f>
        <v/>
      </c>
      <c r="U9" t="str">
        <f>IF($A9="","",SUMIFS(PIL!$K$15:$K$28,PIL!$A$15:$A$28,$A9))</f>
        <v/>
      </c>
      <c r="V9" t="str">
        <f t="shared" si="1"/>
        <v/>
      </c>
      <c r="W9" t="str">
        <f t="shared" si="2"/>
        <v/>
      </c>
      <c r="X9" t="str">
        <f t="shared" si="3"/>
        <v/>
      </c>
      <c r="Y9" t="str">
        <f t="shared" si="4"/>
        <v/>
      </c>
      <c r="Z9" t="str">
        <f t="shared" si="5"/>
        <v/>
      </c>
      <c r="AA9" t="str">
        <f t="shared" si="6"/>
        <v/>
      </c>
      <c r="AB9" t="str">
        <f t="shared" si="7"/>
        <v/>
      </c>
      <c r="AC9" t="str">
        <f t="shared" si="8"/>
        <v/>
      </c>
      <c r="AD9" t="str">
        <f t="shared" si="9"/>
        <v/>
      </c>
      <c r="AE9" t="str">
        <f t="shared" si="10"/>
        <v/>
      </c>
      <c r="AF9" t="str">
        <f t="shared" si="11"/>
        <v/>
      </c>
      <c r="AG9" t="str">
        <f t="shared" si="12"/>
        <v/>
      </c>
      <c r="AH9" t="str">
        <f t="shared" si="13"/>
        <v/>
      </c>
    </row>
    <row r="10" spans="1:36" x14ac:dyDescent="0.45">
      <c r="A10" t="str">
        <f>IF(Moteur!D10="","",Moteur!D10)</f>
        <v/>
      </c>
      <c r="B10" t="str">
        <f>IF(Moteur!B10="","",Moteur!B10)</f>
        <v/>
      </c>
      <c r="C10" t="str">
        <f>IF(Moteur!F10="","",Moteur!F10)</f>
        <v/>
      </c>
      <c r="D10" t="str">
        <f>IF(Moteur!G10="","",Moteur!G10)</f>
        <v/>
      </c>
      <c r="E10" t="str">
        <f>IF(Moteur!H10="","",Moteur!H10)</f>
        <v/>
      </c>
      <c r="F10" t="str">
        <f>IF(Moteur!E10="","",Moteur!E10)</f>
        <v/>
      </c>
      <c r="G10" t="str">
        <f>IF($A10="","",SUMIFS(Socle!$H$1:$H$1000,Socle!$C$1:$C$1000,$A10,Socle!$D$1:$D$1000,$C10,Socle!$E$1:$E$1000,$D10,Socle!$F$1:$F$1000,$E10,Socle!$G$1:$G$1000,"2026"))</f>
        <v/>
      </c>
      <c r="H10" t="str">
        <f>IF($A10="","",SUMIFS(Socle!$N$1:$N$1000,Socle!$C$1:$C$1000,$A10,Socle!$D$1:$D$1000,$C10,Socle!$E$1:$E$1000,$D10,Socle!$F$1:$F$1000,$E10,Socle!$G$1:$G$1000,"2026"))</f>
        <v/>
      </c>
      <c r="I10" t="str">
        <f>IF($A10="","",SUMIFS(Socle!$P$1:$P$1000,Socle!$C$1:$C$1000,$A10,Socle!$D$1:$D$1000,$C10,Socle!$E$1:$E$1000,$D10,Socle!$F$1:$F$1000,$E10,Socle!$G$1:$G$1000,"2026"))</f>
        <v/>
      </c>
      <c r="J10" t="str">
        <f>IF($A10="","",SUMIFS(Socle!$W$1:$W$1000,Socle!$C$1:$C$1000,$A10,Socle!$D$1:$D$1000,$C10,Socle!$E$1:$E$1000,$D10,Socle!$F$1:$F$1000,$E10,Socle!$G$1:$G$1000,"2026"))</f>
        <v/>
      </c>
      <c r="K10" t="str">
        <f>IF($A10="","",SUMIFS(Socle!$X$1:$X$1000,Socle!$C$1:$C$1000,$A10,Socle!$D$1:$D$1000,$C10,Socle!$E$1:$E$1000,$D10,Socle!$F$1:$F$1000,$E10,Socle!$G$1:$G$1000,"2026"))</f>
        <v/>
      </c>
      <c r="L10" t="str">
        <f>IF($A10="","",SUMIFS(Socle!$Y$1:$Y$1000,Socle!$C$1:$C$1000,$A10,Socle!$D$1:$D$1000,$C10,Socle!$E$1:$E$1000,$D10,Socle!$F$1:$F$1000,$E10,Socle!$G$1:$G$1000,"2026"))</f>
        <v/>
      </c>
      <c r="M10" t="str">
        <f>IF($A10="","",SUMIFS(Socle!$V$1:$V$1000,Socle!$C$1:$C$1000,$A10,Socle!$D$1:$D$1000,$C10,Socle!$E$1:$E$1000,$D10,Socle!$F$1:$F$1000,$E10,Socle!$G$1:$G$1000,"2026"))</f>
        <v/>
      </c>
      <c r="N10" t="str">
        <f t="shared" si="0"/>
        <v/>
      </c>
      <c r="O10" t="str">
        <f>IF($A10="","",SUMIFS(Campagne!$D$1:$D$15,Campagne!$C$1:$C$15,$A10))</f>
        <v/>
      </c>
      <c r="P10" t="str">
        <f>IF($A10="","",SUMIFS(Campagne!$E$1:$E$15,Campagne!$C$1:$C$15,$A10))</f>
        <v/>
      </c>
      <c r="Q10" t="str">
        <f>IF($A10="","",SUMIFS(Campagne!$F$1:$F$15,Campagne!$C$1:$C$15,$A10))</f>
        <v/>
      </c>
      <c r="R10" t="str">
        <f>IF($A10="","",SUMIFS(Campagne!$K$1:$K$15,Campagne!$C$1:$C$15,$A10))</f>
        <v/>
      </c>
      <c r="S10" t="str">
        <f>IF($A10="","",SUMIFS(Campagne!$M$1:$M$15,Campagne!$C$1:$C$15,$A10))</f>
        <v/>
      </c>
      <c r="T10" t="str">
        <f>IF($A10="","",SUMIFS(PIL!$K$15:$K$28,PIL!$A$15:$A$28,$A10)*SUMIFS(PIL!$J$15:$J$28,PIL!$A$15:$A$28,$A10)*(SUM(PIL!$K$15:$K$28)/SUMPRODUCT(PIL!$K$15:$K$28,PIL!$J$15:$J$28)))</f>
        <v/>
      </c>
      <c r="U10" t="str">
        <f>IF($A10="","",SUMIFS(PIL!$K$15:$K$28,PIL!$A$15:$A$28,$A10))</f>
        <v/>
      </c>
      <c r="V10" t="str">
        <f t="shared" si="1"/>
        <v/>
      </c>
      <c r="W10" t="str">
        <f t="shared" si="2"/>
        <v/>
      </c>
      <c r="X10" t="str">
        <f t="shared" si="3"/>
        <v/>
      </c>
      <c r="Y10" t="str">
        <f t="shared" si="4"/>
        <v/>
      </c>
      <c r="Z10" t="str">
        <f t="shared" si="5"/>
        <v/>
      </c>
      <c r="AA10" t="str">
        <f t="shared" si="6"/>
        <v/>
      </c>
      <c r="AB10" t="str">
        <f t="shared" si="7"/>
        <v/>
      </c>
      <c r="AC10" t="str">
        <f t="shared" si="8"/>
        <v/>
      </c>
      <c r="AD10" t="str">
        <f t="shared" si="9"/>
        <v/>
      </c>
      <c r="AE10" t="str">
        <f t="shared" si="10"/>
        <v/>
      </c>
      <c r="AF10" t="str">
        <f t="shared" si="11"/>
        <v/>
      </c>
      <c r="AG10" t="str">
        <f t="shared" si="12"/>
        <v/>
      </c>
      <c r="AH10" t="str">
        <f t="shared" si="13"/>
        <v/>
      </c>
    </row>
    <row r="11" spans="1:36" x14ac:dyDescent="0.45">
      <c r="A11" t="str">
        <f>IF(Moteur!D11="","",Moteur!D11)</f>
        <v/>
      </c>
      <c r="B11" t="str">
        <f>IF(Moteur!B11="","",Moteur!B11)</f>
        <v/>
      </c>
      <c r="C11" t="str">
        <f>IF(Moteur!F11="","",Moteur!F11)</f>
        <v/>
      </c>
      <c r="D11" t="str">
        <f>IF(Moteur!G11="","",Moteur!G11)</f>
        <v/>
      </c>
      <c r="E11" t="str">
        <f>IF(Moteur!H11="","",Moteur!H11)</f>
        <v/>
      </c>
      <c r="F11" t="str">
        <f>IF(Moteur!E11="","",Moteur!E11)</f>
        <v/>
      </c>
      <c r="G11" t="str">
        <f>IF($A11="","",SUMIFS(Socle!$H$1:$H$1000,Socle!$C$1:$C$1000,$A11,Socle!$D$1:$D$1000,$C11,Socle!$E$1:$E$1000,$D11,Socle!$F$1:$F$1000,$E11,Socle!$G$1:$G$1000,"2026"))</f>
        <v/>
      </c>
      <c r="H11" t="str">
        <f>IF($A11="","",SUMIFS(Socle!$N$1:$N$1000,Socle!$C$1:$C$1000,$A11,Socle!$D$1:$D$1000,$C11,Socle!$E$1:$E$1000,$D11,Socle!$F$1:$F$1000,$E11,Socle!$G$1:$G$1000,"2026"))</f>
        <v/>
      </c>
      <c r="I11" t="str">
        <f>IF($A11="","",SUMIFS(Socle!$P$1:$P$1000,Socle!$C$1:$C$1000,$A11,Socle!$D$1:$D$1000,$C11,Socle!$E$1:$E$1000,$D11,Socle!$F$1:$F$1000,$E11,Socle!$G$1:$G$1000,"2026"))</f>
        <v/>
      </c>
      <c r="J11" t="str">
        <f>IF($A11="","",SUMIFS(Socle!$W$1:$W$1000,Socle!$C$1:$C$1000,$A11,Socle!$D$1:$D$1000,$C11,Socle!$E$1:$E$1000,$D11,Socle!$F$1:$F$1000,$E11,Socle!$G$1:$G$1000,"2026"))</f>
        <v/>
      </c>
      <c r="K11" t="str">
        <f>IF($A11="","",SUMIFS(Socle!$X$1:$X$1000,Socle!$C$1:$C$1000,$A11,Socle!$D$1:$D$1000,$C11,Socle!$E$1:$E$1000,$D11,Socle!$F$1:$F$1000,$E11,Socle!$G$1:$G$1000,"2026"))</f>
        <v/>
      </c>
      <c r="L11" t="str">
        <f>IF($A11="","",SUMIFS(Socle!$Y$1:$Y$1000,Socle!$C$1:$C$1000,$A11,Socle!$D$1:$D$1000,$C11,Socle!$E$1:$E$1000,$D11,Socle!$F$1:$F$1000,$E11,Socle!$G$1:$G$1000,"2026"))</f>
        <v/>
      </c>
      <c r="M11" t="str">
        <f>IF($A11="","",SUMIFS(Socle!$V$1:$V$1000,Socle!$C$1:$C$1000,$A11,Socle!$D$1:$D$1000,$C11,Socle!$E$1:$E$1000,$D11,Socle!$F$1:$F$1000,$E11,Socle!$G$1:$G$1000,"2026"))</f>
        <v/>
      </c>
      <c r="N11" t="str">
        <f t="shared" si="0"/>
        <v/>
      </c>
      <c r="O11" t="str">
        <f>IF($A11="","",SUMIFS(Campagne!$D$1:$D$15,Campagne!$C$1:$C$15,$A11))</f>
        <v/>
      </c>
      <c r="P11" t="str">
        <f>IF($A11="","",SUMIFS(Campagne!$E$1:$E$15,Campagne!$C$1:$C$15,$A11))</f>
        <v/>
      </c>
      <c r="Q11" t="str">
        <f>IF($A11="","",SUMIFS(Campagne!$F$1:$F$15,Campagne!$C$1:$C$15,$A11))</f>
        <v/>
      </c>
      <c r="R11" t="str">
        <f>IF($A11="","",SUMIFS(Campagne!$K$1:$K$15,Campagne!$C$1:$C$15,$A11))</f>
        <v/>
      </c>
      <c r="S11" t="str">
        <f>IF($A11="","",SUMIFS(Campagne!$M$1:$M$15,Campagne!$C$1:$C$15,$A11))</f>
        <v/>
      </c>
      <c r="T11" t="str">
        <f>IF($A11="","",SUMIFS(PIL!$K$15:$K$28,PIL!$A$15:$A$28,$A11)*SUMIFS(PIL!$J$15:$J$28,PIL!$A$15:$A$28,$A11)*(SUM(PIL!$K$15:$K$28)/SUMPRODUCT(PIL!$K$15:$K$28,PIL!$J$15:$J$28)))</f>
        <v/>
      </c>
      <c r="U11" t="str">
        <f>IF($A11="","",SUMIFS(PIL!$K$15:$K$28,PIL!$A$15:$A$28,$A11))</f>
        <v/>
      </c>
      <c r="V11" t="str">
        <f t="shared" si="1"/>
        <v/>
      </c>
      <c r="W11" t="str">
        <f t="shared" si="2"/>
        <v/>
      </c>
      <c r="X11" t="str">
        <f t="shared" si="3"/>
        <v/>
      </c>
      <c r="Y11" t="str">
        <f t="shared" si="4"/>
        <v/>
      </c>
      <c r="Z11" t="str">
        <f t="shared" si="5"/>
        <v/>
      </c>
      <c r="AA11" t="str">
        <f t="shared" si="6"/>
        <v/>
      </c>
      <c r="AB11" t="str">
        <f t="shared" si="7"/>
        <v/>
      </c>
      <c r="AC11" t="str">
        <f t="shared" si="8"/>
        <v/>
      </c>
      <c r="AD11" t="str">
        <f t="shared" si="9"/>
        <v/>
      </c>
      <c r="AE11" t="str">
        <f t="shared" si="10"/>
        <v/>
      </c>
      <c r="AF11" t="str">
        <f t="shared" si="11"/>
        <v/>
      </c>
      <c r="AG11" t="str">
        <f t="shared" si="12"/>
        <v/>
      </c>
      <c r="AH11" t="str">
        <f t="shared" si="13"/>
        <v/>
      </c>
    </row>
    <row r="12" spans="1:36" x14ac:dyDescent="0.45">
      <c r="A12" t="str">
        <f>IF(Moteur!D12="","",Moteur!D12)</f>
        <v/>
      </c>
      <c r="B12" t="str">
        <f>IF(Moteur!B12="","",Moteur!B12)</f>
        <v/>
      </c>
      <c r="C12" t="str">
        <f>IF(Moteur!F12="","",Moteur!F12)</f>
        <v/>
      </c>
      <c r="D12" t="str">
        <f>IF(Moteur!G12="","",Moteur!G12)</f>
        <v/>
      </c>
      <c r="E12" t="str">
        <f>IF(Moteur!H12="","",Moteur!H12)</f>
        <v/>
      </c>
      <c r="F12" t="str">
        <f>IF(Moteur!E12="","",Moteur!E12)</f>
        <v/>
      </c>
      <c r="G12" t="str">
        <f>IF($A12="","",SUMIFS(Socle!$H$1:$H$1000,Socle!$C$1:$C$1000,$A12,Socle!$D$1:$D$1000,$C12,Socle!$E$1:$E$1000,$D12,Socle!$F$1:$F$1000,$E12,Socle!$G$1:$G$1000,"2026"))</f>
        <v/>
      </c>
      <c r="H12" t="str">
        <f>IF($A12="","",SUMIFS(Socle!$N$1:$N$1000,Socle!$C$1:$C$1000,$A12,Socle!$D$1:$D$1000,$C12,Socle!$E$1:$E$1000,$D12,Socle!$F$1:$F$1000,$E12,Socle!$G$1:$G$1000,"2026"))</f>
        <v/>
      </c>
      <c r="I12" t="str">
        <f>IF($A12="","",SUMIFS(Socle!$P$1:$P$1000,Socle!$C$1:$C$1000,$A12,Socle!$D$1:$D$1000,$C12,Socle!$E$1:$E$1000,$D12,Socle!$F$1:$F$1000,$E12,Socle!$G$1:$G$1000,"2026"))</f>
        <v/>
      </c>
      <c r="J12" t="str">
        <f>IF($A12="","",SUMIFS(Socle!$W$1:$W$1000,Socle!$C$1:$C$1000,$A12,Socle!$D$1:$D$1000,$C12,Socle!$E$1:$E$1000,$D12,Socle!$F$1:$F$1000,$E12,Socle!$G$1:$G$1000,"2026"))</f>
        <v/>
      </c>
      <c r="K12" t="str">
        <f>IF($A12="","",SUMIFS(Socle!$X$1:$X$1000,Socle!$C$1:$C$1000,$A12,Socle!$D$1:$D$1000,$C12,Socle!$E$1:$E$1000,$D12,Socle!$F$1:$F$1000,$E12,Socle!$G$1:$G$1000,"2026"))</f>
        <v/>
      </c>
      <c r="L12" t="str">
        <f>IF($A12="","",SUMIFS(Socle!$Y$1:$Y$1000,Socle!$C$1:$C$1000,$A12,Socle!$D$1:$D$1000,$C12,Socle!$E$1:$E$1000,$D12,Socle!$F$1:$F$1000,$E12,Socle!$G$1:$G$1000,"2026"))</f>
        <v/>
      </c>
      <c r="M12" t="str">
        <f>IF($A12="","",SUMIFS(Socle!$V$1:$V$1000,Socle!$C$1:$C$1000,$A12,Socle!$D$1:$D$1000,$C12,Socle!$E$1:$E$1000,$D12,Socle!$F$1:$F$1000,$E12,Socle!$G$1:$G$1000,"2026"))</f>
        <v/>
      </c>
      <c r="N12" t="str">
        <f t="shared" si="0"/>
        <v/>
      </c>
      <c r="O12" t="str">
        <f>IF($A12="","",SUMIFS(Campagne!$D$1:$D$15,Campagne!$C$1:$C$15,$A12))</f>
        <v/>
      </c>
      <c r="P12" t="str">
        <f>IF($A12="","",SUMIFS(Campagne!$E$1:$E$15,Campagne!$C$1:$C$15,$A12))</f>
        <v/>
      </c>
      <c r="Q12" t="str">
        <f>IF($A12="","",SUMIFS(Campagne!$F$1:$F$15,Campagne!$C$1:$C$15,$A12))</f>
        <v/>
      </c>
      <c r="R12" t="str">
        <f>IF($A12="","",SUMIFS(Campagne!$K$1:$K$15,Campagne!$C$1:$C$15,$A12))</f>
        <v/>
      </c>
      <c r="S12" t="str">
        <f>IF($A12="","",SUMIFS(Campagne!$M$1:$M$15,Campagne!$C$1:$C$15,$A12))</f>
        <v/>
      </c>
      <c r="T12" t="str">
        <f>IF($A12="","",SUMIFS(PIL!$K$15:$K$28,PIL!$A$15:$A$28,$A12)*SUMIFS(PIL!$J$15:$J$28,PIL!$A$15:$A$28,$A12)*(SUM(PIL!$K$15:$K$28)/SUMPRODUCT(PIL!$K$15:$K$28,PIL!$J$15:$J$28)))</f>
        <v/>
      </c>
      <c r="U12" t="str">
        <f>IF($A12="","",SUMIFS(PIL!$K$15:$K$28,PIL!$A$15:$A$28,$A12))</f>
        <v/>
      </c>
      <c r="V12" t="str">
        <f t="shared" si="1"/>
        <v/>
      </c>
      <c r="W12" t="str">
        <f t="shared" si="2"/>
        <v/>
      </c>
      <c r="X12" t="str">
        <f t="shared" si="3"/>
        <v/>
      </c>
      <c r="Y12" t="str">
        <f t="shared" si="4"/>
        <v/>
      </c>
      <c r="Z12" t="str">
        <f t="shared" si="5"/>
        <v/>
      </c>
      <c r="AA12" t="str">
        <f t="shared" si="6"/>
        <v/>
      </c>
      <c r="AB12" t="str">
        <f t="shared" si="7"/>
        <v/>
      </c>
      <c r="AC12" t="str">
        <f t="shared" si="8"/>
        <v/>
      </c>
      <c r="AD12" t="str">
        <f t="shared" si="9"/>
        <v/>
      </c>
      <c r="AE12" t="str">
        <f t="shared" si="10"/>
        <v/>
      </c>
      <c r="AF12" t="str">
        <f t="shared" si="11"/>
        <v/>
      </c>
      <c r="AG12" t="str">
        <f t="shared" si="12"/>
        <v/>
      </c>
      <c r="AH12" t="str">
        <f t="shared" si="13"/>
        <v/>
      </c>
    </row>
    <row r="13" spans="1:36" x14ac:dyDescent="0.45">
      <c r="A13" t="str">
        <f>IF(Moteur!D13="","",Moteur!D13)</f>
        <v/>
      </c>
      <c r="B13" t="str">
        <f>IF(Moteur!B13="","",Moteur!B13)</f>
        <v/>
      </c>
      <c r="C13" t="str">
        <f>IF(Moteur!F13="","",Moteur!F13)</f>
        <v/>
      </c>
      <c r="D13" t="str">
        <f>IF(Moteur!G13="","",Moteur!G13)</f>
        <v/>
      </c>
      <c r="E13" t="str">
        <f>IF(Moteur!H13="","",Moteur!H13)</f>
        <v/>
      </c>
      <c r="F13" t="str">
        <f>IF(Moteur!E13="","",Moteur!E13)</f>
        <v/>
      </c>
      <c r="G13" t="str">
        <f>IF($A13="","",SUMIFS(Socle!$H$1:$H$1000,Socle!$C$1:$C$1000,$A13,Socle!$D$1:$D$1000,$C13,Socle!$E$1:$E$1000,$D13,Socle!$F$1:$F$1000,$E13,Socle!$G$1:$G$1000,"2026"))</f>
        <v/>
      </c>
      <c r="H13" t="str">
        <f>IF($A13="","",SUMIFS(Socle!$N$1:$N$1000,Socle!$C$1:$C$1000,$A13,Socle!$D$1:$D$1000,$C13,Socle!$E$1:$E$1000,$D13,Socle!$F$1:$F$1000,$E13,Socle!$G$1:$G$1000,"2026"))</f>
        <v/>
      </c>
      <c r="I13" t="str">
        <f>IF($A13="","",SUMIFS(Socle!$P$1:$P$1000,Socle!$C$1:$C$1000,$A13,Socle!$D$1:$D$1000,$C13,Socle!$E$1:$E$1000,$D13,Socle!$F$1:$F$1000,$E13,Socle!$G$1:$G$1000,"2026"))</f>
        <v/>
      </c>
      <c r="J13" t="str">
        <f>IF($A13="","",SUMIFS(Socle!$W$1:$W$1000,Socle!$C$1:$C$1000,$A13,Socle!$D$1:$D$1000,$C13,Socle!$E$1:$E$1000,$D13,Socle!$F$1:$F$1000,$E13,Socle!$G$1:$G$1000,"2026"))</f>
        <v/>
      </c>
      <c r="K13" t="str">
        <f>IF($A13="","",SUMIFS(Socle!$X$1:$X$1000,Socle!$C$1:$C$1000,$A13,Socle!$D$1:$D$1000,$C13,Socle!$E$1:$E$1000,$D13,Socle!$F$1:$F$1000,$E13,Socle!$G$1:$G$1000,"2026"))</f>
        <v/>
      </c>
      <c r="L13" t="str">
        <f>IF($A13="","",SUMIFS(Socle!$Y$1:$Y$1000,Socle!$C$1:$C$1000,$A13,Socle!$D$1:$D$1000,$C13,Socle!$E$1:$E$1000,$D13,Socle!$F$1:$F$1000,$E13,Socle!$G$1:$G$1000,"2026"))</f>
        <v/>
      </c>
      <c r="M13" t="str">
        <f>IF($A13="","",SUMIFS(Socle!$V$1:$V$1000,Socle!$C$1:$C$1000,$A13,Socle!$D$1:$D$1000,$C13,Socle!$E$1:$E$1000,$D13,Socle!$F$1:$F$1000,$E13,Socle!$G$1:$G$1000,"2026"))</f>
        <v/>
      </c>
      <c r="N13" t="str">
        <f t="shared" si="0"/>
        <v/>
      </c>
      <c r="O13" t="str">
        <f>IF($A13="","",SUMIFS(Campagne!$D$1:$D$15,Campagne!$C$1:$C$15,$A13))</f>
        <v/>
      </c>
      <c r="P13" t="str">
        <f>IF($A13="","",SUMIFS(Campagne!$E$1:$E$15,Campagne!$C$1:$C$15,$A13))</f>
        <v/>
      </c>
      <c r="Q13" t="str">
        <f>IF($A13="","",SUMIFS(Campagne!$F$1:$F$15,Campagne!$C$1:$C$15,$A13))</f>
        <v/>
      </c>
      <c r="R13" t="str">
        <f>IF($A13="","",SUMIFS(Campagne!$K$1:$K$15,Campagne!$C$1:$C$15,$A13))</f>
        <v/>
      </c>
      <c r="S13" t="str">
        <f>IF($A13="","",SUMIFS(Campagne!$M$1:$M$15,Campagne!$C$1:$C$15,$A13))</f>
        <v/>
      </c>
      <c r="T13" t="str">
        <f>IF($A13="","",SUMIFS(PIL!$K$15:$K$28,PIL!$A$15:$A$28,$A13)*SUMIFS(PIL!$J$15:$J$28,PIL!$A$15:$A$28,$A13)*(SUM(PIL!$K$15:$K$28)/SUMPRODUCT(PIL!$K$15:$K$28,PIL!$J$15:$J$28)))</f>
        <v/>
      </c>
      <c r="U13" t="str">
        <f>IF($A13="","",SUMIFS(PIL!$K$15:$K$28,PIL!$A$15:$A$28,$A13))</f>
        <v/>
      </c>
      <c r="V13" t="str">
        <f t="shared" si="1"/>
        <v/>
      </c>
      <c r="W13" t="str">
        <f t="shared" si="2"/>
        <v/>
      </c>
      <c r="X13" t="str">
        <f t="shared" si="3"/>
        <v/>
      </c>
      <c r="Y13" t="str">
        <f t="shared" si="4"/>
        <v/>
      </c>
      <c r="Z13" t="str">
        <f t="shared" si="5"/>
        <v/>
      </c>
      <c r="AA13" t="str">
        <f t="shared" si="6"/>
        <v/>
      </c>
      <c r="AB13" t="str">
        <f t="shared" si="7"/>
        <v/>
      </c>
      <c r="AC13" t="str">
        <f t="shared" si="8"/>
        <v/>
      </c>
      <c r="AD13" t="str">
        <f t="shared" si="9"/>
        <v/>
      </c>
      <c r="AE13" t="str">
        <f t="shared" si="10"/>
        <v/>
      </c>
      <c r="AF13" t="str">
        <f t="shared" si="11"/>
        <v/>
      </c>
      <c r="AG13" t="str">
        <f t="shared" si="12"/>
        <v/>
      </c>
      <c r="AH13" t="str">
        <f t="shared" si="13"/>
        <v/>
      </c>
    </row>
    <row r="14" spans="1:36" x14ac:dyDescent="0.45">
      <c r="A14" t="str">
        <f>IF(Moteur!D14="","",Moteur!D14)</f>
        <v/>
      </c>
      <c r="B14" t="str">
        <f>IF(Moteur!B14="","",Moteur!B14)</f>
        <v/>
      </c>
      <c r="C14" t="str">
        <f>IF(Moteur!F14="","",Moteur!F14)</f>
        <v/>
      </c>
      <c r="D14" t="str">
        <f>IF(Moteur!G14="","",Moteur!G14)</f>
        <v/>
      </c>
      <c r="E14" t="str">
        <f>IF(Moteur!H14="","",Moteur!H14)</f>
        <v/>
      </c>
      <c r="F14" t="str">
        <f>IF(Moteur!E14="","",Moteur!E14)</f>
        <v/>
      </c>
      <c r="G14" t="str">
        <f>IF($A14="","",SUMIFS(Socle!$H$1:$H$1000,Socle!$C$1:$C$1000,$A14,Socle!$D$1:$D$1000,$C14,Socle!$E$1:$E$1000,$D14,Socle!$F$1:$F$1000,$E14,Socle!$G$1:$G$1000,"2026"))</f>
        <v/>
      </c>
      <c r="H14" t="str">
        <f>IF($A14="","",SUMIFS(Socle!$N$1:$N$1000,Socle!$C$1:$C$1000,$A14,Socle!$D$1:$D$1000,$C14,Socle!$E$1:$E$1000,$D14,Socle!$F$1:$F$1000,$E14,Socle!$G$1:$G$1000,"2026"))</f>
        <v/>
      </c>
      <c r="I14" t="str">
        <f>IF($A14="","",SUMIFS(Socle!$P$1:$P$1000,Socle!$C$1:$C$1000,$A14,Socle!$D$1:$D$1000,$C14,Socle!$E$1:$E$1000,$D14,Socle!$F$1:$F$1000,$E14,Socle!$G$1:$G$1000,"2026"))</f>
        <v/>
      </c>
      <c r="J14" t="str">
        <f>IF($A14="","",SUMIFS(Socle!$W$1:$W$1000,Socle!$C$1:$C$1000,$A14,Socle!$D$1:$D$1000,$C14,Socle!$E$1:$E$1000,$D14,Socle!$F$1:$F$1000,$E14,Socle!$G$1:$G$1000,"2026"))</f>
        <v/>
      </c>
      <c r="K14" t="str">
        <f>IF($A14="","",SUMIFS(Socle!$X$1:$X$1000,Socle!$C$1:$C$1000,$A14,Socle!$D$1:$D$1000,$C14,Socle!$E$1:$E$1000,$D14,Socle!$F$1:$F$1000,$E14,Socle!$G$1:$G$1000,"2026"))</f>
        <v/>
      </c>
      <c r="L14" t="str">
        <f>IF($A14="","",SUMIFS(Socle!$Y$1:$Y$1000,Socle!$C$1:$C$1000,$A14,Socle!$D$1:$D$1000,$C14,Socle!$E$1:$E$1000,$D14,Socle!$F$1:$F$1000,$E14,Socle!$G$1:$G$1000,"2026"))</f>
        <v/>
      </c>
      <c r="M14" t="str">
        <f>IF($A14="","",SUMIFS(Socle!$V$1:$V$1000,Socle!$C$1:$C$1000,$A14,Socle!$D$1:$D$1000,$C14,Socle!$E$1:$E$1000,$D14,Socle!$F$1:$F$1000,$E14,Socle!$G$1:$G$1000,"2026"))</f>
        <v/>
      </c>
      <c r="N14" t="str">
        <f t="shared" si="0"/>
        <v/>
      </c>
      <c r="O14" t="str">
        <f>IF($A14="","",SUMIFS(Campagne!$D$1:$D$15,Campagne!$C$1:$C$15,$A14))</f>
        <v/>
      </c>
      <c r="P14" t="str">
        <f>IF($A14="","",SUMIFS(Campagne!$E$1:$E$15,Campagne!$C$1:$C$15,$A14))</f>
        <v/>
      </c>
      <c r="Q14" t="str">
        <f>IF($A14="","",SUMIFS(Campagne!$F$1:$F$15,Campagne!$C$1:$C$15,$A14))</f>
        <v/>
      </c>
      <c r="R14" t="str">
        <f>IF($A14="","",SUMIFS(Campagne!$K$1:$K$15,Campagne!$C$1:$C$15,$A14))</f>
        <v/>
      </c>
      <c r="S14" t="str">
        <f>IF($A14="","",SUMIFS(Campagne!$M$1:$M$15,Campagne!$C$1:$C$15,$A14))</f>
        <v/>
      </c>
      <c r="T14" t="str">
        <f>IF($A14="","",SUMIFS(PIL!$K$15:$K$28,PIL!$A$15:$A$28,$A14)*SUMIFS(PIL!$J$15:$J$28,PIL!$A$15:$A$28,$A14)*(SUM(PIL!$K$15:$K$28)/SUMPRODUCT(PIL!$K$15:$K$28,PIL!$J$15:$J$28)))</f>
        <v/>
      </c>
      <c r="U14" t="str">
        <f>IF($A14="","",SUMIFS(PIL!$K$15:$K$28,PIL!$A$15:$A$28,$A14))</f>
        <v/>
      </c>
      <c r="V14" t="str">
        <f t="shared" si="1"/>
        <v/>
      </c>
      <c r="W14" t="str">
        <f t="shared" si="2"/>
        <v/>
      </c>
      <c r="X14" t="str">
        <f t="shared" si="3"/>
        <v/>
      </c>
      <c r="Y14" t="str">
        <f t="shared" si="4"/>
        <v/>
      </c>
      <c r="Z14" t="str">
        <f t="shared" si="5"/>
        <v/>
      </c>
      <c r="AA14" t="str">
        <f t="shared" si="6"/>
        <v/>
      </c>
      <c r="AB14" t="str">
        <f t="shared" si="7"/>
        <v/>
      </c>
      <c r="AC14" t="str">
        <f t="shared" si="8"/>
        <v/>
      </c>
      <c r="AD14" t="str">
        <f t="shared" si="9"/>
        <v/>
      </c>
      <c r="AE14" t="str">
        <f t="shared" si="10"/>
        <v/>
      </c>
      <c r="AF14" t="str">
        <f t="shared" si="11"/>
        <v/>
      </c>
      <c r="AG14" t="str">
        <f t="shared" si="12"/>
        <v/>
      </c>
      <c r="AH14" t="str">
        <f t="shared" si="13"/>
        <v/>
      </c>
    </row>
    <row r="15" spans="1:36" x14ac:dyDescent="0.45">
      <c r="A15" t="str">
        <f>IF(Moteur!D15="","",Moteur!D15)</f>
        <v/>
      </c>
      <c r="B15" t="str">
        <f>IF(Moteur!B15="","",Moteur!B15)</f>
        <v/>
      </c>
      <c r="C15" t="str">
        <f>IF(Moteur!F15="","",Moteur!F15)</f>
        <v/>
      </c>
      <c r="D15" t="str">
        <f>IF(Moteur!G15="","",Moteur!G15)</f>
        <v/>
      </c>
      <c r="E15" t="str">
        <f>IF(Moteur!H15="","",Moteur!H15)</f>
        <v/>
      </c>
      <c r="F15" t="str">
        <f>IF(Moteur!E15="","",Moteur!E15)</f>
        <v/>
      </c>
      <c r="G15" t="str">
        <f>IF($A15="","",SUMIFS(Socle!$H$1:$H$1000,Socle!$C$1:$C$1000,$A15,Socle!$D$1:$D$1000,$C15,Socle!$E$1:$E$1000,$D15,Socle!$F$1:$F$1000,$E15,Socle!$G$1:$G$1000,"2026"))</f>
        <v/>
      </c>
      <c r="H15" t="str">
        <f>IF($A15="","",SUMIFS(Socle!$N$1:$N$1000,Socle!$C$1:$C$1000,$A15,Socle!$D$1:$D$1000,$C15,Socle!$E$1:$E$1000,$D15,Socle!$F$1:$F$1000,$E15,Socle!$G$1:$G$1000,"2026"))</f>
        <v/>
      </c>
      <c r="I15" t="str">
        <f>IF($A15="","",SUMIFS(Socle!$P$1:$P$1000,Socle!$C$1:$C$1000,$A15,Socle!$D$1:$D$1000,$C15,Socle!$E$1:$E$1000,$D15,Socle!$F$1:$F$1000,$E15,Socle!$G$1:$G$1000,"2026"))</f>
        <v/>
      </c>
      <c r="J15" t="str">
        <f>IF($A15="","",SUMIFS(Socle!$W$1:$W$1000,Socle!$C$1:$C$1000,$A15,Socle!$D$1:$D$1000,$C15,Socle!$E$1:$E$1000,$D15,Socle!$F$1:$F$1000,$E15,Socle!$G$1:$G$1000,"2026"))</f>
        <v/>
      </c>
      <c r="K15" t="str">
        <f>IF($A15="","",SUMIFS(Socle!$X$1:$X$1000,Socle!$C$1:$C$1000,$A15,Socle!$D$1:$D$1000,$C15,Socle!$E$1:$E$1000,$D15,Socle!$F$1:$F$1000,$E15,Socle!$G$1:$G$1000,"2026"))</f>
        <v/>
      </c>
      <c r="L15" t="str">
        <f>IF($A15="","",SUMIFS(Socle!$Y$1:$Y$1000,Socle!$C$1:$C$1000,$A15,Socle!$D$1:$D$1000,$C15,Socle!$E$1:$E$1000,$D15,Socle!$F$1:$F$1000,$E15,Socle!$G$1:$G$1000,"2026"))</f>
        <v/>
      </c>
      <c r="M15" t="str">
        <f>IF($A15="","",SUMIFS(Socle!$V$1:$V$1000,Socle!$C$1:$C$1000,$A15,Socle!$D$1:$D$1000,$C15,Socle!$E$1:$E$1000,$D15,Socle!$F$1:$F$1000,$E15,Socle!$G$1:$G$1000,"2026"))</f>
        <v/>
      </c>
      <c r="N15" t="str">
        <f t="shared" si="0"/>
        <v/>
      </c>
      <c r="O15" t="str">
        <f>IF($A15="","",SUMIFS(Campagne!$D$1:$D$15,Campagne!$C$1:$C$15,$A15))</f>
        <v/>
      </c>
      <c r="P15" t="str">
        <f>IF($A15="","",SUMIFS(Campagne!$E$1:$E$15,Campagne!$C$1:$C$15,$A15))</f>
        <v/>
      </c>
      <c r="Q15" t="str">
        <f>IF($A15="","",SUMIFS(Campagne!$F$1:$F$15,Campagne!$C$1:$C$15,$A15))</f>
        <v/>
      </c>
      <c r="R15" t="str">
        <f>IF($A15="","",SUMIFS(Campagne!$K$1:$K$15,Campagne!$C$1:$C$15,$A15))</f>
        <v/>
      </c>
      <c r="S15" t="str">
        <f>IF($A15="","",SUMIFS(Campagne!$M$1:$M$15,Campagne!$C$1:$C$15,$A15))</f>
        <v/>
      </c>
      <c r="T15" t="str">
        <f>IF($A15="","",SUMIFS(PIL!$K$15:$K$28,PIL!$A$15:$A$28,$A15)*SUMIFS(PIL!$J$15:$J$28,PIL!$A$15:$A$28,$A15)*(SUM(PIL!$K$15:$K$28)/SUMPRODUCT(PIL!$K$15:$K$28,PIL!$J$15:$J$28)))</f>
        <v/>
      </c>
      <c r="U15" t="str">
        <f>IF($A15="","",SUMIFS(PIL!$K$15:$K$28,PIL!$A$15:$A$28,$A15))</f>
        <v/>
      </c>
      <c r="V15" t="str">
        <f t="shared" si="1"/>
        <v/>
      </c>
      <c r="W15" t="str">
        <f t="shared" si="2"/>
        <v/>
      </c>
      <c r="X15" t="str">
        <f t="shared" si="3"/>
        <v/>
      </c>
      <c r="Y15" t="str">
        <f t="shared" si="4"/>
        <v/>
      </c>
      <c r="Z15" t="str">
        <f t="shared" si="5"/>
        <v/>
      </c>
      <c r="AA15" t="str">
        <f t="shared" si="6"/>
        <v/>
      </c>
      <c r="AB15" t="str">
        <f t="shared" si="7"/>
        <v/>
      </c>
      <c r="AC15" t="str">
        <f t="shared" si="8"/>
        <v/>
      </c>
      <c r="AD15" t="str">
        <f t="shared" si="9"/>
        <v/>
      </c>
      <c r="AE15" t="str">
        <f t="shared" si="10"/>
        <v/>
      </c>
      <c r="AF15" t="str">
        <f t="shared" si="11"/>
        <v/>
      </c>
      <c r="AG15" t="str">
        <f t="shared" si="12"/>
        <v/>
      </c>
      <c r="AH15" t="str">
        <f t="shared" si="13"/>
        <v/>
      </c>
    </row>
    <row r="16" spans="1:36" x14ac:dyDescent="0.45">
      <c r="A16" t="str">
        <f>IF(Moteur!D16="","",Moteur!D16)</f>
        <v/>
      </c>
      <c r="B16" t="str">
        <f>IF(Moteur!B16="","",Moteur!B16)</f>
        <v/>
      </c>
      <c r="C16" t="str">
        <f>IF(Moteur!F16="","",Moteur!F16)</f>
        <v/>
      </c>
      <c r="D16" t="str">
        <f>IF(Moteur!G16="","",Moteur!G16)</f>
        <v/>
      </c>
      <c r="E16" t="str">
        <f>IF(Moteur!H16="","",Moteur!H16)</f>
        <v/>
      </c>
      <c r="F16" t="str">
        <f>IF(Moteur!E16="","",Moteur!E16)</f>
        <v/>
      </c>
      <c r="G16" t="str">
        <f>IF($A16="","",SUMIFS(Socle!$H$1:$H$1000,Socle!$C$1:$C$1000,$A16,Socle!$D$1:$D$1000,$C16,Socle!$E$1:$E$1000,$D16,Socle!$F$1:$F$1000,$E16,Socle!$G$1:$G$1000,"2026"))</f>
        <v/>
      </c>
      <c r="H16" t="str">
        <f>IF($A16="","",SUMIFS(Socle!$N$1:$N$1000,Socle!$C$1:$C$1000,$A16,Socle!$D$1:$D$1000,$C16,Socle!$E$1:$E$1000,$D16,Socle!$F$1:$F$1000,$E16,Socle!$G$1:$G$1000,"2026"))</f>
        <v/>
      </c>
      <c r="I16" t="str">
        <f>IF($A16="","",SUMIFS(Socle!$P$1:$P$1000,Socle!$C$1:$C$1000,$A16,Socle!$D$1:$D$1000,$C16,Socle!$E$1:$E$1000,$D16,Socle!$F$1:$F$1000,$E16,Socle!$G$1:$G$1000,"2026"))</f>
        <v/>
      </c>
      <c r="J16" t="str">
        <f>IF($A16="","",SUMIFS(Socle!$W$1:$W$1000,Socle!$C$1:$C$1000,$A16,Socle!$D$1:$D$1000,$C16,Socle!$E$1:$E$1000,$D16,Socle!$F$1:$F$1000,$E16,Socle!$G$1:$G$1000,"2026"))</f>
        <v/>
      </c>
      <c r="K16" t="str">
        <f>IF($A16="","",SUMIFS(Socle!$X$1:$X$1000,Socle!$C$1:$C$1000,$A16,Socle!$D$1:$D$1000,$C16,Socle!$E$1:$E$1000,$D16,Socle!$F$1:$F$1000,$E16,Socle!$G$1:$G$1000,"2026"))</f>
        <v/>
      </c>
      <c r="L16" t="str">
        <f>IF($A16="","",SUMIFS(Socle!$Y$1:$Y$1000,Socle!$C$1:$C$1000,$A16,Socle!$D$1:$D$1000,$C16,Socle!$E$1:$E$1000,$D16,Socle!$F$1:$F$1000,$E16,Socle!$G$1:$G$1000,"2026"))</f>
        <v/>
      </c>
      <c r="M16" t="str">
        <f>IF($A16="","",SUMIFS(Socle!$V$1:$V$1000,Socle!$C$1:$C$1000,$A16,Socle!$D$1:$D$1000,$C16,Socle!$E$1:$E$1000,$D16,Socle!$F$1:$F$1000,$E16,Socle!$G$1:$G$1000,"2026"))</f>
        <v/>
      </c>
      <c r="N16" t="str">
        <f t="shared" si="0"/>
        <v/>
      </c>
      <c r="O16" t="str">
        <f>IF($A16="","",SUMIFS(Campagne!$D$1:$D$15,Campagne!$C$1:$C$15,$A16))</f>
        <v/>
      </c>
      <c r="P16" t="str">
        <f>IF($A16="","",SUMIFS(Campagne!$E$1:$E$15,Campagne!$C$1:$C$15,$A16))</f>
        <v/>
      </c>
      <c r="Q16" t="str">
        <f>IF($A16="","",SUMIFS(Campagne!$F$1:$F$15,Campagne!$C$1:$C$15,$A16))</f>
        <v/>
      </c>
      <c r="R16" t="str">
        <f>IF($A16="","",SUMIFS(Campagne!$K$1:$K$15,Campagne!$C$1:$C$15,$A16))</f>
        <v/>
      </c>
      <c r="S16" t="str">
        <f>IF($A16="","",SUMIFS(Campagne!$M$1:$M$15,Campagne!$C$1:$C$15,$A16))</f>
        <v/>
      </c>
      <c r="T16" t="str">
        <f>IF($A16="","",SUMIFS(PIL!$K$15:$K$28,PIL!$A$15:$A$28,$A16)*SUMIFS(PIL!$J$15:$J$28,PIL!$A$15:$A$28,$A16)*(SUM(PIL!$K$15:$K$28)/SUMPRODUCT(PIL!$K$15:$K$28,PIL!$J$15:$J$28)))</f>
        <v/>
      </c>
      <c r="U16" t="str">
        <f>IF($A16="","",SUMIFS(PIL!$K$15:$K$28,PIL!$A$15:$A$28,$A16))</f>
        <v/>
      </c>
      <c r="V16" t="str">
        <f t="shared" si="1"/>
        <v/>
      </c>
      <c r="W16" t="str">
        <f t="shared" si="2"/>
        <v/>
      </c>
      <c r="X16" t="str">
        <f t="shared" si="3"/>
        <v/>
      </c>
      <c r="Y16" t="str">
        <f t="shared" si="4"/>
        <v/>
      </c>
      <c r="Z16" t="str">
        <f t="shared" si="5"/>
        <v/>
      </c>
      <c r="AA16" t="str">
        <f t="shared" si="6"/>
        <v/>
      </c>
      <c r="AB16" t="str">
        <f t="shared" si="7"/>
        <v/>
      </c>
      <c r="AC16" t="str">
        <f t="shared" si="8"/>
        <v/>
      </c>
      <c r="AD16" t="str">
        <f t="shared" si="9"/>
        <v/>
      </c>
      <c r="AE16" t="str">
        <f t="shared" si="10"/>
        <v/>
      </c>
      <c r="AF16" t="str">
        <f t="shared" si="11"/>
        <v/>
      </c>
      <c r="AG16" t="str">
        <f t="shared" si="12"/>
        <v/>
      </c>
      <c r="AH16" t="str">
        <f t="shared" si="13"/>
        <v/>
      </c>
    </row>
    <row r="17" spans="1:34" x14ac:dyDescent="0.45">
      <c r="A17" t="str">
        <f>IF(Moteur!D17="","",Moteur!D17)</f>
        <v/>
      </c>
      <c r="B17" t="str">
        <f>IF(Moteur!B17="","",Moteur!B17)</f>
        <v/>
      </c>
      <c r="C17" t="str">
        <f>IF(Moteur!F17="","",Moteur!F17)</f>
        <v/>
      </c>
      <c r="D17" t="str">
        <f>IF(Moteur!G17="","",Moteur!G17)</f>
        <v/>
      </c>
      <c r="E17" t="str">
        <f>IF(Moteur!H17="","",Moteur!H17)</f>
        <v/>
      </c>
      <c r="F17" t="str">
        <f>IF(Moteur!E17="","",Moteur!E17)</f>
        <v/>
      </c>
      <c r="G17" t="str">
        <f>IF($A17="","",SUMIFS(Socle!$H$1:$H$1000,Socle!$C$1:$C$1000,$A17,Socle!$D$1:$D$1000,$C17,Socle!$E$1:$E$1000,$D17,Socle!$F$1:$F$1000,$E17,Socle!$G$1:$G$1000,"2026"))</f>
        <v/>
      </c>
      <c r="H17" t="str">
        <f>IF($A17="","",SUMIFS(Socle!$N$1:$N$1000,Socle!$C$1:$C$1000,$A17,Socle!$D$1:$D$1000,$C17,Socle!$E$1:$E$1000,$D17,Socle!$F$1:$F$1000,$E17,Socle!$G$1:$G$1000,"2026"))</f>
        <v/>
      </c>
      <c r="I17" t="str">
        <f>IF($A17="","",SUMIFS(Socle!$P$1:$P$1000,Socle!$C$1:$C$1000,$A17,Socle!$D$1:$D$1000,$C17,Socle!$E$1:$E$1000,$D17,Socle!$F$1:$F$1000,$E17,Socle!$G$1:$G$1000,"2026"))</f>
        <v/>
      </c>
      <c r="J17" t="str">
        <f>IF($A17="","",SUMIFS(Socle!$W$1:$W$1000,Socle!$C$1:$C$1000,$A17,Socle!$D$1:$D$1000,$C17,Socle!$E$1:$E$1000,$D17,Socle!$F$1:$F$1000,$E17,Socle!$G$1:$G$1000,"2026"))</f>
        <v/>
      </c>
      <c r="K17" t="str">
        <f>IF($A17="","",SUMIFS(Socle!$X$1:$X$1000,Socle!$C$1:$C$1000,$A17,Socle!$D$1:$D$1000,$C17,Socle!$E$1:$E$1000,$D17,Socle!$F$1:$F$1000,$E17,Socle!$G$1:$G$1000,"2026"))</f>
        <v/>
      </c>
      <c r="L17" t="str">
        <f>IF($A17="","",SUMIFS(Socle!$Y$1:$Y$1000,Socle!$C$1:$C$1000,$A17,Socle!$D$1:$D$1000,$C17,Socle!$E$1:$E$1000,$D17,Socle!$F$1:$F$1000,$E17,Socle!$G$1:$G$1000,"2026"))</f>
        <v/>
      </c>
      <c r="M17" t="str">
        <f>IF($A17="","",SUMIFS(Socle!$V$1:$V$1000,Socle!$C$1:$C$1000,$A17,Socle!$D$1:$D$1000,$C17,Socle!$E$1:$E$1000,$D17,Socle!$F$1:$F$1000,$E17,Socle!$G$1:$G$1000,"2026"))</f>
        <v/>
      </c>
      <c r="N17" t="str">
        <f t="shared" si="0"/>
        <v/>
      </c>
      <c r="O17" t="str">
        <f>IF($A17="","",SUMIFS(Campagne!$D$1:$D$15,Campagne!$C$1:$C$15,$A17))</f>
        <v/>
      </c>
      <c r="P17" t="str">
        <f>IF($A17="","",SUMIFS(Campagne!$E$1:$E$15,Campagne!$C$1:$C$15,$A17))</f>
        <v/>
      </c>
      <c r="Q17" t="str">
        <f>IF($A17="","",SUMIFS(Campagne!$F$1:$F$15,Campagne!$C$1:$C$15,$A17))</f>
        <v/>
      </c>
      <c r="R17" t="str">
        <f>IF($A17="","",SUMIFS(Campagne!$K$1:$K$15,Campagne!$C$1:$C$15,$A17))</f>
        <v/>
      </c>
      <c r="S17" t="str">
        <f>IF($A17="","",SUMIFS(Campagne!$M$1:$M$15,Campagne!$C$1:$C$15,$A17))</f>
        <v/>
      </c>
      <c r="T17" t="str">
        <f>IF($A17="","",SUMIFS(PIL!$K$15:$K$28,PIL!$A$15:$A$28,$A17)*SUMIFS(PIL!$J$15:$J$28,PIL!$A$15:$A$28,$A17)*(SUM(PIL!$K$15:$K$28)/SUMPRODUCT(PIL!$K$15:$K$28,PIL!$J$15:$J$28)))</f>
        <v/>
      </c>
      <c r="U17" t="str">
        <f>IF($A17="","",SUMIFS(PIL!$K$15:$K$28,PIL!$A$15:$A$28,$A17))</f>
        <v/>
      </c>
      <c r="V17" t="str">
        <f t="shared" si="1"/>
        <v/>
      </c>
      <c r="W17" t="str">
        <f t="shared" si="2"/>
        <v/>
      </c>
      <c r="X17" t="str">
        <f t="shared" si="3"/>
        <v/>
      </c>
      <c r="Y17" t="str">
        <f t="shared" si="4"/>
        <v/>
      </c>
      <c r="Z17" t="str">
        <f t="shared" si="5"/>
        <v/>
      </c>
      <c r="AA17" t="str">
        <f t="shared" si="6"/>
        <v/>
      </c>
      <c r="AB17" t="str">
        <f t="shared" si="7"/>
        <v/>
      </c>
      <c r="AC17" t="str">
        <f t="shared" si="8"/>
        <v/>
      </c>
      <c r="AD17" t="str">
        <f t="shared" si="9"/>
        <v/>
      </c>
      <c r="AE17" t="str">
        <f t="shared" si="10"/>
        <v/>
      </c>
      <c r="AF17" t="str">
        <f t="shared" si="11"/>
        <v/>
      </c>
      <c r="AG17" t="str">
        <f t="shared" si="12"/>
        <v/>
      </c>
      <c r="AH17" t="str">
        <f t="shared" si="13"/>
        <v/>
      </c>
    </row>
    <row r="18" spans="1:34" x14ac:dyDescent="0.45">
      <c r="A18" t="str">
        <f>IF(Moteur!D18="","",Moteur!D18)</f>
        <v/>
      </c>
      <c r="B18" t="str">
        <f>IF(Moteur!B18="","",Moteur!B18)</f>
        <v/>
      </c>
      <c r="C18" t="str">
        <f>IF(Moteur!F18="","",Moteur!F18)</f>
        <v/>
      </c>
      <c r="D18" t="str">
        <f>IF(Moteur!G18="","",Moteur!G18)</f>
        <v/>
      </c>
      <c r="E18" t="str">
        <f>IF(Moteur!H18="","",Moteur!H18)</f>
        <v/>
      </c>
      <c r="F18" t="str">
        <f>IF(Moteur!E18="","",Moteur!E18)</f>
        <v/>
      </c>
      <c r="G18" t="str">
        <f>IF($A18="","",SUMIFS(Socle!$H$1:$H$1000,Socle!$C$1:$C$1000,$A18,Socle!$D$1:$D$1000,$C18,Socle!$E$1:$E$1000,$D18,Socle!$F$1:$F$1000,$E18,Socle!$G$1:$G$1000,"2026"))</f>
        <v/>
      </c>
      <c r="H18" t="str">
        <f>IF($A18="","",SUMIFS(Socle!$N$1:$N$1000,Socle!$C$1:$C$1000,$A18,Socle!$D$1:$D$1000,$C18,Socle!$E$1:$E$1000,$D18,Socle!$F$1:$F$1000,$E18,Socle!$G$1:$G$1000,"2026"))</f>
        <v/>
      </c>
      <c r="I18" t="str">
        <f>IF($A18="","",SUMIFS(Socle!$P$1:$P$1000,Socle!$C$1:$C$1000,$A18,Socle!$D$1:$D$1000,$C18,Socle!$E$1:$E$1000,$D18,Socle!$F$1:$F$1000,$E18,Socle!$G$1:$G$1000,"2026"))</f>
        <v/>
      </c>
      <c r="J18" t="str">
        <f>IF($A18="","",SUMIFS(Socle!$W$1:$W$1000,Socle!$C$1:$C$1000,$A18,Socle!$D$1:$D$1000,$C18,Socle!$E$1:$E$1000,$D18,Socle!$F$1:$F$1000,$E18,Socle!$G$1:$G$1000,"2026"))</f>
        <v/>
      </c>
      <c r="K18" t="str">
        <f>IF($A18="","",SUMIFS(Socle!$X$1:$X$1000,Socle!$C$1:$C$1000,$A18,Socle!$D$1:$D$1000,$C18,Socle!$E$1:$E$1000,$D18,Socle!$F$1:$F$1000,$E18,Socle!$G$1:$G$1000,"2026"))</f>
        <v/>
      </c>
      <c r="L18" t="str">
        <f>IF($A18="","",SUMIFS(Socle!$Y$1:$Y$1000,Socle!$C$1:$C$1000,$A18,Socle!$D$1:$D$1000,$C18,Socle!$E$1:$E$1000,$D18,Socle!$F$1:$F$1000,$E18,Socle!$G$1:$G$1000,"2026"))</f>
        <v/>
      </c>
      <c r="M18" t="str">
        <f>IF($A18="","",SUMIFS(Socle!$V$1:$V$1000,Socle!$C$1:$C$1000,$A18,Socle!$D$1:$D$1000,$C18,Socle!$E$1:$E$1000,$D18,Socle!$F$1:$F$1000,$E18,Socle!$G$1:$G$1000,"2026"))</f>
        <v/>
      </c>
      <c r="N18" t="str">
        <f t="shared" si="0"/>
        <v/>
      </c>
      <c r="O18" t="str">
        <f>IF($A18="","",SUMIFS(Campagne!$D$1:$D$15,Campagne!$C$1:$C$15,$A18))</f>
        <v/>
      </c>
      <c r="P18" t="str">
        <f>IF($A18="","",SUMIFS(Campagne!$E$1:$E$15,Campagne!$C$1:$C$15,$A18))</f>
        <v/>
      </c>
      <c r="Q18" t="str">
        <f>IF($A18="","",SUMIFS(Campagne!$F$1:$F$15,Campagne!$C$1:$C$15,$A18))</f>
        <v/>
      </c>
      <c r="R18" t="str">
        <f>IF($A18="","",SUMIFS(Campagne!$K$1:$K$15,Campagne!$C$1:$C$15,$A18))</f>
        <v/>
      </c>
      <c r="S18" t="str">
        <f>IF($A18="","",SUMIFS(Campagne!$M$1:$M$15,Campagne!$C$1:$C$15,$A18))</f>
        <v/>
      </c>
      <c r="T18" t="str">
        <f>IF($A18="","",SUMIFS(PIL!$K$15:$K$28,PIL!$A$15:$A$28,$A18)*SUMIFS(PIL!$J$15:$J$28,PIL!$A$15:$A$28,$A18)*(SUM(PIL!$K$15:$K$28)/SUMPRODUCT(PIL!$K$15:$K$28,PIL!$J$15:$J$28)))</f>
        <v/>
      </c>
      <c r="U18" t="str">
        <f>IF($A18="","",SUMIFS(PIL!$K$15:$K$28,PIL!$A$15:$A$28,$A18))</f>
        <v/>
      </c>
      <c r="V18" t="str">
        <f t="shared" si="1"/>
        <v/>
      </c>
      <c r="W18" t="str">
        <f t="shared" si="2"/>
        <v/>
      </c>
      <c r="X18" t="str">
        <f t="shared" si="3"/>
        <v/>
      </c>
      <c r="Y18" t="str">
        <f t="shared" si="4"/>
        <v/>
      </c>
      <c r="Z18" t="str">
        <f t="shared" si="5"/>
        <v/>
      </c>
      <c r="AA18" t="str">
        <f t="shared" si="6"/>
        <v/>
      </c>
      <c r="AB18" t="str">
        <f t="shared" si="7"/>
        <v/>
      </c>
      <c r="AC18" t="str">
        <f t="shared" si="8"/>
        <v/>
      </c>
      <c r="AD18" t="str">
        <f t="shared" si="9"/>
        <v/>
      </c>
      <c r="AE18" t="str">
        <f t="shared" si="10"/>
        <v/>
      </c>
      <c r="AF18" t="str">
        <f t="shared" si="11"/>
        <v/>
      </c>
      <c r="AG18" t="str">
        <f t="shared" si="12"/>
        <v/>
      </c>
      <c r="AH18" t="str">
        <f t="shared" si="13"/>
        <v/>
      </c>
    </row>
    <row r="19" spans="1:34" x14ac:dyDescent="0.45">
      <c r="A19" t="str">
        <f>IF(Moteur!D19="","",Moteur!D19)</f>
        <v/>
      </c>
      <c r="B19" t="str">
        <f>IF(Moteur!B19="","",Moteur!B19)</f>
        <v/>
      </c>
      <c r="C19" t="str">
        <f>IF(Moteur!F19="","",Moteur!F19)</f>
        <v/>
      </c>
      <c r="D19" t="str">
        <f>IF(Moteur!G19="","",Moteur!G19)</f>
        <v/>
      </c>
      <c r="E19" t="str">
        <f>IF(Moteur!H19="","",Moteur!H19)</f>
        <v/>
      </c>
      <c r="F19" t="str">
        <f>IF(Moteur!E19="","",Moteur!E19)</f>
        <v/>
      </c>
      <c r="G19" t="str">
        <f>IF($A19="","",SUMIFS(Socle!$H$1:$H$1000,Socle!$C$1:$C$1000,$A19,Socle!$D$1:$D$1000,$C19,Socle!$E$1:$E$1000,$D19,Socle!$F$1:$F$1000,$E19,Socle!$G$1:$G$1000,"2026"))</f>
        <v/>
      </c>
      <c r="H19" t="str">
        <f>IF($A19="","",SUMIFS(Socle!$N$1:$N$1000,Socle!$C$1:$C$1000,$A19,Socle!$D$1:$D$1000,$C19,Socle!$E$1:$E$1000,$D19,Socle!$F$1:$F$1000,$E19,Socle!$G$1:$G$1000,"2026"))</f>
        <v/>
      </c>
      <c r="I19" t="str">
        <f>IF($A19="","",SUMIFS(Socle!$P$1:$P$1000,Socle!$C$1:$C$1000,$A19,Socle!$D$1:$D$1000,$C19,Socle!$E$1:$E$1000,$D19,Socle!$F$1:$F$1000,$E19,Socle!$G$1:$G$1000,"2026"))</f>
        <v/>
      </c>
      <c r="J19" t="str">
        <f>IF($A19="","",SUMIFS(Socle!$W$1:$W$1000,Socle!$C$1:$C$1000,$A19,Socle!$D$1:$D$1000,$C19,Socle!$E$1:$E$1000,$D19,Socle!$F$1:$F$1000,$E19,Socle!$G$1:$G$1000,"2026"))</f>
        <v/>
      </c>
      <c r="K19" t="str">
        <f>IF($A19="","",SUMIFS(Socle!$X$1:$X$1000,Socle!$C$1:$C$1000,$A19,Socle!$D$1:$D$1000,$C19,Socle!$E$1:$E$1000,$D19,Socle!$F$1:$F$1000,$E19,Socle!$G$1:$G$1000,"2026"))</f>
        <v/>
      </c>
      <c r="L19" t="str">
        <f>IF($A19="","",SUMIFS(Socle!$Y$1:$Y$1000,Socle!$C$1:$C$1000,$A19,Socle!$D$1:$D$1000,$C19,Socle!$E$1:$E$1000,$D19,Socle!$F$1:$F$1000,$E19,Socle!$G$1:$G$1000,"2026"))</f>
        <v/>
      </c>
      <c r="M19" t="str">
        <f>IF($A19="","",SUMIFS(Socle!$V$1:$V$1000,Socle!$C$1:$C$1000,$A19,Socle!$D$1:$D$1000,$C19,Socle!$E$1:$E$1000,$D19,Socle!$F$1:$F$1000,$E19,Socle!$G$1:$G$1000,"2026"))</f>
        <v/>
      </c>
      <c r="N19" t="str">
        <f t="shared" si="0"/>
        <v/>
      </c>
      <c r="O19" t="str">
        <f>IF($A19="","",SUMIFS(Campagne!$D$1:$D$15,Campagne!$C$1:$C$15,$A19))</f>
        <v/>
      </c>
      <c r="P19" t="str">
        <f>IF($A19="","",SUMIFS(Campagne!$E$1:$E$15,Campagne!$C$1:$C$15,$A19))</f>
        <v/>
      </c>
      <c r="Q19" t="str">
        <f>IF($A19="","",SUMIFS(Campagne!$F$1:$F$15,Campagne!$C$1:$C$15,$A19))</f>
        <v/>
      </c>
      <c r="R19" t="str">
        <f>IF($A19="","",SUMIFS(Campagne!$K$1:$K$15,Campagne!$C$1:$C$15,$A19))</f>
        <v/>
      </c>
      <c r="S19" t="str">
        <f>IF($A19="","",SUMIFS(Campagne!$M$1:$M$15,Campagne!$C$1:$C$15,$A19))</f>
        <v/>
      </c>
      <c r="T19" t="str">
        <f>IF($A19="","",SUMIFS(PIL!$K$15:$K$28,PIL!$A$15:$A$28,$A19)*SUMIFS(PIL!$J$15:$J$28,PIL!$A$15:$A$28,$A19)*(SUM(PIL!$K$15:$K$28)/SUMPRODUCT(PIL!$K$15:$K$28,PIL!$J$15:$J$28)))</f>
        <v/>
      </c>
      <c r="U19" t="str">
        <f>IF($A19="","",SUMIFS(PIL!$K$15:$K$28,PIL!$A$15:$A$28,$A19))</f>
        <v/>
      </c>
      <c r="V19" t="str">
        <f t="shared" si="1"/>
        <v/>
      </c>
      <c r="W19" t="str">
        <f t="shared" si="2"/>
        <v/>
      </c>
      <c r="X19" t="str">
        <f t="shared" si="3"/>
        <v/>
      </c>
      <c r="Y19" t="str">
        <f t="shared" si="4"/>
        <v/>
      </c>
      <c r="Z19" t="str">
        <f t="shared" si="5"/>
        <v/>
      </c>
      <c r="AA19" t="str">
        <f t="shared" si="6"/>
        <v/>
      </c>
      <c r="AB19" t="str">
        <f t="shared" si="7"/>
        <v/>
      </c>
      <c r="AC19" t="str">
        <f t="shared" si="8"/>
        <v/>
      </c>
      <c r="AD19" t="str">
        <f t="shared" si="9"/>
        <v/>
      </c>
      <c r="AE19" t="str">
        <f t="shared" si="10"/>
        <v/>
      </c>
      <c r="AF19" t="str">
        <f t="shared" si="11"/>
        <v/>
      </c>
      <c r="AG19" t="str">
        <f t="shared" si="12"/>
        <v/>
      </c>
      <c r="AH19" t="str">
        <f t="shared" si="13"/>
        <v/>
      </c>
    </row>
    <row r="20" spans="1:34" x14ac:dyDescent="0.45">
      <c r="A20" t="str">
        <f>IF(Moteur!D20="","",Moteur!D20)</f>
        <v/>
      </c>
      <c r="B20" t="str">
        <f>IF(Moteur!B20="","",Moteur!B20)</f>
        <v/>
      </c>
      <c r="C20" t="str">
        <f>IF(Moteur!F20="","",Moteur!F20)</f>
        <v/>
      </c>
      <c r="D20" t="str">
        <f>IF(Moteur!G20="","",Moteur!G20)</f>
        <v/>
      </c>
      <c r="E20" t="str">
        <f>IF(Moteur!H20="","",Moteur!H20)</f>
        <v/>
      </c>
      <c r="F20" t="str">
        <f>IF(Moteur!E20="","",Moteur!E20)</f>
        <v/>
      </c>
      <c r="G20" t="str">
        <f>IF($A20="","",SUMIFS(Socle!$H$1:$H$1000,Socle!$C$1:$C$1000,$A20,Socle!$D$1:$D$1000,$C20,Socle!$E$1:$E$1000,$D20,Socle!$F$1:$F$1000,$E20,Socle!$G$1:$G$1000,"2026"))</f>
        <v/>
      </c>
      <c r="H20" t="str">
        <f>IF($A20="","",SUMIFS(Socle!$N$1:$N$1000,Socle!$C$1:$C$1000,$A20,Socle!$D$1:$D$1000,$C20,Socle!$E$1:$E$1000,$D20,Socle!$F$1:$F$1000,$E20,Socle!$G$1:$G$1000,"2026"))</f>
        <v/>
      </c>
      <c r="I20" t="str">
        <f>IF($A20="","",SUMIFS(Socle!$P$1:$P$1000,Socle!$C$1:$C$1000,$A20,Socle!$D$1:$D$1000,$C20,Socle!$E$1:$E$1000,$D20,Socle!$F$1:$F$1000,$E20,Socle!$G$1:$G$1000,"2026"))</f>
        <v/>
      </c>
      <c r="J20" t="str">
        <f>IF($A20="","",SUMIFS(Socle!$W$1:$W$1000,Socle!$C$1:$C$1000,$A20,Socle!$D$1:$D$1000,$C20,Socle!$E$1:$E$1000,$D20,Socle!$F$1:$F$1000,$E20,Socle!$G$1:$G$1000,"2026"))</f>
        <v/>
      </c>
      <c r="K20" t="str">
        <f>IF($A20="","",SUMIFS(Socle!$X$1:$X$1000,Socle!$C$1:$C$1000,$A20,Socle!$D$1:$D$1000,$C20,Socle!$E$1:$E$1000,$D20,Socle!$F$1:$F$1000,$E20,Socle!$G$1:$G$1000,"2026"))</f>
        <v/>
      </c>
      <c r="L20" t="str">
        <f>IF($A20="","",SUMIFS(Socle!$Y$1:$Y$1000,Socle!$C$1:$C$1000,$A20,Socle!$D$1:$D$1000,$C20,Socle!$E$1:$E$1000,$D20,Socle!$F$1:$F$1000,$E20,Socle!$G$1:$G$1000,"2026"))</f>
        <v/>
      </c>
      <c r="M20" t="str">
        <f>IF($A20="","",SUMIFS(Socle!$V$1:$V$1000,Socle!$C$1:$C$1000,$A20,Socle!$D$1:$D$1000,$C20,Socle!$E$1:$E$1000,$D20,Socle!$F$1:$F$1000,$E20,Socle!$G$1:$G$1000,"2026"))</f>
        <v/>
      </c>
      <c r="N20" t="str">
        <f t="shared" si="0"/>
        <v/>
      </c>
      <c r="O20" t="str">
        <f>IF($A20="","",SUMIFS(Campagne!$D$1:$D$15,Campagne!$C$1:$C$15,$A20))</f>
        <v/>
      </c>
      <c r="P20" t="str">
        <f>IF($A20="","",SUMIFS(Campagne!$E$1:$E$15,Campagne!$C$1:$C$15,$A20))</f>
        <v/>
      </c>
      <c r="Q20" t="str">
        <f>IF($A20="","",SUMIFS(Campagne!$F$1:$F$15,Campagne!$C$1:$C$15,$A20))</f>
        <v/>
      </c>
      <c r="R20" t="str">
        <f>IF($A20="","",SUMIFS(Campagne!$K$1:$K$15,Campagne!$C$1:$C$15,$A20))</f>
        <v/>
      </c>
      <c r="S20" t="str">
        <f>IF($A20="","",SUMIFS(Campagne!$M$1:$M$15,Campagne!$C$1:$C$15,$A20))</f>
        <v/>
      </c>
      <c r="T20" t="str">
        <f>IF($A20="","",SUMIFS(PIL!$K$15:$K$28,PIL!$A$15:$A$28,$A20)*SUMIFS(PIL!$J$15:$J$28,PIL!$A$15:$A$28,$A20)*(SUM(PIL!$K$15:$K$28)/SUMPRODUCT(PIL!$K$15:$K$28,PIL!$J$15:$J$28)))</f>
        <v/>
      </c>
      <c r="U20" t="str">
        <f>IF($A20="","",SUMIFS(PIL!$K$15:$K$28,PIL!$A$15:$A$28,$A20))</f>
        <v/>
      </c>
      <c r="V20" t="str">
        <f t="shared" si="1"/>
        <v/>
      </c>
      <c r="W20" t="str">
        <f t="shared" si="2"/>
        <v/>
      </c>
      <c r="X20" t="str">
        <f t="shared" si="3"/>
        <v/>
      </c>
      <c r="Y20" t="str">
        <f t="shared" si="4"/>
        <v/>
      </c>
      <c r="Z20" t="str">
        <f t="shared" si="5"/>
        <v/>
      </c>
      <c r="AA20" t="str">
        <f t="shared" si="6"/>
        <v/>
      </c>
      <c r="AB20" t="str">
        <f t="shared" si="7"/>
        <v/>
      </c>
      <c r="AC20" t="str">
        <f t="shared" si="8"/>
        <v/>
      </c>
      <c r="AD20" t="str">
        <f t="shared" si="9"/>
        <v/>
      </c>
      <c r="AE20" t="str">
        <f t="shared" si="10"/>
        <v/>
      </c>
      <c r="AF20" t="str">
        <f t="shared" si="11"/>
        <v/>
      </c>
      <c r="AG20" t="str">
        <f t="shared" si="12"/>
        <v/>
      </c>
      <c r="AH20" t="str">
        <f t="shared" si="13"/>
        <v/>
      </c>
    </row>
    <row r="21" spans="1:34" x14ac:dyDescent="0.45">
      <c r="A21" t="str">
        <f>IF(Moteur!D21="","",Moteur!D21)</f>
        <v/>
      </c>
      <c r="B21" t="str">
        <f>IF(Moteur!B21="","",Moteur!B21)</f>
        <v/>
      </c>
      <c r="C21" t="str">
        <f>IF(Moteur!F21="","",Moteur!F21)</f>
        <v/>
      </c>
      <c r="D21" t="str">
        <f>IF(Moteur!G21="","",Moteur!G21)</f>
        <v/>
      </c>
      <c r="E21" t="str">
        <f>IF(Moteur!H21="","",Moteur!H21)</f>
        <v/>
      </c>
      <c r="F21" t="str">
        <f>IF(Moteur!E21="","",Moteur!E21)</f>
        <v/>
      </c>
      <c r="G21" t="str">
        <f>IF($A21="","",SUMIFS(Socle!$H$1:$H$1000,Socle!$C$1:$C$1000,$A21,Socle!$D$1:$D$1000,$C21,Socle!$E$1:$E$1000,$D21,Socle!$F$1:$F$1000,$E21,Socle!$G$1:$G$1000,"2026"))</f>
        <v/>
      </c>
      <c r="H21" t="str">
        <f>IF($A21="","",SUMIFS(Socle!$N$1:$N$1000,Socle!$C$1:$C$1000,$A21,Socle!$D$1:$D$1000,$C21,Socle!$E$1:$E$1000,$D21,Socle!$F$1:$F$1000,$E21,Socle!$G$1:$G$1000,"2026"))</f>
        <v/>
      </c>
      <c r="I21" t="str">
        <f>IF($A21="","",SUMIFS(Socle!$P$1:$P$1000,Socle!$C$1:$C$1000,$A21,Socle!$D$1:$D$1000,$C21,Socle!$E$1:$E$1000,$D21,Socle!$F$1:$F$1000,$E21,Socle!$G$1:$G$1000,"2026"))</f>
        <v/>
      </c>
      <c r="J21" t="str">
        <f>IF($A21="","",SUMIFS(Socle!$W$1:$W$1000,Socle!$C$1:$C$1000,$A21,Socle!$D$1:$D$1000,$C21,Socle!$E$1:$E$1000,$D21,Socle!$F$1:$F$1000,$E21,Socle!$G$1:$G$1000,"2026"))</f>
        <v/>
      </c>
      <c r="K21" t="str">
        <f>IF($A21="","",SUMIFS(Socle!$X$1:$X$1000,Socle!$C$1:$C$1000,$A21,Socle!$D$1:$D$1000,$C21,Socle!$E$1:$E$1000,$D21,Socle!$F$1:$F$1000,$E21,Socle!$G$1:$G$1000,"2026"))</f>
        <v/>
      </c>
      <c r="L21" t="str">
        <f>IF($A21="","",SUMIFS(Socle!$Y$1:$Y$1000,Socle!$C$1:$C$1000,$A21,Socle!$D$1:$D$1000,$C21,Socle!$E$1:$E$1000,$D21,Socle!$F$1:$F$1000,$E21,Socle!$G$1:$G$1000,"2026"))</f>
        <v/>
      </c>
      <c r="M21" t="str">
        <f>IF($A21="","",SUMIFS(Socle!$V$1:$V$1000,Socle!$C$1:$C$1000,$A21,Socle!$D$1:$D$1000,$C21,Socle!$E$1:$E$1000,$D21,Socle!$F$1:$F$1000,$E21,Socle!$G$1:$G$1000,"2026"))</f>
        <v/>
      </c>
      <c r="N21" t="str">
        <f t="shared" si="0"/>
        <v/>
      </c>
      <c r="O21" t="str">
        <f>IF($A21="","",SUMIFS(Campagne!$D$1:$D$15,Campagne!$C$1:$C$15,$A21))</f>
        <v/>
      </c>
      <c r="P21" t="str">
        <f>IF($A21="","",SUMIFS(Campagne!$E$1:$E$15,Campagne!$C$1:$C$15,$A21))</f>
        <v/>
      </c>
      <c r="Q21" t="str">
        <f>IF($A21="","",SUMIFS(Campagne!$F$1:$F$15,Campagne!$C$1:$C$15,$A21))</f>
        <v/>
      </c>
      <c r="R21" t="str">
        <f>IF($A21="","",SUMIFS(Campagne!$K$1:$K$15,Campagne!$C$1:$C$15,$A21))</f>
        <v/>
      </c>
      <c r="S21" t="str">
        <f>IF($A21="","",SUMIFS(Campagne!$M$1:$M$15,Campagne!$C$1:$C$15,$A21))</f>
        <v/>
      </c>
      <c r="T21" t="str">
        <f>IF($A21="","",SUMIFS(PIL!$K$15:$K$28,PIL!$A$15:$A$28,$A21)*SUMIFS(PIL!$J$15:$J$28,PIL!$A$15:$A$28,$A21)*(SUM(PIL!$K$15:$K$28)/SUMPRODUCT(PIL!$K$15:$K$28,PIL!$J$15:$J$28)))</f>
        <v/>
      </c>
      <c r="U21" t="str">
        <f>IF($A21="","",SUMIFS(PIL!$K$15:$K$28,PIL!$A$15:$A$28,$A21))</f>
        <v/>
      </c>
      <c r="V21" t="str">
        <f t="shared" si="1"/>
        <v/>
      </c>
      <c r="W21" t="str">
        <f t="shared" si="2"/>
        <v/>
      </c>
      <c r="X21" t="str">
        <f t="shared" si="3"/>
        <v/>
      </c>
      <c r="Y21" t="str">
        <f t="shared" si="4"/>
        <v/>
      </c>
      <c r="Z21" t="str">
        <f t="shared" si="5"/>
        <v/>
      </c>
      <c r="AA21" t="str">
        <f t="shared" si="6"/>
        <v/>
      </c>
      <c r="AB21" t="str">
        <f t="shared" si="7"/>
        <v/>
      </c>
      <c r="AC21" t="str">
        <f t="shared" si="8"/>
        <v/>
      </c>
      <c r="AD21" t="str">
        <f t="shared" si="9"/>
        <v/>
      </c>
      <c r="AE21" t="str">
        <f t="shared" si="10"/>
        <v/>
      </c>
      <c r="AF21" t="str">
        <f t="shared" si="11"/>
        <v/>
      </c>
      <c r="AG21" t="str">
        <f t="shared" si="12"/>
        <v/>
      </c>
      <c r="AH21" t="str">
        <f t="shared" si="13"/>
        <v/>
      </c>
    </row>
    <row r="22" spans="1:34" x14ac:dyDescent="0.45">
      <c r="A22" t="str">
        <f>IF(Moteur!D22="","",Moteur!D22)</f>
        <v/>
      </c>
      <c r="B22" t="str">
        <f>IF(Moteur!B22="","",Moteur!B22)</f>
        <v/>
      </c>
      <c r="C22" t="str">
        <f>IF(Moteur!F22="","",Moteur!F22)</f>
        <v/>
      </c>
      <c r="D22" t="str">
        <f>IF(Moteur!G22="","",Moteur!G22)</f>
        <v/>
      </c>
      <c r="E22" t="str">
        <f>IF(Moteur!H22="","",Moteur!H22)</f>
        <v/>
      </c>
      <c r="F22" t="str">
        <f>IF(Moteur!E22="","",Moteur!E22)</f>
        <v/>
      </c>
      <c r="G22" t="str">
        <f>IF($A22="","",SUMIFS(Socle!$H$1:$H$1000,Socle!$C$1:$C$1000,$A22,Socle!$D$1:$D$1000,$C22,Socle!$E$1:$E$1000,$D22,Socle!$F$1:$F$1000,$E22,Socle!$G$1:$G$1000,"2026"))</f>
        <v/>
      </c>
      <c r="H22" t="str">
        <f>IF($A22="","",SUMIFS(Socle!$N$1:$N$1000,Socle!$C$1:$C$1000,$A22,Socle!$D$1:$D$1000,$C22,Socle!$E$1:$E$1000,$D22,Socle!$F$1:$F$1000,$E22,Socle!$G$1:$G$1000,"2026"))</f>
        <v/>
      </c>
      <c r="I22" t="str">
        <f>IF($A22="","",SUMIFS(Socle!$P$1:$P$1000,Socle!$C$1:$C$1000,$A22,Socle!$D$1:$D$1000,$C22,Socle!$E$1:$E$1000,$D22,Socle!$F$1:$F$1000,$E22,Socle!$G$1:$G$1000,"2026"))</f>
        <v/>
      </c>
      <c r="J22" t="str">
        <f>IF($A22="","",SUMIFS(Socle!$W$1:$W$1000,Socle!$C$1:$C$1000,$A22,Socle!$D$1:$D$1000,$C22,Socle!$E$1:$E$1000,$D22,Socle!$F$1:$F$1000,$E22,Socle!$G$1:$G$1000,"2026"))</f>
        <v/>
      </c>
      <c r="K22" t="str">
        <f>IF($A22="","",SUMIFS(Socle!$X$1:$X$1000,Socle!$C$1:$C$1000,$A22,Socle!$D$1:$D$1000,$C22,Socle!$E$1:$E$1000,$D22,Socle!$F$1:$F$1000,$E22,Socle!$G$1:$G$1000,"2026"))</f>
        <v/>
      </c>
      <c r="L22" t="str">
        <f>IF($A22="","",SUMIFS(Socle!$Y$1:$Y$1000,Socle!$C$1:$C$1000,$A22,Socle!$D$1:$D$1000,$C22,Socle!$E$1:$E$1000,$D22,Socle!$F$1:$F$1000,$E22,Socle!$G$1:$G$1000,"2026"))</f>
        <v/>
      </c>
      <c r="M22" t="str">
        <f>IF($A22="","",SUMIFS(Socle!$V$1:$V$1000,Socle!$C$1:$C$1000,$A22,Socle!$D$1:$D$1000,$C22,Socle!$E$1:$E$1000,$D22,Socle!$F$1:$F$1000,$E22,Socle!$G$1:$G$1000,"2026"))</f>
        <v/>
      </c>
      <c r="N22" t="str">
        <f t="shared" si="0"/>
        <v/>
      </c>
      <c r="O22" t="str">
        <f>IF($A22="","",SUMIFS(Campagne!$D$1:$D$15,Campagne!$C$1:$C$15,$A22))</f>
        <v/>
      </c>
      <c r="P22" t="str">
        <f>IF($A22="","",SUMIFS(Campagne!$E$1:$E$15,Campagne!$C$1:$C$15,$A22))</f>
        <v/>
      </c>
      <c r="Q22" t="str">
        <f>IF($A22="","",SUMIFS(Campagne!$F$1:$F$15,Campagne!$C$1:$C$15,$A22))</f>
        <v/>
      </c>
      <c r="R22" t="str">
        <f>IF($A22="","",SUMIFS(Campagne!$K$1:$K$15,Campagne!$C$1:$C$15,$A22))</f>
        <v/>
      </c>
      <c r="S22" t="str">
        <f>IF($A22="","",SUMIFS(Campagne!$M$1:$M$15,Campagne!$C$1:$C$15,$A22))</f>
        <v/>
      </c>
      <c r="T22" t="str">
        <f>IF($A22="","",SUMIFS(PIL!$K$15:$K$28,PIL!$A$15:$A$28,$A22)*SUMIFS(PIL!$J$15:$J$28,PIL!$A$15:$A$28,$A22)*(SUM(PIL!$K$15:$K$28)/SUMPRODUCT(PIL!$K$15:$K$28,PIL!$J$15:$J$28)))</f>
        <v/>
      </c>
      <c r="U22" t="str">
        <f>IF($A22="","",SUMIFS(PIL!$K$15:$K$28,PIL!$A$15:$A$28,$A22))</f>
        <v/>
      </c>
      <c r="V22" t="str">
        <f t="shared" si="1"/>
        <v/>
      </c>
      <c r="W22" t="str">
        <f t="shared" si="2"/>
        <v/>
      </c>
      <c r="X22" t="str">
        <f t="shared" si="3"/>
        <v/>
      </c>
      <c r="Y22" t="str">
        <f t="shared" si="4"/>
        <v/>
      </c>
      <c r="Z22" t="str">
        <f t="shared" si="5"/>
        <v/>
      </c>
      <c r="AA22" t="str">
        <f t="shared" si="6"/>
        <v/>
      </c>
      <c r="AB22" t="str">
        <f t="shared" si="7"/>
        <v/>
      </c>
      <c r="AC22" t="str">
        <f t="shared" si="8"/>
        <v/>
      </c>
      <c r="AD22" t="str">
        <f t="shared" si="9"/>
        <v/>
      </c>
      <c r="AE22" t="str">
        <f t="shared" si="10"/>
        <v/>
      </c>
      <c r="AF22" t="str">
        <f t="shared" si="11"/>
        <v/>
      </c>
      <c r="AG22" t="str">
        <f t="shared" si="12"/>
        <v/>
      </c>
      <c r="AH22" t="str">
        <f t="shared" si="13"/>
        <v/>
      </c>
    </row>
    <row r="23" spans="1:34" x14ac:dyDescent="0.45">
      <c r="A23" t="str">
        <f>IF(Moteur!D23="","",Moteur!D23)</f>
        <v/>
      </c>
      <c r="B23" t="str">
        <f>IF(Moteur!B23="","",Moteur!B23)</f>
        <v/>
      </c>
      <c r="C23" t="str">
        <f>IF(Moteur!F23="","",Moteur!F23)</f>
        <v/>
      </c>
      <c r="D23" t="str">
        <f>IF(Moteur!G23="","",Moteur!G23)</f>
        <v/>
      </c>
      <c r="E23" t="str">
        <f>IF(Moteur!H23="","",Moteur!H23)</f>
        <v/>
      </c>
      <c r="F23" t="str">
        <f>IF(Moteur!E23="","",Moteur!E23)</f>
        <v/>
      </c>
      <c r="G23" t="str">
        <f>IF($A23="","",SUMIFS(Socle!$H$1:$H$1000,Socle!$C$1:$C$1000,$A23,Socle!$D$1:$D$1000,$C23,Socle!$E$1:$E$1000,$D23,Socle!$F$1:$F$1000,$E23,Socle!$G$1:$G$1000,"2026"))</f>
        <v/>
      </c>
      <c r="H23" t="str">
        <f>IF($A23="","",SUMIFS(Socle!$N$1:$N$1000,Socle!$C$1:$C$1000,$A23,Socle!$D$1:$D$1000,$C23,Socle!$E$1:$E$1000,$D23,Socle!$F$1:$F$1000,$E23,Socle!$G$1:$G$1000,"2026"))</f>
        <v/>
      </c>
      <c r="I23" t="str">
        <f>IF($A23="","",SUMIFS(Socle!$P$1:$P$1000,Socle!$C$1:$C$1000,$A23,Socle!$D$1:$D$1000,$C23,Socle!$E$1:$E$1000,$D23,Socle!$F$1:$F$1000,$E23,Socle!$G$1:$G$1000,"2026"))</f>
        <v/>
      </c>
      <c r="J23" t="str">
        <f>IF($A23="","",SUMIFS(Socle!$W$1:$W$1000,Socle!$C$1:$C$1000,$A23,Socle!$D$1:$D$1000,$C23,Socle!$E$1:$E$1000,$D23,Socle!$F$1:$F$1000,$E23,Socle!$G$1:$G$1000,"2026"))</f>
        <v/>
      </c>
      <c r="K23" t="str">
        <f>IF($A23="","",SUMIFS(Socle!$X$1:$X$1000,Socle!$C$1:$C$1000,$A23,Socle!$D$1:$D$1000,$C23,Socle!$E$1:$E$1000,$D23,Socle!$F$1:$F$1000,$E23,Socle!$G$1:$G$1000,"2026"))</f>
        <v/>
      </c>
      <c r="L23" t="str">
        <f>IF($A23="","",SUMIFS(Socle!$Y$1:$Y$1000,Socle!$C$1:$C$1000,$A23,Socle!$D$1:$D$1000,$C23,Socle!$E$1:$E$1000,$D23,Socle!$F$1:$F$1000,$E23,Socle!$G$1:$G$1000,"2026"))</f>
        <v/>
      </c>
      <c r="M23" t="str">
        <f>IF($A23="","",SUMIFS(Socle!$V$1:$V$1000,Socle!$C$1:$C$1000,$A23,Socle!$D$1:$D$1000,$C23,Socle!$E$1:$E$1000,$D23,Socle!$F$1:$F$1000,$E23,Socle!$G$1:$G$1000,"2026"))</f>
        <v/>
      </c>
      <c r="N23" t="str">
        <f t="shared" si="0"/>
        <v/>
      </c>
      <c r="O23" t="str">
        <f>IF($A23="","",SUMIFS(Campagne!$D$1:$D$15,Campagne!$C$1:$C$15,$A23))</f>
        <v/>
      </c>
      <c r="P23" t="str">
        <f>IF($A23="","",SUMIFS(Campagne!$E$1:$E$15,Campagne!$C$1:$C$15,$A23))</f>
        <v/>
      </c>
      <c r="Q23" t="str">
        <f>IF($A23="","",SUMIFS(Campagne!$F$1:$F$15,Campagne!$C$1:$C$15,$A23))</f>
        <v/>
      </c>
      <c r="R23" t="str">
        <f>IF($A23="","",SUMIFS(Campagne!$K$1:$K$15,Campagne!$C$1:$C$15,$A23))</f>
        <v/>
      </c>
      <c r="S23" t="str">
        <f>IF($A23="","",SUMIFS(Campagne!$M$1:$M$15,Campagne!$C$1:$C$15,$A23))</f>
        <v/>
      </c>
      <c r="T23" t="str">
        <f>IF($A23="","",SUMIFS(PIL!$K$15:$K$28,PIL!$A$15:$A$28,$A23)*SUMIFS(PIL!$J$15:$J$28,PIL!$A$15:$A$28,$A23)*(SUM(PIL!$K$15:$K$28)/SUMPRODUCT(PIL!$K$15:$K$28,PIL!$J$15:$J$28)))</f>
        <v/>
      </c>
      <c r="U23" t="str">
        <f>IF($A23="","",SUMIFS(PIL!$K$15:$K$28,PIL!$A$15:$A$28,$A23))</f>
        <v/>
      </c>
      <c r="V23" t="str">
        <f t="shared" si="1"/>
        <v/>
      </c>
      <c r="W23" t="str">
        <f t="shared" si="2"/>
        <v/>
      </c>
      <c r="X23" t="str">
        <f t="shared" si="3"/>
        <v/>
      </c>
      <c r="Y23" t="str">
        <f t="shared" si="4"/>
        <v/>
      </c>
      <c r="Z23" t="str">
        <f t="shared" si="5"/>
        <v/>
      </c>
      <c r="AA23" t="str">
        <f t="shared" si="6"/>
        <v/>
      </c>
      <c r="AB23" t="str">
        <f t="shared" si="7"/>
        <v/>
      </c>
      <c r="AC23" t="str">
        <f t="shared" si="8"/>
        <v/>
      </c>
      <c r="AD23" t="str">
        <f t="shared" si="9"/>
        <v/>
      </c>
      <c r="AE23" t="str">
        <f t="shared" si="10"/>
        <v/>
      </c>
      <c r="AF23" t="str">
        <f t="shared" si="11"/>
        <v/>
      </c>
      <c r="AG23" t="str">
        <f t="shared" si="12"/>
        <v/>
      </c>
      <c r="AH23" t="str">
        <f t="shared" si="13"/>
        <v/>
      </c>
    </row>
    <row r="24" spans="1:34" x14ac:dyDescent="0.45">
      <c r="A24" t="str">
        <f>IF(Moteur!D24="","",Moteur!D24)</f>
        <v/>
      </c>
      <c r="B24" t="str">
        <f>IF(Moteur!B24="","",Moteur!B24)</f>
        <v/>
      </c>
      <c r="C24" t="str">
        <f>IF(Moteur!F24="","",Moteur!F24)</f>
        <v/>
      </c>
      <c r="D24" t="str">
        <f>IF(Moteur!G24="","",Moteur!G24)</f>
        <v/>
      </c>
      <c r="E24" t="str">
        <f>IF(Moteur!H24="","",Moteur!H24)</f>
        <v/>
      </c>
      <c r="F24" t="str">
        <f>IF(Moteur!E24="","",Moteur!E24)</f>
        <v/>
      </c>
      <c r="G24" t="str">
        <f>IF($A24="","",SUMIFS(Socle!$H$1:$H$1000,Socle!$C$1:$C$1000,$A24,Socle!$D$1:$D$1000,$C24,Socle!$E$1:$E$1000,$D24,Socle!$F$1:$F$1000,$E24,Socle!$G$1:$G$1000,"2026"))</f>
        <v/>
      </c>
      <c r="H24" t="str">
        <f>IF($A24="","",SUMIFS(Socle!$N$1:$N$1000,Socle!$C$1:$C$1000,$A24,Socle!$D$1:$D$1000,$C24,Socle!$E$1:$E$1000,$D24,Socle!$F$1:$F$1000,$E24,Socle!$G$1:$G$1000,"2026"))</f>
        <v/>
      </c>
      <c r="I24" t="str">
        <f>IF($A24="","",SUMIFS(Socle!$P$1:$P$1000,Socle!$C$1:$C$1000,$A24,Socle!$D$1:$D$1000,$C24,Socle!$E$1:$E$1000,$D24,Socle!$F$1:$F$1000,$E24,Socle!$G$1:$G$1000,"2026"))</f>
        <v/>
      </c>
      <c r="J24" t="str">
        <f>IF($A24="","",SUMIFS(Socle!$W$1:$W$1000,Socle!$C$1:$C$1000,$A24,Socle!$D$1:$D$1000,$C24,Socle!$E$1:$E$1000,$D24,Socle!$F$1:$F$1000,$E24,Socle!$G$1:$G$1000,"2026"))</f>
        <v/>
      </c>
      <c r="K24" t="str">
        <f>IF($A24="","",SUMIFS(Socle!$X$1:$X$1000,Socle!$C$1:$C$1000,$A24,Socle!$D$1:$D$1000,$C24,Socle!$E$1:$E$1000,$D24,Socle!$F$1:$F$1000,$E24,Socle!$G$1:$G$1000,"2026"))</f>
        <v/>
      </c>
      <c r="L24" t="str">
        <f>IF($A24="","",SUMIFS(Socle!$Y$1:$Y$1000,Socle!$C$1:$C$1000,$A24,Socle!$D$1:$D$1000,$C24,Socle!$E$1:$E$1000,$D24,Socle!$F$1:$F$1000,$E24,Socle!$G$1:$G$1000,"2026"))</f>
        <v/>
      </c>
      <c r="M24" t="str">
        <f>IF($A24="","",SUMIFS(Socle!$V$1:$V$1000,Socle!$C$1:$C$1000,$A24,Socle!$D$1:$D$1000,$C24,Socle!$E$1:$E$1000,$D24,Socle!$F$1:$F$1000,$E24,Socle!$G$1:$G$1000,"2026"))</f>
        <v/>
      </c>
      <c r="N24" t="str">
        <f t="shared" si="0"/>
        <v/>
      </c>
      <c r="O24" t="str">
        <f>IF($A24="","",SUMIFS(Campagne!$D$1:$D$15,Campagne!$C$1:$C$15,$A24))</f>
        <v/>
      </c>
      <c r="P24" t="str">
        <f>IF($A24="","",SUMIFS(Campagne!$E$1:$E$15,Campagne!$C$1:$C$15,$A24))</f>
        <v/>
      </c>
      <c r="Q24" t="str">
        <f>IF($A24="","",SUMIFS(Campagne!$F$1:$F$15,Campagne!$C$1:$C$15,$A24))</f>
        <v/>
      </c>
      <c r="R24" t="str">
        <f>IF($A24="","",SUMIFS(Campagne!$K$1:$K$15,Campagne!$C$1:$C$15,$A24))</f>
        <v/>
      </c>
      <c r="S24" t="str">
        <f>IF($A24="","",SUMIFS(Campagne!$M$1:$M$15,Campagne!$C$1:$C$15,$A24))</f>
        <v/>
      </c>
      <c r="T24" t="str">
        <f>IF($A24="","",SUMIFS(PIL!$K$15:$K$28,PIL!$A$15:$A$28,$A24)*SUMIFS(PIL!$J$15:$J$28,PIL!$A$15:$A$28,$A24)*(SUM(PIL!$K$15:$K$28)/SUMPRODUCT(PIL!$K$15:$K$28,PIL!$J$15:$J$28)))</f>
        <v/>
      </c>
      <c r="U24" t="str">
        <f>IF($A24="","",SUMIFS(PIL!$K$15:$K$28,PIL!$A$15:$A$28,$A24))</f>
        <v/>
      </c>
      <c r="V24" t="str">
        <f t="shared" si="1"/>
        <v/>
      </c>
      <c r="W24" t="str">
        <f t="shared" si="2"/>
        <v/>
      </c>
      <c r="X24" t="str">
        <f t="shared" si="3"/>
        <v/>
      </c>
      <c r="Y24" t="str">
        <f t="shared" si="4"/>
        <v/>
      </c>
      <c r="Z24" t="str">
        <f t="shared" si="5"/>
        <v/>
      </c>
      <c r="AA24" t="str">
        <f t="shared" si="6"/>
        <v/>
      </c>
      <c r="AB24" t="str">
        <f t="shared" si="7"/>
        <v/>
      </c>
      <c r="AC24" t="str">
        <f t="shared" si="8"/>
        <v/>
      </c>
      <c r="AD24" t="str">
        <f t="shared" si="9"/>
        <v/>
      </c>
      <c r="AE24" t="str">
        <f t="shared" si="10"/>
        <v/>
      </c>
      <c r="AF24" t="str">
        <f t="shared" si="11"/>
        <v/>
      </c>
      <c r="AG24" t="str">
        <f t="shared" si="12"/>
        <v/>
      </c>
      <c r="AH24" t="str">
        <f t="shared" si="13"/>
        <v/>
      </c>
    </row>
    <row r="25" spans="1:34" x14ac:dyDescent="0.45">
      <c r="A25" t="str">
        <f>IF(Moteur!D25="","",Moteur!D25)</f>
        <v/>
      </c>
      <c r="B25" t="str">
        <f>IF(Moteur!B25="","",Moteur!B25)</f>
        <v/>
      </c>
      <c r="C25" t="str">
        <f>IF(Moteur!F25="","",Moteur!F25)</f>
        <v/>
      </c>
      <c r="D25" t="str">
        <f>IF(Moteur!G25="","",Moteur!G25)</f>
        <v/>
      </c>
      <c r="E25" t="str">
        <f>IF(Moteur!H25="","",Moteur!H25)</f>
        <v/>
      </c>
      <c r="F25" t="str">
        <f>IF(Moteur!E25="","",Moteur!E25)</f>
        <v/>
      </c>
      <c r="G25" t="str">
        <f>IF($A25="","",SUMIFS(Socle!$H$1:$H$1000,Socle!$C$1:$C$1000,$A25,Socle!$D$1:$D$1000,$C25,Socle!$E$1:$E$1000,$D25,Socle!$F$1:$F$1000,$E25,Socle!$G$1:$G$1000,"2026"))</f>
        <v/>
      </c>
      <c r="H25" t="str">
        <f>IF($A25="","",SUMIFS(Socle!$N$1:$N$1000,Socle!$C$1:$C$1000,$A25,Socle!$D$1:$D$1000,$C25,Socle!$E$1:$E$1000,$D25,Socle!$F$1:$F$1000,$E25,Socle!$G$1:$G$1000,"2026"))</f>
        <v/>
      </c>
      <c r="I25" t="str">
        <f>IF($A25="","",SUMIFS(Socle!$P$1:$P$1000,Socle!$C$1:$C$1000,$A25,Socle!$D$1:$D$1000,$C25,Socle!$E$1:$E$1000,$D25,Socle!$F$1:$F$1000,$E25,Socle!$G$1:$G$1000,"2026"))</f>
        <v/>
      </c>
      <c r="J25" t="str">
        <f>IF($A25="","",SUMIFS(Socle!$W$1:$W$1000,Socle!$C$1:$C$1000,$A25,Socle!$D$1:$D$1000,$C25,Socle!$E$1:$E$1000,$D25,Socle!$F$1:$F$1000,$E25,Socle!$G$1:$G$1000,"2026"))</f>
        <v/>
      </c>
      <c r="K25" t="str">
        <f>IF($A25="","",SUMIFS(Socle!$X$1:$X$1000,Socle!$C$1:$C$1000,$A25,Socle!$D$1:$D$1000,$C25,Socle!$E$1:$E$1000,$D25,Socle!$F$1:$F$1000,$E25,Socle!$G$1:$G$1000,"2026"))</f>
        <v/>
      </c>
      <c r="L25" t="str">
        <f>IF($A25="","",SUMIFS(Socle!$Y$1:$Y$1000,Socle!$C$1:$C$1000,$A25,Socle!$D$1:$D$1000,$C25,Socle!$E$1:$E$1000,$D25,Socle!$F$1:$F$1000,$E25,Socle!$G$1:$G$1000,"2026"))</f>
        <v/>
      </c>
      <c r="M25" t="str">
        <f>IF($A25="","",SUMIFS(Socle!$V$1:$V$1000,Socle!$C$1:$C$1000,$A25,Socle!$D$1:$D$1000,$C25,Socle!$E$1:$E$1000,$D25,Socle!$F$1:$F$1000,$E25,Socle!$G$1:$G$1000,"2026"))</f>
        <v/>
      </c>
      <c r="N25" t="str">
        <f t="shared" si="0"/>
        <v/>
      </c>
      <c r="O25" t="str">
        <f>IF($A25="","",SUMIFS(Campagne!$D$1:$D$15,Campagne!$C$1:$C$15,$A25))</f>
        <v/>
      </c>
      <c r="P25" t="str">
        <f>IF($A25="","",SUMIFS(Campagne!$E$1:$E$15,Campagne!$C$1:$C$15,$A25))</f>
        <v/>
      </c>
      <c r="Q25" t="str">
        <f>IF($A25="","",SUMIFS(Campagne!$F$1:$F$15,Campagne!$C$1:$C$15,$A25))</f>
        <v/>
      </c>
      <c r="R25" t="str">
        <f>IF($A25="","",SUMIFS(Campagne!$K$1:$K$15,Campagne!$C$1:$C$15,$A25))</f>
        <v/>
      </c>
      <c r="S25" t="str">
        <f>IF($A25="","",SUMIFS(Campagne!$M$1:$M$15,Campagne!$C$1:$C$15,$A25))</f>
        <v/>
      </c>
      <c r="T25" t="str">
        <f>IF($A25="","",SUMIFS(PIL!$K$15:$K$28,PIL!$A$15:$A$28,$A25)*SUMIFS(PIL!$J$15:$J$28,PIL!$A$15:$A$28,$A25)*(SUM(PIL!$K$15:$K$28)/SUMPRODUCT(PIL!$K$15:$K$28,PIL!$J$15:$J$28)))</f>
        <v/>
      </c>
      <c r="U25" t="str">
        <f>IF($A25="","",SUMIFS(PIL!$K$15:$K$28,PIL!$A$15:$A$28,$A25))</f>
        <v/>
      </c>
      <c r="V25" t="str">
        <f t="shared" si="1"/>
        <v/>
      </c>
      <c r="W25" t="str">
        <f t="shared" si="2"/>
        <v/>
      </c>
      <c r="X25" t="str">
        <f t="shared" si="3"/>
        <v/>
      </c>
      <c r="Y25" t="str">
        <f t="shared" si="4"/>
        <v/>
      </c>
      <c r="Z25" t="str">
        <f t="shared" si="5"/>
        <v/>
      </c>
      <c r="AA25" t="str">
        <f t="shared" si="6"/>
        <v/>
      </c>
      <c r="AB25" t="str">
        <f t="shared" si="7"/>
        <v/>
      </c>
      <c r="AC25" t="str">
        <f t="shared" si="8"/>
        <v/>
      </c>
      <c r="AD25" t="str">
        <f t="shared" si="9"/>
        <v/>
      </c>
      <c r="AE25" t="str">
        <f t="shared" si="10"/>
        <v/>
      </c>
      <c r="AF25" t="str">
        <f t="shared" si="11"/>
        <v/>
      </c>
      <c r="AG25" t="str">
        <f t="shared" si="12"/>
        <v/>
      </c>
      <c r="AH25" t="str">
        <f t="shared" si="13"/>
        <v/>
      </c>
    </row>
    <row r="26" spans="1:34" x14ac:dyDescent="0.45">
      <c r="A26" t="str">
        <f>IF(Moteur!D26="","",Moteur!D26)</f>
        <v/>
      </c>
      <c r="B26" t="str">
        <f>IF(Moteur!B26="","",Moteur!B26)</f>
        <v/>
      </c>
      <c r="C26" t="str">
        <f>IF(Moteur!F26="","",Moteur!F26)</f>
        <v/>
      </c>
      <c r="D26" t="str">
        <f>IF(Moteur!G26="","",Moteur!G26)</f>
        <v/>
      </c>
      <c r="E26" t="str">
        <f>IF(Moteur!H26="","",Moteur!H26)</f>
        <v/>
      </c>
      <c r="F26" t="str">
        <f>IF(Moteur!E26="","",Moteur!E26)</f>
        <v/>
      </c>
      <c r="G26" t="str">
        <f>IF($A26="","",SUMIFS(Socle!$H$1:$H$1000,Socle!$C$1:$C$1000,$A26,Socle!$D$1:$D$1000,$C26,Socle!$E$1:$E$1000,$D26,Socle!$F$1:$F$1000,$E26,Socle!$G$1:$G$1000,"2026"))</f>
        <v/>
      </c>
      <c r="H26" t="str">
        <f>IF($A26="","",SUMIFS(Socle!$N$1:$N$1000,Socle!$C$1:$C$1000,$A26,Socle!$D$1:$D$1000,$C26,Socle!$E$1:$E$1000,$D26,Socle!$F$1:$F$1000,$E26,Socle!$G$1:$G$1000,"2026"))</f>
        <v/>
      </c>
      <c r="I26" t="str">
        <f>IF($A26="","",SUMIFS(Socle!$P$1:$P$1000,Socle!$C$1:$C$1000,$A26,Socle!$D$1:$D$1000,$C26,Socle!$E$1:$E$1000,$D26,Socle!$F$1:$F$1000,$E26,Socle!$G$1:$G$1000,"2026"))</f>
        <v/>
      </c>
      <c r="J26" t="str">
        <f>IF($A26="","",SUMIFS(Socle!$W$1:$W$1000,Socle!$C$1:$C$1000,$A26,Socle!$D$1:$D$1000,$C26,Socle!$E$1:$E$1000,$D26,Socle!$F$1:$F$1000,$E26,Socle!$G$1:$G$1000,"2026"))</f>
        <v/>
      </c>
      <c r="K26" t="str">
        <f>IF($A26="","",SUMIFS(Socle!$X$1:$X$1000,Socle!$C$1:$C$1000,$A26,Socle!$D$1:$D$1000,$C26,Socle!$E$1:$E$1000,$D26,Socle!$F$1:$F$1000,$E26,Socle!$G$1:$G$1000,"2026"))</f>
        <v/>
      </c>
      <c r="L26" t="str">
        <f>IF($A26="","",SUMIFS(Socle!$Y$1:$Y$1000,Socle!$C$1:$C$1000,$A26,Socle!$D$1:$D$1000,$C26,Socle!$E$1:$E$1000,$D26,Socle!$F$1:$F$1000,$E26,Socle!$G$1:$G$1000,"2026"))</f>
        <v/>
      </c>
      <c r="M26" t="str">
        <f>IF($A26="","",SUMIFS(Socle!$V$1:$V$1000,Socle!$C$1:$C$1000,$A26,Socle!$D$1:$D$1000,$C26,Socle!$E$1:$E$1000,$D26,Socle!$F$1:$F$1000,$E26,Socle!$G$1:$G$1000,"2026"))</f>
        <v/>
      </c>
      <c r="N26" t="str">
        <f t="shared" si="0"/>
        <v/>
      </c>
      <c r="O26" t="str">
        <f>IF($A26="","",SUMIFS(Campagne!$D$1:$D$15,Campagne!$C$1:$C$15,$A26))</f>
        <v/>
      </c>
      <c r="P26" t="str">
        <f>IF($A26="","",SUMIFS(Campagne!$E$1:$E$15,Campagne!$C$1:$C$15,$A26))</f>
        <v/>
      </c>
      <c r="Q26" t="str">
        <f>IF($A26="","",SUMIFS(Campagne!$F$1:$F$15,Campagne!$C$1:$C$15,$A26))</f>
        <v/>
      </c>
      <c r="R26" t="str">
        <f>IF($A26="","",SUMIFS(Campagne!$K$1:$K$15,Campagne!$C$1:$C$15,$A26))</f>
        <v/>
      </c>
      <c r="S26" t="str">
        <f>IF($A26="","",SUMIFS(Campagne!$M$1:$M$15,Campagne!$C$1:$C$15,$A26))</f>
        <v/>
      </c>
      <c r="T26" t="str">
        <f>IF($A26="","",SUMIFS(PIL!$K$15:$K$28,PIL!$A$15:$A$28,$A26)*SUMIFS(PIL!$J$15:$J$28,PIL!$A$15:$A$28,$A26)*(SUM(PIL!$K$15:$K$28)/SUMPRODUCT(PIL!$K$15:$K$28,PIL!$J$15:$J$28)))</f>
        <v/>
      </c>
      <c r="U26" t="str">
        <f>IF($A26="","",SUMIFS(PIL!$K$15:$K$28,PIL!$A$15:$A$28,$A26))</f>
        <v/>
      </c>
      <c r="V26" t="str">
        <f t="shared" si="1"/>
        <v/>
      </c>
      <c r="W26" t="str">
        <f t="shared" si="2"/>
        <v/>
      </c>
      <c r="X26" t="str">
        <f t="shared" si="3"/>
        <v/>
      </c>
      <c r="Y26" t="str">
        <f t="shared" si="4"/>
        <v/>
      </c>
      <c r="Z26" t="str">
        <f t="shared" si="5"/>
        <v/>
      </c>
      <c r="AA26" t="str">
        <f t="shared" si="6"/>
        <v/>
      </c>
      <c r="AB26" t="str">
        <f t="shared" si="7"/>
        <v/>
      </c>
      <c r="AC26" t="str">
        <f t="shared" si="8"/>
        <v/>
      </c>
      <c r="AD26" t="str">
        <f t="shared" si="9"/>
        <v/>
      </c>
      <c r="AE26" t="str">
        <f t="shared" si="10"/>
        <v/>
      </c>
      <c r="AF26" t="str">
        <f t="shared" si="11"/>
        <v/>
      </c>
      <c r="AG26" t="str">
        <f t="shared" si="12"/>
        <v/>
      </c>
      <c r="AH26" t="str">
        <f t="shared" si="13"/>
        <v/>
      </c>
    </row>
    <row r="27" spans="1:34" x14ac:dyDescent="0.45">
      <c r="A27" t="str">
        <f>IF(Moteur!D27="","",Moteur!D27)</f>
        <v/>
      </c>
      <c r="B27" t="str">
        <f>IF(Moteur!B27="","",Moteur!B27)</f>
        <v/>
      </c>
      <c r="C27" t="str">
        <f>IF(Moteur!F27="","",Moteur!F27)</f>
        <v/>
      </c>
      <c r="D27" t="str">
        <f>IF(Moteur!G27="","",Moteur!G27)</f>
        <v/>
      </c>
      <c r="E27" t="str">
        <f>IF(Moteur!H27="","",Moteur!H27)</f>
        <v/>
      </c>
      <c r="F27" t="str">
        <f>IF(Moteur!E27="","",Moteur!E27)</f>
        <v/>
      </c>
      <c r="G27" t="str">
        <f>IF($A27="","",SUMIFS(Socle!$H$1:$H$1000,Socle!$C$1:$C$1000,$A27,Socle!$D$1:$D$1000,$C27,Socle!$E$1:$E$1000,$D27,Socle!$F$1:$F$1000,$E27,Socle!$G$1:$G$1000,"2026"))</f>
        <v/>
      </c>
      <c r="H27" t="str">
        <f>IF($A27="","",SUMIFS(Socle!$N$1:$N$1000,Socle!$C$1:$C$1000,$A27,Socle!$D$1:$D$1000,$C27,Socle!$E$1:$E$1000,$D27,Socle!$F$1:$F$1000,$E27,Socle!$G$1:$G$1000,"2026"))</f>
        <v/>
      </c>
      <c r="I27" t="str">
        <f>IF($A27="","",SUMIFS(Socle!$P$1:$P$1000,Socle!$C$1:$C$1000,$A27,Socle!$D$1:$D$1000,$C27,Socle!$E$1:$E$1000,$D27,Socle!$F$1:$F$1000,$E27,Socle!$G$1:$G$1000,"2026"))</f>
        <v/>
      </c>
      <c r="J27" t="str">
        <f>IF($A27="","",SUMIFS(Socle!$W$1:$W$1000,Socle!$C$1:$C$1000,$A27,Socle!$D$1:$D$1000,$C27,Socle!$E$1:$E$1000,$D27,Socle!$F$1:$F$1000,$E27,Socle!$G$1:$G$1000,"2026"))</f>
        <v/>
      </c>
      <c r="K27" t="str">
        <f>IF($A27="","",SUMIFS(Socle!$X$1:$X$1000,Socle!$C$1:$C$1000,$A27,Socle!$D$1:$D$1000,$C27,Socle!$E$1:$E$1000,$D27,Socle!$F$1:$F$1000,$E27,Socle!$G$1:$G$1000,"2026"))</f>
        <v/>
      </c>
      <c r="L27" t="str">
        <f>IF($A27="","",SUMIFS(Socle!$Y$1:$Y$1000,Socle!$C$1:$C$1000,$A27,Socle!$D$1:$D$1000,$C27,Socle!$E$1:$E$1000,$D27,Socle!$F$1:$F$1000,$E27,Socle!$G$1:$G$1000,"2026"))</f>
        <v/>
      </c>
      <c r="M27" t="str">
        <f>IF($A27="","",SUMIFS(Socle!$V$1:$V$1000,Socle!$C$1:$C$1000,$A27,Socle!$D$1:$D$1000,$C27,Socle!$E$1:$E$1000,$D27,Socle!$F$1:$F$1000,$E27,Socle!$G$1:$G$1000,"2026"))</f>
        <v/>
      </c>
      <c r="N27" t="str">
        <f t="shared" si="0"/>
        <v/>
      </c>
      <c r="O27" t="str">
        <f>IF($A27="","",SUMIFS(Campagne!$D$1:$D$15,Campagne!$C$1:$C$15,$A27))</f>
        <v/>
      </c>
      <c r="P27" t="str">
        <f>IF($A27="","",SUMIFS(Campagne!$E$1:$E$15,Campagne!$C$1:$C$15,$A27))</f>
        <v/>
      </c>
      <c r="Q27" t="str">
        <f>IF($A27="","",SUMIFS(Campagne!$F$1:$F$15,Campagne!$C$1:$C$15,$A27))</f>
        <v/>
      </c>
      <c r="R27" t="str">
        <f>IF($A27="","",SUMIFS(Campagne!$K$1:$K$15,Campagne!$C$1:$C$15,$A27))</f>
        <v/>
      </c>
      <c r="S27" t="str">
        <f>IF($A27="","",SUMIFS(Campagne!$M$1:$M$15,Campagne!$C$1:$C$15,$A27))</f>
        <v/>
      </c>
      <c r="T27" t="str">
        <f>IF($A27="","",SUMIFS(PIL!$K$15:$K$28,PIL!$A$15:$A$28,$A27)*SUMIFS(PIL!$J$15:$J$28,PIL!$A$15:$A$28,$A27)*(SUM(PIL!$K$15:$K$28)/SUMPRODUCT(PIL!$K$15:$K$28,PIL!$J$15:$J$28)))</f>
        <v/>
      </c>
      <c r="U27" t="str">
        <f>IF($A27="","",SUMIFS(PIL!$K$15:$K$28,PIL!$A$15:$A$28,$A27))</f>
        <v/>
      </c>
      <c r="V27" t="str">
        <f t="shared" si="1"/>
        <v/>
      </c>
      <c r="W27" t="str">
        <f t="shared" si="2"/>
        <v/>
      </c>
      <c r="X27" t="str">
        <f t="shared" si="3"/>
        <v/>
      </c>
      <c r="Y27" t="str">
        <f t="shared" si="4"/>
        <v/>
      </c>
      <c r="Z27" t="str">
        <f t="shared" si="5"/>
        <v/>
      </c>
      <c r="AA27" t="str">
        <f t="shared" si="6"/>
        <v/>
      </c>
      <c r="AB27" t="str">
        <f t="shared" si="7"/>
        <v/>
      </c>
      <c r="AC27" t="str">
        <f t="shared" si="8"/>
        <v/>
      </c>
      <c r="AD27" t="str">
        <f t="shared" si="9"/>
        <v/>
      </c>
      <c r="AE27" t="str">
        <f t="shared" si="10"/>
        <v/>
      </c>
      <c r="AF27" t="str">
        <f t="shared" si="11"/>
        <v/>
      </c>
      <c r="AG27" t="str">
        <f t="shared" si="12"/>
        <v/>
      </c>
      <c r="AH27" t="str">
        <f t="shared" si="13"/>
        <v/>
      </c>
    </row>
    <row r="28" spans="1:34" x14ac:dyDescent="0.45">
      <c r="A28" t="str">
        <f>IF(Moteur!D28="","",Moteur!D28)</f>
        <v/>
      </c>
      <c r="B28" t="str">
        <f>IF(Moteur!B28="","",Moteur!B28)</f>
        <v/>
      </c>
      <c r="C28" t="str">
        <f>IF(Moteur!F28="","",Moteur!F28)</f>
        <v/>
      </c>
      <c r="D28" t="str">
        <f>IF(Moteur!G28="","",Moteur!G28)</f>
        <v/>
      </c>
      <c r="E28" t="str">
        <f>IF(Moteur!H28="","",Moteur!H28)</f>
        <v/>
      </c>
      <c r="F28" t="str">
        <f>IF(Moteur!E28="","",Moteur!E28)</f>
        <v/>
      </c>
      <c r="G28" t="str">
        <f>IF($A28="","",SUMIFS(Socle!$H$1:$H$1000,Socle!$C$1:$C$1000,$A28,Socle!$D$1:$D$1000,$C28,Socle!$E$1:$E$1000,$D28,Socle!$F$1:$F$1000,$E28,Socle!$G$1:$G$1000,"2026"))</f>
        <v/>
      </c>
      <c r="H28" t="str">
        <f>IF($A28="","",SUMIFS(Socle!$N$1:$N$1000,Socle!$C$1:$C$1000,$A28,Socle!$D$1:$D$1000,$C28,Socle!$E$1:$E$1000,$D28,Socle!$F$1:$F$1000,$E28,Socle!$G$1:$G$1000,"2026"))</f>
        <v/>
      </c>
      <c r="I28" t="str">
        <f>IF($A28="","",SUMIFS(Socle!$P$1:$P$1000,Socle!$C$1:$C$1000,$A28,Socle!$D$1:$D$1000,$C28,Socle!$E$1:$E$1000,$D28,Socle!$F$1:$F$1000,$E28,Socle!$G$1:$G$1000,"2026"))</f>
        <v/>
      </c>
      <c r="J28" t="str">
        <f>IF($A28="","",SUMIFS(Socle!$W$1:$W$1000,Socle!$C$1:$C$1000,$A28,Socle!$D$1:$D$1000,$C28,Socle!$E$1:$E$1000,$D28,Socle!$F$1:$F$1000,$E28,Socle!$G$1:$G$1000,"2026"))</f>
        <v/>
      </c>
      <c r="K28" t="str">
        <f>IF($A28="","",SUMIFS(Socle!$X$1:$X$1000,Socle!$C$1:$C$1000,$A28,Socle!$D$1:$D$1000,$C28,Socle!$E$1:$E$1000,$D28,Socle!$F$1:$F$1000,$E28,Socle!$G$1:$G$1000,"2026"))</f>
        <v/>
      </c>
      <c r="L28" t="str">
        <f>IF($A28="","",SUMIFS(Socle!$Y$1:$Y$1000,Socle!$C$1:$C$1000,$A28,Socle!$D$1:$D$1000,$C28,Socle!$E$1:$E$1000,$D28,Socle!$F$1:$F$1000,$E28,Socle!$G$1:$G$1000,"2026"))</f>
        <v/>
      </c>
      <c r="M28" t="str">
        <f>IF($A28="","",SUMIFS(Socle!$V$1:$V$1000,Socle!$C$1:$C$1000,$A28,Socle!$D$1:$D$1000,$C28,Socle!$E$1:$E$1000,$D28,Socle!$F$1:$F$1000,$E28,Socle!$G$1:$G$1000,"2026"))</f>
        <v/>
      </c>
      <c r="N28" t="str">
        <f t="shared" si="0"/>
        <v/>
      </c>
      <c r="O28" t="str">
        <f>IF($A28="","",SUMIFS(Campagne!$D$1:$D$15,Campagne!$C$1:$C$15,$A28))</f>
        <v/>
      </c>
      <c r="P28" t="str">
        <f>IF($A28="","",SUMIFS(Campagne!$E$1:$E$15,Campagne!$C$1:$C$15,$A28))</f>
        <v/>
      </c>
      <c r="Q28" t="str">
        <f>IF($A28="","",SUMIFS(Campagne!$F$1:$F$15,Campagne!$C$1:$C$15,$A28))</f>
        <v/>
      </c>
      <c r="R28" t="str">
        <f>IF($A28="","",SUMIFS(Campagne!$K$1:$K$15,Campagne!$C$1:$C$15,$A28))</f>
        <v/>
      </c>
      <c r="S28" t="str">
        <f>IF($A28="","",SUMIFS(Campagne!$M$1:$M$15,Campagne!$C$1:$C$15,$A28))</f>
        <v/>
      </c>
      <c r="T28" t="str">
        <f>IF($A28="","",SUMIFS(PIL!$K$15:$K$28,PIL!$A$15:$A$28,$A28)*SUMIFS(PIL!$J$15:$J$28,PIL!$A$15:$A$28,$A28)*(SUM(PIL!$K$15:$K$28)/SUMPRODUCT(PIL!$K$15:$K$28,PIL!$J$15:$J$28)))</f>
        <v/>
      </c>
      <c r="U28" t="str">
        <f>IF($A28="","",SUMIFS(PIL!$K$15:$K$28,PIL!$A$15:$A$28,$A28))</f>
        <v/>
      </c>
      <c r="V28" t="str">
        <f t="shared" si="1"/>
        <v/>
      </c>
      <c r="W28" t="str">
        <f t="shared" si="2"/>
        <v/>
      </c>
      <c r="X28" t="str">
        <f t="shared" si="3"/>
        <v/>
      </c>
      <c r="Y28" t="str">
        <f t="shared" si="4"/>
        <v/>
      </c>
      <c r="Z28" t="str">
        <f t="shared" si="5"/>
        <v/>
      </c>
      <c r="AA28" t="str">
        <f t="shared" si="6"/>
        <v/>
      </c>
      <c r="AB28" t="str">
        <f t="shared" si="7"/>
        <v/>
      </c>
      <c r="AC28" t="str">
        <f t="shared" si="8"/>
        <v/>
      </c>
      <c r="AD28" t="str">
        <f t="shared" si="9"/>
        <v/>
      </c>
      <c r="AE28" t="str">
        <f t="shared" si="10"/>
        <v/>
      </c>
      <c r="AF28" t="str">
        <f t="shared" si="11"/>
        <v/>
      </c>
      <c r="AG28" t="str">
        <f t="shared" si="12"/>
        <v/>
      </c>
      <c r="AH28" t="str">
        <f t="shared" si="13"/>
        <v/>
      </c>
    </row>
    <row r="29" spans="1:34" x14ac:dyDescent="0.45">
      <c r="A29" t="str">
        <f>IF(Moteur!D29="","",Moteur!D29)</f>
        <v/>
      </c>
      <c r="B29" t="str">
        <f>IF(Moteur!B29="","",Moteur!B29)</f>
        <v/>
      </c>
      <c r="C29" t="str">
        <f>IF(Moteur!F29="","",Moteur!F29)</f>
        <v/>
      </c>
      <c r="D29" t="str">
        <f>IF(Moteur!G29="","",Moteur!G29)</f>
        <v/>
      </c>
      <c r="E29" t="str">
        <f>IF(Moteur!H29="","",Moteur!H29)</f>
        <v/>
      </c>
      <c r="F29" t="str">
        <f>IF(Moteur!E29="","",Moteur!E29)</f>
        <v/>
      </c>
      <c r="G29" t="str">
        <f>IF($A29="","",SUMIFS(Socle!$H$1:$H$1000,Socle!$C$1:$C$1000,$A29,Socle!$D$1:$D$1000,$C29,Socle!$E$1:$E$1000,$D29,Socle!$F$1:$F$1000,$E29,Socle!$G$1:$G$1000,"2026"))</f>
        <v/>
      </c>
      <c r="H29" t="str">
        <f>IF($A29="","",SUMIFS(Socle!$N$1:$N$1000,Socle!$C$1:$C$1000,$A29,Socle!$D$1:$D$1000,$C29,Socle!$E$1:$E$1000,$D29,Socle!$F$1:$F$1000,$E29,Socle!$G$1:$G$1000,"2026"))</f>
        <v/>
      </c>
      <c r="I29" t="str">
        <f>IF($A29="","",SUMIFS(Socle!$P$1:$P$1000,Socle!$C$1:$C$1000,$A29,Socle!$D$1:$D$1000,$C29,Socle!$E$1:$E$1000,$D29,Socle!$F$1:$F$1000,$E29,Socle!$G$1:$G$1000,"2026"))</f>
        <v/>
      </c>
      <c r="J29" t="str">
        <f>IF($A29="","",SUMIFS(Socle!$W$1:$W$1000,Socle!$C$1:$C$1000,$A29,Socle!$D$1:$D$1000,$C29,Socle!$E$1:$E$1000,$D29,Socle!$F$1:$F$1000,$E29,Socle!$G$1:$G$1000,"2026"))</f>
        <v/>
      </c>
      <c r="K29" t="str">
        <f>IF($A29="","",SUMIFS(Socle!$X$1:$X$1000,Socle!$C$1:$C$1000,$A29,Socle!$D$1:$D$1000,$C29,Socle!$E$1:$E$1000,$D29,Socle!$F$1:$F$1000,$E29,Socle!$G$1:$G$1000,"2026"))</f>
        <v/>
      </c>
      <c r="L29" t="str">
        <f>IF($A29="","",SUMIFS(Socle!$Y$1:$Y$1000,Socle!$C$1:$C$1000,$A29,Socle!$D$1:$D$1000,$C29,Socle!$E$1:$E$1000,$D29,Socle!$F$1:$F$1000,$E29,Socle!$G$1:$G$1000,"2026"))</f>
        <v/>
      </c>
      <c r="M29" t="str">
        <f>IF($A29="","",SUMIFS(Socle!$V$1:$V$1000,Socle!$C$1:$C$1000,$A29,Socle!$D$1:$D$1000,$C29,Socle!$E$1:$E$1000,$D29,Socle!$F$1:$F$1000,$E29,Socle!$G$1:$G$1000,"2026"))</f>
        <v/>
      </c>
      <c r="N29" t="str">
        <f t="shared" si="0"/>
        <v/>
      </c>
      <c r="O29" t="str">
        <f>IF($A29="","",SUMIFS(Campagne!$D$1:$D$15,Campagne!$C$1:$C$15,$A29))</f>
        <v/>
      </c>
      <c r="P29" t="str">
        <f>IF($A29="","",SUMIFS(Campagne!$E$1:$E$15,Campagne!$C$1:$C$15,$A29))</f>
        <v/>
      </c>
      <c r="Q29" t="str">
        <f>IF($A29="","",SUMIFS(Campagne!$F$1:$F$15,Campagne!$C$1:$C$15,$A29))</f>
        <v/>
      </c>
      <c r="R29" t="str">
        <f>IF($A29="","",SUMIFS(Campagne!$K$1:$K$15,Campagne!$C$1:$C$15,$A29))</f>
        <v/>
      </c>
      <c r="S29" t="str">
        <f>IF($A29="","",SUMIFS(Campagne!$M$1:$M$15,Campagne!$C$1:$C$15,$A29))</f>
        <v/>
      </c>
      <c r="T29" t="str">
        <f>IF($A29="","",SUMIFS(PIL!$K$15:$K$28,PIL!$A$15:$A$28,$A29)*SUMIFS(PIL!$J$15:$J$28,PIL!$A$15:$A$28,$A29)*(SUM(PIL!$K$15:$K$28)/SUMPRODUCT(PIL!$K$15:$K$28,PIL!$J$15:$J$28)))</f>
        <v/>
      </c>
      <c r="U29" t="str">
        <f>IF($A29="","",SUMIFS(PIL!$K$15:$K$28,PIL!$A$15:$A$28,$A29))</f>
        <v/>
      </c>
      <c r="V29" t="str">
        <f t="shared" si="1"/>
        <v/>
      </c>
      <c r="W29" t="str">
        <f t="shared" si="2"/>
        <v/>
      </c>
      <c r="X29" t="str">
        <f t="shared" si="3"/>
        <v/>
      </c>
      <c r="Y29" t="str">
        <f t="shared" si="4"/>
        <v/>
      </c>
      <c r="Z29" t="str">
        <f t="shared" si="5"/>
        <v/>
      </c>
      <c r="AA29" t="str">
        <f t="shared" si="6"/>
        <v/>
      </c>
      <c r="AB29" t="str">
        <f t="shared" si="7"/>
        <v/>
      </c>
      <c r="AC29" t="str">
        <f t="shared" si="8"/>
        <v/>
      </c>
      <c r="AD29" t="str">
        <f t="shared" si="9"/>
        <v/>
      </c>
      <c r="AE29" t="str">
        <f t="shared" si="10"/>
        <v/>
      </c>
      <c r="AF29" t="str">
        <f t="shared" si="11"/>
        <v/>
      </c>
      <c r="AG29" t="str">
        <f t="shared" si="12"/>
        <v/>
      </c>
      <c r="AH29" t="str">
        <f t="shared" si="13"/>
        <v/>
      </c>
    </row>
    <row r="30" spans="1:34" x14ac:dyDescent="0.45">
      <c r="A30" t="str">
        <f>IF(Moteur!D30="","",Moteur!D30)</f>
        <v/>
      </c>
      <c r="B30" t="str">
        <f>IF(Moteur!B30="","",Moteur!B30)</f>
        <v/>
      </c>
      <c r="C30" t="str">
        <f>IF(Moteur!F30="","",Moteur!F30)</f>
        <v/>
      </c>
      <c r="D30" t="str">
        <f>IF(Moteur!G30="","",Moteur!G30)</f>
        <v/>
      </c>
      <c r="E30" t="str">
        <f>IF(Moteur!H30="","",Moteur!H30)</f>
        <v/>
      </c>
      <c r="F30" t="str">
        <f>IF(Moteur!E30="","",Moteur!E30)</f>
        <v/>
      </c>
      <c r="G30" t="str">
        <f>IF($A30="","",SUMIFS(Socle!$H$1:$H$1000,Socle!$C$1:$C$1000,$A30,Socle!$D$1:$D$1000,$C30,Socle!$E$1:$E$1000,$D30,Socle!$F$1:$F$1000,$E30,Socle!$G$1:$G$1000,"2026"))</f>
        <v/>
      </c>
      <c r="H30" t="str">
        <f>IF($A30="","",SUMIFS(Socle!$N$1:$N$1000,Socle!$C$1:$C$1000,$A30,Socle!$D$1:$D$1000,$C30,Socle!$E$1:$E$1000,$D30,Socle!$F$1:$F$1000,$E30,Socle!$G$1:$G$1000,"2026"))</f>
        <v/>
      </c>
      <c r="I30" t="str">
        <f>IF($A30="","",SUMIFS(Socle!$P$1:$P$1000,Socle!$C$1:$C$1000,$A30,Socle!$D$1:$D$1000,$C30,Socle!$E$1:$E$1000,$D30,Socle!$F$1:$F$1000,$E30,Socle!$G$1:$G$1000,"2026"))</f>
        <v/>
      </c>
      <c r="J30" t="str">
        <f>IF($A30="","",SUMIFS(Socle!$W$1:$W$1000,Socle!$C$1:$C$1000,$A30,Socle!$D$1:$D$1000,$C30,Socle!$E$1:$E$1000,$D30,Socle!$F$1:$F$1000,$E30,Socle!$G$1:$G$1000,"2026"))</f>
        <v/>
      </c>
      <c r="K30" t="str">
        <f>IF($A30="","",SUMIFS(Socle!$X$1:$X$1000,Socle!$C$1:$C$1000,$A30,Socle!$D$1:$D$1000,$C30,Socle!$E$1:$E$1000,$D30,Socle!$F$1:$F$1000,$E30,Socle!$G$1:$G$1000,"2026"))</f>
        <v/>
      </c>
      <c r="L30" t="str">
        <f>IF($A30="","",SUMIFS(Socle!$Y$1:$Y$1000,Socle!$C$1:$C$1000,$A30,Socle!$D$1:$D$1000,$C30,Socle!$E$1:$E$1000,$D30,Socle!$F$1:$F$1000,$E30,Socle!$G$1:$G$1000,"2026"))</f>
        <v/>
      </c>
      <c r="M30" t="str">
        <f>IF($A30="","",SUMIFS(Socle!$V$1:$V$1000,Socle!$C$1:$C$1000,$A30,Socle!$D$1:$D$1000,$C30,Socle!$E$1:$E$1000,$D30,Socle!$F$1:$F$1000,$E30,Socle!$G$1:$G$1000,"2026"))</f>
        <v/>
      </c>
      <c r="N30" t="str">
        <f t="shared" si="0"/>
        <v/>
      </c>
      <c r="O30" t="str">
        <f>IF($A30="","",SUMIFS(Campagne!$D$1:$D$15,Campagne!$C$1:$C$15,$A30))</f>
        <v/>
      </c>
      <c r="P30" t="str">
        <f>IF($A30="","",SUMIFS(Campagne!$E$1:$E$15,Campagne!$C$1:$C$15,$A30))</f>
        <v/>
      </c>
      <c r="Q30" t="str">
        <f>IF($A30="","",SUMIFS(Campagne!$F$1:$F$15,Campagne!$C$1:$C$15,$A30))</f>
        <v/>
      </c>
      <c r="R30" t="str">
        <f>IF($A30="","",SUMIFS(Campagne!$K$1:$K$15,Campagne!$C$1:$C$15,$A30))</f>
        <v/>
      </c>
      <c r="S30" t="str">
        <f>IF($A30="","",SUMIFS(Campagne!$M$1:$M$15,Campagne!$C$1:$C$15,$A30))</f>
        <v/>
      </c>
      <c r="T30" t="str">
        <f>IF($A30="","",SUMIFS(PIL!$K$15:$K$28,PIL!$A$15:$A$28,$A30)*SUMIFS(PIL!$J$15:$J$28,PIL!$A$15:$A$28,$A30)*(SUM(PIL!$K$15:$K$28)/SUMPRODUCT(PIL!$K$15:$K$28,PIL!$J$15:$J$28)))</f>
        <v/>
      </c>
      <c r="U30" t="str">
        <f>IF($A30="","",SUMIFS(PIL!$K$15:$K$28,PIL!$A$15:$A$28,$A30))</f>
        <v/>
      </c>
      <c r="V30" t="str">
        <f t="shared" si="1"/>
        <v/>
      </c>
      <c r="W30" t="str">
        <f t="shared" si="2"/>
        <v/>
      </c>
      <c r="X30" t="str">
        <f t="shared" si="3"/>
        <v/>
      </c>
      <c r="Y30" t="str">
        <f t="shared" si="4"/>
        <v/>
      </c>
      <c r="Z30" t="str">
        <f t="shared" si="5"/>
        <v/>
      </c>
      <c r="AA30" t="str">
        <f t="shared" si="6"/>
        <v/>
      </c>
      <c r="AB30" t="str">
        <f t="shared" si="7"/>
        <v/>
      </c>
      <c r="AC30" t="str">
        <f t="shared" si="8"/>
        <v/>
      </c>
      <c r="AD30" t="str">
        <f t="shared" si="9"/>
        <v/>
      </c>
      <c r="AE30" t="str">
        <f t="shared" si="10"/>
        <v/>
      </c>
      <c r="AF30" t="str">
        <f t="shared" si="11"/>
        <v/>
      </c>
      <c r="AG30" t="str">
        <f t="shared" si="12"/>
        <v/>
      </c>
      <c r="AH30" t="str">
        <f t="shared" si="13"/>
        <v/>
      </c>
    </row>
    <row r="31" spans="1:34" x14ac:dyDescent="0.45">
      <c r="A31" t="str">
        <f>IF(Moteur!D31="","",Moteur!D31)</f>
        <v/>
      </c>
      <c r="B31" t="str">
        <f>IF(Moteur!B31="","",Moteur!B31)</f>
        <v/>
      </c>
      <c r="C31" t="str">
        <f>IF(Moteur!F31="","",Moteur!F31)</f>
        <v/>
      </c>
      <c r="D31" t="str">
        <f>IF(Moteur!G31="","",Moteur!G31)</f>
        <v/>
      </c>
      <c r="E31" t="str">
        <f>IF(Moteur!H31="","",Moteur!H31)</f>
        <v/>
      </c>
      <c r="F31" t="str">
        <f>IF(Moteur!E31="","",Moteur!E31)</f>
        <v/>
      </c>
      <c r="G31" t="str">
        <f>IF($A31="","",SUMIFS(Socle!$H$1:$H$1000,Socle!$C$1:$C$1000,$A31,Socle!$D$1:$D$1000,$C31,Socle!$E$1:$E$1000,$D31,Socle!$F$1:$F$1000,$E31,Socle!$G$1:$G$1000,"2026"))</f>
        <v/>
      </c>
      <c r="H31" t="str">
        <f>IF($A31="","",SUMIFS(Socle!$N$1:$N$1000,Socle!$C$1:$C$1000,$A31,Socle!$D$1:$D$1000,$C31,Socle!$E$1:$E$1000,$D31,Socle!$F$1:$F$1000,$E31,Socle!$G$1:$G$1000,"2026"))</f>
        <v/>
      </c>
      <c r="I31" t="str">
        <f>IF($A31="","",SUMIFS(Socle!$P$1:$P$1000,Socle!$C$1:$C$1000,$A31,Socle!$D$1:$D$1000,$C31,Socle!$E$1:$E$1000,$D31,Socle!$F$1:$F$1000,$E31,Socle!$G$1:$G$1000,"2026"))</f>
        <v/>
      </c>
      <c r="J31" t="str">
        <f>IF($A31="","",SUMIFS(Socle!$W$1:$W$1000,Socle!$C$1:$C$1000,$A31,Socle!$D$1:$D$1000,$C31,Socle!$E$1:$E$1000,$D31,Socle!$F$1:$F$1000,$E31,Socle!$G$1:$G$1000,"2026"))</f>
        <v/>
      </c>
      <c r="K31" t="str">
        <f>IF($A31="","",SUMIFS(Socle!$X$1:$X$1000,Socle!$C$1:$C$1000,$A31,Socle!$D$1:$D$1000,$C31,Socle!$E$1:$E$1000,$D31,Socle!$F$1:$F$1000,$E31,Socle!$G$1:$G$1000,"2026"))</f>
        <v/>
      </c>
      <c r="L31" t="str">
        <f>IF($A31="","",SUMIFS(Socle!$Y$1:$Y$1000,Socle!$C$1:$C$1000,$A31,Socle!$D$1:$D$1000,$C31,Socle!$E$1:$E$1000,$D31,Socle!$F$1:$F$1000,$E31,Socle!$G$1:$G$1000,"2026"))</f>
        <v/>
      </c>
      <c r="M31" t="str">
        <f>IF($A31="","",SUMIFS(Socle!$V$1:$V$1000,Socle!$C$1:$C$1000,$A31,Socle!$D$1:$D$1000,$C31,Socle!$E$1:$E$1000,$D31,Socle!$F$1:$F$1000,$E31,Socle!$G$1:$G$1000,"2026"))</f>
        <v/>
      </c>
      <c r="N31" t="str">
        <f t="shared" si="0"/>
        <v/>
      </c>
      <c r="O31" t="str">
        <f>IF($A31="","",SUMIFS(Campagne!$D$1:$D$15,Campagne!$C$1:$C$15,$A31))</f>
        <v/>
      </c>
      <c r="P31" t="str">
        <f>IF($A31="","",SUMIFS(Campagne!$E$1:$E$15,Campagne!$C$1:$C$15,$A31))</f>
        <v/>
      </c>
      <c r="Q31" t="str">
        <f>IF($A31="","",SUMIFS(Campagne!$F$1:$F$15,Campagne!$C$1:$C$15,$A31))</f>
        <v/>
      </c>
      <c r="R31" t="str">
        <f>IF($A31="","",SUMIFS(Campagne!$K$1:$K$15,Campagne!$C$1:$C$15,$A31))</f>
        <v/>
      </c>
      <c r="S31" t="str">
        <f>IF($A31="","",SUMIFS(Campagne!$M$1:$M$15,Campagne!$C$1:$C$15,$A31))</f>
        <v/>
      </c>
      <c r="T31" t="str">
        <f>IF($A31="","",SUMIFS(PIL!$K$15:$K$28,PIL!$A$15:$A$28,$A31)*SUMIFS(PIL!$J$15:$J$28,PIL!$A$15:$A$28,$A31)*(SUM(PIL!$K$15:$K$28)/SUMPRODUCT(PIL!$K$15:$K$28,PIL!$J$15:$J$28)))</f>
        <v/>
      </c>
      <c r="U31" t="str">
        <f>IF($A31="","",SUMIFS(PIL!$K$15:$K$28,PIL!$A$15:$A$28,$A31))</f>
        <v/>
      </c>
      <c r="V31" t="str">
        <f t="shared" si="1"/>
        <v/>
      </c>
      <c r="W31" t="str">
        <f t="shared" si="2"/>
        <v/>
      </c>
      <c r="X31" t="str">
        <f t="shared" si="3"/>
        <v/>
      </c>
      <c r="Y31" t="str">
        <f t="shared" si="4"/>
        <v/>
      </c>
      <c r="Z31" t="str">
        <f t="shared" si="5"/>
        <v/>
      </c>
      <c r="AA31" t="str">
        <f t="shared" si="6"/>
        <v/>
      </c>
      <c r="AB31" t="str">
        <f t="shared" si="7"/>
        <v/>
      </c>
      <c r="AC31" t="str">
        <f t="shared" si="8"/>
        <v/>
      </c>
      <c r="AD31" t="str">
        <f t="shared" si="9"/>
        <v/>
      </c>
      <c r="AE31" t="str">
        <f t="shared" si="10"/>
        <v/>
      </c>
      <c r="AF31" t="str">
        <f t="shared" si="11"/>
        <v/>
      </c>
      <c r="AG31" t="str">
        <f t="shared" si="12"/>
        <v/>
      </c>
      <c r="AH31" t="str">
        <f t="shared" si="13"/>
        <v/>
      </c>
    </row>
    <row r="32" spans="1:34" x14ac:dyDescent="0.45">
      <c r="A32" t="str">
        <f>IF(Moteur!D32="","",Moteur!D32)</f>
        <v/>
      </c>
      <c r="B32" t="str">
        <f>IF(Moteur!B32="","",Moteur!B32)</f>
        <v/>
      </c>
      <c r="C32" t="str">
        <f>IF(Moteur!F32="","",Moteur!F32)</f>
        <v/>
      </c>
      <c r="D32" t="str">
        <f>IF(Moteur!G32="","",Moteur!G32)</f>
        <v/>
      </c>
      <c r="E32" t="str">
        <f>IF(Moteur!H32="","",Moteur!H32)</f>
        <v/>
      </c>
      <c r="F32" t="str">
        <f>IF(Moteur!E32="","",Moteur!E32)</f>
        <v/>
      </c>
      <c r="G32" t="str">
        <f>IF($A32="","",SUMIFS(Socle!$H$1:$H$1000,Socle!$C$1:$C$1000,$A32,Socle!$D$1:$D$1000,$C32,Socle!$E$1:$E$1000,$D32,Socle!$F$1:$F$1000,$E32,Socle!$G$1:$G$1000,"2026"))</f>
        <v/>
      </c>
      <c r="H32" t="str">
        <f>IF($A32="","",SUMIFS(Socle!$N$1:$N$1000,Socle!$C$1:$C$1000,$A32,Socle!$D$1:$D$1000,$C32,Socle!$E$1:$E$1000,$D32,Socle!$F$1:$F$1000,$E32,Socle!$G$1:$G$1000,"2026"))</f>
        <v/>
      </c>
      <c r="I32" t="str">
        <f>IF($A32="","",SUMIFS(Socle!$P$1:$P$1000,Socle!$C$1:$C$1000,$A32,Socle!$D$1:$D$1000,$C32,Socle!$E$1:$E$1000,$D32,Socle!$F$1:$F$1000,$E32,Socle!$G$1:$G$1000,"2026"))</f>
        <v/>
      </c>
      <c r="J32" t="str">
        <f>IF($A32="","",SUMIFS(Socle!$W$1:$W$1000,Socle!$C$1:$C$1000,$A32,Socle!$D$1:$D$1000,$C32,Socle!$E$1:$E$1000,$D32,Socle!$F$1:$F$1000,$E32,Socle!$G$1:$G$1000,"2026"))</f>
        <v/>
      </c>
      <c r="K32" t="str">
        <f>IF($A32="","",SUMIFS(Socle!$X$1:$X$1000,Socle!$C$1:$C$1000,$A32,Socle!$D$1:$D$1000,$C32,Socle!$E$1:$E$1000,$D32,Socle!$F$1:$F$1000,$E32,Socle!$G$1:$G$1000,"2026"))</f>
        <v/>
      </c>
      <c r="L32" t="str">
        <f>IF($A32="","",SUMIFS(Socle!$Y$1:$Y$1000,Socle!$C$1:$C$1000,$A32,Socle!$D$1:$D$1000,$C32,Socle!$E$1:$E$1000,$D32,Socle!$F$1:$F$1000,$E32,Socle!$G$1:$G$1000,"2026"))</f>
        <v/>
      </c>
      <c r="M32" t="str">
        <f>IF($A32="","",SUMIFS(Socle!$V$1:$V$1000,Socle!$C$1:$C$1000,$A32,Socle!$D$1:$D$1000,$C32,Socle!$E$1:$E$1000,$D32,Socle!$F$1:$F$1000,$E32,Socle!$G$1:$G$1000,"2026"))</f>
        <v/>
      </c>
      <c r="N32" t="str">
        <f t="shared" si="0"/>
        <v/>
      </c>
      <c r="O32" t="str">
        <f>IF($A32="","",SUMIFS(Campagne!$D$1:$D$15,Campagne!$C$1:$C$15,$A32))</f>
        <v/>
      </c>
      <c r="P32" t="str">
        <f>IF($A32="","",SUMIFS(Campagne!$E$1:$E$15,Campagne!$C$1:$C$15,$A32))</f>
        <v/>
      </c>
      <c r="Q32" t="str">
        <f>IF($A32="","",SUMIFS(Campagne!$F$1:$F$15,Campagne!$C$1:$C$15,$A32))</f>
        <v/>
      </c>
      <c r="R32" t="str">
        <f>IF($A32="","",SUMIFS(Campagne!$K$1:$K$15,Campagne!$C$1:$C$15,$A32))</f>
        <v/>
      </c>
      <c r="S32" t="str">
        <f>IF($A32="","",SUMIFS(Campagne!$M$1:$M$15,Campagne!$C$1:$C$15,$A32))</f>
        <v/>
      </c>
      <c r="T32" t="str">
        <f>IF($A32="","",SUMIFS(PIL!$K$15:$K$28,PIL!$A$15:$A$28,$A32)*SUMIFS(PIL!$J$15:$J$28,PIL!$A$15:$A$28,$A32)*(SUM(PIL!$K$15:$K$28)/SUMPRODUCT(PIL!$K$15:$K$28,PIL!$J$15:$J$28)))</f>
        <v/>
      </c>
      <c r="U32" t="str">
        <f>IF($A32="","",SUMIFS(PIL!$K$15:$K$28,PIL!$A$15:$A$28,$A32))</f>
        <v/>
      </c>
      <c r="V32" t="str">
        <f t="shared" si="1"/>
        <v/>
      </c>
      <c r="W32" t="str">
        <f t="shared" si="2"/>
        <v/>
      </c>
      <c r="X32" t="str">
        <f t="shared" si="3"/>
        <v/>
      </c>
      <c r="Y32" t="str">
        <f t="shared" si="4"/>
        <v/>
      </c>
      <c r="Z32" t="str">
        <f t="shared" si="5"/>
        <v/>
      </c>
      <c r="AA32" t="str">
        <f t="shared" si="6"/>
        <v/>
      </c>
      <c r="AB32" t="str">
        <f t="shared" si="7"/>
        <v/>
      </c>
      <c r="AC32" t="str">
        <f t="shared" si="8"/>
        <v/>
      </c>
      <c r="AD32" t="str">
        <f t="shared" si="9"/>
        <v/>
      </c>
      <c r="AE32" t="str">
        <f t="shared" si="10"/>
        <v/>
      </c>
      <c r="AF32" t="str">
        <f t="shared" si="11"/>
        <v/>
      </c>
      <c r="AG32" t="str">
        <f t="shared" si="12"/>
        <v/>
      </c>
      <c r="AH32" t="str">
        <f t="shared" si="13"/>
        <v/>
      </c>
    </row>
    <row r="33" spans="1:34" x14ac:dyDescent="0.45">
      <c r="A33" t="str">
        <f>IF(Moteur!D33="","",Moteur!D33)</f>
        <v/>
      </c>
      <c r="B33" t="str">
        <f>IF(Moteur!B33="","",Moteur!B33)</f>
        <v/>
      </c>
      <c r="C33" t="str">
        <f>IF(Moteur!F33="","",Moteur!F33)</f>
        <v/>
      </c>
      <c r="D33" t="str">
        <f>IF(Moteur!G33="","",Moteur!G33)</f>
        <v/>
      </c>
      <c r="E33" t="str">
        <f>IF(Moteur!H33="","",Moteur!H33)</f>
        <v/>
      </c>
      <c r="F33" t="str">
        <f>IF(Moteur!E33="","",Moteur!E33)</f>
        <v/>
      </c>
      <c r="G33" t="str">
        <f>IF($A33="","",SUMIFS(Socle!$H$1:$H$1000,Socle!$C$1:$C$1000,$A33,Socle!$D$1:$D$1000,$C33,Socle!$E$1:$E$1000,$D33,Socle!$F$1:$F$1000,$E33,Socle!$G$1:$G$1000,"2026"))</f>
        <v/>
      </c>
      <c r="H33" t="str">
        <f>IF($A33="","",SUMIFS(Socle!$N$1:$N$1000,Socle!$C$1:$C$1000,$A33,Socle!$D$1:$D$1000,$C33,Socle!$E$1:$E$1000,$D33,Socle!$F$1:$F$1000,$E33,Socle!$G$1:$G$1000,"2026"))</f>
        <v/>
      </c>
      <c r="I33" t="str">
        <f>IF($A33="","",SUMIFS(Socle!$P$1:$P$1000,Socle!$C$1:$C$1000,$A33,Socle!$D$1:$D$1000,$C33,Socle!$E$1:$E$1000,$D33,Socle!$F$1:$F$1000,$E33,Socle!$G$1:$G$1000,"2026"))</f>
        <v/>
      </c>
      <c r="J33" t="str">
        <f>IF($A33="","",SUMIFS(Socle!$W$1:$W$1000,Socle!$C$1:$C$1000,$A33,Socle!$D$1:$D$1000,$C33,Socle!$E$1:$E$1000,$D33,Socle!$F$1:$F$1000,$E33,Socle!$G$1:$G$1000,"2026"))</f>
        <v/>
      </c>
      <c r="K33" t="str">
        <f>IF($A33="","",SUMIFS(Socle!$X$1:$X$1000,Socle!$C$1:$C$1000,$A33,Socle!$D$1:$D$1000,$C33,Socle!$E$1:$E$1000,$D33,Socle!$F$1:$F$1000,$E33,Socle!$G$1:$G$1000,"2026"))</f>
        <v/>
      </c>
      <c r="L33" t="str">
        <f>IF($A33="","",SUMIFS(Socle!$Y$1:$Y$1000,Socle!$C$1:$C$1000,$A33,Socle!$D$1:$D$1000,$C33,Socle!$E$1:$E$1000,$D33,Socle!$F$1:$F$1000,$E33,Socle!$G$1:$G$1000,"2026"))</f>
        <v/>
      </c>
      <c r="M33" t="str">
        <f>IF($A33="","",SUMIFS(Socle!$V$1:$V$1000,Socle!$C$1:$C$1000,$A33,Socle!$D$1:$D$1000,$C33,Socle!$E$1:$E$1000,$D33,Socle!$F$1:$F$1000,$E33,Socle!$G$1:$G$1000,"2026"))</f>
        <v/>
      </c>
      <c r="N33" t="str">
        <f t="shared" si="0"/>
        <v/>
      </c>
      <c r="O33" t="str">
        <f>IF($A33="","",SUMIFS(Campagne!$D$1:$D$15,Campagne!$C$1:$C$15,$A33))</f>
        <v/>
      </c>
      <c r="P33" t="str">
        <f>IF($A33="","",SUMIFS(Campagne!$E$1:$E$15,Campagne!$C$1:$C$15,$A33))</f>
        <v/>
      </c>
      <c r="Q33" t="str">
        <f>IF($A33="","",SUMIFS(Campagne!$F$1:$F$15,Campagne!$C$1:$C$15,$A33))</f>
        <v/>
      </c>
      <c r="R33" t="str">
        <f>IF($A33="","",SUMIFS(Campagne!$K$1:$K$15,Campagne!$C$1:$C$15,$A33))</f>
        <v/>
      </c>
      <c r="S33" t="str">
        <f>IF($A33="","",SUMIFS(Campagne!$M$1:$M$15,Campagne!$C$1:$C$15,$A33))</f>
        <v/>
      </c>
      <c r="T33" t="str">
        <f>IF($A33="","",SUMIFS(PIL!$K$15:$K$28,PIL!$A$15:$A$28,$A33)*SUMIFS(PIL!$J$15:$J$28,PIL!$A$15:$A$28,$A33)*(SUM(PIL!$K$15:$K$28)/SUMPRODUCT(PIL!$K$15:$K$28,PIL!$J$15:$J$28)))</f>
        <v/>
      </c>
      <c r="U33" t="str">
        <f>IF($A33="","",SUMIFS(PIL!$K$15:$K$28,PIL!$A$15:$A$28,$A33))</f>
        <v/>
      </c>
      <c r="V33" t="str">
        <f t="shared" si="1"/>
        <v/>
      </c>
      <c r="W33" t="str">
        <f t="shared" si="2"/>
        <v/>
      </c>
      <c r="X33" t="str">
        <f t="shared" si="3"/>
        <v/>
      </c>
      <c r="Y33" t="str">
        <f t="shared" si="4"/>
        <v/>
      </c>
      <c r="Z33" t="str">
        <f t="shared" si="5"/>
        <v/>
      </c>
      <c r="AA33" t="str">
        <f t="shared" si="6"/>
        <v/>
      </c>
      <c r="AB33" t="str">
        <f t="shared" si="7"/>
        <v/>
      </c>
      <c r="AC33" t="str">
        <f t="shared" si="8"/>
        <v/>
      </c>
      <c r="AD33" t="str">
        <f t="shared" si="9"/>
        <v/>
      </c>
      <c r="AE33" t="str">
        <f t="shared" si="10"/>
        <v/>
      </c>
      <c r="AF33" t="str">
        <f t="shared" si="11"/>
        <v/>
      </c>
      <c r="AG33" t="str">
        <f t="shared" si="12"/>
        <v/>
      </c>
      <c r="AH33" t="str">
        <f t="shared" si="13"/>
        <v/>
      </c>
    </row>
    <row r="34" spans="1:34" x14ac:dyDescent="0.45">
      <c r="A34" t="str">
        <f>IF(Moteur!D34="","",Moteur!D34)</f>
        <v/>
      </c>
      <c r="B34" t="str">
        <f>IF(Moteur!B34="","",Moteur!B34)</f>
        <v/>
      </c>
      <c r="C34" t="str">
        <f>IF(Moteur!F34="","",Moteur!F34)</f>
        <v/>
      </c>
      <c r="D34" t="str">
        <f>IF(Moteur!G34="","",Moteur!G34)</f>
        <v/>
      </c>
      <c r="E34" t="str">
        <f>IF(Moteur!H34="","",Moteur!H34)</f>
        <v/>
      </c>
      <c r="F34" t="str">
        <f>IF(Moteur!E34="","",Moteur!E34)</f>
        <v/>
      </c>
      <c r="G34" t="str">
        <f>IF($A34="","",SUMIFS(Socle!$H$1:$H$1000,Socle!$C$1:$C$1000,$A34,Socle!$D$1:$D$1000,$C34,Socle!$E$1:$E$1000,$D34,Socle!$F$1:$F$1000,$E34,Socle!$G$1:$G$1000,"2026"))</f>
        <v/>
      </c>
      <c r="H34" t="str">
        <f>IF($A34="","",SUMIFS(Socle!$N$1:$N$1000,Socle!$C$1:$C$1000,$A34,Socle!$D$1:$D$1000,$C34,Socle!$E$1:$E$1000,$D34,Socle!$F$1:$F$1000,$E34,Socle!$G$1:$G$1000,"2026"))</f>
        <v/>
      </c>
      <c r="I34" t="str">
        <f>IF($A34="","",SUMIFS(Socle!$P$1:$P$1000,Socle!$C$1:$C$1000,$A34,Socle!$D$1:$D$1000,$C34,Socle!$E$1:$E$1000,$D34,Socle!$F$1:$F$1000,$E34,Socle!$G$1:$G$1000,"2026"))</f>
        <v/>
      </c>
      <c r="J34" t="str">
        <f>IF($A34="","",SUMIFS(Socle!$W$1:$W$1000,Socle!$C$1:$C$1000,$A34,Socle!$D$1:$D$1000,$C34,Socle!$E$1:$E$1000,$D34,Socle!$F$1:$F$1000,$E34,Socle!$G$1:$G$1000,"2026"))</f>
        <v/>
      </c>
      <c r="K34" t="str">
        <f>IF($A34="","",SUMIFS(Socle!$X$1:$X$1000,Socle!$C$1:$C$1000,$A34,Socle!$D$1:$D$1000,$C34,Socle!$E$1:$E$1000,$D34,Socle!$F$1:$F$1000,$E34,Socle!$G$1:$G$1000,"2026"))</f>
        <v/>
      </c>
      <c r="L34" t="str">
        <f>IF($A34="","",SUMIFS(Socle!$Y$1:$Y$1000,Socle!$C$1:$C$1000,$A34,Socle!$D$1:$D$1000,$C34,Socle!$E$1:$E$1000,$D34,Socle!$F$1:$F$1000,$E34,Socle!$G$1:$G$1000,"2026"))</f>
        <v/>
      </c>
      <c r="M34" t="str">
        <f>IF($A34="","",SUMIFS(Socle!$V$1:$V$1000,Socle!$C$1:$C$1000,$A34,Socle!$D$1:$D$1000,$C34,Socle!$E$1:$E$1000,$D34,Socle!$F$1:$F$1000,$E34,Socle!$G$1:$G$1000,"2026"))</f>
        <v/>
      </c>
      <c r="N34" t="str">
        <f t="shared" si="0"/>
        <v/>
      </c>
      <c r="O34" t="str">
        <f>IF($A34="","",SUMIFS(Campagne!$D$1:$D$15,Campagne!$C$1:$C$15,$A34))</f>
        <v/>
      </c>
      <c r="P34" t="str">
        <f>IF($A34="","",SUMIFS(Campagne!$E$1:$E$15,Campagne!$C$1:$C$15,$A34))</f>
        <v/>
      </c>
      <c r="Q34" t="str">
        <f>IF($A34="","",SUMIFS(Campagne!$F$1:$F$15,Campagne!$C$1:$C$15,$A34))</f>
        <v/>
      </c>
      <c r="R34" t="str">
        <f>IF($A34="","",SUMIFS(Campagne!$K$1:$K$15,Campagne!$C$1:$C$15,$A34))</f>
        <v/>
      </c>
      <c r="S34" t="str">
        <f>IF($A34="","",SUMIFS(Campagne!$M$1:$M$15,Campagne!$C$1:$C$15,$A34))</f>
        <v/>
      </c>
      <c r="T34" t="str">
        <f>IF($A34="","",SUMIFS(PIL!$K$15:$K$28,PIL!$A$15:$A$28,$A34)*SUMIFS(PIL!$J$15:$J$28,PIL!$A$15:$A$28,$A34)*(SUM(PIL!$K$15:$K$28)/SUMPRODUCT(PIL!$K$15:$K$28,PIL!$J$15:$J$28)))</f>
        <v/>
      </c>
      <c r="U34" t="str">
        <f>IF($A34="","",SUMIFS(PIL!$K$15:$K$28,PIL!$A$15:$A$28,$A34))</f>
        <v/>
      </c>
      <c r="V34" t="str">
        <f t="shared" si="1"/>
        <v/>
      </c>
      <c r="W34" t="str">
        <f t="shared" si="2"/>
        <v/>
      </c>
      <c r="X34" t="str">
        <f t="shared" si="3"/>
        <v/>
      </c>
      <c r="Y34" t="str">
        <f t="shared" si="4"/>
        <v/>
      </c>
      <c r="Z34" t="str">
        <f t="shared" si="5"/>
        <v/>
      </c>
      <c r="AA34" t="str">
        <f t="shared" si="6"/>
        <v/>
      </c>
      <c r="AB34" t="str">
        <f t="shared" si="7"/>
        <v/>
      </c>
      <c r="AC34" t="str">
        <f t="shared" si="8"/>
        <v/>
      </c>
      <c r="AD34" t="str">
        <f t="shared" si="9"/>
        <v/>
      </c>
      <c r="AE34" t="str">
        <f t="shared" si="10"/>
        <v/>
      </c>
      <c r="AF34" t="str">
        <f t="shared" si="11"/>
        <v/>
      </c>
      <c r="AG34" t="str">
        <f t="shared" si="12"/>
        <v/>
      </c>
      <c r="AH34" t="str">
        <f t="shared" si="13"/>
        <v/>
      </c>
    </row>
    <row r="35" spans="1:34" x14ac:dyDescent="0.45">
      <c r="A35" t="str">
        <f>IF(Moteur!D35="","",Moteur!D35)</f>
        <v/>
      </c>
      <c r="B35" t="str">
        <f>IF(Moteur!B35="","",Moteur!B35)</f>
        <v/>
      </c>
      <c r="C35" t="str">
        <f>IF(Moteur!F35="","",Moteur!F35)</f>
        <v/>
      </c>
      <c r="D35" t="str">
        <f>IF(Moteur!G35="","",Moteur!G35)</f>
        <v/>
      </c>
      <c r="E35" t="str">
        <f>IF(Moteur!H35="","",Moteur!H35)</f>
        <v/>
      </c>
      <c r="F35" t="str">
        <f>IF(Moteur!E35="","",Moteur!E35)</f>
        <v/>
      </c>
      <c r="G35" t="str">
        <f>IF($A35="","",SUMIFS(Socle!$H$1:$H$1000,Socle!$C$1:$C$1000,$A35,Socle!$D$1:$D$1000,$C35,Socle!$E$1:$E$1000,$D35,Socle!$F$1:$F$1000,$E35,Socle!$G$1:$G$1000,"2026"))</f>
        <v/>
      </c>
      <c r="H35" t="str">
        <f>IF($A35="","",SUMIFS(Socle!$N$1:$N$1000,Socle!$C$1:$C$1000,$A35,Socle!$D$1:$D$1000,$C35,Socle!$E$1:$E$1000,$D35,Socle!$F$1:$F$1000,$E35,Socle!$G$1:$G$1000,"2026"))</f>
        <v/>
      </c>
      <c r="I35" t="str">
        <f>IF($A35="","",SUMIFS(Socle!$P$1:$P$1000,Socle!$C$1:$C$1000,$A35,Socle!$D$1:$D$1000,$C35,Socle!$E$1:$E$1000,$D35,Socle!$F$1:$F$1000,$E35,Socle!$G$1:$G$1000,"2026"))</f>
        <v/>
      </c>
      <c r="J35" t="str">
        <f>IF($A35="","",SUMIFS(Socle!$W$1:$W$1000,Socle!$C$1:$C$1000,$A35,Socle!$D$1:$D$1000,$C35,Socle!$E$1:$E$1000,$D35,Socle!$F$1:$F$1000,$E35,Socle!$G$1:$G$1000,"2026"))</f>
        <v/>
      </c>
      <c r="K35" t="str">
        <f>IF($A35="","",SUMIFS(Socle!$X$1:$X$1000,Socle!$C$1:$C$1000,$A35,Socle!$D$1:$D$1000,$C35,Socle!$E$1:$E$1000,$D35,Socle!$F$1:$F$1000,$E35,Socle!$G$1:$G$1000,"2026"))</f>
        <v/>
      </c>
      <c r="L35" t="str">
        <f>IF($A35="","",SUMIFS(Socle!$Y$1:$Y$1000,Socle!$C$1:$C$1000,$A35,Socle!$D$1:$D$1000,$C35,Socle!$E$1:$E$1000,$D35,Socle!$F$1:$F$1000,$E35,Socle!$G$1:$G$1000,"2026"))</f>
        <v/>
      </c>
      <c r="M35" t="str">
        <f>IF($A35="","",SUMIFS(Socle!$V$1:$V$1000,Socle!$C$1:$C$1000,$A35,Socle!$D$1:$D$1000,$C35,Socle!$E$1:$E$1000,$D35,Socle!$F$1:$F$1000,$E35,Socle!$G$1:$G$1000,"2026"))</f>
        <v/>
      </c>
      <c r="N35" t="str">
        <f t="shared" si="0"/>
        <v/>
      </c>
      <c r="O35" t="str">
        <f>IF($A35="","",SUMIFS(Campagne!$D$1:$D$15,Campagne!$C$1:$C$15,$A35))</f>
        <v/>
      </c>
      <c r="P35" t="str">
        <f>IF($A35="","",SUMIFS(Campagne!$E$1:$E$15,Campagne!$C$1:$C$15,$A35))</f>
        <v/>
      </c>
      <c r="Q35" t="str">
        <f>IF($A35="","",SUMIFS(Campagne!$F$1:$F$15,Campagne!$C$1:$C$15,$A35))</f>
        <v/>
      </c>
      <c r="R35" t="str">
        <f>IF($A35="","",SUMIFS(Campagne!$K$1:$K$15,Campagne!$C$1:$C$15,$A35))</f>
        <v/>
      </c>
      <c r="S35" t="str">
        <f>IF($A35="","",SUMIFS(Campagne!$M$1:$M$15,Campagne!$C$1:$C$15,$A35))</f>
        <v/>
      </c>
      <c r="T35" t="str">
        <f>IF($A35="","",SUMIFS(PIL!$K$15:$K$28,PIL!$A$15:$A$28,$A35)*SUMIFS(PIL!$J$15:$J$28,PIL!$A$15:$A$28,$A35)*(SUM(PIL!$K$15:$K$28)/SUMPRODUCT(PIL!$K$15:$K$28,PIL!$J$15:$J$28)))</f>
        <v/>
      </c>
      <c r="U35" t="str">
        <f>IF($A35="","",SUMIFS(PIL!$K$15:$K$28,PIL!$A$15:$A$28,$A35))</f>
        <v/>
      </c>
      <c r="V35" t="str">
        <f t="shared" si="1"/>
        <v/>
      </c>
      <c r="W35" t="str">
        <f t="shared" si="2"/>
        <v/>
      </c>
      <c r="X35" t="str">
        <f t="shared" si="3"/>
        <v/>
      </c>
      <c r="Y35" t="str">
        <f t="shared" si="4"/>
        <v/>
      </c>
      <c r="Z35" t="str">
        <f t="shared" si="5"/>
        <v/>
      </c>
      <c r="AA35" t="str">
        <f t="shared" si="6"/>
        <v/>
      </c>
      <c r="AB35" t="str">
        <f t="shared" si="7"/>
        <v/>
      </c>
      <c r="AC35" t="str">
        <f t="shared" si="8"/>
        <v/>
      </c>
      <c r="AD35" t="str">
        <f t="shared" si="9"/>
        <v/>
      </c>
      <c r="AE35" t="str">
        <f t="shared" si="10"/>
        <v/>
      </c>
      <c r="AF35" t="str">
        <f t="shared" si="11"/>
        <v/>
      </c>
      <c r="AG35" t="str">
        <f t="shared" si="12"/>
        <v/>
      </c>
      <c r="AH35" t="str">
        <f t="shared" si="13"/>
        <v/>
      </c>
    </row>
    <row r="36" spans="1:34" x14ac:dyDescent="0.45">
      <c r="A36" t="str">
        <f>IF(Moteur!D36="","",Moteur!D36)</f>
        <v/>
      </c>
      <c r="B36" t="str">
        <f>IF(Moteur!B36="","",Moteur!B36)</f>
        <v/>
      </c>
      <c r="C36" t="str">
        <f>IF(Moteur!F36="","",Moteur!F36)</f>
        <v/>
      </c>
      <c r="D36" t="str">
        <f>IF(Moteur!G36="","",Moteur!G36)</f>
        <v/>
      </c>
      <c r="E36" t="str">
        <f>IF(Moteur!H36="","",Moteur!H36)</f>
        <v/>
      </c>
      <c r="F36" t="str">
        <f>IF(Moteur!E36="","",Moteur!E36)</f>
        <v/>
      </c>
      <c r="G36" t="str">
        <f>IF($A36="","",SUMIFS(Socle!$H$1:$H$1000,Socle!$C$1:$C$1000,$A36,Socle!$D$1:$D$1000,$C36,Socle!$E$1:$E$1000,$D36,Socle!$F$1:$F$1000,$E36,Socle!$G$1:$G$1000,"2026"))</f>
        <v/>
      </c>
      <c r="H36" t="str">
        <f>IF($A36="","",SUMIFS(Socle!$N$1:$N$1000,Socle!$C$1:$C$1000,$A36,Socle!$D$1:$D$1000,$C36,Socle!$E$1:$E$1000,$D36,Socle!$F$1:$F$1000,$E36,Socle!$G$1:$G$1000,"2026"))</f>
        <v/>
      </c>
      <c r="I36" t="str">
        <f>IF($A36="","",SUMIFS(Socle!$P$1:$P$1000,Socle!$C$1:$C$1000,$A36,Socle!$D$1:$D$1000,$C36,Socle!$E$1:$E$1000,$D36,Socle!$F$1:$F$1000,$E36,Socle!$G$1:$G$1000,"2026"))</f>
        <v/>
      </c>
      <c r="J36" t="str">
        <f>IF($A36="","",SUMIFS(Socle!$W$1:$W$1000,Socle!$C$1:$C$1000,$A36,Socle!$D$1:$D$1000,$C36,Socle!$E$1:$E$1000,$D36,Socle!$F$1:$F$1000,$E36,Socle!$G$1:$G$1000,"2026"))</f>
        <v/>
      </c>
      <c r="K36" t="str">
        <f>IF($A36="","",SUMIFS(Socle!$X$1:$X$1000,Socle!$C$1:$C$1000,$A36,Socle!$D$1:$D$1000,$C36,Socle!$E$1:$E$1000,$D36,Socle!$F$1:$F$1000,$E36,Socle!$G$1:$G$1000,"2026"))</f>
        <v/>
      </c>
      <c r="L36" t="str">
        <f>IF($A36="","",SUMIFS(Socle!$Y$1:$Y$1000,Socle!$C$1:$C$1000,$A36,Socle!$D$1:$D$1000,$C36,Socle!$E$1:$E$1000,$D36,Socle!$F$1:$F$1000,$E36,Socle!$G$1:$G$1000,"2026"))</f>
        <v/>
      </c>
      <c r="M36" t="str">
        <f>IF($A36="","",SUMIFS(Socle!$V$1:$V$1000,Socle!$C$1:$C$1000,$A36,Socle!$D$1:$D$1000,$C36,Socle!$E$1:$E$1000,$D36,Socle!$F$1:$F$1000,$E36,Socle!$G$1:$G$1000,"2026"))</f>
        <v/>
      </c>
      <c r="N36" t="str">
        <f t="shared" si="0"/>
        <v/>
      </c>
      <c r="O36" t="str">
        <f>IF($A36="","",SUMIFS(Campagne!$D$1:$D$15,Campagne!$C$1:$C$15,$A36))</f>
        <v/>
      </c>
      <c r="P36" t="str">
        <f>IF($A36="","",SUMIFS(Campagne!$E$1:$E$15,Campagne!$C$1:$C$15,$A36))</f>
        <v/>
      </c>
      <c r="Q36" t="str">
        <f>IF($A36="","",SUMIFS(Campagne!$F$1:$F$15,Campagne!$C$1:$C$15,$A36))</f>
        <v/>
      </c>
      <c r="R36" t="str">
        <f>IF($A36="","",SUMIFS(Campagne!$K$1:$K$15,Campagne!$C$1:$C$15,$A36))</f>
        <v/>
      </c>
      <c r="S36" t="str">
        <f>IF($A36="","",SUMIFS(Campagne!$M$1:$M$15,Campagne!$C$1:$C$15,$A36))</f>
        <v/>
      </c>
      <c r="T36" t="str">
        <f>IF($A36="","",SUMIFS(PIL!$K$15:$K$28,PIL!$A$15:$A$28,$A36)*SUMIFS(PIL!$J$15:$J$28,PIL!$A$15:$A$28,$A36)*(SUM(PIL!$K$15:$K$28)/SUMPRODUCT(PIL!$K$15:$K$28,PIL!$J$15:$J$28)))</f>
        <v/>
      </c>
      <c r="U36" t="str">
        <f>IF($A36="","",SUMIFS(PIL!$K$15:$K$28,PIL!$A$15:$A$28,$A36))</f>
        <v/>
      </c>
      <c r="V36" t="str">
        <f t="shared" si="1"/>
        <v/>
      </c>
      <c r="W36" t="str">
        <f t="shared" si="2"/>
        <v/>
      </c>
      <c r="X36" t="str">
        <f t="shared" si="3"/>
        <v/>
      </c>
      <c r="Y36" t="str">
        <f t="shared" si="4"/>
        <v/>
      </c>
      <c r="Z36" t="str">
        <f t="shared" si="5"/>
        <v/>
      </c>
      <c r="AA36" t="str">
        <f t="shared" si="6"/>
        <v/>
      </c>
      <c r="AB36" t="str">
        <f t="shared" si="7"/>
        <v/>
      </c>
      <c r="AC36" t="str">
        <f t="shared" si="8"/>
        <v/>
      </c>
      <c r="AD36" t="str">
        <f t="shared" si="9"/>
        <v/>
      </c>
      <c r="AE36" t="str">
        <f t="shared" si="10"/>
        <v/>
      </c>
      <c r="AF36" t="str">
        <f t="shared" si="11"/>
        <v/>
      </c>
      <c r="AG36" t="str">
        <f t="shared" si="12"/>
        <v/>
      </c>
      <c r="AH36" t="str">
        <f t="shared" si="13"/>
        <v/>
      </c>
    </row>
    <row r="37" spans="1:34" x14ac:dyDescent="0.45">
      <c r="A37" t="str">
        <f>IF(Moteur!D37="","",Moteur!D37)</f>
        <v/>
      </c>
      <c r="B37" t="str">
        <f>IF(Moteur!B37="","",Moteur!B37)</f>
        <v/>
      </c>
      <c r="C37" t="str">
        <f>IF(Moteur!F37="","",Moteur!F37)</f>
        <v/>
      </c>
      <c r="D37" t="str">
        <f>IF(Moteur!G37="","",Moteur!G37)</f>
        <v/>
      </c>
      <c r="E37" t="str">
        <f>IF(Moteur!H37="","",Moteur!H37)</f>
        <v/>
      </c>
      <c r="F37" t="str">
        <f>IF(Moteur!E37="","",Moteur!E37)</f>
        <v/>
      </c>
      <c r="G37" t="str">
        <f>IF($A37="","",SUMIFS(Socle!$H$1:$H$1000,Socle!$C$1:$C$1000,$A37,Socle!$D$1:$D$1000,$C37,Socle!$E$1:$E$1000,$D37,Socle!$F$1:$F$1000,$E37,Socle!$G$1:$G$1000,"2026"))</f>
        <v/>
      </c>
      <c r="H37" t="str">
        <f>IF($A37="","",SUMIFS(Socle!$N$1:$N$1000,Socle!$C$1:$C$1000,$A37,Socle!$D$1:$D$1000,$C37,Socle!$E$1:$E$1000,$D37,Socle!$F$1:$F$1000,$E37,Socle!$G$1:$G$1000,"2026"))</f>
        <v/>
      </c>
      <c r="I37" t="str">
        <f>IF($A37="","",SUMIFS(Socle!$P$1:$P$1000,Socle!$C$1:$C$1000,$A37,Socle!$D$1:$D$1000,$C37,Socle!$E$1:$E$1000,$D37,Socle!$F$1:$F$1000,$E37,Socle!$G$1:$G$1000,"2026"))</f>
        <v/>
      </c>
      <c r="J37" t="str">
        <f>IF($A37="","",SUMIFS(Socle!$W$1:$W$1000,Socle!$C$1:$C$1000,$A37,Socle!$D$1:$D$1000,$C37,Socle!$E$1:$E$1000,$D37,Socle!$F$1:$F$1000,$E37,Socle!$G$1:$G$1000,"2026"))</f>
        <v/>
      </c>
      <c r="K37" t="str">
        <f>IF($A37="","",SUMIFS(Socle!$X$1:$X$1000,Socle!$C$1:$C$1000,$A37,Socle!$D$1:$D$1000,$C37,Socle!$E$1:$E$1000,$D37,Socle!$F$1:$F$1000,$E37,Socle!$G$1:$G$1000,"2026"))</f>
        <v/>
      </c>
      <c r="L37" t="str">
        <f>IF($A37="","",SUMIFS(Socle!$Y$1:$Y$1000,Socle!$C$1:$C$1000,$A37,Socle!$D$1:$D$1000,$C37,Socle!$E$1:$E$1000,$D37,Socle!$F$1:$F$1000,$E37,Socle!$G$1:$G$1000,"2026"))</f>
        <v/>
      </c>
      <c r="M37" t="str">
        <f>IF($A37="","",SUMIFS(Socle!$V$1:$V$1000,Socle!$C$1:$C$1000,$A37,Socle!$D$1:$D$1000,$C37,Socle!$E$1:$E$1000,$D37,Socle!$F$1:$F$1000,$E37,Socle!$G$1:$G$1000,"2026"))</f>
        <v/>
      </c>
      <c r="N37" t="str">
        <f t="shared" si="0"/>
        <v/>
      </c>
      <c r="O37" t="str">
        <f>IF($A37="","",SUMIFS(Campagne!$D$1:$D$15,Campagne!$C$1:$C$15,$A37))</f>
        <v/>
      </c>
      <c r="P37" t="str">
        <f>IF($A37="","",SUMIFS(Campagne!$E$1:$E$15,Campagne!$C$1:$C$15,$A37))</f>
        <v/>
      </c>
      <c r="Q37" t="str">
        <f>IF($A37="","",SUMIFS(Campagne!$F$1:$F$15,Campagne!$C$1:$C$15,$A37))</f>
        <v/>
      </c>
      <c r="R37" t="str">
        <f>IF($A37="","",SUMIFS(Campagne!$K$1:$K$15,Campagne!$C$1:$C$15,$A37))</f>
        <v/>
      </c>
      <c r="S37" t="str">
        <f>IF($A37="","",SUMIFS(Campagne!$M$1:$M$15,Campagne!$C$1:$C$15,$A37))</f>
        <v/>
      </c>
      <c r="T37" t="str">
        <f>IF($A37="","",SUMIFS(PIL!$K$15:$K$28,PIL!$A$15:$A$28,$A37)*SUMIFS(PIL!$J$15:$J$28,PIL!$A$15:$A$28,$A37)*(SUM(PIL!$K$15:$K$28)/SUMPRODUCT(PIL!$K$15:$K$28,PIL!$J$15:$J$28)))</f>
        <v/>
      </c>
      <c r="U37" t="str">
        <f>IF($A37="","",SUMIFS(PIL!$K$15:$K$28,PIL!$A$15:$A$28,$A37))</f>
        <v/>
      </c>
      <c r="V37" t="str">
        <f t="shared" si="1"/>
        <v/>
      </c>
      <c r="W37" t="str">
        <f t="shared" si="2"/>
        <v/>
      </c>
      <c r="X37" t="str">
        <f t="shared" si="3"/>
        <v/>
      </c>
      <c r="Y37" t="str">
        <f t="shared" si="4"/>
        <v/>
      </c>
      <c r="Z37" t="str">
        <f t="shared" si="5"/>
        <v/>
      </c>
      <c r="AA37" t="str">
        <f t="shared" si="6"/>
        <v/>
      </c>
      <c r="AB37" t="str">
        <f t="shared" si="7"/>
        <v/>
      </c>
      <c r="AC37" t="str">
        <f t="shared" si="8"/>
        <v/>
      </c>
      <c r="AD37" t="str">
        <f t="shared" si="9"/>
        <v/>
      </c>
      <c r="AE37" t="str">
        <f t="shared" si="10"/>
        <v/>
      </c>
      <c r="AF37" t="str">
        <f t="shared" si="11"/>
        <v/>
      </c>
      <c r="AG37" t="str">
        <f t="shared" si="12"/>
        <v/>
      </c>
      <c r="AH37" t="str">
        <f t="shared" si="13"/>
        <v/>
      </c>
    </row>
    <row r="38" spans="1:34" x14ac:dyDescent="0.45">
      <c r="A38" t="str">
        <f>IF(Moteur!D38="","",Moteur!D38)</f>
        <v/>
      </c>
      <c r="B38" t="str">
        <f>IF(Moteur!B38="","",Moteur!B38)</f>
        <v/>
      </c>
      <c r="C38" t="str">
        <f>IF(Moteur!F38="","",Moteur!F38)</f>
        <v/>
      </c>
      <c r="D38" t="str">
        <f>IF(Moteur!G38="","",Moteur!G38)</f>
        <v/>
      </c>
      <c r="E38" t="str">
        <f>IF(Moteur!H38="","",Moteur!H38)</f>
        <v/>
      </c>
      <c r="F38" t="str">
        <f>IF(Moteur!E38="","",Moteur!E38)</f>
        <v/>
      </c>
      <c r="G38" t="str">
        <f>IF($A38="","",SUMIFS(Socle!$H$1:$H$1000,Socle!$C$1:$C$1000,$A38,Socle!$D$1:$D$1000,$C38,Socle!$E$1:$E$1000,$D38,Socle!$F$1:$F$1000,$E38,Socle!$G$1:$G$1000,"2026"))</f>
        <v/>
      </c>
      <c r="H38" t="str">
        <f>IF($A38="","",SUMIFS(Socle!$N$1:$N$1000,Socle!$C$1:$C$1000,$A38,Socle!$D$1:$D$1000,$C38,Socle!$E$1:$E$1000,$D38,Socle!$F$1:$F$1000,$E38,Socle!$G$1:$G$1000,"2026"))</f>
        <v/>
      </c>
      <c r="I38" t="str">
        <f>IF($A38="","",SUMIFS(Socle!$P$1:$P$1000,Socle!$C$1:$C$1000,$A38,Socle!$D$1:$D$1000,$C38,Socle!$E$1:$E$1000,$D38,Socle!$F$1:$F$1000,$E38,Socle!$G$1:$G$1000,"2026"))</f>
        <v/>
      </c>
      <c r="J38" t="str">
        <f>IF($A38="","",SUMIFS(Socle!$W$1:$W$1000,Socle!$C$1:$C$1000,$A38,Socle!$D$1:$D$1000,$C38,Socle!$E$1:$E$1000,$D38,Socle!$F$1:$F$1000,$E38,Socle!$G$1:$G$1000,"2026"))</f>
        <v/>
      </c>
      <c r="K38" t="str">
        <f>IF($A38="","",SUMIFS(Socle!$X$1:$X$1000,Socle!$C$1:$C$1000,$A38,Socle!$D$1:$D$1000,$C38,Socle!$E$1:$E$1000,$D38,Socle!$F$1:$F$1000,$E38,Socle!$G$1:$G$1000,"2026"))</f>
        <v/>
      </c>
      <c r="L38" t="str">
        <f>IF($A38="","",SUMIFS(Socle!$Y$1:$Y$1000,Socle!$C$1:$C$1000,$A38,Socle!$D$1:$D$1000,$C38,Socle!$E$1:$E$1000,$D38,Socle!$F$1:$F$1000,$E38,Socle!$G$1:$G$1000,"2026"))</f>
        <v/>
      </c>
      <c r="M38" t="str">
        <f>IF($A38="","",SUMIFS(Socle!$V$1:$V$1000,Socle!$C$1:$C$1000,$A38,Socle!$D$1:$D$1000,$C38,Socle!$E$1:$E$1000,$D38,Socle!$F$1:$F$1000,$E38,Socle!$G$1:$G$1000,"2026"))</f>
        <v/>
      </c>
      <c r="N38" t="str">
        <f t="shared" si="0"/>
        <v/>
      </c>
      <c r="O38" t="str">
        <f>IF($A38="","",SUMIFS(Campagne!$D$1:$D$15,Campagne!$C$1:$C$15,$A38))</f>
        <v/>
      </c>
      <c r="P38" t="str">
        <f>IF($A38="","",SUMIFS(Campagne!$E$1:$E$15,Campagne!$C$1:$C$15,$A38))</f>
        <v/>
      </c>
      <c r="Q38" t="str">
        <f>IF($A38="","",SUMIFS(Campagne!$F$1:$F$15,Campagne!$C$1:$C$15,$A38))</f>
        <v/>
      </c>
      <c r="R38" t="str">
        <f>IF($A38="","",SUMIFS(Campagne!$K$1:$K$15,Campagne!$C$1:$C$15,$A38))</f>
        <v/>
      </c>
      <c r="S38" t="str">
        <f>IF($A38="","",SUMIFS(Campagne!$M$1:$M$15,Campagne!$C$1:$C$15,$A38))</f>
        <v/>
      </c>
      <c r="T38" t="str">
        <f>IF($A38="","",SUMIFS(PIL!$K$15:$K$28,PIL!$A$15:$A$28,$A38)*SUMIFS(PIL!$J$15:$J$28,PIL!$A$15:$A$28,$A38)*(SUM(PIL!$K$15:$K$28)/SUMPRODUCT(PIL!$K$15:$K$28,PIL!$J$15:$J$28)))</f>
        <v/>
      </c>
      <c r="U38" t="str">
        <f>IF($A38="","",SUMIFS(PIL!$K$15:$K$28,PIL!$A$15:$A$28,$A38))</f>
        <v/>
      </c>
      <c r="V38" t="str">
        <f t="shared" si="1"/>
        <v/>
      </c>
      <c r="W38" t="str">
        <f t="shared" si="2"/>
        <v/>
      </c>
      <c r="X38" t="str">
        <f t="shared" si="3"/>
        <v/>
      </c>
      <c r="Y38" t="str">
        <f t="shared" si="4"/>
        <v/>
      </c>
      <c r="Z38" t="str">
        <f t="shared" si="5"/>
        <v/>
      </c>
      <c r="AA38" t="str">
        <f t="shared" si="6"/>
        <v/>
      </c>
      <c r="AB38" t="str">
        <f t="shared" si="7"/>
        <v/>
      </c>
      <c r="AC38" t="str">
        <f t="shared" si="8"/>
        <v/>
      </c>
      <c r="AD38" t="str">
        <f t="shared" si="9"/>
        <v/>
      </c>
      <c r="AE38" t="str">
        <f t="shared" si="10"/>
        <v/>
      </c>
      <c r="AF38" t="str">
        <f t="shared" si="11"/>
        <v/>
      </c>
      <c r="AG38" t="str">
        <f t="shared" si="12"/>
        <v/>
      </c>
      <c r="AH38" t="str">
        <f t="shared" si="13"/>
        <v/>
      </c>
    </row>
    <row r="39" spans="1:34" x14ac:dyDescent="0.45">
      <c r="A39" t="str">
        <f>IF(Moteur!D39="","",Moteur!D39)</f>
        <v/>
      </c>
      <c r="B39" t="str">
        <f>IF(Moteur!B39="","",Moteur!B39)</f>
        <v/>
      </c>
      <c r="C39" t="str">
        <f>IF(Moteur!F39="","",Moteur!F39)</f>
        <v/>
      </c>
      <c r="D39" t="str">
        <f>IF(Moteur!G39="","",Moteur!G39)</f>
        <v/>
      </c>
      <c r="E39" t="str">
        <f>IF(Moteur!H39="","",Moteur!H39)</f>
        <v/>
      </c>
      <c r="F39" t="str">
        <f>IF(Moteur!E39="","",Moteur!E39)</f>
        <v/>
      </c>
      <c r="G39" t="str">
        <f>IF($A39="","",SUMIFS(Socle!$H$1:$H$1000,Socle!$C$1:$C$1000,$A39,Socle!$D$1:$D$1000,$C39,Socle!$E$1:$E$1000,$D39,Socle!$F$1:$F$1000,$E39,Socle!$G$1:$G$1000,"2026"))</f>
        <v/>
      </c>
      <c r="H39" t="str">
        <f>IF($A39="","",SUMIFS(Socle!$N$1:$N$1000,Socle!$C$1:$C$1000,$A39,Socle!$D$1:$D$1000,$C39,Socle!$E$1:$E$1000,$D39,Socle!$F$1:$F$1000,$E39,Socle!$G$1:$G$1000,"2026"))</f>
        <v/>
      </c>
      <c r="I39" t="str">
        <f>IF($A39="","",SUMIFS(Socle!$P$1:$P$1000,Socle!$C$1:$C$1000,$A39,Socle!$D$1:$D$1000,$C39,Socle!$E$1:$E$1000,$D39,Socle!$F$1:$F$1000,$E39,Socle!$G$1:$G$1000,"2026"))</f>
        <v/>
      </c>
      <c r="J39" t="str">
        <f>IF($A39="","",SUMIFS(Socle!$W$1:$W$1000,Socle!$C$1:$C$1000,$A39,Socle!$D$1:$D$1000,$C39,Socle!$E$1:$E$1000,$D39,Socle!$F$1:$F$1000,$E39,Socle!$G$1:$G$1000,"2026"))</f>
        <v/>
      </c>
      <c r="K39" t="str">
        <f>IF($A39="","",SUMIFS(Socle!$X$1:$X$1000,Socle!$C$1:$C$1000,$A39,Socle!$D$1:$D$1000,$C39,Socle!$E$1:$E$1000,$D39,Socle!$F$1:$F$1000,$E39,Socle!$G$1:$G$1000,"2026"))</f>
        <v/>
      </c>
      <c r="L39" t="str">
        <f>IF($A39="","",SUMIFS(Socle!$Y$1:$Y$1000,Socle!$C$1:$C$1000,$A39,Socle!$D$1:$D$1000,$C39,Socle!$E$1:$E$1000,$D39,Socle!$F$1:$F$1000,$E39,Socle!$G$1:$G$1000,"2026"))</f>
        <v/>
      </c>
      <c r="M39" t="str">
        <f>IF($A39="","",SUMIFS(Socle!$V$1:$V$1000,Socle!$C$1:$C$1000,$A39,Socle!$D$1:$D$1000,$C39,Socle!$E$1:$E$1000,$D39,Socle!$F$1:$F$1000,$E39,Socle!$G$1:$G$1000,"2026"))</f>
        <v/>
      </c>
      <c r="N39" t="str">
        <f t="shared" si="0"/>
        <v/>
      </c>
      <c r="O39" t="str">
        <f>IF($A39="","",SUMIFS(Campagne!$D$1:$D$15,Campagne!$C$1:$C$15,$A39))</f>
        <v/>
      </c>
      <c r="P39" t="str">
        <f>IF($A39="","",SUMIFS(Campagne!$E$1:$E$15,Campagne!$C$1:$C$15,$A39))</f>
        <v/>
      </c>
      <c r="Q39" t="str">
        <f>IF($A39="","",SUMIFS(Campagne!$F$1:$F$15,Campagne!$C$1:$C$15,$A39))</f>
        <v/>
      </c>
      <c r="R39" t="str">
        <f>IF($A39="","",SUMIFS(Campagne!$K$1:$K$15,Campagne!$C$1:$C$15,$A39))</f>
        <v/>
      </c>
      <c r="S39" t="str">
        <f>IF($A39="","",SUMIFS(Campagne!$M$1:$M$15,Campagne!$C$1:$C$15,$A39))</f>
        <v/>
      </c>
      <c r="T39" t="str">
        <f>IF($A39="","",SUMIFS(PIL!$K$15:$K$28,PIL!$A$15:$A$28,$A39)*SUMIFS(PIL!$J$15:$J$28,PIL!$A$15:$A$28,$A39)*(SUM(PIL!$K$15:$K$28)/SUMPRODUCT(PIL!$K$15:$K$28,PIL!$J$15:$J$28)))</f>
        <v/>
      </c>
      <c r="U39" t="str">
        <f>IF($A39="","",SUMIFS(PIL!$K$15:$K$28,PIL!$A$15:$A$28,$A39))</f>
        <v/>
      </c>
      <c r="V39" t="str">
        <f t="shared" si="1"/>
        <v/>
      </c>
      <c r="W39" t="str">
        <f t="shared" si="2"/>
        <v/>
      </c>
      <c r="X39" t="str">
        <f t="shared" si="3"/>
        <v/>
      </c>
      <c r="Y39" t="str">
        <f t="shared" si="4"/>
        <v/>
      </c>
      <c r="Z39" t="str">
        <f t="shared" si="5"/>
        <v/>
      </c>
      <c r="AA39" t="str">
        <f t="shared" si="6"/>
        <v/>
      </c>
      <c r="AB39" t="str">
        <f t="shared" si="7"/>
        <v/>
      </c>
      <c r="AC39" t="str">
        <f t="shared" si="8"/>
        <v/>
      </c>
      <c r="AD39" t="str">
        <f t="shared" si="9"/>
        <v/>
      </c>
      <c r="AE39" t="str">
        <f t="shared" si="10"/>
        <v/>
      </c>
      <c r="AF39" t="str">
        <f t="shared" si="11"/>
        <v/>
      </c>
      <c r="AG39" t="str">
        <f t="shared" si="12"/>
        <v/>
      </c>
      <c r="AH39" t="str">
        <f t="shared" si="13"/>
        <v/>
      </c>
    </row>
    <row r="40" spans="1:34" x14ac:dyDescent="0.45">
      <c r="A40" t="str">
        <f>IF(Moteur!D40="","",Moteur!D40)</f>
        <v/>
      </c>
      <c r="B40" t="str">
        <f>IF(Moteur!B40="","",Moteur!B40)</f>
        <v/>
      </c>
      <c r="C40" t="str">
        <f>IF(Moteur!F40="","",Moteur!F40)</f>
        <v/>
      </c>
      <c r="D40" t="str">
        <f>IF(Moteur!G40="","",Moteur!G40)</f>
        <v/>
      </c>
      <c r="E40" t="str">
        <f>IF(Moteur!H40="","",Moteur!H40)</f>
        <v/>
      </c>
      <c r="F40" t="str">
        <f>IF(Moteur!E40="","",Moteur!E40)</f>
        <v/>
      </c>
      <c r="G40" t="str">
        <f>IF($A40="","",SUMIFS(Socle!$H$1:$H$1000,Socle!$C$1:$C$1000,$A40,Socle!$D$1:$D$1000,$C40,Socle!$E$1:$E$1000,$D40,Socle!$F$1:$F$1000,$E40,Socle!$G$1:$G$1000,"2026"))</f>
        <v/>
      </c>
      <c r="H40" t="str">
        <f>IF($A40="","",SUMIFS(Socle!$N$1:$N$1000,Socle!$C$1:$C$1000,$A40,Socle!$D$1:$D$1000,$C40,Socle!$E$1:$E$1000,$D40,Socle!$F$1:$F$1000,$E40,Socle!$G$1:$G$1000,"2026"))</f>
        <v/>
      </c>
      <c r="I40" t="str">
        <f>IF($A40="","",SUMIFS(Socle!$P$1:$P$1000,Socle!$C$1:$C$1000,$A40,Socle!$D$1:$D$1000,$C40,Socle!$E$1:$E$1000,$D40,Socle!$F$1:$F$1000,$E40,Socle!$G$1:$G$1000,"2026"))</f>
        <v/>
      </c>
      <c r="J40" t="str">
        <f>IF($A40="","",SUMIFS(Socle!$W$1:$W$1000,Socle!$C$1:$C$1000,$A40,Socle!$D$1:$D$1000,$C40,Socle!$E$1:$E$1000,$D40,Socle!$F$1:$F$1000,$E40,Socle!$G$1:$G$1000,"2026"))</f>
        <v/>
      </c>
      <c r="K40" t="str">
        <f>IF($A40="","",SUMIFS(Socle!$X$1:$X$1000,Socle!$C$1:$C$1000,$A40,Socle!$D$1:$D$1000,$C40,Socle!$E$1:$E$1000,$D40,Socle!$F$1:$F$1000,$E40,Socle!$G$1:$G$1000,"2026"))</f>
        <v/>
      </c>
      <c r="L40" t="str">
        <f>IF($A40="","",SUMIFS(Socle!$Y$1:$Y$1000,Socle!$C$1:$C$1000,$A40,Socle!$D$1:$D$1000,$C40,Socle!$E$1:$E$1000,$D40,Socle!$F$1:$F$1000,$E40,Socle!$G$1:$G$1000,"2026"))</f>
        <v/>
      </c>
      <c r="M40" t="str">
        <f>IF($A40="","",SUMIFS(Socle!$V$1:$V$1000,Socle!$C$1:$C$1000,$A40,Socle!$D$1:$D$1000,$C40,Socle!$E$1:$E$1000,$D40,Socle!$F$1:$F$1000,$E40,Socle!$G$1:$G$1000,"2026"))</f>
        <v/>
      </c>
      <c r="N40" t="str">
        <f t="shared" si="0"/>
        <v/>
      </c>
      <c r="O40" t="str">
        <f>IF($A40="","",SUMIFS(Campagne!$D$1:$D$15,Campagne!$C$1:$C$15,$A40))</f>
        <v/>
      </c>
      <c r="P40" t="str">
        <f>IF($A40="","",SUMIFS(Campagne!$E$1:$E$15,Campagne!$C$1:$C$15,$A40))</f>
        <v/>
      </c>
      <c r="Q40" t="str">
        <f>IF($A40="","",SUMIFS(Campagne!$F$1:$F$15,Campagne!$C$1:$C$15,$A40))</f>
        <v/>
      </c>
      <c r="R40" t="str">
        <f>IF($A40="","",SUMIFS(Campagne!$K$1:$K$15,Campagne!$C$1:$C$15,$A40))</f>
        <v/>
      </c>
      <c r="S40" t="str">
        <f>IF($A40="","",SUMIFS(Campagne!$M$1:$M$15,Campagne!$C$1:$C$15,$A40))</f>
        <v/>
      </c>
      <c r="T40" t="str">
        <f>IF($A40="","",SUMIFS(PIL!$K$15:$K$28,PIL!$A$15:$A$28,$A40)*SUMIFS(PIL!$J$15:$J$28,PIL!$A$15:$A$28,$A40)*(SUM(PIL!$K$15:$K$28)/SUMPRODUCT(PIL!$K$15:$K$28,PIL!$J$15:$J$28)))</f>
        <v/>
      </c>
      <c r="U40" t="str">
        <f>IF($A40="","",SUMIFS(PIL!$K$15:$K$28,PIL!$A$15:$A$28,$A40))</f>
        <v/>
      </c>
      <c r="V40" t="str">
        <f t="shared" si="1"/>
        <v/>
      </c>
      <c r="W40" t="str">
        <f t="shared" si="2"/>
        <v/>
      </c>
      <c r="X40" t="str">
        <f t="shared" si="3"/>
        <v/>
      </c>
      <c r="Y40" t="str">
        <f t="shared" si="4"/>
        <v/>
      </c>
      <c r="Z40" t="str">
        <f t="shared" si="5"/>
        <v/>
      </c>
      <c r="AA40" t="str">
        <f t="shared" si="6"/>
        <v/>
      </c>
      <c r="AB40" t="str">
        <f t="shared" si="7"/>
        <v/>
      </c>
      <c r="AC40" t="str">
        <f t="shared" si="8"/>
        <v/>
      </c>
      <c r="AD40" t="str">
        <f t="shared" si="9"/>
        <v/>
      </c>
      <c r="AE40" t="str">
        <f t="shared" si="10"/>
        <v/>
      </c>
      <c r="AF40" t="str">
        <f t="shared" si="11"/>
        <v/>
      </c>
      <c r="AG40" t="str">
        <f t="shared" si="12"/>
        <v/>
      </c>
      <c r="AH40" t="str">
        <f t="shared" si="13"/>
        <v/>
      </c>
    </row>
    <row r="41" spans="1:34" x14ac:dyDescent="0.45">
      <c r="A41" t="str">
        <f>IF(Moteur!D41="","",Moteur!D41)</f>
        <v/>
      </c>
      <c r="B41" t="str">
        <f>IF(Moteur!B41="","",Moteur!B41)</f>
        <v/>
      </c>
      <c r="C41" t="str">
        <f>IF(Moteur!F41="","",Moteur!F41)</f>
        <v/>
      </c>
      <c r="D41" t="str">
        <f>IF(Moteur!G41="","",Moteur!G41)</f>
        <v/>
      </c>
      <c r="E41" t="str">
        <f>IF(Moteur!H41="","",Moteur!H41)</f>
        <v/>
      </c>
      <c r="F41" t="str">
        <f>IF(Moteur!E41="","",Moteur!E41)</f>
        <v/>
      </c>
      <c r="G41" t="str">
        <f>IF($A41="","",SUMIFS(Socle!$H$1:$H$1000,Socle!$C$1:$C$1000,$A41,Socle!$D$1:$D$1000,$C41,Socle!$E$1:$E$1000,$D41,Socle!$F$1:$F$1000,$E41,Socle!$G$1:$G$1000,"2026"))</f>
        <v/>
      </c>
      <c r="H41" t="str">
        <f>IF($A41="","",SUMIFS(Socle!$N$1:$N$1000,Socle!$C$1:$C$1000,$A41,Socle!$D$1:$D$1000,$C41,Socle!$E$1:$E$1000,$D41,Socle!$F$1:$F$1000,$E41,Socle!$G$1:$G$1000,"2026"))</f>
        <v/>
      </c>
      <c r="I41" t="str">
        <f>IF($A41="","",SUMIFS(Socle!$P$1:$P$1000,Socle!$C$1:$C$1000,$A41,Socle!$D$1:$D$1000,$C41,Socle!$E$1:$E$1000,$D41,Socle!$F$1:$F$1000,$E41,Socle!$G$1:$G$1000,"2026"))</f>
        <v/>
      </c>
      <c r="J41" t="str">
        <f>IF($A41="","",SUMIFS(Socle!$W$1:$W$1000,Socle!$C$1:$C$1000,$A41,Socle!$D$1:$D$1000,$C41,Socle!$E$1:$E$1000,$D41,Socle!$F$1:$F$1000,$E41,Socle!$G$1:$G$1000,"2026"))</f>
        <v/>
      </c>
      <c r="K41" t="str">
        <f>IF($A41="","",SUMIFS(Socle!$X$1:$X$1000,Socle!$C$1:$C$1000,$A41,Socle!$D$1:$D$1000,$C41,Socle!$E$1:$E$1000,$D41,Socle!$F$1:$F$1000,$E41,Socle!$G$1:$G$1000,"2026"))</f>
        <v/>
      </c>
      <c r="L41" t="str">
        <f>IF($A41="","",SUMIFS(Socle!$Y$1:$Y$1000,Socle!$C$1:$C$1000,$A41,Socle!$D$1:$D$1000,$C41,Socle!$E$1:$E$1000,$D41,Socle!$F$1:$F$1000,$E41,Socle!$G$1:$G$1000,"2026"))</f>
        <v/>
      </c>
      <c r="M41" t="str">
        <f>IF($A41="","",SUMIFS(Socle!$V$1:$V$1000,Socle!$C$1:$C$1000,$A41,Socle!$D$1:$D$1000,$C41,Socle!$E$1:$E$1000,$D41,Socle!$F$1:$F$1000,$E41,Socle!$G$1:$G$1000,"2026"))</f>
        <v/>
      </c>
      <c r="N41" t="str">
        <f t="shared" si="0"/>
        <v/>
      </c>
      <c r="O41" t="str">
        <f>IF($A41="","",SUMIFS(Campagne!$D$1:$D$15,Campagne!$C$1:$C$15,$A41))</f>
        <v/>
      </c>
      <c r="P41" t="str">
        <f>IF($A41="","",SUMIFS(Campagne!$E$1:$E$15,Campagne!$C$1:$C$15,$A41))</f>
        <v/>
      </c>
      <c r="Q41" t="str">
        <f>IF($A41="","",SUMIFS(Campagne!$F$1:$F$15,Campagne!$C$1:$C$15,$A41))</f>
        <v/>
      </c>
      <c r="R41" t="str">
        <f>IF($A41="","",SUMIFS(Campagne!$K$1:$K$15,Campagne!$C$1:$C$15,$A41))</f>
        <v/>
      </c>
      <c r="S41" t="str">
        <f>IF($A41="","",SUMIFS(Campagne!$M$1:$M$15,Campagne!$C$1:$C$15,$A41))</f>
        <v/>
      </c>
      <c r="T41" t="str">
        <f>IF($A41="","",SUMIFS(PIL!$K$15:$K$28,PIL!$A$15:$A$28,$A41)*SUMIFS(PIL!$J$15:$J$28,PIL!$A$15:$A$28,$A41)*(SUM(PIL!$K$15:$K$28)/SUMPRODUCT(PIL!$K$15:$K$28,PIL!$J$15:$J$28)))</f>
        <v/>
      </c>
      <c r="U41" t="str">
        <f>IF($A41="","",SUMIFS(PIL!$K$15:$K$28,PIL!$A$15:$A$28,$A41))</f>
        <v/>
      </c>
      <c r="V41" t="str">
        <f t="shared" si="1"/>
        <v/>
      </c>
      <c r="W41" t="str">
        <f t="shared" si="2"/>
        <v/>
      </c>
      <c r="X41" t="str">
        <f t="shared" si="3"/>
        <v/>
      </c>
      <c r="Y41" t="str">
        <f t="shared" si="4"/>
        <v/>
      </c>
      <c r="Z41" t="str">
        <f t="shared" si="5"/>
        <v/>
      </c>
      <c r="AA41" t="str">
        <f t="shared" si="6"/>
        <v/>
      </c>
      <c r="AB41" t="str">
        <f t="shared" si="7"/>
        <v/>
      </c>
      <c r="AC41" t="str">
        <f t="shared" si="8"/>
        <v/>
      </c>
      <c r="AD41" t="str">
        <f t="shared" si="9"/>
        <v/>
      </c>
      <c r="AE41" t="str">
        <f t="shared" si="10"/>
        <v/>
      </c>
      <c r="AF41" t="str">
        <f t="shared" si="11"/>
        <v/>
      </c>
      <c r="AG41" t="str">
        <f t="shared" si="12"/>
        <v/>
      </c>
      <c r="AH41" t="str">
        <f t="shared" si="13"/>
        <v/>
      </c>
    </row>
    <row r="42" spans="1:34" x14ac:dyDescent="0.45">
      <c r="A42" t="str">
        <f>IF(Moteur!D42="","",Moteur!D42)</f>
        <v/>
      </c>
      <c r="B42" t="str">
        <f>IF(Moteur!B42="","",Moteur!B42)</f>
        <v/>
      </c>
      <c r="C42" t="str">
        <f>IF(Moteur!F42="","",Moteur!F42)</f>
        <v/>
      </c>
      <c r="D42" t="str">
        <f>IF(Moteur!G42="","",Moteur!G42)</f>
        <v/>
      </c>
      <c r="E42" t="str">
        <f>IF(Moteur!H42="","",Moteur!H42)</f>
        <v/>
      </c>
      <c r="F42" t="str">
        <f>IF(Moteur!E42="","",Moteur!E42)</f>
        <v/>
      </c>
      <c r="G42" t="str">
        <f>IF($A42="","",SUMIFS(Socle!$H$1:$H$1000,Socle!$C$1:$C$1000,$A42,Socle!$D$1:$D$1000,$C42,Socle!$E$1:$E$1000,$D42,Socle!$F$1:$F$1000,$E42,Socle!$G$1:$G$1000,"2026"))</f>
        <v/>
      </c>
      <c r="H42" t="str">
        <f>IF($A42="","",SUMIFS(Socle!$N$1:$N$1000,Socle!$C$1:$C$1000,$A42,Socle!$D$1:$D$1000,$C42,Socle!$E$1:$E$1000,$D42,Socle!$F$1:$F$1000,$E42,Socle!$G$1:$G$1000,"2026"))</f>
        <v/>
      </c>
      <c r="I42" t="str">
        <f>IF($A42="","",SUMIFS(Socle!$P$1:$P$1000,Socle!$C$1:$C$1000,$A42,Socle!$D$1:$D$1000,$C42,Socle!$E$1:$E$1000,$D42,Socle!$F$1:$F$1000,$E42,Socle!$G$1:$G$1000,"2026"))</f>
        <v/>
      </c>
      <c r="J42" t="str">
        <f>IF($A42="","",SUMIFS(Socle!$W$1:$W$1000,Socle!$C$1:$C$1000,$A42,Socle!$D$1:$D$1000,$C42,Socle!$E$1:$E$1000,$D42,Socle!$F$1:$F$1000,$E42,Socle!$G$1:$G$1000,"2026"))</f>
        <v/>
      </c>
      <c r="K42" t="str">
        <f>IF($A42="","",SUMIFS(Socle!$X$1:$X$1000,Socle!$C$1:$C$1000,$A42,Socle!$D$1:$D$1000,$C42,Socle!$E$1:$E$1000,$D42,Socle!$F$1:$F$1000,$E42,Socle!$G$1:$G$1000,"2026"))</f>
        <v/>
      </c>
      <c r="L42" t="str">
        <f>IF($A42="","",SUMIFS(Socle!$Y$1:$Y$1000,Socle!$C$1:$C$1000,$A42,Socle!$D$1:$D$1000,$C42,Socle!$E$1:$E$1000,$D42,Socle!$F$1:$F$1000,$E42,Socle!$G$1:$G$1000,"2026"))</f>
        <v/>
      </c>
      <c r="M42" t="str">
        <f>IF($A42="","",SUMIFS(Socle!$V$1:$V$1000,Socle!$C$1:$C$1000,$A42,Socle!$D$1:$D$1000,$C42,Socle!$E$1:$E$1000,$D42,Socle!$F$1:$F$1000,$E42,Socle!$G$1:$G$1000,"2026"))</f>
        <v/>
      </c>
      <c r="N42" t="str">
        <f t="shared" si="0"/>
        <v/>
      </c>
      <c r="O42" t="str">
        <f>IF($A42="","",SUMIFS(Campagne!$D$1:$D$15,Campagne!$C$1:$C$15,$A42))</f>
        <v/>
      </c>
      <c r="P42" t="str">
        <f>IF($A42="","",SUMIFS(Campagne!$E$1:$E$15,Campagne!$C$1:$C$15,$A42))</f>
        <v/>
      </c>
      <c r="Q42" t="str">
        <f>IF($A42="","",SUMIFS(Campagne!$F$1:$F$15,Campagne!$C$1:$C$15,$A42))</f>
        <v/>
      </c>
      <c r="R42" t="str">
        <f>IF($A42="","",SUMIFS(Campagne!$K$1:$K$15,Campagne!$C$1:$C$15,$A42))</f>
        <v/>
      </c>
      <c r="S42" t="str">
        <f>IF($A42="","",SUMIFS(Campagne!$M$1:$M$15,Campagne!$C$1:$C$15,$A42))</f>
        <v/>
      </c>
      <c r="T42" t="str">
        <f>IF($A42="","",SUMIFS(PIL!$K$15:$K$28,PIL!$A$15:$A$28,$A42)*SUMIFS(PIL!$J$15:$J$28,PIL!$A$15:$A$28,$A42)*(SUM(PIL!$K$15:$K$28)/SUMPRODUCT(PIL!$K$15:$K$28,PIL!$J$15:$J$28)))</f>
        <v/>
      </c>
      <c r="U42" t="str">
        <f>IF($A42="","",SUMIFS(PIL!$K$15:$K$28,PIL!$A$15:$A$28,$A42))</f>
        <v/>
      </c>
      <c r="V42" t="str">
        <f t="shared" si="1"/>
        <v/>
      </c>
      <c r="W42" t="str">
        <f t="shared" si="2"/>
        <v/>
      </c>
      <c r="X42" t="str">
        <f t="shared" si="3"/>
        <v/>
      </c>
      <c r="Y42" t="str">
        <f t="shared" si="4"/>
        <v/>
      </c>
      <c r="Z42" t="str">
        <f t="shared" si="5"/>
        <v/>
      </c>
      <c r="AA42" t="str">
        <f t="shared" si="6"/>
        <v/>
      </c>
      <c r="AB42" t="str">
        <f t="shared" si="7"/>
        <v/>
      </c>
      <c r="AC42" t="str">
        <f t="shared" si="8"/>
        <v/>
      </c>
      <c r="AD42" t="str">
        <f t="shared" si="9"/>
        <v/>
      </c>
      <c r="AE42" t="str">
        <f t="shared" si="10"/>
        <v/>
      </c>
      <c r="AF42" t="str">
        <f t="shared" si="11"/>
        <v/>
      </c>
      <c r="AG42" t="str">
        <f t="shared" si="12"/>
        <v/>
      </c>
      <c r="AH42" t="str">
        <f t="shared" si="13"/>
        <v/>
      </c>
    </row>
    <row r="43" spans="1:34" x14ac:dyDescent="0.45">
      <c r="A43" t="str">
        <f>IF(Moteur!D43="","",Moteur!D43)</f>
        <v/>
      </c>
      <c r="B43" t="str">
        <f>IF(Moteur!B43="","",Moteur!B43)</f>
        <v/>
      </c>
      <c r="C43" t="str">
        <f>IF(Moteur!F43="","",Moteur!F43)</f>
        <v/>
      </c>
      <c r="D43" t="str">
        <f>IF(Moteur!G43="","",Moteur!G43)</f>
        <v/>
      </c>
      <c r="E43" t="str">
        <f>IF(Moteur!H43="","",Moteur!H43)</f>
        <v/>
      </c>
      <c r="F43" t="str">
        <f>IF(Moteur!E43="","",Moteur!E43)</f>
        <v/>
      </c>
      <c r="G43" t="str">
        <f>IF($A43="","",SUMIFS(Socle!$H$1:$H$1000,Socle!$C$1:$C$1000,$A43,Socle!$D$1:$D$1000,$C43,Socle!$E$1:$E$1000,$D43,Socle!$F$1:$F$1000,$E43,Socle!$G$1:$G$1000,"2026"))</f>
        <v/>
      </c>
      <c r="H43" t="str">
        <f>IF($A43="","",SUMIFS(Socle!$N$1:$N$1000,Socle!$C$1:$C$1000,$A43,Socle!$D$1:$D$1000,$C43,Socle!$E$1:$E$1000,$D43,Socle!$F$1:$F$1000,$E43,Socle!$G$1:$G$1000,"2026"))</f>
        <v/>
      </c>
      <c r="I43" t="str">
        <f>IF($A43="","",SUMIFS(Socle!$P$1:$P$1000,Socle!$C$1:$C$1000,$A43,Socle!$D$1:$D$1000,$C43,Socle!$E$1:$E$1000,$D43,Socle!$F$1:$F$1000,$E43,Socle!$G$1:$G$1000,"2026"))</f>
        <v/>
      </c>
      <c r="J43" t="str">
        <f>IF($A43="","",SUMIFS(Socle!$W$1:$W$1000,Socle!$C$1:$C$1000,$A43,Socle!$D$1:$D$1000,$C43,Socle!$E$1:$E$1000,$D43,Socle!$F$1:$F$1000,$E43,Socle!$G$1:$G$1000,"2026"))</f>
        <v/>
      </c>
      <c r="K43" t="str">
        <f>IF($A43="","",SUMIFS(Socle!$X$1:$X$1000,Socle!$C$1:$C$1000,$A43,Socle!$D$1:$D$1000,$C43,Socle!$E$1:$E$1000,$D43,Socle!$F$1:$F$1000,$E43,Socle!$G$1:$G$1000,"2026"))</f>
        <v/>
      </c>
      <c r="L43" t="str">
        <f>IF($A43="","",SUMIFS(Socle!$Y$1:$Y$1000,Socle!$C$1:$C$1000,$A43,Socle!$D$1:$D$1000,$C43,Socle!$E$1:$E$1000,$D43,Socle!$F$1:$F$1000,$E43,Socle!$G$1:$G$1000,"2026"))</f>
        <v/>
      </c>
      <c r="M43" t="str">
        <f>IF($A43="","",SUMIFS(Socle!$V$1:$V$1000,Socle!$C$1:$C$1000,$A43,Socle!$D$1:$D$1000,$C43,Socle!$E$1:$E$1000,$D43,Socle!$F$1:$F$1000,$E43,Socle!$G$1:$G$1000,"2026"))</f>
        <v/>
      </c>
      <c r="N43" t="str">
        <f t="shared" si="0"/>
        <v/>
      </c>
      <c r="O43" t="str">
        <f>IF($A43="","",SUMIFS(Campagne!$D$1:$D$15,Campagne!$C$1:$C$15,$A43))</f>
        <v/>
      </c>
      <c r="P43" t="str">
        <f>IF($A43="","",SUMIFS(Campagne!$E$1:$E$15,Campagne!$C$1:$C$15,$A43))</f>
        <v/>
      </c>
      <c r="Q43" t="str">
        <f>IF($A43="","",SUMIFS(Campagne!$F$1:$F$15,Campagne!$C$1:$C$15,$A43))</f>
        <v/>
      </c>
      <c r="R43" t="str">
        <f>IF($A43="","",SUMIFS(Campagne!$K$1:$K$15,Campagne!$C$1:$C$15,$A43))</f>
        <v/>
      </c>
      <c r="S43" t="str">
        <f>IF($A43="","",SUMIFS(Campagne!$M$1:$M$15,Campagne!$C$1:$C$15,$A43))</f>
        <v/>
      </c>
      <c r="T43" t="str">
        <f>IF($A43="","",SUMIFS(PIL!$K$15:$K$28,PIL!$A$15:$A$28,$A43)*SUMIFS(PIL!$J$15:$J$28,PIL!$A$15:$A$28,$A43)*(SUM(PIL!$K$15:$K$28)/SUMPRODUCT(PIL!$K$15:$K$28,PIL!$J$15:$J$28)))</f>
        <v/>
      </c>
      <c r="U43" t="str">
        <f>IF($A43="","",SUMIFS(PIL!$K$15:$K$28,PIL!$A$15:$A$28,$A43))</f>
        <v/>
      </c>
      <c r="V43" t="str">
        <f t="shared" si="1"/>
        <v/>
      </c>
      <c r="W43" t="str">
        <f t="shared" si="2"/>
        <v/>
      </c>
      <c r="X43" t="str">
        <f t="shared" si="3"/>
        <v/>
      </c>
      <c r="Y43" t="str">
        <f t="shared" si="4"/>
        <v/>
      </c>
      <c r="Z43" t="str">
        <f t="shared" si="5"/>
        <v/>
      </c>
      <c r="AA43" t="str">
        <f t="shared" si="6"/>
        <v/>
      </c>
      <c r="AB43" t="str">
        <f t="shared" si="7"/>
        <v/>
      </c>
      <c r="AC43" t="str">
        <f t="shared" si="8"/>
        <v/>
      </c>
      <c r="AD43" t="str">
        <f t="shared" si="9"/>
        <v/>
      </c>
      <c r="AE43" t="str">
        <f t="shared" si="10"/>
        <v/>
      </c>
      <c r="AF43" t="str">
        <f t="shared" si="11"/>
        <v/>
      </c>
      <c r="AG43" t="str">
        <f t="shared" si="12"/>
        <v/>
      </c>
      <c r="AH43" t="str">
        <f t="shared" si="13"/>
        <v/>
      </c>
    </row>
    <row r="44" spans="1:34" x14ac:dyDescent="0.45">
      <c r="A44" t="str">
        <f>IF(Moteur!D44="","",Moteur!D44)</f>
        <v/>
      </c>
      <c r="B44" t="str">
        <f>IF(Moteur!B44="","",Moteur!B44)</f>
        <v/>
      </c>
      <c r="C44" t="str">
        <f>IF(Moteur!F44="","",Moteur!F44)</f>
        <v/>
      </c>
      <c r="D44" t="str">
        <f>IF(Moteur!G44="","",Moteur!G44)</f>
        <v/>
      </c>
      <c r="E44" t="str">
        <f>IF(Moteur!H44="","",Moteur!H44)</f>
        <v/>
      </c>
      <c r="F44" t="str">
        <f>IF(Moteur!E44="","",Moteur!E44)</f>
        <v/>
      </c>
      <c r="G44" t="str">
        <f>IF($A44="","",SUMIFS(Socle!$H$1:$H$1000,Socle!$C$1:$C$1000,$A44,Socle!$D$1:$D$1000,$C44,Socle!$E$1:$E$1000,$D44,Socle!$F$1:$F$1000,$E44,Socle!$G$1:$G$1000,"2026"))</f>
        <v/>
      </c>
      <c r="H44" t="str">
        <f>IF($A44="","",SUMIFS(Socle!$N$1:$N$1000,Socle!$C$1:$C$1000,$A44,Socle!$D$1:$D$1000,$C44,Socle!$E$1:$E$1000,$D44,Socle!$F$1:$F$1000,$E44,Socle!$G$1:$G$1000,"2026"))</f>
        <v/>
      </c>
      <c r="I44" t="str">
        <f>IF($A44="","",SUMIFS(Socle!$P$1:$P$1000,Socle!$C$1:$C$1000,$A44,Socle!$D$1:$D$1000,$C44,Socle!$E$1:$E$1000,$D44,Socle!$F$1:$F$1000,$E44,Socle!$G$1:$G$1000,"2026"))</f>
        <v/>
      </c>
      <c r="J44" t="str">
        <f>IF($A44="","",SUMIFS(Socle!$W$1:$W$1000,Socle!$C$1:$C$1000,$A44,Socle!$D$1:$D$1000,$C44,Socle!$E$1:$E$1000,$D44,Socle!$F$1:$F$1000,$E44,Socle!$G$1:$G$1000,"2026"))</f>
        <v/>
      </c>
      <c r="K44" t="str">
        <f>IF($A44="","",SUMIFS(Socle!$X$1:$X$1000,Socle!$C$1:$C$1000,$A44,Socle!$D$1:$D$1000,$C44,Socle!$E$1:$E$1000,$D44,Socle!$F$1:$F$1000,$E44,Socle!$G$1:$G$1000,"2026"))</f>
        <v/>
      </c>
      <c r="L44" t="str">
        <f>IF($A44="","",SUMIFS(Socle!$Y$1:$Y$1000,Socle!$C$1:$C$1000,$A44,Socle!$D$1:$D$1000,$C44,Socle!$E$1:$E$1000,$D44,Socle!$F$1:$F$1000,$E44,Socle!$G$1:$G$1000,"2026"))</f>
        <v/>
      </c>
      <c r="M44" t="str">
        <f>IF($A44="","",SUMIFS(Socle!$V$1:$V$1000,Socle!$C$1:$C$1000,$A44,Socle!$D$1:$D$1000,$C44,Socle!$E$1:$E$1000,$D44,Socle!$F$1:$F$1000,$E44,Socle!$G$1:$G$1000,"2026"))</f>
        <v/>
      </c>
      <c r="N44" t="str">
        <f t="shared" si="0"/>
        <v/>
      </c>
      <c r="O44" t="str">
        <f>IF($A44="","",SUMIFS(Campagne!$D$1:$D$15,Campagne!$C$1:$C$15,$A44))</f>
        <v/>
      </c>
      <c r="P44" t="str">
        <f>IF($A44="","",SUMIFS(Campagne!$E$1:$E$15,Campagne!$C$1:$C$15,$A44))</f>
        <v/>
      </c>
      <c r="Q44" t="str">
        <f>IF($A44="","",SUMIFS(Campagne!$F$1:$F$15,Campagne!$C$1:$C$15,$A44))</f>
        <v/>
      </c>
      <c r="R44" t="str">
        <f>IF($A44="","",SUMIFS(Campagne!$K$1:$K$15,Campagne!$C$1:$C$15,$A44))</f>
        <v/>
      </c>
      <c r="S44" t="str">
        <f>IF($A44="","",SUMIFS(Campagne!$M$1:$M$15,Campagne!$C$1:$C$15,$A44))</f>
        <v/>
      </c>
      <c r="T44" t="str">
        <f>IF($A44="","",SUMIFS(PIL!$K$15:$K$28,PIL!$A$15:$A$28,$A44)*SUMIFS(PIL!$J$15:$J$28,PIL!$A$15:$A$28,$A44)*(SUM(PIL!$K$15:$K$28)/SUMPRODUCT(PIL!$K$15:$K$28,PIL!$J$15:$J$28)))</f>
        <v/>
      </c>
      <c r="U44" t="str">
        <f>IF($A44="","",SUMIFS(PIL!$K$15:$K$28,PIL!$A$15:$A$28,$A44))</f>
        <v/>
      </c>
      <c r="V44" t="str">
        <f t="shared" si="1"/>
        <v/>
      </c>
      <c r="W44" t="str">
        <f t="shared" si="2"/>
        <v/>
      </c>
      <c r="X44" t="str">
        <f t="shared" si="3"/>
        <v/>
      </c>
      <c r="Y44" t="str">
        <f t="shared" si="4"/>
        <v/>
      </c>
      <c r="Z44" t="str">
        <f t="shared" si="5"/>
        <v/>
      </c>
      <c r="AA44" t="str">
        <f t="shared" si="6"/>
        <v/>
      </c>
      <c r="AB44" t="str">
        <f t="shared" si="7"/>
        <v/>
      </c>
      <c r="AC44" t="str">
        <f t="shared" si="8"/>
        <v/>
      </c>
      <c r="AD44" t="str">
        <f t="shared" si="9"/>
        <v/>
      </c>
      <c r="AE44" t="str">
        <f t="shared" si="10"/>
        <v/>
      </c>
      <c r="AF44" t="str">
        <f t="shared" si="11"/>
        <v/>
      </c>
      <c r="AG44" t="str">
        <f t="shared" si="12"/>
        <v/>
      </c>
      <c r="AH44" t="str">
        <f t="shared" si="13"/>
        <v/>
      </c>
    </row>
    <row r="45" spans="1:34" x14ac:dyDescent="0.45">
      <c r="A45" t="str">
        <f>IF(Moteur!D45="","",Moteur!D45)</f>
        <v/>
      </c>
      <c r="B45" t="str">
        <f>IF(Moteur!B45="","",Moteur!B45)</f>
        <v/>
      </c>
      <c r="C45" t="str">
        <f>IF(Moteur!F45="","",Moteur!F45)</f>
        <v/>
      </c>
      <c r="D45" t="str">
        <f>IF(Moteur!G45="","",Moteur!G45)</f>
        <v/>
      </c>
      <c r="E45" t="str">
        <f>IF(Moteur!H45="","",Moteur!H45)</f>
        <v/>
      </c>
      <c r="F45" t="str">
        <f>IF(Moteur!E45="","",Moteur!E45)</f>
        <v/>
      </c>
      <c r="G45" t="str">
        <f>IF($A45="","",SUMIFS(Socle!$H$1:$H$1000,Socle!$C$1:$C$1000,$A45,Socle!$D$1:$D$1000,$C45,Socle!$E$1:$E$1000,$D45,Socle!$F$1:$F$1000,$E45,Socle!$G$1:$G$1000,"2026"))</f>
        <v/>
      </c>
      <c r="H45" t="str">
        <f>IF($A45="","",SUMIFS(Socle!$N$1:$N$1000,Socle!$C$1:$C$1000,$A45,Socle!$D$1:$D$1000,$C45,Socle!$E$1:$E$1000,$D45,Socle!$F$1:$F$1000,$E45,Socle!$G$1:$G$1000,"2026"))</f>
        <v/>
      </c>
      <c r="I45" t="str">
        <f>IF($A45="","",SUMIFS(Socle!$P$1:$P$1000,Socle!$C$1:$C$1000,$A45,Socle!$D$1:$D$1000,$C45,Socle!$E$1:$E$1000,$D45,Socle!$F$1:$F$1000,$E45,Socle!$G$1:$G$1000,"2026"))</f>
        <v/>
      </c>
      <c r="J45" t="str">
        <f>IF($A45="","",SUMIFS(Socle!$W$1:$W$1000,Socle!$C$1:$C$1000,$A45,Socle!$D$1:$D$1000,$C45,Socle!$E$1:$E$1000,$D45,Socle!$F$1:$F$1000,$E45,Socle!$G$1:$G$1000,"2026"))</f>
        <v/>
      </c>
      <c r="K45" t="str">
        <f>IF($A45="","",SUMIFS(Socle!$X$1:$X$1000,Socle!$C$1:$C$1000,$A45,Socle!$D$1:$D$1000,$C45,Socle!$E$1:$E$1000,$D45,Socle!$F$1:$F$1000,$E45,Socle!$G$1:$G$1000,"2026"))</f>
        <v/>
      </c>
      <c r="L45" t="str">
        <f>IF($A45="","",SUMIFS(Socle!$Y$1:$Y$1000,Socle!$C$1:$C$1000,$A45,Socle!$D$1:$D$1000,$C45,Socle!$E$1:$E$1000,$D45,Socle!$F$1:$F$1000,$E45,Socle!$G$1:$G$1000,"2026"))</f>
        <v/>
      </c>
      <c r="M45" t="str">
        <f>IF($A45="","",SUMIFS(Socle!$V$1:$V$1000,Socle!$C$1:$C$1000,$A45,Socle!$D$1:$D$1000,$C45,Socle!$E$1:$E$1000,$D45,Socle!$F$1:$F$1000,$E45,Socle!$G$1:$G$1000,"2026"))</f>
        <v/>
      </c>
      <c r="N45" t="str">
        <f t="shared" si="0"/>
        <v/>
      </c>
      <c r="O45" t="str">
        <f>IF($A45="","",SUMIFS(Campagne!$D$1:$D$15,Campagne!$C$1:$C$15,$A45))</f>
        <v/>
      </c>
      <c r="P45" t="str">
        <f>IF($A45="","",SUMIFS(Campagne!$E$1:$E$15,Campagne!$C$1:$C$15,$A45))</f>
        <v/>
      </c>
      <c r="Q45" t="str">
        <f>IF($A45="","",SUMIFS(Campagne!$F$1:$F$15,Campagne!$C$1:$C$15,$A45))</f>
        <v/>
      </c>
      <c r="R45" t="str">
        <f>IF($A45="","",SUMIFS(Campagne!$K$1:$K$15,Campagne!$C$1:$C$15,$A45))</f>
        <v/>
      </c>
      <c r="S45" t="str">
        <f>IF($A45="","",SUMIFS(Campagne!$M$1:$M$15,Campagne!$C$1:$C$15,$A45))</f>
        <v/>
      </c>
      <c r="T45" t="str">
        <f>IF($A45="","",SUMIFS(PIL!$K$15:$K$28,PIL!$A$15:$A$28,$A45)*SUMIFS(PIL!$J$15:$J$28,PIL!$A$15:$A$28,$A45)*(SUM(PIL!$K$15:$K$28)/SUMPRODUCT(PIL!$K$15:$K$28,PIL!$J$15:$J$28)))</f>
        <v/>
      </c>
      <c r="U45" t="str">
        <f>IF($A45="","",SUMIFS(PIL!$K$15:$K$28,PIL!$A$15:$A$28,$A45))</f>
        <v/>
      </c>
      <c r="V45" t="str">
        <f t="shared" si="1"/>
        <v/>
      </c>
      <c r="W45" t="str">
        <f t="shared" si="2"/>
        <v/>
      </c>
      <c r="X45" t="str">
        <f t="shared" si="3"/>
        <v/>
      </c>
      <c r="Y45" t="str">
        <f t="shared" si="4"/>
        <v/>
      </c>
      <c r="Z45" t="str">
        <f t="shared" si="5"/>
        <v/>
      </c>
      <c r="AA45" t="str">
        <f t="shared" si="6"/>
        <v/>
      </c>
      <c r="AB45" t="str">
        <f t="shared" si="7"/>
        <v/>
      </c>
      <c r="AC45" t="str">
        <f t="shared" si="8"/>
        <v/>
      </c>
      <c r="AD45" t="str">
        <f t="shared" si="9"/>
        <v/>
      </c>
      <c r="AE45" t="str">
        <f t="shared" si="10"/>
        <v/>
      </c>
      <c r="AF45" t="str">
        <f t="shared" si="11"/>
        <v/>
      </c>
      <c r="AG45" t="str">
        <f t="shared" si="12"/>
        <v/>
      </c>
      <c r="AH45" t="str">
        <f t="shared" si="13"/>
        <v/>
      </c>
    </row>
    <row r="46" spans="1:34" x14ac:dyDescent="0.45">
      <c r="A46" t="str">
        <f>IF(Moteur!D46="","",Moteur!D46)</f>
        <v/>
      </c>
      <c r="B46" t="str">
        <f>IF(Moteur!B46="","",Moteur!B46)</f>
        <v/>
      </c>
      <c r="C46" t="str">
        <f>IF(Moteur!F46="","",Moteur!F46)</f>
        <v/>
      </c>
      <c r="D46" t="str">
        <f>IF(Moteur!G46="","",Moteur!G46)</f>
        <v/>
      </c>
      <c r="E46" t="str">
        <f>IF(Moteur!H46="","",Moteur!H46)</f>
        <v/>
      </c>
      <c r="F46" t="str">
        <f>IF(Moteur!E46="","",Moteur!E46)</f>
        <v/>
      </c>
      <c r="G46" t="str">
        <f>IF($A46="","",SUMIFS(Socle!$H$1:$H$1000,Socle!$C$1:$C$1000,$A46,Socle!$D$1:$D$1000,$C46,Socle!$E$1:$E$1000,$D46,Socle!$F$1:$F$1000,$E46,Socle!$G$1:$G$1000,"2026"))</f>
        <v/>
      </c>
      <c r="H46" t="str">
        <f>IF($A46="","",SUMIFS(Socle!$N$1:$N$1000,Socle!$C$1:$C$1000,$A46,Socle!$D$1:$D$1000,$C46,Socle!$E$1:$E$1000,$D46,Socle!$F$1:$F$1000,$E46,Socle!$G$1:$G$1000,"2026"))</f>
        <v/>
      </c>
      <c r="I46" t="str">
        <f>IF($A46="","",SUMIFS(Socle!$P$1:$P$1000,Socle!$C$1:$C$1000,$A46,Socle!$D$1:$D$1000,$C46,Socle!$E$1:$E$1000,$D46,Socle!$F$1:$F$1000,$E46,Socle!$G$1:$G$1000,"2026"))</f>
        <v/>
      </c>
      <c r="J46" t="str">
        <f>IF($A46="","",SUMIFS(Socle!$W$1:$W$1000,Socle!$C$1:$C$1000,$A46,Socle!$D$1:$D$1000,$C46,Socle!$E$1:$E$1000,$D46,Socle!$F$1:$F$1000,$E46,Socle!$G$1:$G$1000,"2026"))</f>
        <v/>
      </c>
      <c r="K46" t="str">
        <f>IF($A46="","",SUMIFS(Socle!$X$1:$X$1000,Socle!$C$1:$C$1000,$A46,Socle!$D$1:$D$1000,$C46,Socle!$E$1:$E$1000,$D46,Socle!$F$1:$F$1000,$E46,Socle!$G$1:$G$1000,"2026"))</f>
        <v/>
      </c>
      <c r="L46" t="str">
        <f>IF($A46="","",SUMIFS(Socle!$Y$1:$Y$1000,Socle!$C$1:$C$1000,$A46,Socle!$D$1:$D$1000,$C46,Socle!$E$1:$E$1000,$D46,Socle!$F$1:$F$1000,$E46,Socle!$G$1:$G$1000,"2026"))</f>
        <v/>
      </c>
      <c r="M46" t="str">
        <f>IF($A46="","",SUMIFS(Socle!$V$1:$V$1000,Socle!$C$1:$C$1000,$A46,Socle!$D$1:$D$1000,$C46,Socle!$E$1:$E$1000,$D46,Socle!$F$1:$F$1000,$E46,Socle!$G$1:$G$1000,"2026"))</f>
        <v/>
      </c>
      <c r="N46" t="str">
        <f t="shared" si="0"/>
        <v/>
      </c>
      <c r="O46" t="str">
        <f>IF($A46="","",SUMIFS(Campagne!$D$1:$D$15,Campagne!$C$1:$C$15,$A46))</f>
        <v/>
      </c>
      <c r="P46" t="str">
        <f>IF($A46="","",SUMIFS(Campagne!$E$1:$E$15,Campagne!$C$1:$C$15,$A46))</f>
        <v/>
      </c>
      <c r="Q46" t="str">
        <f>IF($A46="","",SUMIFS(Campagne!$F$1:$F$15,Campagne!$C$1:$C$15,$A46))</f>
        <v/>
      </c>
      <c r="R46" t="str">
        <f>IF($A46="","",SUMIFS(Campagne!$K$1:$K$15,Campagne!$C$1:$C$15,$A46))</f>
        <v/>
      </c>
      <c r="S46" t="str">
        <f>IF($A46="","",SUMIFS(Campagne!$M$1:$M$15,Campagne!$C$1:$C$15,$A46))</f>
        <v/>
      </c>
      <c r="T46" t="str">
        <f>IF($A46="","",SUMIFS(PIL!$K$15:$K$28,PIL!$A$15:$A$28,$A46)*SUMIFS(PIL!$J$15:$J$28,PIL!$A$15:$A$28,$A46)*(SUM(PIL!$K$15:$K$28)/SUMPRODUCT(PIL!$K$15:$K$28,PIL!$J$15:$J$28)))</f>
        <v/>
      </c>
      <c r="U46" t="str">
        <f>IF($A46="","",SUMIFS(PIL!$K$15:$K$28,PIL!$A$15:$A$28,$A46))</f>
        <v/>
      </c>
      <c r="V46" t="str">
        <f t="shared" si="1"/>
        <v/>
      </c>
      <c r="W46" t="str">
        <f t="shared" si="2"/>
        <v/>
      </c>
      <c r="X46" t="str">
        <f t="shared" si="3"/>
        <v/>
      </c>
      <c r="Y46" t="str">
        <f t="shared" si="4"/>
        <v/>
      </c>
      <c r="Z46" t="str">
        <f t="shared" si="5"/>
        <v/>
      </c>
      <c r="AA46" t="str">
        <f t="shared" si="6"/>
        <v/>
      </c>
      <c r="AB46" t="str">
        <f t="shared" si="7"/>
        <v/>
      </c>
      <c r="AC46" t="str">
        <f t="shared" si="8"/>
        <v/>
      </c>
      <c r="AD46" t="str">
        <f t="shared" si="9"/>
        <v/>
      </c>
      <c r="AE46" t="str">
        <f t="shared" si="10"/>
        <v/>
      </c>
      <c r="AF46" t="str">
        <f t="shared" si="11"/>
        <v/>
      </c>
      <c r="AG46" t="str">
        <f t="shared" si="12"/>
        <v/>
      </c>
      <c r="AH46" t="str">
        <f t="shared" si="13"/>
        <v/>
      </c>
    </row>
    <row r="47" spans="1:34" x14ac:dyDescent="0.45">
      <c r="A47" t="str">
        <f>IF(Moteur!D47="","",Moteur!D47)</f>
        <v/>
      </c>
      <c r="B47" t="str">
        <f>IF(Moteur!B47="","",Moteur!B47)</f>
        <v/>
      </c>
      <c r="C47" t="str">
        <f>IF(Moteur!F47="","",Moteur!F47)</f>
        <v/>
      </c>
      <c r="D47" t="str">
        <f>IF(Moteur!G47="","",Moteur!G47)</f>
        <v/>
      </c>
      <c r="E47" t="str">
        <f>IF(Moteur!H47="","",Moteur!H47)</f>
        <v/>
      </c>
      <c r="F47" t="str">
        <f>IF(Moteur!E47="","",Moteur!E47)</f>
        <v/>
      </c>
      <c r="G47" t="str">
        <f>IF($A47="","",SUMIFS(Socle!$H$1:$H$1000,Socle!$C$1:$C$1000,$A47,Socle!$D$1:$D$1000,$C47,Socle!$E$1:$E$1000,$D47,Socle!$F$1:$F$1000,$E47,Socle!$G$1:$G$1000,"2026"))</f>
        <v/>
      </c>
      <c r="H47" t="str">
        <f>IF($A47="","",SUMIFS(Socle!$N$1:$N$1000,Socle!$C$1:$C$1000,$A47,Socle!$D$1:$D$1000,$C47,Socle!$E$1:$E$1000,$D47,Socle!$F$1:$F$1000,$E47,Socle!$G$1:$G$1000,"2026"))</f>
        <v/>
      </c>
      <c r="I47" t="str">
        <f>IF($A47="","",SUMIFS(Socle!$P$1:$P$1000,Socle!$C$1:$C$1000,$A47,Socle!$D$1:$D$1000,$C47,Socle!$E$1:$E$1000,$D47,Socle!$F$1:$F$1000,$E47,Socle!$G$1:$G$1000,"2026"))</f>
        <v/>
      </c>
      <c r="J47" t="str">
        <f>IF($A47="","",SUMIFS(Socle!$W$1:$W$1000,Socle!$C$1:$C$1000,$A47,Socle!$D$1:$D$1000,$C47,Socle!$E$1:$E$1000,$D47,Socle!$F$1:$F$1000,$E47,Socle!$G$1:$G$1000,"2026"))</f>
        <v/>
      </c>
      <c r="K47" t="str">
        <f>IF($A47="","",SUMIFS(Socle!$X$1:$X$1000,Socle!$C$1:$C$1000,$A47,Socle!$D$1:$D$1000,$C47,Socle!$E$1:$E$1000,$D47,Socle!$F$1:$F$1000,$E47,Socle!$G$1:$G$1000,"2026"))</f>
        <v/>
      </c>
      <c r="L47" t="str">
        <f>IF($A47="","",SUMIFS(Socle!$Y$1:$Y$1000,Socle!$C$1:$C$1000,$A47,Socle!$D$1:$D$1000,$C47,Socle!$E$1:$E$1000,$D47,Socle!$F$1:$F$1000,$E47,Socle!$G$1:$G$1000,"2026"))</f>
        <v/>
      </c>
      <c r="M47" t="str">
        <f>IF($A47="","",SUMIFS(Socle!$V$1:$V$1000,Socle!$C$1:$C$1000,$A47,Socle!$D$1:$D$1000,$C47,Socle!$E$1:$E$1000,$D47,Socle!$F$1:$F$1000,$E47,Socle!$G$1:$G$1000,"2026"))</f>
        <v/>
      </c>
      <c r="N47" t="str">
        <f t="shared" si="0"/>
        <v/>
      </c>
      <c r="O47" t="str">
        <f>IF($A47="","",SUMIFS(Campagne!$D$1:$D$15,Campagne!$C$1:$C$15,$A47))</f>
        <v/>
      </c>
      <c r="P47" t="str">
        <f>IF($A47="","",SUMIFS(Campagne!$E$1:$E$15,Campagne!$C$1:$C$15,$A47))</f>
        <v/>
      </c>
      <c r="Q47" t="str">
        <f>IF($A47="","",SUMIFS(Campagne!$F$1:$F$15,Campagne!$C$1:$C$15,$A47))</f>
        <v/>
      </c>
      <c r="R47" t="str">
        <f>IF($A47="","",SUMIFS(Campagne!$K$1:$K$15,Campagne!$C$1:$C$15,$A47))</f>
        <v/>
      </c>
      <c r="S47" t="str">
        <f>IF($A47="","",SUMIFS(Campagne!$M$1:$M$15,Campagne!$C$1:$C$15,$A47))</f>
        <v/>
      </c>
      <c r="T47" t="str">
        <f>IF($A47="","",SUMIFS(PIL!$K$15:$K$28,PIL!$A$15:$A$28,$A47)*SUMIFS(PIL!$J$15:$J$28,PIL!$A$15:$A$28,$A47)*(SUM(PIL!$K$15:$K$28)/SUMPRODUCT(PIL!$K$15:$K$28,PIL!$J$15:$J$28)))</f>
        <v/>
      </c>
      <c r="U47" t="str">
        <f>IF($A47="","",SUMIFS(PIL!$K$15:$K$28,PIL!$A$15:$A$28,$A47))</f>
        <v/>
      </c>
      <c r="V47" t="str">
        <f t="shared" si="1"/>
        <v/>
      </c>
      <c r="W47" t="str">
        <f t="shared" si="2"/>
        <v/>
      </c>
      <c r="X47" t="str">
        <f t="shared" si="3"/>
        <v/>
      </c>
      <c r="Y47" t="str">
        <f t="shared" si="4"/>
        <v/>
      </c>
      <c r="Z47" t="str">
        <f t="shared" si="5"/>
        <v/>
      </c>
      <c r="AA47" t="str">
        <f t="shared" si="6"/>
        <v/>
      </c>
      <c r="AB47" t="str">
        <f t="shared" si="7"/>
        <v/>
      </c>
      <c r="AC47" t="str">
        <f t="shared" si="8"/>
        <v/>
      </c>
      <c r="AD47" t="str">
        <f t="shared" si="9"/>
        <v/>
      </c>
      <c r="AE47" t="str">
        <f t="shared" si="10"/>
        <v/>
      </c>
      <c r="AF47" t="str">
        <f t="shared" si="11"/>
        <v/>
      </c>
      <c r="AG47" t="str">
        <f t="shared" si="12"/>
        <v/>
      </c>
      <c r="AH47" t="str">
        <f t="shared" si="13"/>
        <v/>
      </c>
    </row>
    <row r="48" spans="1:34" x14ac:dyDescent="0.45">
      <c r="A48" t="str">
        <f>IF(Moteur!D48="","",Moteur!D48)</f>
        <v/>
      </c>
      <c r="B48" t="str">
        <f>IF(Moteur!B48="","",Moteur!B48)</f>
        <v/>
      </c>
      <c r="C48" t="str">
        <f>IF(Moteur!F48="","",Moteur!F48)</f>
        <v/>
      </c>
      <c r="D48" t="str">
        <f>IF(Moteur!G48="","",Moteur!G48)</f>
        <v/>
      </c>
      <c r="E48" t="str">
        <f>IF(Moteur!H48="","",Moteur!H48)</f>
        <v/>
      </c>
      <c r="F48" t="str">
        <f>IF(Moteur!E48="","",Moteur!E48)</f>
        <v/>
      </c>
      <c r="G48" t="str">
        <f>IF($A48="","",SUMIFS(Socle!$H$1:$H$1000,Socle!$C$1:$C$1000,$A48,Socle!$D$1:$D$1000,$C48,Socle!$E$1:$E$1000,$D48,Socle!$F$1:$F$1000,$E48,Socle!$G$1:$G$1000,"2026"))</f>
        <v/>
      </c>
      <c r="H48" t="str">
        <f>IF($A48="","",SUMIFS(Socle!$N$1:$N$1000,Socle!$C$1:$C$1000,$A48,Socle!$D$1:$D$1000,$C48,Socle!$E$1:$E$1000,$D48,Socle!$F$1:$F$1000,$E48,Socle!$G$1:$G$1000,"2026"))</f>
        <v/>
      </c>
      <c r="I48" t="str">
        <f>IF($A48="","",SUMIFS(Socle!$P$1:$P$1000,Socle!$C$1:$C$1000,$A48,Socle!$D$1:$D$1000,$C48,Socle!$E$1:$E$1000,$D48,Socle!$F$1:$F$1000,$E48,Socle!$G$1:$G$1000,"2026"))</f>
        <v/>
      </c>
      <c r="J48" t="str">
        <f>IF($A48="","",SUMIFS(Socle!$W$1:$W$1000,Socle!$C$1:$C$1000,$A48,Socle!$D$1:$D$1000,$C48,Socle!$E$1:$E$1000,$D48,Socle!$F$1:$F$1000,$E48,Socle!$G$1:$G$1000,"2026"))</f>
        <v/>
      </c>
      <c r="K48" t="str">
        <f>IF($A48="","",SUMIFS(Socle!$X$1:$X$1000,Socle!$C$1:$C$1000,$A48,Socle!$D$1:$D$1000,$C48,Socle!$E$1:$E$1000,$D48,Socle!$F$1:$F$1000,$E48,Socle!$G$1:$G$1000,"2026"))</f>
        <v/>
      </c>
      <c r="L48" t="str">
        <f>IF($A48="","",SUMIFS(Socle!$Y$1:$Y$1000,Socle!$C$1:$C$1000,$A48,Socle!$D$1:$D$1000,$C48,Socle!$E$1:$E$1000,$D48,Socle!$F$1:$F$1000,$E48,Socle!$G$1:$G$1000,"2026"))</f>
        <v/>
      </c>
      <c r="M48" t="str">
        <f>IF($A48="","",SUMIFS(Socle!$V$1:$V$1000,Socle!$C$1:$C$1000,$A48,Socle!$D$1:$D$1000,$C48,Socle!$E$1:$E$1000,$D48,Socle!$F$1:$F$1000,$E48,Socle!$G$1:$G$1000,"2026"))</f>
        <v/>
      </c>
      <c r="N48" t="str">
        <f t="shared" si="0"/>
        <v/>
      </c>
      <c r="O48" t="str">
        <f>IF($A48="","",SUMIFS(Campagne!$D$1:$D$15,Campagne!$C$1:$C$15,$A48))</f>
        <v/>
      </c>
      <c r="P48" t="str">
        <f>IF($A48="","",SUMIFS(Campagne!$E$1:$E$15,Campagne!$C$1:$C$15,$A48))</f>
        <v/>
      </c>
      <c r="Q48" t="str">
        <f>IF($A48="","",SUMIFS(Campagne!$F$1:$F$15,Campagne!$C$1:$C$15,$A48))</f>
        <v/>
      </c>
      <c r="R48" t="str">
        <f>IF($A48="","",SUMIFS(Campagne!$K$1:$K$15,Campagne!$C$1:$C$15,$A48))</f>
        <v/>
      </c>
      <c r="S48" t="str">
        <f>IF($A48="","",SUMIFS(Campagne!$M$1:$M$15,Campagne!$C$1:$C$15,$A48))</f>
        <v/>
      </c>
      <c r="T48" t="str">
        <f>IF($A48="","",SUMIFS(PIL!$K$15:$K$28,PIL!$A$15:$A$28,$A48)*SUMIFS(PIL!$J$15:$J$28,PIL!$A$15:$A$28,$A48)*(SUM(PIL!$K$15:$K$28)/SUMPRODUCT(PIL!$K$15:$K$28,PIL!$J$15:$J$28)))</f>
        <v/>
      </c>
      <c r="U48" t="str">
        <f>IF($A48="","",SUMIFS(PIL!$K$15:$K$28,PIL!$A$15:$A$28,$A48))</f>
        <v/>
      </c>
      <c r="V48" t="str">
        <f t="shared" si="1"/>
        <v/>
      </c>
      <c r="W48" t="str">
        <f t="shared" si="2"/>
        <v/>
      </c>
      <c r="X48" t="str">
        <f t="shared" si="3"/>
        <v/>
      </c>
      <c r="Y48" t="str">
        <f t="shared" si="4"/>
        <v/>
      </c>
      <c r="Z48" t="str">
        <f t="shared" si="5"/>
        <v/>
      </c>
      <c r="AA48" t="str">
        <f t="shared" si="6"/>
        <v/>
      </c>
      <c r="AB48" t="str">
        <f t="shared" si="7"/>
        <v/>
      </c>
      <c r="AC48" t="str">
        <f t="shared" si="8"/>
        <v/>
      </c>
      <c r="AD48" t="str">
        <f t="shared" si="9"/>
        <v/>
      </c>
      <c r="AE48" t="str">
        <f t="shared" si="10"/>
        <v/>
      </c>
      <c r="AF48" t="str">
        <f t="shared" si="11"/>
        <v/>
      </c>
      <c r="AG48" t="str">
        <f t="shared" si="12"/>
        <v/>
      </c>
      <c r="AH48" t="str">
        <f t="shared" si="13"/>
        <v/>
      </c>
    </row>
    <row r="49" spans="1:34" x14ac:dyDescent="0.45">
      <c r="A49" t="str">
        <f>IF(Moteur!D49="","",Moteur!D49)</f>
        <v/>
      </c>
      <c r="B49" t="str">
        <f>IF(Moteur!B49="","",Moteur!B49)</f>
        <v/>
      </c>
      <c r="C49" t="str">
        <f>IF(Moteur!F49="","",Moteur!F49)</f>
        <v/>
      </c>
      <c r="D49" t="str">
        <f>IF(Moteur!G49="","",Moteur!G49)</f>
        <v/>
      </c>
      <c r="E49" t="str">
        <f>IF(Moteur!H49="","",Moteur!H49)</f>
        <v/>
      </c>
      <c r="F49" t="str">
        <f>IF(Moteur!E49="","",Moteur!E49)</f>
        <v/>
      </c>
      <c r="G49" t="str">
        <f>IF($A49="","",SUMIFS(Socle!$H$1:$H$1000,Socle!$C$1:$C$1000,$A49,Socle!$D$1:$D$1000,$C49,Socle!$E$1:$E$1000,$D49,Socle!$F$1:$F$1000,$E49,Socle!$G$1:$G$1000,"2026"))</f>
        <v/>
      </c>
      <c r="H49" t="str">
        <f>IF($A49="","",SUMIFS(Socle!$N$1:$N$1000,Socle!$C$1:$C$1000,$A49,Socle!$D$1:$D$1000,$C49,Socle!$E$1:$E$1000,$D49,Socle!$F$1:$F$1000,$E49,Socle!$G$1:$G$1000,"2026"))</f>
        <v/>
      </c>
      <c r="I49" t="str">
        <f>IF($A49="","",SUMIFS(Socle!$P$1:$P$1000,Socle!$C$1:$C$1000,$A49,Socle!$D$1:$D$1000,$C49,Socle!$E$1:$E$1000,$D49,Socle!$F$1:$F$1000,$E49,Socle!$G$1:$G$1000,"2026"))</f>
        <v/>
      </c>
      <c r="J49" t="str">
        <f>IF($A49="","",SUMIFS(Socle!$W$1:$W$1000,Socle!$C$1:$C$1000,$A49,Socle!$D$1:$D$1000,$C49,Socle!$E$1:$E$1000,$D49,Socle!$F$1:$F$1000,$E49,Socle!$G$1:$G$1000,"2026"))</f>
        <v/>
      </c>
      <c r="K49" t="str">
        <f>IF($A49="","",SUMIFS(Socle!$X$1:$X$1000,Socle!$C$1:$C$1000,$A49,Socle!$D$1:$D$1000,$C49,Socle!$E$1:$E$1000,$D49,Socle!$F$1:$F$1000,$E49,Socle!$G$1:$G$1000,"2026"))</f>
        <v/>
      </c>
      <c r="L49" t="str">
        <f>IF($A49="","",SUMIFS(Socle!$Y$1:$Y$1000,Socle!$C$1:$C$1000,$A49,Socle!$D$1:$D$1000,$C49,Socle!$E$1:$E$1000,$D49,Socle!$F$1:$F$1000,$E49,Socle!$G$1:$G$1000,"2026"))</f>
        <v/>
      </c>
      <c r="M49" t="str">
        <f>IF($A49="","",SUMIFS(Socle!$V$1:$V$1000,Socle!$C$1:$C$1000,$A49,Socle!$D$1:$D$1000,$C49,Socle!$E$1:$E$1000,$D49,Socle!$F$1:$F$1000,$E49,Socle!$G$1:$G$1000,"2026"))</f>
        <v/>
      </c>
      <c r="N49" t="str">
        <f t="shared" si="0"/>
        <v/>
      </c>
      <c r="O49" t="str">
        <f>IF($A49="","",SUMIFS(Campagne!$D$1:$D$15,Campagne!$C$1:$C$15,$A49))</f>
        <v/>
      </c>
      <c r="P49" t="str">
        <f>IF($A49="","",SUMIFS(Campagne!$E$1:$E$15,Campagne!$C$1:$C$15,$A49))</f>
        <v/>
      </c>
      <c r="Q49" t="str">
        <f>IF($A49="","",SUMIFS(Campagne!$F$1:$F$15,Campagne!$C$1:$C$15,$A49))</f>
        <v/>
      </c>
      <c r="R49" t="str">
        <f>IF($A49="","",SUMIFS(Campagne!$K$1:$K$15,Campagne!$C$1:$C$15,$A49))</f>
        <v/>
      </c>
      <c r="S49" t="str">
        <f>IF($A49="","",SUMIFS(Campagne!$M$1:$M$15,Campagne!$C$1:$C$15,$A49))</f>
        <v/>
      </c>
      <c r="T49" t="str">
        <f>IF($A49="","",SUMIFS(PIL!$K$15:$K$28,PIL!$A$15:$A$28,$A49)*SUMIFS(PIL!$J$15:$J$28,PIL!$A$15:$A$28,$A49)*(SUM(PIL!$K$15:$K$28)/SUMPRODUCT(PIL!$K$15:$K$28,PIL!$J$15:$J$28)))</f>
        <v/>
      </c>
      <c r="U49" t="str">
        <f>IF($A49="","",SUMIFS(PIL!$K$15:$K$28,PIL!$A$15:$A$28,$A49))</f>
        <v/>
      </c>
      <c r="V49" t="str">
        <f t="shared" si="1"/>
        <v/>
      </c>
      <c r="W49" t="str">
        <f t="shared" si="2"/>
        <v/>
      </c>
      <c r="X49" t="str">
        <f t="shared" si="3"/>
        <v/>
      </c>
      <c r="Y49" t="str">
        <f t="shared" si="4"/>
        <v/>
      </c>
      <c r="Z49" t="str">
        <f t="shared" si="5"/>
        <v/>
      </c>
      <c r="AA49" t="str">
        <f t="shared" si="6"/>
        <v/>
      </c>
      <c r="AB49" t="str">
        <f t="shared" si="7"/>
        <v/>
      </c>
      <c r="AC49" t="str">
        <f t="shared" si="8"/>
        <v/>
      </c>
      <c r="AD49" t="str">
        <f t="shared" si="9"/>
        <v/>
      </c>
      <c r="AE49" t="str">
        <f t="shared" si="10"/>
        <v/>
      </c>
      <c r="AF49" t="str">
        <f t="shared" si="11"/>
        <v/>
      </c>
      <c r="AG49" t="str">
        <f t="shared" si="12"/>
        <v/>
      </c>
      <c r="AH49" t="str">
        <f t="shared" si="13"/>
        <v/>
      </c>
    </row>
    <row r="50" spans="1:34" x14ac:dyDescent="0.45">
      <c r="A50" t="str">
        <f>IF(Moteur!D50="","",Moteur!D50)</f>
        <v/>
      </c>
      <c r="B50" t="str">
        <f>IF(Moteur!B50="","",Moteur!B50)</f>
        <v/>
      </c>
      <c r="C50" t="str">
        <f>IF(Moteur!F50="","",Moteur!F50)</f>
        <v/>
      </c>
      <c r="D50" t="str">
        <f>IF(Moteur!G50="","",Moteur!G50)</f>
        <v/>
      </c>
      <c r="E50" t="str">
        <f>IF(Moteur!H50="","",Moteur!H50)</f>
        <v/>
      </c>
      <c r="F50" t="str">
        <f>IF(Moteur!E50="","",Moteur!E50)</f>
        <v/>
      </c>
      <c r="G50" t="str">
        <f>IF($A50="","",SUMIFS(Socle!$H$1:$H$1000,Socle!$C$1:$C$1000,$A50,Socle!$D$1:$D$1000,$C50,Socle!$E$1:$E$1000,$D50,Socle!$F$1:$F$1000,$E50,Socle!$G$1:$G$1000,"2026"))</f>
        <v/>
      </c>
      <c r="H50" t="str">
        <f>IF($A50="","",SUMIFS(Socle!$N$1:$N$1000,Socle!$C$1:$C$1000,$A50,Socle!$D$1:$D$1000,$C50,Socle!$E$1:$E$1000,$D50,Socle!$F$1:$F$1000,$E50,Socle!$G$1:$G$1000,"2026"))</f>
        <v/>
      </c>
      <c r="I50" t="str">
        <f>IF($A50="","",SUMIFS(Socle!$P$1:$P$1000,Socle!$C$1:$C$1000,$A50,Socle!$D$1:$D$1000,$C50,Socle!$E$1:$E$1000,$D50,Socle!$F$1:$F$1000,$E50,Socle!$G$1:$G$1000,"2026"))</f>
        <v/>
      </c>
      <c r="J50" t="str">
        <f>IF($A50="","",SUMIFS(Socle!$W$1:$W$1000,Socle!$C$1:$C$1000,$A50,Socle!$D$1:$D$1000,$C50,Socle!$E$1:$E$1000,$D50,Socle!$F$1:$F$1000,$E50,Socle!$G$1:$G$1000,"2026"))</f>
        <v/>
      </c>
      <c r="K50" t="str">
        <f>IF($A50="","",SUMIFS(Socle!$X$1:$X$1000,Socle!$C$1:$C$1000,$A50,Socle!$D$1:$D$1000,$C50,Socle!$E$1:$E$1000,$D50,Socle!$F$1:$F$1000,$E50,Socle!$G$1:$G$1000,"2026"))</f>
        <v/>
      </c>
      <c r="L50" t="str">
        <f>IF($A50="","",SUMIFS(Socle!$Y$1:$Y$1000,Socle!$C$1:$C$1000,$A50,Socle!$D$1:$D$1000,$C50,Socle!$E$1:$E$1000,$D50,Socle!$F$1:$F$1000,$E50,Socle!$G$1:$G$1000,"2026"))</f>
        <v/>
      </c>
      <c r="M50" t="str">
        <f>IF($A50="","",SUMIFS(Socle!$V$1:$V$1000,Socle!$C$1:$C$1000,$A50,Socle!$D$1:$D$1000,$C50,Socle!$E$1:$E$1000,$D50,Socle!$F$1:$F$1000,$E50,Socle!$G$1:$G$1000,"2026"))</f>
        <v/>
      </c>
      <c r="N50" t="str">
        <f t="shared" si="0"/>
        <v/>
      </c>
      <c r="O50" t="str">
        <f>IF($A50="","",SUMIFS(Campagne!$D$1:$D$15,Campagne!$C$1:$C$15,$A50))</f>
        <v/>
      </c>
      <c r="P50" t="str">
        <f>IF($A50="","",SUMIFS(Campagne!$E$1:$E$15,Campagne!$C$1:$C$15,$A50))</f>
        <v/>
      </c>
      <c r="Q50" t="str">
        <f>IF($A50="","",SUMIFS(Campagne!$F$1:$F$15,Campagne!$C$1:$C$15,$A50))</f>
        <v/>
      </c>
      <c r="R50" t="str">
        <f>IF($A50="","",SUMIFS(Campagne!$K$1:$K$15,Campagne!$C$1:$C$15,$A50))</f>
        <v/>
      </c>
      <c r="S50" t="str">
        <f>IF($A50="","",SUMIFS(Campagne!$M$1:$M$15,Campagne!$C$1:$C$15,$A50))</f>
        <v/>
      </c>
      <c r="T50" t="str">
        <f>IF($A50="","",SUMIFS(PIL!$K$15:$K$28,PIL!$A$15:$A$28,$A50)*SUMIFS(PIL!$J$15:$J$28,PIL!$A$15:$A$28,$A50)*(SUM(PIL!$K$15:$K$28)/SUMPRODUCT(PIL!$K$15:$K$28,PIL!$J$15:$J$28)))</f>
        <v/>
      </c>
      <c r="U50" t="str">
        <f>IF($A50="","",SUMIFS(PIL!$K$15:$K$28,PIL!$A$15:$A$28,$A50))</f>
        <v/>
      </c>
      <c r="V50" t="str">
        <f t="shared" si="1"/>
        <v/>
      </c>
      <c r="W50" t="str">
        <f t="shared" si="2"/>
        <v/>
      </c>
      <c r="X50" t="str">
        <f t="shared" si="3"/>
        <v/>
      </c>
      <c r="Y50" t="str">
        <f t="shared" si="4"/>
        <v/>
      </c>
      <c r="Z50" t="str">
        <f t="shared" si="5"/>
        <v/>
      </c>
      <c r="AA50" t="str">
        <f t="shared" si="6"/>
        <v/>
      </c>
      <c r="AB50" t="str">
        <f t="shared" si="7"/>
        <v/>
      </c>
      <c r="AC50" t="str">
        <f t="shared" si="8"/>
        <v/>
      </c>
      <c r="AD50" t="str">
        <f t="shared" si="9"/>
        <v/>
      </c>
      <c r="AE50" t="str">
        <f t="shared" si="10"/>
        <v/>
      </c>
      <c r="AF50" t="str">
        <f t="shared" si="11"/>
        <v/>
      </c>
      <c r="AG50" t="str">
        <f t="shared" si="12"/>
        <v/>
      </c>
      <c r="AH50" t="str">
        <f t="shared" si="13"/>
        <v/>
      </c>
    </row>
    <row r="51" spans="1:34" x14ac:dyDescent="0.45">
      <c r="A51" t="str">
        <f>IF(Moteur!D51="","",Moteur!D51)</f>
        <v/>
      </c>
      <c r="B51" t="str">
        <f>IF(Moteur!B51="","",Moteur!B51)</f>
        <v/>
      </c>
      <c r="C51" t="str">
        <f>IF(Moteur!F51="","",Moteur!F51)</f>
        <v/>
      </c>
      <c r="D51" t="str">
        <f>IF(Moteur!G51="","",Moteur!G51)</f>
        <v/>
      </c>
      <c r="E51" t="str">
        <f>IF(Moteur!H51="","",Moteur!H51)</f>
        <v/>
      </c>
      <c r="F51" t="str">
        <f>IF(Moteur!E51="","",Moteur!E51)</f>
        <v/>
      </c>
      <c r="G51" t="str">
        <f>IF($A51="","",SUMIFS(Socle!$H$1:$H$1000,Socle!$C$1:$C$1000,$A51,Socle!$D$1:$D$1000,$C51,Socle!$E$1:$E$1000,$D51,Socle!$F$1:$F$1000,$E51,Socle!$G$1:$G$1000,"2026"))</f>
        <v/>
      </c>
      <c r="H51" t="str">
        <f>IF($A51="","",SUMIFS(Socle!$N$1:$N$1000,Socle!$C$1:$C$1000,$A51,Socle!$D$1:$D$1000,$C51,Socle!$E$1:$E$1000,$D51,Socle!$F$1:$F$1000,$E51,Socle!$G$1:$G$1000,"2026"))</f>
        <v/>
      </c>
      <c r="I51" t="str">
        <f>IF($A51="","",SUMIFS(Socle!$P$1:$P$1000,Socle!$C$1:$C$1000,$A51,Socle!$D$1:$D$1000,$C51,Socle!$E$1:$E$1000,$D51,Socle!$F$1:$F$1000,$E51,Socle!$G$1:$G$1000,"2026"))</f>
        <v/>
      </c>
      <c r="J51" t="str">
        <f>IF($A51="","",SUMIFS(Socle!$W$1:$W$1000,Socle!$C$1:$C$1000,$A51,Socle!$D$1:$D$1000,$C51,Socle!$E$1:$E$1000,$D51,Socle!$F$1:$F$1000,$E51,Socle!$G$1:$G$1000,"2026"))</f>
        <v/>
      </c>
      <c r="K51" t="str">
        <f>IF($A51="","",SUMIFS(Socle!$X$1:$X$1000,Socle!$C$1:$C$1000,$A51,Socle!$D$1:$D$1000,$C51,Socle!$E$1:$E$1000,$D51,Socle!$F$1:$F$1000,$E51,Socle!$G$1:$G$1000,"2026"))</f>
        <v/>
      </c>
      <c r="L51" t="str">
        <f>IF($A51="","",SUMIFS(Socle!$Y$1:$Y$1000,Socle!$C$1:$C$1000,$A51,Socle!$D$1:$D$1000,$C51,Socle!$E$1:$E$1000,$D51,Socle!$F$1:$F$1000,$E51,Socle!$G$1:$G$1000,"2026"))</f>
        <v/>
      </c>
      <c r="M51" t="str">
        <f>IF($A51="","",SUMIFS(Socle!$V$1:$V$1000,Socle!$C$1:$C$1000,$A51,Socle!$D$1:$D$1000,$C51,Socle!$E$1:$E$1000,$D51,Socle!$F$1:$F$1000,$E51,Socle!$G$1:$G$1000,"2026"))</f>
        <v/>
      </c>
      <c r="N51" t="str">
        <f t="shared" si="0"/>
        <v/>
      </c>
      <c r="O51" t="str">
        <f>IF($A51="","",SUMIFS(Campagne!$D$1:$D$15,Campagne!$C$1:$C$15,$A51))</f>
        <v/>
      </c>
      <c r="P51" t="str">
        <f>IF($A51="","",SUMIFS(Campagne!$E$1:$E$15,Campagne!$C$1:$C$15,$A51))</f>
        <v/>
      </c>
      <c r="Q51" t="str">
        <f>IF($A51="","",SUMIFS(Campagne!$F$1:$F$15,Campagne!$C$1:$C$15,$A51))</f>
        <v/>
      </c>
      <c r="R51" t="str">
        <f>IF($A51="","",SUMIFS(Campagne!$K$1:$K$15,Campagne!$C$1:$C$15,$A51))</f>
        <v/>
      </c>
      <c r="S51" t="str">
        <f>IF($A51="","",SUMIFS(Campagne!$M$1:$M$15,Campagne!$C$1:$C$15,$A51))</f>
        <v/>
      </c>
      <c r="T51" t="str">
        <f>IF($A51="","",SUMIFS(PIL!$K$15:$K$28,PIL!$A$15:$A$28,$A51)*SUMIFS(PIL!$J$15:$J$28,PIL!$A$15:$A$28,$A51)*(SUM(PIL!$K$15:$K$28)/SUMPRODUCT(PIL!$K$15:$K$28,PIL!$J$15:$J$28)))</f>
        <v/>
      </c>
      <c r="U51" t="str">
        <f>IF($A51="","",SUMIFS(PIL!$K$15:$K$28,PIL!$A$15:$A$28,$A51))</f>
        <v/>
      </c>
      <c r="V51" t="str">
        <f t="shared" si="1"/>
        <v/>
      </c>
      <c r="W51" t="str">
        <f t="shared" si="2"/>
        <v/>
      </c>
      <c r="X51" t="str">
        <f t="shared" si="3"/>
        <v/>
      </c>
      <c r="Y51" t="str">
        <f t="shared" si="4"/>
        <v/>
      </c>
      <c r="Z51" t="str">
        <f t="shared" si="5"/>
        <v/>
      </c>
      <c r="AA51" t="str">
        <f t="shared" si="6"/>
        <v/>
      </c>
      <c r="AB51" t="str">
        <f t="shared" si="7"/>
        <v/>
      </c>
      <c r="AC51" t="str">
        <f t="shared" si="8"/>
        <v/>
      </c>
      <c r="AD51" t="str">
        <f t="shared" si="9"/>
        <v/>
      </c>
      <c r="AE51" t="str">
        <f t="shared" si="10"/>
        <v/>
      </c>
      <c r="AF51" t="str">
        <f t="shared" si="11"/>
        <v/>
      </c>
      <c r="AG51" t="str">
        <f t="shared" si="12"/>
        <v/>
      </c>
      <c r="AH51" t="str">
        <f t="shared" si="13"/>
        <v/>
      </c>
    </row>
    <row r="52" spans="1:34" x14ac:dyDescent="0.45">
      <c r="A52" t="str">
        <f>IF(Moteur!D52="","",Moteur!D52)</f>
        <v/>
      </c>
      <c r="B52" t="str">
        <f>IF(Moteur!B52="","",Moteur!B52)</f>
        <v/>
      </c>
      <c r="C52" t="str">
        <f>IF(Moteur!F52="","",Moteur!F52)</f>
        <v/>
      </c>
      <c r="D52" t="str">
        <f>IF(Moteur!G52="","",Moteur!G52)</f>
        <v/>
      </c>
      <c r="E52" t="str">
        <f>IF(Moteur!H52="","",Moteur!H52)</f>
        <v/>
      </c>
      <c r="F52" t="str">
        <f>IF(Moteur!E52="","",Moteur!E52)</f>
        <v/>
      </c>
      <c r="G52" t="str">
        <f>IF($A52="","",SUMIFS(Socle!$H$1:$H$1000,Socle!$C$1:$C$1000,$A52,Socle!$D$1:$D$1000,$C52,Socle!$E$1:$E$1000,$D52,Socle!$F$1:$F$1000,$E52,Socle!$G$1:$G$1000,"2026"))</f>
        <v/>
      </c>
      <c r="H52" t="str">
        <f>IF($A52="","",SUMIFS(Socle!$N$1:$N$1000,Socle!$C$1:$C$1000,$A52,Socle!$D$1:$D$1000,$C52,Socle!$E$1:$E$1000,$D52,Socle!$F$1:$F$1000,$E52,Socle!$G$1:$G$1000,"2026"))</f>
        <v/>
      </c>
      <c r="I52" t="str">
        <f>IF($A52="","",SUMIFS(Socle!$P$1:$P$1000,Socle!$C$1:$C$1000,$A52,Socle!$D$1:$D$1000,$C52,Socle!$E$1:$E$1000,$D52,Socle!$F$1:$F$1000,$E52,Socle!$G$1:$G$1000,"2026"))</f>
        <v/>
      </c>
      <c r="J52" t="str">
        <f>IF($A52="","",SUMIFS(Socle!$W$1:$W$1000,Socle!$C$1:$C$1000,$A52,Socle!$D$1:$D$1000,$C52,Socle!$E$1:$E$1000,$D52,Socle!$F$1:$F$1000,$E52,Socle!$G$1:$G$1000,"2026"))</f>
        <v/>
      </c>
      <c r="K52" t="str">
        <f>IF($A52="","",SUMIFS(Socle!$X$1:$X$1000,Socle!$C$1:$C$1000,$A52,Socle!$D$1:$D$1000,$C52,Socle!$E$1:$E$1000,$D52,Socle!$F$1:$F$1000,$E52,Socle!$G$1:$G$1000,"2026"))</f>
        <v/>
      </c>
      <c r="L52" t="str">
        <f>IF($A52="","",SUMIFS(Socle!$Y$1:$Y$1000,Socle!$C$1:$C$1000,$A52,Socle!$D$1:$D$1000,$C52,Socle!$E$1:$E$1000,$D52,Socle!$F$1:$F$1000,$E52,Socle!$G$1:$G$1000,"2026"))</f>
        <v/>
      </c>
      <c r="M52" t="str">
        <f>IF($A52="","",SUMIFS(Socle!$V$1:$V$1000,Socle!$C$1:$C$1000,$A52,Socle!$D$1:$D$1000,$C52,Socle!$E$1:$E$1000,$D52,Socle!$F$1:$F$1000,$E52,Socle!$G$1:$G$1000,"2026"))</f>
        <v/>
      </c>
      <c r="N52" t="str">
        <f t="shared" si="0"/>
        <v/>
      </c>
      <c r="O52" t="str">
        <f>IF($A52="","",SUMIFS(Campagne!$D$1:$D$15,Campagne!$C$1:$C$15,$A52))</f>
        <v/>
      </c>
      <c r="P52" t="str">
        <f>IF($A52="","",SUMIFS(Campagne!$E$1:$E$15,Campagne!$C$1:$C$15,$A52))</f>
        <v/>
      </c>
      <c r="Q52" t="str">
        <f>IF($A52="","",SUMIFS(Campagne!$F$1:$F$15,Campagne!$C$1:$C$15,$A52))</f>
        <v/>
      </c>
      <c r="R52" t="str">
        <f>IF($A52="","",SUMIFS(Campagne!$K$1:$K$15,Campagne!$C$1:$C$15,$A52))</f>
        <v/>
      </c>
      <c r="S52" t="str">
        <f>IF($A52="","",SUMIFS(Campagne!$M$1:$M$15,Campagne!$C$1:$C$15,$A52))</f>
        <v/>
      </c>
      <c r="T52" t="str">
        <f>IF($A52="","",SUMIFS(PIL!$K$15:$K$28,PIL!$A$15:$A$28,$A52)*SUMIFS(PIL!$J$15:$J$28,PIL!$A$15:$A$28,$A52)*(SUM(PIL!$K$15:$K$28)/SUMPRODUCT(PIL!$K$15:$K$28,PIL!$J$15:$J$28)))</f>
        <v/>
      </c>
      <c r="U52" t="str">
        <f>IF($A52="","",SUMIFS(PIL!$K$15:$K$28,PIL!$A$15:$A$28,$A52))</f>
        <v/>
      </c>
      <c r="V52" t="str">
        <f t="shared" si="1"/>
        <v/>
      </c>
      <c r="W52" t="str">
        <f t="shared" si="2"/>
        <v/>
      </c>
      <c r="X52" t="str">
        <f t="shared" si="3"/>
        <v/>
      </c>
      <c r="Y52" t="str">
        <f t="shared" si="4"/>
        <v/>
      </c>
      <c r="Z52" t="str">
        <f t="shared" si="5"/>
        <v/>
      </c>
      <c r="AA52" t="str">
        <f t="shared" si="6"/>
        <v/>
      </c>
      <c r="AB52" t="str">
        <f t="shared" si="7"/>
        <v/>
      </c>
      <c r="AC52" t="str">
        <f t="shared" si="8"/>
        <v/>
      </c>
      <c r="AD52" t="str">
        <f t="shared" si="9"/>
        <v/>
      </c>
      <c r="AE52" t="str">
        <f t="shared" si="10"/>
        <v/>
      </c>
      <c r="AF52" t="str">
        <f t="shared" si="11"/>
        <v/>
      </c>
      <c r="AG52" t="str">
        <f t="shared" si="12"/>
        <v/>
      </c>
      <c r="AH52" t="str">
        <f t="shared" si="13"/>
        <v/>
      </c>
    </row>
    <row r="53" spans="1:34" x14ac:dyDescent="0.45">
      <c r="A53" t="str">
        <f>IF(Moteur!D53="","",Moteur!D53)</f>
        <v/>
      </c>
      <c r="B53" t="str">
        <f>IF(Moteur!B53="","",Moteur!B53)</f>
        <v/>
      </c>
      <c r="C53" t="str">
        <f>IF(Moteur!F53="","",Moteur!F53)</f>
        <v/>
      </c>
      <c r="D53" t="str">
        <f>IF(Moteur!G53="","",Moteur!G53)</f>
        <v/>
      </c>
      <c r="E53" t="str">
        <f>IF(Moteur!H53="","",Moteur!H53)</f>
        <v/>
      </c>
      <c r="F53" t="str">
        <f>IF(Moteur!E53="","",Moteur!E53)</f>
        <v/>
      </c>
      <c r="G53" t="str">
        <f>IF($A53="","",SUMIFS(Socle!$H$1:$H$1000,Socle!$C$1:$C$1000,$A53,Socle!$D$1:$D$1000,$C53,Socle!$E$1:$E$1000,$D53,Socle!$F$1:$F$1000,$E53,Socle!$G$1:$G$1000,"2026"))</f>
        <v/>
      </c>
      <c r="H53" t="str">
        <f>IF($A53="","",SUMIFS(Socle!$N$1:$N$1000,Socle!$C$1:$C$1000,$A53,Socle!$D$1:$D$1000,$C53,Socle!$E$1:$E$1000,$D53,Socle!$F$1:$F$1000,$E53,Socle!$G$1:$G$1000,"2026"))</f>
        <v/>
      </c>
      <c r="I53" t="str">
        <f>IF($A53="","",SUMIFS(Socle!$P$1:$P$1000,Socle!$C$1:$C$1000,$A53,Socle!$D$1:$D$1000,$C53,Socle!$E$1:$E$1000,$D53,Socle!$F$1:$F$1000,$E53,Socle!$G$1:$G$1000,"2026"))</f>
        <v/>
      </c>
      <c r="J53" t="str">
        <f>IF($A53="","",SUMIFS(Socle!$W$1:$W$1000,Socle!$C$1:$C$1000,$A53,Socle!$D$1:$D$1000,$C53,Socle!$E$1:$E$1000,$D53,Socle!$F$1:$F$1000,$E53,Socle!$G$1:$G$1000,"2026"))</f>
        <v/>
      </c>
      <c r="K53" t="str">
        <f>IF($A53="","",SUMIFS(Socle!$X$1:$X$1000,Socle!$C$1:$C$1000,$A53,Socle!$D$1:$D$1000,$C53,Socle!$E$1:$E$1000,$D53,Socle!$F$1:$F$1000,$E53,Socle!$G$1:$G$1000,"2026"))</f>
        <v/>
      </c>
      <c r="L53" t="str">
        <f>IF($A53="","",SUMIFS(Socle!$Y$1:$Y$1000,Socle!$C$1:$C$1000,$A53,Socle!$D$1:$D$1000,$C53,Socle!$E$1:$E$1000,$D53,Socle!$F$1:$F$1000,$E53,Socle!$G$1:$G$1000,"2026"))</f>
        <v/>
      </c>
      <c r="M53" t="str">
        <f>IF($A53="","",SUMIFS(Socle!$V$1:$V$1000,Socle!$C$1:$C$1000,$A53,Socle!$D$1:$D$1000,$C53,Socle!$E$1:$E$1000,$D53,Socle!$F$1:$F$1000,$E53,Socle!$G$1:$G$1000,"2026"))</f>
        <v/>
      </c>
      <c r="N53" t="str">
        <f t="shared" si="0"/>
        <v/>
      </c>
      <c r="O53" t="str">
        <f>IF($A53="","",SUMIFS(Campagne!$D$1:$D$15,Campagne!$C$1:$C$15,$A53))</f>
        <v/>
      </c>
      <c r="P53" t="str">
        <f>IF($A53="","",SUMIFS(Campagne!$E$1:$E$15,Campagne!$C$1:$C$15,$A53))</f>
        <v/>
      </c>
      <c r="Q53" t="str">
        <f>IF($A53="","",SUMIFS(Campagne!$F$1:$F$15,Campagne!$C$1:$C$15,$A53))</f>
        <v/>
      </c>
      <c r="R53" t="str">
        <f>IF($A53="","",SUMIFS(Campagne!$K$1:$K$15,Campagne!$C$1:$C$15,$A53))</f>
        <v/>
      </c>
      <c r="S53" t="str">
        <f>IF($A53="","",SUMIFS(Campagne!$M$1:$M$15,Campagne!$C$1:$C$15,$A53))</f>
        <v/>
      </c>
      <c r="T53" t="str">
        <f>IF($A53="","",SUMIFS(PIL!$K$15:$K$28,PIL!$A$15:$A$28,$A53)*SUMIFS(PIL!$J$15:$J$28,PIL!$A$15:$A$28,$A53)*(SUM(PIL!$K$15:$K$28)/SUMPRODUCT(PIL!$K$15:$K$28,PIL!$J$15:$J$28)))</f>
        <v/>
      </c>
      <c r="U53" t="str">
        <f>IF($A53="","",SUMIFS(PIL!$K$15:$K$28,PIL!$A$15:$A$28,$A53))</f>
        <v/>
      </c>
      <c r="V53" t="str">
        <f t="shared" si="1"/>
        <v/>
      </c>
      <c r="W53" t="str">
        <f t="shared" si="2"/>
        <v/>
      </c>
      <c r="X53" t="str">
        <f t="shared" si="3"/>
        <v/>
      </c>
      <c r="Y53" t="str">
        <f t="shared" si="4"/>
        <v/>
      </c>
      <c r="Z53" t="str">
        <f t="shared" si="5"/>
        <v/>
      </c>
      <c r="AA53" t="str">
        <f t="shared" si="6"/>
        <v/>
      </c>
      <c r="AB53" t="str">
        <f t="shared" si="7"/>
        <v/>
      </c>
      <c r="AC53" t="str">
        <f t="shared" si="8"/>
        <v/>
      </c>
      <c r="AD53" t="str">
        <f t="shared" si="9"/>
        <v/>
      </c>
      <c r="AE53" t="str">
        <f t="shared" si="10"/>
        <v/>
      </c>
      <c r="AF53" t="str">
        <f t="shared" si="11"/>
        <v/>
      </c>
      <c r="AG53" t="str">
        <f t="shared" si="12"/>
        <v/>
      </c>
      <c r="AH53" t="str">
        <f t="shared" si="13"/>
        <v/>
      </c>
    </row>
    <row r="54" spans="1:34" x14ac:dyDescent="0.45">
      <c r="A54" t="str">
        <f>IF(Moteur!D54="","",Moteur!D54)</f>
        <v/>
      </c>
      <c r="B54" t="str">
        <f>IF(Moteur!B54="","",Moteur!B54)</f>
        <v/>
      </c>
      <c r="C54" t="str">
        <f>IF(Moteur!F54="","",Moteur!F54)</f>
        <v/>
      </c>
      <c r="D54" t="str">
        <f>IF(Moteur!G54="","",Moteur!G54)</f>
        <v/>
      </c>
      <c r="E54" t="str">
        <f>IF(Moteur!H54="","",Moteur!H54)</f>
        <v/>
      </c>
      <c r="F54" t="str">
        <f>IF(Moteur!E54="","",Moteur!E54)</f>
        <v/>
      </c>
      <c r="G54" t="str">
        <f>IF($A54="","",SUMIFS(Socle!$H$1:$H$1000,Socle!$C$1:$C$1000,$A54,Socle!$D$1:$D$1000,$C54,Socle!$E$1:$E$1000,$D54,Socle!$F$1:$F$1000,$E54,Socle!$G$1:$G$1000,"2026"))</f>
        <v/>
      </c>
      <c r="H54" t="str">
        <f>IF($A54="","",SUMIFS(Socle!$N$1:$N$1000,Socle!$C$1:$C$1000,$A54,Socle!$D$1:$D$1000,$C54,Socle!$E$1:$E$1000,$D54,Socle!$F$1:$F$1000,$E54,Socle!$G$1:$G$1000,"2026"))</f>
        <v/>
      </c>
      <c r="I54" t="str">
        <f>IF($A54="","",SUMIFS(Socle!$P$1:$P$1000,Socle!$C$1:$C$1000,$A54,Socle!$D$1:$D$1000,$C54,Socle!$E$1:$E$1000,$D54,Socle!$F$1:$F$1000,$E54,Socle!$G$1:$G$1000,"2026"))</f>
        <v/>
      </c>
      <c r="J54" t="str">
        <f>IF($A54="","",SUMIFS(Socle!$W$1:$W$1000,Socle!$C$1:$C$1000,$A54,Socle!$D$1:$D$1000,$C54,Socle!$E$1:$E$1000,$D54,Socle!$F$1:$F$1000,$E54,Socle!$G$1:$G$1000,"2026"))</f>
        <v/>
      </c>
      <c r="K54" t="str">
        <f>IF($A54="","",SUMIFS(Socle!$X$1:$X$1000,Socle!$C$1:$C$1000,$A54,Socle!$D$1:$D$1000,$C54,Socle!$E$1:$E$1000,$D54,Socle!$F$1:$F$1000,$E54,Socle!$G$1:$G$1000,"2026"))</f>
        <v/>
      </c>
      <c r="L54" t="str">
        <f>IF($A54="","",SUMIFS(Socle!$Y$1:$Y$1000,Socle!$C$1:$C$1000,$A54,Socle!$D$1:$D$1000,$C54,Socle!$E$1:$E$1000,$D54,Socle!$F$1:$F$1000,$E54,Socle!$G$1:$G$1000,"2026"))</f>
        <v/>
      </c>
      <c r="M54" t="str">
        <f>IF($A54="","",SUMIFS(Socle!$V$1:$V$1000,Socle!$C$1:$C$1000,$A54,Socle!$D$1:$D$1000,$C54,Socle!$E$1:$E$1000,$D54,Socle!$F$1:$F$1000,$E54,Socle!$G$1:$G$1000,"2026"))</f>
        <v/>
      </c>
      <c r="N54" t="str">
        <f t="shared" si="0"/>
        <v/>
      </c>
      <c r="O54" t="str">
        <f>IF($A54="","",SUMIFS(Campagne!$D$1:$D$15,Campagne!$C$1:$C$15,$A54))</f>
        <v/>
      </c>
      <c r="P54" t="str">
        <f>IF($A54="","",SUMIFS(Campagne!$E$1:$E$15,Campagne!$C$1:$C$15,$A54))</f>
        <v/>
      </c>
      <c r="Q54" t="str">
        <f>IF($A54="","",SUMIFS(Campagne!$F$1:$F$15,Campagne!$C$1:$C$15,$A54))</f>
        <v/>
      </c>
      <c r="R54" t="str">
        <f>IF($A54="","",SUMIFS(Campagne!$K$1:$K$15,Campagne!$C$1:$C$15,$A54))</f>
        <v/>
      </c>
      <c r="S54" t="str">
        <f>IF($A54="","",SUMIFS(Campagne!$M$1:$M$15,Campagne!$C$1:$C$15,$A54))</f>
        <v/>
      </c>
      <c r="T54" t="str">
        <f>IF($A54="","",SUMIFS(PIL!$K$15:$K$28,PIL!$A$15:$A$28,$A54)*SUMIFS(PIL!$J$15:$J$28,PIL!$A$15:$A$28,$A54)*(SUM(PIL!$K$15:$K$28)/SUMPRODUCT(PIL!$K$15:$K$28,PIL!$J$15:$J$28)))</f>
        <v/>
      </c>
      <c r="U54" t="str">
        <f>IF($A54="","",SUMIFS(PIL!$K$15:$K$28,PIL!$A$15:$A$28,$A54))</f>
        <v/>
      </c>
      <c r="V54" t="str">
        <f t="shared" si="1"/>
        <v/>
      </c>
      <c r="W54" t="str">
        <f t="shared" si="2"/>
        <v/>
      </c>
      <c r="X54" t="str">
        <f t="shared" si="3"/>
        <v/>
      </c>
      <c r="Y54" t="str">
        <f t="shared" si="4"/>
        <v/>
      </c>
      <c r="Z54" t="str">
        <f t="shared" si="5"/>
        <v/>
      </c>
      <c r="AA54" t="str">
        <f t="shared" si="6"/>
        <v/>
      </c>
      <c r="AB54" t="str">
        <f t="shared" si="7"/>
        <v/>
      </c>
      <c r="AC54" t="str">
        <f t="shared" si="8"/>
        <v/>
      </c>
      <c r="AD54" t="str">
        <f t="shared" si="9"/>
        <v/>
      </c>
      <c r="AE54" t="str">
        <f t="shared" si="10"/>
        <v/>
      </c>
      <c r="AF54" t="str">
        <f t="shared" si="11"/>
        <v/>
      </c>
      <c r="AG54" t="str">
        <f t="shared" si="12"/>
        <v/>
      </c>
      <c r="AH54" t="str">
        <f t="shared" si="13"/>
        <v/>
      </c>
    </row>
    <row r="55" spans="1:34" x14ac:dyDescent="0.45">
      <c r="A55" t="str">
        <f>IF(Moteur!D55="","",Moteur!D55)</f>
        <v/>
      </c>
      <c r="B55" t="str">
        <f>IF(Moteur!B55="","",Moteur!B55)</f>
        <v/>
      </c>
      <c r="C55" t="str">
        <f>IF(Moteur!F55="","",Moteur!F55)</f>
        <v/>
      </c>
      <c r="D55" t="str">
        <f>IF(Moteur!G55="","",Moteur!G55)</f>
        <v/>
      </c>
      <c r="E55" t="str">
        <f>IF(Moteur!H55="","",Moteur!H55)</f>
        <v/>
      </c>
      <c r="F55" t="str">
        <f>IF(Moteur!E55="","",Moteur!E55)</f>
        <v/>
      </c>
      <c r="G55" t="str">
        <f>IF($A55="","",SUMIFS(Socle!$H$1:$H$1000,Socle!$C$1:$C$1000,$A55,Socle!$D$1:$D$1000,$C55,Socle!$E$1:$E$1000,$D55,Socle!$F$1:$F$1000,$E55,Socle!$G$1:$G$1000,"2026"))</f>
        <v/>
      </c>
      <c r="H55" t="str">
        <f>IF($A55="","",SUMIFS(Socle!$N$1:$N$1000,Socle!$C$1:$C$1000,$A55,Socle!$D$1:$D$1000,$C55,Socle!$E$1:$E$1000,$D55,Socle!$F$1:$F$1000,$E55,Socle!$G$1:$G$1000,"2026"))</f>
        <v/>
      </c>
      <c r="I55" t="str">
        <f>IF($A55="","",SUMIFS(Socle!$P$1:$P$1000,Socle!$C$1:$C$1000,$A55,Socle!$D$1:$D$1000,$C55,Socle!$E$1:$E$1000,$D55,Socle!$F$1:$F$1000,$E55,Socle!$G$1:$G$1000,"2026"))</f>
        <v/>
      </c>
      <c r="J55" t="str">
        <f>IF($A55="","",SUMIFS(Socle!$W$1:$W$1000,Socle!$C$1:$C$1000,$A55,Socle!$D$1:$D$1000,$C55,Socle!$E$1:$E$1000,$D55,Socle!$F$1:$F$1000,$E55,Socle!$G$1:$G$1000,"2026"))</f>
        <v/>
      </c>
      <c r="K55" t="str">
        <f>IF($A55="","",SUMIFS(Socle!$X$1:$X$1000,Socle!$C$1:$C$1000,$A55,Socle!$D$1:$D$1000,$C55,Socle!$E$1:$E$1000,$D55,Socle!$F$1:$F$1000,$E55,Socle!$G$1:$G$1000,"2026"))</f>
        <v/>
      </c>
      <c r="L55" t="str">
        <f>IF($A55="","",SUMIFS(Socle!$Y$1:$Y$1000,Socle!$C$1:$C$1000,$A55,Socle!$D$1:$D$1000,$C55,Socle!$E$1:$E$1000,$D55,Socle!$F$1:$F$1000,$E55,Socle!$G$1:$G$1000,"2026"))</f>
        <v/>
      </c>
      <c r="M55" t="str">
        <f>IF($A55="","",SUMIFS(Socle!$V$1:$V$1000,Socle!$C$1:$C$1000,$A55,Socle!$D$1:$D$1000,$C55,Socle!$E$1:$E$1000,$D55,Socle!$F$1:$F$1000,$E55,Socle!$G$1:$G$1000,"2026"))</f>
        <v/>
      </c>
      <c r="N55" t="str">
        <f t="shared" si="0"/>
        <v/>
      </c>
      <c r="O55" t="str">
        <f>IF($A55="","",SUMIFS(Campagne!$D$1:$D$15,Campagne!$C$1:$C$15,$A55))</f>
        <v/>
      </c>
      <c r="P55" t="str">
        <f>IF($A55="","",SUMIFS(Campagne!$E$1:$E$15,Campagne!$C$1:$C$15,$A55))</f>
        <v/>
      </c>
      <c r="Q55" t="str">
        <f>IF($A55="","",SUMIFS(Campagne!$F$1:$F$15,Campagne!$C$1:$C$15,$A55))</f>
        <v/>
      </c>
      <c r="R55" t="str">
        <f>IF($A55="","",SUMIFS(Campagne!$K$1:$K$15,Campagne!$C$1:$C$15,$A55))</f>
        <v/>
      </c>
      <c r="S55" t="str">
        <f>IF($A55="","",SUMIFS(Campagne!$M$1:$M$15,Campagne!$C$1:$C$15,$A55))</f>
        <v/>
      </c>
      <c r="T55" t="str">
        <f>IF($A55="","",SUMIFS(PIL!$K$15:$K$28,PIL!$A$15:$A$28,$A55)*SUMIFS(PIL!$J$15:$J$28,PIL!$A$15:$A$28,$A55)*(SUM(PIL!$K$15:$K$28)/SUMPRODUCT(PIL!$K$15:$K$28,PIL!$J$15:$J$28)))</f>
        <v/>
      </c>
      <c r="U55" t="str">
        <f>IF($A55="","",SUMIFS(PIL!$K$15:$K$28,PIL!$A$15:$A$28,$A55))</f>
        <v/>
      </c>
      <c r="V55" t="str">
        <f t="shared" si="1"/>
        <v/>
      </c>
      <c r="W55" t="str">
        <f t="shared" si="2"/>
        <v/>
      </c>
      <c r="X55" t="str">
        <f t="shared" si="3"/>
        <v/>
      </c>
      <c r="Y55" t="str">
        <f t="shared" si="4"/>
        <v/>
      </c>
      <c r="Z55" t="str">
        <f t="shared" si="5"/>
        <v/>
      </c>
      <c r="AA55" t="str">
        <f t="shared" si="6"/>
        <v/>
      </c>
      <c r="AB55" t="str">
        <f t="shared" si="7"/>
        <v/>
      </c>
      <c r="AC55" t="str">
        <f t="shared" si="8"/>
        <v/>
      </c>
      <c r="AD55" t="str">
        <f t="shared" si="9"/>
        <v/>
      </c>
      <c r="AE55" t="str">
        <f t="shared" si="10"/>
        <v/>
      </c>
      <c r="AF55" t="str">
        <f t="shared" si="11"/>
        <v/>
      </c>
      <c r="AG55" t="str">
        <f t="shared" si="12"/>
        <v/>
      </c>
      <c r="AH55" t="str">
        <f t="shared" si="13"/>
        <v/>
      </c>
    </row>
    <row r="56" spans="1:34" x14ac:dyDescent="0.45">
      <c r="A56" t="str">
        <f>IF(Moteur!D56="","",Moteur!D56)</f>
        <v/>
      </c>
      <c r="B56" t="str">
        <f>IF(Moteur!B56="","",Moteur!B56)</f>
        <v/>
      </c>
      <c r="C56" t="str">
        <f>IF(Moteur!F56="","",Moteur!F56)</f>
        <v/>
      </c>
      <c r="D56" t="str">
        <f>IF(Moteur!G56="","",Moteur!G56)</f>
        <v/>
      </c>
      <c r="E56" t="str">
        <f>IF(Moteur!H56="","",Moteur!H56)</f>
        <v/>
      </c>
      <c r="F56" t="str">
        <f>IF(Moteur!E56="","",Moteur!E56)</f>
        <v/>
      </c>
      <c r="G56" t="str">
        <f>IF($A56="","",SUMIFS(Socle!$H$1:$H$1000,Socle!$C$1:$C$1000,$A56,Socle!$D$1:$D$1000,$C56,Socle!$E$1:$E$1000,$D56,Socle!$F$1:$F$1000,$E56,Socle!$G$1:$G$1000,"2026"))</f>
        <v/>
      </c>
      <c r="H56" t="str">
        <f>IF($A56="","",SUMIFS(Socle!$N$1:$N$1000,Socle!$C$1:$C$1000,$A56,Socle!$D$1:$D$1000,$C56,Socle!$E$1:$E$1000,$D56,Socle!$F$1:$F$1000,$E56,Socle!$G$1:$G$1000,"2026"))</f>
        <v/>
      </c>
      <c r="I56" t="str">
        <f>IF($A56="","",SUMIFS(Socle!$P$1:$P$1000,Socle!$C$1:$C$1000,$A56,Socle!$D$1:$D$1000,$C56,Socle!$E$1:$E$1000,$D56,Socle!$F$1:$F$1000,$E56,Socle!$G$1:$G$1000,"2026"))</f>
        <v/>
      </c>
      <c r="J56" t="str">
        <f>IF($A56="","",SUMIFS(Socle!$W$1:$W$1000,Socle!$C$1:$C$1000,$A56,Socle!$D$1:$D$1000,$C56,Socle!$E$1:$E$1000,$D56,Socle!$F$1:$F$1000,$E56,Socle!$G$1:$G$1000,"2026"))</f>
        <v/>
      </c>
      <c r="K56" t="str">
        <f>IF($A56="","",SUMIFS(Socle!$X$1:$X$1000,Socle!$C$1:$C$1000,$A56,Socle!$D$1:$D$1000,$C56,Socle!$E$1:$E$1000,$D56,Socle!$F$1:$F$1000,$E56,Socle!$G$1:$G$1000,"2026"))</f>
        <v/>
      </c>
      <c r="L56" t="str">
        <f>IF($A56="","",SUMIFS(Socle!$Y$1:$Y$1000,Socle!$C$1:$C$1000,$A56,Socle!$D$1:$D$1000,$C56,Socle!$E$1:$E$1000,$D56,Socle!$F$1:$F$1000,$E56,Socle!$G$1:$G$1000,"2026"))</f>
        <v/>
      </c>
      <c r="M56" t="str">
        <f>IF($A56="","",SUMIFS(Socle!$V$1:$V$1000,Socle!$C$1:$C$1000,$A56,Socle!$D$1:$D$1000,$C56,Socle!$E$1:$E$1000,$D56,Socle!$F$1:$F$1000,$E56,Socle!$G$1:$G$1000,"2026"))</f>
        <v/>
      </c>
      <c r="N56" t="str">
        <f t="shared" si="0"/>
        <v/>
      </c>
      <c r="O56" t="str">
        <f>IF($A56="","",SUMIFS(Campagne!$D$1:$D$15,Campagne!$C$1:$C$15,$A56))</f>
        <v/>
      </c>
      <c r="P56" t="str">
        <f>IF($A56="","",SUMIFS(Campagne!$E$1:$E$15,Campagne!$C$1:$C$15,$A56))</f>
        <v/>
      </c>
      <c r="Q56" t="str">
        <f>IF($A56="","",SUMIFS(Campagne!$F$1:$F$15,Campagne!$C$1:$C$15,$A56))</f>
        <v/>
      </c>
      <c r="R56" t="str">
        <f>IF($A56="","",SUMIFS(Campagne!$K$1:$K$15,Campagne!$C$1:$C$15,$A56))</f>
        <v/>
      </c>
      <c r="S56" t="str">
        <f>IF($A56="","",SUMIFS(Campagne!$M$1:$M$15,Campagne!$C$1:$C$15,$A56))</f>
        <v/>
      </c>
      <c r="T56" t="str">
        <f>IF($A56="","",SUMIFS(PIL!$K$15:$K$28,PIL!$A$15:$A$28,$A56)*SUMIFS(PIL!$J$15:$J$28,PIL!$A$15:$A$28,$A56)*(SUM(PIL!$K$15:$K$28)/SUMPRODUCT(PIL!$K$15:$K$28,PIL!$J$15:$J$28)))</f>
        <v/>
      </c>
      <c r="U56" t="str">
        <f>IF($A56="","",SUMIFS(PIL!$K$15:$K$28,PIL!$A$15:$A$28,$A56))</f>
        <v/>
      </c>
      <c r="V56" t="str">
        <f t="shared" si="1"/>
        <v/>
      </c>
      <c r="W56" t="str">
        <f t="shared" si="2"/>
        <v/>
      </c>
      <c r="X56" t="str">
        <f t="shared" si="3"/>
        <v/>
      </c>
      <c r="Y56" t="str">
        <f t="shared" si="4"/>
        <v/>
      </c>
      <c r="Z56" t="str">
        <f t="shared" si="5"/>
        <v/>
      </c>
      <c r="AA56" t="str">
        <f t="shared" si="6"/>
        <v/>
      </c>
      <c r="AB56" t="str">
        <f t="shared" si="7"/>
        <v/>
      </c>
      <c r="AC56" t="str">
        <f t="shared" si="8"/>
        <v/>
      </c>
      <c r="AD56" t="str">
        <f t="shared" si="9"/>
        <v/>
      </c>
      <c r="AE56" t="str">
        <f t="shared" si="10"/>
        <v/>
      </c>
      <c r="AF56" t="str">
        <f t="shared" si="11"/>
        <v/>
      </c>
      <c r="AG56" t="str">
        <f t="shared" si="12"/>
        <v/>
      </c>
      <c r="AH56" t="str">
        <f t="shared" si="13"/>
        <v/>
      </c>
    </row>
    <row r="57" spans="1:34" x14ac:dyDescent="0.45">
      <c r="A57" t="str">
        <f>IF(Moteur!D57="","",Moteur!D57)</f>
        <v/>
      </c>
      <c r="B57" t="str">
        <f>IF(Moteur!B57="","",Moteur!B57)</f>
        <v/>
      </c>
      <c r="C57" t="str">
        <f>IF(Moteur!F57="","",Moteur!F57)</f>
        <v/>
      </c>
      <c r="D57" t="str">
        <f>IF(Moteur!G57="","",Moteur!G57)</f>
        <v/>
      </c>
      <c r="E57" t="str">
        <f>IF(Moteur!H57="","",Moteur!H57)</f>
        <v/>
      </c>
      <c r="F57" t="str">
        <f>IF(Moteur!E57="","",Moteur!E57)</f>
        <v/>
      </c>
      <c r="G57" t="str">
        <f>IF($A57="","",SUMIFS(Socle!$H$1:$H$1000,Socle!$C$1:$C$1000,$A57,Socle!$D$1:$D$1000,$C57,Socle!$E$1:$E$1000,$D57,Socle!$F$1:$F$1000,$E57,Socle!$G$1:$G$1000,"2026"))</f>
        <v/>
      </c>
      <c r="H57" t="str">
        <f>IF($A57="","",SUMIFS(Socle!$N$1:$N$1000,Socle!$C$1:$C$1000,$A57,Socle!$D$1:$D$1000,$C57,Socle!$E$1:$E$1000,$D57,Socle!$F$1:$F$1000,$E57,Socle!$G$1:$G$1000,"2026"))</f>
        <v/>
      </c>
      <c r="I57" t="str">
        <f>IF($A57="","",SUMIFS(Socle!$P$1:$P$1000,Socle!$C$1:$C$1000,$A57,Socle!$D$1:$D$1000,$C57,Socle!$E$1:$E$1000,$D57,Socle!$F$1:$F$1000,$E57,Socle!$G$1:$G$1000,"2026"))</f>
        <v/>
      </c>
      <c r="J57" t="str">
        <f>IF($A57="","",SUMIFS(Socle!$W$1:$W$1000,Socle!$C$1:$C$1000,$A57,Socle!$D$1:$D$1000,$C57,Socle!$E$1:$E$1000,$D57,Socle!$F$1:$F$1000,$E57,Socle!$G$1:$G$1000,"2026"))</f>
        <v/>
      </c>
      <c r="K57" t="str">
        <f>IF($A57="","",SUMIFS(Socle!$X$1:$X$1000,Socle!$C$1:$C$1000,$A57,Socle!$D$1:$D$1000,$C57,Socle!$E$1:$E$1000,$D57,Socle!$F$1:$F$1000,$E57,Socle!$G$1:$G$1000,"2026"))</f>
        <v/>
      </c>
      <c r="L57" t="str">
        <f>IF($A57="","",SUMIFS(Socle!$Y$1:$Y$1000,Socle!$C$1:$C$1000,$A57,Socle!$D$1:$D$1000,$C57,Socle!$E$1:$E$1000,$D57,Socle!$F$1:$F$1000,$E57,Socle!$G$1:$G$1000,"2026"))</f>
        <v/>
      </c>
      <c r="M57" t="str">
        <f>IF($A57="","",SUMIFS(Socle!$V$1:$V$1000,Socle!$C$1:$C$1000,$A57,Socle!$D$1:$D$1000,$C57,Socle!$E$1:$E$1000,$D57,Socle!$F$1:$F$1000,$E57,Socle!$G$1:$G$1000,"2026"))</f>
        <v/>
      </c>
      <c r="N57" t="str">
        <f t="shared" si="0"/>
        <v/>
      </c>
      <c r="O57" t="str">
        <f>IF($A57="","",SUMIFS(Campagne!$D$1:$D$15,Campagne!$C$1:$C$15,$A57))</f>
        <v/>
      </c>
      <c r="P57" t="str">
        <f>IF($A57="","",SUMIFS(Campagne!$E$1:$E$15,Campagne!$C$1:$C$15,$A57))</f>
        <v/>
      </c>
      <c r="Q57" t="str">
        <f>IF($A57="","",SUMIFS(Campagne!$F$1:$F$15,Campagne!$C$1:$C$15,$A57))</f>
        <v/>
      </c>
      <c r="R57" t="str">
        <f>IF($A57="","",SUMIFS(Campagne!$K$1:$K$15,Campagne!$C$1:$C$15,$A57))</f>
        <v/>
      </c>
      <c r="S57" t="str">
        <f>IF($A57="","",SUMIFS(Campagne!$M$1:$M$15,Campagne!$C$1:$C$15,$A57))</f>
        <v/>
      </c>
      <c r="T57" t="str">
        <f>IF($A57="","",SUMIFS(PIL!$K$15:$K$28,PIL!$A$15:$A$28,$A57)*SUMIFS(PIL!$J$15:$J$28,PIL!$A$15:$A$28,$A57)*(SUM(PIL!$K$15:$K$28)/SUMPRODUCT(PIL!$K$15:$K$28,PIL!$J$15:$J$28)))</f>
        <v/>
      </c>
      <c r="U57" t="str">
        <f>IF($A57="","",SUMIFS(PIL!$K$15:$K$28,PIL!$A$15:$A$28,$A57))</f>
        <v/>
      </c>
      <c r="V57" t="str">
        <f t="shared" si="1"/>
        <v/>
      </c>
      <c r="W57" t="str">
        <f t="shared" si="2"/>
        <v/>
      </c>
      <c r="X57" t="str">
        <f t="shared" si="3"/>
        <v/>
      </c>
      <c r="Y57" t="str">
        <f t="shared" si="4"/>
        <v/>
      </c>
      <c r="Z57" t="str">
        <f t="shared" si="5"/>
        <v/>
      </c>
      <c r="AA57" t="str">
        <f t="shared" si="6"/>
        <v/>
      </c>
      <c r="AB57" t="str">
        <f t="shared" si="7"/>
        <v/>
      </c>
      <c r="AC57" t="str">
        <f t="shared" si="8"/>
        <v/>
      </c>
      <c r="AD57" t="str">
        <f t="shared" si="9"/>
        <v/>
      </c>
      <c r="AE57" t="str">
        <f t="shared" si="10"/>
        <v/>
      </c>
      <c r="AF57" t="str">
        <f t="shared" si="11"/>
        <v/>
      </c>
      <c r="AG57" t="str">
        <f t="shared" si="12"/>
        <v/>
      </c>
      <c r="AH57" t="str">
        <f t="shared" si="13"/>
        <v/>
      </c>
    </row>
    <row r="58" spans="1:34" x14ac:dyDescent="0.45">
      <c r="A58" t="str">
        <f>IF(Moteur!D58="","",Moteur!D58)</f>
        <v/>
      </c>
      <c r="B58" t="str">
        <f>IF(Moteur!B58="","",Moteur!B58)</f>
        <v/>
      </c>
      <c r="C58" t="str">
        <f>IF(Moteur!F58="","",Moteur!F58)</f>
        <v/>
      </c>
      <c r="D58" t="str">
        <f>IF(Moteur!G58="","",Moteur!G58)</f>
        <v/>
      </c>
      <c r="E58" t="str">
        <f>IF(Moteur!H58="","",Moteur!H58)</f>
        <v/>
      </c>
      <c r="F58" t="str">
        <f>IF(Moteur!E58="","",Moteur!E58)</f>
        <v/>
      </c>
      <c r="G58" t="str">
        <f>IF($A58="","",SUMIFS(Socle!$H$1:$H$1000,Socle!$C$1:$C$1000,$A58,Socle!$D$1:$D$1000,$C58,Socle!$E$1:$E$1000,$D58,Socle!$F$1:$F$1000,$E58,Socle!$G$1:$G$1000,"2026"))</f>
        <v/>
      </c>
      <c r="H58" t="str">
        <f>IF($A58="","",SUMIFS(Socle!$N$1:$N$1000,Socle!$C$1:$C$1000,$A58,Socle!$D$1:$D$1000,$C58,Socle!$E$1:$E$1000,$D58,Socle!$F$1:$F$1000,$E58,Socle!$G$1:$G$1000,"2026"))</f>
        <v/>
      </c>
      <c r="I58" t="str">
        <f>IF($A58="","",SUMIFS(Socle!$P$1:$P$1000,Socle!$C$1:$C$1000,$A58,Socle!$D$1:$D$1000,$C58,Socle!$E$1:$E$1000,$D58,Socle!$F$1:$F$1000,$E58,Socle!$G$1:$G$1000,"2026"))</f>
        <v/>
      </c>
      <c r="J58" t="str">
        <f>IF($A58="","",SUMIFS(Socle!$W$1:$W$1000,Socle!$C$1:$C$1000,$A58,Socle!$D$1:$D$1000,$C58,Socle!$E$1:$E$1000,$D58,Socle!$F$1:$F$1000,$E58,Socle!$G$1:$G$1000,"2026"))</f>
        <v/>
      </c>
      <c r="K58" t="str">
        <f>IF($A58="","",SUMIFS(Socle!$X$1:$X$1000,Socle!$C$1:$C$1000,$A58,Socle!$D$1:$D$1000,$C58,Socle!$E$1:$E$1000,$D58,Socle!$F$1:$F$1000,$E58,Socle!$G$1:$G$1000,"2026"))</f>
        <v/>
      </c>
      <c r="L58" t="str">
        <f>IF($A58="","",SUMIFS(Socle!$Y$1:$Y$1000,Socle!$C$1:$C$1000,$A58,Socle!$D$1:$D$1000,$C58,Socle!$E$1:$E$1000,$D58,Socle!$F$1:$F$1000,$E58,Socle!$G$1:$G$1000,"2026"))</f>
        <v/>
      </c>
      <c r="M58" t="str">
        <f>IF($A58="","",SUMIFS(Socle!$V$1:$V$1000,Socle!$C$1:$C$1000,$A58,Socle!$D$1:$D$1000,$C58,Socle!$E$1:$E$1000,$D58,Socle!$F$1:$F$1000,$E58,Socle!$G$1:$G$1000,"2026"))</f>
        <v/>
      </c>
      <c r="N58" t="str">
        <f t="shared" si="0"/>
        <v/>
      </c>
      <c r="O58" t="str">
        <f>IF($A58="","",SUMIFS(Campagne!$D$1:$D$15,Campagne!$C$1:$C$15,$A58))</f>
        <v/>
      </c>
      <c r="P58" t="str">
        <f>IF($A58="","",SUMIFS(Campagne!$E$1:$E$15,Campagne!$C$1:$C$15,$A58))</f>
        <v/>
      </c>
      <c r="Q58" t="str">
        <f>IF($A58="","",SUMIFS(Campagne!$F$1:$F$15,Campagne!$C$1:$C$15,$A58))</f>
        <v/>
      </c>
      <c r="R58" t="str">
        <f>IF($A58="","",SUMIFS(Campagne!$K$1:$K$15,Campagne!$C$1:$C$15,$A58))</f>
        <v/>
      </c>
      <c r="S58" t="str">
        <f>IF($A58="","",SUMIFS(Campagne!$M$1:$M$15,Campagne!$C$1:$C$15,$A58))</f>
        <v/>
      </c>
      <c r="T58" t="str">
        <f>IF($A58="","",SUMIFS(PIL!$K$15:$K$28,PIL!$A$15:$A$28,$A58)*SUMIFS(PIL!$J$15:$J$28,PIL!$A$15:$A$28,$A58)*(SUM(PIL!$K$15:$K$28)/SUMPRODUCT(PIL!$K$15:$K$28,PIL!$J$15:$J$28)))</f>
        <v/>
      </c>
      <c r="U58" t="str">
        <f>IF($A58="","",SUMIFS(PIL!$K$15:$K$28,PIL!$A$15:$A$28,$A58))</f>
        <v/>
      </c>
      <c r="V58" t="str">
        <f t="shared" si="1"/>
        <v/>
      </c>
      <c r="W58" t="str">
        <f t="shared" si="2"/>
        <v/>
      </c>
      <c r="X58" t="str">
        <f t="shared" si="3"/>
        <v/>
      </c>
      <c r="Y58" t="str">
        <f t="shared" si="4"/>
        <v/>
      </c>
      <c r="Z58" t="str">
        <f t="shared" si="5"/>
        <v/>
      </c>
      <c r="AA58" t="str">
        <f t="shared" si="6"/>
        <v/>
      </c>
      <c r="AB58" t="str">
        <f t="shared" si="7"/>
        <v/>
      </c>
      <c r="AC58" t="str">
        <f t="shared" si="8"/>
        <v/>
      </c>
      <c r="AD58" t="str">
        <f t="shared" si="9"/>
        <v/>
      </c>
      <c r="AE58" t="str">
        <f t="shared" si="10"/>
        <v/>
      </c>
      <c r="AF58" t="str">
        <f t="shared" si="11"/>
        <v/>
      </c>
      <c r="AG58" t="str">
        <f t="shared" si="12"/>
        <v/>
      </c>
      <c r="AH58" t="str">
        <f t="shared" si="13"/>
        <v/>
      </c>
    </row>
    <row r="59" spans="1:34" x14ac:dyDescent="0.45">
      <c r="A59" t="str">
        <f>IF(Moteur!D59="","",Moteur!D59)</f>
        <v/>
      </c>
      <c r="B59" t="str">
        <f>IF(Moteur!B59="","",Moteur!B59)</f>
        <v/>
      </c>
      <c r="C59" t="str">
        <f>IF(Moteur!F59="","",Moteur!F59)</f>
        <v/>
      </c>
      <c r="D59" t="str">
        <f>IF(Moteur!G59="","",Moteur!G59)</f>
        <v/>
      </c>
      <c r="E59" t="str">
        <f>IF(Moteur!H59="","",Moteur!H59)</f>
        <v/>
      </c>
      <c r="F59" t="str">
        <f>IF(Moteur!E59="","",Moteur!E59)</f>
        <v/>
      </c>
      <c r="G59" t="str">
        <f>IF($A59="","",SUMIFS(Socle!$H$1:$H$1000,Socle!$C$1:$C$1000,$A59,Socle!$D$1:$D$1000,$C59,Socle!$E$1:$E$1000,$D59,Socle!$F$1:$F$1000,$E59,Socle!$G$1:$G$1000,"2026"))</f>
        <v/>
      </c>
      <c r="H59" t="str">
        <f>IF($A59="","",SUMIFS(Socle!$N$1:$N$1000,Socle!$C$1:$C$1000,$A59,Socle!$D$1:$D$1000,$C59,Socle!$E$1:$E$1000,$D59,Socle!$F$1:$F$1000,$E59,Socle!$G$1:$G$1000,"2026"))</f>
        <v/>
      </c>
      <c r="I59" t="str">
        <f>IF($A59="","",SUMIFS(Socle!$P$1:$P$1000,Socle!$C$1:$C$1000,$A59,Socle!$D$1:$D$1000,$C59,Socle!$E$1:$E$1000,$D59,Socle!$F$1:$F$1000,$E59,Socle!$G$1:$G$1000,"2026"))</f>
        <v/>
      </c>
      <c r="J59" t="str">
        <f>IF($A59="","",SUMIFS(Socle!$W$1:$W$1000,Socle!$C$1:$C$1000,$A59,Socle!$D$1:$D$1000,$C59,Socle!$E$1:$E$1000,$D59,Socle!$F$1:$F$1000,$E59,Socle!$G$1:$G$1000,"2026"))</f>
        <v/>
      </c>
      <c r="K59" t="str">
        <f>IF($A59="","",SUMIFS(Socle!$X$1:$X$1000,Socle!$C$1:$C$1000,$A59,Socle!$D$1:$D$1000,$C59,Socle!$E$1:$E$1000,$D59,Socle!$F$1:$F$1000,$E59,Socle!$G$1:$G$1000,"2026"))</f>
        <v/>
      </c>
      <c r="L59" t="str">
        <f>IF($A59="","",SUMIFS(Socle!$Y$1:$Y$1000,Socle!$C$1:$C$1000,$A59,Socle!$D$1:$D$1000,$C59,Socle!$E$1:$E$1000,$D59,Socle!$F$1:$F$1000,$E59,Socle!$G$1:$G$1000,"2026"))</f>
        <v/>
      </c>
      <c r="M59" t="str">
        <f>IF($A59="","",SUMIFS(Socle!$V$1:$V$1000,Socle!$C$1:$C$1000,$A59,Socle!$D$1:$D$1000,$C59,Socle!$E$1:$E$1000,$D59,Socle!$F$1:$F$1000,$E59,Socle!$G$1:$G$1000,"2026"))</f>
        <v/>
      </c>
      <c r="N59" t="str">
        <f t="shared" si="0"/>
        <v/>
      </c>
      <c r="O59" t="str">
        <f>IF($A59="","",SUMIFS(Campagne!$D$1:$D$15,Campagne!$C$1:$C$15,$A59))</f>
        <v/>
      </c>
      <c r="P59" t="str">
        <f>IF($A59="","",SUMIFS(Campagne!$E$1:$E$15,Campagne!$C$1:$C$15,$A59))</f>
        <v/>
      </c>
      <c r="Q59" t="str">
        <f>IF($A59="","",SUMIFS(Campagne!$F$1:$F$15,Campagne!$C$1:$C$15,$A59))</f>
        <v/>
      </c>
      <c r="R59" t="str">
        <f>IF($A59="","",SUMIFS(Campagne!$K$1:$K$15,Campagne!$C$1:$C$15,$A59))</f>
        <v/>
      </c>
      <c r="S59" t="str">
        <f>IF($A59="","",SUMIFS(Campagne!$M$1:$M$15,Campagne!$C$1:$C$15,$A59))</f>
        <v/>
      </c>
      <c r="T59" t="str">
        <f>IF($A59="","",SUMIFS(PIL!$K$15:$K$28,PIL!$A$15:$A$28,$A59)*SUMIFS(PIL!$J$15:$J$28,PIL!$A$15:$A$28,$A59)*(SUM(PIL!$K$15:$K$28)/SUMPRODUCT(PIL!$K$15:$K$28,PIL!$J$15:$J$28)))</f>
        <v/>
      </c>
      <c r="U59" t="str">
        <f>IF($A59="","",SUMIFS(PIL!$K$15:$K$28,PIL!$A$15:$A$28,$A59))</f>
        <v/>
      </c>
      <c r="V59" t="str">
        <f t="shared" si="1"/>
        <v/>
      </c>
      <c r="W59" t="str">
        <f t="shared" si="2"/>
        <v/>
      </c>
      <c r="X59" t="str">
        <f t="shared" si="3"/>
        <v/>
      </c>
      <c r="Y59" t="str">
        <f t="shared" si="4"/>
        <v/>
      </c>
      <c r="Z59" t="str">
        <f t="shared" si="5"/>
        <v/>
      </c>
      <c r="AA59" t="str">
        <f t="shared" si="6"/>
        <v/>
      </c>
      <c r="AB59" t="str">
        <f t="shared" si="7"/>
        <v/>
      </c>
      <c r="AC59" t="str">
        <f t="shared" si="8"/>
        <v/>
      </c>
      <c r="AD59" t="str">
        <f t="shared" si="9"/>
        <v/>
      </c>
      <c r="AE59" t="str">
        <f t="shared" si="10"/>
        <v/>
      </c>
      <c r="AF59" t="str">
        <f t="shared" si="11"/>
        <v/>
      </c>
      <c r="AG59" t="str">
        <f t="shared" si="12"/>
        <v/>
      </c>
      <c r="AH59" t="str">
        <f t="shared" si="13"/>
        <v/>
      </c>
    </row>
    <row r="60" spans="1:34" x14ac:dyDescent="0.45">
      <c r="A60" t="str">
        <f>IF(Moteur!D60="","",Moteur!D60)</f>
        <v/>
      </c>
      <c r="B60" t="str">
        <f>IF(Moteur!B60="","",Moteur!B60)</f>
        <v/>
      </c>
      <c r="C60" t="str">
        <f>IF(Moteur!F60="","",Moteur!F60)</f>
        <v/>
      </c>
      <c r="D60" t="str">
        <f>IF(Moteur!G60="","",Moteur!G60)</f>
        <v/>
      </c>
      <c r="E60" t="str">
        <f>IF(Moteur!H60="","",Moteur!H60)</f>
        <v/>
      </c>
      <c r="F60" t="str">
        <f>IF(Moteur!E60="","",Moteur!E60)</f>
        <v/>
      </c>
      <c r="G60" t="str">
        <f>IF($A60="","",SUMIFS(Socle!$H$1:$H$1000,Socle!$C$1:$C$1000,$A60,Socle!$D$1:$D$1000,$C60,Socle!$E$1:$E$1000,$D60,Socle!$F$1:$F$1000,$E60,Socle!$G$1:$G$1000,"2026"))</f>
        <v/>
      </c>
      <c r="H60" t="str">
        <f>IF($A60="","",SUMIFS(Socle!$N$1:$N$1000,Socle!$C$1:$C$1000,$A60,Socle!$D$1:$D$1000,$C60,Socle!$E$1:$E$1000,$D60,Socle!$F$1:$F$1000,$E60,Socle!$G$1:$G$1000,"2026"))</f>
        <v/>
      </c>
      <c r="I60" t="str">
        <f>IF($A60="","",SUMIFS(Socle!$P$1:$P$1000,Socle!$C$1:$C$1000,$A60,Socle!$D$1:$D$1000,$C60,Socle!$E$1:$E$1000,$D60,Socle!$F$1:$F$1000,$E60,Socle!$G$1:$G$1000,"2026"))</f>
        <v/>
      </c>
      <c r="J60" t="str">
        <f>IF($A60="","",SUMIFS(Socle!$W$1:$W$1000,Socle!$C$1:$C$1000,$A60,Socle!$D$1:$D$1000,$C60,Socle!$E$1:$E$1000,$D60,Socle!$F$1:$F$1000,$E60,Socle!$G$1:$G$1000,"2026"))</f>
        <v/>
      </c>
      <c r="K60" t="str">
        <f>IF($A60="","",SUMIFS(Socle!$X$1:$X$1000,Socle!$C$1:$C$1000,$A60,Socle!$D$1:$D$1000,$C60,Socle!$E$1:$E$1000,$D60,Socle!$F$1:$F$1000,$E60,Socle!$G$1:$G$1000,"2026"))</f>
        <v/>
      </c>
      <c r="L60" t="str">
        <f>IF($A60="","",SUMIFS(Socle!$Y$1:$Y$1000,Socle!$C$1:$C$1000,$A60,Socle!$D$1:$D$1000,$C60,Socle!$E$1:$E$1000,$D60,Socle!$F$1:$F$1000,$E60,Socle!$G$1:$G$1000,"2026"))</f>
        <v/>
      </c>
      <c r="M60" t="str">
        <f>IF($A60="","",SUMIFS(Socle!$V$1:$V$1000,Socle!$C$1:$C$1000,$A60,Socle!$D$1:$D$1000,$C60,Socle!$E$1:$E$1000,$D60,Socle!$F$1:$F$1000,$E60,Socle!$G$1:$G$1000,"2026"))</f>
        <v/>
      </c>
      <c r="N60" t="str">
        <f t="shared" si="0"/>
        <v/>
      </c>
      <c r="O60" t="str">
        <f>IF($A60="","",SUMIFS(Campagne!$D$1:$D$15,Campagne!$C$1:$C$15,$A60))</f>
        <v/>
      </c>
      <c r="P60" t="str">
        <f>IF($A60="","",SUMIFS(Campagne!$E$1:$E$15,Campagne!$C$1:$C$15,$A60))</f>
        <v/>
      </c>
      <c r="Q60" t="str">
        <f>IF($A60="","",SUMIFS(Campagne!$F$1:$F$15,Campagne!$C$1:$C$15,$A60))</f>
        <v/>
      </c>
      <c r="R60" t="str">
        <f>IF($A60="","",SUMIFS(Campagne!$K$1:$K$15,Campagne!$C$1:$C$15,$A60))</f>
        <v/>
      </c>
      <c r="S60" t="str">
        <f>IF($A60="","",SUMIFS(Campagne!$M$1:$M$15,Campagne!$C$1:$C$15,$A60))</f>
        <v/>
      </c>
      <c r="T60" t="str">
        <f>IF($A60="","",SUMIFS(PIL!$K$15:$K$28,PIL!$A$15:$A$28,$A60)*SUMIFS(PIL!$J$15:$J$28,PIL!$A$15:$A$28,$A60)*(SUM(PIL!$K$15:$K$28)/SUMPRODUCT(PIL!$K$15:$K$28,PIL!$J$15:$J$28)))</f>
        <v/>
      </c>
      <c r="U60" t="str">
        <f>IF($A60="","",SUMIFS(PIL!$K$15:$K$28,PIL!$A$15:$A$28,$A60))</f>
        <v/>
      </c>
      <c r="V60" t="str">
        <f t="shared" si="1"/>
        <v/>
      </c>
      <c r="W60" t="str">
        <f t="shared" si="2"/>
        <v/>
      </c>
      <c r="X60" t="str">
        <f t="shared" si="3"/>
        <v/>
      </c>
      <c r="Y60" t="str">
        <f t="shared" si="4"/>
        <v/>
      </c>
      <c r="Z60" t="str">
        <f t="shared" si="5"/>
        <v/>
      </c>
      <c r="AA60" t="str">
        <f t="shared" si="6"/>
        <v/>
      </c>
      <c r="AB60" t="str">
        <f t="shared" si="7"/>
        <v/>
      </c>
      <c r="AC60" t="str">
        <f t="shared" si="8"/>
        <v/>
      </c>
      <c r="AD60" t="str">
        <f t="shared" si="9"/>
        <v/>
      </c>
      <c r="AE60" t="str">
        <f t="shared" si="10"/>
        <v/>
      </c>
      <c r="AF60" t="str">
        <f t="shared" si="11"/>
        <v/>
      </c>
      <c r="AG60" t="str">
        <f t="shared" si="12"/>
        <v/>
      </c>
      <c r="AH60" t="str">
        <f t="shared" si="13"/>
        <v/>
      </c>
    </row>
    <row r="61" spans="1:34" x14ac:dyDescent="0.45">
      <c r="A61" t="str">
        <f>IF(Moteur!D61="","",Moteur!D61)</f>
        <v/>
      </c>
      <c r="B61" t="str">
        <f>IF(Moteur!B61="","",Moteur!B61)</f>
        <v/>
      </c>
      <c r="C61" t="str">
        <f>IF(Moteur!F61="","",Moteur!F61)</f>
        <v/>
      </c>
      <c r="D61" t="str">
        <f>IF(Moteur!G61="","",Moteur!G61)</f>
        <v/>
      </c>
      <c r="E61" t="str">
        <f>IF(Moteur!H61="","",Moteur!H61)</f>
        <v/>
      </c>
      <c r="F61" t="str">
        <f>IF(Moteur!E61="","",Moteur!E61)</f>
        <v/>
      </c>
      <c r="G61" t="str">
        <f>IF($A61="","",SUMIFS(Socle!$H$1:$H$1000,Socle!$C$1:$C$1000,$A61,Socle!$D$1:$D$1000,$C61,Socle!$E$1:$E$1000,$D61,Socle!$F$1:$F$1000,$E61,Socle!$G$1:$G$1000,"2026"))</f>
        <v/>
      </c>
      <c r="H61" t="str">
        <f>IF($A61="","",SUMIFS(Socle!$N$1:$N$1000,Socle!$C$1:$C$1000,$A61,Socle!$D$1:$D$1000,$C61,Socle!$E$1:$E$1000,$D61,Socle!$F$1:$F$1000,$E61,Socle!$G$1:$G$1000,"2026"))</f>
        <v/>
      </c>
      <c r="I61" t="str">
        <f>IF($A61="","",SUMIFS(Socle!$P$1:$P$1000,Socle!$C$1:$C$1000,$A61,Socle!$D$1:$D$1000,$C61,Socle!$E$1:$E$1000,$D61,Socle!$F$1:$F$1000,$E61,Socle!$G$1:$G$1000,"2026"))</f>
        <v/>
      </c>
      <c r="J61" t="str">
        <f>IF($A61="","",SUMIFS(Socle!$W$1:$W$1000,Socle!$C$1:$C$1000,$A61,Socle!$D$1:$D$1000,$C61,Socle!$E$1:$E$1000,$D61,Socle!$F$1:$F$1000,$E61,Socle!$G$1:$G$1000,"2026"))</f>
        <v/>
      </c>
      <c r="K61" t="str">
        <f>IF($A61="","",SUMIFS(Socle!$X$1:$X$1000,Socle!$C$1:$C$1000,$A61,Socle!$D$1:$D$1000,$C61,Socle!$E$1:$E$1000,$D61,Socle!$F$1:$F$1000,$E61,Socle!$G$1:$G$1000,"2026"))</f>
        <v/>
      </c>
      <c r="L61" t="str">
        <f>IF($A61="","",SUMIFS(Socle!$Y$1:$Y$1000,Socle!$C$1:$C$1000,$A61,Socle!$D$1:$D$1000,$C61,Socle!$E$1:$E$1000,$D61,Socle!$F$1:$F$1000,$E61,Socle!$G$1:$G$1000,"2026"))</f>
        <v/>
      </c>
      <c r="M61" t="str">
        <f>IF($A61="","",SUMIFS(Socle!$V$1:$V$1000,Socle!$C$1:$C$1000,$A61,Socle!$D$1:$D$1000,$C61,Socle!$E$1:$E$1000,$D61,Socle!$F$1:$F$1000,$E61,Socle!$G$1:$G$1000,"2026"))</f>
        <v/>
      </c>
      <c r="N61" t="str">
        <f t="shared" si="0"/>
        <v/>
      </c>
      <c r="O61" t="str">
        <f>IF($A61="","",SUMIFS(Campagne!$D$1:$D$15,Campagne!$C$1:$C$15,$A61))</f>
        <v/>
      </c>
      <c r="P61" t="str">
        <f>IF($A61="","",SUMIFS(Campagne!$E$1:$E$15,Campagne!$C$1:$C$15,$A61))</f>
        <v/>
      </c>
      <c r="Q61" t="str">
        <f>IF($A61="","",SUMIFS(Campagne!$F$1:$F$15,Campagne!$C$1:$C$15,$A61))</f>
        <v/>
      </c>
      <c r="R61" t="str">
        <f>IF($A61="","",SUMIFS(Campagne!$K$1:$K$15,Campagne!$C$1:$C$15,$A61))</f>
        <v/>
      </c>
      <c r="S61" t="str">
        <f>IF($A61="","",SUMIFS(Campagne!$M$1:$M$15,Campagne!$C$1:$C$15,$A61))</f>
        <v/>
      </c>
      <c r="T61" t="str">
        <f>IF($A61="","",SUMIFS(PIL!$K$15:$K$28,PIL!$A$15:$A$28,$A61)*SUMIFS(PIL!$J$15:$J$28,PIL!$A$15:$A$28,$A61)*(SUM(PIL!$K$15:$K$28)/SUMPRODUCT(PIL!$K$15:$K$28,PIL!$J$15:$J$28)))</f>
        <v/>
      </c>
      <c r="U61" t="str">
        <f>IF($A61="","",SUMIFS(PIL!$K$15:$K$28,PIL!$A$15:$A$28,$A61))</f>
        <v/>
      </c>
      <c r="V61" t="str">
        <f t="shared" si="1"/>
        <v/>
      </c>
      <c r="W61" t="str">
        <f t="shared" si="2"/>
        <v/>
      </c>
      <c r="X61" t="str">
        <f t="shared" si="3"/>
        <v/>
      </c>
      <c r="Y61" t="str">
        <f t="shared" si="4"/>
        <v/>
      </c>
      <c r="Z61" t="str">
        <f t="shared" si="5"/>
        <v/>
      </c>
      <c r="AA61" t="str">
        <f t="shared" si="6"/>
        <v/>
      </c>
      <c r="AB61" t="str">
        <f t="shared" si="7"/>
        <v/>
      </c>
      <c r="AC61" t="str">
        <f t="shared" si="8"/>
        <v/>
      </c>
      <c r="AD61" t="str">
        <f t="shared" si="9"/>
        <v/>
      </c>
      <c r="AE61" t="str">
        <f t="shared" si="10"/>
        <v/>
      </c>
      <c r="AF61" t="str">
        <f t="shared" si="11"/>
        <v/>
      </c>
      <c r="AG61" t="str">
        <f t="shared" si="12"/>
        <v/>
      </c>
      <c r="AH61" t="str">
        <f t="shared" si="13"/>
        <v/>
      </c>
    </row>
    <row r="62" spans="1:34" x14ac:dyDescent="0.45">
      <c r="A62" t="str">
        <f>IF(Moteur!D62="","",Moteur!D62)</f>
        <v/>
      </c>
      <c r="B62" t="str">
        <f>IF(Moteur!B62="","",Moteur!B62)</f>
        <v/>
      </c>
      <c r="C62" t="str">
        <f>IF(Moteur!F62="","",Moteur!F62)</f>
        <v/>
      </c>
      <c r="D62" t="str">
        <f>IF(Moteur!G62="","",Moteur!G62)</f>
        <v/>
      </c>
      <c r="E62" t="str">
        <f>IF(Moteur!H62="","",Moteur!H62)</f>
        <v/>
      </c>
      <c r="F62" t="str">
        <f>IF(Moteur!E62="","",Moteur!E62)</f>
        <v/>
      </c>
      <c r="G62" t="str">
        <f>IF($A62="","",SUMIFS(Socle!$H$1:$H$1000,Socle!$C$1:$C$1000,$A62,Socle!$D$1:$D$1000,$C62,Socle!$E$1:$E$1000,$D62,Socle!$F$1:$F$1000,$E62,Socle!$G$1:$G$1000,"2026"))</f>
        <v/>
      </c>
      <c r="H62" t="str">
        <f>IF($A62="","",SUMIFS(Socle!$N$1:$N$1000,Socle!$C$1:$C$1000,$A62,Socle!$D$1:$D$1000,$C62,Socle!$E$1:$E$1000,$D62,Socle!$F$1:$F$1000,$E62,Socle!$G$1:$G$1000,"2026"))</f>
        <v/>
      </c>
      <c r="I62" t="str">
        <f>IF($A62="","",SUMIFS(Socle!$P$1:$P$1000,Socle!$C$1:$C$1000,$A62,Socle!$D$1:$D$1000,$C62,Socle!$E$1:$E$1000,$D62,Socle!$F$1:$F$1000,$E62,Socle!$G$1:$G$1000,"2026"))</f>
        <v/>
      </c>
      <c r="J62" t="str">
        <f>IF($A62="","",SUMIFS(Socle!$W$1:$W$1000,Socle!$C$1:$C$1000,$A62,Socle!$D$1:$D$1000,$C62,Socle!$E$1:$E$1000,$D62,Socle!$F$1:$F$1000,$E62,Socle!$G$1:$G$1000,"2026"))</f>
        <v/>
      </c>
      <c r="K62" t="str">
        <f>IF($A62="","",SUMIFS(Socle!$X$1:$X$1000,Socle!$C$1:$C$1000,$A62,Socle!$D$1:$D$1000,$C62,Socle!$E$1:$E$1000,$D62,Socle!$F$1:$F$1000,$E62,Socle!$G$1:$G$1000,"2026"))</f>
        <v/>
      </c>
      <c r="L62" t="str">
        <f>IF($A62="","",SUMIFS(Socle!$Y$1:$Y$1000,Socle!$C$1:$C$1000,$A62,Socle!$D$1:$D$1000,$C62,Socle!$E$1:$E$1000,$D62,Socle!$F$1:$F$1000,$E62,Socle!$G$1:$G$1000,"2026"))</f>
        <v/>
      </c>
      <c r="M62" t="str">
        <f>IF($A62="","",SUMIFS(Socle!$V$1:$V$1000,Socle!$C$1:$C$1000,$A62,Socle!$D$1:$D$1000,$C62,Socle!$E$1:$E$1000,$D62,Socle!$F$1:$F$1000,$E62,Socle!$G$1:$G$1000,"2026"))</f>
        <v/>
      </c>
      <c r="N62" t="str">
        <f t="shared" si="0"/>
        <v/>
      </c>
      <c r="O62" t="str">
        <f>IF($A62="","",SUMIFS(Campagne!$D$1:$D$15,Campagne!$C$1:$C$15,$A62))</f>
        <v/>
      </c>
      <c r="P62" t="str">
        <f>IF($A62="","",SUMIFS(Campagne!$E$1:$E$15,Campagne!$C$1:$C$15,$A62))</f>
        <v/>
      </c>
      <c r="Q62" t="str">
        <f>IF($A62="","",SUMIFS(Campagne!$F$1:$F$15,Campagne!$C$1:$C$15,$A62))</f>
        <v/>
      </c>
      <c r="R62" t="str">
        <f>IF($A62="","",SUMIFS(Campagne!$K$1:$K$15,Campagne!$C$1:$C$15,$A62))</f>
        <v/>
      </c>
      <c r="S62" t="str">
        <f>IF($A62="","",SUMIFS(Campagne!$M$1:$M$15,Campagne!$C$1:$C$15,$A62))</f>
        <v/>
      </c>
      <c r="T62" t="str">
        <f>IF($A62="","",SUMIFS(PIL!$K$15:$K$28,PIL!$A$15:$A$28,$A62)*SUMIFS(PIL!$J$15:$J$28,PIL!$A$15:$A$28,$A62)*(SUM(PIL!$K$15:$K$28)/SUMPRODUCT(PIL!$K$15:$K$28,PIL!$J$15:$J$28)))</f>
        <v/>
      </c>
      <c r="U62" t="str">
        <f>IF($A62="","",SUMIFS(PIL!$K$15:$K$28,PIL!$A$15:$A$28,$A62))</f>
        <v/>
      </c>
      <c r="V62" t="str">
        <f t="shared" si="1"/>
        <v/>
      </c>
      <c r="W62" t="str">
        <f t="shared" si="2"/>
        <v/>
      </c>
      <c r="X62" t="str">
        <f t="shared" si="3"/>
        <v/>
      </c>
      <c r="Y62" t="str">
        <f t="shared" si="4"/>
        <v/>
      </c>
      <c r="Z62" t="str">
        <f t="shared" si="5"/>
        <v/>
      </c>
      <c r="AA62" t="str">
        <f t="shared" si="6"/>
        <v/>
      </c>
      <c r="AB62" t="str">
        <f t="shared" si="7"/>
        <v/>
      </c>
      <c r="AC62" t="str">
        <f t="shared" si="8"/>
        <v/>
      </c>
      <c r="AD62" t="str">
        <f t="shared" si="9"/>
        <v/>
      </c>
      <c r="AE62" t="str">
        <f t="shared" si="10"/>
        <v/>
      </c>
      <c r="AF62" t="str">
        <f t="shared" si="11"/>
        <v/>
      </c>
      <c r="AG62" t="str">
        <f t="shared" si="12"/>
        <v/>
      </c>
      <c r="AH62" t="str">
        <f t="shared" si="13"/>
        <v/>
      </c>
    </row>
    <row r="63" spans="1:34" x14ac:dyDescent="0.45">
      <c r="A63" t="str">
        <f>IF(Moteur!D63="","",Moteur!D63)</f>
        <v/>
      </c>
      <c r="B63" t="str">
        <f>IF(Moteur!B63="","",Moteur!B63)</f>
        <v/>
      </c>
      <c r="C63" t="str">
        <f>IF(Moteur!F63="","",Moteur!F63)</f>
        <v/>
      </c>
      <c r="D63" t="str">
        <f>IF(Moteur!G63="","",Moteur!G63)</f>
        <v/>
      </c>
      <c r="E63" t="str">
        <f>IF(Moteur!H63="","",Moteur!H63)</f>
        <v/>
      </c>
      <c r="F63" t="str">
        <f>IF(Moteur!E63="","",Moteur!E63)</f>
        <v/>
      </c>
      <c r="G63" t="str">
        <f>IF($A63="","",SUMIFS(Socle!$H$1:$H$1000,Socle!$C$1:$C$1000,$A63,Socle!$D$1:$D$1000,$C63,Socle!$E$1:$E$1000,$D63,Socle!$F$1:$F$1000,$E63,Socle!$G$1:$G$1000,"2026"))</f>
        <v/>
      </c>
      <c r="H63" t="str">
        <f>IF($A63="","",SUMIFS(Socle!$N$1:$N$1000,Socle!$C$1:$C$1000,$A63,Socle!$D$1:$D$1000,$C63,Socle!$E$1:$E$1000,$D63,Socle!$F$1:$F$1000,$E63,Socle!$G$1:$G$1000,"2026"))</f>
        <v/>
      </c>
      <c r="I63" t="str">
        <f>IF($A63="","",SUMIFS(Socle!$P$1:$P$1000,Socle!$C$1:$C$1000,$A63,Socle!$D$1:$D$1000,$C63,Socle!$E$1:$E$1000,$D63,Socle!$F$1:$F$1000,$E63,Socle!$G$1:$G$1000,"2026"))</f>
        <v/>
      </c>
      <c r="J63" t="str">
        <f>IF($A63="","",SUMIFS(Socle!$W$1:$W$1000,Socle!$C$1:$C$1000,$A63,Socle!$D$1:$D$1000,$C63,Socle!$E$1:$E$1000,$D63,Socle!$F$1:$F$1000,$E63,Socle!$G$1:$G$1000,"2026"))</f>
        <v/>
      </c>
      <c r="K63" t="str">
        <f>IF($A63="","",SUMIFS(Socle!$X$1:$X$1000,Socle!$C$1:$C$1000,$A63,Socle!$D$1:$D$1000,$C63,Socle!$E$1:$E$1000,$D63,Socle!$F$1:$F$1000,$E63,Socle!$G$1:$G$1000,"2026"))</f>
        <v/>
      </c>
      <c r="L63" t="str">
        <f>IF($A63="","",SUMIFS(Socle!$Y$1:$Y$1000,Socle!$C$1:$C$1000,$A63,Socle!$D$1:$D$1000,$C63,Socle!$E$1:$E$1000,$D63,Socle!$F$1:$F$1000,$E63,Socle!$G$1:$G$1000,"2026"))</f>
        <v/>
      </c>
      <c r="M63" t="str">
        <f>IF($A63="","",SUMIFS(Socle!$V$1:$V$1000,Socle!$C$1:$C$1000,$A63,Socle!$D$1:$D$1000,$C63,Socle!$E$1:$E$1000,$D63,Socle!$F$1:$F$1000,$E63,Socle!$G$1:$G$1000,"2026"))</f>
        <v/>
      </c>
      <c r="N63" t="str">
        <f t="shared" si="0"/>
        <v/>
      </c>
      <c r="O63" t="str">
        <f>IF($A63="","",SUMIFS(Campagne!$D$1:$D$15,Campagne!$C$1:$C$15,$A63))</f>
        <v/>
      </c>
      <c r="P63" t="str">
        <f>IF($A63="","",SUMIFS(Campagne!$E$1:$E$15,Campagne!$C$1:$C$15,$A63))</f>
        <v/>
      </c>
      <c r="Q63" t="str">
        <f>IF($A63="","",SUMIFS(Campagne!$F$1:$F$15,Campagne!$C$1:$C$15,$A63))</f>
        <v/>
      </c>
      <c r="R63" t="str">
        <f>IF($A63="","",SUMIFS(Campagne!$K$1:$K$15,Campagne!$C$1:$C$15,$A63))</f>
        <v/>
      </c>
      <c r="S63" t="str">
        <f>IF($A63="","",SUMIFS(Campagne!$M$1:$M$15,Campagne!$C$1:$C$15,$A63))</f>
        <v/>
      </c>
      <c r="T63" t="str">
        <f>IF($A63="","",SUMIFS(PIL!$K$15:$K$28,PIL!$A$15:$A$28,$A63)*SUMIFS(PIL!$J$15:$J$28,PIL!$A$15:$A$28,$A63)*(SUM(PIL!$K$15:$K$28)/SUMPRODUCT(PIL!$K$15:$K$28,PIL!$J$15:$J$28)))</f>
        <v/>
      </c>
      <c r="U63" t="str">
        <f>IF($A63="","",SUMIFS(PIL!$K$15:$K$28,PIL!$A$15:$A$28,$A63))</f>
        <v/>
      </c>
      <c r="V63" t="str">
        <f t="shared" si="1"/>
        <v/>
      </c>
      <c r="W63" t="str">
        <f t="shared" si="2"/>
        <v/>
      </c>
      <c r="X63" t="str">
        <f t="shared" si="3"/>
        <v/>
      </c>
      <c r="Y63" t="str">
        <f t="shared" si="4"/>
        <v/>
      </c>
      <c r="Z63" t="str">
        <f t="shared" si="5"/>
        <v/>
      </c>
      <c r="AA63" t="str">
        <f t="shared" si="6"/>
        <v/>
      </c>
      <c r="AB63" t="str">
        <f t="shared" si="7"/>
        <v/>
      </c>
      <c r="AC63" t="str">
        <f t="shared" si="8"/>
        <v/>
      </c>
      <c r="AD63" t="str">
        <f t="shared" si="9"/>
        <v/>
      </c>
      <c r="AE63" t="str">
        <f t="shared" si="10"/>
        <v/>
      </c>
      <c r="AF63" t="str">
        <f t="shared" si="11"/>
        <v/>
      </c>
      <c r="AG63" t="str">
        <f t="shared" si="12"/>
        <v/>
      </c>
      <c r="AH63" t="str">
        <f t="shared" si="13"/>
        <v/>
      </c>
    </row>
    <row r="64" spans="1:34" x14ac:dyDescent="0.45">
      <c r="A64" t="str">
        <f>IF(Moteur!D64="","",Moteur!D64)</f>
        <v/>
      </c>
      <c r="B64" t="str">
        <f>IF(Moteur!B64="","",Moteur!B64)</f>
        <v/>
      </c>
      <c r="C64" t="str">
        <f>IF(Moteur!F64="","",Moteur!F64)</f>
        <v/>
      </c>
      <c r="D64" t="str">
        <f>IF(Moteur!G64="","",Moteur!G64)</f>
        <v/>
      </c>
      <c r="E64" t="str">
        <f>IF(Moteur!H64="","",Moteur!H64)</f>
        <v/>
      </c>
      <c r="F64" t="str">
        <f>IF(Moteur!E64="","",Moteur!E64)</f>
        <v/>
      </c>
      <c r="G64" t="str">
        <f>IF($A64="","",SUMIFS(Socle!$H$1:$H$1000,Socle!$C$1:$C$1000,$A64,Socle!$D$1:$D$1000,$C64,Socle!$E$1:$E$1000,$D64,Socle!$F$1:$F$1000,$E64,Socle!$G$1:$G$1000,"2026"))</f>
        <v/>
      </c>
      <c r="H64" t="str">
        <f>IF($A64="","",SUMIFS(Socle!$N$1:$N$1000,Socle!$C$1:$C$1000,$A64,Socle!$D$1:$D$1000,$C64,Socle!$E$1:$E$1000,$D64,Socle!$F$1:$F$1000,$E64,Socle!$G$1:$G$1000,"2026"))</f>
        <v/>
      </c>
      <c r="I64" t="str">
        <f>IF($A64="","",SUMIFS(Socle!$P$1:$P$1000,Socle!$C$1:$C$1000,$A64,Socle!$D$1:$D$1000,$C64,Socle!$E$1:$E$1000,$D64,Socle!$F$1:$F$1000,$E64,Socle!$G$1:$G$1000,"2026"))</f>
        <v/>
      </c>
      <c r="J64" t="str">
        <f>IF($A64="","",SUMIFS(Socle!$W$1:$W$1000,Socle!$C$1:$C$1000,$A64,Socle!$D$1:$D$1000,$C64,Socle!$E$1:$E$1000,$D64,Socle!$F$1:$F$1000,$E64,Socle!$G$1:$G$1000,"2026"))</f>
        <v/>
      </c>
      <c r="K64" t="str">
        <f>IF($A64="","",SUMIFS(Socle!$X$1:$X$1000,Socle!$C$1:$C$1000,$A64,Socle!$D$1:$D$1000,$C64,Socle!$E$1:$E$1000,$D64,Socle!$F$1:$F$1000,$E64,Socle!$G$1:$G$1000,"2026"))</f>
        <v/>
      </c>
      <c r="L64" t="str">
        <f>IF($A64="","",SUMIFS(Socle!$Y$1:$Y$1000,Socle!$C$1:$C$1000,$A64,Socle!$D$1:$D$1000,$C64,Socle!$E$1:$E$1000,$D64,Socle!$F$1:$F$1000,$E64,Socle!$G$1:$G$1000,"2026"))</f>
        <v/>
      </c>
      <c r="M64" t="str">
        <f>IF($A64="","",SUMIFS(Socle!$V$1:$V$1000,Socle!$C$1:$C$1000,$A64,Socle!$D$1:$D$1000,$C64,Socle!$E$1:$E$1000,$D64,Socle!$F$1:$F$1000,$E64,Socle!$G$1:$G$1000,"2026"))</f>
        <v/>
      </c>
      <c r="N64" t="str">
        <f t="shared" si="0"/>
        <v/>
      </c>
      <c r="O64" t="str">
        <f>IF($A64="","",SUMIFS(Campagne!$D$1:$D$15,Campagne!$C$1:$C$15,$A64))</f>
        <v/>
      </c>
      <c r="P64" t="str">
        <f>IF($A64="","",SUMIFS(Campagne!$E$1:$E$15,Campagne!$C$1:$C$15,$A64))</f>
        <v/>
      </c>
      <c r="Q64" t="str">
        <f>IF($A64="","",SUMIFS(Campagne!$F$1:$F$15,Campagne!$C$1:$C$15,$A64))</f>
        <v/>
      </c>
      <c r="R64" t="str">
        <f>IF($A64="","",SUMIFS(Campagne!$K$1:$K$15,Campagne!$C$1:$C$15,$A64))</f>
        <v/>
      </c>
      <c r="S64" t="str">
        <f>IF($A64="","",SUMIFS(Campagne!$M$1:$M$15,Campagne!$C$1:$C$15,$A64))</f>
        <v/>
      </c>
      <c r="T64" t="str">
        <f>IF($A64="","",SUMIFS(PIL!$K$15:$K$28,PIL!$A$15:$A$28,$A64)*SUMIFS(PIL!$J$15:$J$28,PIL!$A$15:$A$28,$A64)*(SUM(PIL!$K$15:$K$28)/SUMPRODUCT(PIL!$K$15:$K$28,PIL!$J$15:$J$28)))</f>
        <v/>
      </c>
      <c r="U64" t="str">
        <f>IF($A64="","",SUMIFS(PIL!$K$15:$K$28,PIL!$A$15:$A$28,$A64))</f>
        <v/>
      </c>
      <c r="V64" t="str">
        <f t="shared" si="1"/>
        <v/>
      </c>
      <c r="W64" t="str">
        <f t="shared" si="2"/>
        <v/>
      </c>
      <c r="X64" t="str">
        <f t="shared" si="3"/>
        <v/>
      </c>
      <c r="Y64" t="str">
        <f t="shared" si="4"/>
        <v/>
      </c>
      <c r="Z64" t="str">
        <f t="shared" si="5"/>
        <v/>
      </c>
      <c r="AA64" t="str">
        <f t="shared" si="6"/>
        <v/>
      </c>
      <c r="AB64" t="str">
        <f t="shared" si="7"/>
        <v/>
      </c>
      <c r="AC64" t="str">
        <f t="shared" si="8"/>
        <v/>
      </c>
      <c r="AD64" t="str">
        <f t="shared" si="9"/>
        <v/>
      </c>
      <c r="AE64" t="str">
        <f t="shared" si="10"/>
        <v/>
      </c>
      <c r="AF64" t="str">
        <f t="shared" si="11"/>
        <v/>
      </c>
      <c r="AG64" t="str">
        <f t="shared" si="12"/>
        <v/>
      </c>
      <c r="AH64" t="str">
        <f t="shared" si="13"/>
        <v/>
      </c>
    </row>
    <row r="65" spans="1:34" x14ac:dyDescent="0.45">
      <c r="A65" t="str">
        <f>IF(Moteur!D65="","",Moteur!D65)</f>
        <v/>
      </c>
      <c r="B65" t="str">
        <f>IF(Moteur!B65="","",Moteur!B65)</f>
        <v/>
      </c>
      <c r="C65" t="str">
        <f>IF(Moteur!F65="","",Moteur!F65)</f>
        <v/>
      </c>
      <c r="D65" t="str">
        <f>IF(Moteur!G65="","",Moteur!G65)</f>
        <v/>
      </c>
      <c r="E65" t="str">
        <f>IF(Moteur!H65="","",Moteur!H65)</f>
        <v/>
      </c>
      <c r="F65" t="str">
        <f>IF(Moteur!E65="","",Moteur!E65)</f>
        <v/>
      </c>
      <c r="G65" t="str">
        <f>IF($A65="","",SUMIFS(Socle!$H$1:$H$1000,Socle!$C$1:$C$1000,$A65,Socle!$D$1:$D$1000,$C65,Socle!$E$1:$E$1000,$D65,Socle!$F$1:$F$1000,$E65,Socle!$G$1:$G$1000,"2026"))</f>
        <v/>
      </c>
      <c r="H65" t="str">
        <f>IF($A65="","",SUMIFS(Socle!$N$1:$N$1000,Socle!$C$1:$C$1000,$A65,Socle!$D$1:$D$1000,$C65,Socle!$E$1:$E$1000,$D65,Socle!$F$1:$F$1000,$E65,Socle!$G$1:$G$1000,"2026"))</f>
        <v/>
      </c>
      <c r="I65" t="str">
        <f>IF($A65="","",SUMIFS(Socle!$P$1:$P$1000,Socle!$C$1:$C$1000,$A65,Socle!$D$1:$D$1000,$C65,Socle!$E$1:$E$1000,$D65,Socle!$F$1:$F$1000,$E65,Socle!$G$1:$G$1000,"2026"))</f>
        <v/>
      </c>
      <c r="J65" t="str">
        <f>IF($A65="","",SUMIFS(Socle!$W$1:$W$1000,Socle!$C$1:$C$1000,$A65,Socle!$D$1:$D$1000,$C65,Socle!$E$1:$E$1000,$D65,Socle!$F$1:$F$1000,$E65,Socle!$G$1:$G$1000,"2026"))</f>
        <v/>
      </c>
      <c r="K65" t="str">
        <f>IF($A65="","",SUMIFS(Socle!$X$1:$X$1000,Socle!$C$1:$C$1000,$A65,Socle!$D$1:$D$1000,$C65,Socle!$E$1:$E$1000,$D65,Socle!$F$1:$F$1000,$E65,Socle!$G$1:$G$1000,"2026"))</f>
        <v/>
      </c>
      <c r="L65" t="str">
        <f>IF($A65="","",SUMIFS(Socle!$Y$1:$Y$1000,Socle!$C$1:$C$1000,$A65,Socle!$D$1:$D$1000,$C65,Socle!$E$1:$E$1000,$D65,Socle!$F$1:$F$1000,$E65,Socle!$G$1:$G$1000,"2026"))</f>
        <v/>
      </c>
      <c r="M65" t="str">
        <f>IF($A65="","",SUMIFS(Socle!$V$1:$V$1000,Socle!$C$1:$C$1000,$A65,Socle!$D$1:$D$1000,$C65,Socle!$E$1:$E$1000,$D65,Socle!$F$1:$F$1000,$E65,Socle!$G$1:$G$1000,"2026"))</f>
        <v/>
      </c>
      <c r="N65" t="str">
        <f t="shared" si="0"/>
        <v/>
      </c>
      <c r="O65" t="str">
        <f>IF($A65="","",SUMIFS(Campagne!$D$1:$D$15,Campagne!$C$1:$C$15,$A65))</f>
        <v/>
      </c>
      <c r="P65" t="str">
        <f>IF($A65="","",SUMIFS(Campagne!$E$1:$E$15,Campagne!$C$1:$C$15,$A65))</f>
        <v/>
      </c>
      <c r="Q65" t="str">
        <f>IF($A65="","",SUMIFS(Campagne!$F$1:$F$15,Campagne!$C$1:$C$15,$A65))</f>
        <v/>
      </c>
      <c r="R65" t="str">
        <f>IF($A65="","",SUMIFS(Campagne!$K$1:$K$15,Campagne!$C$1:$C$15,$A65))</f>
        <v/>
      </c>
      <c r="S65" t="str">
        <f>IF($A65="","",SUMIFS(Campagne!$M$1:$M$15,Campagne!$C$1:$C$15,$A65))</f>
        <v/>
      </c>
      <c r="T65" t="str">
        <f>IF($A65="","",SUMIFS(PIL!$K$15:$K$28,PIL!$A$15:$A$28,$A65)*SUMIFS(PIL!$J$15:$J$28,PIL!$A$15:$A$28,$A65)*(SUM(PIL!$K$15:$K$28)/SUMPRODUCT(PIL!$K$15:$K$28,PIL!$J$15:$J$28)))</f>
        <v/>
      </c>
      <c r="U65" t="str">
        <f>IF($A65="","",SUMIFS(PIL!$K$15:$K$28,PIL!$A$15:$A$28,$A65))</f>
        <v/>
      </c>
      <c r="V65" t="str">
        <f t="shared" si="1"/>
        <v/>
      </c>
      <c r="W65" t="str">
        <f t="shared" si="2"/>
        <v/>
      </c>
      <c r="X65" t="str">
        <f t="shared" si="3"/>
        <v/>
      </c>
      <c r="Y65" t="str">
        <f t="shared" si="4"/>
        <v/>
      </c>
      <c r="Z65" t="str">
        <f t="shared" si="5"/>
        <v/>
      </c>
      <c r="AA65" t="str">
        <f t="shared" si="6"/>
        <v/>
      </c>
      <c r="AB65" t="str">
        <f t="shared" si="7"/>
        <v/>
      </c>
      <c r="AC65" t="str">
        <f t="shared" si="8"/>
        <v/>
      </c>
      <c r="AD65" t="str">
        <f t="shared" si="9"/>
        <v/>
      </c>
      <c r="AE65" t="str">
        <f t="shared" si="10"/>
        <v/>
      </c>
      <c r="AF65" t="str">
        <f t="shared" si="11"/>
        <v/>
      </c>
      <c r="AG65" t="str">
        <f t="shared" si="12"/>
        <v/>
      </c>
      <c r="AH65" t="str">
        <f t="shared" si="13"/>
        <v/>
      </c>
    </row>
    <row r="66" spans="1:34" x14ac:dyDescent="0.45">
      <c r="A66" t="str">
        <f>IF(Moteur!D66="","",Moteur!D66)</f>
        <v/>
      </c>
      <c r="B66" t="str">
        <f>IF(Moteur!B66="","",Moteur!B66)</f>
        <v/>
      </c>
      <c r="C66" t="str">
        <f>IF(Moteur!F66="","",Moteur!F66)</f>
        <v/>
      </c>
      <c r="D66" t="str">
        <f>IF(Moteur!G66="","",Moteur!G66)</f>
        <v/>
      </c>
      <c r="E66" t="str">
        <f>IF(Moteur!H66="","",Moteur!H66)</f>
        <v/>
      </c>
      <c r="F66" t="str">
        <f>IF(Moteur!E66="","",Moteur!E66)</f>
        <v/>
      </c>
      <c r="G66" t="str">
        <f>IF($A66="","",SUMIFS(Socle!$H$1:$H$1000,Socle!$C$1:$C$1000,$A66,Socle!$D$1:$D$1000,$C66,Socle!$E$1:$E$1000,$D66,Socle!$F$1:$F$1000,$E66,Socle!$G$1:$G$1000,"2026"))</f>
        <v/>
      </c>
      <c r="H66" t="str">
        <f>IF($A66="","",SUMIFS(Socle!$N$1:$N$1000,Socle!$C$1:$C$1000,$A66,Socle!$D$1:$D$1000,$C66,Socle!$E$1:$E$1000,$D66,Socle!$F$1:$F$1000,$E66,Socle!$G$1:$G$1000,"2026"))</f>
        <v/>
      </c>
      <c r="I66" t="str">
        <f>IF($A66="","",SUMIFS(Socle!$P$1:$P$1000,Socle!$C$1:$C$1000,$A66,Socle!$D$1:$D$1000,$C66,Socle!$E$1:$E$1000,$D66,Socle!$F$1:$F$1000,$E66,Socle!$G$1:$G$1000,"2026"))</f>
        <v/>
      </c>
      <c r="J66" t="str">
        <f>IF($A66="","",SUMIFS(Socle!$W$1:$W$1000,Socle!$C$1:$C$1000,$A66,Socle!$D$1:$D$1000,$C66,Socle!$E$1:$E$1000,$D66,Socle!$F$1:$F$1000,$E66,Socle!$G$1:$G$1000,"2026"))</f>
        <v/>
      </c>
      <c r="K66" t="str">
        <f>IF($A66="","",SUMIFS(Socle!$X$1:$X$1000,Socle!$C$1:$C$1000,$A66,Socle!$D$1:$D$1000,$C66,Socle!$E$1:$E$1000,$D66,Socle!$F$1:$F$1000,$E66,Socle!$G$1:$G$1000,"2026"))</f>
        <v/>
      </c>
      <c r="L66" t="str">
        <f>IF($A66="","",SUMIFS(Socle!$Y$1:$Y$1000,Socle!$C$1:$C$1000,$A66,Socle!$D$1:$D$1000,$C66,Socle!$E$1:$E$1000,$D66,Socle!$F$1:$F$1000,$E66,Socle!$G$1:$G$1000,"2026"))</f>
        <v/>
      </c>
      <c r="M66" t="str">
        <f>IF($A66="","",SUMIFS(Socle!$V$1:$V$1000,Socle!$C$1:$C$1000,$A66,Socle!$D$1:$D$1000,$C66,Socle!$E$1:$E$1000,$D66,Socle!$F$1:$F$1000,$E66,Socle!$G$1:$G$1000,"2026"))</f>
        <v/>
      </c>
      <c r="N66" t="str">
        <f t="shared" ref="N66:N129" si="14">IF($A66="","",IF(OR($D66="B1",$D66="M1",$D66="BTS1"),1,0))</f>
        <v/>
      </c>
      <c r="O66" t="str">
        <f>IF($A66="","",SUMIFS(Campagne!$D$1:$D$15,Campagne!$C$1:$C$15,$A66))</f>
        <v/>
      </c>
      <c r="P66" t="str">
        <f>IF($A66="","",SUMIFS(Campagne!$E$1:$E$15,Campagne!$C$1:$C$15,$A66))</f>
        <v/>
      </c>
      <c r="Q66" t="str">
        <f>IF($A66="","",SUMIFS(Campagne!$F$1:$F$15,Campagne!$C$1:$C$15,$A66))</f>
        <v/>
      </c>
      <c r="R66" t="str">
        <f>IF($A66="","",SUMIFS(Campagne!$K$1:$K$15,Campagne!$C$1:$C$15,$A66))</f>
        <v/>
      </c>
      <c r="S66" t="str">
        <f>IF($A66="","",SUMIFS(Campagne!$M$1:$M$15,Campagne!$C$1:$C$15,$A66))</f>
        <v/>
      </c>
      <c r="T66" t="str">
        <f>IF($A66="","",SUMIFS(PIL!$K$15:$K$28,PIL!$A$15:$A$28,$A66)*SUMIFS(PIL!$J$15:$J$28,PIL!$A$15:$A$28,$A66)*(SUM(PIL!$K$15:$K$28)/SUMPRODUCT(PIL!$K$15:$K$28,PIL!$J$15:$J$28)))</f>
        <v/>
      </c>
      <c r="U66" t="str">
        <f>IF($A66="","",SUMIFS(PIL!$K$15:$K$28,PIL!$A$15:$A$28,$A66))</f>
        <v/>
      </c>
      <c r="V66" t="str">
        <f t="shared" ref="V66:V129" si="15">IF($A66="","",IF($B66="V01",cad!$C$23,IF($B66="V02",cad!$D$23,cad!$E$23)))</f>
        <v/>
      </c>
      <c r="W66" t="str">
        <f t="shared" ref="W66:W129" si="16">IF($A66="","",IF($B66="V01",cad!$C$24,IF($B66="V02",cad!$D$24,cad!$E$24)))</f>
        <v/>
      </c>
      <c r="X66" t="str">
        <f t="shared" ref="X66:X129" si="17">IF($A66="","",IF($B66="V01",cad!$C$25,IF($B66="V02",cad!$D$25,cad!$E$25)))</f>
        <v/>
      </c>
      <c r="Y66" t="str">
        <f t="shared" ref="Y66:Y129" si="18">IF($A66="","",IF($B66="V01",cad!$C$26,IF($B66="V02",cad!$D$26,cad!$E$26)))</f>
        <v/>
      </c>
      <c r="Z66" t="str">
        <f t="shared" ref="Z66:Z129" si="19">IF($A66="","",IF($B66="V01",cad!$C$27,IF($B66="V02",cad!$D$27,cad!$E$27)))</f>
        <v/>
      </c>
      <c r="AA66" t="str">
        <f t="shared" ref="AA66:AA129" si="20">IF($A66="","",IF($B66="V01",cad!$C$28,IF($B66="V02",cad!$D$28,cad!$E$28)))</f>
        <v/>
      </c>
      <c r="AB66" t="str">
        <f t="shared" ref="AB66:AB129" si="21">IF($A66="","",IF($B66="V01",cad!$C$39,IF($B66="V02",cad!$D$39,cad!$E$39)))</f>
        <v/>
      </c>
      <c r="AC66" t="str">
        <f t="shared" ref="AC66:AC129" si="22">IF($A66="","",IF($F66="MBWAY",cad!$J$12,IF($F66="ISCOM",cad!$J$13,IF($F66="IPAC",cad!$J$14,IF($F66="PIGIER",cad!$J$15,cad!$J$16)))))</f>
        <v/>
      </c>
      <c r="AD66" t="str">
        <f t="shared" ref="AD66:AD129" si="23">IF($A66="","",($O66*(1+$W66)^$S66+$P66*IFERROR((($T66/$U66)*(1+$V66))^$R66,0))*IFERROR($G66/$Q66,0)*($J66+$Y66)*$K66*($L66+$Z66))</f>
        <v/>
      </c>
      <c r="AE66" t="str">
        <f t="shared" ref="AE66:AE129" si="24">IF($A66="","",IF($N66=1,$AD66,0))</f>
        <v/>
      </c>
      <c r="AF66" t="str">
        <f t="shared" ref="AF66:AF129" si="25">IF($A66="","",IF($N66=1,$AD66,$H66*($M66+$AA66)))</f>
        <v/>
      </c>
      <c r="AG66" t="str">
        <f t="shared" ref="AG66:AG129" si="26">IF($A66="","",$I66*(1+$X66*$AC66))</f>
        <v/>
      </c>
      <c r="AH66" t="str">
        <f t="shared" ref="AH66:AH129" si="27">IF($A66="","",$AF66*$AG66+$AE66*$AB66)</f>
        <v/>
      </c>
    </row>
    <row r="67" spans="1:34" x14ac:dyDescent="0.45">
      <c r="A67" t="str">
        <f>IF(Moteur!D67="","",Moteur!D67)</f>
        <v/>
      </c>
      <c r="B67" t="str">
        <f>IF(Moteur!B67="","",Moteur!B67)</f>
        <v/>
      </c>
      <c r="C67" t="str">
        <f>IF(Moteur!F67="","",Moteur!F67)</f>
        <v/>
      </c>
      <c r="D67" t="str">
        <f>IF(Moteur!G67="","",Moteur!G67)</f>
        <v/>
      </c>
      <c r="E67" t="str">
        <f>IF(Moteur!H67="","",Moteur!H67)</f>
        <v/>
      </c>
      <c r="F67" t="str">
        <f>IF(Moteur!E67="","",Moteur!E67)</f>
        <v/>
      </c>
      <c r="G67" t="str">
        <f>IF($A67="","",SUMIFS(Socle!$H$1:$H$1000,Socle!$C$1:$C$1000,$A67,Socle!$D$1:$D$1000,$C67,Socle!$E$1:$E$1000,$D67,Socle!$F$1:$F$1000,$E67,Socle!$G$1:$G$1000,"2026"))</f>
        <v/>
      </c>
      <c r="H67" t="str">
        <f>IF($A67="","",SUMIFS(Socle!$N$1:$N$1000,Socle!$C$1:$C$1000,$A67,Socle!$D$1:$D$1000,$C67,Socle!$E$1:$E$1000,$D67,Socle!$F$1:$F$1000,$E67,Socle!$G$1:$G$1000,"2026"))</f>
        <v/>
      </c>
      <c r="I67" t="str">
        <f>IF($A67="","",SUMIFS(Socle!$P$1:$P$1000,Socle!$C$1:$C$1000,$A67,Socle!$D$1:$D$1000,$C67,Socle!$E$1:$E$1000,$D67,Socle!$F$1:$F$1000,$E67,Socle!$G$1:$G$1000,"2026"))</f>
        <v/>
      </c>
      <c r="J67" t="str">
        <f>IF($A67="","",SUMIFS(Socle!$W$1:$W$1000,Socle!$C$1:$C$1000,$A67,Socle!$D$1:$D$1000,$C67,Socle!$E$1:$E$1000,$D67,Socle!$F$1:$F$1000,$E67,Socle!$G$1:$G$1000,"2026"))</f>
        <v/>
      </c>
      <c r="K67" t="str">
        <f>IF($A67="","",SUMIFS(Socle!$X$1:$X$1000,Socle!$C$1:$C$1000,$A67,Socle!$D$1:$D$1000,$C67,Socle!$E$1:$E$1000,$D67,Socle!$F$1:$F$1000,$E67,Socle!$G$1:$G$1000,"2026"))</f>
        <v/>
      </c>
      <c r="L67" t="str">
        <f>IF($A67="","",SUMIFS(Socle!$Y$1:$Y$1000,Socle!$C$1:$C$1000,$A67,Socle!$D$1:$D$1000,$C67,Socle!$E$1:$E$1000,$D67,Socle!$F$1:$F$1000,$E67,Socle!$G$1:$G$1000,"2026"))</f>
        <v/>
      </c>
      <c r="M67" t="str">
        <f>IF($A67="","",SUMIFS(Socle!$V$1:$V$1000,Socle!$C$1:$C$1000,$A67,Socle!$D$1:$D$1000,$C67,Socle!$E$1:$E$1000,$D67,Socle!$F$1:$F$1000,$E67,Socle!$G$1:$G$1000,"2026"))</f>
        <v/>
      </c>
      <c r="N67" t="str">
        <f t="shared" si="14"/>
        <v/>
      </c>
      <c r="O67" t="str">
        <f>IF($A67="","",SUMIFS(Campagne!$D$1:$D$15,Campagne!$C$1:$C$15,$A67))</f>
        <v/>
      </c>
      <c r="P67" t="str">
        <f>IF($A67="","",SUMIFS(Campagne!$E$1:$E$15,Campagne!$C$1:$C$15,$A67))</f>
        <v/>
      </c>
      <c r="Q67" t="str">
        <f>IF($A67="","",SUMIFS(Campagne!$F$1:$F$15,Campagne!$C$1:$C$15,$A67))</f>
        <v/>
      </c>
      <c r="R67" t="str">
        <f>IF($A67="","",SUMIFS(Campagne!$K$1:$K$15,Campagne!$C$1:$C$15,$A67))</f>
        <v/>
      </c>
      <c r="S67" t="str">
        <f>IF($A67="","",SUMIFS(Campagne!$M$1:$M$15,Campagne!$C$1:$C$15,$A67))</f>
        <v/>
      </c>
      <c r="T67" t="str">
        <f>IF($A67="","",SUMIFS(PIL!$K$15:$K$28,PIL!$A$15:$A$28,$A67)*SUMIFS(PIL!$J$15:$J$28,PIL!$A$15:$A$28,$A67)*(SUM(PIL!$K$15:$K$28)/SUMPRODUCT(PIL!$K$15:$K$28,PIL!$J$15:$J$28)))</f>
        <v/>
      </c>
      <c r="U67" t="str">
        <f>IF($A67="","",SUMIFS(PIL!$K$15:$K$28,PIL!$A$15:$A$28,$A67))</f>
        <v/>
      </c>
      <c r="V67" t="str">
        <f t="shared" si="15"/>
        <v/>
      </c>
      <c r="W67" t="str">
        <f t="shared" si="16"/>
        <v/>
      </c>
      <c r="X67" t="str">
        <f t="shared" si="17"/>
        <v/>
      </c>
      <c r="Y67" t="str">
        <f t="shared" si="18"/>
        <v/>
      </c>
      <c r="Z67" t="str">
        <f t="shared" si="19"/>
        <v/>
      </c>
      <c r="AA67" t="str">
        <f t="shared" si="20"/>
        <v/>
      </c>
      <c r="AB67" t="str">
        <f t="shared" si="21"/>
        <v/>
      </c>
      <c r="AC67" t="str">
        <f t="shared" si="22"/>
        <v/>
      </c>
      <c r="AD67" t="str">
        <f t="shared" si="23"/>
        <v/>
      </c>
      <c r="AE67" t="str">
        <f t="shared" si="24"/>
        <v/>
      </c>
      <c r="AF67" t="str">
        <f t="shared" si="25"/>
        <v/>
      </c>
      <c r="AG67" t="str">
        <f t="shared" si="26"/>
        <v/>
      </c>
      <c r="AH67" t="str">
        <f t="shared" si="27"/>
        <v/>
      </c>
    </row>
    <row r="68" spans="1:34" x14ac:dyDescent="0.45">
      <c r="A68" t="str">
        <f>IF(Moteur!D68="","",Moteur!D68)</f>
        <v/>
      </c>
      <c r="B68" t="str">
        <f>IF(Moteur!B68="","",Moteur!B68)</f>
        <v/>
      </c>
      <c r="C68" t="str">
        <f>IF(Moteur!F68="","",Moteur!F68)</f>
        <v/>
      </c>
      <c r="D68" t="str">
        <f>IF(Moteur!G68="","",Moteur!G68)</f>
        <v/>
      </c>
      <c r="E68" t="str">
        <f>IF(Moteur!H68="","",Moteur!H68)</f>
        <v/>
      </c>
      <c r="F68" t="str">
        <f>IF(Moteur!E68="","",Moteur!E68)</f>
        <v/>
      </c>
      <c r="G68" t="str">
        <f>IF($A68="","",SUMIFS(Socle!$H$1:$H$1000,Socle!$C$1:$C$1000,$A68,Socle!$D$1:$D$1000,$C68,Socle!$E$1:$E$1000,$D68,Socle!$F$1:$F$1000,$E68,Socle!$G$1:$G$1000,"2026"))</f>
        <v/>
      </c>
      <c r="H68" t="str">
        <f>IF($A68="","",SUMIFS(Socle!$N$1:$N$1000,Socle!$C$1:$C$1000,$A68,Socle!$D$1:$D$1000,$C68,Socle!$E$1:$E$1000,$D68,Socle!$F$1:$F$1000,$E68,Socle!$G$1:$G$1000,"2026"))</f>
        <v/>
      </c>
      <c r="I68" t="str">
        <f>IF($A68="","",SUMIFS(Socle!$P$1:$P$1000,Socle!$C$1:$C$1000,$A68,Socle!$D$1:$D$1000,$C68,Socle!$E$1:$E$1000,$D68,Socle!$F$1:$F$1000,$E68,Socle!$G$1:$G$1000,"2026"))</f>
        <v/>
      </c>
      <c r="J68" t="str">
        <f>IF($A68="","",SUMIFS(Socle!$W$1:$W$1000,Socle!$C$1:$C$1000,$A68,Socle!$D$1:$D$1000,$C68,Socle!$E$1:$E$1000,$D68,Socle!$F$1:$F$1000,$E68,Socle!$G$1:$G$1000,"2026"))</f>
        <v/>
      </c>
      <c r="K68" t="str">
        <f>IF($A68="","",SUMIFS(Socle!$X$1:$X$1000,Socle!$C$1:$C$1000,$A68,Socle!$D$1:$D$1000,$C68,Socle!$E$1:$E$1000,$D68,Socle!$F$1:$F$1000,$E68,Socle!$G$1:$G$1000,"2026"))</f>
        <v/>
      </c>
      <c r="L68" t="str">
        <f>IF($A68="","",SUMIFS(Socle!$Y$1:$Y$1000,Socle!$C$1:$C$1000,$A68,Socle!$D$1:$D$1000,$C68,Socle!$E$1:$E$1000,$D68,Socle!$F$1:$F$1000,$E68,Socle!$G$1:$G$1000,"2026"))</f>
        <v/>
      </c>
      <c r="M68" t="str">
        <f>IF($A68="","",SUMIFS(Socle!$V$1:$V$1000,Socle!$C$1:$C$1000,$A68,Socle!$D$1:$D$1000,$C68,Socle!$E$1:$E$1000,$D68,Socle!$F$1:$F$1000,$E68,Socle!$G$1:$G$1000,"2026"))</f>
        <v/>
      </c>
      <c r="N68" t="str">
        <f t="shared" si="14"/>
        <v/>
      </c>
      <c r="O68" t="str">
        <f>IF($A68="","",SUMIFS(Campagne!$D$1:$D$15,Campagne!$C$1:$C$15,$A68))</f>
        <v/>
      </c>
      <c r="P68" t="str">
        <f>IF($A68="","",SUMIFS(Campagne!$E$1:$E$15,Campagne!$C$1:$C$15,$A68))</f>
        <v/>
      </c>
      <c r="Q68" t="str">
        <f>IF($A68="","",SUMIFS(Campagne!$F$1:$F$15,Campagne!$C$1:$C$15,$A68))</f>
        <v/>
      </c>
      <c r="R68" t="str">
        <f>IF($A68="","",SUMIFS(Campagne!$K$1:$K$15,Campagne!$C$1:$C$15,$A68))</f>
        <v/>
      </c>
      <c r="S68" t="str">
        <f>IF($A68="","",SUMIFS(Campagne!$M$1:$M$15,Campagne!$C$1:$C$15,$A68))</f>
        <v/>
      </c>
      <c r="T68" t="str">
        <f>IF($A68="","",SUMIFS(PIL!$K$15:$K$28,PIL!$A$15:$A$28,$A68)*SUMIFS(PIL!$J$15:$J$28,PIL!$A$15:$A$28,$A68)*(SUM(PIL!$K$15:$K$28)/SUMPRODUCT(PIL!$K$15:$K$28,PIL!$J$15:$J$28)))</f>
        <v/>
      </c>
      <c r="U68" t="str">
        <f>IF($A68="","",SUMIFS(PIL!$K$15:$K$28,PIL!$A$15:$A$28,$A68))</f>
        <v/>
      </c>
      <c r="V68" t="str">
        <f t="shared" si="15"/>
        <v/>
      </c>
      <c r="W68" t="str">
        <f t="shared" si="16"/>
        <v/>
      </c>
      <c r="X68" t="str">
        <f t="shared" si="17"/>
        <v/>
      </c>
      <c r="Y68" t="str">
        <f t="shared" si="18"/>
        <v/>
      </c>
      <c r="Z68" t="str">
        <f t="shared" si="19"/>
        <v/>
      </c>
      <c r="AA68" t="str">
        <f t="shared" si="20"/>
        <v/>
      </c>
      <c r="AB68" t="str">
        <f t="shared" si="21"/>
        <v/>
      </c>
      <c r="AC68" t="str">
        <f t="shared" si="22"/>
        <v/>
      </c>
      <c r="AD68" t="str">
        <f t="shared" si="23"/>
        <v/>
      </c>
      <c r="AE68" t="str">
        <f t="shared" si="24"/>
        <v/>
      </c>
      <c r="AF68" t="str">
        <f t="shared" si="25"/>
        <v/>
      </c>
      <c r="AG68" t="str">
        <f t="shared" si="26"/>
        <v/>
      </c>
      <c r="AH68" t="str">
        <f t="shared" si="27"/>
        <v/>
      </c>
    </row>
    <row r="69" spans="1:34" x14ac:dyDescent="0.45">
      <c r="A69" t="str">
        <f>IF(Moteur!D69="","",Moteur!D69)</f>
        <v/>
      </c>
      <c r="B69" t="str">
        <f>IF(Moteur!B69="","",Moteur!B69)</f>
        <v/>
      </c>
      <c r="C69" t="str">
        <f>IF(Moteur!F69="","",Moteur!F69)</f>
        <v/>
      </c>
      <c r="D69" t="str">
        <f>IF(Moteur!G69="","",Moteur!G69)</f>
        <v/>
      </c>
      <c r="E69" t="str">
        <f>IF(Moteur!H69="","",Moteur!H69)</f>
        <v/>
      </c>
      <c r="F69" t="str">
        <f>IF(Moteur!E69="","",Moteur!E69)</f>
        <v/>
      </c>
      <c r="G69" t="str">
        <f>IF($A69="","",SUMIFS(Socle!$H$1:$H$1000,Socle!$C$1:$C$1000,$A69,Socle!$D$1:$D$1000,$C69,Socle!$E$1:$E$1000,$D69,Socle!$F$1:$F$1000,$E69,Socle!$G$1:$G$1000,"2026"))</f>
        <v/>
      </c>
      <c r="H69" t="str">
        <f>IF($A69="","",SUMIFS(Socle!$N$1:$N$1000,Socle!$C$1:$C$1000,$A69,Socle!$D$1:$D$1000,$C69,Socle!$E$1:$E$1000,$D69,Socle!$F$1:$F$1000,$E69,Socle!$G$1:$G$1000,"2026"))</f>
        <v/>
      </c>
      <c r="I69" t="str">
        <f>IF($A69="","",SUMIFS(Socle!$P$1:$P$1000,Socle!$C$1:$C$1000,$A69,Socle!$D$1:$D$1000,$C69,Socle!$E$1:$E$1000,$D69,Socle!$F$1:$F$1000,$E69,Socle!$G$1:$G$1000,"2026"))</f>
        <v/>
      </c>
      <c r="J69" t="str">
        <f>IF($A69="","",SUMIFS(Socle!$W$1:$W$1000,Socle!$C$1:$C$1000,$A69,Socle!$D$1:$D$1000,$C69,Socle!$E$1:$E$1000,$D69,Socle!$F$1:$F$1000,$E69,Socle!$G$1:$G$1000,"2026"))</f>
        <v/>
      </c>
      <c r="K69" t="str">
        <f>IF($A69="","",SUMIFS(Socle!$X$1:$X$1000,Socle!$C$1:$C$1000,$A69,Socle!$D$1:$D$1000,$C69,Socle!$E$1:$E$1000,$D69,Socle!$F$1:$F$1000,$E69,Socle!$G$1:$G$1000,"2026"))</f>
        <v/>
      </c>
      <c r="L69" t="str">
        <f>IF($A69="","",SUMIFS(Socle!$Y$1:$Y$1000,Socle!$C$1:$C$1000,$A69,Socle!$D$1:$D$1000,$C69,Socle!$E$1:$E$1000,$D69,Socle!$F$1:$F$1000,$E69,Socle!$G$1:$G$1000,"2026"))</f>
        <v/>
      </c>
      <c r="M69" t="str">
        <f>IF($A69="","",SUMIFS(Socle!$V$1:$V$1000,Socle!$C$1:$C$1000,$A69,Socle!$D$1:$D$1000,$C69,Socle!$E$1:$E$1000,$D69,Socle!$F$1:$F$1000,$E69,Socle!$G$1:$G$1000,"2026"))</f>
        <v/>
      </c>
      <c r="N69" t="str">
        <f t="shared" si="14"/>
        <v/>
      </c>
      <c r="O69" t="str">
        <f>IF($A69="","",SUMIFS(Campagne!$D$1:$D$15,Campagne!$C$1:$C$15,$A69))</f>
        <v/>
      </c>
      <c r="P69" t="str">
        <f>IF($A69="","",SUMIFS(Campagne!$E$1:$E$15,Campagne!$C$1:$C$15,$A69))</f>
        <v/>
      </c>
      <c r="Q69" t="str">
        <f>IF($A69="","",SUMIFS(Campagne!$F$1:$F$15,Campagne!$C$1:$C$15,$A69))</f>
        <v/>
      </c>
      <c r="R69" t="str">
        <f>IF($A69="","",SUMIFS(Campagne!$K$1:$K$15,Campagne!$C$1:$C$15,$A69))</f>
        <v/>
      </c>
      <c r="S69" t="str">
        <f>IF($A69="","",SUMIFS(Campagne!$M$1:$M$15,Campagne!$C$1:$C$15,$A69))</f>
        <v/>
      </c>
      <c r="T69" t="str">
        <f>IF($A69="","",SUMIFS(PIL!$K$15:$K$28,PIL!$A$15:$A$28,$A69)*SUMIFS(PIL!$J$15:$J$28,PIL!$A$15:$A$28,$A69)*(SUM(PIL!$K$15:$K$28)/SUMPRODUCT(PIL!$K$15:$K$28,PIL!$J$15:$J$28)))</f>
        <v/>
      </c>
      <c r="U69" t="str">
        <f>IF($A69="","",SUMIFS(PIL!$K$15:$K$28,PIL!$A$15:$A$28,$A69))</f>
        <v/>
      </c>
      <c r="V69" t="str">
        <f t="shared" si="15"/>
        <v/>
      </c>
      <c r="W69" t="str">
        <f t="shared" si="16"/>
        <v/>
      </c>
      <c r="X69" t="str">
        <f t="shared" si="17"/>
        <v/>
      </c>
      <c r="Y69" t="str">
        <f t="shared" si="18"/>
        <v/>
      </c>
      <c r="Z69" t="str">
        <f t="shared" si="19"/>
        <v/>
      </c>
      <c r="AA69" t="str">
        <f t="shared" si="20"/>
        <v/>
      </c>
      <c r="AB69" t="str">
        <f t="shared" si="21"/>
        <v/>
      </c>
      <c r="AC69" t="str">
        <f t="shared" si="22"/>
        <v/>
      </c>
      <c r="AD69" t="str">
        <f t="shared" si="23"/>
        <v/>
      </c>
      <c r="AE69" t="str">
        <f t="shared" si="24"/>
        <v/>
      </c>
      <c r="AF69" t="str">
        <f t="shared" si="25"/>
        <v/>
      </c>
      <c r="AG69" t="str">
        <f t="shared" si="26"/>
        <v/>
      </c>
      <c r="AH69" t="str">
        <f t="shared" si="27"/>
        <v/>
      </c>
    </row>
    <row r="70" spans="1:34" x14ac:dyDescent="0.45">
      <c r="A70" t="str">
        <f>IF(Moteur!D70="","",Moteur!D70)</f>
        <v/>
      </c>
      <c r="B70" t="str">
        <f>IF(Moteur!B70="","",Moteur!B70)</f>
        <v/>
      </c>
      <c r="C70" t="str">
        <f>IF(Moteur!F70="","",Moteur!F70)</f>
        <v/>
      </c>
      <c r="D70" t="str">
        <f>IF(Moteur!G70="","",Moteur!G70)</f>
        <v/>
      </c>
      <c r="E70" t="str">
        <f>IF(Moteur!H70="","",Moteur!H70)</f>
        <v/>
      </c>
      <c r="F70" t="str">
        <f>IF(Moteur!E70="","",Moteur!E70)</f>
        <v/>
      </c>
      <c r="G70" t="str">
        <f>IF($A70="","",SUMIFS(Socle!$H$1:$H$1000,Socle!$C$1:$C$1000,$A70,Socle!$D$1:$D$1000,$C70,Socle!$E$1:$E$1000,$D70,Socle!$F$1:$F$1000,$E70,Socle!$G$1:$G$1000,"2026"))</f>
        <v/>
      </c>
      <c r="H70" t="str">
        <f>IF($A70="","",SUMIFS(Socle!$N$1:$N$1000,Socle!$C$1:$C$1000,$A70,Socle!$D$1:$D$1000,$C70,Socle!$E$1:$E$1000,$D70,Socle!$F$1:$F$1000,$E70,Socle!$G$1:$G$1000,"2026"))</f>
        <v/>
      </c>
      <c r="I70" t="str">
        <f>IF($A70="","",SUMIFS(Socle!$P$1:$P$1000,Socle!$C$1:$C$1000,$A70,Socle!$D$1:$D$1000,$C70,Socle!$E$1:$E$1000,$D70,Socle!$F$1:$F$1000,$E70,Socle!$G$1:$G$1000,"2026"))</f>
        <v/>
      </c>
      <c r="J70" t="str">
        <f>IF($A70="","",SUMIFS(Socle!$W$1:$W$1000,Socle!$C$1:$C$1000,$A70,Socle!$D$1:$D$1000,$C70,Socle!$E$1:$E$1000,$D70,Socle!$F$1:$F$1000,$E70,Socle!$G$1:$G$1000,"2026"))</f>
        <v/>
      </c>
      <c r="K70" t="str">
        <f>IF($A70="","",SUMIFS(Socle!$X$1:$X$1000,Socle!$C$1:$C$1000,$A70,Socle!$D$1:$D$1000,$C70,Socle!$E$1:$E$1000,$D70,Socle!$F$1:$F$1000,$E70,Socle!$G$1:$G$1000,"2026"))</f>
        <v/>
      </c>
      <c r="L70" t="str">
        <f>IF($A70="","",SUMIFS(Socle!$Y$1:$Y$1000,Socle!$C$1:$C$1000,$A70,Socle!$D$1:$D$1000,$C70,Socle!$E$1:$E$1000,$D70,Socle!$F$1:$F$1000,$E70,Socle!$G$1:$G$1000,"2026"))</f>
        <v/>
      </c>
      <c r="M70" t="str">
        <f>IF($A70="","",SUMIFS(Socle!$V$1:$V$1000,Socle!$C$1:$C$1000,$A70,Socle!$D$1:$D$1000,$C70,Socle!$E$1:$E$1000,$D70,Socle!$F$1:$F$1000,$E70,Socle!$G$1:$G$1000,"2026"))</f>
        <v/>
      </c>
      <c r="N70" t="str">
        <f t="shared" si="14"/>
        <v/>
      </c>
      <c r="O70" t="str">
        <f>IF($A70="","",SUMIFS(Campagne!$D$1:$D$15,Campagne!$C$1:$C$15,$A70))</f>
        <v/>
      </c>
      <c r="P70" t="str">
        <f>IF($A70="","",SUMIFS(Campagne!$E$1:$E$15,Campagne!$C$1:$C$15,$A70))</f>
        <v/>
      </c>
      <c r="Q70" t="str">
        <f>IF($A70="","",SUMIFS(Campagne!$F$1:$F$15,Campagne!$C$1:$C$15,$A70))</f>
        <v/>
      </c>
      <c r="R70" t="str">
        <f>IF($A70="","",SUMIFS(Campagne!$K$1:$K$15,Campagne!$C$1:$C$15,$A70))</f>
        <v/>
      </c>
      <c r="S70" t="str">
        <f>IF($A70="","",SUMIFS(Campagne!$M$1:$M$15,Campagne!$C$1:$C$15,$A70))</f>
        <v/>
      </c>
      <c r="T70" t="str">
        <f>IF($A70="","",SUMIFS(PIL!$K$15:$K$28,PIL!$A$15:$A$28,$A70)*SUMIFS(PIL!$J$15:$J$28,PIL!$A$15:$A$28,$A70)*(SUM(PIL!$K$15:$K$28)/SUMPRODUCT(PIL!$K$15:$K$28,PIL!$J$15:$J$28)))</f>
        <v/>
      </c>
      <c r="U70" t="str">
        <f>IF($A70="","",SUMIFS(PIL!$K$15:$K$28,PIL!$A$15:$A$28,$A70))</f>
        <v/>
      </c>
      <c r="V70" t="str">
        <f t="shared" si="15"/>
        <v/>
      </c>
      <c r="W70" t="str">
        <f t="shared" si="16"/>
        <v/>
      </c>
      <c r="X70" t="str">
        <f t="shared" si="17"/>
        <v/>
      </c>
      <c r="Y70" t="str">
        <f t="shared" si="18"/>
        <v/>
      </c>
      <c r="Z70" t="str">
        <f t="shared" si="19"/>
        <v/>
      </c>
      <c r="AA70" t="str">
        <f t="shared" si="20"/>
        <v/>
      </c>
      <c r="AB70" t="str">
        <f t="shared" si="21"/>
        <v/>
      </c>
      <c r="AC70" t="str">
        <f t="shared" si="22"/>
        <v/>
      </c>
      <c r="AD70" t="str">
        <f t="shared" si="23"/>
        <v/>
      </c>
      <c r="AE70" t="str">
        <f t="shared" si="24"/>
        <v/>
      </c>
      <c r="AF70" t="str">
        <f t="shared" si="25"/>
        <v/>
      </c>
      <c r="AG70" t="str">
        <f t="shared" si="26"/>
        <v/>
      </c>
      <c r="AH70" t="str">
        <f t="shared" si="27"/>
        <v/>
      </c>
    </row>
    <row r="71" spans="1:34" x14ac:dyDescent="0.45">
      <c r="A71" t="str">
        <f>IF(Moteur!D71="","",Moteur!D71)</f>
        <v/>
      </c>
      <c r="B71" t="str">
        <f>IF(Moteur!B71="","",Moteur!B71)</f>
        <v/>
      </c>
      <c r="C71" t="str">
        <f>IF(Moteur!F71="","",Moteur!F71)</f>
        <v/>
      </c>
      <c r="D71" t="str">
        <f>IF(Moteur!G71="","",Moteur!G71)</f>
        <v/>
      </c>
      <c r="E71" t="str">
        <f>IF(Moteur!H71="","",Moteur!H71)</f>
        <v/>
      </c>
      <c r="F71" t="str">
        <f>IF(Moteur!E71="","",Moteur!E71)</f>
        <v/>
      </c>
      <c r="G71" t="str">
        <f>IF($A71="","",SUMIFS(Socle!$H$1:$H$1000,Socle!$C$1:$C$1000,$A71,Socle!$D$1:$D$1000,$C71,Socle!$E$1:$E$1000,$D71,Socle!$F$1:$F$1000,$E71,Socle!$G$1:$G$1000,"2026"))</f>
        <v/>
      </c>
      <c r="H71" t="str">
        <f>IF($A71="","",SUMIFS(Socle!$N$1:$N$1000,Socle!$C$1:$C$1000,$A71,Socle!$D$1:$D$1000,$C71,Socle!$E$1:$E$1000,$D71,Socle!$F$1:$F$1000,$E71,Socle!$G$1:$G$1000,"2026"))</f>
        <v/>
      </c>
      <c r="I71" t="str">
        <f>IF($A71="","",SUMIFS(Socle!$P$1:$P$1000,Socle!$C$1:$C$1000,$A71,Socle!$D$1:$D$1000,$C71,Socle!$E$1:$E$1000,$D71,Socle!$F$1:$F$1000,$E71,Socle!$G$1:$G$1000,"2026"))</f>
        <v/>
      </c>
      <c r="J71" t="str">
        <f>IF($A71="","",SUMIFS(Socle!$W$1:$W$1000,Socle!$C$1:$C$1000,$A71,Socle!$D$1:$D$1000,$C71,Socle!$E$1:$E$1000,$D71,Socle!$F$1:$F$1000,$E71,Socle!$G$1:$G$1000,"2026"))</f>
        <v/>
      </c>
      <c r="K71" t="str">
        <f>IF($A71="","",SUMIFS(Socle!$X$1:$X$1000,Socle!$C$1:$C$1000,$A71,Socle!$D$1:$D$1000,$C71,Socle!$E$1:$E$1000,$D71,Socle!$F$1:$F$1000,$E71,Socle!$G$1:$G$1000,"2026"))</f>
        <v/>
      </c>
      <c r="L71" t="str">
        <f>IF($A71="","",SUMIFS(Socle!$Y$1:$Y$1000,Socle!$C$1:$C$1000,$A71,Socle!$D$1:$D$1000,$C71,Socle!$E$1:$E$1000,$D71,Socle!$F$1:$F$1000,$E71,Socle!$G$1:$G$1000,"2026"))</f>
        <v/>
      </c>
      <c r="M71" t="str">
        <f>IF($A71="","",SUMIFS(Socle!$V$1:$V$1000,Socle!$C$1:$C$1000,$A71,Socle!$D$1:$D$1000,$C71,Socle!$E$1:$E$1000,$D71,Socle!$F$1:$F$1000,$E71,Socle!$G$1:$G$1000,"2026"))</f>
        <v/>
      </c>
      <c r="N71" t="str">
        <f t="shared" si="14"/>
        <v/>
      </c>
      <c r="O71" t="str">
        <f>IF($A71="","",SUMIFS(Campagne!$D$1:$D$15,Campagne!$C$1:$C$15,$A71))</f>
        <v/>
      </c>
      <c r="P71" t="str">
        <f>IF($A71="","",SUMIFS(Campagne!$E$1:$E$15,Campagne!$C$1:$C$15,$A71))</f>
        <v/>
      </c>
      <c r="Q71" t="str">
        <f>IF($A71="","",SUMIFS(Campagne!$F$1:$F$15,Campagne!$C$1:$C$15,$A71))</f>
        <v/>
      </c>
      <c r="R71" t="str">
        <f>IF($A71="","",SUMIFS(Campagne!$K$1:$K$15,Campagne!$C$1:$C$15,$A71))</f>
        <v/>
      </c>
      <c r="S71" t="str">
        <f>IF($A71="","",SUMIFS(Campagne!$M$1:$M$15,Campagne!$C$1:$C$15,$A71))</f>
        <v/>
      </c>
      <c r="T71" t="str">
        <f>IF($A71="","",SUMIFS(PIL!$K$15:$K$28,PIL!$A$15:$A$28,$A71)*SUMIFS(PIL!$J$15:$J$28,PIL!$A$15:$A$28,$A71)*(SUM(PIL!$K$15:$K$28)/SUMPRODUCT(PIL!$K$15:$K$28,PIL!$J$15:$J$28)))</f>
        <v/>
      </c>
      <c r="U71" t="str">
        <f>IF($A71="","",SUMIFS(PIL!$K$15:$K$28,PIL!$A$15:$A$28,$A71))</f>
        <v/>
      </c>
      <c r="V71" t="str">
        <f t="shared" si="15"/>
        <v/>
      </c>
      <c r="W71" t="str">
        <f t="shared" si="16"/>
        <v/>
      </c>
      <c r="X71" t="str">
        <f t="shared" si="17"/>
        <v/>
      </c>
      <c r="Y71" t="str">
        <f t="shared" si="18"/>
        <v/>
      </c>
      <c r="Z71" t="str">
        <f t="shared" si="19"/>
        <v/>
      </c>
      <c r="AA71" t="str">
        <f t="shared" si="20"/>
        <v/>
      </c>
      <c r="AB71" t="str">
        <f t="shared" si="21"/>
        <v/>
      </c>
      <c r="AC71" t="str">
        <f t="shared" si="22"/>
        <v/>
      </c>
      <c r="AD71" t="str">
        <f t="shared" si="23"/>
        <v/>
      </c>
      <c r="AE71" t="str">
        <f t="shared" si="24"/>
        <v/>
      </c>
      <c r="AF71" t="str">
        <f t="shared" si="25"/>
        <v/>
      </c>
      <c r="AG71" t="str">
        <f t="shared" si="26"/>
        <v/>
      </c>
      <c r="AH71" t="str">
        <f t="shared" si="27"/>
        <v/>
      </c>
    </row>
    <row r="72" spans="1:34" x14ac:dyDescent="0.45">
      <c r="A72" t="str">
        <f>IF(Moteur!D72="","",Moteur!D72)</f>
        <v/>
      </c>
      <c r="B72" t="str">
        <f>IF(Moteur!B72="","",Moteur!B72)</f>
        <v/>
      </c>
      <c r="C72" t="str">
        <f>IF(Moteur!F72="","",Moteur!F72)</f>
        <v/>
      </c>
      <c r="D72" t="str">
        <f>IF(Moteur!G72="","",Moteur!G72)</f>
        <v/>
      </c>
      <c r="E72" t="str">
        <f>IF(Moteur!H72="","",Moteur!H72)</f>
        <v/>
      </c>
      <c r="F72" t="str">
        <f>IF(Moteur!E72="","",Moteur!E72)</f>
        <v/>
      </c>
      <c r="G72" t="str">
        <f>IF($A72="","",SUMIFS(Socle!$H$1:$H$1000,Socle!$C$1:$C$1000,$A72,Socle!$D$1:$D$1000,$C72,Socle!$E$1:$E$1000,$D72,Socle!$F$1:$F$1000,$E72,Socle!$G$1:$G$1000,"2026"))</f>
        <v/>
      </c>
      <c r="H72" t="str">
        <f>IF($A72="","",SUMIFS(Socle!$N$1:$N$1000,Socle!$C$1:$C$1000,$A72,Socle!$D$1:$D$1000,$C72,Socle!$E$1:$E$1000,$D72,Socle!$F$1:$F$1000,$E72,Socle!$G$1:$G$1000,"2026"))</f>
        <v/>
      </c>
      <c r="I72" t="str">
        <f>IF($A72="","",SUMIFS(Socle!$P$1:$P$1000,Socle!$C$1:$C$1000,$A72,Socle!$D$1:$D$1000,$C72,Socle!$E$1:$E$1000,$D72,Socle!$F$1:$F$1000,$E72,Socle!$G$1:$G$1000,"2026"))</f>
        <v/>
      </c>
      <c r="J72" t="str">
        <f>IF($A72="","",SUMIFS(Socle!$W$1:$W$1000,Socle!$C$1:$C$1000,$A72,Socle!$D$1:$D$1000,$C72,Socle!$E$1:$E$1000,$D72,Socle!$F$1:$F$1000,$E72,Socle!$G$1:$G$1000,"2026"))</f>
        <v/>
      </c>
      <c r="K72" t="str">
        <f>IF($A72="","",SUMIFS(Socle!$X$1:$X$1000,Socle!$C$1:$C$1000,$A72,Socle!$D$1:$D$1000,$C72,Socle!$E$1:$E$1000,$D72,Socle!$F$1:$F$1000,$E72,Socle!$G$1:$G$1000,"2026"))</f>
        <v/>
      </c>
      <c r="L72" t="str">
        <f>IF($A72="","",SUMIFS(Socle!$Y$1:$Y$1000,Socle!$C$1:$C$1000,$A72,Socle!$D$1:$D$1000,$C72,Socle!$E$1:$E$1000,$D72,Socle!$F$1:$F$1000,$E72,Socle!$G$1:$G$1000,"2026"))</f>
        <v/>
      </c>
      <c r="M72" t="str">
        <f>IF($A72="","",SUMIFS(Socle!$V$1:$V$1000,Socle!$C$1:$C$1000,$A72,Socle!$D$1:$D$1000,$C72,Socle!$E$1:$E$1000,$D72,Socle!$F$1:$F$1000,$E72,Socle!$G$1:$G$1000,"2026"))</f>
        <v/>
      </c>
      <c r="N72" t="str">
        <f t="shared" si="14"/>
        <v/>
      </c>
      <c r="O72" t="str">
        <f>IF($A72="","",SUMIFS(Campagne!$D$1:$D$15,Campagne!$C$1:$C$15,$A72))</f>
        <v/>
      </c>
      <c r="P72" t="str">
        <f>IF($A72="","",SUMIFS(Campagne!$E$1:$E$15,Campagne!$C$1:$C$15,$A72))</f>
        <v/>
      </c>
      <c r="Q72" t="str">
        <f>IF($A72="","",SUMIFS(Campagne!$F$1:$F$15,Campagne!$C$1:$C$15,$A72))</f>
        <v/>
      </c>
      <c r="R72" t="str">
        <f>IF($A72="","",SUMIFS(Campagne!$K$1:$K$15,Campagne!$C$1:$C$15,$A72))</f>
        <v/>
      </c>
      <c r="S72" t="str">
        <f>IF($A72="","",SUMIFS(Campagne!$M$1:$M$15,Campagne!$C$1:$C$15,$A72))</f>
        <v/>
      </c>
      <c r="T72" t="str">
        <f>IF($A72="","",SUMIFS(PIL!$K$15:$K$28,PIL!$A$15:$A$28,$A72)*SUMIFS(PIL!$J$15:$J$28,PIL!$A$15:$A$28,$A72)*(SUM(PIL!$K$15:$K$28)/SUMPRODUCT(PIL!$K$15:$K$28,PIL!$J$15:$J$28)))</f>
        <v/>
      </c>
      <c r="U72" t="str">
        <f>IF($A72="","",SUMIFS(PIL!$K$15:$K$28,PIL!$A$15:$A$28,$A72))</f>
        <v/>
      </c>
      <c r="V72" t="str">
        <f t="shared" si="15"/>
        <v/>
      </c>
      <c r="W72" t="str">
        <f t="shared" si="16"/>
        <v/>
      </c>
      <c r="X72" t="str">
        <f t="shared" si="17"/>
        <v/>
      </c>
      <c r="Y72" t="str">
        <f t="shared" si="18"/>
        <v/>
      </c>
      <c r="Z72" t="str">
        <f t="shared" si="19"/>
        <v/>
      </c>
      <c r="AA72" t="str">
        <f t="shared" si="20"/>
        <v/>
      </c>
      <c r="AB72" t="str">
        <f t="shared" si="21"/>
        <v/>
      </c>
      <c r="AC72" t="str">
        <f t="shared" si="22"/>
        <v/>
      </c>
      <c r="AD72" t="str">
        <f t="shared" si="23"/>
        <v/>
      </c>
      <c r="AE72" t="str">
        <f t="shared" si="24"/>
        <v/>
      </c>
      <c r="AF72" t="str">
        <f t="shared" si="25"/>
        <v/>
      </c>
      <c r="AG72" t="str">
        <f t="shared" si="26"/>
        <v/>
      </c>
      <c r="AH72" t="str">
        <f t="shared" si="27"/>
        <v/>
      </c>
    </row>
    <row r="73" spans="1:34" x14ac:dyDescent="0.45">
      <c r="A73" t="str">
        <f>IF(Moteur!D73="","",Moteur!D73)</f>
        <v/>
      </c>
      <c r="B73" t="str">
        <f>IF(Moteur!B73="","",Moteur!B73)</f>
        <v/>
      </c>
      <c r="C73" t="str">
        <f>IF(Moteur!F73="","",Moteur!F73)</f>
        <v/>
      </c>
      <c r="D73" t="str">
        <f>IF(Moteur!G73="","",Moteur!G73)</f>
        <v/>
      </c>
      <c r="E73" t="str">
        <f>IF(Moteur!H73="","",Moteur!H73)</f>
        <v/>
      </c>
      <c r="F73" t="str">
        <f>IF(Moteur!E73="","",Moteur!E73)</f>
        <v/>
      </c>
      <c r="G73" t="str">
        <f>IF($A73="","",SUMIFS(Socle!$H$1:$H$1000,Socle!$C$1:$C$1000,$A73,Socle!$D$1:$D$1000,$C73,Socle!$E$1:$E$1000,$D73,Socle!$F$1:$F$1000,$E73,Socle!$G$1:$G$1000,"2026"))</f>
        <v/>
      </c>
      <c r="H73" t="str">
        <f>IF($A73="","",SUMIFS(Socle!$N$1:$N$1000,Socle!$C$1:$C$1000,$A73,Socle!$D$1:$D$1000,$C73,Socle!$E$1:$E$1000,$D73,Socle!$F$1:$F$1000,$E73,Socle!$G$1:$G$1000,"2026"))</f>
        <v/>
      </c>
      <c r="I73" t="str">
        <f>IF($A73="","",SUMIFS(Socle!$P$1:$P$1000,Socle!$C$1:$C$1000,$A73,Socle!$D$1:$D$1000,$C73,Socle!$E$1:$E$1000,$D73,Socle!$F$1:$F$1000,$E73,Socle!$G$1:$G$1000,"2026"))</f>
        <v/>
      </c>
      <c r="J73" t="str">
        <f>IF($A73="","",SUMIFS(Socle!$W$1:$W$1000,Socle!$C$1:$C$1000,$A73,Socle!$D$1:$D$1000,$C73,Socle!$E$1:$E$1000,$D73,Socle!$F$1:$F$1000,$E73,Socle!$G$1:$G$1000,"2026"))</f>
        <v/>
      </c>
      <c r="K73" t="str">
        <f>IF($A73="","",SUMIFS(Socle!$X$1:$X$1000,Socle!$C$1:$C$1000,$A73,Socle!$D$1:$D$1000,$C73,Socle!$E$1:$E$1000,$D73,Socle!$F$1:$F$1000,$E73,Socle!$G$1:$G$1000,"2026"))</f>
        <v/>
      </c>
      <c r="L73" t="str">
        <f>IF($A73="","",SUMIFS(Socle!$Y$1:$Y$1000,Socle!$C$1:$C$1000,$A73,Socle!$D$1:$D$1000,$C73,Socle!$E$1:$E$1000,$D73,Socle!$F$1:$F$1000,$E73,Socle!$G$1:$G$1000,"2026"))</f>
        <v/>
      </c>
      <c r="M73" t="str">
        <f>IF($A73="","",SUMIFS(Socle!$V$1:$V$1000,Socle!$C$1:$C$1000,$A73,Socle!$D$1:$D$1000,$C73,Socle!$E$1:$E$1000,$D73,Socle!$F$1:$F$1000,$E73,Socle!$G$1:$G$1000,"2026"))</f>
        <v/>
      </c>
      <c r="N73" t="str">
        <f t="shared" si="14"/>
        <v/>
      </c>
      <c r="O73" t="str">
        <f>IF($A73="","",SUMIFS(Campagne!$D$1:$D$15,Campagne!$C$1:$C$15,$A73))</f>
        <v/>
      </c>
      <c r="P73" t="str">
        <f>IF($A73="","",SUMIFS(Campagne!$E$1:$E$15,Campagne!$C$1:$C$15,$A73))</f>
        <v/>
      </c>
      <c r="Q73" t="str">
        <f>IF($A73="","",SUMIFS(Campagne!$F$1:$F$15,Campagne!$C$1:$C$15,$A73))</f>
        <v/>
      </c>
      <c r="R73" t="str">
        <f>IF($A73="","",SUMIFS(Campagne!$K$1:$K$15,Campagne!$C$1:$C$15,$A73))</f>
        <v/>
      </c>
      <c r="S73" t="str">
        <f>IF($A73="","",SUMIFS(Campagne!$M$1:$M$15,Campagne!$C$1:$C$15,$A73))</f>
        <v/>
      </c>
      <c r="T73" t="str">
        <f>IF($A73="","",SUMIFS(PIL!$K$15:$K$28,PIL!$A$15:$A$28,$A73)*SUMIFS(PIL!$J$15:$J$28,PIL!$A$15:$A$28,$A73)*(SUM(PIL!$K$15:$K$28)/SUMPRODUCT(PIL!$K$15:$K$28,PIL!$J$15:$J$28)))</f>
        <v/>
      </c>
      <c r="U73" t="str">
        <f>IF($A73="","",SUMIFS(PIL!$K$15:$K$28,PIL!$A$15:$A$28,$A73))</f>
        <v/>
      </c>
      <c r="V73" t="str">
        <f t="shared" si="15"/>
        <v/>
      </c>
      <c r="W73" t="str">
        <f t="shared" si="16"/>
        <v/>
      </c>
      <c r="X73" t="str">
        <f t="shared" si="17"/>
        <v/>
      </c>
      <c r="Y73" t="str">
        <f t="shared" si="18"/>
        <v/>
      </c>
      <c r="Z73" t="str">
        <f t="shared" si="19"/>
        <v/>
      </c>
      <c r="AA73" t="str">
        <f t="shared" si="20"/>
        <v/>
      </c>
      <c r="AB73" t="str">
        <f t="shared" si="21"/>
        <v/>
      </c>
      <c r="AC73" t="str">
        <f t="shared" si="22"/>
        <v/>
      </c>
      <c r="AD73" t="str">
        <f t="shared" si="23"/>
        <v/>
      </c>
      <c r="AE73" t="str">
        <f t="shared" si="24"/>
        <v/>
      </c>
      <c r="AF73" t="str">
        <f t="shared" si="25"/>
        <v/>
      </c>
      <c r="AG73" t="str">
        <f t="shared" si="26"/>
        <v/>
      </c>
      <c r="AH73" t="str">
        <f t="shared" si="27"/>
        <v/>
      </c>
    </row>
    <row r="74" spans="1:34" x14ac:dyDescent="0.45">
      <c r="A74" t="str">
        <f>IF(Moteur!D74="","",Moteur!D74)</f>
        <v/>
      </c>
      <c r="B74" t="str">
        <f>IF(Moteur!B74="","",Moteur!B74)</f>
        <v/>
      </c>
      <c r="C74" t="str">
        <f>IF(Moteur!F74="","",Moteur!F74)</f>
        <v/>
      </c>
      <c r="D74" t="str">
        <f>IF(Moteur!G74="","",Moteur!G74)</f>
        <v/>
      </c>
      <c r="E74" t="str">
        <f>IF(Moteur!H74="","",Moteur!H74)</f>
        <v/>
      </c>
      <c r="F74" t="str">
        <f>IF(Moteur!E74="","",Moteur!E74)</f>
        <v/>
      </c>
      <c r="G74" t="str">
        <f>IF($A74="","",SUMIFS(Socle!$H$1:$H$1000,Socle!$C$1:$C$1000,$A74,Socle!$D$1:$D$1000,$C74,Socle!$E$1:$E$1000,$D74,Socle!$F$1:$F$1000,$E74,Socle!$G$1:$G$1000,"2026"))</f>
        <v/>
      </c>
      <c r="H74" t="str">
        <f>IF($A74="","",SUMIFS(Socle!$N$1:$N$1000,Socle!$C$1:$C$1000,$A74,Socle!$D$1:$D$1000,$C74,Socle!$E$1:$E$1000,$D74,Socle!$F$1:$F$1000,$E74,Socle!$G$1:$G$1000,"2026"))</f>
        <v/>
      </c>
      <c r="I74" t="str">
        <f>IF($A74="","",SUMIFS(Socle!$P$1:$P$1000,Socle!$C$1:$C$1000,$A74,Socle!$D$1:$D$1000,$C74,Socle!$E$1:$E$1000,$D74,Socle!$F$1:$F$1000,$E74,Socle!$G$1:$G$1000,"2026"))</f>
        <v/>
      </c>
      <c r="J74" t="str">
        <f>IF($A74="","",SUMIFS(Socle!$W$1:$W$1000,Socle!$C$1:$C$1000,$A74,Socle!$D$1:$D$1000,$C74,Socle!$E$1:$E$1000,$D74,Socle!$F$1:$F$1000,$E74,Socle!$G$1:$G$1000,"2026"))</f>
        <v/>
      </c>
      <c r="K74" t="str">
        <f>IF($A74="","",SUMIFS(Socle!$X$1:$X$1000,Socle!$C$1:$C$1000,$A74,Socle!$D$1:$D$1000,$C74,Socle!$E$1:$E$1000,$D74,Socle!$F$1:$F$1000,$E74,Socle!$G$1:$G$1000,"2026"))</f>
        <v/>
      </c>
      <c r="L74" t="str">
        <f>IF($A74="","",SUMIFS(Socle!$Y$1:$Y$1000,Socle!$C$1:$C$1000,$A74,Socle!$D$1:$D$1000,$C74,Socle!$E$1:$E$1000,$D74,Socle!$F$1:$F$1000,$E74,Socle!$G$1:$G$1000,"2026"))</f>
        <v/>
      </c>
      <c r="M74" t="str">
        <f>IF($A74="","",SUMIFS(Socle!$V$1:$V$1000,Socle!$C$1:$C$1000,$A74,Socle!$D$1:$D$1000,$C74,Socle!$E$1:$E$1000,$D74,Socle!$F$1:$F$1000,$E74,Socle!$G$1:$G$1000,"2026"))</f>
        <v/>
      </c>
      <c r="N74" t="str">
        <f t="shared" si="14"/>
        <v/>
      </c>
      <c r="O74" t="str">
        <f>IF($A74="","",SUMIFS(Campagne!$D$1:$D$15,Campagne!$C$1:$C$15,$A74))</f>
        <v/>
      </c>
      <c r="P74" t="str">
        <f>IF($A74="","",SUMIFS(Campagne!$E$1:$E$15,Campagne!$C$1:$C$15,$A74))</f>
        <v/>
      </c>
      <c r="Q74" t="str">
        <f>IF($A74="","",SUMIFS(Campagne!$F$1:$F$15,Campagne!$C$1:$C$15,$A74))</f>
        <v/>
      </c>
      <c r="R74" t="str">
        <f>IF($A74="","",SUMIFS(Campagne!$K$1:$K$15,Campagne!$C$1:$C$15,$A74))</f>
        <v/>
      </c>
      <c r="S74" t="str">
        <f>IF($A74="","",SUMIFS(Campagne!$M$1:$M$15,Campagne!$C$1:$C$15,$A74))</f>
        <v/>
      </c>
      <c r="T74" t="str">
        <f>IF($A74="","",SUMIFS(PIL!$K$15:$K$28,PIL!$A$15:$A$28,$A74)*SUMIFS(PIL!$J$15:$J$28,PIL!$A$15:$A$28,$A74)*(SUM(PIL!$K$15:$K$28)/SUMPRODUCT(PIL!$K$15:$K$28,PIL!$J$15:$J$28)))</f>
        <v/>
      </c>
      <c r="U74" t="str">
        <f>IF($A74="","",SUMIFS(PIL!$K$15:$K$28,PIL!$A$15:$A$28,$A74))</f>
        <v/>
      </c>
      <c r="V74" t="str">
        <f t="shared" si="15"/>
        <v/>
      </c>
      <c r="W74" t="str">
        <f t="shared" si="16"/>
        <v/>
      </c>
      <c r="X74" t="str">
        <f t="shared" si="17"/>
        <v/>
      </c>
      <c r="Y74" t="str">
        <f t="shared" si="18"/>
        <v/>
      </c>
      <c r="Z74" t="str">
        <f t="shared" si="19"/>
        <v/>
      </c>
      <c r="AA74" t="str">
        <f t="shared" si="20"/>
        <v/>
      </c>
      <c r="AB74" t="str">
        <f t="shared" si="21"/>
        <v/>
      </c>
      <c r="AC74" t="str">
        <f t="shared" si="22"/>
        <v/>
      </c>
      <c r="AD74" t="str">
        <f t="shared" si="23"/>
        <v/>
      </c>
      <c r="AE74" t="str">
        <f t="shared" si="24"/>
        <v/>
      </c>
      <c r="AF74" t="str">
        <f t="shared" si="25"/>
        <v/>
      </c>
      <c r="AG74" t="str">
        <f t="shared" si="26"/>
        <v/>
      </c>
      <c r="AH74" t="str">
        <f t="shared" si="27"/>
        <v/>
      </c>
    </row>
    <row r="75" spans="1:34" x14ac:dyDescent="0.45">
      <c r="A75" t="str">
        <f>IF(Moteur!D75="","",Moteur!D75)</f>
        <v/>
      </c>
      <c r="B75" t="str">
        <f>IF(Moteur!B75="","",Moteur!B75)</f>
        <v/>
      </c>
      <c r="C75" t="str">
        <f>IF(Moteur!F75="","",Moteur!F75)</f>
        <v/>
      </c>
      <c r="D75" t="str">
        <f>IF(Moteur!G75="","",Moteur!G75)</f>
        <v/>
      </c>
      <c r="E75" t="str">
        <f>IF(Moteur!H75="","",Moteur!H75)</f>
        <v/>
      </c>
      <c r="F75" t="str">
        <f>IF(Moteur!E75="","",Moteur!E75)</f>
        <v/>
      </c>
      <c r="G75" t="str">
        <f>IF($A75="","",SUMIFS(Socle!$H$1:$H$1000,Socle!$C$1:$C$1000,$A75,Socle!$D$1:$D$1000,$C75,Socle!$E$1:$E$1000,$D75,Socle!$F$1:$F$1000,$E75,Socle!$G$1:$G$1000,"2026"))</f>
        <v/>
      </c>
      <c r="H75" t="str">
        <f>IF($A75="","",SUMIFS(Socle!$N$1:$N$1000,Socle!$C$1:$C$1000,$A75,Socle!$D$1:$D$1000,$C75,Socle!$E$1:$E$1000,$D75,Socle!$F$1:$F$1000,$E75,Socle!$G$1:$G$1000,"2026"))</f>
        <v/>
      </c>
      <c r="I75" t="str">
        <f>IF($A75="","",SUMIFS(Socle!$P$1:$P$1000,Socle!$C$1:$C$1000,$A75,Socle!$D$1:$D$1000,$C75,Socle!$E$1:$E$1000,$D75,Socle!$F$1:$F$1000,$E75,Socle!$G$1:$G$1000,"2026"))</f>
        <v/>
      </c>
      <c r="J75" t="str">
        <f>IF($A75="","",SUMIFS(Socle!$W$1:$W$1000,Socle!$C$1:$C$1000,$A75,Socle!$D$1:$D$1000,$C75,Socle!$E$1:$E$1000,$D75,Socle!$F$1:$F$1000,$E75,Socle!$G$1:$G$1000,"2026"))</f>
        <v/>
      </c>
      <c r="K75" t="str">
        <f>IF($A75="","",SUMIFS(Socle!$X$1:$X$1000,Socle!$C$1:$C$1000,$A75,Socle!$D$1:$D$1000,$C75,Socle!$E$1:$E$1000,$D75,Socle!$F$1:$F$1000,$E75,Socle!$G$1:$G$1000,"2026"))</f>
        <v/>
      </c>
      <c r="L75" t="str">
        <f>IF($A75="","",SUMIFS(Socle!$Y$1:$Y$1000,Socle!$C$1:$C$1000,$A75,Socle!$D$1:$D$1000,$C75,Socle!$E$1:$E$1000,$D75,Socle!$F$1:$F$1000,$E75,Socle!$G$1:$G$1000,"2026"))</f>
        <v/>
      </c>
      <c r="M75" t="str">
        <f>IF($A75="","",SUMIFS(Socle!$V$1:$V$1000,Socle!$C$1:$C$1000,$A75,Socle!$D$1:$D$1000,$C75,Socle!$E$1:$E$1000,$D75,Socle!$F$1:$F$1000,$E75,Socle!$G$1:$G$1000,"2026"))</f>
        <v/>
      </c>
      <c r="N75" t="str">
        <f t="shared" si="14"/>
        <v/>
      </c>
      <c r="O75" t="str">
        <f>IF($A75="","",SUMIFS(Campagne!$D$1:$D$15,Campagne!$C$1:$C$15,$A75))</f>
        <v/>
      </c>
      <c r="P75" t="str">
        <f>IF($A75="","",SUMIFS(Campagne!$E$1:$E$15,Campagne!$C$1:$C$15,$A75))</f>
        <v/>
      </c>
      <c r="Q75" t="str">
        <f>IF($A75="","",SUMIFS(Campagne!$F$1:$F$15,Campagne!$C$1:$C$15,$A75))</f>
        <v/>
      </c>
      <c r="R75" t="str">
        <f>IF($A75="","",SUMIFS(Campagne!$K$1:$K$15,Campagne!$C$1:$C$15,$A75))</f>
        <v/>
      </c>
      <c r="S75" t="str">
        <f>IF($A75="","",SUMIFS(Campagne!$M$1:$M$15,Campagne!$C$1:$C$15,$A75))</f>
        <v/>
      </c>
      <c r="T75" t="str">
        <f>IF($A75="","",SUMIFS(PIL!$K$15:$K$28,PIL!$A$15:$A$28,$A75)*SUMIFS(PIL!$J$15:$J$28,PIL!$A$15:$A$28,$A75)*(SUM(PIL!$K$15:$K$28)/SUMPRODUCT(PIL!$K$15:$K$28,PIL!$J$15:$J$28)))</f>
        <v/>
      </c>
      <c r="U75" t="str">
        <f>IF($A75="","",SUMIFS(PIL!$K$15:$K$28,PIL!$A$15:$A$28,$A75))</f>
        <v/>
      </c>
      <c r="V75" t="str">
        <f t="shared" si="15"/>
        <v/>
      </c>
      <c r="W75" t="str">
        <f t="shared" si="16"/>
        <v/>
      </c>
      <c r="X75" t="str">
        <f t="shared" si="17"/>
        <v/>
      </c>
      <c r="Y75" t="str">
        <f t="shared" si="18"/>
        <v/>
      </c>
      <c r="Z75" t="str">
        <f t="shared" si="19"/>
        <v/>
      </c>
      <c r="AA75" t="str">
        <f t="shared" si="20"/>
        <v/>
      </c>
      <c r="AB75" t="str">
        <f t="shared" si="21"/>
        <v/>
      </c>
      <c r="AC75" t="str">
        <f t="shared" si="22"/>
        <v/>
      </c>
      <c r="AD75" t="str">
        <f t="shared" si="23"/>
        <v/>
      </c>
      <c r="AE75" t="str">
        <f t="shared" si="24"/>
        <v/>
      </c>
      <c r="AF75" t="str">
        <f t="shared" si="25"/>
        <v/>
      </c>
      <c r="AG75" t="str">
        <f t="shared" si="26"/>
        <v/>
      </c>
      <c r="AH75" t="str">
        <f t="shared" si="27"/>
        <v/>
      </c>
    </row>
    <row r="76" spans="1:34" x14ac:dyDescent="0.45">
      <c r="A76" t="str">
        <f>IF(Moteur!D76="","",Moteur!D76)</f>
        <v/>
      </c>
      <c r="B76" t="str">
        <f>IF(Moteur!B76="","",Moteur!B76)</f>
        <v/>
      </c>
      <c r="C76" t="str">
        <f>IF(Moteur!F76="","",Moteur!F76)</f>
        <v/>
      </c>
      <c r="D76" t="str">
        <f>IF(Moteur!G76="","",Moteur!G76)</f>
        <v/>
      </c>
      <c r="E76" t="str">
        <f>IF(Moteur!H76="","",Moteur!H76)</f>
        <v/>
      </c>
      <c r="F76" t="str">
        <f>IF(Moteur!E76="","",Moteur!E76)</f>
        <v/>
      </c>
      <c r="G76" t="str">
        <f>IF($A76="","",SUMIFS(Socle!$H$1:$H$1000,Socle!$C$1:$C$1000,$A76,Socle!$D$1:$D$1000,$C76,Socle!$E$1:$E$1000,$D76,Socle!$F$1:$F$1000,$E76,Socle!$G$1:$G$1000,"2026"))</f>
        <v/>
      </c>
      <c r="H76" t="str">
        <f>IF($A76="","",SUMIFS(Socle!$N$1:$N$1000,Socle!$C$1:$C$1000,$A76,Socle!$D$1:$D$1000,$C76,Socle!$E$1:$E$1000,$D76,Socle!$F$1:$F$1000,$E76,Socle!$G$1:$G$1000,"2026"))</f>
        <v/>
      </c>
      <c r="I76" t="str">
        <f>IF($A76="","",SUMIFS(Socle!$P$1:$P$1000,Socle!$C$1:$C$1000,$A76,Socle!$D$1:$D$1000,$C76,Socle!$E$1:$E$1000,$D76,Socle!$F$1:$F$1000,$E76,Socle!$G$1:$G$1000,"2026"))</f>
        <v/>
      </c>
      <c r="J76" t="str">
        <f>IF($A76="","",SUMIFS(Socle!$W$1:$W$1000,Socle!$C$1:$C$1000,$A76,Socle!$D$1:$D$1000,$C76,Socle!$E$1:$E$1000,$D76,Socle!$F$1:$F$1000,$E76,Socle!$G$1:$G$1000,"2026"))</f>
        <v/>
      </c>
      <c r="K76" t="str">
        <f>IF($A76="","",SUMIFS(Socle!$X$1:$X$1000,Socle!$C$1:$C$1000,$A76,Socle!$D$1:$D$1000,$C76,Socle!$E$1:$E$1000,$D76,Socle!$F$1:$F$1000,$E76,Socle!$G$1:$G$1000,"2026"))</f>
        <v/>
      </c>
      <c r="L76" t="str">
        <f>IF($A76="","",SUMIFS(Socle!$Y$1:$Y$1000,Socle!$C$1:$C$1000,$A76,Socle!$D$1:$D$1000,$C76,Socle!$E$1:$E$1000,$D76,Socle!$F$1:$F$1000,$E76,Socle!$G$1:$G$1000,"2026"))</f>
        <v/>
      </c>
      <c r="M76" t="str">
        <f>IF($A76="","",SUMIFS(Socle!$V$1:$V$1000,Socle!$C$1:$C$1000,$A76,Socle!$D$1:$D$1000,$C76,Socle!$E$1:$E$1000,$D76,Socle!$F$1:$F$1000,$E76,Socle!$G$1:$G$1000,"2026"))</f>
        <v/>
      </c>
      <c r="N76" t="str">
        <f t="shared" si="14"/>
        <v/>
      </c>
      <c r="O76" t="str">
        <f>IF($A76="","",SUMIFS(Campagne!$D$1:$D$15,Campagne!$C$1:$C$15,$A76))</f>
        <v/>
      </c>
      <c r="P76" t="str">
        <f>IF($A76="","",SUMIFS(Campagne!$E$1:$E$15,Campagne!$C$1:$C$15,$A76))</f>
        <v/>
      </c>
      <c r="Q76" t="str">
        <f>IF($A76="","",SUMIFS(Campagne!$F$1:$F$15,Campagne!$C$1:$C$15,$A76))</f>
        <v/>
      </c>
      <c r="R76" t="str">
        <f>IF($A76="","",SUMIFS(Campagne!$K$1:$K$15,Campagne!$C$1:$C$15,$A76))</f>
        <v/>
      </c>
      <c r="S76" t="str">
        <f>IF($A76="","",SUMIFS(Campagne!$M$1:$M$15,Campagne!$C$1:$C$15,$A76))</f>
        <v/>
      </c>
      <c r="T76" t="str">
        <f>IF($A76="","",SUMIFS(PIL!$K$15:$K$28,PIL!$A$15:$A$28,$A76)*SUMIFS(PIL!$J$15:$J$28,PIL!$A$15:$A$28,$A76)*(SUM(PIL!$K$15:$K$28)/SUMPRODUCT(PIL!$K$15:$K$28,PIL!$J$15:$J$28)))</f>
        <v/>
      </c>
      <c r="U76" t="str">
        <f>IF($A76="","",SUMIFS(PIL!$K$15:$K$28,PIL!$A$15:$A$28,$A76))</f>
        <v/>
      </c>
      <c r="V76" t="str">
        <f t="shared" si="15"/>
        <v/>
      </c>
      <c r="W76" t="str">
        <f t="shared" si="16"/>
        <v/>
      </c>
      <c r="X76" t="str">
        <f t="shared" si="17"/>
        <v/>
      </c>
      <c r="Y76" t="str">
        <f t="shared" si="18"/>
        <v/>
      </c>
      <c r="Z76" t="str">
        <f t="shared" si="19"/>
        <v/>
      </c>
      <c r="AA76" t="str">
        <f t="shared" si="20"/>
        <v/>
      </c>
      <c r="AB76" t="str">
        <f t="shared" si="21"/>
        <v/>
      </c>
      <c r="AC76" t="str">
        <f t="shared" si="22"/>
        <v/>
      </c>
      <c r="AD76" t="str">
        <f t="shared" si="23"/>
        <v/>
      </c>
      <c r="AE76" t="str">
        <f t="shared" si="24"/>
        <v/>
      </c>
      <c r="AF76" t="str">
        <f t="shared" si="25"/>
        <v/>
      </c>
      <c r="AG76" t="str">
        <f t="shared" si="26"/>
        <v/>
      </c>
      <c r="AH76" t="str">
        <f t="shared" si="27"/>
        <v/>
      </c>
    </row>
    <row r="77" spans="1:34" x14ac:dyDescent="0.45">
      <c r="A77" t="str">
        <f>IF(Moteur!D77="","",Moteur!D77)</f>
        <v/>
      </c>
      <c r="B77" t="str">
        <f>IF(Moteur!B77="","",Moteur!B77)</f>
        <v/>
      </c>
      <c r="C77" t="str">
        <f>IF(Moteur!F77="","",Moteur!F77)</f>
        <v/>
      </c>
      <c r="D77" t="str">
        <f>IF(Moteur!G77="","",Moteur!G77)</f>
        <v/>
      </c>
      <c r="E77" t="str">
        <f>IF(Moteur!H77="","",Moteur!H77)</f>
        <v/>
      </c>
      <c r="F77" t="str">
        <f>IF(Moteur!E77="","",Moteur!E77)</f>
        <v/>
      </c>
      <c r="G77" t="str">
        <f>IF($A77="","",SUMIFS(Socle!$H$1:$H$1000,Socle!$C$1:$C$1000,$A77,Socle!$D$1:$D$1000,$C77,Socle!$E$1:$E$1000,$D77,Socle!$F$1:$F$1000,$E77,Socle!$G$1:$G$1000,"2026"))</f>
        <v/>
      </c>
      <c r="H77" t="str">
        <f>IF($A77="","",SUMIFS(Socle!$N$1:$N$1000,Socle!$C$1:$C$1000,$A77,Socle!$D$1:$D$1000,$C77,Socle!$E$1:$E$1000,$D77,Socle!$F$1:$F$1000,$E77,Socle!$G$1:$G$1000,"2026"))</f>
        <v/>
      </c>
      <c r="I77" t="str">
        <f>IF($A77="","",SUMIFS(Socle!$P$1:$P$1000,Socle!$C$1:$C$1000,$A77,Socle!$D$1:$D$1000,$C77,Socle!$E$1:$E$1000,$D77,Socle!$F$1:$F$1000,$E77,Socle!$G$1:$G$1000,"2026"))</f>
        <v/>
      </c>
      <c r="J77" t="str">
        <f>IF($A77="","",SUMIFS(Socle!$W$1:$W$1000,Socle!$C$1:$C$1000,$A77,Socle!$D$1:$D$1000,$C77,Socle!$E$1:$E$1000,$D77,Socle!$F$1:$F$1000,$E77,Socle!$G$1:$G$1000,"2026"))</f>
        <v/>
      </c>
      <c r="K77" t="str">
        <f>IF($A77="","",SUMIFS(Socle!$X$1:$X$1000,Socle!$C$1:$C$1000,$A77,Socle!$D$1:$D$1000,$C77,Socle!$E$1:$E$1000,$D77,Socle!$F$1:$F$1000,$E77,Socle!$G$1:$G$1000,"2026"))</f>
        <v/>
      </c>
      <c r="L77" t="str">
        <f>IF($A77="","",SUMIFS(Socle!$Y$1:$Y$1000,Socle!$C$1:$C$1000,$A77,Socle!$D$1:$D$1000,$C77,Socle!$E$1:$E$1000,$D77,Socle!$F$1:$F$1000,$E77,Socle!$G$1:$G$1000,"2026"))</f>
        <v/>
      </c>
      <c r="M77" t="str">
        <f>IF($A77="","",SUMIFS(Socle!$V$1:$V$1000,Socle!$C$1:$C$1000,$A77,Socle!$D$1:$D$1000,$C77,Socle!$E$1:$E$1000,$D77,Socle!$F$1:$F$1000,$E77,Socle!$G$1:$G$1000,"2026"))</f>
        <v/>
      </c>
      <c r="N77" t="str">
        <f t="shared" si="14"/>
        <v/>
      </c>
      <c r="O77" t="str">
        <f>IF($A77="","",SUMIFS(Campagne!$D$1:$D$15,Campagne!$C$1:$C$15,$A77))</f>
        <v/>
      </c>
      <c r="P77" t="str">
        <f>IF($A77="","",SUMIFS(Campagne!$E$1:$E$15,Campagne!$C$1:$C$15,$A77))</f>
        <v/>
      </c>
      <c r="Q77" t="str">
        <f>IF($A77="","",SUMIFS(Campagne!$F$1:$F$15,Campagne!$C$1:$C$15,$A77))</f>
        <v/>
      </c>
      <c r="R77" t="str">
        <f>IF($A77="","",SUMIFS(Campagne!$K$1:$K$15,Campagne!$C$1:$C$15,$A77))</f>
        <v/>
      </c>
      <c r="S77" t="str">
        <f>IF($A77="","",SUMIFS(Campagne!$M$1:$M$15,Campagne!$C$1:$C$15,$A77))</f>
        <v/>
      </c>
      <c r="T77" t="str">
        <f>IF($A77="","",SUMIFS(PIL!$K$15:$K$28,PIL!$A$15:$A$28,$A77)*SUMIFS(PIL!$J$15:$J$28,PIL!$A$15:$A$28,$A77)*(SUM(PIL!$K$15:$K$28)/SUMPRODUCT(PIL!$K$15:$K$28,PIL!$J$15:$J$28)))</f>
        <v/>
      </c>
      <c r="U77" t="str">
        <f>IF($A77="","",SUMIFS(PIL!$K$15:$K$28,PIL!$A$15:$A$28,$A77))</f>
        <v/>
      </c>
      <c r="V77" t="str">
        <f t="shared" si="15"/>
        <v/>
      </c>
      <c r="W77" t="str">
        <f t="shared" si="16"/>
        <v/>
      </c>
      <c r="X77" t="str">
        <f t="shared" si="17"/>
        <v/>
      </c>
      <c r="Y77" t="str">
        <f t="shared" si="18"/>
        <v/>
      </c>
      <c r="Z77" t="str">
        <f t="shared" si="19"/>
        <v/>
      </c>
      <c r="AA77" t="str">
        <f t="shared" si="20"/>
        <v/>
      </c>
      <c r="AB77" t="str">
        <f t="shared" si="21"/>
        <v/>
      </c>
      <c r="AC77" t="str">
        <f t="shared" si="22"/>
        <v/>
      </c>
      <c r="AD77" t="str">
        <f t="shared" si="23"/>
        <v/>
      </c>
      <c r="AE77" t="str">
        <f t="shared" si="24"/>
        <v/>
      </c>
      <c r="AF77" t="str">
        <f t="shared" si="25"/>
        <v/>
      </c>
      <c r="AG77" t="str">
        <f t="shared" si="26"/>
        <v/>
      </c>
      <c r="AH77" t="str">
        <f t="shared" si="27"/>
        <v/>
      </c>
    </row>
    <row r="78" spans="1:34" x14ac:dyDescent="0.45">
      <c r="A78" t="str">
        <f>IF(Moteur!D78="","",Moteur!D78)</f>
        <v/>
      </c>
      <c r="B78" t="str">
        <f>IF(Moteur!B78="","",Moteur!B78)</f>
        <v/>
      </c>
      <c r="C78" t="str">
        <f>IF(Moteur!F78="","",Moteur!F78)</f>
        <v/>
      </c>
      <c r="D78" t="str">
        <f>IF(Moteur!G78="","",Moteur!G78)</f>
        <v/>
      </c>
      <c r="E78" t="str">
        <f>IF(Moteur!H78="","",Moteur!H78)</f>
        <v/>
      </c>
      <c r="F78" t="str">
        <f>IF(Moteur!E78="","",Moteur!E78)</f>
        <v/>
      </c>
      <c r="G78" t="str">
        <f>IF($A78="","",SUMIFS(Socle!$H$1:$H$1000,Socle!$C$1:$C$1000,$A78,Socle!$D$1:$D$1000,$C78,Socle!$E$1:$E$1000,$D78,Socle!$F$1:$F$1000,$E78,Socle!$G$1:$G$1000,"2026"))</f>
        <v/>
      </c>
      <c r="H78" t="str">
        <f>IF($A78="","",SUMIFS(Socle!$N$1:$N$1000,Socle!$C$1:$C$1000,$A78,Socle!$D$1:$D$1000,$C78,Socle!$E$1:$E$1000,$D78,Socle!$F$1:$F$1000,$E78,Socle!$G$1:$G$1000,"2026"))</f>
        <v/>
      </c>
      <c r="I78" t="str">
        <f>IF($A78="","",SUMIFS(Socle!$P$1:$P$1000,Socle!$C$1:$C$1000,$A78,Socle!$D$1:$D$1000,$C78,Socle!$E$1:$E$1000,$D78,Socle!$F$1:$F$1000,$E78,Socle!$G$1:$G$1000,"2026"))</f>
        <v/>
      </c>
      <c r="J78" t="str">
        <f>IF($A78="","",SUMIFS(Socle!$W$1:$W$1000,Socle!$C$1:$C$1000,$A78,Socle!$D$1:$D$1000,$C78,Socle!$E$1:$E$1000,$D78,Socle!$F$1:$F$1000,$E78,Socle!$G$1:$G$1000,"2026"))</f>
        <v/>
      </c>
      <c r="K78" t="str">
        <f>IF($A78="","",SUMIFS(Socle!$X$1:$X$1000,Socle!$C$1:$C$1000,$A78,Socle!$D$1:$D$1000,$C78,Socle!$E$1:$E$1000,$D78,Socle!$F$1:$F$1000,$E78,Socle!$G$1:$G$1000,"2026"))</f>
        <v/>
      </c>
      <c r="L78" t="str">
        <f>IF($A78="","",SUMIFS(Socle!$Y$1:$Y$1000,Socle!$C$1:$C$1000,$A78,Socle!$D$1:$D$1000,$C78,Socle!$E$1:$E$1000,$D78,Socle!$F$1:$F$1000,$E78,Socle!$G$1:$G$1000,"2026"))</f>
        <v/>
      </c>
      <c r="M78" t="str">
        <f>IF($A78="","",SUMIFS(Socle!$V$1:$V$1000,Socle!$C$1:$C$1000,$A78,Socle!$D$1:$D$1000,$C78,Socle!$E$1:$E$1000,$D78,Socle!$F$1:$F$1000,$E78,Socle!$G$1:$G$1000,"2026"))</f>
        <v/>
      </c>
      <c r="N78" t="str">
        <f t="shared" si="14"/>
        <v/>
      </c>
      <c r="O78" t="str">
        <f>IF($A78="","",SUMIFS(Campagne!$D$1:$D$15,Campagne!$C$1:$C$15,$A78))</f>
        <v/>
      </c>
      <c r="P78" t="str">
        <f>IF($A78="","",SUMIFS(Campagne!$E$1:$E$15,Campagne!$C$1:$C$15,$A78))</f>
        <v/>
      </c>
      <c r="Q78" t="str">
        <f>IF($A78="","",SUMIFS(Campagne!$F$1:$F$15,Campagne!$C$1:$C$15,$A78))</f>
        <v/>
      </c>
      <c r="R78" t="str">
        <f>IF($A78="","",SUMIFS(Campagne!$K$1:$K$15,Campagne!$C$1:$C$15,$A78))</f>
        <v/>
      </c>
      <c r="S78" t="str">
        <f>IF($A78="","",SUMIFS(Campagne!$M$1:$M$15,Campagne!$C$1:$C$15,$A78))</f>
        <v/>
      </c>
      <c r="T78" t="str">
        <f>IF($A78="","",SUMIFS(PIL!$K$15:$K$28,PIL!$A$15:$A$28,$A78)*SUMIFS(PIL!$J$15:$J$28,PIL!$A$15:$A$28,$A78)*(SUM(PIL!$K$15:$K$28)/SUMPRODUCT(PIL!$K$15:$K$28,PIL!$J$15:$J$28)))</f>
        <v/>
      </c>
      <c r="U78" t="str">
        <f>IF($A78="","",SUMIFS(PIL!$K$15:$K$28,PIL!$A$15:$A$28,$A78))</f>
        <v/>
      </c>
      <c r="V78" t="str">
        <f t="shared" si="15"/>
        <v/>
      </c>
      <c r="W78" t="str">
        <f t="shared" si="16"/>
        <v/>
      </c>
      <c r="X78" t="str">
        <f t="shared" si="17"/>
        <v/>
      </c>
      <c r="Y78" t="str">
        <f t="shared" si="18"/>
        <v/>
      </c>
      <c r="Z78" t="str">
        <f t="shared" si="19"/>
        <v/>
      </c>
      <c r="AA78" t="str">
        <f t="shared" si="20"/>
        <v/>
      </c>
      <c r="AB78" t="str">
        <f t="shared" si="21"/>
        <v/>
      </c>
      <c r="AC78" t="str">
        <f t="shared" si="22"/>
        <v/>
      </c>
      <c r="AD78" t="str">
        <f t="shared" si="23"/>
        <v/>
      </c>
      <c r="AE78" t="str">
        <f t="shared" si="24"/>
        <v/>
      </c>
      <c r="AF78" t="str">
        <f t="shared" si="25"/>
        <v/>
      </c>
      <c r="AG78" t="str">
        <f t="shared" si="26"/>
        <v/>
      </c>
      <c r="AH78" t="str">
        <f t="shared" si="27"/>
        <v/>
      </c>
    </row>
    <row r="79" spans="1:34" x14ac:dyDescent="0.45">
      <c r="A79" t="str">
        <f>IF(Moteur!D79="","",Moteur!D79)</f>
        <v/>
      </c>
      <c r="B79" t="str">
        <f>IF(Moteur!B79="","",Moteur!B79)</f>
        <v/>
      </c>
      <c r="C79" t="str">
        <f>IF(Moteur!F79="","",Moteur!F79)</f>
        <v/>
      </c>
      <c r="D79" t="str">
        <f>IF(Moteur!G79="","",Moteur!G79)</f>
        <v/>
      </c>
      <c r="E79" t="str">
        <f>IF(Moteur!H79="","",Moteur!H79)</f>
        <v/>
      </c>
      <c r="F79" t="str">
        <f>IF(Moteur!E79="","",Moteur!E79)</f>
        <v/>
      </c>
      <c r="G79" t="str">
        <f>IF($A79="","",SUMIFS(Socle!$H$1:$H$1000,Socle!$C$1:$C$1000,$A79,Socle!$D$1:$D$1000,$C79,Socle!$E$1:$E$1000,$D79,Socle!$F$1:$F$1000,$E79,Socle!$G$1:$G$1000,"2026"))</f>
        <v/>
      </c>
      <c r="H79" t="str">
        <f>IF($A79="","",SUMIFS(Socle!$N$1:$N$1000,Socle!$C$1:$C$1000,$A79,Socle!$D$1:$D$1000,$C79,Socle!$E$1:$E$1000,$D79,Socle!$F$1:$F$1000,$E79,Socle!$G$1:$G$1000,"2026"))</f>
        <v/>
      </c>
      <c r="I79" t="str">
        <f>IF($A79="","",SUMIFS(Socle!$P$1:$P$1000,Socle!$C$1:$C$1000,$A79,Socle!$D$1:$D$1000,$C79,Socle!$E$1:$E$1000,$D79,Socle!$F$1:$F$1000,$E79,Socle!$G$1:$G$1000,"2026"))</f>
        <v/>
      </c>
      <c r="J79" t="str">
        <f>IF($A79="","",SUMIFS(Socle!$W$1:$W$1000,Socle!$C$1:$C$1000,$A79,Socle!$D$1:$D$1000,$C79,Socle!$E$1:$E$1000,$D79,Socle!$F$1:$F$1000,$E79,Socle!$G$1:$G$1000,"2026"))</f>
        <v/>
      </c>
      <c r="K79" t="str">
        <f>IF($A79="","",SUMIFS(Socle!$X$1:$X$1000,Socle!$C$1:$C$1000,$A79,Socle!$D$1:$D$1000,$C79,Socle!$E$1:$E$1000,$D79,Socle!$F$1:$F$1000,$E79,Socle!$G$1:$G$1000,"2026"))</f>
        <v/>
      </c>
      <c r="L79" t="str">
        <f>IF($A79="","",SUMIFS(Socle!$Y$1:$Y$1000,Socle!$C$1:$C$1000,$A79,Socle!$D$1:$D$1000,$C79,Socle!$E$1:$E$1000,$D79,Socle!$F$1:$F$1000,$E79,Socle!$G$1:$G$1000,"2026"))</f>
        <v/>
      </c>
      <c r="M79" t="str">
        <f>IF($A79="","",SUMIFS(Socle!$V$1:$V$1000,Socle!$C$1:$C$1000,$A79,Socle!$D$1:$D$1000,$C79,Socle!$E$1:$E$1000,$D79,Socle!$F$1:$F$1000,$E79,Socle!$G$1:$G$1000,"2026"))</f>
        <v/>
      </c>
      <c r="N79" t="str">
        <f t="shared" si="14"/>
        <v/>
      </c>
      <c r="O79" t="str">
        <f>IF($A79="","",SUMIFS(Campagne!$D$1:$D$15,Campagne!$C$1:$C$15,$A79))</f>
        <v/>
      </c>
      <c r="P79" t="str">
        <f>IF($A79="","",SUMIFS(Campagne!$E$1:$E$15,Campagne!$C$1:$C$15,$A79))</f>
        <v/>
      </c>
      <c r="Q79" t="str">
        <f>IF($A79="","",SUMIFS(Campagne!$F$1:$F$15,Campagne!$C$1:$C$15,$A79))</f>
        <v/>
      </c>
      <c r="R79" t="str">
        <f>IF($A79="","",SUMIFS(Campagne!$K$1:$K$15,Campagne!$C$1:$C$15,$A79))</f>
        <v/>
      </c>
      <c r="S79" t="str">
        <f>IF($A79="","",SUMIFS(Campagne!$M$1:$M$15,Campagne!$C$1:$C$15,$A79))</f>
        <v/>
      </c>
      <c r="T79" t="str">
        <f>IF($A79="","",SUMIFS(PIL!$K$15:$K$28,PIL!$A$15:$A$28,$A79)*SUMIFS(PIL!$J$15:$J$28,PIL!$A$15:$A$28,$A79)*(SUM(PIL!$K$15:$K$28)/SUMPRODUCT(PIL!$K$15:$K$28,PIL!$J$15:$J$28)))</f>
        <v/>
      </c>
      <c r="U79" t="str">
        <f>IF($A79="","",SUMIFS(PIL!$K$15:$K$28,PIL!$A$15:$A$28,$A79))</f>
        <v/>
      </c>
      <c r="V79" t="str">
        <f t="shared" si="15"/>
        <v/>
      </c>
      <c r="W79" t="str">
        <f t="shared" si="16"/>
        <v/>
      </c>
      <c r="X79" t="str">
        <f t="shared" si="17"/>
        <v/>
      </c>
      <c r="Y79" t="str">
        <f t="shared" si="18"/>
        <v/>
      </c>
      <c r="Z79" t="str">
        <f t="shared" si="19"/>
        <v/>
      </c>
      <c r="AA79" t="str">
        <f t="shared" si="20"/>
        <v/>
      </c>
      <c r="AB79" t="str">
        <f t="shared" si="21"/>
        <v/>
      </c>
      <c r="AC79" t="str">
        <f t="shared" si="22"/>
        <v/>
      </c>
      <c r="AD79" t="str">
        <f t="shared" si="23"/>
        <v/>
      </c>
      <c r="AE79" t="str">
        <f t="shared" si="24"/>
        <v/>
      </c>
      <c r="AF79" t="str">
        <f t="shared" si="25"/>
        <v/>
      </c>
      <c r="AG79" t="str">
        <f t="shared" si="26"/>
        <v/>
      </c>
      <c r="AH79" t="str">
        <f t="shared" si="27"/>
        <v/>
      </c>
    </row>
    <row r="80" spans="1:34" x14ac:dyDescent="0.45">
      <c r="A80" t="str">
        <f>IF(Moteur!D80="","",Moteur!D80)</f>
        <v/>
      </c>
      <c r="B80" t="str">
        <f>IF(Moteur!B80="","",Moteur!B80)</f>
        <v/>
      </c>
      <c r="C80" t="str">
        <f>IF(Moteur!F80="","",Moteur!F80)</f>
        <v/>
      </c>
      <c r="D80" t="str">
        <f>IF(Moteur!G80="","",Moteur!G80)</f>
        <v/>
      </c>
      <c r="E80" t="str">
        <f>IF(Moteur!H80="","",Moteur!H80)</f>
        <v/>
      </c>
      <c r="F80" t="str">
        <f>IF(Moteur!E80="","",Moteur!E80)</f>
        <v/>
      </c>
      <c r="G80" t="str">
        <f>IF($A80="","",SUMIFS(Socle!$H$1:$H$1000,Socle!$C$1:$C$1000,$A80,Socle!$D$1:$D$1000,$C80,Socle!$E$1:$E$1000,$D80,Socle!$F$1:$F$1000,$E80,Socle!$G$1:$G$1000,"2026"))</f>
        <v/>
      </c>
      <c r="H80" t="str">
        <f>IF($A80="","",SUMIFS(Socle!$N$1:$N$1000,Socle!$C$1:$C$1000,$A80,Socle!$D$1:$D$1000,$C80,Socle!$E$1:$E$1000,$D80,Socle!$F$1:$F$1000,$E80,Socle!$G$1:$G$1000,"2026"))</f>
        <v/>
      </c>
      <c r="I80" t="str">
        <f>IF($A80="","",SUMIFS(Socle!$P$1:$P$1000,Socle!$C$1:$C$1000,$A80,Socle!$D$1:$D$1000,$C80,Socle!$E$1:$E$1000,$D80,Socle!$F$1:$F$1000,$E80,Socle!$G$1:$G$1000,"2026"))</f>
        <v/>
      </c>
      <c r="J80" t="str">
        <f>IF($A80="","",SUMIFS(Socle!$W$1:$W$1000,Socle!$C$1:$C$1000,$A80,Socle!$D$1:$D$1000,$C80,Socle!$E$1:$E$1000,$D80,Socle!$F$1:$F$1000,$E80,Socle!$G$1:$G$1000,"2026"))</f>
        <v/>
      </c>
      <c r="K80" t="str">
        <f>IF($A80="","",SUMIFS(Socle!$X$1:$X$1000,Socle!$C$1:$C$1000,$A80,Socle!$D$1:$D$1000,$C80,Socle!$E$1:$E$1000,$D80,Socle!$F$1:$F$1000,$E80,Socle!$G$1:$G$1000,"2026"))</f>
        <v/>
      </c>
      <c r="L80" t="str">
        <f>IF($A80="","",SUMIFS(Socle!$Y$1:$Y$1000,Socle!$C$1:$C$1000,$A80,Socle!$D$1:$D$1000,$C80,Socle!$E$1:$E$1000,$D80,Socle!$F$1:$F$1000,$E80,Socle!$G$1:$G$1000,"2026"))</f>
        <v/>
      </c>
      <c r="M80" t="str">
        <f>IF($A80="","",SUMIFS(Socle!$V$1:$V$1000,Socle!$C$1:$C$1000,$A80,Socle!$D$1:$D$1000,$C80,Socle!$E$1:$E$1000,$D80,Socle!$F$1:$F$1000,$E80,Socle!$G$1:$G$1000,"2026"))</f>
        <v/>
      </c>
      <c r="N80" t="str">
        <f t="shared" si="14"/>
        <v/>
      </c>
      <c r="O80" t="str">
        <f>IF($A80="","",SUMIFS(Campagne!$D$1:$D$15,Campagne!$C$1:$C$15,$A80))</f>
        <v/>
      </c>
      <c r="P80" t="str">
        <f>IF($A80="","",SUMIFS(Campagne!$E$1:$E$15,Campagne!$C$1:$C$15,$A80))</f>
        <v/>
      </c>
      <c r="Q80" t="str">
        <f>IF($A80="","",SUMIFS(Campagne!$F$1:$F$15,Campagne!$C$1:$C$15,$A80))</f>
        <v/>
      </c>
      <c r="R80" t="str">
        <f>IF($A80="","",SUMIFS(Campagne!$K$1:$K$15,Campagne!$C$1:$C$15,$A80))</f>
        <v/>
      </c>
      <c r="S80" t="str">
        <f>IF($A80="","",SUMIFS(Campagne!$M$1:$M$15,Campagne!$C$1:$C$15,$A80))</f>
        <v/>
      </c>
      <c r="T80" t="str">
        <f>IF($A80="","",SUMIFS(PIL!$K$15:$K$28,PIL!$A$15:$A$28,$A80)*SUMIFS(PIL!$J$15:$J$28,PIL!$A$15:$A$28,$A80)*(SUM(PIL!$K$15:$K$28)/SUMPRODUCT(PIL!$K$15:$K$28,PIL!$J$15:$J$28)))</f>
        <v/>
      </c>
      <c r="U80" t="str">
        <f>IF($A80="","",SUMIFS(PIL!$K$15:$K$28,PIL!$A$15:$A$28,$A80))</f>
        <v/>
      </c>
      <c r="V80" t="str">
        <f t="shared" si="15"/>
        <v/>
      </c>
      <c r="W80" t="str">
        <f t="shared" si="16"/>
        <v/>
      </c>
      <c r="X80" t="str">
        <f t="shared" si="17"/>
        <v/>
      </c>
      <c r="Y80" t="str">
        <f t="shared" si="18"/>
        <v/>
      </c>
      <c r="Z80" t="str">
        <f t="shared" si="19"/>
        <v/>
      </c>
      <c r="AA80" t="str">
        <f t="shared" si="20"/>
        <v/>
      </c>
      <c r="AB80" t="str">
        <f t="shared" si="21"/>
        <v/>
      </c>
      <c r="AC80" t="str">
        <f t="shared" si="22"/>
        <v/>
      </c>
      <c r="AD80" t="str">
        <f t="shared" si="23"/>
        <v/>
      </c>
      <c r="AE80" t="str">
        <f t="shared" si="24"/>
        <v/>
      </c>
      <c r="AF80" t="str">
        <f t="shared" si="25"/>
        <v/>
      </c>
      <c r="AG80" t="str">
        <f t="shared" si="26"/>
        <v/>
      </c>
      <c r="AH80" t="str">
        <f t="shared" si="27"/>
        <v/>
      </c>
    </row>
    <row r="81" spans="1:34" x14ac:dyDescent="0.45">
      <c r="A81" t="str">
        <f>IF(Moteur!D81="","",Moteur!D81)</f>
        <v/>
      </c>
      <c r="B81" t="str">
        <f>IF(Moteur!B81="","",Moteur!B81)</f>
        <v/>
      </c>
      <c r="C81" t="str">
        <f>IF(Moteur!F81="","",Moteur!F81)</f>
        <v/>
      </c>
      <c r="D81" t="str">
        <f>IF(Moteur!G81="","",Moteur!G81)</f>
        <v/>
      </c>
      <c r="E81" t="str">
        <f>IF(Moteur!H81="","",Moteur!H81)</f>
        <v/>
      </c>
      <c r="F81" t="str">
        <f>IF(Moteur!E81="","",Moteur!E81)</f>
        <v/>
      </c>
      <c r="G81" t="str">
        <f>IF($A81="","",SUMIFS(Socle!$H$1:$H$1000,Socle!$C$1:$C$1000,$A81,Socle!$D$1:$D$1000,$C81,Socle!$E$1:$E$1000,$D81,Socle!$F$1:$F$1000,$E81,Socle!$G$1:$G$1000,"2026"))</f>
        <v/>
      </c>
      <c r="H81" t="str">
        <f>IF($A81="","",SUMIFS(Socle!$N$1:$N$1000,Socle!$C$1:$C$1000,$A81,Socle!$D$1:$D$1000,$C81,Socle!$E$1:$E$1000,$D81,Socle!$F$1:$F$1000,$E81,Socle!$G$1:$G$1000,"2026"))</f>
        <v/>
      </c>
      <c r="I81" t="str">
        <f>IF($A81="","",SUMIFS(Socle!$P$1:$P$1000,Socle!$C$1:$C$1000,$A81,Socle!$D$1:$D$1000,$C81,Socle!$E$1:$E$1000,$D81,Socle!$F$1:$F$1000,$E81,Socle!$G$1:$G$1000,"2026"))</f>
        <v/>
      </c>
      <c r="J81" t="str">
        <f>IF($A81="","",SUMIFS(Socle!$W$1:$W$1000,Socle!$C$1:$C$1000,$A81,Socle!$D$1:$D$1000,$C81,Socle!$E$1:$E$1000,$D81,Socle!$F$1:$F$1000,$E81,Socle!$G$1:$G$1000,"2026"))</f>
        <v/>
      </c>
      <c r="K81" t="str">
        <f>IF($A81="","",SUMIFS(Socle!$X$1:$X$1000,Socle!$C$1:$C$1000,$A81,Socle!$D$1:$D$1000,$C81,Socle!$E$1:$E$1000,$D81,Socle!$F$1:$F$1000,$E81,Socle!$G$1:$G$1000,"2026"))</f>
        <v/>
      </c>
      <c r="L81" t="str">
        <f>IF($A81="","",SUMIFS(Socle!$Y$1:$Y$1000,Socle!$C$1:$C$1000,$A81,Socle!$D$1:$D$1000,$C81,Socle!$E$1:$E$1000,$D81,Socle!$F$1:$F$1000,$E81,Socle!$G$1:$G$1000,"2026"))</f>
        <v/>
      </c>
      <c r="M81" t="str">
        <f>IF($A81="","",SUMIFS(Socle!$V$1:$V$1000,Socle!$C$1:$C$1000,$A81,Socle!$D$1:$D$1000,$C81,Socle!$E$1:$E$1000,$D81,Socle!$F$1:$F$1000,$E81,Socle!$G$1:$G$1000,"2026"))</f>
        <v/>
      </c>
      <c r="N81" t="str">
        <f t="shared" si="14"/>
        <v/>
      </c>
      <c r="O81" t="str">
        <f>IF($A81="","",SUMIFS(Campagne!$D$1:$D$15,Campagne!$C$1:$C$15,$A81))</f>
        <v/>
      </c>
      <c r="P81" t="str">
        <f>IF($A81="","",SUMIFS(Campagne!$E$1:$E$15,Campagne!$C$1:$C$15,$A81))</f>
        <v/>
      </c>
      <c r="Q81" t="str">
        <f>IF($A81="","",SUMIFS(Campagne!$F$1:$F$15,Campagne!$C$1:$C$15,$A81))</f>
        <v/>
      </c>
      <c r="R81" t="str">
        <f>IF($A81="","",SUMIFS(Campagne!$K$1:$K$15,Campagne!$C$1:$C$15,$A81))</f>
        <v/>
      </c>
      <c r="S81" t="str">
        <f>IF($A81="","",SUMIFS(Campagne!$M$1:$M$15,Campagne!$C$1:$C$15,$A81))</f>
        <v/>
      </c>
      <c r="T81" t="str">
        <f>IF($A81="","",SUMIFS(PIL!$K$15:$K$28,PIL!$A$15:$A$28,$A81)*SUMIFS(PIL!$J$15:$J$28,PIL!$A$15:$A$28,$A81)*(SUM(PIL!$K$15:$K$28)/SUMPRODUCT(PIL!$K$15:$K$28,PIL!$J$15:$J$28)))</f>
        <v/>
      </c>
      <c r="U81" t="str">
        <f>IF($A81="","",SUMIFS(PIL!$K$15:$K$28,PIL!$A$15:$A$28,$A81))</f>
        <v/>
      </c>
      <c r="V81" t="str">
        <f t="shared" si="15"/>
        <v/>
      </c>
      <c r="W81" t="str">
        <f t="shared" si="16"/>
        <v/>
      </c>
      <c r="X81" t="str">
        <f t="shared" si="17"/>
        <v/>
      </c>
      <c r="Y81" t="str">
        <f t="shared" si="18"/>
        <v/>
      </c>
      <c r="Z81" t="str">
        <f t="shared" si="19"/>
        <v/>
      </c>
      <c r="AA81" t="str">
        <f t="shared" si="20"/>
        <v/>
      </c>
      <c r="AB81" t="str">
        <f t="shared" si="21"/>
        <v/>
      </c>
      <c r="AC81" t="str">
        <f t="shared" si="22"/>
        <v/>
      </c>
      <c r="AD81" t="str">
        <f t="shared" si="23"/>
        <v/>
      </c>
      <c r="AE81" t="str">
        <f t="shared" si="24"/>
        <v/>
      </c>
      <c r="AF81" t="str">
        <f t="shared" si="25"/>
        <v/>
      </c>
      <c r="AG81" t="str">
        <f t="shared" si="26"/>
        <v/>
      </c>
      <c r="AH81" t="str">
        <f t="shared" si="27"/>
        <v/>
      </c>
    </row>
    <row r="82" spans="1:34" x14ac:dyDescent="0.45">
      <c r="A82" t="str">
        <f>IF(Moteur!D82="","",Moteur!D82)</f>
        <v/>
      </c>
      <c r="B82" t="str">
        <f>IF(Moteur!B82="","",Moteur!B82)</f>
        <v/>
      </c>
      <c r="C82" t="str">
        <f>IF(Moteur!F82="","",Moteur!F82)</f>
        <v/>
      </c>
      <c r="D82" t="str">
        <f>IF(Moteur!G82="","",Moteur!G82)</f>
        <v/>
      </c>
      <c r="E82" t="str">
        <f>IF(Moteur!H82="","",Moteur!H82)</f>
        <v/>
      </c>
      <c r="F82" t="str">
        <f>IF(Moteur!E82="","",Moteur!E82)</f>
        <v/>
      </c>
      <c r="G82" t="str">
        <f>IF($A82="","",SUMIFS(Socle!$H$1:$H$1000,Socle!$C$1:$C$1000,$A82,Socle!$D$1:$D$1000,$C82,Socle!$E$1:$E$1000,$D82,Socle!$F$1:$F$1000,$E82,Socle!$G$1:$G$1000,"2026"))</f>
        <v/>
      </c>
      <c r="H82" t="str">
        <f>IF($A82="","",SUMIFS(Socle!$N$1:$N$1000,Socle!$C$1:$C$1000,$A82,Socle!$D$1:$D$1000,$C82,Socle!$E$1:$E$1000,$D82,Socle!$F$1:$F$1000,$E82,Socle!$G$1:$G$1000,"2026"))</f>
        <v/>
      </c>
      <c r="I82" t="str">
        <f>IF($A82="","",SUMIFS(Socle!$P$1:$P$1000,Socle!$C$1:$C$1000,$A82,Socle!$D$1:$D$1000,$C82,Socle!$E$1:$E$1000,$D82,Socle!$F$1:$F$1000,$E82,Socle!$G$1:$G$1000,"2026"))</f>
        <v/>
      </c>
      <c r="J82" t="str">
        <f>IF($A82="","",SUMIFS(Socle!$W$1:$W$1000,Socle!$C$1:$C$1000,$A82,Socle!$D$1:$D$1000,$C82,Socle!$E$1:$E$1000,$D82,Socle!$F$1:$F$1000,$E82,Socle!$G$1:$G$1000,"2026"))</f>
        <v/>
      </c>
      <c r="K82" t="str">
        <f>IF($A82="","",SUMIFS(Socle!$X$1:$X$1000,Socle!$C$1:$C$1000,$A82,Socle!$D$1:$D$1000,$C82,Socle!$E$1:$E$1000,$D82,Socle!$F$1:$F$1000,$E82,Socle!$G$1:$G$1000,"2026"))</f>
        <v/>
      </c>
      <c r="L82" t="str">
        <f>IF($A82="","",SUMIFS(Socle!$Y$1:$Y$1000,Socle!$C$1:$C$1000,$A82,Socle!$D$1:$D$1000,$C82,Socle!$E$1:$E$1000,$D82,Socle!$F$1:$F$1000,$E82,Socle!$G$1:$G$1000,"2026"))</f>
        <v/>
      </c>
      <c r="M82" t="str">
        <f>IF($A82="","",SUMIFS(Socle!$V$1:$V$1000,Socle!$C$1:$C$1000,$A82,Socle!$D$1:$D$1000,$C82,Socle!$E$1:$E$1000,$D82,Socle!$F$1:$F$1000,$E82,Socle!$G$1:$G$1000,"2026"))</f>
        <v/>
      </c>
      <c r="N82" t="str">
        <f t="shared" si="14"/>
        <v/>
      </c>
      <c r="O82" t="str">
        <f>IF($A82="","",SUMIFS(Campagne!$D$1:$D$15,Campagne!$C$1:$C$15,$A82))</f>
        <v/>
      </c>
      <c r="P82" t="str">
        <f>IF($A82="","",SUMIFS(Campagne!$E$1:$E$15,Campagne!$C$1:$C$15,$A82))</f>
        <v/>
      </c>
      <c r="Q82" t="str">
        <f>IF($A82="","",SUMIFS(Campagne!$F$1:$F$15,Campagne!$C$1:$C$15,$A82))</f>
        <v/>
      </c>
      <c r="R82" t="str">
        <f>IF($A82="","",SUMIFS(Campagne!$K$1:$K$15,Campagne!$C$1:$C$15,$A82))</f>
        <v/>
      </c>
      <c r="S82" t="str">
        <f>IF($A82="","",SUMIFS(Campagne!$M$1:$M$15,Campagne!$C$1:$C$15,$A82))</f>
        <v/>
      </c>
      <c r="T82" t="str">
        <f>IF($A82="","",SUMIFS(PIL!$K$15:$K$28,PIL!$A$15:$A$28,$A82)*SUMIFS(PIL!$J$15:$J$28,PIL!$A$15:$A$28,$A82)*(SUM(PIL!$K$15:$K$28)/SUMPRODUCT(PIL!$K$15:$K$28,PIL!$J$15:$J$28)))</f>
        <v/>
      </c>
      <c r="U82" t="str">
        <f>IF($A82="","",SUMIFS(PIL!$K$15:$K$28,PIL!$A$15:$A$28,$A82))</f>
        <v/>
      </c>
      <c r="V82" t="str">
        <f t="shared" si="15"/>
        <v/>
      </c>
      <c r="W82" t="str">
        <f t="shared" si="16"/>
        <v/>
      </c>
      <c r="X82" t="str">
        <f t="shared" si="17"/>
        <v/>
      </c>
      <c r="Y82" t="str">
        <f t="shared" si="18"/>
        <v/>
      </c>
      <c r="Z82" t="str">
        <f t="shared" si="19"/>
        <v/>
      </c>
      <c r="AA82" t="str">
        <f t="shared" si="20"/>
        <v/>
      </c>
      <c r="AB82" t="str">
        <f t="shared" si="21"/>
        <v/>
      </c>
      <c r="AC82" t="str">
        <f t="shared" si="22"/>
        <v/>
      </c>
      <c r="AD82" t="str">
        <f t="shared" si="23"/>
        <v/>
      </c>
      <c r="AE82" t="str">
        <f t="shared" si="24"/>
        <v/>
      </c>
      <c r="AF82" t="str">
        <f t="shared" si="25"/>
        <v/>
      </c>
      <c r="AG82" t="str">
        <f t="shared" si="26"/>
        <v/>
      </c>
      <c r="AH82" t="str">
        <f t="shared" si="27"/>
        <v/>
      </c>
    </row>
    <row r="83" spans="1:34" x14ac:dyDescent="0.45">
      <c r="A83" t="str">
        <f>IF(Moteur!D83="","",Moteur!D83)</f>
        <v/>
      </c>
      <c r="B83" t="str">
        <f>IF(Moteur!B83="","",Moteur!B83)</f>
        <v/>
      </c>
      <c r="C83" t="str">
        <f>IF(Moteur!F83="","",Moteur!F83)</f>
        <v/>
      </c>
      <c r="D83" t="str">
        <f>IF(Moteur!G83="","",Moteur!G83)</f>
        <v/>
      </c>
      <c r="E83" t="str">
        <f>IF(Moteur!H83="","",Moteur!H83)</f>
        <v/>
      </c>
      <c r="F83" t="str">
        <f>IF(Moteur!E83="","",Moteur!E83)</f>
        <v/>
      </c>
      <c r="G83" t="str">
        <f>IF($A83="","",SUMIFS(Socle!$H$1:$H$1000,Socle!$C$1:$C$1000,$A83,Socle!$D$1:$D$1000,$C83,Socle!$E$1:$E$1000,$D83,Socle!$F$1:$F$1000,$E83,Socle!$G$1:$G$1000,"2026"))</f>
        <v/>
      </c>
      <c r="H83" t="str">
        <f>IF($A83="","",SUMIFS(Socle!$N$1:$N$1000,Socle!$C$1:$C$1000,$A83,Socle!$D$1:$D$1000,$C83,Socle!$E$1:$E$1000,$D83,Socle!$F$1:$F$1000,$E83,Socle!$G$1:$G$1000,"2026"))</f>
        <v/>
      </c>
      <c r="I83" t="str">
        <f>IF($A83="","",SUMIFS(Socle!$P$1:$P$1000,Socle!$C$1:$C$1000,$A83,Socle!$D$1:$D$1000,$C83,Socle!$E$1:$E$1000,$D83,Socle!$F$1:$F$1000,$E83,Socle!$G$1:$G$1000,"2026"))</f>
        <v/>
      </c>
      <c r="J83" t="str">
        <f>IF($A83="","",SUMIFS(Socle!$W$1:$W$1000,Socle!$C$1:$C$1000,$A83,Socle!$D$1:$D$1000,$C83,Socle!$E$1:$E$1000,$D83,Socle!$F$1:$F$1000,$E83,Socle!$G$1:$G$1000,"2026"))</f>
        <v/>
      </c>
      <c r="K83" t="str">
        <f>IF($A83="","",SUMIFS(Socle!$X$1:$X$1000,Socle!$C$1:$C$1000,$A83,Socle!$D$1:$D$1000,$C83,Socle!$E$1:$E$1000,$D83,Socle!$F$1:$F$1000,$E83,Socle!$G$1:$G$1000,"2026"))</f>
        <v/>
      </c>
      <c r="L83" t="str">
        <f>IF($A83="","",SUMIFS(Socle!$Y$1:$Y$1000,Socle!$C$1:$C$1000,$A83,Socle!$D$1:$D$1000,$C83,Socle!$E$1:$E$1000,$D83,Socle!$F$1:$F$1000,$E83,Socle!$G$1:$G$1000,"2026"))</f>
        <v/>
      </c>
      <c r="M83" t="str">
        <f>IF($A83="","",SUMIFS(Socle!$V$1:$V$1000,Socle!$C$1:$C$1000,$A83,Socle!$D$1:$D$1000,$C83,Socle!$E$1:$E$1000,$D83,Socle!$F$1:$F$1000,$E83,Socle!$G$1:$G$1000,"2026"))</f>
        <v/>
      </c>
      <c r="N83" t="str">
        <f t="shared" si="14"/>
        <v/>
      </c>
      <c r="O83" t="str">
        <f>IF($A83="","",SUMIFS(Campagne!$D$1:$D$15,Campagne!$C$1:$C$15,$A83))</f>
        <v/>
      </c>
      <c r="P83" t="str">
        <f>IF($A83="","",SUMIFS(Campagne!$E$1:$E$15,Campagne!$C$1:$C$15,$A83))</f>
        <v/>
      </c>
      <c r="Q83" t="str">
        <f>IF($A83="","",SUMIFS(Campagne!$F$1:$F$15,Campagne!$C$1:$C$15,$A83))</f>
        <v/>
      </c>
      <c r="R83" t="str">
        <f>IF($A83="","",SUMIFS(Campagne!$K$1:$K$15,Campagne!$C$1:$C$15,$A83))</f>
        <v/>
      </c>
      <c r="S83" t="str">
        <f>IF($A83="","",SUMIFS(Campagne!$M$1:$M$15,Campagne!$C$1:$C$15,$A83))</f>
        <v/>
      </c>
      <c r="T83" t="str">
        <f>IF($A83="","",SUMIFS(PIL!$K$15:$K$28,PIL!$A$15:$A$28,$A83)*SUMIFS(PIL!$J$15:$J$28,PIL!$A$15:$A$28,$A83)*(SUM(PIL!$K$15:$K$28)/SUMPRODUCT(PIL!$K$15:$K$28,PIL!$J$15:$J$28)))</f>
        <v/>
      </c>
      <c r="U83" t="str">
        <f>IF($A83="","",SUMIFS(PIL!$K$15:$K$28,PIL!$A$15:$A$28,$A83))</f>
        <v/>
      </c>
      <c r="V83" t="str">
        <f t="shared" si="15"/>
        <v/>
      </c>
      <c r="W83" t="str">
        <f t="shared" si="16"/>
        <v/>
      </c>
      <c r="X83" t="str">
        <f t="shared" si="17"/>
        <v/>
      </c>
      <c r="Y83" t="str">
        <f t="shared" si="18"/>
        <v/>
      </c>
      <c r="Z83" t="str">
        <f t="shared" si="19"/>
        <v/>
      </c>
      <c r="AA83" t="str">
        <f t="shared" si="20"/>
        <v/>
      </c>
      <c r="AB83" t="str">
        <f t="shared" si="21"/>
        <v/>
      </c>
      <c r="AC83" t="str">
        <f t="shared" si="22"/>
        <v/>
      </c>
      <c r="AD83" t="str">
        <f t="shared" si="23"/>
        <v/>
      </c>
      <c r="AE83" t="str">
        <f t="shared" si="24"/>
        <v/>
      </c>
      <c r="AF83" t="str">
        <f t="shared" si="25"/>
        <v/>
      </c>
      <c r="AG83" t="str">
        <f t="shared" si="26"/>
        <v/>
      </c>
      <c r="AH83" t="str">
        <f t="shared" si="27"/>
        <v/>
      </c>
    </row>
    <row r="84" spans="1:34" x14ac:dyDescent="0.45">
      <c r="A84" t="str">
        <f>IF(Moteur!D84="","",Moteur!D84)</f>
        <v/>
      </c>
      <c r="B84" t="str">
        <f>IF(Moteur!B84="","",Moteur!B84)</f>
        <v/>
      </c>
      <c r="C84" t="str">
        <f>IF(Moteur!F84="","",Moteur!F84)</f>
        <v/>
      </c>
      <c r="D84" t="str">
        <f>IF(Moteur!G84="","",Moteur!G84)</f>
        <v/>
      </c>
      <c r="E84" t="str">
        <f>IF(Moteur!H84="","",Moteur!H84)</f>
        <v/>
      </c>
      <c r="F84" t="str">
        <f>IF(Moteur!E84="","",Moteur!E84)</f>
        <v/>
      </c>
      <c r="G84" t="str">
        <f>IF($A84="","",SUMIFS(Socle!$H$1:$H$1000,Socle!$C$1:$C$1000,$A84,Socle!$D$1:$D$1000,$C84,Socle!$E$1:$E$1000,$D84,Socle!$F$1:$F$1000,$E84,Socle!$G$1:$G$1000,"2026"))</f>
        <v/>
      </c>
      <c r="H84" t="str">
        <f>IF($A84="","",SUMIFS(Socle!$N$1:$N$1000,Socle!$C$1:$C$1000,$A84,Socle!$D$1:$D$1000,$C84,Socle!$E$1:$E$1000,$D84,Socle!$F$1:$F$1000,$E84,Socle!$G$1:$G$1000,"2026"))</f>
        <v/>
      </c>
      <c r="I84" t="str">
        <f>IF($A84="","",SUMIFS(Socle!$P$1:$P$1000,Socle!$C$1:$C$1000,$A84,Socle!$D$1:$D$1000,$C84,Socle!$E$1:$E$1000,$D84,Socle!$F$1:$F$1000,$E84,Socle!$G$1:$G$1000,"2026"))</f>
        <v/>
      </c>
      <c r="J84" t="str">
        <f>IF($A84="","",SUMIFS(Socle!$W$1:$W$1000,Socle!$C$1:$C$1000,$A84,Socle!$D$1:$D$1000,$C84,Socle!$E$1:$E$1000,$D84,Socle!$F$1:$F$1000,$E84,Socle!$G$1:$G$1000,"2026"))</f>
        <v/>
      </c>
      <c r="K84" t="str">
        <f>IF($A84="","",SUMIFS(Socle!$X$1:$X$1000,Socle!$C$1:$C$1000,$A84,Socle!$D$1:$D$1000,$C84,Socle!$E$1:$E$1000,$D84,Socle!$F$1:$F$1000,$E84,Socle!$G$1:$G$1000,"2026"))</f>
        <v/>
      </c>
      <c r="L84" t="str">
        <f>IF($A84="","",SUMIFS(Socle!$Y$1:$Y$1000,Socle!$C$1:$C$1000,$A84,Socle!$D$1:$D$1000,$C84,Socle!$E$1:$E$1000,$D84,Socle!$F$1:$F$1000,$E84,Socle!$G$1:$G$1000,"2026"))</f>
        <v/>
      </c>
      <c r="M84" t="str">
        <f>IF($A84="","",SUMIFS(Socle!$V$1:$V$1000,Socle!$C$1:$C$1000,$A84,Socle!$D$1:$D$1000,$C84,Socle!$E$1:$E$1000,$D84,Socle!$F$1:$F$1000,$E84,Socle!$G$1:$G$1000,"2026"))</f>
        <v/>
      </c>
      <c r="N84" t="str">
        <f t="shared" si="14"/>
        <v/>
      </c>
      <c r="O84" t="str">
        <f>IF($A84="","",SUMIFS(Campagne!$D$1:$D$15,Campagne!$C$1:$C$15,$A84))</f>
        <v/>
      </c>
      <c r="P84" t="str">
        <f>IF($A84="","",SUMIFS(Campagne!$E$1:$E$15,Campagne!$C$1:$C$15,$A84))</f>
        <v/>
      </c>
      <c r="Q84" t="str">
        <f>IF($A84="","",SUMIFS(Campagne!$F$1:$F$15,Campagne!$C$1:$C$15,$A84))</f>
        <v/>
      </c>
      <c r="R84" t="str">
        <f>IF($A84="","",SUMIFS(Campagne!$K$1:$K$15,Campagne!$C$1:$C$15,$A84))</f>
        <v/>
      </c>
      <c r="S84" t="str">
        <f>IF($A84="","",SUMIFS(Campagne!$M$1:$M$15,Campagne!$C$1:$C$15,$A84))</f>
        <v/>
      </c>
      <c r="T84" t="str">
        <f>IF($A84="","",SUMIFS(PIL!$K$15:$K$28,PIL!$A$15:$A$28,$A84)*SUMIFS(PIL!$J$15:$J$28,PIL!$A$15:$A$28,$A84)*(SUM(PIL!$K$15:$K$28)/SUMPRODUCT(PIL!$K$15:$K$28,PIL!$J$15:$J$28)))</f>
        <v/>
      </c>
      <c r="U84" t="str">
        <f>IF($A84="","",SUMIFS(PIL!$K$15:$K$28,PIL!$A$15:$A$28,$A84))</f>
        <v/>
      </c>
      <c r="V84" t="str">
        <f t="shared" si="15"/>
        <v/>
      </c>
      <c r="W84" t="str">
        <f t="shared" si="16"/>
        <v/>
      </c>
      <c r="X84" t="str">
        <f t="shared" si="17"/>
        <v/>
      </c>
      <c r="Y84" t="str">
        <f t="shared" si="18"/>
        <v/>
      </c>
      <c r="Z84" t="str">
        <f t="shared" si="19"/>
        <v/>
      </c>
      <c r="AA84" t="str">
        <f t="shared" si="20"/>
        <v/>
      </c>
      <c r="AB84" t="str">
        <f t="shared" si="21"/>
        <v/>
      </c>
      <c r="AC84" t="str">
        <f t="shared" si="22"/>
        <v/>
      </c>
      <c r="AD84" t="str">
        <f t="shared" si="23"/>
        <v/>
      </c>
      <c r="AE84" t="str">
        <f t="shared" si="24"/>
        <v/>
      </c>
      <c r="AF84" t="str">
        <f t="shared" si="25"/>
        <v/>
      </c>
      <c r="AG84" t="str">
        <f t="shared" si="26"/>
        <v/>
      </c>
      <c r="AH84" t="str">
        <f t="shared" si="27"/>
        <v/>
      </c>
    </row>
    <row r="85" spans="1:34" x14ac:dyDescent="0.45">
      <c r="A85" t="str">
        <f>IF(Moteur!D85="","",Moteur!D85)</f>
        <v/>
      </c>
      <c r="B85" t="str">
        <f>IF(Moteur!B85="","",Moteur!B85)</f>
        <v/>
      </c>
      <c r="C85" t="str">
        <f>IF(Moteur!F85="","",Moteur!F85)</f>
        <v/>
      </c>
      <c r="D85" t="str">
        <f>IF(Moteur!G85="","",Moteur!G85)</f>
        <v/>
      </c>
      <c r="E85" t="str">
        <f>IF(Moteur!H85="","",Moteur!H85)</f>
        <v/>
      </c>
      <c r="F85" t="str">
        <f>IF(Moteur!E85="","",Moteur!E85)</f>
        <v/>
      </c>
      <c r="G85" t="str">
        <f>IF($A85="","",SUMIFS(Socle!$H$1:$H$1000,Socle!$C$1:$C$1000,$A85,Socle!$D$1:$D$1000,$C85,Socle!$E$1:$E$1000,$D85,Socle!$F$1:$F$1000,$E85,Socle!$G$1:$G$1000,"2026"))</f>
        <v/>
      </c>
      <c r="H85" t="str">
        <f>IF($A85="","",SUMIFS(Socle!$N$1:$N$1000,Socle!$C$1:$C$1000,$A85,Socle!$D$1:$D$1000,$C85,Socle!$E$1:$E$1000,$D85,Socle!$F$1:$F$1000,$E85,Socle!$G$1:$G$1000,"2026"))</f>
        <v/>
      </c>
      <c r="I85" t="str">
        <f>IF($A85="","",SUMIFS(Socle!$P$1:$P$1000,Socle!$C$1:$C$1000,$A85,Socle!$D$1:$D$1000,$C85,Socle!$E$1:$E$1000,$D85,Socle!$F$1:$F$1000,$E85,Socle!$G$1:$G$1000,"2026"))</f>
        <v/>
      </c>
      <c r="J85" t="str">
        <f>IF($A85="","",SUMIFS(Socle!$W$1:$W$1000,Socle!$C$1:$C$1000,$A85,Socle!$D$1:$D$1000,$C85,Socle!$E$1:$E$1000,$D85,Socle!$F$1:$F$1000,$E85,Socle!$G$1:$G$1000,"2026"))</f>
        <v/>
      </c>
      <c r="K85" t="str">
        <f>IF($A85="","",SUMIFS(Socle!$X$1:$X$1000,Socle!$C$1:$C$1000,$A85,Socle!$D$1:$D$1000,$C85,Socle!$E$1:$E$1000,$D85,Socle!$F$1:$F$1000,$E85,Socle!$G$1:$G$1000,"2026"))</f>
        <v/>
      </c>
      <c r="L85" t="str">
        <f>IF($A85="","",SUMIFS(Socle!$Y$1:$Y$1000,Socle!$C$1:$C$1000,$A85,Socle!$D$1:$D$1000,$C85,Socle!$E$1:$E$1000,$D85,Socle!$F$1:$F$1000,$E85,Socle!$G$1:$G$1000,"2026"))</f>
        <v/>
      </c>
      <c r="M85" t="str">
        <f>IF($A85="","",SUMIFS(Socle!$V$1:$V$1000,Socle!$C$1:$C$1000,$A85,Socle!$D$1:$D$1000,$C85,Socle!$E$1:$E$1000,$D85,Socle!$F$1:$F$1000,$E85,Socle!$G$1:$G$1000,"2026"))</f>
        <v/>
      </c>
      <c r="N85" t="str">
        <f t="shared" si="14"/>
        <v/>
      </c>
      <c r="O85" t="str">
        <f>IF($A85="","",SUMIFS(Campagne!$D$1:$D$15,Campagne!$C$1:$C$15,$A85))</f>
        <v/>
      </c>
      <c r="P85" t="str">
        <f>IF($A85="","",SUMIFS(Campagne!$E$1:$E$15,Campagne!$C$1:$C$15,$A85))</f>
        <v/>
      </c>
      <c r="Q85" t="str">
        <f>IF($A85="","",SUMIFS(Campagne!$F$1:$F$15,Campagne!$C$1:$C$15,$A85))</f>
        <v/>
      </c>
      <c r="R85" t="str">
        <f>IF($A85="","",SUMIFS(Campagne!$K$1:$K$15,Campagne!$C$1:$C$15,$A85))</f>
        <v/>
      </c>
      <c r="S85" t="str">
        <f>IF($A85="","",SUMIFS(Campagne!$M$1:$M$15,Campagne!$C$1:$C$15,$A85))</f>
        <v/>
      </c>
      <c r="T85" t="str">
        <f>IF($A85="","",SUMIFS(PIL!$K$15:$K$28,PIL!$A$15:$A$28,$A85)*SUMIFS(PIL!$J$15:$J$28,PIL!$A$15:$A$28,$A85)*(SUM(PIL!$K$15:$K$28)/SUMPRODUCT(PIL!$K$15:$K$28,PIL!$J$15:$J$28)))</f>
        <v/>
      </c>
      <c r="U85" t="str">
        <f>IF($A85="","",SUMIFS(PIL!$K$15:$K$28,PIL!$A$15:$A$28,$A85))</f>
        <v/>
      </c>
      <c r="V85" t="str">
        <f t="shared" si="15"/>
        <v/>
      </c>
      <c r="W85" t="str">
        <f t="shared" si="16"/>
        <v/>
      </c>
      <c r="X85" t="str">
        <f t="shared" si="17"/>
        <v/>
      </c>
      <c r="Y85" t="str">
        <f t="shared" si="18"/>
        <v/>
      </c>
      <c r="Z85" t="str">
        <f t="shared" si="19"/>
        <v/>
      </c>
      <c r="AA85" t="str">
        <f t="shared" si="20"/>
        <v/>
      </c>
      <c r="AB85" t="str">
        <f t="shared" si="21"/>
        <v/>
      </c>
      <c r="AC85" t="str">
        <f t="shared" si="22"/>
        <v/>
      </c>
      <c r="AD85" t="str">
        <f t="shared" si="23"/>
        <v/>
      </c>
      <c r="AE85" t="str">
        <f t="shared" si="24"/>
        <v/>
      </c>
      <c r="AF85" t="str">
        <f t="shared" si="25"/>
        <v/>
      </c>
      <c r="AG85" t="str">
        <f t="shared" si="26"/>
        <v/>
      </c>
      <c r="AH85" t="str">
        <f t="shared" si="27"/>
        <v/>
      </c>
    </row>
    <row r="86" spans="1:34" x14ac:dyDescent="0.45">
      <c r="A86" t="str">
        <f>IF(Moteur!D86="","",Moteur!D86)</f>
        <v/>
      </c>
      <c r="B86" t="str">
        <f>IF(Moteur!B86="","",Moteur!B86)</f>
        <v/>
      </c>
      <c r="C86" t="str">
        <f>IF(Moteur!F86="","",Moteur!F86)</f>
        <v/>
      </c>
      <c r="D86" t="str">
        <f>IF(Moteur!G86="","",Moteur!G86)</f>
        <v/>
      </c>
      <c r="E86" t="str">
        <f>IF(Moteur!H86="","",Moteur!H86)</f>
        <v/>
      </c>
      <c r="F86" t="str">
        <f>IF(Moteur!E86="","",Moteur!E86)</f>
        <v/>
      </c>
      <c r="G86" t="str">
        <f>IF($A86="","",SUMIFS(Socle!$H$1:$H$1000,Socle!$C$1:$C$1000,$A86,Socle!$D$1:$D$1000,$C86,Socle!$E$1:$E$1000,$D86,Socle!$F$1:$F$1000,$E86,Socle!$G$1:$G$1000,"2026"))</f>
        <v/>
      </c>
      <c r="H86" t="str">
        <f>IF($A86="","",SUMIFS(Socle!$N$1:$N$1000,Socle!$C$1:$C$1000,$A86,Socle!$D$1:$D$1000,$C86,Socle!$E$1:$E$1000,$D86,Socle!$F$1:$F$1000,$E86,Socle!$G$1:$G$1000,"2026"))</f>
        <v/>
      </c>
      <c r="I86" t="str">
        <f>IF($A86="","",SUMIFS(Socle!$P$1:$P$1000,Socle!$C$1:$C$1000,$A86,Socle!$D$1:$D$1000,$C86,Socle!$E$1:$E$1000,$D86,Socle!$F$1:$F$1000,$E86,Socle!$G$1:$G$1000,"2026"))</f>
        <v/>
      </c>
      <c r="J86" t="str">
        <f>IF($A86="","",SUMIFS(Socle!$W$1:$W$1000,Socle!$C$1:$C$1000,$A86,Socle!$D$1:$D$1000,$C86,Socle!$E$1:$E$1000,$D86,Socle!$F$1:$F$1000,$E86,Socle!$G$1:$G$1000,"2026"))</f>
        <v/>
      </c>
      <c r="K86" t="str">
        <f>IF($A86="","",SUMIFS(Socle!$X$1:$X$1000,Socle!$C$1:$C$1000,$A86,Socle!$D$1:$D$1000,$C86,Socle!$E$1:$E$1000,$D86,Socle!$F$1:$F$1000,$E86,Socle!$G$1:$G$1000,"2026"))</f>
        <v/>
      </c>
      <c r="L86" t="str">
        <f>IF($A86="","",SUMIFS(Socle!$Y$1:$Y$1000,Socle!$C$1:$C$1000,$A86,Socle!$D$1:$D$1000,$C86,Socle!$E$1:$E$1000,$D86,Socle!$F$1:$F$1000,$E86,Socle!$G$1:$G$1000,"2026"))</f>
        <v/>
      </c>
      <c r="M86" t="str">
        <f>IF($A86="","",SUMIFS(Socle!$V$1:$V$1000,Socle!$C$1:$C$1000,$A86,Socle!$D$1:$D$1000,$C86,Socle!$E$1:$E$1000,$D86,Socle!$F$1:$F$1000,$E86,Socle!$G$1:$G$1000,"2026"))</f>
        <v/>
      </c>
      <c r="N86" t="str">
        <f t="shared" si="14"/>
        <v/>
      </c>
      <c r="O86" t="str">
        <f>IF($A86="","",SUMIFS(Campagne!$D$1:$D$15,Campagne!$C$1:$C$15,$A86))</f>
        <v/>
      </c>
      <c r="P86" t="str">
        <f>IF($A86="","",SUMIFS(Campagne!$E$1:$E$15,Campagne!$C$1:$C$15,$A86))</f>
        <v/>
      </c>
      <c r="Q86" t="str">
        <f>IF($A86="","",SUMIFS(Campagne!$F$1:$F$15,Campagne!$C$1:$C$15,$A86))</f>
        <v/>
      </c>
      <c r="R86" t="str">
        <f>IF($A86="","",SUMIFS(Campagne!$K$1:$K$15,Campagne!$C$1:$C$15,$A86))</f>
        <v/>
      </c>
      <c r="S86" t="str">
        <f>IF($A86="","",SUMIFS(Campagne!$M$1:$M$15,Campagne!$C$1:$C$15,$A86))</f>
        <v/>
      </c>
      <c r="T86" t="str">
        <f>IF($A86="","",SUMIFS(PIL!$K$15:$K$28,PIL!$A$15:$A$28,$A86)*SUMIFS(PIL!$J$15:$J$28,PIL!$A$15:$A$28,$A86)*(SUM(PIL!$K$15:$K$28)/SUMPRODUCT(PIL!$K$15:$K$28,PIL!$J$15:$J$28)))</f>
        <v/>
      </c>
      <c r="U86" t="str">
        <f>IF($A86="","",SUMIFS(PIL!$K$15:$K$28,PIL!$A$15:$A$28,$A86))</f>
        <v/>
      </c>
      <c r="V86" t="str">
        <f t="shared" si="15"/>
        <v/>
      </c>
      <c r="W86" t="str">
        <f t="shared" si="16"/>
        <v/>
      </c>
      <c r="X86" t="str">
        <f t="shared" si="17"/>
        <v/>
      </c>
      <c r="Y86" t="str">
        <f t="shared" si="18"/>
        <v/>
      </c>
      <c r="Z86" t="str">
        <f t="shared" si="19"/>
        <v/>
      </c>
      <c r="AA86" t="str">
        <f t="shared" si="20"/>
        <v/>
      </c>
      <c r="AB86" t="str">
        <f t="shared" si="21"/>
        <v/>
      </c>
      <c r="AC86" t="str">
        <f t="shared" si="22"/>
        <v/>
      </c>
      <c r="AD86" t="str">
        <f t="shared" si="23"/>
        <v/>
      </c>
      <c r="AE86" t="str">
        <f t="shared" si="24"/>
        <v/>
      </c>
      <c r="AF86" t="str">
        <f t="shared" si="25"/>
        <v/>
      </c>
      <c r="AG86" t="str">
        <f t="shared" si="26"/>
        <v/>
      </c>
      <c r="AH86" t="str">
        <f t="shared" si="27"/>
        <v/>
      </c>
    </row>
    <row r="87" spans="1:34" x14ac:dyDescent="0.45">
      <c r="A87" t="str">
        <f>IF(Moteur!D87="","",Moteur!D87)</f>
        <v/>
      </c>
      <c r="B87" t="str">
        <f>IF(Moteur!B87="","",Moteur!B87)</f>
        <v/>
      </c>
      <c r="C87" t="str">
        <f>IF(Moteur!F87="","",Moteur!F87)</f>
        <v/>
      </c>
      <c r="D87" t="str">
        <f>IF(Moteur!G87="","",Moteur!G87)</f>
        <v/>
      </c>
      <c r="E87" t="str">
        <f>IF(Moteur!H87="","",Moteur!H87)</f>
        <v/>
      </c>
      <c r="F87" t="str">
        <f>IF(Moteur!E87="","",Moteur!E87)</f>
        <v/>
      </c>
      <c r="G87" t="str">
        <f>IF($A87="","",SUMIFS(Socle!$H$1:$H$1000,Socle!$C$1:$C$1000,$A87,Socle!$D$1:$D$1000,$C87,Socle!$E$1:$E$1000,$D87,Socle!$F$1:$F$1000,$E87,Socle!$G$1:$G$1000,"2026"))</f>
        <v/>
      </c>
      <c r="H87" t="str">
        <f>IF($A87="","",SUMIFS(Socle!$N$1:$N$1000,Socle!$C$1:$C$1000,$A87,Socle!$D$1:$D$1000,$C87,Socle!$E$1:$E$1000,$D87,Socle!$F$1:$F$1000,$E87,Socle!$G$1:$G$1000,"2026"))</f>
        <v/>
      </c>
      <c r="I87" t="str">
        <f>IF($A87="","",SUMIFS(Socle!$P$1:$P$1000,Socle!$C$1:$C$1000,$A87,Socle!$D$1:$D$1000,$C87,Socle!$E$1:$E$1000,$D87,Socle!$F$1:$F$1000,$E87,Socle!$G$1:$G$1000,"2026"))</f>
        <v/>
      </c>
      <c r="J87" t="str">
        <f>IF($A87="","",SUMIFS(Socle!$W$1:$W$1000,Socle!$C$1:$C$1000,$A87,Socle!$D$1:$D$1000,$C87,Socle!$E$1:$E$1000,$D87,Socle!$F$1:$F$1000,$E87,Socle!$G$1:$G$1000,"2026"))</f>
        <v/>
      </c>
      <c r="K87" t="str">
        <f>IF($A87="","",SUMIFS(Socle!$X$1:$X$1000,Socle!$C$1:$C$1000,$A87,Socle!$D$1:$D$1000,$C87,Socle!$E$1:$E$1000,$D87,Socle!$F$1:$F$1000,$E87,Socle!$G$1:$G$1000,"2026"))</f>
        <v/>
      </c>
      <c r="L87" t="str">
        <f>IF($A87="","",SUMIFS(Socle!$Y$1:$Y$1000,Socle!$C$1:$C$1000,$A87,Socle!$D$1:$D$1000,$C87,Socle!$E$1:$E$1000,$D87,Socle!$F$1:$F$1000,$E87,Socle!$G$1:$G$1000,"2026"))</f>
        <v/>
      </c>
      <c r="M87" t="str">
        <f>IF($A87="","",SUMIFS(Socle!$V$1:$V$1000,Socle!$C$1:$C$1000,$A87,Socle!$D$1:$D$1000,$C87,Socle!$E$1:$E$1000,$D87,Socle!$F$1:$F$1000,$E87,Socle!$G$1:$G$1000,"2026"))</f>
        <v/>
      </c>
      <c r="N87" t="str">
        <f t="shared" si="14"/>
        <v/>
      </c>
      <c r="O87" t="str">
        <f>IF($A87="","",SUMIFS(Campagne!$D$1:$D$15,Campagne!$C$1:$C$15,$A87))</f>
        <v/>
      </c>
      <c r="P87" t="str">
        <f>IF($A87="","",SUMIFS(Campagne!$E$1:$E$15,Campagne!$C$1:$C$15,$A87))</f>
        <v/>
      </c>
      <c r="Q87" t="str">
        <f>IF($A87="","",SUMIFS(Campagne!$F$1:$F$15,Campagne!$C$1:$C$15,$A87))</f>
        <v/>
      </c>
      <c r="R87" t="str">
        <f>IF($A87="","",SUMIFS(Campagne!$K$1:$K$15,Campagne!$C$1:$C$15,$A87))</f>
        <v/>
      </c>
      <c r="S87" t="str">
        <f>IF($A87="","",SUMIFS(Campagne!$M$1:$M$15,Campagne!$C$1:$C$15,$A87))</f>
        <v/>
      </c>
      <c r="T87" t="str">
        <f>IF($A87="","",SUMIFS(PIL!$K$15:$K$28,PIL!$A$15:$A$28,$A87)*SUMIFS(PIL!$J$15:$J$28,PIL!$A$15:$A$28,$A87)*(SUM(PIL!$K$15:$K$28)/SUMPRODUCT(PIL!$K$15:$K$28,PIL!$J$15:$J$28)))</f>
        <v/>
      </c>
      <c r="U87" t="str">
        <f>IF($A87="","",SUMIFS(PIL!$K$15:$K$28,PIL!$A$15:$A$28,$A87))</f>
        <v/>
      </c>
      <c r="V87" t="str">
        <f t="shared" si="15"/>
        <v/>
      </c>
      <c r="W87" t="str">
        <f t="shared" si="16"/>
        <v/>
      </c>
      <c r="X87" t="str">
        <f t="shared" si="17"/>
        <v/>
      </c>
      <c r="Y87" t="str">
        <f t="shared" si="18"/>
        <v/>
      </c>
      <c r="Z87" t="str">
        <f t="shared" si="19"/>
        <v/>
      </c>
      <c r="AA87" t="str">
        <f t="shared" si="20"/>
        <v/>
      </c>
      <c r="AB87" t="str">
        <f t="shared" si="21"/>
        <v/>
      </c>
      <c r="AC87" t="str">
        <f t="shared" si="22"/>
        <v/>
      </c>
      <c r="AD87" t="str">
        <f t="shared" si="23"/>
        <v/>
      </c>
      <c r="AE87" t="str">
        <f t="shared" si="24"/>
        <v/>
      </c>
      <c r="AF87" t="str">
        <f t="shared" si="25"/>
        <v/>
      </c>
      <c r="AG87" t="str">
        <f t="shared" si="26"/>
        <v/>
      </c>
      <c r="AH87" t="str">
        <f t="shared" si="27"/>
        <v/>
      </c>
    </row>
    <row r="88" spans="1:34" x14ac:dyDescent="0.45">
      <c r="A88" t="str">
        <f>IF(Moteur!D88="","",Moteur!D88)</f>
        <v/>
      </c>
      <c r="B88" t="str">
        <f>IF(Moteur!B88="","",Moteur!B88)</f>
        <v/>
      </c>
      <c r="C88" t="str">
        <f>IF(Moteur!F88="","",Moteur!F88)</f>
        <v/>
      </c>
      <c r="D88" t="str">
        <f>IF(Moteur!G88="","",Moteur!G88)</f>
        <v/>
      </c>
      <c r="E88" t="str">
        <f>IF(Moteur!H88="","",Moteur!H88)</f>
        <v/>
      </c>
      <c r="F88" t="str">
        <f>IF(Moteur!E88="","",Moteur!E88)</f>
        <v/>
      </c>
      <c r="G88" t="str">
        <f>IF($A88="","",SUMIFS(Socle!$H$1:$H$1000,Socle!$C$1:$C$1000,$A88,Socle!$D$1:$D$1000,$C88,Socle!$E$1:$E$1000,$D88,Socle!$F$1:$F$1000,$E88,Socle!$G$1:$G$1000,"2026"))</f>
        <v/>
      </c>
      <c r="H88" t="str">
        <f>IF($A88="","",SUMIFS(Socle!$N$1:$N$1000,Socle!$C$1:$C$1000,$A88,Socle!$D$1:$D$1000,$C88,Socle!$E$1:$E$1000,$D88,Socle!$F$1:$F$1000,$E88,Socle!$G$1:$G$1000,"2026"))</f>
        <v/>
      </c>
      <c r="I88" t="str">
        <f>IF($A88="","",SUMIFS(Socle!$P$1:$P$1000,Socle!$C$1:$C$1000,$A88,Socle!$D$1:$D$1000,$C88,Socle!$E$1:$E$1000,$D88,Socle!$F$1:$F$1000,$E88,Socle!$G$1:$G$1000,"2026"))</f>
        <v/>
      </c>
      <c r="J88" t="str">
        <f>IF($A88="","",SUMIFS(Socle!$W$1:$W$1000,Socle!$C$1:$C$1000,$A88,Socle!$D$1:$D$1000,$C88,Socle!$E$1:$E$1000,$D88,Socle!$F$1:$F$1000,$E88,Socle!$G$1:$G$1000,"2026"))</f>
        <v/>
      </c>
      <c r="K88" t="str">
        <f>IF($A88="","",SUMIFS(Socle!$X$1:$X$1000,Socle!$C$1:$C$1000,$A88,Socle!$D$1:$D$1000,$C88,Socle!$E$1:$E$1000,$D88,Socle!$F$1:$F$1000,$E88,Socle!$G$1:$G$1000,"2026"))</f>
        <v/>
      </c>
      <c r="L88" t="str">
        <f>IF($A88="","",SUMIFS(Socle!$Y$1:$Y$1000,Socle!$C$1:$C$1000,$A88,Socle!$D$1:$D$1000,$C88,Socle!$E$1:$E$1000,$D88,Socle!$F$1:$F$1000,$E88,Socle!$G$1:$G$1000,"2026"))</f>
        <v/>
      </c>
      <c r="M88" t="str">
        <f>IF($A88="","",SUMIFS(Socle!$V$1:$V$1000,Socle!$C$1:$C$1000,$A88,Socle!$D$1:$D$1000,$C88,Socle!$E$1:$E$1000,$D88,Socle!$F$1:$F$1000,$E88,Socle!$G$1:$G$1000,"2026"))</f>
        <v/>
      </c>
      <c r="N88" t="str">
        <f t="shared" si="14"/>
        <v/>
      </c>
      <c r="O88" t="str">
        <f>IF($A88="","",SUMIFS(Campagne!$D$1:$D$15,Campagne!$C$1:$C$15,$A88))</f>
        <v/>
      </c>
      <c r="P88" t="str">
        <f>IF($A88="","",SUMIFS(Campagne!$E$1:$E$15,Campagne!$C$1:$C$15,$A88))</f>
        <v/>
      </c>
      <c r="Q88" t="str">
        <f>IF($A88="","",SUMIFS(Campagne!$F$1:$F$15,Campagne!$C$1:$C$15,$A88))</f>
        <v/>
      </c>
      <c r="R88" t="str">
        <f>IF($A88="","",SUMIFS(Campagne!$K$1:$K$15,Campagne!$C$1:$C$15,$A88))</f>
        <v/>
      </c>
      <c r="S88" t="str">
        <f>IF($A88="","",SUMIFS(Campagne!$M$1:$M$15,Campagne!$C$1:$C$15,$A88))</f>
        <v/>
      </c>
      <c r="T88" t="str">
        <f>IF($A88="","",SUMIFS(PIL!$K$15:$K$28,PIL!$A$15:$A$28,$A88)*SUMIFS(PIL!$J$15:$J$28,PIL!$A$15:$A$28,$A88)*(SUM(PIL!$K$15:$K$28)/SUMPRODUCT(PIL!$K$15:$K$28,PIL!$J$15:$J$28)))</f>
        <v/>
      </c>
      <c r="U88" t="str">
        <f>IF($A88="","",SUMIFS(PIL!$K$15:$K$28,PIL!$A$15:$A$28,$A88))</f>
        <v/>
      </c>
      <c r="V88" t="str">
        <f t="shared" si="15"/>
        <v/>
      </c>
      <c r="W88" t="str">
        <f t="shared" si="16"/>
        <v/>
      </c>
      <c r="X88" t="str">
        <f t="shared" si="17"/>
        <v/>
      </c>
      <c r="Y88" t="str">
        <f t="shared" si="18"/>
        <v/>
      </c>
      <c r="Z88" t="str">
        <f t="shared" si="19"/>
        <v/>
      </c>
      <c r="AA88" t="str">
        <f t="shared" si="20"/>
        <v/>
      </c>
      <c r="AB88" t="str">
        <f t="shared" si="21"/>
        <v/>
      </c>
      <c r="AC88" t="str">
        <f t="shared" si="22"/>
        <v/>
      </c>
      <c r="AD88" t="str">
        <f t="shared" si="23"/>
        <v/>
      </c>
      <c r="AE88" t="str">
        <f t="shared" si="24"/>
        <v/>
      </c>
      <c r="AF88" t="str">
        <f t="shared" si="25"/>
        <v/>
      </c>
      <c r="AG88" t="str">
        <f t="shared" si="26"/>
        <v/>
      </c>
      <c r="AH88" t="str">
        <f t="shared" si="27"/>
        <v/>
      </c>
    </row>
    <row r="89" spans="1:34" x14ac:dyDescent="0.45">
      <c r="A89" t="str">
        <f>IF(Moteur!D89="","",Moteur!D89)</f>
        <v/>
      </c>
      <c r="B89" t="str">
        <f>IF(Moteur!B89="","",Moteur!B89)</f>
        <v/>
      </c>
      <c r="C89" t="str">
        <f>IF(Moteur!F89="","",Moteur!F89)</f>
        <v/>
      </c>
      <c r="D89" t="str">
        <f>IF(Moteur!G89="","",Moteur!G89)</f>
        <v/>
      </c>
      <c r="E89" t="str">
        <f>IF(Moteur!H89="","",Moteur!H89)</f>
        <v/>
      </c>
      <c r="F89" t="str">
        <f>IF(Moteur!E89="","",Moteur!E89)</f>
        <v/>
      </c>
      <c r="G89" t="str">
        <f>IF($A89="","",SUMIFS(Socle!$H$1:$H$1000,Socle!$C$1:$C$1000,$A89,Socle!$D$1:$D$1000,$C89,Socle!$E$1:$E$1000,$D89,Socle!$F$1:$F$1000,$E89,Socle!$G$1:$G$1000,"2026"))</f>
        <v/>
      </c>
      <c r="H89" t="str">
        <f>IF($A89="","",SUMIFS(Socle!$N$1:$N$1000,Socle!$C$1:$C$1000,$A89,Socle!$D$1:$D$1000,$C89,Socle!$E$1:$E$1000,$D89,Socle!$F$1:$F$1000,$E89,Socle!$G$1:$G$1000,"2026"))</f>
        <v/>
      </c>
      <c r="I89" t="str">
        <f>IF($A89="","",SUMIFS(Socle!$P$1:$P$1000,Socle!$C$1:$C$1000,$A89,Socle!$D$1:$D$1000,$C89,Socle!$E$1:$E$1000,$D89,Socle!$F$1:$F$1000,$E89,Socle!$G$1:$G$1000,"2026"))</f>
        <v/>
      </c>
      <c r="J89" t="str">
        <f>IF($A89="","",SUMIFS(Socle!$W$1:$W$1000,Socle!$C$1:$C$1000,$A89,Socle!$D$1:$D$1000,$C89,Socle!$E$1:$E$1000,$D89,Socle!$F$1:$F$1000,$E89,Socle!$G$1:$G$1000,"2026"))</f>
        <v/>
      </c>
      <c r="K89" t="str">
        <f>IF($A89="","",SUMIFS(Socle!$X$1:$X$1000,Socle!$C$1:$C$1000,$A89,Socle!$D$1:$D$1000,$C89,Socle!$E$1:$E$1000,$D89,Socle!$F$1:$F$1000,$E89,Socle!$G$1:$G$1000,"2026"))</f>
        <v/>
      </c>
      <c r="L89" t="str">
        <f>IF($A89="","",SUMIFS(Socle!$Y$1:$Y$1000,Socle!$C$1:$C$1000,$A89,Socle!$D$1:$D$1000,$C89,Socle!$E$1:$E$1000,$D89,Socle!$F$1:$F$1000,$E89,Socle!$G$1:$G$1000,"2026"))</f>
        <v/>
      </c>
      <c r="M89" t="str">
        <f>IF($A89="","",SUMIFS(Socle!$V$1:$V$1000,Socle!$C$1:$C$1000,$A89,Socle!$D$1:$D$1000,$C89,Socle!$E$1:$E$1000,$D89,Socle!$F$1:$F$1000,$E89,Socle!$G$1:$G$1000,"2026"))</f>
        <v/>
      </c>
      <c r="N89" t="str">
        <f t="shared" si="14"/>
        <v/>
      </c>
      <c r="O89" t="str">
        <f>IF($A89="","",SUMIFS(Campagne!$D$1:$D$15,Campagne!$C$1:$C$15,$A89))</f>
        <v/>
      </c>
      <c r="P89" t="str">
        <f>IF($A89="","",SUMIFS(Campagne!$E$1:$E$15,Campagne!$C$1:$C$15,$A89))</f>
        <v/>
      </c>
      <c r="Q89" t="str">
        <f>IF($A89="","",SUMIFS(Campagne!$F$1:$F$15,Campagne!$C$1:$C$15,$A89))</f>
        <v/>
      </c>
      <c r="R89" t="str">
        <f>IF($A89="","",SUMIFS(Campagne!$K$1:$K$15,Campagne!$C$1:$C$15,$A89))</f>
        <v/>
      </c>
      <c r="S89" t="str">
        <f>IF($A89="","",SUMIFS(Campagne!$M$1:$M$15,Campagne!$C$1:$C$15,$A89))</f>
        <v/>
      </c>
      <c r="T89" t="str">
        <f>IF($A89="","",SUMIFS(PIL!$K$15:$K$28,PIL!$A$15:$A$28,$A89)*SUMIFS(PIL!$J$15:$J$28,PIL!$A$15:$A$28,$A89)*(SUM(PIL!$K$15:$K$28)/SUMPRODUCT(PIL!$K$15:$K$28,PIL!$J$15:$J$28)))</f>
        <v/>
      </c>
      <c r="U89" t="str">
        <f>IF($A89="","",SUMIFS(PIL!$K$15:$K$28,PIL!$A$15:$A$28,$A89))</f>
        <v/>
      </c>
      <c r="V89" t="str">
        <f t="shared" si="15"/>
        <v/>
      </c>
      <c r="W89" t="str">
        <f t="shared" si="16"/>
        <v/>
      </c>
      <c r="X89" t="str">
        <f t="shared" si="17"/>
        <v/>
      </c>
      <c r="Y89" t="str">
        <f t="shared" si="18"/>
        <v/>
      </c>
      <c r="Z89" t="str">
        <f t="shared" si="19"/>
        <v/>
      </c>
      <c r="AA89" t="str">
        <f t="shared" si="20"/>
        <v/>
      </c>
      <c r="AB89" t="str">
        <f t="shared" si="21"/>
        <v/>
      </c>
      <c r="AC89" t="str">
        <f t="shared" si="22"/>
        <v/>
      </c>
      <c r="AD89" t="str">
        <f t="shared" si="23"/>
        <v/>
      </c>
      <c r="AE89" t="str">
        <f t="shared" si="24"/>
        <v/>
      </c>
      <c r="AF89" t="str">
        <f t="shared" si="25"/>
        <v/>
      </c>
      <c r="AG89" t="str">
        <f t="shared" si="26"/>
        <v/>
      </c>
      <c r="AH89" t="str">
        <f t="shared" si="27"/>
        <v/>
      </c>
    </row>
    <row r="90" spans="1:34" x14ac:dyDescent="0.45">
      <c r="A90" t="str">
        <f>IF(Moteur!D90="","",Moteur!D90)</f>
        <v/>
      </c>
      <c r="B90" t="str">
        <f>IF(Moteur!B90="","",Moteur!B90)</f>
        <v/>
      </c>
      <c r="C90" t="str">
        <f>IF(Moteur!F90="","",Moteur!F90)</f>
        <v/>
      </c>
      <c r="D90" t="str">
        <f>IF(Moteur!G90="","",Moteur!G90)</f>
        <v/>
      </c>
      <c r="E90" t="str">
        <f>IF(Moteur!H90="","",Moteur!H90)</f>
        <v/>
      </c>
      <c r="F90" t="str">
        <f>IF(Moteur!E90="","",Moteur!E90)</f>
        <v/>
      </c>
      <c r="G90" t="str">
        <f>IF($A90="","",SUMIFS(Socle!$H$1:$H$1000,Socle!$C$1:$C$1000,$A90,Socle!$D$1:$D$1000,$C90,Socle!$E$1:$E$1000,$D90,Socle!$F$1:$F$1000,$E90,Socle!$G$1:$G$1000,"2026"))</f>
        <v/>
      </c>
      <c r="H90" t="str">
        <f>IF($A90="","",SUMIFS(Socle!$N$1:$N$1000,Socle!$C$1:$C$1000,$A90,Socle!$D$1:$D$1000,$C90,Socle!$E$1:$E$1000,$D90,Socle!$F$1:$F$1000,$E90,Socle!$G$1:$G$1000,"2026"))</f>
        <v/>
      </c>
      <c r="I90" t="str">
        <f>IF($A90="","",SUMIFS(Socle!$P$1:$P$1000,Socle!$C$1:$C$1000,$A90,Socle!$D$1:$D$1000,$C90,Socle!$E$1:$E$1000,$D90,Socle!$F$1:$F$1000,$E90,Socle!$G$1:$G$1000,"2026"))</f>
        <v/>
      </c>
      <c r="J90" t="str">
        <f>IF($A90="","",SUMIFS(Socle!$W$1:$W$1000,Socle!$C$1:$C$1000,$A90,Socle!$D$1:$D$1000,$C90,Socle!$E$1:$E$1000,$D90,Socle!$F$1:$F$1000,$E90,Socle!$G$1:$G$1000,"2026"))</f>
        <v/>
      </c>
      <c r="K90" t="str">
        <f>IF($A90="","",SUMIFS(Socle!$X$1:$X$1000,Socle!$C$1:$C$1000,$A90,Socle!$D$1:$D$1000,$C90,Socle!$E$1:$E$1000,$D90,Socle!$F$1:$F$1000,$E90,Socle!$G$1:$G$1000,"2026"))</f>
        <v/>
      </c>
      <c r="L90" t="str">
        <f>IF($A90="","",SUMIFS(Socle!$Y$1:$Y$1000,Socle!$C$1:$C$1000,$A90,Socle!$D$1:$D$1000,$C90,Socle!$E$1:$E$1000,$D90,Socle!$F$1:$F$1000,$E90,Socle!$G$1:$G$1000,"2026"))</f>
        <v/>
      </c>
      <c r="M90" t="str">
        <f>IF($A90="","",SUMIFS(Socle!$V$1:$V$1000,Socle!$C$1:$C$1000,$A90,Socle!$D$1:$D$1000,$C90,Socle!$E$1:$E$1000,$D90,Socle!$F$1:$F$1000,$E90,Socle!$G$1:$G$1000,"2026"))</f>
        <v/>
      </c>
      <c r="N90" t="str">
        <f t="shared" si="14"/>
        <v/>
      </c>
      <c r="O90" t="str">
        <f>IF($A90="","",SUMIFS(Campagne!$D$1:$D$15,Campagne!$C$1:$C$15,$A90))</f>
        <v/>
      </c>
      <c r="P90" t="str">
        <f>IF($A90="","",SUMIFS(Campagne!$E$1:$E$15,Campagne!$C$1:$C$15,$A90))</f>
        <v/>
      </c>
      <c r="Q90" t="str">
        <f>IF($A90="","",SUMIFS(Campagne!$F$1:$F$15,Campagne!$C$1:$C$15,$A90))</f>
        <v/>
      </c>
      <c r="R90" t="str">
        <f>IF($A90="","",SUMIFS(Campagne!$K$1:$K$15,Campagne!$C$1:$C$15,$A90))</f>
        <v/>
      </c>
      <c r="S90" t="str">
        <f>IF($A90="","",SUMIFS(Campagne!$M$1:$M$15,Campagne!$C$1:$C$15,$A90))</f>
        <v/>
      </c>
      <c r="T90" t="str">
        <f>IF($A90="","",SUMIFS(PIL!$K$15:$K$28,PIL!$A$15:$A$28,$A90)*SUMIFS(PIL!$J$15:$J$28,PIL!$A$15:$A$28,$A90)*(SUM(PIL!$K$15:$K$28)/SUMPRODUCT(PIL!$K$15:$K$28,PIL!$J$15:$J$28)))</f>
        <v/>
      </c>
      <c r="U90" t="str">
        <f>IF($A90="","",SUMIFS(PIL!$K$15:$K$28,PIL!$A$15:$A$28,$A90))</f>
        <v/>
      </c>
      <c r="V90" t="str">
        <f t="shared" si="15"/>
        <v/>
      </c>
      <c r="W90" t="str">
        <f t="shared" si="16"/>
        <v/>
      </c>
      <c r="X90" t="str">
        <f t="shared" si="17"/>
        <v/>
      </c>
      <c r="Y90" t="str">
        <f t="shared" si="18"/>
        <v/>
      </c>
      <c r="Z90" t="str">
        <f t="shared" si="19"/>
        <v/>
      </c>
      <c r="AA90" t="str">
        <f t="shared" si="20"/>
        <v/>
      </c>
      <c r="AB90" t="str">
        <f t="shared" si="21"/>
        <v/>
      </c>
      <c r="AC90" t="str">
        <f t="shared" si="22"/>
        <v/>
      </c>
      <c r="AD90" t="str">
        <f t="shared" si="23"/>
        <v/>
      </c>
      <c r="AE90" t="str">
        <f t="shared" si="24"/>
        <v/>
      </c>
      <c r="AF90" t="str">
        <f t="shared" si="25"/>
        <v/>
      </c>
      <c r="AG90" t="str">
        <f t="shared" si="26"/>
        <v/>
      </c>
      <c r="AH90" t="str">
        <f t="shared" si="27"/>
        <v/>
      </c>
    </row>
    <row r="91" spans="1:34" x14ac:dyDescent="0.45">
      <c r="A91" t="str">
        <f>IF(Moteur!D91="","",Moteur!D91)</f>
        <v/>
      </c>
      <c r="B91" t="str">
        <f>IF(Moteur!B91="","",Moteur!B91)</f>
        <v/>
      </c>
      <c r="C91" t="str">
        <f>IF(Moteur!F91="","",Moteur!F91)</f>
        <v/>
      </c>
      <c r="D91" t="str">
        <f>IF(Moteur!G91="","",Moteur!G91)</f>
        <v/>
      </c>
      <c r="E91" t="str">
        <f>IF(Moteur!H91="","",Moteur!H91)</f>
        <v/>
      </c>
      <c r="F91" t="str">
        <f>IF(Moteur!E91="","",Moteur!E91)</f>
        <v/>
      </c>
      <c r="G91" t="str">
        <f>IF($A91="","",SUMIFS(Socle!$H$1:$H$1000,Socle!$C$1:$C$1000,$A91,Socle!$D$1:$D$1000,$C91,Socle!$E$1:$E$1000,$D91,Socle!$F$1:$F$1000,$E91,Socle!$G$1:$G$1000,"2026"))</f>
        <v/>
      </c>
      <c r="H91" t="str">
        <f>IF($A91="","",SUMIFS(Socle!$N$1:$N$1000,Socle!$C$1:$C$1000,$A91,Socle!$D$1:$D$1000,$C91,Socle!$E$1:$E$1000,$D91,Socle!$F$1:$F$1000,$E91,Socle!$G$1:$G$1000,"2026"))</f>
        <v/>
      </c>
      <c r="I91" t="str">
        <f>IF($A91="","",SUMIFS(Socle!$P$1:$P$1000,Socle!$C$1:$C$1000,$A91,Socle!$D$1:$D$1000,$C91,Socle!$E$1:$E$1000,$D91,Socle!$F$1:$F$1000,$E91,Socle!$G$1:$G$1000,"2026"))</f>
        <v/>
      </c>
      <c r="J91" t="str">
        <f>IF($A91="","",SUMIFS(Socle!$W$1:$W$1000,Socle!$C$1:$C$1000,$A91,Socle!$D$1:$D$1000,$C91,Socle!$E$1:$E$1000,$D91,Socle!$F$1:$F$1000,$E91,Socle!$G$1:$G$1000,"2026"))</f>
        <v/>
      </c>
      <c r="K91" t="str">
        <f>IF($A91="","",SUMIFS(Socle!$X$1:$X$1000,Socle!$C$1:$C$1000,$A91,Socle!$D$1:$D$1000,$C91,Socle!$E$1:$E$1000,$D91,Socle!$F$1:$F$1000,$E91,Socle!$G$1:$G$1000,"2026"))</f>
        <v/>
      </c>
      <c r="L91" t="str">
        <f>IF($A91="","",SUMIFS(Socle!$Y$1:$Y$1000,Socle!$C$1:$C$1000,$A91,Socle!$D$1:$D$1000,$C91,Socle!$E$1:$E$1000,$D91,Socle!$F$1:$F$1000,$E91,Socle!$G$1:$G$1000,"2026"))</f>
        <v/>
      </c>
      <c r="M91" t="str">
        <f>IF($A91="","",SUMIFS(Socle!$V$1:$V$1000,Socle!$C$1:$C$1000,$A91,Socle!$D$1:$D$1000,$C91,Socle!$E$1:$E$1000,$D91,Socle!$F$1:$F$1000,$E91,Socle!$G$1:$G$1000,"2026"))</f>
        <v/>
      </c>
      <c r="N91" t="str">
        <f t="shared" si="14"/>
        <v/>
      </c>
      <c r="O91" t="str">
        <f>IF($A91="","",SUMIFS(Campagne!$D$1:$D$15,Campagne!$C$1:$C$15,$A91))</f>
        <v/>
      </c>
      <c r="P91" t="str">
        <f>IF($A91="","",SUMIFS(Campagne!$E$1:$E$15,Campagne!$C$1:$C$15,$A91))</f>
        <v/>
      </c>
      <c r="Q91" t="str">
        <f>IF($A91="","",SUMIFS(Campagne!$F$1:$F$15,Campagne!$C$1:$C$15,$A91))</f>
        <v/>
      </c>
      <c r="R91" t="str">
        <f>IF($A91="","",SUMIFS(Campagne!$K$1:$K$15,Campagne!$C$1:$C$15,$A91))</f>
        <v/>
      </c>
      <c r="S91" t="str">
        <f>IF($A91="","",SUMIFS(Campagne!$M$1:$M$15,Campagne!$C$1:$C$15,$A91))</f>
        <v/>
      </c>
      <c r="T91" t="str">
        <f>IF($A91="","",SUMIFS(PIL!$K$15:$K$28,PIL!$A$15:$A$28,$A91)*SUMIFS(PIL!$J$15:$J$28,PIL!$A$15:$A$28,$A91)*(SUM(PIL!$K$15:$K$28)/SUMPRODUCT(PIL!$K$15:$K$28,PIL!$J$15:$J$28)))</f>
        <v/>
      </c>
      <c r="U91" t="str">
        <f>IF($A91="","",SUMIFS(PIL!$K$15:$K$28,PIL!$A$15:$A$28,$A91))</f>
        <v/>
      </c>
      <c r="V91" t="str">
        <f t="shared" si="15"/>
        <v/>
      </c>
      <c r="W91" t="str">
        <f t="shared" si="16"/>
        <v/>
      </c>
      <c r="X91" t="str">
        <f t="shared" si="17"/>
        <v/>
      </c>
      <c r="Y91" t="str">
        <f t="shared" si="18"/>
        <v/>
      </c>
      <c r="Z91" t="str">
        <f t="shared" si="19"/>
        <v/>
      </c>
      <c r="AA91" t="str">
        <f t="shared" si="20"/>
        <v/>
      </c>
      <c r="AB91" t="str">
        <f t="shared" si="21"/>
        <v/>
      </c>
      <c r="AC91" t="str">
        <f t="shared" si="22"/>
        <v/>
      </c>
      <c r="AD91" t="str">
        <f t="shared" si="23"/>
        <v/>
      </c>
      <c r="AE91" t="str">
        <f t="shared" si="24"/>
        <v/>
      </c>
      <c r="AF91" t="str">
        <f t="shared" si="25"/>
        <v/>
      </c>
      <c r="AG91" t="str">
        <f t="shared" si="26"/>
        <v/>
      </c>
      <c r="AH91" t="str">
        <f t="shared" si="27"/>
        <v/>
      </c>
    </row>
    <row r="92" spans="1:34" x14ac:dyDescent="0.45">
      <c r="A92" t="str">
        <f>IF(Moteur!D92="","",Moteur!D92)</f>
        <v/>
      </c>
      <c r="B92" t="str">
        <f>IF(Moteur!B92="","",Moteur!B92)</f>
        <v/>
      </c>
      <c r="C92" t="str">
        <f>IF(Moteur!F92="","",Moteur!F92)</f>
        <v/>
      </c>
      <c r="D92" t="str">
        <f>IF(Moteur!G92="","",Moteur!G92)</f>
        <v/>
      </c>
      <c r="E92" t="str">
        <f>IF(Moteur!H92="","",Moteur!H92)</f>
        <v/>
      </c>
      <c r="F92" t="str">
        <f>IF(Moteur!E92="","",Moteur!E92)</f>
        <v/>
      </c>
      <c r="G92" t="str">
        <f>IF($A92="","",SUMIFS(Socle!$H$1:$H$1000,Socle!$C$1:$C$1000,$A92,Socle!$D$1:$D$1000,$C92,Socle!$E$1:$E$1000,$D92,Socle!$F$1:$F$1000,$E92,Socle!$G$1:$G$1000,"2026"))</f>
        <v/>
      </c>
      <c r="H92" t="str">
        <f>IF($A92="","",SUMIFS(Socle!$N$1:$N$1000,Socle!$C$1:$C$1000,$A92,Socle!$D$1:$D$1000,$C92,Socle!$E$1:$E$1000,$D92,Socle!$F$1:$F$1000,$E92,Socle!$G$1:$G$1000,"2026"))</f>
        <v/>
      </c>
      <c r="I92" t="str">
        <f>IF($A92="","",SUMIFS(Socle!$P$1:$P$1000,Socle!$C$1:$C$1000,$A92,Socle!$D$1:$D$1000,$C92,Socle!$E$1:$E$1000,$D92,Socle!$F$1:$F$1000,$E92,Socle!$G$1:$G$1000,"2026"))</f>
        <v/>
      </c>
      <c r="J92" t="str">
        <f>IF($A92="","",SUMIFS(Socle!$W$1:$W$1000,Socle!$C$1:$C$1000,$A92,Socle!$D$1:$D$1000,$C92,Socle!$E$1:$E$1000,$D92,Socle!$F$1:$F$1000,$E92,Socle!$G$1:$G$1000,"2026"))</f>
        <v/>
      </c>
      <c r="K92" t="str">
        <f>IF($A92="","",SUMIFS(Socle!$X$1:$X$1000,Socle!$C$1:$C$1000,$A92,Socle!$D$1:$D$1000,$C92,Socle!$E$1:$E$1000,$D92,Socle!$F$1:$F$1000,$E92,Socle!$G$1:$G$1000,"2026"))</f>
        <v/>
      </c>
      <c r="L92" t="str">
        <f>IF($A92="","",SUMIFS(Socle!$Y$1:$Y$1000,Socle!$C$1:$C$1000,$A92,Socle!$D$1:$D$1000,$C92,Socle!$E$1:$E$1000,$D92,Socle!$F$1:$F$1000,$E92,Socle!$G$1:$G$1000,"2026"))</f>
        <v/>
      </c>
      <c r="M92" t="str">
        <f>IF($A92="","",SUMIFS(Socle!$V$1:$V$1000,Socle!$C$1:$C$1000,$A92,Socle!$D$1:$D$1000,$C92,Socle!$E$1:$E$1000,$D92,Socle!$F$1:$F$1000,$E92,Socle!$G$1:$G$1000,"2026"))</f>
        <v/>
      </c>
      <c r="N92" t="str">
        <f t="shared" si="14"/>
        <v/>
      </c>
      <c r="O92" t="str">
        <f>IF($A92="","",SUMIFS(Campagne!$D$1:$D$15,Campagne!$C$1:$C$15,$A92))</f>
        <v/>
      </c>
      <c r="P92" t="str">
        <f>IF($A92="","",SUMIFS(Campagne!$E$1:$E$15,Campagne!$C$1:$C$15,$A92))</f>
        <v/>
      </c>
      <c r="Q92" t="str">
        <f>IF($A92="","",SUMIFS(Campagne!$F$1:$F$15,Campagne!$C$1:$C$15,$A92))</f>
        <v/>
      </c>
      <c r="R92" t="str">
        <f>IF($A92="","",SUMIFS(Campagne!$K$1:$K$15,Campagne!$C$1:$C$15,$A92))</f>
        <v/>
      </c>
      <c r="S92" t="str">
        <f>IF($A92="","",SUMIFS(Campagne!$M$1:$M$15,Campagne!$C$1:$C$15,$A92))</f>
        <v/>
      </c>
      <c r="T92" t="str">
        <f>IF($A92="","",SUMIFS(PIL!$K$15:$K$28,PIL!$A$15:$A$28,$A92)*SUMIFS(PIL!$J$15:$J$28,PIL!$A$15:$A$28,$A92)*(SUM(PIL!$K$15:$K$28)/SUMPRODUCT(PIL!$K$15:$K$28,PIL!$J$15:$J$28)))</f>
        <v/>
      </c>
      <c r="U92" t="str">
        <f>IF($A92="","",SUMIFS(PIL!$K$15:$K$28,PIL!$A$15:$A$28,$A92))</f>
        <v/>
      </c>
      <c r="V92" t="str">
        <f t="shared" si="15"/>
        <v/>
      </c>
      <c r="W92" t="str">
        <f t="shared" si="16"/>
        <v/>
      </c>
      <c r="X92" t="str">
        <f t="shared" si="17"/>
        <v/>
      </c>
      <c r="Y92" t="str">
        <f t="shared" si="18"/>
        <v/>
      </c>
      <c r="Z92" t="str">
        <f t="shared" si="19"/>
        <v/>
      </c>
      <c r="AA92" t="str">
        <f t="shared" si="20"/>
        <v/>
      </c>
      <c r="AB92" t="str">
        <f t="shared" si="21"/>
        <v/>
      </c>
      <c r="AC92" t="str">
        <f t="shared" si="22"/>
        <v/>
      </c>
      <c r="AD92" t="str">
        <f t="shared" si="23"/>
        <v/>
      </c>
      <c r="AE92" t="str">
        <f t="shared" si="24"/>
        <v/>
      </c>
      <c r="AF92" t="str">
        <f t="shared" si="25"/>
        <v/>
      </c>
      <c r="AG92" t="str">
        <f t="shared" si="26"/>
        <v/>
      </c>
      <c r="AH92" t="str">
        <f t="shared" si="27"/>
        <v/>
      </c>
    </row>
    <row r="93" spans="1:34" x14ac:dyDescent="0.45">
      <c r="A93" t="str">
        <f>IF(Moteur!D93="","",Moteur!D93)</f>
        <v/>
      </c>
      <c r="B93" t="str">
        <f>IF(Moteur!B93="","",Moteur!B93)</f>
        <v/>
      </c>
      <c r="C93" t="str">
        <f>IF(Moteur!F93="","",Moteur!F93)</f>
        <v/>
      </c>
      <c r="D93" t="str">
        <f>IF(Moteur!G93="","",Moteur!G93)</f>
        <v/>
      </c>
      <c r="E93" t="str">
        <f>IF(Moteur!H93="","",Moteur!H93)</f>
        <v/>
      </c>
      <c r="F93" t="str">
        <f>IF(Moteur!E93="","",Moteur!E93)</f>
        <v/>
      </c>
      <c r="G93" t="str">
        <f>IF($A93="","",SUMIFS(Socle!$H$1:$H$1000,Socle!$C$1:$C$1000,$A93,Socle!$D$1:$D$1000,$C93,Socle!$E$1:$E$1000,$D93,Socle!$F$1:$F$1000,$E93,Socle!$G$1:$G$1000,"2026"))</f>
        <v/>
      </c>
      <c r="H93" t="str">
        <f>IF($A93="","",SUMIFS(Socle!$N$1:$N$1000,Socle!$C$1:$C$1000,$A93,Socle!$D$1:$D$1000,$C93,Socle!$E$1:$E$1000,$D93,Socle!$F$1:$F$1000,$E93,Socle!$G$1:$G$1000,"2026"))</f>
        <v/>
      </c>
      <c r="I93" t="str">
        <f>IF($A93="","",SUMIFS(Socle!$P$1:$P$1000,Socle!$C$1:$C$1000,$A93,Socle!$D$1:$D$1000,$C93,Socle!$E$1:$E$1000,$D93,Socle!$F$1:$F$1000,$E93,Socle!$G$1:$G$1000,"2026"))</f>
        <v/>
      </c>
      <c r="J93" t="str">
        <f>IF($A93="","",SUMIFS(Socle!$W$1:$W$1000,Socle!$C$1:$C$1000,$A93,Socle!$D$1:$D$1000,$C93,Socle!$E$1:$E$1000,$D93,Socle!$F$1:$F$1000,$E93,Socle!$G$1:$G$1000,"2026"))</f>
        <v/>
      </c>
      <c r="K93" t="str">
        <f>IF($A93="","",SUMIFS(Socle!$X$1:$X$1000,Socle!$C$1:$C$1000,$A93,Socle!$D$1:$D$1000,$C93,Socle!$E$1:$E$1000,$D93,Socle!$F$1:$F$1000,$E93,Socle!$G$1:$G$1000,"2026"))</f>
        <v/>
      </c>
      <c r="L93" t="str">
        <f>IF($A93="","",SUMIFS(Socle!$Y$1:$Y$1000,Socle!$C$1:$C$1000,$A93,Socle!$D$1:$D$1000,$C93,Socle!$E$1:$E$1000,$D93,Socle!$F$1:$F$1000,$E93,Socle!$G$1:$G$1000,"2026"))</f>
        <v/>
      </c>
      <c r="M93" t="str">
        <f>IF($A93="","",SUMIFS(Socle!$V$1:$V$1000,Socle!$C$1:$C$1000,$A93,Socle!$D$1:$D$1000,$C93,Socle!$E$1:$E$1000,$D93,Socle!$F$1:$F$1000,$E93,Socle!$G$1:$G$1000,"2026"))</f>
        <v/>
      </c>
      <c r="N93" t="str">
        <f t="shared" si="14"/>
        <v/>
      </c>
      <c r="O93" t="str">
        <f>IF($A93="","",SUMIFS(Campagne!$D$1:$D$15,Campagne!$C$1:$C$15,$A93))</f>
        <v/>
      </c>
      <c r="P93" t="str">
        <f>IF($A93="","",SUMIFS(Campagne!$E$1:$E$15,Campagne!$C$1:$C$15,$A93))</f>
        <v/>
      </c>
      <c r="Q93" t="str">
        <f>IF($A93="","",SUMIFS(Campagne!$F$1:$F$15,Campagne!$C$1:$C$15,$A93))</f>
        <v/>
      </c>
      <c r="R93" t="str">
        <f>IF($A93="","",SUMIFS(Campagne!$K$1:$K$15,Campagne!$C$1:$C$15,$A93))</f>
        <v/>
      </c>
      <c r="S93" t="str">
        <f>IF($A93="","",SUMIFS(Campagne!$M$1:$M$15,Campagne!$C$1:$C$15,$A93))</f>
        <v/>
      </c>
      <c r="T93" t="str">
        <f>IF($A93="","",SUMIFS(PIL!$K$15:$K$28,PIL!$A$15:$A$28,$A93)*SUMIFS(PIL!$J$15:$J$28,PIL!$A$15:$A$28,$A93)*(SUM(PIL!$K$15:$K$28)/SUMPRODUCT(PIL!$K$15:$K$28,PIL!$J$15:$J$28)))</f>
        <v/>
      </c>
      <c r="U93" t="str">
        <f>IF($A93="","",SUMIFS(PIL!$K$15:$K$28,PIL!$A$15:$A$28,$A93))</f>
        <v/>
      </c>
      <c r="V93" t="str">
        <f t="shared" si="15"/>
        <v/>
      </c>
      <c r="W93" t="str">
        <f t="shared" si="16"/>
        <v/>
      </c>
      <c r="X93" t="str">
        <f t="shared" si="17"/>
        <v/>
      </c>
      <c r="Y93" t="str">
        <f t="shared" si="18"/>
        <v/>
      </c>
      <c r="Z93" t="str">
        <f t="shared" si="19"/>
        <v/>
      </c>
      <c r="AA93" t="str">
        <f t="shared" si="20"/>
        <v/>
      </c>
      <c r="AB93" t="str">
        <f t="shared" si="21"/>
        <v/>
      </c>
      <c r="AC93" t="str">
        <f t="shared" si="22"/>
        <v/>
      </c>
      <c r="AD93" t="str">
        <f t="shared" si="23"/>
        <v/>
      </c>
      <c r="AE93" t="str">
        <f t="shared" si="24"/>
        <v/>
      </c>
      <c r="AF93" t="str">
        <f t="shared" si="25"/>
        <v/>
      </c>
      <c r="AG93" t="str">
        <f t="shared" si="26"/>
        <v/>
      </c>
      <c r="AH93" t="str">
        <f t="shared" si="27"/>
        <v/>
      </c>
    </row>
    <row r="94" spans="1:34" x14ac:dyDescent="0.45">
      <c r="A94" t="str">
        <f>IF(Moteur!D94="","",Moteur!D94)</f>
        <v/>
      </c>
      <c r="B94" t="str">
        <f>IF(Moteur!B94="","",Moteur!B94)</f>
        <v/>
      </c>
      <c r="C94" t="str">
        <f>IF(Moteur!F94="","",Moteur!F94)</f>
        <v/>
      </c>
      <c r="D94" t="str">
        <f>IF(Moteur!G94="","",Moteur!G94)</f>
        <v/>
      </c>
      <c r="E94" t="str">
        <f>IF(Moteur!H94="","",Moteur!H94)</f>
        <v/>
      </c>
      <c r="F94" t="str">
        <f>IF(Moteur!E94="","",Moteur!E94)</f>
        <v/>
      </c>
      <c r="G94" t="str">
        <f>IF($A94="","",SUMIFS(Socle!$H$1:$H$1000,Socle!$C$1:$C$1000,$A94,Socle!$D$1:$D$1000,$C94,Socle!$E$1:$E$1000,$D94,Socle!$F$1:$F$1000,$E94,Socle!$G$1:$G$1000,"2026"))</f>
        <v/>
      </c>
      <c r="H94" t="str">
        <f>IF($A94="","",SUMIFS(Socle!$N$1:$N$1000,Socle!$C$1:$C$1000,$A94,Socle!$D$1:$D$1000,$C94,Socle!$E$1:$E$1000,$D94,Socle!$F$1:$F$1000,$E94,Socle!$G$1:$G$1000,"2026"))</f>
        <v/>
      </c>
      <c r="I94" t="str">
        <f>IF($A94="","",SUMIFS(Socle!$P$1:$P$1000,Socle!$C$1:$C$1000,$A94,Socle!$D$1:$D$1000,$C94,Socle!$E$1:$E$1000,$D94,Socle!$F$1:$F$1000,$E94,Socle!$G$1:$G$1000,"2026"))</f>
        <v/>
      </c>
      <c r="J94" t="str">
        <f>IF($A94="","",SUMIFS(Socle!$W$1:$W$1000,Socle!$C$1:$C$1000,$A94,Socle!$D$1:$D$1000,$C94,Socle!$E$1:$E$1000,$D94,Socle!$F$1:$F$1000,$E94,Socle!$G$1:$G$1000,"2026"))</f>
        <v/>
      </c>
      <c r="K94" t="str">
        <f>IF($A94="","",SUMIFS(Socle!$X$1:$X$1000,Socle!$C$1:$C$1000,$A94,Socle!$D$1:$D$1000,$C94,Socle!$E$1:$E$1000,$D94,Socle!$F$1:$F$1000,$E94,Socle!$G$1:$G$1000,"2026"))</f>
        <v/>
      </c>
      <c r="L94" t="str">
        <f>IF($A94="","",SUMIFS(Socle!$Y$1:$Y$1000,Socle!$C$1:$C$1000,$A94,Socle!$D$1:$D$1000,$C94,Socle!$E$1:$E$1000,$D94,Socle!$F$1:$F$1000,$E94,Socle!$G$1:$G$1000,"2026"))</f>
        <v/>
      </c>
      <c r="M94" t="str">
        <f>IF($A94="","",SUMIFS(Socle!$V$1:$V$1000,Socle!$C$1:$C$1000,$A94,Socle!$D$1:$D$1000,$C94,Socle!$E$1:$E$1000,$D94,Socle!$F$1:$F$1000,$E94,Socle!$G$1:$G$1000,"2026"))</f>
        <v/>
      </c>
      <c r="N94" t="str">
        <f t="shared" si="14"/>
        <v/>
      </c>
      <c r="O94" t="str">
        <f>IF($A94="","",SUMIFS(Campagne!$D$1:$D$15,Campagne!$C$1:$C$15,$A94))</f>
        <v/>
      </c>
      <c r="P94" t="str">
        <f>IF($A94="","",SUMIFS(Campagne!$E$1:$E$15,Campagne!$C$1:$C$15,$A94))</f>
        <v/>
      </c>
      <c r="Q94" t="str">
        <f>IF($A94="","",SUMIFS(Campagne!$F$1:$F$15,Campagne!$C$1:$C$15,$A94))</f>
        <v/>
      </c>
      <c r="R94" t="str">
        <f>IF($A94="","",SUMIFS(Campagne!$K$1:$K$15,Campagne!$C$1:$C$15,$A94))</f>
        <v/>
      </c>
      <c r="S94" t="str">
        <f>IF($A94="","",SUMIFS(Campagne!$M$1:$M$15,Campagne!$C$1:$C$15,$A94))</f>
        <v/>
      </c>
      <c r="T94" t="str">
        <f>IF($A94="","",SUMIFS(PIL!$K$15:$K$28,PIL!$A$15:$A$28,$A94)*SUMIFS(PIL!$J$15:$J$28,PIL!$A$15:$A$28,$A94)*(SUM(PIL!$K$15:$K$28)/SUMPRODUCT(PIL!$K$15:$K$28,PIL!$J$15:$J$28)))</f>
        <v/>
      </c>
      <c r="U94" t="str">
        <f>IF($A94="","",SUMIFS(PIL!$K$15:$K$28,PIL!$A$15:$A$28,$A94))</f>
        <v/>
      </c>
      <c r="V94" t="str">
        <f t="shared" si="15"/>
        <v/>
      </c>
      <c r="W94" t="str">
        <f t="shared" si="16"/>
        <v/>
      </c>
      <c r="X94" t="str">
        <f t="shared" si="17"/>
        <v/>
      </c>
      <c r="Y94" t="str">
        <f t="shared" si="18"/>
        <v/>
      </c>
      <c r="Z94" t="str">
        <f t="shared" si="19"/>
        <v/>
      </c>
      <c r="AA94" t="str">
        <f t="shared" si="20"/>
        <v/>
      </c>
      <c r="AB94" t="str">
        <f t="shared" si="21"/>
        <v/>
      </c>
      <c r="AC94" t="str">
        <f t="shared" si="22"/>
        <v/>
      </c>
      <c r="AD94" t="str">
        <f t="shared" si="23"/>
        <v/>
      </c>
      <c r="AE94" t="str">
        <f t="shared" si="24"/>
        <v/>
      </c>
      <c r="AF94" t="str">
        <f t="shared" si="25"/>
        <v/>
      </c>
      <c r="AG94" t="str">
        <f t="shared" si="26"/>
        <v/>
      </c>
      <c r="AH94" t="str">
        <f t="shared" si="27"/>
        <v/>
      </c>
    </row>
    <row r="95" spans="1:34" x14ac:dyDescent="0.45">
      <c r="A95" t="str">
        <f>IF(Moteur!D95="","",Moteur!D95)</f>
        <v/>
      </c>
      <c r="B95" t="str">
        <f>IF(Moteur!B95="","",Moteur!B95)</f>
        <v/>
      </c>
      <c r="C95" t="str">
        <f>IF(Moteur!F95="","",Moteur!F95)</f>
        <v/>
      </c>
      <c r="D95" t="str">
        <f>IF(Moteur!G95="","",Moteur!G95)</f>
        <v/>
      </c>
      <c r="E95" t="str">
        <f>IF(Moteur!H95="","",Moteur!H95)</f>
        <v/>
      </c>
      <c r="F95" t="str">
        <f>IF(Moteur!E95="","",Moteur!E95)</f>
        <v/>
      </c>
      <c r="G95" t="str">
        <f>IF($A95="","",SUMIFS(Socle!$H$1:$H$1000,Socle!$C$1:$C$1000,$A95,Socle!$D$1:$D$1000,$C95,Socle!$E$1:$E$1000,$D95,Socle!$F$1:$F$1000,$E95,Socle!$G$1:$G$1000,"2026"))</f>
        <v/>
      </c>
      <c r="H95" t="str">
        <f>IF($A95="","",SUMIFS(Socle!$N$1:$N$1000,Socle!$C$1:$C$1000,$A95,Socle!$D$1:$D$1000,$C95,Socle!$E$1:$E$1000,$D95,Socle!$F$1:$F$1000,$E95,Socle!$G$1:$G$1000,"2026"))</f>
        <v/>
      </c>
      <c r="I95" t="str">
        <f>IF($A95="","",SUMIFS(Socle!$P$1:$P$1000,Socle!$C$1:$C$1000,$A95,Socle!$D$1:$D$1000,$C95,Socle!$E$1:$E$1000,$D95,Socle!$F$1:$F$1000,$E95,Socle!$G$1:$G$1000,"2026"))</f>
        <v/>
      </c>
      <c r="J95" t="str">
        <f>IF($A95="","",SUMIFS(Socle!$W$1:$W$1000,Socle!$C$1:$C$1000,$A95,Socle!$D$1:$D$1000,$C95,Socle!$E$1:$E$1000,$D95,Socle!$F$1:$F$1000,$E95,Socle!$G$1:$G$1000,"2026"))</f>
        <v/>
      </c>
      <c r="K95" t="str">
        <f>IF($A95="","",SUMIFS(Socle!$X$1:$X$1000,Socle!$C$1:$C$1000,$A95,Socle!$D$1:$D$1000,$C95,Socle!$E$1:$E$1000,$D95,Socle!$F$1:$F$1000,$E95,Socle!$G$1:$G$1000,"2026"))</f>
        <v/>
      </c>
      <c r="L95" t="str">
        <f>IF($A95="","",SUMIFS(Socle!$Y$1:$Y$1000,Socle!$C$1:$C$1000,$A95,Socle!$D$1:$D$1000,$C95,Socle!$E$1:$E$1000,$D95,Socle!$F$1:$F$1000,$E95,Socle!$G$1:$G$1000,"2026"))</f>
        <v/>
      </c>
      <c r="M95" t="str">
        <f>IF($A95="","",SUMIFS(Socle!$V$1:$V$1000,Socle!$C$1:$C$1000,$A95,Socle!$D$1:$D$1000,$C95,Socle!$E$1:$E$1000,$D95,Socle!$F$1:$F$1000,$E95,Socle!$G$1:$G$1000,"2026"))</f>
        <v/>
      </c>
      <c r="N95" t="str">
        <f t="shared" si="14"/>
        <v/>
      </c>
      <c r="O95" t="str">
        <f>IF($A95="","",SUMIFS(Campagne!$D$1:$D$15,Campagne!$C$1:$C$15,$A95))</f>
        <v/>
      </c>
      <c r="P95" t="str">
        <f>IF($A95="","",SUMIFS(Campagne!$E$1:$E$15,Campagne!$C$1:$C$15,$A95))</f>
        <v/>
      </c>
      <c r="Q95" t="str">
        <f>IF($A95="","",SUMIFS(Campagne!$F$1:$F$15,Campagne!$C$1:$C$15,$A95))</f>
        <v/>
      </c>
      <c r="R95" t="str">
        <f>IF($A95="","",SUMIFS(Campagne!$K$1:$K$15,Campagne!$C$1:$C$15,$A95))</f>
        <v/>
      </c>
      <c r="S95" t="str">
        <f>IF($A95="","",SUMIFS(Campagne!$M$1:$M$15,Campagne!$C$1:$C$15,$A95))</f>
        <v/>
      </c>
      <c r="T95" t="str">
        <f>IF($A95="","",SUMIFS(PIL!$K$15:$K$28,PIL!$A$15:$A$28,$A95)*SUMIFS(PIL!$J$15:$J$28,PIL!$A$15:$A$28,$A95)*(SUM(PIL!$K$15:$K$28)/SUMPRODUCT(PIL!$K$15:$K$28,PIL!$J$15:$J$28)))</f>
        <v/>
      </c>
      <c r="U95" t="str">
        <f>IF($A95="","",SUMIFS(PIL!$K$15:$K$28,PIL!$A$15:$A$28,$A95))</f>
        <v/>
      </c>
      <c r="V95" t="str">
        <f t="shared" si="15"/>
        <v/>
      </c>
      <c r="W95" t="str">
        <f t="shared" si="16"/>
        <v/>
      </c>
      <c r="X95" t="str">
        <f t="shared" si="17"/>
        <v/>
      </c>
      <c r="Y95" t="str">
        <f t="shared" si="18"/>
        <v/>
      </c>
      <c r="Z95" t="str">
        <f t="shared" si="19"/>
        <v/>
      </c>
      <c r="AA95" t="str">
        <f t="shared" si="20"/>
        <v/>
      </c>
      <c r="AB95" t="str">
        <f t="shared" si="21"/>
        <v/>
      </c>
      <c r="AC95" t="str">
        <f t="shared" si="22"/>
        <v/>
      </c>
      <c r="AD95" t="str">
        <f t="shared" si="23"/>
        <v/>
      </c>
      <c r="AE95" t="str">
        <f t="shared" si="24"/>
        <v/>
      </c>
      <c r="AF95" t="str">
        <f t="shared" si="25"/>
        <v/>
      </c>
      <c r="AG95" t="str">
        <f t="shared" si="26"/>
        <v/>
      </c>
      <c r="AH95" t="str">
        <f t="shared" si="27"/>
        <v/>
      </c>
    </row>
    <row r="96" spans="1:34" x14ac:dyDescent="0.45">
      <c r="A96" t="str">
        <f>IF(Moteur!D96="","",Moteur!D96)</f>
        <v/>
      </c>
      <c r="B96" t="str">
        <f>IF(Moteur!B96="","",Moteur!B96)</f>
        <v/>
      </c>
      <c r="C96" t="str">
        <f>IF(Moteur!F96="","",Moteur!F96)</f>
        <v/>
      </c>
      <c r="D96" t="str">
        <f>IF(Moteur!G96="","",Moteur!G96)</f>
        <v/>
      </c>
      <c r="E96" t="str">
        <f>IF(Moteur!H96="","",Moteur!H96)</f>
        <v/>
      </c>
      <c r="F96" t="str">
        <f>IF(Moteur!E96="","",Moteur!E96)</f>
        <v/>
      </c>
      <c r="G96" t="str">
        <f>IF($A96="","",SUMIFS(Socle!$H$1:$H$1000,Socle!$C$1:$C$1000,$A96,Socle!$D$1:$D$1000,$C96,Socle!$E$1:$E$1000,$D96,Socle!$F$1:$F$1000,$E96,Socle!$G$1:$G$1000,"2026"))</f>
        <v/>
      </c>
      <c r="H96" t="str">
        <f>IF($A96="","",SUMIFS(Socle!$N$1:$N$1000,Socle!$C$1:$C$1000,$A96,Socle!$D$1:$D$1000,$C96,Socle!$E$1:$E$1000,$D96,Socle!$F$1:$F$1000,$E96,Socle!$G$1:$G$1000,"2026"))</f>
        <v/>
      </c>
      <c r="I96" t="str">
        <f>IF($A96="","",SUMIFS(Socle!$P$1:$P$1000,Socle!$C$1:$C$1000,$A96,Socle!$D$1:$D$1000,$C96,Socle!$E$1:$E$1000,$D96,Socle!$F$1:$F$1000,$E96,Socle!$G$1:$G$1000,"2026"))</f>
        <v/>
      </c>
      <c r="J96" t="str">
        <f>IF($A96="","",SUMIFS(Socle!$W$1:$W$1000,Socle!$C$1:$C$1000,$A96,Socle!$D$1:$D$1000,$C96,Socle!$E$1:$E$1000,$D96,Socle!$F$1:$F$1000,$E96,Socle!$G$1:$G$1000,"2026"))</f>
        <v/>
      </c>
      <c r="K96" t="str">
        <f>IF($A96="","",SUMIFS(Socle!$X$1:$X$1000,Socle!$C$1:$C$1000,$A96,Socle!$D$1:$D$1000,$C96,Socle!$E$1:$E$1000,$D96,Socle!$F$1:$F$1000,$E96,Socle!$G$1:$G$1000,"2026"))</f>
        <v/>
      </c>
      <c r="L96" t="str">
        <f>IF($A96="","",SUMIFS(Socle!$Y$1:$Y$1000,Socle!$C$1:$C$1000,$A96,Socle!$D$1:$D$1000,$C96,Socle!$E$1:$E$1000,$D96,Socle!$F$1:$F$1000,$E96,Socle!$G$1:$G$1000,"2026"))</f>
        <v/>
      </c>
      <c r="M96" t="str">
        <f>IF($A96="","",SUMIFS(Socle!$V$1:$V$1000,Socle!$C$1:$C$1000,$A96,Socle!$D$1:$D$1000,$C96,Socle!$E$1:$E$1000,$D96,Socle!$F$1:$F$1000,$E96,Socle!$G$1:$G$1000,"2026"))</f>
        <v/>
      </c>
      <c r="N96" t="str">
        <f t="shared" si="14"/>
        <v/>
      </c>
      <c r="O96" t="str">
        <f>IF($A96="","",SUMIFS(Campagne!$D$1:$D$15,Campagne!$C$1:$C$15,$A96))</f>
        <v/>
      </c>
      <c r="P96" t="str">
        <f>IF($A96="","",SUMIFS(Campagne!$E$1:$E$15,Campagne!$C$1:$C$15,$A96))</f>
        <v/>
      </c>
      <c r="Q96" t="str">
        <f>IF($A96="","",SUMIFS(Campagne!$F$1:$F$15,Campagne!$C$1:$C$15,$A96))</f>
        <v/>
      </c>
      <c r="R96" t="str">
        <f>IF($A96="","",SUMIFS(Campagne!$K$1:$K$15,Campagne!$C$1:$C$15,$A96))</f>
        <v/>
      </c>
      <c r="S96" t="str">
        <f>IF($A96="","",SUMIFS(Campagne!$M$1:$M$15,Campagne!$C$1:$C$15,$A96))</f>
        <v/>
      </c>
      <c r="T96" t="str">
        <f>IF($A96="","",SUMIFS(PIL!$K$15:$K$28,PIL!$A$15:$A$28,$A96)*SUMIFS(PIL!$J$15:$J$28,PIL!$A$15:$A$28,$A96)*(SUM(PIL!$K$15:$K$28)/SUMPRODUCT(PIL!$K$15:$K$28,PIL!$J$15:$J$28)))</f>
        <v/>
      </c>
      <c r="U96" t="str">
        <f>IF($A96="","",SUMIFS(PIL!$K$15:$K$28,PIL!$A$15:$A$28,$A96))</f>
        <v/>
      </c>
      <c r="V96" t="str">
        <f t="shared" si="15"/>
        <v/>
      </c>
      <c r="W96" t="str">
        <f t="shared" si="16"/>
        <v/>
      </c>
      <c r="X96" t="str">
        <f t="shared" si="17"/>
        <v/>
      </c>
      <c r="Y96" t="str">
        <f t="shared" si="18"/>
        <v/>
      </c>
      <c r="Z96" t="str">
        <f t="shared" si="19"/>
        <v/>
      </c>
      <c r="AA96" t="str">
        <f t="shared" si="20"/>
        <v/>
      </c>
      <c r="AB96" t="str">
        <f t="shared" si="21"/>
        <v/>
      </c>
      <c r="AC96" t="str">
        <f t="shared" si="22"/>
        <v/>
      </c>
      <c r="AD96" t="str">
        <f t="shared" si="23"/>
        <v/>
      </c>
      <c r="AE96" t="str">
        <f t="shared" si="24"/>
        <v/>
      </c>
      <c r="AF96" t="str">
        <f t="shared" si="25"/>
        <v/>
      </c>
      <c r="AG96" t="str">
        <f t="shared" si="26"/>
        <v/>
      </c>
      <c r="AH96" t="str">
        <f t="shared" si="27"/>
        <v/>
      </c>
    </row>
    <row r="97" spans="1:34" x14ac:dyDescent="0.45">
      <c r="A97" t="str">
        <f>IF(Moteur!D97="","",Moteur!D97)</f>
        <v/>
      </c>
      <c r="B97" t="str">
        <f>IF(Moteur!B97="","",Moteur!B97)</f>
        <v/>
      </c>
      <c r="C97" t="str">
        <f>IF(Moteur!F97="","",Moteur!F97)</f>
        <v/>
      </c>
      <c r="D97" t="str">
        <f>IF(Moteur!G97="","",Moteur!G97)</f>
        <v/>
      </c>
      <c r="E97" t="str">
        <f>IF(Moteur!H97="","",Moteur!H97)</f>
        <v/>
      </c>
      <c r="F97" t="str">
        <f>IF(Moteur!E97="","",Moteur!E97)</f>
        <v/>
      </c>
      <c r="G97" t="str">
        <f>IF($A97="","",SUMIFS(Socle!$H$1:$H$1000,Socle!$C$1:$C$1000,$A97,Socle!$D$1:$D$1000,$C97,Socle!$E$1:$E$1000,$D97,Socle!$F$1:$F$1000,$E97,Socle!$G$1:$G$1000,"2026"))</f>
        <v/>
      </c>
      <c r="H97" t="str">
        <f>IF($A97="","",SUMIFS(Socle!$N$1:$N$1000,Socle!$C$1:$C$1000,$A97,Socle!$D$1:$D$1000,$C97,Socle!$E$1:$E$1000,$D97,Socle!$F$1:$F$1000,$E97,Socle!$G$1:$G$1000,"2026"))</f>
        <v/>
      </c>
      <c r="I97" t="str">
        <f>IF($A97="","",SUMIFS(Socle!$P$1:$P$1000,Socle!$C$1:$C$1000,$A97,Socle!$D$1:$D$1000,$C97,Socle!$E$1:$E$1000,$D97,Socle!$F$1:$F$1000,$E97,Socle!$G$1:$G$1000,"2026"))</f>
        <v/>
      </c>
      <c r="J97" t="str">
        <f>IF($A97="","",SUMIFS(Socle!$W$1:$W$1000,Socle!$C$1:$C$1000,$A97,Socle!$D$1:$D$1000,$C97,Socle!$E$1:$E$1000,$D97,Socle!$F$1:$F$1000,$E97,Socle!$G$1:$G$1000,"2026"))</f>
        <v/>
      </c>
      <c r="K97" t="str">
        <f>IF($A97="","",SUMIFS(Socle!$X$1:$X$1000,Socle!$C$1:$C$1000,$A97,Socle!$D$1:$D$1000,$C97,Socle!$E$1:$E$1000,$D97,Socle!$F$1:$F$1000,$E97,Socle!$G$1:$G$1000,"2026"))</f>
        <v/>
      </c>
      <c r="L97" t="str">
        <f>IF($A97="","",SUMIFS(Socle!$Y$1:$Y$1000,Socle!$C$1:$C$1000,$A97,Socle!$D$1:$D$1000,$C97,Socle!$E$1:$E$1000,$D97,Socle!$F$1:$F$1000,$E97,Socle!$G$1:$G$1000,"2026"))</f>
        <v/>
      </c>
      <c r="M97" t="str">
        <f>IF($A97="","",SUMIFS(Socle!$V$1:$V$1000,Socle!$C$1:$C$1000,$A97,Socle!$D$1:$D$1000,$C97,Socle!$E$1:$E$1000,$D97,Socle!$F$1:$F$1000,$E97,Socle!$G$1:$G$1000,"2026"))</f>
        <v/>
      </c>
      <c r="N97" t="str">
        <f t="shared" si="14"/>
        <v/>
      </c>
      <c r="O97" t="str">
        <f>IF($A97="","",SUMIFS(Campagne!$D$1:$D$15,Campagne!$C$1:$C$15,$A97))</f>
        <v/>
      </c>
      <c r="P97" t="str">
        <f>IF($A97="","",SUMIFS(Campagne!$E$1:$E$15,Campagne!$C$1:$C$15,$A97))</f>
        <v/>
      </c>
      <c r="Q97" t="str">
        <f>IF($A97="","",SUMIFS(Campagne!$F$1:$F$15,Campagne!$C$1:$C$15,$A97))</f>
        <v/>
      </c>
      <c r="R97" t="str">
        <f>IF($A97="","",SUMIFS(Campagne!$K$1:$K$15,Campagne!$C$1:$C$15,$A97))</f>
        <v/>
      </c>
      <c r="S97" t="str">
        <f>IF($A97="","",SUMIFS(Campagne!$M$1:$M$15,Campagne!$C$1:$C$15,$A97))</f>
        <v/>
      </c>
      <c r="T97" t="str">
        <f>IF($A97="","",SUMIFS(PIL!$K$15:$K$28,PIL!$A$15:$A$28,$A97)*SUMIFS(PIL!$J$15:$J$28,PIL!$A$15:$A$28,$A97)*(SUM(PIL!$K$15:$K$28)/SUMPRODUCT(PIL!$K$15:$K$28,PIL!$J$15:$J$28)))</f>
        <v/>
      </c>
      <c r="U97" t="str">
        <f>IF($A97="","",SUMIFS(PIL!$K$15:$K$28,PIL!$A$15:$A$28,$A97))</f>
        <v/>
      </c>
      <c r="V97" t="str">
        <f t="shared" si="15"/>
        <v/>
      </c>
      <c r="W97" t="str">
        <f t="shared" si="16"/>
        <v/>
      </c>
      <c r="X97" t="str">
        <f t="shared" si="17"/>
        <v/>
      </c>
      <c r="Y97" t="str">
        <f t="shared" si="18"/>
        <v/>
      </c>
      <c r="Z97" t="str">
        <f t="shared" si="19"/>
        <v/>
      </c>
      <c r="AA97" t="str">
        <f t="shared" si="20"/>
        <v/>
      </c>
      <c r="AB97" t="str">
        <f t="shared" si="21"/>
        <v/>
      </c>
      <c r="AC97" t="str">
        <f t="shared" si="22"/>
        <v/>
      </c>
      <c r="AD97" t="str">
        <f t="shared" si="23"/>
        <v/>
      </c>
      <c r="AE97" t="str">
        <f t="shared" si="24"/>
        <v/>
      </c>
      <c r="AF97" t="str">
        <f t="shared" si="25"/>
        <v/>
      </c>
      <c r="AG97" t="str">
        <f t="shared" si="26"/>
        <v/>
      </c>
      <c r="AH97" t="str">
        <f t="shared" si="27"/>
        <v/>
      </c>
    </row>
    <row r="98" spans="1:34" x14ac:dyDescent="0.45">
      <c r="A98" t="str">
        <f>IF(Moteur!D98="","",Moteur!D98)</f>
        <v/>
      </c>
      <c r="B98" t="str">
        <f>IF(Moteur!B98="","",Moteur!B98)</f>
        <v/>
      </c>
      <c r="C98" t="str">
        <f>IF(Moteur!F98="","",Moteur!F98)</f>
        <v/>
      </c>
      <c r="D98" t="str">
        <f>IF(Moteur!G98="","",Moteur!G98)</f>
        <v/>
      </c>
      <c r="E98" t="str">
        <f>IF(Moteur!H98="","",Moteur!H98)</f>
        <v/>
      </c>
      <c r="F98" t="str">
        <f>IF(Moteur!E98="","",Moteur!E98)</f>
        <v/>
      </c>
      <c r="G98" t="str">
        <f>IF($A98="","",SUMIFS(Socle!$H$1:$H$1000,Socle!$C$1:$C$1000,$A98,Socle!$D$1:$D$1000,$C98,Socle!$E$1:$E$1000,$D98,Socle!$F$1:$F$1000,$E98,Socle!$G$1:$G$1000,"2026"))</f>
        <v/>
      </c>
      <c r="H98" t="str">
        <f>IF($A98="","",SUMIFS(Socle!$N$1:$N$1000,Socle!$C$1:$C$1000,$A98,Socle!$D$1:$D$1000,$C98,Socle!$E$1:$E$1000,$D98,Socle!$F$1:$F$1000,$E98,Socle!$G$1:$G$1000,"2026"))</f>
        <v/>
      </c>
      <c r="I98" t="str">
        <f>IF($A98="","",SUMIFS(Socle!$P$1:$P$1000,Socle!$C$1:$C$1000,$A98,Socle!$D$1:$D$1000,$C98,Socle!$E$1:$E$1000,$D98,Socle!$F$1:$F$1000,$E98,Socle!$G$1:$G$1000,"2026"))</f>
        <v/>
      </c>
      <c r="J98" t="str">
        <f>IF($A98="","",SUMIFS(Socle!$W$1:$W$1000,Socle!$C$1:$C$1000,$A98,Socle!$D$1:$D$1000,$C98,Socle!$E$1:$E$1000,$D98,Socle!$F$1:$F$1000,$E98,Socle!$G$1:$G$1000,"2026"))</f>
        <v/>
      </c>
      <c r="K98" t="str">
        <f>IF($A98="","",SUMIFS(Socle!$X$1:$X$1000,Socle!$C$1:$C$1000,$A98,Socle!$D$1:$D$1000,$C98,Socle!$E$1:$E$1000,$D98,Socle!$F$1:$F$1000,$E98,Socle!$G$1:$G$1000,"2026"))</f>
        <v/>
      </c>
      <c r="L98" t="str">
        <f>IF($A98="","",SUMIFS(Socle!$Y$1:$Y$1000,Socle!$C$1:$C$1000,$A98,Socle!$D$1:$D$1000,$C98,Socle!$E$1:$E$1000,$D98,Socle!$F$1:$F$1000,$E98,Socle!$G$1:$G$1000,"2026"))</f>
        <v/>
      </c>
      <c r="M98" t="str">
        <f>IF($A98="","",SUMIFS(Socle!$V$1:$V$1000,Socle!$C$1:$C$1000,$A98,Socle!$D$1:$D$1000,$C98,Socle!$E$1:$E$1000,$D98,Socle!$F$1:$F$1000,$E98,Socle!$G$1:$G$1000,"2026"))</f>
        <v/>
      </c>
      <c r="N98" t="str">
        <f t="shared" si="14"/>
        <v/>
      </c>
      <c r="O98" t="str">
        <f>IF($A98="","",SUMIFS(Campagne!$D$1:$D$15,Campagne!$C$1:$C$15,$A98))</f>
        <v/>
      </c>
      <c r="P98" t="str">
        <f>IF($A98="","",SUMIFS(Campagne!$E$1:$E$15,Campagne!$C$1:$C$15,$A98))</f>
        <v/>
      </c>
      <c r="Q98" t="str">
        <f>IF($A98="","",SUMIFS(Campagne!$F$1:$F$15,Campagne!$C$1:$C$15,$A98))</f>
        <v/>
      </c>
      <c r="R98" t="str">
        <f>IF($A98="","",SUMIFS(Campagne!$K$1:$K$15,Campagne!$C$1:$C$15,$A98))</f>
        <v/>
      </c>
      <c r="S98" t="str">
        <f>IF($A98="","",SUMIFS(Campagne!$M$1:$M$15,Campagne!$C$1:$C$15,$A98))</f>
        <v/>
      </c>
      <c r="T98" t="str">
        <f>IF($A98="","",SUMIFS(PIL!$K$15:$K$28,PIL!$A$15:$A$28,$A98)*SUMIFS(PIL!$J$15:$J$28,PIL!$A$15:$A$28,$A98)*(SUM(PIL!$K$15:$K$28)/SUMPRODUCT(PIL!$K$15:$K$28,PIL!$J$15:$J$28)))</f>
        <v/>
      </c>
      <c r="U98" t="str">
        <f>IF($A98="","",SUMIFS(PIL!$K$15:$K$28,PIL!$A$15:$A$28,$A98))</f>
        <v/>
      </c>
      <c r="V98" t="str">
        <f t="shared" si="15"/>
        <v/>
      </c>
      <c r="W98" t="str">
        <f t="shared" si="16"/>
        <v/>
      </c>
      <c r="X98" t="str">
        <f t="shared" si="17"/>
        <v/>
      </c>
      <c r="Y98" t="str">
        <f t="shared" si="18"/>
        <v/>
      </c>
      <c r="Z98" t="str">
        <f t="shared" si="19"/>
        <v/>
      </c>
      <c r="AA98" t="str">
        <f t="shared" si="20"/>
        <v/>
      </c>
      <c r="AB98" t="str">
        <f t="shared" si="21"/>
        <v/>
      </c>
      <c r="AC98" t="str">
        <f t="shared" si="22"/>
        <v/>
      </c>
      <c r="AD98" t="str">
        <f t="shared" si="23"/>
        <v/>
      </c>
      <c r="AE98" t="str">
        <f t="shared" si="24"/>
        <v/>
      </c>
      <c r="AF98" t="str">
        <f t="shared" si="25"/>
        <v/>
      </c>
      <c r="AG98" t="str">
        <f t="shared" si="26"/>
        <v/>
      </c>
      <c r="AH98" t="str">
        <f t="shared" si="27"/>
        <v/>
      </c>
    </row>
    <row r="99" spans="1:34" x14ac:dyDescent="0.45">
      <c r="A99" t="str">
        <f>IF(Moteur!D99="","",Moteur!D99)</f>
        <v/>
      </c>
      <c r="B99" t="str">
        <f>IF(Moteur!B99="","",Moteur!B99)</f>
        <v/>
      </c>
      <c r="C99" t="str">
        <f>IF(Moteur!F99="","",Moteur!F99)</f>
        <v/>
      </c>
      <c r="D99" t="str">
        <f>IF(Moteur!G99="","",Moteur!G99)</f>
        <v/>
      </c>
      <c r="E99" t="str">
        <f>IF(Moteur!H99="","",Moteur!H99)</f>
        <v/>
      </c>
      <c r="F99" t="str">
        <f>IF(Moteur!E99="","",Moteur!E99)</f>
        <v/>
      </c>
      <c r="G99" t="str">
        <f>IF($A99="","",SUMIFS(Socle!$H$1:$H$1000,Socle!$C$1:$C$1000,$A99,Socle!$D$1:$D$1000,$C99,Socle!$E$1:$E$1000,$D99,Socle!$F$1:$F$1000,$E99,Socle!$G$1:$G$1000,"2026"))</f>
        <v/>
      </c>
      <c r="H99" t="str">
        <f>IF($A99="","",SUMIFS(Socle!$N$1:$N$1000,Socle!$C$1:$C$1000,$A99,Socle!$D$1:$D$1000,$C99,Socle!$E$1:$E$1000,$D99,Socle!$F$1:$F$1000,$E99,Socle!$G$1:$G$1000,"2026"))</f>
        <v/>
      </c>
      <c r="I99" t="str">
        <f>IF($A99="","",SUMIFS(Socle!$P$1:$P$1000,Socle!$C$1:$C$1000,$A99,Socle!$D$1:$D$1000,$C99,Socle!$E$1:$E$1000,$D99,Socle!$F$1:$F$1000,$E99,Socle!$G$1:$G$1000,"2026"))</f>
        <v/>
      </c>
      <c r="J99" t="str">
        <f>IF($A99="","",SUMIFS(Socle!$W$1:$W$1000,Socle!$C$1:$C$1000,$A99,Socle!$D$1:$D$1000,$C99,Socle!$E$1:$E$1000,$D99,Socle!$F$1:$F$1000,$E99,Socle!$G$1:$G$1000,"2026"))</f>
        <v/>
      </c>
      <c r="K99" t="str">
        <f>IF($A99="","",SUMIFS(Socle!$X$1:$X$1000,Socle!$C$1:$C$1000,$A99,Socle!$D$1:$D$1000,$C99,Socle!$E$1:$E$1000,$D99,Socle!$F$1:$F$1000,$E99,Socle!$G$1:$G$1000,"2026"))</f>
        <v/>
      </c>
      <c r="L99" t="str">
        <f>IF($A99="","",SUMIFS(Socle!$Y$1:$Y$1000,Socle!$C$1:$C$1000,$A99,Socle!$D$1:$D$1000,$C99,Socle!$E$1:$E$1000,$D99,Socle!$F$1:$F$1000,$E99,Socle!$G$1:$G$1000,"2026"))</f>
        <v/>
      </c>
      <c r="M99" t="str">
        <f>IF($A99="","",SUMIFS(Socle!$V$1:$V$1000,Socle!$C$1:$C$1000,$A99,Socle!$D$1:$D$1000,$C99,Socle!$E$1:$E$1000,$D99,Socle!$F$1:$F$1000,$E99,Socle!$G$1:$G$1000,"2026"))</f>
        <v/>
      </c>
      <c r="N99" t="str">
        <f t="shared" si="14"/>
        <v/>
      </c>
      <c r="O99" t="str">
        <f>IF($A99="","",SUMIFS(Campagne!$D$1:$D$15,Campagne!$C$1:$C$15,$A99))</f>
        <v/>
      </c>
      <c r="P99" t="str">
        <f>IF($A99="","",SUMIFS(Campagne!$E$1:$E$15,Campagne!$C$1:$C$15,$A99))</f>
        <v/>
      </c>
      <c r="Q99" t="str">
        <f>IF($A99="","",SUMIFS(Campagne!$F$1:$F$15,Campagne!$C$1:$C$15,$A99))</f>
        <v/>
      </c>
      <c r="R99" t="str">
        <f>IF($A99="","",SUMIFS(Campagne!$K$1:$K$15,Campagne!$C$1:$C$15,$A99))</f>
        <v/>
      </c>
      <c r="S99" t="str">
        <f>IF($A99="","",SUMIFS(Campagne!$M$1:$M$15,Campagne!$C$1:$C$15,$A99))</f>
        <v/>
      </c>
      <c r="T99" t="str">
        <f>IF($A99="","",SUMIFS(PIL!$K$15:$K$28,PIL!$A$15:$A$28,$A99)*SUMIFS(PIL!$J$15:$J$28,PIL!$A$15:$A$28,$A99)*(SUM(PIL!$K$15:$K$28)/SUMPRODUCT(PIL!$K$15:$K$28,PIL!$J$15:$J$28)))</f>
        <v/>
      </c>
      <c r="U99" t="str">
        <f>IF($A99="","",SUMIFS(PIL!$K$15:$K$28,PIL!$A$15:$A$28,$A99))</f>
        <v/>
      </c>
      <c r="V99" t="str">
        <f t="shared" si="15"/>
        <v/>
      </c>
      <c r="W99" t="str">
        <f t="shared" si="16"/>
        <v/>
      </c>
      <c r="X99" t="str">
        <f t="shared" si="17"/>
        <v/>
      </c>
      <c r="Y99" t="str">
        <f t="shared" si="18"/>
        <v/>
      </c>
      <c r="Z99" t="str">
        <f t="shared" si="19"/>
        <v/>
      </c>
      <c r="AA99" t="str">
        <f t="shared" si="20"/>
        <v/>
      </c>
      <c r="AB99" t="str">
        <f t="shared" si="21"/>
        <v/>
      </c>
      <c r="AC99" t="str">
        <f t="shared" si="22"/>
        <v/>
      </c>
      <c r="AD99" t="str">
        <f t="shared" si="23"/>
        <v/>
      </c>
      <c r="AE99" t="str">
        <f t="shared" si="24"/>
        <v/>
      </c>
      <c r="AF99" t="str">
        <f t="shared" si="25"/>
        <v/>
      </c>
      <c r="AG99" t="str">
        <f t="shared" si="26"/>
        <v/>
      </c>
      <c r="AH99" t="str">
        <f t="shared" si="27"/>
        <v/>
      </c>
    </row>
    <row r="100" spans="1:34" x14ac:dyDescent="0.45">
      <c r="A100" t="str">
        <f>IF(Moteur!D100="","",Moteur!D100)</f>
        <v/>
      </c>
      <c r="B100" t="str">
        <f>IF(Moteur!B100="","",Moteur!B100)</f>
        <v/>
      </c>
      <c r="C100" t="str">
        <f>IF(Moteur!F100="","",Moteur!F100)</f>
        <v/>
      </c>
      <c r="D100" t="str">
        <f>IF(Moteur!G100="","",Moteur!G100)</f>
        <v/>
      </c>
      <c r="E100" t="str">
        <f>IF(Moteur!H100="","",Moteur!H100)</f>
        <v/>
      </c>
      <c r="F100" t="str">
        <f>IF(Moteur!E100="","",Moteur!E100)</f>
        <v/>
      </c>
      <c r="G100" t="str">
        <f>IF($A100="","",SUMIFS(Socle!$H$1:$H$1000,Socle!$C$1:$C$1000,$A100,Socle!$D$1:$D$1000,$C100,Socle!$E$1:$E$1000,$D100,Socle!$F$1:$F$1000,$E100,Socle!$G$1:$G$1000,"2026"))</f>
        <v/>
      </c>
      <c r="H100" t="str">
        <f>IF($A100="","",SUMIFS(Socle!$N$1:$N$1000,Socle!$C$1:$C$1000,$A100,Socle!$D$1:$D$1000,$C100,Socle!$E$1:$E$1000,$D100,Socle!$F$1:$F$1000,$E100,Socle!$G$1:$G$1000,"2026"))</f>
        <v/>
      </c>
      <c r="I100" t="str">
        <f>IF($A100="","",SUMIFS(Socle!$P$1:$P$1000,Socle!$C$1:$C$1000,$A100,Socle!$D$1:$D$1000,$C100,Socle!$E$1:$E$1000,$D100,Socle!$F$1:$F$1000,$E100,Socle!$G$1:$G$1000,"2026"))</f>
        <v/>
      </c>
      <c r="J100" t="str">
        <f>IF($A100="","",SUMIFS(Socle!$W$1:$W$1000,Socle!$C$1:$C$1000,$A100,Socle!$D$1:$D$1000,$C100,Socle!$E$1:$E$1000,$D100,Socle!$F$1:$F$1000,$E100,Socle!$G$1:$G$1000,"2026"))</f>
        <v/>
      </c>
      <c r="K100" t="str">
        <f>IF($A100="","",SUMIFS(Socle!$X$1:$X$1000,Socle!$C$1:$C$1000,$A100,Socle!$D$1:$D$1000,$C100,Socle!$E$1:$E$1000,$D100,Socle!$F$1:$F$1000,$E100,Socle!$G$1:$G$1000,"2026"))</f>
        <v/>
      </c>
      <c r="L100" t="str">
        <f>IF($A100="","",SUMIFS(Socle!$Y$1:$Y$1000,Socle!$C$1:$C$1000,$A100,Socle!$D$1:$D$1000,$C100,Socle!$E$1:$E$1000,$D100,Socle!$F$1:$F$1000,$E100,Socle!$G$1:$G$1000,"2026"))</f>
        <v/>
      </c>
      <c r="M100" t="str">
        <f>IF($A100="","",SUMIFS(Socle!$V$1:$V$1000,Socle!$C$1:$C$1000,$A100,Socle!$D$1:$D$1000,$C100,Socle!$E$1:$E$1000,$D100,Socle!$F$1:$F$1000,$E100,Socle!$G$1:$G$1000,"2026"))</f>
        <v/>
      </c>
      <c r="N100" t="str">
        <f t="shared" si="14"/>
        <v/>
      </c>
      <c r="O100" t="str">
        <f>IF($A100="","",SUMIFS(Campagne!$D$1:$D$15,Campagne!$C$1:$C$15,$A100))</f>
        <v/>
      </c>
      <c r="P100" t="str">
        <f>IF($A100="","",SUMIFS(Campagne!$E$1:$E$15,Campagne!$C$1:$C$15,$A100))</f>
        <v/>
      </c>
      <c r="Q100" t="str">
        <f>IF($A100="","",SUMIFS(Campagne!$F$1:$F$15,Campagne!$C$1:$C$15,$A100))</f>
        <v/>
      </c>
      <c r="R100" t="str">
        <f>IF($A100="","",SUMIFS(Campagne!$K$1:$K$15,Campagne!$C$1:$C$15,$A100))</f>
        <v/>
      </c>
      <c r="S100" t="str">
        <f>IF($A100="","",SUMIFS(Campagne!$M$1:$M$15,Campagne!$C$1:$C$15,$A100))</f>
        <v/>
      </c>
      <c r="T100" t="str">
        <f>IF($A100="","",SUMIFS(PIL!$K$15:$K$28,PIL!$A$15:$A$28,$A100)*SUMIFS(PIL!$J$15:$J$28,PIL!$A$15:$A$28,$A100)*(SUM(PIL!$K$15:$K$28)/SUMPRODUCT(PIL!$K$15:$K$28,PIL!$J$15:$J$28)))</f>
        <v/>
      </c>
      <c r="U100" t="str">
        <f>IF($A100="","",SUMIFS(PIL!$K$15:$K$28,PIL!$A$15:$A$28,$A100))</f>
        <v/>
      </c>
      <c r="V100" t="str">
        <f t="shared" si="15"/>
        <v/>
      </c>
      <c r="W100" t="str">
        <f t="shared" si="16"/>
        <v/>
      </c>
      <c r="X100" t="str">
        <f t="shared" si="17"/>
        <v/>
      </c>
      <c r="Y100" t="str">
        <f t="shared" si="18"/>
        <v/>
      </c>
      <c r="Z100" t="str">
        <f t="shared" si="19"/>
        <v/>
      </c>
      <c r="AA100" t="str">
        <f t="shared" si="20"/>
        <v/>
      </c>
      <c r="AB100" t="str">
        <f t="shared" si="21"/>
        <v/>
      </c>
      <c r="AC100" t="str">
        <f t="shared" si="22"/>
        <v/>
      </c>
      <c r="AD100" t="str">
        <f t="shared" si="23"/>
        <v/>
      </c>
      <c r="AE100" t="str">
        <f t="shared" si="24"/>
        <v/>
      </c>
      <c r="AF100" t="str">
        <f t="shared" si="25"/>
        <v/>
      </c>
      <c r="AG100" t="str">
        <f t="shared" si="26"/>
        <v/>
      </c>
      <c r="AH100" t="str">
        <f t="shared" si="27"/>
        <v/>
      </c>
    </row>
    <row r="101" spans="1:34" x14ac:dyDescent="0.45">
      <c r="A101" t="str">
        <f>IF(Moteur!D101="","",Moteur!D101)</f>
        <v/>
      </c>
      <c r="B101" t="str">
        <f>IF(Moteur!B101="","",Moteur!B101)</f>
        <v/>
      </c>
      <c r="C101" t="str">
        <f>IF(Moteur!F101="","",Moteur!F101)</f>
        <v/>
      </c>
      <c r="D101" t="str">
        <f>IF(Moteur!G101="","",Moteur!G101)</f>
        <v/>
      </c>
      <c r="E101" t="str">
        <f>IF(Moteur!H101="","",Moteur!H101)</f>
        <v/>
      </c>
      <c r="F101" t="str">
        <f>IF(Moteur!E101="","",Moteur!E101)</f>
        <v/>
      </c>
      <c r="G101" t="str">
        <f>IF($A101="","",SUMIFS(Socle!$H$1:$H$1000,Socle!$C$1:$C$1000,$A101,Socle!$D$1:$D$1000,$C101,Socle!$E$1:$E$1000,$D101,Socle!$F$1:$F$1000,$E101,Socle!$G$1:$G$1000,"2026"))</f>
        <v/>
      </c>
      <c r="H101" t="str">
        <f>IF($A101="","",SUMIFS(Socle!$N$1:$N$1000,Socle!$C$1:$C$1000,$A101,Socle!$D$1:$D$1000,$C101,Socle!$E$1:$E$1000,$D101,Socle!$F$1:$F$1000,$E101,Socle!$G$1:$G$1000,"2026"))</f>
        <v/>
      </c>
      <c r="I101" t="str">
        <f>IF($A101="","",SUMIFS(Socle!$P$1:$P$1000,Socle!$C$1:$C$1000,$A101,Socle!$D$1:$D$1000,$C101,Socle!$E$1:$E$1000,$D101,Socle!$F$1:$F$1000,$E101,Socle!$G$1:$G$1000,"2026"))</f>
        <v/>
      </c>
      <c r="J101" t="str">
        <f>IF($A101="","",SUMIFS(Socle!$W$1:$W$1000,Socle!$C$1:$C$1000,$A101,Socle!$D$1:$D$1000,$C101,Socle!$E$1:$E$1000,$D101,Socle!$F$1:$F$1000,$E101,Socle!$G$1:$G$1000,"2026"))</f>
        <v/>
      </c>
      <c r="K101" t="str">
        <f>IF($A101="","",SUMIFS(Socle!$X$1:$X$1000,Socle!$C$1:$C$1000,$A101,Socle!$D$1:$D$1000,$C101,Socle!$E$1:$E$1000,$D101,Socle!$F$1:$F$1000,$E101,Socle!$G$1:$G$1000,"2026"))</f>
        <v/>
      </c>
      <c r="L101" t="str">
        <f>IF($A101="","",SUMIFS(Socle!$Y$1:$Y$1000,Socle!$C$1:$C$1000,$A101,Socle!$D$1:$D$1000,$C101,Socle!$E$1:$E$1000,$D101,Socle!$F$1:$F$1000,$E101,Socle!$G$1:$G$1000,"2026"))</f>
        <v/>
      </c>
      <c r="M101" t="str">
        <f>IF($A101="","",SUMIFS(Socle!$V$1:$V$1000,Socle!$C$1:$C$1000,$A101,Socle!$D$1:$D$1000,$C101,Socle!$E$1:$E$1000,$D101,Socle!$F$1:$F$1000,$E101,Socle!$G$1:$G$1000,"2026"))</f>
        <v/>
      </c>
      <c r="N101" t="str">
        <f t="shared" si="14"/>
        <v/>
      </c>
      <c r="O101" t="str">
        <f>IF($A101="","",SUMIFS(Campagne!$D$1:$D$15,Campagne!$C$1:$C$15,$A101))</f>
        <v/>
      </c>
      <c r="P101" t="str">
        <f>IF($A101="","",SUMIFS(Campagne!$E$1:$E$15,Campagne!$C$1:$C$15,$A101))</f>
        <v/>
      </c>
      <c r="Q101" t="str">
        <f>IF($A101="","",SUMIFS(Campagne!$F$1:$F$15,Campagne!$C$1:$C$15,$A101))</f>
        <v/>
      </c>
      <c r="R101" t="str">
        <f>IF($A101="","",SUMIFS(Campagne!$K$1:$K$15,Campagne!$C$1:$C$15,$A101))</f>
        <v/>
      </c>
      <c r="S101" t="str">
        <f>IF($A101="","",SUMIFS(Campagne!$M$1:$M$15,Campagne!$C$1:$C$15,$A101))</f>
        <v/>
      </c>
      <c r="T101" t="str">
        <f>IF($A101="","",SUMIFS(PIL!$K$15:$K$28,PIL!$A$15:$A$28,$A101)*SUMIFS(PIL!$J$15:$J$28,PIL!$A$15:$A$28,$A101)*(SUM(PIL!$K$15:$K$28)/SUMPRODUCT(PIL!$K$15:$K$28,PIL!$J$15:$J$28)))</f>
        <v/>
      </c>
      <c r="U101" t="str">
        <f>IF($A101="","",SUMIFS(PIL!$K$15:$K$28,PIL!$A$15:$A$28,$A101))</f>
        <v/>
      </c>
      <c r="V101" t="str">
        <f t="shared" si="15"/>
        <v/>
      </c>
      <c r="W101" t="str">
        <f t="shared" si="16"/>
        <v/>
      </c>
      <c r="X101" t="str">
        <f t="shared" si="17"/>
        <v/>
      </c>
      <c r="Y101" t="str">
        <f t="shared" si="18"/>
        <v/>
      </c>
      <c r="Z101" t="str">
        <f t="shared" si="19"/>
        <v/>
      </c>
      <c r="AA101" t="str">
        <f t="shared" si="20"/>
        <v/>
      </c>
      <c r="AB101" t="str">
        <f t="shared" si="21"/>
        <v/>
      </c>
      <c r="AC101" t="str">
        <f t="shared" si="22"/>
        <v/>
      </c>
      <c r="AD101" t="str">
        <f t="shared" si="23"/>
        <v/>
      </c>
      <c r="AE101" t="str">
        <f t="shared" si="24"/>
        <v/>
      </c>
      <c r="AF101" t="str">
        <f t="shared" si="25"/>
        <v/>
      </c>
      <c r="AG101" t="str">
        <f t="shared" si="26"/>
        <v/>
      </c>
      <c r="AH101" t="str">
        <f t="shared" si="27"/>
        <v/>
      </c>
    </row>
    <row r="102" spans="1:34" x14ac:dyDescent="0.45">
      <c r="A102" t="str">
        <f>IF(Moteur!D102="","",Moteur!D102)</f>
        <v/>
      </c>
      <c r="B102" t="str">
        <f>IF(Moteur!B102="","",Moteur!B102)</f>
        <v/>
      </c>
      <c r="C102" t="str">
        <f>IF(Moteur!F102="","",Moteur!F102)</f>
        <v/>
      </c>
      <c r="D102" t="str">
        <f>IF(Moteur!G102="","",Moteur!G102)</f>
        <v/>
      </c>
      <c r="E102" t="str">
        <f>IF(Moteur!H102="","",Moteur!H102)</f>
        <v/>
      </c>
      <c r="F102" t="str">
        <f>IF(Moteur!E102="","",Moteur!E102)</f>
        <v/>
      </c>
      <c r="G102" t="str">
        <f>IF($A102="","",SUMIFS(Socle!$H$1:$H$1000,Socle!$C$1:$C$1000,$A102,Socle!$D$1:$D$1000,$C102,Socle!$E$1:$E$1000,$D102,Socle!$F$1:$F$1000,$E102,Socle!$G$1:$G$1000,"2026"))</f>
        <v/>
      </c>
      <c r="H102" t="str">
        <f>IF($A102="","",SUMIFS(Socle!$N$1:$N$1000,Socle!$C$1:$C$1000,$A102,Socle!$D$1:$D$1000,$C102,Socle!$E$1:$E$1000,$D102,Socle!$F$1:$F$1000,$E102,Socle!$G$1:$G$1000,"2026"))</f>
        <v/>
      </c>
      <c r="I102" t="str">
        <f>IF($A102="","",SUMIFS(Socle!$P$1:$P$1000,Socle!$C$1:$C$1000,$A102,Socle!$D$1:$D$1000,$C102,Socle!$E$1:$E$1000,$D102,Socle!$F$1:$F$1000,$E102,Socle!$G$1:$G$1000,"2026"))</f>
        <v/>
      </c>
      <c r="J102" t="str">
        <f>IF($A102="","",SUMIFS(Socle!$W$1:$W$1000,Socle!$C$1:$C$1000,$A102,Socle!$D$1:$D$1000,$C102,Socle!$E$1:$E$1000,$D102,Socle!$F$1:$F$1000,$E102,Socle!$G$1:$G$1000,"2026"))</f>
        <v/>
      </c>
      <c r="K102" t="str">
        <f>IF($A102="","",SUMIFS(Socle!$X$1:$X$1000,Socle!$C$1:$C$1000,$A102,Socle!$D$1:$D$1000,$C102,Socle!$E$1:$E$1000,$D102,Socle!$F$1:$F$1000,$E102,Socle!$G$1:$G$1000,"2026"))</f>
        <v/>
      </c>
      <c r="L102" t="str">
        <f>IF($A102="","",SUMIFS(Socle!$Y$1:$Y$1000,Socle!$C$1:$C$1000,$A102,Socle!$D$1:$D$1000,$C102,Socle!$E$1:$E$1000,$D102,Socle!$F$1:$F$1000,$E102,Socle!$G$1:$G$1000,"2026"))</f>
        <v/>
      </c>
      <c r="M102" t="str">
        <f>IF($A102="","",SUMIFS(Socle!$V$1:$V$1000,Socle!$C$1:$C$1000,$A102,Socle!$D$1:$D$1000,$C102,Socle!$E$1:$E$1000,$D102,Socle!$F$1:$F$1000,$E102,Socle!$G$1:$G$1000,"2026"))</f>
        <v/>
      </c>
      <c r="N102" t="str">
        <f t="shared" si="14"/>
        <v/>
      </c>
      <c r="O102" t="str">
        <f>IF($A102="","",SUMIFS(Campagne!$D$1:$D$15,Campagne!$C$1:$C$15,$A102))</f>
        <v/>
      </c>
      <c r="P102" t="str">
        <f>IF($A102="","",SUMIFS(Campagne!$E$1:$E$15,Campagne!$C$1:$C$15,$A102))</f>
        <v/>
      </c>
      <c r="Q102" t="str">
        <f>IF($A102="","",SUMIFS(Campagne!$F$1:$F$15,Campagne!$C$1:$C$15,$A102))</f>
        <v/>
      </c>
      <c r="R102" t="str">
        <f>IF($A102="","",SUMIFS(Campagne!$K$1:$K$15,Campagne!$C$1:$C$15,$A102))</f>
        <v/>
      </c>
      <c r="S102" t="str">
        <f>IF($A102="","",SUMIFS(Campagne!$M$1:$M$15,Campagne!$C$1:$C$15,$A102))</f>
        <v/>
      </c>
      <c r="T102" t="str">
        <f>IF($A102="","",SUMIFS(PIL!$K$15:$K$28,PIL!$A$15:$A$28,$A102)*SUMIFS(PIL!$J$15:$J$28,PIL!$A$15:$A$28,$A102)*(SUM(PIL!$K$15:$K$28)/SUMPRODUCT(PIL!$K$15:$K$28,PIL!$J$15:$J$28)))</f>
        <v/>
      </c>
      <c r="U102" t="str">
        <f>IF($A102="","",SUMIFS(PIL!$K$15:$K$28,PIL!$A$15:$A$28,$A102))</f>
        <v/>
      </c>
      <c r="V102" t="str">
        <f t="shared" si="15"/>
        <v/>
      </c>
      <c r="W102" t="str">
        <f t="shared" si="16"/>
        <v/>
      </c>
      <c r="X102" t="str">
        <f t="shared" si="17"/>
        <v/>
      </c>
      <c r="Y102" t="str">
        <f t="shared" si="18"/>
        <v/>
      </c>
      <c r="Z102" t="str">
        <f t="shared" si="19"/>
        <v/>
      </c>
      <c r="AA102" t="str">
        <f t="shared" si="20"/>
        <v/>
      </c>
      <c r="AB102" t="str">
        <f t="shared" si="21"/>
        <v/>
      </c>
      <c r="AC102" t="str">
        <f t="shared" si="22"/>
        <v/>
      </c>
      <c r="AD102" t="str">
        <f t="shared" si="23"/>
        <v/>
      </c>
      <c r="AE102" t="str">
        <f t="shared" si="24"/>
        <v/>
      </c>
      <c r="AF102" t="str">
        <f t="shared" si="25"/>
        <v/>
      </c>
      <c r="AG102" t="str">
        <f t="shared" si="26"/>
        <v/>
      </c>
      <c r="AH102" t="str">
        <f t="shared" si="27"/>
        <v/>
      </c>
    </row>
    <row r="103" spans="1:34" x14ac:dyDescent="0.45">
      <c r="A103" t="str">
        <f>IF(Moteur!D103="","",Moteur!D103)</f>
        <v/>
      </c>
      <c r="B103" t="str">
        <f>IF(Moteur!B103="","",Moteur!B103)</f>
        <v/>
      </c>
      <c r="C103" t="str">
        <f>IF(Moteur!F103="","",Moteur!F103)</f>
        <v/>
      </c>
      <c r="D103" t="str">
        <f>IF(Moteur!G103="","",Moteur!G103)</f>
        <v/>
      </c>
      <c r="E103" t="str">
        <f>IF(Moteur!H103="","",Moteur!H103)</f>
        <v/>
      </c>
      <c r="F103" t="str">
        <f>IF(Moteur!E103="","",Moteur!E103)</f>
        <v/>
      </c>
      <c r="G103" t="str">
        <f>IF($A103="","",SUMIFS(Socle!$H$1:$H$1000,Socle!$C$1:$C$1000,$A103,Socle!$D$1:$D$1000,$C103,Socle!$E$1:$E$1000,$D103,Socle!$F$1:$F$1000,$E103,Socle!$G$1:$G$1000,"2026"))</f>
        <v/>
      </c>
      <c r="H103" t="str">
        <f>IF($A103="","",SUMIFS(Socle!$N$1:$N$1000,Socle!$C$1:$C$1000,$A103,Socle!$D$1:$D$1000,$C103,Socle!$E$1:$E$1000,$D103,Socle!$F$1:$F$1000,$E103,Socle!$G$1:$G$1000,"2026"))</f>
        <v/>
      </c>
      <c r="I103" t="str">
        <f>IF($A103="","",SUMIFS(Socle!$P$1:$P$1000,Socle!$C$1:$C$1000,$A103,Socle!$D$1:$D$1000,$C103,Socle!$E$1:$E$1000,$D103,Socle!$F$1:$F$1000,$E103,Socle!$G$1:$G$1000,"2026"))</f>
        <v/>
      </c>
      <c r="J103" t="str">
        <f>IF($A103="","",SUMIFS(Socle!$W$1:$W$1000,Socle!$C$1:$C$1000,$A103,Socle!$D$1:$D$1000,$C103,Socle!$E$1:$E$1000,$D103,Socle!$F$1:$F$1000,$E103,Socle!$G$1:$G$1000,"2026"))</f>
        <v/>
      </c>
      <c r="K103" t="str">
        <f>IF($A103="","",SUMIFS(Socle!$X$1:$X$1000,Socle!$C$1:$C$1000,$A103,Socle!$D$1:$D$1000,$C103,Socle!$E$1:$E$1000,$D103,Socle!$F$1:$F$1000,$E103,Socle!$G$1:$G$1000,"2026"))</f>
        <v/>
      </c>
      <c r="L103" t="str">
        <f>IF($A103="","",SUMIFS(Socle!$Y$1:$Y$1000,Socle!$C$1:$C$1000,$A103,Socle!$D$1:$D$1000,$C103,Socle!$E$1:$E$1000,$D103,Socle!$F$1:$F$1000,$E103,Socle!$G$1:$G$1000,"2026"))</f>
        <v/>
      </c>
      <c r="M103" t="str">
        <f>IF($A103="","",SUMIFS(Socle!$V$1:$V$1000,Socle!$C$1:$C$1000,$A103,Socle!$D$1:$D$1000,$C103,Socle!$E$1:$E$1000,$D103,Socle!$F$1:$F$1000,$E103,Socle!$G$1:$G$1000,"2026"))</f>
        <v/>
      </c>
      <c r="N103" t="str">
        <f t="shared" si="14"/>
        <v/>
      </c>
      <c r="O103" t="str">
        <f>IF($A103="","",SUMIFS(Campagne!$D$1:$D$15,Campagne!$C$1:$C$15,$A103))</f>
        <v/>
      </c>
      <c r="P103" t="str">
        <f>IF($A103="","",SUMIFS(Campagne!$E$1:$E$15,Campagne!$C$1:$C$15,$A103))</f>
        <v/>
      </c>
      <c r="Q103" t="str">
        <f>IF($A103="","",SUMIFS(Campagne!$F$1:$F$15,Campagne!$C$1:$C$15,$A103))</f>
        <v/>
      </c>
      <c r="R103" t="str">
        <f>IF($A103="","",SUMIFS(Campagne!$K$1:$K$15,Campagne!$C$1:$C$15,$A103))</f>
        <v/>
      </c>
      <c r="S103" t="str">
        <f>IF($A103="","",SUMIFS(Campagne!$M$1:$M$15,Campagne!$C$1:$C$15,$A103))</f>
        <v/>
      </c>
      <c r="T103" t="str">
        <f>IF($A103="","",SUMIFS(PIL!$K$15:$K$28,PIL!$A$15:$A$28,$A103)*SUMIFS(PIL!$J$15:$J$28,PIL!$A$15:$A$28,$A103)*(SUM(PIL!$K$15:$K$28)/SUMPRODUCT(PIL!$K$15:$K$28,PIL!$J$15:$J$28)))</f>
        <v/>
      </c>
      <c r="U103" t="str">
        <f>IF($A103="","",SUMIFS(PIL!$K$15:$K$28,PIL!$A$15:$A$28,$A103))</f>
        <v/>
      </c>
      <c r="V103" t="str">
        <f t="shared" si="15"/>
        <v/>
      </c>
      <c r="W103" t="str">
        <f t="shared" si="16"/>
        <v/>
      </c>
      <c r="X103" t="str">
        <f t="shared" si="17"/>
        <v/>
      </c>
      <c r="Y103" t="str">
        <f t="shared" si="18"/>
        <v/>
      </c>
      <c r="Z103" t="str">
        <f t="shared" si="19"/>
        <v/>
      </c>
      <c r="AA103" t="str">
        <f t="shared" si="20"/>
        <v/>
      </c>
      <c r="AB103" t="str">
        <f t="shared" si="21"/>
        <v/>
      </c>
      <c r="AC103" t="str">
        <f t="shared" si="22"/>
        <v/>
      </c>
      <c r="AD103" t="str">
        <f t="shared" si="23"/>
        <v/>
      </c>
      <c r="AE103" t="str">
        <f t="shared" si="24"/>
        <v/>
      </c>
      <c r="AF103" t="str">
        <f t="shared" si="25"/>
        <v/>
      </c>
      <c r="AG103" t="str">
        <f t="shared" si="26"/>
        <v/>
      </c>
      <c r="AH103" t="str">
        <f t="shared" si="27"/>
        <v/>
      </c>
    </row>
    <row r="104" spans="1:34" x14ac:dyDescent="0.45">
      <c r="A104" t="str">
        <f>IF(Moteur!D104="","",Moteur!D104)</f>
        <v/>
      </c>
      <c r="B104" t="str">
        <f>IF(Moteur!B104="","",Moteur!B104)</f>
        <v/>
      </c>
      <c r="C104" t="str">
        <f>IF(Moteur!F104="","",Moteur!F104)</f>
        <v/>
      </c>
      <c r="D104" t="str">
        <f>IF(Moteur!G104="","",Moteur!G104)</f>
        <v/>
      </c>
      <c r="E104" t="str">
        <f>IF(Moteur!H104="","",Moteur!H104)</f>
        <v/>
      </c>
      <c r="F104" t="str">
        <f>IF(Moteur!E104="","",Moteur!E104)</f>
        <v/>
      </c>
      <c r="G104" t="str">
        <f>IF($A104="","",SUMIFS(Socle!$H$1:$H$1000,Socle!$C$1:$C$1000,$A104,Socle!$D$1:$D$1000,$C104,Socle!$E$1:$E$1000,$D104,Socle!$F$1:$F$1000,$E104,Socle!$G$1:$G$1000,"2026"))</f>
        <v/>
      </c>
      <c r="H104" t="str">
        <f>IF($A104="","",SUMIFS(Socle!$N$1:$N$1000,Socle!$C$1:$C$1000,$A104,Socle!$D$1:$D$1000,$C104,Socle!$E$1:$E$1000,$D104,Socle!$F$1:$F$1000,$E104,Socle!$G$1:$G$1000,"2026"))</f>
        <v/>
      </c>
      <c r="I104" t="str">
        <f>IF($A104="","",SUMIFS(Socle!$P$1:$P$1000,Socle!$C$1:$C$1000,$A104,Socle!$D$1:$D$1000,$C104,Socle!$E$1:$E$1000,$D104,Socle!$F$1:$F$1000,$E104,Socle!$G$1:$G$1000,"2026"))</f>
        <v/>
      </c>
      <c r="J104" t="str">
        <f>IF($A104="","",SUMIFS(Socle!$W$1:$W$1000,Socle!$C$1:$C$1000,$A104,Socle!$D$1:$D$1000,$C104,Socle!$E$1:$E$1000,$D104,Socle!$F$1:$F$1000,$E104,Socle!$G$1:$G$1000,"2026"))</f>
        <v/>
      </c>
      <c r="K104" t="str">
        <f>IF($A104="","",SUMIFS(Socle!$X$1:$X$1000,Socle!$C$1:$C$1000,$A104,Socle!$D$1:$D$1000,$C104,Socle!$E$1:$E$1000,$D104,Socle!$F$1:$F$1000,$E104,Socle!$G$1:$G$1000,"2026"))</f>
        <v/>
      </c>
      <c r="L104" t="str">
        <f>IF($A104="","",SUMIFS(Socle!$Y$1:$Y$1000,Socle!$C$1:$C$1000,$A104,Socle!$D$1:$D$1000,$C104,Socle!$E$1:$E$1000,$D104,Socle!$F$1:$F$1000,$E104,Socle!$G$1:$G$1000,"2026"))</f>
        <v/>
      </c>
      <c r="M104" t="str">
        <f>IF($A104="","",SUMIFS(Socle!$V$1:$V$1000,Socle!$C$1:$C$1000,$A104,Socle!$D$1:$D$1000,$C104,Socle!$E$1:$E$1000,$D104,Socle!$F$1:$F$1000,$E104,Socle!$G$1:$G$1000,"2026"))</f>
        <v/>
      </c>
      <c r="N104" t="str">
        <f t="shared" si="14"/>
        <v/>
      </c>
      <c r="O104" t="str">
        <f>IF($A104="","",SUMIFS(Campagne!$D$1:$D$15,Campagne!$C$1:$C$15,$A104))</f>
        <v/>
      </c>
      <c r="P104" t="str">
        <f>IF($A104="","",SUMIFS(Campagne!$E$1:$E$15,Campagne!$C$1:$C$15,$A104))</f>
        <v/>
      </c>
      <c r="Q104" t="str">
        <f>IF($A104="","",SUMIFS(Campagne!$F$1:$F$15,Campagne!$C$1:$C$15,$A104))</f>
        <v/>
      </c>
      <c r="R104" t="str">
        <f>IF($A104="","",SUMIFS(Campagne!$K$1:$K$15,Campagne!$C$1:$C$15,$A104))</f>
        <v/>
      </c>
      <c r="S104" t="str">
        <f>IF($A104="","",SUMIFS(Campagne!$M$1:$M$15,Campagne!$C$1:$C$15,$A104))</f>
        <v/>
      </c>
      <c r="T104" t="str">
        <f>IF($A104="","",SUMIFS(PIL!$K$15:$K$28,PIL!$A$15:$A$28,$A104)*SUMIFS(PIL!$J$15:$J$28,PIL!$A$15:$A$28,$A104)*(SUM(PIL!$K$15:$K$28)/SUMPRODUCT(PIL!$K$15:$K$28,PIL!$J$15:$J$28)))</f>
        <v/>
      </c>
      <c r="U104" t="str">
        <f>IF($A104="","",SUMIFS(PIL!$K$15:$K$28,PIL!$A$15:$A$28,$A104))</f>
        <v/>
      </c>
      <c r="V104" t="str">
        <f t="shared" si="15"/>
        <v/>
      </c>
      <c r="W104" t="str">
        <f t="shared" si="16"/>
        <v/>
      </c>
      <c r="X104" t="str">
        <f t="shared" si="17"/>
        <v/>
      </c>
      <c r="Y104" t="str">
        <f t="shared" si="18"/>
        <v/>
      </c>
      <c r="Z104" t="str">
        <f t="shared" si="19"/>
        <v/>
      </c>
      <c r="AA104" t="str">
        <f t="shared" si="20"/>
        <v/>
      </c>
      <c r="AB104" t="str">
        <f t="shared" si="21"/>
        <v/>
      </c>
      <c r="AC104" t="str">
        <f t="shared" si="22"/>
        <v/>
      </c>
      <c r="AD104" t="str">
        <f t="shared" si="23"/>
        <v/>
      </c>
      <c r="AE104" t="str">
        <f t="shared" si="24"/>
        <v/>
      </c>
      <c r="AF104" t="str">
        <f t="shared" si="25"/>
        <v/>
      </c>
      <c r="AG104" t="str">
        <f t="shared" si="26"/>
        <v/>
      </c>
      <c r="AH104" t="str">
        <f t="shared" si="27"/>
        <v/>
      </c>
    </row>
    <row r="105" spans="1:34" x14ac:dyDescent="0.45">
      <c r="A105" t="str">
        <f>IF(Moteur!D105="","",Moteur!D105)</f>
        <v/>
      </c>
      <c r="B105" t="str">
        <f>IF(Moteur!B105="","",Moteur!B105)</f>
        <v/>
      </c>
      <c r="C105" t="str">
        <f>IF(Moteur!F105="","",Moteur!F105)</f>
        <v/>
      </c>
      <c r="D105" t="str">
        <f>IF(Moteur!G105="","",Moteur!G105)</f>
        <v/>
      </c>
      <c r="E105" t="str">
        <f>IF(Moteur!H105="","",Moteur!H105)</f>
        <v/>
      </c>
      <c r="F105" t="str">
        <f>IF(Moteur!E105="","",Moteur!E105)</f>
        <v/>
      </c>
      <c r="G105" t="str">
        <f>IF($A105="","",SUMIFS(Socle!$H$1:$H$1000,Socle!$C$1:$C$1000,$A105,Socle!$D$1:$D$1000,$C105,Socle!$E$1:$E$1000,$D105,Socle!$F$1:$F$1000,$E105,Socle!$G$1:$G$1000,"2026"))</f>
        <v/>
      </c>
      <c r="H105" t="str">
        <f>IF($A105="","",SUMIFS(Socle!$N$1:$N$1000,Socle!$C$1:$C$1000,$A105,Socle!$D$1:$D$1000,$C105,Socle!$E$1:$E$1000,$D105,Socle!$F$1:$F$1000,$E105,Socle!$G$1:$G$1000,"2026"))</f>
        <v/>
      </c>
      <c r="I105" t="str">
        <f>IF($A105="","",SUMIFS(Socle!$P$1:$P$1000,Socle!$C$1:$C$1000,$A105,Socle!$D$1:$D$1000,$C105,Socle!$E$1:$E$1000,$D105,Socle!$F$1:$F$1000,$E105,Socle!$G$1:$G$1000,"2026"))</f>
        <v/>
      </c>
      <c r="J105" t="str">
        <f>IF($A105="","",SUMIFS(Socle!$W$1:$W$1000,Socle!$C$1:$C$1000,$A105,Socle!$D$1:$D$1000,$C105,Socle!$E$1:$E$1000,$D105,Socle!$F$1:$F$1000,$E105,Socle!$G$1:$G$1000,"2026"))</f>
        <v/>
      </c>
      <c r="K105" t="str">
        <f>IF($A105="","",SUMIFS(Socle!$X$1:$X$1000,Socle!$C$1:$C$1000,$A105,Socle!$D$1:$D$1000,$C105,Socle!$E$1:$E$1000,$D105,Socle!$F$1:$F$1000,$E105,Socle!$G$1:$G$1000,"2026"))</f>
        <v/>
      </c>
      <c r="L105" t="str">
        <f>IF($A105="","",SUMIFS(Socle!$Y$1:$Y$1000,Socle!$C$1:$C$1000,$A105,Socle!$D$1:$D$1000,$C105,Socle!$E$1:$E$1000,$D105,Socle!$F$1:$F$1000,$E105,Socle!$G$1:$G$1000,"2026"))</f>
        <v/>
      </c>
      <c r="M105" t="str">
        <f>IF($A105="","",SUMIFS(Socle!$V$1:$V$1000,Socle!$C$1:$C$1000,$A105,Socle!$D$1:$D$1000,$C105,Socle!$E$1:$E$1000,$D105,Socle!$F$1:$F$1000,$E105,Socle!$G$1:$G$1000,"2026"))</f>
        <v/>
      </c>
      <c r="N105" t="str">
        <f t="shared" si="14"/>
        <v/>
      </c>
      <c r="O105" t="str">
        <f>IF($A105="","",SUMIFS(Campagne!$D$1:$D$15,Campagne!$C$1:$C$15,$A105))</f>
        <v/>
      </c>
      <c r="P105" t="str">
        <f>IF($A105="","",SUMIFS(Campagne!$E$1:$E$15,Campagne!$C$1:$C$15,$A105))</f>
        <v/>
      </c>
      <c r="Q105" t="str">
        <f>IF($A105="","",SUMIFS(Campagne!$F$1:$F$15,Campagne!$C$1:$C$15,$A105))</f>
        <v/>
      </c>
      <c r="R105" t="str">
        <f>IF($A105="","",SUMIFS(Campagne!$K$1:$K$15,Campagne!$C$1:$C$15,$A105))</f>
        <v/>
      </c>
      <c r="S105" t="str">
        <f>IF($A105="","",SUMIFS(Campagne!$M$1:$M$15,Campagne!$C$1:$C$15,$A105))</f>
        <v/>
      </c>
      <c r="T105" t="str">
        <f>IF($A105="","",SUMIFS(PIL!$K$15:$K$28,PIL!$A$15:$A$28,$A105)*SUMIFS(PIL!$J$15:$J$28,PIL!$A$15:$A$28,$A105)*(SUM(PIL!$K$15:$K$28)/SUMPRODUCT(PIL!$K$15:$K$28,PIL!$J$15:$J$28)))</f>
        <v/>
      </c>
      <c r="U105" t="str">
        <f>IF($A105="","",SUMIFS(PIL!$K$15:$K$28,PIL!$A$15:$A$28,$A105))</f>
        <v/>
      </c>
      <c r="V105" t="str">
        <f t="shared" si="15"/>
        <v/>
      </c>
      <c r="W105" t="str">
        <f t="shared" si="16"/>
        <v/>
      </c>
      <c r="X105" t="str">
        <f t="shared" si="17"/>
        <v/>
      </c>
      <c r="Y105" t="str">
        <f t="shared" si="18"/>
        <v/>
      </c>
      <c r="Z105" t="str">
        <f t="shared" si="19"/>
        <v/>
      </c>
      <c r="AA105" t="str">
        <f t="shared" si="20"/>
        <v/>
      </c>
      <c r="AB105" t="str">
        <f t="shared" si="21"/>
        <v/>
      </c>
      <c r="AC105" t="str">
        <f t="shared" si="22"/>
        <v/>
      </c>
      <c r="AD105" t="str">
        <f t="shared" si="23"/>
        <v/>
      </c>
      <c r="AE105" t="str">
        <f t="shared" si="24"/>
        <v/>
      </c>
      <c r="AF105" t="str">
        <f t="shared" si="25"/>
        <v/>
      </c>
      <c r="AG105" t="str">
        <f t="shared" si="26"/>
        <v/>
      </c>
      <c r="AH105" t="str">
        <f t="shared" si="27"/>
        <v/>
      </c>
    </row>
    <row r="106" spans="1:34" x14ac:dyDescent="0.45">
      <c r="A106" t="str">
        <f>IF(Moteur!D106="","",Moteur!D106)</f>
        <v/>
      </c>
      <c r="B106" t="str">
        <f>IF(Moteur!B106="","",Moteur!B106)</f>
        <v/>
      </c>
      <c r="C106" t="str">
        <f>IF(Moteur!F106="","",Moteur!F106)</f>
        <v/>
      </c>
      <c r="D106" t="str">
        <f>IF(Moteur!G106="","",Moteur!G106)</f>
        <v/>
      </c>
      <c r="E106" t="str">
        <f>IF(Moteur!H106="","",Moteur!H106)</f>
        <v/>
      </c>
      <c r="F106" t="str">
        <f>IF(Moteur!E106="","",Moteur!E106)</f>
        <v/>
      </c>
      <c r="G106" t="str">
        <f>IF($A106="","",SUMIFS(Socle!$H$1:$H$1000,Socle!$C$1:$C$1000,$A106,Socle!$D$1:$D$1000,$C106,Socle!$E$1:$E$1000,$D106,Socle!$F$1:$F$1000,$E106,Socle!$G$1:$G$1000,"2026"))</f>
        <v/>
      </c>
      <c r="H106" t="str">
        <f>IF($A106="","",SUMIFS(Socle!$N$1:$N$1000,Socle!$C$1:$C$1000,$A106,Socle!$D$1:$D$1000,$C106,Socle!$E$1:$E$1000,$D106,Socle!$F$1:$F$1000,$E106,Socle!$G$1:$G$1000,"2026"))</f>
        <v/>
      </c>
      <c r="I106" t="str">
        <f>IF($A106="","",SUMIFS(Socle!$P$1:$P$1000,Socle!$C$1:$C$1000,$A106,Socle!$D$1:$D$1000,$C106,Socle!$E$1:$E$1000,$D106,Socle!$F$1:$F$1000,$E106,Socle!$G$1:$G$1000,"2026"))</f>
        <v/>
      </c>
      <c r="J106" t="str">
        <f>IF($A106="","",SUMIFS(Socle!$W$1:$W$1000,Socle!$C$1:$C$1000,$A106,Socle!$D$1:$D$1000,$C106,Socle!$E$1:$E$1000,$D106,Socle!$F$1:$F$1000,$E106,Socle!$G$1:$G$1000,"2026"))</f>
        <v/>
      </c>
      <c r="K106" t="str">
        <f>IF($A106="","",SUMIFS(Socle!$X$1:$X$1000,Socle!$C$1:$C$1000,$A106,Socle!$D$1:$D$1000,$C106,Socle!$E$1:$E$1000,$D106,Socle!$F$1:$F$1000,$E106,Socle!$G$1:$G$1000,"2026"))</f>
        <v/>
      </c>
      <c r="L106" t="str">
        <f>IF($A106="","",SUMIFS(Socle!$Y$1:$Y$1000,Socle!$C$1:$C$1000,$A106,Socle!$D$1:$D$1000,$C106,Socle!$E$1:$E$1000,$D106,Socle!$F$1:$F$1000,$E106,Socle!$G$1:$G$1000,"2026"))</f>
        <v/>
      </c>
      <c r="M106" t="str">
        <f>IF($A106="","",SUMIFS(Socle!$V$1:$V$1000,Socle!$C$1:$C$1000,$A106,Socle!$D$1:$D$1000,$C106,Socle!$E$1:$E$1000,$D106,Socle!$F$1:$F$1000,$E106,Socle!$G$1:$G$1000,"2026"))</f>
        <v/>
      </c>
      <c r="N106" t="str">
        <f t="shared" si="14"/>
        <v/>
      </c>
      <c r="O106" t="str">
        <f>IF($A106="","",SUMIFS(Campagne!$D$1:$D$15,Campagne!$C$1:$C$15,$A106))</f>
        <v/>
      </c>
      <c r="P106" t="str">
        <f>IF($A106="","",SUMIFS(Campagne!$E$1:$E$15,Campagne!$C$1:$C$15,$A106))</f>
        <v/>
      </c>
      <c r="Q106" t="str">
        <f>IF($A106="","",SUMIFS(Campagne!$F$1:$F$15,Campagne!$C$1:$C$15,$A106))</f>
        <v/>
      </c>
      <c r="R106" t="str">
        <f>IF($A106="","",SUMIFS(Campagne!$K$1:$K$15,Campagne!$C$1:$C$15,$A106))</f>
        <v/>
      </c>
      <c r="S106" t="str">
        <f>IF($A106="","",SUMIFS(Campagne!$M$1:$M$15,Campagne!$C$1:$C$15,$A106))</f>
        <v/>
      </c>
      <c r="T106" t="str">
        <f>IF($A106="","",SUMIFS(PIL!$K$15:$K$28,PIL!$A$15:$A$28,$A106)*SUMIFS(PIL!$J$15:$J$28,PIL!$A$15:$A$28,$A106)*(SUM(PIL!$K$15:$K$28)/SUMPRODUCT(PIL!$K$15:$K$28,PIL!$J$15:$J$28)))</f>
        <v/>
      </c>
      <c r="U106" t="str">
        <f>IF($A106="","",SUMIFS(PIL!$K$15:$K$28,PIL!$A$15:$A$28,$A106))</f>
        <v/>
      </c>
      <c r="V106" t="str">
        <f t="shared" si="15"/>
        <v/>
      </c>
      <c r="W106" t="str">
        <f t="shared" si="16"/>
        <v/>
      </c>
      <c r="X106" t="str">
        <f t="shared" si="17"/>
        <v/>
      </c>
      <c r="Y106" t="str">
        <f t="shared" si="18"/>
        <v/>
      </c>
      <c r="Z106" t="str">
        <f t="shared" si="19"/>
        <v/>
      </c>
      <c r="AA106" t="str">
        <f t="shared" si="20"/>
        <v/>
      </c>
      <c r="AB106" t="str">
        <f t="shared" si="21"/>
        <v/>
      </c>
      <c r="AC106" t="str">
        <f t="shared" si="22"/>
        <v/>
      </c>
      <c r="AD106" t="str">
        <f t="shared" si="23"/>
        <v/>
      </c>
      <c r="AE106" t="str">
        <f t="shared" si="24"/>
        <v/>
      </c>
      <c r="AF106" t="str">
        <f t="shared" si="25"/>
        <v/>
      </c>
      <c r="AG106" t="str">
        <f t="shared" si="26"/>
        <v/>
      </c>
      <c r="AH106" t="str">
        <f t="shared" si="27"/>
        <v/>
      </c>
    </row>
    <row r="107" spans="1:34" x14ac:dyDescent="0.45">
      <c r="A107" t="str">
        <f>IF(Moteur!D107="","",Moteur!D107)</f>
        <v/>
      </c>
      <c r="B107" t="str">
        <f>IF(Moteur!B107="","",Moteur!B107)</f>
        <v/>
      </c>
      <c r="C107" t="str">
        <f>IF(Moteur!F107="","",Moteur!F107)</f>
        <v/>
      </c>
      <c r="D107" t="str">
        <f>IF(Moteur!G107="","",Moteur!G107)</f>
        <v/>
      </c>
      <c r="E107" t="str">
        <f>IF(Moteur!H107="","",Moteur!H107)</f>
        <v/>
      </c>
      <c r="F107" t="str">
        <f>IF(Moteur!E107="","",Moteur!E107)</f>
        <v/>
      </c>
      <c r="G107" t="str">
        <f>IF($A107="","",SUMIFS(Socle!$H$1:$H$1000,Socle!$C$1:$C$1000,$A107,Socle!$D$1:$D$1000,$C107,Socle!$E$1:$E$1000,$D107,Socle!$F$1:$F$1000,$E107,Socle!$G$1:$G$1000,"2026"))</f>
        <v/>
      </c>
      <c r="H107" t="str">
        <f>IF($A107="","",SUMIFS(Socle!$N$1:$N$1000,Socle!$C$1:$C$1000,$A107,Socle!$D$1:$D$1000,$C107,Socle!$E$1:$E$1000,$D107,Socle!$F$1:$F$1000,$E107,Socle!$G$1:$G$1000,"2026"))</f>
        <v/>
      </c>
      <c r="I107" t="str">
        <f>IF($A107="","",SUMIFS(Socle!$P$1:$P$1000,Socle!$C$1:$C$1000,$A107,Socle!$D$1:$D$1000,$C107,Socle!$E$1:$E$1000,$D107,Socle!$F$1:$F$1000,$E107,Socle!$G$1:$G$1000,"2026"))</f>
        <v/>
      </c>
      <c r="J107" t="str">
        <f>IF($A107="","",SUMIFS(Socle!$W$1:$W$1000,Socle!$C$1:$C$1000,$A107,Socle!$D$1:$D$1000,$C107,Socle!$E$1:$E$1000,$D107,Socle!$F$1:$F$1000,$E107,Socle!$G$1:$G$1000,"2026"))</f>
        <v/>
      </c>
      <c r="K107" t="str">
        <f>IF($A107="","",SUMIFS(Socle!$X$1:$X$1000,Socle!$C$1:$C$1000,$A107,Socle!$D$1:$D$1000,$C107,Socle!$E$1:$E$1000,$D107,Socle!$F$1:$F$1000,$E107,Socle!$G$1:$G$1000,"2026"))</f>
        <v/>
      </c>
      <c r="L107" t="str">
        <f>IF($A107="","",SUMIFS(Socle!$Y$1:$Y$1000,Socle!$C$1:$C$1000,$A107,Socle!$D$1:$D$1000,$C107,Socle!$E$1:$E$1000,$D107,Socle!$F$1:$F$1000,$E107,Socle!$G$1:$G$1000,"2026"))</f>
        <v/>
      </c>
      <c r="M107" t="str">
        <f>IF($A107="","",SUMIFS(Socle!$V$1:$V$1000,Socle!$C$1:$C$1000,$A107,Socle!$D$1:$D$1000,$C107,Socle!$E$1:$E$1000,$D107,Socle!$F$1:$F$1000,$E107,Socle!$G$1:$G$1000,"2026"))</f>
        <v/>
      </c>
      <c r="N107" t="str">
        <f t="shared" si="14"/>
        <v/>
      </c>
      <c r="O107" t="str">
        <f>IF($A107="","",SUMIFS(Campagne!$D$1:$D$15,Campagne!$C$1:$C$15,$A107))</f>
        <v/>
      </c>
      <c r="P107" t="str">
        <f>IF($A107="","",SUMIFS(Campagne!$E$1:$E$15,Campagne!$C$1:$C$15,$A107))</f>
        <v/>
      </c>
      <c r="Q107" t="str">
        <f>IF($A107="","",SUMIFS(Campagne!$F$1:$F$15,Campagne!$C$1:$C$15,$A107))</f>
        <v/>
      </c>
      <c r="R107" t="str">
        <f>IF($A107="","",SUMIFS(Campagne!$K$1:$K$15,Campagne!$C$1:$C$15,$A107))</f>
        <v/>
      </c>
      <c r="S107" t="str">
        <f>IF($A107="","",SUMIFS(Campagne!$M$1:$M$15,Campagne!$C$1:$C$15,$A107))</f>
        <v/>
      </c>
      <c r="T107" t="str">
        <f>IF($A107="","",SUMIFS(PIL!$K$15:$K$28,PIL!$A$15:$A$28,$A107)*SUMIFS(PIL!$J$15:$J$28,PIL!$A$15:$A$28,$A107)*(SUM(PIL!$K$15:$K$28)/SUMPRODUCT(PIL!$K$15:$K$28,PIL!$J$15:$J$28)))</f>
        <v/>
      </c>
      <c r="U107" t="str">
        <f>IF($A107="","",SUMIFS(PIL!$K$15:$K$28,PIL!$A$15:$A$28,$A107))</f>
        <v/>
      </c>
      <c r="V107" t="str">
        <f t="shared" si="15"/>
        <v/>
      </c>
      <c r="W107" t="str">
        <f t="shared" si="16"/>
        <v/>
      </c>
      <c r="X107" t="str">
        <f t="shared" si="17"/>
        <v/>
      </c>
      <c r="Y107" t="str">
        <f t="shared" si="18"/>
        <v/>
      </c>
      <c r="Z107" t="str">
        <f t="shared" si="19"/>
        <v/>
      </c>
      <c r="AA107" t="str">
        <f t="shared" si="20"/>
        <v/>
      </c>
      <c r="AB107" t="str">
        <f t="shared" si="21"/>
        <v/>
      </c>
      <c r="AC107" t="str">
        <f t="shared" si="22"/>
        <v/>
      </c>
      <c r="AD107" t="str">
        <f t="shared" si="23"/>
        <v/>
      </c>
      <c r="AE107" t="str">
        <f t="shared" si="24"/>
        <v/>
      </c>
      <c r="AF107" t="str">
        <f t="shared" si="25"/>
        <v/>
      </c>
      <c r="AG107" t="str">
        <f t="shared" si="26"/>
        <v/>
      </c>
      <c r="AH107" t="str">
        <f t="shared" si="27"/>
        <v/>
      </c>
    </row>
    <row r="108" spans="1:34" x14ac:dyDescent="0.45">
      <c r="A108" t="str">
        <f>IF(Moteur!D108="","",Moteur!D108)</f>
        <v/>
      </c>
      <c r="B108" t="str">
        <f>IF(Moteur!B108="","",Moteur!B108)</f>
        <v/>
      </c>
      <c r="C108" t="str">
        <f>IF(Moteur!F108="","",Moteur!F108)</f>
        <v/>
      </c>
      <c r="D108" t="str">
        <f>IF(Moteur!G108="","",Moteur!G108)</f>
        <v/>
      </c>
      <c r="E108" t="str">
        <f>IF(Moteur!H108="","",Moteur!H108)</f>
        <v/>
      </c>
      <c r="F108" t="str">
        <f>IF(Moteur!E108="","",Moteur!E108)</f>
        <v/>
      </c>
      <c r="G108" t="str">
        <f>IF($A108="","",SUMIFS(Socle!$H$1:$H$1000,Socle!$C$1:$C$1000,$A108,Socle!$D$1:$D$1000,$C108,Socle!$E$1:$E$1000,$D108,Socle!$F$1:$F$1000,$E108,Socle!$G$1:$G$1000,"2026"))</f>
        <v/>
      </c>
      <c r="H108" t="str">
        <f>IF($A108="","",SUMIFS(Socle!$N$1:$N$1000,Socle!$C$1:$C$1000,$A108,Socle!$D$1:$D$1000,$C108,Socle!$E$1:$E$1000,$D108,Socle!$F$1:$F$1000,$E108,Socle!$G$1:$G$1000,"2026"))</f>
        <v/>
      </c>
      <c r="I108" t="str">
        <f>IF($A108="","",SUMIFS(Socle!$P$1:$P$1000,Socle!$C$1:$C$1000,$A108,Socle!$D$1:$D$1000,$C108,Socle!$E$1:$E$1000,$D108,Socle!$F$1:$F$1000,$E108,Socle!$G$1:$G$1000,"2026"))</f>
        <v/>
      </c>
      <c r="J108" t="str">
        <f>IF($A108="","",SUMIFS(Socle!$W$1:$W$1000,Socle!$C$1:$C$1000,$A108,Socle!$D$1:$D$1000,$C108,Socle!$E$1:$E$1000,$D108,Socle!$F$1:$F$1000,$E108,Socle!$G$1:$G$1000,"2026"))</f>
        <v/>
      </c>
      <c r="K108" t="str">
        <f>IF($A108="","",SUMIFS(Socle!$X$1:$X$1000,Socle!$C$1:$C$1000,$A108,Socle!$D$1:$D$1000,$C108,Socle!$E$1:$E$1000,$D108,Socle!$F$1:$F$1000,$E108,Socle!$G$1:$G$1000,"2026"))</f>
        <v/>
      </c>
      <c r="L108" t="str">
        <f>IF($A108="","",SUMIFS(Socle!$Y$1:$Y$1000,Socle!$C$1:$C$1000,$A108,Socle!$D$1:$D$1000,$C108,Socle!$E$1:$E$1000,$D108,Socle!$F$1:$F$1000,$E108,Socle!$G$1:$G$1000,"2026"))</f>
        <v/>
      </c>
      <c r="M108" t="str">
        <f>IF($A108="","",SUMIFS(Socle!$V$1:$V$1000,Socle!$C$1:$C$1000,$A108,Socle!$D$1:$D$1000,$C108,Socle!$E$1:$E$1000,$D108,Socle!$F$1:$F$1000,$E108,Socle!$G$1:$G$1000,"2026"))</f>
        <v/>
      </c>
      <c r="N108" t="str">
        <f t="shared" si="14"/>
        <v/>
      </c>
      <c r="O108" t="str">
        <f>IF($A108="","",SUMIFS(Campagne!$D$1:$D$15,Campagne!$C$1:$C$15,$A108))</f>
        <v/>
      </c>
      <c r="P108" t="str">
        <f>IF($A108="","",SUMIFS(Campagne!$E$1:$E$15,Campagne!$C$1:$C$15,$A108))</f>
        <v/>
      </c>
      <c r="Q108" t="str">
        <f>IF($A108="","",SUMIFS(Campagne!$F$1:$F$15,Campagne!$C$1:$C$15,$A108))</f>
        <v/>
      </c>
      <c r="R108" t="str">
        <f>IF($A108="","",SUMIFS(Campagne!$K$1:$K$15,Campagne!$C$1:$C$15,$A108))</f>
        <v/>
      </c>
      <c r="S108" t="str">
        <f>IF($A108="","",SUMIFS(Campagne!$M$1:$M$15,Campagne!$C$1:$C$15,$A108))</f>
        <v/>
      </c>
      <c r="T108" t="str">
        <f>IF($A108="","",SUMIFS(PIL!$K$15:$K$28,PIL!$A$15:$A$28,$A108)*SUMIFS(PIL!$J$15:$J$28,PIL!$A$15:$A$28,$A108)*(SUM(PIL!$K$15:$K$28)/SUMPRODUCT(PIL!$K$15:$K$28,PIL!$J$15:$J$28)))</f>
        <v/>
      </c>
      <c r="U108" t="str">
        <f>IF($A108="","",SUMIFS(PIL!$K$15:$K$28,PIL!$A$15:$A$28,$A108))</f>
        <v/>
      </c>
      <c r="V108" t="str">
        <f t="shared" si="15"/>
        <v/>
      </c>
      <c r="W108" t="str">
        <f t="shared" si="16"/>
        <v/>
      </c>
      <c r="X108" t="str">
        <f t="shared" si="17"/>
        <v/>
      </c>
      <c r="Y108" t="str">
        <f t="shared" si="18"/>
        <v/>
      </c>
      <c r="Z108" t="str">
        <f t="shared" si="19"/>
        <v/>
      </c>
      <c r="AA108" t="str">
        <f t="shared" si="20"/>
        <v/>
      </c>
      <c r="AB108" t="str">
        <f t="shared" si="21"/>
        <v/>
      </c>
      <c r="AC108" t="str">
        <f t="shared" si="22"/>
        <v/>
      </c>
      <c r="AD108" t="str">
        <f t="shared" si="23"/>
        <v/>
      </c>
      <c r="AE108" t="str">
        <f t="shared" si="24"/>
        <v/>
      </c>
      <c r="AF108" t="str">
        <f t="shared" si="25"/>
        <v/>
      </c>
      <c r="AG108" t="str">
        <f t="shared" si="26"/>
        <v/>
      </c>
      <c r="AH108" t="str">
        <f t="shared" si="27"/>
        <v/>
      </c>
    </row>
    <row r="109" spans="1:34" x14ac:dyDescent="0.45">
      <c r="A109" t="str">
        <f>IF(Moteur!D109="","",Moteur!D109)</f>
        <v/>
      </c>
      <c r="B109" t="str">
        <f>IF(Moteur!B109="","",Moteur!B109)</f>
        <v/>
      </c>
      <c r="C109" t="str">
        <f>IF(Moteur!F109="","",Moteur!F109)</f>
        <v/>
      </c>
      <c r="D109" t="str">
        <f>IF(Moteur!G109="","",Moteur!G109)</f>
        <v/>
      </c>
      <c r="E109" t="str">
        <f>IF(Moteur!H109="","",Moteur!H109)</f>
        <v/>
      </c>
      <c r="F109" t="str">
        <f>IF(Moteur!E109="","",Moteur!E109)</f>
        <v/>
      </c>
      <c r="G109" t="str">
        <f>IF($A109="","",SUMIFS(Socle!$H$1:$H$1000,Socle!$C$1:$C$1000,$A109,Socle!$D$1:$D$1000,$C109,Socle!$E$1:$E$1000,$D109,Socle!$F$1:$F$1000,$E109,Socle!$G$1:$G$1000,"2026"))</f>
        <v/>
      </c>
      <c r="H109" t="str">
        <f>IF($A109="","",SUMIFS(Socle!$N$1:$N$1000,Socle!$C$1:$C$1000,$A109,Socle!$D$1:$D$1000,$C109,Socle!$E$1:$E$1000,$D109,Socle!$F$1:$F$1000,$E109,Socle!$G$1:$G$1000,"2026"))</f>
        <v/>
      </c>
      <c r="I109" t="str">
        <f>IF($A109="","",SUMIFS(Socle!$P$1:$P$1000,Socle!$C$1:$C$1000,$A109,Socle!$D$1:$D$1000,$C109,Socle!$E$1:$E$1000,$D109,Socle!$F$1:$F$1000,$E109,Socle!$G$1:$G$1000,"2026"))</f>
        <v/>
      </c>
      <c r="J109" t="str">
        <f>IF($A109="","",SUMIFS(Socle!$W$1:$W$1000,Socle!$C$1:$C$1000,$A109,Socle!$D$1:$D$1000,$C109,Socle!$E$1:$E$1000,$D109,Socle!$F$1:$F$1000,$E109,Socle!$G$1:$G$1000,"2026"))</f>
        <v/>
      </c>
      <c r="K109" t="str">
        <f>IF($A109="","",SUMIFS(Socle!$X$1:$X$1000,Socle!$C$1:$C$1000,$A109,Socle!$D$1:$D$1000,$C109,Socle!$E$1:$E$1000,$D109,Socle!$F$1:$F$1000,$E109,Socle!$G$1:$G$1000,"2026"))</f>
        <v/>
      </c>
      <c r="L109" t="str">
        <f>IF($A109="","",SUMIFS(Socle!$Y$1:$Y$1000,Socle!$C$1:$C$1000,$A109,Socle!$D$1:$D$1000,$C109,Socle!$E$1:$E$1000,$D109,Socle!$F$1:$F$1000,$E109,Socle!$G$1:$G$1000,"2026"))</f>
        <v/>
      </c>
      <c r="M109" t="str">
        <f>IF($A109="","",SUMIFS(Socle!$V$1:$V$1000,Socle!$C$1:$C$1000,$A109,Socle!$D$1:$D$1000,$C109,Socle!$E$1:$E$1000,$D109,Socle!$F$1:$F$1000,$E109,Socle!$G$1:$G$1000,"2026"))</f>
        <v/>
      </c>
      <c r="N109" t="str">
        <f t="shared" si="14"/>
        <v/>
      </c>
      <c r="O109" t="str">
        <f>IF($A109="","",SUMIFS(Campagne!$D$1:$D$15,Campagne!$C$1:$C$15,$A109))</f>
        <v/>
      </c>
      <c r="P109" t="str">
        <f>IF($A109="","",SUMIFS(Campagne!$E$1:$E$15,Campagne!$C$1:$C$15,$A109))</f>
        <v/>
      </c>
      <c r="Q109" t="str">
        <f>IF($A109="","",SUMIFS(Campagne!$F$1:$F$15,Campagne!$C$1:$C$15,$A109))</f>
        <v/>
      </c>
      <c r="R109" t="str">
        <f>IF($A109="","",SUMIFS(Campagne!$K$1:$K$15,Campagne!$C$1:$C$15,$A109))</f>
        <v/>
      </c>
      <c r="S109" t="str">
        <f>IF($A109="","",SUMIFS(Campagne!$M$1:$M$15,Campagne!$C$1:$C$15,$A109))</f>
        <v/>
      </c>
      <c r="T109" t="str">
        <f>IF($A109="","",SUMIFS(PIL!$K$15:$K$28,PIL!$A$15:$A$28,$A109)*SUMIFS(PIL!$J$15:$J$28,PIL!$A$15:$A$28,$A109)*(SUM(PIL!$K$15:$K$28)/SUMPRODUCT(PIL!$K$15:$K$28,PIL!$J$15:$J$28)))</f>
        <v/>
      </c>
      <c r="U109" t="str">
        <f>IF($A109="","",SUMIFS(PIL!$K$15:$K$28,PIL!$A$15:$A$28,$A109))</f>
        <v/>
      </c>
      <c r="V109" t="str">
        <f t="shared" si="15"/>
        <v/>
      </c>
      <c r="W109" t="str">
        <f t="shared" si="16"/>
        <v/>
      </c>
      <c r="X109" t="str">
        <f t="shared" si="17"/>
        <v/>
      </c>
      <c r="Y109" t="str">
        <f t="shared" si="18"/>
        <v/>
      </c>
      <c r="Z109" t="str">
        <f t="shared" si="19"/>
        <v/>
      </c>
      <c r="AA109" t="str">
        <f t="shared" si="20"/>
        <v/>
      </c>
      <c r="AB109" t="str">
        <f t="shared" si="21"/>
        <v/>
      </c>
      <c r="AC109" t="str">
        <f t="shared" si="22"/>
        <v/>
      </c>
      <c r="AD109" t="str">
        <f t="shared" si="23"/>
        <v/>
      </c>
      <c r="AE109" t="str">
        <f t="shared" si="24"/>
        <v/>
      </c>
      <c r="AF109" t="str">
        <f t="shared" si="25"/>
        <v/>
      </c>
      <c r="AG109" t="str">
        <f t="shared" si="26"/>
        <v/>
      </c>
      <c r="AH109" t="str">
        <f t="shared" si="27"/>
        <v/>
      </c>
    </row>
    <row r="110" spans="1:34" x14ac:dyDescent="0.45">
      <c r="A110" t="str">
        <f>IF(Moteur!D110="","",Moteur!D110)</f>
        <v/>
      </c>
      <c r="B110" t="str">
        <f>IF(Moteur!B110="","",Moteur!B110)</f>
        <v/>
      </c>
      <c r="C110" t="str">
        <f>IF(Moteur!F110="","",Moteur!F110)</f>
        <v/>
      </c>
      <c r="D110" t="str">
        <f>IF(Moteur!G110="","",Moteur!G110)</f>
        <v/>
      </c>
      <c r="E110" t="str">
        <f>IF(Moteur!H110="","",Moteur!H110)</f>
        <v/>
      </c>
      <c r="F110" t="str">
        <f>IF(Moteur!E110="","",Moteur!E110)</f>
        <v/>
      </c>
      <c r="G110" t="str">
        <f>IF($A110="","",SUMIFS(Socle!$H$1:$H$1000,Socle!$C$1:$C$1000,$A110,Socle!$D$1:$D$1000,$C110,Socle!$E$1:$E$1000,$D110,Socle!$F$1:$F$1000,$E110,Socle!$G$1:$G$1000,"2026"))</f>
        <v/>
      </c>
      <c r="H110" t="str">
        <f>IF($A110="","",SUMIFS(Socle!$N$1:$N$1000,Socle!$C$1:$C$1000,$A110,Socle!$D$1:$D$1000,$C110,Socle!$E$1:$E$1000,$D110,Socle!$F$1:$F$1000,$E110,Socle!$G$1:$G$1000,"2026"))</f>
        <v/>
      </c>
      <c r="I110" t="str">
        <f>IF($A110="","",SUMIFS(Socle!$P$1:$P$1000,Socle!$C$1:$C$1000,$A110,Socle!$D$1:$D$1000,$C110,Socle!$E$1:$E$1000,$D110,Socle!$F$1:$F$1000,$E110,Socle!$G$1:$G$1000,"2026"))</f>
        <v/>
      </c>
      <c r="J110" t="str">
        <f>IF($A110="","",SUMIFS(Socle!$W$1:$W$1000,Socle!$C$1:$C$1000,$A110,Socle!$D$1:$D$1000,$C110,Socle!$E$1:$E$1000,$D110,Socle!$F$1:$F$1000,$E110,Socle!$G$1:$G$1000,"2026"))</f>
        <v/>
      </c>
      <c r="K110" t="str">
        <f>IF($A110="","",SUMIFS(Socle!$X$1:$X$1000,Socle!$C$1:$C$1000,$A110,Socle!$D$1:$D$1000,$C110,Socle!$E$1:$E$1000,$D110,Socle!$F$1:$F$1000,$E110,Socle!$G$1:$G$1000,"2026"))</f>
        <v/>
      </c>
      <c r="L110" t="str">
        <f>IF($A110="","",SUMIFS(Socle!$Y$1:$Y$1000,Socle!$C$1:$C$1000,$A110,Socle!$D$1:$D$1000,$C110,Socle!$E$1:$E$1000,$D110,Socle!$F$1:$F$1000,$E110,Socle!$G$1:$G$1000,"2026"))</f>
        <v/>
      </c>
      <c r="M110" t="str">
        <f>IF($A110="","",SUMIFS(Socle!$V$1:$V$1000,Socle!$C$1:$C$1000,$A110,Socle!$D$1:$D$1000,$C110,Socle!$E$1:$E$1000,$D110,Socle!$F$1:$F$1000,$E110,Socle!$G$1:$G$1000,"2026"))</f>
        <v/>
      </c>
      <c r="N110" t="str">
        <f t="shared" si="14"/>
        <v/>
      </c>
      <c r="O110" t="str">
        <f>IF($A110="","",SUMIFS(Campagne!$D$1:$D$15,Campagne!$C$1:$C$15,$A110))</f>
        <v/>
      </c>
      <c r="P110" t="str">
        <f>IF($A110="","",SUMIFS(Campagne!$E$1:$E$15,Campagne!$C$1:$C$15,$A110))</f>
        <v/>
      </c>
      <c r="Q110" t="str">
        <f>IF($A110="","",SUMIFS(Campagne!$F$1:$F$15,Campagne!$C$1:$C$15,$A110))</f>
        <v/>
      </c>
      <c r="R110" t="str">
        <f>IF($A110="","",SUMIFS(Campagne!$K$1:$K$15,Campagne!$C$1:$C$15,$A110))</f>
        <v/>
      </c>
      <c r="S110" t="str">
        <f>IF($A110="","",SUMIFS(Campagne!$M$1:$M$15,Campagne!$C$1:$C$15,$A110))</f>
        <v/>
      </c>
      <c r="T110" t="str">
        <f>IF($A110="","",SUMIFS(PIL!$K$15:$K$28,PIL!$A$15:$A$28,$A110)*SUMIFS(PIL!$J$15:$J$28,PIL!$A$15:$A$28,$A110)*(SUM(PIL!$K$15:$K$28)/SUMPRODUCT(PIL!$K$15:$K$28,PIL!$J$15:$J$28)))</f>
        <v/>
      </c>
      <c r="U110" t="str">
        <f>IF($A110="","",SUMIFS(PIL!$K$15:$K$28,PIL!$A$15:$A$28,$A110))</f>
        <v/>
      </c>
      <c r="V110" t="str">
        <f t="shared" si="15"/>
        <v/>
      </c>
      <c r="W110" t="str">
        <f t="shared" si="16"/>
        <v/>
      </c>
      <c r="X110" t="str">
        <f t="shared" si="17"/>
        <v/>
      </c>
      <c r="Y110" t="str">
        <f t="shared" si="18"/>
        <v/>
      </c>
      <c r="Z110" t="str">
        <f t="shared" si="19"/>
        <v/>
      </c>
      <c r="AA110" t="str">
        <f t="shared" si="20"/>
        <v/>
      </c>
      <c r="AB110" t="str">
        <f t="shared" si="21"/>
        <v/>
      </c>
      <c r="AC110" t="str">
        <f t="shared" si="22"/>
        <v/>
      </c>
      <c r="AD110" t="str">
        <f t="shared" si="23"/>
        <v/>
      </c>
      <c r="AE110" t="str">
        <f t="shared" si="24"/>
        <v/>
      </c>
      <c r="AF110" t="str">
        <f t="shared" si="25"/>
        <v/>
      </c>
      <c r="AG110" t="str">
        <f t="shared" si="26"/>
        <v/>
      </c>
      <c r="AH110" t="str">
        <f t="shared" si="27"/>
        <v/>
      </c>
    </row>
    <row r="111" spans="1:34" x14ac:dyDescent="0.45">
      <c r="A111" t="str">
        <f>IF(Moteur!D111="","",Moteur!D111)</f>
        <v/>
      </c>
      <c r="B111" t="str">
        <f>IF(Moteur!B111="","",Moteur!B111)</f>
        <v/>
      </c>
      <c r="C111" t="str">
        <f>IF(Moteur!F111="","",Moteur!F111)</f>
        <v/>
      </c>
      <c r="D111" t="str">
        <f>IF(Moteur!G111="","",Moteur!G111)</f>
        <v/>
      </c>
      <c r="E111" t="str">
        <f>IF(Moteur!H111="","",Moteur!H111)</f>
        <v/>
      </c>
      <c r="F111" t="str">
        <f>IF(Moteur!E111="","",Moteur!E111)</f>
        <v/>
      </c>
      <c r="G111" t="str">
        <f>IF($A111="","",SUMIFS(Socle!$H$1:$H$1000,Socle!$C$1:$C$1000,$A111,Socle!$D$1:$D$1000,$C111,Socle!$E$1:$E$1000,$D111,Socle!$F$1:$F$1000,$E111,Socle!$G$1:$G$1000,"2026"))</f>
        <v/>
      </c>
      <c r="H111" t="str">
        <f>IF($A111="","",SUMIFS(Socle!$N$1:$N$1000,Socle!$C$1:$C$1000,$A111,Socle!$D$1:$D$1000,$C111,Socle!$E$1:$E$1000,$D111,Socle!$F$1:$F$1000,$E111,Socle!$G$1:$G$1000,"2026"))</f>
        <v/>
      </c>
      <c r="I111" t="str">
        <f>IF($A111="","",SUMIFS(Socle!$P$1:$P$1000,Socle!$C$1:$C$1000,$A111,Socle!$D$1:$D$1000,$C111,Socle!$E$1:$E$1000,$D111,Socle!$F$1:$F$1000,$E111,Socle!$G$1:$G$1000,"2026"))</f>
        <v/>
      </c>
      <c r="J111" t="str">
        <f>IF($A111="","",SUMIFS(Socle!$W$1:$W$1000,Socle!$C$1:$C$1000,$A111,Socle!$D$1:$D$1000,$C111,Socle!$E$1:$E$1000,$D111,Socle!$F$1:$F$1000,$E111,Socle!$G$1:$G$1000,"2026"))</f>
        <v/>
      </c>
      <c r="K111" t="str">
        <f>IF($A111="","",SUMIFS(Socle!$X$1:$X$1000,Socle!$C$1:$C$1000,$A111,Socle!$D$1:$D$1000,$C111,Socle!$E$1:$E$1000,$D111,Socle!$F$1:$F$1000,$E111,Socle!$G$1:$G$1000,"2026"))</f>
        <v/>
      </c>
      <c r="L111" t="str">
        <f>IF($A111="","",SUMIFS(Socle!$Y$1:$Y$1000,Socle!$C$1:$C$1000,$A111,Socle!$D$1:$D$1000,$C111,Socle!$E$1:$E$1000,$D111,Socle!$F$1:$F$1000,$E111,Socle!$G$1:$G$1000,"2026"))</f>
        <v/>
      </c>
      <c r="M111" t="str">
        <f>IF($A111="","",SUMIFS(Socle!$V$1:$V$1000,Socle!$C$1:$C$1000,$A111,Socle!$D$1:$D$1000,$C111,Socle!$E$1:$E$1000,$D111,Socle!$F$1:$F$1000,$E111,Socle!$G$1:$G$1000,"2026"))</f>
        <v/>
      </c>
      <c r="N111" t="str">
        <f t="shared" si="14"/>
        <v/>
      </c>
      <c r="O111" t="str">
        <f>IF($A111="","",SUMIFS(Campagne!$D$1:$D$15,Campagne!$C$1:$C$15,$A111))</f>
        <v/>
      </c>
      <c r="P111" t="str">
        <f>IF($A111="","",SUMIFS(Campagne!$E$1:$E$15,Campagne!$C$1:$C$15,$A111))</f>
        <v/>
      </c>
      <c r="Q111" t="str">
        <f>IF($A111="","",SUMIFS(Campagne!$F$1:$F$15,Campagne!$C$1:$C$15,$A111))</f>
        <v/>
      </c>
      <c r="R111" t="str">
        <f>IF($A111="","",SUMIFS(Campagne!$K$1:$K$15,Campagne!$C$1:$C$15,$A111))</f>
        <v/>
      </c>
      <c r="S111" t="str">
        <f>IF($A111="","",SUMIFS(Campagne!$M$1:$M$15,Campagne!$C$1:$C$15,$A111))</f>
        <v/>
      </c>
      <c r="T111" t="str">
        <f>IF($A111="","",SUMIFS(PIL!$K$15:$K$28,PIL!$A$15:$A$28,$A111)*SUMIFS(PIL!$J$15:$J$28,PIL!$A$15:$A$28,$A111)*(SUM(PIL!$K$15:$K$28)/SUMPRODUCT(PIL!$K$15:$K$28,PIL!$J$15:$J$28)))</f>
        <v/>
      </c>
      <c r="U111" t="str">
        <f>IF($A111="","",SUMIFS(PIL!$K$15:$K$28,PIL!$A$15:$A$28,$A111))</f>
        <v/>
      </c>
      <c r="V111" t="str">
        <f t="shared" si="15"/>
        <v/>
      </c>
      <c r="W111" t="str">
        <f t="shared" si="16"/>
        <v/>
      </c>
      <c r="X111" t="str">
        <f t="shared" si="17"/>
        <v/>
      </c>
      <c r="Y111" t="str">
        <f t="shared" si="18"/>
        <v/>
      </c>
      <c r="Z111" t="str">
        <f t="shared" si="19"/>
        <v/>
      </c>
      <c r="AA111" t="str">
        <f t="shared" si="20"/>
        <v/>
      </c>
      <c r="AB111" t="str">
        <f t="shared" si="21"/>
        <v/>
      </c>
      <c r="AC111" t="str">
        <f t="shared" si="22"/>
        <v/>
      </c>
      <c r="AD111" t="str">
        <f t="shared" si="23"/>
        <v/>
      </c>
      <c r="AE111" t="str">
        <f t="shared" si="24"/>
        <v/>
      </c>
      <c r="AF111" t="str">
        <f t="shared" si="25"/>
        <v/>
      </c>
      <c r="AG111" t="str">
        <f t="shared" si="26"/>
        <v/>
      </c>
      <c r="AH111" t="str">
        <f t="shared" si="27"/>
        <v/>
      </c>
    </row>
    <row r="112" spans="1:34" x14ac:dyDescent="0.45">
      <c r="A112" t="str">
        <f>IF(Moteur!D112="","",Moteur!D112)</f>
        <v/>
      </c>
      <c r="B112" t="str">
        <f>IF(Moteur!B112="","",Moteur!B112)</f>
        <v/>
      </c>
      <c r="C112" t="str">
        <f>IF(Moteur!F112="","",Moteur!F112)</f>
        <v/>
      </c>
      <c r="D112" t="str">
        <f>IF(Moteur!G112="","",Moteur!G112)</f>
        <v/>
      </c>
      <c r="E112" t="str">
        <f>IF(Moteur!H112="","",Moteur!H112)</f>
        <v/>
      </c>
      <c r="F112" t="str">
        <f>IF(Moteur!E112="","",Moteur!E112)</f>
        <v/>
      </c>
      <c r="G112" t="str">
        <f>IF($A112="","",SUMIFS(Socle!$H$1:$H$1000,Socle!$C$1:$C$1000,$A112,Socle!$D$1:$D$1000,$C112,Socle!$E$1:$E$1000,$D112,Socle!$F$1:$F$1000,$E112,Socle!$G$1:$G$1000,"2026"))</f>
        <v/>
      </c>
      <c r="H112" t="str">
        <f>IF($A112="","",SUMIFS(Socle!$N$1:$N$1000,Socle!$C$1:$C$1000,$A112,Socle!$D$1:$D$1000,$C112,Socle!$E$1:$E$1000,$D112,Socle!$F$1:$F$1000,$E112,Socle!$G$1:$G$1000,"2026"))</f>
        <v/>
      </c>
      <c r="I112" t="str">
        <f>IF($A112="","",SUMIFS(Socle!$P$1:$P$1000,Socle!$C$1:$C$1000,$A112,Socle!$D$1:$D$1000,$C112,Socle!$E$1:$E$1000,$D112,Socle!$F$1:$F$1000,$E112,Socle!$G$1:$G$1000,"2026"))</f>
        <v/>
      </c>
      <c r="J112" t="str">
        <f>IF($A112="","",SUMIFS(Socle!$W$1:$W$1000,Socle!$C$1:$C$1000,$A112,Socle!$D$1:$D$1000,$C112,Socle!$E$1:$E$1000,$D112,Socle!$F$1:$F$1000,$E112,Socle!$G$1:$G$1000,"2026"))</f>
        <v/>
      </c>
      <c r="K112" t="str">
        <f>IF($A112="","",SUMIFS(Socle!$X$1:$X$1000,Socle!$C$1:$C$1000,$A112,Socle!$D$1:$D$1000,$C112,Socle!$E$1:$E$1000,$D112,Socle!$F$1:$F$1000,$E112,Socle!$G$1:$G$1000,"2026"))</f>
        <v/>
      </c>
      <c r="L112" t="str">
        <f>IF($A112="","",SUMIFS(Socle!$Y$1:$Y$1000,Socle!$C$1:$C$1000,$A112,Socle!$D$1:$D$1000,$C112,Socle!$E$1:$E$1000,$D112,Socle!$F$1:$F$1000,$E112,Socle!$G$1:$G$1000,"2026"))</f>
        <v/>
      </c>
      <c r="M112" t="str">
        <f>IF($A112="","",SUMIFS(Socle!$V$1:$V$1000,Socle!$C$1:$C$1000,$A112,Socle!$D$1:$D$1000,$C112,Socle!$E$1:$E$1000,$D112,Socle!$F$1:$F$1000,$E112,Socle!$G$1:$G$1000,"2026"))</f>
        <v/>
      </c>
      <c r="N112" t="str">
        <f t="shared" si="14"/>
        <v/>
      </c>
      <c r="O112" t="str">
        <f>IF($A112="","",SUMIFS(Campagne!$D$1:$D$15,Campagne!$C$1:$C$15,$A112))</f>
        <v/>
      </c>
      <c r="P112" t="str">
        <f>IF($A112="","",SUMIFS(Campagne!$E$1:$E$15,Campagne!$C$1:$C$15,$A112))</f>
        <v/>
      </c>
      <c r="Q112" t="str">
        <f>IF($A112="","",SUMIFS(Campagne!$F$1:$F$15,Campagne!$C$1:$C$15,$A112))</f>
        <v/>
      </c>
      <c r="R112" t="str">
        <f>IF($A112="","",SUMIFS(Campagne!$K$1:$K$15,Campagne!$C$1:$C$15,$A112))</f>
        <v/>
      </c>
      <c r="S112" t="str">
        <f>IF($A112="","",SUMIFS(Campagne!$M$1:$M$15,Campagne!$C$1:$C$15,$A112))</f>
        <v/>
      </c>
      <c r="T112" t="str">
        <f>IF($A112="","",SUMIFS(PIL!$K$15:$K$28,PIL!$A$15:$A$28,$A112)*SUMIFS(PIL!$J$15:$J$28,PIL!$A$15:$A$28,$A112)*(SUM(PIL!$K$15:$K$28)/SUMPRODUCT(PIL!$K$15:$K$28,PIL!$J$15:$J$28)))</f>
        <v/>
      </c>
      <c r="U112" t="str">
        <f>IF($A112="","",SUMIFS(PIL!$K$15:$K$28,PIL!$A$15:$A$28,$A112))</f>
        <v/>
      </c>
      <c r="V112" t="str">
        <f t="shared" si="15"/>
        <v/>
      </c>
      <c r="W112" t="str">
        <f t="shared" si="16"/>
        <v/>
      </c>
      <c r="X112" t="str">
        <f t="shared" si="17"/>
        <v/>
      </c>
      <c r="Y112" t="str">
        <f t="shared" si="18"/>
        <v/>
      </c>
      <c r="Z112" t="str">
        <f t="shared" si="19"/>
        <v/>
      </c>
      <c r="AA112" t="str">
        <f t="shared" si="20"/>
        <v/>
      </c>
      <c r="AB112" t="str">
        <f t="shared" si="21"/>
        <v/>
      </c>
      <c r="AC112" t="str">
        <f t="shared" si="22"/>
        <v/>
      </c>
      <c r="AD112" t="str">
        <f t="shared" si="23"/>
        <v/>
      </c>
      <c r="AE112" t="str">
        <f t="shared" si="24"/>
        <v/>
      </c>
      <c r="AF112" t="str">
        <f t="shared" si="25"/>
        <v/>
      </c>
      <c r="AG112" t="str">
        <f t="shared" si="26"/>
        <v/>
      </c>
      <c r="AH112" t="str">
        <f t="shared" si="27"/>
        <v/>
      </c>
    </row>
    <row r="113" spans="1:34" x14ac:dyDescent="0.45">
      <c r="A113" t="str">
        <f>IF(Moteur!D113="","",Moteur!D113)</f>
        <v/>
      </c>
      <c r="B113" t="str">
        <f>IF(Moteur!B113="","",Moteur!B113)</f>
        <v/>
      </c>
      <c r="C113" t="str">
        <f>IF(Moteur!F113="","",Moteur!F113)</f>
        <v/>
      </c>
      <c r="D113" t="str">
        <f>IF(Moteur!G113="","",Moteur!G113)</f>
        <v/>
      </c>
      <c r="E113" t="str">
        <f>IF(Moteur!H113="","",Moteur!H113)</f>
        <v/>
      </c>
      <c r="F113" t="str">
        <f>IF(Moteur!E113="","",Moteur!E113)</f>
        <v/>
      </c>
      <c r="G113" t="str">
        <f>IF($A113="","",SUMIFS(Socle!$H$1:$H$1000,Socle!$C$1:$C$1000,$A113,Socle!$D$1:$D$1000,$C113,Socle!$E$1:$E$1000,$D113,Socle!$F$1:$F$1000,$E113,Socle!$G$1:$G$1000,"2026"))</f>
        <v/>
      </c>
      <c r="H113" t="str">
        <f>IF($A113="","",SUMIFS(Socle!$N$1:$N$1000,Socle!$C$1:$C$1000,$A113,Socle!$D$1:$D$1000,$C113,Socle!$E$1:$E$1000,$D113,Socle!$F$1:$F$1000,$E113,Socle!$G$1:$G$1000,"2026"))</f>
        <v/>
      </c>
      <c r="I113" t="str">
        <f>IF($A113="","",SUMIFS(Socle!$P$1:$P$1000,Socle!$C$1:$C$1000,$A113,Socle!$D$1:$D$1000,$C113,Socle!$E$1:$E$1000,$D113,Socle!$F$1:$F$1000,$E113,Socle!$G$1:$G$1000,"2026"))</f>
        <v/>
      </c>
      <c r="J113" t="str">
        <f>IF($A113="","",SUMIFS(Socle!$W$1:$W$1000,Socle!$C$1:$C$1000,$A113,Socle!$D$1:$D$1000,$C113,Socle!$E$1:$E$1000,$D113,Socle!$F$1:$F$1000,$E113,Socle!$G$1:$G$1000,"2026"))</f>
        <v/>
      </c>
      <c r="K113" t="str">
        <f>IF($A113="","",SUMIFS(Socle!$X$1:$X$1000,Socle!$C$1:$C$1000,$A113,Socle!$D$1:$D$1000,$C113,Socle!$E$1:$E$1000,$D113,Socle!$F$1:$F$1000,$E113,Socle!$G$1:$G$1000,"2026"))</f>
        <v/>
      </c>
      <c r="L113" t="str">
        <f>IF($A113="","",SUMIFS(Socle!$Y$1:$Y$1000,Socle!$C$1:$C$1000,$A113,Socle!$D$1:$D$1000,$C113,Socle!$E$1:$E$1000,$D113,Socle!$F$1:$F$1000,$E113,Socle!$G$1:$G$1000,"2026"))</f>
        <v/>
      </c>
      <c r="M113" t="str">
        <f>IF($A113="","",SUMIFS(Socle!$V$1:$V$1000,Socle!$C$1:$C$1000,$A113,Socle!$D$1:$D$1000,$C113,Socle!$E$1:$E$1000,$D113,Socle!$F$1:$F$1000,$E113,Socle!$G$1:$G$1000,"2026"))</f>
        <v/>
      </c>
      <c r="N113" t="str">
        <f t="shared" si="14"/>
        <v/>
      </c>
      <c r="O113" t="str">
        <f>IF($A113="","",SUMIFS(Campagne!$D$1:$D$15,Campagne!$C$1:$C$15,$A113))</f>
        <v/>
      </c>
      <c r="P113" t="str">
        <f>IF($A113="","",SUMIFS(Campagne!$E$1:$E$15,Campagne!$C$1:$C$15,$A113))</f>
        <v/>
      </c>
      <c r="Q113" t="str">
        <f>IF($A113="","",SUMIFS(Campagne!$F$1:$F$15,Campagne!$C$1:$C$15,$A113))</f>
        <v/>
      </c>
      <c r="R113" t="str">
        <f>IF($A113="","",SUMIFS(Campagne!$K$1:$K$15,Campagne!$C$1:$C$15,$A113))</f>
        <v/>
      </c>
      <c r="S113" t="str">
        <f>IF($A113="","",SUMIFS(Campagne!$M$1:$M$15,Campagne!$C$1:$C$15,$A113))</f>
        <v/>
      </c>
      <c r="T113" t="str">
        <f>IF($A113="","",SUMIFS(PIL!$K$15:$K$28,PIL!$A$15:$A$28,$A113)*SUMIFS(PIL!$J$15:$J$28,PIL!$A$15:$A$28,$A113)*(SUM(PIL!$K$15:$K$28)/SUMPRODUCT(PIL!$K$15:$K$28,PIL!$J$15:$J$28)))</f>
        <v/>
      </c>
      <c r="U113" t="str">
        <f>IF($A113="","",SUMIFS(PIL!$K$15:$K$28,PIL!$A$15:$A$28,$A113))</f>
        <v/>
      </c>
      <c r="V113" t="str">
        <f t="shared" si="15"/>
        <v/>
      </c>
      <c r="W113" t="str">
        <f t="shared" si="16"/>
        <v/>
      </c>
      <c r="X113" t="str">
        <f t="shared" si="17"/>
        <v/>
      </c>
      <c r="Y113" t="str">
        <f t="shared" si="18"/>
        <v/>
      </c>
      <c r="Z113" t="str">
        <f t="shared" si="19"/>
        <v/>
      </c>
      <c r="AA113" t="str">
        <f t="shared" si="20"/>
        <v/>
      </c>
      <c r="AB113" t="str">
        <f t="shared" si="21"/>
        <v/>
      </c>
      <c r="AC113" t="str">
        <f t="shared" si="22"/>
        <v/>
      </c>
      <c r="AD113" t="str">
        <f t="shared" si="23"/>
        <v/>
      </c>
      <c r="AE113" t="str">
        <f t="shared" si="24"/>
        <v/>
      </c>
      <c r="AF113" t="str">
        <f t="shared" si="25"/>
        <v/>
      </c>
      <c r="AG113" t="str">
        <f t="shared" si="26"/>
        <v/>
      </c>
      <c r="AH113" t="str">
        <f t="shared" si="27"/>
        <v/>
      </c>
    </row>
    <row r="114" spans="1:34" x14ac:dyDescent="0.45">
      <c r="A114" t="str">
        <f>IF(Moteur!D114="","",Moteur!D114)</f>
        <v/>
      </c>
      <c r="B114" t="str">
        <f>IF(Moteur!B114="","",Moteur!B114)</f>
        <v/>
      </c>
      <c r="C114" t="str">
        <f>IF(Moteur!F114="","",Moteur!F114)</f>
        <v/>
      </c>
      <c r="D114" t="str">
        <f>IF(Moteur!G114="","",Moteur!G114)</f>
        <v/>
      </c>
      <c r="E114" t="str">
        <f>IF(Moteur!H114="","",Moteur!H114)</f>
        <v/>
      </c>
      <c r="F114" t="str">
        <f>IF(Moteur!E114="","",Moteur!E114)</f>
        <v/>
      </c>
      <c r="G114" t="str">
        <f>IF($A114="","",SUMIFS(Socle!$H$1:$H$1000,Socle!$C$1:$C$1000,$A114,Socle!$D$1:$D$1000,$C114,Socle!$E$1:$E$1000,$D114,Socle!$F$1:$F$1000,$E114,Socle!$G$1:$G$1000,"2026"))</f>
        <v/>
      </c>
      <c r="H114" t="str">
        <f>IF($A114="","",SUMIFS(Socle!$N$1:$N$1000,Socle!$C$1:$C$1000,$A114,Socle!$D$1:$D$1000,$C114,Socle!$E$1:$E$1000,$D114,Socle!$F$1:$F$1000,$E114,Socle!$G$1:$G$1000,"2026"))</f>
        <v/>
      </c>
      <c r="I114" t="str">
        <f>IF($A114="","",SUMIFS(Socle!$P$1:$P$1000,Socle!$C$1:$C$1000,$A114,Socle!$D$1:$D$1000,$C114,Socle!$E$1:$E$1000,$D114,Socle!$F$1:$F$1000,$E114,Socle!$G$1:$G$1000,"2026"))</f>
        <v/>
      </c>
      <c r="J114" t="str">
        <f>IF($A114="","",SUMIFS(Socle!$W$1:$W$1000,Socle!$C$1:$C$1000,$A114,Socle!$D$1:$D$1000,$C114,Socle!$E$1:$E$1000,$D114,Socle!$F$1:$F$1000,$E114,Socle!$G$1:$G$1000,"2026"))</f>
        <v/>
      </c>
      <c r="K114" t="str">
        <f>IF($A114="","",SUMIFS(Socle!$X$1:$X$1000,Socle!$C$1:$C$1000,$A114,Socle!$D$1:$D$1000,$C114,Socle!$E$1:$E$1000,$D114,Socle!$F$1:$F$1000,$E114,Socle!$G$1:$G$1000,"2026"))</f>
        <v/>
      </c>
      <c r="L114" t="str">
        <f>IF($A114="","",SUMIFS(Socle!$Y$1:$Y$1000,Socle!$C$1:$C$1000,$A114,Socle!$D$1:$D$1000,$C114,Socle!$E$1:$E$1000,$D114,Socle!$F$1:$F$1000,$E114,Socle!$G$1:$G$1000,"2026"))</f>
        <v/>
      </c>
      <c r="M114" t="str">
        <f>IF($A114="","",SUMIFS(Socle!$V$1:$V$1000,Socle!$C$1:$C$1000,$A114,Socle!$D$1:$D$1000,$C114,Socle!$E$1:$E$1000,$D114,Socle!$F$1:$F$1000,$E114,Socle!$G$1:$G$1000,"2026"))</f>
        <v/>
      </c>
      <c r="N114" t="str">
        <f t="shared" si="14"/>
        <v/>
      </c>
      <c r="O114" t="str">
        <f>IF($A114="","",SUMIFS(Campagne!$D$1:$D$15,Campagne!$C$1:$C$15,$A114))</f>
        <v/>
      </c>
      <c r="P114" t="str">
        <f>IF($A114="","",SUMIFS(Campagne!$E$1:$E$15,Campagne!$C$1:$C$15,$A114))</f>
        <v/>
      </c>
      <c r="Q114" t="str">
        <f>IF($A114="","",SUMIFS(Campagne!$F$1:$F$15,Campagne!$C$1:$C$15,$A114))</f>
        <v/>
      </c>
      <c r="R114" t="str">
        <f>IF($A114="","",SUMIFS(Campagne!$K$1:$K$15,Campagne!$C$1:$C$15,$A114))</f>
        <v/>
      </c>
      <c r="S114" t="str">
        <f>IF($A114="","",SUMIFS(Campagne!$M$1:$M$15,Campagne!$C$1:$C$15,$A114))</f>
        <v/>
      </c>
      <c r="T114" t="str">
        <f>IF($A114="","",SUMIFS(PIL!$K$15:$K$28,PIL!$A$15:$A$28,$A114)*SUMIFS(PIL!$J$15:$J$28,PIL!$A$15:$A$28,$A114)*(SUM(PIL!$K$15:$K$28)/SUMPRODUCT(PIL!$K$15:$K$28,PIL!$J$15:$J$28)))</f>
        <v/>
      </c>
      <c r="U114" t="str">
        <f>IF($A114="","",SUMIFS(PIL!$K$15:$K$28,PIL!$A$15:$A$28,$A114))</f>
        <v/>
      </c>
      <c r="V114" t="str">
        <f t="shared" si="15"/>
        <v/>
      </c>
      <c r="W114" t="str">
        <f t="shared" si="16"/>
        <v/>
      </c>
      <c r="X114" t="str">
        <f t="shared" si="17"/>
        <v/>
      </c>
      <c r="Y114" t="str">
        <f t="shared" si="18"/>
        <v/>
      </c>
      <c r="Z114" t="str">
        <f t="shared" si="19"/>
        <v/>
      </c>
      <c r="AA114" t="str">
        <f t="shared" si="20"/>
        <v/>
      </c>
      <c r="AB114" t="str">
        <f t="shared" si="21"/>
        <v/>
      </c>
      <c r="AC114" t="str">
        <f t="shared" si="22"/>
        <v/>
      </c>
      <c r="AD114" t="str">
        <f t="shared" si="23"/>
        <v/>
      </c>
      <c r="AE114" t="str">
        <f t="shared" si="24"/>
        <v/>
      </c>
      <c r="AF114" t="str">
        <f t="shared" si="25"/>
        <v/>
      </c>
      <c r="AG114" t="str">
        <f t="shared" si="26"/>
        <v/>
      </c>
      <c r="AH114" t="str">
        <f t="shared" si="27"/>
        <v/>
      </c>
    </row>
    <row r="115" spans="1:34" x14ac:dyDescent="0.45">
      <c r="A115" t="str">
        <f>IF(Moteur!D115="","",Moteur!D115)</f>
        <v/>
      </c>
      <c r="B115" t="str">
        <f>IF(Moteur!B115="","",Moteur!B115)</f>
        <v/>
      </c>
      <c r="C115" t="str">
        <f>IF(Moteur!F115="","",Moteur!F115)</f>
        <v/>
      </c>
      <c r="D115" t="str">
        <f>IF(Moteur!G115="","",Moteur!G115)</f>
        <v/>
      </c>
      <c r="E115" t="str">
        <f>IF(Moteur!H115="","",Moteur!H115)</f>
        <v/>
      </c>
      <c r="F115" t="str">
        <f>IF(Moteur!E115="","",Moteur!E115)</f>
        <v/>
      </c>
      <c r="G115" t="str">
        <f>IF($A115="","",SUMIFS(Socle!$H$1:$H$1000,Socle!$C$1:$C$1000,$A115,Socle!$D$1:$D$1000,$C115,Socle!$E$1:$E$1000,$D115,Socle!$F$1:$F$1000,$E115,Socle!$G$1:$G$1000,"2026"))</f>
        <v/>
      </c>
      <c r="H115" t="str">
        <f>IF($A115="","",SUMIFS(Socle!$N$1:$N$1000,Socle!$C$1:$C$1000,$A115,Socle!$D$1:$D$1000,$C115,Socle!$E$1:$E$1000,$D115,Socle!$F$1:$F$1000,$E115,Socle!$G$1:$G$1000,"2026"))</f>
        <v/>
      </c>
      <c r="I115" t="str">
        <f>IF($A115="","",SUMIFS(Socle!$P$1:$P$1000,Socle!$C$1:$C$1000,$A115,Socle!$D$1:$D$1000,$C115,Socle!$E$1:$E$1000,$D115,Socle!$F$1:$F$1000,$E115,Socle!$G$1:$G$1000,"2026"))</f>
        <v/>
      </c>
      <c r="J115" t="str">
        <f>IF($A115="","",SUMIFS(Socle!$W$1:$W$1000,Socle!$C$1:$C$1000,$A115,Socle!$D$1:$D$1000,$C115,Socle!$E$1:$E$1000,$D115,Socle!$F$1:$F$1000,$E115,Socle!$G$1:$G$1000,"2026"))</f>
        <v/>
      </c>
      <c r="K115" t="str">
        <f>IF($A115="","",SUMIFS(Socle!$X$1:$X$1000,Socle!$C$1:$C$1000,$A115,Socle!$D$1:$D$1000,$C115,Socle!$E$1:$E$1000,$D115,Socle!$F$1:$F$1000,$E115,Socle!$G$1:$G$1000,"2026"))</f>
        <v/>
      </c>
      <c r="L115" t="str">
        <f>IF($A115="","",SUMIFS(Socle!$Y$1:$Y$1000,Socle!$C$1:$C$1000,$A115,Socle!$D$1:$D$1000,$C115,Socle!$E$1:$E$1000,$D115,Socle!$F$1:$F$1000,$E115,Socle!$G$1:$G$1000,"2026"))</f>
        <v/>
      </c>
      <c r="M115" t="str">
        <f>IF($A115="","",SUMIFS(Socle!$V$1:$V$1000,Socle!$C$1:$C$1000,$A115,Socle!$D$1:$D$1000,$C115,Socle!$E$1:$E$1000,$D115,Socle!$F$1:$F$1000,$E115,Socle!$G$1:$G$1000,"2026"))</f>
        <v/>
      </c>
      <c r="N115" t="str">
        <f t="shared" si="14"/>
        <v/>
      </c>
      <c r="O115" t="str">
        <f>IF($A115="","",SUMIFS(Campagne!$D$1:$D$15,Campagne!$C$1:$C$15,$A115))</f>
        <v/>
      </c>
      <c r="P115" t="str">
        <f>IF($A115="","",SUMIFS(Campagne!$E$1:$E$15,Campagne!$C$1:$C$15,$A115))</f>
        <v/>
      </c>
      <c r="Q115" t="str">
        <f>IF($A115="","",SUMIFS(Campagne!$F$1:$F$15,Campagne!$C$1:$C$15,$A115))</f>
        <v/>
      </c>
      <c r="R115" t="str">
        <f>IF($A115="","",SUMIFS(Campagne!$K$1:$K$15,Campagne!$C$1:$C$15,$A115))</f>
        <v/>
      </c>
      <c r="S115" t="str">
        <f>IF($A115="","",SUMIFS(Campagne!$M$1:$M$15,Campagne!$C$1:$C$15,$A115))</f>
        <v/>
      </c>
      <c r="T115" t="str">
        <f>IF($A115="","",SUMIFS(PIL!$K$15:$K$28,PIL!$A$15:$A$28,$A115)*SUMIFS(PIL!$J$15:$J$28,PIL!$A$15:$A$28,$A115)*(SUM(PIL!$K$15:$K$28)/SUMPRODUCT(PIL!$K$15:$K$28,PIL!$J$15:$J$28)))</f>
        <v/>
      </c>
      <c r="U115" t="str">
        <f>IF($A115="","",SUMIFS(PIL!$K$15:$K$28,PIL!$A$15:$A$28,$A115))</f>
        <v/>
      </c>
      <c r="V115" t="str">
        <f t="shared" si="15"/>
        <v/>
      </c>
      <c r="W115" t="str">
        <f t="shared" si="16"/>
        <v/>
      </c>
      <c r="X115" t="str">
        <f t="shared" si="17"/>
        <v/>
      </c>
      <c r="Y115" t="str">
        <f t="shared" si="18"/>
        <v/>
      </c>
      <c r="Z115" t="str">
        <f t="shared" si="19"/>
        <v/>
      </c>
      <c r="AA115" t="str">
        <f t="shared" si="20"/>
        <v/>
      </c>
      <c r="AB115" t="str">
        <f t="shared" si="21"/>
        <v/>
      </c>
      <c r="AC115" t="str">
        <f t="shared" si="22"/>
        <v/>
      </c>
      <c r="AD115" t="str">
        <f t="shared" si="23"/>
        <v/>
      </c>
      <c r="AE115" t="str">
        <f t="shared" si="24"/>
        <v/>
      </c>
      <c r="AF115" t="str">
        <f t="shared" si="25"/>
        <v/>
      </c>
      <c r="AG115" t="str">
        <f t="shared" si="26"/>
        <v/>
      </c>
      <c r="AH115" t="str">
        <f t="shared" si="27"/>
        <v/>
      </c>
    </row>
    <row r="116" spans="1:34" x14ac:dyDescent="0.45">
      <c r="A116" t="str">
        <f>IF(Moteur!D116="","",Moteur!D116)</f>
        <v/>
      </c>
      <c r="B116" t="str">
        <f>IF(Moteur!B116="","",Moteur!B116)</f>
        <v/>
      </c>
      <c r="C116" t="str">
        <f>IF(Moteur!F116="","",Moteur!F116)</f>
        <v/>
      </c>
      <c r="D116" t="str">
        <f>IF(Moteur!G116="","",Moteur!G116)</f>
        <v/>
      </c>
      <c r="E116" t="str">
        <f>IF(Moteur!H116="","",Moteur!H116)</f>
        <v/>
      </c>
      <c r="F116" t="str">
        <f>IF(Moteur!E116="","",Moteur!E116)</f>
        <v/>
      </c>
      <c r="G116" t="str">
        <f>IF($A116="","",SUMIFS(Socle!$H$1:$H$1000,Socle!$C$1:$C$1000,$A116,Socle!$D$1:$D$1000,$C116,Socle!$E$1:$E$1000,$D116,Socle!$F$1:$F$1000,$E116,Socle!$G$1:$G$1000,"2026"))</f>
        <v/>
      </c>
      <c r="H116" t="str">
        <f>IF($A116="","",SUMIFS(Socle!$N$1:$N$1000,Socle!$C$1:$C$1000,$A116,Socle!$D$1:$D$1000,$C116,Socle!$E$1:$E$1000,$D116,Socle!$F$1:$F$1000,$E116,Socle!$G$1:$G$1000,"2026"))</f>
        <v/>
      </c>
      <c r="I116" t="str">
        <f>IF($A116="","",SUMIFS(Socle!$P$1:$P$1000,Socle!$C$1:$C$1000,$A116,Socle!$D$1:$D$1000,$C116,Socle!$E$1:$E$1000,$D116,Socle!$F$1:$F$1000,$E116,Socle!$G$1:$G$1000,"2026"))</f>
        <v/>
      </c>
      <c r="J116" t="str">
        <f>IF($A116="","",SUMIFS(Socle!$W$1:$W$1000,Socle!$C$1:$C$1000,$A116,Socle!$D$1:$D$1000,$C116,Socle!$E$1:$E$1000,$D116,Socle!$F$1:$F$1000,$E116,Socle!$G$1:$G$1000,"2026"))</f>
        <v/>
      </c>
      <c r="K116" t="str">
        <f>IF($A116="","",SUMIFS(Socle!$X$1:$X$1000,Socle!$C$1:$C$1000,$A116,Socle!$D$1:$D$1000,$C116,Socle!$E$1:$E$1000,$D116,Socle!$F$1:$F$1000,$E116,Socle!$G$1:$G$1000,"2026"))</f>
        <v/>
      </c>
      <c r="L116" t="str">
        <f>IF($A116="","",SUMIFS(Socle!$Y$1:$Y$1000,Socle!$C$1:$C$1000,$A116,Socle!$D$1:$D$1000,$C116,Socle!$E$1:$E$1000,$D116,Socle!$F$1:$F$1000,$E116,Socle!$G$1:$G$1000,"2026"))</f>
        <v/>
      </c>
      <c r="M116" t="str">
        <f>IF($A116="","",SUMIFS(Socle!$V$1:$V$1000,Socle!$C$1:$C$1000,$A116,Socle!$D$1:$D$1000,$C116,Socle!$E$1:$E$1000,$D116,Socle!$F$1:$F$1000,$E116,Socle!$G$1:$G$1000,"2026"))</f>
        <v/>
      </c>
      <c r="N116" t="str">
        <f t="shared" si="14"/>
        <v/>
      </c>
      <c r="O116" t="str">
        <f>IF($A116="","",SUMIFS(Campagne!$D$1:$D$15,Campagne!$C$1:$C$15,$A116))</f>
        <v/>
      </c>
      <c r="P116" t="str">
        <f>IF($A116="","",SUMIFS(Campagne!$E$1:$E$15,Campagne!$C$1:$C$15,$A116))</f>
        <v/>
      </c>
      <c r="Q116" t="str">
        <f>IF($A116="","",SUMIFS(Campagne!$F$1:$F$15,Campagne!$C$1:$C$15,$A116))</f>
        <v/>
      </c>
      <c r="R116" t="str">
        <f>IF($A116="","",SUMIFS(Campagne!$K$1:$K$15,Campagne!$C$1:$C$15,$A116))</f>
        <v/>
      </c>
      <c r="S116" t="str">
        <f>IF($A116="","",SUMIFS(Campagne!$M$1:$M$15,Campagne!$C$1:$C$15,$A116))</f>
        <v/>
      </c>
      <c r="T116" t="str">
        <f>IF($A116="","",SUMIFS(PIL!$K$15:$K$28,PIL!$A$15:$A$28,$A116)*SUMIFS(PIL!$J$15:$J$28,PIL!$A$15:$A$28,$A116)*(SUM(PIL!$K$15:$K$28)/SUMPRODUCT(PIL!$K$15:$K$28,PIL!$J$15:$J$28)))</f>
        <v/>
      </c>
      <c r="U116" t="str">
        <f>IF($A116="","",SUMIFS(PIL!$K$15:$K$28,PIL!$A$15:$A$28,$A116))</f>
        <v/>
      </c>
      <c r="V116" t="str">
        <f t="shared" si="15"/>
        <v/>
      </c>
      <c r="W116" t="str">
        <f t="shared" si="16"/>
        <v/>
      </c>
      <c r="X116" t="str">
        <f t="shared" si="17"/>
        <v/>
      </c>
      <c r="Y116" t="str">
        <f t="shared" si="18"/>
        <v/>
      </c>
      <c r="Z116" t="str">
        <f t="shared" si="19"/>
        <v/>
      </c>
      <c r="AA116" t="str">
        <f t="shared" si="20"/>
        <v/>
      </c>
      <c r="AB116" t="str">
        <f t="shared" si="21"/>
        <v/>
      </c>
      <c r="AC116" t="str">
        <f t="shared" si="22"/>
        <v/>
      </c>
      <c r="AD116" t="str">
        <f t="shared" si="23"/>
        <v/>
      </c>
      <c r="AE116" t="str">
        <f t="shared" si="24"/>
        <v/>
      </c>
      <c r="AF116" t="str">
        <f t="shared" si="25"/>
        <v/>
      </c>
      <c r="AG116" t="str">
        <f t="shared" si="26"/>
        <v/>
      </c>
      <c r="AH116" t="str">
        <f t="shared" si="27"/>
        <v/>
      </c>
    </row>
    <row r="117" spans="1:34" x14ac:dyDescent="0.45">
      <c r="A117" t="str">
        <f>IF(Moteur!D117="","",Moteur!D117)</f>
        <v/>
      </c>
      <c r="B117" t="str">
        <f>IF(Moteur!B117="","",Moteur!B117)</f>
        <v/>
      </c>
      <c r="C117" t="str">
        <f>IF(Moteur!F117="","",Moteur!F117)</f>
        <v/>
      </c>
      <c r="D117" t="str">
        <f>IF(Moteur!G117="","",Moteur!G117)</f>
        <v/>
      </c>
      <c r="E117" t="str">
        <f>IF(Moteur!H117="","",Moteur!H117)</f>
        <v/>
      </c>
      <c r="F117" t="str">
        <f>IF(Moteur!E117="","",Moteur!E117)</f>
        <v/>
      </c>
      <c r="G117" t="str">
        <f>IF($A117="","",SUMIFS(Socle!$H$1:$H$1000,Socle!$C$1:$C$1000,$A117,Socle!$D$1:$D$1000,$C117,Socle!$E$1:$E$1000,$D117,Socle!$F$1:$F$1000,$E117,Socle!$G$1:$G$1000,"2026"))</f>
        <v/>
      </c>
      <c r="H117" t="str">
        <f>IF($A117="","",SUMIFS(Socle!$N$1:$N$1000,Socle!$C$1:$C$1000,$A117,Socle!$D$1:$D$1000,$C117,Socle!$E$1:$E$1000,$D117,Socle!$F$1:$F$1000,$E117,Socle!$G$1:$G$1000,"2026"))</f>
        <v/>
      </c>
      <c r="I117" t="str">
        <f>IF($A117="","",SUMIFS(Socle!$P$1:$P$1000,Socle!$C$1:$C$1000,$A117,Socle!$D$1:$D$1000,$C117,Socle!$E$1:$E$1000,$D117,Socle!$F$1:$F$1000,$E117,Socle!$G$1:$G$1000,"2026"))</f>
        <v/>
      </c>
      <c r="J117" t="str">
        <f>IF($A117="","",SUMIFS(Socle!$W$1:$W$1000,Socle!$C$1:$C$1000,$A117,Socle!$D$1:$D$1000,$C117,Socle!$E$1:$E$1000,$D117,Socle!$F$1:$F$1000,$E117,Socle!$G$1:$G$1000,"2026"))</f>
        <v/>
      </c>
      <c r="K117" t="str">
        <f>IF($A117="","",SUMIFS(Socle!$X$1:$X$1000,Socle!$C$1:$C$1000,$A117,Socle!$D$1:$D$1000,$C117,Socle!$E$1:$E$1000,$D117,Socle!$F$1:$F$1000,$E117,Socle!$G$1:$G$1000,"2026"))</f>
        <v/>
      </c>
      <c r="L117" t="str">
        <f>IF($A117="","",SUMIFS(Socle!$Y$1:$Y$1000,Socle!$C$1:$C$1000,$A117,Socle!$D$1:$D$1000,$C117,Socle!$E$1:$E$1000,$D117,Socle!$F$1:$F$1000,$E117,Socle!$G$1:$G$1000,"2026"))</f>
        <v/>
      </c>
      <c r="M117" t="str">
        <f>IF($A117="","",SUMIFS(Socle!$V$1:$V$1000,Socle!$C$1:$C$1000,$A117,Socle!$D$1:$D$1000,$C117,Socle!$E$1:$E$1000,$D117,Socle!$F$1:$F$1000,$E117,Socle!$G$1:$G$1000,"2026"))</f>
        <v/>
      </c>
      <c r="N117" t="str">
        <f t="shared" si="14"/>
        <v/>
      </c>
      <c r="O117" t="str">
        <f>IF($A117="","",SUMIFS(Campagne!$D$1:$D$15,Campagne!$C$1:$C$15,$A117))</f>
        <v/>
      </c>
      <c r="P117" t="str">
        <f>IF($A117="","",SUMIFS(Campagne!$E$1:$E$15,Campagne!$C$1:$C$15,$A117))</f>
        <v/>
      </c>
      <c r="Q117" t="str">
        <f>IF($A117="","",SUMIFS(Campagne!$F$1:$F$15,Campagne!$C$1:$C$15,$A117))</f>
        <v/>
      </c>
      <c r="R117" t="str">
        <f>IF($A117="","",SUMIFS(Campagne!$K$1:$K$15,Campagne!$C$1:$C$15,$A117))</f>
        <v/>
      </c>
      <c r="S117" t="str">
        <f>IF($A117="","",SUMIFS(Campagne!$M$1:$M$15,Campagne!$C$1:$C$15,$A117))</f>
        <v/>
      </c>
      <c r="T117" t="str">
        <f>IF($A117="","",SUMIFS(PIL!$K$15:$K$28,PIL!$A$15:$A$28,$A117)*SUMIFS(PIL!$J$15:$J$28,PIL!$A$15:$A$28,$A117)*(SUM(PIL!$K$15:$K$28)/SUMPRODUCT(PIL!$K$15:$K$28,PIL!$J$15:$J$28)))</f>
        <v/>
      </c>
      <c r="U117" t="str">
        <f>IF($A117="","",SUMIFS(PIL!$K$15:$K$28,PIL!$A$15:$A$28,$A117))</f>
        <v/>
      </c>
      <c r="V117" t="str">
        <f t="shared" si="15"/>
        <v/>
      </c>
      <c r="W117" t="str">
        <f t="shared" si="16"/>
        <v/>
      </c>
      <c r="X117" t="str">
        <f t="shared" si="17"/>
        <v/>
      </c>
      <c r="Y117" t="str">
        <f t="shared" si="18"/>
        <v/>
      </c>
      <c r="Z117" t="str">
        <f t="shared" si="19"/>
        <v/>
      </c>
      <c r="AA117" t="str">
        <f t="shared" si="20"/>
        <v/>
      </c>
      <c r="AB117" t="str">
        <f t="shared" si="21"/>
        <v/>
      </c>
      <c r="AC117" t="str">
        <f t="shared" si="22"/>
        <v/>
      </c>
      <c r="AD117" t="str">
        <f t="shared" si="23"/>
        <v/>
      </c>
      <c r="AE117" t="str">
        <f t="shared" si="24"/>
        <v/>
      </c>
      <c r="AF117" t="str">
        <f t="shared" si="25"/>
        <v/>
      </c>
      <c r="AG117" t="str">
        <f t="shared" si="26"/>
        <v/>
      </c>
      <c r="AH117" t="str">
        <f t="shared" si="27"/>
        <v/>
      </c>
    </row>
    <row r="118" spans="1:34" x14ac:dyDescent="0.45">
      <c r="A118" t="str">
        <f>IF(Moteur!D118="","",Moteur!D118)</f>
        <v/>
      </c>
      <c r="B118" t="str">
        <f>IF(Moteur!B118="","",Moteur!B118)</f>
        <v/>
      </c>
      <c r="C118" t="str">
        <f>IF(Moteur!F118="","",Moteur!F118)</f>
        <v/>
      </c>
      <c r="D118" t="str">
        <f>IF(Moteur!G118="","",Moteur!G118)</f>
        <v/>
      </c>
      <c r="E118" t="str">
        <f>IF(Moteur!H118="","",Moteur!H118)</f>
        <v/>
      </c>
      <c r="F118" t="str">
        <f>IF(Moteur!E118="","",Moteur!E118)</f>
        <v/>
      </c>
      <c r="G118" t="str">
        <f>IF($A118="","",SUMIFS(Socle!$H$1:$H$1000,Socle!$C$1:$C$1000,$A118,Socle!$D$1:$D$1000,$C118,Socle!$E$1:$E$1000,$D118,Socle!$F$1:$F$1000,$E118,Socle!$G$1:$G$1000,"2026"))</f>
        <v/>
      </c>
      <c r="H118" t="str">
        <f>IF($A118="","",SUMIFS(Socle!$N$1:$N$1000,Socle!$C$1:$C$1000,$A118,Socle!$D$1:$D$1000,$C118,Socle!$E$1:$E$1000,$D118,Socle!$F$1:$F$1000,$E118,Socle!$G$1:$G$1000,"2026"))</f>
        <v/>
      </c>
      <c r="I118" t="str">
        <f>IF($A118="","",SUMIFS(Socle!$P$1:$P$1000,Socle!$C$1:$C$1000,$A118,Socle!$D$1:$D$1000,$C118,Socle!$E$1:$E$1000,$D118,Socle!$F$1:$F$1000,$E118,Socle!$G$1:$G$1000,"2026"))</f>
        <v/>
      </c>
      <c r="J118" t="str">
        <f>IF($A118="","",SUMIFS(Socle!$W$1:$W$1000,Socle!$C$1:$C$1000,$A118,Socle!$D$1:$D$1000,$C118,Socle!$E$1:$E$1000,$D118,Socle!$F$1:$F$1000,$E118,Socle!$G$1:$G$1000,"2026"))</f>
        <v/>
      </c>
      <c r="K118" t="str">
        <f>IF($A118="","",SUMIFS(Socle!$X$1:$X$1000,Socle!$C$1:$C$1000,$A118,Socle!$D$1:$D$1000,$C118,Socle!$E$1:$E$1000,$D118,Socle!$F$1:$F$1000,$E118,Socle!$G$1:$G$1000,"2026"))</f>
        <v/>
      </c>
      <c r="L118" t="str">
        <f>IF($A118="","",SUMIFS(Socle!$Y$1:$Y$1000,Socle!$C$1:$C$1000,$A118,Socle!$D$1:$D$1000,$C118,Socle!$E$1:$E$1000,$D118,Socle!$F$1:$F$1000,$E118,Socle!$G$1:$G$1000,"2026"))</f>
        <v/>
      </c>
      <c r="M118" t="str">
        <f>IF($A118="","",SUMIFS(Socle!$V$1:$V$1000,Socle!$C$1:$C$1000,$A118,Socle!$D$1:$D$1000,$C118,Socle!$E$1:$E$1000,$D118,Socle!$F$1:$F$1000,$E118,Socle!$G$1:$G$1000,"2026"))</f>
        <v/>
      </c>
      <c r="N118" t="str">
        <f t="shared" si="14"/>
        <v/>
      </c>
      <c r="O118" t="str">
        <f>IF($A118="","",SUMIFS(Campagne!$D$1:$D$15,Campagne!$C$1:$C$15,$A118))</f>
        <v/>
      </c>
      <c r="P118" t="str">
        <f>IF($A118="","",SUMIFS(Campagne!$E$1:$E$15,Campagne!$C$1:$C$15,$A118))</f>
        <v/>
      </c>
      <c r="Q118" t="str">
        <f>IF($A118="","",SUMIFS(Campagne!$F$1:$F$15,Campagne!$C$1:$C$15,$A118))</f>
        <v/>
      </c>
      <c r="R118" t="str">
        <f>IF($A118="","",SUMIFS(Campagne!$K$1:$K$15,Campagne!$C$1:$C$15,$A118))</f>
        <v/>
      </c>
      <c r="S118" t="str">
        <f>IF($A118="","",SUMIFS(Campagne!$M$1:$M$15,Campagne!$C$1:$C$15,$A118))</f>
        <v/>
      </c>
      <c r="T118" t="str">
        <f>IF($A118="","",SUMIFS(PIL!$K$15:$K$28,PIL!$A$15:$A$28,$A118)*SUMIFS(PIL!$J$15:$J$28,PIL!$A$15:$A$28,$A118)*(SUM(PIL!$K$15:$K$28)/SUMPRODUCT(PIL!$K$15:$K$28,PIL!$J$15:$J$28)))</f>
        <v/>
      </c>
      <c r="U118" t="str">
        <f>IF($A118="","",SUMIFS(PIL!$K$15:$K$28,PIL!$A$15:$A$28,$A118))</f>
        <v/>
      </c>
      <c r="V118" t="str">
        <f t="shared" si="15"/>
        <v/>
      </c>
      <c r="W118" t="str">
        <f t="shared" si="16"/>
        <v/>
      </c>
      <c r="X118" t="str">
        <f t="shared" si="17"/>
        <v/>
      </c>
      <c r="Y118" t="str">
        <f t="shared" si="18"/>
        <v/>
      </c>
      <c r="Z118" t="str">
        <f t="shared" si="19"/>
        <v/>
      </c>
      <c r="AA118" t="str">
        <f t="shared" si="20"/>
        <v/>
      </c>
      <c r="AB118" t="str">
        <f t="shared" si="21"/>
        <v/>
      </c>
      <c r="AC118" t="str">
        <f t="shared" si="22"/>
        <v/>
      </c>
      <c r="AD118" t="str">
        <f t="shared" si="23"/>
        <v/>
      </c>
      <c r="AE118" t="str">
        <f t="shared" si="24"/>
        <v/>
      </c>
      <c r="AF118" t="str">
        <f t="shared" si="25"/>
        <v/>
      </c>
      <c r="AG118" t="str">
        <f t="shared" si="26"/>
        <v/>
      </c>
      <c r="AH118" t="str">
        <f t="shared" si="27"/>
        <v/>
      </c>
    </row>
    <row r="119" spans="1:34" x14ac:dyDescent="0.45">
      <c r="A119" t="str">
        <f>IF(Moteur!D119="","",Moteur!D119)</f>
        <v/>
      </c>
      <c r="B119" t="str">
        <f>IF(Moteur!B119="","",Moteur!B119)</f>
        <v/>
      </c>
      <c r="C119" t="str">
        <f>IF(Moteur!F119="","",Moteur!F119)</f>
        <v/>
      </c>
      <c r="D119" t="str">
        <f>IF(Moteur!G119="","",Moteur!G119)</f>
        <v/>
      </c>
      <c r="E119" t="str">
        <f>IF(Moteur!H119="","",Moteur!H119)</f>
        <v/>
      </c>
      <c r="F119" t="str">
        <f>IF(Moteur!E119="","",Moteur!E119)</f>
        <v/>
      </c>
      <c r="G119" t="str">
        <f>IF($A119="","",SUMIFS(Socle!$H$1:$H$1000,Socle!$C$1:$C$1000,$A119,Socle!$D$1:$D$1000,$C119,Socle!$E$1:$E$1000,$D119,Socle!$F$1:$F$1000,$E119,Socle!$G$1:$G$1000,"2026"))</f>
        <v/>
      </c>
      <c r="H119" t="str">
        <f>IF($A119="","",SUMIFS(Socle!$N$1:$N$1000,Socle!$C$1:$C$1000,$A119,Socle!$D$1:$D$1000,$C119,Socle!$E$1:$E$1000,$D119,Socle!$F$1:$F$1000,$E119,Socle!$G$1:$G$1000,"2026"))</f>
        <v/>
      </c>
      <c r="I119" t="str">
        <f>IF($A119="","",SUMIFS(Socle!$P$1:$P$1000,Socle!$C$1:$C$1000,$A119,Socle!$D$1:$D$1000,$C119,Socle!$E$1:$E$1000,$D119,Socle!$F$1:$F$1000,$E119,Socle!$G$1:$G$1000,"2026"))</f>
        <v/>
      </c>
      <c r="J119" t="str">
        <f>IF($A119="","",SUMIFS(Socle!$W$1:$W$1000,Socle!$C$1:$C$1000,$A119,Socle!$D$1:$D$1000,$C119,Socle!$E$1:$E$1000,$D119,Socle!$F$1:$F$1000,$E119,Socle!$G$1:$G$1000,"2026"))</f>
        <v/>
      </c>
      <c r="K119" t="str">
        <f>IF($A119="","",SUMIFS(Socle!$X$1:$X$1000,Socle!$C$1:$C$1000,$A119,Socle!$D$1:$D$1000,$C119,Socle!$E$1:$E$1000,$D119,Socle!$F$1:$F$1000,$E119,Socle!$G$1:$G$1000,"2026"))</f>
        <v/>
      </c>
      <c r="L119" t="str">
        <f>IF($A119="","",SUMIFS(Socle!$Y$1:$Y$1000,Socle!$C$1:$C$1000,$A119,Socle!$D$1:$D$1000,$C119,Socle!$E$1:$E$1000,$D119,Socle!$F$1:$F$1000,$E119,Socle!$G$1:$G$1000,"2026"))</f>
        <v/>
      </c>
      <c r="M119" t="str">
        <f>IF($A119="","",SUMIFS(Socle!$V$1:$V$1000,Socle!$C$1:$C$1000,$A119,Socle!$D$1:$D$1000,$C119,Socle!$E$1:$E$1000,$D119,Socle!$F$1:$F$1000,$E119,Socle!$G$1:$G$1000,"2026"))</f>
        <v/>
      </c>
      <c r="N119" t="str">
        <f t="shared" si="14"/>
        <v/>
      </c>
      <c r="O119" t="str">
        <f>IF($A119="","",SUMIFS(Campagne!$D$1:$D$15,Campagne!$C$1:$C$15,$A119))</f>
        <v/>
      </c>
      <c r="P119" t="str">
        <f>IF($A119="","",SUMIFS(Campagne!$E$1:$E$15,Campagne!$C$1:$C$15,$A119))</f>
        <v/>
      </c>
      <c r="Q119" t="str">
        <f>IF($A119="","",SUMIFS(Campagne!$F$1:$F$15,Campagne!$C$1:$C$15,$A119))</f>
        <v/>
      </c>
      <c r="R119" t="str">
        <f>IF($A119="","",SUMIFS(Campagne!$K$1:$K$15,Campagne!$C$1:$C$15,$A119))</f>
        <v/>
      </c>
      <c r="S119" t="str">
        <f>IF($A119="","",SUMIFS(Campagne!$M$1:$M$15,Campagne!$C$1:$C$15,$A119))</f>
        <v/>
      </c>
      <c r="T119" t="str">
        <f>IF($A119="","",SUMIFS(PIL!$K$15:$K$28,PIL!$A$15:$A$28,$A119)*SUMIFS(PIL!$J$15:$J$28,PIL!$A$15:$A$28,$A119)*(SUM(PIL!$K$15:$K$28)/SUMPRODUCT(PIL!$K$15:$K$28,PIL!$J$15:$J$28)))</f>
        <v/>
      </c>
      <c r="U119" t="str">
        <f>IF($A119="","",SUMIFS(PIL!$K$15:$K$28,PIL!$A$15:$A$28,$A119))</f>
        <v/>
      </c>
      <c r="V119" t="str">
        <f t="shared" si="15"/>
        <v/>
      </c>
      <c r="W119" t="str">
        <f t="shared" si="16"/>
        <v/>
      </c>
      <c r="X119" t="str">
        <f t="shared" si="17"/>
        <v/>
      </c>
      <c r="Y119" t="str">
        <f t="shared" si="18"/>
        <v/>
      </c>
      <c r="Z119" t="str">
        <f t="shared" si="19"/>
        <v/>
      </c>
      <c r="AA119" t="str">
        <f t="shared" si="20"/>
        <v/>
      </c>
      <c r="AB119" t="str">
        <f t="shared" si="21"/>
        <v/>
      </c>
      <c r="AC119" t="str">
        <f t="shared" si="22"/>
        <v/>
      </c>
      <c r="AD119" t="str">
        <f t="shared" si="23"/>
        <v/>
      </c>
      <c r="AE119" t="str">
        <f t="shared" si="24"/>
        <v/>
      </c>
      <c r="AF119" t="str">
        <f t="shared" si="25"/>
        <v/>
      </c>
      <c r="AG119" t="str">
        <f t="shared" si="26"/>
        <v/>
      </c>
      <c r="AH119" t="str">
        <f t="shared" si="27"/>
        <v/>
      </c>
    </row>
    <row r="120" spans="1:34" x14ac:dyDescent="0.45">
      <c r="A120" t="str">
        <f>IF(Moteur!D120="","",Moteur!D120)</f>
        <v/>
      </c>
      <c r="B120" t="str">
        <f>IF(Moteur!B120="","",Moteur!B120)</f>
        <v/>
      </c>
      <c r="C120" t="str">
        <f>IF(Moteur!F120="","",Moteur!F120)</f>
        <v/>
      </c>
      <c r="D120" t="str">
        <f>IF(Moteur!G120="","",Moteur!G120)</f>
        <v/>
      </c>
      <c r="E120" t="str">
        <f>IF(Moteur!H120="","",Moteur!H120)</f>
        <v/>
      </c>
      <c r="F120" t="str">
        <f>IF(Moteur!E120="","",Moteur!E120)</f>
        <v/>
      </c>
      <c r="G120" t="str">
        <f>IF($A120="","",SUMIFS(Socle!$H$1:$H$1000,Socle!$C$1:$C$1000,$A120,Socle!$D$1:$D$1000,$C120,Socle!$E$1:$E$1000,$D120,Socle!$F$1:$F$1000,$E120,Socle!$G$1:$G$1000,"2026"))</f>
        <v/>
      </c>
      <c r="H120" t="str">
        <f>IF($A120="","",SUMIFS(Socle!$N$1:$N$1000,Socle!$C$1:$C$1000,$A120,Socle!$D$1:$D$1000,$C120,Socle!$E$1:$E$1000,$D120,Socle!$F$1:$F$1000,$E120,Socle!$G$1:$G$1000,"2026"))</f>
        <v/>
      </c>
      <c r="I120" t="str">
        <f>IF($A120="","",SUMIFS(Socle!$P$1:$P$1000,Socle!$C$1:$C$1000,$A120,Socle!$D$1:$D$1000,$C120,Socle!$E$1:$E$1000,$D120,Socle!$F$1:$F$1000,$E120,Socle!$G$1:$G$1000,"2026"))</f>
        <v/>
      </c>
      <c r="J120" t="str">
        <f>IF($A120="","",SUMIFS(Socle!$W$1:$W$1000,Socle!$C$1:$C$1000,$A120,Socle!$D$1:$D$1000,$C120,Socle!$E$1:$E$1000,$D120,Socle!$F$1:$F$1000,$E120,Socle!$G$1:$G$1000,"2026"))</f>
        <v/>
      </c>
      <c r="K120" t="str">
        <f>IF($A120="","",SUMIFS(Socle!$X$1:$X$1000,Socle!$C$1:$C$1000,$A120,Socle!$D$1:$D$1000,$C120,Socle!$E$1:$E$1000,$D120,Socle!$F$1:$F$1000,$E120,Socle!$G$1:$G$1000,"2026"))</f>
        <v/>
      </c>
      <c r="L120" t="str">
        <f>IF($A120="","",SUMIFS(Socle!$Y$1:$Y$1000,Socle!$C$1:$C$1000,$A120,Socle!$D$1:$D$1000,$C120,Socle!$E$1:$E$1000,$D120,Socle!$F$1:$F$1000,$E120,Socle!$G$1:$G$1000,"2026"))</f>
        <v/>
      </c>
      <c r="M120" t="str">
        <f>IF($A120="","",SUMIFS(Socle!$V$1:$V$1000,Socle!$C$1:$C$1000,$A120,Socle!$D$1:$D$1000,$C120,Socle!$E$1:$E$1000,$D120,Socle!$F$1:$F$1000,$E120,Socle!$G$1:$G$1000,"2026"))</f>
        <v/>
      </c>
      <c r="N120" t="str">
        <f t="shared" si="14"/>
        <v/>
      </c>
      <c r="O120" t="str">
        <f>IF($A120="","",SUMIFS(Campagne!$D$1:$D$15,Campagne!$C$1:$C$15,$A120))</f>
        <v/>
      </c>
      <c r="P120" t="str">
        <f>IF($A120="","",SUMIFS(Campagne!$E$1:$E$15,Campagne!$C$1:$C$15,$A120))</f>
        <v/>
      </c>
      <c r="Q120" t="str">
        <f>IF($A120="","",SUMIFS(Campagne!$F$1:$F$15,Campagne!$C$1:$C$15,$A120))</f>
        <v/>
      </c>
      <c r="R120" t="str">
        <f>IF($A120="","",SUMIFS(Campagne!$K$1:$K$15,Campagne!$C$1:$C$15,$A120))</f>
        <v/>
      </c>
      <c r="S120" t="str">
        <f>IF($A120="","",SUMIFS(Campagne!$M$1:$M$15,Campagne!$C$1:$C$15,$A120))</f>
        <v/>
      </c>
      <c r="T120" t="str">
        <f>IF($A120="","",SUMIFS(PIL!$K$15:$K$28,PIL!$A$15:$A$28,$A120)*SUMIFS(PIL!$J$15:$J$28,PIL!$A$15:$A$28,$A120)*(SUM(PIL!$K$15:$K$28)/SUMPRODUCT(PIL!$K$15:$K$28,PIL!$J$15:$J$28)))</f>
        <v/>
      </c>
      <c r="U120" t="str">
        <f>IF($A120="","",SUMIFS(PIL!$K$15:$K$28,PIL!$A$15:$A$28,$A120))</f>
        <v/>
      </c>
      <c r="V120" t="str">
        <f t="shared" si="15"/>
        <v/>
      </c>
      <c r="W120" t="str">
        <f t="shared" si="16"/>
        <v/>
      </c>
      <c r="X120" t="str">
        <f t="shared" si="17"/>
        <v/>
      </c>
      <c r="Y120" t="str">
        <f t="shared" si="18"/>
        <v/>
      </c>
      <c r="Z120" t="str">
        <f t="shared" si="19"/>
        <v/>
      </c>
      <c r="AA120" t="str">
        <f t="shared" si="20"/>
        <v/>
      </c>
      <c r="AB120" t="str">
        <f t="shared" si="21"/>
        <v/>
      </c>
      <c r="AC120" t="str">
        <f t="shared" si="22"/>
        <v/>
      </c>
      <c r="AD120" t="str">
        <f t="shared" si="23"/>
        <v/>
      </c>
      <c r="AE120" t="str">
        <f t="shared" si="24"/>
        <v/>
      </c>
      <c r="AF120" t="str">
        <f t="shared" si="25"/>
        <v/>
      </c>
      <c r="AG120" t="str">
        <f t="shared" si="26"/>
        <v/>
      </c>
      <c r="AH120" t="str">
        <f t="shared" si="27"/>
        <v/>
      </c>
    </row>
    <row r="121" spans="1:34" x14ac:dyDescent="0.45">
      <c r="A121" t="str">
        <f>IF(Moteur!D121="","",Moteur!D121)</f>
        <v/>
      </c>
      <c r="B121" t="str">
        <f>IF(Moteur!B121="","",Moteur!B121)</f>
        <v/>
      </c>
      <c r="C121" t="str">
        <f>IF(Moteur!F121="","",Moteur!F121)</f>
        <v/>
      </c>
      <c r="D121" t="str">
        <f>IF(Moteur!G121="","",Moteur!G121)</f>
        <v/>
      </c>
      <c r="E121" t="str">
        <f>IF(Moteur!H121="","",Moteur!H121)</f>
        <v/>
      </c>
      <c r="F121" t="str">
        <f>IF(Moteur!E121="","",Moteur!E121)</f>
        <v/>
      </c>
      <c r="G121" t="str">
        <f>IF($A121="","",SUMIFS(Socle!$H$1:$H$1000,Socle!$C$1:$C$1000,$A121,Socle!$D$1:$D$1000,$C121,Socle!$E$1:$E$1000,$D121,Socle!$F$1:$F$1000,$E121,Socle!$G$1:$G$1000,"2026"))</f>
        <v/>
      </c>
      <c r="H121" t="str">
        <f>IF($A121="","",SUMIFS(Socle!$N$1:$N$1000,Socle!$C$1:$C$1000,$A121,Socle!$D$1:$D$1000,$C121,Socle!$E$1:$E$1000,$D121,Socle!$F$1:$F$1000,$E121,Socle!$G$1:$G$1000,"2026"))</f>
        <v/>
      </c>
      <c r="I121" t="str">
        <f>IF($A121="","",SUMIFS(Socle!$P$1:$P$1000,Socle!$C$1:$C$1000,$A121,Socle!$D$1:$D$1000,$C121,Socle!$E$1:$E$1000,$D121,Socle!$F$1:$F$1000,$E121,Socle!$G$1:$G$1000,"2026"))</f>
        <v/>
      </c>
      <c r="J121" t="str">
        <f>IF($A121="","",SUMIFS(Socle!$W$1:$W$1000,Socle!$C$1:$C$1000,$A121,Socle!$D$1:$D$1000,$C121,Socle!$E$1:$E$1000,$D121,Socle!$F$1:$F$1000,$E121,Socle!$G$1:$G$1000,"2026"))</f>
        <v/>
      </c>
      <c r="K121" t="str">
        <f>IF($A121="","",SUMIFS(Socle!$X$1:$X$1000,Socle!$C$1:$C$1000,$A121,Socle!$D$1:$D$1000,$C121,Socle!$E$1:$E$1000,$D121,Socle!$F$1:$F$1000,$E121,Socle!$G$1:$G$1000,"2026"))</f>
        <v/>
      </c>
      <c r="L121" t="str">
        <f>IF($A121="","",SUMIFS(Socle!$Y$1:$Y$1000,Socle!$C$1:$C$1000,$A121,Socle!$D$1:$D$1000,$C121,Socle!$E$1:$E$1000,$D121,Socle!$F$1:$F$1000,$E121,Socle!$G$1:$G$1000,"2026"))</f>
        <v/>
      </c>
      <c r="M121" t="str">
        <f>IF($A121="","",SUMIFS(Socle!$V$1:$V$1000,Socle!$C$1:$C$1000,$A121,Socle!$D$1:$D$1000,$C121,Socle!$E$1:$E$1000,$D121,Socle!$F$1:$F$1000,$E121,Socle!$G$1:$G$1000,"2026"))</f>
        <v/>
      </c>
      <c r="N121" t="str">
        <f t="shared" si="14"/>
        <v/>
      </c>
      <c r="O121" t="str">
        <f>IF($A121="","",SUMIFS(Campagne!$D$1:$D$15,Campagne!$C$1:$C$15,$A121))</f>
        <v/>
      </c>
      <c r="P121" t="str">
        <f>IF($A121="","",SUMIFS(Campagne!$E$1:$E$15,Campagne!$C$1:$C$15,$A121))</f>
        <v/>
      </c>
      <c r="Q121" t="str">
        <f>IF($A121="","",SUMIFS(Campagne!$F$1:$F$15,Campagne!$C$1:$C$15,$A121))</f>
        <v/>
      </c>
      <c r="R121" t="str">
        <f>IF($A121="","",SUMIFS(Campagne!$K$1:$K$15,Campagne!$C$1:$C$15,$A121))</f>
        <v/>
      </c>
      <c r="S121" t="str">
        <f>IF($A121="","",SUMIFS(Campagne!$M$1:$M$15,Campagne!$C$1:$C$15,$A121))</f>
        <v/>
      </c>
      <c r="T121" t="str">
        <f>IF($A121="","",SUMIFS(PIL!$K$15:$K$28,PIL!$A$15:$A$28,$A121)*SUMIFS(PIL!$J$15:$J$28,PIL!$A$15:$A$28,$A121)*(SUM(PIL!$K$15:$K$28)/SUMPRODUCT(PIL!$K$15:$K$28,PIL!$J$15:$J$28)))</f>
        <v/>
      </c>
      <c r="U121" t="str">
        <f>IF($A121="","",SUMIFS(PIL!$K$15:$K$28,PIL!$A$15:$A$28,$A121))</f>
        <v/>
      </c>
      <c r="V121" t="str">
        <f t="shared" si="15"/>
        <v/>
      </c>
      <c r="W121" t="str">
        <f t="shared" si="16"/>
        <v/>
      </c>
      <c r="X121" t="str">
        <f t="shared" si="17"/>
        <v/>
      </c>
      <c r="Y121" t="str">
        <f t="shared" si="18"/>
        <v/>
      </c>
      <c r="Z121" t="str">
        <f t="shared" si="19"/>
        <v/>
      </c>
      <c r="AA121" t="str">
        <f t="shared" si="20"/>
        <v/>
      </c>
      <c r="AB121" t="str">
        <f t="shared" si="21"/>
        <v/>
      </c>
      <c r="AC121" t="str">
        <f t="shared" si="22"/>
        <v/>
      </c>
      <c r="AD121" t="str">
        <f t="shared" si="23"/>
        <v/>
      </c>
      <c r="AE121" t="str">
        <f t="shared" si="24"/>
        <v/>
      </c>
      <c r="AF121" t="str">
        <f t="shared" si="25"/>
        <v/>
      </c>
      <c r="AG121" t="str">
        <f t="shared" si="26"/>
        <v/>
      </c>
      <c r="AH121" t="str">
        <f t="shared" si="27"/>
        <v/>
      </c>
    </row>
    <row r="122" spans="1:34" x14ac:dyDescent="0.45">
      <c r="A122" t="str">
        <f>IF(Moteur!D122="","",Moteur!D122)</f>
        <v/>
      </c>
      <c r="B122" t="str">
        <f>IF(Moteur!B122="","",Moteur!B122)</f>
        <v/>
      </c>
      <c r="C122" t="str">
        <f>IF(Moteur!F122="","",Moteur!F122)</f>
        <v/>
      </c>
      <c r="D122" t="str">
        <f>IF(Moteur!G122="","",Moteur!G122)</f>
        <v/>
      </c>
      <c r="E122" t="str">
        <f>IF(Moteur!H122="","",Moteur!H122)</f>
        <v/>
      </c>
      <c r="F122" t="str">
        <f>IF(Moteur!E122="","",Moteur!E122)</f>
        <v/>
      </c>
      <c r="G122" t="str">
        <f>IF($A122="","",SUMIFS(Socle!$H$1:$H$1000,Socle!$C$1:$C$1000,$A122,Socle!$D$1:$D$1000,$C122,Socle!$E$1:$E$1000,$D122,Socle!$F$1:$F$1000,$E122,Socle!$G$1:$G$1000,"2026"))</f>
        <v/>
      </c>
      <c r="H122" t="str">
        <f>IF($A122="","",SUMIFS(Socle!$N$1:$N$1000,Socle!$C$1:$C$1000,$A122,Socle!$D$1:$D$1000,$C122,Socle!$E$1:$E$1000,$D122,Socle!$F$1:$F$1000,$E122,Socle!$G$1:$G$1000,"2026"))</f>
        <v/>
      </c>
      <c r="I122" t="str">
        <f>IF($A122="","",SUMIFS(Socle!$P$1:$P$1000,Socle!$C$1:$C$1000,$A122,Socle!$D$1:$D$1000,$C122,Socle!$E$1:$E$1000,$D122,Socle!$F$1:$F$1000,$E122,Socle!$G$1:$G$1000,"2026"))</f>
        <v/>
      </c>
      <c r="J122" t="str">
        <f>IF($A122="","",SUMIFS(Socle!$W$1:$W$1000,Socle!$C$1:$C$1000,$A122,Socle!$D$1:$D$1000,$C122,Socle!$E$1:$E$1000,$D122,Socle!$F$1:$F$1000,$E122,Socle!$G$1:$G$1000,"2026"))</f>
        <v/>
      </c>
      <c r="K122" t="str">
        <f>IF($A122="","",SUMIFS(Socle!$X$1:$X$1000,Socle!$C$1:$C$1000,$A122,Socle!$D$1:$D$1000,$C122,Socle!$E$1:$E$1000,$D122,Socle!$F$1:$F$1000,$E122,Socle!$G$1:$G$1000,"2026"))</f>
        <v/>
      </c>
      <c r="L122" t="str">
        <f>IF($A122="","",SUMIFS(Socle!$Y$1:$Y$1000,Socle!$C$1:$C$1000,$A122,Socle!$D$1:$D$1000,$C122,Socle!$E$1:$E$1000,$D122,Socle!$F$1:$F$1000,$E122,Socle!$G$1:$G$1000,"2026"))</f>
        <v/>
      </c>
      <c r="M122" t="str">
        <f>IF($A122="","",SUMIFS(Socle!$V$1:$V$1000,Socle!$C$1:$C$1000,$A122,Socle!$D$1:$D$1000,$C122,Socle!$E$1:$E$1000,$D122,Socle!$F$1:$F$1000,$E122,Socle!$G$1:$G$1000,"2026"))</f>
        <v/>
      </c>
      <c r="N122" t="str">
        <f t="shared" si="14"/>
        <v/>
      </c>
      <c r="O122" t="str">
        <f>IF($A122="","",SUMIFS(Campagne!$D$1:$D$15,Campagne!$C$1:$C$15,$A122))</f>
        <v/>
      </c>
      <c r="P122" t="str">
        <f>IF($A122="","",SUMIFS(Campagne!$E$1:$E$15,Campagne!$C$1:$C$15,$A122))</f>
        <v/>
      </c>
      <c r="Q122" t="str">
        <f>IF($A122="","",SUMIFS(Campagne!$F$1:$F$15,Campagne!$C$1:$C$15,$A122))</f>
        <v/>
      </c>
      <c r="R122" t="str">
        <f>IF($A122="","",SUMIFS(Campagne!$K$1:$K$15,Campagne!$C$1:$C$15,$A122))</f>
        <v/>
      </c>
      <c r="S122" t="str">
        <f>IF($A122="","",SUMIFS(Campagne!$M$1:$M$15,Campagne!$C$1:$C$15,$A122))</f>
        <v/>
      </c>
      <c r="T122" t="str">
        <f>IF($A122="","",SUMIFS(PIL!$K$15:$K$28,PIL!$A$15:$A$28,$A122)*SUMIFS(PIL!$J$15:$J$28,PIL!$A$15:$A$28,$A122)*(SUM(PIL!$K$15:$K$28)/SUMPRODUCT(PIL!$K$15:$K$28,PIL!$J$15:$J$28)))</f>
        <v/>
      </c>
      <c r="U122" t="str">
        <f>IF($A122="","",SUMIFS(PIL!$K$15:$K$28,PIL!$A$15:$A$28,$A122))</f>
        <v/>
      </c>
      <c r="V122" t="str">
        <f t="shared" si="15"/>
        <v/>
      </c>
      <c r="W122" t="str">
        <f t="shared" si="16"/>
        <v/>
      </c>
      <c r="X122" t="str">
        <f t="shared" si="17"/>
        <v/>
      </c>
      <c r="Y122" t="str">
        <f t="shared" si="18"/>
        <v/>
      </c>
      <c r="Z122" t="str">
        <f t="shared" si="19"/>
        <v/>
      </c>
      <c r="AA122" t="str">
        <f t="shared" si="20"/>
        <v/>
      </c>
      <c r="AB122" t="str">
        <f t="shared" si="21"/>
        <v/>
      </c>
      <c r="AC122" t="str">
        <f t="shared" si="22"/>
        <v/>
      </c>
      <c r="AD122" t="str">
        <f t="shared" si="23"/>
        <v/>
      </c>
      <c r="AE122" t="str">
        <f t="shared" si="24"/>
        <v/>
      </c>
      <c r="AF122" t="str">
        <f t="shared" si="25"/>
        <v/>
      </c>
      <c r="AG122" t="str">
        <f t="shared" si="26"/>
        <v/>
      </c>
      <c r="AH122" t="str">
        <f t="shared" si="27"/>
        <v/>
      </c>
    </row>
    <row r="123" spans="1:34" x14ac:dyDescent="0.45">
      <c r="A123" t="str">
        <f>IF(Moteur!D123="","",Moteur!D123)</f>
        <v/>
      </c>
      <c r="B123" t="str">
        <f>IF(Moteur!B123="","",Moteur!B123)</f>
        <v/>
      </c>
      <c r="C123" t="str">
        <f>IF(Moteur!F123="","",Moteur!F123)</f>
        <v/>
      </c>
      <c r="D123" t="str">
        <f>IF(Moteur!G123="","",Moteur!G123)</f>
        <v/>
      </c>
      <c r="E123" t="str">
        <f>IF(Moteur!H123="","",Moteur!H123)</f>
        <v/>
      </c>
      <c r="F123" t="str">
        <f>IF(Moteur!E123="","",Moteur!E123)</f>
        <v/>
      </c>
      <c r="G123" t="str">
        <f>IF($A123="","",SUMIFS(Socle!$H$1:$H$1000,Socle!$C$1:$C$1000,$A123,Socle!$D$1:$D$1000,$C123,Socle!$E$1:$E$1000,$D123,Socle!$F$1:$F$1000,$E123,Socle!$G$1:$G$1000,"2026"))</f>
        <v/>
      </c>
      <c r="H123" t="str">
        <f>IF($A123="","",SUMIFS(Socle!$N$1:$N$1000,Socle!$C$1:$C$1000,$A123,Socle!$D$1:$D$1000,$C123,Socle!$E$1:$E$1000,$D123,Socle!$F$1:$F$1000,$E123,Socle!$G$1:$G$1000,"2026"))</f>
        <v/>
      </c>
      <c r="I123" t="str">
        <f>IF($A123="","",SUMIFS(Socle!$P$1:$P$1000,Socle!$C$1:$C$1000,$A123,Socle!$D$1:$D$1000,$C123,Socle!$E$1:$E$1000,$D123,Socle!$F$1:$F$1000,$E123,Socle!$G$1:$G$1000,"2026"))</f>
        <v/>
      </c>
      <c r="J123" t="str">
        <f>IF($A123="","",SUMIFS(Socle!$W$1:$W$1000,Socle!$C$1:$C$1000,$A123,Socle!$D$1:$D$1000,$C123,Socle!$E$1:$E$1000,$D123,Socle!$F$1:$F$1000,$E123,Socle!$G$1:$G$1000,"2026"))</f>
        <v/>
      </c>
      <c r="K123" t="str">
        <f>IF($A123="","",SUMIFS(Socle!$X$1:$X$1000,Socle!$C$1:$C$1000,$A123,Socle!$D$1:$D$1000,$C123,Socle!$E$1:$E$1000,$D123,Socle!$F$1:$F$1000,$E123,Socle!$G$1:$G$1000,"2026"))</f>
        <v/>
      </c>
      <c r="L123" t="str">
        <f>IF($A123="","",SUMIFS(Socle!$Y$1:$Y$1000,Socle!$C$1:$C$1000,$A123,Socle!$D$1:$D$1000,$C123,Socle!$E$1:$E$1000,$D123,Socle!$F$1:$F$1000,$E123,Socle!$G$1:$G$1000,"2026"))</f>
        <v/>
      </c>
      <c r="M123" t="str">
        <f>IF($A123="","",SUMIFS(Socle!$V$1:$V$1000,Socle!$C$1:$C$1000,$A123,Socle!$D$1:$D$1000,$C123,Socle!$E$1:$E$1000,$D123,Socle!$F$1:$F$1000,$E123,Socle!$G$1:$G$1000,"2026"))</f>
        <v/>
      </c>
      <c r="N123" t="str">
        <f t="shared" si="14"/>
        <v/>
      </c>
      <c r="O123" t="str">
        <f>IF($A123="","",SUMIFS(Campagne!$D$1:$D$15,Campagne!$C$1:$C$15,$A123))</f>
        <v/>
      </c>
      <c r="P123" t="str">
        <f>IF($A123="","",SUMIFS(Campagne!$E$1:$E$15,Campagne!$C$1:$C$15,$A123))</f>
        <v/>
      </c>
      <c r="Q123" t="str">
        <f>IF($A123="","",SUMIFS(Campagne!$F$1:$F$15,Campagne!$C$1:$C$15,$A123))</f>
        <v/>
      </c>
      <c r="R123" t="str">
        <f>IF($A123="","",SUMIFS(Campagne!$K$1:$K$15,Campagne!$C$1:$C$15,$A123))</f>
        <v/>
      </c>
      <c r="S123" t="str">
        <f>IF($A123="","",SUMIFS(Campagne!$M$1:$M$15,Campagne!$C$1:$C$15,$A123))</f>
        <v/>
      </c>
      <c r="T123" t="str">
        <f>IF($A123="","",SUMIFS(PIL!$K$15:$K$28,PIL!$A$15:$A$28,$A123)*SUMIFS(PIL!$J$15:$J$28,PIL!$A$15:$A$28,$A123)*(SUM(PIL!$K$15:$K$28)/SUMPRODUCT(PIL!$K$15:$K$28,PIL!$J$15:$J$28)))</f>
        <v/>
      </c>
      <c r="U123" t="str">
        <f>IF($A123="","",SUMIFS(PIL!$K$15:$K$28,PIL!$A$15:$A$28,$A123))</f>
        <v/>
      </c>
      <c r="V123" t="str">
        <f t="shared" si="15"/>
        <v/>
      </c>
      <c r="W123" t="str">
        <f t="shared" si="16"/>
        <v/>
      </c>
      <c r="X123" t="str">
        <f t="shared" si="17"/>
        <v/>
      </c>
      <c r="Y123" t="str">
        <f t="shared" si="18"/>
        <v/>
      </c>
      <c r="Z123" t="str">
        <f t="shared" si="19"/>
        <v/>
      </c>
      <c r="AA123" t="str">
        <f t="shared" si="20"/>
        <v/>
      </c>
      <c r="AB123" t="str">
        <f t="shared" si="21"/>
        <v/>
      </c>
      <c r="AC123" t="str">
        <f t="shared" si="22"/>
        <v/>
      </c>
      <c r="AD123" t="str">
        <f t="shared" si="23"/>
        <v/>
      </c>
      <c r="AE123" t="str">
        <f t="shared" si="24"/>
        <v/>
      </c>
      <c r="AF123" t="str">
        <f t="shared" si="25"/>
        <v/>
      </c>
      <c r="AG123" t="str">
        <f t="shared" si="26"/>
        <v/>
      </c>
      <c r="AH123" t="str">
        <f t="shared" si="27"/>
        <v/>
      </c>
    </row>
    <row r="124" spans="1:34" x14ac:dyDescent="0.45">
      <c r="A124" t="str">
        <f>IF(Moteur!D124="","",Moteur!D124)</f>
        <v/>
      </c>
      <c r="B124" t="str">
        <f>IF(Moteur!B124="","",Moteur!B124)</f>
        <v/>
      </c>
      <c r="C124" t="str">
        <f>IF(Moteur!F124="","",Moteur!F124)</f>
        <v/>
      </c>
      <c r="D124" t="str">
        <f>IF(Moteur!G124="","",Moteur!G124)</f>
        <v/>
      </c>
      <c r="E124" t="str">
        <f>IF(Moteur!H124="","",Moteur!H124)</f>
        <v/>
      </c>
      <c r="F124" t="str">
        <f>IF(Moteur!E124="","",Moteur!E124)</f>
        <v/>
      </c>
      <c r="G124" t="str">
        <f>IF($A124="","",SUMIFS(Socle!$H$1:$H$1000,Socle!$C$1:$C$1000,$A124,Socle!$D$1:$D$1000,$C124,Socle!$E$1:$E$1000,$D124,Socle!$F$1:$F$1000,$E124,Socle!$G$1:$G$1000,"2026"))</f>
        <v/>
      </c>
      <c r="H124" t="str">
        <f>IF($A124="","",SUMIFS(Socle!$N$1:$N$1000,Socle!$C$1:$C$1000,$A124,Socle!$D$1:$D$1000,$C124,Socle!$E$1:$E$1000,$D124,Socle!$F$1:$F$1000,$E124,Socle!$G$1:$G$1000,"2026"))</f>
        <v/>
      </c>
      <c r="I124" t="str">
        <f>IF($A124="","",SUMIFS(Socle!$P$1:$P$1000,Socle!$C$1:$C$1000,$A124,Socle!$D$1:$D$1000,$C124,Socle!$E$1:$E$1000,$D124,Socle!$F$1:$F$1000,$E124,Socle!$G$1:$G$1000,"2026"))</f>
        <v/>
      </c>
      <c r="J124" t="str">
        <f>IF($A124="","",SUMIFS(Socle!$W$1:$W$1000,Socle!$C$1:$C$1000,$A124,Socle!$D$1:$D$1000,$C124,Socle!$E$1:$E$1000,$D124,Socle!$F$1:$F$1000,$E124,Socle!$G$1:$G$1000,"2026"))</f>
        <v/>
      </c>
      <c r="K124" t="str">
        <f>IF($A124="","",SUMIFS(Socle!$X$1:$X$1000,Socle!$C$1:$C$1000,$A124,Socle!$D$1:$D$1000,$C124,Socle!$E$1:$E$1000,$D124,Socle!$F$1:$F$1000,$E124,Socle!$G$1:$G$1000,"2026"))</f>
        <v/>
      </c>
      <c r="L124" t="str">
        <f>IF($A124="","",SUMIFS(Socle!$Y$1:$Y$1000,Socle!$C$1:$C$1000,$A124,Socle!$D$1:$D$1000,$C124,Socle!$E$1:$E$1000,$D124,Socle!$F$1:$F$1000,$E124,Socle!$G$1:$G$1000,"2026"))</f>
        <v/>
      </c>
      <c r="M124" t="str">
        <f>IF($A124="","",SUMIFS(Socle!$V$1:$V$1000,Socle!$C$1:$C$1000,$A124,Socle!$D$1:$D$1000,$C124,Socle!$E$1:$E$1000,$D124,Socle!$F$1:$F$1000,$E124,Socle!$G$1:$G$1000,"2026"))</f>
        <v/>
      </c>
      <c r="N124" t="str">
        <f t="shared" si="14"/>
        <v/>
      </c>
      <c r="O124" t="str">
        <f>IF($A124="","",SUMIFS(Campagne!$D$1:$D$15,Campagne!$C$1:$C$15,$A124))</f>
        <v/>
      </c>
      <c r="P124" t="str">
        <f>IF($A124="","",SUMIFS(Campagne!$E$1:$E$15,Campagne!$C$1:$C$15,$A124))</f>
        <v/>
      </c>
      <c r="Q124" t="str">
        <f>IF($A124="","",SUMIFS(Campagne!$F$1:$F$15,Campagne!$C$1:$C$15,$A124))</f>
        <v/>
      </c>
      <c r="R124" t="str">
        <f>IF($A124="","",SUMIFS(Campagne!$K$1:$K$15,Campagne!$C$1:$C$15,$A124))</f>
        <v/>
      </c>
      <c r="S124" t="str">
        <f>IF($A124="","",SUMIFS(Campagne!$M$1:$M$15,Campagne!$C$1:$C$15,$A124))</f>
        <v/>
      </c>
      <c r="T124" t="str">
        <f>IF($A124="","",SUMIFS(PIL!$K$15:$K$28,PIL!$A$15:$A$28,$A124)*SUMIFS(PIL!$J$15:$J$28,PIL!$A$15:$A$28,$A124)*(SUM(PIL!$K$15:$K$28)/SUMPRODUCT(PIL!$K$15:$K$28,PIL!$J$15:$J$28)))</f>
        <v/>
      </c>
      <c r="U124" t="str">
        <f>IF($A124="","",SUMIFS(PIL!$K$15:$K$28,PIL!$A$15:$A$28,$A124))</f>
        <v/>
      </c>
      <c r="V124" t="str">
        <f t="shared" si="15"/>
        <v/>
      </c>
      <c r="W124" t="str">
        <f t="shared" si="16"/>
        <v/>
      </c>
      <c r="X124" t="str">
        <f t="shared" si="17"/>
        <v/>
      </c>
      <c r="Y124" t="str">
        <f t="shared" si="18"/>
        <v/>
      </c>
      <c r="Z124" t="str">
        <f t="shared" si="19"/>
        <v/>
      </c>
      <c r="AA124" t="str">
        <f t="shared" si="20"/>
        <v/>
      </c>
      <c r="AB124" t="str">
        <f t="shared" si="21"/>
        <v/>
      </c>
      <c r="AC124" t="str">
        <f t="shared" si="22"/>
        <v/>
      </c>
      <c r="AD124" t="str">
        <f t="shared" si="23"/>
        <v/>
      </c>
      <c r="AE124" t="str">
        <f t="shared" si="24"/>
        <v/>
      </c>
      <c r="AF124" t="str">
        <f t="shared" si="25"/>
        <v/>
      </c>
      <c r="AG124" t="str">
        <f t="shared" si="26"/>
        <v/>
      </c>
      <c r="AH124" t="str">
        <f t="shared" si="27"/>
        <v/>
      </c>
    </row>
    <row r="125" spans="1:34" x14ac:dyDescent="0.45">
      <c r="A125" t="str">
        <f>IF(Moteur!D125="","",Moteur!D125)</f>
        <v/>
      </c>
      <c r="B125" t="str">
        <f>IF(Moteur!B125="","",Moteur!B125)</f>
        <v/>
      </c>
      <c r="C125" t="str">
        <f>IF(Moteur!F125="","",Moteur!F125)</f>
        <v/>
      </c>
      <c r="D125" t="str">
        <f>IF(Moteur!G125="","",Moteur!G125)</f>
        <v/>
      </c>
      <c r="E125" t="str">
        <f>IF(Moteur!H125="","",Moteur!H125)</f>
        <v/>
      </c>
      <c r="F125" t="str">
        <f>IF(Moteur!E125="","",Moteur!E125)</f>
        <v/>
      </c>
      <c r="G125" t="str">
        <f>IF($A125="","",SUMIFS(Socle!$H$1:$H$1000,Socle!$C$1:$C$1000,$A125,Socle!$D$1:$D$1000,$C125,Socle!$E$1:$E$1000,$D125,Socle!$F$1:$F$1000,$E125,Socle!$G$1:$G$1000,"2026"))</f>
        <v/>
      </c>
      <c r="H125" t="str">
        <f>IF($A125="","",SUMIFS(Socle!$N$1:$N$1000,Socle!$C$1:$C$1000,$A125,Socle!$D$1:$D$1000,$C125,Socle!$E$1:$E$1000,$D125,Socle!$F$1:$F$1000,$E125,Socle!$G$1:$G$1000,"2026"))</f>
        <v/>
      </c>
      <c r="I125" t="str">
        <f>IF($A125="","",SUMIFS(Socle!$P$1:$P$1000,Socle!$C$1:$C$1000,$A125,Socle!$D$1:$D$1000,$C125,Socle!$E$1:$E$1000,$D125,Socle!$F$1:$F$1000,$E125,Socle!$G$1:$G$1000,"2026"))</f>
        <v/>
      </c>
      <c r="J125" t="str">
        <f>IF($A125="","",SUMIFS(Socle!$W$1:$W$1000,Socle!$C$1:$C$1000,$A125,Socle!$D$1:$D$1000,$C125,Socle!$E$1:$E$1000,$D125,Socle!$F$1:$F$1000,$E125,Socle!$G$1:$G$1000,"2026"))</f>
        <v/>
      </c>
      <c r="K125" t="str">
        <f>IF($A125="","",SUMIFS(Socle!$X$1:$X$1000,Socle!$C$1:$C$1000,$A125,Socle!$D$1:$D$1000,$C125,Socle!$E$1:$E$1000,$D125,Socle!$F$1:$F$1000,$E125,Socle!$G$1:$G$1000,"2026"))</f>
        <v/>
      </c>
      <c r="L125" t="str">
        <f>IF($A125="","",SUMIFS(Socle!$Y$1:$Y$1000,Socle!$C$1:$C$1000,$A125,Socle!$D$1:$D$1000,$C125,Socle!$E$1:$E$1000,$D125,Socle!$F$1:$F$1000,$E125,Socle!$G$1:$G$1000,"2026"))</f>
        <v/>
      </c>
      <c r="M125" t="str">
        <f>IF($A125="","",SUMIFS(Socle!$V$1:$V$1000,Socle!$C$1:$C$1000,$A125,Socle!$D$1:$D$1000,$C125,Socle!$E$1:$E$1000,$D125,Socle!$F$1:$F$1000,$E125,Socle!$G$1:$G$1000,"2026"))</f>
        <v/>
      </c>
      <c r="N125" t="str">
        <f t="shared" si="14"/>
        <v/>
      </c>
      <c r="O125" t="str">
        <f>IF($A125="","",SUMIFS(Campagne!$D$1:$D$15,Campagne!$C$1:$C$15,$A125))</f>
        <v/>
      </c>
      <c r="P125" t="str">
        <f>IF($A125="","",SUMIFS(Campagne!$E$1:$E$15,Campagne!$C$1:$C$15,$A125))</f>
        <v/>
      </c>
      <c r="Q125" t="str">
        <f>IF($A125="","",SUMIFS(Campagne!$F$1:$F$15,Campagne!$C$1:$C$15,$A125))</f>
        <v/>
      </c>
      <c r="R125" t="str">
        <f>IF($A125="","",SUMIFS(Campagne!$K$1:$K$15,Campagne!$C$1:$C$15,$A125))</f>
        <v/>
      </c>
      <c r="S125" t="str">
        <f>IF($A125="","",SUMIFS(Campagne!$M$1:$M$15,Campagne!$C$1:$C$15,$A125))</f>
        <v/>
      </c>
      <c r="T125" t="str">
        <f>IF($A125="","",SUMIFS(PIL!$K$15:$K$28,PIL!$A$15:$A$28,$A125)*SUMIFS(PIL!$J$15:$J$28,PIL!$A$15:$A$28,$A125)*(SUM(PIL!$K$15:$K$28)/SUMPRODUCT(PIL!$K$15:$K$28,PIL!$J$15:$J$28)))</f>
        <v/>
      </c>
      <c r="U125" t="str">
        <f>IF($A125="","",SUMIFS(PIL!$K$15:$K$28,PIL!$A$15:$A$28,$A125))</f>
        <v/>
      </c>
      <c r="V125" t="str">
        <f t="shared" si="15"/>
        <v/>
      </c>
      <c r="W125" t="str">
        <f t="shared" si="16"/>
        <v/>
      </c>
      <c r="X125" t="str">
        <f t="shared" si="17"/>
        <v/>
      </c>
      <c r="Y125" t="str">
        <f t="shared" si="18"/>
        <v/>
      </c>
      <c r="Z125" t="str">
        <f t="shared" si="19"/>
        <v/>
      </c>
      <c r="AA125" t="str">
        <f t="shared" si="20"/>
        <v/>
      </c>
      <c r="AB125" t="str">
        <f t="shared" si="21"/>
        <v/>
      </c>
      <c r="AC125" t="str">
        <f t="shared" si="22"/>
        <v/>
      </c>
      <c r="AD125" t="str">
        <f t="shared" si="23"/>
        <v/>
      </c>
      <c r="AE125" t="str">
        <f t="shared" si="24"/>
        <v/>
      </c>
      <c r="AF125" t="str">
        <f t="shared" si="25"/>
        <v/>
      </c>
      <c r="AG125" t="str">
        <f t="shared" si="26"/>
        <v/>
      </c>
      <c r="AH125" t="str">
        <f t="shared" si="27"/>
        <v/>
      </c>
    </row>
    <row r="126" spans="1:34" x14ac:dyDescent="0.45">
      <c r="A126" t="str">
        <f>IF(Moteur!D126="","",Moteur!D126)</f>
        <v/>
      </c>
      <c r="B126" t="str">
        <f>IF(Moteur!B126="","",Moteur!B126)</f>
        <v/>
      </c>
      <c r="C126" t="str">
        <f>IF(Moteur!F126="","",Moteur!F126)</f>
        <v/>
      </c>
      <c r="D126" t="str">
        <f>IF(Moteur!G126="","",Moteur!G126)</f>
        <v/>
      </c>
      <c r="E126" t="str">
        <f>IF(Moteur!H126="","",Moteur!H126)</f>
        <v/>
      </c>
      <c r="F126" t="str">
        <f>IF(Moteur!E126="","",Moteur!E126)</f>
        <v/>
      </c>
      <c r="G126" t="str">
        <f>IF($A126="","",SUMIFS(Socle!$H$1:$H$1000,Socle!$C$1:$C$1000,$A126,Socle!$D$1:$D$1000,$C126,Socle!$E$1:$E$1000,$D126,Socle!$F$1:$F$1000,$E126,Socle!$G$1:$G$1000,"2026"))</f>
        <v/>
      </c>
      <c r="H126" t="str">
        <f>IF($A126="","",SUMIFS(Socle!$N$1:$N$1000,Socle!$C$1:$C$1000,$A126,Socle!$D$1:$D$1000,$C126,Socle!$E$1:$E$1000,$D126,Socle!$F$1:$F$1000,$E126,Socle!$G$1:$G$1000,"2026"))</f>
        <v/>
      </c>
      <c r="I126" t="str">
        <f>IF($A126="","",SUMIFS(Socle!$P$1:$P$1000,Socle!$C$1:$C$1000,$A126,Socle!$D$1:$D$1000,$C126,Socle!$E$1:$E$1000,$D126,Socle!$F$1:$F$1000,$E126,Socle!$G$1:$G$1000,"2026"))</f>
        <v/>
      </c>
      <c r="J126" t="str">
        <f>IF($A126="","",SUMIFS(Socle!$W$1:$W$1000,Socle!$C$1:$C$1000,$A126,Socle!$D$1:$D$1000,$C126,Socle!$E$1:$E$1000,$D126,Socle!$F$1:$F$1000,$E126,Socle!$G$1:$G$1000,"2026"))</f>
        <v/>
      </c>
      <c r="K126" t="str">
        <f>IF($A126="","",SUMIFS(Socle!$X$1:$X$1000,Socle!$C$1:$C$1000,$A126,Socle!$D$1:$D$1000,$C126,Socle!$E$1:$E$1000,$D126,Socle!$F$1:$F$1000,$E126,Socle!$G$1:$G$1000,"2026"))</f>
        <v/>
      </c>
      <c r="L126" t="str">
        <f>IF($A126="","",SUMIFS(Socle!$Y$1:$Y$1000,Socle!$C$1:$C$1000,$A126,Socle!$D$1:$D$1000,$C126,Socle!$E$1:$E$1000,$D126,Socle!$F$1:$F$1000,$E126,Socle!$G$1:$G$1000,"2026"))</f>
        <v/>
      </c>
      <c r="M126" t="str">
        <f>IF($A126="","",SUMIFS(Socle!$V$1:$V$1000,Socle!$C$1:$C$1000,$A126,Socle!$D$1:$D$1000,$C126,Socle!$E$1:$E$1000,$D126,Socle!$F$1:$F$1000,$E126,Socle!$G$1:$G$1000,"2026"))</f>
        <v/>
      </c>
      <c r="N126" t="str">
        <f t="shared" si="14"/>
        <v/>
      </c>
      <c r="O126" t="str">
        <f>IF($A126="","",SUMIFS(Campagne!$D$1:$D$15,Campagne!$C$1:$C$15,$A126))</f>
        <v/>
      </c>
      <c r="P126" t="str">
        <f>IF($A126="","",SUMIFS(Campagne!$E$1:$E$15,Campagne!$C$1:$C$15,$A126))</f>
        <v/>
      </c>
      <c r="Q126" t="str">
        <f>IF($A126="","",SUMIFS(Campagne!$F$1:$F$15,Campagne!$C$1:$C$15,$A126))</f>
        <v/>
      </c>
      <c r="R126" t="str">
        <f>IF($A126="","",SUMIFS(Campagne!$K$1:$K$15,Campagne!$C$1:$C$15,$A126))</f>
        <v/>
      </c>
      <c r="S126" t="str">
        <f>IF($A126="","",SUMIFS(Campagne!$M$1:$M$15,Campagne!$C$1:$C$15,$A126))</f>
        <v/>
      </c>
      <c r="T126" t="str">
        <f>IF($A126="","",SUMIFS(PIL!$K$15:$K$28,PIL!$A$15:$A$28,$A126)*SUMIFS(PIL!$J$15:$J$28,PIL!$A$15:$A$28,$A126)*(SUM(PIL!$K$15:$K$28)/SUMPRODUCT(PIL!$K$15:$K$28,PIL!$J$15:$J$28)))</f>
        <v/>
      </c>
      <c r="U126" t="str">
        <f>IF($A126="","",SUMIFS(PIL!$K$15:$K$28,PIL!$A$15:$A$28,$A126))</f>
        <v/>
      </c>
      <c r="V126" t="str">
        <f t="shared" si="15"/>
        <v/>
      </c>
      <c r="W126" t="str">
        <f t="shared" si="16"/>
        <v/>
      </c>
      <c r="X126" t="str">
        <f t="shared" si="17"/>
        <v/>
      </c>
      <c r="Y126" t="str">
        <f t="shared" si="18"/>
        <v/>
      </c>
      <c r="Z126" t="str">
        <f t="shared" si="19"/>
        <v/>
      </c>
      <c r="AA126" t="str">
        <f t="shared" si="20"/>
        <v/>
      </c>
      <c r="AB126" t="str">
        <f t="shared" si="21"/>
        <v/>
      </c>
      <c r="AC126" t="str">
        <f t="shared" si="22"/>
        <v/>
      </c>
      <c r="AD126" t="str">
        <f t="shared" si="23"/>
        <v/>
      </c>
      <c r="AE126" t="str">
        <f t="shared" si="24"/>
        <v/>
      </c>
      <c r="AF126" t="str">
        <f t="shared" si="25"/>
        <v/>
      </c>
      <c r="AG126" t="str">
        <f t="shared" si="26"/>
        <v/>
      </c>
      <c r="AH126" t="str">
        <f t="shared" si="27"/>
        <v/>
      </c>
    </row>
    <row r="127" spans="1:34" x14ac:dyDescent="0.45">
      <c r="A127" t="str">
        <f>IF(Moteur!D127="","",Moteur!D127)</f>
        <v/>
      </c>
      <c r="B127" t="str">
        <f>IF(Moteur!B127="","",Moteur!B127)</f>
        <v/>
      </c>
      <c r="C127" t="str">
        <f>IF(Moteur!F127="","",Moteur!F127)</f>
        <v/>
      </c>
      <c r="D127" t="str">
        <f>IF(Moteur!G127="","",Moteur!G127)</f>
        <v/>
      </c>
      <c r="E127" t="str">
        <f>IF(Moteur!H127="","",Moteur!H127)</f>
        <v/>
      </c>
      <c r="F127" t="str">
        <f>IF(Moteur!E127="","",Moteur!E127)</f>
        <v/>
      </c>
      <c r="G127" t="str">
        <f>IF($A127="","",SUMIFS(Socle!$H$1:$H$1000,Socle!$C$1:$C$1000,$A127,Socle!$D$1:$D$1000,$C127,Socle!$E$1:$E$1000,$D127,Socle!$F$1:$F$1000,$E127,Socle!$G$1:$G$1000,"2026"))</f>
        <v/>
      </c>
      <c r="H127" t="str">
        <f>IF($A127="","",SUMIFS(Socle!$N$1:$N$1000,Socle!$C$1:$C$1000,$A127,Socle!$D$1:$D$1000,$C127,Socle!$E$1:$E$1000,$D127,Socle!$F$1:$F$1000,$E127,Socle!$G$1:$G$1000,"2026"))</f>
        <v/>
      </c>
      <c r="I127" t="str">
        <f>IF($A127="","",SUMIFS(Socle!$P$1:$P$1000,Socle!$C$1:$C$1000,$A127,Socle!$D$1:$D$1000,$C127,Socle!$E$1:$E$1000,$D127,Socle!$F$1:$F$1000,$E127,Socle!$G$1:$G$1000,"2026"))</f>
        <v/>
      </c>
      <c r="J127" t="str">
        <f>IF($A127="","",SUMIFS(Socle!$W$1:$W$1000,Socle!$C$1:$C$1000,$A127,Socle!$D$1:$D$1000,$C127,Socle!$E$1:$E$1000,$D127,Socle!$F$1:$F$1000,$E127,Socle!$G$1:$G$1000,"2026"))</f>
        <v/>
      </c>
      <c r="K127" t="str">
        <f>IF($A127="","",SUMIFS(Socle!$X$1:$X$1000,Socle!$C$1:$C$1000,$A127,Socle!$D$1:$D$1000,$C127,Socle!$E$1:$E$1000,$D127,Socle!$F$1:$F$1000,$E127,Socle!$G$1:$G$1000,"2026"))</f>
        <v/>
      </c>
      <c r="L127" t="str">
        <f>IF($A127="","",SUMIFS(Socle!$Y$1:$Y$1000,Socle!$C$1:$C$1000,$A127,Socle!$D$1:$D$1000,$C127,Socle!$E$1:$E$1000,$D127,Socle!$F$1:$F$1000,$E127,Socle!$G$1:$G$1000,"2026"))</f>
        <v/>
      </c>
      <c r="M127" t="str">
        <f>IF($A127="","",SUMIFS(Socle!$V$1:$V$1000,Socle!$C$1:$C$1000,$A127,Socle!$D$1:$D$1000,$C127,Socle!$E$1:$E$1000,$D127,Socle!$F$1:$F$1000,$E127,Socle!$G$1:$G$1000,"2026"))</f>
        <v/>
      </c>
      <c r="N127" t="str">
        <f t="shared" si="14"/>
        <v/>
      </c>
      <c r="O127" t="str">
        <f>IF($A127="","",SUMIFS(Campagne!$D$1:$D$15,Campagne!$C$1:$C$15,$A127))</f>
        <v/>
      </c>
      <c r="P127" t="str">
        <f>IF($A127="","",SUMIFS(Campagne!$E$1:$E$15,Campagne!$C$1:$C$15,$A127))</f>
        <v/>
      </c>
      <c r="Q127" t="str">
        <f>IF($A127="","",SUMIFS(Campagne!$F$1:$F$15,Campagne!$C$1:$C$15,$A127))</f>
        <v/>
      </c>
      <c r="R127" t="str">
        <f>IF($A127="","",SUMIFS(Campagne!$K$1:$K$15,Campagne!$C$1:$C$15,$A127))</f>
        <v/>
      </c>
      <c r="S127" t="str">
        <f>IF($A127="","",SUMIFS(Campagne!$M$1:$M$15,Campagne!$C$1:$C$15,$A127))</f>
        <v/>
      </c>
      <c r="T127" t="str">
        <f>IF($A127="","",SUMIFS(PIL!$K$15:$K$28,PIL!$A$15:$A$28,$A127)*SUMIFS(PIL!$J$15:$J$28,PIL!$A$15:$A$28,$A127)*(SUM(PIL!$K$15:$K$28)/SUMPRODUCT(PIL!$K$15:$K$28,PIL!$J$15:$J$28)))</f>
        <v/>
      </c>
      <c r="U127" t="str">
        <f>IF($A127="","",SUMIFS(PIL!$K$15:$K$28,PIL!$A$15:$A$28,$A127))</f>
        <v/>
      </c>
      <c r="V127" t="str">
        <f t="shared" si="15"/>
        <v/>
      </c>
      <c r="W127" t="str">
        <f t="shared" si="16"/>
        <v/>
      </c>
      <c r="X127" t="str">
        <f t="shared" si="17"/>
        <v/>
      </c>
      <c r="Y127" t="str">
        <f t="shared" si="18"/>
        <v/>
      </c>
      <c r="Z127" t="str">
        <f t="shared" si="19"/>
        <v/>
      </c>
      <c r="AA127" t="str">
        <f t="shared" si="20"/>
        <v/>
      </c>
      <c r="AB127" t="str">
        <f t="shared" si="21"/>
        <v/>
      </c>
      <c r="AC127" t="str">
        <f t="shared" si="22"/>
        <v/>
      </c>
      <c r="AD127" t="str">
        <f t="shared" si="23"/>
        <v/>
      </c>
      <c r="AE127" t="str">
        <f t="shared" si="24"/>
        <v/>
      </c>
      <c r="AF127" t="str">
        <f t="shared" si="25"/>
        <v/>
      </c>
      <c r="AG127" t="str">
        <f t="shared" si="26"/>
        <v/>
      </c>
      <c r="AH127" t="str">
        <f t="shared" si="27"/>
        <v/>
      </c>
    </row>
    <row r="128" spans="1:34" x14ac:dyDescent="0.45">
      <c r="A128" t="str">
        <f>IF(Moteur!D128="","",Moteur!D128)</f>
        <v/>
      </c>
      <c r="B128" t="str">
        <f>IF(Moteur!B128="","",Moteur!B128)</f>
        <v/>
      </c>
      <c r="C128" t="str">
        <f>IF(Moteur!F128="","",Moteur!F128)</f>
        <v/>
      </c>
      <c r="D128" t="str">
        <f>IF(Moteur!G128="","",Moteur!G128)</f>
        <v/>
      </c>
      <c r="E128" t="str">
        <f>IF(Moteur!H128="","",Moteur!H128)</f>
        <v/>
      </c>
      <c r="F128" t="str">
        <f>IF(Moteur!E128="","",Moteur!E128)</f>
        <v/>
      </c>
      <c r="G128" t="str">
        <f>IF($A128="","",SUMIFS(Socle!$H$1:$H$1000,Socle!$C$1:$C$1000,$A128,Socle!$D$1:$D$1000,$C128,Socle!$E$1:$E$1000,$D128,Socle!$F$1:$F$1000,$E128,Socle!$G$1:$G$1000,"2026"))</f>
        <v/>
      </c>
      <c r="H128" t="str">
        <f>IF($A128="","",SUMIFS(Socle!$N$1:$N$1000,Socle!$C$1:$C$1000,$A128,Socle!$D$1:$D$1000,$C128,Socle!$E$1:$E$1000,$D128,Socle!$F$1:$F$1000,$E128,Socle!$G$1:$G$1000,"2026"))</f>
        <v/>
      </c>
      <c r="I128" t="str">
        <f>IF($A128="","",SUMIFS(Socle!$P$1:$P$1000,Socle!$C$1:$C$1000,$A128,Socle!$D$1:$D$1000,$C128,Socle!$E$1:$E$1000,$D128,Socle!$F$1:$F$1000,$E128,Socle!$G$1:$G$1000,"2026"))</f>
        <v/>
      </c>
      <c r="J128" t="str">
        <f>IF($A128="","",SUMIFS(Socle!$W$1:$W$1000,Socle!$C$1:$C$1000,$A128,Socle!$D$1:$D$1000,$C128,Socle!$E$1:$E$1000,$D128,Socle!$F$1:$F$1000,$E128,Socle!$G$1:$G$1000,"2026"))</f>
        <v/>
      </c>
      <c r="K128" t="str">
        <f>IF($A128="","",SUMIFS(Socle!$X$1:$X$1000,Socle!$C$1:$C$1000,$A128,Socle!$D$1:$D$1000,$C128,Socle!$E$1:$E$1000,$D128,Socle!$F$1:$F$1000,$E128,Socle!$G$1:$G$1000,"2026"))</f>
        <v/>
      </c>
      <c r="L128" t="str">
        <f>IF($A128="","",SUMIFS(Socle!$Y$1:$Y$1000,Socle!$C$1:$C$1000,$A128,Socle!$D$1:$D$1000,$C128,Socle!$E$1:$E$1000,$D128,Socle!$F$1:$F$1000,$E128,Socle!$G$1:$G$1000,"2026"))</f>
        <v/>
      </c>
      <c r="M128" t="str">
        <f>IF($A128="","",SUMIFS(Socle!$V$1:$V$1000,Socle!$C$1:$C$1000,$A128,Socle!$D$1:$D$1000,$C128,Socle!$E$1:$E$1000,$D128,Socle!$F$1:$F$1000,$E128,Socle!$G$1:$G$1000,"2026"))</f>
        <v/>
      </c>
      <c r="N128" t="str">
        <f t="shared" si="14"/>
        <v/>
      </c>
      <c r="O128" t="str">
        <f>IF($A128="","",SUMIFS(Campagne!$D$1:$D$15,Campagne!$C$1:$C$15,$A128))</f>
        <v/>
      </c>
      <c r="P128" t="str">
        <f>IF($A128="","",SUMIFS(Campagne!$E$1:$E$15,Campagne!$C$1:$C$15,$A128))</f>
        <v/>
      </c>
      <c r="Q128" t="str">
        <f>IF($A128="","",SUMIFS(Campagne!$F$1:$F$15,Campagne!$C$1:$C$15,$A128))</f>
        <v/>
      </c>
      <c r="R128" t="str">
        <f>IF($A128="","",SUMIFS(Campagne!$K$1:$K$15,Campagne!$C$1:$C$15,$A128))</f>
        <v/>
      </c>
      <c r="S128" t="str">
        <f>IF($A128="","",SUMIFS(Campagne!$M$1:$M$15,Campagne!$C$1:$C$15,$A128))</f>
        <v/>
      </c>
      <c r="T128" t="str">
        <f>IF($A128="","",SUMIFS(PIL!$K$15:$K$28,PIL!$A$15:$A$28,$A128)*SUMIFS(PIL!$J$15:$J$28,PIL!$A$15:$A$28,$A128)*(SUM(PIL!$K$15:$K$28)/SUMPRODUCT(PIL!$K$15:$K$28,PIL!$J$15:$J$28)))</f>
        <v/>
      </c>
      <c r="U128" t="str">
        <f>IF($A128="","",SUMIFS(PIL!$K$15:$K$28,PIL!$A$15:$A$28,$A128))</f>
        <v/>
      </c>
      <c r="V128" t="str">
        <f t="shared" si="15"/>
        <v/>
      </c>
      <c r="W128" t="str">
        <f t="shared" si="16"/>
        <v/>
      </c>
      <c r="X128" t="str">
        <f t="shared" si="17"/>
        <v/>
      </c>
      <c r="Y128" t="str">
        <f t="shared" si="18"/>
        <v/>
      </c>
      <c r="Z128" t="str">
        <f t="shared" si="19"/>
        <v/>
      </c>
      <c r="AA128" t="str">
        <f t="shared" si="20"/>
        <v/>
      </c>
      <c r="AB128" t="str">
        <f t="shared" si="21"/>
        <v/>
      </c>
      <c r="AC128" t="str">
        <f t="shared" si="22"/>
        <v/>
      </c>
      <c r="AD128" t="str">
        <f t="shared" si="23"/>
        <v/>
      </c>
      <c r="AE128" t="str">
        <f t="shared" si="24"/>
        <v/>
      </c>
      <c r="AF128" t="str">
        <f t="shared" si="25"/>
        <v/>
      </c>
      <c r="AG128" t="str">
        <f t="shared" si="26"/>
        <v/>
      </c>
      <c r="AH128" t="str">
        <f t="shared" si="27"/>
        <v/>
      </c>
    </row>
    <row r="129" spans="1:34" x14ac:dyDescent="0.45">
      <c r="A129" t="str">
        <f>IF(Moteur!D129="","",Moteur!D129)</f>
        <v/>
      </c>
      <c r="B129" t="str">
        <f>IF(Moteur!B129="","",Moteur!B129)</f>
        <v/>
      </c>
      <c r="C129" t="str">
        <f>IF(Moteur!F129="","",Moteur!F129)</f>
        <v/>
      </c>
      <c r="D129" t="str">
        <f>IF(Moteur!G129="","",Moteur!G129)</f>
        <v/>
      </c>
      <c r="E129" t="str">
        <f>IF(Moteur!H129="","",Moteur!H129)</f>
        <v/>
      </c>
      <c r="F129" t="str">
        <f>IF(Moteur!E129="","",Moteur!E129)</f>
        <v/>
      </c>
      <c r="G129" t="str">
        <f>IF($A129="","",SUMIFS(Socle!$H$1:$H$1000,Socle!$C$1:$C$1000,$A129,Socle!$D$1:$D$1000,$C129,Socle!$E$1:$E$1000,$D129,Socle!$F$1:$F$1000,$E129,Socle!$G$1:$G$1000,"2026"))</f>
        <v/>
      </c>
      <c r="H129" t="str">
        <f>IF($A129="","",SUMIFS(Socle!$N$1:$N$1000,Socle!$C$1:$C$1000,$A129,Socle!$D$1:$D$1000,$C129,Socle!$E$1:$E$1000,$D129,Socle!$F$1:$F$1000,$E129,Socle!$G$1:$G$1000,"2026"))</f>
        <v/>
      </c>
      <c r="I129" t="str">
        <f>IF($A129="","",SUMIFS(Socle!$P$1:$P$1000,Socle!$C$1:$C$1000,$A129,Socle!$D$1:$D$1000,$C129,Socle!$E$1:$E$1000,$D129,Socle!$F$1:$F$1000,$E129,Socle!$G$1:$G$1000,"2026"))</f>
        <v/>
      </c>
      <c r="J129" t="str">
        <f>IF($A129="","",SUMIFS(Socle!$W$1:$W$1000,Socle!$C$1:$C$1000,$A129,Socle!$D$1:$D$1000,$C129,Socle!$E$1:$E$1000,$D129,Socle!$F$1:$F$1000,$E129,Socle!$G$1:$G$1000,"2026"))</f>
        <v/>
      </c>
      <c r="K129" t="str">
        <f>IF($A129="","",SUMIFS(Socle!$X$1:$X$1000,Socle!$C$1:$C$1000,$A129,Socle!$D$1:$D$1000,$C129,Socle!$E$1:$E$1000,$D129,Socle!$F$1:$F$1000,$E129,Socle!$G$1:$G$1000,"2026"))</f>
        <v/>
      </c>
      <c r="L129" t="str">
        <f>IF($A129="","",SUMIFS(Socle!$Y$1:$Y$1000,Socle!$C$1:$C$1000,$A129,Socle!$D$1:$D$1000,$C129,Socle!$E$1:$E$1000,$D129,Socle!$F$1:$F$1000,$E129,Socle!$G$1:$G$1000,"2026"))</f>
        <v/>
      </c>
      <c r="M129" t="str">
        <f>IF($A129="","",SUMIFS(Socle!$V$1:$V$1000,Socle!$C$1:$C$1000,$A129,Socle!$D$1:$D$1000,$C129,Socle!$E$1:$E$1000,$D129,Socle!$F$1:$F$1000,$E129,Socle!$G$1:$G$1000,"2026"))</f>
        <v/>
      </c>
      <c r="N129" t="str">
        <f t="shared" si="14"/>
        <v/>
      </c>
      <c r="O129" t="str">
        <f>IF($A129="","",SUMIFS(Campagne!$D$1:$D$15,Campagne!$C$1:$C$15,$A129))</f>
        <v/>
      </c>
      <c r="P129" t="str">
        <f>IF($A129="","",SUMIFS(Campagne!$E$1:$E$15,Campagne!$C$1:$C$15,$A129))</f>
        <v/>
      </c>
      <c r="Q129" t="str">
        <f>IF($A129="","",SUMIFS(Campagne!$F$1:$F$15,Campagne!$C$1:$C$15,$A129))</f>
        <v/>
      </c>
      <c r="R129" t="str">
        <f>IF($A129="","",SUMIFS(Campagne!$K$1:$K$15,Campagne!$C$1:$C$15,$A129))</f>
        <v/>
      </c>
      <c r="S129" t="str">
        <f>IF($A129="","",SUMIFS(Campagne!$M$1:$M$15,Campagne!$C$1:$C$15,$A129))</f>
        <v/>
      </c>
      <c r="T129" t="str">
        <f>IF($A129="","",SUMIFS(PIL!$K$15:$K$28,PIL!$A$15:$A$28,$A129)*SUMIFS(PIL!$J$15:$J$28,PIL!$A$15:$A$28,$A129)*(SUM(PIL!$K$15:$K$28)/SUMPRODUCT(PIL!$K$15:$K$28,PIL!$J$15:$J$28)))</f>
        <v/>
      </c>
      <c r="U129" t="str">
        <f>IF($A129="","",SUMIFS(PIL!$K$15:$K$28,PIL!$A$15:$A$28,$A129))</f>
        <v/>
      </c>
      <c r="V129" t="str">
        <f t="shared" si="15"/>
        <v/>
      </c>
      <c r="W129" t="str">
        <f t="shared" si="16"/>
        <v/>
      </c>
      <c r="X129" t="str">
        <f t="shared" si="17"/>
        <v/>
      </c>
      <c r="Y129" t="str">
        <f t="shared" si="18"/>
        <v/>
      </c>
      <c r="Z129" t="str">
        <f t="shared" si="19"/>
        <v/>
      </c>
      <c r="AA129" t="str">
        <f t="shared" si="20"/>
        <v/>
      </c>
      <c r="AB129" t="str">
        <f t="shared" si="21"/>
        <v/>
      </c>
      <c r="AC129" t="str">
        <f t="shared" si="22"/>
        <v/>
      </c>
      <c r="AD129" t="str">
        <f t="shared" si="23"/>
        <v/>
      </c>
      <c r="AE129" t="str">
        <f t="shared" si="24"/>
        <v/>
      </c>
      <c r="AF129" t="str">
        <f t="shared" si="25"/>
        <v/>
      </c>
      <c r="AG129" t="str">
        <f t="shared" si="26"/>
        <v/>
      </c>
      <c r="AH129" t="str">
        <f t="shared" si="27"/>
        <v/>
      </c>
    </row>
    <row r="130" spans="1:34" x14ac:dyDescent="0.45">
      <c r="A130" t="str">
        <f>IF(Moteur!D130="","",Moteur!D130)</f>
        <v/>
      </c>
      <c r="B130" t="str">
        <f>IF(Moteur!B130="","",Moteur!B130)</f>
        <v/>
      </c>
      <c r="C130" t="str">
        <f>IF(Moteur!F130="","",Moteur!F130)</f>
        <v/>
      </c>
      <c r="D130" t="str">
        <f>IF(Moteur!G130="","",Moteur!G130)</f>
        <v/>
      </c>
      <c r="E130" t="str">
        <f>IF(Moteur!H130="","",Moteur!H130)</f>
        <v/>
      </c>
      <c r="F130" t="str">
        <f>IF(Moteur!E130="","",Moteur!E130)</f>
        <v/>
      </c>
      <c r="G130" t="str">
        <f>IF($A130="","",SUMIFS(Socle!$H$1:$H$1000,Socle!$C$1:$C$1000,$A130,Socle!$D$1:$D$1000,$C130,Socle!$E$1:$E$1000,$D130,Socle!$F$1:$F$1000,$E130,Socle!$G$1:$G$1000,"2026"))</f>
        <v/>
      </c>
      <c r="H130" t="str">
        <f>IF($A130="","",SUMIFS(Socle!$N$1:$N$1000,Socle!$C$1:$C$1000,$A130,Socle!$D$1:$D$1000,$C130,Socle!$E$1:$E$1000,$D130,Socle!$F$1:$F$1000,$E130,Socle!$G$1:$G$1000,"2026"))</f>
        <v/>
      </c>
      <c r="I130" t="str">
        <f>IF($A130="","",SUMIFS(Socle!$P$1:$P$1000,Socle!$C$1:$C$1000,$A130,Socle!$D$1:$D$1000,$C130,Socle!$E$1:$E$1000,$D130,Socle!$F$1:$F$1000,$E130,Socle!$G$1:$G$1000,"2026"))</f>
        <v/>
      </c>
      <c r="J130" t="str">
        <f>IF($A130="","",SUMIFS(Socle!$W$1:$W$1000,Socle!$C$1:$C$1000,$A130,Socle!$D$1:$D$1000,$C130,Socle!$E$1:$E$1000,$D130,Socle!$F$1:$F$1000,$E130,Socle!$G$1:$G$1000,"2026"))</f>
        <v/>
      </c>
      <c r="K130" t="str">
        <f>IF($A130="","",SUMIFS(Socle!$X$1:$X$1000,Socle!$C$1:$C$1000,$A130,Socle!$D$1:$D$1000,$C130,Socle!$E$1:$E$1000,$D130,Socle!$F$1:$F$1000,$E130,Socle!$G$1:$G$1000,"2026"))</f>
        <v/>
      </c>
      <c r="L130" t="str">
        <f>IF($A130="","",SUMIFS(Socle!$Y$1:$Y$1000,Socle!$C$1:$C$1000,$A130,Socle!$D$1:$D$1000,$C130,Socle!$E$1:$E$1000,$D130,Socle!$F$1:$F$1000,$E130,Socle!$G$1:$G$1000,"2026"))</f>
        <v/>
      </c>
      <c r="M130" t="str">
        <f>IF($A130="","",SUMIFS(Socle!$V$1:$V$1000,Socle!$C$1:$C$1000,$A130,Socle!$D$1:$D$1000,$C130,Socle!$E$1:$E$1000,$D130,Socle!$F$1:$F$1000,$E130,Socle!$G$1:$G$1000,"2026"))</f>
        <v/>
      </c>
      <c r="N130" t="str">
        <f t="shared" ref="N130:N175" si="28">IF($A130="","",IF(OR($D130="B1",$D130="M1",$D130="BTS1"),1,0))</f>
        <v/>
      </c>
      <c r="O130" t="str">
        <f>IF($A130="","",SUMIFS(Campagne!$D$1:$D$15,Campagne!$C$1:$C$15,$A130))</f>
        <v/>
      </c>
      <c r="P130" t="str">
        <f>IF($A130="","",SUMIFS(Campagne!$E$1:$E$15,Campagne!$C$1:$C$15,$A130))</f>
        <v/>
      </c>
      <c r="Q130" t="str">
        <f>IF($A130="","",SUMIFS(Campagne!$F$1:$F$15,Campagne!$C$1:$C$15,$A130))</f>
        <v/>
      </c>
      <c r="R130" t="str">
        <f>IF($A130="","",SUMIFS(Campagne!$K$1:$K$15,Campagne!$C$1:$C$15,$A130))</f>
        <v/>
      </c>
      <c r="S130" t="str">
        <f>IF($A130="","",SUMIFS(Campagne!$M$1:$M$15,Campagne!$C$1:$C$15,$A130))</f>
        <v/>
      </c>
      <c r="T130" t="str">
        <f>IF($A130="","",SUMIFS(PIL!$K$15:$K$28,PIL!$A$15:$A$28,$A130)*SUMIFS(PIL!$J$15:$J$28,PIL!$A$15:$A$28,$A130)*(SUM(PIL!$K$15:$K$28)/SUMPRODUCT(PIL!$K$15:$K$28,PIL!$J$15:$J$28)))</f>
        <v/>
      </c>
      <c r="U130" t="str">
        <f>IF($A130="","",SUMIFS(PIL!$K$15:$K$28,PIL!$A$15:$A$28,$A130))</f>
        <v/>
      </c>
      <c r="V130" t="str">
        <f t="shared" ref="V130:V175" si="29">IF($A130="","",IF($B130="V01",cad!$C$23,IF($B130="V02",cad!$D$23,cad!$E$23)))</f>
        <v/>
      </c>
      <c r="W130" t="str">
        <f t="shared" ref="W130:W175" si="30">IF($A130="","",IF($B130="V01",cad!$C$24,IF($B130="V02",cad!$D$24,cad!$E$24)))</f>
        <v/>
      </c>
      <c r="X130" t="str">
        <f t="shared" ref="X130:X175" si="31">IF($A130="","",IF($B130="V01",cad!$C$25,IF($B130="V02",cad!$D$25,cad!$E$25)))</f>
        <v/>
      </c>
      <c r="Y130" t="str">
        <f t="shared" ref="Y130:Y175" si="32">IF($A130="","",IF($B130="V01",cad!$C$26,IF($B130="V02",cad!$D$26,cad!$E$26)))</f>
        <v/>
      </c>
      <c r="Z130" t="str">
        <f t="shared" ref="Z130:Z175" si="33">IF($A130="","",IF($B130="V01",cad!$C$27,IF($B130="V02",cad!$D$27,cad!$E$27)))</f>
        <v/>
      </c>
      <c r="AA130" t="str">
        <f t="shared" ref="AA130:AA175" si="34">IF($A130="","",IF($B130="V01",cad!$C$28,IF($B130="V02",cad!$D$28,cad!$E$28)))</f>
        <v/>
      </c>
      <c r="AB130" t="str">
        <f t="shared" ref="AB130:AB175" si="35">IF($A130="","",IF($B130="V01",cad!$C$39,IF($B130="V02",cad!$D$39,cad!$E$39)))</f>
        <v/>
      </c>
      <c r="AC130" t="str">
        <f t="shared" ref="AC130:AC175" si="36">IF($A130="","",IF($F130="MBWAY",cad!$J$12,IF($F130="ISCOM",cad!$J$13,IF($F130="IPAC",cad!$J$14,IF($F130="PIGIER",cad!$J$15,cad!$J$16)))))</f>
        <v/>
      </c>
      <c r="AD130" t="str">
        <f t="shared" ref="AD130:AD175" si="37">IF($A130="","",($O130*(1+$W130)^$S130+$P130*IFERROR((($T130/$U130)*(1+$V130))^$R130,0))*IFERROR($G130/$Q130,0)*($J130+$Y130)*$K130*($L130+$Z130))</f>
        <v/>
      </c>
      <c r="AE130" t="str">
        <f t="shared" ref="AE130:AE175" si="38">IF($A130="","",IF($N130=1,$AD130,0))</f>
        <v/>
      </c>
      <c r="AF130" t="str">
        <f t="shared" ref="AF130:AF175" si="39">IF($A130="","",IF($N130=1,$AD130,$H130*($M130+$AA130)))</f>
        <v/>
      </c>
      <c r="AG130" t="str">
        <f t="shared" ref="AG130:AG175" si="40">IF($A130="","",$I130*(1+$X130*$AC130))</f>
        <v/>
      </c>
      <c r="AH130" t="str">
        <f t="shared" ref="AH130:AH175" si="41">IF($A130="","",$AF130*$AG130+$AE130*$AB130)</f>
        <v/>
      </c>
    </row>
    <row r="131" spans="1:34" x14ac:dyDescent="0.45">
      <c r="A131" t="str">
        <f>IF(Moteur!D131="","",Moteur!D131)</f>
        <v/>
      </c>
      <c r="B131" t="str">
        <f>IF(Moteur!B131="","",Moteur!B131)</f>
        <v/>
      </c>
      <c r="C131" t="str">
        <f>IF(Moteur!F131="","",Moteur!F131)</f>
        <v/>
      </c>
      <c r="D131" t="str">
        <f>IF(Moteur!G131="","",Moteur!G131)</f>
        <v/>
      </c>
      <c r="E131" t="str">
        <f>IF(Moteur!H131="","",Moteur!H131)</f>
        <v/>
      </c>
      <c r="F131" t="str">
        <f>IF(Moteur!E131="","",Moteur!E131)</f>
        <v/>
      </c>
      <c r="G131" t="str">
        <f>IF($A131="","",SUMIFS(Socle!$H$1:$H$1000,Socle!$C$1:$C$1000,$A131,Socle!$D$1:$D$1000,$C131,Socle!$E$1:$E$1000,$D131,Socle!$F$1:$F$1000,$E131,Socle!$G$1:$G$1000,"2026"))</f>
        <v/>
      </c>
      <c r="H131" t="str">
        <f>IF($A131="","",SUMIFS(Socle!$N$1:$N$1000,Socle!$C$1:$C$1000,$A131,Socle!$D$1:$D$1000,$C131,Socle!$E$1:$E$1000,$D131,Socle!$F$1:$F$1000,$E131,Socle!$G$1:$G$1000,"2026"))</f>
        <v/>
      </c>
      <c r="I131" t="str">
        <f>IF($A131="","",SUMIFS(Socle!$P$1:$P$1000,Socle!$C$1:$C$1000,$A131,Socle!$D$1:$D$1000,$C131,Socle!$E$1:$E$1000,$D131,Socle!$F$1:$F$1000,$E131,Socle!$G$1:$G$1000,"2026"))</f>
        <v/>
      </c>
      <c r="J131" t="str">
        <f>IF($A131="","",SUMIFS(Socle!$W$1:$W$1000,Socle!$C$1:$C$1000,$A131,Socle!$D$1:$D$1000,$C131,Socle!$E$1:$E$1000,$D131,Socle!$F$1:$F$1000,$E131,Socle!$G$1:$G$1000,"2026"))</f>
        <v/>
      </c>
      <c r="K131" t="str">
        <f>IF($A131="","",SUMIFS(Socle!$X$1:$X$1000,Socle!$C$1:$C$1000,$A131,Socle!$D$1:$D$1000,$C131,Socle!$E$1:$E$1000,$D131,Socle!$F$1:$F$1000,$E131,Socle!$G$1:$G$1000,"2026"))</f>
        <v/>
      </c>
      <c r="L131" t="str">
        <f>IF($A131="","",SUMIFS(Socle!$Y$1:$Y$1000,Socle!$C$1:$C$1000,$A131,Socle!$D$1:$D$1000,$C131,Socle!$E$1:$E$1000,$D131,Socle!$F$1:$F$1000,$E131,Socle!$G$1:$G$1000,"2026"))</f>
        <v/>
      </c>
      <c r="M131" t="str">
        <f>IF($A131="","",SUMIFS(Socle!$V$1:$V$1000,Socle!$C$1:$C$1000,$A131,Socle!$D$1:$D$1000,$C131,Socle!$E$1:$E$1000,$D131,Socle!$F$1:$F$1000,$E131,Socle!$G$1:$G$1000,"2026"))</f>
        <v/>
      </c>
      <c r="N131" t="str">
        <f t="shared" si="28"/>
        <v/>
      </c>
      <c r="O131" t="str">
        <f>IF($A131="","",SUMIFS(Campagne!$D$1:$D$15,Campagne!$C$1:$C$15,$A131))</f>
        <v/>
      </c>
      <c r="P131" t="str">
        <f>IF($A131="","",SUMIFS(Campagne!$E$1:$E$15,Campagne!$C$1:$C$15,$A131))</f>
        <v/>
      </c>
      <c r="Q131" t="str">
        <f>IF($A131="","",SUMIFS(Campagne!$F$1:$F$15,Campagne!$C$1:$C$15,$A131))</f>
        <v/>
      </c>
      <c r="R131" t="str">
        <f>IF($A131="","",SUMIFS(Campagne!$K$1:$K$15,Campagne!$C$1:$C$15,$A131))</f>
        <v/>
      </c>
      <c r="S131" t="str">
        <f>IF($A131="","",SUMIFS(Campagne!$M$1:$M$15,Campagne!$C$1:$C$15,$A131))</f>
        <v/>
      </c>
      <c r="T131" t="str">
        <f>IF($A131="","",SUMIFS(PIL!$K$15:$K$28,PIL!$A$15:$A$28,$A131)*SUMIFS(PIL!$J$15:$J$28,PIL!$A$15:$A$28,$A131)*(SUM(PIL!$K$15:$K$28)/SUMPRODUCT(PIL!$K$15:$K$28,PIL!$J$15:$J$28)))</f>
        <v/>
      </c>
      <c r="U131" t="str">
        <f>IF($A131="","",SUMIFS(PIL!$K$15:$K$28,PIL!$A$15:$A$28,$A131))</f>
        <v/>
      </c>
      <c r="V131" t="str">
        <f t="shared" si="29"/>
        <v/>
      </c>
      <c r="W131" t="str">
        <f t="shared" si="30"/>
        <v/>
      </c>
      <c r="X131" t="str">
        <f t="shared" si="31"/>
        <v/>
      </c>
      <c r="Y131" t="str">
        <f t="shared" si="32"/>
        <v/>
      </c>
      <c r="Z131" t="str">
        <f t="shared" si="33"/>
        <v/>
      </c>
      <c r="AA131" t="str">
        <f t="shared" si="34"/>
        <v/>
      </c>
      <c r="AB131" t="str">
        <f t="shared" si="35"/>
        <v/>
      </c>
      <c r="AC131" t="str">
        <f t="shared" si="36"/>
        <v/>
      </c>
      <c r="AD131" t="str">
        <f t="shared" si="37"/>
        <v/>
      </c>
      <c r="AE131" t="str">
        <f t="shared" si="38"/>
        <v/>
      </c>
      <c r="AF131" t="str">
        <f t="shared" si="39"/>
        <v/>
      </c>
      <c r="AG131" t="str">
        <f t="shared" si="40"/>
        <v/>
      </c>
      <c r="AH131" t="str">
        <f t="shared" si="41"/>
        <v/>
      </c>
    </row>
    <row r="132" spans="1:34" x14ac:dyDescent="0.45">
      <c r="A132" t="str">
        <f>IF(Moteur!D132="","",Moteur!D132)</f>
        <v/>
      </c>
      <c r="B132" t="str">
        <f>IF(Moteur!B132="","",Moteur!B132)</f>
        <v/>
      </c>
      <c r="C132" t="str">
        <f>IF(Moteur!F132="","",Moteur!F132)</f>
        <v/>
      </c>
      <c r="D132" t="str">
        <f>IF(Moteur!G132="","",Moteur!G132)</f>
        <v/>
      </c>
      <c r="E132" t="str">
        <f>IF(Moteur!H132="","",Moteur!H132)</f>
        <v/>
      </c>
      <c r="F132" t="str">
        <f>IF(Moteur!E132="","",Moteur!E132)</f>
        <v/>
      </c>
      <c r="G132" t="str">
        <f>IF($A132="","",SUMIFS(Socle!$H$1:$H$1000,Socle!$C$1:$C$1000,$A132,Socle!$D$1:$D$1000,$C132,Socle!$E$1:$E$1000,$D132,Socle!$F$1:$F$1000,$E132,Socle!$G$1:$G$1000,"2026"))</f>
        <v/>
      </c>
      <c r="H132" t="str">
        <f>IF($A132="","",SUMIFS(Socle!$N$1:$N$1000,Socle!$C$1:$C$1000,$A132,Socle!$D$1:$D$1000,$C132,Socle!$E$1:$E$1000,$D132,Socle!$F$1:$F$1000,$E132,Socle!$G$1:$G$1000,"2026"))</f>
        <v/>
      </c>
      <c r="I132" t="str">
        <f>IF($A132="","",SUMIFS(Socle!$P$1:$P$1000,Socle!$C$1:$C$1000,$A132,Socle!$D$1:$D$1000,$C132,Socle!$E$1:$E$1000,$D132,Socle!$F$1:$F$1000,$E132,Socle!$G$1:$G$1000,"2026"))</f>
        <v/>
      </c>
      <c r="J132" t="str">
        <f>IF($A132="","",SUMIFS(Socle!$W$1:$W$1000,Socle!$C$1:$C$1000,$A132,Socle!$D$1:$D$1000,$C132,Socle!$E$1:$E$1000,$D132,Socle!$F$1:$F$1000,$E132,Socle!$G$1:$G$1000,"2026"))</f>
        <v/>
      </c>
      <c r="K132" t="str">
        <f>IF($A132="","",SUMIFS(Socle!$X$1:$X$1000,Socle!$C$1:$C$1000,$A132,Socle!$D$1:$D$1000,$C132,Socle!$E$1:$E$1000,$D132,Socle!$F$1:$F$1000,$E132,Socle!$G$1:$G$1000,"2026"))</f>
        <v/>
      </c>
      <c r="L132" t="str">
        <f>IF($A132="","",SUMIFS(Socle!$Y$1:$Y$1000,Socle!$C$1:$C$1000,$A132,Socle!$D$1:$D$1000,$C132,Socle!$E$1:$E$1000,$D132,Socle!$F$1:$F$1000,$E132,Socle!$G$1:$G$1000,"2026"))</f>
        <v/>
      </c>
      <c r="M132" t="str">
        <f>IF($A132="","",SUMIFS(Socle!$V$1:$V$1000,Socle!$C$1:$C$1000,$A132,Socle!$D$1:$D$1000,$C132,Socle!$E$1:$E$1000,$D132,Socle!$F$1:$F$1000,$E132,Socle!$G$1:$G$1000,"2026"))</f>
        <v/>
      </c>
      <c r="N132" t="str">
        <f t="shared" si="28"/>
        <v/>
      </c>
      <c r="O132" t="str">
        <f>IF($A132="","",SUMIFS(Campagne!$D$1:$D$15,Campagne!$C$1:$C$15,$A132))</f>
        <v/>
      </c>
      <c r="P132" t="str">
        <f>IF($A132="","",SUMIFS(Campagne!$E$1:$E$15,Campagne!$C$1:$C$15,$A132))</f>
        <v/>
      </c>
      <c r="Q132" t="str">
        <f>IF($A132="","",SUMIFS(Campagne!$F$1:$F$15,Campagne!$C$1:$C$15,$A132))</f>
        <v/>
      </c>
      <c r="R132" t="str">
        <f>IF($A132="","",SUMIFS(Campagne!$K$1:$K$15,Campagne!$C$1:$C$15,$A132))</f>
        <v/>
      </c>
      <c r="S132" t="str">
        <f>IF($A132="","",SUMIFS(Campagne!$M$1:$M$15,Campagne!$C$1:$C$15,$A132))</f>
        <v/>
      </c>
      <c r="T132" t="str">
        <f>IF($A132="","",SUMIFS(PIL!$K$15:$K$28,PIL!$A$15:$A$28,$A132)*SUMIFS(PIL!$J$15:$J$28,PIL!$A$15:$A$28,$A132)*(SUM(PIL!$K$15:$K$28)/SUMPRODUCT(PIL!$K$15:$K$28,PIL!$J$15:$J$28)))</f>
        <v/>
      </c>
      <c r="U132" t="str">
        <f>IF($A132="","",SUMIFS(PIL!$K$15:$K$28,PIL!$A$15:$A$28,$A132))</f>
        <v/>
      </c>
      <c r="V132" t="str">
        <f t="shared" si="29"/>
        <v/>
      </c>
      <c r="W132" t="str">
        <f t="shared" si="30"/>
        <v/>
      </c>
      <c r="X132" t="str">
        <f t="shared" si="31"/>
        <v/>
      </c>
      <c r="Y132" t="str">
        <f t="shared" si="32"/>
        <v/>
      </c>
      <c r="Z132" t="str">
        <f t="shared" si="33"/>
        <v/>
      </c>
      <c r="AA132" t="str">
        <f t="shared" si="34"/>
        <v/>
      </c>
      <c r="AB132" t="str">
        <f t="shared" si="35"/>
        <v/>
      </c>
      <c r="AC132" t="str">
        <f t="shared" si="36"/>
        <v/>
      </c>
      <c r="AD132" t="str">
        <f t="shared" si="37"/>
        <v/>
      </c>
      <c r="AE132" t="str">
        <f t="shared" si="38"/>
        <v/>
      </c>
      <c r="AF132" t="str">
        <f t="shared" si="39"/>
        <v/>
      </c>
      <c r="AG132" t="str">
        <f t="shared" si="40"/>
        <v/>
      </c>
      <c r="AH132" t="str">
        <f t="shared" si="41"/>
        <v/>
      </c>
    </row>
    <row r="133" spans="1:34" x14ac:dyDescent="0.45">
      <c r="A133" t="str">
        <f>IF(Moteur!D133="","",Moteur!D133)</f>
        <v/>
      </c>
      <c r="B133" t="str">
        <f>IF(Moteur!B133="","",Moteur!B133)</f>
        <v/>
      </c>
      <c r="C133" t="str">
        <f>IF(Moteur!F133="","",Moteur!F133)</f>
        <v/>
      </c>
      <c r="D133" t="str">
        <f>IF(Moteur!G133="","",Moteur!G133)</f>
        <v/>
      </c>
      <c r="E133" t="str">
        <f>IF(Moteur!H133="","",Moteur!H133)</f>
        <v/>
      </c>
      <c r="F133" t="str">
        <f>IF(Moteur!E133="","",Moteur!E133)</f>
        <v/>
      </c>
      <c r="G133" t="str">
        <f>IF($A133="","",SUMIFS(Socle!$H$1:$H$1000,Socle!$C$1:$C$1000,$A133,Socle!$D$1:$D$1000,$C133,Socle!$E$1:$E$1000,$D133,Socle!$F$1:$F$1000,$E133,Socle!$G$1:$G$1000,"2026"))</f>
        <v/>
      </c>
      <c r="H133" t="str">
        <f>IF($A133="","",SUMIFS(Socle!$N$1:$N$1000,Socle!$C$1:$C$1000,$A133,Socle!$D$1:$D$1000,$C133,Socle!$E$1:$E$1000,$D133,Socle!$F$1:$F$1000,$E133,Socle!$G$1:$G$1000,"2026"))</f>
        <v/>
      </c>
      <c r="I133" t="str">
        <f>IF($A133="","",SUMIFS(Socle!$P$1:$P$1000,Socle!$C$1:$C$1000,$A133,Socle!$D$1:$D$1000,$C133,Socle!$E$1:$E$1000,$D133,Socle!$F$1:$F$1000,$E133,Socle!$G$1:$G$1000,"2026"))</f>
        <v/>
      </c>
      <c r="J133" t="str">
        <f>IF($A133="","",SUMIFS(Socle!$W$1:$W$1000,Socle!$C$1:$C$1000,$A133,Socle!$D$1:$D$1000,$C133,Socle!$E$1:$E$1000,$D133,Socle!$F$1:$F$1000,$E133,Socle!$G$1:$G$1000,"2026"))</f>
        <v/>
      </c>
      <c r="K133" t="str">
        <f>IF($A133="","",SUMIFS(Socle!$X$1:$X$1000,Socle!$C$1:$C$1000,$A133,Socle!$D$1:$D$1000,$C133,Socle!$E$1:$E$1000,$D133,Socle!$F$1:$F$1000,$E133,Socle!$G$1:$G$1000,"2026"))</f>
        <v/>
      </c>
      <c r="L133" t="str">
        <f>IF($A133="","",SUMIFS(Socle!$Y$1:$Y$1000,Socle!$C$1:$C$1000,$A133,Socle!$D$1:$D$1000,$C133,Socle!$E$1:$E$1000,$D133,Socle!$F$1:$F$1000,$E133,Socle!$G$1:$G$1000,"2026"))</f>
        <v/>
      </c>
      <c r="M133" t="str">
        <f>IF($A133="","",SUMIFS(Socle!$V$1:$V$1000,Socle!$C$1:$C$1000,$A133,Socle!$D$1:$D$1000,$C133,Socle!$E$1:$E$1000,$D133,Socle!$F$1:$F$1000,$E133,Socle!$G$1:$G$1000,"2026"))</f>
        <v/>
      </c>
      <c r="N133" t="str">
        <f t="shared" si="28"/>
        <v/>
      </c>
      <c r="O133" t="str">
        <f>IF($A133="","",SUMIFS(Campagne!$D$1:$D$15,Campagne!$C$1:$C$15,$A133))</f>
        <v/>
      </c>
      <c r="P133" t="str">
        <f>IF($A133="","",SUMIFS(Campagne!$E$1:$E$15,Campagne!$C$1:$C$15,$A133))</f>
        <v/>
      </c>
      <c r="Q133" t="str">
        <f>IF($A133="","",SUMIFS(Campagne!$F$1:$F$15,Campagne!$C$1:$C$15,$A133))</f>
        <v/>
      </c>
      <c r="R133" t="str">
        <f>IF($A133="","",SUMIFS(Campagne!$K$1:$K$15,Campagne!$C$1:$C$15,$A133))</f>
        <v/>
      </c>
      <c r="S133" t="str">
        <f>IF($A133="","",SUMIFS(Campagne!$M$1:$M$15,Campagne!$C$1:$C$15,$A133))</f>
        <v/>
      </c>
      <c r="T133" t="str">
        <f>IF($A133="","",SUMIFS(PIL!$K$15:$K$28,PIL!$A$15:$A$28,$A133)*SUMIFS(PIL!$J$15:$J$28,PIL!$A$15:$A$28,$A133)*(SUM(PIL!$K$15:$K$28)/SUMPRODUCT(PIL!$K$15:$K$28,PIL!$J$15:$J$28)))</f>
        <v/>
      </c>
      <c r="U133" t="str">
        <f>IF($A133="","",SUMIFS(PIL!$K$15:$K$28,PIL!$A$15:$A$28,$A133))</f>
        <v/>
      </c>
      <c r="V133" t="str">
        <f t="shared" si="29"/>
        <v/>
      </c>
      <c r="W133" t="str">
        <f t="shared" si="30"/>
        <v/>
      </c>
      <c r="X133" t="str">
        <f t="shared" si="31"/>
        <v/>
      </c>
      <c r="Y133" t="str">
        <f t="shared" si="32"/>
        <v/>
      </c>
      <c r="Z133" t="str">
        <f t="shared" si="33"/>
        <v/>
      </c>
      <c r="AA133" t="str">
        <f t="shared" si="34"/>
        <v/>
      </c>
      <c r="AB133" t="str">
        <f t="shared" si="35"/>
        <v/>
      </c>
      <c r="AC133" t="str">
        <f t="shared" si="36"/>
        <v/>
      </c>
      <c r="AD133" t="str">
        <f t="shared" si="37"/>
        <v/>
      </c>
      <c r="AE133" t="str">
        <f t="shared" si="38"/>
        <v/>
      </c>
      <c r="AF133" t="str">
        <f t="shared" si="39"/>
        <v/>
      </c>
      <c r="AG133" t="str">
        <f t="shared" si="40"/>
        <v/>
      </c>
      <c r="AH133" t="str">
        <f t="shared" si="41"/>
        <v/>
      </c>
    </row>
    <row r="134" spans="1:34" x14ac:dyDescent="0.45">
      <c r="A134" t="str">
        <f>IF(Moteur!D134="","",Moteur!D134)</f>
        <v/>
      </c>
      <c r="B134" t="str">
        <f>IF(Moteur!B134="","",Moteur!B134)</f>
        <v/>
      </c>
      <c r="C134" t="str">
        <f>IF(Moteur!F134="","",Moteur!F134)</f>
        <v/>
      </c>
      <c r="D134" t="str">
        <f>IF(Moteur!G134="","",Moteur!G134)</f>
        <v/>
      </c>
      <c r="E134" t="str">
        <f>IF(Moteur!H134="","",Moteur!H134)</f>
        <v/>
      </c>
      <c r="F134" t="str">
        <f>IF(Moteur!E134="","",Moteur!E134)</f>
        <v/>
      </c>
      <c r="G134" t="str">
        <f>IF($A134="","",SUMIFS(Socle!$H$1:$H$1000,Socle!$C$1:$C$1000,$A134,Socle!$D$1:$D$1000,$C134,Socle!$E$1:$E$1000,$D134,Socle!$F$1:$F$1000,$E134,Socle!$G$1:$G$1000,"2026"))</f>
        <v/>
      </c>
      <c r="H134" t="str">
        <f>IF($A134="","",SUMIFS(Socle!$N$1:$N$1000,Socle!$C$1:$C$1000,$A134,Socle!$D$1:$D$1000,$C134,Socle!$E$1:$E$1000,$D134,Socle!$F$1:$F$1000,$E134,Socle!$G$1:$G$1000,"2026"))</f>
        <v/>
      </c>
      <c r="I134" t="str">
        <f>IF($A134="","",SUMIFS(Socle!$P$1:$P$1000,Socle!$C$1:$C$1000,$A134,Socle!$D$1:$D$1000,$C134,Socle!$E$1:$E$1000,$D134,Socle!$F$1:$F$1000,$E134,Socle!$G$1:$G$1000,"2026"))</f>
        <v/>
      </c>
      <c r="J134" t="str">
        <f>IF($A134="","",SUMIFS(Socle!$W$1:$W$1000,Socle!$C$1:$C$1000,$A134,Socle!$D$1:$D$1000,$C134,Socle!$E$1:$E$1000,$D134,Socle!$F$1:$F$1000,$E134,Socle!$G$1:$G$1000,"2026"))</f>
        <v/>
      </c>
      <c r="K134" t="str">
        <f>IF($A134="","",SUMIFS(Socle!$X$1:$X$1000,Socle!$C$1:$C$1000,$A134,Socle!$D$1:$D$1000,$C134,Socle!$E$1:$E$1000,$D134,Socle!$F$1:$F$1000,$E134,Socle!$G$1:$G$1000,"2026"))</f>
        <v/>
      </c>
      <c r="L134" t="str">
        <f>IF($A134="","",SUMIFS(Socle!$Y$1:$Y$1000,Socle!$C$1:$C$1000,$A134,Socle!$D$1:$D$1000,$C134,Socle!$E$1:$E$1000,$D134,Socle!$F$1:$F$1000,$E134,Socle!$G$1:$G$1000,"2026"))</f>
        <v/>
      </c>
      <c r="M134" t="str">
        <f>IF($A134="","",SUMIFS(Socle!$V$1:$V$1000,Socle!$C$1:$C$1000,$A134,Socle!$D$1:$D$1000,$C134,Socle!$E$1:$E$1000,$D134,Socle!$F$1:$F$1000,$E134,Socle!$G$1:$G$1000,"2026"))</f>
        <v/>
      </c>
      <c r="N134" t="str">
        <f t="shared" si="28"/>
        <v/>
      </c>
      <c r="O134" t="str">
        <f>IF($A134="","",SUMIFS(Campagne!$D$1:$D$15,Campagne!$C$1:$C$15,$A134))</f>
        <v/>
      </c>
      <c r="P134" t="str">
        <f>IF($A134="","",SUMIFS(Campagne!$E$1:$E$15,Campagne!$C$1:$C$15,$A134))</f>
        <v/>
      </c>
      <c r="Q134" t="str">
        <f>IF($A134="","",SUMIFS(Campagne!$F$1:$F$15,Campagne!$C$1:$C$15,$A134))</f>
        <v/>
      </c>
      <c r="R134" t="str">
        <f>IF($A134="","",SUMIFS(Campagne!$K$1:$K$15,Campagne!$C$1:$C$15,$A134))</f>
        <v/>
      </c>
      <c r="S134" t="str">
        <f>IF($A134="","",SUMIFS(Campagne!$M$1:$M$15,Campagne!$C$1:$C$15,$A134))</f>
        <v/>
      </c>
      <c r="T134" t="str">
        <f>IF($A134="","",SUMIFS(PIL!$K$15:$K$28,PIL!$A$15:$A$28,$A134)*SUMIFS(PIL!$J$15:$J$28,PIL!$A$15:$A$28,$A134)*(SUM(PIL!$K$15:$K$28)/SUMPRODUCT(PIL!$K$15:$K$28,PIL!$J$15:$J$28)))</f>
        <v/>
      </c>
      <c r="U134" t="str">
        <f>IF($A134="","",SUMIFS(PIL!$K$15:$K$28,PIL!$A$15:$A$28,$A134))</f>
        <v/>
      </c>
      <c r="V134" t="str">
        <f t="shared" si="29"/>
        <v/>
      </c>
      <c r="W134" t="str">
        <f t="shared" si="30"/>
        <v/>
      </c>
      <c r="X134" t="str">
        <f t="shared" si="31"/>
        <v/>
      </c>
      <c r="Y134" t="str">
        <f t="shared" si="32"/>
        <v/>
      </c>
      <c r="Z134" t="str">
        <f t="shared" si="33"/>
        <v/>
      </c>
      <c r="AA134" t="str">
        <f t="shared" si="34"/>
        <v/>
      </c>
      <c r="AB134" t="str">
        <f t="shared" si="35"/>
        <v/>
      </c>
      <c r="AC134" t="str">
        <f t="shared" si="36"/>
        <v/>
      </c>
      <c r="AD134" t="str">
        <f t="shared" si="37"/>
        <v/>
      </c>
      <c r="AE134" t="str">
        <f t="shared" si="38"/>
        <v/>
      </c>
      <c r="AF134" t="str">
        <f t="shared" si="39"/>
        <v/>
      </c>
      <c r="AG134" t="str">
        <f t="shared" si="40"/>
        <v/>
      </c>
      <c r="AH134" t="str">
        <f t="shared" si="41"/>
        <v/>
      </c>
    </row>
    <row r="135" spans="1:34" x14ac:dyDescent="0.45">
      <c r="A135" t="str">
        <f>IF(Moteur!D135="","",Moteur!D135)</f>
        <v/>
      </c>
      <c r="B135" t="str">
        <f>IF(Moteur!B135="","",Moteur!B135)</f>
        <v/>
      </c>
      <c r="C135" t="str">
        <f>IF(Moteur!F135="","",Moteur!F135)</f>
        <v/>
      </c>
      <c r="D135" t="str">
        <f>IF(Moteur!G135="","",Moteur!G135)</f>
        <v/>
      </c>
      <c r="E135" t="str">
        <f>IF(Moteur!H135="","",Moteur!H135)</f>
        <v/>
      </c>
      <c r="F135" t="str">
        <f>IF(Moteur!E135="","",Moteur!E135)</f>
        <v/>
      </c>
      <c r="G135" t="str">
        <f>IF($A135="","",SUMIFS(Socle!$H$1:$H$1000,Socle!$C$1:$C$1000,$A135,Socle!$D$1:$D$1000,$C135,Socle!$E$1:$E$1000,$D135,Socle!$F$1:$F$1000,$E135,Socle!$G$1:$G$1000,"2026"))</f>
        <v/>
      </c>
      <c r="H135" t="str">
        <f>IF($A135="","",SUMIFS(Socle!$N$1:$N$1000,Socle!$C$1:$C$1000,$A135,Socle!$D$1:$D$1000,$C135,Socle!$E$1:$E$1000,$D135,Socle!$F$1:$F$1000,$E135,Socle!$G$1:$G$1000,"2026"))</f>
        <v/>
      </c>
      <c r="I135" t="str">
        <f>IF($A135="","",SUMIFS(Socle!$P$1:$P$1000,Socle!$C$1:$C$1000,$A135,Socle!$D$1:$D$1000,$C135,Socle!$E$1:$E$1000,$D135,Socle!$F$1:$F$1000,$E135,Socle!$G$1:$G$1000,"2026"))</f>
        <v/>
      </c>
      <c r="J135" t="str">
        <f>IF($A135="","",SUMIFS(Socle!$W$1:$W$1000,Socle!$C$1:$C$1000,$A135,Socle!$D$1:$D$1000,$C135,Socle!$E$1:$E$1000,$D135,Socle!$F$1:$F$1000,$E135,Socle!$G$1:$G$1000,"2026"))</f>
        <v/>
      </c>
      <c r="K135" t="str">
        <f>IF($A135="","",SUMIFS(Socle!$X$1:$X$1000,Socle!$C$1:$C$1000,$A135,Socle!$D$1:$D$1000,$C135,Socle!$E$1:$E$1000,$D135,Socle!$F$1:$F$1000,$E135,Socle!$G$1:$G$1000,"2026"))</f>
        <v/>
      </c>
      <c r="L135" t="str">
        <f>IF($A135="","",SUMIFS(Socle!$Y$1:$Y$1000,Socle!$C$1:$C$1000,$A135,Socle!$D$1:$D$1000,$C135,Socle!$E$1:$E$1000,$D135,Socle!$F$1:$F$1000,$E135,Socle!$G$1:$G$1000,"2026"))</f>
        <v/>
      </c>
      <c r="M135" t="str">
        <f>IF($A135="","",SUMIFS(Socle!$V$1:$V$1000,Socle!$C$1:$C$1000,$A135,Socle!$D$1:$D$1000,$C135,Socle!$E$1:$E$1000,$D135,Socle!$F$1:$F$1000,$E135,Socle!$G$1:$G$1000,"2026"))</f>
        <v/>
      </c>
      <c r="N135" t="str">
        <f t="shared" si="28"/>
        <v/>
      </c>
      <c r="O135" t="str">
        <f>IF($A135="","",SUMIFS(Campagne!$D$1:$D$15,Campagne!$C$1:$C$15,$A135))</f>
        <v/>
      </c>
      <c r="P135" t="str">
        <f>IF($A135="","",SUMIFS(Campagne!$E$1:$E$15,Campagne!$C$1:$C$15,$A135))</f>
        <v/>
      </c>
      <c r="Q135" t="str">
        <f>IF($A135="","",SUMIFS(Campagne!$F$1:$F$15,Campagne!$C$1:$C$15,$A135))</f>
        <v/>
      </c>
      <c r="R135" t="str">
        <f>IF($A135="","",SUMIFS(Campagne!$K$1:$K$15,Campagne!$C$1:$C$15,$A135))</f>
        <v/>
      </c>
      <c r="S135" t="str">
        <f>IF($A135="","",SUMIFS(Campagne!$M$1:$M$15,Campagne!$C$1:$C$15,$A135))</f>
        <v/>
      </c>
      <c r="T135" t="str">
        <f>IF($A135="","",SUMIFS(PIL!$K$15:$K$28,PIL!$A$15:$A$28,$A135)*SUMIFS(PIL!$J$15:$J$28,PIL!$A$15:$A$28,$A135)*(SUM(PIL!$K$15:$K$28)/SUMPRODUCT(PIL!$K$15:$K$28,PIL!$J$15:$J$28)))</f>
        <v/>
      </c>
      <c r="U135" t="str">
        <f>IF($A135="","",SUMIFS(PIL!$K$15:$K$28,PIL!$A$15:$A$28,$A135))</f>
        <v/>
      </c>
      <c r="V135" t="str">
        <f t="shared" si="29"/>
        <v/>
      </c>
      <c r="W135" t="str">
        <f t="shared" si="30"/>
        <v/>
      </c>
      <c r="X135" t="str">
        <f t="shared" si="31"/>
        <v/>
      </c>
      <c r="Y135" t="str">
        <f t="shared" si="32"/>
        <v/>
      </c>
      <c r="Z135" t="str">
        <f t="shared" si="33"/>
        <v/>
      </c>
      <c r="AA135" t="str">
        <f t="shared" si="34"/>
        <v/>
      </c>
      <c r="AB135" t="str">
        <f t="shared" si="35"/>
        <v/>
      </c>
      <c r="AC135" t="str">
        <f t="shared" si="36"/>
        <v/>
      </c>
      <c r="AD135" t="str">
        <f t="shared" si="37"/>
        <v/>
      </c>
      <c r="AE135" t="str">
        <f t="shared" si="38"/>
        <v/>
      </c>
      <c r="AF135" t="str">
        <f t="shared" si="39"/>
        <v/>
      </c>
      <c r="AG135" t="str">
        <f t="shared" si="40"/>
        <v/>
      </c>
      <c r="AH135" t="str">
        <f t="shared" si="41"/>
        <v/>
      </c>
    </row>
    <row r="136" spans="1:34" x14ac:dyDescent="0.45">
      <c r="A136" t="str">
        <f>IF(Moteur!D136="","",Moteur!D136)</f>
        <v/>
      </c>
      <c r="B136" t="str">
        <f>IF(Moteur!B136="","",Moteur!B136)</f>
        <v/>
      </c>
      <c r="C136" t="str">
        <f>IF(Moteur!F136="","",Moteur!F136)</f>
        <v/>
      </c>
      <c r="D136" t="str">
        <f>IF(Moteur!G136="","",Moteur!G136)</f>
        <v/>
      </c>
      <c r="E136" t="str">
        <f>IF(Moteur!H136="","",Moteur!H136)</f>
        <v/>
      </c>
      <c r="F136" t="str">
        <f>IF(Moteur!E136="","",Moteur!E136)</f>
        <v/>
      </c>
      <c r="G136" t="str">
        <f>IF($A136="","",SUMIFS(Socle!$H$1:$H$1000,Socle!$C$1:$C$1000,$A136,Socle!$D$1:$D$1000,$C136,Socle!$E$1:$E$1000,$D136,Socle!$F$1:$F$1000,$E136,Socle!$G$1:$G$1000,"2026"))</f>
        <v/>
      </c>
      <c r="H136" t="str">
        <f>IF($A136="","",SUMIFS(Socle!$N$1:$N$1000,Socle!$C$1:$C$1000,$A136,Socle!$D$1:$D$1000,$C136,Socle!$E$1:$E$1000,$D136,Socle!$F$1:$F$1000,$E136,Socle!$G$1:$G$1000,"2026"))</f>
        <v/>
      </c>
      <c r="I136" t="str">
        <f>IF($A136="","",SUMIFS(Socle!$P$1:$P$1000,Socle!$C$1:$C$1000,$A136,Socle!$D$1:$D$1000,$C136,Socle!$E$1:$E$1000,$D136,Socle!$F$1:$F$1000,$E136,Socle!$G$1:$G$1000,"2026"))</f>
        <v/>
      </c>
      <c r="J136" t="str">
        <f>IF($A136="","",SUMIFS(Socle!$W$1:$W$1000,Socle!$C$1:$C$1000,$A136,Socle!$D$1:$D$1000,$C136,Socle!$E$1:$E$1000,$D136,Socle!$F$1:$F$1000,$E136,Socle!$G$1:$G$1000,"2026"))</f>
        <v/>
      </c>
      <c r="K136" t="str">
        <f>IF($A136="","",SUMIFS(Socle!$X$1:$X$1000,Socle!$C$1:$C$1000,$A136,Socle!$D$1:$D$1000,$C136,Socle!$E$1:$E$1000,$D136,Socle!$F$1:$F$1000,$E136,Socle!$G$1:$G$1000,"2026"))</f>
        <v/>
      </c>
      <c r="L136" t="str">
        <f>IF($A136="","",SUMIFS(Socle!$Y$1:$Y$1000,Socle!$C$1:$C$1000,$A136,Socle!$D$1:$D$1000,$C136,Socle!$E$1:$E$1000,$D136,Socle!$F$1:$F$1000,$E136,Socle!$G$1:$G$1000,"2026"))</f>
        <v/>
      </c>
      <c r="M136" t="str">
        <f>IF($A136="","",SUMIFS(Socle!$V$1:$V$1000,Socle!$C$1:$C$1000,$A136,Socle!$D$1:$D$1000,$C136,Socle!$E$1:$E$1000,$D136,Socle!$F$1:$F$1000,$E136,Socle!$G$1:$G$1000,"2026"))</f>
        <v/>
      </c>
      <c r="N136" t="str">
        <f t="shared" si="28"/>
        <v/>
      </c>
      <c r="O136" t="str">
        <f>IF($A136="","",SUMIFS(Campagne!$D$1:$D$15,Campagne!$C$1:$C$15,$A136))</f>
        <v/>
      </c>
      <c r="P136" t="str">
        <f>IF($A136="","",SUMIFS(Campagne!$E$1:$E$15,Campagne!$C$1:$C$15,$A136))</f>
        <v/>
      </c>
      <c r="Q136" t="str">
        <f>IF($A136="","",SUMIFS(Campagne!$F$1:$F$15,Campagne!$C$1:$C$15,$A136))</f>
        <v/>
      </c>
      <c r="R136" t="str">
        <f>IF($A136="","",SUMIFS(Campagne!$K$1:$K$15,Campagne!$C$1:$C$15,$A136))</f>
        <v/>
      </c>
      <c r="S136" t="str">
        <f>IF($A136="","",SUMIFS(Campagne!$M$1:$M$15,Campagne!$C$1:$C$15,$A136))</f>
        <v/>
      </c>
      <c r="T136" t="str">
        <f>IF($A136="","",SUMIFS(PIL!$K$15:$K$28,PIL!$A$15:$A$28,$A136)*SUMIFS(PIL!$J$15:$J$28,PIL!$A$15:$A$28,$A136)*(SUM(PIL!$K$15:$K$28)/SUMPRODUCT(PIL!$K$15:$K$28,PIL!$J$15:$J$28)))</f>
        <v/>
      </c>
      <c r="U136" t="str">
        <f>IF($A136="","",SUMIFS(PIL!$K$15:$K$28,PIL!$A$15:$A$28,$A136))</f>
        <v/>
      </c>
      <c r="V136" t="str">
        <f t="shared" si="29"/>
        <v/>
      </c>
      <c r="W136" t="str">
        <f t="shared" si="30"/>
        <v/>
      </c>
      <c r="X136" t="str">
        <f t="shared" si="31"/>
        <v/>
      </c>
      <c r="Y136" t="str">
        <f t="shared" si="32"/>
        <v/>
      </c>
      <c r="Z136" t="str">
        <f t="shared" si="33"/>
        <v/>
      </c>
      <c r="AA136" t="str">
        <f t="shared" si="34"/>
        <v/>
      </c>
      <c r="AB136" t="str">
        <f t="shared" si="35"/>
        <v/>
      </c>
      <c r="AC136" t="str">
        <f t="shared" si="36"/>
        <v/>
      </c>
      <c r="AD136" t="str">
        <f t="shared" si="37"/>
        <v/>
      </c>
      <c r="AE136" t="str">
        <f t="shared" si="38"/>
        <v/>
      </c>
      <c r="AF136" t="str">
        <f t="shared" si="39"/>
        <v/>
      </c>
      <c r="AG136" t="str">
        <f t="shared" si="40"/>
        <v/>
      </c>
      <c r="AH136" t="str">
        <f t="shared" si="41"/>
        <v/>
      </c>
    </row>
    <row r="137" spans="1:34" x14ac:dyDescent="0.45">
      <c r="A137" t="str">
        <f>IF(Moteur!D137="","",Moteur!D137)</f>
        <v/>
      </c>
      <c r="B137" t="str">
        <f>IF(Moteur!B137="","",Moteur!B137)</f>
        <v/>
      </c>
      <c r="C137" t="str">
        <f>IF(Moteur!F137="","",Moteur!F137)</f>
        <v/>
      </c>
      <c r="D137" t="str">
        <f>IF(Moteur!G137="","",Moteur!G137)</f>
        <v/>
      </c>
      <c r="E137" t="str">
        <f>IF(Moteur!H137="","",Moteur!H137)</f>
        <v/>
      </c>
      <c r="F137" t="str">
        <f>IF(Moteur!E137="","",Moteur!E137)</f>
        <v/>
      </c>
      <c r="G137" t="str">
        <f>IF($A137="","",SUMIFS(Socle!$H$1:$H$1000,Socle!$C$1:$C$1000,$A137,Socle!$D$1:$D$1000,$C137,Socle!$E$1:$E$1000,$D137,Socle!$F$1:$F$1000,$E137,Socle!$G$1:$G$1000,"2026"))</f>
        <v/>
      </c>
      <c r="H137" t="str">
        <f>IF($A137="","",SUMIFS(Socle!$N$1:$N$1000,Socle!$C$1:$C$1000,$A137,Socle!$D$1:$D$1000,$C137,Socle!$E$1:$E$1000,$D137,Socle!$F$1:$F$1000,$E137,Socle!$G$1:$G$1000,"2026"))</f>
        <v/>
      </c>
      <c r="I137" t="str">
        <f>IF($A137="","",SUMIFS(Socle!$P$1:$P$1000,Socle!$C$1:$C$1000,$A137,Socle!$D$1:$D$1000,$C137,Socle!$E$1:$E$1000,$D137,Socle!$F$1:$F$1000,$E137,Socle!$G$1:$G$1000,"2026"))</f>
        <v/>
      </c>
      <c r="J137" t="str">
        <f>IF($A137="","",SUMIFS(Socle!$W$1:$W$1000,Socle!$C$1:$C$1000,$A137,Socle!$D$1:$D$1000,$C137,Socle!$E$1:$E$1000,$D137,Socle!$F$1:$F$1000,$E137,Socle!$G$1:$G$1000,"2026"))</f>
        <v/>
      </c>
      <c r="K137" t="str">
        <f>IF($A137="","",SUMIFS(Socle!$X$1:$X$1000,Socle!$C$1:$C$1000,$A137,Socle!$D$1:$D$1000,$C137,Socle!$E$1:$E$1000,$D137,Socle!$F$1:$F$1000,$E137,Socle!$G$1:$G$1000,"2026"))</f>
        <v/>
      </c>
      <c r="L137" t="str">
        <f>IF($A137="","",SUMIFS(Socle!$Y$1:$Y$1000,Socle!$C$1:$C$1000,$A137,Socle!$D$1:$D$1000,$C137,Socle!$E$1:$E$1000,$D137,Socle!$F$1:$F$1000,$E137,Socle!$G$1:$G$1000,"2026"))</f>
        <v/>
      </c>
      <c r="M137" t="str">
        <f>IF($A137="","",SUMIFS(Socle!$V$1:$V$1000,Socle!$C$1:$C$1000,$A137,Socle!$D$1:$D$1000,$C137,Socle!$E$1:$E$1000,$D137,Socle!$F$1:$F$1000,$E137,Socle!$G$1:$G$1000,"2026"))</f>
        <v/>
      </c>
      <c r="N137" t="str">
        <f t="shared" si="28"/>
        <v/>
      </c>
      <c r="O137" t="str">
        <f>IF($A137="","",SUMIFS(Campagne!$D$1:$D$15,Campagne!$C$1:$C$15,$A137))</f>
        <v/>
      </c>
      <c r="P137" t="str">
        <f>IF($A137="","",SUMIFS(Campagne!$E$1:$E$15,Campagne!$C$1:$C$15,$A137))</f>
        <v/>
      </c>
      <c r="Q137" t="str">
        <f>IF($A137="","",SUMIFS(Campagne!$F$1:$F$15,Campagne!$C$1:$C$15,$A137))</f>
        <v/>
      </c>
      <c r="R137" t="str">
        <f>IF($A137="","",SUMIFS(Campagne!$K$1:$K$15,Campagne!$C$1:$C$15,$A137))</f>
        <v/>
      </c>
      <c r="S137" t="str">
        <f>IF($A137="","",SUMIFS(Campagne!$M$1:$M$15,Campagne!$C$1:$C$15,$A137))</f>
        <v/>
      </c>
      <c r="T137" t="str">
        <f>IF($A137="","",SUMIFS(PIL!$K$15:$K$28,PIL!$A$15:$A$28,$A137)*SUMIFS(PIL!$J$15:$J$28,PIL!$A$15:$A$28,$A137)*(SUM(PIL!$K$15:$K$28)/SUMPRODUCT(PIL!$K$15:$K$28,PIL!$J$15:$J$28)))</f>
        <v/>
      </c>
      <c r="U137" t="str">
        <f>IF($A137="","",SUMIFS(PIL!$K$15:$K$28,PIL!$A$15:$A$28,$A137))</f>
        <v/>
      </c>
      <c r="V137" t="str">
        <f t="shared" si="29"/>
        <v/>
      </c>
      <c r="W137" t="str">
        <f t="shared" si="30"/>
        <v/>
      </c>
      <c r="X137" t="str">
        <f t="shared" si="31"/>
        <v/>
      </c>
      <c r="Y137" t="str">
        <f t="shared" si="32"/>
        <v/>
      </c>
      <c r="Z137" t="str">
        <f t="shared" si="33"/>
        <v/>
      </c>
      <c r="AA137" t="str">
        <f t="shared" si="34"/>
        <v/>
      </c>
      <c r="AB137" t="str">
        <f t="shared" si="35"/>
        <v/>
      </c>
      <c r="AC137" t="str">
        <f t="shared" si="36"/>
        <v/>
      </c>
      <c r="AD137" t="str">
        <f t="shared" si="37"/>
        <v/>
      </c>
      <c r="AE137" t="str">
        <f t="shared" si="38"/>
        <v/>
      </c>
      <c r="AF137" t="str">
        <f t="shared" si="39"/>
        <v/>
      </c>
      <c r="AG137" t="str">
        <f t="shared" si="40"/>
        <v/>
      </c>
      <c r="AH137" t="str">
        <f t="shared" si="41"/>
        <v/>
      </c>
    </row>
    <row r="138" spans="1:34" x14ac:dyDescent="0.45">
      <c r="A138" t="str">
        <f>IF(Moteur!D138="","",Moteur!D138)</f>
        <v/>
      </c>
      <c r="B138" t="str">
        <f>IF(Moteur!B138="","",Moteur!B138)</f>
        <v/>
      </c>
      <c r="C138" t="str">
        <f>IF(Moteur!F138="","",Moteur!F138)</f>
        <v/>
      </c>
      <c r="D138" t="str">
        <f>IF(Moteur!G138="","",Moteur!G138)</f>
        <v/>
      </c>
      <c r="E138" t="str">
        <f>IF(Moteur!H138="","",Moteur!H138)</f>
        <v/>
      </c>
      <c r="F138" t="str">
        <f>IF(Moteur!E138="","",Moteur!E138)</f>
        <v/>
      </c>
      <c r="G138" t="str">
        <f>IF($A138="","",SUMIFS(Socle!$H$1:$H$1000,Socle!$C$1:$C$1000,$A138,Socle!$D$1:$D$1000,$C138,Socle!$E$1:$E$1000,$D138,Socle!$F$1:$F$1000,$E138,Socle!$G$1:$G$1000,"2026"))</f>
        <v/>
      </c>
      <c r="H138" t="str">
        <f>IF($A138="","",SUMIFS(Socle!$N$1:$N$1000,Socle!$C$1:$C$1000,$A138,Socle!$D$1:$D$1000,$C138,Socle!$E$1:$E$1000,$D138,Socle!$F$1:$F$1000,$E138,Socle!$G$1:$G$1000,"2026"))</f>
        <v/>
      </c>
      <c r="I138" t="str">
        <f>IF($A138="","",SUMIFS(Socle!$P$1:$P$1000,Socle!$C$1:$C$1000,$A138,Socle!$D$1:$D$1000,$C138,Socle!$E$1:$E$1000,$D138,Socle!$F$1:$F$1000,$E138,Socle!$G$1:$G$1000,"2026"))</f>
        <v/>
      </c>
      <c r="J138" t="str">
        <f>IF($A138="","",SUMIFS(Socle!$W$1:$W$1000,Socle!$C$1:$C$1000,$A138,Socle!$D$1:$D$1000,$C138,Socle!$E$1:$E$1000,$D138,Socle!$F$1:$F$1000,$E138,Socle!$G$1:$G$1000,"2026"))</f>
        <v/>
      </c>
      <c r="K138" t="str">
        <f>IF($A138="","",SUMIFS(Socle!$X$1:$X$1000,Socle!$C$1:$C$1000,$A138,Socle!$D$1:$D$1000,$C138,Socle!$E$1:$E$1000,$D138,Socle!$F$1:$F$1000,$E138,Socle!$G$1:$G$1000,"2026"))</f>
        <v/>
      </c>
      <c r="L138" t="str">
        <f>IF($A138="","",SUMIFS(Socle!$Y$1:$Y$1000,Socle!$C$1:$C$1000,$A138,Socle!$D$1:$D$1000,$C138,Socle!$E$1:$E$1000,$D138,Socle!$F$1:$F$1000,$E138,Socle!$G$1:$G$1000,"2026"))</f>
        <v/>
      </c>
      <c r="M138" t="str">
        <f>IF($A138="","",SUMIFS(Socle!$V$1:$V$1000,Socle!$C$1:$C$1000,$A138,Socle!$D$1:$D$1000,$C138,Socle!$E$1:$E$1000,$D138,Socle!$F$1:$F$1000,$E138,Socle!$G$1:$G$1000,"2026"))</f>
        <v/>
      </c>
      <c r="N138" t="str">
        <f t="shared" si="28"/>
        <v/>
      </c>
      <c r="O138" t="str">
        <f>IF($A138="","",SUMIFS(Campagne!$D$1:$D$15,Campagne!$C$1:$C$15,$A138))</f>
        <v/>
      </c>
      <c r="P138" t="str">
        <f>IF($A138="","",SUMIFS(Campagne!$E$1:$E$15,Campagne!$C$1:$C$15,$A138))</f>
        <v/>
      </c>
      <c r="Q138" t="str">
        <f>IF($A138="","",SUMIFS(Campagne!$F$1:$F$15,Campagne!$C$1:$C$15,$A138))</f>
        <v/>
      </c>
      <c r="R138" t="str">
        <f>IF($A138="","",SUMIFS(Campagne!$K$1:$K$15,Campagne!$C$1:$C$15,$A138))</f>
        <v/>
      </c>
      <c r="S138" t="str">
        <f>IF($A138="","",SUMIFS(Campagne!$M$1:$M$15,Campagne!$C$1:$C$15,$A138))</f>
        <v/>
      </c>
      <c r="T138" t="str">
        <f>IF($A138="","",SUMIFS(PIL!$K$15:$K$28,PIL!$A$15:$A$28,$A138)*SUMIFS(PIL!$J$15:$J$28,PIL!$A$15:$A$28,$A138)*(SUM(PIL!$K$15:$K$28)/SUMPRODUCT(PIL!$K$15:$K$28,PIL!$J$15:$J$28)))</f>
        <v/>
      </c>
      <c r="U138" t="str">
        <f>IF($A138="","",SUMIFS(PIL!$K$15:$K$28,PIL!$A$15:$A$28,$A138))</f>
        <v/>
      </c>
      <c r="V138" t="str">
        <f t="shared" si="29"/>
        <v/>
      </c>
      <c r="W138" t="str">
        <f t="shared" si="30"/>
        <v/>
      </c>
      <c r="X138" t="str">
        <f t="shared" si="31"/>
        <v/>
      </c>
      <c r="Y138" t="str">
        <f t="shared" si="32"/>
        <v/>
      </c>
      <c r="Z138" t="str">
        <f t="shared" si="33"/>
        <v/>
      </c>
      <c r="AA138" t="str">
        <f t="shared" si="34"/>
        <v/>
      </c>
      <c r="AB138" t="str">
        <f t="shared" si="35"/>
        <v/>
      </c>
      <c r="AC138" t="str">
        <f t="shared" si="36"/>
        <v/>
      </c>
      <c r="AD138" t="str">
        <f t="shared" si="37"/>
        <v/>
      </c>
      <c r="AE138" t="str">
        <f t="shared" si="38"/>
        <v/>
      </c>
      <c r="AF138" t="str">
        <f t="shared" si="39"/>
        <v/>
      </c>
      <c r="AG138" t="str">
        <f t="shared" si="40"/>
        <v/>
      </c>
      <c r="AH138" t="str">
        <f t="shared" si="41"/>
        <v/>
      </c>
    </row>
    <row r="139" spans="1:34" x14ac:dyDescent="0.45">
      <c r="A139" t="str">
        <f>IF(Moteur!D139="","",Moteur!D139)</f>
        <v/>
      </c>
      <c r="B139" t="str">
        <f>IF(Moteur!B139="","",Moteur!B139)</f>
        <v/>
      </c>
      <c r="C139" t="str">
        <f>IF(Moteur!F139="","",Moteur!F139)</f>
        <v/>
      </c>
      <c r="D139" t="str">
        <f>IF(Moteur!G139="","",Moteur!G139)</f>
        <v/>
      </c>
      <c r="E139" t="str">
        <f>IF(Moteur!H139="","",Moteur!H139)</f>
        <v/>
      </c>
      <c r="F139" t="str">
        <f>IF(Moteur!E139="","",Moteur!E139)</f>
        <v/>
      </c>
      <c r="G139" t="str">
        <f>IF($A139="","",SUMIFS(Socle!$H$1:$H$1000,Socle!$C$1:$C$1000,$A139,Socle!$D$1:$D$1000,$C139,Socle!$E$1:$E$1000,$D139,Socle!$F$1:$F$1000,$E139,Socle!$G$1:$G$1000,"2026"))</f>
        <v/>
      </c>
      <c r="H139" t="str">
        <f>IF($A139="","",SUMIFS(Socle!$N$1:$N$1000,Socle!$C$1:$C$1000,$A139,Socle!$D$1:$D$1000,$C139,Socle!$E$1:$E$1000,$D139,Socle!$F$1:$F$1000,$E139,Socle!$G$1:$G$1000,"2026"))</f>
        <v/>
      </c>
      <c r="I139" t="str">
        <f>IF($A139="","",SUMIFS(Socle!$P$1:$P$1000,Socle!$C$1:$C$1000,$A139,Socle!$D$1:$D$1000,$C139,Socle!$E$1:$E$1000,$D139,Socle!$F$1:$F$1000,$E139,Socle!$G$1:$G$1000,"2026"))</f>
        <v/>
      </c>
      <c r="J139" t="str">
        <f>IF($A139="","",SUMIFS(Socle!$W$1:$W$1000,Socle!$C$1:$C$1000,$A139,Socle!$D$1:$D$1000,$C139,Socle!$E$1:$E$1000,$D139,Socle!$F$1:$F$1000,$E139,Socle!$G$1:$G$1000,"2026"))</f>
        <v/>
      </c>
      <c r="K139" t="str">
        <f>IF($A139="","",SUMIFS(Socle!$X$1:$X$1000,Socle!$C$1:$C$1000,$A139,Socle!$D$1:$D$1000,$C139,Socle!$E$1:$E$1000,$D139,Socle!$F$1:$F$1000,$E139,Socle!$G$1:$G$1000,"2026"))</f>
        <v/>
      </c>
      <c r="L139" t="str">
        <f>IF($A139="","",SUMIFS(Socle!$Y$1:$Y$1000,Socle!$C$1:$C$1000,$A139,Socle!$D$1:$D$1000,$C139,Socle!$E$1:$E$1000,$D139,Socle!$F$1:$F$1000,$E139,Socle!$G$1:$G$1000,"2026"))</f>
        <v/>
      </c>
      <c r="M139" t="str">
        <f>IF($A139="","",SUMIFS(Socle!$V$1:$V$1000,Socle!$C$1:$C$1000,$A139,Socle!$D$1:$D$1000,$C139,Socle!$E$1:$E$1000,$D139,Socle!$F$1:$F$1000,$E139,Socle!$G$1:$G$1000,"2026"))</f>
        <v/>
      </c>
      <c r="N139" t="str">
        <f t="shared" si="28"/>
        <v/>
      </c>
      <c r="O139" t="str">
        <f>IF($A139="","",SUMIFS(Campagne!$D$1:$D$15,Campagne!$C$1:$C$15,$A139))</f>
        <v/>
      </c>
      <c r="P139" t="str">
        <f>IF($A139="","",SUMIFS(Campagne!$E$1:$E$15,Campagne!$C$1:$C$15,$A139))</f>
        <v/>
      </c>
      <c r="Q139" t="str">
        <f>IF($A139="","",SUMIFS(Campagne!$F$1:$F$15,Campagne!$C$1:$C$15,$A139))</f>
        <v/>
      </c>
      <c r="R139" t="str">
        <f>IF($A139="","",SUMIFS(Campagne!$K$1:$K$15,Campagne!$C$1:$C$15,$A139))</f>
        <v/>
      </c>
      <c r="S139" t="str">
        <f>IF($A139="","",SUMIFS(Campagne!$M$1:$M$15,Campagne!$C$1:$C$15,$A139))</f>
        <v/>
      </c>
      <c r="T139" t="str">
        <f>IF($A139="","",SUMIFS(PIL!$K$15:$K$28,PIL!$A$15:$A$28,$A139)*SUMIFS(PIL!$J$15:$J$28,PIL!$A$15:$A$28,$A139)*(SUM(PIL!$K$15:$K$28)/SUMPRODUCT(PIL!$K$15:$K$28,PIL!$J$15:$J$28)))</f>
        <v/>
      </c>
      <c r="U139" t="str">
        <f>IF($A139="","",SUMIFS(PIL!$K$15:$K$28,PIL!$A$15:$A$28,$A139))</f>
        <v/>
      </c>
      <c r="V139" t="str">
        <f t="shared" si="29"/>
        <v/>
      </c>
      <c r="W139" t="str">
        <f t="shared" si="30"/>
        <v/>
      </c>
      <c r="X139" t="str">
        <f t="shared" si="31"/>
        <v/>
      </c>
      <c r="Y139" t="str">
        <f t="shared" si="32"/>
        <v/>
      </c>
      <c r="Z139" t="str">
        <f t="shared" si="33"/>
        <v/>
      </c>
      <c r="AA139" t="str">
        <f t="shared" si="34"/>
        <v/>
      </c>
      <c r="AB139" t="str">
        <f t="shared" si="35"/>
        <v/>
      </c>
      <c r="AC139" t="str">
        <f t="shared" si="36"/>
        <v/>
      </c>
      <c r="AD139" t="str">
        <f t="shared" si="37"/>
        <v/>
      </c>
      <c r="AE139" t="str">
        <f t="shared" si="38"/>
        <v/>
      </c>
      <c r="AF139" t="str">
        <f t="shared" si="39"/>
        <v/>
      </c>
      <c r="AG139" t="str">
        <f t="shared" si="40"/>
        <v/>
      </c>
      <c r="AH139" t="str">
        <f t="shared" si="41"/>
        <v/>
      </c>
    </row>
    <row r="140" spans="1:34" x14ac:dyDescent="0.45">
      <c r="A140" t="str">
        <f>IF(Moteur!D140="","",Moteur!D140)</f>
        <v/>
      </c>
      <c r="B140" t="str">
        <f>IF(Moteur!B140="","",Moteur!B140)</f>
        <v/>
      </c>
      <c r="C140" t="str">
        <f>IF(Moteur!F140="","",Moteur!F140)</f>
        <v/>
      </c>
      <c r="D140" t="str">
        <f>IF(Moteur!G140="","",Moteur!G140)</f>
        <v/>
      </c>
      <c r="E140" t="str">
        <f>IF(Moteur!H140="","",Moteur!H140)</f>
        <v/>
      </c>
      <c r="F140" t="str">
        <f>IF(Moteur!E140="","",Moteur!E140)</f>
        <v/>
      </c>
      <c r="G140" t="str">
        <f>IF($A140="","",SUMIFS(Socle!$H$1:$H$1000,Socle!$C$1:$C$1000,$A140,Socle!$D$1:$D$1000,$C140,Socle!$E$1:$E$1000,$D140,Socle!$F$1:$F$1000,$E140,Socle!$G$1:$G$1000,"2026"))</f>
        <v/>
      </c>
      <c r="H140" t="str">
        <f>IF($A140="","",SUMIFS(Socle!$N$1:$N$1000,Socle!$C$1:$C$1000,$A140,Socle!$D$1:$D$1000,$C140,Socle!$E$1:$E$1000,$D140,Socle!$F$1:$F$1000,$E140,Socle!$G$1:$G$1000,"2026"))</f>
        <v/>
      </c>
      <c r="I140" t="str">
        <f>IF($A140="","",SUMIFS(Socle!$P$1:$P$1000,Socle!$C$1:$C$1000,$A140,Socle!$D$1:$D$1000,$C140,Socle!$E$1:$E$1000,$D140,Socle!$F$1:$F$1000,$E140,Socle!$G$1:$G$1000,"2026"))</f>
        <v/>
      </c>
      <c r="J140" t="str">
        <f>IF($A140="","",SUMIFS(Socle!$W$1:$W$1000,Socle!$C$1:$C$1000,$A140,Socle!$D$1:$D$1000,$C140,Socle!$E$1:$E$1000,$D140,Socle!$F$1:$F$1000,$E140,Socle!$G$1:$G$1000,"2026"))</f>
        <v/>
      </c>
      <c r="K140" t="str">
        <f>IF($A140="","",SUMIFS(Socle!$X$1:$X$1000,Socle!$C$1:$C$1000,$A140,Socle!$D$1:$D$1000,$C140,Socle!$E$1:$E$1000,$D140,Socle!$F$1:$F$1000,$E140,Socle!$G$1:$G$1000,"2026"))</f>
        <v/>
      </c>
      <c r="L140" t="str">
        <f>IF($A140="","",SUMIFS(Socle!$Y$1:$Y$1000,Socle!$C$1:$C$1000,$A140,Socle!$D$1:$D$1000,$C140,Socle!$E$1:$E$1000,$D140,Socle!$F$1:$F$1000,$E140,Socle!$G$1:$G$1000,"2026"))</f>
        <v/>
      </c>
      <c r="M140" t="str">
        <f>IF($A140="","",SUMIFS(Socle!$V$1:$V$1000,Socle!$C$1:$C$1000,$A140,Socle!$D$1:$D$1000,$C140,Socle!$E$1:$E$1000,$D140,Socle!$F$1:$F$1000,$E140,Socle!$G$1:$G$1000,"2026"))</f>
        <v/>
      </c>
      <c r="N140" t="str">
        <f t="shared" si="28"/>
        <v/>
      </c>
      <c r="O140" t="str">
        <f>IF($A140="","",SUMIFS(Campagne!$D$1:$D$15,Campagne!$C$1:$C$15,$A140))</f>
        <v/>
      </c>
      <c r="P140" t="str">
        <f>IF($A140="","",SUMIFS(Campagne!$E$1:$E$15,Campagne!$C$1:$C$15,$A140))</f>
        <v/>
      </c>
      <c r="Q140" t="str">
        <f>IF($A140="","",SUMIFS(Campagne!$F$1:$F$15,Campagne!$C$1:$C$15,$A140))</f>
        <v/>
      </c>
      <c r="R140" t="str">
        <f>IF($A140="","",SUMIFS(Campagne!$K$1:$K$15,Campagne!$C$1:$C$15,$A140))</f>
        <v/>
      </c>
      <c r="S140" t="str">
        <f>IF($A140="","",SUMIFS(Campagne!$M$1:$M$15,Campagne!$C$1:$C$15,$A140))</f>
        <v/>
      </c>
      <c r="T140" t="str">
        <f>IF($A140="","",SUMIFS(PIL!$K$15:$K$28,PIL!$A$15:$A$28,$A140)*SUMIFS(PIL!$J$15:$J$28,PIL!$A$15:$A$28,$A140)*(SUM(PIL!$K$15:$K$28)/SUMPRODUCT(PIL!$K$15:$K$28,PIL!$J$15:$J$28)))</f>
        <v/>
      </c>
      <c r="U140" t="str">
        <f>IF($A140="","",SUMIFS(PIL!$K$15:$K$28,PIL!$A$15:$A$28,$A140))</f>
        <v/>
      </c>
      <c r="V140" t="str">
        <f t="shared" si="29"/>
        <v/>
      </c>
      <c r="W140" t="str">
        <f t="shared" si="30"/>
        <v/>
      </c>
      <c r="X140" t="str">
        <f t="shared" si="31"/>
        <v/>
      </c>
      <c r="Y140" t="str">
        <f t="shared" si="32"/>
        <v/>
      </c>
      <c r="Z140" t="str">
        <f t="shared" si="33"/>
        <v/>
      </c>
      <c r="AA140" t="str">
        <f t="shared" si="34"/>
        <v/>
      </c>
      <c r="AB140" t="str">
        <f t="shared" si="35"/>
        <v/>
      </c>
      <c r="AC140" t="str">
        <f t="shared" si="36"/>
        <v/>
      </c>
      <c r="AD140" t="str">
        <f t="shared" si="37"/>
        <v/>
      </c>
      <c r="AE140" t="str">
        <f t="shared" si="38"/>
        <v/>
      </c>
      <c r="AF140" t="str">
        <f t="shared" si="39"/>
        <v/>
      </c>
      <c r="AG140" t="str">
        <f t="shared" si="40"/>
        <v/>
      </c>
      <c r="AH140" t="str">
        <f t="shared" si="41"/>
        <v/>
      </c>
    </row>
    <row r="141" spans="1:34" x14ac:dyDescent="0.45">
      <c r="A141" t="str">
        <f>IF(Moteur!D141="","",Moteur!D141)</f>
        <v/>
      </c>
      <c r="B141" t="str">
        <f>IF(Moteur!B141="","",Moteur!B141)</f>
        <v/>
      </c>
      <c r="C141" t="str">
        <f>IF(Moteur!F141="","",Moteur!F141)</f>
        <v/>
      </c>
      <c r="D141" t="str">
        <f>IF(Moteur!G141="","",Moteur!G141)</f>
        <v/>
      </c>
      <c r="E141" t="str">
        <f>IF(Moteur!H141="","",Moteur!H141)</f>
        <v/>
      </c>
      <c r="F141" t="str">
        <f>IF(Moteur!E141="","",Moteur!E141)</f>
        <v/>
      </c>
      <c r="G141" t="str">
        <f>IF($A141="","",SUMIFS(Socle!$H$1:$H$1000,Socle!$C$1:$C$1000,$A141,Socle!$D$1:$D$1000,$C141,Socle!$E$1:$E$1000,$D141,Socle!$F$1:$F$1000,$E141,Socle!$G$1:$G$1000,"2026"))</f>
        <v/>
      </c>
      <c r="H141" t="str">
        <f>IF($A141="","",SUMIFS(Socle!$N$1:$N$1000,Socle!$C$1:$C$1000,$A141,Socle!$D$1:$D$1000,$C141,Socle!$E$1:$E$1000,$D141,Socle!$F$1:$F$1000,$E141,Socle!$G$1:$G$1000,"2026"))</f>
        <v/>
      </c>
      <c r="I141" t="str">
        <f>IF($A141="","",SUMIFS(Socle!$P$1:$P$1000,Socle!$C$1:$C$1000,$A141,Socle!$D$1:$D$1000,$C141,Socle!$E$1:$E$1000,$D141,Socle!$F$1:$F$1000,$E141,Socle!$G$1:$G$1000,"2026"))</f>
        <v/>
      </c>
      <c r="J141" t="str">
        <f>IF($A141="","",SUMIFS(Socle!$W$1:$W$1000,Socle!$C$1:$C$1000,$A141,Socle!$D$1:$D$1000,$C141,Socle!$E$1:$E$1000,$D141,Socle!$F$1:$F$1000,$E141,Socle!$G$1:$G$1000,"2026"))</f>
        <v/>
      </c>
      <c r="K141" t="str">
        <f>IF($A141="","",SUMIFS(Socle!$X$1:$X$1000,Socle!$C$1:$C$1000,$A141,Socle!$D$1:$D$1000,$C141,Socle!$E$1:$E$1000,$D141,Socle!$F$1:$F$1000,$E141,Socle!$G$1:$G$1000,"2026"))</f>
        <v/>
      </c>
      <c r="L141" t="str">
        <f>IF($A141="","",SUMIFS(Socle!$Y$1:$Y$1000,Socle!$C$1:$C$1000,$A141,Socle!$D$1:$D$1000,$C141,Socle!$E$1:$E$1000,$D141,Socle!$F$1:$F$1000,$E141,Socle!$G$1:$G$1000,"2026"))</f>
        <v/>
      </c>
      <c r="M141" t="str">
        <f>IF($A141="","",SUMIFS(Socle!$V$1:$V$1000,Socle!$C$1:$C$1000,$A141,Socle!$D$1:$D$1000,$C141,Socle!$E$1:$E$1000,$D141,Socle!$F$1:$F$1000,$E141,Socle!$G$1:$G$1000,"2026"))</f>
        <v/>
      </c>
      <c r="N141" t="str">
        <f t="shared" si="28"/>
        <v/>
      </c>
      <c r="O141" t="str">
        <f>IF($A141="","",SUMIFS(Campagne!$D$1:$D$15,Campagne!$C$1:$C$15,$A141))</f>
        <v/>
      </c>
      <c r="P141" t="str">
        <f>IF($A141="","",SUMIFS(Campagne!$E$1:$E$15,Campagne!$C$1:$C$15,$A141))</f>
        <v/>
      </c>
      <c r="Q141" t="str">
        <f>IF($A141="","",SUMIFS(Campagne!$F$1:$F$15,Campagne!$C$1:$C$15,$A141))</f>
        <v/>
      </c>
      <c r="R141" t="str">
        <f>IF($A141="","",SUMIFS(Campagne!$K$1:$K$15,Campagne!$C$1:$C$15,$A141))</f>
        <v/>
      </c>
      <c r="S141" t="str">
        <f>IF($A141="","",SUMIFS(Campagne!$M$1:$M$15,Campagne!$C$1:$C$15,$A141))</f>
        <v/>
      </c>
      <c r="T141" t="str">
        <f>IF($A141="","",SUMIFS(PIL!$K$15:$K$28,PIL!$A$15:$A$28,$A141)*SUMIFS(PIL!$J$15:$J$28,PIL!$A$15:$A$28,$A141)*(SUM(PIL!$K$15:$K$28)/SUMPRODUCT(PIL!$K$15:$K$28,PIL!$J$15:$J$28)))</f>
        <v/>
      </c>
      <c r="U141" t="str">
        <f>IF($A141="","",SUMIFS(PIL!$K$15:$K$28,PIL!$A$15:$A$28,$A141))</f>
        <v/>
      </c>
      <c r="V141" t="str">
        <f t="shared" si="29"/>
        <v/>
      </c>
      <c r="W141" t="str">
        <f t="shared" si="30"/>
        <v/>
      </c>
      <c r="X141" t="str">
        <f t="shared" si="31"/>
        <v/>
      </c>
      <c r="Y141" t="str">
        <f t="shared" si="32"/>
        <v/>
      </c>
      <c r="Z141" t="str">
        <f t="shared" si="33"/>
        <v/>
      </c>
      <c r="AA141" t="str">
        <f t="shared" si="34"/>
        <v/>
      </c>
      <c r="AB141" t="str">
        <f t="shared" si="35"/>
        <v/>
      </c>
      <c r="AC141" t="str">
        <f t="shared" si="36"/>
        <v/>
      </c>
      <c r="AD141" t="str">
        <f t="shared" si="37"/>
        <v/>
      </c>
      <c r="AE141" t="str">
        <f t="shared" si="38"/>
        <v/>
      </c>
      <c r="AF141" t="str">
        <f t="shared" si="39"/>
        <v/>
      </c>
      <c r="AG141" t="str">
        <f t="shared" si="40"/>
        <v/>
      </c>
      <c r="AH141" t="str">
        <f t="shared" si="41"/>
        <v/>
      </c>
    </row>
    <row r="142" spans="1:34" x14ac:dyDescent="0.45">
      <c r="A142" t="str">
        <f>IF(Moteur!D142="","",Moteur!D142)</f>
        <v/>
      </c>
      <c r="B142" t="str">
        <f>IF(Moteur!B142="","",Moteur!B142)</f>
        <v/>
      </c>
      <c r="C142" t="str">
        <f>IF(Moteur!F142="","",Moteur!F142)</f>
        <v/>
      </c>
      <c r="D142" t="str">
        <f>IF(Moteur!G142="","",Moteur!G142)</f>
        <v/>
      </c>
      <c r="E142" t="str">
        <f>IF(Moteur!H142="","",Moteur!H142)</f>
        <v/>
      </c>
      <c r="F142" t="str">
        <f>IF(Moteur!E142="","",Moteur!E142)</f>
        <v/>
      </c>
      <c r="G142" t="str">
        <f>IF($A142="","",SUMIFS(Socle!$H$1:$H$1000,Socle!$C$1:$C$1000,$A142,Socle!$D$1:$D$1000,$C142,Socle!$E$1:$E$1000,$D142,Socle!$F$1:$F$1000,$E142,Socle!$G$1:$G$1000,"2026"))</f>
        <v/>
      </c>
      <c r="H142" t="str">
        <f>IF($A142="","",SUMIFS(Socle!$N$1:$N$1000,Socle!$C$1:$C$1000,$A142,Socle!$D$1:$D$1000,$C142,Socle!$E$1:$E$1000,$D142,Socle!$F$1:$F$1000,$E142,Socle!$G$1:$G$1000,"2026"))</f>
        <v/>
      </c>
      <c r="I142" t="str">
        <f>IF($A142="","",SUMIFS(Socle!$P$1:$P$1000,Socle!$C$1:$C$1000,$A142,Socle!$D$1:$D$1000,$C142,Socle!$E$1:$E$1000,$D142,Socle!$F$1:$F$1000,$E142,Socle!$G$1:$G$1000,"2026"))</f>
        <v/>
      </c>
      <c r="J142" t="str">
        <f>IF($A142="","",SUMIFS(Socle!$W$1:$W$1000,Socle!$C$1:$C$1000,$A142,Socle!$D$1:$D$1000,$C142,Socle!$E$1:$E$1000,$D142,Socle!$F$1:$F$1000,$E142,Socle!$G$1:$G$1000,"2026"))</f>
        <v/>
      </c>
      <c r="K142" t="str">
        <f>IF($A142="","",SUMIFS(Socle!$X$1:$X$1000,Socle!$C$1:$C$1000,$A142,Socle!$D$1:$D$1000,$C142,Socle!$E$1:$E$1000,$D142,Socle!$F$1:$F$1000,$E142,Socle!$G$1:$G$1000,"2026"))</f>
        <v/>
      </c>
      <c r="L142" t="str">
        <f>IF($A142="","",SUMIFS(Socle!$Y$1:$Y$1000,Socle!$C$1:$C$1000,$A142,Socle!$D$1:$D$1000,$C142,Socle!$E$1:$E$1000,$D142,Socle!$F$1:$F$1000,$E142,Socle!$G$1:$G$1000,"2026"))</f>
        <v/>
      </c>
      <c r="M142" t="str">
        <f>IF($A142="","",SUMIFS(Socle!$V$1:$V$1000,Socle!$C$1:$C$1000,$A142,Socle!$D$1:$D$1000,$C142,Socle!$E$1:$E$1000,$D142,Socle!$F$1:$F$1000,$E142,Socle!$G$1:$G$1000,"2026"))</f>
        <v/>
      </c>
      <c r="N142" t="str">
        <f t="shared" si="28"/>
        <v/>
      </c>
      <c r="O142" t="str">
        <f>IF($A142="","",SUMIFS(Campagne!$D$1:$D$15,Campagne!$C$1:$C$15,$A142))</f>
        <v/>
      </c>
      <c r="P142" t="str">
        <f>IF($A142="","",SUMIFS(Campagne!$E$1:$E$15,Campagne!$C$1:$C$15,$A142))</f>
        <v/>
      </c>
      <c r="Q142" t="str">
        <f>IF($A142="","",SUMIFS(Campagne!$F$1:$F$15,Campagne!$C$1:$C$15,$A142))</f>
        <v/>
      </c>
      <c r="R142" t="str">
        <f>IF($A142="","",SUMIFS(Campagne!$K$1:$K$15,Campagne!$C$1:$C$15,$A142))</f>
        <v/>
      </c>
      <c r="S142" t="str">
        <f>IF($A142="","",SUMIFS(Campagne!$M$1:$M$15,Campagne!$C$1:$C$15,$A142))</f>
        <v/>
      </c>
      <c r="T142" t="str">
        <f>IF($A142="","",SUMIFS(PIL!$K$15:$K$28,PIL!$A$15:$A$28,$A142)*SUMIFS(PIL!$J$15:$J$28,PIL!$A$15:$A$28,$A142)*(SUM(PIL!$K$15:$K$28)/SUMPRODUCT(PIL!$K$15:$K$28,PIL!$J$15:$J$28)))</f>
        <v/>
      </c>
      <c r="U142" t="str">
        <f>IF($A142="","",SUMIFS(PIL!$K$15:$K$28,PIL!$A$15:$A$28,$A142))</f>
        <v/>
      </c>
      <c r="V142" t="str">
        <f t="shared" si="29"/>
        <v/>
      </c>
      <c r="W142" t="str">
        <f t="shared" si="30"/>
        <v/>
      </c>
      <c r="X142" t="str">
        <f t="shared" si="31"/>
        <v/>
      </c>
      <c r="Y142" t="str">
        <f t="shared" si="32"/>
        <v/>
      </c>
      <c r="Z142" t="str">
        <f t="shared" si="33"/>
        <v/>
      </c>
      <c r="AA142" t="str">
        <f t="shared" si="34"/>
        <v/>
      </c>
      <c r="AB142" t="str">
        <f t="shared" si="35"/>
        <v/>
      </c>
      <c r="AC142" t="str">
        <f t="shared" si="36"/>
        <v/>
      </c>
      <c r="AD142" t="str">
        <f t="shared" si="37"/>
        <v/>
      </c>
      <c r="AE142" t="str">
        <f t="shared" si="38"/>
        <v/>
      </c>
      <c r="AF142" t="str">
        <f t="shared" si="39"/>
        <v/>
      </c>
      <c r="AG142" t="str">
        <f t="shared" si="40"/>
        <v/>
      </c>
      <c r="AH142" t="str">
        <f t="shared" si="41"/>
        <v/>
      </c>
    </row>
    <row r="143" spans="1:34" x14ac:dyDescent="0.45">
      <c r="A143" t="str">
        <f>IF(Moteur!D143="","",Moteur!D143)</f>
        <v/>
      </c>
      <c r="B143" t="str">
        <f>IF(Moteur!B143="","",Moteur!B143)</f>
        <v/>
      </c>
      <c r="C143" t="str">
        <f>IF(Moteur!F143="","",Moteur!F143)</f>
        <v/>
      </c>
      <c r="D143" t="str">
        <f>IF(Moteur!G143="","",Moteur!G143)</f>
        <v/>
      </c>
      <c r="E143" t="str">
        <f>IF(Moteur!H143="","",Moteur!H143)</f>
        <v/>
      </c>
      <c r="F143" t="str">
        <f>IF(Moteur!E143="","",Moteur!E143)</f>
        <v/>
      </c>
      <c r="G143" t="str">
        <f>IF($A143="","",SUMIFS(Socle!$H$1:$H$1000,Socle!$C$1:$C$1000,$A143,Socle!$D$1:$D$1000,$C143,Socle!$E$1:$E$1000,$D143,Socle!$F$1:$F$1000,$E143,Socle!$G$1:$G$1000,"2026"))</f>
        <v/>
      </c>
      <c r="H143" t="str">
        <f>IF($A143="","",SUMIFS(Socle!$N$1:$N$1000,Socle!$C$1:$C$1000,$A143,Socle!$D$1:$D$1000,$C143,Socle!$E$1:$E$1000,$D143,Socle!$F$1:$F$1000,$E143,Socle!$G$1:$G$1000,"2026"))</f>
        <v/>
      </c>
      <c r="I143" t="str">
        <f>IF($A143="","",SUMIFS(Socle!$P$1:$P$1000,Socle!$C$1:$C$1000,$A143,Socle!$D$1:$D$1000,$C143,Socle!$E$1:$E$1000,$D143,Socle!$F$1:$F$1000,$E143,Socle!$G$1:$G$1000,"2026"))</f>
        <v/>
      </c>
      <c r="J143" t="str">
        <f>IF($A143="","",SUMIFS(Socle!$W$1:$W$1000,Socle!$C$1:$C$1000,$A143,Socle!$D$1:$D$1000,$C143,Socle!$E$1:$E$1000,$D143,Socle!$F$1:$F$1000,$E143,Socle!$G$1:$G$1000,"2026"))</f>
        <v/>
      </c>
      <c r="K143" t="str">
        <f>IF($A143="","",SUMIFS(Socle!$X$1:$X$1000,Socle!$C$1:$C$1000,$A143,Socle!$D$1:$D$1000,$C143,Socle!$E$1:$E$1000,$D143,Socle!$F$1:$F$1000,$E143,Socle!$G$1:$G$1000,"2026"))</f>
        <v/>
      </c>
      <c r="L143" t="str">
        <f>IF($A143="","",SUMIFS(Socle!$Y$1:$Y$1000,Socle!$C$1:$C$1000,$A143,Socle!$D$1:$D$1000,$C143,Socle!$E$1:$E$1000,$D143,Socle!$F$1:$F$1000,$E143,Socle!$G$1:$G$1000,"2026"))</f>
        <v/>
      </c>
      <c r="M143" t="str">
        <f>IF($A143="","",SUMIFS(Socle!$V$1:$V$1000,Socle!$C$1:$C$1000,$A143,Socle!$D$1:$D$1000,$C143,Socle!$E$1:$E$1000,$D143,Socle!$F$1:$F$1000,$E143,Socle!$G$1:$G$1000,"2026"))</f>
        <v/>
      </c>
      <c r="N143" t="str">
        <f t="shared" si="28"/>
        <v/>
      </c>
      <c r="O143" t="str">
        <f>IF($A143="","",SUMIFS(Campagne!$D$1:$D$15,Campagne!$C$1:$C$15,$A143))</f>
        <v/>
      </c>
      <c r="P143" t="str">
        <f>IF($A143="","",SUMIFS(Campagne!$E$1:$E$15,Campagne!$C$1:$C$15,$A143))</f>
        <v/>
      </c>
      <c r="Q143" t="str">
        <f>IF($A143="","",SUMIFS(Campagne!$F$1:$F$15,Campagne!$C$1:$C$15,$A143))</f>
        <v/>
      </c>
      <c r="R143" t="str">
        <f>IF($A143="","",SUMIFS(Campagne!$K$1:$K$15,Campagne!$C$1:$C$15,$A143))</f>
        <v/>
      </c>
      <c r="S143" t="str">
        <f>IF($A143="","",SUMIFS(Campagne!$M$1:$M$15,Campagne!$C$1:$C$15,$A143))</f>
        <v/>
      </c>
      <c r="T143" t="str">
        <f>IF($A143="","",SUMIFS(PIL!$K$15:$K$28,PIL!$A$15:$A$28,$A143)*SUMIFS(PIL!$J$15:$J$28,PIL!$A$15:$A$28,$A143)*(SUM(PIL!$K$15:$K$28)/SUMPRODUCT(PIL!$K$15:$K$28,PIL!$J$15:$J$28)))</f>
        <v/>
      </c>
      <c r="U143" t="str">
        <f>IF($A143="","",SUMIFS(PIL!$K$15:$K$28,PIL!$A$15:$A$28,$A143))</f>
        <v/>
      </c>
      <c r="V143" t="str">
        <f t="shared" si="29"/>
        <v/>
      </c>
      <c r="W143" t="str">
        <f t="shared" si="30"/>
        <v/>
      </c>
      <c r="X143" t="str">
        <f t="shared" si="31"/>
        <v/>
      </c>
      <c r="Y143" t="str">
        <f t="shared" si="32"/>
        <v/>
      </c>
      <c r="Z143" t="str">
        <f t="shared" si="33"/>
        <v/>
      </c>
      <c r="AA143" t="str">
        <f t="shared" si="34"/>
        <v/>
      </c>
      <c r="AB143" t="str">
        <f t="shared" si="35"/>
        <v/>
      </c>
      <c r="AC143" t="str">
        <f t="shared" si="36"/>
        <v/>
      </c>
      <c r="AD143" t="str">
        <f t="shared" si="37"/>
        <v/>
      </c>
      <c r="AE143" t="str">
        <f t="shared" si="38"/>
        <v/>
      </c>
      <c r="AF143" t="str">
        <f t="shared" si="39"/>
        <v/>
      </c>
      <c r="AG143" t="str">
        <f t="shared" si="40"/>
        <v/>
      </c>
      <c r="AH143" t="str">
        <f t="shared" si="41"/>
        <v/>
      </c>
    </row>
    <row r="144" spans="1:34" x14ac:dyDescent="0.45">
      <c r="A144" t="str">
        <f>IF(Moteur!D144="","",Moteur!D144)</f>
        <v/>
      </c>
      <c r="B144" t="str">
        <f>IF(Moteur!B144="","",Moteur!B144)</f>
        <v/>
      </c>
      <c r="C144" t="str">
        <f>IF(Moteur!F144="","",Moteur!F144)</f>
        <v/>
      </c>
      <c r="D144" t="str">
        <f>IF(Moteur!G144="","",Moteur!G144)</f>
        <v/>
      </c>
      <c r="E144" t="str">
        <f>IF(Moteur!H144="","",Moteur!H144)</f>
        <v/>
      </c>
      <c r="F144" t="str">
        <f>IF(Moteur!E144="","",Moteur!E144)</f>
        <v/>
      </c>
      <c r="G144" t="str">
        <f>IF($A144="","",SUMIFS(Socle!$H$1:$H$1000,Socle!$C$1:$C$1000,$A144,Socle!$D$1:$D$1000,$C144,Socle!$E$1:$E$1000,$D144,Socle!$F$1:$F$1000,$E144,Socle!$G$1:$G$1000,"2026"))</f>
        <v/>
      </c>
      <c r="H144" t="str">
        <f>IF($A144="","",SUMIFS(Socle!$N$1:$N$1000,Socle!$C$1:$C$1000,$A144,Socle!$D$1:$D$1000,$C144,Socle!$E$1:$E$1000,$D144,Socle!$F$1:$F$1000,$E144,Socle!$G$1:$G$1000,"2026"))</f>
        <v/>
      </c>
      <c r="I144" t="str">
        <f>IF($A144="","",SUMIFS(Socle!$P$1:$P$1000,Socle!$C$1:$C$1000,$A144,Socle!$D$1:$D$1000,$C144,Socle!$E$1:$E$1000,$D144,Socle!$F$1:$F$1000,$E144,Socle!$G$1:$G$1000,"2026"))</f>
        <v/>
      </c>
      <c r="J144" t="str">
        <f>IF($A144="","",SUMIFS(Socle!$W$1:$W$1000,Socle!$C$1:$C$1000,$A144,Socle!$D$1:$D$1000,$C144,Socle!$E$1:$E$1000,$D144,Socle!$F$1:$F$1000,$E144,Socle!$G$1:$G$1000,"2026"))</f>
        <v/>
      </c>
      <c r="K144" t="str">
        <f>IF($A144="","",SUMIFS(Socle!$X$1:$X$1000,Socle!$C$1:$C$1000,$A144,Socle!$D$1:$D$1000,$C144,Socle!$E$1:$E$1000,$D144,Socle!$F$1:$F$1000,$E144,Socle!$G$1:$G$1000,"2026"))</f>
        <v/>
      </c>
      <c r="L144" t="str">
        <f>IF($A144="","",SUMIFS(Socle!$Y$1:$Y$1000,Socle!$C$1:$C$1000,$A144,Socle!$D$1:$D$1000,$C144,Socle!$E$1:$E$1000,$D144,Socle!$F$1:$F$1000,$E144,Socle!$G$1:$G$1000,"2026"))</f>
        <v/>
      </c>
      <c r="M144" t="str">
        <f>IF($A144="","",SUMIFS(Socle!$V$1:$V$1000,Socle!$C$1:$C$1000,$A144,Socle!$D$1:$D$1000,$C144,Socle!$E$1:$E$1000,$D144,Socle!$F$1:$F$1000,$E144,Socle!$G$1:$G$1000,"2026"))</f>
        <v/>
      </c>
      <c r="N144" t="str">
        <f t="shared" si="28"/>
        <v/>
      </c>
      <c r="O144" t="str">
        <f>IF($A144="","",SUMIFS(Campagne!$D$1:$D$15,Campagne!$C$1:$C$15,$A144))</f>
        <v/>
      </c>
      <c r="P144" t="str">
        <f>IF($A144="","",SUMIFS(Campagne!$E$1:$E$15,Campagne!$C$1:$C$15,$A144))</f>
        <v/>
      </c>
      <c r="Q144" t="str">
        <f>IF($A144="","",SUMIFS(Campagne!$F$1:$F$15,Campagne!$C$1:$C$15,$A144))</f>
        <v/>
      </c>
      <c r="R144" t="str">
        <f>IF($A144="","",SUMIFS(Campagne!$K$1:$K$15,Campagne!$C$1:$C$15,$A144))</f>
        <v/>
      </c>
      <c r="S144" t="str">
        <f>IF($A144="","",SUMIFS(Campagne!$M$1:$M$15,Campagne!$C$1:$C$15,$A144))</f>
        <v/>
      </c>
      <c r="T144" t="str">
        <f>IF($A144="","",SUMIFS(PIL!$K$15:$K$28,PIL!$A$15:$A$28,$A144)*SUMIFS(PIL!$J$15:$J$28,PIL!$A$15:$A$28,$A144)*(SUM(PIL!$K$15:$K$28)/SUMPRODUCT(PIL!$K$15:$K$28,PIL!$J$15:$J$28)))</f>
        <v/>
      </c>
      <c r="U144" t="str">
        <f>IF($A144="","",SUMIFS(PIL!$K$15:$K$28,PIL!$A$15:$A$28,$A144))</f>
        <v/>
      </c>
      <c r="V144" t="str">
        <f t="shared" si="29"/>
        <v/>
      </c>
      <c r="W144" t="str">
        <f t="shared" si="30"/>
        <v/>
      </c>
      <c r="X144" t="str">
        <f t="shared" si="31"/>
        <v/>
      </c>
      <c r="Y144" t="str">
        <f t="shared" si="32"/>
        <v/>
      </c>
      <c r="Z144" t="str">
        <f t="shared" si="33"/>
        <v/>
      </c>
      <c r="AA144" t="str">
        <f t="shared" si="34"/>
        <v/>
      </c>
      <c r="AB144" t="str">
        <f t="shared" si="35"/>
        <v/>
      </c>
      <c r="AC144" t="str">
        <f t="shared" si="36"/>
        <v/>
      </c>
      <c r="AD144" t="str">
        <f t="shared" si="37"/>
        <v/>
      </c>
      <c r="AE144" t="str">
        <f t="shared" si="38"/>
        <v/>
      </c>
      <c r="AF144" t="str">
        <f t="shared" si="39"/>
        <v/>
      </c>
      <c r="AG144" t="str">
        <f t="shared" si="40"/>
        <v/>
      </c>
      <c r="AH144" t="str">
        <f t="shared" si="41"/>
        <v/>
      </c>
    </row>
    <row r="145" spans="1:34" x14ac:dyDescent="0.45">
      <c r="A145" t="str">
        <f>IF(Moteur!D145="","",Moteur!D145)</f>
        <v/>
      </c>
      <c r="B145" t="str">
        <f>IF(Moteur!B145="","",Moteur!B145)</f>
        <v/>
      </c>
      <c r="C145" t="str">
        <f>IF(Moteur!F145="","",Moteur!F145)</f>
        <v/>
      </c>
      <c r="D145" t="str">
        <f>IF(Moteur!G145="","",Moteur!G145)</f>
        <v/>
      </c>
      <c r="E145" t="str">
        <f>IF(Moteur!H145="","",Moteur!H145)</f>
        <v/>
      </c>
      <c r="F145" t="str">
        <f>IF(Moteur!E145="","",Moteur!E145)</f>
        <v/>
      </c>
      <c r="G145" t="str">
        <f>IF($A145="","",SUMIFS(Socle!$H$1:$H$1000,Socle!$C$1:$C$1000,$A145,Socle!$D$1:$D$1000,$C145,Socle!$E$1:$E$1000,$D145,Socle!$F$1:$F$1000,$E145,Socle!$G$1:$G$1000,"2026"))</f>
        <v/>
      </c>
      <c r="H145" t="str">
        <f>IF($A145="","",SUMIFS(Socle!$N$1:$N$1000,Socle!$C$1:$C$1000,$A145,Socle!$D$1:$D$1000,$C145,Socle!$E$1:$E$1000,$D145,Socle!$F$1:$F$1000,$E145,Socle!$G$1:$G$1000,"2026"))</f>
        <v/>
      </c>
      <c r="I145" t="str">
        <f>IF($A145="","",SUMIFS(Socle!$P$1:$P$1000,Socle!$C$1:$C$1000,$A145,Socle!$D$1:$D$1000,$C145,Socle!$E$1:$E$1000,$D145,Socle!$F$1:$F$1000,$E145,Socle!$G$1:$G$1000,"2026"))</f>
        <v/>
      </c>
      <c r="J145" t="str">
        <f>IF($A145="","",SUMIFS(Socle!$W$1:$W$1000,Socle!$C$1:$C$1000,$A145,Socle!$D$1:$D$1000,$C145,Socle!$E$1:$E$1000,$D145,Socle!$F$1:$F$1000,$E145,Socle!$G$1:$G$1000,"2026"))</f>
        <v/>
      </c>
      <c r="K145" t="str">
        <f>IF($A145="","",SUMIFS(Socle!$X$1:$X$1000,Socle!$C$1:$C$1000,$A145,Socle!$D$1:$D$1000,$C145,Socle!$E$1:$E$1000,$D145,Socle!$F$1:$F$1000,$E145,Socle!$G$1:$G$1000,"2026"))</f>
        <v/>
      </c>
      <c r="L145" t="str">
        <f>IF($A145="","",SUMIFS(Socle!$Y$1:$Y$1000,Socle!$C$1:$C$1000,$A145,Socle!$D$1:$D$1000,$C145,Socle!$E$1:$E$1000,$D145,Socle!$F$1:$F$1000,$E145,Socle!$G$1:$G$1000,"2026"))</f>
        <v/>
      </c>
      <c r="M145" t="str">
        <f>IF($A145="","",SUMIFS(Socle!$V$1:$V$1000,Socle!$C$1:$C$1000,$A145,Socle!$D$1:$D$1000,$C145,Socle!$E$1:$E$1000,$D145,Socle!$F$1:$F$1000,$E145,Socle!$G$1:$G$1000,"2026"))</f>
        <v/>
      </c>
      <c r="N145" t="str">
        <f t="shared" si="28"/>
        <v/>
      </c>
      <c r="O145" t="str">
        <f>IF($A145="","",SUMIFS(Campagne!$D$1:$D$15,Campagne!$C$1:$C$15,$A145))</f>
        <v/>
      </c>
      <c r="P145" t="str">
        <f>IF($A145="","",SUMIFS(Campagne!$E$1:$E$15,Campagne!$C$1:$C$15,$A145))</f>
        <v/>
      </c>
      <c r="Q145" t="str">
        <f>IF($A145="","",SUMIFS(Campagne!$F$1:$F$15,Campagne!$C$1:$C$15,$A145))</f>
        <v/>
      </c>
      <c r="R145" t="str">
        <f>IF($A145="","",SUMIFS(Campagne!$K$1:$K$15,Campagne!$C$1:$C$15,$A145))</f>
        <v/>
      </c>
      <c r="S145" t="str">
        <f>IF($A145="","",SUMIFS(Campagne!$M$1:$M$15,Campagne!$C$1:$C$15,$A145))</f>
        <v/>
      </c>
      <c r="T145" t="str">
        <f>IF($A145="","",SUMIFS(PIL!$K$15:$K$28,PIL!$A$15:$A$28,$A145)*SUMIFS(PIL!$J$15:$J$28,PIL!$A$15:$A$28,$A145)*(SUM(PIL!$K$15:$K$28)/SUMPRODUCT(PIL!$K$15:$K$28,PIL!$J$15:$J$28)))</f>
        <v/>
      </c>
      <c r="U145" t="str">
        <f>IF($A145="","",SUMIFS(PIL!$K$15:$K$28,PIL!$A$15:$A$28,$A145))</f>
        <v/>
      </c>
      <c r="V145" t="str">
        <f t="shared" si="29"/>
        <v/>
      </c>
      <c r="W145" t="str">
        <f t="shared" si="30"/>
        <v/>
      </c>
      <c r="X145" t="str">
        <f t="shared" si="31"/>
        <v/>
      </c>
      <c r="Y145" t="str">
        <f t="shared" si="32"/>
        <v/>
      </c>
      <c r="Z145" t="str">
        <f t="shared" si="33"/>
        <v/>
      </c>
      <c r="AA145" t="str">
        <f t="shared" si="34"/>
        <v/>
      </c>
      <c r="AB145" t="str">
        <f t="shared" si="35"/>
        <v/>
      </c>
      <c r="AC145" t="str">
        <f t="shared" si="36"/>
        <v/>
      </c>
      <c r="AD145" t="str">
        <f t="shared" si="37"/>
        <v/>
      </c>
      <c r="AE145" t="str">
        <f t="shared" si="38"/>
        <v/>
      </c>
      <c r="AF145" t="str">
        <f t="shared" si="39"/>
        <v/>
      </c>
      <c r="AG145" t="str">
        <f t="shared" si="40"/>
        <v/>
      </c>
      <c r="AH145" t="str">
        <f t="shared" si="41"/>
        <v/>
      </c>
    </row>
    <row r="146" spans="1:34" x14ac:dyDescent="0.45">
      <c r="A146" t="str">
        <f>IF(Moteur!D146="","",Moteur!D146)</f>
        <v/>
      </c>
      <c r="B146" t="str">
        <f>IF(Moteur!B146="","",Moteur!B146)</f>
        <v/>
      </c>
      <c r="C146" t="str">
        <f>IF(Moteur!F146="","",Moteur!F146)</f>
        <v/>
      </c>
      <c r="D146" t="str">
        <f>IF(Moteur!G146="","",Moteur!G146)</f>
        <v/>
      </c>
      <c r="E146" t="str">
        <f>IF(Moteur!H146="","",Moteur!H146)</f>
        <v/>
      </c>
      <c r="F146" t="str">
        <f>IF(Moteur!E146="","",Moteur!E146)</f>
        <v/>
      </c>
      <c r="G146" t="str">
        <f>IF($A146="","",SUMIFS(Socle!$H$1:$H$1000,Socle!$C$1:$C$1000,$A146,Socle!$D$1:$D$1000,$C146,Socle!$E$1:$E$1000,$D146,Socle!$F$1:$F$1000,$E146,Socle!$G$1:$G$1000,"2026"))</f>
        <v/>
      </c>
      <c r="H146" t="str">
        <f>IF($A146="","",SUMIFS(Socle!$N$1:$N$1000,Socle!$C$1:$C$1000,$A146,Socle!$D$1:$D$1000,$C146,Socle!$E$1:$E$1000,$D146,Socle!$F$1:$F$1000,$E146,Socle!$G$1:$G$1000,"2026"))</f>
        <v/>
      </c>
      <c r="I146" t="str">
        <f>IF($A146="","",SUMIFS(Socle!$P$1:$P$1000,Socle!$C$1:$C$1000,$A146,Socle!$D$1:$D$1000,$C146,Socle!$E$1:$E$1000,$D146,Socle!$F$1:$F$1000,$E146,Socle!$G$1:$G$1000,"2026"))</f>
        <v/>
      </c>
      <c r="J146" t="str">
        <f>IF($A146="","",SUMIFS(Socle!$W$1:$W$1000,Socle!$C$1:$C$1000,$A146,Socle!$D$1:$D$1000,$C146,Socle!$E$1:$E$1000,$D146,Socle!$F$1:$F$1000,$E146,Socle!$G$1:$G$1000,"2026"))</f>
        <v/>
      </c>
      <c r="K146" t="str">
        <f>IF($A146="","",SUMIFS(Socle!$X$1:$X$1000,Socle!$C$1:$C$1000,$A146,Socle!$D$1:$D$1000,$C146,Socle!$E$1:$E$1000,$D146,Socle!$F$1:$F$1000,$E146,Socle!$G$1:$G$1000,"2026"))</f>
        <v/>
      </c>
      <c r="L146" t="str">
        <f>IF($A146="","",SUMIFS(Socle!$Y$1:$Y$1000,Socle!$C$1:$C$1000,$A146,Socle!$D$1:$D$1000,$C146,Socle!$E$1:$E$1000,$D146,Socle!$F$1:$F$1000,$E146,Socle!$G$1:$G$1000,"2026"))</f>
        <v/>
      </c>
      <c r="M146" t="str">
        <f>IF($A146="","",SUMIFS(Socle!$V$1:$V$1000,Socle!$C$1:$C$1000,$A146,Socle!$D$1:$D$1000,$C146,Socle!$E$1:$E$1000,$D146,Socle!$F$1:$F$1000,$E146,Socle!$G$1:$G$1000,"2026"))</f>
        <v/>
      </c>
      <c r="N146" t="str">
        <f t="shared" si="28"/>
        <v/>
      </c>
      <c r="O146" t="str">
        <f>IF($A146="","",SUMIFS(Campagne!$D$1:$D$15,Campagne!$C$1:$C$15,$A146))</f>
        <v/>
      </c>
      <c r="P146" t="str">
        <f>IF($A146="","",SUMIFS(Campagne!$E$1:$E$15,Campagne!$C$1:$C$15,$A146))</f>
        <v/>
      </c>
      <c r="Q146" t="str">
        <f>IF($A146="","",SUMIFS(Campagne!$F$1:$F$15,Campagne!$C$1:$C$15,$A146))</f>
        <v/>
      </c>
      <c r="R146" t="str">
        <f>IF($A146="","",SUMIFS(Campagne!$K$1:$K$15,Campagne!$C$1:$C$15,$A146))</f>
        <v/>
      </c>
      <c r="S146" t="str">
        <f>IF($A146="","",SUMIFS(Campagne!$M$1:$M$15,Campagne!$C$1:$C$15,$A146))</f>
        <v/>
      </c>
      <c r="T146" t="str">
        <f>IF($A146="","",SUMIFS(PIL!$K$15:$K$28,PIL!$A$15:$A$28,$A146)*SUMIFS(PIL!$J$15:$J$28,PIL!$A$15:$A$28,$A146)*(SUM(PIL!$K$15:$K$28)/SUMPRODUCT(PIL!$K$15:$K$28,PIL!$J$15:$J$28)))</f>
        <v/>
      </c>
      <c r="U146" t="str">
        <f>IF($A146="","",SUMIFS(PIL!$K$15:$K$28,PIL!$A$15:$A$28,$A146))</f>
        <v/>
      </c>
      <c r="V146" t="str">
        <f t="shared" si="29"/>
        <v/>
      </c>
      <c r="W146" t="str">
        <f t="shared" si="30"/>
        <v/>
      </c>
      <c r="X146" t="str">
        <f t="shared" si="31"/>
        <v/>
      </c>
      <c r="Y146" t="str">
        <f t="shared" si="32"/>
        <v/>
      </c>
      <c r="Z146" t="str">
        <f t="shared" si="33"/>
        <v/>
      </c>
      <c r="AA146" t="str">
        <f t="shared" si="34"/>
        <v/>
      </c>
      <c r="AB146" t="str">
        <f t="shared" si="35"/>
        <v/>
      </c>
      <c r="AC146" t="str">
        <f t="shared" si="36"/>
        <v/>
      </c>
      <c r="AD146" t="str">
        <f t="shared" si="37"/>
        <v/>
      </c>
      <c r="AE146" t="str">
        <f t="shared" si="38"/>
        <v/>
      </c>
      <c r="AF146" t="str">
        <f t="shared" si="39"/>
        <v/>
      </c>
      <c r="AG146" t="str">
        <f t="shared" si="40"/>
        <v/>
      </c>
      <c r="AH146" t="str">
        <f t="shared" si="41"/>
        <v/>
      </c>
    </row>
    <row r="147" spans="1:34" x14ac:dyDescent="0.45">
      <c r="A147" t="str">
        <f>IF(Moteur!D147="","",Moteur!D147)</f>
        <v/>
      </c>
      <c r="B147" t="str">
        <f>IF(Moteur!B147="","",Moteur!B147)</f>
        <v/>
      </c>
      <c r="C147" t="str">
        <f>IF(Moteur!F147="","",Moteur!F147)</f>
        <v/>
      </c>
      <c r="D147" t="str">
        <f>IF(Moteur!G147="","",Moteur!G147)</f>
        <v/>
      </c>
      <c r="E147" t="str">
        <f>IF(Moteur!H147="","",Moteur!H147)</f>
        <v/>
      </c>
      <c r="F147" t="str">
        <f>IF(Moteur!E147="","",Moteur!E147)</f>
        <v/>
      </c>
      <c r="G147" t="str">
        <f>IF($A147="","",SUMIFS(Socle!$H$1:$H$1000,Socle!$C$1:$C$1000,$A147,Socle!$D$1:$D$1000,$C147,Socle!$E$1:$E$1000,$D147,Socle!$F$1:$F$1000,$E147,Socle!$G$1:$G$1000,"2026"))</f>
        <v/>
      </c>
      <c r="H147" t="str">
        <f>IF($A147="","",SUMIFS(Socle!$N$1:$N$1000,Socle!$C$1:$C$1000,$A147,Socle!$D$1:$D$1000,$C147,Socle!$E$1:$E$1000,$D147,Socle!$F$1:$F$1000,$E147,Socle!$G$1:$G$1000,"2026"))</f>
        <v/>
      </c>
      <c r="I147" t="str">
        <f>IF($A147="","",SUMIFS(Socle!$P$1:$P$1000,Socle!$C$1:$C$1000,$A147,Socle!$D$1:$D$1000,$C147,Socle!$E$1:$E$1000,$D147,Socle!$F$1:$F$1000,$E147,Socle!$G$1:$G$1000,"2026"))</f>
        <v/>
      </c>
      <c r="J147" t="str">
        <f>IF($A147="","",SUMIFS(Socle!$W$1:$W$1000,Socle!$C$1:$C$1000,$A147,Socle!$D$1:$D$1000,$C147,Socle!$E$1:$E$1000,$D147,Socle!$F$1:$F$1000,$E147,Socle!$G$1:$G$1000,"2026"))</f>
        <v/>
      </c>
      <c r="K147" t="str">
        <f>IF($A147="","",SUMIFS(Socle!$X$1:$X$1000,Socle!$C$1:$C$1000,$A147,Socle!$D$1:$D$1000,$C147,Socle!$E$1:$E$1000,$D147,Socle!$F$1:$F$1000,$E147,Socle!$G$1:$G$1000,"2026"))</f>
        <v/>
      </c>
      <c r="L147" t="str">
        <f>IF($A147="","",SUMIFS(Socle!$Y$1:$Y$1000,Socle!$C$1:$C$1000,$A147,Socle!$D$1:$D$1000,$C147,Socle!$E$1:$E$1000,$D147,Socle!$F$1:$F$1000,$E147,Socle!$G$1:$G$1000,"2026"))</f>
        <v/>
      </c>
      <c r="M147" t="str">
        <f>IF($A147="","",SUMIFS(Socle!$V$1:$V$1000,Socle!$C$1:$C$1000,$A147,Socle!$D$1:$D$1000,$C147,Socle!$E$1:$E$1000,$D147,Socle!$F$1:$F$1000,$E147,Socle!$G$1:$G$1000,"2026"))</f>
        <v/>
      </c>
      <c r="N147" t="str">
        <f t="shared" si="28"/>
        <v/>
      </c>
      <c r="O147" t="str">
        <f>IF($A147="","",SUMIFS(Campagne!$D$1:$D$15,Campagne!$C$1:$C$15,$A147))</f>
        <v/>
      </c>
      <c r="P147" t="str">
        <f>IF($A147="","",SUMIFS(Campagne!$E$1:$E$15,Campagne!$C$1:$C$15,$A147))</f>
        <v/>
      </c>
      <c r="Q147" t="str">
        <f>IF($A147="","",SUMIFS(Campagne!$F$1:$F$15,Campagne!$C$1:$C$15,$A147))</f>
        <v/>
      </c>
      <c r="R147" t="str">
        <f>IF($A147="","",SUMIFS(Campagne!$K$1:$K$15,Campagne!$C$1:$C$15,$A147))</f>
        <v/>
      </c>
      <c r="S147" t="str">
        <f>IF($A147="","",SUMIFS(Campagne!$M$1:$M$15,Campagne!$C$1:$C$15,$A147))</f>
        <v/>
      </c>
      <c r="T147" t="str">
        <f>IF($A147="","",SUMIFS(PIL!$K$15:$K$28,PIL!$A$15:$A$28,$A147)*SUMIFS(PIL!$J$15:$J$28,PIL!$A$15:$A$28,$A147)*(SUM(PIL!$K$15:$K$28)/SUMPRODUCT(PIL!$K$15:$K$28,PIL!$J$15:$J$28)))</f>
        <v/>
      </c>
      <c r="U147" t="str">
        <f>IF($A147="","",SUMIFS(PIL!$K$15:$K$28,PIL!$A$15:$A$28,$A147))</f>
        <v/>
      </c>
      <c r="V147" t="str">
        <f t="shared" si="29"/>
        <v/>
      </c>
      <c r="W147" t="str">
        <f t="shared" si="30"/>
        <v/>
      </c>
      <c r="X147" t="str">
        <f t="shared" si="31"/>
        <v/>
      </c>
      <c r="Y147" t="str">
        <f t="shared" si="32"/>
        <v/>
      </c>
      <c r="Z147" t="str">
        <f t="shared" si="33"/>
        <v/>
      </c>
      <c r="AA147" t="str">
        <f t="shared" si="34"/>
        <v/>
      </c>
      <c r="AB147" t="str">
        <f t="shared" si="35"/>
        <v/>
      </c>
      <c r="AC147" t="str">
        <f t="shared" si="36"/>
        <v/>
      </c>
      <c r="AD147" t="str">
        <f t="shared" si="37"/>
        <v/>
      </c>
      <c r="AE147" t="str">
        <f t="shared" si="38"/>
        <v/>
      </c>
      <c r="AF147" t="str">
        <f t="shared" si="39"/>
        <v/>
      </c>
      <c r="AG147" t="str">
        <f t="shared" si="40"/>
        <v/>
      </c>
      <c r="AH147" t="str">
        <f t="shared" si="41"/>
        <v/>
      </c>
    </row>
    <row r="148" spans="1:34" x14ac:dyDescent="0.45">
      <c r="A148" t="str">
        <f>IF(Moteur!D148="","",Moteur!D148)</f>
        <v/>
      </c>
      <c r="B148" t="str">
        <f>IF(Moteur!B148="","",Moteur!B148)</f>
        <v/>
      </c>
      <c r="C148" t="str">
        <f>IF(Moteur!F148="","",Moteur!F148)</f>
        <v/>
      </c>
      <c r="D148" t="str">
        <f>IF(Moteur!G148="","",Moteur!G148)</f>
        <v/>
      </c>
      <c r="E148" t="str">
        <f>IF(Moteur!H148="","",Moteur!H148)</f>
        <v/>
      </c>
      <c r="F148" t="str">
        <f>IF(Moteur!E148="","",Moteur!E148)</f>
        <v/>
      </c>
      <c r="G148" t="str">
        <f>IF($A148="","",SUMIFS(Socle!$H$1:$H$1000,Socle!$C$1:$C$1000,$A148,Socle!$D$1:$D$1000,$C148,Socle!$E$1:$E$1000,$D148,Socle!$F$1:$F$1000,$E148,Socle!$G$1:$G$1000,"2026"))</f>
        <v/>
      </c>
      <c r="H148" t="str">
        <f>IF($A148="","",SUMIFS(Socle!$N$1:$N$1000,Socle!$C$1:$C$1000,$A148,Socle!$D$1:$D$1000,$C148,Socle!$E$1:$E$1000,$D148,Socle!$F$1:$F$1000,$E148,Socle!$G$1:$G$1000,"2026"))</f>
        <v/>
      </c>
      <c r="I148" t="str">
        <f>IF($A148="","",SUMIFS(Socle!$P$1:$P$1000,Socle!$C$1:$C$1000,$A148,Socle!$D$1:$D$1000,$C148,Socle!$E$1:$E$1000,$D148,Socle!$F$1:$F$1000,$E148,Socle!$G$1:$G$1000,"2026"))</f>
        <v/>
      </c>
      <c r="J148" t="str">
        <f>IF($A148="","",SUMIFS(Socle!$W$1:$W$1000,Socle!$C$1:$C$1000,$A148,Socle!$D$1:$D$1000,$C148,Socle!$E$1:$E$1000,$D148,Socle!$F$1:$F$1000,$E148,Socle!$G$1:$G$1000,"2026"))</f>
        <v/>
      </c>
      <c r="K148" t="str">
        <f>IF($A148="","",SUMIFS(Socle!$X$1:$X$1000,Socle!$C$1:$C$1000,$A148,Socle!$D$1:$D$1000,$C148,Socle!$E$1:$E$1000,$D148,Socle!$F$1:$F$1000,$E148,Socle!$G$1:$G$1000,"2026"))</f>
        <v/>
      </c>
      <c r="L148" t="str">
        <f>IF($A148="","",SUMIFS(Socle!$Y$1:$Y$1000,Socle!$C$1:$C$1000,$A148,Socle!$D$1:$D$1000,$C148,Socle!$E$1:$E$1000,$D148,Socle!$F$1:$F$1000,$E148,Socle!$G$1:$G$1000,"2026"))</f>
        <v/>
      </c>
      <c r="M148" t="str">
        <f>IF($A148="","",SUMIFS(Socle!$V$1:$V$1000,Socle!$C$1:$C$1000,$A148,Socle!$D$1:$D$1000,$C148,Socle!$E$1:$E$1000,$D148,Socle!$F$1:$F$1000,$E148,Socle!$G$1:$G$1000,"2026"))</f>
        <v/>
      </c>
      <c r="N148" t="str">
        <f t="shared" si="28"/>
        <v/>
      </c>
      <c r="O148" t="str">
        <f>IF($A148="","",SUMIFS(Campagne!$D$1:$D$15,Campagne!$C$1:$C$15,$A148))</f>
        <v/>
      </c>
      <c r="P148" t="str">
        <f>IF($A148="","",SUMIFS(Campagne!$E$1:$E$15,Campagne!$C$1:$C$15,$A148))</f>
        <v/>
      </c>
      <c r="Q148" t="str">
        <f>IF($A148="","",SUMIFS(Campagne!$F$1:$F$15,Campagne!$C$1:$C$15,$A148))</f>
        <v/>
      </c>
      <c r="R148" t="str">
        <f>IF($A148="","",SUMIFS(Campagne!$K$1:$K$15,Campagne!$C$1:$C$15,$A148))</f>
        <v/>
      </c>
      <c r="S148" t="str">
        <f>IF($A148="","",SUMIFS(Campagne!$M$1:$M$15,Campagne!$C$1:$C$15,$A148))</f>
        <v/>
      </c>
      <c r="T148" t="str">
        <f>IF($A148="","",SUMIFS(PIL!$K$15:$K$28,PIL!$A$15:$A$28,$A148)*SUMIFS(PIL!$J$15:$J$28,PIL!$A$15:$A$28,$A148)*(SUM(PIL!$K$15:$K$28)/SUMPRODUCT(PIL!$K$15:$K$28,PIL!$J$15:$J$28)))</f>
        <v/>
      </c>
      <c r="U148" t="str">
        <f>IF($A148="","",SUMIFS(PIL!$K$15:$K$28,PIL!$A$15:$A$28,$A148))</f>
        <v/>
      </c>
      <c r="V148" t="str">
        <f t="shared" si="29"/>
        <v/>
      </c>
      <c r="W148" t="str">
        <f t="shared" si="30"/>
        <v/>
      </c>
      <c r="X148" t="str">
        <f t="shared" si="31"/>
        <v/>
      </c>
      <c r="Y148" t="str">
        <f t="shared" si="32"/>
        <v/>
      </c>
      <c r="Z148" t="str">
        <f t="shared" si="33"/>
        <v/>
      </c>
      <c r="AA148" t="str">
        <f t="shared" si="34"/>
        <v/>
      </c>
      <c r="AB148" t="str">
        <f t="shared" si="35"/>
        <v/>
      </c>
      <c r="AC148" t="str">
        <f t="shared" si="36"/>
        <v/>
      </c>
      <c r="AD148" t="str">
        <f t="shared" si="37"/>
        <v/>
      </c>
      <c r="AE148" t="str">
        <f t="shared" si="38"/>
        <v/>
      </c>
      <c r="AF148" t="str">
        <f t="shared" si="39"/>
        <v/>
      </c>
      <c r="AG148" t="str">
        <f t="shared" si="40"/>
        <v/>
      </c>
      <c r="AH148" t="str">
        <f t="shared" si="41"/>
        <v/>
      </c>
    </row>
    <row r="149" spans="1:34" x14ac:dyDescent="0.45">
      <c r="A149" t="str">
        <f>IF(Moteur!D149="","",Moteur!D149)</f>
        <v/>
      </c>
      <c r="B149" t="str">
        <f>IF(Moteur!B149="","",Moteur!B149)</f>
        <v/>
      </c>
      <c r="C149" t="str">
        <f>IF(Moteur!F149="","",Moteur!F149)</f>
        <v/>
      </c>
      <c r="D149" t="str">
        <f>IF(Moteur!G149="","",Moteur!G149)</f>
        <v/>
      </c>
      <c r="E149" t="str">
        <f>IF(Moteur!H149="","",Moteur!H149)</f>
        <v/>
      </c>
      <c r="F149" t="str">
        <f>IF(Moteur!E149="","",Moteur!E149)</f>
        <v/>
      </c>
      <c r="G149" t="str">
        <f>IF($A149="","",SUMIFS(Socle!$H$1:$H$1000,Socle!$C$1:$C$1000,$A149,Socle!$D$1:$D$1000,$C149,Socle!$E$1:$E$1000,$D149,Socle!$F$1:$F$1000,$E149,Socle!$G$1:$G$1000,"2026"))</f>
        <v/>
      </c>
      <c r="H149" t="str">
        <f>IF($A149="","",SUMIFS(Socle!$N$1:$N$1000,Socle!$C$1:$C$1000,$A149,Socle!$D$1:$D$1000,$C149,Socle!$E$1:$E$1000,$D149,Socle!$F$1:$F$1000,$E149,Socle!$G$1:$G$1000,"2026"))</f>
        <v/>
      </c>
      <c r="I149" t="str">
        <f>IF($A149="","",SUMIFS(Socle!$P$1:$P$1000,Socle!$C$1:$C$1000,$A149,Socle!$D$1:$D$1000,$C149,Socle!$E$1:$E$1000,$D149,Socle!$F$1:$F$1000,$E149,Socle!$G$1:$G$1000,"2026"))</f>
        <v/>
      </c>
      <c r="J149" t="str">
        <f>IF($A149="","",SUMIFS(Socle!$W$1:$W$1000,Socle!$C$1:$C$1000,$A149,Socle!$D$1:$D$1000,$C149,Socle!$E$1:$E$1000,$D149,Socle!$F$1:$F$1000,$E149,Socle!$G$1:$G$1000,"2026"))</f>
        <v/>
      </c>
      <c r="K149" t="str">
        <f>IF($A149="","",SUMIFS(Socle!$X$1:$X$1000,Socle!$C$1:$C$1000,$A149,Socle!$D$1:$D$1000,$C149,Socle!$E$1:$E$1000,$D149,Socle!$F$1:$F$1000,$E149,Socle!$G$1:$G$1000,"2026"))</f>
        <v/>
      </c>
      <c r="L149" t="str">
        <f>IF($A149="","",SUMIFS(Socle!$Y$1:$Y$1000,Socle!$C$1:$C$1000,$A149,Socle!$D$1:$D$1000,$C149,Socle!$E$1:$E$1000,$D149,Socle!$F$1:$F$1000,$E149,Socle!$G$1:$G$1000,"2026"))</f>
        <v/>
      </c>
      <c r="M149" t="str">
        <f>IF($A149="","",SUMIFS(Socle!$V$1:$V$1000,Socle!$C$1:$C$1000,$A149,Socle!$D$1:$D$1000,$C149,Socle!$E$1:$E$1000,$D149,Socle!$F$1:$F$1000,$E149,Socle!$G$1:$G$1000,"2026"))</f>
        <v/>
      </c>
      <c r="N149" t="str">
        <f t="shared" si="28"/>
        <v/>
      </c>
      <c r="O149" t="str">
        <f>IF($A149="","",SUMIFS(Campagne!$D$1:$D$15,Campagne!$C$1:$C$15,$A149))</f>
        <v/>
      </c>
      <c r="P149" t="str">
        <f>IF($A149="","",SUMIFS(Campagne!$E$1:$E$15,Campagne!$C$1:$C$15,$A149))</f>
        <v/>
      </c>
      <c r="Q149" t="str">
        <f>IF($A149="","",SUMIFS(Campagne!$F$1:$F$15,Campagne!$C$1:$C$15,$A149))</f>
        <v/>
      </c>
      <c r="R149" t="str">
        <f>IF($A149="","",SUMIFS(Campagne!$K$1:$K$15,Campagne!$C$1:$C$15,$A149))</f>
        <v/>
      </c>
      <c r="S149" t="str">
        <f>IF($A149="","",SUMIFS(Campagne!$M$1:$M$15,Campagne!$C$1:$C$15,$A149))</f>
        <v/>
      </c>
      <c r="T149" t="str">
        <f>IF($A149="","",SUMIFS(PIL!$K$15:$K$28,PIL!$A$15:$A$28,$A149)*SUMIFS(PIL!$J$15:$J$28,PIL!$A$15:$A$28,$A149)*(SUM(PIL!$K$15:$K$28)/SUMPRODUCT(PIL!$K$15:$K$28,PIL!$J$15:$J$28)))</f>
        <v/>
      </c>
      <c r="U149" t="str">
        <f>IF($A149="","",SUMIFS(PIL!$K$15:$K$28,PIL!$A$15:$A$28,$A149))</f>
        <v/>
      </c>
      <c r="V149" t="str">
        <f t="shared" si="29"/>
        <v/>
      </c>
      <c r="W149" t="str">
        <f t="shared" si="30"/>
        <v/>
      </c>
      <c r="X149" t="str">
        <f t="shared" si="31"/>
        <v/>
      </c>
      <c r="Y149" t="str">
        <f t="shared" si="32"/>
        <v/>
      </c>
      <c r="Z149" t="str">
        <f t="shared" si="33"/>
        <v/>
      </c>
      <c r="AA149" t="str">
        <f t="shared" si="34"/>
        <v/>
      </c>
      <c r="AB149" t="str">
        <f t="shared" si="35"/>
        <v/>
      </c>
      <c r="AC149" t="str">
        <f t="shared" si="36"/>
        <v/>
      </c>
      <c r="AD149" t="str">
        <f t="shared" si="37"/>
        <v/>
      </c>
      <c r="AE149" t="str">
        <f t="shared" si="38"/>
        <v/>
      </c>
      <c r="AF149" t="str">
        <f t="shared" si="39"/>
        <v/>
      </c>
      <c r="AG149" t="str">
        <f t="shared" si="40"/>
        <v/>
      </c>
      <c r="AH149" t="str">
        <f t="shared" si="41"/>
        <v/>
      </c>
    </row>
    <row r="150" spans="1:34" x14ac:dyDescent="0.45">
      <c r="A150" t="str">
        <f>IF(Moteur!D150="","",Moteur!D150)</f>
        <v/>
      </c>
      <c r="B150" t="str">
        <f>IF(Moteur!B150="","",Moteur!B150)</f>
        <v/>
      </c>
      <c r="C150" t="str">
        <f>IF(Moteur!F150="","",Moteur!F150)</f>
        <v/>
      </c>
      <c r="D150" t="str">
        <f>IF(Moteur!G150="","",Moteur!G150)</f>
        <v/>
      </c>
      <c r="E150" t="str">
        <f>IF(Moteur!H150="","",Moteur!H150)</f>
        <v/>
      </c>
      <c r="F150" t="str">
        <f>IF(Moteur!E150="","",Moteur!E150)</f>
        <v/>
      </c>
      <c r="G150" t="str">
        <f>IF($A150="","",SUMIFS(Socle!$H$1:$H$1000,Socle!$C$1:$C$1000,$A150,Socle!$D$1:$D$1000,$C150,Socle!$E$1:$E$1000,$D150,Socle!$F$1:$F$1000,$E150,Socle!$G$1:$G$1000,"2026"))</f>
        <v/>
      </c>
      <c r="H150" t="str">
        <f>IF($A150="","",SUMIFS(Socle!$N$1:$N$1000,Socle!$C$1:$C$1000,$A150,Socle!$D$1:$D$1000,$C150,Socle!$E$1:$E$1000,$D150,Socle!$F$1:$F$1000,$E150,Socle!$G$1:$G$1000,"2026"))</f>
        <v/>
      </c>
      <c r="I150" t="str">
        <f>IF($A150="","",SUMIFS(Socle!$P$1:$P$1000,Socle!$C$1:$C$1000,$A150,Socle!$D$1:$D$1000,$C150,Socle!$E$1:$E$1000,$D150,Socle!$F$1:$F$1000,$E150,Socle!$G$1:$G$1000,"2026"))</f>
        <v/>
      </c>
      <c r="J150" t="str">
        <f>IF($A150="","",SUMIFS(Socle!$W$1:$W$1000,Socle!$C$1:$C$1000,$A150,Socle!$D$1:$D$1000,$C150,Socle!$E$1:$E$1000,$D150,Socle!$F$1:$F$1000,$E150,Socle!$G$1:$G$1000,"2026"))</f>
        <v/>
      </c>
      <c r="K150" t="str">
        <f>IF($A150="","",SUMIFS(Socle!$X$1:$X$1000,Socle!$C$1:$C$1000,$A150,Socle!$D$1:$D$1000,$C150,Socle!$E$1:$E$1000,$D150,Socle!$F$1:$F$1000,$E150,Socle!$G$1:$G$1000,"2026"))</f>
        <v/>
      </c>
      <c r="L150" t="str">
        <f>IF($A150="","",SUMIFS(Socle!$Y$1:$Y$1000,Socle!$C$1:$C$1000,$A150,Socle!$D$1:$D$1000,$C150,Socle!$E$1:$E$1000,$D150,Socle!$F$1:$F$1000,$E150,Socle!$G$1:$G$1000,"2026"))</f>
        <v/>
      </c>
      <c r="M150" t="str">
        <f>IF($A150="","",SUMIFS(Socle!$V$1:$V$1000,Socle!$C$1:$C$1000,$A150,Socle!$D$1:$D$1000,$C150,Socle!$E$1:$E$1000,$D150,Socle!$F$1:$F$1000,$E150,Socle!$G$1:$G$1000,"2026"))</f>
        <v/>
      </c>
      <c r="N150" t="str">
        <f t="shared" si="28"/>
        <v/>
      </c>
      <c r="O150" t="str">
        <f>IF($A150="","",SUMIFS(Campagne!$D$1:$D$15,Campagne!$C$1:$C$15,$A150))</f>
        <v/>
      </c>
      <c r="P150" t="str">
        <f>IF($A150="","",SUMIFS(Campagne!$E$1:$E$15,Campagne!$C$1:$C$15,$A150))</f>
        <v/>
      </c>
      <c r="Q150" t="str">
        <f>IF($A150="","",SUMIFS(Campagne!$F$1:$F$15,Campagne!$C$1:$C$15,$A150))</f>
        <v/>
      </c>
      <c r="R150" t="str">
        <f>IF($A150="","",SUMIFS(Campagne!$K$1:$K$15,Campagne!$C$1:$C$15,$A150))</f>
        <v/>
      </c>
      <c r="S150" t="str">
        <f>IF($A150="","",SUMIFS(Campagne!$M$1:$M$15,Campagne!$C$1:$C$15,$A150))</f>
        <v/>
      </c>
      <c r="T150" t="str">
        <f>IF($A150="","",SUMIFS(PIL!$K$15:$K$28,PIL!$A$15:$A$28,$A150)*SUMIFS(PIL!$J$15:$J$28,PIL!$A$15:$A$28,$A150)*(SUM(PIL!$K$15:$K$28)/SUMPRODUCT(PIL!$K$15:$K$28,PIL!$J$15:$J$28)))</f>
        <v/>
      </c>
      <c r="U150" t="str">
        <f>IF($A150="","",SUMIFS(PIL!$K$15:$K$28,PIL!$A$15:$A$28,$A150))</f>
        <v/>
      </c>
      <c r="V150" t="str">
        <f t="shared" si="29"/>
        <v/>
      </c>
      <c r="W150" t="str">
        <f t="shared" si="30"/>
        <v/>
      </c>
      <c r="X150" t="str">
        <f t="shared" si="31"/>
        <v/>
      </c>
      <c r="Y150" t="str">
        <f t="shared" si="32"/>
        <v/>
      </c>
      <c r="Z150" t="str">
        <f t="shared" si="33"/>
        <v/>
      </c>
      <c r="AA150" t="str">
        <f t="shared" si="34"/>
        <v/>
      </c>
      <c r="AB150" t="str">
        <f t="shared" si="35"/>
        <v/>
      </c>
      <c r="AC150" t="str">
        <f t="shared" si="36"/>
        <v/>
      </c>
      <c r="AD150" t="str">
        <f t="shared" si="37"/>
        <v/>
      </c>
      <c r="AE150" t="str">
        <f t="shared" si="38"/>
        <v/>
      </c>
      <c r="AF150" t="str">
        <f t="shared" si="39"/>
        <v/>
      </c>
      <c r="AG150" t="str">
        <f t="shared" si="40"/>
        <v/>
      </c>
      <c r="AH150" t="str">
        <f t="shared" si="41"/>
        <v/>
      </c>
    </row>
    <row r="151" spans="1:34" x14ac:dyDescent="0.45">
      <c r="A151" t="str">
        <f>IF(Moteur!D151="","",Moteur!D151)</f>
        <v/>
      </c>
      <c r="B151" t="str">
        <f>IF(Moteur!B151="","",Moteur!B151)</f>
        <v/>
      </c>
      <c r="C151" t="str">
        <f>IF(Moteur!F151="","",Moteur!F151)</f>
        <v/>
      </c>
      <c r="D151" t="str">
        <f>IF(Moteur!G151="","",Moteur!G151)</f>
        <v/>
      </c>
      <c r="E151" t="str">
        <f>IF(Moteur!H151="","",Moteur!H151)</f>
        <v/>
      </c>
      <c r="F151" t="str">
        <f>IF(Moteur!E151="","",Moteur!E151)</f>
        <v/>
      </c>
      <c r="G151" t="str">
        <f>IF($A151="","",SUMIFS(Socle!$H$1:$H$1000,Socle!$C$1:$C$1000,$A151,Socle!$D$1:$D$1000,$C151,Socle!$E$1:$E$1000,$D151,Socle!$F$1:$F$1000,$E151,Socle!$G$1:$G$1000,"2026"))</f>
        <v/>
      </c>
      <c r="H151" t="str">
        <f>IF($A151="","",SUMIFS(Socle!$N$1:$N$1000,Socle!$C$1:$C$1000,$A151,Socle!$D$1:$D$1000,$C151,Socle!$E$1:$E$1000,$D151,Socle!$F$1:$F$1000,$E151,Socle!$G$1:$G$1000,"2026"))</f>
        <v/>
      </c>
      <c r="I151" t="str">
        <f>IF($A151="","",SUMIFS(Socle!$P$1:$P$1000,Socle!$C$1:$C$1000,$A151,Socle!$D$1:$D$1000,$C151,Socle!$E$1:$E$1000,$D151,Socle!$F$1:$F$1000,$E151,Socle!$G$1:$G$1000,"2026"))</f>
        <v/>
      </c>
      <c r="J151" t="str">
        <f>IF($A151="","",SUMIFS(Socle!$W$1:$W$1000,Socle!$C$1:$C$1000,$A151,Socle!$D$1:$D$1000,$C151,Socle!$E$1:$E$1000,$D151,Socle!$F$1:$F$1000,$E151,Socle!$G$1:$G$1000,"2026"))</f>
        <v/>
      </c>
      <c r="K151" t="str">
        <f>IF($A151="","",SUMIFS(Socle!$X$1:$X$1000,Socle!$C$1:$C$1000,$A151,Socle!$D$1:$D$1000,$C151,Socle!$E$1:$E$1000,$D151,Socle!$F$1:$F$1000,$E151,Socle!$G$1:$G$1000,"2026"))</f>
        <v/>
      </c>
      <c r="L151" t="str">
        <f>IF($A151="","",SUMIFS(Socle!$Y$1:$Y$1000,Socle!$C$1:$C$1000,$A151,Socle!$D$1:$D$1000,$C151,Socle!$E$1:$E$1000,$D151,Socle!$F$1:$F$1000,$E151,Socle!$G$1:$G$1000,"2026"))</f>
        <v/>
      </c>
      <c r="M151" t="str">
        <f>IF($A151="","",SUMIFS(Socle!$V$1:$V$1000,Socle!$C$1:$C$1000,$A151,Socle!$D$1:$D$1000,$C151,Socle!$E$1:$E$1000,$D151,Socle!$F$1:$F$1000,$E151,Socle!$G$1:$G$1000,"2026"))</f>
        <v/>
      </c>
      <c r="N151" t="str">
        <f t="shared" si="28"/>
        <v/>
      </c>
      <c r="O151" t="str">
        <f>IF($A151="","",SUMIFS(Campagne!$D$1:$D$15,Campagne!$C$1:$C$15,$A151))</f>
        <v/>
      </c>
      <c r="P151" t="str">
        <f>IF($A151="","",SUMIFS(Campagne!$E$1:$E$15,Campagne!$C$1:$C$15,$A151))</f>
        <v/>
      </c>
      <c r="Q151" t="str">
        <f>IF($A151="","",SUMIFS(Campagne!$F$1:$F$15,Campagne!$C$1:$C$15,$A151))</f>
        <v/>
      </c>
      <c r="R151" t="str">
        <f>IF($A151="","",SUMIFS(Campagne!$K$1:$K$15,Campagne!$C$1:$C$15,$A151))</f>
        <v/>
      </c>
      <c r="S151" t="str">
        <f>IF($A151="","",SUMIFS(Campagne!$M$1:$M$15,Campagne!$C$1:$C$15,$A151))</f>
        <v/>
      </c>
      <c r="T151" t="str">
        <f>IF($A151="","",SUMIFS(PIL!$K$15:$K$28,PIL!$A$15:$A$28,$A151)*SUMIFS(PIL!$J$15:$J$28,PIL!$A$15:$A$28,$A151)*(SUM(PIL!$K$15:$K$28)/SUMPRODUCT(PIL!$K$15:$K$28,PIL!$J$15:$J$28)))</f>
        <v/>
      </c>
      <c r="U151" t="str">
        <f>IF($A151="","",SUMIFS(PIL!$K$15:$K$28,PIL!$A$15:$A$28,$A151))</f>
        <v/>
      </c>
      <c r="V151" t="str">
        <f t="shared" si="29"/>
        <v/>
      </c>
      <c r="W151" t="str">
        <f t="shared" si="30"/>
        <v/>
      </c>
      <c r="X151" t="str">
        <f t="shared" si="31"/>
        <v/>
      </c>
      <c r="Y151" t="str">
        <f t="shared" si="32"/>
        <v/>
      </c>
      <c r="Z151" t="str">
        <f t="shared" si="33"/>
        <v/>
      </c>
      <c r="AA151" t="str">
        <f t="shared" si="34"/>
        <v/>
      </c>
      <c r="AB151" t="str">
        <f t="shared" si="35"/>
        <v/>
      </c>
      <c r="AC151" t="str">
        <f t="shared" si="36"/>
        <v/>
      </c>
      <c r="AD151" t="str">
        <f t="shared" si="37"/>
        <v/>
      </c>
      <c r="AE151" t="str">
        <f t="shared" si="38"/>
        <v/>
      </c>
      <c r="AF151" t="str">
        <f t="shared" si="39"/>
        <v/>
      </c>
      <c r="AG151" t="str">
        <f t="shared" si="40"/>
        <v/>
      </c>
      <c r="AH151" t="str">
        <f t="shared" si="41"/>
        <v/>
      </c>
    </row>
    <row r="152" spans="1:34" x14ac:dyDescent="0.45">
      <c r="A152" t="str">
        <f>IF(Moteur!D152="","",Moteur!D152)</f>
        <v/>
      </c>
      <c r="B152" t="str">
        <f>IF(Moteur!B152="","",Moteur!B152)</f>
        <v/>
      </c>
      <c r="C152" t="str">
        <f>IF(Moteur!F152="","",Moteur!F152)</f>
        <v/>
      </c>
      <c r="D152" t="str">
        <f>IF(Moteur!G152="","",Moteur!G152)</f>
        <v/>
      </c>
      <c r="E152" t="str">
        <f>IF(Moteur!H152="","",Moteur!H152)</f>
        <v/>
      </c>
      <c r="F152" t="str">
        <f>IF(Moteur!E152="","",Moteur!E152)</f>
        <v/>
      </c>
      <c r="G152" t="str">
        <f>IF($A152="","",SUMIFS(Socle!$H$1:$H$1000,Socle!$C$1:$C$1000,$A152,Socle!$D$1:$D$1000,$C152,Socle!$E$1:$E$1000,$D152,Socle!$F$1:$F$1000,$E152,Socle!$G$1:$G$1000,"2026"))</f>
        <v/>
      </c>
      <c r="H152" t="str">
        <f>IF($A152="","",SUMIFS(Socle!$N$1:$N$1000,Socle!$C$1:$C$1000,$A152,Socle!$D$1:$D$1000,$C152,Socle!$E$1:$E$1000,$D152,Socle!$F$1:$F$1000,$E152,Socle!$G$1:$G$1000,"2026"))</f>
        <v/>
      </c>
      <c r="I152" t="str">
        <f>IF($A152="","",SUMIFS(Socle!$P$1:$P$1000,Socle!$C$1:$C$1000,$A152,Socle!$D$1:$D$1000,$C152,Socle!$E$1:$E$1000,$D152,Socle!$F$1:$F$1000,$E152,Socle!$G$1:$G$1000,"2026"))</f>
        <v/>
      </c>
      <c r="J152" t="str">
        <f>IF($A152="","",SUMIFS(Socle!$W$1:$W$1000,Socle!$C$1:$C$1000,$A152,Socle!$D$1:$D$1000,$C152,Socle!$E$1:$E$1000,$D152,Socle!$F$1:$F$1000,$E152,Socle!$G$1:$G$1000,"2026"))</f>
        <v/>
      </c>
      <c r="K152" t="str">
        <f>IF($A152="","",SUMIFS(Socle!$X$1:$X$1000,Socle!$C$1:$C$1000,$A152,Socle!$D$1:$D$1000,$C152,Socle!$E$1:$E$1000,$D152,Socle!$F$1:$F$1000,$E152,Socle!$G$1:$G$1000,"2026"))</f>
        <v/>
      </c>
      <c r="L152" t="str">
        <f>IF($A152="","",SUMIFS(Socle!$Y$1:$Y$1000,Socle!$C$1:$C$1000,$A152,Socle!$D$1:$D$1000,$C152,Socle!$E$1:$E$1000,$D152,Socle!$F$1:$F$1000,$E152,Socle!$G$1:$G$1000,"2026"))</f>
        <v/>
      </c>
      <c r="M152" t="str">
        <f>IF($A152="","",SUMIFS(Socle!$V$1:$V$1000,Socle!$C$1:$C$1000,$A152,Socle!$D$1:$D$1000,$C152,Socle!$E$1:$E$1000,$D152,Socle!$F$1:$F$1000,$E152,Socle!$G$1:$G$1000,"2026"))</f>
        <v/>
      </c>
      <c r="N152" t="str">
        <f t="shared" si="28"/>
        <v/>
      </c>
      <c r="O152" t="str">
        <f>IF($A152="","",SUMIFS(Campagne!$D$1:$D$15,Campagne!$C$1:$C$15,$A152))</f>
        <v/>
      </c>
      <c r="P152" t="str">
        <f>IF($A152="","",SUMIFS(Campagne!$E$1:$E$15,Campagne!$C$1:$C$15,$A152))</f>
        <v/>
      </c>
      <c r="Q152" t="str">
        <f>IF($A152="","",SUMIFS(Campagne!$F$1:$F$15,Campagne!$C$1:$C$15,$A152))</f>
        <v/>
      </c>
      <c r="R152" t="str">
        <f>IF($A152="","",SUMIFS(Campagne!$K$1:$K$15,Campagne!$C$1:$C$15,$A152))</f>
        <v/>
      </c>
      <c r="S152" t="str">
        <f>IF($A152="","",SUMIFS(Campagne!$M$1:$M$15,Campagne!$C$1:$C$15,$A152))</f>
        <v/>
      </c>
      <c r="T152" t="str">
        <f>IF($A152="","",SUMIFS(PIL!$K$15:$K$28,PIL!$A$15:$A$28,$A152)*SUMIFS(PIL!$J$15:$J$28,PIL!$A$15:$A$28,$A152)*(SUM(PIL!$K$15:$K$28)/SUMPRODUCT(PIL!$K$15:$K$28,PIL!$J$15:$J$28)))</f>
        <v/>
      </c>
      <c r="U152" t="str">
        <f>IF($A152="","",SUMIFS(PIL!$K$15:$K$28,PIL!$A$15:$A$28,$A152))</f>
        <v/>
      </c>
      <c r="V152" t="str">
        <f t="shared" si="29"/>
        <v/>
      </c>
      <c r="W152" t="str">
        <f t="shared" si="30"/>
        <v/>
      </c>
      <c r="X152" t="str">
        <f t="shared" si="31"/>
        <v/>
      </c>
      <c r="Y152" t="str">
        <f t="shared" si="32"/>
        <v/>
      </c>
      <c r="Z152" t="str">
        <f t="shared" si="33"/>
        <v/>
      </c>
      <c r="AA152" t="str">
        <f t="shared" si="34"/>
        <v/>
      </c>
      <c r="AB152" t="str">
        <f t="shared" si="35"/>
        <v/>
      </c>
      <c r="AC152" t="str">
        <f t="shared" si="36"/>
        <v/>
      </c>
      <c r="AD152" t="str">
        <f t="shared" si="37"/>
        <v/>
      </c>
      <c r="AE152" t="str">
        <f t="shared" si="38"/>
        <v/>
      </c>
      <c r="AF152" t="str">
        <f t="shared" si="39"/>
        <v/>
      </c>
      <c r="AG152" t="str">
        <f t="shared" si="40"/>
        <v/>
      </c>
      <c r="AH152" t="str">
        <f t="shared" si="41"/>
        <v/>
      </c>
    </row>
    <row r="153" spans="1:34" x14ac:dyDescent="0.45">
      <c r="A153" t="str">
        <f>IF(Moteur!D153="","",Moteur!D153)</f>
        <v/>
      </c>
      <c r="B153" t="str">
        <f>IF(Moteur!B153="","",Moteur!B153)</f>
        <v/>
      </c>
      <c r="C153" t="str">
        <f>IF(Moteur!F153="","",Moteur!F153)</f>
        <v/>
      </c>
      <c r="D153" t="str">
        <f>IF(Moteur!G153="","",Moteur!G153)</f>
        <v/>
      </c>
      <c r="E153" t="str">
        <f>IF(Moteur!H153="","",Moteur!H153)</f>
        <v/>
      </c>
      <c r="F153" t="str">
        <f>IF(Moteur!E153="","",Moteur!E153)</f>
        <v/>
      </c>
      <c r="G153" t="str">
        <f>IF($A153="","",SUMIFS(Socle!$H$1:$H$1000,Socle!$C$1:$C$1000,$A153,Socle!$D$1:$D$1000,$C153,Socle!$E$1:$E$1000,$D153,Socle!$F$1:$F$1000,$E153,Socle!$G$1:$G$1000,"2026"))</f>
        <v/>
      </c>
      <c r="H153" t="str">
        <f>IF($A153="","",SUMIFS(Socle!$N$1:$N$1000,Socle!$C$1:$C$1000,$A153,Socle!$D$1:$D$1000,$C153,Socle!$E$1:$E$1000,$D153,Socle!$F$1:$F$1000,$E153,Socle!$G$1:$G$1000,"2026"))</f>
        <v/>
      </c>
      <c r="I153" t="str">
        <f>IF($A153="","",SUMIFS(Socle!$P$1:$P$1000,Socle!$C$1:$C$1000,$A153,Socle!$D$1:$D$1000,$C153,Socle!$E$1:$E$1000,$D153,Socle!$F$1:$F$1000,$E153,Socle!$G$1:$G$1000,"2026"))</f>
        <v/>
      </c>
      <c r="J153" t="str">
        <f>IF($A153="","",SUMIFS(Socle!$W$1:$W$1000,Socle!$C$1:$C$1000,$A153,Socle!$D$1:$D$1000,$C153,Socle!$E$1:$E$1000,$D153,Socle!$F$1:$F$1000,$E153,Socle!$G$1:$G$1000,"2026"))</f>
        <v/>
      </c>
      <c r="K153" t="str">
        <f>IF($A153="","",SUMIFS(Socle!$X$1:$X$1000,Socle!$C$1:$C$1000,$A153,Socle!$D$1:$D$1000,$C153,Socle!$E$1:$E$1000,$D153,Socle!$F$1:$F$1000,$E153,Socle!$G$1:$G$1000,"2026"))</f>
        <v/>
      </c>
      <c r="L153" t="str">
        <f>IF($A153="","",SUMIFS(Socle!$Y$1:$Y$1000,Socle!$C$1:$C$1000,$A153,Socle!$D$1:$D$1000,$C153,Socle!$E$1:$E$1000,$D153,Socle!$F$1:$F$1000,$E153,Socle!$G$1:$G$1000,"2026"))</f>
        <v/>
      </c>
      <c r="M153" t="str">
        <f>IF($A153="","",SUMIFS(Socle!$V$1:$V$1000,Socle!$C$1:$C$1000,$A153,Socle!$D$1:$D$1000,$C153,Socle!$E$1:$E$1000,$D153,Socle!$F$1:$F$1000,$E153,Socle!$G$1:$G$1000,"2026"))</f>
        <v/>
      </c>
      <c r="N153" t="str">
        <f t="shared" si="28"/>
        <v/>
      </c>
      <c r="O153" t="str">
        <f>IF($A153="","",SUMIFS(Campagne!$D$1:$D$15,Campagne!$C$1:$C$15,$A153))</f>
        <v/>
      </c>
      <c r="P153" t="str">
        <f>IF($A153="","",SUMIFS(Campagne!$E$1:$E$15,Campagne!$C$1:$C$15,$A153))</f>
        <v/>
      </c>
      <c r="Q153" t="str">
        <f>IF($A153="","",SUMIFS(Campagne!$F$1:$F$15,Campagne!$C$1:$C$15,$A153))</f>
        <v/>
      </c>
      <c r="R153" t="str">
        <f>IF($A153="","",SUMIFS(Campagne!$K$1:$K$15,Campagne!$C$1:$C$15,$A153))</f>
        <v/>
      </c>
      <c r="S153" t="str">
        <f>IF($A153="","",SUMIFS(Campagne!$M$1:$M$15,Campagne!$C$1:$C$15,$A153))</f>
        <v/>
      </c>
      <c r="T153" t="str">
        <f>IF($A153="","",SUMIFS(PIL!$K$15:$K$28,PIL!$A$15:$A$28,$A153)*SUMIFS(PIL!$J$15:$J$28,PIL!$A$15:$A$28,$A153)*(SUM(PIL!$K$15:$K$28)/SUMPRODUCT(PIL!$K$15:$K$28,PIL!$J$15:$J$28)))</f>
        <v/>
      </c>
      <c r="U153" t="str">
        <f>IF($A153="","",SUMIFS(PIL!$K$15:$K$28,PIL!$A$15:$A$28,$A153))</f>
        <v/>
      </c>
      <c r="V153" t="str">
        <f t="shared" si="29"/>
        <v/>
      </c>
      <c r="W153" t="str">
        <f t="shared" si="30"/>
        <v/>
      </c>
      <c r="X153" t="str">
        <f t="shared" si="31"/>
        <v/>
      </c>
      <c r="Y153" t="str">
        <f t="shared" si="32"/>
        <v/>
      </c>
      <c r="Z153" t="str">
        <f t="shared" si="33"/>
        <v/>
      </c>
      <c r="AA153" t="str">
        <f t="shared" si="34"/>
        <v/>
      </c>
      <c r="AB153" t="str">
        <f t="shared" si="35"/>
        <v/>
      </c>
      <c r="AC153" t="str">
        <f t="shared" si="36"/>
        <v/>
      </c>
      <c r="AD153" t="str">
        <f t="shared" si="37"/>
        <v/>
      </c>
      <c r="AE153" t="str">
        <f t="shared" si="38"/>
        <v/>
      </c>
      <c r="AF153" t="str">
        <f t="shared" si="39"/>
        <v/>
      </c>
      <c r="AG153" t="str">
        <f t="shared" si="40"/>
        <v/>
      </c>
      <c r="AH153" t="str">
        <f t="shared" si="41"/>
        <v/>
      </c>
    </row>
    <row r="154" spans="1:34" x14ac:dyDescent="0.45">
      <c r="A154" t="str">
        <f>IF(Moteur!D154="","",Moteur!D154)</f>
        <v/>
      </c>
      <c r="B154" t="str">
        <f>IF(Moteur!B154="","",Moteur!B154)</f>
        <v/>
      </c>
      <c r="C154" t="str">
        <f>IF(Moteur!F154="","",Moteur!F154)</f>
        <v/>
      </c>
      <c r="D154" t="str">
        <f>IF(Moteur!G154="","",Moteur!G154)</f>
        <v/>
      </c>
      <c r="E154" t="str">
        <f>IF(Moteur!H154="","",Moteur!H154)</f>
        <v/>
      </c>
      <c r="F154" t="str">
        <f>IF(Moteur!E154="","",Moteur!E154)</f>
        <v/>
      </c>
      <c r="G154" t="str">
        <f>IF($A154="","",SUMIFS(Socle!$H$1:$H$1000,Socle!$C$1:$C$1000,$A154,Socle!$D$1:$D$1000,$C154,Socle!$E$1:$E$1000,$D154,Socle!$F$1:$F$1000,$E154,Socle!$G$1:$G$1000,"2026"))</f>
        <v/>
      </c>
      <c r="H154" t="str">
        <f>IF($A154="","",SUMIFS(Socle!$N$1:$N$1000,Socle!$C$1:$C$1000,$A154,Socle!$D$1:$D$1000,$C154,Socle!$E$1:$E$1000,$D154,Socle!$F$1:$F$1000,$E154,Socle!$G$1:$G$1000,"2026"))</f>
        <v/>
      </c>
      <c r="I154" t="str">
        <f>IF($A154="","",SUMIFS(Socle!$P$1:$P$1000,Socle!$C$1:$C$1000,$A154,Socle!$D$1:$D$1000,$C154,Socle!$E$1:$E$1000,$D154,Socle!$F$1:$F$1000,$E154,Socle!$G$1:$G$1000,"2026"))</f>
        <v/>
      </c>
      <c r="J154" t="str">
        <f>IF($A154="","",SUMIFS(Socle!$W$1:$W$1000,Socle!$C$1:$C$1000,$A154,Socle!$D$1:$D$1000,$C154,Socle!$E$1:$E$1000,$D154,Socle!$F$1:$F$1000,$E154,Socle!$G$1:$G$1000,"2026"))</f>
        <v/>
      </c>
      <c r="K154" t="str">
        <f>IF($A154="","",SUMIFS(Socle!$X$1:$X$1000,Socle!$C$1:$C$1000,$A154,Socle!$D$1:$D$1000,$C154,Socle!$E$1:$E$1000,$D154,Socle!$F$1:$F$1000,$E154,Socle!$G$1:$G$1000,"2026"))</f>
        <v/>
      </c>
      <c r="L154" t="str">
        <f>IF($A154="","",SUMIFS(Socle!$Y$1:$Y$1000,Socle!$C$1:$C$1000,$A154,Socle!$D$1:$D$1000,$C154,Socle!$E$1:$E$1000,$D154,Socle!$F$1:$F$1000,$E154,Socle!$G$1:$G$1000,"2026"))</f>
        <v/>
      </c>
      <c r="M154" t="str">
        <f>IF($A154="","",SUMIFS(Socle!$V$1:$V$1000,Socle!$C$1:$C$1000,$A154,Socle!$D$1:$D$1000,$C154,Socle!$E$1:$E$1000,$D154,Socle!$F$1:$F$1000,$E154,Socle!$G$1:$G$1000,"2026"))</f>
        <v/>
      </c>
      <c r="N154" t="str">
        <f t="shared" si="28"/>
        <v/>
      </c>
      <c r="O154" t="str">
        <f>IF($A154="","",SUMIFS(Campagne!$D$1:$D$15,Campagne!$C$1:$C$15,$A154))</f>
        <v/>
      </c>
      <c r="P154" t="str">
        <f>IF($A154="","",SUMIFS(Campagne!$E$1:$E$15,Campagne!$C$1:$C$15,$A154))</f>
        <v/>
      </c>
      <c r="Q154" t="str">
        <f>IF($A154="","",SUMIFS(Campagne!$F$1:$F$15,Campagne!$C$1:$C$15,$A154))</f>
        <v/>
      </c>
      <c r="R154" t="str">
        <f>IF($A154="","",SUMIFS(Campagne!$K$1:$K$15,Campagne!$C$1:$C$15,$A154))</f>
        <v/>
      </c>
      <c r="S154" t="str">
        <f>IF($A154="","",SUMIFS(Campagne!$M$1:$M$15,Campagne!$C$1:$C$15,$A154))</f>
        <v/>
      </c>
      <c r="T154" t="str">
        <f>IF($A154="","",SUMIFS(PIL!$K$15:$K$28,PIL!$A$15:$A$28,$A154)*SUMIFS(PIL!$J$15:$J$28,PIL!$A$15:$A$28,$A154)*(SUM(PIL!$K$15:$K$28)/SUMPRODUCT(PIL!$K$15:$K$28,PIL!$J$15:$J$28)))</f>
        <v/>
      </c>
      <c r="U154" t="str">
        <f>IF($A154="","",SUMIFS(PIL!$K$15:$K$28,PIL!$A$15:$A$28,$A154))</f>
        <v/>
      </c>
      <c r="V154" t="str">
        <f t="shared" si="29"/>
        <v/>
      </c>
      <c r="W154" t="str">
        <f t="shared" si="30"/>
        <v/>
      </c>
      <c r="X154" t="str">
        <f t="shared" si="31"/>
        <v/>
      </c>
      <c r="Y154" t="str">
        <f t="shared" si="32"/>
        <v/>
      </c>
      <c r="Z154" t="str">
        <f t="shared" si="33"/>
        <v/>
      </c>
      <c r="AA154" t="str">
        <f t="shared" si="34"/>
        <v/>
      </c>
      <c r="AB154" t="str">
        <f t="shared" si="35"/>
        <v/>
      </c>
      <c r="AC154" t="str">
        <f t="shared" si="36"/>
        <v/>
      </c>
      <c r="AD154" t="str">
        <f t="shared" si="37"/>
        <v/>
      </c>
      <c r="AE154" t="str">
        <f t="shared" si="38"/>
        <v/>
      </c>
      <c r="AF154" t="str">
        <f t="shared" si="39"/>
        <v/>
      </c>
      <c r="AG154" t="str">
        <f t="shared" si="40"/>
        <v/>
      </c>
      <c r="AH154" t="str">
        <f t="shared" si="41"/>
        <v/>
      </c>
    </row>
    <row r="155" spans="1:34" x14ac:dyDescent="0.45">
      <c r="A155" t="str">
        <f>IF(Moteur!D155="","",Moteur!D155)</f>
        <v/>
      </c>
      <c r="B155" t="str">
        <f>IF(Moteur!B155="","",Moteur!B155)</f>
        <v/>
      </c>
      <c r="C155" t="str">
        <f>IF(Moteur!F155="","",Moteur!F155)</f>
        <v/>
      </c>
      <c r="D155" t="str">
        <f>IF(Moteur!G155="","",Moteur!G155)</f>
        <v/>
      </c>
      <c r="E155" t="str">
        <f>IF(Moteur!H155="","",Moteur!H155)</f>
        <v/>
      </c>
      <c r="F155" t="str">
        <f>IF(Moteur!E155="","",Moteur!E155)</f>
        <v/>
      </c>
      <c r="G155" t="str">
        <f>IF($A155="","",SUMIFS(Socle!$H$1:$H$1000,Socle!$C$1:$C$1000,$A155,Socle!$D$1:$D$1000,$C155,Socle!$E$1:$E$1000,$D155,Socle!$F$1:$F$1000,$E155,Socle!$G$1:$G$1000,"2026"))</f>
        <v/>
      </c>
      <c r="H155" t="str">
        <f>IF($A155="","",SUMIFS(Socle!$N$1:$N$1000,Socle!$C$1:$C$1000,$A155,Socle!$D$1:$D$1000,$C155,Socle!$E$1:$E$1000,$D155,Socle!$F$1:$F$1000,$E155,Socle!$G$1:$G$1000,"2026"))</f>
        <v/>
      </c>
      <c r="I155" t="str">
        <f>IF($A155="","",SUMIFS(Socle!$P$1:$P$1000,Socle!$C$1:$C$1000,$A155,Socle!$D$1:$D$1000,$C155,Socle!$E$1:$E$1000,$D155,Socle!$F$1:$F$1000,$E155,Socle!$G$1:$G$1000,"2026"))</f>
        <v/>
      </c>
      <c r="J155" t="str">
        <f>IF($A155="","",SUMIFS(Socle!$W$1:$W$1000,Socle!$C$1:$C$1000,$A155,Socle!$D$1:$D$1000,$C155,Socle!$E$1:$E$1000,$D155,Socle!$F$1:$F$1000,$E155,Socle!$G$1:$G$1000,"2026"))</f>
        <v/>
      </c>
      <c r="K155" t="str">
        <f>IF($A155="","",SUMIFS(Socle!$X$1:$X$1000,Socle!$C$1:$C$1000,$A155,Socle!$D$1:$D$1000,$C155,Socle!$E$1:$E$1000,$D155,Socle!$F$1:$F$1000,$E155,Socle!$G$1:$G$1000,"2026"))</f>
        <v/>
      </c>
      <c r="L155" t="str">
        <f>IF($A155="","",SUMIFS(Socle!$Y$1:$Y$1000,Socle!$C$1:$C$1000,$A155,Socle!$D$1:$D$1000,$C155,Socle!$E$1:$E$1000,$D155,Socle!$F$1:$F$1000,$E155,Socle!$G$1:$G$1000,"2026"))</f>
        <v/>
      </c>
      <c r="M155" t="str">
        <f>IF($A155="","",SUMIFS(Socle!$V$1:$V$1000,Socle!$C$1:$C$1000,$A155,Socle!$D$1:$D$1000,$C155,Socle!$E$1:$E$1000,$D155,Socle!$F$1:$F$1000,$E155,Socle!$G$1:$G$1000,"2026"))</f>
        <v/>
      </c>
      <c r="N155" t="str">
        <f t="shared" si="28"/>
        <v/>
      </c>
      <c r="O155" t="str">
        <f>IF($A155="","",SUMIFS(Campagne!$D$1:$D$15,Campagne!$C$1:$C$15,$A155))</f>
        <v/>
      </c>
      <c r="P155" t="str">
        <f>IF($A155="","",SUMIFS(Campagne!$E$1:$E$15,Campagne!$C$1:$C$15,$A155))</f>
        <v/>
      </c>
      <c r="Q155" t="str">
        <f>IF($A155="","",SUMIFS(Campagne!$F$1:$F$15,Campagne!$C$1:$C$15,$A155))</f>
        <v/>
      </c>
      <c r="R155" t="str">
        <f>IF($A155="","",SUMIFS(Campagne!$K$1:$K$15,Campagne!$C$1:$C$15,$A155))</f>
        <v/>
      </c>
      <c r="S155" t="str">
        <f>IF($A155="","",SUMIFS(Campagne!$M$1:$M$15,Campagne!$C$1:$C$15,$A155))</f>
        <v/>
      </c>
      <c r="T155" t="str">
        <f>IF($A155="","",SUMIFS(PIL!$K$15:$K$28,PIL!$A$15:$A$28,$A155)*SUMIFS(PIL!$J$15:$J$28,PIL!$A$15:$A$28,$A155)*(SUM(PIL!$K$15:$K$28)/SUMPRODUCT(PIL!$K$15:$K$28,PIL!$J$15:$J$28)))</f>
        <v/>
      </c>
      <c r="U155" t="str">
        <f>IF($A155="","",SUMIFS(PIL!$K$15:$K$28,PIL!$A$15:$A$28,$A155))</f>
        <v/>
      </c>
      <c r="V155" t="str">
        <f t="shared" si="29"/>
        <v/>
      </c>
      <c r="W155" t="str">
        <f t="shared" si="30"/>
        <v/>
      </c>
      <c r="X155" t="str">
        <f t="shared" si="31"/>
        <v/>
      </c>
      <c r="Y155" t="str">
        <f t="shared" si="32"/>
        <v/>
      </c>
      <c r="Z155" t="str">
        <f t="shared" si="33"/>
        <v/>
      </c>
      <c r="AA155" t="str">
        <f t="shared" si="34"/>
        <v/>
      </c>
      <c r="AB155" t="str">
        <f t="shared" si="35"/>
        <v/>
      </c>
      <c r="AC155" t="str">
        <f t="shared" si="36"/>
        <v/>
      </c>
      <c r="AD155" t="str">
        <f t="shared" si="37"/>
        <v/>
      </c>
      <c r="AE155" t="str">
        <f t="shared" si="38"/>
        <v/>
      </c>
      <c r="AF155" t="str">
        <f t="shared" si="39"/>
        <v/>
      </c>
      <c r="AG155" t="str">
        <f t="shared" si="40"/>
        <v/>
      </c>
      <c r="AH155" t="str">
        <f t="shared" si="41"/>
        <v/>
      </c>
    </row>
    <row r="156" spans="1:34" x14ac:dyDescent="0.45">
      <c r="A156" t="str">
        <f>IF(Moteur!D156="","",Moteur!D156)</f>
        <v/>
      </c>
      <c r="B156" t="str">
        <f>IF(Moteur!B156="","",Moteur!B156)</f>
        <v/>
      </c>
      <c r="C156" t="str">
        <f>IF(Moteur!F156="","",Moteur!F156)</f>
        <v/>
      </c>
      <c r="D156" t="str">
        <f>IF(Moteur!G156="","",Moteur!G156)</f>
        <v/>
      </c>
      <c r="E156" t="str">
        <f>IF(Moteur!H156="","",Moteur!H156)</f>
        <v/>
      </c>
      <c r="F156" t="str">
        <f>IF(Moteur!E156="","",Moteur!E156)</f>
        <v/>
      </c>
      <c r="G156" t="str">
        <f>IF($A156="","",SUMIFS(Socle!$H$1:$H$1000,Socle!$C$1:$C$1000,$A156,Socle!$D$1:$D$1000,$C156,Socle!$E$1:$E$1000,$D156,Socle!$F$1:$F$1000,$E156,Socle!$G$1:$G$1000,"2026"))</f>
        <v/>
      </c>
      <c r="H156" t="str">
        <f>IF($A156="","",SUMIFS(Socle!$N$1:$N$1000,Socle!$C$1:$C$1000,$A156,Socle!$D$1:$D$1000,$C156,Socle!$E$1:$E$1000,$D156,Socle!$F$1:$F$1000,$E156,Socle!$G$1:$G$1000,"2026"))</f>
        <v/>
      </c>
      <c r="I156" t="str">
        <f>IF($A156="","",SUMIFS(Socle!$P$1:$P$1000,Socle!$C$1:$C$1000,$A156,Socle!$D$1:$D$1000,$C156,Socle!$E$1:$E$1000,$D156,Socle!$F$1:$F$1000,$E156,Socle!$G$1:$G$1000,"2026"))</f>
        <v/>
      </c>
      <c r="J156" t="str">
        <f>IF($A156="","",SUMIFS(Socle!$W$1:$W$1000,Socle!$C$1:$C$1000,$A156,Socle!$D$1:$D$1000,$C156,Socle!$E$1:$E$1000,$D156,Socle!$F$1:$F$1000,$E156,Socle!$G$1:$G$1000,"2026"))</f>
        <v/>
      </c>
      <c r="K156" t="str">
        <f>IF($A156="","",SUMIFS(Socle!$X$1:$X$1000,Socle!$C$1:$C$1000,$A156,Socle!$D$1:$D$1000,$C156,Socle!$E$1:$E$1000,$D156,Socle!$F$1:$F$1000,$E156,Socle!$G$1:$G$1000,"2026"))</f>
        <v/>
      </c>
      <c r="L156" t="str">
        <f>IF($A156="","",SUMIFS(Socle!$Y$1:$Y$1000,Socle!$C$1:$C$1000,$A156,Socle!$D$1:$D$1000,$C156,Socle!$E$1:$E$1000,$D156,Socle!$F$1:$F$1000,$E156,Socle!$G$1:$G$1000,"2026"))</f>
        <v/>
      </c>
      <c r="M156" t="str">
        <f>IF($A156="","",SUMIFS(Socle!$V$1:$V$1000,Socle!$C$1:$C$1000,$A156,Socle!$D$1:$D$1000,$C156,Socle!$E$1:$E$1000,$D156,Socle!$F$1:$F$1000,$E156,Socle!$G$1:$G$1000,"2026"))</f>
        <v/>
      </c>
      <c r="N156" t="str">
        <f t="shared" si="28"/>
        <v/>
      </c>
      <c r="O156" t="str">
        <f>IF($A156="","",SUMIFS(Campagne!$D$1:$D$15,Campagne!$C$1:$C$15,$A156))</f>
        <v/>
      </c>
      <c r="P156" t="str">
        <f>IF($A156="","",SUMIFS(Campagne!$E$1:$E$15,Campagne!$C$1:$C$15,$A156))</f>
        <v/>
      </c>
      <c r="Q156" t="str">
        <f>IF($A156="","",SUMIFS(Campagne!$F$1:$F$15,Campagne!$C$1:$C$15,$A156))</f>
        <v/>
      </c>
      <c r="R156" t="str">
        <f>IF($A156="","",SUMIFS(Campagne!$K$1:$K$15,Campagne!$C$1:$C$15,$A156))</f>
        <v/>
      </c>
      <c r="S156" t="str">
        <f>IF($A156="","",SUMIFS(Campagne!$M$1:$M$15,Campagne!$C$1:$C$15,$A156))</f>
        <v/>
      </c>
      <c r="T156" t="str">
        <f>IF($A156="","",SUMIFS(PIL!$K$15:$K$28,PIL!$A$15:$A$28,$A156)*SUMIFS(PIL!$J$15:$J$28,PIL!$A$15:$A$28,$A156)*(SUM(PIL!$K$15:$K$28)/SUMPRODUCT(PIL!$K$15:$K$28,PIL!$J$15:$J$28)))</f>
        <v/>
      </c>
      <c r="U156" t="str">
        <f>IF($A156="","",SUMIFS(PIL!$K$15:$K$28,PIL!$A$15:$A$28,$A156))</f>
        <v/>
      </c>
      <c r="V156" t="str">
        <f t="shared" si="29"/>
        <v/>
      </c>
      <c r="W156" t="str">
        <f t="shared" si="30"/>
        <v/>
      </c>
      <c r="X156" t="str">
        <f t="shared" si="31"/>
        <v/>
      </c>
      <c r="Y156" t="str">
        <f t="shared" si="32"/>
        <v/>
      </c>
      <c r="Z156" t="str">
        <f t="shared" si="33"/>
        <v/>
      </c>
      <c r="AA156" t="str">
        <f t="shared" si="34"/>
        <v/>
      </c>
      <c r="AB156" t="str">
        <f t="shared" si="35"/>
        <v/>
      </c>
      <c r="AC156" t="str">
        <f t="shared" si="36"/>
        <v/>
      </c>
      <c r="AD156" t="str">
        <f t="shared" si="37"/>
        <v/>
      </c>
      <c r="AE156" t="str">
        <f t="shared" si="38"/>
        <v/>
      </c>
      <c r="AF156" t="str">
        <f t="shared" si="39"/>
        <v/>
      </c>
      <c r="AG156" t="str">
        <f t="shared" si="40"/>
        <v/>
      </c>
      <c r="AH156" t="str">
        <f t="shared" si="41"/>
        <v/>
      </c>
    </row>
    <row r="157" spans="1:34" x14ac:dyDescent="0.45">
      <c r="A157" t="str">
        <f>IF(Moteur!D157="","",Moteur!D157)</f>
        <v/>
      </c>
      <c r="B157" t="str">
        <f>IF(Moteur!B157="","",Moteur!B157)</f>
        <v/>
      </c>
      <c r="C157" t="str">
        <f>IF(Moteur!F157="","",Moteur!F157)</f>
        <v/>
      </c>
      <c r="D157" t="str">
        <f>IF(Moteur!G157="","",Moteur!G157)</f>
        <v/>
      </c>
      <c r="E157" t="str">
        <f>IF(Moteur!H157="","",Moteur!H157)</f>
        <v/>
      </c>
      <c r="F157" t="str">
        <f>IF(Moteur!E157="","",Moteur!E157)</f>
        <v/>
      </c>
      <c r="G157" t="str">
        <f>IF($A157="","",SUMIFS(Socle!$H$1:$H$1000,Socle!$C$1:$C$1000,$A157,Socle!$D$1:$D$1000,$C157,Socle!$E$1:$E$1000,$D157,Socle!$F$1:$F$1000,$E157,Socle!$G$1:$G$1000,"2026"))</f>
        <v/>
      </c>
      <c r="H157" t="str">
        <f>IF($A157="","",SUMIFS(Socle!$N$1:$N$1000,Socle!$C$1:$C$1000,$A157,Socle!$D$1:$D$1000,$C157,Socle!$E$1:$E$1000,$D157,Socle!$F$1:$F$1000,$E157,Socle!$G$1:$G$1000,"2026"))</f>
        <v/>
      </c>
      <c r="I157" t="str">
        <f>IF($A157="","",SUMIFS(Socle!$P$1:$P$1000,Socle!$C$1:$C$1000,$A157,Socle!$D$1:$D$1000,$C157,Socle!$E$1:$E$1000,$D157,Socle!$F$1:$F$1000,$E157,Socle!$G$1:$G$1000,"2026"))</f>
        <v/>
      </c>
      <c r="J157" t="str">
        <f>IF($A157="","",SUMIFS(Socle!$W$1:$W$1000,Socle!$C$1:$C$1000,$A157,Socle!$D$1:$D$1000,$C157,Socle!$E$1:$E$1000,$D157,Socle!$F$1:$F$1000,$E157,Socle!$G$1:$G$1000,"2026"))</f>
        <v/>
      </c>
      <c r="K157" t="str">
        <f>IF($A157="","",SUMIFS(Socle!$X$1:$X$1000,Socle!$C$1:$C$1000,$A157,Socle!$D$1:$D$1000,$C157,Socle!$E$1:$E$1000,$D157,Socle!$F$1:$F$1000,$E157,Socle!$G$1:$G$1000,"2026"))</f>
        <v/>
      </c>
      <c r="L157" t="str">
        <f>IF($A157="","",SUMIFS(Socle!$Y$1:$Y$1000,Socle!$C$1:$C$1000,$A157,Socle!$D$1:$D$1000,$C157,Socle!$E$1:$E$1000,$D157,Socle!$F$1:$F$1000,$E157,Socle!$G$1:$G$1000,"2026"))</f>
        <v/>
      </c>
      <c r="M157" t="str">
        <f>IF($A157="","",SUMIFS(Socle!$V$1:$V$1000,Socle!$C$1:$C$1000,$A157,Socle!$D$1:$D$1000,$C157,Socle!$E$1:$E$1000,$D157,Socle!$F$1:$F$1000,$E157,Socle!$G$1:$G$1000,"2026"))</f>
        <v/>
      </c>
      <c r="N157" t="str">
        <f t="shared" si="28"/>
        <v/>
      </c>
      <c r="O157" t="str">
        <f>IF($A157="","",SUMIFS(Campagne!$D$1:$D$15,Campagne!$C$1:$C$15,$A157))</f>
        <v/>
      </c>
      <c r="P157" t="str">
        <f>IF($A157="","",SUMIFS(Campagne!$E$1:$E$15,Campagne!$C$1:$C$15,$A157))</f>
        <v/>
      </c>
      <c r="Q157" t="str">
        <f>IF($A157="","",SUMIFS(Campagne!$F$1:$F$15,Campagne!$C$1:$C$15,$A157))</f>
        <v/>
      </c>
      <c r="R157" t="str">
        <f>IF($A157="","",SUMIFS(Campagne!$K$1:$K$15,Campagne!$C$1:$C$15,$A157))</f>
        <v/>
      </c>
      <c r="S157" t="str">
        <f>IF($A157="","",SUMIFS(Campagne!$M$1:$M$15,Campagne!$C$1:$C$15,$A157))</f>
        <v/>
      </c>
      <c r="T157" t="str">
        <f>IF($A157="","",SUMIFS(PIL!$K$15:$K$28,PIL!$A$15:$A$28,$A157)*SUMIFS(PIL!$J$15:$J$28,PIL!$A$15:$A$28,$A157)*(SUM(PIL!$K$15:$K$28)/SUMPRODUCT(PIL!$K$15:$K$28,PIL!$J$15:$J$28)))</f>
        <v/>
      </c>
      <c r="U157" t="str">
        <f>IF($A157="","",SUMIFS(PIL!$K$15:$K$28,PIL!$A$15:$A$28,$A157))</f>
        <v/>
      </c>
      <c r="V157" t="str">
        <f t="shared" si="29"/>
        <v/>
      </c>
      <c r="W157" t="str">
        <f t="shared" si="30"/>
        <v/>
      </c>
      <c r="X157" t="str">
        <f t="shared" si="31"/>
        <v/>
      </c>
      <c r="Y157" t="str">
        <f t="shared" si="32"/>
        <v/>
      </c>
      <c r="Z157" t="str">
        <f t="shared" si="33"/>
        <v/>
      </c>
      <c r="AA157" t="str">
        <f t="shared" si="34"/>
        <v/>
      </c>
      <c r="AB157" t="str">
        <f t="shared" si="35"/>
        <v/>
      </c>
      <c r="AC157" t="str">
        <f t="shared" si="36"/>
        <v/>
      </c>
      <c r="AD157" t="str">
        <f t="shared" si="37"/>
        <v/>
      </c>
      <c r="AE157" t="str">
        <f t="shared" si="38"/>
        <v/>
      </c>
      <c r="AF157" t="str">
        <f t="shared" si="39"/>
        <v/>
      </c>
      <c r="AG157" t="str">
        <f t="shared" si="40"/>
        <v/>
      </c>
      <c r="AH157" t="str">
        <f t="shared" si="41"/>
        <v/>
      </c>
    </row>
    <row r="158" spans="1:34" x14ac:dyDescent="0.45">
      <c r="A158" t="str">
        <f>IF(Moteur!D158="","",Moteur!D158)</f>
        <v/>
      </c>
      <c r="B158" t="str">
        <f>IF(Moteur!B158="","",Moteur!B158)</f>
        <v/>
      </c>
      <c r="C158" t="str">
        <f>IF(Moteur!F158="","",Moteur!F158)</f>
        <v/>
      </c>
      <c r="D158" t="str">
        <f>IF(Moteur!G158="","",Moteur!G158)</f>
        <v/>
      </c>
      <c r="E158" t="str">
        <f>IF(Moteur!H158="","",Moteur!H158)</f>
        <v/>
      </c>
      <c r="F158" t="str">
        <f>IF(Moteur!E158="","",Moteur!E158)</f>
        <v/>
      </c>
      <c r="G158" t="str">
        <f>IF($A158="","",SUMIFS(Socle!$H$1:$H$1000,Socle!$C$1:$C$1000,$A158,Socle!$D$1:$D$1000,$C158,Socle!$E$1:$E$1000,$D158,Socle!$F$1:$F$1000,$E158,Socle!$G$1:$G$1000,"2026"))</f>
        <v/>
      </c>
      <c r="H158" t="str">
        <f>IF($A158="","",SUMIFS(Socle!$N$1:$N$1000,Socle!$C$1:$C$1000,$A158,Socle!$D$1:$D$1000,$C158,Socle!$E$1:$E$1000,$D158,Socle!$F$1:$F$1000,$E158,Socle!$G$1:$G$1000,"2026"))</f>
        <v/>
      </c>
      <c r="I158" t="str">
        <f>IF($A158="","",SUMIFS(Socle!$P$1:$P$1000,Socle!$C$1:$C$1000,$A158,Socle!$D$1:$D$1000,$C158,Socle!$E$1:$E$1000,$D158,Socle!$F$1:$F$1000,$E158,Socle!$G$1:$G$1000,"2026"))</f>
        <v/>
      </c>
      <c r="J158" t="str">
        <f>IF($A158="","",SUMIFS(Socle!$W$1:$W$1000,Socle!$C$1:$C$1000,$A158,Socle!$D$1:$D$1000,$C158,Socle!$E$1:$E$1000,$D158,Socle!$F$1:$F$1000,$E158,Socle!$G$1:$G$1000,"2026"))</f>
        <v/>
      </c>
      <c r="K158" t="str">
        <f>IF($A158="","",SUMIFS(Socle!$X$1:$X$1000,Socle!$C$1:$C$1000,$A158,Socle!$D$1:$D$1000,$C158,Socle!$E$1:$E$1000,$D158,Socle!$F$1:$F$1000,$E158,Socle!$G$1:$G$1000,"2026"))</f>
        <v/>
      </c>
      <c r="L158" t="str">
        <f>IF($A158="","",SUMIFS(Socle!$Y$1:$Y$1000,Socle!$C$1:$C$1000,$A158,Socle!$D$1:$D$1000,$C158,Socle!$E$1:$E$1000,$D158,Socle!$F$1:$F$1000,$E158,Socle!$G$1:$G$1000,"2026"))</f>
        <v/>
      </c>
      <c r="M158" t="str">
        <f>IF($A158="","",SUMIFS(Socle!$V$1:$V$1000,Socle!$C$1:$C$1000,$A158,Socle!$D$1:$D$1000,$C158,Socle!$E$1:$E$1000,$D158,Socle!$F$1:$F$1000,$E158,Socle!$G$1:$G$1000,"2026"))</f>
        <v/>
      </c>
      <c r="N158" t="str">
        <f t="shared" si="28"/>
        <v/>
      </c>
      <c r="O158" t="str">
        <f>IF($A158="","",SUMIFS(Campagne!$D$1:$D$15,Campagne!$C$1:$C$15,$A158))</f>
        <v/>
      </c>
      <c r="P158" t="str">
        <f>IF($A158="","",SUMIFS(Campagne!$E$1:$E$15,Campagne!$C$1:$C$15,$A158))</f>
        <v/>
      </c>
      <c r="Q158" t="str">
        <f>IF($A158="","",SUMIFS(Campagne!$F$1:$F$15,Campagne!$C$1:$C$15,$A158))</f>
        <v/>
      </c>
      <c r="R158" t="str">
        <f>IF($A158="","",SUMIFS(Campagne!$K$1:$K$15,Campagne!$C$1:$C$15,$A158))</f>
        <v/>
      </c>
      <c r="S158" t="str">
        <f>IF($A158="","",SUMIFS(Campagne!$M$1:$M$15,Campagne!$C$1:$C$15,$A158))</f>
        <v/>
      </c>
      <c r="T158" t="str">
        <f>IF($A158="","",SUMIFS(PIL!$K$15:$K$28,PIL!$A$15:$A$28,$A158)*SUMIFS(PIL!$J$15:$J$28,PIL!$A$15:$A$28,$A158)*(SUM(PIL!$K$15:$K$28)/SUMPRODUCT(PIL!$K$15:$K$28,PIL!$J$15:$J$28)))</f>
        <v/>
      </c>
      <c r="U158" t="str">
        <f>IF($A158="","",SUMIFS(PIL!$K$15:$K$28,PIL!$A$15:$A$28,$A158))</f>
        <v/>
      </c>
      <c r="V158" t="str">
        <f t="shared" si="29"/>
        <v/>
      </c>
      <c r="W158" t="str">
        <f t="shared" si="30"/>
        <v/>
      </c>
      <c r="X158" t="str">
        <f t="shared" si="31"/>
        <v/>
      </c>
      <c r="Y158" t="str">
        <f t="shared" si="32"/>
        <v/>
      </c>
      <c r="Z158" t="str">
        <f t="shared" si="33"/>
        <v/>
      </c>
      <c r="AA158" t="str">
        <f t="shared" si="34"/>
        <v/>
      </c>
      <c r="AB158" t="str">
        <f t="shared" si="35"/>
        <v/>
      </c>
      <c r="AC158" t="str">
        <f t="shared" si="36"/>
        <v/>
      </c>
      <c r="AD158" t="str">
        <f t="shared" si="37"/>
        <v/>
      </c>
      <c r="AE158" t="str">
        <f t="shared" si="38"/>
        <v/>
      </c>
      <c r="AF158" t="str">
        <f t="shared" si="39"/>
        <v/>
      </c>
      <c r="AG158" t="str">
        <f t="shared" si="40"/>
        <v/>
      </c>
      <c r="AH158" t="str">
        <f t="shared" si="41"/>
        <v/>
      </c>
    </row>
    <row r="159" spans="1:34" x14ac:dyDescent="0.45">
      <c r="A159" t="str">
        <f>IF(Moteur!D159="","",Moteur!D159)</f>
        <v/>
      </c>
      <c r="B159" t="str">
        <f>IF(Moteur!B159="","",Moteur!B159)</f>
        <v/>
      </c>
      <c r="C159" t="str">
        <f>IF(Moteur!F159="","",Moteur!F159)</f>
        <v/>
      </c>
      <c r="D159" t="str">
        <f>IF(Moteur!G159="","",Moteur!G159)</f>
        <v/>
      </c>
      <c r="E159" t="str">
        <f>IF(Moteur!H159="","",Moteur!H159)</f>
        <v/>
      </c>
      <c r="F159" t="str">
        <f>IF(Moteur!E159="","",Moteur!E159)</f>
        <v/>
      </c>
      <c r="G159" t="str">
        <f>IF($A159="","",SUMIFS(Socle!$H$1:$H$1000,Socle!$C$1:$C$1000,$A159,Socle!$D$1:$D$1000,$C159,Socle!$E$1:$E$1000,$D159,Socle!$F$1:$F$1000,$E159,Socle!$G$1:$G$1000,"2026"))</f>
        <v/>
      </c>
      <c r="H159" t="str">
        <f>IF($A159="","",SUMIFS(Socle!$N$1:$N$1000,Socle!$C$1:$C$1000,$A159,Socle!$D$1:$D$1000,$C159,Socle!$E$1:$E$1000,$D159,Socle!$F$1:$F$1000,$E159,Socle!$G$1:$G$1000,"2026"))</f>
        <v/>
      </c>
      <c r="I159" t="str">
        <f>IF($A159="","",SUMIFS(Socle!$P$1:$P$1000,Socle!$C$1:$C$1000,$A159,Socle!$D$1:$D$1000,$C159,Socle!$E$1:$E$1000,$D159,Socle!$F$1:$F$1000,$E159,Socle!$G$1:$G$1000,"2026"))</f>
        <v/>
      </c>
      <c r="J159" t="str">
        <f>IF($A159="","",SUMIFS(Socle!$W$1:$W$1000,Socle!$C$1:$C$1000,$A159,Socle!$D$1:$D$1000,$C159,Socle!$E$1:$E$1000,$D159,Socle!$F$1:$F$1000,$E159,Socle!$G$1:$G$1000,"2026"))</f>
        <v/>
      </c>
      <c r="K159" t="str">
        <f>IF($A159="","",SUMIFS(Socle!$X$1:$X$1000,Socle!$C$1:$C$1000,$A159,Socle!$D$1:$D$1000,$C159,Socle!$E$1:$E$1000,$D159,Socle!$F$1:$F$1000,$E159,Socle!$G$1:$G$1000,"2026"))</f>
        <v/>
      </c>
      <c r="L159" t="str">
        <f>IF($A159="","",SUMIFS(Socle!$Y$1:$Y$1000,Socle!$C$1:$C$1000,$A159,Socle!$D$1:$D$1000,$C159,Socle!$E$1:$E$1000,$D159,Socle!$F$1:$F$1000,$E159,Socle!$G$1:$G$1000,"2026"))</f>
        <v/>
      </c>
      <c r="M159" t="str">
        <f>IF($A159="","",SUMIFS(Socle!$V$1:$V$1000,Socle!$C$1:$C$1000,$A159,Socle!$D$1:$D$1000,$C159,Socle!$E$1:$E$1000,$D159,Socle!$F$1:$F$1000,$E159,Socle!$G$1:$G$1000,"2026"))</f>
        <v/>
      </c>
      <c r="N159" t="str">
        <f t="shared" si="28"/>
        <v/>
      </c>
      <c r="O159" t="str">
        <f>IF($A159="","",SUMIFS(Campagne!$D$1:$D$15,Campagne!$C$1:$C$15,$A159))</f>
        <v/>
      </c>
      <c r="P159" t="str">
        <f>IF($A159="","",SUMIFS(Campagne!$E$1:$E$15,Campagne!$C$1:$C$15,$A159))</f>
        <v/>
      </c>
      <c r="Q159" t="str">
        <f>IF($A159="","",SUMIFS(Campagne!$F$1:$F$15,Campagne!$C$1:$C$15,$A159))</f>
        <v/>
      </c>
      <c r="R159" t="str">
        <f>IF($A159="","",SUMIFS(Campagne!$K$1:$K$15,Campagne!$C$1:$C$15,$A159))</f>
        <v/>
      </c>
      <c r="S159" t="str">
        <f>IF($A159="","",SUMIFS(Campagne!$M$1:$M$15,Campagne!$C$1:$C$15,$A159))</f>
        <v/>
      </c>
      <c r="T159" t="str">
        <f>IF($A159="","",SUMIFS(PIL!$K$15:$K$28,PIL!$A$15:$A$28,$A159)*SUMIFS(PIL!$J$15:$J$28,PIL!$A$15:$A$28,$A159)*(SUM(PIL!$K$15:$K$28)/SUMPRODUCT(PIL!$K$15:$K$28,PIL!$J$15:$J$28)))</f>
        <v/>
      </c>
      <c r="U159" t="str">
        <f>IF($A159="","",SUMIFS(PIL!$K$15:$K$28,PIL!$A$15:$A$28,$A159))</f>
        <v/>
      </c>
      <c r="V159" t="str">
        <f t="shared" si="29"/>
        <v/>
      </c>
      <c r="W159" t="str">
        <f t="shared" si="30"/>
        <v/>
      </c>
      <c r="X159" t="str">
        <f t="shared" si="31"/>
        <v/>
      </c>
      <c r="Y159" t="str">
        <f t="shared" si="32"/>
        <v/>
      </c>
      <c r="Z159" t="str">
        <f t="shared" si="33"/>
        <v/>
      </c>
      <c r="AA159" t="str">
        <f t="shared" si="34"/>
        <v/>
      </c>
      <c r="AB159" t="str">
        <f t="shared" si="35"/>
        <v/>
      </c>
      <c r="AC159" t="str">
        <f t="shared" si="36"/>
        <v/>
      </c>
      <c r="AD159" t="str">
        <f t="shared" si="37"/>
        <v/>
      </c>
      <c r="AE159" t="str">
        <f t="shared" si="38"/>
        <v/>
      </c>
      <c r="AF159" t="str">
        <f t="shared" si="39"/>
        <v/>
      </c>
      <c r="AG159" t="str">
        <f t="shared" si="40"/>
        <v/>
      </c>
      <c r="AH159" t="str">
        <f t="shared" si="41"/>
        <v/>
      </c>
    </row>
    <row r="160" spans="1:34" x14ac:dyDescent="0.45">
      <c r="A160" t="str">
        <f>IF(Moteur!D160="","",Moteur!D160)</f>
        <v/>
      </c>
      <c r="B160" t="str">
        <f>IF(Moteur!B160="","",Moteur!B160)</f>
        <v/>
      </c>
      <c r="C160" t="str">
        <f>IF(Moteur!F160="","",Moteur!F160)</f>
        <v/>
      </c>
      <c r="D160" t="str">
        <f>IF(Moteur!G160="","",Moteur!G160)</f>
        <v/>
      </c>
      <c r="E160" t="str">
        <f>IF(Moteur!H160="","",Moteur!H160)</f>
        <v/>
      </c>
      <c r="F160" t="str">
        <f>IF(Moteur!E160="","",Moteur!E160)</f>
        <v/>
      </c>
      <c r="G160" t="str">
        <f>IF($A160="","",SUMIFS(Socle!$H$1:$H$1000,Socle!$C$1:$C$1000,$A160,Socle!$D$1:$D$1000,$C160,Socle!$E$1:$E$1000,$D160,Socle!$F$1:$F$1000,$E160,Socle!$G$1:$G$1000,"2026"))</f>
        <v/>
      </c>
      <c r="H160" t="str">
        <f>IF($A160="","",SUMIFS(Socle!$N$1:$N$1000,Socle!$C$1:$C$1000,$A160,Socle!$D$1:$D$1000,$C160,Socle!$E$1:$E$1000,$D160,Socle!$F$1:$F$1000,$E160,Socle!$G$1:$G$1000,"2026"))</f>
        <v/>
      </c>
      <c r="I160" t="str">
        <f>IF($A160="","",SUMIFS(Socle!$P$1:$P$1000,Socle!$C$1:$C$1000,$A160,Socle!$D$1:$D$1000,$C160,Socle!$E$1:$E$1000,$D160,Socle!$F$1:$F$1000,$E160,Socle!$G$1:$G$1000,"2026"))</f>
        <v/>
      </c>
      <c r="J160" t="str">
        <f>IF($A160="","",SUMIFS(Socle!$W$1:$W$1000,Socle!$C$1:$C$1000,$A160,Socle!$D$1:$D$1000,$C160,Socle!$E$1:$E$1000,$D160,Socle!$F$1:$F$1000,$E160,Socle!$G$1:$G$1000,"2026"))</f>
        <v/>
      </c>
      <c r="K160" t="str">
        <f>IF($A160="","",SUMIFS(Socle!$X$1:$X$1000,Socle!$C$1:$C$1000,$A160,Socle!$D$1:$D$1000,$C160,Socle!$E$1:$E$1000,$D160,Socle!$F$1:$F$1000,$E160,Socle!$G$1:$G$1000,"2026"))</f>
        <v/>
      </c>
      <c r="L160" t="str">
        <f>IF($A160="","",SUMIFS(Socle!$Y$1:$Y$1000,Socle!$C$1:$C$1000,$A160,Socle!$D$1:$D$1000,$C160,Socle!$E$1:$E$1000,$D160,Socle!$F$1:$F$1000,$E160,Socle!$G$1:$G$1000,"2026"))</f>
        <v/>
      </c>
      <c r="M160" t="str">
        <f>IF($A160="","",SUMIFS(Socle!$V$1:$V$1000,Socle!$C$1:$C$1000,$A160,Socle!$D$1:$D$1000,$C160,Socle!$E$1:$E$1000,$D160,Socle!$F$1:$F$1000,$E160,Socle!$G$1:$G$1000,"2026"))</f>
        <v/>
      </c>
      <c r="N160" t="str">
        <f t="shared" si="28"/>
        <v/>
      </c>
      <c r="O160" t="str">
        <f>IF($A160="","",SUMIFS(Campagne!$D$1:$D$15,Campagne!$C$1:$C$15,$A160))</f>
        <v/>
      </c>
      <c r="P160" t="str">
        <f>IF($A160="","",SUMIFS(Campagne!$E$1:$E$15,Campagne!$C$1:$C$15,$A160))</f>
        <v/>
      </c>
      <c r="Q160" t="str">
        <f>IF($A160="","",SUMIFS(Campagne!$F$1:$F$15,Campagne!$C$1:$C$15,$A160))</f>
        <v/>
      </c>
      <c r="R160" t="str">
        <f>IF($A160="","",SUMIFS(Campagne!$K$1:$K$15,Campagne!$C$1:$C$15,$A160))</f>
        <v/>
      </c>
      <c r="S160" t="str">
        <f>IF($A160="","",SUMIFS(Campagne!$M$1:$M$15,Campagne!$C$1:$C$15,$A160))</f>
        <v/>
      </c>
      <c r="T160" t="str">
        <f>IF($A160="","",SUMIFS(PIL!$K$15:$K$28,PIL!$A$15:$A$28,$A160)*SUMIFS(PIL!$J$15:$J$28,PIL!$A$15:$A$28,$A160)*(SUM(PIL!$K$15:$K$28)/SUMPRODUCT(PIL!$K$15:$K$28,PIL!$J$15:$J$28)))</f>
        <v/>
      </c>
      <c r="U160" t="str">
        <f>IF($A160="","",SUMIFS(PIL!$K$15:$K$28,PIL!$A$15:$A$28,$A160))</f>
        <v/>
      </c>
      <c r="V160" t="str">
        <f t="shared" si="29"/>
        <v/>
      </c>
      <c r="W160" t="str">
        <f t="shared" si="30"/>
        <v/>
      </c>
      <c r="X160" t="str">
        <f t="shared" si="31"/>
        <v/>
      </c>
      <c r="Y160" t="str">
        <f t="shared" si="32"/>
        <v/>
      </c>
      <c r="Z160" t="str">
        <f t="shared" si="33"/>
        <v/>
      </c>
      <c r="AA160" t="str">
        <f t="shared" si="34"/>
        <v/>
      </c>
      <c r="AB160" t="str">
        <f t="shared" si="35"/>
        <v/>
      </c>
      <c r="AC160" t="str">
        <f t="shared" si="36"/>
        <v/>
      </c>
      <c r="AD160" t="str">
        <f t="shared" si="37"/>
        <v/>
      </c>
      <c r="AE160" t="str">
        <f t="shared" si="38"/>
        <v/>
      </c>
      <c r="AF160" t="str">
        <f t="shared" si="39"/>
        <v/>
      </c>
      <c r="AG160" t="str">
        <f t="shared" si="40"/>
        <v/>
      </c>
      <c r="AH160" t="str">
        <f t="shared" si="41"/>
        <v/>
      </c>
    </row>
    <row r="161" spans="1:34" x14ac:dyDescent="0.45">
      <c r="A161" t="str">
        <f>IF(Moteur!D161="","",Moteur!D161)</f>
        <v/>
      </c>
      <c r="B161" t="str">
        <f>IF(Moteur!B161="","",Moteur!B161)</f>
        <v/>
      </c>
      <c r="C161" t="str">
        <f>IF(Moteur!F161="","",Moteur!F161)</f>
        <v/>
      </c>
      <c r="D161" t="str">
        <f>IF(Moteur!G161="","",Moteur!G161)</f>
        <v/>
      </c>
      <c r="E161" t="str">
        <f>IF(Moteur!H161="","",Moteur!H161)</f>
        <v/>
      </c>
      <c r="F161" t="str">
        <f>IF(Moteur!E161="","",Moteur!E161)</f>
        <v/>
      </c>
      <c r="G161" t="str">
        <f>IF($A161="","",SUMIFS(Socle!$H$1:$H$1000,Socle!$C$1:$C$1000,$A161,Socle!$D$1:$D$1000,$C161,Socle!$E$1:$E$1000,$D161,Socle!$F$1:$F$1000,$E161,Socle!$G$1:$G$1000,"2026"))</f>
        <v/>
      </c>
      <c r="H161" t="str">
        <f>IF($A161="","",SUMIFS(Socle!$N$1:$N$1000,Socle!$C$1:$C$1000,$A161,Socle!$D$1:$D$1000,$C161,Socle!$E$1:$E$1000,$D161,Socle!$F$1:$F$1000,$E161,Socle!$G$1:$G$1000,"2026"))</f>
        <v/>
      </c>
      <c r="I161" t="str">
        <f>IF($A161="","",SUMIFS(Socle!$P$1:$P$1000,Socle!$C$1:$C$1000,$A161,Socle!$D$1:$D$1000,$C161,Socle!$E$1:$E$1000,$D161,Socle!$F$1:$F$1000,$E161,Socle!$G$1:$G$1000,"2026"))</f>
        <v/>
      </c>
      <c r="J161" t="str">
        <f>IF($A161="","",SUMIFS(Socle!$W$1:$W$1000,Socle!$C$1:$C$1000,$A161,Socle!$D$1:$D$1000,$C161,Socle!$E$1:$E$1000,$D161,Socle!$F$1:$F$1000,$E161,Socle!$G$1:$G$1000,"2026"))</f>
        <v/>
      </c>
      <c r="K161" t="str">
        <f>IF($A161="","",SUMIFS(Socle!$X$1:$X$1000,Socle!$C$1:$C$1000,$A161,Socle!$D$1:$D$1000,$C161,Socle!$E$1:$E$1000,$D161,Socle!$F$1:$F$1000,$E161,Socle!$G$1:$G$1000,"2026"))</f>
        <v/>
      </c>
      <c r="L161" t="str">
        <f>IF($A161="","",SUMIFS(Socle!$Y$1:$Y$1000,Socle!$C$1:$C$1000,$A161,Socle!$D$1:$D$1000,$C161,Socle!$E$1:$E$1000,$D161,Socle!$F$1:$F$1000,$E161,Socle!$G$1:$G$1000,"2026"))</f>
        <v/>
      </c>
      <c r="M161" t="str">
        <f>IF($A161="","",SUMIFS(Socle!$V$1:$V$1000,Socle!$C$1:$C$1000,$A161,Socle!$D$1:$D$1000,$C161,Socle!$E$1:$E$1000,$D161,Socle!$F$1:$F$1000,$E161,Socle!$G$1:$G$1000,"2026"))</f>
        <v/>
      </c>
      <c r="N161" t="str">
        <f t="shared" si="28"/>
        <v/>
      </c>
      <c r="O161" t="str">
        <f>IF($A161="","",SUMIFS(Campagne!$D$1:$D$15,Campagne!$C$1:$C$15,$A161))</f>
        <v/>
      </c>
      <c r="P161" t="str">
        <f>IF($A161="","",SUMIFS(Campagne!$E$1:$E$15,Campagne!$C$1:$C$15,$A161))</f>
        <v/>
      </c>
      <c r="Q161" t="str">
        <f>IF($A161="","",SUMIFS(Campagne!$F$1:$F$15,Campagne!$C$1:$C$15,$A161))</f>
        <v/>
      </c>
      <c r="R161" t="str">
        <f>IF($A161="","",SUMIFS(Campagne!$K$1:$K$15,Campagne!$C$1:$C$15,$A161))</f>
        <v/>
      </c>
      <c r="S161" t="str">
        <f>IF($A161="","",SUMIFS(Campagne!$M$1:$M$15,Campagne!$C$1:$C$15,$A161))</f>
        <v/>
      </c>
      <c r="T161" t="str">
        <f>IF($A161="","",SUMIFS(PIL!$K$15:$K$28,PIL!$A$15:$A$28,$A161)*SUMIFS(PIL!$J$15:$J$28,PIL!$A$15:$A$28,$A161)*(SUM(PIL!$K$15:$K$28)/SUMPRODUCT(PIL!$K$15:$K$28,PIL!$J$15:$J$28)))</f>
        <v/>
      </c>
      <c r="U161" t="str">
        <f>IF($A161="","",SUMIFS(PIL!$K$15:$K$28,PIL!$A$15:$A$28,$A161))</f>
        <v/>
      </c>
      <c r="V161" t="str">
        <f t="shared" si="29"/>
        <v/>
      </c>
      <c r="W161" t="str">
        <f t="shared" si="30"/>
        <v/>
      </c>
      <c r="X161" t="str">
        <f t="shared" si="31"/>
        <v/>
      </c>
      <c r="Y161" t="str">
        <f t="shared" si="32"/>
        <v/>
      </c>
      <c r="Z161" t="str">
        <f t="shared" si="33"/>
        <v/>
      </c>
      <c r="AA161" t="str">
        <f t="shared" si="34"/>
        <v/>
      </c>
      <c r="AB161" t="str">
        <f t="shared" si="35"/>
        <v/>
      </c>
      <c r="AC161" t="str">
        <f t="shared" si="36"/>
        <v/>
      </c>
      <c r="AD161" t="str">
        <f t="shared" si="37"/>
        <v/>
      </c>
      <c r="AE161" t="str">
        <f t="shared" si="38"/>
        <v/>
      </c>
      <c r="AF161" t="str">
        <f t="shared" si="39"/>
        <v/>
      </c>
      <c r="AG161" t="str">
        <f t="shared" si="40"/>
        <v/>
      </c>
      <c r="AH161" t="str">
        <f t="shared" si="41"/>
        <v/>
      </c>
    </row>
    <row r="162" spans="1:34" x14ac:dyDescent="0.45">
      <c r="A162" t="str">
        <f>IF(Moteur!D162="","",Moteur!D162)</f>
        <v/>
      </c>
      <c r="B162" t="str">
        <f>IF(Moteur!B162="","",Moteur!B162)</f>
        <v/>
      </c>
      <c r="C162" t="str">
        <f>IF(Moteur!F162="","",Moteur!F162)</f>
        <v/>
      </c>
      <c r="D162" t="str">
        <f>IF(Moteur!G162="","",Moteur!G162)</f>
        <v/>
      </c>
      <c r="E162" t="str">
        <f>IF(Moteur!H162="","",Moteur!H162)</f>
        <v/>
      </c>
      <c r="F162" t="str">
        <f>IF(Moteur!E162="","",Moteur!E162)</f>
        <v/>
      </c>
      <c r="G162" t="str">
        <f>IF($A162="","",SUMIFS(Socle!$H$1:$H$1000,Socle!$C$1:$C$1000,$A162,Socle!$D$1:$D$1000,$C162,Socle!$E$1:$E$1000,$D162,Socle!$F$1:$F$1000,$E162,Socle!$G$1:$G$1000,"2026"))</f>
        <v/>
      </c>
      <c r="H162" t="str">
        <f>IF($A162="","",SUMIFS(Socle!$N$1:$N$1000,Socle!$C$1:$C$1000,$A162,Socle!$D$1:$D$1000,$C162,Socle!$E$1:$E$1000,$D162,Socle!$F$1:$F$1000,$E162,Socle!$G$1:$G$1000,"2026"))</f>
        <v/>
      </c>
      <c r="I162" t="str">
        <f>IF($A162="","",SUMIFS(Socle!$P$1:$P$1000,Socle!$C$1:$C$1000,$A162,Socle!$D$1:$D$1000,$C162,Socle!$E$1:$E$1000,$D162,Socle!$F$1:$F$1000,$E162,Socle!$G$1:$G$1000,"2026"))</f>
        <v/>
      </c>
      <c r="J162" t="str">
        <f>IF($A162="","",SUMIFS(Socle!$W$1:$W$1000,Socle!$C$1:$C$1000,$A162,Socle!$D$1:$D$1000,$C162,Socle!$E$1:$E$1000,$D162,Socle!$F$1:$F$1000,$E162,Socle!$G$1:$G$1000,"2026"))</f>
        <v/>
      </c>
      <c r="K162" t="str">
        <f>IF($A162="","",SUMIFS(Socle!$X$1:$X$1000,Socle!$C$1:$C$1000,$A162,Socle!$D$1:$D$1000,$C162,Socle!$E$1:$E$1000,$D162,Socle!$F$1:$F$1000,$E162,Socle!$G$1:$G$1000,"2026"))</f>
        <v/>
      </c>
      <c r="L162" t="str">
        <f>IF($A162="","",SUMIFS(Socle!$Y$1:$Y$1000,Socle!$C$1:$C$1000,$A162,Socle!$D$1:$D$1000,$C162,Socle!$E$1:$E$1000,$D162,Socle!$F$1:$F$1000,$E162,Socle!$G$1:$G$1000,"2026"))</f>
        <v/>
      </c>
      <c r="M162" t="str">
        <f>IF($A162="","",SUMIFS(Socle!$V$1:$V$1000,Socle!$C$1:$C$1000,$A162,Socle!$D$1:$D$1000,$C162,Socle!$E$1:$E$1000,$D162,Socle!$F$1:$F$1000,$E162,Socle!$G$1:$G$1000,"2026"))</f>
        <v/>
      </c>
      <c r="N162" t="str">
        <f t="shared" si="28"/>
        <v/>
      </c>
      <c r="O162" t="str">
        <f>IF($A162="","",SUMIFS(Campagne!$D$1:$D$15,Campagne!$C$1:$C$15,$A162))</f>
        <v/>
      </c>
      <c r="P162" t="str">
        <f>IF($A162="","",SUMIFS(Campagne!$E$1:$E$15,Campagne!$C$1:$C$15,$A162))</f>
        <v/>
      </c>
      <c r="Q162" t="str">
        <f>IF($A162="","",SUMIFS(Campagne!$F$1:$F$15,Campagne!$C$1:$C$15,$A162))</f>
        <v/>
      </c>
      <c r="R162" t="str">
        <f>IF($A162="","",SUMIFS(Campagne!$K$1:$K$15,Campagne!$C$1:$C$15,$A162))</f>
        <v/>
      </c>
      <c r="S162" t="str">
        <f>IF($A162="","",SUMIFS(Campagne!$M$1:$M$15,Campagne!$C$1:$C$15,$A162))</f>
        <v/>
      </c>
      <c r="T162" t="str">
        <f>IF($A162="","",SUMIFS(PIL!$K$15:$K$28,PIL!$A$15:$A$28,$A162)*SUMIFS(PIL!$J$15:$J$28,PIL!$A$15:$A$28,$A162)*(SUM(PIL!$K$15:$K$28)/SUMPRODUCT(PIL!$K$15:$K$28,PIL!$J$15:$J$28)))</f>
        <v/>
      </c>
      <c r="U162" t="str">
        <f>IF($A162="","",SUMIFS(PIL!$K$15:$K$28,PIL!$A$15:$A$28,$A162))</f>
        <v/>
      </c>
      <c r="V162" t="str">
        <f t="shared" si="29"/>
        <v/>
      </c>
      <c r="W162" t="str">
        <f t="shared" si="30"/>
        <v/>
      </c>
      <c r="X162" t="str">
        <f t="shared" si="31"/>
        <v/>
      </c>
      <c r="Y162" t="str">
        <f t="shared" si="32"/>
        <v/>
      </c>
      <c r="Z162" t="str">
        <f t="shared" si="33"/>
        <v/>
      </c>
      <c r="AA162" t="str">
        <f t="shared" si="34"/>
        <v/>
      </c>
      <c r="AB162" t="str">
        <f t="shared" si="35"/>
        <v/>
      </c>
      <c r="AC162" t="str">
        <f t="shared" si="36"/>
        <v/>
      </c>
      <c r="AD162" t="str">
        <f t="shared" si="37"/>
        <v/>
      </c>
      <c r="AE162" t="str">
        <f t="shared" si="38"/>
        <v/>
      </c>
      <c r="AF162" t="str">
        <f t="shared" si="39"/>
        <v/>
      </c>
      <c r="AG162" t="str">
        <f t="shared" si="40"/>
        <v/>
      </c>
      <c r="AH162" t="str">
        <f t="shared" si="41"/>
        <v/>
      </c>
    </row>
    <row r="163" spans="1:34" x14ac:dyDescent="0.45">
      <c r="A163" t="str">
        <f>IF(Moteur!D163="","",Moteur!D163)</f>
        <v/>
      </c>
      <c r="B163" t="str">
        <f>IF(Moteur!B163="","",Moteur!B163)</f>
        <v/>
      </c>
      <c r="C163" t="str">
        <f>IF(Moteur!F163="","",Moteur!F163)</f>
        <v/>
      </c>
      <c r="D163" t="str">
        <f>IF(Moteur!G163="","",Moteur!G163)</f>
        <v/>
      </c>
      <c r="E163" t="str">
        <f>IF(Moteur!H163="","",Moteur!H163)</f>
        <v/>
      </c>
      <c r="F163" t="str">
        <f>IF(Moteur!E163="","",Moteur!E163)</f>
        <v/>
      </c>
      <c r="G163" t="str">
        <f>IF($A163="","",SUMIFS(Socle!$H$1:$H$1000,Socle!$C$1:$C$1000,$A163,Socle!$D$1:$D$1000,$C163,Socle!$E$1:$E$1000,$D163,Socle!$F$1:$F$1000,$E163,Socle!$G$1:$G$1000,"2026"))</f>
        <v/>
      </c>
      <c r="H163" t="str">
        <f>IF($A163="","",SUMIFS(Socle!$N$1:$N$1000,Socle!$C$1:$C$1000,$A163,Socle!$D$1:$D$1000,$C163,Socle!$E$1:$E$1000,$D163,Socle!$F$1:$F$1000,$E163,Socle!$G$1:$G$1000,"2026"))</f>
        <v/>
      </c>
      <c r="I163" t="str">
        <f>IF($A163="","",SUMIFS(Socle!$P$1:$P$1000,Socle!$C$1:$C$1000,$A163,Socle!$D$1:$D$1000,$C163,Socle!$E$1:$E$1000,$D163,Socle!$F$1:$F$1000,$E163,Socle!$G$1:$G$1000,"2026"))</f>
        <v/>
      </c>
      <c r="J163" t="str">
        <f>IF($A163="","",SUMIFS(Socle!$W$1:$W$1000,Socle!$C$1:$C$1000,$A163,Socle!$D$1:$D$1000,$C163,Socle!$E$1:$E$1000,$D163,Socle!$F$1:$F$1000,$E163,Socle!$G$1:$G$1000,"2026"))</f>
        <v/>
      </c>
      <c r="K163" t="str">
        <f>IF($A163="","",SUMIFS(Socle!$X$1:$X$1000,Socle!$C$1:$C$1000,$A163,Socle!$D$1:$D$1000,$C163,Socle!$E$1:$E$1000,$D163,Socle!$F$1:$F$1000,$E163,Socle!$G$1:$G$1000,"2026"))</f>
        <v/>
      </c>
      <c r="L163" t="str">
        <f>IF($A163="","",SUMIFS(Socle!$Y$1:$Y$1000,Socle!$C$1:$C$1000,$A163,Socle!$D$1:$D$1000,$C163,Socle!$E$1:$E$1000,$D163,Socle!$F$1:$F$1000,$E163,Socle!$G$1:$G$1000,"2026"))</f>
        <v/>
      </c>
      <c r="M163" t="str">
        <f>IF($A163="","",SUMIFS(Socle!$V$1:$V$1000,Socle!$C$1:$C$1000,$A163,Socle!$D$1:$D$1000,$C163,Socle!$E$1:$E$1000,$D163,Socle!$F$1:$F$1000,$E163,Socle!$G$1:$G$1000,"2026"))</f>
        <v/>
      </c>
      <c r="N163" t="str">
        <f t="shared" si="28"/>
        <v/>
      </c>
      <c r="O163" t="str">
        <f>IF($A163="","",SUMIFS(Campagne!$D$1:$D$15,Campagne!$C$1:$C$15,$A163))</f>
        <v/>
      </c>
      <c r="P163" t="str">
        <f>IF($A163="","",SUMIFS(Campagne!$E$1:$E$15,Campagne!$C$1:$C$15,$A163))</f>
        <v/>
      </c>
      <c r="Q163" t="str">
        <f>IF($A163="","",SUMIFS(Campagne!$F$1:$F$15,Campagne!$C$1:$C$15,$A163))</f>
        <v/>
      </c>
      <c r="R163" t="str">
        <f>IF($A163="","",SUMIFS(Campagne!$K$1:$K$15,Campagne!$C$1:$C$15,$A163))</f>
        <v/>
      </c>
      <c r="S163" t="str">
        <f>IF($A163="","",SUMIFS(Campagne!$M$1:$M$15,Campagne!$C$1:$C$15,$A163))</f>
        <v/>
      </c>
      <c r="T163" t="str">
        <f>IF($A163="","",SUMIFS(PIL!$K$15:$K$28,PIL!$A$15:$A$28,$A163)*SUMIFS(PIL!$J$15:$J$28,PIL!$A$15:$A$28,$A163)*(SUM(PIL!$K$15:$K$28)/SUMPRODUCT(PIL!$K$15:$K$28,PIL!$J$15:$J$28)))</f>
        <v/>
      </c>
      <c r="U163" t="str">
        <f>IF($A163="","",SUMIFS(PIL!$K$15:$K$28,PIL!$A$15:$A$28,$A163))</f>
        <v/>
      </c>
      <c r="V163" t="str">
        <f t="shared" si="29"/>
        <v/>
      </c>
      <c r="W163" t="str">
        <f t="shared" si="30"/>
        <v/>
      </c>
      <c r="X163" t="str">
        <f t="shared" si="31"/>
        <v/>
      </c>
      <c r="Y163" t="str">
        <f t="shared" si="32"/>
        <v/>
      </c>
      <c r="Z163" t="str">
        <f t="shared" si="33"/>
        <v/>
      </c>
      <c r="AA163" t="str">
        <f t="shared" si="34"/>
        <v/>
      </c>
      <c r="AB163" t="str">
        <f t="shared" si="35"/>
        <v/>
      </c>
      <c r="AC163" t="str">
        <f t="shared" si="36"/>
        <v/>
      </c>
      <c r="AD163" t="str">
        <f t="shared" si="37"/>
        <v/>
      </c>
      <c r="AE163" t="str">
        <f t="shared" si="38"/>
        <v/>
      </c>
      <c r="AF163" t="str">
        <f t="shared" si="39"/>
        <v/>
      </c>
      <c r="AG163" t="str">
        <f t="shared" si="40"/>
        <v/>
      </c>
      <c r="AH163" t="str">
        <f t="shared" si="41"/>
        <v/>
      </c>
    </row>
    <row r="164" spans="1:34" x14ac:dyDescent="0.45">
      <c r="A164" t="str">
        <f>IF(Moteur!D164="","",Moteur!D164)</f>
        <v/>
      </c>
      <c r="B164" t="str">
        <f>IF(Moteur!B164="","",Moteur!B164)</f>
        <v/>
      </c>
      <c r="C164" t="str">
        <f>IF(Moteur!F164="","",Moteur!F164)</f>
        <v/>
      </c>
      <c r="D164" t="str">
        <f>IF(Moteur!G164="","",Moteur!G164)</f>
        <v/>
      </c>
      <c r="E164" t="str">
        <f>IF(Moteur!H164="","",Moteur!H164)</f>
        <v/>
      </c>
      <c r="F164" t="str">
        <f>IF(Moteur!E164="","",Moteur!E164)</f>
        <v/>
      </c>
      <c r="G164" t="str">
        <f>IF($A164="","",SUMIFS(Socle!$H$1:$H$1000,Socle!$C$1:$C$1000,$A164,Socle!$D$1:$D$1000,$C164,Socle!$E$1:$E$1000,$D164,Socle!$F$1:$F$1000,$E164,Socle!$G$1:$G$1000,"2026"))</f>
        <v/>
      </c>
      <c r="H164" t="str">
        <f>IF($A164="","",SUMIFS(Socle!$N$1:$N$1000,Socle!$C$1:$C$1000,$A164,Socle!$D$1:$D$1000,$C164,Socle!$E$1:$E$1000,$D164,Socle!$F$1:$F$1000,$E164,Socle!$G$1:$G$1000,"2026"))</f>
        <v/>
      </c>
      <c r="I164" t="str">
        <f>IF($A164="","",SUMIFS(Socle!$P$1:$P$1000,Socle!$C$1:$C$1000,$A164,Socle!$D$1:$D$1000,$C164,Socle!$E$1:$E$1000,$D164,Socle!$F$1:$F$1000,$E164,Socle!$G$1:$G$1000,"2026"))</f>
        <v/>
      </c>
      <c r="J164" t="str">
        <f>IF($A164="","",SUMIFS(Socle!$W$1:$W$1000,Socle!$C$1:$C$1000,$A164,Socle!$D$1:$D$1000,$C164,Socle!$E$1:$E$1000,$D164,Socle!$F$1:$F$1000,$E164,Socle!$G$1:$G$1000,"2026"))</f>
        <v/>
      </c>
      <c r="K164" t="str">
        <f>IF($A164="","",SUMIFS(Socle!$X$1:$X$1000,Socle!$C$1:$C$1000,$A164,Socle!$D$1:$D$1000,$C164,Socle!$E$1:$E$1000,$D164,Socle!$F$1:$F$1000,$E164,Socle!$G$1:$G$1000,"2026"))</f>
        <v/>
      </c>
      <c r="L164" t="str">
        <f>IF($A164="","",SUMIFS(Socle!$Y$1:$Y$1000,Socle!$C$1:$C$1000,$A164,Socle!$D$1:$D$1000,$C164,Socle!$E$1:$E$1000,$D164,Socle!$F$1:$F$1000,$E164,Socle!$G$1:$G$1000,"2026"))</f>
        <v/>
      </c>
      <c r="M164" t="str">
        <f>IF($A164="","",SUMIFS(Socle!$V$1:$V$1000,Socle!$C$1:$C$1000,$A164,Socle!$D$1:$D$1000,$C164,Socle!$E$1:$E$1000,$D164,Socle!$F$1:$F$1000,$E164,Socle!$G$1:$G$1000,"2026"))</f>
        <v/>
      </c>
      <c r="N164" t="str">
        <f t="shared" si="28"/>
        <v/>
      </c>
      <c r="O164" t="str">
        <f>IF($A164="","",SUMIFS(Campagne!$D$1:$D$15,Campagne!$C$1:$C$15,$A164))</f>
        <v/>
      </c>
      <c r="P164" t="str">
        <f>IF($A164="","",SUMIFS(Campagne!$E$1:$E$15,Campagne!$C$1:$C$15,$A164))</f>
        <v/>
      </c>
      <c r="Q164" t="str">
        <f>IF($A164="","",SUMIFS(Campagne!$F$1:$F$15,Campagne!$C$1:$C$15,$A164))</f>
        <v/>
      </c>
      <c r="R164" t="str">
        <f>IF($A164="","",SUMIFS(Campagne!$K$1:$K$15,Campagne!$C$1:$C$15,$A164))</f>
        <v/>
      </c>
      <c r="S164" t="str">
        <f>IF($A164="","",SUMIFS(Campagne!$M$1:$M$15,Campagne!$C$1:$C$15,$A164))</f>
        <v/>
      </c>
      <c r="T164" t="str">
        <f>IF($A164="","",SUMIFS(PIL!$K$15:$K$28,PIL!$A$15:$A$28,$A164)*SUMIFS(PIL!$J$15:$J$28,PIL!$A$15:$A$28,$A164)*(SUM(PIL!$K$15:$K$28)/SUMPRODUCT(PIL!$K$15:$K$28,PIL!$J$15:$J$28)))</f>
        <v/>
      </c>
      <c r="U164" t="str">
        <f>IF($A164="","",SUMIFS(PIL!$K$15:$K$28,PIL!$A$15:$A$28,$A164))</f>
        <v/>
      </c>
      <c r="V164" t="str">
        <f t="shared" si="29"/>
        <v/>
      </c>
      <c r="W164" t="str">
        <f t="shared" si="30"/>
        <v/>
      </c>
      <c r="X164" t="str">
        <f t="shared" si="31"/>
        <v/>
      </c>
      <c r="Y164" t="str">
        <f t="shared" si="32"/>
        <v/>
      </c>
      <c r="Z164" t="str">
        <f t="shared" si="33"/>
        <v/>
      </c>
      <c r="AA164" t="str">
        <f t="shared" si="34"/>
        <v/>
      </c>
      <c r="AB164" t="str">
        <f t="shared" si="35"/>
        <v/>
      </c>
      <c r="AC164" t="str">
        <f t="shared" si="36"/>
        <v/>
      </c>
      <c r="AD164" t="str">
        <f t="shared" si="37"/>
        <v/>
      </c>
      <c r="AE164" t="str">
        <f t="shared" si="38"/>
        <v/>
      </c>
      <c r="AF164" t="str">
        <f t="shared" si="39"/>
        <v/>
      </c>
      <c r="AG164" t="str">
        <f t="shared" si="40"/>
        <v/>
      </c>
      <c r="AH164" t="str">
        <f t="shared" si="41"/>
        <v/>
      </c>
    </row>
    <row r="165" spans="1:34" x14ac:dyDescent="0.45">
      <c r="A165" t="str">
        <f>IF(Moteur!D165="","",Moteur!D165)</f>
        <v/>
      </c>
      <c r="B165" t="str">
        <f>IF(Moteur!B165="","",Moteur!B165)</f>
        <v/>
      </c>
      <c r="C165" t="str">
        <f>IF(Moteur!F165="","",Moteur!F165)</f>
        <v/>
      </c>
      <c r="D165" t="str">
        <f>IF(Moteur!G165="","",Moteur!G165)</f>
        <v/>
      </c>
      <c r="E165" t="str">
        <f>IF(Moteur!H165="","",Moteur!H165)</f>
        <v/>
      </c>
      <c r="F165" t="str">
        <f>IF(Moteur!E165="","",Moteur!E165)</f>
        <v/>
      </c>
      <c r="G165" t="str">
        <f>IF($A165="","",SUMIFS(Socle!$H$1:$H$1000,Socle!$C$1:$C$1000,$A165,Socle!$D$1:$D$1000,$C165,Socle!$E$1:$E$1000,$D165,Socle!$F$1:$F$1000,$E165,Socle!$G$1:$G$1000,"2026"))</f>
        <v/>
      </c>
      <c r="H165" t="str">
        <f>IF($A165="","",SUMIFS(Socle!$N$1:$N$1000,Socle!$C$1:$C$1000,$A165,Socle!$D$1:$D$1000,$C165,Socle!$E$1:$E$1000,$D165,Socle!$F$1:$F$1000,$E165,Socle!$G$1:$G$1000,"2026"))</f>
        <v/>
      </c>
      <c r="I165" t="str">
        <f>IF($A165="","",SUMIFS(Socle!$P$1:$P$1000,Socle!$C$1:$C$1000,$A165,Socle!$D$1:$D$1000,$C165,Socle!$E$1:$E$1000,$D165,Socle!$F$1:$F$1000,$E165,Socle!$G$1:$G$1000,"2026"))</f>
        <v/>
      </c>
      <c r="J165" t="str">
        <f>IF($A165="","",SUMIFS(Socle!$W$1:$W$1000,Socle!$C$1:$C$1000,$A165,Socle!$D$1:$D$1000,$C165,Socle!$E$1:$E$1000,$D165,Socle!$F$1:$F$1000,$E165,Socle!$G$1:$G$1000,"2026"))</f>
        <v/>
      </c>
      <c r="K165" t="str">
        <f>IF($A165="","",SUMIFS(Socle!$X$1:$X$1000,Socle!$C$1:$C$1000,$A165,Socle!$D$1:$D$1000,$C165,Socle!$E$1:$E$1000,$D165,Socle!$F$1:$F$1000,$E165,Socle!$G$1:$G$1000,"2026"))</f>
        <v/>
      </c>
      <c r="L165" t="str">
        <f>IF($A165="","",SUMIFS(Socle!$Y$1:$Y$1000,Socle!$C$1:$C$1000,$A165,Socle!$D$1:$D$1000,$C165,Socle!$E$1:$E$1000,$D165,Socle!$F$1:$F$1000,$E165,Socle!$G$1:$G$1000,"2026"))</f>
        <v/>
      </c>
      <c r="M165" t="str">
        <f>IF($A165="","",SUMIFS(Socle!$V$1:$V$1000,Socle!$C$1:$C$1000,$A165,Socle!$D$1:$D$1000,$C165,Socle!$E$1:$E$1000,$D165,Socle!$F$1:$F$1000,$E165,Socle!$G$1:$G$1000,"2026"))</f>
        <v/>
      </c>
      <c r="N165" t="str">
        <f t="shared" si="28"/>
        <v/>
      </c>
      <c r="O165" t="str">
        <f>IF($A165="","",SUMIFS(Campagne!$D$1:$D$15,Campagne!$C$1:$C$15,$A165))</f>
        <v/>
      </c>
      <c r="P165" t="str">
        <f>IF($A165="","",SUMIFS(Campagne!$E$1:$E$15,Campagne!$C$1:$C$15,$A165))</f>
        <v/>
      </c>
      <c r="Q165" t="str">
        <f>IF($A165="","",SUMIFS(Campagne!$F$1:$F$15,Campagne!$C$1:$C$15,$A165))</f>
        <v/>
      </c>
      <c r="R165" t="str">
        <f>IF($A165="","",SUMIFS(Campagne!$K$1:$K$15,Campagne!$C$1:$C$15,$A165))</f>
        <v/>
      </c>
      <c r="S165" t="str">
        <f>IF($A165="","",SUMIFS(Campagne!$M$1:$M$15,Campagne!$C$1:$C$15,$A165))</f>
        <v/>
      </c>
      <c r="T165" t="str">
        <f>IF($A165="","",SUMIFS(PIL!$K$15:$K$28,PIL!$A$15:$A$28,$A165)*SUMIFS(PIL!$J$15:$J$28,PIL!$A$15:$A$28,$A165)*(SUM(PIL!$K$15:$K$28)/SUMPRODUCT(PIL!$K$15:$K$28,PIL!$J$15:$J$28)))</f>
        <v/>
      </c>
      <c r="U165" t="str">
        <f>IF($A165="","",SUMIFS(PIL!$K$15:$K$28,PIL!$A$15:$A$28,$A165))</f>
        <v/>
      </c>
      <c r="V165" t="str">
        <f t="shared" si="29"/>
        <v/>
      </c>
      <c r="W165" t="str">
        <f t="shared" si="30"/>
        <v/>
      </c>
      <c r="X165" t="str">
        <f t="shared" si="31"/>
        <v/>
      </c>
      <c r="Y165" t="str">
        <f t="shared" si="32"/>
        <v/>
      </c>
      <c r="Z165" t="str">
        <f t="shared" si="33"/>
        <v/>
      </c>
      <c r="AA165" t="str">
        <f t="shared" si="34"/>
        <v/>
      </c>
      <c r="AB165" t="str">
        <f t="shared" si="35"/>
        <v/>
      </c>
      <c r="AC165" t="str">
        <f t="shared" si="36"/>
        <v/>
      </c>
      <c r="AD165" t="str">
        <f t="shared" si="37"/>
        <v/>
      </c>
      <c r="AE165" t="str">
        <f t="shared" si="38"/>
        <v/>
      </c>
      <c r="AF165" t="str">
        <f t="shared" si="39"/>
        <v/>
      </c>
      <c r="AG165" t="str">
        <f t="shared" si="40"/>
        <v/>
      </c>
      <c r="AH165" t="str">
        <f t="shared" si="41"/>
        <v/>
      </c>
    </row>
    <row r="166" spans="1:34" x14ac:dyDescent="0.45">
      <c r="A166" t="str">
        <f>IF(Moteur!D166="","",Moteur!D166)</f>
        <v/>
      </c>
      <c r="B166" t="str">
        <f>IF(Moteur!B166="","",Moteur!B166)</f>
        <v/>
      </c>
      <c r="C166" t="str">
        <f>IF(Moteur!F166="","",Moteur!F166)</f>
        <v/>
      </c>
      <c r="D166" t="str">
        <f>IF(Moteur!G166="","",Moteur!G166)</f>
        <v/>
      </c>
      <c r="E166" t="str">
        <f>IF(Moteur!H166="","",Moteur!H166)</f>
        <v/>
      </c>
      <c r="F166" t="str">
        <f>IF(Moteur!E166="","",Moteur!E166)</f>
        <v/>
      </c>
      <c r="G166" t="str">
        <f>IF($A166="","",SUMIFS(Socle!$H$1:$H$1000,Socle!$C$1:$C$1000,$A166,Socle!$D$1:$D$1000,$C166,Socle!$E$1:$E$1000,$D166,Socle!$F$1:$F$1000,$E166,Socle!$G$1:$G$1000,"2026"))</f>
        <v/>
      </c>
      <c r="H166" t="str">
        <f>IF($A166="","",SUMIFS(Socle!$N$1:$N$1000,Socle!$C$1:$C$1000,$A166,Socle!$D$1:$D$1000,$C166,Socle!$E$1:$E$1000,$D166,Socle!$F$1:$F$1000,$E166,Socle!$G$1:$G$1000,"2026"))</f>
        <v/>
      </c>
      <c r="I166" t="str">
        <f>IF($A166="","",SUMIFS(Socle!$P$1:$P$1000,Socle!$C$1:$C$1000,$A166,Socle!$D$1:$D$1000,$C166,Socle!$E$1:$E$1000,$D166,Socle!$F$1:$F$1000,$E166,Socle!$G$1:$G$1000,"2026"))</f>
        <v/>
      </c>
      <c r="J166" t="str">
        <f>IF($A166="","",SUMIFS(Socle!$W$1:$W$1000,Socle!$C$1:$C$1000,$A166,Socle!$D$1:$D$1000,$C166,Socle!$E$1:$E$1000,$D166,Socle!$F$1:$F$1000,$E166,Socle!$G$1:$G$1000,"2026"))</f>
        <v/>
      </c>
      <c r="K166" t="str">
        <f>IF($A166="","",SUMIFS(Socle!$X$1:$X$1000,Socle!$C$1:$C$1000,$A166,Socle!$D$1:$D$1000,$C166,Socle!$E$1:$E$1000,$D166,Socle!$F$1:$F$1000,$E166,Socle!$G$1:$G$1000,"2026"))</f>
        <v/>
      </c>
      <c r="L166" t="str">
        <f>IF($A166="","",SUMIFS(Socle!$Y$1:$Y$1000,Socle!$C$1:$C$1000,$A166,Socle!$D$1:$D$1000,$C166,Socle!$E$1:$E$1000,$D166,Socle!$F$1:$F$1000,$E166,Socle!$G$1:$G$1000,"2026"))</f>
        <v/>
      </c>
      <c r="M166" t="str">
        <f>IF($A166="","",SUMIFS(Socle!$V$1:$V$1000,Socle!$C$1:$C$1000,$A166,Socle!$D$1:$D$1000,$C166,Socle!$E$1:$E$1000,$D166,Socle!$F$1:$F$1000,$E166,Socle!$G$1:$G$1000,"2026"))</f>
        <v/>
      </c>
      <c r="N166" t="str">
        <f t="shared" si="28"/>
        <v/>
      </c>
      <c r="O166" t="str">
        <f>IF($A166="","",SUMIFS(Campagne!$D$1:$D$15,Campagne!$C$1:$C$15,$A166))</f>
        <v/>
      </c>
      <c r="P166" t="str">
        <f>IF($A166="","",SUMIFS(Campagne!$E$1:$E$15,Campagne!$C$1:$C$15,$A166))</f>
        <v/>
      </c>
      <c r="Q166" t="str">
        <f>IF($A166="","",SUMIFS(Campagne!$F$1:$F$15,Campagne!$C$1:$C$15,$A166))</f>
        <v/>
      </c>
      <c r="R166" t="str">
        <f>IF($A166="","",SUMIFS(Campagne!$K$1:$K$15,Campagne!$C$1:$C$15,$A166))</f>
        <v/>
      </c>
      <c r="S166" t="str">
        <f>IF($A166="","",SUMIFS(Campagne!$M$1:$M$15,Campagne!$C$1:$C$15,$A166))</f>
        <v/>
      </c>
      <c r="T166" t="str">
        <f>IF($A166="","",SUMIFS(PIL!$K$15:$K$28,PIL!$A$15:$A$28,$A166)*SUMIFS(PIL!$J$15:$J$28,PIL!$A$15:$A$28,$A166)*(SUM(PIL!$K$15:$K$28)/SUMPRODUCT(PIL!$K$15:$K$28,PIL!$J$15:$J$28)))</f>
        <v/>
      </c>
      <c r="U166" t="str">
        <f>IF($A166="","",SUMIFS(PIL!$K$15:$K$28,PIL!$A$15:$A$28,$A166))</f>
        <v/>
      </c>
      <c r="V166" t="str">
        <f t="shared" si="29"/>
        <v/>
      </c>
      <c r="W166" t="str">
        <f t="shared" si="30"/>
        <v/>
      </c>
      <c r="X166" t="str">
        <f t="shared" si="31"/>
        <v/>
      </c>
      <c r="Y166" t="str">
        <f t="shared" si="32"/>
        <v/>
      </c>
      <c r="Z166" t="str">
        <f t="shared" si="33"/>
        <v/>
      </c>
      <c r="AA166" t="str">
        <f t="shared" si="34"/>
        <v/>
      </c>
      <c r="AB166" t="str">
        <f t="shared" si="35"/>
        <v/>
      </c>
      <c r="AC166" t="str">
        <f t="shared" si="36"/>
        <v/>
      </c>
      <c r="AD166" t="str">
        <f t="shared" si="37"/>
        <v/>
      </c>
      <c r="AE166" t="str">
        <f t="shared" si="38"/>
        <v/>
      </c>
      <c r="AF166" t="str">
        <f t="shared" si="39"/>
        <v/>
      </c>
      <c r="AG166" t="str">
        <f t="shared" si="40"/>
        <v/>
      </c>
      <c r="AH166" t="str">
        <f t="shared" si="41"/>
        <v/>
      </c>
    </row>
    <row r="167" spans="1:34" x14ac:dyDescent="0.45">
      <c r="A167" t="str">
        <f>IF(Moteur!D167="","",Moteur!D167)</f>
        <v/>
      </c>
      <c r="B167" t="str">
        <f>IF(Moteur!B167="","",Moteur!B167)</f>
        <v/>
      </c>
      <c r="C167" t="str">
        <f>IF(Moteur!F167="","",Moteur!F167)</f>
        <v/>
      </c>
      <c r="D167" t="str">
        <f>IF(Moteur!G167="","",Moteur!G167)</f>
        <v/>
      </c>
      <c r="E167" t="str">
        <f>IF(Moteur!H167="","",Moteur!H167)</f>
        <v/>
      </c>
      <c r="F167" t="str">
        <f>IF(Moteur!E167="","",Moteur!E167)</f>
        <v/>
      </c>
      <c r="G167" t="str">
        <f>IF($A167="","",SUMIFS(Socle!$H$1:$H$1000,Socle!$C$1:$C$1000,$A167,Socle!$D$1:$D$1000,$C167,Socle!$E$1:$E$1000,$D167,Socle!$F$1:$F$1000,$E167,Socle!$G$1:$G$1000,"2026"))</f>
        <v/>
      </c>
      <c r="H167" t="str">
        <f>IF($A167="","",SUMIFS(Socle!$N$1:$N$1000,Socle!$C$1:$C$1000,$A167,Socle!$D$1:$D$1000,$C167,Socle!$E$1:$E$1000,$D167,Socle!$F$1:$F$1000,$E167,Socle!$G$1:$G$1000,"2026"))</f>
        <v/>
      </c>
      <c r="I167" t="str">
        <f>IF($A167="","",SUMIFS(Socle!$P$1:$P$1000,Socle!$C$1:$C$1000,$A167,Socle!$D$1:$D$1000,$C167,Socle!$E$1:$E$1000,$D167,Socle!$F$1:$F$1000,$E167,Socle!$G$1:$G$1000,"2026"))</f>
        <v/>
      </c>
      <c r="J167" t="str">
        <f>IF($A167="","",SUMIFS(Socle!$W$1:$W$1000,Socle!$C$1:$C$1000,$A167,Socle!$D$1:$D$1000,$C167,Socle!$E$1:$E$1000,$D167,Socle!$F$1:$F$1000,$E167,Socle!$G$1:$G$1000,"2026"))</f>
        <v/>
      </c>
      <c r="K167" t="str">
        <f>IF($A167="","",SUMIFS(Socle!$X$1:$X$1000,Socle!$C$1:$C$1000,$A167,Socle!$D$1:$D$1000,$C167,Socle!$E$1:$E$1000,$D167,Socle!$F$1:$F$1000,$E167,Socle!$G$1:$G$1000,"2026"))</f>
        <v/>
      </c>
      <c r="L167" t="str">
        <f>IF($A167="","",SUMIFS(Socle!$Y$1:$Y$1000,Socle!$C$1:$C$1000,$A167,Socle!$D$1:$D$1000,$C167,Socle!$E$1:$E$1000,$D167,Socle!$F$1:$F$1000,$E167,Socle!$G$1:$G$1000,"2026"))</f>
        <v/>
      </c>
      <c r="M167" t="str">
        <f>IF($A167="","",SUMIFS(Socle!$V$1:$V$1000,Socle!$C$1:$C$1000,$A167,Socle!$D$1:$D$1000,$C167,Socle!$E$1:$E$1000,$D167,Socle!$F$1:$F$1000,$E167,Socle!$G$1:$G$1000,"2026"))</f>
        <v/>
      </c>
      <c r="N167" t="str">
        <f t="shared" si="28"/>
        <v/>
      </c>
      <c r="O167" t="str">
        <f>IF($A167="","",SUMIFS(Campagne!$D$1:$D$15,Campagne!$C$1:$C$15,$A167))</f>
        <v/>
      </c>
      <c r="P167" t="str">
        <f>IF($A167="","",SUMIFS(Campagne!$E$1:$E$15,Campagne!$C$1:$C$15,$A167))</f>
        <v/>
      </c>
      <c r="Q167" t="str">
        <f>IF($A167="","",SUMIFS(Campagne!$F$1:$F$15,Campagne!$C$1:$C$15,$A167))</f>
        <v/>
      </c>
      <c r="R167" t="str">
        <f>IF($A167="","",SUMIFS(Campagne!$K$1:$K$15,Campagne!$C$1:$C$15,$A167))</f>
        <v/>
      </c>
      <c r="S167" t="str">
        <f>IF($A167="","",SUMIFS(Campagne!$M$1:$M$15,Campagne!$C$1:$C$15,$A167))</f>
        <v/>
      </c>
      <c r="T167" t="str">
        <f>IF($A167="","",SUMIFS(PIL!$K$15:$K$28,PIL!$A$15:$A$28,$A167)*SUMIFS(PIL!$J$15:$J$28,PIL!$A$15:$A$28,$A167)*(SUM(PIL!$K$15:$K$28)/SUMPRODUCT(PIL!$K$15:$K$28,PIL!$J$15:$J$28)))</f>
        <v/>
      </c>
      <c r="U167" t="str">
        <f>IF($A167="","",SUMIFS(PIL!$K$15:$K$28,PIL!$A$15:$A$28,$A167))</f>
        <v/>
      </c>
      <c r="V167" t="str">
        <f t="shared" si="29"/>
        <v/>
      </c>
      <c r="W167" t="str">
        <f t="shared" si="30"/>
        <v/>
      </c>
      <c r="X167" t="str">
        <f t="shared" si="31"/>
        <v/>
      </c>
      <c r="Y167" t="str">
        <f t="shared" si="32"/>
        <v/>
      </c>
      <c r="Z167" t="str">
        <f t="shared" si="33"/>
        <v/>
      </c>
      <c r="AA167" t="str">
        <f t="shared" si="34"/>
        <v/>
      </c>
      <c r="AB167" t="str">
        <f t="shared" si="35"/>
        <v/>
      </c>
      <c r="AC167" t="str">
        <f t="shared" si="36"/>
        <v/>
      </c>
      <c r="AD167" t="str">
        <f t="shared" si="37"/>
        <v/>
      </c>
      <c r="AE167" t="str">
        <f t="shared" si="38"/>
        <v/>
      </c>
      <c r="AF167" t="str">
        <f t="shared" si="39"/>
        <v/>
      </c>
      <c r="AG167" t="str">
        <f t="shared" si="40"/>
        <v/>
      </c>
      <c r="AH167" t="str">
        <f t="shared" si="41"/>
        <v/>
      </c>
    </row>
    <row r="168" spans="1:34" x14ac:dyDescent="0.45">
      <c r="A168" t="str">
        <f>IF(Moteur!D168="","",Moteur!D168)</f>
        <v/>
      </c>
      <c r="B168" t="str">
        <f>IF(Moteur!B168="","",Moteur!B168)</f>
        <v/>
      </c>
      <c r="C168" t="str">
        <f>IF(Moteur!F168="","",Moteur!F168)</f>
        <v/>
      </c>
      <c r="D168" t="str">
        <f>IF(Moteur!G168="","",Moteur!G168)</f>
        <v/>
      </c>
      <c r="E168" t="str">
        <f>IF(Moteur!H168="","",Moteur!H168)</f>
        <v/>
      </c>
      <c r="F168" t="str">
        <f>IF(Moteur!E168="","",Moteur!E168)</f>
        <v/>
      </c>
      <c r="G168" t="str">
        <f>IF($A168="","",SUMIFS(Socle!$H$1:$H$1000,Socle!$C$1:$C$1000,$A168,Socle!$D$1:$D$1000,$C168,Socle!$E$1:$E$1000,$D168,Socle!$F$1:$F$1000,$E168,Socle!$G$1:$G$1000,"2026"))</f>
        <v/>
      </c>
      <c r="H168" t="str">
        <f>IF($A168="","",SUMIFS(Socle!$N$1:$N$1000,Socle!$C$1:$C$1000,$A168,Socle!$D$1:$D$1000,$C168,Socle!$E$1:$E$1000,$D168,Socle!$F$1:$F$1000,$E168,Socle!$G$1:$G$1000,"2026"))</f>
        <v/>
      </c>
      <c r="I168" t="str">
        <f>IF($A168="","",SUMIFS(Socle!$P$1:$P$1000,Socle!$C$1:$C$1000,$A168,Socle!$D$1:$D$1000,$C168,Socle!$E$1:$E$1000,$D168,Socle!$F$1:$F$1000,$E168,Socle!$G$1:$G$1000,"2026"))</f>
        <v/>
      </c>
      <c r="J168" t="str">
        <f>IF($A168="","",SUMIFS(Socle!$W$1:$W$1000,Socle!$C$1:$C$1000,$A168,Socle!$D$1:$D$1000,$C168,Socle!$E$1:$E$1000,$D168,Socle!$F$1:$F$1000,$E168,Socle!$G$1:$G$1000,"2026"))</f>
        <v/>
      </c>
      <c r="K168" t="str">
        <f>IF($A168="","",SUMIFS(Socle!$X$1:$X$1000,Socle!$C$1:$C$1000,$A168,Socle!$D$1:$D$1000,$C168,Socle!$E$1:$E$1000,$D168,Socle!$F$1:$F$1000,$E168,Socle!$G$1:$G$1000,"2026"))</f>
        <v/>
      </c>
      <c r="L168" t="str">
        <f>IF($A168="","",SUMIFS(Socle!$Y$1:$Y$1000,Socle!$C$1:$C$1000,$A168,Socle!$D$1:$D$1000,$C168,Socle!$E$1:$E$1000,$D168,Socle!$F$1:$F$1000,$E168,Socle!$G$1:$G$1000,"2026"))</f>
        <v/>
      </c>
      <c r="M168" t="str">
        <f>IF($A168="","",SUMIFS(Socle!$V$1:$V$1000,Socle!$C$1:$C$1000,$A168,Socle!$D$1:$D$1000,$C168,Socle!$E$1:$E$1000,$D168,Socle!$F$1:$F$1000,$E168,Socle!$G$1:$G$1000,"2026"))</f>
        <v/>
      </c>
      <c r="N168" t="str">
        <f t="shared" si="28"/>
        <v/>
      </c>
      <c r="O168" t="str">
        <f>IF($A168="","",SUMIFS(Campagne!$D$1:$D$15,Campagne!$C$1:$C$15,$A168))</f>
        <v/>
      </c>
      <c r="P168" t="str">
        <f>IF($A168="","",SUMIFS(Campagne!$E$1:$E$15,Campagne!$C$1:$C$15,$A168))</f>
        <v/>
      </c>
      <c r="Q168" t="str">
        <f>IF($A168="","",SUMIFS(Campagne!$F$1:$F$15,Campagne!$C$1:$C$15,$A168))</f>
        <v/>
      </c>
      <c r="R168" t="str">
        <f>IF($A168="","",SUMIFS(Campagne!$K$1:$K$15,Campagne!$C$1:$C$15,$A168))</f>
        <v/>
      </c>
      <c r="S168" t="str">
        <f>IF($A168="","",SUMIFS(Campagne!$M$1:$M$15,Campagne!$C$1:$C$15,$A168))</f>
        <v/>
      </c>
      <c r="T168" t="str">
        <f>IF($A168="","",SUMIFS(PIL!$K$15:$K$28,PIL!$A$15:$A$28,$A168)*SUMIFS(PIL!$J$15:$J$28,PIL!$A$15:$A$28,$A168)*(SUM(PIL!$K$15:$K$28)/SUMPRODUCT(PIL!$K$15:$K$28,PIL!$J$15:$J$28)))</f>
        <v/>
      </c>
      <c r="U168" t="str">
        <f>IF($A168="","",SUMIFS(PIL!$K$15:$K$28,PIL!$A$15:$A$28,$A168))</f>
        <v/>
      </c>
      <c r="V168" t="str">
        <f t="shared" si="29"/>
        <v/>
      </c>
      <c r="W168" t="str">
        <f t="shared" si="30"/>
        <v/>
      </c>
      <c r="X168" t="str">
        <f t="shared" si="31"/>
        <v/>
      </c>
      <c r="Y168" t="str">
        <f t="shared" si="32"/>
        <v/>
      </c>
      <c r="Z168" t="str">
        <f t="shared" si="33"/>
        <v/>
      </c>
      <c r="AA168" t="str">
        <f t="shared" si="34"/>
        <v/>
      </c>
      <c r="AB168" t="str">
        <f t="shared" si="35"/>
        <v/>
      </c>
      <c r="AC168" t="str">
        <f t="shared" si="36"/>
        <v/>
      </c>
      <c r="AD168" t="str">
        <f t="shared" si="37"/>
        <v/>
      </c>
      <c r="AE168" t="str">
        <f t="shared" si="38"/>
        <v/>
      </c>
      <c r="AF168" t="str">
        <f t="shared" si="39"/>
        <v/>
      </c>
      <c r="AG168" t="str">
        <f t="shared" si="40"/>
        <v/>
      </c>
      <c r="AH168" t="str">
        <f t="shared" si="41"/>
        <v/>
      </c>
    </row>
    <row r="169" spans="1:34" x14ac:dyDescent="0.45">
      <c r="A169" t="str">
        <f>IF(Moteur!D169="","",Moteur!D169)</f>
        <v/>
      </c>
      <c r="B169" t="str">
        <f>IF(Moteur!B169="","",Moteur!B169)</f>
        <v/>
      </c>
      <c r="C169" t="str">
        <f>IF(Moteur!F169="","",Moteur!F169)</f>
        <v/>
      </c>
      <c r="D169" t="str">
        <f>IF(Moteur!G169="","",Moteur!G169)</f>
        <v/>
      </c>
      <c r="E169" t="str">
        <f>IF(Moteur!H169="","",Moteur!H169)</f>
        <v/>
      </c>
      <c r="F169" t="str">
        <f>IF(Moteur!E169="","",Moteur!E169)</f>
        <v/>
      </c>
      <c r="G169" t="str">
        <f>IF($A169="","",SUMIFS(Socle!$H$1:$H$1000,Socle!$C$1:$C$1000,$A169,Socle!$D$1:$D$1000,$C169,Socle!$E$1:$E$1000,$D169,Socle!$F$1:$F$1000,$E169,Socle!$G$1:$G$1000,"2026"))</f>
        <v/>
      </c>
      <c r="H169" t="str">
        <f>IF($A169="","",SUMIFS(Socle!$N$1:$N$1000,Socle!$C$1:$C$1000,$A169,Socle!$D$1:$D$1000,$C169,Socle!$E$1:$E$1000,$D169,Socle!$F$1:$F$1000,$E169,Socle!$G$1:$G$1000,"2026"))</f>
        <v/>
      </c>
      <c r="I169" t="str">
        <f>IF($A169="","",SUMIFS(Socle!$P$1:$P$1000,Socle!$C$1:$C$1000,$A169,Socle!$D$1:$D$1000,$C169,Socle!$E$1:$E$1000,$D169,Socle!$F$1:$F$1000,$E169,Socle!$G$1:$G$1000,"2026"))</f>
        <v/>
      </c>
      <c r="J169" t="str">
        <f>IF($A169="","",SUMIFS(Socle!$W$1:$W$1000,Socle!$C$1:$C$1000,$A169,Socle!$D$1:$D$1000,$C169,Socle!$E$1:$E$1000,$D169,Socle!$F$1:$F$1000,$E169,Socle!$G$1:$G$1000,"2026"))</f>
        <v/>
      </c>
      <c r="K169" t="str">
        <f>IF($A169="","",SUMIFS(Socle!$X$1:$X$1000,Socle!$C$1:$C$1000,$A169,Socle!$D$1:$D$1000,$C169,Socle!$E$1:$E$1000,$D169,Socle!$F$1:$F$1000,$E169,Socle!$G$1:$G$1000,"2026"))</f>
        <v/>
      </c>
      <c r="L169" t="str">
        <f>IF($A169="","",SUMIFS(Socle!$Y$1:$Y$1000,Socle!$C$1:$C$1000,$A169,Socle!$D$1:$D$1000,$C169,Socle!$E$1:$E$1000,$D169,Socle!$F$1:$F$1000,$E169,Socle!$G$1:$G$1000,"2026"))</f>
        <v/>
      </c>
      <c r="M169" t="str">
        <f>IF($A169="","",SUMIFS(Socle!$V$1:$V$1000,Socle!$C$1:$C$1000,$A169,Socle!$D$1:$D$1000,$C169,Socle!$E$1:$E$1000,$D169,Socle!$F$1:$F$1000,$E169,Socle!$G$1:$G$1000,"2026"))</f>
        <v/>
      </c>
      <c r="N169" t="str">
        <f t="shared" si="28"/>
        <v/>
      </c>
      <c r="O169" t="str">
        <f>IF($A169="","",SUMIFS(Campagne!$D$1:$D$15,Campagne!$C$1:$C$15,$A169))</f>
        <v/>
      </c>
      <c r="P169" t="str">
        <f>IF($A169="","",SUMIFS(Campagne!$E$1:$E$15,Campagne!$C$1:$C$15,$A169))</f>
        <v/>
      </c>
      <c r="Q169" t="str">
        <f>IF($A169="","",SUMIFS(Campagne!$F$1:$F$15,Campagne!$C$1:$C$15,$A169))</f>
        <v/>
      </c>
      <c r="R169" t="str">
        <f>IF($A169="","",SUMIFS(Campagne!$K$1:$K$15,Campagne!$C$1:$C$15,$A169))</f>
        <v/>
      </c>
      <c r="S169" t="str">
        <f>IF($A169="","",SUMIFS(Campagne!$M$1:$M$15,Campagne!$C$1:$C$15,$A169))</f>
        <v/>
      </c>
      <c r="T169" t="str">
        <f>IF($A169="","",SUMIFS(PIL!$K$15:$K$28,PIL!$A$15:$A$28,$A169)*SUMIFS(PIL!$J$15:$J$28,PIL!$A$15:$A$28,$A169)*(SUM(PIL!$K$15:$K$28)/SUMPRODUCT(PIL!$K$15:$K$28,PIL!$J$15:$J$28)))</f>
        <v/>
      </c>
      <c r="U169" t="str">
        <f>IF($A169="","",SUMIFS(PIL!$K$15:$K$28,PIL!$A$15:$A$28,$A169))</f>
        <v/>
      </c>
      <c r="V169" t="str">
        <f t="shared" si="29"/>
        <v/>
      </c>
      <c r="W169" t="str">
        <f t="shared" si="30"/>
        <v/>
      </c>
      <c r="X169" t="str">
        <f t="shared" si="31"/>
        <v/>
      </c>
      <c r="Y169" t="str">
        <f t="shared" si="32"/>
        <v/>
      </c>
      <c r="Z169" t="str">
        <f t="shared" si="33"/>
        <v/>
      </c>
      <c r="AA169" t="str">
        <f t="shared" si="34"/>
        <v/>
      </c>
      <c r="AB169" t="str">
        <f t="shared" si="35"/>
        <v/>
      </c>
      <c r="AC169" t="str">
        <f t="shared" si="36"/>
        <v/>
      </c>
      <c r="AD169" t="str">
        <f t="shared" si="37"/>
        <v/>
      </c>
      <c r="AE169" t="str">
        <f t="shared" si="38"/>
        <v/>
      </c>
      <c r="AF169" t="str">
        <f t="shared" si="39"/>
        <v/>
      </c>
      <c r="AG169" t="str">
        <f t="shared" si="40"/>
        <v/>
      </c>
      <c r="AH169" t="str">
        <f t="shared" si="41"/>
        <v/>
      </c>
    </row>
    <row r="170" spans="1:34" x14ac:dyDescent="0.45">
      <c r="A170" t="str">
        <f>IF(Moteur!D170="","",Moteur!D170)</f>
        <v/>
      </c>
      <c r="B170" t="str">
        <f>IF(Moteur!B170="","",Moteur!B170)</f>
        <v/>
      </c>
      <c r="C170" t="str">
        <f>IF(Moteur!F170="","",Moteur!F170)</f>
        <v/>
      </c>
      <c r="D170" t="str">
        <f>IF(Moteur!G170="","",Moteur!G170)</f>
        <v/>
      </c>
      <c r="E170" t="str">
        <f>IF(Moteur!H170="","",Moteur!H170)</f>
        <v/>
      </c>
      <c r="F170" t="str">
        <f>IF(Moteur!E170="","",Moteur!E170)</f>
        <v/>
      </c>
      <c r="G170" t="str">
        <f>IF($A170="","",SUMIFS(Socle!$H$1:$H$1000,Socle!$C$1:$C$1000,$A170,Socle!$D$1:$D$1000,$C170,Socle!$E$1:$E$1000,$D170,Socle!$F$1:$F$1000,$E170,Socle!$G$1:$G$1000,"2026"))</f>
        <v/>
      </c>
      <c r="H170" t="str">
        <f>IF($A170="","",SUMIFS(Socle!$N$1:$N$1000,Socle!$C$1:$C$1000,$A170,Socle!$D$1:$D$1000,$C170,Socle!$E$1:$E$1000,$D170,Socle!$F$1:$F$1000,$E170,Socle!$G$1:$G$1000,"2026"))</f>
        <v/>
      </c>
      <c r="I170" t="str">
        <f>IF($A170="","",SUMIFS(Socle!$P$1:$P$1000,Socle!$C$1:$C$1000,$A170,Socle!$D$1:$D$1000,$C170,Socle!$E$1:$E$1000,$D170,Socle!$F$1:$F$1000,$E170,Socle!$G$1:$G$1000,"2026"))</f>
        <v/>
      </c>
      <c r="J170" t="str">
        <f>IF($A170="","",SUMIFS(Socle!$W$1:$W$1000,Socle!$C$1:$C$1000,$A170,Socle!$D$1:$D$1000,$C170,Socle!$E$1:$E$1000,$D170,Socle!$F$1:$F$1000,$E170,Socle!$G$1:$G$1000,"2026"))</f>
        <v/>
      </c>
      <c r="K170" t="str">
        <f>IF($A170="","",SUMIFS(Socle!$X$1:$X$1000,Socle!$C$1:$C$1000,$A170,Socle!$D$1:$D$1000,$C170,Socle!$E$1:$E$1000,$D170,Socle!$F$1:$F$1000,$E170,Socle!$G$1:$G$1000,"2026"))</f>
        <v/>
      </c>
      <c r="L170" t="str">
        <f>IF($A170="","",SUMIFS(Socle!$Y$1:$Y$1000,Socle!$C$1:$C$1000,$A170,Socle!$D$1:$D$1000,$C170,Socle!$E$1:$E$1000,$D170,Socle!$F$1:$F$1000,$E170,Socle!$G$1:$G$1000,"2026"))</f>
        <v/>
      </c>
      <c r="M170" t="str">
        <f>IF($A170="","",SUMIFS(Socle!$V$1:$V$1000,Socle!$C$1:$C$1000,$A170,Socle!$D$1:$D$1000,$C170,Socle!$E$1:$E$1000,$D170,Socle!$F$1:$F$1000,$E170,Socle!$G$1:$G$1000,"2026"))</f>
        <v/>
      </c>
      <c r="N170" t="str">
        <f t="shared" si="28"/>
        <v/>
      </c>
      <c r="O170" t="str">
        <f>IF($A170="","",SUMIFS(Campagne!$D$1:$D$15,Campagne!$C$1:$C$15,$A170))</f>
        <v/>
      </c>
      <c r="P170" t="str">
        <f>IF($A170="","",SUMIFS(Campagne!$E$1:$E$15,Campagne!$C$1:$C$15,$A170))</f>
        <v/>
      </c>
      <c r="Q170" t="str">
        <f>IF($A170="","",SUMIFS(Campagne!$F$1:$F$15,Campagne!$C$1:$C$15,$A170))</f>
        <v/>
      </c>
      <c r="R170" t="str">
        <f>IF($A170="","",SUMIFS(Campagne!$K$1:$K$15,Campagne!$C$1:$C$15,$A170))</f>
        <v/>
      </c>
      <c r="S170" t="str">
        <f>IF($A170="","",SUMIFS(Campagne!$M$1:$M$15,Campagne!$C$1:$C$15,$A170))</f>
        <v/>
      </c>
      <c r="T170" t="str">
        <f>IF($A170="","",SUMIFS(PIL!$K$15:$K$28,PIL!$A$15:$A$28,$A170)*SUMIFS(PIL!$J$15:$J$28,PIL!$A$15:$A$28,$A170)*(SUM(PIL!$K$15:$K$28)/SUMPRODUCT(PIL!$K$15:$K$28,PIL!$J$15:$J$28)))</f>
        <v/>
      </c>
      <c r="U170" t="str">
        <f>IF($A170="","",SUMIFS(PIL!$K$15:$K$28,PIL!$A$15:$A$28,$A170))</f>
        <v/>
      </c>
      <c r="V170" t="str">
        <f t="shared" si="29"/>
        <v/>
      </c>
      <c r="W170" t="str">
        <f t="shared" si="30"/>
        <v/>
      </c>
      <c r="X170" t="str">
        <f t="shared" si="31"/>
        <v/>
      </c>
      <c r="Y170" t="str">
        <f t="shared" si="32"/>
        <v/>
      </c>
      <c r="Z170" t="str">
        <f t="shared" si="33"/>
        <v/>
      </c>
      <c r="AA170" t="str">
        <f t="shared" si="34"/>
        <v/>
      </c>
      <c r="AB170" t="str">
        <f t="shared" si="35"/>
        <v/>
      </c>
      <c r="AC170" t="str">
        <f t="shared" si="36"/>
        <v/>
      </c>
      <c r="AD170" t="str">
        <f t="shared" si="37"/>
        <v/>
      </c>
      <c r="AE170" t="str">
        <f t="shared" si="38"/>
        <v/>
      </c>
      <c r="AF170" t="str">
        <f t="shared" si="39"/>
        <v/>
      </c>
      <c r="AG170" t="str">
        <f t="shared" si="40"/>
        <v/>
      </c>
      <c r="AH170" t="str">
        <f t="shared" si="41"/>
        <v/>
      </c>
    </row>
    <row r="171" spans="1:34" x14ac:dyDescent="0.45">
      <c r="A171" t="str">
        <f>IF(Moteur!D171="","",Moteur!D171)</f>
        <v/>
      </c>
      <c r="B171" t="str">
        <f>IF(Moteur!B171="","",Moteur!B171)</f>
        <v/>
      </c>
      <c r="C171" t="str">
        <f>IF(Moteur!F171="","",Moteur!F171)</f>
        <v/>
      </c>
      <c r="D171" t="str">
        <f>IF(Moteur!G171="","",Moteur!G171)</f>
        <v/>
      </c>
      <c r="E171" t="str">
        <f>IF(Moteur!H171="","",Moteur!H171)</f>
        <v/>
      </c>
      <c r="F171" t="str">
        <f>IF(Moteur!E171="","",Moteur!E171)</f>
        <v/>
      </c>
      <c r="G171" t="str">
        <f>IF($A171="","",SUMIFS(Socle!$H$1:$H$1000,Socle!$C$1:$C$1000,$A171,Socle!$D$1:$D$1000,$C171,Socle!$E$1:$E$1000,$D171,Socle!$F$1:$F$1000,$E171,Socle!$G$1:$G$1000,"2026"))</f>
        <v/>
      </c>
      <c r="H171" t="str">
        <f>IF($A171="","",SUMIFS(Socle!$N$1:$N$1000,Socle!$C$1:$C$1000,$A171,Socle!$D$1:$D$1000,$C171,Socle!$E$1:$E$1000,$D171,Socle!$F$1:$F$1000,$E171,Socle!$G$1:$G$1000,"2026"))</f>
        <v/>
      </c>
      <c r="I171" t="str">
        <f>IF($A171="","",SUMIFS(Socle!$P$1:$P$1000,Socle!$C$1:$C$1000,$A171,Socle!$D$1:$D$1000,$C171,Socle!$E$1:$E$1000,$D171,Socle!$F$1:$F$1000,$E171,Socle!$G$1:$G$1000,"2026"))</f>
        <v/>
      </c>
      <c r="J171" t="str">
        <f>IF($A171="","",SUMIFS(Socle!$W$1:$W$1000,Socle!$C$1:$C$1000,$A171,Socle!$D$1:$D$1000,$C171,Socle!$E$1:$E$1000,$D171,Socle!$F$1:$F$1000,$E171,Socle!$G$1:$G$1000,"2026"))</f>
        <v/>
      </c>
      <c r="K171" t="str">
        <f>IF($A171="","",SUMIFS(Socle!$X$1:$X$1000,Socle!$C$1:$C$1000,$A171,Socle!$D$1:$D$1000,$C171,Socle!$E$1:$E$1000,$D171,Socle!$F$1:$F$1000,$E171,Socle!$G$1:$G$1000,"2026"))</f>
        <v/>
      </c>
      <c r="L171" t="str">
        <f>IF($A171="","",SUMIFS(Socle!$Y$1:$Y$1000,Socle!$C$1:$C$1000,$A171,Socle!$D$1:$D$1000,$C171,Socle!$E$1:$E$1000,$D171,Socle!$F$1:$F$1000,$E171,Socle!$G$1:$G$1000,"2026"))</f>
        <v/>
      </c>
      <c r="M171" t="str">
        <f>IF($A171="","",SUMIFS(Socle!$V$1:$V$1000,Socle!$C$1:$C$1000,$A171,Socle!$D$1:$D$1000,$C171,Socle!$E$1:$E$1000,$D171,Socle!$F$1:$F$1000,$E171,Socle!$G$1:$G$1000,"2026"))</f>
        <v/>
      </c>
      <c r="N171" t="str">
        <f t="shared" si="28"/>
        <v/>
      </c>
      <c r="O171" t="str">
        <f>IF($A171="","",SUMIFS(Campagne!$D$1:$D$15,Campagne!$C$1:$C$15,$A171))</f>
        <v/>
      </c>
      <c r="P171" t="str">
        <f>IF($A171="","",SUMIFS(Campagne!$E$1:$E$15,Campagne!$C$1:$C$15,$A171))</f>
        <v/>
      </c>
      <c r="Q171" t="str">
        <f>IF($A171="","",SUMIFS(Campagne!$F$1:$F$15,Campagne!$C$1:$C$15,$A171))</f>
        <v/>
      </c>
      <c r="R171" t="str">
        <f>IF($A171="","",SUMIFS(Campagne!$K$1:$K$15,Campagne!$C$1:$C$15,$A171))</f>
        <v/>
      </c>
      <c r="S171" t="str">
        <f>IF($A171="","",SUMIFS(Campagne!$M$1:$M$15,Campagne!$C$1:$C$15,$A171))</f>
        <v/>
      </c>
      <c r="T171" t="str">
        <f>IF($A171="","",SUMIFS(PIL!$K$15:$K$28,PIL!$A$15:$A$28,$A171)*SUMIFS(PIL!$J$15:$J$28,PIL!$A$15:$A$28,$A171)*(SUM(PIL!$K$15:$K$28)/SUMPRODUCT(PIL!$K$15:$K$28,PIL!$J$15:$J$28)))</f>
        <v/>
      </c>
      <c r="U171" t="str">
        <f>IF($A171="","",SUMIFS(PIL!$K$15:$K$28,PIL!$A$15:$A$28,$A171))</f>
        <v/>
      </c>
      <c r="V171" t="str">
        <f t="shared" si="29"/>
        <v/>
      </c>
      <c r="W171" t="str">
        <f t="shared" si="30"/>
        <v/>
      </c>
      <c r="X171" t="str">
        <f t="shared" si="31"/>
        <v/>
      </c>
      <c r="Y171" t="str">
        <f t="shared" si="32"/>
        <v/>
      </c>
      <c r="Z171" t="str">
        <f t="shared" si="33"/>
        <v/>
      </c>
      <c r="AA171" t="str">
        <f t="shared" si="34"/>
        <v/>
      </c>
      <c r="AB171" t="str">
        <f t="shared" si="35"/>
        <v/>
      </c>
      <c r="AC171" t="str">
        <f t="shared" si="36"/>
        <v/>
      </c>
      <c r="AD171" t="str">
        <f t="shared" si="37"/>
        <v/>
      </c>
      <c r="AE171" t="str">
        <f t="shared" si="38"/>
        <v/>
      </c>
      <c r="AF171" t="str">
        <f t="shared" si="39"/>
        <v/>
      </c>
      <c r="AG171" t="str">
        <f t="shared" si="40"/>
        <v/>
      </c>
      <c r="AH171" t="str">
        <f t="shared" si="41"/>
        <v/>
      </c>
    </row>
    <row r="172" spans="1:34" x14ac:dyDescent="0.45">
      <c r="A172" t="str">
        <f>IF(Moteur!D172="","",Moteur!D172)</f>
        <v/>
      </c>
      <c r="B172" t="str">
        <f>IF(Moteur!B172="","",Moteur!B172)</f>
        <v/>
      </c>
      <c r="C172" t="str">
        <f>IF(Moteur!F172="","",Moteur!F172)</f>
        <v/>
      </c>
      <c r="D172" t="str">
        <f>IF(Moteur!G172="","",Moteur!G172)</f>
        <v/>
      </c>
      <c r="E172" t="str">
        <f>IF(Moteur!H172="","",Moteur!H172)</f>
        <v/>
      </c>
      <c r="F172" t="str">
        <f>IF(Moteur!E172="","",Moteur!E172)</f>
        <v/>
      </c>
      <c r="G172" t="str">
        <f>IF($A172="","",SUMIFS(Socle!$H$1:$H$1000,Socle!$C$1:$C$1000,$A172,Socle!$D$1:$D$1000,$C172,Socle!$E$1:$E$1000,$D172,Socle!$F$1:$F$1000,$E172,Socle!$G$1:$G$1000,"2026"))</f>
        <v/>
      </c>
      <c r="H172" t="str">
        <f>IF($A172="","",SUMIFS(Socle!$N$1:$N$1000,Socle!$C$1:$C$1000,$A172,Socle!$D$1:$D$1000,$C172,Socle!$E$1:$E$1000,$D172,Socle!$F$1:$F$1000,$E172,Socle!$G$1:$G$1000,"2026"))</f>
        <v/>
      </c>
      <c r="I172" t="str">
        <f>IF($A172="","",SUMIFS(Socle!$P$1:$P$1000,Socle!$C$1:$C$1000,$A172,Socle!$D$1:$D$1000,$C172,Socle!$E$1:$E$1000,$D172,Socle!$F$1:$F$1000,$E172,Socle!$G$1:$G$1000,"2026"))</f>
        <v/>
      </c>
      <c r="J172" t="str">
        <f>IF($A172="","",SUMIFS(Socle!$W$1:$W$1000,Socle!$C$1:$C$1000,$A172,Socle!$D$1:$D$1000,$C172,Socle!$E$1:$E$1000,$D172,Socle!$F$1:$F$1000,$E172,Socle!$G$1:$G$1000,"2026"))</f>
        <v/>
      </c>
      <c r="K172" t="str">
        <f>IF($A172="","",SUMIFS(Socle!$X$1:$X$1000,Socle!$C$1:$C$1000,$A172,Socle!$D$1:$D$1000,$C172,Socle!$E$1:$E$1000,$D172,Socle!$F$1:$F$1000,$E172,Socle!$G$1:$G$1000,"2026"))</f>
        <v/>
      </c>
      <c r="L172" t="str">
        <f>IF($A172="","",SUMIFS(Socle!$Y$1:$Y$1000,Socle!$C$1:$C$1000,$A172,Socle!$D$1:$D$1000,$C172,Socle!$E$1:$E$1000,$D172,Socle!$F$1:$F$1000,$E172,Socle!$G$1:$G$1000,"2026"))</f>
        <v/>
      </c>
      <c r="M172" t="str">
        <f>IF($A172="","",SUMIFS(Socle!$V$1:$V$1000,Socle!$C$1:$C$1000,$A172,Socle!$D$1:$D$1000,$C172,Socle!$E$1:$E$1000,$D172,Socle!$F$1:$F$1000,$E172,Socle!$G$1:$G$1000,"2026"))</f>
        <v/>
      </c>
      <c r="N172" t="str">
        <f t="shared" si="28"/>
        <v/>
      </c>
      <c r="O172" t="str">
        <f>IF($A172="","",SUMIFS(Campagne!$D$1:$D$15,Campagne!$C$1:$C$15,$A172))</f>
        <v/>
      </c>
      <c r="P172" t="str">
        <f>IF($A172="","",SUMIFS(Campagne!$E$1:$E$15,Campagne!$C$1:$C$15,$A172))</f>
        <v/>
      </c>
      <c r="Q172" t="str">
        <f>IF($A172="","",SUMIFS(Campagne!$F$1:$F$15,Campagne!$C$1:$C$15,$A172))</f>
        <v/>
      </c>
      <c r="R172" t="str">
        <f>IF($A172="","",SUMIFS(Campagne!$K$1:$K$15,Campagne!$C$1:$C$15,$A172))</f>
        <v/>
      </c>
      <c r="S172" t="str">
        <f>IF($A172="","",SUMIFS(Campagne!$M$1:$M$15,Campagne!$C$1:$C$15,$A172))</f>
        <v/>
      </c>
      <c r="T172" t="str">
        <f>IF($A172="","",SUMIFS(PIL!$K$15:$K$28,PIL!$A$15:$A$28,$A172)*SUMIFS(PIL!$J$15:$J$28,PIL!$A$15:$A$28,$A172)*(SUM(PIL!$K$15:$K$28)/SUMPRODUCT(PIL!$K$15:$K$28,PIL!$J$15:$J$28)))</f>
        <v/>
      </c>
      <c r="U172" t="str">
        <f>IF($A172="","",SUMIFS(PIL!$K$15:$K$28,PIL!$A$15:$A$28,$A172))</f>
        <v/>
      </c>
      <c r="V172" t="str">
        <f t="shared" si="29"/>
        <v/>
      </c>
      <c r="W172" t="str">
        <f t="shared" si="30"/>
        <v/>
      </c>
      <c r="X172" t="str">
        <f t="shared" si="31"/>
        <v/>
      </c>
      <c r="Y172" t="str">
        <f t="shared" si="32"/>
        <v/>
      </c>
      <c r="Z172" t="str">
        <f t="shared" si="33"/>
        <v/>
      </c>
      <c r="AA172" t="str">
        <f t="shared" si="34"/>
        <v/>
      </c>
      <c r="AB172" t="str">
        <f t="shared" si="35"/>
        <v/>
      </c>
      <c r="AC172" t="str">
        <f t="shared" si="36"/>
        <v/>
      </c>
      <c r="AD172" t="str">
        <f t="shared" si="37"/>
        <v/>
      </c>
      <c r="AE172" t="str">
        <f t="shared" si="38"/>
        <v/>
      </c>
      <c r="AF172" t="str">
        <f t="shared" si="39"/>
        <v/>
      </c>
      <c r="AG172" t="str">
        <f t="shared" si="40"/>
        <v/>
      </c>
      <c r="AH172" t="str">
        <f t="shared" si="41"/>
        <v/>
      </c>
    </row>
    <row r="173" spans="1:34" x14ac:dyDescent="0.45">
      <c r="A173" t="str">
        <f>IF(Moteur!D173="","",Moteur!D173)</f>
        <v/>
      </c>
      <c r="B173" t="str">
        <f>IF(Moteur!B173="","",Moteur!B173)</f>
        <v/>
      </c>
      <c r="C173" t="str">
        <f>IF(Moteur!F173="","",Moteur!F173)</f>
        <v/>
      </c>
      <c r="D173" t="str">
        <f>IF(Moteur!G173="","",Moteur!G173)</f>
        <v/>
      </c>
      <c r="E173" t="str">
        <f>IF(Moteur!H173="","",Moteur!H173)</f>
        <v/>
      </c>
      <c r="F173" t="str">
        <f>IF(Moteur!E173="","",Moteur!E173)</f>
        <v/>
      </c>
      <c r="G173" t="str">
        <f>IF($A173="","",SUMIFS(Socle!$H$1:$H$1000,Socle!$C$1:$C$1000,$A173,Socle!$D$1:$D$1000,$C173,Socle!$E$1:$E$1000,$D173,Socle!$F$1:$F$1000,$E173,Socle!$G$1:$G$1000,"2026"))</f>
        <v/>
      </c>
      <c r="H173" t="str">
        <f>IF($A173="","",SUMIFS(Socle!$N$1:$N$1000,Socle!$C$1:$C$1000,$A173,Socle!$D$1:$D$1000,$C173,Socle!$E$1:$E$1000,$D173,Socle!$F$1:$F$1000,$E173,Socle!$G$1:$G$1000,"2026"))</f>
        <v/>
      </c>
      <c r="I173" t="str">
        <f>IF($A173="","",SUMIFS(Socle!$P$1:$P$1000,Socle!$C$1:$C$1000,$A173,Socle!$D$1:$D$1000,$C173,Socle!$E$1:$E$1000,$D173,Socle!$F$1:$F$1000,$E173,Socle!$G$1:$G$1000,"2026"))</f>
        <v/>
      </c>
      <c r="J173" t="str">
        <f>IF($A173="","",SUMIFS(Socle!$W$1:$W$1000,Socle!$C$1:$C$1000,$A173,Socle!$D$1:$D$1000,$C173,Socle!$E$1:$E$1000,$D173,Socle!$F$1:$F$1000,$E173,Socle!$G$1:$G$1000,"2026"))</f>
        <v/>
      </c>
      <c r="K173" t="str">
        <f>IF($A173="","",SUMIFS(Socle!$X$1:$X$1000,Socle!$C$1:$C$1000,$A173,Socle!$D$1:$D$1000,$C173,Socle!$E$1:$E$1000,$D173,Socle!$F$1:$F$1000,$E173,Socle!$G$1:$G$1000,"2026"))</f>
        <v/>
      </c>
      <c r="L173" t="str">
        <f>IF($A173="","",SUMIFS(Socle!$Y$1:$Y$1000,Socle!$C$1:$C$1000,$A173,Socle!$D$1:$D$1000,$C173,Socle!$E$1:$E$1000,$D173,Socle!$F$1:$F$1000,$E173,Socle!$G$1:$G$1000,"2026"))</f>
        <v/>
      </c>
      <c r="M173" t="str">
        <f>IF($A173="","",SUMIFS(Socle!$V$1:$V$1000,Socle!$C$1:$C$1000,$A173,Socle!$D$1:$D$1000,$C173,Socle!$E$1:$E$1000,$D173,Socle!$F$1:$F$1000,$E173,Socle!$G$1:$G$1000,"2026"))</f>
        <v/>
      </c>
      <c r="N173" t="str">
        <f t="shared" si="28"/>
        <v/>
      </c>
      <c r="O173" t="str">
        <f>IF($A173="","",SUMIFS(Campagne!$D$1:$D$15,Campagne!$C$1:$C$15,$A173))</f>
        <v/>
      </c>
      <c r="P173" t="str">
        <f>IF($A173="","",SUMIFS(Campagne!$E$1:$E$15,Campagne!$C$1:$C$15,$A173))</f>
        <v/>
      </c>
      <c r="Q173" t="str">
        <f>IF($A173="","",SUMIFS(Campagne!$F$1:$F$15,Campagne!$C$1:$C$15,$A173))</f>
        <v/>
      </c>
      <c r="R173" t="str">
        <f>IF($A173="","",SUMIFS(Campagne!$K$1:$K$15,Campagne!$C$1:$C$15,$A173))</f>
        <v/>
      </c>
      <c r="S173" t="str">
        <f>IF($A173="","",SUMIFS(Campagne!$M$1:$M$15,Campagne!$C$1:$C$15,$A173))</f>
        <v/>
      </c>
      <c r="T173" t="str">
        <f>IF($A173="","",SUMIFS(PIL!$K$15:$K$28,PIL!$A$15:$A$28,$A173)*SUMIFS(PIL!$J$15:$J$28,PIL!$A$15:$A$28,$A173)*(SUM(PIL!$K$15:$K$28)/SUMPRODUCT(PIL!$K$15:$K$28,PIL!$J$15:$J$28)))</f>
        <v/>
      </c>
      <c r="U173" t="str">
        <f>IF($A173="","",SUMIFS(PIL!$K$15:$K$28,PIL!$A$15:$A$28,$A173))</f>
        <v/>
      </c>
      <c r="V173" t="str">
        <f t="shared" si="29"/>
        <v/>
      </c>
      <c r="W173" t="str">
        <f t="shared" si="30"/>
        <v/>
      </c>
      <c r="X173" t="str">
        <f t="shared" si="31"/>
        <v/>
      </c>
      <c r="Y173" t="str">
        <f t="shared" si="32"/>
        <v/>
      </c>
      <c r="Z173" t="str">
        <f t="shared" si="33"/>
        <v/>
      </c>
      <c r="AA173" t="str">
        <f t="shared" si="34"/>
        <v/>
      </c>
      <c r="AB173" t="str">
        <f t="shared" si="35"/>
        <v/>
      </c>
      <c r="AC173" t="str">
        <f t="shared" si="36"/>
        <v/>
      </c>
      <c r="AD173" t="str">
        <f t="shared" si="37"/>
        <v/>
      </c>
      <c r="AE173" t="str">
        <f t="shared" si="38"/>
        <v/>
      </c>
      <c r="AF173" t="str">
        <f t="shared" si="39"/>
        <v/>
      </c>
      <c r="AG173" t="str">
        <f t="shared" si="40"/>
        <v/>
      </c>
      <c r="AH173" t="str">
        <f t="shared" si="41"/>
        <v/>
      </c>
    </row>
    <row r="174" spans="1:34" x14ac:dyDescent="0.45">
      <c r="A174" t="str">
        <f>IF(Moteur!D174="","",Moteur!D174)</f>
        <v/>
      </c>
      <c r="B174" t="str">
        <f>IF(Moteur!B174="","",Moteur!B174)</f>
        <v/>
      </c>
      <c r="C174" t="str">
        <f>IF(Moteur!F174="","",Moteur!F174)</f>
        <v/>
      </c>
      <c r="D174" t="str">
        <f>IF(Moteur!G174="","",Moteur!G174)</f>
        <v/>
      </c>
      <c r="E174" t="str">
        <f>IF(Moteur!H174="","",Moteur!H174)</f>
        <v/>
      </c>
      <c r="F174" t="str">
        <f>IF(Moteur!E174="","",Moteur!E174)</f>
        <v/>
      </c>
      <c r="G174" t="str">
        <f>IF($A174="","",SUMIFS(Socle!$H$1:$H$1000,Socle!$C$1:$C$1000,$A174,Socle!$D$1:$D$1000,$C174,Socle!$E$1:$E$1000,$D174,Socle!$F$1:$F$1000,$E174,Socle!$G$1:$G$1000,"2026"))</f>
        <v/>
      </c>
      <c r="H174" t="str">
        <f>IF($A174="","",SUMIFS(Socle!$N$1:$N$1000,Socle!$C$1:$C$1000,$A174,Socle!$D$1:$D$1000,$C174,Socle!$E$1:$E$1000,$D174,Socle!$F$1:$F$1000,$E174,Socle!$G$1:$G$1000,"2026"))</f>
        <v/>
      </c>
      <c r="I174" t="str">
        <f>IF($A174="","",SUMIFS(Socle!$P$1:$P$1000,Socle!$C$1:$C$1000,$A174,Socle!$D$1:$D$1000,$C174,Socle!$E$1:$E$1000,$D174,Socle!$F$1:$F$1000,$E174,Socle!$G$1:$G$1000,"2026"))</f>
        <v/>
      </c>
      <c r="J174" t="str">
        <f>IF($A174="","",SUMIFS(Socle!$W$1:$W$1000,Socle!$C$1:$C$1000,$A174,Socle!$D$1:$D$1000,$C174,Socle!$E$1:$E$1000,$D174,Socle!$F$1:$F$1000,$E174,Socle!$G$1:$G$1000,"2026"))</f>
        <v/>
      </c>
      <c r="K174" t="str">
        <f>IF($A174="","",SUMIFS(Socle!$X$1:$X$1000,Socle!$C$1:$C$1000,$A174,Socle!$D$1:$D$1000,$C174,Socle!$E$1:$E$1000,$D174,Socle!$F$1:$F$1000,$E174,Socle!$G$1:$G$1000,"2026"))</f>
        <v/>
      </c>
      <c r="L174" t="str">
        <f>IF($A174="","",SUMIFS(Socle!$Y$1:$Y$1000,Socle!$C$1:$C$1000,$A174,Socle!$D$1:$D$1000,$C174,Socle!$E$1:$E$1000,$D174,Socle!$F$1:$F$1000,$E174,Socle!$G$1:$G$1000,"2026"))</f>
        <v/>
      </c>
      <c r="M174" t="str">
        <f>IF($A174="","",SUMIFS(Socle!$V$1:$V$1000,Socle!$C$1:$C$1000,$A174,Socle!$D$1:$D$1000,$C174,Socle!$E$1:$E$1000,$D174,Socle!$F$1:$F$1000,$E174,Socle!$G$1:$G$1000,"2026"))</f>
        <v/>
      </c>
      <c r="N174" t="str">
        <f t="shared" si="28"/>
        <v/>
      </c>
      <c r="O174" t="str">
        <f>IF($A174="","",SUMIFS(Campagne!$D$1:$D$15,Campagne!$C$1:$C$15,$A174))</f>
        <v/>
      </c>
      <c r="P174" t="str">
        <f>IF($A174="","",SUMIFS(Campagne!$E$1:$E$15,Campagne!$C$1:$C$15,$A174))</f>
        <v/>
      </c>
      <c r="Q174" t="str">
        <f>IF($A174="","",SUMIFS(Campagne!$F$1:$F$15,Campagne!$C$1:$C$15,$A174))</f>
        <v/>
      </c>
      <c r="R174" t="str">
        <f>IF($A174="","",SUMIFS(Campagne!$K$1:$K$15,Campagne!$C$1:$C$15,$A174))</f>
        <v/>
      </c>
      <c r="S174" t="str">
        <f>IF($A174="","",SUMIFS(Campagne!$M$1:$M$15,Campagne!$C$1:$C$15,$A174))</f>
        <v/>
      </c>
      <c r="T174" t="str">
        <f>IF($A174="","",SUMIFS(PIL!$K$15:$K$28,PIL!$A$15:$A$28,$A174)*SUMIFS(PIL!$J$15:$J$28,PIL!$A$15:$A$28,$A174)*(SUM(PIL!$K$15:$K$28)/SUMPRODUCT(PIL!$K$15:$K$28,PIL!$J$15:$J$28)))</f>
        <v/>
      </c>
      <c r="U174" t="str">
        <f>IF($A174="","",SUMIFS(PIL!$K$15:$K$28,PIL!$A$15:$A$28,$A174))</f>
        <v/>
      </c>
      <c r="V174" t="str">
        <f t="shared" si="29"/>
        <v/>
      </c>
      <c r="W174" t="str">
        <f t="shared" si="30"/>
        <v/>
      </c>
      <c r="X174" t="str">
        <f t="shared" si="31"/>
        <v/>
      </c>
      <c r="Y174" t="str">
        <f t="shared" si="32"/>
        <v/>
      </c>
      <c r="Z174" t="str">
        <f t="shared" si="33"/>
        <v/>
      </c>
      <c r="AA174" t="str">
        <f t="shared" si="34"/>
        <v/>
      </c>
      <c r="AB174" t="str">
        <f t="shared" si="35"/>
        <v/>
      </c>
      <c r="AC174" t="str">
        <f t="shared" si="36"/>
        <v/>
      </c>
      <c r="AD174" t="str">
        <f t="shared" si="37"/>
        <v/>
      </c>
      <c r="AE174" t="str">
        <f t="shared" si="38"/>
        <v/>
      </c>
      <c r="AF174" t="str">
        <f t="shared" si="39"/>
        <v/>
      </c>
      <c r="AG174" t="str">
        <f t="shared" si="40"/>
        <v/>
      </c>
      <c r="AH174" t="str">
        <f t="shared" si="41"/>
        <v/>
      </c>
    </row>
    <row r="175" spans="1:34" x14ac:dyDescent="0.45">
      <c r="A175" t="str">
        <f>IF(Moteur!D175="","",Moteur!D175)</f>
        <v/>
      </c>
      <c r="B175" t="str">
        <f>IF(Moteur!B175="","",Moteur!B175)</f>
        <v/>
      </c>
      <c r="C175" t="str">
        <f>IF(Moteur!F175="","",Moteur!F175)</f>
        <v/>
      </c>
      <c r="D175" t="str">
        <f>IF(Moteur!G175="","",Moteur!G175)</f>
        <v/>
      </c>
      <c r="E175" t="str">
        <f>IF(Moteur!H175="","",Moteur!H175)</f>
        <v/>
      </c>
      <c r="F175" t="str">
        <f>IF(Moteur!E175="","",Moteur!E175)</f>
        <v/>
      </c>
      <c r="G175" t="str">
        <f>IF($A175="","",SUMIFS(Socle!$H$1:$H$1000,Socle!$C$1:$C$1000,$A175,Socle!$D$1:$D$1000,$C175,Socle!$E$1:$E$1000,$D175,Socle!$F$1:$F$1000,$E175,Socle!$G$1:$G$1000,"2026"))</f>
        <v/>
      </c>
      <c r="H175" t="str">
        <f>IF($A175="","",SUMIFS(Socle!$N$1:$N$1000,Socle!$C$1:$C$1000,$A175,Socle!$D$1:$D$1000,$C175,Socle!$E$1:$E$1000,$D175,Socle!$F$1:$F$1000,$E175,Socle!$G$1:$G$1000,"2026"))</f>
        <v/>
      </c>
      <c r="I175" t="str">
        <f>IF($A175="","",SUMIFS(Socle!$P$1:$P$1000,Socle!$C$1:$C$1000,$A175,Socle!$D$1:$D$1000,$C175,Socle!$E$1:$E$1000,$D175,Socle!$F$1:$F$1000,$E175,Socle!$G$1:$G$1000,"2026"))</f>
        <v/>
      </c>
      <c r="J175" t="str">
        <f>IF($A175="","",SUMIFS(Socle!$W$1:$W$1000,Socle!$C$1:$C$1000,$A175,Socle!$D$1:$D$1000,$C175,Socle!$E$1:$E$1000,$D175,Socle!$F$1:$F$1000,$E175,Socle!$G$1:$G$1000,"2026"))</f>
        <v/>
      </c>
      <c r="K175" t="str">
        <f>IF($A175="","",SUMIFS(Socle!$X$1:$X$1000,Socle!$C$1:$C$1000,$A175,Socle!$D$1:$D$1000,$C175,Socle!$E$1:$E$1000,$D175,Socle!$F$1:$F$1000,$E175,Socle!$G$1:$G$1000,"2026"))</f>
        <v/>
      </c>
      <c r="L175" t="str">
        <f>IF($A175="","",SUMIFS(Socle!$Y$1:$Y$1000,Socle!$C$1:$C$1000,$A175,Socle!$D$1:$D$1000,$C175,Socle!$E$1:$E$1000,$D175,Socle!$F$1:$F$1000,$E175,Socle!$G$1:$G$1000,"2026"))</f>
        <v/>
      </c>
      <c r="M175" t="str">
        <f>IF($A175="","",SUMIFS(Socle!$V$1:$V$1000,Socle!$C$1:$C$1000,$A175,Socle!$D$1:$D$1000,$C175,Socle!$E$1:$E$1000,$D175,Socle!$F$1:$F$1000,$E175,Socle!$G$1:$G$1000,"2026"))</f>
        <v/>
      </c>
      <c r="N175" t="str">
        <f t="shared" si="28"/>
        <v/>
      </c>
      <c r="O175" t="str">
        <f>IF($A175="","",SUMIFS(Campagne!$D$1:$D$15,Campagne!$C$1:$C$15,$A175))</f>
        <v/>
      </c>
      <c r="P175" t="str">
        <f>IF($A175="","",SUMIFS(Campagne!$E$1:$E$15,Campagne!$C$1:$C$15,$A175))</f>
        <v/>
      </c>
      <c r="Q175" t="str">
        <f>IF($A175="","",SUMIFS(Campagne!$F$1:$F$15,Campagne!$C$1:$C$15,$A175))</f>
        <v/>
      </c>
      <c r="R175" t="str">
        <f>IF($A175="","",SUMIFS(Campagne!$K$1:$K$15,Campagne!$C$1:$C$15,$A175))</f>
        <v/>
      </c>
      <c r="S175" t="str">
        <f>IF($A175="","",SUMIFS(Campagne!$M$1:$M$15,Campagne!$C$1:$C$15,$A175))</f>
        <v/>
      </c>
      <c r="T175" t="str">
        <f>IF($A175="","",SUMIFS(PIL!$K$15:$K$28,PIL!$A$15:$A$28,$A175)*SUMIFS(PIL!$J$15:$J$28,PIL!$A$15:$A$28,$A175)*(SUM(PIL!$K$15:$K$28)/SUMPRODUCT(PIL!$K$15:$K$28,PIL!$J$15:$J$28)))</f>
        <v/>
      </c>
      <c r="U175" t="str">
        <f>IF($A175="","",SUMIFS(PIL!$K$15:$K$28,PIL!$A$15:$A$28,$A175))</f>
        <v/>
      </c>
      <c r="V175" t="str">
        <f t="shared" si="29"/>
        <v/>
      </c>
      <c r="W175" t="str">
        <f t="shared" si="30"/>
        <v/>
      </c>
      <c r="X175" t="str">
        <f t="shared" si="31"/>
        <v/>
      </c>
      <c r="Y175" t="str">
        <f t="shared" si="32"/>
        <v/>
      </c>
      <c r="Z175" t="str">
        <f t="shared" si="33"/>
        <v/>
      </c>
      <c r="AA175" t="str">
        <f t="shared" si="34"/>
        <v/>
      </c>
      <c r="AB175" t="str">
        <f t="shared" si="35"/>
        <v/>
      </c>
      <c r="AC175" t="str">
        <f t="shared" si="36"/>
        <v/>
      </c>
      <c r="AD175" t="str">
        <f t="shared" si="37"/>
        <v/>
      </c>
      <c r="AE175" t="str">
        <f t="shared" si="38"/>
        <v/>
      </c>
      <c r="AF175" t="str">
        <f t="shared" si="39"/>
        <v/>
      </c>
      <c r="AG175" t="str">
        <f t="shared" si="40"/>
        <v/>
      </c>
      <c r="AH175" t="str">
        <f t="shared" si="41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V1347"/>
  <sheetViews>
    <sheetView workbookViewId="0"/>
  </sheetViews>
  <sheetFormatPr baseColWidth="10" defaultColWidth="9.06640625" defaultRowHeight="14.25" x14ac:dyDescent="0.45"/>
  <sheetData>
    <row r="1" spans="1:22" x14ac:dyDescent="0.4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277</v>
      </c>
      <c r="G1" t="s">
        <v>262</v>
      </c>
      <c r="H1" t="s">
        <v>263</v>
      </c>
      <c r="I1" t="s">
        <v>278</v>
      </c>
      <c r="J1" t="s">
        <v>279</v>
      </c>
      <c r="K1" t="s">
        <v>280</v>
      </c>
      <c r="L1" t="s">
        <v>281</v>
      </c>
      <c r="M1" t="s">
        <v>143</v>
      </c>
      <c r="N1" t="s">
        <v>282</v>
      </c>
      <c r="O1" t="s">
        <v>283</v>
      </c>
      <c r="P1" t="s">
        <v>284</v>
      </c>
      <c r="R1">
        <f>SUMIFS(Compta!$F$1:$F$675,Compta!$B$1:$B$675,"7062",Compta!$C$1:$C$675,"2026")+SUMIFS(Compta!$F$1:$F$675,Compta!$B$1:$B$675,"706",Compta!$C$1:$C$675,"2026")+SUMIFS(Compta!$F$1:$F$675,Compta!$B$1:$B$675,"708",Compta!$C$1:$C$675,"2026")</f>
        <v>0</v>
      </c>
      <c r="T1" t="s">
        <v>285</v>
      </c>
      <c r="V1" t="s">
        <v>271</v>
      </c>
    </row>
    <row r="2" spans="1:22" x14ac:dyDescent="0.45">
      <c r="A2">
        <f>IF(PNL!A2="","",PNL!A2)</f>
        <v>1000</v>
      </c>
      <c r="B2">
        <f>IF(PNL!B2="","",PNL!B2)</f>
        <v>1000</v>
      </c>
      <c r="C2">
        <f>IF(PNL!C2="","",PNL!C2)</f>
        <v>1000</v>
      </c>
      <c r="D2">
        <f>IF(PNL!D2="","",PNL!D2)</f>
        <v>1000</v>
      </c>
      <c r="E2">
        <f t="shared" ref="E2:E65" si="0">IF($A2="","",IF(AND($C2="2027",OR($D2="V01",$D2="V02",$D2="V03")),1,0))</f>
        <v>0</v>
      </c>
      <c r="F2">
        <f>IF($A2="","",IF($E2=1,SUMIFS(Compta!$F$1:$F$675,Compta!$A$1:$A$675,$A2,Compta!$B$1:$B$675,$B2,Compta!$C$1:$C$675,"2026"),0))</f>
        <v>0</v>
      </c>
      <c r="G2">
        <f t="shared" ref="G2:G65" si="1">IF($A2="","",IF($D2="V01",cad!$C$23,IF($D2="V02",cad!$D$23,cad!$E$23)))</f>
        <v>1000</v>
      </c>
      <c r="H2">
        <f t="shared" ref="H2:H65" si="2">IF($A2="","",IF($D2="V01",cad!$C$24,IF($D2="V02",cad!$D$24,cad!$E$24)))</f>
        <v>1000</v>
      </c>
      <c r="I2">
        <f t="shared" ref="I2:I65" si="3">IF($A2="","",IF($D2="V01",cad!$C$32,IF($D2="V02",cad!$D$32,cad!$E$32)))</f>
        <v>1000</v>
      </c>
      <c r="J2">
        <f t="shared" ref="J2:J65" si="4">IF($A2="","",IF($D2="V01",cad!$C$33,IF($D2="V02",cad!$D$33,cad!$E$33)))</f>
        <v>1000</v>
      </c>
      <c r="K2">
        <f t="shared" ref="K2:K65" si="5">IF($A2="","",IF($D2="V01",cad!$C$34,IF($D2="V02",cad!$D$34,cad!$E$34)))</f>
        <v>1000</v>
      </c>
      <c r="L2">
        <f t="shared" ref="L2:L65" si="6">IF($A2="","",IF($D2="V01",cad!$C$35,IF($D2="V02",cad!$D$35,cad!$E$35)))</f>
        <v>1000</v>
      </c>
      <c r="M2">
        <f t="shared" ref="M2:M65" si="7">IF($A2="","",IF($D2="V01",cad!$C$36,IF($D2="V02",cad!$D$36,cad!$E$36)))</f>
        <v>1000</v>
      </c>
      <c r="N2" t="e">
        <f t="shared" ref="N2:N65" si="8">IF($A2="","",IF($D2="V01",$R$2,IF($D2="V02",$R$3,$R$4)))</f>
        <v>#DIV/0!</v>
      </c>
      <c r="O2">
        <f t="shared" ref="O2:O65" si="9">IF($A2="","",IF(OR($B2="7062",$B2="706",$B2="708"),$N2,IF($B2="6231",1+$G2,IF($B2="6236",1+$H2,IF(OR($B2="621",$B2="604",$B2="6063"),$N2*(1-$L2),IF(OR($B2="6411",$B2="6413",$B2="6414",$B2="645"),(1+$J2)*(1+$K2),IF(OR($B2="613",$B2="615",$B2="616",$B2="6226",$B2="625",$B2="626",$B2="6281"),(1+$I2)*(1-$L2)*(1+$M2),IF(OR($B2="6331",$B2="63511",$B2="6333"),(1+$I2)*(1-$L2),IF($B2="6811",1+$I2,1)))))))))</f>
        <v>1</v>
      </c>
      <c r="P2">
        <f>IF($A2="","",IF($E2=1,$F2*$O2,PNL!G2))</f>
        <v>1000</v>
      </c>
      <c r="R2" t="e">
        <f>SUMIFS(Moteur!$R$1:$R$175,Moteur!$B$1:$B$175,"V01")/$R$1</f>
        <v>#DIV/0!</v>
      </c>
      <c r="T2">
        <f t="shared" ref="T2:T65" si="10">IF($A2="","",IF($E2=1,IF(OR($B2="7062",$B2="706",$B2="708"),$P2,IF(AND(LEFT($B2,1)="6",$B2&lt;&gt;"6811"),-$P2,0)),0))</f>
        <v>0</v>
      </c>
    </row>
    <row r="3" spans="1:22" x14ac:dyDescent="0.45">
      <c r="A3" t="str">
        <f>IF(PNL!A3="","",PNL!A3)</f>
        <v/>
      </c>
      <c r="B3" t="str">
        <f>IF(PNL!B3="","",PNL!B3)</f>
        <v/>
      </c>
      <c r="C3" t="str">
        <f>IF(PNL!C3="","",PNL!C3)</f>
        <v/>
      </c>
      <c r="D3" t="str">
        <f>IF(PNL!D3="","",PNL!D3)</f>
        <v/>
      </c>
      <c r="E3" t="str">
        <f t="shared" si="0"/>
        <v/>
      </c>
      <c r="F3" t="str">
        <f>IF($A3="","",IF($E3=1,SUMIFS(Compta!$F$1:$F$675,Compta!$A$1:$A$675,$A3,Compta!$B$1:$B$675,$B3,Compta!$C$1:$C$675,"2026"),0))</f>
        <v/>
      </c>
      <c r="G3" t="str">
        <f t="shared" si="1"/>
        <v/>
      </c>
      <c r="H3" t="str">
        <f t="shared" si="2"/>
        <v/>
      </c>
      <c r="I3" t="str">
        <f t="shared" si="3"/>
        <v/>
      </c>
      <c r="J3" t="str">
        <f t="shared" si="4"/>
        <v/>
      </c>
      <c r="K3" t="str">
        <f t="shared" si="5"/>
        <v/>
      </c>
      <c r="L3" t="str">
        <f t="shared" si="6"/>
        <v/>
      </c>
      <c r="M3" t="str">
        <f t="shared" si="7"/>
        <v/>
      </c>
      <c r="N3" t="str">
        <f t="shared" si="8"/>
        <v/>
      </c>
      <c r="O3" t="str">
        <f t="shared" si="9"/>
        <v/>
      </c>
      <c r="P3" t="str">
        <f>IF($A3="","",IF($E3=1,$F3*$O3,PNL!G3))</f>
        <v/>
      </c>
      <c r="R3" t="e">
        <f>SUMIFS(Moteur!$R$1:$R$175,Moteur!$B$1:$B$175,"V02")/$R$1</f>
        <v>#DIV/0!</v>
      </c>
      <c r="T3" t="str">
        <f t="shared" si="10"/>
        <v/>
      </c>
    </row>
    <row r="4" spans="1:22" x14ac:dyDescent="0.45">
      <c r="A4" t="str">
        <f>IF(PNL!A4="","",PNL!A4)</f>
        <v/>
      </c>
      <c r="B4" t="str">
        <f>IF(PNL!B4="","",PNL!B4)</f>
        <v/>
      </c>
      <c r="C4" t="str">
        <f>IF(PNL!C4="","",PNL!C4)</f>
        <v/>
      </c>
      <c r="D4" t="str">
        <f>IF(PNL!D4="","",PNL!D4)</f>
        <v/>
      </c>
      <c r="E4" t="str">
        <f t="shared" si="0"/>
        <v/>
      </c>
      <c r="F4" t="str">
        <f>IF($A4="","",IF($E4=1,SUMIFS(Compta!$F$1:$F$675,Compta!$A$1:$A$675,$A4,Compta!$B$1:$B$675,$B4,Compta!$C$1:$C$675,"2026"),0))</f>
        <v/>
      </c>
      <c r="G4" t="str">
        <f t="shared" si="1"/>
        <v/>
      </c>
      <c r="H4" t="str">
        <f t="shared" si="2"/>
        <v/>
      </c>
      <c r="I4" t="str">
        <f t="shared" si="3"/>
        <v/>
      </c>
      <c r="J4" t="str">
        <f t="shared" si="4"/>
        <v/>
      </c>
      <c r="K4" t="str">
        <f t="shared" si="5"/>
        <v/>
      </c>
      <c r="L4" t="str">
        <f t="shared" si="6"/>
        <v/>
      </c>
      <c r="M4" t="str">
        <f t="shared" si="7"/>
        <v/>
      </c>
      <c r="N4" t="str">
        <f t="shared" si="8"/>
        <v/>
      </c>
      <c r="O4" t="str">
        <f t="shared" si="9"/>
        <v/>
      </c>
      <c r="P4" t="str">
        <f>IF($A4="","",IF($E4=1,$F4*$O4,PNL!G4))</f>
        <v/>
      </c>
      <c r="R4" t="e">
        <f>SUMIFS(Moteur!$R$1:$R$175,Moteur!$B$1:$B$175,"V03")/$R$1</f>
        <v>#DIV/0!</v>
      </c>
      <c r="T4" t="str">
        <f t="shared" si="10"/>
        <v/>
      </c>
    </row>
    <row r="5" spans="1:22" x14ac:dyDescent="0.45">
      <c r="A5" t="str">
        <f>IF(PNL!A5="","",PNL!A5)</f>
        <v/>
      </c>
      <c r="B5" t="str">
        <f>IF(PNL!B5="","",PNL!B5)</f>
        <v/>
      </c>
      <c r="C5" t="str">
        <f>IF(PNL!C5="","",PNL!C5)</f>
        <v/>
      </c>
      <c r="D5" t="str">
        <f>IF(PNL!D5="","",PNL!D5)</f>
        <v/>
      </c>
      <c r="E5" t="str">
        <f t="shared" si="0"/>
        <v/>
      </c>
      <c r="F5" t="str">
        <f>IF($A5="","",IF($E5=1,SUMIFS(Compta!$F$1:$F$675,Compta!$A$1:$A$675,$A5,Compta!$B$1:$B$675,$B5,Compta!$C$1:$C$675,"2026"),0))</f>
        <v/>
      </c>
      <c r="G5" t="str">
        <f t="shared" si="1"/>
        <v/>
      </c>
      <c r="H5" t="str">
        <f t="shared" si="2"/>
        <v/>
      </c>
      <c r="I5" t="str">
        <f t="shared" si="3"/>
        <v/>
      </c>
      <c r="J5" t="str">
        <f t="shared" si="4"/>
        <v/>
      </c>
      <c r="K5" t="str">
        <f t="shared" si="5"/>
        <v/>
      </c>
      <c r="L5" t="str">
        <f t="shared" si="6"/>
        <v/>
      </c>
      <c r="M5" t="str">
        <f t="shared" si="7"/>
        <v/>
      </c>
      <c r="N5" t="str">
        <f t="shared" si="8"/>
        <v/>
      </c>
      <c r="O5" t="str">
        <f t="shared" si="9"/>
        <v/>
      </c>
      <c r="P5" t="str">
        <f>IF($A5="","",IF($E5=1,$F5*$O5,PNL!G5))</f>
        <v/>
      </c>
      <c r="T5" t="str">
        <f t="shared" si="10"/>
        <v/>
      </c>
    </row>
    <row r="6" spans="1:22" x14ac:dyDescent="0.45">
      <c r="A6" t="str">
        <f>IF(PNL!A6="","",PNL!A6)</f>
        <v/>
      </c>
      <c r="B6" t="str">
        <f>IF(PNL!B6="","",PNL!B6)</f>
        <v/>
      </c>
      <c r="C6" t="str">
        <f>IF(PNL!C6="","",PNL!C6)</f>
        <v/>
      </c>
      <c r="D6" t="str">
        <f>IF(PNL!D6="","",PNL!D6)</f>
        <v/>
      </c>
      <c r="E6" t="str">
        <f t="shared" si="0"/>
        <v/>
      </c>
      <c r="F6" t="str">
        <f>IF($A6="","",IF($E6=1,SUMIFS(Compta!$F$1:$F$675,Compta!$A$1:$A$675,$A6,Compta!$B$1:$B$675,$B6,Compta!$C$1:$C$675,"2026"),0))</f>
        <v/>
      </c>
      <c r="G6" t="str">
        <f t="shared" si="1"/>
        <v/>
      </c>
      <c r="H6" t="str">
        <f t="shared" si="2"/>
        <v/>
      </c>
      <c r="I6" t="str">
        <f t="shared" si="3"/>
        <v/>
      </c>
      <c r="J6" t="str">
        <f t="shared" si="4"/>
        <v/>
      </c>
      <c r="K6" t="str">
        <f t="shared" si="5"/>
        <v/>
      </c>
      <c r="L6" t="str">
        <f t="shared" si="6"/>
        <v/>
      </c>
      <c r="M6" t="str">
        <f t="shared" si="7"/>
        <v/>
      </c>
      <c r="N6" t="str">
        <f t="shared" si="8"/>
        <v/>
      </c>
      <c r="O6" t="str">
        <f t="shared" si="9"/>
        <v/>
      </c>
      <c r="P6" t="str">
        <f>IF($A6="","",IF($E6=1,$F6*$O6,PNL!G6))</f>
        <v/>
      </c>
      <c r="T6" t="str">
        <f t="shared" si="10"/>
        <v/>
      </c>
    </row>
    <row r="7" spans="1:22" x14ac:dyDescent="0.45">
      <c r="A7" t="str">
        <f>IF(PNL!A7="","",PNL!A7)</f>
        <v/>
      </c>
      <c r="B7" t="str">
        <f>IF(PNL!B7="","",PNL!B7)</f>
        <v/>
      </c>
      <c r="C7" t="str">
        <f>IF(PNL!C7="","",PNL!C7)</f>
        <v/>
      </c>
      <c r="D7" t="str">
        <f>IF(PNL!D7="","",PNL!D7)</f>
        <v/>
      </c>
      <c r="E7" t="str">
        <f t="shared" si="0"/>
        <v/>
      </c>
      <c r="F7" t="str">
        <f>IF($A7="","",IF($E7=1,SUMIFS(Compta!$F$1:$F$675,Compta!$A$1:$A$675,$A7,Compta!$B$1:$B$675,$B7,Compta!$C$1:$C$675,"2026"),0))</f>
        <v/>
      </c>
      <c r="G7" t="str">
        <f t="shared" si="1"/>
        <v/>
      </c>
      <c r="H7" t="str">
        <f t="shared" si="2"/>
        <v/>
      </c>
      <c r="I7" t="str">
        <f t="shared" si="3"/>
        <v/>
      </c>
      <c r="J7" t="str">
        <f t="shared" si="4"/>
        <v/>
      </c>
      <c r="K7" t="str">
        <f t="shared" si="5"/>
        <v/>
      </c>
      <c r="L7" t="str">
        <f t="shared" si="6"/>
        <v/>
      </c>
      <c r="M7" t="str">
        <f t="shared" si="7"/>
        <v/>
      </c>
      <c r="N7" t="str">
        <f t="shared" si="8"/>
        <v/>
      </c>
      <c r="O7" t="str">
        <f t="shared" si="9"/>
        <v/>
      </c>
      <c r="P7" t="str">
        <f>IF($A7="","",IF($E7=1,$F7*$O7,PNL!G7))</f>
        <v/>
      </c>
      <c r="T7" t="str">
        <f t="shared" si="10"/>
        <v/>
      </c>
    </row>
    <row r="8" spans="1:22" x14ac:dyDescent="0.45">
      <c r="A8" t="str">
        <f>IF(PNL!A8="","",PNL!A8)</f>
        <v/>
      </c>
      <c r="B8" t="str">
        <f>IF(PNL!B8="","",PNL!B8)</f>
        <v/>
      </c>
      <c r="C8" t="str">
        <f>IF(PNL!C8="","",PNL!C8)</f>
        <v/>
      </c>
      <c r="D8" t="str">
        <f>IF(PNL!D8="","",PNL!D8)</f>
        <v/>
      </c>
      <c r="E8" t="str">
        <f t="shared" si="0"/>
        <v/>
      </c>
      <c r="F8" t="str">
        <f>IF($A8="","",IF($E8=1,SUMIFS(Compta!$F$1:$F$675,Compta!$A$1:$A$675,$A8,Compta!$B$1:$B$675,$B8,Compta!$C$1:$C$675,"2026"),0))</f>
        <v/>
      </c>
      <c r="G8" t="str">
        <f t="shared" si="1"/>
        <v/>
      </c>
      <c r="H8" t="str">
        <f t="shared" si="2"/>
        <v/>
      </c>
      <c r="I8" t="str">
        <f t="shared" si="3"/>
        <v/>
      </c>
      <c r="J8" t="str">
        <f t="shared" si="4"/>
        <v/>
      </c>
      <c r="K8" t="str">
        <f t="shared" si="5"/>
        <v/>
      </c>
      <c r="L8" t="str">
        <f t="shared" si="6"/>
        <v/>
      </c>
      <c r="M8" t="str">
        <f t="shared" si="7"/>
        <v/>
      </c>
      <c r="N8" t="str">
        <f t="shared" si="8"/>
        <v/>
      </c>
      <c r="O8" t="str">
        <f t="shared" si="9"/>
        <v/>
      </c>
      <c r="P8" t="str">
        <f>IF($A8="","",IF($E8=1,$F8*$O8,PNL!G8))</f>
        <v/>
      </c>
      <c r="T8" t="str">
        <f t="shared" si="10"/>
        <v/>
      </c>
    </row>
    <row r="9" spans="1:22" x14ac:dyDescent="0.45">
      <c r="A9" t="str">
        <f>IF(PNL!A9="","",PNL!A9)</f>
        <v/>
      </c>
      <c r="B9" t="str">
        <f>IF(PNL!B9="","",PNL!B9)</f>
        <v/>
      </c>
      <c r="C9" t="str">
        <f>IF(PNL!C9="","",PNL!C9)</f>
        <v/>
      </c>
      <c r="D9" t="str">
        <f>IF(PNL!D9="","",PNL!D9)</f>
        <v/>
      </c>
      <c r="E9" t="str">
        <f t="shared" si="0"/>
        <v/>
      </c>
      <c r="F9" t="str">
        <f>IF($A9="","",IF($E9=1,SUMIFS(Compta!$F$1:$F$675,Compta!$A$1:$A$675,$A9,Compta!$B$1:$B$675,$B9,Compta!$C$1:$C$675,"2026"),0))</f>
        <v/>
      </c>
      <c r="G9" t="str">
        <f t="shared" si="1"/>
        <v/>
      </c>
      <c r="H9" t="str">
        <f t="shared" si="2"/>
        <v/>
      </c>
      <c r="I9" t="str">
        <f t="shared" si="3"/>
        <v/>
      </c>
      <c r="J9" t="str">
        <f t="shared" si="4"/>
        <v/>
      </c>
      <c r="K9" t="str">
        <f t="shared" si="5"/>
        <v/>
      </c>
      <c r="L9" t="str">
        <f t="shared" si="6"/>
        <v/>
      </c>
      <c r="M9" t="str">
        <f t="shared" si="7"/>
        <v/>
      </c>
      <c r="N9" t="str">
        <f t="shared" si="8"/>
        <v/>
      </c>
      <c r="O9" t="str">
        <f t="shared" si="9"/>
        <v/>
      </c>
      <c r="P9" t="str">
        <f>IF($A9="","",IF($E9=1,$F9*$O9,PNL!G9))</f>
        <v/>
      </c>
      <c r="T9" t="str">
        <f t="shared" si="10"/>
        <v/>
      </c>
    </row>
    <row r="10" spans="1:22" x14ac:dyDescent="0.45">
      <c r="A10" t="str">
        <f>IF(PNL!A10="","",PNL!A10)</f>
        <v/>
      </c>
      <c r="B10" t="str">
        <f>IF(PNL!B10="","",PNL!B10)</f>
        <v/>
      </c>
      <c r="C10" t="str">
        <f>IF(PNL!C10="","",PNL!C10)</f>
        <v/>
      </c>
      <c r="D10" t="str">
        <f>IF(PNL!D10="","",PNL!D10)</f>
        <v/>
      </c>
      <c r="E10" t="str">
        <f t="shared" si="0"/>
        <v/>
      </c>
      <c r="F10" t="str">
        <f>IF($A10="","",IF($E10=1,SUMIFS(Compta!$F$1:$F$675,Compta!$A$1:$A$675,$A10,Compta!$B$1:$B$675,$B10,Compta!$C$1:$C$675,"2026"),0))</f>
        <v/>
      </c>
      <c r="G10" t="str">
        <f t="shared" si="1"/>
        <v/>
      </c>
      <c r="H10" t="str">
        <f t="shared" si="2"/>
        <v/>
      </c>
      <c r="I10" t="str">
        <f t="shared" si="3"/>
        <v/>
      </c>
      <c r="J10" t="str">
        <f t="shared" si="4"/>
        <v/>
      </c>
      <c r="K10" t="str">
        <f t="shared" si="5"/>
        <v/>
      </c>
      <c r="L10" t="str">
        <f t="shared" si="6"/>
        <v/>
      </c>
      <c r="M10" t="str">
        <f t="shared" si="7"/>
        <v/>
      </c>
      <c r="N10" t="str">
        <f t="shared" si="8"/>
        <v/>
      </c>
      <c r="O10" t="str">
        <f t="shared" si="9"/>
        <v/>
      </c>
      <c r="P10" t="str">
        <f>IF($A10="","",IF($E10=1,$F10*$O10,PNL!G10))</f>
        <v/>
      </c>
      <c r="T10" t="str">
        <f t="shared" si="10"/>
        <v/>
      </c>
    </row>
    <row r="11" spans="1:22" x14ac:dyDescent="0.45">
      <c r="A11" t="str">
        <f>IF(PNL!A11="","",PNL!A11)</f>
        <v/>
      </c>
      <c r="B11" t="str">
        <f>IF(PNL!B11="","",PNL!B11)</f>
        <v/>
      </c>
      <c r="C11" t="str">
        <f>IF(PNL!C11="","",PNL!C11)</f>
        <v/>
      </c>
      <c r="D11" t="str">
        <f>IF(PNL!D11="","",PNL!D11)</f>
        <v/>
      </c>
      <c r="E11" t="str">
        <f t="shared" si="0"/>
        <v/>
      </c>
      <c r="F11" t="str">
        <f>IF($A11="","",IF($E11=1,SUMIFS(Compta!$F$1:$F$675,Compta!$A$1:$A$675,$A11,Compta!$B$1:$B$675,$B11,Compta!$C$1:$C$675,"2026"),0))</f>
        <v/>
      </c>
      <c r="G11" t="str">
        <f t="shared" si="1"/>
        <v/>
      </c>
      <c r="H11" t="str">
        <f t="shared" si="2"/>
        <v/>
      </c>
      <c r="I11" t="str">
        <f t="shared" si="3"/>
        <v/>
      </c>
      <c r="J11" t="str">
        <f t="shared" si="4"/>
        <v/>
      </c>
      <c r="K11" t="str">
        <f t="shared" si="5"/>
        <v/>
      </c>
      <c r="L11" t="str">
        <f t="shared" si="6"/>
        <v/>
      </c>
      <c r="M11" t="str">
        <f t="shared" si="7"/>
        <v/>
      </c>
      <c r="N11" t="str">
        <f t="shared" si="8"/>
        <v/>
      </c>
      <c r="O11" t="str">
        <f t="shared" si="9"/>
        <v/>
      </c>
      <c r="P11" t="str">
        <f>IF($A11="","",IF($E11=1,$F11*$O11,PNL!G11))</f>
        <v/>
      </c>
      <c r="T11" t="str">
        <f t="shared" si="10"/>
        <v/>
      </c>
    </row>
    <row r="12" spans="1:22" x14ac:dyDescent="0.45">
      <c r="A12" t="str">
        <f>IF(PNL!A12="","",PNL!A12)</f>
        <v/>
      </c>
      <c r="B12" t="str">
        <f>IF(PNL!B12="","",PNL!B12)</f>
        <v/>
      </c>
      <c r="C12" t="str">
        <f>IF(PNL!C12="","",PNL!C12)</f>
        <v/>
      </c>
      <c r="D12" t="str">
        <f>IF(PNL!D12="","",PNL!D12)</f>
        <v/>
      </c>
      <c r="E12" t="str">
        <f t="shared" si="0"/>
        <v/>
      </c>
      <c r="F12" t="str">
        <f>IF($A12="","",IF($E12=1,SUMIFS(Compta!$F$1:$F$675,Compta!$A$1:$A$675,$A12,Compta!$B$1:$B$675,$B12,Compta!$C$1:$C$675,"2026"),0))</f>
        <v/>
      </c>
      <c r="G12" t="str">
        <f t="shared" si="1"/>
        <v/>
      </c>
      <c r="H12" t="str">
        <f t="shared" si="2"/>
        <v/>
      </c>
      <c r="I12" t="str">
        <f t="shared" si="3"/>
        <v/>
      </c>
      <c r="J12" t="str">
        <f t="shared" si="4"/>
        <v/>
      </c>
      <c r="K12" t="str">
        <f t="shared" si="5"/>
        <v/>
      </c>
      <c r="L12" t="str">
        <f t="shared" si="6"/>
        <v/>
      </c>
      <c r="M12" t="str">
        <f t="shared" si="7"/>
        <v/>
      </c>
      <c r="N12" t="str">
        <f t="shared" si="8"/>
        <v/>
      </c>
      <c r="O12" t="str">
        <f t="shared" si="9"/>
        <v/>
      </c>
      <c r="P12" t="str">
        <f>IF($A12="","",IF($E12=1,$F12*$O12,PNL!G12))</f>
        <v/>
      </c>
      <c r="T12" t="str">
        <f t="shared" si="10"/>
        <v/>
      </c>
    </row>
    <row r="13" spans="1:22" x14ac:dyDescent="0.45">
      <c r="A13" t="str">
        <f>IF(PNL!A13="","",PNL!A13)</f>
        <v/>
      </c>
      <c r="B13" t="str">
        <f>IF(PNL!B13="","",PNL!B13)</f>
        <v/>
      </c>
      <c r="C13" t="str">
        <f>IF(PNL!C13="","",PNL!C13)</f>
        <v/>
      </c>
      <c r="D13" t="str">
        <f>IF(PNL!D13="","",PNL!D13)</f>
        <v/>
      </c>
      <c r="E13" t="str">
        <f t="shared" si="0"/>
        <v/>
      </c>
      <c r="F13" t="str">
        <f>IF($A13="","",IF($E13=1,SUMIFS(Compta!$F$1:$F$675,Compta!$A$1:$A$675,$A13,Compta!$B$1:$B$675,$B13,Compta!$C$1:$C$675,"2026"),0))</f>
        <v/>
      </c>
      <c r="G13" t="str">
        <f t="shared" si="1"/>
        <v/>
      </c>
      <c r="H13" t="str">
        <f t="shared" si="2"/>
        <v/>
      </c>
      <c r="I13" t="str">
        <f t="shared" si="3"/>
        <v/>
      </c>
      <c r="J13" t="str">
        <f t="shared" si="4"/>
        <v/>
      </c>
      <c r="K13" t="str">
        <f t="shared" si="5"/>
        <v/>
      </c>
      <c r="L13" t="str">
        <f t="shared" si="6"/>
        <v/>
      </c>
      <c r="M13" t="str">
        <f t="shared" si="7"/>
        <v/>
      </c>
      <c r="N13" t="str">
        <f t="shared" si="8"/>
        <v/>
      </c>
      <c r="O13" t="str">
        <f t="shared" si="9"/>
        <v/>
      </c>
      <c r="P13" t="str">
        <f>IF($A13="","",IF($E13=1,$F13*$O13,PNL!G13))</f>
        <v/>
      </c>
      <c r="T13" t="str">
        <f t="shared" si="10"/>
        <v/>
      </c>
    </row>
    <row r="14" spans="1:22" x14ac:dyDescent="0.45">
      <c r="A14" t="str">
        <f>IF(PNL!A14="","",PNL!A14)</f>
        <v/>
      </c>
      <c r="B14" t="str">
        <f>IF(PNL!B14="","",PNL!B14)</f>
        <v/>
      </c>
      <c r="C14" t="str">
        <f>IF(PNL!C14="","",PNL!C14)</f>
        <v/>
      </c>
      <c r="D14" t="str">
        <f>IF(PNL!D14="","",PNL!D14)</f>
        <v/>
      </c>
      <c r="E14" t="str">
        <f t="shared" si="0"/>
        <v/>
      </c>
      <c r="F14" t="str">
        <f>IF($A14="","",IF($E14=1,SUMIFS(Compta!$F$1:$F$675,Compta!$A$1:$A$675,$A14,Compta!$B$1:$B$675,$B14,Compta!$C$1:$C$675,"2026"),0))</f>
        <v/>
      </c>
      <c r="G14" t="str">
        <f t="shared" si="1"/>
        <v/>
      </c>
      <c r="H14" t="str">
        <f t="shared" si="2"/>
        <v/>
      </c>
      <c r="I14" t="str">
        <f t="shared" si="3"/>
        <v/>
      </c>
      <c r="J14" t="str">
        <f t="shared" si="4"/>
        <v/>
      </c>
      <c r="K14" t="str">
        <f t="shared" si="5"/>
        <v/>
      </c>
      <c r="L14" t="str">
        <f t="shared" si="6"/>
        <v/>
      </c>
      <c r="M14" t="str">
        <f t="shared" si="7"/>
        <v/>
      </c>
      <c r="N14" t="str">
        <f t="shared" si="8"/>
        <v/>
      </c>
      <c r="O14" t="str">
        <f t="shared" si="9"/>
        <v/>
      </c>
      <c r="P14" t="str">
        <f>IF($A14="","",IF($E14=1,$F14*$O14,PNL!G14))</f>
        <v/>
      </c>
      <c r="T14" t="str">
        <f t="shared" si="10"/>
        <v/>
      </c>
    </row>
    <row r="15" spans="1:22" x14ac:dyDescent="0.45">
      <c r="A15" t="str">
        <f>IF(PNL!A15="","",PNL!A15)</f>
        <v/>
      </c>
      <c r="B15" t="str">
        <f>IF(PNL!B15="","",PNL!B15)</f>
        <v/>
      </c>
      <c r="C15" t="str">
        <f>IF(PNL!C15="","",PNL!C15)</f>
        <v/>
      </c>
      <c r="D15" t="str">
        <f>IF(PNL!D15="","",PNL!D15)</f>
        <v/>
      </c>
      <c r="E15" t="str">
        <f t="shared" si="0"/>
        <v/>
      </c>
      <c r="F15" t="str">
        <f>IF($A15="","",IF($E15=1,SUMIFS(Compta!$F$1:$F$675,Compta!$A$1:$A$675,$A15,Compta!$B$1:$B$675,$B15,Compta!$C$1:$C$675,"2026"),0))</f>
        <v/>
      </c>
      <c r="G15" t="str">
        <f t="shared" si="1"/>
        <v/>
      </c>
      <c r="H15" t="str">
        <f t="shared" si="2"/>
        <v/>
      </c>
      <c r="I15" t="str">
        <f t="shared" si="3"/>
        <v/>
      </c>
      <c r="J15" t="str">
        <f t="shared" si="4"/>
        <v/>
      </c>
      <c r="K15" t="str">
        <f t="shared" si="5"/>
        <v/>
      </c>
      <c r="L15" t="str">
        <f t="shared" si="6"/>
        <v/>
      </c>
      <c r="M15" t="str">
        <f t="shared" si="7"/>
        <v/>
      </c>
      <c r="N15" t="str">
        <f t="shared" si="8"/>
        <v/>
      </c>
      <c r="O15" t="str">
        <f t="shared" si="9"/>
        <v/>
      </c>
      <c r="P15" t="str">
        <f>IF($A15="","",IF($E15=1,$F15*$O15,PNL!G15))</f>
        <v/>
      </c>
      <c r="T15" t="str">
        <f t="shared" si="10"/>
        <v/>
      </c>
    </row>
    <row r="16" spans="1:22" x14ac:dyDescent="0.45">
      <c r="A16" t="str">
        <f>IF(PNL!A16="","",PNL!A16)</f>
        <v/>
      </c>
      <c r="B16" t="str">
        <f>IF(PNL!B16="","",PNL!B16)</f>
        <v/>
      </c>
      <c r="C16" t="str">
        <f>IF(PNL!C16="","",PNL!C16)</f>
        <v/>
      </c>
      <c r="D16" t="str">
        <f>IF(PNL!D16="","",PNL!D16)</f>
        <v/>
      </c>
      <c r="E16" t="str">
        <f t="shared" si="0"/>
        <v/>
      </c>
      <c r="F16" t="str">
        <f>IF($A16="","",IF($E16=1,SUMIFS(Compta!$F$1:$F$675,Compta!$A$1:$A$675,$A16,Compta!$B$1:$B$675,$B16,Compta!$C$1:$C$675,"2026"),0))</f>
        <v/>
      </c>
      <c r="G16" t="str">
        <f t="shared" si="1"/>
        <v/>
      </c>
      <c r="H16" t="str">
        <f t="shared" si="2"/>
        <v/>
      </c>
      <c r="I16" t="str">
        <f t="shared" si="3"/>
        <v/>
      </c>
      <c r="J16" t="str">
        <f t="shared" si="4"/>
        <v/>
      </c>
      <c r="K16" t="str">
        <f t="shared" si="5"/>
        <v/>
      </c>
      <c r="L16" t="str">
        <f t="shared" si="6"/>
        <v/>
      </c>
      <c r="M16" t="str">
        <f t="shared" si="7"/>
        <v/>
      </c>
      <c r="N16" t="str">
        <f t="shared" si="8"/>
        <v/>
      </c>
      <c r="O16" t="str">
        <f t="shared" si="9"/>
        <v/>
      </c>
      <c r="P16" t="str">
        <f>IF($A16="","",IF($E16=1,$F16*$O16,PNL!G16))</f>
        <v/>
      </c>
      <c r="T16" t="str">
        <f t="shared" si="10"/>
        <v/>
      </c>
    </row>
    <row r="17" spans="1:20" x14ac:dyDescent="0.45">
      <c r="A17" t="str">
        <f>IF(PNL!A17="","",PNL!A17)</f>
        <v/>
      </c>
      <c r="B17" t="str">
        <f>IF(PNL!B17="","",PNL!B17)</f>
        <v/>
      </c>
      <c r="C17" t="str">
        <f>IF(PNL!C17="","",PNL!C17)</f>
        <v/>
      </c>
      <c r="D17" t="str">
        <f>IF(PNL!D17="","",PNL!D17)</f>
        <v/>
      </c>
      <c r="E17" t="str">
        <f t="shared" si="0"/>
        <v/>
      </c>
      <c r="F17" t="str">
        <f>IF($A17="","",IF($E17=1,SUMIFS(Compta!$F$1:$F$675,Compta!$A$1:$A$675,$A17,Compta!$B$1:$B$675,$B17,Compta!$C$1:$C$675,"2026"),0))</f>
        <v/>
      </c>
      <c r="G17" t="str">
        <f t="shared" si="1"/>
        <v/>
      </c>
      <c r="H17" t="str">
        <f t="shared" si="2"/>
        <v/>
      </c>
      <c r="I17" t="str">
        <f t="shared" si="3"/>
        <v/>
      </c>
      <c r="J17" t="str">
        <f t="shared" si="4"/>
        <v/>
      </c>
      <c r="K17" t="str">
        <f t="shared" si="5"/>
        <v/>
      </c>
      <c r="L17" t="str">
        <f t="shared" si="6"/>
        <v/>
      </c>
      <c r="M17" t="str">
        <f t="shared" si="7"/>
        <v/>
      </c>
      <c r="N17" t="str">
        <f t="shared" si="8"/>
        <v/>
      </c>
      <c r="O17" t="str">
        <f t="shared" si="9"/>
        <v/>
      </c>
      <c r="P17" t="str">
        <f>IF($A17="","",IF($E17=1,$F17*$O17,PNL!G17))</f>
        <v/>
      </c>
      <c r="T17" t="str">
        <f t="shared" si="10"/>
        <v/>
      </c>
    </row>
    <row r="18" spans="1:20" x14ac:dyDescent="0.45">
      <c r="A18" t="str">
        <f>IF(PNL!A18="","",PNL!A18)</f>
        <v/>
      </c>
      <c r="B18" t="str">
        <f>IF(PNL!B18="","",PNL!B18)</f>
        <v/>
      </c>
      <c r="C18" t="str">
        <f>IF(PNL!C18="","",PNL!C18)</f>
        <v/>
      </c>
      <c r="D18" t="str">
        <f>IF(PNL!D18="","",PNL!D18)</f>
        <v/>
      </c>
      <c r="E18" t="str">
        <f t="shared" si="0"/>
        <v/>
      </c>
      <c r="F18" t="str">
        <f>IF($A18="","",IF($E18=1,SUMIFS(Compta!$F$1:$F$675,Compta!$A$1:$A$675,$A18,Compta!$B$1:$B$675,$B18,Compta!$C$1:$C$675,"2026"),0))</f>
        <v/>
      </c>
      <c r="G18" t="str">
        <f t="shared" si="1"/>
        <v/>
      </c>
      <c r="H18" t="str">
        <f t="shared" si="2"/>
        <v/>
      </c>
      <c r="I18" t="str">
        <f t="shared" si="3"/>
        <v/>
      </c>
      <c r="J18" t="str">
        <f t="shared" si="4"/>
        <v/>
      </c>
      <c r="K18" t="str">
        <f t="shared" si="5"/>
        <v/>
      </c>
      <c r="L18" t="str">
        <f t="shared" si="6"/>
        <v/>
      </c>
      <c r="M18" t="str">
        <f t="shared" si="7"/>
        <v/>
      </c>
      <c r="N18" t="str">
        <f t="shared" si="8"/>
        <v/>
      </c>
      <c r="O18" t="str">
        <f t="shared" si="9"/>
        <v/>
      </c>
      <c r="P18" t="str">
        <f>IF($A18="","",IF($E18=1,$F18*$O18,PNL!G18))</f>
        <v/>
      </c>
      <c r="T18" t="str">
        <f t="shared" si="10"/>
        <v/>
      </c>
    </row>
    <row r="19" spans="1:20" x14ac:dyDescent="0.45">
      <c r="A19" t="str">
        <f>IF(PNL!A19="","",PNL!A19)</f>
        <v/>
      </c>
      <c r="B19" t="str">
        <f>IF(PNL!B19="","",PNL!B19)</f>
        <v/>
      </c>
      <c r="C19" t="str">
        <f>IF(PNL!C19="","",PNL!C19)</f>
        <v/>
      </c>
      <c r="D19" t="str">
        <f>IF(PNL!D19="","",PNL!D19)</f>
        <v/>
      </c>
      <c r="E19" t="str">
        <f t="shared" si="0"/>
        <v/>
      </c>
      <c r="F19" t="str">
        <f>IF($A19="","",IF($E19=1,SUMIFS(Compta!$F$1:$F$675,Compta!$A$1:$A$675,$A19,Compta!$B$1:$B$675,$B19,Compta!$C$1:$C$675,"2026"),0))</f>
        <v/>
      </c>
      <c r="G19" t="str">
        <f t="shared" si="1"/>
        <v/>
      </c>
      <c r="H19" t="str">
        <f t="shared" si="2"/>
        <v/>
      </c>
      <c r="I19" t="str">
        <f t="shared" si="3"/>
        <v/>
      </c>
      <c r="J19" t="str">
        <f t="shared" si="4"/>
        <v/>
      </c>
      <c r="K19" t="str">
        <f t="shared" si="5"/>
        <v/>
      </c>
      <c r="L19" t="str">
        <f t="shared" si="6"/>
        <v/>
      </c>
      <c r="M19" t="str">
        <f t="shared" si="7"/>
        <v/>
      </c>
      <c r="N19" t="str">
        <f t="shared" si="8"/>
        <v/>
      </c>
      <c r="O19" t="str">
        <f t="shared" si="9"/>
        <v/>
      </c>
      <c r="P19" t="str">
        <f>IF($A19="","",IF($E19=1,$F19*$O19,PNL!G19))</f>
        <v/>
      </c>
      <c r="T19" t="str">
        <f t="shared" si="10"/>
        <v/>
      </c>
    </row>
    <row r="20" spans="1:20" x14ac:dyDescent="0.45">
      <c r="A20" t="str">
        <f>IF(PNL!A20="","",PNL!A20)</f>
        <v/>
      </c>
      <c r="B20" t="str">
        <f>IF(PNL!B20="","",PNL!B20)</f>
        <v/>
      </c>
      <c r="C20" t="str">
        <f>IF(PNL!C20="","",PNL!C20)</f>
        <v/>
      </c>
      <c r="D20" t="str">
        <f>IF(PNL!D20="","",PNL!D20)</f>
        <v/>
      </c>
      <c r="E20" t="str">
        <f t="shared" si="0"/>
        <v/>
      </c>
      <c r="F20" t="str">
        <f>IF($A20="","",IF($E20=1,SUMIFS(Compta!$F$1:$F$675,Compta!$A$1:$A$675,$A20,Compta!$B$1:$B$675,$B20,Compta!$C$1:$C$675,"2026"),0))</f>
        <v/>
      </c>
      <c r="G20" t="str">
        <f t="shared" si="1"/>
        <v/>
      </c>
      <c r="H20" t="str">
        <f t="shared" si="2"/>
        <v/>
      </c>
      <c r="I20" t="str">
        <f t="shared" si="3"/>
        <v/>
      </c>
      <c r="J20" t="str">
        <f t="shared" si="4"/>
        <v/>
      </c>
      <c r="K20" t="str">
        <f t="shared" si="5"/>
        <v/>
      </c>
      <c r="L20" t="str">
        <f t="shared" si="6"/>
        <v/>
      </c>
      <c r="M20" t="str">
        <f t="shared" si="7"/>
        <v/>
      </c>
      <c r="N20" t="str">
        <f t="shared" si="8"/>
        <v/>
      </c>
      <c r="O20" t="str">
        <f t="shared" si="9"/>
        <v/>
      </c>
      <c r="P20" t="str">
        <f>IF($A20="","",IF($E20=1,$F20*$O20,PNL!G20))</f>
        <v/>
      </c>
      <c r="T20" t="str">
        <f t="shared" si="10"/>
        <v/>
      </c>
    </row>
    <row r="21" spans="1:20" x14ac:dyDescent="0.45">
      <c r="A21" t="str">
        <f>IF(PNL!A21="","",PNL!A21)</f>
        <v/>
      </c>
      <c r="B21" t="str">
        <f>IF(PNL!B21="","",PNL!B21)</f>
        <v/>
      </c>
      <c r="C21" t="str">
        <f>IF(PNL!C21="","",PNL!C21)</f>
        <v/>
      </c>
      <c r="D21" t="str">
        <f>IF(PNL!D21="","",PNL!D21)</f>
        <v/>
      </c>
      <c r="E21" t="str">
        <f t="shared" si="0"/>
        <v/>
      </c>
      <c r="F21" t="str">
        <f>IF($A21="","",IF($E21=1,SUMIFS(Compta!$F$1:$F$675,Compta!$A$1:$A$675,$A21,Compta!$B$1:$B$675,$B21,Compta!$C$1:$C$675,"2026"),0))</f>
        <v/>
      </c>
      <c r="G21" t="str">
        <f t="shared" si="1"/>
        <v/>
      </c>
      <c r="H21" t="str">
        <f t="shared" si="2"/>
        <v/>
      </c>
      <c r="I21" t="str">
        <f t="shared" si="3"/>
        <v/>
      </c>
      <c r="J21" t="str">
        <f t="shared" si="4"/>
        <v/>
      </c>
      <c r="K21" t="str">
        <f t="shared" si="5"/>
        <v/>
      </c>
      <c r="L21" t="str">
        <f t="shared" si="6"/>
        <v/>
      </c>
      <c r="M21" t="str">
        <f t="shared" si="7"/>
        <v/>
      </c>
      <c r="N21" t="str">
        <f t="shared" si="8"/>
        <v/>
      </c>
      <c r="O21" t="str">
        <f t="shared" si="9"/>
        <v/>
      </c>
      <c r="P21" t="str">
        <f>IF($A21="","",IF($E21=1,$F21*$O21,PNL!G21))</f>
        <v/>
      </c>
      <c r="T21" t="str">
        <f t="shared" si="10"/>
        <v/>
      </c>
    </row>
    <row r="22" spans="1:20" x14ac:dyDescent="0.45">
      <c r="A22" t="str">
        <f>IF(PNL!A22="","",PNL!A22)</f>
        <v/>
      </c>
      <c r="B22" t="str">
        <f>IF(PNL!B22="","",PNL!B22)</f>
        <v/>
      </c>
      <c r="C22" t="str">
        <f>IF(PNL!C22="","",PNL!C22)</f>
        <v/>
      </c>
      <c r="D22" t="str">
        <f>IF(PNL!D22="","",PNL!D22)</f>
        <v/>
      </c>
      <c r="E22" t="str">
        <f t="shared" si="0"/>
        <v/>
      </c>
      <c r="F22" t="str">
        <f>IF($A22="","",IF($E22=1,SUMIFS(Compta!$F$1:$F$675,Compta!$A$1:$A$675,$A22,Compta!$B$1:$B$675,$B22,Compta!$C$1:$C$675,"2026"),0))</f>
        <v/>
      </c>
      <c r="G22" t="str">
        <f t="shared" si="1"/>
        <v/>
      </c>
      <c r="H22" t="str">
        <f t="shared" si="2"/>
        <v/>
      </c>
      <c r="I22" t="str">
        <f t="shared" si="3"/>
        <v/>
      </c>
      <c r="J22" t="str">
        <f t="shared" si="4"/>
        <v/>
      </c>
      <c r="K22" t="str">
        <f t="shared" si="5"/>
        <v/>
      </c>
      <c r="L22" t="str">
        <f t="shared" si="6"/>
        <v/>
      </c>
      <c r="M22" t="str">
        <f t="shared" si="7"/>
        <v/>
      </c>
      <c r="N22" t="str">
        <f t="shared" si="8"/>
        <v/>
      </c>
      <c r="O22" t="str">
        <f t="shared" si="9"/>
        <v/>
      </c>
      <c r="P22" t="str">
        <f>IF($A22="","",IF($E22=1,$F22*$O22,PNL!G22))</f>
        <v/>
      </c>
      <c r="T22" t="str">
        <f t="shared" si="10"/>
        <v/>
      </c>
    </row>
    <row r="23" spans="1:20" x14ac:dyDescent="0.45">
      <c r="A23" t="str">
        <f>IF(PNL!A23="","",PNL!A23)</f>
        <v/>
      </c>
      <c r="B23" t="str">
        <f>IF(PNL!B23="","",PNL!B23)</f>
        <v/>
      </c>
      <c r="C23" t="str">
        <f>IF(PNL!C23="","",PNL!C23)</f>
        <v/>
      </c>
      <c r="D23" t="str">
        <f>IF(PNL!D23="","",PNL!D23)</f>
        <v/>
      </c>
      <c r="E23" t="str">
        <f t="shared" si="0"/>
        <v/>
      </c>
      <c r="F23" t="str">
        <f>IF($A23="","",IF($E23=1,SUMIFS(Compta!$F$1:$F$675,Compta!$A$1:$A$675,$A23,Compta!$B$1:$B$675,$B23,Compta!$C$1:$C$675,"2026"),0))</f>
        <v/>
      </c>
      <c r="G23" t="str">
        <f t="shared" si="1"/>
        <v/>
      </c>
      <c r="H23" t="str">
        <f t="shared" si="2"/>
        <v/>
      </c>
      <c r="I23" t="str">
        <f t="shared" si="3"/>
        <v/>
      </c>
      <c r="J23" t="str">
        <f t="shared" si="4"/>
        <v/>
      </c>
      <c r="K23" t="str">
        <f t="shared" si="5"/>
        <v/>
      </c>
      <c r="L23" t="str">
        <f t="shared" si="6"/>
        <v/>
      </c>
      <c r="M23" t="str">
        <f t="shared" si="7"/>
        <v/>
      </c>
      <c r="N23" t="str">
        <f t="shared" si="8"/>
        <v/>
      </c>
      <c r="O23" t="str">
        <f t="shared" si="9"/>
        <v/>
      </c>
      <c r="P23" t="str">
        <f>IF($A23="","",IF($E23=1,$F23*$O23,PNL!G23))</f>
        <v/>
      </c>
      <c r="T23" t="str">
        <f t="shared" si="10"/>
        <v/>
      </c>
    </row>
    <row r="24" spans="1:20" x14ac:dyDescent="0.45">
      <c r="A24" t="str">
        <f>IF(PNL!A24="","",PNL!A24)</f>
        <v/>
      </c>
      <c r="B24" t="str">
        <f>IF(PNL!B24="","",PNL!B24)</f>
        <v/>
      </c>
      <c r="C24" t="str">
        <f>IF(PNL!C24="","",PNL!C24)</f>
        <v/>
      </c>
      <c r="D24" t="str">
        <f>IF(PNL!D24="","",PNL!D24)</f>
        <v/>
      </c>
      <c r="E24" t="str">
        <f t="shared" si="0"/>
        <v/>
      </c>
      <c r="F24" t="str">
        <f>IF($A24="","",IF($E24=1,SUMIFS(Compta!$F$1:$F$675,Compta!$A$1:$A$675,$A24,Compta!$B$1:$B$675,$B24,Compta!$C$1:$C$675,"2026"),0))</f>
        <v/>
      </c>
      <c r="G24" t="str">
        <f t="shared" si="1"/>
        <v/>
      </c>
      <c r="H24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5"/>
        <v/>
      </c>
      <c r="L24" t="str">
        <f t="shared" si="6"/>
        <v/>
      </c>
      <c r="M24" t="str">
        <f t="shared" si="7"/>
        <v/>
      </c>
      <c r="N24" t="str">
        <f t="shared" si="8"/>
        <v/>
      </c>
      <c r="O24" t="str">
        <f t="shared" si="9"/>
        <v/>
      </c>
      <c r="P24" t="str">
        <f>IF($A24="","",IF($E24=1,$F24*$O24,PNL!G24))</f>
        <v/>
      </c>
      <c r="T24" t="str">
        <f t="shared" si="10"/>
        <v/>
      </c>
    </row>
    <row r="25" spans="1:20" x14ac:dyDescent="0.45">
      <c r="A25" t="str">
        <f>IF(PNL!A25="","",PNL!A25)</f>
        <v/>
      </c>
      <c r="B25" t="str">
        <f>IF(PNL!B25="","",PNL!B25)</f>
        <v/>
      </c>
      <c r="C25" t="str">
        <f>IF(PNL!C25="","",PNL!C25)</f>
        <v/>
      </c>
      <c r="D25" t="str">
        <f>IF(PNL!D25="","",PNL!D25)</f>
        <v/>
      </c>
      <c r="E25" t="str">
        <f t="shared" si="0"/>
        <v/>
      </c>
      <c r="F25" t="str">
        <f>IF($A25="","",IF($E25=1,SUMIFS(Compta!$F$1:$F$675,Compta!$A$1:$A$675,$A25,Compta!$B$1:$B$675,$B25,Compta!$C$1:$C$675,"2026"),0))</f>
        <v/>
      </c>
      <c r="G25" t="str">
        <f t="shared" si="1"/>
        <v/>
      </c>
      <c r="H25" t="str">
        <f t="shared" si="2"/>
        <v/>
      </c>
      <c r="I25" t="str">
        <f t="shared" si="3"/>
        <v/>
      </c>
      <c r="J25" t="str">
        <f t="shared" si="4"/>
        <v/>
      </c>
      <c r="K25" t="str">
        <f t="shared" si="5"/>
        <v/>
      </c>
      <c r="L25" t="str">
        <f t="shared" si="6"/>
        <v/>
      </c>
      <c r="M25" t="str">
        <f t="shared" si="7"/>
        <v/>
      </c>
      <c r="N25" t="str">
        <f t="shared" si="8"/>
        <v/>
      </c>
      <c r="O25" t="str">
        <f t="shared" si="9"/>
        <v/>
      </c>
      <c r="P25" t="str">
        <f>IF($A25="","",IF($E25=1,$F25*$O25,PNL!G25))</f>
        <v/>
      </c>
      <c r="T25" t="str">
        <f t="shared" si="10"/>
        <v/>
      </c>
    </row>
    <row r="26" spans="1:20" x14ac:dyDescent="0.45">
      <c r="A26" t="str">
        <f>IF(PNL!A26="","",PNL!A26)</f>
        <v/>
      </c>
      <c r="B26" t="str">
        <f>IF(PNL!B26="","",PNL!B26)</f>
        <v/>
      </c>
      <c r="C26" t="str">
        <f>IF(PNL!C26="","",PNL!C26)</f>
        <v/>
      </c>
      <c r="D26" t="str">
        <f>IF(PNL!D26="","",PNL!D26)</f>
        <v/>
      </c>
      <c r="E26" t="str">
        <f t="shared" si="0"/>
        <v/>
      </c>
      <c r="F26" t="str">
        <f>IF($A26="","",IF($E26=1,SUMIFS(Compta!$F$1:$F$675,Compta!$A$1:$A$675,$A26,Compta!$B$1:$B$675,$B26,Compta!$C$1:$C$675,"2026"),0))</f>
        <v/>
      </c>
      <c r="G26" t="str">
        <f t="shared" si="1"/>
        <v/>
      </c>
      <c r="H26" t="str">
        <f t="shared" si="2"/>
        <v/>
      </c>
      <c r="I26" t="str">
        <f t="shared" si="3"/>
        <v/>
      </c>
      <c r="J26" t="str">
        <f t="shared" si="4"/>
        <v/>
      </c>
      <c r="K26" t="str">
        <f t="shared" si="5"/>
        <v/>
      </c>
      <c r="L26" t="str">
        <f t="shared" si="6"/>
        <v/>
      </c>
      <c r="M26" t="str">
        <f t="shared" si="7"/>
        <v/>
      </c>
      <c r="N26" t="str">
        <f t="shared" si="8"/>
        <v/>
      </c>
      <c r="O26" t="str">
        <f t="shared" si="9"/>
        <v/>
      </c>
      <c r="P26" t="str">
        <f>IF($A26="","",IF($E26=1,$F26*$O26,PNL!G26))</f>
        <v/>
      </c>
      <c r="T26" t="str">
        <f t="shared" si="10"/>
        <v/>
      </c>
    </row>
    <row r="27" spans="1:20" x14ac:dyDescent="0.45">
      <c r="A27" t="str">
        <f>IF(PNL!A27="","",PNL!A27)</f>
        <v/>
      </c>
      <c r="B27" t="str">
        <f>IF(PNL!B27="","",PNL!B27)</f>
        <v/>
      </c>
      <c r="C27" t="str">
        <f>IF(PNL!C27="","",PNL!C27)</f>
        <v/>
      </c>
      <c r="D27" t="str">
        <f>IF(PNL!D27="","",PNL!D27)</f>
        <v/>
      </c>
      <c r="E27" t="str">
        <f t="shared" si="0"/>
        <v/>
      </c>
      <c r="F27" t="str">
        <f>IF($A27="","",IF($E27=1,SUMIFS(Compta!$F$1:$F$675,Compta!$A$1:$A$675,$A27,Compta!$B$1:$B$675,$B27,Compta!$C$1:$C$675,"2026"),0))</f>
        <v/>
      </c>
      <c r="G27" t="str">
        <f t="shared" si="1"/>
        <v/>
      </c>
      <c r="H27" t="str">
        <f t="shared" si="2"/>
        <v/>
      </c>
      <c r="I27" t="str">
        <f t="shared" si="3"/>
        <v/>
      </c>
      <c r="J27" t="str">
        <f t="shared" si="4"/>
        <v/>
      </c>
      <c r="K27" t="str">
        <f t="shared" si="5"/>
        <v/>
      </c>
      <c r="L27" t="str">
        <f t="shared" si="6"/>
        <v/>
      </c>
      <c r="M27" t="str">
        <f t="shared" si="7"/>
        <v/>
      </c>
      <c r="N27" t="str">
        <f t="shared" si="8"/>
        <v/>
      </c>
      <c r="O27" t="str">
        <f t="shared" si="9"/>
        <v/>
      </c>
      <c r="P27" t="str">
        <f>IF($A27="","",IF($E27=1,$F27*$O27,PNL!G27))</f>
        <v/>
      </c>
      <c r="T27" t="str">
        <f t="shared" si="10"/>
        <v/>
      </c>
    </row>
    <row r="28" spans="1:20" x14ac:dyDescent="0.45">
      <c r="A28" t="str">
        <f>IF(PNL!A28="","",PNL!A28)</f>
        <v/>
      </c>
      <c r="B28" t="str">
        <f>IF(PNL!B28="","",PNL!B28)</f>
        <v/>
      </c>
      <c r="C28" t="str">
        <f>IF(PNL!C28="","",PNL!C28)</f>
        <v/>
      </c>
      <c r="D28" t="str">
        <f>IF(PNL!D28="","",PNL!D28)</f>
        <v/>
      </c>
      <c r="E28" t="str">
        <f t="shared" si="0"/>
        <v/>
      </c>
      <c r="F28" t="str">
        <f>IF($A28="","",IF($E28=1,SUMIFS(Compta!$F$1:$F$675,Compta!$A$1:$A$675,$A28,Compta!$B$1:$B$675,$B28,Compta!$C$1:$C$675,"2026"),0))</f>
        <v/>
      </c>
      <c r="G28" t="str">
        <f t="shared" si="1"/>
        <v/>
      </c>
      <c r="H28" t="str">
        <f t="shared" si="2"/>
        <v/>
      </c>
      <c r="I28" t="str">
        <f t="shared" si="3"/>
        <v/>
      </c>
      <c r="J28" t="str">
        <f t="shared" si="4"/>
        <v/>
      </c>
      <c r="K28" t="str">
        <f t="shared" si="5"/>
        <v/>
      </c>
      <c r="L28" t="str">
        <f t="shared" si="6"/>
        <v/>
      </c>
      <c r="M28" t="str">
        <f t="shared" si="7"/>
        <v/>
      </c>
      <c r="N28" t="str">
        <f t="shared" si="8"/>
        <v/>
      </c>
      <c r="O28" t="str">
        <f t="shared" si="9"/>
        <v/>
      </c>
      <c r="P28" t="str">
        <f>IF($A28="","",IF($E28=1,$F28*$O28,PNL!G28))</f>
        <v/>
      </c>
      <c r="T28" t="str">
        <f t="shared" si="10"/>
        <v/>
      </c>
    </row>
    <row r="29" spans="1:20" x14ac:dyDescent="0.45">
      <c r="A29" t="str">
        <f>IF(PNL!A29="","",PNL!A29)</f>
        <v/>
      </c>
      <c r="B29" t="str">
        <f>IF(PNL!B29="","",PNL!B29)</f>
        <v/>
      </c>
      <c r="C29" t="str">
        <f>IF(PNL!C29="","",PNL!C29)</f>
        <v/>
      </c>
      <c r="D29" t="str">
        <f>IF(PNL!D29="","",PNL!D29)</f>
        <v/>
      </c>
      <c r="E29" t="str">
        <f t="shared" si="0"/>
        <v/>
      </c>
      <c r="F29" t="str">
        <f>IF($A29="","",IF($E29=1,SUMIFS(Compta!$F$1:$F$675,Compta!$A$1:$A$675,$A29,Compta!$B$1:$B$675,$B29,Compta!$C$1:$C$675,"2026"),0))</f>
        <v/>
      </c>
      <c r="G29" t="str">
        <f t="shared" si="1"/>
        <v/>
      </c>
      <c r="H29" t="str">
        <f t="shared" si="2"/>
        <v/>
      </c>
      <c r="I29" t="str">
        <f t="shared" si="3"/>
        <v/>
      </c>
      <c r="J29" t="str">
        <f t="shared" si="4"/>
        <v/>
      </c>
      <c r="K29" t="str">
        <f t="shared" si="5"/>
        <v/>
      </c>
      <c r="L29" t="str">
        <f t="shared" si="6"/>
        <v/>
      </c>
      <c r="M29" t="str">
        <f t="shared" si="7"/>
        <v/>
      </c>
      <c r="N29" t="str">
        <f t="shared" si="8"/>
        <v/>
      </c>
      <c r="O29" t="str">
        <f t="shared" si="9"/>
        <v/>
      </c>
      <c r="P29" t="str">
        <f>IF($A29="","",IF($E29=1,$F29*$O29,PNL!G29))</f>
        <v/>
      </c>
      <c r="T29" t="str">
        <f t="shared" si="10"/>
        <v/>
      </c>
    </row>
    <row r="30" spans="1:20" x14ac:dyDescent="0.45">
      <c r="A30" t="str">
        <f>IF(PNL!A30="","",PNL!A30)</f>
        <v/>
      </c>
      <c r="B30" t="str">
        <f>IF(PNL!B30="","",PNL!B30)</f>
        <v/>
      </c>
      <c r="C30" t="str">
        <f>IF(PNL!C30="","",PNL!C30)</f>
        <v/>
      </c>
      <c r="D30" t="str">
        <f>IF(PNL!D30="","",PNL!D30)</f>
        <v/>
      </c>
      <c r="E30" t="str">
        <f t="shared" si="0"/>
        <v/>
      </c>
      <c r="F30" t="str">
        <f>IF($A30="","",IF($E30=1,SUMIFS(Compta!$F$1:$F$675,Compta!$A$1:$A$675,$A30,Compta!$B$1:$B$675,$B30,Compta!$C$1:$C$675,"2026"),0))</f>
        <v/>
      </c>
      <c r="G30" t="str">
        <f t="shared" si="1"/>
        <v/>
      </c>
      <c r="H30" t="str">
        <f t="shared" si="2"/>
        <v/>
      </c>
      <c r="I30" t="str">
        <f t="shared" si="3"/>
        <v/>
      </c>
      <c r="J30" t="str">
        <f t="shared" si="4"/>
        <v/>
      </c>
      <c r="K30" t="str">
        <f t="shared" si="5"/>
        <v/>
      </c>
      <c r="L30" t="str">
        <f t="shared" si="6"/>
        <v/>
      </c>
      <c r="M30" t="str">
        <f t="shared" si="7"/>
        <v/>
      </c>
      <c r="N30" t="str">
        <f t="shared" si="8"/>
        <v/>
      </c>
      <c r="O30" t="str">
        <f t="shared" si="9"/>
        <v/>
      </c>
      <c r="P30" t="str">
        <f>IF($A30="","",IF($E30=1,$F30*$O30,PNL!G30))</f>
        <v/>
      </c>
      <c r="T30" t="str">
        <f t="shared" si="10"/>
        <v/>
      </c>
    </row>
    <row r="31" spans="1:20" x14ac:dyDescent="0.45">
      <c r="A31" t="str">
        <f>IF(PNL!A31="","",PNL!A31)</f>
        <v/>
      </c>
      <c r="B31" t="str">
        <f>IF(PNL!B31="","",PNL!B31)</f>
        <v/>
      </c>
      <c r="C31" t="str">
        <f>IF(PNL!C31="","",PNL!C31)</f>
        <v/>
      </c>
      <c r="D31" t="str">
        <f>IF(PNL!D31="","",PNL!D31)</f>
        <v/>
      </c>
      <c r="E31" t="str">
        <f t="shared" si="0"/>
        <v/>
      </c>
      <c r="F31" t="str">
        <f>IF($A31="","",IF($E31=1,SUMIFS(Compta!$F$1:$F$675,Compta!$A$1:$A$675,$A31,Compta!$B$1:$B$675,$B31,Compta!$C$1:$C$675,"2026"),0))</f>
        <v/>
      </c>
      <c r="G31" t="str">
        <f t="shared" si="1"/>
        <v/>
      </c>
      <c r="H31" t="str">
        <f t="shared" si="2"/>
        <v/>
      </c>
      <c r="I31" t="str">
        <f t="shared" si="3"/>
        <v/>
      </c>
      <c r="J31" t="str">
        <f t="shared" si="4"/>
        <v/>
      </c>
      <c r="K31" t="str">
        <f t="shared" si="5"/>
        <v/>
      </c>
      <c r="L31" t="str">
        <f t="shared" si="6"/>
        <v/>
      </c>
      <c r="M31" t="str">
        <f t="shared" si="7"/>
        <v/>
      </c>
      <c r="N31" t="str">
        <f t="shared" si="8"/>
        <v/>
      </c>
      <c r="O31" t="str">
        <f t="shared" si="9"/>
        <v/>
      </c>
      <c r="P31" t="str">
        <f>IF($A31="","",IF($E31=1,$F31*$O31,PNL!G31))</f>
        <v/>
      </c>
      <c r="T31" t="str">
        <f t="shared" si="10"/>
        <v/>
      </c>
    </row>
    <row r="32" spans="1:20" x14ac:dyDescent="0.45">
      <c r="A32" t="str">
        <f>IF(PNL!A32="","",PNL!A32)</f>
        <v/>
      </c>
      <c r="B32" t="str">
        <f>IF(PNL!B32="","",PNL!B32)</f>
        <v/>
      </c>
      <c r="C32" t="str">
        <f>IF(PNL!C32="","",PNL!C32)</f>
        <v/>
      </c>
      <c r="D32" t="str">
        <f>IF(PNL!D32="","",PNL!D32)</f>
        <v/>
      </c>
      <c r="E32" t="str">
        <f t="shared" si="0"/>
        <v/>
      </c>
      <c r="F32" t="str">
        <f>IF($A32="","",IF($E32=1,SUMIFS(Compta!$F$1:$F$675,Compta!$A$1:$A$675,$A32,Compta!$B$1:$B$675,$B32,Compta!$C$1:$C$675,"2026"),0))</f>
        <v/>
      </c>
      <c r="G32" t="str">
        <f t="shared" si="1"/>
        <v/>
      </c>
      <c r="H32" t="str">
        <f t="shared" si="2"/>
        <v/>
      </c>
      <c r="I32" t="str">
        <f t="shared" si="3"/>
        <v/>
      </c>
      <c r="J32" t="str">
        <f t="shared" si="4"/>
        <v/>
      </c>
      <c r="K32" t="str">
        <f t="shared" si="5"/>
        <v/>
      </c>
      <c r="L32" t="str">
        <f t="shared" si="6"/>
        <v/>
      </c>
      <c r="M32" t="str">
        <f t="shared" si="7"/>
        <v/>
      </c>
      <c r="N32" t="str">
        <f t="shared" si="8"/>
        <v/>
      </c>
      <c r="O32" t="str">
        <f t="shared" si="9"/>
        <v/>
      </c>
      <c r="P32" t="str">
        <f>IF($A32="","",IF($E32=1,$F32*$O32,PNL!G32))</f>
        <v/>
      </c>
      <c r="T32" t="str">
        <f t="shared" si="10"/>
        <v/>
      </c>
    </row>
    <row r="33" spans="1:20" x14ac:dyDescent="0.45">
      <c r="A33" t="str">
        <f>IF(PNL!A33="","",PNL!A33)</f>
        <v/>
      </c>
      <c r="B33" t="str">
        <f>IF(PNL!B33="","",PNL!B33)</f>
        <v/>
      </c>
      <c r="C33" t="str">
        <f>IF(PNL!C33="","",PNL!C33)</f>
        <v/>
      </c>
      <c r="D33" t="str">
        <f>IF(PNL!D33="","",PNL!D33)</f>
        <v/>
      </c>
      <c r="E33" t="str">
        <f t="shared" si="0"/>
        <v/>
      </c>
      <c r="F33" t="str">
        <f>IF($A33="","",IF($E33=1,SUMIFS(Compta!$F$1:$F$675,Compta!$A$1:$A$675,$A33,Compta!$B$1:$B$675,$B33,Compta!$C$1:$C$675,"2026"),0))</f>
        <v/>
      </c>
      <c r="G33" t="str">
        <f t="shared" si="1"/>
        <v/>
      </c>
      <c r="H33" t="str">
        <f t="shared" si="2"/>
        <v/>
      </c>
      <c r="I33" t="str">
        <f t="shared" si="3"/>
        <v/>
      </c>
      <c r="J33" t="str">
        <f t="shared" si="4"/>
        <v/>
      </c>
      <c r="K33" t="str">
        <f t="shared" si="5"/>
        <v/>
      </c>
      <c r="L33" t="str">
        <f t="shared" si="6"/>
        <v/>
      </c>
      <c r="M33" t="str">
        <f t="shared" si="7"/>
        <v/>
      </c>
      <c r="N33" t="str">
        <f t="shared" si="8"/>
        <v/>
      </c>
      <c r="O33" t="str">
        <f t="shared" si="9"/>
        <v/>
      </c>
      <c r="P33" t="str">
        <f>IF($A33="","",IF($E33=1,$F33*$O33,PNL!G33))</f>
        <v/>
      </c>
      <c r="T33" t="str">
        <f t="shared" si="10"/>
        <v/>
      </c>
    </row>
    <row r="34" spans="1:20" x14ac:dyDescent="0.45">
      <c r="A34" t="str">
        <f>IF(PNL!A34="","",PNL!A34)</f>
        <v/>
      </c>
      <c r="B34" t="str">
        <f>IF(PNL!B34="","",PNL!B34)</f>
        <v/>
      </c>
      <c r="C34" t="str">
        <f>IF(PNL!C34="","",PNL!C34)</f>
        <v/>
      </c>
      <c r="D34" t="str">
        <f>IF(PNL!D34="","",PNL!D34)</f>
        <v/>
      </c>
      <c r="E34" t="str">
        <f t="shared" si="0"/>
        <v/>
      </c>
      <c r="F34" t="str">
        <f>IF($A34="","",IF($E34=1,SUMIFS(Compta!$F$1:$F$675,Compta!$A$1:$A$675,$A34,Compta!$B$1:$B$675,$B34,Compta!$C$1:$C$675,"2026"),0))</f>
        <v/>
      </c>
      <c r="G34" t="str">
        <f t="shared" si="1"/>
        <v/>
      </c>
      <c r="H34" t="str">
        <f t="shared" si="2"/>
        <v/>
      </c>
      <c r="I34" t="str">
        <f t="shared" si="3"/>
        <v/>
      </c>
      <c r="J34" t="str">
        <f t="shared" si="4"/>
        <v/>
      </c>
      <c r="K34" t="str">
        <f t="shared" si="5"/>
        <v/>
      </c>
      <c r="L34" t="str">
        <f t="shared" si="6"/>
        <v/>
      </c>
      <c r="M34" t="str">
        <f t="shared" si="7"/>
        <v/>
      </c>
      <c r="N34" t="str">
        <f t="shared" si="8"/>
        <v/>
      </c>
      <c r="O34" t="str">
        <f t="shared" si="9"/>
        <v/>
      </c>
      <c r="P34" t="str">
        <f>IF($A34="","",IF($E34=1,$F34*$O34,PNL!G34))</f>
        <v/>
      </c>
      <c r="T34" t="str">
        <f t="shared" si="10"/>
        <v/>
      </c>
    </row>
    <row r="35" spans="1:20" x14ac:dyDescent="0.45">
      <c r="A35" t="str">
        <f>IF(PNL!A35="","",PNL!A35)</f>
        <v/>
      </c>
      <c r="B35" t="str">
        <f>IF(PNL!B35="","",PNL!B35)</f>
        <v/>
      </c>
      <c r="C35" t="str">
        <f>IF(PNL!C35="","",PNL!C35)</f>
        <v/>
      </c>
      <c r="D35" t="str">
        <f>IF(PNL!D35="","",PNL!D35)</f>
        <v/>
      </c>
      <c r="E35" t="str">
        <f t="shared" si="0"/>
        <v/>
      </c>
      <c r="F35" t="str">
        <f>IF($A35="","",IF($E35=1,SUMIFS(Compta!$F$1:$F$675,Compta!$A$1:$A$675,$A35,Compta!$B$1:$B$675,$B35,Compta!$C$1:$C$675,"2026"),0))</f>
        <v/>
      </c>
      <c r="G35" t="str">
        <f t="shared" si="1"/>
        <v/>
      </c>
      <c r="H35" t="str">
        <f t="shared" si="2"/>
        <v/>
      </c>
      <c r="I35" t="str">
        <f t="shared" si="3"/>
        <v/>
      </c>
      <c r="J35" t="str">
        <f t="shared" si="4"/>
        <v/>
      </c>
      <c r="K35" t="str">
        <f t="shared" si="5"/>
        <v/>
      </c>
      <c r="L35" t="str">
        <f t="shared" si="6"/>
        <v/>
      </c>
      <c r="M35" t="str">
        <f t="shared" si="7"/>
        <v/>
      </c>
      <c r="N35" t="str">
        <f t="shared" si="8"/>
        <v/>
      </c>
      <c r="O35" t="str">
        <f t="shared" si="9"/>
        <v/>
      </c>
      <c r="P35" t="str">
        <f>IF($A35="","",IF($E35=1,$F35*$O35,PNL!G35))</f>
        <v/>
      </c>
      <c r="T35" t="str">
        <f t="shared" si="10"/>
        <v/>
      </c>
    </row>
    <row r="36" spans="1:20" x14ac:dyDescent="0.45">
      <c r="A36" t="str">
        <f>IF(PNL!A36="","",PNL!A36)</f>
        <v/>
      </c>
      <c r="B36" t="str">
        <f>IF(PNL!B36="","",PNL!B36)</f>
        <v/>
      </c>
      <c r="C36" t="str">
        <f>IF(PNL!C36="","",PNL!C36)</f>
        <v/>
      </c>
      <c r="D36" t="str">
        <f>IF(PNL!D36="","",PNL!D36)</f>
        <v/>
      </c>
      <c r="E36" t="str">
        <f t="shared" si="0"/>
        <v/>
      </c>
      <c r="F36" t="str">
        <f>IF($A36="","",IF($E36=1,SUMIFS(Compta!$F$1:$F$675,Compta!$A$1:$A$675,$A36,Compta!$B$1:$B$675,$B36,Compta!$C$1:$C$675,"2026"),0))</f>
        <v/>
      </c>
      <c r="G36" t="str">
        <f t="shared" si="1"/>
        <v/>
      </c>
      <c r="H36" t="str">
        <f t="shared" si="2"/>
        <v/>
      </c>
      <c r="I36" t="str">
        <f t="shared" si="3"/>
        <v/>
      </c>
      <c r="J36" t="str">
        <f t="shared" si="4"/>
        <v/>
      </c>
      <c r="K36" t="str">
        <f t="shared" si="5"/>
        <v/>
      </c>
      <c r="L36" t="str">
        <f t="shared" si="6"/>
        <v/>
      </c>
      <c r="M36" t="str">
        <f t="shared" si="7"/>
        <v/>
      </c>
      <c r="N36" t="str">
        <f t="shared" si="8"/>
        <v/>
      </c>
      <c r="O36" t="str">
        <f t="shared" si="9"/>
        <v/>
      </c>
      <c r="P36" t="str">
        <f>IF($A36="","",IF($E36=1,$F36*$O36,PNL!G36))</f>
        <v/>
      </c>
      <c r="T36" t="str">
        <f t="shared" si="10"/>
        <v/>
      </c>
    </row>
    <row r="37" spans="1:20" x14ac:dyDescent="0.45">
      <c r="A37" t="str">
        <f>IF(PNL!A37="","",PNL!A37)</f>
        <v/>
      </c>
      <c r="B37" t="str">
        <f>IF(PNL!B37="","",PNL!B37)</f>
        <v/>
      </c>
      <c r="C37" t="str">
        <f>IF(PNL!C37="","",PNL!C37)</f>
        <v/>
      </c>
      <c r="D37" t="str">
        <f>IF(PNL!D37="","",PNL!D37)</f>
        <v/>
      </c>
      <c r="E37" t="str">
        <f t="shared" si="0"/>
        <v/>
      </c>
      <c r="F37" t="str">
        <f>IF($A37="","",IF($E37=1,SUMIFS(Compta!$F$1:$F$675,Compta!$A$1:$A$675,$A37,Compta!$B$1:$B$675,$B37,Compta!$C$1:$C$675,"2026"),0))</f>
        <v/>
      </c>
      <c r="G37" t="str">
        <f t="shared" si="1"/>
        <v/>
      </c>
      <c r="H37" t="str">
        <f t="shared" si="2"/>
        <v/>
      </c>
      <c r="I37" t="str">
        <f t="shared" si="3"/>
        <v/>
      </c>
      <c r="J37" t="str">
        <f t="shared" si="4"/>
        <v/>
      </c>
      <c r="K37" t="str">
        <f t="shared" si="5"/>
        <v/>
      </c>
      <c r="L37" t="str">
        <f t="shared" si="6"/>
        <v/>
      </c>
      <c r="M37" t="str">
        <f t="shared" si="7"/>
        <v/>
      </c>
      <c r="N37" t="str">
        <f t="shared" si="8"/>
        <v/>
      </c>
      <c r="O37" t="str">
        <f t="shared" si="9"/>
        <v/>
      </c>
      <c r="P37" t="str">
        <f>IF($A37="","",IF($E37=1,$F37*$O37,PNL!G37))</f>
        <v/>
      </c>
      <c r="T37" t="str">
        <f t="shared" si="10"/>
        <v/>
      </c>
    </row>
    <row r="38" spans="1:20" x14ac:dyDescent="0.45">
      <c r="A38" t="str">
        <f>IF(PNL!A38="","",PNL!A38)</f>
        <v/>
      </c>
      <c r="B38" t="str">
        <f>IF(PNL!B38="","",PNL!B38)</f>
        <v/>
      </c>
      <c r="C38" t="str">
        <f>IF(PNL!C38="","",PNL!C38)</f>
        <v/>
      </c>
      <c r="D38" t="str">
        <f>IF(PNL!D38="","",PNL!D38)</f>
        <v/>
      </c>
      <c r="E38" t="str">
        <f t="shared" si="0"/>
        <v/>
      </c>
      <c r="F38" t="str">
        <f>IF($A38="","",IF($E38=1,SUMIFS(Compta!$F$1:$F$675,Compta!$A$1:$A$675,$A38,Compta!$B$1:$B$675,$B38,Compta!$C$1:$C$675,"2026"),0))</f>
        <v/>
      </c>
      <c r="G38" t="str">
        <f t="shared" si="1"/>
        <v/>
      </c>
      <c r="H38" t="str">
        <f t="shared" si="2"/>
        <v/>
      </c>
      <c r="I38" t="str">
        <f t="shared" si="3"/>
        <v/>
      </c>
      <c r="J38" t="str">
        <f t="shared" si="4"/>
        <v/>
      </c>
      <c r="K38" t="str">
        <f t="shared" si="5"/>
        <v/>
      </c>
      <c r="L38" t="str">
        <f t="shared" si="6"/>
        <v/>
      </c>
      <c r="M38" t="str">
        <f t="shared" si="7"/>
        <v/>
      </c>
      <c r="N38" t="str">
        <f t="shared" si="8"/>
        <v/>
      </c>
      <c r="O38" t="str">
        <f t="shared" si="9"/>
        <v/>
      </c>
      <c r="P38" t="str">
        <f>IF($A38="","",IF($E38=1,$F38*$O38,PNL!G38))</f>
        <v/>
      </c>
      <c r="T38" t="str">
        <f t="shared" si="10"/>
        <v/>
      </c>
    </row>
    <row r="39" spans="1:20" x14ac:dyDescent="0.45">
      <c r="A39" t="str">
        <f>IF(PNL!A39="","",PNL!A39)</f>
        <v/>
      </c>
      <c r="B39" t="str">
        <f>IF(PNL!B39="","",PNL!B39)</f>
        <v/>
      </c>
      <c r="C39" t="str">
        <f>IF(PNL!C39="","",PNL!C39)</f>
        <v/>
      </c>
      <c r="D39" t="str">
        <f>IF(PNL!D39="","",PNL!D39)</f>
        <v/>
      </c>
      <c r="E39" t="str">
        <f t="shared" si="0"/>
        <v/>
      </c>
      <c r="F39" t="str">
        <f>IF($A39="","",IF($E39=1,SUMIFS(Compta!$F$1:$F$675,Compta!$A$1:$A$675,$A39,Compta!$B$1:$B$675,$B39,Compta!$C$1:$C$675,"2026"),0))</f>
        <v/>
      </c>
      <c r="G39" t="str">
        <f t="shared" si="1"/>
        <v/>
      </c>
      <c r="H39" t="str">
        <f t="shared" si="2"/>
        <v/>
      </c>
      <c r="I39" t="str">
        <f t="shared" si="3"/>
        <v/>
      </c>
      <c r="J39" t="str">
        <f t="shared" si="4"/>
        <v/>
      </c>
      <c r="K39" t="str">
        <f t="shared" si="5"/>
        <v/>
      </c>
      <c r="L39" t="str">
        <f t="shared" si="6"/>
        <v/>
      </c>
      <c r="M39" t="str">
        <f t="shared" si="7"/>
        <v/>
      </c>
      <c r="N39" t="str">
        <f t="shared" si="8"/>
        <v/>
      </c>
      <c r="O39" t="str">
        <f t="shared" si="9"/>
        <v/>
      </c>
      <c r="P39" t="str">
        <f>IF($A39="","",IF($E39=1,$F39*$O39,PNL!G39))</f>
        <v/>
      </c>
      <c r="T39" t="str">
        <f t="shared" si="10"/>
        <v/>
      </c>
    </row>
    <row r="40" spans="1:20" x14ac:dyDescent="0.45">
      <c r="A40" t="str">
        <f>IF(PNL!A40="","",PNL!A40)</f>
        <v/>
      </c>
      <c r="B40" t="str">
        <f>IF(PNL!B40="","",PNL!B40)</f>
        <v/>
      </c>
      <c r="C40" t="str">
        <f>IF(PNL!C40="","",PNL!C40)</f>
        <v/>
      </c>
      <c r="D40" t="str">
        <f>IF(PNL!D40="","",PNL!D40)</f>
        <v/>
      </c>
      <c r="E40" t="str">
        <f t="shared" si="0"/>
        <v/>
      </c>
      <c r="F40" t="str">
        <f>IF($A40="","",IF($E40=1,SUMIFS(Compta!$F$1:$F$675,Compta!$A$1:$A$675,$A40,Compta!$B$1:$B$675,$B40,Compta!$C$1:$C$675,"2026"),0))</f>
        <v/>
      </c>
      <c r="G40" t="str">
        <f t="shared" si="1"/>
        <v/>
      </c>
      <c r="H40" t="str">
        <f t="shared" si="2"/>
        <v/>
      </c>
      <c r="I40" t="str">
        <f t="shared" si="3"/>
        <v/>
      </c>
      <c r="J40" t="str">
        <f t="shared" si="4"/>
        <v/>
      </c>
      <c r="K40" t="str">
        <f t="shared" si="5"/>
        <v/>
      </c>
      <c r="L40" t="str">
        <f t="shared" si="6"/>
        <v/>
      </c>
      <c r="M40" t="str">
        <f t="shared" si="7"/>
        <v/>
      </c>
      <c r="N40" t="str">
        <f t="shared" si="8"/>
        <v/>
      </c>
      <c r="O40" t="str">
        <f t="shared" si="9"/>
        <v/>
      </c>
      <c r="P40" t="str">
        <f>IF($A40="","",IF($E40=1,$F40*$O40,PNL!G40))</f>
        <v/>
      </c>
      <c r="T40" t="str">
        <f t="shared" si="10"/>
        <v/>
      </c>
    </row>
    <row r="41" spans="1:20" x14ac:dyDescent="0.45">
      <c r="A41" t="str">
        <f>IF(PNL!A41="","",PNL!A41)</f>
        <v/>
      </c>
      <c r="B41" t="str">
        <f>IF(PNL!B41="","",PNL!B41)</f>
        <v/>
      </c>
      <c r="C41" t="str">
        <f>IF(PNL!C41="","",PNL!C41)</f>
        <v/>
      </c>
      <c r="D41" t="str">
        <f>IF(PNL!D41="","",PNL!D41)</f>
        <v/>
      </c>
      <c r="E41" t="str">
        <f t="shared" si="0"/>
        <v/>
      </c>
      <c r="F41" t="str">
        <f>IF($A41="","",IF($E41=1,SUMIFS(Compta!$F$1:$F$675,Compta!$A$1:$A$675,$A41,Compta!$B$1:$B$675,$B41,Compta!$C$1:$C$675,"2026"),0))</f>
        <v/>
      </c>
      <c r="G41" t="str">
        <f t="shared" si="1"/>
        <v/>
      </c>
      <c r="H41" t="str">
        <f t="shared" si="2"/>
        <v/>
      </c>
      <c r="I41" t="str">
        <f t="shared" si="3"/>
        <v/>
      </c>
      <c r="J41" t="str">
        <f t="shared" si="4"/>
        <v/>
      </c>
      <c r="K41" t="str">
        <f t="shared" si="5"/>
        <v/>
      </c>
      <c r="L41" t="str">
        <f t="shared" si="6"/>
        <v/>
      </c>
      <c r="M41" t="str">
        <f t="shared" si="7"/>
        <v/>
      </c>
      <c r="N41" t="str">
        <f t="shared" si="8"/>
        <v/>
      </c>
      <c r="O41" t="str">
        <f t="shared" si="9"/>
        <v/>
      </c>
      <c r="P41" t="str">
        <f>IF($A41="","",IF($E41=1,$F41*$O41,PNL!G41))</f>
        <v/>
      </c>
      <c r="T41" t="str">
        <f t="shared" si="10"/>
        <v/>
      </c>
    </row>
    <row r="42" spans="1:20" x14ac:dyDescent="0.45">
      <c r="A42" t="str">
        <f>IF(PNL!A42="","",PNL!A42)</f>
        <v/>
      </c>
      <c r="B42" t="str">
        <f>IF(PNL!B42="","",PNL!B42)</f>
        <v/>
      </c>
      <c r="C42" t="str">
        <f>IF(PNL!C42="","",PNL!C42)</f>
        <v/>
      </c>
      <c r="D42" t="str">
        <f>IF(PNL!D42="","",PNL!D42)</f>
        <v/>
      </c>
      <c r="E42" t="str">
        <f t="shared" si="0"/>
        <v/>
      </c>
      <c r="F42" t="str">
        <f>IF($A42="","",IF($E42=1,SUMIFS(Compta!$F$1:$F$675,Compta!$A$1:$A$675,$A42,Compta!$B$1:$B$675,$B42,Compta!$C$1:$C$675,"2026"),0))</f>
        <v/>
      </c>
      <c r="G42" t="str">
        <f t="shared" si="1"/>
        <v/>
      </c>
      <c r="H42" t="str">
        <f t="shared" si="2"/>
        <v/>
      </c>
      <c r="I42" t="str">
        <f t="shared" si="3"/>
        <v/>
      </c>
      <c r="J42" t="str">
        <f t="shared" si="4"/>
        <v/>
      </c>
      <c r="K42" t="str">
        <f t="shared" si="5"/>
        <v/>
      </c>
      <c r="L42" t="str">
        <f t="shared" si="6"/>
        <v/>
      </c>
      <c r="M42" t="str">
        <f t="shared" si="7"/>
        <v/>
      </c>
      <c r="N42" t="str">
        <f t="shared" si="8"/>
        <v/>
      </c>
      <c r="O42" t="str">
        <f t="shared" si="9"/>
        <v/>
      </c>
      <c r="P42" t="str">
        <f>IF($A42="","",IF($E42=1,$F42*$O42,PNL!G42))</f>
        <v/>
      </c>
      <c r="T42" t="str">
        <f t="shared" si="10"/>
        <v/>
      </c>
    </row>
    <row r="43" spans="1:20" x14ac:dyDescent="0.45">
      <c r="A43" t="str">
        <f>IF(PNL!A43="","",PNL!A43)</f>
        <v/>
      </c>
      <c r="B43" t="str">
        <f>IF(PNL!B43="","",PNL!B43)</f>
        <v/>
      </c>
      <c r="C43" t="str">
        <f>IF(PNL!C43="","",PNL!C43)</f>
        <v/>
      </c>
      <c r="D43" t="str">
        <f>IF(PNL!D43="","",PNL!D43)</f>
        <v/>
      </c>
      <c r="E43" t="str">
        <f t="shared" si="0"/>
        <v/>
      </c>
      <c r="F43" t="str">
        <f>IF($A43="","",IF($E43=1,SUMIFS(Compta!$F$1:$F$675,Compta!$A$1:$A$675,$A43,Compta!$B$1:$B$675,$B43,Compta!$C$1:$C$675,"2026"),0))</f>
        <v/>
      </c>
      <c r="G43" t="str">
        <f t="shared" si="1"/>
        <v/>
      </c>
      <c r="H43" t="str">
        <f t="shared" si="2"/>
        <v/>
      </c>
      <c r="I43" t="str">
        <f t="shared" si="3"/>
        <v/>
      </c>
      <c r="J43" t="str">
        <f t="shared" si="4"/>
        <v/>
      </c>
      <c r="K43" t="str">
        <f t="shared" si="5"/>
        <v/>
      </c>
      <c r="L43" t="str">
        <f t="shared" si="6"/>
        <v/>
      </c>
      <c r="M43" t="str">
        <f t="shared" si="7"/>
        <v/>
      </c>
      <c r="N43" t="str">
        <f t="shared" si="8"/>
        <v/>
      </c>
      <c r="O43" t="str">
        <f t="shared" si="9"/>
        <v/>
      </c>
      <c r="P43" t="str">
        <f>IF($A43="","",IF($E43=1,$F43*$O43,PNL!G43))</f>
        <v/>
      </c>
      <c r="T43" t="str">
        <f t="shared" si="10"/>
        <v/>
      </c>
    </row>
    <row r="44" spans="1:20" x14ac:dyDescent="0.45">
      <c r="A44" t="str">
        <f>IF(PNL!A44="","",PNL!A44)</f>
        <v/>
      </c>
      <c r="B44" t="str">
        <f>IF(PNL!B44="","",PNL!B44)</f>
        <v/>
      </c>
      <c r="C44" t="str">
        <f>IF(PNL!C44="","",PNL!C44)</f>
        <v/>
      </c>
      <c r="D44" t="str">
        <f>IF(PNL!D44="","",PNL!D44)</f>
        <v/>
      </c>
      <c r="E44" t="str">
        <f t="shared" si="0"/>
        <v/>
      </c>
      <c r="F44" t="str">
        <f>IF($A44="","",IF($E44=1,SUMIFS(Compta!$F$1:$F$675,Compta!$A$1:$A$675,$A44,Compta!$B$1:$B$675,$B44,Compta!$C$1:$C$675,"2026"),0))</f>
        <v/>
      </c>
      <c r="G44" t="str">
        <f t="shared" si="1"/>
        <v/>
      </c>
      <c r="H44" t="str">
        <f t="shared" si="2"/>
        <v/>
      </c>
      <c r="I44" t="str">
        <f t="shared" si="3"/>
        <v/>
      </c>
      <c r="J44" t="str">
        <f t="shared" si="4"/>
        <v/>
      </c>
      <c r="K44" t="str">
        <f t="shared" si="5"/>
        <v/>
      </c>
      <c r="L44" t="str">
        <f t="shared" si="6"/>
        <v/>
      </c>
      <c r="M44" t="str">
        <f t="shared" si="7"/>
        <v/>
      </c>
      <c r="N44" t="str">
        <f t="shared" si="8"/>
        <v/>
      </c>
      <c r="O44" t="str">
        <f t="shared" si="9"/>
        <v/>
      </c>
      <c r="P44" t="str">
        <f>IF($A44="","",IF($E44=1,$F44*$O44,PNL!G44))</f>
        <v/>
      </c>
      <c r="T44" t="str">
        <f t="shared" si="10"/>
        <v/>
      </c>
    </row>
    <row r="45" spans="1:20" x14ac:dyDescent="0.45">
      <c r="A45" t="str">
        <f>IF(PNL!A45="","",PNL!A45)</f>
        <v/>
      </c>
      <c r="B45" t="str">
        <f>IF(PNL!B45="","",PNL!B45)</f>
        <v/>
      </c>
      <c r="C45" t="str">
        <f>IF(PNL!C45="","",PNL!C45)</f>
        <v/>
      </c>
      <c r="D45" t="str">
        <f>IF(PNL!D45="","",PNL!D45)</f>
        <v/>
      </c>
      <c r="E45" t="str">
        <f t="shared" si="0"/>
        <v/>
      </c>
      <c r="F45" t="str">
        <f>IF($A45="","",IF($E45=1,SUMIFS(Compta!$F$1:$F$675,Compta!$A$1:$A$675,$A45,Compta!$B$1:$B$675,$B45,Compta!$C$1:$C$675,"2026"),0))</f>
        <v/>
      </c>
      <c r="G45" t="str">
        <f t="shared" si="1"/>
        <v/>
      </c>
      <c r="H45" t="str">
        <f t="shared" si="2"/>
        <v/>
      </c>
      <c r="I45" t="str">
        <f t="shared" si="3"/>
        <v/>
      </c>
      <c r="J45" t="str">
        <f t="shared" si="4"/>
        <v/>
      </c>
      <c r="K45" t="str">
        <f t="shared" si="5"/>
        <v/>
      </c>
      <c r="L45" t="str">
        <f t="shared" si="6"/>
        <v/>
      </c>
      <c r="M45" t="str">
        <f t="shared" si="7"/>
        <v/>
      </c>
      <c r="N45" t="str">
        <f t="shared" si="8"/>
        <v/>
      </c>
      <c r="O45" t="str">
        <f t="shared" si="9"/>
        <v/>
      </c>
      <c r="P45" t="str">
        <f>IF($A45="","",IF($E45=1,$F45*$O45,PNL!G45))</f>
        <v/>
      </c>
      <c r="T45" t="str">
        <f t="shared" si="10"/>
        <v/>
      </c>
    </row>
    <row r="46" spans="1:20" x14ac:dyDescent="0.45">
      <c r="A46" t="str">
        <f>IF(PNL!A46="","",PNL!A46)</f>
        <v/>
      </c>
      <c r="B46" t="str">
        <f>IF(PNL!B46="","",PNL!B46)</f>
        <v/>
      </c>
      <c r="C46" t="str">
        <f>IF(PNL!C46="","",PNL!C46)</f>
        <v/>
      </c>
      <c r="D46" t="str">
        <f>IF(PNL!D46="","",PNL!D46)</f>
        <v/>
      </c>
      <c r="E46" t="str">
        <f t="shared" si="0"/>
        <v/>
      </c>
      <c r="F46" t="str">
        <f>IF($A46="","",IF($E46=1,SUMIFS(Compta!$F$1:$F$675,Compta!$A$1:$A$675,$A46,Compta!$B$1:$B$675,$B46,Compta!$C$1:$C$675,"2026"),0))</f>
        <v/>
      </c>
      <c r="G46" t="str">
        <f t="shared" si="1"/>
        <v/>
      </c>
      <c r="H46" t="str">
        <f t="shared" si="2"/>
        <v/>
      </c>
      <c r="I46" t="str">
        <f t="shared" si="3"/>
        <v/>
      </c>
      <c r="J46" t="str">
        <f t="shared" si="4"/>
        <v/>
      </c>
      <c r="K46" t="str">
        <f t="shared" si="5"/>
        <v/>
      </c>
      <c r="L46" t="str">
        <f t="shared" si="6"/>
        <v/>
      </c>
      <c r="M46" t="str">
        <f t="shared" si="7"/>
        <v/>
      </c>
      <c r="N46" t="str">
        <f t="shared" si="8"/>
        <v/>
      </c>
      <c r="O46" t="str">
        <f t="shared" si="9"/>
        <v/>
      </c>
      <c r="P46" t="str">
        <f>IF($A46="","",IF($E46=1,$F46*$O46,PNL!G46))</f>
        <v/>
      </c>
      <c r="T46" t="str">
        <f t="shared" si="10"/>
        <v/>
      </c>
    </row>
    <row r="47" spans="1:20" x14ac:dyDescent="0.45">
      <c r="A47" t="str">
        <f>IF(PNL!A47="","",PNL!A47)</f>
        <v/>
      </c>
      <c r="B47" t="str">
        <f>IF(PNL!B47="","",PNL!B47)</f>
        <v/>
      </c>
      <c r="C47" t="str">
        <f>IF(PNL!C47="","",PNL!C47)</f>
        <v/>
      </c>
      <c r="D47" t="str">
        <f>IF(PNL!D47="","",PNL!D47)</f>
        <v/>
      </c>
      <c r="E47" t="str">
        <f t="shared" si="0"/>
        <v/>
      </c>
      <c r="F47" t="str">
        <f>IF($A47="","",IF($E47=1,SUMIFS(Compta!$F$1:$F$675,Compta!$A$1:$A$675,$A47,Compta!$B$1:$B$675,$B47,Compta!$C$1:$C$675,"2026"),0))</f>
        <v/>
      </c>
      <c r="G47" t="str">
        <f t="shared" si="1"/>
        <v/>
      </c>
      <c r="H47" t="str">
        <f t="shared" si="2"/>
        <v/>
      </c>
      <c r="I47" t="str">
        <f t="shared" si="3"/>
        <v/>
      </c>
      <c r="J47" t="str">
        <f t="shared" si="4"/>
        <v/>
      </c>
      <c r="K47" t="str">
        <f t="shared" si="5"/>
        <v/>
      </c>
      <c r="L47" t="str">
        <f t="shared" si="6"/>
        <v/>
      </c>
      <c r="M47" t="str">
        <f t="shared" si="7"/>
        <v/>
      </c>
      <c r="N47" t="str">
        <f t="shared" si="8"/>
        <v/>
      </c>
      <c r="O47" t="str">
        <f t="shared" si="9"/>
        <v/>
      </c>
      <c r="P47" t="str">
        <f>IF($A47="","",IF($E47=1,$F47*$O47,PNL!G47))</f>
        <v/>
      </c>
      <c r="T47" t="str">
        <f t="shared" si="10"/>
        <v/>
      </c>
    </row>
    <row r="48" spans="1:20" x14ac:dyDescent="0.45">
      <c r="A48" t="str">
        <f>IF(PNL!A48="","",PNL!A48)</f>
        <v/>
      </c>
      <c r="B48" t="str">
        <f>IF(PNL!B48="","",PNL!B48)</f>
        <v/>
      </c>
      <c r="C48" t="str">
        <f>IF(PNL!C48="","",PNL!C48)</f>
        <v/>
      </c>
      <c r="D48" t="str">
        <f>IF(PNL!D48="","",PNL!D48)</f>
        <v/>
      </c>
      <c r="E48" t="str">
        <f t="shared" si="0"/>
        <v/>
      </c>
      <c r="F48" t="str">
        <f>IF($A48="","",IF($E48=1,SUMIFS(Compta!$F$1:$F$675,Compta!$A$1:$A$675,$A48,Compta!$B$1:$B$675,$B48,Compta!$C$1:$C$675,"2026"),0))</f>
        <v/>
      </c>
      <c r="G48" t="str">
        <f t="shared" si="1"/>
        <v/>
      </c>
      <c r="H48" t="str">
        <f t="shared" si="2"/>
        <v/>
      </c>
      <c r="I48" t="str">
        <f t="shared" si="3"/>
        <v/>
      </c>
      <c r="J48" t="str">
        <f t="shared" si="4"/>
        <v/>
      </c>
      <c r="K48" t="str">
        <f t="shared" si="5"/>
        <v/>
      </c>
      <c r="L48" t="str">
        <f t="shared" si="6"/>
        <v/>
      </c>
      <c r="M48" t="str">
        <f t="shared" si="7"/>
        <v/>
      </c>
      <c r="N48" t="str">
        <f t="shared" si="8"/>
        <v/>
      </c>
      <c r="O48" t="str">
        <f t="shared" si="9"/>
        <v/>
      </c>
      <c r="P48" t="str">
        <f>IF($A48="","",IF($E48=1,$F48*$O48,PNL!G48))</f>
        <v/>
      </c>
      <c r="T48" t="str">
        <f t="shared" si="10"/>
        <v/>
      </c>
    </row>
    <row r="49" spans="1:20" x14ac:dyDescent="0.45">
      <c r="A49" t="str">
        <f>IF(PNL!A49="","",PNL!A49)</f>
        <v/>
      </c>
      <c r="B49" t="str">
        <f>IF(PNL!B49="","",PNL!B49)</f>
        <v/>
      </c>
      <c r="C49" t="str">
        <f>IF(PNL!C49="","",PNL!C49)</f>
        <v/>
      </c>
      <c r="D49" t="str">
        <f>IF(PNL!D49="","",PNL!D49)</f>
        <v/>
      </c>
      <c r="E49" t="str">
        <f t="shared" si="0"/>
        <v/>
      </c>
      <c r="F49" t="str">
        <f>IF($A49="","",IF($E49=1,SUMIFS(Compta!$F$1:$F$675,Compta!$A$1:$A$675,$A49,Compta!$B$1:$B$675,$B49,Compta!$C$1:$C$675,"2026"),0))</f>
        <v/>
      </c>
      <c r="G49" t="str">
        <f t="shared" si="1"/>
        <v/>
      </c>
      <c r="H49" t="str">
        <f t="shared" si="2"/>
        <v/>
      </c>
      <c r="I49" t="str">
        <f t="shared" si="3"/>
        <v/>
      </c>
      <c r="J49" t="str">
        <f t="shared" si="4"/>
        <v/>
      </c>
      <c r="K49" t="str">
        <f t="shared" si="5"/>
        <v/>
      </c>
      <c r="L49" t="str">
        <f t="shared" si="6"/>
        <v/>
      </c>
      <c r="M49" t="str">
        <f t="shared" si="7"/>
        <v/>
      </c>
      <c r="N49" t="str">
        <f t="shared" si="8"/>
        <v/>
      </c>
      <c r="O49" t="str">
        <f t="shared" si="9"/>
        <v/>
      </c>
      <c r="P49" t="str">
        <f>IF($A49="","",IF($E49=1,$F49*$O49,PNL!G49))</f>
        <v/>
      </c>
      <c r="T49" t="str">
        <f t="shared" si="10"/>
        <v/>
      </c>
    </row>
    <row r="50" spans="1:20" x14ac:dyDescent="0.45">
      <c r="A50" t="str">
        <f>IF(PNL!A50="","",PNL!A50)</f>
        <v/>
      </c>
      <c r="B50" t="str">
        <f>IF(PNL!B50="","",PNL!B50)</f>
        <v/>
      </c>
      <c r="C50" t="str">
        <f>IF(PNL!C50="","",PNL!C50)</f>
        <v/>
      </c>
      <c r="D50" t="str">
        <f>IF(PNL!D50="","",PNL!D50)</f>
        <v/>
      </c>
      <c r="E50" t="str">
        <f t="shared" si="0"/>
        <v/>
      </c>
      <c r="F50" t="str">
        <f>IF($A50="","",IF($E50=1,SUMIFS(Compta!$F$1:$F$675,Compta!$A$1:$A$675,$A50,Compta!$B$1:$B$675,$B50,Compta!$C$1:$C$675,"2026"),0))</f>
        <v/>
      </c>
      <c r="G50" t="str">
        <f t="shared" si="1"/>
        <v/>
      </c>
      <c r="H50" t="str">
        <f t="shared" si="2"/>
        <v/>
      </c>
      <c r="I50" t="str">
        <f t="shared" si="3"/>
        <v/>
      </c>
      <c r="J50" t="str">
        <f t="shared" si="4"/>
        <v/>
      </c>
      <c r="K50" t="str">
        <f t="shared" si="5"/>
        <v/>
      </c>
      <c r="L50" t="str">
        <f t="shared" si="6"/>
        <v/>
      </c>
      <c r="M50" t="str">
        <f t="shared" si="7"/>
        <v/>
      </c>
      <c r="N50" t="str">
        <f t="shared" si="8"/>
        <v/>
      </c>
      <c r="O50" t="str">
        <f t="shared" si="9"/>
        <v/>
      </c>
      <c r="P50" t="str">
        <f>IF($A50="","",IF($E50=1,$F50*$O50,PNL!G50))</f>
        <v/>
      </c>
      <c r="T50" t="str">
        <f t="shared" si="10"/>
        <v/>
      </c>
    </row>
    <row r="51" spans="1:20" x14ac:dyDescent="0.45">
      <c r="A51" t="str">
        <f>IF(PNL!A51="","",PNL!A51)</f>
        <v/>
      </c>
      <c r="B51" t="str">
        <f>IF(PNL!B51="","",PNL!B51)</f>
        <v/>
      </c>
      <c r="C51" t="str">
        <f>IF(PNL!C51="","",PNL!C51)</f>
        <v/>
      </c>
      <c r="D51" t="str">
        <f>IF(PNL!D51="","",PNL!D51)</f>
        <v/>
      </c>
      <c r="E51" t="str">
        <f t="shared" si="0"/>
        <v/>
      </c>
      <c r="F51" t="str">
        <f>IF($A51="","",IF($E51=1,SUMIFS(Compta!$F$1:$F$675,Compta!$A$1:$A$675,$A51,Compta!$B$1:$B$675,$B51,Compta!$C$1:$C$675,"2026"),0))</f>
        <v/>
      </c>
      <c r="G51" t="str">
        <f t="shared" si="1"/>
        <v/>
      </c>
      <c r="H51" t="str">
        <f t="shared" si="2"/>
        <v/>
      </c>
      <c r="I51" t="str">
        <f t="shared" si="3"/>
        <v/>
      </c>
      <c r="J51" t="str">
        <f t="shared" si="4"/>
        <v/>
      </c>
      <c r="K51" t="str">
        <f t="shared" si="5"/>
        <v/>
      </c>
      <c r="L51" t="str">
        <f t="shared" si="6"/>
        <v/>
      </c>
      <c r="M51" t="str">
        <f t="shared" si="7"/>
        <v/>
      </c>
      <c r="N51" t="str">
        <f t="shared" si="8"/>
        <v/>
      </c>
      <c r="O51" t="str">
        <f t="shared" si="9"/>
        <v/>
      </c>
      <c r="P51" t="str">
        <f>IF($A51="","",IF($E51=1,$F51*$O51,PNL!G51))</f>
        <v/>
      </c>
      <c r="T51" t="str">
        <f t="shared" si="10"/>
        <v/>
      </c>
    </row>
    <row r="52" spans="1:20" x14ac:dyDescent="0.45">
      <c r="A52" t="str">
        <f>IF(PNL!A52="","",PNL!A52)</f>
        <v/>
      </c>
      <c r="B52" t="str">
        <f>IF(PNL!B52="","",PNL!B52)</f>
        <v/>
      </c>
      <c r="C52" t="str">
        <f>IF(PNL!C52="","",PNL!C52)</f>
        <v/>
      </c>
      <c r="D52" t="str">
        <f>IF(PNL!D52="","",PNL!D52)</f>
        <v/>
      </c>
      <c r="E52" t="str">
        <f t="shared" si="0"/>
        <v/>
      </c>
      <c r="F52" t="str">
        <f>IF($A52="","",IF($E52=1,SUMIFS(Compta!$F$1:$F$675,Compta!$A$1:$A$675,$A52,Compta!$B$1:$B$675,$B52,Compta!$C$1:$C$675,"2026"),0))</f>
        <v/>
      </c>
      <c r="G52" t="str">
        <f t="shared" si="1"/>
        <v/>
      </c>
      <c r="H52" t="str">
        <f t="shared" si="2"/>
        <v/>
      </c>
      <c r="I52" t="str">
        <f t="shared" si="3"/>
        <v/>
      </c>
      <c r="J52" t="str">
        <f t="shared" si="4"/>
        <v/>
      </c>
      <c r="K52" t="str">
        <f t="shared" si="5"/>
        <v/>
      </c>
      <c r="L52" t="str">
        <f t="shared" si="6"/>
        <v/>
      </c>
      <c r="M52" t="str">
        <f t="shared" si="7"/>
        <v/>
      </c>
      <c r="N52" t="str">
        <f t="shared" si="8"/>
        <v/>
      </c>
      <c r="O52" t="str">
        <f t="shared" si="9"/>
        <v/>
      </c>
      <c r="P52" t="str">
        <f>IF($A52="","",IF($E52=1,$F52*$O52,PNL!G52))</f>
        <v/>
      </c>
      <c r="T52" t="str">
        <f t="shared" si="10"/>
        <v/>
      </c>
    </row>
    <row r="53" spans="1:20" x14ac:dyDescent="0.45">
      <c r="A53" t="str">
        <f>IF(PNL!A53="","",PNL!A53)</f>
        <v/>
      </c>
      <c r="B53" t="str">
        <f>IF(PNL!B53="","",PNL!B53)</f>
        <v/>
      </c>
      <c r="C53" t="str">
        <f>IF(PNL!C53="","",PNL!C53)</f>
        <v/>
      </c>
      <c r="D53" t="str">
        <f>IF(PNL!D53="","",PNL!D53)</f>
        <v/>
      </c>
      <c r="E53" t="str">
        <f t="shared" si="0"/>
        <v/>
      </c>
      <c r="F53" t="str">
        <f>IF($A53="","",IF($E53=1,SUMIFS(Compta!$F$1:$F$675,Compta!$A$1:$A$675,$A53,Compta!$B$1:$B$675,$B53,Compta!$C$1:$C$675,"2026"),0))</f>
        <v/>
      </c>
      <c r="G53" t="str">
        <f t="shared" si="1"/>
        <v/>
      </c>
      <c r="H53" t="str">
        <f t="shared" si="2"/>
        <v/>
      </c>
      <c r="I53" t="str">
        <f t="shared" si="3"/>
        <v/>
      </c>
      <c r="J53" t="str">
        <f t="shared" si="4"/>
        <v/>
      </c>
      <c r="K53" t="str">
        <f t="shared" si="5"/>
        <v/>
      </c>
      <c r="L53" t="str">
        <f t="shared" si="6"/>
        <v/>
      </c>
      <c r="M53" t="str">
        <f t="shared" si="7"/>
        <v/>
      </c>
      <c r="N53" t="str">
        <f t="shared" si="8"/>
        <v/>
      </c>
      <c r="O53" t="str">
        <f t="shared" si="9"/>
        <v/>
      </c>
      <c r="P53" t="str">
        <f>IF($A53="","",IF($E53=1,$F53*$O53,PNL!G53))</f>
        <v/>
      </c>
      <c r="T53" t="str">
        <f t="shared" si="10"/>
        <v/>
      </c>
    </row>
    <row r="54" spans="1:20" x14ac:dyDescent="0.45">
      <c r="A54" t="str">
        <f>IF(PNL!A54="","",PNL!A54)</f>
        <v/>
      </c>
      <c r="B54" t="str">
        <f>IF(PNL!B54="","",PNL!B54)</f>
        <v/>
      </c>
      <c r="C54" t="str">
        <f>IF(PNL!C54="","",PNL!C54)</f>
        <v/>
      </c>
      <c r="D54" t="str">
        <f>IF(PNL!D54="","",PNL!D54)</f>
        <v/>
      </c>
      <c r="E54" t="str">
        <f t="shared" si="0"/>
        <v/>
      </c>
      <c r="F54" t="str">
        <f>IF($A54="","",IF($E54=1,SUMIFS(Compta!$F$1:$F$675,Compta!$A$1:$A$675,$A54,Compta!$B$1:$B$675,$B54,Compta!$C$1:$C$675,"2026"),0))</f>
        <v/>
      </c>
      <c r="G54" t="str">
        <f t="shared" si="1"/>
        <v/>
      </c>
      <c r="H54" t="str">
        <f t="shared" si="2"/>
        <v/>
      </c>
      <c r="I54" t="str">
        <f t="shared" si="3"/>
        <v/>
      </c>
      <c r="J54" t="str">
        <f t="shared" si="4"/>
        <v/>
      </c>
      <c r="K54" t="str">
        <f t="shared" si="5"/>
        <v/>
      </c>
      <c r="L54" t="str">
        <f t="shared" si="6"/>
        <v/>
      </c>
      <c r="M54" t="str">
        <f t="shared" si="7"/>
        <v/>
      </c>
      <c r="N54" t="str">
        <f t="shared" si="8"/>
        <v/>
      </c>
      <c r="O54" t="str">
        <f t="shared" si="9"/>
        <v/>
      </c>
      <c r="P54" t="str">
        <f>IF($A54="","",IF($E54=1,$F54*$O54,PNL!G54))</f>
        <v/>
      </c>
      <c r="T54" t="str">
        <f t="shared" si="10"/>
        <v/>
      </c>
    </row>
    <row r="55" spans="1:20" x14ac:dyDescent="0.45">
      <c r="A55" t="str">
        <f>IF(PNL!A55="","",PNL!A55)</f>
        <v/>
      </c>
      <c r="B55" t="str">
        <f>IF(PNL!B55="","",PNL!B55)</f>
        <v/>
      </c>
      <c r="C55" t="str">
        <f>IF(PNL!C55="","",PNL!C55)</f>
        <v/>
      </c>
      <c r="D55" t="str">
        <f>IF(PNL!D55="","",PNL!D55)</f>
        <v/>
      </c>
      <c r="E55" t="str">
        <f t="shared" si="0"/>
        <v/>
      </c>
      <c r="F55" t="str">
        <f>IF($A55="","",IF($E55=1,SUMIFS(Compta!$F$1:$F$675,Compta!$A$1:$A$675,$A55,Compta!$B$1:$B$675,$B55,Compta!$C$1:$C$675,"2026"),0))</f>
        <v/>
      </c>
      <c r="G55" t="str">
        <f t="shared" si="1"/>
        <v/>
      </c>
      <c r="H55" t="str">
        <f t="shared" si="2"/>
        <v/>
      </c>
      <c r="I55" t="str">
        <f t="shared" si="3"/>
        <v/>
      </c>
      <c r="J55" t="str">
        <f t="shared" si="4"/>
        <v/>
      </c>
      <c r="K55" t="str">
        <f t="shared" si="5"/>
        <v/>
      </c>
      <c r="L55" t="str">
        <f t="shared" si="6"/>
        <v/>
      </c>
      <c r="M55" t="str">
        <f t="shared" si="7"/>
        <v/>
      </c>
      <c r="N55" t="str">
        <f t="shared" si="8"/>
        <v/>
      </c>
      <c r="O55" t="str">
        <f t="shared" si="9"/>
        <v/>
      </c>
      <c r="P55" t="str">
        <f>IF($A55="","",IF($E55=1,$F55*$O55,PNL!G55))</f>
        <v/>
      </c>
      <c r="T55" t="str">
        <f t="shared" si="10"/>
        <v/>
      </c>
    </row>
    <row r="56" spans="1:20" x14ac:dyDescent="0.45">
      <c r="A56" t="str">
        <f>IF(PNL!A56="","",PNL!A56)</f>
        <v/>
      </c>
      <c r="B56" t="str">
        <f>IF(PNL!B56="","",PNL!B56)</f>
        <v/>
      </c>
      <c r="C56" t="str">
        <f>IF(PNL!C56="","",PNL!C56)</f>
        <v/>
      </c>
      <c r="D56" t="str">
        <f>IF(PNL!D56="","",PNL!D56)</f>
        <v/>
      </c>
      <c r="E56" t="str">
        <f t="shared" si="0"/>
        <v/>
      </c>
      <c r="F56" t="str">
        <f>IF($A56="","",IF($E56=1,SUMIFS(Compta!$F$1:$F$675,Compta!$A$1:$A$675,$A56,Compta!$B$1:$B$675,$B56,Compta!$C$1:$C$675,"2026"),0))</f>
        <v/>
      </c>
      <c r="G56" t="str">
        <f t="shared" si="1"/>
        <v/>
      </c>
      <c r="H56" t="str">
        <f t="shared" si="2"/>
        <v/>
      </c>
      <c r="I56" t="str">
        <f t="shared" si="3"/>
        <v/>
      </c>
      <c r="J56" t="str">
        <f t="shared" si="4"/>
        <v/>
      </c>
      <c r="K56" t="str">
        <f t="shared" si="5"/>
        <v/>
      </c>
      <c r="L56" t="str">
        <f t="shared" si="6"/>
        <v/>
      </c>
      <c r="M56" t="str">
        <f t="shared" si="7"/>
        <v/>
      </c>
      <c r="N56" t="str">
        <f t="shared" si="8"/>
        <v/>
      </c>
      <c r="O56" t="str">
        <f t="shared" si="9"/>
        <v/>
      </c>
      <c r="P56" t="str">
        <f>IF($A56="","",IF($E56=1,$F56*$O56,PNL!G56))</f>
        <v/>
      </c>
      <c r="T56" t="str">
        <f t="shared" si="10"/>
        <v/>
      </c>
    </row>
    <row r="57" spans="1:20" x14ac:dyDescent="0.45">
      <c r="A57" t="str">
        <f>IF(PNL!A57="","",PNL!A57)</f>
        <v/>
      </c>
      <c r="B57" t="str">
        <f>IF(PNL!B57="","",PNL!B57)</f>
        <v/>
      </c>
      <c r="C57" t="str">
        <f>IF(PNL!C57="","",PNL!C57)</f>
        <v/>
      </c>
      <c r="D57" t="str">
        <f>IF(PNL!D57="","",PNL!D57)</f>
        <v/>
      </c>
      <c r="E57" t="str">
        <f t="shared" si="0"/>
        <v/>
      </c>
      <c r="F57" t="str">
        <f>IF($A57="","",IF($E57=1,SUMIFS(Compta!$F$1:$F$675,Compta!$A$1:$A$675,$A57,Compta!$B$1:$B$675,$B57,Compta!$C$1:$C$675,"2026"),0))</f>
        <v/>
      </c>
      <c r="G57" t="str">
        <f t="shared" si="1"/>
        <v/>
      </c>
      <c r="H57" t="str">
        <f t="shared" si="2"/>
        <v/>
      </c>
      <c r="I57" t="str">
        <f t="shared" si="3"/>
        <v/>
      </c>
      <c r="J57" t="str">
        <f t="shared" si="4"/>
        <v/>
      </c>
      <c r="K57" t="str">
        <f t="shared" si="5"/>
        <v/>
      </c>
      <c r="L57" t="str">
        <f t="shared" si="6"/>
        <v/>
      </c>
      <c r="M57" t="str">
        <f t="shared" si="7"/>
        <v/>
      </c>
      <c r="N57" t="str">
        <f t="shared" si="8"/>
        <v/>
      </c>
      <c r="O57" t="str">
        <f t="shared" si="9"/>
        <v/>
      </c>
      <c r="P57" t="str">
        <f>IF($A57="","",IF($E57=1,$F57*$O57,PNL!G57))</f>
        <v/>
      </c>
      <c r="T57" t="str">
        <f t="shared" si="10"/>
        <v/>
      </c>
    </row>
    <row r="58" spans="1:20" x14ac:dyDescent="0.45">
      <c r="A58" t="str">
        <f>IF(PNL!A58="","",PNL!A58)</f>
        <v/>
      </c>
      <c r="B58" t="str">
        <f>IF(PNL!B58="","",PNL!B58)</f>
        <v/>
      </c>
      <c r="C58" t="str">
        <f>IF(PNL!C58="","",PNL!C58)</f>
        <v/>
      </c>
      <c r="D58" t="str">
        <f>IF(PNL!D58="","",PNL!D58)</f>
        <v/>
      </c>
      <c r="E58" t="str">
        <f t="shared" si="0"/>
        <v/>
      </c>
      <c r="F58" t="str">
        <f>IF($A58="","",IF($E58=1,SUMIFS(Compta!$F$1:$F$675,Compta!$A$1:$A$675,$A58,Compta!$B$1:$B$675,$B58,Compta!$C$1:$C$675,"2026"),0))</f>
        <v/>
      </c>
      <c r="G58" t="str">
        <f t="shared" si="1"/>
        <v/>
      </c>
      <c r="H58" t="str">
        <f t="shared" si="2"/>
        <v/>
      </c>
      <c r="I58" t="str">
        <f t="shared" si="3"/>
        <v/>
      </c>
      <c r="J58" t="str">
        <f t="shared" si="4"/>
        <v/>
      </c>
      <c r="K58" t="str">
        <f t="shared" si="5"/>
        <v/>
      </c>
      <c r="L58" t="str">
        <f t="shared" si="6"/>
        <v/>
      </c>
      <c r="M58" t="str">
        <f t="shared" si="7"/>
        <v/>
      </c>
      <c r="N58" t="str">
        <f t="shared" si="8"/>
        <v/>
      </c>
      <c r="O58" t="str">
        <f t="shared" si="9"/>
        <v/>
      </c>
      <c r="P58" t="str">
        <f>IF($A58="","",IF($E58=1,$F58*$O58,PNL!G58))</f>
        <v/>
      </c>
      <c r="T58" t="str">
        <f t="shared" si="10"/>
        <v/>
      </c>
    </row>
    <row r="59" spans="1:20" x14ac:dyDescent="0.45">
      <c r="A59" t="str">
        <f>IF(PNL!A59="","",PNL!A59)</f>
        <v/>
      </c>
      <c r="B59" t="str">
        <f>IF(PNL!B59="","",PNL!B59)</f>
        <v/>
      </c>
      <c r="C59" t="str">
        <f>IF(PNL!C59="","",PNL!C59)</f>
        <v/>
      </c>
      <c r="D59" t="str">
        <f>IF(PNL!D59="","",PNL!D59)</f>
        <v/>
      </c>
      <c r="E59" t="str">
        <f t="shared" si="0"/>
        <v/>
      </c>
      <c r="F59" t="str">
        <f>IF($A59="","",IF($E59=1,SUMIFS(Compta!$F$1:$F$675,Compta!$A$1:$A$675,$A59,Compta!$B$1:$B$675,$B59,Compta!$C$1:$C$675,"2026"),0))</f>
        <v/>
      </c>
      <c r="G59" t="str">
        <f t="shared" si="1"/>
        <v/>
      </c>
      <c r="H59" t="str">
        <f t="shared" si="2"/>
        <v/>
      </c>
      <c r="I59" t="str">
        <f t="shared" si="3"/>
        <v/>
      </c>
      <c r="J59" t="str">
        <f t="shared" si="4"/>
        <v/>
      </c>
      <c r="K59" t="str">
        <f t="shared" si="5"/>
        <v/>
      </c>
      <c r="L59" t="str">
        <f t="shared" si="6"/>
        <v/>
      </c>
      <c r="M59" t="str">
        <f t="shared" si="7"/>
        <v/>
      </c>
      <c r="N59" t="str">
        <f t="shared" si="8"/>
        <v/>
      </c>
      <c r="O59" t="str">
        <f t="shared" si="9"/>
        <v/>
      </c>
      <c r="P59" t="str">
        <f>IF($A59="","",IF($E59=1,$F59*$O59,PNL!G59))</f>
        <v/>
      </c>
      <c r="T59" t="str">
        <f t="shared" si="10"/>
        <v/>
      </c>
    </row>
    <row r="60" spans="1:20" x14ac:dyDescent="0.45">
      <c r="A60" t="str">
        <f>IF(PNL!A60="","",PNL!A60)</f>
        <v/>
      </c>
      <c r="B60" t="str">
        <f>IF(PNL!B60="","",PNL!B60)</f>
        <v/>
      </c>
      <c r="C60" t="str">
        <f>IF(PNL!C60="","",PNL!C60)</f>
        <v/>
      </c>
      <c r="D60" t="str">
        <f>IF(PNL!D60="","",PNL!D60)</f>
        <v/>
      </c>
      <c r="E60" t="str">
        <f t="shared" si="0"/>
        <v/>
      </c>
      <c r="F60" t="str">
        <f>IF($A60="","",IF($E60=1,SUMIFS(Compta!$F$1:$F$675,Compta!$A$1:$A$675,$A60,Compta!$B$1:$B$675,$B60,Compta!$C$1:$C$675,"2026"),0))</f>
        <v/>
      </c>
      <c r="G60" t="str">
        <f t="shared" si="1"/>
        <v/>
      </c>
      <c r="H60" t="str">
        <f t="shared" si="2"/>
        <v/>
      </c>
      <c r="I60" t="str">
        <f t="shared" si="3"/>
        <v/>
      </c>
      <c r="J60" t="str">
        <f t="shared" si="4"/>
        <v/>
      </c>
      <c r="K60" t="str">
        <f t="shared" si="5"/>
        <v/>
      </c>
      <c r="L60" t="str">
        <f t="shared" si="6"/>
        <v/>
      </c>
      <c r="M60" t="str">
        <f t="shared" si="7"/>
        <v/>
      </c>
      <c r="N60" t="str">
        <f t="shared" si="8"/>
        <v/>
      </c>
      <c r="O60" t="str">
        <f t="shared" si="9"/>
        <v/>
      </c>
      <c r="P60" t="str">
        <f>IF($A60="","",IF($E60=1,$F60*$O60,PNL!G60))</f>
        <v/>
      </c>
      <c r="T60" t="str">
        <f t="shared" si="10"/>
        <v/>
      </c>
    </row>
    <row r="61" spans="1:20" x14ac:dyDescent="0.45">
      <c r="A61" t="str">
        <f>IF(PNL!A61="","",PNL!A61)</f>
        <v/>
      </c>
      <c r="B61" t="str">
        <f>IF(PNL!B61="","",PNL!B61)</f>
        <v/>
      </c>
      <c r="C61" t="str">
        <f>IF(PNL!C61="","",PNL!C61)</f>
        <v/>
      </c>
      <c r="D61" t="str">
        <f>IF(PNL!D61="","",PNL!D61)</f>
        <v/>
      </c>
      <c r="E61" t="str">
        <f t="shared" si="0"/>
        <v/>
      </c>
      <c r="F61" t="str">
        <f>IF($A61="","",IF($E61=1,SUMIFS(Compta!$F$1:$F$675,Compta!$A$1:$A$675,$A61,Compta!$B$1:$B$675,$B61,Compta!$C$1:$C$675,"2026"),0))</f>
        <v/>
      </c>
      <c r="G61" t="str">
        <f t="shared" si="1"/>
        <v/>
      </c>
      <c r="H61" t="str">
        <f t="shared" si="2"/>
        <v/>
      </c>
      <c r="I61" t="str">
        <f t="shared" si="3"/>
        <v/>
      </c>
      <c r="J61" t="str">
        <f t="shared" si="4"/>
        <v/>
      </c>
      <c r="K61" t="str">
        <f t="shared" si="5"/>
        <v/>
      </c>
      <c r="L61" t="str">
        <f t="shared" si="6"/>
        <v/>
      </c>
      <c r="M61" t="str">
        <f t="shared" si="7"/>
        <v/>
      </c>
      <c r="N61" t="str">
        <f t="shared" si="8"/>
        <v/>
      </c>
      <c r="O61" t="str">
        <f t="shared" si="9"/>
        <v/>
      </c>
      <c r="P61" t="str">
        <f>IF($A61="","",IF($E61=1,$F61*$O61,PNL!G61))</f>
        <v/>
      </c>
      <c r="T61" t="str">
        <f t="shared" si="10"/>
        <v/>
      </c>
    </row>
    <row r="62" spans="1:20" x14ac:dyDescent="0.45">
      <c r="A62" t="str">
        <f>IF(PNL!A62="","",PNL!A62)</f>
        <v/>
      </c>
      <c r="B62" t="str">
        <f>IF(PNL!B62="","",PNL!B62)</f>
        <v/>
      </c>
      <c r="C62" t="str">
        <f>IF(PNL!C62="","",PNL!C62)</f>
        <v/>
      </c>
      <c r="D62" t="str">
        <f>IF(PNL!D62="","",PNL!D62)</f>
        <v/>
      </c>
      <c r="E62" t="str">
        <f t="shared" si="0"/>
        <v/>
      </c>
      <c r="F62" t="str">
        <f>IF($A62="","",IF($E62=1,SUMIFS(Compta!$F$1:$F$675,Compta!$A$1:$A$675,$A62,Compta!$B$1:$B$675,$B62,Compta!$C$1:$C$675,"2026"),0))</f>
        <v/>
      </c>
      <c r="G62" t="str">
        <f t="shared" si="1"/>
        <v/>
      </c>
      <c r="H62" t="str">
        <f t="shared" si="2"/>
        <v/>
      </c>
      <c r="I62" t="str">
        <f t="shared" si="3"/>
        <v/>
      </c>
      <c r="J62" t="str">
        <f t="shared" si="4"/>
        <v/>
      </c>
      <c r="K62" t="str">
        <f t="shared" si="5"/>
        <v/>
      </c>
      <c r="L62" t="str">
        <f t="shared" si="6"/>
        <v/>
      </c>
      <c r="M62" t="str">
        <f t="shared" si="7"/>
        <v/>
      </c>
      <c r="N62" t="str">
        <f t="shared" si="8"/>
        <v/>
      </c>
      <c r="O62" t="str">
        <f t="shared" si="9"/>
        <v/>
      </c>
      <c r="P62" t="str">
        <f>IF($A62="","",IF($E62=1,$F62*$O62,PNL!G62))</f>
        <v/>
      </c>
      <c r="T62" t="str">
        <f t="shared" si="10"/>
        <v/>
      </c>
    </row>
    <row r="63" spans="1:20" x14ac:dyDescent="0.45">
      <c r="A63" t="str">
        <f>IF(PNL!A63="","",PNL!A63)</f>
        <v/>
      </c>
      <c r="B63" t="str">
        <f>IF(PNL!B63="","",PNL!B63)</f>
        <v/>
      </c>
      <c r="C63" t="str">
        <f>IF(PNL!C63="","",PNL!C63)</f>
        <v/>
      </c>
      <c r="D63" t="str">
        <f>IF(PNL!D63="","",PNL!D63)</f>
        <v/>
      </c>
      <c r="E63" t="str">
        <f t="shared" si="0"/>
        <v/>
      </c>
      <c r="F63" t="str">
        <f>IF($A63="","",IF($E63=1,SUMIFS(Compta!$F$1:$F$675,Compta!$A$1:$A$675,$A63,Compta!$B$1:$B$675,$B63,Compta!$C$1:$C$675,"2026"),0))</f>
        <v/>
      </c>
      <c r="G63" t="str">
        <f t="shared" si="1"/>
        <v/>
      </c>
      <c r="H63" t="str">
        <f t="shared" si="2"/>
        <v/>
      </c>
      <c r="I63" t="str">
        <f t="shared" si="3"/>
        <v/>
      </c>
      <c r="J63" t="str">
        <f t="shared" si="4"/>
        <v/>
      </c>
      <c r="K63" t="str">
        <f t="shared" si="5"/>
        <v/>
      </c>
      <c r="L63" t="str">
        <f t="shared" si="6"/>
        <v/>
      </c>
      <c r="M63" t="str">
        <f t="shared" si="7"/>
        <v/>
      </c>
      <c r="N63" t="str">
        <f t="shared" si="8"/>
        <v/>
      </c>
      <c r="O63" t="str">
        <f t="shared" si="9"/>
        <v/>
      </c>
      <c r="P63" t="str">
        <f>IF($A63="","",IF($E63=1,$F63*$O63,PNL!G63))</f>
        <v/>
      </c>
      <c r="T63" t="str">
        <f t="shared" si="10"/>
        <v/>
      </c>
    </row>
    <row r="64" spans="1:20" x14ac:dyDescent="0.45">
      <c r="A64" t="str">
        <f>IF(PNL!A64="","",PNL!A64)</f>
        <v/>
      </c>
      <c r="B64" t="str">
        <f>IF(PNL!B64="","",PNL!B64)</f>
        <v/>
      </c>
      <c r="C64" t="str">
        <f>IF(PNL!C64="","",PNL!C64)</f>
        <v/>
      </c>
      <c r="D64" t="str">
        <f>IF(PNL!D64="","",PNL!D64)</f>
        <v/>
      </c>
      <c r="E64" t="str">
        <f t="shared" si="0"/>
        <v/>
      </c>
      <c r="F64" t="str">
        <f>IF($A64="","",IF($E64=1,SUMIFS(Compta!$F$1:$F$675,Compta!$A$1:$A$675,$A64,Compta!$B$1:$B$675,$B64,Compta!$C$1:$C$675,"2026"),0))</f>
        <v/>
      </c>
      <c r="G64" t="str">
        <f t="shared" si="1"/>
        <v/>
      </c>
      <c r="H64" t="str">
        <f t="shared" si="2"/>
        <v/>
      </c>
      <c r="I64" t="str">
        <f t="shared" si="3"/>
        <v/>
      </c>
      <c r="J64" t="str">
        <f t="shared" si="4"/>
        <v/>
      </c>
      <c r="K64" t="str">
        <f t="shared" si="5"/>
        <v/>
      </c>
      <c r="L64" t="str">
        <f t="shared" si="6"/>
        <v/>
      </c>
      <c r="M64" t="str">
        <f t="shared" si="7"/>
        <v/>
      </c>
      <c r="N64" t="str">
        <f t="shared" si="8"/>
        <v/>
      </c>
      <c r="O64" t="str">
        <f t="shared" si="9"/>
        <v/>
      </c>
      <c r="P64" t="str">
        <f>IF($A64="","",IF($E64=1,$F64*$O64,PNL!G64))</f>
        <v/>
      </c>
      <c r="T64" t="str">
        <f t="shared" si="10"/>
        <v/>
      </c>
    </row>
    <row r="65" spans="1:20" x14ac:dyDescent="0.45">
      <c r="A65" t="str">
        <f>IF(PNL!A65="","",PNL!A65)</f>
        <v/>
      </c>
      <c r="B65" t="str">
        <f>IF(PNL!B65="","",PNL!B65)</f>
        <v/>
      </c>
      <c r="C65" t="str">
        <f>IF(PNL!C65="","",PNL!C65)</f>
        <v/>
      </c>
      <c r="D65" t="str">
        <f>IF(PNL!D65="","",PNL!D65)</f>
        <v/>
      </c>
      <c r="E65" t="str">
        <f t="shared" si="0"/>
        <v/>
      </c>
      <c r="F65" t="str">
        <f>IF($A65="","",IF($E65=1,SUMIFS(Compta!$F$1:$F$675,Compta!$A$1:$A$675,$A65,Compta!$B$1:$B$675,$B65,Compta!$C$1:$C$675,"2026"),0))</f>
        <v/>
      </c>
      <c r="G65" t="str">
        <f t="shared" si="1"/>
        <v/>
      </c>
      <c r="H65" t="str">
        <f t="shared" si="2"/>
        <v/>
      </c>
      <c r="I65" t="str">
        <f t="shared" si="3"/>
        <v/>
      </c>
      <c r="J65" t="str">
        <f t="shared" si="4"/>
        <v/>
      </c>
      <c r="K65" t="str">
        <f t="shared" si="5"/>
        <v/>
      </c>
      <c r="L65" t="str">
        <f t="shared" si="6"/>
        <v/>
      </c>
      <c r="M65" t="str">
        <f t="shared" si="7"/>
        <v/>
      </c>
      <c r="N65" t="str">
        <f t="shared" si="8"/>
        <v/>
      </c>
      <c r="O65" t="str">
        <f t="shared" si="9"/>
        <v/>
      </c>
      <c r="P65" t="str">
        <f>IF($A65="","",IF($E65=1,$F65*$O65,PNL!G65))</f>
        <v/>
      </c>
      <c r="T65" t="str">
        <f t="shared" si="10"/>
        <v/>
      </c>
    </row>
    <row r="66" spans="1:20" x14ac:dyDescent="0.45">
      <c r="A66" t="str">
        <f>IF(PNL!A66="","",PNL!A66)</f>
        <v/>
      </c>
      <c r="B66" t="str">
        <f>IF(PNL!B66="","",PNL!B66)</f>
        <v/>
      </c>
      <c r="C66" t="str">
        <f>IF(PNL!C66="","",PNL!C66)</f>
        <v/>
      </c>
      <c r="D66" t="str">
        <f>IF(PNL!D66="","",PNL!D66)</f>
        <v/>
      </c>
      <c r="E66" t="str">
        <f t="shared" ref="E66:E129" si="11">IF($A66="","",IF(AND($C66="2027",OR($D66="V01",$D66="V02",$D66="V03")),1,0))</f>
        <v/>
      </c>
      <c r="F66" t="str">
        <f>IF($A66="","",IF($E66=1,SUMIFS(Compta!$F$1:$F$675,Compta!$A$1:$A$675,$A66,Compta!$B$1:$B$675,$B66,Compta!$C$1:$C$675,"2026"),0))</f>
        <v/>
      </c>
      <c r="G66" t="str">
        <f t="shared" ref="G66:G129" si="12">IF($A66="","",IF($D66="V01",cad!$C$23,IF($D66="V02",cad!$D$23,cad!$E$23)))</f>
        <v/>
      </c>
      <c r="H66" t="str">
        <f t="shared" ref="H66:H129" si="13">IF($A66="","",IF($D66="V01",cad!$C$24,IF($D66="V02",cad!$D$24,cad!$E$24)))</f>
        <v/>
      </c>
      <c r="I66" t="str">
        <f t="shared" ref="I66:I129" si="14">IF($A66="","",IF($D66="V01",cad!$C$32,IF($D66="V02",cad!$D$32,cad!$E$32)))</f>
        <v/>
      </c>
      <c r="J66" t="str">
        <f t="shared" ref="J66:J129" si="15">IF($A66="","",IF($D66="V01",cad!$C$33,IF($D66="V02",cad!$D$33,cad!$E$33)))</f>
        <v/>
      </c>
      <c r="K66" t="str">
        <f t="shared" ref="K66:K129" si="16">IF($A66="","",IF($D66="V01",cad!$C$34,IF($D66="V02",cad!$D$34,cad!$E$34)))</f>
        <v/>
      </c>
      <c r="L66" t="str">
        <f t="shared" ref="L66:L129" si="17">IF($A66="","",IF($D66="V01",cad!$C$35,IF($D66="V02",cad!$D$35,cad!$E$35)))</f>
        <v/>
      </c>
      <c r="M66" t="str">
        <f t="shared" ref="M66:M129" si="18">IF($A66="","",IF($D66="V01",cad!$C$36,IF($D66="V02",cad!$D$36,cad!$E$36)))</f>
        <v/>
      </c>
      <c r="N66" t="str">
        <f t="shared" ref="N66:N129" si="19">IF($A66="","",IF($D66="V01",$R$2,IF($D66="V02",$R$3,$R$4)))</f>
        <v/>
      </c>
      <c r="O66" t="str">
        <f t="shared" ref="O66:O129" si="20">IF($A66="","",IF(OR($B66="7062",$B66="706",$B66="708"),$N66,IF($B66="6231",1+$G66,IF($B66="6236",1+$H66,IF(OR($B66="621",$B66="604",$B66="6063"),$N66*(1-$L66),IF(OR($B66="6411",$B66="6413",$B66="6414",$B66="645"),(1+$J66)*(1+$K66),IF(OR($B66="613",$B66="615",$B66="616",$B66="6226",$B66="625",$B66="626",$B66="6281"),(1+$I66)*(1-$L66)*(1+$M66),IF(OR($B66="6331",$B66="63511",$B66="6333"),(1+$I66)*(1-$L66),IF($B66="6811",1+$I66,1)))))))))</f>
        <v/>
      </c>
      <c r="P66" t="str">
        <f>IF($A66="","",IF($E66=1,$F66*$O66,PNL!G66))</f>
        <v/>
      </c>
      <c r="T66" t="str">
        <f t="shared" ref="T66:T129" si="21">IF($A66="","",IF($E66=1,IF(OR($B66="7062",$B66="706",$B66="708"),$P66,IF(AND(LEFT($B66,1)="6",$B66&lt;&gt;"6811"),-$P66,0)),0))</f>
        <v/>
      </c>
    </row>
    <row r="67" spans="1:20" x14ac:dyDescent="0.45">
      <c r="A67" t="str">
        <f>IF(PNL!A67="","",PNL!A67)</f>
        <v/>
      </c>
      <c r="B67" t="str">
        <f>IF(PNL!B67="","",PNL!B67)</f>
        <v/>
      </c>
      <c r="C67" t="str">
        <f>IF(PNL!C67="","",PNL!C67)</f>
        <v/>
      </c>
      <c r="D67" t="str">
        <f>IF(PNL!D67="","",PNL!D67)</f>
        <v/>
      </c>
      <c r="E67" t="str">
        <f t="shared" si="11"/>
        <v/>
      </c>
      <c r="F67" t="str">
        <f>IF($A67="","",IF($E67=1,SUMIFS(Compta!$F$1:$F$675,Compta!$A$1:$A$675,$A67,Compta!$B$1:$B$675,$B67,Compta!$C$1:$C$675,"2026"),0))</f>
        <v/>
      </c>
      <c r="G67" t="str">
        <f t="shared" si="12"/>
        <v/>
      </c>
      <c r="H67" t="str">
        <f t="shared" si="13"/>
        <v/>
      </c>
      <c r="I67" t="str">
        <f t="shared" si="14"/>
        <v/>
      </c>
      <c r="J67" t="str">
        <f t="shared" si="15"/>
        <v/>
      </c>
      <c r="K67" t="str">
        <f t="shared" si="16"/>
        <v/>
      </c>
      <c r="L67" t="str">
        <f t="shared" si="17"/>
        <v/>
      </c>
      <c r="M67" t="str">
        <f t="shared" si="18"/>
        <v/>
      </c>
      <c r="N67" t="str">
        <f t="shared" si="19"/>
        <v/>
      </c>
      <c r="O67" t="str">
        <f t="shared" si="20"/>
        <v/>
      </c>
      <c r="P67" t="str">
        <f>IF($A67="","",IF($E67=1,$F67*$O67,PNL!G67))</f>
        <v/>
      </c>
      <c r="T67" t="str">
        <f t="shared" si="21"/>
        <v/>
      </c>
    </row>
    <row r="68" spans="1:20" x14ac:dyDescent="0.45">
      <c r="A68" t="str">
        <f>IF(PNL!A68="","",PNL!A68)</f>
        <v/>
      </c>
      <c r="B68" t="str">
        <f>IF(PNL!B68="","",PNL!B68)</f>
        <v/>
      </c>
      <c r="C68" t="str">
        <f>IF(PNL!C68="","",PNL!C68)</f>
        <v/>
      </c>
      <c r="D68" t="str">
        <f>IF(PNL!D68="","",PNL!D68)</f>
        <v/>
      </c>
      <c r="E68" t="str">
        <f t="shared" si="11"/>
        <v/>
      </c>
      <c r="F68" t="str">
        <f>IF($A68="","",IF($E68=1,SUMIFS(Compta!$F$1:$F$675,Compta!$A$1:$A$675,$A68,Compta!$B$1:$B$675,$B68,Compta!$C$1:$C$675,"2026"),0))</f>
        <v/>
      </c>
      <c r="G68" t="str">
        <f t="shared" si="12"/>
        <v/>
      </c>
      <c r="H68" t="str">
        <f t="shared" si="13"/>
        <v/>
      </c>
      <c r="I68" t="str">
        <f t="shared" si="14"/>
        <v/>
      </c>
      <c r="J68" t="str">
        <f t="shared" si="15"/>
        <v/>
      </c>
      <c r="K68" t="str">
        <f t="shared" si="16"/>
        <v/>
      </c>
      <c r="L68" t="str">
        <f t="shared" si="17"/>
        <v/>
      </c>
      <c r="M68" t="str">
        <f t="shared" si="18"/>
        <v/>
      </c>
      <c r="N68" t="str">
        <f t="shared" si="19"/>
        <v/>
      </c>
      <c r="O68" t="str">
        <f t="shared" si="20"/>
        <v/>
      </c>
      <c r="P68" t="str">
        <f>IF($A68="","",IF($E68=1,$F68*$O68,PNL!G68))</f>
        <v/>
      </c>
      <c r="T68" t="str">
        <f t="shared" si="21"/>
        <v/>
      </c>
    </row>
    <row r="69" spans="1:20" x14ac:dyDescent="0.45">
      <c r="A69" t="str">
        <f>IF(PNL!A69="","",PNL!A69)</f>
        <v/>
      </c>
      <c r="B69" t="str">
        <f>IF(PNL!B69="","",PNL!B69)</f>
        <v/>
      </c>
      <c r="C69" t="str">
        <f>IF(PNL!C69="","",PNL!C69)</f>
        <v/>
      </c>
      <c r="D69" t="str">
        <f>IF(PNL!D69="","",PNL!D69)</f>
        <v/>
      </c>
      <c r="E69" t="str">
        <f t="shared" si="11"/>
        <v/>
      </c>
      <c r="F69" t="str">
        <f>IF($A69="","",IF($E69=1,SUMIFS(Compta!$F$1:$F$675,Compta!$A$1:$A$675,$A69,Compta!$B$1:$B$675,$B69,Compta!$C$1:$C$675,"2026"),0))</f>
        <v/>
      </c>
      <c r="G69" t="str">
        <f t="shared" si="12"/>
        <v/>
      </c>
      <c r="H69" t="str">
        <f t="shared" si="13"/>
        <v/>
      </c>
      <c r="I69" t="str">
        <f t="shared" si="14"/>
        <v/>
      </c>
      <c r="J69" t="str">
        <f t="shared" si="15"/>
        <v/>
      </c>
      <c r="K69" t="str">
        <f t="shared" si="16"/>
        <v/>
      </c>
      <c r="L69" t="str">
        <f t="shared" si="17"/>
        <v/>
      </c>
      <c r="M69" t="str">
        <f t="shared" si="18"/>
        <v/>
      </c>
      <c r="N69" t="str">
        <f t="shared" si="19"/>
        <v/>
      </c>
      <c r="O69" t="str">
        <f t="shared" si="20"/>
        <v/>
      </c>
      <c r="P69" t="str">
        <f>IF($A69="","",IF($E69=1,$F69*$O69,PNL!G69))</f>
        <v/>
      </c>
      <c r="T69" t="str">
        <f t="shared" si="21"/>
        <v/>
      </c>
    </row>
    <row r="70" spans="1:20" x14ac:dyDescent="0.45">
      <c r="A70" t="str">
        <f>IF(PNL!A70="","",PNL!A70)</f>
        <v/>
      </c>
      <c r="B70" t="str">
        <f>IF(PNL!B70="","",PNL!B70)</f>
        <v/>
      </c>
      <c r="C70" t="str">
        <f>IF(PNL!C70="","",PNL!C70)</f>
        <v/>
      </c>
      <c r="D70" t="str">
        <f>IF(PNL!D70="","",PNL!D70)</f>
        <v/>
      </c>
      <c r="E70" t="str">
        <f t="shared" si="11"/>
        <v/>
      </c>
      <c r="F70" t="str">
        <f>IF($A70="","",IF($E70=1,SUMIFS(Compta!$F$1:$F$675,Compta!$A$1:$A$675,$A70,Compta!$B$1:$B$675,$B70,Compta!$C$1:$C$675,"2026"),0))</f>
        <v/>
      </c>
      <c r="G70" t="str">
        <f t="shared" si="12"/>
        <v/>
      </c>
      <c r="H70" t="str">
        <f t="shared" si="13"/>
        <v/>
      </c>
      <c r="I70" t="str">
        <f t="shared" si="14"/>
        <v/>
      </c>
      <c r="J70" t="str">
        <f t="shared" si="15"/>
        <v/>
      </c>
      <c r="K70" t="str">
        <f t="shared" si="16"/>
        <v/>
      </c>
      <c r="L70" t="str">
        <f t="shared" si="17"/>
        <v/>
      </c>
      <c r="M70" t="str">
        <f t="shared" si="18"/>
        <v/>
      </c>
      <c r="N70" t="str">
        <f t="shared" si="19"/>
        <v/>
      </c>
      <c r="O70" t="str">
        <f t="shared" si="20"/>
        <v/>
      </c>
      <c r="P70" t="str">
        <f>IF($A70="","",IF($E70=1,$F70*$O70,PNL!G70))</f>
        <v/>
      </c>
      <c r="T70" t="str">
        <f t="shared" si="21"/>
        <v/>
      </c>
    </row>
    <row r="71" spans="1:20" x14ac:dyDescent="0.45">
      <c r="A71" t="str">
        <f>IF(PNL!A71="","",PNL!A71)</f>
        <v/>
      </c>
      <c r="B71" t="str">
        <f>IF(PNL!B71="","",PNL!B71)</f>
        <v/>
      </c>
      <c r="C71" t="str">
        <f>IF(PNL!C71="","",PNL!C71)</f>
        <v/>
      </c>
      <c r="D71" t="str">
        <f>IF(PNL!D71="","",PNL!D71)</f>
        <v/>
      </c>
      <c r="E71" t="str">
        <f t="shared" si="11"/>
        <v/>
      </c>
      <c r="F71" t="str">
        <f>IF($A71="","",IF($E71=1,SUMIFS(Compta!$F$1:$F$675,Compta!$A$1:$A$675,$A71,Compta!$B$1:$B$675,$B71,Compta!$C$1:$C$675,"2026"),0))</f>
        <v/>
      </c>
      <c r="G71" t="str">
        <f t="shared" si="12"/>
        <v/>
      </c>
      <c r="H71" t="str">
        <f t="shared" si="13"/>
        <v/>
      </c>
      <c r="I71" t="str">
        <f t="shared" si="14"/>
        <v/>
      </c>
      <c r="J71" t="str">
        <f t="shared" si="15"/>
        <v/>
      </c>
      <c r="K71" t="str">
        <f t="shared" si="16"/>
        <v/>
      </c>
      <c r="L71" t="str">
        <f t="shared" si="17"/>
        <v/>
      </c>
      <c r="M71" t="str">
        <f t="shared" si="18"/>
        <v/>
      </c>
      <c r="N71" t="str">
        <f t="shared" si="19"/>
        <v/>
      </c>
      <c r="O71" t="str">
        <f t="shared" si="20"/>
        <v/>
      </c>
      <c r="P71" t="str">
        <f>IF($A71="","",IF($E71=1,$F71*$O71,PNL!G71))</f>
        <v/>
      </c>
      <c r="T71" t="str">
        <f t="shared" si="21"/>
        <v/>
      </c>
    </row>
    <row r="72" spans="1:20" x14ac:dyDescent="0.45">
      <c r="A72" t="str">
        <f>IF(PNL!A72="","",PNL!A72)</f>
        <v/>
      </c>
      <c r="B72" t="str">
        <f>IF(PNL!B72="","",PNL!B72)</f>
        <v/>
      </c>
      <c r="C72" t="str">
        <f>IF(PNL!C72="","",PNL!C72)</f>
        <v/>
      </c>
      <c r="D72" t="str">
        <f>IF(PNL!D72="","",PNL!D72)</f>
        <v/>
      </c>
      <c r="E72" t="str">
        <f t="shared" si="11"/>
        <v/>
      </c>
      <c r="F72" t="str">
        <f>IF($A72="","",IF($E72=1,SUMIFS(Compta!$F$1:$F$675,Compta!$A$1:$A$675,$A72,Compta!$B$1:$B$675,$B72,Compta!$C$1:$C$675,"2026"),0))</f>
        <v/>
      </c>
      <c r="G72" t="str">
        <f t="shared" si="12"/>
        <v/>
      </c>
      <c r="H72" t="str">
        <f t="shared" si="13"/>
        <v/>
      </c>
      <c r="I72" t="str">
        <f t="shared" si="14"/>
        <v/>
      </c>
      <c r="J72" t="str">
        <f t="shared" si="15"/>
        <v/>
      </c>
      <c r="K72" t="str">
        <f t="shared" si="16"/>
        <v/>
      </c>
      <c r="L72" t="str">
        <f t="shared" si="17"/>
        <v/>
      </c>
      <c r="M72" t="str">
        <f t="shared" si="18"/>
        <v/>
      </c>
      <c r="N72" t="str">
        <f t="shared" si="19"/>
        <v/>
      </c>
      <c r="O72" t="str">
        <f t="shared" si="20"/>
        <v/>
      </c>
      <c r="P72" t="str">
        <f>IF($A72="","",IF($E72=1,$F72*$O72,PNL!G72))</f>
        <v/>
      </c>
      <c r="T72" t="str">
        <f t="shared" si="21"/>
        <v/>
      </c>
    </row>
    <row r="73" spans="1:20" x14ac:dyDescent="0.45">
      <c r="A73" t="str">
        <f>IF(PNL!A73="","",PNL!A73)</f>
        <v/>
      </c>
      <c r="B73" t="str">
        <f>IF(PNL!B73="","",PNL!B73)</f>
        <v/>
      </c>
      <c r="C73" t="str">
        <f>IF(PNL!C73="","",PNL!C73)</f>
        <v/>
      </c>
      <c r="D73" t="str">
        <f>IF(PNL!D73="","",PNL!D73)</f>
        <v/>
      </c>
      <c r="E73" t="str">
        <f t="shared" si="11"/>
        <v/>
      </c>
      <c r="F73" t="str">
        <f>IF($A73="","",IF($E73=1,SUMIFS(Compta!$F$1:$F$675,Compta!$A$1:$A$675,$A73,Compta!$B$1:$B$675,$B73,Compta!$C$1:$C$675,"2026"),0))</f>
        <v/>
      </c>
      <c r="G73" t="str">
        <f t="shared" si="12"/>
        <v/>
      </c>
      <c r="H73" t="str">
        <f t="shared" si="13"/>
        <v/>
      </c>
      <c r="I73" t="str">
        <f t="shared" si="14"/>
        <v/>
      </c>
      <c r="J73" t="str">
        <f t="shared" si="15"/>
        <v/>
      </c>
      <c r="K73" t="str">
        <f t="shared" si="16"/>
        <v/>
      </c>
      <c r="L73" t="str">
        <f t="shared" si="17"/>
        <v/>
      </c>
      <c r="M73" t="str">
        <f t="shared" si="18"/>
        <v/>
      </c>
      <c r="N73" t="str">
        <f t="shared" si="19"/>
        <v/>
      </c>
      <c r="O73" t="str">
        <f t="shared" si="20"/>
        <v/>
      </c>
      <c r="P73" t="str">
        <f>IF($A73="","",IF($E73=1,$F73*$O73,PNL!G73))</f>
        <v/>
      </c>
      <c r="T73" t="str">
        <f t="shared" si="21"/>
        <v/>
      </c>
    </row>
    <row r="74" spans="1:20" x14ac:dyDescent="0.45">
      <c r="A74" t="str">
        <f>IF(PNL!A74="","",PNL!A74)</f>
        <v/>
      </c>
      <c r="B74" t="str">
        <f>IF(PNL!B74="","",PNL!B74)</f>
        <v/>
      </c>
      <c r="C74" t="str">
        <f>IF(PNL!C74="","",PNL!C74)</f>
        <v/>
      </c>
      <c r="D74" t="str">
        <f>IF(PNL!D74="","",PNL!D74)</f>
        <v/>
      </c>
      <c r="E74" t="str">
        <f t="shared" si="11"/>
        <v/>
      </c>
      <c r="F74" t="str">
        <f>IF($A74="","",IF($E74=1,SUMIFS(Compta!$F$1:$F$675,Compta!$A$1:$A$675,$A74,Compta!$B$1:$B$675,$B74,Compta!$C$1:$C$675,"2026"),0))</f>
        <v/>
      </c>
      <c r="G74" t="str">
        <f t="shared" si="12"/>
        <v/>
      </c>
      <c r="H74" t="str">
        <f t="shared" si="13"/>
        <v/>
      </c>
      <c r="I74" t="str">
        <f t="shared" si="14"/>
        <v/>
      </c>
      <c r="J74" t="str">
        <f t="shared" si="15"/>
        <v/>
      </c>
      <c r="K74" t="str">
        <f t="shared" si="16"/>
        <v/>
      </c>
      <c r="L74" t="str">
        <f t="shared" si="17"/>
        <v/>
      </c>
      <c r="M74" t="str">
        <f t="shared" si="18"/>
        <v/>
      </c>
      <c r="N74" t="str">
        <f t="shared" si="19"/>
        <v/>
      </c>
      <c r="O74" t="str">
        <f t="shared" si="20"/>
        <v/>
      </c>
      <c r="P74" t="str">
        <f>IF($A74="","",IF($E74=1,$F74*$O74,PNL!G74))</f>
        <v/>
      </c>
      <c r="T74" t="str">
        <f t="shared" si="21"/>
        <v/>
      </c>
    </row>
    <row r="75" spans="1:20" x14ac:dyDescent="0.45">
      <c r="A75" t="str">
        <f>IF(PNL!A75="","",PNL!A75)</f>
        <v/>
      </c>
      <c r="B75" t="str">
        <f>IF(PNL!B75="","",PNL!B75)</f>
        <v/>
      </c>
      <c r="C75" t="str">
        <f>IF(PNL!C75="","",PNL!C75)</f>
        <v/>
      </c>
      <c r="D75" t="str">
        <f>IF(PNL!D75="","",PNL!D75)</f>
        <v/>
      </c>
      <c r="E75" t="str">
        <f t="shared" si="11"/>
        <v/>
      </c>
      <c r="F75" t="str">
        <f>IF($A75="","",IF($E75=1,SUMIFS(Compta!$F$1:$F$675,Compta!$A$1:$A$675,$A75,Compta!$B$1:$B$675,$B75,Compta!$C$1:$C$675,"2026"),0))</f>
        <v/>
      </c>
      <c r="G75" t="str">
        <f t="shared" si="12"/>
        <v/>
      </c>
      <c r="H75" t="str">
        <f t="shared" si="13"/>
        <v/>
      </c>
      <c r="I75" t="str">
        <f t="shared" si="14"/>
        <v/>
      </c>
      <c r="J75" t="str">
        <f t="shared" si="15"/>
        <v/>
      </c>
      <c r="K75" t="str">
        <f t="shared" si="16"/>
        <v/>
      </c>
      <c r="L75" t="str">
        <f t="shared" si="17"/>
        <v/>
      </c>
      <c r="M75" t="str">
        <f t="shared" si="18"/>
        <v/>
      </c>
      <c r="N75" t="str">
        <f t="shared" si="19"/>
        <v/>
      </c>
      <c r="O75" t="str">
        <f t="shared" si="20"/>
        <v/>
      </c>
      <c r="P75" t="str">
        <f>IF($A75="","",IF($E75=1,$F75*$O75,PNL!G75))</f>
        <v/>
      </c>
      <c r="T75" t="str">
        <f t="shared" si="21"/>
        <v/>
      </c>
    </row>
    <row r="76" spans="1:20" x14ac:dyDescent="0.45">
      <c r="A76" t="str">
        <f>IF(PNL!A76="","",PNL!A76)</f>
        <v/>
      </c>
      <c r="B76" t="str">
        <f>IF(PNL!B76="","",PNL!B76)</f>
        <v/>
      </c>
      <c r="C76" t="str">
        <f>IF(PNL!C76="","",PNL!C76)</f>
        <v/>
      </c>
      <c r="D76" t="str">
        <f>IF(PNL!D76="","",PNL!D76)</f>
        <v/>
      </c>
      <c r="E76" t="str">
        <f t="shared" si="11"/>
        <v/>
      </c>
      <c r="F76" t="str">
        <f>IF($A76="","",IF($E76=1,SUMIFS(Compta!$F$1:$F$675,Compta!$A$1:$A$675,$A76,Compta!$B$1:$B$675,$B76,Compta!$C$1:$C$675,"2026"),0))</f>
        <v/>
      </c>
      <c r="G76" t="str">
        <f t="shared" si="12"/>
        <v/>
      </c>
      <c r="H76" t="str">
        <f t="shared" si="13"/>
        <v/>
      </c>
      <c r="I76" t="str">
        <f t="shared" si="14"/>
        <v/>
      </c>
      <c r="J76" t="str">
        <f t="shared" si="15"/>
        <v/>
      </c>
      <c r="K76" t="str">
        <f t="shared" si="16"/>
        <v/>
      </c>
      <c r="L76" t="str">
        <f t="shared" si="17"/>
        <v/>
      </c>
      <c r="M76" t="str">
        <f t="shared" si="18"/>
        <v/>
      </c>
      <c r="N76" t="str">
        <f t="shared" si="19"/>
        <v/>
      </c>
      <c r="O76" t="str">
        <f t="shared" si="20"/>
        <v/>
      </c>
      <c r="P76" t="str">
        <f>IF($A76="","",IF($E76=1,$F76*$O76,PNL!G76))</f>
        <v/>
      </c>
      <c r="T76" t="str">
        <f t="shared" si="21"/>
        <v/>
      </c>
    </row>
    <row r="77" spans="1:20" x14ac:dyDescent="0.45">
      <c r="A77" t="str">
        <f>IF(PNL!A77="","",PNL!A77)</f>
        <v/>
      </c>
      <c r="B77" t="str">
        <f>IF(PNL!B77="","",PNL!B77)</f>
        <v/>
      </c>
      <c r="C77" t="str">
        <f>IF(PNL!C77="","",PNL!C77)</f>
        <v/>
      </c>
      <c r="D77" t="str">
        <f>IF(PNL!D77="","",PNL!D77)</f>
        <v/>
      </c>
      <c r="E77" t="str">
        <f t="shared" si="11"/>
        <v/>
      </c>
      <c r="F77" t="str">
        <f>IF($A77="","",IF($E77=1,SUMIFS(Compta!$F$1:$F$675,Compta!$A$1:$A$675,$A77,Compta!$B$1:$B$675,$B77,Compta!$C$1:$C$675,"2026"),0))</f>
        <v/>
      </c>
      <c r="G77" t="str">
        <f t="shared" si="12"/>
        <v/>
      </c>
      <c r="H77" t="str">
        <f t="shared" si="13"/>
        <v/>
      </c>
      <c r="I77" t="str">
        <f t="shared" si="14"/>
        <v/>
      </c>
      <c r="J77" t="str">
        <f t="shared" si="15"/>
        <v/>
      </c>
      <c r="K77" t="str">
        <f t="shared" si="16"/>
        <v/>
      </c>
      <c r="L77" t="str">
        <f t="shared" si="17"/>
        <v/>
      </c>
      <c r="M77" t="str">
        <f t="shared" si="18"/>
        <v/>
      </c>
      <c r="N77" t="str">
        <f t="shared" si="19"/>
        <v/>
      </c>
      <c r="O77" t="str">
        <f t="shared" si="20"/>
        <v/>
      </c>
      <c r="P77" t="str">
        <f>IF($A77="","",IF($E77=1,$F77*$O77,PNL!G77))</f>
        <v/>
      </c>
      <c r="T77" t="str">
        <f t="shared" si="21"/>
        <v/>
      </c>
    </row>
    <row r="78" spans="1:20" x14ac:dyDescent="0.45">
      <c r="A78" t="str">
        <f>IF(PNL!A78="","",PNL!A78)</f>
        <v/>
      </c>
      <c r="B78" t="str">
        <f>IF(PNL!B78="","",PNL!B78)</f>
        <v/>
      </c>
      <c r="C78" t="str">
        <f>IF(PNL!C78="","",PNL!C78)</f>
        <v/>
      </c>
      <c r="D78" t="str">
        <f>IF(PNL!D78="","",PNL!D78)</f>
        <v/>
      </c>
      <c r="E78" t="str">
        <f t="shared" si="11"/>
        <v/>
      </c>
      <c r="F78" t="str">
        <f>IF($A78="","",IF($E78=1,SUMIFS(Compta!$F$1:$F$675,Compta!$A$1:$A$675,$A78,Compta!$B$1:$B$675,$B78,Compta!$C$1:$C$675,"2026"),0))</f>
        <v/>
      </c>
      <c r="G78" t="str">
        <f t="shared" si="12"/>
        <v/>
      </c>
      <c r="H78" t="str">
        <f t="shared" si="13"/>
        <v/>
      </c>
      <c r="I78" t="str">
        <f t="shared" si="14"/>
        <v/>
      </c>
      <c r="J78" t="str">
        <f t="shared" si="15"/>
        <v/>
      </c>
      <c r="K78" t="str">
        <f t="shared" si="16"/>
        <v/>
      </c>
      <c r="L78" t="str">
        <f t="shared" si="17"/>
        <v/>
      </c>
      <c r="M78" t="str">
        <f t="shared" si="18"/>
        <v/>
      </c>
      <c r="N78" t="str">
        <f t="shared" si="19"/>
        <v/>
      </c>
      <c r="O78" t="str">
        <f t="shared" si="20"/>
        <v/>
      </c>
      <c r="P78" t="str">
        <f>IF($A78="","",IF($E78=1,$F78*$O78,PNL!G78))</f>
        <v/>
      </c>
      <c r="T78" t="str">
        <f t="shared" si="21"/>
        <v/>
      </c>
    </row>
    <row r="79" spans="1:20" x14ac:dyDescent="0.45">
      <c r="A79" t="str">
        <f>IF(PNL!A79="","",PNL!A79)</f>
        <v/>
      </c>
      <c r="B79" t="str">
        <f>IF(PNL!B79="","",PNL!B79)</f>
        <v/>
      </c>
      <c r="C79" t="str">
        <f>IF(PNL!C79="","",PNL!C79)</f>
        <v/>
      </c>
      <c r="D79" t="str">
        <f>IF(PNL!D79="","",PNL!D79)</f>
        <v/>
      </c>
      <c r="E79" t="str">
        <f t="shared" si="11"/>
        <v/>
      </c>
      <c r="F79" t="str">
        <f>IF($A79="","",IF($E79=1,SUMIFS(Compta!$F$1:$F$675,Compta!$A$1:$A$675,$A79,Compta!$B$1:$B$675,$B79,Compta!$C$1:$C$675,"2026"),0))</f>
        <v/>
      </c>
      <c r="G79" t="str">
        <f t="shared" si="12"/>
        <v/>
      </c>
      <c r="H79" t="str">
        <f t="shared" si="13"/>
        <v/>
      </c>
      <c r="I79" t="str">
        <f t="shared" si="14"/>
        <v/>
      </c>
      <c r="J79" t="str">
        <f t="shared" si="15"/>
        <v/>
      </c>
      <c r="K79" t="str">
        <f t="shared" si="16"/>
        <v/>
      </c>
      <c r="L79" t="str">
        <f t="shared" si="17"/>
        <v/>
      </c>
      <c r="M79" t="str">
        <f t="shared" si="18"/>
        <v/>
      </c>
      <c r="N79" t="str">
        <f t="shared" si="19"/>
        <v/>
      </c>
      <c r="O79" t="str">
        <f t="shared" si="20"/>
        <v/>
      </c>
      <c r="P79" t="str">
        <f>IF($A79="","",IF($E79=1,$F79*$O79,PNL!G79))</f>
        <v/>
      </c>
      <c r="T79" t="str">
        <f t="shared" si="21"/>
        <v/>
      </c>
    </row>
    <row r="80" spans="1:20" x14ac:dyDescent="0.45">
      <c r="A80" t="str">
        <f>IF(PNL!A80="","",PNL!A80)</f>
        <v/>
      </c>
      <c r="B80" t="str">
        <f>IF(PNL!B80="","",PNL!B80)</f>
        <v/>
      </c>
      <c r="C80" t="str">
        <f>IF(PNL!C80="","",PNL!C80)</f>
        <v/>
      </c>
      <c r="D80" t="str">
        <f>IF(PNL!D80="","",PNL!D80)</f>
        <v/>
      </c>
      <c r="E80" t="str">
        <f t="shared" si="11"/>
        <v/>
      </c>
      <c r="F80" t="str">
        <f>IF($A80="","",IF($E80=1,SUMIFS(Compta!$F$1:$F$675,Compta!$A$1:$A$675,$A80,Compta!$B$1:$B$675,$B80,Compta!$C$1:$C$675,"2026"),0))</f>
        <v/>
      </c>
      <c r="G80" t="str">
        <f t="shared" si="12"/>
        <v/>
      </c>
      <c r="H80" t="str">
        <f t="shared" si="13"/>
        <v/>
      </c>
      <c r="I80" t="str">
        <f t="shared" si="14"/>
        <v/>
      </c>
      <c r="J80" t="str">
        <f t="shared" si="15"/>
        <v/>
      </c>
      <c r="K80" t="str">
        <f t="shared" si="16"/>
        <v/>
      </c>
      <c r="L80" t="str">
        <f t="shared" si="17"/>
        <v/>
      </c>
      <c r="M80" t="str">
        <f t="shared" si="18"/>
        <v/>
      </c>
      <c r="N80" t="str">
        <f t="shared" si="19"/>
        <v/>
      </c>
      <c r="O80" t="str">
        <f t="shared" si="20"/>
        <v/>
      </c>
      <c r="P80" t="str">
        <f>IF($A80="","",IF($E80=1,$F80*$O80,PNL!G80))</f>
        <v/>
      </c>
      <c r="T80" t="str">
        <f t="shared" si="21"/>
        <v/>
      </c>
    </row>
    <row r="81" spans="1:20" x14ac:dyDescent="0.45">
      <c r="A81" t="str">
        <f>IF(PNL!A81="","",PNL!A81)</f>
        <v/>
      </c>
      <c r="B81" t="str">
        <f>IF(PNL!B81="","",PNL!B81)</f>
        <v/>
      </c>
      <c r="C81" t="str">
        <f>IF(PNL!C81="","",PNL!C81)</f>
        <v/>
      </c>
      <c r="D81" t="str">
        <f>IF(PNL!D81="","",PNL!D81)</f>
        <v/>
      </c>
      <c r="E81" t="str">
        <f t="shared" si="11"/>
        <v/>
      </c>
      <c r="F81" t="str">
        <f>IF($A81="","",IF($E81=1,SUMIFS(Compta!$F$1:$F$675,Compta!$A$1:$A$675,$A81,Compta!$B$1:$B$675,$B81,Compta!$C$1:$C$675,"2026"),0))</f>
        <v/>
      </c>
      <c r="G81" t="str">
        <f t="shared" si="12"/>
        <v/>
      </c>
      <c r="H81" t="str">
        <f t="shared" si="13"/>
        <v/>
      </c>
      <c r="I81" t="str">
        <f t="shared" si="14"/>
        <v/>
      </c>
      <c r="J81" t="str">
        <f t="shared" si="15"/>
        <v/>
      </c>
      <c r="K81" t="str">
        <f t="shared" si="16"/>
        <v/>
      </c>
      <c r="L81" t="str">
        <f t="shared" si="17"/>
        <v/>
      </c>
      <c r="M81" t="str">
        <f t="shared" si="18"/>
        <v/>
      </c>
      <c r="N81" t="str">
        <f t="shared" si="19"/>
        <v/>
      </c>
      <c r="O81" t="str">
        <f t="shared" si="20"/>
        <v/>
      </c>
      <c r="P81" t="str">
        <f>IF($A81="","",IF($E81=1,$F81*$O81,PNL!G81))</f>
        <v/>
      </c>
      <c r="T81" t="str">
        <f t="shared" si="21"/>
        <v/>
      </c>
    </row>
    <row r="82" spans="1:20" x14ac:dyDescent="0.45">
      <c r="A82" t="str">
        <f>IF(PNL!A82="","",PNL!A82)</f>
        <v/>
      </c>
      <c r="B82" t="str">
        <f>IF(PNL!B82="","",PNL!B82)</f>
        <v/>
      </c>
      <c r="C82" t="str">
        <f>IF(PNL!C82="","",PNL!C82)</f>
        <v/>
      </c>
      <c r="D82" t="str">
        <f>IF(PNL!D82="","",PNL!D82)</f>
        <v/>
      </c>
      <c r="E82" t="str">
        <f t="shared" si="11"/>
        <v/>
      </c>
      <c r="F82" t="str">
        <f>IF($A82="","",IF($E82=1,SUMIFS(Compta!$F$1:$F$675,Compta!$A$1:$A$675,$A82,Compta!$B$1:$B$675,$B82,Compta!$C$1:$C$675,"2026"),0))</f>
        <v/>
      </c>
      <c r="G82" t="str">
        <f t="shared" si="12"/>
        <v/>
      </c>
      <c r="H82" t="str">
        <f t="shared" si="13"/>
        <v/>
      </c>
      <c r="I82" t="str">
        <f t="shared" si="14"/>
        <v/>
      </c>
      <c r="J82" t="str">
        <f t="shared" si="15"/>
        <v/>
      </c>
      <c r="K82" t="str">
        <f t="shared" si="16"/>
        <v/>
      </c>
      <c r="L82" t="str">
        <f t="shared" si="17"/>
        <v/>
      </c>
      <c r="M82" t="str">
        <f t="shared" si="18"/>
        <v/>
      </c>
      <c r="N82" t="str">
        <f t="shared" si="19"/>
        <v/>
      </c>
      <c r="O82" t="str">
        <f t="shared" si="20"/>
        <v/>
      </c>
      <c r="P82" t="str">
        <f>IF($A82="","",IF($E82=1,$F82*$O82,PNL!G82))</f>
        <v/>
      </c>
      <c r="T82" t="str">
        <f t="shared" si="21"/>
        <v/>
      </c>
    </row>
    <row r="83" spans="1:20" x14ac:dyDescent="0.45">
      <c r="A83" t="str">
        <f>IF(PNL!A83="","",PNL!A83)</f>
        <v/>
      </c>
      <c r="B83" t="str">
        <f>IF(PNL!B83="","",PNL!B83)</f>
        <v/>
      </c>
      <c r="C83" t="str">
        <f>IF(PNL!C83="","",PNL!C83)</f>
        <v/>
      </c>
      <c r="D83" t="str">
        <f>IF(PNL!D83="","",PNL!D83)</f>
        <v/>
      </c>
      <c r="E83" t="str">
        <f t="shared" si="11"/>
        <v/>
      </c>
      <c r="F83" t="str">
        <f>IF($A83="","",IF($E83=1,SUMIFS(Compta!$F$1:$F$675,Compta!$A$1:$A$675,$A83,Compta!$B$1:$B$675,$B83,Compta!$C$1:$C$675,"2026"),0))</f>
        <v/>
      </c>
      <c r="G83" t="str">
        <f t="shared" si="12"/>
        <v/>
      </c>
      <c r="H83" t="str">
        <f t="shared" si="13"/>
        <v/>
      </c>
      <c r="I83" t="str">
        <f t="shared" si="14"/>
        <v/>
      </c>
      <c r="J83" t="str">
        <f t="shared" si="15"/>
        <v/>
      </c>
      <c r="K83" t="str">
        <f t="shared" si="16"/>
        <v/>
      </c>
      <c r="L83" t="str">
        <f t="shared" si="17"/>
        <v/>
      </c>
      <c r="M83" t="str">
        <f t="shared" si="18"/>
        <v/>
      </c>
      <c r="N83" t="str">
        <f t="shared" si="19"/>
        <v/>
      </c>
      <c r="O83" t="str">
        <f t="shared" si="20"/>
        <v/>
      </c>
      <c r="P83" t="str">
        <f>IF($A83="","",IF($E83=1,$F83*$O83,PNL!G83))</f>
        <v/>
      </c>
      <c r="T83" t="str">
        <f t="shared" si="21"/>
        <v/>
      </c>
    </row>
    <row r="84" spans="1:20" x14ac:dyDescent="0.45">
      <c r="A84" t="str">
        <f>IF(PNL!A84="","",PNL!A84)</f>
        <v/>
      </c>
      <c r="B84" t="str">
        <f>IF(PNL!B84="","",PNL!B84)</f>
        <v/>
      </c>
      <c r="C84" t="str">
        <f>IF(PNL!C84="","",PNL!C84)</f>
        <v/>
      </c>
      <c r="D84" t="str">
        <f>IF(PNL!D84="","",PNL!D84)</f>
        <v/>
      </c>
      <c r="E84" t="str">
        <f t="shared" si="11"/>
        <v/>
      </c>
      <c r="F84" t="str">
        <f>IF($A84="","",IF($E84=1,SUMIFS(Compta!$F$1:$F$675,Compta!$A$1:$A$675,$A84,Compta!$B$1:$B$675,$B84,Compta!$C$1:$C$675,"2026"),0))</f>
        <v/>
      </c>
      <c r="G84" t="str">
        <f t="shared" si="12"/>
        <v/>
      </c>
      <c r="H84" t="str">
        <f t="shared" si="13"/>
        <v/>
      </c>
      <c r="I84" t="str">
        <f t="shared" si="14"/>
        <v/>
      </c>
      <c r="J84" t="str">
        <f t="shared" si="15"/>
        <v/>
      </c>
      <c r="K84" t="str">
        <f t="shared" si="16"/>
        <v/>
      </c>
      <c r="L84" t="str">
        <f t="shared" si="17"/>
        <v/>
      </c>
      <c r="M84" t="str">
        <f t="shared" si="18"/>
        <v/>
      </c>
      <c r="N84" t="str">
        <f t="shared" si="19"/>
        <v/>
      </c>
      <c r="O84" t="str">
        <f t="shared" si="20"/>
        <v/>
      </c>
      <c r="P84" t="str">
        <f>IF($A84="","",IF($E84=1,$F84*$O84,PNL!G84))</f>
        <v/>
      </c>
      <c r="T84" t="str">
        <f t="shared" si="21"/>
        <v/>
      </c>
    </row>
    <row r="85" spans="1:20" x14ac:dyDescent="0.45">
      <c r="A85" t="str">
        <f>IF(PNL!A85="","",PNL!A85)</f>
        <v/>
      </c>
      <c r="B85" t="str">
        <f>IF(PNL!B85="","",PNL!B85)</f>
        <v/>
      </c>
      <c r="C85" t="str">
        <f>IF(PNL!C85="","",PNL!C85)</f>
        <v/>
      </c>
      <c r="D85" t="str">
        <f>IF(PNL!D85="","",PNL!D85)</f>
        <v/>
      </c>
      <c r="E85" t="str">
        <f t="shared" si="11"/>
        <v/>
      </c>
      <c r="F85" t="str">
        <f>IF($A85="","",IF($E85=1,SUMIFS(Compta!$F$1:$F$675,Compta!$A$1:$A$675,$A85,Compta!$B$1:$B$675,$B85,Compta!$C$1:$C$675,"2026"),0))</f>
        <v/>
      </c>
      <c r="G85" t="str">
        <f t="shared" si="12"/>
        <v/>
      </c>
      <c r="H85" t="str">
        <f t="shared" si="13"/>
        <v/>
      </c>
      <c r="I85" t="str">
        <f t="shared" si="14"/>
        <v/>
      </c>
      <c r="J85" t="str">
        <f t="shared" si="15"/>
        <v/>
      </c>
      <c r="K85" t="str">
        <f t="shared" si="16"/>
        <v/>
      </c>
      <c r="L85" t="str">
        <f t="shared" si="17"/>
        <v/>
      </c>
      <c r="M85" t="str">
        <f t="shared" si="18"/>
        <v/>
      </c>
      <c r="N85" t="str">
        <f t="shared" si="19"/>
        <v/>
      </c>
      <c r="O85" t="str">
        <f t="shared" si="20"/>
        <v/>
      </c>
      <c r="P85" t="str">
        <f>IF($A85="","",IF($E85=1,$F85*$O85,PNL!G85))</f>
        <v/>
      </c>
      <c r="T85" t="str">
        <f t="shared" si="21"/>
        <v/>
      </c>
    </row>
    <row r="86" spans="1:20" x14ac:dyDescent="0.45">
      <c r="A86" t="str">
        <f>IF(PNL!A86="","",PNL!A86)</f>
        <v/>
      </c>
      <c r="B86" t="str">
        <f>IF(PNL!B86="","",PNL!B86)</f>
        <v/>
      </c>
      <c r="C86" t="str">
        <f>IF(PNL!C86="","",PNL!C86)</f>
        <v/>
      </c>
      <c r="D86" t="str">
        <f>IF(PNL!D86="","",PNL!D86)</f>
        <v/>
      </c>
      <c r="E86" t="str">
        <f t="shared" si="11"/>
        <v/>
      </c>
      <c r="F86" t="str">
        <f>IF($A86="","",IF($E86=1,SUMIFS(Compta!$F$1:$F$675,Compta!$A$1:$A$675,$A86,Compta!$B$1:$B$675,$B86,Compta!$C$1:$C$675,"2026"),0))</f>
        <v/>
      </c>
      <c r="G86" t="str">
        <f t="shared" si="12"/>
        <v/>
      </c>
      <c r="H86" t="str">
        <f t="shared" si="13"/>
        <v/>
      </c>
      <c r="I86" t="str">
        <f t="shared" si="14"/>
        <v/>
      </c>
      <c r="J86" t="str">
        <f t="shared" si="15"/>
        <v/>
      </c>
      <c r="K86" t="str">
        <f t="shared" si="16"/>
        <v/>
      </c>
      <c r="L86" t="str">
        <f t="shared" si="17"/>
        <v/>
      </c>
      <c r="M86" t="str">
        <f t="shared" si="18"/>
        <v/>
      </c>
      <c r="N86" t="str">
        <f t="shared" si="19"/>
        <v/>
      </c>
      <c r="O86" t="str">
        <f t="shared" si="20"/>
        <v/>
      </c>
      <c r="P86" t="str">
        <f>IF($A86="","",IF($E86=1,$F86*$O86,PNL!G86))</f>
        <v/>
      </c>
      <c r="T86" t="str">
        <f t="shared" si="21"/>
        <v/>
      </c>
    </row>
    <row r="87" spans="1:20" x14ac:dyDescent="0.45">
      <c r="A87" t="str">
        <f>IF(PNL!A87="","",PNL!A87)</f>
        <v/>
      </c>
      <c r="B87" t="str">
        <f>IF(PNL!B87="","",PNL!B87)</f>
        <v/>
      </c>
      <c r="C87" t="str">
        <f>IF(PNL!C87="","",PNL!C87)</f>
        <v/>
      </c>
      <c r="D87" t="str">
        <f>IF(PNL!D87="","",PNL!D87)</f>
        <v/>
      </c>
      <c r="E87" t="str">
        <f t="shared" si="11"/>
        <v/>
      </c>
      <c r="F87" t="str">
        <f>IF($A87="","",IF($E87=1,SUMIFS(Compta!$F$1:$F$675,Compta!$A$1:$A$675,$A87,Compta!$B$1:$B$675,$B87,Compta!$C$1:$C$675,"2026"),0))</f>
        <v/>
      </c>
      <c r="G87" t="str">
        <f t="shared" si="12"/>
        <v/>
      </c>
      <c r="H87" t="str">
        <f t="shared" si="13"/>
        <v/>
      </c>
      <c r="I87" t="str">
        <f t="shared" si="14"/>
        <v/>
      </c>
      <c r="J87" t="str">
        <f t="shared" si="15"/>
        <v/>
      </c>
      <c r="K87" t="str">
        <f t="shared" si="16"/>
        <v/>
      </c>
      <c r="L87" t="str">
        <f t="shared" si="17"/>
        <v/>
      </c>
      <c r="M87" t="str">
        <f t="shared" si="18"/>
        <v/>
      </c>
      <c r="N87" t="str">
        <f t="shared" si="19"/>
        <v/>
      </c>
      <c r="O87" t="str">
        <f t="shared" si="20"/>
        <v/>
      </c>
      <c r="P87" t="str">
        <f>IF($A87="","",IF($E87=1,$F87*$O87,PNL!G87))</f>
        <v/>
      </c>
      <c r="T87" t="str">
        <f t="shared" si="21"/>
        <v/>
      </c>
    </row>
    <row r="88" spans="1:20" x14ac:dyDescent="0.45">
      <c r="A88" t="str">
        <f>IF(PNL!A88="","",PNL!A88)</f>
        <v/>
      </c>
      <c r="B88" t="str">
        <f>IF(PNL!B88="","",PNL!B88)</f>
        <v/>
      </c>
      <c r="C88" t="str">
        <f>IF(PNL!C88="","",PNL!C88)</f>
        <v/>
      </c>
      <c r="D88" t="str">
        <f>IF(PNL!D88="","",PNL!D88)</f>
        <v/>
      </c>
      <c r="E88" t="str">
        <f t="shared" si="11"/>
        <v/>
      </c>
      <c r="F88" t="str">
        <f>IF($A88="","",IF($E88=1,SUMIFS(Compta!$F$1:$F$675,Compta!$A$1:$A$675,$A88,Compta!$B$1:$B$675,$B88,Compta!$C$1:$C$675,"2026"),0))</f>
        <v/>
      </c>
      <c r="G88" t="str">
        <f t="shared" si="12"/>
        <v/>
      </c>
      <c r="H88" t="str">
        <f t="shared" si="13"/>
        <v/>
      </c>
      <c r="I88" t="str">
        <f t="shared" si="14"/>
        <v/>
      </c>
      <c r="J88" t="str">
        <f t="shared" si="15"/>
        <v/>
      </c>
      <c r="K88" t="str">
        <f t="shared" si="16"/>
        <v/>
      </c>
      <c r="L88" t="str">
        <f t="shared" si="17"/>
        <v/>
      </c>
      <c r="M88" t="str">
        <f t="shared" si="18"/>
        <v/>
      </c>
      <c r="N88" t="str">
        <f t="shared" si="19"/>
        <v/>
      </c>
      <c r="O88" t="str">
        <f t="shared" si="20"/>
        <v/>
      </c>
      <c r="P88" t="str">
        <f>IF($A88="","",IF($E88=1,$F88*$O88,PNL!G88))</f>
        <v/>
      </c>
      <c r="T88" t="str">
        <f t="shared" si="21"/>
        <v/>
      </c>
    </row>
    <row r="89" spans="1:20" x14ac:dyDescent="0.45">
      <c r="A89" t="str">
        <f>IF(PNL!A89="","",PNL!A89)</f>
        <v/>
      </c>
      <c r="B89" t="str">
        <f>IF(PNL!B89="","",PNL!B89)</f>
        <v/>
      </c>
      <c r="C89" t="str">
        <f>IF(PNL!C89="","",PNL!C89)</f>
        <v/>
      </c>
      <c r="D89" t="str">
        <f>IF(PNL!D89="","",PNL!D89)</f>
        <v/>
      </c>
      <c r="E89" t="str">
        <f t="shared" si="11"/>
        <v/>
      </c>
      <c r="F89" t="str">
        <f>IF($A89="","",IF($E89=1,SUMIFS(Compta!$F$1:$F$675,Compta!$A$1:$A$675,$A89,Compta!$B$1:$B$675,$B89,Compta!$C$1:$C$675,"2026"),0))</f>
        <v/>
      </c>
      <c r="G89" t="str">
        <f t="shared" si="12"/>
        <v/>
      </c>
      <c r="H89" t="str">
        <f t="shared" si="13"/>
        <v/>
      </c>
      <c r="I89" t="str">
        <f t="shared" si="14"/>
        <v/>
      </c>
      <c r="J89" t="str">
        <f t="shared" si="15"/>
        <v/>
      </c>
      <c r="K89" t="str">
        <f t="shared" si="16"/>
        <v/>
      </c>
      <c r="L89" t="str">
        <f t="shared" si="17"/>
        <v/>
      </c>
      <c r="M89" t="str">
        <f t="shared" si="18"/>
        <v/>
      </c>
      <c r="N89" t="str">
        <f t="shared" si="19"/>
        <v/>
      </c>
      <c r="O89" t="str">
        <f t="shared" si="20"/>
        <v/>
      </c>
      <c r="P89" t="str">
        <f>IF($A89="","",IF($E89=1,$F89*$O89,PNL!G89))</f>
        <v/>
      </c>
      <c r="T89" t="str">
        <f t="shared" si="21"/>
        <v/>
      </c>
    </row>
    <row r="90" spans="1:20" x14ac:dyDescent="0.45">
      <c r="A90" t="str">
        <f>IF(PNL!A90="","",PNL!A90)</f>
        <v/>
      </c>
      <c r="B90" t="str">
        <f>IF(PNL!B90="","",PNL!B90)</f>
        <v/>
      </c>
      <c r="C90" t="str">
        <f>IF(PNL!C90="","",PNL!C90)</f>
        <v/>
      </c>
      <c r="D90" t="str">
        <f>IF(PNL!D90="","",PNL!D90)</f>
        <v/>
      </c>
      <c r="E90" t="str">
        <f t="shared" si="11"/>
        <v/>
      </c>
      <c r="F90" t="str">
        <f>IF($A90="","",IF($E90=1,SUMIFS(Compta!$F$1:$F$675,Compta!$A$1:$A$675,$A90,Compta!$B$1:$B$675,$B90,Compta!$C$1:$C$675,"2026"),0))</f>
        <v/>
      </c>
      <c r="G90" t="str">
        <f t="shared" si="12"/>
        <v/>
      </c>
      <c r="H90" t="str">
        <f t="shared" si="13"/>
        <v/>
      </c>
      <c r="I90" t="str">
        <f t="shared" si="14"/>
        <v/>
      </c>
      <c r="J90" t="str">
        <f t="shared" si="15"/>
        <v/>
      </c>
      <c r="K90" t="str">
        <f t="shared" si="16"/>
        <v/>
      </c>
      <c r="L90" t="str">
        <f t="shared" si="17"/>
        <v/>
      </c>
      <c r="M90" t="str">
        <f t="shared" si="18"/>
        <v/>
      </c>
      <c r="N90" t="str">
        <f t="shared" si="19"/>
        <v/>
      </c>
      <c r="O90" t="str">
        <f t="shared" si="20"/>
        <v/>
      </c>
      <c r="P90" t="str">
        <f>IF($A90="","",IF($E90=1,$F90*$O90,PNL!G90))</f>
        <v/>
      </c>
      <c r="T90" t="str">
        <f t="shared" si="21"/>
        <v/>
      </c>
    </row>
    <row r="91" spans="1:20" x14ac:dyDescent="0.45">
      <c r="A91" t="str">
        <f>IF(PNL!A91="","",PNL!A91)</f>
        <v/>
      </c>
      <c r="B91" t="str">
        <f>IF(PNL!B91="","",PNL!B91)</f>
        <v/>
      </c>
      <c r="C91" t="str">
        <f>IF(PNL!C91="","",PNL!C91)</f>
        <v/>
      </c>
      <c r="D91" t="str">
        <f>IF(PNL!D91="","",PNL!D91)</f>
        <v/>
      </c>
      <c r="E91" t="str">
        <f t="shared" si="11"/>
        <v/>
      </c>
      <c r="F91" t="str">
        <f>IF($A91="","",IF($E91=1,SUMIFS(Compta!$F$1:$F$675,Compta!$A$1:$A$675,$A91,Compta!$B$1:$B$675,$B91,Compta!$C$1:$C$675,"2026"),0))</f>
        <v/>
      </c>
      <c r="G91" t="str">
        <f t="shared" si="12"/>
        <v/>
      </c>
      <c r="H91" t="str">
        <f t="shared" si="13"/>
        <v/>
      </c>
      <c r="I91" t="str">
        <f t="shared" si="14"/>
        <v/>
      </c>
      <c r="J91" t="str">
        <f t="shared" si="15"/>
        <v/>
      </c>
      <c r="K91" t="str">
        <f t="shared" si="16"/>
        <v/>
      </c>
      <c r="L91" t="str">
        <f t="shared" si="17"/>
        <v/>
      </c>
      <c r="M91" t="str">
        <f t="shared" si="18"/>
        <v/>
      </c>
      <c r="N91" t="str">
        <f t="shared" si="19"/>
        <v/>
      </c>
      <c r="O91" t="str">
        <f t="shared" si="20"/>
        <v/>
      </c>
      <c r="P91" t="str">
        <f>IF($A91="","",IF($E91=1,$F91*$O91,PNL!G91))</f>
        <v/>
      </c>
      <c r="T91" t="str">
        <f t="shared" si="21"/>
        <v/>
      </c>
    </row>
    <row r="92" spans="1:20" x14ac:dyDescent="0.45">
      <c r="A92" t="str">
        <f>IF(PNL!A92="","",PNL!A92)</f>
        <v/>
      </c>
      <c r="B92" t="str">
        <f>IF(PNL!B92="","",PNL!B92)</f>
        <v/>
      </c>
      <c r="C92" t="str">
        <f>IF(PNL!C92="","",PNL!C92)</f>
        <v/>
      </c>
      <c r="D92" t="str">
        <f>IF(PNL!D92="","",PNL!D92)</f>
        <v/>
      </c>
      <c r="E92" t="str">
        <f t="shared" si="11"/>
        <v/>
      </c>
      <c r="F92" t="str">
        <f>IF($A92="","",IF($E92=1,SUMIFS(Compta!$F$1:$F$675,Compta!$A$1:$A$675,$A92,Compta!$B$1:$B$675,$B92,Compta!$C$1:$C$675,"2026"),0))</f>
        <v/>
      </c>
      <c r="G92" t="str">
        <f t="shared" si="12"/>
        <v/>
      </c>
      <c r="H92" t="str">
        <f t="shared" si="13"/>
        <v/>
      </c>
      <c r="I92" t="str">
        <f t="shared" si="14"/>
        <v/>
      </c>
      <c r="J92" t="str">
        <f t="shared" si="15"/>
        <v/>
      </c>
      <c r="K92" t="str">
        <f t="shared" si="16"/>
        <v/>
      </c>
      <c r="L92" t="str">
        <f t="shared" si="17"/>
        <v/>
      </c>
      <c r="M92" t="str">
        <f t="shared" si="18"/>
        <v/>
      </c>
      <c r="N92" t="str">
        <f t="shared" si="19"/>
        <v/>
      </c>
      <c r="O92" t="str">
        <f t="shared" si="20"/>
        <v/>
      </c>
      <c r="P92" t="str">
        <f>IF($A92="","",IF($E92=1,$F92*$O92,PNL!G92))</f>
        <v/>
      </c>
      <c r="T92" t="str">
        <f t="shared" si="21"/>
        <v/>
      </c>
    </row>
    <row r="93" spans="1:20" x14ac:dyDescent="0.45">
      <c r="A93" t="str">
        <f>IF(PNL!A93="","",PNL!A93)</f>
        <v/>
      </c>
      <c r="B93" t="str">
        <f>IF(PNL!B93="","",PNL!B93)</f>
        <v/>
      </c>
      <c r="C93" t="str">
        <f>IF(PNL!C93="","",PNL!C93)</f>
        <v/>
      </c>
      <c r="D93" t="str">
        <f>IF(PNL!D93="","",PNL!D93)</f>
        <v/>
      </c>
      <c r="E93" t="str">
        <f t="shared" si="11"/>
        <v/>
      </c>
      <c r="F93" t="str">
        <f>IF($A93="","",IF($E93=1,SUMIFS(Compta!$F$1:$F$675,Compta!$A$1:$A$675,$A93,Compta!$B$1:$B$675,$B93,Compta!$C$1:$C$675,"2026"),0))</f>
        <v/>
      </c>
      <c r="G93" t="str">
        <f t="shared" si="12"/>
        <v/>
      </c>
      <c r="H93" t="str">
        <f t="shared" si="13"/>
        <v/>
      </c>
      <c r="I93" t="str">
        <f t="shared" si="14"/>
        <v/>
      </c>
      <c r="J93" t="str">
        <f t="shared" si="15"/>
        <v/>
      </c>
      <c r="K93" t="str">
        <f t="shared" si="16"/>
        <v/>
      </c>
      <c r="L93" t="str">
        <f t="shared" si="17"/>
        <v/>
      </c>
      <c r="M93" t="str">
        <f t="shared" si="18"/>
        <v/>
      </c>
      <c r="N93" t="str">
        <f t="shared" si="19"/>
        <v/>
      </c>
      <c r="O93" t="str">
        <f t="shared" si="20"/>
        <v/>
      </c>
      <c r="P93" t="str">
        <f>IF($A93="","",IF($E93=1,$F93*$O93,PNL!G93))</f>
        <v/>
      </c>
      <c r="T93" t="str">
        <f t="shared" si="21"/>
        <v/>
      </c>
    </row>
    <row r="94" spans="1:20" x14ac:dyDescent="0.45">
      <c r="A94" t="str">
        <f>IF(PNL!A94="","",PNL!A94)</f>
        <v/>
      </c>
      <c r="B94" t="str">
        <f>IF(PNL!B94="","",PNL!B94)</f>
        <v/>
      </c>
      <c r="C94" t="str">
        <f>IF(PNL!C94="","",PNL!C94)</f>
        <v/>
      </c>
      <c r="D94" t="str">
        <f>IF(PNL!D94="","",PNL!D94)</f>
        <v/>
      </c>
      <c r="E94" t="str">
        <f t="shared" si="11"/>
        <v/>
      </c>
      <c r="F94" t="str">
        <f>IF($A94="","",IF($E94=1,SUMIFS(Compta!$F$1:$F$675,Compta!$A$1:$A$675,$A94,Compta!$B$1:$B$675,$B94,Compta!$C$1:$C$675,"2026"),0))</f>
        <v/>
      </c>
      <c r="G94" t="str">
        <f t="shared" si="12"/>
        <v/>
      </c>
      <c r="H94" t="str">
        <f t="shared" si="13"/>
        <v/>
      </c>
      <c r="I94" t="str">
        <f t="shared" si="14"/>
        <v/>
      </c>
      <c r="J94" t="str">
        <f t="shared" si="15"/>
        <v/>
      </c>
      <c r="K94" t="str">
        <f t="shared" si="16"/>
        <v/>
      </c>
      <c r="L94" t="str">
        <f t="shared" si="17"/>
        <v/>
      </c>
      <c r="M94" t="str">
        <f t="shared" si="18"/>
        <v/>
      </c>
      <c r="N94" t="str">
        <f t="shared" si="19"/>
        <v/>
      </c>
      <c r="O94" t="str">
        <f t="shared" si="20"/>
        <v/>
      </c>
      <c r="P94" t="str">
        <f>IF($A94="","",IF($E94=1,$F94*$O94,PNL!G94))</f>
        <v/>
      </c>
      <c r="T94" t="str">
        <f t="shared" si="21"/>
        <v/>
      </c>
    </row>
    <row r="95" spans="1:20" x14ac:dyDescent="0.45">
      <c r="A95" t="str">
        <f>IF(PNL!A95="","",PNL!A95)</f>
        <v/>
      </c>
      <c r="B95" t="str">
        <f>IF(PNL!B95="","",PNL!B95)</f>
        <v/>
      </c>
      <c r="C95" t="str">
        <f>IF(PNL!C95="","",PNL!C95)</f>
        <v/>
      </c>
      <c r="D95" t="str">
        <f>IF(PNL!D95="","",PNL!D95)</f>
        <v/>
      </c>
      <c r="E95" t="str">
        <f t="shared" si="11"/>
        <v/>
      </c>
      <c r="F95" t="str">
        <f>IF($A95="","",IF($E95=1,SUMIFS(Compta!$F$1:$F$675,Compta!$A$1:$A$675,$A95,Compta!$B$1:$B$675,$B95,Compta!$C$1:$C$675,"2026"),0))</f>
        <v/>
      </c>
      <c r="G95" t="str">
        <f t="shared" si="12"/>
        <v/>
      </c>
      <c r="H95" t="str">
        <f t="shared" si="13"/>
        <v/>
      </c>
      <c r="I95" t="str">
        <f t="shared" si="14"/>
        <v/>
      </c>
      <c r="J95" t="str">
        <f t="shared" si="15"/>
        <v/>
      </c>
      <c r="K95" t="str">
        <f t="shared" si="16"/>
        <v/>
      </c>
      <c r="L95" t="str">
        <f t="shared" si="17"/>
        <v/>
      </c>
      <c r="M95" t="str">
        <f t="shared" si="18"/>
        <v/>
      </c>
      <c r="N95" t="str">
        <f t="shared" si="19"/>
        <v/>
      </c>
      <c r="O95" t="str">
        <f t="shared" si="20"/>
        <v/>
      </c>
      <c r="P95" t="str">
        <f>IF($A95="","",IF($E95=1,$F95*$O95,PNL!G95))</f>
        <v/>
      </c>
      <c r="T95" t="str">
        <f t="shared" si="21"/>
        <v/>
      </c>
    </row>
    <row r="96" spans="1:20" x14ac:dyDescent="0.45">
      <c r="A96" t="str">
        <f>IF(PNL!A96="","",PNL!A96)</f>
        <v/>
      </c>
      <c r="B96" t="str">
        <f>IF(PNL!B96="","",PNL!B96)</f>
        <v/>
      </c>
      <c r="C96" t="str">
        <f>IF(PNL!C96="","",PNL!C96)</f>
        <v/>
      </c>
      <c r="D96" t="str">
        <f>IF(PNL!D96="","",PNL!D96)</f>
        <v/>
      </c>
      <c r="E96" t="str">
        <f t="shared" si="11"/>
        <v/>
      </c>
      <c r="F96" t="str">
        <f>IF($A96="","",IF($E96=1,SUMIFS(Compta!$F$1:$F$675,Compta!$A$1:$A$675,$A96,Compta!$B$1:$B$675,$B96,Compta!$C$1:$C$675,"2026"),0))</f>
        <v/>
      </c>
      <c r="G96" t="str">
        <f t="shared" si="12"/>
        <v/>
      </c>
      <c r="H96" t="str">
        <f t="shared" si="13"/>
        <v/>
      </c>
      <c r="I96" t="str">
        <f t="shared" si="14"/>
        <v/>
      </c>
      <c r="J96" t="str">
        <f t="shared" si="15"/>
        <v/>
      </c>
      <c r="K96" t="str">
        <f t="shared" si="16"/>
        <v/>
      </c>
      <c r="L96" t="str">
        <f t="shared" si="17"/>
        <v/>
      </c>
      <c r="M96" t="str">
        <f t="shared" si="18"/>
        <v/>
      </c>
      <c r="N96" t="str">
        <f t="shared" si="19"/>
        <v/>
      </c>
      <c r="O96" t="str">
        <f t="shared" si="20"/>
        <v/>
      </c>
      <c r="P96" t="str">
        <f>IF($A96="","",IF($E96=1,$F96*$O96,PNL!G96))</f>
        <v/>
      </c>
      <c r="T96" t="str">
        <f t="shared" si="21"/>
        <v/>
      </c>
    </row>
    <row r="97" spans="1:20" x14ac:dyDescent="0.45">
      <c r="A97" t="str">
        <f>IF(PNL!A97="","",PNL!A97)</f>
        <v/>
      </c>
      <c r="B97" t="str">
        <f>IF(PNL!B97="","",PNL!B97)</f>
        <v/>
      </c>
      <c r="C97" t="str">
        <f>IF(PNL!C97="","",PNL!C97)</f>
        <v/>
      </c>
      <c r="D97" t="str">
        <f>IF(PNL!D97="","",PNL!D97)</f>
        <v/>
      </c>
      <c r="E97" t="str">
        <f t="shared" si="11"/>
        <v/>
      </c>
      <c r="F97" t="str">
        <f>IF($A97="","",IF($E97=1,SUMIFS(Compta!$F$1:$F$675,Compta!$A$1:$A$675,$A97,Compta!$B$1:$B$675,$B97,Compta!$C$1:$C$675,"2026"),0))</f>
        <v/>
      </c>
      <c r="G97" t="str">
        <f t="shared" si="12"/>
        <v/>
      </c>
      <c r="H97" t="str">
        <f t="shared" si="13"/>
        <v/>
      </c>
      <c r="I97" t="str">
        <f t="shared" si="14"/>
        <v/>
      </c>
      <c r="J97" t="str">
        <f t="shared" si="15"/>
        <v/>
      </c>
      <c r="K97" t="str">
        <f t="shared" si="16"/>
        <v/>
      </c>
      <c r="L97" t="str">
        <f t="shared" si="17"/>
        <v/>
      </c>
      <c r="M97" t="str">
        <f t="shared" si="18"/>
        <v/>
      </c>
      <c r="N97" t="str">
        <f t="shared" si="19"/>
        <v/>
      </c>
      <c r="O97" t="str">
        <f t="shared" si="20"/>
        <v/>
      </c>
      <c r="P97" t="str">
        <f>IF($A97="","",IF($E97=1,$F97*$O97,PNL!G97))</f>
        <v/>
      </c>
      <c r="T97" t="str">
        <f t="shared" si="21"/>
        <v/>
      </c>
    </row>
    <row r="98" spans="1:20" x14ac:dyDescent="0.45">
      <c r="A98" t="str">
        <f>IF(PNL!A98="","",PNL!A98)</f>
        <v/>
      </c>
      <c r="B98" t="str">
        <f>IF(PNL!B98="","",PNL!B98)</f>
        <v/>
      </c>
      <c r="C98" t="str">
        <f>IF(PNL!C98="","",PNL!C98)</f>
        <v/>
      </c>
      <c r="D98" t="str">
        <f>IF(PNL!D98="","",PNL!D98)</f>
        <v/>
      </c>
      <c r="E98" t="str">
        <f t="shared" si="11"/>
        <v/>
      </c>
      <c r="F98" t="str">
        <f>IF($A98="","",IF($E98=1,SUMIFS(Compta!$F$1:$F$675,Compta!$A$1:$A$675,$A98,Compta!$B$1:$B$675,$B98,Compta!$C$1:$C$675,"2026"),0))</f>
        <v/>
      </c>
      <c r="G98" t="str">
        <f t="shared" si="12"/>
        <v/>
      </c>
      <c r="H98" t="str">
        <f t="shared" si="13"/>
        <v/>
      </c>
      <c r="I98" t="str">
        <f t="shared" si="14"/>
        <v/>
      </c>
      <c r="J98" t="str">
        <f t="shared" si="15"/>
        <v/>
      </c>
      <c r="K98" t="str">
        <f t="shared" si="16"/>
        <v/>
      </c>
      <c r="L98" t="str">
        <f t="shared" si="17"/>
        <v/>
      </c>
      <c r="M98" t="str">
        <f t="shared" si="18"/>
        <v/>
      </c>
      <c r="N98" t="str">
        <f t="shared" si="19"/>
        <v/>
      </c>
      <c r="O98" t="str">
        <f t="shared" si="20"/>
        <v/>
      </c>
      <c r="P98" t="str">
        <f>IF($A98="","",IF($E98=1,$F98*$O98,PNL!G98))</f>
        <v/>
      </c>
      <c r="T98" t="str">
        <f t="shared" si="21"/>
        <v/>
      </c>
    </row>
    <row r="99" spans="1:20" x14ac:dyDescent="0.45">
      <c r="A99" t="str">
        <f>IF(PNL!A99="","",PNL!A99)</f>
        <v/>
      </c>
      <c r="B99" t="str">
        <f>IF(PNL!B99="","",PNL!B99)</f>
        <v/>
      </c>
      <c r="C99" t="str">
        <f>IF(PNL!C99="","",PNL!C99)</f>
        <v/>
      </c>
      <c r="D99" t="str">
        <f>IF(PNL!D99="","",PNL!D99)</f>
        <v/>
      </c>
      <c r="E99" t="str">
        <f t="shared" si="11"/>
        <v/>
      </c>
      <c r="F99" t="str">
        <f>IF($A99="","",IF($E99=1,SUMIFS(Compta!$F$1:$F$675,Compta!$A$1:$A$675,$A99,Compta!$B$1:$B$675,$B99,Compta!$C$1:$C$675,"2026"),0))</f>
        <v/>
      </c>
      <c r="G99" t="str">
        <f t="shared" si="12"/>
        <v/>
      </c>
      <c r="H99" t="str">
        <f t="shared" si="13"/>
        <v/>
      </c>
      <c r="I99" t="str">
        <f t="shared" si="14"/>
        <v/>
      </c>
      <c r="J99" t="str">
        <f t="shared" si="15"/>
        <v/>
      </c>
      <c r="K99" t="str">
        <f t="shared" si="16"/>
        <v/>
      </c>
      <c r="L99" t="str">
        <f t="shared" si="17"/>
        <v/>
      </c>
      <c r="M99" t="str">
        <f t="shared" si="18"/>
        <v/>
      </c>
      <c r="N99" t="str">
        <f t="shared" si="19"/>
        <v/>
      </c>
      <c r="O99" t="str">
        <f t="shared" si="20"/>
        <v/>
      </c>
      <c r="P99" t="str">
        <f>IF($A99="","",IF($E99=1,$F99*$O99,PNL!G99))</f>
        <v/>
      </c>
      <c r="T99" t="str">
        <f t="shared" si="21"/>
        <v/>
      </c>
    </row>
    <row r="100" spans="1:20" x14ac:dyDescent="0.45">
      <c r="A100" t="str">
        <f>IF(PNL!A100="","",PNL!A100)</f>
        <v/>
      </c>
      <c r="B100" t="str">
        <f>IF(PNL!B100="","",PNL!B100)</f>
        <v/>
      </c>
      <c r="C100" t="str">
        <f>IF(PNL!C100="","",PNL!C100)</f>
        <v/>
      </c>
      <c r="D100" t="str">
        <f>IF(PNL!D100="","",PNL!D100)</f>
        <v/>
      </c>
      <c r="E100" t="str">
        <f t="shared" si="11"/>
        <v/>
      </c>
      <c r="F100" t="str">
        <f>IF($A100="","",IF($E100=1,SUMIFS(Compta!$F$1:$F$675,Compta!$A$1:$A$675,$A100,Compta!$B$1:$B$675,$B100,Compta!$C$1:$C$675,"2026"),0))</f>
        <v/>
      </c>
      <c r="G100" t="str">
        <f t="shared" si="12"/>
        <v/>
      </c>
      <c r="H100" t="str">
        <f t="shared" si="13"/>
        <v/>
      </c>
      <c r="I100" t="str">
        <f t="shared" si="14"/>
        <v/>
      </c>
      <c r="J100" t="str">
        <f t="shared" si="15"/>
        <v/>
      </c>
      <c r="K100" t="str">
        <f t="shared" si="16"/>
        <v/>
      </c>
      <c r="L100" t="str">
        <f t="shared" si="17"/>
        <v/>
      </c>
      <c r="M100" t="str">
        <f t="shared" si="18"/>
        <v/>
      </c>
      <c r="N100" t="str">
        <f t="shared" si="19"/>
        <v/>
      </c>
      <c r="O100" t="str">
        <f t="shared" si="20"/>
        <v/>
      </c>
      <c r="P100" t="str">
        <f>IF($A100="","",IF($E100=1,$F100*$O100,PNL!G100))</f>
        <v/>
      </c>
      <c r="T100" t="str">
        <f t="shared" si="21"/>
        <v/>
      </c>
    </row>
    <row r="101" spans="1:20" x14ac:dyDescent="0.45">
      <c r="A101" t="str">
        <f>IF(PNL!A101="","",PNL!A101)</f>
        <v/>
      </c>
      <c r="B101" t="str">
        <f>IF(PNL!B101="","",PNL!B101)</f>
        <v/>
      </c>
      <c r="C101" t="str">
        <f>IF(PNL!C101="","",PNL!C101)</f>
        <v/>
      </c>
      <c r="D101" t="str">
        <f>IF(PNL!D101="","",PNL!D101)</f>
        <v/>
      </c>
      <c r="E101" t="str">
        <f t="shared" si="11"/>
        <v/>
      </c>
      <c r="F101" t="str">
        <f>IF($A101="","",IF($E101=1,SUMIFS(Compta!$F$1:$F$675,Compta!$A$1:$A$675,$A101,Compta!$B$1:$B$675,$B101,Compta!$C$1:$C$675,"2026"),0))</f>
        <v/>
      </c>
      <c r="G101" t="str">
        <f t="shared" si="12"/>
        <v/>
      </c>
      <c r="H101" t="str">
        <f t="shared" si="13"/>
        <v/>
      </c>
      <c r="I101" t="str">
        <f t="shared" si="14"/>
        <v/>
      </c>
      <c r="J101" t="str">
        <f t="shared" si="15"/>
        <v/>
      </c>
      <c r="K101" t="str">
        <f t="shared" si="16"/>
        <v/>
      </c>
      <c r="L101" t="str">
        <f t="shared" si="17"/>
        <v/>
      </c>
      <c r="M101" t="str">
        <f t="shared" si="18"/>
        <v/>
      </c>
      <c r="N101" t="str">
        <f t="shared" si="19"/>
        <v/>
      </c>
      <c r="O101" t="str">
        <f t="shared" si="20"/>
        <v/>
      </c>
      <c r="P101" t="str">
        <f>IF($A101="","",IF($E101=1,$F101*$O101,PNL!G101))</f>
        <v/>
      </c>
      <c r="T101" t="str">
        <f t="shared" si="21"/>
        <v/>
      </c>
    </row>
    <row r="102" spans="1:20" x14ac:dyDescent="0.45">
      <c r="A102" t="str">
        <f>IF(PNL!A102="","",PNL!A102)</f>
        <v/>
      </c>
      <c r="B102" t="str">
        <f>IF(PNL!B102="","",PNL!B102)</f>
        <v/>
      </c>
      <c r="C102" t="str">
        <f>IF(PNL!C102="","",PNL!C102)</f>
        <v/>
      </c>
      <c r="D102" t="str">
        <f>IF(PNL!D102="","",PNL!D102)</f>
        <v/>
      </c>
      <c r="E102" t="str">
        <f t="shared" si="11"/>
        <v/>
      </c>
      <c r="F102" t="str">
        <f>IF($A102="","",IF($E102=1,SUMIFS(Compta!$F$1:$F$675,Compta!$A$1:$A$675,$A102,Compta!$B$1:$B$675,$B102,Compta!$C$1:$C$675,"2026"),0))</f>
        <v/>
      </c>
      <c r="G102" t="str">
        <f t="shared" si="12"/>
        <v/>
      </c>
      <c r="H102" t="str">
        <f t="shared" si="13"/>
        <v/>
      </c>
      <c r="I102" t="str">
        <f t="shared" si="14"/>
        <v/>
      </c>
      <c r="J102" t="str">
        <f t="shared" si="15"/>
        <v/>
      </c>
      <c r="K102" t="str">
        <f t="shared" si="16"/>
        <v/>
      </c>
      <c r="L102" t="str">
        <f t="shared" si="17"/>
        <v/>
      </c>
      <c r="M102" t="str">
        <f t="shared" si="18"/>
        <v/>
      </c>
      <c r="N102" t="str">
        <f t="shared" si="19"/>
        <v/>
      </c>
      <c r="O102" t="str">
        <f t="shared" si="20"/>
        <v/>
      </c>
      <c r="P102" t="str">
        <f>IF($A102="","",IF($E102=1,$F102*$O102,PNL!G102))</f>
        <v/>
      </c>
      <c r="T102" t="str">
        <f t="shared" si="21"/>
        <v/>
      </c>
    </row>
    <row r="103" spans="1:20" x14ac:dyDescent="0.45">
      <c r="A103" t="str">
        <f>IF(PNL!A103="","",PNL!A103)</f>
        <v/>
      </c>
      <c r="B103" t="str">
        <f>IF(PNL!B103="","",PNL!B103)</f>
        <v/>
      </c>
      <c r="C103" t="str">
        <f>IF(PNL!C103="","",PNL!C103)</f>
        <v/>
      </c>
      <c r="D103" t="str">
        <f>IF(PNL!D103="","",PNL!D103)</f>
        <v/>
      </c>
      <c r="E103" t="str">
        <f t="shared" si="11"/>
        <v/>
      </c>
      <c r="F103" t="str">
        <f>IF($A103="","",IF($E103=1,SUMIFS(Compta!$F$1:$F$675,Compta!$A$1:$A$675,$A103,Compta!$B$1:$B$675,$B103,Compta!$C$1:$C$675,"2026"),0))</f>
        <v/>
      </c>
      <c r="G103" t="str">
        <f t="shared" si="12"/>
        <v/>
      </c>
      <c r="H103" t="str">
        <f t="shared" si="13"/>
        <v/>
      </c>
      <c r="I103" t="str">
        <f t="shared" si="14"/>
        <v/>
      </c>
      <c r="J103" t="str">
        <f t="shared" si="15"/>
        <v/>
      </c>
      <c r="K103" t="str">
        <f t="shared" si="16"/>
        <v/>
      </c>
      <c r="L103" t="str">
        <f t="shared" si="17"/>
        <v/>
      </c>
      <c r="M103" t="str">
        <f t="shared" si="18"/>
        <v/>
      </c>
      <c r="N103" t="str">
        <f t="shared" si="19"/>
        <v/>
      </c>
      <c r="O103" t="str">
        <f t="shared" si="20"/>
        <v/>
      </c>
      <c r="P103" t="str">
        <f>IF($A103="","",IF($E103=1,$F103*$O103,PNL!G103))</f>
        <v/>
      </c>
      <c r="T103" t="str">
        <f t="shared" si="21"/>
        <v/>
      </c>
    </row>
    <row r="104" spans="1:20" x14ac:dyDescent="0.45">
      <c r="A104" t="str">
        <f>IF(PNL!A104="","",PNL!A104)</f>
        <v/>
      </c>
      <c r="B104" t="str">
        <f>IF(PNL!B104="","",PNL!B104)</f>
        <v/>
      </c>
      <c r="C104" t="str">
        <f>IF(PNL!C104="","",PNL!C104)</f>
        <v/>
      </c>
      <c r="D104" t="str">
        <f>IF(PNL!D104="","",PNL!D104)</f>
        <v/>
      </c>
      <c r="E104" t="str">
        <f t="shared" si="11"/>
        <v/>
      </c>
      <c r="F104" t="str">
        <f>IF($A104="","",IF($E104=1,SUMIFS(Compta!$F$1:$F$675,Compta!$A$1:$A$675,$A104,Compta!$B$1:$B$675,$B104,Compta!$C$1:$C$675,"2026"),0))</f>
        <v/>
      </c>
      <c r="G104" t="str">
        <f t="shared" si="12"/>
        <v/>
      </c>
      <c r="H104" t="str">
        <f t="shared" si="13"/>
        <v/>
      </c>
      <c r="I104" t="str">
        <f t="shared" si="14"/>
        <v/>
      </c>
      <c r="J104" t="str">
        <f t="shared" si="15"/>
        <v/>
      </c>
      <c r="K104" t="str">
        <f t="shared" si="16"/>
        <v/>
      </c>
      <c r="L104" t="str">
        <f t="shared" si="17"/>
        <v/>
      </c>
      <c r="M104" t="str">
        <f t="shared" si="18"/>
        <v/>
      </c>
      <c r="N104" t="str">
        <f t="shared" si="19"/>
        <v/>
      </c>
      <c r="O104" t="str">
        <f t="shared" si="20"/>
        <v/>
      </c>
      <c r="P104" t="str">
        <f>IF($A104="","",IF($E104=1,$F104*$O104,PNL!G104))</f>
        <v/>
      </c>
      <c r="T104" t="str">
        <f t="shared" si="21"/>
        <v/>
      </c>
    </row>
    <row r="105" spans="1:20" x14ac:dyDescent="0.45">
      <c r="A105" t="str">
        <f>IF(PNL!A105="","",PNL!A105)</f>
        <v/>
      </c>
      <c r="B105" t="str">
        <f>IF(PNL!B105="","",PNL!B105)</f>
        <v/>
      </c>
      <c r="C105" t="str">
        <f>IF(PNL!C105="","",PNL!C105)</f>
        <v/>
      </c>
      <c r="D105" t="str">
        <f>IF(PNL!D105="","",PNL!D105)</f>
        <v/>
      </c>
      <c r="E105" t="str">
        <f t="shared" si="11"/>
        <v/>
      </c>
      <c r="F105" t="str">
        <f>IF($A105="","",IF($E105=1,SUMIFS(Compta!$F$1:$F$675,Compta!$A$1:$A$675,$A105,Compta!$B$1:$B$675,$B105,Compta!$C$1:$C$675,"2026"),0))</f>
        <v/>
      </c>
      <c r="G105" t="str">
        <f t="shared" si="12"/>
        <v/>
      </c>
      <c r="H105" t="str">
        <f t="shared" si="13"/>
        <v/>
      </c>
      <c r="I105" t="str">
        <f t="shared" si="14"/>
        <v/>
      </c>
      <c r="J105" t="str">
        <f t="shared" si="15"/>
        <v/>
      </c>
      <c r="K105" t="str">
        <f t="shared" si="16"/>
        <v/>
      </c>
      <c r="L105" t="str">
        <f t="shared" si="17"/>
        <v/>
      </c>
      <c r="M105" t="str">
        <f t="shared" si="18"/>
        <v/>
      </c>
      <c r="N105" t="str">
        <f t="shared" si="19"/>
        <v/>
      </c>
      <c r="O105" t="str">
        <f t="shared" si="20"/>
        <v/>
      </c>
      <c r="P105" t="str">
        <f>IF($A105="","",IF($E105=1,$F105*$O105,PNL!G105))</f>
        <v/>
      </c>
      <c r="T105" t="str">
        <f t="shared" si="21"/>
        <v/>
      </c>
    </row>
    <row r="106" spans="1:20" x14ac:dyDescent="0.45">
      <c r="A106" t="str">
        <f>IF(PNL!A106="","",PNL!A106)</f>
        <v/>
      </c>
      <c r="B106" t="str">
        <f>IF(PNL!B106="","",PNL!B106)</f>
        <v/>
      </c>
      <c r="C106" t="str">
        <f>IF(PNL!C106="","",PNL!C106)</f>
        <v/>
      </c>
      <c r="D106" t="str">
        <f>IF(PNL!D106="","",PNL!D106)</f>
        <v/>
      </c>
      <c r="E106" t="str">
        <f t="shared" si="11"/>
        <v/>
      </c>
      <c r="F106" t="str">
        <f>IF($A106="","",IF($E106=1,SUMIFS(Compta!$F$1:$F$675,Compta!$A$1:$A$675,$A106,Compta!$B$1:$B$675,$B106,Compta!$C$1:$C$675,"2026"),0))</f>
        <v/>
      </c>
      <c r="G106" t="str">
        <f t="shared" si="12"/>
        <v/>
      </c>
      <c r="H106" t="str">
        <f t="shared" si="13"/>
        <v/>
      </c>
      <c r="I106" t="str">
        <f t="shared" si="14"/>
        <v/>
      </c>
      <c r="J106" t="str">
        <f t="shared" si="15"/>
        <v/>
      </c>
      <c r="K106" t="str">
        <f t="shared" si="16"/>
        <v/>
      </c>
      <c r="L106" t="str">
        <f t="shared" si="17"/>
        <v/>
      </c>
      <c r="M106" t="str">
        <f t="shared" si="18"/>
        <v/>
      </c>
      <c r="N106" t="str">
        <f t="shared" si="19"/>
        <v/>
      </c>
      <c r="O106" t="str">
        <f t="shared" si="20"/>
        <v/>
      </c>
      <c r="P106" t="str">
        <f>IF($A106="","",IF($E106=1,$F106*$O106,PNL!G106))</f>
        <v/>
      </c>
      <c r="T106" t="str">
        <f t="shared" si="21"/>
        <v/>
      </c>
    </row>
    <row r="107" spans="1:20" x14ac:dyDescent="0.45">
      <c r="A107" t="str">
        <f>IF(PNL!A107="","",PNL!A107)</f>
        <v/>
      </c>
      <c r="B107" t="str">
        <f>IF(PNL!B107="","",PNL!B107)</f>
        <v/>
      </c>
      <c r="C107" t="str">
        <f>IF(PNL!C107="","",PNL!C107)</f>
        <v/>
      </c>
      <c r="D107" t="str">
        <f>IF(PNL!D107="","",PNL!D107)</f>
        <v/>
      </c>
      <c r="E107" t="str">
        <f t="shared" si="11"/>
        <v/>
      </c>
      <c r="F107" t="str">
        <f>IF($A107="","",IF($E107=1,SUMIFS(Compta!$F$1:$F$675,Compta!$A$1:$A$675,$A107,Compta!$B$1:$B$675,$B107,Compta!$C$1:$C$675,"2026"),0))</f>
        <v/>
      </c>
      <c r="G107" t="str">
        <f t="shared" si="12"/>
        <v/>
      </c>
      <c r="H107" t="str">
        <f t="shared" si="13"/>
        <v/>
      </c>
      <c r="I107" t="str">
        <f t="shared" si="14"/>
        <v/>
      </c>
      <c r="J107" t="str">
        <f t="shared" si="15"/>
        <v/>
      </c>
      <c r="K107" t="str">
        <f t="shared" si="16"/>
        <v/>
      </c>
      <c r="L107" t="str">
        <f t="shared" si="17"/>
        <v/>
      </c>
      <c r="M107" t="str">
        <f t="shared" si="18"/>
        <v/>
      </c>
      <c r="N107" t="str">
        <f t="shared" si="19"/>
        <v/>
      </c>
      <c r="O107" t="str">
        <f t="shared" si="20"/>
        <v/>
      </c>
      <c r="P107" t="str">
        <f>IF($A107="","",IF($E107=1,$F107*$O107,PNL!G107))</f>
        <v/>
      </c>
      <c r="T107" t="str">
        <f t="shared" si="21"/>
        <v/>
      </c>
    </row>
    <row r="108" spans="1:20" x14ac:dyDescent="0.45">
      <c r="A108" t="str">
        <f>IF(PNL!A108="","",PNL!A108)</f>
        <v/>
      </c>
      <c r="B108" t="str">
        <f>IF(PNL!B108="","",PNL!B108)</f>
        <v/>
      </c>
      <c r="C108" t="str">
        <f>IF(PNL!C108="","",PNL!C108)</f>
        <v/>
      </c>
      <c r="D108" t="str">
        <f>IF(PNL!D108="","",PNL!D108)</f>
        <v/>
      </c>
      <c r="E108" t="str">
        <f t="shared" si="11"/>
        <v/>
      </c>
      <c r="F108" t="str">
        <f>IF($A108="","",IF($E108=1,SUMIFS(Compta!$F$1:$F$675,Compta!$A$1:$A$675,$A108,Compta!$B$1:$B$675,$B108,Compta!$C$1:$C$675,"2026"),0))</f>
        <v/>
      </c>
      <c r="G108" t="str">
        <f t="shared" si="12"/>
        <v/>
      </c>
      <c r="H108" t="str">
        <f t="shared" si="13"/>
        <v/>
      </c>
      <c r="I108" t="str">
        <f t="shared" si="14"/>
        <v/>
      </c>
      <c r="J108" t="str">
        <f t="shared" si="15"/>
        <v/>
      </c>
      <c r="K108" t="str">
        <f t="shared" si="16"/>
        <v/>
      </c>
      <c r="L108" t="str">
        <f t="shared" si="17"/>
        <v/>
      </c>
      <c r="M108" t="str">
        <f t="shared" si="18"/>
        <v/>
      </c>
      <c r="N108" t="str">
        <f t="shared" si="19"/>
        <v/>
      </c>
      <c r="O108" t="str">
        <f t="shared" si="20"/>
        <v/>
      </c>
      <c r="P108" t="str">
        <f>IF($A108="","",IF($E108=1,$F108*$O108,PNL!G108))</f>
        <v/>
      </c>
      <c r="T108" t="str">
        <f t="shared" si="21"/>
        <v/>
      </c>
    </row>
    <row r="109" spans="1:20" x14ac:dyDescent="0.45">
      <c r="A109" t="str">
        <f>IF(PNL!A109="","",PNL!A109)</f>
        <v/>
      </c>
      <c r="B109" t="str">
        <f>IF(PNL!B109="","",PNL!B109)</f>
        <v/>
      </c>
      <c r="C109" t="str">
        <f>IF(PNL!C109="","",PNL!C109)</f>
        <v/>
      </c>
      <c r="D109" t="str">
        <f>IF(PNL!D109="","",PNL!D109)</f>
        <v/>
      </c>
      <c r="E109" t="str">
        <f t="shared" si="11"/>
        <v/>
      </c>
      <c r="F109" t="str">
        <f>IF($A109="","",IF($E109=1,SUMIFS(Compta!$F$1:$F$675,Compta!$A$1:$A$675,$A109,Compta!$B$1:$B$675,$B109,Compta!$C$1:$C$675,"2026"),0))</f>
        <v/>
      </c>
      <c r="G109" t="str">
        <f t="shared" si="12"/>
        <v/>
      </c>
      <c r="H109" t="str">
        <f t="shared" si="13"/>
        <v/>
      </c>
      <c r="I109" t="str">
        <f t="shared" si="14"/>
        <v/>
      </c>
      <c r="J109" t="str">
        <f t="shared" si="15"/>
        <v/>
      </c>
      <c r="K109" t="str">
        <f t="shared" si="16"/>
        <v/>
      </c>
      <c r="L109" t="str">
        <f t="shared" si="17"/>
        <v/>
      </c>
      <c r="M109" t="str">
        <f t="shared" si="18"/>
        <v/>
      </c>
      <c r="N109" t="str">
        <f t="shared" si="19"/>
        <v/>
      </c>
      <c r="O109" t="str">
        <f t="shared" si="20"/>
        <v/>
      </c>
      <c r="P109" t="str">
        <f>IF($A109="","",IF($E109=1,$F109*$O109,PNL!G109))</f>
        <v/>
      </c>
      <c r="T109" t="str">
        <f t="shared" si="21"/>
        <v/>
      </c>
    </row>
    <row r="110" spans="1:20" x14ac:dyDescent="0.45">
      <c r="A110" t="str">
        <f>IF(PNL!A110="","",PNL!A110)</f>
        <v/>
      </c>
      <c r="B110" t="str">
        <f>IF(PNL!B110="","",PNL!B110)</f>
        <v/>
      </c>
      <c r="C110" t="str">
        <f>IF(PNL!C110="","",PNL!C110)</f>
        <v/>
      </c>
      <c r="D110" t="str">
        <f>IF(PNL!D110="","",PNL!D110)</f>
        <v/>
      </c>
      <c r="E110" t="str">
        <f t="shared" si="11"/>
        <v/>
      </c>
      <c r="F110" t="str">
        <f>IF($A110="","",IF($E110=1,SUMIFS(Compta!$F$1:$F$675,Compta!$A$1:$A$675,$A110,Compta!$B$1:$B$675,$B110,Compta!$C$1:$C$675,"2026"),0))</f>
        <v/>
      </c>
      <c r="G110" t="str">
        <f t="shared" si="12"/>
        <v/>
      </c>
      <c r="H110" t="str">
        <f t="shared" si="13"/>
        <v/>
      </c>
      <c r="I110" t="str">
        <f t="shared" si="14"/>
        <v/>
      </c>
      <c r="J110" t="str">
        <f t="shared" si="15"/>
        <v/>
      </c>
      <c r="K110" t="str">
        <f t="shared" si="16"/>
        <v/>
      </c>
      <c r="L110" t="str">
        <f t="shared" si="17"/>
        <v/>
      </c>
      <c r="M110" t="str">
        <f t="shared" si="18"/>
        <v/>
      </c>
      <c r="N110" t="str">
        <f t="shared" si="19"/>
        <v/>
      </c>
      <c r="O110" t="str">
        <f t="shared" si="20"/>
        <v/>
      </c>
      <c r="P110" t="str">
        <f>IF($A110="","",IF($E110=1,$F110*$O110,PNL!G110))</f>
        <v/>
      </c>
      <c r="T110" t="str">
        <f t="shared" si="21"/>
        <v/>
      </c>
    </row>
    <row r="111" spans="1:20" x14ac:dyDescent="0.45">
      <c r="A111" t="str">
        <f>IF(PNL!A111="","",PNL!A111)</f>
        <v/>
      </c>
      <c r="B111" t="str">
        <f>IF(PNL!B111="","",PNL!B111)</f>
        <v/>
      </c>
      <c r="C111" t="str">
        <f>IF(PNL!C111="","",PNL!C111)</f>
        <v/>
      </c>
      <c r="D111" t="str">
        <f>IF(PNL!D111="","",PNL!D111)</f>
        <v/>
      </c>
      <c r="E111" t="str">
        <f t="shared" si="11"/>
        <v/>
      </c>
      <c r="F111" t="str">
        <f>IF($A111="","",IF($E111=1,SUMIFS(Compta!$F$1:$F$675,Compta!$A$1:$A$675,$A111,Compta!$B$1:$B$675,$B111,Compta!$C$1:$C$675,"2026"),0))</f>
        <v/>
      </c>
      <c r="G111" t="str">
        <f t="shared" si="12"/>
        <v/>
      </c>
      <c r="H111" t="str">
        <f t="shared" si="13"/>
        <v/>
      </c>
      <c r="I111" t="str">
        <f t="shared" si="14"/>
        <v/>
      </c>
      <c r="J111" t="str">
        <f t="shared" si="15"/>
        <v/>
      </c>
      <c r="K111" t="str">
        <f t="shared" si="16"/>
        <v/>
      </c>
      <c r="L111" t="str">
        <f t="shared" si="17"/>
        <v/>
      </c>
      <c r="M111" t="str">
        <f t="shared" si="18"/>
        <v/>
      </c>
      <c r="N111" t="str">
        <f t="shared" si="19"/>
        <v/>
      </c>
      <c r="O111" t="str">
        <f t="shared" si="20"/>
        <v/>
      </c>
      <c r="P111" t="str">
        <f>IF($A111="","",IF($E111=1,$F111*$O111,PNL!G111))</f>
        <v/>
      </c>
      <c r="T111" t="str">
        <f t="shared" si="21"/>
        <v/>
      </c>
    </row>
    <row r="112" spans="1:20" x14ac:dyDescent="0.45">
      <c r="A112" t="str">
        <f>IF(PNL!A112="","",PNL!A112)</f>
        <v/>
      </c>
      <c r="B112" t="str">
        <f>IF(PNL!B112="","",PNL!B112)</f>
        <v/>
      </c>
      <c r="C112" t="str">
        <f>IF(PNL!C112="","",PNL!C112)</f>
        <v/>
      </c>
      <c r="D112" t="str">
        <f>IF(PNL!D112="","",PNL!D112)</f>
        <v/>
      </c>
      <c r="E112" t="str">
        <f t="shared" si="11"/>
        <v/>
      </c>
      <c r="F112" t="str">
        <f>IF($A112="","",IF($E112=1,SUMIFS(Compta!$F$1:$F$675,Compta!$A$1:$A$675,$A112,Compta!$B$1:$B$675,$B112,Compta!$C$1:$C$675,"2026"),0))</f>
        <v/>
      </c>
      <c r="G112" t="str">
        <f t="shared" si="12"/>
        <v/>
      </c>
      <c r="H112" t="str">
        <f t="shared" si="13"/>
        <v/>
      </c>
      <c r="I112" t="str">
        <f t="shared" si="14"/>
        <v/>
      </c>
      <c r="J112" t="str">
        <f t="shared" si="15"/>
        <v/>
      </c>
      <c r="K112" t="str">
        <f t="shared" si="16"/>
        <v/>
      </c>
      <c r="L112" t="str">
        <f t="shared" si="17"/>
        <v/>
      </c>
      <c r="M112" t="str">
        <f t="shared" si="18"/>
        <v/>
      </c>
      <c r="N112" t="str">
        <f t="shared" si="19"/>
        <v/>
      </c>
      <c r="O112" t="str">
        <f t="shared" si="20"/>
        <v/>
      </c>
      <c r="P112" t="str">
        <f>IF($A112="","",IF($E112=1,$F112*$O112,PNL!G112))</f>
        <v/>
      </c>
      <c r="T112" t="str">
        <f t="shared" si="21"/>
        <v/>
      </c>
    </row>
    <row r="113" spans="1:20" x14ac:dyDescent="0.45">
      <c r="A113" t="str">
        <f>IF(PNL!A113="","",PNL!A113)</f>
        <v/>
      </c>
      <c r="B113" t="str">
        <f>IF(PNL!B113="","",PNL!B113)</f>
        <v/>
      </c>
      <c r="C113" t="str">
        <f>IF(PNL!C113="","",PNL!C113)</f>
        <v/>
      </c>
      <c r="D113" t="str">
        <f>IF(PNL!D113="","",PNL!D113)</f>
        <v/>
      </c>
      <c r="E113" t="str">
        <f t="shared" si="11"/>
        <v/>
      </c>
      <c r="F113" t="str">
        <f>IF($A113="","",IF($E113=1,SUMIFS(Compta!$F$1:$F$675,Compta!$A$1:$A$675,$A113,Compta!$B$1:$B$675,$B113,Compta!$C$1:$C$675,"2026"),0))</f>
        <v/>
      </c>
      <c r="G113" t="str">
        <f t="shared" si="12"/>
        <v/>
      </c>
      <c r="H113" t="str">
        <f t="shared" si="13"/>
        <v/>
      </c>
      <c r="I113" t="str">
        <f t="shared" si="14"/>
        <v/>
      </c>
      <c r="J113" t="str">
        <f t="shared" si="15"/>
        <v/>
      </c>
      <c r="K113" t="str">
        <f t="shared" si="16"/>
        <v/>
      </c>
      <c r="L113" t="str">
        <f t="shared" si="17"/>
        <v/>
      </c>
      <c r="M113" t="str">
        <f t="shared" si="18"/>
        <v/>
      </c>
      <c r="N113" t="str">
        <f t="shared" si="19"/>
        <v/>
      </c>
      <c r="O113" t="str">
        <f t="shared" si="20"/>
        <v/>
      </c>
      <c r="P113" t="str">
        <f>IF($A113="","",IF($E113=1,$F113*$O113,PNL!G113))</f>
        <v/>
      </c>
      <c r="T113" t="str">
        <f t="shared" si="21"/>
        <v/>
      </c>
    </row>
    <row r="114" spans="1:20" x14ac:dyDescent="0.45">
      <c r="A114" t="str">
        <f>IF(PNL!A114="","",PNL!A114)</f>
        <v/>
      </c>
      <c r="B114" t="str">
        <f>IF(PNL!B114="","",PNL!B114)</f>
        <v/>
      </c>
      <c r="C114" t="str">
        <f>IF(PNL!C114="","",PNL!C114)</f>
        <v/>
      </c>
      <c r="D114" t="str">
        <f>IF(PNL!D114="","",PNL!D114)</f>
        <v/>
      </c>
      <c r="E114" t="str">
        <f t="shared" si="11"/>
        <v/>
      </c>
      <c r="F114" t="str">
        <f>IF($A114="","",IF($E114=1,SUMIFS(Compta!$F$1:$F$675,Compta!$A$1:$A$675,$A114,Compta!$B$1:$B$675,$B114,Compta!$C$1:$C$675,"2026"),0))</f>
        <v/>
      </c>
      <c r="G114" t="str">
        <f t="shared" si="12"/>
        <v/>
      </c>
      <c r="H114" t="str">
        <f t="shared" si="13"/>
        <v/>
      </c>
      <c r="I114" t="str">
        <f t="shared" si="14"/>
        <v/>
      </c>
      <c r="J114" t="str">
        <f t="shared" si="15"/>
        <v/>
      </c>
      <c r="K114" t="str">
        <f t="shared" si="16"/>
        <v/>
      </c>
      <c r="L114" t="str">
        <f t="shared" si="17"/>
        <v/>
      </c>
      <c r="M114" t="str">
        <f t="shared" si="18"/>
        <v/>
      </c>
      <c r="N114" t="str">
        <f t="shared" si="19"/>
        <v/>
      </c>
      <c r="O114" t="str">
        <f t="shared" si="20"/>
        <v/>
      </c>
      <c r="P114" t="str">
        <f>IF($A114="","",IF($E114=1,$F114*$O114,PNL!G114))</f>
        <v/>
      </c>
      <c r="T114" t="str">
        <f t="shared" si="21"/>
        <v/>
      </c>
    </row>
    <row r="115" spans="1:20" x14ac:dyDescent="0.45">
      <c r="A115" t="str">
        <f>IF(PNL!A115="","",PNL!A115)</f>
        <v/>
      </c>
      <c r="B115" t="str">
        <f>IF(PNL!B115="","",PNL!B115)</f>
        <v/>
      </c>
      <c r="C115" t="str">
        <f>IF(PNL!C115="","",PNL!C115)</f>
        <v/>
      </c>
      <c r="D115" t="str">
        <f>IF(PNL!D115="","",PNL!D115)</f>
        <v/>
      </c>
      <c r="E115" t="str">
        <f t="shared" si="11"/>
        <v/>
      </c>
      <c r="F115" t="str">
        <f>IF($A115="","",IF($E115=1,SUMIFS(Compta!$F$1:$F$675,Compta!$A$1:$A$675,$A115,Compta!$B$1:$B$675,$B115,Compta!$C$1:$C$675,"2026"),0))</f>
        <v/>
      </c>
      <c r="G115" t="str">
        <f t="shared" si="12"/>
        <v/>
      </c>
      <c r="H115" t="str">
        <f t="shared" si="13"/>
        <v/>
      </c>
      <c r="I115" t="str">
        <f t="shared" si="14"/>
        <v/>
      </c>
      <c r="J115" t="str">
        <f t="shared" si="15"/>
        <v/>
      </c>
      <c r="K115" t="str">
        <f t="shared" si="16"/>
        <v/>
      </c>
      <c r="L115" t="str">
        <f t="shared" si="17"/>
        <v/>
      </c>
      <c r="M115" t="str">
        <f t="shared" si="18"/>
        <v/>
      </c>
      <c r="N115" t="str">
        <f t="shared" si="19"/>
        <v/>
      </c>
      <c r="O115" t="str">
        <f t="shared" si="20"/>
        <v/>
      </c>
      <c r="P115" t="str">
        <f>IF($A115="","",IF($E115=1,$F115*$O115,PNL!G115))</f>
        <v/>
      </c>
      <c r="T115" t="str">
        <f t="shared" si="21"/>
        <v/>
      </c>
    </row>
    <row r="116" spans="1:20" x14ac:dyDescent="0.45">
      <c r="A116" t="str">
        <f>IF(PNL!A116="","",PNL!A116)</f>
        <v/>
      </c>
      <c r="B116" t="str">
        <f>IF(PNL!B116="","",PNL!B116)</f>
        <v/>
      </c>
      <c r="C116" t="str">
        <f>IF(PNL!C116="","",PNL!C116)</f>
        <v/>
      </c>
      <c r="D116" t="str">
        <f>IF(PNL!D116="","",PNL!D116)</f>
        <v/>
      </c>
      <c r="E116" t="str">
        <f t="shared" si="11"/>
        <v/>
      </c>
      <c r="F116" t="str">
        <f>IF($A116="","",IF($E116=1,SUMIFS(Compta!$F$1:$F$675,Compta!$A$1:$A$675,$A116,Compta!$B$1:$B$675,$B116,Compta!$C$1:$C$675,"2026"),0))</f>
        <v/>
      </c>
      <c r="G116" t="str">
        <f t="shared" si="12"/>
        <v/>
      </c>
      <c r="H116" t="str">
        <f t="shared" si="13"/>
        <v/>
      </c>
      <c r="I116" t="str">
        <f t="shared" si="14"/>
        <v/>
      </c>
      <c r="J116" t="str">
        <f t="shared" si="15"/>
        <v/>
      </c>
      <c r="K116" t="str">
        <f t="shared" si="16"/>
        <v/>
      </c>
      <c r="L116" t="str">
        <f t="shared" si="17"/>
        <v/>
      </c>
      <c r="M116" t="str">
        <f t="shared" si="18"/>
        <v/>
      </c>
      <c r="N116" t="str">
        <f t="shared" si="19"/>
        <v/>
      </c>
      <c r="O116" t="str">
        <f t="shared" si="20"/>
        <v/>
      </c>
      <c r="P116" t="str">
        <f>IF($A116="","",IF($E116=1,$F116*$O116,PNL!G116))</f>
        <v/>
      </c>
      <c r="T116" t="str">
        <f t="shared" si="21"/>
        <v/>
      </c>
    </row>
    <row r="117" spans="1:20" x14ac:dyDescent="0.45">
      <c r="A117" t="str">
        <f>IF(PNL!A117="","",PNL!A117)</f>
        <v/>
      </c>
      <c r="B117" t="str">
        <f>IF(PNL!B117="","",PNL!B117)</f>
        <v/>
      </c>
      <c r="C117" t="str">
        <f>IF(PNL!C117="","",PNL!C117)</f>
        <v/>
      </c>
      <c r="D117" t="str">
        <f>IF(PNL!D117="","",PNL!D117)</f>
        <v/>
      </c>
      <c r="E117" t="str">
        <f t="shared" si="11"/>
        <v/>
      </c>
      <c r="F117" t="str">
        <f>IF($A117="","",IF($E117=1,SUMIFS(Compta!$F$1:$F$675,Compta!$A$1:$A$675,$A117,Compta!$B$1:$B$675,$B117,Compta!$C$1:$C$675,"2026"),0))</f>
        <v/>
      </c>
      <c r="G117" t="str">
        <f t="shared" si="12"/>
        <v/>
      </c>
      <c r="H117" t="str">
        <f t="shared" si="13"/>
        <v/>
      </c>
      <c r="I117" t="str">
        <f t="shared" si="14"/>
        <v/>
      </c>
      <c r="J117" t="str">
        <f t="shared" si="15"/>
        <v/>
      </c>
      <c r="K117" t="str">
        <f t="shared" si="16"/>
        <v/>
      </c>
      <c r="L117" t="str">
        <f t="shared" si="17"/>
        <v/>
      </c>
      <c r="M117" t="str">
        <f t="shared" si="18"/>
        <v/>
      </c>
      <c r="N117" t="str">
        <f t="shared" si="19"/>
        <v/>
      </c>
      <c r="O117" t="str">
        <f t="shared" si="20"/>
        <v/>
      </c>
      <c r="P117" t="str">
        <f>IF($A117="","",IF($E117=1,$F117*$O117,PNL!G117))</f>
        <v/>
      </c>
      <c r="T117" t="str">
        <f t="shared" si="21"/>
        <v/>
      </c>
    </row>
    <row r="118" spans="1:20" x14ac:dyDescent="0.45">
      <c r="A118" t="str">
        <f>IF(PNL!A118="","",PNL!A118)</f>
        <v/>
      </c>
      <c r="B118" t="str">
        <f>IF(PNL!B118="","",PNL!B118)</f>
        <v/>
      </c>
      <c r="C118" t="str">
        <f>IF(PNL!C118="","",PNL!C118)</f>
        <v/>
      </c>
      <c r="D118" t="str">
        <f>IF(PNL!D118="","",PNL!D118)</f>
        <v/>
      </c>
      <c r="E118" t="str">
        <f t="shared" si="11"/>
        <v/>
      </c>
      <c r="F118" t="str">
        <f>IF($A118="","",IF($E118=1,SUMIFS(Compta!$F$1:$F$675,Compta!$A$1:$A$675,$A118,Compta!$B$1:$B$675,$B118,Compta!$C$1:$C$675,"2026"),0))</f>
        <v/>
      </c>
      <c r="G118" t="str">
        <f t="shared" si="12"/>
        <v/>
      </c>
      <c r="H118" t="str">
        <f t="shared" si="13"/>
        <v/>
      </c>
      <c r="I118" t="str">
        <f t="shared" si="14"/>
        <v/>
      </c>
      <c r="J118" t="str">
        <f t="shared" si="15"/>
        <v/>
      </c>
      <c r="K118" t="str">
        <f t="shared" si="16"/>
        <v/>
      </c>
      <c r="L118" t="str">
        <f t="shared" si="17"/>
        <v/>
      </c>
      <c r="M118" t="str">
        <f t="shared" si="18"/>
        <v/>
      </c>
      <c r="N118" t="str">
        <f t="shared" si="19"/>
        <v/>
      </c>
      <c r="O118" t="str">
        <f t="shared" si="20"/>
        <v/>
      </c>
      <c r="P118" t="str">
        <f>IF($A118="","",IF($E118=1,$F118*$O118,PNL!G118))</f>
        <v/>
      </c>
      <c r="T118" t="str">
        <f t="shared" si="21"/>
        <v/>
      </c>
    </row>
    <row r="119" spans="1:20" x14ac:dyDescent="0.45">
      <c r="A119" t="str">
        <f>IF(PNL!A119="","",PNL!A119)</f>
        <v/>
      </c>
      <c r="B119" t="str">
        <f>IF(PNL!B119="","",PNL!B119)</f>
        <v/>
      </c>
      <c r="C119" t="str">
        <f>IF(PNL!C119="","",PNL!C119)</f>
        <v/>
      </c>
      <c r="D119" t="str">
        <f>IF(PNL!D119="","",PNL!D119)</f>
        <v/>
      </c>
      <c r="E119" t="str">
        <f t="shared" si="11"/>
        <v/>
      </c>
      <c r="F119" t="str">
        <f>IF($A119="","",IF($E119=1,SUMIFS(Compta!$F$1:$F$675,Compta!$A$1:$A$675,$A119,Compta!$B$1:$B$675,$B119,Compta!$C$1:$C$675,"2026"),0))</f>
        <v/>
      </c>
      <c r="G119" t="str">
        <f t="shared" si="12"/>
        <v/>
      </c>
      <c r="H119" t="str">
        <f t="shared" si="13"/>
        <v/>
      </c>
      <c r="I119" t="str">
        <f t="shared" si="14"/>
        <v/>
      </c>
      <c r="J119" t="str">
        <f t="shared" si="15"/>
        <v/>
      </c>
      <c r="K119" t="str">
        <f t="shared" si="16"/>
        <v/>
      </c>
      <c r="L119" t="str">
        <f t="shared" si="17"/>
        <v/>
      </c>
      <c r="M119" t="str">
        <f t="shared" si="18"/>
        <v/>
      </c>
      <c r="N119" t="str">
        <f t="shared" si="19"/>
        <v/>
      </c>
      <c r="O119" t="str">
        <f t="shared" si="20"/>
        <v/>
      </c>
      <c r="P119" t="str">
        <f>IF($A119="","",IF($E119=1,$F119*$O119,PNL!G119))</f>
        <v/>
      </c>
      <c r="T119" t="str">
        <f t="shared" si="21"/>
        <v/>
      </c>
    </row>
    <row r="120" spans="1:20" x14ac:dyDescent="0.45">
      <c r="A120" t="str">
        <f>IF(PNL!A120="","",PNL!A120)</f>
        <v/>
      </c>
      <c r="B120" t="str">
        <f>IF(PNL!B120="","",PNL!B120)</f>
        <v/>
      </c>
      <c r="C120" t="str">
        <f>IF(PNL!C120="","",PNL!C120)</f>
        <v/>
      </c>
      <c r="D120" t="str">
        <f>IF(PNL!D120="","",PNL!D120)</f>
        <v/>
      </c>
      <c r="E120" t="str">
        <f t="shared" si="11"/>
        <v/>
      </c>
      <c r="F120" t="str">
        <f>IF($A120="","",IF($E120=1,SUMIFS(Compta!$F$1:$F$675,Compta!$A$1:$A$675,$A120,Compta!$B$1:$B$675,$B120,Compta!$C$1:$C$675,"2026"),0))</f>
        <v/>
      </c>
      <c r="G120" t="str">
        <f t="shared" si="12"/>
        <v/>
      </c>
      <c r="H120" t="str">
        <f t="shared" si="13"/>
        <v/>
      </c>
      <c r="I120" t="str">
        <f t="shared" si="14"/>
        <v/>
      </c>
      <c r="J120" t="str">
        <f t="shared" si="15"/>
        <v/>
      </c>
      <c r="K120" t="str">
        <f t="shared" si="16"/>
        <v/>
      </c>
      <c r="L120" t="str">
        <f t="shared" si="17"/>
        <v/>
      </c>
      <c r="M120" t="str">
        <f t="shared" si="18"/>
        <v/>
      </c>
      <c r="N120" t="str">
        <f t="shared" si="19"/>
        <v/>
      </c>
      <c r="O120" t="str">
        <f t="shared" si="20"/>
        <v/>
      </c>
      <c r="P120" t="str">
        <f>IF($A120="","",IF($E120=1,$F120*$O120,PNL!G120))</f>
        <v/>
      </c>
      <c r="T120" t="str">
        <f t="shared" si="21"/>
        <v/>
      </c>
    </row>
    <row r="121" spans="1:20" x14ac:dyDescent="0.45">
      <c r="A121" t="str">
        <f>IF(PNL!A121="","",PNL!A121)</f>
        <v/>
      </c>
      <c r="B121" t="str">
        <f>IF(PNL!B121="","",PNL!B121)</f>
        <v/>
      </c>
      <c r="C121" t="str">
        <f>IF(PNL!C121="","",PNL!C121)</f>
        <v/>
      </c>
      <c r="D121" t="str">
        <f>IF(PNL!D121="","",PNL!D121)</f>
        <v/>
      </c>
      <c r="E121" t="str">
        <f t="shared" si="11"/>
        <v/>
      </c>
      <c r="F121" t="str">
        <f>IF($A121="","",IF($E121=1,SUMIFS(Compta!$F$1:$F$675,Compta!$A$1:$A$675,$A121,Compta!$B$1:$B$675,$B121,Compta!$C$1:$C$675,"2026"),0))</f>
        <v/>
      </c>
      <c r="G121" t="str">
        <f t="shared" si="12"/>
        <v/>
      </c>
      <c r="H121" t="str">
        <f t="shared" si="13"/>
        <v/>
      </c>
      <c r="I121" t="str">
        <f t="shared" si="14"/>
        <v/>
      </c>
      <c r="J121" t="str">
        <f t="shared" si="15"/>
        <v/>
      </c>
      <c r="K121" t="str">
        <f t="shared" si="16"/>
        <v/>
      </c>
      <c r="L121" t="str">
        <f t="shared" si="17"/>
        <v/>
      </c>
      <c r="M121" t="str">
        <f t="shared" si="18"/>
        <v/>
      </c>
      <c r="N121" t="str">
        <f t="shared" si="19"/>
        <v/>
      </c>
      <c r="O121" t="str">
        <f t="shared" si="20"/>
        <v/>
      </c>
      <c r="P121" t="str">
        <f>IF($A121="","",IF($E121=1,$F121*$O121,PNL!G121))</f>
        <v/>
      </c>
      <c r="T121" t="str">
        <f t="shared" si="21"/>
        <v/>
      </c>
    </row>
    <row r="122" spans="1:20" x14ac:dyDescent="0.45">
      <c r="A122" t="str">
        <f>IF(PNL!A122="","",PNL!A122)</f>
        <v/>
      </c>
      <c r="B122" t="str">
        <f>IF(PNL!B122="","",PNL!B122)</f>
        <v/>
      </c>
      <c r="C122" t="str">
        <f>IF(PNL!C122="","",PNL!C122)</f>
        <v/>
      </c>
      <c r="D122" t="str">
        <f>IF(PNL!D122="","",PNL!D122)</f>
        <v/>
      </c>
      <c r="E122" t="str">
        <f t="shared" si="11"/>
        <v/>
      </c>
      <c r="F122" t="str">
        <f>IF($A122="","",IF($E122=1,SUMIFS(Compta!$F$1:$F$675,Compta!$A$1:$A$675,$A122,Compta!$B$1:$B$675,$B122,Compta!$C$1:$C$675,"2026"),0))</f>
        <v/>
      </c>
      <c r="G122" t="str">
        <f t="shared" si="12"/>
        <v/>
      </c>
      <c r="H122" t="str">
        <f t="shared" si="13"/>
        <v/>
      </c>
      <c r="I122" t="str">
        <f t="shared" si="14"/>
        <v/>
      </c>
      <c r="J122" t="str">
        <f t="shared" si="15"/>
        <v/>
      </c>
      <c r="K122" t="str">
        <f t="shared" si="16"/>
        <v/>
      </c>
      <c r="L122" t="str">
        <f t="shared" si="17"/>
        <v/>
      </c>
      <c r="M122" t="str">
        <f t="shared" si="18"/>
        <v/>
      </c>
      <c r="N122" t="str">
        <f t="shared" si="19"/>
        <v/>
      </c>
      <c r="O122" t="str">
        <f t="shared" si="20"/>
        <v/>
      </c>
      <c r="P122" t="str">
        <f>IF($A122="","",IF($E122=1,$F122*$O122,PNL!G122))</f>
        <v/>
      </c>
      <c r="T122" t="str">
        <f t="shared" si="21"/>
        <v/>
      </c>
    </row>
    <row r="123" spans="1:20" x14ac:dyDescent="0.45">
      <c r="A123" t="str">
        <f>IF(PNL!A123="","",PNL!A123)</f>
        <v/>
      </c>
      <c r="B123" t="str">
        <f>IF(PNL!B123="","",PNL!B123)</f>
        <v/>
      </c>
      <c r="C123" t="str">
        <f>IF(PNL!C123="","",PNL!C123)</f>
        <v/>
      </c>
      <c r="D123" t="str">
        <f>IF(PNL!D123="","",PNL!D123)</f>
        <v/>
      </c>
      <c r="E123" t="str">
        <f t="shared" si="11"/>
        <v/>
      </c>
      <c r="F123" t="str">
        <f>IF($A123="","",IF($E123=1,SUMIFS(Compta!$F$1:$F$675,Compta!$A$1:$A$675,$A123,Compta!$B$1:$B$675,$B123,Compta!$C$1:$C$675,"2026"),0))</f>
        <v/>
      </c>
      <c r="G123" t="str">
        <f t="shared" si="12"/>
        <v/>
      </c>
      <c r="H123" t="str">
        <f t="shared" si="13"/>
        <v/>
      </c>
      <c r="I123" t="str">
        <f t="shared" si="14"/>
        <v/>
      </c>
      <c r="J123" t="str">
        <f t="shared" si="15"/>
        <v/>
      </c>
      <c r="K123" t="str">
        <f t="shared" si="16"/>
        <v/>
      </c>
      <c r="L123" t="str">
        <f t="shared" si="17"/>
        <v/>
      </c>
      <c r="M123" t="str">
        <f t="shared" si="18"/>
        <v/>
      </c>
      <c r="N123" t="str">
        <f t="shared" si="19"/>
        <v/>
      </c>
      <c r="O123" t="str">
        <f t="shared" si="20"/>
        <v/>
      </c>
      <c r="P123" t="str">
        <f>IF($A123="","",IF($E123=1,$F123*$O123,PNL!G123))</f>
        <v/>
      </c>
      <c r="T123" t="str">
        <f t="shared" si="21"/>
        <v/>
      </c>
    </row>
    <row r="124" spans="1:20" x14ac:dyDescent="0.45">
      <c r="A124" t="str">
        <f>IF(PNL!A124="","",PNL!A124)</f>
        <v/>
      </c>
      <c r="B124" t="str">
        <f>IF(PNL!B124="","",PNL!B124)</f>
        <v/>
      </c>
      <c r="C124" t="str">
        <f>IF(PNL!C124="","",PNL!C124)</f>
        <v/>
      </c>
      <c r="D124" t="str">
        <f>IF(PNL!D124="","",PNL!D124)</f>
        <v/>
      </c>
      <c r="E124" t="str">
        <f t="shared" si="11"/>
        <v/>
      </c>
      <c r="F124" t="str">
        <f>IF($A124="","",IF($E124=1,SUMIFS(Compta!$F$1:$F$675,Compta!$A$1:$A$675,$A124,Compta!$B$1:$B$675,$B124,Compta!$C$1:$C$675,"2026"),0))</f>
        <v/>
      </c>
      <c r="G124" t="str">
        <f t="shared" si="12"/>
        <v/>
      </c>
      <c r="H124" t="str">
        <f t="shared" si="13"/>
        <v/>
      </c>
      <c r="I124" t="str">
        <f t="shared" si="14"/>
        <v/>
      </c>
      <c r="J124" t="str">
        <f t="shared" si="15"/>
        <v/>
      </c>
      <c r="K124" t="str">
        <f t="shared" si="16"/>
        <v/>
      </c>
      <c r="L124" t="str">
        <f t="shared" si="17"/>
        <v/>
      </c>
      <c r="M124" t="str">
        <f t="shared" si="18"/>
        <v/>
      </c>
      <c r="N124" t="str">
        <f t="shared" si="19"/>
        <v/>
      </c>
      <c r="O124" t="str">
        <f t="shared" si="20"/>
        <v/>
      </c>
      <c r="P124" t="str">
        <f>IF($A124="","",IF($E124=1,$F124*$O124,PNL!G124))</f>
        <v/>
      </c>
      <c r="T124" t="str">
        <f t="shared" si="21"/>
        <v/>
      </c>
    </row>
    <row r="125" spans="1:20" x14ac:dyDescent="0.45">
      <c r="A125" t="str">
        <f>IF(PNL!A125="","",PNL!A125)</f>
        <v/>
      </c>
      <c r="B125" t="str">
        <f>IF(PNL!B125="","",PNL!B125)</f>
        <v/>
      </c>
      <c r="C125" t="str">
        <f>IF(PNL!C125="","",PNL!C125)</f>
        <v/>
      </c>
      <c r="D125" t="str">
        <f>IF(PNL!D125="","",PNL!D125)</f>
        <v/>
      </c>
      <c r="E125" t="str">
        <f t="shared" si="11"/>
        <v/>
      </c>
      <c r="F125" t="str">
        <f>IF($A125="","",IF($E125=1,SUMIFS(Compta!$F$1:$F$675,Compta!$A$1:$A$675,$A125,Compta!$B$1:$B$675,$B125,Compta!$C$1:$C$675,"2026"),0))</f>
        <v/>
      </c>
      <c r="G125" t="str">
        <f t="shared" si="12"/>
        <v/>
      </c>
      <c r="H125" t="str">
        <f t="shared" si="13"/>
        <v/>
      </c>
      <c r="I125" t="str">
        <f t="shared" si="14"/>
        <v/>
      </c>
      <c r="J125" t="str">
        <f t="shared" si="15"/>
        <v/>
      </c>
      <c r="K125" t="str">
        <f t="shared" si="16"/>
        <v/>
      </c>
      <c r="L125" t="str">
        <f t="shared" si="17"/>
        <v/>
      </c>
      <c r="M125" t="str">
        <f t="shared" si="18"/>
        <v/>
      </c>
      <c r="N125" t="str">
        <f t="shared" si="19"/>
        <v/>
      </c>
      <c r="O125" t="str">
        <f t="shared" si="20"/>
        <v/>
      </c>
      <c r="P125" t="str">
        <f>IF($A125="","",IF($E125=1,$F125*$O125,PNL!G125))</f>
        <v/>
      </c>
      <c r="T125" t="str">
        <f t="shared" si="21"/>
        <v/>
      </c>
    </row>
    <row r="126" spans="1:20" x14ac:dyDescent="0.45">
      <c r="A126" t="str">
        <f>IF(PNL!A126="","",PNL!A126)</f>
        <v/>
      </c>
      <c r="B126" t="str">
        <f>IF(PNL!B126="","",PNL!B126)</f>
        <v/>
      </c>
      <c r="C126" t="str">
        <f>IF(PNL!C126="","",PNL!C126)</f>
        <v/>
      </c>
      <c r="D126" t="str">
        <f>IF(PNL!D126="","",PNL!D126)</f>
        <v/>
      </c>
      <c r="E126" t="str">
        <f t="shared" si="11"/>
        <v/>
      </c>
      <c r="F126" t="str">
        <f>IF($A126="","",IF($E126=1,SUMIFS(Compta!$F$1:$F$675,Compta!$A$1:$A$675,$A126,Compta!$B$1:$B$675,$B126,Compta!$C$1:$C$675,"2026"),0))</f>
        <v/>
      </c>
      <c r="G126" t="str">
        <f t="shared" si="12"/>
        <v/>
      </c>
      <c r="H126" t="str">
        <f t="shared" si="13"/>
        <v/>
      </c>
      <c r="I126" t="str">
        <f t="shared" si="14"/>
        <v/>
      </c>
      <c r="J126" t="str">
        <f t="shared" si="15"/>
        <v/>
      </c>
      <c r="K126" t="str">
        <f t="shared" si="16"/>
        <v/>
      </c>
      <c r="L126" t="str">
        <f t="shared" si="17"/>
        <v/>
      </c>
      <c r="M126" t="str">
        <f t="shared" si="18"/>
        <v/>
      </c>
      <c r="N126" t="str">
        <f t="shared" si="19"/>
        <v/>
      </c>
      <c r="O126" t="str">
        <f t="shared" si="20"/>
        <v/>
      </c>
      <c r="P126" t="str">
        <f>IF($A126="","",IF($E126=1,$F126*$O126,PNL!G126))</f>
        <v/>
      </c>
      <c r="T126" t="str">
        <f t="shared" si="21"/>
        <v/>
      </c>
    </row>
    <row r="127" spans="1:20" x14ac:dyDescent="0.45">
      <c r="A127" t="str">
        <f>IF(PNL!A127="","",PNL!A127)</f>
        <v/>
      </c>
      <c r="B127" t="str">
        <f>IF(PNL!B127="","",PNL!B127)</f>
        <v/>
      </c>
      <c r="C127" t="str">
        <f>IF(PNL!C127="","",PNL!C127)</f>
        <v/>
      </c>
      <c r="D127" t="str">
        <f>IF(PNL!D127="","",PNL!D127)</f>
        <v/>
      </c>
      <c r="E127" t="str">
        <f t="shared" si="11"/>
        <v/>
      </c>
      <c r="F127" t="str">
        <f>IF($A127="","",IF($E127=1,SUMIFS(Compta!$F$1:$F$675,Compta!$A$1:$A$675,$A127,Compta!$B$1:$B$675,$B127,Compta!$C$1:$C$675,"2026"),0))</f>
        <v/>
      </c>
      <c r="G127" t="str">
        <f t="shared" si="12"/>
        <v/>
      </c>
      <c r="H127" t="str">
        <f t="shared" si="13"/>
        <v/>
      </c>
      <c r="I127" t="str">
        <f t="shared" si="14"/>
        <v/>
      </c>
      <c r="J127" t="str">
        <f t="shared" si="15"/>
        <v/>
      </c>
      <c r="K127" t="str">
        <f t="shared" si="16"/>
        <v/>
      </c>
      <c r="L127" t="str">
        <f t="shared" si="17"/>
        <v/>
      </c>
      <c r="M127" t="str">
        <f t="shared" si="18"/>
        <v/>
      </c>
      <c r="N127" t="str">
        <f t="shared" si="19"/>
        <v/>
      </c>
      <c r="O127" t="str">
        <f t="shared" si="20"/>
        <v/>
      </c>
      <c r="P127" t="str">
        <f>IF($A127="","",IF($E127=1,$F127*$O127,PNL!G127))</f>
        <v/>
      </c>
      <c r="T127" t="str">
        <f t="shared" si="21"/>
        <v/>
      </c>
    </row>
    <row r="128" spans="1:20" x14ac:dyDescent="0.45">
      <c r="A128" t="str">
        <f>IF(PNL!A128="","",PNL!A128)</f>
        <v/>
      </c>
      <c r="B128" t="str">
        <f>IF(PNL!B128="","",PNL!B128)</f>
        <v/>
      </c>
      <c r="C128" t="str">
        <f>IF(PNL!C128="","",PNL!C128)</f>
        <v/>
      </c>
      <c r="D128" t="str">
        <f>IF(PNL!D128="","",PNL!D128)</f>
        <v/>
      </c>
      <c r="E128" t="str">
        <f t="shared" si="11"/>
        <v/>
      </c>
      <c r="F128" t="str">
        <f>IF($A128="","",IF($E128=1,SUMIFS(Compta!$F$1:$F$675,Compta!$A$1:$A$675,$A128,Compta!$B$1:$B$675,$B128,Compta!$C$1:$C$675,"2026"),0))</f>
        <v/>
      </c>
      <c r="G128" t="str">
        <f t="shared" si="12"/>
        <v/>
      </c>
      <c r="H128" t="str">
        <f t="shared" si="13"/>
        <v/>
      </c>
      <c r="I128" t="str">
        <f t="shared" si="14"/>
        <v/>
      </c>
      <c r="J128" t="str">
        <f t="shared" si="15"/>
        <v/>
      </c>
      <c r="K128" t="str">
        <f t="shared" si="16"/>
        <v/>
      </c>
      <c r="L128" t="str">
        <f t="shared" si="17"/>
        <v/>
      </c>
      <c r="M128" t="str">
        <f t="shared" si="18"/>
        <v/>
      </c>
      <c r="N128" t="str">
        <f t="shared" si="19"/>
        <v/>
      </c>
      <c r="O128" t="str">
        <f t="shared" si="20"/>
        <v/>
      </c>
      <c r="P128" t="str">
        <f>IF($A128="","",IF($E128=1,$F128*$O128,PNL!G128))</f>
        <v/>
      </c>
      <c r="T128" t="str">
        <f t="shared" si="21"/>
        <v/>
      </c>
    </row>
    <row r="129" spans="1:20" x14ac:dyDescent="0.45">
      <c r="A129" t="str">
        <f>IF(PNL!A129="","",PNL!A129)</f>
        <v/>
      </c>
      <c r="B129" t="str">
        <f>IF(PNL!B129="","",PNL!B129)</f>
        <v/>
      </c>
      <c r="C129" t="str">
        <f>IF(PNL!C129="","",PNL!C129)</f>
        <v/>
      </c>
      <c r="D129" t="str">
        <f>IF(PNL!D129="","",PNL!D129)</f>
        <v/>
      </c>
      <c r="E129" t="str">
        <f t="shared" si="11"/>
        <v/>
      </c>
      <c r="F129" t="str">
        <f>IF($A129="","",IF($E129=1,SUMIFS(Compta!$F$1:$F$675,Compta!$A$1:$A$675,$A129,Compta!$B$1:$B$675,$B129,Compta!$C$1:$C$675,"2026"),0))</f>
        <v/>
      </c>
      <c r="G129" t="str">
        <f t="shared" si="12"/>
        <v/>
      </c>
      <c r="H129" t="str">
        <f t="shared" si="13"/>
        <v/>
      </c>
      <c r="I129" t="str">
        <f t="shared" si="14"/>
        <v/>
      </c>
      <c r="J129" t="str">
        <f t="shared" si="15"/>
        <v/>
      </c>
      <c r="K129" t="str">
        <f t="shared" si="16"/>
        <v/>
      </c>
      <c r="L129" t="str">
        <f t="shared" si="17"/>
        <v/>
      </c>
      <c r="M129" t="str">
        <f t="shared" si="18"/>
        <v/>
      </c>
      <c r="N129" t="str">
        <f t="shared" si="19"/>
        <v/>
      </c>
      <c r="O129" t="str">
        <f t="shared" si="20"/>
        <v/>
      </c>
      <c r="P129" t="str">
        <f>IF($A129="","",IF($E129=1,$F129*$O129,PNL!G129))</f>
        <v/>
      </c>
      <c r="T129" t="str">
        <f t="shared" si="21"/>
        <v/>
      </c>
    </row>
    <row r="130" spans="1:20" x14ac:dyDescent="0.45">
      <c r="A130" t="str">
        <f>IF(PNL!A130="","",PNL!A130)</f>
        <v/>
      </c>
      <c r="B130" t="str">
        <f>IF(PNL!B130="","",PNL!B130)</f>
        <v/>
      </c>
      <c r="C130" t="str">
        <f>IF(PNL!C130="","",PNL!C130)</f>
        <v/>
      </c>
      <c r="D130" t="str">
        <f>IF(PNL!D130="","",PNL!D130)</f>
        <v/>
      </c>
      <c r="E130" t="str">
        <f t="shared" ref="E130:E193" si="22">IF($A130="","",IF(AND($C130="2027",OR($D130="V01",$D130="V02",$D130="V03")),1,0))</f>
        <v/>
      </c>
      <c r="F130" t="str">
        <f>IF($A130="","",IF($E130=1,SUMIFS(Compta!$F$1:$F$675,Compta!$A$1:$A$675,$A130,Compta!$B$1:$B$675,$B130,Compta!$C$1:$C$675,"2026"),0))</f>
        <v/>
      </c>
      <c r="G130" t="str">
        <f t="shared" ref="G130:G193" si="23">IF($A130="","",IF($D130="V01",cad!$C$23,IF($D130="V02",cad!$D$23,cad!$E$23)))</f>
        <v/>
      </c>
      <c r="H130" t="str">
        <f t="shared" ref="H130:H193" si="24">IF($A130="","",IF($D130="V01",cad!$C$24,IF($D130="V02",cad!$D$24,cad!$E$24)))</f>
        <v/>
      </c>
      <c r="I130" t="str">
        <f t="shared" ref="I130:I193" si="25">IF($A130="","",IF($D130="V01",cad!$C$32,IF($D130="V02",cad!$D$32,cad!$E$32)))</f>
        <v/>
      </c>
      <c r="J130" t="str">
        <f t="shared" ref="J130:J193" si="26">IF($A130="","",IF($D130="V01",cad!$C$33,IF($D130="V02",cad!$D$33,cad!$E$33)))</f>
        <v/>
      </c>
      <c r="K130" t="str">
        <f t="shared" ref="K130:K193" si="27">IF($A130="","",IF($D130="V01",cad!$C$34,IF($D130="V02",cad!$D$34,cad!$E$34)))</f>
        <v/>
      </c>
      <c r="L130" t="str">
        <f t="shared" ref="L130:L193" si="28">IF($A130="","",IF($D130="V01",cad!$C$35,IF($D130="V02",cad!$D$35,cad!$E$35)))</f>
        <v/>
      </c>
      <c r="M130" t="str">
        <f t="shared" ref="M130:M193" si="29">IF($A130="","",IF($D130="V01",cad!$C$36,IF($D130="V02",cad!$D$36,cad!$E$36)))</f>
        <v/>
      </c>
      <c r="N130" t="str">
        <f t="shared" ref="N130:N193" si="30">IF($A130="","",IF($D130="V01",$R$2,IF($D130="V02",$R$3,$R$4)))</f>
        <v/>
      </c>
      <c r="O130" t="str">
        <f t="shared" ref="O130:O193" si="31">IF($A130="","",IF(OR($B130="7062",$B130="706",$B130="708"),$N130,IF($B130="6231",1+$G130,IF($B130="6236",1+$H130,IF(OR($B130="621",$B130="604",$B130="6063"),$N130*(1-$L130),IF(OR($B130="6411",$B130="6413",$B130="6414",$B130="645"),(1+$J130)*(1+$K130),IF(OR($B130="613",$B130="615",$B130="616",$B130="6226",$B130="625",$B130="626",$B130="6281"),(1+$I130)*(1-$L130)*(1+$M130),IF(OR($B130="6331",$B130="63511",$B130="6333"),(1+$I130)*(1-$L130),IF($B130="6811",1+$I130,1)))))))))</f>
        <v/>
      </c>
      <c r="P130" t="str">
        <f>IF($A130="","",IF($E130=1,$F130*$O130,PNL!G130))</f>
        <v/>
      </c>
      <c r="T130" t="str">
        <f t="shared" ref="T130:T193" si="32">IF($A130="","",IF($E130=1,IF(OR($B130="7062",$B130="706",$B130="708"),$P130,IF(AND(LEFT($B130,1)="6",$B130&lt;&gt;"6811"),-$P130,0)),0))</f>
        <v/>
      </c>
    </row>
    <row r="131" spans="1:20" x14ac:dyDescent="0.45">
      <c r="A131" t="str">
        <f>IF(PNL!A131="","",PNL!A131)</f>
        <v/>
      </c>
      <c r="B131" t="str">
        <f>IF(PNL!B131="","",PNL!B131)</f>
        <v/>
      </c>
      <c r="C131" t="str">
        <f>IF(PNL!C131="","",PNL!C131)</f>
        <v/>
      </c>
      <c r="D131" t="str">
        <f>IF(PNL!D131="","",PNL!D131)</f>
        <v/>
      </c>
      <c r="E131" t="str">
        <f t="shared" si="22"/>
        <v/>
      </c>
      <c r="F131" t="str">
        <f>IF($A131="","",IF($E131=1,SUMIFS(Compta!$F$1:$F$675,Compta!$A$1:$A$675,$A131,Compta!$B$1:$B$675,$B131,Compta!$C$1:$C$675,"2026"),0))</f>
        <v/>
      </c>
      <c r="G131" t="str">
        <f t="shared" si="23"/>
        <v/>
      </c>
      <c r="H131" t="str">
        <f t="shared" si="24"/>
        <v/>
      </c>
      <c r="I131" t="str">
        <f t="shared" si="25"/>
        <v/>
      </c>
      <c r="J131" t="str">
        <f t="shared" si="26"/>
        <v/>
      </c>
      <c r="K131" t="str">
        <f t="shared" si="27"/>
        <v/>
      </c>
      <c r="L131" t="str">
        <f t="shared" si="28"/>
        <v/>
      </c>
      <c r="M131" t="str">
        <f t="shared" si="29"/>
        <v/>
      </c>
      <c r="N131" t="str">
        <f t="shared" si="30"/>
        <v/>
      </c>
      <c r="O131" t="str">
        <f t="shared" si="31"/>
        <v/>
      </c>
      <c r="P131" t="str">
        <f>IF($A131="","",IF($E131=1,$F131*$O131,PNL!G131))</f>
        <v/>
      </c>
      <c r="T131" t="str">
        <f t="shared" si="32"/>
        <v/>
      </c>
    </row>
    <row r="132" spans="1:20" x14ac:dyDescent="0.45">
      <c r="A132" t="str">
        <f>IF(PNL!A132="","",PNL!A132)</f>
        <v/>
      </c>
      <c r="B132" t="str">
        <f>IF(PNL!B132="","",PNL!B132)</f>
        <v/>
      </c>
      <c r="C132" t="str">
        <f>IF(PNL!C132="","",PNL!C132)</f>
        <v/>
      </c>
      <c r="D132" t="str">
        <f>IF(PNL!D132="","",PNL!D132)</f>
        <v/>
      </c>
      <c r="E132" t="str">
        <f t="shared" si="22"/>
        <v/>
      </c>
      <c r="F132" t="str">
        <f>IF($A132="","",IF($E132=1,SUMIFS(Compta!$F$1:$F$675,Compta!$A$1:$A$675,$A132,Compta!$B$1:$B$675,$B132,Compta!$C$1:$C$675,"2026"),0))</f>
        <v/>
      </c>
      <c r="G132" t="str">
        <f t="shared" si="23"/>
        <v/>
      </c>
      <c r="H132" t="str">
        <f t="shared" si="24"/>
        <v/>
      </c>
      <c r="I132" t="str">
        <f t="shared" si="25"/>
        <v/>
      </c>
      <c r="J132" t="str">
        <f t="shared" si="26"/>
        <v/>
      </c>
      <c r="K132" t="str">
        <f t="shared" si="27"/>
        <v/>
      </c>
      <c r="L132" t="str">
        <f t="shared" si="28"/>
        <v/>
      </c>
      <c r="M132" t="str">
        <f t="shared" si="29"/>
        <v/>
      </c>
      <c r="N132" t="str">
        <f t="shared" si="30"/>
        <v/>
      </c>
      <c r="O132" t="str">
        <f t="shared" si="31"/>
        <v/>
      </c>
      <c r="P132" t="str">
        <f>IF($A132="","",IF($E132=1,$F132*$O132,PNL!G132))</f>
        <v/>
      </c>
      <c r="T132" t="str">
        <f t="shared" si="32"/>
        <v/>
      </c>
    </row>
    <row r="133" spans="1:20" x14ac:dyDescent="0.45">
      <c r="A133" t="str">
        <f>IF(PNL!A133="","",PNL!A133)</f>
        <v/>
      </c>
      <c r="B133" t="str">
        <f>IF(PNL!B133="","",PNL!B133)</f>
        <v/>
      </c>
      <c r="C133" t="str">
        <f>IF(PNL!C133="","",PNL!C133)</f>
        <v/>
      </c>
      <c r="D133" t="str">
        <f>IF(PNL!D133="","",PNL!D133)</f>
        <v/>
      </c>
      <c r="E133" t="str">
        <f t="shared" si="22"/>
        <v/>
      </c>
      <c r="F133" t="str">
        <f>IF($A133="","",IF($E133=1,SUMIFS(Compta!$F$1:$F$675,Compta!$A$1:$A$675,$A133,Compta!$B$1:$B$675,$B133,Compta!$C$1:$C$675,"2026"),0))</f>
        <v/>
      </c>
      <c r="G133" t="str">
        <f t="shared" si="23"/>
        <v/>
      </c>
      <c r="H133" t="str">
        <f t="shared" si="24"/>
        <v/>
      </c>
      <c r="I133" t="str">
        <f t="shared" si="25"/>
        <v/>
      </c>
      <c r="J133" t="str">
        <f t="shared" si="26"/>
        <v/>
      </c>
      <c r="K133" t="str">
        <f t="shared" si="27"/>
        <v/>
      </c>
      <c r="L133" t="str">
        <f t="shared" si="28"/>
        <v/>
      </c>
      <c r="M133" t="str">
        <f t="shared" si="29"/>
        <v/>
      </c>
      <c r="N133" t="str">
        <f t="shared" si="30"/>
        <v/>
      </c>
      <c r="O133" t="str">
        <f t="shared" si="31"/>
        <v/>
      </c>
      <c r="P133" t="str">
        <f>IF($A133="","",IF($E133=1,$F133*$O133,PNL!G133))</f>
        <v/>
      </c>
      <c r="T133" t="str">
        <f t="shared" si="32"/>
        <v/>
      </c>
    </row>
    <row r="134" spans="1:20" x14ac:dyDescent="0.45">
      <c r="A134" t="str">
        <f>IF(PNL!A134="","",PNL!A134)</f>
        <v/>
      </c>
      <c r="B134" t="str">
        <f>IF(PNL!B134="","",PNL!B134)</f>
        <v/>
      </c>
      <c r="C134" t="str">
        <f>IF(PNL!C134="","",PNL!C134)</f>
        <v/>
      </c>
      <c r="D134" t="str">
        <f>IF(PNL!D134="","",PNL!D134)</f>
        <v/>
      </c>
      <c r="E134" t="str">
        <f t="shared" si="22"/>
        <v/>
      </c>
      <c r="F134" t="str">
        <f>IF($A134="","",IF($E134=1,SUMIFS(Compta!$F$1:$F$675,Compta!$A$1:$A$675,$A134,Compta!$B$1:$B$675,$B134,Compta!$C$1:$C$675,"2026"),0))</f>
        <v/>
      </c>
      <c r="G134" t="str">
        <f t="shared" si="23"/>
        <v/>
      </c>
      <c r="H134" t="str">
        <f t="shared" si="24"/>
        <v/>
      </c>
      <c r="I134" t="str">
        <f t="shared" si="25"/>
        <v/>
      </c>
      <c r="J134" t="str">
        <f t="shared" si="26"/>
        <v/>
      </c>
      <c r="K134" t="str">
        <f t="shared" si="27"/>
        <v/>
      </c>
      <c r="L134" t="str">
        <f t="shared" si="28"/>
        <v/>
      </c>
      <c r="M134" t="str">
        <f t="shared" si="29"/>
        <v/>
      </c>
      <c r="N134" t="str">
        <f t="shared" si="30"/>
        <v/>
      </c>
      <c r="O134" t="str">
        <f t="shared" si="31"/>
        <v/>
      </c>
      <c r="P134" t="str">
        <f>IF($A134="","",IF($E134=1,$F134*$O134,PNL!G134))</f>
        <v/>
      </c>
      <c r="T134" t="str">
        <f t="shared" si="32"/>
        <v/>
      </c>
    </row>
    <row r="135" spans="1:20" x14ac:dyDescent="0.45">
      <c r="A135" t="str">
        <f>IF(PNL!A135="","",PNL!A135)</f>
        <v/>
      </c>
      <c r="B135" t="str">
        <f>IF(PNL!B135="","",PNL!B135)</f>
        <v/>
      </c>
      <c r="C135" t="str">
        <f>IF(PNL!C135="","",PNL!C135)</f>
        <v/>
      </c>
      <c r="D135" t="str">
        <f>IF(PNL!D135="","",PNL!D135)</f>
        <v/>
      </c>
      <c r="E135" t="str">
        <f t="shared" si="22"/>
        <v/>
      </c>
      <c r="F135" t="str">
        <f>IF($A135="","",IF($E135=1,SUMIFS(Compta!$F$1:$F$675,Compta!$A$1:$A$675,$A135,Compta!$B$1:$B$675,$B135,Compta!$C$1:$C$675,"2026"),0))</f>
        <v/>
      </c>
      <c r="G135" t="str">
        <f t="shared" si="23"/>
        <v/>
      </c>
      <c r="H135" t="str">
        <f t="shared" si="24"/>
        <v/>
      </c>
      <c r="I135" t="str">
        <f t="shared" si="25"/>
        <v/>
      </c>
      <c r="J135" t="str">
        <f t="shared" si="26"/>
        <v/>
      </c>
      <c r="K135" t="str">
        <f t="shared" si="27"/>
        <v/>
      </c>
      <c r="L135" t="str">
        <f t="shared" si="28"/>
        <v/>
      </c>
      <c r="M135" t="str">
        <f t="shared" si="29"/>
        <v/>
      </c>
      <c r="N135" t="str">
        <f t="shared" si="30"/>
        <v/>
      </c>
      <c r="O135" t="str">
        <f t="shared" si="31"/>
        <v/>
      </c>
      <c r="P135" t="str">
        <f>IF($A135="","",IF($E135=1,$F135*$O135,PNL!G135))</f>
        <v/>
      </c>
      <c r="T135" t="str">
        <f t="shared" si="32"/>
        <v/>
      </c>
    </row>
    <row r="136" spans="1:20" x14ac:dyDescent="0.45">
      <c r="A136" t="str">
        <f>IF(PNL!A136="","",PNL!A136)</f>
        <v/>
      </c>
      <c r="B136" t="str">
        <f>IF(PNL!B136="","",PNL!B136)</f>
        <v/>
      </c>
      <c r="C136" t="str">
        <f>IF(PNL!C136="","",PNL!C136)</f>
        <v/>
      </c>
      <c r="D136" t="str">
        <f>IF(PNL!D136="","",PNL!D136)</f>
        <v/>
      </c>
      <c r="E136" t="str">
        <f t="shared" si="22"/>
        <v/>
      </c>
      <c r="F136" t="str">
        <f>IF($A136="","",IF($E136=1,SUMIFS(Compta!$F$1:$F$675,Compta!$A$1:$A$675,$A136,Compta!$B$1:$B$675,$B136,Compta!$C$1:$C$675,"2026"),0))</f>
        <v/>
      </c>
      <c r="G136" t="str">
        <f t="shared" si="23"/>
        <v/>
      </c>
      <c r="H136" t="str">
        <f t="shared" si="24"/>
        <v/>
      </c>
      <c r="I136" t="str">
        <f t="shared" si="25"/>
        <v/>
      </c>
      <c r="J136" t="str">
        <f t="shared" si="26"/>
        <v/>
      </c>
      <c r="K136" t="str">
        <f t="shared" si="27"/>
        <v/>
      </c>
      <c r="L136" t="str">
        <f t="shared" si="28"/>
        <v/>
      </c>
      <c r="M136" t="str">
        <f t="shared" si="29"/>
        <v/>
      </c>
      <c r="N136" t="str">
        <f t="shared" si="30"/>
        <v/>
      </c>
      <c r="O136" t="str">
        <f t="shared" si="31"/>
        <v/>
      </c>
      <c r="P136" t="str">
        <f>IF($A136="","",IF($E136=1,$F136*$O136,PNL!G136))</f>
        <v/>
      </c>
      <c r="T136" t="str">
        <f t="shared" si="32"/>
        <v/>
      </c>
    </row>
    <row r="137" spans="1:20" x14ac:dyDescent="0.45">
      <c r="A137" t="str">
        <f>IF(PNL!A137="","",PNL!A137)</f>
        <v/>
      </c>
      <c r="B137" t="str">
        <f>IF(PNL!B137="","",PNL!B137)</f>
        <v/>
      </c>
      <c r="C137" t="str">
        <f>IF(PNL!C137="","",PNL!C137)</f>
        <v/>
      </c>
      <c r="D137" t="str">
        <f>IF(PNL!D137="","",PNL!D137)</f>
        <v/>
      </c>
      <c r="E137" t="str">
        <f t="shared" si="22"/>
        <v/>
      </c>
      <c r="F137" t="str">
        <f>IF($A137="","",IF($E137=1,SUMIFS(Compta!$F$1:$F$675,Compta!$A$1:$A$675,$A137,Compta!$B$1:$B$675,$B137,Compta!$C$1:$C$675,"2026"),0))</f>
        <v/>
      </c>
      <c r="G137" t="str">
        <f t="shared" si="23"/>
        <v/>
      </c>
      <c r="H137" t="str">
        <f t="shared" si="24"/>
        <v/>
      </c>
      <c r="I137" t="str">
        <f t="shared" si="25"/>
        <v/>
      </c>
      <c r="J137" t="str">
        <f t="shared" si="26"/>
        <v/>
      </c>
      <c r="K137" t="str">
        <f t="shared" si="27"/>
        <v/>
      </c>
      <c r="L137" t="str">
        <f t="shared" si="28"/>
        <v/>
      </c>
      <c r="M137" t="str">
        <f t="shared" si="29"/>
        <v/>
      </c>
      <c r="N137" t="str">
        <f t="shared" si="30"/>
        <v/>
      </c>
      <c r="O137" t="str">
        <f t="shared" si="31"/>
        <v/>
      </c>
      <c r="P137" t="str">
        <f>IF($A137="","",IF($E137=1,$F137*$O137,PNL!G137))</f>
        <v/>
      </c>
      <c r="T137" t="str">
        <f t="shared" si="32"/>
        <v/>
      </c>
    </row>
    <row r="138" spans="1:20" x14ac:dyDescent="0.45">
      <c r="A138" t="str">
        <f>IF(PNL!A138="","",PNL!A138)</f>
        <v/>
      </c>
      <c r="B138" t="str">
        <f>IF(PNL!B138="","",PNL!B138)</f>
        <v/>
      </c>
      <c r="C138" t="str">
        <f>IF(PNL!C138="","",PNL!C138)</f>
        <v/>
      </c>
      <c r="D138" t="str">
        <f>IF(PNL!D138="","",PNL!D138)</f>
        <v/>
      </c>
      <c r="E138" t="str">
        <f t="shared" si="22"/>
        <v/>
      </c>
      <c r="F138" t="str">
        <f>IF($A138="","",IF($E138=1,SUMIFS(Compta!$F$1:$F$675,Compta!$A$1:$A$675,$A138,Compta!$B$1:$B$675,$B138,Compta!$C$1:$C$675,"2026"),0))</f>
        <v/>
      </c>
      <c r="G138" t="str">
        <f t="shared" si="23"/>
        <v/>
      </c>
      <c r="H138" t="str">
        <f t="shared" si="24"/>
        <v/>
      </c>
      <c r="I138" t="str">
        <f t="shared" si="25"/>
        <v/>
      </c>
      <c r="J138" t="str">
        <f t="shared" si="26"/>
        <v/>
      </c>
      <c r="K138" t="str">
        <f t="shared" si="27"/>
        <v/>
      </c>
      <c r="L138" t="str">
        <f t="shared" si="28"/>
        <v/>
      </c>
      <c r="M138" t="str">
        <f t="shared" si="29"/>
        <v/>
      </c>
      <c r="N138" t="str">
        <f t="shared" si="30"/>
        <v/>
      </c>
      <c r="O138" t="str">
        <f t="shared" si="31"/>
        <v/>
      </c>
      <c r="P138" t="str">
        <f>IF($A138="","",IF($E138=1,$F138*$O138,PNL!G138))</f>
        <v/>
      </c>
      <c r="T138" t="str">
        <f t="shared" si="32"/>
        <v/>
      </c>
    </row>
    <row r="139" spans="1:20" x14ac:dyDescent="0.45">
      <c r="A139" t="str">
        <f>IF(PNL!A139="","",PNL!A139)</f>
        <v/>
      </c>
      <c r="B139" t="str">
        <f>IF(PNL!B139="","",PNL!B139)</f>
        <v/>
      </c>
      <c r="C139" t="str">
        <f>IF(PNL!C139="","",PNL!C139)</f>
        <v/>
      </c>
      <c r="D139" t="str">
        <f>IF(PNL!D139="","",PNL!D139)</f>
        <v/>
      </c>
      <c r="E139" t="str">
        <f t="shared" si="22"/>
        <v/>
      </c>
      <c r="F139" t="str">
        <f>IF($A139="","",IF($E139=1,SUMIFS(Compta!$F$1:$F$675,Compta!$A$1:$A$675,$A139,Compta!$B$1:$B$675,$B139,Compta!$C$1:$C$675,"2026"),0))</f>
        <v/>
      </c>
      <c r="G139" t="str">
        <f t="shared" si="23"/>
        <v/>
      </c>
      <c r="H139" t="str">
        <f t="shared" si="24"/>
        <v/>
      </c>
      <c r="I139" t="str">
        <f t="shared" si="25"/>
        <v/>
      </c>
      <c r="J139" t="str">
        <f t="shared" si="26"/>
        <v/>
      </c>
      <c r="K139" t="str">
        <f t="shared" si="27"/>
        <v/>
      </c>
      <c r="L139" t="str">
        <f t="shared" si="28"/>
        <v/>
      </c>
      <c r="M139" t="str">
        <f t="shared" si="29"/>
        <v/>
      </c>
      <c r="N139" t="str">
        <f t="shared" si="30"/>
        <v/>
      </c>
      <c r="O139" t="str">
        <f t="shared" si="31"/>
        <v/>
      </c>
      <c r="P139" t="str">
        <f>IF($A139="","",IF($E139=1,$F139*$O139,PNL!G139))</f>
        <v/>
      </c>
      <c r="T139" t="str">
        <f t="shared" si="32"/>
        <v/>
      </c>
    </row>
    <row r="140" spans="1:20" x14ac:dyDescent="0.45">
      <c r="A140" t="str">
        <f>IF(PNL!A140="","",PNL!A140)</f>
        <v/>
      </c>
      <c r="B140" t="str">
        <f>IF(PNL!B140="","",PNL!B140)</f>
        <v/>
      </c>
      <c r="C140" t="str">
        <f>IF(PNL!C140="","",PNL!C140)</f>
        <v/>
      </c>
      <c r="D140" t="str">
        <f>IF(PNL!D140="","",PNL!D140)</f>
        <v/>
      </c>
      <c r="E140" t="str">
        <f t="shared" si="22"/>
        <v/>
      </c>
      <c r="F140" t="str">
        <f>IF($A140="","",IF($E140=1,SUMIFS(Compta!$F$1:$F$675,Compta!$A$1:$A$675,$A140,Compta!$B$1:$B$675,$B140,Compta!$C$1:$C$675,"2026"),0))</f>
        <v/>
      </c>
      <c r="G140" t="str">
        <f t="shared" si="23"/>
        <v/>
      </c>
      <c r="H140" t="str">
        <f t="shared" si="24"/>
        <v/>
      </c>
      <c r="I140" t="str">
        <f t="shared" si="25"/>
        <v/>
      </c>
      <c r="J140" t="str">
        <f t="shared" si="26"/>
        <v/>
      </c>
      <c r="K140" t="str">
        <f t="shared" si="27"/>
        <v/>
      </c>
      <c r="L140" t="str">
        <f t="shared" si="28"/>
        <v/>
      </c>
      <c r="M140" t="str">
        <f t="shared" si="29"/>
        <v/>
      </c>
      <c r="N140" t="str">
        <f t="shared" si="30"/>
        <v/>
      </c>
      <c r="O140" t="str">
        <f t="shared" si="31"/>
        <v/>
      </c>
      <c r="P140" t="str">
        <f>IF($A140="","",IF($E140=1,$F140*$O140,PNL!G140))</f>
        <v/>
      </c>
      <c r="T140" t="str">
        <f t="shared" si="32"/>
        <v/>
      </c>
    </row>
    <row r="141" spans="1:20" x14ac:dyDescent="0.45">
      <c r="A141" t="str">
        <f>IF(PNL!A141="","",PNL!A141)</f>
        <v/>
      </c>
      <c r="B141" t="str">
        <f>IF(PNL!B141="","",PNL!B141)</f>
        <v/>
      </c>
      <c r="C141" t="str">
        <f>IF(PNL!C141="","",PNL!C141)</f>
        <v/>
      </c>
      <c r="D141" t="str">
        <f>IF(PNL!D141="","",PNL!D141)</f>
        <v/>
      </c>
      <c r="E141" t="str">
        <f t="shared" si="22"/>
        <v/>
      </c>
      <c r="F141" t="str">
        <f>IF($A141="","",IF($E141=1,SUMIFS(Compta!$F$1:$F$675,Compta!$A$1:$A$675,$A141,Compta!$B$1:$B$675,$B141,Compta!$C$1:$C$675,"2026"),0))</f>
        <v/>
      </c>
      <c r="G141" t="str">
        <f t="shared" si="23"/>
        <v/>
      </c>
      <c r="H141" t="str">
        <f t="shared" si="24"/>
        <v/>
      </c>
      <c r="I141" t="str">
        <f t="shared" si="25"/>
        <v/>
      </c>
      <c r="J141" t="str">
        <f t="shared" si="26"/>
        <v/>
      </c>
      <c r="K141" t="str">
        <f t="shared" si="27"/>
        <v/>
      </c>
      <c r="L141" t="str">
        <f t="shared" si="28"/>
        <v/>
      </c>
      <c r="M141" t="str">
        <f t="shared" si="29"/>
        <v/>
      </c>
      <c r="N141" t="str">
        <f t="shared" si="30"/>
        <v/>
      </c>
      <c r="O141" t="str">
        <f t="shared" si="31"/>
        <v/>
      </c>
      <c r="P141" t="str">
        <f>IF($A141="","",IF($E141=1,$F141*$O141,PNL!G141))</f>
        <v/>
      </c>
      <c r="T141" t="str">
        <f t="shared" si="32"/>
        <v/>
      </c>
    </row>
    <row r="142" spans="1:20" x14ac:dyDescent="0.45">
      <c r="A142" t="str">
        <f>IF(PNL!A142="","",PNL!A142)</f>
        <v/>
      </c>
      <c r="B142" t="str">
        <f>IF(PNL!B142="","",PNL!B142)</f>
        <v/>
      </c>
      <c r="C142" t="str">
        <f>IF(PNL!C142="","",PNL!C142)</f>
        <v/>
      </c>
      <c r="D142" t="str">
        <f>IF(PNL!D142="","",PNL!D142)</f>
        <v/>
      </c>
      <c r="E142" t="str">
        <f t="shared" si="22"/>
        <v/>
      </c>
      <c r="F142" t="str">
        <f>IF($A142="","",IF($E142=1,SUMIFS(Compta!$F$1:$F$675,Compta!$A$1:$A$675,$A142,Compta!$B$1:$B$675,$B142,Compta!$C$1:$C$675,"2026"),0))</f>
        <v/>
      </c>
      <c r="G142" t="str">
        <f t="shared" si="23"/>
        <v/>
      </c>
      <c r="H142" t="str">
        <f t="shared" si="24"/>
        <v/>
      </c>
      <c r="I142" t="str">
        <f t="shared" si="25"/>
        <v/>
      </c>
      <c r="J142" t="str">
        <f t="shared" si="26"/>
        <v/>
      </c>
      <c r="K142" t="str">
        <f t="shared" si="27"/>
        <v/>
      </c>
      <c r="L142" t="str">
        <f t="shared" si="28"/>
        <v/>
      </c>
      <c r="M142" t="str">
        <f t="shared" si="29"/>
        <v/>
      </c>
      <c r="N142" t="str">
        <f t="shared" si="30"/>
        <v/>
      </c>
      <c r="O142" t="str">
        <f t="shared" si="31"/>
        <v/>
      </c>
      <c r="P142" t="str">
        <f>IF($A142="","",IF($E142=1,$F142*$O142,PNL!G142))</f>
        <v/>
      </c>
      <c r="T142" t="str">
        <f t="shared" si="32"/>
        <v/>
      </c>
    </row>
    <row r="143" spans="1:20" x14ac:dyDescent="0.45">
      <c r="A143" t="str">
        <f>IF(PNL!A143="","",PNL!A143)</f>
        <v/>
      </c>
      <c r="B143" t="str">
        <f>IF(PNL!B143="","",PNL!B143)</f>
        <v/>
      </c>
      <c r="C143" t="str">
        <f>IF(PNL!C143="","",PNL!C143)</f>
        <v/>
      </c>
      <c r="D143" t="str">
        <f>IF(PNL!D143="","",PNL!D143)</f>
        <v/>
      </c>
      <c r="E143" t="str">
        <f t="shared" si="22"/>
        <v/>
      </c>
      <c r="F143" t="str">
        <f>IF($A143="","",IF($E143=1,SUMIFS(Compta!$F$1:$F$675,Compta!$A$1:$A$675,$A143,Compta!$B$1:$B$675,$B143,Compta!$C$1:$C$675,"2026"),0))</f>
        <v/>
      </c>
      <c r="G143" t="str">
        <f t="shared" si="23"/>
        <v/>
      </c>
      <c r="H143" t="str">
        <f t="shared" si="24"/>
        <v/>
      </c>
      <c r="I143" t="str">
        <f t="shared" si="25"/>
        <v/>
      </c>
      <c r="J143" t="str">
        <f t="shared" si="26"/>
        <v/>
      </c>
      <c r="K143" t="str">
        <f t="shared" si="27"/>
        <v/>
      </c>
      <c r="L143" t="str">
        <f t="shared" si="28"/>
        <v/>
      </c>
      <c r="M143" t="str">
        <f t="shared" si="29"/>
        <v/>
      </c>
      <c r="N143" t="str">
        <f t="shared" si="30"/>
        <v/>
      </c>
      <c r="O143" t="str">
        <f t="shared" si="31"/>
        <v/>
      </c>
      <c r="P143" t="str">
        <f>IF($A143="","",IF($E143=1,$F143*$O143,PNL!G143))</f>
        <v/>
      </c>
      <c r="T143" t="str">
        <f t="shared" si="32"/>
        <v/>
      </c>
    </row>
    <row r="144" spans="1:20" x14ac:dyDescent="0.45">
      <c r="A144" t="str">
        <f>IF(PNL!A144="","",PNL!A144)</f>
        <v/>
      </c>
      <c r="B144" t="str">
        <f>IF(PNL!B144="","",PNL!B144)</f>
        <v/>
      </c>
      <c r="C144" t="str">
        <f>IF(PNL!C144="","",PNL!C144)</f>
        <v/>
      </c>
      <c r="D144" t="str">
        <f>IF(PNL!D144="","",PNL!D144)</f>
        <v/>
      </c>
      <c r="E144" t="str">
        <f t="shared" si="22"/>
        <v/>
      </c>
      <c r="F144" t="str">
        <f>IF($A144="","",IF($E144=1,SUMIFS(Compta!$F$1:$F$675,Compta!$A$1:$A$675,$A144,Compta!$B$1:$B$675,$B144,Compta!$C$1:$C$675,"2026"),0))</f>
        <v/>
      </c>
      <c r="G144" t="str">
        <f t="shared" si="23"/>
        <v/>
      </c>
      <c r="H144" t="str">
        <f t="shared" si="24"/>
        <v/>
      </c>
      <c r="I144" t="str">
        <f t="shared" si="25"/>
        <v/>
      </c>
      <c r="J144" t="str">
        <f t="shared" si="26"/>
        <v/>
      </c>
      <c r="K144" t="str">
        <f t="shared" si="27"/>
        <v/>
      </c>
      <c r="L144" t="str">
        <f t="shared" si="28"/>
        <v/>
      </c>
      <c r="M144" t="str">
        <f t="shared" si="29"/>
        <v/>
      </c>
      <c r="N144" t="str">
        <f t="shared" si="30"/>
        <v/>
      </c>
      <c r="O144" t="str">
        <f t="shared" si="31"/>
        <v/>
      </c>
      <c r="P144" t="str">
        <f>IF($A144="","",IF($E144=1,$F144*$O144,PNL!G144))</f>
        <v/>
      </c>
      <c r="T144" t="str">
        <f t="shared" si="32"/>
        <v/>
      </c>
    </row>
    <row r="145" spans="1:20" x14ac:dyDescent="0.45">
      <c r="A145" t="str">
        <f>IF(PNL!A145="","",PNL!A145)</f>
        <v/>
      </c>
      <c r="B145" t="str">
        <f>IF(PNL!B145="","",PNL!B145)</f>
        <v/>
      </c>
      <c r="C145" t="str">
        <f>IF(PNL!C145="","",PNL!C145)</f>
        <v/>
      </c>
      <c r="D145" t="str">
        <f>IF(PNL!D145="","",PNL!D145)</f>
        <v/>
      </c>
      <c r="E145" t="str">
        <f t="shared" si="22"/>
        <v/>
      </c>
      <c r="F145" t="str">
        <f>IF($A145="","",IF($E145=1,SUMIFS(Compta!$F$1:$F$675,Compta!$A$1:$A$675,$A145,Compta!$B$1:$B$675,$B145,Compta!$C$1:$C$675,"2026"),0))</f>
        <v/>
      </c>
      <c r="G145" t="str">
        <f t="shared" si="23"/>
        <v/>
      </c>
      <c r="H145" t="str">
        <f t="shared" si="24"/>
        <v/>
      </c>
      <c r="I145" t="str">
        <f t="shared" si="25"/>
        <v/>
      </c>
      <c r="J145" t="str">
        <f t="shared" si="26"/>
        <v/>
      </c>
      <c r="K145" t="str">
        <f t="shared" si="27"/>
        <v/>
      </c>
      <c r="L145" t="str">
        <f t="shared" si="28"/>
        <v/>
      </c>
      <c r="M145" t="str">
        <f t="shared" si="29"/>
        <v/>
      </c>
      <c r="N145" t="str">
        <f t="shared" si="30"/>
        <v/>
      </c>
      <c r="O145" t="str">
        <f t="shared" si="31"/>
        <v/>
      </c>
      <c r="P145" t="str">
        <f>IF($A145="","",IF($E145=1,$F145*$O145,PNL!G145))</f>
        <v/>
      </c>
      <c r="T145" t="str">
        <f t="shared" si="32"/>
        <v/>
      </c>
    </row>
    <row r="146" spans="1:20" x14ac:dyDescent="0.45">
      <c r="A146" t="str">
        <f>IF(PNL!A146="","",PNL!A146)</f>
        <v/>
      </c>
      <c r="B146" t="str">
        <f>IF(PNL!B146="","",PNL!B146)</f>
        <v/>
      </c>
      <c r="C146" t="str">
        <f>IF(PNL!C146="","",PNL!C146)</f>
        <v/>
      </c>
      <c r="D146" t="str">
        <f>IF(PNL!D146="","",PNL!D146)</f>
        <v/>
      </c>
      <c r="E146" t="str">
        <f t="shared" si="22"/>
        <v/>
      </c>
      <c r="F146" t="str">
        <f>IF($A146="","",IF($E146=1,SUMIFS(Compta!$F$1:$F$675,Compta!$A$1:$A$675,$A146,Compta!$B$1:$B$675,$B146,Compta!$C$1:$C$675,"2026"),0))</f>
        <v/>
      </c>
      <c r="G146" t="str">
        <f t="shared" si="23"/>
        <v/>
      </c>
      <c r="H146" t="str">
        <f t="shared" si="24"/>
        <v/>
      </c>
      <c r="I146" t="str">
        <f t="shared" si="25"/>
        <v/>
      </c>
      <c r="J146" t="str">
        <f t="shared" si="26"/>
        <v/>
      </c>
      <c r="K146" t="str">
        <f t="shared" si="27"/>
        <v/>
      </c>
      <c r="L146" t="str">
        <f t="shared" si="28"/>
        <v/>
      </c>
      <c r="M146" t="str">
        <f t="shared" si="29"/>
        <v/>
      </c>
      <c r="N146" t="str">
        <f t="shared" si="30"/>
        <v/>
      </c>
      <c r="O146" t="str">
        <f t="shared" si="31"/>
        <v/>
      </c>
      <c r="P146" t="str">
        <f>IF($A146="","",IF($E146=1,$F146*$O146,PNL!G146))</f>
        <v/>
      </c>
      <c r="T146" t="str">
        <f t="shared" si="32"/>
        <v/>
      </c>
    </row>
    <row r="147" spans="1:20" x14ac:dyDescent="0.45">
      <c r="A147" t="str">
        <f>IF(PNL!A147="","",PNL!A147)</f>
        <v/>
      </c>
      <c r="B147" t="str">
        <f>IF(PNL!B147="","",PNL!B147)</f>
        <v/>
      </c>
      <c r="C147" t="str">
        <f>IF(PNL!C147="","",PNL!C147)</f>
        <v/>
      </c>
      <c r="D147" t="str">
        <f>IF(PNL!D147="","",PNL!D147)</f>
        <v/>
      </c>
      <c r="E147" t="str">
        <f t="shared" si="22"/>
        <v/>
      </c>
      <c r="F147" t="str">
        <f>IF($A147="","",IF($E147=1,SUMIFS(Compta!$F$1:$F$675,Compta!$A$1:$A$675,$A147,Compta!$B$1:$B$675,$B147,Compta!$C$1:$C$675,"2026"),0))</f>
        <v/>
      </c>
      <c r="G147" t="str">
        <f t="shared" si="23"/>
        <v/>
      </c>
      <c r="H147" t="str">
        <f t="shared" si="24"/>
        <v/>
      </c>
      <c r="I147" t="str">
        <f t="shared" si="25"/>
        <v/>
      </c>
      <c r="J147" t="str">
        <f t="shared" si="26"/>
        <v/>
      </c>
      <c r="K147" t="str">
        <f t="shared" si="27"/>
        <v/>
      </c>
      <c r="L147" t="str">
        <f t="shared" si="28"/>
        <v/>
      </c>
      <c r="M147" t="str">
        <f t="shared" si="29"/>
        <v/>
      </c>
      <c r="N147" t="str">
        <f t="shared" si="30"/>
        <v/>
      </c>
      <c r="O147" t="str">
        <f t="shared" si="31"/>
        <v/>
      </c>
      <c r="P147" t="str">
        <f>IF($A147="","",IF($E147=1,$F147*$O147,PNL!G147))</f>
        <v/>
      </c>
      <c r="T147" t="str">
        <f t="shared" si="32"/>
        <v/>
      </c>
    </row>
    <row r="148" spans="1:20" x14ac:dyDescent="0.45">
      <c r="A148" t="str">
        <f>IF(PNL!A148="","",PNL!A148)</f>
        <v/>
      </c>
      <c r="B148" t="str">
        <f>IF(PNL!B148="","",PNL!B148)</f>
        <v/>
      </c>
      <c r="C148" t="str">
        <f>IF(PNL!C148="","",PNL!C148)</f>
        <v/>
      </c>
      <c r="D148" t="str">
        <f>IF(PNL!D148="","",PNL!D148)</f>
        <v/>
      </c>
      <c r="E148" t="str">
        <f t="shared" si="22"/>
        <v/>
      </c>
      <c r="F148" t="str">
        <f>IF($A148="","",IF($E148=1,SUMIFS(Compta!$F$1:$F$675,Compta!$A$1:$A$675,$A148,Compta!$B$1:$B$675,$B148,Compta!$C$1:$C$675,"2026"),0))</f>
        <v/>
      </c>
      <c r="G148" t="str">
        <f t="shared" si="23"/>
        <v/>
      </c>
      <c r="H148" t="str">
        <f t="shared" si="24"/>
        <v/>
      </c>
      <c r="I148" t="str">
        <f t="shared" si="25"/>
        <v/>
      </c>
      <c r="J148" t="str">
        <f t="shared" si="26"/>
        <v/>
      </c>
      <c r="K148" t="str">
        <f t="shared" si="27"/>
        <v/>
      </c>
      <c r="L148" t="str">
        <f t="shared" si="28"/>
        <v/>
      </c>
      <c r="M148" t="str">
        <f t="shared" si="29"/>
        <v/>
      </c>
      <c r="N148" t="str">
        <f t="shared" si="30"/>
        <v/>
      </c>
      <c r="O148" t="str">
        <f t="shared" si="31"/>
        <v/>
      </c>
      <c r="P148" t="str">
        <f>IF($A148="","",IF($E148=1,$F148*$O148,PNL!G148))</f>
        <v/>
      </c>
      <c r="T148" t="str">
        <f t="shared" si="32"/>
        <v/>
      </c>
    </row>
    <row r="149" spans="1:20" x14ac:dyDescent="0.45">
      <c r="A149" t="str">
        <f>IF(PNL!A149="","",PNL!A149)</f>
        <v/>
      </c>
      <c r="B149" t="str">
        <f>IF(PNL!B149="","",PNL!B149)</f>
        <v/>
      </c>
      <c r="C149" t="str">
        <f>IF(PNL!C149="","",PNL!C149)</f>
        <v/>
      </c>
      <c r="D149" t="str">
        <f>IF(PNL!D149="","",PNL!D149)</f>
        <v/>
      </c>
      <c r="E149" t="str">
        <f t="shared" si="22"/>
        <v/>
      </c>
      <c r="F149" t="str">
        <f>IF($A149="","",IF($E149=1,SUMIFS(Compta!$F$1:$F$675,Compta!$A$1:$A$675,$A149,Compta!$B$1:$B$675,$B149,Compta!$C$1:$C$675,"2026"),0))</f>
        <v/>
      </c>
      <c r="G149" t="str">
        <f t="shared" si="23"/>
        <v/>
      </c>
      <c r="H149" t="str">
        <f t="shared" si="24"/>
        <v/>
      </c>
      <c r="I149" t="str">
        <f t="shared" si="25"/>
        <v/>
      </c>
      <c r="J149" t="str">
        <f t="shared" si="26"/>
        <v/>
      </c>
      <c r="K149" t="str">
        <f t="shared" si="27"/>
        <v/>
      </c>
      <c r="L149" t="str">
        <f t="shared" si="28"/>
        <v/>
      </c>
      <c r="M149" t="str">
        <f t="shared" si="29"/>
        <v/>
      </c>
      <c r="N149" t="str">
        <f t="shared" si="30"/>
        <v/>
      </c>
      <c r="O149" t="str">
        <f t="shared" si="31"/>
        <v/>
      </c>
      <c r="P149" t="str">
        <f>IF($A149="","",IF($E149=1,$F149*$O149,PNL!G149))</f>
        <v/>
      </c>
      <c r="T149" t="str">
        <f t="shared" si="32"/>
        <v/>
      </c>
    </row>
    <row r="150" spans="1:20" x14ac:dyDescent="0.45">
      <c r="A150" t="str">
        <f>IF(PNL!A150="","",PNL!A150)</f>
        <v/>
      </c>
      <c r="B150" t="str">
        <f>IF(PNL!B150="","",PNL!B150)</f>
        <v/>
      </c>
      <c r="C150" t="str">
        <f>IF(PNL!C150="","",PNL!C150)</f>
        <v/>
      </c>
      <c r="D150" t="str">
        <f>IF(PNL!D150="","",PNL!D150)</f>
        <v/>
      </c>
      <c r="E150" t="str">
        <f t="shared" si="22"/>
        <v/>
      </c>
      <c r="F150" t="str">
        <f>IF($A150="","",IF($E150=1,SUMIFS(Compta!$F$1:$F$675,Compta!$A$1:$A$675,$A150,Compta!$B$1:$B$675,$B150,Compta!$C$1:$C$675,"2026"),0))</f>
        <v/>
      </c>
      <c r="G150" t="str">
        <f t="shared" si="23"/>
        <v/>
      </c>
      <c r="H150" t="str">
        <f t="shared" si="24"/>
        <v/>
      </c>
      <c r="I150" t="str">
        <f t="shared" si="25"/>
        <v/>
      </c>
      <c r="J150" t="str">
        <f t="shared" si="26"/>
        <v/>
      </c>
      <c r="K150" t="str">
        <f t="shared" si="27"/>
        <v/>
      </c>
      <c r="L150" t="str">
        <f t="shared" si="28"/>
        <v/>
      </c>
      <c r="M150" t="str">
        <f t="shared" si="29"/>
        <v/>
      </c>
      <c r="N150" t="str">
        <f t="shared" si="30"/>
        <v/>
      </c>
      <c r="O150" t="str">
        <f t="shared" si="31"/>
        <v/>
      </c>
      <c r="P150" t="str">
        <f>IF($A150="","",IF($E150=1,$F150*$O150,PNL!G150))</f>
        <v/>
      </c>
      <c r="T150" t="str">
        <f t="shared" si="32"/>
        <v/>
      </c>
    </row>
    <row r="151" spans="1:20" x14ac:dyDescent="0.45">
      <c r="A151" t="str">
        <f>IF(PNL!A151="","",PNL!A151)</f>
        <v/>
      </c>
      <c r="B151" t="str">
        <f>IF(PNL!B151="","",PNL!B151)</f>
        <v/>
      </c>
      <c r="C151" t="str">
        <f>IF(PNL!C151="","",PNL!C151)</f>
        <v/>
      </c>
      <c r="D151" t="str">
        <f>IF(PNL!D151="","",PNL!D151)</f>
        <v/>
      </c>
      <c r="E151" t="str">
        <f t="shared" si="22"/>
        <v/>
      </c>
      <c r="F151" t="str">
        <f>IF($A151="","",IF($E151=1,SUMIFS(Compta!$F$1:$F$675,Compta!$A$1:$A$675,$A151,Compta!$B$1:$B$675,$B151,Compta!$C$1:$C$675,"2026"),0))</f>
        <v/>
      </c>
      <c r="G151" t="str">
        <f t="shared" si="23"/>
        <v/>
      </c>
      <c r="H151" t="str">
        <f t="shared" si="24"/>
        <v/>
      </c>
      <c r="I151" t="str">
        <f t="shared" si="25"/>
        <v/>
      </c>
      <c r="J151" t="str">
        <f t="shared" si="26"/>
        <v/>
      </c>
      <c r="K151" t="str">
        <f t="shared" si="27"/>
        <v/>
      </c>
      <c r="L151" t="str">
        <f t="shared" si="28"/>
        <v/>
      </c>
      <c r="M151" t="str">
        <f t="shared" si="29"/>
        <v/>
      </c>
      <c r="N151" t="str">
        <f t="shared" si="30"/>
        <v/>
      </c>
      <c r="O151" t="str">
        <f t="shared" si="31"/>
        <v/>
      </c>
      <c r="P151" t="str">
        <f>IF($A151="","",IF($E151=1,$F151*$O151,PNL!G151))</f>
        <v/>
      </c>
      <c r="T151" t="str">
        <f t="shared" si="32"/>
        <v/>
      </c>
    </row>
    <row r="152" spans="1:20" x14ac:dyDescent="0.45">
      <c r="A152" t="str">
        <f>IF(PNL!A152="","",PNL!A152)</f>
        <v/>
      </c>
      <c r="B152" t="str">
        <f>IF(PNL!B152="","",PNL!B152)</f>
        <v/>
      </c>
      <c r="C152" t="str">
        <f>IF(PNL!C152="","",PNL!C152)</f>
        <v/>
      </c>
      <c r="D152" t="str">
        <f>IF(PNL!D152="","",PNL!D152)</f>
        <v/>
      </c>
      <c r="E152" t="str">
        <f t="shared" si="22"/>
        <v/>
      </c>
      <c r="F152" t="str">
        <f>IF($A152="","",IF($E152=1,SUMIFS(Compta!$F$1:$F$675,Compta!$A$1:$A$675,$A152,Compta!$B$1:$B$675,$B152,Compta!$C$1:$C$675,"2026"),0))</f>
        <v/>
      </c>
      <c r="G152" t="str">
        <f t="shared" si="23"/>
        <v/>
      </c>
      <c r="H152" t="str">
        <f t="shared" si="24"/>
        <v/>
      </c>
      <c r="I152" t="str">
        <f t="shared" si="25"/>
        <v/>
      </c>
      <c r="J152" t="str">
        <f t="shared" si="26"/>
        <v/>
      </c>
      <c r="K152" t="str">
        <f t="shared" si="27"/>
        <v/>
      </c>
      <c r="L152" t="str">
        <f t="shared" si="28"/>
        <v/>
      </c>
      <c r="M152" t="str">
        <f t="shared" si="29"/>
        <v/>
      </c>
      <c r="N152" t="str">
        <f t="shared" si="30"/>
        <v/>
      </c>
      <c r="O152" t="str">
        <f t="shared" si="31"/>
        <v/>
      </c>
      <c r="P152" t="str">
        <f>IF($A152="","",IF($E152=1,$F152*$O152,PNL!G152))</f>
        <v/>
      </c>
      <c r="T152" t="str">
        <f t="shared" si="32"/>
        <v/>
      </c>
    </row>
    <row r="153" spans="1:20" x14ac:dyDescent="0.45">
      <c r="A153" t="str">
        <f>IF(PNL!A153="","",PNL!A153)</f>
        <v/>
      </c>
      <c r="B153" t="str">
        <f>IF(PNL!B153="","",PNL!B153)</f>
        <v/>
      </c>
      <c r="C153" t="str">
        <f>IF(PNL!C153="","",PNL!C153)</f>
        <v/>
      </c>
      <c r="D153" t="str">
        <f>IF(PNL!D153="","",PNL!D153)</f>
        <v/>
      </c>
      <c r="E153" t="str">
        <f t="shared" si="22"/>
        <v/>
      </c>
      <c r="F153" t="str">
        <f>IF($A153="","",IF($E153=1,SUMIFS(Compta!$F$1:$F$675,Compta!$A$1:$A$675,$A153,Compta!$B$1:$B$675,$B153,Compta!$C$1:$C$675,"2026"),0))</f>
        <v/>
      </c>
      <c r="G153" t="str">
        <f t="shared" si="23"/>
        <v/>
      </c>
      <c r="H153" t="str">
        <f t="shared" si="24"/>
        <v/>
      </c>
      <c r="I153" t="str">
        <f t="shared" si="25"/>
        <v/>
      </c>
      <c r="J153" t="str">
        <f t="shared" si="26"/>
        <v/>
      </c>
      <c r="K153" t="str">
        <f t="shared" si="27"/>
        <v/>
      </c>
      <c r="L153" t="str">
        <f t="shared" si="28"/>
        <v/>
      </c>
      <c r="M153" t="str">
        <f t="shared" si="29"/>
        <v/>
      </c>
      <c r="N153" t="str">
        <f t="shared" si="30"/>
        <v/>
      </c>
      <c r="O153" t="str">
        <f t="shared" si="31"/>
        <v/>
      </c>
      <c r="P153" t="str">
        <f>IF($A153="","",IF($E153=1,$F153*$O153,PNL!G153))</f>
        <v/>
      </c>
      <c r="T153" t="str">
        <f t="shared" si="32"/>
        <v/>
      </c>
    </row>
    <row r="154" spans="1:20" x14ac:dyDescent="0.45">
      <c r="A154" t="str">
        <f>IF(PNL!A154="","",PNL!A154)</f>
        <v/>
      </c>
      <c r="B154" t="str">
        <f>IF(PNL!B154="","",PNL!B154)</f>
        <v/>
      </c>
      <c r="C154" t="str">
        <f>IF(PNL!C154="","",PNL!C154)</f>
        <v/>
      </c>
      <c r="D154" t="str">
        <f>IF(PNL!D154="","",PNL!D154)</f>
        <v/>
      </c>
      <c r="E154" t="str">
        <f t="shared" si="22"/>
        <v/>
      </c>
      <c r="F154" t="str">
        <f>IF($A154="","",IF($E154=1,SUMIFS(Compta!$F$1:$F$675,Compta!$A$1:$A$675,$A154,Compta!$B$1:$B$675,$B154,Compta!$C$1:$C$675,"2026"),0))</f>
        <v/>
      </c>
      <c r="G154" t="str">
        <f t="shared" si="23"/>
        <v/>
      </c>
      <c r="H154" t="str">
        <f t="shared" si="24"/>
        <v/>
      </c>
      <c r="I154" t="str">
        <f t="shared" si="25"/>
        <v/>
      </c>
      <c r="J154" t="str">
        <f t="shared" si="26"/>
        <v/>
      </c>
      <c r="K154" t="str">
        <f t="shared" si="27"/>
        <v/>
      </c>
      <c r="L154" t="str">
        <f t="shared" si="28"/>
        <v/>
      </c>
      <c r="M154" t="str">
        <f t="shared" si="29"/>
        <v/>
      </c>
      <c r="N154" t="str">
        <f t="shared" si="30"/>
        <v/>
      </c>
      <c r="O154" t="str">
        <f t="shared" si="31"/>
        <v/>
      </c>
      <c r="P154" t="str">
        <f>IF($A154="","",IF($E154=1,$F154*$O154,PNL!G154))</f>
        <v/>
      </c>
      <c r="T154" t="str">
        <f t="shared" si="32"/>
        <v/>
      </c>
    </row>
    <row r="155" spans="1:20" x14ac:dyDescent="0.45">
      <c r="A155" t="str">
        <f>IF(PNL!A155="","",PNL!A155)</f>
        <v/>
      </c>
      <c r="B155" t="str">
        <f>IF(PNL!B155="","",PNL!B155)</f>
        <v/>
      </c>
      <c r="C155" t="str">
        <f>IF(PNL!C155="","",PNL!C155)</f>
        <v/>
      </c>
      <c r="D155" t="str">
        <f>IF(PNL!D155="","",PNL!D155)</f>
        <v/>
      </c>
      <c r="E155" t="str">
        <f t="shared" si="22"/>
        <v/>
      </c>
      <c r="F155" t="str">
        <f>IF($A155="","",IF($E155=1,SUMIFS(Compta!$F$1:$F$675,Compta!$A$1:$A$675,$A155,Compta!$B$1:$B$675,$B155,Compta!$C$1:$C$675,"2026"),0))</f>
        <v/>
      </c>
      <c r="G155" t="str">
        <f t="shared" si="23"/>
        <v/>
      </c>
      <c r="H155" t="str">
        <f t="shared" si="24"/>
        <v/>
      </c>
      <c r="I155" t="str">
        <f t="shared" si="25"/>
        <v/>
      </c>
      <c r="J155" t="str">
        <f t="shared" si="26"/>
        <v/>
      </c>
      <c r="K155" t="str">
        <f t="shared" si="27"/>
        <v/>
      </c>
      <c r="L155" t="str">
        <f t="shared" si="28"/>
        <v/>
      </c>
      <c r="M155" t="str">
        <f t="shared" si="29"/>
        <v/>
      </c>
      <c r="N155" t="str">
        <f t="shared" si="30"/>
        <v/>
      </c>
      <c r="O155" t="str">
        <f t="shared" si="31"/>
        <v/>
      </c>
      <c r="P155" t="str">
        <f>IF($A155="","",IF($E155=1,$F155*$O155,PNL!G155))</f>
        <v/>
      </c>
      <c r="T155" t="str">
        <f t="shared" si="32"/>
        <v/>
      </c>
    </row>
    <row r="156" spans="1:20" x14ac:dyDescent="0.45">
      <c r="A156" t="str">
        <f>IF(PNL!A156="","",PNL!A156)</f>
        <v/>
      </c>
      <c r="B156" t="str">
        <f>IF(PNL!B156="","",PNL!B156)</f>
        <v/>
      </c>
      <c r="C156" t="str">
        <f>IF(PNL!C156="","",PNL!C156)</f>
        <v/>
      </c>
      <c r="D156" t="str">
        <f>IF(PNL!D156="","",PNL!D156)</f>
        <v/>
      </c>
      <c r="E156" t="str">
        <f t="shared" si="22"/>
        <v/>
      </c>
      <c r="F156" t="str">
        <f>IF($A156="","",IF($E156=1,SUMIFS(Compta!$F$1:$F$675,Compta!$A$1:$A$675,$A156,Compta!$B$1:$B$675,$B156,Compta!$C$1:$C$675,"2026"),0))</f>
        <v/>
      </c>
      <c r="G156" t="str">
        <f t="shared" si="23"/>
        <v/>
      </c>
      <c r="H156" t="str">
        <f t="shared" si="24"/>
        <v/>
      </c>
      <c r="I156" t="str">
        <f t="shared" si="25"/>
        <v/>
      </c>
      <c r="J156" t="str">
        <f t="shared" si="26"/>
        <v/>
      </c>
      <c r="K156" t="str">
        <f t="shared" si="27"/>
        <v/>
      </c>
      <c r="L156" t="str">
        <f t="shared" si="28"/>
        <v/>
      </c>
      <c r="M156" t="str">
        <f t="shared" si="29"/>
        <v/>
      </c>
      <c r="N156" t="str">
        <f t="shared" si="30"/>
        <v/>
      </c>
      <c r="O156" t="str">
        <f t="shared" si="31"/>
        <v/>
      </c>
      <c r="P156" t="str">
        <f>IF($A156="","",IF($E156=1,$F156*$O156,PNL!G156))</f>
        <v/>
      </c>
      <c r="T156" t="str">
        <f t="shared" si="32"/>
        <v/>
      </c>
    </row>
    <row r="157" spans="1:20" x14ac:dyDescent="0.45">
      <c r="A157" t="str">
        <f>IF(PNL!A157="","",PNL!A157)</f>
        <v/>
      </c>
      <c r="B157" t="str">
        <f>IF(PNL!B157="","",PNL!B157)</f>
        <v/>
      </c>
      <c r="C157" t="str">
        <f>IF(PNL!C157="","",PNL!C157)</f>
        <v/>
      </c>
      <c r="D157" t="str">
        <f>IF(PNL!D157="","",PNL!D157)</f>
        <v/>
      </c>
      <c r="E157" t="str">
        <f t="shared" si="22"/>
        <v/>
      </c>
      <c r="F157" t="str">
        <f>IF($A157="","",IF($E157=1,SUMIFS(Compta!$F$1:$F$675,Compta!$A$1:$A$675,$A157,Compta!$B$1:$B$675,$B157,Compta!$C$1:$C$675,"2026"),0))</f>
        <v/>
      </c>
      <c r="G157" t="str">
        <f t="shared" si="23"/>
        <v/>
      </c>
      <c r="H157" t="str">
        <f t="shared" si="24"/>
        <v/>
      </c>
      <c r="I157" t="str">
        <f t="shared" si="25"/>
        <v/>
      </c>
      <c r="J157" t="str">
        <f t="shared" si="26"/>
        <v/>
      </c>
      <c r="K157" t="str">
        <f t="shared" si="27"/>
        <v/>
      </c>
      <c r="L157" t="str">
        <f t="shared" si="28"/>
        <v/>
      </c>
      <c r="M157" t="str">
        <f t="shared" si="29"/>
        <v/>
      </c>
      <c r="N157" t="str">
        <f t="shared" si="30"/>
        <v/>
      </c>
      <c r="O157" t="str">
        <f t="shared" si="31"/>
        <v/>
      </c>
      <c r="P157" t="str">
        <f>IF($A157="","",IF($E157=1,$F157*$O157,PNL!G157))</f>
        <v/>
      </c>
      <c r="T157" t="str">
        <f t="shared" si="32"/>
        <v/>
      </c>
    </row>
    <row r="158" spans="1:20" x14ac:dyDescent="0.45">
      <c r="A158" t="str">
        <f>IF(PNL!A158="","",PNL!A158)</f>
        <v/>
      </c>
      <c r="B158" t="str">
        <f>IF(PNL!B158="","",PNL!B158)</f>
        <v/>
      </c>
      <c r="C158" t="str">
        <f>IF(PNL!C158="","",PNL!C158)</f>
        <v/>
      </c>
      <c r="D158" t="str">
        <f>IF(PNL!D158="","",PNL!D158)</f>
        <v/>
      </c>
      <c r="E158" t="str">
        <f t="shared" si="22"/>
        <v/>
      </c>
      <c r="F158" t="str">
        <f>IF($A158="","",IF($E158=1,SUMIFS(Compta!$F$1:$F$675,Compta!$A$1:$A$675,$A158,Compta!$B$1:$B$675,$B158,Compta!$C$1:$C$675,"2026"),0))</f>
        <v/>
      </c>
      <c r="G158" t="str">
        <f t="shared" si="23"/>
        <v/>
      </c>
      <c r="H158" t="str">
        <f t="shared" si="24"/>
        <v/>
      </c>
      <c r="I158" t="str">
        <f t="shared" si="25"/>
        <v/>
      </c>
      <c r="J158" t="str">
        <f t="shared" si="26"/>
        <v/>
      </c>
      <c r="K158" t="str">
        <f t="shared" si="27"/>
        <v/>
      </c>
      <c r="L158" t="str">
        <f t="shared" si="28"/>
        <v/>
      </c>
      <c r="M158" t="str">
        <f t="shared" si="29"/>
        <v/>
      </c>
      <c r="N158" t="str">
        <f t="shared" si="30"/>
        <v/>
      </c>
      <c r="O158" t="str">
        <f t="shared" si="31"/>
        <v/>
      </c>
      <c r="P158" t="str">
        <f>IF($A158="","",IF($E158=1,$F158*$O158,PNL!G158))</f>
        <v/>
      </c>
      <c r="T158" t="str">
        <f t="shared" si="32"/>
        <v/>
      </c>
    </row>
    <row r="159" spans="1:20" x14ac:dyDescent="0.45">
      <c r="A159" t="str">
        <f>IF(PNL!A159="","",PNL!A159)</f>
        <v/>
      </c>
      <c r="B159" t="str">
        <f>IF(PNL!B159="","",PNL!B159)</f>
        <v/>
      </c>
      <c r="C159" t="str">
        <f>IF(PNL!C159="","",PNL!C159)</f>
        <v/>
      </c>
      <c r="D159" t="str">
        <f>IF(PNL!D159="","",PNL!D159)</f>
        <v/>
      </c>
      <c r="E159" t="str">
        <f t="shared" si="22"/>
        <v/>
      </c>
      <c r="F159" t="str">
        <f>IF($A159="","",IF($E159=1,SUMIFS(Compta!$F$1:$F$675,Compta!$A$1:$A$675,$A159,Compta!$B$1:$B$675,$B159,Compta!$C$1:$C$675,"2026"),0))</f>
        <v/>
      </c>
      <c r="G159" t="str">
        <f t="shared" si="23"/>
        <v/>
      </c>
      <c r="H159" t="str">
        <f t="shared" si="24"/>
        <v/>
      </c>
      <c r="I159" t="str">
        <f t="shared" si="25"/>
        <v/>
      </c>
      <c r="J159" t="str">
        <f t="shared" si="26"/>
        <v/>
      </c>
      <c r="K159" t="str">
        <f t="shared" si="27"/>
        <v/>
      </c>
      <c r="L159" t="str">
        <f t="shared" si="28"/>
        <v/>
      </c>
      <c r="M159" t="str">
        <f t="shared" si="29"/>
        <v/>
      </c>
      <c r="N159" t="str">
        <f t="shared" si="30"/>
        <v/>
      </c>
      <c r="O159" t="str">
        <f t="shared" si="31"/>
        <v/>
      </c>
      <c r="P159" t="str">
        <f>IF($A159="","",IF($E159=1,$F159*$O159,PNL!G159))</f>
        <v/>
      </c>
      <c r="T159" t="str">
        <f t="shared" si="32"/>
        <v/>
      </c>
    </row>
    <row r="160" spans="1:20" x14ac:dyDescent="0.45">
      <c r="A160" t="str">
        <f>IF(PNL!A160="","",PNL!A160)</f>
        <v/>
      </c>
      <c r="B160" t="str">
        <f>IF(PNL!B160="","",PNL!B160)</f>
        <v/>
      </c>
      <c r="C160" t="str">
        <f>IF(PNL!C160="","",PNL!C160)</f>
        <v/>
      </c>
      <c r="D160" t="str">
        <f>IF(PNL!D160="","",PNL!D160)</f>
        <v/>
      </c>
      <c r="E160" t="str">
        <f t="shared" si="22"/>
        <v/>
      </c>
      <c r="F160" t="str">
        <f>IF($A160="","",IF($E160=1,SUMIFS(Compta!$F$1:$F$675,Compta!$A$1:$A$675,$A160,Compta!$B$1:$B$675,$B160,Compta!$C$1:$C$675,"2026"),0))</f>
        <v/>
      </c>
      <c r="G160" t="str">
        <f t="shared" si="23"/>
        <v/>
      </c>
      <c r="H160" t="str">
        <f t="shared" si="24"/>
        <v/>
      </c>
      <c r="I160" t="str">
        <f t="shared" si="25"/>
        <v/>
      </c>
      <c r="J160" t="str">
        <f t="shared" si="26"/>
        <v/>
      </c>
      <c r="K160" t="str">
        <f t="shared" si="27"/>
        <v/>
      </c>
      <c r="L160" t="str">
        <f t="shared" si="28"/>
        <v/>
      </c>
      <c r="M160" t="str">
        <f t="shared" si="29"/>
        <v/>
      </c>
      <c r="N160" t="str">
        <f t="shared" si="30"/>
        <v/>
      </c>
      <c r="O160" t="str">
        <f t="shared" si="31"/>
        <v/>
      </c>
      <c r="P160" t="str">
        <f>IF($A160="","",IF($E160=1,$F160*$O160,PNL!G160))</f>
        <v/>
      </c>
      <c r="T160" t="str">
        <f t="shared" si="32"/>
        <v/>
      </c>
    </row>
    <row r="161" spans="1:20" x14ac:dyDescent="0.45">
      <c r="A161" t="str">
        <f>IF(PNL!A161="","",PNL!A161)</f>
        <v/>
      </c>
      <c r="B161" t="str">
        <f>IF(PNL!B161="","",PNL!B161)</f>
        <v/>
      </c>
      <c r="C161" t="str">
        <f>IF(PNL!C161="","",PNL!C161)</f>
        <v/>
      </c>
      <c r="D161" t="str">
        <f>IF(PNL!D161="","",PNL!D161)</f>
        <v/>
      </c>
      <c r="E161" t="str">
        <f t="shared" si="22"/>
        <v/>
      </c>
      <c r="F161" t="str">
        <f>IF($A161="","",IF($E161=1,SUMIFS(Compta!$F$1:$F$675,Compta!$A$1:$A$675,$A161,Compta!$B$1:$B$675,$B161,Compta!$C$1:$C$675,"2026"),0))</f>
        <v/>
      </c>
      <c r="G161" t="str">
        <f t="shared" si="23"/>
        <v/>
      </c>
      <c r="H161" t="str">
        <f t="shared" si="24"/>
        <v/>
      </c>
      <c r="I161" t="str">
        <f t="shared" si="25"/>
        <v/>
      </c>
      <c r="J161" t="str">
        <f t="shared" si="26"/>
        <v/>
      </c>
      <c r="K161" t="str">
        <f t="shared" si="27"/>
        <v/>
      </c>
      <c r="L161" t="str">
        <f t="shared" si="28"/>
        <v/>
      </c>
      <c r="M161" t="str">
        <f t="shared" si="29"/>
        <v/>
      </c>
      <c r="N161" t="str">
        <f t="shared" si="30"/>
        <v/>
      </c>
      <c r="O161" t="str">
        <f t="shared" si="31"/>
        <v/>
      </c>
      <c r="P161" t="str">
        <f>IF($A161="","",IF($E161=1,$F161*$O161,PNL!G161))</f>
        <v/>
      </c>
      <c r="T161" t="str">
        <f t="shared" si="32"/>
        <v/>
      </c>
    </row>
    <row r="162" spans="1:20" x14ac:dyDescent="0.45">
      <c r="A162" t="str">
        <f>IF(PNL!A162="","",PNL!A162)</f>
        <v/>
      </c>
      <c r="B162" t="str">
        <f>IF(PNL!B162="","",PNL!B162)</f>
        <v/>
      </c>
      <c r="C162" t="str">
        <f>IF(PNL!C162="","",PNL!C162)</f>
        <v/>
      </c>
      <c r="D162" t="str">
        <f>IF(PNL!D162="","",PNL!D162)</f>
        <v/>
      </c>
      <c r="E162" t="str">
        <f t="shared" si="22"/>
        <v/>
      </c>
      <c r="F162" t="str">
        <f>IF($A162="","",IF($E162=1,SUMIFS(Compta!$F$1:$F$675,Compta!$A$1:$A$675,$A162,Compta!$B$1:$B$675,$B162,Compta!$C$1:$C$675,"2026"),0))</f>
        <v/>
      </c>
      <c r="G162" t="str">
        <f t="shared" si="23"/>
        <v/>
      </c>
      <c r="H162" t="str">
        <f t="shared" si="24"/>
        <v/>
      </c>
      <c r="I162" t="str">
        <f t="shared" si="25"/>
        <v/>
      </c>
      <c r="J162" t="str">
        <f t="shared" si="26"/>
        <v/>
      </c>
      <c r="K162" t="str">
        <f t="shared" si="27"/>
        <v/>
      </c>
      <c r="L162" t="str">
        <f t="shared" si="28"/>
        <v/>
      </c>
      <c r="M162" t="str">
        <f t="shared" si="29"/>
        <v/>
      </c>
      <c r="N162" t="str">
        <f t="shared" si="30"/>
        <v/>
      </c>
      <c r="O162" t="str">
        <f t="shared" si="31"/>
        <v/>
      </c>
      <c r="P162" t="str">
        <f>IF($A162="","",IF($E162=1,$F162*$O162,PNL!G162))</f>
        <v/>
      </c>
      <c r="T162" t="str">
        <f t="shared" si="32"/>
        <v/>
      </c>
    </row>
    <row r="163" spans="1:20" x14ac:dyDescent="0.45">
      <c r="A163" t="str">
        <f>IF(PNL!A163="","",PNL!A163)</f>
        <v/>
      </c>
      <c r="B163" t="str">
        <f>IF(PNL!B163="","",PNL!B163)</f>
        <v/>
      </c>
      <c r="C163" t="str">
        <f>IF(PNL!C163="","",PNL!C163)</f>
        <v/>
      </c>
      <c r="D163" t="str">
        <f>IF(PNL!D163="","",PNL!D163)</f>
        <v/>
      </c>
      <c r="E163" t="str">
        <f t="shared" si="22"/>
        <v/>
      </c>
      <c r="F163" t="str">
        <f>IF($A163="","",IF($E163=1,SUMIFS(Compta!$F$1:$F$675,Compta!$A$1:$A$675,$A163,Compta!$B$1:$B$675,$B163,Compta!$C$1:$C$675,"2026"),0))</f>
        <v/>
      </c>
      <c r="G163" t="str">
        <f t="shared" si="23"/>
        <v/>
      </c>
      <c r="H163" t="str">
        <f t="shared" si="24"/>
        <v/>
      </c>
      <c r="I163" t="str">
        <f t="shared" si="25"/>
        <v/>
      </c>
      <c r="J163" t="str">
        <f t="shared" si="26"/>
        <v/>
      </c>
      <c r="K163" t="str">
        <f t="shared" si="27"/>
        <v/>
      </c>
      <c r="L163" t="str">
        <f t="shared" si="28"/>
        <v/>
      </c>
      <c r="M163" t="str">
        <f t="shared" si="29"/>
        <v/>
      </c>
      <c r="N163" t="str">
        <f t="shared" si="30"/>
        <v/>
      </c>
      <c r="O163" t="str">
        <f t="shared" si="31"/>
        <v/>
      </c>
      <c r="P163" t="str">
        <f>IF($A163="","",IF($E163=1,$F163*$O163,PNL!G163))</f>
        <v/>
      </c>
      <c r="T163" t="str">
        <f t="shared" si="32"/>
        <v/>
      </c>
    </row>
    <row r="164" spans="1:20" x14ac:dyDescent="0.45">
      <c r="A164" t="str">
        <f>IF(PNL!A164="","",PNL!A164)</f>
        <v/>
      </c>
      <c r="B164" t="str">
        <f>IF(PNL!B164="","",PNL!B164)</f>
        <v/>
      </c>
      <c r="C164" t="str">
        <f>IF(PNL!C164="","",PNL!C164)</f>
        <v/>
      </c>
      <c r="D164" t="str">
        <f>IF(PNL!D164="","",PNL!D164)</f>
        <v/>
      </c>
      <c r="E164" t="str">
        <f t="shared" si="22"/>
        <v/>
      </c>
      <c r="F164" t="str">
        <f>IF($A164="","",IF($E164=1,SUMIFS(Compta!$F$1:$F$675,Compta!$A$1:$A$675,$A164,Compta!$B$1:$B$675,$B164,Compta!$C$1:$C$675,"2026"),0))</f>
        <v/>
      </c>
      <c r="G164" t="str">
        <f t="shared" si="23"/>
        <v/>
      </c>
      <c r="H164" t="str">
        <f t="shared" si="24"/>
        <v/>
      </c>
      <c r="I164" t="str">
        <f t="shared" si="25"/>
        <v/>
      </c>
      <c r="J164" t="str">
        <f t="shared" si="26"/>
        <v/>
      </c>
      <c r="K164" t="str">
        <f t="shared" si="27"/>
        <v/>
      </c>
      <c r="L164" t="str">
        <f t="shared" si="28"/>
        <v/>
      </c>
      <c r="M164" t="str">
        <f t="shared" si="29"/>
        <v/>
      </c>
      <c r="N164" t="str">
        <f t="shared" si="30"/>
        <v/>
      </c>
      <c r="O164" t="str">
        <f t="shared" si="31"/>
        <v/>
      </c>
      <c r="P164" t="str">
        <f>IF($A164="","",IF($E164=1,$F164*$O164,PNL!G164))</f>
        <v/>
      </c>
      <c r="T164" t="str">
        <f t="shared" si="32"/>
        <v/>
      </c>
    </row>
    <row r="165" spans="1:20" x14ac:dyDescent="0.45">
      <c r="A165" t="str">
        <f>IF(PNL!A165="","",PNL!A165)</f>
        <v/>
      </c>
      <c r="B165" t="str">
        <f>IF(PNL!B165="","",PNL!B165)</f>
        <v/>
      </c>
      <c r="C165" t="str">
        <f>IF(PNL!C165="","",PNL!C165)</f>
        <v/>
      </c>
      <c r="D165" t="str">
        <f>IF(PNL!D165="","",PNL!D165)</f>
        <v/>
      </c>
      <c r="E165" t="str">
        <f t="shared" si="22"/>
        <v/>
      </c>
      <c r="F165" t="str">
        <f>IF($A165="","",IF($E165=1,SUMIFS(Compta!$F$1:$F$675,Compta!$A$1:$A$675,$A165,Compta!$B$1:$B$675,$B165,Compta!$C$1:$C$675,"2026"),0))</f>
        <v/>
      </c>
      <c r="G165" t="str">
        <f t="shared" si="23"/>
        <v/>
      </c>
      <c r="H165" t="str">
        <f t="shared" si="24"/>
        <v/>
      </c>
      <c r="I165" t="str">
        <f t="shared" si="25"/>
        <v/>
      </c>
      <c r="J165" t="str">
        <f t="shared" si="26"/>
        <v/>
      </c>
      <c r="K165" t="str">
        <f t="shared" si="27"/>
        <v/>
      </c>
      <c r="L165" t="str">
        <f t="shared" si="28"/>
        <v/>
      </c>
      <c r="M165" t="str">
        <f t="shared" si="29"/>
        <v/>
      </c>
      <c r="N165" t="str">
        <f t="shared" si="30"/>
        <v/>
      </c>
      <c r="O165" t="str">
        <f t="shared" si="31"/>
        <v/>
      </c>
      <c r="P165" t="str">
        <f>IF($A165="","",IF($E165=1,$F165*$O165,PNL!G165))</f>
        <v/>
      </c>
      <c r="T165" t="str">
        <f t="shared" si="32"/>
        <v/>
      </c>
    </row>
    <row r="166" spans="1:20" x14ac:dyDescent="0.45">
      <c r="A166" t="str">
        <f>IF(PNL!A166="","",PNL!A166)</f>
        <v/>
      </c>
      <c r="B166" t="str">
        <f>IF(PNL!B166="","",PNL!B166)</f>
        <v/>
      </c>
      <c r="C166" t="str">
        <f>IF(PNL!C166="","",PNL!C166)</f>
        <v/>
      </c>
      <c r="D166" t="str">
        <f>IF(PNL!D166="","",PNL!D166)</f>
        <v/>
      </c>
      <c r="E166" t="str">
        <f t="shared" si="22"/>
        <v/>
      </c>
      <c r="F166" t="str">
        <f>IF($A166="","",IF($E166=1,SUMIFS(Compta!$F$1:$F$675,Compta!$A$1:$A$675,$A166,Compta!$B$1:$B$675,$B166,Compta!$C$1:$C$675,"2026"),0))</f>
        <v/>
      </c>
      <c r="G166" t="str">
        <f t="shared" si="23"/>
        <v/>
      </c>
      <c r="H166" t="str">
        <f t="shared" si="24"/>
        <v/>
      </c>
      <c r="I166" t="str">
        <f t="shared" si="25"/>
        <v/>
      </c>
      <c r="J166" t="str">
        <f t="shared" si="26"/>
        <v/>
      </c>
      <c r="K166" t="str">
        <f t="shared" si="27"/>
        <v/>
      </c>
      <c r="L166" t="str">
        <f t="shared" si="28"/>
        <v/>
      </c>
      <c r="M166" t="str">
        <f t="shared" si="29"/>
        <v/>
      </c>
      <c r="N166" t="str">
        <f t="shared" si="30"/>
        <v/>
      </c>
      <c r="O166" t="str">
        <f t="shared" si="31"/>
        <v/>
      </c>
      <c r="P166" t="str">
        <f>IF($A166="","",IF($E166=1,$F166*$O166,PNL!G166))</f>
        <v/>
      </c>
      <c r="T166" t="str">
        <f t="shared" si="32"/>
        <v/>
      </c>
    </row>
    <row r="167" spans="1:20" x14ac:dyDescent="0.45">
      <c r="A167" t="str">
        <f>IF(PNL!A167="","",PNL!A167)</f>
        <v/>
      </c>
      <c r="B167" t="str">
        <f>IF(PNL!B167="","",PNL!B167)</f>
        <v/>
      </c>
      <c r="C167" t="str">
        <f>IF(PNL!C167="","",PNL!C167)</f>
        <v/>
      </c>
      <c r="D167" t="str">
        <f>IF(PNL!D167="","",PNL!D167)</f>
        <v/>
      </c>
      <c r="E167" t="str">
        <f t="shared" si="22"/>
        <v/>
      </c>
      <c r="F167" t="str">
        <f>IF($A167="","",IF($E167=1,SUMIFS(Compta!$F$1:$F$675,Compta!$A$1:$A$675,$A167,Compta!$B$1:$B$675,$B167,Compta!$C$1:$C$675,"2026"),0))</f>
        <v/>
      </c>
      <c r="G167" t="str">
        <f t="shared" si="23"/>
        <v/>
      </c>
      <c r="H167" t="str">
        <f t="shared" si="24"/>
        <v/>
      </c>
      <c r="I167" t="str">
        <f t="shared" si="25"/>
        <v/>
      </c>
      <c r="J167" t="str">
        <f t="shared" si="26"/>
        <v/>
      </c>
      <c r="K167" t="str">
        <f t="shared" si="27"/>
        <v/>
      </c>
      <c r="L167" t="str">
        <f t="shared" si="28"/>
        <v/>
      </c>
      <c r="M167" t="str">
        <f t="shared" si="29"/>
        <v/>
      </c>
      <c r="N167" t="str">
        <f t="shared" si="30"/>
        <v/>
      </c>
      <c r="O167" t="str">
        <f t="shared" si="31"/>
        <v/>
      </c>
      <c r="P167" t="str">
        <f>IF($A167="","",IF($E167=1,$F167*$O167,PNL!G167))</f>
        <v/>
      </c>
      <c r="T167" t="str">
        <f t="shared" si="32"/>
        <v/>
      </c>
    </row>
    <row r="168" spans="1:20" x14ac:dyDescent="0.45">
      <c r="A168" t="str">
        <f>IF(PNL!A168="","",PNL!A168)</f>
        <v/>
      </c>
      <c r="B168" t="str">
        <f>IF(PNL!B168="","",PNL!B168)</f>
        <v/>
      </c>
      <c r="C168" t="str">
        <f>IF(PNL!C168="","",PNL!C168)</f>
        <v/>
      </c>
      <c r="D168" t="str">
        <f>IF(PNL!D168="","",PNL!D168)</f>
        <v/>
      </c>
      <c r="E168" t="str">
        <f t="shared" si="22"/>
        <v/>
      </c>
      <c r="F168" t="str">
        <f>IF($A168="","",IF($E168=1,SUMIFS(Compta!$F$1:$F$675,Compta!$A$1:$A$675,$A168,Compta!$B$1:$B$675,$B168,Compta!$C$1:$C$675,"2026"),0))</f>
        <v/>
      </c>
      <c r="G168" t="str">
        <f t="shared" si="23"/>
        <v/>
      </c>
      <c r="H168" t="str">
        <f t="shared" si="24"/>
        <v/>
      </c>
      <c r="I168" t="str">
        <f t="shared" si="25"/>
        <v/>
      </c>
      <c r="J168" t="str">
        <f t="shared" si="26"/>
        <v/>
      </c>
      <c r="K168" t="str">
        <f t="shared" si="27"/>
        <v/>
      </c>
      <c r="L168" t="str">
        <f t="shared" si="28"/>
        <v/>
      </c>
      <c r="M168" t="str">
        <f t="shared" si="29"/>
        <v/>
      </c>
      <c r="N168" t="str">
        <f t="shared" si="30"/>
        <v/>
      </c>
      <c r="O168" t="str">
        <f t="shared" si="31"/>
        <v/>
      </c>
      <c r="P168" t="str">
        <f>IF($A168="","",IF($E168=1,$F168*$O168,PNL!G168))</f>
        <v/>
      </c>
      <c r="T168" t="str">
        <f t="shared" si="32"/>
        <v/>
      </c>
    </row>
    <row r="169" spans="1:20" x14ac:dyDescent="0.45">
      <c r="A169" t="str">
        <f>IF(PNL!A169="","",PNL!A169)</f>
        <v/>
      </c>
      <c r="B169" t="str">
        <f>IF(PNL!B169="","",PNL!B169)</f>
        <v/>
      </c>
      <c r="C169" t="str">
        <f>IF(PNL!C169="","",PNL!C169)</f>
        <v/>
      </c>
      <c r="D169" t="str">
        <f>IF(PNL!D169="","",PNL!D169)</f>
        <v/>
      </c>
      <c r="E169" t="str">
        <f t="shared" si="22"/>
        <v/>
      </c>
      <c r="F169" t="str">
        <f>IF($A169="","",IF($E169=1,SUMIFS(Compta!$F$1:$F$675,Compta!$A$1:$A$675,$A169,Compta!$B$1:$B$675,$B169,Compta!$C$1:$C$675,"2026"),0))</f>
        <v/>
      </c>
      <c r="G169" t="str">
        <f t="shared" si="23"/>
        <v/>
      </c>
      <c r="H169" t="str">
        <f t="shared" si="24"/>
        <v/>
      </c>
      <c r="I169" t="str">
        <f t="shared" si="25"/>
        <v/>
      </c>
      <c r="J169" t="str">
        <f t="shared" si="26"/>
        <v/>
      </c>
      <c r="K169" t="str">
        <f t="shared" si="27"/>
        <v/>
      </c>
      <c r="L169" t="str">
        <f t="shared" si="28"/>
        <v/>
      </c>
      <c r="M169" t="str">
        <f t="shared" si="29"/>
        <v/>
      </c>
      <c r="N169" t="str">
        <f t="shared" si="30"/>
        <v/>
      </c>
      <c r="O169" t="str">
        <f t="shared" si="31"/>
        <v/>
      </c>
      <c r="P169" t="str">
        <f>IF($A169="","",IF($E169=1,$F169*$O169,PNL!G169))</f>
        <v/>
      </c>
      <c r="T169" t="str">
        <f t="shared" si="32"/>
        <v/>
      </c>
    </row>
    <row r="170" spans="1:20" x14ac:dyDescent="0.45">
      <c r="A170" t="str">
        <f>IF(PNL!A170="","",PNL!A170)</f>
        <v/>
      </c>
      <c r="B170" t="str">
        <f>IF(PNL!B170="","",PNL!B170)</f>
        <v/>
      </c>
      <c r="C170" t="str">
        <f>IF(PNL!C170="","",PNL!C170)</f>
        <v/>
      </c>
      <c r="D170" t="str">
        <f>IF(PNL!D170="","",PNL!D170)</f>
        <v/>
      </c>
      <c r="E170" t="str">
        <f t="shared" si="22"/>
        <v/>
      </c>
      <c r="F170" t="str">
        <f>IF($A170="","",IF($E170=1,SUMIFS(Compta!$F$1:$F$675,Compta!$A$1:$A$675,$A170,Compta!$B$1:$B$675,$B170,Compta!$C$1:$C$675,"2026"),0))</f>
        <v/>
      </c>
      <c r="G170" t="str">
        <f t="shared" si="23"/>
        <v/>
      </c>
      <c r="H170" t="str">
        <f t="shared" si="24"/>
        <v/>
      </c>
      <c r="I170" t="str">
        <f t="shared" si="25"/>
        <v/>
      </c>
      <c r="J170" t="str">
        <f t="shared" si="26"/>
        <v/>
      </c>
      <c r="K170" t="str">
        <f t="shared" si="27"/>
        <v/>
      </c>
      <c r="L170" t="str">
        <f t="shared" si="28"/>
        <v/>
      </c>
      <c r="M170" t="str">
        <f t="shared" si="29"/>
        <v/>
      </c>
      <c r="N170" t="str">
        <f t="shared" si="30"/>
        <v/>
      </c>
      <c r="O170" t="str">
        <f t="shared" si="31"/>
        <v/>
      </c>
      <c r="P170" t="str">
        <f>IF($A170="","",IF($E170=1,$F170*$O170,PNL!G170))</f>
        <v/>
      </c>
      <c r="T170" t="str">
        <f t="shared" si="32"/>
        <v/>
      </c>
    </row>
    <row r="171" spans="1:20" x14ac:dyDescent="0.45">
      <c r="A171" t="str">
        <f>IF(PNL!A171="","",PNL!A171)</f>
        <v/>
      </c>
      <c r="B171" t="str">
        <f>IF(PNL!B171="","",PNL!B171)</f>
        <v/>
      </c>
      <c r="C171" t="str">
        <f>IF(PNL!C171="","",PNL!C171)</f>
        <v/>
      </c>
      <c r="D171" t="str">
        <f>IF(PNL!D171="","",PNL!D171)</f>
        <v/>
      </c>
      <c r="E171" t="str">
        <f t="shared" si="22"/>
        <v/>
      </c>
      <c r="F171" t="str">
        <f>IF($A171="","",IF($E171=1,SUMIFS(Compta!$F$1:$F$675,Compta!$A$1:$A$675,$A171,Compta!$B$1:$B$675,$B171,Compta!$C$1:$C$675,"2026"),0))</f>
        <v/>
      </c>
      <c r="G171" t="str">
        <f t="shared" si="23"/>
        <v/>
      </c>
      <c r="H171" t="str">
        <f t="shared" si="24"/>
        <v/>
      </c>
      <c r="I171" t="str">
        <f t="shared" si="25"/>
        <v/>
      </c>
      <c r="J171" t="str">
        <f t="shared" si="26"/>
        <v/>
      </c>
      <c r="K171" t="str">
        <f t="shared" si="27"/>
        <v/>
      </c>
      <c r="L171" t="str">
        <f t="shared" si="28"/>
        <v/>
      </c>
      <c r="M171" t="str">
        <f t="shared" si="29"/>
        <v/>
      </c>
      <c r="N171" t="str">
        <f t="shared" si="30"/>
        <v/>
      </c>
      <c r="O171" t="str">
        <f t="shared" si="31"/>
        <v/>
      </c>
      <c r="P171" t="str">
        <f>IF($A171="","",IF($E171=1,$F171*$O171,PNL!G171))</f>
        <v/>
      </c>
      <c r="T171" t="str">
        <f t="shared" si="32"/>
        <v/>
      </c>
    </row>
    <row r="172" spans="1:20" x14ac:dyDescent="0.45">
      <c r="A172" t="str">
        <f>IF(PNL!A172="","",PNL!A172)</f>
        <v/>
      </c>
      <c r="B172" t="str">
        <f>IF(PNL!B172="","",PNL!B172)</f>
        <v/>
      </c>
      <c r="C172" t="str">
        <f>IF(PNL!C172="","",PNL!C172)</f>
        <v/>
      </c>
      <c r="D172" t="str">
        <f>IF(PNL!D172="","",PNL!D172)</f>
        <v/>
      </c>
      <c r="E172" t="str">
        <f t="shared" si="22"/>
        <v/>
      </c>
      <c r="F172" t="str">
        <f>IF($A172="","",IF($E172=1,SUMIFS(Compta!$F$1:$F$675,Compta!$A$1:$A$675,$A172,Compta!$B$1:$B$675,$B172,Compta!$C$1:$C$675,"2026"),0))</f>
        <v/>
      </c>
      <c r="G172" t="str">
        <f t="shared" si="23"/>
        <v/>
      </c>
      <c r="H172" t="str">
        <f t="shared" si="24"/>
        <v/>
      </c>
      <c r="I172" t="str">
        <f t="shared" si="25"/>
        <v/>
      </c>
      <c r="J172" t="str">
        <f t="shared" si="26"/>
        <v/>
      </c>
      <c r="K172" t="str">
        <f t="shared" si="27"/>
        <v/>
      </c>
      <c r="L172" t="str">
        <f t="shared" si="28"/>
        <v/>
      </c>
      <c r="M172" t="str">
        <f t="shared" si="29"/>
        <v/>
      </c>
      <c r="N172" t="str">
        <f t="shared" si="30"/>
        <v/>
      </c>
      <c r="O172" t="str">
        <f t="shared" si="31"/>
        <v/>
      </c>
      <c r="P172" t="str">
        <f>IF($A172="","",IF($E172=1,$F172*$O172,PNL!G172))</f>
        <v/>
      </c>
      <c r="T172" t="str">
        <f t="shared" si="32"/>
        <v/>
      </c>
    </row>
    <row r="173" spans="1:20" x14ac:dyDescent="0.45">
      <c r="A173" t="str">
        <f>IF(PNL!A173="","",PNL!A173)</f>
        <v/>
      </c>
      <c r="B173" t="str">
        <f>IF(PNL!B173="","",PNL!B173)</f>
        <v/>
      </c>
      <c r="C173" t="str">
        <f>IF(PNL!C173="","",PNL!C173)</f>
        <v/>
      </c>
      <c r="D173" t="str">
        <f>IF(PNL!D173="","",PNL!D173)</f>
        <v/>
      </c>
      <c r="E173" t="str">
        <f t="shared" si="22"/>
        <v/>
      </c>
      <c r="F173" t="str">
        <f>IF($A173="","",IF($E173=1,SUMIFS(Compta!$F$1:$F$675,Compta!$A$1:$A$675,$A173,Compta!$B$1:$B$675,$B173,Compta!$C$1:$C$675,"2026"),0))</f>
        <v/>
      </c>
      <c r="G173" t="str">
        <f t="shared" si="23"/>
        <v/>
      </c>
      <c r="H173" t="str">
        <f t="shared" si="24"/>
        <v/>
      </c>
      <c r="I173" t="str">
        <f t="shared" si="25"/>
        <v/>
      </c>
      <c r="J173" t="str">
        <f t="shared" si="26"/>
        <v/>
      </c>
      <c r="K173" t="str">
        <f t="shared" si="27"/>
        <v/>
      </c>
      <c r="L173" t="str">
        <f t="shared" si="28"/>
        <v/>
      </c>
      <c r="M173" t="str">
        <f t="shared" si="29"/>
        <v/>
      </c>
      <c r="N173" t="str">
        <f t="shared" si="30"/>
        <v/>
      </c>
      <c r="O173" t="str">
        <f t="shared" si="31"/>
        <v/>
      </c>
      <c r="P173" t="str">
        <f>IF($A173="","",IF($E173=1,$F173*$O173,PNL!G173))</f>
        <v/>
      </c>
      <c r="T173" t="str">
        <f t="shared" si="32"/>
        <v/>
      </c>
    </row>
    <row r="174" spans="1:20" x14ac:dyDescent="0.45">
      <c r="A174" t="str">
        <f>IF(PNL!A174="","",PNL!A174)</f>
        <v/>
      </c>
      <c r="B174" t="str">
        <f>IF(PNL!B174="","",PNL!B174)</f>
        <v/>
      </c>
      <c r="C174" t="str">
        <f>IF(PNL!C174="","",PNL!C174)</f>
        <v/>
      </c>
      <c r="D174" t="str">
        <f>IF(PNL!D174="","",PNL!D174)</f>
        <v/>
      </c>
      <c r="E174" t="str">
        <f t="shared" si="22"/>
        <v/>
      </c>
      <c r="F174" t="str">
        <f>IF($A174="","",IF($E174=1,SUMIFS(Compta!$F$1:$F$675,Compta!$A$1:$A$675,$A174,Compta!$B$1:$B$675,$B174,Compta!$C$1:$C$675,"2026"),0))</f>
        <v/>
      </c>
      <c r="G174" t="str">
        <f t="shared" si="23"/>
        <v/>
      </c>
      <c r="H174" t="str">
        <f t="shared" si="24"/>
        <v/>
      </c>
      <c r="I174" t="str">
        <f t="shared" si="25"/>
        <v/>
      </c>
      <c r="J174" t="str">
        <f t="shared" si="26"/>
        <v/>
      </c>
      <c r="K174" t="str">
        <f t="shared" si="27"/>
        <v/>
      </c>
      <c r="L174" t="str">
        <f t="shared" si="28"/>
        <v/>
      </c>
      <c r="M174" t="str">
        <f t="shared" si="29"/>
        <v/>
      </c>
      <c r="N174" t="str">
        <f t="shared" si="30"/>
        <v/>
      </c>
      <c r="O174" t="str">
        <f t="shared" si="31"/>
        <v/>
      </c>
      <c r="P174" t="str">
        <f>IF($A174="","",IF($E174=1,$F174*$O174,PNL!G174))</f>
        <v/>
      </c>
      <c r="T174" t="str">
        <f t="shared" si="32"/>
        <v/>
      </c>
    </row>
    <row r="175" spans="1:20" x14ac:dyDescent="0.45">
      <c r="A175" t="str">
        <f>IF(PNL!A175="","",PNL!A175)</f>
        <v/>
      </c>
      <c r="B175" t="str">
        <f>IF(PNL!B175="","",PNL!B175)</f>
        <v/>
      </c>
      <c r="C175" t="str">
        <f>IF(PNL!C175="","",PNL!C175)</f>
        <v/>
      </c>
      <c r="D175" t="str">
        <f>IF(PNL!D175="","",PNL!D175)</f>
        <v/>
      </c>
      <c r="E175" t="str">
        <f t="shared" si="22"/>
        <v/>
      </c>
      <c r="F175" t="str">
        <f>IF($A175="","",IF($E175=1,SUMIFS(Compta!$F$1:$F$675,Compta!$A$1:$A$675,$A175,Compta!$B$1:$B$675,$B175,Compta!$C$1:$C$675,"2026"),0))</f>
        <v/>
      </c>
      <c r="G175" t="str">
        <f t="shared" si="23"/>
        <v/>
      </c>
      <c r="H175" t="str">
        <f t="shared" si="24"/>
        <v/>
      </c>
      <c r="I175" t="str">
        <f t="shared" si="25"/>
        <v/>
      </c>
      <c r="J175" t="str">
        <f t="shared" si="26"/>
        <v/>
      </c>
      <c r="K175" t="str">
        <f t="shared" si="27"/>
        <v/>
      </c>
      <c r="L175" t="str">
        <f t="shared" si="28"/>
        <v/>
      </c>
      <c r="M175" t="str">
        <f t="shared" si="29"/>
        <v/>
      </c>
      <c r="N175" t="str">
        <f t="shared" si="30"/>
        <v/>
      </c>
      <c r="O175" t="str">
        <f t="shared" si="31"/>
        <v/>
      </c>
      <c r="P175" t="str">
        <f>IF($A175="","",IF($E175=1,$F175*$O175,PNL!G175))</f>
        <v/>
      </c>
      <c r="T175" t="str">
        <f t="shared" si="32"/>
        <v/>
      </c>
    </row>
    <row r="176" spans="1:20" x14ac:dyDescent="0.45">
      <c r="A176" t="str">
        <f>IF(PNL!A176="","",PNL!A176)</f>
        <v/>
      </c>
      <c r="B176" t="str">
        <f>IF(PNL!B176="","",PNL!B176)</f>
        <v/>
      </c>
      <c r="C176" t="str">
        <f>IF(PNL!C176="","",PNL!C176)</f>
        <v/>
      </c>
      <c r="D176" t="str">
        <f>IF(PNL!D176="","",PNL!D176)</f>
        <v/>
      </c>
      <c r="E176" t="str">
        <f t="shared" si="22"/>
        <v/>
      </c>
      <c r="F176" t="str">
        <f>IF($A176="","",IF($E176=1,SUMIFS(Compta!$F$1:$F$675,Compta!$A$1:$A$675,$A176,Compta!$B$1:$B$675,$B176,Compta!$C$1:$C$675,"2026"),0))</f>
        <v/>
      </c>
      <c r="G176" t="str">
        <f t="shared" si="23"/>
        <v/>
      </c>
      <c r="H176" t="str">
        <f t="shared" si="24"/>
        <v/>
      </c>
      <c r="I176" t="str">
        <f t="shared" si="25"/>
        <v/>
      </c>
      <c r="J176" t="str">
        <f t="shared" si="26"/>
        <v/>
      </c>
      <c r="K176" t="str">
        <f t="shared" si="27"/>
        <v/>
      </c>
      <c r="L176" t="str">
        <f t="shared" si="28"/>
        <v/>
      </c>
      <c r="M176" t="str">
        <f t="shared" si="29"/>
        <v/>
      </c>
      <c r="N176" t="str">
        <f t="shared" si="30"/>
        <v/>
      </c>
      <c r="O176" t="str">
        <f t="shared" si="31"/>
        <v/>
      </c>
      <c r="P176" t="str">
        <f>IF($A176="","",IF($E176=1,$F176*$O176,PNL!G176))</f>
        <v/>
      </c>
      <c r="T176" t="str">
        <f t="shared" si="32"/>
        <v/>
      </c>
    </row>
    <row r="177" spans="1:20" x14ac:dyDescent="0.45">
      <c r="A177" t="str">
        <f>IF(PNL!A177="","",PNL!A177)</f>
        <v/>
      </c>
      <c r="B177" t="str">
        <f>IF(PNL!B177="","",PNL!B177)</f>
        <v/>
      </c>
      <c r="C177" t="str">
        <f>IF(PNL!C177="","",PNL!C177)</f>
        <v/>
      </c>
      <c r="D177" t="str">
        <f>IF(PNL!D177="","",PNL!D177)</f>
        <v/>
      </c>
      <c r="E177" t="str">
        <f t="shared" si="22"/>
        <v/>
      </c>
      <c r="F177" t="str">
        <f>IF($A177="","",IF($E177=1,SUMIFS(Compta!$F$1:$F$675,Compta!$A$1:$A$675,$A177,Compta!$B$1:$B$675,$B177,Compta!$C$1:$C$675,"2026"),0))</f>
        <v/>
      </c>
      <c r="G177" t="str">
        <f t="shared" si="23"/>
        <v/>
      </c>
      <c r="H177" t="str">
        <f t="shared" si="24"/>
        <v/>
      </c>
      <c r="I177" t="str">
        <f t="shared" si="25"/>
        <v/>
      </c>
      <c r="J177" t="str">
        <f t="shared" si="26"/>
        <v/>
      </c>
      <c r="K177" t="str">
        <f t="shared" si="27"/>
        <v/>
      </c>
      <c r="L177" t="str">
        <f t="shared" si="28"/>
        <v/>
      </c>
      <c r="M177" t="str">
        <f t="shared" si="29"/>
        <v/>
      </c>
      <c r="N177" t="str">
        <f t="shared" si="30"/>
        <v/>
      </c>
      <c r="O177" t="str">
        <f t="shared" si="31"/>
        <v/>
      </c>
      <c r="P177" t="str">
        <f>IF($A177="","",IF($E177=1,$F177*$O177,PNL!G177))</f>
        <v/>
      </c>
      <c r="T177" t="str">
        <f t="shared" si="32"/>
        <v/>
      </c>
    </row>
    <row r="178" spans="1:20" x14ac:dyDescent="0.45">
      <c r="A178" t="str">
        <f>IF(PNL!A178="","",PNL!A178)</f>
        <v/>
      </c>
      <c r="B178" t="str">
        <f>IF(PNL!B178="","",PNL!B178)</f>
        <v/>
      </c>
      <c r="C178" t="str">
        <f>IF(PNL!C178="","",PNL!C178)</f>
        <v/>
      </c>
      <c r="D178" t="str">
        <f>IF(PNL!D178="","",PNL!D178)</f>
        <v/>
      </c>
      <c r="E178" t="str">
        <f t="shared" si="22"/>
        <v/>
      </c>
      <c r="F178" t="str">
        <f>IF($A178="","",IF($E178=1,SUMIFS(Compta!$F$1:$F$675,Compta!$A$1:$A$675,$A178,Compta!$B$1:$B$675,$B178,Compta!$C$1:$C$675,"2026"),0))</f>
        <v/>
      </c>
      <c r="G178" t="str">
        <f t="shared" si="23"/>
        <v/>
      </c>
      <c r="H178" t="str">
        <f t="shared" si="24"/>
        <v/>
      </c>
      <c r="I178" t="str">
        <f t="shared" si="25"/>
        <v/>
      </c>
      <c r="J178" t="str">
        <f t="shared" si="26"/>
        <v/>
      </c>
      <c r="K178" t="str">
        <f t="shared" si="27"/>
        <v/>
      </c>
      <c r="L178" t="str">
        <f t="shared" si="28"/>
        <v/>
      </c>
      <c r="M178" t="str">
        <f t="shared" si="29"/>
        <v/>
      </c>
      <c r="N178" t="str">
        <f t="shared" si="30"/>
        <v/>
      </c>
      <c r="O178" t="str">
        <f t="shared" si="31"/>
        <v/>
      </c>
      <c r="P178" t="str">
        <f>IF($A178="","",IF($E178=1,$F178*$O178,PNL!G178))</f>
        <v/>
      </c>
      <c r="T178" t="str">
        <f t="shared" si="32"/>
        <v/>
      </c>
    </row>
    <row r="179" spans="1:20" x14ac:dyDescent="0.45">
      <c r="A179" t="str">
        <f>IF(PNL!A179="","",PNL!A179)</f>
        <v/>
      </c>
      <c r="B179" t="str">
        <f>IF(PNL!B179="","",PNL!B179)</f>
        <v/>
      </c>
      <c r="C179" t="str">
        <f>IF(PNL!C179="","",PNL!C179)</f>
        <v/>
      </c>
      <c r="D179" t="str">
        <f>IF(PNL!D179="","",PNL!D179)</f>
        <v/>
      </c>
      <c r="E179" t="str">
        <f t="shared" si="22"/>
        <v/>
      </c>
      <c r="F179" t="str">
        <f>IF($A179="","",IF($E179=1,SUMIFS(Compta!$F$1:$F$675,Compta!$A$1:$A$675,$A179,Compta!$B$1:$B$675,$B179,Compta!$C$1:$C$675,"2026"),0))</f>
        <v/>
      </c>
      <c r="G179" t="str">
        <f t="shared" si="23"/>
        <v/>
      </c>
      <c r="H179" t="str">
        <f t="shared" si="24"/>
        <v/>
      </c>
      <c r="I179" t="str">
        <f t="shared" si="25"/>
        <v/>
      </c>
      <c r="J179" t="str">
        <f t="shared" si="26"/>
        <v/>
      </c>
      <c r="K179" t="str">
        <f t="shared" si="27"/>
        <v/>
      </c>
      <c r="L179" t="str">
        <f t="shared" si="28"/>
        <v/>
      </c>
      <c r="M179" t="str">
        <f t="shared" si="29"/>
        <v/>
      </c>
      <c r="N179" t="str">
        <f t="shared" si="30"/>
        <v/>
      </c>
      <c r="O179" t="str">
        <f t="shared" si="31"/>
        <v/>
      </c>
      <c r="P179" t="str">
        <f>IF($A179="","",IF($E179=1,$F179*$O179,PNL!G179))</f>
        <v/>
      </c>
      <c r="T179" t="str">
        <f t="shared" si="32"/>
        <v/>
      </c>
    </row>
    <row r="180" spans="1:20" x14ac:dyDescent="0.45">
      <c r="A180" t="str">
        <f>IF(PNL!A180="","",PNL!A180)</f>
        <v/>
      </c>
      <c r="B180" t="str">
        <f>IF(PNL!B180="","",PNL!B180)</f>
        <v/>
      </c>
      <c r="C180" t="str">
        <f>IF(PNL!C180="","",PNL!C180)</f>
        <v/>
      </c>
      <c r="D180" t="str">
        <f>IF(PNL!D180="","",PNL!D180)</f>
        <v/>
      </c>
      <c r="E180" t="str">
        <f t="shared" si="22"/>
        <v/>
      </c>
      <c r="F180" t="str">
        <f>IF($A180="","",IF($E180=1,SUMIFS(Compta!$F$1:$F$675,Compta!$A$1:$A$675,$A180,Compta!$B$1:$B$675,$B180,Compta!$C$1:$C$675,"2026"),0))</f>
        <v/>
      </c>
      <c r="G180" t="str">
        <f t="shared" si="23"/>
        <v/>
      </c>
      <c r="H180" t="str">
        <f t="shared" si="24"/>
        <v/>
      </c>
      <c r="I180" t="str">
        <f t="shared" si="25"/>
        <v/>
      </c>
      <c r="J180" t="str">
        <f t="shared" si="26"/>
        <v/>
      </c>
      <c r="K180" t="str">
        <f t="shared" si="27"/>
        <v/>
      </c>
      <c r="L180" t="str">
        <f t="shared" si="28"/>
        <v/>
      </c>
      <c r="M180" t="str">
        <f t="shared" si="29"/>
        <v/>
      </c>
      <c r="N180" t="str">
        <f t="shared" si="30"/>
        <v/>
      </c>
      <c r="O180" t="str">
        <f t="shared" si="31"/>
        <v/>
      </c>
      <c r="P180" t="str">
        <f>IF($A180="","",IF($E180=1,$F180*$O180,PNL!G180))</f>
        <v/>
      </c>
      <c r="T180" t="str">
        <f t="shared" si="32"/>
        <v/>
      </c>
    </row>
    <row r="181" spans="1:20" x14ac:dyDescent="0.45">
      <c r="A181" t="str">
        <f>IF(PNL!A181="","",PNL!A181)</f>
        <v/>
      </c>
      <c r="B181" t="str">
        <f>IF(PNL!B181="","",PNL!B181)</f>
        <v/>
      </c>
      <c r="C181" t="str">
        <f>IF(PNL!C181="","",PNL!C181)</f>
        <v/>
      </c>
      <c r="D181" t="str">
        <f>IF(PNL!D181="","",PNL!D181)</f>
        <v/>
      </c>
      <c r="E181" t="str">
        <f t="shared" si="22"/>
        <v/>
      </c>
      <c r="F181" t="str">
        <f>IF($A181="","",IF($E181=1,SUMIFS(Compta!$F$1:$F$675,Compta!$A$1:$A$675,$A181,Compta!$B$1:$B$675,$B181,Compta!$C$1:$C$675,"2026"),0))</f>
        <v/>
      </c>
      <c r="G181" t="str">
        <f t="shared" si="23"/>
        <v/>
      </c>
      <c r="H181" t="str">
        <f t="shared" si="24"/>
        <v/>
      </c>
      <c r="I181" t="str">
        <f t="shared" si="25"/>
        <v/>
      </c>
      <c r="J181" t="str">
        <f t="shared" si="26"/>
        <v/>
      </c>
      <c r="K181" t="str">
        <f t="shared" si="27"/>
        <v/>
      </c>
      <c r="L181" t="str">
        <f t="shared" si="28"/>
        <v/>
      </c>
      <c r="M181" t="str">
        <f t="shared" si="29"/>
        <v/>
      </c>
      <c r="N181" t="str">
        <f t="shared" si="30"/>
        <v/>
      </c>
      <c r="O181" t="str">
        <f t="shared" si="31"/>
        <v/>
      </c>
      <c r="P181" t="str">
        <f>IF($A181="","",IF($E181=1,$F181*$O181,PNL!G181))</f>
        <v/>
      </c>
      <c r="T181" t="str">
        <f t="shared" si="32"/>
        <v/>
      </c>
    </row>
    <row r="182" spans="1:20" x14ac:dyDescent="0.45">
      <c r="A182" t="str">
        <f>IF(PNL!A182="","",PNL!A182)</f>
        <v/>
      </c>
      <c r="B182" t="str">
        <f>IF(PNL!B182="","",PNL!B182)</f>
        <v/>
      </c>
      <c r="C182" t="str">
        <f>IF(PNL!C182="","",PNL!C182)</f>
        <v/>
      </c>
      <c r="D182" t="str">
        <f>IF(PNL!D182="","",PNL!D182)</f>
        <v/>
      </c>
      <c r="E182" t="str">
        <f t="shared" si="22"/>
        <v/>
      </c>
      <c r="F182" t="str">
        <f>IF($A182="","",IF($E182=1,SUMIFS(Compta!$F$1:$F$675,Compta!$A$1:$A$675,$A182,Compta!$B$1:$B$675,$B182,Compta!$C$1:$C$675,"2026"),0))</f>
        <v/>
      </c>
      <c r="G182" t="str">
        <f t="shared" si="23"/>
        <v/>
      </c>
      <c r="H182" t="str">
        <f t="shared" si="24"/>
        <v/>
      </c>
      <c r="I182" t="str">
        <f t="shared" si="25"/>
        <v/>
      </c>
      <c r="J182" t="str">
        <f t="shared" si="26"/>
        <v/>
      </c>
      <c r="K182" t="str">
        <f t="shared" si="27"/>
        <v/>
      </c>
      <c r="L182" t="str">
        <f t="shared" si="28"/>
        <v/>
      </c>
      <c r="M182" t="str">
        <f t="shared" si="29"/>
        <v/>
      </c>
      <c r="N182" t="str">
        <f t="shared" si="30"/>
        <v/>
      </c>
      <c r="O182" t="str">
        <f t="shared" si="31"/>
        <v/>
      </c>
      <c r="P182" t="str">
        <f>IF($A182="","",IF($E182=1,$F182*$O182,PNL!G182))</f>
        <v/>
      </c>
      <c r="T182" t="str">
        <f t="shared" si="32"/>
        <v/>
      </c>
    </row>
    <row r="183" spans="1:20" x14ac:dyDescent="0.45">
      <c r="A183" t="str">
        <f>IF(PNL!A183="","",PNL!A183)</f>
        <v/>
      </c>
      <c r="B183" t="str">
        <f>IF(PNL!B183="","",PNL!B183)</f>
        <v/>
      </c>
      <c r="C183" t="str">
        <f>IF(PNL!C183="","",PNL!C183)</f>
        <v/>
      </c>
      <c r="D183" t="str">
        <f>IF(PNL!D183="","",PNL!D183)</f>
        <v/>
      </c>
      <c r="E183" t="str">
        <f t="shared" si="22"/>
        <v/>
      </c>
      <c r="F183" t="str">
        <f>IF($A183="","",IF($E183=1,SUMIFS(Compta!$F$1:$F$675,Compta!$A$1:$A$675,$A183,Compta!$B$1:$B$675,$B183,Compta!$C$1:$C$675,"2026"),0))</f>
        <v/>
      </c>
      <c r="G183" t="str">
        <f t="shared" si="23"/>
        <v/>
      </c>
      <c r="H183" t="str">
        <f t="shared" si="24"/>
        <v/>
      </c>
      <c r="I183" t="str">
        <f t="shared" si="25"/>
        <v/>
      </c>
      <c r="J183" t="str">
        <f t="shared" si="26"/>
        <v/>
      </c>
      <c r="K183" t="str">
        <f t="shared" si="27"/>
        <v/>
      </c>
      <c r="L183" t="str">
        <f t="shared" si="28"/>
        <v/>
      </c>
      <c r="M183" t="str">
        <f t="shared" si="29"/>
        <v/>
      </c>
      <c r="N183" t="str">
        <f t="shared" si="30"/>
        <v/>
      </c>
      <c r="O183" t="str">
        <f t="shared" si="31"/>
        <v/>
      </c>
      <c r="P183" t="str">
        <f>IF($A183="","",IF($E183=1,$F183*$O183,PNL!G183))</f>
        <v/>
      </c>
      <c r="T183" t="str">
        <f t="shared" si="32"/>
        <v/>
      </c>
    </row>
    <row r="184" spans="1:20" x14ac:dyDescent="0.45">
      <c r="A184" t="str">
        <f>IF(PNL!A184="","",PNL!A184)</f>
        <v/>
      </c>
      <c r="B184" t="str">
        <f>IF(PNL!B184="","",PNL!B184)</f>
        <v/>
      </c>
      <c r="C184" t="str">
        <f>IF(PNL!C184="","",PNL!C184)</f>
        <v/>
      </c>
      <c r="D184" t="str">
        <f>IF(PNL!D184="","",PNL!D184)</f>
        <v/>
      </c>
      <c r="E184" t="str">
        <f t="shared" si="22"/>
        <v/>
      </c>
      <c r="F184" t="str">
        <f>IF($A184="","",IF($E184=1,SUMIFS(Compta!$F$1:$F$675,Compta!$A$1:$A$675,$A184,Compta!$B$1:$B$675,$B184,Compta!$C$1:$C$675,"2026"),0))</f>
        <v/>
      </c>
      <c r="G184" t="str">
        <f t="shared" si="23"/>
        <v/>
      </c>
      <c r="H184" t="str">
        <f t="shared" si="24"/>
        <v/>
      </c>
      <c r="I184" t="str">
        <f t="shared" si="25"/>
        <v/>
      </c>
      <c r="J184" t="str">
        <f t="shared" si="26"/>
        <v/>
      </c>
      <c r="K184" t="str">
        <f t="shared" si="27"/>
        <v/>
      </c>
      <c r="L184" t="str">
        <f t="shared" si="28"/>
        <v/>
      </c>
      <c r="M184" t="str">
        <f t="shared" si="29"/>
        <v/>
      </c>
      <c r="N184" t="str">
        <f t="shared" si="30"/>
        <v/>
      </c>
      <c r="O184" t="str">
        <f t="shared" si="31"/>
        <v/>
      </c>
      <c r="P184" t="str">
        <f>IF($A184="","",IF($E184=1,$F184*$O184,PNL!G184))</f>
        <v/>
      </c>
      <c r="T184" t="str">
        <f t="shared" si="32"/>
        <v/>
      </c>
    </row>
    <row r="185" spans="1:20" x14ac:dyDescent="0.45">
      <c r="A185" t="str">
        <f>IF(PNL!A185="","",PNL!A185)</f>
        <v/>
      </c>
      <c r="B185" t="str">
        <f>IF(PNL!B185="","",PNL!B185)</f>
        <v/>
      </c>
      <c r="C185" t="str">
        <f>IF(PNL!C185="","",PNL!C185)</f>
        <v/>
      </c>
      <c r="D185" t="str">
        <f>IF(PNL!D185="","",PNL!D185)</f>
        <v/>
      </c>
      <c r="E185" t="str">
        <f t="shared" si="22"/>
        <v/>
      </c>
      <c r="F185" t="str">
        <f>IF($A185="","",IF($E185=1,SUMIFS(Compta!$F$1:$F$675,Compta!$A$1:$A$675,$A185,Compta!$B$1:$B$675,$B185,Compta!$C$1:$C$675,"2026"),0))</f>
        <v/>
      </c>
      <c r="G185" t="str">
        <f t="shared" si="23"/>
        <v/>
      </c>
      <c r="H185" t="str">
        <f t="shared" si="24"/>
        <v/>
      </c>
      <c r="I185" t="str">
        <f t="shared" si="25"/>
        <v/>
      </c>
      <c r="J185" t="str">
        <f t="shared" si="26"/>
        <v/>
      </c>
      <c r="K185" t="str">
        <f t="shared" si="27"/>
        <v/>
      </c>
      <c r="L185" t="str">
        <f t="shared" si="28"/>
        <v/>
      </c>
      <c r="M185" t="str">
        <f t="shared" si="29"/>
        <v/>
      </c>
      <c r="N185" t="str">
        <f t="shared" si="30"/>
        <v/>
      </c>
      <c r="O185" t="str">
        <f t="shared" si="31"/>
        <v/>
      </c>
      <c r="P185" t="str">
        <f>IF($A185="","",IF($E185=1,$F185*$O185,PNL!G185))</f>
        <v/>
      </c>
      <c r="T185" t="str">
        <f t="shared" si="32"/>
        <v/>
      </c>
    </row>
    <row r="186" spans="1:20" x14ac:dyDescent="0.45">
      <c r="A186" t="str">
        <f>IF(PNL!A186="","",PNL!A186)</f>
        <v/>
      </c>
      <c r="B186" t="str">
        <f>IF(PNL!B186="","",PNL!B186)</f>
        <v/>
      </c>
      <c r="C186" t="str">
        <f>IF(PNL!C186="","",PNL!C186)</f>
        <v/>
      </c>
      <c r="D186" t="str">
        <f>IF(PNL!D186="","",PNL!D186)</f>
        <v/>
      </c>
      <c r="E186" t="str">
        <f t="shared" si="22"/>
        <v/>
      </c>
      <c r="F186" t="str">
        <f>IF($A186="","",IF($E186=1,SUMIFS(Compta!$F$1:$F$675,Compta!$A$1:$A$675,$A186,Compta!$B$1:$B$675,$B186,Compta!$C$1:$C$675,"2026"),0))</f>
        <v/>
      </c>
      <c r="G186" t="str">
        <f t="shared" si="23"/>
        <v/>
      </c>
      <c r="H186" t="str">
        <f t="shared" si="24"/>
        <v/>
      </c>
      <c r="I186" t="str">
        <f t="shared" si="25"/>
        <v/>
      </c>
      <c r="J186" t="str">
        <f t="shared" si="26"/>
        <v/>
      </c>
      <c r="K186" t="str">
        <f t="shared" si="27"/>
        <v/>
      </c>
      <c r="L186" t="str">
        <f t="shared" si="28"/>
        <v/>
      </c>
      <c r="M186" t="str">
        <f t="shared" si="29"/>
        <v/>
      </c>
      <c r="N186" t="str">
        <f t="shared" si="30"/>
        <v/>
      </c>
      <c r="O186" t="str">
        <f t="shared" si="31"/>
        <v/>
      </c>
      <c r="P186" t="str">
        <f>IF($A186="","",IF($E186=1,$F186*$O186,PNL!G186))</f>
        <v/>
      </c>
      <c r="T186" t="str">
        <f t="shared" si="32"/>
        <v/>
      </c>
    </row>
    <row r="187" spans="1:20" x14ac:dyDescent="0.45">
      <c r="A187" t="str">
        <f>IF(PNL!A187="","",PNL!A187)</f>
        <v/>
      </c>
      <c r="B187" t="str">
        <f>IF(PNL!B187="","",PNL!B187)</f>
        <v/>
      </c>
      <c r="C187" t="str">
        <f>IF(PNL!C187="","",PNL!C187)</f>
        <v/>
      </c>
      <c r="D187" t="str">
        <f>IF(PNL!D187="","",PNL!D187)</f>
        <v/>
      </c>
      <c r="E187" t="str">
        <f t="shared" si="22"/>
        <v/>
      </c>
      <c r="F187" t="str">
        <f>IF($A187="","",IF($E187=1,SUMIFS(Compta!$F$1:$F$675,Compta!$A$1:$A$675,$A187,Compta!$B$1:$B$675,$B187,Compta!$C$1:$C$675,"2026"),0))</f>
        <v/>
      </c>
      <c r="G187" t="str">
        <f t="shared" si="23"/>
        <v/>
      </c>
      <c r="H187" t="str">
        <f t="shared" si="24"/>
        <v/>
      </c>
      <c r="I187" t="str">
        <f t="shared" si="25"/>
        <v/>
      </c>
      <c r="J187" t="str">
        <f t="shared" si="26"/>
        <v/>
      </c>
      <c r="K187" t="str">
        <f t="shared" si="27"/>
        <v/>
      </c>
      <c r="L187" t="str">
        <f t="shared" si="28"/>
        <v/>
      </c>
      <c r="M187" t="str">
        <f t="shared" si="29"/>
        <v/>
      </c>
      <c r="N187" t="str">
        <f t="shared" si="30"/>
        <v/>
      </c>
      <c r="O187" t="str">
        <f t="shared" si="31"/>
        <v/>
      </c>
      <c r="P187" t="str">
        <f>IF($A187="","",IF($E187=1,$F187*$O187,PNL!G187))</f>
        <v/>
      </c>
      <c r="T187" t="str">
        <f t="shared" si="32"/>
        <v/>
      </c>
    </row>
    <row r="188" spans="1:20" x14ac:dyDescent="0.45">
      <c r="A188" t="str">
        <f>IF(PNL!A188="","",PNL!A188)</f>
        <v/>
      </c>
      <c r="B188" t="str">
        <f>IF(PNL!B188="","",PNL!B188)</f>
        <v/>
      </c>
      <c r="C188" t="str">
        <f>IF(PNL!C188="","",PNL!C188)</f>
        <v/>
      </c>
      <c r="D188" t="str">
        <f>IF(PNL!D188="","",PNL!D188)</f>
        <v/>
      </c>
      <c r="E188" t="str">
        <f t="shared" si="22"/>
        <v/>
      </c>
      <c r="F188" t="str">
        <f>IF($A188="","",IF($E188=1,SUMIFS(Compta!$F$1:$F$675,Compta!$A$1:$A$675,$A188,Compta!$B$1:$B$675,$B188,Compta!$C$1:$C$675,"2026"),0))</f>
        <v/>
      </c>
      <c r="G188" t="str">
        <f t="shared" si="23"/>
        <v/>
      </c>
      <c r="H188" t="str">
        <f t="shared" si="24"/>
        <v/>
      </c>
      <c r="I188" t="str">
        <f t="shared" si="25"/>
        <v/>
      </c>
      <c r="J188" t="str">
        <f t="shared" si="26"/>
        <v/>
      </c>
      <c r="K188" t="str">
        <f t="shared" si="27"/>
        <v/>
      </c>
      <c r="L188" t="str">
        <f t="shared" si="28"/>
        <v/>
      </c>
      <c r="M188" t="str">
        <f t="shared" si="29"/>
        <v/>
      </c>
      <c r="N188" t="str">
        <f t="shared" si="30"/>
        <v/>
      </c>
      <c r="O188" t="str">
        <f t="shared" si="31"/>
        <v/>
      </c>
      <c r="P188" t="str">
        <f>IF($A188="","",IF($E188=1,$F188*$O188,PNL!G188))</f>
        <v/>
      </c>
      <c r="T188" t="str">
        <f t="shared" si="32"/>
        <v/>
      </c>
    </row>
    <row r="189" spans="1:20" x14ac:dyDescent="0.45">
      <c r="A189" t="str">
        <f>IF(PNL!A189="","",PNL!A189)</f>
        <v/>
      </c>
      <c r="B189" t="str">
        <f>IF(PNL!B189="","",PNL!B189)</f>
        <v/>
      </c>
      <c r="C189" t="str">
        <f>IF(PNL!C189="","",PNL!C189)</f>
        <v/>
      </c>
      <c r="D189" t="str">
        <f>IF(PNL!D189="","",PNL!D189)</f>
        <v/>
      </c>
      <c r="E189" t="str">
        <f t="shared" si="22"/>
        <v/>
      </c>
      <c r="F189" t="str">
        <f>IF($A189="","",IF($E189=1,SUMIFS(Compta!$F$1:$F$675,Compta!$A$1:$A$675,$A189,Compta!$B$1:$B$675,$B189,Compta!$C$1:$C$675,"2026"),0))</f>
        <v/>
      </c>
      <c r="G189" t="str">
        <f t="shared" si="23"/>
        <v/>
      </c>
      <c r="H189" t="str">
        <f t="shared" si="24"/>
        <v/>
      </c>
      <c r="I189" t="str">
        <f t="shared" si="25"/>
        <v/>
      </c>
      <c r="J189" t="str">
        <f t="shared" si="26"/>
        <v/>
      </c>
      <c r="K189" t="str">
        <f t="shared" si="27"/>
        <v/>
      </c>
      <c r="L189" t="str">
        <f t="shared" si="28"/>
        <v/>
      </c>
      <c r="M189" t="str">
        <f t="shared" si="29"/>
        <v/>
      </c>
      <c r="N189" t="str">
        <f t="shared" si="30"/>
        <v/>
      </c>
      <c r="O189" t="str">
        <f t="shared" si="31"/>
        <v/>
      </c>
      <c r="P189" t="str">
        <f>IF($A189="","",IF($E189=1,$F189*$O189,PNL!G189))</f>
        <v/>
      </c>
      <c r="T189" t="str">
        <f t="shared" si="32"/>
        <v/>
      </c>
    </row>
    <row r="190" spans="1:20" x14ac:dyDescent="0.45">
      <c r="A190" t="str">
        <f>IF(PNL!A190="","",PNL!A190)</f>
        <v/>
      </c>
      <c r="B190" t="str">
        <f>IF(PNL!B190="","",PNL!B190)</f>
        <v/>
      </c>
      <c r="C190" t="str">
        <f>IF(PNL!C190="","",PNL!C190)</f>
        <v/>
      </c>
      <c r="D190" t="str">
        <f>IF(PNL!D190="","",PNL!D190)</f>
        <v/>
      </c>
      <c r="E190" t="str">
        <f t="shared" si="22"/>
        <v/>
      </c>
      <c r="F190" t="str">
        <f>IF($A190="","",IF($E190=1,SUMIFS(Compta!$F$1:$F$675,Compta!$A$1:$A$675,$A190,Compta!$B$1:$B$675,$B190,Compta!$C$1:$C$675,"2026"),0))</f>
        <v/>
      </c>
      <c r="G190" t="str">
        <f t="shared" si="23"/>
        <v/>
      </c>
      <c r="H190" t="str">
        <f t="shared" si="24"/>
        <v/>
      </c>
      <c r="I190" t="str">
        <f t="shared" si="25"/>
        <v/>
      </c>
      <c r="J190" t="str">
        <f t="shared" si="26"/>
        <v/>
      </c>
      <c r="K190" t="str">
        <f t="shared" si="27"/>
        <v/>
      </c>
      <c r="L190" t="str">
        <f t="shared" si="28"/>
        <v/>
      </c>
      <c r="M190" t="str">
        <f t="shared" si="29"/>
        <v/>
      </c>
      <c r="N190" t="str">
        <f t="shared" si="30"/>
        <v/>
      </c>
      <c r="O190" t="str">
        <f t="shared" si="31"/>
        <v/>
      </c>
      <c r="P190" t="str">
        <f>IF($A190="","",IF($E190=1,$F190*$O190,PNL!G190))</f>
        <v/>
      </c>
      <c r="T190" t="str">
        <f t="shared" si="32"/>
        <v/>
      </c>
    </row>
    <row r="191" spans="1:20" x14ac:dyDescent="0.45">
      <c r="A191" t="str">
        <f>IF(PNL!A191="","",PNL!A191)</f>
        <v/>
      </c>
      <c r="B191" t="str">
        <f>IF(PNL!B191="","",PNL!B191)</f>
        <v/>
      </c>
      <c r="C191" t="str">
        <f>IF(PNL!C191="","",PNL!C191)</f>
        <v/>
      </c>
      <c r="D191" t="str">
        <f>IF(PNL!D191="","",PNL!D191)</f>
        <v/>
      </c>
      <c r="E191" t="str">
        <f t="shared" si="22"/>
        <v/>
      </c>
      <c r="F191" t="str">
        <f>IF($A191="","",IF($E191=1,SUMIFS(Compta!$F$1:$F$675,Compta!$A$1:$A$675,$A191,Compta!$B$1:$B$675,$B191,Compta!$C$1:$C$675,"2026"),0))</f>
        <v/>
      </c>
      <c r="G191" t="str">
        <f t="shared" si="23"/>
        <v/>
      </c>
      <c r="H191" t="str">
        <f t="shared" si="24"/>
        <v/>
      </c>
      <c r="I191" t="str">
        <f t="shared" si="25"/>
        <v/>
      </c>
      <c r="J191" t="str">
        <f t="shared" si="26"/>
        <v/>
      </c>
      <c r="K191" t="str">
        <f t="shared" si="27"/>
        <v/>
      </c>
      <c r="L191" t="str">
        <f t="shared" si="28"/>
        <v/>
      </c>
      <c r="M191" t="str">
        <f t="shared" si="29"/>
        <v/>
      </c>
      <c r="N191" t="str">
        <f t="shared" si="30"/>
        <v/>
      </c>
      <c r="O191" t="str">
        <f t="shared" si="31"/>
        <v/>
      </c>
      <c r="P191" t="str">
        <f>IF($A191="","",IF($E191=1,$F191*$O191,PNL!G191))</f>
        <v/>
      </c>
      <c r="T191" t="str">
        <f t="shared" si="32"/>
        <v/>
      </c>
    </row>
    <row r="192" spans="1:20" x14ac:dyDescent="0.45">
      <c r="A192" t="str">
        <f>IF(PNL!A192="","",PNL!A192)</f>
        <v/>
      </c>
      <c r="B192" t="str">
        <f>IF(PNL!B192="","",PNL!B192)</f>
        <v/>
      </c>
      <c r="C192" t="str">
        <f>IF(PNL!C192="","",PNL!C192)</f>
        <v/>
      </c>
      <c r="D192" t="str">
        <f>IF(PNL!D192="","",PNL!D192)</f>
        <v/>
      </c>
      <c r="E192" t="str">
        <f t="shared" si="22"/>
        <v/>
      </c>
      <c r="F192" t="str">
        <f>IF($A192="","",IF($E192=1,SUMIFS(Compta!$F$1:$F$675,Compta!$A$1:$A$675,$A192,Compta!$B$1:$B$675,$B192,Compta!$C$1:$C$675,"2026"),0))</f>
        <v/>
      </c>
      <c r="G192" t="str">
        <f t="shared" si="23"/>
        <v/>
      </c>
      <c r="H192" t="str">
        <f t="shared" si="24"/>
        <v/>
      </c>
      <c r="I192" t="str">
        <f t="shared" si="25"/>
        <v/>
      </c>
      <c r="J192" t="str">
        <f t="shared" si="26"/>
        <v/>
      </c>
      <c r="K192" t="str">
        <f t="shared" si="27"/>
        <v/>
      </c>
      <c r="L192" t="str">
        <f t="shared" si="28"/>
        <v/>
      </c>
      <c r="M192" t="str">
        <f t="shared" si="29"/>
        <v/>
      </c>
      <c r="N192" t="str">
        <f t="shared" si="30"/>
        <v/>
      </c>
      <c r="O192" t="str">
        <f t="shared" si="31"/>
        <v/>
      </c>
      <c r="P192" t="str">
        <f>IF($A192="","",IF($E192=1,$F192*$O192,PNL!G192))</f>
        <v/>
      </c>
      <c r="T192" t="str">
        <f t="shared" si="32"/>
        <v/>
      </c>
    </row>
    <row r="193" spans="1:20" x14ac:dyDescent="0.45">
      <c r="A193" t="str">
        <f>IF(PNL!A193="","",PNL!A193)</f>
        <v/>
      </c>
      <c r="B193" t="str">
        <f>IF(PNL!B193="","",PNL!B193)</f>
        <v/>
      </c>
      <c r="C193" t="str">
        <f>IF(PNL!C193="","",PNL!C193)</f>
        <v/>
      </c>
      <c r="D193" t="str">
        <f>IF(PNL!D193="","",PNL!D193)</f>
        <v/>
      </c>
      <c r="E193" t="str">
        <f t="shared" si="22"/>
        <v/>
      </c>
      <c r="F193" t="str">
        <f>IF($A193="","",IF($E193=1,SUMIFS(Compta!$F$1:$F$675,Compta!$A$1:$A$675,$A193,Compta!$B$1:$B$675,$B193,Compta!$C$1:$C$675,"2026"),0))</f>
        <v/>
      </c>
      <c r="G193" t="str">
        <f t="shared" si="23"/>
        <v/>
      </c>
      <c r="H193" t="str">
        <f t="shared" si="24"/>
        <v/>
      </c>
      <c r="I193" t="str">
        <f t="shared" si="25"/>
        <v/>
      </c>
      <c r="J193" t="str">
        <f t="shared" si="26"/>
        <v/>
      </c>
      <c r="K193" t="str">
        <f t="shared" si="27"/>
        <v/>
      </c>
      <c r="L193" t="str">
        <f t="shared" si="28"/>
        <v/>
      </c>
      <c r="M193" t="str">
        <f t="shared" si="29"/>
        <v/>
      </c>
      <c r="N193" t="str">
        <f t="shared" si="30"/>
        <v/>
      </c>
      <c r="O193" t="str">
        <f t="shared" si="31"/>
        <v/>
      </c>
      <c r="P193" t="str">
        <f>IF($A193="","",IF($E193=1,$F193*$O193,PNL!G193))</f>
        <v/>
      </c>
      <c r="T193" t="str">
        <f t="shared" si="32"/>
        <v/>
      </c>
    </row>
    <row r="194" spans="1:20" x14ac:dyDescent="0.45">
      <c r="A194" t="str">
        <f>IF(PNL!A194="","",PNL!A194)</f>
        <v/>
      </c>
      <c r="B194" t="str">
        <f>IF(PNL!B194="","",PNL!B194)</f>
        <v/>
      </c>
      <c r="C194" t="str">
        <f>IF(PNL!C194="","",PNL!C194)</f>
        <v/>
      </c>
      <c r="D194" t="str">
        <f>IF(PNL!D194="","",PNL!D194)</f>
        <v/>
      </c>
      <c r="E194" t="str">
        <f t="shared" ref="E194:E257" si="33">IF($A194="","",IF(AND($C194="2027",OR($D194="V01",$D194="V02",$D194="V03")),1,0))</f>
        <v/>
      </c>
      <c r="F194" t="str">
        <f>IF($A194="","",IF($E194=1,SUMIFS(Compta!$F$1:$F$675,Compta!$A$1:$A$675,$A194,Compta!$B$1:$B$675,$B194,Compta!$C$1:$C$675,"2026"),0))</f>
        <v/>
      </c>
      <c r="G194" t="str">
        <f t="shared" ref="G194:G257" si="34">IF($A194="","",IF($D194="V01",cad!$C$23,IF($D194="V02",cad!$D$23,cad!$E$23)))</f>
        <v/>
      </c>
      <c r="H194" t="str">
        <f t="shared" ref="H194:H257" si="35">IF($A194="","",IF($D194="V01",cad!$C$24,IF($D194="V02",cad!$D$24,cad!$E$24)))</f>
        <v/>
      </c>
      <c r="I194" t="str">
        <f t="shared" ref="I194:I257" si="36">IF($A194="","",IF($D194="V01",cad!$C$32,IF($D194="V02",cad!$D$32,cad!$E$32)))</f>
        <v/>
      </c>
      <c r="J194" t="str">
        <f t="shared" ref="J194:J257" si="37">IF($A194="","",IF($D194="V01",cad!$C$33,IF($D194="V02",cad!$D$33,cad!$E$33)))</f>
        <v/>
      </c>
      <c r="K194" t="str">
        <f t="shared" ref="K194:K257" si="38">IF($A194="","",IF($D194="V01",cad!$C$34,IF($D194="V02",cad!$D$34,cad!$E$34)))</f>
        <v/>
      </c>
      <c r="L194" t="str">
        <f t="shared" ref="L194:L257" si="39">IF($A194="","",IF($D194="V01",cad!$C$35,IF($D194="V02",cad!$D$35,cad!$E$35)))</f>
        <v/>
      </c>
      <c r="M194" t="str">
        <f t="shared" ref="M194:M257" si="40">IF($A194="","",IF($D194="V01",cad!$C$36,IF($D194="V02",cad!$D$36,cad!$E$36)))</f>
        <v/>
      </c>
      <c r="N194" t="str">
        <f t="shared" ref="N194:N257" si="41">IF($A194="","",IF($D194="V01",$R$2,IF($D194="V02",$R$3,$R$4)))</f>
        <v/>
      </c>
      <c r="O194" t="str">
        <f t="shared" ref="O194:O257" si="42">IF($A194="","",IF(OR($B194="7062",$B194="706",$B194="708"),$N194,IF($B194="6231",1+$G194,IF($B194="6236",1+$H194,IF(OR($B194="621",$B194="604",$B194="6063"),$N194*(1-$L194),IF(OR($B194="6411",$B194="6413",$B194="6414",$B194="645"),(1+$J194)*(1+$K194),IF(OR($B194="613",$B194="615",$B194="616",$B194="6226",$B194="625",$B194="626",$B194="6281"),(1+$I194)*(1-$L194)*(1+$M194),IF(OR($B194="6331",$B194="63511",$B194="6333"),(1+$I194)*(1-$L194),IF($B194="6811",1+$I194,1)))))))))</f>
        <v/>
      </c>
      <c r="P194" t="str">
        <f>IF($A194="","",IF($E194=1,$F194*$O194,PNL!G194))</f>
        <v/>
      </c>
      <c r="T194" t="str">
        <f t="shared" ref="T194:T257" si="43">IF($A194="","",IF($E194=1,IF(OR($B194="7062",$B194="706",$B194="708"),$P194,IF(AND(LEFT($B194,1)="6",$B194&lt;&gt;"6811"),-$P194,0)),0))</f>
        <v/>
      </c>
    </row>
    <row r="195" spans="1:20" x14ac:dyDescent="0.45">
      <c r="A195" t="str">
        <f>IF(PNL!A195="","",PNL!A195)</f>
        <v/>
      </c>
      <c r="B195" t="str">
        <f>IF(PNL!B195="","",PNL!B195)</f>
        <v/>
      </c>
      <c r="C195" t="str">
        <f>IF(PNL!C195="","",PNL!C195)</f>
        <v/>
      </c>
      <c r="D195" t="str">
        <f>IF(PNL!D195="","",PNL!D195)</f>
        <v/>
      </c>
      <c r="E195" t="str">
        <f t="shared" si="33"/>
        <v/>
      </c>
      <c r="F195" t="str">
        <f>IF($A195="","",IF($E195=1,SUMIFS(Compta!$F$1:$F$675,Compta!$A$1:$A$675,$A195,Compta!$B$1:$B$675,$B195,Compta!$C$1:$C$675,"2026"),0))</f>
        <v/>
      </c>
      <c r="G195" t="str">
        <f t="shared" si="34"/>
        <v/>
      </c>
      <c r="H195" t="str">
        <f t="shared" si="35"/>
        <v/>
      </c>
      <c r="I195" t="str">
        <f t="shared" si="36"/>
        <v/>
      </c>
      <c r="J195" t="str">
        <f t="shared" si="37"/>
        <v/>
      </c>
      <c r="K195" t="str">
        <f t="shared" si="38"/>
        <v/>
      </c>
      <c r="L195" t="str">
        <f t="shared" si="39"/>
        <v/>
      </c>
      <c r="M195" t="str">
        <f t="shared" si="40"/>
        <v/>
      </c>
      <c r="N195" t="str">
        <f t="shared" si="41"/>
        <v/>
      </c>
      <c r="O195" t="str">
        <f t="shared" si="42"/>
        <v/>
      </c>
      <c r="P195" t="str">
        <f>IF($A195="","",IF($E195=1,$F195*$O195,PNL!G195))</f>
        <v/>
      </c>
      <c r="T195" t="str">
        <f t="shared" si="43"/>
        <v/>
      </c>
    </row>
    <row r="196" spans="1:20" x14ac:dyDescent="0.45">
      <c r="A196" t="str">
        <f>IF(PNL!A196="","",PNL!A196)</f>
        <v/>
      </c>
      <c r="B196" t="str">
        <f>IF(PNL!B196="","",PNL!B196)</f>
        <v/>
      </c>
      <c r="C196" t="str">
        <f>IF(PNL!C196="","",PNL!C196)</f>
        <v/>
      </c>
      <c r="D196" t="str">
        <f>IF(PNL!D196="","",PNL!D196)</f>
        <v/>
      </c>
      <c r="E196" t="str">
        <f t="shared" si="33"/>
        <v/>
      </c>
      <c r="F196" t="str">
        <f>IF($A196="","",IF($E196=1,SUMIFS(Compta!$F$1:$F$675,Compta!$A$1:$A$675,$A196,Compta!$B$1:$B$675,$B196,Compta!$C$1:$C$675,"2026"),0))</f>
        <v/>
      </c>
      <c r="G196" t="str">
        <f t="shared" si="34"/>
        <v/>
      </c>
      <c r="H196" t="str">
        <f t="shared" si="35"/>
        <v/>
      </c>
      <c r="I196" t="str">
        <f t="shared" si="36"/>
        <v/>
      </c>
      <c r="J196" t="str">
        <f t="shared" si="37"/>
        <v/>
      </c>
      <c r="K196" t="str">
        <f t="shared" si="38"/>
        <v/>
      </c>
      <c r="L196" t="str">
        <f t="shared" si="39"/>
        <v/>
      </c>
      <c r="M196" t="str">
        <f t="shared" si="40"/>
        <v/>
      </c>
      <c r="N196" t="str">
        <f t="shared" si="41"/>
        <v/>
      </c>
      <c r="O196" t="str">
        <f t="shared" si="42"/>
        <v/>
      </c>
      <c r="P196" t="str">
        <f>IF($A196="","",IF($E196=1,$F196*$O196,PNL!G196))</f>
        <v/>
      </c>
      <c r="T196" t="str">
        <f t="shared" si="43"/>
        <v/>
      </c>
    </row>
    <row r="197" spans="1:20" x14ac:dyDescent="0.45">
      <c r="A197" t="str">
        <f>IF(PNL!A197="","",PNL!A197)</f>
        <v/>
      </c>
      <c r="B197" t="str">
        <f>IF(PNL!B197="","",PNL!B197)</f>
        <v/>
      </c>
      <c r="C197" t="str">
        <f>IF(PNL!C197="","",PNL!C197)</f>
        <v/>
      </c>
      <c r="D197" t="str">
        <f>IF(PNL!D197="","",PNL!D197)</f>
        <v/>
      </c>
      <c r="E197" t="str">
        <f t="shared" si="33"/>
        <v/>
      </c>
      <c r="F197" t="str">
        <f>IF($A197="","",IF($E197=1,SUMIFS(Compta!$F$1:$F$675,Compta!$A$1:$A$675,$A197,Compta!$B$1:$B$675,$B197,Compta!$C$1:$C$675,"2026"),0))</f>
        <v/>
      </c>
      <c r="G197" t="str">
        <f t="shared" si="34"/>
        <v/>
      </c>
      <c r="H197" t="str">
        <f t="shared" si="35"/>
        <v/>
      </c>
      <c r="I197" t="str">
        <f t="shared" si="36"/>
        <v/>
      </c>
      <c r="J197" t="str">
        <f t="shared" si="37"/>
        <v/>
      </c>
      <c r="K197" t="str">
        <f t="shared" si="38"/>
        <v/>
      </c>
      <c r="L197" t="str">
        <f t="shared" si="39"/>
        <v/>
      </c>
      <c r="M197" t="str">
        <f t="shared" si="40"/>
        <v/>
      </c>
      <c r="N197" t="str">
        <f t="shared" si="41"/>
        <v/>
      </c>
      <c r="O197" t="str">
        <f t="shared" si="42"/>
        <v/>
      </c>
      <c r="P197" t="str">
        <f>IF($A197="","",IF($E197=1,$F197*$O197,PNL!G197))</f>
        <v/>
      </c>
      <c r="T197" t="str">
        <f t="shared" si="43"/>
        <v/>
      </c>
    </row>
    <row r="198" spans="1:20" x14ac:dyDescent="0.45">
      <c r="A198" t="str">
        <f>IF(PNL!A198="","",PNL!A198)</f>
        <v/>
      </c>
      <c r="B198" t="str">
        <f>IF(PNL!B198="","",PNL!B198)</f>
        <v/>
      </c>
      <c r="C198" t="str">
        <f>IF(PNL!C198="","",PNL!C198)</f>
        <v/>
      </c>
      <c r="D198" t="str">
        <f>IF(PNL!D198="","",PNL!D198)</f>
        <v/>
      </c>
      <c r="E198" t="str">
        <f t="shared" si="33"/>
        <v/>
      </c>
      <c r="F198" t="str">
        <f>IF($A198="","",IF($E198=1,SUMIFS(Compta!$F$1:$F$675,Compta!$A$1:$A$675,$A198,Compta!$B$1:$B$675,$B198,Compta!$C$1:$C$675,"2026"),0))</f>
        <v/>
      </c>
      <c r="G198" t="str">
        <f t="shared" si="34"/>
        <v/>
      </c>
      <c r="H198" t="str">
        <f t="shared" si="35"/>
        <v/>
      </c>
      <c r="I198" t="str">
        <f t="shared" si="36"/>
        <v/>
      </c>
      <c r="J198" t="str">
        <f t="shared" si="37"/>
        <v/>
      </c>
      <c r="K198" t="str">
        <f t="shared" si="38"/>
        <v/>
      </c>
      <c r="L198" t="str">
        <f t="shared" si="39"/>
        <v/>
      </c>
      <c r="M198" t="str">
        <f t="shared" si="40"/>
        <v/>
      </c>
      <c r="N198" t="str">
        <f t="shared" si="41"/>
        <v/>
      </c>
      <c r="O198" t="str">
        <f t="shared" si="42"/>
        <v/>
      </c>
      <c r="P198" t="str">
        <f>IF($A198="","",IF($E198=1,$F198*$O198,PNL!G198))</f>
        <v/>
      </c>
      <c r="T198" t="str">
        <f t="shared" si="43"/>
        <v/>
      </c>
    </row>
    <row r="199" spans="1:20" x14ac:dyDescent="0.45">
      <c r="A199" t="str">
        <f>IF(PNL!A199="","",PNL!A199)</f>
        <v/>
      </c>
      <c r="B199" t="str">
        <f>IF(PNL!B199="","",PNL!B199)</f>
        <v/>
      </c>
      <c r="C199" t="str">
        <f>IF(PNL!C199="","",PNL!C199)</f>
        <v/>
      </c>
      <c r="D199" t="str">
        <f>IF(PNL!D199="","",PNL!D199)</f>
        <v/>
      </c>
      <c r="E199" t="str">
        <f t="shared" si="33"/>
        <v/>
      </c>
      <c r="F199" t="str">
        <f>IF($A199="","",IF($E199=1,SUMIFS(Compta!$F$1:$F$675,Compta!$A$1:$A$675,$A199,Compta!$B$1:$B$675,$B199,Compta!$C$1:$C$675,"2026"),0))</f>
        <v/>
      </c>
      <c r="G199" t="str">
        <f t="shared" si="34"/>
        <v/>
      </c>
      <c r="H199" t="str">
        <f t="shared" si="35"/>
        <v/>
      </c>
      <c r="I199" t="str">
        <f t="shared" si="36"/>
        <v/>
      </c>
      <c r="J199" t="str">
        <f t="shared" si="37"/>
        <v/>
      </c>
      <c r="K199" t="str">
        <f t="shared" si="38"/>
        <v/>
      </c>
      <c r="L199" t="str">
        <f t="shared" si="39"/>
        <v/>
      </c>
      <c r="M199" t="str">
        <f t="shared" si="40"/>
        <v/>
      </c>
      <c r="N199" t="str">
        <f t="shared" si="41"/>
        <v/>
      </c>
      <c r="O199" t="str">
        <f t="shared" si="42"/>
        <v/>
      </c>
      <c r="P199" t="str">
        <f>IF($A199="","",IF($E199=1,$F199*$O199,PNL!G199))</f>
        <v/>
      </c>
      <c r="T199" t="str">
        <f t="shared" si="43"/>
        <v/>
      </c>
    </row>
    <row r="200" spans="1:20" x14ac:dyDescent="0.45">
      <c r="A200" t="str">
        <f>IF(PNL!A200="","",PNL!A200)</f>
        <v/>
      </c>
      <c r="B200" t="str">
        <f>IF(PNL!B200="","",PNL!B200)</f>
        <v/>
      </c>
      <c r="C200" t="str">
        <f>IF(PNL!C200="","",PNL!C200)</f>
        <v/>
      </c>
      <c r="D200" t="str">
        <f>IF(PNL!D200="","",PNL!D200)</f>
        <v/>
      </c>
      <c r="E200" t="str">
        <f t="shared" si="33"/>
        <v/>
      </c>
      <c r="F200" t="str">
        <f>IF($A200="","",IF($E200=1,SUMIFS(Compta!$F$1:$F$675,Compta!$A$1:$A$675,$A200,Compta!$B$1:$B$675,$B200,Compta!$C$1:$C$675,"2026"),0))</f>
        <v/>
      </c>
      <c r="G200" t="str">
        <f t="shared" si="34"/>
        <v/>
      </c>
      <c r="H200" t="str">
        <f t="shared" si="35"/>
        <v/>
      </c>
      <c r="I200" t="str">
        <f t="shared" si="36"/>
        <v/>
      </c>
      <c r="J200" t="str">
        <f t="shared" si="37"/>
        <v/>
      </c>
      <c r="K200" t="str">
        <f t="shared" si="38"/>
        <v/>
      </c>
      <c r="L200" t="str">
        <f t="shared" si="39"/>
        <v/>
      </c>
      <c r="M200" t="str">
        <f t="shared" si="40"/>
        <v/>
      </c>
      <c r="N200" t="str">
        <f t="shared" si="41"/>
        <v/>
      </c>
      <c r="O200" t="str">
        <f t="shared" si="42"/>
        <v/>
      </c>
      <c r="P200" t="str">
        <f>IF($A200="","",IF($E200=1,$F200*$O200,PNL!G200))</f>
        <v/>
      </c>
      <c r="T200" t="str">
        <f t="shared" si="43"/>
        <v/>
      </c>
    </row>
    <row r="201" spans="1:20" x14ac:dyDescent="0.45">
      <c r="A201" t="str">
        <f>IF(PNL!A201="","",PNL!A201)</f>
        <v/>
      </c>
      <c r="B201" t="str">
        <f>IF(PNL!B201="","",PNL!B201)</f>
        <v/>
      </c>
      <c r="C201" t="str">
        <f>IF(PNL!C201="","",PNL!C201)</f>
        <v/>
      </c>
      <c r="D201" t="str">
        <f>IF(PNL!D201="","",PNL!D201)</f>
        <v/>
      </c>
      <c r="E201" t="str">
        <f t="shared" si="33"/>
        <v/>
      </c>
      <c r="F201" t="str">
        <f>IF($A201="","",IF($E201=1,SUMIFS(Compta!$F$1:$F$675,Compta!$A$1:$A$675,$A201,Compta!$B$1:$B$675,$B201,Compta!$C$1:$C$675,"2026"),0))</f>
        <v/>
      </c>
      <c r="G201" t="str">
        <f t="shared" si="34"/>
        <v/>
      </c>
      <c r="H201" t="str">
        <f t="shared" si="35"/>
        <v/>
      </c>
      <c r="I201" t="str">
        <f t="shared" si="36"/>
        <v/>
      </c>
      <c r="J201" t="str">
        <f t="shared" si="37"/>
        <v/>
      </c>
      <c r="K201" t="str">
        <f t="shared" si="38"/>
        <v/>
      </c>
      <c r="L201" t="str">
        <f t="shared" si="39"/>
        <v/>
      </c>
      <c r="M201" t="str">
        <f t="shared" si="40"/>
        <v/>
      </c>
      <c r="N201" t="str">
        <f t="shared" si="41"/>
        <v/>
      </c>
      <c r="O201" t="str">
        <f t="shared" si="42"/>
        <v/>
      </c>
      <c r="P201" t="str">
        <f>IF($A201="","",IF($E201=1,$F201*$O201,PNL!G201))</f>
        <v/>
      </c>
      <c r="T201" t="str">
        <f t="shared" si="43"/>
        <v/>
      </c>
    </row>
    <row r="202" spans="1:20" x14ac:dyDescent="0.45">
      <c r="A202" t="str">
        <f>IF(PNL!A202="","",PNL!A202)</f>
        <v/>
      </c>
      <c r="B202" t="str">
        <f>IF(PNL!B202="","",PNL!B202)</f>
        <v/>
      </c>
      <c r="C202" t="str">
        <f>IF(PNL!C202="","",PNL!C202)</f>
        <v/>
      </c>
      <c r="D202" t="str">
        <f>IF(PNL!D202="","",PNL!D202)</f>
        <v/>
      </c>
      <c r="E202" t="str">
        <f t="shared" si="33"/>
        <v/>
      </c>
      <c r="F202" t="str">
        <f>IF($A202="","",IF($E202=1,SUMIFS(Compta!$F$1:$F$675,Compta!$A$1:$A$675,$A202,Compta!$B$1:$B$675,$B202,Compta!$C$1:$C$675,"2026"),0))</f>
        <v/>
      </c>
      <c r="G202" t="str">
        <f t="shared" si="34"/>
        <v/>
      </c>
      <c r="H202" t="str">
        <f t="shared" si="35"/>
        <v/>
      </c>
      <c r="I202" t="str">
        <f t="shared" si="36"/>
        <v/>
      </c>
      <c r="J202" t="str">
        <f t="shared" si="37"/>
        <v/>
      </c>
      <c r="K202" t="str">
        <f t="shared" si="38"/>
        <v/>
      </c>
      <c r="L202" t="str">
        <f t="shared" si="39"/>
        <v/>
      </c>
      <c r="M202" t="str">
        <f t="shared" si="40"/>
        <v/>
      </c>
      <c r="N202" t="str">
        <f t="shared" si="41"/>
        <v/>
      </c>
      <c r="O202" t="str">
        <f t="shared" si="42"/>
        <v/>
      </c>
      <c r="P202" t="str">
        <f>IF($A202="","",IF($E202=1,$F202*$O202,PNL!G202))</f>
        <v/>
      </c>
      <c r="T202" t="str">
        <f t="shared" si="43"/>
        <v/>
      </c>
    </row>
    <row r="203" spans="1:20" x14ac:dyDescent="0.45">
      <c r="A203" t="str">
        <f>IF(PNL!A203="","",PNL!A203)</f>
        <v/>
      </c>
      <c r="B203" t="str">
        <f>IF(PNL!B203="","",PNL!B203)</f>
        <v/>
      </c>
      <c r="C203" t="str">
        <f>IF(PNL!C203="","",PNL!C203)</f>
        <v/>
      </c>
      <c r="D203" t="str">
        <f>IF(PNL!D203="","",PNL!D203)</f>
        <v/>
      </c>
      <c r="E203" t="str">
        <f t="shared" si="33"/>
        <v/>
      </c>
      <c r="F203" t="str">
        <f>IF($A203="","",IF($E203=1,SUMIFS(Compta!$F$1:$F$675,Compta!$A$1:$A$675,$A203,Compta!$B$1:$B$675,$B203,Compta!$C$1:$C$675,"2026"),0))</f>
        <v/>
      </c>
      <c r="G203" t="str">
        <f t="shared" si="34"/>
        <v/>
      </c>
      <c r="H203" t="str">
        <f t="shared" si="35"/>
        <v/>
      </c>
      <c r="I203" t="str">
        <f t="shared" si="36"/>
        <v/>
      </c>
      <c r="J203" t="str">
        <f t="shared" si="37"/>
        <v/>
      </c>
      <c r="K203" t="str">
        <f t="shared" si="38"/>
        <v/>
      </c>
      <c r="L203" t="str">
        <f t="shared" si="39"/>
        <v/>
      </c>
      <c r="M203" t="str">
        <f t="shared" si="40"/>
        <v/>
      </c>
      <c r="N203" t="str">
        <f t="shared" si="41"/>
        <v/>
      </c>
      <c r="O203" t="str">
        <f t="shared" si="42"/>
        <v/>
      </c>
      <c r="P203" t="str">
        <f>IF($A203="","",IF($E203=1,$F203*$O203,PNL!G203))</f>
        <v/>
      </c>
      <c r="T203" t="str">
        <f t="shared" si="43"/>
        <v/>
      </c>
    </row>
    <row r="204" spans="1:20" x14ac:dyDescent="0.45">
      <c r="A204" t="str">
        <f>IF(PNL!A204="","",PNL!A204)</f>
        <v/>
      </c>
      <c r="B204" t="str">
        <f>IF(PNL!B204="","",PNL!B204)</f>
        <v/>
      </c>
      <c r="C204" t="str">
        <f>IF(PNL!C204="","",PNL!C204)</f>
        <v/>
      </c>
      <c r="D204" t="str">
        <f>IF(PNL!D204="","",PNL!D204)</f>
        <v/>
      </c>
      <c r="E204" t="str">
        <f t="shared" si="33"/>
        <v/>
      </c>
      <c r="F204" t="str">
        <f>IF($A204="","",IF($E204=1,SUMIFS(Compta!$F$1:$F$675,Compta!$A$1:$A$675,$A204,Compta!$B$1:$B$675,$B204,Compta!$C$1:$C$675,"2026"),0))</f>
        <v/>
      </c>
      <c r="G204" t="str">
        <f t="shared" si="34"/>
        <v/>
      </c>
      <c r="H204" t="str">
        <f t="shared" si="35"/>
        <v/>
      </c>
      <c r="I204" t="str">
        <f t="shared" si="36"/>
        <v/>
      </c>
      <c r="J204" t="str">
        <f t="shared" si="37"/>
        <v/>
      </c>
      <c r="K204" t="str">
        <f t="shared" si="38"/>
        <v/>
      </c>
      <c r="L204" t="str">
        <f t="shared" si="39"/>
        <v/>
      </c>
      <c r="M204" t="str">
        <f t="shared" si="40"/>
        <v/>
      </c>
      <c r="N204" t="str">
        <f t="shared" si="41"/>
        <v/>
      </c>
      <c r="O204" t="str">
        <f t="shared" si="42"/>
        <v/>
      </c>
      <c r="P204" t="str">
        <f>IF($A204="","",IF($E204=1,$F204*$O204,PNL!G204))</f>
        <v/>
      </c>
      <c r="T204" t="str">
        <f t="shared" si="43"/>
        <v/>
      </c>
    </row>
    <row r="205" spans="1:20" x14ac:dyDescent="0.45">
      <c r="A205" t="str">
        <f>IF(PNL!A205="","",PNL!A205)</f>
        <v/>
      </c>
      <c r="B205" t="str">
        <f>IF(PNL!B205="","",PNL!B205)</f>
        <v/>
      </c>
      <c r="C205" t="str">
        <f>IF(PNL!C205="","",PNL!C205)</f>
        <v/>
      </c>
      <c r="D205" t="str">
        <f>IF(PNL!D205="","",PNL!D205)</f>
        <v/>
      </c>
      <c r="E205" t="str">
        <f t="shared" si="33"/>
        <v/>
      </c>
      <c r="F205" t="str">
        <f>IF($A205="","",IF($E205=1,SUMIFS(Compta!$F$1:$F$675,Compta!$A$1:$A$675,$A205,Compta!$B$1:$B$675,$B205,Compta!$C$1:$C$675,"2026"),0))</f>
        <v/>
      </c>
      <c r="G205" t="str">
        <f t="shared" si="34"/>
        <v/>
      </c>
      <c r="H205" t="str">
        <f t="shared" si="35"/>
        <v/>
      </c>
      <c r="I205" t="str">
        <f t="shared" si="36"/>
        <v/>
      </c>
      <c r="J205" t="str">
        <f t="shared" si="37"/>
        <v/>
      </c>
      <c r="K205" t="str">
        <f t="shared" si="38"/>
        <v/>
      </c>
      <c r="L205" t="str">
        <f t="shared" si="39"/>
        <v/>
      </c>
      <c r="M205" t="str">
        <f t="shared" si="40"/>
        <v/>
      </c>
      <c r="N205" t="str">
        <f t="shared" si="41"/>
        <v/>
      </c>
      <c r="O205" t="str">
        <f t="shared" si="42"/>
        <v/>
      </c>
      <c r="P205" t="str">
        <f>IF($A205="","",IF($E205=1,$F205*$O205,PNL!G205))</f>
        <v/>
      </c>
      <c r="T205" t="str">
        <f t="shared" si="43"/>
        <v/>
      </c>
    </row>
    <row r="206" spans="1:20" x14ac:dyDescent="0.45">
      <c r="A206" t="str">
        <f>IF(PNL!A206="","",PNL!A206)</f>
        <v/>
      </c>
      <c r="B206" t="str">
        <f>IF(PNL!B206="","",PNL!B206)</f>
        <v/>
      </c>
      <c r="C206" t="str">
        <f>IF(PNL!C206="","",PNL!C206)</f>
        <v/>
      </c>
      <c r="D206" t="str">
        <f>IF(PNL!D206="","",PNL!D206)</f>
        <v/>
      </c>
      <c r="E206" t="str">
        <f t="shared" si="33"/>
        <v/>
      </c>
      <c r="F206" t="str">
        <f>IF($A206="","",IF($E206=1,SUMIFS(Compta!$F$1:$F$675,Compta!$A$1:$A$675,$A206,Compta!$B$1:$B$675,$B206,Compta!$C$1:$C$675,"2026"),0))</f>
        <v/>
      </c>
      <c r="G206" t="str">
        <f t="shared" si="34"/>
        <v/>
      </c>
      <c r="H206" t="str">
        <f t="shared" si="35"/>
        <v/>
      </c>
      <c r="I206" t="str">
        <f t="shared" si="36"/>
        <v/>
      </c>
      <c r="J206" t="str">
        <f t="shared" si="37"/>
        <v/>
      </c>
      <c r="K206" t="str">
        <f t="shared" si="38"/>
        <v/>
      </c>
      <c r="L206" t="str">
        <f t="shared" si="39"/>
        <v/>
      </c>
      <c r="M206" t="str">
        <f t="shared" si="40"/>
        <v/>
      </c>
      <c r="N206" t="str">
        <f t="shared" si="41"/>
        <v/>
      </c>
      <c r="O206" t="str">
        <f t="shared" si="42"/>
        <v/>
      </c>
      <c r="P206" t="str">
        <f>IF($A206="","",IF($E206=1,$F206*$O206,PNL!G206))</f>
        <v/>
      </c>
      <c r="T206" t="str">
        <f t="shared" si="43"/>
        <v/>
      </c>
    </row>
    <row r="207" spans="1:20" x14ac:dyDescent="0.45">
      <c r="A207" t="str">
        <f>IF(PNL!A207="","",PNL!A207)</f>
        <v/>
      </c>
      <c r="B207" t="str">
        <f>IF(PNL!B207="","",PNL!B207)</f>
        <v/>
      </c>
      <c r="C207" t="str">
        <f>IF(PNL!C207="","",PNL!C207)</f>
        <v/>
      </c>
      <c r="D207" t="str">
        <f>IF(PNL!D207="","",PNL!D207)</f>
        <v/>
      </c>
      <c r="E207" t="str">
        <f t="shared" si="33"/>
        <v/>
      </c>
      <c r="F207" t="str">
        <f>IF($A207="","",IF($E207=1,SUMIFS(Compta!$F$1:$F$675,Compta!$A$1:$A$675,$A207,Compta!$B$1:$B$675,$B207,Compta!$C$1:$C$675,"2026"),0))</f>
        <v/>
      </c>
      <c r="G207" t="str">
        <f t="shared" si="34"/>
        <v/>
      </c>
      <c r="H207" t="str">
        <f t="shared" si="35"/>
        <v/>
      </c>
      <c r="I207" t="str">
        <f t="shared" si="36"/>
        <v/>
      </c>
      <c r="J207" t="str">
        <f t="shared" si="37"/>
        <v/>
      </c>
      <c r="K207" t="str">
        <f t="shared" si="38"/>
        <v/>
      </c>
      <c r="L207" t="str">
        <f t="shared" si="39"/>
        <v/>
      </c>
      <c r="M207" t="str">
        <f t="shared" si="40"/>
        <v/>
      </c>
      <c r="N207" t="str">
        <f t="shared" si="41"/>
        <v/>
      </c>
      <c r="O207" t="str">
        <f t="shared" si="42"/>
        <v/>
      </c>
      <c r="P207" t="str">
        <f>IF($A207="","",IF($E207=1,$F207*$O207,PNL!G207))</f>
        <v/>
      </c>
      <c r="T207" t="str">
        <f t="shared" si="43"/>
        <v/>
      </c>
    </row>
    <row r="208" spans="1:20" x14ac:dyDescent="0.45">
      <c r="A208" t="str">
        <f>IF(PNL!A208="","",PNL!A208)</f>
        <v/>
      </c>
      <c r="B208" t="str">
        <f>IF(PNL!B208="","",PNL!B208)</f>
        <v/>
      </c>
      <c r="C208" t="str">
        <f>IF(PNL!C208="","",PNL!C208)</f>
        <v/>
      </c>
      <c r="D208" t="str">
        <f>IF(PNL!D208="","",PNL!D208)</f>
        <v/>
      </c>
      <c r="E208" t="str">
        <f t="shared" si="33"/>
        <v/>
      </c>
      <c r="F208" t="str">
        <f>IF($A208="","",IF($E208=1,SUMIFS(Compta!$F$1:$F$675,Compta!$A$1:$A$675,$A208,Compta!$B$1:$B$675,$B208,Compta!$C$1:$C$675,"2026"),0))</f>
        <v/>
      </c>
      <c r="G208" t="str">
        <f t="shared" si="34"/>
        <v/>
      </c>
      <c r="H208" t="str">
        <f t="shared" si="35"/>
        <v/>
      </c>
      <c r="I208" t="str">
        <f t="shared" si="36"/>
        <v/>
      </c>
      <c r="J208" t="str">
        <f t="shared" si="37"/>
        <v/>
      </c>
      <c r="K208" t="str">
        <f t="shared" si="38"/>
        <v/>
      </c>
      <c r="L208" t="str">
        <f t="shared" si="39"/>
        <v/>
      </c>
      <c r="M208" t="str">
        <f t="shared" si="40"/>
        <v/>
      </c>
      <c r="N208" t="str">
        <f t="shared" si="41"/>
        <v/>
      </c>
      <c r="O208" t="str">
        <f t="shared" si="42"/>
        <v/>
      </c>
      <c r="P208" t="str">
        <f>IF($A208="","",IF($E208=1,$F208*$O208,PNL!G208))</f>
        <v/>
      </c>
      <c r="T208" t="str">
        <f t="shared" si="43"/>
        <v/>
      </c>
    </row>
    <row r="209" spans="1:20" x14ac:dyDescent="0.45">
      <c r="A209" t="str">
        <f>IF(PNL!A209="","",PNL!A209)</f>
        <v/>
      </c>
      <c r="B209" t="str">
        <f>IF(PNL!B209="","",PNL!B209)</f>
        <v/>
      </c>
      <c r="C209" t="str">
        <f>IF(PNL!C209="","",PNL!C209)</f>
        <v/>
      </c>
      <c r="D209" t="str">
        <f>IF(PNL!D209="","",PNL!D209)</f>
        <v/>
      </c>
      <c r="E209" t="str">
        <f t="shared" si="33"/>
        <v/>
      </c>
      <c r="F209" t="str">
        <f>IF($A209="","",IF($E209=1,SUMIFS(Compta!$F$1:$F$675,Compta!$A$1:$A$675,$A209,Compta!$B$1:$B$675,$B209,Compta!$C$1:$C$675,"2026"),0))</f>
        <v/>
      </c>
      <c r="G209" t="str">
        <f t="shared" si="34"/>
        <v/>
      </c>
      <c r="H209" t="str">
        <f t="shared" si="35"/>
        <v/>
      </c>
      <c r="I209" t="str">
        <f t="shared" si="36"/>
        <v/>
      </c>
      <c r="J209" t="str">
        <f t="shared" si="37"/>
        <v/>
      </c>
      <c r="K209" t="str">
        <f t="shared" si="38"/>
        <v/>
      </c>
      <c r="L209" t="str">
        <f t="shared" si="39"/>
        <v/>
      </c>
      <c r="M209" t="str">
        <f t="shared" si="40"/>
        <v/>
      </c>
      <c r="N209" t="str">
        <f t="shared" si="41"/>
        <v/>
      </c>
      <c r="O209" t="str">
        <f t="shared" si="42"/>
        <v/>
      </c>
      <c r="P209" t="str">
        <f>IF($A209="","",IF($E209=1,$F209*$O209,PNL!G209))</f>
        <v/>
      </c>
      <c r="T209" t="str">
        <f t="shared" si="43"/>
        <v/>
      </c>
    </row>
    <row r="210" spans="1:20" x14ac:dyDescent="0.45">
      <c r="A210" t="str">
        <f>IF(PNL!A210="","",PNL!A210)</f>
        <v/>
      </c>
      <c r="B210" t="str">
        <f>IF(PNL!B210="","",PNL!B210)</f>
        <v/>
      </c>
      <c r="C210" t="str">
        <f>IF(PNL!C210="","",PNL!C210)</f>
        <v/>
      </c>
      <c r="D210" t="str">
        <f>IF(PNL!D210="","",PNL!D210)</f>
        <v/>
      </c>
      <c r="E210" t="str">
        <f t="shared" si="33"/>
        <v/>
      </c>
      <c r="F210" t="str">
        <f>IF($A210="","",IF($E210=1,SUMIFS(Compta!$F$1:$F$675,Compta!$A$1:$A$675,$A210,Compta!$B$1:$B$675,$B210,Compta!$C$1:$C$675,"2026"),0))</f>
        <v/>
      </c>
      <c r="G210" t="str">
        <f t="shared" si="34"/>
        <v/>
      </c>
      <c r="H210" t="str">
        <f t="shared" si="35"/>
        <v/>
      </c>
      <c r="I210" t="str">
        <f t="shared" si="36"/>
        <v/>
      </c>
      <c r="J210" t="str">
        <f t="shared" si="37"/>
        <v/>
      </c>
      <c r="K210" t="str">
        <f t="shared" si="38"/>
        <v/>
      </c>
      <c r="L210" t="str">
        <f t="shared" si="39"/>
        <v/>
      </c>
      <c r="M210" t="str">
        <f t="shared" si="40"/>
        <v/>
      </c>
      <c r="N210" t="str">
        <f t="shared" si="41"/>
        <v/>
      </c>
      <c r="O210" t="str">
        <f t="shared" si="42"/>
        <v/>
      </c>
      <c r="P210" t="str">
        <f>IF($A210="","",IF($E210=1,$F210*$O210,PNL!G210))</f>
        <v/>
      </c>
      <c r="T210" t="str">
        <f t="shared" si="43"/>
        <v/>
      </c>
    </row>
    <row r="211" spans="1:20" x14ac:dyDescent="0.45">
      <c r="A211" t="str">
        <f>IF(PNL!A211="","",PNL!A211)</f>
        <v/>
      </c>
      <c r="B211" t="str">
        <f>IF(PNL!B211="","",PNL!B211)</f>
        <v/>
      </c>
      <c r="C211" t="str">
        <f>IF(PNL!C211="","",PNL!C211)</f>
        <v/>
      </c>
      <c r="D211" t="str">
        <f>IF(PNL!D211="","",PNL!D211)</f>
        <v/>
      </c>
      <c r="E211" t="str">
        <f t="shared" si="33"/>
        <v/>
      </c>
      <c r="F211" t="str">
        <f>IF($A211="","",IF($E211=1,SUMIFS(Compta!$F$1:$F$675,Compta!$A$1:$A$675,$A211,Compta!$B$1:$B$675,$B211,Compta!$C$1:$C$675,"2026"),0))</f>
        <v/>
      </c>
      <c r="G211" t="str">
        <f t="shared" si="34"/>
        <v/>
      </c>
      <c r="H211" t="str">
        <f t="shared" si="35"/>
        <v/>
      </c>
      <c r="I211" t="str">
        <f t="shared" si="36"/>
        <v/>
      </c>
      <c r="J211" t="str">
        <f t="shared" si="37"/>
        <v/>
      </c>
      <c r="K211" t="str">
        <f t="shared" si="38"/>
        <v/>
      </c>
      <c r="L211" t="str">
        <f t="shared" si="39"/>
        <v/>
      </c>
      <c r="M211" t="str">
        <f t="shared" si="40"/>
        <v/>
      </c>
      <c r="N211" t="str">
        <f t="shared" si="41"/>
        <v/>
      </c>
      <c r="O211" t="str">
        <f t="shared" si="42"/>
        <v/>
      </c>
      <c r="P211" t="str">
        <f>IF($A211="","",IF($E211=1,$F211*$O211,PNL!G211))</f>
        <v/>
      </c>
      <c r="T211" t="str">
        <f t="shared" si="43"/>
        <v/>
      </c>
    </row>
    <row r="212" spans="1:20" x14ac:dyDescent="0.45">
      <c r="A212" t="str">
        <f>IF(PNL!A212="","",PNL!A212)</f>
        <v/>
      </c>
      <c r="B212" t="str">
        <f>IF(PNL!B212="","",PNL!B212)</f>
        <v/>
      </c>
      <c r="C212" t="str">
        <f>IF(PNL!C212="","",PNL!C212)</f>
        <v/>
      </c>
      <c r="D212" t="str">
        <f>IF(PNL!D212="","",PNL!D212)</f>
        <v/>
      </c>
      <c r="E212" t="str">
        <f t="shared" si="33"/>
        <v/>
      </c>
      <c r="F212" t="str">
        <f>IF($A212="","",IF($E212=1,SUMIFS(Compta!$F$1:$F$675,Compta!$A$1:$A$675,$A212,Compta!$B$1:$B$675,$B212,Compta!$C$1:$C$675,"2026"),0))</f>
        <v/>
      </c>
      <c r="G212" t="str">
        <f t="shared" si="34"/>
        <v/>
      </c>
      <c r="H212" t="str">
        <f t="shared" si="35"/>
        <v/>
      </c>
      <c r="I212" t="str">
        <f t="shared" si="36"/>
        <v/>
      </c>
      <c r="J212" t="str">
        <f t="shared" si="37"/>
        <v/>
      </c>
      <c r="K212" t="str">
        <f t="shared" si="38"/>
        <v/>
      </c>
      <c r="L212" t="str">
        <f t="shared" si="39"/>
        <v/>
      </c>
      <c r="M212" t="str">
        <f t="shared" si="40"/>
        <v/>
      </c>
      <c r="N212" t="str">
        <f t="shared" si="41"/>
        <v/>
      </c>
      <c r="O212" t="str">
        <f t="shared" si="42"/>
        <v/>
      </c>
      <c r="P212" t="str">
        <f>IF($A212="","",IF($E212=1,$F212*$O212,PNL!G212))</f>
        <v/>
      </c>
      <c r="T212" t="str">
        <f t="shared" si="43"/>
        <v/>
      </c>
    </row>
    <row r="213" spans="1:20" x14ac:dyDescent="0.45">
      <c r="A213" t="str">
        <f>IF(PNL!A213="","",PNL!A213)</f>
        <v/>
      </c>
      <c r="B213" t="str">
        <f>IF(PNL!B213="","",PNL!B213)</f>
        <v/>
      </c>
      <c r="C213" t="str">
        <f>IF(PNL!C213="","",PNL!C213)</f>
        <v/>
      </c>
      <c r="D213" t="str">
        <f>IF(PNL!D213="","",PNL!D213)</f>
        <v/>
      </c>
      <c r="E213" t="str">
        <f t="shared" si="33"/>
        <v/>
      </c>
      <c r="F213" t="str">
        <f>IF($A213="","",IF($E213=1,SUMIFS(Compta!$F$1:$F$675,Compta!$A$1:$A$675,$A213,Compta!$B$1:$B$675,$B213,Compta!$C$1:$C$675,"2026"),0))</f>
        <v/>
      </c>
      <c r="G213" t="str">
        <f t="shared" si="34"/>
        <v/>
      </c>
      <c r="H213" t="str">
        <f t="shared" si="35"/>
        <v/>
      </c>
      <c r="I213" t="str">
        <f t="shared" si="36"/>
        <v/>
      </c>
      <c r="J213" t="str">
        <f t="shared" si="37"/>
        <v/>
      </c>
      <c r="K213" t="str">
        <f t="shared" si="38"/>
        <v/>
      </c>
      <c r="L213" t="str">
        <f t="shared" si="39"/>
        <v/>
      </c>
      <c r="M213" t="str">
        <f t="shared" si="40"/>
        <v/>
      </c>
      <c r="N213" t="str">
        <f t="shared" si="41"/>
        <v/>
      </c>
      <c r="O213" t="str">
        <f t="shared" si="42"/>
        <v/>
      </c>
      <c r="P213" t="str">
        <f>IF($A213="","",IF($E213=1,$F213*$O213,PNL!G213))</f>
        <v/>
      </c>
      <c r="T213" t="str">
        <f t="shared" si="43"/>
        <v/>
      </c>
    </row>
    <row r="214" spans="1:20" x14ac:dyDescent="0.45">
      <c r="A214" t="str">
        <f>IF(PNL!A214="","",PNL!A214)</f>
        <v/>
      </c>
      <c r="B214" t="str">
        <f>IF(PNL!B214="","",PNL!B214)</f>
        <v/>
      </c>
      <c r="C214" t="str">
        <f>IF(PNL!C214="","",PNL!C214)</f>
        <v/>
      </c>
      <c r="D214" t="str">
        <f>IF(PNL!D214="","",PNL!D214)</f>
        <v/>
      </c>
      <c r="E214" t="str">
        <f t="shared" si="33"/>
        <v/>
      </c>
      <c r="F214" t="str">
        <f>IF($A214="","",IF($E214=1,SUMIFS(Compta!$F$1:$F$675,Compta!$A$1:$A$675,$A214,Compta!$B$1:$B$675,$B214,Compta!$C$1:$C$675,"2026"),0))</f>
        <v/>
      </c>
      <c r="G214" t="str">
        <f t="shared" si="34"/>
        <v/>
      </c>
      <c r="H214" t="str">
        <f t="shared" si="35"/>
        <v/>
      </c>
      <c r="I214" t="str">
        <f t="shared" si="36"/>
        <v/>
      </c>
      <c r="J214" t="str">
        <f t="shared" si="37"/>
        <v/>
      </c>
      <c r="K214" t="str">
        <f t="shared" si="38"/>
        <v/>
      </c>
      <c r="L214" t="str">
        <f t="shared" si="39"/>
        <v/>
      </c>
      <c r="M214" t="str">
        <f t="shared" si="40"/>
        <v/>
      </c>
      <c r="N214" t="str">
        <f t="shared" si="41"/>
        <v/>
      </c>
      <c r="O214" t="str">
        <f t="shared" si="42"/>
        <v/>
      </c>
      <c r="P214" t="str">
        <f>IF($A214="","",IF($E214=1,$F214*$O214,PNL!G214))</f>
        <v/>
      </c>
      <c r="T214" t="str">
        <f t="shared" si="43"/>
        <v/>
      </c>
    </row>
    <row r="215" spans="1:20" x14ac:dyDescent="0.45">
      <c r="A215" t="str">
        <f>IF(PNL!A215="","",PNL!A215)</f>
        <v/>
      </c>
      <c r="B215" t="str">
        <f>IF(PNL!B215="","",PNL!B215)</f>
        <v/>
      </c>
      <c r="C215" t="str">
        <f>IF(PNL!C215="","",PNL!C215)</f>
        <v/>
      </c>
      <c r="D215" t="str">
        <f>IF(PNL!D215="","",PNL!D215)</f>
        <v/>
      </c>
      <c r="E215" t="str">
        <f t="shared" si="33"/>
        <v/>
      </c>
      <c r="F215" t="str">
        <f>IF($A215="","",IF($E215=1,SUMIFS(Compta!$F$1:$F$675,Compta!$A$1:$A$675,$A215,Compta!$B$1:$B$675,$B215,Compta!$C$1:$C$675,"2026"),0))</f>
        <v/>
      </c>
      <c r="G215" t="str">
        <f t="shared" si="34"/>
        <v/>
      </c>
      <c r="H215" t="str">
        <f t="shared" si="35"/>
        <v/>
      </c>
      <c r="I215" t="str">
        <f t="shared" si="36"/>
        <v/>
      </c>
      <c r="J215" t="str">
        <f t="shared" si="37"/>
        <v/>
      </c>
      <c r="K215" t="str">
        <f t="shared" si="38"/>
        <v/>
      </c>
      <c r="L215" t="str">
        <f t="shared" si="39"/>
        <v/>
      </c>
      <c r="M215" t="str">
        <f t="shared" si="40"/>
        <v/>
      </c>
      <c r="N215" t="str">
        <f t="shared" si="41"/>
        <v/>
      </c>
      <c r="O215" t="str">
        <f t="shared" si="42"/>
        <v/>
      </c>
      <c r="P215" t="str">
        <f>IF($A215="","",IF($E215=1,$F215*$O215,PNL!G215))</f>
        <v/>
      </c>
      <c r="T215" t="str">
        <f t="shared" si="43"/>
        <v/>
      </c>
    </row>
    <row r="216" spans="1:20" x14ac:dyDescent="0.45">
      <c r="A216" t="str">
        <f>IF(PNL!A216="","",PNL!A216)</f>
        <v/>
      </c>
      <c r="B216" t="str">
        <f>IF(PNL!B216="","",PNL!B216)</f>
        <v/>
      </c>
      <c r="C216" t="str">
        <f>IF(PNL!C216="","",PNL!C216)</f>
        <v/>
      </c>
      <c r="D216" t="str">
        <f>IF(PNL!D216="","",PNL!D216)</f>
        <v/>
      </c>
      <c r="E216" t="str">
        <f t="shared" si="33"/>
        <v/>
      </c>
      <c r="F216" t="str">
        <f>IF($A216="","",IF($E216=1,SUMIFS(Compta!$F$1:$F$675,Compta!$A$1:$A$675,$A216,Compta!$B$1:$B$675,$B216,Compta!$C$1:$C$675,"2026"),0))</f>
        <v/>
      </c>
      <c r="G216" t="str">
        <f t="shared" si="34"/>
        <v/>
      </c>
      <c r="H216" t="str">
        <f t="shared" si="35"/>
        <v/>
      </c>
      <c r="I216" t="str">
        <f t="shared" si="36"/>
        <v/>
      </c>
      <c r="J216" t="str">
        <f t="shared" si="37"/>
        <v/>
      </c>
      <c r="K216" t="str">
        <f t="shared" si="38"/>
        <v/>
      </c>
      <c r="L216" t="str">
        <f t="shared" si="39"/>
        <v/>
      </c>
      <c r="M216" t="str">
        <f t="shared" si="40"/>
        <v/>
      </c>
      <c r="N216" t="str">
        <f t="shared" si="41"/>
        <v/>
      </c>
      <c r="O216" t="str">
        <f t="shared" si="42"/>
        <v/>
      </c>
      <c r="P216" t="str">
        <f>IF($A216="","",IF($E216=1,$F216*$O216,PNL!G216))</f>
        <v/>
      </c>
      <c r="T216" t="str">
        <f t="shared" si="43"/>
        <v/>
      </c>
    </row>
    <row r="217" spans="1:20" x14ac:dyDescent="0.45">
      <c r="A217" t="str">
        <f>IF(PNL!A217="","",PNL!A217)</f>
        <v/>
      </c>
      <c r="B217" t="str">
        <f>IF(PNL!B217="","",PNL!B217)</f>
        <v/>
      </c>
      <c r="C217" t="str">
        <f>IF(PNL!C217="","",PNL!C217)</f>
        <v/>
      </c>
      <c r="D217" t="str">
        <f>IF(PNL!D217="","",PNL!D217)</f>
        <v/>
      </c>
      <c r="E217" t="str">
        <f t="shared" si="33"/>
        <v/>
      </c>
      <c r="F217" t="str">
        <f>IF($A217="","",IF($E217=1,SUMIFS(Compta!$F$1:$F$675,Compta!$A$1:$A$675,$A217,Compta!$B$1:$B$675,$B217,Compta!$C$1:$C$675,"2026"),0))</f>
        <v/>
      </c>
      <c r="G217" t="str">
        <f t="shared" si="34"/>
        <v/>
      </c>
      <c r="H217" t="str">
        <f t="shared" si="35"/>
        <v/>
      </c>
      <c r="I217" t="str">
        <f t="shared" si="36"/>
        <v/>
      </c>
      <c r="J217" t="str">
        <f t="shared" si="37"/>
        <v/>
      </c>
      <c r="K217" t="str">
        <f t="shared" si="38"/>
        <v/>
      </c>
      <c r="L217" t="str">
        <f t="shared" si="39"/>
        <v/>
      </c>
      <c r="M217" t="str">
        <f t="shared" si="40"/>
        <v/>
      </c>
      <c r="N217" t="str">
        <f t="shared" si="41"/>
        <v/>
      </c>
      <c r="O217" t="str">
        <f t="shared" si="42"/>
        <v/>
      </c>
      <c r="P217" t="str">
        <f>IF($A217="","",IF($E217=1,$F217*$O217,PNL!G217))</f>
        <v/>
      </c>
      <c r="T217" t="str">
        <f t="shared" si="43"/>
        <v/>
      </c>
    </row>
    <row r="218" spans="1:20" x14ac:dyDescent="0.45">
      <c r="A218" t="str">
        <f>IF(PNL!A218="","",PNL!A218)</f>
        <v/>
      </c>
      <c r="B218" t="str">
        <f>IF(PNL!B218="","",PNL!B218)</f>
        <v/>
      </c>
      <c r="C218" t="str">
        <f>IF(PNL!C218="","",PNL!C218)</f>
        <v/>
      </c>
      <c r="D218" t="str">
        <f>IF(PNL!D218="","",PNL!D218)</f>
        <v/>
      </c>
      <c r="E218" t="str">
        <f t="shared" si="33"/>
        <v/>
      </c>
      <c r="F218" t="str">
        <f>IF($A218="","",IF($E218=1,SUMIFS(Compta!$F$1:$F$675,Compta!$A$1:$A$675,$A218,Compta!$B$1:$B$675,$B218,Compta!$C$1:$C$675,"2026"),0))</f>
        <v/>
      </c>
      <c r="G218" t="str">
        <f t="shared" si="34"/>
        <v/>
      </c>
      <c r="H218" t="str">
        <f t="shared" si="35"/>
        <v/>
      </c>
      <c r="I218" t="str">
        <f t="shared" si="36"/>
        <v/>
      </c>
      <c r="J218" t="str">
        <f t="shared" si="37"/>
        <v/>
      </c>
      <c r="K218" t="str">
        <f t="shared" si="38"/>
        <v/>
      </c>
      <c r="L218" t="str">
        <f t="shared" si="39"/>
        <v/>
      </c>
      <c r="M218" t="str">
        <f t="shared" si="40"/>
        <v/>
      </c>
      <c r="N218" t="str">
        <f t="shared" si="41"/>
        <v/>
      </c>
      <c r="O218" t="str">
        <f t="shared" si="42"/>
        <v/>
      </c>
      <c r="P218" t="str">
        <f>IF($A218="","",IF($E218=1,$F218*$O218,PNL!G218))</f>
        <v/>
      </c>
      <c r="T218" t="str">
        <f t="shared" si="43"/>
        <v/>
      </c>
    </row>
    <row r="219" spans="1:20" x14ac:dyDescent="0.45">
      <c r="A219" t="str">
        <f>IF(PNL!A219="","",PNL!A219)</f>
        <v/>
      </c>
      <c r="B219" t="str">
        <f>IF(PNL!B219="","",PNL!B219)</f>
        <v/>
      </c>
      <c r="C219" t="str">
        <f>IF(PNL!C219="","",PNL!C219)</f>
        <v/>
      </c>
      <c r="D219" t="str">
        <f>IF(PNL!D219="","",PNL!D219)</f>
        <v/>
      </c>
      <c r="E219" t="str">
        <f t="shared" si="33"/>
        <v/>
      </c>
      <c r="F219" t="str">
        <f>IF($A219="","",IF($E219=1,SUMIFS(Compta!$F$1:$F$675,Compta!$A$1:$A$675,$A219,Compta!$B$1:$B$675,$B219,Compta!$C$1:$C$675,"2026"),0))</f>
        <v/>
      </c>
      <c r="G219" t="str">
        <f t="shared" si="34"/>
        <v/>
      </c>
      <c r="H219" t="str">
        <f t="shared" si="35"/>
        <v/>
      </c>
      <c r="I219" t="str">
        <f t="shared" si="36"/>
        <v/>
      </c>
      <c r="J219" t="str">
        <f t="shared" si="37"/>
        <v/>
      </c>
      <c r="K219" t="str">
        <f t="shared" si="38"/>
        <v/>
      </c>
      <c r="L219" t="str">
        <f t="shared" si="39"/>
        <v/>
      </c>
      <c r="M219" t="str">
        <f t="shared" si="40"/>
        <v/>
      </c>
      <c r="N219" t="str">
        <f t="shared" si="41"/>
        <v/>
      </c>
      <c r="O219" t="str">
        <f t="shared" si="42"/>
        <v/>
      </c>
      <c r="P219" t="str">
        <f>IF($A219="","",IF($E219=1,$F219*$O219,PNL!G219))</f>
        <v/>
      </c>
      <c r="T219" t="str">
        <f t="shared" si="43"/>
        <v/>
      </c>
    </row>
    <row r="220" spans="1:20" x14ac:dyDescent="0.45">
      <c r="A220" t="str">
        <f>IF(PNL!A220="","",PNL!A220)</f>
        <v/>
      </c>
      <c r="B220" t="str">
        <f>IF(PNL!B220="","",PNL!B220)</f>
        <v/>
      </c>
      <c r="C220" t="str">
        <f>IF(PNL!C220="","",PNL!C220)</f>
        <v/>
      </c>
      <c r="D220" t="str">
        <f>IF(PNL!D220="","",PNL!D220)</f>
        <v/>
      </c>
      <c r="E220" t="str">
        <f t="shared" si="33"/>
        <v/>
      </c>
      <c r="F220" t="str">
        <f>IF($A220="","",IF($E220=1,SUMIFS(Compta!$F$1:$F$675,Compta!$A$1:$A$675,$A220,Compta!$B$1:$B$675,$B220,Compta!$C$1:$C$675,"2026"),0))</f>
        <v/>
      </c>
      <c r="G220" t="str">
        <f t="shared" si="34"/>
        <v/>
      </c>
      <c r="H220" t="str">
        <f t="shared" si="35"/>
        <v/>
      </c>
      <c r="I220" t="str">
        <f t="shared" si="36"/>
        <v/>
      </c>
      <c r="J220" t="str">
        <f t="shared" si="37"/>
        <v/>
      </c>
      <c r="K220" t="str">
        <f t="shared" si="38"/>
        <v/>
      </c>
      <c r="L220" t="str">
        <f t="shared" si="39"/>
        <v/>
      </c>
      <c r="M220" t="str">
        <f t="shared" si="40"/>
        <v/>
      </c>
      <c r="N220" t="str">
        <f t="shared" si="41"/>
        <v/>
      </c>
      <c r="O220" t="str">
        <f t="shared" si="42"/>
        <v/>
      </c>
      <c r="P220" t="str">
        <f>IF($A220="","",IF($E220=1,$F220*$O220,PNL!G220))</f>
        <v/>
      </c>
      <c r="T220" t="str">
        <f t="shared" si="43"/>
        <v/>
      </c>
    </row>
    <row r="221" spans="1:20" x14ac:dyDescent="0.45">
      <c r="A221" t="str">
        <f>IF(PNL!A221="","",PNL!A221)</f>
        <v/>
      </c>
      <c r="B221" t="str">
        <f>IF(PNL!B221="","",PNL!B221)</f>
        <v/>
      </c>
      <c r="C221" t="str">
        <f>IF(PNL!C221="","",PNL!C221)</f>
        <v/>
      </c>
      <c r="D221" t="str">
        <f>IF(PNL!D221="","",PNL!D221)</f>
        <v/>
      </c>
      <c r="E221" t="str">
        <f t="shared" si="33"/>
        <v/>
      </c>
      <c r="F221" t="str">
        <f>IF($A221="","",IF($E221=1,SUMIFS(Compta!$F$1:$F$675,Compta!$A$1:$A$675,$A221,Compta!$B$1:$B$675,$B221,Compta!$C$1:$C$675,"2026"),0))</f>
        <v/>
      </c>
      <c r="G221" t="str">
        <f t="shared" si="34"/>
        <v/>
      </c>
      <c r="H221" t="str">
        <f t="shared" si="35"/>
        <v/>
      </c>
      <c r="I221" t="str">
        <f t="shared" si="36"/>
        <v/>
      </c>
      <c r="J221" t="str">
        <f t="shared" si="37"/>
        <v/>
      </c>
      <c r="K221" t="str">
        <f t="shared" si="38"/>
        <v/>
      </c>
      <c r="L221" t="str">
        <f t="shared" si="39"/>
        <v/>
      </c>
      <c r="M221" t="str">
        <f t="shared" si="40"/>
        <v/>
      </c>
      <c r="N221" t="str">
        <f t="shared" si="41"/>
        <v/>
      </c>
      <c r="O221" t="str">
        <f t="shared" si="42"/>
        <v/>
      </c>
      <c r="P221" t="str">
        <f>IF($A221="","",IF($E221=1,$F221*$O221,PNL!G221))</f>
        <v/>
      </c>
      <c r="T221" t="str">
        <f t="shared" si="43"/>
        <v/>
      </c>
    </row>
    <row r="222" spans="1:20" x14ac:dyDescent="0.45">
      <c r="A222" t="str">
        <f>IF(PNL!A222="","",PNL!A222)</f>
        <v/>
      </c>
      <c r="B222" t="str">
        <f>IF(PNL!B222="","",PNL!B222)</f>
        <v/>
      </c>
      <c r="C222" t="str">
        <f>IF(PNL!C222="","",PNL!C222)</f>
        <v/>
      </c>
      <c r="D222" t="str">
        <f>IF(PNL!D222="","",PNL!D222)</f>
        <v/>
      </c>
      <c r="E222" t="str">
        <f t="shared" si="33"/>
        <v/>
      </c>
      <c r="F222" t="str">
        <f>IF($A222="","",IF($E222=1,SUMIFS(Compta!$F$1:$F$675,Compta!$A$1:$A$675,$A222,Compta!$B$1:$B$675,$B222,Compta!$C$1:$C$675,"2026"),0))</f>
        <v/>
      </c>
      <c r="G222" t="str">
        <f t="shared" si="34"/>
        <v/>
      </c>
      <c r="H222" t="str">
        <f t="shared" si="35"/>
        <v/>
      </c>
      <c r="I222" t="str">
        <f t="shared" si="36"/>
        <v/>
      </c>
      <c r="J222" t="str">
        <f t="shared" si="37"/>
        <v/>
      </c>
      <c r="K222" t="str">
        <f t="shared" si="38"/>
        <v/>
      </c>
      <c r="L222" t="str">
        <f t="shared" si="39"/>
        <v/>
      </c>
      <c r="M222" t="str">
        <f t="shared" si="40"/>
        <v/>
      </c>
      <c r="N222" t="str">
        <f t="shared" si="41"/>
        <v/>
      </c>
      <c r="O222" t="str">
        <f t="shared" si="42"/>
        <v/>
      </c>
      <c r="P222" t="str">
        <f>IF($A222="","",IF($E222=1,$F222*$O222,PNL!G222))</f>
        <v/>
      </c>
      <c r="T222" t="str">
        <f t="shared" si="43"/>
        <v/>
      </c>
    </row>
    <row r="223" spans="1:20" x14ac:dyDescent="0.45">
      <c r="A223" t="str">
        <f>IF(PNL!A223="","",PNL!A223)</f>
        <v/>
      </c>
      <c r="B223" t="str">
        <f>IF(PNL!B223="","",PNL!B223)</f>
        <v/>
      </c>
      <c r="C223" t="str">
        <f>IF(PNL!C223="","",PNL!C223)</f>
        <v/>
      </c>
      <c r="D223" t="str">
        <f>IF(PNL!D223="","",PNL!D223)</f>
        <v/>
      </c>
      <c r="E223" t="str">
        <f t="shared" si="33"/>
        <v/>
      </c>
      <c r="F223" t="str">
        <f>IF($A223="","",IF($E223=1,SUMIFS(Compta!$F$1:$F$675,Compta!$A$1:$A$675,$A223,Compta!$B$1:$B$675,$B223,Compta!$C$1:$C$675,"2026"),0))</f>
        <v/>
      </c>
      <c r="G223" t="str">
        <f t="shared" si="34"/>
        <v/>
      </c>
      <c r="H223" t="str">
        <f t="shared" si="35"/>
        <v/>
      </c>
      <c r="I223" t="str">
        <f t="shared" si="36"/>
        <v/>
      </c>
      <c r="J223" t="str">
        <f t="shared" si="37"/>
        <v/>
      </c>
      <c r="K223" t="str">
        <f t="shared" si="38"/>
        <v/>
      </c>
      <c r="L223" t="str">
        <f t="shared" si="39"/>
        <v/>
      </c>
      <c r="M223" t="str">
        <f t="shared" si="40"/>
        <v/>
      </c>
      <c r="N223" t="str">
        <f t="shared" si="41"/>
        <v/>
      </c>
      <c r="O223" t="str">
        <f t="shared" si="42"/>
        <v/>
      </c>
      <c r="P223" t="str">
        <f>IF($A223="","",IF($E223=1,$F223*$O223,PNL!G223))</f>
        <v/>
      </c>
      <c r="T223" t="str">
        <f t="shared" si="43"/>
        <v/>
      </c>
    </row>
    <row r="224" spans="1:20" x14ac:dyDescent="0.45">
      <c r="A224" t="str">
        <f>IF(PNL!A224="","",PNL!A224)</f>
        <v/>
      </c>
      <c r="B224" t="str">
        <f>IF(PNL!B224="","",PNL!B224)</f>
        <v/>
      </c>
      <c r="C224" t="str">
        <f>IF(PNL!C224="","",PNL!C224)</f>
        <v/>
      </c>
      <c r="D224" t="str">
        <f>IF(PNL!D224="","",PNL!D224)</f>
        <v/>
      </c>
      <c r="E224" t="str">
        <f t="shared" si="33"/>
        <v/>
      </c>
      <c r="F224" t="str">
        <f>IF($A224="","",IF($E224=1,SUMIFS(Compta!$F$1:$F$675,Compta!$A$1:$A$675,$A224,Compta!$B$1:$B$675,$B224,Compta!$C$1:$C$675,"2026"),0))</f>
        <v/>
      </c>
      <c r="G224" t="str">
        <f t="shared" si="34"/>
        <v/>
      </c>
      <c r="H224" t="str">
        <f t="shared" si="35"/>
        <v/>
      </c>
      <c r="I224" t="str">
        <f t="shared" si="36"/>
        <v/>
      </c>
      <c r="J224" t="str">
        <f t="shared" si="37"/>
        <v/>
      </c>
      <c r="K224" t="str">
        <f t="shared" si="38"/>
        <v/>
      </c>
      <c r="L224" t="str">
        <f t="shared" si="39"/>
        <v/>
      </c>
      <c r="M224" t="str">
        <f t="shared" si="40"/>
        <v/>
      </c>
      <c r="N224" t="str">
        <f t="shared" si="41"/>
        <v/>
      </c>
      <c r="O224" t="str">
        <f t="shared" si="42"/>
        <v/>
      </c>
      <c r="P224" t="str">
        <f>IF($A224="","",IF($E224=1,$F224*$O224,PNL!G224))</f>
        <v/>
      </c>
      <c r="T224" t="str">
        <f t="shared" si="43"/>
        <v/>
      </c>
    </row>
    <row r="225" spans="1:20" x14ac:dyDescent="0.45">
      <c r="A225" t="str">
        <f>IF(PNL!A225="","",PNL!A225)</f>
        <v/>
      </c>
      <c r="B225" t="str">
        <f>IF(PNL!B225="","",PNL!B225)</f>
        <v/>
      </c>
      <c r="C225" t="str">
        <f>IF(PNL!C225="","",PNL!C225)</f>
        <v/>
      </c>
      <c r="D225" t="str">
        <f>IF(PNL!D225="","",PNL!D225)</f>
        <v/>
      </c>
      <c r="E225" t="str">
        <f t="shared" si="33"/>
        <v/>
      </c>
      <c r="F225" t="str">
        <f>IF($A225="","",IF($E225=1,SUMIFS(Compta!$F$1:$F$675,Compta!$A$1:$A$675,$A225,Compta!$B$1:$B$675,$B225,Compta!$C$1:$C$675,"2026"),0))</f>
        <v/>
      </c>
      <c r="G225" t="str">
        <f t="shared" si="34"/>
        <v/>
      </c>
      <c r="H225" t="str">
        <f t="shared" si="35"/>
        <v/>
      </c>
      <c r="I225" t="str">
        <f t="shared" si="36"/>
        <v/>
      </c>
      <c r="J225" t="str">
        <f t="shared" si="37"/>
        <v/>
      </c>
      <c r="K225" t="str">
        <f t="shared" si="38"/>
        <v/>
      </c>
      <c r="L225" t="str">
        <f t="shared" si="39"/>
        <v/>
      </c>
      <c r="M225" t="str">
        <f t="shared" si="40"/>
        <v/>
      </c>
      <c r="N225" t="str">
        <f t="shared" si="41"/>
        <v/>
      </c>
      <c r="O225" t="str">
        <f t="shared" si="42"/>
        <v/>
      </c>
      <c r="P225" t="str">
        <f>IF($A225="","",IF($E225=1,$F225*$O225,PNL!G225))</f>
        <v/>
      </c>
      <c r="T225" t="str">
        <f t="shared" si="43"/>
        <v/>
      </c>
    </row>
    <row r="226" spans="1:20" x14ac:dyDescent="0.45">
      <c r="A226" t="str">
        <f>IF(PNL!A226="","",PNL!A226)</f>
        <v/>
      </c>
      <c r="B226" t="str">
        <f>IF(PNL!B226="","",PNL!B226)</f>
        <v/>
      </c>
      <c r="C226" t="str">
        <f>IF(PNL!C226="","",PNL!C226)</f>
        <v/>
      </c>
      <c r="D226" t="str">
        <f>IF(PNL!D226="","",PNL!D226)</f>
        <v/>
      </c>
      <c r="E226" t="str">
        <f t="shared" si="33"/>
        <v/>
      </c>
      <c r="F226" t="str">
        <f>IF($A226="","",IF($E226=1,SUMIFS(Compta!$F$1:$F$675,Compta!$A$1:$A$675,$A226,Compta!$B$1:$B$675,$B226,Compta!$C$1:$C$675,"2026"),0))</f>
        <v/>
      </c>
      <c r="G226" t="str">
        <f t="shared" si="34"/>
        <v/>
      </c>
      <c r="H226" t="str">
        <f t="shared" si="35"/>
        <v/>
      </c>
      <c r="I226" t="str">
        <f t="shared" si="36"/>
        <v/>
      </c>
      <c r="J226" t="str">
        <f t="shared" si="37"/>
        <v/>
      </c>
      <c r="K226" t="str">
        <f t="shared" si="38"/>
        <v/>
      </c>
      <c r="L226" t="str">
        <f t="shared" si="39"/>
        <v/>
      </c>
      <c r="M226" t="str">
        <f t="shared" si="40"/>
        <v/>
      </c>
      <c r="N226" t="str">
        <f t="shared" si="41"/>
        <v/>
      </c>
      <c r="O226" t="str">
        <f t="shared" si="42"/>
        <v/>
      </c>
      <c r="P226" t="str">
        <f>IF($A226="","",IF($E226=1,$F226*$O226,PNL!G226))</f>
        <v/>
      </c>
      <c r="T226" t="str">
        <f t="shared" si="43"/>
        <v/>
      </c>
    </row>
    <row r="227" spans="1:20" x14ac:dyDescent="0.45">
      <c r="A227" t="str">
        <f>IF(PNL!A227="","",PNL!A227)</f>
        <v/>
      </c>
      <c r="B227" t="str">
        <f>IF(PNL!B227="","",PNL!B227)</f>
        <v/>
      </c>
      <c r="C227" t="str">
        <f>IF(PNL!C227="","",PNL!C227)</f>
        <v/>
      </c>
      <c r="D227" t="str">
        <f>IF(PNL!D227="","",PNL!D227)</f>
        <v/>
      </c>
      <c r="E227" t="str">
        <f t="shared" si="33"/>
        <v/>
      </c>
      <c r="F227" t="str">
        <f>IF($A227="","",IF($E227=1,SUMIFS(Compta!$F$1:$F$675,Compta!$A$1:$A$675,$A227,Compta!$B$1:$B$675,$B227,Compta!$C$1:$C$675,"2026"),0))</f>
        <v/>
      </c>
      <c r="G227" t="str">
        <f t="shared" si="34"/>
        <v/>
      </c>
      <c r="H227" t="str">
        <f t="shared" si="35"/>
        <v/>
      </c>
      <c r="I227" t="str">
        <f t="shared" si="36"/>
        <v/>
      </c>
      <c r="J227" t="str">
        <f t="shared" si="37"/>
        <v/>
      </c>
      <c r="K227" t="str">
        <f t="shared" si="38"/>
        <v/>
      </c>
      <c r="L227" t="str">
        <f t="shared" si="39"/>
        <v/>
      </c>
      <c r="M227" t="str">
        <f t="shared" si="40"/>
        <v/>
      </c>
      <c r="N227" t="str">
        <f t="shared" si="41"/>
        <v/>
      </c>
      <c r="O227" t="str">
        <f t="shared" si="42"/>
        <v/>
      </c>
      <c r="P227" t="str">
        <f>IF($A227="","",IF($E227=1,$F227*$O227,PNL!G227))</f>
        <v/>
      </c>
      <c r="T227" t="str">
        <f t="shared" si="43"/>
        <v/>
      </c>
    </row>
    <row r="228" spans="1:20" x14ac:dyDescent="0.45">
      <c r="A228" t="str">
        <f>IF(PNL!A228="","",PNL!A228)</f>
        <v/>
      </c>
      <c r="B228" t="str">
        <f>IF(PNL!B228="","",PNL!B228)</f>
        <v/>
      </c>
      <c r="C228" t="str">
        <f>IF(PNL!C228="","",PNL!C228)</f>
        <v/>
      </c>
      <c r="D228" t="str">
        <f>IF(PNL!D228="","",PNL!D228)</f>
        <v/>
      </c>
      <c r="E228" t="str">
        <f t="shared" si="33"/>
        <v/>
      </c>
      <c r="F228" t="str">
        <f>IF($A228="","",IF($E228=1,SUMIFS(Compta!$F$1:$F$675,Compta!$A$1:$A$675,$A228,Compta!$B$1:$B$675,$B228,Compta!$C$1:$C$675,"2026"),0))</f>
        <v/>
      </c>
      <c r="G228" t="str">
        <f t="shared" si="34"/>
        <v/>
      </c>
      <c r="H228" t="str">
        <f t="shared" si="35"/>
        <v/>
      </c>
      <c r="I228" t="str">
        <f t="shared" si="36"/>
        <v/>
      </c>
      <c r="J228" t="str">
        <f t="shared" si="37"/>
        <v/>
      </c>
      <c r="K228" t="str">
        <f t="shared" si="38"/>
        <v/>
      </c>
      <c r="L228" t="str">
        <f t="shared" si="39"/>
        <v/>
      </c>
      <c r="M228" t="str">
        <f t="shared" si="40"/>
        <v/>
      </c>
      <c r="N228" t="str">
        <f t="shared" si="41"/>
        <v/>
      </c>
      <c r="O228" t="str">
        <f t="shared" si="42"/>
        <v/>
      </c>
      <c r="P228" t="str">
        <f>IF($A228="","",IF($E228=1,$F228*$O228,PNL!G228))</f>
        <v/>
      </c>
      <c r="T228" t="str">
        <f t="shared" si="43"/>
        <v/>
      </c>
    </row>
    <row r="229" spans="1:20" x14ac:dyDescent="0.45">
      <c r="A229" t="str">
        <f>IF(PNL!A229="","",PNL!A229)</f>
        <v/>
      </c>
      <c r="B229" t="str">
        <f>IF(PNL!B229="","",PNL!B229)</f>
        <v/>
      </c>
      <c r="C229" t="str">
        <f>IF(PNL!C229="","",PNL!C229)</f>
        <v/>
      </c>
      <c r="D229" t="str">
        <f>IF(PNL!D229="","",PNL!D229)</f>
        <v/>
      </c>
      <c r="E229" t="str">
        <f t="shared" si="33"/>
        <v/>
      </c>
      <c r="F229" t="str">
        <f>IF($A229="","",IF($E229=1,SUMIFS(Compta!$F$1:$F$675,Compta!$A$1:$A$675,$A229,Compta!$B$1:$B$675,$B229,Compta!$C$1:$C$675,"2026"),0))</f>
        <v/>
      </c>
      <c r="G229" t="str">
        <f t="shared" si="34"/>
        <v/>
      </c>
      <c r="H229" t="str">
        <f t="shared" si="35"/>
        <v/>
      </c>
      <c r="I229" t="str">
        <f t="shared" si="36"/>
        <v/>
      </c>
      <c r="J229" t="str">
        <f t="shared" si="37"/>
        <v/>
      </c>
      <c r="K229" t="str">
        <f t="shared" si="38"/>
        <v/>
      </c>
      <c r="L229" t="str">
        <f t="shared" si="39"/>
        <v/>
      </c>
      <c r="M229" t="str">
        <f t="shared" si="40"/>
        <v/>
      </c>
      <c r="N229" t="str">
        <f t="shared" si="41"/>
        <v/>
      </c>
      <c r="O229" t="str">
        <f t="shared" si="42"/>
        <v/>
      </c>
      <c r="P229" t="str">
        <f>IF($A229="","",IF($E229=1,$F229*$O229,PNL!G229))</f>
        <v/>
      </c>
      <c r="T229" t="str">
        <f t="shared" si="43"/>
        <v/>
      </c>
    </row>
    <row r="230" spans="1:20" x14ac:dyDescent="0.45">
      <c r="A230" t="str">
        <f>IF(PNL!A230="","",PNL!A230)</f>
        <v/>
      </c>
      <c r="B230" t="str">
        <f>IF(PNL!B230="","",PNL!B230)</f>
        <v/>
      </c>
      <c r="C230" t="str">
        <f>IF(PNL!C230="","",PNL!C230)</f>
        <v/>
      </c>
      <c r="D230" t="str">
        <f>IF(PNL!D230="","",PNL!D230)</f>
        <v/>
      </c>
      <c r="E230" t="str">
        <f t="shared" si="33"/>
        <v/>
      </c>
      <c r="F230" t="str">
        <f>IF($A230="","",IF($E230=1,SUMIFS(Compta!$F$1:$F$675,Compta!$A$1:$A$675,$A230,Compta!$B$1:$B$675,$B230,Compta!$C$1:$C$675,"2026"),0))</f>
        <v/>
      </c>
      <c r="G230" t="str">
        <f t="shared" si="34"/>
        <v/>
      </c>
      <c r="H230" t="str">
        <f t="shared" si="35"/>
        <v/>
      </c>
      <c r="I230" t="str">
        <f t="shared" si="36"/>
        <v/>
      </c>
      <c r="J230" t="str">
        <f t="shared" si="37"/>
        <v/>
      </c>
      <c r="K230" t="str">
        <f t="shared" si="38"/>
        <v/>
      </c>
      <c r="L230" t="str">
        <f t="shared" si="39"/>
        <v/>
      </c>
      <c r="M230" t="str">
        <f t="shared" si="40"/>
        <v/>
      </c>
      <c r="N230" t="str">
        <f t="shared" si="41"/>
        <v/>
      </c>
      <c r="O230" t="str">
        <f t="shared" si="42"/>
        <v/>
      </c>
      <c r="P230" t="str">
        <f>IF($A230="","",IF($E230=1,$F230*$O230,PNL!G230))</f>
        <v/>
      </c>
      <c r="T230" t="str">
        <f t="shared" si="43"/>
        <v/>
      </c>
    </row>
    <row r="231" spans="1:20" x14ac:dyDescent="0.45">
      <c r="A231" t="str">
        <f>IF(PNL!A231="","",PNL!A231)</f>
        <v/>
      </c>
      <c r="B231" t="str">
        <f>IF(PNL!B231="","",PNL!B231)</f>
        <v/>
      </c>
      <c r="C231" t="str">
        <f>IF(PNL!C231="","",PNL!C231)</f>
        <v/>
      </c>
      <c r="D231" t="str">
        <f>IF(PNL!D231="","",PNL!D231)</f>
        <v/>
      </c>
      <c r="E231" t="str">
        <f t="shared" si="33"/>
        <v/>
      </c>
      <c r="F231" t="str">
        <f>IF($A231="","",IF($E231=1,SUMIFS(Compta!$F$1:$F$675,Compta!$A$1:$A$675,$A231,Compta!$B$1:$B$675,$B231,Compta!$C$1:$C$675,"2026"),0))</f>
        <v/>
      </c>
      <c r="G231" t="str">
        <f t="shared" si="34"/>
        <v/>
      </c>
      <c r="H231" t="str">
        <f t="shared" si="35"/>
        <v/>
      </c>
      <c r="I231" t="str">
        <f t="shared" si="36"/>
        <v/>
      </c>
      <c r="J231" t="str">
        <f t="shared" si="37"/>
        <v/>
      </c>
      <c r="K231" t="str">
        <f t="shared" si="38"/>
        <v/>
      </c>
      <c r="L231" t="str">
        <f t="shared" si="39"/>
        <v/>
      </c>
      <c r="M231" t="str">
        <f t="shared" si="40"/>
        <v/>
      </c>
      <c r="N231" t="str">
        <f t="shared" si="41"/>
        <v/>
      </c>
      <c r="O231" t="str">
        <f t="shared" si="42"/>
        <v/>
      </c>
      <c r="P231" t="str">
        <f>IF($A231="","",IF($E231=1,$F231*$O231,PNL!G231))</f>
        <v/>
      </c>
      <c r="T231" t="str">
        <f t="shared" si="43"/>
        <v/>
      </c>
    </row>
    <row r="232" spans="1:20" x14ac:dyDescent="0.45">
      <c r="A232" t="str">
        <f>IF(PNL!A232="","",PNL!A232)</f>
        <v/>
      </c>
      <c r="B232" t="str">
        <f>IF(PNL!B232="","",PNL!B232)</f>
        <v/>
      </c>
      <c r="C232" t="str">
        <f>IF(PNL!C232="","",PNL!C232)</f>
        <v/>
      </c>
      <c r="D232" t="str">
        <f>IF(PNL!D232="","",PNL!D232)</f>
        <v/>
      </c>
      <c r="E232" t="str">
        <f t="shared" si="33"/>
        <v/>
      </c>
      <c r="F232" t="str">
        <f>IF($A232="","",IF($E232=1,SUMIFS(Compta!$F$1:$F$675,Compta!$A$1:$A$675,$A232,Compta!$B$1:$B$675,$B232,Compta!$C$1:$C$675,"2026"),0))</f>
        <v/>
      </c>
      <c r="G232" t="str">
        <f t="shared" si="34"/>
        <v/>
      </c>
      <c r="H232" t="str">
        <f t="shared" si="35"/>
        <v/>
      </c>
      <c r="I232" t="str">
        <f t="shared" si="36"/>
        <v/>
      </c>
      <c r="J232" t="str">
        <f t="shared" si="37"/>
        <v/>
      </c>
      <c r="K232" t="str">
        <f t="shared" si="38"/>
        <v/>
      </c>
      <c r="L232" t="str">
        <f t="shared" si="39"/>
        <v/>
      </c>
      <c r="M232" t="str">
        <f t="shared" si="40"/>
        <v/>
      </c>
      <c r="N232" t="str">
        <f t="shared" si="41"/>
        <v/>
      </c>
      <c r="O232" t="str">
        <f t="shared" si="42"/>
        <v/>
      </c>
      <c r="P232" t="str">
        <f>IF($A232="","",IF($E232=1,$F232*$O232,PNL!G232))</f>
        <v/>
      </c>
      <c r="T232" t="str">
        <f t="shared" si="43"/>
        <v/>
      </c>
    </row>
    <row r="233" spans="1:20" x14ac:dyDescent="0.45">
      <c r="A233" t="str">
        <f>IF(PNL!A233="","",PNL!A233)</f>
        <v/>
      </c>
      <c r="B233" t="str">
        <f>IF(PNL!B233="","",PNL!B233)</f>
        <v/>
      </c>
      <c r="C233" t="str">
        <f>IF(PNL!C233="","",PNL!C233)</f>
        <v/>
      </c>
      <c r="D233" t="str">
        <f>IF(PNL!D233="","",PNL!D233)</f>
        <v/>
      </c>
      <c r="E233" t="str">
        <f t="shared" si="33"/>
        <v/>
      </c>
      <c r="F233" t="str">
        <f>IF($A233="","",IF($E233=1,SUMIFS(Compta!$F$1:$F$675,Compta!$A$1:$A$675,$A233,Compta!$B$1:$B$675,$B233,Compta!$C$1:$C$675,"2026"),0))</f>
        <v/>
      </c>
      <c r="G233" t="str">
        <f t="shared" si="34"/>
        <v/>
      </c>
      <c r="H233" t="str">
        <f t="shared" si="35"/>
        <v/>
      </c>
      <c r="I233" t="str">
        <f t="shared" si="36"/>
        <v/>
      </c>
      <c r="J233" t="str">
        <f t="shared" si="37"/>
        <v/>
      </c>
      <c r="K233" t="str">
        <f t="shared" si="38"/>
        <v/>
      </c>
      <c r="L233" t="str">
        <f t="shared" si="39"/>
        <v/>
      </c>
      <c r="M233" t="str">
        <f t="shared" si="40"/>
        <v/>
      </c>
      <c r="N233" t="str">
        <f t="shared" si="41"/>
        <v/>
      </c>
      <c r="O233" t="str">
        <f t="shared" si="42"/>
        <v/>
      </c>
      <c r="P233" t="str">
        <f>IF($A233="","",IF($E233=1,$F233*$O233,PNL!G233))</f>
        <v/>
      </c>
      <c r="T233" t="str">
        <f t="shared" si="43"/>
        <v/>
      </c>
    </row>
    <row r="234" spans="1:20" x14ac:dyDescent="0.45">
      <c r="A234" t="str">
        <f>IF(PNL!A234="","",PNL!A234)</f>
        <v/>
      </c>
      <c r="B234" t="str">
        <f>IF(PNL!B234="","",PNL!B234)</f>
        <v/>
      </c>
      <c r="C234" t="str">
        <f>IF(PNL!C234="","",PNL!C234)</f>
        <v/>
      </c>
      <c r="D234" t="str">
        <f>IF(PNL!D234="","",PNL!D234)</f>
        <v/>
      </c>
      <c r="E234" t="str">
        <f t="shared" si="33"/>
        <v/>
      </c>
      <c r="F234" t="str">
        <f>IF($A234="","",IF($E234=1,SUMIFS(Compta!$F$1:$F$675,Compta!$A$1:$A$675,$A234,Compta!$B$1:$B$675,$B234,Compta!$C$1:$C$675,"2026"),0))</f>
        <v/>
      </c>
      <c r="G234" t="str">
        <f t="shared" si="34"/>
        <v/>
      </c>
      <c r="H234" t="str">
        <f t="shared" si="35"/>
        <v/>
      </c>
      <c r="I234" t="str">
        <f t="shared" si="36"/>
        <v/>
      </c>
      <c r="J234" t="str">
        <f t="shared" si="37"/>
        <v/>
      </c>
      <c r="K234" t="str">
        <f t="shared" si="38"/>
        <v/>
      </c>
      <c r="L234" t="str">
        <f t="shared" si="39"/>
        <v/>
      </c>
      <c r="M234" t="str">
        <f t="shared" si="40"/>
        <v/>
      </c>
      <c r="N234" t="str">
        <f t="shared" si="41"/>
        <v/>
      </c>
      <c r="O234" t="str">
        <f t="shared" si="42"/>
        <v/>
      </c>
      <c r="P234" t="str">
        <f>IF($A234="","",IF($E234=1,$F234*$O234,PNL!G234))</f>
        <v/>
      </c>
      <c r="T234" t="str">
        <f t="shared" si="43"/>
        <v/>
      </c>
    </row>
    <row r="235" spans="1:20" x14ac:dyDescent="0.45">
      <c r="A235" t="str">
        <f>IF(PNL!A235="","",PNL!A235)</f>
        <v/>
      </c>
      <c r="B235" t="str">
        <f>IF(PNL!B235="","",PNL!B235)</f>
        <v/>
      </c>
      <c r="C235" t="str">
        <f>IF(PNL!C235="","",PNL!C235)</f>
        <v/>
      </c>
      <c r="D235" t="str">
        <f>IF(PNL!D235="","",PNL!D235)</f>
        <v/>
      </c>
      <c r="E235" t="str">
        <f t="shared" si="33"/>
        <v/>
      </c>
      <c r="F235" t="str">
        <f>IF($A235="","",IF($E235=1,SUMIFS(Compta!$F$1:$F$675,Compta!$A$1:$A$675,$A235,Compta!$B$1:$B$675,$B235,Compta!$C$1:$C$675,"2026"),0))</f>
        <v/>
      </c>
      <c r="G235" t="str">
        <f t="shared" si="34"/>
        <v/>
      </c>
      <c r="H235" t="str">
        <f t="shared" si="35"/>
        <v/>
      </c>
      <c r="I235" t="str">
        <f t="shared" si="36"/>
        <v/>
      </c>
      <c r="J235" t="str">
        <f t="shared" si="37"/>
        <v/>
      </c>
      <c r="K235" t="str">
        <f t="shared" si="38"/>
        <v/>
      </c>
      <c r="L235" t="str">
        <f t="shared" si="39"/>
        <v/>
      </c>
      <c r="M235" t="str">
        <f t="shared" si="40"/>
        <v/>
      </c>
      <c r="N235" t="str">
        <f t="shared" si="41"/>
        <v/>
      </c>
      <c r="O235" t="str">
        <f t="shared" si="42"/>
        <v/>
      </c>
      <c r="P235" t="str">
        <f>IF($A235="","",IF($E235=1,$F235*$O235,PNL!G235))</f>
        <v/>
      </c>
      <c r="T235" t="str">
        <f t="shared" si="43"/>
        <v/>
      </c>
    </row>
    <row r="236" spans="1:20" x14ac:dyDescent="0.45">
      <c r="A236" t="str">
        <f>IF(PNL!A236="","",PNL!A236)</f>
        <v/>
      </c>
      <c r="B236" t="str">
        <f>IF(PNL!B236="","",PNL!B236)</f>
        <v/>
      </c>
      <c r="C236" t="str">
        <f>IF(PNL!C236="","",PNL!C236)</f>
        <v/>
      </c>
      <c r="D236" t="str">
        <f>IF(PNL!D236="","",PNL!D236)</f>
        <v/>
      </c>
      <c r="E236" t="str">
        <f t="shared" si="33"/>
        <v/>
      </c>
      <c r="F236" t="str">
        <f>IF($A236="","",IF($E236=1,SUMIFS(Compta!$F$1:$F$675,Compta!$A$1:$A$675,$A236,Compta!$B$1:$B$675,$B236,Compta!$C$1:$C$675,"2026"),0))</f>
        <v/>
      </c>
      <c r="G236" t="str">
        <f t="shared" si="34"/>
        <v/>
      </c>
      <c r="H236" t="str">
        <f t="shared" si="35"/>
        <v/>
      </c>
      <c r="I236" t="str">
        <f t="shared" si="36"/>
        <v/>
      </c>
      <c r="J236" t="str">
        <f t="shared" si="37"/>
        <v/>
      </c>
      <c r="K236" t="str">
        <f t="shared" si="38"/>
        <v/>
      </c>
      <c r="L236" t="str">
        <f t="shared" si="39"/>
        <v/>
      </c>
      <c r="M236" t="str">
        <f t="shared" si="40"/>
        <v/>
      </c>
      <c r="N236" t="str">
        <f t="shared" si="41"/>
        <v/>
      </c>
      <c r="O236" t="str">
        <f t="shared" si="42"/>
        <v/>
      </c>
      <c r="P236" t="str">
        <f>IF($A236="","",IF($E236=1,$F236*$O236,PNL!G236))</f>
        <v/>
      </c>
      <c r="T236" t="str">
        <f t="shared" si="43"/>
        <v/>
      </c>
    </row>
    <row r="237" spans="1:20" x14ac:dyDescent="0.45">
      <c r="A237" t="str">
        <f>IF(PNL!A237="","",PNL!A237)</f>
        <v/>
      </c>
      <c r="B237" t="str">
        <f>IF(PNL!B237="","",PNL!B237)</f>
        <v/>
      </c>
      <c r="C237" t="str">
        <f>IF(PNL!C237="","",PNL!C237)</f>
        <v/>
      </c>
      <c r="D237" t="str">
        <f>IF(PNL!D237="","",PNL!D237)</f>
        <v/>
      </c>
      <c r="E237" t="str">
        <f t="shared" si="33"/>
        <v/>
      </c>
      <c r="F237" t="str">
        <f>IF($A237="","",IF($E237=1,SUMIFS(Compta!$F$1:$F$675,Compta!$A$1:$A$675,$A237,Compta!$B$1:$B$675,$B237,Compta!$C$1:$C$675,"2026"),0))</f>
        <v/>
      </c>
      <c r="G237" t="str">
        <f t="shared" si="34"/>
        <v/>
      </c>
      <c r="H237" t="str">
        <f t="shared" si="35"/>
        <v/>
      </c>
      <c r="I237" t="str">
        <f t="shared" si="36"/>
        <v/>
      </c>
      <c r="J237" t="str">
        <f t="shared" si="37"/>
        <v/>
      </c>
      <c r="K237" t="str">
        <f t="shared" si="38"/>
        <v/>
      </c>
      <c r="L237" t="str">
        <f t="shared" si="39"/>
        <v/>
      </c>
      <c r="M237" t="str">
        <f t="shared" si="40"/>
        <v/>
      </c>
      <c r="N237" t="str">
        <f t="shared" si="41"/>
        <v/>
      </c>
      <c r="O237" t="str">
        <f t="shared" si="42"/>
        <v/>
      </c>
      <c r="P237" t="str">
        <f>IF($A237="","",IF($E237=1,$F237*$O237,PNL!G237))</f>
        <v/>
      </c>
      <c r="T237" t="str">
        <f t="shared" si="43"/>
        <v/>
      </c>
    </row>
    <row r="238" spans="1:20" x14ac:dyDescent="0.45">
      <c r="A238" t="str">
        <f>IF(PNL!A238="","",PNL!A238)</f>
        <v/>
      </c>
      <c r="B238" t="str">
        <f>IF(PNL!B238="","",PNL!B238)</f>
        <v/>
      </c>
      <c r="C238" t="str">
        <f>IF(PNL!C238="","",PNL!C238)</f>
        <v/>
      </c>
      <c r="D238" t="str">
        <f>IF(PNL!D238="","",PNL!D238)</f>
        <v/>
      </c>
      <c r="E238" t="str">
        <f t="shared" si="33"/>
        <v/>
      </c>
      <c r="F238" t="str">
        <f>IF($A238="","",IF($E238=1,SUMIFS(Compta!$F$1:$F$675,Compta!$A$1:$A$675,$A238,Compta!$B$1:$B$675,$B238,Compta!$C$1:$C$675,"2026"),0))</f>
        <v/>
      </c>
      <c r="G238" t="str">
        <f t="shared" si="34"/>
        <v/>
      </c>
      <c r="H238" t="str">
        <f t="shared" si="35"/>
        <v/>
      </c>
      <c r="I238" t="str">
        <f t="shared" si="36"/>
        <v/>
      </c>
      <c r="J238" t="str">
        <f t="shared" si="37"/>
        <v/>
      </c>
      <c r="K238" t="str">
        <f t="shared" si="38"/>
        <v/>
      </c>
      <c r="L238" t="str">
        <f t="shared" si="39"/>
        <v/>
      </c>
      <c r="M238" t="str">
        <f t="shared" si="40"/>
        <v/>
      </c>
      <c r="N238" t="str">
        <f t="shared" si="41"/>
        <v/>
      </c>
      <c r="O238" t="str">
        <f t="shared" si="42"/>
        <v/>
      </c>
      <c r="P238" t="str">
        <f>IF($A238="","",IF($E238=1,$F238*$O238,PNL!G238))</f>
        <v/>
      </c>
      <c r="T238" t="str">
        <f t="shared" si="43"/>
        <v/>
      </c>
    </row>
    <row r="239" spans="1:20" x14ac:dyDescent="0.45">
      <c r="A239" t="str">
        <f>IF(PNL!A239="","",PNL!A239)</f>
        <v/>
      </c>
      <c r="B239" t="str">
        <f>IF(PNL!B239="","",PNL!B239)</f>
        <v/>
      </c>
      <c r="C239" t="str">
        <f>IF(PNL!C239="","",PNL!C239)</f>
        <v/>
      </c>
      <c r="D239" t="str">
        <f>IF(PNL!D239="","",PNL!D239)</f>
        <v/>
      </c>
      <c r="E239" t="str">
        <f t="shared" si="33"/>
        <v/>
      </c>
      <c r="F239" t="str">
        <f>IF($A239="","",IF($E239=1,SUMIFS(Compta!$F$1:$F$675,Compta!$A$1:$A$675,$A239,Compta!$B$1:$B$675,$B239,Compta!$C$1:$C$675,"2026"),0))</f>
        <v/>
      </c>
      <c r="G239" t="str">
        <f t="shared" si="34"/>
        <v/>
      </c>
      <c r="H239" t="str">
        <f t="shared" si="35"/>
        <v/>
      </c>
      <c r="I239" t="str">
        <f t="shared" si="36"/>
        <v/>
      </c>
      <c r="J239" t="str">
        <f t="shared" si="37"/>
        <v/>
      </c>
      <c r="K239" t="str">
        <f t="shared" si="38"/>
        <v/>
      </c>
      <c r="L239" t="str">
        <f t="shared" si="39"/>
        <v/>
      </c>
      <c r="M239" t="str">
        <f t="shared" si="40"/>
        <v/>
      </c>
      <c r="N239" t="str">
        <f t="shared" si="41"/>
        <v/>
      </c>
      <c r="O239" t="str">
        <f t="shared" si="42"/>
        <v/>
      </c>
      <c r="P239" t="str">
        <f>IF($A239="","",IF($E239=1,$F239*$O239,PNL!G239))</f>
        <v/>
      </c>
      <c r="T239" t="str">
        <f t="shared" si="43"/>
        <v/>
      </c>
    </row>
    <row r="240" spans="1:20" x14ac:dyDescent="0.45">
      <c r="A240" t="str">
        <f>IF(PNL!A240="","",PNL!A240)</f>
        <v/>
      </c>
      <c r="B240" t="str">
        <f>IF(PNL!B240="","",PNL!B240)</f>
        <v/>
      </c>
      <c r="C240" t="str">
        <f>IF(PNL!C240="","",PNL!C240)</f>
        <v/>
      </c>
      <c r="D240" t="str">
        <f>IF(PNL!D240="","",PNL!D240)</f>
        <v/>
      </c>
      <c r="E240" t="str">
        <f t="shared" si="33"/>
        <v/>
      </c>
      <c r="F240" t="str">
        <f>IF($A240="","",IF($E240=1,SUMIFS(Compta!$F$1:$F$675,Compta!$A$1:$A$675,$A240,Compta!$B$1:$B$675,$B240,Compta!$C$1:$C$675,"2026"),0))</f>
        <v/>
      </c>
      <c r="G240" t="str">
        <f t="shared" si="34"/>
        <v/>
      </c>
      <c r="H240" t="str">
        <f t="shared" si="35"/>
        <v/>
      </c>
      <c r="I240" t="str">
        <f t="shared" si="36"/>
        <v/>
      </c>
      <c r="J240" t="str">
        <f t="shared" si="37"/>
        <v/>
      </c>
      <c r="K240" t="str">
        <f t="shared" si="38"/>
        <v/>
      </c>
      <c r="L240" t="str">
        <f t="shared" si="39"/>
        <v/>
      </c>
      <c r="M240" t="str">
        <f t="shared" si="40"/>
        <v/>
      </c>
      <c r="N240" t="str">
        <f t="shared" si="41"/>
        <v/>
      </c>
      <c r="O240" t="str">
        <f t="shared" si="42"/>
        <v/>
      </c>
      <c r="P240" t="str">
        <f>IF($A240="","",IF($E240=1,$F240*$O240,PNL!G240))</f>
        <v/>
      </c>
      <c r="T240" t="str">
        <f t="shared" si="43"/>
        <v/>
      </c>
    </row>
    <row r="241" spans="1:20" x14ac:dyDescent="0.45">
      <c r="A241" t="str">
        <f>IF(PNL!A241="","",PNL!A241)</f>
        <v/>
      </c>
      <c r="B241" t="str">
        <f>IF(PNL!B241="","",PNL!B241)</f>
        <v/>
      </c>
      <c r="C241" t="str">
        <f>IF(PNL!C241="","",PNL!C241)</f>
        <v/>
      </c>
      <c r="D241" t="str">
        <f>IF(PNL!D241="","",PNL!D241)</f>
        <v/>
      </c>
      <c r="E241" t="str">
        <f t="shared" si="33"/>
        <v/>
      </c>
      <c r="F241" t="str">
        <f>IF($A241="","",IF($E241=1,SUMIFS(Compta!$F$1:$F$675,Compta!$A$1:$A$675,$A241,Compta!$B$1:$B$675,$B241,Compta!$C$1:$C$675,"2026"),0))</f>
        <v/>
      </c>
      <c r="G241" t="str">
        <f t="shared" si="34"/>
        <v/>
      </c>
      <c r="H241" t="str">
        <f t="shared" si="35"/>
        <v/>
      </c>
      <c r="I241" t="str">
        <f t="shared" si="36"/>
        <v/>
      </c>
      <c r="J241" t="str">
        <f t="shared" si="37"/>
        <v/>
      </c>
      <c r="K241" t="str">
        <f t="shared" si="38"/>
        <v/>
      </c>
      <c r="L241" t="str">
        <f t="shared" si="39"/>
        <v/>
      </c>
      <c r="M241" t="str">
        <f t="shared" si="40"/>
        <v/>
      </c>
      <c r="N241" t="str">
        <f t="shared" si="41"/>
        <v/>
      </c>
      <c r="O241" t="str">
        <f t="shared" si="42"/>
        <v/>
      </c>
      <c r="P241" t="str">
        <f>IF($A241="","",IF($E241=1,$F241*$O241,PNL!G241))</f>
        <v/>
      </c>
      <c r="T241" t="str">
        <f t="shared" si="43"/>
        <v/>
      </c>
    </row>
    <row r="242" spans="1:20" x14ac:dyDescent="0.45">
      <c r="A242" t="str">
        <f>IF(PNL!A242="","",PNL!A242)</f>
        <v/>
      </c>
      <c r="B242" t="str">
        <f>IF(PNL!B242="","",PNL!B242)</f>
        <v/>
      </c>
      <c r="C242" t="str">
        <f>IF(PNL!C242="","",PNL!C242)</f>
        <v/>
      </c>
      <c r="D242" t="str">
        <f>IF(PNL!D242="","",PNL!D242)</f>
        <v/>
      </c>
      <c r="E242" t="str">
        <f t="shared" si="33"/>
        <v/>
      </c>
      <c r="F242" t="str">
        <f>IF($A242="","",IF($E242=1,SUMIFS(Compta!$F$1:$F$675,Compta!$A$1:$A$675,$A242,Compta!$B$1:$B$675,$B242,Compta!$C$1:$C$675,"2026"),0))</f>
        <v/>
      </c>
      <c r="G242" t="str">
        <f t="shared" si="34"/>
        <v/>
      </c>
      <c r="H242" t="str">
        <f t="shared" si="35"/>
        <v/>
      </c>
      <c r="I242" t="str">
        <f t="shared" si="36"/>
        <v/>
      </c>
      <c r="J242" t="str">
        <f t="shared" si="37"/>
        <v/>
      </c>
      <c r="K242" t="str">
        <f t="shared" si="38"/>
        <v/>
      </c>
      <c r="L242" t="str">
        <f t="shared" si="39"/>
        <v/>
      </c>
      <c r="M242" t="str">
        <f t="shared" si="40"/>
        <v/>
      </c>
      <c r="N242" t="str">
        <f t="shared" si="41"/>
        <v/>
      </c>
      <c r="O242" t="str">
        <f t="shared" si="42"/>
        <v/>
      </c>
      <c r="P242" t="str">
        <f>IF($A242="","",IF($E242=1,$F242*$O242,PNL!G242))</f>
        <v/>
      </c>
      <c r="T242" t="str">
        <f t="shared" si="43"/>
        <v/>
      </c>
    </row>
    <row r="243" spans="1:20" x14ac:dyDescent="0.45">
      <c r="A243" t="str">
        <f>IF(PNL!A243="","",PNL!A243)</f>
        <v/>
      </c>
      <c r="B243" t="str">
        <f>IF(PNL!B243="","",PNL!B243)</f>
        <v/>
      </c>
      <c r="C243" t="str">
        <f>IF(PNL!C243="","",PNL!C243)</f>
        <v/>
      </c>
      <c r="D243" t="str">
        <f>IF(PNL!D243="","",PNL!D243)</f>
        <v/>
      </c>
      <c r="E243" t="str">
        <f t="shared" si="33"/>
        <v/>
      </c>
      <c r="F243" t="str">
        <f>IF($A243="","",IF($E243=1,SUMIFS(Compta!$F$1:$F$675,Compta!$A$1:$A$675,$A243,Compta!$B$1:$B$675,$B243,Compta!$C$1:$C$675,"2026"),0))</f>
        <v/>
      </c>
      <c r="G243" t="str">
        <f t="shared" si="34"/>
        <v/>
      </c>
      <c r="H243" t="str">
        <f t="shared" si="35"/>
        <v/>
      </c>
      <c r="I243" t="str">
        <f t="shared" si="36"/>
        <v/>
      </c>
      <c r="J243" t="str">
        <f t="shared" si="37"/>
        <v/>
      </c>
      <c r="K243" t="str">
        <f t="shared" si="38"/>
        <v/>
      </c>
      <c r="L243" t="str">
        <f t="shared" si="39"/>
        <v/>
      </c>
      <c r="M243" t="str">
        <f t="shared" si="40"/>
        <v/>
      </c>
      <c r="N243" t="str">
        <f t="shared" si="41"/>
        <v/>
      </c>
      <c r="O243" t="str">
        <f t="shared" si="42"/>
        <v/>
      </c>
      <c r="P243" t="str">
        <f>IF($A243="","",IF($E243=1,$F243*$O243,PNL!G243))</f>
        <v/>
      </c>
      <c r="T243" t="str">
        <f t="shared" si="43"/>
        <v/>
      </c>
    </row>
    <row r="244" spans="1:20" x14ac:dyDescent="0.45">
      <c r="A244" t="str">
        <f>IF(PNL!A244="","",PNL!A244)</f>
        <v/>
      </c>
      <c r="B244" t="str">
        <f>IF(PNL!B244="","",PNL!B244)</f>
        <v/>
      </c>
      <c r="C244" t="str">
        <f>IF(PNL!C244="","",PNL!C244)</f>
        <v/>
      </c>
      <c r="D244" t="str">
        <f>IF(PNL!D244="","",PNL!D244)</f>
        <v/>
      </c>
      <c r="E244" t="str">
        <f t="shared" si="33"/>
        <v/>
      </c>
      <c r="F244" t="str">
        <f>IF($A244="","",IF($E244=1,SUMIFS(Compta!$F$1:$F$675,Compta!$A$1:$A$675,$A244,Compta!$B$1:$B$675,$B244,Compta!$C$1:$C$675,"2026"),0))</f>
        <v/>
      </c>
      <c r="G244" t="str">
        <f t="shared" si="34"/>
        <v/>
      </c>
      <c r="H244" t="str">
        <f t="shared" si="35"/>
        <v/>
      </c>
      <c r="I244" t="str">
        <f t="shared" si="36"/>
        <v/>
      </c>
      <c r="J244" t="str">
        <f t="shared" si="37"/>
        <v/>
      </c>
      <c r="K244" t="str">
        <f t="shared" si="38"/>
        <v/>
      </c>
      <c r="L244" t="str">
        <f t="shared" si="39"/>
        <v/>
      </c>
      <c r="M244" t="str">
        <f t="shared" si="40"/>
        <v/>
      </c>
      <c r="N244" t="str">
        <f t="shared" si="41"/>
        <v/>
      </c>
      <c r="O244" t="str">
        <f t="shared" si="42"/>
        <v/>
      </c>
      <c r="P244" t="str">
        <f>IF($A244="","",IF($E244=1,$F244*$O244,PNL!G244))</f>
        <v/>
      </c>
      <c r="T244" t="str">
        <f t="shared" si="43"/>
        <v/>
      </c>
    </row>
    <row r="245" spans="1:20" x14ac:dyDescent="0.45">
      <c r="A245" t="str">
        <f>IF(PNL!A245="","",PNL!A245)</f>
        <v/>
      </c>
      <c r="B245" t="str">
        <f>IF(PNL!B245="","",PNL!B245)</f>
        <v/>
      </c>
      <c r="C245" t="str">
        <f>IF(PNL!C245="","",PNL!C245)</f>
        <v/>
      </c>
      <c r="D245" t="str">
        <f>IF(PNL!D245="","",PNL!D245)</f>
        <v/>
      </c>
      <c r="E245" t="str">
        <f t="shared" si="33"/>
        <v/>
      </c>
      <c r="F245" t="str">
        <f>IF($A245="","",IF($E245=1,SUMIFS(Compta!$F$1:$F$675,Compta!$A$1:$A$675,$A245,Compta!$B$1:$B$675,$B245,Compta!$C$1:$C$675,"2026"),0))</f>
        <v/>
      </c>
      <c r="G245" t="str">
        <f t="shared" si="34"/>
        <v/>
      </c>
      <c r="H245" t="str">
        <f t="shared" si="35"/>
        <v/>
      </c>
      <c r="I245" t="str">
        <f t="shared" si="36"/>
        <v/>
      </c>
      <c r="J245" t="str">
        <f t="shared" si="37"/>
        <v/>
      </c>
      <c r="K245" t="str">
        <f t="shared" si="38"/>
        <v/>
      </c>
      <c r="L245" t="str">
        <f t="shared" si="39"/>
        <v/>
      </c>
      <c r="M245" t="str">
        <f t="shared" si="40"/>
        <v/>
      </c>
      <c r="N245" t="str">
        <f t="shared" si="41"/>
        <v/>
      </c>
      <c r="O245" t="str">
        <f t="shared" si="42"/>
        <v/>
      </c>
      <c r="P245" t="str">
        <f>IF($A245="","",IF($E245=1,$F245*$O245,PNL!G245))</f>
        <v/>
      </c>
      <c r="T245" t="str">
        <f t="shared" si="43"/>
        <v/>
      </c>
    </row>
    <row r="246" spans="1:20" x14ac:dyDescent="0.45">
      <c r="A246" t="str">
        <f>IF(PNL!A246="","",PNL!A246)</f>
        <v/>
      </c>
      <c r="B246" t="str">
        <f>IF(PNL!B246="","",PNL!B246)</f>
        <v/>
      </c>
      <c r="C246" t="str">
        <f>IF(PNL!C246="","",PNL!C246)</f>
        <v/>
      </c>
      <c r="D246" t="str">
        <f>IF(PNL!D246="","",PNL!D246)</f>
        <v/>
      </c>
      <c r="E246" t="str">
        <f t="shared" si="33"/>
        <v/>
      </c>
      <c r="F246" t="str">
        <f>IF($A246="","",IF($E246=1,SUMIFS(Compta!$F$1:$F$675,Compta!$A$1:$A$675,$A246,Compta!$B$1:$B$675,$B246,Compta!$C$1:$C$675,"2026"),0))</f>
        <v/>
      </c>
      <c r="G246" t="str">
        <f t="shared" si="34"/>
        <v/>
      </c>
      <c r="H246" t="str">
        <f t="shared" si="35"/>
        <v/>
      </c>
      <c r="I246" t="str">
        <f t="shared" si="36"/>
        <v/>
      </c>
      <c r="J246" t="str">
        <f t="shared" si="37"/>
        <v/>
      </c>
      <c r="K246" t="str">
        <f t="shared" si="38"/>
        <v/>
      </c>
      <c r="L246" t="str">
        <f t="shared" si="39"/>
        <v/>
      </c>
      <c r="M246" t="str">
        <f t="shared" si="40"/>
        <v/>
      </c>
      <c r="N246" t="str">
        <f t="shared" si="41"/>
        <v/>
      </c>
      <c r="O246" t="str">
        <f t="shared" si="42"/>
        <v/>
      </c>
      <c r="P246" t="str">
        <f>IF($A246="","",IF($E246=1,$F246*$O246,PNL!G246))</f>
        <v/>
      </c>
      <c r="T246" t="str">
        <f t="shared" si="43"/>
        <v/>
      </c>
    </row>
    <row r="247" spans="1:20" x14ac:dyDescent="0.45">
      <c r="A247" t="str">
        <f>IF(PNL!A247="","",PNL!A247)</f>
        <v/>
      </c>
      <c r="B247" t="str">
        <f>IF(PNL!B247="","",PNL!B247)</f>
        <v/>
      </c>
      <c r="C247" t="str">
        <f>IF(PNL!C247="","",PNL!C247)</f>
        <v/>
      </c>
      <c r="D247" t="str">
        <f>IF(PNL!D247="","",PNL!D247)</f>
        <v/>
      </c>
      <c r="E247" t="str">
        <f t="shared" si="33"/>
        <v/>
      </c>
      <c r="F247" t="str">
        <f>IF($A247="","",IF($E247=1,SUMIFS(Compta!$F$1:$F$675,Compta!$A$1:$A$675,$A247,Compta!$B$1:$B$675,$B247,Compta!$C$1:$C$675,"2026"),0))</f>
        <v/>
      </c>
      <c r="G247" t="str">
        <f t="shared" si="34"/>
        <v/>
      </c>
      <c r="H247" t="str">
        <f t="shared" si="35"/>
        <v/>
      </c>
      <c r="I247" t="str">
        <f t="shared" si="36"/>
        <v/>
      </c>
      <c r="J247" t="str">
        <f t="shared" si="37"/>
        <v/>
      </c>
      <c r="K247" t="str">
        <f t="shared" si="38"/>
        <v/>
      </c>
      <c r="L247" t="str">
        <f t="shared" si="39"/>
        <v/>
      </c>
      <c r="M247" t="str">
        <f t="shared" si="40"/>
        <v/>
      </c>
      <c r="N247" t="str">
        <f t="shared" si="41"/>
        <v/>
      </c>
      <c r="O247" t="str">
        <f t="shared" si="42"/>
        <v/>
      </c>
      <c r="P247" t="str">
        <f>IF($A247="","",IF($E247=1,$F247*$O247,PNL!G247))</f>
        <v/>
      </c>
      <c r="T247" t="str">
        <f t="shared" si="43"/>
        <v/>
      </c>
    </row>
    <row r="248" spans="1:20" x14ac:dyDescent="0.45">
      <c r="A248" t="str">
        <f>IF(PNL!A248="","",PNL!A248)</f>
        <v/>
      </c>
      <c r="B248" t="str">
        <f>IF(PNL!B248="","",PNL!B248)</f>
        <v/>
      </c>
      <c r="C248" t="str">
        <f>IF(PNL!C248="","",PNL!C248)</f>
        <v/>
      </c>
      <c r="D248" t="str">
        <f>IF(PNL!D248="","",PNL!D248)</f>
        <v/>
      </c>
      <c r="E248" t="str">
        <f t="shared" si="33"/>
        <v/>
      </c>
      <c r="F248" t="str">
        <f>IF($A248="","",IF($E248=1,SUMIFS(Compta!$F$1:$F$675,Compta!$A$1:$A$675,$A248,Compta!$B$1:$B$675,$B248,Compta!$C$1:$C$675,"2026"),0))</f>
        <v/>
      </c>
      <c r="G248" t="str">
        <f t="shared" si="34"/>
        <v/>
      </c>
      <c r="H248" t="str">
        <f t="shared" si="35"/>
        <v/>
      </c>
      <c r="I248" t="str">
        <f t="shared" si="36"/>
        <v/>
      </c>
      <c r="J248" t="str">
        <f t="shared" si="37"/>
        <v/>
      </c>
      <c r="K248" t="str">
        <f t="shared" si="38"/>
        <v/>
      </c>
      <c r="L248" t="str">
        <f t="shared" si="39"/>
        <v/>
      </c>
      <c r="M248" t="str">
        <f t="shared" si="40"/>
        <v/>
      </c>
      <c r="N248" t="str">
        <f t="shared" si="41"/>
        <v/>
      </c>
      <c r="O248" t="str">
        <f t="shared" si="42"/>
        <v/>
      </c>
      <c r="P248" t="str">
        <f>IF($A248="","",IF($E248=1,$F248*$O248,PNL!G248))</f>
        <v/>
      </c>
      <c r="T248" t="str">
        <f t="shared" si="43"/>
        <v/>
      </c>
    </row>
    <row r="249" spans="1:20" x14ac:dyDescent="0.45">
      <c r="A249" t="str">
        <f>IF(PNL!A249="","",PNL!A249)</f>
        <v/>
      </c>
      <c r="B249" t="str">
        <f>IF(PNL!B249="","",PNL!B249)</f>
        <v/>
      </c>
      <c r="C249" t="str">
        <f>IF(PNL!C249="","",PNL!C249)</f>
        <v/>
      </c>
      <c r="D249" t="str">
        <f>IF(PNL!D249="","",PNL!D249)</f>
        <v/>
      </c>
      <c r="E249" t="str">
        <f t="shared" si="33"/>
        <v/>
      </c>
      <c r="F249" t="str">
        <f>IF($A249="","",IF($E249=1,SUMIFS(Compta!$F$1:$F$675,Compta!$A$1:$A$675,$A249,Compta!$B$1:$B$675,$B249,Compta!$C$1:$C$675,"2026"),0))</f>
        <v/>
      </c>
      <c r="G249" t="str">
        <f t="shared" si="34"/>
        <v/>
      </c>
      <c r="H249" t="str">
        <f t="shared" si="35"/>
        <v/>
      </c>
      <c r="I249" t="str">
        <f t="shared" si="36"/>
        <v/>
      </c>
      <c r="J249" t="str">
        <f t="shared" si="37"/>
        <v/>
      </c>
      <c r="K249" t="str">
        <f t="shared" si="38"/>
        <v/>
      </c>
      <c r="L249" t="str">
        <f t="shared" si="39"/>
        <v/>
      </c>
      <c r="M249" t="str">
        <f t="shared" si="40"/>
        <v/>
      </c>
      <c r="N249" t="str">
        <f t="shared" si="41"/>
        <v/>
      </c>
      <c r="O249" t="str">
        <f t="shared" si="42"/>
        <v/>
      </c>
      <c r="P249" t="str">
        <f>IF($A249="","",IF($E249=1,$F249*$O249,PNL!G249))</f>
        <v/>
      </c>
      <c r="T249" t="str">
        <f t="shared" si="43"/>
        <v/>
      </c>
    </row>
    <row r="250" spans="1:20" x14ac:dyDescent="0.45">
      <c r="A250" t="str">
        <f>IF(PNL!A250="","",PNL!A250)</f>
        <v/>
      </c>
      <c r="B250" t="str">
        <f>IF(PNL!B250="","",PNL!B250)</f>
        <v/>
      </c>
      <c r="C250" t="str">
        <f>IF(PNL!C250="","",PNL!C250)</f>
        <v/>
      </c>
      <c r="D250" t="str">
        <f>IF(PNL!D250="","",PNL!D250)</f>
        <v/>
      </c>
      <c r="E250" t="str">
        <f t="shared" si="33"/>
        <v/>
      </c>
      <c r="F250" t="str">
        <f>IF($A250="","",IF($E250=1,SUMIFS(Compta!$F$1:$F$675,Compta!$A$1:$A$675,$A250,Compta!$B$1:$B$675,$B250,Compta!$C$1:$C$675,"2026"),0))</f>
        <v/>
      </c>
      <c r="G250" t="str">
        <f t="shared" si="34"/>
        <v/>
      </c>
      <c r="H250" t="str">
        <f t="shared" si="35"/>
        <v/>
      </c>
      <c r="I250" t="str">
        <f t="shared" si="36"/>
        <v/>
      </c>
      <c r="J250" t="str">
        <f t="shared" si="37"/>
        <v/>
      </c>
      <c r="K250" t="str">
        <f t="shared" si="38"/>
        <v/>
      </c>
      <c r="L250" t="str">
        <f t="shared" si="39"/>
        <v/>
      </c>
      <c r="M250" t="str">
        <f t="shared" si="40"/>
        <v/>
      </c>
      <c r="N250" t="str">
        <f t="shared" si="41"/>
        <v/>
      </c>
      <c r="O250" t="str">
        <f t="shared" si="42"/>
        <v/>
      </c>
      <c r="P250" t="str">
        <f>IF($A250="","",IF($E250=1,$F250*$O250,PNL!G250))</f>
        <v/>
      </c>
      <c r="T250" t="str">
        <f t="shared" si="43"/>
        <v/>
      </c>
    </row>
    <row r="251" spans="1:20" x14ac:dyDescent="0.45">
      <c r="A251" t="str">
        <f>IF(PNL!A251="","",PNL!A251)</f>
        <v/>
      </c>
      <c r="B251" t="str">
        <f>IF(PNL!B251="","",PNL!B251)</f>
        <v/>
      </c>
      <c r="C251" t="str">
        <f>IF(PNL!C251="","",PNL!C251)</f>
        <v/>
      </c>
      <c r="D251" t="str">
        <f>IF(PNL!D251="","",PNL!D251)</f>
        <v/>
      </c>
      <c r="E251" t="str">
        <f t="shared" si="33"/>
        <v/>
      </c>
      <c r="F251" t="str">
        <f>IF($A251="","",IF($E251=1,SUMIFS(Compta!$F$1:$F$675,Compta!$A$1:$A$675,$A251,Compta!$B$1:$B$675,$B251,Compta!$C$1:$C$675,"2026"),0))</f>
        <v/>
      </c>
      <c r="G251" t="str">
        <f t="shared" si="34"/>
        <v/>
      </c>
      <c r="H251" t="str">
        <f t="shared" si="35"/>
        <v/>
      </c>
      <c r="I251" t="str">
        <f t="shared" si="36"/>
        <v/>
      </c>
      <c r="J251" t="str">
        <f t="shared" si="37"/>
        <v/>
      </c>
      <c r="K251" t="str">
        <f t="shared" si="38"/>
        <v/>
      </c>
      <c r="L251" t="str">
        <f t="shared" si="39"/>
        <v/>
      </c>
      <c r="M251" t="str">
        <f t="shared" si="40"/>
        <v/>
      </c>
      <c r="N251" t="str">
        <f t="shared" si="41"/>
        <v/>
      </c>
      <c r="O251" t="str">
        <f t="shared" si="42"/>
        <v/>
      </c>
      <c r="P251" t="str">
        <f>IF($A251="","",IF($E251=1,$F251*$O251,PNL!G251))</f>
        <v/>
      </c>
      <c r="T251" t="str">
        <f t="shared" si="43"/>
        <v/>
      </c>
    </row>
    <row r="252" spans="1:20" x14ac:dyDescent="0.45">
      <c r="A252" t="str">
        <f>IF(PNL!A252="","",PNL!A252)</f>
        <v/>
      </c>
      <c r="B252" t="str">
        <f>IF(PNL!B252="","",PNL!B252)</f>
        <v/>
      </c>
      <c r="C252" t="str">
        <f>IF(PNL!C252="","",PNL!C252)</f>
        <v/>
      </c>
      <c r="D252" t="str">
        <f>IF(PNL!D252="","",PNL!D252)</f>
        <v/>
      </c>
      <c r="E252" t="str">
        <f t="shared" si="33"/>
        <v/>
      </c>
      <c r="F252" t="str">
        <f>IF($A252="","",IF($E252=1,SUMIFS(Compta!$F$1:$F$675,Compta!$A$1:$A$675,$A252,Compta!$B$1:$B$675,$B252,Compta!$C$1:$C$675,"2026"),0))</f>
        <v/>
      </c>
      <c r="G252" t="str">
        <f t="shared" si="34"/>
        <v/>
      </c>
      <c r="H252" t="str">
        <f t="shared" si="35"/>
        <v/>
      </c>
      <c r="I252" t="str">
        <f t="shared" si="36"/>
        <v/>
      </c>
      <c r="J252" t="str">
        <f t="shared" si="37"/>
        <v/>
      </c>
      <c r="K252" t="str">
        <f t="shared" si="38"/>
        <v/>
      </c>
      <c r="L252" t="str">
        <f t="shared" si="39"/>
        <v/>
      </c>
      <c r="M252" t="str">
        <f t="shared" si="40"/>
        <v/>
      </c>
      <c r="N252" t="str">
        <f t="shared" si="41"/>
        <v/>
      </c>
      <c r="O252" t="str">
        <f t="shared" si="42"/>
        <v/>
      </c>
      <c r="P252" t="str">
        <f>IF($A252="","",IF($E252=1,$F252*$O252,PNL!G252))</f>
        <v/>
      </c>
      <c r="T252" t="str">
        <f t="shared" si="43"/>
        <v/>
      </c>
    </row>
    <row r="253" spans="1:20" x14ac:dyDescent="0.45">
      <c r="A253" t="str">
        <f>IF(PNL!A253="","",PNL!A253)</f>
        <v/>
      </c>
      <c r="B253" t="str">
        <f>IF(PNL!B253="","",PNL!B253)</f>
        <v/>
      </c>
      <c r="C253" t="str">
        <f>IF(PNL!C253="","",PNL!C253)</f>
        <v/>
      </c>
      <c r="D253" t="str">
        <f>IF(PNL!D253="","",PNL!D253)</f>
        <v/>
      </c>
      <c r="E253" t="str">
        <f t="shared" si="33"/>
        <v/>
      </c>
      <c r="F253" t="str">
        <f>IF($A253="","",IF($E253=1,SUMIFS(Compta!$F$1:$F$675,Compta!$A$1:$A$675,$A253,Compta!$B$1:$B$675,$B253,Compta!$C$1:$C$675,"2026"),0))</f>
        <v/>
      </c>
      <c r="G253" t="str">
        <f t="shared" si="34"/>
        <v/>
      </c>
      <c r="H253" t="str">
        <f t="shared" si="35"/>
        <v/>
      </c>
      <c r="I253" t="str">
        <f t="shared" si="36"/>
        <v/>
      </c>
      <c r="J253" t="str">
        <f t="shared" si="37"/>
        <v/>
      </c>
      <c r="K253" t="str">
        <f t="shared" si="38"/>
        <v/>
      </c>
      <c r="L253" t="str">
        <f t="shared" si="39"/>
        <v/>
      </c>
      <c r="M253" t="str">
        <f t="shared" si="40"/>
        <v/>
      </c>
      <c r="N253" t="str">
        <f t="shared" si="41"/>
        <v/>
      </c>
      <c r="O253" t="str">
        <f t="shared" si="42"/>
        <v/>
      </c>
      <c r="P253" t="str">
        <f>IF($A253="","",IF($E253=1,$F253*$O253,PNL!G253))</f>
        <v/>
      </c>
      <c r="T253" t="str">
        <f t="shared" si="43"/>
        <v/>
      </c>
    </row>
    <row r="254" spans="1:20" x14ac:dyDescent="0.45">
      <c r="A254" t="str">
        <f>IF(PNL!A254="","",PNL!A254)</f>
        <v/>
      </c>
      <c r="B254" t="str">
        <f>IF(PNL!B254="","",PNL!B254)</f>
        <v/>
      </c>
      <c r="C254" t="str">
        <f>IF(PNL!C254="","",PNL!C254)</f>
        <v/>
      </c>
      <c r="D254" t="str">
        <f>IF(PNL!D254="","",PNL!D254)</f>
        <v/>
      </c>
      <c r="E254" t="str">
        <f t="shared" si="33"/>
        <v/>
      </c>
      <c r="F254" t="str">
        <f>IF($A254="","",IF($E254=1,SUMIFS(Compta!$F$1:$F$675,Compta!$A$1:$A$675,$A254,Compta!$B$1:$B$675,$B254,Compta!$C$1:$C$675,"2026"),0))</f>
        <v/>
      </c>
      <c r="G254" t="str">
        <f t="shared" si="34"/>
        <v/>
      </c>
      <c r="H254" t="str">
        <f t="shared" si="35"/>
        <v/>
      </c>
      <c r="I254" t="str">
        <f t="shared" si="36"/>
        <v/>
      </c>
      <c r="J254" t="str">
        <f t="shared" si="37"/>
        <v/>
      </c>
      <c r="K254" t="str">
        <f t="shared" si="38"/>
        <v/>
      </c>
      <c r="L254" t="str">
        <f t="shared" si="39"/>
        <v/>
      </c>
      <c r="M254" t="str">
        <f t="shared" si="40"/>
        <v/>
      </c>
      <c r="N254" t="str">
        <f t="shared" si="41"/>
        <v/>
      </c>
      <c r="O254" t="str">
        <f t="shared" si="42"/>
        <v/>
      </c>
      <c r="P254" t="str">
        <f>IF($A254="","",IF($E254=1,$F254*$O254,PNL!G254))</f>
        <v/>
      </c>
      <c r="T254" t="str">
        <f t="shared" si="43"/>
        <v/>
      </c>
    </row>
    <row r="255" spans="1:20" x14ac:dyDescent="0.45">
      <c r="A255" t="str">
        <f>IF(PNL!A255="","",PNL!A255)</f>
        <v/>
      </c>
      <c r="B255" t="str">
        <f>IF(PNL!B255="","",PNL!B255)</f>
        <v/>
      </c>
      <c r="C255" t="str">
        <f>IF(PNL!C255="","",PNL!C255)</f>
        <v/>
      </c>
      <c r="D255" t="str">
        <f>IF(PNL!D255="","",PNL!D255)</f>
        <v/>
      </c>
      <c r="E255" t="str">
        <f t="shared" si="33"/>
        <v/>
      </c>
      <c r="F255" t="str">
        <f>IF($A255="","",IF($E255=1,SUMIFS(Compta!$F$1:$F$675,Compta!$A$1:$A$675,$A255,Compta!$B$1:$B$675,$B255,Compta!$C$1:$C$675,"2026"),0))</f>
        <v/>
      </c>
      <c r="G255" t="str">
        <f t="shared" si="34"/>
        <v/>
      </c>
      <c r="H255" t="str">
        <f t="shared" si="35"/>
        <v/>
      </c>
      <c r="I255" t="str">
        <f t="shared" si="36"/>
        <v/>
      </c>
      <c r="J255" t="str">
        <f t="shared" si="37"/>
        <v/>
      </c>
      <c r="K255" t="str">
        <f t="shared" si="38"/>
        <v/>
      </c>
      <c r="L255" t="str">
        <f t="shared" si="39"/>
        <v/>
      </c>
      <c r="M255" t="str">
        <f t="shared" si="40"/>
        <v/>
      </c>
      <c r="N255" t="str">
        <f t="shared" si="41"/>
        <v/>
      </c>
      <c r="O255" t="str">
        <f t="shared" si="42"/>
        <v/>
      </c>
      <c r="P255" t="str">
        <f>IF($A255="","",IF($E255=1,$F255*$O255,PNL!G255))</f>
        <v/>
      </c>
      <c r="T255" t="str">
        <f t="shared" si="43"/>
        <v/>
      </c>
    </row>
    <row r="256" spans="1:20" x14ac:dyDescent="0.45">
      <c r="A256" t="str">
        <f>IF(PNL!A256="","",PNL!A256)</f>
        <v/>
      </c>
      <c r="B256" t="str">
        <f>IF(PNL!B256="","",PNL!B256)</f>
        <v/>
      </c>
      <c r="C256" t="str">
        <f>IF(PNL!C256="","",PNL!C256)</f>
        <v/>
      </c>
      <c r="D256" t="str">
        <f>IF(PNL!D256="","",PNL!D256)</f>
        <v/>
      </c>
      <c r="E256" t="str">
        <f t="shared" si="33"/>
        <v/>
      </c>
      <c r="F256" t="str">
        <f>IF($A256="","",IF($E256=1,SUMIFS(Compta!$F$1:$F$675,Compta!$A$1:$A$675,$A256,Compta!$B$1:$B$675,$B256,Compta!$C$1:$C$675,"2026"),0))</f>
        <v/>
      </c>
      <c r="G256" t="str">
        <f t="shared" si="34"/>
        <v/>
      </c>
      <c r="H256" t="str">
        <f t="shared" si="35"/>
        <v/>
      </c>
      <c r="I256" t="str">
        <f t="shared" si="36"/>
        <v/>
      </c>
      <c r="J256" t="str">
        <f t="shared" si="37"/>
        <v/>
      </c>
      <c r="K256" t="str">
        <f t="shared" si="38"/>
        <v/>
      </c>
      <c r="L256" t="str">
        <f t="shared" si="39"/>
        <v/>
      </c>
      <c r="M256" t="str">
        <f t="shared" si="40"/>
        <v/>
      </c>
      <c r="N256" t="str">
        <f t="shared" si="41"/>
        <v/>
      </c>
      <c r="O256" t="str">
        <f t="shared" si="42"/>
        <v/>
      </c>
      <c r="P256" t="str">
        <f>IF($A256="","",IF($E256=1,$F256*$O256,PNL!G256))</f>
        <v/>
      </c>
      <c r="T256" t="str">
        <f t="shared" si="43"/>
        <v/>
      </c>
    </row>
    <row r="257" spans="1:20" x14ac:dyDescent="0.45">
      <c r="A257" t="str">
        <f>IF(PNL!A257="","",PNL!A257)</f>
        <v/>
      </c>
      <c r="B257" t="str">
        <f>IF(PNL!B257="","",PNL!B257)</f>
        <v/>
      </c>
      <c r="C257" t="str">
        <f>IF(PNL!C257="","",PNL!C257)</f>
        <v/>
      </c>
      <c r="D257" t="str">
        <f>IF(PNL!D257="","",PNL!D257)</f>
        <v/>
      </c>
      <c r="E257" t="str">
        <f t="shared" si="33"/>
        <v/>
      </c>
      <c r="F257" t="str">
        <f>IF($A257="","",IF($E257=1,SUMIFS(Compta!$F$1:$F$675,Compta!$A$1:$A$675,$A257,Compta!$B$1:$B$675,$B257,Compta!$C$1:$C$675,"2026"),0))</f>
        <v/>
      </c>
      <c r="G257" t="str">
        <f t="shared" si="34"/>
        <v/>
      </c>
      <c r="H257" t="str">
        <f t="shared" si="35"/>
        <v/>
      </c>
      <c r="I257" t="str">
        <f t="shared" si="36"/>
        <v/>
      </c>
      <c r="J257" t="str">
        <f t="shared" si="37"/>
        <v/>
      </c>
      <c r="K257" t="str">
        <f t="shared" si="38"/>
        <v/>
      </c>
      <c r="L257" t="str">
        <f t="shared" si="39"/>
        <v/>
      </c>
      <c r="M257" t="str">
        <f t="shared" si="40"/>
        <v/>
      </c>
      <c r="N257" t="str">
        <f t="shared" si="41"/>
        <v/>
      </c>
      <c r="O257" t="str">
        <f t="shared" si="42"/>
        <v/>
      </c>
      <c r="P257" t="str">
        <f>IF($A257="","",IF($E257=1,$F257*$O257,PNL!G257))</f>
        <v/>
      </c>
      <c r="T257" t="str">
        <f t="shared" si="43"/>
        <v/>
      </c>
    </row>
    <row r="258" spans="1:20" x14ac:dyDescent="0.45">
      <c r="A258" t="str">
        <f>IF(PNL!A258="","",PNL!A258)</f>
        <v/>
      </c>
      <c r="B258" t="str">
        <f>IF(PNL!B258="","",PNL!B258)</f>
        <v/>
      </c>
      <c r="C258" t="str">
        <f>IF(PNL!C258="","",PNL!C258)</f>
        <v/>
      </c>
      <c r="D258" t="str">
        <f>IF(PNL!D258="","",PNL!D258)</f>
        <v/>
      </c>
      <c r="E258" t="str">
        <f t="shared" ref="E258:E321" si="44">IF($A258="","",IF(AND($C258="2027",OR($D258="V01",$D258="V02",$D258="V03")),1,0))</f>
        <v/>
      </c>
      <c r="F258" t="str">
        <f>IF($A258="","",IF($E258=1,SUMIFS(Compta!$F$1:$F$675,Compta!$A$1:$A$675,$A258,Compta!$B$1:$B$675,$B258,Compta!$C$1:$C$675,"2026"),0))</f>
        <v/>
      </c>
      <c r="G258" t="str">
        <f t="shared" ref="G258:G321" si="45">IF($A258="","",IF($D258="V01",cad!$C$23,IF($D258="V02",cad!$D$23,cad!$E$23)))</f>
        <v/>
      </c>
      <c r="H258" t="str">
        <f t="shared" ref="H258:H321" si="46">IF($A258="","",IF($D258="V01",cad!$C$24,IF($D258="V02",cad!$D$24,cad!$E$24)))</f>
        <v/>
      </c>
      <c r="I258" t="str">
        <f t="shared" ref="I258:I321" si="47">IF($A258="","",IF($D258="V01",cad!$C$32,IF($D258="V02",cad!$D$32,cad!$E$32)))</f>
        <v/>
      </c>
      <c r="J258" t="str">
        <f t="shared" ref="J258:J321" si="48">IF($A258="","",IF($D258="V01",cad!$C$33,IF($D258="V02",cad!$D$33,cad!$E$33)))</f>
        <v/>
      </c>
      <c r="K258" t="str">
        <f t="shared" ref="K258:K321" si="49">IF($A258="","",IF($D258="V01",cad!$C$34,IF($D258="V02",cad!$D$34,cad!$E$34)))</f>
        <v/>
      </c>
      <c r="L258" t="str">
        <f t="shared" ref="L258:L321" si="50">IF($A258="","",IF($D258="V01",cad!$C$35,IF($D258="V02",cad!$D$35,cad!$E$35)))</f>
        <v/>
      </c>
      <c r="M258" t="str">
        <f t="shared" ref="M258:M321" si="51">IF($A258="","",IF($D258="V01",cad!$C$36,IF($D258="V02",cad!$D$36,cad!$E$36)))</f>
        <v/>
      </c>
      <c r="N258" t="str">
        <f t="shared" ref="N258:N321" si="52">IF($A258="","",IF($D258="V01",$R$2,IF($D258="V02",$R$3,$R$4)))</f>
        <v/>
      </c>
      <c r="O258" t="str">
        <f t="shared" ref="O258:O321" si="53">IF($A258="","",IF(OR($B258="7062",$B258="706",$B258="708"),$N258,IF($B258="6231",1+$G258,IF($B258="6236",1+$H258,IF(OR($B258="621",$B258="604",$B258="6063"),$N258*(1-$L258),IF(OR($B258="6411",$B258="6413",$B258="6414",$B258="645"),(1+$J258)*(1+$K258),IF(OR($B258="613",$B258="615",$B258="616",$B258="6226",$B258="625",$B258="626",$B258="6281"),(1+$I258)*(1-$L258)*(1+$M258),IF(OR($B258="6331",$B258="63511",$B258="6333"),(1+$I258)*(1-$L258),IF($B258="6811",1+$I258,1)))))))))</f>
        <v/>
      </c>
      <c r="P258" t="str">
        <f>IF($A258="","",IF($E258=1,$F258*$O258,PNL!G258))</f>
        <v/>
      </c>
      <c r="T258" t="str">
        <f t="shared" ref="T258:T321" si="54">IF($A258="","",IF($E258=1,IF(OR($B258="7062",$B258="706",$B258="708"),$P258,IF(AND(LEFT($B258,1)="6",$B258&lt;&gt;"6811"),-$P258,0)),0))</f>
        <v/>
      </c>
    </row>
    <row r="259" spans="1:20" x14ac:dyDescent="0.45">
      <c r="A259" t="str">
        <f>IF(PNL!A259="","",PNL!A259)</f>
        <v/>
      </c>
      <c r="B259" t="str">
        <f>IF(PNL!B259="","",PNL!B259)</f>
        <v/>
      </c>
      <c r="C259" t="str">
        <f>IF(PNL!C259="","",PNL!C259)</f>
        <v/>
      </c>
      <c r="D259" t="str">
        <f>IF(PNL!D259="","",PNL!D259)</f>
        <v/>
      </c>
      <c r="E259" t="str">
        <f t="shared" si="44"/>
        <v/>
      </c>
      <c r="F259" t="str">
        <f>IF($A259="","",IF($E259=1,SUMIFS(Compta!$F$1:$F$675,Compta!$A$1:$A$675,$A259,Compta!$B$1:$B$675,$B259,Compta!$C$1:$C$675,"2026"),0))</f>
        <v/>
      </c>
      <c r="G259" t="str">
        <f t="shared" si="45"/>
        <v/>
      </c>
      <c r="H259" t="str">
        <f t="shared" si="46"/>
        <v/>
      </c>
      <c r="I259" t="str">
        <f t="shared" si="47"/>
        <v/>
      </c>
      <c r="J259" t="str">
        <f t="shared" si="48"/>
        <v/>
      </c>
      <c r="K259" t="str">
        <f t="shared" si="49"/>
        <v/>
      </c>
      <c r="L259" t="str">
        <f t="shared" si="50"/>
        <v/>
      </c>
      <c r="M259" t="str">
        <f t="shared" si="51"/>
        <v/>
      </c>
      <c r="N259" t="str">
        <f t="shared" si="52"/>
        <v/>
      </c>
      <c r="O259" t="str">
        <f t="shared" si="53"/>
        <v/>
      </c>
      <c r="P259" t="str">
        <f>IF($A259="","",IF($E259=1,$F259*$O259,PNL!G259))</f>
        <v/>
      </c>
      <c r="T259" t="str">
        <f t="shared" si="54"/>
        <v/>
      </c>
    </row>
    <row r="260" spans="1:20" x14ac:dyDescent="0.45">
      <c r="A260" t="str">
        <f>IF(PNL!A260="","",PNL!A260)</f>
        <v/>
      </c>
      <c r="B260" t="str">
        <f>IF(PNL!B260="","",PNL!B260)</f>
        <v/>
      </c>
      <c r="C260" t="str">
        <f>IF(PNL!C260="","",PNL!C260)</f>
        <v/>
      </c>
      <c r="D260" t="str">
        <f>IF(PNL!D260="","",PNL!D260)</f>
        <v/>
      </c>
      <c r="E260" t="str">
        <f t="shared" si="44"/>
        <v/>
      </c>
      <c r="F260" t="str">
        <f>IF($A260="","",IF($E260=1,SUMIFS(Compta!$F$1:$F$675,Compta!$A$1:$A$675,$A260,Compta!$B$1:$B$675,$B260,Compta!$C$1:$C$675,"2026"),0))</f>
        <v/>
      </c>
      <c r="G260" t="str">
        <f t="shared" si="45"/>
        <v/>
      </c>
      <c r="H260" t="str">
        <f t="shared" si="46"/>
        <v/>
      </c>
      <c r="I260" t="str">
        <f t="shared" si="47"/>
        <v/>
      </c>
      <c r="J260" t="str">
        <f t="shared" si="48"/>
        <v/>
      </c>
      <c r="K260" t="str">
        <f t="shared" si="49"/>
        <v/>
      </c>
      <c r="L260" t="str">
        <f t="shared" si="50"/>
        <v/>
      </c>
      <c r="M260" t="str">
        <f t="shared" si="51"/>
        <v/>
      </c>
      <c r="N260" t="str">
        <f t="shared" si="52"/>
        <v/>
      </c>
      <c r="O260" t="str">
        <f t="shared" si="53"/>
        <v/>
      </c>
      <c r="P260" t="str">
        <f>IF($A260="","",IF($E260=1,$F260*$O260,PNL!G260))</f>
        <v/>
      </c>
      <c r="T260" t="str">
        <f t="shared" si="54"/>
        <v/>
      </c>
    </row>
    <row r="261" spans="1:20" x14ac:dyDescent="0.45">
      <c r="A261" t="str">
        <f>IF(PNL!A261="","",PNL!A261)</f>
        <v/>
      </c>
      <c r="B261" t="str">
        <f>IF(PNL!B261="","",PNL!B261)</f>
        <v/>
      </c>
      <c r="C261" t="str">
        <f>IF(PNL!C261="","",PNL!C261)</f>
        <v/>
      </c>
      <c r="D261" t="str">
        <f>IF(PNL!D261="","",PNL!D261)</f>
        <v/>
      </c>
      <c r="E261" t="str">
        <f t="shared" si="44"/>
        <v/>
      </c>
      <c r="F261" t="str">
        <f>IF($A261="","",IF($E261=1,SUMIFS(Compta!$F$1:$F$675,Compta!$A$1:$A$675,$A261,Compta!$B$1:$B$675,$B261,Compta!$C$1:$C$675,"2026"),0))</f>
        <v/>
      </c>
      <c r="G261" t="str">
        <f t="shared" si="45"/>
        <v/>
      </c>
      <c r="H261" t="str">
        <f t="shared" si="46"/>
        <v/>
      </c>
      <c r="I261" t="str">
        <f t="shared" si="47"/>
        <v/>
      </c>
      <c r="J261" t="str">
        <f t="shared" si="48"/>
        <v/>
      </c>
      <c r="K261" t="str">
        <f t="shared" si="49"/>
        <v/>
      </c>
      <c r="L261" t="str">
        <f t="shared" si="50"/>
        <v/>
      </c>
      <c r="M261" t="str">
        <f t="shared" si="51"/>
        <v/>
      </c>
      <c r="N261" t="str">
        <f t="shared" si="52"/>
        <v/>
      </c>
      <c r="O261" t="str">
        <f t="shared" si="53"/>
        <v/>
      </c>
      <c r="P261" t="str">
        <f>IF($A261="","",IF($E261=1,$F261*$O261,PNL!G261))</f>
        <v/>
      </c>
      <c r="T261" t="str">
        <f t="shared" si="54"/>
        <v/>
      </c>
    </row>
    <row r="262" spans="1:20" x14ac:dyDescent="0.45">
      <c r="A262" t="str">
        <f>IF(PNL!A262="","",PNL!A262)</f>
        <v/>
      </c>
      <c r="B262" t="str">
        <f>IF(PNL!B262="","",PNL!B262)</f>
        <v/>
      </c>
      <c r="C262" t="str">
        <f>IF(PNL!C262="","",PNL!C262)</f>
        <v/>
      </c>
      <c r="D262" t="str">
        <f>IF(PNL!D262="","",PNL!D262)</f>
        <v/>
      </c>
      <c r="E262" t="str">
        <f t="shared" si="44"/>
        <v/>
      </c>
      <c r="F262" t="str">
        <f>IF($A262="","",IF($E262=1,SUMIFS(Compta!$F$1:$F$675,Compta!$A$1:$A$675,$A262,Compta!$B$1:$B$675,$B262,Compta!$C$1:$C$675,"2026"),0))</f>
        <v/>
      </c>
      <c r="G262" t="str">
        <f t="shared" si="45"/>
        <v/>
      </c>
      <c r="H262" t="str">
        <f t="shared" si="46"/>
        <v/>
      </c>
      <c r="I262" t="str">
        <f t="shared" si="47"/>
        <v/>
      </c>
      <c r="J262" t="str">
        <f t="shared" si="48"/>
        <v/>
      </c>
      <c r="K262" t="str">
        <f t="shared" si="49"/>
        <v/>
      </c>
      <c r="L262" t="str">
        <f t="shared" si="50"/>
        <v/>
      </c>
      <c r="M262" t="str">
        <f t="shared" si="51"/>
        <v/>
      </c>
      <c r="N262" t="str">
        <f t="shared" si="52"/>
        <v/>
      </c>
      <c r="O262" t="str">
        <f t="shared" si="53"/>
        <v/>
      </c>
      <c r="P262" t="str">
        <f>IF($A262="","",IF($E262=1,$F262*$O262,PNL!G262))</f>
        <v/>
      </c>
      <c r="T262" t="str">
        <f t="shared" si="54"/>
        <v/>
      </c>
    </row>
    <row r="263" spans="1:20" x14ac:dyDescent="0.45">
      <c r="A263" t="str">
        <f>IF(PNL!A263="","",PNL!A263)</f>
        <v/>
      </c>
      <c r="B263" t="str">
        <f>IF(PNL!B263="","",PNL!B263)</f>
        <v/>
      </c>
      <c r="C263" t="str">
        <f>IF(PNL!C263="","",PNL!C263)</f>
        <v/>
      </c>
      <c r="D263" t="str">
        <f>IF(PNL!D263="","",PNL!D263)</f>
        <v/>
      </c>
      <c r="E263" t="str">
        <f t="shared" si="44"/>
        <v/>
      </c>
      <c r="F263" t="str">
        <f>IF($A263="","",IF($E263=1,SUMIFS(Compta!$F$1:$F$675,Compta!$A$1:$A$675,$A263,Compta!$B$1:$B$675,$B263,Compta!$C$1:$C$675,"2026"),0))</f>
        <v/>
      </c>
      <c r="G263" t="str">
        <f t="shared" si="45"/>
        <v/>
      </c>
      <c r="H263" t="str">
        <f t="shared" si="46"/>
        <v/>
      </c>
      <c r="I263" t="str">
        <f t="shared" si="47"/>
        <v/>
      </c>
      <c r="J263" t="str">
        <f t="shared" si="48"/>
        <v/>
      </c>
      <c r="K263" t="str">
        <f t="shared" si="49"/>
        <v/>
      </c>
      <c r="L263" t="str">
        <f t="shared" si="50"/>
        <v/>
      </c>
      <c r="M263" t="str">
        <f t="shared" si="51"/>
        <v/>
      </c>
      <c r="N263" t="str">
        <f t="shared" si="52"/>
        <v/>
      </c>
      <c r="O263" t="str">
        <f t="shared" si="53"/>
        <v/>
      </c>
      <c r="P263" t="str">
        <f>IF($A263="","",IF($E263=1,$F263*$O263,PNL!G263))</f>
        <v/>
      </c>
      <c r="T263" t="str">
        <f t="shared" si="54"/>
        <v/>
      </c>
    </row>
    <row r="264" spans="1:20" x14ac:dyDescent="0.45">
      <c r="A264" t="str">
        <f>IF(PNL!A264="","",PNL!A264)</f>
        <v/>
      </c>
      <c r="B264" t="str">
        <f>IF(PNL!B264="","",PNL!B264)</f>
        <v/>
      </c>
      <c r="C264" t="str">
        <f>IF(PNL!C264="","",PNL!C264)</f>
        <v/>
      </c>
      <c r="D264" t="str">
        <f>IF(PNL!D264="","",PNL!D264)</f>
        <v/>
      </c>
      <c r="E264" t="str">
        <f t="shared" si="44"/>
        <v/>
      </c>
      <c r="F264" t="str">
        <f>IF($A264="","",IF($E264=1,SUMIFS(Compta!$F$1:$F$675,Compta!$A$1:$A$675,$A264,Compta!$B$1:$B$675,$B264,Compta!$C$1:$C$675,"2026"),0))</f>
        <v/>
      </c>
      <c r="G264" t="str">
        <f t="shared" si="45"/>
        <v/>
      </c>
      <c r="H264" t="str">
        <f t="shared" si="46"/>
        <v/>
      </c>
      <c r="I264" t="str">
        <f t="shared" si="47"/>
        <v/>
      </c>
      <c r="J264" t="str">
        <f t="shared" si="48"/>
        <v/>
      </c>
      <c r="K264" t="str">
        <f t="shared" si="49"/>
        <v/>
      </c>
      <c r="L264" t="str">
        <f t="shared" si="50"/>
        <v/>
      </c>
      <c r="M264" t="str">
        <f t="shared" si="51"/>
        <v/>
      </c>
      <c r="N264" t="str">
        <f t="shared" si="52"/>
        <v/>
      </c>
      <c r="O264" t="str">
        <f t="shared" si="53"/>
        <v/>
      </c>
      <c r="P264" t="str">
        <f>IF($A264="","",IF($E264=1,$F264*$O264,PNL!G264))</f>
        <v/>
      </c>
      <c r="T264" t="str">
        <f t="shared" si="54"/>
        <v/>
      </c>
    </row>
    <row r="265" spans="1:20" x14ac:dyDescent="0.45">
      <c r="A265" t="str">
        <f>IF(PNL!A265="","",PNL!A265)</f>
        <v/>
      </c>
      <c r="B265" t="str">
        <f>IF(PNL!B265="","",PNL!B265)</f>
        <v/>
      </c>
      <c r="C265" t="str">
        <f>IF(PNL!C265="","",PNL!C265)</f>
        <v/>
      </c>
      <c r="D265" t="str">
        <f>IF(PNL!D265="","",PNL!D265)</f>
        <v/>
      </c>
      <c r="E265" t="str">
        <f t="shared" si="44"/>
        <v/>
      </c>
      <c r="F265" t="str">
        <f>IF($A265="","",IF($E265=1,SUMIFS(Compta!$F$1:$F$675,Compta!$A$1:$A$675,$A265,Compta!$B$1:$B$675,$B265,Compta!$C$1:$C$675,"2026"),0))</f>
        <v/>
      </c>
      <c r="G265" t="str">
        <f t="shared" si="45"/>
        <v/>
      </c>
      <c r="H265" t="str">
        <f t="shared" si="46"/>
        <v/>
      </c>
      <c r="I265" t="str">
        <f t="shared" si="47"/>
        <v/>
      </c>
      <c r="J265" t="str">
        <f t="shared" si="48"/>
        <v/>
      </c>
      <c r="K265" t="str">
        <f t="shared" si="49"/>
        <v/>
      </c>
      <c r="L265" t="str">
        <f t="shared" si="50"/>
        <v/>
      </c>
      <c r="M265" t="str">
        <f t="shared" si="51"/>
        <v/>
      </c>
      <c r="N265" t="str">
        <f t="shared" si="52"/>
        <v/>
      </c>
      <c r="O265" t="str">
        <f t="shared" si="53"/>
        <v/>
      </c>
      <c r="P265" t="str">
        <f>IF($A265="","",IF($E265=1,$F265*$O265,PNL!G265))</f>
        <v/>
      </c>
      <c r="T265" t="str">
        <f t="shared" si="54"/>
        <v/>
      </c>
    </row>
    <row r="266" spans="1:20" x14ac:dyDescent="0.45">
      <c r="A266" t="str">
        <f>IF(PNL!A266="","",PNL!A266)</f>
        <v/>
      </c>
      <c r="B266" t="str">
        <f>IF(PNL!B266="","",PNL!B266)</f>
        <v/>
      </c>
      <c r="C266" t="str">
        <f>IF(PNL!C266="","",PNL!C266)</f>
        <v/>
      </c>
      <c r="D266" t="str">
        <f>IF(PNL!D266="","",PNL!D266)</f>
        <v/>
      </c>
      <c r="E266" t="str">
        <f t="shared" si="44"/>
        <v/>
      </c>
      <c r="F266" t="str">
        <f>IF($A266="","",IF($E266=1,SUMIFS(Compta!$F$1:$F$675,Compta!$A$1:$A$675,$A266,Compta!$B$1:$B$675,$B266,Compta!$C$1:$C$675,"2026"),0))</f>
        <v/>
      </c>
      <c r="G266" t="str">
        <f t="shared" si="45"/>
        <v/>
      </c>
      <c r="H266" t="str">
        <f t="shared" si="46"/>
        <v/>
      </c>
      <c r="I266" t="str">
        <f t="shared" si="47"/>
        <v/>
      </c>
      <c r="J266" t="str">
        <f t="shared" si="48"/>
        <v/>
      </c>
      <c r="K266" t="str">
        <f t="shared" si="49"/>
        <v/>
      </c>
      <c r="L266" t="str">
        <f t="shared" si="50"/>
        <v/>
      </c>
      <c r="M266" t="str">
        <f t="shared" si="51"/>
        <v/>
      </c>
      <c r="N266" t="str">
        <f t="shared" si="52"/>
        <v/>
      </c>
      <c r="O266" t="str">
        <f t="shared" si="53"/>
        <v/>
      </c>
      <c r="P266" t="str">
        <f>IF($A266="","",IF($E266=1,$F266*$O266,PNL!G266))</f>
        <v/>
      </c>
      <c r="T266" t="str">
        <f t="shared" si="54"/>
        <v/>
      </c>
    </row>
    <row r="267" spans="1:20" x14ac:dyDescent="0.45">
      <c r="A267" t="str">
        <f>IF(PNL!A267="","",PNL!A267)</f>
        <v/>
      </c>
      <c r="B267" t="str">
        <f>IF(PNL!B267="","",PNL!B267)</f>
        <v/>
      </c>
      <c r="C267" t="str">
        <f>IF(PNL!C267="","",PNL!C267)</f>
        <v/>
      </c>
      <c r="D267" t="str">
        <f>IF(PNL!D267="","",PNL!D267)</f>
        <v/>
      </c>
      <c r="E267" t="str">
        <f t="shared" si="44"/>
        <v/>
      </c>
      <c r="F267" t="str">
        <f>IF($A267="","",IF($E267=1,SUMIFS(Compta!$F$1:$F$675,Compta!$A$1:$A$675,$A267,Compta!$B$1:$B$675,$B267,Compta!$C$1:$C$675,"2026"),0))</f>
        <v/>
      </c>
      <c r="G267" t="str">
        <f t="shared" si="45"/>
        <v/>
      </c>
      <c r="H267" t="str">
        <f t="shared" si="46"/>
        <v/>
      </c>
      <c r="I267" t="str">
        <f t="shared" si="47"/>
        <v/>
      </c>
      <c r="J267" t="str">
        <f t="shared" si="48"/>
        <v/>
      </c>
      <c r="K267" t="str">
        <f t="shared" si="49"/>
        <v/>
      </c>
      <c r="L267" t="str">
        <f t="shared" si="50"/>
        <v/>
      </c>
      <c r="M267" t="str">
        <f t="shared" si="51"/>
        <v/>
      </c>
      <c r="N267" t="str">
        <f t="shared" si="52"/>
        <v/>
      </c>
      <c r="O267" t="str">
        <f t="shared" si="53"/>
        <v/>
      </c>
      <c r="P267" t="str">
        <f>IF($A267="","",IF($E267=1,$F267*$O267,PNL!G267))</f>
        <v/>
      </c>
      <c r="T267" t="str">
        <f t="shared" si="54"/>
        <v/>
      </c>
    </row>
    <row r="268" spans="1:20" x14ac:dyDescent="0.45">
      <c r="A268" t="str">
        <f>IF(PNL!A268="","",PNL!A268)</f>
        <v/>
      </c>
      <c r="B268" t="str">
        <f>IF(PNL!B268="","",PNL!B268)</f>
        <v/>
      </c>
      <c r="C268" t="str">
        <f>IF(PNL!C268="","",PNL!C268)</f>
        <v/>
      </c>
      <c r="D268" t="str">
        <f>IF(PNL!D268="","",PNL!D268)</f>
        <v/>
      </c>
      <c r="E268" t="str">
        <f t="shared" si="44"/>
        <v/>
      </c>
      <c r="F268" t="str">
        <f>IF($A268="","",IF($E268=1,SUMIFS(Compta!$F$1:$F$675,Compta!$A$1:$A$675,$A268,Compta!$B$1:$B$675,$B268,Compta!$C$1:$C$675,"2026"),0))</f>
        <v/>
      </c>
      <c r="G268" t="str">
        <f t="shared" si="45"/>
        <v/>
      </c>
      <c r="H268" t="str">
        <f t="shared" si="46"/>
        <v/>
      </c>
      <c r="I268" t="str">
        <f t="shared" si="47"/>
        <v/>
      </c>
      <c r="J268" t="str">
        <f t="shared" si="48"/>
        <v/>
      </c>
      <c r="K268" t="str">
        <f t="shared" si="49"/>
        <v/>
      </c>
      <c r="L268" t="str">
        <f t="shared" si="50"/>
        <v/>
      </c>
      <c r="M268" t="str">
        <f t="shared" si="51"/>
        <v/>
      </c>
      <c r="N268" t="str">
        <f t="shared" si="52"/>
        <v/>
      </c>
      <c r="O268" t="str">
        <f t="shared" si="53"/>
        <v/>
      </c>
      <c r="P268" t="str">
        <f>IF($A268="","",IF($E268=1,$F268*$O268,PNL!G268))</f>
        <v/>
      </c>
      <c r="T268" t="str">
        <f t="shared" si="54"/>
        <v/>
      </c>
    </row>
    <row r="269" spans="1:20" x14ac:dyDescent="0.45">
      <c r="A269" t="str">
        <f>IF(PNL!A269="","",PNL!A269)</f>
        <v/>
      </c>
      <c r="B269" t="str">
        <f>IF(PNL!B269="","",PNL!B269)</f>
        <v/>
      </c>
      <c r="C269" t="str">
        <f>IF(PNL!C269="","",PNL!C269)</f>
        <v/>
      </c>
      <c r="D269" t="str">
        <f>IF(PNL!D269="","",PNL!D269)</f>
        <v/>
      </c>
      <c r="E269" t="str">
        <f t="shared" si="44"/>
        <v/>
      </c>
      <c r="F269" t="str">
        <f>IF($A269="","",IF($E269=1,SUMIFS(Compta!$F$1:$F$675,Compta!$A$1:$A$675,$A269,Compta!$B$1:$B$675,$B269,Compta!$C$1:$C$675,"2026"),0))</f>
        <v/>
      </c>
      <c r="G269" t="str">
        <f t="shared" si="45"/>
        <v/>
      </c>
      <c r="H269" t="str">
        <f t="shared" si="46"/>
        <v/>
      </c>
      <c r="I269" t="str">
        <f t="shared" si="47"/>
        <v/>
      </c>
      <c r="J269" t="str">
        <f t="shared" si="48"/>
        <v/>
      </c>
      <c r="K269" t="str">
        <f t="shared" si="49"/>
        <v/>
      </c>
      <c r="L269" t="str">
        <f t="shared" si="50"/>
        <v/>
      </c>
      <c r="M269" t="str">
        <f t="shared" si="51"/>
        <v/>
      </c>
      <c r="N269" t="str">
        <f t="shared" si="52"/>
        <v/>
      </c>
      <c r="O269" t="str">
        <f t="shared" si="53"/>
        <v/>
      </c>
      <c r="P269" t="str">
        <f>IF($A269="","",IF($E269=1,$F269*$O269,PNL!G269))</f>
        <v/>
      </c>
      <c r="T269" t="str">
        <f t="shared" si="54"/>
        <v/>
      </c>
    </row>
    <row r="270" spans="1:20" x14ac:dyDescent="0.45">
      <c r="A270" t="str">
        <f>IF(PNL!A270="","",PNL!A270)</f>
        <v/>
      </c>
      <c r="B270" t="str">
        <f>IF(PNL!B270="","",PNL!B270)</f>
        <v/>
      </c>
      <c r="C270" t="str">
        <f>IF(PNL!C270="","",PNL!C270)</f>
        <v/>
      </c>
      <c r="D270" t="str">
        <f>IF(PNL!D270="","",PNL!D270)</f>
        <v/>
      </c>
      <c r="E270" t="str">
        <f t="shared" si="44"/>
        <v/>
      </c>
      <c r="F270" t="str">
        <f>IF($A270="","",IF($E270=1,SUMIFS(Compta!$F$1:$F$675,Compta!$A$1:$A$675,$A270,Compta!$B$1:$B$675,$B270,Compta!$C$1:$C$675,"2026"),0))</f>
        <v/>
      </c>
      <c r="G270" t="str">
        <f t="shared" si="45"/>
        <v/>
      </c>
      <c r="H270" t="str">
        <f t="shared" si="46"/>
        <v/>
      </c>
      <c r="I270" t="str">
        <f t="shared" si="47"/>
        <v/>
      </c>
      <c r="J270" t="str">
        <f t="shared" si="48"/>
        <v/>
      </c>
      <c r="K270" t="str">
        <f t="shared" si="49"/>
        <v/>
      </c>
      <c r="L270" t="str">
        <f t="shared" si="50"/>
        <v/>
      </c>
      <c r="M270" t="str">
        <f t="shared" si="51"/>
        <v/>
      </c>
      <c r="N270" t="str">
        <f t="shared" si="52"/>
        <v/>
      </c>
      <c r="O270" t="str">
        <f t="shared" si="53"/>
        <v/>
      </c>
      <c r="P270" t="str">
        <f>IF($A270="","",IF($E270=1,$F270*$O270,PNL!G270))</f>
        <v/>
      </c>
      <c r="T270" t="str">
        <f t="shared" si="54"/>
        <v/>
      </c>
    </row>
    <row r="271" spans="1:20" x14ac:dyDescent="0.45">
      <c r="A271" t="str">
        <f>IF(PNL!A271="","",PNL!A271)</f>
        <v/>
      </c>
      <c r="B271" t="str">
        <f>IF(PNL!B271="","",PNL!B271)</f>
        <v/>
      </c>
      <c r="C271" t="str">
        <f>IF(PNL!C271="","",PNL!C271)</f>
        <v/>
      </c>
      <c r="D271" t="str">
        <f>IF(PNL!D271="","",PNL!D271)</f>
        <v/>
      </c>
      <c r="E271" t="str">
        <f t="shared" si="44"/>
        <v/>
      </c>
      <c r="F271" t="str">
        <f>IF($A271="","",IF($E271=1,SUMIFS(Compta!$F$1:$F$675,Compta!$A$1:$A$675,$A271,Compta!$B$1:$B$675,$B271,Compta!$C$1:$C$675,"2026"),0))</f>
        <v/>
      </c>
      <c r="G271" t="str">
        <f t="shared" si="45"/>
        <v/>
      </c>
      <c r="H271" t="str">
        <f t="shared" si="46"/>
        <v/>
      </c>
      <c r="I271" t="str">
        <f t="shared" si="47"/>
        <v/>
      </c>
      <c r="J271" t="str">
        <f t="shared" si="48"/>
        <v/>
      </c>
      <c r="K271" t="str">
        <f t="shared" si="49"/>
        <v/>
      </c>
      <c r="L271" t="str">
        <f t="shared" si="50"/>
        <v/>
      </c>
      <c r="M271" t="str">
        <f t="shared" si="51"/>
        <v/>
      </c>
      <c r="N271" t="str">
        <f t="shared" si="52"/>
        <v/>
      </c>
      <c r="O271" t="str">
        <f t="shared" si="53"/>
        <v/>
      </c>
      <c r="P271" t="str">
        <f>IF($A271="","",IF($E271=1,$F271*$O271,PNL!G271))</f>
        <v/>
      </c>
      <c r="T271" t="str">
        <f t="shared" si="54"/>
        <v/>
      </c>
    </row>
    <row r="272" spans="1:20" x14ac:dyDescent="0.45">
      <c r="A272" t="str">
        <f>IF(PNL!A272="","",PNL!A272)</f>
        <v/>
      </c>
      <c r="B272" t="str">
        <f>IF(PNL!B272="","",PNL!B272)</f>
        <v/>
      </c>
      <c r="C272" t="str">
        <f>IF(PNL!C272="","",PNL!C272)</f>
        <v/>
      </c>
      <c r="D272" t="str">
        <f>IF(PNL!D272="","",PNL!D272)</f>
        <v/>
      </c>
      <c r="E272" t="str">
        <f t="shared" si="44"/>
        <v/>
      </c>
      <c r="F272" t="str">
        <f>IF($A272="","",IF($E272=1,SUMIFS(Compta!$F$1:$F$675,Compta!$A$1:$A$675,$A272,Compta!$B$1:$B$675,$B272,Compta!$C$1:$C$675,"2026"),0))</f>
        <v/>
      </c>
      <c r="G272" t="str">
        <f t="shared" si="45"/>
        <v/>
      </c>
      <c r="H272" t="str">
        <f t="shared" si="46"/>
        <v/>
      </c>
      <c r="I272" t="str">
        <f t="shared" si="47"/>
        <v/>
      </c>
      <c r="J272" t="str">
        <f t="shared" si="48"/>
        <v/>
      </c>
      <c r="K272" t="str">
        <f t="shared" si="49"/>
        <v/>
      </c>
      <c r="L272" t="str">
        <f t="shared" si="50"/>
        <v/>
      </c>
      <c r="M272" t="str">
        <f t="shared" si="51"/>
        <v/>
      </c>
      <c r="N272" t="str">
        <f t="shared" si="52"/>
        <v/>
      </c>
      <c r="O272" t="str">
        <f t="shared" si="53"/>
        <v/>
      </c>
      <c r="P272" t="str">
        <f>IF($A272="","",IF($E272=1,$F272*$O272,PNL!G272))</f>
        <v/>
      </c>
      <c r="T272" t="str">
        <f t="shared" si="54"/>
        <v/>
      </c>
    </row>
    <row r="273" spans="1:20" x14ac:dyDescent="0.45">
      <c r="A273" t="str">
        <f>IF(PNL!A273="","",PNL!A273)</f>
        <v/>
      </c>
      <c r="B273" t="str">
        <f>IF(PNL!B273="","",PNL!B273)</f>
        <v/>
      </c>
      <c r="C273" t="str">
        <f>IF(PNL!C273="","",PNL!C273)</f>
        <v/>
      </c>
      <c r="D273" t="str">
        <f>IF(PNL!D273="","",PNL!D273)</f>
        <v/>
      </c>
      <c r="E273" t="str">
        <f t="shared" si="44"/>
        <v/>
      </c>
      <c r="F273" t="str">
        <f>IF($A273="","",IF($E273=1,SUMIFS(Compta!$F$1:$F$675,Compta!$A$1:$A$675,$A273,Compta!$B$1:$B$675,$B273,Compta!$C$1:$C$675,"2026"),0))</f>
        <v/>
      </c>
      <c r="G273" t="str">
        <f t="shared" si="45"/>
        <v/>
      </c>
      <c r="H273" t="str">
        <f t="shared" si="46"/>
        <v/>
      </c>
      <c r="I273" t="str">
        <f t="shared" si="47"/>
        <v/>
      </c>
      <c r="J273" t="str">
        <f t="shared" si="48"/>
        <v/>
      </c>
      <c r="K273" t="str">
        <f t="shared" si="49"/>
        <v/>
      </c>
      <c r="L273" t="str">
        <f t="shared" si="50"/>
        <v/>
      </c>
      <c r="M273" t="str">
        <f t="shared" si="51"/>
        <v/>
      </c>
      <c r="N273" t="str">
        <f t="shared" si="52"/>
        <v/>
      </c>
      <c r="O273" t="str">
        <f t="shared" si="53"/>
        <v/>
      </c>
      <c r="P273" t="str">
        <f>IF($A273="","",IF($E273=1,$F273*$O273,PNL!G273))</f>
        <v/>
      </c>
      <c r="T273" t="str">
        <f t="shared" si="54"/>
        <v/>
      </c>
    </row>
    <row r="274" spans="1:20" x14ac:dyDescent="0.45">
      <c r="A274" t="str">
        <f>IF(PNL!A274="","",PNL!A274)</f>
        <v/>
      </c>
      <c r="B274" t="str">
        <f>IF(PNL!B274="","",PNL!B274)</f>
        <v/>
      </c>
      <c r="C274" t="str">
        <f>IF(PNL!C274="","",PNL!C274)</f>
        <v/>
      </c>
      <c r="D274" t="str">
        <f>IF(PNL!D274="","",PNL!D274)</f>
        <v/>
      </c>
      <c r="E274" t="str">
        <f t="shared" si="44"/>
        <v/>
      </c>
      <c r="F274" t="str">
        <f>IF($A274="","",IF($E274=1,SUMIFS(Compta!$F$1:$F$675,Compta!$A$1:$A$675,$A274,Compta!$B$1:$B$675,$B274,Compta!$C$1:$C$675,"2026"),0))</f>
        <v/>
      </c>
      <c r="G274" t="str">
        <f t="shared" si="45"/>
        <v/>
      </c>
      <c r="H274" t="str">
        <f t="shared" si="46"/>
        <v/>
      </c>
      <c r="I274" t="str">
        <f t="shared" si="47"/>
        <v/>
      </c>
      <c r="J274" t="str">
        <f t="shared" si="48"/>
        <v/>
      </c>
      <c r="K274" t="str">
        <f t="shared" si="49"/>
        <v/>
      </c>
      <c r="L274" t="str">
        <f t="shared" si="50"/>
        <v/>
      </c>
      <c r="M274" t="str">
        <f t="shared" si="51"/>
        <v/>
      </c>
      <c r="N274" t="str">
        <f t="shared" si="52"/>
        <v/>
      </c>
      <c r="O274" t="str">
        <f t="shared" si="53"/>
        <v/>
      </c>
      <c r="P274" t="str">
        <f>IF($A274="","",IF($E274=1,$F274*$O274,PNL!G274))</f>
        <v/>
      </c>
      <c r="T274" t="str">
        <f t="shared" si="54"/>
        <v/>
      </c>
    </row>
    <row r="275" spans="1:20" x14ac:dyDescent="0.45">
      <c r="A275" t="str">
        <f>IF(PNL!A275="","",PNL!A275)</f>
        <v/>
      </c>
      <c r="B275" t="str">
        <f>IF(PNL!B275="","",PNL!B275)</f>
        <v/>
      </c>
      <c r="C275" t="str">
        <f>IF(PNL!C275="","",PNL!C275)</f>
        <v/>
      </c>
      <c r="D275" t="str">
        <f>IF(PNL!D275="","",PNL!D275)</f>
        <v/>
      </c>
      <c r="E275" t="str">
        <f t="shared" si="44"/>
        <v/>
      </c>
      <c r="F275" t="str">
        <f>IF($A275="","",IF($E275=1,SUMIFS(Compta!$F$1:$F$675,Compta!$A$1:$A$675,$A275,Compta!$B$1:$B$675,$B275,Compta!$C$1:$C$675,"2026"),0))</f>
        <v/>
      </c>
      <c r="G275" t="str">
        <f t="shared" si="45"/>
        <v/>
      </c>
      <c r="H275" t="str">
        <f t="shared" si="46"/>
        <v/>
      </c>
      <c r="I275" t="str">
        <f t="shared" si="47"/>
        <v/>
      </c>
      <c r="J275" t="str">
        <f t="shared" si="48"/>
        <v/>
      </c>
      <c r="K275" t="str">
        <f t="shared" si="49"/>
        <v/>
      </c>
      <c r="L275" t="str">
        <f t="shared" si="50"/>
        <v/>
      </c>
      <c r="M275" t="str">
        <f t="shared" si="51"/>
        <v/>
      </c>
      <c r="N275" t="str">
        <f t="shared" si="52"/>
        <v/>
      </c>
      <c r="O275" t="str">
        <f t="shared" si="53"/>
        <v/>
      </c>
      <c r="P275" t="str">
        <f>IF($A275="","",IF($E275=1,$F275*$O275,PNL!G275))</f>
        <v/>
      </c>
      <c r="T275" t="str">
        <f t="shared" si="54"/>
        <v/>
      </c>
    </row>
    <row r="276" spans="1:20" x14ac:dyDescent="0.45">
      <c r="A276" t="str">
        <f>IF(PNL!A276="","",PNL!A276)</f>
        <v/>
      </c>
      <c r="B276" t="str">
        <f>IF(PNL!B276="","",PNL!B276)</f>
        <v/>
      </c>
      <c r="C276" t="str">
        <f>IF(PNL!C276="","",PNL!C276)</f>
        <v/>
      </c>
      <c r="D276" t="str">
        <f>IF(PNL!D276="","",PNL!D276)</f>
        <v/>
      </c>
      <c r="E276" t="str">
        <f t="shared" si="44"/>
        <v/>
      </c>
      <c r="F276" t="str">
        <f>IF($A276="","",IF($E276=1,SUMIFS(Compta!$F$1:$F$675,Compta!$A$1:$A$675,$A276,Compta!$B$1:$B$675,$B276,Compta!$C$1:$C$675,"2026"),0))</f>
        <v/>
      </c>
      <c r="G276" t="str">
        <f t="shared" si="45"/>
        <v/>
      </c>
      <c r="H276" t="str">
        <f t="shared" si="46"/>
        <v/>
      </c>
      <c r="I276" t="str">
        <f t="shared" si="47"/>
        <v/>
      </c>
      <c r="J276" t="str">
        <f t="shared" si="48"/>
        <v/>
      </c>
      <c r="K276" t="str">
        <f t="shared" si="49"/>
        <v/>
      </c>
      <c r="L276" t="str">
        <f t="shared" si="50"/>
        <v/>
      </c>
      <c r="M276" t="str">
        <f t="shared" si="51"/>
        <v/>
      </c>
      <c r="N276" t="str">
        <f t="shared" si="52"/>
        <v/>
      </c>
      <c r="O276" t="str">
        <f t="shared" si="53"/>
        <v/>
      </c>
      <c r="P276" t="str">
        <f>IF($A276="","",IF($E276=1,$F276*$O276,PNL!G276))</f>
        <v/>
      </c>
      <c r="T276" t="str">
        <f t="shared" si="54"/>
        <v/>
      </c>
    </row>
    <row r="277" spans="1:20" x14ac:dyDescent="0.45">
      <c r="A277" t="str">
        <f>IF(PNL!A277="","",PNL!A277)</f>
        <v/>
      </c>
      <c r="B277" t="str">
        <f>IF(PNL!B277="","",PNL!B277)</f>
        <v/>
      </c>
      <c r="C277" t="str">
        <f>IF(PNL!C277="","",PNL!C277)</f>
        <v/>
      </c>
      <c r="D277" t="str">
        <f>IF(PNL!D277="","",PNL!D277)</f>
        <v/>
      </c>
      <c r="E277" t="str">
        <f t="shared" si="44"/>
        <v/>
      </c>
      <c r="F277" t="str">
        <f>IF($A277="","",IF($E277=1,SUMIFS(Compta!$F$1:$F$675,Compta!$A$1:$A$675,$A277,Compta!$B$1:$B$675,$B277,Compta!$C$1:$C$675,"2026"),0))</f>
        <v/>
      </c>
      <c r="G277" t="str">
        <f t="shared" si="45"/>
        <v/>
      </c>
      <c r="H277" t="str">
        <f t="shared" si="46"/>
        <v/>
      </c>
      <c r="I277" t="str">
        <f t="shared" si="47"/>
        <v/>
      </c>
      <c r="J277" t="str">
        <f t="shared" si="48"/>
        <v/>
      </c>
      <c r="K277" t="str">
        <f t="shared" si="49"/>
        <v/>
      </c>
      <c r="L277" t="str">
        <f t="shared" si="50"/>
        <v/>
      </c>
      <c r="M277" t="str">
        <f t="shared" si="51"/>
        <v/>
      </c>
      <c r="N277" t="str">
        <f t="shared" si="52"/>
        <v/>
      </c>
      <c r="O277" t="str">
        <f t="shared" si="53"/>
        <v/>
      </c>
      <c r="P277" t="str">
        <f>IF($A277="","",IF($E277=1,$F277*$O277,PNL!G277))</f>
        <v/>
      </c>
      <c r="T277" t="str">
        <f t="shared" si="54"/>
        <v/>
      </c>
    </row>
    <row r="278" spans="1:20" x14ac:dyDescent="0.45">
      <c r="A278" t="str">
        <f>IF(PNL!A278="","",PNL!A278)</f>
        <v/>
      </c>
      <c r="B278" t="str">
        <f>IF(PNL!B278="","",PNL!B278)</f>
        <v/>
      </c>
      <c r="C278" t="str">
        <f>IF(PNL!C278="","",PNL!C278)</f>
        <v/>
      </c>
      <c r="D278" t="str">
        <f>IF(PNL!D278="","",PNL!D278)</f>
        <v/>
      </c>
      <c r="E278" t="str">
        <f t="shared" si="44"/>
        <v/>
      </c>
      <c r="F278" t="str">
        <f>IF($A278="","",IF($E278=1,SUMIFS(Compta!$F$1:$F$675,Compta!$A$1:$A$675,$A278,Compta!$B$1:$B$675,$B278,Compta!$C$1:$C$675,"2026"),0))</f>
        <v/>
      </c>
      <c r="G278" t="str">
        <f t="shared" si="45"/>
        <v/>
      </c>
      <c r="H278" t="str">
        <f t="shared" si="46"/>
        <v/>
      </c>
      <c r="I278" t="str">
        <f t="shared" si="47"/>
        <v/>
      </c>
      <c r="J278" t="str">
        <f t="shared" si="48"/>
        <v/>
      </c>
      <c r="K278" t="str">
        <f t="shared" si="49"/>
        <v/>
      </c>
      <c r="L278" t="str">
        <f t="shared" si="50"/>
        <v/>
      </c>
      <c r="M278" t="str">
        <f t="shared" si="51"/>
        <v/>
      </c>
      <c r="N278" t="str">
        <f t="shared" si="52"/>
        <v/>
      </c>
      <c r="O278" t="str">
        <f t="shared" si="53"/>
        <v/>
      </c>
      <c r="P278" t="str">
        <f>IF($A278="","",IF($E278=1,$F278*$O278,PNL!G278))</f>
        <v/>
      </c>
      <c r="T278" t="str">
        <f t="shared" si="54"/>
        <v/>
      </c>
    </row>
    <row r="279" spans="1:20" x14ac:dyDescent="0.45">
      <c r="A279" t="str">
        <f>IF(PNL!A279="","",PNL!A279)</f>
        <v/>
      </c>
      <c r="B279" t="str">
        <f>IF(PNL!B279="","",PNL!B279)</f>
        <v/>
      </c>
      <c r="C279" t="str">
        <f>IF(PNL!C279="","",PNL!C279)</f>
        <v/>
      </c>
      <c r="D279" t="str">
        <f>IF(PNL!D279="","",PNL!D279)</f>
        <v/>
      </c>
      <c r="E279" t="str">
        <f t="shared" si="44"/>
        <v/>
      </c>
      <c r="F279" t="str">
        <f>IF($A279="","",IF($E279=1,SUMIFS(Compta!$F$1:$F$675,Compta!$A$1:$A$675,$A279,Compta!$B$1:$B$675,$B279,Compta!$C$1:$C$675,"2026"),0))</f>
        <v/>
      </c>
      <c r="G279" t="str">
        <f t="shared" si="45"/>
        <v/>
      </c>
      <c r="H279" t="str">
        <f t="shared" si="46"/>
        <v/>
      </c>
      <c r="I279" t="str">
        <f t="shared" si="47"/>
        <v/>
      </c>
      <c r="J279" t="str">
        <f t="shared" si="48"/>
        <v/>
      </c>
      <c r="K279" t="str">
        <f t="shared" si="49"/>
        <v/>
      </c>
      <c r="L279" t="str">
        <f t="shared" si="50"/>
        <v/>
      </c>
      <c r="M279" t="str">
        <f t="shared" si="51"/>
        <v/>
      </c>
      <c r="N279" t="str">
        <f t="shared" si="52"/>
        <v/>
      </c>
      <c r="O279" t="str">
        <f t="shared" si="53"/>
        <v/>
      </c>
      <c r="P279" t="str">
        <f>IF($A279="","",IF($E279=1,$F279*$O279,PNL!G279))</f>
        <v/>
      </c>
      <c r="T279" t="str">
        <f t="shared" si="54"/>
        <v/>
      </c>
    </row>
    <row r="280" spans="1:20" x14ac:dyDescent="0.45">
      <c r="A280" t="str">
        <f>IF(PNL!A280="","",PNL!A280)</f>
        <v/>
      </c>
      <c r="B280" t="str">
        <f>IF(PNL!B280="","",PNL!B280)</f>
        <v/>
      </c>
      <c r="C280" t="str">
        <f>IF(PNL!C280="","",PNL!C280)</f>
        <v/>
      </c>
      <c r="D280" t="str">
        <f>IF(PNL!D280="","",PNL!D280)</f>
        <v/>
      </c>
      <c r="E280" t="str">
        <f t="shared" si="44"/>
        <v/>
      </c>
      <c r="F280" t="str">
        <f>IF($A280="","",IF($E280=1,SUMIFS(Compta!$F$1:$F$675,Compta!$A$1:$A$675,$A280,Compta!$B$1:$B$675,$B280,Compta!$C$1:$C$675,"2026"),0))</f>
        <v/>
      </c>
      <c r="G280" t="str">
        <f t="shared" si="45"/>
        <v/>
      </c>
      <c r="H280" t="str">
        <f t="shared" si="46"/>
        <v/>
      </c>
      <c r="I280" t="str">
        <f t="shared" si="47"/>
        <v/>
      </c>
      <c r="J280" t="str">
        <f t="shared" si="48"/>
        <v/>
      </c>
      <c r="K280" t="str">
        <f t="shared" si="49"/>
        <v/>
      </c>
      <c r="L280" t="str">
        <f t="shared" si="50"/>
        <v/>
      </c>
      <c r="M280" t="str">
        <f t="shared" si="51"/>
        <v/>
      </c>
      <c r="N280" t="str">
        <f t="shared" si="52"/>
        <v/>
      </c>
      <c r="O280" t="str">
        <f t="shared" si="53"/>
        <v/>
      </c>
      <c r="P280" t="str">
        <f>IF($A280="","",IF($E280=1,$F280*$O280,PNL!G280))</f>
        <v/>
      </c>
      <c r="T280" t="str">
        <f t="shared" si="54"/>
        <v/>
      </c>
    </row>
    <row r="281" spans="1:20" x14ac:dyDescent="0.45">
      <c r="A281" t="str">
        <f>IF(PNL!A281="","",PNL!A281)</f>
        <v/>
      </c>
      <c r="B281" t="str">
        <f>IF(PNL!B281="","",PNL!B281)</f>
        <v/>
      </c>
      <c r="C281" t="str">
        <f>IF(PNL!C281="","",PNL!C281)</f>
        <v/>
      </c>
      <c r="D281" t="str">
        <f>IF(PNL!D281="","",PNL!D281)</f>
        <v/>
      </c>
      <c r="E281" t="str">
        <f t="shared" si="44"/>
        <v/>
      </c>
      <c r="F281" t="str">
        <f>IF($A281="","",IF($E281=1,SUMIFS(Compta!$F$1:$F$675,Compta!$A$1:$A$675,$A281,Compta!$B$1:$B$675,$B281,Compta!$C$1:$C$675,"2026"),0))</f>
        <v/>
      </c>
      <c r="G281" t="str">
        <f t="shared" si="45"/>
        <v/>
      </c>
      <c r="H281" t="str">
        <f t="shared" si="46"/>
        <v/>
      </c>
      <c r="I281" t="str">
        <f t="shared" si="47"/>
        <v/>
      </c>
      <c r="J281" t="str">
        <f t="shared" si="48"/>
        <v/>
      </c>
      <c r="K281" t="str">
        <f t="shared" si="49"/>
        <v/>
      </c>
      <c r="L281" t="str">
        <f t="shared" si="50"/>
        <v/>
      </c>
      <c r="M281" t="str">
        <f t="shared" si="51"/>
        <v/>
      </c>
      <c r="N281" t="str">
        <f t="shared" si="52"/>
        <v/>
      </c>
      <c r="O281" t="str">
        <f t="shared" si="53"/>
        <v/>
      </c>
      <c r="P281" t="str">
        <f>IF($A281="","",IF($E281=1,$F281*$O281,PNL!G281))</f>
        <v/>
      </c>
      <c r="T281" t="str">
        <f t="shared" si="54"/>
        <v/>
      </c>
    </row>
    <row r="282" spans="1:20" x14ac:dyDescent="0.45">
      <c r="A282" t="str">
        <f>IF(PNL!A282="","",PNL!A282)</f>
        <v/>
      </c>
      <c r="B282" t="str">
        <f>IF(PNL!B282="","",PNL!B282)</f>
        <v/>
      </c>
      <c r="C282" t="str">
        <f>IF(PNL!C282="","",PNL!C282)</f>
        <v/>
      </c>
      <c r="D282" t="str">
        <f>IF(PNL!D282="","",PNL!D282)</f>
        <v/>
      </c>
      <c r="E282" t="str">
        <f t="shared" si="44"/>
        <v/>
      </c>
      <c r="F282" t="str">
        <f>IF($A282="","",IF($E282=1,SUMIFS(Compta!$F$1:$F$675,Compta!$A$1:$A$675,$A282,Compta!$B$1:$B$675,$B282,Compta!$C$1:$C$675,"2026"),0))</f>
        <v/>
      </c>
      <c r="G282" t="str">
        <f t="shared" si="45"/>
        <v/>
      </c>
      <c r="H282" t="str">
        <f t="shared" si="46"/>
        <v/>
      </c>
      <c r="I282" t="str">
        <f t="shared" si="47"/>
        <v/>
      </c>
      <c r="J282" t="str">
        <f t="shared" si="48"/>
        <v/>
      </c>
      <c r="K282" t="str">
        <f t="shared" si="49"/>
        <v/>
      </c>
      <c r="L282" t="str">
        <f t="shared" si="50"/>
        <v/>
      </c>
      <c r="M282" t="str">
        <f t="shared" si="51"/>
        <v/>
      </c>
      <c r="N282" t="str">
        <f t="shared" si="52"/>
        <v/>
      </c>
      <c r="O282" t="str">
        <f t="shared" si="53"/>
        <v/>
      </c>
      <c r="P282" t="str">
        <f>IF($A282="","",IF($E282=1,$F282*$O282,PNL!G282))</f>
        <v/>
      </c>
      <c r="T282" t="str">
        <f t="shared" si="54"/>
        <v/>
      </c>
    </row>
    <row r="283" spans="1:20" x14ac:dyDescent="0.45">
      <c r="A283" t="str">
        <f>IF(PNL!A283="","",PNL!A283)</f>
        <v/>
      </c>
      <c r="B283" t="str">
        <f>IF(PNL!B283="","",PNL!B283)</f>
        <v/>
      </c>
      <c r="C283" t="str">
        <f>IF(PNL!C283="","",PNL!C283)</f>
        <v/>
      </c>
      <c r="D283" t="str">
        <f>IF(PNL!D283="","",PNL!D283)</f>
        <v/>
      </c>
      <c r="E283" t="str">
        <f t="shared" si="44"/>
        <v/>
      </c>
      <c r="F283" t="str">
        <f>IF($A283="","",IF($E283=1,SUMIFS(Compta!$F$1:$F$675,Compta!$A$1:$A$675,$A283,Compta!$B$1:$B$675,$B283,Compta!$C$1:$C$675,"2026"),0))</f>
        <v/>
      </c>
      <c r="G283" t="str">
        <f t="shared" si="45"/>
        <v/>
      </c>
      <c r="H283" t="str">
        <f t="shared" si="46"/>
        <v/>
      </c>
      <c r="I283" t="str">
        <f t="shared" si="47"/>
        <v/>
      </c>
      <c r="J283" t="str">
        <f t="shared" si="48"/>
        <v/>
      </c>
      <c r="K283" t="str">
        <f t="shared" si="49"/>
        <v/>
      </c>
      <c r="L283" t="str">
        <f t="shared" si="50"/>
        <v/>
      </c>
      <c r="M283" t="str">
        <f t="shared" si="51"/>
        <v/>
      </c>
      <c r="N283" t="str">
        <f t="shared" si="52"/>
        <v/>
      </c>
      <c r="O283" t="str">
        <f t="shared" si="53"/>
        <v/>
      </c>
      <c r="P283" t="str">
        <f>IF($A283="","",IF($E283=1,$F283*$O283,PNL!G283))</f>
        <v/>
      </c>
      <c r="T283" t="str">
        <f t="shared" si="54"/>
        <v/>
      </c>
    </row>
    <row r="284" spans="1:20" x14ac:dyDescent="0.45">
      <c r="A284" t="str">
        <f>IF(PNL!A284="","",PNL!A284)</f>
        <v/>
      </c>
      <c r="B284" t="str">
        <f>IF(PNL!B284="","",PNL!B284)</f>
        <v/>
      </c>
      <c r="C284" t="str">
        <f>IF(PNL!C284="","",PNL!C284)</f>
        <v/>
      </c>
      <c r="D284" t="str">
        <f>IF(PNL!D284="","",PNL!D284)</f>
        <v/>
      </c>
      <c r="E284" t="str">
        <f t="shared" si="44"/>
        <v/>
      </c>
      <c r="F284" t="str">
        <f>IF($A284="","",IF($E284=1,SUMIFS(Compta!$F$1:$F$675,Compta!$A$1:$A$675,$A284,Compta!$B$1:$B$675,$B284,Compta!$C$1:$C$675,"2026"),0))</f>
        <v/>
      </c>
      <c r="G284" t="str">
        <f t="shared" si="45"/>
        <v/>
      </c>
      <c r="H284" t="str">
        <f t="shared" si="46"/>
        <v/>
      </c>
      <c r="I284" t="str">
        <f t="shared" si="47"/>
        <v/>
      </c>
      <c r="J284" t="str">
        <f t="shared" si="48"/>
        <v/>
      </c>
      <c r="K284" t="str">
        <f t="shared" si="49"/>
        <v/>
      </c>
      <c r="L284" t="str">
        <f t="shared" si="50"/>
        <v/>
      </c>
      <c r="M284" t="str">
        <f t="shared" si="51"/>
        <v/>
      </c>
      <c r="N284" t="str">
        <f t="shared" si="52"/>
        <v/>
      </c>
      <c r="O284" t="str">
        <f t="shared" si="53"/>
        <v/>
      </c>
      <c r="P284" t="str">
        <f>IF($A284="","",IF($E284=1,$F284*$O284,PNL!G284))</f>
        <v/>
      </c>
      <c r="T284" t="str">
        <f t="shared" si="54"/>
        <v/>
      </c>
    </row>
    <row r="285" spans="1:20" x14ac:dyDescent="0.45">
      <c r="A285" t="str">
        <f>IF(PNL!A285="","",PNL!A285)</f>
        <v/>
      </c>
      <c r="B285" t="str">
        <f>IF(PNL!B285="","",PNL!B285)</f>
        <v/>
      </c>
      <c r="C285" t="str">
        <f>IF(PNL!C285="","",PNL!C285)</f>
        <v/>
      </c>
      <c r="D285" t="str">
        <f>IF(PNL!D285="","",PNL!D285)</f>
        <v/>
      </c>
      <c r="E285" t="str">
        <f t="shared" si="44"/>
        <v/>
      </c>
      <c r="F285" t="str">
        <f>IF($A285="","",IF($E285=1,SUMIFS(Compta!$F$1:$F$675,Compta!$A$1:$A$675,$A285,Compta!$B$1:$B$675,$B285,Compta!$C$1:$C$675,"2026"),0))</f>
        <v/>
      </c>
      <c r="G285" t="str">
        <f t="shared" si="45"/>
        <v/>
      </c>
      <c r="H285" t="str">
        <f t="shared" si="46"/>
        <v/>
      </c>
      <c r="I285" t="str">
        <f t="shared" si="47"/>
        <v/>
      </c>
      <c r="J285" t="str">
        <f t="shared" si="48"/>
        <v/>
      </c>
      <c r="K285" t="str">
        <f t="shared" si="49"/>
        <v/>
      </c>
      <c r="L285" t="str">
        <f t="shared" si="50"/>
        <v/>
      </c>
      <c r="M285" t="str">
        <f t="shared" si="51"/>
        <v/>
      </c>
      <c r="N285" t="str">
        <f t="shared" si="52"/>
        <v/>
      </c>
      <c r="O285" t="str">
        <f t="shared" si="53"/>
        <v/>
      </c>
      <c r="P285" t="str">
        <f>IF($A285="","",IF($E285=1,$F285*$O285,PNL!G285))</f>
        <v/>
      </c>
      <c r="T285" t="str">
        <f t="shared" si="54"/>
        <v/>
      </c>
    </row>
    <row r="286" spans="1:20" x14ac:dyDescent="0.45">
      <c r="A286" t="str">
        <f>IF(PNL!A286="","",PNL!A286)</f>
        <v/>
      </c>
      <c r="B286" t="str">
        <f>IF(PNL!B286="","",PNL!B286)</f>
        <v/>
      </c>
      <c r="C286" t="str">
        <f>IF(PNL!C286="","",PNL!C286)</f>
        <v/>
      </c>
      <c r="D286" t="str">
        <f>IF(PNL!D286="","",PNL!D286)</f>
        <v/>
      </c>
      <c r="E286" t="str">
        <f t="shared" si="44"/>
        <v/>
      </c>
      <c r="F286" t="str">
        <f>IF($A286="","",IF($E286=1,SUMIFS(Compta!$F$1:$F$675,Compta!$A$1:$A$675,$A286,Compta!$B$1:$B$675,$B286,Compta!$C$1:$C$675,"2026"),0))</f>
        <v/>
      </c>
      <c r="G286" t="str">
        <f t="shared" si="45"/>
        <v/>
      </c>
      <c r="H286" t="str">
        <f t="shared" si="46"/>
        <v/>
      </c>
      <c r="I286" t="str">
        <f t="shared" si="47"/>
        <v/>
      </c>
      <c r="J286" t="str">
        <f t="shared" si="48"/>
        <v/>
      </c>
      <c r="K286" t="str">
        <f t="shared" si="49"/>
        <v/>
      </c>
      <c r="L286" t="str">
        <f t="shared" si="50"/>
        <v/>
      </c>
      <c r="M286" t="str">
        <f t="shared" si="51"/>
        <v/>
      </c>
      <c r="N286" t="str">
        <f t="shared" si="52"/>
        <v/>
      </c>
      <c r="O286" t="str">
        <f t="shared" si="53"/>
        <v/>
      </c>
      <c r="P286" t="str">
        <f>IF($A286="","",IF($E286=1,$F286*$O286,PNL!G286))</f>
        <v/>
      </c>
      <c r="T286" t="str">
        <f t="shared" si="54"/>
        <v/>
      </c>
    </row>
    <row r="287" spans="1:20" x14ac:dyDescent="0.45">
      <c r="A287" t="str">
        <f>IF(PNL!A287="","",PNL!A287)</f>
        <v/>
      </c>
      <c r="B287" t="str">
        <f>IF(PNL!B287="","",PNL!B287)</f>
        <v/>
      </c>
      <c r="C287" t="str">
        <f>IF(PNL!C287="","",PNL!C287)</f>
        <v/>
      </c>
      <c r="D287" t="str">
        <f>IF(PNL!D287="","",PNL!D287)</f>
        <v/>
      </c>
      <c r="E287" t="str">
        <f t="shared" si="44"/>
        <v/>
      </c>
      <c r="F287" t="str">
        <f>IF($A287="","",IF($E287=1,SUMIFS(Compta!$F$1:$F$675,Compta!$A$1:$A$675,$A287,Compta!$B$1:$B$675,$B287,Compta!$C$1:$C$675,"2026"),0))</f>
        <v/>
      </c>
      <c r="G287" t="str">
        <f t="shared" si="45"/>
        <v/>
      </c>
      <c r="H287" t="str">
        <f t="shared" si="46"/>
        <v/>
      </c>
      <c r="I287" t="str">
        <f t="shared" si="47"/>
        <v/>
      </c>
      <c r="J287" t="str">
        <f t="shared" si="48"/>
        <v/>
      </c>
      <c r="K287" t="str">
        <f t="shared" si="49"/>
        <v/>
      </c>
      <c r="L287" t="str">
        <f t="shared" si="50"/>
        <v/>
      </c>
      <c r="M287" t="str">
        <f t="shared" si="51"/>
        <v/>
      </c>
      <c r="N287" t="str">
        <f t="shared" si="52"/>
        <v/>
      </c>
      <c r="O287" t="str">
        <f t="shared" si="53"/>
        <v/>
      </c>
      <c r="P287" t="str">
        <f>IF($A287="","",IF($E287=1,$F287*$O287,PNL!G287))</f>
        <v/>
      </c>
      <c r="T287" t="str">
        <f t="shared" si="54"/>
        <v/>
      </c>
    </row>
    <row r="288" spans="1:20" x14ac:dyDescent="0.45">
      <c r="A288" t="str">
        <f>IF(PNL!A288="","",PNL!A288)</f>
        <v/>
      </c>
      <c r="B288" t="str">
        <f>IF(PNL!B288="","",PNL!B288)</f>
        <v/>
      </c>
      <c r="C288" t="str">
        <f>IF(PNL!C288="","",PNL!C288)</f>
        <v/>
      </c>
      <c r="D288" t="str">
        <f>IF(PNL!D288="","",PNL!D288)</f>
        <v/>
      </c>
      <c r="E288" t="str">
        <f t="shared" si="44"/>
        <v/>
      </c>
      <c r="F288" t="str">
        <f>IF($A288="","",IF($E288=1,SUMIFS(Compta!$F$1:$F$675,Compta!$A$1:$A$675,$A288,Compta!$B$1:$B$675,$B288,Compta!$C$1:$C$675,"2026"),0))</f>
        <v/>
      </c>
      <c r="G288" t="str">
        <f t="shared" si="45"/>
        <v/>
      </c>
      <c r="H288" t="str">
        <f t="shared" si="46"/>
        <v/>
      </c>
      <c r="I288" t="str">
        <f t="shared" si="47"/>
        <v/>
      </c>
      <c r="J288" t="str">
        <f t="shared" si="48"/>
        <v/>
      </c>
      <c r="K288" t="str">
        <f t="shared" si="49"/>
        <v/>
      </c>
      <c r="L288" t="str">
        <f t="shared" si="50"/>
        <v/>
      </c>
      <c r="M288" t="str">
        <f t="shared" si="51"/>
        <v/>
      </c>
      <c r="N288" t="str">
        <f t="shared" si="52"/>
        <v/>
      </c>
      <c r="O288" t="str">
        <f t="shared" si="53"/>
        <v/>
      </c>
      <c r="P288" t="str">
        <f>IF($A288="","",IF($E288=1,$F288*$O288,PNL!G288))</f>
        <v/>
      </c>
      <c r="T288" t="str">
        <f t="shared" si="54"/>
        <v/>
      </c>
    </row>
    <row r="289" spans="1:20" x14ac:dyDescent="0.45">
      <c r="A289" t="str">
        <f>IF(PNL!A289="","",PNL!A289)</f>
        <v/>
      </c>
      <c r="B289" t="str">
        <f>IF(PNL!B289="","",PNL!B289)</f>
        <v/>
      </c>
      <c r="C289" t="str">
        <f>IF(PNL!C289="","",PNL!C289)</f>
        <v/>
      </c>
      <c r="D289" t="str">
        <f>IF(PNL!D289="","",PNL!D289)</f>
        <v/>
      </c>
      <c r="E289" t="str">
        <f t="shared" si="44"/>
        <v/>
      </c>
      <c r="F289" t="str">
        <f>IF($A289="","",IF($E289=1,SUMIFS(Compta!$F$1:$F$675,Compta!$A$1:$A$675,$A289,Compta!$B$1:$B$675,$B289,Compta!$C$1:$C$675,"2026"),0))</f>
        <v/>
      </c>
      <c r="G289" t="str">
        <f t="shared" si="45"/>
        <v/>
      </c>
      <c r="H289" t="str">
        <f t="shared" si="46"/>
        <v/>
      </c>
      <c r="I289" t="str">
        <f t="shared" si="47"/>
        <v/>
      </c>
      <c r="J289" t="str">
        <f t="shared" si="48"/>
        <v/>
      </c>
      <c r="K289" t="str">
        <f t="shared" si="49"/>
        <v/>
      </c>
      <c r="L289" t="str">
        <f t="shared" si="50"/>
        <v/>
      </c>
      <c r="M289" t="str">
        <f t="shared" si="51"/>
        <v/>
      </c>
      <c r="N289" t="str">
        <f t="shared" si="52"/>
        <v/>
      </c>
      <c r="O289" t="str">
        <f t="shared" si="53"/>
        <v/>
      </c>
      <c r="P289" t="str">
        <f>IF($A289="","",IF($E289=1,$F289*$O289,PNL!G289))</f>
        <v/>
      </c>
      <c r="T289" t="str">
        <f t="shared" si="54"/>
        <v/>
      </c>
    </row>
    <row r="290" spans="1:20" x14ac:dyDescent="0.45">
      <c r="A290" t="str">
        <f>IF(PNL!A290="","",PNL!A290)</f>
        <v/>
      </c>
      <c r="B290" t="str">
        <f>IF(PNL!B290="","",PNL!B290)</f>
        <v/>
      </c>
      <c r="C290" t="str">
        <f>IF(PNL!C290="","",PNL!C290)</f>
        <v/>
      </c>
      <c r="D290" t="str">
        <f>IF(PNL!D290="","",PNL!D290)</f>
        <v/>
      </c>
      <c r="E290" t="str">
        <f t="shared" si="44"/>
        <v/>
      </c>
      <c r="F290" t="str">
        <f>IF($A290="","",IF($E290=1,SUMIFS(Compta!$F$1:$F$675,Compta!$A$1:$A$675,$A290,Compta!$B$1:$B$675,$B290,Compta!$C$1:$C$675,"2026"),0))</f>
        <v/>
      </c>
      <c r="G290" t="str">
        <f t="shared" si="45"/>
        <v/>
      </c>
      <c r="H290" t="str">
        <f t="shared" si="46"/>
        <v/>
      </c>
      <c r="I290" t="str">
        <f t="shared" si="47"/>
        <v/>
      </c>
      <c r="J290" t="str">
        <f t="shared" si="48"/>
        <v/>
      </c>
      <c r="K290" t="str">
        <f t="shared" si="49"/>
        <v/>
      </c>
      <c r="L290" t="str">
        <f t="shared" si="50"/>
        <v/>
      </c>
      <c r="M290" t="str">
        <f t="shared" si="51"/>
        <v/>
      </c>
      <c r="N290" t="str">
        <f t="shared" si="52"/>
        <v/>
      </c>
      <c r="O290" t="str">
        <f t="shared" si="53"/>
        <v/>
      </c>
      <c r="P290" t="str">
        <f>IF($A290="","",IF($E290=1,$F290*$O290,PNL!G290))</f>
        <v/>
      </c>
      <c r="T290" t="str">
        <f t="shared" si="54"/>
        <v/>
      </c>
    </row>
    <row r="291" spans="1:20" x14ac:dyDescent="0.45">
      <c r="A291" t="str">
        <f>IF(PNL!A291="","",PNL!A291)</f>
        <v/>
      </c>
      <c r="B291" t="str">
        <f>IF(PNL!B291="","",PNL!B291)</f>
        <v/>
      </c>
      <c r="C291" t="str">
        <f>IF(PNL!C291="","",PNL!C291)</f>
        <v/>
      </c>
      <c r="D291" t="str">
        <f>IF(PNL!D291="","",PNL!D291)</f>
        <v/>
      </c>
      <c r="E291" t="str">
        <f t="shared" si="44"/>
        <v/>
      </c>
      <c r="F291" t="str">
        <f>IF($A291="","",IF($E291=1,SUMIFS(Compta!$F$1:$F$675,Compta!$A$1:$A$675,$A291,Compta!$B$1:$B$675,$B291,Compta!$C$1:$C$675,"2026"),0))</f>
        <v/>
      </c>
      <c r="G291" t="str">
        <f t="shared" si="45"/>
        <v/>
      </c>
      <c r="H291" t="str">
        <f t="shared" si="46"/>
        <v/>
      </c>
      <c r="I291" t="str">
        <f t="shared" si="47"/>
        <v/>
      </c>
      <c r="J291" t="str">
        <f t="shared" si="48"/>
        <v/>
      </c>
      <c r="K291" t="str">
        <f t="shared" si="49"/>
        <v/>
      </c>
      <c r="L291" t="str">
        <f t="shared" si="50"/>
        <v/>
      </c>
      <c r="M291" t="str">
        <f t="shared" si="51"/>
        <v/>
      </c>
      <c r="N291" t="str">
        <f t="shared" si="52"/>
        <v/>
      </c>
      <c r="O291" t="str">
        <f t="shared" si="53"/>
        <v/>
      </c>
      <c r="P291" t="str">
        <f>IF($A291="","",IF($E291=1,$F291*$O291,PNL!G291))</f>
        <v/>
      </c>
      <c r="T291" t="str">
        <f t="shared" si="54"/>
        <v/>
      </c>
    </row>
    <row r="292" spans="1:20" x14ac:dyDescent="0.45">
      <c r="A292" t="str">
        <f>IF(PNL!A292="","",PNL!A292)</f>
        <v/>
      </c>
      <c r="B292" t="str">
        <f>IF(PNL!B292="","",PNL!B292)</f>
        <v/>
      </c>
      <c r="C292" t="str">
        <f>IF(PNL!C292="","",PNL!C292)</f>
        <v/>
      </c>
      <c r="D292" t="str">
        <f>IF(PNL!D292="","",PNL!D292)</f>
        <v/>
      </c>
      <c r="E292" t="str">
        <f t="shared" si="44"/>
        <v/>
      </c>
      <c r="F292" t="str">
        <f>IF($A292="","",IF($E292=1,SUMIFS(Compta!$F$1:$F$675,Compta!$A$1:$A$675,$A292,Compta!$B$1:$B$675,$B292,Compta!$C$1:$C$675,"2026"),0))</f>
        <v/>
      </c>
      <c r="G292" t="str">
        <f t="shared" si="45"/>
        <v/>
      </c>
      <c r="H292" t="str">
        <f t="shared" si="46"/>
        <v/>
      </c>
      <c r="I292" t="str">
        <f t="shared" si="47"/>
        <v/>
      </c>
      <c r="J292" t="str">
        <f t="shared" si="48"/>
        <v/>
      </c>
      <c r="K292" t="str">
        <f t="shared" si="49"/>
        <v/>
      </c>
      <c r="L292" t="str">
        <f t="shared" si="50"/>
        <v/>
      </c>
      <c r="M292" t="str">
        <f t="shared" si="51"/>
        <v/>
      </c>
      <c r="N292" t="str">
        <f t="shared" si="52"/>
        <v/>
      </c>
      <c r="O292" t="str">
        <f t="shared" si="53"/>
        <v/>
      </c>
      <c r="P292" t="str">
        <f>IF($A292="","",IF($E292=1,$F292*$O292,PNL!G292))</f>
        <v/>
      </c>
      <c r="T292" t="str">
        <f t="shared" si="54"/>
        <v/>
      </c>
    </row>
    <row r="293" spans="1:20" x14ac:dyDescent="0.45">
      <c r="A293" t="str">
        <f>IF(PNL!A293="","",PNL!A293)</f>
        <v/>
      </c>
      <c r="B293" t="str">
        <f>IF(PNL!B293="","",PNL!B293)</f>
        <v/>
      </c>
      <c r="C293" t="str">
        <f>IF(PNL!C293="","",PNL!C293)</f>
        <v/>
      </c>
      <c r="D293" t="str">
        <f>IF(PNL!D293="","",PNL!D293)</f>
        <v/>
      </c>
      <c r="E293" t="str">
        <f t="shared" si="44"/>
        <v/>
      </c>
      <c r="F293" t="str">
        <f>IF($A293="","",IF($E293=1,SUMIFS(Compta!$F$1:$F$675,Compta!$A$1:$A$675,$A293,Compta!$B$1:$B$675,$B293,Compta!$C$1:$C$675,"2026"),0))</f>
        <v/>
      </c>
      <c r="G293" t="str">
        <f t="shared" si="45"/>
        <v/>
      </c>
      <c r="H293" t="str">
        <f t="shared" si="46"/>
        <v/>
      </c>
      <c r="I293" t="str">
        <f t="shared" si="47"/>
        <v/>
      </c>
      <c r="J293" t="str">
        <f t="shared" si="48"/>
        <v/>
      </c>
      <c r="K293" t="str">
        <f t="shared" si="49"/>
        <v/>
      </c>
      <c r="L293" t="str">
        <f t="shared" si="50"/>
        <v/>
      </c>
      <c r="M293" t="str">
        <f t="shared" si="51"/>
        <v/>
      </c>
      <c r="N293" t="str">
        <f t="shared" si="52"/>
        <v/>
      </c>
      <c r="O293" t="str">
        <f t="shared" si="53"/>
        <v/>
      </c>
      <c r="P293" t="str">
        <f>IF($A293="","",IF($E293=1,$F293*$O293,PNL!G293))</f>
        <v/>
      </c>
      <c r="T293" t="str">
        <f t="shared" si="54"/>
        <v/>
      </c>
    </row>
    <row r="294" spans="1:20" x14ac:dyDescent="0.45">
      <c r="A294" t="str">
        <f>IF(PNL!A294="","",PNL!A294)</f>
        <v/>
      </c>
      <c r="B294" t="str">
        <f>IF(PNL!B294="","",PNL!B294)</f>
        <v/>
      </c>
      <c r="C294" t="str">
        <f>IF(PNL!C294="","",PNL!C294)</f>
        <v/>
      </c>
      <c r="D294" t="str">
        <f>IF(PNL!D294="","",PNL!D294)</f>
        <v/>
      </c>
      <c r="E294" t="str">
        <f t="shared" si="44"/>
        <v/>
      </c>
      <c r="F294" t="str">
        <f>IF($A294="","",IF($E294=1,SUMIFS(Compta!$F$1:$F$675,Compta!$A$1:$A$675,$A294,Compta!$B$1:$B$675,$B294,Compta!$C$1:$C$675,"2026"),0))</f>
        <v/>
      </c>
      <c r="G294" t="str">
        <f t="shared" si="45"/>
        <v/>
      </c>
      <c r="H294" t="str">
        <f t="shared" si="46"/>
        <v/>
      </c>
      <c r="I294" t="str">
        <f t="shared" si="47"/>
        <v/>
      </c>
      <c r="J294" t="str">
        <f t="shared" si="48"/>
        <v/>
      </c>
      <c r="K294" t="str">
        <f t="shared" si="49"/>
        <v/>
      </c>
      <c r="L294" t="str">
        <f t="shared" si="50"/>
        <v/>
      </c>
      <c r="M294" t="str">
        <f t="shared" si="51"/>
        <v/>
      </c>
      <c r="N294" t="str">
        <f t="shared" si="52"/>
        <v/>
      </c>
      <c r="O294" t="str">
        <f t="shared" si="53"/>
        <v/>
      </c>
      <c r="P294" t="str">
        <f>IF($A294="","",IF($E294=1,$F294*$O294,PNL!G294))</f>
        <v/>
      </c>
      <c r="T294" t="str">
        <f t="shared" si="54"/>
        <v/>
      </c>
    </row>
    <row r="295" spans="1:20" x14ac:dyDescent="0.45">
      <c r="A295" t="str">
        <f>IF(PNL!A295="","",PNL!A295)</f>
        <v/>
      </c>
      <c r="B295" t="str">
        <f>IF(PNL!B295="","",PNL!B295)</f>
        <v/>
      </c>
      <c r="C295" t="str">
        <f>IF(PNL!C295="","",PNL!C295)</f>
        <v/>
      </c>
      <c r="D295" t="str">
        <f>IF(PNL!D295="","",PNL!D295)</f>
        <v/>
      </c>
      <c r="E295" t="str">
        <f t="shared" si="44"/>
        <v/>
      </c>
      <c r="F295" t="str">
        <f>IF($A295="","",IF($E295=1,SUMIFS(Compta!$F$1:$F$675,Compta!$A$1:$A$675,$A295,Compta!$B$1:$B$675,$B295,Compta!$C$1:$C$675,"2026"),0))</f>
        <v/>
      </c>
      <c r="G295" t="str">
        <f t="shared" si="45"/>
        <v/>
      </c>
      <c r="H295" t="str">
        <f t="shared" si="46"/>
        <v/>
      </c>
      <c r="I295" t="str">
        <f t="shared" si="47"/>
        <v/>
      </c>
      <c r="J295" t="str">
        <f t="shared" si="48"/>
        <v/>
      </c>
      <c r="K295" t="str">
        <f t="shared" si="49"/>
        <v/>
      </c>
      <c r="L295" t="str">
        <f t="shared" si="50"/>
        <v/>
      </c>
      <c r="M295" t="str">
        <f t="shared" si="51"/>
        <v/>
      </c>
      <c r="N295" t="str">
        <f t="shared" si="52"/>
        <v/>
      </c>
      <c r="O295" t="str">
        <f t="shared" si="53"/>
        <v/>
      </c>
      <c r="P295" t="str">
        <f>IF($A295="","",IF($E295=1,$F295*$O295,PNL!G295))</f>
        <v/>
      </c>
      <c r="T295" t="str">
        <f t="shared" si="54"/>
        <v/>
      </c>
    </row>
    <row r="296" spans="1:20" x14ac:dyDescent="0.45">
      <c r="A296" t="str">
        <f>IF(PNL!A296="","",PNL!A296)</f>
        <v/>
      </c>
      <c r="B296" t="str">
        <f>IF(PNL!B296="","",PNL!B296)</f>
        <v/>
      </c>
      <c r="C296" t="str">
        <f>IF(PNL!C296="","",PNL!C296)</f>
        <v/>
      </c>
      <c r="D296" t="str">
        <f>IF(PNL!D296="","",PNL!D296)</f>
        <v/>
      </c>
      <c r="E296" t="str">
        <f t="shared" si="44"/>
        <v/>
      </c>
      <c r="F296" t="str">
        <f>IF($A296="","",IF($E296=1,SUMIFS(Compta!$F$1:$F$675,Compta!$A$1:$A$675,$A296,Compta!$B$1:$B$675,$B296,Compta!$C$1:$C$675,"2026"),0))</f>
        <v/>
      </c>
      <c r="G296" t="str">
        <f t="shared" si="45"/>
        <v/>
      </c>
      <c r="H296" t="str">
        <f t="shared" si="46"/>
        <v/>
      </c>
      <c r="I296" t="str">
        <f t="shared" si="47"/>
        <v/>
      </c>
      <c r="J296" t="str">
        <f t="shared" si="48"/>
        <v/>
      </c>
      <c r="K296" t="str">
        <f t="shared" si="49"/>
        <v/>
      </c>
      <c r="L296" t="str">
        <f t="shared" si="50"/>
        <v/>
      </c>
      <c r="M296" t="str">
        <f t="shared" si="51"/>
        <v/>
      </c>
      <c r="N296" t="str">
        <f t="shared" si="52"/>
        <v/>
      </c>
      <c r="O296" t="str">
        <f t="shared" si="53"/>
        <v/>
      </c>
      <c r="P296" t="str">
        <f>IF($A296="","",IF($E296=1,$F296*$O296,PNL!G296))</f>
        <v/>
      </c>
      <c r="T296" t="str">
        <f t="shared" si="54"/>
        <v/>
      </c>
    </row>
    <row r="297" spans="1:20" x14ac:dyDescent="0.45">
      <c r="A297" t="str">
        <f>IF(PNL!A297="","",PNL!A297)</f>
        <v/>
      </c>
      <c r="B297" t="str">
        <f>IF(PNL!B297="","",PNL!B297)</f>
        <v/>
      </c>
      <c r="C297" t="str">
        <f>IF(PNL!C297="","",PNL!C297)</f>
        <v/>
      </c>
      <c r="D297" t="str">
        <f>IF(PNL!D297="","",PNL!D297)</f>
        <v/>
      </c>
      <c r="E297" t="str">
        <f t="shared" si="44"/>
        <v/>
      </c>
      <c r="F297" t="str">
        <f>IF($A297="","",IF($E297=1,SUMIFS(Compta!$F$1:$F$675,Compta!$A$1:$A$675,$A297,Compta!$B$1:$B$675,$B297,Compta!$C$1:$C$675,"2026"),0))</f>
        <v/>
      </c>
      <c r="G297" t="str">
        <f t="shared" si="45"/>
        <v/>
      </c>
      <c r="H297" t="str">
        <f t="shared" si="46"/>
        <v/>
      </c>
      <c r="I297" t="str">
        <f t="shared" si="47"/>
        <v/>
      </c>
      <c r="J297" t="str">
        <f t="shared" si="48"/>
        <v/>
      </c>
      <c r="K297" t="str">
        <f t="shared" si="49"/>
        <v/>
      </c>
      <c r="L297" t="str">
        <f t="shared" si="50"/>
        <v/>
      </c>
      <c r="M297" t="str">
        <f t="shared" si="51"/>
        <v/>
      </c>
      <c r="N297" t="str">
        <f t="shared" si="52"/>
        <v/>
      </c>
      <c r="O297" t="str">
        <f t="shared" si="53"/>
        <v/>
      </c>
      <c r="P297" t="str">
        <f>IF($A297="","",IF($E297=1,$F297*$O297,PNL!G297))</f>
        <v/>
      </c>
      <c r="T297" t="str">
        <f t="shared" si="54"/>
        <v/>
      </c>
    </row>
    <row r="298" spans="1:20" x14ac:dyDescent="0.45">
      <c r="A298" t="str">
        <f>IF(PNL!A298="","",PNL!A298)</f>
        <v/>
      </c>
      <c r="B298" t="str">
        <f>IF(PNL!B298="","",PNL!B298)</f>
        <v/>
      </c>
      <c r="C298" t="str">
        <f>IF(PNL!C298="","",PNL!C298)</f>
        <v/>
      </c>
      <c r="D298" t="str">
        <f>IF(PNL!D298="","",PNL!D298)</f>
        <v/>
      </c>
      <c r="E298" t="str">
        <f t="shared" si="44"/>
        <v/>
      </c>
      <c r="F298" t="str">
        <f>IF($A298="","",IF($E298=1,SUMIFS(Compta!$F$1:$F$675,Compta!$A$1:$A$675,$A298,Compta!$B$1:$B$675,$B298,Compta!$C$1:$C$675,"2026"),0))</f>
        <v/>
      </c>
      <c r="G298" t="str">
        <f t="shared" si="45"/>
        <v/>
      </c>
      <c r="H298" t="str">
        <f t="shared" si="46"/>
        <v/>
      </c>
      <c r="I298" t="str">
        <f t="shared" si="47"/>
        <v/>
      </c>
      <c r="J298" t="str">
        <f t="shared" si="48"/>
        <v/>
      </c>
      <c r="K298" t="str">
        <f t="shared" si="49"/>
        <v/>
      </c>
      <c r="L298" t="str">
        <f t="shared" si="50"/>
        <v/>
      </c>
      <c r="M298" t="str">
        <f t="shared" si="51"/>
        <v/>
      </c>
      <c r="N298" t="str">
        <f t="shared" si="52"/>
        <v/>
      </c>
      <c r="O298" t="str">
        <f t="shared" si="53"/>
        <v/>
      </c>
      <c r="P298" t="str">
        <f>IF($A298="","",IF($E298=1,$F298*$O298,PNL!G298))</f>
        <v/>
      </c>
      <c r="T298" t="str">
        <f t="shared" si="54"/>
        <v/>
      </c>
    </row>
    <row r="299" spans="1:20" x14ac:dyDescent="0.45">
      <c r="A299" t="str">
        <f>IF(PNL!A299="","",PNL!A299)</f>
        <v/>
      </c>
      <c r="B299" t="str">
        <f>IF(PNL!B299="","",PNL!B299)</f>
        <v/>
      </c>
      <c r="C299" t="str">
        <f>IF(PNL!C299="","",PNL!C299)</f>
        <v/>
      </c>
      <c r="D299" t="str">
        <f>IF(PNL!D299="","",PNL!D299)</f>
        <v/>
      </c>
      <c r="E299" t="str">
        <f t="shared" si="44"/>
        <v/>
      </c>
      <c r="F299" t="str">
        <f>IF($A299="","",IF($E299=1,SUMIFS(Compta!$F$1:$F$675,Compta!$A$1:$A$675,$A299,Compta!$B$1:$B$675,$B299,Compta!$C$1:$C$675,"2026"),0))</f>
        <v/>
      </c>
      <c r="G299" t="str">
        <f t="shared" si="45"/>
        <v/>
      </c>
      <c r="H299" t="str">
        <f t="shared" si="46"/>
        <v/>
      </c>
      <c r="I299" t="str">
        <f t="shared" si="47"/>
        <v/>
      </c>
      <c r="J299" t="str">
        <f t="shared" si="48"/>
        <v/>
      </c>
      <c r="K299" t="str">
        <f t="shared" si="49"/>
        <v/>
      </c>
      <c r="L299" t="str">
        <f t="shared" si="50"/>
        <v/>
      </c>
      <c r="M299" t="str">
        <f t="shared" si="51"/>
        <v/>
      </c>
      <c r="N299" t="str">
        <f t="shared" si="52"/>
        <v/>
      </c>
      <c r="O299" t="str">
        <f t="shared" si="53"/>
        <v/>
      </c>
      <c r="P299" t="str">
        <f>IF($A299="","",IF($E299=1,$F299*$O299,PNL!G299))</f>
        <v/>
      </c>
      <c r="T299" t="str">
        <f t="shared" si="54"/>
        <v/>
      </c>
    </row>
    <row r="300" spans="1:20" x14ac:dyDescent="0.45">
      <c r="A300" t="str">
        <f>IF(PNL!A300="","",PNL!A300)</f>
        <v/>
      </c>
      <c r="B300" t="str">
        <f>IF(PNL!B300="","",PNL!B300)</f>
        <v/>
      </c>
      <c r="C300" t="str">
        <f>IF(PNL!C300="","",PNL!C300)</f>
        <v/>
      </c>
      <c r="D300" t="str">
        <f>IF(PNL!D300="","",PNL!D300)</f>
        <v/>
      </c>
      <c r="E300" t="str">
        <f t="shared" si="44"/>
        <v/>
      </c>
      <c r="F300" t="str">
        <f>IF($A300="","",IF($E300=1,SUMIFS(Compta!$F$1:$F$675,Compta!$A$1:$A$675,$A300,Compta!$B$1:$B$675,$B300,Compta!$C$1:$C$675,"2026"),0))</f>
        <v/>
      </c>
      <c r="G300" t="str">
        <f t="shared" si="45"/>
        <v/>
      </c>
      <c r="H300" t="str">
        <f t="shared" si="46"/>
        <v/>
      </c>
      <c r="I300" t="str">
        <f t="shared" si="47"/>
        <v/>
      </c>
      <c r="J300" t="str">
        <f t="shared" si="48"/>
        <v/>
      </c>
      <c r="K300" t="str">
        <f t="shared" si="49"/>
        <v/>
      </c>
      <c r="L300" t="str">
        <f t="shared" si="50"/>
        <v/>
      </c>
      <c r="M300" t="str">
        <f t="shared" si="51"/>
        <v/>
      </c>
      <c r="N300" t="str">
        <f t="shared" si="52"/>
        <v/>
      </c>
      <c r="O300" t="str">
        <f t="shared" si="53"/>
        <v/>
      </c>
      <c r="P300" t="str">
        <f>IF($A300="","",IF($E300=1,$F300*$O300,PNL!G300))</f>
        <v/>
      </c>
      <c r="T300" t="str">
        <f t="shared" si="54"/>
        <v/>
      </c>
    </row>
    <row r="301" spans="1:20" x14ac:dyDescent="0.45">
      <c r="A301" t="str">
        <f>IF(PNL!A301="","",PNL!A301)</f>
        <v/>
      </c>
      <c r="B301" t="str">
        <f>IF(PNL!B301="","",PNL!B301)</f>
        <v/>
      </c>
      <c r="C301" t="str">
        <f>IF(PNL!C301="","",PNL!C301)</f>
        <v/>
      </c>
      <c r="D301" t="str">
        <f>IF(PNL!D301="","",PNL!D301)</f>
        <v/>
      </c>
      <c r="E301" t="str">
        <f t="shared" si="44"/>
        <v/>
      </c>
      <c r="F301" t="str">
        <f>IF($A301="","",IF($E301=1,SUMIFS(Compta!$F$1:$F$675,Compta!$A$1:$A$675,$A301,Compta!$B$1:$B$675,$B301,Compta!$C$1:$C$675,"2026"),0))</f>
        <v/>
      </c>
      <c r="G301" t="str">
        <f t="shared" si="45"/>
        <v/>
      </c>
      <c r="H301" t="str">
        <f t="shared" si="46"/>
        <v/>
      </c>
      <c r="I301" t="str">
        <f t="shared" si="47"/>
        <v/>
      </c>
      <c r="J301" t="str">
        <f t="shared" si="48"/>
        <v/>
      </c>
      <c r="K301" t="str">
        <f t="shared" si="49"/>
        <v/>
      </c>
      <c r="L301" t="str">
        <f t="shared" si="50"/>
        <v/>
      </c>
      <c r="M301" t="str">
        <f t="shared" si="51"/>
        <v/>
      </c>
      <c r="N301" t="str">
        <f t="shared" si="52"/>
        <v/>
      </c>
      <c r="O301" t="str">
        <f t="shared" si="53"/>
        <v/>
      </c>
      <c r="P301" t="str">
        <f>IF($A301="","",IF($E301=1,$F301*$O301,PNL!G301))</f>
        <v/>
      </c>
      <c r="T301" t="str">
        <f t="shared" si="54"/>
        <v/>
      </c>
    </row>
    <row r="302" spans="1:20" x14ac:dyDescent="0.45">
      <c r="A302" t="str">
        <f>IF(PNL!A302="","",PNL!A302)</f>
        <v/>
      </c>
      <c r="B302" t="str">
        <f>IF(PNL!B302="","",PNL!B302)</f>
        <v/>
      </c>
      <c r="C302" t="str">
        <f>IF(PNL!C302="","",PNL!C302)</f>
        <v/>
      </c>
      <c r="D302" t="str">
        <f>IF(PNL!D302="","",PNL!D302)</f>
        <v/>
      </c>
      <c r="E302" t="str">
        <f t="shared" si="44"/>
        <v/>
      </c>
      <c r="F302" t="str">
        <f>IF($A302="","",IF($E302=1,SUMIFS(Compta!$F$1:$F$675,Compta!$A$1:$A$675,$A302,Compta!$B$1:$B$675,$B302,Compta!$C$1:$C$675,"2026"),0))</f>
        <v/>
      </c>
      <c r="G302" t="str">
        <f t="shared" si="45"/>
        <v/>
      </c>
      <c r="H302" t="str">
        <f t="shared" si="46"/>
        <v/>
      </c>
      <c r="I302" t="str">
        <f t="shared" si="47"/>
        <v/>
      </c>
      <c r="J302" t="str">
        <f t="shared" si="48"/>
        <v/>
      </c>
      <c r="K302" t="str">
        <f t="shared" si="49"/>
        <v/>
      </c>
      <c r="L302" t="str">
        <f t="shared" si="50"/>
        <v/>
      </c>
      <c r="M302" t="str">
        <f t="shared" si="51"/>
        <v/>
      </c>
      <c r="N302" t="str">
        <f t="shared" si="52"/>
        <v/>
      </c>
      <c r="O302" t="str">
        <f t="shared" si="53"/>
        <v/>
      </c>
      <c r="P302" t="str">
        <f>IF($A302="","",IF($E302=1,$F302*$O302,PNL!G302))</f>
        <v/>
      </c>
      <c r="T302" t="str">
        <f t="shared" si="54"/>
        <v/>
      </c>
    </row>
    <row r="303" spans="1:20" x14ac:dyDescent="0.45">
      <c r="A303" t="str">
        <f>IF(PNL!A303="","",PNL!A303)</f>
        <v/>
      </c>
      <c r="B303" t="str">
        <f>IF(PNL!B303="","",PNL!B303)</f>
        <v/>
      </c>
      <c r="C303" t="str">
        <f>IF(PNL!C303="","",PNL!C303)</f>
        <v/>
      </c>
      <c r="D303" t="str">
        <f>IF(PNL!D303="","",PNL!D303)</f>
        <v/>
      </c>
      <c r="E303" t="str">
        <f t="shared" si="44"/>
        <v/>
      </c>
      <c r="F303" t="str">
        <f>IF($A303="","",IF($E303=1,SUMIFS(Compta!$F$1:$F$675,Compta!$A$1:$A$675,$A303,Compta!$B$1:$B$675,$B303,Compta!$C$1:$C$675,"2026"),0))</f>
        <v/>
      </c>
      <c r="G303" t="str">
        <f t="shared" si="45"/>
        <v/>
      </c>
      <c r="H303" t="str">
        <f t="shared" si="46"/>
        <v/>
      </c>
      <c r="I303" t="str">
        <f t="shared" si="47"/>
        <v/>
      </c>
      <c r="J303" t="str">
        <f t="shared" si="48"/>
        <v/>
      </c>
      <c r="K303" t="str">
        <f t="shared" si="49"/>
        <v/>
      </c>
      <c r="L303" t="str">
        <f t="shared" si="50"/>
        <v/>
      </c>
      <c r="M303" t="str">
        <f t="shared" si="51"/>
        <v/>
      </c>
      <c r="N303" t="str">
        <f t="shared" si="52"/>
        <v/>
      </c>
      <c r="O303" t="str">
        <f t="shared" si="53"/>
        <v/>
      </c>
      <c r="P303" t="str">
        <f>IF($A303="","",IF($E303=1,$F303*$O303,PNL!G303))</f>
        <v/>
      </c>
      <c r="T303" t="str">
        <f t="shared" si="54"/>
        <v/>
      </c>
    </row>
    <row r="304" spans="1:20" x14ac:dyDescent="0.45">
      <c r="A304" t="str">
        <f>IF(PNL!A304="","",PNL!A304)</f>
        <v/>
      </c>
      <c r="B304" t="str">
        <f>IF(PNL!B304="","",PNL!B304)</f>
        <v/>
      </c>
      <c r="C304" t="str">
        <f>IF(PNL!C304="","",PNL!C304)</f>
        <v/>
      </c>
      <c r="D304" t="str">
        <f>IF(PNL!D304="","",PNL!D304)</f>
        <v/>
      </c>
      <c r="E304" t="str">
        <f t="shared" si="44"/>
        <v/>
      </c>
      <c r="F304" t="str">
        <f>IF($A304="","",IF($E304=1,SUMIFS(Compta!$F$1:$F$675,Compta!$A$1:$A$675,$A304,Compta!$B$1:$B$675,$B304,Compta!$C$1:$C$675,"2026"),0))</f>
        <v/>
      </c>
      <c r="G304" t="str">
        <f t="shared" si="45"/>
        <v/>
      </c>
      <c r="H304" t="str">
        <f t="shared" si="46"/>
        <v/>
      </c>
      <c r="I304" t="str">
        <f t="shared" si="47"/>
        <v/>
      </c>
      <c r="J304" t="str">
        <f t="shared" si="48"/>
        <v/>
      </c>
      <c r="K304" t="str">
        <f t="shared" si="49"/>
        <v/>
      </c>
      <c r="L304" t="str">
        <f t="shared" si="50"/>
        <v/>
      </c>
      <c r="M304" t="str">
        <f t="shared" si="51"/>
        <v/>
      </c>
      <c r="N304" t="str">
        <f t="shared" si="52"/>
        <v/>
      </c>
      <c r="O304" t="str">
        <f t="shared" si="53"/>
        <v/>
      </c>
      <c r="P304" t="str">
        <f>IF($A304="","",IF($E304=1,$F304*$O304,PNL!G304))</f>
        <v/>
      </c>
      <c r="T304" t="str">
        <f t="shared" si="54"/>
        <v/>
      </c>
    </row>
    <row r="305" spans="1:20" x14ac:dyDescent="0.45">
      <c r="A305" t="str">
        <f>IF(PNL!A305="","",PNL!A305)</f>
        <v/>
      </c>
      <c r="B305" t="str">
        <f>IF(PNL!B305="","",PNL!B305)</f>
        <v/>
      </c>
      <c r="C305" t="str">
        <f>IF(PNL!C305="","",PNL!C305)</f>
        <v/>
      </c>
      <c r="D305" t="str">
        <f>IF(PNL!D305="","",PNL!D305)</f>
        <v/>
      </c>
      <c r="E305" t="str">
        <f t="shared" si="44"/>
        <v/>
      </c>
      <c r="F305" t="str">
        <f>IF($A305="","",IF($E305=1,SUMIFS(Compta!$F$1:$F$675,Compta!$A$1:$A$675,$A305,Compta!$B$1:$B$675,$B305,Compta!$C$1:$C$675,"2026"),0))</f>
        <v/>
      </c>
      <c r="G305" t="str">
        <f t="shared" si="45"/>
        <v/>
      </c>
      <c r="H305" t="str">
        <f t="shared" si="46"/>
        <v/>
      </c>
      <c r="I305" t="str">
        <f t="shared" si="47"/>
        <v/>
      </c>
      <c r="J305" t="str">
        <f t="shared" si="48"/>
        <v/>
      </c>
      <c r="K305" t="str">
        <f t="shared" si="49"/>
        <v/>
      </c>
      <c r="L305" t="str">
        <f t="shared" si="50"/>
        <v/>
      </c>
      <c r="M305" t="str">
        <f t="shared" si="51"/>
        <v/>
      </c>
      <c r="N305" t="str">
        <f t="shared" si="52"/>
        <v/>
      </c>
      <c r="O305" t="str">
        <f t="shared" si="53"/>
        <v/>
      </c>
      <c r="P305" t="str">
        <f>IF($A305="","",IF($E305=1,$F305*$O305,PNL!G305))</f>
        <v/>
      </c>
      <c r="T305" t="str">
        <f t="shared" si="54"/>
        <v/>
      </c>
    </row>
    <row r="306" spans="1:20" x14ac:dyDescent="0.45">
      <c r="A306" t="str">
        <f>IF(PNL!A306="","",PNL!A306)</f>
        <v/>
      </c>
      <c r="B306" t="str">
        <f>IF(PNL!B306="","",PNL!B306)</f>
        <v/>
      </c>
      <c r="C306" t="str">
        <f>IF(PNL!C306="","",PNL!C306)</f>
        <v/>
      </c>
      <c r="D306" t="str">
        <f>IF(PNL!D306="","",PNL!D306)</f>
        <v/>
      </c>
      <c r="E306" t="str">
        <f t="shared" si="44"/>
        <v/>
      </c>
      <c r="F306" t="str">
        <f>IF($A306="","",IF($E306=1,SUMIFS(Compta!$F$1:$F$675,Compta!$A$1:$A$675,$A306,Compta!$B$1:$B$675,$B306,Compta!$C$1:$C$675,"2026"),0))</f>
        <v/>
      </c>
      <c r="G306" t="str">
        <f t="shared" si="45"/>
        <v/>
      </c>
      <c r="H306" t="str">
        <f t="shared" si="46"/>
        <v/>
      </c>
      <c r="I306" t="str">
        <f t="shared" si="47"/>
        <v/>
      </c>
      <c r="J306" t="str">
        <f t="shared" si="48"/>
        <v/>
      </c>
      <c r="K306" t="str">
        <f t="shared" si="49"/>
        <v/>
      </c>
      <c r="L306" t="str">
        <f t="shared" si="50"/>
        <v/>
      </c>
      <c r="M306" t="str">
        <f t="shared" si="51"/>
        <v/>
      </c>
      <c r="N306" t="str">
        <f t="shared" si="52"/>
        <v/>
      </c>
      <c r="O306" t="str">
        <f t="shared" si="53"/>
        <v/>
      </c>
      <c r="P306" t="str">
        <f>IF($A306="","",IF($E306=1,$F306*$O306,PNL!G306))</f>
        <v/>
      </c>
      <c r="T306" t="str">
        <f t="shared" si="54"/>
        <v/>
      </c>
    </row>
    <row r="307" spans="1:20" x14ac:dyDescent="0.45">
      <c r="A307" t="str">
        <f>IF(PNL!A307="","",PNL!A307)</f>
        <v/>
      </c>
      <c r="B307" t="str">
        <f>IF(PNL!B307="","",PNL!B307)</f>
        <v/>
      </c>
      <c r="C307" t="str">
        <f>IF(PNL!C307="","",PNL!C307)</f>
        <v/>
      </c>
      <c r="D307" t="str">
        <f>IF(PNL!D307="","",PNL!D307)</f>
        <v/>
      </c>
      <c r="E307" t="str">
        <f t="shared" si="44"/>
        <v/>
      </c>
      <c r="F307" t="str">
        <f>IF($A307="","",IF($E307=1,SUMIFS(Compta!$F$1:$F$675,Compta!$A$1:$A$675,$A307,Compta!$B$1:$B$675,$B307,Compta!$C$1:$C$675,"2026"),0))</f>
        <v/>
      </c>
      <c r="G307" t="str">
        <f t="shared" si="45"/>
        <v/>
      </c>
      <c r="H307" t="str">
        <f t="shared" si="46"/>
        <v/>
      </c>
      <c r="I307" t="str">
        <f t="shared" si="47"/>
        <v/>
      </c>
      <c r="J307" t="str">
        <f t="shared" si="48"/>
        <v/>
      </c>
      <c r="K307" t="str">
        <f t="shared" si="49"/>
        <v/>
      </c>
      <c r="L307" t="str">
        <f t="shared" si="50"/>
        <v/>
      </c>
      <c r="M307" t="str">
        <f t="shared" si="51"/>
        <v/>
      </c>
      <c r="N307" t="str">
        <f t="shared" si="52"/>
        <v/>
      </c>
      <c r="O307" t="str">
        <f t="shared" si="53"/>
        <v/>
      </c>
      <c r="P307" t="str">
        <f>IF($A307="","",IF($E307=1,$F307*$O307,PNL!G307))</f>
        <v/>
      </c>
      <c r="T307" t="str">
        <f t="shared" si="54"/>
        <v/>
      </c>
    </row>
    <row r="308" spans="1:20" x14ac:dyDescent="0.45">
      <c r="A308" t="str">
        <f>IF(PNL!A308="","",PNL!A308)</f>
        <v/>
      </c>
      <c r="B308" t="str">
        <f>IF(PNL!B308="","",PNL!B308)</f>
        <v/>
      </c>
      <c r="C308" t="str">
        <f>IF(PNL!C308="","",PNL!C308)</f>
        <v/>
      </c>
      <c r="D308" t="str">
        <f>IF(PNL!D308="","",PNL!D308)</f>
        <v/>
      </c>
      <c r="E308" t="str">
        <f t="shared" si="44"/>
        <v/>
      </c>
      <c r="F308" t="str">
        <f>IF($A308="","",IF($E308=1,SUMIFS(Compta!$F$1:$F$675,Compta!$A$1:$A$675,$A308,Compta!$B$1:$B$675,$B308,Compta!$C$1:$C$675,"2026"),0))</f>
        <v/>
      </c>
      <c r="G308" t="str">
        <f t="shared" si="45"/>
        <v/>
      </c>
      <c r="H308" t="str">
        <f t="shared" si="46"/>
        <v/>
      </c>
      <c r="I308" t="str">
        <f t="shared" si="47"/>
        <v/>
      </c>
      <c r="J308" t="str">
        <f t="shared" si="48"/>
        <v/>
      </c>
      <c r="K308" t="str">
        <f t="shared" si="49"/>
        <v/>
      </c>
      <c r="L308" t="str">
        <f t="shared" si="50"/>
        <v/>
      </c>
      <c r="M308" t="str">
        <f t="shared" si="51"/>
        <v/>
      </c>
      <c r="N308" t="str">
        <f t="shared" si="52"/>
        <v/>
      </c>
      <c r="O308" t="str">
        <f t="shared" si="53"/>
        <v/>
      </c>
      <c r="P308" t="str">
        <f>IF($A308="","",IF($E308=1,$F308*$O308,PNL!G308))</f>
        <v/>
      </c>
      <c r="T308" t="str">
        <f t="shared" si="54"/>
        <v/>
      </c>
    </row>
    <row r="309" spans="1:20" x14ac:dyDescent="0.45">
      <c r="A309" t="str">
        <f>IF(PNL!A309="","",PNL!A309)</f>
        <v/>
      </c>
      <c r="B309" t="str">
        <f>IF(PNL!B309="","",PNL!B309)</f>
        <v/>
      </c>
      <c r="C309" t="str">
        <f>IF(PNL!C309="","",PNL!C309)</f>
        <v/>
      </c>
      <c r="D309" t="str">
        <f>IF(PNL!D309="","",PNL!D309)</f>
        <v/>
      </c>
      <c r="E309" t="str">
        <f t="shared" si="44"/>
        <v/>
      </c>
      <c r="F309" t="str">
        <f>IF($A309="","",IF($E309=1,SUMIFS(Compta!$F$1:$F$675,Compta!$A$1:$A$675,$A309,Compta!$B$1:$B$675,$B309,Compta!$C$1:$C$675,"2026"),0))</f>
        <v/>
      </c>
      <c r="G309" t="str">
        <f t="shared" si="45"/>
        <v/>
      </c>
      <c r="H309" t="str">
        <f t="shared" si="46"/>
        <v/>
      </c>
      <c r="I309" t="str">
        <f t="shared" si="47"/>
        <v/>
      </c>
      <c r="J309" t="str">
        <f t="shared" si="48"/>
        <v/>
      </c>
      <c r="K309" t="str">
        <f t="shared" si="49"/>
        <v/>
      </c>
      <c r="L309" t="str">
        <f t="shared" si="50"/>
        <v/>
      </c>
      <c r="M309" t="str">
        <f t="shared" si="51"/>
        <v/>
      </c>
      <c r="N309" t="str">
        <f t="shared" si="52"/>
        <v/>
      </c>
      <c r="O309" t="str">
        <f t="shared" si="53"/>
        <v/>
      </c>
      <c r="P309" t="str">
        <f>IF($A309="","",IF($E309=1,$F309*$O309,PNL!G309))</f>
        <v/>
      </c>
      <c r="T309" t="str">
        <f t="shared" si="54"/>
        <v/>
      </c>
    </row>
    <row r="310" spans="1:20" x14ac:dyDescent="0.45">
      <c r="A310" t="str">
        <f>IF(PNL!A310="","",PNL!A310)</f>
        <v/>
      </c>
      <c r="B310" t="str">
        <f>IF(PNL!B310="","",PNL!B310)</f>
        <v/>
      </c>
      <c r="C310" t="str">
        <f>IF(PNL!C310="","",PNL!C310)</f>
        <v/>
      </c>
      <c r="D310" t="str">
        <f>IF(PNL!D310="","",PNL!D310)</f>
        <v/>
      </c>
      <c r="E310" t="str">
        <f t="shared" si="44"/>
        <v/>
      </c>
      <c r="F310" t="str">
        <f>IF($A310="","",IF($E310=1,SUMIFS(Compta!$F$1:$F$675,Compta!$A$1:$A$675,$A310,Compta!$B$1:$B$675,$B310,Compta!$C$1:$C$675,"2026"),0))</f>
        <v/>
      </c>
      <c r="G310" t="str">
        <f t="shared" si="45"/>
        <v/>
      </c>
      <c r="H310" t="str">
        <f t="shared" si="46"/>
        <v/>
      </c>
      <c r="I310" t="str">
        <f t="shared" si="47"/>
        <v/>
      </c>
      <c r="J310" t="str">
        <f t="shared" si="48"/>
        <v/>
      </c>
      <c r="K310" t="str">
        <f t="shared" si="49"/>
        <v/>
      </c>
      <c r="L310" t="str">
        <f t="shared" si="50"/>
        <v/>
      </c>
      <c r="M310" t="str">
        <f t="shared" si="51"/>
        <v/>
      </c>
      <c r="N310" t="str">
        <f t="shared" si="52"/>
        <v/>
      </c>
      <c r="O310" t="str">
        <f t="shared" si="53"/>
        <v/>
      </c>
      <c r="P310" t="str">
        <f>IF($A310="","",IF($E310=1,$F310*$O310,PNL!G310))</f>
        <v/>
      </c>
      <c r="T310" t="str">
        <f t="shared" si="54"/>
        <v/>
      </c>
    </row>
    <row r="311" spans="1:20" x14ac:dyDescent="0.45">
      <c r="A311" t="str">
        <f>IF(PNL!A311="","",PNL!A311)</f>
        <v/>
      </c>
      <c r="B311" t="str">
        <f>IF(PNL!B311="","",PNL!B311)</f>
        <v/>
      </c>
      <c r="C311" t="str">
        <f>IF(PNL!C311="","",PNL!C311)</f>
        <v/>
      </c>
      <c r="D311" t="str">
        <f>IF(PNL!D311="","",PNL!D311)</f>
        <v/>
      </c>
      <c r="E311" t="str">
        <f t="shared" si="44"/>
        <v/>
      </c>
      <c r="F311" t="str">
        <f>IF($A311="","",IF($E311=1,SUMIFS(Compta!$F$1:$F$675,Compta!$A$1:$A$675,$A311,Compta!$B$1:$B$675,$B311,Compta!$C$1:$C$675,"2026"),0))</f>
        <v/>
      </c>
      <c r="G311" t="str">
        <f t="shared" si="45"/>
        <v/>
      </c>
      <c r="H311" t="str">
        <f t="shared" si="46"/>
        <v/>
      </c>
      <c r="I311" t="str">
        <f t="shared" si="47"/>
        <v/>
      </c>
      <c r="J311" t="str">
        <f t="shared" si="48"/>
        <v/>
      </c>
      <c r="K311" t="str">
        <f t="shared" si="49"/>
        <v/>
      </c>
      <c r="L311" t="str">
        <f t="shared" si="50"/>
        <v/>
      </c>
      <c r="M311" t="str">
        <f t="shared" si="51"/>
        <v/>
      </c>
      <c r="N311" t="str">
        <f t="shared" si="52"/>
        <v/>
      </c>
      <c r="O311" t="str">
        <f t="shared" si="53"/>
        <v/>
      </c>
      <c r="P311" t="str">
        <f>IF($A311="","",IF($E311=1,$F311*$O311,PNL!G311))</f>
        <v/>
      </c>
      <c r="T311" t="str">
        <f t="shared" si="54"/>
        <v/>
      </c>
    </row>
    <row r="312" spans="1:20" x14ac:dyDescent="0.45">
      <c r="A312" t="str">
        <f>IF(PNL!A312="","",PNL!A312)</f>
        <v/>
      </c>
      <c r="B312" t="str">
        <f>IF(PNL!B312="","",PNL!B312)</f>
        <v/>
      </c>
      <c r="C312" t="str">
        <f>IF(PNL!C312="","",PNL!C312)</f>
        <v/>
      </c>
      <c r="D312" t="str">
        <f>IF(PNL!D312="","",PNL!D312)</f>
        <v/>
      </c>
      <c r="E312" t="str">
        <f t="shared" si="44"/>
        <v/>
      </c>
      <c r="F312" t="str">
        <f>IF($A312="","",IF($E312=1,SUMIFS(Compta!$F$1:$F$675,Compta!$A$1:$A$675,$A312,Compta!$B$1:$B$675,$B312,Compta!$C$1:$C$675,"2026"),0))</f>
        <v/>
      </c>
      <c r="G312" t="str">
        <f t="shared" si="45"/>
        <v/>
      </c>
      <c r="H312" t="str">
        <f t="shared" si="46"/>
        <v/>
      </c>
      <c r="I312" t="str">
        <f t="shared" si="47"/>
        <v/>
      </c>
      <c r="J312" t="str">
        <f t="shared" si="48"/>
        <v/>
      </c>
      <c r="K312" t="str">
        <f t="shared" si="49"/>
        <v/>
      </c>
      <c r="L312" t="str">
        <f t="shared" si="50"/>
        <v/>
      </c>
      <c r="M312" t="str">
        <f t="shared" si="51"/>
        <v/>
      </c>
      <c r="N312" t="str">
        <f t="shared" si="52"/>
        <v/>
      </c>
      <c r="O312" t="str">
        <f t="shared" si="53"/>
        <v/>
      </c>
      <c r="P312" t="str">
        <f>IF($A312="","",IF($E312=1,$F312*$O312,PNL!G312))</f>
        <v/>
      </c>
      <c r="T312" t="str">
        <f t="shared" si="54"/>
        <v/>
      </c>
    </row>
    <row r="313" spans="1:20" x14ac:dyDescent="0.45">
      <c r="A313" t="str">
        <f>IF(PNL!A313="","",PNL!A313)</f>
        <v/>
      </c>
      <c r="B313" t="str">
        <f>IF(PNL!B313="","",PNL!B313)</f>
        <v/>
      </c>
      <c r="C313" t="str">
        <f>IF(PNL!C313="","",PNL!C313)</f>
        <v/>
      </c>
      <c r="D313" t="str">
        <f>IF(PNL!D313="","",PNL!D313)</f>
        <v/>
      </c>
      <c r="E313" t="str">
        <f t="shared" si="44"/>
        <v/>
      </c>
      <c r="F313" t="str">
        <f>IF($A313="","",IF($E313=1,SUMIFS(Compta!$F$1:$F$675,Compta!$A$1:$A$675,$A313,Compta!$B$1:$B$675,$B313,Compta!$C$1:$C$675,"2026"),0))</f>
        <v/>
      </c>
      <c r="G313" t="str">
        <f t="shared" si="45"/>
        <v/>
      </c>
      <c r="H313" t="str">
        <f t="shared" si="46"/>
        <v/>
      </c>
      <c r="I313" t="str">
        <f t="shared" si="47"/>
        <v/>
      </c>
      <c r="J313" t="str">
        <f t="shared" si="48"/>
        <v/>
      </c>
      <c r="K313" t="str">
        <f t="shared" si="49"/>
        <v/>
      </c>
      <c r="L313" t="str">
        <f t="shared" si="50"/>
        <v/>
      </c>
      <c r="M313" t="str">
        <f t="shared" si="51"/>
        <v/>
      </c>
      <c r="N313" t="str">
        <f t="shared" si="52"/>
        <v/>
      </c>
      <c r="O313" t="str">
        <f t="shared" si="53"/>
        <v/>
      </c>
      <c r="P313" t="str">
        <f>IF($A313="","",IF($E313=1,$F313*$O313,PNL!G313))</f>
        <v/>
      </c>
      <c r="T313" t="str">
        <f t="shared" si="54"/>
        <v/>
      </c>
    </row>
    <row r="314" spans="1:20" x14ac:dyDescent="0.45">
      <c r="A314" t="str">
        <f>IF(PNL!A314="","",PNL!A314)</f>
        <v/>
      </c>
      <c r="B314" t="str">
        <f>IF(PNL!B314="","",PNL!B314)</f>
        <v/>
      </c>
      <c r="C314" t="str">
        <f>IF(PNL!C314="","",PNL!C314)</f>
        <v/>
      </c>
      <c r="D314" t="str">
        <f>IF(PNL!D314="","",PNL!D314)</f>
        <v/>
      </c>
      <c r="E314" t="str">
        <f t="shared" si="44"/>
        <v/>
      </c>
      <c r="F314" t="str">
        <f>IF($A314="","",IF($E314=1,SUMIFS(Compta!$F$1:$F$675,Compta!$A$1:$A$675,$A314,Compta!$B$1:$B$675,$B314,Compta!$C$1:$C$675,"2026"),0))</f>
        <v/>
      </c>
      <c r="G314" t="str">
        <f t="shared" si="45"/>
        <v/>
      </c>
      <c r="H314" t="str">
        <f t="shared" si="46"/>
        <v/>
      </c>
      <c r="I314" t="str">
        <f t="shared" si="47"/>
        <v/>
      </c>
      <c r="J314" t="str">
        <f t="shared" si="48"/>
        <v/>
      </c>
      <c r="K314" t="str">
        <f t="shared" si="49"/>
        <v/>
      </c>
      <c r="L314" t="str">
        <f t="shared" si="50"/>
        <v/>
      </c>
      <c r="M314" t="str">
        <f t="shared" si="51"/>
        <v/>
      </c>
      <c r="N314" t="str">
        <f t="shared" si="52"/>
        <v/>
      </c>
      <c r="O314" t="str">
        <f t="shared" si="53"/>
        <v/>
      </c>
      <c r="P314" t="str">
        <f>IF($A314="","",IF($E314=1,$F314*$O314,PNL!G314))</f>
        <v/>
      </c>
      <c r="T314" t="str">
        <f t="shared" si="54"/>
        <v/>
      </c>
    </row>
    <row r="315" spans="1:20" x14ac:dyDescent="0.45">
      <c r="A315" t="str">
        <f>IF(PNL!A315="","",PNL!A315)</f>
        <v/>
      </c>
      <c r="B315" t="str">
        <f>IF(PNL!B315="","",PNL!B315)</f>
        <v/>
      </c>
      <c r="C315" t="str">
        <f>IF(PNL!C315="","",PNL!C315)</f>
        <v/>
      </c>
      <c r="D315" t="str">
        <f>IF(PNL!D315="","",PNL!D315)</f>
        <v/>
      </c>
      <c r="E315" t="str">
        <f t="shared" si="44"/>
        <v/>
      </c>
      <c r="F315" t="str">
        <f>IF($A315="","",IF($E315=1,SUMIFS(Compta!$F$1:$F$675,Compta!$A$1:$A$675,$A315,Compta!$B$1:$B$675,$B315,Compta!$C$1:$C$675,"2026"),0))</f>
        <v/>
      </c>
      <c r="G315" t="str">
        <f t="shared" si="45"/>
        <v/>
      </c>
      <c r="H315" t="str">
        <f t="shared" si="46"/>
        <v/>
      </c>
      <c r="I315" t="str">
        <f t="shared" si="47"/>
        <v/>
      </c>
      <c r="J315" t="str">
        <f t="shared" si="48"/>
        <v/>
      </c>
      <c r="K315" t="str">
        <f t="shared" si="49"/>
        <v/>
      </c>
      <c r="L315" t="str">
        <f t="shared" si="50"/>
        <v/>
      </c>
      <c r="M315" t="str">
        <f t="shared" si="51"/>
        <v/>
      </c>
      <c r="N315" t="str">
        <f t="shared" si="52"/>
        <v/>
      </c>
      <c r="O315" t="str">
        <f t="shared" si="53"/>
        <v/>
      </c>
      <c r="P315" t="str">
        <f>IF($A315="","",IF($E315=1,$F315*$O315,PNL!G315))</f>
        <v/>
      </c>
      <c r="T315" t="str">
        <f t="shared" si="54"/>
        <v/>
      </c>
    </row>
    <row r="316" spans="1:20" x14ac:dyDescent="0.45">
      <c r="A316" t="str">
        <f>IF(PNL!A316="","",PNL!A316)</f>
        <v/>
      </c>
      <c r="B316" t="str">
        <f>IF(PNL!B316="","",PNL!B316)</f>
        <v/>
      </c>
      <c r="C316" t="str">
        <f>IF(PNL!C316="","",PNL!C316)</f>
        <v/>
      </c>
      <c r="D316" t="str">
        <f>IF(PNL!D316="","",PNL!D316)</f>
        <v/>
      </c>
      <c r="E316" t="str">
        <f t="shared" si="44"/>
        <v/>
      </c>
      <c r="F316" t="str">
        <f>IF($A316="","",IF($E316=1,SUMIFS(Compta!$F$1:$F$675,Compta!$A$1:$A$675,$A316,Compta!$B$1:$B$675,$B316,Compta!$C$1:$C$675,"2026"),0))</f>
        <v/>
      </c>
      <c r="G316" t="str">
        <f t="shared" si="45"/>
        <v/>
      </c>
      <c r="H316" t="str">
        <f t="shared" si="46"/>
        <v/>
      </c>
      <c r="I316" t="str">
        <f t="shared" si="47"/>
        <v/>
      </c>
      <c r="J316" t="str">
        <f t="shared" si="48"/>
        <v/>
      </c>
      <c r="K316" t="str">
        <f t="shared" si="49"/>
        <v/>
      </c>
      <c r="L316" t="str">
        <f t="shared" si="50"/>
        <v/>
      </c>
      <c r="M316" t="str">
        <f t="shared" si="51"/>
        <v/>
      </c>
      <c r="N316" t="str">
        <f t="shared" si="52"/>
        <v/>
      </c>
      <c r="O316" t="str">
        <f t="shared" si="53"/>
        <v/>
      </c>
      <c r="P316" t="str">
        <f>IF($A316="","",IF($E316=1,$F316*$O316,PNL!G316))</f>
        <v/>
      </c>
      <c r="T316" t="str">
        <f t="shared" si="54"/>
        <v/>
      </c>
    </row>
    <row r="317" spans="1:20" x14ac:dyDescent="0.45">
      <c r="A317" t="str">
        <f>IF(PNL!A317="","",PNL!A317)</f>
        <v/>
      </c>
      <c r="B317" t="str">
        <f>IF(PNL!B317="","",PNL!B317)</f>
        <v/>
      </c>
      <c r="C317" t="str">
        <f>IF(PNL!C317="","",PNL!C317)</f>
        <v/>
      </c>
      <c r="D317" t="str">
        <f>IF(PNL!D317="","",PNL!D317)</f>
        <v/>
      </c>
      <c r="E317" t="str">
        <f t="shared" si="44"/>
        <v/>
      </c>
      <c r="F317" t="str">
        <f>IF($A317="","",IF($E317=1,SUMIFS(Compta!$F$1:$F$675,Compta!$A$1:$A$675,$A317,Compta!$B$1:$B$675,$B317,Compta!$C$1:$C$675,"2026"),0))</f>
        <v/>
      </c>
      <c r="G317" t="str">
        <f t="shared" si="45"/>
        <v/>
      </c>
      <c r="H317" t="str">
        <f t="shared" si="46"/>
        <v/>
      </c>
      <c r="I317" t="str">
        <f t="shared" si="47"/>
        <v/>
      </c>
      <c r="J317" t="str">
        <f t="shared" si="48"/>
        <v/>
      </c>
      <c r="K317" t="str">
        <f t="shared" si="49"/>
        <v/>
      </c>
      <c r="L317" t="str">
        <f t="shared" si="50"/>
        <v/>
      </c>
      <c r="M317" t="str">
        <f t="shared" si="51"/>
        <v/>
      </c>
      <c r="N317" t="str">
        <f t="shared" si="52"/>
        <v/>
      </c>
      <c r="O317" t="str">
        <f t="shared" si="53"/>
        <v/>
      </c>
      <c r="P317" t="str">
        <f>IF($A317="","",IF($E317=1,$F317*$O317,PNL!G317))</f>
        <v/>
      </c>
      <c r="T317" t="str">
        <f t="shared" si="54"/>
        <v/>
      </c>
    </row>
    <row r="318" spans="1:20" x14ac:dyDescent="0.45">
      <c r="A318" t="str">
        <f>IF(PNL!A318="","",PNL!A318)</f>
        <v/>
      </c>
      <c r="B318" t="str">
        <f>IF(PNL!B318="","",PNL!B318)</f>
        <v/>
      </c>
      <c r="C318" t="str">
        <f>IF(PNL!C318="","",PNL!C318)</f>
        <v/>
      </c>
      <c r="D318" t="str">
        <f>IF(PNL!D318="","",PNL!D318)</f>
        <v/>
      </c>
      <c r="E318" t="str">
        <f t="shared" si="44"/>
        <v/>
      </c>
      <c r="F318" t="str">
        <f>IF($A318="","",IF($E318=1,SUMIFS(Compta!$F$1:$F$675,Compta!$A$1:$A$675,$A318,Compta!$B$1:$B$675,$B318,Compta!$C$1:$C$675,"2026"),0))</f>
        <v/>
      </c>
      <c r="G318" t="str">
        <f t="shared" si="45"/>
        <v/>
      </c>
      <c r="H318" t="str">
        <f t="shared" si="46"/>
        <v/>
      </c>
      <c r="I318" t="str">
        <f t="shared" si="47"/>
        <v/>
      </c>
      <c r="J318" t="str">
        <f t="shared" si="48"/>
        <v/>
      </c>
      <c r="K318" t="str">
        <f t="shared" si="49"/>
        <v/>
      </c>
      <c r="L318" t="str">
        <f t="shared" si="50"/>
        <v/>
      </c>
      <c r="M318" t="str">
        <f t="shared" si="51"/>
        <v/>
      </c>
      <c r="N318" t="str">
        <f t="shared" si="52"/>
        <v/>
      </c>
      <c r="O318" t="str">
        <f t="shared" si="53"/>
        <v/>
      </c>
      <c r="P318" t="str">
        <f>IF($A318="","",IF($E318=1,$F318*$O318,PNL!G318))</f>
        <v/>
      </c>
      <c r="T318" t="str">
        <f t="shared" si="54"/>
        <v/>
      </c>
    </row>
    <row r="319" spans="1:20" x14ac:dyDescent="0.45">
      <c r="A319" t="str">
        <f>IF(PNL!A319="","",PNL!A319)</f>
        <v/>
      </c>
      <c r="B319" t="str">
        <f>IF(PNL!B319="","",PNL!B319)</f>
        <v/>
      </c>
      <c r="C319" t="str">
        <f>IF(PNL!C319="","",PNL!C319)</f>
        <v/>
      </c>
      <c r="D319" t="str">
        <f>IF(PNL!D319="","",PNL!D319)</f>
        <v/>
      </c>
      <c r="E319" t="str">
        <f t="shared" si="44"/>
        <v/>
      </c>
      <c r="F319" t="str">
        <f>IF($A319="","",IF($E319=1,SUMIFS(Compta!$F$1:$F$675,Compta!$A$1:$A$675,$A319,Compta!$B$1:$B$675,$B319,Compta!$C$1:$C$675,"2026"),0))</f>
        <v/>
      </c>
      <c r="G319" t="str">
        <f t="shared" si="45"/>
        <v/>
      </c>
      <c r="H319" t="str">
        <f t="shared" si="46"/>
        <v/>
      </c>
      <c r="I319" t="str">
        <f t="shared" si="47"/>
        <v/>
      </c>
      <c r="J319" t="str">
        <f t="shared" si="48"/>
        <v/>
      </c>
      <c r="K319" t="str">
        <f t="shared" si="49"/>
        <v/>
      </c>
      <c r="L319" t="str">
        <f t="shared" si="50"/>
        <v/>
      </c>
      <c r="M319" t="str">
        <f t="shared" si="51"/>
        <v/>
      </c>
      <c r="N319" t="str">
        <f t="shared" si="52"/>
        <v/>
      </c>
      <c r="O319" t="str">
        <f t="shared" si="53"/>
        <v/>
      </c>
      <c r="P319" t="str">
        <f>IF($A319="","",IF($E319=1,$F319*$O319,PNL!G319))</f>
        <v/>
      </c>
      <c r="T319" t="str">
        <f t="shared" si="54"/>
        <v/>
      </c>
    </row>
    <row r="320" spans="1:20" x14ac:dyDescent="0.45">
      <c r="A320" t="str">
        <f>IF(PNL!A320="","",PNL!A320)</f>
        <v/>
      </c>
      <c r="B320" t="str">
        <f>IF(PNL!B320="","",PNL!B320)</f>
        <v/>
      </c>
      <c r="C320" t="str">
        <f>IF(PNL!C320="","",PNL!C320)</f>
        <v/>
      </c>
      <c r="D320" t="str">
        <f>IF(PNL!D320="","",PNL!D320)</f>
        <v/>
      </c>
      <c r="E320" t="str">
        <f t="shared" si="44"/>
        <v/>
      </c>
      <c r="F320" t="str">
        <f>IF($A320="","",IF($E320=1,SUMIFS(Compta!$F$1:$F$675,Compta!$A$1:$A$675,$A320,Compta!$B$1:$B$675,$B320,Compta!$C$1:$C$675,"2026"),0))</f>
        <v/>
      </c>
      <c r="G320" t="str">
        <f t="shared" si="45"/>
        <v/>
      </c>
      <c r="H320" t="str">
        <f t="shared" si="46"/>
        <v/>
      </c>
      <c r="I320" t="str">
        <f t="shared" si="47"/>
        <v/>
      </c>
      <c r="J320" t="str">
        <f t="shared" si="48"/>
        <v/>
      </c>
      <c r="K320" t="str">
        <f t="shared" si="49"/>
        <v/>
      </c>
      <c r="L320" t="str">
        <f t="shared" si="50"/>
        <v/>
      </c>
      <c r="M320" t="str">
        <f t="shared" si="51"/>
        <v/>
      </c>
      <c r="N320" t="str">
        <f t="shared" si="52"/>
        <v/>
      </c>
      <c r="O320" t="str">
        <f t="shared" si="53"/>
        <v/>
      </c>
      <c r="P320" t="str">
        <f>IF($A320="","",IF($E320=1,$F320*$O320,PNL!G320))</f>
        <v/>
      </c>
      <c r="T320" t="str">
        <f t="shared" si="54"/>
        <v/>
      </c>
    </row>
    <row r="321" spans="1:20" x14ac:dyDescent="0.45">
      <c r="A321" t="str">
        <f>IF(PNL!A321="","",PNL!A321)</f>
        <v/>
      </c>
      <c r="B321" t="str">
        <f>IF(PNL!B321="","",PNL!B321)</f>
        <v/>
      </c>
      <c r="C321" t="str">
        <f>IF(PNL!C321="","",PNL!C321)</f>
        <v/>
      </c>
      <c r="D321" t="str">
        <f>IF(PNL!D321="","",PNL!D321)</f>
        <v/>
      </c>
      <c r="E321" t="str">
        <f t="shared" si="44"/>
        <v/>
      </c>
      <c r="F321" t="str">
        <f>IF($A321="","",IF($E321=1,SUMIFS(Compta!$F$1:$F$675,Compta!$A$1:$A$675,$A321,Compta!$B$1:$B$675,$B321,Compta!$C$1:$C$675,"2026"),0))</f>
        <v/>
      </c>
      <c r="G321" t="str">
        <f t="shared" si="45"/>
        <v/>
      </c>
      <c r="H321" t="str">
        <f t="shared" si="46"/>
        <v/>
      </c>
      <c r="I321" t="str">
        <f t="shared" si="47"/>
        <v/>
      </c>
      <c r="J321" t="str">
        <f t="shared" si="48"/>
        <v/>
      </c>
      <c r="K321" t="str">
        <f t="shared" si="49"/>
        <v/>
      </c>
      <c r="L321" t="str">
        <f t="shared" si="50"/>
        <v/>
      </c>
      <c r="M321" t="str">
        <f t="shared" si="51"/>
        <v/>
      </c>
      <c r="N321" t="str">
        <f t="shared" si="52"/>
        <v/>
      </c>
      <c r="O321" t="str">
        <f t="shared" si="53"/>
        <v/>
      </c>
      <c r="P321" t="str">
        <f>IF($A321="","",IF($E321=1,$F321*$O321,PNL!G321))</f>
        <v/>
      </c>
      <c r="T321" t="str">
        <f t="shared" si="54"/>
        <v/>
      </c>
    </row>
    <row r="322" spans="1:20" x14ac:dyDescent="0.45">
      <c r="A322" t="str">
        <f>IF(PNL!A322="","",PNL!A322)</f>
        <v/>
      </c>
      <c r="B322" t="str">
        <f>IF(PNL!B322="","",PNL!B322)</f>
        <v/>
      </c>
      <c r="C322" t="str">
        <f>IF(PNL!C322="","",PNL!C322)</f>
        <v/>
      </c>
      <c r="D322" t="str">
        <f>IF(PNL!D322="","",PNL!D322)</f>
        <v/>
      </c>
      <c r="E322" t="str">
        <f t="shared" ref="E322:E385" si="55">IF($A322="","",IF(AND($C322="2027",OR($D322="V01",$D322="V02",$D322="V03")),1,0))</f>
        <v/>
      </c>
      <c r="F322" t="str">
        <f>IF($A322="","",IF($E322=1,SUMIFS(Compta!$F$1:$F$675,Compta!$A$1:$A$675,$A322,Compta!$B$1:$B$675,$B322,Compta!$C$1:$C$675,"2026"),0))</f>
        <v/>
      </c>
      <c r="G322" t="str">
        <f t="shared" ref="G322:G385" si="56">IF($A322="","",IF($D322="V01",cad!$C$23,IF($D322="V02",cad!$D$23,cad!$E$23)))</f>
        <v/>
      </c>
      <c r="H322" t="str">
        <f t="shared" ref="H322:H385" si="57">IF($A322="","",IF($D322="V01",cad!$C$24,IF($D322="V02",cad!$D$24,cad!$E$24)))</f>
        <v/>
      </c>
      <c r="I322" t="str">
        <f t="shared" ref="I322:I385" si="58">IF($A322="","",IF($D322="V01",cad!$C$32,IF($D322="V02",cad!$D$32,cad!$E$32)))</f>
        <v/>
      </c>
      <c r="J322" t="str">
        <f t="shared" ref="J322:J385" si="59">IF($A322="","",IF($D322="V01",cad!$C$33,IF($D322="V02",cad!$D$33,cad!$E$33)))</f>
        <v/>
      </c>
      <c r="K322" t="str">
        <f t="shared" ref="K322:K385" si="60">IF($A322="","",IF($D322="V01",cad!$C$34,IF($D322="V02",cad!$D$34,cad!$E$34)))</f>
        <v/>
      </c>
      <c r="L322" t="str">
        <f t="shared" ref="L322:L385" si="61">IF($A322="","",IF($D322="V01",cad!$C$35,IF($D322="V02",cad!$D$35,cad!$E$35)))</f>
        <v/>
      </c>
      <c r="M322" t="str">
        <f t="shared" ref="M322:M385" si="62">IF($A322="","",IF($D322="V01",cad!$C$36,IF($D322="V02",cad!$D$36,cad!$E$36)))</f>
        <v/>
      </c>
      <c r="N322" t="str">
        <f t="shared" ref="N322:N385" si="63">IF($A322="","",IF($D322="V01",$R$2,IF($D322="V02",$R$3,$R$4)))</f>
        <v/>
      </c>
      <c r="O322" t="str">
        <f t="shared" ref="O322:O385" si="64">IF($A322="","",IF(OR($B322="7062",$B322="706",$B322="708"),$N322,IF($B322="6231",1+$G322,IF($B322="6236",1+$H322,IF(OR($B322="621",$B322="604",$B322="6063"),$N322*(1-$L322),IF(OR($B322="6411",$B322="6413",$B322="6414",$B322="645"),(1+$J322)*(1+$K322),IF(OR($B322="613",$B322="615",$B322="616",$B322="6226",$B322="625",$B322="626",$B322="6281"),(1+$I322)*(1-$L322)*(1+$M322),IF(OR($B322="6331",$B322="63511",$B322="6333"),(1+$I322)*(1-$L322),IF($B322="6811",1+$I322,1)))))))))</f>
        <v/>
      </c>
      <c r="P322" t="str">
        <f>IF($A322="","",IF($E322=1,$F322*$O322,PNL!G322))</f>
        <v/>
      </c>
      <c r="T322" t="str">
        <f t="shared" ref="T322:T385" si="65">IF($A322="","",IF($E322=1,IF(OR($B322="7062",$B322="706",$B322="708"),$P322,IF(AND(LEFT($B322,1)="6",$B322&lt;&gt;"6811"),-$P322,0)),0))</f>
        <v/>
      </c>
    </row>
    <row r="323" spans="1:20" x14ac:dyDescent="0.45">
      <c r="A323" t="str">
        <f>IF(PNL!A323="","",PNL!A323)</f>
        <v/>
      </c>
      <c r="B323" t="str">
        <f>IF(PNL!B323="","",PNL!B323)</f>
        <v/>
      </c>
      <c r="C323" t="str">
        <f>IF(PNL!C323="","",PNL!C323)</f>
        <v/>
      </c>
      <c r="D323" t="str">
        <f>IF(PNL!D323="","",PNL!D323)</f>
        <v/>
      </c>
      <c r="E323" t="str">
        <f t="shared" si="55"/>
        <v/>
      </c>
      <c r="F323" t="str">
        <f>IF($A323="","",IF($E323=1,SUMIFS(Compta!$F$1:$F$675,Compta!$A$1:$A$675,$A323,Compta!$B$1:$B$675,$B323,Compta!$C$1:$C$675,"2026"),0))</f>
        <v/>
      </c>
      <c r="G323" t="str">
        <f t="shared" si="56"/>
        <v/>
      </c>
      <c r="H323" t="str">
        <f t="shared" si="57"/>
        <v/>
      </c>
      <c r="I323" t="str">
        <f t="shared" si="58"/>
        <v/>
      </c>
      <c r="J323" t="str">
        <f t="shared" si="59"/>
        <v/>
      </c>
      <c r="K323" t="str">
        <f t="shared" si="60"/>
        <v/>
      </c>
      <c r="L323" t="str">
        <f t="shared" si="61"/>
        <v/>
      </c>
      <c r="M323" t="str">
        <f t="shared" si="62"/>
        <v/>
      </c>
      <c r="N323" t="str">
        <f t="shared" si="63"/>
        <v/>
      </c>
      <c r="O323" t="str">
        <f t="shared" si="64"/>
        <v/>
      </c>
      <c r="P323" t="str">
        <f>IF($A323="","",IF($E323=1,$F323*$O323,PNL!G323))</f>
        <v/>
      </c>
      <c r="T323" t="str">
        <f t="shared" si="65"/>
        <v/>
      </c>
    </row>
    <row r="324" spans="1:20" x14ac:dyDescent="0.45">
      <c r="A324" t="str">
        <f>IF(PNL!A324="","",PNL!A324)</f>
        <v/>
      </c>
      <c r="B324" t="str">
        <f>IF(PNL!B324="","",PNL!B324)</f>
        <v/>
      </c>
      <c r="C324" t="str">
        <f>IF(PNL!C324="","",PNL!C324)</f>
        <v/>
      </c>
      <c r="D324" t="str">
        <f>IF(PNL!D324="","",PNL!D324)</f>
        <v/>
      </c>
      <c r="E324" t="str">
        <f t="shared" si="55"/>
        <v/>
      </c>
      <c r="F324" t="str">
        <f>IF($A324="","",IF($E324=1,SUMIFS(Compta!$F$1:$F$675,Compta!$A$1:$A$675,$A324,Compta!$B$1:$B$675,$B324,Compta!$C$1:$C$675,"2026"),0))</f>
        <v/>
      </c>
      <c r="G324" t="str">
        <f t="shared" si="56"/>
        <v/>
      </c>
      <c r="H324" t="str">
        <f t="shared" si="57"/>
        <v/>
      </c>
      <c r="I324" t="str">
        <f t="shared" si="58"/>
        <v/>
      </c>
      <c r="J324" t="str">
        <f t="shared" si="59"/>
        <v/>
      </c>
      <c r="K324" t="str">
        <f t="shared" si="60"/>
        <v/>
      </c>
      <c r="L324" t="str">
        <f t="shared" si="61"/>
        <v/>
      </c>
      <c r="M324" t="str">
        <f t="shared" si="62"/>
        <v/>
      </c>
      <c r="N324" t="str">
        <f t="shared" si="63"/>
        <v/>
      </c>
      <c r="O324" t="str">
        <f t="shared" si="64"/>
        <v/>
      </c>
      <c r="P324" t="str">
        <f>IF($A324="","",IF($E324=1,$F324*$O324,PNL!G324))</f>
        <v/>
      </c>
      <c r="T324" t="str">
        <f t="shared" si="65"/>
        <v/>
      </c>
    </row>
    <row r="325" spans="1:20" x14ac:dyDescent="0.45">
      <c r="A325" t="str">
        <f>IF(PNL!A325="","",PNL!A325)</f>
        <v/>
      </c>
      <c r="B325" t="str">
        <f>IF(PNL!B325="","",PNL!B325)</f>
        <v/>
      </c>
      <c r="C325" t="str">
        <f>IF(PNL!C325="","",PNL!C325)</f>
        <v/>
      </c>
      <c r="D325" t="str">
        <f>IF(PNL!D325="","",PNL!D325)</f>
        <v/>
      </c>
      <c r="E325" t="str">
        <f t="shared" si="55"/>
        <v/>
      </c>
      <c r="F325" t="str">
        <f>IF($A325="","",IF($E325=1,SUMIFS(Compta!$F$1:$F$675,Compta!$A$1:$A$675,$A325,Compta!$B$1:$B$675,$B325,Compta!$C$1:$C$675,"2026"),0))</f>
        <v/>
      </c>
      <c r="G325" t="str">
        <f t="shared" si="56"/>
        <v/>
      </c>
      <c r="H325" t="str">
        <f t="shared" si="57"/>
        <v/>
      </c>
      <c r="I325" t="str">
        <f t="shared" si="58"/>
        <v/>
      </c>
      <c r="J325" t="str">
        <f t="shared" si="59"/>
        <v/>
      </c>
      <c r="K325" t="str">
        <f t="shared" si="60"/>
        <v/>
      </c>
      <c r="L325" t="str">
        <f t="shared" si="61"/>
        <v/>
      </c>
      <c r="M325" t="str">
        <f t="shared" si="62"/>
        <v/>
      </c>
      <c r="N325" t="str">
        <f t="shared" si="63"/>
        <v/>
      </c>
      <c r="O325" t="str">
        <f t="shared" si="64"/>
        <v/>
      </c>
      <c r="P325" t="str">
        <f>IF($A325="","",IF($E325=1,$F325*$O325,PNL!G325))</f>
        <v/>
      </c>
      <c r="T325" t="str">
        <f t="shared" si="65"/>
        <v/>
      </c>
    </row>
    <row r="326" spans="1:20" x14ac:dyDescent="0.45">
      <c r="A326" t="str">
        <f>IF(PNL!A326="","",PNL!A326)</f>
        <v/>
      </c>
      <c r="B326" t="str">
        <f>IF(PNL!B326="","",PNL!B326)</f>
        <v/>
      </c>
      <c r="C326" t="str">
        <f>IF(PNL!C326="","",PNL!C326)</f>
        <v/>
      </c>
      <c r="D326" t="str">
        <f>IF(PNL!D326="","",PNL!D326)</f>
        <v/>
      </c>
      <c r="E326" t="str">
        <f t="shared" si="55"/>
        <v/>
      </c>
      <c r="F326" t="str">
        <f>IF($A326="","",IF($E326=1,SUMIFS(Compta!$F$1:$F$675,Compta!$A$1:$A$675,$A326,Compta!$B$1:$B$675,$B326,Compta!$C$1:$C$675,"2026"),0))</f>
        <v/>
      </c>
      <c r="G326" t="str">
        <f t="shared" si="56"/>
        <v/>
      </c>
      <c r="H326" t="str">
        <f t="shared" si="57"/>
        <v/>
      </c>
      <c r="I326" t="str">
        <f t="shared" si="58"/>
        <v/>
      </c>
      <c r="J326" t="str">
        <f t="shared" si="59"/>
        <v/>
      </c>
      <c r="K326" t="str">
        <f t="shared" si="60"/>
        <v/>
      </c>
      <c r="L326" t="str">
        <f t="shared" si="61"/>
        <v/>
      </c>
      <c r="M326" t="str">
        <f t="shared" si="62"/>
        <v/>
      </c>
      <c r="N326" t="str">
        <f t="shared" si="63"/>
        <v/>
      </c>
      <c r="O326" t="str">
        <f t="shared" si="64"/>
        <v/>
      </c>
      <c r="P326" t="str">
        <f>IF($A326="","",IF($E326=1,$F326*$O326,PNL!G326))</f>
        <v/>
      </c>
      <c r="T326" t="str">
        <f t="shared" si="65"/>
        <v/>
      </c>
    </row>
    <row r="327" spans="1:20" x14ac:dyDescent="0.45">
      <c r="A327" t="str">
        <f>IF(PNL!A327="","",PNL!A327)</f>
        <v/>
      </c>
      <c r="B327" t="str">
        <f>IF(PNL!B327="","",PNL!B327)</f>
        <v/>
      </c>
      <c r="C327" t="str">
        <f>IF(PNL!C327="","",PNL!C327)</f>
        <v/>
      </c>
      <c r="D327" t="str">
        <f>IF(PNL!D327="","",PNL!D327)</f>
        <v/>
      </c>
      <c r="E327" t="str">
        <f t="shared" si="55"/>
        <v/>
      </c>
      <c r="F327" t="str">
        <f>IF($A327="","",IF($E327=1,SUMIFS(Compta!$F$1:$F$675,Compta!$A$1:$A$675,$A327,Compta!$B$1:$B$675,$B327,Compta!$C$1:$C$675,"2026"),0))</f>
        <v/>
      </c>
      <c r="G327" t="str">
        <f t="shared" si="56"/>
        <v/>
      </c>
      <c r="H327" t="str">
        <f t="shared" si="57"/>
        <v/>
      </c>
      <c r="I327" t="str">
        <f t="shared" si="58"/>
        <v/>
      </c>
      <c r="J327" t="str">
        <f t="shared" si="59"/>
        <v/>
      </c>
      <c r="K327" t="str">
        <f t="shared" si="60"/>
        <v/>
      </c>
      <c r="L327" t="str">
        <f t="shared" si="61"/>
        <v/>
      </c>
      <c r="M327" t="str">
        <f t="shared" si="62"/>
        <v/>
      </c>
      <c r="N327" t="str">
        <f t="shared" si="63"/>
        <v/>
      </c>
      <c r="O327" t="str">
        <f t="shared" si="64"/>
        <v/>
      </c>
      <c r="P327" t="str">
        <f>IF($A327="","",IF($E327=1,$F327*$O327,PNL!G327))</f>
        <v/>
      </c>
      <c r="T327" t="str">
        <f t="shared" si="65"/>
        <v/>
      </c>
    </row>
    <row r="328" spans="1:20" x14ac:dyDescent="0.45">
      <c r="A328" t="str">
        <f>IF(PNL!A328="","",PNL!A328)</f>
        <v/>
      </c>
      <c r="B328" t="str">
        <f>IF(PNL!B328="","",PNL!B328)</f>
        <v/>
      </c>
      <c r="C328" t="str">
        <f>IF(PNL!C328="","",PNL!C328)</f>
        <v/>
      </c>
      <c r="D328" t="str">
        <f>IF(PNL!D328="","",PNL!D328)</f>
        <v/>
      </c>
      <c r="E328" t="str">
        <f t="shared" si="55"/>
        <v/>
      </c>
      <c r="F328" t="str">
        <f>IF($A328="","",IF($E328=1,SUMIFS(Compta!$F$1:$F$675,Compta!$A$1:$A$675,$A328,Compta!$B$1:$B$675,$B328,Compta!$C$1:$C$675,"2026"),0))</f>
        <v/>
      </c>
      <c r="G328" t="str">
        <f t="shared" si="56"/>
        <v/>
      </c>
      <c r="H328" t="str">
        <f t="shared" si="57"/>
        <v/>
      </c>
      <c r="I328" t="str">
        <f t="shared" si="58"/>
        <v/>
      </c>
      <c r="J328" t="str">
        <f t="shared" si="59"/>
        <v/>
      </c>
      <c r="K328" t="str">
        <f t="shared" si="60"/>
        <v/>
      </c>
      <c r="L328" t="str">
        <f t="shared" si="61"/>
        <v/>
      </c>
      <c r="M328" t="str">
        <f t="shared" si="62"/>
        <v/>
      </c>
      <c r="N328" t="str">
        <f t="shared" si="63"/>
        <v/>
      </c>
      <c r="O328" t="str">
        <f t="shared" si="64"/>
        <v/>
      </c>
      <c r="P328" t="str">
        <f>IF($A328="","",IF($E328=1,$F328*$O328,PNL!G328))</f>
        <v/>
      </c>
      <c r="T328" t="str">
        <f t="shared" si="65"/>
        <v/>
      </c>
    </row>
    <row r="329" spans="1:20" x14ac:dyDescent="0.45">
      <c r="A329" t="str">
        <f>IF(PNL!A329="","",PNL!A329)</f>
        <v/>
      </c>
      <c r="B329" t="str">
        <f>IF(PNL!B329="","",PNL!B329)</f>
        <v/>
      </c>
      <c r="C329" t="str">
        <f>IF(PNL!C329="","",PNL!C329)</f>
        <v/>
      </c>
      <c r="D329" t="str">
        <f>IF(PNL!D329="","",PNL!D329)</f>
        <v/>
      </c>
      <c r="E329" t="str">
        <f t="shared" si="55"/>
        <v/>
      </c>
      <c r="F329" t="str">
        <f>IF($A329="","",IF($E329=1,SUMIFS(Compta!$F$1:$F$675,Compta!$A$1:$A$675,$A329,Compta!$B$1:$B$675,$B329,Compta!$C$1:$C$675,"2026"),0))</f>
        <v/>
      </c>
      <c r="G329" t="str">
        <f t="shared" si="56"/>
        <v/>
      </c>
      <c r="H329" t="str">
        <f t="shared" si="57"/>
        <v/>
      </c>
      <c r="I329" t="str">
        <f t="shared" si="58"/>
        <v/>
      </c>
      <c r="J329" t="str">
        <f t="shared" si="59"/>
        <v/>
      </c>
      <c r="K329" t="str">
        <f t="shared" si="60"/>
        <v/>
      </c>
      <c r="L329" t="str">
        <f t="shared" si="61"/>
        <v/>
      </c>
      <c r="M329" t="str">
        <f t="shared" si="62"/>
        <v/>
      </c>
      <c r="N329" t="str">
        <f t="shared" si="63"/>
        <v/>
      </c>
      <c r="O329" t="str">
        <f t="shared" si="64"/>
        <v/>
      </c>
      <c r="P329" t="str">
        <f>IF($A329="","",IF($E329=1,$F329*$O329,PNL!G329))</f>
        <v/>
      </c>
      <c r="T329" t="str">
        <f t="shared" si="65"/>
        <v/>
      </c>
    </row>
    <row r="330" spans="1:20" x14ac:dyDescent="0.45">
      <c r="A330" t="str">
        <f>IF(PNL!A330="","",PNL!A330)</f>
        <v/>
      </c>
      <c r="B330" t="str">
        <f>IF(PNL!B330="","",PNL!B330)</f>
        <v/>
      </c>
      <c r="C330" t="str">
        <f>IF(PNL!C330="","",PNL!C330)</f>
        <v/>
      </c>
      <c r="D330" t="str">
        <f>IF(PNL!D330="","",PNL!D330)</f>
        <v/>
      </c>
      <c r="E330" t="str">
        <f t="shared" si="55"/>
        <v/>
      </c>
      <c r="F330" t="str">
        <f>IF($A330="","",IF($E330=1,SUMIFS(Compta!$F$1:$F$675,Compta!$A$1:$A$675,$A330,Compta!$B$1:$B$675,$B330,Compta!$C$1:$C$675,"2026"),0))</f>
        <v/>
      </c>
      <c r="G330" t="str">
        <f t="shared" si="56"/>
        <v/>
      </c>
      <c r="H330" t="str">
        <f t="shared" si="57"/>
        <v/>
      </c>
      <c r="I330" t="str">
        <f t="shared" si="58"/>
        <v/>
      </c>
      <c r="J330" t="str">
        <f t="shared" si="59"/>
        <v/>
      </c>
      <c r="K330" t="str">
        <f t="shared" si="60"/>
        <v/>
      </c>
      <c r="L330" t="str">
        <f t="shared" si="61"/>
        <v/>
      </c>
      <c r="M330" t="str">
        <f t="shared" si="62"/>
        <v/>
      </c>
      <c r="N330" t="str">
        <f t="shared" si="63"/>
        <v/>
      </c>
      <c r="O330" t="str">
        <f t="shared" si="64"/>
        <v/>
      </c>
      <c r="P330" t="str">
        <f>IF($A330="","",IF($E330=1,$F330*$O330,PNL!G330))</f>
        <v/>
      </c>
      <c r="T330" t="str">
        <f t="shared" si="65"/>
        <v/>
      </c>
    </row>
    <row r="331" spans="1:20" x14ac:dyDescent="0.45">
      <c r="A331" t="str">
        <f>IF(PNL!A331="","",PNL!A331)</f>
        <v/>
      </c>
      <c r="B331" t="str">
        <f>IF(PNL!B331="","",PNL!B331)</f>
        <v/>
      </c>
      <c r="C331" t="str">
        <f>IF(PNL!C331="","",PNL!C331)</f>
        <v/>
      </c>
      <c r="D331" t="str">
        <f>IF(PNL!D331="","",PNL!D331)</f>
        <v/>
      </c>
      <c r="E331" t="str">
        <f t="shared" si="55"/>
        <v/>
      </c>
      <c r="F331" t="str">
        <f>IF($A331="","",IF($E331=1,SUMIFS(Compta!$F$1:$F$675,Compta!$A$1:$A$675,$A331,Compta!$B$1:$B$675,$B331,Compta!$C$1:$C$675,"2026"),0))</f>
        <v/>
      </c>
      <c r="G331" t="str">
        <f t="shared" si="56"/>
        <v/>
      </c>
      <c r="H331" t="str">
        <f t="shared" si="57"/>
        <v/>
      </c>
      <c r="I331" t="str">
        <f t="shared" si="58"/>
        <v/>
      </c>
      <c r="J331" t="str">
        <f t="shared" si="59"/>
        <v/>
      </c>
      <c r="K331" t="str">
        <f t="shared" si="60"/>
        <v/>
      </c>
      <c r="L331" t="str">
        <f t="shared" si="61"/>
        <v/>
      </c>
      <c r="M331" t="str">
        <f t="shared" si="62"/>
        <v/>
      </c>
      <c r="N331" t="str">
        <f t="shared" si="63"/>
        <v/>
      </c>
      <c r="O331" t="str">
        <f t="shared" si="64"/>
        <v/>
      </c>
      <c r="P331" t="str">
        <f>IF($A331="","",IF($E331=1,$F331*$O331,PNL!G331))</f>
        <v/>
      </c>
      <c r="T331" t="str">
        <f t="shared" si="65"/>
        <v/>
      </c>
    </row>
    <row r="332" spans="1:20" x14ac:dyDescent="0.45">
      <c r="A332" t="str">
        <f>IF(PNL!A332="","",PNL!A332)</f>
        <v/>
      </c>
      <c r="B332" t="str">
        <f>IF(PNL!B332="","",PNL!B332)</f>
        <v/>
      </c>
      <c r="C332" t="str">
        <f>IF(PNL!C332="","",PNL!C332)</f>
        <v/>
      </c>
      <c r="D332" t="str">
        <f>IF(PNL!D332="","",PNL!D332)</f>
        <v/>
      </c>
      <c r="E332" t="str">
        <f t="shared" si="55"/>
        <v/>
      </c>
      <c r="F332" t="str">
        <f>IF($A332="","",IF($E332=1,SUMIFS(Compta!$F$1:$F$675,Compta!$A$1:$A$675,$A332,Compta!$B$1:$B$675,$B332,Compta!$C$1:$C$675,"2026"),0))</f>
        <v/>
      </c>
      <c r="G332" t="str">
        <f t="shared" si="56"/>
        <v/>
      </c>
      <c r="H332" t="str">
        <f t="shared" si="57"/>
        <v/>
      </c>
      <c r="I332" t="str">
        <f t="shared" si="58"/>
        <v/>
      </c>
      <c r="J332" t="str">
        <f t="shared" si="59"/>
        <v/>
      </c>
      <c r="K332" t="str">
        <f t="shared" si="60"/>
        <v/>
      </c>
      <c r="L332" t="str">
        <f t="shared" si="61"/>
        <v/>
      </c>
      <c r="M332" t="str">
        <f t="shared" si="62"/>
        <v/>
      </c>
      <c r="N332" t="str">
        <f t="shared" si="63"/>
        <v/>
      </c>
      <c r="O332" t="str">
        <f t="shared" si="64"/>
        <v/>
      </c>
      <c r="P332" t="str">
        <f>IF($A332="","",IF($E332=1,$F332*$O332,PNL!G332))</f>
        <v/>
      </c>
      <c r="T332" t="str">
        <f t="shared" si="65"/>
        <v/>
      </c>
    </row>
    <row r="333" spans="1:20" x14ac:dyDescent="0.45">
      <c r="A333" t="str">
        <f>IF(PNL!A333="","",PNL!A333)</f>
        <v/>
      </c>
      <c r="B333" t="str">
        <f>IF(PNL!B333="","",PNL!B333)</f>
        <v/>
      </c>
      <c r="C333" t="str">
        <f>IF(PNL!C333="","",PNL!C333)</f>
        <v/>
      </c>
      <c r="D333" t="str">
        <f>IF(PNL!D333="","",PNL!D333)</f>
        <v/>
      </c>
      <c r="E333" t="str">
        <f t="shared" si="55"/>
        <v/>
      </c>
      <c r="F333" t="str">
        <f>IF($A333="","",IF($E333=1,SUMIFS(Compta!$F$1:$F$675,Compta!$A$1:$A$675,$A333,Compta!$B$1:$B$675,$B333,Compta!$C$1:$C$675,"2026"),0))</f>
        <v/>
      </c>
      <c r="G333" t="str">
        <f t="shared" si="56"/>
        <v/>
      </c>
      <c r="H333" t="str">
        <f t="shared" si="57"/>
        <v/>
      </c>
      <c r="I333" t="str">
        <f t="shared" si="58"/>
        <v/>
      </c>
      <c r="J333" t="str">
        <f t="shared" si="59"/>
        <v/>
      </c>
      <c r="K333" t="str">
        <f t="shared" si="60"/>
        <v/>
      </c>
      <c r="L333" t="str">
        <f t="shared" si="61"/>
        <v/>
      </c>
      <c r="M333" t="str">
        <f t="shared" si="62"/>
        <v/>
      </c>
      <c r="N333" t="str">
        <f t="shared" si="63"/>
        <v/>
      </c>
      <c r="O333" t="str">
        <f t="shared" si="64"/>
        <v/>
      </c>
      <c r="P333" t="str">
        <f>IF($A333="","",IF($E333=1,$F333*$O333,PNL!G333))</f>
        <v/>
      </c>
      <c r="T333" t="str">
        <f t="shared" si="65"/>
        <v/>
      </c>
    </row>
    <row r="334" spans="1:20" x14ac:dyDescent="0.45">
      <c r="A334" t="str">
        <f>IF(PNL!A334="","",PNL!A334)</f>
        <v/>
      </c>
      <c r="B334" t="str">
        <f>IF(PNL!B334="","",PNL!B334)</f>
        <v/>
      </c>
      <c r="C334" t="str">
        <f>IF(PNL!C334="","",PNL!C334)</f>
        <v/>
      </c>
      <c r="D334" t="str">
        <f>IF(PNL!D334="","",PNL!D334)</f>
        <v/>
      </c>
      <c r="E334" t="str">
        <f t="shared" si="55"/>
        <v/>
      </c>
      <c r="F334" t="str">
        <f>IF($A334="","",IF($E334=1,SUMIFS(Compta!$F$1:$F$675,Compta!$A$1:$A$675,$A334,Compta!$B$1:$B$675,$B334,Compta!$C$1:$C$675,"2026"),0))</f>
        <v/>
      </c>
      <c r="G334" t="str">
        <f t="shared" si="56"/>
        <v/>
      </c>
      <c r="H334" t="str">
        <f t="shared" si="57"/>
        <v/>
      </c>
      <c r="I334" t="str">
        <f t="shared" si="58"/>
        <v/>
      </c>
      <c r="J334" t="str">
        <f t="shared" si="59"/>
        <v/>
      </c>
      <c r="K334" t="str">
        <f t="shared" si="60"/>
        <v/>
      </c>
      <c r="L334" t="str">
        <f t="shared" si="61"/>
        <v/>
      </c>
      <c r="M334" t="str">
        <f t="shared" si="62"/>
        <v/>
      </c>
      <c r="N334" t="str">
        <f t="shared" si="63"/>
        <v/>
      </c>
      <c r="O334" t="str">
        <f t="shared" si="64"/>
        <v/>
      </c>
      <c r="P334" t="str">
        <f>IF($A334="","",IF($E334=1,$F334*$O334,PNL!G334))</f>
        <v/>
      </c>
      <c r="T334" t="str">
        <f t="shared" si="65"/>
        <v/>
      </c>
    </row>
    <row r="335" spans="1:20" x14ac:dyDescent="0.45">
      <c r="A335" t="str">
        <f>IF(PNL!A335="","",PNL!A335)</f>
        <v/>
      </c>
      <c r="B335" t="str">
        <f>IF(PNL!B335="","",PNL!B335)</f>
        <v/>
      </c>
      <c r="C335" t="str">
        <f>IF(PNL!C335="","",PNL!C335)</f>
        <v/>
      </c>
      <c r="D335" t="str">
        <f>IF(PNL!D335="","",PNL!D335)</f>
        <v/>
      </c>
      <c r="E335" t="str">
        <f t="shared" si="55"/>
        <v/>
      </c>
      <c r="F335" t="str">
        <f>IF($A335="","",IF($E335=1,SUMIFS(Compta!$F$1:$F$675,Compta!$A$1:$A$675,$A335,Compta!$B$1:$B$675,$B335,Compta!$C$1:$C$675,"2026"),0))</f>
        <v/>
      </c>
      <c r="G335" t="str">
        <f t="shared" si="56"/>
        <v/>
      </c>
      <c r="H335" t="str">
        <f t="shared" si="57"/>
        <v/>
      </c>
      <c r="I335" t="str">
        <f t="shared" si="58"/>
        <v/>
      </c>
      <c r="J335" t="str">
        <f t="shared" si="59"/>
        <v/>
      </c>
      <c r="K335" t="str">
        <f t="shared" si="60"/>
        <v/>
      </c>
      <c r="L335" t="str">
        <f t="shared" si="61"/>
        <v/>
      </c>
      <c r="M335" t="str">
        <f t="shared" si="62"/>
        <v/>
      </c>
      <c r="N335" t="str">
        <f t="shared" si="63"/>
        <v/>
      </c>
      <c r="O335" t="str">
        <f t="shared" si="64"/>
        <v/>
      </c>
      <c r="P335" t="str">
        <f>IF($A335="","",IF($E335=1,$F335*$O335,PNL!G335))</f>
        <v/>
      </c>
      <c r="T335" t="str">
        <f t="shared" si="65"/>
        <v/>
      </c>
    </row>
    <row r="336" spans="1:20" x14ac:dyDescent="0.45">
      <c r="A336" t="str">
        <f>IF(PNL!A336="","",PNL!A336)</f>
        <v/>
      </c>
      <c r="B336" t="str">
        <f>IF(PNL!B336="","",PNL!B336)</f>
        <v/>
      </c>
      <c r="C336" t="str">
        <f>IF(PNL!C336="","",PNL!C336)</f>
        <v/>
      </c>
      <c r="D336" t="str">
        <f>IF(PNL!D336="","",PNL!D336)</f>
        <v/>
      </c>
      <c r="E336" t="str">
        <f t="shared" si="55"/>
        <v/>
      </c>
      <c r="F336" t="str">
        <f>IF($A336="","",IF($E336=1,SUMIFS(Compta!$F$1:$F$675,Compta!$A$1:$A$675,$A336,Compta!$B$1:$B$675,$B336,Compta!$C$1:$C$675,"2026"),0))</f>
        <v/>
      </c>
      <c r="G336" t="str">
        <f t="shared" si="56"/>
        <v/>
      </c>
      <c r="H336" t="str">
        <f t="shared" si="57"/>
        <v/>
      </c>
      <c r="I336" t="str">
        <f t="shared" si="58"/>
        <v/>
      </c>
      <c r="J336" t="str">
        <f t="shared" si="59"/>
        <v/>
      </c>
      <c r="K336" t="str">
        <f t="shared" si="60"/>
        <v/>
      </c>
      <c r="L336" t="str">
        <f t="shared" si="61"/>
        <v/>
      </c>
      <c r="M336" t="str">
        <f t="shared" si="62"/>
        <v/>
      </c>
      <c r="N336" t="str">
        <f t="shared" si="63"/>
        <v/>
      </c>
      <c r="O336" t="str">
        <f t="shared" si="64"/>
        <v/>
      </c>
      <c r="P336" t="str">
        <f>IF($A336="","",IF($E336=1,$F336*$O336,PNL!G336))</f>
        <v/>
      </c>
      <c r="T336" t="str">
        <f t="shared" si="65"/>
        <v/>
      </c>
    </row>
    <row r="337" spans="1:20" x14ac:dyDescent="0.45">
      <c r="A337" t="str">
        <f>IF(PNL!A337="","",PNL!A337)</f>
        <v/>
      </c>
      <c r="B337" t="str">
        <f>IF(PNL!B337="","",PNL!B337)</f>
        <v/>
      </c>
      <c r="C337" t="str">
        <f>IF(PNL!C337="","",PNL!C337)</f>
        <v/>
      </c>
      <c r="D337" t="str">
        <f>IF(PNL!D337="","",PNL!D337)</f>
        <v/>
      </c>
      <c r="E337" t="str">
        <f t="shared" si="55"/>
        <v/>
      </c>
      <c r="F337" t="str">
        <f>IF($A337="","",IF($E337=1,SUMIFS(Compta!$F$1:$F$675,Compta!$A$1:$A$675,$A337,Compta!$B$1:$B$675,$B337,Compta!$C$1:$C$675,"2026"),0))</f>
        <v/>
      </c>
      <c r="G337" t="str">
        <f t="shared" si="56"/>
        <v/>
      </c>
      <c r="H337" t="str">
        <f t="shared" si="57"/>
        <v/>
      </c>
      <c r="I337" t="str">
        <f t="shared" si="58"/>
        <v/>
      </c>
      <c r="J337" t="str">
        <f t="shared" si="59"/>
        <v/>
      </c>
      <c r="K337" t="str">
        <f t="shared" si="60"/>
        <v/>
      </c>
      <c r="L337" t="str">
        <f t="shared" si="61"/>
        <v/>
      </c>
      <c r="M337" t="str">
        <f t="shared" si="62"/>
        <v/>
      </c>
      <c r="N337" t="str">
        <f t="shared" si="63"/>
        <v/>
      </c>
      <c r="O337" t="str">
        <f t="shared" si="64"/>
        <v/>
      </c>
      <c r="P337" t="str">
        <f>IF($A337="","",IF($E337=1,$F337*$O337,PNL!G337))</f>
        <v/>
      </c>
      <c r="T337" t="str">
        <f t="shared" si="65"/>
        <v/>
      </c>
    </row>
    <row r="338" spans="1:20" x14ac:dyDescent="0.45">
      <c r="A338" t="str">
        <f>IF(PNL!A338="","",PNL!A338)</f>
        <v/>
      </c>
      <c r="B338" t="str">
        <f>IF(PNL!B338="","",PNL!B338)</f>
        <v/>
      </c>
      <c r="C338" t="str">
        <f>IF(PNL!C338="","",PNL!C338)</f>
        <v/>
      </c>
      <c r="D338" t="str">
        <f>IF(PNL!D338="","",PNL!D338)</f>
        <v/>
      </c>
      <c r="E338" t="str">
        <f t="shared" si="55"/>
        <v/>
      </c>
      <c r="F338" t="str">
        <f>IF($A338="","",IF($E338=1,SUMIFS(Compta!$F$1:$F$675,Compta!$A$1:$A$675,$A338,Compta!$B$1:$B$675,$B338,Compta!$C$1:$C$675,"2026"),0))</f>
        <v/>
      </c>
      <c r="G338" t="str">
        <f t="shared" si="56"/>
        <v/>
      </c>
      <c r="H338" t="str">
        <f t="shared" si="57"/>
        <v/>
      </c>
      <c r="I338" t="str">
        <f t="shared" si="58"/>
        <v/>
      </c>
      <c r="J338" t="str">
        <f t="shared" si="59"/>
        <v/>
      </c>
      <c r="K338" t="str">
        <f t="shared" si="60"/>
        <v/>
      </c>
      <c r="L338" t="str">
        <f t="shared" si="61"/>
        <v/>
      </c>
      <c r="M338" t="str">
        <f t="shared" si="62"/>
        <v/>
      </c>
      <c r="N338" t="str">
        <f t="shared" si="63"/>
        <v/>
      </c>
      <c r="O338" t="str">
        <f t="shared" si="64"/>
        <v/>
      </c>
      <c r="P338" t="str">
        <f>IF($A338="","",IF($E338=1,$F338*$O338,PNL!G338))</f>
        <v/>
      </c>
      <c r="T338" t="str">
        <f t="shared" si="65"/>
        <v/>
      </c>
    </row>
    <row r="339" spans="1:20" x14ac:dyDescent="0.45">
      <c r="A339" t="str">
        <f>IF(PNL!A339="","",PNL!A339)</f>
        <v/>
      </c>
      <c r="B339" t="str">
        <f>IF(PNL!B339="","",PNL!B339)</f>
        <v/>
      </c>
      <c r="C339" t="str">
        <f>IF(PNL!C339="","",PNL!C339)</f>
        <v/>
      </c>
      <c r="D339" t="str">
        <f>IF(PNL!D339="","",PNL!D339)</f>
        <v/>
      </c>
      <c r="E339" t="str">
        <f t="shared" si="55"/>
        <v/>
      </c>
      <c r="F339" t="str">
        <f>IF($A339="","",IF($E339=1,SUMIFS(Compta!$F$1:$F$675,Compta!$A$1:$A$675,$A339,Compta!$B$1:$B$675,$B339,Compta!$C$1:$C$675,"2026"),0))</f>
        <v/>
      </c>
      <c r="G339" t="str">
        <f t="shared" si="56"/>
        <v/>
      </c>
      <c r="H339" t="str">
        <f t="shared" si="57"/>
        <v/>
      </c>
      <c r="I339" t="str">
        <f t="shared" si="58"/>
        <v/>
      </c>
      <c r="J339" t="str">
        <f t="shared" si="59"/>
        <v/>
      </c>
      <c r="K339" t="str">
        <f t="shared" si="60"/>
        <v/>
      </c>
      <c r="L339" t="str">
        <f t="shared" si="61"/>
        <v/>
      </c>
      <c r="M339" t="str">
        <f t="shared" si="62"/>
        <v/>
      </c>
      <c r="N339" t="str">
        <f t="shared" si="63"/>
        <v/>
      </c>
      <c r="O339" t="str">
        <f t="shared" si="64"/>
        <v/>
      </c>
      <c r="P339" t="str">
        <f>IF($A339="","",IF($E339=1,$F339*$O339,PNL!G339))</f>
        <v/>
      </c>
      <c r="T339" t="str">
        <f t="shared" si="65"/>
        <v/>
      </c>
    </row>
    <row r="340" spans="1:20" x14ac:dyDescent="0.45">
      <c r="A340" t="str">
        <f>IF(PNL!A340="","",PNL!A340)</f>
        <v/>
      </c>
      <c r="B340" t="str">
        <f>IF(PNL!B340="","",PNL!B340)</f>
        <v/>
      </c>
      <c r="C340" t="str">
        <f>IF(PNL!C340="","",PNL!C340)</f>
        <v/>
      </c>
      <c r="D340" t="str">
        <f>IF(PNL!D340="","",PNL!D340)</f>
        <v/>
      </c>
      <c r="E340" t="str">
        <f t="shared" si="55"/>
        <v/>
      </c>
      <c r="F340" t="str">
        <f>IF($A340="","",IF($E340=1,SUMIFS(Compta!$F$1:$F$675,Compta!$A$1:$A$675,$A340,Compta!$B$1:$B$675,$B340,Compta!$C$1:$C$675,"2026"),0))</f>
        <v/>
      </c>
      <c r="G340" t="str">
        <f t="shared" si="56"/>
        <v/>
      </c>
      <c r="H340" t="str">
        <f t="shared" si="57"/>
        <v/>
      </c>
      <c r="I340" t="str">
        <f t="shared" si="58"/>
        <v/>
      </c>
      <c r="J340" t="str">
        <f t="shared" si="59"/>
        <v/>
      </c>
      <c r="K340" t="str">
        <f t="shared" si="60"/>
        <v/>
      </c>
      <c r="L340" t="str">
        <f t="shared" si="61"/>
        <v/>
      </c>
      <c r="M340" t="str">
        <f t="shared" si="62"/>
        <v/>
      </c>
      <c r="N340" t="str">
        <f t="shared" si="63"/>
        <v/>
      </c>
      <c r="O340" t="str">
        <f t="shared" si="64"/>
        <v/>
      </c>
      <c r="P340" t="str">
        <f>IF($A340="","",IF($E340=1,$F340*$O340,PNL!G340))</f>
        <v/>
      </c>
      <c r="T340" t="str">
        <f t="shared" si="65"/>
        <v/>
      </c>
    </row>
    <row r="341" spans="1:20" x14ac:dyDescent="0.45">
      <c r="A341" t="str">
        <f>IF(PNL!A341="","",PNL!A341)</f>
        <v/>
      </c>
      <c r="B341" t="str">
        <f>IF(PNL!B341="","",PNL!B341)</f>
        <v/>
      </c>
      <c r="C341" t="str">
        <f>IF(PNL!C341="","",PNL!C341)</f>
        <v/>
      </c>
      <c r="D341" t="str">
        <f>IF(PNL!D341="","",PNL!D341)</f>
        <v/>
      </c>
      <c r="E341" t="str">
        <f t="shared" si="55"/>
        <v/>
      </c>
      <c r="F341" t="str">
        <f>IF($A341="","",IF($E341=1,SUMIFS(Compta!$F$1:$F$675,Compta!$A$1:$A$675,$A341,Compta!$B$1:$B$675,$B341,Compta!$C$1:$C$675,"2026"),0))</f>
        <v/>
      </c>
      <c r="G341" t="str">
        <f t="shared" si="56"/>
        <v/>
      </c>
      <c r="H341" t="str">
        <f t="shared" si="57"/>
        <v/>
      </c>
      <c r="I341" t="str">
        <f t="shared" si="58"/>
        <v/>
      </c>
      <c r="J341" t="str">
        <f t="shared" si="59"/>
        <v/>
      </c>
      <c r="K341" t="str">
        <f t="shared" si="60"/>
        <v/>
      </c>
      <c r="L341" t="str">
        <f t="shared" si="61"/>
        <v/>
      </c>
      <c r="M341" t="str">
        <f t="shared" si="62"/>
        <v/>
      </c>
      <c r="N341" t="str">
        <f t="shared" si="63"/>
        <v/>
      </c>
      <c r="O341" t="str">
        <f t="shared" si="64"/>
        <v/>
      </c>
      <c r="P341" t="str">
        <f>IF($A341="","",IF($E341=1,$F341*$O341,PNL!G341))</f>
        <v/>
      </c>
      <c r="T341" t="str">
        <f t="shared" si="65"/>
        <v/>
      </c>
    </row>
    <row r="342" spans="1:20" x14ac:dyDescent="0.45">
      <c r="A342" t="str">
        <f>IF(PNL!A342="","",PNL!A342)</f>
        <v/>
      </c>
      <c r="B342" t="str">
        <f>IF(PNL!B342="","",PNL!B342)</f>
        <v/>
      </c>
      <c r="C342" t="str">
        <f>IF(PNL!C342="","",PNL!C342)</f>
        <v/>
      </c>
      <c r="D342" t="str">
        <f>IF(PNL!D342="","",PNL!D342)</f>
        <v/>
      </c>
      <c r="E342" t="str">
        <f t="shared" si="55"/>
        <v/>
      </c>
      <c r="F342" t="str">
        <f>IF($A342="","",IF($E342=1,SUMIFS(Compta!$F$1:$F$675,Compta!$A$1:$A$675,$A342,Compta!$B$1:$B$675,$B342,Compta!$C$1:$C$675,"2026"),0))</f>
        <v/>
      </c>
      <c r="G342" t="str">
        <f t="shared" si="56"/>
        <v/>
      </c>
      <c r="H342" t="str">
        <f t="shared" si="57"/>
        <v/>
      </c>
      <c r="I342" t="str">
        <f t="shared" si="58"/>
        <v/>
      </c>
      <c r="J342" t="str">
        <f t="shared" si="59"/>
        <v/>
      </c>
      <c r="K342" t="str">
        <f t="shared" si="60"/>
        <v/>
      </c>
      <c r="L342" t="str">
        <f t="shared" si="61"/>
        <v/>
      </c>
      <c r="M342" t="str">
        <f t="shared" si="62"/>
        <v/>
      </c>
      <c r="N342" t="str">
        <f t="shared" si="63"/>
        <v/>
      </c>
      <c r="O342" t="str">
        <f t="shared" si="64"/>
        <v/>
      </c>
      <c r="P342" t="str">
        <f>IF($A342="","",IF($E342=1,$F342*$O342,PNL!G342))</f>
        <v/>
      </c>
      <c r="T342" t="str">
        <f t="shared" si="65"/>
        <v/>
      </c>
    </row>
    <row r="343" spans="1:20" x14ac:dyDescent="0.45">
      <c r="A343" t="str">
        <f>IF(PNL!A343="","",PNL!A343)</f>
        <v/>
      </c>
      <c r="B343" t="str">
        <f>IF(PNL!B343="","",PNL!B343)</f>
        <v/>
      </c>
      <c r="C343" t="str">
        <f>IF(PNL!C343="","",PNL!C343)</f>
        <v/>
      </c>
      <c r="D343" t="str">
        <f>IF(PNL!D343="","",PNL!D343)</f>
        <v/>
      </c>
      <c r="E343" t="str">
        <f t="shared" si="55"/>
        <v/>
      </c>
      <c r="F343" t="str">
        <f>IF($A343="","",IF($E343=1,SUMIFS(Compta!$F$1:$F$675,Compta!$A$1:$A$675,$A343,Compta!$B$1:$B$675,$B343,Compta!$C$1:$C$675,"2026"),0))</f>
        <v/>
      </c>
      <c r="G343" t="str">
        <f t="shared" si="56"/>
        <v/>
      </c>
      <c r="H343" t="str">
        <f t="shared" si="57"/>
        <v/>
      </c>
      <c r="I343" t="str">
        <f t="shared" si="58"/>
        <v/>
      </c>
      <c r="J343" t="str">
        <f t="shared" si="59"/>
        <v/>
      </c>
      <c r="K343" t="str">
        <f t="shared" si="60"/>
        <v/>
      </c>
      <c r="L343" t="str">
        <f t="shared" si="61"/>
        <v/>
      </c>
      <c r="M343" t="str">
        <f t="shared" si="62"/>
        <v/>
      </c>
      <c r="N343" t="str">
        <f t="shared" si="63"/>
        <v/>
      </c>
      <c r="O343" t="str">
        <f t="shared" si="64"/>
        <v/>
      </c>
      <c r="P343" t="str">
        <f>IF($A343="","",IF($E343=1,$F343*$O343,PNL!G343))</f>
        <v/>
      </c>
      <c r="T343" t="str">
        <f t="shared" si="65"/>
        <v/>
      </c>
    </row>
    <row r="344" spans="1:20" x14ac:dyDescent="0.45">
      <c r="A344" t="str">
        <f>IF(PNL!A344="","",PNL!A344)</f>
        <v/>
      </c>
      <c r="B344" t="str">
        <f>IF(PNL!B344="","",PNL!B344)</f>
        <v/>
      </c>
      <c r="C344" t="str">
        <f>IF(PNL!C344="","",PNL!C344)</f>
        <v/>
      </c>
      <c r="D344" t="str">
        <f>IF(PNL!D344="","",PNL!D344)</f>
        <v/>
      </c>
      <c r="E344" t="str">
        <f t="shared" si="55"/>
        <v/>
      </c>
      <c r="F344" t="str">
        <f>IF($A344="","",IF($E344=1,SUMIFS(Compta!$F$1:$F$675,Compta!$A$1:$A$675,$A344,Compta!$B$1:$B$675,$B344,Compta!$C$1:$C$675,"2026"),0))</f>
        <v/>
      </c>
      <c r="G344" t="str">
        <f t="shared" si="56"/>
        <v/>
      </c>
      <c r="H344" t="str">
        <f t="shared" si="57"/>
        <v/>
      </c>
      <c r="I344" t="str">
        <f t="shared" si="58"/>
        <v/>
      </c>
      <c r="J344" t="str">
        <f t="shared" si="59"/>
        <v/>
      </c>
      <c r="K344" t="str">
        <f t="shared" si="60"/>
        <v/>
      </c>
      <c r="L344" t="str">
        <f t="shared" si="61"/>
        <v/>
      </c>
      <c r="M344" t="str">
        <f t="shared" si="62"/>
        <v/>
      </c>
      <c r="N344" t="str">
        <f t="shared" si="63"/>
        <v/>
      </c>
      <c r="O344" t="str">
        <f t="shared" si="64"/>
        <v/>
      </c>
      <c r="P344" t="str">
        <f>IF($A344="","",IF($E344=1,$F344*$O344,PNL!G344))</f>
        <v/>
      </c>
      <c r="T344" t="str">
        <f t="shared" si="65"/>
        <v/>
      </c>
    </row>
    <row r="345" spans="1:20" x14ac:dyDescent="0.45">
      <c r="A345" t="str">
        <f>IF(PNL!A345="","",PNL!A345)</f>
        <v/>
      </c>
      <c r="B345" t="str">
        <f>IF(PNL!B345="","",PNL!B345)</f>
        <v/>
      </c>
      <c r="C345" t="str">
        <f>IF(PNL!C345="","",PNL!C345)</f>
        <v/>
      </c>
      <c r="D345" t="str">
        <f>IF(PNL!D345="","",PNL!D345)</f>
        <v/>
      </c>
      <c r="E345" t="str">
        <f t="shared" si="55"/>
        <v/>
      </c>
      <c r="F345" t="str">
        <f>IF($A345="","",IF($E345=1,SUMIFS(Compta!$F$1:$F$675,Compta!$A$1:$A$675,$A345,Compta!$B$1:$B$675,$B345,Compta!$C$1:$C$675,"2026"),0))</f>
        <v/>
      </c>
      <c r="G345" t="str">
        <f t="shared" si="56"/>
        <v/>
      </c>
      <c r="H345" t="str">
        <f t="shared" si="57"/>
        <v/>
      </c>
      <c r="I345" t="str">
        <f t="shared" si="58"/>
        <v/>
      </c>
      <c r="J345" t="str">
        <f t="shared" si="59"/>
        <v/>
      </c>
      <c r="K345" t="str">
        <f t="shared" si="60"/>
        <v/>
      </c>
      <c r="L345" t="str">
        <f t="shared" si="61"/>
        <v/>
      </c>
      <c r="M345" t="str">
        <f t="shared" si="62"/>
        <v/>
      </c>
      <c r="N345" t="str">
        <f t="shared" si="63"/>
        <v/>
      </c>
      <c r="O345" t="str">
        <f t="shared" si="64"/>
        <v/>
      </c>
      <c r="P345" t="str">
        <f>IF($A345="","",IF($E345=1,$F345*$O345,PNL!G345))</f>
        <v/>
      </c>
      <c r="T345" t="str">
        <f t="shared" si="65"/>
        <v/>
      </c>
    </row>
    <row r="346" spans="1:20" x14ac:dyDescent="0.45">
      <c r="A346" t="str">
        <f>IF(PNL!A346="","",PNL!A346)</f>
        <v/>
      </c>
      <c r="B346" t="str">
        <f>IF(PNL!B346="","",PNL!B346)</f>
        <v/>
      </c>
      <c r="C346" t="str">
        <f>IF(PNL!C346="","",PNL!C346)</f>
        <v/>
      </c>
      <c r="D346" t="str">
        <f>IF(PNL!D346="","",PNL!D346)</f>
        <v/>
      </c>
      <c r="E346" t="str">
        <f t="shared" si="55"/>
        <v/>
      </c>
      <c r="F346" t="str">
        <f>IF($A346="","",IF($E346=1,SUMIFS(Compta!$F$1:$F$675,Compta!$A$1:$A$675,$A346,Compta!$B$1:$B$675,$B346,Compta!$C$1:$C$675,"2026"),0))</f>
        <v/>
      </c>
      <c r="G346" t="str">
        <f t="shared" si="56"/>
        <v/>
      </c>
      <c r="H346" t="str">
        <f t="shared" si="57"/>
        <v/>
      </c>
      <c r="I346" t="str">
        <f t="shared" si="58"/>
        <v/>
      </c>
      <c r="J346" t="str">
        <f t="shared" si="59"/>
        <v/>
      </c>
      <c r="K346" t="str">
        <f t="shared" si="60"/>
        <v/>
      </c>
      <c r="L346" t="str">
        <f t="shared" si="61"/>
        <v/>
      </c>
      <c r="M346" t="str">
        <f t="shared" si="62"/>
        <v/>
      </c>
      <c r="N346" t="str">
        <f t="shared" si="63"/>
        <v/>
      </c>
      <c r="O346" t="str">
        <f t="shared" si="64"/>
        <v/>
      </c>
      <c r="P346" t="str">
        <f>IF($A346="","",IF($E346=1,$F346*$O346,PNL!G346))</f>
        <v/>
      </c>
      <c r="T346" t="str">
        <f t="shared" si="65"/>
        <v/>
      </c>
    </row>
    <row r="347" spans="1:20" x14ac:dyDescent="0.45">
      <c r="A347" t="str">
        <f>IF(PNL!A347="","",PNL!A347)</f>
        <v/>
      </c>
      <c r="B347" t="str">
        <f>IF(PNL!B347="","",PNL!B347)</f>
        <v/>
      </c>
      <c r="C347" t="str">
        <f>IF(PNL!C347="","",PNL!C347)</f>
        <v/>
      </c>
      <c r="D347" t="str">
        <f>IF(PNL!D347="","",PNL!D347)</f>
        <v/>
      </c>
      <c r="E347" t="str">
        <f t="shared" si="55"/>
        <v/>
      </c>
      <c r="F347" t="str">
        <f>IF($A347="","",IF($E347=1,SUMIFS(Compta!$F$1:$F$675,Compta!$A$1:$A$675,$A347,Compta!$B$1:$B$675,$B347,Compta!$C$1:$C$675,"2026"),0))</f>
        <v/>
      </c>
      <c r="G347" t="str">
        <f t="shared" si="56"/>
        <v/>
      </c>
      <c r="H347" t="str">
        <f t="shared" si="57"/>
        <v/>
      </c>
      <c r="I347" t="str">
        <f t="shared" si="58"/>
        <v/>
      </c>
      <c r="J347" t="str">
        <f t="shared" si="59"/>
        <v/>
      </c>
      <c r="K347" t="str">
        <f t="shared" si="60"/>
        <v/>
      </c>
      <c r="L347" t="str">
        <f t="shared" si="61"/>
        <v/>
      </c>
      <c r="M347" t="str">
        <f t="shared" si="62"/>
        <v/>
      </c>
      <c r="N347" t="str">
        <f t="shared" si="63"/>
        <v/>
      </c>
      <c r="O347" t="str">
        <f t="shared" si="64"/>
        <v/>
      </c>
      <c r="P347" t="str">
        <f>IF($A347="","",IF($E347=1,$F347*$O347,PNL!G347))</f>
        <v/>
      </c>
      <c r="T347" t="str">
        <f t="shared" si="65"/>
        <v/>
      </c>
    </row>
    <row r="348" spans="1:20" x14ac:dyDescent="0.45">
      <c r="A348" t="str">
        <f>IF(PNL!A348="","",PNL!A348)</f>
        <v/>
      </c>
      <c r="B348" t="str">
        <f>IF(PNL!B348="","",PNL!B348)</f>
        <v/>
      </c>
      <c r="C348" t="str">
        <f>IF(PNL!C348="","",PNL!C348)</f>
        <v/>
      </c>
      <c r="D348" t="str">
        <f>IF(PNL!D348="","",PNL!D348)</f>
        <v/>
      </c>
      <c r="E348" t="str">
        <f t="shared" si="55"/>
        <v/>
      </c>
      <c r="F348" t="str">
        <f>IF($A348="","",IF($E348=1,SUMIFS(Compta!$F$1:$F$675,Compta!$A$1:$A$675,$A348,Compta!$B$1:$B$675,$B348,Compta!$C$1:$C$675,"2026"),0))</f>
        <v/>
      </c>
      <c r="G348" t="str">
        <f t="shared" si="56"/>
        <v/>
      </c>
      <c r="H348" t="str">
        <f t="shared" si="57"/>
        <v/>
      </c>
      <c r="I348" t="str">
        <f t="shared" si="58"/>
        <v/>
      </c>
      <c r="J348" t="str">
        <f t="shared" si="59"/>
        <v/>
      </c>
      <c r="K348" t="str">
        <f t="shared" si="60"/>
        <v/>
      </c>
      <c r="L348" t="str">
        <f t="shared" si="61"/>
        <v/>
      </c>
      <c r="M348" t="str">
        <f t="shared" si="62"/>
        <v/>
      </c>
      <c r="N348" t="str">
        <f t="shared" si="63"/>
        <v/>
      </c>
      <c r="O348" t="str">
        <f t="shared" si="64"/>
        <v/>
      </c>
      <c r="P348" t="str">
        <f>IF($A348="","",IF($E348=1,$F348*$O348,PNL!G348))</f>
        <v/>
      </c>
      <c r="T348" t="str">
        <f t="shared" si="65"/>
        <v/>
      </c>
    </row>
    <row r="349" spans="1:20" x14ac:dyDescent="0.45">
      <c r="A349" t="str">
        <f>IF(PNL!A349="","",PNL!A349)</f>
        <v/>
      </c>
      <c r="B349" t="str">
        <f>IF(PNL!B349="","",PNL!B349)</f>
        <v/>
      </c>
      <c r="C349" t="str">
        <f>IF(PNL!C349="","",PNL!C349)</f>
        <v/>
      </c>
      <c r="D349" t="str">
        <f>IF(PNL!D349="","",PNL!D349)</f>
        <v/>
      </c>
      <c r="E349" t="str">
        <f t="shared" si="55"/>
        <v/>
      </c>
      <c r="F349" t="str">
        <f>IF($A349="","",IF($E349=1,SUMIFS(Compta!$F$1:$F$675,Compta!$A$1:$A$675,$A349,Compta!$B$1:$B$675,$B349,Compta!$C$1:$C$675,"2026"),0))</f>
        <v/>
      </c>
      <c r="G349" t="str">
        <f t="shared" si="56"/>
        <v/>
      </c>
      <c r="H349" t="str">
        <f t="shared" si="57"/>
        <v/>
      </c>
      <c r="I349" t="str">
        <f t="shared" si="58"/>
        <v/>
      </c>
      <c r="J349" t="str">
        <f t="shared" si="59"/>
        <v/>
      </c>
      <c r="K349" t="str">
        <f t="shared" si="60"/>
        <v/>
      </c>
      <c r="L349" t="str">
        <f t="shared" si="61"/>
        <v/>
      </c>
      <c r="M349" t="str">
        <f t="shared" si="62"/>
        <v/>
      </c>
      <c r="N349" t="str">
        <f t="shared" si="63"/>
        <v/>
      </c>
      <c r="O349" t="str">
        <f t="shared" si="64"/>
        <v/>
      </c>
      <c r="P349" t="str">
        <f>IF($A349="","",IF($E349=1,$F349*$O349,PNL!G349))</f>
        <v/>
      </c>
      <c r="T349" t="str">
        <f t="shared" si="65"/>
        <v/>
      </c>
    </row>
    <row r="350" spans="1:20" x14ac:dyDescent="0.45">
      <c r="A350" t="str">
        <f>IF(PNL!A350="","",PNL!A350)</f>
        <v/>
      </c>
      <c r="B350" t="str">
        <f>IF(PNL!B350="","",PNL!B350)</f>
        <v/>
      </c>
      <c r="C350" t="str">
        <f>IF(PNL!C350="","",PNL!C350)</f>
        <v/>
      </c>
      <c r="D350" t="str">
        <f>IF(PNL!D350="","",PNL!D350)</f>
        <v/>
      </c>
      <c r="E350" t="str">
        <f t="shared" si="55"/>
        <v/>
      </c>
      <c r="F350" t="str">
        <f>IF($A350="","",IF($E350=1,SUMIFS(Compta!$F$1:$F$675,Compta!$A$1:$A$675,$A350,Compta!$B$1:$B$675,$B350,Compta!$C$1:$C$675,"2026"),0))</f>
        <v/>
      </c>
      <c r="G350" t="str">
        <f t="shared" si="56"/>
        <v/>
      </c>
      <c r="H350" t="str">
        <f t="shared" si="57"/>
        <v/>
      </c>
      <c r="I350" t="str">
        <f t="shared" si="58"/>
        <v/>
      </c>
      <c r="J350" t="str">
        <f t="shared" si="59"/>
        <v/>
      </c>
      <c r="K350" t="str">
        <f t="shared" si="60"/>
        <v/>
      </c>
      <c r="L350" t="str">
        <f t="shared" si="61"/>
        <v/>
      </c>
      <c r="M350" t="str">
        <f t="shared" si="62"/>
        <v/>
      </c>
      <c r="N350" t="str">
        <f t="shared" si="63"/>
        <v/>
      </c>
      <c r="O350" t="str">
        <f t="shared" si="64"/>
        <v/>
      </c>
      <c r="P350" t="str">
        <f>IF($A350="","",IF($E350=1,$F350*$O350,PNL!G350))</f>
        <v/>
      </c>
      <c r="T350" t="str">
        <f t="shared" si="65"/>
        <v/>
      </c>
    </row>
    <row r="351" spans="1:20" x14ac:dyDescent="0.45">
      <c r="A351" t="str">
        <f>IF(PNL!A351="","",PNL!A351)</f>
        <v/>
      </c>
      <c r="B351" t="str">
        <f>IF(PNL!B351="","",PNL!B351)</f>
        <v/>
      </c>
      <c r="C351" t="str">
        <f>IF(PNL!C351="","",PNL!C351)</f>
        <v/>
      </c>
      <c r="D351" t="str">
        <f>IF(PNL!D351="","",PNL!D351)</f>
        <v/>
      </c>
      <c r="E351" t="str">
        <f t="shared" si="55"/>
        <v/>
      </c>
      <c r="F351" t="str">
        <f>IF($A351="","",IF($E351=1,SUMIFS(Compta!$F$1:$F$675,Compta!$A$1:$A$675,$A351,Compta!$B$1:$B$675,$B351,Compta!$C$1:$C$675,"2026"),0))</f>
        <v/>
      </c>
      <c r="G351" t="str">
        <f t="shared" si="56"/>
        <v/>
      </c>
      <c r="H351" t="str">
        <f t="shared" si="57"/>
        <v/>
      </c>
      <c r="I351" t="str">
        <f t="shared" si="58"/>
        <v/>
      </c>
      <c r="J351" t="str">
        <f t="shared" si="59"/>
        <v/>
      </c>
      <c r="K351" t="str">
        <f t="shared" si="60"/>
        <v/>
      </c>
      <c r="L351" t="str">
        <f t="shared" si="61"/>
        <v/>
      </c>
      <c r="M351" t="str">
        <f t="shared" si="62"/>
        <v/>
      </c>
      <c r="N351" t="str">
        <f t="shared" si="63"/>
        <v/>
      </c>
      <c r="O351" t="str">
        <f t="shared" si="64"/>
        <v/>
      </c>
      <c r="P351" t="str">
        <f>IF($A351="","",IF($E351=1,$F351*$O351,PNL!G351))</f>
        <v/>
      </c>
      <c r="T351" t="str">
        <f t="shared" si="65"/>
        <v/>
      </c>
    </row>
    <row r="352" spans="1:20" x14ac:dyDescent="0.45">
      <c r="A352" t="str">
        <f>IF(PNL!A352="","",PNL!A352)</f>
        <v/>
      </c>
      <c r="B352" t="str">
        <f>IF(PNL!B352="","",PNL!B352)</f>
        <v/>
      </c>
      <c r="C352" t="str">
        <f>IF(PNL!C352="","",PNL!C352)</f>
        <v/>
      </c>
      <c r="D352" t="str">
        <f>IF(PNL!D352="","",PNL!D352)</f>
        <v/>
      </c>
      <c r="E352" t="str">
        <f t="shared" si="55"/>
        <v/>
      </c>
      <c r="F352" t="str">
        <f>IF($A352="","",IF($E352=1,SUMIFS(Compta!$F$1:$F$675,Compta!$A$1:$A$675,$A352,Compta!$B$1:$B$675,$B352,Compta!$C$1:$C$675,"2026"),0))</f>
        <v/>
      </c>
      <c r="G352" t="str">
        <f t="shared" si="56"/>
        <v/>
      </c>
      <c r="H352" t="str">
        <f t="shared" si="57"/>
        <v/>
      </c>
      <c r="I352" t="str">
        <f t="shared" si="58"/>
        <v/>
      </c>
      <c r="J352" t="str">
        <f t="shared" si="59"/>
        <v/>
      </c>
      <c r="K352" t="str">
        <f t="shared" si="60"/>
        <v/>
      </c>
      <c r="L352" t="str">
        <f t="shared" si="61"/>
        <v/>
      </c>
      <c r="M352" t="str">
        <f t="shared" si="62"/>
        <v/>
      </c>
      <c r="N352" t="str">
        <f t="shared" si="63"/>
        <v/>
      </c>
      <c r="O352" t="str">
        <f t="shared" si="64"/>
        <v/>
      </c>
      <c r="P352" t="str">
        <f>IF($A352="","",IF($E352=1,$F352*$O352,PNL!G352))</f>
        <v/>
      </c>
      <c r="T352" t="str">
        <f t="shared" si="65"/>
        <v/>
      </c>
    </row>
    <row r="353" spans="1:20" x14ac:dyDescent="0.45">
      <c r="A353" t="str">
        <f>IF(PNL!A353="","",PNL!A353)</f>
        <v/>
      </c>
      <c r="B353" t="str">
        <f>IF(PNL!B353="","",PNL!B353)</f>
        <v/>
      </c>
      <c r="C353" t="str">
        <f>IF(PNL!C353="","",PNL!C353)</f>
        <v/>
      </c>
      <c r="D353" t="str">
        <f>IF(PNL!D353="","",PNL!D353)</f>
        <v/>
      </c>
      <c r="E353" t="str">
        <f t="shared" si="55"/>
        <v/>
      </c>
      <c r="F353" t="str">
        <f>IF($A353="","",IF($E353=1,SUMIFS(Compta!$F$1:$F$675,Compta!$A$1:$A$675,$A353,Compta!$B$1:$B$675,$B353,Compta!$C$1:$C$675,"2026"),0))</f>
        <v/>
      </c>
      <c r="G353" t="str">
        <f t="shared" si="56"/>
        <v/>
      </c>
      <c r="H353" t="str">
        <f t="shared" si="57"/>
        <v/>
      </c>
      <c r="I353" t="str">
        <f t="shared" si="58"/>
        <v/>
      </c>
      <c r="J353" t="str">
        <f t="shared" si="59"/>
        <v/>
      </c>
      <c r="K353" t="str">
        <f t="shared" si="60"/>
        <v/>
      </c>
      <c r="L353" t="str">
        <f t="shared" si="61"/>
        <v/>
      </c>
      <c r="M353" t="str">
        <f t="shared" si="62"/>
        <v/>
      </c>
      <c r="N353" t="str">
        <f t="shared" si="63"/>
        <v/>
      </c>
      <c r="O353" t="str">
        <f t="shared" si="64"/>
        <v/>
      </c>
      <c r="P353" t="str">
        <f>IF($A353="","",IF($E353=1,$F353*$O353,PNL!G353))</f>
        <v/>
      </c>
      <c r="T353" t="str">
        <f t="shared" si="65"/>
        <v/>
      </c>
    </row>
    <row r="354" spans="1:20" x14ac:dyDescent="0.45">
      <c r="A354" t="str">
        <f>IF(PNL!A354="","",PNL!A354)</f>
        <v/>
      </c>
      <c r="B354" t="str">
        <f>IF(PNL!B354="","",PNL!B354)</f>
        <v/>
      </c>
      <c r="C354" t="str">
        <f>IF(PNL!C354="","",PNL!C354)</f>
        <v/>
      </c>
      <c r="D354" t="str">
        <f>IF(PNL!D354="","",PNL!D354)</f>
        <v/>
      </c>
      <c r="E354" t="str">
        <f t="shared" si="55"/>
        <v/>
      </c>
      <c r="F354" t="str">
        <f>IF($A354="","",IF($E354=1,SUMIFS(Compta!$F$1:$F$675,Compta!$A$1:$A$675,$A354,Compta!$B$1:$B$675,$B354,Compta!$C$1:$C$675,"2026"),0))</f>
        <v/>
      </c>
      <c r="G354" t="str">
        <f t="shared" si="56"/>
        <v/>
      </c>
      <c r="H354" t="str">
        <f t="shared" si="57"/>
        <v/>
      </c>
      <c r="I354" t="str">
        <f t="shared" si="58"/>
        <v/>
      </c>
      <c r="J354" t="str">
        <f t="shared" si="59"/>
        <v/>
      </c>
      <c r="K354" t="str">
        <f t="shared" si="60"/>
        <v/>
      </c>
      <c r="L354" t="str">
        <f t="shared" si="61"/>
        <v/>
      </c>
      <c r="M354" t="str">
        <f t="shared" si="62"/>
        <v/>
      </c>
      <c r="N354" t="str">
        <f t="shared" si="63"/>
        <v/>
      </c>
      <c r="O354" t="str">
        <f t="shared" si="64"/>
        <v/>
      </c>
      <c r="P354" t="str">
        <f>IF($A354="","",IF($E354=1,$F354*$O354,PNL!G354))</f>
        <v/>
      </c>
      <c r="T354" t="str">
        <f t="shared" si="65"/>
        <v/>
      </c>
    </row>
    <row r="355" spans="1:20" x14ac:dyDescent="0.45">
      <c r="A355" t="str">
        <f>IF(PNL!A355="","",PNL!A355)</f>
        <v/>
      </c>
      <c r="B355" t="str">
        <f>IF(PNL!B355="","",PNL!B355)</f>
        <v/>
      </c>
      <c r="C355" t="str">
        <f>IF(PNL!C355="","",PNL!C355)</f>
        <v/>
      </c>
      <c r="D355" t="str">
        <f>IF(PNL!D355="","",PNL!D355)</f>
        <v/>
      </c>
      <c r="E355" t="str">
        <f t="shared" si="55"/>
        <v/>
      </c>
      <c r="F355" t="str">
        <f>IF($A355="","",IF($E355=1,SUMIFS(Compta!$F$1:$F$675,Compta!$A$1:$A$675,$A355,Compta!$B$1:$B$675,$B355,Compta!$C$1:$C$675,"2026"),0))</f>
        <v/>
      </c>
      <c r="G355" t="str">
        <f t="shared" si="56"/>
        <v/>
      </c>
      <c r="H355" t="str">
        <f t="shared" si="57"/>
        <v/>
      </c>
      <c r="I355" t="str">
        <f t="shared" si="58"/>
        <v/>
      </c>
      <c r="J355" t="str">
        <f t="shared" si="59"/>
        <v/>
      </c>
      <c r="K355" t="str">
        <f t="shared" si="60"/>
        <v/>
      </c>
      <c r="L355" t="str">
        <f t="shared" si="61"/>
        <v/>
      </c>
      <c r="M355" t="str">
        <f t="shared" si="62"/>
        <v/>
      </c>
      <c r="N355" t="str">
        <f t="shared" si="63"/>
        <v/>
      </c>
      <c r="O355" t="str">
        <f t="shared" si="64"/>
        <v/>
      </c>
      <c r="P355" t="str">
        <f>IF($A355="","",IF($E355=1,$F355*$O355,PNL!G355))</f>
        <v/>
      </c>
      <c r="T355" t="str">
        <f t="shared" si="65"/>
        <v/>
      </c>
    </row>
    <row r="356" spans="1:20" x14ac:dyDescent="0.45">
      <c r="A356" t="str">
        <f>IF(PNL!A356="","",PNL!A356)</f>
        <v/>
      </c>
      <c r="B356" t="str">
        <f>IF(PNL!B356="","",PNL!B356)</f>
        <v/>
      </c>
      <c r="C356" t="str">
        <f>IF(PNL!C356="","",PNL!C356)</f>
        <v/>
      </c>
      <c r="D356" t="str">
        <f>IF(PNL!D356="","",PNL!D356)</f>
        <v/>
      </c>
      <c r="E356" t="str">
        <f t="shared" si="55"/>
        <v/>
      </c>
      <c r="F356" t="str">
        <f>IF($A356="","",IF($E356=1,SUMIFS(Compta!$F$1:$F$675,Compta!$A$1:$A$675,$A356,Compta!$B$1:$B$675,$B356,Compta!$C$1:$C$675,"2026"),0))</f>
        <v/>
      </c>
      <c r="G356" t="str">
        <f t="shared" si="56"/>
        <v/>
      </c>
      <c r="H356" t="str">
        <f t="shared" si="57"/>
        <v/>
      </c>
      <c r="I356" t="str">
        <f t="shared" si="58"/>
        <v/>
      </c>
      <c r="J356" t="str">
        <f t="shared" si="59"/>
        <v/>
      </c>
      <c r="K356" t="str">
        <f t="shared" si="60"/>
        <v/>
      </c>
      <c r="L356" t="str">
        <f t="shared" si="61"/>
        <v/>
      </c>
      <c r="M356" t="str">
        <f t="shared" si="62"/>
        <v/>
      </c>
      <c r="N356" t="str">
        <f t="shared" si="63"/>
        <v/>
      </c>
      <c r="O356" t="str">
        <f t="shared" si="64"/>
        <v/>
      </c>
      <c r="P356" t="str">
        <f>IF($A356="","",IF($E356=1,$F356*$O356,PNL!G356))</f>
        <v/>
      </c>
      <c r="T356" t="str">
        <f t="shared" si="65"/>
        <v/>
      </c>
    </row>
    <row r="357" spans="1:20" x14ac:dyDescent="0.45">
      <c r="A357" t="str">
        <f>IF(PNL!A357="","",PNL!A357)</f>
        <v/>
      </c>
      <c r="B357" t="str">
        <f>IF(PNL!B357="","",PNL!B357)</f>
        <v/>
      </c>
      <c r="C357" t="str">
        <f>IF(PNL!C357="","",PNL!C357)</f>
        <v/>
      </c>
      <c r="D357" t="str">
        <f>IF(PNL!D357="","",PNL!D357)</f>
        <v/>
      </c>
      <c r="E357" t="str">
        <f t="shared" si="55"/>
        <v/>
      </c>
      <c r="F357" t="str">
        <f>IF($A357="","",IF($E357=1,SUMIFS(Compta!$F$1:$F$675,Compta!$A$1:$A$675,$A357,Compta!$B$1:$B$675,$B357,Compta!$C$1:$C$675,"2026"),0))</f>
        <v/>
      </c>
      <c r="G357" t="str">
        <f t="shared" si="56"/>
        <v/>
      </c>
      <c r="H357" t="str">
        <f t="shared" si="57"/>
        <v/>
      </c>
      <c r="I357" t="str">
        <f t="shared" si="58"/>
        <v/>
      </c>
      <c r="J357" t="str">
        <f t="shared" si="59"/>
        <v/>
      </c>
      <c r="K357" t="str">
        <f t="shared" si="60"/>
        <v/>
      </c>
      <c r="L357" t="str">
        <f t="shared" si="61"/>
        <v/>
      </c>
      <c r="M357" t="str">
        <f t="shared" si="62"/>
        <v/>
      </c>
      <c r="N357" t="str">
        <f t="shared" si="63"/>
        <v/>
      </c>
      <c r="O357" t="str">
        <f t="shared" si="64"/>
        <v/>
      </c>
      <c r="P357" t="str">
        <f>IF($A357="","",IF($E357=1,$F357*$O357,PNL!G357))</f>
        <v/>
      </c>
      <c r="T357" t="str">
        <f t="shared" si="65"/>
        <v/>
      </c>
    </row>
    <row r="358" spans="1:20" x14ac:dyDescent="0.45">
      <c r="A358" t="str">
        <f>IF(PNL!A358="","",PNL!A358)</f>
        <v/>
      </c>
      <c r="B358" t="str">
        <f>IF(PNL!B358="","",PNL!B358)</f>
        <v/>
      </c>
      <c r="C358" t="str">
        <f>IF(PNL!C358="","",PNL!C358)</f>
        <v/>
      </c>
      <c r="D358" t="str">
        <f>IF(PNL!D358="","",PNL!D358)</f>
        <v/>
      </c>
      <c r="E358" t="str">
        <f t="shared" si="55"/>
        <v/>
      </c>
      <c r="F358" t="str">
        <f>IF($A358="","",IF($E358=1,SUMIFS(Compta!$F$1:$F$675,Compta!$A$1:$A$675,$A358,Compta!$B$1:$B$675,$B358,Compta!$C$1:$C$675,"2026"),0))</f>
        <v/>
      </c>
      <c r="G358" t="str">
        <f t="shared" si="56"/>
        <v/>
      </c>
      <c r="H358" t="str">
        <f t="shared" si="57"/>
        <v/>
      </c>
      <c r="I358" t="str">
        <f t="shared" si="58"/>
        <v/>
      </c>
      <c r="J358" t="str">
        <f t="shared" si="59"/>
        <v/>
      </c>
      <c r="K358" t="str">
        <f t="shared" si="60"/>
        <v/>
      </c>
      <c r="L358" t="str">
        <f t="shared" si="61"/>
        <v/>
      </c>
      <c r="M358" t="str">
        <f t="shared" si="62"/>
        <v/>
      </c>
      <c r="N358" t="str">
        <f t="shared" si="63"/>
        <v/>
      </c>
      <c r="O358" t="str">
        <f t="shared" si="64"/>
        <v/>
      </c>
      <c r="P358" t="str">
        <f>IF($A358="","",IF($E358=1,$F358*$O358,PNL!G358))</f>
        <v/>
      </c>
      <c r="T358" t="str">
        <f t="shared" si="65"/>
        <v/>
      </c>
    </row>
    <row r="359" spans="1:20" x14ac:dyDescent="0.45">
      <c r="A359" t="str">
        <f>IF(PNL!A359="","",PNL!A359)</f>
        <v/>
      </c>
      <c r="B359" t="str">
        <f>IF(PNL!B359="","",PNL!B359)</f>
        <v/>
      </c>
      <c r="C359" t="str">
        <f>IF(PNL!C359="","",PNL!C359)</f>
        <v/>
      </c>
      <c r="D359" t="str">
        <f>IF(PNL!D359="","",PNL!D359)</f>
        <v/>
      </c>
      <c r="E359" t="str">
        <f t="shared" si="55"/>
        <v/>
      </c>
      <c r="F359" t="str">
        <f>IF($A359="","",IF($E359=1,SUMIFS(Compta!$F$1:$F$675,Compta!$A$1:$A$675,$A359,Compta!$B$1:$B$675,$B359,Compta!$C$1:$C$675,"2026"),0))</f>
        <v/>
      </c>
      <c r="G359" t="str">
        <f t="shared" si="56"/>
        <v/>
      </c>
      <c r="H359" t="str">
        <f t="shared" si="57"/>
        <v/>
      </c>
      <c r="I359" t="str">
        <f t="shared" si="58"/>
        <v/>
      </c>
      <c r="J359" t="str">
        <f t="shared" si="59"/>
        <v/>
      </c>
      <c r="K359" t="str">
        <f t="shared" si="60"/>
        <v/>
      </c>
      <c r="L359" t="str">
        <f t="shared" si="61"/>
        <v/>
      </c>
      <c r="M359" t="str">
        <f t="shared" si="62"/>
        <v/>
      </c>
      <c r="N359" t="str">
        <f t="shared" si="63"/>
        <v/>
      </c>
      <c r="O359" t="str">
        <f t="shared" si="64"/>
        <v/>
      </c>
      <c r="P359" t="str">
        <f>IF($A359="","",IF($E359=1,$F359*$O359,PNL!G359))</f>
        <v/>
      </c>
      <c r="T359" t="str">
        <f t="shared" si="65"/>
        <v/>
      </c>
    </row>
    <row r="360" spans="1:20" x14ac:dyDescent="0.45">
      <c r="A360" t="str">
        <f>IF(PNL!A360="","",PNL!A360)</f>
        <v/>
      </c>
      <c r="B360" t="str">
        <f>IF(PNL!B360="","",PNL!B360)</f>
        <v/>
      </c>
      <c r="C360" t="str">
        <f>IF(PNL!C360="","",PNL!C360)</f>
        <v/>
      </c>
      <c r="D360" t="str">
        <f>IF(PNL!D360="","",PNL!D360)</f>
        <v/>
      </c>
      <c r="E360" t="str">
        <f t="shared" si="55"/>
        <v/>
      </c>
      <c r="F360" t="str">
        <f>IF($A360="","",IF($E360=1,SUMIFS(Compta!$F$1:$F$675,Compta!$A$1:$A$675,$A360,Compta!$B$1:$B$675,$B360,Compta!$C$1:$C$675,"2026"),0))</f>
        <v/>
      </c>
      <c r="G360" t="str">
        <f t="shared" si="56"/>
        <v/>
      </c>
      <c r="H360" t="str">
        <f t="shared" si="57"/>
        <v/>
      </c>
      <c r="I360" t="str">
        <f t="shared" si="58"/>
        <v/>
      </c>
      <c r="J360" t="str">
        <f t="shared" si="59"/>
        <v/>
      </c>
      <c r="K360" t="str">
        <f t="shared" si="60"/>
        <v/>
      </c>
      <c r="L360" t="str">
        <f t="shared" si="61"/>
        <v/>
      </c>
      <c r="M360" t="str">
        <f t="shared" si="62"/>
        <v/>
      </c>
      <c r="N360" t="str">
        <f t="shared" si="63"/>
        <v/>
      </c>
      <c r="O360" t="str">
        <f t="shared" si="64"/>
        <v/>
      </c>
      <c r="P360" t="str">
        <f>IF($A360="","",IF($E360=1,$F360*$O360,PNL!G360))</f>
        <v/>
      </c>
      <c r="T360" t="str">
        <f t="shared" si="65"/>
        <v/>
      </c>
    </row>
    <row r="361" spans="1:20" x14ac:dyDescent="0.45">
      <c r="A361" t="str">
        <f>IF(PNL!A361="","",PNL!A361)</f>
        <v/>
      </c>
      <c r="B361" t="str">
        <f>IF(PNL!B361="","",PNL!B361)</f>
        <v/>
      </c>
      <c r="C361" t="str">
        <f>IF(PNL!C361="","",PNL!C361)</f>
        <v/>
      </c>
      <c r="D361" t="str">
        <f>IF(PNL!D361="","",PNL!D361)</f>
        <v/>
      </c>
      <c r="E361" t="str">
        <f t="shared" si="55"/>
        <v/>
      </c>
      <c r="F361" t="str">
        <f>IF($A361="","",IF($E361=1,SUMIFS(Compta!$F$1:$F$675,Compta!$A$1:$A$675,$A361,Compta!$B$1:$B$675,$B361,Compta!$C$1:$C$675,"2026"),0))</f>
        <v/>
      </c>
      <c r="G361" t="str">
        <f t="shared" si="56"/>
        <v/>
      </c>
      <c r="H361" t="str">
        <f t="shared" si="57"/>
        <v/>
      </c>
      <c r="I361" t="str">
        <f t="shared" si="58"/>
        <v/>
      </c>
      <c r="J361" t="str">
        <f t="shared" si="59"/>
        <v/>
      </c>
      <c r="K361" t="str">
        <f t="shared" si="60"/>
        <v/>
      </c>
      <c r="L361" t="str">
        <f t="shared" si="61"/>
        <v/>
      </c>
      <c r="M361" t="str">
        <f t="shared" si="62"/>
        <v/>
      </c>
      <c r="N361" t="str">
        <f t="shared" si="63"/>
        <v/>
      </c>
      <c r="O361" t="str">
        <f t="shared" si="64"/>
        <v/>
      </c>
      <c r="P361" t="str">
        <f>IF($A361="","",IF($E361=1,$F361*$O361,PNL!G361))</f>
        <v/>
      </c>
      <c r="T361" t="str">
        <f t="shared" si="65"/>
        <v/>
      </c>
    </row>
    <row r="362" spans="1:20" x14ac:dyDescent="0.45">
      <c r="A362" t="str">
        <f>IF(PNL!A362="","",PNL!A362)</f>
        <v/>
      </c>
      <c r="B362" t="str">
        <f>IF(PNL!B362="","",PNL!B362)</f>
        <v/>
      </c>
      <c r="C362" t="str">
        <f>IF(PNL!C362="","",PNL!C362)</f>
        <v/>
      </c>
      <c r="D362" t="str">
        <f>IF(PNL!D362="","",PNL!D362)</f>
        <v/>
      </c>
      <c r="E362" t="str">
        <f t="shared" si="55"/>
        <v/>
      </c>
      <c r="F362" t="str">
        <f>IF($A362="","",IF($E362=1,SUMIFS(Compta!$F$1:$F$675,Compta!$A$1:$A$675,$A362,Compta!$B$1:$B$675,$B362,Compta!$C$1:$C$675,"2026"),0))</f>
        <v/>
      </c>
      <c r="G362" t="str">
        <f t="shared" si="56"/>
        <v/>
      </c>
      <c r="H362" t="str">
        <f t="shared" si="57"/>
        <v/>
      </c>
      <c r="I362" t="str">
        <f t="shared" si="58"/>
        <v/>
      </c>
      <c r="J362" t="str">
        <f t="shared" si="59"/>
        <v/>
      </c>
      <c r="K362" t="str">
        <f t="shared" si="60"/>
        <v/>
      </c>
      <c r="L362" t="str">
        <f t="shared" si="61"/>
        <v/>
      </c>
      <c r="M362" t="str">
        <f t="shared" si="62"/>
        <v/>
      </c>
      <c r="N362" t="str">
        <f t="shared" si="63"/>
        <v/>
      </c>
      <c r="O362" t="str">
        <f t="shared" si="64"/>
        <v/>
      </c>
      <c r="P362" t="str">
        <f>IF($A362="","",IF($E362=1,$F362*$O362,PNL!G362))</f>
        <v/>
      </c>
      <c r="T362" t="str">
        <f t="shared" si="65"/>
        <v/>
      </c>
    </row>
    <row r="363" spans="1:20" x14ac:dyDescent="0.45">
      <c r="A363" t="str">
        <f>IF(PNL!A363="","",PNL!A363)</f>
        <v/>
      </c>
      <c r="B363" t="str">
        <f>IF(PNL!B363="","",PNL!B363)</f>
        <v/>
      </c>
      <c r="C363" t="str">
        <f>IF(PNL!C363="","",PNL!C363)</f>
        <v/>
      </c>
      <c r="D363" t="str">
        <f>IF(PNL!D363="","",PNL!D363)</f>
        <v/>
      </c>
      <c r="E363" t="str">
        <f t="shared" si="55"/>
        <v/>
      </c>
      <c r="F363" t="str">
        <f>IF($A363="","",IF($E363=1,SUMIFS(Compta!$F$1:$F$675,Compta!$A$1:$A$675,$A363,Compta!$B$1:$B$675,$B363,Compta!$C$1:$C$675,"2026"),0))</f>
        <v/>
      </c>
      <c r="G363" t="str">
        <f t="shared" si="56"/>
        <v/>
      </c>
      <c r="H363" t="str">
        <f t="shared" si="57"/>
        <v/>
      </c>
      <c r="I363" t="str">
        <f t="shared" si="58"/>
        <v/>
      </c>
      <c r="J363" t="str">
        <f t="shared" si="59"/>
        <v/>
      </c>
      <c r="K363" t="str">
        <f t="shared" si="60"/>
        <v/>
      </c>
      <c r="L363" t="str">
        <f t="shared" si="61"/>
        <v/>
      </c>
      <c r="M363" t="str">
        <f t="shared" si="62"/>
        <v/>
      </c>
      <c r="N363" t="str">
        <f t="shared" si="63"/>
        <v/>
      </c>
      <c r="O363" t="str">
        <f t="shared" si="64"/>
        <v/>
      </c>
      <c r="P363" t="str">
        <f>IF($A363="","",IF($E363=1,$F363*$O363,PNL!G363))</f>
        <v/>
      </c>
      <c r="T363" t="str">
        <f t="shared" si="65"/>
        <v/>
      </c>
    </row>
    <row r="364" spans="1:20" x14ac:dyDescent="0.45">
      <c r="A364" t="str">
        <f>IF(PNL!A364="","",PNL!A364)</f>
        <v/>
      </c>
      <c r="B364" t="str">
        <f>IF(PNL!B364="","",PNL!B364)</f>
        <v/>
      </c>
      <c r="C364" t="str">
        <f>IF(PNL!C364="","",PNL!C364)</f>
        <v/>
      </c>
      <c r="D364" t="str">
        <f>IF(PNL!D364="","",PNL!D364)</f>
        <v/>
      </c>
      <c r="E364" t="str">
        <f t="shared" si="55"/>
        <v/>
      </c>
      <c r="F364" t="str">
        <f>IF($A364="","",IF($E364=1,SUMIFS(Compta!$F$1:$F$675,Compta!$A$1:$A$675,$A364,Compta!$B$1:$B$675,$B364,Compta!$C$1:$C$675,"2026"),0))</f>
        <v/>
      </c>
      <c r="G364" t="str">
        <f t="shared" si="56"/>
        <v/>
      </c>
      <c r="H364" t="str">
        <f t="shared" si="57"/>
        <v/>
      </c>
      <c r="I364" t="str">
        <f t="shared" si="58"/>
        <v/>
      </c>
      <c r="J364" t="str">
        <f t="shared" si="59"/>
        <v/>
      </c>
      <c r="K364" t="str">
        <f t="shared" si="60"/>
        <v/>
      </c>
      <c r="L364" t="str">
        <f t="shared" si="61"/>
        <v/>
      </c>
      <c r="M364" t="str">
        <f t="shared" si="62"/>
        <v/>
      </c>
      <c r="N364" t="str">
        <f t="shared" si="63"/>
        <v/>
      </c>
      <c r="O364" t="str">
        <f t="shared" si="64"/>
        <v/>
      </c>
      <c r="P364" t="str">
        <f>IF($A364="","",IF($E364=1,$F364*$O364,PNL!G364))</f>
        <v/>
      </c>
      <c r="T364" t="str">
        <f t="shared" si="65"/>
        <v/>
      </c>
    </row>
    <row r="365" spans="1:20" x14ac:dyDescent="0.45">
      <c r="A365" t="str">
        <f>IF(PNL!A365="","",PNL!A365)</f>
        <v/>
      </c>
      <c r="B365" t="str">
        <f>IF(PNL!B365="","",PNL!B365)</f>
        <v/>
      </c>
      <c r="C365" t="str">
        <f>IF(PNL!C365="","",PNL!C365)</f>
        <v/>
      </c>
      <c r="D365" t="str">
        <f>IF(PNL!D365="","",PNL!D365)</f>
        <v/>
      </c>
      <c r="E365" t="str">
        <f t="shared" si="55"/>
        <v/>
      </c>
      <c r="F365" t="str">
        <f>IF($A365="","",IF($E365=1,SUMIFS(Compta!$F$1:$F$675,Compta!$A$1:$A$675,$A365,Compta!$B$1:$B$675,$B365,Compta!$C$1:$C$675,"2026"),0))</f>
        <v/>
      </c>
      <c r="G365" t="str">
        <f t="shared" si="56"/>
        <v/>
      </c>
      <c r="H365" t="str">
        <f t="shared" si="57"/>
        <v/>
      </c>
      <c r="I365" t="str">
        <f t="shared" si="58"/>
        <v/>
      </c>
      <c r="J365" t="str">
        <f t="shared" si="59"/>
        <v/>
      </c>
      <c r="K365" t="str">
        <f t="shared" si="60"/>
        <v/>
      </c>
      <c r="L365" t="str">
        <f t="shared" si="61"/>
        <v/>
      </c>
      <c r="M365" t="str">
        <f t="shared" si="62"/>
        <v/>
      </c>
      <c r="N365" t="str">
        <f t="shared" si="63"/>
        <v/>
      </c>
      <c r="O365" t="str">
        <f t="shared" si="64"/>
        <v/>
      </c>
      <c r="P365" t="str">
        <f>IF($A365="","",IF($E365=1,$F365*$O365,PNL!G365))</f>
        <v/>
      </c>
      <c r="T365" t="str">
        <f t="shared" si="65"/>
        <v/>
      </c>
    </row>
    <row r="366" spans="1:20" x14ac:dyDescent="0.45">
      <c r="A366" t="str">
        <f>IF(PNL!A366="","",PNL!A366)</f>
        <v/>
      </c>
      <c r="B366" t="str">
        <f>IF(PNL!B366="","",PNL!B366)</f>
        <v/>
      </c>
      <c r="C366" t="str">
        <f>IF(PNL!C366="","",PNL!C366)</f>
        <v/>
      </c>
      <c r="D366" t="str">
        <f>IF(PNL!D366="","",PNL!D366)</f>
        <v/>
      </c>
      <c r="E366" t="str">
        <f t="shared" si="55"/>
        <v/>
      </c>
      <c r="F366" t="str">
        <f>IF($A366="","",IF($E366=1,SUMIFS(Compta!$F$1:$F$675,Compta!$A$1:$A$675,$A366,Compta!$B$1:$B$675,$B366,Compta!$C$1:$C$675,"2026"),0))</f>
        <v/>
      </c>
      <c r="G366" t="str">
        <f t="shared" si="56"/>
        <v/>
      </c>
      <c r="H366" t="str">
        <f t="shared" si="57"/>
        <v/>
      </c>
      <c r="I366" t="str">
        <f t="shared" si="58"/>
        <v/>
      </c>
      <c r="J366" t="str">
        <f t="shared" si="59"/>
        <v/>
      </c>
      <c r="K366" t="str">
        <f t="shared" si="60"/>
        <v/>
      </c>
      <c r="L366" t="str">
        <f t="shared" si="61"/>
        <v/>
      </c>
      <c r="M366" t="str">
        <f t="shared" si="62"/>
        <v/>
      </c>
      <c r="N366" t="str">
        <f t="shared" si="63"/>
        <v/>
      </c>
      <c r="O366" t="str">
        <f t="shared" si="64"/>
        <v/>
      </c>
      <c r="P366" t="str">
        <f>IF($A366="","",IF($E366=1,$F366*$O366,PNL!G366))</f>
        <v/>
      </c>
      <c r="T366" t="str">
        <f t="shared" si="65"/>
        <v/>
      </c>
    </row>
    <row r="367" spans="1:20" x14ac:dyDescent="0.45">
      <c r="A367" t="str">
        <f>IF(PNL!A367="","",PNL!A367)</f>
        <v/>
      </c>
      <c r="B367" t="str">
        <f>IF(PNL!B367="","",PNL!B367)</f>
        <v/>
      </c>
      <c r="C367" t="str">
        <f>IF(PNL!C367="","",PNL!C367)</f>
        <v/>
      </c>
      <c r="D367" t="str">
        <f>IF(PNL!D367="","",PNL!D367)</f>
        <v/>
      </c>
      <c r="E367" t="str">
        <f t="shared" si="55"/>
        <v/>
      </c>
      <c r="F367" t="str">
        <f>IF($A367="","",IF($E367=1,SUMIFS(Compta!$F$1:$F$675,Compta!$A$1:$A$675,$A367,Compta!$B$1:$B$675,$B367,Compta!$C$1:$C$675,"2026"),0))</f>
        <v/>
      </c>
      <c r="G367" t="str">
        <f t="shared" si="56"/>
        <v/>
      </c>
      <c r="H367" t="str">
        <f t="shared" si="57"/>
        <v/>
      </c>
      <c r="I367" t="str">
        <f t="shared" si="58"/>
        <v/>
      </c>
      <c r="J367" t="str">
        <f t="shared" si="59"/>
        <v/>
      </c>
      <c r="K367" t="str">
        <f t="shared" si="60"/>
        <v/>
      </c>
      <c r="L367" t="str">
        <f t="shared" si="61"/>
        <v/>
      </c>
      <c r="M367" t="str">
        <f t="shared" si="62"/>
        <v/>
      </c>
      <c r="N367" t="str">
        <f t="shared" si="63"/>
        <v/>
      </c>
      <c r="O367" t="str">
        <f t="shared" si="64"/>
        <v/>
      </c>
      <c r="P367" t="str">
        <f>IF($A367="","",IF($E367=1,$F367*$O367,PNL!G367))</f>
        <v/>
      </c>
      <c r="T367" t="str">
        <f t="shared" si="65"/>
        <v/>
      </c>
    </row>
    <row r="368" spans="1:20" x14ac:dyDescent="0.45">
      <c r="A368" t="str">
        <f>IF(PNL!A368="","",PNL!A368)</f>
        <v/>
      </c>
      <c r="B368" t="str">
        <f>IF(PNL!B368="","",PNL!B368)</f>
        <v/>
      </c>
      <c r="C368" t="str">
        <f>IF(PNL!C368="","",PNL!C368)</f>
        <v/>
      </c>
      <c r="D368" t="str">
        <f>IF(PNL!D368="","",PNL!D368)</f>
        <v/>
      </c>
      <c r="E368" t="str">
        <f t="shared" si="55"/>
        <v/>
      </c>
      <c r="F368" t="str">
        <f>IF($A368="","",IF($E368=1,SUMIFS(Compta!$F$1:$F$675,Compta!$A$1:$A$675,$A368,Compta!$B$1:$B$675,$B368,Compta!$C$1:$C$675,"2026"),0))</f>
        <v/>
      </c>
      <c r="G368" t="str">
        <f t="shared" si="56"/>
        <v/>
      </c>
      <c r="H368" t="str">
        <f t="shared" si="57"/>
        <v/>
      </c>
      <c r="I368" t="str">
        <f t="shared" si="58"/>
        <v/>
      </c>
      <c r="J368" t="str">
        <f t="shared" si="59"/>
        <v/>
      </c>
      <c r="K368" t="str">
        <f t="shared" si="60"/>
        <v/>
      </c>
      <c r="L368" t="str">
        <f t="shared" si="61"/>
        <v/>
      </c>
      <c r="M368" t="str">
        <f t="shared" si="62"/>
        <v/>
      </c>
      <c r="N368" t="str">
        <f t="shared" si="63"/>
        <v/>
      </c>
      <c r="O368" t="str">
        <f t="shared" si="64"/>
        <v/>
      </c>
      <c r="P368" t="str">
        <f>IF($A368="","",IF($E368=1,$F368*$O368,PNL!G368))</f>
        <v/>
      </c>
      <c r="T368" t="str">
        <f t="shared" si="65"/>
        <v/>
      </c>
    </row>
    <row r="369" spans="1:20" x14ac:dyDescent="0.45">
      <c r="A369" t="str">
        <f>IF(PNL!A369="","",PNL!A369)</f>
        <v/>
      </c>
      <c r="B369" t="str">
        <f>IF(PNL!B369="","",PNL!B369)</f>
        <v/>
      </c>
      <c r="C369" t="str">
        <f>IF(PNL!C369="","",PNL!C369)</f>
        <v/>
      </c>
      <c r="D369" t="str">
        <f>IF(PNL!D369="","",PNL!D369)</f>
        <v/>
      </c>
      <c r="E369" t="str">
        <f t="shared" si="55"/>
        <v/>
      </c>
      <c r="F369" t="str">
        <f>IF($A369="","",IF($E369=1,SUMIFS(Compta!$F$1:$F$675,Compta!$A$1:$A$675,$A369,Compta!$B$1:$B$675,$B369,Compta!$C$1:$C$675,"2026"),0))</f>
        <v/>
      </c>
      <c r="G369" t="str">
        <f t="shared" si="56"/>
        <v/>
      </c>
      <c r="H369" t="str">
        <f t="shared" si="57"/>
        <v/>
      </c>
      <c r="I369" t="str">
        <f t="shared" si="58"/>
        <v/>
      </c>
      <c r="J369" t="str">
        <f t="shared" si="59"/>
        <v/>
      </c>
      <c r="K369" t="str">
        <f t="shared" si="60"/>
        <v/>
      </c>
      <c r="L369" t="str">
        <f t="shared" si="61"/>
        <v/>
      </c>
      <c r="M369" t="str">
        <f t="shared" si="62"/>
        <v/>
      </c>
      <c r="N369" t="str">
        <f t="shared" si="63"/>
        <v/>
      </c>
      <c r="O369" t="str">
        <f t="shared" si="64"/>
        <v/>
      </c>
      <c r="P369" t="str">
        <f>IF($A369="","",IF($E369=1,$F369*$O369,PNL!G369))</f>
        <v/>
      </c>
      <c r="T369" t="str">
        <f t="shared" si="65"/>
        <v/>
      </c>
    </row>
    <row r="370" spans="1:20" x14ac:dyDescent="0.45">
      <c r="A370" t="str">
        <f>IF(PNL!A370="","",PNL!A370)</f>
        <v/>
      </c>
      <c r="B370" t="str">
        <f>IF(PNL!B370="","",PNL!B370)</f>
        <v/>
      </c>
      <c r="C370" t="str">
        <f>IF(PNL!C370="","",PNL!C370)</f>
        <v/>
      </c>
      <c r="D370" t="str">
        <f>IF(PNL!D370="","",PNL!D370)</f>
        <v/>
      </c>
      <c r="E370" t="str">
        <f t="shared" si="55"/>
        <v/>
      </c>
      <c r="F370" t="str">
        <f>IF($A370="","",IF($E370=1,SUMIFS(Compta!$F$1:$F$675,Compta!$A$1:$A$675,$A370,Compta!$B$1:$B$675,$B370,Compta!$C$1:$C$675,"2026"),0))</f>
        <v/>
      </c>
      <c r="G370" t="str">
        <f t="shared" si="56"/>
        <v/>
      </c>
      <c r="H370" t="str">
        <f t="shared" si="57"/>
        <v/>
      </c>
      <c r="I370" t="str">
        <f t="shared" si="58"/>
        <v/>
      </c>
      <c r="J370" t="str">
        <f t="shared" si="59"/>
        <v/>
      </c>
      <c r="K370" t="str">
        <f t="shared" si="60"/>
        <v/>
      </c>
      <c r="L370" t="str">
        <f t="shared" si="61"/>
        <v/>
      </c>
      <c r="M370" t="str">
        <f t="shared" si="62"/>
        <v/>
      </c>
      <c r="N370" t="str">
        <f t="shared" si="63"/>
        <v/>
      </c>
      <c r="O370" t="str">
        <f t="shared" si="64"/>
        <v/>
      </c>
      <c r="P370" t="str">
        <f>IF($A370="","",IF($E370=1,$F370*$O370,PNL!G370))</f>
        <v/>
      </c>
      <c r="T370" t="str">
        <f t="shared" si="65"/>
        <v/>
      </c>
    </row>
    <row r="371" spans="1:20" x14ac:dyDescent="0.45">
      <c r="A371" t="str">
        <f>IF(PNL!A371="","",PNL!A371)</f>
        <v/>
      </c>
      <c r="B371" t="str">
        <f>IF(PNL!B371="","",PNL!B371)</f>
        <v/>
      </c>
      <c r="C371" t="str">
        <f>IF(PNL!C371="","",PNL!C371)</f>
        <v/>
      </c>
      <c r="D371" t="str">
        <f>IF(PNL!D371="","",PNL!D371)</f>
        <v/>
      </c>
      <c r="E371" t="str">
        <f t="shared" si="55"/>
        <v/>
      </c>
      <c r="F371" t="str">
        <f>IF($A371="","",IF($E371=1,SUMIFS(Compta!$F$1:$F$675,Compta!$A$1:$A$675,$A371,Compta!$B$1:$B$675,$B371,Compta!$C$1:$C$675,"2026"),0))</f>
        <v/>
      </c>
      <c r="G371" t="str">
        <f t="shared" si="56"/>
        <v/>
      </c>
      <c r="H371" t="str">
        <f t="shared" si="57"/>
        <v/>
      </c>
      <c r="I371" t="str">
        <f t="shared" si="58"/>
        <v/>
      </c>
      <c r="J371" t="str">
        <f t="shared" si="59"/>
        <v/>
      </c>
      <c r="K371" t="str">
        <f t="shared" si="60"/>
        <v/>
      </c>
      <c r="L371" t="str">
        <f t="shared" si="61"/>
        <v/>
      </c>
      <c r="M371" t="str">
        <f t="shared" si="62"/>
        <v/>
      </c>
      <c r="N371" t="str">
        <f t="shared" si="63"/>
        <v/>
      </c>
      <c r="O371" t="str">
        <f t="shared" si="64"/>
        <v/>
      </c>
      <c r="P371" t="str">
        <f>IF($A371="","",IF($E371=1,$F371*$O371,PNL!G371))</f>
        <v/>
      </c>
      <c r="T371" t="str">
        <f t="shared" si="65"/>
        <v/>
      </c>
    </row>
    <row r="372" spans="1:20" x14ac:dyDescent="0.45">
      <c r="A372" t="str">
        <f>IF(PNL!A372="","",PNL!A372)</f>
        <v/>
      </c>
      <c r="B372" t="str">
        <f>IF(PNL!B372="","",PNL!B372)</f>
        <v/>
      </c>
      <c r="C372" t="str">
        <f>IF(PNL!C372="","",PNL!C372)</f>
        <v/>
      </c>
      <c r="D372" t="str">
        <f>IF(PNL!D372="","",PNL!D372)</f>
        <v/>
      </c>
      <c r="E372" t="str">
        <f t="shared" si="55"/>
        <v/>
      </c>
      <c r="F372" t="str">
        <f>IF($A372="","",IF($E372=1,SUMIFS(Compta!$F$1:$F$675,Compta!$A$1:$A$675,$A372,Compta!$B$1:$B$675,$B372,Compta!$C$1:$C$675,"2026"),0))</f>
        <v/>
      </c>
      <c r="G372" t="str">
        <f t="shared" si="56"/>
        <v/>
      </c>
      <c r="H372" t="str">
        <f t="shared" si="57"/>
        <v/>
      </c>
      <c r="I372" t="str">
        <f t="shared" si="58"/>
        <v/>
      </c>
      <c r="J372" t="str">
        <f t="shared" si="59"/>
        <v/>
      </c>
      <c r="K372" t="str">
        <f t="shared" si="60"/>
        <v/>
      </c>
      <c r="L372" t="str">
        <f t="shared" si="61"/>
        <v/>
      </c>
      <c r="M372" t="str">
        <f t="shared" si="62"/>
        <v/>
      </c>
      <c r="N372" t="str">
        <f t="shared" si="63"/>
        <v/>
      </c>
      <c r="O372" t="str">
        <f t="shared" si="64"/>
        <v/>
      </c>
      <c r="P372" t="str">
        <f>IF($A372="","",IF($E372=1,$F372*$O372,PNL!G372))</f>
        <v/>
      </c>
      <c r="T372" t="str">
        <f t="shared" si="65"/>
        <v/>
      </c>
    </row>
    <row r="373" spans="1:20" x14ac:dyDescent="0.45">
      <c r="A373" t="str">
        <f>IF(PNL!A373="","",PNL!A373)</f>
        <v/>
      </c>
      <c r="B373" t="str">
        <f>IF(PNL!B373="","",PNL!B373)</f>
        <v/>
      </c>
      <c r="C373" t="str">
        <f>IF(PNL!C373="","",PNL!C373)</f>
        <v/>
      </c>
      <c r="D373" t="str">
        <f>IF(PNL!D373="","",PNL!D373)</f>
        <v/>
      </c>
      <c r="E373" t="str">
        <f t="shared" si="55"/>
        <v/>
      </c>
      <c r="F373" t="str">
        <f>IF($A373="","",IF($E373=1,SUMIFS(Compta!$F$1:$F$675,Compta!$A$1:$A$675,$A373,Compta!$B$1:$B$675,$B373,Compta!$C$1:$C$675,"2026"),0))</f>
        <v/>
      </c>
      <c r="G373" t="str">
        <f t="shared" si="56"/>
        <v/>
      </c>
      <c r="H373" t="str">
        <f t="shared" si="57"/>
        <v/>
      </c>
      <c r="I373" t="str">
        <f t="shared" si="58"/>
        <v/>
      </c>
      <c r="J373" t="str">
        <f t="shared" si="59"/>
        <v/>
      </c>
      <c r="K373" t="str">
        <f t="shared" si="60"/>
        <v/>
      </c>
      <c r="L373" t="str">
        <f t="shared" si="61"/>
        <v/>
      </c>
      <c r="M373" t="str">
        <f t="shared" si="62"/>
        <v/>
      </c>
      <c r="N373" t="str">
        <f t="shared" si="63"/>
        <v/>
      </c>
      <c r="O373" t="str">
        <f t="shared" si="64"/>
        <v/>
      </c>
      <c r="P373" t="str">
        <f>IF($A373="","",IF($E373=1,$F373*$O373,PNL!G373))</f>
        <v/>
      </c>
      <c r="T373" t="str">
        <f t="shared" si="65"/>
        <v/>
      </c>
    </row>
    <row r="374" spans="1:20" x14ac:dyDescent="0.45">
      <c r="A374" t="str">
        <f>IF(PNL!A374="","",PNL!A374)</f>
        <v/>
      </c>
      <c r="B374" t="str">
        <f>IF(PNL!B374="","",PNL!B374)</f>
        <v/>
      </c>
      <c r="C374" t="str">
        <f>IF(PNL!C374="","",PNL!C374)</f>
        <v/>
      </c>
      <c r="D374" t="str">
        <f>IF(PNL!D374="","",PNL!D374)</f>
        <v/>
      </c>
      <c r="E374" t="str">
        <f t="shared" si="55"/>
        <v/>
      </c>
      <c r="F374" t="str">
        <f>IF($A374="","",IF($E374=1,SUMIFS(Compta!$F$1:$F$675,Compta!$A$1:$A$675,$A374,Compta!$B$1:$B$675,$B374,Compta!$C$1:$C$675,"2026"),0))</f>
        <v/>
      </c>
      <c r="G374" t="str">
        <f t="shared" si="56"/>
        <v/>
      </c>
      <c r="H374" t="str">
        <f t="shared" si="57"/>
        <v/>
      </c>
      <c r="I374" t="str">
        <f t="shared" si="58"/>
        <v/>
      </c>
      <c r="J374" t="str">
        <f t="shared" si="59"/>
        <v/>
      </c>
      <c r="K374" t="str">
        <f t="shared" si="60"/>
        <v/>
      </c>
      <c r="L374" t="str">
        <f t="shared" si="61"/>
        <v/>
      </c>
      <c r="M374" t="str">
        <f t="shared" si="62"/>
        <v/>
      </c>
      <c r="N374" t="str">
        <f t="shared" si="63"/>
        <v/>
      </c>
      <c r="O374" t="str">
        <f t="shared" si="64"/>
        <v/>
      </c>
      <c r="P374" t="str">
        <f>IF($A374="","",IF($E374=1,$F374*$O374,PNL!G374))</f>
        <v/>
      </c>
      <c r="T374" t="str">
        <f t="shared" si="65"/>
        <v/>
      </c>
    </row>
    <row r="375" spans="1:20" x14ac:dyDescent="0.45">
      <c r="A375" t="str">
        <f>IF(PNL!A375="","",PNL!A375)</f>
        <v/>
      </c>
      <c r="B375" t="str">
        <f>IF(PNL!B375="","",PNL!B375)</f>
        <v/>
      </c>
      <c r="C375" t="str">
        <f>IF(PNL!C375="","",PNL!C375)</f>
        <v/>
      </c>
      <c r="D375" t="str">
        <f>IF(PNL!D375="","",PNL!D375)</f>
        <v/>
      </c>
      <c r="E375" t="str">
        <f t="shared" si="55"/>
        <v/>
      </c>
      <c r="F375" t="str">
        <f>IF($A375="","",IF($E375=1,SUMIFS(Compta!$F$1:$F$675,Compta!$A$1:$A$675,$A375,Compta!$B$1:$B$675,$B375,Compta!$C$1:$C$675,"2026"),0))</f>
        <v/>
      </c>
      <c r="G375" t="str">
        <f t="shared" si="56"/>
        <v/>
      </c>
      <c r="H375" t="str">
        <f t="shared" si="57"/>
        <v/>
      </c>
      <c r="I375" t="str">
        <f t="shared" si="58"/>
        <v/>
      </c>
      <c r="J375" t="str">
        <f t="shared" si="59"/>
        <v/>
      </c>
      <c r="K375" t="str">
        <f t="shared" si="60"/>
        <v/>
      </c>
      <c r="L375" t="str">
        <f t="shared" si="61"/>
        <v/>
      </c>
      <c r="M375" t="str">
        <f t="shared" si="62"/>
        <v/>
      </c>
      <c r="N375" t="str">
        <f t="shared" si="63"/>
        <v/>
      </c>
      <c r="O375" t="str">
        <f t="shared" si="64"/>
        <v/>
      </c>
      <c r="P375" t="str">
        <f>IF($A375="","",IF($E375=1,$F375*$O375,PNL!G375))</f>
        <v/>
      </c>
      <c r="T375" t="str">
        <f t="shared" si="65"/>
        <v/>
      </c>
    </row>
    <row r="376" spans="1:20" x14ac:dyDescent="0.45">
      <c r="A376" t="str">
        <f>IF(PNL!A376="","",PNL!A376)</f>
        <v/>
      </c>
      <c r="B376" t="str">
        <f>IF(PNL!B376="","",PNL!B376)</f>
        <v/>
      </c>
      <c r="C376" t="str">
        <f>IF(PNL!C376="","",PNL!C376)</f>
        <v/>
      </c>
      <c r="D376" t="str">
        <f>IF(PNL!D376="","",PNL!D376)</f>
        <v/>
      </c>
      <c r="E376" t="str">
        <f t="shared" si="55"/>
        <v/>
      </c>
      <c r="F376" t="str">
        <f>IF($A376="","",IF($E376=1,SUMIFS(Compta!$F$1:$F$675,Compta!$A$1:$A$675,$A376,Compta!$B$1:$B$675,$B376,Compta!$C$1:$C$675,"2026"),0))</f>
        <v/>
      </c>
      <c r="G376" t="str">
        <f t="shared" si="56"/>
        <v/>
      </c>
      <c r="H376" t="str">
        <f t="shared" si="57"/>
        <v/>
      </c>
      <c r="I376" t="str">
        <f t="shared" si="58"/>
        <v/>
      </c>
      <c r="J376" t="str">
        <f t="shared" si="59"/>
        <v/>
      </c>
      <c r="K376" t="str">
        <f t="shared" si="60"/>
        <v/>
      </c>
      <c r="L376" t="str">
        <f t="shared" si="61"/>
        <v/>
      </c>
      <c r="M376" t="str">
        <f t="shared" si="62"/>
        <v/>
      </c>
      <c r="N376" t="str">
        <f t="shared" si="63"/>
        <v/>
      </c>
      <c r="O376" t="str">
        <f t="shared" si="64"/>
        <v/>
      </c>
      <c r="P376" t="str">
        <f>IF($A376="","",IF($E376=1,$F376*$O376,PNL!G376))</f>
        <v/>
      </c>
      <c r="T376" t="str">
        <f t="shared" si="65"/>
        <v/>
      </c>
    </row>
    <row r="377" spans="1:20" x14ac:dyDescent="0.45">
      <c r="A377" t="str">
        <f>IF(PNL!A377="","",PNL!A377)</f>
        <v/>
      </c>
      <c r="B377" t="str">
        <f>IF(PNL!B377="","",PNL!B377)</f>
        <v/>
      </c>
      <c r="C377" t="str">
        <f>IF(PNL!C377="","",PNL!C377)</f>
        <v/>
      </c>
      <c r="D377" t="str">
        <f>IF(PNL!D377="","",PNL!D377)</f>
        <v/>
      </c>
      <c r="E377" t="str">
        <f t="shared" si="55"/>
        <v/>
      </c>
      <c r="F377" t="str">
        <f>IF($A377="","",IF($E377=1,SUMIFS(Compta!$F$1:$F$675,Compta!$A$1:$A$675,$A377,Compta!$B$1:$B$675,$B377,Compta!$C$1:$C$675,"2026"),0))</f>
        <v/>
      </c>
      <c r="G377" t="str">
        <f t="shared" si="56"/>
        <v/>
      </c>
      <c r="H377" t="str">
        <f t="shared" si="57"/>
        <v/>
      </c>
      <c r="I377" t="str">
        <f t="shared" si="58"/>
        <v/>
      </c>
      <c r="J377" t="str">
        <f t="shared" si="59"/>
        <v/>
      </c>
      <c r="K377" t="str">
        <f t="shared" si="60"/>
        <v/>
      </c>
      <c r="L377" t="str">
        <f t="shared" si="61"/>
        <v/>
      </c>
      <c r="M377" t="str">
        <f t="shared" si="62"/>
        <v/>
      </c>
      <c r="N377" t="str">
        <f t="shared" si="63"/>
        <v/>
      </c>
      <c r="O377" t="str">
        <f t="shared" si="64"/>
        <v/>
      </c>
      <c r="P377" t="str">
        <f>IF($A377="","",IF($E377=1,$F377*$O377,PNL!G377))</f>
        <v/>
      </c>
      <c r="T377" t="str">
        <f t="shared" si="65"/>
        <v/>
      </c>
    </row>
    <row r="378" spans="1:20" x14ac:dyDescent="0.45">
      <c r="A378" t="str">
        <f>IF(PNL!A378="","",PNL!A378)</f>
        <v/>
      </c>
      <c r="B378" t="str">
        <f>IF(PNL!B378="","",PNL!B378)</f>
        <v/>
      </c>
      <c r="C378" t="str">
        <f>IF(PNL!C378="","",PNL!C378)</f>
        <v/>
      </c>
      <c r="D378" t="str">
        <f>IF(PNL!D378="","",PNL!D378)</f>
        <v/>
      </c>
      <c r="E378" t="str">
        <f t="shared" si="55"/>
        <v/>
      </c>
      <c r="F378" t="str">
        <f>IF($A378="","",IF($E378=1,SUMIFS(Compta!$F$1:$F$675,Compta!$A$1:$A$675,$A378,Compta!$B$1:$B$675,$B378,Compta!$C$1:$C$675,"2026"),0))</f>
        <v/>
      </c>
      <c r="G378" t="str">
        <f t="shared" si="56"/>
        <v/>
      </c>
      <c r="H378" t="str">
        <f t="shared" si="57"/>
        <v/>
      </c>
      <c r="I378" t="str">
        <f t="shared" si="58"/>
        <v/>
      </c>
      <c r="J378" t="str">
        <f t="shared" si="59"/>
        <v/>
      </c>
      <c r="K378" t="str">
        <f t="shared" si="60"/>
        <v/>
      </c>
      <c r="L378" t="str">
        <f t="shared" si="61"/>
        <v/>
      </c>
      <c r="M378" t="str">
        <f t="shared" si="62"/>
        <v/>
      </c>
      <c r="N378" t="str">
        <f t="shared" si="63"/>
        <v/>
      </c>
      <c r="O378" t="str">
        <f t="shared" si="64"/>
        <v/>
      </c>
      <c r="P378" t="str">
        <f>IF($A378="","",IF($E378=1,$F378*$O378,PNL!G378))</f>
        <v/>
      </c>
      <c r="T378" t="str">
        <f t="shared" si="65"/>
        <v/>
      </c>
    </row>
    <row r="379" spans="1:20" x14ac:dyDescent="0.45">
      <c r="A379" t="str">
        <f>IF(PNL!A379="","",PNL!A379)</f>
        <v/>
      </c>
      <c r="B379" t="str">
        <f>IF(PNL!B379="","",PNL!B379)</f>
        <v/>
      </c>
      <c r="C379" t="str">
        <f>IF(PNL!C379="","",PNL!C379)</f>
        <v/>
      </c>
      <c r="D379" t="str">
        <f>IF(PNL!D379="","",PNL!D379)</f>
        <v/>
      </c>
      <c r="E379" t="str">
        <f t="shared" si="55"/>
        <v/>
      </c>
      <c r="F379" t="str">
        <f>IF($A379="","",IF($E379=1,SUMIFS(Compta!$F$1:$F$675,Compta!$A$1:$A$675,$A379,Compta!$B$1:$B$675,$B379,Compta!$C$1:$C$675,"2026"),0))</f>
        <v/>
      </c>
      <c r="G379" t="str">
        <f t="shared" si="56"/>
        <v/>
      </c>
      <c r="H379" t="str">
        <f t="shared" si="57"/>
        <v/>
      </c>
      <c r="I379" t="str">
        <f t="shared" si="58"/>
        <v/>
      </c>
      <c r="J379" t="str">
        <f t="shared" si="59"/>
        <v/>
      </c>
      <c r="K379" t="str">
        <f t="shared" si="60"/>
        <v/>
      </c>
      <c r="L379" t="str">
        <f t="shared" si="61"/>
        <v/>
      </c>
      <c r="M379" t="str">
        <f t="shared" si="62"/>
        <v/>
      </c>
      <c r="N379" t="str">
        <f t="shared" si="63"/>
        <v/>
      </c>
      <c r="O379" t="str">
        <f t="shared" si="64"/>
        <v/>
      </c>
      <c r="P379" t="str">
        <f>IF($A379="","",IF($E379=1,$F379*$O379,PNL!G379))</f>
        <v/>
      </c>
      <c r="T379" t="str">
        <f t="shared" si="65"/>
        <v/>
      </c>
    </row>
    <row r="380" spans="1:20" x14ac:dyDescent="0.45">
      <c r="A380" t="str">
        <f>IF(PNL!A380="","",PNL!A380)</f>
        <v/>
      </c>
      <c r="B380" t="str">
        <f>IF(PNL!B380="","",PNL!B380)</f>
        <v/>
      </c>
      <c r="C380" t="str">
        <f>IF(PNL!C380="","",PNL!C380)</f>
        <v/>
      </c>
      <c r="D380" t="str">
        <f>IF(PNL!D380="","",PNL!D380)</f>
        <v/>
      </c>
      <c r="E380" t="str">
        <f t="shared" si="55"/>
        <v/>
      </c>
      <c r="F380" t="str">
        <f>IF($A380="","",IF($E380=1,SUMIFS(Compta!$F$1:$F$675,Compta!$A$1:$A$675,$A380,Compta!$B$1:$B$675,$B380,Compta!$C$1:$C$675,"2026"),0))</f>
        <v/>
      </c>
      <c r="G380" t="str">
        <f t="shared" si="56"/>
        <v/>
      </c>
      <c r="H380" t="str">
        <f t="shared" si="57"/>
        <v/>
      </c>
      <c r="I380" t="str">
        <f t="shared" si="58"/>
        <v/>
      </c>
      <c r="J380" t="str">
        <f t="shared" si="59"/>
        <v/>
      </c>
      <c r="K380" t="str">
        <f t="shared" si="60"/>
        <v/>
      </c>
      <c r="L380" t="str">
        <f t="shared" si="61"/>
        <v/>
      </c>
      <c r="M380" t="str">
        <f t="shared" si="62"/>
        <v/>
      </c>
      <c r="N380" t="str">
        <f t="shared" si="63"/>
        <v/>
      </c>
      <c r="O380" t="str">
        <f t="shared" si="64"/>
        <v/>
      </c>
      <c r="P380" t="str">
        <f>IF($A380="","",IF($E380=1,$F380*$O380,PNL!G380))</f>
        <v/>
      </c>
      <c r="T380" t="str">
        <f t="shared" si="65"/>
        <v/>
      </c>
    </row>
    <row r="381" spans="1:20" x14ac:dyDescent="0.45">
      <c r="A381" t="str">
        <f>IF(PNL!A381="","",PNL!A381)</f>
        <v/>
      </c>
      <c r="B381" t="str">
        <f>IF(PNL!B381="","",PNL!B381)</f>
        <v/>
      </c>
      <c r="C381" t="str">
        <f>IF(PNL!C381="","",PNL!C381)</f>
        <v/>
      </c>
      <c r="D381" t="str">
        <f>IF(PNL!D381="","",PNL!D381)</f>
        <v/>
      </c>
      <c r="E381" t="str">
        <f t="shared" si="55"/>
        <v/>
      </c>
      <c r="F381" t="str">
        <f>IF($A381="","",IF($E381=1,SUMIFS(Compta!$F$1:$F$675,Compta!$A$1:$A$675,$A381,Compta!$B$1:$B$675,$B381,Compta!$C$1:$C$675,"2026"),0))</f>
        <v/>
      </c>
      <c r="G381" t="str">
        <f t="shared" si="56"/>
        <v/>
      </c>
      <c r="H381" t="str">
        <f t="shared" si="57"/>
        <v/>
      </c>
      <c r="I381" t="str">
        <f t="shared" si="58"/>
        <v/>
      </c>
      <c r="J381" t="str">
        <f t="shared" si="59"/>
        <v/>
      </c>
      <c r="K381" t="str">
        <f t="shared" si="60"/>
        <v/>
      </c>
      <c r="L381" t="str">
        <f t="shared" si="61"/>
        <v/>
      </c>
      <c r="M381" t="str">
        <f t="shared" si="62"/>
        <v/>
      </c>
      <c r="N381" t="str">
        <f t="shared" si="63"/>
        <v/>
      </c>
      <c r="O381" t="str">
        <f t="shared" si="64"/>
        <v/>
      </c>
      <c r="P381" t="str">
        <f>IF($A381="","",IF($E381=1,$F381*$O381,PNL!G381))</f>
        <v/>
      </c>
      <c r="T381" t="str">
        <f t="shared" si="65"/>
        <v/>
      </c>
    </row>
    <row r="382" spans="1:20" x14ac:dyDescent="0.45">
      <c r="A382" t="str">
        <f>IF(PNL!A382="","",PNL!A382)</f>
        <v/>
      </c>
      <c r="B382" t="str">
        <f>IF(PNL!B382="","",PNL!B382)</f>
        <v/>
      </c>
      <c r="C382" t="str">
        <f>IF(PNL!C382="","",PNL!C382)</f>
        <v/>
      </c>
      <c r="D382" t="str">
        <f>IF(PNL!D382="","",PNL!D382)</f>
        <v/>
      </c>
      <c r="E382" t="str">
        <f t="shared" si="55"/>
        <v/>
      </c>
      <c r="F382" t="str">
        <f>IF($A382="","",IF($E382=1,SUMIFS(Compta!$F$1:$F$675,Compta!$A$1:$A$675,$A382,Compta!$B$1:$B$675,$B382,Compta!$C$1:$C$675,"2026"),0))</f>
        <v/>
      </c>
      <c r="G382" t="str">
        <f t="shared" si="56"/>
        <v/>
      </c>
      <c r="H382" t="str">
        <f t="shared" si="57"/>
        <v/>
      </c>
      <c r="I382" t="str">
        <f t="shared" si="58"/>
        <v/>
      </c>
      <c r="J382" t="str">
        <f t="shared" si="59"/>
        <v/>
      </c>
      <c r="K382" t="str">
        <f t="shared" si="60"/>
        <v/>
      </c>
      <c r="L382" t="str">
        <f t="shared" si="61"/>
        <v/>
      </c>
      <c r="M382" t="str">
        <f t="shared" si="62"/>
        <v/>
      </c>
      <c r="N382" t="str">
        <f t="shared" si="63"/>
        <v/>
      </c>
      <c r="O382" t="str">
        <f t="shared" si="64"/>
        <v/>
      </c>
      <c r="P382" t="str">
        <f>IF($A382="","",IF($E382=1,$F382*$O382,PNL!G382))</f>
        <v/>
      </c>
      <c r="T382" t="str">
        <f t="shared" si="65"/>
        <v/>
      </c>
    </row>
    <row r="383" spans="1:20" x14ac:dyDescent="0.45">
      <c r="A383" t="str">
        <f>IF(PNL!A383="","",PNL!A383)</f>
        <v/>
      </c>
      <c r="B383" t="str">
        <f>IF(PNL!B383="","",PNL!B383)</f>
        <v/>
      </c>
      <c r="C383" t="str">
        <f>IF(PNL!C383="","",PNL!C383)</f>
        <v/>
      </c>
      <c r="D383" t="str">
        <f>IF(PNL!D383="","",PNL!D383)</f>
        <v/>
      </c>
      <c r="E383" t="str">
        <f t="shared" si="55"/>
        <v/>
      </c>
      <c r="F383" t="str">
        <f>IF($A383="","",IF($E383=1,SUMIFS(Compta!$F$1:$F$675,Compta!$A$1:$A$675,$A383,Compta!$B$1:$B$675,$B383,Compta!$C$1:$C$675,"2026"),0))</f>
        <v/>
      </c>
      <c r="G383" t="str">
        <f t="shared" si="56"/>
        <v/>
      </c>
      <c r="H383" t="str">
        <f t="shared" si="57"/>
        <v/>
      </c>
      <c r="I383" t="str">
        <f t="shared" si="58"/>
        <v/>
      </c>
      <c r="J383" t="str">
        <f t="shared" si="59"/>
        <v/>
      </c>
      <c r="K383" t="str">
        <f t="shared" si="60"/>
        <v/>
      </c>
      <c r="L383" t="str">
        <f t="shared" si="61"/>
        <v/>
      </c>
      <c r="M383" t="str">
        <f t="shared" si="62"/>
        <v/>
      </c>
      <c r="N383" t="str">
        <f t="shared" si="63"/>
        <v/>
      </c>
      <c r="O383" t="str">
        <f t="shared" si="64"/>
        <v/>
      </c>
      <c r="P383" t="str">
        <f>IF($A383="","",IF($E383=1,$F383*$O383,PNL!G383))</f>
        <v/>
      </c>
      <c r="T383" t="str">
        <f t="shared" si="65"/>
        <v/>
      </c>
    </row>
    <row r="384" spans="1:20" x14ac:dyDescent="0.45">
      <c r="A384" t="str">
        <f>IF(PNL!A384="","",PNL!A384)</f>
        <v/>
      </c>
      <c r="B384" t="str">
        <f>IF(PNL!B384="","",PNL!B384)</f>
        <v/>
      </c>
      <c r="C384" t="str">
        <f>IF(PNL!C384="","",PNL!C384)</f>
        <v/>
      </c>
      <c r="D384" t="str">
        <f>IF(PNL!D384="","",PNL!D384)</f>
        <v/>
      </c>
      <c r="E384" t="str">
        <f t="shared" si="55"/>
        <v/>
      </c>
      <c r="F384" t="str">
        <f>IF($A384="","",IF($E384=1,SUMIFS(Compta!$F$1:$F$675,Compta!$A$1:$A$675,$A384,Compta!$B$1:$B$675,$B384,Compta!$C$1:$C$675,"2026"),0))</f>
        <v/>
      </c>
      <c r="G384" t="str">
        <f t="shared" si="56"/>
        <v/>
      </c>
      <c r="H384" t="str">
        <f t="shared" si="57"/>
        <v/>
      </c>
      <c r="I384" t="str">
        <f t="shared" si="58"/>
        <v/>
      </c>
      <c r="J384" t="str">
        <f t="shared" si="59"/>
        <v/>
      </c>
      <c r="K384" t="str">
        <f t="shared" si="60"/>
        <v/>
      </c>
      <c r="L384" t="str">
        <f t="shared" si="61"/>
        <v/>
      </c>
      <c r="M384" t="str">
        <f t="shared" si="62"/>
        <v/>
      </c>
      <c r="N384" t="str">
        <f t="shared" si="63"/>
        <v/>
      </c>
      <c r="O384" t="str">
        <f t="shared" si="64"/>
        <v/>
      </c>
      <c r="P384" t="str">
        <f>IF($A384="","",IF($E384=1,$F384*$O384,PNL!G384))</f>
        <v/>
      </c>
      <c r="T384" t="str">
        <f t="shared" si="65"/>
        <v/>
      </c>
    </row>
    <row r="385" spans="1:20" x14ac:dyDescent="0.45">
      <c r="A385" t="str">
        <f>IF(PNL!A385="","",PNL!A385)</f>
        <v/>
      </c>
      <c r="B385" t="str">
        <f>IF(PNL!B385="","",PNL!B385)</f>
        <v/>
      </c>
      <c r="C385" t="str">
        <f>IF(PNL!C385="","",PNL!C385)</f>
        <v/>
      </c>
      <c r="D385" t="str">
        <f>IF(PNL!D385="","",PNL!D385)</f>
        <v/>
      </c>
      <c r="E385" t="str">
        <f t="shared" si="55"/>
        <v/>
      </c>
      <c r="F385" t="str">
        <f>IF($A385="","",IF($E385=1,SUMIFS(Compta!$F$1:$F$675,Compta!$A$1:$A$675,$A385,Compta!$B$1:$B$675,$B385,Compta!$C$1:$C$675,"2026"),0))</f>
        <v/>
      </c>
      <c r="G385" t="str">
        <f t="shared" si="56"/>
        <v/>
      </c>
      <c r="H385" t="str">
        <f t="shared" si="57"/>
        <v/>
      </c>
      <c r="I385" t="str">
        <f t="shared" si="58"/>
        <v/>
      </c>
      <c r="J385" t="str">
        <f t="shared" si="59"/>
        <v/>
      </c>
      <c r="K385" t="str">
        <f t="shared" si="60"/>
        <v/>
      </c>
      <c r="L385" t="str">
        <f t="shared" si="61"/>
        <v/>
      </c>
      <c r="M385" t="str">
        <f t="shared" si="62"/>
        <v/>
      </c>
      <c r="N385" t="str">
        <f t="shared" si="63"/>
        <v/>
      </c>
      <c r="O385" t="str">
        <f t="shared" si="64"/>
        <v/>
      </c>
      <c r="P385" t="str">
        <f>IF($A385="","",IF($E385=1,$F385*$O385,PNL!G385))</f>
        <v/>
      </c>
      <c r="T385" t="str">
        <f t="shared" si="65"/>
        <v/>
      </c>
    </row>
    <row r="386" spans="1:20" x14ac:dyDescent="0.45">
      <c r="A386" t="str">
        <f>IF(PNL!A386="","",PNL!A386)</f>
        <v/>
      </c>
      <c r="B386" t="str">
        <f>IF(PNL!B386="","",PNL!B386)</f>
        <v/>
      </c>
      <c r="C386" t="str">
        <f>IF(PNL!C386="","",PNL!C386)</f>
        <v/>
      </c>
      <c r="D386" t="str">
        <f>IF(PNL!D386="","",PNL!D386)</f>
        <v/>
      </c>
      <c r="E386" t="str">
        <f t="shared" ref="E386:E449" si="66">IF($A386="","",IF(AND($C386="2027",OR($D386="V01",$D386="V02",$D386="V03")),1,0))</f>
        <v/>
      </c>
      <c r="F386" t="str">
        <f>IF($A386="","",IF($E386=1,SUMIFS(Compta!$F$1:$F$675,Compta!$A$1:$A$675,$A386,Compta!$B$1:$B$675,$B386,Compta!$C$1:$C$675,"2026"),0))</f>
        <v/>
      </c>
      <c r="G386" t="str">
        <f t="shared" ref="G386:G449" si="67">IF($A386="","",IF($D386="V01",cad!$C$23,IF($D386="V02",cad!$D$23,cad!$E$23)))</f>
        <v/>
      </c>
      <c r="H386" t="str">
        <f t="shared" ref="H386:H449" si="68">IF($A386="","",IF($D386="V01",cad!$C$24,IF($D386="V02",cad!$D$24,cad!$E$24)))</f>
        <v/>
      </c>
      <c r="I386" t="str">
        <f t="shared" ref="I386:I449" si="69">IF($A386="","",IF($D386="V01",cad!$C$32,IF($D386="V02",cad!$D$32,cad!$E$32)))</f>
        <v/>
      </c>
      <c r="J386" t="str">
        <f t="shared" ref="J386:J449" si="70">IF($A386="","",IF($D386="V01",cad!$C$33,IF($D386="V02",cad!$D$33,cad!$E$33)))</f>
        <v/>
      </c>
      <c r="K386" t="str">
        <f t="shared" ref="K386:K449" si="71">IF($A386="","",IF($D386="V01",cad!$C$34,IF($D386="V02",cad!$D$34,cad!$E$34)))</f>
        <v/>
      </c>
      <c r="L386" t="str">
        <f t="shared" ref="L386:L449" si="72">IF($A386="","",IF($D386="V01",cad!$C$35,IF($D386="V02",cad!$D$35,cad!$E$35)))</f>
        <v/>
      </c>
      <c r="M386" t="str">
        <f t="shared" ref="M386:M449" si="73">IF($A386="","",IF($D386="V01",cad!$C$36,IF($D386="V02",cad!$D$36,cad!$E$36)))</f>
        <v/>
      </c>
      <c r="N386" t="str">
        <f t="shared" ref="N386:N449" si="74">IF($A386="","",IF($D386="V01",$R$2,IF($D386="V02",$R$3,$R$4)))</f>
        <v/>
      </c>
      <c r="O386" t="str">
        <f t="shared" ref="O386:O449" si="75">IF($A386="","",IF(OR($B386="7062",$B386="706",$B386="708"),$N386,IF($B386="6231",1+$G386,IF($B386="6236",1+$H386,IF(OR($B386="621",$B386="604",$B386="6063"),$N386*(1-$L386),IF(OR($B386="6411",$B386="6413",$B386="6414",$B386="645"),(1+$J386)*(1+$K386),IF(OR($B386="613",$B386="615",$B386="616",$B386="6226",$B386="625",$B386="626",$B386="6281"),(1+$I386)*(1-$L386)*(1+$M386),IF(OR($B386="6331",$B386="63511",$B386="6333"),(1+$I386)*(1-$L386),IF($B386="6811",1+$I386,1)))))))))</f>
        <v/>
      </c>
      <c r="P386" t="str">
        <f>IF($A386="","",IF($E386=1,$F386*$O386,PNL!G386))</f>
        <v/>
      </c>
      <c r="T386" t="str">
        <f t="shared" ref="T386:T449" si="76">IF($A386="","",IF($E386=1,IF(OR($B386="7062",$B386="706",$B386="708"),$P386,IF(AND(LEFT($B386,1)="6",$B386&lt;&gt;"6811"),-$P386,0)),0))</f>
        <v/>
      </c>
    </row>
    <row r="387" spans="1:20" x14ac:dyDescent="0.45">
      <c r="A387" t="str">
        <f>IF(PNL!A387="","",PNL!A387)</f>
        <v/>
      </c>
      <c r="B387" t="str">
        <f>IF(PNL!B387="","",PNL!B387)</f>
        <v/>
      </c>
      <c r="C387" t="str">
        <f>IF(PNL!C387="","",PNL!C387)</f>
        <v/>
      </c>
      <c r="D387" t="str">
        <f>IF(PNL!D387="","",PNL!D387)</f>
        <v/>
      </c>
      <c r="E387" t="str">
        <f t="shared" si="66"/>
        <v/>
      </c>
      <c r="F387" t="str">
        <f>IF($A387="","",IF($E387=1,SUMIFS(Compta!$F$1:$F$675,Compta!$A$1:$A$675,$A387,Compta!$B$1:$B$675,$B387,Compta!$C$1:$C$675,"2026"),0))</f>
        <v/>
      </c>
      <c r="G387" t="str">
        <f t="shared" si="67"/>
        <v/>
      </c>
      <c r="H387" t="str">
        <f t="shared" si="68"/>
        <v/>
      </c>
      <c r="I387" t="str">
        <f t="shared" si="69"/>
        <v/>
      </c>
      <c r="J387" t="str">
        <f t="shared" si="70"/>
        <v/>
      </c>
      <c r="K387" t="str">
        <f t="shared" si="71"/>
        <v/>
      </c>
      <c r="L387" t="str">
        <f t="shared" si="72"/>
        <v/>
      </c>
      <c r="M387" t="str">
        <f t="shared" si="73"/>
        <v/>
      </c>
      <c r="N387" t="str">
        <f t="shared" si="74"/>
        <v/>
      </c>
      <c r="O387" t="str">
        <f t="shared" si="75"/>
        <v/>
      </c>
      <c r="P387" t="str">
        <f>IF($A387="","",IF($E387=1,$F387*$O387,PNL!G387))</f>
        <v/>
      </c>
      <c r="T387" t="str">
        <f t="shared" si="76"/>
        <v/>
      </c>
    </row>
    <row r="388" spans="1:20" x14ac:dyDescent="0.45">
      <c r="A388" t="str">
        <f>IF(PNL!A388="","",PNL!A388)</f>
        <v/>
      </c>
      <c r="B388" t="str">
        <f>IF(PNL!B388="","",PNL!B388)</f>
        <v/>
      </c>
      <c r="C388" t="str">
        <f>IF(PNL!C388="","",PNL!C388)</f>
        <v/>
      </c>
      <c r="D388" t="str">
        <f>IF(PNL!D388="","",PNL!D388)</f>
        <v/>
      </c>
      <c r="E388" t="str">
        <f t="shared" si="66"/>
        <v/>
      </c>
      <c r="F388" t="str">
        <f>IF($A388="","",IF($E388=1,SUMIFS(Compta!$F$1:$F$675,Compta!$A$1:$A$675,$A388,Compta!$B$1:$B$675,$B388,Compta!$C$1:$C$675,"2026"),0))</f>
        <v/>
      </c>
      <c r="G388" t="str">
        <f t="shared" si="67"/>
        <v/>
      </c>
      <c r="H388" t="str">
        <f t="shared" si="68"/>
        <v/>
      </c>
      <c r="I388" t="str">
        <f t="shared" si="69"/>
        <v/>
      </c>
      <c r="J388" t="str">
        <f t="shared" si="70"/>
        <v/>
      </c>
      <c r="K388" t="str">
        <f t="shared" si="71"/>
        <v/>
      </c>
      <c r="L388" t="str">
        <f t="shared" si="72"/>
        <v/>
      </c>
      <c r="M388" t="str">
        <f t="shared" si="73"/>
        <v/>
      </c>
      <c r="N388" t="str">
        <f t="shared" si="74"/>
        <v/>
      </c>
      <c r="O388" t="str">
        <f t="shared" si="75"/>
        <v/>
      </c>
      <c r="P388" t="str">
        <f>IF($A388="","",IF($E388=1,$F388*$O388,PNL!G388))</f>
        <v/>
      </c>
      <c r="T388" t="str">
        <f t="shared" si="76"/>
        <v/>
      </c>
    </row>
    <row r="389" spans="1:20" x14ac:dyDescent="0.45">
      <c r="A389" t="str">
        <f>IF(PNL!A389="","",PNL!A389)</f>
        <v/>
      </c>
      <c r="B389" t="str">
        <f>IF(PNL!B389="","",PNL!B389)</f>
        <v/>
      </c>
      <c r="C389" t="str">
        <f>IF(PNL!C389="","",PNL!C389)</f>
        <v/>
      </c>
      <c r="D389" t="str">
        <f>IF(PNL!D389="","",PNL!D389)</f>
        <v/>
      </c>
      <c r="E389" t="str">
        <f t="shared" si="66"/>
        <v/>
      </c>
      <c r="F389" t="str">
        <f>IF($A389="","",IF($E389=1,SUMIFS(Compta!$F$1:$F$675,Compta!$A$1:$A$675,$A389,Compta!$B$1:$B$675,$B389,Compta!$C$1:$C$675,"2026"),0))</f>
        <v/>
      </c>
      <c r="G389" t="str">
        <f t="shared" si="67"/>
        <v/>
      </c>
      <c r="H389" t="str">
        <f t="shared" si="68"/>
        <v/>
      </c>
      <c r="I389" t="str">
        <f t="shared" si="69"/>
        <v/>
      </c>
      <c r="J389" t="str">
        <f t="shared" si="70"/>
        <v/>
      </c>
      <c r="K389" t="str">
        <f t="shared" si="71"/>
        <v/>
      </c>
      <c r="L389" t="str">
        <f t="shared" si="72"/>
        <v/>
      </c>
      <c r="M389" t="str">
        <f t="shared" si="73"/>
        <v/>
      </c>
      <c r="N389" t="str">
        <f t="shared" si="74"/>
        <v/>
      </c>
      <c r="O389" t="str">
        <f t="shared" si="75"/>
        <v/>
      </c>
      <c r="P389" t="str">
        <f>IF($A389="","",IF($E389=1,$F389*$O389,PNL!G389))</f>
        <v/>
      </c>
      <c r="T389" t="str">
        <f t="shared" si="76"/>
        <v/>
      </c>
    </row>
    <row r="390" spans="1:20" x14ac:dyDescent="0.45">
      <c r="A390" t="str">
        <f>IF(PNL!A390="","",PNL!A390)</f>
        <v/>
      </c>
      <c r="B390" t="str">
        <f>IF(PNL!B390="","",PNL!B390)</f>
        <v/>
      </c>
      <c r="C390" t="str">
        <f>IF(PNL!C390="","",PNL!C390)</f>
        <v/>
      </c>
      <c r="D390" t="str">
        <f>IF(PNL!D390="","",PNL!D390)</f>
        <v/>
      </c>
      <c r="E390" t="str">
        <f t="shared" si="66"/>
        <v/>
      </c>
      <c r="F390" t="str">
        <f>IF($A390="","",IF($E390=1,SUMIFS(Compta!$F$1:$F$675,Compta!$A$1:$A$675,$A390,Compta!$B$1:$B$675,$B390,Compta!$C$1:$C$675,"2026"),0))</f>
        <v/>
      </c>
      <c r="G390" t="str">
        <f t="shared" si="67"/>
        <v/>
      </c>
      <c r="H390" t="str">
        <f t="shared" si="68"/>
        <v/>
      </c>
      <c r="I390" t="str">
        <f t="shared" si="69"/>
        <v/>
      </c>
      <c r="J390" t="str">
        <f t="shared" si="70"/>
        <v/>
      </c>
      <c r="K390" t="str">
        <f t="shared" si="71"/>
        <v/>
      </c>
      <c r="L390" t="str">
        <f t="shared" si="72"/>
        <v/>
      </c>
      <c r="M390" t="str">
        <f t="shared" si="73"/>
        <v/>
      </c>
      <c r="N390" t="str">
        <f t="shared" si="74"/>
        <v/>
      </c>
      <c r="O390" t="str">
        <f t="shared" si="75"/>
        <v/>
      </c>
      <c r="P390" t="str">
        <f>IF($A390="","",IF($E390=1,$F390*$O390,PNL!G390))</f>
        <v/>
      </c>
      <c r="T390" t="str">
        <f t="shared" si="76"/>
        <v/>
      </c>
    </row>
    <row r="391" spans="1:20" x14ac:dyDescent="0.45">
      <c r="A391" t="str">
        <f>IF(PNL!A391="","",PNL!A391)</f>
        <v/>
      </c>
      <c r="B391" t="str">
        <f>IF(PNL!B391="","",PNL!B391)</f>
        <v/>
      </c>
      <c r="C391" t="str">
        <f>IF(PNL!C391="","",PNL!C391)</f>
        <v/>
      </c>
      <c r="D391" t="str">
        <f>IF(PNL!D391="","",PNL!D391)</f>
        <v/>
      </c>
      <c r="E391" t="str">
        <f t="shared" si="66"/>
        <v/>
      </c>
      <c r="F391" t="str">
        <f>IF($A391="","",IF($E391=1,SUMIFS(Compta!$F$1:$F$675,Compta!$A$1:$A$675,$A391,Compta!$B$1:$B$675,$B391,Compta!$C$1:$C$675,"2026"),0))</f>
        <v/>
      </c>
      <c r="G391" t="str">
        <f t="shared" si="67"/>
        <v/>
      </c>
      <c r="H391" t="str">
        <f t="shared" si="68"/>
        <v/>
      </c>
      <c r="I391" t="str">
        <f t="shared" si="69"/>
        <v/>
      </c>
      <c r="J391" t="str">
        <f t="shared" si="70"/>
        <v/>
      </c>
      <c r="K391" t="str">
        <f t="shared" si="71"/>
        <v/>
      </c>
      <c r="L391" t="str">
        <f t="shared" si="72"/>
        <v/>
      </c>
      <c r="M391" t="str">
        <f t="shared" si="73"/>
        <v/>
      </c>
      <c r="N391" t="str">
        <f t="shared" si="74"/>
        <v/>
      </c>
      <c r="O391" t="str">
        <f t="shared" si="75"/>
        <v/>
      </c>
      <c r="P391" t="str">
        <f>IF($A391="","",IF($E391=1,$F391*$O391,PNL!G391))</f>
        <v/>
      </c>
      <c r="T391" t="str">
        <f t="shared" si="76"/>
        <v/>
      </c>
    </row>
    <row r="392" spans="1:20" x14ac:dyDescent="0.45">
      <c r="A392" t="str">
        <f>IF(PNL!A392="","",PNL!A392)</f>
        <v/>
      </c>
      <c r="B392" t="str">
        <f>IF(PNL!B392="","",PNL!B392)</f>
        <v/>
      </c>
      <c r="C392" t="str">
        <f>IF(PNL!C392="","",PNL!C392)</f>
        <v/>
      </c>
      <c r="D392" t="str">
        <f>IF(PNL!D392="","",PNL!D392)</f>
        <v/>
      </c>
      <c r="E392" t="str">
        <f t="shared" si="66"/>
        <v/>
      </c>
      <c r="F392" t="str">
        <f>IF($A392="","",IF($E392=1,SUMIFS(Compta!$F$1:$F$675,Compta!$A$1:$A$675,$A392,Compta!$B$1:$B$675,$B392,Compta!$C$1:$C$675,"2026"),0))</f>
        <v/>
      </c>
      <c r="G392" t="str">
        <f t="shared" si="67"/>
        <v/>
      </c>
      <c r="H392" t="str">
        <f t="shared" si="68"/>
        <v/>
      </c>
      <c r="I392" t="str">
        <f t="shared" si="69"/>
        <v/>
      </c>
      <c r="J392" t="str">
        <f t="shared" si="70"/>
        <v/>
      </c>
      <c r="K392" t="str">
        <f t="shared" si="71"/>
        <v/>
      </c>
      <c r="L392" t="str">
        <f t="shared" si="72"/>
        <v/>
      </c>
      <c r="M392" t="str">
        <f t="shared" si="73"/>
        <v/>
      </c>
      <c r="N392" t="str">
        <f t="shared" si="74"/>
        <v/>
      </c>
      <c r="O392" t="str">
        <f t="shared" si="75"/>
        <v/>
      </c>
      <c r="P392" t="str">
        <f>IF($A392="","",IF($E392=1,$F392*$O392,PNL!G392))</f>
        <v/>
      </c>
      <c r="T392" t="str">
        <f t="shared" si="76"/>
        <v/>
      </c>
    </row>
    <row r="393" spans="1:20" x14ac:dyDescent="0.45">
      <c r="A393" t="str">
        <f>IF(PNL!A393="","",PNL!A393)</f>
        <v/>
      </c>
      <c r="B393" t="str">
        <f>IF(PNL!B393="","",PNL!B393)</f>
        <v/>
      </c>
      <c r="C393" t="str">
        <f>IF(PNL!C393="","",PNL!C393)</f>
        <v/>
      </c>
      <c r="D393" t="str">
        <f>IF(PNL!D393="","",PNL!D393)</f>
        <v/>
      </c>
      <c r="E393" t="str">
        <f t="shared" si="66"/>
        <v/>
      </c>
      <c r="F393" t="str">
        <f>IF($A393="","",IF($E393=1,SUMIFS(Compta!$F$1:$F$675,Compta!$A$1:$A$675,$A393,Compta!$B$1:$B$675,$B393,Compta!$C$1:$C$675,"2026"),0))</f>
        <v/>
      </c>
      <c r="G393" t="str">
        <f t="shared" si="67"/>
        <v/>
      </c>
      <c r="H393" t="str">
        <f t="shared" si="68"/>
        <v/>
      </c>
      <c r="I393" t="str">
        <f t="shared" si="69"/>
        <v/>
      </c>
      <c r="J393" t="str">
        <f t="shared" si="70"/>
        <v/>
      </c>
      <c r="K393" t="str">
        <f t="shared" si="71"/>
        <v/>
      </c>
      <c r="L393" t="str">
        <f t="shared" si="72"/>
        <v/>
      </c>
      <c r="M393" t="str">
        <f t="shared" si="73"/>
        <v/>
      </c>
      <c r="N393" t="str">
        <f t="shared" si="74"/>
        <v/>
      </c>
      <c r="O393" t="str">
        <f t="shared" si="75"/>
        <v/>
      </c>
      <c r="P393" t="str">
        <f>IF($A393="","",IF($E393=1,$F393*$O393,PNL!G393))</f>
        <v/>
      </c>
      <c r="T393" t="str">
        <f t="shared" si="76"/>
        <v/>
      </c>
    </row>
    <row r="394" spans="1:20" x14ac:dyDescent="0.45">
      <c r="A394" t="str">
        <f>IF(PNL!A394="","",PNL!A394)</f>
        <v/>
      </c>
      <c r="B394" t="str">
        <f>IF(PNL!B394="","",PNL!B394)</f>
        <v/>
      </c>
      <c r="C394" t="str">
        <f>IF(PNL!C394="","",PNL!C394)</f>
        <v/>
      </c>
      <c r="D394" t="str">
        <f>IF(PNL!D394="","",PNL!D394)</f>
        <v/>
      </c>
      <c r="E394" t="str">
        <f t="shared" si="66"/>
        <v/>
      </c>
      <c r="F394" t="str">
        <f>IF($A394="","",IF($E394=1,SUMIFS(Compta!$F$1:$F$675,Compta!$A$1:$A$675,$A394,Compta!$B$1:$B$675,$B394,Compta!$C$1:$C$675,"2026"),0))</f>
        <v/>
      </c>
      <c r="G394" t="str">
        <f t="shared" si="67"/>
        <v/>
      </c>
      <c r="H394" t="str">
        <f t="shared" si="68"/>
        <v/>
      </c>
      <c r="I394" t="str">
        <f t="shared" si="69"/>
        <v/>
      </c>
      <c r="J394" t="str">
        <f t="shared" si="70"/>
        <v/>
      </c>
      <c r="K394" t="str">
        <f t="shared" si="71"/>
        <v/>
      </c>
      <c r="L394" t="str">
        <f t="shared" si="72"/>
        <v/>
      </c>
      <c r="M394" t="str">
        <f t="shared" si="73"/>
        <v/>
      </c>
      <c r="N394" t="str">
        <f t="shared" si="74"/>
        <v/>
      </c>
      <c r="O394" t="str">
        <f t="shared" si="75"/>
        <v/>
      </c>
      <c r="P394" t="str">
        <f>IF($A394="","",IF($E394=1,$F394*$O394,PNL!G394))</f>
        <v/>
      </c>
      <c r="T394" t="str">
        <f t="shared" si="76"/>
        <v/>
      </c>
    </row>
    <row r="395" spans="1:20" x14ac:dyDescent="0.45">
      <c r="A395" t="str">
        <f>IF(PNL!A395="","",PNL!A395)</f>
        <v/>
      </c>
      <c r="B395" t="str">
        <f>IF(PNL!B395="","",PNL!B395)</f>
        <v/>
      </c>
      <c r="C395" t="str">
        <f>IF(PNL!C395="","",PNL!C395)</f>
        <v/>
      </c>
      <c r="D395" t="str">
        <f>IF(PNL!D395="","",PNL!D395)</f>
        <v/>
      </c>
      <c r="E395" t="str">
        <f t="shared" si="66"/>
        <v/>
      </c>
      <c r="F395" t="str">
        <f>IF($A395="","",IF($E395=1,SUMIFS(Compta!$F$1:$F$675,Compta!$A$1:$A$675,$A395,Compta!$B$1:$B$675,$B395,Compta!$C$1:$C$675,"2026"),0))</f>
        <v/>
      </c>
      <c r="G395" t="str">
        <f t="shared" si="67"/>
        <v/>
      </c>
      <c r="H395" t="str">
        <f t="shared" si="68"/>
        <v/>
      </c>
      <c r="I395" t="str">
        <f t="shared" si="69"/>
        <v/>
      </c>
      <c r="J395" t="str">
        <f t="shared" si="70"/>
        <v/>
      </c>
      <c r="K395" t="str">
        <f t="shared" si="71"/>
        <v/>
      </c>
      <c r="L395" t="str">
        <f t="shared" si="72"/>
        <v/>
      </c>
      <c r="M395" t="str">
        <f t="shared" si="73"/>
        <v/>
      </c>
      <c r="N395" t="str">
        <f t="shared" si="74"/>
        <v/>
      </c>
      <c r="O395" t="str">
        <f t="shared" si="75"/>
        <v/>
      </c>
      <c r="P395" t="str">
        <f>IF($A395="","",IF($E395=1,$F395*$O395,PNL!G395))</f>
        <v/>
      </c>
      <c r="T395" t="str">
        <f t="shared" si="76"/>
        <v/>
      </c>
    </row>
    <row r="396" spans="1:20" x14ac:dyDescent="0.45">
      <c r="A396" t="str">
        <f>IF(PNL!A396="","",PNL!A396)</f>
        <v/>
      </c>
      <c r="B396" t="str">
        <f>IF(PNL!B396="","",PNL!B396)</f>
        <v/>
      </c>
      <c r="C396" t="str">
        <f>IF(PNL!C396="","",PNL!C396)</f>
        <v/>
      </c>
      <c r="D396" t="str">
        <f>IF(PNL!D396="","",PNL!D396)</f>
        <v/>
      </c>
      <c r="E396" t="str">
        <f t="shared" si="66"/>
        <v/>
      </c>
      <c r="F396" t="str">
        <f>IF($A396="","",IF($E396=1,SUMIFS(Compta!$F$1:$F$675,Compta!$A$1:$A$675,$A396,Compta!$B$1:$B$675,$B396,Compta!$C$1:$C$675,"2026"),0))</f>
        <v/>
      </c>
      <c r="G396" t="str">
        <f t="shared" si="67"/>
        <v/>
      </c>
      <c r="H396" t="str">
        <f t="shared" si="68"/>
        <v/>
      </c>
      <c r="I396" t="str">
        <f t="shared" si="69"/>
        <v/>
      </c>
      <c r="J396" t="str">
        <f t="shared" si="70"/>
        <v/>
      </c>
      <c r="K396" t="str">
        <f t="shared" si="71"/>
        <v/>
      </c>
      <c r="L396" t="str">
        <f t="shared" si="72"/>
        <v/>
      </c>
      <c r="M396" t="str">
        <f t="shared" si="73"/>
        <v/>
      </c>
      <c r="N396" t="str">
        <f t="shared" si="74"/>
        <v/>
      </c>
      <c r="O396" t="str">
        <f t="shared" si="75"/>
        <v/>
      </c>
      <c r="P396" t="str">
        <f>IF($A396="","",IF($E396=1,$F396*$O396,PNL!G396))</f>
        <v/>
      </c>
      <c r="T396" t="str">
        <f t="shared" si="76"/>
        <v/>
      </c>
    </row>
    <row r="397" spans="1:20" x14ac:dyDescent="0.45">
      <c r="A397" t="str">
        <f>IF(PNL!A397="","",PNL!A397)</f>
        <v/>
      </c>
      <c r="B397" t="str">
        <f>IF(PNL!B397="","",PNL!B397)</f>
        <v/>
      </c>
      <c r="C397" t="str">
        <f>IF(PNL!C397="","",PNL!C397)</f>
        <v/>
      </c>
      <c r="D397" t="str">
        <f>IF(PNL!D397="","",PNL!D397)</f>
        <v/>
      </c>
      <c r="E397" t="str">
        <f t="shared" si="66"/>
        <v/>
      </c>
      <c r="F397" t="str">
        <f>IF($A397="","",IF($E397=1,SUMIFS(Compta!$F$1:$F$675,Compta!$A$1:$A$675,$A397,Compta!$B$1:$B$675,$B397,Compta!$C$1:$C$675,"2026"),0))</f>
        <v/>
      </c>
      <c r="G397" t="str">
        <f t="shared" si="67"/>
        <v/>
      </c>
      <c r="H397" t="str">
        <f t="shared" si="68"/>
        <v/>
      </c>
      <c r="I397" t="str">
        <f t="shared" si="69"/>
        <v/>
      </c>
      <c r="J397" t="str">
        <f t="shared" si="70"/>
        <v/>
      </c>
      <c r="K397" t="str">
        <f t="shared" si="71"/>
        <v/>
      </c>
      <c r="L397" t="str">
        <f t="shared" si="72"/>
        <v/>
      </c>
      <c r="M397" t="str">
        <f t="shared" si="73"/>
        <v/>
      </c>
      <c r="N397" t="str">
        <f t="shared" si="74"/>
        <v/>
      </c>
      <c r="O397" t="str">
        <f t="shared" si="75"/>
        <v/>
      </c>
      <c r="P397" t="str">
        <f>IF($A397="","",IF($E397=1,$F397*$O397,PNL!G397))</f>
        <v/>
      </c>
      <c r="T397" t="str">
        <f t="shared" si="76"/>
        <v/>
      </c>
    </row>
    <row r="398" spans="1:20" x14ac:dyDescent="0.45">
      <c r="A398" t="str">
        <f>IF(PNL!A398="","",PNL!A398)</f>
        <v/>
      </c>
      <c r="B398" t="str">
        <f>IF(PNL!B398="","",PNL!B398)</f>
        <v/>
      </c>
      <c r="C398" t="str">
        <f>IF(PNL!C398="","",PNL!C398)</f>
        <v/>
      </c>
      <c r="D398" t="str">
        <f>IF(PNL!D398="","",PNL!D398)</f>
        <v/>
      </c>
      <c r="E398" t="str">
        <f t="shared" si="66"/>
        <v/>
      </c>
      <c r="F398" t="str">
        <f>IF($A398="","",IF($E398=1,SUMIFS(Compta!$F$1:$F$675,Compta!$A$1:$A$675,$A398,Compta!$B$1:$B$675,$B398,Compta!$C$1:$C$675,"2026"),0))</f>
        <v/>
      </c>
      <c r="G398" t="str">
        <f t="shared" si="67"/>
        <v/>
      </c>
      <c r="H398" t="str">
        <f t="shared" si="68"/>
        <v/>
      </c>
      <c r="I398" t="str">
        <f t="shared" si="69"/>
        <v/>
      </c>
      <c r="J398" t="str">
        <f t="shared" si="70"/>
        <v/>
      </c>
      <c r="K398" t="str">
        <f t="shared" si="71"/>
        <v/>
      </c>
      <c r="L398" t="str">
        <f t="shared" si="72"/>
        <v/>
      </c>
      <c r="M398" t="str">
        <f t="shared" si="73"/>
        <v/>
      </c>
      <c r="N398" t="str">
        <f t="shared" si="74"/>
        <v/>
      </c>
      <c r="O398" t="str">
        <f t="shared" si="75"/>
        <v/>
      </c>
      <c r="P398" t="str">
        <f>IF($A398="","",IF($E398=1,$F398*$O398,PNL!G398))</f>
        <v/>
      </c>
      <c r="T398" t="str">
        <f t="shared" si="76"/>
        <v/>
      </c>
    </row>
    <row r="399" spans="1:20" x14ac:dyDescent="0.45">
      <c r="A399" t="str">
        <f>IF(PNL!A399="","",PNL!A399)</f>
        <v/>
      </c>
      <c r="B399" t="str">
        <f>IF(PNL!B399="","",PNL!B399)</f>
        <v/>
      </c>
      <c r="C399" t="str">
        <f>IF(PNL!C399="","",PNL!C399)</f>
        <v/>
      </c>
      <c r="D399" t="str">
        <f>IF(PNL!D399="","",PNL!D399)</f>
        <v/>
      </c>
      <c r="E399" t="str">
        <f t="shared" si="66"/>
        <v/>
      </c>
      <c r="F399" t="str">
        <f>IF($A399="","",IF($E399=1,SUMIFS(Compta!$F$1:$F$675,Compta!$A$1:$A$675,$A399,Compta!$B$1:$B$675,$B399,Compta!$C$1:$C$675,"2026"),0))</f>
        <v/>
      </c>
      <c r="G399" t="str">
        <f t="shared" si="67"/>
        <v/>
      </c>
      <c r="H399" t="str">
        <f t="shared" si="68"/>
        <v/>
      </c>
      <c r="I399" t="str">
        <f t="shared" si="69"/>
        <v/>
      </c>
      <c r="J399" t="str">
        <f t="shared" si="70"/>
        <v/>
      </c>
      <c r="K399" t="str">
        <f t="shared" si="71"/>
        <v/>
      </c>
      <c r="L399" t="str">
        <f t="shared" si="72"/>
        <v/>
      </c>
      <c r="M399" t="str">
        <f t="shared" si="73"/>
        <v/>
      </c>
      <c r="N399" t="str">
        <f t="shared" si="74"/>
        <v/>
      </c>
      <c r="O399" t="str">
        <f t="shared" si="75"/>
        <v/>
      </c>
      <c r="P399" t="str">
        <f>IF($A399="","",IF($E399=1,$F399*$O399,PNL!G399))</f>
        <v/>
      </c>
      <c r="T399" t="str">
        <f t="shared" si="76"/>
        <v/>
      </c>
    </row>
    <row r="400" spans="1:20" x14ac:dyDescent="0.45">
      <c r="A400" t="str">
        <f>IF(PNL!A400="","",PNL!A400)</f>
        <v/>
      </c>
      <c r="B400" t="str">
        <f>IF(PNL!B400="","",PNL!B400)</f>
        <v/>
      </c>
      <c r="C400" t="str">
        <f>IF(PNL!C400="","",PNL!C400)</f>
        <v/>
      </c>
      <c r="D400" t="str">
        <f>IF(PNL!D400="","",PNL!D400)</f>
        <v/>
      </c>
      <c r="E400" t="str">
        <f t="shared" si="66"/>
        <v/>
      </c>
      <c r="F400" t="str">
        <f>IF($A400="","",IF($E400=1,SUMIFS(Compta!$F$1:$F$675,Compta!$A$1:$A$675,$A400,Compta!$B$1:$B$675,$B400,Compta!$C$1:$C$675,"2026"),0))</f>
        <v/>
      </c>
      <c r="G400" t="str">
        <f t="shared" si="67"/>
        <v/>
      </c>
      <c r="H400" t="str">
        <f t="shared" si="68"/>
        <v/>
      </c>
      <c r="I400" t="str">
        <f t="shared" si="69"/>
        <v/>
      </c>
      <c r="J400" t="str">
        <f t="shared" si="70"/>
        <v/>
      </c>
      <c r="K400" t="str">
        <f t="shared" si="71"/>
        <v/>
      </c>
      <c r="L400" t="str">
        <f t="shared" si="72"/>
        <v/>
      </c>
      <c r="M400" t="str">
        <f t="shared" si="73"/>
        <v/>
      </c>
      <c r="N400" t="str">
        <f t="shared" si="74"/>
        <v/>
      </c>
      <c r="O400" t="str">
        <f t="shared" si="75"/>
        <v/>
      </c>
      <c r="P400" t="str">
        <f>IF($A400="","",IF($E400=1,$F400*$O400,PNL!G400))</f>
        <v/>
      </c>
      <c r="T400" t="str">
        <f t="shared" si="76"/>
        <v/>
      </c>
    </row>
    <row r="401" spans="1:20" x14ac:dyDescent="0.45">
      <c r="A401" t="str">
        <f>IF(PNL!A401="","",PNL!A401)</f>
        <v/>
      </c>
      <c r="B401" t="str">
        <f>IF(PNL!B401="","",PNL!B401)</f>
        <v/>
      </c>
      <c r="C401" t="str">
        <f>IF(PNL!C401="","",PNL!C401)</f>
        <v/>
      </c>
      <c r="D401" t="str">
        <f>IF(PNL!D401="","",PNL!D401)</f>
        <v/>
      </c>
      <c r="E401" t="str">
        <f t="shared" si="66"/>
        <v/>
      </c>
      <c r="F401" t="str">
        <f>IF($A401="","",IF($E401=1,SUMIFS(Compta!$F$1:$F$675,Compta!$A$1:$A$675,$A401,Compta!$B$1:$B$675,$B401,Compta!$C$1:$C$675,"2026"),0))</f>
        <v/>
      </c>
      <c r="G401" t="str">
        <f t="shared" si="67"/>
        <v/>
      </c>
      <c r="H401" t="str">
        <f t="shared" si="68"/>
        <v/>
      </c>
      <c r="I401" t="str">
        <f t="shared" si="69"/>
        <v/>
      </c>
      <c r="J401" t="str">
        <f t="shared" si="70"/>
        <v/>
      </c>
      <c r="K401" t="str">
        <f t="shared" si="71"/>
        <v/>
      </c>
      <c r="L401" t="str">
        <f t="shared" si="72"/>
        <v/>
      </c>
      <c r="M401" t="str">
        <f t="shared" si="73"/>
        <v/>
      </c>
      <c r="N401" t="str">
        <f t="shared" si="74"/>
        <v/>
      </c>
      <c r="O401" t="str">
        <f t="shared" si="75"/>
        <v/>
      </c>
      <c r="P401" t="str">
        <f>IF($A401="","",IF($E401=1,$F401*$O401,PNL!G401))</f>
        <v/>
      </c>
      <c r="T401" t="str">
        <f t="shared" si="76"/>
        <v/>
      </c>
    </row>
    <row r="402" spans="1:20" x14ac:dyDescent="0.45">
      <c r="A402" t="str">
        <f>IF(PNL!A402="","",PNL!A402)</f>
        <v/>
      </c>
      <c r="B402" t="str">
        <f>IF(PNL!B402="","",PNL!B402)</f>
        <v/>
      </c>
      <c r="C402" t="str">
        <f>IF(PNL!C402="","",PNL!C402)</f>
        <v/>
      </c>
      <c r="D402" t="str">
        <f>IF(PNL!D402="","",PNL!D402)</f>
        <v/>
      </c>
      <c r="E402" t="str">
        <f t="shared" si="66"/>
        <v/>
      </c>
      <c r="F402" t="str">
        <f>IF($A402="","",IF($E402=1,SUMIFS(Compta!$F$1:$F$675,Compta!$A$1:$A$675,$A402,Compta!$B$1:$B$675,$B402,Compta!$C$1:$C$675,"2026"),0))</f>
        <v/>
      </c>
      <c r="G402" t="str">
        <f t="shared" si="67"/>
        <v/>
      </c>
      <c r="H402" t="str">
        <f t="shared" si="68"/>
        <v/>
      </c>
      <c r="I402" t="str">
        <f t="shared" si="69"/>
        <v/>
      </c>
      <c r="J402" t="str">
        <f t="shared" si="70"/>
        <v/>
      </c>
      <c r="K402" t="str">
        <f t="shared" si="71"/>
        <v/>
      </c>
      <c r="L402" t="str">
        <f t="shared" si="72"/>
        <v/>
      </c>
      <c r="M402" t="str">
        <f t="shared" si="73"/>
        <v/>
      </c>
      <c r="N402" t="str">
        <f t="shared" si="74"/>
        <v/>
      </c>
      <c r="O402" t="str">
        <f t="shared" si="75"/>
        <v/>
      </c>
      <c r="P402" t="str">
        <f>IF($A402="","",IF($E402=1,$F402*$O402,PNL!G402))</f>
        <v/>
      </c>
      <c r="T402" t="str">
        <f t="shared" si="76"/>
        <v/>
      </c>
    </row>
    <row r="403" spans="1:20" x14ac:dyDescent="0.45">
      <c r="A403" t="str">
        <f>IF(PNL!A403="","",PNL!A403)</f>
        <v/>
      </c>
      <c r="B403" t="str">
        <f>IF(PNL!B403="","",PNL!B403)</f>
        <v/>
      </c>
      <c r="C403" t="str">
        <f>IF(PNL!C403="","",PNL!C403)</f>
        <v/>
      </c>
      <c r="D403" t="str">
        <f>IF(PNL!D403="","",PNL!D403)</f>
        <v/>
      </c>
      <c r="E403" t="str">
        <f t="shared" si="66"/>
        <v/>
      </c>
      <c r="F403" t="str">
        <f>IF($A403="","",IF($E403=1,SUMIFS(Compta!$F$1:$F$675,Compta!$A$1:$A$675,$A403,Compta!$B$1:$B$675,$B403,Compta!$C$1:$C$675,"2026"),0))</f>
        <v/>
      </c>
      <c r="G403" t="str">
        <f t="shared" si="67"/>
        <v/>
      </c>
      <c r="H403" t="str">
        <f t="shared" si="68"/>
        <v/>
      </c>
      <c r="I403" t="str">
        <f t="shared" si="69"/>
        <v/>
      </c>
      <c r="J403" t="str">
        <f t="shared" si="70"/>
        <v/>
      </c>
      <c r="K403" t="str">
        <f t="shared" si="71"/>
        <v/>
      </c>
      <c r="L403" t="str">
        <f t="shared" si="72"/>
        <v/>
      </c>
      <c r="M403" t="str">
        <f t="shared" si="73"/>
        <v/>
      </c>
      <c r="N403" t="str">
        <f t="shared" si="74"/>
        <v/>
      </c>
      <c r="O403" t="str">
        <f t="shared" si="75"/>
        <v/>
      </c>
      <c r="P403" t="str">
        <f>IF($A403="","",IF($E403=1,$F403*$O403,PNL!G403))</f>
        <v/>
      </c>
      <c r="T403" t="str">
        <f t="shared" si="76"/>
        <v/>
      </c>
    </row>
    <row r="404" spans="1:20" x14ac:dyDescent="0.45">
      <c r="A404" t="str">
        <f>IF(PNL!A404="","",PNL!A404)</f>
        <v/>
      </c>
      <c r="B404" t="str">
        <f>IF(PNL!B404="","",PNL!B404)</f>
        <v/>
      </c>
      <c r="C404" t="str">
        <f>IF(PNL!C404="","",PNL!C404)</f>
        <v/>
      </c>
      <c r="D404" t="str">
        <f>IF(PNL!D404="","",PNL!D404)</f>
        <v/>
      </c>
      <c r="E404" t="str">
        <f t="shared" si="66"/>
        <v/>
      </c>
      <c r="F404" t="str">
        <f>IF($A404="","",IF($E404=1,SUMIFS(Compta!$F$1:$F$675,Compta!$A$1:$A$675,$A404,Compta!$B$1:$B$675,$B404,Compta!$C$1:$C$675,"2026"),0))</f>
        <v/>
      </c>
      <c r="G404" t="str">
        <f t="shared" si="67"/>
        <v/>
      </c>
      <c r="H404" t="str">
        <f t="shared" si="68"/>
        <v/>
      </c>
      <c r="I404" t="str">
        <f t="shared" si="69"/>
        <v/>
      </c>
      <c r="J404" t="str">
        <f t="shared" si="70"/>
        <v/>
      </c>
      <c r="K404" t="str">
        <f t="shared" si="71"/>
        <v/>
      </c>
      <c r="L404" t="str">
        <f t="shared" si="72"/>
        <v/>
      </c>
      <c r="M404" t="str">
        <f t="shared" si="73"/>
        <v/>
      </c>
      <c r="N404" t="str">
        <f t="shared" si="74"/>
        <v/>
      </c>
      <c r="O404" t="str">
        <f t="shared" si="75"/>
        <v/>
      </c>
      <c r="P404" t="str">
        <f>IF($A404="","",IF($E404=1,$F404*$O404,PNL!G404))</f>
        <v/>
      </c>
      <c r="T404" t="str">
        <f t="shared" si="76"/>
        <v/>
      </c>
    </row>
    <row r="405" spans="1:20" x14ac:dyDescent="0.45">
      <c r="A405" t="str">
        <f>IF(PNL!A405="","",PNL!A405)</f>
        <v/>
      </c>
      <c r="B405" t="str">
        <f>IF(PNL!B405="","",PNL!B405)</f>
        <v/>
      </c>
      <c r="C405" t="str">
        <f>IF(PNL!C405="","",PNL!C405)</f>
        <v/>
      </c>
      <c r="D405" t="str">
        <f>IF(PNL!D405="","",PNL!D405)</f>
        <v/>
      </c>
      <c r="E405" t="str">
        <f t="shared" si="66"/>
        <v/>
      </c>
      <c r="F405" t="str">
        <f>IF($A405="","",IF($E405=1,SUMIFS(Compta!$F$1:$F$675,Compta!$A$1:$A$675,$A405,Compta!$B$1:$B$675,$B405,Compta!$C$1:$C$675,"2026"),0))</f>
        <v/>
      </c>
      <c r="G405" t="str">
        <f t="shared" si="67"/>
        <v/>
      </c>
      <c r="H405" t="str">
        <f t="shared" si="68"/>
        <v/>
      </c>
      <c r="I405" t="str">
        <f t="shared" si="69"/>
        <v/>
      </c>
      <c r="J405" t="str">
        <f t="shared" si="70"/>
        <v/>
      </c>
      <c r="K405" t="str">
        <f t="shared" si="71"/>
        <v/>
      </c>
      <c r="L405" t="str">
        <f t="shared" si="72"/>
        <v/>
      </c>
      <c r="M405" t="str">
        <f t="shared" si="73"/>
        <v/>
      </c>
      <c r="N405" t="str">
        <f t="shared" si="74"/>
        <v/>
      </c>
      <c r="O405" t="str">
        <f t="shared" si="75"/>
        <v/>
      </c>
      <c r="P405" t="str">
        <f>IF($A405="","",IF($E405=1,$F405*$O405,PNL!G405))</f>
        <v/>
      </c>
      <c r="T405" t="str">
        <f t="shared" si="76"/>
        <v/>
      </c>
    </row>
    <row r="406" spans="1:20" x14ac:dyDescent="0.45">
      <c r="A406" t="str">
        <f>IF(PNL!A406="","",PNL!A406)</f>
        <v/>
      </c>
      <c r="B406" t="str">
        <f>IF(PNL!B406="","",PNL!B406)</f>
        <v/>
      </c>
      <c r="C406" t="str">
        <f>IF(PNL!C406="","",PNL!C406)</f>
        <v/>
      </c>
      <c r="D406" t="str">
        <f>IF(PNL!D406="","",PNL!D406)</f>
        <v/>
      </c>
      <c r="E406" t="str">
        <f t="shared" si="66"/>
        <v/>
      </c>
      <c r="F406" t="str">
        <f>IF($A406="","",IF($E406=1,SUMIFS(Compta!$F$1:$F$675,Compta!$A$1:$A$675,$A406,Compta!$B$1:$B$675,$B406,Compta!$C$1:$C$675,"2026"),0))</f>
        <v/>
      </c>
      <c r="G406" t="str">
        <f t="shared" si="67"/>
        <v/>
      </c>
      <c r="H406" t="str">
        <f t="shared" si="68"/>
        <v/>
      </c>
      <c r="I406" t="str">
        <f t="shared" si="69"/>
        <v/>
      </c>
      <c r="J406" t="str">
        <f t="shared" si="70"/>
        <v/>
      </c>
      <c r="K406" t="str">
        <f t="shared" si="71"/>
        <v/>
      </c>
      <c r="L406" t="str">
        <f t="shared" si="72"/>
        <v/>
      </c>
      <c r="M406" t="str">
        <f t="shared" si="73"/>
        <v/>
      </c>
      <c r="N406" t="str">
        <f t="shared" si="74"/>
        <v/>
      </c>
      <c r="O406" t="str">
        <f t="shared" si="75"/>
        <v/>
      </c>
      <c r="P406" t="str">
        <f>IF($A406="","",IF($E406=1,$F406*$O406,PNL!G406))</f>
        <v/>
      </c>
      <c r="T406" t="str">
        <f t="shared" si="76"/>
        <v/>
      </c>
    </row>
    <row r="407" spans="1:20" x14ac:dyDescent="0.45">
      <c r="A407" t="str">
        <f>IF(PNL!A407="","",PNL!A407)</f>
        <v/>
      </c>
      <c r="B407" t="str">
        <f>IF(PNL!B407="","",PNL!B407)</f>
        <v/>
      </c>
      <c r="C407" t="str">
        <f>IF(PNL!C407="","",PNL!C407)</f>
        <v/>
      </c>
      <c r="D407" t="str">
        <f>IF(PNL!D407="","",PNL!D407)</f>
        <v/>
      </c>
      <c r="E407" t="str">
        <f t="shared" si="66"/>
        <v/>
      </c>
      <c r="F407" t="str">
        <f>IF($A407="","",IF($E407=1,SUMIFS(Compta!$F$1:$F$675,Compta!$A$1:$A$675,$A407,Compta!$B$1:$B$675,$B407,Compta!$C$1:$C$675,"2026"),0))</f>
        <v/>
      </c>
      <c r="G407" t="str">
        <f t="shared" si="67"/>
        <v/>
      </c>
      <c r="H407" t="str">
        <f t="shared" si="68"/>
        <v/>
      </c>
      <c r="I407" t="str">
        <f t="shared" si="69"/>
        <v/>
      </c>
      <c r="J407" t="str">
        <f t="shared" si="70"/>
        <v/>
      </c>
      <c r="K407" t="str">
        <f t="shared" si="71"/>
        <v/>
      </c>
      <c r="L407" t="str">
        <f t="shared" si="72"/>
        <v/>
      </c>
      <c r="M407" t="str">
        <f t="shared" si="73"/>
        <v/>
      </c>
      <c r="N407" t="str">
        <f t="shared" si="74"/>
        <v/>
      </c>
      <c r="O407" t="str">
        <f t="shared" si="75"/>
        <v/>
      </c>
      <c r="P407" t="str">
        <f>IF($A407="","",IF($E407=1,$F407*$O407,PNL!G407))</f>
        <v/>
      </c>
      <c r="T407" t="str">
        <f t="shared" si="76"/>
        <v/>
      </c>
    </row>
    <row r="408" spans="1:20" x14ac:dyDescent="0.45">
      <c r="A408" t="str">
        <f>IF(PNL!A408="","",PNL!A408)</f>
        <v/>
      </c>
      <c r="B408" t="str">
        <f>IF(PNL!B408="","",PNL!B408)</f>
        <v/>
      </c>
      <c r="C408" t="str">
        <f>IF(PNL!C408="","",PNL!C408)</f>
        <v/>
      </c>
      <c r="D408" t="str">
        <f>IF(PNL!D408="","",PNL!D408)</f>
        <v/>
      </c>
      <c r="E408" t="str">
        <f t="shared" si="66"/>
        <v/>
      </c>
      <c r="F408" t="str">
        <f>IF($A408="","",IF($E408=1,SUMIFS(Compta!$F$1:$F$675,Compta!$A$1:$A$675,$A408,Compta!$B$1:$B$675,$B408,Compta!$C$1:$C$675,"2026"),0))</f>
        <v/>
      </c>
      <c r="G408" t="str">
        <f t="shared" si="67"/>
        <v/>
      </c>
      <c r="H408" t="str">
        <f t="shared" si="68"/>
        <v/>
      </c>
      <c r="I408" t="str">
        <f t="shared" si="69"/>
        <v/>
      </c>
      <c r="J408" t="str">
        <f t="shared" si="70"/>
        <v/>
      </c>
      <c r="K408" t="str">
        <f t="shared" si="71"/>
        <v/>
      </c>
      <c r="L408" t="str">
        <f t="shared" si="72"/>
        <v/>
      </c>
      <c r="M408" t="str">
        <f t="shared" si="73"/>
        <v/>
      </c>
      <c r="N408" t="str">
        <f t="shared" si="74"/>
        <v/>
      </c>
      <c r="O408" t="str">
        <f t="shared" si="75"/>
        <v/>
      </c>
      <c r="P408" t="str">
        <f>IF($A408="","",IF($E408=1,$F408*$O408,PNL!G408))</f>
        <v/>
      </c>
      <c r="T408" t="str">
        <f t="shared" si="76"/>
        <v/>
      </c>
    </row>
    <row r="409" spans="1:20" x14ac:dyDescent="0.45">
      <c r="A409" t="str">
        <f>IF(PNL!A409="","",PNL!A409)</f>
        <v/>
      </c>
      <c r="B409" t="str">
        <f>IF(PNL!B409="","",PNL!B409)</f>
        <v/>
      </c>
      <c r="C409" t="str">
        <f>IF(PNL!C409="","",PNL!C409)</f>
        <v/>
      </c>
      <c r="D409" t="str">
        <f>IF(PNL!D409="","",PNL!D409)</f>
        <v/>
      </c>
      <c r="E409" t="str">
        <f t="shared" si="66"/>
        <v/>
      </c>
      <c r="F409" t="str">
        <f>IF($A409="","",IF($E409=1,SUMIFS(Compta!$F$1:$F$675,Compta!$A$1:$A$675,$A409,Compta!$B$1:$B$675,$B409,Compta!$C$1:$C$675,"2026"),0))</f>
        <v/>
      </c>
      <c r="G409" t="str">
        <f t="shared" si="67"/>
        <v/>
      </c>
      <c r="H409" t="str">
        <f t="shared" si="68"/>
        <v/>
      </c>
      <c r="I409" t="str">
        <f t="shared" si="69"/>
        <v/>
      </c>
      <c r="J409" t="str">
        <f t="shared" si="70"/>
        <v/>
      </c>
      <c r="K409" t="str">
        <f t="shared" si="71"/>
        <v/>
      </c>
      <c r="L409" t="str">
        <f t="shared" si="72"/>
        <v/>
      </c>
      <c r="M409" t="str">
        <f t="shared" si="73"/>
        <v/>
      </c>
      <c r="N409" t="str">
        <f t="shared" si="74"/>
        <v/>
      </c>
      <c r="O409" t="str">
        <f t="shared" si="75"/>
        <v/>
      </c>
      <c r="P409" t="str">
        <f>IF($A409="","",IF($E409=1,$F409*$O409,PNL!G409))</f>
        <v/>
      </c>
      <c r="T409" t="str">
        <f t="shared" si="76"/>
        <v/>
      </c>
    </row>
    <row r="410" spans="1:20" x14ac:dyDescent="0.45">
      <c r="A410" t="str">
        <f>IF(PNL!A410="","",PNL!A410)</f>
        <v/>
      </c>
      <c r="B410" t="str">
        <f>IF(PNL!B410="","",PNL!B410)</f>
        <v/>
      </c>
      <c r="C410" t="str">
        <f>IF(PNL!C410="","",PNL!C410)</f>
        <v/>
      </c>
      <c r="D410" t="str">
        <f>IF(PNL!D410="","",PNL!D410)</f>
        <v/>
      </c>
      <c r="E410" t="str">
        <f t="shared" si="66"/>
        <v/>
      </c>
      <c r="F410" t="str">
        <f>IF($A410="","",IF($E410=1,SUMIFS(Compta!$F$1:$F$675,Compta!$A$1:$A$675,$A410,Compta!$B$1:$B$675,$B410,Compta!$C$1:$C$675,"2026"),0))</f>
        <v/>
      </c>
      <c r="G410" t="str">
        <f t="shared" si="67"/>
        <v/>
      </c>
      <c r="H410" t="str">
        <f t="shared" si="68"/>
        <v/>
      </c>
      <c r="I410" t="str">
        <f t="shared" si="69"/>
        <v/>
      </c>
      <c r="J410" t="str">
        <f t="shared" si="70"/>
        <v/>
      </c>
      <c r="K410" t="str">
        <f t="shared" si="71"/>
        <v/>
      </c>
      <c r="L410" t="str">
        <f t="shared" si="72"/>
        <v/>
      </c>
      <c r="M410" t="str">
        <f t="shared" si="73"/>
        <v/>
      </c>
      <c r="N410" t="str">
        <f t="shared" si="74"/>
        <v/>
      </c>
      <c r="O410" t="str">
        <f t="shared" si="75"/>
        <v/>
      </c>
      <c r="P410" t="str">
        <f>IF($A410="","",IF($E410=1,$F410*$O410,PNL!G410))</f>
        <v/>
      </c>
      <c r="T410" t="str">
        <f t="shared" si="76"/>
        <v/>
      </c>
    </row>
    <row r="411" spans="1:20" x14ac:dyDescent="0.45">
      <c r="A411" t="str">
        <f>IF(PNL!A411="","",PNL!A411)</f>
        <v/>
      </c>
      <c r="B411" t="str">
        <f>IF(PNL!B411="","",PNL!B411)</f>
        <v/>
      </c>
      <c r="C411" t="str">
        <f>IF(PNL!C411="","",PNL!C411)</f>
        <v/>
      </c>
      <c r="D411" t="str">
        <f>IF(PNL!D411="","",PNL!D411)</f>
        <v/>
      </c>
      <c r="E411" t="str">
        <f t="shared" si="66"/>
        <v/>
      </c>
      <c r="F411" t="str">
        <f>IF($A411="","",IF($E411=1,SUMIFS(Compta!$F$1:$F$675,Compta!$A$1:$A$675,$A411,Compta!$B$1:$B$675,$B411,Compta!$C$1:$C$675,"2026"),0))</f>
        <v/>
      </c>
      <c r="G411" t="str">
        <f t="shared" si="67"/>
        <v/>
      </c>
      <c r="H411" t="str">
        <f t="shared" si="68"/>
        <v/>
      </c>
      <c r="I411" t="str">
        <f t="shared" si="69"/>
        <v/>
      </c>
      <c r="J411" t="str">
        <f t="shared" si="70"/>
        <v/>
      </c>
      <c r="K411" t="str">
        <f t="shared" si="71"/>
        <v/>
      </c>
      <c r="L411" t="str">
        <f t="shared" si="72"/>
        <v/>
      </c>
      <c r="M411" t="str">
        <f t="shared" si="73"/>
        <v/>
      </c>
      <c r="N411" t="str">
        <f t="shared" si="74"/>
        <v/>
      </c>
      <c r="O411" t="str">
        <f t="shared" si="75"/>
        <v/>
      </c>
      <c r="P411" t="str">
        <f>IF($A411="","",IF($E411=1,$F411*$O411,PNL!G411))</f>
        <v/>
      </c>
      <c r="T411" t="str">
        <f t="shared" si="76"/>
        <v/>
      </c>
    </row>
    <row r="412" spans="1:20" x14ac:dyDescent="0.45">
      <c r="A412" t="str">
        <f>IF(PNL!A412="","",PNL!A412)</f>
        <v/>
      </c>
      <c r="B412" t="str">
        <f>IF(PNL!B412="","",PNL!B412)</f>
        <v/>
      </c>
      <c r="C412" t="str">
        <f>IF(PNL!C412="","",PNL!C412)</f>
        <v/>
      </c>
      <c r="D412" t="str">
        <f>IF(PNL!D412="","",PNL!D412)</f>
        <v/>
      </c>
      <c r="E412" t="str">
        <f t="shared" si="66"/>
        <v/>
      </c>
      <c r="F412" t="str">
        <f>IF($A412="","",IF($E412=1,SUMIFS(Compta!$F$1:$F$675,Compta!$A$1:$A$675,$A412,Compta!$B$1:$B$675,$B412,Compta!$C$1:$C$675,"2026"),0))</f>
        <v/>
      </c>
      <c r="G412" t="str">
        <f t="shared" si="67"/>
        <v/>
      </c>
      <c r="H412" t="str">
        <f t="shared" si="68"/>
        <v/>
      </c>
      <c r="I412" t="str">
        <f t="shared" si="69"/>
        <v/>
      </c>
      <c r="J412" t="str">
        <f t="shared" si="70"/>
        <v/>
      </c>
      <c r="K412" t="str">
        <f t="shared" si="71"/>
        <v/>
      </c>
      <c r="L412" t="str">
        <f t="shared" si="72"/>
        <v/>
      </c>
      <c r="M412" t="str">
        <f t="shared" si="73"/>
        <v/>
      </c>
      <c r="N412" t="str">
        <f t="shared" si="74"/>
        <v/>
      </c>
      <c r="O412" t="str">
        <f t="shared" si="75"/>
        <v/>
      </c>
      <c r="P412" t="str">
        <f>IF($A412="","",IF($E412=1,$F412*$O412,PNL!G412))</f>
        <v/>
      </c>
      <c r="T412" t="str">
        <f t="shared" si="76"/>
        <v/>
      </c>
    </row>
    <row r="413" spans="1:20" x14ac:dyDescent="0.45">
      <c r="A413" t="str">
        <f>IF(PNL!A413="","",PNL!A413)</f>
        <v/>
      </c>
      <c r="B413" t="str">
        <f>IF(PNL!B413="","",PNL!B413)</f>
        <v/>
      </c>
      <c r="C413" t="str">
        <f>IF(PNL!C413="","",PNL!C413)</f>
        <v/>
      </c>
      <c r="D413" t="str">
        <f>IF(PNL!D413="","",PNL!D413)</f>
        <v/>
      </c>
      <c r="E413" t="str">
        <f t="shared" si="66"/>
        <v/>
      </c>
      <c r="F413" t="str">
        <f>IF($A413="","",IF($E413=1,SUMIFS(Compta!$F$1:$F$675,Compta!$A$1:$A$675,$A413,Compta!$B$1:$B$675,$B413,Compta!$C$1:$C$675,"2026"),0))</f>
        <v/>
      </c>
      <c r="G413" t="str">
        <f t="shared" si="67"/>
        <v/>
      </c>
      <c r="H413" t="str">
        <f t="shared" si="68"/>
        <v/>
      </c>
      <c r="I413" t="str">
        <f t="shared" si="69"/>
        <v/>
      </c>
      <c r="J413" t="str">
        <f t="shared" si="70"/>
        <v/>
      </c>
      <c r="K413" t="str">
        <f t="shared" si="71"/>
        <v/>
      </c>
      <c r="L413" t="str">
        <f t="shared" si="72"/>
        <v/>
      </c>
      <c r="M413" t="str">
        <f t="shared" si="73"/>
        <v/>
      </c>
      <c r="N413" t="str">
        <f t="shared" si="74"/>
        <v/>
      </c>
      <c r="O413" t="str">
        <f t="shared" si="75"/>
        <v/>
      </c>
      <c r="P413" t="str">
        <f>IF($A413="","",IF($E413=1,$F413*$O413,PNL!G413))</f>
        <v/>
      </c>
      <c r="T413" t="str">
        <f t="shared" si="76"/>
        <v/>
      </c>
    </row>
    <row r="414" spans="1:20" x14ac:dyDescent="0.45">
      <c r="A414" t="str">
        <f>IF(PNL!A414="","",PNL!A414)</f>
        <v/>
      </c>
      <c r="B414" t="str">
        <f>IF(PNL!B414="","",PNL!B414)</f>
        <v/>
      </c>
      <c r="C414" t="str">
        <f>IF(PNL!C414="","",PNL!C414)</f>
        <v/>
      </c>
      <c r="D414" t="str">
        <f>IF(PNL!D414="","",PNL!D414)</f>
        <v/>
      </c>
      <c r="E414" t="str">
        <f t="shared" si="66"/>
        <v/>
      </c>
      <c r="F414" t="str">
        <f>IF($A414="","",IF($E414=1,SUMIFS(Compta!$F$1:$F$675,Compta!$A$1:$A$675,$A414,Compta!$B$1:$B$675,$B414,Compta!$C$1:$C$675,"2026"),0))</f>
        <v/>
      </c>
      <c r="G414" t="str">
        <f t="shared" si="67"/>
        <v/>
      </c>
      <c r="H414" t="str">
        <f t="shared" si="68"/>
        <v/>
      </c>
      <c r="I414" t="str">
        <f t="shared" si="69"/>
        <v/>
      </c>
      <c r="J414" t="str">
        <f t="shared" si="70"/>
        <v/>
      </c>
      <c r="K414" t="str">
        <f t="shared" si="71"/>
        <v/>
      </c>
      <c r="L414" t="str">
        <f t="shared" si="72"/>
        <v/>
      </c>
      <c r="M414" t="str">
        <f t="shared" si="73"/>
        <v/>
      </c>
      <c r="N414" t="str">
        <f t="shared" si="74"/>
        <v/>
      </c>
      <c r="O414" t="str">
        <f t="shared" si="75"/>
        <v/>
      </c>
      <c r="P414" t="str">
        <f>IF($A414="","",IF($E414=1,$F414*$O414,PNL!G414))</f>
        <v/>
      </c>
      <c r="T414" t="str">
        <f t="shared" si="76"/>
        <v/>
      </c>
    </row>
    <row r="415" spans="1:20" x14ac:dyDescent="0.45">
      <c r="A415" t="str">
        <f>IF(PNL!A415="","",PNL!A415)</f>
        <v/>
      </c>
      <c r="B415" t="str">
        <f>IF(PNL!B415="","",PNL!B415)</f>
        <v/>
      </c>
      <c r="C415" t="str">
        <f>IF(PNL!C415="","",PNL!C415)</f>
        <v/>
      </c>
      <c r="D415" t="str">
        <f>IF(PNL!D415="","",PNL!D415)</f>
        <v/>
      </c>
      <c r="E415" t="str">
        <f t="shared" si="66"/>
        <v/>
      </c>
      <c r="F415" t="str">
        <f>IF($A415="","",IF($E415=1,SUMIFS(Compta!$F$1:$F$675,Compta!$A$1:$A$675,$A415,Compta!$B$1:$B$675,$B415,Compta!$C$1:$C$675,"2026"),0))</f>
        <v/>
      </c>
      <c r="G415" t="str">
        <f t="shared" si="67"/>
        <v/>
      </c>
      <c r="H415" t="str">
        <f t="shared" si="68"/>
        <v/>
      </c>
      <c r="I415" t="str">
        <f t="shared" si="69"/>
        <v/>
      </c>
      <c r="J415" t="str">
        <f t="shared" si="70"/>
        <v/>
      </c>
      <c r="K415" t="str">
        <f t="shared" si="71"/>
        <v/>
      </c>
      <c r="L415" t="str">
        <f t="shared" si="72"/>
        <v/>
      </c>
      <c r="M415" t="str">
        <f t="shared" si="73"/>
        <v/>
      </c>
      <c r="N415" t="str">
        <f t="shared" si="74"/>
        <v/>
      </c>
      <c r="O415" t="str">
        <f t="shared" si="75"/>
        <v/>
      </c>
      <c r="P415" t="str">
        <f>IF($A415="","",IF($E415=1,$F415*$O415,PNL!G415))</f>
        <v/>
      </c>
      <c r="T415" t="str">
        <f t="shared" si="76"/>
        <v/>
      </c>
    </row>
    <row r="416" spans="1:20" x14ac:dyDescent="0.45">
      <c r="A416" t="str">
        <f>IF(PNL!A416="","",PNL!A416)</f>
        <v/>
      </c>
      <c r="B416" t="str">
        <f>IF(PNL!B416="","",PNL!B416)</f>
        <v/>
      </c>
      <c r="C416" t="str">
        <f>IF(PNL!C416="","",PNL!C416)</f>
        <v/>
      </c>
      <c r="D416" t="str">
        <f>IF(PNL!D416="","",PNL!D416)</f>
        <v/>
      </c>
      <c r="E416" t="str">
        <f t="shared" si="66"/>
        <v/>
      </c>
      <c r="F416" t="str">
        <f>IF($A416="","",IF($E416=1,SUMIFS(Compta!$F$1:$F$675,Compta!$A$1:$A$675,$A416,Compta!$B$1:$B$675,$B416,Compta!$C$1:$C$675,"2026"),0))</f>
        <v/>
      </c>
      <c r="G416" t="str">
        <f t="shared" si="67"/>
        <v/>
      </c>
      <c r="H416" t="str">
        <f t="shared" si="68"/>
        <v/>
      </c>
      <c r="I416" t="str">
        <f t="shared" si="69"/>
        <v/>
      </c>
      <c r="J416" t="str">
        <f t="shared" si="70"/>
        <v/>
      </c>
      <c r="K416" t="str">
        <f t="shared" si="71"/>
        <v/>
      </c>
      <c r="L416" t="str">
        <f t="shared" si="72"/>
        <v/>
      </c>
      <c r="M416" t="str">
        <f t="shared" si="73"/>
        <v/>
      </c>
      <c r="N416" t="str">
        <f t="shared" si="74"/>
        <v/>
      </c>
      <c r="O416" t="str">
        <f t="shared" si="75"/>
        <v/>
      </c>
      <c r="P416" t="str">
        <f>IF($A416="","",IF($E416=1,$F416*$O416,PNL!G416))</f>
        <v/>
      </c>
      <c r="T416" t="str">
        <f t="shared" si="76"/>
        <v/>
      </c>
    </row>
    <row r="417" spans="1:20" x14ac:dyDescent="0.45">
      <c r="A417" t="str">
        <f>IF(PNL!A417="","",PNL!A417)</f>
        <v/>
      </c>
      <c r="B417" t="str">
        <f>IF(PNL!B417="","",PNL!B417)</f>
        <v/>
      </c>
      <c r="C417" t="str">
        <f>IF(PNL!C417="","",PNL!C417)</f>
        <v/>
      </c>
      <c r="D417" t="str">
        <f>IF(PNL!D417="","",PNL!D417)</f>
        <v/>
      </c>
      <c r="E417" t="str">
        <f t="shared" si="66"/>
        <v/>
      </c>
      <c r="F417" t="str">
        <f>IF($A417="","",IF($E417=1,SUMIFS(Compta!$F$1:$F$675,Compta!$A$1:$A$675,$A417,Compta!$B$1:$B$675,$B417,Compta!$C$1:$C$675,"2026"),0))</f>
        <v/>
      </c>
      <c r="G417" t="str">
        <f t="shared" si="67"/>
        <v/>
      </c>
      <c r="H417" t="str">
        <f t="shared" si="68"/>
        <v/>
      </c>
      <c r="I417" t="str">
        <f t="shared" si="69"/>
        <v/>
      </c>
      <c r="J417" t="str">
        <f t="shared" si="70"/>
        <v/>
      </c>
      <c r="K417" t="str">
        <f t="shared" si="71"/>
        <v/>
      </c>
      <c r="L417" t="str">
        <f t="shared" si="72"/>
        <v/>
      </c>
      <c r="M417" t="str">
        <f t="shared" si="73"/>
        <v/>
      </c>
      <c r="N417" t="str">
        <f t="shared" si="74"/>
        <v/>
      </c>
      <c r="O417" t="str">
        <f t="shared" si="75"/>
        <v/>
      </c>
      <c r="P417" t="str">
        <f>IF($A417="","",IF($E417=1,$F417*$O417,PNL!G417))</f>
        <v/>
      </c>
      <c r="T417" t="str">
        <f t="shared" si="76"/>
        <v/>
      </c>
    </row>
    <row r="418" spans="1:20" x14ac:dyDescent="0.45">
      <c r="A418" t="str">
        <f>IF(PNL!A418="","",PNL!A418)</f>
        <v/>
      </c>
      <c r="B418" t="str">
        <f>IF(PNL!B418="","",PNL!B418)</f>
        <v/>
      </c>
      <c r="C418" t="str">
        <f>IF(PNL!C418="","",PNL!C418)</f>
        <v/>
      </c>
      <c r="D418" t="str">
        <f>IF(PNL!D418="","",PNL!D418)</f>
        <v/>
      </c>
      <c r="E418" t="str">
        <f t="shared" si="66"/>
        <v/>
      </c>
      <c r="F418" t="str">
        <f>IF($A418="","",IF($E418=1,SUMIFS(Compta!$F$1:$F$675,Compta!$A$1:$A$675,$A418,Compta!$B$1:$B$675,$B418,Compta!$C$1:$C$675,"2026"),0))</f>
        <v/>
      </c>
      <c r="G418" t="str">
        <f t="shared" si="67"/>
        <v/>
      </c>
      <c r="H418" t="str">
        <f t="shared" si="68"/>
        <v/>
      </c>
      <c r="I418" t="str">
        <f t="shared" si="69"/>
        <v/>
      </c>
      <c r="J418" t="str">
        <f t="shared" si="70"/>
        <v/>
      </c>
      <c r="K418" t="str">
        <f t="shared" si="71"/>
        <v/>
      </c>
      <c r="L418" t="str">
        <f t="shared" si="72"/>
        <v/>
      </c>
      <c r="M418" t="str">
        <f t="shared" si="73"/>
        <v/>
      </c>
      <c r="N418" t="str">
        <f t="shared" si="74"/>
        <v/>
      </c>
      <c r="O418" t="str">
        <f t="shared" si="75"/>
        <v/>
      </c>
      <c r="P418" t="str">
        <f>IF($A418="","",IF($E418=1,$F418*$O418,PNL!G418))</f>
        <v/>
      </c>
      <c r="T418" t="str">
        <f t="shared" si="76"/>
        <v/>
      </c>
    </row>
    <row r="419" spans="1:20" x14ac:dyDescent="0.45">
      <c r="A419" t="str">
        <f>IF(PNL!A419="","",PNL!A419)</f>
        <v/>
      </c>
      <c r="B419" t="str">
        <f>IF(PNL!B419="","",PNL!B419)</f>
        <v/>
      </c>
      <c r="C419" t="str">
        <f>IF(PNL!C419="","",PNL!C419)</f>
        <v/>
      </c>
      <c r="D419" t="str">
        <f>IF(PNL!D419="","",PNL!D419)</f>
        <v/>
      </c>
      <c r="E419" t="str">
        <f t="shared" si="66"/>
        <v/>
      </c>
      <c r="F419" t="str">
        <f>IF($A419="","",IF($E419=1,SUMIFS(Compta!$F$1:$F$675,Compta!$A$1:$A$675,$A419,Compta!$B$1:$B$675,$B419,Compta!$C$1:$C$675,"2026"),0))</f>
        <v/>
      </c>
      <c r="G419" t="str">
        <f t="shared" si="67"/>
        <v/>
      </c>
      <c r="H419" t="str">
        <f t="shared" si="68"/>
        <v/>
      </c>
      <c r="I419" t="str">
        <f t="shared" si="69"/>
        <v/>
      </c>
      <c r="J419" t="str">
        <f t="shared" si="70"/>
        <v/>
      </c>
      <c r="K419" t="str">
        <f t="shared" si="71"/>
        <v/>
      </c>
      <c r="L419" t="str">
        <f t="shared" si="72"/>
        <v/>
      </c>
      <c r="M419" t="str">
        <f t="shared" si="73"/>
        <v/>
      </c>
      <c r="N419" t="str">
        <f t="shared" si="74"/>
        <v/>
      </c>
      <c r="O419" t="str">
        <f t="shared" si="75"/>
        <v/>
      </c>
      <c r="P419" t="str">
        <f>IF($A419="","",IF($E419=1,$F419*$O419,PNL!G419))</f>
        <v/>
      </c>
      <c r="T419" t="str">
        <f t="shared" si="76"/>
        <v/>
      </c>
    </row>
    <row r="420" spans="1:20" x14ac:dyDescent="0.45">
      <c r="A420" t="str">
        <f>IF(PNL!A420="","",PNL!A420)</f>
        <v/>
      </c>
      <c r="B420" t="str">
        <f>IF(PNL!B420="","",PNL!B420)</f>
        <v/>
      </c>
      <c r="C420" t="str">
        <f>IF(PNL!C420="","",PNL!C420)</f>
        <v/>
      </c>
      <c r="D420" t="str">
        <f>IF(PNL!D420="","",PNL!D420)</f>
        <v/>
      </c>
      <c r="E420" t="str">
        <f t="shared" si="66"/>
        <v/>
      </c>
      <c r="F420" t="str">
        <f>IF($A420="","",IF($E420=1,SUMIFS(Compta!$F$1:$F$675,Compta!$A$1:$A$675,$A420,Compta!$B$1:$B$675,$B420,Compta!$C$1:$C$675,"2026"),0))</f>
        <v/>
      </c>
      <c r="G420" t="str">
        <f t="shared" si="67"/>
        <v/>
      </c>
      <c r="H420" t="str">
        <f t="shared" si="68"/>
        <v/>
      </c>
      <c r="I420" t="str">
        <f t="shared" si="69"/>
        <v/>
      </c>
      <c r="J420" t="str">
        <f t="shared" si="70"/>
        <v/>
      </c>
      <c r="K420" t="str">
        <f t="shared" si="71"/>
        <v/>
      </c>
      <c r="L420" t="str">
        <f t="shared" si="72"/>
        <v/>
      </c>
      <c r="M420" t="str">
        <f t="shared" si="73"/>
        <v/>
      </c>
      <c r="N420" t="str">
        <f t="shared" si="74"/>
        <v/>
      </c>
      <c r="O420" t="str">
        <f t="shared" si="75"/>
        <v/>
      </c>
      <c r="P420" t="str">
        <f>IF($A420="","",IF($E420=1,$F420*$O420,PNL!G420))</f>
        <v/>
      </c>
      <c r="T420" t="str">
        <f t="shared" si="76"/>
        <v/>
      </c>
    </row>
    <row r="421" spans="1:20" x14ac:dyDescent="0.45">
      <c r="A421" t="str">
        <f>IF(PNL!A421="","",PNL!A421)</f>
        <v/>
      </c>
      <c r="B421" t="str">
        <f>IF(PNL!B421="","",PNL!B421)</f>
        <v/>
      </c>
      <c r="C421" t="str">
        <f>IF(PNL!C421="","",PNL!C421)</f>
        <v/>
      </c>
      <c r="D421" t="str">
        <f>IF(PNL!D421="","",PNL!D421)</f>
        <v/>
      </c>
      <c r="E421" t="str">
        <f t="shared" si="66"/>
        <v/>
      </c>
      <c r="F421" t="str">
        <f>IF($A421="","",IF($E421=1,SUMIFS(Compta!$F$1:$F$675,Compta!$A$1:$A$675,$A421,Compta!$B$1:$B$675,$B421,Compta!$C$1:$C$675,"2026"),0))</f>
        <v/>
      </c>
      <c r="G421" t="str">
        <f t="shared" si="67"/>
        <v/>
      </c>
      <c r="H421" t="str">
        <f t="shared" si="68"/>
        <v/>
      </c>
      <c r="I421" t="str">
        <f t="shared" si="69"/>
        <v/>
      </c>
      <c r="J421" t="str">
        <f t="shared" si="70"/>
        <v/>
      </c>
      <c r="K421" t="str">
        <f t="shared" si="71"/>
        <v/>
      </c>
      <c r="L421" t="str">
        <f t="shared" si="72"/>
        <v/>
      </c>
      <c r="M421" t="str">
        <f t="shared" si="73"/>
        <v/>
      </c>
      <c r="N421" t="str">
        <f t="shared" si="74"/>
        <v/>
      </c>
      <c r="O421" t="str">
        <f t="shared" si="75"/>
        <v/>
      </c>
      <c r="P421" t="str">
        <f>IF($A421="","",IF($E421=1,$F421*$O421,PNL!G421))</f>
        <v/>
      </c>
      <c r="T421" t="str">
        <f t="shared" si="76"/>
        <v/>
      </c>
    </row>
    <row r="422" spans="1:20" x14ac:dyDescent="0.45">
      <c r="A422" t="str">
        <f>IF(PNL!A422="","",PNL!A422)</f>
        <v/>
      </c>
      <c r="B422" t="str">
        <f>IF(PNL!B422="","",PNL!B422)</f>
        <v/>
      </c>
      <c r="C422" t="str">
        <f>IF(PNL!C422="","",PNL!C422)</f>
        <v/>
      </c>
      <c r="D422" t="str">
        <f>IF(PNL!D422="","",PNL!D422)</f>
        <v/>
      </c>
      <c r="E422" t="str">
        <f t="shared" si="66"/>
        <v/>
      </c>
      <c r="F422" t="str">
        <f>IF($A422="","",IF($E422=1,SUMIFS(Compta!$F$1:$F$675,Compta!$A$1:$A$675,$A422,Compta!$B$1:$B$675,$B422,Compta!$C$1:$C$675,"2026"),0))</f>
        <v/>
      </c>
      <c r="G422" t="str">
        <f t="shared" si="67"/>
        <v/>
      </c>
      <c r="H422" t="str">
        <f t="shared" si="68"/>
        <v/>
      </c>
      <c r="I422" t="str">
        <f t="shared" si="69"/>
        <v/>
      </c>
      <c r="J422" t="str">
        <f t="shared" si="70"/>
        <v/>
      </c>
      <c r="K422" t="str">
        <f t="shared" si="71"/>
        <v/>
      </c>
      <c r="L422" t="str">
        <f t="shared" si="72"/>
        <v/>
      </c>
      <c r="M422" t="str">
        <f t="shared" si="73"/>
        <v/>
      </c>
      <c r="N422" t="str">
        <f t="shared" si="74"/>
        <v/>
      </c>
      <c r="O422" t="str">
        <f t="shared" si="75"/>
        <v/>
      </c>
      <c r="P422" t="str">
        <f>IF($A422="","",IF($E422=1,$F422*$O422,PNL!G422))</f>
        <v/>
      </c>
      <c r="T422" t="str">
        <f t="shared" si="76"/>
        <v/>
      </c>
    </row>
    <row r="423" spans="1:20" x14ac:dyDescent="0.45">
      <c r="A423" t="str">
        <f>IF(PNL!A423="","",PNL!A423)</f>
        <v/>
      </c>
      <c r="B423" t="str">
        <f>IF(PNL!B423="","",PNL!B423)</f>
        <v/>
      </c>
      <c r="C423" t="str">
        <f>IF(PNL!C423="","",PNL!C423)</f>
        <v/>
      </c>
      <c r="D423" t="str">
        <f>IF(PNL!D423="","",PNL!D423)</f>
        <v/>
      </c>
      <c r="E423" t="str">
        <f t="shared" si="66"/>
        <v/>
      </c>
      <c r="F423" t="str">
        <f>IF($A423="","",IF($E423=1,SUMIFS(Compta!$F$1:$F$675,Compta!$A$1:$A$675,$A423,Compta!$B$1:$B$675,$B423,Compta!$C$1:$C$675,"2026"),0))</f>
        <v/>
      </c>
      <c r="G423" t="str">
        <f t="shared" si="67"/>
        <v/>
      </c>
      <c r="H423" t="str">
        <f t="shared" si="68"/>
        <v/>
      </c>
      <c r="I423" t="str">
        <f t="shared" si="69"/>
        <v/>
      </c>
      <c r="J423" t="str">
        <f t="shared" si="70"/>
        <v/>
      </c>
      <c r="K423" t="str">
        <f t="shared" si="71"/>
        <v/>
      </c>
      <c r="L423" t="str">
        <f t="shared" si="72"/>
        <v/>
      </c>
      <c r="M423" t="str">
        <f t="shared" si="73"/>
        <v/>
      </c>
      <c r="N423" t="str">
        <f t="shared" si="74"/>
        <v/>
      </c>
      <c r="O423" t="str">
        <f t="shared" si="75"/>
        <v/>
      </c>
      <c r="P423" t="str">
        <f>IF($A423="","",IF($E423=1,$F423*$O423,PNL!G423))</f>
        <v/>
      </c>
      <c r="T423" t="str">
        <f t="shared" si="76"/>
        <v/>
      </c>
    </row>
    <row r="424" spans="1:20" x14ac:dyDescent="0.45">
      <c r="A424" t="str">
        <f>IF(PNL!A424="","",PNL!A424)</f>
        <v/>
      </c>
      <c r="B424" t="str">
        <f>IF(PNL!B424="","",PNL!B424)</f>
        <v/>
      </c>
      <c r="C424" t="str">
        <f>IF(PNL!C424="","",PNL!C424)</f>
        <v/>
      </c>
      <c r="D424" t="str">
        <f>IF(PNL!D424="","",PNL!D424)</f>
        <v/>
      </c>
      <c r="E424" t="str">
        <f t="shared" si="66"/>
        <v/>
      </c>
      <c r="F424" t="str">
        <f>IF($A424="","",IF($E424=1,SUMIFS(Compta!$F$1:$F$675,Compta!$A$1:$A$675,$A424,Compta!$B$1:$B$675,$B424,Compta!$C$1:$C$675,"2026"),0))</f>
        <v/>
      </c>
      <c r="G424" t="str">
        <f t="shared" si="67"/>
        <v/>
      </c>
      <c r="H424" t="str">
        <f t="shared" si="68"/>
        <v/>
      </c>
      <c r="I424" t="str">
        <f t="shared" si="69"/>
        <v/>
      </c>
      <c r="J424" t="str">
        <f t="shared" si="70"/>
        <v/>
      </c>
      <c r="K424" t="str">
        <f t="shared" si="71"/>
        <v/>
      </c>
      <c r="L424" t="str">
        <f t="shared" si="72"/>
        <v/>
      </c>
      <c r="M424" t="str">
        <f t="shared" si="73"/>
        <v/>
      </c>
      <c r="N424" t="str">
        <f t="shared" si="74"/>
        <v/>
      </c>
      <c r="O424" t="str">
        <f t="shared" si="75"/>
        <v/>
      </c>
      <c r="P424" t="str">
        <f>IF($A424="","",IF($E424=1,$F424*$O424,PNL!G424))</f>
        <v/>
      </c>
      <c r="T424" t="str">
        <f t="shared" si="76"/>
        <v/>
      </c>
    </row>
    <row r="425" spans="1:20" x14ac:dyDescent="0.45">
      <c r="A425" t="str">
        <f>IF(PNL!A425="","",PNL!A425)</f>
        <v/>
      </c>
      <c r="B425" t="str">
        <f>IF(PNL!B425="","",PNL!B425)</f>
        <v/>
      </c>
      <c r="C425" t="str">
        <f>IF(PNL!C425="","",PNL!C425)</f>
        <v/>
      </c>
      <c r="D425" t="str">
        <f>IF(PNL!D425="","",PNL!D425)</f>
        <v/>
      </c>
      <c r="E425" t="str">
        <f t="shared" si="66"/>
        <v/>
      </c>
      <c r="F425" t="str">
        <f>IF($A425="","",IF($E425=1,SUMIFS(Compta!$F$1:$F$675,Compta!$A$1:$A$675,$A425,Compta!$B$1:$B$675,$B425,Compta!$C$1:$C$675,"2026"),0))</f>
        <v/>
      </c>
      <c r="G425" t="str">
        <f t="shared" si="67"/>
        <v/>
      </c>
      <c r="H425" t="str">
        <f t="shared" si="68"/>
        <v/>
      </c>
      <c r="I425" t="str">
        <f t="shared" si="69"/>
        <v/>
      </c>
      <c r="J425" t="str">
        <f t="shared" si="70"/>
        <v/>
      </c>
      <c r="K425" t="str">
        <f t="shared" si="71"/>
        <v/>
      </c>
      <c r="L425" t="str">
        <f t="shared" si="72"/>
        <v/>
      </c>
      <c r="M425" t="str">
        <f t="shared" si="73"/>
        <v/>
      </c>
      <c r="N425" t="str">
        <f t="shared" si="74"/>
        <v/>
      </c>
      <c r="O425" t="str">
        <f t="shared" si="75"/>
        <v/>
      </c>
      <c r="P425" t="str">
        <f>IF($A425="","",IF($E425=1,$F425*$O425,PNL!G425))</f>
        <v/>
      </c>
      <c r="T425" t="str">
        <f t="shared" si="76"/>
        <v/>
      </c>
    </row>
    <row r="426" spans="1:20" x14ac:dyDescent="0.45">
      <c r="A426" t="str">
        <f>IF(PNL!A426="","",PNL!A426)</f>
        <v/>
      </c>
      <c r="B426" t="str">
        <f>IF(PNL!B426="","",PNL!B426)</f>
        <v/>
      </c>
      <c r="C426" t="str">
        <f>IF(PNL!C426="","",PNL!C426)</f>
        <v/>
      </c>
      <c r="D426" t="str">
        <f>IF(PNL!D426="","",PNL!D426)</f>
        <v/>
      </c>
      <c r="E426" t="str">
        <f t="shared" si="66"/>
        <v/>
      </c>
      <c r="F426" t="str">
        <f>IF($A426="","",IF($E426=1,SUMIFS(Compta!$F$1:$F$675,Compta!$A$1:$A$675,$A426,Compta!$B$1:$B$675,$B426,Compta!$C$1:$C$675,"2026"),0))</f>
        <v/>
      </c>
      <c r="G426" t="str">
        <f t="shared" si="67"/>
        <v/>
      </c>
      <c r="H426" t="str">
        <f t="shared" si="68"/>
        <v/>
      </c>
      <c r="I426" t="str">
        <f t="shared" si="69"/>
        <v/>
      </c>
      <c r="J426" t="str">
        <f t="shared" si="70"/>
        <v/>
      </c>
      <c r="K426" t="str">
        <f t="shared" si="71"/>
        <v/>
      </c>
      <c r="L426" t="str">
        <f t="shared" si="72"/>
        <v/>
      </c>
      <c r="M426" t="str">
        <f t="shared" si="73"/>
        <v/>
      </c>
      <c r="N426" t="str">
        <f t="shared" si="74"/>
        <v/>
      </c>
      <c r="O426" t="str">
        <f t="shared" si="75"/>
        <v/>
      </c>
      <c r="P426" t="str">
        <f>IF($A426="","",IF($E426=1,$F426*$O426,PNL!G426))</f>
        <v/>
      </c>
      <c r="T426" t="str">
        <f t="shared" si="76"/>
        <v/>
      </c>
    </row>
    <row r="427" spans="1:20" x14ac:dyDescent="0.45">
      <c r="A427" t="str">
        <f>IF(PNL!A427="","",PNL!A427)</f>
        <v/>
      </c>
      <c r="B427" t="str">
        <f>IF(PNL!B427="","",PNL!B427)</f>
        <v/>
      </c>
      <c r="C427" t="str">
        <f>IF(PNL!C427="","",PNL!C427)</f>
        <v/>
      </c>
      <c r="D427" t="str">
        <f>IF(PNL!D427="","",PNL!D427)</f>
        <v/>
      </c>
      <c r="E427" t="str">
        <f t="shared" si="66"/>
        <v/>
      </c>
      <c r="F427" t="str">
        <f>IF($A427="","",IF($E427=1,SUMIFS(Compta!$F$1:$F$675,Compta!$A$1:$A$675,$A427,Compta!$B$1:$B$675,$B427,Compta!$C$1:$C$675,"2026"),0))</f>
        <v/>
      </c>
      <c r="G427" t="str">
        <f t="shared" si="67"/>
        <v/>
      </c>
      <c r="H427" t="str">
        <f t="shared" si="68"/>
        <v/>
      </c>
      <c r="I427" t="str">
        <f t="shared" si="69"/>
        <v/>
      </c>
      <c r="J427" t="str">
        <f t="shared" si="70"/>
        <v/>
      </c>
      <c r="K427" t="str">
        <f t="shared" si="71"/>
        <v/>
      </c>
      <c r="L427" t="str">
        <f t="shared" si="72"/>
        <v/>
      </c>
      <c r="M427" t="str">
        <f t="shared" si="73"/>
        <v/>
      </c>
      <c r="N427" t="str">
        <f t="shared" si="74"/>
        <v/>
      </c>
      <c r="O427" t="str">
        <f t="shared" si="75"/>
        <v/>
      </c>
      <c r="P427" t="str">
        <f>IF($A427="","",IF($E427=1,$F427*$O427,PNL!G427))</f>
        <v/>
      </c>
      <c r="T427" t="str">
        <f t="shared" si="76"/>
        <v/>
      </c>
    </row>
    <row r="428" spans="1:20" x14ac:dyDescent="0.45">
      <c r="A428" t="str">
        <f>IF(PNL!A428="","",PNL!A428)</f>
        <v/>
      </c>
      <c r="B428" t="str">
        <f>IF(PNL!B428="","",PNL!B428)</f>
        <v/>
      </c>
      <c r="C428" t="str">
        <f>IF(PNL!C428="","",PNL!C428)</f>
        <v/>
      </c>
      <c r="D428" t="str">
        <f>IF(PNL!D428="","",PNL!D428)</f>
        <v/>
      </c>
      <c r="E428" t="str">
        <f t="shared" si="66"/>
        <v/>
      </c>
      <c r="F428" t="str">
        <f>IF($A428="","",IF($E428=1,SUMIFS(Compta!$F$1:$F$675,Compta!$A$1:$A$675,$A428,Compta!$B$1:$B$675,$B428,Compta!$C$1:$C$675,"2026"),0))</f>
        <v/>
      </c>
      <c r="G428" t="str">
        <f t="shared" si="67"/>
        <v/>
      </c>
      <c r="H428" t="str">
        <f t="shared" si="68"/>
        <v/>
      </c>
      <c r="I428" t="str">
        <f t="shared" si="69"/>
        <v/>
      </c>
      <c r="J428" t="str">
        <f t="shared" si="70"/>
        <v/>
      </c>
      <c r="K428" t="str">
        <f t="shared" si="71"/>
        <v/>
      </c>
      <c r="L428" t="str">
        <f t="shared" si="72"/>
        <v/>
      </c>
      <c r="M428" t="str">
        <f t="shared" si="73"/>
        <v/>
      </c>
      <c r="N428" t="str">
        <f t="shared" si="74"/>
        <v/>
      </c>
      <c r="O428" t="str">
        <f t="shared" si="75"/>
        <v/>
      </c>
      <c r="P428" t="str">
        <f>IF($A428="","",IF($E428=1,$F428*$O428,PNL!G428))</f>
        <v/>
      </c>
      <c r="T428" t="str">
        <f t="shared" si="76"/>
        <v/>
      </c>
    </row>
    <row r="429" spans="1:20" x14ac:dyDescent="0.45">
      <c r="A429" t="str">
        <f>IF(PNL!A429="","",PNL!A429)</f>
        <v/>
      </c>
      <c r="B429" t="str">
        <f>IF(PNL!B429="","",PNL!B429)</f>
        <v/>
      </c>
      <c r="C429" t="str">
        <f>IF(PNL!C429="","",PNL!C429)</f>
        <v/>
      </c>
      <c r="D429" t="str">
        <f>IF(PNL!D429="","",PNL!D429)</f>
        <v/>
      </c>
      <c r="E429" t="str">
        <f t="shared" si="66"/>
        <v/>
      </c>
      <c r="F429" t="str">
        <f>IF($A429="","",IF($E429=1,SUMIFS(Compta!$F$1:$F$675,Compta!$A$1:$A$675,$A429,Compta!$B$1:$B$675,$B429,Compta!$C$1:$C$675,"2026"),0))</f>
        <v/>
      </c>
      <c r="G429" t="str">
        <f t="shared" si="67"/>
        <v/>
      </c>
      <c r="H429" t="str">
        <f t="shared" si="68"/>
        <v/>
      </c>
      <c r="I429" t="str">
        <f t="shared" si="69"/>
        <v/>
      </c>
      <c r="J429" t="str">
        <f t="shared" si="70"/>
        <v/>
      </c>
      <c r="K429" t="str">
        <f t="shared" si="71"/>
        <v/>
      </c>
      <c r="L429" t="str">
        <f t="shared" si="72"/>
        <v/>
      </c>
      <c r="M429" t="str">
        <f t="shared" si="73"/>
        <v/>
      </c>
      <c r="N429" t="str">
        <f t="shared" si="74"/>
        <v/>
      </c>
      <c r="O429" t="str">
        <f t="shared" si="75"/>
        <v/>
      </c>
      <c r="P429" t="str">
        <f>IF($A429="","",IF($E429=1,$F429*$O429,PNL!G429))</f>
        <v/>
      </c>
      <c r="T429" t="str">
        <f t="shared" si="76"/>
        <v/>
      </c>
    </row>
    <row r="430" spans="1:20" x14ac:dyDescent="0.45">
      <c r="A430" t="str">
        <f>IF(PNL!A430="","",PNL!A430)</f>
        <v/>
      </c>
      <c r="B430" t="str">
        <f>IF(PNL!B430="","",PNL!B430)</f>
        <v/>
      </c>
      <c r="C430" t="str">
        <f>IF(PNL!C430="","",PNL!C430)</f>
        <v/>
      </c>
      <c r="D430" t="str">
        <f>IF(PNL!D430="","",PNL!D430)</f>
        <v/>
      </c>
      <c r="E430" t="str">
        <f t="shared" si="66"/>
        <v/>
      </c>
      <c r="F430" t="str">
        <f>IF($A430="","",IF($E430=1,SUMIFS(Compta!$F$1:$F$675,Compta!$A$1:$A$675,$A430,Compta!$B$1:$B$675,$B430,Compta!$C$1:$C$675,"2026"),0))</f>
        <v/>
      </c>
      <c r="G430" t="str">
        <f t="shared" si="67"/>
        <v/>
      </c>
      <c r="H430" t="str">
        <f t="shared" si="68"/>
        <v/>
      </c>
      <c r="I430" t="str">
        <f t="shared" si="69"/>
        <v/>
      </c>
      <c r="J430" t="str">
        <f t="shared" si="70"/>
        <v/>
      </c>
      <c r="K430" t="str">
        <f t="shared" si="71"/>
        <v/>
      </c>
      <c r="L430" t="str">
        <f t="shared" si="72"/>
        <v/>
      </c>
      <c r="M430" t="str">
        <f t="shared" si="73"/>
        <v/>
      </c>
      <c r="N430" t="str">
        <f t="shared" si="74"/>
        <v/>
      </c>
      <c r="O430" t="str">
        <f t="shared" si="75"/>
        <v/>
      </c>
      <c r="P430" t="str">
        <f>IF($A430="","",IF($E430=1,$F430*$O430,PNL!G430))</f>
        <v/>
      </c>
      <c r="T430" t="str">
        <f t="shared" si="76"/>
        <v/>
      </c>
    </row>
    <row r="431" spans="1:20" x14ac:dyDescent="0.45">
      <c r="A431" t="str">
        <f>IF(PNL!A431="","",PNL!A431)</f>
        <v/>
      </c>
      <c r="B431" t="str">
        <f>IF(PNL!B431="","",PNL!B431)</f>
        <v/>
      </c>
      <c r="C431" t="str">
        <f>IF(PNL!C431="","",PNL!C431)</f>
        <v/>
      </c>
      <c r="D431" t="str">
        <f>IF(PNL!D431="","",PNL!D431)</f>
        <v/>
      </c>
      <c r="E431" t="str">
        <f t="shared" si="66"/>
        <v/>
      </c>
      <c r="F431" t="str">
        <f>IF($A431="","",IF($E431=1,SUMIFS(Compta!$F$1:$F$675,Compta!$A$1:$A$675,$A431,Compta!$B$1:$B$675,$B431,Compta!$C$1:$C$675,"2026"),0))</f>
        <v/>
      </c>
      <c r="G431" t="str">
        <f t="shared" si="67"/>
        <v/>
      </c>
      <c r="H431" t="str">
        <f t="shared" si="68"/>
        <v/>
      </c>
      <c r="I431" t="str">
        <f t="shared" si="69"/>
        <v/>
      </c>
      <c r="J431" t="str">
        <f t="shared" si="70"/>
        <v/>
      </c>
      <c r="K431" t="str">
        <f t="shared" si="71"/>
        <v/>
      </c>
      <c r="L431" t="str">
        <f t="shared" si="72"/>
        <v/>
      </c>
      <c r="M431" t="str">
        <f t="shared" si="73"/>
        <v/>
      </c>
      <c r="N431" t="str">
        <f t="shared" si="74"/>
        <v/>
      </c>
      <c r="O431" t="str">
        <f t="shared" si="75"/>
        <v/>
      </c>
      <c r="P431" t="str">
        <f>IF($A431="","",IF($E431=1,$F431*$O431,PNL!G431))</f>
        <v/>
      </c>
      <c r="T431" t="str">
        <f t="shared" si="76"/>
        <v/>
      </c>
    </row>
    <row r="432" spans="1:20" x14ac:dyDescent="0.45">
      <c r="A432" t="str">
        <f>IF(PNL!A432="","",PNL!A432)</f>
        <v/>
      </c>
      <c r="B432" t="str">
        <f>IF(PNL!B432="","",PNL!B432)</f>
        <v/>
      </c>
      <c r="C432" t="str">
        <f>IF(PNL!C432="","",PNL!C432)</f>
        <v/>
      </c>
      <c r="D432" t="str">
        <f>IF(PNL!D432="","",PNL!D432)</f>
        <v/>
      </c>
      <c r="E432" t="str">
        <f t="shared" si="66"/>
        <v/>
      </c>
      <c r="F432" t="str">
        <f>IF($A432="","",IF($E432=1,SUMIFS(Compta!$F$1:$F$675,Compta!$A$1:$A$675,$A432,Compta!$B$1:$B$675,$B432,Compta!$C$1:$C$675,"2026"),0))</f>
        <v/>
      </c>
      <c r="G432" t="str">
        <f t="shared" si="67"/>
        <v/>
      </c>
      <c r="H432" t="str">
        <f t="shared" si="68"/>
        <v/>
      </c>
      <c r="I432" t="str">
        <f t="shared" si="69"/>
        <v/>
      </c>
      <c r="J432" t="str">
        <f t="shared" si="70"/>
        <v/>
      </c>
      <c r="K432" t="str">
        <f t="shared" si="71"/>
        <v/>
      </c>
      <c r="L432" t="str">
        <f t="shared" si="72"/>
        <v/>
      </c>
      <c r="M432" t="str">
        <f t="shared" si="73"/>
        <v/>
      </c>
      <c r="N432" t="str">
        <f t="shared" si="74"/>
        <v/>
      </c>
      <c r="O432" t="str">
        <f t="shared" si="75"/>
        <v/>
      </c>
      <c r="P432" t="str">
        <f>IF($A432="","",IF($E432=1,$F432*$O432,PNL!G432))</f>
        <v/>
      </c>
      <c r="T432" t="str">
        <f t="shared" si="76"/>
        <v/>
      </c>
    </row>
    <row r="433" spans="1:20" x14ac:dyDescent="0.45">
      <c r="A433" t="str">
        <f>IF(PNL!A433="","",PNL!A433)</f>
        <v/>
      </c>
      <c r="B433" t="str">
        <f>IF(PNL!B433="","",PNL!B433)</f>
        <v/>
      </c>
      <c r="C433" t="str">
        <f>IF(PNL!C433="","",PNL!C433)</f>
        <v/>
      </c>
      <c r="D433" t="str">
        <f>IF(PNL!D433="","",PNL!D433)</f>
        <v/>
      </c>
      <c r="E433" t="str">
        <f t="shared" si="66"/>
        <v/>
      </c>
      <c r="F433" t="str">
        <f>IF($A433="","",IF($E433=1,SUMIFS(Compta!$F$1:$F$675,Compta!$A$1:$A$675,$A433,Compta!$B$1:$B$675,$B433,Compta!$C$1:$C$675,"2026"),0))</f>
        <v/>
      </c>
      <c r="G433" t="str">
        <f t="shared" si="67"/>
        <v/>
      </c>
      <c r="H433" t="str">
        <f t="shared" si="68"/>
        <v/>
      </c>
      <c r="I433" t="str">
        <f t="shared" si="69"/>
        <v/>
      </c>
      <c r="J433" t="str">
        <f t="shared" si="70"/>
        <v/>
      </c>
      <c r="K433" t="str">
        <f t="shared" si="71"/>
        <v/>
      </c>
      <c r="L433" t="str">
        <f t="shared" si="72"/>
        <v/>
      </c>
      <c r="M433" t="str">
        <f t="shared" si="73"/>
        <v/>
      </c>
      <c r="N433" t="str">
        <f t="shared" si="74"/>
        <v/>
      </c>
      <c r="O433" t="str">
        <f t="shared" si="75"/>
        <v/>
      </c>
      <c r="P433" t="str">
        <f>IF($A433="","",IF($E433=1,$F433*$O433,PNL!G433))</f>
        <v/>
      </c>
      <c r="T433" t="str">
        <f t="shared" si="76"/>
        <v/>
      </c>
    </row>
    <row r="434" spans="1:20" x14ac:dyDescent="0.45">
      <c r="A434" t="str">
        <f>IF(PNL!A434="","",PNL!A434)</f>
        <v/>
      </c>
      <c r="B434" t="str">
        <f>IF(PNL!B434="","",PNL!B434)</f>
        <v/>
      </c>
      <c r="C434" t="str">
        <f>IF(PNL!C434="","",PNL!C434)</f>
        <v/>
      </c>
      <c r="D434" t="str">
        <f>IF(PNL!D434="","",PNL!D434)</f>
        <v/>
      </c>
      <c r="E434" t="str">
        <f t="shared" si="66"/>
        <v/>
      </c>
      <c r="F434" t="str">
        <f>IF($A434="","",IF($E434=1,SUMIFS(Compta!$F$1:$F$675,Compta!$A$1:$A$675,$A434,Compta!$B$1:$B$675,$B434,Compta!$C$1:$C$675,"2026"),0))</f>
        <v/>
      </c>
      <c r="G434" t="str">
        <f t="shared" si="67"/>
        <v/>
      </c>
      <c r="H434" t="str">
        <f t="shared" si="68"/>
        <v/>
      </c>
      <c r="I434" t="str">
        <f t="shared" si="69"/>
        <v/>
      </c>
      <c r="J434" t="str">
        <f t="shared" si="70"/>
        <v/>
      </c>
      <c r="K434" t="str">
        <f t="shared" si="71"/>
        <v/>
      </c>
      <c r="L434" t="str">
        <f t="shared" si="72"/>
        <v/>
      </c>
      <c r="M434" t="str">
        <f t="shared" si="73"/>
        <v/>
      </c>
      <c r="N434" t="str">
        <f t="shared" si="74"/>
        <v/>
      </c>
      <c r="O434" t="str">
        <f t="shared" si="75"/>
        <v/>
      </c>
      <c r="P434" t="str">
        <f>IF($A434="","",IF($E434=1,$F434*$O434,PNL!G434))</f>
        <v/>
      </c>
      <c r="T434" t="str">
        <f t="shared" si="76"/>
        <v/>
      </c>
    </row>
    <row r="435" spans="1:20" x14ac:dyDescent="0.45">
      <c r="A435" t="str">
        <f>IF(PNL!A435="","",PNL!A435)</f>
        <v/>
      </c>
      <c r="B435" t="str">
        <f>IF(PNL!B435="","",PNL!B435)</f>
        <v/>
      </c>
      <c r="C435" t="str">
        <f>IF(PNL!C435="","",PNL!C435)</f>
        <v/>
      </c>
      <c r="D435" t="str">
        <f>IF(PNL!D435="","",PNL!D435)</f>
        <v/>
      </c>
      <c r="E435" t="str">
        <f t="shared" si="66"/>
        <v/>
      </c>
      <c r="F435" t="str">
        <f>IF($A435="","",IF($E435=1,SUMIFS(Compta!$F$1:$F$675,Compta!$A$1:$A$675,$A435,Compta!$B$1:$B$675,$B435,Compta!$C$1:$C$675,"2026"),0))</f>
        <v/>
      </c>
      <c r="G435" t="str">
        <f t="shared" si="67"/>
        <v/>
      </c>
      <c r="H435" t="str">
        <f t="shared" si="68"/>
        <v/>
      </c>
      <c r="I435" t="str">
        <f t="shared" si="69"/>
        <v/>
      </c>
      <c r="J435" t="str">
        <f t="shared" si="70"/>
        <v/>
      </c>
      <c r="K435" t="str">
        <f t="shared" si="71"/>
        <v/>
      </c>
      <c r="L435" t="str">
        <f t="shared" si="72"/>
        <v/>
      </c>
      <c r="M435" t="str">
        <f t="shared" si="73"/>
        <v/>
      </c>
      <c r="N435" t="str">
        <f t="shared" si="74"/>
        <v/>
      </c>
      <c r="O435" t="str">
        <f t="shared" si="75"/>
        <v/>
      </c>
      <c r="P435" t="str">
        <f>IF($A435="","",IF($E435=1,$F435*$O435,PNL!G435))</f>
        <v/>
      </c>
      <c r="T435" t="str">
        <f t="shared" si="76"/>
        <v/>
      </c>
    </row>
    <row r="436" spans="1:20" x14ac:dyDescent="0.45">
      <c r="A436" t="str">
        <f>IF(PNL!A436="","",PNL!A436)</f>
        <v/>
      </c>
      <c r="B436" t="str">
        <f>IF(PNL!B436="","",PNL!B436)</f>
        <v/>
      </c>
      <c r="C436" t="str">
        <f>IF(PNL!C436="","",PNL!C436)</f>
        <v/>
      </c>
      <c r="D436" t="str">
        <f>IF(PNL!D436="","",PNL!D436)</f>
        <v/>
      </c>
      <c r="E436" t="str">
        <f t="shared" si="66"/>
        <v/>
      </c>
      <c r="F436" t="str">
        <f>IF($A436="","",IF($E436=1,SUMIFS(Compta!$F$1:$F$675,Compta!$A$1:$A$675,$A436,Compta!$B$1:$B$675,$B436,Compta!$C$1:$C$675,"2026"),0))</f>
        <v/>
      </c>
      <c r="G436" t="str">
        <f t="shared" si="67"/>
        <v/>
      </c>
      <c r="H436" t="str">
        <f t="shared" si="68"/>
        <v/>
      </c>
      <c r="I436" t="str">
        <f t="shared" si="69"/>
        <v/>
      </c>
      <c r="J436" t="str">
        <f t="shared" si="70"/>
        <v/>
      </c>
      <c r="K436" t="str">
        <f t="shared" si="71"/>
        <v/>
      </c>
      <c r="L436" t="str">
        <f t="shared" si="72"/>
        <v/>
      </c>
      <c r="M436" t="str">
        <f t="shared" si="73"/>
        <v/>
      </c>
      <c r="N436" t="str">
        <f t="shared" si="74"/>
        <v/>
      </c>
      <c r="O436" t="str">
        <f t="shared" si="75"/>
        <v/>
      </c>
      <c r="P436" t="str">
        <f>IF($A436="","",IF($E436=1,$F436*$O436,PNL!G436))</f>
        <v/>
      </c>
      <c r="T436" t="str">
        <f t="shared" si="76"/>
        <v/>
      </c>
    </row>
    <row r="437" spans="1:20" x14ac:dyDescent="0.45">
      <c r="A437" t="str">
        <f>IF(PNL!A437="","",PNL!A437)</f>
        <v/>
      </c>
      <c r="B437" t="str">
        <f>IF(PNL!B437="","",PNL!B437)</f>
        <v/>
      </c>
      <c r="C437" t="str">
        <f>IF(PNL!C437="","",PNL!C437)</f>
        <v/>
      </c>
      <c r="D437" t="str">
        <f>IF(PNL!D437="","",PNL!D437)</f>
        <v/>
      </c>
      <c r="E437" t="str">
        <f t="shared" si="66"/>
        <v/>
      </c>
      <c r="F437" t="str">
        <f>IF($A437="","",IF($E437=1,SUMIFS(Compta!$F$1:$F$675,Compta!$A$1:$A$675,$A437,Compta!$B$1:$B$675,$B437,Compta!$C$1:$C$675,"2026"),0))</f>
        <v/>
      </c>
      <c r="G437" t="str">
        <f t="shared" si="67"/>
        <v/>
      </c>
      <c r="H437" t="str">
        <f t="shared" si="68"/>
        <v/>
      </c>
      <c r="I437" t="str">
        <f t="shared" si="69"/>
        <v/>
      </c>
      <c r="J437" t="str">
        <f t="shared" si="70"/>
        <v/>
      </c>
      <c r="K437" t="str">
        <f t="shared" si="71"/>
        <v/>
      </c>
      <c r="L437" t="str">
        <f t="shared" si="72"/>
        <v/>
      </c>
      <c r="M437" t="str">
        <f t="shared" si="73"/>
        <v/>
      </c>
      <c r="N437" t="str">
        <f t="shared" si="74"/>
        <v/>
      </c>
      <c r="O437" t="str">
        <f t="shared" si="75"/>
        <v/>
      </c>
      <c r="P437" t="str">
        <f>IF($A437="","",IF($E437=1,$F437*$O437,PNL!G437))</f>
        <v/>
      </c>
      <c r="T437" t="str">
        <f t="shared" si="76"/>
        <v/>
      </c>
    </row>
    <row r="438" spans="1:20" x14ac:dyDescent="0.45">
      <c r="A438" t="str">
        <f>IF(PNL!A438="","",PNL!A438)</f>
        <v/>
      </c>
      <c r="B438" t="str">
        <f>IF(PNL!B438="","",PNL!B438)</f>
        <v/>
      </c>
      <c r="C438" t="str">
        <f>IF(PNL!C438="","",PNL!C438)</f>
        <v/>
      </c>
      <c r="D438" t="str">
        <f>IF(PNL!D438="","",PNL!D438)</f>
        <v/>
      </c>
      <c r="E438" t="str">
        <f t="shared" si="66"/>
        <v/>
      </c>
      <c r="F438" t="str">
        <f>IF($A438="","",IF($E438=1,SUMIFS(Compta!$F$1:$F$675,Compta!$A$1:$A$675,$A438,Compta!$B$1:$B$675,$B438,Compta!$C$1:$C$675,"2026"),0))</f>
        <v/>
      </c>
      <c r="G438" t="str">
        <f t="shared" si="67"/>
        <v/>
      </c>
      <c r="H438" t="str">
        <f t="shared" si="68"/>
        <v/>
      </c>
      <c r="I438" t="str">
        <f t="shared" si="69"/>
        <v/>
      </c>
      <c r="J438" t="str">
        <f t="shared" si="70"/>
        <v/>
      </c>
      <c r="K438" t="str">
        <f t="shared" si="71"/>
        <v/>
      </c>
      <c r="L438" t="str">
        <f t="shared" si="72"/>
        <v/>
      </c>
      <c r="M438" t="str">
        <f t="shared" si="73"/>
        <v/>
      </c>
      <c r="N438" t="str">
        <f t="shared" si="74"/>
        <v/>
      </c>
      <c r="O438" t="str">
        <f t="shared" si="75"/>
        <v/>
      </c>
      <c r="P438" t="str">
        <f>IF($A438="","",IF($E438=1,$F438*$O438,PNL!G438))</f>
        <v/>
      </c>
      <c r="T438" t="str">
        <f t="shared" si="76"/>
        <v/>
      </c>
    </row>
    <row r="439" spans="1:20" x14ac:dyDescent="0.45">
      <c r="A439" t="str">
        <f>IF(PNL!A439="","",PNL!A439)</f>
        <v/>
      </c>
      <c r="B439" t="str">
        <f>IF(PNL!B439="","",PNL!B439)</f>
        <v/>
      </c>
      <c r="C439" t="str">
        <f>IF(PNL!C439="","",PNL!C439)</f>
        <v/>
      </c>
      <c r="D439" t="str">
        <f>IF(PNL!D439="","",PNL!D439)</f>
        <v/>
      </c>
      <c r="E439" t="str">
        <f t="shared" si="66"/>
        <v/>
      </c>
      <c r="F439" t="str">
        <f>IF($A439="","",IF($E439=1,SUMIFS(Compta!$F$1:$F$675,Compta!$A$1:$A$675,$A439,Compta!$B$1:$B$675,$B439,Compta!$C$1:$C$675,"2026"),0))</f>
        <v/>
      </c>
      <c r="G439" t="str">
        <f t="shared" si="67"/>
        <v/>
      </c>
      <c r="H439" t="str">
        <f t="shared" si="68"/>
        <v/>
      </c>
      <c r="I439" t="str">
        <f t="shared" si="69"/>
        <v/>
      </c>
      <c r="J439" t="str">
        <f t="shared" si="70"/>
        <v/>
      </c>
      <c r="K439" t="str">
        <f t="shared" si="71"/>
        <v/>
      </c>
      <c r="L439" t="str">
        <f t="shared" si="72"/>
        <v/>
      </c>
      <c r="M439" t="str">
        <f t="shared" si="73"/>
        <v/>
      </c>
      <c r="N439" t="str">
        <f t="shared" si="74"/>
        <v/>
      </c>
      <c r="O439" t="str">
        <f t="shared" si="75"/>
        <v/>
      </c>
      <c r="P439" t="str">
        <f>IF($A439="","",IF($E439=1,$F439*$O439,PNL!G439))</f>
        <v/>
      </c>
      <c r="T439" t="str">
        <f t="shared" si="76"/>
        <v/>
      </c>
    </row>
    <row r="440" spans="1:20" x14ac:dyDescent="0.45">
      <c r="A440" t="str">
        <f>IF(PNL!A440="","",PNL!A440)</f>
        <v/>
      </c>
      <c r="B440" t="str">
        <f>IF(PNL!B440="","",PNL!B440)</f>
        <v/>
      </c>
      <c r="C440" t="str">
        <f>IF(PNL!C440="","",PNL!C440)</f>
        <v/>
      </c>
      <c r="D440" t="str">
        <f>IF(PNL!D440="","",PNL!D440)</f>
        <v/>
      </c>
      <c r="E440" t="str">
        <f t="shared" si="66"/>
        <v/>
      </c>
      <c r="F440" t="str">
        <f>IF($A440="","",IF($E440=1,SUMIFS(Compta!$F$1:$F$675,Compta!$A$1:$A$675,$A440,Compta!$B$1:$B$675,$B440,Compta!$C$1:$C$675,"2026"),0))</f>
        <v/>
      </c>
      <c r="G440" t="str">
        <f t="shared" si="67"/>
        <v/>
      </c>
      <c r="H440" t="str">
        <f t="shared" si="68"/>
        <v/>
      </c>
      <c r="I440" t="str">
        <f t="shared" si="69"/>
        <v/>
      </c>
      <c r="J440" t="str">
        <f t="shared" si="70"/>
        <v/>
      </c>
      <c r="K440" t="str">
        <f t="shared" si="71"/>
        <v/>
      </c>
      <c r="L440" t="str">
        <f t="shared" si="72"/>
        <v/>
      </c>
      <c r="M440" t="str">
        <f t="shared" si="73"/>
        <v/>
      </c>
      <c r="N440" t="str">
        <f t="shared" si="74"/>
        <v/>
      </c>
      <c r="O440" t="str">
        <f t="shared" si="75"/>
        <v/>
      </c>
      <c r="P440" t="str">
        <f>IF($A440="","",IF($E440=1,$F440*$O440,PNL!G440))</f>
        <v/>
      </c>
      <c r="T440" t="str">
        <f t="shared" si="76"/>
        <v/>
      </c>
    </row>
    <row r="441" spans="1:20" x14ac:dyDescent="0.45">
      <c r="A441" t="str">
        <f>IF(PNL!A441="","",PNL!A441)</f>
        <v/>
      </c>
      <c r="B441" t="str">
        <f>IF(PNL!B441="","",PNL!B441)</f>
        <v/>
      </c>
      <c r="C441" t="str">
        <f>IF(PNL!C441="","",PNL!C441)</f>
        <v/>
      </c>
      <c r="D441" t="str">
        <f>IF(PNL!D441="","",PNL!D441)</f>
        <v/>
      </c>
      <c r="E441" t="str">
        <f t="shared" si="66"/>
        <v/>
      </c>
      <c r="F441" t="str">
        <f>IF($A441="","",IF($E441=1,SUMIFS(Compta!$F$1:$F$675,Compta!$A$1:$A$675,$A441,Compta!$B$1:$B$675,$B441,Compta!$C$1:$C$675,"2026"),0))</f>
        <v/>
      </c>
      <c r="G441" t="str">
        <f t="shared" si="67"/>
        <v/>
      </c>
      <c r="H441" t="str">
        <f t="shared" si="68"/>
        <v/>
      </c>
      <c r="I441" t="str">
        <f t="shared" si="69"/>
        <v/>
      </c>
      <c r="J441" t="str">
        <f t="shared" si="70"/>
        <v/>
      </c>
      <c r="K441" t="str">
        <f t="shared" si="71"/>
        <v/>
      </c>
      <c r="L441" t="str">
        <f t="shared" si="72"/>
        <v/>
      </c>
      <c r="M441" t="str">
        <f t="shared" si="73"/>
        <v/>
      </c>
      <c r="N441" t="str">
        <f t="shared" si="74"/>
        <v/>
      </c>
      <c r="O441" t="str">
        <f t="shared" si="75"/>
        <v/>
      </c>
      <c r="P441" t="str">
        <f>IF($A441="","",IF($E441=1,$F441*$O441,PNL!G441))</f>
        <v/>
      </c>
      <c r="T441" t="str">
        <f t="shared" si="76"/>
        <v/>
      </c>
    </row>
    <row r="442" spans="1:20" x14ac:dyDescent="0.45">
      <c r="A442" t="str">
        <f>IF(PNL!A442="","",PNL!A442)</f>
        <v/>
      </c>
      <c r="B442" t="str">
        <f>IF(PNL!B442="","",PNL!B442)</f>
        <v/>
      </c>
      <c r="C442" t="str">
        <f>IF(PNL!C442="","",PNL!C442)</f>
        <v/>
      </c>
      <c r="D442" t="str">
        <f>IF(PNL!D442="","",PNL!D442)</f>
        <v/>
      </c>
      <c r="E442" t="str">
        <f t="shared" si="66"/>
        <v/>
      </c>
      <c r="F442" t="str">
        <f>IF($A442="","",IF($E442=1,SUMIFS(Compta!$F$1:$F$675,Compta!$A$1:$A$675,$A442,Compta!$B$1:$B$675,$B442,Compta!$C$1:$C$675,"2026"),0))</f>
        <v/>
      </c>
      <c r="G442" t="str">
        <f t="shared" si="67"/>
        <v/>
      </c>
      <c r="H442" t="str">
        <f t="shared" si="68"/>
        <v/>
      </c>
      <c r="I442" t="str">
        <f t="shared" si="69"/>
        <v/>
      </c>
      <c r="J442" t="str">
        <f t="shared" si="70"/>
        <v/>
      </c>
      <c r="K442" t="str">
        <f t="shared" si="71"/>
        <v/>
      </c>
      <c r="L442" t="str">
        <f t="shared" si="72"/>
        <v/>
      </c>
      <c r="M442" t="str">
        <f t="shared" si="73"/>
        <v/>
      </c>
      <c r="N442" t="str">
        <f t="shared" si="74"/>
        <v/>
      </c>
      <c r="O442" t="str">
        <f t="shared" si="75"/>
        <v/>
      </c>
      <c r="P442" t="str">
        <f>IF($A442="","",IF($E442=1,$F442*$O442,PNL!G442))</f>
        <v/>
      </c>
      <c r="T442" t="str">
        <f t="shared" si="76"/>
        <v/>
      </c>
    </row>
    <row r="443" spans="1:20" x14ac:dyDescent="0.45">
      <c r="A443" t="str">
        <f>IF(PNL!A443="","",PNL!A443)</f>
        <v/>
      </c>
      <c r="B443" t="str">
        <f>IF(PNL!B443="","",PNL!B443)</f>
        <v/>
      </c>
      <c r="C443" t="str">
        <f>IF(PNL!C443="","",PNL!C443)</f>
        <v/>
      </c>
      <c r="D443" t="str">
        <f>IF(PNL!D443="","",PNL!D443)</f>
        <v/>
      </c>
      <c r="E443" t="str">
        <f t="shared" si="66"/>
        <v/>
      </c>
      <c r="F443" t="str">
        <f>IF($A443="","",IF($E443=1,SUMIFS(Compta!$F$1:$F$675,Compta!$A$1:$A$675,$A443,Compta!$B$1:$B$675,$B443,Compta!$C$1:$C$675,"2026"),0))</f>
        <v/>
      </c>
      <c r="G443" t="str">
        <f t="shared" si="67"/>
        <v/>
      </c>
      <c r="H443" t="str">
        <f t="shared" si="68"/>
        <v/>
      </c>
      <c r="I443" t="str">
        <f t="shared" si="69"/>
        <v/>
      </c>
      <c r="J443" t="str">
        <f t="shared" si="70"/>
        <v/>
      </c>
      <c r="K443" t="str">
        <f t="shared" si="71"/>
        <v/>
      </c>
      <c r="L443" t="str">
        <f t="shared" si="72"/>
        <v/>
      </c>
      <c r="M443" t="str">
        <f t="shared" si="73"/>
        <v/>
      </c>
      <c r="N443" t="str">
        <f t="shared" si="74"/>
        <v/>
      </c>
      <c r="O443" t="str">
        <f t="shared" si="75"/>
        <v/>
      </c>
      <c r="P443" t="str">
        <f>IF($A443="","",IF($E443=1,$F443*$O443,PNL!G443))</f>
        <v/>
      </c>
      <c r="T443" t="str">
        <f t="shared" si="76"/>
        <v/>
      </c>
    </row>
    <row r="444" spans="1:20" x14ac:dyDescent="0.45">
      <c r="A444" t="str">
        <f>IF(PNL!A444="","",PNL!A444)</f>
        <v/>
      </c>
      <c r="B444" t="str">
        <f>IF(PNL!B444="","",PNL!B444)</f>
        <v/>
      </c>
      <c r="C444" t="str">
        <f>IF(PNL!C444="","",PNL!C444)</f>
        <v/>
      </c>
      <c r="D444" t="str">
        <f>IF(PNL!D444="","",PNL!D444)</f>
        <v/>
      </c>
      <c r="E444" t="str">
        <f t="shared" si="66"/>
        <v/>
      </c>
      <c r="F444" t="str">
        <f>IF($A444="","",IF($E444=1,SUMIFS(Compta!$F$1:$F$675,Compta!$A$1:$A$675,$A444,Compta!$B$1:$B$675,$B444,Compta!$C$1:$C$675,"2026"),0))</f>
        <v/>
      </c>
      <c r="G444" t="str">
        <f t="shared" si="67"/>
        <v/>
      </c>
      <c r="H444" t="str">
        <f t="shared" si="68"/>
        <v/>
      </c>
      <c r="I444" t="str">
        <f t="shared" si="69"/>
        <v/>
      </c>
      <c r="J444" t="str">
        <f t="shared" si="70"/>
        <v/>
      </c>
      <c r="K444" t="str">
        <f t="shared" si="71"/>
        <v/>
      </c>
      <c r="L444" t="str">
        <f t="shared" si="72"/>
        <v/>
      </c>
      <c r="M444" t="str">
        <f t="shared" si="73"/>
        <v/>
      </c>
      <c r="N444" t="str">
        <f t="shared" si="74"/>
        <v/>
      </c>
      <c r="O444" t="str">
        <f t="shared" si="75"/>
        <v/>
      </c>
      <c r="P444" t="str">
        <f>IF($A444="","",IF($E444=1,$F444*$O444,PNL!G444))</f>
        <v/>
      </c>
      <c r="T444" t="str">
        <f t="shared" si="76"/>
        <v/>
      </c>
    </row>
    <row r="445" spans="1:20" x14ac:dyDescent="0.45">
      <c r="A445" t="str">
        <f>IF(PNL!A445="","",PNL!A445)</f>
        <v/>
      </c>
      <c r="B445" t="str">
        <f>IF(PNL!B445="","",PNL!B445)</f>
        <v/>
      </c>
      <c r="C445" t="str">
        <f>IF(PNL!C445="","",PNL!C445)</f>
        <v/>
      </c>
      <c r="D445" t="str">
        <f>IF(PNL!D445="","",PNL!D445)</f>
        <v/>
      </c>
      <c r="E445" t="str">
        <f t="shared" si="66"/>
        <v/>
      </c>
      <c r="F445" t="str">
        <f>IF($A445="","",IF($E445=1,SUMIFS(Compta!$F$1:$F$675,Compta!$A$1:$A$675,$A445,Compta!$B$1:$B$675,$B445,Compta!$C$1:$C$675,"2026"),0))</f>
        <v/>
      </c>
      <c r="G445" t="str">
        <f t="shared" si="67"/>
        <v/>
      </c>
      <c r="H445" t="str">
        <f t="shared" si="68"/>
        <v/>
      </c>
      <c r="I445" t="str">
        <f t="shared" si="69"/>
        <v/>
      </c>
      <c r="J445" t="str">
        <f t="shared" si="70"/>
        <v/>
      </c>
      <c r="K445" t="str">
        <f t="shared" si="71"/>
        <v/>
      </c>
      <c r="L445" t="str">
        <f t="shared" si="72"/>
        <v/>
      </c>
      <c r="M445" t="str">
        <f t="shared" si="73"/>
        <v/>
      </c>
      <c r="N445" t="str">
        <f t="shared" si="74"/>
        <v/>
      </c>
      <c r="O445" t="str">
        <f t="shared" si="75"/>
        <v/>
      </c>
      <c r="P445" t="str">
        <f>IF($A445="","",IF($E445=1,$F445*$O445,PNL!G445))</f>
        <v/>
      </c>
      <c r="T445" t="str">
        <f t="shared" si="76"/>
        <v/>
      </c>
    </row>
    <row r="446" spans="1:20" x14ac:dyDescent="0.45">
      <c r="A446" t="str">
        <f>IF(PNL!A446="","",PNL!A446)</f>
        <v/>
      </c>
      <c r="B446" t="str">
        <f>IF(PNL!B446="","",PNL!B446)</f>
        <v/>
      </c>
      <c r="C446" t="str">
        <f>IF(PNL!C446="","",PNL!C446)</f>
        <v/>
      </c>
      <c r="D446" t="str">
        <f>IF(PNL!D446="","",PNL!D446)</f>
        <v/>
      </c>
      <c r="E446" t="str">
        <f t="shared" si="66"/>
        <v/>
      </c>
      <c r="F446" t="str">
        <f>IF($A446="","",IF($E446=1,SUMIFS(Compta!$F$1:$F$675,Compta!$A$1:$A$675,$A446,Compta!$B$1:$B$675,$B446,Compta!$C$1:$C$675,"2026"),0))</f>
        <v/>
      </c>
      <c r="G446" t="str">
        <f t="shared" si="67"/>
        <v/>
      </c>
      <c r="H446" t="str">
        <f t="shared" si="68"/>
        <v/>
      </c>
      <c r="I446" t="str">
        <f t="shared" si="69"/>
        <v/>
      </c>
      <c r="J446" t="str">
        <f t="shared" si="70"/>
        <v/>
      </c>
      <c r="K446" t="str">
        <f t="shared" si="71"/>
        <v/>
      </c>
      <c r="L446" t="str">
        <f t="shared" si="72"/>
        <v/>
      </c>
      <c r="M446" t="str">
        <f t="shared" si="73"/>
        <v/>
      </c>
      <c r="N446" t="str">
        <f t="shared" si="74"/>
        <v/>
      </c>
      <c r="O446" t="str">
        <f t="shared" si="75"/>
        <v/>
      </c>
      <c r="P446" t="str">
        <f>IF($A446="","",IF($E446=1,$F446*$O446,PNL!G446))</f>
        <v/>
      </c>
      <c r="T446" t="str">
        <f t="shared" si="76"/>
        <v/>
      </c>
    </row>
    <row r="447" spans="1:20" x14ac:dyDescent="0.45">
      <c r="A447" t="str">
        <f>IF(PNL!A447="","",PNL!A447)</f>
        <v/>
      </c>
      <c r="B447" t="str">
        <f>IF(PNL!B447="","",PNL!B447)</f>
        <v/>
      </c>
      <c r="C447" t="str">
        <f>IF(PNL!C447="","",PNL!C447)</f>
        <v/>
      </c>
      <c r="D447" t="str">
        <f>IF(PNL!D447="","",PNL!D447)</f>
        <v/>
      </c>
      <c r="E447" t="str">
        <f t="shared" si="66"/>
        <v/>
      </c>
      <c r="F447" t="str">
        <f>IF($A447="","",IF($E447=1,SUMIFS(Compta!$F$1:$F$675,Compta!$A$1:$A$675,$A447,Compta!$B$1:$B$675,$B447,Compta!$C$1:$C$675,"2026"),0))</f>
        <v/>
      </c>
      <c r="G447" t="str">
        <f t="shared" si="67"/>
        <v/>
      </c>
      <c r="H447" t="str">
        <f t="shared" si="68"/>
        <v/>
      </c>
      <c r="I447" t="str">
        <f t="shared" si="69"/>
        <v/>
      </c>
      <c r="J447" t="str">
        <f t="shared" si="70"/>
        <v/>
      </c>
      <c r="K447" t="str">
        <f t="shared" si="71"/>
        <v/>
      </c>
      <c r="L447" t="str">
        <f t="shared" si="72"/>
        <v/>
      </c>
      <c r="M447" t="str">
        <f t="shared" si="73"/>
        <v/>
      </c>
      <c r="N447" t="str">
        <f t="shared" si="74"/>
        <v/>
      </c>
      <c r="O447" t="str">
        <f t="shared" si="75"/>
        <v/>
      </c>
      <c r="P447" t="str">
        <f>IF($A447="","",IF($E447=1,$F447*$O447,PNL!G447))</f>
        <v/>
      </c>
      <c r="T447" t="str">
        <f t="shared" si="76"/>
        <v/>
      </c>
    </row>
    <row r="448" spans="1:20" x14ac:dyDescent="0.45">
      <c r="A448" t="str">
        <f>IF(PNL!A448="","",PNL!A448)</f>
        <v/>
      </c>
      <c r="B448" t="str">
        <f>IF(PNL!B448="","",PNL!B448)</f>
        <v/>
      </c>
      <c r="C448" t="str">
        <f>IF(PNL!C448="","",PNL!C448)</f>
        <v/>
      </c>
      <c r="D448" t="str">
        <f>IF(PNL!D448="","",PNL!D448)</f>
        <v/>
      </c>
      <c r="E448" t="str">
        <f t="shared" si="66"/>
        <v/>
      </c>
      <c r="F448" t="str">
        <f>IF($A448="","",IF($E448=1,SUMIFS(Compta!$F$1:$F$675,Compta!$A$1:$A$675,$A448,Compta!$B$1:$B$675,$B448,Compta!$C$1:$C$675,"2026"),0))</f>
        <v/>
      </c>
      <c r="G448" t="str">
        <f t="shared" si="67"/>
        <v/>
      </c>
      <c r="H448" t="str">
        <f t="shared" si="68"/>
        <v/>
      </c>
      <c r="I448" t="str">
        <f t="shared" si="69"/>
        <v/>
      </c>
      <c r="J448" t="str">
        <f t="shared" si="70"/>
        <v/>
      </c>
      <c r="K448" t="str">
        <f t="shared" si="71"/>
        <v/>
      </c>
      <c r="L448" t="str">
        <f t="shared" si="72"/>
        <v/>
      </c>
      <c r="M448" t="str">
        <f t="shared" si="73"/>
        <v/>
      </c>
      <c r="N448" t="str">
        <f t="shared" si="74"/>
        <v/>
      </c>
      <c r="O448" t="str">
        <f t="shared" si="75"/>
        <v/>
      </c>
      <c r="P448" t="str">
        <f>IF($A448="","",IF($E448=1,$F448*$O448,PNL!G448))</f>
        <v/>
      </c>
      <c r="T448" t="str">
        <f t="shared" si="76"/>
        <v/>
      </c>
    </row>
    <row r="449" spans="1:20" x14ac:dyDescent="0.45">
      <c r="A449" t="str">
        <f>IF(PNL!A449="","",PNL!A449)</f>
        <v/>
      </c>
      <c r="B449" t="str">
        <f>IF(PNL!B449="","",PNL!B449)</f>
        <v/>
      </c>
      <c r="C449" t="str">
        <f>IF(PNL!C449="","",PNL!C449)</f>
        <v/>
      </c>
      <c r="D449" t="str">
        <f>IF(PNL!D449="","",PNL!D449)</f>
        <v/>
      </c>
      <c r="E449" t="str">
        <f t="shared" si="66"/>
        <v/>
      </c>
      <c r="F449" t="str">
        <f>IF($A449="","",IF($E449=1,SUMIFS(Compta!$F$1:$F$675,Compta!$A$1:$A$675,$A449,Compta!$B$1:$B$675,$B449,Compta!$C$1:$C$675,"2026"),0))</f>
        <v/>
      </c>
      <c r="G449" t="str">
        <f t="shared" si="67"/>
        <v/>
      </c>
      <c r="H449" t="str">
        <f t="shared" si="68"/>
        <v/>
      </c>
      <c r="I449" t="str">
        <f t="shared" si="69"/>
        <v/>
      </c>
      <c r="J449" t="str">
        <f t="shared" si="70"/>
        <v/>
      </c>
      <c r="K449" t="str">
        <f t="shared" si="71"/>
        <v/>
      </c>
      <c r="L449" t="str">
        <f t="shared" si="72"/>
        <v/>
      </c>
      <c r="M449" t="str">
        <f t="shared" si="73"/>
        <v/>
      </c>
      <c r="N449" t="str">
        <f t="shared" si="74"/>
        <v/>
      </c>
      <c r="O449" t="str">
        <f t="shared" si="75"/>
        <v/>
      </c>
      <c r="P449" t="str">
        <f>IF($A449="","",IF($E449=1,$F449*$O449,PNL!G449))</f>
        <v/>
      </c>
      <c r="T449" t="str">
        <f t="shared" si="76"/>
        <v/>
      </c>
    </row>
    <row r="450" spans="1:20" x14ac:dyDescent="0.45">
      <c r="A450" t="str">
        <f>IF(PNL!A450="","",PNL!A450)</f>
        <v/>
      </c>
      <c r="B450" t="str">
        <f>IF(PNL!B450="","",PNL!B450)</f>
        <v/>
      </c>
      <c r="C450" t="str">
        <f>IF(PNL!C450="","",PNL!C450)</f>
        <v/>
      </c>
      <c r="D450" t="str">
        <f>IF(PNL!D450="","",PNL!D450)</f>
        <v/>
      </c>
      <c r="E450" t="str">
        <f t="shared" ref="E450:E513" si="77">IF($A450="","",IF(AND($C450="2027",OR($D450="V01",$D450="V02",$D450="V03")),1,0))</f>
        <v/>
      </c>
      <c r="F450" t="str">
        <f>IF($A450="","",IF($E450=1,SUMIFS(Compta!$F$1:$F$675,Compta!$A$1:$A$675,$A450,Compta!$B$1:$B$675,$B450,Compta!$C$1:$C$675,"2026"),0))</f>
        <v/>
      </c>
      <c r="G450" t="str">
        <f t="shared" ref="G450:G513" si="78">IF($A450="","",IF($D450="V01",cad!$C$23,IF($D450="V02",cad!$D$23,cad!$E$23)))</f>
        <v/>
      </c>
      <c r="H450" t="str">
        <f t="shared" ref="H450:H513" si="79">IF($A450="","",IF($D450="V01",cad!$C$24,IF($D450="V02",cad!$D$24,cad!$E$24)))</f>
        <v/>
      </c>
      <c r="I450" t="str">
        <f t="shared" ref="I450:I513" si="80">IF($A450="","",IF($D450="V01",cad!$C$32,IF($D450="V02",cad!$D$32,cad!$E$32)))</f>
        <v/>
      </c>
      <c r="J450" t="str">
        <f t="shared" ref="J450:J513" si="81">IF($A450="","",IF($D450="V01",cad!$C$33,IF($D450="V02",cad!$D$33,cad!$E$33)))</f>
        <v/>
      </c>
      <c r="K450" t="str">
        <f t="shared" ref="K450:K513" si="82">IF($A450="","",IF($D450="V01",cad!$C$34,IF($D450="V02",cad!$D$34,cad!$E$34)))</f>
        <v/>
      </c>
      <c r="L450" t="str">
        <f t="shared" ref="L450:L513" si="83">IF($A450="","",IF($D450="V01",cad!$C$35,IF($D450="V02",cad!$D$35,cad!$E$35)))</f>
        <v/>
      </c>
      <c r="M450" t="str">
        <f t="shared" ref="M450:M513" si="84">IF($A450="","",IF($D450="V01",cad!$C$36,IF($D450="V02",cad!$D$36,cad!$E$36)))</f>
        <v/>
      </c>
      <c r="N450" t="str">
        <f t="shared" ref="N450:N513" si="85">IF($A450="","",IF($D450="V01",$R$2,IF($D450="V02",$R$3,$R$4)))</f>
        <v/>
      </c>
      <c r="O450" t="str">
        <f t="shared" ref="O450:O513" si="86">IF($A450="","",IF(OR($B450="7062",$B450="706",$B450="708"),$N450,IF($B450="6231",1+$G450,IF($B450="6236",1+$H450,IF(OR($B450="621",$B450="604",$B450="6063"),$N450*(1-$L450),IF(OR($B450="6411",$B450="6413",$B450="6414",$B450="645"),(1+$J450)*(1+$K450),IF(OR($B450="613",$B450="615",$B450="616",$B450="6226",$B450="625",$B450="626",$B450="6281"),(1+$I450)*(1-$L450)*(1+$M450),IF(OR($B450="6331",$B450="63511",$B450="6333"),(1+$I450)*(1-$L450),IF($B450="6811",1+$I450,1)))))))))</f>
        <v/>
      </c>
      <c r="P450" t="str">
        <f>IF($A450="","",IF($E450=1,$F450*$O450,PNL!G450))</f>
        <v/>
      </c>
      <c r="T450" t="str">
        <f t="shared" ref="T450:T513" si="87">IF($A450="","",IF($E450=1,IF(OR($B450="7062",$B450="706",$B450="708"),$P450,IF(AND(LEFT($B450,1)="6",$B450&lt;&gt;"6811"),-$P450,0)),0))</f>
        <v/>
      </c>
    </row>
    <row r="451" spans="1:20" x14ac:dyDescent="0.45">
      <c r="A451" t="str">
        <f>IF(PNL!A451="","",PNL!A451)</f>
        <v/>
      </c>
      <c r="B451" t="str">
        <f>IF(PNL!B451="","",PNL!B451)</f>
        <v/>
      </c>
      <c r="C451" t="str">
        <f>IF(PNL!C451="","",PNL!C451)</f>
        <v/>
      </c>
      <c r="D451" t="str">
        <f>IF(PNL!D451="","",PNL!D451)</f>
        <v/>
      </c>
      <c r="E451" t="str">
        <f t="shared" si="77"/>
        <v/>
      </c>
      <c r="F451" t="str">
        <f>IF($A451="","",IF($E451=1,SUMIFS(Compta!$F$1:$F$675,Compta!$A$1:$A$675,$A451,Compta!$B$1:$B$675,$B451,Compta!$C$1:$C$675,"2026"),0))</f>
        <v/>
      </c>
      <c r="G451" t="str">
        <f t="shared" si="78"/>
        <v/>
      </c>
      <c r="H451" t="str">
        <f t="shared" si="79"/>
        <v/>
      </c>
      <c r="I451" t="str">
        <f t="shared" si="80"/>
        <v/>
      </c>
      <c r="J451" t="str">
        <f t="shared" si="81"/>
        <v/>
      </c>
      <c r="K451" t="str">
        <f t="shared" si="82"/>
        <v/>
      </c>
      <c r="L451" t="str">
        <f t="shared" si="83"/>
        <v/>
      </c>
      <c r="M451" t="str">
        <f t="shared" si="84"/>
        <v/>
      </c>
      <c r="N451" t="str">
        <f t="shared" si="85"/>
        <v/>
      </c>
      <c r="O451" t="str">
        <f t="shared" si="86"/>
        <v/>
      </c>
      <c r="P451" t="str">
        <f>IF($A451="","",IF($E451=1,$F451*$O451,PNL!G451))</f>
        <v/>
      </c>
      <c r="T451" t="str">
        <f t="shared" si="87"/>
        <v/>
      </c>
    </row>
    <row r="452" spans="1:20" x14ac:dyDescent="0.45">
      <c r="A452" t="str">
        <f>IF(PNL!A452="","",PNL!A452)</f>
        <v/>
      </c>
      <c r="B452" t="str">
        <f>IF(PNL!B452="","",PNL!B452)</f>
        <v/>
      </c>
      <c r="C452" t="str">
        <f>IF(PNL!C452="","",PNL!C452)</f>
        <v/>
      </c>
      <c r="D452" t="str">
        <f>IF(PNL!D452="","",PNL!D452)</f>
        <v/>
      </c>
      <c r="E452" t="str">
        <f t="shared" si="77"/>
        <v/>
      </c>
      <c r="F452" t="str">
        <f>IF($A452="","",IF($E452=1,SUMIFS(Compta!$F$1:$F$675,Compta!$A$1:$A$675,$A452,Compta!$B$1:$B$675,$B452,Compta!$C$1:$C$675,"2026"),0))</f>
        <v/>
      </c>
      <c r="G452" t="str">
        <f t="shared" si="78"/>
        <v/>
      </c>
      <c r="H452" t="str">
        <f t="shared" si="79"/>
        <v/>
      </c>
      <c r="I452" t="str">
        <f t="shared" si="80"/>
        <v/>
      </c>
      <c r="J452" t="str">
        <f t="shared" si="81"/>
        <v/>
      </c>
      <c r="K452" t="str">
        <f t="shared" si="82"/>
        <v/>
      </c>
      <c r="L452" t="str">
        <f t="shared" si="83"/>
        <v/>
      </c>
      <c r="M452" t="str">
        <f t="shared" si="84"/>
        <v/>
      </c>
      <c r="N452" t="str">
        <f t="shared" si="85"/>
        <v/>
      </c>
      <c r="O452" t="str">
        <f t="shared" si="86"/>
        <v/>
      </c>
      <c r="P452" t="str">
        <f>IF($A452="","",IF($E452=1,$F452*$O452,PNL!G452))</f>
        <v/>
      </c>
      <c r="T452" t="str">
        <f t="shared" si="87"/>
        <v/>
      </c>
    </row>
    <row r="453" spans="1:20" x14ac:dyDescent="0.45">
      <c r="A453" t="str">
        <f>IF(PNL!A453="","",PNL!A453)</f>
        <v/>
      </c>
      <c r="B453" t="str">
        <f>IF(PNL!B453="","",PNL!B453)</f>
        <v/>
      </c>
      <c r="C453" t="str">
        <f>IF(PNL!C453="","",PNL!C453)</f>
        <v/>
      </c>
      <c r="D453" t="str">
        <f>IF(PNL!D453="","",PNL!D453)</f>
        <v/>
      </c>
      <c r="E453" t="str">
        <f t="shared" si="77"/>
        <v/>
      </c>
      <c r="F453" t="str">
        <f>IF($A453="","",IF($E453=1,SUMIFS(Compta!$F$1:$F$675,Compta!$A$1:$A$675,$A453,Compta!$B$1:$B$675,$B453,Compta!$C$1:$C$675,"2026"),0))</f>
        <v/>
      </c>
      <c r="G453" t="str">
        <f t="shared" si="78"/>
        <v/>
      </c>
      <c r="H453" t="str">
        <f t="shared" si="79"/>
        <v/>
      </c>
      <c r="I453" t="str">
        <f t="shared" si="80"/>
        <v/>
      </c>
      <c r="J453" t="str">
        <f t="shared" si="81"/>
        <v/>
      </c>
      <c r="K453" t="str">
        <f t="shared" si="82"/>
        <v/>
      </c>
      <c r="L453" t="str">
        <f t="shared" si="83"/>
        <v/>
      </c>
      <c r="M453" t="str">
        <f t="shared" si="84"/>
        <v/>
      </c>
      <c r="N453" t="str">
        <f t="shared" si="85"/>
        <v/>
      </c>
      <c r="O453" t="str">
        <f t="shared" si="86"/>
        <v/>
      </c>
      <c r="P453" t="str">
        <f>IF($A453="","",IF($E453=1,$F453*$O453,PNL!G453))</f>
        <v/>
      </c>
      <c r="T453" t="str">
        <f t="shared" si="87"/>
        <v/>
      </c>
    </row>
    <row r="454" spans="1:20" x14ac:dyDescent="0.45">
      <c r="A454" t="str">
        <f>IF(PNL!A454="","",PNL!A454)</f>
        <v/>
      </c>
      <c r="B454" t="str">
        <f>IF(PNL!B454="","",PNL!B454)</f>
        <v/>
      </c>
      <c r="C454" t="str">
        <f>IF(PNL!C454="","",PNL!C454)</f>
        <v/>
      </c>
      <c r="D454" t="str">
        <f>IF(PNL!D454="","",PNL!D454)</f>
        <v/>
      </c>
      <c r="E454" t="str">
        <f t="shared" si="77"/>
        <v/>
      </c>
      <c r="F454" t="str">
        <f>IF($A454="","",IF($E454=1,SUMIFS(Compta!$F$1:$F$675,Compta!$A$1:$A$675,$A454,Compta!$B$1:$B$675,$B454,Compta!$C$1:$C$675,"2026"),0))</f>
        <v/>
      </c>
      <c r="G454" t="str">
        <f t="shared" si="78"/>
        <v/>
      </c>
      <c r="H454" t="str">
        <f t="shared" si="79"/>
        <v/>
      </c>
      <c r="I454" t="str">
        <f t="shared" si="80"/>
        <v/>
      </c>
      <c r="J454" t="str">
        <f t="shared" si="81"/>
        <v/>
      </c>
      <c r="K454" t="str">
        <f t="shared" si="82"/>
        <v/>
      </c>
      <c r="L454" t="str">
        <f t="shared" si="83"/>
        <v/>
      </c>
      <c r="M454" t="str">
        <f t="shared" si="84"/>
        <v/>
      </c>
      <c r="N454" t="str">
        <f t="shared" si="85"/>
        <v/>
      </c>
      <c r="O454" t="str">
        <f t="shared" si="86"/>
        <v/>
      </c>
      <c r="P454" t="str">
        <f>IF($A454="","",IF($E454=1,$F454*$O454,PNL!G454))</f>
        <v/>
      </c>
      <c r="T454" t="str">
        <f t="shared" si="87"/>
        <v/>
      </c>
    </row>
    <row r="455" spans="1:20" x14ac:dyDescent="0.45">
      <c r="A455" t="str">
        <f>IF(PNL!A455="","",PNL!A455)</f>
        <v/>
      </c>
      <c r="B455" t="str">
        <f>IF(PNL!B455="","",PNL!B455)</f>
        <v/>
      </c>
      <c r="C455" t="str">
        <f>IF(PNL!C455="","",PNL!C455)</f>
        <v/>
      </c>
      <c r="D455" t="str">
        <f>IF(PNL!D455="","",PNL!D455)</f>
        <v/>
      </c>
      <c r="E455" t="str">
        <f t="shared" si="77"/>
        <v/>
      </c>
      <c r="F455" t="str">
        <f>IF($A455="","",IF($E455=1,SUMIFS(Compta!$F$1:$F$675,Compta!$A$1:$A$675,$A455,Compta!$B$1:$B$675,$B455,Compta!$C$1:$C$675,"2026"),0))</f>
        <v/>
      </c>
      <c r="G455" t="str">
        <f t="shared" si="78"/>
        <v/>
      </c>
      <c r="H455" t="str">
        <f t="shared" si="79"/>
        <v/>
      </c>
      <c r="I455" t="str">
        <f t="shared" si="80"/>
        <v/>
      </c>
      <c r="J455" t="str">
        <f t="shared" si="81"/>
        <v/>
      </c>
      <c r="K455" t="str">
        <f t="shared" si="82"/>
        <v/>
      </c>
      <c r="L455" t="str">
        <f t="shared" si="83"/>
        <v/>
      </c>
      <c r="M455" t="str">
        <f t="shared" si="84"/>
        <v/>
      </c>
      <c r="N455" t="str">
        <f t="shared" si="85"/>
        <v/>
      </c>
      <c r="O455" t="str">
        <f t="shared" si="86"/>
        <v/>
      </c>
      <c r="P455" t="str">
        <f>IF($A455="","",IF($E455=1,$F455*$O455,PNL!G455))</f>
        <v/>
      </c>
      <c r="T455" t="str">
        <f t="shared" si="87"/>
        <v/>
      </c>
    </row>
    <row r="456" spans="1:20" x14ac:dyDescent="0.45">
      <c r="A456" t="str">
        <f>IF(PNL!A456="","",PNL!A456)</f>
        <v/>
      </c>
      <c r="B456" t="str">
        <f>IF(PNL!B456="","",PNL!B456)</f>
        <v/>
      </c>
      <c r="C456" t="str">
        <f>IF(PNL!C456="","",PNL!C456)</f>
        <v/>
      </c>
      <c r="D456" t="str">
        <f>IF(PNL!D456="","",PNL!D456)</f>
        <v/>
      </c>
      <c r="E456" t="str">
        <f t="shared" si="77"/>
        <v/>
      </c>
      <c r="F456" t="str">
        <f>IF($A456="","",IF($E456=1,SUMIFS(Compta!$F$1:$F$675,Compta!$A$1:$A$675,$A456,Compta!$B$1:$B$675,$B456,Compta!$C$1:$C$675,"2026"),0))</f>
        <v/>
      </c>
      <c r="G456" t="str">
        <f t="shared" si="78"/>
        <v/>
      </c>
      <c r="H456" t="str">
        <f t="shared" si="79"/>
        <v/>
      </c>
      <c r="I456" t="str">
        <f t="shared" si="80"/>
        <v/>
      </c>
      <c r="J456" t="str">
        <f t="shared" si="81"/>
        <v/>
      </c>
      <c r="K456" t="str">
        <f t="shared" si="82"/>
        <v/>
      </c>
      <c r="L456" t="str">
        <f t="shared" si="83"/>
        <v/>
      </c>
      <c r="M456" t="str">
        <f t="shared" si="84"/>
        <v/>
      </c>
      <c r="N456" t="str">
        <f t="shared" si="85"/>
        <v/>
      </c>
      <c r="O456" t="str">
        <f t="shared" si="86"/>
        <v/>
      </c>
      <c r="P456" t="str">
        <f>IF($A456="","",IF($E456=1,$F456*$O456,PNL!G456))</f>
        <v/>
      </c>
      <c r="T456" t="str">
        <f t="shared" si="87"/>
        <v/>
      </c>
    </row>
    <row r="457" spans="1:20" x14ac:dyDescent="0.45">
      <c r="A457" t="str">
        <f>IF(PNL!A457="","",PNL!A457)</f>
        <v/>
      </c>
      <c r="B457" t="str">
        <f>IF(PNL!B457="","",PNL!B457)</f>
        <v/>
      </c>
      <c r="C457" t="str">
        <f>IF(PNL!C457="","",PNL!C457)</f>
        <v/>
      </c>
      <c r="D457" t="str">
        <f>IF(PNL!D457="","",PNL!D457)</f>
        <v/>
      </c>
      <c r="E457" t="str">
        <f t="shared" si="77"/>
        <v/>
      </c>
      <c r="F457" t="str">
        <f>IF($A457="","",IF($E457=1,SUMIFS(Compta!$F$1:$F$675,Compta!$A$1:$A$675,$A457,Compta!$B$1:$B$675,$B457,Compta!$C$1:$C$675,"2026"),0))</f>
        <v/>
      </c>
      <c r="G457" t="str">
        <f t="shared" si="78"/>
        <v/>
      </c>
      <c r="H457" t="str">
        <f t="shared" si="79"/>
        <v/>
      </c>
      <c r="I457" t="str">
        <f t="shared" si="80"/>
        <v/>
      </c>
      <c r="J457" t="str">
        <f t="shared" si="81"/>
        <v/>
      </c>
      <c r="K457" t="str">
        <f t="shared" si="82"/>
        <v/>
      </c>
      <c r="L457" t="str">
        <f t="shared" si="83"/>
        <v/>
      </c>
      <c r="M457" t="str">
        <f t="shared" si="84"/>
        <v/>
      </c>
      <c r="N457" t="str">
        <f t="shared" si="85"/>
        <v/>
      </c>
      <c r="O457" t="str">
        <f t="shared" si="86"/>
        <v/>
      </c>
      <c r="P457" t="str">
        <f>IF($A457="","",IF($E457=1,$F457*$O457,PNL!G457))</f>
        <v/>
      </c>
      <c r="T457" t="str">
        <f t="shared" si="87"/>
        <v/>
      </c>
    </row>
    <row r="458" spans="1:20" x14ac:dyDescent="0.45">
      <c r="A458" t="str">
        <f>IF(PNL!A458="","",PNL!A458)</f>
        <v/>
      </c>
      <c r="B458" t="str">
        <f>IF(PNL!B458="","",PNL!B458)</f>
        <v/>
      </c>
      <c r="C458" t="str">
        <f>IF(PNL!C458="","",PNL!C458)</f>
        <v/>
      </c>
      <c r="D458" t="str">
        <f>IF(PNL!D458="","",PNL!D458)</f>
        <v/>
      </c>
      <c r="E458" t="str">
        <f t="shared" si="77"/>
        <v/>
      </c>
      <c r="F458" t="str">
        <f>IF($A458="","",IF($E458=1,SUMIFS(Compta!$F$1:$F$675,Compta!$A$1:$A$675,$A458,Compta!$B$1:$B$675,$B458,Compta!$C$1:$C$675,"2026"),0))</f>
        <v/>
      </c>
      <c r="G458" t="str">
        <f t="shared" si="78"/>
        <v/>
      </c>
      <c r="H458" t="str">
        <f t="shared" si="79"/>
        <v/>
      </c>
      <c r="I458" t="str">
        <f t="shared" si="80"/>
        <v/>
      </c>
      <c r="J458" t="str">
        <f t="shared" si="81"/>
        <v/>
      </c>
      <c r="K458" t="str">
        <f t="shared" si="82"/>
        <v/>
      </c>
      <c r="L458" t="str">
        <f t="shared" si="83"/>
        <v/>
      </c>
      <c r="M458" t="str">
        <f t="shared" si="84"/>
        <v/>
      </c>
      <c r="N458" t="str">
        <f t="shared" si="85"/>
        <v/>
      </c>
      <c r="O458" t="str">
        <f t="shared" si="86"/>
        <v/>
      </c>
      <c r="P458" t="str">
        <f>IF($A458="","",IF($E458=1,$F458*$O458,PNL!G458))</f>
        <v/>
      </c>
      <c r="T458" t="str">
        <f t="shared" si="87"/>
        <v/>
      </c>
    </row>
    <row r="459" spans="1:20" x14ac:dyDescent="0.45">
      <c r="A459" t="str">
        <f>IF(PNL!A459="","",PNL!A459)</f>
        <v/>
      </c>
      <c r="B459" t="str">
        <f>IF(PNL!B459="","",PNL!B459)</f>
        <v/>
      </c>
      <c r="C459" t="str">
        <f>IF(PNL!C459="","",PNL!C459)</f>
        <v/>
      </c>
      <c r="D459" t="str">
        <f>IF(PNL!D459="","",PNL!D459)</f>
        <v/>
      </c>
      <c r="E459" t="str">
        <f t="shared" si="77"/>
        <v/>
      </c>
      <c r="F459" t="str">
        <f>IF($A459="","",IF($E459=1,SUMIFS(Compta!$F$1:$F$675,Compta!$A$1:$A$675,$A459,Compta!$B$1:$B$675,$B459,Compta!$C$1:$C$675,"2026"),0))</f>
        <v/>
      </c>
      <c r="G459" t="str">
        <f t="shared" si="78"/>
        <v/>
      </c>
      <c r="H459" t="str">
        <f t="shared" si="79"/>
        <v/>
      </c>
      <c r="I459" t="str">
        <f t="shared" si="80"/>
        <v/>
      </c>
      <c r="J459" t="str">
        <f t="shared" si="81"/>
        <v/>
      </c>
      <c r="K459" t="str">
        <f t="shared" si="82"/>
        <v/>
      </c>
      <c r="L459" t="str">
        <f t="shared" si="83"/>
        <v/>
      </c>
      <c r="M459" t="str">
        <f t="shared" si="84"/>
        <v/>
      </c>
      <c r="N459" t="str">
        <f t="shared" si="85"/>
        <v/>
      </c>
      <c r="O459" t="str">
        <f t="shared" si="86"/>
        <v/>
      </c>
      <c r="P459" t="str">
        <f>IF($A459="","",IF($E459=1,$F459*$O459,PNL!G459))</f>
        <v/>
      </c>
      <c r="T459" t="str">
        <f t="shared" si="87"/>
        <v/>
      </c>
    </row>
    <row r="460" spans="1:20" x14ac:dyDescent="0.45">
      <c r="A460" t="str">
        <f>IF(PNL!A460="","",PNL!A460)</f>
        <v/>
      </c>
      <c r="B460" t="str">
        <f>IF(PNL!B460="","",PNL!B460)</f>
        <v/>
      </c>
      <c r="C460" t="str">
        <f>IF(PNL!C460="","",PNL!C460)</f>
        <v/>
      </c>
      <c r="D460" t="str">
        <f>IF(PNL!D460="","",PNL!D460)</f>
        <v/>
      </c>
      <c r="E460" t="str">
        <f t="shared" si="77"/>
        <v/>
      </c>
      <c r="F460" t="str">
        <f>IF($A460="","",IF($E460=1,SUMIFS(Compta!$F$1:$F$675,Compta!$A$1:$A$675,$A460,Compta!$B$1:$B$675,$B460,Compta!$C$1:$C$675,"2026"),0))</f>
        <v/>
      </c>
      <c r="G460" t="str">
        <f t="shared" si="78"/>
        <v/>
      </c>
      <c r="H460" t="str">
        <f t="shared" si="79"/>
        <v/>
      </c>
      <c r="I460" t="str">
        <f t="shared" si="80"/>
        <v/>
      </c>
      <c r="J460" t="str">
        <f t="shared" si="81"/>
        <v/>
      </c>
      <c r="K460" t="str">
        <f t="shared" si="82"/>
        <v/>
      </c>
      <c r="L460" t="str">
        <f t="shared" si="83"/>
        <v/>
      </c>
      <c r="M460" t="str">
        <f t="shared" si="84"/>
        <v/>
      </c>
      <c r="N460" t="str">
        <f t="shared" si="85"/>
        <v/>
      </c>
      <c r="O460" t="str">
        <f t="shared" si="86"/>
        <v/>
      </c>
      <c r="P460" t="str">
        <f>IF($A460="","",IF($E460=1,$F460*$O460,PNL!G460))</f>
        <v/>
      </c>
      <c r="T460" t="str">
        <f t="shared" si="87"/>
        <v/>
      </c>
    </row>
    <row r="461" spans="1:20" x14ac:dyDescent="0.45">
      <c r="A461" t="str">
        <f>IF(PNL!A461="","",PNL!A461)</f>
        <v/>
      </c>
      <c r="B461" t="str">
        <f>IF(PNL!B461="","",PNL!B461)</f>
        <v/>
      </c>
      <c r="C461" t="str">
        <f>IF(PNL!C461="","",PNL!C461)</f>
        <v/>
      </c>
      <c r="D461" t="str">
        <f>IF(PNL!D461="","",PNL!D461)</f>
        <v/>
      </c>
      <c r="E461" t="str">
        <f t="shared" si="77"/>
        <v/>
      </c>
      <c r="F461" t="str">
        <f>IF($A461="","",IF($E461=1,SUMIFS(Compta!$F$1:$F$675,Compta!$A$1:$A$675,$A461,Compta!$B$1:$B$675,$B461,Compta!$C$1:$C$675,"2026"),0))</f>
        <v/>
      </c>
      <c r="G461" t="str">
        <f t="shared" si="78"/>
        <v/>
      </c>
      <c r="H461" t="str">
        <f t="shared" si="79"/>
        <v/>
      </c>
      <c r="I461" t="str">
        <f t="shared" si="80"/>
        <v/>
      </c>
      <c r="J461" t="str">
        <f t="shared" si="81"/>
        <v/>
      </c>
      <c r="K461" t="str">
        <f t="shared" si="82"/>
        <v/>
      </c>
      <c r="L461" t="str">
        <f t="shared" si="83"/>
        <v/>
      </c>
      <c r="M461" t="str">
        <f t="shared" si="84"/>
        <v/>
      </c>
      <c r="N461" t="str">
        <f t="shared" si="85"/>
        <v/>
      </c>
      <c r="O461" t="str">
        <f t="shared" si="86"/>
        <v/>
      </c>
      <c r="P461" t="str">
        <f>IF($A461="","",IF($E461=1,$F461*$O461,PNL!G461))</f>
        <v/>
      </c>
      <c r="T461" t="str">
        <f t="shared" si="87"/>
        <v/>
      </c>
    </row>
    <row r="462" spans="1:20" x14ac:dyDescent="0.45">
      <c r="A462" t="str">
        <f>IF(PNL!A462="","",PNL!A462)</f>
        <v/>
      </c>
      <c r="B462" t="str">
        <f>IF(PNL!B462="","",PNL!B462)</f>
        <v/>
      </c>
      <c r="C462" t="str">
        <f>IF(PNL!C462="","",PNL!C462)</f>
        <v/>
      </c>
      <c r="D462" t="str">
        <f>IF(PNL!D462="","",PNL!D462)</f>
        <v/>
      </c>
      <c r="E462" t="str">
        <f t="shared" si="77"/>
        <v/>
      </c>
      <c r="F462" t="str">
        <f>IF($A462="","",IF($E462=1,SUMIFS(Compta!$F$1:$F$675,Compta!$A$1:$A$675,$A462,Compta!$B$1:$B$675,$B462,Compta!$C$1:$C$675,"2026"),0))</f>
        <v/>
      </c>
      <c r="G462" t="str">
        <f t="shared" si="78"/>
        <v/>
      </c>
      <c r="H462" t="str">
        <f t="shared" si="79"/>
        <v/>
      </c>
      <c r="I462" t="str">
        <f t="shared" si="80"/>
        <v/>
      </c>
      <c r="J462" t="str">
        <f t="shared" si="81"/>
        <v/>
      </c>
      <c r="K462" t="str">
        <f t="shared" si="82"/>
        <v/>
      </c>
      <c r="L462" t="str">
        <f t="shared" si="83"/>
        <v/>
      </c>
      <c r="M462" t="str">
        <f t="shared" si="84"/>
        <v/>
      </c>
      <c r="N462" t="str">
        <f t="shared" si="85"/>
        <v/>
      </c>
      <c r="O462" t="str">
        <f t="shared" si="86"/>
        <v/>
      </c>
      <c r="P462" t="str">
        <f>IF($A462="","",IF($E462=1,$F462*$O462,PNL!G462))</f>
        <v/>
      </c>
      <c r="T462" t="str">
        <f t="shared" si="87"/>
        <v/>
      </c>
    </row>
    <row r="463" spans="1:20" x14ac:dyDescent="0.45">
      <c r="A463" t="str">
        <f>IF(PNL!A463="","",PNL!A463)</f>
        <v/>
      </c>
      <c r="B463" t="str">
        <f>IF(PNL!B463="","",PNL!B463)</f>
        <v/>
      </c>
      <c r="C463" t="str">
        <f>IF(PNL!C463="","",PNL!C463)</f>
        <v/>
      </c>
      <c r="D463" t="str">
        <f>IF(PNL!D463="","",PNL!D463)</f>
        <v/>
      </c>
      <c r="E463" t="str">
        <f t="shared" si="77"/>
        <v/>
      </c>
      <c r="F463" t="str">
        <f>IF($A463="","",IF($E463=1,SUMIFS(Compta!$F$1:$F$675,Compta!$A$1:$A$675,$A463,Compta!$B$1:$B$675,$B463,Compta!$C$1:$C$675,"2026"),0))</f>
        <v/>
      </c>
      <c r="G463" t="str">
        <f t="shared" si="78"/>
        <v/>
      </c>
      <c r="H463" t="str">
        <f t="shared" si="79"/>
        <v/>
      </c>
      <c r="I463" t="str">
        <f t="shared" si="80"/>
        <v/>
      </c>
      <c r="J463" t="str">
        <f t="shared" si="81"/>
        <v/>
      </c>
      <c r="K463" t="str">
        <f t="shared" si="82"/>
        <v/>
      </c>
      <c r="L463" t="str">
        <f t="shared" si="83"/>
        <v/>
      </c>
      <c r="M463" t="str">
        <f t="shared" si="84"/>
        <v/>
      </c>
      <c r="N463" t="str">
        <f t="shared" si="85"/>
        <v/>
      </c>
      <c r="O463" t="str">
        <f t="shared" si="86"/>
        <v/>
      </c>
      <c r="P463" t="str">
        <f>IF($A463="","",IF($E463=1,$F463*$O463,PNL!G463))</f>
        <v/>
      </c>
      <c r="T463" t="str">
        <f t="shared" si="87"/>
        <v/>
      </c>
    </row>
    <row r="464" spans="1:20" x14ac:dyDescent="0.45">
      <c r="A464" t="str">
        <f>IF(PNL!A464="","",PNL!A464)</f>
        <v/>
      </c>
      <c r="B464" t="str">
        <f>IF(PNL!B464="","",PNL!B464)</f>
        <v/>
      </c>
      <c r="C464" t="str">
        <f>IF(PNL!C464="","",PNL!C464)</f>
        <v/>
      </c>
      <c r="D464" t="str">
        <f>IF(PNL!D464="","",PNL!D464)</f>
        <v/>
      </c>
      <c r="E464" t="str">
        <f t="shared" si="77"/>
        <v/>
      </c>
      <c r="F464" t="str">
        <f>IF($A464="","",IF($E464=1,SUMIFS(Compta!$F$1:$F$675,Compta!$A$1:$A$675,$A464,Compta!$B$1:$B$675,$B464,Compta!$C$1:$C$675,"2026"),0))</f>
        <v/>
      </c>
      <c r="G464" t="str">
        <f t="shared" si="78"/>
        <v/>
      </c>
      <c r="H464" t="str">
        <f t="shared" si="79"/>
        <v/>
      </c>
      <c r="I464" t="str">
        <f t="shared" si="80"/>
        <v/>
      </c>
      <c r="J464" t="str">
        <f t="shared" si="81"/>
        <v/>
      </c>
      <c r="K464" t="str">
        <f t="shared" si="82"/>
        <v/>
      </c>
      <c r="L464" t="str">
        <f t="shared" si="83"/>
        <v/>
      </c>
      <c r="M464" t="str">
        <f t="shared" si="84"/>
        <v/>
      </c>
      <c r="N464" t="str">
        <f t="shared" si="85"/>
        <v/>
      </c>
      <c r="O464" t="str">
        <f t="shared" si="86"/>
        <v/>
      </c>
      <c r="P464" t="str">
        <f>IF($A464="","",IF($E464=1,$F464*$O464,PNL!G464))</f>
        <v/>
      </c>
      <c r="T464" t="str">
        <f t="shared" si="87"/>
        <v/>
      </c>
    </row>
    <row r="465" spans="1:20" x14ac:dyDescent="0.45">
      <c r="A465" t="str">
        <f>IF(PNL!A465="","",PNL!A465)</f>
        <v/>
      </c>
      <c r="B465" t="str">
        <f>IF(PNL!B465="","",PNL!B465)</f>
        <v/>
      </c>
      <c r="C465" t="str">
        <f>IF(PNL!C465="","",PNL!C465)</f>
        <v/>
      </c>
      <c r="D465" t="str">
        <f>IF(PNL!D465="","",PNL!D465)</f>
        <v/>
      </c>
      <c r="E465" t="str">
        <f t="shared" si="77"/>
        <v/>
      </c>
      <c r="F465" t="str">
        <f>IF($A465="","",IF($E465=1,SUMIFS(Compta!$F$1:$F$675,Compta!$A$1:$A$675,$A465,Compta!$B$1:$B$675,$B465,Compta!$C$1:$C$675,"2026"),0))</f>
        <v/>
      </c>
      <c r="G465" t="str">
        <f t="shared" si="78"/>
        <v/>
      </c>
      <c r="H465" t="str">
        <f t="shared" si="79"/>
        <v/>
      </c>
      <c r="I465" t="str">
        <f t="shared" si="80"/>
        <v/>
      </c>
      <c r="J465" t="str">
        <f t="shared" si="81"/>
        <v/>
      </c>
      <c r="K465" t="str">
        <f t="shared" si="82"/>
        <v/>
      </c>
      <c r="L465" t="str">
        <f t="shared" si="83"/>
        <v/>
      </c>
      <c r="M465" t="str">
        <f t="shared" si="84"/>
        <v/>
      </c>
      <c r="N465" t="str">
        <f t="shared" si="85"/>
        <v/>
      </c>
      <c r="O465" t="str">
        <f t="shared" si="86"/>
        <v/>
      </c>
      <c r="P465" t="str">
        <f>IF($A465="","",IF($E465=1,$F465*$O465,PNL!G465))</f>
        <v/>
      </c>
      <c r="T465" t="str">
        <f t="shared" si="87"/>
        <v/>
      </c>
    </row>
    <row r="466" spans="1:20" x14ac:dyDescent="0.45">
      <c r="A466" t="str">
        <f>IF(PNL!A466="","",PNL!A466)</f>
        <v/>
      </c>
      <c r="B466" t="str">
        <f>IF(PNL!B466="","",PNL!B466)</f>
        <v/>
      </c>
      <c r="C466" t="str">
        <f>IF(PNL!C466="","",PNL!C466)</f>
        <v/>
      </c>
      <c r="D466" t="str">
        <f>IF(PNL!D466="","",PNL!D466)</f>
        <v/>
      </c>
      <c r="E466" t="str">
        <f t="shared" si="77"/>
        <v/>
      </c>
      <c r="F466" t="str">
        <f>IF($A466="","",IF($E466=1,SUMIFS(Compta!$F$1:$F$675,Compta!$A$1:$A$675,$A466,Compta!$B$1:$B$675,$B466,Compta!$C$1:$C$675,"2026"),0))</f>
        <v/>
      </c>
      <c r="G466" t="str">
        <f t="shared" si="78"/>
        <v/>
      </c>
      <c r="H466" t="str">
        <f t="shared" si="79"/>
        <v/>
      </c>
      <c r="I466" t="str">
        <f t="shared" si="80"/>
        <v/>
      </c>
      <c r="J466" t="str">
        <f t="shared" si="81"/>
        <v/>
      </c>
      <c r="K466" t="str">
        <f t="shared" si="82"/>
        <v/>
      </c>
      <c r="L466" t="str">
        <f t="shared" si="83"/>
        <v/>
      </c>
      <c r="M466" t="str">
        <f t="shared" si="84"/>
        <v/>
      </c>
      <c r="N466" t="str">
        <f t="shared" si="85"/>
        <v/>
      </c>
      <c r="O466" t="str">
        <f t="shared" si="86"/>
        <v/>
      </c>
      <c r="P466" t="str">
        <f>IF($A466="","",IF($E466=1,$F466*$O466,PNL!G466))</f>
        <v/>
      </c>
      <c r="T466" t="str">
        <f t="shared" si="87"/>
        <v/>
      </c>
    </row>
    <row r="467" spans="1:20" x14ac:dyDescent="0.45">
      <c r="A467" t="str">
        <f>IF(PNL!A467="","",PNL!A467)</f>
        <v/>
      </c>
      <c r="B467" t="str">
        <f>IF(PNL!B467="","",PNL!B467)</f>
        <v/>
      </c>
      <c r="C467" t="str">
        <f>IF(PNL!C467="","",PNL!C467)</f>
        <v/>
      </c>
      <c r="D467" t="str">
        <f>IF(PNL!D467="","",PNL!D467)</f>
        <v/>
      </c>
      <c r="E467" t="str">
        <f t="shared" si="77"/>
        <v/>
      </c>
      <c r="F467" t="str">
        <f>IF($A467="","",IF($E467=1,SUMIFS(Compta!$F$1:$F$675,Compta!$A$1:$A$675,$A467,Compta!$B$1:$B$675,$B467,Compta!$C$1:$C$675,"2026"),0))</f>
        <v/>
      </c>
      <c r="G467" t="str">
        <f t="shared" si="78"/>
        <v/>
      </c>
      <c r="H467" t="str">
        <f t="shared" si="79"/>
        <v/>
      </c>
      <c r="I467" t="str">
        <f t="shared" si="80"/>
        <v/>
      </c>
      <c r="J467" t="str">
        <f t="shared" si="81"/>
        <v/>
      </c>
      <c r="K467" t="str">
        <f t="shared" si="82"/>
        <v/>
      </c>
      <c r="L467" t="str">
        <f t="shared" si="83"/>
        <v/>
      </c>
      <c r="M467" t="str">
        <f t="shared" si="84"/>
        <v/>
      </c>
      <c r="N467" t="str">
        <f t="shared" si="85"/>
        <v/>
      </c>
      <c r="O467" t="str">
        <f t="shared" si="86"/>
        <v/>
      </c>
      <c r="P467" t="str">
        <f>IF($A467="","",IF($E467=1,$F467*$O467,PNL!G467))</f>
        <v/>
      </c>
      <c r="T467" t="str">
        <f t="shared" si="87"/>
        <v/>
      </c>
    </row>
    <row r="468" spans="1:20" x14ac:dyDescent="0.45">
      <c r="A468" t="str">
        <f>IF(PNL!A468="","",PNL!A468)</f>
        <v/>
      </c>
      <c r="B468" t="str">
        <f>IF(PNL!B468="","",PNL!B468)</f>
        <v/>
      </c>
      <c r="C468" t="str">
        <f>IF(PNL!C468="","",PNL!C468)</f>
        <v/>
      </c>
      <c r="D468" t="str">
        <f>IF(PNL!D468="","",PNL!D468)</f>
        <v/>
      </c>
      <c r="E468" t="str">
        <f t="shared" si="77"/>
        <v/>
      </c>
      <c r="F468" t="str">
        <f>IF($A468="","",IF($E468=1,SUMIFS(Compta!$F$1:$F$675,Compta!$A$1:$A$675,$A468,Compta!$B$1:$B$675,$B468,Compta!$C$1:$C$675,"2026"),0))</f>
        <v/>
      </c>
      <c r="G468" t="str">
        <f t="shared" si="78"/>
        <v/>
      </c>
      <c r="H468" t="str">
        <f t="shared" si="79"/>
        <v/>
      </c>
      <c r="I468" t="str">
        <f t="shared" si="80"/>
        <v/>
      </c>
      <c r="J468" t="str">
        <f t="shared" si="81"/>
        <v/>
      </c>
      <c r="K468" t="str">
        <f t="shared" si="82"/>
        <v/>
      </c>
      <c r="L468" t="str">
        <f t="shared" si="83"/>
        <v/>
      </c>
      <c r="M468" t="str">
        <f t="shared" si="84"/>
        <v/>
      </c>
      <c r="N468" t="str">
        <f t="shared" si="85"/>
        <v/>
      </c>
      <c r="O468" t="str">
        <f t="shared" si="86"/>
        <v/>
      </c>
      <c r="P468" t="str">
        <f>IF($A468="","",IF($E468=1,$F468*$O468,PNL!G468))</f>
        <v/>
      </c>
      <c r="T468" t="str">
        <f t="shared" si="87"/>
        <v/>
      </c>
    </row>
    <row r="469" spans="1:20" x14ac:dyDescent="0.45">
      <c r="A469" t="str">
        <f>IF(PNL!A469="","",PNL!A469)</f>
        <v/>
      </c>
      <c r="B469" t="str">
        <f>IF(PNL!B469="","",PNL!B469)</f>
        <v/>
      </c>
      <c r="C469" t="str">
        <f>IF(PNL!C469="","",PNL!C469)</f>
        <v/>
      </c>
      <c r="D469" t="str">
        <f>IF(PNL!D469="","",PNL!D469)</f>
        <v/>
      </c>
      <c r="E469" t="str">
        <f t="shared" si="77"/>
        <v/>
      </c>
      <c r="F469" t="str">
        <f>IF($A469="","",IF($E469=1,SUMIFS(Compta!$F$1:$F$675,Compta!$A$1:$A$675,$A469,Compta!$B$1:$B$675,$B469,Compta!$C$1:$C$675,"2026"),0))</f>
        <v/>
      </c>
      <c r="G469" t="str">
        <f t="shared" si="78"/>
        <v/>
      </c>
      <c r="H469" t="str">
        <f t="shared" si="79"/>
        <v/>
      </c>
      <c r="I469" t="str">
        <f t="shared" si="80"/>
        <v/>
      </c>
      <c r="J469" t="str">
        <f t="shared" si="81"/>
        <v/>
      </c>
      <c r="K469" t="str">
        <f t="shared" si="82"/>
        <v/>
      </c>
      <c r="L469" t="str">
        <f t="shared" si="83"/>
        <v/>
      </c>
      <c r="M469" t="str">
        <f t="shared" si="84"/>
        <v/>
      </c>
      <c r="N469" t="str">
        <f t="shared" si="85"/>
        <v/>
      </c>
      <c r="O469" t="str">
        <f t="shared" si="86"/>
        <v/>
      </c>
      <c r="P469" t="str">
        <f>IF($A469="","",IF($E469=1,$F469*$O469,PNL!G469))</f>
        <v/>
      </c>
      <c r="T469" t="str">
        <f t="shared" si="87"/>
        <v/>
      </c>
    </row>
    <row r="470" spans="1:20" x14ac:dyDescent="0.45">
      <c r="A470" t="str">
        <f>IF(PNL!A470="","",PNL!A470)</f>
        <v/>
      </c>
      <c r="B470" t="str">
        <f>IF(PNL!B470="","",PNL!B470)</f>
        <v/>
      </c>
      <c r="C470" t="str">
        <f>IF(PNL!C470="","",PNL!C470)</f>
        <v/>
      </c>
      <c r="D470" t="str">
        <f>IF(PNL!D470="","",PNL!D470)</f>
        <v/>
      </c>
      <c r="E470" t="str">
        <f t="shared" si="77"/>
        <v/>
      </c>
      <c r="F470" t="str">
        <f>IF($A470="","",IF($E470=1,SUMIFS(Compta!$F$1:$F$675,Compta!$A$1:$A$675,$A470,Compta!$B$1:$B$675,$B470,Compta!$C$1:$C$675,"2026"),0))</f>
        <v/>
      </c>
      <c r="G470" t="str">
        <f t="shared" si="78"/>
        <v/>
      </c>
      <c r="H470" t="str">
        <f t="shared" si="79"/>
        <v/>
      </c>
      <c r="I470" t="str">
        <f t="shared" si="80"/>
        <v/>
      </c>
      <c r="J470" t="str">
        <f t="shared" si="81"/>
        <v/>
      </c>
      <c r="K470" t="str">
        <f t="shared" si="82"/>
        <v/>
      </c>
      <c r="L470" t="str">
        <f t="shared" si="83"/>
        <v/>
      </c>
      <c r="M470" t="str">
        <f t="shared" si="84"/>
        <v/>
      </c>
      <c r="N470" t="str">
        <f t="shared" si="85"/>
        <v/>
      </c>
      <c r="O470" t="str">
        <f t="shared" si="86"/>
        <v/>
      </c>
      <c r="P470" t="str">
        <f>IF($A470="","",IF($E470=1,$F470*$O470,PNL!G470))</f>
        <v/>
      </c>
      <c r="T470" t="str">
        <f t="shared" si="87"/>
        <v/>
      </c>
    </row>
    <row r="471" spans="1:20" x14ac:dyDescent="0.45">
      <c r="A471" t="str">
        <f>IF(PNL!A471="","",PNL!A471)</f>
        <v/>
      </c>
      <c r="B471" t="str">
        <f>IF(PNL!B471="","",PNL!B471)</f>
        <v/>
      </c>
      <c r="C471" t="str">
        <f>IF(PNL!C471="","",PNL!C471)</f>
        <v/>
      </c>
      <c r="D471" t="str">
        <f>IF(PNL!D471="","",PNL!D471)</f>
        <v/>
      </c>
      <c r="E471" t="str">
        <f t="shared" si="77"/>
        <v/>
      </c>
      <c r="F471" t="str">
        <f>IF($A471="","",IF($E471=1,SUMIFS(Compta!$F$1:$F$675,Compta!$A$1:$A$675,$A471,Compta!$B$1:$B$675,$B471,Compta!$C$1:$C$675,"2026"),0))</f>
        <v/>
      </c>
      <c r="G471" t="str">
        <f t="shared" si="78"/>
        <v/>
      </c>
      <c r="H471" t="str">
        <f t="shared" si="79"/>
        <v/>
      </c>
      <c r="I471" t="str">
        <f t="shared" si="80"/>
        <v/>
      </c>
      <c r="J471" t="str">
        <f t="shared" si="81"/>
        <v/>
      </c>
      <c r="K471" t="str">
        <f t="shared" si="82"/>
        <v/>
      </c>
      <c r="L471" t="str">
        <f t="shared" si="83"/>
        <v/>
      </c>
      <c r="M471" t="str">
        <f t="shared" si="84"/>
        <v/>
      </c>
      <c r="N471" t="str">
        <f t="shared" si="85"/>
        <v/>
      </c>
      <c r="O471" t="str">
        <f t="shared" si="86"/>
        <v/>
      </c>
      <c r="P471" t="str">
        <f>IF($A471="","",IF($E471=1,$F471*$O471,PNL!G471))</f>
        <v/>
      </c>
      <c r="T471" t="str">
        <f t="shared" si="87"/>
        <v/>
      </c>
    </row>
    <row r="472" spans="1:20" x14ac:dyDescent="0.45">
      <c r="A472" t="str">
        <f>IF(PNL!A472="","",PNL!A472)</f>
        <v/>
      </c>
      <c r="B472" t="str">
        <f>IF(PNL!B472="","",PNL!B472)</f>
        <v/>
      </c>
      <c r="C472" t="str">
        <f>IF(PNL!C472="","",PNL!C472)</f>
        <v/>
      </c>
      <c r="D472" t="str">
        <f>IF(PNL!D472="","",PNL!D472)</f>
        <v/>
      </c>
      <c r="E472" t="str">
        <f t="shared" si="77"/>
        <v/>
      </c>
      <c r="F472" t="str">
        <f>IF($A472="","",IF($E472=1,SUMIFS(Compta!$F$1:$F$675,Compta!$A$1:$A$675,$A472,Compta!$B$1:$B$675,$B472,Compta!$C$1:$C$675,"2026"),0))</f>
        <v/>
      </c>
      <c r="G472" t="str">
        <f t="shared" si="78"/>
        <v/>
      </c>
      <c r="H472" t="str">
        <f t="shared" si="79"/>
        <v/>
      </c>
      <c r="I472" t="str">
        <f t="shared" si="80"/>
        <v/>
      </c>
      <c r="J472" t="str">
        <f t="shared" si="81"/>
        <v/>
      </c>
      <c r="K472" t="str">
        <f t="shared" si="82"/>
        <v/>
      </c>
      <c r="L472" t="str">
        <f t="shared" si="83"/>
        <v/>
      </c>
      <c r="M472" t="str">
        <f t="shared" si="84"/>
        <v/>
      </c>
      <c r="N472" t="str">
        <f t="shared" si="85"/>
        <v/>
      </c>
      <c r="O472" t="str">
        <f t="shared" si="86"/>
        <v/>
      </c>
      <c r="P472" t="str">
        <f>IF($A472="","",IF($E472=1,$F472*$O472,PNL!G472))</f>
        <v/>
      </c>
      <c r="T472" t="str">
        <f t="shared" si="87"/>
        <v/>
      </c>
    </row>
    <row r="473" spans="1:20" x14ac:dyDescent="0.45">
      <c r="A473" t="str">
        <f>IF(PNL!A473="","",PNL!A473)</f>
        <v/>
      </c>
      <c r="B473" t="str">
        <f>IF(PNL!B473="","",PNL!B473)</f>
        <v/>
      </c>
      <c r="C473" t="str">
        <f>IF(PNL!C473="","",PNL!C473)</f>
        <v/>
      </c>
      <c r="D473" t="str">
        <f>IF(PNL!D473="","",PNL!D473)</f>
        <v/>
      </c>
      <c r="E473" t="str">
        <f t="shared" si="77"/>
        <v/>
      </c>
      <c r="F473" t="str">
        <f>IF($A473="","",IF($E473=1,SUMIFS(Compta!$F$1:$F$675,Compta!$A$1:$A$675,$A473,Compta!$B$1:$B$675,$B473,Compta!$C$1:$C$675,"2026"),0))</f>
        <v/>
      </c>
      <c r="G473" t="str">
        <f t="shared" si="78"/>
        <v/>
      </c>
      <c r="H473" t="str">
        <f t="shared" si="79"/>
        <v/>
      </c>
      <c r="I473" t="str">
        <f t="shared" si="80"/>
        <v/>
      </c>
      <c r="J473" t="str">
        <f t="shared" si="81"/>
        <v/>
      </c>
      <c r="K473" t="str">
        <f t="shared" si="82"/>
        <v/>
      </c>
      <c r="L473" t="str">
        <f t="shared" si="83"/>
        <v/>
      </c>
      <c r="M473" t="str">
        <f t="shared" si="84"/>
        <v/>
      </c>
      <c r="N473" t="str">
        <f t="shared" si="85"/>
        <v/>
      </c>
      <c r="O473" t="str">
        <f t="shared" si="86"/>
        <v/>
      </c>
      <c r="P473" t="str">
        <f>IF($A473="","",IF($E473=1,$F473*$O473,PNL!G473))</f>
        <v/>
      </c>
      <c r="T473" t="str">
        <f t="shared" si="87"/>
        <v/>
      </c>
    </row>
    <row r="474" spans="1:20" x14ac:dyDescent="0.45">
      <c r="A474" t="str">
        <f>IF(PNL!A474="","",PNL!A474)</f>
        <v/>
      </c>
      <c r="B474" t="str">
        <f>IF(PNL!B474="","",PNL!B474)</f>
        <v/>
      </c>
      <c r="C474" t="str">
        <f>IF(PNL!C474="","",PNL!C474)</f>
        <v/>
      </c>
      <c r="D474" t="str">
        <f>IF(PNL!D474="","",PNL!D474)</f>
        <v/>
      </c>
      <c r="E474" t="str">
        <f t="shared" si="77"/>
        <v/>
      </c>
      <c r="F474" t="str">
        <f>IF($A474="","",IF($E474=1,SUMIFS(Compta!$F$1:$F$675,Compta!$A$1:$A$675,$A474,Compta!$B$1:$B$675,$B474,Compta!$C$1:$C$675,"2026"),0))</f>
        <v/>
      </c>
      <c r="G474" t="str">
        <f t="shared" si="78"/>
        <v/>
      </c>
      <c r="H474" t="str">
        <f t="shared" si="79"/>
        <v/>
      </c>
      <c r="I474" t="str">
        <f t="shared" si="80"/>
        <v/>
      </c>
      <c r="J474" t="str">
        <f t="shared" si="81"/>
        <v/>
      </c>
      <c r="K474" t="str">
        <f t="shared" si="82"/>
        <v/>
      </c>
      <c r="L474" t="str">
        <f t="shared" si="83"/>
        <v/>
      </c>
      <c r="M474" t="str">
        <f t="shared" si="84"/>
        <v/>
      </c>
      <c r="N474" t="str">
        <f t="shared" si="85"/>
        <v/>
      </c>
      <c r="O474" t="str">
        <f t="shared" si="86"/>
        <v/>
      </c>
      <c r="P474" t="str">
        <f>IF($A474="","",IF($E474=1,$F474*$O474,PNL!G474))</f>
        <v/>
      </c>
      <c r="T474" t="str">
        <f t="shared" si="87"/>
        <v/>
      </c>
    </row>
    <row r="475" spans="1:20" x14ac:dyDescent="0.45">
      <c r="A475" t="str">
        <f>IF(PNL!A475="","",PNL!A475)</f>
        <v/>
      </c>
      <c r="B475" t="str">
        <f>IF(PNL!B475="","",PNL!B475)</f>
        <v/>
      </c>
      <c r="C475" t="str">
        <f>IF(PNL!C475="","",PNL!C475)</f>
        <v/>
      </c>
      <c r="D475" t="str">
        <f>IF(PNL!D475="","",PNL!D475)</f>
        <v/>
      </c>
      <c r="E475" t="str">
        <f t="shared" si="77"/>
        <v/>
      </c>
      <c r="F475" t="str">
        <f>IF($A475="","",IF($E475=1,SUMIFS(Compta!$F$1:$F$675,Compta!$A$1:$A$675,$A475,Compta!$B$1:$B$675,$B475,Compta!$C$1:$C$675,"2026"),0))</f>
        <v/>
      </c>
      <c r="G475" t="str">
        <f t="shared" si="78"/>
        <v/>
      </c>
      <c r="H475" t="str">
        <f t="shared" si="79"/>
        <v/>
      </c>
      <c r="I475" t="str">
        <f t="shared" si="80"/>
        <v/>
      </c>
      <c r="J475" t="str">
        <f t="shared" si="81"/>
        <v/>
      </c>
      <c r="K475" t="str">
        <f t="shared" si="82"/>
        <v/>
      </c>
      <c r="L475" t="str">
        <f t="shared" si="83"/>
        <v/>
      </c>
      <c r="M475" t="str">
        <f t="shared" si="84"/>
        <v/>
      </c>
      <c r="N475" t="str">
        <f t="shared" si="85"/>
        <v/>
      </c>
      <c r="O475" t="str">
        <f t="shared" si="86"/>
        <v/>
      </c>
      <c r="P475" t="str">
        <f>IF($A475="","",IF($E475=1,$F475*$O475,PNL!G475))</f>
        <v/>
      </c>
      <c r="T475" t="str">
        <f t="shared" si="87"/>
        <v/>
      </c>
    </row>
    <row r="476" spans="1:20" x14ac:dyDescent="0.45">
      <c r="A476" t="str">
        <f>IF(PNL!A476="","",PNL!A476)</f>
        <v/>
      </c>
      <c r="B476" t="str">
        <f>IF(PNL!B476="","",PNL!B476)</f>
        <v/>
      </c>
      <c r="C476" t="str">
        <f>IF(PNL!C476="","",PNL!C476)</f>
        <v/>
      </c>
      <c r="D476" t="str">
        <f>IF(PNL!D476="","",PNL!D476)</f>
        <v/>
      </c>
      <c r="E476" t="str">
        <f t="shared" si="77"/>
        <v/>
      </c>
      <c r="F476" t="str">
        <f>IF($A476="","",IF($E476=1,SUMIFS(Compta!$F$1:$F$675,Compta!$A$1:$A$675,$A476,Compta!$B$1:$B$675,$B476,Compta!$C$1:$C$675,"2026"),0))</f>
        <v/>
      </c>
      <c r="G476" t="str">
        <f t="shared" si="78"/>
        <v/>
      </c>
      <c r="H476" t="str">
        <f t="shared" si="79"/>
        <v/>
      </c>
      <c r="I476" t="str">
        <f t="shared" si="80"/>
        <v/>
      </c>
      <c r="J476" t="str">
        <f t="shared" si="81"/>
        <v/>
      </c>
      <c r="K476" t="str">
        <f t="shared" si="82"/>
        <v/>
      </c>
      <c r="L476" t="str">
        <f t="shared" si="83"/>
        <v/>
      </c>
      <c r="M476" t="str">
        <f t="shared" si="84"/>
        <v/>
      </c>
      <c r="N476" t="str">
        <f t="shared" si="85"/>
        <v/>
      </c>
      <c r="O476" t="str">
        <f t="shared" si="86"/>
        <v/>
      </c>
      <c r="P476" t="str">
        <f>IF($A476="","",IF($E476=1,$F476*$O476,PNL!G476))</f>
        <v/>
      </c>
      <c r="T476" t="str">
        <f t="shared" si="87"/>
        <v/>
      </c>
    </row>
    <row r="477" spans="1:20" x14ac:dyDescent="0.45">
      <c r="A477" t="str">
        <f>IF(PNL!A477="","",PNL!A477)</f>
        <v/>
      </c>
      <c r="B477" t="str">
        <f>IF(PNL!B477="","",PNL!B477)</f>
        <v/>
      </c>
      <c r="C477" t="str">
        <f>IF(PNL!C477="","",PNL!C477)</f>
        <v/>
      </c>
      <c r="D477" t="str">
        <f>IF(PNL!D477="","",PNL!D477)</f>
        <v/>
      </c>
      <c r="E477" t="str">
        <f t="shared" si="77"/>
        <v/>
      </c>
      <c r="F477" t="str">
        <f>IF($A477="","",IF($E477=1,SUMIFS(Compta!$F$1:$F$675,Compta!$A$1:$A$675,$A477,Compta!$B$1:$B$675,$B477,Compta!$C$1:$C$675,"2026"),0))</f>
        <v/>
      </c>
      <c r="G477" t="str">
        <f t="shared" si="78"/>
        <v/>
      </c>
      <c r="H477" t="str">
        <f t="shared" si="79"/>
        <v/>
      </c>
      <c r="I477" t="str">
        <f t="shared" si="80"/>
        <v/>
      </c>
      <c r="J477" t="str">
        <f t="shared" si="81"/>
        <v/>
      </c>
      <c r="K477" t="str">
        <f t="shared" si="82"/>
        <v/>
      </c>
      <c r="L477" t="str">
        <f t="shared" si="83"/>
        <v/>
      </c>
      <c r="M477" t="str">
        <f t="shared" si="84"/>
        <v/>
      </c>
      <c r="N477" t="str">
        <f t="shared" si="85"/>
        <v/>
      </c>
      <c r="O477" t="str">
        <f t="shared" si="86"/>
        <v/>
      </c>
      <c r="P477" t="str">
        <f>IF($A477="","",IF($E477=1,$F477*$O477,PNL!G477))</f>
        <v/>
      </c>
      <c r="T477" t="str">
        <f t="shared" si="87"/>
        <v/>
      </c>
    </row>
    <row r="478" spans="1:20" x14ac:dyDescent="0.45">
      <c r="A478" t="str">
        <f>IF(PNL!A478="","",PNL!A478)</f>
        <v/>
      </c>
      <c r="B478" t="str">
        <f>IF(PNL!B478="","",PNL!B478)</f>
        <v/>
      </c>
      <c r="C478" t="str">
        <f>IF(PNL!C478="","",PNL!C478)</f>
        <v/>
      </c>
      <c r="D478" t="str">
        <f>IF(PNL!D478="","",PNL!D478)</f>
        <v/>
      </c>
      <c r="E478" t="str">
        <f t="shared" si="77"/>
        <v/>
      </c>
      <c r="F478" t="str">
        <f>IF($A478="","",IF($E478=1,SUMIFS(Compta!$F$1:$F$675,Compta!$A$1:$A$675,$A478,Compta!$B$1:$B$675,$B478,Compta!$C$1:$C$675,"2026"),0))</f>
        <v/>
      </c>
      <c r="G478" t="str">
        <f t="shared" si="78"/>
        <v/>
      </c>
      <c r="H478" t="str">
        <f t="shared" si="79"/>
        <v/>
      </c>
      <c r="I478" t="str">
        <f t="shared" si="80"/>
        <v/>
      </c>
      <c r="J478" t="str">
        <f t="shared" si="81"/>
        <v/>
      </c>
      <c r="K478" t="str">
        <f t="shared" si="82"/>
        <v/>
      </c>
      <c r="L478" t="str">
        <f t="shared" si="83"/>
        <v/>
      </c>
      <c r="M478" t="str">
        <f t="shared" si="84"/>
        <v/>
      </c>
      <c r="N478" t="str">
        <f t="shared" si="85"/>
        <v/>
      </c>
      <c r="O478" t="str">
        <f t="shared" si="86"/>
        <v/>
      </c>
      <c r="P478" t="str">
        <f>IF($A478="","",IF($E478=1,$F478*$O478,PNL!G478))</f>
        <v/>
      </c>
      <c r="T478" t="str">
        <f t="shared" si="87"/>
        <v/>
      </c>
    </row>
    <row r="479" spans="1:20" x14ac:dyDescent="0.45">
      <c r="A479" t="str">
        <f>IF(PNL!A479="","",PNL!A479)</f>
        <v/>
      </c>
      <c r="B479" t="str">
        <f>IF(PNL!B479="","",PNL!B479)</f>
        <v/>
      </c>
      <c r="C479" t="str">
        <f>IF(PNL!C479="","",PNL!C479)</f>
        <v/>
      </c>
      <c r="D479" t="str">
        <f>IF(PNL!D479="","",PNL!D479)</f>
        <v/>
      </c>
      <c r="E479" t="str">
        <f t="shared" si="77"/>
        <v/>
      </c>
      <c r="F479" t="str">
        <f>IF($A479="","",IF($E479=1,SUMIFS(Compta!$F$1:$F$675,Compta!$A$1:$A$675,$A479,Compta!$B$1:$B$675,$B479,Compta!$C$1:$C$675,"2026"),0))</f>
        <v/>
      </c>
      <c r="G479" t="str">
        <f t="shared" si="78"/>
        <v/>
      </c>
      <c r="H479" t="str">
        <f t="shared" si="79"/>
        <v/>
      </c>
      <c r="I479" t="str">
        <f t="shared" si="80"/>
        <v/>
      </c>
      <c r="J479" t="str">
        <f t="shared" si="81"/>
        <v/>
      </c>
      <c r="K479" t="str">
        <f t="shared" si="82"/>
        <v/>
      </c>
      <c r="L479" t="str">
        <f t="shared" si="83"/>
        <v/>
      </c>
      <c r="M479" t="str">
        <f t="shared" si="84"/>
        <v/>
      </c>
      <c r="N479" t="str">
        <f t="shared" si="85"/>
        <v/>
      </c>
      <c r="O479" t="str">
        <f t="shared" si="86"/>
        <v/>
      </c>
      <c r="P479" t="str">
        <f>IF($A479="","",IF($E479=1,$F479*$O479,PNL!G479))</f>
        <v/>
      </c>
      <c r="T479" t="str">
        <f t="shared" si="87"/>
        <v/>
      </c>
    </row>
    <row r="480" spans="1:20" x14ac:dyDescent="0.45">
      <c r="A480" t="str">
        <f>IF(PNL!A480="","",PNL!A480)</f>
        <v/>
      </c>
      <c r="B480" t="str">
        <f>IF(PNL!B480="","",PNL!B480)</f>
        <v/>
      </c>
      <c r="C480" t="str">
        <f>IF(PNL!C480="","",PNL!C480)</f>
        <v/>
      </c>
      <c r="D480" t="str">
        <f>IF(PNL!D480="","",PNL!D480)</f>
        <v/>
      </c>
      <c r="E480" t="str">
        <f t="shared" si="77"/>
        <v/>
      </c>
      <c r="F480" t="str">
        <f>IF($A480="","",IF($E480=1,SUMIFS(Compta!$F$1:$F$675,Compta!$A$1:$A$675,$A480,Compta!$B$1:$B$675,$B480,Compta!$C$1:$C$675,"2026"),0))</f>
        <v/>
      </c>
      <c r="G480" t="str">
        <f t="shared" si="78"/>
        <v/>
      </c>
      <c r="H480" t="str">
        <f t="shared" si="79"/>
        <v/>
      </c>
      <c r="I480" t="str">
        <f t="shared" si="80"/>
        <v/>
      </c>
      <c r="J480" t="str">
        <f t="shared" si="81"/>
        <v/>
      </c>
      <c r="K480" t="str">
        <f t="shared" si="82"/>
        <v/>
      </c>
      <c r="L480" t="str">
        <f t="shared" si="83"/>
        <v/>
      </c>
      <c r="M480" t="str">
        <f t="shared" si="84"/>
        <v/>
      </c>
      <c r="N480" t="str">
        <f t="shared" si="85"/>
        <v/>
      </c>
      <c r="O480" t="str">
        <f t="shared" si="86"/>
        <v/>
      </c>
      <c r="P480" t="str">
        <f>IF($A480="","",IF($E480=1,$F480*$O480,PNL!G480))</f>
        <v/>
      </c>
      <c r="T480" t="str">
        <f t="shared" si="87"/>
        <v/>
      </c>
    </row>
    <row r="481" spans="1:20" x14ac:dyDescent="0.45">
      <c r="A481" t="str">
        <f>IF(PNL!A481="","",PNL!A481)</f>
        <v/>
      </c>
      <c r="B481" t="str">
        <f>IF(PNL!B481="","",PNL!B481)</f>
        <v/>
      </c>
      <c r="C481" t="str">
        <f>IF(PNL!C481="","",PNL!C481)</f>
        <v/>
      </c>
      <c r="D481" t="str">
        <f>IF(PNL!D481="","",PNL!D481)</f>
        <v/>
      </c>
      <c r="E481" t="str">
        <f t="shared" si="77"/>
        <v/>
      </c>
      <c r="F481" t="str">
        <f>IF($A481="","",IF($E481=1,SUMIFS(Compta!$F$1:$F$675,Compta!$A$1:$A$675,$A481,Compta!$B$1:$B$675,$B481,Compta!$C$1:$C$675,"2026"),0))</f>
        <v/>
      </c>
      <c r="G481" t="str">
        <f t="shared" si="78"/>
        <v/>
      </c>
      <c r="H481" t="str">
        <f t="shared" si="79"/>
        <v/>
      </c>
      <c r="I481" t="str">
        <f t="shared" si="80"/>
        <v/>
      </c>
      <c r="J481" t="str">
        <f t="shared" si="81"/>
        <v/>
      </c>
      <c r="K481" t="str">
        <f t="shared" si="82"/>
        <v/>
      </c>
      <c r="L481" t="str">
        <f t="shared" si="83"/>
        <v/>
      </c>
      <c r="M481" t="str">
        <f t="shared" si="84"/>
        <v/>
      </c>
      <c r="N481" t="str">
        <f t="shared" si="85"/>
        <v/>
      </c>
      <c r="O481" t="str">
        <f t="shared" si="86"/>
        <v/>
      </c>
      <c r="P481" t="str">
        <f>IF($A481="","",IF($E481=1,$F481*$O481,PNL!G481))</f>
        <v/>
      </c>
      <c r="T481" t="str">
        <f t="shared" si="87"/>
        <v/>
      </c>
    </row>
    <row r="482" spans="1:20" x14ac:dyDescent="0.45">
      <c r="A482" t="str">
        <f>IF(PNL!A482="","",PNL!A482)</f>
        <v/>
      </c>
      <c r="B482" t="str">
        <f>IF(PNL!B482="","",PNL!B482)</f>
        <v/>
      </c>
      <c r="C482" t="str">
        <f>IF(PNL!C482="","",PNL!C482)</f>
        <v/>
      </c>
      <c r="D482" t="str">
        <f>IF(PNL!D482="","",PNL!D482)</f>
        <v/>
      </c>
      <c r="E482" t="str">
        <f t="shared" si="77"/>
        <v/>
      </c>
      <c r="F482" t="str">
        <f>IF($A482="","",IF($E482=1,SUMIFS(Compta!$F$1:$F$675,Compta!$A$1:$A$675,$A482,Compta!$B$1:$B$675,$B482,Compta!$C$1:$C$675,"2026"),0))</f>
        <v/>
      </c>
      <c r="G482" t="str">
        <f t="shared" si="78"/>
        <v/>
      </c>
      <c r="H482" t="str">
        <f t="shared" si="79"/>
        <v/>
      </c>
      <c r="I482" t="str">
        <f t="shared" si="80"/>
        <v/>
      </c>
      <c r="J482" t="str">
        <f t="shared" si="81"/>
        <v/>
      </c>
      <c r="K482" t="str">
        <f t="shared" si="82"/>
        <v/>
      </c>
      <c r="L482" t="str">
        <f t="shared" si="83"/>
        <v/>
      </c>
      <c r="M482" t="str">
        <f t="shared" si="84"/>
        <v/>
      </c>
      <c r="N482" t="str">
        <f t="shared" si="85"/>
        <v/>
      </c>
      <c r="O482" t="str">
        <f t="shared" si="86"/>
        <v/>
      </c>
      <c r="P482" t="str">
        <f>IF($A482="","",IF($E482=1,$F482*$O482,PNL!G482))</f>
        <v/>
      </c>
      <c r="T482" t="str">
        <f t="shared" si="87"/>
        <v/>
      </c>
    </row>
    <row r="483" spans="1:20" x14ac:dyDescent="0.45">
      <c r="A483" t="str">
        <f>IF(PNL!A483="","",PNL!A483)</f>
        <v/>
      </c>
      <c r="B483" t="str">
        <f>IF(PNL!B483="","",PNL!B483)</f>
        <v/>
      </c>
      <c r="C483" t="str">
        <f>IF(PNL!C483="","",PNL!C483)</f>
        <v/>
      </c>
      <c r="D483" t="str">
        <f>IF(PNL!D483="","",PNL!D483)</f>
        <v/>
      </c>
      <c r="E483" t="str">
        <f t="shared" si="77"/>
        <v/>
      </c>
      <c r="F483" t="str">
        <f>IF($A483="","",IF($E483=1,SUMIFS(Compta!$F$1:$F$675,Compta!$A$1:$A$675,$A483,Compta!$B$1:$B$675,$B483,Compta!$C$1:$C$675,"2026"),0))</f>
        <v/>
      </c>
      <c r="G483" t="str">
        <f t="shared" si="78"/>
        <v/>
      </c>
      <c r="H483" t="str">
        <f t="shared" si="79"/>
        <v/>
      </c>
      <c r="I483" t="str">
        <f t="shared" si="80"/>
        <v/>
      </c>
      <c r="J483" t="str">
        <f t="shared" si="81"/>
        <v/>
      </c>
      <c r="K483" t="str">
        <f t="shared" si="82"/>
        <v/>
      </c>
      <c r="L483" t="str">
        <f t="shared" si="83"/>
        <v/>
      </c>
      <c r="M483" t="str">
        <f t="shared" si="84"/>
        <v/>
      </c>
      <c r="N483" t="str">
        <f t="shared" si="85"/>
        <v/>
      </c>
      <c r="O483" t="str">
        <f t="shared" si="86"/>
        <v/>
      </c>
      <c r="P483" t="str">
        <f>IF($A483="","",IF($E483=1,$F483*$O483,PNL!G483))</f>
        <v/>
      </c>
      <c r="T483" t="str">
        <f t="shared" si="87"/>
        <v/>
      </c>
    </row>
    <row r="484" spans="1:20" x14ac:dyDescent="0.45">
      <c r="A484" t="str">
        <f>IF(PNL!A484="","",PNL!A484)</f>
        <v/>
      </c>
      <c r="B484" t="str">
        <f>IF(PNL!B484="","",PNL!B484)</f>
        <v/>
      </c>
      <c r="C484" t="str">
        <f>IF(PNL!C484="","",PNL!C484)</f>
        <v/>
      </c>
      <c r="D484" t="str">
        <f>IF(PNL!D484="","",PNL!D484)</f>
        <v/>
      </c>
      <c r="E484" t="str">
        <f t="shared" si="77"/>
        <v/>
      </c>
      <c r="F484" t="str">
        <f>IF($A484="","",IF($E484=1,SUMIFS(Compta!$F$1:$F$675,Compta!$A$1:$A$675,$A484,Compta!$B$1:$B$675,$B484,Compta!$C$1:$C$675,"2026"),0))</f>
        <v/>
      </c>
      <c r="G484" t="str">
        <f t="shared" si="78"/>
        <v/>
      </c>
      <c r="H484" t="str">
        <f t="shared" si="79"/>
        <v/>
      </c>
      <c r="I484" t="str">
        <f t="shared" si="80"/>
        <v/>
      </c>
      <c r="J484" t="str">
        <f t="shared" si="81"/>
        <v/>
      </c>
      <c r="K484" t="str">
        <f t="shared" si="82"/>
        <v/>
      </c>
      <c r="L484" t="str">
        <f t="shared" si="83"/>
        <v/>
      </c>
      <c r="M484" t="str">
        <f t="shared" si="84"/>
        <v/>
      </c>
      <c r="N484" t="str">
        <f t="shared" si="85"/>
        <v/>
      </c>
      <c r="O484" t="str">
        <f t="shared" si="86"/>
        <v/>
      </c>
      <c r="P484" t="str">
        <f>IF($A484="","",IF($E484=1,$F484*$O484,PNL!G484))</f>
        <v/>
      </c>
      <c r="T484" t="str">
        <f t="shared" si="87"/>
        <v/>
      </c>
    </row>
    <row r="485" spans="1:20" x14ac:dyDescent="0.45">
      <c r="A485" t="str">
        <f>IF(PNL!A485="","",PNL!A485)</f>
        <v/>
      </c>
      <c r="B485" t="str">
        <f>IF(PNL!B485="","",PNL!B485)</f>
        <v/>
      </c>
      <c r="C485" t="str">
        <f>IF(PNL!C485="","",PNL!C485)</f>
        <v/>
      </c>
      <c r="D485" t="str">
        <f>IF(PNL!D485="","",PNL!D485)</f>
        <v/>
      </c>
      <c r="E485" t="str">
        <f t="shared" si="77"/>
        <v/>
      </c>
      <c r="F485" t="str">
        <f>IF($A485="","",IF($E485=1,SUMIFS(Compta!$F$1:$F$675,Compta!$A$1:$A$675,$A485,Compta!$B$1:$B$675,$B485,Compta!$C$1:$C$675,"2026"),0))</f>
        <v/>
      </c>
      <c r="G485" t="str">
        <f t="shared" si="78"/>
        <v/>
      </c>
      <c r="H485" t="str">
        <f t="shared" si="79"/>
        <v/>
      </c>
      <c r="I485" t="str">
        <f t="shared" si="80"/>
        <v/>
      </c>
      <c r="J485" t="str">
        <f t="shared" si="81"/>
        <v/>
      </c>
      <c r="K485" t="str">
        <f t="shared" si="82"/>
        <v/>
      </c>
      <c r="L485" t="str">
        <f t="shared" si="83"/>
        <v/>
      </c>
      <c r="M485" t="str">
        <f t="shared" si="84"/>
        <v/>
      </c>
      <c r="N485" t="str">
        <f t="shared" si="85"/>
        <v/>
      </c>
      <c r="O485" t="str">
        <f t="shared" si="86"/>
        <v/>
      </c>
      <c r="P485" t="str">
        <f>IF($A485="","",IF($E485=1,$F485*$O485,PNL!G485))</f>
        <v/>
      </c>
      <c r="T485" t="str">
        <f t="shared" si="87"/>
        <v/>
      </c>
    </row>
    <row r="486" spans="1:20" x14ac:dyDescent="0.45">
      <c r="A486" t="str">
        <f>IF(PNL!A486="","",PNL!A486)</f>
        <v/>
      </c>
      <c r="B486" t="str">
        <f>IF(PNL!B486="","",PNL!B486)</f>
        <v/>
      </c>
      <c r="C486" t="str">
        <f>IF(PNL!C486="","",PNL!C486)</f>
        <v/>
      </c>
      <c r="D486" t="str">
        <f>IF(PNL!D486="","",PNL!D486)</f>
        <v/>
      </c>
      <c r="E486" t="str">
        <f t="shared" si="77"/>
        <v/>
      </c>
      <c r="F486" t="str">
        <f>IF($A486="","",IF($E486=1,SUMIFS(Compta!$F$1:$F$675,Compta!$A$1:$A$675,$A486,Compta!$B$1:$B$675,$B486,Compta!$C$1:$C$675,"2026"),0))</f>
        <v/>
      </c>
      <c r="G486" t="str">
        <f t="shared" si="78"/>
        <v/>
      </c>
      <c r="H486" t="str">
        <f t="shared" si="79"/>
        <v/>
      </c>
      <c r="I486" t="str">
        <f t="shared" si="80"/>
        <v/>
      </c>
      <c r="J486" t="str">
        <f t="shared" si="81"/>
        <v/>
      </c>
      <c r="K486" t="str">
        <f t="shared" si="82"/>
        <v/>
      </c>
      <c r="L486" t="str">
        <f t="shared" si="83"/>
        <v/>
      </c>
      <c r="M486" t="str">
        <f t="shared" si="84"/>
        <v/>
      </c>
      <c r="N486" t="str">
        <f t="shared" si="85"/>
        <v/>
      </c>
      <c r="O486" t="str">
        <f t="shared" si="86"/>
        <v/>
      </c>
      <c r="P486" t="str">
        <f>IF($A486="","",IF($E486=1,$F486*$O486,PNL!G486))</f>
        <v/>
      </c>
      <c r="T486" t="str">
        <f t="shared" si="87"/>
        <v/>
      </c>
    </row>
    <row r="487" spans="1:20" x14ac:dyDescent="0.45">
      <c r="A487" t="str">
        <f>IF(PNL!A487="","",PNL!A487)</f>
        <v/>
      </c>
      <c r="B487" t="str">
        <f>IF(PNL!B487="","",PNL!B487)</f>
        <v/>
      </c>
      <c r="C487" t="str">
        <f>IF(PNL!C487="","",PNL!C487)</f>
        <v/>
      </c>
      <c r="D487" t="str">
        <f>IF(PNL!D487="","",PNL!D487)</f>
        <v/>
      </c>
      <c r="E487" t="str">
        <f t="shared" si="77"/>
        <v/>
      </c>
      <c r="F487" t="str">
        <f>IF($A487="","",IF($E487=1,SUMIFS(Compta!$F$1:$F$675,Compta!$A$1:$A$675,$A487,Compta!$B$1:$B$675,$B487,Compta!$C$1:$C$675,"2026"),0))</f>
        <v/>
      </c>
      <c r="G487" t="str">
        <f t="shared" si="78"/>
        <v/>
      </c>
      <c r="H487" t="str">
        <f t="shared" si="79"/>
        <v/>
      </c>
      <c r="I487" t="str">
        <f t="shared" si="80"/>
        <v/>
      </c>
      <c r="J487" t="str">
        <f t="shared" si="81"/>
        <v/>
      </c>
      <c r="K487" t="str">
        <f t="shared" si="82"/>
        <v/>
      </c>
      <c r="L487" t="str">
        <f t="shared" si="83"/>
        <v/>
      </c>
      <c r="M487" t="str">
        <f t="shared" si="84"/>
        <v/>
      </c>
      <c r="N487" t="str">
        <f t="shared" si="85"/>
        <v/>
      </c>
      <c r="O487" t="str">
        <f t="shared" si="86"/>
        <v/>
      </c>
      <c r="P487" t="str">
        <f>IF($A487="","",IF($E487=1,$F487*$O487,PNL!G487))</f>
        <v/>
      </c>
      <c r="T487" t="str">
        <f t="shared" si="87"/>
        <v/>
      </c>
    </row>
    <row r="488" spans="1:20" x14ac:dyDescent="0.45">
      <c r="A488" t="str">
        <f>IF(PNL!A488="","",PNL!A488)</f>
        <v/>
      </c>
      <c r="B488" t="str">
        <f>IF(PNL!B488="","",PNL!B488)</f>
        <v/>
      </c>
      <c r="C488" t="str">
        <f>IF(PNL!C488="","",PNL!C488)</f>
        <v/>
      </c>
      <c r="D488" t="str">
        <f>IF(PNL!D488="","",PNL!D488)</f>
        <v/>
      </c>
      <c r="E488" t="str">
        <f t="shared" si="77"/>
        <v/>
      </c>
      <c r="F488" t="str">
        <f>IF($A488="","",IF($E488=1,SUMIFS(Compta!$F$1:$F$675,Compta!$A$1:$A$675,$A488,Compta!$B$1:$B$675,$B488,Compta!$C$1:$C$675,"2026"),0))</f>
        <v/>
      </c>
      <c r="G488" t="str">
        <f t="shared" si="78"/>
        <v/>
      </c>
      <c r="H488" t="str">
        <f t="shared" si="79"/>
        <v/>
      </c>
      <c r="I488" t="str">
        <f t="shared" si="80"/>
        <v/>
      </c>
      <c r="J488" t="str">
        <f t="shared" si="81"/>
        <v/>
      </c>
      <c r="K488" t="str">
        <f t="shared" si="82"/>
        <v/>
      </c>
      <c r="L488" t="str">
        <f t="shared" si="83"/>
        <v/>
      </c>
      <c r="M488" t="str">
        <f t="shared" si="84"/>
        <v/>
      </c>
      <c r="N488" t="str">
        <f t="shared" si="85"/>
        <v/>
      </c>
      <c r="O488" t="str">
        <f t="shared" si="86"/>
        <v/>
      </c>
      <c r="P488" t="str">
        <f>IF($A488="","",IF($E488=1,$F488*$O488,PNL!G488))</f>
        <v/>
      </c>
      <c r="T488" t="str">
        <f t="shared" si="87"/>
        <v/>
      </c>
    </row>
    <row r="489" spans="1:20" x14ac:dyDescent="0.45">
      <c r="A489" t="str">
        <f>IF(PNL!A489="","",PNL!A489)</f>
        <v/>
      </c>
      <c r="B489" t="str">
        <f>IF(PNL!B489="","",PNL!B489)</f>
        <v/>
      </c>
      <c r="C489" t="str">
        <f>IF(PNL!C489="","",PNL!C489)</f>
        <v/>
      </c>
      <c r="D489" t="str">
        <f>IF(PNL!D489="","",PNL!D489)</f>
        <v/>
      </c>
      <c r="E489" t="str">
        <f t="shared" si="77"/>
        <v/>
      </c>
      <c r="F489" t="str">
        <f>IF($A489="","",IF($E489=1,SUMIFS(Compta!$F$1:$F$675,Compta!$A$1:$A$675,$A489,Compta!$B$1:$B$675,$B489,Compta!$C$1:$C$675,"2026"),0))</f>
        <v/>
      </c>
      <c r="G489" t="str">
        <f t="shared" si="78"/>
        <v/>
      </c>
      <c r="H489" t="str">
        <f t="shared" si="79"/>
        <v/>
      </c>
      <c r="I489" t="str">
        <f t="shared" si="80"/>
        <v/>
      </c>
      <c r="J489" t="str">
        <f t="shared" si="81"/>
        <v/>
      </c>
      <c r="K489" t="str">
        <f t="shared" si="82"/>
        <v/>
      </c>
      <c r="L489" t="str">
        <f t="shared" si="83"/>
        <v/>
      </c>
      <c r="M489" t="str">
        <f t="shared" si="84"/>
        <v/>
      </c>
      <c r="N489" t="str">
        <f t="shared" si="85"/>
        <v/>
      </c>
      <c r="O489" t="str">
        <f t="shared" si="86"/>
        <v/>
      </c>
      <c r="P489" t="str">
        <f>IF($A489="","",IF($E489=1,$F489*$O489,PNL!G489))</f>
        <v/>
      </c>
      <c r="T489" t="str">
        <f t="shared" si="87"/>
        <v/>
      </c>
    </row>
    <row r="490" spans="1:20" x14ac:dyDescent="0.45">
      <c r="A490" t="str">
        <f>IF(PNL!A490="","",PNL!A490)</f>
        <v/>
      </c>
      <c r="B490" t="str">
        <f>IF(PNL!B490="","",PNL!B490)</f>
        <v/>
      </c>
      <c r="C490" t="str">
        <f>IF(PNL!C490="","",PNL!C490)</f>
        <v/>
      </c>
      <c r="D490" t="str">
        <f>IF(PNL!D490="","",PNL!D490)</f>
        <v/>
      </c>
      <c r="E490" t="str">
        <f t="shared" si="77"/>
        <v/>
      </c>
      <c r="F490" t="str">
        <f>IF($A490="","",IF($E490=1,SUMIFS(Compta!$F$1:$F$675,Compta!$A$1:$A$675,$A490,Compta!$B$1:$B$675,$B490,Compta!$C$1:$C$675,"2026"),0))</f>
        <v/>
      </c>
      <c r="G490" t="str">
        <f t="shared" si="78"/>
        <v/>
      </c>
      <c r="H490" t="str">
        <f t="shared" si="79"/>
        <v/>
      </c>
      <c r="I490" t="str">
        <f t="shared" si="80"/>
        <v/>
      </c>
      <c r="J490" t="str">
        <f t="shared" si="81"/>
        <v/>
      </c>
      <c r="K490" t="str">
        <f t="shared" si="82"/>
        <v/>
      </c>
      <c r="L490" t="str">
        <f t="shared" si="83"/>
        <v/>
      </c>
      <c r="M490" t="str">
        <f t="shared" si="84"/>
        <v/>
      </c>
      <c r="N490" t="str">
        <f t="shared" si="85"/>
        <v/>
      </c>
      <c r="O490" t="str">
        <f t="shared" si="86"/>
        <v/>
      </c>
      <c r="P490" t="str">
        <f>IF($A490="","",IF($E490=1,$F490*$O490,PNL!G490))</f>
        <v/>
      </c>
      <c r="T490" t="str">
        <f t="shared" si="87"/>
        <v/>
      </c>
    </row>
    <row r="491" spans="1:20" x14ac:dyDescent="0.45">
      <c r="A491" t="str">
        <f>IF(PNL!A491="","",PNL!A491)</f>
        <v/>
      </c>
      <c r="B491" t="str">
        <f>IF(PNL!B491="","",PNL!B491)</f>
        <v/>
      </c>
      <c r="C491" t="str">
        <f>IF(PNL!C491="","",PNL!C491)</f>
        <v/>
      </c>
      <c r="D491" t="str">
        <f>IF(PNL!D491="","",PNL!D491)</f>
        <v/>
      </c>
      <c r="E491" t="str">
        <f t="shared" si="77"/>
        <v/>
      </c>
      <c r="F491" t="str">
        <f>IF($A491="","",IF($E491=1,SUMIFS(Compta!$F$1:$F$675,Compta!$A$1:$A$675,$A491,Compta!$B$1:$B$675,$B491,Compta!$C$1:$C$675,"2026"),0))</f>
        <v/>
      </c>
      <c r="G491" t="str">
        <f t="shared" si="78"/>
        <v/>
      </c>
      <c r="H491" t="str">
        <f t="shared" si="79"/>
        <v/>
      </c>
      <c r="I491" t="str">
        <f t="shared" si="80"/>
        <v/>
      </c>
      <c r="J491" t="str">
        <f t="shared" si="81"/>
        <v/>
      </c>
      <c r="K491" t="str">
        <f t="shared" si="82"/>
        <v/>
      </c>
      <c r="L491" t="str">
        <f t="shared" si="83"/>
        <v/>
      </c>
      <c r="M491" t="str">
        <f t="shared" si="84"/>
        <v/>
      </c>
      <c r="N491" t="str">
        <f t="shared" si="85"/>
        <v/>
      </c>
      <c r="O491" t="str">
        <f t="shared" si="86"/>
        <v/>
      </c>
      <c r="P491" t="str">
        <f>IF($A491="","",IF($E491=1,$F491*$O491,PNL!G491))</f>
        <v/>
      </c>
      <c r="T491" t="str">
        <f t="shared" si="87"/>
        <v/>
      </c>
    </row>
    <row r="492" spans="1:20" x14ac:dyDescent="0.45">
      <c r="A492" t="str">
        <f>IF(PNL!A492="","",PNL!A492)</f>
        <v/>
      </c>
      <c r="B492" t="str">
        <f>IF(PNL!B492="","",PNL!B492)</f>
        <v/>
      </c>
      <c r="C492" t="str">
        <f>IF(PNL!C492="","",PNL!C492)</f>
        <v/>
      </c>
      <c r="D492" t="str">
        <f>IF(PNL!D492="","",PNL!D492)</f>
        <v/>
      </c>
      <c r="E492" t="str">
        <f t="shared" si="77"/>
        <v/>
      </c>
      <c r="F492" t="str">
        <f>IF($A492="","",IF($E492=1,SUMIFS(Compta!$F$1:$F$675,Compta!$A$1:$A$675,$A492,Compta!$B$1:$B$675,$B492,Compta!$C$1:$C$675,"2026"),0))</f>
        <v/>
      </c>
      <c r="G492" t="str">
        <f t="shared" si="78"/>
        <v/>
      </c>
      <c r="H492" t="str">
        <f t="shared" si="79"/>
        <v/>
      </c>
      <c r="I492" t="str">
        <f t="shared" si="80"/>
        <v/>
      </c>
      <c r="J492" t="str">
        <f t="shared" si="81"/>
        <v/>
      </c>
      <c r="K492" t="str">
        <f t="shared" si="82"/>
        <v/>
      </c>
      <c r="L492" t="str">
        <f t="shared" si="83"/>
        <v/>
      </c>
      <c r="M492" t="str">
        <f t="shared" si="84"/>
        <v/>
      </c>
      <c r="N492" t="str">
        <f t="shared" si="85"/>
        <v/>
      </c>
      <c r="O492" t="str">
        <f t="shared" si="86"/>
        <v/>
      </c>
      <c r="P492" t="str">
        <f>IF($A492="","",IF($E492=1,$F492*$O492,PNL!G492))</f>
        <v/>
      </c>
      <c r="T492" t="str">
        <f t="shared" si="87"/>
        <v/>
      </c>
    </row>
    <row r="493" spans="1:20" x14ac:dyDescent="0.45">
      <c r="A493" t="str">
        <f>IF(PNL!A493="","",PNL!A493)</f>
        <v/>
      </c>
      <c r="B493" t="str">
        <f>IF(PNL!B493="","",PNL!B493)</f>
        <v/>
      </c>
      <c r="C493" t="str">
        <f>IF(PNL!C493="","",PNL!C493)</f>
        <v/>
      </c>
      <c r="D493" t="str">
        <f>IF(PNL!D493="","",PNL!D493)</f>
        <v/>
      </c>
      <c r="E493" t="str">
        <f t="shared" si="77"/>
        <v/>
      </c>
      <c r="F493" t="str">
        <f>IF($A493="","",IF($E493=1,SUMIFS(Compta!$F$1:$F$675,Compta!$A$1:$A$675,$A493,Compta!$B$1:$B$675,$B493,Compta!$C$1:$C$675,"2026"),0))</f>
        <v/>
      </c>
      <c r="G493" t="str">
        <f t="shared" si="78"/>
        <v/>
      </c>
      <c r="H493" t="str">
        <f t="shared" si="79"/>
        <v/>
      </c>
      <c r="I493" t="str">
        <f t="shared" si="80"/>
        <v/>
      </c>
      <c r="J493" t="str">
        <f t="shared" si="81"/>
        <v/>
      </c>
      <c r="K493" t="str">
        <f t="shared" si="82"/>
        <v/>
      </c>
      <c r="L493" t="str">
        <f t="shared" si="83"/>
        <v/>
      </c>
      <c r="M493" t="str">
        <f t="shared" si="84"/>
        <v/>
      </c>
      <c r="N493" t="str">
        <f t="shared" si="85"/>
        <v/>
      </c>
      <c r="O493" t="str">
        <f t="shared" si="86"/>
        <v/>
      </c>
      <c r="P493" t="str">
        <f>IF($A493="","",IF($E493=1,$F493*$O493,PNL!G493))</f>
        <v/>
      </c>
      <c r="T493" t="str">
        <f t="shared" si="87"/>
        <v/>
      </c>
    </row>
    <row r="494" spans="1:20" x14ac:dyDescent="0.45">
      <c r="A494" t="str">
        <f>IF(PNL!A494="","",PNL!A494)</f>
        <v/>
      </c>
      <c r="B494" t="str">
        <f>IF(PNL!B494="","",PNL!B494)</f>
        <v/>
      </c>
      <c r="C494" t="str">
        <f>IF(PNL!C494="","",PNL!C494)</f>
        <v/>
      </c>
      <c r="D494" t="str">
        <f>IF(PNL!D494="","",PNL!D494)</f>
        <v/>
      </c>
      <c r="E494" t="str">
        <f t="shared" si="77"/>
        <v/>
      </c>
      <c r="F494" t="str">
        <f>IF($A494="","",IF($E494=1,SUMIFS(Compta!$F$1:$F$675,Compta!$A$1:$A$675,$A494,Compta!$B$1:$B$675,$B494,Compta!$C$1:$C$675,"2026"),0))</f>
        <v/>
      </c>
      <c r="G494" t="str">
        <f t="shared" si="78"/>
        <v/>
      </c>
      <c r="H494" t="str">
        <f t="shared" si="79"/>
        <v/>
      </c>
      <c r="I494" t="str">
        <f t="shared" si="80"/>
        <v/>
      </c>
      <c r="J494" t="str">
        <f t="shared" si="81"/>
        <v/>
      </c>
      <c r="K494" t="str">
        <f t="shared" si="82"/>
        <v/>
      </c>
      <c r="L494" t="str">
        <f t="shared" si="83"/>
        <v/>
      </c>
      <c r="M494" t="str">
        <f t="shared" si="84"/>
        <v/>
      </c>
      <c r="N494" t="str">
        <f t="shared" si="85"/>
        <v/>
      </c>
      <c r="O494" t="str">
        <f t="shared" si="86"/>
        <v/>
      </c>
      <c r="P494" t="str">
        <f>IF($A494="","",IF($E494=1,$F494*$O494,PNL!G494))</f>
        <v/>
      </c>
      <c r="T494" t="str">
        <f t="shared" si="87"/>
        <v/>
      </c>
    </row>
    <row r="495" spans="1:20" x14ac:dyDescent="0.45">
      <c r="A495" t="str">
        <f>IF(PNL!A495="","",PNL!A495)</f>
        <v/>
      </c>
      <c r="B495" t="str">
        <f>IF(PNL!B495="","",PNL!B495)</f>
        <v/>
      </c>
      <c r="C495" t="str">
        <f>IF(PNL!C495="","",PNL!C495)</f>
        <v/>
      </c>
      <c r="D495" t="str">
        <f>IF(PNL!D495="","",PNL!D495)</f>
        <v/>
      </c>
      <c r="E495" t="str">
        <f t="shared" si="77"/>
        <v/>
      </c>
      <c r="F495" t="str">
        <f>IF($A495="","",IF($E495=1,SUMIFS(Compta!$F$1:$F$675,Compta!$A$1:$A$675,$A495,Compta!$B$1:$B$675,$B495,Compta!$C$1:$C$675,"2026"),0))</f>
        <v/>
      </c>
      <c r="G495" t="str">
        <f t="shared" si="78"/>
        <v/>
      </c>
      <c r="H495" t="str">
        <f t="shared" si="79"/>
        <v/>
      </c>
      <c r="I495" t="str">
        <f t="shared" si="80"/>
        <v/>
      </c>
      <c r="J495" t="str">
        <f t="shared" si="81"/>
        <v/>
      </c>
      <c r="K495" t="str">
        <f t="shared" si="82"/>
        <v/>
      </c>
      <c r="L495" t="str">
        <f t="shared" si="83"/>
        <v/>
      </c>
      <c r="M495" t="str">
        <f t="shared" si="84"/>
        <v/>
      </c>
      <c r="N495" t="str">
        <f t="shared" si="85"/>
        <v/>
      </c>
      <c r="O495" t="str">
        <f t="shared" si="86"/>
        <v/>
      </c>
      <c r="P495" t="str">
        <f>IF($A495="","",IF($E495=1,$F495*$O495,PNL!G495))</f>
        <v/>
      </c>
      <c r="T495" t="str">
        <f t="shared" si="87"/>
        <v/>
      </c>
    </row>
    <row r="496" spans="1:20" x14ac:dyDescent="0.45">
      <c r="A496" t="str">
        <f>IF(PNL!A496="","",PNL!A496)</f>
        <v/>
      </c>
      <c r="B496" t="str">
        <f>IF(PNL!B496="","",PNL!B496)</f>
        <v/>
      </c>
      <c r="C496" t="str">
        <f>IF(PNL!C496="","",PNL!C496)</f>
        <v/>
      </c>
      <c r="D496" t="str">
        <f>IF(PNL!D496="","",PNL!D496)</f>
        <v/>
      </c>
      <c r="E496" t="str">
        <f t="shared" si="77"/>
        <v/>
      </c>
      <c r="F496" t="str">
        <f>IF($A496="","",IF($E496=1,SUMIFS(Compta!$F$1:$F$675,Compta!$A$1:$A$675,$A496,Compta!$B$1:$B$675,$B496,Compta!$C$1:$C$675,"2026"),0))</f>
        <v/>
      </c>
      <c r="G496" t="str">
        <f t="shared" si="78"/>
        <v/>
      </c>
      <c r="H496" t="str">
        <f t="shared" si="79"/>
        <v/>
      </c>
      <c r="I496" t="str">
        <f t="shared" si="80"/>
        <v/>
      </c>
      <c r="J496" t="str">
        <f t="shared" si="81"/>
        <v/>
      </c>
      <c r="K496" t="str">
        <f t="shared" si="82"/>
        <v/>
      </c>
      <c r="L496" t="str">
        <f t="shared" si="83"/>
        <v/>
      </c>
      <c r="M496" t="str">
        <f t="shared" si="84"/>
        <v/>
      </c>
      <c r="N496" t="str">
        <f t="shared" si="85"/>
        <v/>
      </c>
      <c r="O496" t="str">
        <f t="shared" si="86"/>
        <v/>
      </c>
      <c r="P496" t="str">
        <f>IF($A496="","",IF($E496=1,$F496*$O496,PNL!G496))</f>
        <v/>
      </c>
      <c r="T496" t="str">
        <f t="shared" si="87"/>
        <v/>
      </c>
    </row>
    <row r="497" spans="1:20" x14ac:dyDescent="0.45">
      <c r="A497" t="str">
        <f>IF(PNL!A497="","",PNL!A497)</f>
        <v/>
      </c>
      <c r="B497" t="str">
        <f>IF(PNL!B497="","",PNL!B497)</f>
        <v/>
      </c>
      <c r="C497" t="str">
        <f>IF(PNL!C497="","",PNL!C497)</f>
        <v/>
      </c>
      <c r="D497" t="str">
        <f>IF(PNL!D497="","",PNL!D497)</f>
        <v/>
      </c>
      <c r="E497" t="str">
        <f t="shared" si="77"/>
        <v/>
      </c>
      <c r="F497" t="str">
        <f>IF($A497="","",IF($E497=1,SUMIFS(Compta!$F$1:$F$675,Compta!$A$1:$A$675,$A497,Compta!$B$1:$B$675,$B497,Compta!$C$1:$C$675,"2026"),0))</f>
        <v/>
      </c>
      <c r="G497" t="str">
        <f t="shared" si="78"/>
        <v/>
      </c>
      <c r="H497" t="str">
        <f t="shared" si="79"/>
        <v/>
      </c>
      <c r="I497" t="str">
        <f t="shared" si="80"/>
        <v/>
      </c>
      <c r="J497" t="str">
        <f t="shared" si="81"/>
        <v/>
      </c>
      <c r="K497" t="str">
        <f t="shared" si="82"/>
        <v/>
      </c>
      <c r="L497" t="str">
        <f t="shared" si="83"/>
        <v/>
      </c>
      <c r="M497" t="str">
        <f t="shared" si="84"/>
        <v/>
      </c>
      <c r="N497" t="str">
        <f t="shared" si="85"/>
        <v/>
      </c>
      <c r="O497" t="str">
        <f t="shared" si="86"/>
        <v/>
      </c>
      <c r="P497" t="str">
        <f>IF($A497="","",IF($E497=1,$F497*$O497,PNL!G497))</f>
        <v/>
      </c>
      <c r="T497" t="str">
        <f t="shared" si="87"/>
        <v/>
      </c>
    </row>
    <row r="498" spans="1:20" x14ac:dyDescent="0.45">
      <c r="A498" t="str">
        <f>IF(PNL!A498="","",PNL!A498)</f>
        <v/>
      </c>
      <c r="B498" t="str">
        <f>IF(PNL!B498="","",PNL!B498)</f>
        <v/>
      </c>
      <c r="C498" t="str">
        <f>IF(PNL!C498="","",PNL!C498)</f>
        <v/>
      </c>
      <c r="D498" t="str">
        <f>IF(PNL!D498="","",PNL!D498)</f>
        <v/>
      </c>
      <c r="E498" t="str">
        <f t="shared" si="77"/>
        <v/>
      </c>
      <c r="F498" t="str">
        <f>IF($A498="","",IF($E498=1,SUMIFS(Compta!$F$1:$F$675,Compta!$A$1:$A$675,$A498,Compta!$B$1:$B$675,$B498,Compta!$C$1:$C$675,"2026"),0))</f>
        <v/>
      </c>
      <c r="G498" t="str">
        <f t="shared" si="78"/>
        <v/>
      </c>
      <c r="H498" t="str">
        <f t="shared" si="79"/>
        <v/>
      </c>
      <c r="I498" t="str">
        <f t="shared" si="80"/>
        <v/>
      </c>
      <c r="J498" t="str">
        <f t="shared" si="81"/>
        <v/>
      </c>
      <c r="K498" t="str">
        <f t="shared" si="82"/>
        <v/>
      </c>
      <c r="L498" t="str">
        <f t="shared" si="83"/>
        <v/>
      </c>
      <c r="M498" t="str">
        <f t="shared" si="84"/>
        <v/>
      </c>
      <c r="N498" t="str">
        <f t="shared" si="85"/>
        <v/>
      </c>
      <c r="O498" t="str">
        <f t="shared" si="86"/>
        <v/>
      </c>
      <c r="P498" t="str">
        <f>IF($A498="","",IF($E498=1,$F498*$O498,PNL!G498))</f>
        <v/>
      </c>
      <c r="T498" t="str">
        <f t="shared" si="87"/>
        <v/>
      </c>
    </row>
    <row r="499" spans="1:20" x14ac:dyDescent="0.45">
      <c r="A499" t="str">
        <f>IF(PNL!A499="","",PNL!A499)</f>
        <v/>
      </c>
      <c r="B499" t="str">
        <f>IF(PNL!B499="","",PNL!B499)</f>
        <v/>
      </c>
      <c r="C499" t="str">
        <f>IF(PNL!C499="","",PNL!C499)</f>
        <v/>
      </c>
      <c r="D499" t="str">
        <f>IF(PNL!D499="","",PNL!D499)</f>
        <v/>
      </c>
      <c r="E499" t="str">
        <f t="shared" si="77"/>
        <v/>
      </c>
      <c r="F499" t="str">
        <f>IF($A499="","",IF($E499=1,SUMIFS(Compta!$F$1:$F$675,Compta!$A$1:$A$675,$A499,Compta!$B$1:$B$675,$B499,Compta!$C$1:$C$675,"2026"),0))</f>
        <v/>
      </c>
      <c r="G499" t="str">
        <f t="shared" si="78"/>
        <v/>
      </c>
      <c r="H499" t="str">
        <f t="shared" si="79"/>
        <v/>
      </c>
      <c r="I499" t="str">
        <f t="shared" si="80"/>
        <v/>
      </c>
      <c r="J499" t="str">
        <f t="shared" si="81"/>
        <v/>
      </c>
      <c r="K499" t="str">
        <f t="shared" si="82"/>
        <v/>
      </c>
      <c r="L499" t="str">
        <f t="shared" si="83"/>
        <v/>
      </c>
      <c r="M499" t="str">
        <f t="shared" si="84"/>
        <v/>
      </c>
      <c r="N499" t="str">
        <f t="shared" si="85"/>
        <v/>
      </c>
      <c r="O499" t="str">
        <f t="shared" si="86"/>
        <v/>
      </c>
      <c r="P499" t="str">
        <f>IF($A499="","",IF($E499=1,$F499*$O499,PNL!G499))</f>
        <v/>
      </c>
      <c r="T499" t="str">
        <f t="shared" si="87"/>
        <v/>
      </c>
    </row>
    <row r="500" spans="1:20" x14ac:dyDescent="0.45">
      <c r="A500" t="str">
        <f>IF(PNL!A500="","",PNL!A500)</f>
        <v/>
      </c>
      <c r="B500" t="str">
        <f>IF(PNL!B500="","",PNL!B500)</f>
        <v/>
      </c>
      <c r="C500" t="str">
        <f>IF(PNL!C500="","",PNL!C500)</f>
        <v/>
      </c>
      <c r="D500" t="str">
        <f>IF(PNL!D500="","",PNL!D500)</f>
        <v/>
      </c>
      <c r="E500" t="str">
        <f t="shared" si="77"/>
        <v/>
      </c>
      <c r="F500" t="str">
        <f>IF($A500="","",IF($E500=1,SUMIFS(Compta!$F$1:$F$675,Compta!$A$1:$A$675,$A500,Compta!$B$1:$B$675,$B500,Compta!$C$1:$C$675,"2026"),0))</f>
        <v/>
      </c>
      <c r="G500" t="str">
        <f t="shared" si="78"/>
        <v/>
      </c>
      <c r="H500" t="str">
        <f t="shared" si="79"/>
        <v/>
      </c>
      <c r="I500" t="str">
        <f t="shared" si="80"/>
        <v/>
      </c>
      <c r="J500" t="str">
        <f t="shared" si="81"/>
        <v/>
      </c>
      <c r="K500" t="str">
        <f t="shared" si="82"/>
        <v/>
      </c>
      <c r="L500" t="str">
        <f t="shared" si="83"/>
        <v/>
      </c>
      <c r="M500" t="str">
        <f t="shared" si="84"/>
        <v/>
      </c>
      <c r="N500" t="str">
        <f t="shared" si="85"/>
        <v/>
      </c>
      <c r="O500" t="str">
        <f t="shared" si="86"/>
        <v/>
      </c>
      <c r="P500" t="str">
        <f>IF($A500="","",IF($E500=1,$F500*$O500,PNL!G500))</f>
        <v/>
      </c>
      <c r="T500" t="str">
        <f t="shared" si="87"/>
        <v/>
      </c>
    </row>
    <row r="501" spans="1:20" x14ac:dyDescent="0.45">
      <c r="A501" t="str">
        <f>IF(PNL!A501="","",PNL!A501)</f>
        <v/>
      </c>
      <c r="B501" t="str">
        <f>IF(PNL!B501="","",PNL!B501)</f>
        <v/>
      </c>
      <c r="C501" t="str">
        <f>IF(PNL!C501="","",PNL!C501)</f>
        <v/>
      </c>
      <c r="D501" t="str">
        <f>IF(PNL!D501="","",PNL!D501)</f>
        <v/>
      </c>
      <c r="E501" t="str">
        <f t="shared" si="77"/>
        <v/>
      </c>
      <c r="F501" t="str">
        <f>IF($A501="","",IF($E501=1,SUMIFS(Compta!$F$1:$F$675,Compta!$A$1:$A$675,$A501,Compta!$B$1:$B$675,$B501,Compta!$C$1:$C$675,"2026"),0))</f>
        <v/>
      </c>
      <c r="G501" t="str">
        <f t="shared" si="78"/>
        <v/>
      </c>
      <c r="H501" t="str">
        <f t="shared" si="79"/>
        <v/>
      </c>
      <c r="I501" t="str">
        <f t="shared" si="80"/>
        <v/>
      </c>
      <c r="J501" t="str">
        <f t="shared" si="81"/>
        <v/>
      </c>
      <c r="K501" t="str">
        <f t="shared" si="82"/>
        <v/>
      </c>
      <c r="L501" t="str">
        <f t="shared" si="83"/>
        <v/>
      </c>
      <c r="M501" t="str">
        <f t="shared" si="84"/>
        <v/>
      </c>
      <c r="N501" t="str">
        <f t="shared" si="85"/>
        <v/>
      </c>
      <c r="O501" t="str">
        <f t="shared" si="86"/>
        <v/>
      </c>
      <c r="P501" t="str">
        <f>IF($A501="","",IF($E501=1,$F501*$O501,PNL!G501))</f>
        <v/>
      </c>
      <c r="T501" t="str">
        <f t="shared" si="87"/>
        <v/>
      </c>
    </row>
    <row r="502" spans="1:20" x14ac:dyDescent="0.45">
      <c r="A502" t="str">
        <f>IF(PNL!A502="","",PNL!A502)</f>
        <v/>
      </c>
      <c r="B502" t="str">
        <f>IF(PNL!B502="","",PNL!B502)</f>
        <v/>
      </c>
      <c r="C502" t="str">
        <f>IF(PNL!C502="","",PNL!C502)</f>
        <v/>
      </c>
      <c r="D502" t="str">
        <f>IF(PNL!D502="","",PNL!D502)</f>
        <v/>
      </c>
      <c r="E502" t="str">
        <f t="shared" si="77"/>
        <v/>
      </c>
      <c r="F502" t="str">
        <f>IF($A502="","",IF($E502=1,SUMIFS(Compta!$F$1:$F$675,Compta!$A$1:$A$675,$A502,Compta!$B$1:$B$675,$B502,Compta!$C$1:$C$675,"2026"),0))</f>
        <v/>
      </c>
      <c r="G502" t="str">
        <f t="shared" si="78"/>
        <v/>
      </c>
      <c r="H502" t="str">
        <f t="shared" si="79"/>
        <v/>
      </c>
      <c r="I502" t="str">
        <f t="shared" si="80"/>
        <v/>
      </c>
      <c r="J502" t="str">
        <f t="shared" si="81"/>
        <v/>
      </c>
      <c r="K502" t="str">
        <f t="shared" si="82"/>
        <v/>
      </c>
      <c r="L502" t="str">
        <f t="shared" si="83"/>
        <v/>
      </c>
      <c r="M502" t="str">
        <f t="shared" si="84"/>
        <v/>
      </c>
      <c r="N502" t="str">
        <f t="shared" si="85"/>
        <v/>
      </c>
      <c r="O502" t="str">
        <f t="shared" si="86"/>
        <v/>
      </c>
      <c r="P502" t="str">
        <f>IF($A502="","",IF($E502=1,$F502*$O502,PNL!G502))</f>
        <v/>
      </c>
      <c r="T502" t="str">
        <f t="shared" si="87"/>
        <v/>
      </c>
    </row>
    <row r="503" spans="1:20" x14ac:dyDescent="0.45">
      <c r="A503" t="str">
        <f>IF(PNL!A503="","",PNL!A503)</f>
        <v/>
      </c>
      <c r="B503" t="str">
        <f>IF(PNL!B503="","",PNL!B503)</f>
        <v/>
      </c>
      <c r="C503" t="str">
        <f>IF(PNL!C503="","",PNL!C503)</f>
        <v/>
      </c>
      <c r="D503" t="str">
        <f>IF(PNL!D503="","",PNL!D503)</f>
        <v/>
      </c>
      <c r="E503" t="str">
        <f t="shared" si="77"/>
        <v/>
      </c>
      <c r="F503" t="str">
        <f>IF($A503="","",IF($E503=1,SUMIFS(Compta!$F$1:$F$675,Compta!$A$1:$A$675,$A503,Compta!$B$1:$B$675,$B503,Compta!$C$1:$C$675,"2026"),0))</f>
        <v/>
      </c>
      <c r="G503" t="str">
        <f t="shared" si="78"/>
        <v/>
      </c>
      <c r="H503" t="str">
        <f t="shared" si="79"/>
        <v/>
      </c>
      <c r="I503" t="str">
        <f t="shared" si="80"/>
        <v/>
      </c>
      <c r="J503" t="str">
        <f t="shared" si="81"/>
        <v/>
      </c>
      <c r="K503" t="str">
        <f t="shared" si="82"/>
        <v/>
      </c>
      <c r="L503" t="str">
        <f t="shared" si="83"/>
        <v/>
      </c>
      <c r="M503" t="str">
        <f t="shared" si="84"/>
        <v/>
      </c>
      <c r="N503" t="str">
        <f t="shared" si="85"/>
        <v/>
      </c>
      <c r="O503" t="str">
        <f t="shared" si="86"/>
        <v/>
      </c>
      <c r="P503" t="str">
        <f>IF($A503="","",IF($E503=1,$F503*$O503,PNL!G503))</f>
        <v/>
      </c>
      <c r="T503" t="str">
        <f t="shared" si="87"/>
        <v/>
      </c>
    </row>
    <row r="504" spans="1:20" x14ac:dyDescent="0.45">
      <c r="A504" t="str">
        <f>IF(PNL!A504="","",PNL!A504)</f>
        <v/>
      </c>
      <c r="B504" t="str">
        <f>IF(PNL!B504="","",PNL!B504)</f>
        <v/>
      </c>
      <c r="C504" t="str">
        <f>IF(PNL!C504="","",PNL!C504)</f>
        <v/>
      </c>
      <c r="D504" t="str">
        <f>IF(PNL!D504="","",PNL!D504)</f>
        <v/>
      </c>
      <c r="E504" t="str">
        <f t="shared" si="77"/>
        <v/>
      </c>
      <c r="F504" t="str">
        <f>IF($A504="","",IF($E504=1,SUMIFS(Compta!$F$1:$F$675,Compta!$A$1:$A$675,$A504,Compta!$B$1:$B$675,$B504,Compta!$C$1:$C$675,"2026"),0))</f>
        <v/>
      </c>
      <c r="G504" t="str">
        <f t="shared" si="78"/>
        <v/>
      </c>
      <c r="H504" t="str">
        <f t="shared" si="79"/>
        <v/>
      </c>
      <c r="I504" t="str">
        <f t="shared" si="80"/>
        <v/>
      </c>
      <c r="J504" t="str">
        <f t="shared" si="81"/>
        <v/>
      </c>
      <c r="K504" t="str">
        <f t="shared" si="82"/>
        <v/>
      </c>
      <c r="L504" t="str">
        <f t="shared" si="83"/>
        <v/>
      </c>
      <c r="M504" t="str">
        <f t="shared" si="84"/>
        <v/>
      </c>
      <c r="N504" t="str">
        <f t="shared" si="85"/>
        <v/>
      </c>
      <c r="O504" t="str">
        <f t="shared" si="86"/>
        <v/>
      </c>
      <c r="P504" t="str">
        <f>IF($A504="","",IF($E504=1,$F504*$O504,PNL!G504))</f>
        <v/>
      </c>
      <c r="T504" t="str">
        <f t="shared" si="87"/>
        <v/>
      </c>
    </row>
    <row r="505" spans="1:20" x14ac:dyDescent="0.45">
      <c r="A505" t="str">
        <f>IF(PNL!A505="","",PNL!A505)</f>
        <v/>
      </c>
      <c r="B505" t="str">
        <f>IF(PNL!B505="","",PNL!B505)</f>
        <v/>
      </c>
      <c r="C505" t="str">
        <f>IF(PNL!C505="","",PNL!C505)</f>
        <v/>
      </c>
      <c r="D505" t="str">
        <f>IF(PNL!D505="","",PNL!D505)</f>
        <v/>
      </c>
      <c r="E505" t="str">
        <f t="shared" si="77"/>
        <v/>
      </c>
      <c r="F505" t="str">
        <f>IF($A505="","",IF($E505=1,SUMIFS(Compta!$F$1:$F$675,Compta!$A$1:$A$675,$A505,Compta!$B$1:$B$675,$B505,Compta!$C$1:$C$675,"2026"),0))</f>
        <v/>
      </c>
      <c r="G505" t="str">
        <f t="shared" si="78"/>
        <v/>
      </c>
      <c r="H505" t="str">
        <f t="shared" si="79"/>
        <v/>
      </c>
      <c r="I505" t="str">
        <f t="shared" si="80"/>
        <v/>
      </c>
      <c r="J505" t="str">
        <f t="shared" si="81"/>
        <v/>
      </c>
      <c r="K505" t="str">
        <f t="shared" si="82"/>
        <v/>
      </c>
      <c r="L505" t="str">
        <f t="shared" si="83"/>
        <v/>
      </c>
      <c r="M505" t="str">
        <f t="shared" si="84"/>
        <v/>
      </c>
      <c r="N505" t="str">
        <f t="shared" si="85"/>
        <v/>
      </c>
      <c r="O505" t="str">
        <f t="shared" si="86"/>
        <v/>
      </c>
      <c r="P505" t="str">
        <f>IF($A505="","",IF($E505=1,$F505*$O505,PNL!G505))</f>
        <v/>
      </c>
      <c r="T505" t="str">
        <f t="shared" si="87"/>
        <v/>
      </c>
    </row>
    <row r="506" spans="1:20" x14ac:dyDescent="0.45">
      <c r="A506" t="str">
        <f>IF(PNL!A506="","",PNL!A506)</f>
        <v/>
      </c>
      <c r="B506" t="str">
        <f>IF(PNL!B506="","",PNL!B506)</f>
        <v/>
      </c>
      <c r="C506" t="str">
        <f>IF(PNL!C506="","",PNL!C506)</f>
        <v/>
      </c>
      <c r="D506" t="str">
        <f>IF(PNL!D506="","",PNL!D506)</f>
        <v/>
      </c>
      <c r="E506" t="str">
        <f t="shared" si="77"/>
        <v/>
      </c>
      <c r="F506" t="str">
        <f>IF($A506="","",IF($E506=1,SUMIFS(Compta!$F$1:$F$675,Compta!$A$1:$A$675,$A506,Compta!$B$1:$B$675,$B506,Compta!$C$1:$C$675,"2026"),0))</f>
        <v/>
      </c>
      <c r="G506" t="str">
        <f t="shared" si="78"/>
        <v/>
      </c>
      <c r="H506" t="str">
        <f t="shared" si="79"/>
        <v/>
      </c>
      <c r="I506" t="str">
        <f t="shared" si="80"/>
        <v/>
      </c>
      <c r="J506" t="str">
        <f t="shared" si="81"/>
        <v/>
      </c>
      <c r="K506" t="str">
        <f t="shared" si="82"/>
        <v/>
      </c>
      <c r="L506" t="str">
        <f t="shared" si="83"/>
        <v/>
      </c>
      <c r="M506" t="str">
        <f t="shared" si="84"/>
        <v/>
      </c>
      <c r="N506" t="str">
        <f t="shared" si="85"/>
        <v/>
      </c>
      <c r="O506" t="str">
        <f t="shared" si="86"/>
        <v/>
      </c>
      <c r="P506" t="str">
        <f>IF($A506="","",IF($E506=1,$F506*$O506,PNL!G506))</f>
        <v/>
      </c>
      <c r="T506" t="str">
        <f t="shared" si="87"/>
        <v/>
      </c>
    </row>
    <row r="507" spans="1:20" x14ac:dyDescent="0.45">
      <c r="A507" t="str">
        <f>IF(PNL!A507="","",PNL!A507)</f>
        <v/>
      </c>
      <c r="B507" t="str">
        <f>IF(PNL!B507="","",PNL!B507)</f>
        <v/>
      </c>
      <c r="C507" t="str">
        <f>IF(PNL!C507="","",PNL!C507)</f>
        <v/>
      </c>
      <c r="D507" t="str">
        <f>IF(PNL!D507="","",PNL!D507)</f>
        <v/>
      </c>
      <c r="E507" t="str">
        <f t="shared" si="77"/>
        <v/>
      </c>
      <c r="F507" t="str">
        <f>IF($A507="","",IF($E507=1,SUMIFS(Compta!$F$1:$F$675,Compta!$A$1:$A$675,$A507,Compta!$B$1:$B$675,$B507,Compta!$C$1:$C$675,"2026"),0))</f>
        <v/>
      </c>
      <c r="G507" t="str">
        <f t="shared" si="78"/>
        <v/>
      </c>
      <c r="H507" t="str">
        <f t="shared" si="79"/>
        <v/>
      </c>
      <c r="I507" t="str">
        <f t="shared" si="80"/>
        <v/>
      </c>
      <c r="J507" t="str">
        <f t="shared" si="81"/>
        <v/>
      </c>
      <c r="K507" t="str">
        <f t="shared" si="82"/>
        <v/>
      </c>
      <c r="L507" t="str">
        <f t="shared" si="83"/>
        <v/>
      </c>
      <c r="M507" t="str">
        <f t="shared" si="84"/>
        <v/>
      </c>
      <c r="N507" t="str">
        <f t="shared" si="85"/>
        <v/>
      </c>
      <c r="O507" t="str">
        <f t="shared" si="86"/>
        <v/>
      </c>
      <c r="P507" t="str">
        <f>IF($A507="","",IF($E507=1,$F507*$O507,PNL!G507))</f>
        <v/>
      </c>
      <c r="T507" t="str">
        <f t="shared" si="87"/>
        <v/>
      </c>
    </row>
    <row r="508" spans="1:20" x14ac:dyDescent="0.45">
      <c r="A508" t="str">
        <f>IF(PNL!A508="","",PNL!A508)</f>
        <v/>
      </c>
      <c r="B508" t="str">
        <f>IF(PNL!B508="","",PNL!B508)</f>
        <v/>
      </c>
      <c r="C508" t="str">
        <f>IF(PNL!C508="","",PNL!C508)</f>
        <v/>
      </c>
      <c r="D508" t="str">
        <f>IF(PNL!D508="","",PNL!D508)</f>
        <v/>
      </c>
      <c r="E508" t="str">
        <f t="shared" si="77"/>
        <v/>
      </c>
      <c r="F508" t="str">
        <f>IF($A508="","",IF($E508=1,SUMIFS(Compta!$F$1:$F$675,Compta!$A$1:$A$675,$A508,Compta!$B$1:$B$675,$B508,Compta!$C$1:$C$675,"2026"),0))</f>
        <v/>
      </c>
      <c r="G508" t="str">
        <f t="shared" si="78"/>
        <v/>
      </c>
      <c r="H508" t="str">
        <f t="shared" si="79"/>
        <v/>
      </c>
      <c r="I508" t="str">
        <f t="shared" si="80"/>
        <v/>
      </c>
      <c r="J508" t="str">
        <f t="shared" si="81"/>
        <v/>
      </c>
      <c r="K508" t="str">
        <f t="shared" si="82"/>
        <v/>
      </c>
      <c r="L508" t="str">
        <f t="shared" si="83"/>
        <v/>
      </c>
      <c r="M508" t="str">
        <f t="shared" si="84"/>
        <v/>
      </c>
      <c r="N508" t="str">
        <f t="shared" si="85"/>
        <v/>
      </c>
      <c r="O508" t="str">
        <f t="shared" si="86"/>
        <v/>
      </c>
      <c r="P508" t="str">
        <f>IF($A508="","",IF($E508=1,$F508*$O508,PNL!G508))</f>
        <v/>
      </c>
      <c r="T508" t="str">
        <f t="shared" si="87"/>
        <v/>
      </c>
    </row>
    <row r="509" spans="1:20" x14ac:dyDescent="0.45">
      <c r="A509" t="str">
        <f>IF(PNL!A509="","",PNL!A509)</f>
        <v/>
      </c>
      <c r="B509" t="str">
        <f>IF(PNL!B509="","",PNL!B509)</f>
        <v/>
      </c>
      <c r="C509" t="str">
        <f>IF(PNL!C509="","",PNL!C509)</f>
        <v/>
      </c>
      <c r="D509" t="str">
        <f>IF(PNL!D509="","",PNL!D509)</f>
        <v/>
      </c>
      <c r="E509" t="str">
        <f t="shared" si="77"/>
        <v/>
      </c>
      <c r="F509" t="str">
        <f>IF($A509="","",IF($E509=1,SUMIFS(Compta!$F$1:$F$675,Compta!$A$1:$A$675,$A509,Compta!$B$1:$B$675,$B509,Compta!$C$1:$C$675,"2026"),0))</f>
        <v/>
      </c>
      <c r="G509" t="str">
        <f t="shared" si="78"/>
        <v/>
      </c>
      <c r="H509" t="str">
        <f t="shared" si="79"/>
        <v/>
      </c>
      <c r="I509" t="str">
        <f t="shared" si="80"/>
        <v/>
      </c>
      <c r="J509" t="str">
        <f t="shared" si="81"/>
        <v/>
      </c>
      <c r="K509" t="str">
        <f t="shared" si="82"/>
        <v/>
      </c>
      <c r="L509" t="str">
        <f t="shared" si="83"/>
        <v/>
      </c>
      <c r="M509" t="str">
        <f t="shared" si="84"/>
        <v/>
      </c>
      <c r="N509" t="str">
        <f t="shared" si="85"/>
        <v/>
      </c>
      <c r="O509" t="str">
        <f t="shared" si="86"/>
        <v/>
      </c>
      <c r="P509" t="str">
        <f>IF($A509="","",IF($E509=1,$F509*$O509,PNL!G509))</f>
        <v/>
      </c>
      <c r="T509" t="str">
        <f t="shared" si="87"/>
        <v/>
      </c>
    </row>
    <row r="510" spans="1:20" x14ac:dyDescent="0.45">
      <c r="A510" t="str">
        <f>IF(PNL!A510="","",PNL!A510)</f>
        <v/>
      </c>
      <c r="B510" t="str">
        <f>IF(PNL!B510="","",PNL!B510)</f>
        <v/>
      </c>
      <c r="C510" t="str">
        <f>IF(PNL!C510="","",PNL!C510)</f>
        <v/>
      </c>
      <c r="D510" t="str">
        <f>IF(PNL!D510="","",PNL!D510)</f>
        <v/>
      </c>
      <c r="E510" t="str">
        <f t="shared" si="77"/>
        <v/>
      </c>
      <c r="F510" t="str">
        <f>IF($A510="","",IF($E510=1,SUMIFS(Compta!$F$1:$F$675,Compta!$A$1:$A$675,$A510,Compta!$B$1:$B$675,$B510,Compta!$C$1:$C$675,"2026"),0))</f>
        <v/>
      </c>
      <c r="G510" t="str">
        <f t="shared" si="78"/>
        <v/>
      </c>
      <c r="H510" t="str">
        <f t="shared" si="79"/>
        <v/>
      </c>
      <c r="I510" t="str">
        <f t="shared" si="80"/>
        <v/>
      </c>
      <c r="J510" t="str">
        <f t="shared" si="81"/>
        <v/>
      </c>
      <c r="K510" t="str">
        <f t="shared" si="82"/>
        <v/>
      </c>
      <c r="L510" t="str">
        <f t="shared" si="83"/>
        <v/>
      </c>
      <c r="M510" t="str">
        <f t="shared" si="84"/>
        <v/>
      </c>
      <c r="N510" t="str">
        <f t="shared" si="85"/>
        <v/>
      </c>
      <c r="O510" t="str">
        <f t="shared" si="86"/>
        <v/>
      </c>
      <c r="P510" t="str">
        <f>IF($A510="","",IF($E510=1,$F510*$O510,PNL!G510))</f>
        <v/>
      </c>
      <c r="T510" t="str">
        <f t="shared" si="87"/>
        <v/>
      </c>
    </row>
    <row r="511" spans="1:20" x14ac:dyDescent="0.45">
      <c r="A511" t="str">
        <f>IF(PNL!A511="","",PNL!A511)</f>
        <v/>
      </c>
      <c r="B511" t="str">
        <f>IF(PNL!B511="","",PNL!B511)</f>
        <v/>
      </c>
      <c r="C511" t="str">
        <f>IF(PNL!C511="","",PNL!C511)</f>
        <v/>
      </c>
      <c r="D511" t="str">
        <f>IF(PNL!D511="","",PNL!D511)</f>
        <v/>
      </c>
      <c r="E511" t="str">
        <f t="shared" si="77"/>
        <v/>
      </c>
      <c r="F511" t="str">
        <f>IF($A511="","",IF($E511=1,SUMIFS(Compta!$F$1:$F$675,Compta!$A$1:$A$675,$A511,Compta!$B$1:$B$675,$B511,Compta!$C$1:$C$675,"2026"),0))</f>
        <v/>
      </c>
      <c r="G511" t="str">
        <f t="shared" si="78"/>
        <v/>
      </c>
      <c r="H511" t="str">
        <f t="shared" si="79"/>
        <v/>
      </c>
      <c r="I511" t="str">
        <f t="shared" si="80"/>
        <v/>
      </c>
      <c r="J511" t="str">
        <f t="shared" si="81"/>
        <v/>
      </c>
      <c r="K511" t="str">
        <f t="shared" si="82"/>
        <v/>
      </c>
      <c r="L511" t="str">
        <f t="shared" si="83"/>
        <v/>
      </c>
      <c r="M511" t="str">
        <f t="shared" si="84"/>
        <v/>
      </c>
      <c r="N511" t="str">
        <f t="shared" si="85"/>
        <v/>
      </c>
      <c r="O511" t="str">
        <f t="shared" si="86"/>
        <v/>
      </c>
      <c r="P511" t="str">
        <f>IF($A511="","",IF($E511=1,$F511*$O511,PNL!G511))</f>
        <v/>
      </c>
      <c r="T511" t="str">
        <f t="shared" si="87"/>
        <v/>
      </c>
    </row>
    <row r="512" spans="1:20" x14ac:dyDescent="0.45">
      <c r="A512" t="str">
        <f>IF(PNL!A512="","",PNL!A512)</f>
        <v/>
      </c>
      <c r="B512" t="str">
        <f>IF(PNL!B512="","",PNL!B512)</f>
        <v/>
      </c>
      <c r="C512" t="str">
        <f>IF(PNL!C512="","",PNL!C512)</f>
        <v/>
      </c>
      <c r="D512" t="str">
        <f>IF(PNL!D512="","",PNL!D512)</f>
        <v/>
      </c>
      <c r="E512" t="str">
        <f t="shared" si="77"/>
        <v/>
      </c>
      <c r="F512" t="str">
        <f>IF($A512="","",IF($E512=1,SUMIFS(Compta!$F$1:$F$675,Compta!$A$1:$A$675,$A512,Compta!$B$1:$B$675,$B512,Compta!$C$1:$C$675,"2026"),0))</f>
        <v/>
      </c>
      <c r="G512" t="str">
        <f t="shared" si="78"/>
        <v/>
      </c>
      <c r="H512" t="str">
        <f t="shared" si="79"/>
        <v/>
      </c>
      <c r="I512" t="str">
        <f t="shared" si="80"/>
        <v/>
      </c>
      <c r="J512" t="str">
        <f t="shared" si="81"/>
        <v/>
      </c>
      <c r="K512" t="str">
        <f t="shared" si="82"/>
        <v/>
      </c>
      <c r="L512" t="str">
        <f t="shared" si="83"/>
        <v/>
      </c>
      <c r="M512" t="str">
        <f t="shared" si="84"/>
        <v/>
      </c>
      <c r="N512" t="str">
        <f t="shared" si="85"/>
        <v/>
      </c>
      <c r="O512" t="str">
        <f t="shared" si="86"/>
        <v/>
      </c>
      <c r="P512" t="str">
        <f>IF($A512="","",IF($E512=1,$F512*$O512,PNL!G512))</f>
        <v/>
      </c>
      <c r="T512" t="str">
        <f t="shared" si="87"/>
        <v/>
      </c>
    </row>
    <row r="513" spans="1:20" x14ac:dyDescent="0.45">
      <c r="A513" t="str">
        <f>IF(PNL!A513="","",PNL!A513)</f>
        <v/>
      </c>
      <c r="B513" t="str">
        <f>IF(PNL!B513="","",PNL!B513)</f>
        <v/>
      </c>
      <c r="C513" t="str">
        <f>IF(PNL!C513="","",PNL!C513)</f>
        <v/>
      </c>
      <c r="D513" t="str">
        <f>IF(PNL!D513="","",PNL!D513)</f>
        <v/>
      </c>
      <c r="E513" t="str">
        <f t="shared" si="77"/>
        <v/>
      </c>
      <c r="F513" t="str">
        <f>IF($A513="","",IF($E513=1,SUMIFS(Compta!$F$1:$F$675,Compta!$A$1:$A$675,$A513,Compta!$B$1:$B$675,$B513,Compta!$C$1:$C$675,"2026"),0))</f>
        <v/>
      </c>
      <c r="G513" t="str">
        <f t="shared" si="78"/>
        <v/>
      </c>
      <c r="H513" t="str">
        <f t="shared" si="79"/>
        <v/>
      </c>
      <c r="I513" t="str">
        <f t="shared" si="80"/>
        <v/>
      </c>
      <c r="J513" t="str">
        <f t="shared" si="81"/>
        <v/>
      </c>
      <c r="K513" t="str">
        <f t="shared" si="82"/>
        <v/>
      </c>
      <c r="L513" t="str">
        <f t="shared" si="83"/>
        <v/>
      </c>
      <c r="M513" t="str">
        <f t="shared" si="84"/>
        <v/>
      </c>
      <c r="N513" t="str">
        <f t="shared" si="85"/>
        <v/>
      </c>
      <c r="O513" t="str">
        <f t="shared" si="86"/>
        <v/>
      </c>
      <c r="P513" t="str">
        <f>IF($A513="","",IF($E513=1,$F513*$O513,PNL!G513))</f>
        <v/>
      </c>
      <c r="T513" t="str">
        <f t="shared" si="87"/>
        <v/>
      </c>
    </row>
    <row r="514" spans="1:20" x14ac:dyDescent="0.45">
      <c r="A514" t="str">
        <f>IF(PNL!A514="","",PNL!A514)</f>
        <v/>
      </c>
      <c r="B514" t="str">
        <f>IF(PNL!B514="","",PNL!B514)</f>
        <v/>
      </c>
      <c r="C514" t="str">
        <f>IF(PNL!C514="","",PNL!C514)</f>
        <v/>
      </c>
      <c r="D514" t="str">
        <f>IF(PNL!D514="","",PNL!D514)</f>
        <v/>
      </c>
      <c r="E514" t="str">
        <f t="shared" ref="E514:E577" si="88">IF($A514="","",IF(AND($C514="2027",OR($D514="V01",$D514="V02",$D514="V03")),1,0))</f>
        <v/>
      </c>
      <c r="F514" t="str">
        <f>IF($A514="","",IF($E514=1,SUMIFS(Compta!$F$1:$F$675,Compta!$A$1:$A$675,$A514,Compta!$B$1:$B$675,$B514,Compta!$C$1:$C$675,"2026"),0))</f>
        <v/>
      </c>
      <c r="G514" t="str">
        <f t="shared" ref="G514:G577" si="89">IF($A514="","",IF($D514="V01",cad!$C$23,IF($D514="V02",cad!$D$23,cad!$E$23)))</f>
        <v/>
      </c>
      <c r="H514" t="str">
        <f t="shared" ref="H514:H577" si="90">IF($A514="","",IF($D514="V01",cad!$C$24,IF($D514="V02",cad!$D$24,cad!$E$24)))</f>
        <v/>
      </c>
      <c r="I514" t="str">
        <f t="shared" ref="I514:I577" si="91">IF($A514="","",IF($D514="V01",cad!$C$32,IF($D514="V02",cad!$D$32,cad!$E$32)))</f>
        <v/>
      </c>
      <c r="J514" t="str">
        <f t="shared" ref="J514:J577" si="92">IF($A514="","",IF($D514="V01",cad!$C$33,IF($D514="V02",cad!$D$33,cad!$E$33)))</f>
        <v/>
      </c>
      <c r="K514" t="str">
        <f t="shared" ref="K514:K577" si="93">IF($A514="","",IF($D514="V01",cad!$C$34,IF($D514="V02",cad!$D$34,cad!$E$34)))</f>
        <v/>
      </c>
      <c r="L514" t="str">
        <f t="shared" ref="L514:L577" si="94">IF($A514="","",IF($D514="V01",cad!$C$35,IF($D514="V02",cad!$D$35,cad!$E$35)))</f>
        <v/>
      </c>
      <c r="M514" t="str">
        <f t="shared" ref="M514:M577" si="95">IF($A514="","",IF($D514="V01",cad!$C$36,IF($D514="V02",cad!$D$36,cad!$E$36)))</f>
        <v/>
      </c>
      <c r="N514" t="str">
        <f t="shared" ref="N514:N577" si="96">IF($A514="","",IF($D514="V01",$R$2,IF($D514="V02",$R$3,$R$4)))</f>
        <v/>
      </c>
      <c r="O514" t="str">
        <f t="shared" ref="O514:O577" si="97">IF($A514="","",IF(OR($B514="7062",$B514="706",$B514="708"),$N514,IF($B514="6231",1+$G514,IF($B514="6236",1+$H514,IF(OR($B514="621",$B514="604",$B514="6063"),$N514*(1-$L514),IF(OR($B514="6411",$B514="6413",$B514="6414",$B514="645"),(1+$J514)*(1+$K514),IF(OR($B514="613",$B514="615",$B514="616",$B514="6226",$B514="625",$B514="626",$B514="6281"),(1+$I514)*(1-$L514)*(1+$M514),IF(OR($B514="6331",$B514="63511",$B514="6333"),(1+$I514)*(1-$L514),IF($B514="6811",1+$I514,1)))))))))</f>
        <v/>
      </c>
      <c r="P514" t="str">
        <f>IF($A514="","",IF($E514=1,$F514*$O514,PNL!G514))</f>
        <v/>
      </c>
      <c r="T514" t="str">
        <f t="shared" ref="T514:T577" si="98">IF($A514="","",IF($E514=1,IF(OR($B514="7062",$B514="706",$B514="708"),$P514,IF(AND(LEFT($B514,1)="6",$B514&lt;&gt;"6811"),-$P514,0)),0))</f>
        <v/>
      </c>
    </row>
    <row r="515" spans="1:20" x14ac:dyDescent="0.45">
      <c r="A515" t="str">
        <f>IF(PNL!A515="","",PNL!A515)</f>
        <v/>
      </c>
      <c r="B515" t="str">
        <f>IF(PNL!B515="","",PNL!B515)</f>
        <v/>
      </c>
      <c r="C515" t="str">
        <f>IF(PNL!C515="","",PNL!C515)</f>
        <v/>
      </c>
      <c r="D515" t="str">
        <f>IF(PNL!D515="","",PNL!D515)</f>
        <v/>
      </c>
      <c r="E515" t="str">
        <f t="shared" si="88"/>
        <v/>
      </c>
      <c r="F515" t="str">
        <f>IF($A515="","",IF($E515=1,SUMIFS(Compta!$F$1:$F$675,Compta!$A$1:$A$675,$A515,Compta!$B$1:$B$675,$B515,Compta!$C$1:$C$675,"2026"),0))</f>
        <v/>
      </c>
      <c r="G515" t="str">
        <f t="shared" si="89"/>
        <v/>
      </c>
      <c r="H515" t="str">
        <f t="shared" si="90"/>
        <v/>
      </c>
      <c r="I515" t="str">
        <f t="shared" si="91"/>
        <v/>
      </c>
      <c r="J515" t="str">
        <f t="shared" si="92"/>
        <v/>
      </c>
      <c r="K515" t="str">
        <f t="shared" si="93"/>
        <v/>
      </c>
      <c r="L515" t="str">
        <f t="shared" si="94"/>
        <v/>
      </c>
      <c r="M515" t="str">
        <f t="shared" si="95"/>
        <v/>
      </c>
      <c r="N515" t="str">
        <f t="shared" si="96"/>
        <v/>
      </c>
      <c r="O515" t="str">
        <f t="shared" si="97"/>
        <v/>
      </c>
      <c r="P515" t="str">
        <f>IF($A515="","",IF($E515=1,$F515*$O515,PNL!G515))</f>
        <v/>
      </c>
      <c r="T515" t="str">
        <f t="shared" si="98"/>
        <v/>
      </c>
    </row>
    <row r="516" spans="1:20" x14ac:dyDescent="0.45">
      <c r="A516" t="str">
        <f>IF(PNL!A516="","",PNL!A516)</f>
        <v/>
      </c>
      <c r="B516" t="str">
        <f>IF(PNL!B516="","",PNL!B516)</f>
        <v/>
      </c>
      <c r="C516" t="str">
        <f>IF(PNL!C516="","",PNL!C516)</f>
        <v/>
      </c>
      <c r="D516" t="str">
        <f>IF(PNL!D516="","",PNL!D516)</f>
        <v/>
      </c>
      <c r="E516" t="str">
        <f t="shared" si="88"/>
        <v/>
      </c>
      <c r="F516" t="str">
        <f>IF($A516="","",IF($E516=1,SUMIFS(Compta!$F$1:$F$675,Compta!$A$1:$A$675,$A516,Compta!$B$1:$B$675,$B516,Compta!$C$1:$C$675,"2026"),0))</f>
        <v/>
      </c>
      <c r="G516" t="str">
        <f t="shared" si="89"/>
        <v/>
      </c>
      <c r="H516" t="str">
        <f t="shared" si="90"/>
        <v/>
      </c>
      <c r="I516" t="str">
        <f t="shared" si="91"/>
        <v/>
      </c>
      <c r="J516" t="str">
        <f t="shared" si="92"/>
        <v/>
      </c>
      <c r="K516" t="str">
        <f t="shared" si="93"/>
        <v/>
      </c>
      <c r="L516" t="str">
        <f t="shared" si="94"/>
        <v/>
      </c>
      <c r="M516" t="str">
        <f t="shared" si="95"/>
        <v/>
      </c>
      <c r="N516" t="str">
        <f t="shared" si="96"/>
        <v/>
      </c>
      <c r="O516" t="str">
        <f t="shared" si="97"/>
        <v/>
      </c>
      <c r="P516" t="str">
        <f>IF($A516="","",IF($E516=1,$F516*$O516,PNL!G516))</f>
        <v/>
      </c>
      <c r="T516" t="str">
        <f t="shared" si="98"/>
        <v/>
      </c>
    </row>
    <row r="517" spans="1:20" x14ac:dyDescent="0.45">
      <c r="A517" t="str">
        <f>IF(PNL!A517="","",PNL!A517)</f>
        <v/>
      </c>
      <c r="B517" t="str">
        <f>IF(PNL!B517="","",PNL!B517)</f>
        <v/>
      </c>
      <c r="C517" t="str">
        <f>IF(PNL!C517="","",PNL!C517)</f>
        <v/>
      </c>
      <c r="D517" t="str">
        <f>IF(PNL!D517="","",PNL!D517)</f>
        <v/>
      </c>
      <c r="E517" t="str">
        <f t="shared" si="88"/>
        <v/>
      </c>
      <c r="F517" t="str">
        <f>IF($A517="","",IF($E517=1,SUMIFS(Compta!$F$1:$F$675,Compta!$A$1:$A$675,$A517,Compta!$B$1:$B$675,$B517,Compta!$C$1:$C$675,"2026"),0))</f>
        <v/>
      </c>
      <c r="G517" t="str">
        <f t="shared" si="89"/>
        <v/>
      </c>
      <c r="H517" t="str">
        <f t="shared" si="90"/>
        <v/>
      </c>
      <c r="I517" t="str">
        <f t="shared" si="91"/>
        <v/>
      </c>
      <c r="J517" t="str">
        <f t="shared" si="92"/>
        <v/>
      </c>
      <c r="K517" t="str">
        <f t="shared" si="93"/>
        <v/>
      </c>
      <c r="L517" t="str">
        <f t="shared" si="94"/>
        <v/>
      </c>
      <c r="M517" t="str">
        <f t="shared" si="95"/>
        <v/>
      </c>
      <c r="N517" t="str">
        <f t="shared" si="96"/>
        <v/>
      </c>
      <c r="O517" t="str">
        <f t="shared" si="97"/>
        <v/>
      </c>
      <c r="P517" t="str">
        <f>IF($A517="","",IF($E517=1,$F517*$O517,PNL!G517))</f>
        <v/>
      </c>
      <c r="T517" t="str">
        <f t="shared" si="98"/>
        <v/>
      </c>
    </row>
    <row r="518" spans="1:20" x14ac:dyDescent="0.45">
      <c r="A518" t="str">
        <f>IF(PNL!A518="","",PNL!A518)</f>
        <v/>
      </c>
      <c r="B518" t="str">
        <f>IF(PNL!B518="","",PNL!B518)</f>
        <v/>
      </c>
      <c r="C518" t="str">
        <f>IF(PNL!C518="","",PNL!C518)</f>
        <v/>
      </c>
      <c r="D518" t="str">
        <f>IF(PNL!D518="","",PNL!D518)</f>
        <v/>
      </c>
      <c r="E518" t="str">
        <f t="shared" si="88"/>
        <v/>
      </c>
      <c r="F518" t="str">
        <f>IF($A518="","",IF($E518=1,SUMIFS(Compta!$F$1:$F$675,Compta!$A$1:$A$675,$A518,Compta!$B$1:$B$675,$B518,Compta!$C$1:$C$675,"2026"),0))</f>
        <v/>
      </c>
      <c r="G518" t="str">
        <f t="shared" si="89"/>
        <v/>
      </c>
      <c r="H518" t="str">
        <f t="shared" si="90"/>
        <v/>
      </c>
      <c r="I518" t="str">
        <f t="shared" si="91"/>
        <v/>
      </c>
      <c r="J518" t="str">
        <f t="shared" si="92"/>
        <v/>
      </c>
      <c r="K518" t="str">
        <f t="shared" si="93"/>
        <v/>
      </c>
      <c r="L518" t="str">
        <f t="shared" si="94"/>
        <v/>
      </c>
      <c r="M518" t="str">
        <f t="shared" si="95"/>
        <v/>
      </c>
      <c r="N518" t="str">
        <f t="shared" si="96"/>
        <v/>
      </c>
      <c r="O518" t="str">
        <f t="shared" si="97"/>
        <v/>
      </c>
      <c r="P518" t="str">
        <f>IF($A518="","",IF($E518=1,$F518*$O518,PNL!G518))</f>
        <v/>
      </c>
      <c r="T518" t="str">
        <f t="shared" si="98"/>
        <v/>
      </c>
    </row>
    <row r="519" spans="1:20" x14ac:dyDescent="0.45">
      <c r="A519" t="str">
        <f>IF(PNL!A519="","",PNL!A519)</f>
        <v/>
      </c>
      <c r="B519" t="str">
        <f>IF(PNL!B519="","",PNL!B519)</f>
        <v/>
      </c>
      <c r="C519" t="str">
        <f>IF(PNL!C519="","",PNL!C519)</f>
        <v/>
      </c>
      <c r="D519" t="str">
        <f>IF(PNL!D519="","",PNL!D519)</f>
        <v/>
      </c>
      <c r="E519" t="str">
        <f t="shared" si="88"/>
        <v/>
      </c>
      <c r="F519" t="str">
        <f>IF($A519="","",IF($E519=1,SUMIFS(Compta!$F$1:$F$675,Compta!$A$1:$A$675,$A519,Compta!$B$1:$B$675,$B519,Compta!$C$1:$C$675,"2026"),0))</f>
        <v/>
      </c>
      <c r="G519" t="str">
        <f t="shared" si="89"/>
        <v/>
      </c>
      <c r="H519" t="str">
        <f t="shared" si="90"/>
        <v/>
      </c>
      <c r="I519" t="str">
        <f t="shared" si="91"/>
        <v/>
      </c>
      <c r="J519" t="str">
        <f t="shared" si="92"/>
        <v/>
      </c>
      <c r="K519" t="str">
        <f t="shared" si="93"/>
        <v/>
      </c>
      <c r="L519" t="str">
        <f t="shared" si="94"/>
        <v/>
      </c>
      <c r="M519" t="str">
        <f t="shared" si="95"/>
        <v/>
      </c>
      <c r="N519" t="str">
        <f t="shared" si="96"/>
        <v/>
      </c>
      <c r="O519" t="str">
        <f t="shared" si="97"/>
        <v/>
      </c>
      <c r="P519" t="str">
        <f>IF($A519="","",IF($E519=1,$F519*$O519,PNL!G519))</f>
        <v/>
      </c>
      <c r="T519" t="str">
        <f t="shared" si="98"/>
        <v/>
      </c>
    </row>
    <row r="520" spans="1:20" x14ac:dyDescent="0.45">
      <c r="A520" t="str">
        <f>IF(PNL!A520="","",PNL!A520)</f>
        <v/>
      </c>
      <c r="B520" t="str">
        <f>IF(PNL!B520="","",PNL!B520)</f>
        <v/>
      </c>
      <c r="C520" t="str">
        <f>IF(PNL!C520="","",PNL!C520)</f>
        <v/>
      </c>
      <c r="D520" t="str">
        <f>IF(PNL!D520="","",PNL!D520)</f>
        <v/>
      </c>
      <c r="E520" t="str">
        <f t="shared" si="88"/>
        <v/>
      </c>
      <c r="F520" t="str">
        <f>IF($A520="","",IF($E520=1,SUMIFS(Compta!$F$1:$F$675,Compta!$A$1:$A$675,$A520,Compta!$B$1:$B$675,$B520,Compta!$C$1:$C$675,"2026"),0))</f>
        <v/>
      </c>
      <c r="G520" t="str">
        <f t="shared" si="89"/>
        <v/>
      </c>
      <c r="H520" t="str">
        <f t="shared" si="90"/>
        <v/>
      </c>
      <c r="I520" t="str">
        <f t="shared" si="91"/>
        <v/>
      </c>
      <c r="J520" t="str">
        <f t="shared" si="92"/>
        <v/>
      </c>
      <c r="K520" t="str">
        <f t="shared" si="93"/>
        <v/>
      </c>
      <c r="L520" t="str">
        <f t="shared" si="94"/>
        <v/>
      </c>
      <c r="M520" t="str">
        <f t="shared" si="95"/>
        <v/>
      </c>
      <c r="N520" t="str">
        <f t="shared" si="96"/>
        <v/>
      </c>
      <c r="O520" t="str">
        <f t="shared" si="97"/>
        <v/>
      </c>
      <c r="P520" t="str">
        <f>IF($A520="","",IF($E520=1,$F520*$O520,PNL!G520))</f>
        <v/>
      </c>
      <c r="T520" t="str">
        <f t="shared" si="98"/>
        <v/>
      </c>
    </row>
    <row r="521" spans="1:20" x14ac:dyDescent="0.45">
      <c r="A521" t="str">
        <f>IF(PNL!A521="","",PNL!A521)</f>
        <v/>
      </c>
      <c r="B521" t="str">
        <f>IF(PNL!B521="","",PNL!B521)</f>
        <v/>
      </c>
      <c r="C521" t="str">
        <f>IF(PNL!C521="","",PNL!C521)</f>
        <v/>
      </c>
      <c r="D521" t="str">
        <f>IF(PNL!D521="","",PNL!D521)</f>
        <v/>
      </c>
      <c r="E521" t="str">
        <f t="shared" si="88"/>
        <v/>
      </c>
      <c r="F521" t="str">
        <f>IF($A521="","",IF($E521=1,SUMIFS(Compta!$F$1:$F$675,Compta!$A$1:$A$675,$A521,Compta!$B$1:$B$675,$B521,Compta!$C$1:$C$675,"2026"),0))</f>
        <v/>
      </c>
      <c r="G521" t="str">
        <f t="shared" si="89"/>
        <v/>
      </c>
      <c r="H521" t="str">
        <f t="shared" si="90"/>
        <v/>
      </c>
      <c r="I521" t="str">
        <f t="shared" si="91"/>
        <v/>
      </c>
      <c r="J521" t="str">
        <f t="shared" si="92"/>
        <v/>
      </c>
      <c r="K521" t="str">
        <f t="shared" si="93"/>
        <v/>
      </c>
      <c r="L521" t="str">
        <f t="shared" si="94"/>
        <v/>
      </c>
      <c r="M521" t="str">
        <f t="shared" si="95"/>
        <v/>
      </c>
      <c r="N521" t="str">
        <f t="shared" si="96"/>
        <v/>
      </c>
      <c r="O521" t="str">
        <f t="shared" si="97"/>
        <v/>
      </c>
      <c r="P521" t="str">
        <f>IF($A521="","",IF($E521=1,$F521*$O521,PNL!G521))</f>
        <v/>
      </c>
      <c r="T521" t="str">
        <f t="shared" si="98"/>
        <v/>
      </c>
    </row>
    <row r="522" spans="1:20" x14ac:dyDescent="0.45">
      <c r="A522" t="str">
        <f>IF(PNL!A522="","",PNL!A522)</f>
        <v/>
      </c>
      <c r="B522" t="str">
        <f>IF(PNL!B522="","",PNL!B522)</f>
        <v/>
      </c>
      <c r="C522" t="str">
        <f>IF(PNL!C522="","",PNL!C522)</f>
        <v/>
      </c>
      <c r="D522" t="str">
        <f>IF(PNL!D522="","",PNL!D522)</f>
        <v/>
      </c>
      <c r="E522" t="str">
        <f t="shared" si="88"/>
        <v/>
      </c>
      <c r="F522" t="str">
        <f>IF($A522="","",IF($E522=1,SUMIFS(Compta!$F$1:$F$675,Compta!$A$1:$A$675,$A522,Compta!$B$1:$B$675,$B522,Compta!$C$1:$C$675,"2026"),0))</f>
        <v/>
      </c>
      <c r="G522" t="str">
        <f t="shared" si="89"/>
        <v/>
      </c>
      <c r="H522" t="str">
        <f t="shared" si="90"/>
        <v/>
      </c>
      <c r="I522" t="str">
        <f t="shared" si="91"/>
        <v/>
      </c>
      <c r="J522" t="str">
        <f t="shared" si="92"/>
        <v/>
      </c>
      <c r="K522" t="str">
        <f t="shared" si="93"/>
        <v/>
      </c>
      <c r="L522" t="str">
        <f t="shared" si="94"/>
        <v/>
      </c>
      <c r="M522" t="str">
        <f t="shared" si="95"/>
        <v/>
      </c>
      <c r="N522" t="str">
        <f t="shared" si="96"/>
        <v/>
      </c>
      <c r="O522" t="str">
        <f t="shared" si="97"/>
        <v/>
      </c>
      <c r="P522" t="str">
        <f>IF($A522="","",IF($E522=1,$F522*$O522,PNL!G522))</f>
        <v/>
      </c>
      <c r="T522" t="str">
        <f t="shared" si="98"/>
        <v/>
      </c>
    </row>
    <row r="523" spans="1:20" x14ac:dyDescent="0.45">
      <c r="A523" t="str">
        <f>IF(PNL!A523="","",PNL!A523)</f>
        <v/>
      </c>
      <c r="B523" t="str">
        <f>IF(PNL!B523="","",PNL!B523)</f>
        <v/>
      </c>
      <c r="C523" t="str">
        <f>IF(PNL!C523="","",PNL!C523)</f>
        <v/>
      </c>
      <c r="D523" t="str">
        <f>IF(PNL!D523="","",PNL!D523)</f>
        <v/>
      </c>
      <c r="E523" t="str">
        <f t="shared" si="88"/>
        <v/>
      </c>
      <c r="F523" t="str">
        <f>IF($A523="","",IF($E523=1,SUMIFS(Compta!$F$1:$F$675,Compta!$A$1:$A$675,$A523,Compta!$B$1:$B$675,$B523,Compta!$C$1:$C$675,"2026"),0))</f>
        <v/>
      </c>
      <c r="G523" t="str">
        <f t="shared" si="89"/>
        <v/>
      </c>
      <c r="H523" t="str">
        <f t="shared" si="90"/>
        <v/>
      </c>
      <c r="I523" t="str">
        <f t="shared" si="91"/>
        <v/>
      </c>
      <c r="J523" t="str">
        <f t="shared" si="92"/>
        <v/>
      </c>
      <c r="K523" t="str">
        <f t="shared" si="93"/>
        <v/>
      </c>
      <c r="L523" t="str">
        <f t="shared" si="94"/>
        <v/>
      </c>
      <c r="M523" t="str">
        <f t="shared" si="95"/>
        <v/>
      </c>
      <c r="N523" t="str">
        <f t="shared" si="96"/>
        <v/>
      </c>
      <c r="O523" t="str">
        <f t="shared" si="97"/>
        <v/>
      </c>
      <c r="P523" t="str">
        <f>IF($A523="","",IF($E523=1,$F523*$O523,PNL!G523))</f>
        <v/>
      </c>
      <c r="T523" t="str">
        <f t="shared" si="98"/>
        <v/>
      </c>
    </row>
    <row r="524" spans="1:20" x14ac:dyDescent="0.45">
      <c r="A524" t="str">
        <f>IF(PNL!A524="","",PNL!A524)</f>
        <v/>
      </c>
      <c r="B524" t="str">
        <f>IF(PNL!B524="","",PNL!B524)</f>
        <v/>
      </c>
      <c r="C524" t="str">
        <f>IF(PNL!C524="","",PNL!C524)</f>
        <v/>
      </c>
      <c r="D524" t="str">
        <f>IF(PNL!D524="","",PNL!D524)</f>
        <v/>
      </c>
      <c r="E524" t="str">
        <f t="shared" si="88"/>
        <v/>
      </c>
      <c r="F524" t="str">
        <f>IF($A524="","",IF($E524=1,SUMIFS(Compta!$F$1:$F$675,Compta!$A$1:$A$675,$A524,Compta!$B$1:$B$675,$B524,Compta!$C$1:$C$675,"2026"),0))</f>
        <v/>
      </c>
      <c r="G524" t="str">
        <f t="shared" si="89"/>
        <v/>
      </c>
      <c r="H524" t="str">
        <f t="shared" si="90"/>
        <v/>
      </c>
      <c r="I524" t="str">
        <f t="shared" si="91"/>
        <v/>
      </c>
      <c r="J524" t="str">
        <f t="shared" si="92"/>
        <v/>
      </c>
      <c r="K524" t="str">
        <f t="shared" si="93"/>
        <v/>
      </c>
      <c r="L524" t="str">
        <f t="shared" si="94"/>
        <v/>
      </c>
      <c r="M524" t="str">
        <f t="shared" si="95"/>
        <v/>
      </c>
      <c r="N524" t="str">
        <f t="shared" si="96"/>
        <v/>
      </c>
      <c r="O524" t="str">
        <f t="shared" si="97"/>
        <v/>
      </c>
      <c r="P524" t="str">
        <f>IF($A524="","",IF($E524=1,$F524*$O524,PNL!G524))</f>
        <v/>
      </c>
      <c r="T524" t="str">
        <f t="shared" si="98"/>
        <v/>
      </c>
    </row>
    <row r="525" spans="1:20" x14ac:dyDescent="0.45">
      <c r="A525" t="str">
        <f>IF(PNL!A525="","",PNL!A525)</f>
        <v/>
      </c>
      <c r="B525" t="str">
        <f>IF(PNL!B525="","",PNL!B525)</f>
        <v/>
      </c>
      <c r="C525" t="str">
        <f>IF(PNL!C525="","",PNL!C525)</f>
        <v/>
      </c>
      <c r="D525" t="str">
        <f>IF(PNL!D525="","",PNL!D525)</f>
        <v/>
      </c>
      <c r="E525" t="str">
        <f t="shared" si="88"/>
        <v/>
      </c>
      <c r="F525" t="str">
        <f>IF($A525="","",IF($E525=1,SUMIFS(Compta!$F$1:$F$675,Compta!$A$1:$A$675,$A525,Compta!$B$1:$B$675,$B525,Compta!$C$1:$C$675,"2026"),0))</f>
        <v/>
      </c>
      <c r="G525" t="str">
        <f t="shared" si="89"/>
        <v/>
      </c>
      <c r="H525" t="str">
        <f t="shared" si="90"/>
        <v/>
      </c>
      <c r="I525" t="str">
        <f t="shared" si="91"/>
        <v/>
      </c>
      <c r="J525" t="str">
        <f t="shared" si="92"/>
        <v/>
      </c>
      <c r="K525" t="str">
        <f t="shared" si="93"/>
        <v/>
      </c>
      <c r="L525" t="str">
        <f t="shared" si="94"/>
        <v/>
      </c>
      <c r="M525" t="str">
        <f t="shared" si="95"/>
        <v/>
      </c>
      <c r="N525" t="str">
        <f t="shared" si="96"/>
        <v/>
      </c>
      <c r="O525" t="str">
        <f t="shared" si="97"/>
        <v/>
      </c>
      <c r="P525" t="str">
        <f>IF($A525="","",IF($E525=1,$F525*$O525,PNL!G525))</f>
        <v/>
      </c>
      <c r="T525" t="str">
        <f t="shared" si="98"/>
        <v/>
      </c>
    </row>
    <row r="526" spans="1:20" x14ac:dyDescent="0.45">
      <c r="A526" t="str">
        <f>IF(PNL!A526="","",PNL!A526)</f>
        <v/>
      </c>
      <c r="B526" t="str">
        <f>IF(PNL!B526="","",PNL!B526)</f>
        <v/>
      </c>
      <c r="C526" t="str">
        <f>IF(PNL!C526="","",PNL!C526)</f>
        <v/>
      </c>
      <c r="D526" t="str">
        <f>IF(PNL!D526="","",PNL!D526)</f>
        <v/>
      </c>
      <c r="E526" t="str">
        <f t="shared" si="88"/>
        <v/>
      </c>
      <c r="F526" t="str">
        <f>IF($A526="","",IF($E526=1,SUMIFS(Compta!$F$1:$F$675,Compta!$A$1:$A$675,$A526,Compta!$B$1:$B$675,$B526,Compta!$C$1:$C$675,"2026"),0))</f>
        <v/>
      </c>
      <c r="G526" t="str">
        <f t="shared" si="89"/>
        <v/>
      </c>
      <c r="H526" t="str">
        <f t="shared" si="90"/>
        <v/>
      </c>
      <c r="I526" t="str">
        <f t="shared" si="91"/>
        <v/>
      </c>
      <c r="J526" t="str">
        <f t="shared" si="92"/>
        <v/>
      </c>
      <c r="K526" t="str">
        <f t="shared" si="93"/>
        <v/>
      </c>
      <c r="L526" t="str">
        <f t="shared" si="94"/>
        <v/>
      </c>
      <c r="M526" t="str">
        <f t="shared" si="95"/>
        <v/>
      </c>
      <c r="N526" t="str">
        <f t="shared" si="96"/>
        <v/>
      </c>
      <c r="O526" t="str">
        <f t="shared" si="97"/>
        <v/>
      </c>
      <c r="P526" t="str">
        <f>IF($A526="","",IF($E526=1,$F526*$O526,PNL!G526))</f>
        <v/>
      </c>
      <c r="T526" t="str">
        <f t="shared" si="98"/>
        <v/>
      </c>
    </row>
    <row r="527" spans="1:20" x14ac:dyDescent="0.45">
      <c r="A527" t="str">
        <f>IF(PNL!A527="","",PNL!A527)</f>
        <v/>
      </c>
      <c r="B527" t="str">
        <f>IF(PNL!B527="","",PNL!B527)</f>
        <v/>
      </c>
      <c r="C527" t="str">
        <f>IF(PNL!C527="","",PNL!C527)</f>
        <v/>
      </c>
      <c r="D527" t="str">
        <f>IF(PNL!D527="","",PNL!D527)</f>
        <v/>
      </c>
      <c r="E527" t="str">
        <f t="shared" si="88"/>
        <v/>
      </c>
      <c r="F527" t="str">
        <f>IF($A527="","",IF($E527=1,SUMIFS(Compta!$F$1:$F$675,Compta!$A$1:$A$675,$A527,Compta!$B$1:$B$675,$B527,Compta!$C$1:$C$675,"2026"),0))</f>
        <v/>
      </c>
      <c r="G527" t="str">
        <f t="shared" si="89"/>
        <v/>
      </c>
      <c r="H527" t="str">
        <f t="shared" si="90"/>
        <v/>
      </c>
      <c r="I527" t="str">
        <f t="shared" si="91"/>
        <v/>
      </c>
      <c r="J527" t="str">
        <f t="shared" si="92"/>
        <v/>
      </c>
      <c r="K527" t="str">
        <f t="shared" si="93"/>
        <v/>
      </c>
      <c r="L527" t="str">
        <f t="shared" si="94"/>
        <v/>
      </c>
      <c r="M527" t="str">
        <f t="shared" si="95"/>
        <v/>
      </c>
      <c r="N527" t="str">
        <f t="shared" si="96"/>
        <v/>
      </c>
      <c r="O527" t="str">
        <f t="shared" si="97"/>
        <v/>
      </c>
      <c r="P527" t="str">
        <f>IF($A527="","",IF($E527=1,$F527*$O527,PNL!G527))</f>
        <v/>
      </c>
      <c r="T527" t="str">
        <f t="shared" si="98"/>
        <v/>
      </c>
    </row>
    <row r="528" spans="1:20" x14ac:dyDescent="0.45">
      <c r="A528" t="str">
        <f>IF(PNL!A528="","",PNL!A528)</f>
        <v/>
      </c>
      <c r="B528" t="str">
        <f>IF(PNL!B528="","",PNL!B528)</f>
        <v/>
      </c>
      <c r="C528" t="str">
        <f>IF(PNL!C528="","",PNL!C528)</f>
        <v/>
      </c>
      <c r="D528" t="str">
        <f>IF(PNL!D528="","",PNL!D528)</f>
        <v/>
      </c>
      <c r="E528" t="str">
        <f t="shared" si="88"/>
        <v/>
      </c>
      <c r="F528" t="str">
        <f>IF($A528="","",IF($E528=1,SUMIFS(Compta!$F$1:$F$675,Compta!$A$1:$A$675,$A528,Compta!$B$1:$B$675,$B528,Compta!$C$1:$C$675,"2026"),0))</f>
        <v/>
      </c>
      <c r="G528" t="str">
        <f t="shared" si="89"/>
        <v/>
      </c>
      <c r="H528" t="str">
        <f t="shared" si="90"/>
        <v/>
      </c>
      <c r="I528" t="str">
        <f t="shared" si="91"/>
        <v/>
      </c>
      <c r="J528" t="str">
        <f t="shared" si="92"/>
        <v/>
      </c>
      <c r="K528" t="str">
        <f t="shared" si="93"/>
        <v/>
      </c>
      <c r="L528" t="str">
        <f t="shared" si="94"/>
        <v/>
      </c>
      <c r="M528" t="str">
        <f t="shared" si="95"/>
        <v/>
      </c>
      <c r="N528" t="str">
        <f t="shared" si="96"/>
        <v/>
      </c>
      <c r="O528" t="str">
        <f t="shared" si="97"/>
        <v/>
      </c>
      <c r="P528" t="str">
        <f>IF($A528="","",IF($E528=1,$F528*$O528,PNL!G528))</f>
        <v/>
      </c>
      <c r="T528" t="str">
        <f t="shared" si="98"/>
        <v/>
      </c>
    </row>
    <row r="529" spans="1:20" x14ac:dyDescent="0.45">
      <c r="A529" t="str">
        <f>IF(PNL!A529="","",PNL!A529)</f>
        <v/>
      </c>
      <c r="B529" t="str">
        <f>IF(PNL!B529="","",PNL!B529)</f>
        <v/>
      </c>
      <c r="C529" t="str">
        <f>IF(PNL!C529="","",PNL!C529)</f>
        <v/>
      </c>
      <c r="D529" t="str">
        <f>IF(PNL!D529="","",PNL!D529)</f>
        <v/>
      </c>
      <c r="E529" t="str">
        <f t="shared" si="88"/>
        <v/>
      </c>
      <c r="F529" t="str">
        <f>IF($A529="","",IF($E529=1,SUMIFS(Compta!$F$1:$F$675,Compta!$A$1:$A$675,$A529,Compta!$B$1:$B$675,$B529,Compta!$C$1:$C$675,"2026"),0))</f>
        <v/>
      </c>
      <c r="G529" t="str">
        <f t="shared" si="89"/>
        <v/>
      </c>
      <c r="H529" t="str">
        <f t="shared" si="90"/>
        <v/>
      </c>
      <c r="I529" t="str">
        <f t="shared" si="91"/>
        <v/>
      </c>
      <c r="J529" t="str">
        <f t="shared" si="92"/>
        <v/>
      </c>
      <c r="K529" t="str">
        <f t="shared" si="93"/>
        <v/>
      </c>
      <c r="L529" t="str">
        <f t="shared" si="94"/>
        <v/>
      </c>
      <c r="M529" t="str">
        <f t="shared" si="95"/>
        <v/>
      </c>
      <c r="N529" t="str">
        <f t="shared" si="96"/>
        <v/>
      </c>
      <c r="O529" t="str">
        <f t="shared" si="97"/>
        <v/>
      </c>
      <c r="P529" t="str">
        <f>IF($A529="","",IF($E529=1,$F529*$O529,PNL!G529))</f>
        <v/>
      </c>
      <c r="T529" t="str">
        <f t="shared" si="98"/>
        <v/>
      </c>
    </row>
    <row r="530" spans="1:20" x14ac:dyDescent="0.45">
      <c r="A530" t="str">
        <f>IF(PNL!A530="","",PNL!A530)</f>
        <v/>
      </c>
      <c r="B530" t="str">
        <f>IF(PNL!B530="","",PNL!B530)</f>
        <v/>
      </c>
      <c r="C530" t="str">
        <f>IF(PNL!C530="","",PNL!C530)</f>
        <v/>
      </c>
      <c r="D530" t="str">
        <f>IF(PNL!D530="","",PNL!D530)</f>
        <v/>
      </c>
      <c r="E530" t="str">
        <f t="shared" si="88"/>
        <v/>
      </c>
      <c r="F530" t="str">
        <f>IF($A530="","",IF($E530=1,SUMIFS(Compta!$F$1:$F$675,Compta!$A$1:$A$675,$A530,Compta!$B$1:$B$675,$B530,Compta!$C$1:$C$675,"2026"),0))</f>
        <v/>
      </c>
      <c r="G530" t="str">
        <f t="shared" si="89"/>
        <v/>
      </c>
      <c r="H530" t="str">
        <f t="shared" si="90"/>
        <v/>
      </c>
      <c r="I530" t="str">
        <f t="shared" si="91"/>
        <v/>
      </c>
      <c r="J530" t="str">
        <f t="shared" si="92"/>
        <v/>
      </c>
      <c r="K530" t="str">
        <f t="shared" si="93"/>
        <v/>
      </c>
      <c r="L530" t="str">
        <f t="shared" si="94"/>
        <v/>
      </c>
      <c r="M530" t="str">
        <f t="shared" si="95"/>
        <v/>
      </c>
      <c r="N530" t="str">
        <f t="shared" si="96"/>
        <v/>
      </c>
      <c r="O530" t="str">
        <f t="shared" si="97"/>
        <v/>
      </c>
      <c r="P530" t="str">
        <f>IF($A530="","",IF($E530=1,$F530*$O530,PNL!G530))</f>
        <v/>
      </c>
      <c r="T530" t="str">
        <f t="shared" si="98"/>
        <v/>
      </c>
    </row>
    <row r="531" spans="1:20" x14ac:dyDescent="0.45">
      <c r="A531" t="str">
        <f>IF(PNL!A531="","",PNL!A531)</f>
        <v/>
      </c>
      <c r="B531" t="str">
        <f>IF(PNL!B531="","",PNL!B531)</f>
        <v/>
      </c>
      <c r="C531" t="str">
        <f>IF(PNL!C531="","",PNL!C531)</f>
        <v/>
      </c>
      <c r="D531" t="str">
        <f>IF(PNL!D531="","",PNL!D531)</f>
        <v/>
      </c>
      <c r="E531" t="str">
        <f t="shared" si="88"/>
        <v/>
      </c>
      <c r="F531" t="str">
        <f>IF($A531="","",IF($E531=1,SUMIFS(Compta!$F$1:$F$675,Compta!$A$1:$A$675,$A531,Compta!$B$1:$B$675,$B531,Compta!$C$1:$C$675,"2026"),0))</f>
        <v/>
      </c>
      <c r="G531" t="str">
        <f t="shared" si="89"/>
        <v/>
      </c>
      <c r="H531" t="str">
        <f t="shared" si="90"/>
        <v/>
      </c>
      <c r="I531" t="str">
        <f t="shared" si="91"/>
        <v/>
      </c>
      <c r="J531" t="str">
        <f t="shared" si="92"/>
        <v/>
      </c>
      <c r="K531" t="str">
        <f t="shared" si="93"/>
        <v/>
      </c>
      <c r="L531" t="str">
        <f t="shared" si="94"/>
        <v/>
      </c>
      <c r="M531" t="str">
        <f t="shared" si="95"/>
        <v/>
      </c>
      <c r="N531" t="str">
        <f t="shared" si="96"/>
        <v/>
      </c>
      <c r="O531" t="str">
        <f t="shared" si="97"/>
        <v/>
      </c>
      <c r="P531" t="str">
        <f>IF($A531="","",IF($E531=1,$F531*$O531,PNL!G531))</f>
        <v/>
      </c>
      <c r="T531" t="str">
        <f t="shared" si="98"/>
        <v/>
      </c>
    </row>
    <row r="532" spans="1:20" x14ac:dyDescent="0.45">
      <c r="A532" t="str">
        <f>IF(PNL!A532="","",PNL!A532)</f>
        <v/>
      </c>
      <c r="B532" t="str">
        <f>IF(PNL!B532="","",PNL!B532)</f>
        <v/>
      </c>
      <c r="C532" t="str">
        <f>IF(PNL!C532="","",PNL!C532)</f>
        <v/>
      </c>
      <c r="D532" t="str">
        <f>IF(PNL!D532="","",PNL!D532)</f>
        <v/>
      </c>
      <c r="E532" t="str">
        <f t="shared" si="88"/>
        <v/>
      </c>
      <c r="F532" t="str">
        <f>IF($A532="","",IF($E532=1,SUMIFS(Compta!$F$1:$F$675,Compta!$A$1:$A$675,$A532,Compta!$B$1:$B$675,$B532,Compta!$C$1:$C$675,"2026"),0))</f>
        <v/>
      </c>
      <c r="G532" t="str">
        <f t="shared" si="89"/>
        <v/>
      </c>
      <c r="H532" t="str">
        <f t="shared" si="90"/>
        <v/>
      </c>
      <c r="I532" t="str">
        <f t="shared" si="91"/>
        <v/>
      </c>
      <c r="J532" t="str">
        <f t="shared" si="92"/>
        <v/>
      </c>
      <c r="K532" t="str">
        <f t="shared" si="93"/>
        <v/>
      </c>
      <c r="L532" t="str">
        <f t="shared" si="94"/>
        <v/>
      </c>
      <c r="M532" t="str">
        <f t="shared" si="95"/>
        <v/>
      </c>
      <c r="N532" t="str">
        <f t="shared" si="96"/>
        <v/>
      </c>
      <c r="O532" t="str">
        <f t="shared" si="97"/>
        <v/>
      </c>
      <c r="P532" t="str">
        <f>IF($A532="","",IF($E532=1,$F532*$O532,PNL!G532))</f>
        <v/>
      </c>
      <c r="T532" t="str">
        <f t="shared" si="98"/>
        <v/>
      </c>
    </row>
    <row r="533" spans="1:20" x14ac:dyDescent="0.45">
      <c r="A533" t="str">
        <f>IF(PNL!A533="","",PNL!A533)</f>
        <v/>
      </c>
      <c r="B533" t="str">
        <f>IF(PNL!B533="","",PNL!B533)</f>
        <v/>
      </c>
      <c r="C533" t="str">
        <f>IF(PNL!C533="","",PNL!C533)</f>
        <v/>
      </c>
      <c r="D533" t="str">
        <f>IF(PNL!D533="","",PNL!D533)</f>
        <v/>
      </c>
      <c r="E533" t="str">
        <f t="shared" si="88"/>
        <v/>
      </c>
      <c r="F533" t="str">
        <f>IF($A533="","",IF($E533=1,SUMIFS(Compta!$F$1:$F$675,Compta!$A$1:$A$675,$A533,Compta!$B$1:$B$675,$B533,Compta!$C$1:$C$675,"2026"),0))</f>
        <v/>
      </c>
      <c r="G533" t="str">
        <f t="shared" si="89"/>
        <v/>
      </c>
      <c r="H533" t="str">
        <f t="shared" si="90"/>
        <v/>
      </c>
      <c r="I533" t="str">
        <f t="shared" si="91"/>
        <v/>
      </c>
      <c r="J533" t="str">
        <f t="shared" si="92"/>
        <v/>
      </c>
      <c r="K533" t="str">
        <f t="shared" si="93"/>
        <v/>
      </c>
      <c r="L533" t="str">
        <f t="shared" si="94"/>
        <v/>
      </c>
      <c r="M533" t="str">
        <f t="shared" si="95"/>
        <v/>
      </c>
      <c r="N533" t="str">
        <f t="shared" si="96"/>
        <v/>
      </c>
      <c r="O533" t="str">
        <f t="shared" si="97"/>
        <v/>
      </c>
      <c r="P533" t="str">
        <f>IF($A533="","",IF($E533=1,$F533*$O533,PNL!G533))</f>
        <v/>
      </c>
      <c r="T533" t="str">
        <f t="shared" si="98"/>
        <v/>
      </c>
    </row>
    <row r="534" spans="1:20" x14ac:dyDescent="0.45">
      <c r="A534" t="str">
        <f>IF(PNL!A534="","",PNL!A534)</f>
        <v/>
      </c>
      <c r="B534" t="str">
        <f>IF(PNL!B534="","",PNL!B534)</f>
        <v/>
      </c>
      <c r="C534" t="str">
        <f>IF(PNL!C534="","",PNL!C534)</f>
        <v/>
      </c>
      <c r="D534" t="str">
        <f>IF(PNL!D534="","",PNL!D534)</f>
        <v/>
      </c>
      <c r="E534" t="str">
        <f t="shared" si="88"/>
        <v/>
      </c>
      <c r="F534" t="str">
        <f>IF($A534="","",IF($E534=1,SUMIFS(Compta!$F$1:$F$675,Compta!$A$1:$A$675,$A534,Compta!$B$1:$B$675,$B534,Compta!$C$1:$C$675,"2026"),0))</f>
        <v/>
      </c>
      <c r="G534" t="str">
        <f t="shared" si="89"/>
        <v/>
      </c>
      <c r="H534" t="str">
        <f t="shared" si="90"/>
        <v/>
      </c>
      <c r="I534" t="str">
        <f t="shared" si="91"/>
        <v/>
      </c>
      <c r="J534" t="str">
        <f t="shared" si="92"/>
        <v/>
      </c>
      <c r="K534" t="str">
        <f t="shared" si="93"/>
        <v/>
      </c>
      <c r="L534" t="str">
        <f t="shared" si="94"/>
        <v/>
      </c>
      <c r="M534" t="str">
        <f t="shared" si="95"/>
        <v/>
      </c>
      <c r="N534" t="str">
        <f t="shared" si="96"/>
        <v/>
      </c>
      <c r="O534" t="str">
        <f t="shared" si="97"/>
        <v/>
      </c>
      <c r="P534" t="str">
        <f>IF($A534="","",IF($E534=1,$F534*$O534,PNL!G534))</f>
        <v/>
      </c>
      <c r="T534" t="str">
        <f t="shared" si="98"/>
        <v/>
      </c>
    </row>
    <row r="535" spans="1:20" x14ac:dyDescent="0.45">
      <c r="A535" t="str">
        <f>IF(PNL!A535="","",PNL!A535)</f>
        <v/>
      </c>
      <c r="B535" t="str">
        <f>IF(PNL!B535="","",PNL!B535)</f>
        <v/>
      </c>
      <c r="C535" t="str">
        <f>IF(PNL!C535="","",PNL!C535)</f>
        <v/>
      </c>
      <c r="D535" t="str">
        <f>IF(PNL!D535="","",PNL!D535)</f>
        <v/>
      </c>
      <c r="E535" t="str">
        <f t="shared" si="88"/>
        <v/>
      </c>
      <c r="F535" t="str">
        <f>IF($A535="","",IF($E535=1,SUMIFS(Compta!$F$1:$F$675,Compta!$A$1:$A$675,$A535,Compta!$B$1:$B$675,$B535,Compta!$C$1:$C$675,"2026"),0))</f>
        <v/>
      </c>
      <c r="G535" t="str">
        <f t="shared" si="89"/>
        <v/>
      </c>
      <c r="H535" t="str">
        <f t="shared" si="90"/>
        <v/>
      </c>
      <c r="I535" t="str">
        <f t="shared" si="91"/>
        <v/>
      </c>
      <c r="J535" t="str">
        <f t="shared" si="92"/>
        <v/>
      </c>
      <c r="K535" t="str">
        <f t="shared" si="93"/>
        <v/>
      </c>
      <c r="L535" t="str">
        <f t="shared" si="94"/>
        <v/>
      </c>
      <c r="M535" t="str">
        <f t="shared" si="95"/>
        <v/>
      </c>
      <c r="N535" t="str">
        <f t="shared" si="96"/>
        <v/>
      </c>
      <c r="O535" t="str">
        <f t="shared" si="97"/>
        <v/>
      </c>
      <c r="P535" t="str">
        <f>IF($A535="","",IF($E535=1,$F535*$O535,PNL!G535))</f>
        <v/>
      </c>
      <c r="T535" t="str">
        <f t="shared" si="98"/>
        <v/>
      </c>
    </row>
    <row r="536" spans="1:20" x14ac:dyDescent="0.45">
      <c r="A536" t="str">
        <f>IF(PNL!A536="","",PNL!A536)</f>
        <v/>
      </c>
      <c r="B536" t="str">
        <f>IF(PNL!B536="","",PNL!B536)</f>
        <v/>
      </c>
      <c r="C536" t="str">
        <f>IF(PNL!C536="","",PNL!C536)</f>
        <v/>
      </c>
      <c r="D536" t="str">
        <f>IF(PNL!D536="","",PNL!D536)</f>
        <v/>
      </c>
      <c r="E536" t="str">
        <f t="shared" si="88"/>
        <v/>
      </c>
      <c r="F536" t="str">
        <f>IF($A536="","",IF($E536=1,SUMIFS(Compta!$F$1:$F$675,Compta!$A$1:$A$675,$A536,Compta!$B$1:$B$675,$B536,Compta!$C$1:$C$675,"2026"),0))</f>
        <v/>
      </c>
      <c r="G536" t="str">
        <f t="shared" si="89"/>
        <v/>
      </c>
      <c r="H536" t="str">
        <f t="shared" si="90"/>
        <v/>
      </c>
      <c r="I536" t="str">
        <f t="shared" si="91"/>
        <v/>
      </c>
      <c r="J536" t="str">
        <f t="shared" si="92"/>
        <v/>
      </c>
      <c r="K536" t="str">
        <f t="shared" si="93"/>
        <v/>
      </c>
      <c r="L536" t="str">
        <f t="shared" si="94"/>
        <v/>
      </c>
      <c r="M536" t="str">
        <f t="shared" si="95"/>
        <v/>
      </c>
      <c r="N536" t="str">
        <f t="shared" si="96"/>
        <v/>
      </c>
      <c r="O536" t="str">
        <f t="shared" si="97"/>
        <v/>
      </c>
      <c r="P536" t="str">
        <f>IF($A536="","",IF($E536=1,$F536*$O536,PNL!G536))</f>
        <v/>
      </c>
      <c r="T536" t="str">
        <f t="shared" si="98"/>
        <v/>
      </c>
    </row>
    <row r="537" spans="1:20" x14ac:dyDescent="0.45">
      <c r="A537" t="str">
        <f>IF(PNL!A537="","",PNL!A537)</f>
        <v/>
      </c>
      <c r="B537" t="str">
        <f>IF(PNL!B537="","",PNL!B537)</f>
        <v/>
      </c>
      <c r="C537" t="str">
        <f>IF(PNL!C537="","",PNL!C537)</f>
        <v/>
      </c>
      <c r="D537" t="str">
        <f>IF(PNL!D537="","",PNL!D537)</f>
        <v/>
      </c>
      <c r="E537" t="str">
        <f t="shared" si="88"/>
        <v/>
      </c>
      <c r="F537" t="str">
        <f>IF($A537="","",IF($E537=1,SUMIFS(Compta!$F$1:$F$675,Compta!$A$1:$A$675,$A537,Compta!$B$1:$B$675,$B537,Compta!$C$1:$C$675,"2026"),0))</f>
        <v/>
      </c>
      <c r="G537" t="str">
        <f t="shared" si="89"/>
        <v/>
      </c>
      <c r="H537" t="str">
        <f t="shared" si="90"/>
        <v/>
      </c>
      <c r="I537" t="str">
        <f t="shared" si="91"/>
        <v/>
      </c>
      <c r="J537" t="str">
        <f t="shared" si="92"/>
        <v/>
      </c>
      <c r="K537" t="str">
        <f t="shared" si="93"/>
        <v/>
      </c>
      <c r="L537" t="str">
        <f t="shared" si="94"/>
        <v/>
      </c>
      <c r="M537" t="str">
        <f t="shared" si="95"/>
        <v/>
      </c>
      <c r="N537" t="str">
        <f t="shared" si="96"/>
        <v/>
      </c>
      <c r="O537" t="str">
        <f t="shared" si="97"/>
        <v/>
      </c>
      <c r="P537" t="str">
        <f>IF($A537="","",IF($E537=1,$F537*$O537,PNL!G537))</f>
        <v/>
      </c>
      <c r="T537" t="str">
        <f t="shared" si="98"/>
        <v/>
      </c>
    </row>
    <row r="538" spans="1:20" x14ac:dyDescent="0.45">
      <c r="A538" t="str">
        <f>IF(PNL!A538="","",PNL!A538)</f>
        <v/>
      </c>
      <c r="B538" t="str">
        <f>IF(PNL!B538="","",PNL!B538)</f>
        <v/>
      </c>
      <c r="C538" t="str">
        <f>IF(PNL!C538="","",PNL!C538)</f>
        <v/>
      </c>
      <c r="D538" t="str">
        <f>IF(PNL!D538="","",PNL!D538)</f>
        <v/>
      </c>
      <c r="E538" t="str">
        <f t="shared" si="88"/>
        <v/>
      </c>
      <c r="F538" t="str">
        <f>IF($A538="","",IF($E538=1,SUMIFS(Compta!$F$1:$F$675,Compta!$A$1:$A$675,$A538,Compta!$B$1:$B$675,$B538,Compta!$C$1:$C$675,"2026"),0))</f>
        <v/>
      </c>
      <c r="G538" t="str">
        <f t="shared" si="89"/>
        <v/>
      </c>
      <c r="H538" t="str">
        <f t="shared" si="90"/>
        <v/>
      </c>
      <c r="I538" t="str">
        <f t="shared" si="91"/>
        <v/>
      </c>
      <c r="J538" t="str">
        <f t="shared" si="92"/>
        <v/>
      </c>
      <c r="K538" t="str">
        <f t="shared" si="93"/>
        <v/>
      </c>
      <c r="L538" t="str">
        <f t="shared" si="94"/>
        <v/>
      </c>
      <c r="M538" t="str">
        <f t="shared" si="95"/>
        <v/>
      </c>
      <c r="N538" t="str">
        <f t="shared" si="96"/>
        <v/>
      </c>
      <c r="O538" t="str">
        <f t="shared" si="97"/>
        <v/>
      </c>
      <c r="P538" t="str">
        <f>IF($A538="","",IF($E538=1,$F538*$O538,PNL!G538))</f>
        <v/>
      </c>
      <c r="T538" t="str">
        <f t="shared" si="98"/>
        <v/>
      </c>
    </row>
    <row r="539" spans="1:20" x14ac:dyDescent="0.45">
      <c r="A539" t="str">
        <f>IF(PNL!A539="","",PNL!A539)</f>
        <v/>
      </c>
      <c r="B539" t="str">
        <f>IF(PNL!B539="","",PNL!B539)</f>
        <v/>
      </c>
      <c r="C539" t="str">
        <f>IF(PNL!C539="","",PNL!C539)</f>
        <v/>
      </c>
      <c r="D539" t="str">
        <f>IF(PNL!D539="","",PNL!D539)</f>
        <v/>
      </c>
      <c r="E539" t="str">
        <f t="shared" si="88"/>
        <v/>
      </c>
      <c r="F539" t="str">
        <f>IF($A539="","",IF($E539=1,SUMIFS(Compta!$F$1:$F$675,Compta!$A$1:$A$675,$A539,Compta!$B$1:$B$675,$B539,Compta!$C$1:$C$675,"2026"),0))</f>
        <v/>
      </c>
      <c r="G539" t="str">
        <f t="shared" si="89"/>
        <v/>
      </c>
      <c r="H539" t="str">
        <f t="shared" si="90"/>
        <v/>
      </c>
      <c r="I539" t="str">
        <f t="shared" si="91"/>
        <v/>
      </c>
      <c r="J539" t="str">
        <f t="shared" si="92"/>
        <v/>
      </c>
      <c r="K539" t="str">
        <f t="shared" si="93"/>
        <v/>
      </c>
      <c r="L539" t="str">
        <f t="shared" si="94"/>
        <v/>
      </c>
      <c r="M539" t="str">
        <f t="shared" si="95"/>
        <v/>
      </c>
      <c r="N539" t="str">
        <f t="shared" si="96"/>
        <v/>
      </c>
      <c r="O539" t="str">
        <f t="shared" si="97"/>
        <v/>
      </c>
      <c r="P539" t="str">
        <f>IF($A539="","",IF($E539=1,$F539*$O539,PNL!G539))</f>
        <v/>
      </c>
      <c r="T539" t="str">
        <f t="shared" si="98"/>
        <v/>
      </c>
    </row>
    <row r="540" spans="1:20" x14ac:dyDescent="0.45">
      <c r="A540" t="str">
        <f>IF(PNL!A540="","",PNL!A540)</f>
        <v/>
      </c>
      <c r="B540" t="str">
        <f>IF(PNL!B540="","",PNL!B540)</f>
        <v/>
      </c>
      <c r="C540" t="str">
        <f>IF(PNL!C540="","",PNL!C540)</f>
        <v/>
      </c>
      <c r="D540" t="str">
        <f>IF(PNL!D540="","",PNL!D540)</f>
        <v/>
      </c>
      <c r="E540" t="str">
        <f t="shared" si="88"/>
        <v/>
      </c>
      <c r="F540" t="str">
        <f>IF($A540="","",IF($E540=1,SUMIFS(Compta!$F$1:$F$675,Compta!$A$1:$A$675,$A540,Compta!$B$1:$B$675,$B540,Compta!$C$1:$C$675,"2026"),0))</f>
        <v/>
      </c>
      <c r="G540" t="str">
        <f t="shared" si="89"/>
        <v/>
      </c>
      <c r="H540" t="str">
        <f t="shared" si="90"/>
        <v/>
      </c>
      <c r="I540" t="str">
        <f t="shared" si="91"/>
        <v/>
      </c>
      <c r="J540" t="str">
        <f t="shared" si="92"/>
        <v/>
      </c>
      <c r="K540" t="str">
        <f t="shared" si="93"/>
        <v/>
      </c>
      <c r="L540" t="str">
        <f t="shared" si="94"/>
        <v/>
      </c>
      <c r="M540" t="str">
        <f t="shared" si="95"/>
        <v/>
      </c>
      <c r="N540" t="str">
        <f t="shared" si="96"/>
        <v/>
      </c>
      <c r="O540" t="str">
        <f t="shared" si="97"/>
        <v/>
      </c>
      <c r="P540" t="str">
        <f>IF($A540="","",IF($E540=1,$F540*$O540,PNL!G540))</f>
        <v/>
      </c>
      <c r="T540" t="str">
        <f t="shared" si="98"/>
        <v/>
      </c>
    </row>
    <row r="541" spans="1:20" x14ac:dyDescent="0.45">
      <c r="A541" t="str">
        <f>IF(PNL!A541="","",PNL!A541)</f>
        <v/>
      </c>
      <c r="B541" t="str">
        <f>IF(PNL!B541="","",PNL!B541)</f>
        <v/>
      </c>
      <c r="C541" t="str">
        <f>IF(PNL!C541="","",PNL!C541)</f>
        <v/>
      </c>
      <c r="D541" t="str">
        <f>IF(PNL!D541="","",PNL!D541)</f>
        <v/>
      </c>
      <c r="E541" t="str">
        <f t="shared" si="88"/>
        <v/>
      </c>
      <c r="F541" t="str">
        <f>IF($A541="","",IF($E541=1,SUMIFS(Compta!$F$1:$F$675,Compta!$A$1:$A$675,$A541,Compta!$B$1:$B$675,$B541,Compta!$C$1:$C$675,"2026"),0))</f>
        <v/>
      </c>
      <c r="G541" t="str">
        <f t="shared" si="89"/>
        <v/>
      </c>
      <c r="H541" t="str">
        <f t="shared" si="90"/>
        <v/>
      </c>
      <c r="I541" t="str">
        <f t="shared" si="91"/>
        <v/>
      </c>
      <c r="J541" t="str">
        <f t="shared" si="92"/>
        <v/>
      </c>
      <c r="K541" t="str">
        <f t="shared" si="93"/>
        <v/>
      </c>
      <c r="L541" t="str">
        <f t="shared" si="94"/>
        <v/>
      </c>
      <c r="M541" t="str">
        <f t="shared" si="95"/>
        <v/>
      </c>
      <c r="N541" t="str">
        <f t="shared" si="96"/>
        <v/>
      </c>
      <c r="O541" t="str">
        <f t="shared" si="97"/>
        <v/>
      </c>
      <c r="P541" t="str">
        <f>IF($A541="","",IF($E541=1,$F541*$O541,PNL!G541))</f>
        <v/>
      </c>
      <c r="T541" t="str">
        <f t="shared" si="98"/>
        <v/>
      </c>
    </row>
    <row r="542" spans="1:20" x14ac:dyDescent="0.45">
      <c r="A542" t="str">
        <f>IF(PNL!A542="","",PNL!A542)</f>
        <v/>
      </c>
      <c r="B542" t="str">
        <f>IF(PNL!B542="","",PNL!B542)</f>
        <v/>
      </c>
      <c r="C542" t="str">
        <f>IF(PNL!C542="","",PNL!C542)</f>
        <v/>
      </c>
      <c r="D542" t="str">
        <f>IF(PNL!D542="","",PNL!D542)</f>
        <v/>
      </c>
      <c r="E542" t="str">
        <f t="shared" si="88"/>
        <v/>
      </c>
      <c r="F542" t="str">
        <f>IF($A542="","",IF($E542=1,SUMIFS(Compta!$F$1:$F$675,Compta!$A$1:$A$675,$A542,Compta!$B$1:$B$675,$B542,Compta!$C$1:$C$675,"2026"),0))</f>
        <v/>
      </c>
      <c r="G542" t="str">
        <f t="shared" si="89"/>
        <v/>
      </c>
      <c r="H542" t="str">
        <f t="shared" si="90"/>
        <v/>
      </c>
      <c r="I542" t="str">
        <f t="shared" si="91"/>
        <v/>
      </c>
      <c r="J542" t="str">
        <f t="shared" si="92"/>
        <v/>
      </c>
      <c r="K542" t="str">
        <f t="shared" si="93"/>
        <v/>
      </c>
      <c r="L542" t="str">
        <f t="shared" si="94"/>
        <v/>
      </c>
      <c r="M542" t="str">
        <f t="shared" si="95"/>
        <v/>
      </c>
      <c r="N542" t="str">
        <f t="shared" si="96"/>
        <v/>
      </c>
      <c r="O542" t="str">
        <f t="shared" si="97"/>
        <v/>
      </c>
      <c r="P542" t="str">
        <f>IF($A542="","",IF($E542=1,$F542*$O542,PNL!G542))</f>
        <v/>
      </c>
      <c r="T542" t="str">
        <f t="shared" si="98"/>
        <v/>
      </c>
    </row>
    <row r="543" spans="1:20" x14ac:dyDescent="0.45">
      <c r="A543" t="str">
        <f>IF(PNL!A543="","",PNL!A543)</f>
        <v/>
      </c>
      <c r="B543" t="str">
        <f>IF(PNL!B543="","",PNL!B543)</f>
        <v/>
      </c>
      <c r="C543" t="str">
        <f>IF(PNL!C543="","",PNL!C543)</f>
        <v/>
      </c>
      <c r="D543" t="str">
        <f>IF(PNL!D543="","",PNL!D543)</f>
        <v/>
      </c>
      <c r="E543" t="str">
        <f t="shared" si="88"/>
        <v/>
      </c>
      <c r="F543" t="str">
        <f>IF($A543="","",IF($E543=1,SUMIFS(Compta!$F$1:$F$675,Compta!$A$1:$A$675,$A543,Compta!$B$1:$B$675,$B543,Compta!$C$1:$C$675,"2026"),0))</f>
        <v/>
      </c>
      <c r="G543" t="str">
        <f t="shared" si="89"/>
        <v/>
      </c>
      <c r="H543" t="str">
        <f t="shared" si="90"/>
        <v/>
      </c>
      <c r="I543" t="str">
        <f t="shared" si="91"/>
        <v/>
      </c>
      <c r="J543" t="str">
        <f t="shared" si="92"/>
        <v/>
      </c>
      <c r="K543" t="str">
        <f t="shared" si="93"/>
        <v/>
      </c>
      <c r="L543" t="str">
        <f t="shared" si="94"/>
        <v/>
      </c>
      <c r="M543" t="str">
        <f t="shared" si="95"/>
        <v/>
      </c>
      <c r="N543" t="str">
        <f t="shared" si="96"/>
        <v/>
      </c>
      <c r="O543" t="str">
        <f t="shared" si="97"/>
        <v/>
      </c>
      <c r="P543" t="str">
        <f>IF($A543="","",IF($E543=1,$F543*$O543,PNL!G543))</f>
        <v/>
      </c>
      <c r="T543" t="str">
        <f t="shared" si="98"/>
        <v/>
      </c>
    </row>
    <row r="544" spans="1:20" x14ac:dyDescent="0.45">
      <c r="A544" t="str">
        <f>IF(PNL!A544="","",PNL!A544)</f>
        <v/>
      </c>
      <c r="B544" t="str">
        <f>IF(PNL!B544="","",PNL!B544)</f>
        <v/>
      </c>
      <c r="C544" t="str">
        <f>IF(PNL!C544="","",PNL!C544)</f>
        <v/>
      </c>
      <c r="D544" t="str">
        <f>IF(PNL!D544="","",PNL!D544)</f>
        <v/>
      </c>
      <c r="E544" t="str">
        <f t="shared" si="88"/>
        <v/>
      </c>
      <c r="F544" t="str">
        <f>IF($A544="","",IF($E544=1,SUMIFS(Compta!$F$1:$F$675,Compta!$A$1:$A$675,$A544,Compta!$B$1:$B$675,$B544,Compta!$C$1:$C$675,"2026"),0))</f>
        <v/>
      </c>
      <c r="G544" t="str">
        <f t="shared" si="89"/>
        <v/>
      </c>
      <c r="H544" t="str">
        <f t="shared" si="90"/>
        <v/>
      </c>
      <c r="I544" t="str">
        <f t="shared" si="91"/>
        <v/>
      </c>
      <c r="J544" t="str">
        <f t="shared" si="92"/>
        <v/>
      </c>
      <c r="K544" t="str">
        <f t="shared" si="93"/>
        <v/>
      </c>
      <c r="L544" t="str">
        <f t="shared" si="94"/>
        <v/>
      </c>
      <c r="M544" t="str">
        <f t="shared" si="95"/>
        <v/>
      </c>
      <c r="N544" t="str">
        <f t="shared" si="96"/>
        <v/>
      </c>
      <c r="O544" t="str">
        <f t="shared" si="97"/>
        <v/>
      </c>
      <c r="P544" t="str">
        <f>IF($A544="","",IF($E544=1,$F544*$O544,PNL!G544))</f>
        <v/>
      </c>
      <c r="T544" t="str">
        <f t="shared" si="98"/>
        <v/>
      </c>
    </row>
    <row r="545" spans="1:20" x14ac:dyDescent="0.45">
      <c r="A545" t="str">
        <f>IF(PNL!A545="","",PNL!A545)</f>
        <v/>
      </c>
      <c r="B545" t="str">
        <f>IF(PNL!B545="","",PNL!B545)</f>
        <v/>
      </c>
      <c r="C545" t="str">
        <f>IF(PNL!C545="","",PNL!C545)</f>
        <v/>
      </c>
      <c r="D545" t="str">
        <f>IF(PNL!D545="","",PNL!D545)</f>
        <v/>
      </c>
      <c r="E545" t="str">
        <f t="shared" si="88"/>
        <v/>
      </c>
      <c r="F545" t="str">
        <f>IF($A545="","",IF($E545=1,SUMIFS(Compta!$F$1:$F$675,Compta!$A$1:$A$675,$A545,Compta!$B$1:$B$675,$B545,Compta!$C$1:$C$675,"2026"),0))</f>
        <v/>
      </c>
      <c r="G545" t="str">
        <f t="shared" si="89"/>
        <v/>
      </c>
      <c r="H545" t="str">
        <f t="shared" si="90"/>
        <v/>
      </c>
      <c r="I545" t="str">
        <f t="shared" si="91"/>
        <v/>
      </c>
      <c r="J545" t="str">
        <f t="shared" si="92"/>
        <v/>
      </c>
      <c r="K545" t="str">
        <f t="shared" si="93"/>
        <v/>
      </c>
      <c r="L545" t="str">
        <f t="shared" si="94"/>
        <v/>
      </c>
      <c r="M545" t="str">
        <f t="shared" si="95"/>
        <v/>
      </c>
      <c r="N545" t="str">
        <f t="shared" si="96"/>
        <v/>
      </c>
      <c r="O545" t="str">
        <f t="shared" si="97"/>
        <v/>
      </c>
      <c r="P545" t="str">
        <f>IF($A545="","",IF($E545=1,$F545*$O545,PNL!G545))</f>
        <v/>
      </c>
      <c r="T545" t="str">
        <f t="shared" si="98"/>
        <v/>
      </c>
    </row>
    <row r="546" spans="1:20" x14ac:dyDescent="0.45">
      <c r="A546" t="str">
        <f>IF(PNL!A546="","",PNL!A546)</f>
        <v/>
      </c>
      <c r="B546" t="str">
        <f>IF(PNL!B546="","",PNL!B546)</f>
        <v/>
      </c>
      <c r="C546" t="str">
        <f>IF(PNL!C546="","",PNL!C546)</f>
        <v/>
      </c>
      <c r="D546" t="str">
        <f>IF(PNL!D546="","",PNL!D546)</f>
        <v/>
      </c>
      <c r="E546" t="str">
        <f t="shared" si="88"/>
        <v/>
      </c>
      <c r="F546" t="str">
        <f>IF($A546="","",IF($E546=1,SUMIFS(Compta!$F$1:$F$675,Compta!$A$1:$A$675,$A546,Compta!$B$1:$B$675,$B546,Compta!$C$1:$C$675,"2026"),0))</f>
        <v/>
      </c>
      <c r="G546" t="str">
        <f t="shared" si="89"/>
        <v/>
      </c>
      <c r="H546" t="str">
        <f t="shared" si="90"/>
        <v/>
      </c>
      <c r="I546" t="str">
        <f t="shared" si="91"/>
        <v/>
      </c>
      <c r="J546" t="str">
        <f t="shared" si="92"/>
        <v/>
      </c>
      <c r="K546" t="str">
        <f t="shared" si="93"/>
        <v/>
      </c>
      <c r="L546" t="str">
        <f t="shared" si="94"/>
        <v/>
      </c>
      <c r="M546" t="str">
        <f t="shared" si="95"/>
        <v/>
      </c>
      <c r="N546" t="str">
        <f t="shared" si="96"/>
        <v/>
      </c>
      <c r="O546" t="str">
        <f t="shared" si="97"/>
        <v/>
      </c>
      <c r="P546" t="str">
        <f>IF($A546="","",IF($E546=1,$F546*$O546,PNL!G546))</f>
        <v/>
      </c>
      <c r="T546" t="str">
        <f t="shared" si="98"/>
        <v/>
      </c>
    </row>
    <row r="547" spans="1:20" x14ac:dyDescent="0.45">
      <c r="A547" t="str">
        <f>IF(PNL!A547="","",PNL!A547)</f>
        <v/>
      </c>
      <c r="B547" t="str">
        <f>IF(PNL!B547="","",PNL!B547)</f>
        <v/>
      </c>
      <c r="C547" t="str">
        <f>IF(PNL!C547="","",PNL!C547)</f>
        <v/>
      </c>
      <c r="D547" t="str">
        <f>IF(PNL!D547="","",PNL!D547)</f>
        <v/>
      </c>
      <c r="E547" t="str">
        <f t="shared" si="88"/>
        <v/>
      </c>
      <c r="F547" t="str">
        <f>IF($A547="","",IF($E547=1,SUMIFS(Compta!$F$1:$F$675,Compta!$A$1:$A$675,$A547,Compta!$B$1:$B$675,$B547,Compta!$C$1:$C$675,"2026"),0))</f>
        <v/>
      </c>
      <c r="G547" t="str">
        <f t="shared" si="89"/>
        <v/>
      </c>
      <c r="H547" t="str">
        <f t="shared" si="90"/>
        <v/>
      </c>
      <c r="I547" t="str">
        <f t="shared" si="91"/>
        <v/>
      </c>
      <c r="J547" t="str">
        <f t="shared" si="92"/>
        <v/>
      </c>
      <c r="K547" t="str">
        <f t="shared" si="93"/>
        <v/>
      </c>
      <c r="L547" t="str">
        <f t="shared" si="94"/>
        <v/>
      </c>
      <c r="M547" t="str">
        <f t="shared" si="95"/>
        <v/>
      </c>
      <c r="N547" t="str">
        <f t="shared" si="96"/>
        <v/>
      </c>
      <c r="O547" t="str">
        <f t="shared" si="97"/>
        <v/>
      </c>
      <c r="P547" t="str">
        <f>IF($A547="","",IF($E547=1,$F547*$O547,PNL!G547))</f>
        <v/>
      </c>
      <c r="T547" t="str">
        <f t="shared" si="98"/>
        <v/>
      </c>
    </row>
    <row r="548" spans="1:20" x14ac:dyDescent="0.45">
      <c r="A548" t="str">
        <f>IF(PNL!A548="","",PNL!A548)</f>
        <v/>
      </c>
      <c r="B548" t="str">
        <f>IF(PNL!B548="","",PNL!B548)</f>
        <v/>
      </c>
      <c r="C548" t="str">
        <f>IF(PNL!C548="","",PNL!C548)</f>
        <v/>
      </c>
      <c r="D548" t="str">
        <f>IF(PNL!D548="","",PNL!D548)</f>
        <v/>
      </c>
      <c r="E548" t="str">
        <f t="shared" si="88"/>
        <v/>
      </c>
      <c r="F548" t="str">
        <f>IF($A548="","",IF($E548=1,SUMIFS(Compta!$F$1:$F$675,Compta!$A$1:$A$675,$A548,Compta!$B$1:$B$675,$B548,Compta!$C$1:$C$675,"2026"),0))</f>
        <v/>
      </c>
      <c r="G548" t="str">
        <f t="shared" si="89"/>
        <v/>
      </c>
      <c r="H548" t="str">
        <f t="shared" si="90"/>
        <v/>
      </c>
      <c r="I548" t="str">
        <f t="shared" si="91"/>
        <v/>
      </c>
      <c r="J548" t="str">
        <f t="shared" si="92"/>
        <v/>
      </c>
      <c r="K548" t="str">
        <f t="shared" si="93"/>
        <v/>
      </c>
      <c r="L548" t="str">
        <f t="shared" si="94"/>
        <v/>
      </c>
      <c r="M548" t="str">
        <f t="shared" si="95"/>
        <v/>
      </c>
      <c r="N548" t="str">
        <f t="shared" si="96"/>
        <v/>
      </c>
      <c r="O548" t="str">
        <f t="shared" si="97"/>
        <v/>
      </c>
      <c r="P548" t="str">
        <f>IF($A548="","",IF($E548=1,$F548*$O548,PNL!G548))</f>
        <v/>
      </c>
      <c r="T548" t="str">
        <f t="shared" si="98"/>
        <v/>
      </c>
    </row>
    <row r="549" spans="1:20" x14ac:dyDescent="0.45">
      <c r="A549" t="str">
        <f>IF(PNL!A549="","",PNL!A549)</f>
        <v/>
      </c>
      <c r="B549" t="str">
        <f>IF(PNL!B549="","",PNL!B549)</f>
        <v/>
      </c>
      <c r="C549" t="str">
        <f>IF(PNL!C549="","",PNL!C549)</f>
        <v/>
      </c>
      <c r="D549" t="str">
        <f>IF(PNL!D549="","",PNL!D549)</f>
        <v/>
      </c>
      <c r="E549" t="str">
        <f t="shared" si="88"/>
        <v/>
      </c>
      <c r="F549" t="str">
        <f>IF($A549="","",IF($E549=1,SUMIFS(Compta!$F$1:$F$675,Compta!$A$1:$A$675,$A549,Compta!$B$1:$B$675,$B549,Compta!$C$1:$C$675,"2026"),0))</f>
        <v/>
      </c>
      <c r="G549" t="str">
        <f t="shared" si="89"/>
        <v/>
      </c>
      <c r="H549" t="str">
        <f t="shared" si="90"/>
        <v/>
      </c>
      <c r="I549" t="str">
        <f t="shared" si="91"/>
        <v/>
      </c>
      <c r="J549" t="str">
        <f t="shared" si="92"/>
        <v/>
      </c>
      <c r="K549" t="str">
        <f t="shared" si="93"/>
        <v/>
      </c>
      <c r="L549" t="str">
        <f t="shared" si="94"/>
        <v/>
      </c>
      <c r="M549" t="str">
        <f t="shared" si="95"/>
        <v/>
      </c>
      <c r="N549" t="str">
        <f t="shared" si="96"/>
        <v/>
      </c>
      <c r="O549" t="str">
        <f t="shared" si="97"/>
        <v/>
      </c>
      <c r="P549" t="str">
        <f>IF($A549="","",IF($E549=1,$F549*$O549,PNL!G549))</f>
        <v/>
      </c>
      <c r="T549" t="str">
        <f t="shared" si="98"/>
        <v/>
      </c>
    </row>
    <row r="550" spans="1:20" x14ac:dyDescent="0.45">
      <c r="A550" t="str">
        <f>IF(PNL!A550="","",PNL!A550)</f>
        <v/>
      </c>
      <c r="B550" t="str">
        <f>IF(PNL!B550="","",PNL!B550)</f>
        <v/>
      </c>
      <c r="C550" t="str">
        <f>IF(PNL!C550="","",PNL!C550)</f>
        <v/>
      </c>
      <c r="D550" t="str">
        <f>IF(PNL!D550="","",PNL!D550)</f>
        <v/>
      </c>
      <c r="E550" t="str">
        <f t="shared" si="88"/>
        <v/>
      </c>
      <c r="F550" t="str">
        <f>IF($A550="","",IF($E550=1,SUMIFS(Compta!$F$1:$F$675,Compta!$A$1:$A$675,$A550,Compta!$B$1:$B$675,$B550,Compta!$C$1:$C$675,"2026"),0))</f>
        <v/>
      </c>
      <c r="G550" t="str">
        <f t="shared" si="89"/>
        <v/>
      </c>
      <c r="H550" t="str">
        <f t="shared" si="90"/>
        <v/>
      </c>
      <c r="I550" t="str">
        <f t="shared" si="91"/>
        <v/>
      </c>
      <c r="J550" t="str">
        <f t="shared" si="92"/>
        <v/>
      </c>
      <c r="K550" t="str">
        <f t="shared" si="93"/>
        <v/>
      </c>
      <c r="L550" t="str">
        <f t="shared" si="94"/>
        <v/>
      </c>
      <c r="M550" t="str">
        <f t="shared" si="95"/>
        <v/>
      </c>
      <c r="N550" t="str">
        <f t="shared" si="96"/>
        <v/>
      </c>
      <c r="O550" t="str">
        <f t="shared" si="97"/>
        <v/>
      </c>
      <c r="P550" t="str">
        <f>IF($A550="","",IF($E550=1,$F550*$O550,PNL!G550))</f>
        <v/>
      </c>
      <c r="T550" t="str">
        <f t="shared" si="98"/>
        <v/>
      </c>
    </row>
    <row r="551" spans="1:20" x14ac:dyDescent="0.45">
      <c r="A551" t="str">
        <f>IF(PNL!A551="","",PNL!A551)</f>
        <v/>
      </c>
      <c r="B551" t="str">
        <f>IF(PNL!B551="","",PNL!B551)</f>
        <v/>
      </c>
      <c r="C551" t="str">
        <f>IF(PNL!C551="","",PNL!C551)</f>
        <v/>
      </c>
      <c r="D551" t="str">
        <f>IF(PNL!D551="","",PNL!D551)</f>
        <v/>
      </c>
      <c r="E551" t="str">
        <f t="shared" si="88"/>
        <v/>
      </c>
      <c r="F551" t="str">
        <f>IF($A551="","",IF($E551=1,SUMIFS(Compta!$F$1:$F$675,Compta!$A$1:$A$675,$A551,Compta!$B$1:$B$675,$B551,Compta!$C$1:$C$675,"2026"),0))</f>
        <v/>
      </c>
      <c r="G551" t="str">
        <f t="shared" si="89"/>
        <v/>
      </c>
      <c r="H551" t="str">
        <f t="shared" si="90"/>
        <v/>
      </c>
      <c r="I551" t="str">
        <f t="shared" si="91"/>
        <v/>
      </c>
      <c r="J551" t="str">
        <f t="shared" si="92"/>
        <v/>
      </c>
      <c r="K551" t="str">
        <f t="shared" si="93"/>
        <v/>
      </c>
      <c r="L551" t="str">
        <f t="shared" si="94"/>
        <v/>
      </c>
      <c r="M551" t="str">
        <f t="shared" si="95"/>
        <v/>
      </c>
      <c r="N551" t="str">
        <f t="shared" si="96"/>
        <v/>
      </c>
      <c r="O551" t="str">
        <f t="shared" si="97"/>
        <v/>
      </c>
      <c r="P551" t="str">
        <f>IF($A551="","",IF($E551=1,$F551*$O551,PNL!G551))</f>
        <v/>
      </c>
      <c r="T551" t="str">
        <f t="shared" si="98"/>
        <v/>
      </c>
    </row>
    <row r="552" spans="1:20" x14ac:dyDescent="0.45">
      <c r="A552" t="str">
        <f>IF(PNL!A552="","",PNL!A552)</f>
        <v/>
      </c>
      <c r="B552" t="str">
        <f>IF(PNL!B552="","",PNL!B552)</f>
        <v/>
      </c>
      <c r="C552" t="str">
        <f>IF(PNL!C552="","",PNL!C552)</f>
        <v/>
      </c>
      <c r="D552" t="str">
        <f>IF(PNL!D552="","",PNL!D552)</f>
        <v/>
      </c>
      <c r="E552" t="str">
        <f t="shared" si="88"/>
        <v/>
      </c>
      <c r="F552" t="str">
        <f>IF($A552="","",IF($E552=1,SUMIFS(Compta!$F$1:$F$675,Compta!$A$1:$A$675,$A552,Compta!$B$1:$B$675,$B552,Compta!$C$1:$C$675,"2026"),0))</f>
        <v/>
      </c>
      <c r="G552" t="str">
        <f t="shared" si="89"/>
        <v/>
      </c>
      <c r="H552" t="str">
        <f t="shared" si="90"/>
        <v/>
      </c>
      <c r="I552" t="str">
        <f t="shared" si="91"/>
        <v/>
      </c>
      <c r="J552" t="str">
        <f t="shared" si="92"/>
        <v/>
      </c>
      <c r="K552" t="str">
        <f t="shared" si="93"/>
        <v/>
      </c>
      <c r="L552" t="str">
        <f t="shared" si="94"/>
        <v/>
      </c>
      <c r="M552" t="str">
        <f t="shared" si="95"/>
        <v/>
      </c>
      <c r="N552" t="str">
        <f t="shared" si="96"/>
        <v/>
      </c>
      <c r="O552" t="str">
        <f t="shared" si="97"/>
        <v/>
      </c>
      <c r="P552" t="str">
        <f>IF($A552="","",IF($E552=1,$F552*$O552,PNL!G552))</f>
        <v/>
      </c>
      <c r="T552" t="str">
        <f t="shared" si="98"/>
        <v/>
      </c>
    </row>
    <row r="553" spans="1:20" x14ac:dyDescent="0.45">
      <c r="A553" t="str">
        <f>IF(PNL!A553="","",PNL!A553)</f>
        <v/>
      </c>
      <c r="B553" t="str">
        <f>IF(PNL!B553="","",PNL!B553)</f>
        <v/>
      </c>
      <c r="C553" t="str">
        <f>IF(PNL!C553="","",PNL!C553)</f>
        <v/>
      </c>
      <c r="D553" t="str">
        <f>IF(PNL!D553="","",PNL!D553)</f>
        <v/>
      </c>
      <c r="E553" t="str">
        <f t="shared" si="88"/>
        <v/>
      </c>
      <c r="F553" t="str">
        <f>IF($A553="","",IF($E553=1,SUMIFS(Compta!$F$1:$F$675,Compta!$A$1:$A$675,$A553,Compta!$B$1:$B$675,$B553,Compta!$C$1:$C$675,"2026"),0))</f>
        <v/>
      </c>
      <c r="G553" t="str">
        <f t="shared" si="89"/>
        <v/>
      </c>
      <c r="H553" t="str">
        <f t="shared" si="90"/>
        <v/>
      </c>
      <c r="I553" t="str">
        <f t="shared" si="91"/>
        <v/>
      </c>
      <c r="J553" t="str">
        <f t="shared" si="92"/>
        <v/>
      </c>
      <c r="K553" t="str">
        <f t="shared" si="93"/>
        <v/>
      </c>
      <c r="L553" t="str">
        <f t="shared" si="94"/>
        <v/>
      </c>
      <c r="M553" t="str">
        <f t="shared" si="95"/>
        <v/>
      </c>
      <c r="N553" t="str">
        <f t="shared" si="96"/>
        <v/>
      </c>
      <c r="O553" t="str">
        <f t="shared" si="97"/>
        <v/>
      </c>
      <c r="P553" t="str">
        <f>IF($A553="","",IF($E553=1,$F553*$O553,PNL!G553))</f>
        <v/>
      </c>
      <c r="T553" t="str">
        <f t="shared" si="98"/>
        <v/>
      </c>
    </row>
    <row r="554" spans="1:20" x14ac:dyDescent="0.45">
      <c r="A554" t="str">
        <f>IF(PNL!A554="","",PNL!A554)</f>
        <v/>
      </c>
      <c r="B554" t="str">
        <f>IF(PNL!B554="","",PNL!B554)</f>
        <v/>
      </c>
      <c r="C554" t="str">
        <f>IF(PNL!C554="","",PNL!C554)</f>
        <v/>
      </c>
      <c r="D554" t="str">
        <f>IF(PNL!D554="","",PNL!D554)</f>
        <v/>
      </c>
      <c r="E554" t="str">
        <f t="shared" si="88"/>
        <v/>
      </c>
      <c r="F554" t="str">
        <f>IF($A554="","",IF($E554=1,SUMIFS(Compta!$F$1:$F$675,Compta!$A$1:$A$675,$A554,Compta!$B$1:$B$675,$B554,Compta!$C$1:$C$675,"2026"),0))</f>
        <v/>
      </c>
      <c r="G554" t="str">
        <f t="shared" si="89"/>
        <v/>
      </c>
      <c r="H554" t="str">
        <f t="shared" si="90"/>
        <v/>
      </c>
      <c r="I554" t="str">
        <f t="shared" si="91"/>
        <v/>
      </c>
      <c r="J554" t="str">
        <f t="shared" si="92"/>
        <v/>
      </c>
      <c r="K554" t="str">
        <f t="shared" si="93"/>
        <v/>
      </c>
      <c r="L554" t="str">
        <f t="shared" si="94"/>
        <v/>
      </c>
      <c r="M554" t="str">
        <f t="shared" si="95"/>
        <v/>
      </c>
      <c r="N554" t="str">
        <f t="shared" si="96"/>
        <v/>
      </c>
      <c r="O554" t="str">
        <f t="shared" si="97"/>
        <v/>
      </c>
      <c r="P554" t="str">
        <f>IF($A554="","",IF($E554=1,$F554*$O554,PNL!G554))</f>
        <v/>
      </c>
      <c r="T554" t="str">
        <f t="shared" si="98"/>
        <v/>
      </c>
    </row>
    <row r="555" spans="1:20" x14ac:dyDescent="0.45">
      <c r="A555" t="str">
        <f>IF(PNL!A555="","",PNL!A555)</f>
        <v/>
      </c>
      <c r="B555" t="str">
        <f>IF(PNL!B555="","",PNL!B555)</f>
        <v/>
      </c>
      <c r="C555" t="str">
        <f>IF(PNL!C555="","",PNL!C555)</f>
        <v/>
      </c>
      <c r="D555" t="str">
        <f>IF(PNL!D555="","",PNL!D555)</f>
        <v/>
      </c>
      <c r="E555" t="str">
        <f t="shared" si="88"/>
        <v/>
      </c>
      <c r="F555" t="str">
        <f>IF($A555="","",IF($E555=1,SUMIFS(Compta!$F$1:$F$675,Compta!$A$1:$A$675,$A555,Compta!$B$1:$B$675,$B555,Compta!$C$1:$C$675,"2026"),0))</f>
        <v/>
      </c>
      <c r="G555" t="str">
        <f t="shared" si="89"/>
        <v/>
      </c>
      <c r="H555" t="str">
        <f t="shared" si="90"/>
        <v/>
      </c>
      <c r="I555" t="str">
        <f t="shared" si="91"/>
        <v/>
      </c>
      <c r="J555" t="str">
        <f t="shared" si="92"/>
        <v/>
      </c>
      <c r="K555" t="str">
        <f t="shared" si="93"/>
        <v/>
      </c>
      <c r="L555" t="str">
        <f t="shared" si="94"/>
        <v/>
      </c>
      <c r="M555" t="str">
        <f t="shared" si="95"/>
        <v/>
      </c>
      <c r="N555" t="str">
        <f t="shared" si="96"/>
        <v/>
      </c>
      <c r="O555" t="str">
        <f t="shared" si="97"/>
        <v/>
      </c>
      <c r="P555" t="str">
        <f>IF($A555="","",IF($E555=1,$F555*$O555,PNL!G555))</f>
        <v/>
      </c>
      <c r="T555" t="str">
        <f t="shared" si="98"/>
        <v/>
      </c>
    </row>
    <row r="556" spans="1:20" x14ac:dyDescent="0.45">
      <c r="A556" t="str">
        <f>IF(PNL!A556="","",PNL!A556)</f>
        <v/>
      </c>
      <c r="B556" t="str">
        <f>IF(PNL!B556="","",PNL!B556)</f>
        <v/>
      </c>
      <c r="C556" t="str">
        <f>IF(PNL!C556="","",PNL!C556)</f>
        <v/>
      </c>
      <c r="D556" t="str">
        <f>IF(PNL!D556="","",PNL!D556)</f>
        <v/>
      </c>
      <c r="E556" t="str">
        <f t="shared" si="88"/>
        <v/>
      </c>
      <c r="F556" t="str">
        <f>IF($A556="","",IF($E556=1,SUMIFS(Compta!$F$1:$F$675,Compta!$A$1:$A$675,$A556,Compta!$B$1:$B$675,$B556,Compta!$C$1:$C$675,"2026"),0))</f>
        <v/>
      </c>
      <c r="G556" t="str">
        <f t="shared" si="89"/>
        <v/>
      </c>
      <c r="H556" t="str">
        <f t="shared" si="90"/>
        <v/>
      </c>
      <c r="I556" t="str">
        <f t="shared" si="91"/>
        <v/>
      </c>
      <c r="J556" t="str">
        <f t="shared" si="92"/>
        <v/>
      </c>
      <c r="K556" t="str">
        <f t="shared" si="93"/>
        <v/>
      </c>
      <c r="L556" t="str">
        <f t="shared" si="94"/>
        <v/>
      </c>
      <c r="M556" t="str">
        <f t="shared" si="95"/>
        <v/>
      </c>
      <c r="N556" t="str">
        <f t="shared" si="96"/>
        <v/>
      </c>
      <c r="O556" t="str">
        <f t="shared" si="97"/>
        <v/>
      </c>
      <c r="P556" t="str">
        <f>IF($A556="","",IF($E556=1,$F556*$O556,PNL!G556))</f>
        <v/>
      </c>
      <c r="T556" t="str">
        <f t="shared" si="98"/>
        <v/>
      </c>
    </row>
    <row r="557" spans="1:20" x14ac:dyDescent="0.45">
      <c r="A557" t="str">
        <f>IF(PNL!A557="","",PNL!A557)</f>
        <v/>
      </c>
      <c r="B557" t="str">
        <f>IF(PNL!B557="","",PNL!B557)</f>
        <v/>
      </c>
      <c r="C557" t="str">
        <f>IF(PNL!C557="","",PNL!C557)</f>
        <v/>
      </c>
      <c r="D557" t="str">
        <f>IF(PNL!D557="","",PNL!D557)</f>
        <v/>
      </c>
      <c r="E557" t="str">
        <f t="shared" si="88"/>
        <v/>
      </c>
      <c r="F557" t="str">
        <f>IF($A557="","",IF($E557=1,SUMIFS(Compta!$F$1:$F$675,Compta!$A$1:$A$675,$A557,Compta!$B$1:$B$675,$B557,Compta!$C$1:$C$675,"2026"),0))</f>
        <v/>
      </c>
      <c r="G557" t="str">
        <f t="shared" si="89"/>
        <v/>
      </c>
      <c r="H557" t="str">
        <f t="shared" si="90"/>
        <v/>
      </c>
      <c r="I557" t="str">
        <f t="shared" si="91"/>
        <v/>
      </c>
      <c r="J557" t="str">
        <f t="shared" si="92"/>
        <v/>
      </c>
      <c r="K557" t="str">
        <f t="shared" si="93"/>
        <v/>
      </c>
      <c r="L557" t="str">
        <f t="shared" si="94"/>
        <v/>
      </c>
      <c r="M557" t="str">
        <f t="shared" si="95"/>
        <v/>
      </c>
      <c r="N557" t="str">
        <f t="shared" si="96"/>
        <v/>
      </c>
      <c r="O557" t="str">
        <f t="shared" si="97"/>
        <v/>
      </c>
      <c r="P557" t="str">
        <f>IF($A557="","",IF($E557=1,$F557*$O557,PNL!G557))</f>
        <v/>
      </c>
      <c r="T557" t="str">
        <f t="shared" si="98"/>
        <v/>
      </c>
    </row>
    <row r="558" spans="1:20" x14ac:dyDescent="0.45">
      <c r="A558" t="str">
        <f>IF(PNL!A558="","",PNL!A558)</f>
        <v/>
      </c>
      <c r="B558" t="str">
        <f>IF(PNL!B558="","",PNL!B558)</f>
        <v/>
      </c>
      <c r="C558" t="str">
        <f>IF(PNL!C558="","",PNL!C558)</f>
        <v/>
      </c>
      <c r="D558" t="str">
        <f>IF(PNL!D558="","",PNL!D558)</f>
        <v/>
      </c>
      <c r="E558" t="str">
        <f t="shared" si="88"/>
        <v/>
      </c>
      <c r="F558" t="str">
        <f>IF($A558="","",IF($E558=1,SUMIFS(Compta!$F$1:$F$675,Compta!$A$1:$A$675,$A558,Compta!$B$1:$B$675,$B558,Compta!$C$1:$C$675,"2026"),0))</f>
        <v/>
      </c>
      <c r="G558" t="str">
        <f t="shared" si="89"/>
        <v/>
      </c>
      <c r="H558" t="str">
        <f t="shared" si="90"/>
        <v/>
      </c>
      <c r="I558" t="str">
        <f t="shared" si="91"/>
        <v/>
      </c>
      <c r="J558" t="str">
        <f t="shared" si="92"/>
        <v/>
      </c>
      <c r="K558" t="str">
        <f t="shared" si="93"/>
        <v/>
      </c>
      <c r="L558" t="str">
        <f t="shared" si="94"/>
        <v/>
      </c>
      <c r="M558" t="str">
        <f t="shared" si="95"/>
        <v/>
      </c>
      <c r="N558" t="str">
        <f t="shared" si="96"/>
        <v/>
      </c>
      <c r="O558" t="str">
        <f t="shared" si="97"/>
        <v/>
      </c>
      <c r="P558" t="str">
        <f>IF($A558="","",IF($E558=1,$F558*$O558,PNL!G558))</f>
        <v/>
      </c>
      <c r="T558" t="str">
        <f t="shared" si="98"/>
        <v/>
      </c>
    </row>
    <row r="559" spans="1:20" x14ac:dyDescent="0.45">
      <c r="A559" t="str">
        <f>IF(PNL!A559="","",PNL!A559)</f>
        <v/>
      </c>
      <c r="B559" t="str">
        <f>IF(PNL!B559="","",PNL!B559)</f>
        <v/>
      </c>
      <c r="C559" t="str">
        <f>IF(PNL!C559="","",PNL!C559)</f>
        <v/>
      </c>
      <c r="D559" t="str">
        <f>IF(PNL!D559="","",PNL!D559)</f>
        <v/>
      </c>
      <c r="E559" t="str">
        <f t="shared" si="88"/>
        <v/>
      </c>
      <c r="F559" t="str">
        <f>IF($A559="","",IF($E559=1,SUMIFS(Compta!$F$1:$F$675,Compta!$A$1:$A$675,$A559,Compta!$B$1:$B$675,$B559,Compta!$C$1:$C$675,"2026"),0))</f>
        <v/>
      </c>
      <c r="G559" t="str">
        <f t="shared" si="89"/>
        <v/>
      </c>
      <c r="H559" t="str">
        <f t="shared" si="90"/>
        <v/>
      </c>
      <c r="I559" t="str">
        <f t="shared" si="91"/>
        <v/>
      </c>
      <c r="J559" t="str">
        <f t="shared" si="92"/>
        <v/>
      </c>
      <c r="K559" t="str">
        <f t="shared" si="93"/>
        <v/>
      </c>
      <c r="L559" t="str">
        <f t="shared" si="94"/>
        <v/>
      </c>
      <c r="M559" t="str">
        <f t="shared" si="95"/>
        <v/>
      </c>
      <c r="N559" t="str">
        <f t="shared" si="96"/>
        <v/>
      </c>
      <c r="O559" t="str">
        <f t="shared" si="97"/>
        <v/>
      </c>
      <c r="P559" t="str">
        <f>IF($A559="","",IF($E559=1,$F559*$O559,PNL!G559))</f>
        <v/>
      </c>
      <c r="T559" t="str">
        <f t="shared" si="98"/>
        <v/>
      </c>
    </row>
    <row r="560" spans="1:20" x14ac:dyDescent="0.45">
      <c r="A560" t="str">
        <f>IF(PNL!A560="","",PNL!A560)</f>
        <v/>
      </c>
      <c r="B560" t="str">
        <f>IF(PNL!B560="","",PNL!B560)</f>
        <v/>
      </c>
      <c r="C560" t="str">
        <f>IF(PNL!C560="","",PNL!C560)</f>
        <v/>
      </c>
      <c r="D560" t="str">
        <f>IF(PNL!D560="","",PNL!D560)</f>
        <v/>
      </c>
      <c r="E560" t="str">
        <f t="shared" si="88"/>
        <v/>
      </c>
      <c r="F560" t="str">
        <f>IF($A560="","",IF($E560=1,SUMIFS(Compta!$F$1:$F$675,Compta!$A$1:$A$675,$A560,Compta!$B$1:$B$675,$B560,Compta!$C$1:$C$675,"2026"),0))</f>
        <v/>
      </c>
      <c r="G560" t="str">
        <f t="shared" si="89"/>
        <v/>
      </c>
      <c r="H560" t="str">
        <f t="shared" si="90"/>
        <v/>
      </c>
      <c r="I560" t="str">
        <f t="shared" si="91"/>
        <v/>
      </c>
      <c r="J560" t="str">
        <f t="shared" si="92"/>
        <v/>
      </c>
      <c r="K560" t="str">
        <f t="shared" si="93"/>
        <v/>
      </c>
      <c r="L560" t="str">
        <f t="shared" si="94"/>
        <v/>
      </c>
      <c r="M560" t="str">
        <f t="shared" si="95"/>
        <v/>
      </c>
      <c r="N560" t="str">
        <f t="shared" si="96"/>
        <v/>
      </c>
      <c r="O560" t="str">
        <f t="shared" si="97"/>
        <v/>
      </c>
      <c r="P560" t="str">
        <f>IF($A560="","",IF($E560=1,$F560*$O560,PNL!G560))</f>
        <v/>
      </c>
      <c r="T560" t="str">
        <f t="shared" si="98"/>
        <v/>
      </c>
    </row>
    <row r="561" spans="1:20" x14ac:dyDescent="0.45">
      <c r="A561" t="str">
        <f>IF(PNL!A561="","",PNL!A561)</f>
        <v/>
      </c>
      <c r="B561" t="str">
        <f>IF(PNL!B561="","",PNL!B561)</f>
        <v/>
      </c>
      <c r="C561" t="str">
        <f>IF(PNL!C561="","",PNL!C561)</f>
        <v/>
      </c>
      <c r="D561" t="str">
        <f>IF(PNL!D561="","",PNL!D561)</f>
        <v/>
      </c>
      <c r="E561" t="str">
        <f t="shared" si="88"/>
        <v/>
      </c>
      <c r="F561" t="str">
        <f>IF($A561="","",IF($E561=1,SUMIFS(Compta!$F$1:$F$675,Compta!$A$1:$A$675,$A561,Compta!$B$1:$B$675,$B561,Compta!$C$1:$C$675,"2026"),0))</f>
        <v/>
      </c>
      <c r="G561" t="str">
        <f t="shared" si="89"/>
        <v/>
      </c>
      <c r="H561" t="str">
        <f t="shared" si="90"/>
        <v/>
      </c>
      <c r="I561" t="str">
        <f t="shared" si="91"/>
        <v/>
      </c>
      <c r="J561" t="str">
        <f t="shared" si="92"/>
        <v/>
      </c>
      <c r="K561" t="str">
        <f t="shared" si="93"/>
        <v/>
      </c>
      <c r="L561" t="str">
        <f t="shared" si="94"/>
        <v/>
      </c>
      <c r="M561" t="str">
        <f t="shared" si="95"/>
        <v/>
      </c>
      <c r="N561" t="str">
        <f t="shared" si="96"/>
        <v/>
      </c>
      <c r="O561" t="str">
        <f t="shared" si="97"/>
        <v/>
      </c>
      <c r="P561" t="str">
        <f>IF($A561="","",IF($E561=1,$F561*$O561,PNL!G561))</f>
        <v/>
      </c>
      <c r="T561" t="str">
        <f t="shared" si="98"/>
        <v/>
      </c>
    </row>
    <row r="562" spans="1:20" x14ac:dyDescent="0.45">
      <c r="A562" t="str">
        <f>IF(PNL!A562="","",PNL!A562)</f>
        <v/>
      </c>
      <c r="B562" t="str">
        <f>IF(PNL!B562="","",PNL!B562)</f>
        <v/>
      </c>
      <c r="C562" t="str">
        <f>IF(PNL!C562="","",PNL!C562)</f>
        <v/>
      </c>
      <c r="D562" t="str">
        <f>IF(PNL!D562="","",PNL!D562)</f>
        <v/>
      </c>
      <c r="E562" t="str">
        <f t="shared" si="88"/>
        <v/>
      </c>
      <c r="F562" t="str">
        <f>IF($A562="","",IF($E562=1,SUMIFS(Compta!$F$1:$F$675,Compta!$A$1:$A$675,$A562,Compta!$B$1:$B$675,$B562,Compta!$C$1:$C$675,"2026"),0))</f>
        <v/>
      </c>
      <c r="G562" t="str">
        <f t="shared" si="89"/>
        <v/>
      </c>
      <c r="H562" t="str">
        <f t="shared" si="90"/>
        <v/>
      </c>
      <c r="I562" t="str">
        <f t="shared" si="91"/>
        <v/>
      </c>
      <c r="J562" t="str">
        <f t="shared" si="92"/>
        <v/>
      </c>
      <c r="K562" t="str">
        <f t="shared" si="93"/>
        <v/>
      </c>
      <c r="L562" t="str">
        <f t="shared" si="94"/>
        <v/>
      </c>
      <c r="M562" t="str">
        <f t="shared" si="95"/>
        <v/>
      </c>
      <c r="N562" t="str">
        <f t="shared" si="96"/>
        <v/>
      </c>
      <c r="O562" t="str">
        <f t="shared" si="97"/>
        <v/>
      </c>
      <c r="P562" t="str">
        <f>IF($A562="","",IF($E562=1,$F562*$O562,PNL!G562))</f>
        <v/>
      </c>
      <c r="T562" t="str">
        <f t="shared" si="98"/>
        <v/>
      </c>
    </row>
    <row r="563" spans="1:20" x14ac:dyDescent="0.45">
      <c r="A563" t="str">
        <f>IF(PNL!A563="","",PNL!A563)</f>
        <v/>
      </c>
      <c r="B563" t="str">
        <f>IF(PNL!B563="","",PNL!B563)</f>
        <v/>
      </c>
      <c r="C563" t="str">
        <f>IF(PNL!C563="","",PNL!C563)</f>
        <v/>
      </c>
      <c r="D563" t="str">
        <f>IF(PNL!D563="","",PNL!D563)</f>
        <v/>
      </c>
      <c r="E563" t="str">
        <f t="shared" si="88"/>
        <v/>
      </c>
      <c r="F563" t="str">
        <f>IF($A563="","",IF($E563=1,SUMIFS(Compta!$F$1:$F$675,Compta!$A$1:$A$675,$A563,Compta!$B$1:$B$675,$B563,Compta!$C$1:$C$675,"2026"),0))</f>
        <v/>
      </c>
      <c r="G563" t="str">
        <f t="shared" si="89"/>
        <v/>
      </c>
      <c r="H563" t="str">
        <f t="shared" si="90"/>
        <v/>
      </c>
      <c r="I563" t="str">
        <f t="shared" si="91"/>
        <v/>
      </c>
      <c r="J563" t="str">
        <f t="shared" si="92"/>
        <v/>
      </c>
      <c r="K563" t="str">
        <f t="shared" si="93"/>
        <v/>
      </c>
      <c r="L563" t="str">
        <f t="shared" si="94"/>
        <v/>
      </c>
      <c r="M563" t="str">
        <f t="shared" si="95"/>
        <v/>
      </c>
      <c r="N563" t="str">
        <f t="shared" si="96"/>
        <v/>
      </c>
      <c r="O563" t="str">
        <f t="shared" si="97"/>
        <v/>
      </c>
      <c r="P563" t="str">
        <f>IF($A563="","",IF($E563=1,$F563*$O563,PNL!G563))</f>
        <v/>
      </c>
      <c r="T563" t="str">
        <f t="shared" si="98"/>
        <v/>
      </c>
    </row>
    <row r="564" spans="1:20" x14ac:dyDescent="0.45">
      <c r="A564" t="str">
        <f>IF(PNL!A564="","",PNL!A564)</f>
        <v/>
      </c>
      <c r="B564" t="str">
        <f>IF(PNL!B564="","",PNL!B564)</f>
        <v/>
      </c>
      <c r="C564" t="str">
        <f>IF(PNL!C564="","",PNL!C564)</f>
        <v/>
      </c>
      <c r="D564" t="str">
        <f>IF(PNL!D564="","",PNL!D564)</f>
        <v/>
      </c>
      <c r="E564" t="str">
        <f t="shared" si="88"/>
        <v/>
      </c>
      <c r="F564" t="str">
        <f>IF($A564="","",IF($E564=1,SUMIFS(Compta!$F$1:$F$675,Compta!$A$1:$A$675,$A564,Compta!$B$1:$B$675,$B564,Compta!$C$1:$C$675,"2026"),0))</f>
        <v/>
      </c>
      <c r="G564" t="str">
        <f t="shared" si="89"/>
        <v/>
      </c>
      <c r="H564" t="str">
        <f t="shared" si="90"/>
        <v/>
      </c>
      <c r="I564" t="str">
        <f t="shared" si="91"/>
        <v/>
      </c>
      <c r="J564" t="str">
        <f t="shared" si="92"/>
        <v/>
      </c>
      <c r="K564" t="str">
        <f t="shared" si="93"/>
        <v/>
      </c>
      <c r="L564" t="str">
        <f t="shared" si="94"/>
        <v/>
      </c>
      <c r="M564" t="str">
        <f t="shared" si="95"/>
        <v/>
      </c>
      <c r="N564" t="str">
        <f t="shared" si="96"/>
        <v/>
      </c>
      <c r="O564" t="str">
        <f t="shared" si="97"/>
        <v/>
      </c>
      <c r="P564" t="str">
        <f>IF($A564="","",IF($E564=1,$F564*$O564,PNL!G564))</f>
        <v/>
      </c>
      <c r="T564" t="str">
        <f t="shared" si="98"/>
        <v/>
      </c>
    </row>
    <row r="565" spans="1:20" x14ac:dyDescent="0.45">
      <c r="A565" t="str">
        <f>IF(PNL!A565="","",PNL!A565)</f>
        <v/>
      </c>
      <c r="B565" t="str">
        <f>IF(PNL!B565="","",PNL!B565)</f>
        <v/>
      </c>
      <c r="C565" t="str">
        <f>IF(PNL!C565="","",PNL!C565)</f>
        <v/>
      </c>
      <c r="D565" t="str">
        <f>IF(PNL!D565="","",PNL!D565)</f>
        <v/>
      </c>
      <c r="E565" t="str">
        <f t="shared" si="88"/>
        <v/>
      </c>
      <c r="F565" t="str">
        <f>IF($A565="","",IF($E565=1,SUMIFS(Compta!$F$1:$F$675,Compta!$A$1:$A$675,$A565,Compta!$B$1:$B$675,$B565,Compta!$C$1:$C$675,"2026"),0))</f>
        <v/>
      </c>
      <c r="G565" t="str">
        <f t="shared" si="89"/>
        <v/>
      </c>
      <c r="H565" t="str">
        <f t="shared" si="90"/>
        <v/>
      </c>
      <c r="I565" t="str">
        <f t="shared" si="91"/>
        <v/>
      </c>
      <c r="J565" t="str">
        <f t="shared" si="92"/>
        <v/>
      </c>
      <c r="K565" t="str">
        <f t="shared" si="93"/>
        <v/>
      </c>
      <c r="L565" t="str">
        <f t="shared" si="94"/>
        <v/>
      </c>
      <c r="M565" t="str">
        <f t="shared" si="95"/>
        <v/>
      </c>
      <c r="N565" t="str">
        <f t="shared" si="96"/>
        <v/>
      </c>
      <c r="O565" t="str">
        <f t="shared" si="97"/>
        <v/>
      </c>
      <c r="P565" t="str">
        <f>IF($A565="","",IF($E565=1,$F565*$O565,PNL!G565))</f>
        <v/>
      </c>
      <c r="T565" t="str">
        <f t="shared" si="98"/>
        <v/>
      </c>
    </row>
    <row r="566" spans="1:20" x14ac:dyDescent="0.45">
      <c r="A566" t="str">
        <f>IF(PNL!A566="","",PNL!A566)</f>
        <v/>
      </c>
      <c r="B566" t="str">
        <f>IF(PNL!B566="","",PNL!B566)</f>
        <v/>
      </c>
      <c r="C566" t="str">
        <f>IF(PNL!C566="","",PNL!C566)</f>
        <v/>
      </c>
      <c r="D566" t="str">
        <f>IF(PNL!D566="","",PNL!D566)</f>
        <v/>
      </c>
      <c r="E566" t="str">
        <f t="shared" si="88"/>
        <v/>
      </c>
      <c r="F566" t="str">
        <f>IF($A566="","",IF($E566=1,SUMIFS(Compta!$F$1:$F$675,Compta!$A$1:$A$675,$A566,Compta!$B$1:$B$675,$B566,Compta!$C$1:$C$675,"2026"),0))</f>
        <v/>
      </c>
      <c r="G566" t="str">
        <f t="shared" si="89"/>
        <v/>
      </c>
      <c r="H566" t="str">
        <f t="shared" si="90"/>
        <v/>
      </c>
      <c r="I566" t="str">
        <f t="shared" si="91"/>
        <v/>
      </c>
      <c r="J566" t="str">
        <f t="shared" si="92"/>
        <v/>
      </c>
      <c r="K566" t="str">
        <f t="shared" si="93"/>
        <v/>
      </c>
      <c r="L566" t="str">
        <f t="shared" si="94"/>
        <v/>
      </c>
      <c r="M566" t="str">
        <f t="shared" si="95"/>
        <v/>
      </c>
      <c r="N566" t="str">
        <f t="shared" si="96"/>
        <v/>
      </c>
      <c r="O566" t="str">
        <f t="shared" si="97"/>
        <v/>
      </c>
      <c r="P566" t="str">
        <f>IF($A566="","",IF($E566=1,$F566*$O566,PNL!G566))</f>
        <v/>
      </c>
      <c r="T566" t="str">
        <f t="shared" si="98"/>
        <v/>
      </c>
    </row>
    <row r="567" spans="1:20" x14ac:dyDescent="0.45">
      <c r="A567" t="str">
        <f>IF(PNL!A567="","",PNL!A567)</f>
        <v/>
      </c>
      <c r="B567" t="str">
        <f>IF(PNL!B567="","",PNL!B567)</f>
        <v/>
      </c>
      <c r="C567" t="str">
        <f>IF(PNL!C567="","",PNL!C567)</f>
        <v/>
      </c>
      <c r="D567" t="str">
        <f>IF(PNL!D567="","",PNL!D567)</f>
        <v/>
      </c>
      <c r="E567" t="str">
        <f t="shared" si="88"/>
        <v/>
      </c>
      <c r="F567" t="str">
        <f>IF($A567="","",IF($E567=1,SUMIFS(Compta!$F$1:$F$675,Compta!$A$1:$A$675,$A567,Compta!$B$1:$B$675,$B567,Compta!$C$1:$C$675,"2026"),0))</f>
        <v/>
      </c>
      <c r="G567" t="str">
        <f t="shared" si="89"/>
        <v/>
      </c>
      <c r="H567" t="str">
        <f t="shared" si="90"/>
        <v/>
      </c>
      <c r="I567" t="str">
        <f t="shared" si="91"/>
        <v/>
      </c>
      <c r="J567" t="str">
        <f t="shared" si="92"/>
        <v/>
      </c>
      <c r="K567" t="str">
        <f t="shared" si="93"/>
        <v/>
      </c>
      <c r="L567" t="str">
        <f t="shared" si="94"/>
        <v/>
      </c>
      <c r="M567" t="str">
        <f t="shared" si="95"/>
        <v/>
      </c>
      <c r="N567" t="str">
        <f t="shared" si="96"/>
        <v/>
      </c>
      <c r="O567" t="str">
        <f t="shared" si="97"/>
        <v/>
      </c>
      <c r="P567" t="str">
        <f>IF($A567="","",IF($E567=1,$F567*$O567,PNL!G567))</f>
        <v/>
      </c>
      <c r="T567" t="str">
        <f t="shared" si="98"/>
        <v/>
      </c>
    </row>
    <row r="568" spans="1:20" x14ac:dyDescent="0.45">
      <c r="A568" t="str">
        <f>IF(PNL!A568="","",PNL!A568)</f>
        <v/>
      </c>
      <c r="B568" t="str">
        <f>IF(PNL!B568="","",PNL!B568)</f>
        <v/>
      </c>
      <c r="C568" t="str">
        <f>IF(PNL!C568="","",PNL!C568)</f>
        <v/>
      </c>
      <c r="D568" t="str">
        <f>IF(PNL!D568="","",PNL!D568)</f>
        <v/>
      </c>
      <c r="E568" t="str">
        <f t="shared" si="88"/>
        <v/>
      </c>
      <c r="F568" t="str">
        <f>IF($A568="","",IF($E568=1,SUMIFS(Compta!$F$1:$F$675,Compta!$A$1:$A$675,$A568,Compta!$B$1:$B$675,$B568,Compta!$C$1:$C$675,"2026"),0))</f>
        <v/>
      </c>
      <c r="G568" t="str">
        <f t="shared" si="89"/>
        <v/>
      </c>
      <c r="H568" t="str">
        <f t="shared" si="90"/>
        <v/>
      </c>
      <c r="I568" t="str">
        <f t="shared" si="91"/>
        <v/>
      </c>
      <c r="J568" t="str">
        <f t="shared" si="92"/>
        <v/>
      </c>
      <c r="K568" t="str">
        <f t="shared" si="93"/>
        <v/>
      </c>
      <c r="L568" t="str">
        <f t="shared" si="94"/>
        <v/>
      </c>
      <c r="M568" t="str">
        <f t="shared" si="95"/>
        <v/>
      </c>
      <c r="N568" t="str">
        <f t="shared" si="96"/>
        <v/>
      </c>
      <c r="O568" t="str">
        <f t="shared" si="97"/>
        <v/>
      </c>
      <c r="P568" t="str">
        <f>IF($A568="","",IF($E568=1,$F568*$O568,PNL!G568))</f>
        <v/>
      </c>
      <c r="T568" t="str">
        <f t="shared" si="98"/>
        <v/>
      </c>
    </row>
    <row r="569" spans="1:20" x14ac:dyDescent="0.45">
      <c r="A569" t="str">
        <f>IF(PNL!A569="","",PNL!A569)</f>
        <v/>
      </c>
      <c r="B569" t="str">
        <f>IF(PNL!B569="","",PNL!B569)</f>
        <v/>
      </c>
      <c r="C569" t="str">
        <f>IF(PNL!C569="","",PNL!C569)</f>
        <v/>
      </c>
      <c r="D569" t="str">
        <f>IF(PNL!D569="","",PNL!D569)</f>
        <v/>
      </c>
      <c r="E569" t="str">
        <f t="shared" si="88"/>
        <v/>
      </c>
      <c r="F569" t="str">
        <f>IF($A569="","",IF($E569=1,SUMIFS(Compta!$F$1:$F$675,Compta!$A$1:$A$675,$A569,Compta!$B$1:$B$675,$B569,Compta!$C$1:$C$675,"2026"),0))</f>
        <v/>
      </c>
      <c r="G569" t="str">
        <f t="shared" si="89"/>
        <v/>
      </c>
      <c r="H569" t="str">
        <f t="shared" si="90"/>
        <v/>
      </c>
      <c r="I569" t="str">
        <f t="shared" si="91"/>
        <v/>
      </c>
      <c r="J569" t="str">
        <f t="shared" si="92"/>
        <v/>
      </c>
      <c r="K569" t="str">
        <f t="shared" si="93"/>
        <v/>
      </c>
      <c r="L569" t="str">
        <f t="shared" si="94"/>
        <v/>
      </c>
      <c r="M569" t="str">
        <f t="shared" si="95"/>
        <v/>
      </c>
      <c r="N569" t="str">
        <f t="shared" si="96"/>
        <v/>
      </c>
      <c r="O569" t="str">
        <f t="shared" si="97"/>
        <v/>
      </c>
      <c r="P569" t="str">
        <f>IF($A569="","",IF($E569=1,$F569*$O569,PNL!G569))</f>
        <v/>
      </c>
      <c r="T569" t="str">
        <f t="shared" si="98"/>
        <v/>
      </c>
    </row>
    <row r="570" spans="1:20" x14ac:dyDescent="0.45">
      <c r="A570" t="str">
        <f>IF(PNL!A570="","",PNL!A570)</f>
        <v/>
      </c>
      <c r="B570" t="str">
        <f>IF(PNL!B570="","",PNL!B570)</f>
        <v/>
      </c>
      <c r="C570" t="str">
        <f>IF(PNL!C570="","",PNL!C570)</f>
        <v/>
      </c>
      <c r="D570" t="str">
        <f>IF(PNL!D570="","",PNL!D570)</f>
        <v/>
      </c>
      <c r="E570" t="str">
        <f t="shared" si="88"/>
        <v/>
      </c>
      <c r="F570" t="str">
        <f>IF($A570="","",IF($E570=1,SUMIFS(Compta!$F$1:$F$675,Compta!$A$1:$A$675,$A570,Compta!$B$1:$B$675,$B570,Compta!$C$1:$C$675,"2026"),0))</f>
        <v/>
      </c>
      <c r="G570" t="str">
        <f t="shared" si="89"/>
        <v/>
      </c>
      <c r="H570" t="str">
        <f t="shared" si="90"/>
        <v/>
      </c>
      <c r="I570" t="str">
        <f t="shared" si="91"/>
        <v/>
      </c>
      <c r="J570" t="str">
        <f t="shared" si="92"/>
        <v/>
      </c>
      <c r="K570" t="str">
        <f t="shared" si="93"/>
        <v/>
      </c>
      <c r="L570" t="str">
        <f t="shared" si="94"/>
        <v/>
      </c>
      <c r="M570" t="str">
        <f t="shared" si="95"/>
        <v/>
      </c>
      <c r="N570" t="str">
        <f t="shared" si="96"/>
        <v/>
      </c>
      <c r="O570" t="str">
        <f t="shared" si="97"/>
        <v/>
      </c>
      <c r="P570" t="str">
        <f>IF($A570="","",IF($E570=1,$F570*$O570,PNL!G570))</f>
        <v/>
      </c>
      <c r="T570" t="str">
        <f t="shared" si="98"/>
        <v/>
      </c>
    </row>
    <row r="571" spans="1:20" x14ac:dyDescent="0.45">
      <c r="A571" t="str">
        <f>IF(PNL!A571="","",PNL!A571)</f>
        <v/>
      </c>
      <c r="B571" t="str">
        <f>IF(PNL!B571="","",PNL!B571)</f>
        <v/>
      </c>
      <c r="C571" t="str">
        <f>IF(PNL!C571="","",PNL!C571)</f>
        <v/>
      </c>
      <c r="D571" t="str">
        <f>IF(PNL!D571="","",PNL!D571)</f>
        <v/>
      </c>
      <c r="E571" t="str">
        <f t="shared" si="88"/>
        <v/>
      </c>
      <c r="F571" t="str">
        <f>IF($A571="","",IF($E571=1,SUMIFS(Compta!$F$1:$F$675,Compta!$A$1:$A$675,$A571,Compta!$B$1:$B$675,$B571,Compta!$C$1:$C$675,"2026"),0))</f>
        <v/>
      </c>
      <c r="G571" t="str">
        <f t="shared" si="89"/>
        <v/>
      </c>
      <c r="H571" t="str">
        <f t="shared" si="90"/>
        <v/>
      </c>
      <c r="I571" t="str">
        <f t="shared" si="91"/>
        <v/>
      </c>
      <c r="J571" t="str">
        <f t="shared" si="92"/>
        <v/>
      </c>
      <c r="K571" t="str">
        <f t="shared" si="93"/>
        <v/>
      </c>
      <c r="L571" t="str">
        <f t="shared" si="94"/>
        <v/>
      </c>
      <c r="M571" t="str">
        <f t="shared" si="95"/>
        <v/>
      </c>
      <c r="N571" t="str">
        <f t="shared" si="96"/>
        <v/>
      </c>
      <c r="O571" t="str">
        <f t="shared" si="97"/>
        <v/>
      </c>
      <c r="P571" t="str">
        <f>IF($A571="","",IF($E571=1,$F571*$O571,PNL!G571))</f>
        <v/>
      </c>
      <c r="T571" t="str">
        <f t="shared" si="98"/>
        <v/>
      </c>
    </row>
    <row r="572" spans="1:20" x14ac:dyDescent="0.45">
      <c r="A572" t="str">
        <f>IF(PNL!A572="","",PNL!A572)</f>
        <v/>
      </c>
      <c r="B572" t="str">
        <f>IF(PNL!B572="","",PNL!B572)</f>
        <v/>
      </c>
      <c r="C572" t="str">
        <f>IF(PNL!C572="","",PNL!C572)</f>
        <v/>
      </c>
      <c r="D572" t="str">
        <f>IF(PNL!D572="","",PNL!D572)</f>
        <v/>
      </c>
      <c r="E572" t="str">
        <f t="shared" si="88"/>
        <v/>
      </c>
      <c r="F572" t="str">
        <f>IF($A572="","",IF($E572=1,SUMIFS(Compta!$F$1:$F$675,Compta!$A$1:$A$675,$A572,Compta!$B$1:$B$675,$B572,Compta!$C$1:$C$675,"2026"),0))</f>
        <v/>
      </c>
      <c r="G572" t="str">
        <f t="shared" si="89"/>
        <v/>
      </c>
      <c r="H572" t="str">
        <f t="shared" si="90"/>
        <v/>
      </c>
      <c r="I572" t="str">
        <f t="shared" si="91"/>
        <v/>
      </c>
      <c r="J572" t="str">
        <f t="shared" si="92"/>
        <v/>
      </c>
      <c r="K572" t="str">
        <f t="shared" si="93"/>
        <v/>
      </c>
      <c r="L572" t="str">
        <f t="shared" si="94"/>
        <v/>
      </c>
      <c r="M572" t="str">
        <f t="shared" si="95"/>
        <v/>
      </c>
      <c r="N572" t="str">
        <f t="shared" si="96"/>
        <v/>
      </c>
      <c r="O572" t="str">
        <f t="shared" si="97"/>
        <v/>
      </c>
      <c r="P572" t="str">
        <f>IF($A572="","",IF($E572=1,$F572*$O572,PNL!G572))</f>
        <v/>
      </c>
      <c r="T572" t="str">
        <f t="shared" si="98"/>
        <v/>
      </c>
    </row>
    <row r="573" spans="1:20" x14ac:dyDescent="0.45">
      <c r="A573" t="str">
        <f>IF(PNL!A573="","",PNL!A573)</f>
        <v/>
      </c>
      <c r="B573" t="str">
        <f>IF(PNL!B573="","",PNL!B573)</f>
        <v/>
      </c>
      <c r="C573" t="str">
        <f>IF(PNL!C573="","",PNL!C573)</f>
        <v/>
      </c>
      <c r="D573" t="str">
        <f>IF(PNL!D573="","",PNL!D573)</f>
        <v/>
      </c>
      <c r="E573" t="str">
        <f t="shared" si="88"/>
        <v/>
      </c>
      <c r="F573" t="str">
        <f>IF($A573="","",IF($E573=1,SUMIFS(Compta!$F$1:$F$675,Compta!$A$1:$A$675,$A573,Compta!$B$1:$B$675,$B573,Compta!$C$1:$C$675,"2026"),0))</f>
        <v/>
      </c>
      <c r="G573" t="str">
        <f t="shared" si="89"/>
        <v/>
      </c>
      <c r="H573" t="str">
        <f t="shared" si="90"/>
        <v/>
      </c>
      <c r="I573" t="str">
        <f t="shared" si="91"/>
        <v/>
      </c>
      <c r="J573" t="str">
        <f t="shared" si="92"/>
        <v/>
      </c>
      <c r="K573" t="str">
        <f t="shared" si="93"/>
        <v/>
      </c>
      <c r="L573" t="str">
        <f t="shared" si="94"/>
        <v/>
      </c>
      <c r="M573" t="str">
        <f t="shared" si="95"/>
        <v/>
      </c>
      <c r="N573" t="str">
        <f t="shared" si="96"/>
        <v/>
      </c>
      <c r="O573" t="str">
        <f t="shared" si="97"/>
        <v/>
      </c>
      <c r="P573" t="str">
        <f>IF($A573="","",IF($E573=1,$F573*$O573,PNL!G573))</f>
        <v/>
      </c>
      <c r="T573" t="str">
        <f t="shared" si="98"/>
        <v/>
      </c>
    </row>
    <row r="574" spans="1:20" x14ac:dyDescent="0.45">
      <c r="A574" t="str">
        <f>IF(PNL!A574="","",PNL!A574)</f>
        <v/>
      </c>
      <c r="B574" t="str">
        <f>IF(PNL!B574="","",PNL!B574)</f>
        <v/>
      </c>
      <c r="C574" t="str">
        <f>IF(PNL!C574="","",PNL!C574)</f>
        <v/>
      </c>
      <c r="D574" t="str">
        <f>IF(PNL!D574="","",PNL!D574)</f>
        <v/>
      </c>
      <c r="E574" t="str">
        <f t="shared" si="88"/>
        <v/>
      </c>
      <c r="F574" t="str">
        <f>IF($A574="","",IF($E574=1,SUMIFS(Compta!$F$1:$F$675,Compta!$A$1:$A$675,$A574,Compta!$B$1:$B$675,$B574,Compta!$C$1:$C$675,"2026"),0))</f>
        <v/>
      </c>
      <c r="G574" t="str">
        <f t="shared" si="89"/>
        <v/>
      </c>
      <c r="H574" t="str">
        <f t="shared" si="90"/>
        <v/>
      </c>
      <c r="I574" t="str">
        <f t="shared" si="91"/>
        <v/>
      </c>
      <c r="J574" t="str">
        <f t="shared" si="92"/>
        <v/>
      </c>
      <c r="K574" t="str">
        <f t="shared" si="93"/>
        <v/>
      </c>
      <c r="L574" t="str">
        <f t="shared" si="94"/>
        <v/>
      </c>
      <c r="M574" t="str">
        <f t="shared" si="95"/>
        <v/>
      </c>
      <c r="N574" t="str">
        <f t="shared" si="96"/>
        <v/>
      </c>
      <c r="O574" t="str">
        <f t="shared" si="97"/>
        <v/>
      </c>
      <c r="P574" t="str">
        <f>IF($A574="","",IF($E574=1,$F574*$O574,PNL!G574))</f>
        <v/>
      </c>
      <c r="T574" t="str">
        <f t="shared" si="98"/>
        <v/>
      </c>
    </row>
    <row r="575" spans="1:20" x14ac:dyDescent="0.45">
      <c r="A575" t="str">
        <f>IF(PNL!A575="","",PNL!A575)</f>
        <v/>
      </c>
      <c r="B575" t="str">
        <f>IF(PNL!B575="","",PNL!B575)</f>
        <v/>
      </c>
      <c r="C575" t="str">
        <f>IF(PNL!C575="","",PNL!C575)</f>
        <v/>
      </c>
      <c r="D575" t="str">
        <f>IF(PNL!D575="","",PNL!D575)</f>
        <v/>
      </c>
      <c r="E575" t="str">
        <f t="shared" si="88"/>
        <v/>
      </c>
      <c r="F575" t="str">
        <f>IF($A575="","",IF($E575=1,SUMIFS(Compta!$F$1:$F$675,Compta!$A$1:$A$675,$A575,Compta!$B$1:$B$675,$B575,Compta!$C$1:$C$675,"2026"),0))</f>
        <v/>
      </c>
      <c r="G575" t="str">
        <f t="shared" si="89"/>
        <v/>
      </c>
      <c r="H575" t="str">
        <f t="shared" si="90"/>
        <v/>
      </c>
      <c r="I575" t="str">
        <f t="shared" si="91"/>
        <v/>
      </c>
      <c r="J575" t="str">
        <f t="shared" si="92"/>
        <v/>
      </c>
      <c r="K575" t="str">
        <f t="shared" si="93"/>
        <v/>
      </c>
      <c r="L575" t="str">
        <f t="shared" si="94"/>
        <v/>
      </c>
      <c r="M575" t="str">
        <f t="shared" si="95"/>
        <v/>
      </c>
      <c r="N575" t="str">
        <f t="shared" si="96"/>
        <v/>
      </c>
      <c r="O575" t="str">
        <f t="shared" si="97"/>
        <v/>
      </c>
      <c r="P575" t="str">
        <f>IF($A575="","",IF($E575=1,$F575*$O575,PNL!G575))</f>
        <v/>
      </c>
      <c r="T575" t="str">
        <f t="shared" si="98"/>
        <v/>
      </c>
    </row>
    <row r="576" spans="1:20" x14ac:dyDescent="0.45">
      <c r="A576" t="str">
        <f>IF(PNL!A576="","",PNL!A576)</f>
        <v/>
      </c>
      <c r="B576" t="str">
        <f>IF(PNL!B576="","",PNL!B576)</f>
        <v/>
      </c>
      <c r="C576" t="str">
        <f>IF(PNL!C576="","",PNL!C576)</f>
        <v/>
      </c>
      <c r="D576" t="str">
        <f>IF(PNL!D576="","",PNL!D576)</f>
        <v/>
      </c>
      <c r="E576" t="str">
        <f t="shared" si="88"/>
        <v/>
      </c>
      <c r="F576" t="str">
        <f>IF($A576="","",IF($E576=1,SUMIFS(Compta!$F$1:$F$675,Compta!$A$1:$A$675,$A576,Compta!$B$1:$B$675,$B576,Compta!$C$1:$C$675,"2026"),0))</f>
        <v/>
      </c>
      <c r="G576" t="str">
        <f t="shared" si="89"/>
        <v/>
      </c>
      <c r="H576" t="str">
        <f t="shared" si="90"/>
        <v/>
      </c>
      <c r="I576" t="str">
        <f t="shared" si="91"/>
        <v/>
      </c>
      <c r="J576" t="str">
        <f t="shared" si="92"/>
        <v/>
      </c>
      <c r="K576" t="str">
        <f t="shared" si="93"/>
        <v/>
      </c>
      <c r="L576" t="str">
        <f t="shared" si="94"/>
        <v/>
      </c>
      <c r="M576" t="str">
        <f t="shared" si="95"/>
        <v/>
      </c>
      <c r="N576" t="str">
        <f t="shared" si="96"/>
        <v/>
      </c>
      <c r="O576" t="str">
        <f t="shared" si="97"/>
        <v/>
      </c>
      <c r="P576" t="str">
        <f>IF($A576="","",IF($E576=1,$F576*$O576,PNL!G576))</f>
        <v/>
      </c>
      <c r="T576" t="str">
        <f t="shared" si="98"/>
        <v/>
      </c>
    </row>
    <row r="577" spans="1:20" x14ac:dyDescent="0.45">
      <c r="A577" t="str">
        <f>IF(PNL!A577="","",PNL!A577)</f>
        <v/>
      </c>
      <c r="B577" t="str">
        <f>IF(PNL!B577="","",PNL!B577)</f>
        <v/>
      </c>
      <c r="C577" t="str">
        <f>IF(PNL!C577="","",PNL!C577)</f>
        <v/>
      </c>
      <c r="D577" t="str">
        <f>IF(PNL!D577="","",PNL!D577)</f>
        <v/>
      </c>
      <c r="E577" t="str">
        <f t="shared" si="88"/>
        <v/>
      </c>
      <c r="F577" t="str">
        <f>IF($A577="","",IF($E577=1,SUMIFS(Compta!$F$1:$F$675,Compta!$A$1:$A$675,$A577,Compta!$B$1:$B$675,$B577,Compta!$C$1:$C$675,"2026"),0))</f>
        <v/>
      </c>
      <c r="G577" t="str">
        <f t="shared" si="89"/>
        <v/>
      </c>
      <c r="H577" t="str">
        <f t="shared" si="90"/>
        <v/>
      </c>
      <c r="I577" t="str">
        <f t="shared" si="91"/>
        <v/>
      </c>
      <c r="J577" t="str">
        <f t="shared" si="92"/>
        <v/>
      </c>
      <c r="K577" t="str">
        <f t="shared" si="93"/>
        <v/>
      </c>
      <c r="L577" t="str">
        <f t="shared" si="94"/>
        <v/>
      </c>
      <c r="M577" t="str">
        <f t="shared" si="95"/>
        <v/>
      </c>
      <c r="N577" t="str">
        <f t="shared" si="96"/>
        <v/>
      </c>
      <c r="O577" t="str">
        <f t="shared" si="97"/>
        <v/>
      </c>
      <c r="P577" t="str">
        <f>IF($A577="","",IF($E577=1,$F577*$O577,PNL!G577))</f>
        <v/>
      </c>
      <c r="T577" t="str">
        <f t="shared" si="98"/>
        <v/>
      </c>
    </row>
    <row r="578" spans="1:20" x14ac:dyDescent="0.45">
      <c r="A578" t="str">
        <f>IF(PNL!A578="","",PNL!A578)</f>
        <v/>
      </c>
      <c r="B578" t="str">
        <f>IF(PNL!B578="","",PNL!B578)</f>
        <v/>
      </c>
      <c r="C578" t="str">
        <f>IF(PNL!C578="","",PNL!C578)</f>
        <v/>
      </c>
      <c r="D578" t="str">
        <f>IF(PNL!D578="","",PNL!D578)</f>
        <v/>
      </c>
      <c r="E578" t="str">
        <f t="shared" ref="E578:E641" si="99">IF($A578="","",IF(AND($C578="2027",OR($D578="V01",$D578="V02",$D578="V03")),1,0))</f>
        <v/>
      </c>
      <c r="F578" t="str">
        <f>IF($A578="","",IF($E578=1,SUMIFS(Compta!$F$1:$F$675,Compta!$A$1:$A$675,$A578,Compta!$B$1:$B$675,$B578,Compta!$C$1:$C$675,"2026"),0))</f>
        <v/>
      </c>
      <c r="G578" t="str">
        <f t="shared" ref="G578:G641" si="100">IF($A578="","",IF($D578="V01",cad!$C$23,IF($D578="V02",cad!$D$23,cad!$E$23)))</f>
        <v/>
      </c>
      <c r="H578" t="str">
        <f t="shared" ref="H578:H641" si="101">IF($A578="","",IF($D578="V01",cad!$C$24,IF($D578="V02",cad!$D$24,cad!$E$24)))</f>
        <v/>
      </c>
      <c r="I578" t="str">
        <f t="shared" ref="I578:I641" si="102">IF($A578="","",IF($D578="V01",cad!$C$32,IF($D578="V02",cad!$D$32,cad!$E$32)))</f>
        <v/>
      </c>
      <c r="J578" t="str">
        <f t="shared" ref="J578:J641" si="103">IF($A578="","",IF($D578="V01",cad!$C$33,IF($D578="V02",cad!$D$33,cad!$E$33)))</f>
        <v/>
      </c>
      <c r="K578" t="str">
        <f t="shared" ref="K578:K641" si="104">IF($A578="","",IF($D578="V01",cad!$C$34,IF($D578="V02",cad!$D$34,cad!$E$34)))</f>
        <v/>
      </c>
      <c r="L578" t="str">
        <f t="shared" ref="L578:L641" si="105">IF($A578="","",IF($D578="V01",cad!$C$35,IF($D578="V02",cad!$D$35,cad!$E$35)))</f>
        <v/>
      </c>
      <c r="M578" t="str">
        <f t="shared" ref="M578:M641" si="106">IF($A578="","",IF($D578="V01",cad!$C$36,IF($D578="V02",cad!$D$36,cad!$E$36)))</f>
        <v/>
      </c>
      <c r="N578" t="str">
        <f t="shared" ref="N578:N641" si="107">IF($A578="","",IF($D578="V01",$R$2,IF($D578="V02",$R$3,$R$4)))</f>
        <v/>
      </c>
      <c r="O578" t="str">
        <f t="shared" ref="O578:O641" si="108">IF($A578="","",IF(OR($B578="7062",$B578="706",$B578="708"),$N578,IF($B578="6231",1+$G578,IF($B578="6236",1+$H578,IF(OR($B578="621",$B578="604",$B578="6063"),$N578*(1-$L578),IF(OR($B578="6411",$B578="6413",$B578="6414",$B578="645"),(1+$J578)*(1+$K578),IF(OR($B578="613",$B578="615",$B578="616",$B578="6226",$B578="625",$B578="626",$B578="6281"),(1+$I578)*(1-$L578)*(1+$M578),IF(OR($B578="6331",$B578="63511",$B578="6333"),(1+$I578)*(1-$L578),IF($B578="6811",1+$I578,1)))))))))</f>
        <v/>
      </c>
      <c r="P578" t="str">
        <f>IF($A578="","",IF($E578=1,$F578*$O578,PNL!G578))</f>
        <v/>
      </c>
      <c r="T578" t="str">
        <f t="shared" ref="T578:T641" si="109">IF($A578="","",IF($E578=1,IF(OR($B578="7062",$B578="706",$B578="708"),$P578,IF(AND(LEFT($B578,1)="6",$B578&lt;&gt;"6811"),-$P578,0)),0))</f>
        <v/>
      </c>
    </row>
    <row r="579" spans="1:20" x14ac:dyDescent="0.45">
      <c r="A579" t="str">
        <f>IF(PNL!A579="","",PNL!A579)</f>
        <v/>
      </c>
      <c r="B579" t="str">
        <f>IF(PNL!B579="","",PNL!B579)</f>
        <v/>
      </c>
      <c r="C579" t="str">
        <f>IF(PNL!C579="","",PNL!C579)</f>
        <v/>
      </c>
      <c r="D579" t="str">
        <f>IF(PNL!D579="","",PNL!D579)</f>
        <v/>
      </c>
      <c r="E579" t="str">
        <f t="shared" si="99"/>
        <v/>
      </c>
      <c r="F579" t="str">
        <f>IF($A579="","",IF($E579=1,SUMIFS(Compta!$F$1:$F$675,Compta!$A$1:$A$675,$A579,Compta!$B$1:$B$675,$B579,Compta!$C$1:$C$675,"2026"),0))</f>
        <v/>
      </c>
      <c r="G579" t="str">
        <f t="shared" si="100"/>
        <v/>
      </c>
      <c r="H579" t="str">
        <f t="shared" si="101"/>
        <v/>
      </c>
      <c r="I579" t="str">
        <f t="shared" si="102"/>
        <v/>
      </c>
      <c r="J579" t="str">
        <f t="shared" si="103"/>
        <v/>
      </c>
      <c r="K579" t="str">
        <f t="shared" si="104"/>
        <v/>
      </c>
      <c r="L579" t="str">
        <f t="shared" si="105"/>
        <v/>
      </c>
      <c r="M579" t="str">
        <f t="shared" si="106"/>
        <v/>
      </c>
      <c r="N579" t="str">
        <f t="shared" si="107"/>
        <v/>
      </c>
      <c r="O579" t="str">
        <f t="shared" si="108"/>
        <v/>
      </c>
      <c r="P579" t="str">
        <f>IF($A579="","",IF($E579=1,$F579*$O579,PNL!G579))</f>
        <v/>
      </c>
      <c r="T579" t="str">
        <f t="shared" si="109"/>
        <v/>
      </c>
    </row>
    <row r="580" spans="1:20" x14ac:dyDescent="0.45">
      <c r="A580" t="str">
        <f>IF(PNL!A580="","",PNL!A580)</f>
        <v/>
      </c>
      <c r="B580" t="str">
        <f>IF(PNL!B580="","",PNL!B580)</f>
        <v/>
      </c>
      <c r="C580" t="str">
        <f>IF(PNL!C580="","",PNL!C580)</f>
        <v/>
      </c>
      <c r="D580" t="str">
        <f>IF(PNL!D580="","",PNL!D580)</f>
        <v/>
      </c>
      <c r="E580" t="str">
        <f t="shared" si="99"/>
        <v/>
      </c>
      <c r="F580" t="str">
        <f>IF($A580="","",IF($E580=1,SUMIFS(Compta!$F$1:$F$675,Compta!$A$1:$A$675,$A580,Compta!$B$1:$B$675,$B580,Compta!$C$1:$C$675,"2026"),0))</f>
        <v/>
      </c>
      <c r="G580" t="str">
        <f t="shared" si="100"/>
        <v/>
      </c>
      <c r="H580" t="str">
        <f t="shared" si="101"/>
        <v/>
      </c>
      <c r="I580" t="str">
        <f t="shared" si="102"/>
        <v/>
      </c>
      <c r="J580" t="str">
        <f t="shared" si="103"/>
        <v/>
      </c>
      <c r="K580" t="str">
        <f t="shared" si="104"/>
        <v/>
      </c>
      <c r="L580" t="str">
        <f t="shared" si="105"/>
        <v/>
      </c>
      <c r="M580" t="str">
        <f t="shared" si="106"/>
        <v/>
      </c>
      <c r="N580" t="str">
        <f t="shared" si="107"/>
        <v/>
      </c>
      <c r="O580" t="str">
        <f t="shared" si="108"/>
        <v/>
      </c>
      <c r="P580" t="str">
        <f>IF($A580="","",IF($E580=1,$F580*$O580,PNL!G580))</f>
        <v/>
      </c>
      <c r="T580" t="str">
        <f t="shared" si="109"/>
        <v/>
      </c>
    </row>
    <row r="581" spans="1:20" x14ac:dyDescent="0.45">
      <c r="A581" t="str">
        <f>IF(PNL!A581="","",PNL!A581)</f>
        <v/>
      </c>
      <c r="B581" t="str">
        <f>IF(PNL!B581="","",PNL!B581)</f>
        <v/>
      </c>
      <c r="C581" t="str">
        <f>IF(PNL!C581="","",PNL!C581)</f>
        <v/>
      </c>
      <c r="D581" t="str">
        <f>IF(PNL!D581="","",PNL!D581)</f>
        <v/>
      </c>
      <c r="E581" t="str">
        <f t="shared" si="99"/>
        <v/>
      </c>
      <c r="F581" t="str">
        <f>IF($A581="","",IF($E581=1,SUMIFS(Compta!$F$1:$F$675,Compta!$A$1:$A$675,$A581,Compta!$B$1:$B$675,$B581,Compta!$C$1:$C$675,"2026"),0))</f>
        <v/>
      </c>
      <c r="G581" t="str">
        <f t="shared" si="100"/>
        <v/>
      </c>
      <c r="H581" t="str">
        <f t="shared" si="101"/>
        <v/>
      </c>
      <c r="I581" t="str">
        <f t="shared" si="102"/>
        <v/>
      </c>
      <c r="J581" t="str">
        <f t="shared" si="103"/>
        <v/>
      </c>
      <c r="K581" t="str">
        <f t="shared" si="104"/>
        <v/>
      </c>
      <c r="L581" t="str">
        <f t="shared" si="105"/>
        <v/>
      </c>
      <c r="M581" t="str">
        <f t="shared" si="106"/>
        <v/>
      </c>
      <c r="N581" t="str">
        <f t="shared" si="107"/>
        <v/>
      </c>
      <c r="O581" t="str">
        <f t="shared" si="108"/>
        <v/>
      </c>
      <c r="P581" t="str">
        <f>IF($A581="","",IF($E581=1,$F581*$O581,PNL!G581))</f>
        <v/>
      </c>
      <c r="T581" t="str">
        <f t="shared" si="109"/>
        <v/>
      </c>
    </row>
    <row r="582" spans="1:20" x14ac:dyDescent="0.45">
      <c r="A582" t="str">
        <f>IF(PNL!A582="","",PNL!A582)</f>
        <v/>
      </c>
      <c r="B582" t="str">
        <f>IF(PNL!B582="","",PNL!B582)</f>
        <v/>
      </c>
      <c r="C582" t="str">
        <f>IF(PNL!C582="","",PNL!C582)</f>
        <v/>
      </c>
      <c r="D582" t="str">
        <f>IF(PNL!D582="","",PNL!D582)</f>
        <v/>
      </c>
      <c r="E582" t="str">
        <f t="shared" si="99"/>
        <v/>
      </c>
      <c r="F582" t="str">
        <f>IF($A582="","",IF($E582=1,SUMIFS(Compta!$F$1:$F$675,Compta!$A$1:$A$675,$A582,Compta!$B$1:$B$675,$B582,Compta!$C$1:$C$675,"2026"),0))</f>
        <v/>
      </c>
      <c r="G582" t="str">
        <f t="shared" si="100"/>
        <v/>
      </c>
      <c r="H582" t="str">
        <f t="shared" si="101"/>
        <v/>
      </c>
      <c r="I582" t="str">
        <f t="shared" si="102"/>
        <v/>
      </c>
      <c r="J582" t="str">
        <f t="shared" si="103"/>
        <v/>
      </c>
      <c r="K582" t="str">
        <f t="shared" si="104"/>
        <v/>
      </c>
      <c r="L582" t="str">
        <f t="shared" si="105"/>
        <v/>
      </c>
      <c r="M582" t="str">
        <f t="shared" si="106"/>
        <v/>
      </c>
      <c r="N582" t="str">
        <f t="shared" si="107"/>
        <v/>
      </c>
      <c r="O582" t="str">
        <f t="shared" si="108"/>
        <v/>
      </c>
      <c r="P582" t="str">
        <f>IF($A582="","",IF($E582=1,$F582*$O582,PNL!G582))</f>
        <v/>
      </c>
      <c r="T582" t="str">
        <f t="shared" si="109"/>
        <v/>
      </c>
    </row>
    <row r="583" spans="1:20" x14ac:dyDescent="0.45">
      <c r="A583" t="str">
        <f>IF(PNL!A583="","",PNL!A583)</f>
        <v/>
      </c>
      <c r="B583" t="str">
        <f>IF(PNL!B583="","",PNL!B583)</f>
        <v/>
      </c>
      <c r="C583" t="str">
        <f>IF(PNL!C583="","",PNL!C583)</f>
        <v/>
      </c>
      <c r="D583" t="str">
        <f>IF(PNL!D583="","",PNL!D583)</f>
        <v/>
      </c>
      <c r="E583" t="str">
        <f t="shared" si="99"/>
        <v/>
      </c>
      <c r="F583" t="str">
        <f>IF($A583="","",IF($E583=1,SUMIFS(Compta!$F$1:$F$675,Compta!$A$1:$A$675,$A583,Compta!$B$1:$B$675,$B583,Compta!$C$1:$C$675,"2026"),0))</f>
        <v/>
      </c>
      <c r="G583" t="str">
        <f t="shared" si="100"/>
        <v/>
      </c>
      <c r="H583" t="str">
        <f t="shared" si="101"/>
        <v/>
      </c>
      <c r="I583" t="str">
        <f t="shared" si="102"/>
        <v/>
      </c>
      <c r="J583" t="str">
        <f t="shared" si="103"/>
        <v/>
      </c>
      <c r="K583" t="str">
        <f t="shared" si="104"/>
        <v/>
      </c>
      <c r="L583" t="str">
        <f t="shared" si="105"/>
        <v/>
      </c>
      <c r="M583" t="str">
        <f t="shared" si="106"/>
        <v/>
      </c>
      <c r="N583" t="str">
        <f t="shared" si="107"/>
        <v/>
      </c>
      <c r="O583" t="str">
        <f t="shared" si="108"/>
        <v/>
      </c>
      <c r="P583" t="str">
        <f>IF($A583="","",IF($E583=1,$F583*$O583,PNL!G583))</f>
        <v/>
      </c>
      <c r="T583" t="str">
        <f t="shared" si="109"/>
        <v/>
      </c>
    </row>
    <row r="584" spans="1:20" x14ac:dyDescent="0.45">
      <c r="A584" t="str">
        <f>IF(PNL!A584="","",PNL!A584)</f>
        <v/>
      </c>
      <c r="B584" t="str">
        <f>IF(PNL!B584="","",PNL!B584)</f>
        <v/>
      </c>
      <c r="C584" t="str">
        <f>IF(PNL!C584="","",PNL!C584)</f>
        <v/>
      </c>
      <c r="D584" t="str">
        <f>IF(PNL!D584="","",PNL!D584)</f>
        <v/>
      </c>
      <c r="E584" t="str">
        <f t="shared" si="99"/>
        <v/>
      </c>
      <c r="F584" t="str">
        <f>IF($A584="","",IF($E584=1,SUMIFS(Compta!$F$1:$F$675,Compta!$A$1:$A$675,$A584,Compta!$B$1:$B$675,$B584,Compta!$C$1:$C$675,"2026"),0))</f>
        <v/>
      </c>
      <c r="G584" t="str">
        <f t="shared" si="100"/>
        <v/>
      </c>
      <c r="H584" t="str">
        <f t="shared" si="101"/>
        <v/>
      </c>
      <c r="I584" t="str">
        <f t="shared" si="102"/>
        <v/>
      </c>
      <c r="J584" t="str">
        <f t="shared" si="103"/>
        <v/>
      </c>
      <c r="K584" t="str">
        <f t="shared" si="104"/>
        <v/>
      </c>
      <c r="L584" t="str">
        <f t="shared" si="105"/>
        <v/>
      </c>
      <c r="M584" t="str">
        <f t="shared" si="106"/>
        <v/>
      </c>
      <c r="N584" t="str">
        <f t="shared" si="107"/>
        <v/>
      </c>
      <c r="O584" t="str">
        <f t="shared" si="108"/>
        <v/>
      </c>
      <c r="P584" t="str">
        <f>IF($A584="","",IF($E584=1,$F584*$O584,PNL!G584))</f>
        <v/>
      </c>
      <c r="T584" t="str">
        <f t="shared" si="109"/>
        <v/>
      </c>
    </row>
    <row r="585" spans="1:20" x14ac:dyDescent="0.45">
      <c r="A585" t="str">
        <f>IF(PNL!A585="","",PNL!A585)</f>
        <v/>
      </c>
      <c r="B585" t="str">
        <f>IF(PNL!B585="","",PNL!B585)</f>
        <v/>
      </c>
      <c r="C585" t="str">
        <f>IF(PNL!C585="","",PNL!C585)</f>
        <v/>
      </c>
      <c r="D585" t="str">
        <f>IF(PNL!D585="","",PNL!D585)</f>
        <v/>
      </c>
      <c r="E585" t="str">
        <f t="shared" si="99"/>
        <v/>
      </c>
      <c r="F585" t="str">
        <f>IF($A585="","",IF($E585=1,SUMIFS(Compta!$F$1:$F$675,Compta!$A$1:$A$675,$A585,Compta!$B$1:$B$675,$B585,Compta!$C$1:$C$675,"2026"),0))</f>
        <v/>
      </c>
      <c r="G585" t="str">
        <f t="shared" si="100"/>
        <v/>
      </c>
      <c r="H585" t="str">
        <f t="shared" si="101"/>
        <v/>
      </c>
      <c r="I585" t="str">
        <f t="shared" si="102"/>
        <v/>
      </c>
      <c r="J585" t="str">
        <f t="shared" si="103"/>
        <v/>
      </c>
      <c r="K585" t="str">
        <f t="shared" si="104"/>
        <v/>
      </c>
      <c r="L585" t="str">
        <f t="shared" si="105"/>
        <v/>
      </c>
      <c r="M585" t="str">
        <f t="shared" si="106"/>
        <v/>
      </c>
      <c r="N585" t="str">
        <f t="shared" si="107"/>
        <v/>
      </c>
      <c r="O585" t="str">
        <f t="shared" si="108"/>
        <v/>
      </c>
      <c r="P585" t="str">
        <f>IF($A585="","",IF($E585=1,$F585*$O585,PNL!G585))</f>
        <v/>
      </c>
      <c r="T585" t="str">
        <f t="shared" si="109"/>
        <v/>
      </c>
    </row>
    <row r="586" spans="1:20" x14ac:dyDescent="0.45">
      <c r="A586" t="str">
        <f>IF(PNL!A586="","",PNL!A586)</f>
        <v/>
      </c>
      <c r="B586" t="str">
        <f>IF(PNL!B586="","",PNL!B586)</f>
        <v/>
      </c>
      <c r="C586" t="str">
        <f>IF(PNL!C586="","",PNL!C586)</f>
        <v/>
      </c>
      <c r="D586" t="str">
        <f>IF(PNL!D586="","",PNL!D586)</f>
        <v/>
      </c>
      <c r="E586" t="str">
        <f t="shared" si="99"/>
        <v/>
      </c>
      <c r="F586" t="str">
        <f>IF($A586="","",IF($E586=1,SUMIFS(Compta!$F$1:$F$675,Compta!$A$1:$A$675,$A586,Compta!$B$1:$B$675,$B586,Compta!$C$1:$C$675,"2026"),0))</f>
        <v/>
      </c>
      <c r="G586" t="str">
        <f t="shared" si="100"/>
        <v/>
      </c>
      <c r="H586" t="str">
        <f t="shared" si="101"/>
        <v/>
      </c>
      <c r="I586" t="str">
        <f t="shared" si="102"/>
        <v/>
      </c>
      <c r="J586" t="str">
        <f t="shared" si="103"/>
        <v/>
      </c>
      <c r="K586" t="str">
        <f t="shared" si="104"/>
        <v/>
      </c>
      <c r="L586" t="str">
        <f t="shared" si="105"/>
        <v/>
      </c>
      <c r="M586" t="str">
        <f t="shared" si="106"/>
        <v/>
      </c>
      <c r="N586" t="str">
        <f t="shared" si="107"/>
        <v/>
      </c>
      <c r="O586" t="str">
        <f t="shared" si="108"/>
        <v/>
      </c>
      <c r="P586" t="str">
        <f>IF($A586="","",IF($E586=1,$F586*$O586,PNL!G586))</f>
        <v/>
      </c>
      <c r="T586" t="str">
        <f t="shared" si="109"/>
        <v/>
      </c>
    </row>
    <row r="587" spans="1:20" x14ac:dyDescent="0.45">
      <c r="A587" t="str">
        <f>IF(PNL!A587="","",PNL!A587)</f>
        <v/>
      </c>
      <c r="B587" t="str">
        <f>IF(PNL!B587="","",PNL!B587)</f>
        <v/>
      </c>
      <c r="C587" t="str">
        <f>IF(PNL!C587="","",PNL!C587)</f>
        <v/>
      </c>
      <c r="D587" t="str">
        <f>IF(PNL!D587="","",PNL!D587)</f>
        <v/>
      </c>
      <c r="E587" t="str">
        <f t="shared" si="99"/>
        <v/>
      </c>
      <c r="F587" t="str">
        <f>IF($A587="","",IF($E587=1,SUMIFS(Compta!$F$1:$F$675,Compta!$A$1:$A$675,$A587,Compta!$B$1:$B$675,$B587,Compta!$C$1:$C$675,"2026"),0))</f>
        <v/>
      </c>
      <c r="G587" t="str">
        <f t="shared" si="100"/>
        <v/>
      </c>
      <c r="H587" t="str">
        <f t="shared" si="101"/>
        <v/>
      </c>
      <c r="I587" t="str">
        <f t="shared" si="102"/>
        <v/>
      </c>
      <c r="J587" t="str">
        <f t="shared" si="103"/>
        <v/>
      </c>
      <c r="K587" t="str">
        <f t="shared" si="104"/>
        <v/>
      </c>
      <c r="L587" t="str">
        <f t="shared" si="105"/>
        <v/>
      </c>
      <c r="M587" t="str">
        <f t="shared" si="106"/>
        <v/>
      </c>
      <c r="N587" t="str">
        <f t="shared" si="107"/>
        <v/>
      </c>
      <c r="O587" t="str">
        <f t="shared" si="108"/>
        <v/>
      </c>
      <c r="P587" t="str">
        <f>IF($A587="","",IF($E587=1,$F587*$O587,PNL!G587))</f>
        <v/>
      </c>
      <c r="T587" t="str">
        <f t="shared" si="109"/>
        <v/>
      </c>
    </row>
    <row r="588" spans="1:20" x14ac:dyDescent="0.45">
      <c r="A588" t="str">
        <f>IF(PNL!A588="","",PNL!A588)</f>
        <v/>
      </c>
      <c r="B588" t="str">
        <f>IF(PNL!B588="","",PNL!B588)</f>
        <v/>
      </c>
      <c r="C588" t="str">
        <f>IF(PNL!C588="","",PNL!C588)</f>
        <v/>
      </c>
      <c r="D588" t="str">
        <f>IF(PNL!D588="","",PNL!D588)</f>
        <v/>
      </c>
      <c r="E588" t="str">
        <f t="shared" si="99"/>
        <v/>
      </c>
      <c r="F588" t="str">
        <f>IF($A588="","",IF($E588=1,SUMIFS(Compta!$F$1:$F$675,Compta!$A$1:$A$675,$A588,Compta!$B$1:$B$675,$B588,Compta!$C$1:$C$675,"2026"),0))</f>
        <v/>
      </c>
      <c r="G588" t="str">
        <f t="shared" si="100"/>
        <v/>
      </c>
      <c r="H588" t="str">
        <f t="shared" si="101"/>
        <v/>
      </c>
      <c r="I588" t="str">
        <f t="shared" si="102"/>
        <v/>
      </c>
      <c r="J588" t="str">
        <f t="shared" si="103"/>
        <v/>
      </c>
      <c r="K588" t="str">
        <f t="shared" si="104"/>
        <v/>
      </c>
      <c r="L588" t="str">
        <f t="shared" si="105"/>
        <v/>
      </c>
      <c r="M588" t="str">
        <f t="shared" si="106"/>
        <v/>
      </c>
      <c r="N588" t="str">
        <f t="shared" si="107"/>
        <v/>
      </c>
      <c r="O588" t="str">
        <f t="shared" si="108"/>
        <v/>
      </c>
      <c r="P588" t="str">
        <f>IF($A588="","",IF($E588=1,$F588*$O588,PNL!G588))</f>
        <v/>
      </c>
      <c r="T588" t="str">
        <f t="shared" si="109"/>
        <v/>
      </c>
    </row>
    <row r="589" spans="1:20" x14ac:dyDescent="0.45">
      <c r="A589" t="str">
        <f>IF(PNL!A589="","",PNL!A589)</f>
        <v/>
      </c>
      <c r="B589" t="str">
        <f>IF(PNL!B589="","",PNL!B589)</f>
        <v/>
      </c>
      <c r="C589" t="str">
        <f>IF(PNL!C589="","",PNL!C589)</f>
        <v/>
      </c>
      <c r="D589" t="str">
        <f>IF(PNL!D589="","",PNL!D589)</f>
        <v/>
      </c>
      <c r="E589" t="str">
        <f t="shared" si="99"/>
        <v/>
      </c>
      <c r="F589" t="str">
        <f>IF($A589="","",IF($E589=1,SUMIFS(Compta!$F$1:$F$675,Compta!$A$1:$A$675,$A589,Compta!$B$1:$B$675,$B589,Compta!$C$1:$C$675,"2026"),0))</f>
        <v/>
      </c>
      <c r="G589" t="str">
        <f t="shared" si="100"/>
        <v/>
      </c>
      <c r="H589" t="str">
        <f t="shared" si="101"/>
        <v/>
      </c>
      <c r="I589" t="str">
        <f t="shared" si="102"/>
        <v/>
      </c>
      <c r="J589" t="str">
        <f t="shared" si="103"/>
        <v/>
      </c>
      <c r="K589" t="str">
        <f t="shared" si="104"/>
        <v/>
      </c>
      <c r="L589" t="str">
        <f t="shared" si="105"/>
        <v/>
      </c>
      <c r="M589" t="str">
        <f t="shared" si="106"/>
        <v/>
      </c>
      <c r="N589" t="str">
        <f t="shared" si="107"/>
        <v/>
      </c>
      <c r="O589" t="str">
        <f t="shared" si="108"/>
        <v/>
      </c>
      <c r="P589" t="str">
        <f>IF($A589="","",IF($E589=1,$F589*$O589,PNL!G589))</f>
        <v/>
      </c>
      <c r="T589" t="str">
        <f t="shared" si="109"/>
        <v/>
      </c>
    </row>
    <row r="590" spans="1:20" x14ac:dyDescent="0.45">
      <c r="A590" t="str">
        <f>IF(PNL!A590="","",PNL!A590)</f>
        <v/>
      </c>
      <c r="B590" t="str">
        <f>IF(PNL!B590="","",PNL!B590)</f>
        <v/>
      </c>
      <c r="C590" t="str">
        <f>IF(PNL!C590="","",PNL!C590)</f>
        <v/>
      </c>
      <c r="D590" t="str">
        <f>IF(PNL!D590="","",PNL!D590)</f>
        <v/>
      </c>
      <c r="E590" t="str">
        <f t="shared" si="99"/>
        <v/>
      </c>
      <c r="F590" t="str">
        <f>IF($A590="","",IF($E590=1,SUMIFS(Compta!$F$1:$F$675,Compta!$A$1:$A$675,$A590,Compta!$B$1:$B$675,$B590,Compta!$C$1:$C$675,"2026"),0))</f>
        <v/>
      </c>
      <c r="G590" t="str">
        <f t="shared" si="100"/>
        <v/>
      </c>
      <c r="H590" t="str">
        <f t="shared" si="101"/>
        <v/>
      </c>
      <c r="I590" t="str">
        <f t="shared" si="102"/>
        <v/>
      </c>
      <c r="J590" t="str">
        <f t="shared" si="103"/>
        <v/>
      </c>
      <c r="K590" t="str">
        <f t="shared" si="104"/>
        <v/>
      </c>
      <c r="L590" t="str">
        <f t="shared" si="105"/>
        <v/>
      </c>
      <c r="M590" t="str">
        <f t="shared" si="106"/>
        <v/>
      </c>
      <c r="N590" t="str">
        <f t="shared" si="107"/>
        <v/>
      </c>
      <c r="O590" t="str">
        <f t="shared" si="108"/>
        <v/>
      </c>
      <c r="P590" t="str">
        <f>IF($A590="","",IF($E590=1,$F590*$O590,PNL!G590))</f>
        <v/>
      </c>
      <c r="T590" t="str">
        <f t="shared" si="109"/>
        <v/>
      </c>
    </row>
    <row r="591" spans="1:20" x14ac:dyDescent="0.45">
      <c r="A591" t="str">
        <f>IF(PNL!A591="","",PNL!A591)</f>
        <v/>
      </c>
      <c r="B591" t="str">
        <f>IF(PNL!B591="","",PNL!B591)</f>
        <v/>
      </c>
      <c r="C591" t="str">
        <f>IF(PNL!C591="","",PNL!C591)</f>
        <v/>
      </c>
      <c r="D591" t="str">
        <f>IF(PNL!D591="","",PNL!D591)</f>
        <v/>
      </c>
      <c r="E591" t="str">
        <f t="shared" si="99"/>
        <v/>
      </c>
      <c r="F591" t="str">
        <f>IF($A591="","",IF($E591=1,SUMIFS(Compta!$F$1:$F$675,Compta!$A$1:$A$675,$A591,Compta!$B$1:$B$675,$B591,Compta!$C$1:$C$675,"2026"),0))</f>
        <v/>
      </c>
      <c r="G591" t="str">
        <f t="shared" si="100"/>
        <v/>
      </c>
      <c r="H591" t="str">
        <f t="shared" si="101"/>
        <v/>
      </c>
      <c r="I591" t="str">
        <f t="shared" si="102"/>
        <v/>
      </c>
      <c r="J591" t="str">
        <f t="shared" si="103"/>
        <v/>
      </c>
      <c r="K591" t="str">
        <f t="shared" si="104"/>
        <v/>
      </c>
      <c r="L591" t="str">
        <f t="shared" si="105"/>
        <v/>
      </c>
      <c r="M591" t="str">
        <f t="shared" si="106"/>
        <v/>
      </c>
      <c r="N591" t="str">
        <f t="shared" si="107"/>
        <v/>
      </c>
      <c r="O591" t="str">
        <f t="shared" si="108"/>
        <v/>
      </c>
      <c r="P591" t="str">
        <f>IF($A591="","",IF($E591=1,$F591*$O591,PNL!G591))</f>
        <v/>
      </c>
      <c r="T591" t="str">
        <f t="shared" si="109"/>
        <v/>
      </c>
    </row>
    <row r="592" spans="1:20" x14ac:dyDescent="0.45">
      <c r="A592" t="str">
        <f>IF(PNL!A592="","",PNL!A592)</f>
        <v/>
      </c>
      <c r="B592" t="str">
        <f>IF(PNL!B592="","",PNL!B592)</f>
        <v/>
      </c>
      <c r="C592" t="str">
        <f>IF(PNL!C592="","",PNL!C592)</f>
        <v/>
      </c>
      <c r="D592" t="str">
        <f>IF(PNL!D592="","",PNL!D592)</f>
        <v/>
      </c>
      <c r="E592" t="str">
        <f t="shared" si="99"/>
        <v/>
      </c>
      <c r="F592" t="str">
        <f>IF($A592="","",IF($E592=1,SUMIFS(Compta!$F$1:$F$675,Compta!$A$1:$A$675,$A592,Compta!$B$1:$B$675,$B592,Compta!$C$1:$C$675,"2026"),0))</f>
        <v/>
      </c>
      <c r="G592" t="str">
        <f t="shared" si="100"/>
        <v/>
      </c>
      <c r="H592" t="str">
        <f t="shared" si="101"/>
        <v/>
      </c>
      <c r="I592" t="str">
        <f t="shared" si="102"/>
        <v/>
      </c>
      <c r="J592" t="str">
        <f t="shared" si="103"/>
        <v/>
      </c>
      <c r="K592" t="str">
        <f t="shared" si="104"/>
        <v/>
      </c>
      <c r="L592" t="str">
        <f t="shared" si="105"/>
        <v/>
      </c>
      <c r="M592" t="str">
        <f t="shared" si="106"/>
        <v/>
      </c>
      <c r="N592" t="str">
        <f t="shared" si="107"/>
        <v/>
      </c>
      <c r="O592" t="str">
        <f t="shared" si="108"/>
        <v/>
      </c>
      <c r="P592" t="str">
        <f>IF($A592="","",IF($E592=1,$F592*$O592,PNL!G592))</f>
        <v/>
      </c>
      <c r="T592" t="str">
        <f t="shared" si="109"/>
        <v/>
      </c>
    </row>
    <row r="593" spans="1:20" x14ac:dyDescent="0.45">
      <c r="A593" t="str">
        <f>IF(PNL!A593="","",PNL!A593)</f>
        <v/>
      </c>
      <c r="B593" t="str">
        <f>IF(PNL!B593="","",PNL!B593)</f>
        <v/>
      </c>
      <c r="C593" t="str">
        <f>IF(PNL!C593="","",PNL!C593)</f>
        <v/>
      </c>
      <c r="D593" t="str">
        <f>IF(PNL!D593="","",PNL!D593)</f>
        <v/>
      </c>
      <c r="E593" t="str">
        <f t="shared" si="99"/>
        <v/>
      </c>
      <c r="F593" t="str">
        <f>IF($A593="","",IF($E593=1,SUMIFS(Compta!$F$1:$F$675,Compta!$A$1:$A$675,$A593,Compta!$B$1:$B$675,$B593,Compta!$C$1:$C$675,"2026"),0))</f>
        <v/>
      </c>
      <c r="G593" t="str">
        <f t="shared" si="100"/>
        <v/>
      </c>
      <c r="H593" t="str">
        <f t="shared" si="101"/>
        <v/>
      </c>
      <c r="I593" t="str">
        <f t="shared" si="102"/>
        <v/>
      </c>
      <c r="J593" t="str">
        <f t="shared" si="103"/>
        <v/>
      </c>
      <c r="K593" t="str">
        <f t="shared" si="104"/>
        <v/>
      </c>
      <c r="L593" t="str">
        <f t="shared" si="105"/>
        <v/>
      </c>
      <c r="M593" t="str">
        <f t="shared" si="106"/>
        <v/>
      </c>
      <c r="N593" t="str">
        <f t="shared" si="107"/>
        <v/>
      </c>
      <c r="O593" t="str">
        <f t="shared" si="108"/>
        <v/>
      </c>
      <c r="P593" t="str">
        <f>IF($A593="","",IF($E593=1,$F593*$O593,PNL!G593))</f>
        <v/>
      </c>
      <c r="T593" t="str">
        <f t="shared" si="109"/>
        <v/>
      </c>
    </row>
    <row r="594" spans="1:20" x14ac:dyDescent="0.45">
      <c r="A594" t="str">
        <f>IF(PNL!A594="","",PNL!A594)</f>
        <v/>
      </c>
      <c r="B594" t="str">
        <f>IF(PNL!B594="","",PNL!B594)</f>
        <v/>
      </c>
      <c r="C594" t="str">
        <f>IF(PNL!C594="","",PNL!C594)</f>
        <v/>
      </c>
      <c r="D594" t="str">
        <f>IF(PNL!D594="","",PNL!D594)</f>
        <v/>
      </c>
      <c r="E594" t="str">
        <f t="shared" si="99"/>
        <v/>
      </c>
      <c r="F594" t="str">
        <f>IF($A594="","",IF($E594=1,SUMIFS(Compta!$F$1:$F$675,Compta!$A$1:$A$675,$A594,Compta!$B$1:$B$675,$B594,Compta!$C$1:$C$675,"2026"),0))</f>
        <v/>
      </c>
      <c r="G594" t="str">
        <f t="shared" si="100"/>
        <v/>
      </c>
      <c r="H594" t="str">
        <f t="shared" si="101"/>
        <v/>
      </c>
      <c r="I594" t="str">
        <f t="shared" si="102"/>
        <v/>
      </c>
      <c r="J594" t="str">
        <f t="shared" si="103"/>
        <v/>
      </c>
      <c r="K594" t="str">
        <f t="shared" si="104"/>
        <v/>
      </c>
      <c r="L594" t="str">
        <f t="shared" si="105"/>
        <v/>
      </c>
      <c r="M594" t="str">
        <f t="shared" si="106"/>
        <v/>
      </c>
      <c r="N594" t="str">
        <f t="shared" si="107"/>
        <v/>
      </c>
      <c r="O594" t="str">
        <f t="shared" si="108"/>
        <v/>
      </c>
      <c r="P594" t="str">
        <f>IF($A594="","",IF($E594=1,$F594*$O594,PNL!G594))</f>
        <v/>
      </c>
      <c r="T594" t="str">
        <f t="shared" si="109"/>
        <v/>
      </c>
    </row>
    <row r="595" spans="1:20" x14ac:dyDescent="0.45">
      <c r="A595" t="str">
        <f>IF(PNL!A595="","",PNL!A595)</f>
        <v/>
      </c>
      <c r="B595" t="str">
        <f>IF(PNL!B595="","",PNL!B595)</f>
        <v/>
      </c>
      <c r="C595" t="str">
        <f>IF(PNL!C595="","",PNL!C595)</f>
        <v/>
      </c>
      <c r="D595" t="str">
        <f>IF(PNL!D595="","",PNL!D595)</f>
        <v/>
      </c>
      <c r="E595" t="str">
        <f t="shared" si="99"/>
        <v/>
      </c>
      <c r="F595" t="str">
        <f>IF($A595="","",IF($E595=1,SUMIFS(Compta!$F$1:$F$675,Compta!$A$1:$A$675,$A595,Compta!$B$1:$B$675,$B595,Compta!$C$1:$C$675,"2026"),0))</f>
        <v/>
      </c>
      <c r="G595" t="str">
        <f t="shared" si="100"/>
        <v/>
      </c>
      <c r="H595" t="str">
        <f t="shared" si="101"/>
        <v/>
      </c>
      <c r="I595" t="str">
        <f t="shared" si="102"/>
        <v/>
      </c>
      <c r="J595" t="str">
        <f t="shared" si="103"/>
        <v/>
      </c>
      <c r="K595" t="str">
        <f t="shared" si="104"/>
        <v/>
      </c>
      <c r="L595" t="str">
        <f t="shared" si="105"/>
        <v/>
      </c>
      <c r="M595" t="str">
        <f t="shared" si="106"/>
        <v/>
      </c>
      <c r="N595" t="str">
        <f t="shared" si="107"/>
        <v/>
      </c>
      <c r="O595" t="str">
        <f t="shared" si="108"/>
        <v/>
      </c>
      <c r="P595" t="str">
        <f>IF($A595="","",IF($E595=1,$F595*$O595,PNL!G595))</f>
        <v/>
      </c>
      <c r="T595" t="str">
        <f t="shared" si="109"/>
        <v/>
      </c>
    </row>
    <row r="596" spans="1:20" x14ac:dyDescent="0.45">
      <c r="A596" t="str">
        <f>IF(PNL!A596="","",PNL!A596)</f>
        <v/>
      </c>
      <c r="B596" t="str">
        <f>IF(PNL!B596="","",PNL!B596)</f>
        <v/>
      </c>
      <c r="C596" t="str">
        <f>IF(PNL!C596="","",PNL!C596)</f>
        <v/>
      </c>
      <c r="D596" t="str">
        <f>IF(PNL!D596="","",PNL!D596)</f>
        <v/>
      </c>
      <c r="E596" t="str">
        <f t="shared" si="99"/>
        <v/>
      </c>
      <c r="F596" t="str">
        <f>IF($A596="","",IF($E596=1,SUMIFS(Compta!$F$1:$F$675,Compta!$A$1:$A$675,$A596,Compta!$B$1:$B$675,$B596,Compta!$C$1:$C$675,"2026"),0))</f>
        <v/>
      </c>
      <c r="G596" t="str">
        <f t="shared" si="100"/>
        <v/>
      </c>
      <c r="H596" t="str">
        <f t="shared" si="101"/>
        <v/>
      </c>
      <c r="I596" t="str">
        <f t="shared" si="102"/>
        <v/>
      </c>
      <c r="J596" t="str">
        <f t="shared" si="103"/>
        <v/>
      </c>
      <c r="K596" t="str">
        <f t="shared" si="104"/>
        <v/>
      </c>
      <c r="L596" t="str">
        <f t="shared" si="105"/>
        <v/>
      </c>
      <c r="M596" t="str">
        <f t="shared" si="106"/>
        <v/>
      </c>
      <c r="N596" t="str">
        <f t="shared" si="107"/>
        <v/>
      </c>
      <c r="O596" t="str">
        <f t="shared" si="108"/>
        <v/>
      </c>
      <c r="P596" t="str">
        <f>IF($A596="","",IF($E596=1,$F596*$O596,PNL!G596))</f>
        <v/>
      </c>
      <c r="T596" t="str">
        <f t="shared" si="109"/>
        <v/>
      </c>
    </row>
    <row r="597" spans="1:20" x14ac:dyDescent="0.45">
      <c r="A597" t="str">
        <f>IF(PNL!A597="","",PNL!A597)</f>
        <v/>
      </c>
      <c r="B597" t="str">
        <f>IF(PNL!B597="","",PNL!B597)</f>
        <v/>
      </c>
      <c r="C597" t="str">
        <f>IF(PNL!C597="","",PNL!C597)</f>
        <v/>
      </c>
      <c r="D597" t="str">
        <f>IF(PNL!D597="","",PNL!D597)</f>
        <v/>
      </c>
      <c r="E597" t="str">
        <f t="shared" si="99"/>
        <v/>
      </c>
      <c r="F597" t="str">
        <f>IF($A597="","",IF($E597=1,SUMIFS(Compta!$F$1:$F$675,Compta!$A$1:$A$675,$A597,Compta!$B$1:$B$675,$B597,Compta!$C$1:$C$675,"2026"),0))</f>
        <v/>
      </c>
      <c r="G597" t="str">
        <f t="shared" si="100"/>
        <v/>
      </c>
      <c r="H597" t="str">
        <f t="shared" si="101"/>
        <v/>
      </c>
      <c r="I597" t="str">
        <f t="shared" si="102"/>
        <v/>
      </c>
      <c r="J597" t="str">
        <f t="shared" si="103"/>
        <v/>
      </c>
      <c r="K597" t="str">
        <f t="shared" si="104"/>
        <v/>
      </c>
      <c r="L597" t="str">
        <f t="shared" si="105"/>
        <v/>
      </c>
      <c r="M597" t="str">
        <f t="shared" si="106"/>
        <v/>
      </c>
      <c r="N597" t="str">
        <f t="shared" si="107"/>
        <v/>
      </c>
      <c r="O597" t="str">
        <f t="shared" si="108"/>
        <v/>
      </c>
      <c r="P597" t="str">
        <f>IF($A597="","",IF($E597=1,$F597*$O597,PNL!G597))</f>
        <v/>
      </c>
      <c r="T597" t="str">
        <f t="shared" si="109"/>
        <v/>
      </c>
    </row>
    <row r="598" spans="1:20" x14ac:dyDescent="0.45">
      <c r="A598" t="str">
        <f>IF(PNL!A598="","",PNL!A598)</f>
        <v/>
      </c>
      <c r="B598" t="str">
        <f>IF(PNL!B598="","",PNL!B598)</f>
        <v/>
      </c>
      <c r="C598" t="str">
        <f>IF(PNL!C598="","",PNL!C598)</f>
        <v/>
      </c>
      <c r="D598" t="str">
        <f>IF(PNL!D598="","",PNL!D598)</f>
        <v/>
      </c>
      <c r="E598" t="str">
        <f t="shared" si="99"/>
        <v/>
      </c>
      <c r="F598" t="str">
        <f>IF($A598="","",IF($E598=1,SUMIFS(Compta!$F$1:$F$675,Compta!$A$1:$A$675,$A598,Compta!$B$1:$B$675,$B598,Compta!$C$1:$C$675,"2026"),0))</f>
        <v/>
      </c>
      <c r="G598" t="str">
        <f t="shared" si="100"/>
        <v/>
      </c>
      <c r="H598" t="str">
        <f t="shared" si="101"/>
        <v/>
      </c>
      <c r="I598" t="str">
        <f t="shared" si="102"/>
        <v/>
      </c>
      <c r="J598" t="str">
        <f t="shared" si="103"/>
        <v/>
      </c>
      <c r="K598" t="str">
        <f t="shared" si="104"/>
        <v/>
      </c>
      <c r="L598" t="str">
        <f t="shared" si="105"/>
        <v/>
      </c>
      <c r="M598" t="str">
        <f t="shared" si="106"/>
        <v/>
      </c>
      <c r="N598" t="str">
        <f t="shared" si="107"/>
        <v/>
      </c>
      <c r="O598" t="str">
        <f t="shared" si="108"/>
        <v/>
      </c>
      <c r="P598" t="str">
        <f>IF($A598="","",IF($E598=1,$F598*$O598,PNL!G598))</f>
        <v/>
      </c>
      <c r="T598" t="str">
        <f t="shared" si="109"/>
        <v/>
      </c>
    </row>
    <row r="599" spans="1:20" x14ac:dyDescent="0.45">
      <c r="A599" t="str">
        <f>IF(PNL!A599="","",PNL!A599)</f>
        <v/>
      </c>
      <c r="B599" t="str">
        <f>IF(PNL!B599="","",PNL!B599)</f>
        <v/>
      </c>
      <c r="C599" t="str">
        <f>IF(PNL!C599="","",PNL!C599)</f>
        <v/>
      </c>
      <c r="D599" t="str">
        <f>IF(PNL!D599="","",PNL!D599)</f>
        <v/>
      </c>
      <c r="E599" t="str">
        <f t="shared" si="99"/>
        <v/>
      </c>
      <c r="F599" t="str">
        <f>IF($A599="","",IF($E599=1,SUMIFS(Compta!$F$1:$F$675,Compta!$A$1:$A$675,$A599,Compta!$B$1:$B$675,$B599,Compta!$C$1:$C$675,"2026"),0))</f>
        <v/>
      </c>
      <c r="G599" t="str">
        <f t="shared" si="100"/>
        <v/>
      </c>
      <c r="H599" t="str">
        <f t="shared" si="101"/>
        <v/>
      </c>
      <c r="I599" t="str">
        <f t="shared" si="102"/>
        <v/>
      </c>
      <c r="J599" t="str">
        <f t="shared" si="103"/>
        <v/>
      </c>
      <c r="K599" t="str">
        <f t="shared" si="104"/>
        <v/>
      </c>
      <c r="L599" t="str">
        <f t="shared" si="105"/>
        <v/>
      </c>
      <c r="M599" t="str">
        <f t="shared" si="106"/>
        <v/>
      </c>
      <c r="N599" t="str">
        <f t="shared" si="107"/>
        <v/>
      </c>
      <c r="O599" t="str">
        <f t="shared" si="108"/>
        <v/>
      </c>
      <c r="P599" t="str">
        <f>IF($A599="","",IF($E599=1,$F599*$O599,PNL!G599))</f>
        <v/>
      </c>
      <c r="T599" t="str">
        <f t="shared" si="109"/>
        <v/>
      </c>
    </row>
    <row r="600" spans="1:20" x14ac:dyDescent="0.45">
      <c r="A600" t="str">
        <f>IF(PNL!A600="","",PNL!A600)</f>
        <v/>
      </c>
      <c r="B600" t="str">
        <f>IF(PNL!B600="","",PNL!B600)</f>
        <v/>
      </c>
      <c r="C600" t="str">
        <f>IF(PNL!C600="","",PNL!C600)</f>
        <v/>
      </c>
      <c r="D600" t="str">
        <f>IF(PNL!D600="","",PNL!D600)</f>
        <v/>
      </c>
      <c r="E600" t="str">
        <f t="shared" si="99"/>
        <v/>
      </c>
      <c r="F600" t="str">
        <f>IF($A600="","",IF($E600=1,SUMIFS(Compta!$F$1:$F$675,Compta!$A$1:$A$675,$A600,Compta!$B$1:$B$675,$B600,Compta!$C$1:$C$675,"2026"),0))</f>
        <v/>
      </c>
      <c r="G600" t="str">
        <f t="shared" si="100"/>
        <v/>
      </c>
      <c r="H600" t="str">
        <f t="shared" si="101"/>
        <v/>
      </c>
      <c r="I600" t="str">
        <f t="shared" si="102"/>
        <v/>
      </c>
      <c r="J600" t="str">
        <f t="shared" si="103"/>
        <v/>
      </c>
      <c r="K600" t="str">
        <f t="shared" si="104"/>
        <v/>
      </c>
      <c r="L600" t="str">
        <f t="shared" si="105"/>
        <v/>
      </c>
      <c r="M600" t="str">
        <f t="shared" si="106"/>
        <v/>
      </c>
      <c r="N600" t="str">
        <f t="shared" si="107"/>
        <v/>
      </c>
      <c r="O600" t="str">
        <f t="shared" si="108"/>
        <v/>
      </c>
      <c r="P600" t="str">
        <f>IF($A600="","",IF($E600=1,$F600*$O600,PNL!G600))</f>
        <v/>
      </c>
      <c r="T600" t="str">
        <f t="shared" si="109"/>
        <v/>
      </c>
    </row>
    <row r="601" spans="1:20" x14ac:dyDescent="0.45">
      <c r="A601" t="str">
        <f>IF(PNL!A601="","",PNL!A601)</f>
        <v/>
      </c>
      <c r="B601" t="str">
        <f>IF(PNL!B601="","",PNL!B601)</f>
        <v/>
      </c>
      <c r="C601" t="str">
        <f>IF(PNL!C601="","",PNL!C601)</f>
        <v/>
      </c>
      <c r="D601" t="str">
        <f>IF(PNL!D601="","",PNL!D601)</f>
        <v/>
      </c>
      <c r="E601" t="str">
        <f t="shared" si="99"/>
        <v/>
      </c>
      <c r="F601" t="str">
        <f>IF($A601="","",IF($E601=1,SUMIFS(Compta!$F$1:$F$675,Compta!$A$1:$A$675,$A601,Compta!$B$1:$B$675,$B601,Compta!$C$1:$C$675,"2026"),0))</f>
        <v/>
      </c>
      <c r="G601" t="str">
        <f t="shared" si="100"/>
        <v/>
      </c>
      <c r="H601" t="str">
        <f t="shared" si="101"/>
        <v/>
      </c>
      <c r="I601" t="str">
        <f t="shared" si="102"/>
        <v/>
      </c>
      <c r="J601" t="str">
        <f t="shared" si="103"/>
        <v/>
      </c>
      <c r="K601" t="str">
        <f t="shared" si="104"/>
        <v/>
      </c>
      <c r="L601" t="str">
        <f t="shared" si="105"/>
        <v/>
      </c>
      <c r="M601" t="str">
        <f t="shared" si="106"/>
        <v/>
      </c>
      <c r="N601" t="str">
        <f t="shared" si="107"/>
        <v/>
      </c>
      <c r="O601" t="str">
        <f t="shared" si="108"/>
        <v/>
      </c>
      <c r="P601" t="str">
        <f>IF($A601="","",IF($E601=1,$F601*$O601,PNL!G601))</f>
        <v/>
      </c>
      <c r="T601" t="str">
        <f t="shared" si="109"/>
        <v/>
      </c>
    </row>
    <row r="602" spans="1:20" x14ac:dyDescent="0.45">
      <c r="A602" t="str">
        <f>IF(PNL!A602="","",PNL!A602)</f>
        <v/>
      </c>
      <c r="B602" t="str">
        <f>IF(PNL!B602="","",PNL!B602)</f>
        <v/>
      </c>
      <c r="C602" t="str">
        <f>IF(PNL!C602="","",PNL!C602)</f>
        <v/>
      </c>
      <c r="D602" t="str">
        <f>IF(PNL!D602="","",PNL!D602)</f>
        <v/>
      </c>
      <c r="E602" t="str">
        <f t="shared" si="99"/>
        <v/>
      </c>
      <c r="F602" t="str">
        <f>IF($A602="","",IF($E602=1,SUMIFS(Compta!$F$1:$F$675,Compta!$A$1:$A$675,$A602,Compta!$B$1:$B$675,$B602,Compta!$C$1:$C$675,"2026"),0))</f>
        <v/>
      </c>
      <c r="G602" t="str">
        <f t="shared" si="100"/>
        <v/>
      </c>
      <c r="H602" t="str">
        <f t="shared" si="101"/>
        <v/>
      </c>
      <c r="I602" t="str">
        <f t="shared" si="102"/>
        <v/>
      </c>
      <c r="J602" t="str">
        <f t="shared" si="103"/>
        <v/>
      </c>
      <c r="K602" t="str">
        <f t="shared" si="104"/>
        <v/>
      </c>
      <c r="L602" t="str">
        <f t="shared" si="105"/>
        <v/>
      </c>
      <c r="M602" t="str">
        <f t="shared" si="106"/>
        <v/>
      </c>
      <c r="N602" t="str">
        <f t="shared" si="107"/>
        <v/>
      </c>
      <c r="O602" t="str">
        <f t="shared" si="108"/>
        <v/>
      </c>
      <c r="P602" t="str">
        <f>IF($A602="","",IF($E602=1,$F602*$O602,PNL!G602))</f>
        <v/>
      </c>
      <c r="T602" t="str">
        <f t="shared" si="109"/>
        <v/>
      </c>
    </row>
    <row r="603" spans="1:20" x14ac:dyDescent="0.45">
      <c r="A603" t="str">
        <f>IF(PNL!A603="","",PNL!A603)</f>
        <v/>
      </c>
      <c r="B603" t="str">
        <f>IF(PNL!B603="","",PNL!B603)</f>
        <v/>
      </c>
      <c r="C603" t="str">
        <f>IF(PNL!C603="","",PNL!C603)</f>
        <v/>
      </c>
      <c r="D603" t="str">
        <f>IF(PNL!D603="","",PNL!D603)</f>
        <v/>
      </c>
      <c r="E603" t="str">
        <f t="shared" si="99"/>
        <v/>
      </c>
      <c r="F603" t="str">
        <f>IF($A603="","",IF($E603=1,SUMIFS(Compta!$F$1:$F$675,Compta!$A$1:$A$675,$A603,Compta!$B$1:$B$675,$B603,Compta!$C$1:$C$675,"2026"),0))</f>
        <v/>
      </c>
      <c r="G603" t="str">
        <f t="shared" si="100"/>
        <v/>
      </c>
      <c r="H603" t="str">
        <f t="shared" si="101"/>
        <v/>
      </c>
      <c r="I603" t="str">
        <f t="shared" si="102"/>
        <v/>
      </c>
      <c r="J603" t="str">
        <f t="shared" si="103"/>
        <v/>
      </c>
      <c r="K603" t="str">
        <f t="shared" si="104"/>
        <v/>
      </c>
      <c r="L603" t="str">
        <f t="shared" si="105"/>
        <v/>
      </c>
      <c r="M603" t="str">
        <f t="shared" si="106"/>
        <v/>
      </c>
      <c r="N603" t="str">
        <f t="shared" si="107"/>
        <v/>
      </c>
      <c r="O603" t="str">
        <f t="shared" si="108"/>
        <v/>
      </c>
      <c r="P603" t="str">
        <f>IF($A603="","",IF($E603=1,$F603*$O603,PNL!G603))</f>
        <v/>
      </c>
      <c r="T603" t="str">
        <f t="shared" si="109"/>
        <v/>
      </c>
    </row>
    <row r="604" spans="1:20" x14ac:dyDescent="0.45">
      <c r="A604" t="str">
        <f>IF(PNL!A604="","",PNL!A604)</f>
        <v/>
      </c>
      <c r="B604" t="str">
        <f>IF(PNL!B604="","",PNL!B604)</f>
        <v/>
      </c>
      <c r="C604" t="str">
        <f>IF(PNL!C604="","",PNL!C604)</f>
        <v/>
      </c>
      <c r="D604" t="str">
        <f>IF(PNL!D604="","",PNL!D604)</f>
        <v/>
      </c>
      <c r="E604" t="str">
        <f t="shared" si="99"/>
        <v/>
      </c>
      <c r="F604" t="str">
        <f>IF($A604="","",IF($E604=1,SUMIFS(Compta!$F$1:$F$675,Compta!$A$1:$A$675,$A604,Compta!$B$1:$B$675,$B604,Compta!$C$1:$C$675,"2026"),0))</f>
        <v/>
      </c>
      <c r="G604" t="str">
        <f t="shared" si="100"/>
        <v/>
      </c>
      <c r="H604" t="str">
        <f t="shared" si="101"/>
        <v/>
      </c>
      <c r="I604" t="str">
        <f t="shared" si="102"/>
        <v/>
      </c>
      <c r="J604" t="str">
        <f t="shared" si="103"/>
        <v/>
      </c>
      <c r="K604" t="str">
        <f t="shared" si="104"/>
        <v/>
      </c>
      <c r="L604" t="str">
        <f t="shared" si="105"/>
        <v/>
      </c>
      <c r="M604" t="str">
        <f t="shared" si="106"/>
        <v/>
      </c>
      <c r="N604" t="str">
        <f t="shared" si="107"/>
        <v/>
      </c>
      <c r="O604" t="str">
        <f t="shared" si="108"/>
        <v/>
      </c>
      <c r="P604" t="str">
        <f>IF($A604="","",IF($E604=1,$F604*$O604,PNL!G604))</f>
        <v/>
      </c>
      <c r="T604" t="str">
        <f t="shared" si="109"/>
        <v/>
      </c>
    </row>
    <row r="605" spans="1:20" x14ac:dyDescent="0.45">
      <c r="A605" t="str">
        <f>IF(PNL!A605="","",PNL!A605)</f>
        <v/>
      </c>
      <c r="B605" t="str">
        <f>IF(PNL!B605="","",PNL!B605)</f>
        <v/>
      </c>
      <c r="C605" t="str">
        <f>IF(PNL!C605="","",PNL!C605)</f>
        <v/>
      </c>
      <c r="D605" t="str">
        <f>IF(PNL!D605="","",PNL!D605)</f>
        <v/>
      </c>
      <c r="E605" t="str">
        <f t="shared" si="99"/>
        <v/>
      </c>
      <c r="F605" t="str">
        <f>IF($A605="","",IF($E605=1,SUMIFS(Compta!$F$1:$F$675,Compta!$A$1:$A$675,$A605,Compta!$B$1:$B$675,$B605,Compta!$C$1:$C$675,"2026"),0))</f>
        <v/>
      </c>
      <c r="G605" t="str">
        <f t="shared" si="100"/>
        <v/>
      </c>
      <c r="H605" t="str">
        <f t="shared" si="101"/>
        <v/>
      </c>
      <c r="I605" t="str">
        <f t="shared" si="102"/>
        <v/>
      </c>
      <c r="J605" t="str">
        <f t="shared" si="103"/>
        <v/>
      </c>
      <c r="K605" t="str">
        <f t="shared" si="104"/>
        <v/>
      </c>
      <c r="L605" t="str">
        <f t="shared" si="105"/>
        <v/>
      </c>
      <c r="M605" t="str">
        <f t="shared" si="106"/>
        <v/>
      </c>
      <c r="N605" t="str">
        <f t="shared" si="107"/>
        <v/>
      </c>
      <c r="O605" t="str">
        <f t="shared" si="108"/>
        <v/>
      </c>
      <c r="P605" t="str">
        <f>IF($A605="","",IF($E605=1,$F605*$O605,PNL!G605))</f>
        <v/>
      </c>
      <c r="T605" t="str">
        <f t="shared" si="109"/>
        <v/>
      </c>
    </row>
    <row r="606" spans="1:20" x14ac:dyDescent="0.45">
      <c r="A606" t="str">
        <f>IF(PNL!A606="","",PNL!A606)</f>
        <v/>
      </c>
      <c r="B606" t="str">
        <f>IF(PNL!B606="","",PNL!B606)</f>
        <v/>
      </c>
      <c r="C606" t="str">
        <f>IF(PNL!C606="","",PNL!C606)</f>
        <v/>
      </c>
      <c r="D606" t="str">
        <f>IF(PNL!D606="","",PNL!D606)</f>
        <v/>
      </c>
      <c r="E606" t="str">
        <f t="shared" si="99"/>
        <v/>
      </c>
      <c r="F606" t="str">
        <f>IF($A606="","",IF($E606=1,SUMIFS(Compta!$F$1:$F$675,Compta!$A$1:$A$675,$A606,Compta!$B$1:$B$675,$B606,Compta!$C$1:$C$675,"2026"),0))</f>
        <v/>
      </c>
      <c r="G606" t="str">
        <f t="shared" si="100"/>
        <v/>
      </c>
      <c r="H606" t="str">
        <f t="shared" si="101"/>
        <v/>
      </c>
      <c r="I606" t="str">
        <f t="shared" si="102"/>
        <v/>
      </c>
      <c r="J606" t="str">
        <f t="shared" si="103"/>
        <v/>
      </c>
      <c r="K606" t="str">
        <f t="shared" si="104"/>
        <v/>
      </c>
      <c r="L606" t="str">
        <f t="shared" si="105"/>
        <v/>
      </c>
      <c r="M606" t="str">
        <f t="shared" si="106"/>
        <v/>
      </c>
      <c r="N606" t="str">
        <f t="shared" si="107"/>
        <v/>
      </c>
      <c r="O606" t="str">
        <f t="shared" si="108"/>
        <v/>
      </c>
      <c r="P606" t="str">
        <f>IF($A606="","",IF($E606=1,$F606*$O606,PNL!G606))</f>
        <v/>
      </c>
      <c r="T606" t="str">
        <f t="shared" si="109"/>
        <v/>
      </c>
    </row>
    <row r="607" spans="1:20" x14ac:dyDescent="0.45">
      <c r="A607" t="str">
        <f>IF(PNL!A607="","",PNL!A607)</f>
        <v/>
      </c>
      <c r="B607" t="str">
        <f>IF(PNL!B607="","",PNL!B607)</f>
        <v/>
      </c>
      <c r="C607" t="str">
        <f>IF(PNL!C607="","",PNL!C607)</f>
        <v/>
      </c>
      <c r="D607" t="str">
        <f>IF(PNL!D607="","",PNL!D607)</f>
        <v/>
      </c>
      <c r="E607" t="str">
        <f t="shared" si="99"/>
        <v/>
      </c>
      <c r="F607" t="str">
        <f>IF($A607="","",IF($E607=1,SUMIFS(Compta!$F$1:$F$675,Compta!$A$1:$A$675,$A607,Compta!$B$1:$B$675,$B607,Compta!$C$1:$C$675,"2026"),0))</f>
        <v/>
      </c>
      <c r="G607" t="str">
        <f t="shared" si="100"/>
        <v/>
      </c>
      <c r="H607" t="str">
        <f t="shared" si="101"/>
        <v/>
      </c>
      <c r="I607" t="str">
        <f t="shared" si="102"/>
        <v/>
      </c>
      <c r="J607" t="str">
        <f t="shared" si="103"/>
        <v/>
      </c>
      <c r="K607" t="str">
        <f t="shared" si="104"/>
        <v/>
      </c>
      <c r="L607" t="str">
        <f t="shared" si="105"/>
        <v/>
      </c>
      <c r="M607" t="str">
        <f t="shared" si="106"/>
        <v/>
      </c>
      <c r="N607" t="str">
        <f t="shared" si="107"/>
        <v/>
      </c>
      <c r="O607" t="str">
        <f t="shared" si="108"/>
        <v/>
      </c>
      <c r="P607" t="str">
        <f>IF($A607="","",IF($E607=1,$F607*$O607,PNL!G607))</f>
        <v/>
      </c>
      <c r="T607" t="str">
        <f t="shared" si="109"/>
        <v/>
      </c>
    </row>
    <row r="608" spans="1:20" x14ac:dyDescent="0.45">
      <c r="A608" t="str">
        <f>IF(PNL!A608="","",PNL!A608)</f>
        <v/>
      </c>
      <c r="B608" t="str">
        <f>IF(PNL!B608="","",PNL!B608)</f>
        <v/>
      </c>
      <c r="C608" t="str">
        <f>IF(PNL!C608="","",PNL!C608)</f>
        <v/>
      </c>
      <c r="D608" t="str">
        <f>IF(PNL!D608="","",PNL!D608)</f>
        <v/>
      </c>
      <c r="E608" t="str">
        <f t="shared" si="99"/>
        <v/>
      </c>
      <c r="F608" t="str">
        <f>IF($A608="","",IF($E608=1,SUMIFS(Compta!$F$1:$F$675,Compta!$A$1:$A$675,$A608,Compta!$B$1:$B$675,$B608,Compta!$C$1:$C$675,"2026"),0))</f>
        <v/>
      </c>
      <c r="G608" t="str">
        <f t="shared" si="100"/>
        <v/>
      </c>
      <c r="H608" t="str">
        <f t="shared" si="101"/>
        <v/>
      </c>
      <c r="I608" t="str">
        <f t="shared" si="102"/>
        <v/>
      </c>
      <c r="J608" t="str">
        <f t="shared" si="103"/>
        <v/>
      </c>
      <c r="K608" t="str">
        <f t="shared" si="104"/>
        <v/>
      </c>
      <c r="L608" t="str">
        <f t="shared" si="105"/>
        <v/>
      </c>
      <c r="M608" t="str">
        <f t="shared" si="106"/>
        <v/>
      </c>
      <c r="N608" t="str">
        <f t="shared" si="107"/>
        <v/>
      </c>
      <c r="O608" t="str">
        <f t="shared" si="108"/>
        <v/>
      </c>
      <c r="P608" t="str">
        <f>IF($A608="","",IF($E608=1,$F608*$O608,PNL!G608))</f>
        <v/>
      </c>
      <c r="T608" t="str">
        <f t="shared" si="109"/>
        <v/>
      </c>
    </row>
    <row r="609" spans="1:20" x14ac:dyDescent="0.45">
      <c r="A609" t="str">
        <f>IF(PNL!A609="","",PNL!A609)</f>
        <v/>
      </c>
      <c r="B609" t="str">
        <f>IF(PNL!B609="","",PNL!B609)</f>
        <v/>
      </c>
      <c r="C609" t="str">
        <f>IF(PNL!C609="","",PNL!C609)</f>
        <v/>
      </c>
      <c r="D609" t="str">
        <f>IF(PNL!D609="","",PNL!D609)</f>
        <v/>
      </c>
      <c r="E609" t="str">
        <f t="shared" si="99"/>
        <v/>
      </c>
      <c r="F609" t="str">
        <f>IF($A609="","",IF($E609=1,SUMIFS(Compta!$F$1:$F$675,Compta!$A$1:$A$675,$A609,Compta!$B$1:$B$675,$B609,Compta!$C$1:$C$675,"2026"),0))</f>
        <v/>
      </c>
      <c r="G609" t="str">
        <f t="shared" si="100"/>
        <v/>
      </c>
      <c r="H609" t="str">
        <f t="shared" si="101"/>
        <v/>
      </c>
      <c r="I609" t="str">
        <f t="shared" si="102"/>
        <v/>
      </c>
      <c r="J609" t="str">
        <f t="shared" si="103"/>
        <v/>
      </c>
      <c r="K609" t="str">
        <f t="shared" si="104"/>
        <v/>
      </c>
      <c r="L609" t="str">
        <f t="shared" si="105"/>
        <v/>
      </c>
      <c r="M609" t="str">
        <f t="shared" si="106"/>
        <v/>
      </c>
      <c r="N609" t="str">
        <f t="shared" si="107"/>
        <v/>
      </c>
      <c r="O609" t="str">
        <f t="shared" si="108"/>
        <v/>
      </c>
      <c r="P609" t="str">
        <f>IF($A609="","",IF($E609=1,$F609*$O609,PNL!G609))</f>
        <v/>
      </c>
      <c r="T609" t="str">
        <f t="shared" si="109"/>
        <v/>
      </c>
    </row>
    <row r="610" spans="1:20" x14ac:dyDescent="0.45">
      <c r="A610" t="str">
        <f>IF(PNL!A610="","",PNL!A610)</f>
        <v/>
      </c>
      <c r="B610" t="str">
        <f>IF(PNL!B610="","",PNL!B610)</f>
        <v/>
      </c>
      <c r="C610" t="str">
        <f>IF(PNL!C610="","",PNL!C610)</f>
        <v/>
      </c>
      <c r="D610" t="str">
        <f>IF(PNL!D610="","",PNL!D610)</f>
        <v/>
      </c>
      <c r="E610" t="str">
        <f t="shared" si="99"/>
        <v/>
      </c>
      <c r="F610" t="str">
        <f>IF($A610="","",IF($E610=1,SUMIFS(Compta!$F$1:$F$675,Compta!$A$1:$A$675,$A610,Compta!$B$1:$B$675,$B610,Compta!$C$1:$C$675,"2026"),0))</f>
        <v/>
      </c>
      <c r="G610" t="str">
        <f t="shared" si="100"/>
        <v/>
      </c>
      <c r="H610" t="str">
        <f t="shared" si="101"/>
        <v/>
      </c>
      <c r="I610" t="str">
        <f t="shared" si="102"/>
        <v/>
      </c>
      <c r="J610" t="str">
        <f t="shared" si="103"/>
        <v/>
      </c>
      <c r="K610" t="str">
        <f t="shared" si="104"/>
        <v/>
      </c>
      <c r="L610" t="str">
        <f t="shared" si="105"/>
        <v/>
      </c>
      <c r="M610" t="str">
        <f t="shared" si="106"/>
        <v/>
      </c>
      <c r="N610" t="str">
        <f t="shared" si="107"/>
        <v/>
      </c>
      <c r="O610" t="str">
        <f t="shared" si="108"/>
        <v/>
      </c>
      <c r="P610" t="str">
        <f>IF($A610="","",IF($E610=1,$F610*$O610,PNL!G610))</f>
        <v/>
      </c>
      <c r="T610" t="str">
        <f t="shared" si="109"/>
        <v/>
      </c>
    </row>
    <row r="611" spans="1:20" x14ac:dyDescent="0.45">
      <c r="A611" t="str">
        <f>IF(PNL!A611="","",PNL!A611)</f>
        <v/>
      </c>
      <c r="B611" t="str">
        <f>IF(PNL!B611="","",PNL!B611)</f>
        <v/>
      </c>
      <c r="C611" t="str">
        <f>IF(PNL!C611="","",PNL!C611)</f>
        <v/>
      </c>
      <c r="D611" t="str">
        <f>IF(PNL!D611="","",PNL!D611)</f>
        <v/>
      </c>
      <c r="E611" t="str">
        <f t="shared" si="99"/>
        <v/>
      </c>
      <c r="F611" t="str">
        <f>IF($A611="","",IF($E611=1,SUMIFS(Compta!$F$1:$F$675,Compta!$A$1:$A$675,$A611,Compta!$B$1:$B$675,$B611,Compta!$C$1:$C$675,"2026"),0))</f>
        <v/>
      </c>
      <c r="G611" t="str">
        <f t="shared" si="100"/>
        <v/>
      </c>
      <c r="H611" t="str">
        <f t="shared" si="101"/>
        <v/>
      </c>
      <c r="I611" t="str">
        <f t="shared" si="102"/>
        <v/>
      </c>
      <c r="J611" t="str">
        <f t="shared" si="103"/>
        <v/>
      </c>
      <c r="K611" t="str">
        <f t="shared" si="104"/>
        <v/>
      </c>
      <c r="L611" t="str">
        <f t="shared" si="105"/>
        <v/>
      </c>
      <c r="M611" t="str">
        <f t="shared" si="106"/>
        <v/>
      </c>
      <c r="N611" t="str">
        <f t="shared" si="107"/>
        <v/>
      </c>
      <c r="O611" t="str">
        <f t="shared" si="108"/>
        <v/>
      </c>
      <c r="P611" t="str">
        <f>IF($A611="","",IF($E611=1,$F611*$O611,PNL!G611))</f>
        <v/>
      </c>
      <c r="T611" t="str">
        <f t="shared" si="109"/>
        <v/>
      </c>
    </row>
    <row r="612" spans="1:20" x14ac:dyDescent="0.45">
      <c r="A612" t="str">
        <f>IF(PNL!A612="","",PNL!A612)</f>
        <v/>
      </c>
      <c r="B612" t="str">
        <f>IF(PNL!B612="","",PNL!B612)</f>
        <v/>
      </c>
      <c r="C612" t="str">
        <f>IF(PNL!C612="","",PNL!C612)</f>
        <v/>
      </c>
      <c r="D612" t="str">
        <f>IF(PNL!D612="","",PNL!D612)</f>
        <v/>
      </c>
      <c r="E612" t="str">
        <f t="shared" si="99"/>
        <v/>
      </c>
      <c r="F612" t="str">
        <f>IF($A612="","",IF($E612=1,SUMIFS(Compta!$F$1:$F$675,Compta!$A$1:$A$675,$A612,Compta!$B$1:$B$675,$B612,Compta!$C$1:$C$675,"2026"),0))</f>
        <v/>
      </c>
      <c r="G612" t="str">
        <f t="shared" si="100"/>
        <v/>
      </c>
      <c r="H612" t="str">
        <f t="shared" si="101"/>
        <v/>
      </c>
      <c r="I612" t="str">
        <f t="shared" si="102"/>
        <v/>
      </c>
      <c r="J612" t="str">
        <f t="shared" si="103"/>
        <v/>
      </c>
      <c r="K612" t="str">
        <f t="shared" si="104"/>
        <v/>
      </c>
      <c r="L612" t="str">
        <f t="shared" si="105"/>
        <v/>
      </c>
      <c r="M612" t="str">
        <f t="shared" si="106"/>
        <v/>
      </c>
      <c r="N612" t="str">
        <f t="shared" si="107"/>
        <v/>
      </c>
      <c r="O612" t="str">
        <f t="shared" si="108"/>
        <v/>
      </c>
      <c r="P612" t="str">
        <f>IF($A612="","",IF($E612=1,$F612*$O612,PNL!G612))</f>
        <v/>
      </c>
      <c r="T612" t="str">
        <f t="shared" si="109"/>
        <v/>
      </c>
    </row>
    <row r="613" spans="1:20" x14ac:dyDescent="0.45">
      <c r="A613" t="str">
        <f>IF(PNL!A613="","",PNL!A613)</f>
        <v/>
      </c>
      <c r="B613" t="str">
        <f>IF(PNL!B613="","",PNL!B613)</f>
        <v/>
      </c>
      <c r="C613" t="str">
        <f>IF(PNL!C613="","",PNL!C613)</f>
        <v/>
      </c>
      <c r="D613" t="str">
        <f>IF(PNL!D613="","",PNL!D613)</f>
        <v/>
      </c>
      <c r="E613" t="str">
        <f t="shared" si="99"/>
        <v/>
      </c>
      <c r="F613" t="str">
        <f>IF($A613="","",IF($E613=1,SUMIFS(Compta!$F$1:$F$675,Compta!$A$1:$A$675,$A613,Compta!$B$1:$B$675,$B613,Compta!$C$1:$C$675,"2026"),0))</f>
        <v/>
      </c>
      <c r="G613" t="str">
        <f t="shared" si="100"/>
        <v/>
      </c>
      <c r="H613" t="str">
        <f t="shared" si="101"/>
        <v/>
      </c>
      <c r="I613" t="str">
        <f t="shared" si="102"/>
        <v/>
      </c>
      <c r="J613" t="str">
        <f t="shared" si="103"/>
        <v/>
      </c>
      <c r="K613" t="str">
        <f t="shared" si="104"/>
        <v/>
      </c>
      <c r="L613" t="str">
        <f t="shared" si="105"/>
        <v/>
      </c>
      <c r="M613" t="str">
        <f t="shared" si="106"/>
        <v/>
      </c>
      <c r="N613" t="str">
        <f t="shared" si="107"/>
        <v/>
      </c>
      <c r="O613" t="str">
        <f t="shared" si="108"/>
        <v/>
      </c>
      <c r="P613" t="str">
        <f>IF($A613="","",IF($E613=1,$F613*$O613,PNL!G613))</f>
        <v/>
      </c>
      <c r="T613" t="str">
        <f t="shared" si="109"/>
        <v/>
      </c>
    </row>
    <row r="614" spans="1:20" x14ac:dyDescent="0.45">
      <c r="A614" t="str">
        <f>IF(PNL!A614="","",PNL!A614)</f>
        <v/>
      </c>
      <c r="B614" t="str">
        <f>IF(PNL!B614="","",PNL!B614)</f>
        <v/>
      </c>
      <c r="C614" t="str">
        <f>IF(PNL!C614="","",PNL!C614)</f>
        <v/>
      </c>
      <c r="D614" t="str">
        <f>IF(PNL!D614="","",PNL!D614)</f>
        <v/>
      </c>
      <c r="E614" t="str">
        <f t="shared" si="99"/>
        <v/>
      </c>
      <c r="F614" t="str">
        <f>IF($A614="","",IF($E614=1,SUMIFS(Compta!$F$1:$F$675,Compta!$A$1:$A$675,$A614,Compta!$B$1:$B$675,$B614,Compta!$C$1:$C$675,"2026"),0))</f>
        <v/>
      </c>
      <c r="G614" t="str">
        <f t="shared" si="100"/>
        <v/>
      </c>
      <c r="H614" t="str">
        <f t="shared" si="101"/>
        <v/>
      </c>
      <c r="I614" t="str">
        <f t="shared" si="102"/>
        <v/>
      </c>
      <c r="J614" t="str">
        <f t="shared" si="103"/>
        <v/>
      </c>
      <c r="K614" t="str">
        <f t="shared" si="104"/>
        <v/>
      </c>
      <c r="L614" t="str">
        <f t="shared" si="105"/>
        <v/>
      </c>
      <c r="M614" t="str">
        <f t="shared" si="106"/>
        <v/>
      </c>
      <c r="N614" t="str">
        <f t="shared" si="107"/>
        <v/>
      </c>
      <c r="O614" t="str">
        <f t="shared" si="108"/>
        <v/>
      </c>
      <c r="P614" t="str">
        <f>IF($A614="","",IF($E614=1,$F614*$O614,PNL!G614))</f>
        <v/>
      </c>
      <c r="T614" t="str">
        <f t="shared" si="109"/>
        <v/>
      </c>
    </row>
    <row r="615" spans="1:20" x14ac:dyDescent="0.45">
      <c r="A615" t="str">
        <f>IF(PNL!A615="","",PNL!A615)</f>
        <v/>
      </c>
      <c r="B615" t="str">
        <f>IF(PNL!B615="","",PNL!B615)</f>
        <v/>
      </c>
      <c r="C615" t="str">
        <f>IF(PNL!C615="","",PNL!C615)</f>
        <v/>
      </c>
      <c r="D615" t="str">
        <f>IF(PNL!D615="","",PNL!D615)</f>
        <v/>
      </c>
      <c r="E615" t="str">
        <f t="shared" si="99"/>
        <v/>
      </c>
      <c r="F615" t="str">
        <f>IF($A615="","",IF($E615=1,SUMIFS(Compta!$F$1:$F$675,Compta!$A$1:$A$675,$A615,Compta!$B$1:$B$675,$B615,Compta!$C$1:$C$675,"2026"),0))</f>
        <v/>
      </c>
      <c r="G615" t="str">
        <f t="shared" si="100"/>
        <v/>
      </c>
      <c r="H615" t="str">
        <f t="shared" si="101"/>
        <v/>
      </c>
      <c r="I615" t="str">
        <f t="shared" si="102"/>
        <v/>
      </c>
      <c r="J615" t="str">
        <f t="shared" si="103"/>
        <v/>
      </c>
      <c r="K615" t="str">
        <f t="shared" si="104"/>
        <v/>
      </c>
      <c r="L615" t="str">
        <f t="shared" si="105"/>
        <v/>
      </c>
      <c r="M615" t="str">
        <f t="shared" si="106"/>
        <v/>
      </c>
      <c r="N615" t="str">
        <f t="shared" si="107"/>
        <v/>
      </c>
      <c r="O615" t="str">
        <f t="shared" si="108"/>
        <v/>
      </c>
      <c r="P615" t="str">
        <f>IF($A615="","",IF($E615=1,$F615*$O615,PNL!G615))</f>
        <v/>
      </c>
      <c r="T615" t="str">
        <f t="shared" si="109"/>
        <v/>
      </c>
    </row>
    <row r="616" spans="1:20" x14ac:dyDescent="0.45">
      <c r="A616" t="str">
        <f>IF(PNL!A616="","",PNL!A616)</f>
        <v/>
      </c>
      <c r="B616" t="str">
        <f>IF(PNL!B616="","",PNL!B616)</f>
        <v/>
      </c>
      <c r="C616" t="str">
        <f>IF(PNL!C616="","",PNL!C616)</f>
        <v/>
      </c>
      <c r="D616" t="str">
        <f>IF(PNL!D616="","",PNL!D616)</f>
        <v/>
      </c>
      <c r="E616" t="str">
        <f t="shared" si="99"/>
        <v/>
      </c>
      <c r="F616" t="str">
        <f>IF($A616="","",IF($E616=1,SUMIFS(Compta!$F$1:$F$675,Compta!$A$1:$A$675,$A616,Compta!$B$1:$B$675,$B616,Compta!$C$1:$C$675,"2026"),0))</f>
        <v/>
      </c>
      <c r="G616" t="str">
        <f t="shared" si="100"/>
        <v/>
      </c>
      <c r="H616" t="str">
        <f t="shared" si="101"/>
        <v/>
      </c>
      <c r="I616" t="str">
        <f t="shared" si="102"/>
        <v/>
      </c>
      <c r="J616" t="str">
        <f t="shared" si="103"/>
        <v/>
      </c>
      <c r="K616" t="str">
        <f t="shared" si="104"/>
        <v/>
      </c>
      <c r="L616" t="str">
        <f t="shared" si="105"/>
        <v/>
      </c>
      <c r="M616" t="str">
        <f t="shared" si="106"/>
        <v/>
      </c>
      <c r="N616" t="str">
        <f t="shared" si="107"/>
        <v/>
      </c>
      <c r="O616" t="str">
        <f t="shared" si="108"/>
        <v/>
      </c>
      <c r="P616" t="str">
        <f>IF($A616="","",IF($E616=1,$F616*$O616,PNL!G616))</f>
        <v/>
      </c>
      <c r="T616" t="str">
        <f t="shared" si="109"/>
        <v/>
      </c>
    </row>
    <row r="617" spans="1:20" x14ac:dyDescent="0.45">
      <c r="A617" t="str">
        <f>IF(PNL!A617="","",PNL!A617)</f>
        <v/>
      </c>
      <c r="B617" t="str">
        <f>IF(PNL!B617="","",PNL!B617)</f>
        <v/>
      </c>
      <c r="C617" t="str">
        <f>IF(PNL!C617="","",PNL!C617)</f>
        <v/>
      </c>
      <c r="D617" t="str">
        <f>IF(PNL!D617="","",PNL!D617)</f>
        <v/>
      </c>
      <c r="E617" t="str">
        <f t="shared" si="99"/>
        <v/>
      </c>
      <c r="F617" t="str">
        <f>IF($A617="","",IF($E617=1,SUMIFS(Compta!$F$1:$F$675,Compta!$A$1:$A$675,$A617,Compta!$B$1:$B$675,$B617,Compta!$C$1:$C$675,"2026"),0))</f>
        <v/>
      </c>
      <c r="G617" t="str">
        <f t="shared" si="100"/>
        <v/>
      </c>
      <c r="H617" t="str">
        <f t="shared" si="101"/>
        <v/>
      </c>
      <c r="I617" t="str">
        <f t="shared" si="102"/>
        <v/>
      </c>
      <c r="J617" t="str">
        <f t="shared" si="103"/>
        <v/>
      </c>
      <c r="K617" t="str">
        <f t="shared" si="104"/>
        <v/>
      </c>
      <c r="L617" t="str">
        <f t="shared" si="105"/>
        <v/>
      </c>
      <c r="M617" t="str">
        <f t="shared" si="106"/>
        <v/>
      </c>
      <c r="N617" t="str">
        <f t="shared" si="107"/>
        <v/>
      </c>
      <c r="O617" t="str">
        <f t="shared" si="108"/>
        <v/>
      </c>
      <c r="P617" t="str">
        <f>IF($A617="","",IF($E617=1,$F617*$O617,PNL!G617))</f>
        <v/>
      </c>
      <c r="T617" t="str">
        <f t="shared" si="109"/>
        <v/>
      </c>
    </row>
    <row r="618" spans="1:20" x14ac:dyDescent="0.45">
      <c r="A618" t="str">
        <f>IF(PNL!A618="","",PNL!A618)</f>
        <v/>
      </c>
      <c r="B618" t="str">
        <f>IF(PNL!B618="","",PNL!B618)</f>
        <v/>
      </c>
      <c r="C618" t="str">
        <f>IF(PNL!C618="","",PNL!C618)</f>
        <v/>
      </c>
      <c r="D618" t="str">
        <f>IF(PNL!D618="","",PNL!D618)</f>
        <v/>
      </c>
      <c r="E618" t="str">
        <f t="shared" si="99"/>
        <v/>
      </c>
      <c r="F618" t="str">
        <f>IF($A618="","",IF($E618=1,SUMIFS(Compta!$F$1:$F$675,Compta!$A$1:$A$675,$A618,Compta!$B$1:$B$675,$B618,Compta!$C$1:$C$675,"2026"),0))</f>
        <v/>
      </c>
      <c r="G618" t="str">
        <f t="shared" si="100"/>
        <v/>
      </c>
      <c r="H618" t="str">
        <f t="shared" si="101"/>
        <v/>
      </c>
      <c r="I618" t="str">
        <f t="shared" si="102"/>
        <v/>
      </c>
      <c r="J618" t="str">
        <f t="shared" si="103"/>
        <v/>
      </c>
      <c r="K618" t="str">
        <f t="shared" si="104"/>
        <v/>
      </c>
      <c r="L618" t="str">
        <f t="shared" si="105"/>
        <v/>
      </c>
      <c r="M618" t="str">
        <f t="shared" si="106"/>
        <v/>
      </c>
      <c r="N618" t="str">
        <f t="shared" si="107"/>
        <v/>
      </c>
      <c r="O618" t="str">
        <f t="shared" si="108"/>
        <v/>
      </c>
      <c r="P618" t="str">
        <f>IF($A618="","",IF($E618=1,$F618*$O618,PNL!G618))</f>
        <v/>
      </c>
      <c r="T618" t="str">
        <f t="shared" si="109"/>
        <v/>
      </c>
    </row>
    <row r="619" spans="1:20" x14ac:dyDescent="0.45">
      <c r="A619" t="str">
        <f>IF(PNL!A619="","",PNL!A619)</f>
        <v/>
      </c>
      <c r="B619" t="str">
        <f>IF(PNL!B619="","",PNL!B619)</f>
        <v/>
      </c>
      <c r="C619" t="str">
        <f>IF(PNL!C619="","",PNL!C619)</f>
        <v/>
      </c>
      <c r="D619" t="str">
        <f>IF(PNL!D619="","",PNL!D619)</f>
        <v/>
      </c>
      <c r="E619" t="str">
        <f t="shared" si="99"/>
        <v/>
      </c>
      <c r="F619" t="str">
        <f>IF($A619="","",IF($E619=1,SUMIFS(Compta!$F$1:$F$675,Compta!$A$1:$A$675,$A619,Compta!$B$1:$B$675,$B619,Compta!$C$1:$C$675,"2026"),0))</f>
        <v/>
      </c>
      <c r="G619" t="str">
        <f t="shared" si="100"/>
        <v/>
      </c>
      <c r="H619" t="str">
        <f t="shared" si="101"/>
        <v/>
      </c>
      <c r="I619" t="str">
        <f t="shared" si="102"/>
        <v/>
      </c>
      <c r="J619" t="str">
        <f t="shared" si="103"/>
        <v/>
      </c>
      <c r="K619" t="str">
        <f t="shared" si="104"/>
        <v/>
      </c>
      <c r="L619" t="str">
        <f t="shared" si="105"/>
        <v/>
      </c>
      <c r="M619" t="str">
        <f t="shared" si="106"/>
        <v/>
      </c>
      <c r="N619" t="str">
        <f t="shared" si="107"/>
        <v/>
      </c>
      <c r="O619" t="str">
        <f t="shared" si="108"/>
        <v/>
      </c>
      <c r="P619" t="str">
        <f>IF($A619="","",IF($E619=1,$F619*$O619,PNL!G619))</f>
        <v/>
      </c>
      <c r="T619" t="str">
        <f t="shared" si="109"/>
        <v/>
      </c>
    </row>
    <row r="620" spans="1:20" x14ac:dyDescent="0.45">
      <c r="A620" t="str">
        <f>IF(PNL!A620="","",PNL!A620)</f>
        <v/>
      </c>
      <c r="B620" t="str">
        <f>IF(PNL!B620="","",PNL!B620)</f>
        <v/>
      </c>
      <c r="C620" t="str">
        <f>IF(PNL!C620="","",PNL!C620)</f>
        <v/>
      </c>
      <c r="D620" t="str">
        <f>IF(PNL!D620="","",PNL!D620)</f>
        <v/>
      </c>
      <c r="E620" t="str">
        <f t="shared" si="99"/>
        <v/>
      </c>
      <c r="F620" t="str">
        <f>IF($A620="","",IF($E620=1,SUMIFS(Compta!$F$1:$F$675,Compta!$A$1:$A$675,$A620,Compta!$B$1:$B$675,$B620,Compta!$C$1:$C$675,"2026"),0))</f>
        <v/>
      </c>
      <c r="G620" t="str">
        <f t="shared" si="100"/>
        <v/>
      </c>
      <c r="H620" t="str">
        <f t="shared" si="101"/>
        <v/>
      </c>
      <c r="I620" t="str">
        <f t="shared" si="102"/>
        <v/>
      </c>
      <c r="J620" t="str">
        <f t="shared" si="103"/>
        <v/>
      </c>
      <c r="K620" t="str">
        <f t="shared" si="104"/>
        <v/>
      </c>
      <c r="L620" t="str">
        <f t="shared" si="105"/>
        <v/>
      </c>
      <c r="M620" t="str">
        <f t="shared" si="106"/>
        <v/>
      </c>
      <c r="N620" t="str">
        <f t="shared" si="107"/>
        <v/>
      </c>
      <c r="O620" t="str">
        <f t="shared" si="108"/>
        <v/>
      </c>
      <c r="P620" t="str">
        <f>IF($A620="","",IF($E620=1,$F620*$O620,PNL!G620))</f>
        <v/>
      </c>
      <c r="T620" t="str">
        <f t="shared" si="109"/>
        <v/>
      </c>
    </row>
    <row r="621" spans="1:20" x14ac:dyDescent="0.45">
      <c r="A621" t="str">
        <f>IF(PNL!A621="","",PNL!A621)</f>
        <v/>
      </c>
      <c r="B621" t="str">
        <f>IF(PNL!B621="","",PNL!B621)</f>
        <v/>
      </c>
      <c r="C621" t="str">
        <f>IF(PNL!C621="","",PNL!C621)</f>
        <v/>
      </c>
      <c r="D621" t="str">
        <f>IF(PNL!D621="","",PNL!D621)</f>
        <v/>
      </c>
      <c r="E621" t="str">
        <f t="shared" si="99"/>
        <v/>
      </c>
      <c r="F621" t="str">
        <f>IF($A621="","",IF($E621=1,SUMIFS(Compta!$F$1:$F$675,Compta!$A$1:$A$675,$A621,Compta!$B$1:$B$675,$B621,Compta!$C$1:$C$675,"2026"),0))</f>
        <v/>
      </c>
      <c r="G621" t="str">
        <f t="shared" si="100"/>
        <v/>
      </c>
      <c r="H621" t="str">
        <f t="shared" si="101"/>
        <v/>
      </c>
      <c r="I621" t="str">
        <f t="shared" si="102"/>
        <v/>
      </c>
      <c r="J621" t="str">
        <f t="shared" si="103"/>
        <v/>
      </c>
      <c r="K621" t="str">
        <f t="shared" si="104"/>
        <v/>
      </c>
      <c r="L621" t="str">
        <f t="shared" si="105"/>
        <v/>
      </c>
      <c r="M621" t="str">
        <f t="shared" si="106"/>
        <v/>
      </c>
      <c r="N621" t="str">
        <f t="shared" si="107"/>
        <v/>
      </c>
      <c r="O621" t="str">
        <f t="shared" si="108"/>
        <v/>
      </c>
      <c r="P621" t="str">
        <f>IF($A621="","",IF($E621=1,$F621*$O621,PNL!G621))</f>
        <v/>
      </c>
      <c r="T621" t="str">
        <f t="shared" si="109"/>
        <v/>
      </c>
    </row>
    <row r="622" spans="1:20" x14ac:dyDescent="0.45">
      <c r="A622" t="str">
        <f>IF(PNL!A622="","",PNL!A622)</f>
        <v/>
      </c>
      <c r="B622" t="str">
        <f>IF(PNL!B622="","",PNL!B622)</f>
        <v/>
      </c>
      <c r="C622" t="str">
        <f>IF(PNL!C622="","",PNL!C622)</f>
        <v/>
      </c>
      <c r="D622" t="str">
        <f>IF(PNL!D622="","",PNL!D622)</f>
        <v/>
      </c>
      <c r="E622" t="str">
        <f t="shared" si="99"/>
        <v/>
      </c>
      <c r="F622" t="str">
        <f>IF($A622="","",IF($E622=1,SUMIFS(Compta!$F$1:$F$675,Compta!$A$1:$A$675,$A622,Compta!$B$1:$B$675,$B622,Compta!$C$1:$C$675,"2026"),0))</f>
        <v/>
      </c>
      <c r="G622" t="str">
        <f t="shared" si="100"/>
        <v/>
      </c>
      <c r="H622" t="str">
        <f t="shared" si="101"/>
        <v/>
      </c>
      <c r="I622" t="str">
        <f t="shared" si="102"/>
        <v/>
      </c>
      <c r="J622" t="str">
        <f t="shared" si="103"/>
        <v/>
      </c>
      <c r="K622" t="str">
        <f t="shared" si="104"/>
        <v/>
      </c>
      <c r="L622" t="str">
        <f t="shared" si="105"/>
        <v/>
      </c>
      <c r="M622" t="str">
        <f t="shared" si="106"/>
        <v/>
      </c>
      <c r="N622" t="str">
        <f t="shared" si="107"/>
        <v/>
      </c>
      <c r="O622" t="str">
        <f t="shared" si="108"/>
        <v/>
      </c>
      <c r="P622" t="str">
        <f>IF($A622="","",IF($E622=1,$F622*$O622,PNL!G622))</f>
        <v/>
      </c>
      <c r="T622" t="str">
        <f t="shared" si="109"/>
        <v/>
      </c>
    </row>
    <row r="623" spans="1:20" x14ac:dyDescent="0.45">
      <c r="A623" t="str">
        <f>IF(PNL!A623="","",PNL!A623)</f>
        <v/>
      </c>
      <c r="B623" t="str">
        <f>IF(PNL!B623="","",PNL!B623)</f>
        <v/>
      </c>
      <c r="C623" t="str">
        <f>IF(PNL!C623="","",PNL!C623)</f>
        <v/>
      </c>
      <c r="D623" t="str">
        <f>IF(PNL!D623="","",PNL!D623)</f>
        <v/>
      </c>
      <c r="E623" t="str">
        <f t="shared" si="99"/>
        <v/>
      </c>
      <c r="F623" t="str">
        <f>IF($A623="","",IF($E623=1,SUMIFS(Compta!$F$1:$F$675,Compta!$A$1:$A$675,$A623,Compta!$B$1:$B$675,$B623,Compta!$C$1:$C$675,"2026"),0))</f>
        <v/>
      </c>
      <c r="G623" t="str">
        <f t="shared" si="100"/>
        <v/>
      </c>
      <c r="H623" t="str">
        <f t="shared" si="101"/>
        <v/>
      </c>
      <c r="I623" t="str">
        <f t="shared" si="102"/>
        <v/>
      </c>
      <c r="J623" t="str">
        <f t="shared" si="103"/>
        <v/>
      </c>
      <c r="K623" t="str">
        <f t="shared" si="104"/>
        <v/>
      </c>
      <c r="L623" t="str">
        <f t="shared" si="105"/>
        <v/>
      </c>
      <c r="M623" t="str">
        <f t="shared" si="106"/>
        <v/>
      </c>
      <c r="N623" t="str">
        <f t="shared" si="107"/>
        <v/>
      </c>
      <c r="O623" t="str">
        <f t="shared" si="108"/>
        <v/>
      </c>
      <c r="P623" t="str">
        <f>IF($A623="","",IF($E623=1,$F623*$O623,PNL!G623))</f>
        <v/>
      </c>
      <c r="T623" t="str">
        <f t="shared" si="109"/>
        <v/>
      </c>
    </row>
    <row r="624" spans="1:20" x14ac:dyDescent="0.45">
      <c r="A624" t="str">
        <f>IF(PNL!A624="","",PNL!A624)</f>
        <v/>
      </c>
      <c r="B624" t="str">
        <f>IF(PNL!B624="","",PNL!B624)</f>
        <v/>
      </c>
      <c r="C624" t="str">
        <f>IF(PNL!C624="","",PNL!C624)</f>
        <v/>
      </c>
      <c r="D624" t="str">
        <f>IF(PNL!D624="","",PNL!D624)</f>
        <v/>
      </c>
      <c r="E624" t="str">
        <f t="shared" si="99"/>
        <v/>
      </c>
      <c r="F624" t="str">
        <f>IF($A624="","",IF($E624=1,SUMIFS(Compta!$F$1:$F$675,Compta!$A$1:$A$675,$A624,Compta!$B$1:$B$675,$B624,Compta!$C$1:$C$675,"2026"),0))</f>
        <v/>
      </c>
      <c r="G624" t="str">
        <f t="shared" si="100"/>
        <v/>
      </c>
      <c r="H624" t="str">
        <f t="shared" si="101"/>
        <v/>
      </c>
      <c r="I624" t="str">
        <f t="shared" si="102"/>
        <v/>
      </c>
      <c r="J624" t="str">
        <f t="shared" si="103"/>
        <v/>
      </c>
      <c r="K624" t="str">
        <f t="shared" si="104"/>
        <v/>
      </c>
      <c r="L624" t="str">
        <f t="shared" si="105"/>
        <v/>
      </c>
      <c r="M624" t="str">
        <f t="shared" si="106"/>
        <v/>
      </c>
      <c r="N624" t="str">
        <f t="shared" si="107"/>
        <v/>
      </c>
      <c r="O624" t="str">
        <f t="shared" si="108"/>
        <v/>
      </c>
      <c r="P624" t="str">
        <f>IF($A624="","",IF($E624=1,$F624*$O624,PNL!G624))</f>
        <v/>
      </c>
      <c r="T624" t="str">
        <f t="shared" si="109"/>
        <v/>
      </c>
    </row>
    <row r="625" spans="1:20" x14ac:dyDescent="0.45">
      <c r="A625" t="str">
        <f>IF(PNL!A625="","",PNL!A625)</f>
        <v/>
      </c>
      <c r="B625" t="str">
        <f>IF(PNL!B625="","",PNL!B625)</f>
        <v/>
      </c>
      <c r="C625" t="str">
        <f>IF(PNL!C625="","",PNL!C625)</f>
        <v/>
      </c>
      <c r="D625" t="str">
        <f>IF(PNL!D625="","",PNL!D625)</f>
        <v/>
      </c>
      <c r="E625" t="str">
        <f t="shared" si="99"/>
        <v/>
      </c>
      <c r="F625" t="str">
        <f>IF($A625="","",IF($E625=1,SUMIFS(Compta!$F$1:$F$675,Compta!$A$1:$A$675,$A625,Compta!$B$1:$B$675,$B625,Compta!$C$1:$C$675,"2026"),0))</f>
        <v/>
      </c>
      <c r="G625" t="str">
        <f t="shared" si="100"/>
        <v/>
      </c>
      <c r="H625" t="str">
        <f t="shared" si="101"/>
        <v/>
      </c>
      <c r="I625" t="str">
        <f t="shared" si="102"/>
        <v/>
      </c>
      <c r="J625" t="str">
        <f t="shared" si="103"/>
        <v/>
      </c>
      <c r="K625" t="str">
        <f t="shared" si="104"/>
        <v/>
      </c>
      <c r="L625" t="str">
        <f t="shared" si="105"/>
        <v/>
      </c>
      <c r="M625" t="str">
        <f t="shared" si="106"/>
        <v/>
      </c>
      <c r="N625" t="str">
        <f t="shared" si="107"/>
        <v/>
      </c>
      <c r="O625" t="str">
        <f t="shared" si="108"/>
        <v/>
      </c>
      <c r="P625" t="str">
        <f>IF($A625="","",IF($E625=1,$F625*$O625,PNL!G625))</f>
        <v/>
      </c>
      <c r="T625" t="str">
        <f t="shared" si="109"/>
        <v/>
      </c>
    </row>
    <row r="626" spans="1:20" x14ac:dyDescent="0.45">
      <c r="A626" t="str">
        <f>IF(PNL!A626="","",PNL!A626)</f>
        <v/>
      </c>
      <c r="B626" t="str">
        <f>IF(PNL!B626="","",PNL!B626)</f>
        <v/>
      </c>
      <c r="C626" t="str">
        <f>IF(PNL!C626="","",PNL!C626)</f>
        <v/>
      </c>
      <c r="D626" t="str">
        <f>IF(PNL!D626="","",PNL!D626)</f>
        <v/>
      </c>
      <c r="E626" t="str">
        <f t="shared" si="99"/>
        <v/>
      </c>
      <c r="F626" t="str">
        <f>IF($A626="","",IF($E626=1,SUMIFS(Compta!$F$1:$F$675,Compta!$A$1:$A$675,$A626,Compta!$B$1:$B$675,$B626,Compta!$C$1:$C$675,"2026"),0))</f>
        <v/>
      </c>
      <c r="G626" t="str">
        <f t="shared" si="100"/>
        <v/>
      </c>
      <c r="H626" t="str">
        <f t="shared" si="101"/>
        <v/>
      </c>
      <c r="I626" t="str">
        <f t="shared" si="102"/>
        <v/>
      </c>
      <c r="J626" t="str">
        <f t="shared" si="103"/>
        <v/>
      </c>
      <c r="K626" t="str">
        <f t="shared" si="104"/>
        <v/>
      </c>
      <c r="L626" t="str">
        <f t="shared" si="105"/>
        <v/>
      </c>
      <c r="M626" t="str">
        <f t="shared" si="106"/>
        <v/>
      </c>
      <c r="N626" t="str">
        <f t="shared" si="107"/>
        <v/>
      </c>
      <c r="O626" t="str">
        <f t="shared" si="108"/>
        <v/>
      </c>
      <c r="P626" t="str">
        <f>IF($A626="","",IF($E626=1,$F626*$O626,PNL!G626))</f>
        <v/>
      </c>
      <c r="T626" t="str">
        <f t="shared" si="109"/>
        <v/>
      </c>
    </row>
    <row r="627" spans="1:20" x14ac:dyDescent="0.45">
      <c r="A627" t="str">
        <f>IF(PNL!A627="","",PNL!A627)</f>
        <v/>
      </c>
      <c r="B627" t="str">
        <f>IF(PNL!B627="","",PNL!B627)</f>
        <v/>
      </c>
      <c r="C627" t="str">
        <f>IF(PNL!C627="","",PNL!C627)</f>
        <v/>
      </c>
      <c r="D627" t="str">
        <f>IF(PNL!D627="","",PNL!D627)</f>
        <v/>
      </c>
      <c r="E627" t="str">
        <f t="shared" si="99"/>
        <v/>
      </c>
      <c r="F627" t="str">
        <f>IF($A627="","",IF($E627=1,SUMIFS(Compta!$F$1:$F$675,Compta!$A$1:$A$675,$A627,Compta!$B$1:$B$675,$B627,Compta!$C$1:$C$675,"2026"),0))</f>
        <v/>
      </c>
      <c r="G627" t="str">
        <f t="shared" si="100"/>
        <v/>
      </c>
      <c r="H627" t="str">
        <f t="shared" si="101"/>
        <v/>
      </c>
      <c r="I627" t="str">
        <f t="shared" si="102"/>
        <v/>
      </c>
      <c r="J627" t="str">
        <f t="shared" si="103"/>
        <v/>
      </c>
      <c r="K627" t="str">
        <f t="shared" si="104"/>
        <v/>
      </c>
      <c r="L627" t="str">
        <f t="shared" si="105"/>
        <v/>
      </c>
      <c r="M627" t="str">
        <f t="shared" si="106"/>
        <v/>
      </c>
      <c r="N627" t="str">
        <f t="shared" si="107"/>
        <v/>
      </c>
      <c r="O627" t="str">
        <f t="shared" si="108"/>
        <v/>
      </c>
      <c r="P627" t="str">
        <f>IF($A627="","",IF($E627=1,$F627*$O627,PNL!G627))</f>
        <v/>
      </c>
      <c r="T627" t="str">
        <f t="shared" si="109"/>
        <v/>
      </c>
    </row>
    <row r="628" spans="1:20" x14ac:dyDescent="0.45">
      <c r="A628" t="str">
        <f>IF(PNL!A628="","",PNL!A628)</f>
        <v/>
      </c>
      <c r="B628" t="str">
        <f>IF(PNL!B628="","",PNL!B628)</f>
        <v/>
      </c>
      <c r="C628" t="str">
        <f>IF(PNL!C628="","",PNL!C628)</f>
        <v/>
      </c>
      <c r="D628" t="str">
        <f>IF(PNL!D628="","",PNL!D628)</f>
        <v/>
      </c>
      <c r="E628" t="str">
        <f t="shared" si="99"/>
        <v/>
      </c>
      <c r="F628" t="str">
        <f>IF($A628="","",IF($E628=1,SUMIFS(Compta!$F$1:$F$675,Compta!$A$1:$A$675,$A628,Compta!$B$1:$B$675,$B628,Compta!$C$1:$C$675,"2026"),0))</f>
        <v/>
      </c>
      <c r="G628" t="str">
        <f t="shared" si="100"/>
        <v/>
      </c>
      <c r="H628" t="str">
        <f t="shared" si="101"/>
        <v/>
      </c>
      <c r="I628" t="str">
        <f t="shared" si="102"/>
        <v/>
      </c>
      <c r="J628" t="str">
        <f t="shared" si="103"/>
        <v/>
      </c>
      <c r="K628" t="str">
        <f t="shared" si="104"/>
        <v/>
      </c>
      <c r="L628" t="str">
        <f t="shared" si="105"/>
        <v/>
      </c>
      <c r="M628" t="str">
        <f t="shared" si="106"/>
        <v/>
      </c>
      <c r="N628" t="str">
        <f t="shared" si="107"/>
        <v/>
      </c>
      <c r="O628" t="str">
        <f t="shared" si="108"/>
        <v/>
      </c>
      <c r="P628" t="str">
        <f>IF($A628="","",IF($E628=1,$F628*$O628,PNL!G628))</f>
        <v/>
      </c>
      <c r="T628" t="str">
        <f t="shared" si="109"/>
        <v/>
      </c>
    </row>
    <row r="629" spans="1:20" x14ac:dyDescent="0.45">
      <c r="A629" t="str">
        <f>IF(PNL!A629="","",PNL!A629)</f>
        <v/>
      </c>
      <c r="B629" t="str">
        <f>IF(PNL!B629="","",PNL!B629)</f>
        <v/>
      </c>
      <c r="C629" t="str">
        <f>IF(PNL!C629="","",PNL!C629)</f>
        <v/>
      </c>
      <c r="D629" t="str">
        <f>IF(PNL!D629="","",PNL!D629)</f>
        <v/>
      </c>
      <c r="E629" t="str">
        <f t="shared" si="99"/>
        <v/>
      </c>
      <c r="F629" t="str">
        <f>IF($A629="","",IF($E629=1,SUMIFS(Compta!$F$1:$F$675,Compta!$A$1:$A$675,$A629,Compta!$B$1:$B$675,$B629,Compta!$C$1:$C$675,"2026"),0))</f>
        <v/>
      </c>
      <c r="G629" t="str">
        <f t="shared" si="100"/>
        <v/>
      </c>
      <c r="H629" t="str">
        <f t="shared" si="101"/>
        <v/>
      </c>
      <c r="I629" t="str">
        <f t="shared" si="102"/>
        <v/>
      </c>
      <c r="J629" t="str">
        <f t="shared" si="103"/>
        <v/>
      </c>
      <c r="K629" t="str">
        <f t="shared" si="104"/>
        <v/>
      </c>
      <c r="L629" t="str">
        <f t="shared" si="105"/>
        <v/>
      </c>
      <c r="M629" t="str">
        <f t="shared" si="106"/>
        <v/>
      </c>
      <c r="N629" t="str">
        <f t="shared" si="107"/>
        <v/>
      </c>
      <c r="O629" t="str">
        <f t="shared" si="108"/>
        <v/>
      </c>
      <c r="P629" t="str">
        <f>IF($A629="","",IF($E629=1,$F629*$O629,PNL!G629))</f>
        <v/>
      </c>
      <c r="T629" t="str">
        <f t="shared" si="109"/>
        <v/>
      </c>
    </row>
    <row r="630" spans="1:20" x14ac:dyDescent="0.45">
      <c r="A630" t="str">
        <f>IF(PNL!A630="","",PNL!A630)</f>
        <v/>
      </c>
      <c r="B630" t="str">
        <f>IF(PNL!B630="","",PNL!B630)</f>
        <v/>
      </c>
      <c r="C630" t="str">
        <f>IF(PNL!C630="","",PNL!C630)</f>
        <v/>
      </c>
      <c r="D630" t="str">
        <f>IF(PNL!D630="","",PNL!D630)</f>
        <v/>
      </c>
      <c r="E630" t="str">
        <f t="shared" si="99"/>
        <v/>
      </c>
      <c r="F630" t="str">
        <f>IF($A630="","",IF($E630=1,SUMIFS(Compta!$F$1:$F$675,Compta!$A$1:$A$675,$A630,Compta!$B$1:$B$675,$B630,Compta!$C$1:$C$675,"2026"),0))</f>
        <v/>
      </c>
      <c r="G630" t="str">
        <f t="shared" si="100"/>
        <v/>
      </c>
      <c r="H630" t="str">
        <f t="shared" si="101"/>
        <v/>
      </c>
      <c r="I630" t="str">
        <f t="shared" si="102"/>
        <v/>
      </c>
      <c r="J630" t="str">
        <f t="shared" si="103"/>
        <v/>
      </c>
      <c r="K630" t="str">
        <f t="shared" si="104"/>
        <v/>
      </c>
      <c r="L630" t="str">
        <f t="shared" si="105"/>
        <v/>
      </c>
      <c r="M630" t="str">
        <f t="shared" si="106"/>
        <v/>
      </c>
      <c r="N630" t="str">
        <f t="shared" si="107"/>
        <v/>
      </c>
      <c r="O630" t="str">
        <f t="shared" si="108"/>
        <v/>
      </c>
      <c r="P630" t="str">
        <f>IF($A630="","",IF($E630=1,$F630*$O630,PNL!G630))</f>
        <v/>
      </c>
      <c r="T630" t="str">
        <f t="shared" si="109"/>
        <v/>
      </c>
    </row>
    <row r="631" spans="1:20" x14ac:dyDescent="0.45">
      <c r="A631" t="str">
        <f>IF(PNL!A631="","",PNL!A631)</f>
        <v/>
      </c>
      <c r="B631" t="str">
        <f>IF(PNL!B631="","",PNL!B631)</f>
        <v/>
      </c>
      <c r="C631" t="str">
        <f>IF(PNL!C631="","",PNL!C631)</f>
        <v/>
      </c>
      <c r="D631" t="str">
        <f>IF(PNL!D631="","",PNL!D631)</f>
        <v/>
      </c>
      <c r="E631" t="str">
        <f t="shared" si="99"/>
        <v/>
      </c>
      <c r="F631" t="str">
        <f>IF($A631="","",IF($E631=1,SUMIFS(Compta!$F$1:$F$675,Compta!$A$1:$A$675,$A631,Compta!$B$1:$B$675,$B631,Compta!$C$1:$C$675,"2026"),0))</f>
        <v/>
      </c>
      <c r="G631" t="str">
        <f t="shared" si="100"/>
        <v/>
      </c>
      <c r="H631" t="str">
        <f t="shared" si="101"/>
        <v/>
      </c>
      <c r="I631" t="str">
        <f t="shared" si="102"/>
        <v/>
      </c>
      <c r="J631" t="str">
        <f t="shared" si="103"/>
        <v/>
      </c>
      <c r="K631" t="str">
        <f t="shared" si="104"/>
        <v/>
      </c>
      <c r="L631" t="str">
        <f t="shared" si="105"/>
        <v/>
      </c>
      <c r="M631" t="str">
        <f t="shared" si="106"/>
        <v/>
      </c>
      <c r="N631" t="str">
        <f t="shared" si="107"/>
        <v/>
      </c>
      <c r="O631" t="str">
        <f t="shared" si="108"/>
        <v/>
      </c>
      <c r="P631" t="str">
        <f>IF($A631="","",IF($E631=1,$F631*$O631,PNL!G631))</f>
        <v/>
      </c>
      <c r="T631" t="str">
        <f t="shared" si="109"/>
        <v/>
      </c>
    </row>
    <row r="632" spans="1:20" x14ac:dyDescent="0.45">
      <c r="A632" t="str">
        <f>IF(PNL!A632="","",PNL!A632)</f>
        <v/>
      </c>
      <c r="B632" t="str">
        <f>IF(PNL!B632="","",PNL!B632)</f>
        <v/>
      </c>
      <c r="C632" t="str">
        <f>IF(PNL!C632="","",PNL!C632)</f>
        <v/>
      </c>
      <c r="D632" t="str">
        <f>IF(PNL!D632="","",PNL!D632)</f>
        <v/>
      </c>
      <c r="E632" t="str">
        <f t="shared" si="99"/>
        <v/>
      </c>
      <c r="F632" t="str">
        <f>IF($A632="","",IF($E632=1,SUMIFS(Compta!$F$1:$F$675,Compta!$A$1:$A$675,$A632,Compta!$B$1:$B$675,$B632,Compta!$C$1:$C$675,"2026"),0))</f>
        <v/>
      </c>
      <c r="G632" t="str">
        <f t="shared" si="100"/>
        <v/>
      </c>
      <c r="H632" t="str">
        <f t="shared" si="101"/>
        <v/>
      </c>
      <c r="I632" t="str">
        <f t="shared" si="102"/>
        <v/>
      </c>
      <c r="J632" t="str">
        <f t="shared" si="103"/>
        <v/>
      </c>
      <c r="K632" t="str">
        <f t="shared" si="104"/>
        <v/>
      </c>
      <c r="L632" t="str">
        <f t="shared" si="105"/>
        <v/>
      </c>
      <c r="M632" t="str">
        <f t="shared" si="106"/>
        <v/>
      </c>
      <c r="N632" t="str">
        <f t="shared" si="107"/>
        <v/>
      </c>
      <c r="O632" t="str">
        <f t="shared" si="108"/>
        <v/>
      </c>
      <c r="P632" t="str">
        <f>IF($A632="","",IF($E632=1,$F632*$O632,PNL!G632))</f>
        <v/>
      </c>
      <c r="T632" t="str">
        <f t="shared" si="109"/>
        <v/>
      </c>
    </row>
    <row r="633" spans="1:20" x14ac:dyDescent="0.45">
      <c r="A633" t="str">
        <f>IF(PNL!A633="","",PNL!A633)</f>
        <v/>
      </c>
      <c r="B633" t="str">
        <f>IF(PNL!B633="","",PNL!B633)</f>
        <v/>
      </c>
      <c r="C633" t="str">
        <f>IF(PNL!C633="","",PNL!C633)</f>
        <v/>
      </c>
      <c r="D633" t="str">
        <f>IF(PNL!D633="","",PNL!D633)</f>
        <v/>
      </c>
      <c r="E633" t="str">
        <f t="shared" si="99"/>
        <v/>
      </c>
      <c r="F633" t="str">
        <f>IF($A633="","",IF($E633=1,SUMIFS(Compta!$F$1:$F$675,Compta!$A$1:$A$675,$A633,Compta!$B$1:$B$675,$B633,Compta!$C$1:$C$675,"2026"),0))</f>
        <v/>
      </c>
      <c r="G633" t="str">
        <f t="shared" si="100"/>
        <v/>
      </c>
      <c r="H633" t="str">
        <f t="shared" si="101"/>
        <v/>
      </c>
      <c r="I633" t="str">
        <f t="shared" si="102"/>
        <v/>
      </c>
      <c r="J633" t="str">
        <f t="shared" si="103"/>
        <v/>
      </c>
      <c r="K633" t="str">
        <f t="shared" si="104"/>
        <v/>
      </c>
      <c r="L633" t="str">
        <f t="shared" si="105"/>
        <v/>
      </c>
      <c r="M633" t="str">
        <f t="shared" si="106"/>
        <v/>
      </c>
      <c r="N633" t="str">
        <f t="shared" si="107"/>
        <v/>
      </c>
      <c r="O633" t="str">
        <f t="shared" si="108"/>
        <v/>
      </c>
      <c r="P633" t="str">
        <f>IF($A633="","",IF($E633=1,$F633*$O633,PNL!G633))</f>
        <v/>
      </c>
      <c r="T633" t="str">
        <f t="shared" si="109"/>
        <v/>
      </c>
    </row>
    <row r="634" spans="1:20" x14ac:dyDescent="0.45">
      <c r="A634" t="str">
        <f>IF(PNL!A634="","",PNL!A634)</f>
        <v/>
      </c>
      <c r="B634" t="str">
        <f>IF(PNL!B634="","",PNL!B634)</f>
        <v/>
      </c>
      <c r="C634" t="str">
        <f>IF(PNL!C634="","",PNL!C634)</f>
        <v/>
      </c>
      <c r="D634" t="str">
        <f>IF(PNL!D634="","",PNL!D634)</f>
        <v/>
      </c>
      <c r="E634" t="str">
        <f t="shared" si="99"/>
        <v/>
      </c>
      <c r="F634" t="str">
        <f>IF($A634="","",IF($E634=1,SUMIFS(Compta!$F$1:$F$675,Compta!$A$1:$A$675,$A634,Compta!$B$1:$B$675,$B634,Compta!$C$1:$C$675,"2026"),0))</f>
        <v/>
      </c>
      <c r="G634" t="str">
        <f t="shared" si="100"/>
        <v/>
      </c>
      <c r="H634" t="str">
        <f t="shared" si="101"/>
        <v/>
      </c>
      <c r="I634" t="str">
        <f t="shared" si="102"/>
        <v/>
      </c>
      <c r="J634" t="str">
        <f t="shared" si="103"/>
        <v/>
      </c>
      <c r="K634" t="str">
        <f t="shared" si="104"/>
        <v/>
      </c>
      <c r="L634" t="str">
        <f t="shared" si="105"/>
        <v/>
      </c>
      <c r="M634" t="str">
        <f t="shared" si="106"/>
        <v/>
      </c>
      <c r="N634" t="str">
        <f t="shared" si="107"/>
        <v/>
      </c>
      <c r="O634" t="str">
        <f t="shared" si="108"/>
        <v/>
      </c>
      <c r="P634" t="str">
        <f>IF($A634="","",IF($E634=1,$F634*$O634,PNL!G634))</f>
        <v/>
      </c>
      <c r="T634" t="str">
        <f t="shared" si="109"/>
        <v/>
      </c>
    </row>
    <row r="635" spans="1:20" x14ac:dyDescent="0.45">
      <c r="A635" t="str">
        <f>IF(PNL!A635="","",PNL!A635)</f>
        <v/>
      </c>
      <c r="B635" t="str">
        <f>IF(PNL!B635="","",PNL!B635)</f>
        <v/>
      </c>
      <c r="C635" t="str">
        <f>IF(PNL!C635="","",PNL!C635)</f>
        <v/>
      </c>
      <c r="D635" t="str">
        <f>IF(PNL!D635="","",PNL!D635)</f>
        <v/>
      </c>
      <c r="E635" t="str">
        <f t="shared" si="99"/>
        <v/>
      </c>
      <c r="F635" t="str">
        <f>IF($A635="","",IF($E635=1,SUMIFS(Compta!$F$1:$F$675,Compta!$A$1:$A$675,$A635,Compta!$B$1:$B$675,$B635,Compta!$C$1:$C$675,"2026"),0))</f>
        <v/>
      </c>
      <c r="G635" t="str">
        <f t="shared" si="100"/>
        <v/>
      </c>
      <c r="H635" t="str">
        <f t="shared" si="101"/>
        <v/>
      </c>
      <c r="I635" t="str">
        <f t="shared" si="102"/>
        <v/>
      </c>
      <c r="J635" t="str">
        <f t="shared" si="103"/>
        <v/>
      </c>
      <c r="K635" t="str">
        <f t="shared" si="104"/>
        <v/>
      </c>
      <c r="L635" t="str">
        <f t="shared" si="105"/>
        <v/>
      </c>
      <c r="M635" t="str">
        <f t="shared" si="106"/>
        <v/>
      </c>
      <c r="N635" t="str">
        <f t="shared" si="107"/>
        <v/>
      </c>
      <c r="O635" t="str">
        <f t="shared" si="108"/>
        <v/>
      </c>
      <c r="P635" t="str">
        <f>IF($A635="","",IF($E635=1,$F635*$O635,PNL!G635))</f>
        <v/>
      </c>
      <c r="T635" t="str">
        <f t="shared" si="109"/>
        <v/>
      </c>
    </row>
    <row r="636" spans="1:20" x14ac:dyDescent="0.45">
      <c r="A636" t="str">
        <f>IF(PNL!A636="","",PNL!A636)</f>
        <v/>
      </c>
      <c r="B636" t="str">
        <f>IF(PNL!B636="","",PNL!B636)</f>
        <v/>
      </c>
      <c r="C636" t="str">
        <f>IF(PNL!C636="","",PNL!C636)</f>
        <v/>
      </c>
      <c r="D636" t="str">
        <f>IF(PNL!D636="","",PNL!D636)</f>
        <v/>
      </c>
      <c r="E636" t="str">
        <f t="shared" si="99"/>
        <v/>
      </c>
      <c r="F636" t="str">
        <f>IF($A636="","",IF($E636=1,SUMIFS(Compta!$F$1:$F$675,Compta!$A$1:$A$675,$A636,Compta!$B$1:$B$675,$B636,Compta!$C$1:$C$675,"2026"),0))</f>
        <v/>
      </c>
      <c r="G636" t="str">
        <f t="shared" si="100"/>
        <v/>
      </c>
      <c r="H636" t="str">
        <f t="shared" si="101"/>
        <v/>
      </c>
      <c r="I636" t="str">
        <f t="shared" si="102"/>
        <v/>
      </c>
      <c r="J636" t="str">
        <f t="shared" si="103"/>
        <v/>
      </c>
      <c r="K636" t="str">
        <f t="shared" si="104"/>
        <v/>
      </c>
      <c r="L636" t="str">
        <f t="shared" si="105"/>
        <v/>
      </c>
      <c r="M636" t="str">
        <f t="shared" si="106"/>
        <v/>
      </c>
      <c r="N636" t="str">
        <f t="shared" si="107"/>
        <v/>
      </c>
      <c r="O636" t="str">
        <f t="shared" si="108"/>
        <v/>
      </c>
      <c r="P636" t="str">
        <f>IF($A636="","",IF($E636=1,$F636*$O636,PNL!G636))</f>
        <v/>
      </c>
      <c r="T636" t="str">
        <f t="shared" si="109"/>
        <v/>
      </c>
    </row>
    <row r="637" spans="1:20" x14ac:dyDescent="0.45">
      <c r="A637" t="str">
        <f>IF(PNL!A637="","",PNL!A637)</f>
        <v/>
      </c>
      <c r="B637" t="str">
        <f>IF(PNL!B637="","",PNL!B637)</f>
        <v/>
      </c>
      <c r="C637" t="str">
        <f>IF(PNL!C637="","",PNL!C637)</f>
        <v/>
      </c>
      <c r="D637" t="str">
        <f>IF(PNL!D637="","",PNL!D637)</f>
        <v/>
      </c>
      <c r="E637" t="str">
        <f t="shared" si="99"/>
        <v/>
      </c>
      <c r="F637" t="str">
        <f>IF($A637="","",IF($E637=1,SUMIFS(Compta!$F$1:$F$675,Compta!$A$1:$A$675,$A637,Compta!$B$1:$B$675,$B637,Compta!$C$1:$C$675,"2026"),0))</f>
        <v/>
      </c>
      <c r="G637" t="str">
        <f t="shared" si="100"/>
        <v/>
      </c>
      <c r="H637" t="str">
        <f t="shared" si="101"/>
        <v/>
      </c>
      <c r="I637" t="str">
        <f t="shared" si="102"/>
        <v/>
      </c>
      <c r="J637" t="str">
        <f t="shared" si="103"/>
        <v/>
      </c>
      <c r="K637" t="str">
        <f t="shared" si="104"/>
        <v/>
      </c>
      <c r="L637" t="str">
        <f t="shared" si="105"/>
        <v/>
      </c>
      <c r="M637" t="str">
        <f t="shared" si="106"/>
        <v/>
      </c>
      <c r="N637" t="str">
        <f t="shared" si="107"/>
        <v/>
      </c>
      <c r="O637" t="str">
        <f t="shared" si="108"/>
        <v/>
      </c>
      <c r="P637" t="str">
        <f>IF($A637="","",IF($E637=1,$F637*$O637,PNL!G637))</f>
        <v/>
      </c>
      <c r="T637" t="str">
        <f t="shared" si="109"/>
        <v/>
      </c>
    </row>
    <row r="638" spans="1:20" x14ac:dyDescent="0.45">
      <c r="A638" t="str">
        <f>IF(PNL!A638="","",PNL!A638)</f>
        <v/>
      </c>
      <c r="B638" t="str">
        <f>IF(PNL!B638="","",PNL!B638)</f>
        <v/>
      </c>
      <c r="C638" t="str">
        <f>IF(PNL!C638="","",PNL!C638)</f>
        <v/>
      </c>
      <c r="D638" t="str">
        <f>IF(PNL!D638="","",PNL!D638)</f>
        <v/>
      </c>
      <c r="E638" t="str">
        <f t="shared" si="99"/>
        <v/>
      </c>
      <c r="F638" t="str">
        <f>IF($A638="","",IF($E638=1,SUMIFS(Compta!$F$1:$F$675,Compta!$A$1:$A$675,$A638,Compta!$B$1:$B$675,$B638,Compta!$C$1:$C$675,"2026"),0))</f>
        <v/>
      </c>
      <c r="G638" t="str">
        <f t="shared" si="100"/>
        <v/>
      </c>
      <c r="H638" t="str">
        <f t="shared" si="101"/>
        <v/>
      </c>
      <c r="I638" t="str">
        <f t="shared" si="102"/>
        <v/>
      </c>
      <c r="J638" t="str">
        <f t="shared" si="103"/>
        <v/>
      </c>
      <c r="K638" t="str">
        <f t="shared" si="104"/>
        <v/>
      </c>
      <c r="L638" t="str">
        <f t="shared" si="105"/>
        <v/>
      </c>
      <c r="M638" t="str">
        <f t="shared" si="106"/>
        <v/>
      </c>
      <c r="N638" t="str">
        <f t="shared" si="107"/>
        <v/>
      </c>
      <c r="O638" t="str">
        <f t="shared" si="108"/>
        <v/>
      </c>
      <c r="P638" t="str">
        <f>IF($A638="","",IF($E638=1,$F638*$O638,PNL!G638))</f>
        <v/>
      </c>
      <c r="T638" t="str">
        <f t="shared" si="109"/>
        <v/>
      </c>
    </row>
    <row r="639" spans="1:20" x14ac:dyDescent="0.45">
      <c r="A639" t="str">
        <f>IF(PNL!A639="","",PNL!A639)</f>
        <v/>
      </c>
      <c r="B639" t="str">
        <f>IF(PNL!B639="","",PNL!B639)</f>
        <v/>
      </c>
      <c r="C639" t="str">
        <f>IF(PNL!C639="","",PNL!C639)</f>
        <v/>
      </c>
      <c r="D639" t="str">
        <f>IF(PNL!D639="","",PNL!D639)</f>
        <v/>
      </c>
      <c r="E639" t="str">
        <f t="shared" si="99"/>
        <v/>
      </c>
      <c r="F639" t="str">
        <f>IF($A639="","",IF($E639=1,SUMIFS(Compta!$F$1:$F$675,Compta!$A$1:$A$675,$A639,Compta!$B$1:$B$675,$B639,Compta!$C$1:$C$675,"2026"),0))</f>
        <v/>
      </c>
      <c r="G639" t="str">
        <f t="shared" si="100"/>
        <v/>
      </c>
      <c r="H639" t="str">
        <f t="shared" si="101"/>
        <v/>
      </c>
      <c r="I639" t="str">
        <f t="shared" si="102"/>
        <v/>
      </c>
      <c r="J639" t="str">
        <f t="shared" si="103"/>
        <v/>
      </c>
      <c r="K639" t="str">
        <f t="shared" si="104"/>
        <v/>
      </c>
      <c r="L639" t="str">
        <f t="shared" si="105"/>
        <v/>
      </c>
      <c r="M639" t="str">
        <f t="shared" si="106"/>
        <v/>
      </c>
      <c r="N639" t="str">
        <f t="shared" si="107"/>
        <v/>
      </c>
      <c r="O639" t="str">
        <f t="shared" si="108"/>
        <v/>
      </c>
      <c r="P639" t="str">
        <f>IF($A639="","",IF($E639=1,$F639*$O639,PNL!G639))</f>
        <v/>
      </c>
      <c r="T639" t="str">
        <f t="shared" si="109"/>
        <v/>
      </c>
    </row>
    <row r="640" spans="1:20" x14ac:dyDescent="0.45">
      <c r="A640" t="str">
        <f>IF(PNL!A640="","",PNL!A640)</f>
        <v/>
      </c>
      <c r="B640" t="str">
        <f>IF(PNL!B640="","",PNL!B640)</f>
        <v/>
      </c>
      <c r="C640" t="str">
        <f>IF(PNL!C640="","",PNL!C640)</f>
        <v/>
      </c>
      <c r="D640" t="str">
        <f>IF(PNL!D640="","",PNL!D640)</f>
        <v/>
      </c>
      <c r="E640" t="str">
        <f t="shared" si="99"/>
        <v/>
      </c>
      <c r="F640" t="str">
        <f>IF($A640="","",IF($E640=1,SUMIFS(Compta!$F$1:$F$675,Compta!$A$1:$A$675,$A640,Compta!$B$1:$B$675,$B640,Compta!$C$1:$C$675,"2026"),0))</f>
        <v/>
      </c>
      <c r="G640" t="str">
        <f t="shared" si="100"/>
        <v/>
      </c>
      <c r="H640" t="str">
        <f t="shared" si="101"/>
        <v/>
      </c>
      <c r="I640" t="str">
        <f t="shared" si="102"/>
        <v/>
      </c>
      <c r="J640" t="str">
        <f t="shared" si="103"/>
        <v/>
      </c>
      <c r="K640" t="str">
        <f t="shared" si="104"/>
        <v/>
      </c>
      <c r="L640" t="str">
        <f t="shared" si="105"/>
        <v/>
      </c>
      <c r="M640" t="str">
        <f t="shared" si="106"/>
        <v/>
      </c>
      <c r="N640" t="str">
        <f t="shared" si="107"/>
        <v/>
      </c>
      <c r="O640" t="str">
        <f t="shared" si="108"/>
        <v/>
      </c>
      <c r="P640" t="str">
        <f>IF($A640="","",IF($E640=1,$F640*$O640,PNL!G640))</f>
        <v/>
      </c>
      <c r="T640" t="str">
        <f t="shared" si="109"/>
        <v/>
      </c>
    </row>
    <row r="641" spans="1:20" x14ac:dyDescent="0.45">
      <c r="A641" t="str">
        <f>IF(PNL!A641="","",PNL!A641)</f>
        <v/>
      </c>
      <c r="B641" t="str">
        <f>IF(PNL!B641="","",PNL!B641)</f>
        <v/>
      </c>
      <c r="C641" t="str">
        <f>IF(PNL!C641="","",PNL!C641)</f>
        <v/>
      </c>
      <c r="D641" t="str">
        <f>IF(PNL!D641="","",PNL!D641)</f>
        <v/>
      </c>
      <c r="E641" t="str">
        <f t="shared" si="99"/>
        <v/>
      </c>
      <c r="F641" t="str">
        <f>IF($A641="","",IF($E641=1,SUMIFS(Compta!$F$1:$F$675,Compta!$A$1:$A$675,$A641,Compta!$B$1:$B$675,$B641,Compta!$C$1:$C$675,"2026"),0))</f>
        <v/>
      </c>
      <c r="G641" t="str">
        <f t="shared" si="100"/>
        <v/>
      </c>
      <c r="H641" t="str">
        <f t="shared" si="101"/>
        <v/>
      </c>
      <c r="I641" t="str">
        <f t="shared" si="102"/>
        <v/>
      </c>
      <c r="J641" t="str">
        <f t="shared" si="103"/>
        <v/>
      </c>
      <c r="K641" t="str">
        <f t="shared" si="104"/>
        <v/>
      </c>
      <c r="L641" t="str">
        <f t="shared" si="105"/>
        <v/>
      </c>
      <c r="M641" t="str">
        <f t="shared" si="106"/>
        <v/>
      </c>
      <c r="N641" t="str">
        <f t="shared" si="107"/>
        <v/>
      </c>
      <c r="O641" t="str">
        <f t="shared" si="108"/>
        <v/>
      </c>
      <c r="P641" t="str">
        <f>IF($A641="","",IF($E641=1,$F641*$O641,PNL!G641))</f>
        <v/>
      </c>
      <c r="T641" t="str">
        <f t="shared" si="109"/>
        <v/>
      </c>
    </row>
    <row r="642" spans="1:20" x14ac:dyDescent="0.45">
      <c r="A642" t="str">
        <f>IF(PNL!A642="","",PNL!A642)</f>
        <v/>
      </c>
      <c r="B642" t="str">
        <f>IF(PNL!B642="","",PNL!B642)</f>
        <v/>
      </c>
      <c r="C642" t="str">
        <f>IF(PNL!C642="","",PNL!C642)</f>
        <v/>
      </c>
      <c r="D642" t="str">
        <f>IF(PNL!D642="","",PNL!D642)</f>
        <v/>
      </c>
      <c r="E642" t="str">
        <f t="shared" ref="E642:E705" si="110">IF($A642="","",IF(AND($C642="2027",OR($D642="V01",$D642="V02",$D642="V03")),1,0))</f>
        <v/>
      </c>
      <c r="F642" t="str">
        <f>IF($A642="","",IF($E642=1,SUMIFS(Compta!$F$1:$F$675,Compta!$A$1:$A$675,$A642,Compta!$B$1:$B$675,$B642,Compta!$C$1:$C$675,"2026"),0))</f>
        <v/>
      </c>
      <c r="G642" t="str">
        <f t="shared" ref="G642:G705" si="111">IF($A642="","",IF($D642="V01",cad!$C$23,IF($D642="V02",cad!$D$23,cad!$E$23)))</f>
        <v/>
      </c>
      <c r="H642" t="str">
        <f t="shared" ref="H642:H705" si="112">IF($A642="","",IF($D642="V01",cad!$C$24,IF($D642="V02",cad!$D$24,cad!$E$24)))</f>
        <v/>
      </c>
      <c r="I642" t="str">
        <f t="shared" ref="I642:I705" si="113">IF($A642="","",IF($D642="V01",cad!$C$32,IF($D642="V02",cad!$D$32,cad!$E$32)))</f>
        <v/>
      </c>
      <c r="J642" t="str">
        <f t="shared" ref="J642:J705" si="114">IF($A642="","",IF($D642="V01",cad!$C$33,IF($D642="V02",cad!$D$33,cad!$E$33)))</f>
        <v/>
      </c>
      <c r="K642" t="str">
        <f t="shared" ref="K642:K705" si="115">IF($A642="","",IF($D642="V01",cad!$C$34,IF($D642="V02",cad!$D$34,cad!$E$34)))</f>
        <v/>
      </c>
      <c r="L642" t="str">
        <f t="shared" ref="L642:L705" si="116">IF($A642="","",IF($D642="V01",cad!$C$35,IF($D642="V02",cad!$D$35,cad!$E$35)))</f>
        <v/>
      </c>
      <c r="M642" t="str">
        <f t="shared" ref="M642:M705" si="117">IF($A642="","",IF($D642="V01",cad!$C$36,IF($D642="V02",cad!$D$36,cad!$E$36)))</f>
        <v/>
      </c>
      <c r="N642" t="str">
        <f t="shared" ref="N642:N705" si="118">IF($A642="","",IF($D642="V01",$R$2,IF($D642="V02",$R$3,$R$4)))</f>
        <v/>
      </c>
      <c r="O642" t="str">
        <f t="shared" ref="O642:O705" si="119">IF($A642="","",IF(OR($B642="7062",$B642="706",$B642="708"),$N642,IF($B642="6231",1+$G642,IF($B642="6236",1+$H642,IF(OR($B642="621",$B642="604",$B642="6063"),$N642*(1-$L642),IF(OR($B642="6411",$B642="6413",$B642="6414",$B642="645"),(1+$J642)*(1+$K642),IF(OR($B642="613",$B642="615",$B642="616",$B642="6226",$B642="625",$B642="626",$B642="6281"),(1+$I642)*(1-$L642)*(1+$M642),IF(OR($B642="6331",$B642="63511",$B642="6333"),(1+$I642)*(1-$L642),IF($B642="6811",1+$I642,1)))))))))</f>
        <v/>
      </c>
      <c r="P642" t="str">
        <f>IF($A642="","",IF($E642=1,$F642*$O642,PNL!G642))</f>
        <v/>
      </c>
      <c r="T642" t="str">
        <f t="shared" ref="T642:T705" si="120">IF($A642="","",IF($E642=1,IF(OR($B642="7062",$B642="706",$B642="708"),$P642,IF(AND(LEFT($B642,1)="6",$B642&lt;&gt;"6811"),-$P642,0)),0))</f>
        <v/>
      </c>
    </row>
    <row r="643" spans="1:20" x14ac:dyDescent="0.45">
      <c r="A643" t="str">
        <f>IF(PNL!A643="","",PNL!A643)</f>
        <v/>
      </c>
      <c r="B643" t="str">
        <f>IF(PNL!B643="","",PNL!B643)</f>
        <v/>
      </c>
      <c r="C643" t="str">
        <f>IF(PNL!C643="","",PNL!C643)</f>
        <v/>
      </c>
      <c r="D643" t="str">
        <f>IF(PNL!D643="","",PNL!D643)</f>
        <v/>
      </c>
      <c r="E643" t="str">
        <f t="shared" si="110"/>
        <v/>
      </c>
      <c r="F643" t="str">
        <f>IF($A643="","",IF($E643=1,SUMIFS(Compta!$F$1:$F$675,Compta!$A$1:$A$675,$A643,Compta!$B$1:$B$675,$B643,Compta!$C$1:$C$675,"2026"),0))</f>
        <v/>
      </c>
      <c r="G643" t="str">
        <f t="shared" si="111"/>
        <v/>
      </c>
      <c r="H643" t="str">
        <f t="shared" si="112"/>
        <v/>
      </c>
      <c r="I643" t="str">
        <f t="shared" si="113"/>
        <v/>
      </c>
      <c r="J643" t="str">
        <f t="shared" si="114"/>
        <v/>
      </c>
      <c r="K643" t="str">
        <f t="shared" si="115"/>
        <v/>
      </c>
      <c r="L643" t="str">
        <f t="shared" si="116"/>
        <v/>
      </c>
      <c r="M643" t="str">
        <f t="shared" si="117"/>
        <v/>
      </c>
      <c r="N643" t="str">
        <f t="shared" si="118"/>
        <v/>
      </c>
      <c r="O643" t="str">
        <f t="shared" si="119"/>
        <v/>
      </c>
      <c r="P643" t="str">
        <f>IF($A643="","",IF($E643=1,$F643*$O643,PNL!G643))</f>
        <v/>
      </c>
      <c r="T643" t="str">
        <f t="shared" si="120"/>
        <v/>
      </c>
    </row>
    <row r="644" spans="1:20" x14ac:dyDescent="0.45">
      <c r="A644" t="str">
        <f>IF(PNL!A644="","",PNL!A644)</f>
        <v/>
      </c>
      <c r="B644" t="str">
        <f>IF(PNL!B644="","",PNL!B644)</f>
        <v/>
      </c>
      <c r="C644" t="str">
        <f>IF(PNL!C644="","",PNL!C644)</f>
        <v/>
      </c>
      <c r="D644" t="str">
        <f>IF(PNL!D644="","",PNL!D644)</f>
        <v/>
      </c>
      <c r="E644" t="str">
        <f t="shared" si="110"/>
        <v/>
      </c>
      <c r="F644" t="str">
        <f>IF($A644="","",IF($E644=1,SUMIFS(Compta!$F$1:$F$675,Compta!$A$1:$A$675,$A644,Compta!$B$1:$B$675,$B644,Compta!$C$1:$C$675,"2026"),0))</f>
        <v/>
      </c>
      <c r="G644" t="str">
        <f t="shared" si="111"/>
        <v/>
      </c>
      <c r="H644" t="str">
        <f t="shared" si="112"/>
        <v/>
      </c>
      <c r="I644" t="str">
        <f t="shared" si="113"/>
        <v/>
      </c>
      <c r="J644" t="str">
        <f t="shared" si="114"/>
        <v/>
      </c>
      <c r="K644" t="str">
        <f t="shared" si="115"/>
        <v/>
      </c>
      <c r="L644" t="str">
        <f t="shared" si="116"/>
        <v/>
      </c>
      <c r="M644" t="str">
        <f t="shared" si="117"/>
        <v/>
      </c>
      <c r="N644" t="str">
        <f t="shared" si="118"/>
        <v/>
      </c>
      <c r="O644" t="str">
        <f t="shared" si="119"/>
        <v/>
      </c>
      <c r="P644" t="str">
        <f>IF($A644="","",IF($E644=1,$F644*$O644,PNL!G644))</f>
        <v/>
      </c>
      <c r="T644" t="str">
        <f t="shared" si="120"/>
        <v/>
      </c>
    </row>
    <row r="645" spans="1:20" x14ac:dyDescent="0.45">
      <c r="A645" t="str">
        <f>IF(PNL!A645="","",PNL!A645)</f>
        <v/>
      </c>
      <c r="B645" t="str">
        <f>IF(PNL!B645="","",PNL!B645)</f>
        <v/>
      </c>
      <c r="C645" t="str">
        <f>IF(PNL!C645="","",PNL!C645)</f>
        <v/>
      </c>
      <c r="D645" t="str">
        <f>IF(PNL!D645="","",PNL!D645)</f>
        <v/>
      </c>
      <c r="E645" t="str">
        <f t="shared" si="110"/>
        <v/>
      </c>
      <c r="F645" t="str">
        <f>IF($A645="","",IF($E645=1,SUMIFS(Compta!$F$1:$F$675,Compta!$A$1:$A$675,$A645,Compta!$B$1:$B$675,$B645,Compta!$C$1:$C$675,"2026"),0))</f>
        <v/>
      </c>
      <c r="G645" t="str">
        <f t="shared" si="111"/>
        <v/>
      </c>
      <c r="H645" t="str">
        <f t="shared" si="112"/>
        <v/>
      </c>
      <c r="I645" t="str">
        <f t="shared" si="113"/>
        <v/>
      </c>
      <c r="J645" t="str">
        <f t="shared" si="114"/>
        <v/>
      </c>
      <c r="K645" t="str">
        <f t="shared" si="115"/>
        <v/>
      </c>
      <c r="L645" t="str">
        <f t="shared" si="116"/>
        <v/>
      </c>
      <c r="M645" t="str">
        <f t="shared" si="117"/>
        <v/>
      </c>
      <c r="N645" t="str">
        <f t="shared" si="118"/>
        <v/>
      </c>
      <c r="O645" t="str">
        <f t="shared" si="119"/>
        <v/>
      </c>
      <c r="P645" t="str">
        <f>IF($A645="","",IF($E645=1,$F645*$O645,PNL!G645))</f>
        <v/>
      </c>
      <c r="T645" t="str">
        <f t="shared" si="120"/>
        <v/>
      </c>
    </row>
    <row r="646" spans="1:20" x14ac:dyDescent="0.45">
      <c r="A646" t="str">
        <f>IF(PNL!A646="","",PNL!A646)</f>
        <v/>
      </c>
      <c r="B646" t="str">
        <f>IF(PNL!B646="","",PNL!B646)</f>
        <v/>
      </c>
      <c r="C646" t="str">
        <f>IF(PNL!C646="","",PNL!C646)</f>
        <v/>
      </c>
      <c r="D646" t="str">
        <f>IF(PNL!D646="","",PNL!D646)</f>
        <v/>
      </c>
      <c r="E646" t="str">
        <f t="shared" si="110"/>
        <v/>
      </c>
      <c r="F646" t="str">
        <f>IF($A646="","",IF($E646=1,SUMIFS(Compta!$F$1:$F$675,Compta!$A$1:$A$675,$A646,Compta!$B$1:$B$675,$B646,Compta!$C$1:$C$675,"2026"),0))</f>
        <v/>
      </c>
      <c r="G646" t="str">
        <f t="shared" si="111"/>
        <v/>
      </c>
      <c r="H646" t="str">
        <f t="shared" si="112"/>
        <v/>
      </c>
      <c r="I646" t="str">
        <f t="shared" si="113"/>
        <v/>
      </c>
      <c r="J646" t="str">
        <f t="shared" si="114"/>
        <v/>
      </c>
      <c r="K646" t="str">
        <f t="shared" si="115"/>
        <v/>
      </c>
      <c r="L646" t="str">
        <f t="shared" si="116"/>
        <v/>
      </c>
      <c r="M646" t="str">
        <f t="shared" si="117"/>
        <v/>
      </c>
      <c r="N646" t="str">
        <f t="shared" si="118"/>
        <v/>
      </c>
      <c r="O646" t="str">
        <f t="shared" si="119"/>
        <v/>
      </c>
      <c r="P646" t="str">
        <f>IF($A646="","",IF($E646=1,$F646*$O646,PNL!G646))</f>
        <v/>
      </c>
      <c r="T646" t="str">
        <f t="shared" si="120"/>
        <v/>
      </c>
    </row>
    <row r="647" spans="1:20" x14ac:dyDescent="0.45">
      <c r="A647" t="str">
        <f>IF(PNL!A647="","",PNL!A647)</f>
        <v/>
      </c>
      <c r="B647" t="str">
        <f>IF(PNL!B647="","",PNL!B647)</f>
        <v/>
      </c>
      <c r="C647" t="str">
        <f>IF(PNL!C647="","",PNL!C647)</f>
        <v/>
      </c>
      <c r="D647" t="str">
        <f>IF(PNL!D647="","",PNL!D647)</f>
        <v/>
      </c>
      <c r="E647" t="str">
        <f t="shared" si="110"/>
        <v/>
      </c>
      <c r="F647" t="str">
        <f>IF($A647="","",IF($E647=1,SUMIFS(Compta!$F$1:$F$675,Compta!$A$1:$A$675,$A647,Compta!$B$1:$B$675,$B647,Compta!$C$1:$C$675,"2026"),0))</f>
        <v/>
      </c>
      <c r="G647" t="str">
        <f t="shared" si="111"/>
        <v/>
      </c>
      <c r="H647" t="str">
        <f t="shared" si="112"/>
        <v/>
      </c>
      <c r="I647" t="str">
        <f t="shared" si="113"/>
        <v/>
      </c>
      <c r="J647" t="str">
        <f t="shared" si="114"/>
        <v/>
      </c>
      <c r="K647" t="str">
        <f t="shared" si="115"/>
        <v/>
      </c>
      <c r="L647" t="str">
        <f t="shared" si="116"/>
        <v/>
      </c>
      <c r="M647" t="str">
        <f t="shared" si="117"/>
        <v/>
      </c>
      <c r="N647" t="str">
        <f t="shared" si="118"/>
        <v/>
      </c>
      <c r="O647" t="str">
        <f t="shared" si="119"/>
        <v/>
      </c>
      <c r="P647" t="str">
        <f>IF($A647="","",IF($E647=1,$F647*$O647,PNL!G647))</f>
        <v/>
      </c>
      <c r="T647" t="str">
        <f t="shared" si="120"/>
        <v/>
      </c>
    </row>
    <row r="648" spans="1:20" x14ac:dyDescent="0.45">
      <c r="A648" t="str">
        <f>IF(PNL!A648="","",PNL!A648)</f>
        <v/>
      </c>
      <c r="B648" t="str">
        <f>IF(PNL!B648="","",PNL!B648)</f>
        <v/>
      </c>
      <c r="C648" t="str">
        <f>IF(PNL!C648="","",PNL!C648)</f>
        <v/>
      </c>
      <c r="D648" t="str">
        <f>IF(PNL!D648="","",PNL!D648)</f>
        <v/>
      </c>
      <c r="E648" t="str">
        <f t="shared" si="110"/>
        <v/>
      </c>
      <c r="F648" t="str">
        <f>IF($A648="","",IF($E648=1,SUMIFS(Compta!$F$1:$F$675,Compta!$A$1:$A$675,$A648,Compta!$B$1:$B$675,$B648,Compta!$C$1:$C$675,"2026"),0))</f>
        <v/>
      </c>
      <c r="G648" t="str">
        <f t="shared" si="111"/>
        <v/>
      </c>
      <c r="H648" t="str">
        <f t="shared" si="112"/>
        <v/>
      </c>
      <c r="I648" t="str">
        <f t="shared" si="113"/>
        <v/>
      </c>
      <c r="J648" t="str">
        <f t="shared" si="114"/>
        <v/>
      </c>
      <c r="K648" t="str">
        <f t="shared" si="115"/>
        <v/>
      </c>
      <c r="L648" t="str">
        <f t="shared" si="116"/>
        <v/>
      </c>
      <c r="M648" t="str">
        <f t="shared" si="117"/>
        <v/>
      </c>
      <c r="N648" t="str">
        <f t="shared" si="118"/>
        <v/>
      </c>
      <c r="O648" t="str">
        <f t="shared" si="119"/>
        <v/>
      </c>
      <c r="P648" t="str">
        <f>IF($A648="","",IF($E648=1,$F648*$O648,PNL!G648))</f>
        <v/>
      </c>
      <c r="T648" t="str">
        <f t="shared" si="120"/>
        <v/>
      </c>
    </row>
    <row r="649" spans="1:20" x14ac:dyDescent="0.45">
      <c r="A649" t="str">
        <f>IF(PNL!A649="","",PNL!A649)</f>
        <v/>
      </c>
      <c r="B649" t="str">
        <f>IF(PNL!B649="","",PNL!B649)</f>
        <v/>
      </c>
      <c r="C649" t="str">
        <f>IF(PNL!C649="","",PNL!C649)</f>
        <v/>
      </c>
      <c r="D649" t="str">
        <f>IF(PNL!D649="","",PNL!D649)</f>
        <v/>
      </c>
      <c r="E649" t="str">
        <f t="shared" si="110"/>
        <v/>
      </c>
      <c r="F649" t="str">
        <f>IF($A649="","",IF($E649=1,SUMIFS(Compta!$F$1:$F$675,Compta!$A$1:$A$675,$A649,Compta!$B$1:$B$675,$B649,Compta!$C$1:$C$675,"2026"),0))</f>
        <v/>
      </c>
      <c r="G649" t="str">
        <f t="shared" si="111"/>
        <v/>
      </c>
      <c r="H649" t="str">
        <f t="shared" si="112"/>
        <v/>
      </c>
      <c r="I649" t="str">
        <f t="shared" si="113"/>
        <v/>
      </c>
      <c r="J649" t="str">
        <f t="shared" si="114"/>
        <v/>
      </c>
      <c r="K649" t="str">
        <f t="shared" si="115"/>
        <v/>
      </c>
      <c r="L649" t="str">
        <f t="shared" si="116"/>
        <v/>
      </c>
      <c r="M649" t="str">
        <f t="shared" si="117"/>
        <v/>
      </c>
      <c r="N649" t="str">
        <f t="shared" si="118"/>
        <v/>
      </c>
      <c r="O649" t="str">
        <f t="shared" si="119"/>
        <v/>
      </c>
      <c r="P649" t="str">
        <f>IF($A649="","",IF($E649=1,$F649*$O649,PNL!G649))</f>
        <v/>
      </c>
      <c r="T649" t="str">
        <f t="shared" si="120"/>
        <v/>
      </c>
    </row>
    <row r="650" spans="1:20" x14ac:dyDescent="0.45">
      <c r="A650" t="str">
        <f>IF(PNL!A650="","",PNL!A650)</f>
        <v/>
      </c>
      <c r="B650" t="str">
        <f>IF(PNL!B650="","",PNL!B650)</f>
        <v/>
      </c>
      <c r="C650" t="str">
        <f>IF(PNL!C650="","",PNL!C650)</f>
        <v/>
      </c>
      <c r="D650" t="str">
        <f>IF(PNL!D650="","",PNL!D650)</f>
        <v/>
      </c>
      <c r="E650" t="str">
        <f t="shared" si="110"/>
        <v/>
      </c>
      <c r="F650" t="str">
        <f>IF($A650="","",IF($E650=1,SUMIFS(Compta!$F$1:$F$675,Compta!$A$1:$A$675,$A650,Compta!$B$1:$B$675,$B650,Compta!$C$1:$C$675,"2026"),0))</f>
        <v/>
      </c>
      <c r="G650" t="str">
        <f t="shared" si="111"/>
        <v/>
      </c>
      <c r="H650" t="str">
        <f t="shared" si="112"/>
        <v/>
      </c>
      <c r="I650" t="str">
        <f t="shared" si="113"/>
        <v/>
      </c>
      <c r="J650" t="str">
        <f t="shared" si="114"/>
        <v/>
      </c>
      <c r="K650" t="str">
        <f t="shared" si="115"/>
        <v/>
      </c>
      <c r="L650" t="str">
        <f t="shared" si="116"/>
        <v/>
      </c>
      <c r="M650" t="str">
        <f t="shared" si="117"/>
        <v/>
      </c>
      <c r="N650" t="str">
        <f t="shared" si="118"/>
        <v/>
      </c>
      <c r="O650" t="str">
        <f t="shared" si="119"/>
        <v/>
      </c>
      <c r="P650" t="str">
        <f>IF($A650="","",IF($E650=1,$F650*$O650,PNL!G650))</f>
        <v/>
      </c>
      <c r="T650" t="str">
        <f t="shared" si="120"/>
        <v/>
      </c>
    </row>
    <row r="651" spans="1:20" x14ac:dyDescent="0.45">
      <c r="A651" t="str">
        <f>IF(PNL!A651="","",PNL!A651)</f>
        <v/>
      </c>
      <c r="B651" t="str">
        <f>IF(PNL!B651="","",PNL!B651)</f>
        <v/>
      </c>
      <c r="C651" t="str">
        <f>IF(PNL!C651="","",PNL!C651)</f>
        <v/>
      </c>
      <c r="D651" t="str">
        <f>IF(PNL!D651="","",PNL!D651)</f>
        <v/>
      </c>
      <c r="E651" t="str">
        <f t="shared" si="110"/>
        <v/>
      </c>
      <c r="F651" t="str">
        <f>IF($A651="","",IF($E651=1,SUMIFS(Compta!$F$1:$F$675,Compta!$A$1:$A$675,$A651,Compta!$B$1:$B$675,$B651,Compta!$C$1:$C$675,"2026"),0))</f>
        <v/>
      </c>
      <c r="G651" t="str">
        <f t="shared" si="111"/>
        <v/>
      </c>
      <c r="H651" t="str">
        <f t="shared" si="112"/>
        <v/>
      </c>
      <c r="I651" t="str">
        <f t="shared" si="113"/>
        <v/>
      </c>
      <c r="J651" t="str">
        <f t="shared" si="114"/>
        <v/>
      </c>
      <c r="K651" t="str">
        <f t="shared" si="115"/>
        <v/>
      </c>
      <c r="L651" t="str">
        <f t="shared" si="116"/>
        <v/>
      </c>
      <c r="M651" t="str">
        <f t="shared" si="117"/>
        <v/>
      </c>
      <c r="N651" t="str">
        <f t="shared" si="118"/>
        <v/>
      </c>
      <c r="O651" t="str">
        <f t="shared" si="119"/>
        <v/>
      </c>
      <c r="P651" t="str">
        <f>IF($A651="","",IF($E651=1,$F651*$O651,PNL!G651))</f>
        <v/>
      </c>
      <c r="T651" t="str">
        <f t="shared" si="120"/>
        <v/>
      </c>
    </row>
    <row r="652" spans="1:20" x14ac:dyDescent="0.45">
      <c r="A652" t="str">
        <f>IF(PNL!A652="","",PNL!A652)</f>
        <v/>
      </c>
      <c r="B652" t="str">
        <f>IF(PNL!B652="","",PNL!B652)</f>
        <v/>
      </c>
      <c r="C652" t="str">
        <f>IF(PNL!C652="","",PNL!C652)</f>
        <v/>
      </c>
      <c r="D652" t="str">
        <f>IF(PNL!D652="","",PNL!D652)</f>
        <v/>
      </c>
      <c r="E652" t="str">
        <f t="shared" si="110"/>
        <v/>
      </c>
      <c r="F652" t="str">
        <f>IF($A652="","",IF($E652=1,SUMIFS(Compta!$F$1:$F$675,Compta!$A$1:$A$675,$A652,Compta!$B$1:$B$675,$B652,Compta!$C$1:$C$675,"2026"),0))</f>
        <v/>
      </c>
      <c r="G652" t="str">
        <f t="shared" si="111"/>
        <v/>
      </c>
      <c r="H652" t="str">
        <f t="shared" si="112"/>
        <v/>
      </c>
      <c r="I652" t="str">
        <f t="shared" si="113"/>
        <v/>
      </c>
      <c r="J652" t="str">
        <f t="shared" si="114"/>
        <v/>
      </c>
      <c r="K652" t="str">
        <f t="shared" si="115"/>
        <v/>
      </c>
      <c r="L652" t="str">
        <f t="shared" si="116"/>
        <v/>
      </c>
      <c r="M652" t="str">
        <f t="shared" si="117"/>
        <v/>
      </c>
      <c r="N652" t="str">
        <f t="shared" si="118"/>
        <v/>
      </c>
      <c r="O652" t="str">
        <f t="shared" si="119"/>
        <v/>
      </c>
      <c r="P652" t="str">
        <f>IF($A652="","",IF($E652=1,$F652*$O652,PNL!G652))</f>
        <v/>
      </c>
      <c r="T652" t="str">
        <f t="shared" si="120"/>
        <v/>
      </c>
    </row>
    <row r="653" spans="1:20" x14ac:dyDescent="0.45">
      <c r="A653" t="str">
        <f>IF(PNL!A653="","",PNL!A653)</f>
        <v/>
      </c>
      <c r="B653" t="str">
        <f>IF(PNL!B653="","",PNL!B653)</f>
        <v/>
      </c>
      <c r="C653" t="str">
        <f>IF(PNL!C653="","",PNL!C653)</f>
        <v/>
      </c>
      <c r="D653" t="str">
        <f>IF(PNL!D653="","",PNL!D653)</f>
        <v/>
      </c>
      <c r="E653" t="str">
        <f t="shared" si="110"/>
        <v/>
      </c>
      <c r="F653" t="str">
        <f>IF($A653="","",IF($E653=1,SUMIFS(Compta!$F$1:$F$675,Compta!$A$1:$A$675,$A653,Compta!$B$1:$B$675,$B653,Compta!$C$1:$C$675,"2026"),0))</f>
        <v/>
      </c>
      <c r="G653" t="str">
        <f t="shared" si="111"/>
        <v/>
      </c>
      <c r="H653" t="str">
        <f t="shared" si="112"/>
        <v/>
      </c>
      <c r="I653" t="str">
        <f t="shared" si="113"/>
        <v/>
      </c>
      <c r="J653" t="str">
        <f t="shared" si="114"/>
        <v/>
      </c>
      <c r="K653" t="str">
        <f t="shared" si="115"/>
        <v/>
      </c>
      <c r="L653" t="str">
        <f t="shared" si="116"/>
        <v/>
      </c>
      <c r="M653" t="str">
        <f t="shared" si="117"/>
        <v/>
      </c>
      <c r="N653" t="str">
        <f t="shared" si="118"/>
        <v/>
      </c>
      <c r="O653" t="str">
        <f t="shared" si="119"/>
        <v/>
      </c>
      <c r="P653" t="str">
        <f>IF($A653="","",IF($E653=1,$F653*$O653,PNL!G653))</f>
        <v/>
      </c>
      <c r="T653" t="str">
        <f t="shared" si="120"/>
        <v/>
      </c>
    </row>
    <row r="654" spans="1:20" x14ac:dyDescent="0.45">
      <c r="A654" t="str">
        <f>IF(PNL!A654="","",PNL!A654)</f>
        <v/>
      </c>
      <c r="B654" t="str">
        <f>IF(PNL!B654="","",PNL!B654)</f>
        <v/>
      </c>
      <c r="C654" t="str">
        <f>IF(PNL!C654="","",PNL!C654)</f>
        <v/>
      </c>
      <c r="D654" t="str">
        <f>IF(PNL!D654="","",PNL!D654)</f>
        <v/>
      </c>
      <c r="E654" t="str">
        <f t="shared" si="110"/>
        <v/>
      </c>
      <c r="F654" t="str">
        <f>IF($A654="","",IF($E654=1,SUMIFS(Compta!$F$1:$F$675,Compta!$A$1:$A$675,$A654,Compta!$B$1:$B$675,$B654,Compta!$C$1:$C$675,"2026"),0))</f>
        <v/>
      </c>
      <c r="G654" t="str">
        <f t="shared" si="111"/>
        <v/>
      </c>
      <c r="H654" t="str">
        <f t="shared" si="112"/>
        <v/>
      </c>
      <c r="I654" t="str">
        <f t="shared" si="113"/>
        <v/>
      </c>
      <c r="J654" t="str">
        <f t="shared" si="114"/>
        <v/>
      </c>
      <c r="K654" t="str">
        <f t="shared" si="115"/>
        <v/>
      </c>
      <c r="L654" t="str">
        <f t="shared" si="116"/>
        <v/>
      </c>
      <c r="M654" t="str">
        <f t="shared" si="117"/>
        <v/>
      </c>
      <c r="N654" t="str">
        <f t="shared" si="118"/>
        <v/>
      </c>
      <c r="O654" t="str">
        <f t="shared" si="119"/>
        <v/>
      </c>
      <c r="P654" t="str">
        <f>IF($A654="","",IF($E654=1,$F654*$O654,PNL!G654))</f>
        <v/>
      </c>
      <c r="T654" t="str">
        <f t="shared" si="120"/>
        <v/>
      </c>
    </row>
    <row r="655" spans="1:20" x14ac:dyDescent="0.45">
      <c r="A655" t="str">
        <f>IF(PNL!A655="","",PNL!A655)</f>
        <v/>
      </c>
      <c r="B655" t="str">
        <f>IF(PNL!B655="","",PNL!B655)</f>
        <v/>
      </c>
      <c r="C655" t="str">
        <f>IF(PNL!C655="","",PNL!C655)</f>
        <v/>
      </c>
      <c r="D655" t="str">
        <f>IF(PNL!D655="","",PNL!D655)</f>
        <v/>
      </c>
      <c r="E655" t="str">
        <f t="shared" si="110"/>
        <v/>
      </c>
      <c r="F655" t="str">
        <f>IF($A655="","",IF($E655=1,SUMIFS(Compta!$F$1:$F$675,Compta!$A$1:$A$675,$A655,Compta!$B$1:$B$675,$B655,Compta!$C$1:$C$675,"2026"),0))</f>
        <v/>
      </c>
      <c r="G655" t="str">
        <f t="shared" si="111"/>
        <v/>
      </c>
      <c r="H655" t="str">
        <f t="shared" si="112"/>
        <v/>
      </c>
      <c r="I655" t="str">
        <f t="shared" si="113"/>
        <v/>
      </c>
      <c r="J655" t="str">
        <f t="shared" si="114"/>
        <v/>
      </c>
      <c r="K655" t="str">
        <f t="shared" si="115"/>
        <v/>
      </c>
      <c r="L655" t="str">
        <f t="shared" si="116"/>
        <v/>
      </c>
      <c r="M655" t="str">
        <f t="shared" si="117"/>
        <v/>
      </c>
      <c r="N655" t="str">
        <f t="shared" si="118"/>
        <v/>
      </c>
      <c r="O655" t="str">
        <f t="shared" si="119"/>
        <v/>
      </c>
      <c r="P655" t="str">
        <f>IF($A655="","",IF($E655=1,$F655*$O655,PNL!G655))</f>
        <v/>
      </c>
      <c r="T655" t="str">
        <f t="shared" si="120"/>
        <v/>
      </c>
    </row>
    <row r="656" spans="1:20" x14ac:dyDescent="0.45">
      <c r="A656" t="str">
        <f>IF(PNL!A656="","",PNL!A656)</f>
        <v/>
      </c>
      <c r="B656" t="str">
        <f>IF(PNL!B656="","",PNL!B656)</f>
        <v/>
      </c>
      <c r="C656" t="str">
        <f>IF(PNL!C656="","",PNL!C656)</f>
        <v/>
      </c>
      <c r="D656" t="str">
        <f>IF(PNL!D656="","",PNL!D656)</f>
        <v/>
      </c>
      <c r="E656" t="str">
        <f t="shared" si="110"/>
        <v/>
      </c>
      <c r="F656" t="str">
        <f>IF($A656="","",IF($E656=1,SUMIFS(Compta!$F$1:$F$675,Compta!$A$1:$A$675,$A656,Compta!$B$1:$B$675,$B656,Compta!$C$1:$C$675,"2026"),0))</f>
        <v/>
      </c>
      <c r="G656" t="str">
        <f t="shared" si="111"/>
        <v/>
      </c>
      <c r="H656" t="str">
        <f t="shared" si="112"/>
        <v/>
      </c>
      <c r="I656" t="str">
        <f t="shared" si="113"/>
        <v/>
      </c>
      <c r="J656" t="str">
        <f t="shared" si="114"/>
        <v/>
      </c>
      <c r="K656" t="str">
        <f t="shared" si="115"/>
        <v/>
      </c>
      <c r="L656" t="str">
        <f t="shared" si="116"/>
        <v/>
      </c>
      <c r="M656" t="str">
        <f t="shared" si="117"/>
        <v/>
      </c>
      <c r="N656" t="str">
        <f t="shared" si="118"/>
        <v/>
      </c>
      <c r="O656" t="str">
        <f t="shared" si="119"/>
        <v/>
      </c>
      <c r="P656" t="str">
        <f>IF($A656="","",IF($E656=1,$F656*$O656,PNL!G656))</f>
        <v/>
      </c>
      <c r="T656" t="str">
        <f t="shared" si="120"/>
        <v/>
      </c>
    </row>
    <row r="657" spans="1:20" x14ac:dyDescent="0.45">
      <c r="A657" t="str">
        <f>IF(PNL!A657="","",PNL!A657)</f>
        <v/>
      </c>
      <c r="B657" t="str">
        <f>IF(PNL!B657="","",PNL!B657)</f>
        <v/>
      </c>
      <c r="C657" t="str">
        <f>IF(PNL!C657="","",PNL!C657)</f>
        <v/>
      </c>
      <c r="D657" t="str">
        <f>IF(PNL!D657="","",PNL!D657)</f>
        <v/>
      </c>
      <c r="E657" t="str">
        <f t="shared" si="110"/>
        <v/>
      </c>
      <c r="F657" t="str">
        <f>IF($A657="","",IF($E657=1,SUMIFS(Compta!$F$1:$F$675,Compta!$A$1:$A$675,$A657,Compta!$B$1:$B$675,$B657,Compta!$C$1:$C$675,"2026"),0))</f>
        <v/>
      </c>
      <c r="G657" t="str">
        <f t="shared" si="111"/>
        <v/>
      </c>
      <c r="H657" t="str">
        <f t="shared" si="112"/>
        <v/>
      </c>
      <c r="I657" t="str">
        <f t="shared" si="113"/>
        <v/>
      </c>
      <c r="J657" t="str">
        <f t="shared" si="114"/>
        <v/>
      </c>
      <c r="K657" t="str">
        <f t="shared" si="115"/>
        <v/>
      </c>
      <c r="L657" t="str">
        <f t="shared" si="116"/>
        <v/>
      </c>
      <c r="M657" t="str">
        <f t="shared" si="117"/>
        <v/>
      </c>
      <c r="N657" t="str">
        <f t="shared" si="118"/>
        <v/>
      </c>
      <c r="O657" t="str">
        <f t="shared" si="119"/>
        <v/>
      </c>
      <c r="P657" t="str">
        <f>IF($A657="","",IF($E657=1,$F657*$O657,PNL!G657))</f>
        <v/>
      </c>
      <c r="T657" t="str">
        <f t="shared" si="120"/>
        <v/>
      </c>
    </row>
    <row r="658" spans="1:20" x14ac:dyDescent="0.45">
      <c r="A658" t="str">
        <f>IF(PNL!A658="","",PNL!A658)</f>
        <v/>
      </c>
      <c r="B658" t="str">
        <f>IF(PNL!B658="","",PNL!B658)</f>
        <v/>
      </c>
      <c r="C658" t="str">
        <f>IF(PNL!C658="","",PNL!C658)</f>
        <v/>
      </c>
      <c r="D658" t="str">
        <f>IF(PNL!D658="","",PNL!D658)</f>
        <v/>
      </c>
      <c r="E658" t="str">
        <f t="shared" si="110"/>
        <v/>
      </c>
      <c r="F658" t="str">
        <f>IF($A658="","",IF($E658=1,SUMIFS(Compta!$F$1:$F$675,Compta!$A$1:$A$675,$A658,Compta!$B$1:$B$675,$B658,Compta!$C$1:$C$675,"2026"),0))</f>
        <v/>
      </c>
      <c r="G658" t="str">
        <f t="shared" si="111"/>
        <v/>
      </c>
      <c r="H658" t="str">
        <f t="shared" si="112"/>
        <v/>
      </c>
      <c r="I658" t="str">
        <f t="shared" si="113"/>
        <v/>
      </c>
      <c r="J658" t="str">
        <f t="shared" si="114"/>
        <v/>
      </c>
      <c r="K658" t="str">
        <f t="shared" si="115"/>
        <v/>
      </c>
      <c r="L658" t="str">
        <f t="shared" si="116"/>
        <v/>
      </c>
      <c r="M658" t="str">
        <f t="shared" si="117"/>
        <v/>
      </c>
      <c r="N658" t="str">
        <f t="shared" si="118"/>
        <v/>
      </c>
      <c r="O658" t="str">
        <f t="shared" si="119"/>
        <v/>
      </c>
      <c r="P658" t="str">
        <f>IF($A658="","",IF($E658=1,$F658*$O658,PNL!G658))</f>
        <v/>
      </c>
      <c r="T658" t="str">
        <f t="shared" si="120"/>
        <v/>
      </c>
    </row>
    <row r="659" spans="1:20" x14ac:dyDescent="0.45">
      <c r="A659" t="str">
        <f>IF(PNL!A659="","",PNL!A659)</f>
        <v/>
      </c>
      <c r="B659" t="str">
        <f>IF(PNL!B659="","",PNL!B659)</f>
        <v/>
      </c>
      <c r="C659" t="str">
        <f>IF(PNL!C659="","",PNL!C659)</f>
        <v/>
      </c>
      <c r="D659" t="str">
        <f>IF(PNL!D659="","",PNL!D659)</f>
        <v/>
      </c>
      <c r="E659" t="str">
        <f t="shared" si="110"/>
        <v/>
      </c>
      <c r="F659" t="str">
        <f>IF($A659="","",IF($E659=1,SUMIFS(Compta!$F$1:$F$675,Compta!$A$1:$A$675,$A659,Compta!$B$1:$B$675,$B659,Compta!$C$1:$C$675,"2026"),0))</f>
        <v/>
      </c>
      <c r="G659" t="str">
        <f t="shared" si="111"/>
        <v/>
      </c>
      <c r="H659" t="str">
        <f t="shared" si="112"/>
        <v/>
      </c>
      <c r="I659" t="str">
        <f t="shared" si="113"/>
        <v/>
      </c>
      <c r="J659" t="str">
        <f t="shared" si="114"/>
        <v/>
      </c>
      <c r="K659" t="str">
        <f t="shared" si="115"/>
        <v/>
      </c>
      <c r="L659" t="str">
        <f t="shared" si="116"/>
        <v/>
      </c>
      <c r="M659" t="str">
        <f t="shared" si="117"/>
        <v/>
      </c>
      <c r="N659" t="str">
        <f t="shared" si="118"/>
        <v/>
      </c>
      <c r="O659" t="str">
        <f t="shared" si="119"/>
        <v/>
      </c>
      <c r="P659" t="str">
        <f>IF($A659="","",IF($E659=1,$F659*$O659,PNL!G659))</f>
        <v/>
      </c>
      <c r="T659" t="str">
        <f t="shared" si="120"/>
        <v/>
      </c>
    </row>
    <row r="660" spans="1:20" x14ac:dyDescent="0.45">
      <c r="A660" t="str">
        <f>IF(PNL!A660="","",PNL!A660)</f>
        <v/>
      </c>
      <c r="B660" t="str">
        <f>IF(PNL!B660="","",PNL!B660)</f>
        <v/>
      </c>
      <c r="C660" t="str">
        <f>IF(PNL!C660="","",PNL!C660)</f>
        <v/>
      </c>
      <c r="D660" t="str">
        <f>IF(PNL!D660="","",PNL!D660)</f>
        <v/>
      </c>
      <c r="E660" t="str">
        <f t="shared" si="110"/>
        <v/>
      </c>
      <c r="F660" t="str">
        <f>IF($A660="","",IF($E660=1,SUMIFS(Compta!$F$1:$F$675,Compta!$A$1:$A$675,$A660,Compta!$B$1:$B$675,$B660,Compta!$C$1:$C$675,"2026"),0))</f>
        <v/>
      </c>
      <c r="G660" t="str">
        <f t="shared" si="111"/>
        <v/>
      </c>
      <c r="H660" t="str">
        <f t="shared" si="112"/>
        <v/>
      </c>
      <c r="I660" t="str">
        <f t="shared" si="113"/>
        <v/>
      </c>
      <c r="J660" t="str">
        <f t="shared" si="114"/>
        <v/>
      </c>
      <c r="K660" t="str">
        <f t="shared" si="115"/>
        <v/>
      </c>
      <c r="L660" t="str">
        <f t="shared" si="116"/>
        <v/>
      </c>
      <c r="M660" t="str">
        <f t="shared" si="117"/>
        <v/>
      </c>
      <c r="N660" t="str">
        <f t="shared" si="118"/>
        <v/>
      </c>
      <c r="O660" t="str">
        <f t="shared" si="119"/>
        <v/>
      </c>
      <c r="P660" t="str">
        <f>IF($A660="","",IF($E660=1,$F660*$O660,PNL!G660))</f>
        <v/>
      </c>
      <c r="T660" t="str">
        <f t="shared" si="120"/>
        <v/>
      </c>
    </row>
    <row r="661" spans="1:20" x14ac:dyDescent="0.45">
      <c r="A661" t="str">
        <f>IF(PNL!A661="","",PNL!A661)</f>
        <v/>
      </c>
      <c r="B661" t="str">
        <f>IF(PNL!B661="","",PNL!B661)</f>
        <v/>
      </c>
      <c r="C661" t="str">
        <f>IF(PNL!C661="","",PNL!C661)</f>
        <v/>
      </c>
      <c r="D661" t="str">
        <f>IF(PNL!D661="","",PNL!D661)</f>
        <v/>
      </c>
      <c r="E661" t="str">
        <f t="shared" si="110"/>
        <v/>
      </c>
      <c r="F661" t="str">
        <f>IF($A661="","",IF($E661=1,SUMIFS(Compta!$F$1:$F$675,Compta!$A$1:$A$675,$A661,Compta!$B$1:$B$675,$B661,Compta!$C$1:$C$675,"2026"),0))</f>
        <v/>
      </c>
      <c r="G661" t="str">
        <f t="shared" si="111"/>
        <v/>
      </c>
      <c r="H661" t="str">
        <f t="shared" si="112"/>
        <v/>
      </c>
      <c r="I661" t="str">
        <f t="shared" si="113"/>
        <v/>
      </c>
      <c r="J661" t="str">
        <f t="shared" si="114"/>
        <v/>
      </c>
      <c r="K661" t="str">
        <f t="shared" si="115"/>
        <v/>
      </c>
      <c r="L661" t="str">
        <f t="shared" si="116"/>
        <v/>
      </c>
      <c r="M661" t="str">
        <f t="shared" si="117"/>
        <v/>
      </c>
      <c r="N661" t="str">
        <f t="shared" si="118"/>
        <v/>
      </c>
      <c r="O661" t="str">
        <f t="shared" si="119"/>
        <v/>
      </c>
      <c r="P661" t="str">
        <f>IF($A661="","",IF($E661=1,$F661*$O661,PNL!G661))</f>
        <v/>
      </c>
      <c r="T661" t="str">
        <f t="shared" si="120"/>
        <v/>
      </c>
    </row>
    <row r="662" spans="1:20" x14ac:dyDescent="0.45">
      <c r="A662" t="str">
        <f>IF(PNL!A662="","",PNL!A662)</f>
        <v/>
      </c>
      <c r="B662" t="str">
        <f>IF(PNL!B662="","",PNL!B662)</f>
        <v/>
      </c>
      <c r="C662" t="str">
        <f>IF(PNL!C662="","",PNL!C662)</f>
        <v/>
      </c>
      <c r="D662" t="str">
        <f>IF(PNL!D662="","",PNL!D662)</f>
        <v/>
      </c>
      <c r="E662" t="str">
        <f t="shared" si="110"/>
        <v/>
      </c>
      <c r="F662" t="str">
        <f>IF($A662="","",IF($E662=1,SUMIFS(Compta!$F$1:$F$675,Compta!$A$1:$A$675,$A662,Compta!$B$1:$B$675,$B662,Compta!$C$1:$C$675,"2026"),0))</f>
        <v/>
      </c>
      <c r="G662" t="str">
        <f t="shared" si="111"/>
        <v/>
      </c>
      <c r="H662" t="str">
        <f t="shared" si="112"/>
        <v/>
      </c>
      <c r="I662" t="str">
        <f t="shared" si="113"/>
        <v/>
      </c>
      <c r="J662" t="str">
        <f t="shared" si="114"/>
        <v/>
      </c>
      <c r="K662" t="str">
        <f t="shared" si="115"/>
        <v/>
      </c>
      <c r="L662" t="str">
        <f t="shared" si="116"/>
        <v/>
      </c>
      <c r="M662" t="str">
        <f t="shared" si="117"/>
        <v/>
      </c>
      <c r="N662" t="str">
        <f t="shared" si="118"/>
        <v/>
      </c>
      <c r="O662" t="str">
        <f t="shared" si="119"/>
        <v/>
      </c>
      <c r="P662" t="str">
        <f>IF($A662="","",IF($E662=1,$F662*$O662,PNL!G662))</f>
        <v/>
      </c>
      <c r="T662" t="str">
        <f t="shared" si="120"/>
        <v/>
      </c>
    </row>
    <row r="663" spans="1:20" x14ac:dyDescent="0.45">
      <c r="A663" t="str">
        <f>IF(PNL!A663="","",PNL!A663)</f>
        <v/>
      </c>
      <c r="B663" t="str">
        <f>IF(PNL!B663="","",PNL!B663)</f>
        <v/>
      </c>
      <c r="C663" t="str">
        <f>IF(PNL!C663="","",PNL!C663)</f>
        <v/>
      </c>
      <c r="D663" t="str">
        <f>IF(PNL!D663="","",PNL!D663)</f>
        <v/>
      </c>
      <c r="E663" t="str">
        <f t="shared" si="110"/>
        <v/>
      </c>
      <c r="F663" t="str">
        <f>IF($A663="","",IF($E663=1,SUMIFS(Compta!$F$1:$F$675,Compta!$A$1:$A$675,$A663,Compta!$B$1:$B$675,$B663,Compta!$C$1:$C$675,"2026"),0))</f>
        <v/>
      </c>
      <c r="G663" t="str">
        <f t="shared" si="111"/>
        <v/>
      </c>
      <c r="H663" t="str">
        <f t="shared" si="112"/>
        <v/>
      </c>
      <c r="I663" t="str">
        <f t="shared" si="113"/>
        <v/>
      </c>
      <c r="J663" t="str">
        <f t="shared" si="114"/>
        <v/>
      </c>
      <c r="K663" t="str">
        <f t="shared" si="115"/>
        <v/>
      </c>
      <c r="L663" t="str">
        <f t="shared" si="116"/>
        <v/>
      </c>
      <c r="M663" t="str">
        <f t="shared" si="117"/>
        <v/>
      </c>
      <c r="N663" t="str">
        <f t="shared" si="118"/>
        <v/>
      </c>
      <c r="O663" t="str">
        <f t="shared" si="119"/>
        <v/>
      </c>
      <c r="P663" t="str">
        <f>IF($A663="","",IF($E663=1,$F663*$O663,PNL!G663))</f>
        <v/>
      </c>
      <c r="T663" t="str">
        <f t="shared" si="120"/>
        <v/>
      </c>
    </row>
    <row r="664" spans="1:20" x14ac:dyDescent="0.45">
      <c r="A664" t="str">
        <f>IF(PNL!A664="","",PNL!A664)</f>
        <v/>
      </c>
      <c r="B664" t="str">
        <f>IF(PNL!B664="","",PNL!B664)</f>
        <v/>
      </c>
      <c r="C664" t="str">
        <f>IF(PNL!C664="","",PNL!C664)</f>
        <v/>
      </c>
      <c r="D664" t="str">
        <f>IF(PNL!D664="","",PNL!D664)</f>
        <v/>
      </c>
      <c r="E664" t="str">
        <f t="shared" si="110"/>
        <v/>
      </c>
      <c r="F664" t="str">
        <f>IF($A664="","",IF($E664=1,SUMIFS(Compta!$F$1:$F$675,Compta!$A$1:$A$675,$A664,Compta!$B$1:$B$675,$B664,Compta!$C$1:$C$675,"2026"),0))</f>
        <v/>
      </c>
      <c r="G664" t="str">
        <f t="shared" si="111"/>
        <v/>
      </c>
      <c r="H664" t="str">
        <f t="shared" si="112"/>
        <v/>
      </c>
      <c r="I664" t="str">
        <f t="shared" si="113"/>
        <v/>
      </c>
      <c r="J664" t="str">
        <f t="shared" si="114"/>
        <v/>
      </c>
      <c r="K664" t="str">
        <f t="shared" si="115"/>
        <v/>
      </c>
      <c r="L664" t="str">
        <f t="shared" si="116"/>
        <v/>
      </c>
      <c r="M664" t="str">
        <f t="shared" si="117"/>
        <v/>
      </c>
      <c r="N664" t="str">
        <f t="shared" si="118"/>
        <v/>
      </c>
      <c r="O664" t="str">
        <f t="shared" si="119"/>
        <v/>
      </c>
      <c r="P664" t="str">
        <f>IF($A664="","",IF($E664=1,$F664*$O664,PNL!G664))</f>
        <v/>
      </c>
      <c r="T664" t="str">
        <f t="shared" si="120"/>
        <v/>
      </c>
    </row>
    <row r="665" spans="1:20" x14ac:dyDescent="0.45">
      <c r="A665" t="str">
        <f>IF(PNL!A665="","",PNL!A665)</f>
        <v/>
      </c>
      <c r="B665" t="str">
        <f>IF(PNL!B665="","",PNL!B665)</f>
        <v/>
      </c>
      <c r="C665" t="str">
        <f>IF(PNL!C665="","",PNL!C665)</f>
        <v/>
      </c>
      <c r="D665" t="str">
        <f>IF(PNL!D665="","",PNL!D665)</f>
        <v/>
      </c>
      <c r="E665" t="str">
        <f t="shared" si="110"/>
        <v/>
      </c>
      <c r="F665" t="str">
        <f>IF($A665="","",IF($E665=1,SUMIFS(Compta!$F$1:$F$675,Compta!$A$1:$A$675,$A665,Compta!$B$1:$B$675,$B665,Compta!$C$1:$C$675,"2026"),0))</f>
        <v/>
      </c>
      <c r="G665" t="str">
        <f t="shared" si="111"/>
        <v/>
      </c>
      <c r="H665" t="str">
        <f t="shared" si="112"/>
        <v/>
      </c>
      <c r="I665" t="str">
        <f t="shared" si="113"/>
        <v/>
      </c>
      <c r="J665" t="str">
        <f t="shared" si="114"/>
        <v/>
      </c>
      <c r="K665" t="str">
        <f t="shared" si="115"/>
        <v/>
      </c>
      <c r="L665" t="str">
        <f t="shared" si="116"/>
        <v/>
      </c>
      <c r="M665" t="str">
        <f t="shared" si="117"/>
        <v/>
      </c>
      <c r="N665" t="str">
        <f t="shared" si="118"/>
        <v/>
      </c>
      <c r="O665" t="str">
        <f t="shared" si="119"/>
        <v/>
      </c>
      <c r="P665" t="str">
        <f>IF($A665="","",IF($E665=1,$F665*$O665,PNL!G665))</f>
        <v/>
      </c>
      <c r="T665" t="str">
        <f t="shared" si="120"/>
        <v/>
      </c>
    </row>
    <row r="666" spans="1:20" x14ac:dyDescent="0.45">
      <c r="A666" t="str">
        <f>IF(PNL!A666="","",PNL!A666)</f>
        <v/>
      </c>
      <c r="B666" t="str">
        <f>IF(PNL!B666="","",PNL!B666)</f>
        <v/>
      </c>
      <c r="C666" t="str">
        <f>IF(PNL!C666="","",PNL!C666)</f>
        <v/>
      </c>
      <c r="D666" t="str">
        <f>IF(PNL!D666="","",PNL!D666)</f>
        <v/>
      </c>
      <c r="E666" t="str">
        <f t="shared" si="110"/>
        <v/>
      </c>
      <c r="F666" t="str">
        <f>IF($A666="","",IF($E666=1,SUMIFS(Compta!$F$1:$F$675,Compta!$A$1:$A$675,$A666,Compta!$B$1:$B$675,$B666,Compta!$C$1:$C$675,"2026"),0))</f>
        <v/>
      </c>
      <c r="G666" t="str">
        <f t="shared" si="111"/>
        <v/>
      </c>
      <c r="H666" t="str">
        <f t="shared" si="112"/>
        <v/>
      </c>
      <c r="I666" t="str">
        <f t="shared" si="113"/>
        <v/>
      </c>
      <c r="J666" t="str">
        <f t="shared" si="114"/>
        <v/>
      </c>
      <c r="K666" t="str">
        <f t="shared" si="115"/>
        <v/>
      </c>
      <c r="L666" t="str">
        <f t="shared" si="116"/>
        <v/>
      </c>
      <c r="M666" t="str">
        <f t="shared" si="117"/>
        <v/>
      </c>
      <c r="N666" t="str">
        <f t="shared" si="118"/>
        <v/>
      </c>
      <c r="O666" t="str">
        <f t="shared" si="119"/>
        <v/>
      </c>
      <c r="P666" t="str">
        <f>IF($A666="","",IF($E666=1,$F666*$O666,PNL!G666))</f>
        <v/>
      </c>
      <c r="T666" t="str">
        <f t="shared" si="120"/>
        <v/>
      </c>
    </row>
    <row r="667" spans="1:20" x14ac:dyDescent="0.45">
      <c r="A667" t="str">
        <f>IF(PNL!A667="","",PNL!A667)</f>
        <v/>
      </c>
      <c r="B667" t="str">
        <f>IF(PNL!B667="","",PNL!B667)</f>
        <v/>
      </c>
      <c r="C667" t="str">
        <f>IF(PNL!C667="","",PNL!C667)</f>
        <v/>
      </c>
      <c r="D667" t="str">
        <f>IF(PNL!D667="","",PNL!D667)</f>
        <v/>
      </c>
      <c r="E667" t="str">
        <f t="shared" si="110"/>
        <v/>
      </c>
      <c r="F667" t="str">
        <f>IF($A667="","",IF($E667=1,SUMIFS(Compta!$F$1:$F$675,Compta!$A$1:$A$675,$A667,Compta!$B$1:$B$675,$B667,Compta!$C$1:$C$675,"2026"),0))</f>
        <v/>
      </c>
      <c r="G667" t="str">
        <f t="shared" si="111"/>
        <v/>
      </c>
      <c r="H667" t="str">
        <f t="shared" si="112"/>
        <v/>
      </c>
      <c r="I667" t="str">
        <f t="shared" si="113"/>
        <v/>
      </c>
      <c r="J667" t="str">
        <f t="shared" si="114"/>
        <v/>
      </c>
      <c r="K667" t="str">
        <f t="shared" si="115"/>
        <v/>
      </c>
      <c r="L667" t="str">
        <f t="shared" si="116"/>
        <v/>
      </c>
      <c r="M667" t="str">
        <f t="shared" si="117"/>
        <v/>
      </c>
      <c r="N667" t="str">
        <f t="shared" si="118"/>
        <v/>
      </c>
      <c r="O667" t="str">
        <f t="shared" si="119"/>
        <v/>
      </c>
      <c r="P667" t="str">
        <f>IF($A667="","",IF($E667=1,$F667*$O667,PNL!G667))</f>
        <v/>
      </c>
      <c r="T667" t="str">
        <f t="shared" si="120"/>
        <v/>
      </c>
    </row>
    <row r="668" spans="1:20" x14ac:dyDescent="0.45">
      <c r="A668" t="str">
        <f>IF(PNL!A668="","",PNL!A668)</f>
        <v/>
      </c>
      <c r="B668" t="str">
        <f>IF(PNL!B668="","",PNL!B668)</f>
        <v/>
      </c>
      <c r="C668" t="str">
        <f>IF(PNL!C668="","",PNL!C668)</f>
        <v/>
      </c>
      <c r="D668" t="str">
        <f>IF(PNL!D668="","",PNL!D668)</f>
        <v/>
      </c>
      <c r="E668" t="str">
        <f t="shared" si="110"/>
        <v/>
      </c>
      <c r="F668" t="str">
        <f>IF($A668="","",IF($E668=1,SUMIFS(Compta!$F$1:$F$675,Compta!$A$1:$A$675,$A668,Compta!$B$1:$B$675,$B668,Compta!$C$1:$C$675,"2026"),0))</f>
        <v/>
      </c>
      <c r="G668" t="str">
        <f t="shared" si="111"/>
        <v/>
      </c>
      <c r="H668" t="str">
        <f t="shared" si="112"/>
        <v/>
      </c>
      <c r="I668" t="str">
        <f t="shared" si="113"/>
        <v/>
      </c>
      <c r="J668" t="str">
        <f t="shared" si="114"/>
        <v/>
      </c>
      <c r="K668" t="str">
        <f t="shared" si="115"/>
        <v/>
      </c>
      <c r="L668" t="str">
        <f t="shared" si="116"/>
        <v/>
      </c>
      <c r="M668" t="str">
        <f t="shared" si="117"/>
        <v/>
      </c>
      <c r="N668" t="str">
        <f t="shared" si="118"/>
        <v/>
      </c>
      <c r="O668" t="str">
        <f t="shared" si="119"/>
        <v/>
      </c>
      <c r="P668" t="str">
        <f>IF($A668="","",IF($E668=1,$F668*$O668,PNL!G668))</f>
        <v/>
      </c>
      <c r="T668" t="str">
        <f t="shared" si="120"/>
        <v/>
      </c>
    </row>
    <row r="669" spans="1:20" x14ac:dyDescent="0.45">
      <c r="A669" t="str">
        <f>IF(PNL!A669="","",PNL!A669)</f>
        <v/>
      </c>
      <c r="B669" t="str">
        <f>IF(PNL!B669="","",PNL!B669)</f>
        <v/>
      </c>
      <c r="C669" t="str">
        <f>IF(PNL!C669="","",PNL!C669)</f>
        <v/>
      </c>
      <c r="D669" t="str">
        <f>IF(PNL!D669="","",PNL!D669)</f>
        <v/>
      </c>
      <c r="E669" t="str">
        <f t="shared" si="110"/>
        <v/>
      </c>
      <c r="F669" t="str">
        <f>IF($A669="","",IF($E669=1,SUMIFS(Compta!$F$1:$F$675,Compta!$A$1:$A$675,$A669,Compta!$B$1:$B$675,$B669,Compta!$C$1:$C$675,"2026"),0))</f>
        <v/>
      </c>
      <c r="G669" t="str">
        <f t="shared" si="111"/>
        <v/>
      </c>
      <c r="H669" t="str">
        <f t="shared" si="112"/>
        <v/>
      </c>
      <c r="I669" t="str">
        <f t="shared" si="113"/>
        <v/>
      </c>
      <c r="J669" t="str">
        <f t="shared" si="114"/>
        <v/>
      </c>
      <c r="K669" t="str">
        <f t="shared" si="115"/>
        <v/>
      </c>
      <c r="L669" t="str">
        <f t="shared" si="116"/>
        <v/>
      </c>
      <c r="M669" t="str">
        <f t="shared" si="117"/>
        <v/>
      </c>
      <c r="N669" t="str">
        <f t="shared" si="118"/>
        <v/>
      </c>
      <c r="O669" t="str">
        <f t="shared" si="119"/>
        <v/>
      </c>
      <c r="P669" t="str">
        <f>IF($A669="","",IF($E669=1,$F669*$O669,PNL!G669))</f>
        <v/>
      </c>
      <c r="T669" t="str">
        <f t="shared" si="120"/>
        <v/>
      </c>
    </row>
    <row r="670" spans="1:20" x14ac:dyDescent="0.45">
      <c r="A670" t="str">
        <f>IF(PNL!A670="","",PNL!A670)</f>
        <v/>
      </c>
      <c r="B670" t="str">
        <f>IF(PNL!B670="","",PNL!B670)</f>
        <v/>
      </c>
      <c r="C670" t="str">
        <f>IF(PNL!C670="","",PNL!C670)</f>
        <v/>
      </c>
      <c r="D670" t="str">
        <f>IF(PNL!D670="","",PNL!D670)</f>
        <v/>
      </c>
      <c r="E670" t="str">
        <f t="shared" si="110"/>
        <v/>
      </c>
      <c r="F670" t="str">
        <f>IF($A670="","",IF($E670=1,SUMIFS(Compta!$F$1:$F$675,Compta!$A$1:$A$675,$A670,Compta!$B$1:$B$675,$B670,Compta!$C$1:$C$675,"2026"),0))</f>
        <v/>
      </c>
      <c r="G670" t="str">
        <f t="shared" si="111"/>
        <v/>
      </c>
      <c r="H670" t="str">
        <f t="shared" si="112"/>
        <v/>
      </c>
      <c r="I670" t="str">
        <f t="shared" si="113"/>
        <v/>
      </c>
      <c r="J670" t="str">
        <f t="shared" si="114"/>
        <v/>
      </c>
      <c r="K670" t="str">
        <f t="shared" si="115"/>
        <v/>
      </c>
      <c r="L670" t="str">
        <f t="shared" si="116"/>
        <v/>
      </c>
      <c r="M670" t="str">
        <f t="shared" si="117"/>
        <v/>
      </c>
      <c r="N670" t="str">
        <f t="shared" si="118"/>
        <v/>
      </c>
      <c r="O670" t="str">
        <f t="shared" si="119"/>
        <v/>
      </c>
      <c r="P670" t="str">
        <f>IF($A670="","",IF($E670=1,$F670*$O670,PNL!G670))</f>
        <v/>
      </c>
      <c r="T670" t="str">
        <f t="shared" si="120"/>
        <v/>
      </c>
    </row>
    <row r="671" spans="1:20" x14ac:dyDescent="0.45">
      <c r="A671" t="str">
        <f>IF(PNL!A671="","",PNL!A671)</f>
        <v/>
      </c>
      <c r="B671" t="str">
        <f>IF(PNL!B671="","",PNL!B671)</f>
        <v/>
      </c>
      <c r="C671" t="str">
        <f>IF(PNL!C671="","",PNL!C671)</f>
        <v/>
      </c>
      <c r="D671" t="str">
        <f>IF(PNL!D671="","",PNL!D671)</f>
        <v/>
      </c>
      <c r="E671" t="str">
        <f t="shared" si="110"/>
        <v/>
      </c>
      <c r="F671" t="str">
        <f>IF($A671="","",IF($E671=1,SUMIFS(Compta!$F$1:$F$675,Compta!$A$1:$A$675,$A671,Compta!$B$1:$B$675,$B671,Compta!$C$1:$C$675,"2026"),0))</f>
        <v/>
      </c>
      <c r="G671" t="str">
        <f t="shared" si="111"/>
        <v/>
      </c>
      <c r="H671" t="str">
        <f t="shared" si="112"/>
        <v/>
      </c>
      <c r="I671" t="str">
        <f t="shared" si="113"/>
        <v/>
      </c>
      <c r="J671" t="str">
        <f t="shared" si="114"/>
        <v/>
      </c>
      <c r="K671" t="str">
        <f t="shared" si="115"/>
        <v/>
      </c>
      <c r="L671" t="str">
        <f t="shared" si="116"/>
        <v/>
      </c>
      <c r="M671" t="str">
        <f t="shared" si="117"/>
        <v/>
      </c>
      <c r="N671" t="str">
        <f t="shared" si="118"/>
        <v/>
      </c>
      <c r="O671" t="str">
        <f t="shared" si="119"/>
        <v/>
      </c>
      <c r="P671" t="str">
        <f>IF($A671="","",IF($E671=1,$F671*$O671,PNL!G671))</f>
        <v/>
      </c>
      <c r="T671" t="str">
        <f t="shared" si="120"/>
        <v/>
      </c>
    </row>
    <row r="672" spans="1:20" x14ac:dyDescent="0.45">
      <c r="A672" t="str">
        <f>IF(PNL!A672="","",PNL!A672)</f>
        <v/>
      </c>
      <c r="B672" t="str">
        <f>IF(PNL!B672="","",PNL!B672)</f>
        <v/>
      </c>
      <c r="C672" t="str">
        <f>IF(PNL!C672="","",PNL!C672)</f>
        <v/>
      </c>
      <c r="D672" t="str">
        <f>IF(PNL!D672="","",PNL!D672)</f>
        <v/>
      </c>
      <c r="E672" t="str">
        <f t="shared" si="110"/>
        <v/>
      </c>
      <c r="F672" t="str">
        <f>IF($A672="","",IF($E672=1,SUMIFS(Compta!$F$1:$F$675,Compta!$A$1:$A$675,$A672,Compta!$B$1:$B$675,$B672,Compta!$C$1:$C$675,"2026"),0))</f>
        <v/>
      </c>
      <c r="G672" t="str">
        <f t="shared" si="111"/>
        <v/>
      </c>
      <c r="H672" t="str">
        <f t="shared" si="112"/>
        <v/>
      </c>
      <c r="I672" t="str">
        <f t="shared" si="113"/>
        <v/>
      </c>
      <c r="J672" t="str">
        <f t="shared" si="114"/>
        <v/>
      </c>
      <c r="K672" t="str">
        <f t="shared" si="115"/>
        <v/>
      </c>
      <c r="L672" t="str">
        <f t="shared" si="116"/>
        <v/>
      </c>
      <c r="M672" t="str">
        <f t="shared" si="117"/>
        <v/>
      </c>
      <c r="N672" t="str">
        <f t="shared" si="118"/>
        <v/>
      </c>
      <c r="O672" t="str">
        <f t="shared" si="119"/>
        <v/>
      </c>
      <c r="P672" t="str">
        <f>IF($A672="","",IF($E672=1,$F672*$O672,PNL!G672))</f>
        <v/>
      </c>
      <c r="T672" t="str">
        <f t="shared" si="120"/>
        <v/>
      </c>
    </row>
    <row r="673" spans="1:20" x14ac:dyDescent="0.45">
      <c r="A673" t="str">
        <f>IF(PNL!A673="","",PNL!A673)</f>
        <v/>
      </c>
      <c r="B673" t="str">
        <f>IF(PNL!B673="","",PNL!B673)</f>
        <v/>
      </c>
      <c r="C673" t="str">
        <f>IF(PNL!C673="","",PNL!C673)</f>
        <v/>
      </c>
      <c r="D673" t="str">
        <f>IF(PNL!D673="","",PNL!D673)</f>
        <v/>
      </c>
      <c r="E673" t="str">
        <f t="shared" si="110"/>
        <v/>
      </c>
      <c r="F673" t="str">
        <f>IF($A673="","",IF($E673=1,SUMIFS(Compta!$F$1:$F$675,Compta!$A$1:$A$675,$A673,Compta!$B$1:$B$675,$B673,Compta!$C$1:$C$675,"2026"),0))</f>
        <v/>
      </c>
      <c r="G673" t="str">
        <f t="shared" si="111"/>
        <v/>
      </c>
      <c r="H673" t="str">
        <f t="shared" si="112"/>
        <v/>
      </c>
      <c r="I673" t="str">
        <f t="shared" si="113"/>
        <v/>
      </c>
      <c r="J673" t="str">
        <f t="shared" si="114"/>
        <v/>
      </c>
      <c r="K673" t="str">
        <f t="shared" si="115"/>
        <v/>
      </c>
      <c r="L673" t="str">
        <f t="shared" si="116"/>
        <v/>
      </c>
      <c r="M673" t="str">
        <f t="shared" si="117"/>
        <v/>
      </c>
      <c r="N673" t="str">
        <f t="shared" si="118"/>
        <v/>
      </c>
      <c r="O673" t="str">
        <f t="shared" si="119"/>
        <v/>
      </c>
      <c r="P673" t="str">
        <f>IF($A673="","",IF($E673=1,$F673*$O673,PNL!G673))</f>
        <v/>
      </c>
      <c r="T673" t="str">
        <f t="shared" si="120"/>
        <v/>
      </c>
    </row>
    <row r="674" spans="1:20" x14ac:dyDescent="0.45">
      <c r="A674" t="str">
        <f>IF(PNL!A674="","",PNL!A674)</f>
        <v/>
      </c>
      <c r="B674" t="str">
        <f>IF(PNL!B674="","",PNL!B674)</f>
        <v/>
      </c>
      <c r="C674" t="str">
        <f>IF(PNL!C674="","",PNL!C674)</f>
        <v/>
      </c>
      <c r="D674" t="str">
        <f>IF(PNL!D674="","",PNL!D674)</f>
        <v/>
      </c>
      <c r="E674" t="str">
        <f t="shared" si="110"/>
        <v/>
      </c>
      <c r="F674" t="str">
        <f>IF($A674="","",IF($E674=1,SUMIFS(Compta!$F$1:$F$675,Compta!$A$1:$A$675,$A674,Compta!$B$1:$B$675,$B674,Compta!$C$1:$C$675,"2026"),0))</f>
        <v/>
      </c>
      <c r="G674" t="str">
        <f t="shared" si="111"/>
        <v/>
      </c>
      <c r="H674" t="str">
        <f t="shared" si="112"/>
        <v/>
      </c>
      <c r="I674" t="str">
        <f t="shared" si="113"/>
        <v/>
      </c>
      <c r="J674" t="str">
        <f t="shared" si="114"/>
        <v/>
      </c>
      <c r="K674" t="str">
        <f t="shared" si="115"/>
        <v/>
      </c>
      <c r="L674" t="str">
        <f t="shared" si="116"/>
        <v/>
      </c>
      <c r="M674" t="str">
        <f t="shared" si="117"/>
        <v/>
      </c>
      <c r="N674" t="str">
        <f t="shared" si="118"/>
        <v/>
      </c>
      <c r="O674" t="str">
        <f t="shared" si="119"/>
        <v/>
      </c>
      <c r="P674" t="str">
        <f>IF($A674="","",IF($E674=1,$F674*$O674,PNL!G674))</f>
        <v/>
      </c>
      <c r="T674" t="str">
        <f t="shared" si="120"/>
        <v/>
      </c>
    </row>
    <row r="675" spans="1:20" x14ac:dyDescent="0.45">
      <c r="A675" t="str">
        <f>IF(PNL!A675="","",PNL!A675)</f>
        <v/>
      </c>
      <c r="B675" t="str">
        <f>IF(PNL!B675="","",PNL!B675)</f>
        <v/>
      </c>
      <c r="C675" t="str">
        <f>IF(PNL!C675="","",PNL!C675)</f>
        <v/>
      </c>
      <c r="D675" t="str">
        <f>IF(PNL!D675="","",PNL!D675)</f>
        <v/>
      </c>
      <c r="E675" t="str">
        <f t="shared" si="110"/>
        <v/>
      </c>
      <c r="F675" t="str">
        <f>IF($A675="","",IF($E675=1,SUMIFS(Compta!$F$1:$F$675,Compta!$A$1:$A$675,$A675,Compta!$B$1:$B$675,$B675,Compta!$C$1:$C$675,"2026"),0))</f>
        <v/>
      </c>
      <c r="G675" t="str">
        <f t="shared" si="111"/>
        <v/>
      </c>
      <c r="H675" t="str">
        <f t="shared" si="112"/>
        <v/>
      </c>
      <c r="I675" t="str">
        <f t="shared" si="113"/>
        <v/>
      </c>
      <c r="J675" t="str">
        <f t="shared" si="114"/>
        <v/>
      </c>
      <c r="K675" t="str">
        <f t="shared" si="115"/>
        <v/>
      </c>
      <c r="L675" t="str">
        <f t="shared" si="116"/>
        <v/>
      </c>
      <c r="M675" t="str">
        <f t="shared" si="117"/>
        <v/>
      </c>
      <c r="N675" t="str">
        <f t="shared" si="118"/>
        <v/>
      </c>
      <c r="O675" t="str">
        <f t="shared" si="119"/>
        <v/>
      </c>
      <c r="P675" t="str">
        <f>IF($A675="","",IF($E675=1,$F675*$O675,PNL!G675))</f>
        <v/>
      </c>
      <c r="T675" t="str">
        <f t="shared" si="120"/>
        <v/>
      </c>
    </row>
    <row r="676" spans="1:20" x14ac:dyDescent="0.45">
      <c r="A676" t="str">
        <f>IF(PNL!A676="","",PNL!A676)</f>
        <v/>
      </c>
      <c r="B676" t="str">
        <f>IF(PNL!B676="","",PNL!B676)</f>
        <v/>
      </c>
      <c r="C676" t="str">
        <f>IF(PNL!C676="","",PNL!C676)</f>
        <v/>
      </c>
      <c r="D676" t="str">
        <f>IF(PNL!D676="","",PNL!D676)</f>
        <v/>
      </c>
      <c r="E676" t="str">
        <f t="shared" si="110"/>
        <v/>
      </c>
      <c r="F676" t="str">
        <f>IF($A676="","",IF($E676=1,SUMIFS(Compta!$F$1:$F$675,Compta!$A$1:$A$675,$A676,Compta!$B$1:$B$675,$B676,Compta!$C$1:$C$675,"2026"),0))</f>
        <v/>
      </c>
      <c r="G676" t="str">
        <f t="shared" si="111"/>
        <v/>
      </c>
      <c r="H676" t="str">
        <f t="shared" si="112"/>
        <v/>
      </c>
      <c r="I676" t="str">
        <f t="shared" si="113"/>
        <v/>
      </c>
      <c r="J676" t="str">
        <f t="shared" si="114"/>
        <v/>
      </c>
      <c r="K676" t="str">
        <f t="shared" si="115"/>
        <v/>
      </c>
      <c r="L676" t="str">
        <f t="shared" si="116"/>
        <v/>
      </c>
      <c r="M676" t="str">
        <f t="shared" si="117"/>
        <v/>
      </c>
      <c r="N676" t="str">
        <f t="shared" si="118"/>
        <v/>
      </c>
      <c r="O676" t="str">
        <f t="shared" si="119"/>
        <v/>
      </c>
      <c r="P676" t="str">
        <f>IF($A676="","",IF($E676=1,$F676*$O676,PNL!G676))</f>
        <v/>
      </c>
      <c r="T676" t="str">
        <f t="shared" si="120"/>
        <v/>
      </c>
    </row>
    <row r="677" spans="1:20" x14ac:dyDescent="0.45">
      <c r="A677" t="str">
        <f>IF(PNL!A677="","",PNL!A677)</f>
        <v/>
      </c>
      <c r="B677" t="str">
        <f>IF(PNL!B677="","",PNL!B677)</f>
        <v/>
      </c>
      <c r="C677" t="str">
        <f>IF(PNL!C677="","",PNL!C677)</f>
        <v/>
      </c>
      <c r="D677" t="str">
        <f>IF(PNL!D677="","",PNL!D677)</f>
        <v/>
      </c>
      <c r="E677" t="str">
        <f t="shared" si="110"/>
        <v/>
      </c>
      <c r="F677" t="str">
        <f>IF($A677="","",IF($E677=1,SUMIFS(Compta!$F$1:$F$675,Compta!$A$1:$A$675,$A677,Compta!$B$1:$B$675,$B677,Compta!$C$1:$C$675,"2026"),0))</f>
        <v/>
      </c>
      <c r="G677" t="str">
        <f t="shared" si="111"/>
        <v/>
      </c>
      <c r="H677" t="str">
        <f t="shared" si="112"/>
        <v/>
      </c>
      <c r="I677" t="str">
        <f t="shared" si="113"/>
        <v/>
      </c>
      <c r="J677" t="str">
        <f t="shared" si="114"/>
        <v/>
      </c>
      <c r="K677" t="str">
        <f t="shared" si="115"/>
        <v/>
      </c>
      <c r="L677" t="str">
        <f t="shared" si="116"/>
        <v/>
      </c>
      <c r="M677" t="str">
        <f t="shared" si="117"/>
        <v/>
      </c>
      <c r="N677" t="str">
        <f t="shared" si="118"/>
        <v/>
      </c>
      <c r="O677" t="str">
        <f t="shared" si="119"/>
        <v/>
      </c>
      <c r="P677" t="str">
        <f>IF($A677="","",IF($E677=1,$F677*$O677,PNL!G677))</f>
        <v/>
      </c>
      <c r="T677" t="str">
        <f t="shared" si="120"/>
        <v/>
      </c>
    </row>
    <row r="678" spans="1:20" x14ac:dyDescent="0.45">
      <c r="A678" t="str">
        <f>IF(PNL!A678="","",PNL!A678)</f>
        <v/>
      </c>
      <c r="B678" t="str">
        <f>IF(PNL!B678="","",PNL!B678)</f>
        <v/>
      </c>
      <c r="C678" t="str">
        <f>IF(PNL!C678="","",PNL!C678)</f>
        <v/>
      </c>
      <c r="D678" t="str">
        <f>IF(PNL!D678="","",PNL!D678)</f>
        <v/>
      </c>
      <c r="E678" t="str">
        <f t="shared" si="110"/>
        <v/>
      </c>
      <c r="F678" t="str">
        <f>IF($A678="","",IF($E678=1,SUMIFS(Compta!$F$1:$F$675,Compta!$A$1:$A$675,$A678,Compta!$B$1:$B$675,$B678,Compta!$C$1:$C$675,"2026"),0))</f>
        <v/>
      </c>
      <c r="G678" t="str">
        <f t="shared" si="111"/>
        <v/>
      </c>
      <c r="H678" t="str">
        <f t="shared" si="112"/>
        <v/>
      </c>
      <c r="I678" t="str">
        <f t="shared" si="113"/>
        <v/>
      </c>
      <c r="J678" t="str">
        <f t="shared" si="114"/>
        <v/>
      </c>
      <c r="K678" t="str">
        <f t="shared" si="115"/>
        <v/>
      </c>
      <c r="L678" t="str">
        <f t="shared" si="116"/>
        <v/>
      </c>
      <c r="M678" t="str">
        <f t="shared" si="117"/>
        <v/>
      </c>
      <c r="N678" t="str">
        <f t="shared" si="118"/>
        <v/>
      </c>
      <c r="O678" t="str">
        <f t="shared" si="119"/>
        <v/>
      </c>
      <c r="P678" t="str">
        <f>IF($A678="","",IF($E678=1,$F678*$O678,PNL!G678))</f>
        <v/>
      </c>
      <c r="T678" t="str">
        <f t="shared" si="120"/>
        <v/>
      </c>
    </row>
    <row r="679" spans="1:20" x14ac:dyDescent="0.45">
      <c r="A679" t="str">
        <f>IF(PNL!A679="","",PNL!A679)</f>
        <v/>
      </c>
      <c r="B679" t="str">
        <f>IF(PNL!B679="","",PNL!B679)</f>
        <v/>
      </c>
      <c r="C679" t="str">
        <f>IF(PNL!C679="","",PNL!C679)</f>
        <v/>
      </c>
      <c r="D679" t="str">
        <f>IF(PNL!D679="","",PNL!D679)</f>
        <v/>
      </c>
      <c r="E679" t="str">
        <f t="shared" si="110"/>
        <v/>
      </c>
      <c r="F679" t="str">
        <f>IF($A679="","",IF($E679=1,SUMIFS(Compta!$F$1:$F$675,Compta!$A$1:$A$675,$A679,Compta!$B$1:$B$675,$B679,Compta!$C$1:$C$675,"2026"),0))</f>
        <v/>
      </c>
      <c r="G679" t="str">
        <f t="shared" si="111"/>
        <v/>
      </c>
      <c r="H679" t="str">
        <f t="shared" si="112"/>
        <v/>
      </c>
      <c r="I679" t="str">
        <f t="shared" si="113"/>
        <v/>
      </c>
      <c r="J679" t="str">
        <f t="shared" si="114"/>
        <v/>
      </c>
      <c r="K679" t="str">
        <f t="shared" si="115"/>
        <v/>
      </c>
      <c r="L679" t="str">
        <f t="shared" si="116"/>
        <v/>
      </c>
      <c r="M679" t="str">
        <f t="shared" si="117"/>
        <v/>
      </c>
      <c r="N679" t="str">
        <f t="shared" si="118"/>
        <v/>
      </c>
      <c r="O679" t="str">
        <f t="shared" si="119"/>
        <v/>
      </c>
      <c r="P679" t="str">
        <f>IF($A679="","",IF($E679=1,$F679*$O679,PNL!G679))</f>
        <v/>
      </c>
      <c r="T679" t="str">
        <f t="shared" si="120"/>
        <v/>
      </c>
    </row>
    <row r="680" spans="1:20" x14ac:dyDescent="0.45">
      <c r="A680" t="str">
        <f>IF(PNL!A680="","",PNL!A680)</f>
        <v/>
      </c>
      <c r="B680" t="str">
        <f>IF(PNL!B680="","",PNL!B680)</f>
        <v/>
      </c>
      <c r="C680" t="str">
        <f>IF(PNL!C680="","",PNL!C680)</f>
        <v/>
      </c>
      <c r="D680" t="str">
        <f>IF(PNL!D680="","",PNL!D680)</f>
        <v/>
      </c>
      <c r="E680" t="str">
        <f t="shared" si="110"/>
        <v/>
      </c>
      <c r="F680" t="str">
        <f>IF($A680="","",IF($E680=1,SUMIFS(Compta!$F$1:$F$675,Compta!$A$1:$A$675,$A680,Compta!$B$1:$B$675,$B680,Compta!$C$1:$C$675,"2026"),0))</f>
        <v/>
      </c>
      <c r="G680" t="str">
        <f t="shared" si="111"/>
        <v/>
      </c>
      <c r="H680" t="str">
        <f t="shared" si="112"/>
        <v/>
      </c>
      <c r="I680" t="str">
        <f t="shared" si="113"/>
        <v/>
      </c>
      <c r="J680" t="str">
        <f t="shared" si="114"/>
        <v/>
      </c>
      <c r="K680" t="str">
        <f t="shared" si="115"/>
        <v/>
      </c>
      <c r="L680" t="str">
        <f t="shared" si="116"/>
        <v/>
      </c>
      <c r="M680" t="str">
        <f t="shared" si="117"/>
        <v/>
      </c>
      <c r="N680" t="str">
        <f t="shared" si="118"/>
        <v/>
      </c>
      <c r="O680" t="str">
        <f t="shared" si="119"/>
        <v/>
      </c>
      <c r="P680" t="str">
        <f>IF($A680="","",IF($E680=1,$F680*$O680,PNL!G680))</f>
        <v/>
      </c>
      <c r="T680" t="str">
        <f t="shared" si="120"/>
        <v/>
      </c>
    </row>
    <row r="681" spans="1:20" x14ac:dyDescent="0.45">
      <c r="A681" t="str">
        <f>IF(PNL!A681="","",PNL!A681)</f>
        <v/>
      </c>
      <c r="B681" t="str">
        <f>IF(PNL!B681="","",PNL!B681)</f>
        <v/>
      </c>
      <c r="C681" t="str">
        <f>IF(PNL!C681="","",PNL!C681)</f>
        <v/>
      </c>
      <c r="D681" t="str">
        <f>IF(PNL!D681="","",PNL!D681)</f>
        <v/>
      </c>
      <c r="E681" t="str">
        <f t="shared" si="110"/>
        <v/>
      </c>
      <c r="F681" t="str">
        <f>IF($A681="","",IF($E681=1,SUMIFS(Compta!$F$1:$F$675,Compta!$A$1:$A$675,$A681,Compta!$B$1:$B$675,$B681,Compta!$C$1:$C$675,"2026"),0))</f>
        <v/>
      </c>
      <c r="G681" t="str">
        <f t="shared" si="111"/>
        <v/>
      </c>
      <c r="H681" t="str">
        <f t="shared" si="112"/>
        <v/>
      </c>
      <c r="I681" t="str">
        <f t="shared" si="113"/>
        <v/>
      </c>
      <c r="J681" t="str">
        <f t="shared" si="114"/>
        <v/>
      </c>
      <c r="K681" t="str">
        <f t="shared" si="115"/>
        <v/>
      </c>
      <c r="L681" t="str">
        <f t="shared" si="116"/>
        <v/>
      </c>
      <c r="M681" t="str">
        <f t="shared" si="117"/>
        <v/>
      </c>
      <c r="N681" t="str">
        <f t="shared" si="118"/>
        <v/>
      </c>
      <c r="O681" t="str">
        <f t="shared" si="119"/>
        <v/>
      </c>
      <c r="P681" t="str">
        <f>IF($A681="","",IF($E681=1,$F681*$O681,PNL!G681))</f>
        <v/>
      </c>
      <c r="T681" t="str">
        <f t="shared" si="120"/>
        <v/>
      </c>
    </row>
    <row r="682" spans="1:20" x14ac:dyDescent="0.45">
      <c r="A682" t="str">
        <f>IF(PNL!A682="","",PNL!A682)</f>
        <v/>
      </c>
      <c r="B682" t="str">
        <f>IF(PNL!B682="","",PNL!B682)</f>
        <v/>
      </c>
      <c r="C682" t="str">
        <f>IF(PNL!C682="","",PNL!C682)</f>
        <v/>
      </c>
      <c r="D682" t="str">
        <f>IF(PNL!D682="","",PNL!D682)</f>
        <v/>
      </c>
      <c r="E682" t="str">
        <f t="shared" si="110"/>
        <v/>
      </c>
      <c r="F682" t="str">
        <f>IF($A682="","",IF($E682=1,SUMIFS(Compta!$F$1:$F$675,Compta!$A$1:$A$675,$A682,Compta!$B$1:$B$675,$B682,Compta!$C$1:$C$675,"2026"),0))</f>
        <v/>
      </c>
      <c r="G682" t="str">
        <f t="shared" si="111"/>
        <v/>
      </c>
      <c r="H682" t="str">
        <f t="shared" si="112"/>
        <v/>
      </c>
      <c r="I682" t="str">
        <f t="shared" si="113"/>
        <v/>
      </c>
      <c r="J682" t="str">
        <f t="shared" si="114"/>
        <v/>
      </c>
      <c r="K682" t="str">
        <f t="shared" si="115"/>
        <v/>
      </c>
      <c r="L682" t="str">
        <f t="shared" si="116"/>
        <v/>
      </c>
      <c r="M682" t="str">
        <f t="shared" si="117"/>
        <v/>
      </c>
      <c r="N682" t="str">
        <f t="shared" si="118"/>
        <v/>
      </c>
      <c r="O682" t="str">
        <f t="shared" si="119"/>
        <v/>
      </c>
      <c r="P682" t="str">
        <f>IF($A682="","",IF($E682=1,$F682*$O682,PNL!G682))</f>
        <v/>
      </c>
      <c r="T682" t="str">
        <f t="shared" si="120"/>
        <v/>
      </c>
    </row>
    <row r="683" spans="1:20" x14ac:dyDescent="0.45">
      <c r="A683" t="str">
        <f>IF(PNL!A683="","",PNL!A683)</f>
        <v/>
      </c>
      <c r="B683" t="str">
        <f>IF(PNL!B683="","",PNL!B683)</f>
        <v/>
      </c>
      <c r="C683" t="str">
        <f>IF(PNL!C683="","",PNL!C683)</f>
        <v/>
      </c>
      <c r="D683" t="str">
        <f>IF(PNL!D683="","",PNL!D683)</f>
        <v/>
      </c>
      <c r="E683" t="str">
        <f t="shared" si="110"/>
        <v/>
      </c>
      <c r="F683" t="str">
        <f>IF($A683="","",IF($E683=1,SUMIFS(Compta!$F$1:$F$675,Compta!$A$1:$A$675,$A683,Compta!$B$1:$B$675,$B683,Compta!$C$1:$C$675,"2026"),0))</f>
        <v/>
      </c>
      <c r="G683" t="str">
        <f t="shared" si="111"/>
        <v/>
      </c>
      <c r="H683" t="str">
        <f t="shared" si="112"/>
        <v/>
      </c>
      <c r="I683" t="str">
        <f t="shared" si="113"/>
        <v/>
      </c>
      <c r="J683" t="str">
        <f t="shared" si="114"/>
        <v/>
      </c>
      <c r="K683" t="str">
        <f t="shared" si="115"/>
        <v/>
      </c>
      <c r="L683" t="str">
        <f t="shared" si="116"/>
        <v/>
      </c>
      <c r="M683" t="str">
        <f t="shared" si="117"/>
        <v/>
      </c>
      <c r="N683" t="str">
        <f t="shared" si="118"/>
        <v/>
      </c>
      <c r="O683" t="str">
        <f t="shared" si="119"/>
        <v/>
      </c>
      <c r="P683" t="str">
        <f>IF($A683="","",IF($E683=1,$F683*$O683,PNL!G683))</f>
        <v/>
      </c>
      <c r="T683" t="str">
        <f t="shared" si="120"/>
        <v/>
      </c>
    </row>
    <row r="684" spans="1:20" x14ac:dyDescent="0.45">
      <c r="A684" t="str">
        <f>IF(PNL!A684="","",PNL!A684)</f>
        <v/>
      </c>
      <c r="B684" t="str">
        <f>IF(PNL!B684="","",PNL!B684)</f>
        <v/>
      </c>
      <c r="C684" t="str">
        <f>IF(PNL!C684="","",PNL!C684)</f>
        <v/>
      </c>
      <c r="D684" t="str">
        <f>IF(PNL!D684="","",PNL!D684)</f>
        <v/>
      </c>
      <c r="E684" t="str">
        <f t="shared" si="110"/>
        <v/>
      </c>
      <c r="F684" t="str">
        <f>IF($A684="","",IF($E684=1,SUMIFS(Compta!$F$1:$F$675,Compta!$A$1:$A$675,$A684,Compta!$B$1:$B$675,$B684,Compta!$C$1:$C$675,"2026"),0))</f>
        <v/>
      </c>
      <c r="G684" t="str">
        <f t="shared" si="111"/>
        <v/>
      </c>
      <c r="H684" t="str">
        <f t="shared" si="112"/>
        <v/>
      </c>
      <c r="I684" t="str">
        <f t="shared" si="113"/>
        <v/>
      </c>
      <c r="J684" t="str">
        <f t="shared" si="114"/>
        <v/>
      </c>
      <c r="K684" t="str">
        <f t="shared" si="115"/>
        <v/>
      </c>
      <c r="L684" t="str">
        <f t="shared" si="116"/>
        <v/>
      </c>
      <c r="M684" t="str">
        <f t="shared" si="117"/>
        <v/>
      </c>
      <c r="N684" t="str">
        <f t="shared" si="118"/>
        <v/>
      </c>
      <c r="O684" t="str">
        <f t="shared" si="119"/>
        <v/>
      </c>
      <c r="P684" t="str">
        <f>IF($A684="","",IF($E684=1,$F684*$O684,PNL!G684))</f>
        <v/>
      </c>
      <c r="T684" t="str">
        <f t="shared" si="120"/>
        <v/>
      </c>
    </row>
    <row r="685" spans="1:20" x14ac:dyDescent="0.45">
      <c r="A685" t="str">
        <f>IF(PNL!A685="","",PNL!A685)</f>
        <v/>
      </c>
      <c r="B685" t="str">
        <f>IF(PNL!B685="","",PNL!B685)</f>
        <v/>
      </c>
      <c r="C685" t="str">
        <f>IF(PNL!C685="","",PNL!C685)</f>
        <v/>
      </c>
      <c r="D685" t="str">
        <f>IF(PNL!D685="","",PNL!D685)</f>
        <v/>
      </c>
      <c r="E685" t="str">
        <f t="shared" si="110"/>
        <v/>
      </c>
      <c r="F685" t="str">
        <f>IF($A685="","",IF($E685=1,SUMIFS(Compta!$F$1:$F$675,Compta!$A$1:$A$675,$A685,Compta!$B$1:$B$675,$B685,Compta!$C$1:$C$675,"2026"),0))</f>
        <v/>
      </c>
      <c r="G685" t="str">
        <f t="shared" si="111"/>
        <v/>
      </c>
      <c r="H685" t="str">
        <f t="shared" si="112"/>
        <v/>
      </c>
      <c r="I685" t="str">
        <f t="shared" si="113"/>
        <v/>
      </c>
      <c r="J685" t="str">
        <f t="shared" si="114"/>
        <v/>
      </c>
      <c r="K685" t="str">
        <f t="shared" si="115"/>
        <v/>
      </c>
      <c r="L685" t="str">
        <f t="shared" si="116"/>
        <v/>
      </c>
      <c r="M685" t="str">
        <f t="shared" si="117"/>
        <v/>
      </c>
      <c r="N685" t="str">
        <f t="shared" si="118"/>
        <v/>
      </c>
      <c r="O685" t="str">
        <f t="shared" si="119"/>
        <v/>
      </c>
      <c r="P685" t="str">
        <f>IF($A685="","",IF($E685=1,$F685*$O685,PNL!G685))</f>
        <v/>
      </c>
      <c r="T685" t="str">
        <f t="shared" si="120"/>
        <v/>
      </c>
    </row>
    <row r="686" spans="1:20" x14ac:dyDescent="0.45">
      <c r="A686" t="str">
        <f>IF(PNL!A686="","",PNL!A686)</f>
        <v/>
      </c>
      <c r="B686" t="str">
        <f>IF(PNL!B686="","",PNL!B686)</f>
        <v/>
      </c>
      <c r="C686" t="str">
        <f>IF(PNL!C686="","",PNL!C686)</f>
        <v/>
      </c>
      <c r="D686" t="str">
        <f>IF(PNL!D686="","",PNL!D686)</f>
        <v/>
      </c>
      <c r="E686" t="str">
        <f t="shared" si="110"/>
        <v/>
      </c>
      <c r="F686" t="str">
        <f>IF($A686="","",IF($E686=1,SUMIFS(Compta!$F$1:$F$675,Compta!$A$1:$A$675,$A686,Compta!$B$1:$B$675,$B686,Compta!$C$1:$C$675,"2026"),0))</f>
        <v/>
      </c>
      <c r="G686" t="str">
        <f t="shared" si="111"/>
        <v/>
      </c>
      <c r="H686" t="str">
        <f t="shared" si="112"/>
        <v/>
      </c>
      <c r="I686" t="str">
        <f t="shared" si="113"/>
        <v/>
      </c>
      <c r="J686" t="str">
        <f t="shared" si="114"/>
        <v/>
      </c>
      <c r="K686" t="str">
        <f t="shared" si="115"/>
        <v/>
      </c>
      <c r="L686" t="str">
        <f t="shared" si="116"/>
        <v/>
      </c>
      <c r="M686" t="str">
        <f t="shared" si="117"/>
        <v/>
      </c>
      <c r="N686" t="str">
        <f t="shared" si="118"/>
        <v/>
      </c>
      <c r="O686" t="str">
        <f t="shared" si="119"/>
        <v/>
      </c>
      <c r="P686" t="str">
        <f>IF($A686="","",IF($E686=1,$F686*$O686,PNL!G686))</f>
        <v/>
      </c>
      <c r="T686" t="str">
        <f t="shared" si="120"/>
        <v/>
      </c>
    </row>
    <row r="687" spans="1:20" x14ac:dyDescent="0.45">
      <c r="A687" t="str">
        <f>IF(PNL!A687="","",PNL!A687)</f>
        <v/>
      </c>
      <c r="B687" t="str">
        <f>IF(PNL!B687="","",PNL!B687)</f>
        <v/>
      </c>
      <c r="C687" t="str">
        <f>IF(PNL!C687="","",PNL!C687)</f>
        <v/>
      </c>
      <c r="D687" t="str">
        <f>IF(PNL!D687="","",PNL!D687)</f>
        <v/>
      </c>
      <c r="E687" t="str">
        <f t="shared" si="110"/>
        <v/>
      </c>
      <c r="F687" t="str">
        <f>IF($A687="","",IF($E687=1,SUMIFS(Compta!$F$1:$F$675,Compta!$A$1:$A$675,$A687,Compta!$B$1:$B$675,$B687,Compta!$C$1:$C$675,"2026"),0))</f>
        <v/>
      </c>
      <c r="G687" t="str">
        <f t="shared" si="111"/>
        <v/>
      </c>
      <c r="H687" t="str">
        <f t="shared" si="112"/>
        <v/>
      </c>
      <c r="I687" t="str">
        <f t="shared" si="113"/>
        <v/>
      </c>
      <c r="J687" t="str">
        <f t="shared" si="114"/>
        <v/>
      </c>
      <c r="K687" t="str">
        <f t="shared" si="115"/>
        <v/>
      </c>
      <c r="L687" t="str">
        <f t="shared" si="116"/>
        <v/>
      </c>
      <c r="M687" t="str">
        <f t="shared" si="117"/>
        <v/>
      </c>
      <c r="N687" t="str">
        <f t="shared" si="118"/>
        <v/>
      </c>
      <c r="O687" t="str">
        <f t="shared" si="119"/>
        <v/>
      </c>
      <c r="P687" t="str">
        <f>IF($A687="","",IF($E687=1,$F687*$O687,PNL!G687))</f>
        <v/>
      </c>
      <c r="T687" t="str">
        <f t="shared" si="120"/>
        <v/>
      </c>
    </row>
    <row r="688" spans="1:20" x14ac:dyDescent="0.45">
      <c r="A688" t="str">
        <f>IF(PNL!A688="","",PNL!A688)</f>
        <v/>
      </c>
      <c r="B688" t="str">
        <f>IF(PNL!B688="","",PNL!B688)</f>
        <v/>
      </c>
      <c r="C688" t="str">
        <f>IF(PNL!C688="","",PNL!C688)</f>
        <v/>
      </c>
      <c r="D688" t="str">
        <f>IF(PNL!D688="","",PNL!D688)</f>
        <v/>
      </c>
      <c r="E688" t="str">
        <f t="shared" si="110"/>
        <v/>
      </c>
      <c r="F688" t="str">
        <f>IF($A688="","",IF($E688=1,SUMIFS(Compta!$F$1:$F$675,Compta!$A$1:$A$675,$A688,Compta!$B$1:$B$675,$B688,Compta!$C$1:$C$675,"2026"),0))</f>
        <v/>
      </c>
      <c r="G688" t="str">
        <f t="shared" si="111"/>
        <v/>
      </c>
      <c r="H688" t="str">
        <f t="shared" si="112"/>
        <v/>
      </c>
      <c r="I688" t="str">
        <f t="shared" si="113"/>
        <v/>
      </c>
      <c r="J688" t="str">
        <f t="shared" si="114"/>
        <v/>
      </c>
      <c r="K688" t="str">
        <f t="shared" si="115"/>
        <v/>
      </c>
      <c r="L688" t="str">
        <f t="shared" si="116"/>
        <v/>
      </c>
      <c r="M688" t="str">
        <f t="shared" si="117"/>
        <v/>
      </c>
      <c r="N688" t="str">
        <f t="shared" si="118"/>
        <v/>
      </c>
      <c r="O688" t="str">
        <f t="shared" si="119"/>
        <v/>
      </c>
      <c r="P688" t="str">
        <f>IF($A688="","",IF($E688=1,$F688*$O688,PNL!G688))</f>
        <v/>
      </c>
      <c r="T688" t="str">
        <f t="shared" si="120"/>
        <v/>
      </c>
    </row>
    <row r="689" spans="1:20" x14ac:dyDescent="0.45">
      <c r="A689" t="str">
        <f>IF(PNL!A689="","",PNL!A689)</f>
        <v/>
      </c>
      <c r="B689" t="str">
        <f>IF(PNL!B689="","",PNL!B689)</f>
        <v/>
      </c>
      <c r="C689" t="str">
        <f>IF(PNL!C689="","",PNL!C689)</f>
        <v/>
      </c>
      <c r="D689" t="str">
        <f>IF(PNL!D689="","",PNL!D689)</f>
        <v/>
      </c>
      <c r="E689" t="str">
        <f t="shared" si="110"/>
        <v/>
      </c>
      <c r="F689" t="str">
        <f>IF($A689="","",IF($E689=1,SUMIFS(Compta!$F$1:$F$675,Compta!$A$1:$A$675,$A689,Compta!$B$1:$B$675,$B689,Compta!$C$1:$C$675,"2026"),0))</f>
        <v/>
      </c>
      <c r="G689" t="str">
        <f t="shared" si="111"/>
        <v/>
      </c>
      <c r="H689" t="str">
        <f t="shared" si="112"/>
        <v/>
      </c>
      <c r="I689" t="str">
        <f t="shared" si="113"/>
        <v/>
      </c>
      <c r="J689" t="str">
        <f t="shared" si="114"/>
        <v/>
      </c>
      <c r="K689" t="str">
        <f t="shared" si="115"/>
        <v/>
      </c>
      <c r="L689" t="str">
        <f t="shared" si="116"/>
        <v/>
      </c>
      <c r="M689" t="str">
        <f t="shared" si="117"/>
        <v/>
      </c>
      <c r="N689" t="str">
        <f t="shared" si="118"/>
        <v/>
      </c>
      <c r="O689" t="str">
        <f t="shared" si="119"/>
        <v/>
      </c>
      <c r="P689" t="str">
        <f>IF($A689="","",IF($E689=1,$F689*$O689,PNL!G689))</f>
        <v/>
      </c>
      <c r="T689" t="str">
        <f t="shared" si="120"/>
        <v/>
      </c>
    </row>
    <row r="690" spans="1:20" x14ac:dyDescent="0.45">
      <c r="A690" t="str">
        <f>IF(PNL!A690="","",PNL!A690)</f>
        <v/>
      </c>
      <c r="B690" t="str">
        <f>IF(PNL!B690="","",PNL!B690)</f>
        <v/>
      </c>
      <c r="C690" t="str">
        <f>IF(PNL!C690="","",PNL!C690)</f>
        <v/>
      </c>
      <c r="D690" t="str">
        <f>IF(PNL!D690="","",PNL!D690)</f>
        <v/>
      </c>
      <c r="E690" t="str">
        <f t="shared" si="110"/>
        <v/>
      </c>
      <c r="F690" t="str">
        <f>IF($A690="","",IF($E690=1,SUMIFS(Compta!$F$1:$F$675,Compta!$A$1:$A$675,$A690,Compta!$B$1:$B$675,$B690,Compta!$C$1:$C$675,"2026"),0))</f>
        <v/>
      </c>
      <c r="G690" t="str">
        <f t="shared" si="111"/>
        <v/>
      </c>
      <c r="H690" t="str">
        <f t="shared" si="112"/>
        <v/>
      </c>
      <c r="I690" t="str">
        <f t="shared" si="113"/>
        <v/>
      </c>
      <c r="J690" t="str">
        <f t="shared" si="114"/>
        <v/>
      </c>
      <c r="K690" t="str">
        <f t="shared" si="115"/>
        <v/>
      </c>
      <c r="L690" t="str">
        <f t="shared" si="116"/>
        <v/>
      </c>
      <c r="M690" t="str">
        <f t="shared" si="117"/>
        <v/>
      </c>
      <c r="N690" t="str">
        <f t="shared" si="118"/>
        <v/>
      </c>
      <c r="O690" t="str">
        <f t="shared" si="119"/>
        <v/>
      </c>
      <c r="P690" t="str">
        <f>IF($A690="","",IF($E690=1,$F690*$O690,PNL!G690))</f>
        <v/>
      </c>
      <c r="T690" t="str">
        <f t="shared" si="120"/>
        <v/>
      </c>
    </row>
    <row r="691" spans="1:20" x14ac:dyDescent="0.45">
      <c r="A691" t="str">
        <f>IF(PNL!A691="","",PNL!A691)</f>
        <v/>
      </c>
      <c r="B691" t="str">
        <f>IF(PNL!B691="","",PNL!B691)</f>
        <v/>
      </c>
      <c r="C691" t="str">
        <f>IF(PNL!C691="","",PNL!C691)</f>
        <v/>
      </c>
      <c r="D691" t="str">
        <f>IF(PNL!D691="","",PNL!D691)</f>
        <v/>
      </c>
      <c r="E691" t="str">
        <f t="shared" si="110"/>
        <v/>
      </c>
      <c r="F691" t="str">
        <f>IF($A691="","",IF($E691=1,SUMIFS(Compta!$F$1:$F$675,Compta!$A$1:$A$675,$A691,Compta!$B$1:$B$675,$B691,Compta!$C$1:$C$675,"2026"),0))</f>
        <v/>
      </c>
      <c r="G691" t="str">
        <f t="shared" si="111"/>
        <v/>
      </c>
      <c r="H691" t="str">
        <f t="shared" si="112"/>
        <v/>
      </c>
      <c r="I691" t="str">
        <f t="shared" si="113"/>
        <v/>
      </c>
      <c r="J691" t="str">
        <f t="shared" si="114"/>
        <v/>
      </c>
      <c r="K691" t="str">
        <f t="shared" si="115"/>
        <v/>
      </c>
      <c r="L691" t="str">
        <f t="shared" si="116"/>
        <v/>
      </c>
      <c r="M691" t="str">
        <f t="shared" si="117"/>
        <v/>
      </c>
      <c r="N691" t="str">
        <f t="shared" si="118"/>
        <v/>
      </c>
      <c r="O691" t="str">
        <f t="shared" si="119"/>
        <v/>
      </c>
      <c r="P691" t="str">
        <f>IF($A691="","",IF($E691=1,$F691*$O691,PNL!G691))</f>
        <v/>
      </c>
      <c r="T691" t="str">
        <f t="shared" si="120"/>
        <v/>
      </c>
    </row>
    <row r="692" spans="1:20" x14ac:dyDescent="0.45">
      <c r="A692" t="str">
        <f>IF(PNL!A692="","",PNL!A692)</f>
        <v/>
      </c>
      <c r="B692" t="str">
        <f>IF(PNL!B692="","",PNL!B692)</f>
        <v/>
      </c>
      <c r="C692" t="str">
        <f>IF(PNL!C692="","",PNL!C692)</f>
        <v/>
      </c>
      <c r="D692" t="str">
        <f>IF(PNL!D692="","",PNL!D692)</f>
        <v/>
      </c>
      <c r="E692" t="str">
        <f t="shared" si="110"/>
        <v/>
      </c>
      <c r="F692" t="str">
        <f>IF($A692="","",IF($E692=1,SUMIFS(Compta!$F$1:$F$675,Compta!$A$1:$A$675,$A692,Compta!$B$1:$B$675,$B692,Compta!$C$1:$C$675,"2026"),0))</f>
        <v/>
      </c>
      <c r="G692" t="str">
        <f t="shared" si="111"/>
        <v/>
      </c>
      <c r="H692" t="str">
        <f t="shared" si="112"/>
        <v/>
      </c>
      <c r="I692" t="str">
        <f t="shared" si="113"/>
        <v/>
      </c>
      <c r="J692" t="str">
        <f t="shared" si="114"/>
        <v/>
      </c>
      <c r="K692" t="str">
        <f t="shared" si="115"/>
        <v/>
      </c>
      <c r="L692" t="str">
        <f t="shared" si="116"/>
        <v/>
      </c>
      <c r="M692" t="str">
        <f t="shared" si="117"/>
        <v/>
      </c>
      <c r="N692" t="str">
        <f t="shared" si="118"/>
        <v/>
      </c>
      <c r="O692" t="str">
        <f t="shared" si="119"/>
        <v/>
      </c>
      <c r="P692" t="str">
        <f>IF($A692="","",IF($E692=1,$F692*$O692,PNL!G692))</f>
        <v/>
      </c>
      <c r="T692" t="str">
        <f t="shared" si="120"/>
        <v/>
      </c>
    </row>
    <row r="693" spans="1:20" x14ac:dyDescent="0.45">
      <c r="A693" t="str">
        <f>IF(PNL!A693="","",PNL!A693)</f>
        <v/>
      </c>
      <c r="B693" t="str">
        <f>IF(PNL!B693="","",PNL!B693)</f>
        <v/>
      </c>
      <c r="C693" t="str">
        <f>IF(PNL!C693="","",PNL!C693)</f>
        <v/>
      </c>
      <c r="D693" t="str">
        <f>IF(PNL!D693="","",PNL!D693)</f>
        <v/>
      </c>
      <c r="E693" t="str">
        <f t="shared" si="110"/>
        <v/>
      </c>
      <c r="F693" t="str">
        <f>IF($A693="","",IF($E693=1,SUMIFS(Compta!$F$1:$F$675,Compta!$A$1:$A$675,$A693,Compta!$B$1:$B$675,$B693,Compta!$C$1:$C$675,"2026"),0))</f>
        <v/>
      </c>
      <c r="G693" t="str">
        <f t="shared" si="111"/>
        <v/>
      </c>
      <c r="H693" t="str">
        <f t="shared" si="112"/>
        <v/>
      </c>
      <c r="I693" t="str">
        <f t="shared" si="113"/>
        <v/>
      </c>
      <c r="J693" t="str">
        <f t="shared" si="114"/>
        <v/>
      </c>
      <c r="K693" t="str">
        <f t="shared" si="115"/>
        <v/>
      </c>
      <c r="L693" t="str">
        <f t="shared" si="116"/>
        <v/>
      </c>
      <c r="M693" t="str">
        <f t="shared" si="117"/>
        <v/>
      </c>
      <c r="N693" t="str">
        <f t="shared" si="118"/>
        <v/>
      </c>
      <c r="O693" t="str">
        <f t="shared" si="119"/>
        <v/>
      </c>
      <c r="P693" t="str">
        <f>IF($A693="","",IF($E693=1,$F693*$O693,PNL!G693))</f>
        <v/>
      </c>
      <c r="T693" t="str">
        <f t="shared" si="120"/>
        <v/>
      </c>
    </row>
    <row r="694" spans="1:20" x14ac:dyDescent="0.45">
      <c r="A694" t="str">
        <f>IF(PNL!A694="","",PNL!A694)</f>
        <v/>
      </c>
      <c r="B694" t="str">
        <f>IF(PNL!B694="","",PNL!B694)</f>
        <v/>
      </c>
      <c r="C694" t="str">
        <f>IF(PNL!C694="","",PNL!C694)</f>
        <v/>
      </c>
      <c r="D694" t="str">
        <f>IF(PNL!D694="","",PNL!D694)</f>
        <v/>
      </c>
      <c r="E694" t="str">
        <f t="shared" si="110"/>
        <v/>
      </c>
      <c r="F694" t="str">
        <f>IF($A694="","",IF($E694=1,SUMIFS(Compta!$F$1:$F$675,Compta!$A$1:$A$675,$A694,Compta!$B$1:$B$675,$B694,Compta!$C$1:$C$675,"2026"),0))</f>
        <v/>
      </c>
      <c r="G694" t="str">
        <f t="shared" si="111"/>
        <v/>
      </c>
      <c r="H694" t="str">
        <f t="shared" si="112"/>
        <v/>
      </c>
      <c r="I694" t="str">
        <f t="shared" si="113"/>
        <v/>
      </c>
      <c r="J694" t="str">
        <f t="shared" si="114"/>
        <v/>
      </c>
      <c r="K694" t="str">
        <f t="shared" si="115"/>
        <v/>
      </c>
      <c r="L694" t="str">
        <f t="shared" si="116"/>
        <v/>
      </c>
      <c r="M694" t="str">
        <f t="shared" si="117"/>
        <v/>
      </c>
      <c r="N694" t="str">
        <f t="shared" si="118"/>
        <v/>
      </c>
      <c r="O694" t="str">
        <f t="shared" si="119"/>
        <v/>
      </c>
      <c r="P694" t="str">
        <f>IF($A694="","",IF($E694=1,$F694*$O694,PNL!G694))</f>
        <v/>
      </c>
      <c r="T694" t="str">
        <f t="shared" si="120"/>
        <v/>
      </c>
    </row>
    <row r="695" spans="1:20" x14ac:dyDescent="0.45">
      <c r="A695" t="str">
        <f>IF(PNL!A695="","",PNL!A695)</f>
        <v/>
      </c>
      <c r="B695" t="str">
        <f>IF(PNL!B695="","",PNL!B695)</f>
        <v/>
      </c>
      <c r="C695" t="str">
        <f>IF(PNL!C695="","",PNL!C695)</f>
        <v/>
      </c>
      <c r="D695" t="str">
        <f>IF(PNL!D695="","",PNL!D695)</f>
        <v/>
      </c>
      <c r="E695" t="str">
        <f t="shared" si="110"/>
        <v/>
      </c>
      <c r="F695" t="str">
        <f>IF($A695="","",IF($E695=1,SUMIFS(Compta!$F$1:$F$675,Compta!$A$1:$A$675,$A695,Compta!$B$1:$B$675,$B695,Compta!$C$1:$C$675,"2026"),0))</f>
        <v/>
      </c>
      <c r="G695" t="str">
        <f t="shared" si="111"/>
        <v/>
      </c>
      <c r="H695" t="str">
        <f t="shared" si="112"/>
        <v/>
      </c>
      <c r="I695" t="str">
        <f t="shared" si="113"/>
        <v/>
      </c>
      <c r="J695" t="str">
        <f t="shared" si="114"/>
        <v/>
      </c>
      <c r="K695" t="str">
        <f t="shared" si="115"/>
        <v/>
      </c>
      <c r="L695" t="str">
        <f t="shared" si="116"/>
        <v/>
      </c>
      <c r="M695" t="str">
        <f t="shared" si="117"/>
        <v/>
      </c>
      <c r="N695" t="str">
        <f t="shared" si="118"/>
        <v/>
      </c>
      <c r="O695" t="str">
        <f t="shared" si="119"/>
        <v/>
      </c>
      <c r="P695" t="str">
        <f>IF($A695="","",IF($E695=1,$F695*$O695,PNL!G695))</f>
        <v/>
      </c>
      <c r="T695" t="str">
        <f t="shared" si="120"/>
        <v/>
      </c>
    </row>
    <row r="696" spans="1:20" x14ac:dyDescent="0.45">
      <c r="A696" t="str">
        <f>IF(PNL!A696="","",PNL!A696)</f>
        <v/>
      </c>
      <c r="B696" t="str">
        <f>IF(PNL!B696="","",PNL!B696)</f>
        <v/>
      </c>
      <c r="C696" t="str">
        <f>IF(PNL!C696="","",PNL!C696)</f>
        <v/>
      </c>
      <c r="D696" t="str">
        <f>IF(PNL!D696="","",PNL!D696)</f>
        <v/>
      </c>
      <c r="E696" t="str">
        <f t="shared" si="110"/>
        <v/>
      </c>
      <c r="F696" t="str">
        <f>IF($A696="","",IF($E696=1,SUMIFS(Compta!$F$1:$F$675,Compta!$A$1:$A$675,$A696,Compta!$B$1:$B$675,$B696,Compta!$C$1:$C$675,"2026"),0))</f>
        <v/>
      </c>
      <c r="G696" t="str">
        <f t="shared" si="111"/>
        <v/>
      </c>
      <c r="H696" t="str">
        <f t="shared" si="112"/>
        <v/>
      </c>
      <c r="I696" t="str">
        <f t="shared" si="113"/>
        <v/>
      </c>
      <c r="J696" t="str">
        <f t="shared" si="114"/>
        <v/>
      </c>
      <c r="K696" t="str">
        <f t="shared" si="115"/>
        <v/>
      </c>
      <c r="L696" t="str">
        <f t="shared" si="116"/>
        <v/>
      </c>
      <c r="M696" t="str">
        <f t="shared" si="117"/>
        <v/>
      </c>
      <c r="N696" t="str">
        <f t="shared" si="118"/>
        <v/>
      </c>
      <c r="O696" t="str">
        <f t="shared" si="119"/>
        <v/>
      </c>
      <c r="P696" t="str">
        <f>IF($A696="","",IF($E696=1,$F696*$O696,PNL!G696))</f>
        <v/>
      </c>
      <c r="T696" t="str">
        <f t="shared" si="120"/>
        <v/>
      </c>
    </row>
    <row r="697" spans="1:20" x14ac:dyDescent="0.45">
      <c r="A697" t="str">
        <f>IF(PNL!A697="","",PNL!A697)</f>
        <v/>
      </c>
      <c r="B697" t="str">
        <f>IF(PNL!B697="","",PNL!B697)</f>
        <v/>
      </c>
      <c r="C697" t="str">
        <f>IF(PNL!C697="","",PNL!C697)</f>
        <v/>
      </c>
      <c r="D697" t="str">
        <f>IF(PNL!D697="","",PNL!D697)</f>
        <v/>
      </c>
      <c r="E697" t="str">
        <f t="shared" si="110"/>
        <v/>
      </c>
      <c r="F697" t="str">
        <f>IF($A697="","",IF($E697=1,SUMIFS(Compta!$F$1:$F$675,Compta!$A$1:$A$675,$A697,Compta!$B$1:$B$675,$B697,Compta!$C$1:$C$675,"2026"),0))</f>
        <v/>
      </c>
      <c r="G697" t="str">
        <f t="shared" si="111"/>
        <v/>
      </c>
      <c r="H697" t="str">
        <f t="shared" si="112"/>
        <v/>
      </c>
      <c r="I697" t="str">
        <f t="shared" si="113"/>
        <v/>
      </c>
      <c r="J697" t="str">
        <f t="shared" si="114"/>
        <v/>
      </c>
      <c r="K697" t="str">
        <f t="shared" si="115"/>
        <v/>
      </c>
      <c r="L697" t="str">
        <f t="shared" si="116"/>
        <v/>
      </c>
      <c r="M697" t="str">
        <f t="shared" si="117"/>
        <v/>
      </c>
      <c r="N697" t="str">
        <f t="shared" si="118"/>
        <v/>
      </c>
      <c r="O697" t="str">
        <f t="shared" si="119"/>
        <v/>
      </c>
      <c r="P697" t="str">
        <f>IF($A697="","",IF($E697=1,$F697*$O697,PNL!G697))</f>
        <v/>
      </c>
      <c r="T697" t="str">
        <f t="shared" si="120"/>
        <v/>
      </c>
    </row>
    <row r="698" spans="1:20" x14ac:dyDescent="0.45">
      <c r="A698" t="str">
        <f>IF(PNL!A698="","",PNL!A698)</f>
        <v/>
      </c>
      <c r="B698" t="str">
        <f>IF(PNL!B698="","",PNL!B698)</f>
        <v/>
      </c>
      <c r="C698" t="str">
        <f>IF(PNL!C698="","",PNL!C698)</f>
        <v/>
      </c>
      <c r="D698" t="str">
        <f>IF(PNL!D698="","",PNL!D698)</f>
        <v/>
      </c>
      <c r="E698" t="str">
        <f t="shared" si="110"/>
        <v/>
      </c>
      <c r="F698" t="str">
        <f>IF($A698="","",IF($E698=1,SUMIFS(Compta!$F$1:$F$675,Compta!$A$1:$A$675,$A698,Compta!$B$1:$B$675,$B698,Compta!$C$1:$C$675,"2026"),0))</f>
        <v/>
      </c>
      <c r="G698" t="str">
        <f t="shared" si="111"/>
        <v/>
      </c>
      <c r="H698" t="str">
        <f t="shared" si="112"/>
        <v/>
      </c>
      <c r="I698" t="str">
        <f t="shared" si="113"/>
        <v/>
      </c>
      <c r="J698" t="str">
        <f t="shared" si="114"/>
        <v/>
      </c>
      <c r="K698" t="str">
        <f t="shared" si="115"/>
        <v/>
      </c>
      <c r="L698" t="str">
        <f t="shared" si="116"/>
        <v/>
      </c>
      <c r="M698" t="str">
        <f t="shared" si="117"/>
        <v/>
      </c>
      <c r="N698" t="str">
        <f t="shared" si="118"/>
        <v/>
      </c>
      <c r="O698" t="str">
        <f t="shared" si="119"/>
        <v/>
      </c>
      <c r="P698" t="str">
        <f>IF($A698="","",IF($E698=1,$F698*$O698,PNL!G698))</f>
        <v/>
      </c>
      <c r="T698" t="str">
        <f t="shared" si="120"/>
        <v/>
      </c>
    </row>
    <row r="699" spans="1:20" x14ac:dyDescent="0.45">
      <c r="A699" t="str">
        <f>IF(PNL!A699="","",PNL!A699)</f>
        <v/>
      </c>
      <c r="B699" t="str">
        <f>IF(PNL!B699="","",PNL!B699)</f>
        <v/>
      </c>
      <c r="C699" t="str">
        <f>IF(PNL!C699="","",PNL!C699)</f>
        <v/>
      </c>
      <c r="D699" t="str">
        <f>IF(PNL!D699="","",PNL!D699)</f>
        <v/>
      </c>
      <c r="E699" t="str">
        <f t="shared" si="110"/>
        <v/>
      </c>
      <c r="F699" t="str">
        <f>IF($A699="","",IF($E699=1,SUMIFS(Compta!$F$1:$F$675,Compta!$A$1:$A$675,$A699,Compta!$B$1:$B$675,$B699,Compta!$C$1:$C$675,"2026"),0))</f>
        <v/>
      </c>
      <c r="G699" t="str">
        <f t="shared" si="111"/>
        <v/>
      </c>
      <c r="H699" t="str">
        <f t="shared" si="112"/>
        <v/>
      </c>
      <c r="I699" t="str">
        <f t="shared" si="113"/>
        <v/>
      </c>
      <c r="J699" t="str">
        <f t="shared" si="114"/>
        <v/>
      </c>
      <c r="K699" t="str">
        <f t="shared" si="115"/>
        <v/>
      </c>
      <c r="L699" t="str">
        <f t="shared" si="116"/>
        <v/>
      </c>
      <c r="M699" t="str">
        <f t="shared" si="117"/>
        <v/>
      </c>
      <c r="N699" t="str">
        <f t="shared" si="118"/>
        <v/>
      </c>
      <c r="O699" t="str">
        <f t="shared" si="119"/>
        <v/>
      </c>
      <c r="P699" t="str">
        <f>IF($A699="","",IF($E699=1,$F699*$O699,PNL!G699))</f>
        <v/>
      </c>
      <c r="T699" t="str">
        <f t="shared" si="120"/>
        <v/>
      </c>
    </row>
    <row r="700" spans="1:20" x14ac:dyDescent="0.45">
      <c r="A700" t="str">
        <f>IF(PNL!A700="","",PNL!A700)</f>
        <v/>
      </c>
      <c r="B700" t="str">
        <f>IF(PNL!B700="","",PNL!B700)</f>
        <v/>
      </c>
      <c r="C700" t="str">
        <f>IF(PNL!C700="","",PNL!C700)</f>
        <v/>
      </c>
      <c r="D700" t="str">
        <f>IF(PNL!D700="","",PNL!D700)</f>
        <v/>
      </c>
      <c r="E700" t="str">
        <f t="shared" si="110"/>
        <v/>
      </c>
      <c r="F700" t="str">
        <f>IF($A700="","",IF($E700=1,SUMIFS(Compta!$F$1:$F$675,Compta!$A$1:$A$675,$A700,Compta!$B$1:$B$675,$B700,Compta!$C$1:$C$675,"2026"),0))</f>
        <v/>
      </c>
      <c r="G700" t="str">
        <f t="shared" si="111"/>
        <v/>
      </c>
      <c r="H700" t="str">
        <f t="shared" si="112"/>
        <v/>
      </c>
      <c r="I700" t="str">
        <f t="shared" si="113"/>
        <v/>
      </c>
      <c r="J700" t="str">
        <f t="shared" si="114"/>
        <v/>
      </c>
      <c r="K700" t="str">
        <f t="shared" si="115"/>
        <v/>
      </c>
      <c r="L700" t="str">
        <f t="shared" si="116"/>
        <v/>
      </c>
      <c r="M700" t="str">
        <f t="shared" si="117"/>
        <v/>
      </c>
      <c r="N700" t="str">
        <f t="shared" si="118"/>
        <v/>
      </c>
      <c r="O700" t="str">
        <f t="shared" si="119"/>
        <v/>
      </c>
      <c r="P700" t="str">
        <f>IF($A700="","",IF($E700=1,$F700*$O700,PNL!G700))</f>
        <v/>
      </c>
      <c r="T700" t="str">
        <f t="shared" si="120"/>
        <v/>
      </c>
    </row>
    <row r="701" spans="1:20" x14ac:dyDescent="0.45">
      <c r="A701" t="str">
        <f>IF(PNL!A701="","",PNL!A701)</f>
        <v/>
      </c>
      <c r="B701" t="str">
        <f>IF(PNL!B701="","",PNL!B701)</f>
        <v/>
      </c>
      <c r="C701" t="str">
        <f>IF(PNL!C701="","",PNL!C701)</f>
        <v/>
      </c>
      <c r="D701" t="str">
        <f>IF(PNL!D701="","",PNL!D701)</f>
        <v/>
      </c>
      <c r="E701" t="str">
        <f t="shared" si="110"/>
        <v/>
      </c>
      <c r="F701" t="str">
        <f>IF($A701="","",IF($E701=1,SUMIFS(Compta!$F$1:$F$675,Compta!$A$1:$A$675,$A701,Compta!$B$1:$B$675,$B701,Compta!$C$1:$C$675,"2026"),0))</f>
        <v/>
      </c>
      <c r="G701" t="str">
        <f t="shared" si="111"/>
        <v/>
      </c>
      <c r="H701" t="str">
        <f t="shared" si="112"/>
        <v/>
      </c>
      <c r="I701" t="str">
        <f t="shared" si="113"/>
        <v/>
      </c>
      <c r="J701" t="str">
        <f t="shared" si="114"/>
        <v/>
      </c>
      <c r="K701" t="str">
        <f t="shared" si="115"/>
        <v/>
      </c>
      <c r="L701" t="str">
        <f t="shared" si="116"/>
        <v/>
      </c>
      <c r="M701" t="str">
        <f t="shared" si="117"/>
        <v/>
      </c>
      <c r="N701" t="str">
        <f t="shared" si="118"/>
        <v/>
      </c>
      <c r="O701" t="str">
        <f t="shared" si="119"/>
        <v/>
      </c>
      <c r="P701" t="str">
        <f>IF($A701="","",IF($E701=1,$F701*$O701,PNL!G701))</f>
        <v/>
      </c>
      <c r="T701" t="str">
        <f t="shared" si="120"/>
        <v/>
      </c>
    </row>
    <row r="702" spans="1:20" x14ac:dyDescent="0.45">
      <c r="A702" t="str">
        <f>IF(PNL!A702="","",PNL!A702)</f>
        <v/>
      </c>
      <c r="B702" t="str">
        <f>IF(PNL!B702="","",PNL!B702)</f>
        <v/>
      </c>
      <c r="C702" t="str">
        <f>IF(PNL!C702="","",PNL!C702)</f>
        <v/>
      </c>
      <c r="D702" t="str">
        <f>IF(PNL!D702="","",PNL!D702)</f>
        <v/>
      </c>
      <c r="E702" t="str">
        <f t="shared" si="110"/>
        <v/>
      </c>
      <c r="F702" t="str">
        <f>IF($A702="","",IF($E702=1,SUMIFS(Compta!$F$1:$F$675,Compta!$A$1:$A$675,$A702,Compta!$B$1:$B$675,$B702,Compta!$C$1:$C$675,"2026"),0))</f>
        <v/>
      </c>
      <c r="G702" t="str">
        <f t="shared" si="111"/>
        <v/>
      </c>
      <c r="H702" t="str">
        <f t="shared" si="112"/>
        <v/>
      </c>
      <c r="I702" t="str">
        <f t="shared" si="113"/>
        <v/>
      </c>
      <c r="J702" t="str">
        <f t="shared" si="114"/>
        <v/>
      </c>
      <c r="K702" t="str">
        <f t="shared" si="115"/>
        <v/>
      </c>
      <c r="L702" t="str">
        <f t="shared" si="116"/>
        <v/>
      </c>
      <c r="M702" t="str">
        <f t="shared" si="117"/>
        <v/>
      </c>
      <c r="N702" t="str">
        <f t="shared" si="118"/>
        <v/>
      </c>
      <c r="O702" t="str">
        <f t="shared" si="119"/>
        <v/>
      </c>
      <c r="P702" t="str">
        <f>IF($A702="","",IF($E702=1,$F702*$O702,PNL!G702))</f>
        <v/>
      </c>
      <c r="T702" t="str">
        <f t="shared" si="120"/>
        <v/>
      </c>
    </row>
    <row r="703" spans="1:20" x14ac:dyDescent="0.45">
      <c r="A703" t="str">
        <f>IF(PNL!A703="","",PNL!A703)</f>
        <v/>
      </c>
      <c r="B703" t="str">
        <f>IF(PNL!B703="","",PNL!B703)</f>
        <v/>
      </c>
      <c r="C703" t="str">
        <f>IF(PNL!C703="","",PNL!C703)</f>
        <v/>
      </c>
      <c r="D703" t="str">
        <f>IF(PNL!D703="","",PNL!D703)</f>
        <v/>
      </c>
      <c r="E703" t="str">
        <f t="shared" si="110"/>
        <v/>
      </c>
      <c r="F703" t="str">
        <f>IF($A703="","",IF($E703=1,SUMIFS(Compta!$F$1:$F$675,Compta!$A$1:$A$675,$A703,Compta!$B$1:$B$675,$B703,Compta!$C$1:$C$675,"2026"),0))</f>
        <v/>
      </c>
      <c r="G703" t="str">
        <f t="shared" si="111"/>
        <v/>
      </c>
      <c r="H703" t="str">
        <f t="shared" si="112"/>
        <v/>
      </c>
      <c r="I703" t="str">
        <f t="shared" si="113"/>
        <v/>
      </c>
      <c r="J703" t="str">
        <f t="shared" si="114"/>
        <v/>
      </c>
      <c r="K703" t="str">
        <f t="shared" si="115"/>
        <v/>
      </c>
      <c r="L703" t="str">
        <f t="shared" si="116"/>
        <v/>
      </c>
      <c r="M703" t="str">
        <f t="shared" si="117"/>
        <v/>
      </c>
      <c r="N703" t="str">
        <f t="shared" si="118"/>
        <v/>
      </c>
      <c r="O703" t="str">
        <f t="shared" si="119"/>
        <v/>
      </c>
      <c r="P703" t="str">
        <f>IF($A703="","",IF($E703=1,$F703*$O703,PNL!G703))</f>
        <v/>
      </c>
      <c r="T703" t="str">
        <f t="shared" si="120"/>
        <v/>
      </c>
    </row>
    <row r="704" spans="1:20" x14ac:dyDescent="0.45">
      <c r="A704" t="str">
        <f>IF(PNL!A704="","",PNL!A704)</f>
        <v/>
      </c>
      <c r="B704" t="str">
        <f>IF(PNL!B704="","",PNL!B704)</f>
        <v/>
      </c>
      <c r="C704" t="str">
        <f>IF(PNL!C704="","",PNL!C704)</f>
        <v/>
      </c>
      <c r="D704" t="str">
        <f>IF(PNL!D704="","",PNL!D704)</f>
        <v/>
      </c>
      <c r="E704" t="str">
        <f t="shared" si="110"/>
        <v/>
      </c>
      <c r="F704" t="str">
        <f>IF($A704="","",IF($E704=1,SUMIFS(Compta!$F$1:$F$675,Compta!$A$1:$A$675,$A704,Compta!$B$1:$B$675,$B704,Compta!$C$1:$C$675,"2026"),0))</f>
        <v/>
      </c>
      <c r="G704" t="str">
        <f t="shared" si="111"/>
        <v/>
      </c>
      <c r="H704" t="str">
        <f t="shared" si="112"/>
        <v/>
      </c>
      <c r="I704" t="str">
        <f t="shared" si="113"/>
        <v/>
      </c>
      <c r="J704" t="str">
        <f t="shared" si="114"/>
        <v/>
      </c>
      <c r="K704" t="str">
        <f t="shared" si="115"/>
        <v/>
      </c>
      <c r="L704" t="str">
        <f t="shared" si="116"/>
        <v/>
      </c>
      <c r="M704" t="str">
        <f t="shared" si="117"/>
        <v/>
      </c>
      <c r="N704" t="str">
        <f t="shared" si="118"/>
        <v/>
      </c>
      <c r="O704" t="str">
        <f t="shared" si="119"/>
        <v/>
      </c>
      <c r="P704" t="str">
        <f>IF($A704="","",IF($E704=1,$F704*$O704,PNL!G704))</f>
        <v/>
      </c>
      <c r="T704" t="str">
        <f t="shared" si="120"/>
        <v/>
      </c>
    </row>
    <row r="705" spans="1:20" x14ac:dyDescent="0.45">
      <c r="A705" t="str">
        <f>IF(PNL!A705="","",PNL!A705)</f>
        <v/>
      </c>
      <c r="B705" t="str">
        <f>IF(PNL!B705="","",PNL!B705)</f>
        <v/>
      </c>
      <c r="C705" t="str">
        <f>IF(PNL!C705="","",PNL!C705)</f>
        <v/>
      </c>
      <c r="D705" t="str">
        <f>IF(PNL!D705="","",PNL!D705)</f>
        <v/>
      </c>
      <c r="E705" t="str">
        <f t="shared" si="110"/>
        <v/>
      </c>
      <c r="F705" t="str">
        <f>IF($A705="","",IF($E705=1,SUMIFS(Compta!$F$1:$F$675,Compta!$A$1:$A$675,$A705,Compta!$B$1:$B$675,$B705,Compta!$C$1:$C$675,"2026"),0))</f>
        <v/>
      </c>
      <c r="G705" t="str">
        <f t="shared" si="111"/>
        <v/>
      </c>
      <c r="H705" t="str">
        <f t="shared" si="112"/>
        <v/>
      </c>
      <c r="I705" t="str">
        <f t="shared" si="113"/>
        <v/>
      </c>
      <c r="J705" t="str">
        <f t="shared" si="114"/>
        <v/>
      </c>
      <c r="K705" t="str">
        <f t="shared" si="115"/>
        <v/>
      </c>
      <c r="L705" t="str">
        <f t="shared" si="116"/>
        <v/>
      </c>
      <c r="M705" t="str">
        <f t="shared" si="117"/>
        <v/>
      </c>
      <c r="N705" t="str">
        <f t="shared" si="118"/>
        <v/>
      </c>
      <c r="O705" t="str">
        <f t="shared" si="119"/>
        <v/>
      </c>
      <c r="P705" t="str">
        <f>IF($A705="","",IF($E705=1,$F705*$O705,PNL!G705))</f>
        <v/>
      </c>
      <c r="T705" t="str">
        <f t="shared" si="120"/>
        <v/>
      </c>
    </row>
    <row r="706" spans="1:20" x14ac:dyDescent="0.45">
      <c r="A706" t="str">
        <f>IF(PNL!A706="","",PNL!A706)</f>
        <v/>
      </c>
      <c r="B706" t="str">
        <f>IF(PNL!B706="","",PNL!B706)</f>
        <v/>
      </c>
      <c r="C706" t="str">
        <f>IF(PNL!C706="","",PNL!C706)</f>
        <v/>
      </c>
      <c r="D706" t="str">
        <f>IF(PNL!D706="","",PNL!D706)</f>
        <v/>
      </c>
      <c r="E706" t="str">
        <f t="shared" ref="E706:E769" si="121">IF($A706="","",IF(AND($C706="2027",OR($D706="V01",$D706="V02",$D706="V03")),1,0))</f>
        <v/>
      </c>
      <c r="F706" t="str">
        <f>IF($A706="","",IF($E706=1,SUMIFS(Compta!$F$1:$F$675,Compta!$A$1:$A$675,$A706,Compta!$B$1:$B$675,$B706,Compta!$C$1:$C$675,"2026"),0))</f>
        <v/>
      </c>
      <c r="G706" t="str">
        <f t="shared" ref="G706:G769" si="122">IF($A706="","",IF($D706="V01",cad!$C$23,IF($D706="V02",cad!$D$23,cad!$E$23)))</f>
        <v/>
      </c>
      <c r="H706" t="str">
        <f t="shared" ref="H706:H769" si="123">IF($A706="","",IF($D706="V01",cad!$C$24,IF($D706="V02",cad!$D$24,cad!$E$24)))</f>
        <v/>
      </c>
      <c r="I706" t="str">
        <f t="shared" ref="I706:I769" si="124">IF($A706="","",IF($D706="V01",cad!$C$32,IF($D706="V02",cad!$D$32,cad!$E$32)))</f>
        <v/>
      </c>
      <c r="J706" t="str">
        <f t="shared" ref="J706:J769" si="125">IF($A706="","",IF($D706="V01",cad!$C$33,IF($D706="V02",cad!$D$33,cad!$E$33)))</f>
        <v/>
      </c>
      <c r="K706" t="str">
        <f t="shared" ref="K706:K769" si="126">IF($A706="","",IF($D706="V01",cad!$C$34,IF($D706="V02",cad!$D$34,cad!$E$34)))</f>
        <v/>
      </c>
      <c r="L706" t="str">
        <f t="shared" ref="L706:L769" si="127">IF($A706="","",IF($D706="V01",cad!$C$35,IF($D706="V02",cad!$D$35,cad!$E$35)))</f>
        <v/>
      </c>
      <c r="M706" t="str">
        <f t="shared" ref="M706:M769" si="128">IF($A706="","",IF($D706="V01",cad!$C$36,IF($D706="V02",cad!$D$36,cad!$E$36)))</f>
        <v/>
      </c>
      <c r="N706" t="str">
        <f t="shared" ref="N706:N769" si="129">IF($A706="","",IF($D706="V01",$R$2,IF($D706="V02",$R$3,$R$4)))</f>
        <v/>
      </c>
      <c r="O706" t="str">
        <f t="shared" ref="O706:O769" si="130">IF($A706="","",IF(OR($B706="7062",$B706="706",$B706="708"),$N706,IF($B706="6231",1+$G706,IF($B706="6236",1+$H706,IF(OR($B706="621",$B706="604",$B706="6063"),$N706*(1-$L706),IF(OR($B706="6411",$B706="6413",$B706="6414",$B706="645"),(1+$J706)*(1+$K706),IF(OR($B706="613",$B706="615",$B706="616",$B706="6226",$B706="625",$B706="626",$B706="6281"),(1+$I706)*(1-$L706)*(1+$M706),IF(OR($B706="6331",$B706="63511",$B706="6333"),(1+$I706)*(1-$L706),IF($B706="6811",1+$I706,1)))))))))</f>
        <v/>
      </c>
      <c r="P706" t="str">
        <f>IF($A706="","",IF($E706=1,$F706*$O706,PNL!G706))</f>
        <v/>
      </c>
      <c r="T706" t="str">
        <f t="shared" ref="T706:T769" si="131">IF($A706="","",IF($E706=1,IF(OR($B706="7062",$B706="706",$B706="708"),$P706,IF(AND(LEFT($B706,1)="6",$B706&lt;&gt;"6811"),-$P706,0)),0))</f>
        <v/>
      </c>
    </row>
    <row r="707" spans="1:20" x14ac:dyDescent="0.45">
      <c r="A707" t="str">
        <f>IF(PNL!A707="","",PNL!A707)</f>
        <v/>
      </c>
      <c r="B707" t="str">
        <f>IF(PNL!B707="","",PNL!B707)</f>
        <v/>
      </c>
      <c r="C707" t="str">
        <f>IF(PNL!C707="","",PNL!C707)</f>
        <v/>
      </c>
      <c r="D707" t="str">
        <f>IF(PNL!D707="","",PNL!D707)</f>
        <v/>
      </c>
      <c r="E707" t="str">
        <f t="shared" si="121"/>
        <v/>
      </c>
      <c r="F707" t="str">
        <f>IF($A707="","",IF($E707=1,SUMIFS(Compta!$F$1:$F$675,Compta!$A$1:$A$675,$A707,Compta!$B$1:$B$675,$B707,Compta!$C$1:$C$675,"2026"),0))</f>
        <v/>
      </c>
      <c r="G707" t="str">
        <f t="shared" si="122"/>
        <v/>
      </c>
      <c r="H707" t="str">
        <f t="shared" si="123"/>
        <v/>
      </c>
      <c r="I707" t="str">
        <f t="shared" si="124"/>
        <v/>
      </c>
      <c r="J707" t="str">
        <f t="shared" si="125"/>
        <v/>
      </c>
      <c r="K707" t="str">
        <f t="shared" si="126"/>
        <v/>
      </c>
      <c r="L707" t="str">
        <f t="shared" si="127"/>
        <v/>
      </c>
      <c r="M707" t="str">
        <f t="shared" si="128"/>
        <v/>
      </c>
      <c r="N707" t="str">
        <f t="shared" si="129"/>
        <v/>
      </c>
      <c r="O707" t="str">
        <f t="shared" si="130"/>
        <v/>
      </c>
      <c r="P707" t="str">
        <f>IF($A707="","",IF($E707=1,$F707*$O707,PNL!G707))</f>
        <v/>
      </c>
      <c r="T707" t="str">
        <f t="shared" si="131"/>
        <v/>
      </c>
    </row>
    <row r="708" spans="1:20" x14ac:dyDescent="0.45">
      <c r="A708" t="str">
        <f>IF(PNL!A708="","",PNL!A708)</f>
        <v/>
      </c>
      <c r="B708" t="str">
        <f>IF(PNL!B708="","",PNL!B708)</f>
        <v/>
      </c>
      <c r="C708" t="str">
        <f>IF(PNL!C708="","",PNL!C708)</f>
        <v/>
      </c>
      <c r="D708" t="str">
        <f>IF(PNL!D708="","",PNL!D708)</f>
        <v/>
      </c>
      <c r="E708" t="str">
        <f t="shared" si="121"/>
        <v/>
      </c>
      <c r="F708" t="str">
        <f>IF($A708="","",IF($E708=1,SUMIFS(Compta!$F$1:$F$675,Compta!$A$1:$A$675,$A708,Compta!$B$1:$B$675,$B708,Compta!$C$1:$C$675,"2026"),0))</f>
        <v/>
      </c>
      <c r="G708" t="str">
        <f t="shared" si="122"/>
        <v/>
      </c>
      <c r="H708" t="str">
        <f t="shared" si="123"/>
        <v/>
      </c>
      <c r="I708" t="str">
        <f t="shared" si="124"/>
        <v/>
      </c>
      <c r="J708" t="str">
        <f t="shared" si="125"/>
        <v/>
      </c>
      <c r="K708" t="str">
        <f t="shared" si="126"/>
        <v/>
      </c>
      <c r="L708" t="str">
        <f t="shared" si="127"/>
        <v/>
      </c>
      <c r="M708" t="str">
        <f t="shared" si="128"/>
        <v/>
      </c>
      <c r="N708" t="str">
        <f t="shared" si="129"/>
        <v/>
      </c>
      <c r="O708" t="str">
        <f t="shared" si="130"/>
        <v/>
      </c>
      <c r="P708" t="str">
        <f>IF($A708="","",IF($E708=1,$F708*$O708,PNL!G708))</f>
        <v/>
      </c>
      <c r="T708" t="str">
        <f t="shared" si="131"/>
        <v/>
      </c>
    </row>
    <row r="709" spans="1:20" x14ac:dyDescent="0.45">
      <c r="A709" t="str">
        <f>IF(PNL!A709="","",PNL!A709)</f>
        <v/>
      </c>
      <c r="B709" t="str">
        <f>IF(PNL!B709="","",PNL!B709)</f>
        <v/>
      </c>
      <c r="C709" t="str">
        <f>IF(PNL!C709="","",PNL!C709)</f>
        <v/>
      </c>
      <c r="D709" t="str">
        <f>IF(PNL!D709="","",PNL!D709)</f>
        <v/>
      </c>
      <c r="E709" t="str">
        <f t="shared" si="121"/>
        <v/>
      </c>
      <c r="F709" t="str">
        <f>IF($A709="","",IF($E709=1,SUMIFS(Compta!$F$1:$F$675,Compta!$A$1:$A$675,$A709,Compta!$B$1:$B$675,$B709,Compta!$C$1:$C$675,"2026"),0))</f>
        <v/>
      </c>
      <c r="G709" t="str">
        <f t="shared" si="122"/>
        <v/>
      </c>
      <c r="H709" t="str">
        <f t="shared" si="123"/>
        <v/>
      </c>
      <c r="I709" t="str">
        <f t="shared" si="124"/>
        <v/>
      </c>
      <c r="J709" t="str">
        <f t="shared" si="125"/>
        <v/>
      </c>
      <c r="K709" t="str">
        <f t="shared" si="126"/>
        <v/>
      </c>
      <c r="L709" t="str">
        <f t="shared" si="127"/>
        <v/>
      </c>
      <c r="M709" t="str">
        <f t="shared" si="128"/>
        <v/>
      </c>
      <c r="N709" t="str">
        <f t="shared" si="129"/>
        <v/>
      </c>
      <c r="O709" t="str">
        <f t="shared" si="130"/>
        <v/>
      </c>
      <c r="P709" t="str">
        <f>IF($A709="","",IF($E709=1,$F709*$O709,PNL!G709))</f>
        <v/>
      </c>
      <c r="T709" t="str">
        <f t="shared" si="131"/>
        <v/>
      </c>
    </row>
    <row r="710" spans="1:20" x14ac:dyDescent="0.45">
      <c r="A710" t="str">
        <f>IF(PNL!A710="","",PNL!A710)</f>
        <v/>
      </c>
      <c r="B710" t="str">
        <f>IF(PNL!B710="","",PNL!B710)</f>
        <v/>
      </c>
      <c r="C710" t="str">
        <f>IF(PNL!C710="","",PNL!C710)</f>
        <v/>
      </c>
      <c r="D710" t="str">
        <f>IF(PNL!D710="","",PNL!D710)</f>
        <v/>
      </c>
      <c r="E710" t="str">
        <f t="shared" si="121"/>
        <v/>
      </c>
      <c r="F710" t="str">
        <f>IF($A710="","",IF($E710=1,SUMIFS(Compta!$F$1:$F$675,Compta!$A$1:$A$675,$A710,Compta!$B$1:$B$675,$B710,Compta!$C$1:$C$675,"2026"),0))</f>
        <v/>
      </c>
      <c r="G710" t="str">
        <f t="shared" si="122"/>
        <v/>
      </c>
      <c r="H710" t="str">
        <f t="shared" si="123"/>
        <v/>
      </c>
      <c r="I710" t="str">
        <f t="shared" si="124"/>
        <v/>
      </c>
      <c r="J710" t="str">
        <f t="shared" si="125"/>
        <v/>
      </c>
      <c r="K710" t="str">
        <f t="shared" si="126"/>
        <v/>
      </c>
      <c r="L710" t="str">
        <f t="shared" si="127"/>
        <v/>
      </c>
      <c r="M710" t="str">
        <f t="shared" si="128"/>
        <v/>
      </c>
      <c r="N710" t="str">
        <f t="shared" si="129"/>
        <v/>
      </c>
      <c r="O710" t="str">
        <f t="shared" si="130"/>
        <v/>
      </c>
      <c r="P710" t="str">
        <f>IF($A710="","",IF($E710=1,$F710*$O710,PNL!G710))</f>
        <v/>
      </c>
      <c r="T710" t="str">
        <f t="shared" si="131"/>
        <v/>
      </c>
    </row>
    <row r="711" spans="1:20" x14ac:dyDescent="0.45">
      <c r="A711" t="str">
        <f>IF(PNL!A711="","",PNL!A711)</f>
        <v/>
      </c>
      <c r="B711" t="str">
        <f>IF(PNL!B711="","",PNL!B711)</f>
        <v/>
      </c>
      <c r="C711" t="str">
        <f>IF(PNL!C711="","",PNL!C711)</f>
        <v/>
      </c>
      <c r="D711" t="str">
        <f>IF(PNL!D711="","",PNL!D711)</f>
        <v/>
      </c>
      <c r="E711" t="str">
        <f t="shared" si="121"/>
        <v/>
      </c>
      <c r="F711" t="str">
        <f>IF($A711="","",IF($E711=1,SUMIFS(Compta!$F$1:$F$675,Compta!$A$1:$A$675,$A711,Compta!$B$1:$B$675,$B711,Compta!$C$1:$C$675,"2026"),0))</f>
        <v/>
      </c>
      <c r="G711" t="str">
        <f t="shared" si="122"/>
        <v/>
      </c>
      <c r="H711" t="str">
        <f t="shared" si="123"/>
        <v/>
      </c>
      <c r="I711" t="str">
        <f t="shared" si="124"/>
        <v/>
      </c>
      <c r="J711" t="str">
        <f t="shared" si="125"/>
        <v/>
      </c>
      <c r="K711" t="str">
        <f t="shared" si="126"/>
        <v/>
      </c>
      <c r="L711" t="str">
        <f t="shared" si="127"/>
        <v/>
      </c>
      <c r="M711" t="str">
        <f t="shared" si="128"/>
        <v/>
      </c>
      <c r="N711" t="str">
        <f t="shared" si="129"/>
        <v/>
      </c>
      <c r="O711" t="str">
        <f t="shared" si="130"/>
        <v/>
      </c>
      <c r="P711" t="str">
        <f>IF($A711="","",IF($E711=1,$F711*$O711,PNL!G711))</f>
        <v/>
      </c>
      <c r="T711" t="str">
        <f t="shared" si="131"/>
        <v/>
      </c>
    </row>
    <row r="712" spans="1:20" x14ac:dyDescent="0.45">
      <c r="A712" t="str">
        <f>IF(PNL!A712="","",PNL!A712)</f>
        <v/>
      </c>
      <c r="B712" t="str">
        <f>IF(PNL!B712="","",PNL!B712)</f>
        <v/>
      </c>
      <c r="C712" t="str">
        <f>IF(PNL!C712="","",PNL!C712)</f>
        <v/>
      </c>
      <c r="D712" t="str">
        <f>IF(PNL!D712="","",PNL!D712)</f>
        <v/>
      </c>
      <c r="E712" t="str">
        <f t="shared" si="121"/>
        <v/>
      </c>
      <c r="F712" t="str">
        <f>IF($A712="","",IF($E712=1,SUMIFS(Compta!$F$1:$F$675,Compta!$A$1:$A$675,$A712,Compta!$B$1:$B$675,$B712,Compta!$C$1:$C$675,"2026"),0))</f>
        <v/>
      </c>
      <c r="G712" t="str">
        <f t="shared" si="122"/>
        <v/>
      </c>
      <c r="H712" t="str">
        <f t="shared" si="123"/>
        <v/>
      </c>
      <c r="I712" t="str">
        <f t="shared" si="124"/>
        <v/>
      </c>
      <c r="J712" t="str">
        <f t="shared" si="125"/>
        <v/>
      </c>
      <c r="K712" t="str">
        <f t="shared" si="126"/>
        <v/>
      </c>
      <c r="L712" t="str">
        <f t="shared" si="127"/>
        <v/>
      </c>
      <c r="M712" t="str">
        <f t="shared" si="128"/>
        <v/>
      </c>
      <c r="N712" t="str">
        <f t="shared" si="129"/>
        <v/>
      </c>
      <c r="O712" t="str">
        <f t="shared" si="130"/>
        <v/>
      </c>
      <c r="P712" t="str">
        <f>IF($A712="","",IF($E712=1,$F712*$O712,PNL!G712))</f>
        <v/>
      </c>
      <c r="T712" t="str">
        <f t="shared" si="131"/>
        <v/>
      </c>
    </row>
    <row r="713" spans="1:20" x14ac:dyDescent="0.45">
      <c r="A713" t="str">
        <f>IF(PNL!A713="","",PNL!A713)</f>
        <v/>
      </c>
      <c r="B713" t="str">
        <f>IF(PNL!B713="","",PNL!B713)</f>
        <v/>
      </c>
      <c r="C713" t="str">
        <f>IF(PNL!C713="","",PNL!C713)</f>
        <v/>
      </c>
      <c r="D713" t="str">
        <f>IF(PNL!D713="","",PNL!D713)</f>
        <v/>
      </c>
      <c r="E713" t="str">
        <f t="shared" si="121"/>
        <v/>
      </c>
      <c r="F713" t="str">
        <f>IF($A713="","",IF($E713=1,SUMIFS(Compta!$F$1:$F$675,Compta!$A$1:$A$675,$A713,Compta!$B$1:$B$675,$B713,Compta!$C$1:$C$675,"2026"),0))</f>
        <v/>
      </c>
      <c r="G713" t="str">
        <f t="shared" si="122"/>
        <v/>
      </c>
      <c r="H713" t="str">
        <f t="shared" si="123"/>
        <v/>
      </c>
      <c r="I713" t="str">
        <f t="shared" si="124"/>
        <v/>
      </c>
      <c r="J713" t="str">
        <f t="shared" si="125"/>
        <v/>
      </c>
      <c r="K713" t="str">
        <f t="shared" si="126"/>
        <v/>
      </c>
      <c r="L713" t="str">
        <f t="shared" si="127"/>
        <v/>
      </c>
      <c r="M713" t="str">
        <f t="shared" si="128"/>
        <v/>
      </c>
      <c r="N713" t="str">
        <f t="shared" si="129"/>
        <v/>
      </c>
      <c r="O713" t="str">
        <f t="shared" si="130"/>
        <v/>
      </c>
      <c r="P713" t="str">
        <f>IF($A713="","",IF($E713=1,$F713*$O713,PNL!G713))</f>
        <v/>
      </c>
      <c r="T713" t="str">
        <f t="shared" si="131"/>
        <v/>
      </c>
    </row>
    <row r="714" spans="1:20" x14ac:dyDescent="0.45">
      <c r="A714" t="str">
        <f>IF(PNL!A714="","",PNL!A714)</f>
        <v/>
      </c>
      <c r="B714" t="str">
        <f>IF(PNL!B714="","",PNL!B714)</f>
        <v/>
      </c>
      <c r="C714" t="str">
        <f>IF(PNL!C714="","",PNL!C714)</f>
        <v/>
      </c>
      <c r="D714" t="str">
        <f>IF(PNL!D714="","",PNL!D714)</f>
        <v/>
      </c>
      <c r="E714" t="str">
        <f t="shared" si="121"/>
        <v/>
      </c>
      <c r="F714" t="str">
        <f>IF($A714="","",IF($E714=1,SUMIFS(Compta!$F$1:$F$675,Compta!$A$1:$A$675,$A714,Compta!$B$1:$B$675,$B714,Compta!$C$1:$C$675,"2026"),0))</f>
        <v/>
      </c>
      <c r="G714" t="str">
        <f t="shared" si="122"/>
        <v/>
      </c>
      <c r="H714" t="str">
        <f t="shared" si="123"/>
        <v/>
      </c>
      <c r="I714" t="str">
        <f t="shared" si="124"/>
        <v/>
      </c>
      <c r="J714" t="str">
        <f t="shared" si="125"/>
        <v/>
      </c>
      <c r="K714" t="str">
        <f t="shared" si="126"/>
        <v/>
      </c>
      <c r="L714" t="str">
        <f t="shared" si="127"/>
        <v/>
      </c>
      <c r="M714" t="str">
        <f t="shared" si="128"/>
        <v/>
      </c>
      <c r="N714" t="str">
        <f t="shared" si="129"/>
        <v/>
      </c>
      <c r="O714" t="str">
        <f t="shared" si="130"/>
        <v/>
      </c>
      <c r="P714" t="str">
        <f>IF($A714="","",IF($E714=1,$F714*$O714,PNL!G714))</f>
        <v/>
      </c>
      <c r="T714" t="str">
        <f t="shared" si="131"/>
        <v/>
      </c>
    </row>
    <row r="715" spans="1:20" x14ac:dyDescent="0.45">
      <c r="A715" t="str">
        <f>IF(PNL!A715="","",PNL!A715)</f>
        <v/>
      </c>
      <c r="B715" t="str">
        <f>IF(PNL!B715="","",PNL!B715)</f>
        <v/>
      </c>
      <c r="C715" t="str">
        <f>IF(PNL!C715="","",PNL!C715)</f>
        <v/>
      </c>
      <c r="D715" t="str">
        <f>IF(PNL!D715="","",PNL!D715)</f>
        <v/>
      </c>
      <c r="E715" t="str">
        <f t="shared" si="121"/>
        <v/>
      </c>
      <c r="F715" t="str">
        <f>IF($A715="","",IF($E715=1,SUMIFS(Compta!$F$1:$F$675,Compta!$A$1:$A$675,$A715,Compta!$B$1:$B$675,$B715,Compta!$C$1:$C$675,"2026"),0))</f>
        <v/>
      </c>
      <c r="G715" t="str">
        <f t="shared" si="122"/>
        <v/>
      </c>
      <c r="H715" t="str">
        <f t="shared" si="123"/>
        <v/>
      </c>
      <c r="I715" t="str">
        <f t="shared" si="124"/>
        <v/>
      </c>
      <c r="J715" t="str">
        <f t="shared" si="125"/>
        <v/>
      </c>
      <c r="K715" t="str">
        <f t="shared" si="126"/>
        <v/>
      </c>
      <c r="L715" t="str">
        <f t="shared" si="127"/>
        <v/>
      </c>
      <c r="M715" t="str">
        <f t="shared" si="128"/>
        <v/>
      </c>
      <c r="N715" t="str">
        <f t="shared" si="129"/>
        <v/>
      </c>
      <c r="O715" t="str">
        <f t="shared" si="130"/>
        <v/>
      </c>
      <c r="P715" t="str">
        <f>IF($A715="","",IF($E715=1,$F715*$O715,PNL!G715))</f>
        <v/>
      </c>
      <c r="T715" t="str">
        <f t="shared" si="131"/>
        <v/>
      </c>
    </row>
    <row r="716" spans="1:20" x14ac:dyDescent="0.45">
      <c r="A716" t="str">
        <f>IF(PNL!A716="","",PNL!A716)</f>
        <v/>
      </c>
      <c r="B716" t="str">
        <f>IF(PNL!B716="","",PNL!B716)</f>
        <v/>
      </c>
      <c r="C716" t="str">
        <f>IF(PNL!C716="","",PNL!C716)</f>
        <v/>
      </c>
      <c r="D716" t="str">
        <f>IF(PNL!D716="","",PNL!D716)</f>
        <v/>
      </c>
      <c r="E716" t="str">
        <f t="shared" si="121"/>
        <v/>
      </c>
      <c r="F716" t="str">
        <f>IF($A716="","",IF($E716=1,SUMIFS(Compta!$F$1:$F$675,Compta!$A$1:$A$675,$A716,Compta!$B$1:$B$675,$B716,Compta!$C$1:$C$675,"2026"),0))</f>
        <v/>
      </c>
      <c r="G716" t="str">
        <f t="shared" si="122"/>
        <v/>
      </c>
      <c r="H716" t="str">
        <f t="shared" si="123"/>
        <v/>
      </c>
      <c r="I716" t="str">
        <f t="shared" si="124"/>
        <v/>
      </c>
      <c r="J716" t="str">
        <f t="shared" si="125"/>
        <v/>
      </c>
      <c r="K716" t="str">
        <f t="shared" si="126"/>
        <v/>
      </c>
      <c r="L716" t="str">
        <f t="shared" si="127"/>
        <v/>
      </c>
      <c r="M716" t="str">
        <f t="shared" si="128"/>
        <v/>
      </c>
      <c r="N716" t="str">
        <f t="shared" si="129"/>
        <v/>
      </c>
      <c r="O716" t="str">
        <f t="shared" si="130"/>
        <v/>
      </c>
      <c r="P716" t="str">
        <f>IF($A716="","",IF($E716=1,$F716*$O716,PNL!G716))</f>
        <v/>
      </c>
      <c r="T716" t="str">
        <f t="shared" si="131"/>
        <v/>
      </c>
    </row>
    <row r="717" spans="1:20" x14ac:dyDescent="0.45">
      <c r="A717" t="str">
        <f>IF(PNL!A717="","",PNL!A717)</f>
        <v/>
      </c>
      <c r="B717" t="str">
        <f>IF(PNL!B717="","",PNL!B717)</f>
        <v/>
      </c>
      <c r="C717" t="str">
        <f>IF(PNL!C717="","",PNL!C717)</f>
        <v/>
      </c>
      <c r="D717" t="str">
        <f>IF(PNL!D717="","",PNL!D717)</f>
        <v/>
      </c>
      <c r="E717" t="str">
        <f t="shared" si="121"/>
        <v/>
      </c>
      <c r="F717" t="str">
        <f>IF($A717="","",IF($E717=1,SUMIFS(Compta!$F$1:$F$675,Compta!$A$1:$A$675,$A717,Compta!$B$1:$B$675,$B717,Compta!$C$1:$C$675,"2026"),0))</f>
        <v/>
      </c>
      <c r="G717" t="str">
        <f t="shared" si="122"/>
        <v/>
      </c>
      <c r="H717" t="str">
        <f t="shared" si="123"/>
        <v/>
      </c>
      <c r="I717" t="str">
        <f t="shared" si="124"/>
        <v/>
      </c>
      <c r="J717" t="str">
        <f t="shared" si="125"/>
        <v/>
      </c>
      <c r="K717" t="str">
        <f t="shared" si="126"/>
        <v/>
      </c>
      <c r="L717" t="str">
        <f t="shared" si="127"/>
        <v/>
      </c>
      <c r="M717" t="str">
        <f t="shared" si="128"/>
        <v/>
      </c>
      <c r="N717" t="str">
        <f t="shared" si="129"/>
        <v/>
      </c>
      <c r="O717" t="str">
        <f t="shared" si="130"/>
        <v/>
      </c>
      <c r="P717" t="str">
        <f>IF($A717="","",IF($E717=1,$F717*$O717,PNL!G717))</f>
        <v/>
      </c>
      <c r="T717" t="str">
        <f t="shared" si="131"/>
        <v/>
      </c>
    </row>
    <row r="718" spans="1:20" x14ac:dyDescent="0.45">
      <c r="A718" t="str">
        <f>IF(PNL!A718="","",PNL!A718)</f>
        <v/>
      </c>
      <c r="B718" t="str">
        <f>IF(PNL!B718="","",PNL!B718)</f>
        <v/>
      </c>
      <c r="C718" t="str">
        <f>IF(PNL!C718="","",PNL!C718)</f>
        <v/>
      </c>
      <c r="D718" t="str">
        <f>IF(PNL!D718="","",PNL!D718)</f>
        <v/>
      </c>
      <c r="E718" t="str">
        <f t="shared" si="121"/>
        <v/>
      </c>
      <c r="F718" t="str">
        <f>IF($A718="","",IF($E718=1,SUMIFS(Compta!$F$1:$F$675,Compta!$A$1:$A$675,$A718,Compta!$B$1:$B$675,$B718,Compta!$C$1:$C$675,"2026"),0))</f>
        <v/>
      </c>
      <c r="G718" t="str">
        <f t="shared" si="122"/>
        <v/>
      </c>
      <c r="H718" t="str">
        <f t="shared" si="123"/>
        <v/>
      </c>
      <c r="I718" t="str">
        <f t="shared" si="124"/>
        <v/>
      </c>
      <c r="J718" t="str">
        <f t="shared" si="125"/>
        <v/>
      </c>
      <c r="K718" t="str">
        <f t="shared" si="126"/>
        <v/>
      </c>
      <c r="L718" t="str">
        <f t="shared" si="127"/>
        <v/>
      </c>
      <c r="M718" t="str">
        <f t="shared" si="128"/>
        <v/>
      </c>
      <c r="N718" t="str">
        <f t="shared" si="129"/>
        <v/>
      </c>
      <c r="O718" t="str">
        <f t="shared" si="130"/>
        <v/>
      </c>
      <c r="P718" t="str">
        <f>IF($A718="","",IF($E718=1,$F718*$O718,PNL!G718))</f>
        <v/>
      </c>
      <c r="T718" t="str">
        <f t="shared" si="131"/>
        <v/>
      </c>
    </row>
    <row r="719" spans="1:20" x14ac:dyDescent="0.45">
      <c r="A719" t="str">
        <f>IF(PNL!A719="","",PNL!A719)</f>
        <v/>
      </c>
      <c r="B719" t="str">
        <f>IF(PNL!B719="","",PNL!B719)</f>
        <v/>
      </c>
      <c r="C719" t="str">
        <f>IF(PNL!C719="","",PNL!C719)</f>
        <v/>
      </c>
      <c r="D719" t="str">
        <f>IF(PNL!D719="","",PNL!D719)</f>
        <v/>
      </c>
      <c r="E719" t="str">
        <f t="shared" si="121"/>
        <v/>
      </c>
      <c r="F719" t="str">
        <f>IF($A719="","",IF($E719=1,SUMIFS(Compta!$F$1:$F$675,Compta!$A$1:$A$675,$A719,Compta!$B$1:$B$675,$B719,Compta!$C$1:$C$675,"2026"),0))</f>
        <v/>
      </c>
      <c r="G719" t="str">
        <f t="shared" si="122"/>
        <v/>
      </c>
      <c r="H719" t="str">
        <f t="shared" si="123"/>
        <v/>
      </c>
      <c r="I719" t="str">
        <f t="shared" si="124"/>
        <v/>
      </c>
      <c r="J719" t="str">
        <f t="shared" si="125"/>
        <v/>
      </c>
      <c r="K719" t="str">
        <f t="shared" si="126"/>
        <v/>
      </c>
      <c r="L719" t="str">
        <f t="shared" si="127"/>
        <v/>
      </c>
      <c r="M719" t="str">
        <f t="shared" si="128"/>
        <v/>
      </c>
      <c r="N719" t="str">
        <f t="shared" si="129"/>
        <v/>
      </c>
      <c r="O719" t="str">
        <f t="shared" si="130"/>
        <v/>
      </c>
      <c r="P719" t="str">
        <f>IF($A719="","",IF($E719=1,$F719*$O719,PNL!G719))</f>
        <v/>
      </c>
      <c r="T719" t="str">
        <f t="shared" si="131"/>
        <v/>
      </c>
    </row>
    <row r="720" spans="1:20" x14ac:dyDescent="0.45">
      <c r="A720" t="str">
        <f>IF(PNL!A720="","",PNL!A720)</f>
        <v/>
      </c>
      <c r="B720" t="str">
        <f>IF(PNL!B720="","",PNL!B720)</f>
        <v/>
      </c>
      <c r="C720" t="str">
        <f>IF(PNL!C720="","",PNL!C720)</f>
        <v/>
      </c>
      <c r="D720" t="str">
        <f>IF(PNL!D720="","",PNL!D720)</f>
        <v/>
      </c>
      <c r="E720" t="str">
        <f t="shared" si="121"/>
        <v/>
      </c>
      <c r="F720" t="str">
        <f>IF($A720="","",IF($E720=1,SUMIFS(Compta!$F$1:$F$675,Compta!$A$1:$A$675,$A720,Compta!$B$1:$B$675,$B720,Compta!$C$1:$C$675,"2026"),0))</f>
        <v/>
      </c>
      <c r="G720" t="str">
        <f t="shared" si="122"/>
        <v/>
      </c>
      <c r="H720" t="str">
        <f t="shared" si="123"/>
        <v/>
      </c>
      <c r="I720" t="str">
        <f t="shared" si="124"/>
        <v/>
      </c>
      <c r="J720" t="str">
        <f t="shared" si="125"/>
        <v/>
      </c>
      <c r="K720" t="str">
        <f t="shared" si="126"/>
        <v/>
      </c>
      <c r="L720" t="str">
        <f t="shared" si="127"/>
        <v/>
      </c>
      <c r="M720" t="str">
        <f t="shared" si="128"/>
        <v/>
      </c>
      <c r="N720" t="str">
        <f t="shared" si="129"/>
        <v/>
      </c>
      <c r="O720" t="str">
        <f t="shared" si="130"/>
        <v/>
      </c>
      <c r="P720" t="str">
        <f>IF($A720="","",IF($E720=1,$F720*$O720,PNL!G720))</f>
        <v/>
      </c>
      <c r="T720" t="str">
        <f t="shared" si="131"/>
        <v/>
      </c>
    </row>
    <row r="721" spans="1:20" x14ac:dyDescent="0.45">
      <c r="A721" t="str">
        <f>IF(PNL!A721="","",PNL!A721)</f>
        <v/>
      </c>
      <c r="B721" t="str">
        <f>IF(PNL!B721="","",PNL!B721)</f>
        <v/>
      </c>
      <c r="C721" t="str">
        <f>IF(PNL!C721="","",PNL!C721)</f>
        <v/>
      </c>
      <c r="D721" t="str">
        <f>IF(PNL!D721="","",PNL!D721)</f>
        <v/>
      </c>
      <c r="E721" t="str">
        <f t="shared" si="121"/>
        <v/>
      </c>
      <c r="F721" t="str">
        <f>IF($A721="","",IF($E721=1,SUMIFS(Compta!$F$1:$F$675,Compta!$A$1:$A$675,$A721,Compta!$B$1:$B$675,$B721,Compta!$C$1:$C$675,"2026"),0))</f>
        <v/>
      </c>
      <c r="G721" t="str">
        <f t="shared" si="122"/>
        <v/>
      </c>
      <c r="H721" t="str">
        <f t="shared" si="123"/>
        <v/>
      </c>
      <c r="I721" t="str">
        <f t="shared" si="124"/>
        <v/>
      </c>
      <c r="J721" t="str">
        <f t="shared" si="125"/>
        <v/>
      </c>
      <c r="K721" t="str">
        <f t="shared" si="126"/>
        <v/>
      </c>
      <c r="L721" t="str">
        <f t="shared" si="127"/>
        <v/>
      </c>
      <c r="M721" t="str">
        <f t="shared" si="128"/>
        <v/>
      </c>
      <c r="N721" t="str">
        <f t="shared" si="129"/>
        <v/>
      </c>
      <c r="O721" t="str">
        <f t="shared" si="130"/>
        <v/>
      </c>
      <c r="P721" t="str">
        <f>IF($A721="","",IF($E721=1,$F721*$O721,PNL!G721))</f>
        <v/>
      </c>
      <c r="T721" t="str">
        <f t="shared" si="131"/>
        <v/>
      </c>
    </row>
    <row r="722" spans="1:20" x14ac:dyDescent="0.45">
      <c r="A722" t="str">
        <f>IF(PNL!A722="","",PNL!A722)</f>
        <v/>
      </c>
      <c r="B722" t="str">
        <f>IF(PNL!B722="","",PNL!B722)</f>
        <v/>
      </c>
      <c r="C722" t="str">
        <f>IF(PNL!C722="","",PNL!C722)</f>
        <v/>
      </c>
      <c r="D722" t="str">
        <f>IF(PNL!D722="","",PNL!D722)</f>
        <v/>
      </c>
      <c r="E722" t="str">
        <f t="shared" si="121"/>
        <v/>
      </c>
      <c r="F722" t="str">
        <f>IF($A722="","",IF($E722=1,SUMIFS(Compta!$F$1:$F$675,Compta!$A$1:$A$675,$A722,Compta!$B$1:$B$675,$B722,Compta!$C$1:$C$675,"2026"),0))</f>
        <v/>
      </c>
      <c r="G722" t="str">
        <f t="shared" si="122"/>
        <v/>
      </c>
      <c r="H722" t="str">
        <f t="shared" si="123"/>
        <v/>
      </c>
      <c r="I722" t="str">
        <f t="shared" si="124"/>
        <v/>
      </c>
      <c r="J722" t="str">
        <f t="shared" si="125"/>
        <v/>
      </c>
      <c r="K722" t="str">
        <f t="shared" si="126"/>
        <v/>
      </c>
      <c r="L722" t="str">
        <f t="shared" si="127"/>
        <v/>
      </c>
      <c r="M722" t="str">
        <f t="shared" si="128"/>
        <v/>
      </c>
      <c r="N722" t="str">
        <f t="shared" si="129"/>
        <v/>
      </c>
      <c r="O722" t="str">
        <f t="shared" si="130"/>
        <v/>
      </c>
      <c r="P722" t="str">
        <f>IF($A722="","",IF($E722=1,$F722*$O722,PNL!G722))</f>
        <v/>
      </c>
      <c r="T722" t="str">
        <f t="shared" si="131"/>
        <v/>
      </c>
    </row>
    <row r="723" spans="1:20" x14ac:dyDescent="0.45">
      <c r="A723" t="str">
        <f>IF(PNL!A723="","",PNL!A723)</f>
        <v/>
      </c>
      <c r="B723" t="str">
        <f>IF(PNL!B723="","",PNL!B723)</f>
        <v/>
      </c>
      <c r="C723" t="str">
        <f>IF(PNL!C723="","",PNL!C723)</f>
        <v/>
      </c>
      <c r="D723" t="str">
        <f>IF(PNL!D723="","",PNL!D723)</f>
        <v/>
      </c>
      <c r="E723" t="str">
        <f t="shared" si="121"/>
        <v/>
      </c>
      <c r="F723" t="str">
        <f>IF($A723="","",IF($E723=1,SUMIFS(Compta!$F$1:$F$675,Compta!$A$1:$A$675,$A723,Compta!$B$1:$B$675,$B723,Compta!$C$1:$C$675,"2026"),0))</f>
        <v/>
      </c>
      <c r="G723" t="str">
        <f t="shared" si="122"/>
        <v/>
      </c>
      <c r="H723" t="str">
        <f t="shared" si="123"/>
        <v/>
      </c>
      <c r="I723" t="str">
        <f t="shared" si="124"/>
        <v/>
      </c>
      <c r="J723" t="str">
        <f t="shared" si="125"/>
        <v/>
      </c>
      <c r="K723" t="str">
        <f t="shared" si="126"/>
        <v/>
      </c>
      <c r="L723" t="str">
        <f t="shared" si="127"/>
        <v/>
      </c>
      <c r="M723" t="str">
        <f t="shared" si="128"/>
        <v/>
      </c>
      <c r="N723" t="str">
        <f t="shared" si="129"/>
        <v/>
      </c>
      <c r="O723" t="str">
        <f t="shared" si="130"/>
        <v/>
      </c>
      <c r="P723" t="str">
        <f>IF($A723="","",IF($E723=1,$F723*$O723,PNL!G723))</f>
        <v/>
      </c>
      <c r="T723" t="str">
        <f t="shared" si="131"/>
        <v/>
      </c>
    </row>
    <row r="724" spans="1:20" x14ac:dyDescent="0.45">
      <c r="A724" t="str">
        <f>IF(PNL!A724="","",PNL!A724)</f>
        <v/>
      </c>
      <c r="B724" t="str">
        <f>IF(PNL!B724="","",PNL!B724)</f>
        <v/>
      </c>
      <c r="C724" t="str">
        <f>IF(PNL!C724="","",PNL!C724)</f>
        <v/>
      </c>
      <c r="D724" t="str">
        <f>IF(PNL!D724="","",PNL!D724)</f>
        <v/>
      </c>
      <c r="E724" t="str">
        <f t="shared" si="121"/>
        <v/>
      </c>
      <c r="F724" t="str">
        <f>IF($A724="","",IF($E724=1,SUMIFS(Compta!$F$1:$F$675,Compta!$A$1:$A$675,$A724,Compta!$B$1:$B$675,$B724,Compta!$C$1:$C$675,"2026"),0))</f>
        <v/>
      </c>
      <c r="G724" t="str">
        <f t="shared" si="122"/>
        <v/>
      </c>
      <c r="H724" t="str">
        <f t="shared" si="123"/>
        <v/>
      </c>
      <c r="I724" t="str">
        <f t="shared" si="124"/>
        <v/>
      </c>
      <c r="J724" t="str">
        <f t="shared" si="125"/>
        <v/>
      </c>
      <c r="K724" t="str">
        <f t="shared" si="126"/>
        <v/>
      </c>
      <c r="L724" t="str">
        <f t="shared" si="127"/>
        <v/>
      </c>
      <c r="M724" t="str">
        <f t="shared" si="128"/>
        <v/>
      </c>
      <c r="N724" t="str">
        <f t="shared" si="129"/>
        <v/>
      </c>
      <c r="O724" t="str">
        <f t="shared" si="130"/>
        <v/>
      </c>
      <c r="P724" t="str">
        <f>IF($A724="","",IF($E724=1,$F724*$O724,PNL!G724))</f>
        <v/>
      </c>
      <c r="T724" t="str">
        <f t="shared" si="131"/>
        <v/>
      </c>
    </row>
    <row r="725" spans="1:20" x14ac:dyDescent="0.45">
      <c r="A725" t="str">
        <f>IF(PNL!A725="","",PNL!A725)</f>
        <v/>
      </c>
      <c r="B725" t="str">
        <f>IF(PNL!B725="","",PNL!B725)</f>
        <v/>
      </c>
      <c r="C725" t="str">
        <f>IF(PNL!C725="","",PNL!C725)</f>
        <v/>
      </c>
      <c r="D725" t="str">
        <f>IF(PNL!D725="","",PNL!D725)</f>
        <v/>
      </c>
      <c r="E725" t="str">
        <f t="shared" si="121"/>
        <v/>
      </c>
      <c r="F725" t="str">
        <f>IF($A725="","",IF($E725=1,SUMIFS(Compta!$F$1:$F$675,Compta!$A$1:$A$675,$A725,Compta!$B$1:$B$675,$B725,Compta!$C$1:$C$675,"2026"),0))</f>
        <v/>
      </c>
      <c r="G725" t="str">
        <f t="shared" si="122"/>
        <v/>
      </c>
      <c r="H725" t="str">
        <f t="shared" si="123"/>
        <v/>
      </c>
      <c r="I725" t="str">
        <f t="shared" si="124"/>
        <v/>
      </c>
      <c r="J725" t="str">
        <f t="shared" si="125"/>
        <v/>
      </c>
      <c r="K725" t="str">
        <f t="shared" si="126"/>
        <v/>
      </c>
      <c r="L725" t="str">
        <f t="shared" si="127"/>
        <v/>
      </c>
      <c r="M725" t="str">
        <f t="shared" si="128"/>
        <v/>
      </c>
      <c r="N725" t="str">
        <f t="shared" si="129"/>
        <v/>
      </c>
      <c r="O725" t="str">
        <f t="shared" si="130"/>
        <v/>
      </c>
      <c r="P725" t="str">
        <f>IF($A725="","",IF($E725=1,$F725*$O725,PNL!G725))</f>
        <v/>
      </c>
      <c r="T725" t="str">
        <f t="shared" si="131"/>
        <v/>
      </c>
    </row>
    <row r="726" spans="1:20" x14ac:dyDescent="0.45">
      <c r="A726" t="str">
        <f>IF(PNL!A726="","",PNL!A726)</f>
        <v/>
      </c>
      <c r="B726" t="str">
        <f>IF(PNL!B726="","",PNL!B726)</f>
        <v/>
      </c>
      <c r="C726" t="str">
        <f>IF(PNL!C726="","",PNL!C726)</f>
        <v/>
      </c>
      <c r="D726" t="str">
        <f>IF(PNL!D726="","",PNL!D726)</f>
        <v/>
      </c>
      <c r="E726" t="str">
        <f t="shared" si="121"/>
        <v/>
      </c>
      <c r="F726" t="str">
        <f>IF($A726="","",IF($E726=1,SUMIFS(Compta!$F$1:$F$675,Compta!$A$1:$A$675,$A726,Compta!$B$1:$B$675,$B726,Compta!$C$1:$C$675,"2026"),0))</f>
        <v/>
      </c>
      <c r="G726" t="str">
        <f t="shared" si="122"/>
        <v/>
      </c>
      <c r="H726" t="str">
        <f t="shared" si="123"/>
        <v/>
      </c>
      <c r="I726" t="str">
        <f t="shared" si="124"/>
        <v/>
      </c>
      <c r="J726" t="str">
        <f t="shared" si="125"/>
        <v/>
      </c>
      <c r="K726" t="str">
        <f t="shared" si="126"/>
        <v/>
      </c>
      <c r="L726" t="str">
        <f t="shared" si="127"/>
        <v/>
      </c>
      <c r="M726" t="str">
        <f t="shared" si="128"/>
        <v/>
      </c>
      <c r="N726" t="str">
        <f t="shared" si="129"/>
        <v/>
      </c>
      <c r="O726" t="str">
        <f t="shared" si="130"/>
        <v/>
      </c>
      <c r="P726" t="str">
        <f>IF($A726="","",IF($E726=1,$F726*$O726,PNL!G726))</f>
        <v/>
      </c>
      <c r="T726" t="str">
        <f t="shared" si="131"/>
        <v/>
      </c>
    </row>
    <row r="727" spans="1:20" x14ac:dyDescent="0.45">
      <c r="A727" t="str">
        <f>IF(PNL!A727="","",PNL!A727)</f>
        <v/>
      </c>
      <c r="B727" t="str">
        <f>IF(PNL!B727="","",PNL!B727)</f>
        <v/>
      </c>
      <c r="C727" t="str">
        <f>IF(PNL!C727="","",PNL!C727)</f>
        <v/>
      </c>
      <c r="D727" t="str">
        <f>IF(PNL!D727="","",PNL!D727)</f>
        <v/>
      </c>
      <c r="E727" t="str">
        <f t="shared" si="121"/>
        <v/>
      </c>
      <c r="F727" t="str">
        <f>IF($A727="","",IF($E727=1,SUMIFS(Compta!$F$1:$F$675,Compta!$A$1:$A$675,$A727,Compta!$B$1:$B$675,$B727,Compta!$C$1:$C$675,"2026"),0))</f>
        <v/>
      </c>
      <c r="G727" t="str">
        <f t="shared" si="122"/>
        <v/>
      </c>
      <c r="H727" t="str">
        <f t="shared" si="123"/>
        <v/>
      </c>
      <c r="I727" t="str">
        <f t="shared" si="124"/>
        <v/>
      </c>
      <c r="J727" t="str">
        <f t="shared" si="125"/>
        <v/>
      </c>
      <c r="K727" t="str">
        <f t="shared" si="126"/>
        <v/>
      </c>
      <c r="L727" t="str">
        <f t="shared" si="127"/>
        <v/>
      </c>
      <c r="M727" t="str">
        <f t="shared" si="128"/>
        <v/>
      </c>
      <c r="N727" t="str">
        <f t="shared" si="129"/>
        <v/>
      </c>
      <c r="O727" t="str">
        <f t="shared" si="130"/>
        <v/>
      </c>
      <c r="P727" t="str">
        <f>IF($A727="","",IF($E727=1,$F727*$O727,PNL!G727))</f>
        <v/>
      </c>
      <c r="T727" t="str">
        <f t="shared" si="131"/>
        <v/>
      </c>
    </row>
    <row r="728" spans="1:20" x14ac:dyDescent="0.45">
      <c r="A728" t="str">
        <f>IF(PNL!A728="","",PNL!A728)</f>
        <v/>
      </c>
      <c r="B728" t="str">
        <f>IF(PNL!B728="","",PNL!B728)</f>
        <v/>
      </c>
      <c r="C728" t="str">
        <f>IF(PNL!C728="","",PNL!C728)</f>
        <v/>
      </c>
      <c r="D728" t="str">
        <f>IF(PNL!D728="","",PNL!D728)</f>
        <v/>
      </c>
      <c r="E728" t="str">
        <f t="shared" si="121"/>
        <v/>
      </c>
      <c r="F728" t="str">
        <f>IF($A728="","",IF($E728=1,SUMIFS(Compta!$F$1:$F$675,Compta!$A$1:$A$675,$A728,Compta!$B$1:$B$675,$B728,Compta!$C$1:$C$675,"2026"),0))</f>
        <v/>
      </c>
      <c r="G728" t="str">
        <f t="shared" si="122"/>
        <v/>
      </c>
      <c r="H728" t="str">
        <f t="shared" si="123"/>
        <v/>
      </c>
      <c r="I728" t="str">
        <f t="shared" si="124"/>
        <v/>
      </c>
      <c r="J728" t="str">
        <f t="shared" si="125"/>
        <v/>
      </c>
      <c r="K728" t="str">
        <f t="shared" si="126"/>
        <v/>
      </c>
      <c r="L728" t="str">
        <f t="shared" si="127"/>
        <v/>
      </c>
      <c r="M728" t="str">
        <f t="shared" si="128"/>
        <v/>
      </c>
      <c r="N728" t="str">
        <f t="shared" si="129"/>
        <v/>
      </c>
      <c r="O728" t="str">
        <f t="shared" si="130"/>
        <v/>
      </c>
      <c r="P728" t="str">
        <f>IF($A728="","",IF($E728=1,$F728*$O728,PNL!G728))</f>
        <v/>
      </c>
      <c r="T728" t="str">
        <f t="shared" si="131"/>
        <v/>
      </c>
    </row>
    <row r="729" spans="1:20" x14ac:dyDescent="0.45">
      <c r="A729" t="str">
        <f>IF(PNL!A729="","",PNL!A729)</f>
        <v/>
      </c>
      <c r="B729" t="str">
        <f>IF(PNL!B729="","",PNL!B729)</f>
        <v/>
      </c>
      <c r="C729" t="str">
        <f>IF(PNL!C729="","",PNL!C729)</f>
        <v/>
      </c>
      <c r="D729" t="str">
        <f>IF(PNL!D729="","",PNL!D729)</f>
        <v/>
      </c>
      <c r="E729" t="str">
        <f t="shared" si="121"/>
        <v/>
      </c>
      <c r="F729" t="str">
        <f>IF($A729="","",IF($E729=1,SUMIFS(Compta!$F$1:$F$675,Compta!$A$1:$A$675,$A729,Compta!$B$1:$B$675,$B729,Compta!$C$1:$C$675,"2026"),0))</f>
        <v/>
      </c>
      <c r="G729" t="str">
        <f t="shared" si="122"/>
        <v/>
      </c>
      <c r="H729" t="str">
        <f t="shared" si="123"/>
        <v/>
      </c>
      <c r="I729" t="str">
        <f t="shared" si="124"/>
        <v/>
      </c>
      <c r="J729" t="str">
        <f t="shared" si="125"/>
        <v/>
      </c>
      <c r="K729" t="str">
        <f t="shared" si="126"/>
        <v/>
      </c>
      <c r="L729" t="str">
        <f t="shared" si="127"/>
        <v/>
      </c>
      <c r="M729" t="str">
        <f t="shared" si="128"/>
        <v/>
      </c>
      <c r="N729" t="str">
        <f t="shared" si="129"/>
        <v/>
      </c>
      <c r="O729" t="str">
        <f t="shared" si="130"/>
        <v/>
      </c>
      <c r="P729" t="str">
        <f>IF($A729="","",IF($E729=1,$F729*$O729,PNL!G729))</f>
        <v/>
      </c>
      <c r="T729" t="str">
        <f t="shared" si="131"/>
        <v/>
      </c>
    </row>
    <row r="730" spans="1:20" x14ac:dyDescent="0.45">
      <c r="A730" t="str">
        <f>IF(PNL!A730="","",PNL!A730)</f>
        <v/>
      </c>
      <c r="B730" t="str">
        <f>IF(PNL!B730="","",PNL!B730)</f>
        <v/>
      </c>
      <c r="C730" t="str">
        <f>IF(PNL!C730="","",PNL!C730)</f>
        <v/>
      </c>
      <c r="D730" t="str">
        <f>IF(PNL!D730="","",PNL!D730)</f>
        <v/>
      </c>
      <c r="E730" t="str">
        <f t="shared" si="121"/>
        <v/>
      </c>
      <c r="F730" t="str">
        <f>IF($A730="","",IF($E730=1,SUMIFS(Compta!$F$1:$F$675,Compta!$A$1:$A$675,$A730,Compta!$B$1:$B$675,$B730,Compta!$C$1:$C$675,"2026"),0))</f>
        <v/>
      </c>
      <c r="G730" t="str">
        <f t="shared" si="122"/>
        <v/>
      </c>
      <c r="H730" t="str">
        <f t="shared" si="123"/>
        <v/>
      </c>
      <c r="I730" t="str">
        <f t="shared" si="124"/>
        <v/>
      </c>
      <c r="J730" t="str">
        <f t="shared" si="125"/>
        <v/>
      </c>
      <c r="K730" t="str">
        <f t="shared" si="126"/>
        <v/>
      </c>
      <c r="L730" t="str">
        <f t="shared" si="127"/>
        <v/>
      </c>
      <c r="M730" t="str">
        <f t="shared" si="128"/>
        <v/>
      </c>
      <c r="N730" t="str">
        <f t="shared" si="129"/>
        <v/>
      </c>
      <c r="O730" t="str">
        <f t="shared" si="130"/>
        <v/>
      </c>
      <c r="P730" t="str">
        <f>IF($A730="","",IF($E730=1,$F730*$O730,PNL!G730))</f>
        <v/>
      </c>
      <c r="T730" t="str">
        <f t="shared" si="131"/>
        <v/>
      </c>
    </row>
    <row r="731" spans="1:20" x14ac:dyDescent="0.45">
      <c r="A731" t="str">
        <f>IF(PNL!A731="","",PNL!A731)</f>
        <v/>
      </c>
      <c r="B731" t="str">
        <f>IF(PNL!B731="","",PNL!B731)</f>
        <v/>
      </c>
      <c r="C731" t="str">
        <f>IF(PNL!C731="","",PNL!C731)</f>
        <v/>
      </c>
      <c r="D731" t="str">
        <f>IF(PNL!D731="","",PNL!D731)</f>
        <v/>
      </c>
      <c r="E731" t="str">
        <f t="shared" si="121"/>
        <v/>
      </c>
      <c r="F731" t="str">
        <f>IF($A731="","",IF($E731=1,SUMIFS(Compta!$F$1:$F$675,Compta!$A$1:$A$675,$A731,Compta!$B$1:$B$675,$B731,Compta!$C$1:$C$675,"2026"),0))</f>
        <v/>
      </c>
      <c r="G731" t="str">
        <f t="shared" si="122"/>
        <v/>
      </c>
      <c r="H731" t="str">
        <f t="shared" si="123"/>
        <v/>
      </c>
      <c r="I731" t="str">
        <f t="shared" si="124"/>
        <v/>
      </c>
      <c r="J731" t="str">
        <f t="shared" si="125"/>
        <v/>
      </c>
      <c r="K731" t="str">
        <f t="shared" si="126"/>
        <v/>
      </c>
      <c r="L731" t="str">
        <f t="shared" si="127"/>
        <v/>
      </c>
      <c r="M731" t="str">
        <f t="shared" si="128"/>
        <v/>
      </c>
      <c r="N731" t="str">
        <f t="shared" si="129"/>
        <v/>
      </c>
      <c r="O731" t="str">
        <f t="shared" si="130"/>
        <v/>
      </c>
      <c r="P731" t="str">
        <f>IF($A731="","",IF($E731=1,$F731*$O731,PNL!G731))</f>
        <v/>
      </c>
      <c r="T731" t="str">
        <f t="shared" si="131"/>
        <v/>
      </c>
    </row>
    <row r="732" spans="1:20" x14ac:dyDescent="0.45">
      <c r="A732" t="str">
        <f>IF(PNL!A732="","",PNL!A732)</f>
        <v/>
      </c>
      <c r="B732" t="str">
        <f>IF(PNL!B732="","",PNL!B732)</f>
        <v/>
      </c>
      <c r="C732" t="str">
        <f>IF(PNL!C732="","",PNL!C732)</f>
        <v/>
      </c>
      <c r="D732" t="str">
        <f>IF(PNL!D732="","",PNL!D732)</f>
        <v/>
      </c>
      <c r="E732" t="str">
        <f t="shared" si="121"/>
        <v/>
      </c>
      <c r="F732" t="str">
        <f>IF($A732="","",IF($E732=1,SUMIFS(Compta!$F$1:$F$675,Compta!$A$1:$A$675,$A732,Compta!$B$1:$B$675,$B732,Compta!$C$1:$C$675,"2026"),0))</f>
        <v/>
      </c>
      <c r="G732" t="str">
        <f t="shared" si="122"/>
        <v/>
      </c>
      <c r="H732" t="str">
        <f t="shared" si="123"/>
        <v/>
      </c>
      <c r="I732" t="str">
        <f t="shared" si="124"/>
        <v/>
      </c>
      <c r="J732" t="str">
        <f t="shared" si="125"/>
        <v/>
      </c>
      <c r="K732" t="str">
        <f t="shared" si="126"/>
        <v/>
      </c>
      <c r="L732" t="str">
        <f t="shared" si="127"/>
        <v/>
      </c>
      <c r="M732" t="str">
        <f t="shared" si="128"/>
        <v/>
      </c>
      <c r="N732" t="str">
        <f t="shared" si="129"/>
        <v/>
      </c>
      <c r="O732" t="str">
        <f t="shared" si="130"/>
        <v/>
      </c>
      <c r="P732" t="str">
        <f>IF($A732="","",IF($E732=1,$F732*$O732,PNL!G732))</f>
        <v/>
      </c>
      <c r="T732" t="str">
        <f t="shared" si="131"/>
        <v/>
      </c>
    </row>
    <row r="733" spans="1:20" x14ac:dyDescent="0.45">
      <c r="A733" t="str">
        <f>IF(PNL!A733="","",PNL!A733)</f>
        <v/>
      </c>
      <c r="B733" t="str">
        <f>IF(PNL!B733="","",PNL!B733)</f>
        <v/>
      </c>
      <c r="C733" t="str">
        <f>IF(PNL!C733="","",PNL!C733)</f>
        <v/>
      </c>
      <c r="D733" t="str">
        <f>IF(PNL!D733="","",PNL!D733)</f>
        <v/>
      </c>
      <c r="E733" t="str">
        <f t="shared" si="121"/>
        <v/>
      </c>
      <c r="F733" t="str">
        <f>IF($A733="","",IF($E733=1,SUMIFS(Compta!$F$1:$F$675,Compta!$A$1:$A$675,$A733,Compta!$B$1:$B$675,$B733,Compta!$C$1:$C$675,"2026"),0))</f>
        <v/>
      </c>
      <c r="G733" t="str">
        <f t="shared" si="122"/>
        <v/>
      </c>
      <c r="H733" t="str">
        <f t="shared" si="123"/>
        <v/>
      </c>
      <c r="I733" t="str">
        <f t="shared" si="124"/>
        <v/>
      </c>
      <c r="J733" t="str">
        <f t="shared" si="125"/>
        <v/>
      </c>
      <c r="K733" t="str">
        <f t="shared" si="126"/>
        <v/>
      </c>
      <c r="L733" t="str">
        <f t="shared" si="127"/>
        <v/>
      </c>
      <c r="M733" t="str">
        <f t="shared" si="128"/>
        <v/>
      </c>
      <c r="N733" t="str">
        <f t="shared" si="129"/>
        <v/>
      </c>
      <c r="O733" t="str">
        <f t="shared" si="130"/>
        <v/>
      </c>
      <c r="P733" t="str">
        <f>IF($A733="","",IF($E733=1,$F733*$O733,PNL!G733))</f>
        <v/>
      </c>
      <c r="T733" t="str">
        <f t="shared" si="131"/>
        <v/>
      </c>
    </row>
    <row r="734" spans="1:20" x14ac:dyDescent="0.45">
      <c r="A734" t="str">
        <f>IF(PNL!A734="","",PNL!A734)</f>
        <v/>
      </c>
      <c r="B734" t="str">
        <f>IF(PNL!B734="","",PNL!B734)</f>
        <v/>
      </c>
      <c r="C734" t="str">
        <f>IF(PNL!C734="","",PNL!C734)</f>
        <v/>
      </c>
      <c r="D734" t="str">
        <f>IF(PNL!D734="","",PNL!D734)</f>
        <v/>
      </c>
      <c r="E734" t="str">
        <f t="shared" si="121"/>
        <v/>
      </c>
      <c r="F734" t="str">
        <f>IF($A734="","",IF($E734=1,SUMIFS(Compta!$F$1:$F$675,Compta!$A$1:$A$675,$A734,Compta!$B$1:$B$675,$B734,Compta!$C$1:$C$675,"2026"),0))</f>
        <v/>
      </c>
      <c r="G734" t="str">
        <f t="shared" si="122"/>
        <v/>
      </c>
      <c r="H734" t="str">
        <f t="shared" si="123"/>
        <v/>
      </c>
      <c r="I734" t="str">
        <f t="shared" si="124"/>
        <v/>
      </c>
      <c r="J734" t="str">
        <f t="shared" si="125"/>
        <v/>
      </c>
      <c r="K734" t="str">
        <f t="shared" si="126"/>
        <v/>
      </c>
      <c r="L734" t="str">
        <f t="shared" si="127"/>
        <v/>
      </c>
      <c r="M734" t="str">
        <f t="shared" si="128"/>
        <v/>
      </c>
      <c r="N734" t="str">
        <f t="shared" si="129"/>
        <v/>
      </c>
      <c r="O734" t="str">
        <f t="shared" si="130"/>
        <v/>
      </c>
      <c r="P734" t="str">
        <f>IF($A734="","",IF($E734=1,$F734*$O734,PNL!G734))</f>
        <v/>
      </c>
      <c r="T734" t="str">
        <f t="shared" si="131"/>
        <v/>
      </c>
    </row>
    <row r="735" spans="1:20" x14ac:dyDescent="0.45">
      <c r="A735" t="str">
        <f>IF(PNL!A735="","",PNL!A735)</f>
        <v/>
      </c>
      <c r="B735" t="str">
        <f>IF(PNL!B735="","",PNL!B735)</f>
        <v/>
      </c>
      <c r="C735" t="str">
        <f>IF(PNL!C735="","",PNL!C735)</f>
        <v/>
      </c>
      <c r="D735" t="str">
        <f>IF(PNL!D735="","",PNL!D735)</f>
        <v/>
      </c>
      <c r="E735" t="str">
        <f t="shared" si="121"/>
        <v/>
      </c>
      <c r="F735" t="str">
        <f>IF($A735="","",IF($E735=1,SUMIFS(Compta!$F$1:$F$675,Compta!$A$1:$A$675,$A735,Compta!$B$1:$B$675,$B735,Compta!$C$1:$C$675,"2026"),0))</f>
        <v/>
      </c>
      <c r="G735" t="str">
        <f t="shared" si="122"/>
        <v/>
      </c>
      <c r="H735" t="str">
        <f t="shared" si="123"/>
        <v/>
      </c>
      <c r="I735" t="str">
        <f t="shared" si="124"/>
        <v/>
      </c>
      <c r="J735" t="str">
        <f t="shared" si="125"/>
        <v/>
      </c>
      <c r="K735" t="str">
        <f t="shared" si="126"/>
        <v/>
      </c>
      <c r="L735" t="str">
        <f t="shared" si="127"/>
        <v/>
      </c>
      <c r="M735" t="str">
        <f t="shared" si="128"/>
        <v/>
      </c>
      <c r="N735" t="str">
        <f t="shared" si="129"/>
        <v/>
      </c>
      <c r="O735" t="str">
        <f t="shared" si="130"/>
        <v/>
      </c>
      <c r="P735" t="str">
        <f>IF($A735="","",IF($E735=1,$F735*$O735,PNL!G735))</f>
        <v/>
      </c>
      <c r="T735" t="str">
        <f t="shared" si="131"/>
        <v/>
      </c>
    </row>
    <row r="736" spans="1:20" x14ac:dyDescent="0.45">
      <c r="A736" t="str">
        <f>IF(PNL!A736="","",PNL!A736)</f>
        <v/>
      </c>
      <c r="B736" t="str">
        <f>IF(PNL!B736="","",PNL!B736)</f>
        <v/>
      </c>
      <c r="C736" t="str">
        <f>IF(PNL!C736="","",PNL!C736)</f>
        <v/>
      </c>
      <c r="D736" t="str">
        <f>IF(PNL!D736="","",PNL!D736)</f>
        <v/>
      </c>
      <c r="E736" t="str">
        <f t="shared" si="121"/>
        <v/>
      </c>
      <c r="F736" t="str">
        <f>IF($A736="","",IF($E736=1,SUMIFS(Compta!$F$1:$F$675,Compta!$A$1:$A$675,$A736,Compta!$B$1:$B$675,$B736,Compta!$C$1:$C$675,"2026"),0))</f>
        <v/>
      </c>
      <c r="G736" t="str">
        <f t="shared" si="122"/>
        <v/>
      </c>
      <c r="H736" t="str">
        <f t="shared" si="123"/>
        <v/>
      </c>
      <c r="I736" t="str">
        <f t="shared" si="124"/>
        <v/>
      </c>
      <c r="J736" t="str">
        <f t="shared" si="125"/>
        <v/>
      </c>
      <c r="K736" t="str">
        <f t="shared" si="126"/>
        <v/>
      </c>
      <c r="L736" t="str">
        <f t="shared" si="127"/>
        <v/>
      </c>
      <c r="M736" t="str">
        <f t="shared" si="128"/>
        <v/>
      </c>
      <c r="N736" t="str">
        <f t="shared" si="129"/>
        <v/>
      </c>
      <c r="O736" t="str">
        <f t="shared" si="130"/>
        <v/>
      </c>
      <c r="P736" t="str">
        <f>IF($A736="","",IF($E736=1,$F736*$O736,PNL!G736))</f>
        <v/>
      </c>
      <c r="T736" t="str">
        <f t="shared" si="131"/>
        <v/>
      </c>
    </row>
    <row r="737" spans="1:20" x14ac:dyDescent="0.45">
      <c r="A737" t="str">
        <f>IF(PNL!A737="","",PNL!A737)</f>
        <v/>
      </c>
      <c r="B737" t="str">
        <f>IF(PNL!B737="","",PNL!B737)</f>
        <v/>
      </c>
      <c r="C737" t="str">
        <f>IF(PNL!C737="","",PNL!C737)</f>
        <v/>
      </c>
      <c r="D737" t="str">
        <f>IF(PNL!D737="","",PNL!D737)</f>
        <v/>
      </c>
      <c r="E737" t="str">
        <f t="shared" si="121"/>
        <v/>
      </c>
      <c r="F737" t="str">
        <f>IF($A737="","",IF($E737=1,SUMIFS(Compta!$F$1:$F$675,Compta!$A$1:$A$675,$A737,Compta!$B$1:$B$675,$B737,Compta!$C$1:$C$675,"2026"),0))</f>
        <v/>
      </c>
      <c r="G737" t="str">
        <f t="shared" si="122"/>
        <v/>
      </c>
      <c r="H737" t="str">
        <f t="shared" si="123"/>
        <v/>
      </c>
      <c r="I737" t="str">
        <f t="shared" si="124"/>
        <v/>
      </c>
      <c r="J737" t="str">
        <f t="shared" si="125"/>
        <v/>
      </c>
      <c r="K737" t="str">
        <f t="shared" si="126"/>
        <v/>
      </c>
      <c r="L737" t="str">
        <f t="shared" si="127"/>
        <v/>
      </c>
      <c r="M737" t="str">
        <f t="shared" si="128"/>
        <v/>
      </c>
      <c r="N737" t="str">
        <f t="shared" si="129"/>
        <v/>
      </c>
      <c r="O737" t="str">
        <f t="shared" si="130"/>
        <v/>
      </c>
      <c r="P737" t="str">
        <f>IF($A737="","",IF($E737=1,$F737*$O737,PNL!G737))</f>
        <v/>
      </c>
      <c r="T737" t="str">
        <f t="shared" si="131"/>
        <v/>
      </c>
    </row>
    <row r="738" spans="1:20" x14ac:dyDescent="0.45">
      <c r="A738" t="str">
        <f>IF(PNL!A738="","",PNL!A738)</f>
        <v/>
      </c>
      <c r="B738" t="str">
        <f>IF(PNL!B738="","",PNL!B738)</f>
        <v/>
      </c>
      <c r="C738" t="str">
        <f>IF(PNL!C738="","",PNL!C738)</f>
        <v/>
      </c>
      <c r="D738" t="str">
        <f>IF(PNL!D738="","",PNL!D738)</f>
        <v/>
      </c>
      <c r="E738" t="str">
        <f t="shared" si="121"/>
        <v/>
      </c>
      <c r="F738" t="str">
        <f>IF($A738="","",IF($E738=1,SUMIFS(Compta!$F$1:$F$675,Compta!$A$1:$A$675,$A738,Compta!$B$1:$B$675,$B738,Compta!$C$1:$C$675,"2026"),0))</f>
        <v/>
      </c>
      <c r="G738" t="str">
        <f t="shared" si="122"/>
        <v/>
      </c>
      <c r="H738" t="str">
        <f t="shared" si="123"/>
        <v/>
      </c>
      <c r="I738" t="str">
        <f t="shared" si="124"/>
        <v/>
      </c>
      <c r="J738" t="str">
        <f t="shared" si="125"/>
        <v/>
      </c>
      <c r="K738" t="str">
        <f t="shared" si="126"/>
        <v/>
      </c>
      <c r="L738" t="str">
        <f t="shared" si="127"/>
        <v/>
      </c>
      <c r="M738" t="str">
        <f t="shared" si="128"/>
        <v/>
      </c>
      <c r="N738" t="str">
        <f t="shared" si="129"/>
        <v/>
      </c>
      <c r="O738" t="str">
        <f t="shared" si="130"/>
        <v/>
      </c>
      <c r="P738" t="str">
        <f>IF($A738="","",IF($E738=1,$F738*$O738,PNL!G738))</f>
        <v/>
      </c>
      <c r="T738" t="str">
        <f t="shared" si="131"/>
        <v/>
      </c>
    </row>
    <row r="739" spans="1:20" x14ac:dyDescent="0.45">
      <c r="A739" t="str">
        <f>IF(PNL!A739="","",PNL!A739)</f>
        <v/>
      </c>
      <c r="B739" t="str">
        <f>IF(PNL!B739="","",PNL!B739)</f>
        <v/>
      </c>
      <c r="C739" t="str">
        <f>IF(PNL!C739="","",PNL!C739)</f>
        <v/>
      </c>
      <c r="D739" t="str">
        <f>IF(PNL!D739="","",PNL!D739)</f>
        <v/>
      </c>
      <c r="E739" t="str">
        <f t="shared" si="121"/>
        <v/>
      </c>
      <c r="F739" t="str">
        <f>IF($A739="","",IF($E739=1,SUMIFS(Compta!$F$1:$F$675,Compta!$A$1:$A$675,$A739,Compta!$B$1:$B$675,$B739,Compta!$C$1:$C$675,"2026"),0))</f>
        <v/>
      </c>
      <c r="G739" t="str">
        <f t="shared" si="122"/>
        <v/>
      </c>
      <c r="H739" t="str">
        <f t="shared" si="123"/>
        <v/>
      </c>
      <c r="I739" t="str">
        <f t="shared" si="124"/>
        <v/>
      </c>
      <c r="J739" t="str">
        <f t="shared" si="125"/>
        <v/>
      </c>
      <c r="K739" t="str">
        <f t="shared" si="126"/>
        <v/>
      </c>
      <c r="L739" t="str">
        <f t="shared" si="127"/>
        <v/>
      </c>
      <c r="M739" t="str">
        <f t="shared" si="128"/>
        <v/>
      </c>
      <c r="N739" t="str">
        <f t="shared" si="129"/>
        <v/>
      </c>
      <c r="O739" t="str">
        <f t="shared" si="130"/>
        <v/>
      </c>
      <c r="P739" t="str">
        <f>IF($A739="","",IF($E739=1,$F739*$O739,PNL!G739))</f>
        <v/>
      </c>
      <c r="T739" t="str">
        <f t="shared" si="131"/>
        <v/>
      </c>
    </row>
    <row r="740" spans="1:20" x14ac:dyDescent="0.45">
      <c r="A740" t="str">
        <f>IF(PNL!A740="","",PNL!A740)</f>
        <v/>
      </c>
      <c r="B740" t="str">
        <f>IF(PNL!B740="","",PNL!B740)</f>
        <v/>
      </c>
      <c r="C740" t="str">
        <f>IF(PNL!C740="","",PNL!C740)</f>
        <v/>
      </c>
      <c r="D740" t="str">
        <f>IF(PNL!D740="","",PNL!D740)</f>
        <v/>
      </c>
      <c r="E740" t="str">
        <f t="shared" si="121"/>
        <v/>
      </c>
      <c r="F740" t="str">
        <f>IF($A740="","",IF($E740=1,SUMIFS(Compta!$F$1:$F$675,Compta!$A$1:$A$675,$A740,Compta!$B$1:$B$675,$B740,Compta!$C$1:$C$675,"2026"),0))</f>
        <v/>
      </c>
      <c r="G740" t="str">
        <f t="shared" si="122"/>
        <v/>
      </c>
      <c r="H740" t="str">
        <f t="shared" si="123"/>
        <v/>
      </c>
      <c r="I740" t="str">
        <f t="shared" si="124"/>
        <v/>
      </c>
      <c r="J740" t="str">
        <f t="shared" si="125"/>
        <v/>
      </c>
      <c r="K740" t="str">
        <f t="shared" si="126"/>
        <v/>
      </c>
      <c r="L740" t="str">
        <f t="shared" si="127"/>
        <v/>
      </c>
      <c r="M740" t="str">
        <f t="shared" si="128"/>
        <v/>
      </c>
      <c r="N740" t="str">
        <f t="shared" si="129"/>
        <v/>
      </c>
      <c r="O740" t="str">
        <f t="shared" si="130"/>
        <v/>
      </c>
      <c r="P740" t="str">
        <f>IF($A740="","",IF($E740=1,$F740*$O740,PNL!G740))</f>
        <v/>
      </c>
      <c r="T740" t="str">
        <f t="shared" si="131"/>
        <v/>
      </c>
    </row>
    <row r="741" spans="1:20" x14ac:dyDescent="0.45">
      <c r="A741" t="str">
        <f>IF(PNL!A741="","",PNL!A741)</f>
        <v/>
      </c>
      <c r="B741" t="str">
        <f>IF(PNL!B741="","",PNL!B741)</f>
        <v/>
      </c>
      <c r="C741" t="str">
        <f>IF(PNL!C741="","",PNL!C741)</f>
        <v/>
      </c>
      <c r="D741" t="str">
        <f>IF(PNL!D741="","",PNL!D741)</f>
        <v/>
      </c>
      <c r="E741" t="str">
        <f t="shared" si="121"/>
        <v/>
      </c>
      <c r="F741" t="str">
        <f>IF($A741="","",IF($E741=1,SUMIFS(Compta!$F$1:$F$675,Compta!$A$1:$A$675,$A741,Compta!$B$1:$B$675,$B741,Compta!$C$1:$C$675,"2026"),0))</f>
        <v/>
      </c>
      <c r="G741" t="str">
        <f t="shared" si="122"/>
        <v/>
      </c>
      <c r="H741" t="str">
        <f t="shared" si="123"/>
        <v/>
      </c>
      <c r="I741" t="str">
        <f t="shared" si="124"/>
        <v/>
      </c>
      <c r="J741" t="str">
        <f t="shared" si="125"/>
        <v/>
      </c>
      <c r="K741" t="str">
        <f t="shared" si="126"/>
        <v/>
      </c>
      <c r="L741" t="str">
        <f t="shared" si="127"/>
        <v/>
      </c>
      <c r="M741" t="str">
        <f t="shared" si="128"/>
        <v/>
      </c>
      <c r="N741" t="str">
        <f t="shared" si="129"/>
        <v/>
      </c>
      <c r="O741" t="str">
        <f t="shared" si="130"/>
        <v/>
      </c>
      <c r="P741" t="str">
        <f>IF($A741="","",IF($E741=1,$F741*$O741,PNL!G741))</f>
        <v/>
      </c>
      <c r="T741" t="str">
        <f t="shared" si="131"/>
        <v/>
      </c>
    </row>
    <row r="742" spans="1:20" x14ac:dyDescent="0.45">
      <c r="A742" t="str">
        <f>IF(PNL!A742="","",PNL!A742)</f>
        <v/>
      </c>
      <c r="B742" t="str">
        <f>IF(PNL!B742="","",PNL!B742)</f>
        <v/>
      </c>
      <c r="C742" t="str">
        <f>IF(PNL!C742="","",PNL!C742)</f>
        <v/>
      </c>
      <c r="D742" t="str">
        <f>IF(PNL!D742="","",PNL!D742)</f>
        <v/>
      </c>
      <c r="E742" t="str">
        <f t="shared" si="121"/>
        <v/>
      </c>
      <c r="F742" t="str">
        <f>IF($A742="","",IF($E742=1,SUMIFS(Compta!$F$1:$F$675,Compta!$A$1:$A$675,$A742,Compta!$B$1:$B$675,$B742,Compta!$C$1:$C$675,"2026"),0))</f>
        <v/>
      </c>
      <c r="G742" t="str">
        <f t="shared" si="122"/>
        <v/>
      </c>
      <c r="H742" t="str">
        <f t="shared" si="123"/>
        <v/>
      </c>
      <c r="I742" t="str">
        <f t="shared" si="124"/>
        <v/>
      </c>
      <c r="J742" t="str">
        <f t="shared" si="125"/>
        <v/>
      </c>
      <c r="K742" t="str">
        <f t="shared" si="126"/>
        <v/>
      </c>
      <c r="L742" t="str">
        <f t="shared" si="127"/>
        <v/>
      </c>
      <c r="M742" t="str">
        <f t="shared" si="128"/>
        <v/>
      </c>
      <c r="N742" t="str">
        <f t="shared" si="129"/>
        <v/>
      </c>
      <c r="O742" t="str">
        <f t="shared" si="130"/>
        <v/>
      </c>
      <c r="P742" t="str">
        <f>IF($A742="","",IF($E742=1,$F742*$O742,PNL!G742))</f>
        <v/>
      </c>
      <c r="T742" t="str">
        <f t="shared" si="131"/>
        <v/>
      </c>
    </row>
    <row r="743" spans="1:20" x14ac:dyDescent="0.45">
      <c r="A743" t="str">
        <f>IF(PNL!A743="","",PNL!A743)</f>
        <v/>
      </c>
      <c r="B743" t="str">
        <f>IF(PNL!B743="","",PNL!B743)</f>
        <v/>
      </c>
      <c r="C743" t="str">
        <f>IF(PNL!C743="","",PNL!C743)</f>
        <v/>
      </c>
      <c r="D743" t="str">
        <f>IF(PNL!D743="","",PNL!D743)</f>
        <v/>
      </c>
      <c r="E743" t="str">
        <f t="shared" si="121"/>
        <v/>
      </c>
      <c r="F743" t="str">
        <f>IF($A743="","",IF($E743=1,SUMIFS(Compta!$F$1:$F$675,Compta!$A$1:$A$675,$A743,Compta!$B$1:$B$675,$B743,Compta!$C$1:$C$675,"2026"),0))</f>
        <v/>
      </c>
      <c r="G743" t="str">
        <f t="shared" si="122"/>
        <v/>
      </c>
      <c r="H743" t="str">
        <f t="shared" si="123"/>
        <v/>
      </c>
      <c r="I743" t="str">
        <f t="shared" si="124"/>
        <v/>
      </c>
      <c r="J743" t="str">
        <f t="shared" si="125"/>
        <v/>
      </c>
      <c r="K743" t="str">
        <f t="shared" si="126"/>
        <v/>
      </c>
      <c r="L743" t="str">
        <f t="shared" si="127"/>
        <v/>
      </c>
      <c r="M743" t="str">
        <f t="shared" si="128"/>
        <v/>
      </c>
      <c r="N743" t="str">
        <f t="shared" si="129"/>
        <v/>
      </c>
      <c r="O743" t="str">
        <f t="shared" si="130"/>
        <v/>
      </c>
      <c r="P743" t="str">
        <f>IF($A743="","",IF($E743=1,$F743*$O743,PNL!G743))</f>
        <v/>
      </c>
      <c r="T743" t="str">
        <f t="shared" si="131"/>
        <v/>
      </c>
    </row>
    <row r="744" spans="1:20" x14ac:dyDescent="0.45">
      <c r="A744" t="str">
        <f>IF(PNL!A744="","",PNL!A744)</f>
        <v/>
      </c>
      <c r="B744" t="str">
        <f>IF(PNL!B744="","",PNL!B744)</f>
        <v/>
      </c>
      <c r="C744" t="str">
        <f>IF(PNL!C744="","",PNL!C744)</f>
        <v/>
      </c>
      <c r="D744" t="str">
        <f>IF(PNL!D744="","",PNL!D744)</f>
        <v/>
      </c>
      <c r="E744" t="str">
        <f t="shared" si="121"/>
        <v/>
      </c>
      <c r="F744" t="str">
        <f>IF($A744="","",IF($E744=1,SUMIFS(Compta!$F$1:$F$675,Compta!$A$1:$A$675,$A744,Compta!$B$1:$B$675,$B744,Compta!$C$1:$C$675,"2026"),0))</f>
        <v/>
      </c>
      <c r="G744" t="str">
        <f t="shared" si="122"/>
        <v/>
      </c>
      <c r="H744" t="str">
        <f t="shared" si="123"/>
        <v/>
      </c>
      <c r="I744" t="str">
        <f t="shared" si="124"/>
        <v/>
      </c>
      <c r="J744" t="str">
        <f t="shared" si="125"/>
        <v/>
      </c>
      <c r="K744" t="str">
        <f t="shared" si="126"/>
        <v/>
      </c>
      <c r="L744" t="str">
        <f t="shared" si="127"/>
        <v/>
      </c>
      <c r="M744" t="str">
        <f t="shared" si="128"/>
        <v/>
      </c>
      <c r="N744" t="str">
        <f t="shared" si="129"/>
        <v/>
      </c>
      <c r="O744" t="str">
        <f t="shared" si="130"/>
        <v/>
      </c>
      <c r="P744" t="str">
        <f>IF($A744="","",IF($E744=1,$F744*$O744,PNL!G744))</f>
        <v/>
      </c>
      <c r="T744" t="str">
        <f t="shared" si="131"/>
        <v/>
      </c>
    </row>
    <row r="745" spans="1:20" x14ac:dyDescent="0.45">
      <c r="A745" t="str">
        <f>IF(PNL!A745="","",PNL!A745)</f>
        <v/>
      </c>
      <c r="B745" t="str">
        <f>IF(PNL!B745="","",PNL!B745)</f>
        <v/>
      </c>
      <c r="C745" t="str">
        <f>IF(PNL!C745="","",PNL!C745)</f>
        <v/>
      </c>
      <c r="D745" t="str">
        <f>IF(PNL!D745="","",PNL!D745)</f>
        <v/>
      </c>
      <c r="E745" t="str">
        <f t="shared" si="121"/>
        <v/>
      </c>
      <c r="F745" t="str">
        <f>IF($A745="","",IF($E745=1,SUMIFS(Compta!$F$1:$F$675,Compta!$A$1:$A$675,$A745,Compta!$B$1:$B$675,$B745,Compta!$C$1:$C$675,"2026"),0))</f>
        <v/>
      </c>
      <c r="G745" t="str">
        <f t="shared" si="122"/>
        <v/>
      </c>
      <c r="H745" t="str">
        <f t="shared" si="123"/>
        <v/>
      </c>
      <c r="I745" t="str">
        <f t="shared" si="124"/>
        <v/>
      </c>
      <c r="J745" t="str">
        <f t="shared" si="125"/>
        <v/>
      </c>
      <c r="K745" t="str">
        <f t="shared" si="126"/>
        <v/>
      </c>
      <c r="L745" t="str">
        <f t="shared" si="127"/>
        <v/>
      </c>
      <c r="M745" t="str">
        <f t="shared" si="128"/>
        <v/>
      </c>
      <c r="N745" t="str">
        <f t="shared" si="129"/>
        <v/>
      </c>
      <c r="O745" t="str">
        <f t="shared" si="130"/>
        <v/>
      </c>
      <c r="P745" t="str">
        <f>IF($A745="","",IF($E745=1,$F745*$O745,PNL!G745))</f>
        <v/>
      </c>
      <c r="T745" t="str">
        <f t="shared" si="131"/>
        <v/>
      </c>
    </row>
    <row r="746" spans="1:20" x14ac:dyDescent="0.45">
      <c r="A746" t="str">
        <f>IF(PNL!A746="","",PNL!A746)</f>
        <v/>
      </c>
      <c r="B746" t="str">
        <f>IF(PNL!B746="","",PNL!B746)</f>
        <v/>
      </c>
      <c r="C746" t="str">
        <f>IF(PNL!C746="","",PNL!C746)</f>
        <v/>
      </c>
      <c r="D746" t="str">
        <f>IF(PNL!D746="","",PNL!D746)</f>
        <v/>
      </c>
      <c r="E746" t="str">
        <f t="shared" si="121"/>
        <v/>
      </c>
      <c r="F746" t="str">
        <f>IF($A746="","",IF($E746=1,SUMIFS(Compta!$F$1:$F$675,Compta!$A$1:$A$675,$A746,Compta!$B$1:$B$675,$B746,Compta!$C$1:$C$675,"2026"),0))</f>
        <v/>
      </c>
      <c r="G746" t="str">
        <f t="shared" si="122"/>
        <v/>
      </c>
      <c r="H746" t="str">
        <f t="shared" si="123"/>
        <v/>
      </c>
      <c r="I746" t="str">
        <f t="shared" si="124"/>
        <v/>
      </c>
      <c r="J746" t="str">
        <f t="shared" si="125"/>
        <v/>
      </c>
      <c r="K746" t="str">
        <f t="shared" si="126"/>
        <v/>
      </c>
      <c r="L746" t="str">
        <f t="shared" si="127"/>
        <v/>
      </c>
      <c r="M746" t="str">
        <f t="shared" si="128"/>
        <v/>
      </c>
      <c r="N746" t="str">
        <f t="shared" si="129"/>
        <v/>
      </c>
      <c r="O746" t="str">
        <f t="shared" si="130"/>
        <v/>
      </c>
      <c r="P746" t="str">
        <f>IF($A746="","",IF($E746=1,$F746*$O746,PNL!G746))</f>
        <v/>
      </c>
      <c r="T746" t="str">
        <f t="shared" si="131"/>
        <v/>
      </c>
    </row>
    <row r="747" spans="1:20" x14ac:dyDescent="0.45">
      <c r="A747" t="str">
        <f>IF(PNL!A747="","",PNL!A747)</f>
        <v/>
      </c>
      <c r="B747" t="str">
        <f>IF(PNL!B747="","",PNL!B747)</f>
        <v/>
      </c>
      <c r="C747" t="str">
        <f>IF(PNL!C747="","",PNL!C747)</f>
        <v/>
      </c>
      <c r="D747" t="str">
        <f>IF(PNL!D747="","",PNL!D747)</f>
        <v/>
      </c>
      <c r="E747" t="str">
        <f t="shared" si="121"/>
        <v/>
      </c>
      <c r="F747" t="str">
        <f>IF($A747="","",IF($E747=1,SUMIFS(Compta!$F$1:$F$675,Compta!$A$1:$A$675,$A747,Compta!$B$1:$B$675,$B747,Compta!$C$1:$C$675,"2026"),0))</f>
        <v/>
      </c>
      <c r="G747" t="str">
        <f t="shared" si="122"/>
        <v/>
      </c>
      <c r="H747" t="str">
        <f t="shared" si="123"/>
        <v/>
      </c>
      <c r="I747" t="str">
        <f t="shared" si="124"/>
        <v/>
      </c>
      <c r="J747" t="str">
        <f t="shared" si="125"/>
        <v/>
      </c>
      <c r="K747" t="str">
        <f t="shared" si="126"/>
        <v/>
      </c>
      <c r="L747" t="str">
        <f t="shared" si="127"/>
        <v/>
      </c>
      <c r="M747" t="str">
        <f t="shared" si="128"/>
        <v/>
      </c>
      <c r="N747" t="str">
        <f t="shared" si="129"/>
        <v/>
      </c>
      <c r="O747" t="str">
        <f t="shared" si="130"/>
        <v/>
      </c>
      <c r="P747" t="str">
        <f>IF($A747="","",IF($E747=1,$F747*$O747,PNL!G747))</f>
        <v/>
      </c>
      <c r="T747" t="str">
        <f t="shared" si="131"/>
        <v/>
      </c>
    </row>
    <row r="748" spans="1:20" x14ac:dyDescent="0.45">
      <c r="A748" t="str">
        <f>IF(PNL!A748="","",PNL!A748)</f>
        <v/>
      </c>
      <c r="B748" t="str">
        <f>IF(PNL!B748="","",PNL!B748)</f>
        <v/>
      </c>
      <c r="C748" t="str">
        <f>IF(PNL!C748="","",PNL!C748)</f>
        <v/>
      </c>
      <c r="D748" t="str">
        <f>IF(PNL!D748="","",PNL!D748)</f>
        <v/>
      </c>
      <c r="E748" t="str">
        <f t="shared" si="121"/>
        <v/>
      </c>
      <c r="F748" t="str">
        <f>IF($A748="","",IF($E748=1,SUMIFS(Compta!$F$1:$F$675,Compta!$A$1:$A$675,$A748,Compta!$B$1:$B$675,$B748,Compta!$C$1:$C$675,"2026"),0))</f>
        <v/>
      </c>
      <c r="G748" t="str">
        <f t="shared" si="122"/>
        <v/>
      </c>
      <c r="H748" t="str">
        <f t="shared" si="123"/>
        <v/>
      </c>
      <c r="I748" t="str">
        <f t="shared" si="124"/>
        <v/>
      </c>
      <c r="J748" t="str">
        <f t="shared" si="125"/>
        <v/>
      </c>
      <c r="K748" t="str">
        <f t="shared" si="126"/>
        <v/>
      </c>
      <c r="L748" t="str">
        <f t="shared" si="127"/>
        <v/>
      </c>
      <c r="M748" t="str">
        <f t="shared" si="128"/>
        <v/>
      </c>
      <c r="N748" t="str">
        <f t="shared" si="129"/>
        <v/>
      </c>
      <c r="O748" t="str">
        <f t="shared" si="130"/>
        <v/>
      </c>
      <c r="P748" t="str">
        <f>IF($A748="","",IF($E748=1,$F748*$O748,PNL!G748))</f>
        <v/>
      </c>
      <c r="T748" t="str">
        <f t="shared" si="131"/>
        <v/>
      </c>
    </row>
    <row r="749" spans="1:20" x14ac:dyDescent="0.45">
      <c r="A749" t="str">
        <f>IF(PNL!A749="","",PNL!A749)</f>
        <v/>
      </c>
      <c r="B749" t="str">
        <f>IF(PNL!B749="","",PNL!B749)</f>
        <v/>
      </c>
      <c r="C749" t="str">
        <f>IF(PNL!C749="","",PNL!C749)</f>
        <v/>
      </c>
      <c r="D749" t="str">
        <f>IF(PNL!D749="","",PNL!D749)</f>
        <v/>
      </c>
      <c r="E749" t="str">
        <f t="shared" si="121"/>
        <v/>
      </c>
      <c r="F749" t="str">
        <f>IF($A749="","",IF($E749=1,SUMIFS(Compta!$F$1:$F$675,Compta!$A$1:$A$675,$A749,Compta!$B$1:$B$675,$B749,Compta!$C$1:$C$675,"2026"),0))</f>
        <v/>
      </c>
      <c r="G749" t="str">
        <f t="shared" si="122"/>
        <v/>
      </c>
      <c r="H749" t="str">
        <f t="shared" si="123"/>
        <v/>
      </c>
      <c r="I749" t="str">
        <f t="shared" si="124"/>
        <v/>
      </c>
      <c r="J749" t="str">
        <f t="shared" si="125"/>
        <v/>
      </c>
      <c r="K749" t="str">
        <f t="shared" si="126"/>
        <v/>
      </c>
      <c r="L749" t="str">
        <f t="shared" si="127"/>
        <v/>
      </c>
      <c r="M749" t="str">
        <f t="shared" si="128"/>
        <v/>
      </c>
      <c r="N749" t="str">
        <f t="shared" si="129"/>
        <v/>
      </c>
      <c r="O749" t="str">
        <f t="shared" si="130"/>
        <v/>
      </c>
      <c r="P749" t="str">
        <f>IF($A749="","",IF($E749=1,$F749*$O749,PNL!G749))</f>
        <v/>
      </c>
      <c r="T749" t="str">
        <f t="shared" si="131"/>
        <v/>
      </c>
    </row>
    <row r="750" spans="1:20" x14ac:dyDescent="0.45">
      <c r="A750" t="str">
        <f>IF(PNL!A750="","",PNL!A750)</f>
        <v/>
      </c>
      <c r="B750" t="str">
        <f>IF(PNL!B750="","",PNL!B750)</f>
        <v/>
      </c>
      <c r="C750" t="str">
        <f>IF(PNL!C750="","",PNL!C750)</f>
        <v/>
      </c>
      <c r="D750" t="str">
        <f>IF(PNL!D750="","",PNL!D750)</f>
        <v/>
      </c>
      <c r="E750" t="str">
        <f t="shared" si="121"/>
        <v/>
      </c>
      <c r="F750" t="str">
        <f>IF($A750="","",IF($E750=1,SUMIFS(Compta!$F$1:$F$675,Compta!$A$1:$A$675,$A750,Compta!$B$1:$B$675,$B750,Compta!$C$1:$C$675,"2026"),0))</f>
        <v/>
      </c>
      <c r="G750" t="str">
        <f t="shared" si="122"/>
        <v/>
      </c>
      <c r="H750" t="str">
        <f t="shared" si="123"/>
        <v/>
      </c>
      <c r="I750" t="str">
        <f t="shared" si="124"/>
        <v/>
      </c>
      <c r="J750" t="str">
        <f t="shared" si="125"/>
        <v/>
      </c>
      <c r="K750" t="str">
        <f t="shared" si="126"/>
        <v/>
      </c>
      <c r="L750" t="str">
        <f t="shared" si="127"/>
        <v/>
      </c>
      <c r="M750" t="str">
        <f t="shared" si="128"/>
        <v/>
      </c>
      <c r="N750" t="str">
        <f t="shared" si="129"/>
        <v/>
      </c>
      <c r="O750" t="str">
        <f t="shared" si="130"/>
        <v/>
      </c>
      <c r="P750" t="str">
        <f>IF($A750="","",IF($E750=1,$F750*$O750,PNL!G750))</f>
        <v/>
      </c>
      <c r="T750" t="str">
        <f t="shared" si="131"/>
        <v/>
      </c>
    </row>
    <row r="751" spans="1:20" x14ac:dyDescent="0.45">
      <c r="A751" t="str">
        <f>IF(PNL!A751="","",PNL!A751)</f>
        <v/>
      </c>
      <c r="B751" t="str">
        <f>IF(PNL!B751="","",PNL!B751)</f>
        <v/>
      </c>
      <c r="C751" t="str">
        <f>IF(PNL!C751="","",PNL!C751)</f>
        <v/>
      </c>
      <c r="D751" t="str">
        <f>IF(PNL!D751="","",PNL!D751)</f>
        <v/>
      </c>
      <c r="E751" t="str">
        <f t="shared" si="121"/>
        <v/>
      </c>
      <c r="F751" t="str">
        <f>IF($A751="","",IF($E751=1,SUMIFS(Compta!$F$1:$F$675,Compta!$A$1:$A$675,$A751,Compta!$B$1:$B$675,$B751,Compta!$C$1:$C$675,"2026"),0))</f>
        <v/>
      </c>
      <c r="G751" t="str">
        <f t="shared" si="122"/>
        <v/>
      </c>
      <c r="H751" t="str">
        <f t="shared" si="123"/>
        <v/>
      </c>
      <c r="I751" t="str">
        <f t="shared" si="124"/>
        <v/>
      </c>
      <c r="J751" t="str">
        <f t="shared" si="125"/>
        <v/>
      </c>
      <c r="K751" t="str">
        <f t="shared" si="126"/>
        <v/>
      </c>
      <c r="L751" t="str">
        <f t="shared" si="127"/>
        <v/>
      </c>
      <c r="M751" t="str">
        <f t="shared" si="128"/>
        <v/>
      </c>
      <c r="N751" t="str">
        <f t="shared" si="129"/>
        <v/>
      </c>
      <c r="O751" t="str">
        <f t="shared" si="130"/>
        <v/>
      </c>
      <c r="P751" t="str">
        <f>IF($A751="","",IF($E751=1,$F751*$O751,PNL!G751))</f>
        <v/>
      </c>
      <c r="T751" t="str">
        <f t="shared" si="131"/>
        <v/>
      </c>
    </row>
    <row r="752" spans="1:20" x14ac:dyDescent="0.45">
      <c r="A752" t="str">
        <f>IF(PNL!A752="","",PNL!A752)</f>
        <v/>
      </c>
      <c r="B752" t="str">
        <f>IF(PNL!B752="","",PNL!B752)</f>
        <v/>
      </c>
      <c r="C752" t="str">
        <f>IF(PNL!C752="","",PNL!C752)</f>
        <v/>
      </c>
      <c r="D752" t="str">
        <f>IF(PNL!D752="","",PNL!D752)</f>
        <v/>
      </c>
      <c r="E752" t="str">
        <f t="shared" si="121"/>
        <v/>
      </c>
      <c r="F752" t="str">
        <f>IF($A752="","",IF($E752=1,SUMIFS(Compta!$F$1:$F$675,Compta!$A$1:$A$675,$A752,Compta!$B$1:$B$675,$B752,Compta!$C$1:$C$675,"2026"),0))</f>
        <v/>
      </c>
      <c r="G752" t="str">
        <f t="shared" si="122"/>
        <v/>
      </c>
      <c r="H752" t="str">
        <f t="shared" si="123"/>
        <v/>
      </c>
      <c r="I752" t="str">
        <f t="shared" si="124"/>
        <v/>
      </c>
      <c r="J752" t="str">
        <f t="shared" si="125"/>
        <v/>
      </c>
      <c r="K752" t="str">
        <f t="shared" si="126"/>
        <v/>
      </c>
      <c r="L752" t="str">
        <f t="shared" si="127"/>
        <v/>
      </c>
      <c r="M752" t="str">
        <f t="shared" si="128"/>
        <v/>
      </c>
      <c r="N752" t="str">
        <f t="shared" si="129"/>
        <v/>
      </c>
      <c r="O752" t="str">
        <f t="shared" si="130"/>
        <v/>
      </c>
      <c r="P752" t="str">
        <f>IF($A752="","",IF($E752=1,$F752*$O752,PNL!G752))</f>
        <v/>
      </c>
      <c r="T752" t="str">
        <f t="shared" si="131"/>
        <v/>
      </c>
    </row>
    <row r="753" spans="1:20" x14ac:dyDescent="0.45">
      <c r="A753" t="str">
        <f>IF(PNL!A753="","",PNL!A753)</f>
        <v/>
      </c>
      <c r="B753" t="str">
        <f>IF(PNL!B753="","",PNL!B753)</f>
        <v/>
      </c>
      <c r="C753" t="str">
        <f>IF(PNL!C753="","",PNL!C753)</f>
        <v/>
      </c>
      <c r="D753" t="str">
        <f>IF(PNL!D753="","",PNL!D753)</f>
        <v/>
      </c>
      <c r="E753" t="str">
        <f t="shared" si="121"/>
        <v/>
      </c>
      <c r="F753" t="str">
        <f>IF($A753="","",IF($E753=1,SUMIFS(Compta!$F$1:$F$675,Compta!$A$1:$A$675,$A753,Compta!$B$1:$B$675,$B753,Compta!$C$1:$C$675,"2026"),0))</f>
        <v/>
      </c>
      <c r="G753" t="str">
        <f t="shared" si="122"/>
        <v/>
      </c>
      <c r="H753" t="str">
        <f t="shared" si="123"/>
        <v/>
      </c>
      <c r="I753" t="str">
        <f t="shared" si="124"/>
        <v/>
      </c>
      <c r="J753" t="str">
        <f t="shared" si="125"/>
        <v/>
      </c>
      <c r="K753" t="str">
        <f t="shared" si="126"/>
        <v/>
      </c>
      <c r="L753" t="str">
        <f t="shared" si="127"/>
        <v/>
      </c>
      <c r="M753" t="str">
        <f t="shared" si="128"/>
        <v/>
      </c>
      <c r="N753" t="str">
        <f t="shared" si="129"/>
        <v/>
      </c>
      <c r="O753" t="str">
        <f t="shared" si="130"/>
        <v/>
      </c>
      <c r="P753" t="str">
        <f>IF($A753="","",IF($E753=1,$F753*$O753,PNL!G753))</f>
        <v/>
      </c>
      <c r="T753" t="str">
        <f t="shared" si="131"/>
        <v/>
      </c>
    </row>
    <row r="754" spans="1:20" x14ac:dyDescent="0.45">
      <c r="A754" t="str">
        <f>IF(PNL!A754="","",PNL!A754)</f>
        <v/>
      </c>
      <c r="B754" t="str">
        <f>IF(PNL!B754="","",PNL!B754)</f>
        <v/>
      </c>
      <c r="C754" t="str">
        <f>IF(PNL!C754="","",PNL!C754)</f>
        <v/>
      </c>
      <c r="D754" t="str">
        <f>IF(PNL!D754="","",PNL!D754)</f>
        <v/>
      </c>
      <c r="E754" t="str">
        <f t="shared" si="121"/>
        <v/>
      </c>
      <c r="F754" t="str">
        <f>IF($A754="","",IF($E754=1,SUMIFS(Compta!$F$1:$F$675,Compta!$A$1:$A$675,$A754,Compta!$B$1:$B$675,$B754,Compta!$C$1:$C$675,"2026"),0))</f>
        <v/>
      </c>
      <c r="G754" t="str">
        <f t="shared" si="122"/>
        <v/>
      </c>
      <c r="H754" t="str">
        <f t="shared" si="123"/>
        <v/>
      </c>
      <c r="I754" t="str">
        <f t="shared" si="124"/>
        <v/>
      </c>
      <c r="J754" t="str">
        <f t="shared" si="125"/>
        <v/>
      </c>
      <c r="K754" t="str">
        <f t="shared" si="126"/>
        <v/>
      </c>
      <c r="L754" t="str">
        <f t="shared" si="127"/>
        <v/>
      </c>
      <c r="M754" t="str">
        <f t="shared" si="128"/>
        <v/>
      </c>
      <c r="N754" t="str">
        <f t="shared" si="129"/>
        <v/>
      </c>
      <c r="O754" t="str">
        <f t="shared" si="130"/>
        <v/>
      </c>
      <c r="P754" t="str">
        <f>IF($A754="","",IF($E754=1,$F754*$O754,PNL!G754))</f>
        <v/>
      </c>
      <c r="T754" t="str">
        <f t="shared" si="131"/>
        <v/>
      </c>
    </row>
    <row r="755" spans="1:20" x14ac:dyDescent="0.45">
      <c r="A755" t="str">
        <f>IF(PNL!A755="","",PNL!A755)</f>
        <v/>
      </c>
      <c r="B755" t="str">
        <f>IF(PNL!B755="","",PNL!B755)</f>
        <v/>
      </c>
      <c r="C755" t="str">
        <f>IF(PNL!C755="","",PNL!C755)</f>
        <v/>
      </c>
      <c r="D755" t="str">
        <f>IF(PNL!D755="","",PNL!D755)</f>
        <v/>
      </c>
      <c r="E755" t="str">
        <f t="shared" si="121"/>
        <v/>
      </c>
      <c r="F755" t="str">
        <f>IF($A755="","",IF($E755=1,SUMIFS(Compta!$F$1:$F$675,Compta!$A$1:$A$675,$A755,Compta!$B$1:$B$675,$B755,Compta!$C$1:$C$675,"2026"),0))</f>
        <v/>
      </c>
      <c r="G755" t="str">
        <f t="shared" si="122"/>
        <v/>
      </c>
      <c r="H755" t="str">
        <f t="shared" si="123"/>
        <v/>
      </c>
      <c r="I755" t="str">
        <f t="shared" si="124"/>
        <v/>
      </c>
      <c r="J755" t="str">
        <f t="shared" si="125"/>
        <v/>
      </c>
      <c r="K755" t="str">
        <f t="shared" si="126"/>
        <v/>
      </c>
      <c r="L755" t="str">
        <f t="shared" si="127"/>
        <v/>
      </c>
      <c r="M755" t="str">
        <f t="shared" si="128"/>
        <v/>
      </c>
      <c r="N755" t="str">
        <f t="shared" si="129"/>
        <v/>
      </c>
      <c r="O755" t="str">
        <f t="shared" si="130"/>
        <v/>
      </c>
      <c r="P755" t="str">
        <f>IF($A755="","",IF($E755=1,$F755*$O755,PNL!G755))</f>
        <v/>
      </c>
      <c r="T755" t="str">
        <f t="shared" si="131"/>
        <v/>
      </c>
    </row>
    <row r="756" spans="1:20" x14ac:dyDescent="0.45">
      <c r="A756" t="str">
        <f>IF(PNL!A756="","",PNL!A756)</f>
        <v/>
      </c>
      <c r="B756" t="str">
        <f>IF(PNL!B756="","",PNL!B756)</f>
        <v/>
      </c>
      <c r="C756" t="str">
        <f>IF(PNL!C756="","",PNL!C756)</f>
        <v/>
      </c>
      <c r="D756" t="str">
        <f>IF(PNL!D756="","",PNL!D756)</f>
        <v/>
      </c>
      <c r="E756" t="str">
        <f t="shared" si="121"/>
        <v/>
      </c>
      <c r="F756" t="str">
        <f>IF($A756="","",IF($E756=1,SUMIFS(Compta!$F$1:$F$675,Compta!$A$1:$A$675,$A756,Compta!$B$1:$B$675,$B756,Compta!$C$1:$C$675,"2026"),0))</f>
        <v/>
      </c>
      <c r="G756" t="str">
        <f t="shared" si="122"/>
        <v/>
      </c>
      <c r="H756" t="str">
        <f t="shared" si="123"/>
        <v/>
      </c>
      <c r="I756" t="str">
        <f t="shared" si="124"/>
        <v/>
      </c>
      <c r="J756" t="str">
        <f t="shared" si="125"/>
        <v/>
      </c>
      <c r="K756" t="str">
        <f t="shared" si="126"/>
        <v/>
      </c>
      <c r="L756" t="str">
        <f t="shared" si="127"/>
        <v/>
      </c>
      <c r="M756" t="str">
        <f t="shared" si="128"/>
        <v/>
      </c>
      <c r="N756" t="str">
        <f t="shared" si="129"/>
        <v/>
      </c>
      <c r="O756" t="str">
        <f t="shared" si="130"/>
        <v/>
      </c>
      <c r="P756" t="str">
        <f>IF($A756="","",IF($E756=1,$F756*$O756,PNL!G756))</f>
        <v/>
      </c>
      <c r="T756" t="str">
        <f t="shared" si="131"/>
        <v/>
      </c>
    </row>
    <row r="757" spans="1:20" x14ac:dyDescent="0.45">
      <c r="A757" t="str">
        <f>IF(PNL!A757="","",PNL!A757)</f>
        <v/>
      </c>
      <c r="B757" t="str">
        <f>IF(PNL!B757="","",PNL!B757)</f>
        <v/>
      </c>
      <c r="C757" t="str">
        <f>IF(PNL!C757="","",PNL!C757)</f>
        <v/>
      </c>
      <c r="D757" t="str">
        <f>IF(PNL!D757="","",PNL!D757)</f>
        <v/>
      </c>
      <c r="E757" t="str">
        <f t="shared" si="121"/>
        <v/>
      </c>
      <c r="F757" t="str">
        <f>IF($A757="","",IF($E757=1,SUMIFS(Compta!$F$1:$F$675,Compta!$A$1:$A$675,$A757,Compta!$B$1:$B$675,$B757,Compta!$C$1:$C$675,"2026"),0))</f>
        <v/>
      </c>
      <c r="G757" t="str">
        <f t="shared" si="122"/>
        <v/>
      </c>
      <c r="H757" t="str">
        <f t="shared" si="123"/>
        <v/>
      </c>
      <c r="I757" t="str">
        <f t="shared" si="124"/>
        <v/>
      </c>
      <c r="J757" t="str">
        <f t="shared" si="125"/>
        <v/>
      </c>
      <c r="K757" t="str">
        <f t="shared" si="126"/>
        <v/>
      </c>
      <c r="L757" t="str">
        <f t="shared" si="127"/>
        <v/>
      </c>
      <c r="M757" t="str">
        <f t="shared" si="128"/>
        <v/>
      </c>
      <c r="N757" t="str">
        <f t="shared" si="129"/>
        <v/>
      </c>
      <c r="O757" t="str">
        <f t="shared" si="130"/>
        <v/>
      </c>
      <c r="P757" t="str">
        <f>IF($A757="","",IF($E757=1,$F757*$O757,PNL!G757))</f>
        <v/>
      </c>
      <c r="T757" t="str">
        <f t="shared" si="131"/>
        <v/>
      </c>
    </row>
    <row r="758" spans="1:20" x14ac:dyDescent="0.45">
      <c r="A758" t="str">
        <f>IF(PNL!A758="","",PNL!A758)</f>
        <v/>
      </c>
      <c r="B758" t="str">
        <f>IF(PNL!B758="","",PNL!B758)</f>
        <v/>
      </c>
      <c r="C758" t="str">
        <f>IF(PNL!C758="","",PNL!C758)</f>
        <v/>
      </c>
      <c r="D758" t="str">
        <f>IF(PNL!D758="","",PNL!D758)</f>
        <v/>
      </c>
      <c r="E758" t="str">
        <f t="shared" si="121"/>
        <v/>
      </c>
      <c r="F758" t="str">
        <f>IF($A758="","",IF($E758=1,SUMIFS(Compta!$F$1:$F$675,Compta!$A$1:$A$675,$A758,Compta!$B$1:$B$675,$B758,Compta!$C$1:$C$675,"2026"),0))</f>
        <v/>
      </c>
      <c r="G758" t="str">
        <f t="shared" si="122"/>
        <v/>
      </c>
      <c r="H758" t="str">
        <f t="shared" si="123"/>
        <v/>
      </c>
      <c r="I758" t="str">
        <f t="shared" si="124"/>
        <v/>
      </c>
      <c r="J758" t="str">
        <f t="shared" si="125"/>
        <v/>
      </c>
      <c r="K758" t="str">
        <f t="shared" si="126"/>
        <v/>
      </c>
      <c r="L758" t="str">
        <f t="shared" si="127"/>
        <v/>
      </c>
      <c r="M758" t="str">
        <f t="shared" si="128"/>
        <v/>
      </c>
      <c r="N758" t="str">
        <f t="shared" si="129"/>
        <v/>
      </c>
      <c r="O758" t="str">
        <f t="shared" si="130"/>
        <v/>
      </c>
      <c r="P758" t="str">
        <f>IF($A758="","",IF($E758=1,$F758*$O758,PNL!G758))</f>
        <v/>
      </c>
      <c r="T758" t="str">
        <f t="shared" si="131"/>
        <v/>
      </c>
    </row>
    <row r="759" spans="1:20" x14ac:dyDescent="0.45">
      <c r="A759" t="str">
        <f>IF(PNL!A759="","",PNL!A759)</f>
        <v/>
      </c>
      <c r="B759" t="str">
        <f>IF(PNL!B759="","",PNL!B759)</f>
        <v/>
      </c>
      <c r="C759" t="str">
        <f>IF(PNL!C759="","",PNL!C759)</f>
        <v/>
      </c>
      <c r="D759" t="str">
        <f>IF(PNL!D759="","",PNL!D759)</f>
        <v/>
      </c>
      <c r="E759" t="str">
        <f t="shared" si="121"/>
        <v/>
      </c>
      <c r="F759" t="str">
        <f>IF($A759="","",IF($E759=1,SUMIFS(Compta!$F$1:$F$675,Compta!$A$1:$A$675,$A759,Compta!$B$1:$B$675,$B759,Compta!$C$1:$C$675,"2026"),0))</f>
        <v/>
      </c>
      <c r="G759" t="str">
        <f t="shared" si="122"/>
        <v/>
      </c>
      <c r="H759" t="str">
        <f t="shared" si="123"/>
        <v/>
      </c>
      <c r="I759" t="str">
        <f t="shared" si="124"/>
        <v/>
      </c>
      <c r="J759" t="str">
        <f t="shared" si="125"/>
        <v/>
      </c>
      <c r="K759" t="str">
        <f t="shared" si="126"/>
        <v/>
      </c>
      <c r="L759" t="str">
        <f t="shared" si="127"/>
        <v/>
      </c>
      <c r="M759" t="str">
        <f t="shared" si="128"/>
        <v/>
      </c>
      <c r="N759" t="str">
        <f t="shared" si="129"/>
        <v/>
      </c>
      <c r="O759" t="str">
        <f t="shared" si="130"/>
        <v/>
      </c>
      <c r="P759" t="str">
        <f>IF($A759="","",IF($E759=1,$F759*$O759,PNL!G759))</f>
        <v/>
      </c>
      <c r="T759" t="str">
        <f t="shared" si="131"/>
        <v/>
      </c>
    </row>
    <row r="760" spans="1:20" x14ac:dyDescent="0.45">
      <c r="A760" t="str">
        <f>IF(PNL!A760="","",PNL!A760)</f>
        <v/>
      </c>
      <c r="B760" t="str">
        <f>IF(PNL!B760="","",PNL!B760)</f>
        <v/>
      </c>
      <c r="C760" t="str">
        <f>IF(PNL!C760="","",PNL!C760)</f>
        <v/>
      </c>
      <c r="D760" t="str">
        <f>IF(PNL!D760="","",PNL!D760)</f>
        <v/>
      </c>
      <c r="E760" t="str">
        <f t="shared" si="121"/>
        <v/>
      </c>
      <c r="F760" t="str">
        <f>IF($A760="","",IF($E760=1,SUMIFS(Compta!$F$1:$F$675,Compta!$A$1:$A$675,$A760,Compta!$B$1:$B$675,$B760,Compta!$C$1:$C$675,"2026"),0))</f>
        <v/>
      </c>
      <c r="G760" t="str">
        <f t="shared" si="122"/>
        <v/>
      </c>
      <c r="H760" t="str">
        <f t="shared" si="123"/>
        <v/>
      </c>
      <c r="I760" t="str">
        <f t="shared" si="124"/>
        <v/>
      </c>
      <c r="J760" t="str">
        <f t="shared" si="125"/>
        <v/>
      </c>
      <c r="K760" t="str">
        <f t="shared" si="126"/>
        <v/>
      </c>
      <c r="L760" t="str">
        <f t="shared" si="127"/>
        <v/>
      </c>
      <c r="M760" t="str">
        <f t="shared" si="128"/>
        <v/>
      </c>
      <c r="N760" t="str">
        <f t="shared" si="129"/>
        <v/>
      </c>
      <c r="O760" t="str">
        <f t="shared" si="130"/>
        <v/>
      </c>
      <c r="P760" t="str">
        <f>IF($A760="","",IF($E760=1,$F760*$O760,PNL!G760))</f>
        <v/>
      </c>
      <c r="T760" t="str">
        <f t="shared" si="131"/>
        <v/>
      </c>
    </row>
    <row r="761" spans="1:20" x14ac:dyDescent="0.45">
      <c r="A761" t="str">
        <f>IF(PNL!A761="","",PNL!A761)</f>
        <v/>
      </c>
      <c r="B761" t="str">
        <f>IF(PNL!B761="","",PNL!B761)</f>
        <v/>
      </c>
      <c r="C761" t="str">
        <f>IF(PNL!C761="","",PNL!C761)</f>
        <v/>
      </c>
      <c r="D761" t="str">
        <f>IF(PNL!D761="","",PNL!D761)</f>
        <v/>
      </c>
      <c r="E761" t="str">
        <f t="shared" si="121"/>
        <v/>
      </c>
      <c r="F761" t="str">
        <f>IF($A761="","",IF($E761=1,SUMIFS(Compta!$F$1:$F$675,Compta!$A$1:$A$675,$A761,Compta!$B$1:$B$675,$B761,Compta!$C$1:$C$675,"2026"),0))</f>
        <v/>
      </c>
      <c r="G761" t="str">
        <f t="shared" si="122"/>
        <v/>
      </c>
      <c r="H761" t="str">
        <f t="shared" si="123"/>
        <v/>
      </c>
      <c r="I761" t="str">
        <f t="shared" si="124"/>
        <v/>
      </c>
      <c r="J761" t="str">
        <f t="shared" si="125"/>
        <v/>
      </c>
      <c r="K761" t="str">
        <f t="shared" si="126"/>
        <v/>
      </c>
      <c r="L761" t="str">
        <f t="shared" si="127"/>
        <v/>
      </c>
      <c r="M761" t="str">
        <f t="shared" si="128"/>
        <v/>
      </c>
      <c r="N761" t="str">
        <f t="shared" si="129"/>
        <v/>
      </c>
      <c r="O761" t="str">
        <f t="shared" si="130"/>
        <v/>
      </c>
      <c r="P761" t="str">
        <f>IF($A761="","",IF($E761=1,$F761*$O761,PNL!G761))</f>
        <v/>
      </c>
      <c r="T761" t="str">
        <f t="shared" si="131"/>
        <v/>
      </c>
    </row>
    <row r="762" spans="1:20" x14ac:dyDescent="0.45">
      <c r="A762" t="str">
        <f>IF(PNL!A762="","",PNL!A762)</f>
        <v/>
      </c>
      <c r="B762" t="str">
        <f>IF(PNL!B762="","",PNL!B762)</f>
        <v/>
      </c>
      <c r="C762" t="str">
        <f>IF(PNL!C762="","",PNL!C762)</f>
        <v/>
      </c>
      <c r="D762" t="str">
        <f>IF(PNL!D762="","",PNL!D762)</f>
        <v/>
      </c>
      <c r="E762" t="str">
        <f t="shared" si="121"/>
        <v/>
      </c>
      <c r="F762" t="str">
        <f>IF($A762="","",IF($E762=1,SUMIFS(Compta!$F$1:$F$675,Compta!$A$1:$A$675,$A762,Compta!$B$1:$B$675,$B762,Compta!$C$1:$C$675,"2026"),0))</f>
        <v/>
      </c>
      <c r="G762" t="str">
        <f t="shared" si="122"/>
        <v/>
      </c>
      <c r="H762" t="str">
        <f t="shared" si="123"/>
        <v/>
      </c>
      <c r="I762" t="str">
        <f t="shared" si="124"/>
        <v/>
      </c>
      <c r="J762" t="str">
        <f t="shared" si="125"/>
        <v/>
      </c>
      <c r="K762" t="str">
        <f t="shared" si="126"/>
        <v/>
      </c>
      <c r="L762" t="str">
        <f t="shared" si="127"/>
        <v/>
      </c>
      <c r="M762" t="str">
        <f t="shared" si="128"/>
        <v/>
      </c>
      <c r="N762" t="str">
        <f t="shared" si="129"/>
        <v/>
      </c>
      <c r="O762" t="str">
        <f t="shared" si="130"/>
        <v/>
      </c>
      <c r="P762" t="str">
        <f>IF($A762="","",IF($E762=1,$F762*$O762,PNL!G762))</f>
        <v/>
      </c>
      <c r="T762" t="str">
        <f t="shared" si="131"/>
        <v/>
      </c>
    </row>
    <row r="763" spans="1:20" x14ac:dyDescent="0.45">
      <c r="A763" t="str">
        <f>IF(PNL!A763="","",PNL!A763)</f>
        <v/>
      </c>
      <c r="B763" t="str">
        <f>IF(PNL!B763="","",PNL!B763)</f>
        <v/>
      </c>
      <c r="C763" t="str">
        <f>IF(PNL!C763="","",PNL!C763)</f>
        <v/>
      </c>
      <c r="D763" t="str">
        <f>IF(PNL!D763="","",PNL!D763)</f>
        <v/>
      </c>
      <c r="E763" t="str">
        <f t="shared" si="121"/>
        <v/>
      </c>
      <c r="F763" t="str">
        <f>IF($A763="","",IF($E763=1,SUMIFS(Compta!$F$1:$F$675,Compta!$A$1:$A$675,$A763,Compta!$B$1:$B$675,$B763,Compta!$C$1:$C$675,"2026"),0))</f>
        <v/>
      </c>
      <c r="G763" t="str">
        <f t="shared" si="122"/>
        <v/>
      </c>
      <c r="H763" t="str">
        <f t="shared" si="123"/>
        <v/>
      </c>
      <c r="I763" t="str">
        <f t="shared" si="124"/>
        <v/>
      </c>
      <c r="J763" t="str">
        <f t="shared" si="125"/>
        <v/>
      </c>
      <c r="K763" t="str">
        <f t="shared" si="126"/>
        <v/>
      </c>
      <c r="L763" t="str">
        <f t="shared" si="127"/>
        <v/>
      </c>
      <c r="M763" t="str">
        <f t="shared" si="128"/>
        <v/>
      </c>
      <c r="N763" t="str">
        <f t="shared" si="129"/>
        <v/>
      </c>
      <c r="O763" t="str">
        <f t="shared" si="130"/>
        <v/>
      </c>
      <c r="P763" t="str">
        <f>IF($A763="","",IF($E763=1,$F763*$O763,PNL!G763))</f>
        <v/>
      </c>
      <c r="T763" t="str">
        <f t="shared" si="131"/>
        <v/>
      </c>
    </row>
    <row r="764" spans="1:20" x14ac:dyDescent="0.45">
      <c r="A764" t="str">
        <f>IF(PNL!A764="","",PNL!A764)</f>
        <v/>
      </c>
      <c r="B764" t="str">
        <f>IF(PNL!B764="","",PNL!B764)</f>
        <v/>
      </c>
      <c r="C764" t="str">
        <f>IF(PNL!C764="","",PNL!C764)</f>
        <v/>
      </c>
      <c r="D764" t="str">
        <f>IF(PNL!D764="","",PNL!D764)</f>
        <v/>
      </c>
      <c r="E764" t="str">
        <f t="shared" si="121"/>
        <v/>
      </c>
      <c r="F764" t="str">
        <f>IF($A764="","",IF($E764=1,SUMIFS(Compta!$F$1:$F$675,Compta!$A$1:$A$675,$A764,Compta!$B$1:$B$675,$B764,Compta!$C$1:$C$675,"2026"),0))</f>
        <v/>
      </c>
      <c r="G764" t="str">
        <f t="shared" si="122"/>
        <v/>
      </c>
      <c r="H764" t="str">
        <f t="shared" si="123"/>
        <v/>
      </c>
      <c r="I764" t="str">
        <f t="shared" si="124"/>
        <v/>
      </c>
      <c r="J764" t="str">
        <f t="shared" si="125"/>
        <v/>
      </c>
      <c r="K764" t="str">
        <f t="shared" si="126"/>
        <v/>
      </c>
      <c r="L764" t="str">
        <f t="shared" si="127"/>
        <v/>
      </c>
      <c r="M764" t="str">
        <f t="shared" si="128"/>
        <v/>
      </c>
      <c r="N764" t="str">
        <f t="shared" si="129"/>
        <v/>
      </c>
      <c r="O764" t="str">
        <f t="shared" si="130"/>
        <v/>
      </c>
      <c r="P764" t="str">
        <f>IF($A764="","",IF($E764=1,$F764*$O764,PNL!G764))</f>
        <v/>
      </c>
      <c r="T764" t="str">
        <f t="shared" si="131"/>
        <v/>
      </c>
    </row>
    <row r="765" spans="1:20" x14ac:dyDescent="0.45">
      <c r="A765" t="str">
        <f>IF(PNL!A765="","",PNL!A765)</f>
        <v/>
      </c>
      <c r="B765" t="str">
        <f>IF(PNL!B765="","",PNL!B765)</f>
        <v/>
      </c>
      <c r="C765" t="str">
        <f>IF(PNL!C765="","",PNL!C765)</f>
        <v/>
      </c>
      <c r="D765" t="str">
        <f>IF(PNL!D765="","",PNL!D765)</f>
        <v/>
      </c>
      <c r="E765" t="str">
        <f t="shared" si="121"/>
        <v/>
      </c>
      <c r="F765" t="str">
        <f>IF($A765="","",IF($E765=1,SUMIFS(Compta!$F$1:$F$675,Compta!$A$1:$A$675,$A765,Compta!$B$1:$B$675,$B765,Compta!$C$1:$C$675,"2026"),0))</f>
        <v/>
      </c>
      <c r="G765" t="str">
        <f t="shared" si="122"/>
        <v/>
      </c>
      <c r="H765" t="str">
        <f t="shared" si="123"/>
        <v/>
      </c>
      <c r="I765" t="str">
        <f t="shared" si="124"/>
        <v/>
      </c>
      <c r="J765" t="str">
        <f t="shared" si="125"/>
        <v/>
      </c>
      <c r="K765" t="str">
        <f t="shared" si="126"/>
        <v/>
      </c>
      <c r="L765" t="str">
        <f t="shared" si="127"/>
        <v/>
      </c>
      <c r="M765" t="str">
        <f t="shared" si="128"/>
        <v/>
      </c>
      <c r="N765" t="str">
        <f t="shared" si="129"/>
        <v/>
      </c>
      <c r="O765" t="str">
        <f t="shared" si="130"/>
        <v/>
      </c>
      <c r="P765" t="str">
        <f>IF($A765="","",IF($E765=1,$F765*$O765,PNL!G765))</f>
        <v/>
      </c>
      <c r="T765" t="str">
        <f t="shared" si="131"/>
        <v/>
      </c>
    </row>
    <row r="766" spans="1:20" x14ac:dyDescent="0.45">
      <c r="A766" t="str">
        <f>IF(PNL!A766="","",PNL!A766)</f>
        <v/>
      </c>
      <c r="B766" t="str">
        <f>IF(PNL!B766="","",PNL!B766)</f>
        <v/>
      </c>
      <c r="C766" t="str">
        <f>IF(PNL!C766="","",PNL!C766)</f>
        <v/>
      </c>
      <c r="D766" t="str">
        <f>IF(PNL!D766="","",PNL!D766)</f>
        <v/>
      </c>
      <c r="E766" t="str">
        <f t="shared" si="121"/>
        <v/>
      </c>
      <c r="F766" t="str">
        <f>IF($A766="","",IF($E766=1,SUMIFS(Compta!$F$1:$F$675,Compta!$A$1:$A$675,$A766,Compta!$B$1:$B$675,$B766,Compta!$C$1:$C$675,"2026"),0))</f>
        <v/>
      </c>
      <c r="G766" t="str">
        <f t="shared" si="122"/>
        <v/>
      </c>
      <c r="H766" t="str">
        <f t="shared" si="123"/>
        <v/>
      </c>
      <c r="I766" t="str">
        <f t="shared" si="124"/>
        <v/>
      </c>
      <c r="J766" t="str">
        <f t="shared" si="125"/>
        <v/>
      </c>
      <c r="K766" t="str">
        <f t="shared" si="126"/>
        <v/>
      </c>
      <c r="L766" t="str">
        <f t="shared" si="127"/>
        <v/>
      </c>
      <c r="M766" t="str">
        <f t="shared" si="128"/>
        <v/>
      </c>
      <c r="N766" t="str">
        <f t="shared" si="129"/>
        <v/>
      </c>
      <c r="O766" t="str">
        <f t="shared" si="130"/>
        <v/>
      </c>
      <c r="P766" t="str">
        <f>IF($A766="","",IF($E766=1,$F766*$O766,PNL!G766))</f>
        <v/>
      </c>
      <c r="T766" t="str">
        <f t="shared" si="131"/>
        <v/>
      </c>
    </row>
    <row r="767" spans="1:20" x14ac:dyDescent="0.45">
      <c r="A767" t="str">
        <f>IF(PNL!A767="","",PNL!A767)</f>
        <v/>
      </c>
      <c r="B767" t="str">
        <f>IF(PNL!B767="","",PNL!B767)</f>
        <v/>
      </c>
      <c r="C767" t="str">
        <f>IF(PNL!C767="","",PNL!C767)</f>
        <v/>
      </c>
      <c r="D767" t="str">
        <f>IF(PNL!D767="","",PNL!D767)</f>
        <v/>
      </c>
      <c r="E767" t="str">
        <f t="shared" si="121"/>
        <v/>
      </c>
      <c r="F767" t="str">
        <f>IF($A767="","",IF($E767=1,SUMIFS(Compta!$F$1:$F$675,Compta!$A$1:$A$675,$A767,Compta!$B$1:$B$675,$B767,Compta!$C$1:$C$675,"2026"),0))</f>
        <v/>
      </c>
      <c r="G767" t="str">
        <f t="shared" si="122"/>
        <v/>
      </c>
      <c r="H767" t="str">
        <f t="shared" si="123"/>
        <v/>
      </c>
      <c r="I767" t="str">
        <f t="shared" si="124"/>
        <v/>
      </c>
      <c r="J767" t="str">
        <f t="shared" si="125"/>
        <v/>
      </c>
      <c r="K767" t="str">
        <f t="shared" si="126"/>
        <v/>
      </c>
      <c r="L767" t="str">
        <f t="shared" si="127"/>
        <v/>
      </c>
      <c r="M767" t="str">
        <f t="shared" si="128"/>
        <v/>
      </c>
      <c r="N767" t="str">
        <f t="shared" si="129"/>
        <v/>
      </c>
      <c r="O767" t="str">
        <f t="shared" si="130"/>
        <v/>
      </c>
      <c r="P767" t="str">
        <f>IF($A767="","",IF($E767=1,$F767*$O767,PNL!G767))</f>
        <v/>
      </c>
      <c r="T767" t="str">
        <f t="shared" si="131"/>
        <v/>
      </c>
    </row>
    <row r="768" spans="1:20" x14ac:dyDescent="0.45">
      <c r="A768" t="str">
        <f>IF(PNL!A768="","",PNL!A768)</f>
        <v/>
      </c>
      <c r="B768" t="str">
        <f>IF(PNL!B768="","",PNL!B768)</f>
        <v/>
      </c>
      <c r="C768" t="str">
        <f>IF(PNL!C768="","",PNL!C768)</f>
        <v/>
      </c>
      <c r="D768" t="str">
        <f>IF(PNL!D768="","",PNL!D768)</f>
        <v/>
      </c>
      <c r="E768" t="str">
        <f t="shared" si="121"/>
        <v/>
      </c>
      <c r="F768" t="str">
        <f>IF($A768="","",IF($E768=1,SUMIFS(Compta!$F$1:$F$675,Compta!$A$1:$A$675,$A768,Compta!$B$1:$B$675,$B768,Compta!$C$1:$C$675,"2026"),0))</f>
        <v/>
      </c>
      <c r="G768" t="str">
        <f t="shared" si="122"/>
        <v/>
      </c>
      <c r="H768" t="str">
        <f t="shared" si="123"/>
        <v/>
      </c>
      <c r="I768" t="str">
        <f t="shared" si="124"/>
        <v/>
      </c>
      <c r="J768" t="str">
        <f t="shared" si="125"/>
        <v/>
      </c>
      <c r="K768" t="str">
        <f t="shared" si="126"/>
        <v/>
      </c>
      <c r="L768" t="str">
        <f t="shared" si="127"/>
        <v/>
      </c>
      <c r="M768" t="str">
        <f t="shared" si="128"/>
        <v/>
      </c>
      <c r="N768" t="str">
        <f t="shared" si="129"/>
        <v/>
      </c>
      <c r="O768" t="str">
        <f t="shared" si="130"/>
        <v/>
      </c>
      <c r="P768" t="str">
        <f>IF($A768="","",IF($E768=1,$F768*$O768,PNL!G768))</f>
        <v/>
      </c>
      <c r="T768" t="str">
        <f t="shared" si="131"/>
        <v/>
      </c>
    </row>
    <row r="769" spans="1:20" x14ac:dyDescent="0.45">
      <c r="A769" t="str">
        <f>IF(PNL!A769="","",PNL!A769)</f>
        <v/>
      </c>
      <c r="B769" t="str">
        <f>IF(PNL!B769="","",PNL!B769)</f>
        <v/>
      </c>
      <c r="C769" t="str">
        <f>IF(PNL!C769="","",PNL!C769)</f>
        <v/>
      </c>
      <c r="D769" t="str">
        <f>IF(PNL!D769="","",PNL!D769)</f>
        <v/>
      </c>
      <c r="E769" t="str">
        <f t="shared" si="121"/>
        <v/>
      </c>
      <c r="F769" t="str">
        <f>IF($A769="","",IF($E769=1,SUMIFS(Compta!$F$1:$F$675,Compta!$A$1:$A$675,$A769,Compta!$B$1:$B$675,$B769,Compta!$C$1:$C$675,"2026"),0))</f>
        <v/>
      </c>
      <c r="G769" t="str">
        <f t="shared" si="122"/>
        <v/>
      </c>
      <c r="H769" t="str">
        <f t="shared" si="123"/>
        <v/>
      </c>
      <c r="I769" t="str">
        <f t="shared" si="124"/>
        <v/>
      </c>
      <c r="J769" t="str">
        <f t="shared" si="125"/>
        <v/>
      </c>
      <c r="K769" t="str">
        <f t="shared" si="126"/>
        <v/>
      </c>
      <c r="L769" t="str">
        <f t="shared" si="127"/>
        <v/>
      </c>
      <c r="M769" t="str">
        <f t="shared" si="128"/>
        <v/>
      </c>
      <c r="N769" t="str">
        <f t="shared" si="129"/>
        <v/>
      </c>
      <c r="O769" t="str">
        <f t="shared" si="130"/>
        <v/>
      </c>
      <c r="P769" t="str">
        <f>IF($A769="","",IF($E769=1,$F769*$O769,PNL!G769))</f>
        <v/>
      </c>
      <c r="T769" t="str">
        <f t="shared" si="131"/>
        <v/>
      </c>
    </row>
    <row r="770" spans="1:20" x14ac:dyDescent="0.45">
      <c r="A770" t="str">
        <f>IF(PNL!A770="","",PNL!A770)</f>
        <v/>
      </c>
      <c r="B770" t="str">
        <f>IF(PNL!B770="","",PNL!B770)</f>
        <v/>
      </c>
      <c r="C770" t="str">
        <f>IF(PNL!C770="","",PNL!C770)</f>
        <v/>
      </c>
      <c r="D770" t="str">
        <f>IF(PNL!D770="","",PNL!D770)</f>
        <v/>
      </c>
      <c r="E770" t="str">
        <f t="shared" ref="E770:E833" si="132">IF($A770="","",IF(AND($C770="2027",OR($D770="V01",$D770="V02",$D770="V03")),1,0))</f>
        <v/>
      </c>
      <c r="F770" t="str">
        <f>IF($A770="","",IF($E770=1,SUMIFS(Compta!$F$1:$F$675,Compta!$A$1:$A$675,$A770,Compta!$B$1:$B$675,$B770,Compta!$C$1:$C$675,"2026"),0))</f>
        <v/>
      </c>
      <c r="G770" t="str">
        <f t="shared" ref="G770:G833" si="133">IF($A770="","",IF($D770="V01",cad!$C$23,IF($D770="V02",cad!$D$23,cad!$E$23)))</f>
        <v/>
      </c>
      <c r="H770" t="str">
        <f t="shared" ref="H770:H833" si="134">IF($A770="","",IF($D770="V01",cad!$C$24,IF($D770="V02",cad!$D$24,cad!$E$24)))</f>
        <v/>
      </c>
      <c r="I770" t="str">
        <f t="shared" ref="I770:I833" si="135">IF($A770="","",IF($D770="V01",cad!$C$32,IF($D770="V02",cad!$D$32,cad!$E$32)))</f>
        <v/>
      </c>
      <c r="J770" t="str">
        <f t="shared" ref="J770:J833" si="136">IF($A770="","",IF($D770="V01",cad!$C$33,IF($D770="V02",cad!$D$33,cad!$E$33)))</f>
        <v/>
      </c>
      <c r="K770" t="str">
        <f t="shared" ref="K770:K833" si="137">IF($A770="","",IF($D770="V01",cad!$C$34,IF($D770="V02",cad!$D$34,cad!$E$34)))</f>
        <v/>
      </c>
      <c r="L770" t="str">
        <f t="shared" ref="L770:L833" si="138">IF($A770="","",IF($D770="V01",cad!$C$35,IF($D770="V02",cad!$D$35,cad!$E$35)))</f>
        <v/>
      </c>
      <c r="M770" t="str">
        <f t="shared" ref="M770:M833" si="139">IF($A770="","",IF($D770="V01",cad!$C$36,IF($D770="V02",cad!$D$36,cad!$E$36)))</f>
        <v/>
      </c>
      <c r="N770" t="str">
        <f t="shared" ref="N770:N833" si="140">IF($A770="","",IF($D770="V01",$R$2,IF($D770="V02",$R$3,$R$4)))</f>
        <v/>
      </c>
      <c r="O770" t="str">
        <f t="shared" ref="O770:O833" si="141">IF($A770="","",IF(OR($B770="7062",$B770="706",$B770="708"),$N770,IF($B770="6231",1+$G770,IF($B770="6236",1+$H770,IF(OR($B770="621",$B770="604",$B770="6063"),$N770*(1-$L770),IF(OR($B770="6411",$B770="6413",$B770="6414",$B770="645"),(1+$J770)*(1+$K770),IF(OR($B770="613",$B770="615",$B770="616",$B770="6226",$B770="625",$B770="626",$B770="6281"),(1+$I770)*(1-$L770)*(1+$M770),IF(OR($B770="6331",$B770="63511",$B770="6333"),(1+$I770)*(1-$L770),IF($B770="6811",1+$I770,1)))))))))</f>
        <v/>
      </c>
      <c r="P770" t="str">
        <f>IF($A770="","",IF($E770=1,$F770*$O770,PNL!G770))</f>
        <v/>
      </c>
      <c r="T770" t="str">
        <f t="shared" ref="T770:T833" si="142">IF($A770="","",IF($E770=1,IF(OR($B770="7062",$B770="706",$B770="708"),$P770,IF(AND(LEFT($B770,1)="6",$B770&lt;&gt;"6811"),-$P770,0)),0))</f>
        <v/>
      </c>
    </row>
    <row r="771" spans="1:20" x14ac:dyDescent="0.45">
      <c r="A771" t="str">
        <f>IF(PNL!A771="","",PNL!A771)</f>
        <v/>
      </c>
      <c r="B771" t="str">
        <f>IF(PNL!B771="","",PNL!B771)</f>
        <v/>
      </c>
      <c r="C771" t="str">
        <f>IF(PNL!C771="","",PNL!C771)</f>
        <v/>
      </c>
      <c r="D771" t="str">
        <f>IF(PNL!D771="","",PNL!D771)</f>
        <v/>
      </c>
      <c r="E771" t="str">
        <f t="shared" si="132"/>
        <v/>
      </c>
      <c r="F771" t="str">
        <f>IF($A771="","",IF($E771=1,SUMIFS(Compta!$F$1:$F$675,Compta!$A$1:$A$675,$A771,Compta!$B$1:$B$675,$B771,Compta!$C$1:$C$675,"2026"),0))</f>
        <v/>
      </c>
      <c r="G771" t="str">
        <f t="shared" si="133"/>
        <v/>
      </c>
      <c r="H771" t="str">
        <f t="shared" si="134"/>
        <v/>
      </c>
      <c r="I771" t="str">
        <f t="shared" si="135"/>
        <v/>
      </c>
      <c r="J771" t="str">
        <f t="shared" si="136"/>
        <v/>
      </c>
      <c r="K771" t="str">
        <f t="shared" si="137"/>
        <v/>
      </c>
      <c r="L771" t="str">
        <f t="shared" si="138"/>
        <v/>
      </c>
      <c r="M771" t="str">
        <f t="shared" si="139"/>
        <v/>
      </c>
      <c r="N771" t="str">
        <f t="shared" si="140"/>
        <v/>
      </c>
      <c r="O771" t="str">
        <f t="shared" si="141"/>
        <v/>
      </c>
      <c r="P771" t="str">
        <f>IF($A771="","",IF($E771=1,$F771*$O771,PNL!G771))</f>
        <v/>
      </c>
      <c r="T771" t="str">
        <f t="shared" si="142"/>
        <v/>
      </c>
    </row>
    <row r="772" spans="1:20" x14ac:dyDescent="0.45">
      <c r="A772" t="str">
        <f>IF(PNL!A772="","",PNL!A772)</f>
        <v/>
      </c>
      <c r="B772" t="str">
        <f>IF(PNL!B772="","",PNL!B772)</f>
        <v/>
      </c>
      <c r="C772" t="str">
        <f>IF(PNL!C772="","",PNL!C772)</f>
        <v/>
      </c>
      <c r="D772" t="str">
        <f>IF(PNL!D772="","",PNL!D772)</f>
        <v/>
      </c>
      <c r="E772" t="str">
        <f t="shared" si="132"/>
        <v/>
      </c>
      <c r="F772" t="str">
        <f>IF($A772="","",IF($E772=1,SUMIFS(Compta!$F$1:$F$675,Compta!$A$1:$A$675,$A772,Compta!$B$1:$B$675,$B772,Compta!$C$1:$C$675,"2026"),0))</f>
        <v/>
      </c>
      <c r="G772" t="str">
        <f t="shared" si="133"/>
        <v/>
      </c>
      <c r="H772" t="str">
        <f t="shared" si="134"/>
        <v/>
      </c>
      <c r="I772" t="str">
        <f t="shared" si="135"/>
        <v/>
      </c>
      <c r="J772" t="str">
        <f t="shared" si="136"/>
        <v/>
      </c>
      <c r="K772" t="str">
        <f t="shared" si="137"/>
        <v/>
      </c>
      <c r="L772" t="str">
        <f t="shared" si="138"/>
        <v/>
      </c>
      <c r="M772" t="str">
        <f t="shared" si="139"/>
        <v/>
      </c>
      <c r="N772" t="str">
        <f t="shared" si="140"/>
        <v/>
      </c>
      <c r="O772" t="str">
        <f t="shared" si="141"/>
        <v/>
      </c>
      <c r="P772" t="str">
        <f>IF($A772="","",IF($E772=1,$F772*$O772,PNL!G772))</f>
        <v/>
      </c>
      <c r="T772" t="str">
        <f t="shared" si="142"/>
        <v/>
      </c>
    </row>
    <row r="773" spans="1:20" x14ac:dyDescent="0.45">
      <c r="A773" t="str">
        <f>IF(PNL!A773="","",PNL!A773)</f>
        <v/>
      </c>
      <c r="B773" t="str">
        <f>IF(PNL!B773="","",PNL!B773)</f>
        <v/>
      </c>
      <c r="C773" t="str">
        <f>IF(PNL!C773="","",PNL!C773)</f>
        <v/>
      </c>
      <c r="D773" t="str">
        <f>IF(PNL!D773="","",PNL!D773)</f>
        <v/>
      </c>
      <c r="E773" t="str">
        <f t="shared" si="132"/>
        <v/>
      </c>
      <c r="F773" t="str">
        <f>IF($A773="","",IF($E773=1,SUMIFS(Compta!$F$1:$F$675,Compta!$A$1:$A$675,$A773,Compta!$B$1:$B$675,$B773,Compta!$C$1:$C$675,"2026"),0))</f>
        <v/>
      </c>
      <c r="G773" t="str">
        <f t="shared" si="133"/>
        <v/>
      </c>
      <c r="H773" t="str">
        <f t="shared" si="134"/>
        <v/>
      </c>
      <c r="I773" t="str">
        <f t="shared" si="135"/>
        <v/>
      </c>
      <c r="J773" t="str">
        <f t="shared" si="136"/>
        <v/>
      </c>
      <c r="K773" t="str">
        <f t="shared" si="137"/>
        <v/>
      </c>
      <c r="L773" t="str">
        <f t="shared" si="138"/>
        <v/>
      </c>
      <c r="M773" t="str">
        <f t="shared" si="139"/>
        <v/>
      </c>
      <c r="N773" t="str">
        <f t="shared" si="140"/>
        <v/>
      </c>
      <c r="O773" t="str">
        <f t="shared" si="141"/>
        <v/>
      </c>
      <c r="P773" t="str">
        <f>IF($A773="","",IF($E773=1,$F773*$O773,PNL!G773))</f>
        <v/>
      </c>
      <c r="T773" t="str">
        <f t="shared" si="142"/>
        <v/>
      </c>
    </row>
    <row r="774" spans="1:20" x14ac:dyDescent="0.45">
      <c r="A774" t="str">
        <f>IF(PNL!A774="","",PNL!A774)</f>
        <v/>
      </c>
      <c r="B774" t="str">
        <f>IF(PNL!B774="","",PNL!B774)</f>
        <v/>
      </c>
      <c r="C774" t="str">
        <f>IF(PNL!C774="","",PNL!C774)</f>
        <v/>
      </c>
      <c r="D774" t="str">
        <f>IF(PNL!D774="","",PNL!D774)</f>
        <v/>
      </c>
      <c r="E774" t="str">
        <f t="shared" si="132"/>
        <v/>
      </c>
      <c r="F774" t="str">
        <f>IF($A774="","",IF($E774=1,SUMIFS(Compta!$F$1:$F$675,Compta!$A$1:$A$675,$A774,Compta!$B$1:$B$675,$B774,Compta!$C$1:$C$675,"2026"),0))</f>
        <v/>
      </c>
      <c r="G774" t="str">
        <f t="shared" si="133"/>
        <v/>
      </c>
      <c r="H774" t="str">
        <f t="shared" si="134"/>
        <v/>
      </c>
      <c r="I774" t="str">
        <f t="shared" si="135"/>
        <v/>
      </c>
      <c r="J774" t="str">
        <f t="shared" si="136"/>
        <v/>
      </c>
      <c r="K774" t="str">
        <f t="shared" si="137"/>
        <v/>
      </c>
      <c r="L774" t="str">
        <f t="shared" si="138"/>
        <v/>
      </c>
      <c r="M774" t="str">
        <f t="shared" si="139"/>
        <v/>
      </c>
      <c r="N774" t="str">
        <f t="shared" si="140"/>
        <v/>
      </c>
      <c r="O774" t="str">
        <f t="shared" si="141"/>
        <v/>
      </c>
      <c r="P774" t="str">
        <f>IF($A774="","",IF($E774=1,$F774*$O774,PNL!G774))</f>
        <v/>
      </c>
      <c r="T774" t="str">
        <f t="shared" si="142"/>
        <v/>
      </c>
    </row>
    <row r="775" spans="1:20" x14ac:dyDescent="0.45">
      <c r="A775" t="str">
        <f>IF(PNL!A775="","",PNL!A775)</f>
        <v/>
      </c>
      <c r="B775" t="str">
        <f>IF(PNL!B775="","",PNL!B775)</f>
        <v/>
      </c>
      <c r="C775" t="str">
        <f>IF(PNL!C775="","",PNL!C775)</f>
        <v/>
      </c>
      <c r="D775" t="str">
        <f>IF(PNL!D775="","",PNL!D775)</f>
        <v/>
      </c>
      <c r="E775" t="str">
        <f t="shared" si="132"/>
        <v/>
      </c>
      <c r="F775" t="str">
        <f>IF($A775="","",IF($E775=1,SUMIFS(Compta!$F$1:$F$675,Compta!$A$1:$A$675,$A775,Compta!$B$1:$B$675,$B775,Compta!$C$1:$C$675,"2026"),0))</f>
        <v/>
      </c>
      <c r="G775" t="str">
        <f t="shared" si="133"/>
        <v/>
      </c>
      <c r="H775" t="str">
        <f t="shared" si="134"/>
        <v/>
      </c>
      <c r="I775" t="str">
        <f t="shared" si="135"/>
        <v/>
      </c>
      <c r="J775" t="str">
        <f t="shared" si="136"/>
        <v/>
      </c>
      <c r="K775" t="str">
        <f t="shared" si="137"/>
        <v/>
      </c>
      <c r="L775" t="str">
        <f t="shared" si="138"/>
        <v/>
      </c>
      <c r="M775" t="str">
        <f t="shared" si="139"/>
        <v/>
      </c>
      <c r="N775" t="str">
        <f t="shared" si="140"/>
        <v/>
      </c>
      <c r="O775" t="str">
        <f t="shared" si="141"/>
        <v/>
      </c>
      <c r="P775" t="str">
        <f>IF($A775="","",IF($E775=1,$F775*$O775,PNL!G775))</f>
        <v/>
      </c>
      <c r="T775" t="str">
        <f t="shared" si="142"/>
        <v/>
      </c>
    </row>
    <row r="776" spans="1:20" x14ac:dyDescent="0.45">
      <c r="A776" t="str">
        <f>IF(PNL!A776="","",PNL!A776)</f>
        <v/>
      </c>
      <c r="B776" t="str">
        <f>IF(PNL!B776="","",PNL!B776)</f>
        <v/>
      </c>
      <c r="C776" t="str">
        <f>IF(PNL!C776="","",PNL!C776)</f>
        <v/>
      </c>
      <c r="D776" t="str">
        <f>IF(PNL!D776="","",PNL!D776)</f>
        <v/>
      </c>
      <c r="E776" t="str">
        <f t="shared" si="132"/>
        <v/>
      </c>
      <c r="F776" t="str">
        <f>IF($A776="","",IF($E776=1,SUMIFS(Compta!$F$1:$F$675,Compta!$A$1:$A$675,$A776,Compta!$B$1:$B$675,$B776,Compta!$C$1:$C$675,"2026"),0))</f>
        <v/>
      </c>
      <c r="G776" t="str">
        <f t="shared" si="133"/>
        <v/>
      </c>
      <c r="H776" t="str">
        <f t="shared" si="134"/>
        <v/>
      </c>
      <c r="I776" t="str">
        <f t="shared" si="135"/>
        <v/>
      </c>
      <c r="J776" t="str">
        <f t="shared" si="136"/>
        <v/>
      </c>
      <c r="K776" t="str">
        <f t="shared" si="137"/>
        <v/>
      </c>
      <c r="L776" t="str">
        <f t="shared" si="138"/>
        <v/>
      </c>
      <c r="M776" t="str">
        <f t="shared" si="139"/>
        <v/>
      </c>
      <c r="N776" t="str">
        <f t="shared" si="140"/>
        <v/>
      </c>
      <c r="O776" t="str">
        <f t="shared" si="141"/>
        <v/>
      </c>
      <c r="P776" t="str">
        <f>IF($A776="","",IF($E776=1,$F776*$O776,PNL!G776))</f>
        <v/>
      </c>
      <c r="T776" t="str">
        <f t="shared" si="142"/>
        <v/>
      </c>
    </row>
    <row r="777" spans="1:20" x14ac:dyDescent="0.45">
      <c r="A777" t="str">
        <f>IF(PNL!A777="","",PNL!A777)</f>
        <v/>
      </c>
      <c r="B777" t="str">
        <f>IF(PNL!B777="","",PNL!B777)</f>
        <v/>
      </c>
      <c r="C777" t="str">
        <f>IF(PNL!C777="","",PNL!C777)</f>
        <v/>
      </c>
      <c r="D777" t="str">
        <f>IF(PNL!D777="","",PNL!D777)</f>
        <v/>
      </c>
      <c r="E777" t="str">
        <f t="shared" si="132"/>
        <v/>
      </c>
      <c r="F777" t="str">
        <f>IF($A777="","",IF($E777=1,SUMIFS(Compta!$F$1:$F$675,Compta!$A$1:$A$675,$A777,Compta!$B$1:$B$675,$B777,Compta!$C$1:$C$675,"2026"),0))</f>
        <v/>
      </c>
      <c r="G777" t="str">
        <f t="shared" si="133"/>
        <v/>
      </c>
      <c r="H777" t="str">
        <f t="shared" si="134"/>
        <v/>
      </c>
      <c r="I777" t="str">
        <f t="shared" si="135"/>
        <v/>
      </c>
      <c r="J777" t="str">
        <f t="shared" si="136"/>
        <v/>
      </c>
      <c r="K777" t="str">
        <f t="shared" si="137"/>
        <v/>
      </c>
      <c r="L777" t="str">
        <f t="shared" si="138"/>
        <v/>
      </c>
      <c r="M777" t="str">
        <f t="shared" si="139"/>
        <v/>
      </c>
      <c r="N777" t="str">
        <f t="shared" si="140"/>
        <v/>
      </c>
      <c r="O777" t="str">
        <f t="shared" si="141"/>
        <v/>
      </c>
      <c r="P777" t="str">
        <f>IF($A777="","",IF($E777=1,$F777*$O777,PNL!G777))</f>
        <v/>
      </c>
      <c r="T777" t="str">
        <f t="shared" si="142"/>
        <v/>
      </c>
    </row>
    <row r="778" spans="1:20" x14ac:dyDescent="0.45">
      <c r="A778" t="str">
        <f>IF(PNL!A778="","",PNL!A778)</f>
        <v/>
      </c>
      <c r="B778" t="str">
        <f>IF(PNL!B778="","",PNL!B778)</f>
        <v/>
      </c>
      <c r="C778" t="str">
        <f>IF(PNL!C778="","",PNL!C778)</f>
        <v/>
      </c>
      <c r="D778" t="str">
        <f>IF(PNL!D778="","",PNL!D778)</f>
        <v/>
      </c>
      <c r="E778" t="str">
        <f t="shared" si="132"/>
        <v/>
      </c>
      <c r="F778" t="str">
        <f>IF($A778="","",IF($E778=1,SUMIFS(Compta!$F$1:$F$675,Compta!$A$1:$A$675,$A778,Compta!$B$1:$B$675,$B778,Compta!$C$1:$C$675,"2026"),0))</f>
        <v/>
      </c>
      <c r="G778" t="str">
        <f t="shared" si="133"/>
        <v/>
      </c>
      <c r="H778" t="str">
        <f t="shared" si="134"/>
        <v/>
      </c>
      <c r="I778" t="str">
        <f t="shared" si="135"/>
        <v/>
      </c>
      <c r="J778" t="str">
        <f t="shared" si="136"/>
        <v/>
      </c>
      <c r="K778" t="str">
        <f t="shared" si="137"/>
        <v/>
      </c>
      <c r="L778" t="str">
        <f t="shared" si="138"/>
        <v/>
      </c>
      <c r="M778" t="str">
        <f t="shared" si="139"/>
        <v/>
      </c>
      <c r="N778" t="str">
        <f t="shared" si="140"/>
        <v/>
      </c>
      <c r="O778" t="str">
        <f t="shared" si="141"/>
        <v/>
      </c>
      <c r="P778" t="str">
        <f>IF($A778="","",IF($E778=1,$F778*$O778,PNL!G778))</f>
        <v/>
      </c>
      <c r="T778" t="str">
        <f t="shared" si="142"/>
        <v/>
      </c>
    </row>
    <row r="779" spans="1:20" x14ac:dyDescent="0.45">
      <c r="A779" t="str">
        <f>IF(PNL!A779="","",PNL!A779)</f>
        <v/>
      </c>
      <c r="B779" t="str">
        <f>IF(PNL!B779="","",PNL!B779)</f>
        <v/>
      </c>
      <c r="C779" t="str">
        <f>IF(PNL!C779="","",PNL!C779)</f>
        <v/>
      </c>
      <c r="D779" t="str">
        <f>IF(PNL!D779="","",PNL!D779)</f>
        <v/>
      </c>
      <c r="E779" t="str">
        <f t="shared" si="132"/>
        <v/>
      </c>
      <c r="F779" t="str">
        <f>IF($A779="","",IF($E779=1,SUMIFS(Compta!$F$1:$F$675,Compta!$A$1:$A$675,$A779,Compta!$B$1:$B$675,$B779,Compta!$C$1:$C$675,"2026"),0))</f>
        <v/>
      </c>
      <c r="G779" t="str">
        <f t="shared" si="133"/>
        <v/>
      </c>
      <c r="H779" t="str">
        <f t="shared" si="134"/>
        <v/>
      </c>
      <c r="I779" t="str">
        <f t="shared" si="135"/>
        <v/>
      </c>
      <c r="J779" t="str">
        <f t="shared" si="136"/>
        <v/>
      </c>
      <c r="K779" t="str">
        <f t="shared" si="137"/>
        <v/>
      </c>
      <c r="L779" t="str">
        <f t="shared" si="138"/>
        <v/>
      </c>
      <c r="M779" t="str">
        <f t="shared" si="139"/>
        <v/>
      </c>
      <c r="N779" t="str">
        <f t="shared" si="140"/>
        <v/>
      </c>
      <c r="O779" t="str">
        <f t="shared" si="141"/>
        <v/>
      </c>
      <c r="P779" t="str">
        <f>IF($A779="","",IF($E779=1,$F779*$O779,PNL!G779))</f>
        <v/>
      </c>
      <c r="T779" t="str">
        <f t="shared" si="142"/>
        <v/>
      </c>
    </row>
    <row r="780" spans="1:20" x14ac:dyDescent="0.45">
      <c r="A780" t="str">
        <f>IF(PNL!A780="","",PNL!A780)</f>
        <v/>
      </c>
      <c r="B780" t="str">
        <f>IF(PNL!B780="","",PNL!B780)</f>
        <v/>
      </c>
      <c r="C780" t="str">
        <f>IF(PNL!C780="","",PNL!C780)</f>
        <v/>
      </c>
      <c r="D780" t="str">
        <f>IF(PNL!D780="","",PNL!D780)</f>
        <v/>
      </c>
      <c r="E780" t="str">
        <f t="shared" si="132"/>
        <v/>
      </c>
      <c r="F780" t="str">
        <f>IF($A780="","",IF($E780=1,SUMIFS(Compta!$F$1:$F$675,Compta!$A$1:$A$675,$A780,Compta!$B$1:$B$675,$B780,Compta!$C$1:$C$675,"2026"),0))</f>
        <v/>
      </c>
      <c r="G780" t="str">
        <f t="shared" si="133"/>
        <v/>
      </c>
      <c r="H780" t="str">
        <f t="shared" si="134"/>
        <v/>
      </c>
      <c r="I780" t="str">
        <f t="shared" si="135"/>
        <v/>
      </c>
      <c r="J780" t="str">
        <f t="shared" si="136"/>
        <v/>
      </c>
      <c r="K780" t="str">
        <f t="shared" si="137"/>
        <v/>
      </c>
      <c r="L780" t="str">
        <f t="shared" si="138"/>
        <v/>
      </c>
      <c r="M780" t="str">
        <f t="shared" si="139"/>
        <v/>
      </c>
      <c r="N780" t="str">
        <f t="shared" si="140"/>
        <v/>
      </c>
      <c r="O780" t="str">
        <f t="shared" si="141"/>
        <v/>
      </c>
      <c r="P780" t="str">
        <f>IF($A780="","",IF($E780=1,$F780*$O780,PNL!G780))</f>
        <v/>
      </c>
      <c r="T780" t="str">
        <f t="shared" si="142"/>
        <v/>
      </c>
    </row>
    <row r="781" spans="1:20" x14ac:dyDescent="0.45">
      <c r="A781" t="str">
        <f>IF(PNL!A781="","",PNL!A781)</f>
        <v/>
      </c>
      <c r="B781" t="str">
        <f>IF(PNL!B781="","",PNL!B781)</f>
        <v/>
      </c>
      <c r="C781" t="str">
        <f>IF(PNL!C781="","",PNL!C781)</f>
        <v/>
      </c>
      <c r="D781" t="str">
        <f>IF(PNL!D781="","",PNL!D781)</f>
        <v/>
      </c>
      <c r="E781" t="str">
        <f t="shared" si="132"/>
        <v/>
      </c>
      <c r="F781" t="str">
        <f>IF($A781="","",IF($E781=1,SUMIFS(Compta!$F$1:$F$675,Compta!$A$1:$A$675,$A781,Compta!$B$1:$B$675,$B781,Compta!$C$1:$C$675,"2026"),0))</f>
        <v/>
      </c>
      <c r="G781" t="str">
        <f t="shared" si="133"/>
        <v/>
      </c>
      <c r="H781" t="str">
        <f t="shared" si="134"/>
        <v/>
      </c>
      <c r="I781" t="str">
        <f t="shared" si="135"/>
        <v/>
      </c>
      <c r="J781" t="str">
        <f t="shared" si="136"/>
        <v/>
      </c>
      <c r="K781" t="str">
        <f t="shared" si="137"/>
        <v/>
      </c>
      <c r="L781" t="str">
        <f t="shared" si="138"/>
        <v/>
      </c>
      <c r="M781" t="str">
        <f t="shared" si="139"/>
        <v/>
      </c>
      <c r="N781" t="str">
        <f t="shared" si="140"/>
        <v/>
      </c>
      <c r="O781" t="str">
        <f t="shared" si="141"/>
        <v/>
      </c>
      <c r="P781" t="str">
        <f>IF($A781="","",IF($E781=1,$F781*$O781,PNL!G781))</f>
        <v/>
      </c>
      <c r="T781" t="str">
        <f t="shared" si="142"/>
        <v/>
      </c>
    </row>
    <row r="782" spans="1:20" x14ac:dyDescent="0.45">
      <c r="A782" t="str">
        <f>IF(PNL!A782="","",PNL!A782)</f>
        <v/>
      </c>
      <c r="B782" t="str">
        <f>IF(PNL!B782="","",PNL!B782)</f>
        <v/>
      </c>
      <c r="C782" t="str">
        <f>IF(PNL!C782="","",PNL!C782)</f>
        <v/>
      </c>
      <c r="D782" t="str">
        <f>IF(PNL!D782="","",PNL!D782)</f>
        <v/>
      </c>
      <c r="E782" t="str">
        <f t="shared" si="132"/>
        <v/>
      </c>
      <c r="F782" t="str">
        <f>IF($A782="","",IF($E782=1,SUMIFS(Compta!$F$1:$F$675,Compta!$A$1:$A$675,$A782,Compta!$B$1:$B$675,$B782,Compta!$C$1:$C$675,"2026"),0))</f>
        <v/>
      </c>
      <c r="G782" t="str">
        <f t="shared" si="133"/>
        <v/>
      </c>
      <c r="H782" t="str">
        <f t="shared" si="134"/>
        <v/>
      </c>
      <c r="I782" t="str">
        <f t="shared" si="135"/>
        <v/>
      </c>
      <c r="J782" t="str">
        <f t="shared" si="136"/>
        <v/>
      </c>
      <c r="K782" t="str">
        <f t="shared" si="137"/>
        <v/>
      </c>
      <c r="L782" t="str">
        <f t="shared" si="138"/>
        <v/>
      </c>
      <c r="M782" t="str">
        <f t="shared" si="139"/>
        <v/>
      </c>
      <c r="N782" t="str">
        <f t="shared" si="140"/>
        <v/>
      </c>
      <c r="O782" t="str">
        <f t="shared" si="141"/>
        <v/>
      </c>
      <c r="P782" t="str">
        <f>IF($A782="","",IF($E782=1,$F782*$O782,PNL!G782))</f>
        <v/>
      </c>
      <c r="T782" t="str">
        <f t="shared" si="142"/>
        <v/>
      </c>
    </row>
    <row r="783" spans="1:20" x14ac:dyDescent="0.45">
      <c r="A783" t="str">
        <f>IF(PNL!A783="","",PNL!A783)</f>
        <v/>
      </c>
      <c r="B783" t="str">
        <f>IF(PNL!B783="","",PNL!B783)</f>
        <v/>
      </c>
      <c r="C783" t="str">
        <f>IF(PNL!C783="","",PNL!C783)</f>
        <v/>
      </c>
      <c r="D783" t="str">
        <f>IF(PNL!D783="","",PNL!D783)</f>
        <v/>
      </c>
      <c r="E783" t="str">
        <f t="shared" si="132"/>
        <v/>
      </c>
      <c r="F783" t="str">
        <f>IF($A783="","",IF($E783=1,SUMIFS(Compta!$F$1:$F$675,Compta!$A$1:$A$675,$A783,Compta!$B$1:$B$675,$B783,Compta!$C$1:$C$675,"2026"),0))</f>
        <v/>
      </c>
      <c r="G783" t="str">
        <f t="shared" si="133"/>
        <v/>
      </c>
      <c r="H783" t="str">
        <f t="shared" si="134"/>
        <v/>
      </c>
      <c r="I783" t="str">
        <f t="shared" si="135"/>
        <v/>
      </c>
      <c r="J783" t="str">
        <f t="shared" si="136"/>
        <v/>
      </c>
      <c r="K783" t="str">
        <f t="shared" si="137"/>
        <v/>
      </c>
      <c r="L783" t="str">
        <f t="shared" si="138"/>
        <v/>
      </c>
      <c r="M783" t="str">
        <f t="shared" si="139"/>
        <v/>
      </c>
      <c r="N783" t="str">
        <f t="shared" si="140"/>
        <v/>
      </c>
      <c r="O783" t="str">
        <f t="shared" si="141"/>
        <v/>
      </c>
      <c r="P783" t="str">
        <f>IF($A783="","",IF($E783=1,$F783*$O783,PNL!G783))</f>
        <v/>
      </c>
      <c r="T783" t="str">
        <f t="shared" si="142"/>
        <v/>
      </c>
    </row>
    <row r="784" spans="1:20" x14ac:dyDescent="0.45">
      <c r="A784" t="str">
        <f>IF(PNL!A784="","",PNL!A784)</f>
        <v/>
      </c>
      <c r="B784" t="str">
        <f>IF(PNL!B784="","",PNL!B784)</f>
        <v/>
      </c>
      <c r="C784" t="str">
        <f>IF(PNL!C784="","",PNL!C784)</f>
        <v/>
      </c>
      <c r="D784" t="str">
        <f>IF(PNL!D784="","",PNL!D784)</f>
        <v/>
      </c>
      <c r="E784" t="str">
        <f t="shared" si="132"/>
        <v/>
      </c>
      <c r="F784" t="str">
        <f>IF($A784="","",IF($E784=1,SUMIFS(Compta!$F$1:$F$675,Compta!$A$1:$A$675,$A784,Compta!$B$1:$B$675,$B784,Compta!$C$1:$C$675,"2026"),0))</f>
        <v/>
      </c>
      <c r="G784" t="str">
        <f t="shared" si="133"/>
        <v/>
      </c>
      <c r="H784" t="str">
        <f t="shared" si="134"/>
        <v/>
      </c>
      <c r="I784" t="str">
        <f t="shared" si="135"/>
        <v/>
      </c>
      <c r="J784" t="str">
        <f t="shared" si="136"/>
        <v/>
      </c>
      <c r="K784" t="str">
        <f t="shared" si="137"/>
        <v/>
      </c>
      <c r="L784" t="str">
        <f t="shared" si="138"/>
        <v/>
      </c>
      <c r="M784" t="str">
        <f t="shared" si="139"/>
        <v/>
      </c>
      <c r="N784" t="str">
        <f t="shared" si="140"/>
        <v/>
      </c>
      <c r="O784" t="str">
        <f t="shared" si="141"/>
        <v/>
      </c>
      <c r="P784" t="str">
        <f>IF($A784="","",IF($E784=1,$F784*$O784,PNL!G784))</f>
        <v/>
      </c>
      <c r="T784" t="str">
        <f t="shared" si="142"/>
        <v/>
      </c>
    </row>
    <row r="785" spans="1:20" x14ac:dyDescent="0.45">
      <c r="A785" t="str">
        <f>IF(PNL!A785="","",PNL!A785)</f>
        <v/>
      </c>
      <c r="B785" t="str">
        <f>IF(PNL!B785="","",PNL!B785)</f>
        <v/>
      </c>
      <c r="C785" t="str">
        <f>IF(PNL!C785="","",PNL!C785)</f>
        <v/>
      </c>
      <c r="D785" t="str">
        <f>IF(PNL!D785="","",PNL!D785)</f>
        <v/>
      </c>
      <c r="E785" t="str">
        <f t="shared" si="132"/>
        <v/>
      </c>
      <c r="F785" t="str">
        <f>IF($A785="","",IF($E785=1,SUMIFS(Compta!$F$1:$F$675,Compta!$A$1:$A$675,$A785,Compta!$B$1:$B$675,$B785,Compta!$C$1:$C$675,"2026"),0))</f>
        <v/>
      </c>
      <c r="G785" t="str">
        <f t="shared" si="133"/>
        <v/>
      </c>
      <c r="H785" t="str">
        <f t="shared" si="134"/>
        <v/>
      </c>
      <c r="I785" t="str">
        <f t="shared" si="135"/>
        <v/>
      </c>
      <c r="J785" t="str">
        <f t="shared" si="136"/>
        <v/>
      </c>
      <c r="K785" t="str">
        <f t="shared" si="137"/>
        <v/>
      </c>
      <c r="L785" t="str">
        <f t="shared" si="138"/>
        <v/>
      </c>
      <c r="M785" t="str">
        <f t="shared" si="139"/>
        <v/>
      </c>
      <c r="N785" t="str">
        <f t="shared" si="140"/>
        <v/>
      </c>
      <c r="O785" t="str">
        <f t="shared" si="141"/>
        <v/>
      </c>
      <c r="P785" t="str">
        <f>IF($A785="","",IF($E785=1,$F785*$O785,PNL!G785))</f>
        <v/>
      </c>
      <c r="T785" t="str">
        <f t="shared" si="142"/>
        <v/>
      </c>
    </row>
    <row r="786" spans="1:20" x14ac:dyDescent="0.45">
      <c r="A786" t="str">
        <f>IF(PNL!A786="","",PNL!A786)</f>
        <v/>
      </c>
      <c r="B786" t="str">
        <f>IF(PNL!B786="","",PNL!B786)</f>
        <v/>
      </c>
      <c r="C786" t="str">
        <f>IF(PNL!C786="","",PNL!C786)</f>
        <v/>
      </c>
      <c r="D786" t="str">
        <f>IF(PNL!D786="","",PNL!D786)</f>
        <v/>
      </c>
      <c r="E786" t="str">
        <f t="shared" si="132"/>
        <v/>
      </c>
      <c r="F786" t="str">
        <f>IF($A786="","",IF($E786=1,SUMIFS(Compta!$F$1:$F$675,Compta!$A$1:$A$675,$A786,Compta!$B$1:$B$675,$B786,Compta!$C$1:$C$675,"2026"),0))</f>
        <v/>
      </c>
      <c r="G786" t="str">
        <f t="shared" si="133"/>
        <v/>
      </c>
      <c r="H786" t="str">
        <f t="shared" si="134"/>
        <v/>
      </c>
      <c r="I786" t="str">
        <f t="shared" si="135"/>
        <v/>
      </c>
      <c r="J786" t="str">
        <f t="shared" si="136"/>
        <v/>
      </c>
      <c r="K786" t="str">
        <f t="shared" si="137"/>
        <v/>
      </c>
      <c r="L786" t="str">
        <f t="shared" si="138"/>
        <v/>
      </c>
      <c r="M786" t="str">
        <f t="shared" si="139"/>
        <v/>
      </c>
      <c r="N786" t="str">
        <f t="shared" si="140"/>
        <v/>
      </c>
      <c r="O786" t="str">
        <f t="shared" si="141"/>
        <v/>
      </c>
      <c r="P786" t="str">
        <f>IF($A786="","",IF($E786=1,$F786*$O786,PNL!G786))</f>
        <v/>
      </c>
      <c r="T786" t="str">
        <f t="shared" si="142"/>
        <v/>
      </c>
    </row>
    <row r="787" spans="1:20" x14ac:dyDescent="0.45">
      <c r="A787" t="str">
        <f>IF(PNL!A787="","",PNL!A787)</f>
        <v/>
      </c>
      <c r="B787" t="str">
        <f>IF(PNL!B787="","",PNL!B787)</f>
        <v/>
      </c>
      <c r="C787" t="str">
        <f>IF(PNL!C787="","",PNL!C787)</f>
        <v/>
      </c>
      <c r="D787" t="str">
        <f>IF(PNL!D787="","",PNL!D787)</f>
        <v/>
      </c>
      <c r="E787" t="str">
        <f t="shared" si="132"/>
        <v/>
      </c>
      <c r="F787" t="str">
        <f>IF($A787="","",IF($E787=1,SUMIFS(Compta!$F$1:$F$675,Compta!$A$1:$A$675,$A787,Compta!$B$1:$B$675,$B787,Compta!$C$1:$C$675,"2026"),0))</f>
        <v/>
      </c>
      <c r="G787" t="str">
        <f t="shared" si="133"/>
        <v/>
      </c>
      <c r="H787" t="str">
        <f t="shared" si="134"/>
        <v/>
      </c>
      <c r="I787" t="str">
        <f t="shared" si="135"/>
        <v/>
      </c>
      <c r="J787" t="str">
        <f t="shared" si="136"/>
        <v/>
      </c>
      <c r="K787" t="str">
        <f t="shared" si="137"/>
        <v/>
      </c>
      <c r="L787" t="str">
        <f t="shared" si="138"/>
        <v/>
      </c>
      <c r="M787" t="str">
        <f t="shared" si="139"/>
        <v/>
      </c>
      <c r="N787" t="str">
        <f t="shared" si="140"/>
        <v/>
      </c>
      <c r="O787" t="str">
        <f t="shared" si="141"/>
        <v/>
      </c>
      <c r="P787" t="str">
        <f>IF($A787="","",IF($E787=1,$F787*$O787,PNL!G787))</f>
        <v/>
      </c>
      <c r="T787" t="str">
        <f t="shared" si="142"/>
        <v/>
      </c>
    </row>
    <row r="788" spans="1:20" x14ac:dyDescent="0.45">
      <c r="A788" t="str">
        <f>IF(PNL!A788="","",PNL!A788)</f>
        <v/>
      </c>
      <c r="B788" t="str">
        <f>IF(PNL!B788="","",PNL!B788)</f>
        <v/>
      </c>
      <c r="C788" t="str">
        <f>IF(PNL!C788="","",PNL!C788)</f>
        <v/>
      </c>
      <c r="D788" t="str">
        <f>IF(PNL!D788="","",PNL!D788)</f>
        <v/>
      </c>
      <c r="E788" t="str">
        <f t="shared" si="132"/>
        <v/>
      </c>
      <c r="F788" t="str">
        <f>IF($A788="","",IF($E788=1,SUMIFS(Compta!$F$1:$F$675,Compta!$A$1:$A$675,$A788,Compta!$B$1:$B$675,$B788,Compta!$C$1:$C$675,"2026"),0))</f>
        <v/>
      </c>
      <c r="G788" t="str">
        <f t="shared" si="133"/>
        <v/>
      </c>
      <c r="H788" t="str">
        <f t="shared" si="134"/>
        <v/>
      </c>
      <c r="I788" t="str">
        <f t="shared" si="135"/>
        <v/>
      </c>
      <c r="J788" t="str">
        <f t="shared" si="136"/>
        <v/>
      </c>
      <c r="K788" t="str">
        <f t="shared" si="137"/>
        <v/>
      </c>
      <c r="L788" t="str">
        <f t="shared" si="138"/>
        <v/>
      </c>
      <c r="M788" t="str">
        <f t="shared" si="139"/>
        <v/>
      </c>
      <c r="N788" t="str">
        <f t="shared" si="140"/>
        <v/>
      </c>
      <c r="O788" t="str">
        <f t="shared" si="141"/>
        <v/>
      </c>
      <c r="P788" t="str">
        <f>IF($A788="","",IF($E788=1,$F788*$O788,PNL!G788))</f>
        <v/>
      </c>
      <c r="T788" t="str">
        <f t="shared" si="142"/>
        <v/>
      </c>
    </row>
    <row r="789" spans="1:20" x14ac:dyDescent="0.45">
      <c r="A789" t="str">
        <f>IF(PNL!A789="","",PNL!A789)</f>
        <v/>
      </c>
      <c r="B789" t="str">
        <f>IF(PNL!B789="","",PNL!B789)</f>
        <v/>
      </c>
      <c r="C789" t="str">
        <f>IF(PNL!C789="","",PNL!C789)</f>
        <v/>
      </c>
      <c r="D789" t="str">
        <f>IF(PNL!D789="","",PNL!D789)</f>
        <v/>
      </c>
      <c r="E789" t="str">
        <f t="shared" si="132"/>
        <v/>
      </c>
      <c r="F789" t="str">
        <f>IF($A789="","",IF($E789=1,SUMIFS(Compta!$F$1:$F$675,Compta!$A$1:$A$675,$A789,Compta!$B$1:$B$675,$B789,Compta!$C$1:$C$675,"2026"),0))</f>
        <v/>
      </c>
      <c r="G789" t="str">
        <f t="shared" si="133"/>
        <v/>
      </c>
      <c r="H789" t="str">
        <f t="shared" si="134"/>
        <v/>
      </c>
      <c r="I789" t="str">
        <f t="shared" si="135"/>
        <v/>
      </c>
      <c r="J789" t="str">
        <f t="shared" si="136"/>
        <v/>
      </c>
      <c r="K789" t="str">
        <f t="shared" si="137"/>
        <v/>
      </c>
      <c r="L789" t="str">
        <f t="shared" si="138"/>
        <v/>
      </c>
      <c r="M789" t="str">
        <f t="shared" si="139"/>
        <v/>
      </c>
      <c r="N789" t="str">
        <f t="shared" si="140"/>
        <v/>
      </c>
      <c r="O789" t="str">
        <f t="shared" si="141"/>
        <v/>
      </c>
      <c r="P789" t="str">
        <f>IF($A789="","",IF($E789=1,$F789*$O789,PNL!G789))</f>
        <v/>
      </c>
      <c r="T789" t="str">
        <f t="shared" si="142"/>
        <v/>
      </c>
    </row>
    <row r="790" spans="1:20" x14ac:dyDescent="0.45">
      <c r="A790" t="str">
        <f>IF(PNL!A790="","",PNL!A790)</f>
        <v/>
      </c>
      <c r="B790" t="str">
        <f>IF(PNL!B790="","",PNL!B790)</f>
        <v/>
      </c>
      <c r="C790" t="str">
        <f>IF(PNL!C790="","",PNL!C790)</f>
        <v/>
      </c>
      <c r="D790" t="str">
        <f>IF(PNL!D790="","",PNL!D790)</f>
        <v/>
      </c>
      <c r="E790" t="str">
        <f t="shared" si="132"/>
        <v/>
      </c>
      <c r="F790" t="str">
        <f>IF($A790="","",IF($E790=1,SUMIFS(Compta!$F$1:$F$675,Compta!$A$1:$A$675,$A790,Compta!$B$1:$B$675,$B790,Compta!$C$1:$C$675,"2026"),0))</f>
        <v/>
      </c>
      <c r="G790" t="str">
        <f t="shared" si="133"/>
        <v/>
      </c>
      <c r="H790" t="str">
        <f t="shared" si="134"/>
        <v/>
      </c>
      <c r="I790" t="str">
        <f t="shared" si="135"/>
        <v/>
      </c>
      <c r="J790" t="str">
        <f t="shared" si="136"/>
        <v/>
      </c>
      <c r="K790" t="str">
        <f t="shared" si="137"/>
        <v/>
      </c>
      <c r="L790" t="str">
        <f t="shared" si="138"/>
        <v/>
      </c>
      <c r="M790" t="str">
        <f t="shared" si="139"/>
        <v/>
      </c>
      <c r="N790" t="str">
        <f t="shared" si="140"/>
        <v/>
      </c>
      <c r="O790" t="str">
        <f t="shared" si="141"/>
        <v/>
      </c>
      <c r="P790" t="str">
        <f>IF($A790="","",IF($E790=1,$F790*$O790,PNL!G790))</f>
        <v/>
      </c>
      <c r="T790" t="str">
        <f t="shared" si="142"/>
        <v/>
      </c>
    </row>
    <row r="791" spans="1:20" x14ac:dyDescent="0.45">
      <c r="A791" t="str">
        <f>IF(PNL!A791="","",PNL!A791)</f>
        <v/>
      </c>
      <c r="B791" t="str">
        <f>IF(PNL!B791="","",PNL!B791)</f>
        <v/>
      </c>
      <c r="C791" t="str">
        <f>IF(PNL!C791="","",PNL!C791)</f>
        <v/>
      </c>
      <c r="D791" t="str">
        <f>IF(PNL!D791="","",PNL!D791)</f>
        <v/>
      </c>
      <c r="E791" t="str">
        <f t="shared" si="132"/>
        <v/>
      </c>
      <c r="F791" t="str">
        <f>IF($A791="","",IF($E791=1,SUMIFS(Compta!$F$1:$F$675,Compta!$A$1:$A$675,$A791,Compta!$B$1:$B$675,$B791,Compta!$C$1:$C$675,"2026"),0))</f>
        <v/>
      </c>
      <c r="G791" t="str">
        <f t="shared" si="133"/>
        <v/>
      </c>
      <c r="H791" t="str">
        <f t="shared" si="134"/>
        <v/>
      </c>
      <c r="I791" t="str">
        <f t="shared" si="135"/>
        <v/>
      </c>
      <c r="J791" t="str">
        <f t="shared" si="136"/>
        <v/>
      </c>
      <c r="K791" t="str">
        <f t="shared" si="137"/>
        <v/>
      </c>
      <c r="L791" t="str">
        <f t="shared" si="138"/>
        <v/>
      </c>
      <c r="M791" t="str">
        <f t="shared" si="139"/>
        <v/>
      </c>
      <c r="N791" t="str">
        <f t="shared" si="140"/>
        <v/>
      </c>
      <c r="O791" t="str">
        <f t="shared" si="141"/>
        <v/>
      </c>
      <c r="P791" t="str">
        <f>IF($A791="","",IF($E791=1,$F791*$O791,PNL!G791))</f>
        <v/>
      </c>
      <c r="T791" t="str">
        <f t="shared" si="142"/>
        <v/>
      </c>
    </row>
    <row r="792" spans="1:20" x14ac:dyDescent="0.45">
      <c r="A792" t="str">
        <f>IF(PNL!A792="","",PNL!A792)</f>
        <v/>
      </c>
      <c r="B792" t="str">
        <f>IF(PNL!B792="","",PNL!B792)</f>
        <v/>
      </c>
      <c r="C792" t="str">
        <f>IF(PNL!C792="","",PNL!C792)</f>
        <v/>
      </c>
      <c r="D792" t="str">
        <f>IF(PNL!D792="","",PNL!D792)</f>
        <v/>
      </c>
      <c r="E792" t="str">
        <f t="shared" si="132"/>
        <v/>
      </c>
      <c r="F792" t="str">
        <f>IF($A792="","",IF($E792=1,SUMIFS(Compta!$F$1:$F$675,Compta!$A$1:$A$675,$A792,Compta!$B$1:$B$675,$B792,Compta!$C$1:$C$675,"2026"),0))</f>
        <v/>
      </c>
      <c r="G792" t="str">
        <f t="shared" si="133"/>
        <v/>
      </c>
      <c r="H792" t="str">
        <f t="shared" si="134"/>
        <v/>
      </c>
      <c r="I792" t="str">
        <f t="shared" si="135"/>
        <v/>
      </c>
      <c r="J792" t="str">
        <f t="shared" si="136"/>
        <v/>
      </c>
      <c r="K792" t="str">
        <f t="shared" si="137"/>
        <v/>
      </c>
      <c r="L792" t="str">
        <f t="shared" si="138"/>
        <v/>
      </c>
      <c r="M792" t="str">
        <f t="shared" si="139"/>
        <v/>
      </c>
      <c r="N792" t="str">
        <f t="shared" si="140"/>
        <v/>
      </c>
      <c r="O792" t="str">
        <f t="shared" si="141"/>
        <v/>
      </c>
      <c r="P792" t="str">
        <f>IF($A792="","",IF($E792=1,$F792*$O792,PNL!G792))</f>
        <v/>
      </c>
      <c r="T792" t="str">
        <f t="shared" si="142"/>
        <v/>
      </c>
    </row>
    <row r="793" spans="1:20" x14ac:dyDescent="0.45">
      <c r="A793" t="str">
        <f>IF(PNL!A793="","",PNL!A793)</f>
        <v/>
      </c>
      <c r="B793" t="str">
        <f>IF(PNL!B793="","",PNL!B793)</f>
        <v/>
      </c>
      <c r="C793" t="str">
        <f>IF(PNL!C793="","",PNL!C793)</f>
        <v/>
      </c>
      <c r="D793" t="str">
        <f>IF(PNL!D793="","",PNL!D793)</f>
        <v/>
      </c>
      <c r="E793" t="str">
        <f t="shared" si="132"/>
        <v/>
      </c>
      <c r="F793" t="str">
        <f>IF($A793="","",IF($E793=1,SUMIFS(Compta!$F$1:$F$675,Compta!$A$1:$A$675,$A793,Compta!$B$1:$B$675,$B793,Compta!$C$1:$C$675,"2026"),0))</f>
        <v/>
      </c>
      <c r="G793" t="str">
        <f t="shared" si="133"/>
        <v/>
      </c>
      <c r="H793" t="str">
        <f t="shared" si="134"/>
        <v/>
      </c>
      <c r="I793" t="str">
        <f t="shared" si="135"/>
        <v/>
      </c>
      <c r="J793" t="str">
        <f t="shared" si="136"/>
        <v/>
      </c>
      <c r="K793" t="str">
        <f t="shared" si="137"/>
        <v/>
      </c>
      <c r="L793" t="str">
        <f t="shared" si="138"/>
        <v/>
      </c>
      <c r="M793" t="str">
        <f t="shared" si="139"/>
        <v/>
      </c>
      <c r="N793" t="str">
        <f t="shared" si="140"/>
        <v/>
      </c>
      <c r="O793" t="str">
        <f t="shared" si="141"/>
        <v/>
      </c>
      <c r="P793" t="str">
        <f>IF($A793="","",IF($E793=1,$F793*$O793,PNL!G793))</f>
        <v/>
      </c>
      <c r="T793" t="str">
        <f t="shared" si="142"/>
        <v/>
      </c>
    </row>
    <row r="794" spans="1:20" x14ac:dyDescent="0.45">
      <c r="A794" t="str">
        <f>IF(PNL!A794="","",PNL!A794)</f>
        <v/>
      </c>
      <c r="B794" t="str">
        <f>IF(PNL!B794="","",PNL!B794)</f>
        <v/>
      </c>
      <c r="C794" t="str">
        <f>IF(PNL!C794="","",PNL!C794)</f>
        <v/>
      </c>
      <c r="D794" t="str">
        <f>IF(PNL!D794="","",PNL!D794)</f>
        <v/>
      </c>
      <c r="E794" t="str">
        <f t="shared" si="132"/>
        <v/>
      </c>
      <c r="F794" t="str">
        <f>IF($A794="","",IF($E794=1,SUMIFS(Compta!$F$1:$F$675,Compta!$A$1:$A$675,$A794,Compta!$B$1:$B$675,$B794,Compta!$C$1:$C$675,"2026"),0))</f>
        <v/>
      </c>
      <c r="G794" t="str">
        <f t="shared" si="133"/>
        <v/>
      </c>
      <c r="H794" t="str">
        <f t="shared" si="134"/>
        <v/>
      </c>
      <c r="I794" t="str">
        <f t="shared" si="135"/>
        <v/>
      </c>
      <c r="J794" t="str">
        <f t="shared" si="136"/>
        <v/>
      </c>
      <c r="K794" t="str">
        <f t="shared" si="137"/>
        <v/>
      </c>
      <c r="L794" t="str">
        <f t="shared" si="138"/>
        <v/>
      </c>
      <c r="M794" t="str">
        <f t="shared" si="139"/>
        <v/>
      </c>
      <c r="N794" t="str">
        <f t="shared" si="140"/>
        <v/>
      </c>
      <c r="O794" t="str">
        <f t="shared" si="141"/>
        <v/>
      </c>
      <c r="P794" t="str">
        <f>IF($A794="","",IF($E794=1,$F794*$O794,PNL!G794))</f>
        <v/>
      </c>
      <c r="T794" t="str">
        <f t="shared" si="142"/>
        <v/>
      </c>
    </row>
    <row r="795" spans="1:20" x14ac:dyDescent="0.45">
      <c r="A795" t="str">
        <f>IF(PNL!A795="","",PNL!A795)</f>
        <v/>
      </c>
      <c r="B795" t="str">
        <f>IF(PNL!B795="","",PNL!B795)</f>
        <v/>
      </c>
      <c r="C795" t="str">
        <f>IF(PNL!C795="","",PNL!C795)</f>
        <v/>
      </c>
      <c r="D795" t="str">
        <f>IF(PNL!D795="","",PNL!D795)</f>
        <v/>
      </c>
      <c r="E795" t="str">
        <f t="shared" si="132"/>
        <v/>
      </c>
      <c r="F795" t="str">
        <f>IF($A795="","",IF($E795=1,SUMIFS(Compta!$F$1:$F$675,Compta!$A$1:$A$675,$A795,Compta!$B$1:$B$675,$B795,Compta!$C$1:$C$675,"2026"),0))</f>
        <v/>
      </c>
      <c r="G795" t="str">
        <f t="shared" si="133"/>
        <v/>
      </c>
      <c r="H795" t="str">
        <f t="shared" si="134"/>
        <v/>
      </c>
      <c r="I795" t="str">
        <f t="shared" si="135"/>
        <v/>
      </c>
      <c r="J795" t="str">
        <f t="shared" si="136"/>
        <v/>
      </c>
      <c r="K795" t="str">
        <f t="shared" si="137"/>
        <v/>
      </c>
      <c r="L795" t="str">
        <f t="shared" si="138"/>
        <v/>
      </c>
      <c r="M795" t="str">
        <f t="shared" si="139"/>
        <v/>
      </c>
      <c r="N795" t="str">
        <f t="shared" si="140"/>
        <v/>
      </c>
      <c r="O795" t="str">
        <f t="shared" si="141"/>
        <v/>
      </c>
      <c r="P795" t="str">
        <f>IF($A795="","",IF($E795=1,$F795*$O795,PNL!G795))</f>
        <v/>
      </c>
      <c r="T795" t="str">
        <f t="shared" si="142"/>
        <v/>
      </c>
    </row>
    <row r="796" spans="1:20" x14ac:dyDescent="0.45">
      <c r="A796" t="str">
        <f>IF(PNL!A796="","",PNL!A796)</f>
        <v/>
      </c>
      <c r="B796" t="str">
        <f>IF(PNL!B796="","",PNL!B796)</f>
        <v/>
      </c>
      <c r="C796" t="str">
        <f>IF(PNL!C796="","",PNL!C796)</f>
        <v/>
      </c>
      <c r="D796" t="str">
        <f>IF(PNL!D796="","",PNL!D796)</f>
        <v/>
      </c>
      <c r="E796" t="str">
        <f t="shared" si="132"/>
        <v/>
      </c>
      <c r="F796" t="str">
        <f>IF($A796="","",IF($E796=1,SUMIFS(Compta!$F$1:$F$675,Compta!$A$1:$A$675,$A796,Compta!$B$1:$B$675,$B796,Compta!$C$1:$C$675,"2026"),0))</f>
        <v/>
      </c>
      <c r="G796" t="str">
        <f t="shared" si="133"/>
        <v/>
      </c>
      <c r="H796" t="str">
        <f t="shared" si="134"/>
        <v/>
      </c>
      <c r="I796" t="str">
        <f t="shared" si="135"/>
        <v/>
      </c>
      <c r="J796" t="str">
        <f t="shared" si="136"/>
        <v/>
      </c>
      <c r="K796" t="str">
        <f t="shared" si="137"/>
        <v/>
      </c>
      <c r="L796" t="str">
        <f t="shared" si="138"/>
        <v/>
      </c>
      <c r="M796" t="str">
        <f t="shared" si="139"/>
        <v/>
      </c>
      <c r="N796" t="str">
        <f t="shared" si="140"/>
        <v/>
      </c>
      <c r="O796" t="str">
        <f t="shared" si="141"/>
        <v/>
      </c>
      <c r="P796" t="str">
        <f>IF($A796="","",IF($E796=1,$F796*$O796,PNL!G796))</f>
        <v/>
      </c>
      <c r="T796" t="str">
        <f t="shared" si="142"/>
        <v/>
      </c>
    </row>
    <row r="797" spans="1:20" x14ac:dyDescent="0.45">
      <c r="A797" t="str">
        <f>IF(PNL!A797="","",PNL!A797)</f>
        <v/>
      </c>
      <c r="B797" t="str">
        <f>IF(PNL!B797="","",PNL!B797)</f>
        <v/>
      </c>
      <c r="C797" t="str">
        <f>IF(PNL!C797="","",PNL!C797)</f>
        <v/>
      </c>
      <c r="D797" t="str">
        <f>IF(PNL!D797="","",PNL!D797)</f>
        <v/>
      </c>
      <c r="E797" t="str">
        <f t="shared" si="132"/>
        <v/>
      </c>
      <c r="F797" t="str">
        <f>IF($A797="","",IF($E797=1,SUMIFS(Compta!$F$1:$F$675,Compta!$A$1:$A$675,$A797,Compta!$B$1:$B$675,$B797,Compta!$C$1:$C$675,"2026"),0))</f>
        <v/>
      </c>
      <c r="G797" t="str">
        <f t="shared" si="133"/>
        <v/>
      </c>
      <c r="H797" t="str">
        <f t="shared" si="134"/>
        <v/>
      </c>
      <c r="I797" t="str">
        <f t="shared" si="135"/>
        <v/>
      </c>
      <c r="J797" t="str">
        <f t="shared" si="136"/>
        <v/>
      </c>
      <c r="K797" t="str">
        <f t="shared" si="137"/>
        <v/>
      </c>
      <c r="L797" t="str">
        <f t="shared" si="138"/>
        <v/>
      </c>
      <c r="M797" t="str">
        <f t="shared" si="139"/>
        <v/>
      </c>
      <c r="N797" t="str">
        <f t="shared" si="140"/>
        <v/>
      </c>
      <c r="O797" t="str">
        <f t="shared" si="141"/>
        <v/>
      </c>
      <c r="P797" t="str">
        <f>IF($A797="","",IF($E797=1,$F797*$O797,PNL!G797))</f>
        <v/>
      </c>
      <c r="T797" t="str">
        <f t="shared" si="142"/>
        <v/>
      </c>
    </row>
    <row r="798" spans="1:20" x14ac:dyDescent="0.45">
      <c r="A798" t="str">
        <f>IF(PNL!A798="","",PNL!A798)</f>
        <v/>
      </c>
      <c r="B798" t="str">
        <f>IF(PNL!B798="","",PNL!B798)</f>
        <v/>
      </c>
      <c r="C798" t="str">
        <f>IF(PNL!C798="","",PNL!C798)</f>
        <v/>
      </c>
      <c r="D798" t="str">
        <f>IF(PNL!D798="","",PNL!D798)</f>
        <v/>
      </c>
      <c r="E798" t="str">
        <f t="shared" si="132"/>
        <v/>
      </c>
      <c r="F798" t="str">
        <f>IF($A798="","",IF($E798=1,SUMIFS(Compta!$F$1:$F$675,Compta!$A$1:$A$675,$A798,Compta!$B$1:$B$675,$B798,Compta!$C$1:$C$675,"2026"),0))</f>
        <v/>
      </c>
      <c r="G798" t="str">
        <f t="shared" si="133"/>
        <v/>
      </c>
      <c r="H798" t="str">
        <f t="shared" si="134"/>
        <v/>
      </c>
      <c r="I798" t="str">
        <f t="shared" si="135"/>
        <v/>
      </c>
      <c r="J798" t="str">
        <f t="shared" si="136"/>
        <v/>
      </c>
      <c r="K798" t="str">
        <f t="shared" si="137"/>
        <v/>
      </c>
      <c r="L798" t="str">
        <f t="shared" si="138"/>
        <v/>
      </c>
      <c r="M798" t="str">
        <f t="shared" si="139"/>
        <v/>
      </c>
      <c r="N798" t="str">
        <f t="shared" si="140"/>
        <v/>
      </c>
      <c r="O798" t="str">
        <f t="shared" si="141"/>
        <v/>
      </c>
      <c r="P798" t="str">
        <f>IF($A798="","",IF($E798=1,$F798*$O798,PNL!G798))</f>
        <v/>
      </c>
      <c r="T798" t="str">
        <f t="shared" si="142"/>
        <v/>
      </c>
    </row>
    <row r="799" spans="1:20" x14ac:dyDescent="0.45">
      <c r="A799" t="str">
        <f>IF(PNL!A799="","",PNL!A799)</f>
        <v/>
      </c>
      <c r="B799" t="str">
        <f>IF(PNL!B799="","",PNL!B799)</f>
        <v/>
      </c>
      <c r="C799" t="str">
        <f>IF(PNL!C799="","",PNL!C799)</f>
        <v/>
      </c>
      <c r="D799" t="str">
        <f>IF(PNL!D799="","",PNL!D799)</f>
        <v/>
      </c>
      <c r="E799" t="str">
        <f t="shared" si="132"/>
        <v/>
      </c>
      <c r="F799" t="str">
        <f>IF($A799="","",IF($E799=1,SUMIFS(Compta!$F$1:$F$675,Compta!$A$1:$A$675,$A799,Compta!$B$1:$B$675,$B799,Compta!$C$1:$C$675,"2026"),0))</f>
        <v/>
      </c>
      <c r="G799" t="str">
        <f t="shared" si="133"/>
        <v/>
      </c>
      <c r="H799" t="str">
        <f t="shared" si="134"/>
        <v/>
      </c>
      <c r="I799" t="str">
        <f t="shared" si="135"/>
        <v/>
      </c>
      <c r="J799" t="str">
        <f t="shared" si="136"/>
        <v/>
      </c>
      <c r="K799" t="str">
        <f t="shared" si="137"/>
        <v/>
      </c>
      <c r="L799" t="str">
        <f t="shared" si="138"/>
        <v/>
      </c>
      <c r="M799" t="str">
        <f t="shared" si="139"/>
        <v/>
      </c>
      <c r="N799" t="str">
        <f t="shared" si="140"/>
        <v/>
      </c>
      <c r="O799" t="str">
        <f t="shared" si="141"/>
        <v/>
      </c>
      <c r="P799" t="str">
        <f>IF($A799="","",IF($E799=1,$F799*$O799,PNL!G799))</f>
        <v/>
      </c>
      <c r="T799" t="str">
        <f t="shared" si="142"/>
        <v/>
      </c>
    </row>
    <row r="800" spans="1:20" x14ac:dyDescent="0.45">
      <c r="A800" t="str">
        <f>IF(PNL!A800="","",PNL!A800)</f>
        <v/>
      </c>
      <c r="B800" t="str">
        <f>IF(PNL!B800="","",PNL!B800)</f>
        <v/>
      </c>
      <c r="C800" t="str">
        <f>IF(PNL!C800="","",PNL!C800)</f>
        <v/>
      </c>
      <c r="D800" t="str">
        <f>IF(PNL!D800="","",PNL!D800)</f>
        <v/>
      </c>
      <c r="E800" t="str">
        <f t="shared" si="132"/>
        <v/>
      </c>
      <c r="F800" t="str">
        <f>IF($A800="","",IF($E800=1,SUMIFS(Compta!$F$1:$F$675,Compta!$A$1:$A$675,$A800,Compta!$B$1:$B$675,$B800,Compta!$C$1:$C$675,"2026"),0))</f>
        <v/>
      </c>
      <c r="G800" t="str">
        <f t="shared" si="133"/>
        <v/>
      </c>
      <c r="H800" t="str">
        <f t="shared" si="134"/>
        <v/>
      </c>
      <c r="I800" t="str">
        <f t="shared" si="135"/>
        <v/>
      </c>
      <c r="J800" t="str">
        <f t="shared" si="136"/>
        <v/>
      </c>
      <c r="K800" t="str">
        <f t="shared" si="137"/>
        <v/>
      </c>
      <c r="L800" t="str">
        <f t="shared" si="138"/>
        <v/>
      </c>
      <c r="M800" t="str">
        <f t="shared" si="139"/>
        <v/>
      </c>
      <c r="N800" t="str">
        <f t="shared" si="140"/>
        <v/>
      </c>
      <c r="O800" t="str">
        <f t="shared" si="141"/>
        <v/>
      </c>
      <c r="P800" t="str">
        <f>IF($A800="","",IF($E800=1,$F800*$O800,PNL!G800))</f>
        <v/>
      </c>
      <c r="T800" t="str">
        <f t="shared" si="142"/>
        <v/>
      </c>
    </row>
    <row r="801" spans="1:20" x14ac:dyDescent="0.45">
      <c r="A801" t="str">
        <f>IF(PNL!A801="","",PNL!A801)</f>
        <v/>
      </c>
      <c r="B801" t="str">
        <f>IF(PNL!B801="","",PNL!B801)</f>
        <v/>
      </c>
      <c r="C801" t="str">
        <f>IF(PNL!C801="","",PNL!C801)</f>
        <v/>
      </c>
      <c r="D801" t="str">
        <f>IF(PNL!D801="","",PNL!D801)</f>
        <v/>
      </c>
      <c r="E801" t="str">
        <f t="shared" si="132"/>
        <v/>
      </c>
      <c r="F801" t="str">
        <f>IF($A801="","",IF($E801=1,SUMIFS(Compta!$F$1:$F$675,Compta!$A$1:$A$675,$A801,Compta!$B$1:$B$675,$B801,Compta!$C$1:$C$675,"2026"),0))</f>
        <v/>
      </c>
      <c r="G801" t="str">
        <f t="shared" si="133"/>
        <v/>
      </c>
      <c r="H801" t="str">
        <f t="shared" si="134"/>
        <v/>
      </c>
      <c r="I801" t="str">
        <f t="shared" si="135"/>
        <v/>
      </c>
      <c r="J801" t="str">
        <f t="shared" si="136"/>
        <v/>
      </c>
      <c r="K801" t="str">
        <f t="shared" si="137"/>
        <v/>
      </c>
      <c r="L801" t="str">
        <f t="shared" si="138"/>
        <v/>
      </c>
      <c r="M801" t="str">
        <f t="shared" si="139"/>
        <v/>
      </c>
      <c r="N801" t="str">
        <f t="shared" si="140"/>
        <v/>
      </c>
      <c r="O801" t="str">
        <f t="shared" si="141"/>
        <v/>
      </c>
      <c r="P801" t="str">
        <f>IF($A801="","",IF($E801=1,$F801*$O801,PNL!G801))</f>
        <v/>
      </c>
      <c r="T801" t="str">
        <f t="shared" si="142"/>
        <v/>
      </c>
    </row>
    <row r="802" spans="1:20" x14ac:dyDescent="0.45">
      <c r="A802" t="str">
        <f>IF(PNL!A802="","",PNL!A802)</f>
        <v/>
      </c>
      <c r="B802" t="str">
        <f>IF(PNL!B802="","",PNL!B802)</f>
        <v/>
      </c>
      <c r="C802" t="str">
        <f>IF(PNL!C802="","",PNL!C802)</f>
        <v/>
      </c>
      <c r="D802" t="str">
        <f>IF(PNL!D802="","",PNL!D802)</f>
        <v/>
      </c>
      <c r="E802" t="str">
        <f t="shared" si="132"/>
        <v/>
      </c>
      <c r="F802" t="str">
        <f>IF($A802="","",IF($E802=1,SUMIFS(Compta!$F$1:$F$675,Compta!$A$1:$A$675,$A802,Compta!$B$1:$B$675,$B802,Compta!$C$1:$C$675,"2026"),0))</f>
        <v/>
      </c>
      <c r="G802" t="str">
        <f t="shared" si="133"/>
        <v/>
      </c>
      <c r="H802" t="str">
        <f t="shared" si="134"/>
        <v/>
      </c>
      <c r="I802" t="str">
        <f t="shared" si="135"/>
        <v/>
      </c>
      <c r="J802" t="str">
        <f t="shared" si="136"/>
        <v/>
      </c>
      <c r="K802" t="str">
        <f t="shared" si="137"/>
        <v/>
      </c>
      <c r="L802" t="str">
        <f t="shared" si="138"/>
        <v/>
      </c>
      <c r="M802" t="str">
        <f t="shared" si="139"/>
        <v/>
      </c>
      <c r="N802" t="str">
        <f t="shared" si="140"/>
        <v/>
      </c>
      <c r="O802" t="str">
        <f t="shared" si="141"/>
        <v/>
      </c>
      <c r="P802" t="str">
        <f>IF($A802="","",IF($E802=1,$F802*$O802,PNL!G802))</f>
        <v/>
      </c>
      <c r="T802" t="str">
        <f t="shared" si="142"/>
        <v/>
      </c>
    </row>
    <row r="803" spans="1:20" x14ac:dyDescent="0.45">
      <c r="A803" t="str">
        <f>IF(PNL!A803="","",PNL!A803)</f>
        <v/>
      </c>
      <c r="B803" t="str">
        <f>IF(PNL!B803="","",PNL!B803)</f>
        <v/>
      </c>
      <c r="C803" t="str">
        <f>IF(PNL!C803="","",PNL!C803)</f>
        <v/>
      </c>
      <c r="D803" t="str">
        <f>IF(PNL!D803="","",PNL!D803)</f>
        <v/>
      </c>
      <c r="E803" t="str">
        <f t="shared" si="132"/>
        <v/>
      </c>
      <c r="F803" t="str">
        <f>IF($A803="","",IF($E803=1,SUMIFS(Compta!$F$1:$F$675,Compta!$A$1:$A$675,$A803,Compta!$B$1:$B$675,$B803,Compta!$C$1:$C$675,"2026"),0))</f>
        <v/>
      </c>
      <c r="G803" t="str">
        <f t="shared" si="133"/>
        <v/>
      </c>
      <c r="H803" t="str">
        <f t="shared" si="134"/>
        <v/>
      </c>
      <c r="I803" t="str">
        <f t="shared" si="135"/>
        <v/>
      </c>
      <c r="J803" t="str">
        <f t="shared" si="136"/>
        <v/>
      </c>
      <c r="K803" t="str">
        <f t="shared" si="137"/>
        <v/>
      </c>
      <c r="L803" t="str">
        <f t="shared" si="138"/>
        <v/>
      </c>
      <c r="M803" t="str">
        <f t="shared" si="139"/>
        <v/>
      </c>
      <c r="N803" t="str">
        <f t="shared" si="140"/>
        <v/>
      </c>
      <c r="O803" t="str">
        <f t="shared" si="141"/>
        <v/>
      </c>
      <c r="P803" t="str">
        <f>IF($A803="","",IF($E803=1,$F803*$O803,PNL!G803))</f>
        <v/>
      </c>
      <c r="T803" t="str">
        <f t="shared" si="142"/>
        <v/>
      </c>
    </row>
    <row r="804" spans="1:20" x14ac:dyDescent="0.45">
      <c r="A804" t="str">
        <f>IF(PNL!A804="","",PNL!A804)</f>
        <v/>
      </c>
      <c r="B804" t="str">
        <f>IF(PNL!B804="","",PNL!B804)</f>
        <v/>
      </c>
      <c r="C804" t="str">
        <f>IF(PNL!C804="","",PNL!C804)</f>
        <v/>
      </c>
      <c r="D804" t="str">
        <f>IF(PNL!D804="","",PNL!D804)</f>
        <v/>
      </c>
      <c r="E804" t="str">
        <f t="shared" si="132"/>
        <v/>
      </c>
      <c r="F804" t="str">
        <f>IF($A804="","",IF($E804=1,SUMIFS(Compta!$F$1:$F$675,Compta!$A$1:$A$675,$A804,Compta!$B$1:$B$675,$B804,Compta!$C$1:$C$675,"2026"),0))</f>
        <v/>
      </c>
      <c r="G804" t="str">
        <f t="shared" si="133"/>
        <v/>
      </c>
      <c r="H804" t="str">
        <f t="shared" si="134"/>
        <v/>
      </c>
      <c r="I804" t="str">
        <f t="shared" si="135"/>
        <v/>
      </c>
      <c r="J804" t="str">
        <f t="shared" si="136"/>
        <v/>
      </c>
      <c r="K804" t="str">
        <f t="shared" si="137"/>
        <v/>
      </c>
      <c r="L804" t="str">
        <f t="shared" si="138"/>
        <v/>
      </c>
      <c r="M804" t="str">
        <f t="shared" si="139"/>
        <v/>
      </c>
      <c r="N804" t="str">
        <f t="shared" si="140"/>
        <v/>
      </c>
      <c r="O804" t="str">
        <f t="shared" si="141"/>
        <v/>
      </c>
      <c r="P804" t="str">
        <f>IF($A804="","",IF($E804=1,$F804*$O804,PNL!G804))</f>
        <v/>
      </c>
      <c r="T804" t="str">
        <f t="shared" si="142"/>
        <v/>
      </c>
    </row>
    <row r="805" spans="1:20" x14ac:dyDescent="0.45">
      <c r="A805" t="str">
        <f>IF(PNL!A805="","",PNL!A805)</f>
        <v/>
      </c>
      <c r="B805" t="str">
        <f>IF(PNL!B805="","",PNL!B805)</f>
        <v/>
      </c>
      <c r="C805" t="str">
        <f>IF(PNL!C805="","",PNL!C805)</f>
        <v/>
      </c>
      <c r="D805" t="str">
        <f>IF(PNL!D805="","",PNL!D805)</f>
        <v/>
      </c>
      <c r="E805" t="str">
        <f t="shared" si="132"/>
        <v/>
      </c>
      <c r="F805" t="str">
        <f>IF($A805="","",IF($E805=1,SUMIFS(Compta!$F$1:$F$675,Compta!$A$1:$A$675,$A805,Compta!$B$1:$B$675,$B805,Compta!$C$1:$C$675,"2026"),0))</f>
        <v/>
      </c>
      <c r="G805" t="str">
        <f t="shared" si="133"/>
        <v/>
      </c>
      <c r="H805" t="str">
        <f t="shared" si="134"/>
        <v/>
      </c>
      <c r="I805" t="str">
        <f t="shared" si="135"/>
        <v/>
      </c>
      <c r="J805" t="str">
        <f t="shared" si="136"/>
        <v/>
      </c>
      <c r="K805" t="str">
        <f t="shared" si="137"/>
        <v/>
      </c>
      <c r="L805" t="str">
        <f t="shared" si="138"/>
        <v/>
      </c>
      <c r="M805" t="str">
        <f t="shared" si="139"/>
        <v/>
      </c>
      <c r="N805" t="str">
        <f t="shared" si="140"/>
        <v/>
      </c>
      <c r="O805" t="str">
        <f t="shared" si="141"/>
        <v/>
      </c>
      <c r="P805" t="str">
        <f>IF($A805="","",IF($E805=1,$F805*$O805,PNL!G805))</f>
        <v/>
      </c>
      <c r="T805" t="str">
        <f t="shared" si="142"/>
        <v/>
      </c>
    </row>
    <row r="806" spans="1:20" x14ac:dyDescent="0.45">
      <c r="A806" t="str">
        <f>IF(PNL!A806="","",PNL!A806)</f>
        <v/>
      </c>
      <c r="B806" t="str">
        <f>IF(PNL!B806="","",PNL!B806)</f>
        <v/>
      </c>
      <c r="C806" t="str">
        <f>IF(PNL!C806="","",PNL!C806)</f>
        <v/>
      </c>
      <c r="D806" t="str">
        <f>IF(PNL!D806="","",PNL!D806)</f>
        <v/>
      </c>
      <c r="E806" t="str">
        <f t="shared" si="132"/>
        <v/>
      </c>
      <c r="F806" t="str">
        <f>IF($A806="","",IF($E806=1,SUMIFS(Compta!$F$1:$F$675,Compta!$A$1:$A$675,$A806,Compta!$B$1:$B$675,$B806,Compta!$C$1:$C$675,"2026"),0))</f>
        <v/>
      </c>
      <c r="G806" t="str">
        <f t="shared" si="133"/>
        <v/>
      </c>
      <c r="H806" t="str">
        <f t="shared" si="134"/>
        <v/>
      </c>
      <c r="I806" t="str">
        <f t="shared" si="135"/>
        <v/>
      </c>
      <c r="J806" t="str">
        <f t="shared" si="136"/>
        <v/>
      </c>
      <c r="K806" t="str">
        <f t="shared" si="137"/>
        <v/>
      </c>
      <c r="L806" t="str">
        <f t="shared" si="138"/>
        <v/>
      </c>
      <c r="M806" t="str">
        <f t="shared" si="139"/>
        <v/>
      </c>
      <c r="N806" t="str">
        <f t="shared" si="140"/>
        <v/>
      </c>
      <c r="O806" t="str">
        <f t="shared" si="141"/>
        <v/>
      </c>
      <c r="P806" t="str">
        <f>IF($A806="","",IF($E806=1,$F806*$O806,PNL!G806))</f>
        <v/>
      </c>
      <c r="T806" t="str">
        <f t="shared" si="142"/>
        <v/>
      </c>
    </row>
    <row r="807" spans="1:20" x14ac:dyDescent="0.45">
      <c r="A807" t="str">
        <f>IF(PNL!A807="","",PNL!A807)</f>
        <v/>
      </c>
      <c r="B807" t="str">
        <f>IF(PNL!B807="","",PNL!B807)</f>
        <v/>
      </c>
      <c r="C807" t="str">
        <f>IF(PNL!C807="","",PNL!C807)</f>
        <v/>
      </c>
      <c r="D807" t="str">
        <f>IF(PNL!D807="","",PNL!D807)</f>
        <v/>
      </c>
      <c r="E807" t="str">
        <f t="shared" si="132"/>
        <v/>
      </c>
      <c r="F807" t="str">
        <f>IF($A807="","",IF($E807=1,SUMIFS(Compta!$F$1:$F$675,Compta!$A$1:$A$675,$A807,Compta!$B$1:$B$675,$B807,Compta!$C$1:$C$675,"2026"),0))</f>
        <v/>
      </c>
      <c r="G807" t="str">
        <f t="shared" si="133"/>
        <v/>
      </c>
      <c r="H807" t="str">
        <f t="shared" si="134"/>
        <v/>
      </c>
      <c r="I807" t="str">
        <f t="shared" si="135"/>
        <v/>
      </c>
      <c r="J807" t="str">
        <f t="shared" si="136"/>
        <v/>
      </c>
      <c r="K807" t="str">
        <f t="shared" si="137"/>
        <v/>
      </c>
      <c r="L807" t="str">
        <f t="shared" si="138"/>
        <v/>
      </c>
      <c r="M807" t="str">
        <f t="shared" si="139"/>
        <v/>
      </c>
      <c r="N807" t="str">
        <f t="shared" si="140"/>
        <v/>
      </c>
      <c r="O807" t="str">
        <f t="shared" si="141"/>
        <v/>
      </c>
      <c r="P807" t="str">
        <f>IF($A807="","",IF($E807=1,$F807*$O807,PNL!G807))</f>
        <v/>
      </c>
      <c r="T807" t="str">
        <f t="shared" si="142"/>
        <v/>
      </c>
    </row>
    <row r="808" spans="1:20" x14ac:dyDescent="0.45">
      <c r="A808" t="str">
        <f>IF(PNL!A808="","",PNL!A808)</f>
        <v/>
      </c>
      <c r="B808" t="str">
        <f>IF(PNL!B808="","",PNL!B808)</f>
        <v/>
      </c>
      <c r="C808" t="str">
        <f>IF(PNL!C808="","",PNL!C808)</f>
        <v/>
      </c>
      <c r="D808" t="str">
        <f>IF(PNL!D808="","",PNL!D808)</f>
        <v/>
      </c>
      <c r="E808" t="str">
        <f t="shared" si="132"/>
        <v/>
      </c>
      <c r="F808" t="str">
        <f>IF($A808="","",IF($E808=1,SUMIFS(Compta!$F$1:$F$675,Compta!$A$1:$A$675,$A808,Compta!$B$1:$B$675,$B808,Compta!$C$1:$C$675,"2026"),0))</f>
        <v/>
      </c>
      <c r="G808" t="str">
        <f t="shared" si="133"/>
        <v/>
      </c>
      <c r="H808" t="str">
        <f t="shared" si="134"/>
        <v/>
      </c>
      <c r="I808" t="str">
        <f t="shared" si="135"/>
        <v/>
      </c>
      <c r="J808" t="str">
        <f t="shared" si="136"/>
        <v/>
      </c>
      <c r="K808" t="str">
        <f t="shared" si="137"/>
        <v/>
      </c>
      <c r="L808" t="str">
        <f t="shared" si="138"/>
        <v/>
      </c>
      <c r="M808" t="str">
        <f t="shared" si="139"/>
        <v/>
      </c>
      <c r="N808" t="str">
        <f t="shared" si="140"/>
        <v/>
      </c>
      <c r="O808" t="str">
        <f t="shared" si="141"/>
        <v/>
      </c>
      <c r="P808" t="str">
        <f>IF($A808="","",IF($E808=1,$F808*$O808,PNL!G808))</f>
        <v/>
      </c>
      <c r="T808" t="str">
        <f t="shared" si="142"/>
        <v/>
      </c>
    </row>
    <row r="809" spans="1:20" x14ac:dyDescent="0.45">
      <c r="A809" t="str">
        <f>IF(PNL!A809="","",PNL!A809)</f>
        <v/>
      </c>
      <c r="B809" t="str">
        <f>IF(PNL!B809="","",PNL!B809)</f>
        <v/>
      </c>
      <c r="C809" t="str">
        <f>IF(PNL!C809="","",PNL!C809)</f>
        <v/>
      </c>
      <c r="D809" t="str">
        <f>IF(PNL!D809="","",PNL!D809)</f>
        <v/>
      </c>
      <c r="E809" t="str">
        <f t="shared" si="132"/>
        <v/>
      </c>
      <c r="F809" t="str">
        <f>IF($A809="","",IF($E809=1,SUMIFS(Compta!$F$1:$F$675,Compta!$A$1:$A$675,$A809,Compta!$B$1:$B$675,$B809,Compta!$C$1:$C$675,"2026"),0))</f>
        <v/>
      </c>
      <c r="G809" t="str">
        <f t="shared" si="133"/>
        <v/>
      </c>
      <c r="H809" t="str">
        <f t="shared" si="134"/>
        <v/>
      </c>
      <c r="I809" t="str">
        <f t="shared" si="135"/>
        <v/>
      </c>
      <c r="J809" t="str">
        <f t="shared" si="136"/>
        <v/>
      </c>
      <c r="K809" t="str">
        <f t="shared" si="137"/>
        <v/>
      </c>
      <c r="L809" t="str">
        <f t="shared" si="138"/>
        <v/>
      </c>
      <c r="M809" t="str">
        <f t="shared" si="139"/>
        <v/>
      </c>
      <c r="N809" t="str">
        <f t="shared" si="140"/>
        <v/>
      </c>
      <c r="O809" t="str">
        <f t="shared" si="141"/>
        <v/>
      </c>
      <c r="P809" t="str">
        <f>IF($A809="","",IF($E809=1,$F809*$O809,PNL!G809))</f>
        <v/>
      </c>
      <c r="T809" t="str">
        <f t="shared" si="142"/>
        <v/>
      </c>
    </row>
    <row r="810" spans="1:20" x14ac:dyDescent="0.45">
      <c r="A810" t="str">
        <f>IF(PNL!A810="","",PNL!A810)</f>
        <v/>
      </c>
      <c r="B810" t="str">
        <f>IF(PNL!B810="","",PNL!B810)</f>
        <v/>
      </c>
      <c r="C810" t="str">
        <f>IF(PNL!C810="","",PNL!C810)</f>
        <v/>
      </c>
      <c r="D810" t="str">
        <f>IF(PNL!D810="","",PNL!D810)</f>
        <v/>
      </c>
      <c r="E810" t="str">
        <f t="shared" si="132"/>
        <v/>
      </c>
      <c r="F810" t="str">
        <f>IF($A810="","",IF($E810=1,SUMIFS(Compta!$F$1:$F$675,Compta!$A$1:$A$675,$A810,Compta!$B$1:$B$675,$B810,Compta!$C$1:$C$675,"2026"),0))</f>
        <v/>
      </c>
      <c r="G810" t="str">
        <f t="shared" si="133"/>
        <v/>
      </c>
      <c r="H810" t="str">
        <f t="shared" si="134"/>
        <v/>
      </c>
      <c r="I810" t="str">
        <f t="shared" si="135"/>
        <v/>
      </c>
      <c r="J810" t="str">
        <f t="shared" si="136"/>
        <v/>
      </c>
      <c r="K810" t="str">
        <f t="shared" si="137"/>
        <v/>
      </c>
      <c r="L810" t="str">
        <f t="shared" si="138"/>
        <v/>
      </c>
      <c r="M810" t="str">
        <f t="shared" si="139"/>
        <v/>
      </c>
      <c r="N810" t="str">
        <f t="shared" si="140"/>
        <v/>
      </c>
      <c r="O810" t="str">
        <f t="shared" si="141"/>
        <v/>
      </c>
      <c r="P810" t="str">
        <f>IF($A810="","",IF($E810=1,$F810*$O810,PNL!G810))</f>
        <v/>
      </c>
      <c r="T810" t="str">
        <f t="shared" si="142"/>
        <v/>
      </c>
    </row>
    <row r="811" spans="1:20" x14ac:dyDescent="0.45">
      <c r="A811" t="str">
        <f>IF(PNL!A811="","",PNL!A811)</f>
        <v/>
      </c>
      <c r="B811" t="str">
        <f>IF(PNL!B811="","",PNL!B811)</f>
        <v/>
      </c>
      <c r="C811" t="str">
        <f>IF(PNL!C811="","",PNL!C811)</f>
        <v/>
      </c>
      <c r="D811" t="str">
        <f>IF(PNL!D811="","",PNL!D811)</f>
        <v/>
      </c>
      <c r="E811" t="str">
        <f t="shared" si="132"/>
        <v/>
      </c>
      <c r="F811" t="str">
        <f>IF($A811="","",IF($E811=1,SUMIFS(Compta!$F$1:$F$675,Compta!$A$1:$A$675,$A811,Compta!$B$1:$B$675,$B811,Compta!$C$1:$C$675,"2026"),0))</f>
        <v/>
      </c>
      <c r="G811" t="str">
        <f t="shared" si="133"/>
        <v/>
      </c>
      <c r="H811" t="str">
        <f t="shared" si="134"/>
        <v/>
      </c>
      <c r="I811" t="str">
        <f t="shared" si="135"/>
        <v/>
      </c>
      <c r="J811" t="str">
        <f t="shared" si="136"/>
        <v/>
      </c>
      <c r="K811" t="str">
        <f t="shared" si="137"/>
        <v/>
      </c>
      <c r="L811" t="str">
        <f t="shared" si="138"/>
        <v/>
      </c>
      <c r="M811" t="str">
        <f t="shared" si="139"/>
        <v/>
      </c>
      <c r="N811" t="str">
        <f t="shared" si="140"/>
        <v/>
      </c>
      <c r="O811" t="str">
        <f t="shared" si="141"/>
        <v/>
      </c>
      <c r="P811" t="str">
        <f>IF($A811="","",IF($E811=1,$F811*$O811,PNL!G811))</f>
        <v/>
      </c>
      <c r="T811" t="str">
        <f t="shared" si="142"/>
        <v/>
      </c>
    </row>
    <row r="812" spans="1:20" x14ac:dyDescent="0.45">
      <c r="A812" t="str">
        <f>IF(PNL!A812="","",PNL!A812)</f>
        <v/>
      </c>
      <c r="B812" t="str">
        <f>IF(PNL!B812="","",PNL!B812)</f>
        <v/>
      </c>
      <c r="C812" t="str">
        <f>IF(PNL!C812="","",PNL!C812)</f>
        <v/>
      </c>
      <c r="D812" t="str">
        <f>IF(PNL!D812="","",PNL!D812)</f>
        <v/>
      </c>
      <c r="E812" t="str">
        <f t="shared" si="132"/>
        <v/>
      </c>
      <c r="F812" t="str">
        <f>IF($A812="","",IF($E812=1,SUMIFS(Compta!$F$1:$F$675,Compta!$A$1:$A$675,$A812,Compta!$B$1:$B$675,$B812,Compta!$C$1:$C$675,"2026"),0))</f>
        <v/>
      </c>
      <c r="G812" t="str">
        <f t="shared" si="133"/>
        <v/>
      </c>
      <c r="H812" t="str">
        <f t="shared" si="134"/>
        <v/>
      </c>
      <c r="I812" t="str">
        <f t="shared" si="135"/>
        <v/>
      </c>
      <c r="J812" t="str">
        <f t="shared" si="136"/>
        <v/>
      </c>
      <c r="K812" t="str">
        <f t="shared" si="137"/>
        <v/>
      </c>
      <c r="L812" t="str">
        <f t="shared" si="138"/>
        <v/>
      </c>
      <c r="M812" t="str">
        <f t="shared" si="139"/>
        <v/>
      </c>
      <c r="N812" t="str">
        <f t="shared" si="140"/>
        <v/>
      </c>
      <c r="O812" t="str">
        <f t="shared" si="141"/>
        <v/>
      </c>
      <c r="P812" t="str">
        <f>IF($A812="","",IF($E812=1,$F812*$O812,PNL!G812))</f>
        <v/>
      </c>
      <c r="T812" t="str">
        <f t="shared" si="142"/>
        <v/>
      </c>
    </row>
    <row r="813" spans="1:20" x14ac:dyDescent="0.45">
      <c r="A813" t="str">
        <f>IF(PNL!A813="","",PNL!A813)</f>
        <v/>
      </c>
      <c r="B813" t="str">
        <f>IF(PNL!B813="","",PNL!B813)</f>
        <v/>
      </c>
      <c r="C813" t="str">
        <f>IF(PNL!C813="","",PNL!C813)</f>
        <v/>
      </c>
      <c r="D813" t="str">
        <f>IF(PNL!D813="","",PNL!D813)</f>
        <v/>
      </c>
      <c r="E813" t="str">
        <f t="shared" si="132"/>
        <v/>
      </c>
      <c r="F813" t="str">
        <f>IF($A813="","",IF($E813=1,SUMIFS(Compta!$F$1:$F$675,Compta!$A$1:$A$675,$A813,Compta!$B$1:$B$675,$B813,Compta!$C$1:$C$675,"2026"),0))</f>
        <v/>
      </c>
      <c r="G813" t="str">
        <f t="shared" si="133"/>
        <v/>
      </c>
      <c r="H813" t="str">
        <f t="shared" si="134"/>
        <v/>
      </c>
      <c r="I813" t="str">
        <f t="shared" si="135"/>
        <v/>
      </c>
      <c r="J813" t="str">
        <f t="shared" si="136"/>
        <v/>
      </c>
      <c r="K813" t="str">
        <f t="shared" si="137"/>
        <v/>
      </c>
      <c r="L813" t="str">
        <f t="shared" si="138"/>
        <v/>
      </c>
      <c r="M813" t="str">
        <f t="shared" si="139"/>
        <v/>
      </c>
      <c r="N813" t="str">
        <f t="shared" si="140"/>
        <v/>
      </c>
      <c r="O813" t="str">
        <f t="shared" si="141"/>
        <v/>
      </c>
      <c r="P813" t="str">
        <f>IF($A813="","",IF($E813=1,$F813*$O813,PNL!G813))</f>
        <v/>
      </c>
      <c r="T813" t="str">
        <f t="shared" si="142"/>
        <v/>
      </c>
    </row>
    <row r="814" spans="1:20" x14ac:dyDescent="0.45">
      <c r="A814" t="str">
        <f>IF(PNL!A814="","",PNL!A814)</f>
        <v/>
      </c>
      <c r="B814" t="str">
        <f>IF(PNL!B814="","",PNL!B814)</f>
        <v/>
      </c>
      <c r="C814" t="str">
        <f>IF(PNL!C814="","",PNL!C814)</f>
        <v/>
      </c>
      <c r="D814" t="str">
        <f>IF(PNL!D814="","",PNL!D814)</f>
        <v/>
      </c>
      <c r="E814" t="str">
        <f t="shared" si="132"/>
        <v/>
      </c>
      <c r="F814" t="str">
        <f>IF($A814="","",IF($E814=1,SUMIFS(Compta!$F$1:$F$675,Compta!$A$1:$A$675,$A814,Compta!$B$1:$B$675,$B814,Compta!$C$1:$C$675,"2026"),0))</f>
        <v/>
      </c>
      <c r="G814" t="str">
        <f t="shared" si="133"/>
        <v/>
      </c>
      <c r="H814" t="str">
        <f t="shared" si="134"/>
        <v/>
      </c>
      <c r="I814" t="str">
        <f t="shared" si="135"/>
        <v/>
      </c>
      <c r="J814" t="str">
        <f t="shared" si="136"/>
        <v/>
      </c>
      <c r="K814" t="str">
        <f t="shared" si="137"/>
        <v/>
      </c>
      <c r="L814" t="str">
        <f t="shared" si="138"/>
        <v/>
      </c>
      <c r="M814" t="str">
        <f t="shared" si="139"/>
        <v/>
      </c>
      <c r="N814" t="str">
        <f t="shared" si="140"/>
        <v/>
      </c>
      <c r="O814" t="str">
        <f t="shared" si="141"/>
        <v/>
      </c>
      <c r="P814" t="str">
        <f>IF($A814="","",IF($E814=1,$F814*$O814,PNL!G814))</f>
        <v/>
      </c>
      <c r="T814" t="str">
        <f t="shared" si="142"/>
        <v/>
      </c>
    </row>
    <row r="815" spans="1:20" x14ac:dyDescent="0.45">
      <c r="A815" t="str">
        <f>IF(PNL!A815="","",PNL!A815)</f>
        <v/>
      </c>
      <c r="B815" t="str">
        <f>IF(PNL!B815="","",PNL!B815)</f>
        <v/>
      </c>
      <c r="C815" t="str">
        <f>IF(PNL!C815="","",PNL!C815)</f>
        <v/>
      </c>
      <c r="D815" t="str">
        <f>IF(PNL!D815="","",PNL!D815)</f>
        <v/>
      </c>
      <c r="E815" t="str">
        <f t="shared" si="132"/>
        <v/>
      </c>
      <c r="F815" t="str">
        <f>IF($A815="","",IF($E815=1,SUMIFS(Compta!$F$1:$F$675,Compta!$A$1:$A$675,$A815,Compta!$B$1:$B$675,$B815,Compta!$C$1:$C$675,"2026"),0))</f>
        <v/>
      </c>
      <c r="G815" t="str">
        <f t="shared" si="133"/>
        <v/>
      </c>
      <c r="H815" t="str">
        <f t="shared" si="134"/>
        <v/>
      </c>
      <c r="I815" t="str">
        <f t="shared" si="135"/>
        <v/>
      </c>
      <c r="J815" t="str">
        <f t="shared" si="136"/>
        <v/>
      </c>
      <c r="K815" t="str">
        <f t="shared" si="137"/>
        <v/>
      </c>
      <c r="L815" t="str">
        <f t="shared" si="138"/>
        <v/>
      </c>
      <c r="M815" t="str">
        <f t="shared" si="139"/>
        <v/>
      </c>
      <c r="N815" t="str">
        <f t="shared" si="140"/>
        <v/>
      </c>
      <c r="O815" t="str">
        <f t="shared" si="141"/>
        <v/>
      </c>
      <c r="P815" t="str">
        <f>IF($A815="","",IF($E815=1,$F815*$O815,PNL!G815))</f>
        <v/>
      </c>
      <c r="T815" t="str">
        <f t="shared" si="142"/>
        <v/>
      </c>
    </row>
    <row r="816" spans="1:20" x14ac:dyDescent="0.45">
      <c r="A816" t="str">
        <f>IF(PNL!A816="","",PNL!A816)</f>
        <v/>
      </c>
      <c r="B816" t="str">
        <f>IF(PNL!B816="","",PNL!B816)</f>
        <v/>
      </c>
      <c r="C816" t="str">
        <f>IF(PNL!C816="","",PNL!C816)</f>
        <v/>
      </c>
      <c r="D816" t="str">
        <f>IF(PNL!D816="","",PNL!D816)</f>
        <v/>
      </c>
      <c r="E816" t="str">
        <f t="shared" si="132"/>
        <v/>
      </c>
      <c r="F816" t="str">
        <f>IF($A816="","",IF($E816=1,SUMIFS(Compta!$F$1:$F$675,Compta!$A$1:$A$675,$A816,Compta!$B$1:$B$675,$B816,Compta!$C$1:$C$675,"2026"),0))</f>
        <v/>
      </c>
      <c r="G816" t="str">
        <f t="shared" si="133"/>
        <v/>
      </c>
      <c r="H816" t="str">
        <f t="shared" si="134"/>
        <v/>
      </c>
      <c r="I816" t="str">
        <f t="shared" si="135"/>
        <v/>
      </c>
      <c r="J816" t="str">
        <f t="shared" si="136"/>
        <v/>
      </c>
      <c r="K816" t="str">
        <f t="shared" si="137"/>
        <v/>
      </c>
      <c r="L816" t="str">
        <f t="shared" si="138"/>
        <v/>
      </c>
      <c r="M816" t="str">
        <f t="shared" si="139"/>
        <v/>
      </c>
      <c r="N816" t="str">
        <f t="shared" si="140"/>
        <v/>
      </c>
      <c r="O816" t="str">
        <f t="shared" si="141"/>
        <v/>
      </c>
      <c r="P816" t="str">
        <f>IF($A816="","",IF($E816=1,$F816*$O816,PNL!G816))</f>
        <v/>
      </c>
      <c r="T816" t="str">
        <f t="shared" si="142"/>
        <v/>
      </c>
    </row>
    <row r="817" spans="1:20" x14ac:dyDescent="0.45">
      <c r="A817" t="str">
        <f>IF(PNL!A817="","",PNL!A817)</f>
        <v/>
      </c>
      <c r="B817" t="str">
        <f>IF(PNL!B817="","",PNL!B817)</f>
        <v/>
      </c>
      <c r="C817" t="str">
        <f>IF(PNL!C817="","",PNL!C817)</f>
        <v/>
      </c>
      <c r="D817" t="str">
        <f>IF(PNL!D817="","",PNL!D817)</f>
        <v/>
      </c>
      <c r="E817" t="str">
        <f t="shared" si="132"/>
        <v/>
      </c>
      <c r="F817" t="str">
        <f>IF($A817="","",IF($E817=1,SUMIFS(Compta!$F$1:$F$675,Compta!$A$1:$A$675,$A817,Compta!$B$1:$B$675,$B817,Compta!$C$1:$C$675,"2026"),0))</f>
        <v/>
      </c>
      <c r="G817" t="str">
        <f t="shared" si="133"/>
        <v/>
      </c>
      <c r="H817" t="str">
        <f t="shared" si="134"/>
        <v/>
      </c>
      <c r="I817" t="str">
        <f t="shared" si="135"/>
        <v/>
      </c>
      <c r="J817" t="str">
        <f t="shared" si="136"/>
        <v/>
      </c>
      <c r="K817" t="str">
        <f t="shared" si="137"/>
        <v/>
      </c>
      <c r="L817" t="str">
        <f t="shared" si="138"/>
        <v/>
      </c>
      <c r="M817" t="str">
        <f t="shared" si="139"/>
        <v/>
      </c>
      <c r="N817" t="str">
        <f t="shared" si="140"/>
        <v/>
      </c>
      <c r="O817" t="str">
        <f t="shared" si="141"/>
        <v/>
      </c>
      <c r="P817" t="str">
        <f>IF($A817="","",IF($E817=1,$F817*$O817,PNL!G817))</f>
        <v/>
      </c>
      <c r="T817" t="str">
        <f t="shared" si="142"/>
        <v/>
      </c>
    </row>
    <row r="818" spans="1:20" x14ac:dyDescent="0.45">
      <c r="A818" t="str">
        <f>IF(PNL!A818="","",PNL!A818)</f>
        <v/>
      </c>
      <c r="B818" t="str">
        <f>IF(PNL!B818="","",PNL!B818)</f>
        <v/>
      </c>
      <c r="C818" t="str">
        <f>IF(PNL!C818="","",PNL!C818)</f>
        <v/>
      </c>
      <c r="D818" t="str">
        <f>IF(PNL!D818="","",PNL!D818)</f>
        <v/>
      </c>
      <c r="E818" t="str">
        <f t="shared" si="132"/>
        <v/>
      </c>
      <c r="F818" t="str">
        <f>IF($A818="","",IF($E818=1,SUMIFS(Compta!$F$1:$F$675,Compta!$A$1:$A$675,$A818,Compta!$B$1:$B$675,$B818,Compta!$C$1:$C$675,"2026"),0))</f>
        <v/>
      </c>
      <c r="G818" t="str">
        <f t="shared" si="133"/>
        <v/>
      </c>
      <c r="H818" t="str">
        <f t="shared" si="134"/>
        <v/>
      </c>
      <c r="I818" t="str">
        <f t="shared" si="135"/>
        <v/>
      </c>
      <c r="J818" t="str">
        <f t="shared" si="136"/>
        <v/>
      </c>
      <c r="K818" t="str">
        <f t="shared" si="137"/>
        <v/>
      </c>
      <c r="L818" t="str">
        <f t="shared" si="138"/>
        <v/>
      </c>
      <c r="M818" t="str">
        <f t="shared" si="139"/>
        <v/>
      </c>
      <c r="N818" t="str">
        <f t="shared" si="140"/>
        <v/>
      </c>
      <c r="O818" t="str">
        <f t="shared" si="141"/>
        <v/>
      </c>
      <c r="P818" t="str">
        <f>IF($A818="","",IF($E818=1,$F818*$O818,PNL!G818))</f>
        <v/>
      </c>
      <c r="T818" t="str">
        <f t="shared" si="142"/>
        <v/>
      </c>
    </row>
    <row r="819" spans="1:20" x14ac:dyDescent="0.45">
      <c r="A819" t="str">
        <f>IF(PNL!A819="","",PNL!A819)</f>
        <v/>
      </c>
      <c r="B819" t="str">
        <f>IF(PNL!B819="","",PNL!B819)</f>
        <v/>
      </c>
      <c r="C819" t="str">
        <f>IF(PNL!C819="","",PNL!C819)</f>
        <v/>
      </c>
      <c r="D819" t="str">
        <f>IF(PNL!D819="","",PNL!D819)</f>
        <v/>
      </c>
      <c r="E819" t="str">
        <f t="shared" si="132"/>
        <v/>
      </c>
      <c r="F819" t="str">
        <f>IF($A819="","",IF($E819=1,SUMIFS(Compta!$F$1:$F$675,Compta!$A$1:$A$675,$A819,Compta!$B$1:$B$675,$B819,Compta!$C$1:$C$675,"2026"),0))</f>
        <v/>
      </c>
      <c r="G819" t="str">
        <f t="shared" si="133"/>
        <v/>
      </c>
      <c r="H819" t="str">
        <f t="shared" si="134"/>
        <v/>
      </c>
      <c r="I819" t="str">
        <f t="shared" si="135"/>
        <v/>
      </c>
      <c r="J819" t="str">
        <f t="shared" si="136"/>
        <v/>
      </c>
      <c r="K819" t="str">
        <f t="shared" si="137"/>
        <v/>
      </c>
      <c r="L819" t="str">
        <f t="shared" si="138"/>
        <v/>
      </c>
      <c r="M819" t="str">
        <f t="shared" si="139"/>
        <v/>
      </c>
      <c r="N819" t="str">
        <f t="shared" si="140"/>
        <v/>
      </c>
      <c r="O819" t="str">
        <f t="shared" si="141"/>
        <v/>
      </c>
      <c r="P819" t="str">
        <f>IF($A819="","",IF($E819=1,$F819*$O819,PNL!G819))</f>
        <v/>
      </c>
      <c r="T819" t="str">
        <f t="shared" si="142"/>
        <v/>
      </c>
    </row>
    <row r="820" spans="1:20" x14ac:dyDescent="0.45">
      <c r="A820" t="str">
        <f>IF(PNL!A820="","",PNL!A820)</f>
        <v/>
      </c>
      <c r="B820" t="str">
        <f>IF(PNL!B820="","",PNL!B820)</f>
        <v/>
      </c>
      <c r="C820" t="str">
        <f>IF(PNL!C820="","",PNL!C820)</f>
        <v/>
      </c>
      <c r="D820" t="str">
        <f>IF(PNL!D820="","",PNL!D820)</f>
        <v/>
      </c>
      <c r="E820" t="str">
        <f t="shared" si="132"/>
        <v/>
      </c>
      <c r="F820" t="str">
        <f>IF($A820="","",IF($E820=1,SUMIFS(Compta!$F$1:$F$675,Compta!$A$1:$A$675,$A820,Compta!$B$1:$B$675,$B820,Compta!$C$1:$C$675,"2026"),0))</f>
        <v/>
      </c>
      <c r="G820" t="str">
        <f t="shared" si="133"/>
        <v/>
      </c>
      <c r="H820" t="str">
        <f t="shared" si="134"/>
        <v/>
      </c>
      <c r="I820" t="str">
        <f t="shared" si="135"/>
        <v/>
      </c>
      <c r="J820" t="str">
        <f t="shared" si="136"/>
        <v/>
      </c>
      <c r="K820" t="str">
        <f t="shared" si="137"/>
        <v/>
      </c>
      <c r="L820" t="str">
        <f t="shared" si="138"/>
        <v/>
      </c>
      <c r="M820" t="str">
        <f t="shared" si="139"/>
        <v/>
      </c>
      <c r="N820" t="str">
        <f t="shared" si="140"/>
        <v/>
      </c>
      <c r="O820" t="str">
        <f t="shared" si="141"/>
        <v/>
      </c>
      <c r="P820" t="str">
        <f>IF($A820="","",IF($E820=1,$F820*$O820,PNL!G820))</f>
        <v/>
      </c>
      <c r="T820" t="str">
        <f t="shared" si="142"/>
        <v/>
      </c>
    </row>
    <row r="821" spans="1:20" x14ac:dyDescent="0.45">
      <c r="A821" t="str">
        <f>IF(PNL!A821="","",PNL!A821)</f>
        <v/>
      </c>
      <c r="B821" t="str">
        <f>IF(PNL!B821="","",PNL!B821)</f>
        <v/>
      </c>
      <c r="C821" t="str">
        <f>IF(PNL!C821="","",PNL!C821)</f>
        <v/>
      </c>
      <c r="D821" t="str">
        <f>IF(PNL!D821="","",PNL!D821)</f>
        <v/>
      </c>
      <c r="E821" t="str">
        <f t="shared" si="132"/>
        <v/>
      </c>
      <c r="F821" t="str">
        <f>IF($A821="","",IF($E821=1,SUMIFS(Compta!$F$1:$F$675,Compta!$A$1:$A$675,$A821,Compta!$B$1:$B$675,$B821,Compta!$C$1:$C$675,"2026"),0))</f>
        <v/>
      </c>
      <c r="G821" t="str">
        <f t="shared" si="133"/>
        <v/>
      </c>
      <c r="H821" t="str">
        <f t="shared" si="134"/>
        <v/>
      </c>
      <c r="I821" t="str">
        <f t="shared" si="135"/>
        <v/>
      </c>
      <c r="J821" t="str">
        <f t="shared" si="136"/>
        <v/>
      </c>
      <c r="K821" t="str">
        <f t="shared" si="137"/>
        <v/>
      </c>
      <c r="L821" t="str">
        <f t="shared" si="138"/>
        <v/>
      </c>
      <c r="M821" t="str">
        <f t="shared" si="139"/>
        <v/>
      </c>
      <c r="N821" t="str">
        <f t="shared" si="140"/>
        <v/>
      </c>
      <c r="O821" t="str">
        <f t="shared" si="141"/>
        <v/>
      </c>
      <c r="P821" t="str">
        <f>IF($A821="","",IF($E821=1,$F821*$O821,PNL!G821))</f>
        <v/>
      </c>
      <c r="T821" t="str">
        <f t="shared" si="142"/>
        <v/>
      </c>
    </row>
    <row r="822" spans="1:20" x14ac:dyDescent="0.45">
      <c r="A822" t="str">
        <f>IF(PNL!A822="","",PNL!A822)</f>
        <v/>
      </c>
      <c r="B822" t="str">
        <f>IF(PNL!B822="","",PNL!B822)</f>
        <v/>
      </c>
      <c r="C822" t="str">
        <f>IF(PNL!C822="","",PNL!C822)</f>
        <v/>
      </c>
      <c r="D822" t="str">
        <f>IF(PNL!D822="","",PNL!D822)</f>
        <v/>
      </c>
      <c r="E822" t="str">
        <f t="shared" si="132"/>
        <v/>
      </c>
      <c r="F822" t="str">
        <f>IF($A822="","",IF($E822=1,SUMIFS(Compta!$F$1:$F$675,Compta!$A$1:$A$675,$A822,Compta!$B$1:$B$675,$B822,Compta!$C$1:$C$675,"2026"),0))</f>
        <v/>
      </c>
      <c r="G822" t="str">
        <f t="shared" si="133"/>
        <v/>
      </c>
      <c r="H822" t="str">
        <f t="shared" si="134"/>
        <v/>
      </c>
      <c r="I822" t="str">
        <f t="shared" si="135"/>
        <v/>
      </c>
      <c r="J822" t="str">
        <f t="shared" si="136"/>
        <v/>
      </c>
      <c r="K822" t="str">
        <f t="shared" si="137"/>
        <v/>
      </c>
      <c r="L822" t="str">
        <f t="shared" si="138"/>
        <v/>
      </c>
      <c r="M822" t="str">
        <f t="shared" si="139"/>
        <v/>
      </c>
      <c r="N822" t="str">
        <f t="shared" si="140"/>
        <v/>
      </c>
      <c r="O822" t="str">
        <f t="shared" si="141"/>
        <v/>
      </c>
      <c r="P822" t="str">
        <f>IF($A822="","",IF($E822=1,$F822*$O822,PNL!G822))</f>
        <v/>
      </c>
      <c r="T822" t="str">
        <f t="shared" si="142"/>
        <v/>
      </c>
    </row>
    <row r="823" spans="1:20" x14ac:dyDescent="0.45">
      <c r="A823" t="str">
        <f>IF(PNL!A823="","",PNL!A823)</f>
        <v/>
      </c>
      <c r="B823" t="str">
        <f>IF(PNL!B823="","",PNL!B823)</f>
        <v/>
      </c>
      <c r="C823" t="str">
        <f>IF(PNL!C823="","",PNL!C823)</f>
        <v/>
      </c>
      <c r="D823" t="str">
        <f>IF(PNL!D823="","",PNL!D823)</f>
        <v/>
      </c>
      <c r="E823" t="str">
        <f t="shared" si="132"/>
        <v/>
      </c>
      <c r="F823" t="str">
        <f>IF($A823="","",IF($E823=1,SUMIFS(Compta!$F$1:$F$675,Compta!$A$1:$A$675,$A823,Compta!$B$1:$B$675,$B823,Compta!$C$1:$C$675,"2026"),0))</f>
        <v/>
      </c>
      <c r="G823" t="str">
        <f t="shared" si="133"/>
        <v/>
      </c>
      <c r="H823" t="str">
        <f t="shared" si="134"/>
        <v/>
      </c>
      <c r="I823" t="str">
        <f t="shared" si="135"/>
        <v/>
      </c>
      <c r="J823" t="str">
        <f t="shared" si="136"/>
        <v/>
      </c>
      <c r="K823" t="str">
        <f t="shared" si="137"/>
        <v/>
      </c>
      <c r="L823" t="str">
        <f t="shared" si="138"/>
        <v/>
      </c>
      <c r="M823" t="str">
        <f t="shared" si="139"/>
        <v/>
      </c>
      <c r="N823" t="str">
        <f t="shared" si="140"/>
        <v/>
      </c>
      <c r="O823" t="str">
        <f t="shared" si="141"/>
        <v/>
      </c>
      <c r="P823" t="str">
        <f>IF($A823="","",IF($E823=1,$F823*$O823,PNL!G823))</f>
        <v/>
      </c>
      <c r="T823" t="str">
        <f t="shared" si="142"/>
        <v/>
      </c>
    </row>
    <row r="824" spans="1:20" x14ac:dyDescent="0.45">
      <c r="A824" t="str">
        <f>IF(PNL!A824="","",PNL!A824)</f>
        <v/>
      </c>
      <c r="B824" t="str">
        <f>IF(PNL!B824="","",PNL!B824)</f>
        <v/>
      </c>
      <c r="C824" t="str">
        <f>IF(PNL!C824="","",PNL!C824)</f>
        <v/>
      </c>
      <c r="D824" t="str">
        <f>IF(PNL!D824="","",PNL!D824)</f>
        <v/>
      </c>
      <c r="E824" t="str">
        <f t="shared" si="132"/>
        <v/>
      </c>
      <c r="F824" t="str">
        <f>IF($A824="","",IF($E824=1,SUMIFS(Compta!$F$1:$F$675,Compta!$A$1:$A$675,$A824,Compta!$B$1:$B$675,$B824,Compta!$C$1:$C$675,"2026"),0))</f>
        <v/>
      </c>
      <c r="G824" t="str">
        <f t="shared" si="133"/>
        <v/>
      </c>
      <c r="H824" t="str">
        <f t="shared" si="134"/>
        <v/>
      </c>
      <c r="I824" t="str">
        <f t="shared" si="135"/>
        <v/>
      </c>
      <c r="J824" t="str">
        <f t="shared" si="136"/>
        <v/>
      </c>
      <c r="K824" t="str">
        <f t="shared" si="137"/>
        <v/>
      </c>
      <c r="L824" t="str">
        <f t="shared" si="138"/>
        <v/>
      </c>
      <c r="M824" t="str">
        <f t="shared" si="139"/>
        <v/>
      </c>
      <c r="N824" t="str">
        <f t="shared" si="140"/>
        <v/>
      </c>
      <c r="O824" t="str">
        <f t="shared" si="141"/>
        <v/>
      </c>
      <c r="P824" t="str">
        <f>IF($A824="","",IF($E824=1,$F824*$O824,PNL!G824))</f>
        <v/>
      </c>
      <c r="T824" t="str">
        <f t="shared" si="142"/>
        <v/>
      </c>
    </row>
    <row r="825" spans="1:20" x14ac:dyDescent="0.45">
      <c r="A825" t="str">
        <f>IF(PNL!A825="","",PNL!A825)</f>
        <v/>
      </c>
      <c r="B825" t="str">
        <f>IF(PNL!B825="","",PNL!B825)</f>
        <v/>
      </c>
      <c r="C825" t="str">
        <f>IF(PNL!C825="","",PNL!C825)</f>
        <v/>
      </c>
      <c r="D825" t="str">
        <f>IF(PNL!D825="","",PNL!D825)</f>
        <v/>
      </c>
      <c r="E825" t="str">
        <f t="shared" si="132"/>
        <v/>
      </c>
      <c r="F825" t="str">
        <f>IF($A825="","",IF($E825=1,SUMIFS(Compta!$F$1:$F$675,Compta!$A$1:$A$675,$A825,Compta!$B$1:$B$675,$B825,Compta!$C$1:$C$675,"2026"),0))</f>
        <v/>
      </c>
      <c r="G825" t="str">
        <f t="shared" si="133"/>
        <v/>
      </c>
      <c r="H825" t="str">
        <f t="shared" si="134"/>
        <v/>
      </c>
      <c r="I825" t="str">
        <f t="shared" si="135"/>
        <v/>
      </c>
      <c r="J825" t="str">
        <f t="shared" si="136"/>
        <v/>
      </c>
      <c r="K825" t="str">
        <f t="shared" si="137"/>
        <v/>
      </c>
      <c r="L825" t="str">
        <f t="shared" si="138"/>
        <v/>
      </c>
      <c r="M825" t="str">
        <f t="shared" si="139"/>
        <v/>
      </c>
      <c r="N825" t="str">
        <f t="shared" si="140"/>
        <v/>
      </c>
      <c r="O825" t="str">
        <f t="shared" si="141"/>
        <v/>
      </c>
      <c r="P825" t="str">
        <f>IF($A825="","",IF($E825=1,$F825*$O825,PNL!G825))</f>
        <v/>
      </c>
      <c r="T825" t="str">
        <f t="shared" si="142"/>
        <v/>
      </c>
    </row>
    <row r="826" spans="1:20" x14ac:dyDescent="0.45">
      <c r="A826" t="str">
        <f>IF(PNL!A826="","",PNL!A826)</f>
        <v/>
      </c>
      <c r="B826" t="str">
        <f>IF(PNL!B826="","",PNL!B826)</f>
        <v/>
      </c>
      <c r="C826" t="str">
        <f>IF(PNL!C826="","",PNL!C826)</f>
        <v/>
      </c>
      <c r="D826" t="str">
        <f>IF(PNL!D826="","",PNL!D826)</f>
        <v/>
      </c>
      <c r="E826" t="str">
        <f t="shared" si="132"/>
        <v/>
      </c>
      <c r="F826" t="str">
        <f>IF($A826="","",IF($E826=1,SUMIFS(Compta!$F$1:$F$675,Compta!$A$1:$A$675,$A826,Compta!$B$1:$B$675,$B826,Compta!$C$1:$C$675,"2026"),0))</f>
        <v/>
      </c>
      <c r="G826" t="str">
        <f t="shared" si="133"/>
        <v/>
      </c>
      <c r="H826" t="str">
        <f t="shared" si="134"/>
        <v/>
      </c>
      <c r="I826" t="str">
        <f t="shared" si="135"/>
        <v/>
      </c>
      <c r="J826" t="str">
        <f t="shared" si="136"/>
        <v/>
      </c>
      <c r="K826" t="str">
        <f t="shared" si="137"/>
        <v/>
      </c>
      <c r="L826" t="str">
        <f t="shared" si="138"/>
        <v/>
      </c>
      <c r="M826" t="str">
        <f t="shared" si="139"/>
        <v/>
      </c>
      <c r="N826" t="str">
        <f t="shared" si="140"/>
        <v/>
      </c>
      <c r="O826" t="str">
        <f t="shared" si="141"/>
        <v/>
      </c>
      <c r="P826" t="str">
        <f>IF($A826="","",IF($E826=1,$F826*$O826,PNL!G826))</f>
        <v/>
      </c>
      <c r="T826" t="str">
        <f t="shared" si="142"/>
        <v/>
      </c>
    </row>
    <row r="827" spans="1:20" x14ac:dyDescent="0.45">
      <c r="A827" t="str">
        <f>IF(PNL!A827="","",PNL!A827)</f>
        <v/>
      </c>
      <c r="B827" t="str">
        <f>IF(PNL!B827="","",PNL!B827)</f>
        <v/>
      </c>
      <c r="C827" t="str">
        <f>IF(PNL!C827="","",PNL!C827)</f>
        <v/>
      </c>
      <c r="D827" t="str">
        <f>IF(PNL!D827="","",PNL!D827)</f>
        <v/>
      </c>
      <c r="E827" t="str">
        <f t="shared" si="132"/>
        <v/>
      </c>
      <c r="F827" t="str">
        <f>IF($A827="","",IF($E827=1,SUMIFS(Compta!$F$1:$F$675,Compta!$A$1:$A$675,$A827,Compta!$B$1:$B$675,$B827,Compta!$C$1:$C$675,"2026"),0))</f>
        <v/>
      </c>
      <c r="G827" t="str">
        <f t="shared" si="133"/>
        <v/>
      </c>
      <c r="H827" t="str">
        <f t="shared" si="134"/>
        <v/>
      </c>
      <c r="I827" t="str">
        <f t="shared" si="135"/>
        <v/>
      </c>
      <c r="J827" t="str">
        <f t="shared" si="136"/>
        <v/>
      </c>
      <c r="K827" t="str">
        <f t="shared" si="137"/>
        <v/>
      </c>
      <c r="L827" t="str">
        <f t="shared" si="138"/>
        <v/>
      </c>
      <c r="M827" t="str">
        <f t="shared" si="139"/>
        <v/>
      </c>
      <c r="N827" t="str">
        <f t="shared" si="140"/>
        <v/>
      </c>
      <c r="O827" t="str">
        <f t="shared" si="141"/>
        <v/>
      </c>
      <c r="P827" t="str">
        <f>IF($A827="","",IF($E827=1,$F827*$O827,PNL!G827))</f>
        <v/>
      </c>
      <c r="T827" t="str">
        <f t="shared" si="142"/>
        <v/>
      </c>
    </row>
    <row r="828" spans="1:20" x14ac:dyDescent="0.45">
      <c r="A828" t="str">
        <f>IF(PNL!A828="","",PNL!A828)</f>
        <v/>
      </c>
      <c r="B828" t="str">
        <f>IF(PNL!B828="","",PNL!B828)</f>
        <v/>
      </c>
      <c r="C828" t="str">
        <f>IF(PNL!C828="","",PNL!C828)</f>
        <v/>
      </c>
      <c r="D828" t="str">
        <f>IF(PNL!D828="","",PNL!D828)</f>
        <v/>
      </c>
      <c r="E828" t="str">
        <f t="shared" si="132"/>
        <v/>
      </c>
      <c r="F828" t="str">
        <f>IF($A828="","",IF($E828=1,SUMIFS(Compta!$F$1:$F$675,Compta!$A$1:$A$675,$A828,Compta!$B$1:$B$675,$B828,Compta!$C$1:$C$675,"2026"),0))</f>
        <v/>
      </c>
      <c r="G828" t="str">
        <f t="shared" si="133"/>
        <v/>
      </c>
      <c r="H828" t="str">
        <f t="shared" si="134"/>
        <v/>
      </c>
      <c r="I828" t="str">
        <f t="shared" si="135"/>
        <v/>
      </c>
      <c r="J828" t="str">
        <f t="shared" si="136"/>
        <v/>
      </c>
      <c r="K828" t="str">
        <f t="shared" si="137"/>
        <v/>
      </c>
      <c r="L828" t="str">
        <f t="shared" si="138"/>
        <v/>
      </c>
      <c r="M828" t="str">
        <f t="shared" si="139"/>
        <v/>
      </c>
      <c r="N828" t="str">
        <f t="shared" si="140"/>
        <v/>
      </c>
      <c r="O828" t="str">
        <f t="shared" si="141"/>
        <v/>
      </c>
      <c r="P828" t="str">
        <f>IF($A828="","",IF($E828=1,$F828*$O828,PNL!G828))</f>
        <v/>
      </c>
      <c r="T828" t="str">
        <f t="shared" si="142"/>
        <v/>
      </c>
    </row>
    <row r="829" spans="1:20" x14ac:dyDescent="0.45">
      <c r="A829" t="str">
        <f>IF(PNL!A829="","",PNL!A829)</f>
        <v/>
      </c>
      <c r="B829" t="str">
        <f>IF(PNL!B829="","",PNL!B829)</f>
        <v/>
      </c>
      <c r="C829" t="str">
        <f>IF(PNL!C829="","",PNL!C829)</f>
        <v/>
      </c>
      <c r="D829" t="str">
        <f>IF(PNL!D829="","",PNL!D829)</f>
        <v/>
      </c>
      <c r="E829" t="str">
        <f t="shared" si="132"/>
        <v/>
      </c>
      <c r="F829" t="str">
        <f>IF($A829="","",IF($E829=1,SUMIFS(Compta!$F$1:$F$675,Compta!$A$1:$A$675,$A829,Compta!$B$1:$B$675,$B829,Compta!$C$1:$C$675,"2026"),0))</f>
        <v/>
      </c>
      <c r="G829" t="str">
        <f t="shared" si="133"/>
        <v/>
      </c>
      <c r="H829" t="str">
        <f t="shared" si="134"/>
        <v/>
      </c>
      <c r="I829" t="str">
        <f t="shared" si="135"/>
        <v/>
      </c>
      <c r="J829" t="str">
        <f t="shared" si="136"/>
        <v/>
      </c>
      <c r="K829" t="str">
        <f t="shared" si="137"/>
        <v/>
      </c>
      <c r="L829" t="str">
        <f t="shared" si="138"/>
        <v/>
      </c>
      <c r="M829" t="str">
        <f t="shared" si="139"/>
        <v/>
      </c>
      <c r="N829" t="str">
        <f t="shared" si="140"/>
        <v/>
      </c>
      <c r="O829" t="str">
        <f t="shared" si="141"/>
        <v/>
      </c>
      <c r="P829" t="str">
        <f>IF($A829="","",IF($E829=1,$F829*$O829,PNL!G829))</f>
        <v/>
      </c>
      <c r="T829" t="str">
        <f t="shared" si="142"/>
        <v/>
      </c>
    </row>
    <row r="830" spans="1:20" x14ac:dyDescent="0.45">
      <c r="A830" t="str">
        <f>IF(PNL!A830="","",PNL!A830)</f>
        <v/>
      </c>
      <c r="B830" t="str">
        <f>IF(PNL!B830="","",PNL!B830)</f>
        <v/>
      </c>
      <c r="C830" t="str">
        <f>IF(PNL!C830="","",PNL!C830)</f>
        <v/>
      </c>
      <c r="D830" t="str">
        <f>IF(PNL!D830="","",PNL!D830)</f>
        <v/>
      </c>
      <c r="E830" t="str">
        <f t="shared" si="132"/>
        <v/>
      </c>
      <c r="F830" t="str">
        <f>IF($A830="","",IF($E830=1,SUMIFS(Compta!$F$1:$F$675,Compta!$A$1:$A$675,$A830,Compta!$B$1:$B$675,$B830,Compta!$C$1:$C$675,"2026"),0))</f>
        <v/>
      </c>
      <c r="G830" t="str">
        <f t="shared" si="133"/>
        <v/>
      </c>
      <c r="H830" t="str">
        <f t="shared" si="134"/>
        <v/>
      </c>
      <c r="I830" t="str">
        <f t="shared" si="135"/>
        <v/>
      </c>
      <c r="J830" t="str">
        <f t="shared" si="136"/>
        <v/>
      </c>
      <c r="K830" t="str">
        <f t="shared" si="137"/>
        <v/>
      </c>
      <c r="L830" t="str">
        <f t="shared" si="138"/>
        <v/>
      </c>
      <c r="M830" t="str">
        <f t="shared" si="139"/>
        <v/>
      </c>
      <c r="N830" t="str">
        <f t="shared" si="140"/>
        <v/>
      </c>
      <c r="O830" t="str">
        <f t="shared" si="141"/>
        <v/>
      </c>
      <c r="P830" t="str">
        <f>IF($A830="","",IF($E830=1,$F830*$O830,PNL!G830))</f>
        <v/>
      </c>
      <c r="T830" t="str">
        <f t="shared" si="142"/>
        <v/>
      </c>
    </row>
    <row r="831" spans="1:20" x14ac:dyDescent="0.45">
      <c r="A831" t="str">
        <f>IF(PNL!A831="","",PNL!A831)</f>
        <v/>
      </c>
      <c r="B831" t="str">
        <f>IF(PNL!B831="","",PNL!B831)</f>
        <v/>
      </c>
      <c r="C831" t="str">
        <f>IF(PNL!C831="","",PNL!C831)</f>
        <v/>
      </c>
      <c r="D831" t="str">
        <f>IF(PNL!D831="","",PNL!D831)</f>
        <v/>
      </c>
      <c r="E831" t="str">
        <f t="shared" si="132"/>
        <v/>
      </c>
      <c r="F831" t="str">
        <f>IF($A831="","",IF($E831=1,SUMIFS(Compta!$F$1:$F$675,Compta!$A$1:$A$675,$A831,Compta!$B$1:$B$675,$B831,Compta!$C$1:$C$675,"2026"),0))</f>
        <v/>
      </c>
      <c r="G831" t="str">
        <f t="shared" si="133"/>
        <v/>
      </c>
      <c r="H831" t="str">
        <f t="shared" si="134"/>
        <v/>
      </c>
      <c r="I831" t="str">
        <f t="shared" si="135"/>
        <v/>
      </c>
      <c r="J831" t="str">
        <f t="shared" si="136"/>
        <v/>
      </c>
      <c r="K831" t="str">
        <f t="shared" si="137"/>
        <v/>
      </c>
      <c r="L831" t="str">
        <f t="shared" si="138"/>
        <v/>
      </c>
      <c r="M831" t="str">
        <f t="shared" si="139"/>
        <v/>
      </c>
      <c r="N831" t="str">
        <f t="shared" si="140"/>
        <v/>
      </c>
      <c r="O831" t="str">
        <f t="shared" si="141"/>
        <v/>
      </c>
      <c r="P831" t="str">
        <f>IF($A831="","",IF($E831=1,$F831*$O831,PNL!G831))</f>
        <v/>
      </c>
      <c r="T831" t="str">
        <f t="shared" si="142"/>
        <v/>
      </c>
    </row>
    <row r="832" spans="1:20" x14ac:dyDescent="0.45">
      <c r="A832" t="str">
        <f>IF(PNL!A832="","",PNL!A832)</f>
        <v/>
      </c>
      <c r="B832" t="str">
        <f>IF(PNL!B832="","",PNL!B832)</f>
        <v/>
      </c>
      <c r="C832" t="str">
        <f>IF(PNL!C832="","",PNL!C832)</f>
        <v/>
      </c>
      <c r="D832" t="str">
        <f>IF(PNL!D832="","",PNL!D832)</f>
        <v/>
      </c>
      <c r="E832" t="str">
        <f t="shared" si="132"/>
        <v/>
      </c>
      <c r="F832" t="str">
        <f>IF($A832="","",IF($E832=1,SUMIFS(Compta!$F$1:$F$675,Compta!$A$1:$A$675,$A832,Compta!$B$1:$B$675,$B832,Compta!$C$1:$C$675,"2026"),0))</f>
        <v/>
      </c>
      <c r="G832" t="str">
        <f t="shared" si="133"/>
        <v/>
      </c>
      <c r="H832" t="str">
        <f t="shared" si="134"/>
        <v/>
      </c>
      <c r="I832" t="str">
        <f t="shared" si="135"/>
        <v/>
      </c>
      <c r="J832" t="str">
        <f t="shared" si="136"/>
        <v/>
      </c>
      <c r="K832" t="str">
        <f t="shared" si="137"/>
        <v/>
      </c>
      <c r="L832" t="str">
        <f t="shared" si="138"/>
        <v/>
      </c>
      <c r="M832" t="str">
        <f t="shared" si="139"/>
        <v/>
      </c>
      <c r="N832" t="str">
        <f t="shared" si="140"/>
        <v/>
      </c>
      <c r="O832" t="str">
        <f t="shared" si="141"/>
        <v/>
      </c>
      <c r="P832" t="str">
        <f>IF($A832="","",IF($E832=1,$F832*$O832,PNL!G832))</f>
        <v/>
      </c>
      <c r="T832" t="str">
        <f t="shared" si="142"/>
        <v/>
      </c>
    </row>
    <row r="833" spans="1:20" x14ac:dyDescent="0.45">
      <c r="A833" t="str">
        <f>IF(PNL!A833="","",PNL!A833)</f>
        <v/>
      </c>
      <c r="B833" t="str">
        <f>IF(PNL!B833="","",PNL!B833)</f>
        <v/>
      </c>
      <c r="C833" t="str">
        <f>IF(PNL!C833="","",PNL!C833)</f>
        <v/>
      </c>
      <c r="D833" t="str">
        <f>IF(PNL!D833="","",PNL!D833)</f>
        <v/>
      </c>
      <c r="E833" t="str">
        <f t="shared" si="132"/>
        <v/>
      </c>
      <c r="F833" t="str">
        <f>IF($A833="","",IF($E833=1,SUMIFS(Compta!$F$1:$F$675,Compta!$A$1:$A$675,$A833,Compta!$B$1:$B$675,$B833,Compta!$C$1:$C$675,"2026"),0))</f>
        <v/>
      </c>
      <c r="G833" t="str">
        <f t="shared" si="133"/>
        <v/>
      </c>
      <c r="H833" t="str">
        <f t="shared" si="134"/>
        <v/>
      </c>
      <c r="I833" t="str">
        <f t="shared" si="135"/>
        <v/>
      </c>
      <c r="J833" t="str">
        <f t="shared" si="136"/>
        <v/>
      </c>
      <c r="K833" t="str">
        <f t="shared" si="137"/>
        <v/>
      </c>
      <c r="L833" t="str">
        <f t="shared" si="138"/>
        <v/>
      </c>
      <c r="M833" t="str">
        <f t="shared" si="139"/>
        <v/>
      </c>
      <c r="N833" t="str">
        <f t="shared" si="140"/>
        <v/>
      </c>
      <c r="O833" t="str">
        <f t="shared" si="141"/>
        <v/>
      </c>
      <c r="P833" t="str">
        <f>IF($A833="","",IF($E833=1,$F833*$O833,PNL!G833))</f>
        <v/>
      </c>
      <c r="T833" t="str">
        <f t="shared" si="142"/>
        <v/>
      </c>
    </row>
    <row r="834" spans="1:20" x14ac:dyDescent="0.45">
      <c r="A834" t="str">
        <f>IF(PNL!A834="","",PNL!A834)</f>
        <v/>
      </c>
      <c r="B834" t="str">
        <f>IF(PNL!B834="","",PNL!B834)</f>
        <v/>
      </c>
      <c r="C834" t="str">
        <f>IF(PNL!C834="","",PNL!C834)</f>
        <v/>
      </c>
      <c r="D834" t="str">
        <f>IF(PNL!D834="","",PNL!D834)</f>
        <v/>
      </c>
      <c r="E834" t="str">
        <f t="shared" ref="E834:E897" si="143">IF($A834="","",IF(AND($C834="2027",OR($D834="V01",$D834="V02",$D834="V03")),1,0))</f>
        <v/>
      </c>
      <c r="F834" t="str">
        <f>IF($A834="","",IF($E834=1,SUMIFS(Compta!$F$1:$F$675,Compta!$A$1:$A$675,$A834,Compta!$B$1:$B$675,$B834,Compta!$C$1:$C$675,"2026"),0))</f>
        <v/>
      </c>
      <c r="G834" t="str">
        <f t="shared" ref="G834:G897" si="144">IF($A834="","",IF($D834="V01",cad!$C$23,IF($D834="V02",cad!$D$23,cad!$E$23)))</f>
        <v/>
      </c>
      <c r="H834" t="str">
        <f t="shared" ref="H834:H897" si="145">IF($A834="","",IF($D834="V01",cad!$C$24,IF($D834="V02",cad!$D$24,cad!$E$24)))</f>
        <v/>
      </c>
      <c r="I834" t="str">
        <f t="shared" ref="I834:I897" si="146">IF($A834="","",IF($D834="V01",cad!$C$32,IF($D834="V02",cad!$D$32,cad!$E$32)))</f>
        <v/>
      </c>
      <c r="J834" t="str">
        <f t="shared" ref="J834:J897" si="147">IF($A834="","",IF($D834="V01",cad!$C$33,IF($D834="V02",cad!$D$33,cad!$E$33)))</f>
        <v/>
      </c>
      <c r="K834" t="str">
        <f t="shared" ref="K834:K897" si="148">IF($A834="","",IF($D834="V01",cad!$C$34,IF($D834="V02",cad!$D$34,cad!$E$34)))</f>
        <v/>
      </c>
      <c r="L834" t="str">
        <f t="shared" ref="L834:L897" si="149">IF($A834="","",IF($D834="V01",cad!$C$35,IF($D834="V02",cad!$D$35,cad!$E$35)))</f>
        <v/>
      </c>
      <c r="M834" t="str">
        <f t="shared" ref="M834:M897" si="150">IF($A834="","",IF($D834="V01",cad!$C$36,IF($D834="V02",cad!$D$36,cad!$E$36)))</f>
        <v/>
      </c>
      <c r="N834" t="str">
        <f t="shared" ref="N834:N897" si="151">IF($A834="","",IF($D834="V01",$R$2,IF($D834="V02",$R$3,$R$4)))</f>
        <v/>
      </c>
      <c r="O834" t="str">
        <f t="shared" ref="O834:O897" si="152">IF($A834="","",IF(OR($B834="7062",$B834="706",$B834="708"),$N834,IF($B834="6231",1+$G834,IF($B834="6236",1+$H834,IF(OR($B834="621",$B834="604",$B834="6063"),$N834*(1-$L834),IF(OR($B834="6411",$B834="6413",$B834="6414",$B834="645"),(1+$J834)*(1+$K834),IF(OR($B834="613",$B834="615",$B834="616",$B834="6226",$B834="625",$B834="626",$B834="6281"),(1+$I834)*(1-$L834)*(1+$M834),IF(OR($B834="6331",$B834="63511",$B834="6333"),(1+$I834)*(1-$L834),IF($B834="6811",1+$I834,1)))))))))</f>
        <v/>
      </c>
      <c r="P834" t="str">
        <f>IF($A834="","",IF($E834=1,$F834*$O834,PNL!G834))</f>
        <v/>
      </c>
      <c r="T834" t="str">
        <f t="shared" ref="T834:T897" si="153">IF($A834="","",IF($E834=1,IF(OR($B834="7062",$B834="706",$B834="708"),$P834,IF(AND(LEFT($B834,1)="6",$B834&lt;&gt;"6811"),-$P834,0)),0))</f>
        <v/>
      </c>
    </row>
    <row r="835" spans="1:20" x14ac:dyDescent="0.45">
      <c r="A835" t="str">
        <f>IF(PNL!A835="","",PNL!A835)</f>
        <v/>
      </c>
      <c r="B835" t="str">
        <f>IF(PNL!B835="","",PNL!B835)</f>
        <v/>
      </c>
      <c r="C835" t="str">
        <f>IF(PNL!C835="","",PNL!C835)</f>
        <v/>
      </c>
      <c r="D835" t="str">
        <f>IF(PNL!D835="","",PNL!D835)</f>
        <v/>
      </c>
      <c r="E835" t="str">
        <f t="shared" si="143"/>
        <v/>
      </c>
      <c r="F835" t="str">
        <f>IF($A835="","",IF($E835=1,SUMIFS(Compta!$F$1:$F$675,Compta!$A$1:$A$675,$A835,Compta!$B$1:$B$675,$B835,Compta!$C$1:$C$675,"2026"),0))</f>
        <v/>
      </c>
      <c r="G835" t="str">
        <f t="shared" si="144"/>
        <v/>
      </c>
      <c r="H835" t="str">
        <f t="shared" si="145"/>
        <v/>
      </c>
      <c r="I835" t="str">
        <f t="shared" si="146"/>
        <v/>
      </c>
      <c r="J835" t="str">
        <f t="shared" si="147"/>
        <v/>
      </c>
      <c r="K835" t="str">
        <f t="shared" si="148"/>
        <v/>
      </c>
      <c r="L835" t="str">
        <f t="shared" si="149"/>
        <v/>
      </c>
      <c r="M835" t="str">
        <f t="shared" si="150"/>
        <v/>
      </c>
      <c r="N835" t="str">
        <f t="shared" si="151"/>
        <v/>
      </c>
      <c r="O835" t="str">
        <f t="shared" si="152"/>
        <v/>
      </c>
      <c r="P835" t="str">
        <f>IF($A835="","",IF($E835=1,$F835*$O835,PNL!G835))</f>
        <v/>
      </c>
      <c r="T835" t="str">
        <f t="shared" si="153"/>
        <v/>
      </c>
    </row>
    <row r="836" spans="1:20" x14ac:dyDescent="0.45">
      <c r="A836" t="str">
        <f>IF(PNL!A836="","",PNL!A836)</f>
        <v/>
      </c>
      <c r="B836" t="str">
        <f>IF(PNL!B836="","",PNL!B836)</f>
        <v/>
      </c>
      <c r="C836" t="str">
        <f>IF(PNL!C836="","",PNL!C836)</f>
        <v/>
      </c>
      <c r="D836" t="str">
        <f>IF(PNL!D836="","",PNL!D836)</f>
        <v/>
      </c>
      <c r="E836" t="str">
        <f t="shared" si="143"/>
        <v/>
      </c>
      <c r="F836" t="str">
        <f>IF($A836="","",IF($E836=1,SUMIFS(Compta!$F$1:$F$675,Compta!$A$1:$A$675,$A836,Compta!$B$1:$B$675,$B836,Compta!$C$1:$C$675,"2026"),0))</f>
        <v/>
      </c>
      <c r="G836" t="str">
        <f t="shared" si="144"/>
        <v/>
      </c>
      <c r="H836" t="str">
        <f t="shared" si="145"/>
        <v/>
      </c>
      <c r="I836" t="str">
        <f t="shared" si="146"/>
        <v/>
      </c>
      <c r="J836" t="str">
        <f t="shared" si="147"/>
        <v/>
      </c>
      <c r="K836" t="str">
        <f t="shared" si="148"/>
        <v/>
      </c>
      <c r="L836" t="str">
        <f t="shared" si="149"/>
        <v/>
      </c>
      <c r="M836" t="str">
        <f t="shared" si="150"/>
        <v/>
      </c>
      <c r="N836" t="str">
        <f t="shared" si="151"/>
        <v/>
      </c>
      <c r="O836" t="str">
        <f t="shared" si="152"/>
        <v/>
      </c>
      <c r="P836" t="str">
        <f>IF($A836="","",IF($E836=1,$F836*$O836,PNL!G836))</f>
        <v/>
      </c>
      <c r="T836" t="str">
        <f t="shared" si="153"/>
        <v/>
      </c>
    </row>
    <row r="837" spans="1:20" x14ac:dyDescent="0.45">
      <c r="A837" t="str">
        <f>IF(PNL!A837="","",PNL!A837)</f>
        <v/>
      </c>
      <c r="B837" t="str">
        <f>IF(PNL!B837="","",PNL!B837)</f>
        <v/>
      </c>
      <c r="C837" t="str">
        <f>IF(PNL!C837="","",PNL!C837)</f>
        <v/>
      </c>
      <c r="D837" t="str">
        <f>IF(PNL!D837="","",PNL!D837)</f>
        <v/>
      </c>
      <c r="E837" t="str">
        <f t="shared" si="143"/>
        <v/>
      </c>
      <c r="F837" t="str">
        <f>IF($A837="","",IF($E837=1,SUMIFS(Compta!$F$1:$F$675,Compta!$A$1:$A$675,$A837,Compta!$B$1:$B$675,$B837,Compta!$C$1:$C$675,"2026"),0))</f>
        <v/>
      </c>
      <c r="G837" t="str">
        <f t="shared" si="144"/>
        <v/>
      </c>
      <c r="H837" t="str">
        <f t="shared" si="145"/>
        <v/>
      </c>
      <c r="I837" t="str">
        <f t="shared" si="146"/>
        <v/>
      </c>
      <c r="J837" t="str">
        <f t="shared" si="147"/>
        <v/>
      </c>
      <c r="K837" t="str">
        <f t="shared" si="148"/>
        <v/>
      </c>
      <c r="L837" t="str">
        <f t="shared" si="149"/>
        <v/>
      </c>
      <c r="M837" t="str">
        <f t="shared" si="150"/>
        <v/>
      </c>
      <c r="N837" t="str">
        <f t="shared" si="151"/>
        <v/>
      </c>
      <c r="O837" t="str">
        <f t="shared" si="152"/>
        <v/>
      </c>
      <c r="P837" t="str">
        <f>IF($A837="","",IF($E837=1,$F837*$O837,PNL!G837))</f>
        <v/>
      </c>
      <c r="T837" t="str">
        <f t="shared" si="153"/>
        <v/>
      </c>
    </row>
    <row r="838" spans="1:20" x14ac:dyDescent="0.45">
      <c r="A838" t="str">
        <f>IF(PNL!A838="","",PNL!A838)</f>
        <v/>
      </c>
      <c r="B838" t="str">
        <f>IF(PNL!B838="","",PNL!B838)</f>
        <v/>
      </c>
      <c r="C838" t="str">
        <f>IF(PNL!C838="","",PNL!C838)</f>
        <v/>
      </c>
      <c r="D838" t="str">
        <f>IF(PNL!D838="","",PNL!D838)</f>
        <v/>
      </c>
      <c r="E838" t="str">
        <f t="shared" si="143"/>
        <v/>
      </c>
      <c r="F838" t="str">
        <f>IF($A838="","",IF($E838=1,SUMIFS(Compta!$F$1:$F$675,Compta!$A$1:$A$675,$A838,Compta!$B$1:$B$675,$B838,Compta!$C$1:$C$675,"2026"),0))</f>
        <v/>
      </c>
      <c r="G838" t="str">
        <f t="shared" si="144"/>
        <v/>
      </c>
      <c r="H838" t="str">
        <f t="shared" si="145"/>
        <v/>
      </c>
      <c r="I838" t="str">
        <f t="shared" si="146"/>
        <v/>
      </c>
      <c r="J838" t="str">
        <f t="shared" si="147"/>
        <v/>
      </c>
      <c r="K838" t="str">
        <f t="shared" si="148"/>
        <v/>
      </c>
      <c r="L838" t="str">
        <f t="shared" si="149"/>
        <v/>
      </c>
      <c r="M838" t="str">
        <f t="shared" si="150"/>
        <v/>
      </c>
      <c r="N838" t="str">
        <f t="shared" si="151"/>
        <v/>
      </c>
      <c r="O838" t="str">
        <f t="shared" si="152"/>
        <v/>
      </c>
      <c r="P838" t="str">
        <f>IF($A838="","",IF($E838=1,$F838*$O838,PNL!G838))</f>
        <v/>
      </c>
      <c r="T838" t="str">
        <f t="shared" si="153"/>
        <v/>
      </c>
    </row>
    <row r="839" spans="1:20" x14ac:dyDescent="0.45">
      <c r="A839" t="str">
        <f>IF(PNL!A839="","",PNL!A839)</f>
        <v/>
      </c>
      <c r="B839" t="str">
        <f>IF(PNL!B839="","",PNL!B839)</f>
        <v/>
      </c>
      <c r="C839" t="str">
        <f>IF(PNL!C839="","",PNL!C839)</f>
        <v/>
      </c>
      <c r="D839" t="str">
        <f>IF(PNL!D839="","",PNL!D839)</f>
        <v/>
      </c>
      <c r="E839" t="str">
        <f t="shared" si="143"/>
        <v/>
      </c>
      <c r="F839" t="str">
        <f>IF($A839="","",IF($E839=1,SUMIFS(Compta!$F$1:$F$675,Compta!$A$1:$A$675,$A839,Compta!$B$1:$B$675,$B839,Compta!$C$1:$C$675,"2026"),0))</f>
        <v/>
      </c>
      <c r="G839" t="str">
        <f t="shared" si="144"/>
        <v/>
      </c>
      <c r="H839" t="str">
        <f t="shared" si="145"/>
        <v/>
      </c>
      <c r="I839" t="str">
        <f t="shared" si="146"/>
        <v/>
      </c>
      <c r="J839" t="str">
        <f t="shared" si="147"/>
        <v/>
      </c>
      <c r="K839" t="str">
        <f t="shared" si="148"/>
        <v/>
      </c>
      <c r="L839" t="str">
        <f t="shared" si="149"/>
        <v/>
      </c>
      <c r="M839" t="str">
        <f t="shared" si="150"/>
        <v/>
      </c>
      <c r="N839" t="str">
        <f t="shared" si="151"/>
        <v/>
      </c>
      <c r="O839" t="str">
        <f t="shared" si="152"/>
        <v/>
      </c>
      <c r="P839" t="str">
        <f>IF($A839="","",IF($E839=1,$F839*$O839,PNL!G839))</f>
        <v/>
      </c>
      <c r="T839" t="str">
        <f t="shared" si="153"/>
        <v/>
      </c>
    </row>
    <row r="840" spans="1:20" x14ac:dyDescent="0.45">
      <c r="A840" t="str">
        <f>IF(PNL!A840="","",PNL!A840)</f>
        <v/>
      </c>
      <c r="B840" t="str">
        <f>IF(PNL!B840="","",PNL!B840)</f>
        <v/>
      </c>
      <c r="C840" t="str">
        <f>IF(PNL!C840="","",PNL!C840)</f>
        <v/>
      </c>
      <c r="D840" t="str">
        <f>IF(PNL!D840="","",PNL!D840)</f>
        <v/>
      </c>
      <c r="E840" t="str">
        <f t="shared" si="143"/>
        <v/>
      </c>
      <c r="F840" t="str">
        <f>IF($A840="","",IF($E840=1,SUMIFS(Compta!$F$1:$F$675,Compta!$A$1:$A$675,$A840,Compta!$B$1:$B$675,$B840,Compta!$C$1:$C$675,"2026"),0))</f>
        <v/>
      </c>
      <c r="G840" t="str">
        <f t="shared" si="144"/>
        <v/>
      </c>
      <c r="H840" t="str">
        <f t="shared" si="145"/>
        <v/>
      </c>
      <c r="I840" t="str">
        <f t="shared" si="146"/>
        <v/>
      </c>
      <c r="J840" t="str">
        <f t="shared" si="147"/>
        <v/>
      </c>
      <c r="K840" t="str">
        <f t="shared" si="148"/>
        <v/>
      </c>
      <c r="L840" t="str">
        <f t="shared" si="149"/>
        <v/>
      </c>
      <c r="M840" t="str">
        <f t="shared" si="150"/>
        <v/>
      </c>
      <c r="N840" t="str">
        <f t="shared" si="151"/>
        <v/>
      </c>
      <c r="O840" t="str">
        <f t="shared" si="152"/>
        <v/>
      </c>
      <c r="P840" t="str">
        <f>IF($A840="","",IF($E840=1,$F840*$O840,PNL!G840))</f>
        <v/>
      </c>
      <c r="T840" t="str">
        <f t="shared" si="153"/>
        <v/>
      </c>
    </row>
    <row r="841" spans="1:20" x14ac:dyDescent="0.45">
      <c r="A841" t="str">
        <f>IF(PNL!A841="","",PNL!A841)</f>
        <v/>
      </c>
      <c r="B841" t="str">
        <f>IF(PNL!B841="","",PNL!B841)</f>
        <v/>
      </c>
      <c r="C841" t="str">
        <f>IF(PNL!C841="","",PNL!C841)</f>
        <v/>
      </c>
      <c r="D841" t="str">
        <f>IF(PNL!D841="","",PNL!D841)</f>
        <v/>
      </c>
      <c r="E841" t="str">
        <f t="shared" si="143"/>
        <v/>
      </c>
      <c r="F841" t="str">
        <f>IF($A841="","",IF($E841=1,SUMIFS(Compta!$F$1:$F$675,Compta!$A$1:$A$675,$A841,Compta!$B$1:$B$675,$B841,Compta!$C$1:$C$675,"2026"),0))</f>
        <v/>
      </c>
      <c r="G841" t="str">
        <f t="shared" si="144"/>
        <v/>
      </c>
      <c r="H841" t="str">
        <f t="shared" si="145"/>
        <v/>
      </c>
      <c r="I841" t="str">
        <f t="shared" si="146"/>
        <v/>
      </c>
      <c r="J841" t="str">
        <f t="shared" si="147"/>
        <v/>
      </c>
      <c r="K841" t="str">
        <f t="shared" si="148"/>
        <v/>
      </c>
      <c r="L841" t="str">
        <f t="shared" si="149"/>
        <v/>
      </c>
      <c r="M841" t="str">
        <f t="shared" si="150"/>
        <v/>
      </c>
      <c r="N841" t="str">
        <f t="shared" si="151"/>
        <v/>
      </c>
      <c r="O841" t="str">
        <f t="shared" si="152"/>
        <v/>
      </c>
      <c r="P841" t="str">
        <f>IF($A841="","",IF($E841=1,$F841*$O841,PNL!G841))</f>
        <v/>
      </c>
      <c r="T841" t="str">
        <f t="shared" si="153"/>
        <v/>
      </c>
    </row>
    <row r="842" spans="1:20" x14ac:dyDescent="0.45">
      <c r="A842" t="str">
        <f>IF(PNL!A842="","",PNL!A842)</f>
        <v/>
      </c>
      <c r="B842" t="str">
        <f>IF(PNL!B842="","",PNL!B842)</f>
        <v/>
      </c>
      <c r="C842" t="str">
        <f>IF(PNL!C842="","",PNL!C842)</f>
        <v/>
      </c>
      <c r="D842" t="str">
        <f>IF(PNL!D842="","",PNL!D842)</f>
        <v/>
      </c>
      <c r="E842" t="str">
        <f t="shared" si="143"/>
        <v/>
      </c>
      <c r="F842" t="str">
        <f>IF($A842="","",IF($E842=1,SUMIFS(Compta!$F$1:$F$675,Compta!$A$1:$A$675,$A842,Compta!$B$1:$B$675,$B842,Compta!$C$1:$C$675,"2026"),0))</f>
        <v/>
      </c>
      <c r="G842" t="str">
        <f t="shared" si="144"/>
        <v/>
      </c>
      <c r="H842" t="str">
        <f t="shared" si="145"/>
        <v/>
      </c>
      <c r="I842" t="str">
        <f t="shared" si="146"/>
        <v/>
      </c>
      <c r="J842" t="str">
        <f t="shared" si="147"/>
        <v/>
      </c>
      <c r="K842" t="str">
        <f t="shared" si="148"/>
        <v/>
      </c>
      <c r="L842" t="str">
        <f t="shared" si="149"/>
        <v/>
      </c>
      <c r="M842" t="str">
        <f t="shared" si="150"/>
        <v/>
      </c>
      <c r="N842" t="str">
        <f t="shared" si="151"/>
        <v/>
      </c>
      <c r="O842" t="str">
        <f t="shared" si="152"/>
        <v/>
      </c>
      <c r="P842" t="str">
        <f>IF($A842="","",IF($E842=1,$F842*$O842,PNL!G842))</f>
        <v/>
      </c>
      <c r="T842" t="str">
        <f t="shared" si="153"/>
        <v/>
      </c>
    </row>
    <row r="843" spans="1:20" x14ac:dyDescent="0.45">
      <c r="A843" t="str">
        <f>IF(PNL!A843="","",PNL!A843)</f>
        <v/>
      </c>
      <c r="B843" t="str">
        <f>IF(PNL!B843="","",PNL!B843)</f>
        <v/>
      </c>
      <c r="C843" t="str">
        <f>IF(PNL!C843="","",PNL!C843)</f>
        <v/>
      </c>
      <c r="D843" t="str">
        <f>IF(PNL!D843="","",PNL!D843)</f>
        <v/>
      </c>
      <c r="E843" t="str">
        <f t="shared" si="143"/>
        <v/>
      </c>
      <c r="F843" t="str">
        <f>IF($A843="","",IF($E843=1,SUMIFS(Compta!$F$1:$F$675,Compta!$A$1:$A$675,$A843,Compta!$B$1:$B$675,$B843,Compta!$C$1:$C$675,"2026"),0))</f>
        <v/>
      </c>
      <c r="G843" t="str">
        <f t="shared" si="144"/>
        <v/>
      </c>
      <c r="H843" t="str">
        <f t="shared" si="145"/>
        <v/>
      </c>
      <c r="I843" t="str">
        <f t="shared" si="146"/>
        <v/>
      </c>
      <c r="J843" t="str">
        <f t="shared" si="147"/>
        <v/>
      </c>
      <c r="K843" t="str">
        <f t="shared" si="148"/>
        <v/>
      </c>
      <c r="L843" t="str">
        <f t="shared" si="149"/>
        <v/>
      </c>
      <c r="M843" t="str">
        <f t="shared" si="150"/>
        <v/>
      </c>
      <c r="N843" t="str">
        <f t="shared" si="151"/>
        <v/>
      </c>
      <c r="O843" t="str">
        <f t="shared" si="152"/>
        <v/>
      </c>
      <c r="P843" t="str">
        <f>IF($A843="","",IF($E843=1,$F843*$O843,PNL!G843))</f>
        <v/>
      </c>
      <c r="T843" t="str">
        <f t="shared" si="153"/>
        <v/>
      </c>
    </row>
    <row r="844" spans="1:20" x14ac:dyDescent="0.45">
      <c r="A844" t="str">
        <f>IF(PNL!A844="","",PNL!A844)</f>
        <v/>
      </c>
      <c r="B844" t="str">
        <f>IF(PNL!B844="","",PNL!B844)</f>
        <v/>
      </c>
      <c r="C844" t="str">
        <f>IF(PNL!C844="","",PNL!C844)</f>
        <v/>
      </c>
      <c r="D844" t="str">
        <f>IF(PNL!D844="","",PNL!D844)</f>
        <v/>
      </c>
      <c r="E844" t="str">
        <f t="shared" si="143"/>
        <v/>
      </c>
      <c r="F844" t="str">
        <f>IF($A844="","",IF($E844=1,SUMIFS(Compta!$F$1:$F$675,Compta!$A$1:$A$675,$A844,Compta!$B$1:$B$675,$B844,Compta!$C$1:$C$675,"2026"),0))</f>
        <v/>
      </c>
      <c r="G844" t="str">
        <f t="shared" si="144"/>
        <v/>
      </c>
      <c r="H844" t="str">
        <f t="shared" si="145"/>
        <v/>
      </c>
      <c r="I844" t="str">
        <f t="shared" si="146"/>
        <v/>
      </c>
      <c r="J844" t="str">
        <f t="shared" si="147"/>
        <v/>
      </c>
      <c r="K844" t="str">
        <f t="shared" si="148"/>
        <v/>
      </c>
      <c r="L844" t="str">
        <f t="shared" si="149"/>
        <v/>
      </c>
      <c r="M844" t="str">
        <f t="shared" si="150"/>
        <v/>
      </c>
      <c r="N844" t="str">
        <f t="shared" si="151"/>
        <v/>
      </c>
      <c r="O844" t="str">
        <f t="shared" si="152"/>
        <v/>
      </c>
      <c r="P844" t="str">
        <f>IF($A844="","",IF($E844=1,$F844*$O844,PNL!G844))</f>
        <v/>
      </c>
      <c r="T844" t="str">
        <f t="shared" si="153"/>
        <v/>
      </c>
    </row>
    <row r="845" spans="1:20" x14ac:dyDescent="0.45">
      <c r="A845" t="str">
        <f>IF(PNL!A845="","",PNL!A845)</f>
        <v/>
      </c>
      <c r="B845" t="str">
        <f>IF(PNL!B845="","",PNL!B845)</f>
        <v/>
      </c>
      <c r="C845" t="str">
        <f>IF(PNL!C845="","",PNL!C845)</f>
        <v/>
      </c>
      <c r="D845" t="str">
        <f>IF(PNL!D845="","",PNL!D845)</f>
        <v/>
      </c>
      <c r="E845" t="str">
        <f t="shared" si="143"/>
        <v/>
      </c>
      <c r="F845" t="str">
        <f>IF($A845="","",IF($E845=1,SUMIFS(Compta!$F$1:$F$675,Compta!$A$1:$A$675,$A845,Compta!$B$1:$B$675,$B845,Compta!$C$1:$C$675,"2026"),0))</f>
        <v/>
      </c>
      <c r="G845" t="str">
        <f t="shared" si="144"/>
        <v/>
      </c>
      <c r="H845" t="str">
        <f t="shared" si="145"/>
        <v/>
      </c>
      <c r="I845" t="str">
        <f t="shared" si="146"/>
        <v/>
      </c>
      <c r="J845" t="str">
        <f t="shared" si="147"/>
        <v/>
      </c>
      <c r="K845" t="str">
        <f t="shared" si="148"/>
        <v/>
      </c>
      <c r="L845" t="str">
        <f t="shared" si="149"/>
        <v/>
      </c>
      <c r="M845" t="str">
        <f t="shared" si="150"/>
        <v/>
      </c>
      <c r="N845" t="str">
        <f t="shared" si="151"/>
        <v/>
      </c>
      <c r="O845" t="str">
        <f t="shared" si="152"/>
        <v/>
      </c>
      <c r="P845" t="str">
        <f>IF($A845="","",IF($E845=1,$F845*$O845,PNL!G845))</f>
        <v/>
      </c>
      <c r="T845" t="str">
        <f t="shared" si="153"/>
        <v/>
      </c>
    </row>
    <row r="846" spans="1:20" x14ac:dyDescent="0.45">
      <c r="A846" t="str">
        <f>IF(PNL!A846="","",PNL!A846)</f>
        <v/>
      </c>
      <c r="B846" t="str">
        <f>IF(PNL!B846="","",PNL!B846)</f>
        <v/>
      </c>
      <c r="C846" t="str">
        <f>IF(PNL!C846="","",PNL!C846)</f>
        <v/>
      </c>
      <c r="D846" t="str">
        <f>IF(PNL!D846="","",PNL!D846)</f>
        <v/>
      </c>
      <c r="E846" t="str">
        <f t="shared" si="143"/>
        <v/>
      </c>
      <c r="F846" t="str">
        <f>IF($A846="","",IF($E846=1,SUMIFS(Compta!$F$1:$F$675,Compta!$A$1:$A$675,$A846,Compta!$B$1:$B$675,$B846,Compta!$C$1:$C$675,"2026"),0))</f>
        <v/>
      </c>
      <c r="G846" t="str">
        <f t="shared" si="144"/>
        <v/>
      </c>
      <c r="H846" t="str">
        <f t="shared" si="145"/>
        <v/>
      </c>
      <c r="I846" t="str">
        <f t="shared" si="146"/>
        <v/>
      </c>
      <c r="J846" t="str">
        <f t="shared" si="147"/>
        <v/>
      </c>
      <c r="K846" t="str">
        <f t="shared" si="148"/>
        <v/>
      </c>
      <c r="L846" t="str">
        <f t="shared" si="149"/>
        <v/>
      </c>
      <c r="M846" t="str">
        <f t="shared" si="150"/>
        <v/>
      </c>
      <c r="N846" t="str">
        <f t="shared" si="151"/>
        <v/>
      </c>
      <c r="O846" t="str">
        <f t="shared" si="152"/>
        <v/>
      </c>
      <c r="P846" t="str">
        <f>IF($A846="","",IF($E846=1,$F846*$O846,PNL!G846))</f>
        <v/>
      </c>
      <c r="T846" t="str">
        <f t="shared" si="153"/>
        <v/>
      </c>
    </row>
    <row r="847" spans="1:20" x14ac:dyDescent="0.45">
      <c r="A847" t="str">
        <f>IF(PNL!A847="","",PNL!A847)</f>
        <v/>
      </c>
      <c r="B847" t="str">
        <f>IF(PNL!B847="","",PNL!B847)</f>
        <v/>
      </c>
      <c r="C847" t="str">
        <f>IF(PNL!C847="","",PNL!C847)</f>
        <v/>
      </c>
      <c r="D847" t="str">
        <f>IF(PNL!D847="","",PNL!D847)</f>
        <v/>
      </c>
      <c r="E847" t="str">
        <f t="shared" si="143"/>
        <v/>
      </c>
      <c r="F847" t="str">
        <f>IF($A847="","",IF($E847=1,SUMIFS(Compta!$F$1:$F$675,Compta!$A$1:$A$675,$A847,Compta!$B$1:$B$675,$B847,Compta!$C$1:$C$675,"2026"),0))</f>
        <v/>
      </c>
      <c r="G847" t="str">
        <f t="shared" si="144"/>
        <v/>
      </c>
      <c r="H847" t="str">
        <f t="shared" si="145"/>
        <v/>
      </c>
      <c r="I847" t="str">
        <f t="shared" si="146"/>
        <v/>
      </c>
      <c r="J847" t="str">
        <f t="shared" si="147"/>
        <v/>
      </c>
      <c r="K847" t="str">
        <f t="shared" si="148"/>
        <v/>
      </c>
      <c r="L847" t="str">
        <f t="shared" si="149"/>
        <v/>
      </c>
      <c r="M847" t="str">
        <f t="shared" si="150"/>
        <v/>
      </c>
      <c r="N847" t="str">
        <f t="shared" si="151"/>
        <v/>
      </c>
      <c r="O847" t="str">
        <f t="shared" si="152"/>
        <v/>
      </c>
      <c r="P847" t="str">
        <f>IF($A847="","",IF($E847=1,$F847*$O847,PNL!G847))</f>
        <v/>
      </c>
      <c r="T847" t="str">
        <f t="shared" si="153"/>
        <v/>
      </c>
    </row>
    <row r="848" spans="1:20" x14ac:dyDescent="0.45">
      <c r="A848" t="str">
        <f>IF(PNL!A848="","",PNL!A848)</f>
        <v/>
      </c>
      <c r="B848" t="str">
        <f>IF(PNL!B848="","",PNL!B848)</f>
        <v/>
      </c>
      <c r="C848" t="str">
        <f>IF(PNL!C848="","",PNL!C848)</f>
        <v/>
      </c>
      <c r="D848" t="str">
        <f>IF(PNL!D848="","",PNL!D848)</f>
        <v/>
      </c>
      <c r="E848" t="str">
        <f t="shared" si="143"/>
        <v/>
      </c>
      <c r="F848" t="str">
        <f>IF($A848="","",IF($E848=1,SUMIFS(Compta!$F$1:$F$675,Compta!$A$1:$A$675,$A848,Compta!$B$1:$B$675,$B848,Compta!$C$1:$C$675,"2026"),0))</f>
        <v/>
      </c>
      <c r="G848" t="str">
        <f t="shared" si="144"/>
        <v/>
      </c>
      <c r="H848" t="str">
        <f t="shared" si="145"/>
        <v/>
      </c>
      <c r="I848" t="str">
        <f t="shared" si="146"/>
        <v/>
      </c>
      <c r="J848" t="str">
        <f t="shared" si="147"/>
        <v/>
      </c>
      <c r="K848" t="str">
        <f t="shared" si="148"/>
        <v/>
      </c>
      <c r="L848" t="str">
        <f t="shared" si="149"/>
        <v/>
      </c>
      <c r="M848" t="str">
        <f t="shared" si="150"/>
        <v/>
      </c>
      <c r="N848" t="str">
        <f t="shared" si="151"/>
        <v/>
      </c>
      <c r="O848" t="str">
        <f t="shared" si="152"/>
        <v/>
      </c>
      <c r="P848" t="str">
        <f>IF($A848="","",IF($E848=1,$F848*$O848,PNL!G848))</f>
        <v/>
      </c>
      <c r="T848" t="str">
        <f t="shared" si="153"/>
        <v/>
      </c>
    </row>
    <row r="849" spans="1:20" x14ac:dyDescent="0.45">
      <c r="A849" t="str">
        <f>IF(PNL!A849="","",PNL!A849)</f>
        <v/>
      </c>
      <c r="B849" t="str">
        <f>IF(PNL!B849="","",PNL!B849)</f>
        <v/>
      </c>
      <c r="C849" t="str">
        <f>IF(PNL!C849="","",PNL!C849)</f>
        <v/>
      </c>
      <c r="D849" t="str">
        <f>IF(PNL!D849="","",PNL!D849)</f>
        <v/>
      </c>
      <c r="E849" t="str">
        <f t="shared" si="143"/>
        <v/>
      </c>
      <c r="F849" t="str">
        <f>IF($A849="","",IF($E849=1,SUMIFS(Compta!$F$1:$F$675,Compta!$A$1:$A$675,$A849,Compta!$B$1:$B$675,$B849,Compta!$C$1:$C$675,"2026"),0))</f>
        <v/>
      </c>
      <c r="G849" t="str">
        <f t="shared" si="144"/>
        <v/>
      </c>
      <c r="H849" t="str">
        <f t="shared" si="145"/>
        <v/>
      </c>
      <c r="I849" t="str">
        <f t="shared" si="146"/>
        <v/>
      </c>
      <c r="J849" t="str">
        <f t="shared" si="147"/>
        <v/>
      </c>
      <c r="K849" t="str">
        <f t="shared" si="148"/>
        <v/>
      </c>
      <c r="L849" t="str">
        <f t="shared" si="149"/>
        <v/>
      </c>
      <c r="M849" t="str">
        <f t="shared" si="150"/>
        <v/>
      </c>
      <c r="N849" t="str">
        <f t="shared" si="151"/>
        <v/>
      </c>
      <c r="O849" t="str">
        <f t="shared" si="152"/>
        <v/>
      </c>
      <c r="P849" t="str">
        <f>IF($A849="","",IF($E849=1,$F849*$O849,PNL!G849))</f>
        <v/>
      </c>
      <c r="T849" t="str">
        <f t="shared" si="153"/>
        <v/>
      </c>
    </row>
    <row r="850" spans="1:20" x14ac:dyDescent="0.45">
      <c r="A850" t="str">
        <f>IF(PNL!A850="","",PNL!A850)</f>
        <v/>
      </c>
      <c r="B850" t="str">
        <f>IF(PNL!B850="","",PNL!B850)</f>
        <v/>
      </c>
      <c r="C850" t="str">
        <f>IF(PNL!C850="","",PNL!C850)</f>
        <v/>
      </c>
      <c r="D850" t="str">
        <f>IF(PNL!D850="","",PNL!D850)</f>
        <v/>
      </c>
      <c r="E850" t="str">
        <f t="shared" si="143"/>
        <v/>
      </c>
      <c r="F850" t="str">
        <f>IF($A850="","",IF($E850=1,SUMIFS(Compta!$F$1:$F$675,Compta!$A$1:$A$675,$A850,Compta!$B$1:$B$675,$B850,Compta!$C$1:$C$675,"2026"),0))</f>
        <v/>
      </c>
      <c r="G850" t="str">
        <f t="shared" si="144"/>
        <v/>
      </c>
      <c r="H850" t="str">
        <f t="shared" si="145"/>
        <v/>
      </c>
      <c r="I850" t="str">
        <f t="shared" si="146"/>
        <v/>
      </c>
      <c r="J850" t="str">
        <f t="shared" si="147"/>
        <v/>
      </c>
      <c r="K850" t="str">
        <f t="shared" si="148"/>
        <v/>
      </c>
      <c r="L850" t="str">
        <f t="shared" si="149"/>
        <v/>
      </c>
      <c r="M850" t="str">
        <f t="shared" si="150"/>
        <v/>
      </c>
      <c r="N850" t="str">
        <f t="shared" si="151"/>
        <v/>
      </c>
      <c r="O850" t="str">
        <f t="shared" si="152"/>
        <v/>
      </c>
      <c r="P850" t="str">
        <f>IF($A850="","",IF($E850=1,$F850*$O850,PNL!G850))</f>
        <v/>
      </c>
      <c r="T850" t="str">
        <f t="shared" si="153"/>
        <v/>
      </c>
    </row>
    <row r="851" spans="1:20" x14ac:dyDescent="0.45">
      <c r="A851" t="str">
        <f>IF(PNL!A851="","",PNL!A851)</f>
        <v/>
      </c>
      <c r="B851" t="str">
        <f>IF(PNL!B851="","",PNL!B851)</f>
        <v/>
      </c>
      <c r="C851" t="str">
        <f>IF(PNL!C851="","",PNL!C851)</f>
        <v/>
      </c>
      <c r="D851" t="str">
        <f>IF(PNL!D851="","",PNL!D851)</f>
        <v/>
      </c>
      <c r="E851" t="str">
        <f t="shared" si="143"/>
        <v/>
      </c>
      <c r="F851" t="str">
        <f>IF($A851="","",IF($E851=1,SUMIFS(Compta!$F$1:$F$675,Compta!$A$1:$A$675,$A851,Compta!$B$1:$B$675,$B851,Compta!$C$1:$C$675,"2026"),0))</f>
        <v/>
      </c>
      <c r="G851" t="str">
        <f t="shared" si="144"/>
        <v/>
      </c>
      <c r="H851" t="str">
        <f t="shared" si="145"/>
        <v/>
      </c>
      <c r="I851" t="str">
        <f t="shared" si="146"/>
        <v/>
      </c>
      <c r="J851" t="str">
        <f t="shared" si="147"/>
        <v/>
      </c>
      <c r="K851" t="str">
        <f t="shared" si="148"/>
        <v/>
      </c>
      <c r="L851" t="str">
        <f t="shared" si="149"/>
        <v/>
      </c>
      <c r="M851" t="str">
        <f t="shared" si="150"/>
        <v/>
      </c>
      <c r="N851" t="str">
        <f t="shared" si="151"/>
        <v/>
      </c>
      <c r="O851" t="str">
        <f t="shared" si="152"/>
        <v/>
      </c>
      <c r="P851" t="str">
        <f>IF($A851="","",IF($E851=1,$F851*$O851,PNL!G851))</f>
        <v/>
      </c>
      <c r="T851" t="str">
        <f t="shared" si="153"/>
        <v/>
      </c>
    </row>
    <row r="852" spans="1:20" x14ac:dyDescent="0.45">
      <c r="A852" t="str">
        <f>IF(PNL!A852="","",PNL!A852)</f>
        <v/>
      </c>
      <c r="B852" t="str">
        <f>IF(PNL!B852="","",PNL!B852)</f>
        <v/>
      </c>
      <c r="C852" t="str">
        <f>IF(PNL!C852="","",PNL!C852)</f>
        <v/>
      </c>
      <c r="D852" t="str">
        <f>IF(PNL!D852="","",PNL!D852)</f>
        <v/>
      </c>
      <c r="E852" t="str">
        <f t="shared" si="143"/>
        <v/>
      </c>
      <c r="F852" t="str">
        <f>IF($A852="","",IF($E852=1,SUMIFS(Compta!$F$1:$F$675,Compta!$A$1:$A$675,$A852,Compta!$B$1:$B$675,$B852,Compta!$C$1:$C$675,"2026"),0))</f>
        <v/>
      </c>
      <c r="G852" t="str">
        <f t="shared" si="144"/>
        <v/>
      </c>
      <c r="H852" t="str">
        <f t="shared" si="145"/>
        <v/>
      </c>
      <c r="I852" t="str">
        <f t="shared" si="146"/>
        <v/>
      </c>
      <c r="J852" t="str">
        <f t="shared" si="147"/>
        <v/>
      </c>
      <c r="K852" t="str">
        <f t="shared" si="148"/>
        <v/>
      </c>
      <c r="L852" t="str">
        <f t="shared" si="149"/>
        <v/>
      </c>
      <c r="M852" t="str">
        <f t="shared" si="150"/>
        <v/>
      </c>
      <c r="N852" t="str">
        <f t="shared" si="151"/>
        <v/>
      </c>
      <c r="O852" t="str">
        <f t="shared" si="152"/>
        <v/>
      </c>
      <c r="P852" t="str">
        <f>IF($A852="","",IF($E852=1,$F852*$O852,PNL!G852))</f>
        <v/>
      </c>
      <c r="T852" t="str">
        <f t="shared" si="153"/>
        <v/>
      </c>
    </row>
    <row r="853" spans="1:20" x14ac:dyDescent="0.45">
      <c r="A853" t="str">
        <f>IF(PNL!A853="","",PNL!A853)</f>
        <v/>
      </c>
      <c r="B853" t="str">
        <f>IF(PNL!B853="","",PNL!B853)</f>
        <v/>
      </c>
      <c r="C853" t="str">
        <f>IF(PNL!C853="","",PNL!C853)</f>
        <v/>
      </c>
      <c r="D853" t="str">
        <f>IF(PNL!D853="","",PNL!D853)</f>
        <v/>
      </c>
      <c r="E853" t="str">
        <f t="shared" si="143"/>
        <v/>
      </c>
      <c r="F853" t="str">
        <f>IF($A853="","",IF($E853=1,SUMIFS(Compta!$F$1:$F$675,Compta!$A$1:$A$675,$A853,Compta!$B$1:$B$675,$B853,Compta!$C$1:$C$675,"2026"),0))</f>
        <v/>
      </c>
      <c r="G853" t="str">
        <f t="shared" si="144"/>
        <v/>
      </c>
      <c r="H853" t="str">
        <f t="shared" si="145"/>
        <v/>
      </c>
      <c r="I853" t="str">
        <f t="shared" si="146"/>
        <v/>
      </c>
      <c r="J853" t="str">
        <f t="shared" si="147"/>
        <v/>
      </c>
      <c r="K853" t="str">
        <f t="shared" si="148"/>
        <v/>
      </c>
      <c r="L853" t="str">
        <f t="shared" si="149"/>
        <v/>
      </c>
      <c r="M853" t="str">
        <f t="shared" si="150"/>
        <v/>
      </c>
      <c r="N853" t="str">
        <f t="shared" si="151"/>
        <v/>
      </c>
      <c r="O853" t="str">
        <f t="shared" si="152"/>
        <v/>
      </c>
      <c r="P853" t="str">
        <f>IF($A853="","",IF($E853=1,$F853*$O853,PNL!G853))</f>
        <v/>
      </c>
      <c r="T853" t="str">
        <f t="shared" si="153"/>
        <v/>
      </c>
    </row>
    <row r="854" spans="1:20" x14ac:dyDescent="0.45">
      <c r="A854" t="str">
        <f>IF(PNL!A854="","",PNL!A854)</f>
        <v/>
      </c>
      <c r="B854" t="str">
        <f>IF(PNL!B854="","",PNL!B854)</f>
        <v/>
      </c>
      <c r="C854" t="str">
        <f>IF(PNL!C854="","",PNL!C854)</f>
        <v/>
      </c>
      <c r="D854" t="str">
        <f>IF(PNL!D854="","",PNL!D854)</f>
        <v/>
      </c>
      <c r="E854" t="str">
        <f t="shared" si="143"/>
        <v/>
      </c>
      <c r="F854" t="str">
        <f>IF($A854="","",IF($E854=1,SUMIFS(Compta!$F$1:$F$675,Compta!$A$1:$A$675,$A854,Compta!$B$1:$B$675,$B854,Compta!$C$1:$C$675,"2026"),0))</f>
        <v/>
      </c>
      <c r="G854" t="str">
        <f t="shared" si="144"/>
        <v/>
      </c>
      <c r="H854" t="str">
        <f t="shared" si="145"/>
        <v/>
      </c>
      <c r="I854" t="str">
        <f t="shared" si="146"/>
        <v/>
      </c>
      <c r="J854" t="str">
        <f t="shared" si="147"/>
        <v/>
      </c>
      <c r="K854" t="str">
        <f t="shared" si="148"/>
        <v/>
      </c>
      <c r="L854" t="str">
        <f t="shared" si="149"/>
        <v/>
      </c>
      <c r="M854" t="str">
        <f t="shared" si="150"/>
        <v/>
      </c>
      <c r="N854" t="str">
        <f t="shared" si="151"/>
        <v/>
      </c>
      <c r="O854" t="str">
        <f t="shared" si="152"/>
        <v/>
      </c>
      <c r="P854" t="str">
        <f>IF($A854="","",IF($E854=1,$F854*$O854,PNL!G854))</f>
        <v/>
      </c>
      <c r="T854" t="str">
        <f t="shared" si="153"/>
        <v/>
      </c>
    </row>
    <row r="855" spans="1:20" x14ac:dyDescent="0.45">
      <c r="A855" t="str">
        <f>IF(PNL!A855="","",PNL!A855)</f>
        <v/>
      </c>
      <c r="B855" t="str">
        <f>IF(PNL!B855="","",PNL!B855)</f>
        <v/>
      </c>
      <c r="C855" t="str">
        <f>IF(PNL!C855="","",PNL!C855)</f>
        <v/>
      </c>
      <c r="D855" t="str">
        <f>IF(PNL!D855="","",PNL!D855)</f>
        <v/>
      </c>
      <c r="E855" t="str">
        <f t="shared" si="143"/>
        <v/>
      </c>
      <c r="F855" t="str">
        <f>IF($A855="","",IF($E855=1,SUMIFS(Compta!$F$1:$F$675,Compta!$A$1:$A$675,$A855,Compta!$B$1:$B$675,$B855,Compta!$C$1:$C$675,"2026"),0))</f>
        <v/>
      </c>
      <c r="G855" t="str">
        <f t="shared" si="144"/>
        <v/>
      </c>
      <c r="H855" t="str">
        <f t="shared" si="145"/>
        <v/>
      </c>
      <c r="I855" t="str">
        <f t="shared" si="146"/>
        <v/>
      </c>
      <c r="J855" t="str">
        <f t="shared" si="147"/>
        <v/>
      </c>
      <c r="K855" t="str">
        <f t="shared" si="148"/>
        <v/>
      </c>
      <c r="L855" t="str">
        <f t="shared" si="149"/>
        <v/>
      </c>
      <c r="M855" t="str">
        <f t="shared" si="150"/>
        <v/>
      </c>
      <c r="N855" t="str">
        <f t="shared" si="151"/>
        <v/>
      </c>
      <c r="O855" t="str">
        <f t="shared" si="152"/>
        <v/>
      </c>
      <c r="P855" t="str">
        <f>IF($A855="","",IF($E855=1,$F855*$O855,PNL!G855))</f>
        <v/>
      </c>
      <c r="T855" t="str">
        <f t="shared" si="153"/>
        <v/>
      </c>
    </row>
    <row r="856" spans="1:20" x14ac:dyDescent="0.45">
      <c r="A856" t="str">
        <f>IF(PNL!A856="","",PNL!A856)</f>
        <v/>
      </c>
      <c r="B856" t="str">
        <f>IF(PNL!B856="","",PNL!B856)</f>
        <v/>
      </c>
      <c r="C856" t="str">
        <f>IF(PNL!C856="","",PNL!C856)</f>
        <v/>
      </c>
      <c r="D856" t="str">
        <f>IF(PNL!D856="","",PNL!D856)</f>
        <v/>
      </c>
      <c r="E856" t="str">
        <f t="shared" si="143"/>
        <v/>
      </c>
      <c r="F856" t="str">
        <f>IF($A856="","",IF($E856=1,SUMIFS(Compta!$F$1:$F$675,Compta!$A$1:$A$675,$A856,Compta!$B$1:$B$675,$B856,Compta!$C$1:$C$675,"2026"),0))</f>
        <v/>
      </c>
      <c r="G856" t="str">
        <f t="shared" si="144"/>
        <v/>
      </c>
      <c r="H856" t="str">
        <f t="shared" si="145"/>
        <v/>
      </c>
      <c r="I856" t="str">
        <f t="shared" si="146"/>
        <v/>
      </c>
      <c r="J856" t="str">
        <f t="shared" si="147"/>
        <v/>
      </c>
      <c r="K856" t="str">
        <f t="shared" si="148"/>
        <v/>
      </c>
      <c r="L856" t="str">
        <f t="shared" si="149"/>
        <v/>
      </c>
      <c r="M856" t="str">
        <f t="shared" si="150"/>
        <v/>
      </c>
      <c r="N856" t="str">
        <f t="shared" si="151"/>
        <v/>
      </c>
      <c r="O856" t="str">
        <f t="shared" si="152"/>
        <v/>
      </c>
      <c r="P856" t="str">
        <f>IF($A856="","",IF($E856=1,$F856*$O856,PNL!G856))</f>
        <v/>
      </c>
      <c r="T856" t="str">
        <f t="shared" si="153"/>
        <v/>
      </c>
    </row>
    <row r="857" spans="1:20" x14ac:dyDescent="0.45">
      <c r="A857" t="str">
        <f>IF(PNL!A857="","",PNL!A857)</f>
        <v/>
      </c>
      <c r="B857" t="str">
        <f>IF(PNL!B857="","",PNL!B857)</f>
        <v/>
      </c>
      <c r="C857" t="str">
        <f>IF(PNL!C857="","",PNL!C857)</f>
        <v/>
      </c>
      <c r="D857" t="str">
        <f>IF(PNL!D857="","",PNL!D857)</f>
        <v/>
      </c>
      <c r="E857" t="str">
        <f t="shared" si="143"/>
        <v/>
      </c>
      <c r="F857" t="str">
        <f>IF($A857="","",IF($E857=1,SUMIFS(Compta!$F$1:$F$675,Compta!$A$1:$A$675,$A857,Compta!$B$1:$B$675,$B857,Compta!$C$1:$C$675,"2026"),0))</f>
        <v/>
      </c>
      <c r="G857" t="str">
        <f t="shared" si="144"/>
        <v/>
      </c>
      <c r="H857" t="str">
        <f t="shared" si="145"/>
        <v/>
      </c>
      <c r="I857" t="str">
        <f t="shared" si="146"/>
        <v/>
      </c>
      <c r="J857" t="str">
        <f t="shared" si="147"/>
        <v/>
      </c>
      <c r="K857" t="str">
        <f t="shared" si="148"/>
        <v/>
      </c>
      <c r="L857" t="str">
        <f t="shared" si="149"/>
        <v/>
      </c>
      <c r="M857" t="str">
        <f t="shared" si="150"/>
        <v/>
      </c>
      <c r="N857" t="str">
        <f t="shared" si="151"/>
        <v/>
      </c>
      <c r="O857" t="str">
        <f t="shared" si="152"/>
        <v/>
      </c>
      <c r="P857" t="str">
        <f>IF($A857="","",IF($E857=1,$F857*$O857,PNL!G857))</f>
        <v/>
      </c>
      <c r="T857" t="str">
        <f t="shared" si="153"/>
        <v/>
      </c>
    </row>
    <row r="858" spans="1:20" x14ac:dyDescent="0.45">
      <c r="A858" t="str">
        <f>IF(PNL!A858="","",PNL!A858)</f>
        <v/>
      </c>
      <c r="B858" t="str">
        <f>IF(PNL!B858="","",PNL!B858)</f>
        <v/>
      </c>
      <c r="C858" t="str">
        <f>IF(PNL!C858="","",PNL!C858)</f>
        <v/>
      </c>
      <c r="D858" t="str">
        <f>IF(PNL!D858="","",PNL!D858)</f>
        <v/>
      </c>
      <c r="E858" t="str">
        <f t="shared" si="143"/>
        <v/>
      </c>
      <c r="F858" t="str">
        <f>IF($A858="","",IF($E858=1,SUMIFS(Compta!$F$1:$F$675,Compta!$A$1:$A$675,$A858,Compta!$B$1:$B$675,$B858,Compta!$C$1:$C$675,"2026"),0))</f>
        <v/>
      </c>
      <c r="G858" t="str">
        <f t="shared" si="144"/>
        <v/>
      </c>
      <c r="H858" t="str">
        <f t="shared" si="145"/>
        <v/>
      </c>
      <c r="I858" t="str">
        <f t="shared" si="146"/>
        <v/>
      </c>
      <c r="J858" t="str">
        <f t="shared" si="147"/>
        <v/>
      </c>
      <c r="K858" t="str">
        <f t="shared" si="148"/>
        <v/>
      </c>
      <c r="L858" t="str">
        <f t="shared" si="149"/>
        <v/>
      </c>
      <c r="M858" t="str">
        <f t="shared" si="150"/>
        <v/>
      </c>
      <c r="N858" t="str">
        <f t="shared" si="151"/>
        <v/>
      </c>
      <c r="O858" t="str">
        <f t="shared" si="152"/>
        <v/>
      </c>
      <c r="P858" t="str">
        <f>IF($A858="","",IF($E858=1,$F858*$O858,PNL!G858))</f>
        <v/>
      </c>
      <c r="T858" t="str">
        <f t="shared" si="153"/>
        <v/>
      </c>
    </row>
    <row r="859" spans="1:20" x14ac:dyDescent="0.45">
      <c r="A859" t="str">
        <f>IF(PNL!A859="","",PNL!A859)</f>
        <v/>
      </c>
      <c r="B859" t="str">
        <f>IF(PNL!B859="","",PNL!B859)</f>
        <v/>
      </c>
      <c r="C859" t="str">
        <f>IF(PNL!C859="","",PNL!C859)</f>
        <v/>
      </c>
      <c r="D859" t="str">
        <f>IF(PNL!D859="","",PNL!D859)</f>
        <v/>
      </c>
      <c r="E859" t="str">
        <f t="shared" si="143"/>
        <v/>
      </c>
      <c r="F859" t="str">
        <f>IF($A859="","",IF($E859=1,SUMIFS(Compta!$F$1:$F$675,Compta!$A$1:$A$675,$A859,Compta!$B$1:$B$675,$B859,Compta!$C$1:$C$675,"2026"),0))</f>
        <v/>
      </c>
      <c r="G859" t="str">
        <f t="shared" si="144"/>
        <v/>
      </c>
      <c r="H859" t="str">
        <f t="shared" si="145"/>
        <v/>
      </c>
      <c r="I859" t="str">
        <f t="shared" si="146"/>
        <v/>
      </c>
      <c r="J859" t="str">
        <f t="shared" si="147"/>
        <v/>
      </c>
      <c r="K859" t="str">
        <f t="shared" si="148"/>
        <v/>
      </c>
      <c r="L859" t="str">
        <f t="shared" si="149"/>
        <v/>
      </c>
      <c r="M859" t="str">
        <f t="shared" si="150"/>
        <v/>
      </c>
      <c r="N859" t="str">
        <f t="shared" si="151"/>
        <v/>
      </c>
      <c r="O859" t="str">
        <f t="shared" si="152"/>
        <v/>
      </c>
      <c r="P859" t="str">
        <f>IF($A859="","",IF($E859=1,$F859*$O859,PNL!G859))</f>
        <v/>
      </c>
      <c r="T859" t="str">
        <f t="shared" si="153"/>
        <v/>
      </c>
    </row>
    <row r="860" spans="1:20" x14ac:dyDescent="0.45">
      <c r="A860" t="str">
        <f>IF(PNL!A860="","",PNL!A860)</f>
        <v/>
      </c>
      <c r="B860" t="str">
        <f>IF(PNL!B860="","",PNL!B860)</f>
        <v/>
      </c>
      <c r="C860" t="str">
        <f>IF(PNL!C860="","",PNL!C860)</f>
        <v/>
      </c>
      <c r="D860" t="str">
        <f>IF(PNL!D860="","",PNL!D860)</f>
        <v/>
      </c>
      <c r="E860" t="str">
        <f t="shared" si="143"/>
        <v/>
      </c>
      <c r="F860" t="str">
        <f>IF($A860="","",IF($E860=1,SUMIFS(Compta!$F$1:$F$675,Compta!$A$1:$A$675,$A860,Compta!$B$1:$B$675,$B860,Compta!$C$1:$C$675,"2026"),0))</f>
        <v/>
      </c>
      <c r="G860" t="str">
        <f t="shared" si="144"/>
        <v/>
      </c>
      <c r="H860" t="str">
        <f t="shared" si="145"/>
        <v/>
      </c>
      <c r="I860" t="str">
        <f t="shared" si="146"/>
        <v/>
      </c>
      <c r="J860" t="str">
        <f t="shared" si="147"/>
        <v/>
      </c>
      <c r="K860" t="str">
        <f t="shared" si="148"/>
        <v/>
      </c>
      <c r="L860" t="str">
        <f t="shared" si="149"/>
        <v/>
      </c>
      <c r="M860" t="str">
        <f t="shared" si="150"/>
        <v/>
      </c>
      <c r="N860" t="str">
        <f t="shared" si="151"/>
        <v/>
      </c>
      <c r="O860" t="str">
        <f t="shared" si="152"/>
        <v/>
      </c>
      <c r="P860" t="str">
        <f>IF($A860="","",IF($E860=1,$F860*$O860,PNL!G860))</f>
        <v/>
      </c>
      <c r="T860" t="str">
        <f t="shared" si="153"/>
        <v/>
      </c>
    </row>
    <row r="861" spans="1:20" x14ac:dyDescent="0.45">
      <c r="A861" t="str">
        <f>IF(PNL!A861="","",PNL!A861)</f>
        <v/>
      </c>
      <c r="B861" t="str">
        <f>IF(PNL!B861="","",PNL!B861)</f>
        <v/>
      </c>
      <c r="C861" t="str">
        <f>IF(PNL!C861="","",PNL!C861)</f>
        <v/>
      </c>
      <c r="D861" t="str">
        <f>IF(PNL!D861="","",PNL!D861)</f>
        <v/>
      </c>
      <c r="E861" t="str">
        <f t="shared" si="143"/>
        <v/>
      </c>
      <c r="F861" t="str">
        <f>IF($A861="","",IF($E861=1,SUMIFS(Compta!$F$1:$F$675,Compta!$A$1:$A$675,$A861,Compta!$B$1:$B$675,$B861,Compta!$C$1:$C$675,"2026"),0))</f>
        <v/>
      </c>
      <c r="G861" t="str">
        <f t="shared" si="144"/>
        <v/>
      </c>
      <c r="H861" t="str">
        <f t="shared" si="145"/>
        <v/>
      </c>
      <c r="I861" t="str">
        <f t="shared" si="146"/>
        <v/>
      </c>
      <c r="J861" t="str">
        <f t="shared" si="147"/>
        <v/>
      </c>
      <c r="K861" t="str">
        <f t="shared" si="148"/>
        <v/>
      </c>
      <c r="L861" t="str">
        <f t="shared" si="149"/>
        <v/>
      </c>
      <c r="M861" t="str">
        <f t="shared" si="150"/>
        <v/>
      </c>
      <c r="N861" t="str">
        <f t="shared" si="151"/>
        <v/>
      </c>
      <c r="O861" t="str">
        <f t="shared" si="152"/>
        <v/>
      </c>
      <c r="P861" t="str">
        <f>IF($A861="","",IF($E861=1,$F861*$O861,PNL!G861))</f>
        <v/>
      </c>
      <c r="T861" t="str">
        <f t="shared" si="153"/>
        <v/>
      </c>
    </row>
    <row r="862" spans="1:20" x14ac:dyDescent="0.45">
      <c r="A862" t="str">
        <f>IF(PNL!A862="","",PNL!A862)</f>
        <v/>
      </c>
      <c r="B862" t="str">
        <f>IF(PNL!B862="","",PNL!B862)</f>
        <v/>
      </c>
      <c r="C862" t="str">
        <f>IF(PNL!C862="","",PNL!C862)</f>
        <v/>
      </c>
      <c r="D862" t="str">
        <f>IF(PNL!D862="","",PNL!D862)</f>
        <v/>
      </c>
      <c r="E862" t="str">
        <f t="shared" si="143"/>
        <v/>
      </c>
      <c r="F862" t="str">
        <f>IF($A862="","",IF($E862=1,SUMIFS(Compta!$F$1:$F$675,Compta!$A$1:$A$675,$A862,Compta!$B$1:$B$675,$B862,Compta!$C$1:$C$675,"2026"),0))</f>
        <v/>
      </c>
      <c r="G862" t="str">
        <f t="shared" si="144"/>
        <v/>
      </c>
      <c r="H862" t="str">
        <f t="shared" si="145"/>
        <v/>
      </c>
      <c r="I862" t="str">
        <f t="shared" si="146"/>
        <v/>
      </c>
      <c r="J862" t="str">
        <f t="shared" si="147"/>
        <v/>
      </c>
      <c r="K862" t="str">
        <f t="shared" si="148"/>
        <v/>
      </c>
      <c r="L862" t="str">
        <f t="shared" si="149"/>
        <v/>
      </c>
      <c r="M862" t="str">
        <f t="shared" si="150"/>
        <v/>
      </c>
      <c r="N862" t="str">
        <f t="shared" si="151"/>
        <v/>
      </c>
      <c r="O862" t="str">
        <f t="shared" si="152"/>
        <v/>
      </c>
      <c r="P862" t="str">
        <f>IF($A862="","",IF($E862=1,$F862*$O862,PNL!G862))</f>
        <v/>
      </c>
      <c r="T862" t="str">
        <f t="shared" si="153"/>
        <v/>
      </c>
    </row>
    <row r="863" spans="1:20" x14ac:dyDescent="0.45">
      <c r="A863" t="str">
        <f>IF(PNL!A863="","",PNL!A863)</f>
        <v/>
      </c>
      <c r="B863" t="str">
        <f>IF(PNL!B863="","",PNL!B863)</f>
        <v/>
      </c>
      <c r="C863" t="str">
        <f>IF(PNL!C863="","",PNL!C863)</f>
        <v/>
      </c>
      <c r="D863" t="str">
        <f>IF(PNL!D863="","",PNL!D863)</f>
        <v/>
      </c>
      <c r="E863" t="str">
        <f t="shared" si="143"/>
        <v/>
      </c>
      <c r="F863" t="str">
        <f>IF($A863="","",IF($E863=1,SUMIFS(Compta!$F$1:$F$675,Compta!$A$1:$A$675,$A863,Compta!$B$1:$B$675,$B863,Compta!$C$1:$C$675,"2026"),0))</f>
        <v/>
      </c>
      <c r="G863" t="str">
        <f t="shared" si="144"/>
        <v/>
      </c>
      <c r="H863" t="str">
        <f t="shared" si="145"/>
        <v/>
      </c>
      <c r="I863" t="str">
        <f t="shared" si="146"/>
        <v/>
      </c>
      <c r="J863" t="str">
        <f t="shared" si="147"/>
        <v/>
      </c>
      <c r="K863" t="str">
        <f t="shared" si="148"/>
        <v/>
      </c>
      <c r="L863" t="str">
        <f t="shared" si="149"/>
        <v/>
      </c>
      <c r="M863" t="str">
        <f t="shared" si="150"/>
        <v/>
      </c>
      <c r="N863" t="str">
        <f t="shared" si="151"/>
        <v/>
      </c>
      <c r="O863" t="str">
        <f t="shared" si="152"/>
        <v/>
      </c>
      <c r="P863" t="str">
        <f>IF($A863="","",IF($E863=1,$F863*$O863,PNL!G863))</f>
        <v/>
      </c>
      <c r="T863" t="str">
        <f t="shared" si="153"/>
        <v/>
      </c>
    </row>
    <row r="864" spans="1:20" x14ac:dyDescent="0.45">
      <c r="A864" t="str">
        <f>IF(PNL!A864="","",PNL!A864)</f>
        <v/>
      </c>
      <c r="B864" t="str">
        <f>IF(PNL!B864="","",PNL!B864)</f>
        <v/>
      </c>
      <c r="C864" t="str">
        <f>IF(PNL!C864="","",PNL!C864)</f>
        <v/>
      </c>
      <c r="D864" t="str">
        <f>IF(PNL!D864="","",PNL!D864)</f>
        <v/>
      </c>
      <c r="E864" t="str">
        <f t="shared" si="143"/>
        <v/>
      </c>
      <c r="F864" t="str">
        <f>IF($A864="","",IF($E864=1,SUMIFS(Compta!$F$1:$F$675,Compta!$A$1:$A$675,$A864,Compta!$B$1:$B$675,$B864,Compta!$C$1:$C$675,"2026"),0))</f>
        <v/>
      </c>
      <c r="G864" t="str">
        <f t="shared" si="144"/>
        <v/>
      </c>
      <c r="H864" t="str">
        <f t="shared" si="145"/>
        <v/>
      </c>
      <c r="I864" t="str">
        <f t="shared" si="146"/>
        <v/>
      </c>
      <c r="J864" t="str">
        <f t="shared" si="147"/>
        <v/>
      </c>
      <c r="K864" t="str">
        <f t="shared" si="148"/>
        <v/>
      </c>
      <c r="L864" t="str">
        <f t="shared" si="149"/>
        <v/>
      </c>
      <c r="M864" t="str">
        <f t="shared" si="150"/>
        <v/>
      </c>
      <c r="N864" t="str">
        <f t="shared" si="151"/>
        <v/>
      </c>
      <c r="O864" t="str">
        <f t="shared" si="152"/>
        <v/>
      </c>
      <c r="P864" t="str">
        <f>IF($A864="","",IF($E864=1,$F864*$O864,PNL!G864))</f>
        <v/>
      </c>
      <c r="T864" t="str">
        <f t="shared" si="153"/>
        <v/>
      </c>
    </row>
    <row r="865" spans="1:20" x14ac:dyDescent="0.45">
      <c r="A865" t="str">
        <f>IF(PNL!A865="","",PNL!A865)</f>
        <v/>
      </c>
      <c r="B865" t="str">
        <f>IF(PNL!B865="","",PNL!B865)</f>
        <v/>
      </c>
      <c r="C865" t="str">
        <f>IF(PNL!C865="","",PNL!C865)</f>
        <v/>
      </c>
      <c r="D865" t="str">
        <f>IF(PNL!D865="","",PNL!D865)</f>
        <v/>
      </c>
      <c r="E865" t="str">
        <f t="shared" si="143"/>
        <v/>
      </c>
      <c r="F865" t="str">
        <f>IF($A865="","",IF($E865=1,SUMIFS(Compta!$F$1:$F$675,Compta!$A$1:$A$675,$A865,Compta!$B$1:$B$675,$B865,Compta!$C$1:$C$675,"2026"),0))</f>
        <v/>
      </c>
      <c r="G865" t="str">
        <f t="shared" si="144"/>
        <v/>
      </c>
      <c r="H865" t="str">
        <f t="shared" si="145"/>
        <v/>
      </c>
      <c r="I865" t="str">
        <f t="shared" si="146"/>
        <v/>
      </c>
      <c r="J865" t="str">
        <f t="shared" si="147"/>
        <v/>
      </c>
      <c r="K865" t="str">
        <f t="shared" si="148"/>
        <v/>
      </c>
      <c r="L865" t="str">
        <f t="shared" si="149"/>
        <v/>
      </c>
      <c r="M865" t="str">
        <f t="shared" si="150"/>
        <v/>
      </c>
      <c r="N865" t="str">
        <f t="shared" si="151"/>
        <v/>
      </c>
      <c r="O865" t="str">
        <f t="shared" si="152"/>
        <v/>
      </c>
      <c r="P865" t="str">
        <f>IF($A865="","",IF($E865=1,$F865*$O865,PNL!G865))</f>
        <v/>
      </c>
      <c r="T865" t="str">
        <f t="shared" si="153"/>
        <v/>
      </c>
    </row>
    <row r="866" spans="1:20" x14ac:dyDescent="0.45">
      <c r="A866" t="str">
        <f>IF(PNL!A866="","",PNL!A866)</f>
        <v/>
      </c>
      <c r="B866" t="str">
        <f>IF(PNL!B866="","",PNL!B866)</f>
        <v/>
      </c>
      <c r="C866" t="str">
        <f>IF(PNL!C866="","",PNL!C866)</f>
        <v/>
      </c>
      <c r="D866" t="str">
        <f>IF(PNL!D866="","",PNL!D866)</f>
        <v/>
      </c>
      <c r="E866" t="str">
        <f t="shared" si="143"/>
        <v/>
      </c>
      <c r="F866" t="str">
        <f>IF($A866="","",IF($E866=1,SUMIFS(Compta!$F$1:$F$675,Compta!$A$1:$A$675,$A866,Compta!$B$1:$B$675,$B866,Compta!$C$1:$C$675,"2026"),0))</f>
        <v/>
      </c>
      <c r="G866" t="str">
        <f t="shared" si="144"/>
        <v/>
      </c>
      <c r="H866" t="str">
        <f t="shared" si="145"/>
        <v/>
      </c>
      <c r="I866" t="str">
        <f t="shared" si="146"/>
        <v/>
      </c>
      <c r="J866" t="str">
        <f t="shared" si="147"/>
        <v/>
      </c>
      <c r="K866" t="str">
        <f t="shared" si="148"/>
        <v/>
      </c>
      <c r="L866" t="str">
        <f t="shared" si="149"/>
        <v/>
      </c>
      <c r="M866" t="str">
        <f t="shared" si="150"/>
        <v/>
      </c>
      <c r="N866" t="str">
        <f t="shared" si="151"/>
        <v/>
      </c>
      <c r="O866" t="str">
        <f t="shared" si="152"/>
        <v/>
      </c>
      <c r="P866" t="str">
        <f>IF($A866="","",IF($E866=1,$F866*$O866,PNL!G866))</f>
        <v/>
      </c>
      <c r="T866" t="str">
        <f t="shared" si="153"/>
        <v/>
      </c>
    </row>
    <row r="867" spans="1:20" x14ac:dyDescent="0.45">
      <c r="A867" t="str">
        <f>IF(PNL!A867="","",PNL!A867)</f>
        <v/>
      </c>
      <c r="B867" t="str">
        <f>IF(PNL!B867="","",PNL!B867)</f>
        <v/>
      </c>
      <c r="C867" t="str">
        <f>IF(PNL!C867="","",PNL!C867)</f>
        <v/>
      </c>
      <c r="D867" t="str">
        <f>IF(PNL!D867="","",PNL!D867)</f>
        <v/>
      </c>
      <c r="E867" t="str">
        <f t="shared" si="143"/>
        <v/>
      </c>
      <c r="F867" t="str">
        <f>IF($A867="","",IF($E867=1,SUMIFS(Compta!$F$1:$F$675,Compta!$A$1:$A$675,$A867,Compta!$B$1:$B$675,$B867,Compta!$C$1:$C$675,"2026"),0))</f>
        <v/>
      </c>
      <c r="G867" t="str">
        <f t="shared" si="144"/>
        <v/>
      </c>
      <c r="H867" t="str">
        <f t="shared" si="145"/>
        <v/>
      </c>
      <c r="I867" t="str">
        <f t="shared" si="146"/>
        <v/>
      </c>
      <c r="J867" t="str">
        <f t="shared" si="147"/>
        <v/>
      </c>
      <c r="K867" t="str">
        <f t="shared" si="148"/>
        <v/>
      </c>
      <c r="L867" t="str">
        <f t="shared" si="149"/>
        <v/>
      </c>
      <c r="M867" t="str">
        <f t="shared" si="150"/>
        <v/>
      </c>
      <c r="N867" t="str">
        <f t="shared" si="151"/>
        <v/>
      </c>
      <c r="O867" t="str">
        <f t="shared" si="152"/>
        <v/>
      </c>
      <c r="P867" t="str">
        <f>IF($A867="","",IF($E867=1,$F867*$O867,PNL!G867))</f>
        <v/>
      </c>
      <c r="T867" t="str">
        <f t="shared" si="153"/>
        <v/>
      </c>
    </row>
    <row r="868" spans="1:20" x14ac:dyDescent="0.45">
      <c r="A868" t="str">
        <f>IF(PNL!A868="","",PNL!A868)</f>
        <v/>
      </c>
      <c r="B868" t="str">
        <f>IF(PNL!B868="","",PNL!B868)</f>
        <v/>
      </c>
      <c r="C868" t="str">
        <f>IF(PNL!C868="","",PNL!C868)</f>
        <v/>
      </c>
      <c r="D868" t="str">
        <f>IF(PNL!D868="","",PNL!D868)</f>
        <v/>
      </c>
      <c r="E868" t="str">
        <f t="shared" si="143"/>
        <v/>
      </c>
      <c r="F868" t="str">
        <f>IF($A868="","",IF($E868=1,SUMIFS(Compta!$F$1:$F$675,Compta!$A$1:$A$675,$A868,Compta!$B$1:$B$675,$B868,Compta!$C$1:$C$675,"2026"),0))</f>
        <v/>
      </c>
      <c r="G868" t="str">
        <f t="shared" si="144"/>
        <v/>
      </c>
      <c r="H868" t="str">
        <f t="shared" si="145"/>
        <v/>
      </c>
      <c r="I868" t="str">
        <f t="shared" si="146"/>
        <v/>
      </c>
      <c r="J868" t="str">
        <f t="shared" si="147"/>
        <v/>
      </c>
      <c r="K868" t="str">
        <f t="shared" si="148"/>
        <v/>
      </c>
      <c r="L868" t="str">
        <f t="shared" si="149"/>
        <v/>
      </c>
      <c r="M868" t="str">
        <f t="shared" si="150"/>
        <v/>
      </c>
      <c r="N868" t="str">
        <f t="shared" si="151"/>
        <v/>
      </c>
      <c r="O868" t="str">
        <f t="shared" si="152"/>
        <v/>
      </c>
      <c r="P868" t="str">
        <f>IF($A868="","",IF($E868=1,$F868*$O868,PNL!G868))</f>
        <v/>
      </c>
      <c r="T868" t="str">
        <f t="shared" si="153"/>
        <v/>
      </c>
    </row>
    <row r="869" spans="1:20" x14ac:dyDescent="0.45">
      <c r="A869" t="str">
        <f>IF(PNL!A869="","",PNL!A869)</f>
        <v/>
      </c>
      <c r="B869" t="str">
        <f>IF(PNL!B869="","",PNL!B869)</f>
        <v/>
      </c>
      <c r="C869" t="str">
        <f>IF(PNL!C869="","",PNL!C869)</f>
        <v/>
      </c>
      <c r="D869" t="str">
        <f>IF(PNL!D869="","",PNL!D869)</f>
        <v/>
      </c>
      <c r="E869" t="str">
        <f t="shared" si="143"/>
        <v/>
      </c>
      <c r="F869" t="str">
        <f>IF($A869="","",IF($E869=1,SUMIFS(Compta!$F$1:$F$675,Compta!$A$1:$A$675,$A869,Compta!$B$1:$B$675,$B869,Compta!$C$1:$C$675,"2026"),0))</f>
        <v/>
      </c>
      <c r="G869" t="str">
        <f t="shared" si="144"/>
        <v/>
      </c>
      <c r="H869" t="str">
        <f t="shared" si="145"/>
        <v/>
      </c>
      <c r="I869" t="str">
        <f t="shared" si="146"/>
        <v/>
      </c>
      <c r="J869" t="str">
        <f t="shared" si="147"/>
        <v/>
      </c>
      <c r="K869" t="str">
        <f t="shared" si="148"/>
        <v/>
      </c>
      <c r="L869" t="str">
        <f t="shared" si="149"/>
        <v/>
      </c>
      <c r="M869" t="str">
        <f t="shared" si="150"/>
        <v/>
      </c>
      <c r="N869" t="str">
        <f t="shared" si="151"/>
        <v/>
      </c>
      <c r="O869" t="str">
        <f t="shared" si="152"/>
        <v/>
      </c>
      <c r="P869" t="str">
        <f>IF($A869="","",IF($E869=1,$F869*$O869,PNL!G869))</f>
        <v/>
      </c>
      <c r="T869" t="str">
        <f t="shared" si="153"/>
        <v/>
      </c>
    </row>
    <row r="870" spans="1:20" x14ac:dyDescent="0.45">
      <c r="A870" t="str">
        <f>IF(PNL!A870="","",PNL!A870)</f>
        <v/>
      </c>
      <c r="B870" t="str">
        <f>IF(PNL!B870="","",PNL!B870)</f>
        <v/>
      </c>
      <c r="C870" t="str">
        <f>IF(PNL!C870="","",PNL!C870)</f>
        <v/>
      </c>
      <c r="D870" t="str">
        <f>IF(PNL!D870="","",PNL!D870)</f>
        <v/>
      </c>
      <c r="E870" t="str">
        <f t="shared" si="143"/>
        <v/>
      </c>
      <c r="F870" t="str">
        <f>IF($A870="","",IF($E870=1,SUMIFS(Compta!$F$1:$F$675,Compta!$A$1:$A$675,$A870,Compta!$B$1:$B$675,$B870,Compta!$C$1:$C$675,"2026"),0))</f>
        <v/>
      </c>
      <c r="G870" t="str">
        <f t="shared" si="144"/>
        <v/>
      </c>
      <c r="H870" t="str">
        <f t="shared" si="145"/>
        <v/>
      </c>
      <c r="I870" t="str">
        <f t="shared" si="146"/>
        <v/>
      </c>
      <c r="J870" t="str">
        <f t="shared" si="147"/>
        <v/>
      </c>
      <c r="K870" t="str">
        <f t="shared" si="148"/>
        <v/>
      </c>
      <c r="L870" t="str">
        <f t="shared" si="149"/>
        <v/>
      </c>
      <c r="M870" t="str">
        <f t="shared" si="150"/>
        <v/>
      </c>
      <c r="N870" t="str">
        <f t="shared" si="151"/>
        <v/>
      </c>
      <c r="O870" t="str">
        <f t="shared" si="152"/>
        <v/>
      </c>
      <c r="P870" t="str">
        <f>IF($A870="","",IF($E870=1,$F870*$O870,PNL!G870))</f>
        <v/>
      </c>
      <c r="T870" t="str">
        <f t="shared" si="153"/>
        <v/>
      </c>
    </row>
    <row r="871" spans="1:20" x14ac:dyDescent="0.45">
      <c r="A871" t="str">
        <f>IF(PNL!A871="","",PNL!A871)</f>
        <v/>
      </c>
      <c r="B871" t="str">
        <f>IF(PNL!B871="","",PNL!B871)</f>
        <v/>
      </c>
      <c r="C871" t="str">
        <f>IF(PNL!C871="","",PNL!C871)</f>
        <v/>
      </c>
      <c r="D871" t="str">
        <f>IF(PNL!D871="","",PNL!D871)</f>
        <v/>
      </c>
      <c r="E871" t="str">
        <f t="shared" si="143"/>
        <v/>
      </c>
      <c r="F871" t="str">
        <f>IF($A871="","",IF($E871=1,SUMIFS(Compta!$F$1:$F$675,Compta!$A$1:$A$675,$A871,Compta!$B$1:$B$675,$B871,Compta!$C$1:$C$675,"2026"),0))</f>
        <v/>
      </c>
      <c r="G871" t="str">
        <f t="shared" si="144"/>
        <v/>
      </c>
      <c r="H871" t="str">
        <f t="shared" si="145"/>
        <v/>
      </c>
      <c r="I871" t="str">
        <f t="shared" si="146"/>
        <v/>
      </c>
      <c r="J871" t="str">
        <f t="shared" si="147"/>
        <v/>
      </c>
      <c r="K871" t="str">
        <f t="shared" si="148"/>
        <v/>
      </c>
      <c r="L871" t="str">
        <f t="shared" si="149"/>
        <v/>
      </c>
      <c r="M871" t="str">
        <f t="shared" si="150"/>
        <v/>
      </c>
      <c r="N871" t="str">
        <f t="shared" si="151"/>
        <v/>
      </c>
      <c r="O871" t="str">
        <f t="shared" si="152"/>
        <v/>
      </c>
      <c r="P871" t="str">
        <f>IF($A871="","",IF($E871=1,$F871*$O871,PNL!G871))</f>
        <v/>
      </c>
      <c r="T871" t="str">
        <f t="shared" si="153"/>
        <v/>
      </c>
    </row>
    <row r="872" spans="1:20" x14ac:dyDescent="0.45">
      <c r="A872" t="str">
        <f>IF(PNL!A872="","",PNL!A872)</f>
        <v/>
      </c>
      <c r="B872" t="str">
        <f>IF(PNL!B872="","",PNL!B872)</f>
        <v/>
      </c>
      <c r="C872" t="str">
        <f>IF(PNL!C872="","",PNL!C872)</f>
        <v/>
      </c>
      <c r="D872" t="str">
        <f>IF(PNL!D872="","",PNL!D872)</f>
        <v/>
      </c>
      <c r="E872" t="str">
        <f t="shared" si="143"/>
        <v/>
      </c>
      <c r="F872" t="str">
        <f>IF($A872="","",IF($E872=1,SUMIFS(Compta!$F$1:$F$675,Compta!$A$1:$A$675,$A872,Compta!$B$1:$B$675,$B872,Compta!$C$1:$C$675,"2026"),0))</f>
        <v/>
      </c>
      <c r="G872" t="str">
        <f t="shared" si="144"/>
        <v/>
      </c>
      <c r="H872" t="str">
        <f t="shared" si="145"/>
        <v/>
      </c>
      <c r="I872" t="str">
        <f t="shared" si="146"/>
        <v/>
      </c>
      <c r="J872" t="str">
        <f t="shared" si="147"/>
        <v/>
      </c>
      <c r="K872" t="str">
        <f t="shared" si="148"/>
        <v/>
      </c>
      <c r="L872" t="str">
        <f t="shared" si="149"/>
        <v/>
      </c>
      <c r="M872" t="str">
        <f t="shared" si="150"/>
        <v/>
      </c>
      <c r="N872" t="str">
        <f t="shared" si="151"/>
        <v/>
      </c>
      <c r="O872" t="str">
        <f t="shared" si="152"/>
        <v/>
      </c>
      <c r="P872" t="str">
        <f>IF($A872="","",IF($E872=1,$F872*$O872,PNL!G872))</f>
        <v/>
      </c>
      <c r="T872" t="str">
        <f t="shared" si="153"/>
        <v/>
      </c>
    </row>
    <row r="873" spans="1:20" x14ac:dyDescent="0.45">
      <c r="A873" t="str">
        <f>IF(PNL!A873="","",PNL!A873)</f>
        <v/>
      </c>
      <c r="B873" t="str">
        <f>IF(PNL!B873="","",PNL!B873)</f>
        <v/>
      </c>
      <c r="C873" t="str">
        <f>IF(PNL!C873="","",PNL!C873)</f>
        <v/>
      </c>
      <c r="D873" t="str">
        <f>IF(PNL!D873="","",PNL!D873)</f>
        <v/>
      </c>
      <c r="E873" t="str">
        <f t="shared" si="143"/>
        <v/>
      </c>
      <c r="F873" t="str">
        <f>IF($A873="","",IF($E873=1,SUMIFS(Compta!$F$1:$F$675,Compta!$A$1:$A$675,$A873,Compta!$B$1:$B$675,$B873,Compta!$C$1:$C$675,"2026"),0))</f>
        <v/>
      </c>
      <c r="G873" t="str">
        <f t="shared" si="144"/>
        <v/>
      </c>
      <c r="H873" t="str">
        <f t="shared" si="145"/>
        <v/>
      </c>
      <c r="I873" t="str">
        <f t="shared" si="146"/>
        <v/>
      </c>
      <c r="J873" t="str">
        <f t="shared" si="147"/>
        <v/>
      </c>
      <c r="K873" t="str">
        <f t="shared" si="148"/>
        <v/>
      </c>
      <c r="L873" t="str">
        <f t="shared" si="149"/>
        <v/>
      </c>
      <c r="M873" t="str">
        <f t="shared" si="150"/>
        <v/>
      </c>
      <c r="N873" t="str">
        <f t="shared" si="151"/>
        <v/>
      </c>
      <c r="O873" t="str">
        <f t="shared" si="152"/>
        <v/>
      </c>
      <c r="P873" t="str">
        <f>IF($A873="","",IF($E873=1,$F873*$O873,PNL!G873))</f>
        <v/>
      </c>
      <c r="T873" t="str">
        <f t="shared" si="153"/>
        <v/>
      </c>
    </row>
    <row r="874" spans="1:20" x14ac:dyDescent="0.45">
      <c r="A874" t="str">
        <f>IF(PNL!A874="","",PNL!A874)</f>
        <v/>
      </c>
      <c r="B874" t="str">
        <f>IF(PNL!B874="","",PNL!B874)</f>
        <v/>
      </c>
      <c r="C874" t="str">
        <f>IF(PNL!C874="","",PNL!C874)</f>
        <v/>
      </c>
      <c r="D874" t="str">
        <f>IF(PNL!D874="","",PNL!D874)</f>
        <v/>
      </c>
      <c r="E874" t="str">
        <f t="shared" si="143"/>
        <v/>
      </c>
      <c r="F874" t="str">
        <f>IF($A874="","",IF($E874=1,SUMIFS(Compta!$F$1:$F$675,Compta!$A$1:$A$675,$A874,Compta!$B$1:$B$675,$B874,Compta!$C$1:$C$675,"2026"),0))</f>
        <v/>
      </c>
      <c r="G874" t="str">
        <f t="shared" si="144"/>
        <v/>
      </c>
      <c r="H874" t="str">
        <f t="shared" si="145"/>
        <v/>
      </c>
      <c r="I874" t="str">
        <f t="shared" si="146"/>
        <v/>
      </c>
      <c r="J874" t="str">
        <f t="shared" si="147"/>
        <v/>
      </c>
      <c r="K874" t="str">
        <f t="shared" si="148"/>
        <v/>
      </c>
      <c r="L874" t="str">
        <f t="shared" si="149"/>
        <v/>
      </c>
      <c r="M874" t="str">
        <f t="shared" si="150"/>
        <v/>
      </c>
      <c r="N874" t="str">
        <f t="shared" si="151"/>
        <v/>
      </c>
      <c r="O874" t="str">
        <f t="shared" si="152"/>
        <v/>
      </c>
      <c r="P874" t="str">
        <f>IF($A874="","",IF($E874=1,$F874*$O874,PNL!G874))</f>
        <v/>
      </c>
      <c r="T874" t="str">
        <f t="shared" si="153"/>
        <v/>
      </c>
    </row>
    <row r="875" spans="1:20" x14ac:dyDescent="0.45">
      <c r="A875" t="str">
        <f>IF(PNL!A875="","",PNL!A875)</f>
        <v/>
      </c>
      <c r="B875" t="str">
        <f>IF(PNL!B875="","",PNL!B875)</f>
        <v/>
      </c>
      <c r="C875" t="str">
        <f>IF(PNL!C875="","",PNL!C875)</f>
        <v/>
      </c>
      <c r="D875" t="str">
        <f>IF(PNL!D875="","",PNL!D875)</f>
        <v/>
      </c>
      <c r="E875" t="str">
        <f t="shared" si="143"/>
        <v/>
      </c>
      <c r="F875" t="str">
        <f>IF($A875="","",IF($E875=1,SUMIFS(Compta!$F$1:$F$675,Compta!$A$1:$A$675,$A875,Compta!$B$1:$B$675,$B875,Compta!$C$1:$C$675,"2026"),0))</f>
        <v/>
      </c>
      <c r="G875" t="str">
        <f t="shared" si="144"/>
        <v/>
      </c>
      <c r="H875" t="str">
        <f t="shared" si="145"/>
        <v/>
      </c>
      <c r="I875" t="str">
        <f t="shared" si="146"/>
        <v/>
      </c>
      <c r="J875" t="str">
        <f t="shared" si="147"/>
        <v/>
      </c>
      <c r="K875" t="str">
        <f t="shared" si="148"/>
        <v/>
      </c>
      <c r="L875" t="str">
        <f t="shared" si="149"/>
        <v/>
      </c>
      <c r="M875" t="str">
        <f t="shared" si="150"/>
        <v/>
      </c>
      <c r="N875" t="str">
        <f t="shared" si="151"/>
        <v/>
      </c>
      <c r="O875" t="str">
        <f t="shared" si="152"/>
        <v/>
      </c>
      <c r="P875" t="str">
        <f>IF($A875="","",IF($E875=1,$F875*$O875,PNL!G875))</f>
        <v/>
      </c>
      <c r="T875" t="str">
        <f t="shared" si="153"/>
        <v/>
      </c>
    </row>
    <row r="876" spans="1:20" x14ac:dyDescent="0.45">
      <c r="A876" t="str">
        <f>IF(PNL!A876="","",PNL!A876)</f>
        <v/>
      </c>
      <c r="B876" t="str">
        <f>IF(PNL!B876="","",PNL!B876)</f>
        <v/>
      </c>
      <c r="C876" t="str">
        <f>IF(PNL!C876="","",PNL!C876)</f>
        <v/>
      </c>
      <c r="D876" t="str">
        <f>IF(PNL!D876="","",PNL!D876)</f>
        <v/>
      </c>
      <c r="E876" t="str">
        <f t="shared" si="143"/>
        <v/>
      </c>
      <c r="F876" t="str">
        <f>IF($A876="","",IF($E876=1,SUMIFS(Compta!$F$1:$F$675,Compta!$A$1:$A$675,$A876,Compta!$B$1:$B$675,$B876,Compta!$C$1:$C$675,"2026"),0))</f>
        <v/>
      </c>
      <c r="G876" t="str">
        <f t="shared" si="144"/>
        <v/>
      </c>
      <c r="H876" t="str">
        <f t="shared" si="145"/>
        <v/>
      </c>
      <c r="I876" t="str">
        <f t="shared" si="146"/>
        <v/>
      </c>
      <c r="J876" t="str">
        <f t="shared" si="147"/>
        <v/>
      </c>
      <c r="K876" t="str">
        <f t="shared" si="148"/>
        <v/>
      </c>
      <c r="L876" t="str">
        <f t="shared" si="149"/>
        <v/>
      </c>
      <c r="M876" t="str">
        <f t="shared" si="150"/>
        <v/>
      </c>
      <c r="N876" t="str">
        <f t="shared" si="151"/>
        <v/>
      </c>
      <c r="O876" t="str">
        <f t="shared" si="152"/>
        <v/>
      </c>
      <c r="P876" t="str">
        <f>IF($A876="","",IF($E876=1,$F876*$O876,PNL!G876))</f>
        <v/>
      </c>
      <c r="T876" t="str">
        <f t="shared" si="153"/>
        <v/>
      </c>
    </row>
    <row r="877" spans="1:20" x14ac:dyDescent="0.45">
      <c r="A877" t="str">
        <f>IF(PNL!A877="","",PNL!A877)</f>
        <v/>
      </c>
      <c r="B877" t="str">
        <f>IF(PNL!B877="","",PNL!B877)</f>
        <v/>
      </c>
      <c r="C877" t="str">
        <f>IF(PNL!C877="","",PNL!C877)</f>
        <v/>
      </c>
      <c r="D877" t="str">
        <f>IF(PNL!D877="","",PNL!D877)</f>
        <v/>
      </c>
      <c r="E877" t="str">
        <f t="shared" si="143"/>
        <v/>
      </c>
      <c r="F877" t="str">
        <f>IF($A877="","",IF($E877=1,SUMIFS(Compta!$F$1:$F$675,Compta!$A$1:$A$675,$A877,Compta!$B$1:$B$675,$B877,Compta!$C$1:$C$675,"2026"),0))</f>
        <v/>
      </c>
      <c r="G877" t="str">
        <f t="shared" si="144"/>
        <v/>
      </c>
      <c r="H877" t="str">
        <f t="shared" si="145"/>
        <v/>
      </c>
      <c r="I877" t="str">
        <f t="shared" si="146"/>
        <v/>
      </c>
      <c r="J877" t="str">
        <f t="shared" si="147"/>
        <v/>
      </c>
      <c r="K877" t="str">
        <f t="shared" si="148"/>
        <v/>
      </c>
      <c r="L877" t="str">
        <f t="shared" si="149"/>
        <v/>
      </c>
      <c r="M877" t="str">
        <f t="shared" si="150"/>
        <v/>
      </c>
      <c r="N877" t="str">
        <f t="shared" si="151"/>
        <v/>
      </c>
      <c r="O877" t="str">
        <f t="shared" si="152"/>
        <v/>
      </c>
      <c r="P877" t="str">
        <f>IF($A877="","",IF($E877=1,$F877*$O877,PNL!G877))</f>
        <v/>
      </c>
      <c r="T877" t="str">
        <f t="shared" si="153"/>
        <v/>
      </c>
    </row>
    <row r="878" spans="1:20" x14ac:dyDescent="0.45">
      <c r="A878" t="str">
        <f>IF(PNL!A878="","",PNL!A878)</f>
        <v/>
      </c>
      <c r="B878" t="str">
        <f>IF(PNL!B878="","",PNL!B878)</f>
        <v/>
      </c>
      <c r="C878" t="str">
        <f>IF(PNL!C878="","",PNL!C878)</f>
        <v/>
      </c>
      <c r="D878" t="str">
        <f>IF(PNL!D878="","",PNL!D878)</f>
        <v/>
      </c>
      <c r="E878" t="str">
        <f t="shared" si="143"/>
        <v/>
      </c>
      <c r="F878" t="str">
        <f>IF($A878="","",IF($E878=1,SUMIFS(Compta!$F$1:$F$675,Compta!$A$1:$A$675,$A878,Compta!$B$1:$B$675,$B878,Compta!$C$1:$C$675,"2026"),0))</f>
        <v/>
      </c>
      <c r="G878" t="str">
        <f t="shared" si="144"/>
        <v/>
      </c>
      <c r="H878" t="str">
        <f t="shared" si="145"/>
        <v/>
      </c>
      <c r="I878" t="str">
        <f t="shared" si="146"/>
        <v/>
      </c>
      <c r="J878" t="str">
        <f t="shared" si="147"/>
        <v/>
      </c>
      <c r="K878" t="str">
        <f t="shared" si="148"/>
        <v/>
      </c>
      <c r="L878" t="str">
        <f t="shared" si="149"/>
        <v/>
      </c>
      <c r="M878" t="str">
        <f t="shared" si="150"/>
        <v/>
      </c>
      <c r="N878" t="str">
        <f t="shared" si="151"/>
        <v/>
      </c>
      <c r="O878" t="str">
        <f t="shared" si="152"/>
        <v/>
      </c>
      <c r="P878" t="str">
        <f>IF($A878="","",IF($E878=1,$F878*$O878,PNL!G878))</f>
        <v/>
      </c>
      <c r="T878" t="str">
        <f t="shared" si="153"/>
        <v/>
      </c>
    </row>
    <row r="879" spans="1:20" x14ac:dyDescent="0.45">
      <c r="A879" t="str">
        <f>IF(PNL!A879="","",PNL!A879)</f>
        <v/>
      </c>
      <c r="B879" t="str">
        <f>IF(PNL!B879="","",PNL!B879)</f>
        <v/>
      </c>
      <c r="C879" t="str">
        <f>IF(PNL!C879="","",PNL!C879)</f>
        <v/>
      </c>
      <c r="D879" t="str">
        <f>IF(PNL!D879="","",PNL!D879)</f>
        <v/>
      </c>
      <c r="E879" t="str">
        <f t="shared" si="143"/>
        <v/>
      </c>
      <c r="F879" t="str">
        <f>IF($A879="","",IF($E879=1,SUMIFS(Compta!$F$1:$F$675,Compta!$A$1:$A$675,$A879,Compta!$B$1:$B$675,$B879,Compta!$C$1:$C$675,"2026"),0))</f>
        <v/>
      </c>
      <c r="G879" t="str">
        <f t="shared" si="144"/>
        <v/>
      </c>
      <c r="H879" t="str">
        <f t="shared" si="145"/>
        <v/>
      </c>
      <c r="I879" t="str">
        <f t="shared" si="146"/>
        <v/>
      </c>
      <c r="J879" t="str">
        <f t="shared" si="147"/>
        <v/>
      </c>
      <c r="K879" t="str">
        <f t="shared" si="148"/>
        <v/>
      </c>
      <c r="L879" t="str">
        <f t="shared" si="149"/>
        <v/>
      </c>
      <c r="M879" t="str">
        <f t="shared" si="150"/>
        <v/>
      </c>
      <c r="N879" t="str">
        <f t="shared" si="151"/>
        <v/>
      </c>
      <c r="O879" t="str">
        <f t="shared" si="152"/>
        <v/>
      </c>
      <c r="P879" t="str">
        <f>IF($A879="","",IF($E879=1,$F879*$O879,PNL!G879))</f>
        <v/>
      </c>
      <c r="T879" t="str">
        <f t="shared" si="153"/>
        <v/>
      </c>
    </row>
    <row r="880" spans="1:20" x14ac:dyDescent="0.45">
      <c r="A880" t="str">
        <f>IF(PNL!A880="","",PNL!A880)</f>
        <v/>
      </c>
      <c r="B880" t="str">
        <f>IF(PNL!B880="","",PNL!B880)</f>
        <v/>
      </c>
      <c r="C880" t="str">
        <f>IF(PNL!C880="","",PNL!C880)</f>
        <v/>
      </c>
      <c r="D880" t="str">
        <f>IF(PNL!D880="","",PNL!D880)</f>
        <v/>
      </c>
      <c r="E880" t="str">
        <f t="shared" si="143"/>
        <v/>
      </c>
      <c r="F880" t="str">
        <f>IF($A880="","",IF($E880=1,SUMIFS(Compta!$F$1:$F$675,Compta!$A$1:$A$675,$A880,Compta!$B$1:$B$675,$B880,Compta!$C$1:$C$675,"2026"),0))</f>
        <v/>
      </c>
      <c r="G880" t="str">
        <f t="shared" si="144"/>
        <v/>
      </c>
      <c r="H880" t="str">
        <f t="shared" si="145"/>
        <v/>
      </c>
      <c r="I880" t="str">
        <f t="shared" si="146"/>
        <v/>
      </c>
      <c r="J880" t="str">
        <f t="shared" si="147"/>
        <v/>
      </c>
      <c r="K880" t="str">
        <f t="shared" si="148"/>
        <v/>
      </c>
      <c r="L880" t="str">
        <f t="shared" si="149"/>
        <v/>
      </c>
      <c r="M880" t="str">
        <f t="shared" si="150"/>
        <v/>
      </c>
      <c r="N880" t="str">
        <f t="shared" si="151"/>
        <v/>
      </c>
      <c r="O880" t="str">
        <f t="shared" si="152"/>
        <v/>
      </c>
      <c r="P880" t="str">
        <f>IF($A880="","",IF($E880=1,$F880*$O880,PNL!G880))</f>
        <v/>
      </c>
      <c r="T880" t="str">
        <f t="shared" si="153"/>
        <v/>
      </c>
    </row>
    <row r="881" spans="1:20" x14ac:dyDescent="0.45">
      <c r="A881" t="str">
        <f>IF(PNL!A881="","",PNL!A881)</f>
        <v/>
      </c>
      <c r="B881" t="str">
        <f>IF(PNL!B881="","",PNL!B881)</f>
        <v/>
      </c>
      <c r="C881" t="str">
        <f>IF(PNL!C881="","",PNL!C881)</f>
        <v/>
      </c>
      <c r="D881" t="str">
        <f>IF(PNL!D881="","",PNL!D881)</f>
        <v/>
      </c>
      <c r="E881" t="str">
        <f t="shared" si="143"/>
        <v/>
      </c>
      <c r="F881" t="str">
        <f>IF($A881="","",IF($E881=1,SUMIFS(Compta!$F$1:$F$675,Compta!$A$1:$A$675,$A881,Compta!$B$1:$B$675,$B881,Compta!$C$1:$C$675,"2026"),0))</f>
        <v/>
      </c>
      <c r="G881" t="str">
        <f t="shared" si="144"/>
        <v/>
      </c>
      <c r="H881" t="str">
        <f t="shared" si="145"/>
        <v/>
      </c>
      <c r="I881" t="str">
        <f t="shared" si="146"/>
        <v/>
      </c>
      <c r="J881" t="str">
        <f t="shared" si="147"/>
        <v/>
      </c>
      <c r="K881" t="str">
        <f t="shared" si="148"/>
        <v/>
      </c>
      <c r="L881" t="str">
        <f t="shared" si="149"/>
        <v/>
      </c>
      <c r="M881" t="str">
        <f t="shared" si="150"/>
        <v/>
      </c>
      <c r="N881" t="str">
        <f t="shared" si="151"/>
        <v/>
      </c>
      <c r="O881" t="str">
        <f t="shared" si="152"/>
        <v/>
      </c>
      <c r="P881" t="str">
        <f>IF($A881="","",IF($E881=1,$F881*$O881,PNL!G881))</f>
        <v/>
      </c>
      <c r="T881" t="str">
        <f t="shared" si="153"/>
        <v/>
      </c>
    </row>
    <row r="882" spans="1:20" x14ac:dyDescent="0.45">
      <c r="A882" t="str">
        <f>IF(PNL!A882="","",PNL!A882)</f>
        <v/>
      </c>
      <c r="B882" t="str">
        <f>IF(PNL!B882="","",PNL!B882)</f>
        <v/>
      </c>
      <c r="C882" t="str">
        <f>IF(PNL!C882="","",PNL!C882)</f>
        <v/>
      </c>
      <c r="D882" t="str">
        <f>IF(PNL!D882="","",PNL!D882)</f>
        <v/>
      </c>
      <c r="E882" t="str">
        <f t="shared" si="143"/>
        <v/>
      </c>
      <c r="F882" t="str">
        <f>IF($A882="","",IF($E882=1,SUMIFS(Compta!$F$1:$F$675,Compta!$A$1:$A$675,$A882,Compta!$B$1:$B$675,$B882,Compta!$C$1:$C$675,"2026"),0))</f>
        <v/>
      </c>
      <c r="G882" t="str">
        <f t="shared" si="144"/>
        <v/>
      </c>
      <c r="H882" t="str">
        <f t="shared" si="145"/>
        <v/>
      </c>
      <c r="I882" t="str">
        <f t="shared" si="146"/>
        <v/>
      </c>
      <c r="J882" t="str">
        <f t="shared" si="147"/>
        <v/>
      </c>
      <c r="K882" t="str">
        <f t="shared" si="148"/>
        <v/>
      </c>
      <c r="L882" t="str">
        <f t="shared" si="149"/>
        <v/>
      </c>
      <c r="M882" t="str">
        <f t="shared" si="150"/>
        <v/>
      </c>
      <c r="N882" t="str">
        <f t="shared" si="151"/>
        <v/>
      </c>
      <c r="O882" t="str">
        <f t="shared" si="152"/>
        <v/>
      </c>
      <c r="P882" t="str">
        <f>IF($A882="","",IF($E882=1,$F882*$O882,PNL!G882))</f>
        <v/>
      </c>
      <c r="T882" t="str">
        <f t="shared" si="153"/>
        <v/>
      </c>
    </row>
    <row r="883" spans="1:20" x14ac:dyDescent="0.45">
      <c r="A883" t="str">
        <f>IF(PNL!A883="","",PNL!A883)</f>
        <v/>
      </c>
      <c r="B883" t="str">
        <f>IF(PNL!B883="","",PNL!B883)</f>
        <v/>
      </c>
      <c r="C883" t="str">
        <f>IF(PNL!C883="","",PNL!C883)</f>
        <v/>
      </c>
      <c r="D883" t="str">
        <f>IF(PNL!D883="","",PNL!D883)</f>
        <v/>
      </c>
      <c r="E883" t="str">
        <f t="shared" si="143"/>
        <v/>
      </c>
      <c r="F883" t="str">
        <f>IF($A883="","",IF($E883=1,SUMIFS(Compta!$F$1:$F$675,Compta!$A$1:$A$675,$A883,Compta!$B$1:$B$675,$B883,Compta!$C$1:$C$675,"2026"),0))</f>
        <v/>
      </c>
      <c r="G883" t="str">
        <f t="shared" si="144"/>
        <v/>
      </c>
      <c r="H883" t="str">
        <f t="shared" si="145"/>
        <v/>
      </c>
      <c r="I883" t="str">
        <f t="shared" si="146"/>
        <v/>
      </c>
      <c r="J883" t="str">
        <f t="shared" si="147"/>
        <v/>
      </c>
      <c r="K883" t="str">
        <f t="shared" si="148"/>
        <v/>
      </c>
      <c r="L883" t="str">
        <f t="shared" si="149"/>
        <v/>
      </c>
      <c r="M883" t="str">
        <f t="shared" si="150"/>
        <v/>
      </c>
      <c r="N883" t="str">
        <f t="shared" si="151"/>
        <v/>
      </c>
      <c r="O883" t="str">
        <f t="shared" si="152"/>
        <v/>
      </c>
      <c r="P883" t="str">
        <f>IF($A883="","",IF($E883=1,$F883*$O883,PNL!G883))</f>
        <v/>
      </c>
      <c r="T883" t="str">
        <f t="shared" si="153"/>
        <v/>
      </c>
    </row>
    <row r="884" spans="1:20" x14ac:dyDescent="0.45">
      <c r="A884" t="str">
        <f>IF(PNL!A884="","",PNL!A884)</f>
        <v/>
      </c>
      <c r="B884" t="str">
        <f>IF(PNL!B884="","",PNL!B884)</f>
        <v/>
      </c>
      <c r="C884" t="str">
        <f>IF(PNL!C884="","",PNL!C884)</f>
        <v/>
      </c>
      <c r="D884" t="str">
        <f>IF(PNL!D884="","",PNL!D884)</f>
        <v/>
      </c>
      <c r="E884" t="str">
        <f t="shared" si="143"/>
        <v/>
      </c>
      <c r="F884" t="str">
        <f>IF($A884="","",IF($E884=1,SUMIFS(Compta!$F$1:$F$675,Compta!$A$1:$A$675,$A884,Compta!$B$1:$B$675,$B884,Compta!$C$1:$C$675,"2026"),0))</f>
        <v/>
      </c>
      <c r="G884" t="str">
        <f t="shared" si="144"/>
        <v/>
      </c>
      <c r="H884" t="str">
        <f t="shared" si="145"/>
        <v/>
      </c>
      <c r="I884" t="str">
        <f t="shared" si="146"/>
        <v/>
      </c>
      <c r="J884" t="str">
        <f t="shared" si="147"/>
        <v/>
      </c>
      <c r="K884" t="str">
        <f t="shared" si="148"/>
        <v/>
      </c>
      <c r="L884" t="str">
        <f t="shared" si="149"/>
        <v/>
      </c>
      <c r="M884" t="str">
        <f t="shared" si="150"/>
        <v/>
      </c>
      <c r="N884" t="str">
        <f t="shared" si="151"/>
        <v/>
      </c>
      <c r="O884" t="str">
        <f t="shared" si="152"/>
        <v/>
      </c>
      <c r="P884" t="str">
        <f>IF($A884="","",IF($E884=1,$F884*$O884,PNL!G884))</f>
        <v/>
      </c>
      <c r="T884" t="str">
        <f t="shared" si="153"/>
        <v/>
      </c>
    </row>
    <row r="885" spans="1:20" x14ac:dyDescent="0.45">
      <c r="A885" t="str">
        <f>IF(PNL!A885="","",PNL!A885)</f>
        <v/>
      </c>
      <c r="B885" t="str">
        <f>IF(PNL!B885="","",PNL!B885)</f>
        <v/>
      </c>
      <c r="C885" t="str">
        <f>IF(PNL!C885="","",PNL!C885)</f>
        <v/>
      </c>
      <c r="D885" t="str">
        <f>IF(PNL!D885="","",PNL!D885)</f>
        <v/>
      </c>
      <c r="E885" t="str">
        <f t="shared" si="143"/>
        <v/>
      </c>
      <c r="F885" t="str">
        <f>IF($A885="","",IF($E885=1,SUMIFS(Compta!$F$1:$F$675,Compta!$A$1:$A$675,$A885,Compta!$B$1:$B$675,$B885,Compta!$C$1:$C$675,"2026"),0))</f>
        <v/>
      </c>
      <c r="G885" t="str">
        <f t="shared" si="144"/>
        <v/>
      </c>
      <c r="H885" t="str">
        <f t="shared" si="145"/>
        <v/>
      </c>
      <c r="I885" t="str">
        <f t="shared" si="146"/>
        <v/>
      </c>
      <c r="J885" t="str">
        <f t="shared" si="147"/>
        <v/>
      </c>
      <c r="K885" t="str">
        <f t="shared" si="148"/>
        <v/>
      </c>
      <c r="L885" t="str">
        <f t="shared" si="149"/>
        <v/>
      </c>
      <c r="M885" t="str">
        <f t="shared" si="150"/>
        <v/>
      </c>
      <c r="N885" t="str">
        <f t="shared" si="151"/>
        <v/>
      </c>
      <c r="O885" t="str">
        <f t="shared" si="152"/>
        <v/>
      </c>
      <c r="P885" t="str">
        <f>IF($A885="","",IF($E885=1,$F885*$O885,PNL!G885))</f>
        <v/>
      </c>
      <c r="T885" t="str">
        <f t="shared" si="153"/>
        <v/>
      </c>
    </row>
    <row r="886" spans="1:20" x14ac:dyDescent="0.45">
      <c r="A886" t="str">
        <f>IF(PNL!A886="","",PNL!A886)</f>
        <v/>
      </c>
      <c r="B886" t="str">
        <f>IF(PNL!B886="","",PNL!B886)</f>
        <v/>
      </c>
      <c r="C886" t="str">
        <f>IF(PNL!C886="","",PNL!C886)</f>
        <v/>
      </c>
      <c r="D886" t="str">
        <f>IF(PNL!D886="","",PNL!D886)</f>
        <v/>
      </c>
      <c r="E886" t="str">
        <f t="shared" si="143"/>
        <v/>
      </c>
      <c r="F886" t="str">
        <f>IF($A886="","",IF($E886=1,SUMIFS(Compta!$F$1:$F$675,Compta!$A$1:$A$675,$A886,Compta!$B$1:$B$675,$B886,Compta!$C$1:$C$675,"2026"),0))</f>
        <v/>
      </c>
      <c r="G886" t="str">
        <f t="shared" si="144"/>
        <v/>
      </c>
      <c r="H886" t="str">
        <f t="shared" si="145"/>
        <v/>
      </c>
      <c r="I886" t="str">
        <f t="shared" si="146"/>
        <v/>
      </c>
      <c r="J886" t="str">
        <f t="shared" si="147"/>
        <v/>
      </c>
      <c r="K886" t="str">
        <f t="shared" si="148"/>
        <v/>
      </c>
      <c r="L886" t="str">
        <f t="shared" si="149"/>
        <v/>
      </c>
      <c r="M886" t="str">
        <f t="shared" si="150"/>
        <v/>
      </c>
      <c r="N886" t="str">
        <f t="shared" si="151"/>
        <v/>
      </c>
      <c r="O886" t="str">
        <f t="shared" si="152"/>
        <v/>
      </c>
      <c r="P886" t="str">
        <f>IF($A886="","",IF($E886=1,$F886*$O886,PNL!G886))</f>
        <v/>
      </c>
      <c r="T886" t="str">
        <f t="shared" si="153"/>
        <v/>
      </c>
    </row>
    <row r="887" spans="1:20" x14ac:dyDescent="0.45">
      <c r="A887" t="str">
        <f>IF(PNL!A887="","",PNL!A887)</f>
        <v/>
      </c>
      <c r="B887" t="str">
        <f>IF(PNL!B887="","",PNL!B887)</f>
        <v/>
      </c>
      <c r="C887" t="str">
        <f>IF(PNL!C887="","",PNL!C887)</f>
        <v/>
      </c>
      <c r="D887" t="str">
        <f>IF(PNL!D887="","",PNL!D887)</f>
        <v/>
      </c>
      <c r="E887" t="str">
        <f t="shared" si="143"/>
        <v/>
      </c>
      <c r="F887" t="str">
        <f>IF($A887="","",IF($E887=1,SUMIFS(Compta!$F$1:$F$675,Compta!$A$1:$A$675,$A887,Compta!$B$1:$B$675,$B887,Compta!$C$1:$C$675,"2026"),0))</f>
        <v/>
      </c>
      <c r="G887" t="str">
        <f t="shared" si="144"/>
        <v/>
      </c>
      <c r="H887" t="str">
        <f t="shared" si="145"/>
        <v/>
      </c>
      <c r="I887" t="str">
        <f t="shared" si="146"/>
        <v/>
      </c>
      <c r="J887" t="str">
        <f t="shared" si="147"/>
        <v/>
      </c>
      <c r="K887" t="str">
        <f t="shared" si="148"/>
        <v/>
      </c>
      <c r="L887" t="str">
        <f t="shared" si="149"/>
        <v/>
      </c>
      <c r="M887" t="str">
        <f t="shared" si="150"/>
        <v/>
      </c>
      <c r="N887" t="str">
        <f t="shared" si="151"/>
        <v/>
      </c>
      <c r="O887" t="str">
        <f t="shared" si="152"/>
        <v/>
      </c>
      <c r="P887" t="str">
        <f>IF($A887="","",IF($E887=1,$F887*$O887,PNL!G887))</f>
        <v/>
      </c>
      <c r="T887" t="str">
        <f t="shared" si="153"/>
        <v/>
      </c>
    </row>
    <row r="888" spans="1:20" x14ac:dyDescent="0.45">
      <c r="A888" t="str">
        <f>IF(PNL!A888="","",PNL!A888)</f>
        <v/>
      </c>
      <c r="B888" t="str">
        <f>IF(PNL!B888="","",PNL!B888)</f>
        <v/>
      </c>
      <c r="C888" t="str">
        <f>IF(PNL!C888="","",PNL!C888)</f>
        <v/>
      </c>
      <c r="D888" t="str">
        <f>IF(PNL!D888="","",PNL!D888)</f>
        <v/>
      </c>
      <c r="E888" t="str">
        <f t="shared" si="143"/>
        <v/>
      </c>
      <c r="F888" t="str">
        <f>IF($A888="","",IF($E888=1,SUMIFS(Compta!$F$1:$F$675,Compta!$A$1:$A$675,$A888,Compta!$B$1:$B$675,$B888,Compta!$C$1:$C$675,"2026"),0))</f>
        <v/>
      </c>
      <c r="G888" t="str">
        <f t="shared" si="144"/>
        <v/>
      </c>
      <c r="H888" t="str">
        <f t="shared" si="145"/>
        <v/>
      </c>
      <c r="I888" t="str">
        <f t="shared" si="146"/>
        <v/>
      </c>
      <c r="J888" t="str">
        <f t="shared" si="147"/>
        <v/>
      </c>
      <c r="K888" t="str">
        <f t="shared" si="148"/>
        <v/>
      </c>
      <c r="L888" t="str">
        <f t="shared" si="149"/>
        <v/>
      </c>
      <c r="M888" t="str">
        <f t="shared" si="150"/>
        <v/>
      </c>
      <c r="N888" t="str">
        <f t="shared" si="151"/>
        <v/>
      </c>
      <c r="O888" t="str">
        <f t="shared" si="152"/>
        <v/>
      </c>
      <c r="P888" t="str">
        <f>IF($A888="","",IF($E888=1,$F888*$O888,PNL!G888))</f>
        <v/>
      </c>
      <c r="T888" t="str">
        <f t="shared" si="153"/>
        <v/>
      </c>
    </row>
    <row r="889" spans="1:20" x14ac:dyDescent="0.45">
      <c r="A889" t="str">
        <f>IF(PNL!A889="","",PNL!A889)</f>
        <v/>
      </c>
      <c r="B889" t="str">
        <f>IF(PNL!B889="","",PNL!B889)</f>
        <v/>
      </c>
      <c r="C889" t="str">
        <f>IF(PNL!C889="","",PNL!C889)</f>
        <v/>
      </c>
      <c r="D889" t="str">
        <f>IF(PNL!D889="","",PNL!D889)</f>
        <v/>
      </c>
      <c r="E889" t="str">
        <f t="shared" si="143"/>
        <v/>
      </c>
      <c r="F889" t="str">
        <f>IF($A889="","",IF($E889=1,SUMIFS(Compta!$F$1:$F$675,Compta!$A$1:$A$675,$A889,Compta!$B$1:$B$675,$B889,Compta!$C$1:$C$675,"2026"),0))</f>
        <v/>
      </c>
      <c r="G889" t="str">
        <f t="shared" si="144"/>
        <v/>
      </c>
      <c r="H889" t="str">
        <f t="shared" si="145"/>
        <v/>
      </c>
      <c r="I889" t="str">
        <f t="shared" si="146"/>
        <v/>
      </c>
      <c r="J889" t="str">
        <f t="shared" si="147"/>
        <v/>
      </c>
      <c r="K889" t="str">
        <f t="shared" si="148"/>
        <v/>
      </c>
      <c r="L889" t="str">
        <f t="shared" si="149"/>
        <v/>
      </c>
      <c r="M889" t="str">
        <f t="shared" si="150"/>
        <v/>
      </c>
      <c r="N889" t="str">
        <f t="shared" si="151"/>
        <v/>
      </c>
      <c r="O889" t="str">
        <f t="shared" si="152"/>
        <v/>
      </c>
      <c r="P889" t="str">
        <f>IF($A889="","",IF($E889=1,$F889*$O889,PNL!G889))</f>
        <v/>
      </c>
      <c r="T889" t="str">
        <f t="shared" si="153"/>
        <v/>
      </c>
    </row>
    <row r="890" spans="1:20" x14ac:dyDescent="0.45">
      <c r="A890" t="str">
        <f>IF(PNL!A890="","",PNL!A890)</f>
        <v/>
      </c>
      <c r="B890" t="str">
        <f>IF(PNL!B890="","",PNL!B890)</f>
        <v/>
      </c>
      <c r="C890" t="str">
        <f>IF(PNL!C890="","",PNL!C890)</f>
        <v/>
      </c>
      <c r="D890" t="str">
        <f>IF(PNL!D890="","",PNL!D890)</f>
        <v/>
      </c>
      <c r="E890" t="str">
        <f t="shared" si="143"/>
        <v/>
      </c>
      <c r="F890" t="str">
        <f>IF($A890="","",IF($E890=1,SUMIFS(Compta!$F$1:$F$675,Compta!$A$1:$A$675,$A890,Compta!$B$1:$B$675,$B890,Compta!$C$1:$C$675,"2026"),0))</f>
        <v/>
      </c>
      <c r="G890" t="str">
        <f t="shared" si="144"/>
        <v/>
      </c>
      <c r="H890" t="str">
        <f t="shared" si="145"/>
        <v/>
      </c>
      <c r="I890" t="str">
        <f t="shared" si="146"/>
        <v/>
      </c>
      <c r="J890" t="str">
        <f t="shared" si="147"/>
        <v/>
      </c>
      <c r="K890" t="str">
        <f t="shared" si="148"/>
        <v/>
      </c>
      <c r="L890" t="str">
        <f t="shared" si="149"/>
        <v/>
      </c>
      <c r="M890" t="str">
        <f t="shared" si="150"/>
        <v/>
      </c>
      <c r="N890" t="str">
        <f t="shared" si="151"/>
        <v/>
      </c>
      <c r="O890" t="str">
        <f t="shared" si="152"/>
        <v/>
      </c>
      <c r="P890" t="str">
        <f>IF($A890="","",IF($E890=1,$F890*$O890,PNL!G890))</f>
        <v/>
      </c>
      <c r="T890" t="str">
        <f t="shared" si="153"/>
        <v/>
      </c>
    </row>
    <row r="891" spans="1:20" x14ac:dyDescent="0.45">
      <c r="A891" t="str">
        <f>IF(PNL!A891="","",PNL!A891)</f>
        <v/>
      </c>
      <c r="B891" t="str">
        <f>IF(PNL!B891="","",PNL!B891)</f>
        <v/>
      </c>
      <c r="C891" t="str">
        <f>IF(PNL!C891="","",PNL!C891)</f>
        <v/>
      </c>
      <c r="D891" t="str">
        <f>IF(PNL!D891="","",PNL!D891)</f>
        <v/>
      </c>
      <c r="E891" t="str">
        <f t="shared" si="143"/>
        <v/>
      </c>
      <c r="F891" t="str">
        <f>IF($A891="","",IF($E891=1,SUMIFS(Compta!$F$1:$F$675,Compta!$A$1:$A$675,$A891,Compta!$B$1:$B$675,$B891,Compta!$C$1:$C$675,"2026"),0))</f>
        <v/>
      </c>
      <c r="G891" t="str">
        <f t="shared" si="144"/>
        <v/>
      </c>
      <c r="H891" t="str">
        <f t="shared" si="145"/>
        <v/>
      </c>
      <c r="I891" t="str">
        <f t="shared" si="146"/>
        <v/>
      </c>
      <c r="J891" t="str">
        <f t="shared" si="147"/>
        <v/>
      </c>
      <c r="K891" t="str">
        <f t="shared" si="148"/>
        <v/>
      </c>
      <c r="L891" t="str">
        <f t="shared" si="149"/>
        <v/>
      </c>
      <c r="M891" t="str">
        <f t="shared" si="150"/>
        <v/>
      </c>
      <c r="N891" t="str">
        <f t="shared" si="151"/>
        <v/>
      </c>
      <c r="O891" t="str">
        <f t="shared" si="152"/>
        <v/>
      </c>
      <c r="P891" t="str">
        <f>IF($A891="","",IF($E891=1,$F891*$O891,PNL!G891))</f>
        <v/>
      </c>
      <c r="T891" t="str">
        <f t="shared" si="153"/>
        <v/>
      </c>
    </row>
    <row r="892" spans="1:20" x14ac:dyDescent="0.45">
      <c r="A892" t="str">
        <f>IF(PNL!A892="","",PNL!A892)</f>
        <v/>
      </c>
      <c r="B892" t="str">
        <f>IF(PNL!B892="","",PNL!B892)</f>
        <v/>
      </c>
      <c r="C892" t="str">
        <f>IF(PNL!C892="","",PNL!C892)</f>
        <v/>
      </c>
      <c r="D892" t="str">
        <f>IF(PNL!D892="","",PNL!D892)</f>
        <v/>
      </c>
      <c r="E892" t="str">
        <f t="shared" si="143"/>
        <v/>
      </c>
      <c r="F892" t="str">
        <f>IF($A892="","",IF($E892=1,SUMIFS(Compta!$F$1:$F$675,Compta!$A$1:$A$675,$A892,Compta!$B$1:$B$675,$B892,Compta!$C$1:$C$675,"2026"),0))</f>
        <v/>
      </c>
      <c r="G892" t="str">
        <f t="shared" si="144"/>
        <v/>
      </c>
      <c r="H892" t="str">
        <f t="shared" si="145"/>
        <v/>
      </c>
      <c r="I892" t="str">
        <f t="shared" si="146"/>
        <v/>
      </c>
      <c r="J892" t="str">
        <f t="shared" si="147"/>
        <v/>
      </c>
      <c r="K892" t="str">
        <f t="shared" si="148"/>
        <v/>
      </c>
      <c r="L892" t="str">
        <f t="shared" si="149"/>
        <v/>
      </c>
      <c r="M892" t="str">
        <f t="shared" si="150"/>
        <v/>
      </c>
      <c r="N892" t="str">
        <f t="shared" si="151"/>
        <v/>
      </c>
      <c r="O892" t="str">
        <f t="shared" si="152"/>
        <v/>
      </c>
      <c r="P892" t="str">
        <f>IF($A892="","",IF($E892=1,$F892*$O892,PNL!G892))</f>
        <v/>
      </c>
      <c r="T892" t="str">
        <f t="shared" si="153"/>
        <v/>
      </c>
    </row>
    <row r="893" spans="1:20" x14ac:dyDescent="0.45">
      <c r="A893" t="str">
        <f>IF(PNL!A893="","",PNL!A893)</f>
        <v/>
      </c>
      <c r="B893" t="str">
        <f>IF(PNL!B893="","",PNL!B893)</f>
        <v/>
      </c>
      <c r="C893" t="str">
        <f>IF(PNL!C893="","",PNL!C893)</f>
        <v/>
      </c>
      <c r="D893" t="str">
        <f>IF(PNL!D893="","",PNL!D893)</f>
        <v/>
      </c>
      <c r="E893" t="str">
        <f t="shared" si="143"/>
        <v/>
      </c>
      <c r="F893" t="str">
        <f>IF($A893="","",IF($E893=1,SUMIFS(Compta!$F$1:$F$675,Compta!$A$1:$A$675,$A893,Compta!$B$1:$B$675,$B893,Compta!$C$1:$C$675,"2026"),0))</f>
        <v/>
      </c>
      <c r="G893" t="str">
        <f t="shared" si="144"/>
        <v/>
      </c>
      <c r="H893" t="str">
        <f t="shared" si="145"/>
        <v/>
      </c>
      <c r="I893" t="str">
        <f t="shared" si="146"/>
        <v/>
      </c>
      <c r="J893" t="str">
        <f t="shared" si="147"/>
        <v/>
      </c>
      <c r="K893" t="str">
        <f t="shared" si="148"/>
        <v/>
      </c>
      <c r="L893" t="str">
        <f t="shared" si="149"/>
        <v/>
      </c>
      <c r="M893" t="str">
        <f t="shared" si="150"/>
        <v/>
      </c>
      <c r="N893" t="str">
        <f t="shared" si="151"/>
        <v/>
      </c>
      <c r="O893" t="str">
        <f t="shared" si="152"/>
        <v/>
      </c>
      <c r="P893" t="str">
        <f>IF($A893="","",IF($E893=1,$F893*$O893,PNL!G893))</f>
        <v/>
      </c>
      <c r="T893" t="str">
        <f t="shared" si="153"/>
        <v/>
      </c>
    </row>
    <row r="894" spans="1:20" x14ac:dyDescent="0.45">
      <c r="A894" t="str">
        <f>IF(PNL!A894="","",PNL!A894)</f>
        <v/>
      </c>
      <c r="B894" t="str">
        <f>IF(PNL!B894="","",PNL!B894)</f>
        <v/>
      </c>
      <c r="C894" t="str">
        <f>IF(PNL!C894="","",PNL!C894)</f>
        <v/>
      </c>
      <c r="D894" t="str">
        <f>IF(PNL!D894="","",PNL!D894)</f>
        <v/>
      </c>
      <c r="E894" t="str">
        <f t="shared" si="143"/>
        <v/>
      </c>
      <c r="F894" t="str">
        <f>IF($A894="","",IF($E894=1,SUMIFS(Compta!$F$1:$F$675,Compta!$A$1:$A$675,$A894,Compta!$B$1:$B$675,$B894,Compta!$C$1:$C$675,"2026"),0))</f>
        <v/>
      </c>
      <c r="G894" t="str">
        <f t="shared" si="144"/>
        <v/>
      </c>
      <c r="H894" t="str">
        <f t="shared" si="145"/>
        <v/>
      </c>
      <c r="I894" t="str">
        <f t="shared" si="146"/>
        <v/>
      </c>
      <c r="J894" t="str">
        <f t="shared" si="147"/>
        <v/>
      </c>
      <c r="K894" t="str">
        <f t="shared" si="148"/>
        <v/>
      </c>
      <c r="L894" t="str">
        <f t="shared" si="149"/>
        <v/>
      </c>
      <c r="M894" t="str">
        <f t="shared" si="150"/>
        <v/>
      </c>
      <c r="N894" t="str">
        <f t="shared" si="151"/>
        <v/>
      </c>
      <c r="O894" t="str">
        <f t="shared" si="152"/>
        <v/>
      </c>
      <c r="P894" t="str">
        <f>IF($A894="","",IF($E894=1,$F894*$O894,PNL!G894))</f>
        <v/>
      </c>
      <c r="T894" t="str">
        <f t="shared" si="153"/>
        <v/>
      </c>
    </row>
    <row r="895" spans="1:20" x14ac:dyDescent="0.45">
      <c r="A895" t="str">
        <f>IF(PNL!A895="","",PNL!A895)</f>
        <v/>
      </c>
      <c r="B895" t="str">
        <f>IF(PNL!B895="","",PNL!B895)</f>
        <v/>
      </c>
      <c r="C895" t="str">
        <f>IF(PNL!C895="","",PNL!C895)</f>
        <v/>
      </c>
      <c r="D895" t="str">
        <f>IF(PNL!D895="","",PNL!D895)</f>
        <v/>
      </c>
      <c r="E895" t="str">
        <f t="shared" si="143"/>
        <v/>
      </c>
      <c r="F895" t="str">
        <f>IF($A895="","",IF($E895=1,SUMIFS(Compta!$F$1:$F$675,Compta!$A$1:$A$675,$A895,Compta!$B$1:$B$675,$B895,Compta!$C$1:$C$675,"2026"),0))</f>
        <v/>
      </c>
      <c r="G895" t="str">
        <f t="shared" si="144"/>
        <v/>
      </c>
      <c r="H895" t="str">
        <f t="shared" si="145"/>
        <v/>
      </c>
      <c r="I895" t="str">
        <f t="shared" si="146"/>
        <v/>
      </c>
      <c r="J895" t="str">
        <f t="shared" si="147"/>
        <v/>
      </c>
      <c r="K895" t="str">
        <f t="shared" si="148"/>
        <v/>
      </c>
      <c r="L895" t="str">
        <f t="shared" si="149"/>
        <v/>
      </c>
      <c r="M895" t="str">
        <f t="shared" si="150"/>
        <v/>
      </c>
      <c r="N895" t="str">
        <f t="shared" si="151"/>
        <v/>
      </c>
      <c r="O895" t="str">
        <f t="shared" si="152"/>
        <v/>
      </c>
      <c r="P895" t="str">
        <f>IF($A895="","",IF($E895=1,$F895*$O895,PNL!G895))</f>
        <v/>
      </c>
      <c r="T895" t="str">
        <f t="shared" si="153"/>
        <v/>
      </c>
    </row>
    <row r="896" spans="1:20" x14ac:dyDescent="0.45">
      <c r="A896" t="str">
        <f>IF(PNL!A896="","",PNL!A896)</f>
        <v/>
      </c>
      <c r="B896" t="str">
        <f>IF(PNL!B896="","",PNL!B896)</f>
        <v/>
      </c>
      <c r="C896" t="str">
        <f>IF(PNL!C896="","",PNL!C896)</f>
        <v/>
      </c>
      <c r="D896" t="str">
        <f>IF(PNL!D896="","",PNL!D896)</f>
        <v/>
      </c>
      <c r="E896" t="str">
        <f t="shared" si="143"/>
        <v/>
      </c>
      <c r="F896" t="str">
        <f>IF($A896="","",IF($E896=1,SUMIFS(Compta!$F$1:$F$675,Compta!$A$1:$A$675,$A896,Compta!$B$1:$B$675,$B896,Compta!$C$1:$C$675,"2026"),0))</f>
        <v/>
      </c>
      <c r="G896" t="str">
        <f t="shared" si="144"/>
        <v/>
      </c>
      <c r="H896" t="str">
        <f t="shared" si="145"/>
        <v/>
      </c>
      <c r="I896" t="str">
        <f t="shared" si="146"/>
        <v/>
      </c>
      <c r="J896" t="str">
        <f t="shared" si="147"/>
        <v/>
      </c>
      <c r="K896" t="str">
        <f t="shared" si="148"/>
        <v/>
      </c>
      <c r="L896" t="str">
        <f t="shared" si="149"/>
        <v/>
      </c>
      <c r="M896" t="str">
        <f t="shared" si="150"/>
        <v/>
      </c>
      <c r="N896" t="str">
        <f t="shared" si="151"/>
        <v/>
      </c>
      <c r="O896" t="str">
        <f t="shared" si="152"/>
        <v/>
      </c>
      <c r="P896" t="str">
        <f>IF($A896="","",IF($E896=1,$F896*$O896,PNL!G896))</f>
        <v/>
      </c>
      <c r="T896" t="str">
        <f t="shared" si="153"/>
        <v/>
      </c>
    </row>
    <row r="897" spans="1:20" x14ac:dyDescent="0.45">
      <c r="A897" t="str">
        <f>IF(PNL!A897="","",PNL!A897)</f>
        <v/>
      </c>
      <c r="B897" t="str">
        <f>IF(PNL!B897="","",PNL!B897)</f>
        <v/>
      </c>
      <c r="C897" t="str">
        <f>IF(PNL!C897="","",PNL!C897)</f>
        <v/>
      </c>
      <c r="D897" t="str">
        <f>IF(PNL!D897="","",PNL!D897)</f>
        <v/>
      </c>
      <c r="E897" t="str">
        <f t="shared" si="143"/>
        <v/>
      </c>
      <c r="F897" t="str">
        <f>IF($A897="","",IF($E897=1,SUMIFS(Compta!$F$1:$F$675,Compta!$A$1:$A$675,$A897,Compta!$B$1:$B$675,$B897,Compta!$C$1:$C$675,"2026"),0))</f>
        <v/>
      </c>
      <c r="G897" t="str">
        <f t="shared" si="144"/>
        <v/>
      </c>
      <c r="H897" t="str">
        <f t="shared" si="145"/>
        <v/>
      </c>
      <c r="I897" t="str">
        <f t="shared" si="146"/>
        <v/>
      </c>
      <c r="J897" t="str">
        <f t="shared" si="147"/>
        <v/>
      </c>
      <c r="K897" t="str">
        <f t="shared" si="148"/>
        <v/>
      </c>
      <c r="L897" t="str">
        <f t="shared" si="149"/>
        <v/>
      </c>
      <c r="M897" t="str">
        <f t="shared" si="150"/>
        <v/>
      </c>
      <c r="N897" t="str">
        <f t="shared" si="151"/>
        <v/>
      </c>
      <c r="O897" t="str">
        <f t="shared" si="152"/>
        <v/>
      </c>
      <c r="P897" t="str">
        <f>IF($A897="","",IF($E897=1,$F897*$O897,PNL!G897))</f>
        <v/>
      </c>
      <c r="T897" t="str">
        <f t="shared" si="153"/>
        <v/>
      </c>
    </row>
    <row r="898" spans="1:20" x14ac:dyDescent="0.45">
      <c r="A898" t="str">
        <f>IF(PNL!A898="","",PNL!A898)</f>
        <v/>
      </c>
      <c r="B898" t="str">
        <f>IF(PNL!B898="","",PNL!B898)</f>
        <v/>
      </c>
      <c r="C898" t="str">
        <f>IF(PNL!C898="","",PNL!C898)</f>
        <v/>
      </c>
      <c r="D898" t="str">
        <f>IF(PNL!D898="","",PNL!D898)</f>
        <v/>
      </c>
      <c r="E898" t="str">
        <f t="shared" ref="E898:E961" si="154">IF($A898="","",IF(AND($C898="2027",OR($D898="V01",$D898="V02",$D898="V03")),1,0))</f>
        <v/>
      </c>
      <c r="F898" t="str">
        <f>IF($A898="","",IF($E898=1,SUMIFS(Compta!$F$1:$F$675,Compta!$A$1:$A$675,$A898,Compta!$B$1:$B$675,$B898,Compta!$C$1:$C$675,"2026"),0))</f>
        <v/>
      </c>
      <c r="G898" t="str">
        <f t="shared" ref="G898:G961" si="155">IF($A898="","",IF($D898="V01",cad!$C$23,IF($D898="V02",cad!$D$23,cad!$E$23)))</f>
        <v/>
      </c>
      <c r="H898" t="str">
        <f t="shared" ref="H898:H961" si="156">IF($A898="","",IF($D898="V01",cad!$C$24,IF($D898="V02",cad!$D$24,cad!$E$24)))</f>
        <v/>
      </c>
      <c r="I898" t="str">
        <f t="shared" ref="I898:I961" si="157">IF($A898="","",IF($D898="V01",cad!$C$32,IF($D898="V02",cad!$D$32,cad!$E$32)))</f>
        <v/>
      </c>
      <c r="J898" t="str">
        <f t="shared" ref="J898:J961" si="158">IF($A898="","",IF($D898="V01",cad!$C$33,IF($D898="V02",cad!$D$33,cad!$E$33)))</f>
        <v/>
      </c>
      <c r="K898" t="str">
        <f t="shared" ref="K898:K961" si="159">IF($A898="","",IF($D898="V01",cad!$C$34,IF($D898="V02",cad!$D$34,cad!$E$34)))</f>
        <v/>
      </c>
      <c r="L898" t="str">
        <f t="shared" ref="L898:L961" si="160">IF($A898="","",IF($D898="V01",cad!$C$35,IF($D898="V02",cad!$D$35,cad!$E$35)))</f>
        <v/>
      </c>
      <c r="M898" t="str">
        <f t="shared" ref="M898:M961" si="161">IF($A898="","",IF($D898="V01",cad!$C$36,IF($D898="V02",cad!$D$36,cad!$E$36)))</f>
        <v/>
      </c>
      <c r="N898" t="str">
        <f t="shared" ref="N898:N961" si="162">IF($A898="","",IF($D898="V01",$R$2,IF($D898="V02",$R$3,$R$4)))</f>
        <v/>
      </c>
      <c r="O898" t="str">
        <f t="shared" ref="O898:O961" si="163">IF($A898="","",IF(OR($B898="7062",$B898="706",$B898="708"),$N898,IF($B898="6231",1+$G898,IF($B898="6236",1+$H898,IF(OR($B898="621",$B898="604",$B898="6063"),$N898*(1-$L898),IF(OR($B898="6411",$B898="6413",$B898="6414",$B898="645"),(1+$J898)*(1+$K898),IF(OR($B898="613",$B898="615",$B898="616",$B898="6226",$B898="625",$B898="626",$B898="6281"),(1+$I898)*(1-$L898)*(1+$M898),IF(OR($B898="6331",$B898="63511",$B898="6333"),(1+$I898)*(1-$L898),IF($B898="6811",1+$I898,1)))))))))</f>
        <v/>
      </c>
      <c r="P898" t="str">
        <f>IF($A898="","",IF($E898=1,$F898*$O898,PNL!G898))</f>
        <v/>
      </c>
      <c r="T898" t="str">
        <f t="shared" ref="T898:T961" si="164">IF($A898="","",IF($E898=1,IF(OR($B898="7062",$B898="706",$B898="708"),$P898,IF(AND(LEFT($B898,1)="6",$B898&lt;&gt;"6811"),-$P898,0)),0))</f>
        <v/>
      </c>
    </row>
    <row r="899" spans="1:20" x14ac:dyDescent="0.45">
      <c r="A899" t="str">
        <f>IF(PNL!A899="","",PNL!A899)</f>
        <v/>
      </c>
      <c r="B899" t="str">
        <f>IF(PNL!B899="","",PNL!B899)</f>
        <v/>
      </c>
      <c r="C899" t="str">
        <f>IF(PNL!C899="","",PNL!C899)</f>
        <v/>
      </c>
      <c r="D899" t="str">
        <f>IF(PNL!D899="","",PNL!D899)</f>
        <v/>
      </c>
      <c r="E899" t="str">
        <f t="shared" si="154"/>
        <v/>
      </c>
      <c r="F899" t="str">
        <f>IF($A899="","",IF($E899=1,SUMIFS(Compta!$F$1:$F$675,Compta!$A$1:$A$675,$A899,Compta!$B$1:$B$675,$B899,Compta!$C$1:$C$675,"2026"),0))</f>
        <v/>
      </c>
      <c r="G899" t="str">
        <f t="shared" si="155"/>
        <v/>
      </c>
      <c r="H899" t="str">
        <f t="shared" si="156"/>
        <v/>
      </c>
      <c r="I899" t="str">
        <f t="shared" si="157"/>
        <v/>
      </c>
      <c r="J899" t="str">
        <f t="shared" si="158"/>
        <v/>
      </c>
      <c r="K899" t="str">
        <f t="shared" si="159"/>
        <v/>
      </c>
      <c r="L899" t="str">
        <f t="shared" si="160"/>
        <v/>
      </c>
      <c r="M899" t="str">
        <f t="shared" si="161"/>
        <v/>
      </c>
      <c r="N899" t="str">
        <f t="shared" si="162"/>
        <v/>
      </c>
      <c r="O899" t="str">
        <f t="shared" si="163"/>
        <v/>
      </c>
      <c r="P899" t="str">
        <f>IF($A899="","",IF($E899=1,$F899*$O899,PNL!G899))</f>
        <v/>
      </c>
      <c r="T899" t="str">
        <f t="shared" si="164"/>
        <v/>
      </c>
    </row>
    <row r="900" spans="1:20" x14ac:dyDescent="0.45">
      <c r="A900" t="str">
        <f>IF(PNL!A900="","",PNL!A900)</f>
        <v/>
      </c>
      <c r="B900" t="str">
        <f>IF(PNL!B900="","",PNL!B900)</f>
        <v/>
      </c>
      <c r="C900" t="str">
        <f>IF(PNL!C900="","",PNL!C900)</f>
        <v/>
      </c>
      <c r="D900" t="str">
        <f>IF(PNL!D900="","",PNL!D900)</f>
        <v/>
      </c>
      <c r="E900" t="str">
        <f t="shared" si="154"/>
        <v/>
      </c>
      <c r="F900" t="str">
        <f>IF($A900="","",IF($E900=1,SUMIFS(Compta!$F$1:$F$675,Compta!$A$1:$A$675,$A900,Compta!$B$1:$B$675,$B900,Compta!$C$1:$C$675,"2026"),0))</f>
        <v/>
      </c>
      <c r="G900" t="str">
        <f t="shared" si="155"/>
        <v/>
      </c>
      <c r="H900" t="str">
        <f t="shared" si="156"/>
        <v/>
      </c>
      <c r="I900" t="str">
        <f t="shared" si="157"/>
        <v/>
      </c>
      <c r="J900" t="str">
        <f t="shared" si="158"/>
        <v/>
      </c>
      <c r="K900" t="str">
        <f t="shared" si="159"/>
        <v/>
      </c>
      <c r="L900" t="str">
        <f t="shared" si="160"/>
        <v/>
      </c>
      <c r="M900" t="str">
        <f t="shared" si="161"/>
        <v/>
      </c>
      <c r="N900" t="str">
        <f t="shared" si="162"/>
        <v/>
      </c>
      <c r="O900" t="str">
        <f t="shared" si="163"/>
        <v/>
      </c>
      <c r="P900" t="str">
        <f>IF($A900="","",IF($E900=1,$F900*$O900,PNL!G900))</f>
        <v/>
      </c>
      <c r="T900" t="str">
        <f t="shared" si="164"/>
        <v/>
      </c>
    </row>
    <row r="901" spans="1:20" x14ac:dyDescent="0.45">
      <c r="A901" t="str">
        <f>IF(PNL!A901="","",PNL!A901)</f>
        <v/>
      </c>
      <c r="B901" t="str">
        <f>IF(PNL!B901="","",PNL!B901)</f>
        <v/>
      </c>
      <c r="C901" t="str">
        <f>IF(PNL!C901="","",PNL!C901)</f>
        <v/>
      </c>
      <c r="D901" t="str">
        <f>IF(PNL!D901="","",PNL!D901)</f>
        <v/>
      </c>
      <c r="E901" t="str">
        <f t="shared" si="154"/>
        <v/>
      </c>
      <c r="F901" t="str">
        <f>IF($A901="","",IF($E901=1,SUMIFS(Compta!$F$1:$F$675,Compta!$A$1:$A$675,$A901,Compta!$B$1:$B$675,$B901,Compta!$C$1:$C$675,"2026"),0))</f>
        <v/>
      </c>
      <c r="G901" t="str">
        <f t="shared" si="155"/>
        <v/>
      </c>
      <c r="H901" t="str">
        <f t="shared" si="156"/>
        <v/>
      </c>
      <c r="I901" t="str">
        <f t="shared" si="157"/>
        <v/>
      </c>
      <c r="J901" t="str">
        <f t="shared" si="158"/>
        <v/>
      </c>
      <c r="K901" t="str">
        <f t="shared" si="159"/>
        <v/>
      </c>
      <c r="L901" t="str">
        <f t="shared" si="160"/>
        <v/>
      </c>
      <c r="M901" t="str">
        <f t="shared" si="161"/>
        <v/>
      </c>
      <c r="N901" t="str">
        <f t="shared" si="162"/>
        <v/>
      </c>
      <c r="O901" t="str">
        <f t="shared" si="163"/>
        <v/>
      </c>
      <c r="P901" t="str">
        <f>IF($A901="","",IF($E901=1,$F901*$O901,PNL!G901))</f>
        <v/>
      </c>
      <c r="T901" t="str">
        <f t="shared" si="164"/>
        <v/>
      </c>
    </row>
    <row r="902" spans="1:20" x14ac:dyDescent="0.45">
      <c r="A902" t="str">
        <f>IF(PNL!A902="","",PNL!A902)</f>
        <v/>
      </c>
      <c r="B902" t="str">
        <f>IF(PNL!B902="","",PNL!B902)</f>
        <v/>
      </c>
      <c r="C902" t="str">
        <f>IF(PNL!C902="","",PNL!C902)</f>
        <v/>
      </c>
      <c r="D902" t="str">
        <f>IF(PNL!D902="","",PNL!D902)</f>
        <v/>
      </c>
      <c r="E902" t="str">
        <f t="shared" si="154"/>
        <v/>
      </c>
      <c r="F902" t="str">
        <f>IF($A902="","",IF($E902=1,SUMIFS(Compta!$F$1:$F$675,Compta!$A$1:$A$675,$A902,Compta!$B$1:$B$675,$B902,Compta!$C$1:$C$675,"2026"),0))</f>
        <v/>
      </c>
      <c r="G902" t="str">
        <f t="shared" si="155"/>
        <v/>
      </c>
      <c r="H902" t="str">
        <f t="shared" si="156"/>
        <v/>
      </c>
      <c r="I902" t="str">
        <f t="shared" si="157"/>
        <v/>
      </c>
      <c r="J902" t="str">
        <f t="shared" si="158"/>
        <v/>
      </c>
      <c r="K902" t="str">
        <f t="shared" si="159"/>
        <v/>
      </c>
      <c r="L902" t="str">
        <f t="shared" si="160"/>
        <v/>
      </c>
      <c r="M902" t="str">
        <f t="shared" si="161"/>
        <v/>
      </c>
      <c r="N902" t="str">
        <f t="shared" si="162"/>
        <v/>
      </c>
      <c r="O902" t="str">
        <f t="shared" si="163"/>
        <v/>
      </c>
      <c r="P902" t="str">
        <f>IF($A902="","",IF($E902=1,$F902*$O902,PNL!G902))</f>
        <v/>
      </c>
      <c r="T902" t="str">
        <f t="shared" si="164"/>
        <v/>
      </c>
    </row>
    <row r="903" spans="1:20" x14ac:dyDescent="0.45">
      <c r="A903" t="str">
        <f>IF(PNL!A903="","",PNL!A903)</f>
        <v/>
      </c>
      <c r="B903" t="str">
        <f>IF(PNL!B903="","",PNL!B903)</f>
        <v/>
      </c>
      <c r="C903" t="str">
        <f>IF(PNL!C903="","",PNL!C903)</f>
        <v/>
      </c>
      <c r="D903" t="str">
        <f>IF(PNL!D903="","",PNL!D903)</f>
        <v/>
      </c>
      <c r="E903" t="str">
        <f t="shared" si="154"/>
        <v/>
      </c>
      <c r="F903" t="str">
        <f>IF($A903="","",IF($E903=1,SUMIFS(Compta!$F$1:$F$675,Compta!$A$1:$A$675,$A903,Compta!$B$1:$B$675,$B903,Compta!$C$1:$C$675,"2026"),0))</f>
        <v/>
      </c>
      <c r="G903" t="str">
        <f t="shared" si="155"/>
        <v/>
      </c>
      <c r="H903" t="str">
        <f t="shared" si="156"/>
        <v/>
      </c>
      <c r="I903" t="str">
        <f t="shared" si="157"/>
        <v/>
      </c>
      <c r="J903" t="str">
        <f t="shared" si="158"/>
        <v/>
      </c>
      <c r="K903" t="str">
        <f t="shared" si="159"/>
        <v/>
      </c>
      <c r="L903" t="str">
        <f t="shared" si="160"/>
        <v/>
      </c>
      <c r="M903" t="str">
        <f t="shared" si="161"/>
        <v/>
      </c>
      <c r="N903" t="str">
        <f t="shared" si="162"/>
        <v/>
      </c>
      <c r="O903" t="str">
        <f t="shared" si="163"/>
        <v/>
      </c>
      <c r="P903" t="str">
        <f>IF($A903="","",IF($E903=1,$F903*$O903,PNL!G903))</f>
        <v/>
      </c>
      <c r="T903" t="str">
        <f t="shared" si="164"/>
        <v/>
      </c>
    </row>
    <row r="904" spans="1:20" x14ac:dyDescent="0.45">
      <c r="A904" t="str">
        <f>IF(PNL!A904="","",PNL!A904)</f>
        <v/>
      </c>
      <c r="B904" t="str">
        <f>IF(PNL!B904="","",PNL!B904)</f>
        <v/>
      </c>
      <c r="C904" t="str">
        <f>IF(PNL!C904="","",PNL!C904)</f>
        <v/>
      </c>
      <c r="D904" t="str">
        <f>IF(PNL!D904="","",PNL!D904)</f>
        <v/>
      </c>
      <c r="E904" t="str">
        <f t="shared" si="154"/>
        <v/>
      </c>
      <c r="F904" t="str">
        <f>IF($A904="","",IF($E904=1,SUMIFS(Compta!$F$1:$F$675,Compta!$A$1:$A$675,$A904,Compta!$B$1:$B$675,$B904,Compta!$C$1:$C$675,"2026"),0))</f>
        <v/>
      </c>
      <c r="G904" t="str">
        <f t="shared" si="155"/>
        <v/>
      </c>
      <c r="H904" t="str">
        <f t="shared" si="156"/>
        <v/>
      </c>
      <c r="I904" t="str">
        <f t="shared" si="157"/>
        <v/>
      </c>
      <c r="J904" t="str">
        <f t="shared" si="158"/>
        <v/>
      </c>
      <c r="K904" t="str">
        <f t="shared" si="159"/>
        <v/>
      </c>
      <c r="L904" t="str">
        <f t="shared" si="160"/>
        <v/>
      </c>
      <c r="M904" t="str">
        <f t="shared" si="161"/>
        <v/>
      </c>
      <c r="N904" t="str">
        <f t="shared" si="162"/>
        <v/>
      </c>
      <c r="O904" t="str">
        <f t="shared" si="163"/>
        <v/>
      </c>
      <c r="P904" t="str">
        <f>IF($A904="","",IF($E904=1,$F904*$O904,PNL!G904))</f>
        <v/>
      </c>
      <c r="T904" t="str">
        <f t="shared" si="164"/>
        <v/>
      </c>
    </row>
    <row r="905" spans="1:20" x14ac:dyDescent="0.45">
      <c r="A905" t="str">
        <f>IF(PNL!A905="","",PNL!A905)</f>
        <v/>
      </c>
      <c r="B905" t="str">
        <f>IF(PNL!B905="","",PNL!B905)</f>
        <v/>
      </c>
      <c r="C905" t="str">
        <f>IF(PNL!C905="","",PNL!C905)</f>
        <v/>
      </c>
      <c r="D905" t="str">
        <f>IF(PNL!D905="","",PNL!D905)</f>
        <v/>
      </c>
      <c r="E905" t="str">
        <f t="shared" si="154"/>
        <v/>
      </c>
      <c r="F905" t="str">
        <f>IF($A905="","",IF($E905=1,SUMIFS(Compta!$F$1:$F$675,Compta!$A$1:$A$675,$A905,Compta!$B$1:$B$675,$B905,Compta!$C$1:$C$675,"2026"),0))</f>
        <v/>
      </c>
      <c r="G905" t="str">
        <f t="shared" si="155"/>
        <v/>
      </c>
      <c r="H905" t="str">
        <f t="shared" si="156"/>
        <v/>
      </c>
      <c r="I905" t="str">
        <f t="shared" si="157"/>
        <v/>
      </c>
      <c r="J905" t="str">
        <f t="shared" si="158"/>
        <v/>
      </c>
      <c r="K905" t="str">
        <f t="shared" si="159"/>
        <v/>
      </c>
      <c r="L905" t="str">
        <f t="shared" si="160"/>
        <v/>
      </c>
      <c r="M905" t="str">
        <f t="shared" si="161"/>
        <v/>
      </c>
      <c r="N905" t="str">
        <f t="shared" si="162"/>
        <v/>
      </c>
      <c r="O905" t="str">
        <f t="shared" si="163"/>
        <v/>
      </c>
      <c r="P905" t="str">
        <f>IF($A905="","",IF($E905=1,$F905*$O905,PNL!G905))</f>
        <v/>
      </c>
      <c r="T905" t="str">
        <f t="shared" si="164"/>
        <v/>
      </c>
    </row>
    <row r="906" spans="1:20" x14ac:dyDescent="0.45">
      <c r="A906" t="str">
        <f>IF(PNL!A906="","",PNL!A906)</f>
        <v/>
      </c>
      <c r="B906" t="str">
        <f>IF(PNL!B906="","",PNL!B906)</f>
        <v/>
      </c>
      <c r="C906" t="str">
        <f>IF(PNL!C906="","",PNL!C906)</f>
        <v/>
      </c>
      <c r="D906" t="str">
        <f>IF(PNL!D906="","",PNL!D906)</f>
        <v/>
      </c>
      <c r="E906" t="str">
        <f t="shared" si="154"/>
        <v/>
      </c>
      <c r="F906" t="str">
        <f>IF($A906="","",IF($E906=1,SUMIFS(Compta!$F$1:$F$675,Compta!$A$1:$A$675,$A906,Compta!$B$1:$B$675,$B906,Compta!$C$1:$C$675,"2026"),0))</f>
        <v/>
      </c>
      <c r="G906" t="str">
        <f t="shared" si="155"/>
        <v/>
      </c>
      <c r="H906" t="str">
        <f t="shared" si="156"/>
        <v/>
      </c>
      <c r="I906" t="str">
        <f t="shared" si="157"/>
        <v/>
      </c>
      <c r="J906" t="str">
        <f t="shared" si="158"/>
        <v/>
      </c>
      <c r="K906" t="str">
        <f t="shared" si="159"/>
        <v/>
      </c>
      <c r="L906" t="str">
        <f t="shared" si="160"/>
        <v/>
      </c>
      <c r="M906" t="str">
        <f t="shared" si="161"/>
        <v/>
      </c>
      <c r="N906" t="str">
        <f t="shared" si="162"/>
        <v/>
      </c>
      <c r="O906" t="str">
        <f t="shared" si="163"/>
        <v/>
      </c>
      <c r="P906" t="str">
        <f>IF($A906="","",IF($E906=1,$F906*$O906,PNL!G906))</f>
        <v/>
      </c>
      <c r="T906" t="str">
        <f t="shared" si="164"/>
        <v/>
      </c>
    </row>
    <row r="907" spans="1:20" x14ac:dyDescent="0.45">
      <c r="A907" t="str">
        <f>IF(PNL!A907="","",PNL!A907)</f>
        <v/>
      </c>
      <c r="B907" t="str">
        <f>IF(PNL!B907="","",PNL!B907)</f>
        <v/>
      </c>
      <c r="C907" t="str">
        <f>IF(PNL!C907="","",PNL!C907)</f>
        <v/>
      </c>
      <c r="D907" t="str">
        <f>IF(PNL!D907="","",PNL!D907)</f>
        <v/>
      </c>
      <c r="E907" t="str">
        <f t="shared" si="154"/>
        <v/>
      </c>
      <c r="F907" t="str">
        <f>IF($A907="","",IF($E907=1,SUMIFS(Compta!$F$1:$F$675,Compta!$A$1:$A$675,$A907,Compta!$B$1:$B$675,$B907,Compta!$C$1:$C$675,"2026"),0))</f>
        <v/>
      </c>
      <c r="G907" t="str">
        <f t="shared" si="155"/>
        <v/>
      </c>
      <c r="H907" t="str">
        <f t="shared" si="156"/>
        <v/>
      </c>
      <c r="I907" t="str">
        <f t="shared" si="157"/>
        <v/>
      </c>
      <c r="J907" t="str">
        <f t="shared" si="158"/>
        <v/>
      </c>
      <c r="K907" t="str">
        <f t="shared" si="159"/>
        <v/>
      </c>
      <c r="L907" t="str">
        <f t="shared" si="160"/>
        <v/>
      </c>
      <c r="M907" t="str">
        <f t="shared" si="161"/>
        <v/>
      </c>
      <c r="N907" t="str">
        <f t="shared" si="162"/>
        <v/>
      </c>
      <c r="O907" t="str">
        <f t="shared" si="163"/>
        <v/>
      </c>
      <c r="P907" t="str">
        <f>IF($A907="","",IF($E907=1,$F907*$O907,PNL!G907))</f>
        <v/>
      </c>
      <c r="T907" t="str">
        <f t="shared" si="164"/>
        <v/>
      </c>
    </row>
    <row r="908" spans="1:20" x14ac:dyDescent="0.45">
      <c r="A908" t="str">
        <f>IF(PNL!A908="","",PNL!A908)</f>
        <v/>
      </c>
      <c r="B908" t="str">
        <f>IF(PNL!B908="","",PNL!B908)</f>
        <v/>
      </c>
      <c r="C908" t="str">
        <f>IF(PNL!C908="","",PNL!C908)</f>
        <v/>
      </c>
      <c r="D908" t="str">
        <f>IF(PNL!D908="","",PNL!D908)</f>
        <v/>
      </c>
      <c r="E908" t="str">
        <f t="shared" si="154"/>
        <v/>
      </c>
      <c r="F908" t="str">
        <f>IF($A908="","",IF($E908=1,SUMIFS(Compta!$F$1:$F$675,Compta!$A$1:$A$675,$A908,Compta!$B$1:$B$675,$B908,Compta!$C$1:$C$675,"2026"),0))</f>
        <v/>
      </c>
      <c r="G908" t="str">
        <f t="shared" si="155"/>
        <v/>
      </c>
      <c r="H908" t="str">
        <f t="shared" si="156"/>
        <v/>
      </c>
      <c r="I908" t="str">
        <f t="shared" si="157"/>
        <v/>
      </c>
      <c r="J908" t="str">
        <f t="shared" si="158"/>
        <v/>
      </c>
      <c r="K908" t="str">
        <f t="shared" si="159"/>
        <v/>
      </c>
      <c r="L908" t="str">
        <f t="shared" si="160"/>
        <v/>
      </c>
      <c r="M908" t="str">
        <f t="shared" si="161"/>
        <v/>
      </c>
      <c r="N908" t="str">
        <f t="shared" si="162"/>
        <v/>
      </c>
      <c r="O908" t="str">
        <f t="shared" si="163"/>
        <v/>
      </c>
      <c r="P908" t="str">
        <f>IF($A908="","",IF($E908=1,$F908*$O908,PNL!G908))</f>
        <v/>
      </c>
      <c r="T908" t="str">
        <f t="shared" si="164"/>
        <v/>
      </c>
    </row>
    <row r="909" spans="1:20" x14ac:dyDescent="0.45">
      <c r="A909" t="str">
        <f>IF(PNL!A909="","",PNL!A909)</f>
        <v/>
      </c>
      <c r="B909" t="str">
        <f>IF(PNL!B909="","",PNL!B909)</f>
        <v/>
      </c>
      <c r="C909" t="str">
        <f>IF(PNL!C909="","",PNL!C909)</f>
        <v/>
      </c>
      <c r="D909" t="str">
        <f>IF(PNL!D909="","",PNL!D909)</f>
        <v/>
      </c>
      <c r="E909" t="str">
        <f t="shared" si="154"/>
        <v/>
      </c>
      <c r="F909" t="str">
        <f>IF($A909="","",IF($E909=1,SUMIFS(Compta!$F$1:$F$675,Compta!$A$1:$A$675,$A909,Compta!$B$1:$B$675,$B909,Compta!$C$1:$C$675,"2026"),0))</f>
        <v/>
      </c>
      <c r="G909" t="str">
        <f t="shared" si="155"/>
        <v/>
      </c>
      <c r="H909" t="str">
        <f t="shared" si="156"/>
        <v/>
      </c>
      <c r="I909" t="str">
        <f t="shared" si="157"/>
        <v/>
      </c>
      <c r="J909" t="str">
        <f t="shared" si="158"/>
        <v/>
      </c>
      <c r="K909" t="str">
        <f t="shared" si="159"/>
        <v/>
      </c>
      <c r="L909" t="str">
        <f t="shared" si="160"/>
        <v/>
      </c>
      <c r="M909" t="str">
        <f t="shared" si="161"/>
        <v/>
      </c>
      <c r="N909" t="str">
        <f t="shared" si="162"/>
        <v/>
      </c>
      <c r="O909" t="str">
        <f t="shared" si="163"/>
        <v/>
      </c>
      <c r="P909" t="str">
        <f>IF($A909="","",IF($E909=1,$F909*$O909,PNL!G909))</f>
        <v/>
      </c>
      <c r="T909" t="str">
        <f t="shared" si="164"/>
        <v/>
      </c>
    </row>
    <row r="910" spans="1:20" x14ac:dyDescent="0.45">
      <c r="A910" t="str">
        <f>IF(PNL!A910="","",PNL!A910)</f>
        <v/>
      </c>
      <c r="B910" t="str">
        <f>IF(PNL!B910="","",PNL!B910)</f>
        <v/>
      </c>
      <c r="C910" t="str">
        <f>IF(PNL!C910="","",PNL!C910)</f>
        <v/>
      </c>
      <c r="D910" t="str">
        <f>IF(PNL!D910="","",PNL!D910)</f>
        <v/>
      </c>
      <c r="E910" t="str">
        <f t="shared" si="154"/>
        <v/>
      </c>
      <c r="F910" t="str">
        <f>IF($A910="","",IF($E910=1,SUMIFS(Compta!$F$1:$F$675,Compta!$A$1:$A$675,$A910,Compta!$B$1:$B$675,$B910,Compta!$C$1:$C$675,"2026"),0))</f>
        <v/>
      </c>
      <c r="G910" t="str">
        <f t="shared" si="155"/>
        <v/>
      </c>
      <c r="H910" t="str">
        <f t="shared" si="156"/>
        <v/>
      </c>
      <c r="I910" t="str">
        <f t="shared" si="157"/>
        <v/>
      </c>
      <c r="J910" t="str">
        <f t="shared" si="158"/>
        <v/>
      </c>
      <c r="K910" t="str">
        <f t="shared" si="159"/>
        <v/>
      </c>
      <c r="L910" t="str">
        <f t="shared" si="160"/>
        <v/>
      </c>
      <c r="M910" t="str">
        <f t="shared" si="161"/>
        <v/>
      </c>
      <c r="N910" t="str">
        <f t="shared" si="162"/>
        <v/>
      </c>
      <c r="O910" t="str">
        <f t="shared" si="163"/>
        <v/>
      </c>
      <c r="P910" t="str">
        <f>IF($A910="","",IF($E910=1,$F910*$O910,PNL!G910))</f>
        <v/>
      </c>
      <c r="T910" t="str">
        <f t="shared" si="164"/>
        <v/>
      </c>
    </row>
    <row r="911" spans="1:20" x14ac:dyDescent="0.45">
      <c r="A911" t="str">
        <f>IF(PNL!A911="","",PNL!A911)</f>
        <v/>
      </c>
      <c r="B911" t="str">
        <f>IF(PNL!B911="","",PNL!B911)</f>
        <v/>
      </c>
      <c r="C911" t="str">
        <f>IF(PNL!C911="","",PNL!C911)</f>
        <v/>
      </c>
      <c r="D911" t="str">
        <f>IF(PNL!D911="","",PNL!D911)</f>
        <v/>
      </c>
      <c r="E911" t="str">
        <f t="shared" si="154"/>
        <v/>
      </c>
      <c r="F911" t="str">
        <f>IF($A911="","",IF($E911=1,SUMIFS(Compta!$F$1:$F$675,Compta!$A$1:$A$675,$A911,Compta!$B$1:$B$675,$B911,Compta!$C$1:$C$675,"2026"),0))</f>
        <v/>
      </c>
      <c r="G911" t="str">
        <f t="shared" si="155"/>
        <v/>
      </c>
      <c r="H911" t="str">
        <f t="shared" si="156"/>
        <v/>
      </c>
      <c r="I911" t="str">
        <f t="shared" si="157"/>
        <v/>
      </c>
      <c r="J911" t="str">
        <f t="shared" si="158"/>
        <v/>
      </c>
      <c r="K911" t="str">
        <f t="shared" si="159"/>
        <v/>
      </c>
      <c r="L911" t="str">
        <f t="shared" si="160"/>
        <v/>
      </c>
      <c r="M911" t="str">
        <f t="shared" si="161"/>
        <v/>
      </c>
      <c r="N911" t="str">
        <f t="shared" si="162"/>
        <v/>
      </c>
      <c r="O911" t="str">
        <f t="shared" si="163"/>
        <v/>
      </c>
      <c r="P911" t="str">
        <f>IF($A911="","",IF($E911=1,$F911*$O911,PNL!G911))</f>
        <v/>
      </c>
      <c r="T911" t="str">
        <f t="shared" si="164"/>
        <v/>
      </c>
    </row>
    <row r="912" spans="1:20" x14ac:dyDescent="0.45">
      <c r="A912" t="str">
        <f>IF(PNL!A912="","",PNL!A912)</f>
        <v/>
      </c>
      <c r="B912" t="str">
        <f>IF(PNL!B912="","",PNL!B912)</f>
        <v/>
      </c>
      <c r="C912" t="str">
        <f>IF(PNL!C912="","",PNL!C912)</f>
        <v/>
      </c>
      <c r="D912" t="str">
        <f>IF(PNL!D912="","",PNL!D912)</f>
        <v/>
      </c>
      <c r="E912" t="str">
        <f t="shared" si="154"/>
        <v/>
      </c>
      <c r="F912" t="str">
        <f>IF($A912="","",IF($E912=1,SUMIFS(Compta!$F$1:$F$675,Compta!$A$1:$A$675,$A912,Compta!$B$1:$B$675,$B912,Compta!$C$1:$C$675,"2026"),0))</f>
        <v/>
      </c>
      <c r="G912" t="str">
        <f t="shared" si="155"/>
        <v/>
      </c>
      <c r="H912" t="str">
        <f t="shared" si="156"/>
        <v/>
      </c>
      <c r="I912" t="str">
        <f t="shared" si="157"/>
        <v/>
      </c>
      <c r="J912" t="str">
        <f t="shared" si="158"/>
        <v/>
      </c>
      <c r="K912" t="str">
        <f t="shared" si="159"/>
        <v/>
      </c>
      <c r="L912" t="str">
        <f t="shared" si="160"/>
        <v/>
      </c>
      <c r="M912" t="str">
        <f t="shared" si="161"/>
        <v/>
      </c>
      <c r="N912" t="str">
        <f t="shared" si="162"/>
        <v/>
      </c>
      <c r="O912" t="str">
        <f t="shared" si="163"/>
        <v/>
      </c>
      <c r="P912" t="str">
        <f>IF($A912="","",IF($E912=1,$F912*$O912,PNL!G912))</f>
        <v/>
      </c>
      <c r="T912" t="str">
        <f t="shared" si="164"/>
        <v/>
      </c>
    </row>
    <row r="913" spans="1:20" x14ac:dyDescent="0.45">
      <c r="A913" t="str">
        <f>IF(PNL!A913="","",PNL!A913)</f>
        <v/>
      </c>
      <c r="B913" t="str">
        <f>IF(PNL!B913="","",PNL!B913)</f>
        <v/>
      </c>
      <c r="C913" t="str">
        <f>IF(PNL!C913="","",PNL!C913)</f>
        <v/>
      </c>
      <c r="D913" t="str">
        <f>IF(PNL!D913="","",PNL!D913)</f>
        <v/>
      </c>
      <c r="E913" t="str">
        <f t="shared" si="154"/>
        <v/>
      </c>
      <c r="F913" t="str">
        <f>IF($A913="","",IF($E913=1,SUMIFS(Compta!$F$1:$F$675,Compta!$A$1:$A$675,$A913,Compta!$B$1:$B$675,$B913,Compta!$C$1:$C$675,"2026"),0))</f>
        <v/>
      </c>
      <c r="G913" t="str">
        <f t="shared" si="155"/>
        <v/>
      </c>
      <c r="H913" t="str">
        <f t="shared" si="156"/>
        <v/>
      </c>
      <c r="I913" t="str">
        <f t="shared" si="157"/>
        <v/>
      </c>
      <c r="J913" t="str">
        <f t="shared" si="158"/>
        <v/>
      </c>
      <c r="K913" t="str">
        <f t="shared" si="159"/>
        <v/>
      </c>
      <c r="L913" t="str">
        <f t="shared" si="160"/>
        <v/>
      </c>
      <c r="M913" t="str">
        <f t="shared" si="161"/>
        <v/>
      </c>
      <c r="N913" t="str">
        <f t="shared" si="162"/>
        <v/>
      </c>
      <c r="O913" t="str">
        <f t="shared" si="163"/>
        <v/>
      </c>
      <c r="P913" t="str">
        <f>IF($A913="","",IF($E913=1,$F913*$O913,PNL!G913))</f>
        <v/>
      </c>
      <c r="T913" t="str">
        <f t="shared" si="164"/>
        <v/>
      </c>
    </row>
    <row r="914" spans="1:20" x14ac:dyDescent="0.45">
      <c r="A914" t="str">
        <f>IF(PNL!A914="","",PNL!A914)</f>
        <v/>
      </c>
      <c r="B914" t="str">
        <f>IF(PNL!B914="","",PNL!B914)</f>
        <v/>
      </c>
      <c r="C914" t="str">
        <f>IF(PNL!C914="","",PNL!C914)</f>
        <v/>
      </c>
      <c r="D914" t="str">
        <f>IF(PNL!D914="","",PNL!D914)</f>
        <v/>
      </c>
      <c r="E914" t="str">
        <f t="shared" si="154"/>
        <v/>
      </c>
      <c r="F914" t="str">
        <f>IF($A914="","",IF($E914=1,SUMIFS(Compta!$F$1:$F$675,Compta!$A$1:$A$675,$A914,Compta!$B$1:$B$675,$B914,Compta!$C$1:$C$675,"2026"),0))</f>
        <v/>
      </c>
      <c r="G914" t="str">
        <f t="shared" si="155"/>
        <v/>
      </c>
      <c r="H914" t="str">
        <f t="shared" si="156"/>
        <v/>
      </c>
      <c r="I914" t="str">
        <f t="shared" si="157"/>
        <v/>
      </c>
      <c r="J914" t="str">
        <f t="shared" si="158"/>
        <v/>
      </c>
      <c r="K914" t="str">
        <f t="shared" si="159"/>
        <v/>
      </c>
      <c r="L914" t="str">
        <f t="shared" si="160"/>
        <v/>
      </c>
      <c r="M914" t="str">
        <f t="shared" si="161"/>
        <v/>
      </c>
      <c r="N914" t="str">
        <f t="shared" si="162"/>
        <v/>
      </c>
      <c r="O914" t="str">
        <f t="shared" si="163"/>
        <v/>
      </c>
      <c r="P914" t="str">
        <f>IF($A914="","",IF($E914=1,$F914*$O914,PNL!G914))</f>
        <v/>
      </c>
      <c r="T914" t="str">
        <f t="shared" si="164"/>
        <v/>
      </c>
    </row>
    <row r="915" spans="1:20" x14ac:dyDescent="0.45">
      <c r="A915" t="str">
        <f>IF(PNL!A915="","",PNL!A915)</f>
        <v/>
      </c>
      <c r="B915" t="str">
        <f>IF(PNL!B915="","",PNL!B915)</f>
        <v/>
      </c>
      <c r="C915" t="str">
        <f>IF(PNL!C915="","",PNL!C915)</f>
        <v/>
      </c>
      <c r="D915" t="str">
        <f>IF(PNL!D915="","",PNL!D915)</f>
        <v/>
      </c>
      <c r="E915" t="str">
        <f t="shared" si="154"/>
        <v/>
      </c>
      <c r="F915" t="str">
        <f>IF($A915="","",IF($E915=1,SUMIFS(Compta!$F$1:$F$675,Compta!$A$1:$A$675,$A915,Compta!$B$1:$B$675,$B915,Compta!$C$1:$C$675,"2026"),0))</f>
        <v/>
      </c>
      <c r="G915" t="str">
        <f t="shared" si="155"/>
        <v/>
      </c>
      <c r="H915" t="str">
        <f t="shared" si="156"/>
        <v/>
      </c>
      <c r="I915" t="str">
        <f t="shared" si="157"/>
        <v/>
      </c>
      <c r="J915" t="str">
        <f t="shared" si="158"/>
        <v/>
      </c>
      <c r="K915" t="str">
        <f t="shared" si="159"/>
        <v/>
      </c>
      <c r="L915" t="str">
        <f t="shared" si="160"/>
        <v/>
      </c>
      <c r="M915" t="str">
        <f t="shared" si="161"/>
        <v/>
      </c>
      <c r="N915" t="str">
        <f t="shared" si="162"/>
        <v/>
      </c>
      <c r="O915" t="str">
        <f t="shared" si="163"/>
        <v/>
      </c>
      <c r="P915" t="str">
        <f>IF($A915="","",IF($E915=1,$F915*$O915,PNL!G915))</f>
        <v/>
      </c>
      <c r="T915" t="str">
        <f t="shared" si="164"/>
        <v/>
      </c>
    </row>
    <row r="916" spans="1:20" x14ac:dyDescent="0.45">
      <c r="A916" t="str">
        <f>IF(PNL!A916="","",PNL!A916)</f>
        <v/>
      </c>
      <c r="B916" t="str">
        <f>IF(PNL!B916="","",PNL!B916)</f>
        <v/>
      </c>
      <c r="C916" t="str">
        <f>IF(PNL!C916="","",PNL!C916)</f>
        <v/>
      </c>
      <c r="D916" t="str">
        <f>IF(PNL!D916="","",PNL!D916)</f>
        <v/>
      </c>
      <c r="E916" t="str">
        <f t="shared" si="154"/>
        <v/>
      </c>
      <c r="F916" t="str">
        <f>IF($A916="","",IF($E916=1,SUMIFS(Compta!$F$1:$F$675,Compta!$A$1:$A$675,$A916,Compta!$B$1:$B$675,$B916,Compta!$C$1:$C$675,"2026"),0))</f>
        <v/>
      </c>
      <c r="G916" t="str">
        <f t="shared" si="155"/>
        <v/>
      </c>
      <c r="H916" t="str">
        <f t="shared" si="156"/>
        <v/>
      </c>
      <c r="I916" t="str">
        <f t="shared" si="157"/>
        <v/>
      </c>
      <c r="J916" t="str">
        <f t="shared" si="158"/>
        <v/>
      </c>
      <c r="K916" t="str">
        <f t="shared" si="159"/>
        <v/>
      </c>
      <c r="L916" t="str">
        <f t="shared" si="160"/>
        <v/>
      </c>
      <c r="M916" t="str">
        <f t="shared" si="161"/>
        <v/>
      </c>
      <c r="N916" t="str">
        <f t="shared" si="162"/>
        <v/>
      </c>
      <c r="O916" t="str">
        <f t="shared" si="163"/>
        <v/>
      </c>
      <c r="P916" t="str">
        <f>IF($A916="","",IF($E916=1,$F916*$O916,PNL!G916))</f>
        <v/>
      </c>
      <c r="T916" t="str">
        <f t="shared" si="164"/>
        <v/>
      </c>
    </row>
    <row r="917" spans="1:20" x14ac:dyDescent="0.45">
      <c r="A917" t="str">
        <f>IF(PNL!A917="","",PNL!A917)</f>
        <v/>
      </c>
      <c r="B917" t="str">
        <f>IF(PNL!B917="","",PNL!B917)</f>
        <v/>
      </c>
      <c r="C917" t="str">
        <f>IF(PNL!C917="","",PNL!C917)</f>
        <v/>
      </c>
      <c r="D917" t="str">
        <f>IF(PNL!D917="","",PNL!D917)</f>
        <v/>
      </c>
      <c r="E917" t="str">
        <f t="shared" si="154"/>
        <v/>
      </c>
      <c r="F917" t="str">
        <f>IF($A917="","",IF($E917=1,SUMIFS(Compta!$F$1:$F$675,Compta!$A$1:$A$675,$A917,Compta!$B$1:$B$675,$B917,Compta!$C$1:$C$675,"2026"),0))</f>
        <v/>
      </c>
      <c r="G917" t="str">
        <f t="shared" si="155"/>
        <v/>
      </c>
      <c r="H917" t="str">
        <f t="shared" si="156"/>
        <v/>
      </c>
      <c r="I917" t="str">
        <f t="shared" si="157"/>
        <v/>
      </c>
      <c r="J917" t="str">
        <f t="shared" si="158"/>
        <v/>
      </c>
      <c r="K917" t="str">
        <f t="shared" si="159"/>
        <v/>
      </c>
      <c r="L917" t="str">
        <f t="shared" si="160"/>
        <v/>
      </c>
      <c r="M917" t="str">
        <f t="shared" si="161"/>
        <v/>
      </c>
      <c r="N917" t="str">
        <f t="shared" si="162"/>
        <v/>
      </c>
      <c r="O917" t="str">
        <f t="shared" si="163"/>
        <v/>
      </c>
      <c r="P917" t="str">
        <f>IF($A917="","",IF($E917=1,$F917*$O917,PNL!G917))</f>
        <v/>
      </c>
      <c r="T917" t="str">
        <f t="shared" si="164"/>
        <v/>
      </c>
    </row>
    <row r="918" spans="1:20" x14ac:dyDescent="0.45">
      <c r="A918" t="str">
        <f>IF(PNL!A918="","",PNL!A918)</f>
        <v/>
      </c>
      <c r="B918" t="str">
        <f>IF(PNL!B918="","",PNL!B918)</f>
        <v/>
      </c>
      <c r="C918" t="str">
        <f>IF(PNL!C918="","",PNL!C918)</f>
        <v/>
      </c>
      <c r="D918" t="str">
        <f>IF(PNL!D918="","",PNL!D918)</f>
        <v/>
      </c>
      <c r="E918" t="str">
        <f t="shared" si="154"/>
        <v/>
      </c>
      <c r="F918" t="str">
        <f>IF($A918="","",IF($E918=1,SUMIFS(Compta!$F$1:$F$675,Compta!$A$1:$A$675,$A918,Compta!$B$1:$B$675,$B918,Compta!$C$1:$C$675,"2026"),0))</f>
        <v/>
      </c>
      <c r="G918" t="str">
        <f t="shared" si="155"/>
        <v/>
      </c>
      <c r="H918" t="str">
        <f t="shared" si="156"/>
        <v/>
      </c>
      <c r="I918" t="str">
        <f t="shared" si="157"/>
        <v/>
      </c>
      <c r="J918" t="str">
        <f t="shared" si="158"/>
        <v/>
      </c>
      <c r="K918" t="str">
        <f t="shared" si="159"/>
        <v/>
      </c>
      <c r="L918" t="str">
        <f t="shared" si="160"/>
        <v/>
      </c>
      <c r="M918" t="str">
        <f t="shared" si="161"/>
        <v/>
      </c>
      <c r="N918" t="str">
        <f t="shared" si="162"/>
        <v/>
      </c>
      <c r="O918" t="str">
        <f t="shared" si="163"/>
        <v/>
      </c>
      <c r="P918" t="str">
        <f>IF($A918="","",IF($E918=1,$F918*$O918,PNL!G918))</f>
        <v/>
      </c>
      <c r="T918" t="str">
        <f t="shared" si="164"/>
        <v/>
      </c>
    </row>
    <row r="919" spans="1:20" x14ac:dyDescent="0.45">
      <c r="A919" t="str">
        <f>IF(PNL!A919="","",PNL!A919)</f>
        <v/>
      </c>
      <c r="B919" t="str">
        <f>IF(PNL!B919="","",PNL!B919)</f>
        <v/>
      </c>
      <c r="C919" t="str">
        <f>IF(PNL!C919="","",PNL!C919)</f>
        <v/>
      </c>
      <c r="D919" t="str">
        <f>IF(PNL!D919="","",PNL!D919)</f>
        <v/>
      </c>
      <c r="E919" t="str">
        <f t="shared" si="154"/>
        <v/>
      </c>
      <c r="F919" t="str">
        <f>IF($A919="","",IF($E919=1,SUMIFS(Compta!$F$1:$F$675,Compta!$A$1:$A$675,$A919,Compta!$B$1:$B$675,$B919,Compta!$C$1:$C$675,"2026"),0))</f>
        <v/>
      </c>
      <c r="G919" t="str">
        <f t="shared" si="155"/>
        <v/>
      </c>
      <c r="H919" t="str">
        <f t="shared" si="156"/>
        <v/>
      </c>
      <c r="I919" t="str">
        <f t="shared" si="157"/>
        <v/>
      </c>
      <c r="J919" t="str">
        <f t="shared" si="158"/>
        <v/>
      </c>
      <c r="K919" t="str">
        <f t="shared" si="159"/>
        <v/>
      </c>
      <c r="L919" t="str">
        <f t="shared" si="160"/>
        <v/>
      </c>
      <c r="M919" t="str">
        <f t="shared" si="161"/>
        <v/>
      </c>
      <c r="N919" t="str">
        <f t="shared" si="162"/>
        <v/>
      </c>
      <c r="O919" t="str">
        <f t="shared" si="163"/>
        <v/>
      </c>
      <c r="P919" t="str">
        <f>IF($A919="","",IF($E919=1,$F919*$O919,PNL!G919))</f>
        <v/>
      </c>
      <c r="T919" t="str">
        <f t="shared" si="164"/>
        <v/>
      </c>
    </row>
    <row r="920" spans="1:20" x14ac:dyDescent="0.45">
      <c r="A920" t="str">
        <f>IF(PNL!A920="","",PNL!A920)</f>
        <v/>
      </c>
      <c r="B920" t="str">
        <f>IF(PNL!B920="","",PNL!B920)</f>
        <v/>
      </c>
      <c r="C920" t="str">
        <f>IF(PNL!C920="","",PNL!C920)</f>
        <v/>
      </c>
      <c r="D920" t="str">
        <f>IF(PNL!D920="","",PNL!D920)</f>
        <v/>
      </c>
      <c r="E920" t="str">
        <f t="shared" si="154"/>
        <v/>
      </c>
      <c r="F920" t="str">
        <f>IF($A920="","",IF($E920=1,SUMIFS(Compta!$F$1:$F$675,Compta!$A$1:$A$675,$A920,Compta!$B$1:$B$675,$B920,Compta!$C$1:$C$675,"2026"),0))</f>
        <v/>
      </c>
      <c r="G920" t="str">
        <f t="shared" si="155"/>
        <v/>
      </c>
      <c r="H920" t="str">
        <f t="shared" si="156"/>
        <v/>
      </c>
      <c r="I920" t="str">
        <f t="shared" si="157"/>
        <v/>
      </c>
      <c r="J920" t="str">
        <f t="shared" si="158"/>
        <v/>
      </c>
      <c r="K920" t="str">
        <f t="shared" si="159"/>
        <v/>
      </c>
      <c r="L920" t="str">
        <f t="shared" si="160"/>
        <v/>
      </c>
      <c r="M920" t="str">
        <f t="shared" si="161"/>
        <v/>
      </c>
      <c r="N920" t="str">
        <f t="shared" si="162"/>
        <v/>
      </c>
      <c r="O920" t="str">
        <f t="shared" si="163"/>
        <v/>
      </c>
      <c r="P920" t="str">
        <f>IF($A920="","",IF($E920=1,$F920*$O920,PNL!G920))</f>
        <v/>
      </c>
      <c r="T920" t="str">
        <f t="shared" si="164"/>
        <v/>
      </c>
    </row>
    <row r="921" spans="1:20" x14ac:dyDescent="0.45">
      <c r="A921" t="str">
        <f>IF(PNL!A921="","",PNL!A921)</f>
        <v/>
      </c>
      <c r="B921" t="str">
        <f>IF(PNL!B921="","",PNL!B921)</f>
        <v/>
      </c>
      <c r="C921" t="str">
        <f>IF(PNL!C921="","",PNL!C921)</f>
        <v/>
      </c>
      <c r="D921" t="str">
        <f>IF(PNL!D921="","",PNL!D921)</f>
        <v/>
      </c>
      <c r="E921" t="str">
        <f t="shared" si="154"/>
        <v/>
      </c>
      <c r="F921" t="str">
        <f>IF($A921="","",IF($E921=1,SUMIFS(Compta!$F$1:$F$675,Compta!$A$1:$A$675,$A921,Compta!$B$1:$B$675,$B921,Compta!$C$1:$C$675,"2026"),0))</f>
        <v/>
      </c>
      <c r="G921" t="str">
        <f t="shared" si="155"/>
        <v/>
      </c>
      <c r="H921" t="str">
        <f t="shared" si="156"/>
        <v/>
      </c>
      <c r="I921" t="str">
        <f t="shared" si="157"/>
        <v/>
      </c>
      <c r="J921" t="str">
        <f t="shared" si="158"/>
        <v/>
      </c>
      <c r="K921" t="str">
        <f t="shared" si="159"/>
        <v/>
      </c>
      <c r="L921" t="str">
        <f t="shared" si="160"/>
        <v/>
      </c>
      <c r="M921" t="str">
        <f t="shared" si="161"/>
        <v/>
      </c>
      <c r="N921" t="str">
        <f t="shared" si="162"/>
        <v/>
      </c>
      <c r="O921" t="str">
        <f t="shared" si="163"/>
        <v/>
      </c>
      <c r="P921" t="str">
        <f>IF($A921="","",IF($E921=1,$F921*$O921,PNL!G921))</f>
        <v/>
      </c>
      <c r="T921" t="str">
        <f t="shared" si="164"/>
        <v/>
      </c>
    </row>
    <row r="922" spans="1:20" x14ac:dyDescent="0.45">
      <c r="A922" t="str">
        <f>IF(PNL!A922="","",PNL!A922)</f>
        <v/>
      </c>
      <c r="B922" t="str">
        <f>IF(PNL!B922="","",PNL!B922)</f>
        <v/>
      </c>
      <c r="C922" t="str">
        <f>IF(PNL!C922="","",PNL!C922)</f>
        <v/>
      </c>
      <c r="D922" t="str">
        <f>IF(PNL!D922="","",PNL!D922)</f>
        <v/>
      </c>
      <c r="E922" t="str">
        <f t="shared" si="154"/>
        <v/>
      </c>
      <c r="F922" t="str">
        <f>IF($A922="","",IF($E922=1,SUMIFS(Compta!$F$1:$F$675,Compta!$A$1:$A$675,$A922,Compta!$B$1:$B$675,$B922,Compta!$C$1:$C$675,"2026"),0))</f>
        <v/>
      </c>
      <c r="G922" t="str">
        <f t="shared" si="155"/>
        <v/>
      </c>
      <c r="H922" t="str">
        <f t="shared" si="156"/>
        <v/>
      </c>
      <c r="I922" t="str">
        <f t="shared" si="157"/>
        <v/>
      </c>
      <c r="J922" t="str">
        <f t="shared" si="158"/>
        <v/>
      </c>
      <c r="K922" t="str">
        <f t="shared" si="159"/>
        <v/>
      </c>
      <c r="L922" t="str">
        <f t="shared" si="160"/>
        <v/>
      </c>
      <c r="M922" t="str">
        <f t="shared" si="161"/>
        <v/>
      </c>
      <c r="N922" t="str">
        <f t="shared" si="162"/>
        <v/>
      </c>
      <c r="O922" t="str">
        <f t="shared" si="163"/>
        <v/>
      </c>
      <c r="P922" t="str">
        <f>IF($A922="","",IF($E922=1,$F922*$O922,PNL!G922))</f>
        <v/>
      </c>
      <c r="T922" t="str">
        <f t="shared" si="164"/>
        <v/>
      </c>
    </row>
    <row r="923" spans="1:20" x14ac:dyDescent="0.45">
      <c r="A923" t="str">
        <f>IF(PNL!A923="","",PNL!A923)</f>
        <v/>
      </c>
      <c r="B923" t="str">
        <f>IF(PNL!B923="","",PNL!B923)</f>
        <v/>
      </c>
      <c r="C923" t="str">
        <f>IF(PNL!C923="","",PNL!C923)</f>
        <v/>
      </c>
      <c r="D923" t="str">
        <f>IF(PNL!D923="","",PNL!D923)</f>
        <v/>
      </c>
      <c r="E923" t="str">
        <f t="shared" si="154"/>
        <v/>
      </c>
      <c r="F923" t="str">
        <f>IF($A923="","",IF($E923=1,SUMIFS(Compta!$F$1:$F$675,Compta!$A$1:$A$675,$A923,Compta!$B$1:$B$675,$B923,Compta!$C$1:$C$675,"2026"),0))</f>
        <v/>
      </c>
      <c r="G923" t="str">
        <f t="shared" si="155"/>
        <v/>
      </c>
      <c r="H923" t="str">
        <f t="shared" si="156"/>
        <v/>
      </c>
      <c r="I923" t="str">
        <f t="shared" si="157"/>
        <v/>
      </c>
      <c r="J923" t="str">
        <f t="shared" si="158"/>
        <v/>
      </c>
      <c r="K923" t="str">
        <f t="shared" si="159"/>
        <v/>
      </c>
      <c r="L923" t="str">
        <f t="shared" si="160"/>
        <v/>
      </c>
      <c r="M923" t="str">
        <f t="shared" si="161"/>
        <v/>
      </c>
      <c r="N923" t="str">
        <f t="shared" si="162"/>
        <v/>
      </c>
      <c r="O923" t="str">
        <f t="shared" si="163"/>
        <v/>
      </c>
      <c r="P923" t="str">
        <f>IF($A923="","",IF($E923=1,$F923*$O923,PNL!G923))</f>
        <v/>
      </c>
      <c r="T923" t="str">
        <f t="shared" si="164"/>
        <v/>
      </c>
    </row>
    <row r="924" spans="1:20" x14ac:dyDescent="0.45">
      <c r="A924" t="str">
        <f>IF(PNL!A924="","",PNL!A924)</f>
        <v/>
      </c>
      <c r="B924" t="str">
        <f>IF(PNL!B924="","",PNL!B924)</f>
        <v/>
      </c>
      <c r="C924" t="str">
        <f>IF(PNL!C924="","",PNL!C924)</f>
        <v/>
      </c>
      <c r="D924" t="str">
        <f>IF(PNL!D924="","",PNL!D924)</f>
        <v/>
      </c>
      <c r="E924" t="str">
        <f t="shared" si="154"/>
        <v/>
      </c>
      <c r="F924" t="str">
        <f>IF($A924="","",IF($E924=1,SUMIFS(Compta!$F$1:$F$675,Compta!$A$1:$A$675,$A924,Compta!$B$1:$B$675,$B924,Compta!$C$1:$C$675,"2026"),0))</f>
        <v/>
      </c>
      <c r="G924" t="str">
        <f t="shared" si="155"/>
        <v/>
      </c>
      <c r="H924" t="str">
        <f t="shared" si="156"/>
        <v/>
      </c>
      <c r="I924" t="str">
        <f t="shared" si="157"/>
        <v/>
      </c>
      <c r="J924" t="str">
        <f t="shared" si="158"/>
        <v/>
      </c>
      <c r="K924" t="str">
        <f t="shared" si="159"/>
        <v/>
      </c>
      <c r="L924" t="str">
        <f t="shared" si="160"/>
        <v/>
      </c>
      <c r="M924" t="str">
        <f t="shared" si="161"/>
        <v/>
      </c>
      <c r="N924" t="str">
        <f t="shared" si="162"/>
        <v/>
      </c>
      <c r="O924" t="str">
        <f t="shared" si="163"/>
        <v/>
      </c>
      <c r="P924" t="str">
        <f>IF($A924="","",IF($E924=1,$F924*$O924,PNL!G924))</f>
        <v/>
      </c>
      <c r="T924" t="str">
        <f t="shared" si="164"/>
        <v/>
      </c>
    </row>
    <row r="925" spans="1:20" x14ac:dyDescent="0.45">
      <c r="A925" t="str">
        <f>IF(PNL!A925="","",PNL!A925)</f>
        <v/>
      </c>
      <c r="B925" t="str">
        <f>IF(PNL!B925="","",PNL!B925)</f>
        <v/>
      </c>
      <c r="C925" t="str">
        <f>IF(PNL!C925="","",PNL!C925)</f>
        <v/>
      </c>
      <c r="D925" t="str">
        <f>IF(PNL!D925="","",PNL!D925)</f>
        <v/>
      </c>
      <c r="E925" t="str">
        <f t="shared" si="154"/>
        <v/>
      </c>
      <c r="F925" t="str">
        <f>IF($A925="","",IF($E925=1,SUMIFS(Compta!$F$1:$F$675,Compta!$A$1:$A$675,$A925,Compta!$B$1:$B$675,$B925,Compta!$C$1:$C$675,"2026"),0))</f>
        <v/>
      </c>
      <c r="G925" t="str">
        <f t="shared" si="155"/>
        <v/>
      </c>
      <c r="H925" t="str">
        <f t="shared" si="156"/>
        <v/>
      </c>
      <c r="I925" t="str">
        <f t="shared" si="157"/>
        <v/>
      </c>
      <c r="J925" t="str">
        <f t="shared" si="158"/>
        <v/>
      </c>
      <c r="K925" t="str">
        <f t="shared" si="159"/>
        <v/>
      </c>
      <c r="L925" t="str">
        <f t="shared" si="160"/>
        <v/>
      </c>
      <c r="M925" t="str">
        <f t="shared" si="161"/>
        <v/>
      </c>
      <c r="N925" t="str">
        <f t="shared" si="162"/>
        <v/>
      </c>
      <c r="O925" t="str">
        <f t="shared" si="163"/>
        <v/>
      </c>
      <c r="P925" t="str">
        <f>IF($A925="","",IF($E925=1,$F925*$O925,PNL!G925))</f>
        <v/>
      </c>
      <c r="T925" t="str">
        <f t="shared" si="164"/>
        <v/>
      </c>
    </row>
    <row r="926" spans="1:20" x14ac:dyDescent="0.45">
      <c r="A926" t="str">
        <f>IF(PNL!A926="","",PNL!A926)</f>
        <v/>
      </c>
      <c r="B926" t="str">
        <f>IF(PNL!B926="","",PNL!B926)</f>
        <v/>
      </c>
      <c r="C926" t="str">
        <f>IF(PNL!C926="","",PNL!C926)</f>
        <v/>
      </c>
      <c r="D926" t="str">
        <f>IF(PNL!D926="","",PNL!D926)</f>
        <v/>
      </c>
      <c r="E926" t="str">
        <f t="shared" si="154"/>
        <v/>
      </c>
      <c r="F926" t="str">
        <f>IF($A926="","",IF($E926=1,SUMIFS(Compta!$F$1:$F$675,Compta!$A$1:$A$675,$A926,Compta!$B$1:$B$675,$B926,Compta!$C$1:$C$675,"2026"),0))</f>
        <v/>
      </c>
      <c r="G926" t="str">
        <f t="shared" si="155"/>
        <v/>
      </c>
      <c r="H926" t="str">
        <f t="shared" si="156"/>
        <v/>
      </c>
      <c r="I926" t="str">
        <f t="shared" si="157"/>
        <v/>
      </c>
      <c r="J926" t="str">
        <f t="shared" si="158"/>
        <v/>
      </c>
      <c r="K926" t="str">
        <f t="shared" si="159"/>
        <v/>
      </c>
      <c r="L926" t="str">
        <f t="shared" si="160"/>
        <v/>
      </c>
      <c r="M926" t="str">
        <f t="shared" si="161"/>
        <v/>
      </c>
      <c r="N926" t="str">
        <f t="shared" si="162"/>
        <v/>
      </c>
      <c r="O926" t="str">
        <f t="shared" si="163"/>
        <v/>
      </c>
      <c r="P926" t="str">
        <f>IF($A926="","",IF($E926=1,$F926*$O926,PNL!G926))</f>
        <v/>
      </c>
      <c r="T926" t="str">
        <f t="shared" si="164"/>
        <v/>
      </c>
    </row>
    <row r="927" spans="1:20" x14ac:dyDescent="0.45">
      <c r="A927" t="str">
        <f>IF(PNL!A927="","",PNL!A927)</f>
        <v/>
      </c>
      <c r="B927" t="str">
        <f>IF(PNL!B927="","",PNL!B927)</f>
        <v/>
      </c>
      <c r="C927" t="str">
        <f>IF(PNL!C927="","",PNL!C927)</f>
        <v/>
      </c>
      <c r="D927" t="str">
        <f>IF(PNL!D927="","",PNL!D927)</f>
        <v/>
      </c>
      <c r="E927" t="str">
        <f t="shared" si="154"/>
        <v/>
      </c>
      <c r="F927" t="str">
        <f>IF($A927="","",IF($E927=1,SUMIFS(Compta!$F$1:$F$675,Compta!$A$1:$A$675,$A927,Compta!$B$1:$B$675,$B927,Compta!$C$1:$C$675,"2026"),0))</f>
        <v/>
      </c>
      <c r="G927" t="str">
        <f t="shared" si="155"/>
        <v/>
      </c>
      <c r="H927" t="str">
        <f t="shared" si="156"/>
        <v/>
      </c>
      <c r="I927" t="str">
        <f t="shared" si="157"/>
        <v/>
      </c>
      <c r="J927" t="str">
        <f t="shared" si="158"/>
        <v/>
      </c>
      <c r="K927" t="str">
        <f t="shared" si="159"/>
        <v/>
      </c>
      <c r="L927" t="str">
        <f t="shared" si="160"/>
        <v/>
      </c>
      <c r="M927" t="str">
        <f t="shared" si="161"/>
        <v/>
      </c>
      <c r="N927" t="str">
        <f t="shared" si="162"/>
        <v/>
      </c>
      <c r="O927" t="str">
        <f t="shared" si="163"/>
        <v/>
      </c>
      <c r="P927" t="str">
        <f>IF($A927="","",IF($E927=1,$F927*$O927,PNL!G927))</f>
        <v/>
      </c>
      <c r="T927" t="str">
        <f t="shared" si="164"/>
        <v/>
      </c>
    </row>
    <row r="928" spans="1:20" x14ac:dyDescent="0.45">
      <c r="A928" t="str">
        <f>IF(PNL!A928="","",PNL!A928)</f>
        <v/>
      </c>
      <c r="B928" t="str">
        <f>IF(PNL!B928="","",PNL!B928)</f>
        <v/>
      </c>
      <c r="C928" t="str">
        <f>IF(PNL!C928="","",PNL!C928)</f>
        <v/>
      </c>
      <c r="D928" t="str">
        <f>IF(PNL!D928="","",PNL!D928)</f>
        <v/>
      </c>
      <c r="E928" t="str">
        <f t="shared" si="154"/>
        <v/>
      </c>
      <c r="F928" t="str">
        <f>IF($A928="","",IF($E928=1,SUMIFS(Compta!$F$1:$F$675,Compta!$A$1:$A$675,$A928,Compta!$B$1:$B$675,$B928,Compta!$C$1:$C$675,"2026"),0))</f>
        <v/>
      </c>
      <c r="G928" t="str">
        <f t="shared" si="155"/>
        <v/>
      </c>
      <c r="H928" t="str">
        <f t="shared" si="156"/>
        <v/>
      </c>
      <c r="I928" t="str">
        <f t="shared" si="157"/>
        <v/>
      </c>
      <c r="J928" t="str">
        <f t="shared" si="158"/>
        <v/>
      </c>
      <c r="K928" t="str">
        <f t="shared" si="159"/>
        <v/>
      </c>
      <c r="L928" t="str">
        <f t="shared" si="160"/>
        <v/>
      </c>
      <c r="M928" t="str">
        <f t="shared" si="161"/>
        <v/>
      </c>
      <c r="N928" t="str">
        <f t="shared" si="162"/>
        <v/>
      </c>
      <c r="O928" t="str">
        <f t="shared" si="163"/>
        <v/>
      </c>
      <c r="P928" t="str">
        <f>IF($A928="","",IF($E928=1,$F928*$O928,PNL!G928))</f>
        <v/>
      </c>
      <c r="T928" t="str">
        <f t="shared" si="164"/>
        <v/>
      </c>
    </row>
    <row r="929" spans="1:20" x14ac:dyDescent="0.45">
      <c r="A929" t="str">
        <f>IF(PNL!A929="","",PNL!A929)</f>
        <v/>
      </c>
      <c r="B929" t="str">
        <f>IF(PNL!B929="","",PNL!B929)</f>
        <v/>
      </c>
      <c r="C929" t="str">
        <f>IF(PNL!C929="","",PNL!C929)</f>
        <v/>
      </c>
      <c r="D929" t="str">
        <f>IF(PNL!D929="","",PNL!D929)</f>
        <v/>
      </c>
      <c r="E929" t="str">
        <f t="shared" si="154"/>
        <v/>
      </c>
      <c r="F929" t="str">
        <f>IF($A929="","",IF($E929=1,SUMIFS(Compta!$F$1:$F$675,Compta!$A$1:$A$675,$A929,Compta!$B$1:$B$675,$B929,Compta!$C$1:$C$675,"2026"),0))</f>
        <v/>
      </c>
      <c r="G929" t="str">
        <f t="shared" si="155"/>
        <v/>
      </c>
      <c r="H929" t="str">
        <f t="shared" si="156"/>
        <v/>
      </c>
      <c r="I929" t="str">
        <f t="shared" si="157"/>
        <v/>
      </c>
      <c r="J929" t="str">
        <f t="shared" si="158"/>
        <v/>
      </c>
      <c r="K929" t="str">
        <f t="shared" si="159"/>
        <v/>
      </c>
      <c r="L929" t="str">
        <f t="shared" si="160"/>
        <v/>
      </c>
      <c r="M929" t="str">
        <f t="shared" si="161"/>
        <v/>
      </c>
      <c r="N929" t="str">
        <f t="shared" si="162"/>
        <v/>
      </c>
      <c r="O929" t="str">
        <f t="shared" si="163"/>
        <v/>
      </c>
      <c r="P929" t="str">
        <f>IF($A929="","",IF($E929=1,$F929*$O929,PNL!G929))</f>
        <v/>
      </c>
      <c r="T929" t="str">
        <f t="shared" si="164"/>
        <v/>
      </c>
    </row>
    <row r="930" spans="1:20" x14ac:dyDescent="0.45">
      <c r="A930" t="str">
        <f>IF(PNL!A930="","",PNL!A930)</f>
        <v/>
      </c>
      <c r="B930" t="str">
        <f>IF(PNL!B930="","",PNL!B930)</f>
        <v/>
      </c>
      <c r="C930" t="str">
        <f>IF(PNL!C930="","",PNL!C930)</f>
        <v/>
      </c>
      <c r="D930" t="str">
        <f>IF(PNL!D930="","",PNL!D930)</f>
        <v/>
      </c>
      <c r="E930" t="str">
        <f t="shared" si="154"/>
        <v/>
      </c>
      <c r="F930" t="str">
        <f>IF($A930="","",IF($E930=1,SUMIFS(Compta!$F$1:$F$675,Compta!$A$1:$A$675,$A930,Compta!$B$1:$B$675,$B930,Compta!$C$1:$C$675,"2026"),0))</f>
        <v/>
      </c>
      <c r="G930" t="str">
        <f t="shared" si="155"/>
        <v/>
      </c>
      <c r="H930" t="str">
        <f t="shared" si="156"/>
        <v/>
      </c>
      <c r="I930" t="str">
        <f t="shared" si="157"/>
        <v/>
      </c>
      <c r="J930" t="str">
        <f t="shared" si="158"/>
        <v/>
      </c>
      <c r="K930" t="str">
        <f t="shared" si="159"/>
        <v/>
      </c>
      <c r="L930" t="str">
        <f t="shared" si="160"/>
        <v/>
      </c>
      <c r="M930" t="str">
        <f t="shared" si="161"/>
        <v/>
      </c>
      <c r="N930" t="str">
        <f t="shared" si="162"/>
        <v/>
      </c>
      <c r="O930" t="str">
        <f t="shared" si="163"/>
        <v/>
      </c>
      <c r="P930" t="str">
        <f>IF($A930="","",IF($E930=1,$F930*$O930,PNL!G930))</f>
        <v/>
      </c>
      <c r="T930" t="str">
        <f t="shared" si="164"/>
        <v/>
      </c>
    </row>
    <row r="931" spans="1:20" x14ac:dyDescent="0.45">
      <c r="A931" t="str">
        <f>IF(PNL!A931="","",PNL!A931)</f>
        <v/>
      </c>
      <c r="B931" t="str">
        <f>IF(PNL!B931="","",PNL!B931)</f>
        <v/>
      </c>
      <c r="C931" t="str">
        <f>IF(PNL!C931="","",PNL!C931)</f>
        <v/>
      </c>
      <c r="D931" t="str">
        <f>IF(PNL!D931="","",PNL!D931)</f>
        <v/>
      </c>
      <c r="E931" t="str">
        <f t="shared" si="154"/>
        <v/>
      </c>
      <c r="F931" t="str">
        <f>IF($A931="","",IF($E931=1,SUMIFS(Compta!$F$1:$F$675,Compta!$A$1:$A$675,$A931,Compta!$B$1:$B$675,$B931,Compta!$C$1:$C$675,"2026"),0))</f>
        <v/>
      </c>
      <c r="G931" t="str">
        <f t="shared" si="155"/>
        <v/>
      </c>
      <c r="H931" t="str">
        <f t="shared" si="156"/>
        <v/>
      </c>
      <c r="I931" t="str">
        <f t="shared" si="157"/>
        <v/>
      </c>
      <c r="J931" t="str">
        <f t="shared" si="158"/>
        <v/>
      </c>
      <c r="K931" t="str">
        <f t="shared" si="159"/>
        <v/>
      </c>
      <c r="L931" t="str">
        <f t="shared" si="160"/>
        <v/>
      </c>
      <c r="M931" t="str">
        <f t="shared" si="161"/>
        <v/>
      </c>
      <c r="N931" t="str">
        <f t="shared" si="162"/>
        <v/>
      </c>
      <c r="O931" t="str">
        <f t="shared" si="163"/>
        <v/>
      </c>
      <c r="P931" t="str">
        <f>IF($A931="","",IF($E931=1,$F931*$O931,PNL!G931))</f>
        <v/>
      </c>
      <c r="T931" t="str">
        <f t="shared" si="164"/>
        <v/>
      </c>
    </row>
    <row r="932" spans="1:20" x14ac:dyDescent="0.45">
      <c r="A932" t="str">
        <f>IF(PNL!A932="","",PNL!A932)</f>
        <v/>
      </c>
      <c r="B932" t="str">
        <f>IF(PNL!B932="","",PNL!B932)</f>
        <v/>
      </c>
      <c r="C932" t="str">
        <f>IF(PNL!C932="","",PNL!C932)</f>
        <v/>
      </c>
      <c r="D932" t="str">
        <f>IF(PNL!D932="","",PNL!D932)</f>
        <v/>
      </c>
      <c r="E932" t="str">
        <f t="shared" si="154"/>
        <v/>
      </c>
      <c r="F932" t="str">
        <f>IF($A932="","",IF($E932=1,SUMIFS(Compta!$F$1:$F$675,Compta!$A$1:$A$675,$A932,Compta!$B$1:$B$675,$B932,Compta!$C$1:$C$675,"2026"),0))</f>
        <v/>
      </c>
      <c r="G932" t="str">
        <f t="shared" si="155"/>
        <v/>
      </c>
      <c r="H932" t="str">
        <f t="shared" si="156"/>
        <v/>
      </c>
      <c r="I932" t="str">
        <f t="shared" si="157"/>
        <v/>
      </c>
      <c r="J932" t="str">
        <f t="shared" si="158"/>
        <v/>
      </c>
      <c r="K932" t="str">
        <f t="shared" si="159"/>
        <v/>
      </c>
      <c r="L932" t="str">
        <f t="shared" si="160"/>
        <v/>
      </c>
      <c r="M932" t="str">
        <f t="shared" si="161"/>
        <v/>
      </c>
      <c r="N932" t="str">
        <f t="shared" si="162"/>
        <v/>
      </c>
      <c r="O932" t="str">
        <f t="shared" si="163"/>
        <v/>
      </c>
      <c r="P932" t="str">
        <f>IF($A932="","",IF($E932=1,$F932*$O932,PNL!G932))</f>
        <v/>
      </c>
      <c r="T932" t="str">
        <f t="shared" si="164"/>
        <v/>
      </c>
    </row>
    <row r="933" spans="1:20" x14ac:dyDescent="0.45">
      <c r="A933" t="str">
        <f>IF(PNL!A933="","",PNL!A933)</f>
        <v/>
      </c>
      <c r="B933" t="str">
        <f>IF(PNL!B933="","",PNL!B933)</f>
        <v/>
      </c>
      <c r="C933" t="str">
        <f>IF(PNL!C933="","",PNL!C933)</f>
        <v/>
      </c>
      <c r="D933" t="str">
        <f>IF(PNL!D933="","",PNL!D933)</f>
        <v/>
      </c>
      <c r="E933" t="str">
        <f t="shared" si="154"/>
        <v/>
      </c>
      <c r="F933" t="str">
        <f>IF($A933="","",IF($E933=1,SUMIFS(Compta!$F$1:$F$675,Compta!$A$1:$A$675,$A933,Compta!$B$1:$B$675,$B933,Compta!$C$1:$C$675,"2026"),0))</f>
        <v/>
      </c>
      <c r="G933" t="str">
        <f t="shared" si="155"/>
        <v/>
      </c>
      <c r="H933" t="str">
        <f t="shared" si="156"/>
        <v/>
      </c>
      <c r="I933" t="str">
        <f t="shared" si="157"/>
        <v/>
      </c>
      <c r="J933" t="str">
        <f t="shared" si="158"/>
        <v/>
      </c>
      <c r="K933" t="str">
        <f t="shared" si="159"/>
        <v/>
      </c>
      <c r="L933" t="str">
        <f t="shared" si="160"/>
        <v/>
      </c>
      <c r="M933" t="str">
        <f t="shared" si="161"/>
        <v/>
      </c>
      <c r="N933" t="str">
        <f t="shared" si="162"/>
        <v/>
      </c>
      <c r="O933" t="str">
        <f t="shared" si="163"/>
        <v/>
      </c>
      <c r="P933" t="str">
        <f>IF($A933="","",IF($E933=1,$F933*$O933,PNL!G933))</f>
        <v/>
      </c>
      <c r="T933" t="str">
        <f t="shared" si="164"/>
        <v/>
      </c>
    </row>
    <row r="934" spans="1:20" x14ac:dyDescent="0.45">
      <c r="A934" t="str">
        <f>IF(PNL!A934="","",PNL!A934)</f>
        <v/>
      </c>
      <c r="B934" t="str">
        <f>IF(PNL!B934="","",PNL!B934)</f>
        <v/>
      </c>
      <c r="C934" t="str">
        <f>IF(PNL!C934="","",PNL!C934)</f>
        <v/>
      </c>
      <c r="D934" t="str">
        <f>IF(PNL!D934="","",PNL!D934)</f>
        <v/>
      </c>
      <c r="E934" t="str">
        <f t="shared" si="154"/>
        <v/>
      </c>
      <c r="F934" t="str">
        <f>IF($A934="","",IF($E934=1,SUMIFS(Compta!$F$1:$F$675,Compta!$A$1:$A$675,$A934,Compta!$B$1:$B$675,$B934,Compta!$C$1:$C$675,"2026"),0))</f>
        <v/>
      </c>
      <c r="G934" t="str">
        <f t="shared" si="155"/>
        <v/>
      </c>
      <c r="H934" t="str">
        <f t="shared" si="156"/>
        <v/>
      </c>
      <c r="I934" t="str">
        <f t="shared" si="157"/>
        <v/>
      </c>
      <c r="J934" t="str">
        <f t="shared" si="158"/>
        <v/>
      </c>
      <c r="K934" t="str">
        <f t="shared" si="159"/>
        <v/>
      </c>
      <c r="L934" t="str">
        <f t="shared" si="160"/>
        <v/>
      </c>
      <c r="M934" t="str">
        <f t="shared" si="161"/>
        <v/>
      </c>
      <c r="N934" t="str">
        <f t="shared" si="162"/>
        <v/>
      </c>
      <c r="O934" t="str">
        <f t="shared" si="163"/>
        <v/>
      </c>
      <c r="P934" t="str">
        <f>IF($A934="","",IF($E934=1,$F934*$O934,PNL!G934))</f>
        <v/>
      </c>
      <c r="T934" t="str">
        <f t="shared" si="164"/>
        <v/>
      </c>
    </row>
    <row r="935" spans="1:20" x14ac:dyDescent="0.45">
      <c r="A935" t="str">
        <f>IF(PNL!A935="","",PNL!A935)</f>
        <v/>
      </c>
      <c r="B935" t="str">
        <f>IF(PNL!B935="","",PNL!B935)</f>
        <v/>
      </c>
      <c r="C935" t="str">
        <f>IF(PNL!C935="","",PNL!C935)</f>
        <v/>
      </c>
      <c r="D935" t="str">
        <f>IF(PNL!D935="","",PNL!D935)</f>
        <v/>
      </c>
      <c r="E935" t="str">
        <f t="shared" si="154"/>
        <v/>
      </c>
      <c r="F935" t="str">
        <f>IF($A935="","",IF($E935=1,SUMIFS(Compta!$F$1:$F$675,Compta!$A$1:$A$675,$A935,Compta!$B$1:$B$675,$B935,Compta!$C$1:$C$675,"2026"),0))</f>
        <v/>
      </c>
      <c r="G935" t="str">
        <f t="shared" si="155"/>
        <v/>
      </c>
      <c r="H935" t="str">
        <f t="shared" si="156"/>
        <v/>
      </c>
      <c r="I935" t="str">
        <f t="shared" si="157"/>
        <v/>
      </c>
      <c r="J935" t="str">
        <f t="shared" si="158"/>
        <v/>
      </c>
      <c r="K935" t="str">
        <f t="shared" si="159"/>
        <v/>
      </c>
      <c r="L935" t="str">
        <f t="shared" si="160"/>
        <v/>
      </c>
      <c r="M935" t="str">
        <f t="shared" si="161"/>
        <v/>
      </c>
      <c r="N935" t="str">
        <f t="shared" si="162"/>
        <v/>
      </c>
      <c r="O935" t="str">
        <f t="shared" si="163"/>
        <v/>
      </c>
      <c r="P935" t="str">
        <f>IF($A935="","",IF($E935=1,$F935*$O935,PNL!G935))</f>
        <v/>
      </c>
      <c r="T935" t="str">
        <f t="shared" si="164"/>
        <v/>
      </c>
    </row>
    <row r="936" spans="1:20" x14ac:dyDescent="0.45">
      <c r="A936" t="str">
        <f>IF(PNL!A936="","",PNL!A936)</f>
        <v/>
      </c>
      <c r="B936" t="str">
        <f>IF(PNL!B936="","",PNL!B936)</f>
        <v/>
      </c>
      <c r="C936" t="str">
        <f>IF(PNL!C936="","",PNL!C936)</f>
        <v/>
      </c>
      <c r="D936" t="str">
        <f>IF(PNL!D936="","",PNL!D936)</f>
        <v/>
      </c>
      <c r="E936" t="str">
        <f t="shared" si="154"/>
        <v/>
      </c>
      <c r="F936" t="str">
        <f>IF($A936="","",IF($E936=1,SUMIFS(Compta!$F$1:$F$675,Compta!$A$1:$A$675,$A936,Compta!$B$1:$B$675,$B936,Compta!$C$1:$C$675,"2026"),0))</f>
        <v/>
      </c>
      <c r="G936" t="str">
        <f t="shared" si="155"/>
        <v/>
      </c>
      <c r="H936" t="str">
        <f t="shared" si="156"/>
        <v/>
      </c>
      <c r="I936" t="str">
        <f t="shared" si="157"/>
        <v/>
      </c>
      <c r="J936" t="str">
        <f t="shared" si="158"/>
        <v/>
      </c>
      <c r="K936" t="str">
        <f t="shared" si="159"/>
        <v/>
      </c>
      <c r="L936" t="str">
        <f t="shared" si="160"/>
        <v/>
      </c>
      <c r="M936" t="str">
        <f t="shared" si="161"/>
        <v/>
      </c>
      <c r="N936" t="str">
        <f t="shared" si="162"/>
        <v/>
      </c>
      <c r="O936" t="str">
        <f t="shared" si="163"/>
        <v/>
      </c>
      <c r="P936" t="str">
        <f>IF($A936="","",IF($E936=1,$F936*$O936,PNL!G936))</f>
        <v/>
      </c>
      <c r="T936" t="str">
        <f t="shared" si="164"/>
        <v/>
      </c>
    </row>
    <row r="937" spans="1:20" x14ac:dyDescent="0.45">
      <c r="A937" t="str">
        <f>IF(PNL!A937="","",PNL!A937)</f>
        <v/>
      </c>
      <c r="B937" t="str">
        <f>IF(PNL!B937="","",PNL!B937)</f>
        <v/>
      </c>
      <c r="C937" t="str">
        <f>IF(PNL!C937="","",PNL!C937)</f>
        <v/>
      </c>
      <c r="D937" t="str">
        <f>IF(PNL!D937="","",PNL!D937)</f>
        <v/>
      </c>
      <c r="E937" t="str">
        <f t="shared" si="154"/>
        <v/>
      </c>
      <c r="F937" t="str">
        <f>IF($A937="","",IF($E937=1,SUMIFS(Compta!$F$1:$F$675,Compta!$A$1:$A$675,$A937,Compta!$B$1:$B$675,$B937,Compta!$C$1:$C$675,"2026"),0))</f>
        <v/>
      </c>
      <c r="G937" t="str">
        <f t="shared" si="155"/>
        <v/>
      </c>
      <c r="H937" t="str">
        <f t="shared" si="156"/>
        <v/>
      </c>
      <c r="I937" t="str">
        <f t="shared" si="157"/>
        <v/>
      </c>
      <c r="J937" t="str">
        <f t="shared" si="158"/>
        <v/>
      </c>
      <c r="K937" t="str">
        <f t="shared" si="159"/>
        <v/>
      </c>
      <c r="L937" t="str">
        <f t="shared" si="160"/>
        <v/>
      </c>
      <c r="M937" t="str">
        <f t="shared" si="161"/>
        <v/>
      </c>
      <c r="N937" t="str">
        <f t="shared" si="162"/>
        <v/>
      </c>
      <c r="O937" t="str">
        <f t="shared" si="163"/>
        <v/>
      </c>
      <c r="P937" t="str">
        <f>IF($A937="","",IF($E937=1,$F937*$O937,PNL!G937))</f>
        <v/>
      </c>
      <c r="T937" t="str">
        <f t="shared" si="164"/>
        <v/>
      </c>
    </row>
    <row r="938" spans="1:20" x14ac:dyDescent="0.45">
      <c r="A938" t="str">
        <f>IF(PNL!A938="","",PNL!A938)</f>
        <v/>
      </c>
      <c r="B938" t="str">
        <f>IF(PNL!B938="","",PNL!B938)</f>
        <v/>
      </c>
      <c r="C938" t="str">
        <f>IF(PNL!C938="","",PNL!C938)</f>
        <v/>
      </c>
      <c r="D938" t="str">
        <f>IF(PNL!D938="","",PNL!D938)</f>
        <v/>
      </c>
      <c r="E938" t="str">
        <f t="shared" si="154"/>
        <v/>
      </c>
      <c r="F938" t="str">
        <f>IF($A938="","",IF($E938=1,SUMIFS(Compta!$F$1:$F$675,Compta!$A$1:$A$675,$A938,Compta!$B$1:$B$675,$B938,Compta!$C$1:$C$675,"2026"),0))</f>
        <v/>
      </c>
      <c r="G938" t="str">
        <f t="shared" si="155"/>
        <v/>
      </c>
      <c r="H938" t="str">
        <f t="shared" si="156"/>
        <v/>
      </c>
      <c r="I938" t="str">
        <f t="shared" si="157"/>
        <v/>
      </c>
      <c r="J938" t="str">
        <f t="shared" si="158"/>
        <v/>
      </c>
      <c r="K938" t="str">
        <f t="shared" si="159"/>
        <v/>
      </c>
      <c r="L938" t="str">
        <f t="shared" si="160"/>
        <v/>
      </c>
      <c r="M938" t="str">
        <f t="shared" si="161"/>
        <v/>
      </c>
      <c r="N938" t="str">
        <f t="shared" si="162"/>
        <v/>
      </c>
      <c r="O938" t="str">
        <f t="shared" si="163"/>
        <v/>
      </c>
      <c r="P938" t="str">
        <f>IF($A938="","",IF($E938=1,$F938*$O938,PNL!G938))</f>
        <v/>
      </c>
      <c r="T938" t="str">
        <f t="shared" si="164"/>
        <v/>
      </c>
    </row>
    <row r="939" spans="1:20" x14ac:dyDescent="0.45">
      <c r="A939" t="str">
        <f>IF(PNL!A939="","",PNL!A939)</f>
        <v/>
      </c>
      <c r="B939" t="str">
        <f>IF(PNL!B939="","",PNL!B939)</f>
        <v/>
      </c>
      <c r="C939" t="str">
        <f>IF(PNL!C939="","",PNL!C939)</f>
        <v/>
      </c>
      <c r="D939" t="str">
        <f>IF(PNL!D939="","",PNL!D939)</f>
        <v/>
      </c>
      <c r="E939" t="str">
        <f t="shared" si="154"/>
        <v/>
      </c>
      <c r="F939" t="str">
        <f>IF($A939="","",IF($E939=1,SUMIFS(Compta!$F$1:$F$675,Compta!$A$1:$A$675,$A939,Compta!$B$1:$B$675,$B939,Compta!$C$1:$C$675,"2026"),0))</f>
        <v/>
      </c>
      <c r="G939" t="str">
        <f t="shared" si="155"/>
        <v/>
      </c>
      <c r="H939" t="str">
        <f t="shared" si="156"/>
        <v/>
      </c>
      <c r="I939" t="str">
        <f t="shared" si="157"/>
        <v/>
      </c>
      <c r="J939" t="str">
        <f t="shared" si="158"/>
        <v/>
      </c>
      <c r="K939" t="str">
        <f t="shared" si="159"/>
        <v/>
      </c>
      <c r="L939" t="str">
        <f t="shared" si="160"/>
        <v/>
      </c>
      <c r="M939" t="str">
        <f t="shared" si="161"/>
        <v/>
      </c>
      <c r="N939" t="str">
        <f t="shared" si="162"/>
        <v/>
      </c>
      <c r="O939" t="str">
        <f t="shared" si="163"/>
        <v/>
      </c>
      <c r="P939" t="str">
        <f>IF($A939="","",IF($E939=1,$F939*$O939,PNL!G939))</f>
        <v/>
      </c>
      <c r="T939" t="str">
        <f t="shared" si="164"/>
        <v/>
      </c>
    </row>
    <row r="940" spans="1:20" x14ac:dyDescent="0.45">
      <c r="A940" t="str">
        <f>IF(PNL!A940="","",PNL!A940)</f>
        <v/>
      </c>
      <c r="B940" t="str">
        <f>IF(PNL!B940="","",PNL!B940)</f>
        <v/>
      </c>
      <c r="C940" t="str">
        <f>IF(PNL!C940="","",PNL!C940)</f>
        <v/>
      </c>
      <c r="D940" t="str">
        <f>IF(PNL!D940="","",PNL!D940)</f>
        <v/>
      </c>
      <c r="E940" t="str">
        <f t="shared" si="154"/>
        <v/>
      </c>
      <c r="F940" t="str">
        <f>IF($A940="","",IF($E940=1,SUMIFS(Compta!$F$1:$F$675,Compta!$A$1:$A$675,$A940,Compta!$B$1:$B$675,$B940,Compta!$C$1:$C$675,"2026"),0))</f>
        <v/>
      </c>
      <c r="G940" t="str">
        <f t="shared" si="155"/>
        <v/>
      </c>
      <c r="H940" t="str">
        <f t="shared" si="156"/>
        <v/>
      </c>
      <c r="I940" t="str">
        <f t="shared" si="157"/>
        <v/>
      </c>
      <c r="J940" t="str">
        <f t="shared" si="158"/>
        <v/>
      </c>
      <c r="K940" t="str">
        <f t="shared" si="159"/>
        <v/>
      </c>
      <c r="L940" t="str">
        <f t="shared" si="160"/>
        <v/>
      </c>
      <c r="M940" t="str">
        <f t="shared" si="161"/>
        <v/>
      </c>
      <c r="N940" t="str">
        <f t="shared" si="162"/>
        <v/>
      </c>
      <c r="O940" t="str">
        <f t="shared" si="163"/>
        <v/>
      </c>
      <c r="P940" t="str">
        <f>IF($A940="","",IF($E940=1,$F940*$O940,PNL!G940))</f>
        <v/>
      </c>
      <c r="T940" t="str">
        <f t="shared" si="164"/>
        <v/>
      </c>
    </row>
    <row r="941" spans="1:20" x14ac:dyDescent="0.45">
      <c r="A941" t="str">
        <f>IF(PNL!A941="","",PNL!A941)</f>
        <v/>
      </c>
      <c r="B941" t="str">
        <f>IF(PNL!B941="","",PNL!B941)</f>
        <v/>
      </c>
      <c r="C941" t="str">
        <f>IF(PNL!C941="","",PNL!C941)</f>
        <v/>
      </c>
      <c r="D941" t="str">
        <f>IF(PNL!D941="","",PNL!D941)</f>
        <v/>
      </c>
      <c r="E941" t="str">
        <f t="shared" si="154"/>
        <v/>
      </c>
      <c r="F941" t="str">
        <f>IF($A941="","",IF($E941=1,SUMIFS(Compta!$F$1:$F$675,Compta!$A$1:$A$675,$A941,Compta!$B$1:$B$675,$B941,Compta!$C$1:$C$675,"2026"),0))</f>
        <v/>
      </c>
      <c r="G941" t="str">
        <f t="shared" si="155"/>
        <v/>
      </c>
      <c r="H941" t="str">
        <f t="shared" si="156"/>
        <v/>
      </c>
      <c r="I941" t="str">
        <f t="shared" si="157"/>
        <v/>
      </c>
      <c r="J941" t="str">
        <f t="shared" si="158"/>
        <v/>
      </c>
      <c r="K941" t="str">
        <f t="shared" si="159"/>
        <v/>
      </c>
      <c r="L941" t="str">
        <f t="shared" si="160"/>
        <v/>
      </c>
      <c r="M941" t="str">
        <f t="shared" si="161"/>
        <v/>
      </c>
      <c r="N941" t="str">
        <f t="shared" si="162"/>
        <v/>
      </c>
      <c r="O941" t="str">
        <f t="shared" si="163"/>
        <v/>
      </c>
      <c r="P941" t="str">
        <f>IF($A941="","",IF($E941=1,$F941*$O941,PNL!G941))</f>
        <v/>
      </c>
      <c r="T941" t="str">
        <f t="shared" si="164"/>
        <v/>
      </c>
    </row>
    <row r="942" spans="1:20" x14ac:dyDescent="0.45">
      <c r="A942" t="str">
        <f>IF(PNL!A942="","",PNL!A942)</f>
        <v/>
      </c>
      <c r="B942" t="str">
        <f>IF(PNL!B942="","",PNL!B942)</f>
        <v/>
      </c>
      <c r="C942" t="str">
        <f>IF(PNL!C942="","",PNL!C942)</f>
        <v/>
      </c>
      <c r="D942" t="str">
        <f>IF(PNL!D942="","",PNL!D942)</f>
        <v/>
      </c>
      <c r="E942" t="str">
        <f t="shared" si="154"/>
        <v/>
      </c>
      <c r="F942" t="str">
        <f>IF($A942="","",IF($E942=1,SUMIFS(Compta!$F$1:$F$675,Compta!$A$1:$A$675,$A942,Compta!$B$1:$B$675,$B942,Compta!$C$1:$C$675,"2026"),0))</f>
        <v/>
      </c>
      <c r="G942" t="str">
        <f t="shared" si="155"/>
        <v/>
      </c>
      <c r="H942" t="str">
        <f t="shared" si="156"/>
        <v/>
      </c>
      <c r="I942" t="str">
        <f t="shared" si="157"/>
        <v/>
      </c>
      <c r="J942" t="str">
        <f t="shared" si="158"/>
        <v/>
      </c>
      <c r="K942" t="str">
        <f t="shared" si="159"/>
        <v/>
      </c>
      <c r="L942" t="str">
        <f t="shared" si="160"/>
        <v/>
      </c>
      <c r="M942" t="str">
        <f t="shared" si="161"/>
        <v/>
      </c>
      <c r="N942" t="str">
        <f t="shared" si="162"/>
        <v/>
      </c>
      <c r="O942" t="str">
        <f t="shared" si="163"/>
        <v/>
      </c>
      <c r="P942" t="str">
        <f>IF($A942="","",IF($E942=1,$F942*$O942,PNL!G942))</f>
        <v/>
      </c>
      <c r="T942" t="str">
        <f t="shared" si="164"/>
        <v/>
      </c>
    </row>
    <row r="943" spans="1:20" x14ac:dyDescent="0.45">
      <c r="A943" t="str">
        <f>IF(PNL!A943="","",PNL!A943)</f>
        <v/>
      </c>
      <c r="B943" t="str">
        <f>IF(PNL!B943="","",PNL!B943)</f>
        <v/>
      </c>
      <c r="C943" t="str">
        <f>IF(PNL!C943="","",PNL!C943)</f>
        <v/>
      </c>
      <c r="D943" t="str">
        <f>IF(PNL!D943="","",PNL!D943)</f>
        <v/>
      </c>
      <c r="E943" t="str">
        <f t="shared" si="154"/>
        <v/>
      </c>
      <c r="F943" t="str">
        <f>IF($A943="","",IF($E943=1,SUMIFS(Compta!$F$1:$F$675,Compta!$A$1:$A$675,$A943,Compta!$B$1:$B$675,$B943,Compta!$C$1:$C$675,"2026"),0))</f>
        <v/>
      </c>
      <c r="G943" t="str">
        <f t="shared" si="155"/>
        <v/>
      </c>
      <c r="H943" t="str">
        <f t="shared" si="156"/>
        <v/>
      </c>
      <c r="I943" t="str">
        <f t="shared" si="157"/>
        <v/>
      </c>
      <c r="J943" t="str">
        <f t="shared" si="158"/>
        <v/>
      </c>
      <c r="K943" t="str">
        <f t="shared" si="159"/>
        <v/>
      </c>
      <c r="L943" t="str">
        <f t="shared" si="160"/>
        <v/>
      </c>
      <c r="M943" t="str">
        <f t="shared" si="161"/>
        <v/>
      </c>
      <c r="N943" t="str">
        <f t="shared" si="162"/>
        <v/>
      </c>
      <c r="O943" t="str">
        <f t="shared" si="163"/>
        <v/>
      </c>
      <c r="P943" t="str">
        <f>IF($A943="","",IF($E943=1,$F943*$O943,PNL!G943))</f>
        <v/>
      </c>
      <c r="T943" t="str">
        <f t="shared" si="164"/>
        <v/>
      </c>
    </row>
    <row r="944" spans="1:20" x14ac:dyDescent="0.45">
      <c r="A944" t="str">
        <f>IF(PNL!A944="","",PNL!A944)</f>
        <v/>
      </c>
      <c r="B944" t="str">
        <f>IF(PNL!B944="","",PNL!B944)</f>
        <v/>
      </c>
      <c r="C944" t="str">
        <f>IF(PNL!C944="","",PNL!C944)</f>
        <v/>
      </c>
      <c r="D944" t="str">
        <f>IF(PNL!D944="","",PNL!D944)</f>
        <v/>
      </c>
      <c r="E944" t="str">
        <f t="shared" si="154"/>
        <v/>
      </c>
      <c r="F944" t="str">
        <f>IF($A944="","",IF($E944=1,SUMIFS(Compta!$F$1:$F$675,Compta!$A$1:$A$675,$A944,Compta!$B$1:$B$675,$B944,Compta!$C$1:$C$675,"2026"),0))</f>
        <v/>
      </c>
      <c r="G944" t="str">
        <f t="shared" si="155"/>
        <v/>
      </c>
      <c r="H944" t="str">
        <f t="shared" si="156"/>
        <v/>
      </c>
      <c r="I944" t="str">
        <f t="shared" si="157"/>
        <v/>
      </c>
      <c r="J944" t="str">
        <f t="shared" si="158"/>
        <v/>
      </c>
      <c r="K944" t="str">
        <f t="shared" si="159"/>
        <v/>
      </c>
      <c r="L944" t="str">
        <f t="shared" si="160"/>
        <v/>
      </c>
      <c r="M944" t="str">
        <f t="shared" si="161"/>
        <v/>
      </c>
      <c r="N944" t="str">
        <f t="shared" si="162"/>
        <v/>
      </c>
      <c r="O944" t="str">
        <f t="shared" si="163"/>
        <v/>
      </c>
      <c r="P944" t="str">
        <f>IF($A944="","",IF($E944=1,$F944*$O944,PNL!G944))</f>
        <v/>
      </c>
      <c r="T944" t="str">
        <f t="shared" si="164"/>
        <v/>
      </c>
    </row>
    <row r="945" spans="1:20" x14ac:dyDescent="0.45">
      <c r="A945" t="str">
        <f>IF(PNL!A945="","",PNL!A945)</f>
        <v/>
      </c>
      <c r="B945" t="str">
        <f>IF(PNL!B945="","",PNL!B945)</f>
        <v/>
      </c>
      <c r="C945" t="str">
        <f>IF(PNL!C945="","",PNL!C945)</f>
        <v/>
      </c>
      <c r="D945" t="str">
        <f>IF(PNL!D945="","",PNL!D945)</f>
        <v/>
      </c>
      <c r="E945" t="str">
        <f t="shared" si="154"/>
        <v/>
      </c>
      <c r="F945" t="str">
        <f>IF($A945="","",IF($E945=1,SUMIFS(Compta!$F$1:$F$675,Compta!$A$1:$A$675,$A945,Compta!$B$1:$B$675,$B945,Compta!$C$1:$C$675,"2026"),0))</f>
        <v/>
      </c>
      <c r="G945" t="str">
        <f t="shared" si="155"/>
        <v/>
      </c>
      <c r="H945" t="str">
        <f t="shared" si="156"/>
        <v/>
      </c>
      <c r="I945" t="str">
        <f t="shared" si="157"/>
        <v/>
      </c>
      <c r="J945" t="str">
        <f t="shared" si="158"/>
        <v/>
      </c>
      <c r="K945" t="str">
        <f t="shared" si="159"/>
        <v/>
      </c>
      <c r="L945" t="str">
        <f t="shared" si="160"/>
        <v/>
      </c>
      <c r="M945" t="str">
        <f t="shared" si="161"/>
        <v/>
      </c>
      <c r="N945" t="str">
        <f t="shared" si="162"/>
        <v/>
      </c>
      <c r="O945" t="str">
        <f t="shared" si="163"/>
        <v/>
      </c>
      <c r="P945" t="str">
        <f>IF($A945="","",IF($E945=1,$F945*$O945,PNL!G945))</f>
        <v/>
      </c>
      <c r="T945" t="str">
        <f t="shared" si="164"/>
        <v/>
      </c>
    </row>
    <row r="946" spans="1:20" x14ac:dyDescent="0.45">
      <c r="A946" t="str">
        <f>IF(PNL!A946="","",PNL!A946)</f>
        <v/>
      </c>
      <c r="B946" t="str">
        <f>IF(PNL!B946="","",PNL!B946)</f>
        <v/>
      </c>
      <c r="C946" t="str">
        <f>IF(PNL!C946="","",PNL!C946)</f>
        <v/>
      </c>
      <c r="D946" t="str">
        <f>IF(PNL!D946="","",PNL!D946)</f>
        <v/>
      </c>
      <c r="E946" t="str">
        <f t="shared" si="154"/>
        <v/>
      </c>
      <c r="F946" t="str">
        <f>IF($A946="","",IF($E946=1,SUMIFS(Compta!$F$1:$F$675,Compta!$A$1:$A$675,$A946,Compta!$B$1:$B$675,$B946,Compta!$C$1:$C$675,"2026"),0))</f>
        <v/>
      </c>
      <c r="G946" t="str">
        <f t="shared" si="155"/>
        <v/>
      </c>
      <c r="H946" t="str">
        <f t="shared" si="156"/>
        <v/>
      </c>
      <c r="I946" t="str">
        <f t="shared" si="157"/>
        <v/>
      </c>
      <c r="J946" t="str">
        <f t="shared" si="158"/>
        <v/>
      </c>
      <c r="K946" t="str">
        <f t="shared" si="159"/>
        <v/>
      </c>
      <c r="L946" t="str">
        <f t="shared" si="160"/>
        <v/>
      </c>
      <c r="M946" t="str">
        <f t="shared" si="161"/>
        <v/>
      </c>
      <c r="N946" t="str">
        <f t="shared" si="162"/>
        <v/>
      </c>
      <c r="O946" t="str">
        <f t="shared" si="163"/>
        <v/>
      </c>
      <c r="P946" t="str">
        <f>IF($A946="","",IF($E946=1,$F946*$O946,PNL!G946))</f>
        <v/>
      </c>
      <c r="T946" t="str">
        <f t="shared" si="164"/>
        <v/>
      </c>
    </row>
    <row r="947" spans="1:20" x14ac:dyDescent="0.45">
      <c r="A947" t="str">
        <f>IF(PNL!A947="","",PNL!A947)</f>
        <v/>
      </c>
      <c r="B947" t="str">
        <f>IF(PNL!B947="","",PNL!B947)</f>
        <v/>
      </c>
      <c r="C947" t="str">
        <f>IF(PNL!C947="","",PNL!C947)</f>
        <v/>
      </c>
      <c r="D947" t="str">
        <f>IF(PNL!D947="","",PNL!D947)</f>
        <v/>
      </c>
      <c r="E947" t="str">
        <f t="shared" si="154"/>
        <v/>
      </c>
      <c r="F947" t="str">
        <f>IF($A947="","",IF($E947=1,SUMIFS(Compta!$F$1:$F$675,Compta!$A$1:$A$675,$A947,Compta!$B$1:$B$675,$B947,Compta!$C$1:$C$675,"2026"),0))</f>
        <v/>
      </c>
      <c r="G947" t="str">
        <f t="shared" si="155"/>
        <v/>
      </c>
      <c r="H947" t="str">
        <f t="shared" si="156"/>
        <v/>
      </c>
      <c r="I947" t="str">
        <f t="shared" si="157"/>
        <v/>
      </c>
      <c r="J947" t="str">
        <f t="shared" si="158"/>
        <v/>
      </c>
      <c r="K947" t="str">
        <f t="shared" si="159"/>
        <v/>
      </c>
      <c r="L947" t="str">
        <f t="shared" si="160"/>
        <v/>
      </c>
      <c r="M947" t="str">
        <f t="shared" si="161"/>
        <v/>
      </c>
      <c r="N947" t="str">
        <f t="shared" si="162"/>
        <v/>
      </c>
      <c r="O947" t="str">
        <f t="shared" si="163"/>
        <v/>
      </c>
      <c r="P947" t="str">
        <f>IF($A947="","",IF($E947=1,$F947*$O947,PNL!G947))</f>
        <v/>
      </c>
      <c r="T947" t="str">
        <f t="shared" si="164"/>
        <v/>
      </c>
    </row>
    <row r="948" spans="1:20" x14ac:dyDescent="0.45">
      <c r="A948" t="str">
        <f>IF(PNL!A948="","",PNL!A948)</f>
        <v/>
      </c>
      <c r="B948" t="str">
        <f>IF(PNL!B948="","",PNL!B948)</f>
        <v/>
      </c>
      <c r="C948" t="str">
        <f>IF(PNL!C948="","",PNL!C948)</f>
        <v/>
      </c>
      <c r="D948" t="str">
        <f>IF(PNL!D948="","",PNL!D948)</f>
        <v/>
      </c>
      <c r="E948" t="str">
        <f t="shared" si="154"/>
        <v/>
      </c>
      <c r="F948" t="str">
        <f>IF($A948="","",IF($E948=1,SUMIFS(Compta!$F$1:$F$675,Compta!$A$1:$A$675,$A948,Compta!$B$1:$B$675,$B948,Compta!$C$1:$C$675,"2026"),0))</f>
        <v/>
      </c>
      <c r="G948" t="str">
        <f t="shared" si="155"/>
        <v/>
      </c>
      <c r="H948" t="str">
        <f t="shared" si="156"/>
        <v/>
      </c>
      <c r="I948" t="str">
        <f t="shared" si="157"/>
        <v/>
      </c>
      <c r="J948" t="str">
        <f t="shared" si="158"/>
        <v/>
      </c>
      <c r="K948" t="str">
        <f t="shared" si="159"/>
        <v/>
      </c>
      <c r="L948" t="str">
        <f t="shared" si="160"/>
        <v/>
      </c>
      <c r="M948" t="str">
        <f t="shared" si="161"/>
        <v/>
      </c>
      <c r="N948" t="str">
        <f t="shared" si="162"/>
        <v/>
      </c>
      <c r="O948" t="str">
        <f t="shared" si="163"/>
        <v/>
      </c>
      <c r="P948" t="str">
        <f>IF($A948="","",IF($E948=1,$F948*$O948,PNL!G948))</f>
        <v/>
      </c>
      <c r="T948" t="str">
        <f t="shared" si="164"/>
        <v/>
      </c>
    </row>
    <row r="949" spans="1:20" x14ac:dyDescent="0.45">
      <c r="A949" t="str">
        <f>IF(PNL!A949="","",PNL!A949)</f>
        <v/>
      </c>
      <c r="B949" t="str">
        <f>IF(PNL!B949="","",PNL!B949)</f>
        <v/>
      </c>
      <c r="C949" t="str">
        <f>IF(PNL!C949="","",PNL!C949)</f>
        <v/>
      </c>
      <c r="D949" t="str">
        <f>IF(PNL!D949="","",PNL!D949)</f>
        <v/>
      </c>
      <c r="E949" t="str">
        <f t="shared" si="154"/>
        <v/>
      </c>
      <c r="F949" t="str">
        <f>IF($A949="","",IF($E949=1,SUMIFS(Compta!$F$1:$F$675,Compta!$A$1:$A$675,$A949,Compta!$B$1:$B$675,$B949,Compta!$C$1:$C$675,"2026"),0))</f>
        <v/>
      </c>
      <c r="G949" t="str">
        <f t="shared" si="155"/>
        <v/>
      </c>
      <c r="H949" t="str">
        <f t="shared" si="156"/>
        <v/>
      </c>
      <c r="I949" t="str">
        <f t="shared" si="157"/>
        <v/>
      </c>
      <c r="J949" t="str">
        <f t="shared" si="158"/>
        <v/>
      </c>
      <c r="K949" t="str">
        <f t="shared" si="159"/>
        <v/>
      </c>
      <c r="L949" t="str">
        <f t="shared" si="160"/>
        <v/>
      </c>
      <c r="M949" t="str">
        <f t="shared" si="161"/>
        <v/>
      </c>
      <c r="N949" t="str">
        <f t="shared" si="162"/>
        <v/>
      </c>
      <c r="O949" t="str">
        <f t="shared" si="163"/>
        <v/>
      </c>
      <c r="P949" t="str">
        <f>IF($A949="","",IF($E949=1,$F949*$O949,PNL!G949))</f>
        <v/>
      </c>
      <c r="T949" t="str">
        <f t="shared" si="164"/>
        <v/>
      </c>
    </row>
    <row r="950" spans="1:20" x14ac:dyDescent="0.45">
      <c r="A950" t="str">
        <f>IF(PNL!A950="","",PNL!A950)</f>
        <v/>
      </c>
      <c r="B950" t="str">
        <f>IF(PNL!B950="","",PNL!B950)</f>
        <v/>
      </c>
      <c r="C950" t="str">
        <f>IF(PNL!C950="","",PNL!C950)</f>
        <v/>
      </c>
      <c r="D950" t="str">
        <f>IF(PNL!D950="","",PNL!D950)</f>
        <v/>
      </c>
      <c r="E950" t="str">
        <f t="shared" si="154"/>
        <v/>
      </c>
      <c r="F950" t="str">
        <f>IF($A950="","",IF($E950=1,SUMIFS(Compta!$F$1:$F$675,Compta!$A$1:$A$675,$A950,Compta!$B$1:$B$675,$B950,Compta!$C$1:$C$675,"2026"),0))</f>
        <v/>
      </c>
      <c r="G950" t="str">
        <f t="shared" si="155"/>
        <v/>
      </c>
      <c r="H950" t="str">
        <f t="shared" si="156"/>
        <v/>
      </c>
      <c r="I950" t="str">
        <f t="shared" si="157"/>
        <v/>
      </c>
      <c r="J950" t="str">
        <f t="shared" si="158"/>
        <v/>
      </c>
      <c r="K950" t="str">
        <f t="shared" si="159"/>
        <v/>
      </c>
      <c r="L950" t="str">
        <f t="shared" si="160"/>
        <v/>
      </c>
      <c r="M950" t="str">
        <f t="shared" si="161"/>
        <v/>
      </c>
      <c r="N950" t="str">
        <f t="shared" si="162"/>
        <v/>
      </c>
      <c r="O950" t="str">
        <f t="shared" si="163"/>
        <v/>
      </c>
      <c r="P950" t="str">
        <f>IF($A950="","",IF($E950=1,$F950*$O950,PNL!G950))</f>
        <v/>
      </c>
      <c r="T950" t="str">
        <f t="shared" si="164"/>
        <v/>
      </c>
    </row>
    <row r="951" spans="1:20" x14ac:dyDescent="0.45">
      <c r="A951" t="str">
        <f>IF(PNL!A951="","",PNL!A951)</f>
        <v/>
      </c>
      <c r="B951" t="str">
        <f>IF(PNL!B951="","",PNL!B951)</f>
        <v/>
      </c>
      <c r="C951" t="str">
        <f>IF(PNL!C951="","",PNL!C951)</f>
        <v/>
      </c>
      <c r="D951" t="str">
        <f>IF(PNL!D951="","",PNL!D951)</f>
        <v/>
      </c>
      <c r="E951" t="str">
        <f t="shared" si="154"/>
        <v/>
      </c>
      <c r="F951" t="str">
        <f>IF($A951="","",IF($E951=1,SUMIFS(Compta!$F$1:$F$675,Compta!$A$1:$A$675,$A951,Compta!$B$1:$B$675,$B951,Compta!$C$1:$C$675,"2026"),0))</f>
        <v/>
      </c>
      <c r="G951" t="str">
        <f t="shared" si="155"/>
        <v/>
      </c>
      <c r="H951" t="str">
        <f t="shared" si="156"/>
        <v/>
      </c>
      <c r="I951" t="str">
        <f t="shared" si="157"/>
        <v/>
      </c>
      <c r="J951" t="str">
        <f t="shared" si="158"/>
        <v/>
      </c>
      <c r="K951" t="str">
        <f t="shared" si="159"/>
        <v/>
      </c>
      <c r="L951" t="str">
        <f t="shared" si="160"/>
        <v/>
      </c>
      <c r="M951" t="str">
        <f t="shared" si="161"/>
        <v/>
      </c>
      <c r="N951" t="str">
        <f t="shared" si="162"/>
        <v/>
      </c>
      <c r="O951" t="str">
        <f t="shared" si="163"/>
        <v/>
      </c>
      <c r="P951" t="str">
        <f>IF($A951="","",IF($E951=1,$F951*$O951,PNL!G951))</f>
        <v/>
      </c>
      <c r="T951" t="str">
        <f t="shared" si="164"/>
        <v/>
      </c>
    </row>
    <row r="952" spans="1:20" x14ac:dyDescent="0.45">
      <c r="A952" t="str">
        <f>IF(PNL!A952="","",PNL!A952)</f>
        <v/>
      </c>
      <c r="B952" t="str">
        <f>IF(PNL!B952="","",PNL!B952)</f>
        <v/>
      </c>
      <c r="C952" t="str">
        <f>IF(PNL!C952="","",PNL!C952)</f>
        <v/>
      </c>
      <c r="D952" t="str">
        <f>IF(PNL!D952="","",PNL!D952)</f>
        <v/>
      </c>
      <c r="E952" t="str">
        <f t="shared" si="154"/>
        <v/>
      </c>
      <c r="F952" t="str">
        <f>IF($A952="","",IF($E952=1,SUMIFS(Compta!$F$1:$F$675,Compta!$A$1:$A$675,$A952,Compta!$B$1:$B$675,$B952,Compta!$C$1:$C$675,"2026"),0))</f>
        <v/>
      </c>
      <c r="G952" t="str">
        <f t="shared" si="155"/>
        <v/>
      </c>
      <c r="H952" t="str">
        <f t="shared" si="156"/>
        <v/>
      </c>
      <c r="I952" t="str">
        <f t="shared" si="157"/>
        <v/>
      </c>
      <c r="J952" t="str">
        <f t="shared" si="158"/>
        <v/>
      </c>
      <c r="K952" t="str">
        <f t="shared" si="159"/>
        <v/>
      </c>
      <c r="L952" t="str">
        <f t="shared" si="160"/>
        <v/>
      </c>
      <c r="M952" t="str">
        <f t="shared" si="161"/>
        <v/>
      </c>
      <c r="N952" t="str">
        <f t="shared" si="162"/>
        <v/>
      </c>
      <c r="O952" t="str">
        <f t="shared" si="163"/>
        <v/>
      </c>
      <c r="P952" t="str">
        <f>IF($A952="","",IF($E952=1,$F952*$O952,PNL!G952))</f>
        <v/>
      </c>
      <c r="T952" t="str">
        <f t="shared" si="164"/>
        <v/>
      </c>
    </row>
    <row r="953" spans="1:20" x14ac:dyDescent="0.45">
      <c r="A953" t="str">
        <f>IF(PNL!A953="","",PNL!A953)</f>
        <v/>
      </c>
      <c r="B953" t="str">
        <f>IF(PNL!B953="","",PNL!B953)</f>
        <v/>
      </c>
      <c r="C953" t="str">
        <f>IF(PNL!C953="","",PNL!C953)</f>
        <v/>
      </c>
      <c r="D953" t="str">
        <f>IF(PNL!D953="","",PNL!D953)</f>
        <v/>
      </c>
      <c r="E953" t="str">
        <f t="shared" si="154"/>
        <v/>
      </c>
      <c r="F953" t="str">
        <f>IF($A953="","",IF($E953=1,SUMIFS(Compta!$F$1:$F$675,Compta!$A$1:$A$675,$A953,Compta!$B$1:$B$675,$B953,Compta!$C$1:$C$675,"2026"),0))</f>
        <v/>
      </c>
      <c r="G953" t="str">
        <f t="shared" si="155"/>
        <v/>
      </c>
      <c r="H953" t="str">
        <f t="shared" si="156"/>
        <v/>
      </c>
      <c r="I953" t="str">
        <f t="shared" si="157"/>
        <v/>
      </c>
      <c r="J953" t="str">
        <f t="shared" si="158"/>
        <v/>
      </c>
      <c r="K953" t="str">
        <f t="shared" si="159"/>
        <v/>
      </c>
      <c r="L953" t="str">
        <f t="shared" si="160"/>
        <v/>
      </c>
      <c r="M953" t="str">
        <f t="shared" si="161"/>
        <v/>
      </c>
      <c r="N953" t="str">
        <f t="shared" si="162"/>
        <v/>
      </c>
      <c r="O953" t="str">
        <f t="shared" si="163"/>
        <v/>
      </c>
      <c r="P953" t="str">
        <f>IF($A953="","",IF($E953=1,$F953*$O953,PNL!G953))</f>
        <v/>
      </c>
      <c r="T953" t="str">
        <f t="shared" si="164"/>
        <v/>
      </c>
    </row>
    <row r="954" spans="1:20" x14ac:dyDescent="0.45">
      <c r="A954" t="str">
        <f>IF(PNL!A954="","",PNL!A954)</f>
        <v/>
      </c>
      <c r="B954" t="str">
        <f>IF(PNL!B954="","",PNL!B954)</f>
        <v/>
      </c>
      <c r="C954" t="str">
        <f>IF(PNL!C954="","",PNL!C954)</f>
        <v/>
      </c>
      <c r="D954" t="str">
        <f>IF(PNL!D954="","",PNL!D954)</f>
        <v/>
      </c>
      <c r="E954" t="str">
        <f t="shared" si="154"/>
        <v/>
      </c>
      <c r="F954" t="str">
        <f>IF($A954="","",IF($E954=1,SUMIFS(Compta!$F$1:$F$675,Compta!$A$1:$A$675,$A954,Compta!$B$1:$B$675,$B954,Compta!$C$1:$C$675,"2026"),0))</f>
        <v/>
      </c>
      <c r="G954" t="str">
        <f t="shared" si="155"/>
        <v/>
      </c>
      <c r="H954" t="str">
        <f t="shared" si="156"/>
        <v/>
      </c>
      <c r="I954" t="str">
        <f t="shared" si="157"/>
        <v/>
      </c>
      <c r="J954" t="str">
        <f t="shared" si="158"/>
        <v/>
      </c>
      <c r="K954" t="str">
        <f t="shared" si="159"/>
        <v/>
      </c>
      <c r="L954" t="str">
        <f t="shared" si="160"/>
        <v/>
      </c>
      <c r="M954" t="str">
        <f t="shared" si="161"/>
        <v/>
      </c>
      <c r="N954" t="str">
        <f t="shared" si="162"/>
        <v/>
      </c>
      <c r="O954" t="str">
        <f t="shared" si="163"/>
        <v/>
      </c>
      <c r="P954" t="str">
        <f>IF($A954="","",IF($E954=1,$F954*$O954,PNL!G954))</f>
        <v/>
      </c>
      <c r="T954" t="str">
        <f t="shared" si="164"/>
        <v/>
      </c>
    </row>
    <row r="955" spans="1:20" x14ac:dyDescent="0.45">
      <c r="A955" t="str">
        <f>IF(PNL!A955="","",PNL!A955)</f>
        <v/>
      </c>
      <c r="B955" t="str">
        <f>IF(PNL!B955="","",PNL!B955)</f>
        <v/>
      </c>
      <c r="C955" t="str">
        <f>IF(PNL!C955="","",PNL!C955)</f>
        <v/>
      </c>
      <c r="D955" t="str">
        <f>IF(PNL!D955="","",PNL!D955)</f>
        <v/>
      </c>
      <c r="E955" t="str">
        <f t="shared" si="154"/>
        <v/>
      </c>
      <c r="F955" t="str">
        <f>IF($A955="","",IF($E955=1,SUMIFS(Compta!$F$1:$F$675,Compta!$A$1:$A$675,$A955,Compta!$B$1:$B$675,$B955,Compta!$C$1:$C$675,"2026"),0))</f>
        <v/>
      </c>
      <c r="G955" t="str">
        <f t="shared" si="155"/>
        <v/>
      </c>
      <c r="H955" t="str">
        <f t="shared" si="156"/>
        <v/>
      </c>
      <c r="I955" t="str">
        <f t="shared" si="157"/>
        <v/>
      </c>
      <c r="J955" t="str">
        <f t="shared" si="158"/>
        <v/>
      </c>
      <c r="K955" t="str">
        <f t="shared" si="159"/>
        <v/>
      </c>
      <c r="L955" t="str">
        <f t="shared" si="160"/>
        <v/>
      </c>
      <c r="M955" t="str">
        <f t="shared" si="161"/>
        <v/>
      </c>
      <c r="N955" t="str">
        <f t="shared" si="162"/>
        <v/>
      </c>
      <c r="O955" t="str">
        <f t="shared" si="163"/>
        <v/>
      </c>
      <c r="P955" t="str">
        <f>IF($A955="","",IF($E955=1,$F955*$O955,PNL!G955))</f>
        <v/>
      </c>
      <c r="T955" t="str">
        <f t="shared" si="164"/>
        <v/>
      </c>
    </row>
    <row r="956" spans="1:20" x14ac:dyDescent="0.45">
      <c r="A956" t="str">
        <f>IF(PNL!A956="","",PNL!A956)</f>
        <v/>
      </c>
      <c r="B956" t="str">
        <f>IF(PNL!B956="","",PNL!B956)</f>
        <v/>
      </c>
      <c r="C956" t="str">
        <f>IF(PNL!C956="","",PNL!C956)</f>
        <v/>
      </c>
      <c r="D956" t="str">
        <f>IF(PNL!D956="","",PNL!D956)</f>
        <v/>
      </c>
      <c r="E956" t="str">
        <f t="shared" si="154"/>
        <v/>
      </c>
      <c r="F956" t="str">
        <f>IF($A956="","",IF($E956=1,SUMIFS(Compta!$F$1:$F$675,Compta!$A$1:$A$675,$A956,Compta!$B$1:$B$675,$B956,Compta!$C$1:$C$675,"2026"),0))</f>
        <v/>
      </c>
      <c r="G956" t="str">
        <f t="shared" si="155"/>
        <v/>
      </c>
      <c r="H956" t="str">
        <f t="shared" si="156"/>
        <v/>
      </c>
      <c r="I956" t="str">
        <f t="shared" si="157"/>
        <v/>
      </c>
      <c r="J956" t="str">
        <f t="shared" si="158"/>
        <v/>
      </c>
      <c r="K956" t="str">
        <f t="shared" si="159"/>
        <v/>
      </c>
      <c r="L956" t="str">
        <f t="shared" si="160"/>
        <v/>
      </c>
      <c r="M956" t="str">
        <f t="shared" si="161"/>
        <v/>
      </c>
      <c r="N956" t="str">
        <f t="shared" si="162"/>
        <v/>
      </c>
      <c r="O956" t="str">
        <f t="shared" si="163"/>
        <v/>
      </c>
      <c r="P956" t="str">
        <f>IF($A956="","",IF($E956=1,$F956*$O956,PNL!G956))</f>
        <v/>
      </c>
      <c r="T956" t="str">
        <f t="shared" si="164"/>
        <v/>
      </c>
    </row>
    <row r="957" spans="1:20" x14ac:dyDescent="0.45">
      <c r="A957" t="str">
        <f>IF(PNL!A957="","",PNL!A957)</f>
        <v/>
      </c>
      <c r="B957" t="str">
        <f>IF(PNL!B957="","",PNL!B957)</f>
        <v/>
      </c>
      <c r="C957" t="str">
        <f>IF(PNL!C957="","",PNL!C957)</f>
        <v/>
      </c>
      <c r="D957" t="str">
        <f>IF(PNL!D957="","",PNL!D957)</f>
        <v/>
      </c>
      <c r="E957" t="str">
        <f t="shared" si="154"/>
        <v/>
      </c>
      <c r="F957" t="str">
        <f>IF($A957="","",IF($E957=1,SUMIFS(Compta!$F$1:$F$675,Compta!$A$1:$A$675,$A957,Compta!$B$1:$B$675,$B957,Compta!$C$1:$C$675,"2026"),0))</f>
        <v/>
      </c>
      <c r="G957" t="str">
        <f t="shared" si="155"/>
        <v/>
      </c>
      <c r="H957" t="str">
        <f t="shared" si="156"/>
        <v/>
      </c>
      <c r="I957" t="str">
        <f t="shared" si="157"/>
        <v/>
      </c>
      <c r="J957" t="str">
        <f t="shared" si="158"/>
        <v/>
      </c>
      <c r="K957" t="str">
        <f t="shared" si="159"/>
        <v/>
      </c>
      <c r="L957" t="str">
        <f t="shared" si="160"/>
        <v/>
      </c>
      <c r="M957" t="str">
        <f t="shared" si="161"/>
        <v/>
      </c>
      <c r="N957" t="str">
        <f t="shared" si="162"/>
        <v/>
      </c>
      <c r="O957" t="str">
        <f t="shared" si="163"/>
        <v/>
      </c>
      <c r="P957" t="str">
        <f>IF($A957="","",IF($E957=1,$F957*$O957,PNL!G957))</f>
        <v/>
      </c>
      <c r="T957" t="str">
        <f t="shared" si="164"/>
        <v/>
      </c>
    </row>
    <row r="958" spans="1:20" x14ac:dyDescent="0.45">
      <c r="A958" t="str">
        <f>IF(PNL!A958="","",PNL!A958)</f>
        <v/>
      </c>
      <c r="B958" t="str">
        <f>IF(PNL!B958="","",PNL!B958)</f>
        <v/>
      </c>
      <c r="C958" t="str">
        <f>IF(PNL!C958="","",PNL!C958)</f>
        <v/>
      </c>
      <c r="D958" t="str">
        <f>IF(PNL!D958="","",PNL!D958)</f>
        <v/>
      </c>
      <c r="E958" t="str">
        <f t="shared" si="154"/>
        <v/>
      </c>
      <c r="F958" t="str">
        <f>IF($A958="","",IF($E958=1,SUMIFS(Compta!$F$1:$F$675,Compta!$A$1:$A$675,$A958,Compta!$B$1:$B$675,$B958,Compta!$C$1:$C$675,"2026"),0))</f>
        <v/>
      </c>
      <c r="G958" t="str">
        <f t="shared" si="155"/>
        <v/>
      </c>
      <c r="H958" t="str">
        <f t="shared" si="156"/>
        <v/>
      </c>
      <c r="I958" t="str">
        <f t="shared" si="157"/>
        <v/>
      </c>
      <c r="J958" t="str">
        <f t="shared" si="158"/>
        <v/>
      </c>
      <c r="K958" t="str">
        <f t="shared" si="159"/>
        <v/>
      </c>
      <c r="L958" t="str">
        <f t="shared" si="160"/>
        <v/>
      </c>
      <c r="M958" t="str">
        <f t="shared" si="161"/>
        <v/>
      </c>
      <c r="N958" t="str">
        <f t="shared" si="162"/>
        <v/>
      </c>
      <c r="O958" t="str">
        <f t="shared" si="163"/>
        <v/>
      </c>
      <c r="P958" t="str">
        <f>IF($A958="","",IF($E958=1,$F958*$O958,PNL!G958))</f>
        <v/>
      </c>
      <c r="T958" t="str">
        <f t="shared" si="164"/>
        <v/>
      </c>
    </row>
    <row r="959" spans="1:20" x14ac:dyDescent="0.45">
      <c r="A959" t="str">
        <f>IF(PNL!A959="","",PNL!A959)</f>
        <v/>
      </c>
      <c r="B959" t="str">
        <f>IF(PNL!B959="","",PNL!B959)</f>
        <v/>
      </c>
      <c r="C959" t="str">
        <f>IF(PNL!C959="","",PNL!C959)</f>
        <v/>
      </c>
      <c r="D959" t="str">
        <f>IF(PNL!D959="","",PNL!D959)</f>
        <v/>
      </c>
      <c r="E959" t="str">
        <f t="shared" si="154"/>
        <v/>
      </c>
      <c r="F959" t="str">
        <f>IF($A959="","",IF($E959=1,SUMIFS(Compta!$F$1:$F$675,Compta!$A$1:$A$675,$A959,Compta!$B$1:$B$675,$B959,Compta!$C$1:$C$675,"2026"),0))</f>
        <v/>
      </c>
      <c r="G959" t="str">
        <f t="shared" si="155"/>
        <v/>
      </c>
      <c r="H959" t="str">
        <f t="shared" si="156"/>
        <v/>
      </c>
      <c r="I959" t="str">
        <f t="shared" si="157"/>
        <v/>
      </c>
      <c r="J959" t="str">
        <f t="shared" si="158"/>
        <v/>
      </c>
      <c r="K959" t="str">
        <f t="shared" si="159"/>
        <v/>
      </c>
      <c r="L959" t="str">
        <f t="shared" si="160"/>
        <v/>
      </c>
      <c r="M959" t="str">
        <f t="shared" si="161"/>
        <v/>
      </c>
      <c r="N959" t="str">
        <f t="shared" si="162"/>
        <v/>
      </c>
      <c r="O959" t="str">
        <f t="shared" si="163"/>
        <v/>
      </c>
      <c r="P959" t="str">
        <f>IF($A959="","",IF($E959=1,$F959*$O959,PNL!G959))</f>
        <v/>
      </c>
      <c r="T959" t="str">
        <f t="shared" si="164"/>
        <v/>
      </c>
    </row>
    <row r="960" spans="1:20" x14ac:dyDescent="0.45">
      <c r="A960" t="str">
        <f>IF(PNL!A960="","",PNL!A960)</f>
        <v/>
      </c>
      <c r="B960" t="str">
        <f>IF(PNL!B960="","",PNL!B960)</f>
        <v/>
      </c>
      <c r="C960" t="str">
        <f>IF(PNL!C960="","",PNL!C960)</f>
        <v/>
      </c>
      <c r="D960" t="str">
        <f>IF(PNL!D960="","",PNL!D960)</f>
        <v/>
      </c>
      <c r="E960" t="str">
        <f t="shared" si="154"/>
        <v/>
      </c>
      <c r="F960" t="str">
        <f>IF($A960="","",IF($E960=1,SUMIFS(Compta!$F$1:$F$675,Compta!$A$1:$A$675,$A960,Compta!$B$1:$B$675,$B960,Compta!$C$1:$C$675,"2026"),0))</f>
        <v/>
      </c>
      <c r="G960" t="str">
        <f t="shared" si="155"/>
        <v/>
      </c>
      <c r="H960" t="str">
        <f t="shared" si="156"/>
        <v/>
      </c>
      <c r="I960" t="str">
        <f t="shared" si="157"/>
        <v/>
      </c>
      <c r="J960" t="str">
        <f t="shared" si="158"/>
        <v/>
      </c>
      <c r="K960" t="str">
        <f t="shared" si="159"/>
        <v/>
      </c>
      <c r="L960" t="str">
        <f t="shared" si="160"/>
        <v/>
      </c>
      <c r="M960" t="str">
        <f t="shared" si="161"/>
        <v/>
      </c>
      <c r="N960" t="str">
        <f t="shared" si="162"/>
        <v/>
      </c>
      <c r="O960" t="str">
        <f t="shared" si="163"/>
        <v/>
      </c>
      <c r="P960" t="str">
        <f>IF($A960="","",IF($E960=1,$F960*$O960,PNL!G960))</f>
        <v/>
      </c>
      <c r="T960" t="str">
        <f t="shared" si="164"/>
        <v/>
      </c>
    </row>
    <row r="961" spans="1:20" x14ac:dyDescent="0.45">
      <c r="A961" t="str">
        <f>IF(PNL!A961="","",PNL!A961)</f>
        <v/>
      </c>
      <c r="B961" t="str">
        <f>IF(PNL!B961="","",PNL!B961)</f>
        <v/>
      </c>
      <c r="C961" t="str">
        <f>IF(PNL!C961="","",PNL!C961)</f>
        <v/>
      </c>
      <c r="D961" t="str">
        <f>IF(PNL!D961="","",PNL!D961)</f>
        <v/>
      </c>
      <c r="E961" t="str">
        <f t="shared" si="154"/>
        <v/>
      </c>
      <c r="F961" t="str">
        <f>IF($A961="","",IF($E961=1,SUMIFS(Compta!$F$1:$F$675,Compta!$A$1:$A$675,$A961,Compta!$B$1:$B$675,$B961,Compta!$C$1:$C$675,"2026"),0))</f>
        <v/>
      </c>
      <c r="G961" t="str">
        <f t="shared" si="155"/>
        <v/>
      </c>
      <c r="H961" t="str">
        <f t="shared" si="156"/>
        <v/>
      </c>
      <c r="I961" t="str">
        <f t="shared" si="157"/>
        <v/>
      </c>
      <c r="J961" t="str">
        <f t="shared" si="158"/>
        <v/>
      </c>
      <c r="K961" t="str">
        <f t="shared" si="159"/>
        <v/>
      </c>
      <c r="L961" t="str">
        <f t="shared" si="160"/>
        <v/>
      </c>
      <c r="M961" t="str">
        <f t="shared" si="161"/>
        <v/>
      </c>
      <c r="N961" t="str">
        <f t="shared" si="162"/>
        <v/>
      </c>
      <c r="O961" t="str">
        <f t="shared" si="163"/>
        <v/>
      </c>
      <c r="P961" t="str">
        <f>IF($A961="","",IF($E961=1,$F961*$O961,PNL!G961))</f>
        <v/>
      </c>
      <c r="T961" t="str">
        <f t="shared" si="164"/>
        <v/>
      </c>
    </row>
    <row r="962" spans="1:20" x14ac:dyDescent="0.45">
      <c r="A962" t="str">
        <f>IF(PNL!A962="","",PNL!A962)</f>
        <v/>
      </c>
      <c r="B962" t="str">
        <f>IF(PNL!B962="","",PNL!B962)</f>
        <v/>
      </c>
      <c r="C962" t="str">
        <f>IF(PNL!C962="","",PNL!C962)</f>
        <v/>
      </c>
      <c r="D962" t="str">
        <f>IF(PNL!D962="","",PNL!D962)</f>
        <v/>
      </c>
      <c r="E962" t="str">
        <f t="shared" ref="E962:E1025" si="165">IF($A962="","",IF(AND($C962="2027",OR($D962="V01",$D962="V02",$D962="V03")),1,0))</f>
        <v/>
      </c>
      <c r="F962" t="str">
        <f>IF($A962="","",IF($E962=1,SUMIFS(Compta!$F$1:$F$675,Compta!$A$1:$A$675,$A962,Compta!$B$1:$B$675,$B962,Compta!$C$1:$C$675,"2026"),0))</f>
        <v/>
      </c>
      <c r="G962" t="str">
        <f t="shared" ref="G962:G1025" si="166">IF($A962="","",IF($D962="V01",cad!$C$23,IF($D962="V02",cad!$D$23,cad!$E$23)))</f>
        <v/>
      </c>
      <c r="H962" t="str">
        <f t="shared" ref="H962:H1025" si="167">IF($A962="","",IF($D962="V01",cad!$C$24,IF($D962="V02",cad!$D$24,cad!$E$24)))</f>
        <v/>
      </c>
      <c r="I962" t="str">
        <f t="shared" ref="I962:I1025" si="168">IF($A962="","",IF($D962="V01",cad!$C$32,IF($D962="V02",cad!$D$32,cad!$E$32)))</f>
        <v/>
      </c>
      <c r="J962" t="str">
        <f t="shared" ref="J962:J1025" si="169">IF($A962="","",IF($D962="V01",cad!$C$33,IF($D962="V02",cad!$D$33,cad!$E$33)))</f>
        <v/>
      </c>
      <c r="K962" t="str">
        <f t="shared" ref="K962:K1025" si="170">IF($A962="","",IF($D962="V01",cad!$C$34,IF($D962="V02",cad!$D$34,cad!$E$34)))</f>
        <v/>
      </c>
      <c r="L962" t="str">
        <f t="shared" ref="L962:L1025" si="171">IF($A962="","",IF($D962="V01",cad!$C$35,IF($D962="V02",cad!$D$35,cad!$E$35)))</f>
        <v/>
      </c>
      <c r="M962" t="str">
        <f t="shared" ref="M962:M1025" si="172">IF($A962="","",IF($D962="V01",cad!$C$36,IF($D962="V02",cad!$D$36,cad!$E$36)))</f>
        <v/>
      </c>
      <c r="N962" t="str">
        <f t="shared" ref="N962:N1025" si="173">IF($A962="","",IF($D962="V01",$R$2,IF($D962="V02",$R$3,$R$4)))</f>
        <v/>
      </c>
      <c r="O962" t="str">
        <f t="shared" ref="O962:O1025" si="174">IF($A962="","",IF(OR($B962="7062",$B962="706",$B962="708"),$N962,IF($B962="6231",1+$G962,IF($B962="6236",1+$H962,IF(OR($B962="621",$B962="604",$B962="6063"),$N962*(1-$L962),IF(OR($B962="6411",$B962="6413",$B962="6414",$B962="645"),(1+$J962)*(1+$K962),IF(OR($B962="613",$B962="615",$B962="616",$B962="6226",$B962="625",$B962="626",$B962="6281"),(1+$I962)*(1-$L962)*(1+$M962),IF(OR($B962="6331",$B962="63511",$B962="6333"),(1+$I962)*(1-$L962),IF($B962="6811",1+$I962,1)))))))))</f>
        <v/>
      </c>
      <c r="P962" t="str">
        <f>IF($A962="","",IF($E962=1,$F962*$O962,PNL!G962))</f>
        <v/>
      </c>
      <c r="T962" t="str">
        <f t="shared" ref="T962:T1025" si="175">IF($A962="","",IF($E962=1,IF(OR($B962="7062",$B962="706",$B962="708"),$P962,IF(AND(LEFT($B962,1)="6",$B962&lt;&gt;"6811"),-$P962,0)),0))</f>
        <v/>
      </c>
    </row>
    <row r="963" spans="1:20" x14ac:dyDescent="0.45">
      <c r="A963" t="str">
        <f>IF(PNL!A963="","",PNL!A963)</f>
        <v/>
      </c>
      <c r="B963" t="str">
        <f>IF(PNL!B963="","",PNL!B963)</f>
        <v/>
      </c>
      <c r="C963" t="str">
        <f>IF(PNL!C963="","",PNL!C963)</f>
        <v/>
      </c>
      <c r="D963" t="str">
        <f>IF(PNL!D963="","",PNL!D963)</f>
        <v/>
      </c>
      <c r="E963" t="str">
        <f t="shared" si="165"/>
        <v/>
      </c>
      <c r="F963" t="str">
        <f>IF($A963="","",IF($E963=1,SUMIFS(Compta!$F$1:$F$675,Compta!$A$1:$A$675,$A963,Compta!$B$1:$B$675,$B963,Compta!$C$1:$C$675,"2026"),0))</f>
        <v/>
      </c>
      <c r="G963" t="str">
        <f t="shared" si="166"/>
        <v/>
      </c>
      <c r="H963" t="str">
        <f t="shared" si="167"/>
        <v/>
      </c>
      <c r="I963" t="str">
        <f t="shared" si="168"/>
        <v/>
      </c>
      <c r="J963" t="str">
        <f t="shared" si="169"/>
        <v/>
      </c>
      <c r="K963" t="str">
        <f t="shared" si="170"/>
        <v/>
      </c>
      <c r="L963" t="str">
        <f t="shared" si="171"/>
        <v/>
      </c>
      <c r="M963" t="str">
        <f t="shared" si="172"/>
        <v/>
      </c>
      <c r="N963" t="str">
        <f t="shared" si="173"/>
        <v/>
      </c>
      <c r="O963" t="str">
        <f t="shared" si="174"/>
        <v/>
      </c>
      <c r="P963" t="str">
        <f>IF($A963="","",IF($E963=1,$F963*$O963,PNL!G963))</f>
        <v/>
      </c>
      <c r="T963" t="str">
        <f t="shared" si="175"/>
        <v/>
      </c>
    </row>
    <row r="964" spans="1:20" x14ac:dyDescent="0.45">
      <c r="A964" t="str">
        <f>IF(PNL!A964="","",PNL!A964)</f>
        <v/>
      </c>
      <c r="B964" t="str">
        <f>IF(PNL!B964="","",PNL!B964)</f>
        <v/>
      </c>
      <c r="C964" t="str">
        <f>IF(PNL!C964="","",PNL!C964)</f>
        <v/>
      </c>
      <c r="D964" t="str">
        <f>IF(PNL!D964="","",PNL!D964)</f>
        <v/>
      </c>
      <c r="E964" t="str">
        <f t="shared" si="165"/>
        <v/>
      </c>
      <c r="F964" t="str">
        <f>IF($A964="","",IF($E964=1,SUMIFS(Compta!$F$1:$F$675,Compta!$A$1:$A$675,$A964,Compta!$B$1:$B$675,$B964,Compta!$C$1:$C$675,"2026"),0))</f>
        <v/>
      </c>
      <c r="G964" t="str">
        <f t="shared" si="166"/>
        <v/>
      </c>
      <c r="H964" t="str">
        <f t="shared" si="167"/>
        <v/>
      </c>
      <c r="I964" t="str">
        <f t="shared" si="168"/>
        <v/>
      </c>
      <c r="J964" t="str">
        <f t="shared" si="169"/>
        <v/>
      </c>
      <c r="K964" t="str">
        <f t="shared" si="170"/>
        <v/>
      </c>
      <c r="L964" t="str">
        <f t="shared" si="171"/>
        <v/>
      </c>
      <c r="M964" t="str">
        <f t="shared" si="172"/>
        <v/>
      </c>
      <c r="N964" t="str">
        <f t="shared" si="173"/>
        <v/>
      </c>
      <c r="O964" t="str">
        <f t="shared" si="174"/>
        <v/>
      </c>
      <c r="P964" t="str">
        <f>IF($A964="","",IF($E964=1,$F964*$O964,PNL!G964))</f>
        <v/>
      </c>
      <c r="T964" t="str">
        <f t="shared" si="175"/>
        <v/>
      </c>
    </row>
    <row r="965" spans="1:20" x14ac:dyDescent="0.45">
      <c r="A965" t="str">
        <f>IF(PNL!A965="","",PNL!A965)</f>
        <v/>
      </c>
      <c r="B965" t="str">
        <f>IF(PNL!B965="","",PNL!B965)</f>
        <v/>
      </c>
      <c r="C965" t="str">
        <f>IF(PNL!C965="","",PNL!C965)</f>
        <v/>
      </c>
      <c r="D965" t="str">
        <f>IF(PNL!D965="","",PNL!D965)</f>
        <v/>
      </c>
      <c r="E965" t="str">
        <f t="shared" si="165"/>
        <v/>
      </c>
      <c r="F965" t="str">
        <f>IF($A965="","",IF($E965=1,SUMIFS(Compta!$F$1:$F$675,Compta!$A$1:$A$675,$A965,Compta!$B$1:$B$675,$B965,Compta!$C$1:$C$675,"2026"),0))</f>
        <v/>
      </c>
      <c r="G965" t="str">
        <f t="shared" si="166"/>
        <v/>
      </c>
      <c r="H965" t="str">
        <f t="shared" si="167"/>
        <v/>
      </c>
      <c r="I965" t="str">
        <f t="shared" si="168"/>
        <v/>
      </c>
      <c r="J965" t="str">
        <f t="shared" si="169"/>
        <v/>
      </c>
      <c r="K965" t="str">
        <f t="shared" si="170"/>
        <v/>
      </c>
      <c r="L965" t="str">
        <f t="shared" si="171"/>
        <v/>
      </c>
      <c r="M965" t="str">
        <f t="shared" si="172"/>
        <v/>
      </c>
      <c r="N965" t="str">
        <f t="shared" si="173"/>
        <v/>
      </c>
      <c r="O965" t="str">
        <f t="shared" si="174"/>
        <v/>
      </c>
      <c r="P965" t="str">
        <f>IF($A965="","",IF($E965=1,$F965*$O965,PNL!G965))</f>
        <v/>
      </c>
      <c r="T965" t="str">
        <f t="shared" si="175"/>
        <v/>
      </c>
    </row>
    <row r="966" spans="1:20" x14ac:dyDescent="0.45">
      <c r="A966" t="str">
        <f>IF(PNL!A966="","",PNL!A966)</f>
        <v/>
      </c>
      <c r="B966" t="str">
        <f>IF(PNL!B966="","",PNL!B966)</f>
        <v/>
      </c>
      <c r="C966" t="str">
        <f>IF(PNL!C966="","",PNL!C966)</f>
        <v/>
      </c>
      <c r="D966" t="str">
        <f>IF(PNL!D966="","",PNL!D966)</f>
        <v/>
      </c>
      <c r="E966" t="str">
        <f t="shared" si="165"/>
        <v/>
      </c>
      <c r="F966" t="str">
        <f>IF($A966="","",IF($E966=1,SUMIFS(Compta!$F$1:$F$675,Compta!$A$1:$A$675,$A966,Compta!$B$1:$B$675,$B966,Compta!$C$1:$C$675,"2026"),0))</f>
        <v/>
      </c>
      <c r="G966" t="str">
        <f t="shared" si="166"/>
        <v/>
      </c>
      <c r="H966" t="str">
        <f t="shared" si="167"/>
        <v/>
      </c>
      <c r="I966" t="str">
        <f t="shared" si="168"/>
        <v/>
      </c>
      <c r="J966" t="str">
        <f t="shared" si="169"/>
        <v/>
      </c>
      <c r="K966" t="str">
        <f t="shared" si="170"/>
        <v/>
      </c>
      <c r="L966" t="str">
        <f t="shared" si="171"/>
        <v/>
      </c>
      <c r="M966" t="str">
        <f t="shared" si="172"/>
        <v/>
      </c>
      <c r="N966" t="str">
        <f t="shared" si="173"/>
        <v/>
      </c>
      <c r="O966" t="str">
        <f t="shared" si="174"/>
        <v/>
      </c>
      <c r="P966" t="str">
        <f>IF($A966="","",IF($E966=1,$F966*$O966,PNL!G966))</f>
        <v/>
      </c>
      <c r="T966" t="str">
        <f t="shared" si="175"/>
        <v/>
      </c>
    </row>
    <row r="967" spans="1:20" x14ac:dyDescent="0.45">
      <c r="A967" t="str">
        <f>IF(PNL!A967="","",PNL!A967)</f>
        <v/>
      </c>
      <c r="B967" t="str">
        <f>IF(PNL!B967="","",PNL!B967)</f>
        <v/>
      </c>
      <c r="C967" t="str">
        <f>IF(PNL!C967="","",PNL!C967)</f>
        <v/>
      </c>
      <c r="D967" t="str">
        <f>IF(PNL!D967="","",PNL!D967)</f>
        <v/>
      </c>
      <c r="E967" t="str">
        <f t="shared" si="165"/>
        <v/>
      </c>
      <c r="F967" t="str">
        <f>IF($A967="","",IF($E967=1,SUMIFS(Compta!$F$1:$F$675,Compta!$A$1:$A$675,$A967,Compta!$B$1:$B$675,$B967,Compta!$C$1:$C$675,"2026"),0))</f>
        <v/>
      </c>
      <c r="G967" t="str">
        <f t="shared" si="166"/>
        <v/>
      </c>
      <c r="H967" t="str">
        <f t="shared" si="167"/>
        <v/>
      </c>
      <c r="I967" t="str">
        <f t="shared" si="168"/>
        <v/>
      </c>
      <c r="J967" t="str">
        <f t="shared" si="169"/>
        <v/>
      </c>
      <c r="K967" t="str">
        <f t="shared" si="170"/>
        <v/>
      </c>
      <c r="L967" t="str">
        <f t="shared" si="171"/>
        <v/>
      </c>
      <c r="M967" t="str">
        <f t="shared" si="172"/>
        <v/>
      </c>
      <c r="N967" t="str">
        <f t="shared" si="173"/>
        <v/>
      </c>
      <c r="O967" t="str">
        <f t="shared" si="174"/>
        <v/>
      </c>
      <c r="P967" t="str">
        <f>IF($A967="","",IF($E967=1,$F967*$O967,PNL!G967))</f>
        <v/>
      </c>
      <c r="T967" t="str">
        <f t="shared" si="175"/>
        <v/>
      </c>
    </row>
    <row r="968" spans="1:20" x14ac:dyDescent="0.45">
      <c r="A968" t="str">
        <f>IF(PNL!A968="","",PNL!A968)</f>
        <v/>
      </c>
      <c r="B968" t="str">
        <f>IF(PNL!B968="","",PNL!B968)</f>
        <v/>
      </c>
      <c r="C968" t="str">
        <f>IF(PNL!C968="","",PNL!C968)</f>
        <v/>
      </c>
      <c r="D968" t="str">
        <f>IF(PNL!D968="","",PNL!D968)</f>
        <v/>
      </c>
      <c r="E968" t="str">
        <f t="shared" si="165"/>
        <v/>
      </c>
      <c r="F968" t="str">
        <f>IF($A968="","",IF($E968=1,SUMIFS(Compta!$F$1:$F$675,Compta!$A$1:$A$675,$A968,Compta!$B$1:$B$675,$B968,Compta!$C$1:$C$675,"2026"),0))</f>
        <v/>
      </c>
      <c r="G968" t="str">
        <f t="shared" si="166"/>
        <v/>
      </c>
      <c r="H968" t="str">
        <f t="shared" si="167"/>
        <v/>
      </c>
      <c r="I968" t="str">
        <f t="shared" si="168"/>
        <v/>
      </c>
      <c r="J968" t="str">
        <f t="shared" si="169"/>
        <v/>
      </c>
      <c r="K968" t="str">
        <f t="shared" si="170"/>
        <v/>
      </c>
      <c r="L968" t="str">
        <f t="shared" si="171"/>
        <v/>
      </c>
      <c r="M968" t="str">
        <f t="shared" si="172"/>
        <v/>
      </c>
      <c r="N968" t="str">
        <f t="shared" si="173"/>
        <v/>
      </c>
      <c r="O968" t="str">
        <f t="shared" si="174"/>
        <v/>
      </c>
      <c r="P968" t="str">
        <f>IF($A968="","",IF($E968=1,$F968*$O968,PNL!G968))</f>
        <v/>
      </c>
      <c r="T968" t="str">
        <f t="shared" si="175"/>
        <v/>
      </c>
    </row>
    <row r="969" spans="1:20" x14ac:dyDescent="0.45">
      <c r="A969" t="str">
        <f>IF(PNL!A969="","",PNL!A969)</f>
        <v/>
      </c>
      <c r="B969" t="str">
        <f>IF(PNL!B969="","",PNL!B969)</f>
        <v/>
      </c>
      <c r="C969" t="str">
        <f>IF(PNL!C969="","",PNL!C969)</f>
        <v/>
      </c>
      <c r="D969" t="str">
        <f>IF(PNL!D969="","",PNL!D969)</f>
        <v/>
      </c>
      <c r="E969" t="str">
        <f t="shared" si="165"/>
        <v/>
      </c>
      <c r="F969" t="str">
        <f>IF($A969="","",IF($E969=1,SUMIFS(Compta!$F$1:$F$675,Compta!$A$1:$A$675,$A969,Compta!$B$1:$B$675,$B969,Compta!$C$1:$C$675,"2026"),0))</f>
        <v/>
      </c>
      <c r="G969" t="str">
        <f t="shared" si="166"/>
        <v/>
      </c>
      <c r="H969" t="str">
        <f t="shared" si="167"/>
        <v/>
      </c>
      <c r="I969" t="str">
        <f t="shared" si="168"/>
        <v/>
      </c>
      <c r="J969" t="str">
        <f t="shared" si="169"/>
        <v/>
      </c>
      <c r="K969" t="str">
        <f t="shared" si="170"/>
        <v/>
      </c>
      <c r="L969" t="str">
        <f t="shared" si="171"/>
        <v/>
      </c>
      <c r="M969" t="str">
        <f t="shared" si="172"/>
        <v/>
      </c>
      <c r="N969" t="str">
        <f t="shared" si="173"/>
        <v/>
      </c>
      <c r="O969" t="str">
        <f t="shared" si="174"/>
        <v/>
      </c>
      <c r="P969" t="str">
        <f>IF($A969="","",IF($E969=1,$F969*$O969,PNL!G969))</f>
        <v/>
      </c>
      <c r="T969" t="str">
        <f t="shared" si="175"/>
        <v/>
      </c>
    </row>
    <row r="970" spans="1:20" x14ac:dyDescent="0.45">
      <c r="A970" t="str">
        <f>IF(PNL!A970="","",PNL!A970)</f>
        <v/>
      </c>
      <c r="B970" t="str">
        <f>IF(PNL!B970="","",PNL!B970)</f>
        <v/>
      </c>
      <c r="C970" t="str">
        <f>IF(PNL!C970="","",PNL!C970)</f>
        <v/>
      </c>
      <c r="D970" t="str">
        <f>IF(PNL!D970="","",PNL!D970)</f>
        <v/>
      </c>
      <c r="E970" t="str">
        <f t="shared" si="165"/>
        <v/>
      </c>
      <c r="F970" t="str">
        <f>IF($A970="","",IF($E970=1,SUMIFS(Compta!$F$1:$F$675,Compta!$A$1:$A$675,$A970,Compta!$B$1:$B$675,$B970,Compta!$C$1:$C$675,"2026"),0))</f>
        <v/>
      </c>
      <c r="G970" t="str">
        <f t="shared" si="166"/>
        <v/>
      </c>
      <c r="H970" t="str">
        <f t="shared" si="167"/>
        <v/>
      </c>
      <c r="I970" t="str">
        <f t="shared" si="168"/>
        <v/>
      </c>
      <c r="J970" t="str">
        <f t="shared" si="169"/>
        <v/>
      </c>
      <c r="K970" t="str">
        <f t="shared" si="170"/>
        <v/>
      </c>
      <c r="L970" t="str">
        <f t="shared" si="171"/>
        <v/>
      </c>
      <c r="M970" t="str">
        <f t="shared" si="172"/>
        <v/>
      </c>
      <c r="N970" t="str">
        <f t="shared" si="173"/>
        <v/>
      </c>
      <c r="O970" t="str">
        <f t="shared" si="174"/>
        <v/>
      </c>
      <c r="P970" t="str">
        <f>IF($A970="","",IF($E970=1,$F970*$O970,PNL!G970))</f>
        <v/>
      </c>
      <c r="T970" t="str">
        <f t="shared" si="175"/>
        <v/>
      </c>
    </row>
    <row r="971" spans="1:20" x14ac:dyDescent="0.45">
      <c r="A971" t="str">
        <f>IF(PNL!A971="","",PNL!A971)</f>
        <v/>
      </c>
      <c r="B971" t="str">
        <f>IF(PNL!B971="","",PNL!B971)</f>
        <v/>
      </c>
      <c r="C971" t="str">
        <f>IF(PNL!C971="","",PNL!C971)</f>
        <v/>
      </c>
      <c r="D971" t="str">
        <f>IF(PNL!D971="","",PNL!D971)</f>
        <v/>
      </c>
      <c r="E971" t="str">
        <f t="shared" si="165"/>
        <v/>
      </c>
      <c r="F971" t="str">
        <f>IF($A971="","",IF($E971=1,SUMIFS(Compta!$F$1:$F$675,Compta!$A$1:$A$675,$A971,Compta!$B$1:$B$675,$B971,Compta!$C$1:$C$675,"2026"),0))</f>
        <v/>
      </c>
      <c r="G971" t="str">
        <f t="shared" si="166"/>
        <v/>
      </c>
      <c r="H971" t="str">
        <f t="shared" si="167"/>
        <v/>
      </c>
      <c r="I971" t="str">
        <f t="shared" si="168"/>
        <v/>
      </c>
      <c r="J971" t="str">
        <f t="shared" si="169"/>
        <v/>
      </c>
      <c r="K971" t="str">
        <f t="shared" si="170"/>
        <v/>
      </c>
      <c r="L971" t="str">
        <f t="shared" si="171"/>
        <v/>
      </c>
      <c r="M971" t="str">
        <f t="shared" si="172"/>
        <v/>
      </c>
      <c r="N971" t="str">
        <f t="shared" si="173"/>
        <v/>
      </c>
      <c r="O971" t="str">
        <f t="shared" si="174"/>
        <v/>
      </c>
      <c r="P971" t="str">
        <f>IF($A971="","",IF($E971=1,$F971*$O971,PNL!G971))</f>
        <v/>
      </c>
      <c r="T971" t="str">
        <f t="shared" si="175"/>
        <v/>
      </c>
    </row>
    <row r="972" spans="1:20" x14ac:dyDescent="0.45">
      <c r="A972" t="str">
        <f>IF(PNL!A972="","",PNL!A972)</f>
        <v/>
      </c>
      <c r="B972" t="str">
        <f>IF(PNL!B972="","",PNL!B972)</f>
        <v/>
      </c>
      <c r="C972" t="str">
        <f>IF(PNL!C972="","",PNL!C972)</f>
        <v/>
      </c>
      <c r="D972" t="str">
        <f>IF(PNL!D972="","",PNL!D972)</f>
        <v/>
      </c>
      <c r="E972" t="str">
        <f t="shared" si="165"/>
        <v/>
      </c>
      <c r="F972" t="str">
        <f>IF($A972="","",IF($E972=1,SUMIFS(Compta!$F$1:$F$675,Compta!$A$1:$A$675,$A972,Compta!$B$1:$B$675,$B972,Compta!$C$1:$C$675,"2026"),0))</f>
        <v/>
      </c>
      <c r="G972" t="str">
        <f t="shared" si="166"/>
        <v/>
      </c>
      <c r="H972" t="str">
        <f t="shared" si="167"/>
        <v/>
      </c>
      <c r="I972" t="str">
        <f t="shared" si="168"/>
        <v/>
      </c>
      <c r="J972" t="str">
        <f t="shared" si="169"/>
        <v/>
      </c>
      <c r="K972" t="str">
        <f t="shared" si="170"/>
        <v/>
      </c>
      <c r="L972" t="str">
        <f t="shared" si="171"/>
        <v/>
      </c>
      <c r="M972" t="str">
        <f t="shared" si="172"/>
        <v/>
      </c>
      <c r="N972" t="str">
        <f t="shared" si="173"/>
        <v/>
      </c>
      <c r="O972" t="str">
        <f t="shared" si="174"/>
        <v/>
      </c>
      <c r="P972" t="str">
        <f>IF($A972="","",IF($E972=1,$F972*$O972,PNL!G972))</f>
        <v/>
      </c>
      <c r="T972" t="str">
        <f t="shared" si="175"/>
        <v/>
      </c>
    </row>
    <row r="973" spans="1:20" x14ac:dyDescent="0.45">
      <c r="A973" t="str">
        <f>IF(PNL!A973="","",PNL!A973)</f>
        <v/>
      </c>
      <c r="B973" t="str">
        <f>IF(PNL!B973="","",PNL!B973)</f>
        <v/>
      </c>
      <c r="C973" t="str">
        <f>IF(PNL!C973="","",PNL!C973)</f>
        <v/>
      </c>
      <c r="D973" t="str">
        <f>IF(PNL!D973="","",PNL!D973)</f>
        <v/>
      </c>
      <c r="E973" t="str">
        <f t="shared" si="165"/>
        <v/>
      </c>
      <c r="F973" t="str">
        <f>IF($A973="","",IF($E973=1,SUMIFS(Compta!$F$1:$F$675,Compta!$A$1:$A$675,$A973,Compta!$B$1:$B$675,$B973,Compta!$C$1:$C$675,"2026"),0))</f>
        <v/>
      </c>
      <c r="G973" t="str">
        <f t="shared" si="166"/>
        <v/>
      </c>
      <c r="H973" t="str">
        <f t="shared" si="167"/>
        <v/>
      </c>
      <c r="I973" t="str">
        <f t="shared" si="168"/>
        <v/>
      </c>
      <c r="J973" t="str">
        <f t="shared" si="169"/>
        <v/>
      </c>
      <c r="K973" t="str">
        <f t="shared" si="170"/>
        <v/>
      </c>
      <c r="L973" t="str">
        <f t="shared" si="171"/>
        <v/>
      </c>
      <c r="M973" t="str">
        <f t="shared" si="172"/>
        <v/>
      </c>
      <c r="N973" t="str">
        <f t="shared" si="173"/>
        <v/>
      </c>
      <c r="O973" t="str">
        <f t="shared" si="174"/>
        <v/>
      </c>
      <c r="P973" t="str">
        <f>IF($A973="","",IF($E973=1,$F973*$O973,PNL!G973))</f>
        <v/>
      </c>
      <c r="T973" t="str">
        <f t="shared" si="175"/>
        <v/>
      </c>
    </row>
    <row r="974" spans="1:20" x14ac:dyDescent="0.45">
      <c r="A974" t="str">
        <f>IF(PNL!A974="","",PNL!A974)</f>
        <v/>
      </c>
      <c r="B974" t="str">
        <f>IF(PNL!B974="","",PNL!B974)</f>
        <v/>
      </c>
      <c r="C974" t="str">
        <f>IF(PNL!C974="","",PNL!C974)</f>
        <v/>
      </c>
      <c r="D974" t="str">
        <f>IF(PNL!D974="","",PNL!D974)</f>
        <v/>
      </c>
      <c r="E974" t="str">
        <f t="shared" si="165"/>
        <v/>
      </c>
      <c r="F974" t="str">
        <f>IF($A974="","",IF($E974=1,SUMIFS(Compta!$F$1:$F$675,Compta!$A$1:$A$675,$A974,Compta!$B$1:$B$675,$B974,Compta!$C$1:$C$675,"2026"),0))</f>
        <v/>
      </c>
      <c r="G974" t="str">
        <f t="shared" si="166"/>
        <v/>
      </c>
      <c r="H974" t="str">
        <f t="shared" si="167"/>
        <v/>
      </c>
      <c r="I974" t="str">
        <f t="shared" si="168"/>
        <v/>
      </c>
      <c r="J974" t="str">
        <f t="shared" si="169"/>
        <v/>
      </c>
      <c r="K974" t="str">
        <f t="shared" si="170"/>
        <v/>
      </c>
      <c r="L974" t="str">
        <f t="shared" si="171"/>
        <v/>
      </c>
      <c r="M974" t="str">
        <f t="shared" si="172"/>
        <v/>
      </c>
      <c r="N974" t="str">
        <f t="shared" si="173"/>
        <v/>
      </c>
      <c r="O974" t="str">
        <f t="shared" si="174"/>
        <v/>
      </c>
      <c r="P974" t="str">
        <f>IF($A974="","",IF($E974=1,$F974*$O974,PNL!G974))</f>
        <v/>
      </c>
      <c r="T974" t="str">
        <f t="shared" si="175"/>
        <v/>
      </c>
    </row>
    <row r="975" spans="1:20" x14ac:dyDescent="0.45">
      <c r="A975" t="str">
        <f>IF(PNL!A975="","",PNL!A975)</f>
        <v/>
      </c>
      <c r="B975" t="str">
        <f>IF(PNL!B975="","",PNL!B975)</f>
        <v/>
      </c>
      <c r="C975" t="str">
        <f>IF(PNL!C975="","",PNL!C975)</f>
        <v/>
      </c>
      <c r="D975" t="str">
        <f>IF(PNL!D975="","",PNL!D975)</f>
        <v/>
      </c>
      <c r="E975" t="str">
        <f t="shared" si="165"/>
        <v/>
      </c>
      <c r="F975" t="str">
        <f>IF($A975="","",IF($E975=1,SUMIFS(Compta!$F$1:$F$675,Compta!$A$1:$A$675,$A975,Compta!$B$1:$B$675,$B975,Compta!$C$1:$C$675,"2026"),0))</f>
        <v/>
      </c>
      <c r="G975" t="str">
        <f t="shared" si="166"/>
        <v/>
      </c>
      <c r="H975" t="str">
        <f t="shared" si="167"/>
        <v/>
      </c>
      <c r="I975" t="str">
        <f t="shared" si="168"/>
        <v/>
      </c>
      <c r="J975" t="str">
        <f t="shared" si="169"/>
        <v/>
      </c>
      <c r="K975" t="str">
        <f t="shared" si="170"/>
        <v/>
      </c>
      <c r="L975" t="str">
        <f t="shared" si="171"/>
        <v/>
      </c>
      <c r="M975" t="str">
        <f t="shared" si="172"/>
        <v/>
      </c>
      <c r="N975" t="str">
        <f t="shared" si="173"/>
        <v/>
      </c>
      <c r="O975" t="str">
        <f t="shared" si="174"/>
        <v/>
      </c>
      <c r="P975" t="str">
        <f>IF($A975="","",IF($E975=1,$F975*$O975,PNL!G975))</f>
        <v/>
      </c>
      <c r="T975" t="str">
        <f t="shared" si="175"/>
        <v/>
      </c>
    </row>
    <row r="976" spans="1:20" x14ac:dyDescent="0.45">
      <c r="A976" t="str">
        <f>IF(PNL!A976="","",PNL!A976)</f>
        <v/>
      </c>
      <c r="B976" t="str">
        <f>IF(PNL!B976="","",PNL!B976)</f>
        <v/>
      </c>
      <c r="C976" t="str">
        <f>IF(PNL!C976="","",PNL!C976)</f>
        <v/>
      </c>
      <c r="D976" t="str">
        <f>IF(PNL!D976="","",PNL!D976)</f>
        <v/>
      </c>
      <c r="E976" t="str">
        <f t="shared" si="165"/>
        <v/>
      </c>
      <c r="F976" t="str">
        <f>IF($A976="","",IF($E976=1,SUMIFS(Compta!$F$1:$F$675,Compta!$A$1:$A$675,$A976,Compta!$B$1:$B$675,$B976,Compta!$C$1:$C$675,"2026"),0))</f>
        <v/>
      </c>
      <c r="G976" t="str">
        <f t="shared" si="166"/>
        <v/>
      </c>
      <c r="H976" t="str">
        <f t="shared" si="167"/>
        <v/>
      </c>
      <c r="I976" t="str">
        <f t="shared" si="168"/>
        <v/>
      </c>
      <c r="J976" t="str">
        <f t="shared" si="169"/>
        <v/>
      </c>
      <c r="K976" t="str">
        <f t="shared" si="170"/>
        <v/>
      </c>
      <c r="L976" t="str">
        <f t="shared" si="171"/>
        <v/>
      </c>
      <c r="M976" t="str">
        <f t="shared" si="172"/>
        <v/>
      </c>
      <c r="N976" t="str">
        <f t="shared" si="173"/>
        <v/>
      </c>
      <c r="O976" t="str">
        <f t="shared" si="174"/>
        <v/>
      </c>
      <c r="P976" t="str">
        <f>IF($A976="","",IF($E976=1,$F976*$O976,PNL!G976))</f>
        <v/>
      </c>
      <c r="T976" t="str">
        <f t="shared" si="175"/>
        <v/>
      </c>
    </row>
    <row r="977" spans="1:20" x14ac:dyDescent="0.45">
      <c r="A977" t="str">
        <f>IF(PNL!A977="","",PNL!A977)</f>
        <v/>
      </c>
      <c r="B977" t="str">
        <f>IF(PNL!B977="","",PNL!B977)</f>
        <v/>
      </c>
      <c r="C977" t="str">
        <f>IF(PNL!C977="","",PNL!C977)</f>
        <v/>
      </c>
      <c r="D977" t="str">
        <f>IF(PNL!D977="","",PNL!D977)</f>
        <v/>
      </c>
      <c r="E977" t="str">
        <f t="shared" si="165"/>
        <v/>
      </c>
      <c r="F977" t="str">
        <f>IF($A977="","",IF($E977=1,SUMIFS(Compta!$F$1:$F$675,Compta!$A$1:$A$675,$A977,Compta!$B$1:$B$675,$B977,Compta!$C$1:$C$675,"2026"),0))</f>
        <v/>
      </c>
      <c r="G977" t="str">
        <f t="shared" si="166"/>
        <v/>
      </c>
      <c r="H977" t="str">
        <f t="shared" si="167"/>
        <v/>
      </c>
      <c r="I977" t="str">
        <f t="shared" si="168"/>
        <v/>
      </c>
      <c r="J977" t="str">
        <f t="shared" si="169"/>
        <v/>
      </c>
      <c r="K977" t="str">
        <f t="shared" si="170"/>
        <v/>
      </c>
      <c r="L977" t="str">
        <f t="shared" si="171"/>
        <v/>
      </c>
      <c r="M977" t="str">
        <f t="shared" si="172"/>
        <v/>
      </c>
      <c r="N977" t="str">
        <f t="shared" si="173"/>
        <v/>
      </c>
      <c r="O977" t="str">
        <f t="shared" si="174"/>
        <v/>
      </c>
      <c r="P977" t="str">
        <f>IF($A977="","",IF($E977=1,$F977*$O977,PNL!G977))</f>
        <v/>
      </c>
      <c r="T977" t="str">
        <f t="shared" si="175"/>
        <v/>
      </c>
    </row>
    <row r="978" spans="1:20" x14ac:dyDescent="0.45">
      <c r="A978" t="str">
        <f>IF(PNL!A978="","",PNL!A978)</f>
        <v/>
      </c>
      <c r="B978" t="str">
        <f>IF(PNL!B978="","",PNL!B978)</f>
        <v/>
      </c>
      <c r="C978" t="str">
        <f>IF(PNL!C978="","",PNL!C978)</f>
        <v/>
      </c>
      <c r="D978" t="str">
        <f>IF(PNL!D978="","",PNL!D978)</f>
        <v/>
      </c>
      <c r="E978" t="str">
        <f t="shared" si="165"/>
        <v/>
      </c>
      <c r="F978" t="str">
        <f>IF($A978="","",IF($E978=1,SUMIFS(Compta!$F$1:$F$675,Compta!$A$1:$A$675,$A978,Compta!$B$1:$B$675,$B978,Compta!$C$1:$C$675,"2026"),0))</f>
        <v/>
      </c>
      <c r="G978" t="str">
        <f t="shared" si="166"/>
        <v/>
      </c>
      <c r="H978" t="str">
        <f t="shared" si="167"/>
        <v/>
      </c>
      <c r="I978" t="str">
        <f t="shared" si="168"/>
        <v/>
      </c>
      <c r="J978" t="str">
        <f t="shared" si="169"/>
        <v/>
      </c>
      <c r="K978" t="str">
        <f t="shared" si="170"/>
        <v/>
      </c>
      <c r="L978" t="str">
        <f t="shared" si="171"/>
        <v/>
      </c>
      <c r="M978" t="str">
        <f t="shared" si="172"/>
        <v/>
      </c>
      <c r="N978" t="str">
        <f t="shared" si="173"/>
        <v/>
      </c>
      <c r="O978" t="str">
        <f t="shared" si="174"/>
        <v/>
      </c>
      <c r="P978" t="str">
        <f>IF($A978="","",IF($E978=1,$F978*$O978,PNL!G978))</f>
        <v/>
      </c>
      <c r="T978" t="str">
        <f t="shared" si="175"/>
        <v/>
      </c>
    </row>
    <row r="979" spans="1:20" x14ac:dyDescent="0.45">
      <c r="A979" t="str">
        <f>IF(PNL!A979="","",PNL!A979)</f>
        <v/>
      </c>
      <c r="B979" t="str">
        <f>IF(PNL!B979="","",PNL!B979)</f>
        <v/>
      </c>
      <c r="C979" t="str">
        <f>IF(PNL!C979="","",PNL!C979)</f>
        <v/>
      </c>
      <c r="D979" t="str">
        <f>IF(PNL!D979="","",PNL!D979)</f>
        <v/>
      </c>
      <c r="E979" t="str">
        <f t="shared" si="165"/>
        <v/>
      </c>
      <c r="F979" t="str">
        <f>IF($A979="","",IF($E979=1,SUMIFS(Compta!$F$1:$F$675,Compta!$A$1:$A$675,$A979,Compta!$B$1:$B$675,$B979,Compta!$C$1:$C$675,"2026"),0))</f>
        <v/>
      </c>
      <c r="G979" t="str">
        <f t="shared" si="166"/>
        <v/>
      </c>
      <c r="H979" t="str">
        <f t="shared" si="167"/>
        <v/>
      </c>
      <c r="I979" t="str">
        <f t="shared" si="168"/>
        <v/>
      </c>
      <c r="J979" t="str">
        <f t="shared" si="169"/>
        <v/>
      </c>
      <c r="K979" t="str">
        <f t="shared" si="170"/>
        <v/>
      </c>
      <c r="L979" t="str">
        <f t="shared" si="171"/>
        <v/>
      </c>
      <c r="M979" t="str">
        <f t="shared" si="172"/>
        <v/>
      </c>
      <c r="N979" t="str">
        <f t="shared" si="173"/>
        <v/>
      </c>
      <c r="O979" t="str">
        <f t="shared" si="174"/>
        <v/>
      </c>
      <c r="P979" t="str">
        <f>IF($A979="","",IF($E979=1,$F979*$O979,PNL!G979))</f>
        <v/>
      </c>
      <c r="T979" t="str">
        <f t="shared" si="175"/>
        <v/>
      </c>
    </row>
    <row r="980" spans="1:20" x14ac:dyDescent="0.45">
      <c r="A980" t="str">
        <f>IF(PNL!A980="","",PNL!A980)</f>
        <v/>
      </c>
      <c r="B980" t="str">
        <f>IF(PNL!B980="","",PNL!B980)</f>
        <v/>
      </c>
      <c r="C980" t="str">
        <f>IF(PNL!C980="","",PNL!C980)</f>
        <v/>
      </c>
      <c r="D980" t="str">
        <f>IF(PNL!D980="","",PNL!D980)</f>
        <v/>
      </c>
      <c r="E980" t="str">
        <f t="shared" si="165"/>
        <v/>
      </c>
      <c r="F980" t="str">
        <f>IF($A980="","",IF($E980=1,SUMIFS(Compta!$F$1:$F$675,Compta!$A$1:$A$675,$A980,Compta!$B$1:$B$675,$B980,Compta!$C$1:$C$675,"2026"),0))</f>
        <v/>
      </c>
      <c r="G980" t="str">
        <f t="shared" si="166"/>
        <v/>
      </c>
      <c r="H980" t="str">
        <f t="shared" si="167"/>
        <v/>
      </c>
      <c r="I980" t="str">
        <f t="shared" si="168"/>
        <v/>
      </c>
      <c r="J980" t="str">
        <f t="shared" si="169"/>
        <v/>
      </c>
      <c r="K980" t="str">
        <f t="shared" si="170"/>
        <v/>
      </c>
      <c r="L980" t="str">
        <f t="shared" si="171"/>
        <v/>
      </c>
      <c r="M980" t="str">
        <f t="shared" si="172"/>
        <v/>
      </c>
      <c r="N980" t="str">
        <f t="shared" si="173"/>
        <v/>
      </c>
      <c r="O980" t="str">
        <f t="shared" si="174"/>
        <v/>
      </c>
      <c r="P980" t="str">
        <f>IF($A980="","",IF($E980=1,$F980*$O980,PNL!G980))</f>
        <v/>
      </c>
      <c r="T980" t="str">
        <f t="shared" si="175"/>
        <v/>
      </c>
    </row>
    <row r="981" spans="1:20" x14ac:dyDescent="0.45">
      <c r="A981" t="str">
        <f>IF(PNL!A981="","",PNL!A981)</f>
        <v/>
      </c>
      <c r="B981" t="str">
        <f>IF(PNL!B981="","",PNL!B981)</f>
        <v/>
      </c>
      <c r="C981" t="str">
        <f>IF(PNL!C981="","",PNL!C981)</f>
        <v/>
      </c>
      <c r="D981" t="str">
        <f>IF(PNL!D981="","",PNL!D981)</f>
        <v/>
      </c>
      <c r="E981" t="str">
        <f t="shared" si="165"/>
        <v/>
      </c>
      <c r="F981" t="str">
        <f>IF($A981="","",IF($E981=1,SUMIFS(Compta!$F$1:$F$675,Compta!$A$1:$A$675,$A981,Compta!$B$1:$B$675,$B981,Compta!$C$1:$C$675,"2026"),0))</f>
        <v/>
      </c>
      <c r="G981" t="str">
        <f t="shared" si="166"/>
        <v/>
      </c>
      <c r="H981" t="str">
        <f t="shared" si="167"/>
        <v/>
      </c>
      <c r="I981" t="str">
        <f t="shared" si="168"/>
        <v/>
      </c>
      <c r="J981" t="str">
        <f t="shared" si="169"/>
        <v/>
      </c>
      <c r="K981" t="str">
        <f t="shared" si="170"/>
        <v/>
      </c>
      <c r="L981" t="str">
        <f t="shared" si="171"/>
        <v/>
      </c>
      <c r="M981" t="str">
        <f t="shared" si="172"/>
        <v/>
      </c>
      <c r="N981" t="str">
        <f t="shared" si="173"/>
        <v/>
      </c>
      <c r="O981" t="str">
        <f t="shared" si="174"/>
        <v/>
      </c>
      <c r="P981" t="str">
        <f>IF($A981="","",IF($E981=1,$F981*$O981,PNL!G981))</f>
        <v/>
      </c>
      <c r="T981" t="str">
        <f t="shared" si="175"/>
        <v/>
      </c>
    </row>
    <row r="982" spans="1:20" x14ac:dyDescent="0.45">
      <c r="A982" t="str">
        <f>IF(PNL!A982="","",PNL!A982)</f>
        <v/>
      </c>
      <c r="B982" t="str">
        <f>IF(PNL!B982="","",PNL!B982)</f>
        <v/>
      </c>
      <c r="C982" t="str">
        <f>IF(PNL!C982="","",PNL!C982)</f>
        <v/>
      </c>
      <c r="D982" t="str">
        <f>IF(PNL!D982="","",PNL!D982)</f>
        <v/>
      </c>
      <c r="E982" t="str">
        <f t="shared" si="165"/>
        <v/>
      </c>
      <c r="F982" t="str">
        <f>IF($A982="","",IF($E982=1,SUMIFS(Compta!$F$1:$F$675,Compta!$A$1:$A$675,$A982,Compta!$B$1:$B$675,$B982,Compta!$C$1:$C$675,"2026"),0))</f>
        <v/>
      </c>
      <c r="G982" t="str">
        <f t="shared" si="166"/>
        <v/>
      </c>
      <c r="H982" t="str">
        <f t="shared" si="167"/>
        <v/>
      </c>
      <c r="I982" t="str">
        <f t="shared" si="168"/>
        <v/>
      </c>
      <c r="J982" t="str">
        <f t="shared" si="169"/>
        <v/>
      </c>
      <c r="K982" t="str">
        <f t="shared" si="170"/>
        <v/>
      </c>
      <c r="L982" t="str">
        <f t="shared" si="171"/>
        <v/>
      </c>
      <c r="M982" t="str">
        <f t="shared" si="172"/>
        <v/>
      </c>
      <c r="N982" t="str">
        <f t="shared" si="173"/>
        <v/>
      </c>
      <c r="O982" t="str">
        <f t="shared" si="174"/>
        <v/>
      </c>
      <c r="P982" t="str">
        <f>IF($A982="","",IF($E982=1,$F982*$O982,PNL!G982))</f>
        <v/>
      </c>
      <c r="T982" t="str">
        <f t="shared" si="175"/>
        <v/>
      </c>
    </row>
    <row r="983" spans="1:20" x14ac:dyDescent="0.45">
      <c r="A983" t="str">
        <f>IF(PNL!A983="","",PNL!A983)</f>
        <v/>
      </c>
      <c r="B983" t="str">
        <f>IF(PNL!B983="","",PNL!B983)</f>
        <v/>
      </c>
      <c r="C983" t="str">
        <f>IF(PNL!C983="","",PNL!C983)</f>
        <v/>
      </c>
      <c r="D983" t="str">
        <f>IF(PNL!D983="","",PNL!D983)</f>
        <v/>
      </c>
      <c r="E983" t="str">
        <f t="shared" si="165"/>
        <v/>
      </c>
      <c r="F983" t="str">
        <f>IF($A983="","",IF($E983=1,SUMIFS(Compta!$F$1:$F$675,Compta!$A$1:$A$675,$A983,Compta!$B$1:$B$675,$B983,Compta!$C$1:$C$675,"2026"),0))</f>
        <v/>
      </c>
      <c r="G983" t="str">
        <f t="shared" si="166"/>
        <v/>
      </c>
      <c r="H983" t="str">
        <f t="shared" si="167"/>
        <v/>
      </c>
      <c r="I983" t="str">
        <f t="shared" si="168"/>
        <v/>
      </c>
      <c r="J983" t="str">
        <f t="shared" si="169"/>
        <v/>
      </c>
      <c r="K983" t="str">
        <f t="shared" si="170"/>
        <v/>
      </c>
      <c r="L983" t="str">
        <f t="shared" si="171"/>
        <v/>
      </c>
      <c r="M983" t="str">
        <f t="shared" si="172"/>
        <v/>
      </c>
      <c r="N983" t="str">
        <f t="shared" si="173"/>
        <v/>
      </c>
      <c r="O983" t="str">
        <f t="shared" si="174"/>
        <v/>
      </c>
      <c r="P983" t="str">
        <f>IF($A983="","",IF($E983=1,$F983*$O983,PNL!G983))</f>
        <v/>
      </c>
      <c r="T983" t="str">
        <f t="shared" si="175"/>
        <v/>
      </c>
    </row>
    <row r="984" spans="1:20" x14ac:dyDescent="0.45">
      <c r="A984" t="str">
        <f>IF(PNL!A984="","",PNL!A984)</f>
        <v/>
      </c>
      <c r="B984" t="str">
        <f>IF(PNL!B984="","",PNL!B984)</f>
        <v/>
      </c>
      <c r="C984" t="str">
        <f>IF(PNL!C984="","",PNL!C984)</f>
        <v/>
      </c>
      <c r="D984" t="str">
        <f>IF(PNL!D984="","",PNL!D984)</f>
        <v/>
      </c>
      <c r="E984" t="str">
        <f t="shared" si="165"/>
        <v/>
      </c>
      <c r="F984" t="str">
        <f>IF($A984="","",IF($E984=1,SUMIFS(Compta!$F$1:$F$675,Compta!$A$1:$A$675,$A984,Compta!$B$1:$B$675,$B984,Compta!$C$1:$C$675,"2026"),0))</f>
        <v/>
      </c>
      <c r="G984" t="str">
        <f t="shared" si="166"/>
        <v/>
      </c>
      <c r="H984" t="str">
        <f t="shared" si="167"/>
        <v/>
      </c>
      <c r="I984" t="str">
        <f t="shared" si="168"/>
        <v/>
      </c>
      <c r="J984" t="str">
        <f t="shared" si="169"/>
        <v/>
      </c>
      <c r="K984" t="str">
        <f t="shared" si="170"/>
        <v/>
      </c>
      <c r="L984" t="str">
        <f t="shared" si="171"/>
        <v/>
      </c>
      <c r="M984" t="str">
        <f t="shared" si="172"/>
        <v/>
      </c>
      <c r="N984" t="str">
        <f t="shared" si="173"/>
        <v/>
      </c>
      <c r="O984" t="str">
        <f t="shared" si="174"/>
        <v/>
      </c>
      <c r="P984" t="str">
        <f>IF($A984="","",IF($E984=1,$F984*$O984,PNL!G984))</f>
        <v/>
      </c>
      <c r="T984" t="str">
        <f t="shared" si="175"/>
        <v/>
      </c>
    </row>
    <row r="985" spans="1:20" x14ac:dyDescent="0.45">
      <c r="A985" t="str">
        <f>IF(PNL!A985="","",PNL!A985)</f>
        <v/>
      </c>
      <c r="B985" t="str">
        <f>IF(PNL!B985="","",PNL!B985)</f>
        <v/>
      </c>
      <c r="C985" t="str">
        <f>IF(PNL!C985="","",PNL!C985)</f>
        <v/>
      </c>
      <c r="D985" t="str">
        <f>IF(PNL!D985="","",PNL!D985)</f>
        <v/>
      </c>
      <c r="E985" t="str">
        <f t="shared" si="165"/>
        <v/>
      </c>
      <c r="F985" t="str">
        <f>IF($A985="","",IF($E985=1,SUMIFS(Compta!$F$1:$F$675,Compta!$A$1:$A$675,$A985,Compta!$B$1:$B$675,$B985,Compta!$C$1:$C$675,"2026"),0))</f>
        <v/>
      </c>
      <c r="G985" t="str">
        <f t="shared" si="166"/>
        <v/>
      </c>
      <c r="H985" t="str">
        <f t="shared" si="167"/>
        <v/>
      </c>
      <c r="I985" t="str">
        <f t="shared" si="168"/>
        <v/>
      </c>
      <c r="J985" t="str">
        <f t="shared" si="169"/>
        <v/>
      </c>
      <c r="K985" t="str">
        <f t="shared" si="170"/>
        <v/>
      </c>
      <c r="L985" t="str">
        <f t="shared" si="171"/>
        <v/>
      </c>
      <c r="M985" t="str">
        <f t="shared" si="172"/>
        <v/>
      </c>
      <c r="N985" t="str">
        <f t="shared" si="173"/>
        <v/>
      </c>
      <c r="O985" t="str">
        <f t="shared" si="174"/>
        <v/>
      </c>
      <c r="P985" t="str">
        <f>IF($A985="","",IF($E985=1,$F985*$O985,PNL!G985))</f>
        <v/>
      </c>
      <c r="T985" t="str">
        <f t="shared" si="175"/>
        <v/>
      </c>
    </row>
    <row r="986" spans="1:20" x14ac:dyDescent="0.45">
      <c r="A986" t="str">
        <f>IF(PNL!A986="","",PNL!A986)</f>
        <v/>
      </c>
      <c r="B986" t="str">
        <f>IF(PNL!B986="","",PNL!B986)</f>
        <v/>
      </c>
      <c r="C986" t="str">
        <f>IF(PNL!C986="","",PNL!C986)</f>
        <v/>
      </c>
      <c r="D986" t="str">
        <f>IF(PNL!D986="","",PNL!D986)</f>
        <v/>
      </c>
      <c r="E986" t="str">
        <f t="shared" si="165"/>
        <v/>
      </c>
      <c r="F986" t="str">
        <f>IF($A986="","",IF($E986=1,SUMIFS(Compta!$F$1:$F$675,Compta!$A$1:$A$675,$A986,Compta!$B$1:$B$675,$B986,Compta!$C$1:$C$675,"2026"),0))</f>
        <v/>
      </c>
      <c r="G986" t="str">
        <f t="shared" si="166"/>
        <v/>
      </c>
      <c r="H986" t="str">
        <f t="shared" si="167"/>
        <v/>
      </c>
      <c r="I986" t="str">
        <f t="shared" si="168"/>
        <v/>
      </c>
      <c r="J986" t="str">
        <f t="shared" si="169"/>
        <v/>
      </c>
      <c r="K986" t="str">
        <f t="shared" si="170"/>
        <v/>
      </c>
      <c r="L986" t="str">
        <f t="shared" si="171"/>
        <v/>
      </c>
      <c r="M986" t="str">
        <f t="shared" si="172"/>
        <v/>
      </c>
      <c r="N986" t="str">
        <f t="shared" si="173"/>
        <v/>
      </c>
      <c r="O986" t="str">
        <f t="shared" si="174"/>
        <v/>
      </c>
      <c r="P986" t="str">
        <f>IF($A986="","",IF($E986=1,$F986*$O986,PNL!G986))</f>
        <v/>
      </c>
      <c r="T986" t="str">
        <f t="shared" si="175"/>
        <v/>
      </c>
    </row>
    <row r="987" spans="1:20" x14ac:dyDescent="0.45">
      <c r="A987" t="str">
        <f>IF(PNL!A987="","",PNL!A987)</f>
        <v/>
      </c>
      <c r="B987" t="str">
        <f>IF(PNL!B987="","",PNL!B987)</f>
        <v/>
      </c>
      <c r="C987" t="str">
        <f>IF(PNL!C987="","",PNL!C987)</f>
        <v/>
      </c>
      <c r="D987" t="str">
        <f>IF(PNL!D987="","",PNL!D987)</f>
        <v/>
      </c>
      <c r="E987" t="str">
        <f t="shared" si="165"/>
        <v/>
      </c>
      <c r="F987" t="str">
        <f>IF($A987="","",IF($E987=1,SUMIFS(Compta!$F$1:$F$675,Compta!$A$1:$A$675,$A987,Compta!$B$1:$B$675,$B987,Compta!$C$1:$C$675,"2026"),0))</f>
        <v/>
      </c>
      <c r="G987" t="str">
        <f t="shared" si="166"/>
        <v/>
      </c>
      <c r="H987" t="str">
        <f t="shared" si="167"/>
        <v/>
      </c>
      <c r="I987" t="str">
        <f t="shared" si="168"/>
        <v/>
      </c>
      <c r="J987" t="str">
        <f t="shared" si="169"/>
        <v/>
      </c>
      <c r="K987" t="str">
        <f t="shared" si="170"/>
        <v/>
      </c>
      <c r="L987" t="str">
        <f t="shared" si="171"/>
        <v/>
      </c>
      <c r="M987" t="str">
        <f t="shared" si="172"/>
        <v/>
      </c>
      <c r="N987" t="str">
        <f t="shared" si="173"/>
        <v/>
      </c>
      <c r="O987" t="str">
        <f t="shared" si="174"/>
        <v/>
      </c>
      <c r="P987" t="str">
        <f>IF($A987="","",IF($E987=1,$F987*$O987,PNL!G987))</f>
        <v/>
      </c>
      <c r="T987" t="str">
        <f t="shared" si="175"/>
        <v/>
      </c>
    </row>
    <row r="988" spans="1:20" x14ac:dyDescent="0.45">
      <c r="A988" t="str">
        <f>IF(PNL!A988="","",PNL!A988)</f>
        <v/>
      </c>
      <c r="B988" t="str">
        <f>IF(PNL!B988="","",PNL!B988)</f>
        <v/>
      </c>
      <c r="C988" t="str">
        <f>IF(PNL!C988="","",PNL!C988)</f>
        <v/>
      </c>
      <c r="D988" t="str">
        <f>IF(PNL!D988="","",PNL!D988)</f>
        <v/>
      </c>
      <c r="E988" t="str">
        <f t="shared" si="165"/>
        <v/>
      </c>
      <c r="F988" t="str">
        <f>IF($A988="","",IF($E988=1,SUMIFS(Compta!$F$1:$F$675,Compta!$A$1:$A$675,$A988,Compta!$B$1:$B$675,$B988,Compta!$C$1:$C$675,"2026"),0))</f>
        <v/>
      </c>
      <c r="G988" t="str">
        <f t="shared" si="166"/>
        <v/>
      </c>
      <c r="H988" t="str">
        <f t="shared" si="167"/>
        <v/>
      </c>
      <c r="I988" t="str">
        <f t="shared" si="168"/>
        <v/>
      </c>
      <c r="J988" t="str">
        <f t="shared" si="169"/>
        <v/>
      </c>
      <c r="K988" t="str">
        <f t="shared" si="170"/>
        <v/>
      </c>
      <c r="L988" t="str">
        <f t="shared" si="171"/>
        <v/>
      </c>
      <c r="M988" t="str">
        <f t="shared" si="172"/>
        <v/>
      </c>
      <c r="N988" t="str">
        <f t="shared" si="173"/>
        <v/>
      </c>
      <c r="O988" t="str">
        <f t="shared" si="174"/>
        <v/>
      </c>
      <c r="P988" t="str">
        <f>IF($A988="","",IF($E988=1,$F988*$O988,PNL!G988))</f>
        <v/>
      </c>
      <c r="T988" t="str">
        <f t="shared" si="175"/>
        <v/>
      </c>
    </row>
    <row r="989" spans="1:20" x14ac:dyDescent="0.45">
      <c r="A989" t="str">
        <f>IF(PNL!A989="","",PNL!A989)</f>
        <v/>
      </c>
      <c r="B989" t="str">
        <f>IF(PNL!B989="","",PNL!B989)</f>
        <v/>
      </c>
      <c r="C989" t="str">
        <f>IF(PNL!C989="","",PNL!C989)</f>
        <v/>
      </c>
      <c r="D989" t="str">
        <f>IF(PNL!D989="","",PNL!D989)</f>
        <v/>
      </c>
      <c r="E989" t="str">
        <f t="shared" si="165"/>
        <v/>
      </c>
      <c r="F989" t="str">
        <f>IF($A989="","",IF($E989=1,SUMIFS(Compta!$F$1:$F$675,Compta!$A$1:$A$675,$A989,Compta!$B$1:$B$675,$B989,Compta!$C$1:$C$675,"2026"),0))</f>
        <v/>
      </c>
      <c r="G989" t="str">
        <f t="shared" si="166"/>
        <v/>
      </c>
      <c r="H989" t="str">
        <f t="shared" si="167"/>
        <v/>
      </c>
      <c r="I989" t="str">
        <f t="shared" si="168"/>
        <v/>
      </c>
      <c r="J989" t="str">
        <f t="shared" si="169"/>
        <v/>
      </c>
      <c r="K989" t="str">
        <f t="shared" si="170"/>
        <v/>
      </c>
      <c r="L989" t="str">
        <f t="shared" si="171"/>
        <v/>
      </c>
      <c r="M989" t="str">
        <f t="shared" si="172"/>
        <v/>
      </c>
      <c r="N989" t="str">
        <f t="shared" si="173"/>
        <v/>
      </c>
      <c r="O989" t="str">
        <f t="shared" si="174"/>
        <v/>
      </c>
      <c r="P989" t="str">
        <f>IF($A989="","",IF($E989=1,$F989*$O989,PNL!G989))</f>
        <v/>
      </c>
      <c r="T989" t="str">
        <f t="shared" si="175"/>
        <v/>
      </c>
    </row>
    <row r="990" spans="1:20" x14ac:dyDescent="0.45">
      <c r="A990" t="str">
        <f>IF(PNL!A990="","",PNL!A990)</f>
        <v/>
      </c>
      <c r="B990" t="str">
        <f>IF(PNL!B990="","",PNL!B990)</f>
        <v/>
      </c>
      <c r="C990" t="str">
        <f>IF(PNL!C990="","",PNL!C990)</f>
        <v/>
      </c>
      <c r="D990" t="str">
        <f>IF(PNL!D990="","",PNL!D990)</f>
        <v/>
      </c>
      <c r="E990" t="str">
        <f t="shared" si="165"/>
        <v/>
      </c>
      <c r="F990" t="str">
        <f>IF($A990="","",IF($E990=1,SUMIFS(Compta!$F$1:$F$675,Compta!$A$1:$A$675,$A990,Compta!$B$1:$B$675,$B990,Compta!$C$1:$C$675,"2026"),0))</f>
        <v/>
      </c>
      <c r="G990" t="str">
        <f t="shared" si="166"/>
        <v/>
      </c>
      <c r="H990" t="str">
        <f t="shared" si="167"/>
        <v/>
      </c>
      <c r="I990" t="str">
        <f t="shared" si="168"/>
        <v/>
      </c>
      <c r="J990" t="str">
        <f t="shared" si="169"/>
        <v/>
      </c>
      <c r="K990" t="str">
        <f t="shared" si="170"/>
        <v/>
      </c>
      <c r="L990" t="str">
        <f t="shared" si="171"/>
        <v/>
      </c>
      <c r="M990" t="str">
        <f t="shared" si="172"/>
        <v/>
      </c>
      <c r="N990" t="str">
        <f t="shared" si="173"/>
        <v/>
      </c>
      <c r="O990" t="str">
        <f t="shared" si="174"/>
        <v/>
      </c>
      <c r="P990" t="str">
        <f>IF($A990="","",IF($E990=1,$F990*$O990,PNL!G990))</f>
        <v/>
      </c>
      <c r="T990" t="str">
        <f t="shared" si="175"/>
        <v/>
      </c>
    </row>
    <row r="991" spans="1:20" x14ac:dyDescent="0.45">
      <c r="A991" t="str">
        <f>IF(PNL!A991="","",PNL!A991)</f>
        <v/>
      </c>
      <c r="B991" t="str">
        <f>IF(PNL!B991="","",PNL!B991)</f>
        <v/>
      </c>
      <c r="C991" t="str">
        <f>IF(PNL!C991="","",PNL!C991)</f>
        <v/>
      </c>
      <c r="D991" t="str">
        <f>IF(PNL!D991="","",PNL!D991)</f>
        <v/>
      </c>
      <c r="E991" t="str">
        <f t="shared" si="165"/>
        <v/>
      </c>
      <c r="F991" t="str">
        <f>IF($A991="","",IF($E991=1,SUMIFS(Compta!$F$1:$F$675,Compta!$A$1:$A$675,$A991,Compta!$B$1:$B$675,$B991,Compta!$C$1:$C$675,"2026"),0))</f>
        <v/>
      </c>
      <c r="G991" t="str">
        <f t="shared" si="166"/>
        <v/>
      </c>
      <c r="H991" t="str">
        <f t="shared" si="167"/>
        <v/>
      </c>
      <c r="I991" t="str">
        <f t="shared" si="168"/>
        <v/>
      </c>
      <c r="J991" t="str">
        <f t="shared" si="169"/>
        <v/>
      </c>
      <c r="K991" t="str">
        <f t="shared" si="170"/>
        <v/>
      </c>
      <c r="L991" t="str">
        <f t="shared" si="171"/>
        <v/>
      </c>
      <c r="M991" t="str">
        <f t="shared" si="172"/>
        <v/>
      </c>
      <c r="N991" t="str">
        <f t="shared" si="173"/>
        <v/>
      </c>
      <c r="O991" t="str">
        <f t="shared" si="174"/>
        <v/>
      </c>
      <c r="P991" t="str">
        <f>IF($A991="","",IF($E991=1,$F991*$O991,PNL!G991))</f>
        <v/>
      </c>
      <c r="T991" t="str">
        <f t="shared" si="175"/>
        <v/>
      </c>
    </row>
    <row r="992" spans="1:20" x14ac:dyDescent="0.45">
      <c r="A992" t="str">
        <f>IF(PNL!A992="","",PNL!A992)</f>
        <v/>
      </c>
      <c r="B992" t="str">
        <f>IF(PNL!B992="","",PNL!B992)</f>
        <v/>
      </c>
      <c r="C992" t="str">
        <f>IF(PNL!C992="","",PNL!C992)</f>
        <v/>
      </c>
      <c r="D992" t="str">
        <f>IF(PNL!D992="","",PNL!D992)</f>
        <v/>
      </c>
      <c r="E992" t="str">
        <f t="shared" si="165"/>
        <v/>
      </c>
      <c r="F992" t="str">
        <f>IF($A992="","",IF($E992=1,SUMIFS(Compta!$F$1:$F$675,Compta!$A$1:$A$675,$A992,Compta!$B$1:$B$675,$B992,Compta!$C$1:$C$675,"2026"),0))</f>
        <v/>
      </c>
      <c r="G992" t="str">
        <f t="shared" si="166"/>
        <v/>
      </c>
      <c r="H992" t="str">
        <f t="shared" si="167"/>
        <v/>
      </c>
      <c r="I992" t="str">
        <f t="shared" si="168"/>
        <v/>
      </c>
      <c r="J992" t="str">
        <f t="shared" si="169"/>
        <v/>
      </c>
      <c r="K992" t="str">
        <f t="shared" si="170"/>
        <v/>
      </c>
      <c r="L992" t="str">
        <f t="shared" si="171"/>
        <v/>
      </c>
      <c r="M992" t="str">
        <f t="shared" si="172"/>
        <v/>
      </c>
      <c r="N992" t="str">
        <f t="shared" si="173"/>
        <v/>
      </c>
      <c r="O992" t="str">
        <f t="shared" si="174"/>
        <v/>
      </c>
      <c r="P992" t="str">
        <f>IF($A992="","",IF($E992=1,$F992*$O992,PNL!G992))</f>
        <v/>
      </c>
      <c r="T992" t="str">
        <f t="shared" si="175"/>
        <v/>
      </c>
    </row>
    <row r="993" spans="1:20" x14ac:dyDescent="0.45">
      <c r="A993" t="str">
        <f>IF(PNL!A993="","",PNL!A993)</f>
        <v/>
      </c>
      <c r="B993" t="str">
        <f>IF(PNL!B993="","",PNL!B993)</f>
        <v/>
      </c>
      <c r="C993" t="str">
        <f>IF(PNL!C993="","",PNL!C993)</f>
        <v/>
      </c>
      <c r="D993" t="str">
        <f>IF(PNL!D993="","",PNL!D993)</f>
        <v/>
      </c>
      <c r="E993" t="str">
        <f t="shared" si="165"/>
        <v/>
      </c>
      <c r="F993" t="str">
        <f>IF($A993="","",IF($E993=1,SUMIFS(Compta!$F$1:$F$675,Compta!$A$1:$A$675,$A993,Compta!$B$1:$B$675,$B993,Compta!$C$1:$C$675,"2026"),0))</f>
        <v/>
      </c>
      <c r="G993" t="str">
        <f t="shared" si="166"/>
        <v/>
      </c>
      <c r="H993" t="str">
        <f t="shared" si="167"/>
        <v/>
      </c>
      <c r="I993" t="str">
        <f t="shared" si="168"/>
        <v/>
      </c>
      <c r="J993" t="str">
        <f t="shared" si="169"/>
        <v/>
      </c>
      <c r="K993" t="str">
        <f t="shared" si="170"/>
        <v/>
      </c>
      <c r="L993" t="str">
        <f t="shared" si="171"/>
        <v/>
      </c>
      <c r="M993" t="str">
        <f t="shared" si="172"/>
        <v/>
      </c>
      <c r="N993" t="str">
        <f t="shared" si="173"/>
        <v/>
      </c>
      <c r="O993" t="str">
        <f t="shared" si="174"/>
        <v/>
      </c>
      <c r="P993" t="str">
        <f>IF($A993="","",IF($E993=1,$F993*$O993,PNL!G993))</f>
        <v/>
      </c>
      <c r="T993" t="str">
        <f t="shared" si="175"/>
        <v/>
      </c>
    </row>
    <row r="994" spans="1:20" x14ac:dyDescent="0.45">
      <c r="A994" t="str">
        <f>IF(PNL!A994="","",PNL!A994)</f>
        <v/>
      </c>
      <c r="B994" t="str">
        <f>IF(PNL!B994="","",PNL!B994)</f>
        <v/>
      </c>
      <c r="C994" t="str">
        <f>IF(PNL!C994="","",PNL!C994)</f>
        <v/>
      </c>
      <c r="D994" t="str">
        <f>IF(PNL!D994="","",PNL!D994)</f>
        <v/>
      </c>
      <c r="E994" t="str">
        <f t="shared" si="165"/>
        <v/>
      </c>
      <c r="F994" t="str">
        <f>IF($A994="","",IF($E994=1,SUMIFS(Compta!$F$1:$F$675,Compta!$A$1:$A$675,$A994,Compta!$B$1:$B$675,$B994,Compta!$C$1:$C$675,"2026"),0))</f>
        <v/>
      </c>
      <c r="G994" t="str">
        <f t="shared" si="166"/>
        <v/>
      </c>
      <c r="H994" t="str">
        <f t="shared" si="167"/>
        <v/>
      </c>
      <c r="I994" t="str">
        <f t="shared" si="168"/>
        <v/>
      </c>
      <c r="J994" t="str">
        <f t="shared" si="169"/>
        <v/>
      </c>
      <c r="K994" t="str">
        <f t="shared" si="170"/>
        <v/>
      </c>
      <c r="L994" t="str">
        <f t="shared" si="171"/>
        <v/>
      </c>
      <c r="M994" t="str">
        <f t="shared" si="172"/>
        <v/>
      </c>
      <c r="N994" t="str">
        <f t="shared" si="173"/>
        <v/>
      </c>
      <c r="O994" t="str">
        <f t="shared" si="174"/>
        <v/>
      </c>
      <c r="P994" t="str">
        <f>IF($A994="","",IF($E994=1,$F994*$O994,PNL!G994))</f>
        <v/>
      </c>
      <c r="T994" t="str">
        <f t="shared" si="175"/>
        <v/>
      </c>
    </row>
    <row r="995" spans="1:20" x14ac:dyDescent="0.45">
      <c r="A995" t="str">
        <f>IF(PNL!A995="","",PNL!A995)</f>
        <v/>
      </c>
      <c r="B995" t="str">
        <f>IF(PNL!B995="","",PNL!B995)</f>
        <v/>
      </c>
      <c r="C995" t="str">
        <f>IF(PNL!C995="","",PNL!C995)</f>
        <v/>
      </c>
      <c r="D995" t="str">
        <f>IF(PNL!D995="","",PNL!D995)</f>
        <v/>
      </c>
      <c r="E995" t="str">
        <f t="shared" si="165"/>
        <v/>
      </c>
      <c r="F995" t="str">
        <f>IF($A995="","",IF($E995=1,SUMIFS(Compta!$F$1:$F$675,Compta!$A$1:$A$675,$A995,Compta!$B$1:$B$675,$B995,Compta!$C$1:$C$675,"2026"),0))</f>
        <v/>
      </c>
      <c r="G995" t="str">
        <f t="shared" si="166"/>
        <v/>
      </c>
      <c r="H995" t="str">
        <f t="shared" si="167"/>
        <v/>
      </c>
      <c r="I995" t="str">
        <f t="shared" si="168"/>
        <v/>
      </c>
      <c r="J995" t="str">
        <f t="shared" si="169"/>
        <v/>
      </c>
      <c r="K995" t="str">
        <f t="shared" si="170"/>
        <v/>
      </c>
      <c r="L995" t="str">
        <f t="shared" si="171"/>
        <v/>
      </c>
      <c r="M995" t="str">
        <f t="shared" si="172"/>
        <v/>
      </c>
      <c r="N995" t="str">
        <f t="shared" si="173"/>
        <v/>
      </c>
      <c r="O995" t="str">
        <f t="shared" si="174"/>
        <v/>
      </c>
      <c r="P995" t="str">
        <f>IF($A995="","",IF($E995=1,$F995*$O995,PNL!G995))</f>
        <v/>
      </c>
      <c r="T995" t="str">
        <f t="shared" si="175"/>
        <v/>
      </c>
    </row>
    <row r="996" spans="1:20" x14ac:dyDescent="0.45">
      <c r="A996" t="str">
        <f>IF(PNL!A996="","",PNL!A996)</f>
        <v/>
      </c>
      <c r="B996" t="str">
        <f>IF(PNL!B996="","",PNL!B996)</f>
        <v/>
      </c>
      <c r="C996" t="str">
        <f>IF(PNL!C996="","",PNL!C996)</f>
        <v/>
      </c>
      <c r="D996" t="str">
        <f>IF(PNL!D996="","",PNL!D996)</f>
        <v/>
      </c>
      <c r="E996" t="str">
        <f t="shared" si="165"/>
        <v/>
      </c>
      <c r="F996" t="str">
        <f>IF($A996="","",IF($E996=1,SUMIFS(Compta!$F$1:$F$675,Compta!$A$1:$A$675,$A996,Compta!$B$1:$B$675,$B996,Compta!$C$1:$C$675,"2026"),0))</f>
        <v/>
      </c>
      <c r="G996" t="str">
        <f t="shared" si="166"/>
        <v/>
      </c>
      <c r="H996" t="str">
        <f t="shared" si="167"/>
        <v/>
      </c>
      <c r="I996" t="str">
        <f t="shared" si="168"/>
        <v/>
      </c>
      <c r="J996" t="str">
        <f t="shared" si="169"/>
        <v/>
      </c>
      <c r="K996" t="str">
        <f t="shared" si="170"/>
        <v/>
      </c>
      <c r="L996" t="str">
        <f t="shared" si="171"/>
        <v/>
      </c>
      <c r="M996" t="str">
        <f t="shared" si="172"/>
        <v/>
      </c>
      <c r="N996" t="str">
        <f t="shared" si="173"/>
        <v/>
      </c>
      <c r="O996" t="str">
        <f t="shared" si="174"/>
        <v/>
      </c>
      <c r="P996" t="str">
        <f>IF($A996="","",IF($E996=1,$F996*$O996,PNL!G996))</f>
        <v/>
      </c>
      <c r="T996" t="str">
        <f t="shared" si="175"/>
        <v/>
      </c>
    </row>
    <row r="997" spans="1:20" x14ac:dyDescent="0.45">
      <c r="A997" t="str">
        <f>IF(PNL!A997="","",PNL!A997)</f>
        <v/>
      </c>
      <c r="B997" t="str">
        <f>IF(PNL!B997="","",PNL!B997)</f>
        <v/>
      </c>
      <c r="C997" t="str">
        <f>IF(PNL!C997="","",PNL!C997)</f>
        <v/>
      </c>
      <c r="D997" t="str">
        <f>IF(PNL!D997="","",PNL!D997)</f>
        <v/>
      </c>
      <c r="E997" t="str">
        <f t="shared" si="165"/>
        <v/>
      </c>
      <c r="F997" t="str">
        <f>IF($A997="","",IF($E997=1,SUMIFS(Compta!$F$1:$F$675,Compta!$A$1:$A$675,$A997,Compta!$B$1:$B$675,$B997,Compta!$C$1:$C$675,"2026"),0))</f>
        <v/>
      </c>
      <c r="G997" t="str">
        <f t="shared" si="166"/>
        <v/>
      </c>
      <c r="H997" t="str">
        <f t="shared" si="167"/>
        <v/>
      </c>
      <c r="I997" t="str">
        <f t="shared" si="168"/>
        <v/>
      </c>
      <c r="J997" t="str">
        <f t="shared" si="169"/>
        <v/>
      </c>
      <c r="K997" t="str">
        <f t="shared" si="170"/>
        <v/>
      </c>
      <c r="L997" t="str">
        <f t="shared" si="171"/>
        <v/>
      </c>
      <c r="M997" t="str">
        <f t="shared" si="172"/>
        <v/>
      </c>
      <c r="N997" t="str">
        <f t="shared" si="173"/>
        <v/>
      </c>
      <c r="O997" t="str">
        <f t="shared" si="174"/>
        <v/>
      </c>
      <c r="P997" t="str">
        <f>IF($A997="","",IF($E997=1,$F997*$O997,PNL!G997))</f>
        <v/>
      </c>
      <c r="T997" t="str">
        <f t="shared" si="175"/>
        <v/>
      </c>
    </row>
    <row r="998" spans="1:20" x14ac:dyDescent="0.45">
      <c r="A998" t="str">
        <f>IF(PNL!A998="","",PNL!A998)</f>
        <v/>
      </c>
      <c r="B998" t="str">
        <f>IF(PNL!B998="","",PNL!B998)</f>
        <v/>
      </c>
      <c r="C998" t="str">
        <f>IF(PNL!C998="","",PNL!C998)</f>
        <v/>
      </c>
      <c r="D998" t="str">
        <f>IF(PNL!D998="","",PNL!D998)</f>
        <v/>
      </c>
      <c r="E998" t="str">
        <f t="shared" si="165"/>
        <v/>
      </c>
      <c r="F998" t="str">
        <f>IF($A998="","",IF($E998=1,SUMIFS(Compta!$F$1:$F$675,Compta!$A$1:$A$675,$A998,Compta!$B$1:$B$675,$B998,Compta!$C$1:$C$675,"2026"),0))</f>
        <v/>
      </c>
      <c r="G998" t="str">
        <f t="shared" si="166"/>
        <v/>
      </c>
      <c r="H998" t="str">
        <f t="shared" si="167"/>
        <v/>
      </c>
      <c r="I998" t="str">
        <f t="shared" si="168"/>
        <v/>
      </c>
      <c r="J998" t="str">
        <f t="shared" si="169"/>
        <v/>
      </c>
      <c r="K998" t="str">
        <f t="shared" si="170"/>
        <v/>
      </c>
      <c r="L998" t="str">
        <f t="shared" si="171"/>
        <v/>
      </c>
      <c r="M998" t="str">
        <f t="shared" si="172"/>
        <v/>
      </c>
      <c r="N998" t="str">
        <f t="shared" si="173"/>
        <v/>
      </c>
      <c r="O998" t="str">
        <f t="shared" si="174"/>
        <v/>
      </c>
      <c r="P998" t="str">
        <f>IF($A998="","",IF($E998=1,$F998*$O998,PNL!G998))</f>
        <v/>
      </c>
      <c r="T998" t="str">
        <f t="shared" si="175"/>
        <v/>
      </c>
    </row>
    <row r="999" spans="1:20" x14ac:dyDescent="0.45">
      <c r="A999" t="str">
        <f>IF(PNL!A999="","",PNL!A999)</f>
        <v/>
      </c>
      <c r="B999" t="str">
        <f>IF(PNL!B999="","",PNL!B999)</f>
        <v/>
      </c>
      <c r="C999" t="str">
        <f>IF(PNL!C999="","",PNL!C999)</f>
        <v/>
      </c>
      <c r="D999" t="str">
        <f>IF(PNL!D999="","",PNL!D999)</f>
        <v/>
      </c>
      <c r="E999" t="str">
        <f t="shared" si="165"/>
        <v/>
      </c>
      <c r="F999" t="str">
        <f>IF($A999="","",IF($E999=1,SUMIFS(Compta!$F$1:$F$675,Compta!$A$1:$A$675,$A999,Compta!$B$1:$B$675,$B999,Compta!$C$1:$C$675,"2026"),0))</f>
        <v/>
      </c>
      <c r="G999" t="str">
        <f t="shared" si="166"/>
        <v/>
      </c>
      <c r="H999" t="str">
        <f t="shared" si="167"/>
        <v/>
      </c>
      <c r="I999" t="str">
        <f t="shared" si="168"/>
        <v/>
      </c>
      <c r="J999" t="str">
        <f t="shared" si="169"/>
        <v/>
      </c>
      <c r="K999" t="str">
        <f t="shared" si="170"/>
        <v/>
      </c>
      <c r="L999" t="str">
        <f t="shared" si="171"/>
        <v/>
      </c>
      <c r="M999" t="str">
        <f t="shared" si="172"/>
        <v/>
      </c>
      <c r="N999" t="str">
        <f t="shared" si="173"/>
        <v/>
      </c>
      <c r="O999" t="str">
        <f t="shared" si="174"/>
        <v/>
      </c>
      <c r="P999" t="str">
        <f>IF($A999="","",IF($E999=1,$F999*$O999,PNL!G999))</f>
        <v/>
      </c>
      <c r="T999" t="str">
        <f t="shared" si="175"/>
        <v/>
      </c>
    </row>
    <row r="1000" spans="1:20" x14ac:dyDescent="0.45">
      <c r="A1000" t="str">
        <f>IF(PNL!A1000="","",PNL!A1000)</f>
        <v/>
      </c>
      <c r="B1000" t="str">
        <f>IF(PNL!B1000="","",PNL!B1000)</f>
        <v/>
      </c>
      <c r="C1000" t="str">
        <f>IF(PNL!C1000="","",PNL!C1000)</f>
        <v/>
      </c>
      <c r="D1000" t="str">
        <f>IF(PNL!D1000="","",PNL!D1000)</f>
        <v/>
      </c>
      <c r="E1000" t="str">
        <f t="shared" si="165"/>
        <v/>
      </c>
      <c r="F1000" t="str">
        <f>IF($A1000="","",IF($E1000=1,SUMIFS(Compta!$F$1:$F$675,Compta!$A$1:$A$675,$A1000,Compta!$B$1:$B$675,$B1000,Compta!$C$1:$C$675,"2026"),0))</f>
        <v/>
      </c>
      <c r="G1000" t="str">
        <f t="shared" si="166"/>
        <v/>
      </c>
      <c r="H1000" t="str">
        <f t="shared" si="167"/>
        <v/>
      </c>
      <c r="I1000" t="str">
        <f t="shared" si="168"/>
        <v/>
      </c>
      <c r="J1000" t="str">
        <f t="shared" si="169"/>
        <v/>
      </c>
      <c r="K1000" t="str">
        <f t="shared" si="170"/>
        <v/>
      </c>
      <c r="L1000" t="str">
        <f t="shared" si="171"/>
        <v/>
      </c>
      <c r="M1000" t="str">
        <f t="shared" si="172"/>
        <v/>
      </c>
      <c r="N1000" t="str">
        <f t="shared" si="173"/>
        <v/>
      </c>
      <c r="O1000" t="str">
        <f t="shared" si="174"/>
        <v/>
      </c>
      <c r="P1000" t="str">
        <f>IF($A1000="","",IF($E1000=1,$F1000*$O1000,PNL!G1000))</f>
        <v/>
      </c>
      <c r="T1000" t="str">
        <f t="shared" si="175"/>
        <v/>
      </c>
    </row>
    <row r="1001" spans="1:20" x14ac:dyDescent="0.45">
      <c r="A1001" t="str">
        <f>IF(PNL!A1001="","",PNL!A1001)</f>
        <v/>
      </c>
      <c r="B1001" t="str">
        <f>IF(PNL!B1001="","",PNL!B1001)</f>
        <v/>
      </c>
      <c r="C1001" t="str">
        <f>IF(PNL!C1001="","",PNL!C1001)</f>
        <v/>
      </c>
      <c r="D1001" t="str">
        <f>IF(PNL!D1001="","",PNL!D1001)</f>
        <v/>
      </c>
      <c r="E1001" t="str">
        <f t="shared" si="165"/>
        <v/>
      </c>
      <c r="F1001" t="str">
        <f>IF($A1001="","",IF($E1001=1,SUMIFS(Compta!$F$1:$F$675,Compta!$A$1:$A$675,$A1001,Compta!$B$1:$B$675,$B1001,Compta!$C$1:$C$675,"2026"),0))</f>
        <v/>
      </c>
      <c r="G1001" t="str">
        <f t="shared" si="166"/>
        <v/>
      </c>
      <c r="H1001" t="str">
        <f t="shared" si="167"/>
        <v/>
      </c>
      <c r="I1001" t="str">
        <f t="shared" si="168"/>
        <v/>
      </c>
      <c r="J1001" t="str">
        <f t="shared" si="169"/>
        <v/>
      </c>
      <c r="K1001" t="str">
        <f t="shared" si="170"/>
        <v/>
      </c>
      <c r="L1001" t="str">
        <f t="shared" si="171"/>
        <v/>
      </c>
      <c r="M1001" t="str">
        <f t="shared" si="172"/>
        <v/>
      </c>
      <c r="N1001" t="str">
        <f t="shared" si="173"/>
        <v/>
      </c>
      <c r="O1001" t="str">
        <f t="shared" si="174"/>
        <v/>
      </c>
      <c r="P1001" t="str">
        <f>IF($A1001="","",IF($E1001=1,$F1001*$O1001,PNL!G1001))</f>
        <v/>
      </c>
      <c r="T1001" t="str">
        <f t="shared" si="175"/>
        <v/>
      </c>
    </row>
    <row r="1002" spans="1:20" x14ac:dyDescent="0.45">
      <c r="A1002" t="str">
        <f>IF(PNL!A1002="","",PNL!A1002)</f>
        <v/>
      </c>
      <c r="B1002" t="str">
        <f>IF(PNL!B1002="","",PNL!B1002)</f>
        <v/>
      </c>
      <c r="C1002" t="str">
        <f>IF(PNL!C1002="","",PNL!C1002)</f>
        <v/>
      </c>
      <c r="D1002" t="str">
        <f>IF(PNL!D1002="","",PNL!D1002)</f>
        <v/>
      </c>
      <c r="E1002" t="str">
        <f t="shared" si="165"/>
        <v/>
      </c>
      <c r="F1002" t="str">
        <f>IF($A1002="","",IF($E1002=1,SUMIFS(Compta!$F$1:$F$675,Compta!$A$1:$A$675,$A1002,Compta!$B$1:$B$675,$B1002,Compta!$C$1:$C$675,"2026"),0))</f>
        <v/>
      </c>
      <c r="G1002" t="str">
        <f t="shared" si="166"/>
        <v/>
      </c>
      <c r="H1002" t="str">
        <f t="shared" si="167"/>
        <v/>
      </c>
      <c r="I1002" t="str">
        <f t="shared" si="168"/>
        <v/>
      </c>
      <c r="J1002" t="str">
        <f t="shared" si="169"/>
        <v/>
      </c>
      <c r="K1002" t="str">
        <f t="shared" si="170"/>
        <v/>
      </c>
      <c r="L1002" t="str">
        <f t="shared" si="171"/>
        <v/>
      </c>
      <c r="M1002" t="str">
        <f t="shared" si="172"/>
        <v/>
      </c>
      <c r="N1002" t="str">
        <f t="shared" si="173"/>
        <v/>
      </c>
      <c r="O1002" t="str">
        <f t="shared" si="174"/>
        <v/>
      </c>
      <c r="P1002" t="str">
        <f>IF($A1002="","",IF($E1002=1,$F1002*$O1002,PNL!G1002))</f>
        <v/>
      </c>
      <c r="T1002" t="str">
        <f t="shared" si="175"/>
        <v/>
      </c>
    </row>
    <row r="1003" spans="1:20" x14ac:dyDescent="0.45">
      <c r="A1003" t="str">
        <f>IF(PNL!A1003="","",PNL!A1003)</f>
        <v/>
      </c>
      <c r="B1003" t="str">
        <f>IF(PNL!B1003="","",PNL!B1003)</f>
        <v/>
      </c>
      <c r="C1003" t="str">
        <f>IF(PNL!C1003="","",PNL!C1003)</f>
        <v/>
      </c>
      <c r="D1003" t="str">
        <f>IF(PNL!D1003="","",PNL!D1003)</f>
        <v/>
      </c>
      <c r="E1003" t="str">
        <f t="shared" si="165"/>
        <v/>
      </c>
      <c r="F1003" t="str">
        <f>IF($A1003="","",IF($E1003=1,SUMIFS(Compta!$F$1:$F$675,Compta!$A$1:$A$675,$A1003,Compta!$B$1:$B$675,$B1003,Compta!$C$1:$C$675,"2026"),0))</f>
        <v/>
      </c>
      <c r="G1003" t="str">
        <f t="shared" si="166"/>
        <v/>
      </c>
      <c r="H1003" t="str">
        <f t="shared" si="167"/>
        <v/>
      </c>
      <c r="I1003" t="str">
        <f t="shared" si="168"/>
        <v/>
      </c>
      <c r="J1003" t="str">
        <f t="shared" si="169"/>
        <v/>
      </c>
      <c r="K1003" t="str">
        <f t="shared" si="170"/>
        <v/>
      </c>
      <c r="L1003" t="str">
        <f t="shared" si="171"/>
        <v/>
      </c>
      <c r="M1003" t="str">
        <f t="shared" si="172"/>
        <v/>
      </c>
      <c r="N1003" t="str">
        <f t="shared" si="173"/>
        <v/>
      </c>
      <c r="O1003" t="str">
        <f t="shared" si="174"/>
        <v/>
      </c>
      <c r="P1003" t="str">
        <f>IF($A1003="","",IF($E1003=1,$F1003*$O1003,PNL!G1003))</f>
        <v/>
      </c>
      <c r="T1003" t="str">
        <f t="shared" si="175"/>
        <v/>
      </c>
    </row>
    <row r="1004" spans="1:20" x14ac:dyDescent="0.45">
      <c r="A1004" t="str">
        <f>IF(PNL!A1004="","",PNL!A1004)</f>
        <v/>
      </c>
      <c r="B1004" t="str">
        <f>IF(PNL!B1004="","",PNL!B1004)</f>
        <v/>
      </c>
      <c r="C1004" t="str">
        <f>IF(PNL!C1004="","",PNL!C1004)</f>
        <v/>
      </c>
      <c r="D1004" t="str">
        <f>IF(PNL!D1004="","",PNL!D1004)</f>
        <v/>
      </c>
      <c r="E1004" t="str">
        <f t="shared" si="165"/>
        <v/>
      </c>
      <c r="F1004" t="str">
        <f>IF($A1004="","",IF($E1004=1,SUMIFS(Compta!$F$1:$F$675,Compta!$A$1:$A$675,$A1004,Compta!$B$1:$B$675,$B1004,Compta!$C$1:$C$675,"2026"),0))</f>
        <v/>
      </c>
      <c r="G1004" t="str">
        <f t="shared" si="166"/>
        <v/>
      </c>
      <c r="H1004" t="str">
        <f t="shared" si="167"/>
        <v/>
      </c>
      <c r="I1004" t="str">
        <f t="shared" si="168"/>
        <v/>
      </c>
      <c r="J1004" t="str">
        <f t="shared" si="169"/>
        <v/>
      </c>
      <c r="K1004" t="str">
        <f t="shared" si="170"/>
        <v/>
      </c>
      <c r="L1004" t="str">
        <f t="shared" si="171"/>
        <v/>
      </c>
      <c r="M1004" t="str">
        <f t="shared" si="172"/>
        <v/>
      </c>
      <c r="N1004" t="str">
        <f t="shared" si="173"/>
        <v/>
      </c>
      <c r="O1004" t="str">
        <f t="shared" si="174"/>
        <v/>
      </c>
      <c r="P1004" t="str">
        <f>IF($A1004="","",IF($E1004=1,$F1004*$O1004,PNL!G1004))</f>
        <v/>
      </c>
      <c r="T1004" t="str">
        <f t="shared" si="175"/>
        <v/>
      </c>
    </row>
    <row r="1005" spans="1:20" x14ac:dyDescent="0.45">
      <c r="A1005" t="str">
        <f>IF(PNL!A1005="","",PNL!A1005)</f>
        <v/>
      </c>
      <c r="B1005" t="str">
        <f>IF(PNL!B1005="","",PNL!B1005)</f>
        <v/>
      </c>
      <c r="C1005" t="str">
        <f>IF(PNL!C1005="","",PNL!C1005)</f>
        <v/>
      </c>
      <c r="D1005" t="str">
        <f>IF(PNL!D1005="","",PNL!D1005)</f>
        <v/>
      </c>
      <c r="E1005" t="str">
        <f t="shared" si="165"/>
        <v/>
      </c>
      <c r="F1005" t="str">
        <f>IF($A1005="","",IF($E1005=1,SUMIFS(Compta!$F$1:$F$675,Compta!$A$1:$A$675,$A1005,Compta!$B$1:$B$675,$B1005,Compta!$C$1:$C$675,"2026"),0))</f>
        <v/>
      </c>
      <c r="G1005" t="str">
        <f t="shared" si="166"/>
        <v/>
      </c>
      <c r="H1005" t="str">
        <f t="shared" si="167"/>
        <v/>
      </c>
      <c r="I1005" t="str">
        <f t="shared" si="168"/>
        <v/>
      </c>
      <c r="J1005" t="str">
        <f t="shared" si="169"/>
        <v/>
      </c>
      <c r="K1005" t="str">
        <f t="shared" si="170"/>
        <v/>
      </c>
      <c r="L1005" t="str">
        <f t="shared" si="171"/>
        <v/>
      </c>
      <c r="M1005" t="str">
        <f t="shared" si="172"/>
        <v/>
      </c>
      <c r="N1005" t="str">
        <f t="shared" si="173"/>
        <v/>
      </c>
      <c r="O1005" t="str">
        <f t="shared" si="174"/>
        <v/>
      </c>
      <c r="P1005" t="str">
        <f>IF($A1005="","",IF($E1005=1,$F1005*$O1005,PNL!G1005))</f>
        <v/>
      </c>
      <c r="T1005" t="str">
        <f t="shared" si="175"/>
        <v/>
      </c>
    </row>
    <row r="1006" spans="1:20" x14ac:dyDescent="0.45">
      <c r="A1006" t="str">
        <f>IF(PNL!A1006="","",PNL!A1006)</f>
        <v/>
      </c>
      <c r="B1006" t="str">
        <f>IF(PNL!B1006="","",PNL!B1006)</f>
        <v/>
      </c>
      <c r="C1006" t="str">
        <f>IF(PNL!C1006="","",PNL!C1006)</f>
        <v/>
      </c>
      <c r="D1006" t="str">
        <f>IF(PNL!D1006="","",PNL!D1006)</f>
        <v/>
      </c>
      <c r="E1006" t="str">
        <f t="shared" si="165"/>
        <v/>
      </c>
      <c r="F1006" t="str">
        <f>IF($A1006="","",IF($E1006=1,SUMIFS(Compta!$F$1:$F$675,Compta!$A$1:$A$675,$A1006,Compta!$B$1:$B$675,$B1006,Compta!$C$1:$C$675,"2026"),0))</f>
        <v/>
      </c>
      <c r="G1006" t="str">
        <f t="shared" si="166"/>
        <v/>
      </c>
      <c r="H1006" t="str">
        <f t="shared" si="167"/>
        <v/>
      </c>
      <c r="I1006" t="str">
        <f t="shared" si="168"/>
        <v/>
      </c>
      <c r="J1006" t="str">
        <f t="shared" si="169"/>
        <v/>
      </c>
      <c r="K1006" t="str">
        <f t="shared" si="170"/>
        <v/>
      </c>
      <c r="L1006" t="str">
        <f t="shared" si="171"/>
        <v/>
      </c>
      <c r="M1006" t="str">
        <f t="shared" si="172"/>
        <v/>
      </c>
      <c r="N1006" t="str">
        <f t="shared" si="173"/>
        <v/>
      </c>
      <c r="O1006" t="str">
        <f t="shared" si="174"/>
        <v/>
      </c>
      <c r="P1006" t="str">
        <f>IF($A1006="","",IF($E1006=1,$F1006*$O1006,PNL!G1006))</f>
        <v/>
      </c>
      <c r="T1006" t="str">
        <f t="shared" si="175"/>
        <v/>
      </c>
    </row>
    <row r="1007" spans="1:20" x14ac:dyDescent="0.45">
      <c r="A1007" t="str">
        <f>IF(PNL!A1007="","",PNL!A1007)</f>
        <v/>
      </c>
      <c r="B1007" t="str">
        <f>IF(PNL!B1007="","",PNL!B1007)</f>
        <v/>
      </c>
      <c r="C1007" t="str">
        <f>IF(PNL!C1007="","",PNL!C1007)</f>
        <v/>
      </c>
      <c r="D1007" t="str">
        <f>IF(PNL!D1007="","",PNL!D1007)</f>
        <v/>
      </c>
      <c r="E1007" t="str">
        <f t="shared" si="165"/>
        <v/>
      </c>
      <c r="F1007" t="str">
        <f>IF($A1007="","",IF($E1007=1,SUMIFS(Compta!$F$1:$F$675,Compta!$A$1:$A$675,$A1007,Compta!$B$1:$B$675,$B1007,Compta!$C$1:$C$675,"2026"),0))</f>
        <v/>
      </c>
      <c r="G1007" t="str">
        <f t="shared" si="166"/>
        <v/>
      </c>
      <c r="H1007" t="str">
        <f t="shared" si="167"/>
        <v/>
      </c>
      <c r="I1007" t="str">
        <f t="shared" si="168"/>
        <v/>
      </c>
      <c r="J1007" t="str">
        <f t="shared" si="169"/>
        <v/>
      </c>
      <c r="K1007" t="str">
        <f t="shared" si="170"/>
        <v/>
      </c>
      <c r="L1007" t="str">
        <f t="shared" si="171"/>
        <v/>
      </c>
      <c r="M1007" t="str">
        <f t="shared" si="172"/>
        <v/>
      </c>
      <c r="N1007" t="str">
        <f t="shared" si="173"/>
        <v/>
      </c>
      <c r="O1007" t="str">
        <f t="shared" si="174"/>
        <v/>
      </c>
      <c r="P1007" t="str">
        <f>IF($A1007="","",IF($E1007=1,$F1007*$O1007,PNL!G1007))</f>
        <v/>
      </c>
      <c r="T1007" t="str">
        <f t="shared" si="175"/>
        <v/>
      </c>
    </row>
    <row r="1008" spans="1:20" x14ac:dyDescent="0.45">
      <c r="A1008" t="str">
        <f>IF(PNL!A1008="","",PNL!A1008)</f>
        <v/>
      </c>
      <c r="B1008" t="str">
        <f>IF(PNL!B1008="","",PNL!B1008)</f>
        <v/>
      </c>
      <c r="C1008" t="str">
        <f>IF(PNL!C1008="","",PNL!C1008)</f>
        <v/>
      </c>
      <c r="D1008" t="str">
        <f>IF(PNL!D1008="","",PNL!D1008)</f>
        <v/>
      </c>
      <c r="E1008" t="str">
        <f t="shared" si="165"/>
        <v/>
      </c>
      <c r="F1008" t="str">
        <f>IF($A1008="","",IF($E1008=1,SUMIFS(Compta!$F$1:$F$675,Compta!$A$1:$A$675,$A1008,Compta!$B$1:$B$675,$B1008,Compta!$C$1:$C$675,"2026"),0))</f>
        <v/>
      </c>
      <c r="G1008" t="str">
        <f t="shared" si="166"/>
        <v/>
      </c>
      <c r="H1008" t="str">
        <f t="shared" si="167"/>
        <v/>
      </c>
      <c r="I1008" t="str">
        <f t="shared" si="168"/>
        <v/>
      </c>
      <c r="J1008" t="str">
        <f t="shared" si="169"/>
        <v/>
      </c>
      <c r="K1008" t="str">
        <f t="shared" si="170"/>
        <v/>
      </c>
      <c r="L1008" t="str">
        <f t="shared" si="171"/>
        <v/>
      </c>
      <c r="M1008" t="str">
        <f t="shared" si="172"/>
        <v/>
      </c>
      <c r="N1008" t="str">
        <f t="shared" si="173"/>
        <v/>
      </c>
      <c r="O1008" t="str">
        <f t="shared" si="174"/>
        <v/>
      </c>
      <c r="P1008" t="str">
        <f>IF($A1008="","",IF($E1008=1,$F1008*$O1008,PNL!G1008))</f>
        <v/>
      </c>
      <c r="T1008" t="str">
        <f t="shared" si="175"/>
        <v/>
      </c>
    </row>
    <row r="1009" spans="1:20" x14ac:dyDescent="0.45">
      <c r="A1009" t="str">
        <f>IF(PNL!A1009="","",PNL!A1009)</f>
        <v/>
      </c>
      <c r="B1009" t="str">
        <f>IF(PNL!B1009="","",PNL!B1009)</f>
        <v/>
      </c>
      <c r="C1009" t="str">
        <f>IF(PNL!C1009="","",PNL!C1009)</f>
        <v/>
      </c>
      <c r="D1009" t="str">
        <f>IF(PNL!D1009="","",PNL!D1009)</f>
        <v/>
      </c>
      <c r="E1009" t="str">
        <f t="shared" si="165"/>
        <v/>
      </c>
      <c r="F1009" t="str">
        <f>IF($A1009="","",IF($E1009=1,SUMIFS(Compta!$F$1:$F$675,Compta!$A$1:$A$675,$A1009,Compta!$B$1:$B$675,$B1009,Compta!$C$1:$C$675,"2026"),0))</f>
        <v/>
      </c>
      <c r="G1009" t="str">
        <f t="shared" si="166"/>
        <v/>
      </c>
      <c r="H1009" t="str">
        <f t="shared" si="167"/>
        <v/>
      </c>
      <c r="I1009" t="str">
        <f t="shared" si="168"/>
        <v/>
      </c>
      <c r="J1009" t="str">
        <f t="shared" si="169"/>
        <v/>
      </c>
      <c r="K1009" t="str">
        <f t="shared" si="170"/>
        <v/>
      </c>
      <c r="L1009" t="str">
        <f t="shared" si="171"/>
        <v/>
      </c>
      <c r="M1009" t="str">
        <f t="shared" si="172"/>
        <v/>
      </c>
      <c r="N1009" t="str">
        <f t="shared" si="173"/>
        <v/>
      </c>
      <c r="O1009" t="str">
        <f t="shared" si="174"/>
        <v/>
      </c>
      <c r="P1009" t="str">
        <f>IF($A1009="","",IF($E1009=1,$F1009*$O1009,PNL!G1009))</f>
        <v/>
      </c>
      <c r="T1009" t="str">
        <f t="shared" si="175"/>
        <v/>
      </c>
    </row>
    <row r="1010" spans="1:20" x14ac:dyDescent="0.45">
      <c r="A1010" t="str">
        <f>IF(PNL!A1010="","",PNL!A1010)</f>
        <v/>
      </c>
      <c r="B1010" t="str">
        <f>IF(PNL!B1010="","",PNL!B1010)</f>
        <v/>
      </c>
      <c r="C1010" t="str">
        <f>IF(PNL!C1010="","",PNL!C1010)</f>
        <v/>
      </c>
      <c r="D1010" t="str">
        <f>IF(PNL!D1010="","",PNL!D1010)</f>
        <v/>
      </c>
      <c r="E1010" t="str">
        <f t="shared" si="165"/>
        <v/>
      </c>
      <c r="F1010" t="str">
        <f>IF($A1010="","",IF($E1010=1,SUMIFS(Compta!$F$1:$F$675,Compta!$A$1:$A$675,$A1010,Compta!$B$1:$B$675,$B1010,Compta!$C$1:$C$675,"2026"),0))</f>
        <v/>
      </c>
      <c r="G1010" t="str">
        <f t="shared" si="166"/>
        <v/>
      </c>
      <c r="H1010" t="str">
        <f t="shared" si="167"/>
        <v/>
      </c>
      <c r="I1010" t="str">
        <f t="shared" si="168"/>
        <v/>
      </c>
      <c r="J1010" t="str">
        <f t="shared" si="169"/>
        <v/>
      </c>
      <c r="K1010" t="str">
        <f t="shared" si="170"/>
        <v/>
      </c>
      <c r="L1010" t="str">
        <f t="shared" si="171"/>
        <v/>
      </c>
      <c r="M1010" t="str">
        <f t="shared" si="172"/>
        <v/>
      </c>
      <c r="N1010" t="str">
        <f t="shared" si="173"/>
        <v/>
      </c>
      <c r="O1010" t="str">
        <f t="shared" si="174"/>
        <v/>
      </c>
      <c r="P1010" t="str">
        <f>IF($A1010="","",IF($E1010=1,$F1010*$O1010,PNL!G1010))</f>
        <v/>
      </c>
      <c r="T1010" t="str">
        <f t="shared" si="175"/>
        <v/>
      </c>
    </row>
    <row r="1011" spans="1:20" x14ac:dyDescent="0.45">
      <c r="A1011" t="str">
        <f>IF(PNL!A1011="","",PNL!A1011)</f>
        <v/>
      </c>
      <c r="B1011" t="str">
        <f>IF(PNL!B1011="","",PNL!B1011)</f>
        <v/>
      </c>
      <c r="C1011" t="str">
        <f>IF(PNL!C1011="","",PNL!C1011)</f>
        <v/>
      </c>
      <c r="D1011" t="str">
        <f>IF(PNL!D1011="","",PNL!D1011)</f>
        <v/>
      </c>
      <c r="E1011" t="str">
        <f t="shared" si="165"/>
        <v/>
      </c>
      <c r="F1011" t="str">
        <f>IF($A1011="","",IF($E1011=1,SUMIFS(Compta!$F$1:$F$675,Compta!$A$1:$A$675,$A1011,Compta!$B$1:$B$675,$B1011,Compta!$C$1:$C$675,"2026"),0))</f>
        <v/>
      </c>
      <c r="G1011" t="str">
        <f t="shared" si="166"/>
        <v/>
      </c>
      <c r="H1011" t="str">
        <f t="shared" si="167"/>
        <v/>
      </c>
      <c r="I1011" t="str">
        <f t="shared" si="168"/>
        <v/>
      </c>
      <c r="J1011" t="str">
        <f t="shared" si="169"/>
        <v/>
      </c>
      <c r="K1011" t="str">
        <f t="shared" si="170"/>
        <v/>
      </c>
      <c r="L1011" t="str">
        <f t="shared" si="171"/>
        <v/>
      </c>
      <c r="M1011" t="str">
        <f t="shared" si="172"/>
        <v/>
      </c>
      <c r="N1011" t="str">
        <f t="shared" si="173"/>
        <v/>
      </c>
      <c r="O1011" t="str">
        <f t="shared" si="174"/>
        <v/>
      </c>
      <c r="P1011" t="str">
        <f>IF($A1011="","",IF($E1011=1,$F1011*$O1011,PNL!G1011))</f>
        <v/>
      </c>
      <c r="T1011" t="str">
        <f t="shared" si="175"/>
        <v/>
      </c>
    </row>
    <row r="1012" spans="1:20" x14ac:dyDescent="0.45">
      <c r="A1012" t="str">
        <f>IF(PNL!A1012="","",PNL!A1012)</f>
        <v/>
      </c>
      <c r="B1012" t="str">
        <f>IF(PNL!B1012="","",PNL!B1012)</f>
        <v/>
      </c>
      <c r="C1012" t="str">
        <f>IF(PNL!C1012="","",PNL!C1012)</f>
        <v/>
      </c>
      <c r="D1012" t="str">
        <f>IF(PNL!D1012="","",PNL!D1012)</f>
        <v/>
      </c>
      <c r="E1012" t="str">
        <f t="shared" si="165"/>
        <v/>
      </c>
      <c r="F1012" t="str">
        <f>IF($A1012="","",IF($E1012=1,SUMIFS(Compta!$F$1:$F$675,Compta!$A$1:$A$675,$A1012,Compta!$B$1:$B$675,$B1012,Compta!$C$1:$C$675,"2026"),0))</f>
        <v/>
      </c>
      <c r="G1012" t="str">
        <f t="shared" si="166"/>
        <v/>
      </c>
      <c r="H1012" t="str">
        <f t="shared" si="167"/>
        <v/>
      </c>
      <c r="I1012" t="str">
        <f t="shared" si="168"/>
        <v/>
      </c>
      <c r="J1012" t="str">
        <f t="shared" si="169"/>
        <v/>
      </c>
      <c r="K1012" t="str">
        <f t="shared" si="170"/>
        <v/>
      </c>
      <c r="L1012" t="str">
        <f t="shared" si="171"/>
        <v/>
      </c>
      <c r="M1012" t="str">
        <f t="shared" si="172"/>
        <v/>
      </c>
      <c r="N1012" t="str">
        <f t="shared" si="173"/>
        <v/>
      </c>
      <c r="O1012" t="str">
        <f t="shared" si="174"/>
        <v/>
      </c>
      <c r="P1012" t="str">
        <f>IF($A1012="","",IF($E1012=1,$F1012*$O1012,PNL!G1012))</f>
        <v/>
      </c>
      <c r="T1012" t="str">
        <f t="shared" si="175"/>
        <v/>
      </c>
    </row>
    <row r="1013" spans="1:20" x14ac:dyDescent="0.45">
      <c r="A1013" t="str">
        <f>IF(PNL!A1013="","",PNL!A1013)</f>
        <v/>
      </c>
      <c r="B1013" t="str">
        <f>IF(PNL!B1013="","",PNL!B1013)</f>
        <v/>
      </c>
      <c r="C1013" t="str">
        <f>IF(PNL!C1013="","",PNL!C1013)</f>
        <v/>
      </c>
      <c r="D1013" t="str">
        <f>IF(PNL!D1013="","",PNL!D1013)</f>
        <v/>
      </c>
      <c r="E1013" t="str">
        <f t="shared" si="165"/>
        <v/>
      </c>
      <c r="F1013" t="str">
        <f>IF($A1013="","",IF($E1013=1,SUMIFS(Compta!$F$1:$F$675,Compta!$A$1:$A$675,$A1013,Compta!$B$1:$B$675,$B1013,Compta!$C$1:$C$675,"2026"),0))</f>
        <v/>
      </c>
      <c r="G1013" t="str">
        <f t="shared" si="166"/>
        <v/>
      </c>
      <c r="H1013" t="str">
        <f t="shared" si="167"/>
        <v/>
      </c>
      <c r="I1013" t="str">
        <f t="shared" si="168"/>
        <v/>
      </c>
      <c r="J1013" t="str">
        <f t="shared" si="169"/>
        <v/>
      </c>
      <c r="K1013" t="str">
        <f t="shared" si="170"/>
        <v/>
      </c>
      <c r="L1013" t="str">
        <f t="shared" si="171"/>
        <v/>
      </c>
      <c r="M1013" t="str">
        <f t="shared" si="172"/>
        <v/>
      </c>
      <c r="N1013" t="str">
        <f t="shared" si="173"/>
        <v/>
      </c>
      <c r="O1013" t="str">
        <f t="shared" si="174"/>
        <v/>
      </c>
      <c r="P1013" t="str">
        <f>IF($A1013="","",IF($E1013=1,$F1013*$O1013,PNL!G1013))</f>
        <v/>
      </c>
      <c r="T1013" t="str">
        <f t="shared" si="175"/>
        <v/>
      </c>
    </row>
    <row r="1014" spans="1:20" x14ac:dyDescent="0.45">
      <c r="A1014" t="str">
        <f>IF(PNL!A1014="","",PNL!A1014)</f>
        <v/>
      </c>
      <c r="B1014" t="str">
        <f>IF(PNL!B1014="","",PNL!B1014)</f>
        <v/>
      </c>
      <c r="C1014" t="str">
        <f>IF(PNL!C1014="","",PNL!C1014)</f>
        <v/>
      </c>
      <c r="D1014" t="str">
        <f>IF(PNL!D1014="","",PNL!D1014)</f>
        <v/>
      </c>
      <c r="E1014" t="str">
        <f t="shared" si="165"/>
        <v/>
      </c>
      <c r="F1014" t="str">
        <f>IF($A1014="","",IF($E1014=1,SUMIFS(Compta!$F$1:$F$675,Compta!$A$1:$A$675,$A1014,Compta!$B$1:$B$675,$B1014,Compta!$C$1:$C$675,"2026"),0))</f>
        <v/>
      </c>
      <c r="G1014" t="str">
        <f t="shared" si="166"/>
        <v/>
      </c>
      <c r="H1014" t="str">
        <f t="shared" si="167"/>
        <v/>
      </c>
      <c r="I1014" t="str">
        <f t="shared" si="168"/>
        <v/>
      </c>
      <c r="J1014" t="str">
        <f t="shared" si="169"/>
        <v/>
      </c>
      <c r="K1014" t="str">
        <f t="shared" si="170"/>
        <v/>
      </c>
      <c r="L1014" t="str">
        <f t="shared" si="171"/>
        <v/>
      </c>
      <c r="M1014" t="str">
        <f t="shared" si="172"/>
        <v/>
      </c>
      <c r="N1014" t="str">
        <f t="shared" si="173"/>
        <v/>
      </c>
      <c r="O1014" t="str">
        <f t="shared" si="174"/>
        <v/>
      </c>
      <c r="P1014" t="str">
        <f>IF($A1014="","",IF($E1014=1,$F1014*$O1014,PNL!G1014))</f>
        <v/>
      </c>
      <c r="T1014" t="str">
        <f t="shared" si="175"/>
        <v/>
      </c>
    </row>
    <row r="1015" spans="1:20" x14ac:dyDescent="0.45">
      <c r="A1015" t="str">
        <f>IF(PNL!A1015="","",PNL!A1015)</f>
        <v/>
      </c>
      <c r="B1015" t="str">
        <f>IF(PNL!B1015="","",PNL!B1015)</f>
        <v/>
      </c>
      <c r="C1015" t="str">
        <f>IF(PNL!C1015="","",PNL!C1015)</f>
        <v/>
      </c>
      <c r="D1015" t="str">
        <f>IF(PNL!D1015="","",PNL!D1015)</f>
        <v/>
      </c>
      <c r="E1015" t="str">
        <f t="shared" si="165"/>
        <v/>
      </c>
      <c r="F1015" t="str">
        <f>IF($A1015="","",IF($E1015=1,SUMIFS(Compta!$F$1:$F$675,Compta!$A$1:$A$675,$A1015,Compta!$B$1:$B$675,$B1015,Compta!$C$1:$C$675,"2026"),0))</f>
        <v/>
      </c>
      <c r="G1015" t="str">
        <f t="shared" si="166"/>
        <v/>
      </c>
      <c r="H1015" t="str">
        <f t="shared" si="167"/>
        <v/>
      </c>
      <c r="I1015" t="str">
        <f t="shared" si="168"/>
        <v/>
      </c>
      <c r="J1015" t="str">
        <f t="shared" si="169"/>
        <v/>
      </c>
      <c r="K1015" t="str">
        <f t="shared" si="170"/>
        <v/>
      </c>
      <c r="L1015" t="str">
        <f t="shared" si="171"/>
        <v/>
      </c>
      <c r="M1015" t="str">
        <f t="shared" si="172"/>
        <v/>
      </c>
      <c r="N1015" t="str">
        <f t="shared" si="173"/>
        <v/>
      </c>
      <c r="O1015" t="str">
        <f t="shared" si="174"/>
        <v/>
      </c>
      <c r="P1015" t="str">
        <f>IF($A1015="","",IF($E1015=1,$F1015*$O1015,PNL!G1015))</f>
        <v/>
      </c>
      <c r="T1015" t="str">
        <f t="shared" si="175"/>
        <v/>
      </c>
    </row>
    <row r="1016" spans="1:20" x14ac:dyDescent="0.45">
      <c r="A1016" t="str">
        <f>IF(PNL!A1016="","",PNL!A1016)</f>
        <v/>
      </c>
      <c r="B1016" t="str">
        <f>IF(PNL!B1016="","",PNL!B1016)</f>
        <v/>
      </c>
      <c r="C1016" t="str">
        <f>IF(PNL!C1016="","",PNL!C1016)</f>
        <v/>
      </c>
      <c r="D1016" t="str">
        <f>IF(PNL!D1016="","",PNL!D1016)</f>
        <v/>
      </c>
      <c r="E1016" t="str">
        <f t="shared" si="165"/>
        <v/>
      </c>
      <c r="F1016" t="str">
        <f>IF($A1016="","",IF($E1016=1,SUMIFS(Compta!$F$1:$F$675,Compta!$A$1:$A$675,$A1016,Compta!$B$1:$B$675,$B1016,Compta!$C$1:$C$675,"2026"),0))</f>
        <v/>
      </c>
      <c r="G1016" t="str">
        <f t="shared" si="166"/>
        <v/>
      </c>
      <c r="H1016" t="str">
        <f t="shared" si="167"/>
        <v/>
      </c>
      <c r="I1016" t="str">
        <f t="shared" si="168"/>
        <v/>
      </c>
      <c r="J1016" t="str">
        <f t="shared" si="169"/>
        <v/>
      </c>
      <c r="K1016" t="str">
        <f t="shared" si="170"/>
        <v/>
      </c>
      <c r="L1016" t="str">
        <f t="shared" si="171"/>
        <v/>
      </c>
      <c r="M1016" t="str">
        <f t="shared" si="172"/>
        <v/>
      </c>
      <c r="N1016" t="str">
        <f t="shared" si="173"/>
        <v/>
      </c>
      <c r="O1016" t="str">
        <f t="shared" si="174"/>
        <v/>
      </c>
      <c r="P1016" t="str">
        <f>IF($A1016="","",IF($E1016=1,$F1016*$O1016,PNL!G1016))</f>
        <v/>
      </c>
      <c r="T1016" t="str">
        <f t="shared" si="175"/>
        <v/>
      </c>
    </row>
    <row r="1017" spans="1:20" x14ac:dyDescent="0.45">
      <c r="A1017" t="str">
        <f>IF(PNL!A1017="","",PNL!A1017)</f>
        <v/>
      </c>
      <c r="B1017" t="str">
        <f>IF(PNL!B1017="","",PNL!B1017)</f>
        <v/>
      </c>
      <c r="C1017" t="str">
        <f>IF(PNL!C1017="","",PNL!C1017)</f>
        <v/>
      </c>
      <c r="D1017" t="str">
        <f>IF(PNL!D1017="","",PNL!D1017)</f>
        <v/>
      </c>
      <c r="E1017" t="str">
        <f t="shared" si="165"/>
        <v/>
      </c>
      <c r="F1017" t="str">
        <f>IF($A1017="","",IF($E1017=1,SUMIFS(Compta!$F$1:$F$675,Compta!$A$1:$A$675,$A1017,Compta!$B$1:$B$675,$B1017,Compta!$C$1:$C$675,"2026"),0))</f>
        <v/>
      </c>
      <c r="G1017" t="str">
        <f t="shared" si="166"/>
        <v/>
      </c>
      <c r="H1017" t="str">
        <f t="shared" si="167"/>
        <v/>
      </c>
      <c r="I1017" t="str">
        <f t="shared" si="168"/>
        <v/>
      </c>
      <c r="J1017" t="str">
        <f t="shared" si="169"/>
        <v/>
      </c>
      <c r="K1017" t="str">
        <f t="shared" si="170"/>
        <v/>
      </c>
      <c r="L1017" t="str">
        <f t="shared" si="171"/>
        <v/>
      </c>
      <c r="M1017" t="str">
        <f t="shared" si="172"/>
        <v/>
      </c>
      <c r="N1017" t="str">
        <f t="shared" si="173"/>
        <v/>
      </c>
      <c r="O1017" t="str">
        <f t="shared" si="174"/>
        <v/>
      </c>
      <c r="P1017" t="str">
        <f>IF($A1017="","",IF($E1017=1,$F1017*$O1017,PNL!G1017))</f>
        <v/>
      </c>
      <c r="T1017" t="str">
        <f t="shared" si="175"/>
        <v/>
      </c>
    </row>
    <row r="1018" spans="1:20" x14ac:dyDescent="0.45">
      <c r="A1018" t="str">
        <f>IF(PNL!A1018="","",PNL!A1018)</f>
        <v/>
      </c>
      <c r="B1018" t="str">
        <f>IF(PNL!B1018="","",PNL!B1018)</f>
        <v/>
      </c>
      <c r="C1018" t="str">
        <f>IF(PNL!C1018="","",PNL!C1018)</f>
        <v/>
      </c>
      <c r="D1018" t="str">
        <f>IF(PNL!D1018="","",PNL!D1018)</f>
        <v/>
      </c>
      <c r="E1018" t="str">
        <f t="shared" si="165"/>
        <v/>
      </c>
      <c r="F1018" t="str">
        <f>IF($A1018="","",IF($E1018=1,SUMIFS(Compta!$F$1:$F$675,Compta!$A$1:$A$675,$A1018,Compta!$B$1:$B$675,$B1018,Compta!$C$1:$C$675,"2026"),0))</f>
        <v/>
      </c>
      <c r="G1018" t="str">
        <f t="shared" si="166"/>
        <v/>
      </c>
      <c r="H1018" t="str">
        <f t="shared" si="167"/>
        <v/>
      </c>
      <c r="I1018" t="str">
        <f t="shared" si="168"/>
        <v/>
      </c>
      <c r="J1018" t="str">
        <f t="shared" si="169"/>
        <v/>
      </c>
      <c r="K1018" t="str">
        <f t="shared" si="170"/>
        <v/>
      </c>
      <c r="L1018" t="str">
        <f t="shared" si="171"/>
        <v/>
      </c>
      <c r="M1018" t="str">
        <f t="shared" si="172"/>
        <v/>
      </c>
      <c r="N1018" t="str">
        <f t="shared" si="173"/>
        <v/>
      </c>
      <c r="O1018" t="str">
        <f t="shared" si="174"/>
        <v/>
      </c>
      <c r="P1018" t="str">
        <f>IF($A1018="","",IF($E1018=1,$F1018*$O1018,PNL!G1018))</f>
        <v/>
      </c>
      <c r="T1018" t="str">
        <f t="shared" si="175"/>
        <v/>
      </c>
    </row>
    <row r="1019" spans="1:20" x14ac:dyDescent="0.45">
      <c r="A1019" t="str">
        <f>IF(PNL!A1019="","",PNL!A1019)</f>
        <v/>
      </c>
      <c r="B1019" t="str">
        <f>IF(PNL!B1019="","",PNL!B1019)</f>
        <v/>
      </c>
      <c r="C1019" t="str">
        <f>IF(PNL!C1019="","",PNL!C1019)</f>
        <v/>
      </c>
      <c r="D1019" t="str">
        <f>IF(PNL!D1019="","",PNL!D1019)</f>
        <v/>
      </c>
      <c r="E1019" t="str">
        <f t="shared" si="165"/>
        <v/>
      </c>
      <c r="F1019" t="str">
        <f>IF($A1019="","",IF($E1019=1,SUMIFS(Compta!$F$1:$F$675,Compta!$A$1:$A$675,$A1019,Compta!$B$1:$B$675,$B1019,Compta!$C$1:$C$675,"2026"),0))</f>
        <v/>
      </c>
      <c r="G1019" t="str">
        <f t="shared" si="166"/>
        <v/>
      </c>
      <c r="H1019" t="str">
        <f t="shared" si="167"/>
        <v/>
      </c>
      <c r="I1019" t="str">
        <f t="shared" si="168"/>
        <v/>
      </c>
      <c r="J1019" t="str">
        <f t="shared" si="169"/>
        <v/>
      </c>
      <c r="K1019" t="str">
        <f t="shared" si="170"/>
        <v/>
      </c>
      <c r="L1019" t="str">
        <f t="shared" si="171"/>
        <v/>
      </c>
      <c r="M1019" t="str">
        <f t="shared" si="172"/>
        <v/>
      </c>
      <c r="N1019" t="str">
        <f t="shared" si="173"/>
        <v/>
      </c>
      <c r="O1019" t="str">
        <f t="shared" si="174"/>
        <v/>
      </c>
      <c r="P1019" t="str">
        <f>IF($A1019="","",IF($E1019=1,$F1019*$O1019,PNL!G1019))</f>
        <v/>
      </c>
      <c r="T1019" t="str">
        <f t="shared" si="175"/>
        <v/>
      </c>
    </row>
    <row r="1020" spans="1:20" x14ac:dyDescent="0.45">
      <c r="A1020" t="str">
        <f>IF(PNL!A1020="","",PNL!A1020)</f>
        <v/>
      </c>
      <c r="B1020" t="str">
        <f>IF(PNL!B1020="","",PNL!B1020)</f>
        <v/>
      </c>
      <c r="C1020" t="str">
        <f>IF(PNL!C1020="","",PNL!C1020)</f>
        <v/>
      </c>
      <c r="D1020" t="str">
        <f>IF(PNL!D1020="","",PNL!D1020)</f>
        <v/>
      </c>
      <c r="E1020" t="str">
        <f t="shared" si="165"/>
        <v/>
      </c>
      <c r="F1020" t="str">
        <f>IF($A1020="","",IF($E1020=1,SUMIFS(Compta!$F$1:$F$675,Compta!$A$1:$A$675,$A1020,Compta!$B$1:$B$675,$B1020,Compta!$C$1:$C$675,"2026"),0))</f>
        <v/>
      </c>
      <c r="G1020" t="str">
        <f t="shared" si="166"/>
        <v/>
      </c>
      <c r="H1020" t="str">
        <f t="shared" si="167"/>
        <v/>
      </c>
      <c r="I1020" t="str">
        <f t="shared" si="168"/>
        <v/>
      </c>
      <c r="J1020" t="str">
        <f t="shared" si="169"/>
        <v/>
      </c>
      <c r="K1020" t="str">
        <f t="shared" si="170"/>
        <v/>
      </c>
      <c r="L1020" t="str">
        <f t="shared" si="171"/>
        <v/>
      </c>
      <c r="M1020" t="str">
        <f t="shared" si="172"/>
        <v/>
      </c>
      <c r="N1020" t="str">
        <f t="shared" si="173"/>
        <v/>
      </c>
      <c r="O1020" t="str">
        <f t="shared" si="174"/>
        <v/>
      </c>
      <c r="P1020" t="str">
        <f>IF($A1020="","",IF($E1020=1,$F1020*$O1020,PNL!G1020))</f>
        <v/>
      </c>
      <c r="T1020" t="str">
        <f t="shared" si="175"/>
        <v/>
      </c>
    </row>
    <row r="1021" spans="1:20" x14ac:dyDescent="0.45">
      <c r="A1021" t="str">
        <f>IF(PNL!A1021="","",PNL!A1021)</f>
        <v/>
      </c>
      <c r="B1021" t="str">
        <f>IF(PNL!B1021="","",PNL!B1021)</f>
        <v/>
      </c>
      <c r="C1021" t="str">
        <f>IF(PNL!C1021="","",PNL!C1021)</f>
        <v/>
      </c>
      <c r="D1021" t="str">
        <f>IF(PNL!D1021="","",PNL!D1021)</f>
        <v/>
      </c>
      <c r="E1021" t="str">
        <f t="shared" si="165"/>
        <v/>
      </c>
      <c r="F1021" t="str">
        <f>IF($A1021="","",IF($E1021=1,SUMIFS(Compta!$F$1:$F$675,Compta!$A$1:$A$675,$A1021,Compta!$B$1:$B$675,$B1021,Compta!$C$1:$C$675,"2026"),0))</f>
        <v/>
      </c>
      <c r="G1021" t="str">
        <f t="shared" si="166"/>
        <v/>
      </c>
      <c r="H1021" t="str">
        <f t="shared" si="167"/>
        <v/>
      </c>
      <c r="I1021" t="str">
        <f t="shared" si="168"/>
        <v/>
      </c>
      <c r="J1021" t="str">
        <f t="shared" si="169"/>
        <v/>
      </c>
      <c r="K1021" t="str">
        <f t="shared" si="170"/>
        <v/>
      </c>
      <c r="L1021" t="str">
        <f t="shared" si="171"/>
        <v/>
      </c>
      <c r="M1021" t="str">
        <f t="shared" si="172"/>
        <v/>
      </c>
      <c r="N1021" t="str">
        <f t="shared" si="173"/>
        <v/>
      </c>
      <c r="O1021" t="str">
        <f t="shared" si="174"/>
        <v/>
      </c>
      <c r="P1021" t="str">
        <f>IF($A1021="","",IF($E1021=1,$F1021*$O1021,PNL!G1021))</f>
        <v/>
      </c>
      <c r="T1021" t="str">
        <f t="shared" si="175"/>
        <v/>
      </c>
    </row>
    <row r="1022" spans="1:20" x14ac:dyDescent="0.45">
      <c r="A1022" t="str">
        <f>IF(PNL!A1022="","",PNL!A1022)</f>
        <v/>
      </c>
      <c r="B1022" t="str">
        <f>IF(PNL!B1022="","",PNL!B1022)</f>
        <v/>
      </c>
      <c r="C1022" t="str">
        <f>IF(PNL!C1022="","",PNL!C1022)</f>
        <v/>
      </c>
      <c r="D1022" t="str">
        <f>IF(PNL!D1022="","",PNL!D1022)</f>
        <v/>
      </c>
      <c r="E1022" t="str">
        <f t="shared" si="165"/>
        <v/>
      </c>
      <c r="F1022" t="str">
        <f>IF($A1022="","",IF($E1022=1,SUMIFS(Compta!$F$1:$F$675,Compta!$A$1:$A$675,$A1022,Compta!$B$1:$B$675,$B1022,Compta!$C$1:$C$675,"2026"),0))</f>
        <v/>
      </c>
      <c r="G1022" t="str">
        <f t="shared" si="166"/>
        <v/>
      </c>
      <c r="H1022" t="str">
        <f t="shared" si="167"/>
        <v/>
      </c>
      <c r="I1022" t="str">
        <f t="shared" si="168"/>
        <v/>
      </c>
      <c r="J1022" t="str">
        <f t="shared" si="169"/>
        <v/>
      </c>
      <c r="K1022" t="str">
        <f t="shared" si="170"/>
        <v/>
      </c>
      <c r="L1022" t="str">
        <f t="shared" si="171"/>
        <v/>
      </c>
      <c r="M1022" t="str">
        <f t="shared" si="172"/>
        <v/>
      </c>
      <c r="N1022" t="str">
        <f t="shared" si="173"/>
        <v/>
      </c>
      <c r="O1022" t="str">
        <f t="shared" si="174"/>
        <v/>
      </c>
      <c r="P1022" t="str">
        <f>IF($A1022="","",IF($E1022=1,$F1022*$O1022,PNL!G1022))</f>
        <v/>
      </c>
      <c r="T1022" t="str">
        <f t="shared" si="175"/>
        <v/>
      </c>
    </row>
    <row r="1023" spans="1:20" x14ac:dyDescent="0.45">
      <c r="A1023" t="str">
        <f>IF(PNL!A1023="","",PNL!A1023)</f>
        <v/>
      </c>
      <c r="B1023" t="str">
        <f>IF(PNL!B1023="","",PNL!B1023)</f>
        <v/>
      </c>
      <c r="C1023" t="str">
        <f>IF(PNL!C1023="","",PNL!C1023)</f>
        <v/>
      </c>
      <c r="D1023" t="str">
        <f>IF(PNL!D1023="","",PNL!D1023)</f>
        <v/>
      </c>
      <c r="E1023" t="str">
        <f t="shared" si="165"/>
        <v/>
      </c>
      <c r="F1023" t="str">
        <f>IF($A1023="","",IF($E1023=1,SUMIFS(Compta!$F$1:$F$675,Compta!$A$1:$A$675,$A1023,Compta!$B$1:$B$675,$B1023,Compta!$C$1:$C$675,"2026"),0))</f>
        <v/>
      </c>
      <c r="G1023" t="str">
        <f t="shared" si="166"/>
        <v/>
      </c>
      <c r="H1023" t="str">
        <f t="shared" si="167"/>
        <v/>
      </c>
      <c r="I1023" t="str">
        <f t="shared" si="168"/>
        <v/>
      </c>
      <c r="J1023" t="str">
        <f t="shared" si="169"/>
        <v/>
      </c>
      <c r="K1023" t="str">
        <f t="shared" si="170"/>
        <v/>
      </c>
      <c r="L1023" t="str">
        <f t="shared" si="171"/>
        <v/>
      </c>
      <c r="M1023" t="str">
        <f t="shared" si="172"/>
        <v/>
      </c>
      <c r="N1023" t="str">
        <f t="shared" si="173"/>
        <v/>
      </c>
      <c r="O1023" t="str">
        <f t="shared" si="174"/>
        <v/>
      </c>
      <c r="P1023" t="str">
        <f>IF($A1023="","",IF($E1023=1,$F1023*$O1023,PNL!G1023))</f>
        <v/>
      </c>
      <c r="T1023" t="str">
        <f t="shared" si="175"/>
        <v/>
      </c>
    </row>
    <row r="1024" spans="1:20" x14ac:dyDescent="0.45">
      <c r="A1024" t="str">
        <f>IF(PNL!A1024="","",PNL!A1024)</f>
        <v/>
      </c>
      <c r="B1024" t="str">
        <f>IF(PNL!B1024="","",PNL!B1024)</f>
        <v/>
      </c>
      <c r="C1024" t="str">
        <f>IF(PNL!C1024="","",PNL!C1024)</f>
        <v/>
      </c>
      <c r="D1024" t="str">
        <f>IF(PNL!D1024="","",PNL!D1024)</f>
        <v/>
      </c>
      <c r="E1024" t="str">
        <f t="shared" si="165"/>
        <v/>
      </c>
      <c r="F1024" t="str">
        <f>IF($A1024="","",IF($E1024=1,SUMIFS(Compta!$F$1:$F$675,Compta!$A$1:$A$675,$A1024,Compta!$B$1:$B$675,$B1024,Compta!$C$1:$C$675,"2026"),0))</f>
        <v/>
      </c>
      <c r="G1024" t="str">
        <f t="shared" si="166"/>
        <v/>
      </c>
      <c r="H1024" t="str">
        <f t="shared" si="167"/>
        <v/>
      </c>
      <c r="I1024" t="str">
        <f t="shared" si="168"/>
        <v/>
      </c>
      <c r="J1024" t="str">
        <f t="shared" si="169"/>
        <v/>
      </c>
      <c r="K1024" t="str">
        <f t="shared" si="170"/>
        <v/>
      </c>
      <c r="L1024" t="str">
        <f t="shared" si="171"/>
        <v/>
      </c>
      <c r="M1024" t="str">
        <f t="shared" si="172"/>
        <v/>
      </c>
      <c r="N1024" t="str">
        <f t="shared" si="173"/>
        <v/>
      </c>
      <c r="O1024" t="str">
        <f t="shared" si="174"/>
        <v/>
      </c>
      <c r="P1024" t="str">
        <f>IF($A1024="","",IF($E1024=1,$F1024*$O1024,PNL!G1024))</f>
        <v/>
      </c>
      <c r="T1024" t="str">
        <f t="shared" si="175"/>
        <v/>
      </c>
    </row>
    <row r="1025" spans="1:20" x14ac:dyDescent="0.45">
      <c r="A1025" t="str">
        <f>IF(PNL!A1025="","",PNL!A1025)</f>
        <v/>
      </c>
      <c r="B1025" t="str">
        <f>IF(PNL!B1025="","",PNL!B1025)</f>
        <v/>
      </c>
      <c r="C1025" t="str">
        <f>IF(PNL!C1025="","",PNL!C1025)</f>
        <v/>
      </c>
      <c r="D1025" t="str">
        <f>IF(PNL!D1025="","",PNL!D1025)</f>
        <v/>
      </c>
      <c r="E1025" t="str">
        <f t="shared" si="165"/>
        <v/>
      </c>
      <c r="F1025" t="str">
        <f>IF($A1025="","",IF($E1025=1,SUMIFS(Compta!$F$1:$F$675,Compta!$A$1:$A$675,$A1025,Compta!$B$1:$B$675,$B1025,Compta!$C$1:$C$675,"2026"),0))</f>
        <v/>
      </c>
      <c r="G1025" t="str">
        <f t="shared" si="166"/>
        <v/>
      </c>
      <c r="H1025" t="str">
        <f t="shared" si="167"/>
        <v/>
      </c>
      <c r="I1025" t="str">
        <f t="shared" si="168"/>
        <v/>
      </c>
      <c r="J1025" t="str">
        <f t="shared" si="169"/>
        <v/>
      </c>
      <c r="K1025" t="str">
        <f t="shared" si="170"/>
        <v/>
      </c>
      <c r="L1025" t="str">
        <f t="shared" si="171"/>
        <v/>
      </c>
      <c r="M1025" t="str">
        <f t="shared" si="172"/>
        <v/>
      </c>
      <c r="N1025" t="str">
        <f t="shared" si="173"/>
        <v/>
      </c>
      <c r="O1025" t="str">
        <f t="shared" si="174"/>
        <v/>
      </c>
      <c r="P1025" t="str">
        <f>IF($A1025="","",IF($E1025=1,$F1025*$O1025,PNL!G1025))</f>
        <v/>
      </c>
      <c r="T1025" t="str">
        <f t="shared" si="175"/>
        <v/>
      </c>
    </row>
    <row r="1026" spans="1:20" x14ac:dyDescent="0.45">
      <c r="A1026" t="str">
        <f>IF(PNL!A1026="","",PNL!A1026)</f>
        <v/>
      </c>
      <c r="B1026" t="str">
        <f>IF(PNL!B1026="","",PNL!B1026)</f>
        <v/>
      </c>
      <c r="C1026" t="str">
        <f>IF(PNL!C1026="","",PNL!C1026)</f>
        <v/>
      </c>
      <c r="D1026" t="str">
        <f>IF(PNL!D1026="","",PNL!D1026)</f>
        <v/>
      </c>
      <c r="E1026" t="str">
        <f t="shared" ref="E1026:E1089" si="176">IF($A1026="","",IF(AND($C1026="2027",OR($D1026="V01",$D1026="V02",$D1026="V03")),1,0))</f>
        <v/>
      </c>
      <c r="F1026" t="str">
        <f>IF($A1026="","",IF($E1026=1,SUMIFS(Compta!$F$1:$F$675,Compta!$A$1:$A$675,$A1026,Compta!$B$1:$B$675,$B1026,Compta!$C$1:$C$675,"2026"),0))</f>
        <v/>
      </c>
      <c r="G1026" t="str">
        <f t="shared" ref="G1026:G1089" si="177">IF($A1026="","",IF($D1026="V01",cad!$C$23,IF($D1026="V02",cad!$D$23,cad!$E$23)))</f>
        <v/>
      </c>
      <c r="H1026" t="str">
        <f t="shared" ref="H1026:H1089" si="178">IF($A1026="","",IF($D1026="V01",cad!$C$24,IF($D1026="V02",cad!$D$24,cad!$E$24)))</f>
        <v/>
      </c>
      <c r="I1026" t="str">
        <f t="shared" ref="I1026:I1089" si="179">IF($A1026="","",IF($D1026="V01",cad!$C$32,IF($D1026="V02",cad!$D$32,cad!$E$32)))</f>
        <v/>
      </c>
      <c r="J1026" t="str">
        <f t="shared" ref="J1026:J1089" si="180">IF($A1026="","",IF($D1026="V01",cad!$C$33,IF($D1026="V02",cad!$D$33,cad!$E$33)))</f>
        <v/>
      </c>
      <c r="K1026" t="str">
        <f t="shared" ref="K1026:K1089" si="181">IF($A1026="","",IF($D1026="V01",cad!$C$34,IF($D1026="V02",cad!$D$34,cad!$E$34)))</f>
        <v/>
      </c>
      <c r="L1026" t="str">
        <f t="shared" ref="L1026:L1089" si="182">IF($A1026="","",IF($D1026="V01",cad!$C$35,IF($D1026="V02",cad!$D$35,cad!$E$35)))</f>
        <v/>
      </c>
      <c r="M1026" t="str">
        <f t="shared" ref="M1026:M1089" si="183">IF($A1026="","",IF($D1026="V01",cad!$C$36,IF($D1026="V02",cad!$D$36,cad!$E$36)))</f>
        <v/>
      </c>
      <c r="N1026" t="str">
        <f t="shared" ref="N1026:N1089" si="184">IF($A1026="","",IF($D1026="V01",$R$2,IF($D1026="V02",$R$3,$R$4)))</f>
        <v/>
      </c>
      <c r="O1026" t="str">
        <f t="shared" ref="O1026:O1089" si="185">IF($A1026="","",IF(OR($B1026="7062",$B1026="706",$B1026="708"),$N1026,IF($B1026="6231",1+$G1026,IF($B1026="6236",1+$H1026,IF(OR($B1026="621",$B1026="604",$B1026="6063"),$N1026*(1-$L1026),IF(OR($B1026="6411",$B1026="6413",$B1026="6414",$B1026="645"),(1+$J1026)*(1+$K1026),IF(OR($B1026="613",$B1026="615",$B1026="616",$B1026="6226",$B1026="625",$B1026="626",$B1026="6281"),(1+$I1026)*(1-$L1026)*(1+$M1026),IF(OR($B1026="6331",$B1026="63511",$B1026="6333"),(1+$I1026)*(1-$L1026),IF($B1026="6811",1+$I1026,1)))))))))</f>
        <v/>
      </c>
      <c r="P1026" t="str">
        <f>IF($A1026="","",IF($E1026=1,$F1026*$O1026,PNL!G1026))</f>
        <v/>
      </c>
      <c r="T1026" t="str">
        <f t="shared" ref="T1026:T1089" si="186">IF($A1026="","",IF($E1026=1,IF(OR($B1026="7062",$B1026="706",$B1026="708"),$P1026,IF(AND(LEFT($B1026,1)="6",$B1026&lt;&gt;"6811"),-$P1026,0)),0))</f>
        <v/>
      </c>
    </row>
    <row r="1027" spans="1:20" x14ac:dyDescent="0.45">
      <c r="A1027" t="str">
        <f>IF(PNL!A1027="","",PNL!A1027)</f>
        <v/>
      </c>
      <c r="B1027" t="str">
        <f>IF(PNL!B1027="","",PNL!B1027)</f>
        <v/>
      </c>
      <c r="C1027" t="str">
        <f>IF(PNL!C1027="","",PNL!C1027)</f>
        <v/>
      </c>
      <c r="D1027" t="str">
        <f>IF(PNL!D1027="","",PNL!D1027)</f>
        <v/>
      </c>
      <c r="E1027" t="str">
        <f t="shared" si="176"/>
        <v/>
      </c>
      <c r="F1027" t="str">
        <f>IF($A1027="","",IF($E1027=1,SUMIFS(Compta!$F$1:$F$675,Compta!$A$1:$A$675,$A1027,Compta!$B$1:$B$675,$B1027,Compta!$C$1:$C$675,"2026"),0))</f>
        <v/>
      </c>
      <c r="G1027" t="str">
        <f t="shared" si="177"/>
        <v/>
      </c>
      <c r="H1027" t="str">
        <f t="shared" si="178"/>
        <v/>
      </c>
      <c r="I1027" t="str">
        <f t="shared" si="179"/>
        <v/>
      </c>
      <c r="J1027" t="str">
        <f t="shared" si="180"/>
        <v/>
      </c>
      <c r="K1027" t="str">
        <f t="shared" si="181"/>
        <v/>
      </c>
      <c r="L1027" t="str">
        <f t="shared" si="182"/>
        <v/>
      </c>
      <c r="M1027" t="str">
        <f t="shared" si="183"/>
        <v/>
      </c>
      <c r="N1027" t="str">
        <f t="shared" si="184"/>
        <v/>
      </c>
      <c r="O1027" t="str">
        <f t="shared" si="185"/>
        <v/>
      </c>
      <c r="P1027" t="str">
        <f>IF($A1027="","",IF($E1027=1,$F1027*$O1027,PNL!G1027))</f>
        <v/>
      </c>
      <c r="T1027" t="str">
        <f t="shared" si="186"/>
        <v/>
      </c>
    </row>
    <row r="1028" spans="1:20" x14ac:dyDescent="0.45">
      <c r="A1028" t="str">
        <f>IF(PNL!A1028="","",PNL!A1028)</f>
        <v/>
      </c>
      <c r="B1028" t="str">
        <f>IF(PNL!B1028="","",PNL!B1028)</f>
        <v/>
      </c>
      <c r="C1028" t="str">
        <f>IF(PNL!C1028="","",PNL!C1028)</f>
        <v/>
      </c>
      <c r="D1028" t="str">
        <f>IF(PNL!D1028="","",PNL!D1028)</f>
        <v/>
      </c>
      <c r="E1028" t="str">
        <f t="shared" si="176"/>
        <v/>
      </c>
      <c r="F1028" t="str">
        <f>IF($A1028="","",IF($E1028=1,SUMIFS(Compta!$F$1:$F$675,Compta!$A$1:$A$675,$A1028,Compta!$B$1:$B$675,$B1028,Compta!$C$1:$C$675,"2026"),0))</f>
        <v/>
      </c>
      <c r="G1028" t="str">
        <f t="shared" si="177"/>
        <v/>
      </c>
      <c r="H1028" t="str">
        <f t="shared" si="178"/>
        <v/>
      </c>
      <c r="I1028" t="str">
        <f t="shared" si="179"/>
        <v/>
      </c>
      <c r="J1028" t="str">
        <f t="shared" si="180"/>
        <v/>
      </c>
      <c r="K1028" t="str">
        <f t="shared" si="181"/>
        <v/>
      </c>
      <c r="L1028" t="str">
        <f t="shared" si="182"/>
        <v/>
      </c>
      <c r="M1028" t="str">
        <f t="shared" si="183"/>
        <v/>
      </c>
      <c r="N1028" t="str">
        <f t="shared" si="184"/>
        <v/>
      </c>
      <c r="O1028" t="str">
        <f t="shared" si="185"/>
        <v/>
      </c>
      <c r="P1028" t="str">
        <f>IF($A1028="","",IF($E1028=1,$F1028*$O1028,PNL!G1028))</f>
        <v/>
      </c>
      <c r="T1028" t="str">
        <f t="shared" si="186"/>
        <v/>
      </c>
    </row>
    <row r="1029" spans="1:20" x14ac:dyDescent="0.45">
      <c r="A1029" t="str">
        <f>IF(PNL!A1029="","",PNL!A1029)</f>
        <v/>
      </c>
      <c r="B1029" t="str">
        <f>IF(PNL!B1029="","",PNL!B1029)</f>
        <v/>
      </c>
      <c r="C1029" t="str">
        <f>IF(PNL!C1029="","",PNL!C1029)</f>
        <v/>
      </c>
      <c r="D1029" t="str">
        <f>IF(PNL!D1029="","",PNL!D1029)</f>
        <v/>
      </c>
      <c r="E1029" t="str">
        <f t="shared" si="176"/>
        <v/>
      </c>
      <c r="F1029" t="str">
        <f>IF($A1029="","",IF($E1029=1,SUMIFS(Compta!$F$1:$F$675,Compta!$A$1:$A$675,$A1029,Compta!$B$1:$B$675,$B1029,Compta!$C$1:$C$675,"2026"),0))</f>
        <v/>
      </c>
      <c r="G1029" t="str">
        <f t="shared" si="177"/>
        <v/>
      </c>
      <c r="H1029" t="str">
        <f t="shared" si="178"/>
        <v/>
      </c>
      <c r="I1029" t="str">
        <f t="shared" si="179"/>
        <v/>
      </c>
      <c r="J1029" t="str">
        <f t="shared" si="180"/>
        <v/>
      </c>
      <c r="K1029" t="str">
        <f t="shared" si="181"/>
        <v/>
      </c>
      <c r="L1029" t="str">
        <f t="shared" si="182"/>
        <v/>
      </c>
      <c r="M1029" t="str">
        <f t="shared" si="183"/>
        <v/>
      </c>
      <c r="N1029" t="str">
        <f t="shared" si="184"/>
        <v/>
      </c>
      <c r="O1029" t="str">
        <f t="shared" si="185"/>
        <v/>
      </c>
      <c r="P1029" t="str">
        <f>IF($A1029="","",IF($E1029=1,$F1029*$O1029,PNL!G1029))</f>
        <v/>
      </c>
      <c r="T1029" t="str">
        <f t="shared" si="186"/>
        <v/>
      </c>
    </row>
    <row r="1030" spans="1:20" x14ac:dyDescent="0.45">
      <c r="A1030" t="str">
        <f>IF(PNL!A1030="","",PNL!A1030)</f>
        <v/>
      </c>
      <c r="B1030" t="str">
        <f>IF(PNL!B1030="","",PNL!B1030)</f>
        <v/>
      </c>
      <c r="C1030" t="str">
        <f>IF(PNL!C1030="","",PNL!C1030)</f>
        <v/>
      </c>
      <c r="D1030" t="str">
        <f>IF(PNL!D1030="","",PNL!D1030)</f>
        <v/>
      </c>
      <c r="E1030" t="str">
        <f t="shared" si="176"/>
        <v/>
      </c>
      <c r="F1030" t="str">
        <f>IF($A1030="","",IF($E1030=1,SUMIFS(Compta!$F$1:$F$675,Compta!$A$1:$A$675,$A1030,Compta!$B$1:$B$675,$B1030,Compta!$C$1:$C$675,"2026"),0))</f>
        <v/>
      </c>
      <c r="G1030" t="str">
        <f t="shared" si="177"/>
        <v/>
      </c>
      <c r="H1030" t="str">
        <f t="shared" si="178"/>
        <v/>
      </c>
      <c r="I1030" t="str">
        <f t="shared" si="179"/>
        <v/>
      </c>
      <c r="J1030" t="str">
        <f t="shared" si="180"/>
        <v/>
      </c>
      <c r="K1030" t="str">
        <f t="shared" si="181"/>
        <v/>
      </c>
      <c r="L1030" t="str">
        <f t="shared" si="182"/>
        <v/>
      </c>
      <c r="M1030" t="str">
        <f t="shared" si="183"/>
        <v/>
      </c>
      <c r="N1030" t="str">
        <f t="shared" si="184"/>
        <v/>
      </c>
      <c r="O1030" t="str">
        <f t="shared" si="185"/>
        <v/>
      </c>
      <c r="P1030" t="str">
        <f>IF($A1030="","",IF($E1030=1,$F1030*$O1030,PNL!G1030))</f>
        <v/>
      </c>
      <c r="T1030" t="str">
        <f t="shared" si="186"/>
        <v/>
      </c>
    </row>
    <row r="1031" spans="1:20" x14ac:dyDescent="0.45">
      <c r="A1031" t="str">
        <f>IF(PNL!A1031="","",PNL!A1031)</f>
        <v/>
      </c>
      <c r="B1031" t="str">
        <f>IF(PNL!B1031="","",PNL!B1031)</f>
        <v/>
      </c>
      <c r="C1031" t="str">
        <f>IF(PNL!C1031="","",PNL!C1031)</f>
        <v/>
      </c>
      <c r="D1031" t="str">
        <f>IF(PNL!D1031="","",PNL!D1031)</f>
        <v/>
      </c>
      <c r="E1031" t="str">
        <f t="shared" si="176"/>
        <v/>
      </c>
      <c r="F1031" t="str">
        <f>IF($A1031="","",IF($E1031=1,SUMIFS(Compta!$F$1:$F$675,Compta!$A$1:$A$675,$A1031,Compta!$B$1:$B$675,$B1031,Compta!$C$1:$C$675,"2026"),0))</f>
        <v/>
      </c>
      <c r="G1031" t="str">
        <f t="shared" si="177"/>
        <v/>
      </c>
      <c r="H1031" t="str">
        <f t="shared" si="178"/>
        <v/>
      </c>
      <c r="I1031" t="str">
        <f t="shared" si="179"/>
        <v/>
      </c>
      <c r="J1031" t="str">
        <f t="shared" si="180"/>
        <v/>
      </c>
      <c r="K1031" t="str">
        <f t="shared" si="181"/>
        <v/>
      </c>
      <c r="L1031" t="str">
        <f t="shared" si="182"/>
        <v/>
      </c>
      <c r="M1031" t="str">
        <f t="shared" si="183"/>
        <v/>
      </c>
      <c r="N1031" t="str">
        <f t="shared" si="184"/>
        <v/>
      </c>
      <c r="O1031" t="str">
        <f t="shared" si="185"/>
        <v/>
      </c>
      <c r="P1031" t="str">
        <f>IF($A1031="","",IF($E1031=1,$F1031*$O1031,PNL!G1031))</f>
        <v/>
      </c>
      <c r="T1031" t="str">
        <f t="shared" si="186"/>
        <v/>
      </c>
    </row>
    <row r="1032" spans="1:20" x14ac:dyDescent="0.45">
      <c r="A1032" t="str">
        <f>IF(PNL!A1032="","",PNL!A1032)</f>
        <v/>
      </c>
      <c r="B1032" t="str">
        <f>IF(PNL!B1032="","",PNL!B1032)</f>
        <v/>
      </c>
      <c r="C1032" t="str">
        <f>IF(PNL!C1032="","",PNL!C1032)</f>
        <v/>
      </c>
      <c r="D1032" t="str">
        <f>IF(PNL!D1032="","",PNL!D1032)</f>
        <v/>
      </c>
      <c r="E1032" t="str">
        <f t="shared" si="176"/>
        <v/>
      </c>
      <c r="F1032" t="str">
        <f>IF($A1032="","",IF($E1032=1,SUMIFS(Compta!$F$1:$F$675,Compta!$A$1:$A$675,$A1032,Compta!$B$1:$B$675,$B1032,Compta!$C$1:$C$675,"2026"),0))</f>
        <v/>
      </c>
      <c r="G1032" t="str">
        <f t="shared" si="177"/>
        <v/>
      </c>
      <c r="H1032" t="str">
        <f t="shared" si="178"/>
        <v/>
      </c>
      <c r="I1032" t="str">
        <f t="shared" si="179"/>
        <v/>
      </c>
      <c r="J1032" t="str">
        <f t="shared" si="180"/>
        <v/>
      </c>
      <c r="K1032" t="str">
        <f t="shared" si="181"/>
        <v/>
      </c>
      <c r="L1032" t="str">
        <f t="shared" si="182"/>
        <v/>
      </c>
      <c r="M1032" t="str">
        <f t="shared" si="183"/>
        <v/>
      </c>
      <c r="N1032" t="str">
        <f t="shared" si="184"/>
        <v/>
      </c>
      <c r="O1032" t="str">
        <f t="shared" si="185"/>
        <v/>
      </c>
      <c r="P1032" t="str">
        <f>IF($A1032="","",IF($E1032=1,$F1032*$O1032,PNL!G1032))</f>
        <v/>
      </c>
      <c r="T1032" t="str">
        <f t="shared" si="186"/>
        <v/>
      </c>
    </row>
    <row r="1033" spans="1:20" x14ac:dyDescent="0.45">
      <c r="A1033" t="str">
        <f>IF(PNL!A1033="","",PNL!A1033)</f>
        <v/>
      </c>
      <c r="B1033" t="str">
        <f>IF(PNL!B1033="","",PNL!B1033)</f>
        <v/>
      </c>
      <c r="C1033" t="str">
        <f>IF(PNL!C1033="","",PNL!C1033)</f>
        <v/>
      </c>
      <c r="D1033" t="str">
        <f>IF(PNL!D1033="","",PNL!D1033)</f>
        <v/>
      </c>
      <c r="E1033" t="str">
        <f t="shared" si="176"/>
        <v/>
      </c>
      <c r="F1033" t="str">
        <f>IF($A1033="","",IF($E1033=1,SUMIFS(Compta!$F$1:$F$675,Compta!$A$1:$A$675,$A1033,Compta!$B$1:$B$675,$B1033,Compta!$C$1:$C$675,"2026"),0))</f>
        <v/>
      </c>
      <c r="G1033" t="str">
        <f t="shared" si="177"/>
        <v/>
      </c>
      <c r="H1033" t="str">
        <f t="shared" si="178"/>
        <v/>
      </c>
      <c r="I1033" t="str">
        <f t="shared" si="179"/>
        <v/>
      </c>
      <c r="J1033" t="str">
        <f t="shared" si="180"/>
        <v/>
      </c>
      <c r="K1033" t="str">
        <f t="shared" si="181"/>
        <v/>
      </c>
      <c r="L1033" t="str">
        <f t="shared" si="182"/>
        <v/>
      </c>
      <c r="M1033" t="str">
        <f t="shared" si="183"/>
        <v/>
      </c>
      <c r="N1033" t="str">
        <f t="shared" si="184"/>
        <v/>
      </c>
      <c r="O1033" t="str">
        <f t="shared" si="185"/>
        <v/>
      </c>
      <c r="P1033" t="str">
        <f>IF($A1033="","",IF($E1033=1,$F1033*$O1033,PNL!G1033))</f>
        <v/>
      </c>
      <c r="T1033" t="str">
        <f t="shared" si="186"/>
        <v/>
      </c>
    </row>
    <row r="1034" spans="1:20" x14ac:dyDescent="0.45">
      <c r="A1034" t="str">
        <f>IF(PNL!A1034="","",PNL!A1034)</f>
        <v/>
      </c>
      <c r="B1034" t="str">
        <f>IF(PNL!B1034="","",PNL!B1034)</f>
        <v/>
      </c>
      <c r="C1034" t="str">
        <f>IF(PNL!C1034="","",PNL!C1034)</f>
        <v/>
      </c>
      <c r="D1034" t="str">
        <f>IF(PNL!D1034="","",PNL!D1034)</f>
        <v/>
      </c>
      <c r="E1034" t="str">
        <f t="shared" si="176"/>
        <v/>
      </c>
      <c r="F1034" t="str">
        <f>IF($A1034="","",IF($E1034=1,SUMIFS(Compta!$F$1:$F$675,Compta!$A$1:$A$675,$A1034,Compta!$B$1:$B$675,$B1034,Compta!$C$1:$C$675,"2026"),0))</f>
        <v/>
      </c>
      <c r="G1034" t="str">
        <f t="shared" si="177"/>
        <v/>
      </c>
      <c r="H1034" t="str">
        <f t="shared" si="178"/>
        <v/>
      </c>
      <c r="I1034" t="str">
        <f t="shared" si="179"/>
        <v/>
      </c>
      <c r="J1034" t="str">
        <f t="shared" si="180"/>
        <v/>
      </c>
      <c r="K1034" t="str">
        <f t="shared" si="181"/>
        <v/>
      </c>
      <c r="L1034" t="str">
        <f t="shared" si="182"/>
        <v/>
      </c>
      <c r="M1034" t="str">
        <f t="shared" si="183"/>
        <v/>
      </c>
      <c r="N1034" t="str">
        <f t="shared" si="184"/>
        <v/>
      </c>
      <c r="O1034" t="str">
        <f t="shared" si="185"/>
        <v/>
      </c>
      <c r="P1034" t="str">
        <f>IF($A1034="","",IF($E1034=1,$F1034*$O1034,PNL!G1034))</f>
        <v/>
      </c>
      <c r="T1034" t="str">
        <f t="shared" si="186"/>
        <v/>
      </c>
    </row>
    <row r="1035" spans="1:20" x14ac:dyDescent="0.45">
      <c r="A1035" t="str">
        <f>IF(PNL!A1035="","",PNL!A1035)</f>
        <v/>
      </c>
      <c r="B1035" t="str">
        <f>IF(PNL!B1035="","",PNL!B1035)</f>
        <v/>
      </c>
      <c r="C1035" t="str">
        <f>IF(PNL!C1035="","",PNL!C1035)</f>
        <v/>
      </c>
      <c r="D1035" t="str">
        <f>IF(PNL!D1035="","",PNL!D1035)</f>
        <v/>
      </c>
      <c r="E1035" t="str">
        <f t="shared" si="176"/>
        <v/>
      </c>
      <c r="F1035" t="str">
        <f>IF($A1035="","",IF($E1035=1,SUMIFS(Compta!$F$1:$F$675,Compta!$A$1:$A$675,$A1035,Compta!$B$1:$B$675,$B1035,Compta!$C$1:$C$675,"2026"),0))</f>
        <v/>
      </c>
      <c r="G1035" t="str">
        <f t="shared" si="177"/>
        <v/>
      </c>
      <c r="H1035" t="str">
        <f t="shared" si="178"/>
        <v/>
      </c>
      <c r="I1035" t="str">
        <f t="shared" si="179"/>
        <v/>
      </c>
      <c r="J1035" t="str">
        <f t="shared" si="180"/>
        <v/>
      </c>
      <c r="K1035" t="str">
        <f t="shared" si="181"/>
        <v/>
      </c>
      <c r="L1035" t="str">
        <f t="shared" si="182"/>
        <v/>
      </c>
      <c r="M1035" t="str">
        <f t="shared" si="183"/>
        <v/>
      </c>
      <c r="N1035" t="str">
        <f t="shared" si="184"/>
        <v/>
      </c>
      <c r="O1035" t="str">
        <f t="shared" si="185"/>
        <v/>
      </c>
      <c r="P1035" t="str">
        <f>IF($A1035="","",IF($E1035=1,$F1035*$O1035,PNL!G1035))</f>
        <v/>
      </c>
      <c r="T1035" t="str">
        <f t="shared" si="186"/>
        <v/>
      </c>
    </row>
    <row r="1036" spans="1:20" x14ac:dyDescent="0.45">
      <c r="A1036" t="str">
        <f>IF(PNL!A1036="","",PNL!A1036)</f>
        <v/>
      </c>
      <c r="B1036" t="str">
        <f>IF(PNL!B1036="","",PNL!B1036)</f>
        <v/>
      </c>
      <c r="C1036" t="str">
        <f>IF(PNL!C1036="","",PNL!C1036)</f>
        <v/>
      </c>
      <c r="D1036" t="str">
        <f>IF(PNL!D1036="","",PNL!D1036)</f>
        <v/>
      </c>
      <c r="E1036" t="str">
        <f t="shared" si="176"/>
        <v/>
      </c>
      <c r="F1036" t="str">
        <f>IF($A1036="","",IF($E1036=1,SUMIFS(Compta!$F$1:$F$675,Compta!$A$1:$A$675,$A1036,Compta!$B$1:$B$675,$B1036,Compta!$C$1:$C$675,"2026"),0))</f>
        <v/>
      </c>
      <c r="G1036" t="str">
        <f t="shared" si="177"/>
        <v/>
      </c>
      <c r="H1036" t="str">
        <f t="shared" si="178"/>
        <v/>
      </c>
      <c r="I1036" t="str">
        <f t="shared" si="179"/>
        <v/>
      </c>
      <c r="J1036" t="str">
        <f t="shared" si="180"/>
        <v/>
      </c>
      <c r="K1036" t="str">
        <f t="shared" si="181"/>
        <v/>
      </c>
      <c r="L1036" t="str">
        <f t="shared" si="182"/>
        <v/>
      </c>
      <c r="M1036" t="str">
        <f t="shared" si="183"/>
        <v/>
      </c>
      <c r="N1036" t="str">
        <f t="shared" si="184"/>
        <v/>
      </c>
      <c r="O1036" t="str">
        <f t="shared" si="185"/>
        <v/>
      </c>
      <c r="P1036" t="str">
        <f>IF($A1036="","",IF($E1036=1,$F1036*$O1036,PNL!G1036))</f>
        <v/>
      </c>
      <c r="T1036" t="str">
        <f t="shared" si="186"/>
        <v/>
      </c>
    </row>
    <row r="1037" spans="1:20" x14ac:dyDescent="0.45">
      <c r="A1037" t="str">
        <f>IF(PNL!A1037="","",PNL!A1037)</f>
        <v/>
      </c>
      <c r="B1037" t="str">
        <f>IF(PNL!B1037="","",PNL!B1037)</f>
        <v/>
      </c>
      <c r="C1037" t="str">
        <f>IF(PNL!C1037="","",PNL!C1037)</f>
        <v/>
      </c>
      <c r="D1037" t="str">
        <f>IF(PNL!D1037="","",PNL!D1037)</f>
        <v/>
      </c>
      <c r="E1037" t="str">
        <f t="shared" si="176"/>
        <v/>
      </c>
      <c r="F1037" t="str">
        <f>IF($A1037="","",IF($E1037=1,SUMIFS(Compta!$F$1:$F$675,Compta!$A$1:$A$675,$A1037,Compta!$B$1:$B$675,$B1037,Compta!$C$1:$C$675,"2026"),0))</f>
        <v/>
      </c>
      <c r="G1037" t="str">
        <f t="shared" si="177"/>
        <v/>
      </c>
      <c r="H1037" t="str">
        <f t="shared" si="178"/>
        <v/>
      </c>
      <c r="I1037" t="str">
        <f t="shared" si="179"/>
        <v/>
      </c>
      <c r="J1037" t="str">
        <f t="shared" si="180"/>
        <v/>
      </c>
      <c r="K1037" t="str">
        <f t="shared" si="181"/>
        <v/>
      </c>
      <c r="L1037" t="str">
        <f t="shared" si="182"/>
        <v/>
      </c>
      <c r="M1037" t="str">
        <f t="shared" si="183"/>
        <v/>
      </c>
      <c r="N1037" t="str">
        <f t="shared" si="184"/>
        <v/>
      </c>
      <c r="O1037" t="str">
        <f t="shared" si="185"/>
        <v/>
      </c>
      <c r="P1037" t="str">
        <f>IF($A1037="","",IF($E1037=1,$F1037*$O1037,PNL!G1037))</f>
        <v/>
      </c>
      <c r="T1037" t="str">
        <f t="shared" si="186"/>
        <v/>
      </c>
    </row>
    <row r="1038" spans="1:20" x14ac:dyDescent="0.45">
      <c r="A1038" t="str">
        <f>IF(PNL!A1038="","",PNL!A1038)</f>
        <v/>
      </c>
      <c r="B1038" t="str">
        <f>IF(PNL!B1038="","",PNL!B1038)</f>
        <v/>
      </c>
      <c r="C1038" t="str">
        <f>IF(PNL!C1038="","",PNL!C1038)</f>
        <v/>
      </c>
      <c r="D1038" t="str">
        <f>IF(PNL!D1038="","",PNL!D1038)</f>
        <v/>
      </c>
      <c r="E1038" t="str">
        <f t="shared" si="176"/>
        <v/>
      </c>
      <c r="F1038" t="str">
        <f>IF($A1038="","",IF($E1038=1,SUMIFS(Compta!$F$1:$F$675,Compta!$A$1:$A$675,$A1038,Compta!$B$1:$B$675,$B1038,Compta!$C$1:$C$675,"2026"),0))</f>
        <v/>
      </c>
      <c r="G1038" t="str">
        <f t="shared" si="177"/>
        <v/>
      </c>
      <c r="H1038" t="str">
        <f t="shared" si="178"/>
        <v/>
      </c>
      <c r="I1038" t="str">
        <f t="shared" si="179"/>
        <v/>
      </c>
      <c r="J1038" t="str">
        <f t="shared" si="180"/>
        <v/>
      </c>
      <c r="K1038" t="str">
        <f t="shared" si="181"/>
        <v/>
      </c>
      <c r="L1038" t="str">
        <f t="shared" si="182"/>
        <v/>
      </c>
      <c r="M1038" t="str">
        <f t="shared" si="183"/>
        <v/>
      </c>
      <c r="N1038" t="str">
        <f t="shared" si="184"/>
        <v/>
      </c>
      <c r="O1038" t="str">
        <f t="shared" si="185"/>
        <v/>
      </c>
      <c r="P1038" t="str">
        <f>IF($A1038="","",IF($E1038=1,$F1038*$O1038,PNL!G1038))</f>
        <v/>
      </c>
      <c r="T1038" t="str">
        <f t="shared" si="186"/>
        <v/>
      </c>
    </row>
    <row r="1039" spans="1:20" x14ac:dyDescent="0.45">
      <c r="A1039" t="str">
        <f>IF(PNL!A1039="","",PNL!A1039)</f>
        <v/>
      </c>
      <c r="B1039" t="str">
        <f>IF(PNL!B1039="","",PNL!B1039)</f>
        <v/>
      </c>
      <c r="C1039" t="str">
        <f>IF(PNL!C1039="","",PNL!C1039)</f>
        <v/>
      </c>
      <c r="D1039" t="str">
        <f>IF(PNL!D1039="","",PNL!D1039)</f>
        <v/>
      </c>
      <c r="E1039" t="str">
        <f t="shared" si="176"/>
        <v/>
      </c>
      <c r="F1039" t="str">
        <f>IF($A1039="","",IF($E1039=1,SUMIFS(Compta!$F$1:$F$675,Compta!$A$1:$A$675,$A1039,Compta!$B$1:$B$675,$B1039,Compta!$C$1:$C$675,"2026"),0))</f>
        <v/>
      </c>
      <c r="G1039" t="str">
        <f t="shared" si="177"/>
        <v/>
      </c>
      <c r="H1039" t="str">
        <f t="shared" si="178"/>
        <v/>
      </c>
      <c r="I1039" t="str">
        <f t="shared" si="179"/>
        <v/>
      </c>
      <c r="J1039" t="str">
        <f t="shared" si="180"/>
        <v/>
      </c>
      <c r="K1039" t="str">
        <f t="shared" si="181"/>
        <v/>
      </c>
      <c r="L1039" t="str">
        <f t="shared" si="182"/>
        <v/>
      </c>
      <c r="M1039" t="str">
        <f t="shared" si="183"/>
        <v/>
      </c>
      <c r="N1039" t="str">
        <f t="shared" si="184"/>
        <v/>
      </c>
      <c r="O1039" t="str">
        <f t="shared" si="185"/>
        <v/>
      </c>
      <c r="P1039" t="str">
        <f>IF($A1039="","",IF($E1039=1,$F1039*$O1039,PNL!G1039))</f>
        <v/>
      </c>
      <c r="T1039" t="str">
        <f t="shared" si="186"/>
        <v/>
      </c>
    </row>
    <row r="1040" spans="1:20" x14ac:dyDescent="0.45">
      <c r="A1040" t="str">
        <f>IF(PNL!A1040="","",PNL!A1040)</f>
        <v/>
      </c>
      <c r="B1040" t="str">
        <f>IF(PNL!B1040="","",PNL!B1040)</f>
        <v/>
      </c>
      <c r="C1040" t="str">
        <f>IF(PNL!C1040="","",PNL!C1040)</f>
        <v/>
      </c>
      <c r="D1040" t="str">
        <f>IF(PNL!D1040="","",PNL!D1040)</f>
        <v/>
      </c>
      <c r="E1040" t="str">
        <f t="shared" si="176"/>
        <v/>
      </c>
      <c r="F1040" t="str">
        <f>IF($A1040="","",IF($E1040=1,SUMIFS(Compta!$F$1:$F$675,Compta!$A$1:$A$675,$A1040,Compta!$B$1:$B$675,$B1040,Compta!$C$1:$C$675,"2026"),0))</f>
        <v/>
      </c>
      <c r="G1040" t="str">
        <f t="shared" si="177"/>
        <v/>
      </c>
      <c r="H1040" t="str">
        <f t="shared" si="178"/>
        <v/>
      </c>
      <c r="I1040" t="str">
        <f t="shared" si="179"/>
        <v/>
      </c>
      <c r="J1040" t="str">
        <f t="shared" si="180"/>
        <v/>
      </c>
      <c r="K1040" t="str">
        <f t="shared" si="181"/>
        <v/>
      </c>
      <c r="L1040" t="str">
        <f t="shared" si="182"/>
        <v/>
      </c>
      <c r="M1040" t="str">
        <f t="shared" si="183"/>
        <v/>
      </c>
      <c r="N1040" t="str">
        <f t="shared" si="184"/>
        <v/>
      </c>
      <c r="O1040" t="str">
        <f t="shared" si="185"/>
        <v/>
      </c>
      <c r="P1040" t="str">
        <f>IF($A1040="","",IF($E1040=1,$F1040*$O1040,PNL!G1040))</f>
        <v/>
      </c>
      <c r="T1040" t="str">
        <f t="shared" si="186"/>
        <v/>
      </c>
    </row>
    <row r="1041" spans="1:20" x14ac:dyDescent="0.45">
      <c r="A1041" t="str">
        <f>IF(PNL!A1041="","",PNL!A1041)</f>
        <v/>
      </c>
      <c r="B1041" t="str">
        <f>IF(PNL!B1041="","",PNL!B1041)</f>
        <v/>
      </c>
      <c r="C1041" t="str">
        <f>IF(PNL!C1041="","",PNL!C1041)</f>
        <v/>
      </c>
      <c r="D1041" t="str">
        <f>IF(PNL!D1041="","",PNL!D1041)</f>
        <v/>
      </c>
      <c r="E1041" t="str">
        <f t="shared" si="176"/>
        <v/>
      </c>
      <c r="F1041" t="str">
        <f>IF($A1041="","",IF($E1041=1,SUMIFS(Compta!$F$1:$F$675,Compta!$A$1:$A$675,$A1041,Compta!$B$1:$B$675,$B1041,Compta!$C$1:$C$675,"2026"),0))</f>
        <v/>
      </c>
      <c r="G1041" t="str">
        <f t="shared" si="177"/>
        <v/>
      </c>
      <c r="H1041" t="str">
        <f t="shared" si="178"/>
        <v/>
      </c>
      <c r="I1041" t="str">
        <f t="shared" si="179"/>
        <v/>
      </c>
      <c r="J1041" t="str">
        <f t="shared" si="180"/>
        <v/>
      </c>
      <c r="K1041" t="str">
        <f t="shared" si="181"/>
        <v/>
      </c>
      <c r="L1041" t="str">
        <f t="shared" si="182"/>
        <v/>
      </c>
      <c r="M1041" t="str">
        <f t="shared" si="183"/>
        <v/>
      </c>
      <c r="N1041" t="str">
        <f t="shared" si="184"/>
        <v/>
      </c>
      <c r="O1041" t="str">
        <f t="shared" si="185"/>
        <v/>
      </c>
      <c r="P1041" t="str">
        <f>IF($A1041="","",IF($E1041=1,$F1041*$O1041,PNL!G1041))</f>
        <v/>
      </c>
      <c r="T1041" t="str">
        <f t="shared" si="186"/>
        <v/>
      </c>
    </row>
    <row r="1042" spans="1:20" x14ac:dyDescent="0.45">
      <c r="A1042" t="str">
        <f>IF(PNL!A1042="","",PNL!A1042)</f>
        <v/>
      </c>
      <c r="B1042" t="str">
        <f>IF(PNL!B1042="","",PNL!B1042)</f>
        <v/>
      </c>
      <c r="C1042" t="str">
        <f>IF(PNL!C1042="","",PNL!C1042)</f>
        <v/>
      </c>
      <c r="D1042" t="str">
        <f>IF(PNL!D1042="","",PNL!D1042)</f>
        <v/>
      </c>
      <c r="E1042" t="str">
        <f t="shared" si="176"/>
        <v/>
      </c>
      <c r="F1042" t="str">
        <f>IF($A1042="","",IF($E1042=1,SUMIFS(Compta!$F$1:$F$675,Compta!$A$1:$A$675,$A1042,Compta!$B$1:$B$675,$B1042,Compta!$C$1:$C$675,"2026"),0))</f>
        <v/>
      </c>
      <c r="G1042" t="str">
        <f t="shared" si="177"/>
        <v/>
      </c>
      <c r="H1042" t="str">
        <f t="shared" si="178"/>
        <v/>
      </c>
      <c r="I1042" t="str">
        <f t="shared" si="179"/>
        <v/>
      </c>
      <c r="J1042" t="str">
        <f t="shared" si="180"/>
        <v/>
      </c>
      <c r="K1042" t="str">
        <f t="shared" si="181"/>
        <v/>
      </c>
      <c r="L1042" t="str">
        <f t="shared" si="182"/>
        <v/>
      </c>
      <c r="M1042" t="str">
        <f t="shared" si="183"/>
        <v/>
      </c>
      <c r="N1042" t="str">
        <f t="shared" si="184"/>
        <v/>
      </c>
      <c r="O1042" t="str">
        <f t="shared" si="185"/>
        <v/>
      </c>
      <c r="P1042" t="str">
        <f>IF($A1042="","",IF($E1042=1,$F1042*$O1042,PNL!G1042))</f>
        <v/>
      </c>
      <c r="T1042" t="str">
        <f t="shared" si="186"/>
        <v/>
      </c>
    </row>
    <row r="1043" spans="1:20" x14ac:dyDescent="0.45">
      <c r="A1043" t="str">
        <f>IF(PNL!A1043="","",PNL!A1043)</f>
        <v/>
      </c>
      <c r="B1043" t="str">
        <f>IF(PNL!B1043="","",PNL!B1043)</f>
        <v/>
      </c>
      <c r="C1043" t="str">
        <f>IF(PNL!C1043="","",PNL!C1043)</f>
        <v/>
      </c>
      <c r="D1043" t="str">
        <f>IF(PNL!D1043="","",PNL!D1043)</f>
        <v/>
      </c>
      <c r="E1043" t="str">
        <f t="shared" si="176"/>
        <v/>
      </c>
      <c r="F1043" t="str">
        <f>IF($A1043="","",IF($E1043=1,SUMIFS(Compta!$F$1:$F$675,Compta!$A$1:$A$675,$A1043,Compta!$B$1:$B$675,$B1043,Compta!$C$1:$C$675,"2026"),0))</f>
        <v/>
      </c>
      <c r="G1043" t="str">
        <f t="shared" si="177"/>
        <v/>
      </c>
      <c r="H1043" t="str">
        <f t="shared" si="178"/>
        <v/>
      </c>
      <c r="I1043" t="str">
        <f t="shared" si="179"/>
        <v/>
      </c>
      <c r="J1043" t="str">
        <f t="shared" si="180"/>
        <v/>
      </c>
      <c r="K1043" t="str">
        <f t="shared" si="181"/>
        <v/>
      </c>
      <c r="L1043" t="str">
        <f t="shared" si="182"/>
        <v/>
      </c>
      <c r="M1043" t="str">
        <f t="shared" si="183"/>
        <v/>
      </c>
      <c r="N1043" t="str">
        <f t="shared" si="184"/>
        <v/>
      </c>
      <c r="O1043" t="str">
        <f t="shared" si="185"/>
        <v/>
      </c>
      <c r="P1043" t="str">
        <f>IF($A1043="","",IF($E1043=1,$F1043*$O1043,PNL!G1043))</f>
        <v/>
      </c>
      <c r="T1043" t="str">
        <f t="shared" si="186"/>
        <v/>
      </c>
    </row>
    <row r="1044" spans="1:20" x14ac:dyDescent="0.45">
      <c r="A1044" t="str">
        <f>IF(PNL!A1044="","",PNL!A1044)</f>
        <v/>
      </c>
      <c r="B1044" t="str">
        <f>IF(PNL!B1044="","",PNL!B1044)</f>
        <v/>
      </c>
      <c r="C1044" t="str">
        <f>IF(PNL!C1044="","",PNL!C1044)</f>
        <v/>
      </c>
      <c r="D1044" t="str">
        <f>IF(PNL!D1044="","",PNL!D1044)</f>
        <v/>
      </c>
      <c r="E1044" t="str">
        <f t="shared" si="176"/>
        <v/>
      </c>
      <c r="F1044" t="str">
        <f>IF($A1044="","",IF($E1044=1,SUMIFS(Compta!$F$1:$F$675,Compta!$A$1:$A$675,$A1044,Compta!$B$1:$B$675,$B1044,Compta!$C$1:$C$675,"2026"),0))</f>
        <v/>
      </c>
      <c r="G1044" t="str">
        <f t="shared" si="177"/>
        <v/>
      </c>
      <c r="H1044" t="str">
        <f t="shared" si="178"/>
        <v/>
      </c>
      <c r="I1044" t="str">
        <f t="shared" si="179"/>
        <v/>
      </c>
      <c r="J1044" t="str">
        <f t="shared" si="180"/>
        <v/>
      </c>
      <c r="K1044" t="str">
        <f t="shared" si="181"/>
        <v/>
      </c>
      <c r="L1044" t="str">
        <f t="shared" si="182"/>
        <v/>
      </c>
      <c r="M1044" t="str">
        <f t="shared" si="183"/>
        <v/>
      </c>
      <c r="N1044" t="str">
        <f t="shared" si="184"/>
        <v/>
      </c>
      <c r="O1044" t="str">
        <f t="shared" si="185"/>
        <v/>
      </c>
      <c r="P1044" t="str">
        <f>IF($A1044="","",IF($E1044=1,$F1044*$O1044,PNL!G1044))</f>
        <v/>
      </c>
      <c r="T1044" t="str">
        <f t="shared" si="186"/>
        <v/>
      </c>
    </row>
    <row r="1045" spans="1:20" x14ac:dyDescent="0.45">
      <c r="A1045" t="str">
        <f>IF(PNL!A1045="","",PNL!A1045)</f>
        <v/>
      </c>
      <c r="B1045" t="str">
        <f>IF(PNL!B1045="","",PNL!B1045)</f>
        <v/>
      </c>
      <c r="C1045" t="str">
        <f>IF(PNL!C1045="","",PNL!C1045)</f>
        <v/>
      </c>
      <c r="D1045" t="str">
        <f>IF(PNL!D1045="","",PNL!D1045)</f>
        <v/>
      </c>
      <c r="E1045" t="str">
        <f t="shared" si="176"/>
        <v/>
      </c>
      <c r="F1045" t="str">
        <f>IF($A1045="","",IF($E1045=1,SUMIFS(Compta!$F$1:$F$675,Compta!$A$1:$A$675,$A1045,Compta!$B$1:$B$675,$B1045,Compta!$C$1:$C$675,"2026"),0))</f>
        <v/>
      </c>
      <c r="G1045" t="str">
        <f t="shared" si="177"/>
        <v/>
      </c>
      <c r="H1045" t="str">
        <f t="shared" si="178"/>
        <v/>
      </c>
      <c r="I1045" t="str">
        <f t="shared" si="179"/>
        <v/>
      </c>
      <c r="J1045" t="str">
        <f t="shared" si="180"/>
        <v/>
      </c>
      <c r="K1045" t="str">
        <f t="shared" si="181"/>
        <v/>
      </c>
      <c r="L1045" t="str">
        <f t="shared" si="182"/>
        <v/>
      </c>
      <c r="M1045" t="str">
        <f t="shared" si="183"/>
        <v/>
      </c>
      <c r="N1045" t="str">
        <f t="shared" si="184"/>
        <v/>
      </c>
      <c r="O1045" t="str">
        <f t="shared" si="185"/>
        <v/>
      </c>
      <c r="P1045" t="str">
        <f>IF($A1045="","",IF($E1045=1,$F1045*$O1045,PNL!G1045))</f>
        <v/>
      </c>
      <c r="T1045" t="str">
        <f t="shared" si="186"/>
        <v/>
      </c>
    </row>
    <row r="1046" spans="1:20" x14ac:dyDescent="0.45">
      <c r="A1046" t="str">
        <f>IF(PNL!A1046="","",PNL!A1046)</f>
        <v/>
      </c>
      <c r="B1046" t="str">
        <f>IF(PNL!B1046="","",PNL!B1046)</f>
        <v/>
      </c>
      <c r="C1046" t="str">
        <f>IF(PNL!C1046="","",PNL!C1046)</f>
        <v/>
      </c>
      <c r="D1046" t="str">
        <f>IF(PNL!D1046="","",PNL!D1046)</f>
        <v/>
      </c>
      <c r="E1046" t="str">
        <f t="shared" si="176"/>
        <v/>
      </c>
      <c r="F1046" t="str">
        <f>IF($A1046="","",IF($E1046=1,SUMIFS(Compta!$F$1:$F$675,Compta!$A$1:$A$675,$A1046,Compta!$B$1:$B$675,$B1046,Compta!$C$1:$C$675,"2026"),0))</f>
        <v/>
      </c>
      <c r="G1046" t="str">
        <f t="shared" si="177"/>
        <v/>
      </c>
      <c r="H1046" t="str">
        <f t="shared" si="178"/>
        <v/>
      </c>
      <c r="I1046" t="str">
        <f t="shared" si="179"/>
        <v/>
      </c>
      <c r="J1046" t="str">
        <f t="shared" si="180"/>
        <v/>
      </c>
      <c r="K1046" t="str">
        <f t="shared" si="181"/>
        <v/>
      </c>
      <c r="L1046" t="str">
        <f t="shared" si="182"/>
        <v/>
      </c>
      <c r="M1046" t="str">
        <f t="shared" si="183"/>
        <v/>
      </c>
      <c r="N1046" t="str">
        <f t="shared" si="184"/>
        <v/>
      </c>
      <c r="O1046" t="str">
        <f t="shared" si="185"/>
        <v/>
      </c>
      <c r="P1046" t="str">
        <f>IF($A1046="","",IF($E1046=1,$F1046*$O1046,PNL!G1046))</f>
        <v/>
      </c>
      <c r="T1046" t="str">
        <f t="shared" si="186"/>
        <v/>
      </c>
    </row>
    <row r="1047" spans="1:20" x14ac:dyDescent="0.45">
      <c r="A1047" t="str">
        <f>IF(PNL!A1047="","",PNL!A1047)</f>
        <v/>
      </c>
      <c r="B1047" t="str">
        <f>IF(PNL!B1047="","",PNL!B1047)</f>
        <v/>
      </c>
      <c r="C1047" t="str">
        <f>IF(PNL!C1047="","",PNL!C1047)</f>
        <v/>
      </c>
      <c r="D1047" t="str">
        <f>IF(PNL!D1047="","",PNL!D1047)</f>
        <v/>
      </c>
      <c r="E1047" t="str">
        <f t="shared" si="176"/>
        <v/>
      </c>
      <c r="F1047" t="str">
        <f>IF($A1047="","",IF($E1047=1,SUMIFS(Compta!$F$1:$F$675,Compta!$A$1:$A$675,$A1047,Compta!$B$1:$B$675,$B1047,Compta!$C$1:$C$675,"2026"),0))</f>
        <v/>
      </c>
      <c r="G1047" t="str">
        <f t="shared" si="177"/>
        <v/>
      </c>
      <c r="H1047" t="str">
        <f t="shared" si="178"/>
        <v/>
      </c>
      <c r="I1047" t="str">
        <f t="shared" si="179"/>
        <v/>
      </c>
      <c r="J1047" t="str">
        <f t="shared" si="180"/>
        <v/>
      </c>
      <c r="K1047" t="str">
        <f t="shared" si="181"/>
        <v/>
      </c>
      <c r="L1047" t="str">
        <f t="shared" si="182"/>
        <v/>
      </c>
      <c r="M1047" t="str">
        <f t="shared" si="183"/>
        <v/>
      </c>
      <c r="N1047" t="str">
        <f t="shared" si="184"/>
        <v/>
      </c>
      <c r="O1047" t="str">
        <f t="shared" si="185"/>
        <v/>
      </c>
      <c r="P1047" t="str">
        <f>IF($A1047="","",IF($E1047=1,$F1047*$O1047,PNL!G1047))</f>
        <v/>
      </c>
      <c r="T1047" t="str">
        <f t="shared" si="186"/>
        <v/>
      </c>
    </row>
    <row r="1048" spans="1:20" x14ac:dyDescent="0.45">
      <c r="A1048" t="str">
        <f>IF(PNL!A1048="","",PNL!A1048)</f>
        <v/>
      </c>
      <c r="B1048" t="str">
        <f>IF(PNL!B1048="","",PNL!B1048)</f>
        <v/>
      </c>
      <c r="C1048" t="str">
        <f>IF(PNL!C1048="","",PNL!C1048)</f>
        <v/>
      </c>
      <c r="D1048" t="str">
        <f>IF(PNL!D1048="","",PNL!D1048)</f>
        <v/>
      </c>
      <c r="E1048" t="str">
        <f t="shared" si="176"/>
        <v/>
      </c>
      <c r="F1048" t="str">
        <f>IF($A1048="","",IF($E1048=1,SUMIFS(Compta!$F$1:$F$675,Compta!$A$1:$A$675,$A1048,Compta!$B$1:$B$675,$B1048,Compta!$C$1:$C$675,"2026"),0))</f>
        <v/>
      </c>
      <c r="G1048" t="str">
        <f t="shared" si="177"/>
        <v/>
      </c>
      <c r="H1048" t="str">
        <f t="shared" si="178"/>
        <v/>
      </c>
      <c r="I1048" t="str">
        <f t="shared" si="179"/>
        <v/>
      </c>
      <c r="J1048" t="str">
        <f t="shared" si="180"/>
        <v/>
      </c>
      <c r="K1048" t="str">
        <f t="shared" si="181"/>
        <v/>
      </c>
      <c r="L1048" t="str">
        <f t="shared" si="182"/>
        <v/>
      </c>
      <c r="M1048" t="str">
        <f t="shared" si="183"/>
        <v/>
      </c>
      <c r="N1048" t="str">
        <f t="shared" si="184"/>
        <v/>
      </c>
      <c r="O1048" t="str">
        <f t="shared" si="185"/>
        <v/>
      </c>
      <c r="P1048" t="str">
        <f>IF($A1048="","",IF($E1048=1,$F1048*$O1048,PNL!G1048))</f>
        <v/>
      </c>
      <c r="T1048" t="str">
        <f t="shared" si="186"/>
        <v/>
      </c>
    </row>
    <row r="1049" spans="1:20" x14ac:dyDescent="0.45">
      <c r="A1049" t="str">
        <f>IF(PNL!A1049="","",PNL!A1049)</f>
        <v/>
      </c>
      <c r="B1049" t="str">
        <f>IF(PNL!B1049="","",PNL!B1049)</f>
        <v/>
      </c>
      <c r="C1049" t="str">
        <f>IF(PNL!C1049="","",PNL!C1049)</f>
        <v/>
      </c>
      <c r="D1049" t="str">
        <f>IF(PNL!D1049="","",PNL!D1049)</f>
        <v/>
      </c>
      <c r="E1049" t="str">
        <f t="shared" si="176"/>
        <v/>
      </c>
      <c r="F1049" t="str">
        <f>IF($A1049="","",IF($E1049=1,SUMIFS(Compta!$F$1:$F$675,Compta!$A$1:$A$675,$A1049,Compta!$B$1:$B$675,$B1049,Compta!$C$1:$C$675,"2026"),0))</f>
        <v/>
      </c>
      <c r="G1049" t="str">
        <f t="shared" si="177"/>
        <v/>
      </c>
      <c r="H1049" t="str">
        <f t="shared" si="178"/>
        <v/>
      </c>
      <c r="I1049" t="str">
        <f t="shared" si="179"/>
        <v/>
      </c>
      <c r="J1049" t="str">
        <f t="shared" si="180"/>
        <v/>
      </c>
      <c r="K1049" t="str">
        <f t="shared" si="181"/>
        <v/>
      </c>
      <c r="L1049" t="str">
        <f t="shared" si="182"/>
        <v/>
      </c>
      <c r="M1049" t="str">
        <f t="shared" si="183"/>
        <v/>
      </c>
      <c r="N1049" t="str">
        <f t="shared" si="184"/>
        <v/>
      </c>
      <c r="O1049" t="str">
        <f t="shared" si="185"/>
        <v/>
      </c>
      <c r="P1049" t="str">
        <f>IF($A1049="","",IF($E1049=1,$F1049*$O1049,PNL!G1049))</f>
        <v/>
      </c>
      <c r="T1049" t="str">
        <f t="shared" si="186"/>
        <v/>
      </c>
    </row>
    <row r="1050" spans="1:20" x14ac:dyDescent="0.45">
      <c r="A1050" t="str">
        <f>IF(PNL!A1050="","",PNL!A1050)</f>
        <v/>
      </c>
      <c r="B1050" t="str">
        <f>IF(PNL!B1050="","",PNL!B1050)</f>
        <v/>
      </c>
      <c r="C1050" t="str">
        <f>IF(PNL!C1050="","",PNL!C1050)</f>
        <v/>
      </c>
      <c r="D1050" t="str">
        <f>IF(PNL!D1050="","",PNL!D1050)</f>
        <v/>
      </c>
      <c r="E1050" t="str">
        <f t="shared" si="176"/>
        <v/>
      </c>
      <c r="F1050" t="str">
        <f>IF($A1050="","",IF($E1050=1,SUMIFS(Compta!$F$1:$F$675,Compta!$A$1:$A$675,$A1050,Compta!$B$1:$B$675,$B1050,Compta!$C$1:$C$675,"2026"),0))</f>
        <v/>
      </c>
      <c r="G1050" t="str">
        <f t="shared" si="177"/>
        <v/>
      </c>
      <c r="H1050" t="str">
        <f t="shared" si="178"/>
        <v/>
      </c>
      <c r="I1050" t="str">
        <f t="shared" si="179"/>
        <v/>
      </c>
      <c r="J1050" t="str">
        <f t="shared" si="180"/>
        <v/>
      </c>
      <c r="K1050" t="str">
        <f t="shared" si="181"/>
        <v/>
      </c>
      <c r="L1050" t="str">
        <f t="shared" si="182"/>
        <v/>
      </c>
      <c r="M1050" t="str">
        <f t="shared" si="183"/>
        <v/>
      </c>
      <c r="N1050" t="str">
        <f t="shared" si="184"/>
        <v/>
      </c>
      <c r="O1050" t="str">
        <f t="shared" si="185"/>
        <v/>
      </c>
      <c r="P1050" t="str">
        <f>IF($A1050="","",IF($E1050=1,$F1050*$O1050,PNL!G1050))</f>
        <v/>
      </c>
      <c r="T1050" t="str">
        <f t="shared" si="186"/>
        <v/>
      </c>
    </row>
    <row r="1051" spans="1:20" x14ac:dyDescent="0.45">
      <c r="A1051" t="str">
        <f>IF(PNL!A1051="","",PNL!A1051)</f>
        <v/>
      </c>
      <c r="B1051" t="str">
        <f>IF(PNL!B1051="","",PNL!B1051)</f>
        <v/>
      </c>
      <c r="C1051" t="str">
        <f>IF(PNL!C1051="","",PNL!C1051)</f>
        <v/>
      </c>
      <c r="D1051" t="str">
        <f>IF(PNL!D1051="","",PNL!D1051)</f>
        <v/>
      </c>
      <c r="E1051" t="str">
        <f t="shared" si="176"/>
        <v/>
      </c>
      <c r="F1051" t="str">
        <f>IF($A1051="","",IF($E1051=1,SUMIFS(Compta!$F$1:$F$675,Compta!$A$1:$A$675,$A1051,Compta!$B$1:$B$675,$B1051,Compta!$C$1:$C$675,"2026"),0))</f>
        <v/>
      </c>
      <c r="G1051" t="str">
        <f t="shared" si="177"/>
        <v/>
      </c>
      <c r="H1051" t="str">
        <f t="shared" si="178"/>
        <v/>
      </c>
      <c r="I1051" t="str">
        <f t="shared" si="179"/>
        <v/>
      </c>
      <c r="J1051" t="str">
        <f t="shared" si="180"/>
        <v/>
      </c>
      <c r="K1051" t="str">
        <f t="shared" si="181"/>
        <v/>
      </c>
      <c r="L1051" t="str">
        <f t="shared" si="182"/>
        <v/>
      </c>
      <c r="M1051" t="str">
        <f t="shared" si="183"/>
        <v/>
      </c>
      <c r="N1051" t="str">
        <f t="shared" si="184"/>
        <v/>
      </c>
      <c r="O1051" t="str">
        <f t="shared" si="185"/>
        <v/>
      </c>
      <c r="P1051" t="str">
        <f>IF($A1051="","",IF($E1051=1,$F1051*$O1051,PNL!G1051))</f>
        <v/>
      </c>
      <c r="T1051" t="str">
        <f t="shared" si="186"/>
        <v/>
      </c>
    </row>
    <row r="1052" spans="1:20" x14ac:dyDescent="0.45">
      <c r="A1052" t="str">
        <f>IF(PNL!A1052="","",PNL!A1052)</f>
        <v/>
      </c>
      <c r="B1052" t="str">
        <f>IF(PNL!B1052="","",PNL!B1052)</f>
        <v/>
      </c>
      <c r="C1052" t="str">
        <f>IF(PNL!C1052="","",PNL!C1052)</f>
        <v/>
      </c>
      <c r="D1052" t="str">
        <f>IF(PNL!D1052="","",PNL!D1052)</f>
        <v/>
      </c>
      <c r="E1052" t="str">
        <f t="shared" si="176"/>
        <v/>
      </c>
      <c r="F1052" t="str">
        <f>IF($A1052="","",IF($E1052=1,SUMIFS(Compta!$F$1:$F$675,Compta!$A$1:$A$675,$A1052,Compta!$B$1:$B$675,$B1052,Compta!$C$1:$C$675,"2026"),0))</f>
        <v/>
      </c>
      <c r="G1052" t="str">
        <f t="shared" si="177"/>
        <v/>
      </c>
      <c r="H1052" t="str">
        <f t="shared" si="178"/>
        <v/>
      </c>
      <c r="I1052" t="str">
        <f t="shared" si="179"/>
        <v/>
      </c>
      <c r="J1052" t="str">
        <f t="shared" si="180"/>
        <v/>
      </c>
      <c r="K1052" t="str">
        <f t="shared" si="181"/>
        <v/>
      </c>
      <c r="L1052" t="str">
        <f t="shared" si="182"/>
        <v/>
      </c>
      <c r="M1052" t="str">
        <f t="shared" si="183"/>
        <v/>
      </c>
      <c r="N1052" t="str">
        <f t="shared" si="184"/>
        <v/>
      </c>
      <c r="O1052" t="str">
        <f t="shared" si="185"/>
        <v/>
      </c>
      <c r="P1052" t="str">
        <f>IF($A1052="","",IF($E1052=1,$F1052*$O1052,PNL!G1052))</f>
        <v/>
      </c>
      <c r="T1052" t="str">
        <f t="shared" si="186"/>
        <v/>
      </c>
    </row>
    <row r="1053" spans="1:20" x14ac:dyDescent="0.45">
      <c r="A1053" t="str">
        <f>IF(PNL!A1053="","",PNL!A1053)</f>
        <v/>
      </c>
      <c r="B1053" t="str">
        <f>IF(PNL!B1053="","",PNL!B1053)</f>
        <v/>
      </c>
      <c r="C1053" t="str">
        <f>IF(PNL!C1053="","",PNL!C1053)</f>
        <v/>
      </c>
      <c r="D1053" t="str">
        <f>IF(PNL!D1053="","",PNL!D1053)</f>
        <v/>
      </c>
      <c r="E1053" t="str">
        <f t="shared" si="176"/>
        <v/>
      </c>
      <c r="F1053" t="str">
        <f>IF($A1053="","",IF($E1053=1,SUMIFS(Compta!$F$1:$F$675,Compta!$A$1:$A$675,$A1053,Compta!$B$1:$B$675,$B1053,Compta!$C$1:$C$675,"2026"),0))</f>
        <v/>
      </c>
      <c r="G1053" t="str">
        <f t="shared" si="177"/>
        <v/>
      </c>
      <c r="H1053" t="str">
        <f t="shared" si="178"/>
        <v/>
      </c>
      <c r="I1053" t="str">
        <f t="shared" si="179"/>
        <v/>
      </c>
      <c r="J1053" t="str">
        <f t="shared" si="180"/>
        <v/>
      </c>
      <c r="K1053" t="str">
        <f t="shared" si="181"/>
        <v/>
      </c>
      <c r="L1053" t="str">
        <f t="shared" si="182"/>
        <v/>
      </c>
      <c r="M1053" t="str">
        <f t="shared" si="183"/>
        <v/>
      </c>
      <c r="N1053" t="str">
        <f t="shared" si="184"/>
        <v/>
      </c>
      <c r="O1053" t="str">
        <f t="shared" si="185"/>
        <v/>
      </c>
      <c r="P1053" t="str">
        <f>IF($A1053="","",IF($E1053=1,$F1053*$O1053,PNL!G1053))</f>
        <v/>
      </c>
      <c r="T1053" t="str">
        <f t="shared" si="186"/>
        <v/>
      </c>
    </row>
    <row r="1054" spans="1:20" x14ac:dyDescent="0.45">
      <c r="A1054" t="str">
        <f>IF(PNL!A1054="","",PNL!A1054)</f>
        <v/>
      </c>
      <c r="B1054" t="str">
        <f>IF(PNL!B1054="","",PNL!B1054)</f>
        <v/>
      </c>
      <c r="C1054" t="str">
        <f>IF(PNL!C1054="","",PNL!C1054)</f>
        <v/>
      </c>
      <c r="D1054" t="str">
        <f>IF(PNL!D1054="","",PNL!D1054)</f>
        <v/>
      </c>
      <c r="E1054" t="str">
        <f t="shared" si="176"/>
        <v/>
      </c>
      <c r="F1054" t="str">
        <f>IF($A1054="","",IF($E1054=1,SUMIFS(Compta!$F$1:$F$675,Compta!$A$1:$A$675,$A1054,Compta!$B$1:$B$675,$B1054,Compta!$C$1:$C$675,"2026"),0))</f>
        <v/>
      </c>
      <c r="G1054" t="str">
        <f t="shared" si="177"/>
        <v/>
      </c>
      <c r="H1054" t="str">
        <f t="shared" si="178"/>
        <v/>
      </c>
      <c r="I1054" t="str">
        <f t="shared" si="179"/>
        <v/>
      </c>
      <c r="J1054" t="str">
        <f t="shared" si="180"/>
        <v/>
      </c>
      <c r="K1054" t="str">
        <f t="shared" si="181"/>
        <v/>
      </c>
      <c r="L1054" t="str">
        <f t="shared" si="182"/>
        <v/>
      </c>
      <c r="M1054" t="str">
        <f t="shared" si="183"/>
        <v/>
      </c>
      <c r="N1054" t="str">
        <f t="shared" si="184"/>
        <v/>
      </c>
      <c r="O1054" t="str">
        <f t="shared" si="185"/>
        <v/>
      </c>
      <c r="P1054" t="str">
        <f>IF($A1054="","",IF($E1054=1,$F1054*$O1054,PNL!G1054))</f>
        <v/>
      </c>
      <c r="T1054" t="str">
        <f t="shared" si="186"/>
        <v/>
      </c>
    </row>
    <row r="1055" spans="1:20" x14ac:dyDescent="0.45">
      <c r="A1055" t="str">
        <f>IF(PNL!A1055="","",PNL!A1055)</f>
        <v/>
      </c>
      <c r="B1055" t="str">
        <f>IF(PNL!B1055="","",PNL!B1055)</f>
        <v/>
      </c>
      <c r="C1055" t="str">
        <f>IF(PNL!C1055="","",PNL!C1055)</f>
        <v/>
      </c>
      <c r="D1055" t="str">
        <f>IF(PNL!D1055="","",PNL!D1055)</f>
        <v/>
      </c>
      <c r="E1055" t="str">
        <f t="shared" si="176"/>
        <v/>
      </c>
      <c r="F1055" t="str">
        <f>IF($A1055="","",IF($E1055=1,SUMIFS(Compta!$F$1:$F$675,Compta!$A$1:$A$675,$A1055,Compta!$B$1:$B$675,$B1055,Compta!$C$1:$C$675,"2026"),0))</f>
        <v/>
      </c>
      <c r="G1055" t="str">
        <f t="shared" si="177"/>
        <v/>
      </c>
      <c r="H1055" t="str">
        <f t="shared" si="178"/>
        <v/>
      </c>
      <c r="I1055" t="str">
        <f t="shared" si="179"/>
        <v/>
      </c>
      <c r="J1055" t="str">
        <f t="shared" si="180"/>
        <v/>
      </c>
      <c r="K1055" t="str">
        <f t="shared" si="181"/>
        <v/>
      </c>
      <c r="L1055" t="str">
        <f t="shared" si="182"/>
        <v/>
      </c>
      <c r="M1055" t="str">
        <f t="shared" si="183"/>
        <v/>
      </c>
      <c r="N1055" t="str">
        <f t="shared" si="184"/>
        <v/>
      </c>
      <c r="O1055" t="str">
        <f t="shared" si="185"/>
        <v/>
      </c>
      <c r="P1055" t="str">
        <f>IF($A1055="","",IF($E1055=1,$F1055*$O1055,PNL!G1055))</f>
        <v/>
      </c>
      <c r="T1055" t="str">
        <f t="shared" si="186"/>
        <v/>
      </c>
    </row>
    <row r="1056" spans="1:20" x14ac:dyDescent="0.45">
      <c r="A1056" t="str">
        <f>IF(PNL!A1056="","",PNL!A1056)</f>
        <v/>
      </c>
      <c r="B1056" t="str">
        <f>IF(PNL!B1056="","",PNL!B1056)</f>
        <v/>
      </c>
      <c r="C1056" t="str">
        <f>IF(PNL!C1056="","",PNL!C1056)</f>
        <v/>
      </c>
      <c r="D1056" t="str">
        <f>IF(PNL!D1056="","",PNL!D1056)</f>
        <v/>
      </c>
      <c r="E1056" t="str">
        <f t="shared" si="176"/>
        <v/>
      </c>
      <c r="F1056" t="str">
        <f>IF($A1056="","",IF($E1056=1,SUMIFS(Compta!$F$1:$F$675,Compta!$A$1:$A$675,$A1056,Compta!$B$1:$B$675,$B1056,Compta!$C$1:$C$675,"2026"),0))</f>
        <v/>
      </c>
      <c r="G1056" t="str">
        <f t="shared" si="177"/>
        <v/>
      </c>
      <c r="H1056" t="str">
        <f t="shared" si="178"/>
        <v/>
      </c>
      <c r="I1056" t="str">
        <f t="shared" si="179"/>
        <v/>
      </c>
      <c r="J1056" t="str">
        <f t="shared" si="180"/>
        <v/>
      </c>
      <c r="K1056" t="str">
        <f t="shared" si="181"/>
        <v/>
      </c>
      <c r="L1056" t="str">
        <f t="shared" si="182"/>
        <v/>
      </c>
      <c r="M1056" t="str">
        <f t="shared" si="183"/>
        <v/>
      </c>
      <c r="N1056" t="str">
        <f t="shared" si="184"/>
        <v/>
      </c>
      <c r="O1056" t="str">
        <f t="shared" si="185"/>
        <v/>
      </c>
      <c r="P1056" t="str">
        <f>IF($A1056="","",IF($E1056=1,$F1056*$O1056,PNL!G1056))</f>
        <v/>
      </c>
      <c r="T1056" t="str">
        <f t="shared" si="186"/>
        <v/>
      </c>
    </row>
    <row r="1057" spans="1:20" x14ac:dyDescent="0.45">
      <c r="A1057" t="str">
        <f>IF(PNL!A1057="","",PNL!A1057)</f>
        <v/>
      </c>
      <c r="B1057" t="str">
        <f>IF(PNL!B1057="","",PNL!B1057)</f>
        <v/>
      </c>
      <c r="C1057" t="str">
        <f>IF(PNL!C1057="","",PNL!C1057)</f>
        <v/>
      </c>
      <c r="D1057" t="str">
        <f>IF(PNL!D1057="","",PNL!D1057)</f>
        <v/>
      </c>
      <c r="E1057" t="str">
        <f t="shared" si="176"/>
        <v/>
      </c>
      <c r="F1057" t="str">
        <f>IF($A1057="","",IF($E1057=1,SUMIFS(Compta!$F$1:$F$675,Compta!$A$1:$A$675,$A1057,Compta!$B$1:$B$675,$B1057,Compta!$C$1:$C$675,"2026"),0))</f>
        <v/>
      </c>
      <c r="G1057" t="str">
        <f t="shared" si="177"/>
        <v/>
      </c>
      <c r="H1057" t="str">
        <f t="shared" si="178"/>
        <v/>
      </c>
      <c r="I1057" t="str">
        <f t="shared" si="179"/>
        <v/>
      </c>
      <c r="J1057" t="str">
        <f t="shared" si="180"/>
        <v/>
      </c>
      <c r="K1057" t="str">
        <f t="shared" si="181"/>
        <v/>
      </c>
      <c r="L1057" t="str">
        <f t="shared" si="182"/>
        <v/>
      </c>
      <c r="M1057" t="str">
        <f t="shared" si="183"/>
        <v/>
      </c>
      <c r="N1057" t="str">
        <f t="shared" si="184"/>
        <v/>
      </c>
      <c r="O1057" t="str">
        <f t="shared" si="185"/>
        <v/>
      </c>
      <c r="P1057" t="str">
        <f>IF($A1057="","",IF($E1057=1,$F1057*$O1057,PNL!G1057))</f>
        <v/>
      </c>
      <c r="T1057" t="str">
        <f t="shared" si="186"/>
        <v/>
      </c>
    </row>
    <row r="1058" spans="1:20" x14ac:dyDescent="0.45">
      <c r="A1058" t="str">
        <f>IF(PNL!A1058="","",PNL!A1058)</f>
        <v/>
      </c>
      <c r="B1058" t="str">
        <f>IF(PNL!B1058="","",PNL!B1058)</f>
        <v/>
      </c>
      <c r="C1058" t="str">
        <f>IF(PNL!C1058="","",PNL!C1058)</f>
        <v/>
      </c>
      <c r="D1058" t="str">
        <f>IF(PNL!D1058="","",PNL!D1058)</f>
        <v/>
      </c>
      <c r="E1058" t="str">
        <f t="shared" si="176"/>
        <v/>
      </c>
      <c r="F1058" t="str">
        <f>IF($A1058="","",IF($E1058=1,SUMIFS(Compta!$F$1:$F$675,Compta!$A$1:$A$675,$A1058,Compta!$B$1:$B$675,$B1058,Compta!$C$1:$C$675,"2026"),0))</f>
        <v/>
      </c>
      <c r="G1058" t="str">
        <f t="shared" si="177"/>
        <v/>
      </c>
      <c r="H1058" t="str">
        <f t="shared" si="178"/>
        <v/>
      </c>
      <c r="I1058" t="str">
        <f t="shared" si="179"/>
        <v/>
      </c>
      <c r="J1058" t="str">
        <f t="shared" si="180"/>
        <v/>
      </c>
      <c r="K1058" t="str">
        <f t="shared" si="181"/>
        <v/>
      </c>
      <c r="L1058" t="str">
        <f t="shared" si="182"/>
        <v/>
      </c>
      <c r="M1058" t="str">
        <f t="shared" si="183"/>
        <v/>
      </c>
      <c r="N1058" t="str">
        <f t="shared" si="184"/>
        <v/>
      </c>
      <c r="O1058" t="str">
        <f t="shared" si="185"/>
        <v/>
      </c>
      <c r="P1058" t="str">
        <f>IF($A1058="","",IF($E1058=1,$F1058*$O1058,PNL!G1058))</f>
        <v/>
      </c>
      <c r="T1058" t="str">
        <f t="shared" si="186"/>
        <v/>
      </c>
    </row>
    <row r="1059" spans="1:20" x14ac:dyDescent="0.45">
      <c r="A1059" t="str">
        <f>IF(PNL!A1059="","",PNL!A1059)</f>
        <v/>
      </c>
      <c r="B1059" t="str">
        <f>IF(PNL!B1059="","",PNL!B1059)</f>
        <v/>
      </c>
      <c r="C1059" t="str">
        <f>IF(PNL!C1059="","",PNL!C1059)</f>
        <v/>
      </c>
      <c r="D1059" t="str">
        <f>IF(PNL!D1059="","",PNL!D1059)</f>
        <v/>
      </c>
      <c r="E1059" t="str">
        <f t="shared" si="176"/>
        <v/>
      </c>
      <c r="F1059" t="str">
        <f>IF($A1059="","",IF($E1059=1,SUMIFS(Compta!$F$1:$F$675,Compta!$A$1:$A$675,$A1059,Compta!$B$1:$B$675,$B1059,Compta!$C$1:$C$675,"2026"),0))</f>
        <v/>
      </c>
      <c r="G1059" t="str">
        <f t="shared" si="177"/>
        <v/>
      </c>
      <c r="H1059" t="str">
        <f t="shared" si="178"/>
        <v/>
      </c>
      <c r="I1059" t="str">
        <f t="shared" si="179"/>
        <v/>
      </c>
      <c r="J1059" t="str">
        <f t="shared" si="180"/>
        <v/>
      </c>
      <c r="K1059" t="str">
        <f t="shared" si="181"/>
        <v/>
      </c>
      <c r="L1059" t="str">
        <f t="shared" si="182"/>
        <v/>
      </c>
      <c r="M1059" t="str">
        <f t="shared" si="183"/>
        <v/>
      </c>
      <c r="N1059" t="str">
        <f t="shared" si="184"/>
        <v/>
      </c>
      <c r="O1059" t="str">
        <f t="shared" si="185"/>
        <v/>
      </c>
      <c r="P1059" t="str">
        <f>IF($A1059="","",IF($E1059=1,$F1059*$O1059,PNL!G1059))</f>
        <v/>
      </c>
      <c r="T1059" t="str">
        <f t="shared" si="186"/>
        <v/>
      </c>
    </row>
    <row r="1060" spans="1:20" x14ac:dyDescent="0.45">
      <c r="A1060" t="str">
        <f>IF(PNL!A1060="","",PNL!A1060)</f>
        <v/>
      </c>
      <c r="B1060" t="str">
        <f>IF(PNL!B1060="","",PNL!B1060)</f>
        <v/>
      </c>
      <c r="C1060" t="str">
        <f>IF(PNL!C1060="","",PNL!C1060)</f>
        <v/>
      </c>
      <c r="D1060" t="str">
        <f>IF(PNL!D1060="","",PNL!D1060)</f>
        <v/>
      </c>
      <c r="E1060" t="str">
        <f t="shared" si="176"/>
        <v/>
      </c>
      <c r="F1060" t="str">
        <f>IF($A1060="","",IF($E1060=1,SUMIFS(Compta!$F$1:$F$675,Compta!$A$1:$A$675,$A1060,Compta!$B$1:$B$675,$B1060,Compta!$C$1:$C$675,"2026"),0))</f>
        <v/>
      </c>
      <c r="G1060" t="str">
        <f t="shared" si="177"/>
        <v/>
      </c>
      <c r="H1060" t="str">
        <f t="shared" si="178"/>
        <v/>
      </c>
      <c r="I1060" t="str">
        <f t="shared" si="179"/>
        <v/>
      </c>
      <c r="J1060" t="str">
        <f t="shared" si="180"/>
        <v/>
      </c>
      <c r="K1060" t="str">
        <f t="shared" si="181"/>
        <v/>
      </c>
      <c r="L1060" t="str">
        <f t="shared" si="182"/>
        <v/>
      </c>
      <c r="M1060" t="str">
        <f t="shared" si="183"/>
        <v/>
      </c>
      <c r="N1060" t="str">
        <f t="shared" si="184"/>
        <v/>
      </c>
      <c r="O1060" t="str">
        <f t="shared" si="185"/>
        <v/>
      </c>
      <c r="P1060" t="str">
        <f>IF($A1060="","",IF($E1060=1,$F1060*$O1060,PNL!G1060))</f>
        <v/>
      </c>
      <c r="T1060" t="str">
        <f t="shared" si="186"/>
        <v/>
      </c>
    </row>
    <row r="1061" spans="1:20" x14ac:dyDescent="0.45">
      <c r="A1061" t="str">
        <f>IF(PNL!A1061="","",PNL!A1061)</f>
        <v/>
      </c>
      <c r="B1061" t="str">
        <f>IF(PNL!B1061="","",PNL!B1061)</f>
        <v/>
      </c>
      <c r="C1061" t="str">
        <f>IF(PNL!C1061="","",PNL!C1061)</f>
        <v/>
      </c>
      <c r="D1061" t="str">
        <f>IF(PNL!D1061="","",PNL!D1061)</f>
        <v/>
      </c>
      <c r="E1061" t="str">
        <f t="shared" si="176"/>
        <v/>
      </c>
      <c r="F1061" t="str">
        <f>IF($A1061="","",IF($E1061=1,SUMIFS(Compta!$F$1:$F$675,Compta!$A$1:$A$675,$A1061,Compta!$B$1:$B$675,$B1061,Compta!$C$1:$C$675,"2026"),0))</f>
        <v/>
      </c>
      <c r="G1061" t="str">
        <f t="shared" si="177"/>
        <v/>
      </c>
      <c r="H1061" t="str">
        <f t="shared" si="178"/>
        <v/>
      </c>
      <c r="I1061" t="str">
        <f t="shared" si="179"/>
        <v/>
      </c>
      <c r="J1061" t="str">
        <f t="shared" si="180"/>
        <v/>
      </c>
      <c r="K1061" t="str">
        <f t="shared" si="181"/>
        <v/>
      </c>
      <c r="L1061" t="str">
        <f t="shared" si="182"/>
        <v/>
      </c>
      <c r="M1061" t="str">
        <f t="shared" si="183"/>
        <v/>
      </c>
      <c r="N1061" t="str">
        <f t="shared" si="184"/>
        <v/>
      </c>
      <c r="O1061" t="str">
        <f t="shared" si="185"/>
        <v/>
      </c>
      <c r="P1061" t="str">
        <f>IF($A1061="","",IF($E1061=1,$F1061*$O1061,PNL!G1061))</f>
        <v/>
      </c>
      <c r="T1061" t="str">
        <f t="shared" si="186"/>
        <v/>
      </c>
    </row>
    <row r="1062" spans="1:20" x14ac:dyDescent="0.45">
      <c r="A1062" t="str">
        <f>IF(PNL!A1062="","",PNL!A1062)</f>
        <v/>
      </c>
      <c r="B1062" t="str">
        <f>IF(PNL!B1062="","",PNL!B1062)</f>
        <v/>
      </c>
      <c r="C1062" t="str">
        <f>IF(PNL!C1062="","",PNL!C1062)</f>
        <v/>
      </c>
      <c r="D1062" t="str">
        <f>IF(PNL!D1062="","",PNL!D1062)</f>
        <v/>
      </c>
      <c r="E1062" t="str">
        <f t="shared" si="176"/>
        <v/>
      </c>
      <c r="F1062" t="str">
        <f>IF($A1062="","",IF($E1062=1,SUMIFS(Compta!$F$1:$F$675,Compta!$A$1:$A$675,$A1062,Compta!$B$1:$B$675,$B1062,Compta!$C$1:$C$675,"2026"),0))</f>
        <v/>
      </c>
      <c r="G1062" t="str">
        <f t="shared" si="177"/>
        <v/>
      </c>
      <c r="H1062" t="str">
        <f t="shared" si="178"/>
        <v/>
      </c>
      <c r="I1062" t="str">
        <f t="shared" si="179"/>
        <v/>
      </c>
      <c r="J1062" t="str">
        <f t="shared" si="180"/>
        <v/>
      </c>
      <c r="K1062" t="str">
        <f t="shared" si="181"/>
        <v/>
      </c>
      <c r="L1062" t="str">
        <f t="shared" si="182"/>
        <v/>
      </c>
      <c r="M1062" t="str">
        <f t="shared" si="183"/>
        <v/>
      </c>
      <c r="N1062" t="str">
        <f t="shared" si="184"/>
        <v/>
      </c>
      <c r="O1062" t="str">
        <f t="shared" si="185"/>
        <v/>
      </c>
      <c r="P1062" t="str">
        <f>IF($A1062="","",IF($E1062=1,$F1062*$O1062,PNL!G1062))</f>
        <v/>
      </c>
      <c r="T1062" t="str">
        <f t="shared" si="186"/>
        <v/>
      </c>
    </row>
    <row r="1063" spans="1:20" x14ac:dyDescent="0.45">
      <c r="A1063" t="str">
        <f>IF(PNL!A1063="","",PNL!A1063)</f>
        <v/>
      </c>
      <c r="B1063" t="str">
        <f>IF(PNL!B1063="","",PNL!B1063)</f>
        <v/>
      </c>
      <c r="C1063" t="str">
        <f>IF(PNL!C1063="","",PNL!C1063)</f>
        <v/>
      </c>
      <c r="D1063" t="str">
        <f>IF(PNL!D1063="","",PNL!D1063)</f>
        <v/>
      </c>
      <c r="E1063" t="str">
        <f t="shared" si="176"/>
        <v/>
      </c>
      <c r="F1063" t="str">
        <f>IF($A1063="","",IF($E1063=1,SUMIFS(Compta!$F$1:$F$675,Compta!$A$1:$A$675,$A1063,Compta!$B$1:$B$675,$B1063,Compta!$C$1:$C$675,"2026"),0))</f>
        <v/>
      </c>
      <c r="G1063" t="str">
        <f t="shared" si="177"/>
        <v/>
      </c>
      <c r="H1063" t="str">
        <f t="shared" si="178"/>
        <v/>
      </c>
      <c r="I1063" t="str">
        <f t="shared" si="179"/>
        <v/>
      </c>
      <c r="J1063" t="str">
        <f t="shared" si="180"/>
        <v/>
      </c>
      <c r="K1063" t="str">
        <f t="shared" si="181"/>
        <v/>
      </c>
      <c r="L1063" t="str">
        <f t="shared" si="182"/>
        <v/>
      </c>
      <c r="M1063" t="str">
        <f t="shared" si="183"/>
        <v/>
      </c>
      <c r="N1063" t="str">
        <f t="shared" si="184"/>
        <v/>
      </c>
      <c r="O1063" t="str">
        <f t="shared" si="185"/>
        <v/>
      </c>
      <c r="P1063" t="str">
        <f>IF($A1063="","",IF($E1063=1,$F1063*$O1063,PNL!G1063))</f>
        <v/>
      </c>
      <c r="T1063" t="str">
        <f t="shared" si="186"/>
        <v/>
      </c>
    </row>
    <row r="1064" spans="1:20" x14ac:dyDescent="0.45">
      <c r="A1064" t="str">
        <f>IF(PNL!A1064="","",PNL!A1064)</f>
        <v/>
      </c>
      <c r="B1064" t="str">
        <f>IF(PNL!B1064="","",PNL!B1064)</f>
        <v/>
      </c>
      <c r="C1064" t="str">
        <f>IF(PNL!C1064="","",PNL!C1064)</f>
        <v/>
      </c>
      <c r="D1064" t="str">
        <f>IF(PNL!D1064="","",PNL!D1064)</f>
        <v/>
      </c>
      <c r="E1064" t="str">
        <f t="shared" si="176"/>
        <v/>
      </c>
      <c r="F1064" t="str">
        <f>IF($A1064="","",IF($E1064=1,SUMIFS(Compta!$F$1:$F$675,Compta!$A$1:$A$675,$A1064,Compta!$B$1:$B$675,$B1064,Compta!$C$1:$C$675,"2026"),0))</f>
        <v/>
      </c>
      <c r="G1064" t="str">
        <f t="shared" si="177"/>
        <v/>
      </c>
      <c r="H1064" t="str">
        <f t="shared" si="178"/>
        <v/>
      </c>
      <c r="I1064" t="str">
        <f t="shared" si="179"/>
        <v/>
      </c>
      <c r="J1064" t="str">
        <f t="shared" si="180"/>
        <v/>
      </c>
      <c r="K1064" t="str">
        <f t="shared" si="181"/>
        <v/>
      </c>
      <c r="L1064" t="str">
        <f t="shared" si="182"/>
        <v/>
      </c>
      <c r="M1064" t="str">
        <f t="shared" si="183"/>
        <v/>
      </c>
      <c r="N1064" t="str">
        <f t="shared" si="184"/>
        <v/>
      </c>
      <c r="O1064" t="str">
        <f t="shared" si="185"/>
        <v/>
      </c>
      <c r="P1064" t="str">
        <f>IF($A1064="","",IF($E1064=1,$F1064*$O1064,PNL!G1064))</f>
        <v/>
      </c>
      <c r="T1064" t="str">
        <f t="shared" si="186"/>
        <v/>
      </c>
    </row>
    <row r="1065" spans="1:20" x14ac:dyDescent="0.45">
      <c r="A1065" t="str">
        <f>IF(PNL!A1065="","",PNL!A1065)</f>
        <v/>
      </c>
      <c r="B1065" t="str">
        <f>IF(PNL!B1065="","",PNL!B1065)</f>
        <v/>
      </c>
      <c r="C1065" t="str">
        <f>IF(PNL!C1065="","",PNL!C1065)</f>
        <v/>
      </c>
      <c r="D1065" t="str">
        <f>IF(PNL!D1065="","",PNL!D1065)</f>
        <v/>
      </c>
      <c r="E1065" t="str">
        <f t="shared" si="176"/>
        <v/>
      </c>
      <c r="F1065" t="str">
        <f>IF($A1065="","",IF($E1065=1,SUMIFS(Compta!$F$1:$F$675,Compta!$A$1:$A$675,$A1065,Compta!$B$1:$B$675,$B1065,Compta!$C$1:$C$675,"2026"),0))</f>
        <v/>
      </c>
      <c r="G1065" t="str">
        <f t="shared" si="177"/>
        <v/>
      </c>
      <c r="H1065" t="str">
        <f t="shared" si="178"/>
        <v/>
      </c>
      <c r="I1065" t="str">
        <f t="shared" si="179"/>
        <v/>
      </c>
      <c r="J1065" t="str">
        <f t="shared" si="180"/>
        <v/>
      </c>
      <c r="K1065" t="str">
        <f t="shared" si="181"/>
        <v/>
      </c>
      <c r="L1065" t="str">
        <f t="shared" si="182"/>
        <v/>
      </c>
      <c r="M1065" t="str">
        <f t="shared" si="183"/>
        <v/>
      </c>
      <c r="N1065" t="str">
        <f t="shared" si="184"/>
        <v/>
      </c>
      <c r="O1065" t="str">
        <f t="shared" si="185"/>
        <v/>
      </c>
      <c r="P1065" t="str">
        <f>IF($A1065="","",IF($E1065=1,$F1065*$O1065,PNL!G1065))</f>
        <v/>
      </c>
      <c r="T1065" t="str">
        <f t="shared" si="186"/>
        <v/>
      </c>
    </row>
    <row r="1066" spans="1:20" x14ac:dyDescent="0.45">
      <c r="A1066" t="str">
        <f>IF(PNL!A1066="","",PNL!A1066)</f>
        <v/>
      </c>
      <c r="B1066" t="str">
        <f>IF(PNL!B1066="","",PNL!B1066)</f>
        <v/>
      </c>
      <c r="C1066" t="str">
        <f>IF(PNL!C1066="","",PNL!C1066)</f>
        <v/>
      </c>
      <c r="D1066" t="str">
        <f>IF(PNL!D1066="","",PNL!D1066)</f>
        <v/>
      </c>
      <c r="E1066" t="str">
        <f t="shared" si="176"/>
        <v/>
      </c>
      <c r="F1066" t="str">
        <f>IF($A1066="","",IF($E1066=1,SUMIFS(Compta!$F$1:$F$675,Compta!$A$1:$A$675,$A1066,Compta!$B$1:$B$675,$B1066,Compta!$C$1:$C$675,"2026"),0))</f>
        <v/>
      </c>
      <c r="G1066" t="str">
        <f t="shared" si="177"/>
        <v/>
      </c>
      <c r="H1066" t="str">
        <f t="shared" si="178"/>
        <v/>
      </c>
      <c r="I1066" t="str">
        <f t="shared" si="179"/>
        <v/>
      </c>
      <c r="J1066" t="str">
        <f t="shared" si="180"/>
        <v/>
      </c>
      <c r="K1066" t="str">
        <f t="shared" si="181"/>
        <v/>
      </c>
      <c r="L1066" t="str">
        <f t="shared" si="182"/>
        <v/>
      </c>
      <c r="M1066" t="str">
        <f t="shared" si="183"/>
        <v/>
      </c>
      <c r="N1066" t="str">
        <f t="shared" si="184"/>
        <v/>
      </c>
      <c r="O1066" t="str">
        <f t="shared" si="185"/>
        <v/>
      </c>
      <c r="P1066" t="str">
        <f>IF($A1066="","",IF($E1066=1,$F1066*$O1066,PNL!G1066))</f>
        <v/>
      </c>
      <c r="T1066" t="str">
        <f t="shared" si="186"/>
        <v/>
      </c>
    </row>
    <row r="1067" spans="1:20" x14ac:dyDescent="0.45">
      <c r="A1067" t="str">
        <f>IF(PNL!A1067="","",PNL!A1067)</f>
        <v/>
      </c>
      <c r="B1067" t="str">
        <f>IF(PNL!B1067="","",PNL!B1067)</f>
        <v/>
      </c>
      <c r="C1067" t="str">
        <f>IF(PNL!C1067="","",PNL!C1067)</f>
        <v/>
      </c>
      <c r="D1067" t="str">
        <f>IF(PNL!D1067="","",PNL!D1067)</f>
        <v/>
      </c>
      <c r="E1067" t="str">
        <f t="shared" si="176"/>
        <v/>
      </c>
      <c r="F1067" t="str">
        <f>IF($A1067="","",IF($E1067=1,SUMIFS(Compta!$F$1:$F$675,Compta!$A$1:$A$675,$A1067,Compta!$B$1:$B$675,$B1067,Compta!$C$1:$C$675,"2026"),0))</f>
        <v/>
      </c>
      <c r="G1067" t="str">
        <f t="shared" si="177"/>
        <v/>
      </c>
      <c r="H1067" t="str">
        <f t="shared" si="178"/>
        <v/>
      </c>
      <c r="I1067" t="str">
        <f t="shared" si="179"/>
        <v/>
      </c>
      <c r="J1067" t="str">
        <f t="shared" si="180"/>
        <v/>
      </c>
      <c r="K1067" t="str">
        <f t="shared" si="181"/>
        <v/>
      </c>
      <c r="L1067" t="str">
        <f t="shared" si="182"/>
        <v/>
      </c>
      <c r="M1067" t="str">
        <f t="shared" si="183"/>
        <v/>
      </c>
      <c r="N1067" t="str">
        <f t="shared" si="184"/>
        <v/>
      </c>
      <c r="O1067" t="str">
        <f t="shared" si="185"/>
        <v/>
      </c>
      <c r="P1067" t="str">
        <f>IF($A1067="","",IF($E1067=1,$F1067*$O1067,PNL!G1067))</f>
        <v/>
      </c>
      <c r="T1067" t="str">
        <f t="shared" si="186"/>
        <v/>
      </c>
    </row>
    <row r="1068" spans="1:20" x14ac:dyDescent="0.45">
      <c r="A1068" t="str">
        <f>IF(PNL!A1068="","",PNL!A1068)</f>
        <v/>
      </c>
      <c r="B1068" t="str">
        <f>IF(PNL!B1068="","",PNL!B1068)</f>
        <v/>
      </c>
      <c r="C1068" t="str">
        <f>IF(PNL!C1068="","",PNL!C1068)</f>
        <v/>
      </c>
      <c r="D1068" t="str">
        <f>IF(PNL!D1068="","",PNL!D1068)</f>
        <v/>
      </c>
      <c r="E1068" t="str">
        <f t="shared" si="176"/>
        <v/>
      </c>
      <c r="F1068" t="str">
        <f>IF($A1068="","",IF($E1068=1,SUMIFS(Compta!$F$1:$F$675,Compta!$A$1:$A$675,$A1068,Compta!$B$1:$B$675,$B1068,Compta!$C$1:$C$675,"2026"),0))</f>
        <v/>
      </c>
      <c r="G1068" t="str">
        <f t="shared" si="177"/>
        <v/>
      </c>
      <c r="H1068" t="str">
        <f t="shared" si="178"/>
        <v/>
      </c>
      <c r="I1068" t="str">
        <f t="shared" si="179"/>
        <v/>
      </c>
      <c r="J1068" t="str">
        <f t="shared" si="180"/>
        <v/>
      </c>
      <c r="K1068" t="str">
        <f t="shared" si="181"/>
        <v/>
      </c>
      <c r="L1068" t="str">
        <f t="shared" si="182"/>
        <v/>
      </c>
      <c r="M1068" t="str">
        <f t="shared" si="183"/>
        <v/>
      </c>
      <c r="N1068" t="str">
        <f t="shared" si="184"/>
        <v/>
      </c>
      <c r="O1068" t="str">
        <f t="shared" si="185"/>
        <v/>
      </c>
      <c r="P1068" t="str">
        <f>IF($A1068="","",IF($E1068=1,$F1068*$O1068,PNL!G1068))</f>
        <v/>
      </c>
      <c r="T1068" t="str">
        <f t="shared" si="186"/>
        <v/>
      </c>
    </row>
    <row r="1069" spans="1:20" x14ac:dyDescent="0.45">
      <c r="A1069" t="str">
        <f>IF(PNL!A1069="","",PNL!A1069)</f>
        <v/>
      </c>
      <c r="B1069" t="str">
        <f>IF(PNL!B1069="","",PNL!B1069)</f>
        <v/>
      </c>
      <c r="C1069" t="str">
        <f>IF(PNL!C1069="","",PNL!C1069)</f>
        <v/>
      </c>
      <c r="D1069" t="str">
        <f>IF(PNL!D1069="","",PNL!D1069)</f>
        <v/>
      </c>
      <c r="E1069" t="str">
        <f t="shared" si="176"/>
        <v/>
      </c>
      <c r="F1069" t="str">
        <f>IF($A1069="","",IF($E1069=1,SUMIFS(Compta!$F$1:$F$675,Compta!$A$1:$A$675,$A1069,Compta!$B$1:$B$675,$B1069,Compta!$C$1:$C$675,"2026"),0))</f>
        <v/>
      </c>
      <c r="G1069" t="str">
        <f t="shared" si="177"/>
        <v/>
      </c>
      <c r="H1069" t="str">
        <f t="shared" si="178"/>
        <v/>
      </c>
      <c r="I1069" t="str">
        <f t="shared" si="179"/>
        <v/>
      </c>
      <c r="J1069" t="str">
        <f t="shared" si="180"/>
        <v/>
      </c>
      <c r="K1069" t="str">
        <f t="shared" si="181"/>
        <v/>
      </c>
      <c r="L1069" t="str">
        <f t="shared" si="182"/>
        <v/>
      </c>
      <c r="M1069" t="str">
        <f t="shared" si="183"/>
        <v/>
      </c>
      <c r="N1069" t="str">
        <f t="shared" si="184"/>
        <v/>
      </c>
      <c r="O1069" t="str">
        <f t="shared" si="185"/>
        <v/>
      </c>
      <c r="P1069" t="str">
        <f>IF($A1069="","",IF($E1069=1,$F1069*$O1069,PNL!G1069))</f>
        <v/>
      </c>
      <c r="T1069" t="str">
        <f t="shared" si="186"/>
        <v/>
      </c>
    </row>
    <row r="1070" spans="1:20" x14ac:dyDescent="0.45">
      <c r="A1070" t="str">
        <f>IF(PNL!A1070="","",PNL!A1070)</f>
        <v/>
      </c>
      <c r="B1070" t="str">
        <f>IF(PNL!B1070="","",PNL!B1070)</f>
        <v/>
      </c>
      <c r="C1070" t="str">
        <f>IF(PNL!C1070="","",PNL!C1070)</f>
        <v/>
      </c>
      <c r="D1070" t="str">
        <f>IF(PNL!D1070="","",PNL!D1070)</f>
        <v/>
      </c>
      <c r="E1070" t="str">
        <f t="shared" si="176"/>
        <v/>
      </c>
      <c r="F1070" t="str">
        <f>IF($A1070="","",IF($E1070=1,SUMIFS(Compta!$F$1:$F$675,Compta!$A$1:$A$675,$A1070,Compta!$B$1:$B$675,$B1070,Compta!$C$1:$C$675,"2026"),0))</f>
        <v/>
      </c>
      <c r="G1070" t="str">
        <f t="shared" si="177"/>
        <v/>
      </c>
      <c r="H1070" t="str">
        <f t="shared" si="178"/>
        <v/>
      </c>
      <c r="I1070" t="str">
        <f t="shared" si="179"/>
        <v/>
      </c>
      <c r="J1070" t="str">
        <f t="shared" si="180"/>
        <v/>
      </c>
      <c r="K1070" t="str">
        <f t="shared" si="181"/>
        <v/>
      </c>
      <c r="L1070" t="str">
        <f t="shared" si="182"/>
        <v/>
      </c>
      <c r="M1070" t="str">
        <f t="shared" si="183"/>
        <v/>
      </c>
      <c r="N1070" t="str">
        <f t="shared" si="184"/>
        <v/>
      </c>
      <c r="O1070" t="str">
        <f t="shared" si="185"/>
        <v/>
      </c>
      <c r="P1070" t="str">
        <f>IF($A1070="","",IF($E1070=1,$F1070*$O1070,PNL!G1070))</f>
        <v/>
      </c>
      <c r="T1070" t="str">
        <f t="shared" si="186"/>
        <v/>
      </c>
    </row>
    <row r="1071" spans="1:20" x14ac:dyDescent="0.45">
      <c r="A1071" t="str">
        <f>IF(PNL!A1071="","",PNL!A1071)</f>
        <v/>
      </c>
      <c r="B1071" t="str">
        <f>IF(PNL!B1071="","",PNL!B1071)</f>
        <v/>
      </c>
      <c r="C1071" t="str">
        <f>IF(PNL!C1071="","",PNL!C1071)</f>
        <v/>
      </c>
      <c r="D1071" t="str">
        <f>IF(PNL!D1071="","",PNL!D1071)</f>
        <v/>
      </c>
      <c r="E1071" t="str">
        <f t="shared" si="176"/>
        <v/>
      </c>
      <c r="F1071" t="str">
        <f>IF($A1071="","",IF($E1071=1,SUMIFS(Compta!$F$1:$F$675,Compta!$A$1:$A$675,$A1071,Compta!$B$1:$B$675,$B1071,Compta!$C$1:$C$675,"2026"),0))</f>
        <v/>
      </c>
      <c r="G1071" t="str">
        <f t="shared" si="177"/>
        <v/>
      </c>
      <c r="H1071" t="str">
        <f t="shared" si="178"/>
        <v/>
      </c>
      <c r="I1071" t="str">
        <f t="shared" si="179"/>
        <v/>
      </c>
      <c r="J1071" t="str">
        <f t="shared" si="180"/>
        <v/>
      </c>
      <c r="K1071" t="str">
        <f t="shared" si="181"/>
        <v/>
      </c>
      <c r="L1071" t="str">
        <f t="shared" si="182"/>
        <v/>
      </c>
      <c r="M1071" t="str">
        <f t="shared" si="183"/>
        <v/>
      </c>
      <c r="N1071" t="str">
        <f t="shared" si="184"/>
        <v/>
      </c>
      <c r="O1071" t="str">
        <f t="shared" si="185"/>
        <v/>
      </c>
      <c r="P1071" t="str">
        <f>IF($A1071="","",IF($E1071=1,$F1071*$O1071,PNL!G1071))</f>
        <v/>
      </c>
      <c r="T1071" t="str">
        <f t="shared" si="186"/>
        <v/>
      </c>
    </row>
    <row r="1072" spans="1:20" x14ac:dyDescent="0.45">
      <c r="A1072" t="str">
        <f>IF(PNL!A1072="","",PNL!A1072)</f>
        <v/>
      </c>
      <c r="B1072" t="str">
        <f>IF(PNL!B1072="","",PNL!B1072)</f>
        <v/>
      </c>
      <c r="C1072" t="str">
        <f>IF(PNL!C1072="","",PNL!C1072)</f>
        <v/>
      </c>
      <c r="D1072" t="str">
        <f>IF(PNL!D1072="","",PNL!D1072)</f>
        <v/>
      </c>
      <c r="E1072" t="str">
        <f t="shared" si="176"/>
        <v/>
      </c>
      <c r="F1072" t="str">
        <f>IF($A1072="","",IF($E1072=1,SUMIFS(Compta!$F$1:$F$675,Compta!$A$1:$A$675,$A1072,Compta!$B$1:$B$675,$B1072,Compta!$C$1:$C$675,"2026"),0))</f>
        <v/>
      </c>
      <c r="G1072" t="str">
        <f t="shared" si="177"/>
        <v/>
      </c>
      <c r="H1072" t="str">
        <f t="shared" si="178"/>
        <v/>
      </c>
      <c r="I1072" t="str">
        <f t="shared" si="179"/>
        <v/>
      </c>
      <c r="J1072" t="str">
        <f t="shared" si="180"/>
        <v/>
      </c>
      <c r="K1072" t="str">
        <f t="shared" si="181"/>
        <v/>
      </c>
      <c r="L1072" t="str">
        <f t="shared" si="182"/>
        <v/>
      </c>
      <c r="M1072" t="str">
        <f t="shared" si="183"/>
        <v/>
      </c>
      <c r="N1072" t="str">
        <f t="shared" si="184"/>
        <v/>
      </c>
      <c r="O1072" t="str">
        <f t="shared" si="185"/>
        <v/>
      </c>
      <c r="P1072" t="str">
        <f>IF($A1072="","",IF($E1072=1,$F1072*$O1072,PNL!G1072))</f>
        <v/>
      </c>
      <c r="T1072" t="str">
        <f t="shared" si="186"/>
        <v/>
      </c>
    </row>
    <row r="1073" spans="1:20" x14ac:dyDescent="0.45">
      <c r="A1073" t="str">
        <f>IF(PNL!A1073="","",PNL!A1073)</f>
        <v/>
      </c>
      <c r="B1073" t="str">
        <f>IF(PNL!B1073="","",PNL!B1073)</f>
        <v/>
      </c>
      <c r="C1073" t="str">
        <f>IF(PNL!C1073="","",PNL!C1073)</f>
        <v/>
      </c>
      <c r="D1073" t="str">
        <f>IF(PNL!D1073="","",PNL!D1073)</f>
        <v/>
      </c>
      <c r="E1073" t="str">
        <f t="shared" si="176"/>
        <v/>
      </c>
      <c r="F1073" t="str">
        <f>IF($A1073="","",IF($E1073=1,SUMIFS(Compta!$F$1:$F$675,Compta!$A$1:$A$675,$A1073,Compta!$B$1:$B$675,$B1073,Compta!$C$1:$C$675,"2026"),0))</f>
        <v/>
      </c>
      <c r="G1073" t="str">
        <f t="shared" si="177"/>
        <v/>
      </c>
      <c r="H1073" t="str">
        <f t="shared" si="178"/>
        <v/>
      </c>
      <c r="I1073" t="str">
        <f t="shared" si="179"/>
        <v/>
      </c>
      <c r="J1073" t="str">
        <f t="shared" si="180"/>
        <v/>
      </c>
      <c r="K1073" t="str">
        <f t="shared" si="181"/>
        <v/>
      </c>
      <c r="L1073" t="str">
        <f t="shared" si="182"/>
        <v/>
      </c>
      <c r="M1073" t="str">
        <f t="shared" si="183"/>
        <v/>
      </c>
      <c r="N1073" t="str">
        <f t="shared" si="184"/>
        <v/>
      </c>
      <c r="O1073" t="str">
        <f t="shared" si="185"/>
        <v/>
      </c>
      <c r="P1073" t="str">
        <f>IF($A1073="","",IF($E1073=1,$F1073*$O1073,PNL!G1073))</f>
        <v/>
      </c>
      <c r="T1073" t="str">
        <f t="shared" si="186"/>
        <v/>
      </c>
    </row>
    <row r="1074" spans="1:20" x14ac:dyDescent="0.45">
      <c r="A1074" t="str">
        <f>IF(PNL!A1074="","",PNL!A1074)</f>
        <v/>
      </c>
      <c r="B1074" t="str">
        <f>IF(PNL!B1074="","",PNL!B1074)</f>
        <v/>
      </c>
      <c r="C1074" t="str">
        <f>IF(PNL!C1074="","",PNL!C1074)</f>
        <v/>
      </c>
      <c r="D1074" t="str">
        <f>IF(PNL!D1074="","",PNL!D1074)</f>
        <v/>
      </c>
      <c r="E1074" t="str">
        <f t="shared" si="176"/>
        <v/>
      </c>
      <c r="F1074" t="str">
        <f>IF($A1074="","",IF($E1074=1,SUMIFS(Compta!$F$1:$F$675,Compta!$A$1:$A$675,$A1074,Compta!$B$1:$B$675,$B1074,Compta!$C$1:$C$675,"2026"),0))</f>
        <v/>
      </c>
      <c r="G1074" t="str">
        <f t="shared" si="177"/>
        <v/>
      </c>
      <c r="H1074" t="str">
        <f t="shared" si="178"/>
        <v/>
      </c>
      <c r="I1074" t="str">
        <f t="shared" si="179"/>
        <v/>
      </c>
      <c r="J1074" t="str">
        <f t="shared" si="180"/>
        <v/>
      </c>
      <c r="K1074" t="str">
        <f t="shared" si="181"/>
        <v/>
      </c>
      <c r="L1074" t="str">
        <f t="shared" si="182"/>
        <v/>
      </c>
      <c r="M1074" t="str">
        <f t="shared" si="183"/>
        <v/>
      </c>
      <c r="N1074" t="str">
        <f t="shared" si="184"/>
        <v/>
      </c>
      <c r="O1074" t="str">
        <f t="shared" si="185"/>
        <v/>
      </c>
      <c r="P1074" t="str">
        <f>IF($A1074="","",IF($E1074=1,$F1074*$O1074,PNL!G1074))</f>
        <v/>
      </c>
      <c r="T1074" t="str">
        <f t="shared" si="186"/>
        <v/>
      </c>
    </row>
    <row r="1075" spans="1:20" x14ac:dyDescent="0.45">
      <c r="A1075" t="str">
        <f>IF(PNL!A1075="","",PNL!A1075)</f>
        <v/>
      </c>
      <c r="B1075" t="str">
        <f>IF(PNL!B1075="","",PNL!B1075)</f>
        <v/>
      </c>
      <c r="C1075" t="str">
        <f>IF(PNL!C1075="","",PNL!C1075)</f>
        <v/>
      </c>
      <c r="D1075" t="str">
        <f>IF(PNL!D1075="","",PNL!D1075)</f>
        <v/>
      </c>
      <c r="E1075" t="str">
        <f t="shared" si="176"/>
        <v/>
      </c>
      <c r="F1075" t="str">
        <f>IF($A1075="","",IF($E1075=1,SUMIFS(Compta!$F$1:$F$675,Compta!$A$1:$A$675,$A1075,Compta!$B$1:$B$675,$B1075,Compta!$C$1:$C$675,"2026"),0))</f>
        <v/>
      </c>
      <c r="G1075" t="str">
        <f t="shared" si="177"/>
        <v/>
      </c>
      <c r="H1075" t="str">
        <f t="shared" si="178"/>
        <v/>
      </c>
      <c r="I1075" t="str">
        <f t="shared" si="179"/>
        <v/>
      </c>
      <c r="J1075" t="str">
        <f t="shared" si="180"/>
        <v/>
      </c>
      <c r="K1075" t="str">
        <f t="shared" si="181"/>
        <v/>
      </c>
      <c r="L1075" t="str">
        <f t="shared" si="182"/>
        <v/>
      </c>
      <c r="M1075" t="str">
        <f t="shared" si="183"/>
        <v/>
      </c>
      <c r="N1075" t="str">
        <f t="shared" si="184"/>
        <v/>
      </c>
      <c r="O1075" t="str">
        <f t="shared" si="185"/>
        <v/>
      </c>
      <c r="P1075" t="str">
        <f>IF($A1075="","",IF($E1075=1,$F1075*$O1075,PNL!G1075))</f>
        <v/>
      </c>
      <c r="T1075" t="str">
        <f t="shared" si="186"/>
        <v/>
      </c>
    </row>
    <row r="1076" spans="1:20" x14ac:dyDescent="0.45">
      <c r="A1076" t="str">
        <f>IF(PNL!A1076="","",PNL!A1076)</f>
        <v/>
      </c>
      <c r="B1076" t="str">
        <f>IF(PNL!B1076="","",PNL!B1076)</f>
        <v/>
      </c>
      <c r="C1076" t="str">
        <f>IF(PNL!C1076="","",PNL!C1076)</f>
        <v/>
      </c>
      <c r="D1076" t="str">
        <f>IF(PNL!D1076="","",PNL!D1076)</f>
        <v/>
      </c>
      <c r="E1076" t="str">
        <f t="shared" si="176"/>
        <v/>
      </c>
      <c r="F1076" t="str">
        <f>IF($A1076="","",IF($E1076=1,SUMIFS(Compta!$F$1:$F$675,Compta!$A$1:$A$675,$A1076,Compta!$B$1:$B$675,$B1076,Compta!$C$1:$C$675,"2026"),0))</f>
        <v/>
      </c>
      <c r="G1076" t="str">
        <f t="shared" si="177"/>
        <v/>
      </c>
      <c r="H1076" t="str">
        <f t="shared" si="178"/>
        <v/>
      </c>
      <c r="I1076" t="str">
        <f t="shared" si="179"/>
        <v/>
      </c>
      <c r="J1076" t="str">
        <f t="shared" si="180"/>
        <v/>
      </c>
      <c r="K1076" t="str">
        <f t="shared" si="181"/>
        <v/>
      </c>
      <c r="L1076" t="str">
        <f t="shared" si="182"/>
        <v/>
      </c>
      <c r="M1076" t="str">
        <f t="shared" si="183"/>
        <v/>
      </c>
      <c r="N1076" t="str">
        <f t="shared" si="184"/>
        <v/>
      </c>
      <c r="O1076" t="str">
        <f t="shared" si="185"/>
        <v/>
      </c>
      <c r="P1076" t="str">
        <f>IF($A1076="","",IF($E1076=1,$F1076*$O1076,PNL!G1076))</f>
        <v/>
      </c>
      <c r="T1076" t="str">
        <f t="shared" si="186"/>
        <v/>
      </c>
    </row>
    <row r="1077" spans="1:20" x14ac:dyDescent="0.45">
      <c r="A1077" t="str">
        <f>IF(PNL!A1077="","",PNL!A1077)</f>
        <v/>
      </c>
      <c r="B1077" t="str">
        <f>IF(PNL!B1077="","",PNL!B1077)</f>
        <v/>
      </c>
      <c r="C1077" t="str">
        <f>IF(PNL!C1077="","",PNL!C1077)</f>
        <v/>
      </c>
      <c r="D1077" t="str">
        <f>IF(PNL!D1077="","",PNL!D1077)</f>
        <v/>
      </c>
      <c r="E1077" t="str">
        <f t="shared" si="176"/>
        <v/>
      </c>
      <c r="F1077" t="str">
        <f>IF($A1077="","",IF($E1077=1,SUMIFS(Compta!$F$1:$F$675,Compta!$A$1:$A$675,$A1077,Compta!$B$1:$B$675,$B1077,Compta!$C$1:$C$675,"2026"),0))</f>
        <v/>
      </c>
      <c r="G1077" t="str">
        <f t="shared" si="177"/>
        <v/>
      </c>
      <c r="H1077" t="str">
        <f t="shared" si="178"/>
        <v/>
      </c>
      <c r="I1077" t="str">
        <f t="shared" si="179"/>
        <v/>
      </c>
      <c r="J1077" t="str">
        <f t="shared" si="180"/>
        <v/>
      </c>
      <c r="K1077" t="str">
        <f t="shared" si="181"/>
        <v/>
      </c>
      <c r="L1077" t="str">
        <f t="shared" si="182"/>
        <v/>
      </c>
      <c r="M1077" t="str">
        <f t="shared" si="183"/>
        <v/>
      </c>
      <c r="N1077" t="str">
        <f t="shared" si="184"/>
        <v/>
      </c>
      <c r="O1077" t="str">
        <f t="shared" si="185"/>
        <v/>
      </c>
      <c r="P1077" t="str">
        <f>IF($A1077="","",IF($E1077=1,$F1077*$O1077,PNL!G1077))</f>
        <v/>
      </c>
      <c r="T1077" t="str">
        <f t="shared" si="186"/>
        <v/>
      </c>
    </row>
    <row r="1078" spans="1:20" x14ac:dyDescent="0.45">
      <c r="A1078" t="str">
        <f>IF(PNL!A1078="","",PNL!A1078)</f>
        <v/>
      </c>
      <c r="B1078" t="str">
        <f>IF(PNL!B1078="","",PNL!B1078)</f>
        <v/>
      </c>
      <c r="C1078" t="str">
        <f>IF(PNL!C1078="","",PNL!C1078)</f>
        <v/>
      </c>
      <c r="D1078" t="str">
        <f>IF(PNL!D1078="","",PNL!D1078)</f>
        <v/>
      </c>
      <c r="E1078" t="str">
        <f t="shared" si="176"/>
        <v/>
      </c>
      <c r="F1078" t="str">
        <f>IF($A1078="","",IF($E1078=1,SUMIFS(Compta!$F$1:$F$675,Compta!$A$1:$A$675,$A1078,Compta!$B$1:$B$675,$B1078,Compta!$C$1:$C$675,"2026"),0))</f>
        <v/>
      </c>
      <c r="G1078" t="str">
        <f t="shared" si="177"/>
        <v/>
      </c>
      <c r="H1078" t="str">
        <f t="shared" si="178"/>
        <v/>
      </c>
      <c r="I1078" t="str">
        <f t="shared" si="179"/>
        <v/>
      </c>
      <c r="J1078" t="str">
        <f t="shared" si="180"/>
        <v/>
      </c>
      <c r="K1078" t="str">
        <f t="shared" si="181"/>
        <v/>
      </c>
      <c r="L1078" t="str">
        <f t="shared" si="182"/>
        <v/>
      </c>
      <c r="M1078" t="str">
        <f t="shared" si="183"/>
        <v/>
      </c>
      <c r="N1078" t="str">
        <f t="shared" si="184"/>
        <v/>
      </c>
      <c r="O1078" t="str">
        <f t="shared" si="185"/>
        <v/>
      </c>
      <c r="P1078" t="str">
        <f>IF($A1078="","",IF($E1078=1,$F1078*$O1078,PNL!G1078))</f>
        <v/>
      </c>
      <c r="T1078" t="str">
        <f t="shared" si="186"/>
        <v/>
      </c>
    </row>
    <row r="1079" spans="1:20" x14ac:dyDescent="0.45">
      <c r="A1079" t="str">
        <f>IF(PNL!A1079="","",PNL!A1079)</f>
        <v/>
      </c>
      <c r="B1079" t="str">
        <f>IF(PNL!B1079="","",PNL!B1079)</f>
        <v/>
      </c>
      <c r="C1079" t="str">
        <f>IF(PNL!C1079="","",PNL!C1079)</f>
        <v/>
      </c>
      <c r="D1079" t="str">
        <f>IF(PNL!D1079="","",PNL!D1079)</f>
        <v/>
      </c>
      <c r="E1079" t="str">
        <f t="shared" si="176"/>
        <v/>
      </c>
      <c r="F1079" t="str">
        <f>IF($A1079="","",IF($E1079=1,SUMIFS(Compta!$F$1:$F$675,Compta!$A$1:$A$675,$A1079,Compta!$B$1:$B$675,$B1079,Compta!$C$1:$C$675,"2026"),0))</f>
        <v/>
      </c>
      <c r="G1079" t="str">
        <f t="shared" si="177"/>
        <v/>
      </c>
      <c r="H1079" t="str">
        <f t="shared" si="178"/>
        <v/>
      </c>
      <c r="I1079" t="str">
        <f t="shared" si="179"/>
        <v/>
      </c>
      <c r="J1079" t="str">
        <f t="shared" si="180"/>
        <v/>
      </c>
      <c r="K1079" t="str">
        <f t="shared" si="181"/>
        <v/>
      </c>
      <c r="L1079" t="str">
        <f t="shared" si="182"/>
        <v/>
      </c>
      <c r="M1079" t="str">
        <f t="shared" si="183"/>
        <v/>
      </c>
      <c r="N1079" t="str">
        <f t="shared" si="184"/>
        <v/>
      </c>
      <c r="O1079" t="str">
        <f t="shared" si="185"/>
        <v/>
      </c>
      <c r="P1079" t="str">
        <f>IF($A1079="","",IF($E1079=1,$F1079*$O1079,PNL!G1079))</f>
        <v/>
      </c>
      <c r="T1079" t="str">
        <f t="shared" si="186"/>
        <v/>
      </c>
    </row>
    <row r="1080" spans="1:20" x14ac:dyDescent="0.45">
      <c r="A1080" t="str">
        <f>IF(PNL!A1080="","",PNL!A1080)</f>
        <v/>
      </c>
      <c r="B1080" t="str">
        <f>IF(PNL!B1080="","",PNL!B1080)</f>
        <v/>
      </c>
      <c r="C1080" t="str">
        <f>IF(PNL!C1080="","",PNL!C1080)</f>
        <v/>
      </c>
      <c r="D1080" t="str">
        <f>IF(PNL!D1080="","",PNL!D1080)</f>
        <v/>
      </c>
      <c r="E1080" t="str">
        <f t="shared" si="176"/>
        <v/>
      </c>
      <c r="F1080" t="str">
        <f>IF($A1080="","",IF($E1080=1,SUMIFS(Compta!$F$1:$F$675,Compta!$A$1:$A$675,$A1080,Compta!$B$1:$B$675,$B1080,Compta!$C$1:$C$675,"2026"),0))</f>
        <v/>
      </c>
      <c r="G1080" t="str">
        <f t="shared" si="177"/>
        <v/>
      </c>
      <c r="H1080" t="str">
        <f t="shared" si="178"/>
        <v/>
      </c>
      <c r="I1080" t="str">
        <f t="shared" si="179"/>
        <v/>
      </c>
      <c r="J1080" t="str">
        <f t="shared" si="180"/>
        <v/>
      </c>
      <c r="K1080" t="str">
        <f t="shared" si="181"/>
        <v/>
      </c>
      <c r="L1080" t="str">
        <f t="shared" si="182"/>
        <v/>
      </c>
      <c r="M1080" t="str">
        <f t="shared" si="183"/>
        <v/>
      </c>
      <c r="N1080" t="str">
        <f t="shared" si="184"/>
        <v/>
      </c>
      <c r="O1080" t="str">
        <f t="shared" si="185"/>
        <v/>
      </c>
      <c r="P1080" t="str">
        <f>IF($A1080="","",IF($E1080=1,$F1080*$O1080,PNL!G1080))</f>
        <v/>
      </c>
      <c r="T1080" t="str">
        <f t="shared" si="186"/>
        <v/>
      </c>
    </row>
    <row r="1081" spans="1:20" x14ac:dyDescent="0.45">
      <c r="A1081" t="str">
        <f>IF(PNL!A1081="","",PNL!A1081)</f>
        <v/>
      </c>
      <c r="B1081" t="str">
        <f>IF(PNL!B1081="","",PNL!B1081)</f>
        <v/>
      </c>
      <c r="C1081" t="str">
        <f>IF(PNL!C1081="","",PNL!C1081)</f>
        <v/>
      </c>
      <c r="D1081" t="str">
        <f>IF(PNL!D1081="","",PNL!D1081)</f>
        <v/>
      </c>
      <c r="E1081" t="str">
        <f t="shared" si="176"/>
        <v/>
      </c>
      <c r="F1081" t="str">
        <f>IF($A1081="","",IF($E1081=1,SUMIFS(Compta!$F$1:$F$675,Compta!$A$1:$A$675,$A1081,Compta!$B$1:$B$675,$B1081,Compta!$C$1:$C$675,"2026"),0))</f>
        <v/>
      </c>
      <c r="G1081" t="str">
        <f t="shared" si="177"/>
        <v/>
      </c>
      <c r="H1081" t="str">
        <f t="shared" si="178"/>
        <v/>
      </c>
      <c r="I1081" t="str">
        <f t="shared" si="179"/>
        <v/>
      </c>
      <c r="J1081" t="str">
        <f t="shared" si="180"/>
        <v/>
      </c>
      <c r="K1081" t="str">
        <f t="shared" si="181"/>
        <v/>
      </c>
      <c r="L1081" t="str">
        <f t="shared" si="182"/>
        <v/>
      </c>
      <c r="M1081" t="str">
        <f t="shared" si="183"/>
        <v/>
      </c>
      <c r="N1081" t="str">
        <f t="shared" si="184"/>
        <v/>
      </c>
      <c r="O1081" t="str">
        <f t="shared" si="185"/>
        <v/>
      </c>
      <c r="P1081" t="str">
        <f>IF($A1081="","",IF($E1081=1,$F1081*$O1081,PNL!G1081))</f>
        <v/>
      </c>
      <c r="T1081" t="str">
        <f t="shared" si="186"/>
        <v/>
      </c>
    </row>
    <row r="1082" spans="1:20" x14ac:dyDescent="0.45">
      <c r="A1082" t="str">
        <f>IF(PNL!A1082="","",PNL!A1082)</f>
        <v/>
      </c>
      <c r="B1082" t="str">
        <f>IF(PNL!B1082="","",PNL!B1082)</f>
        <v/>
      </c>
      <c r="C1082" t="str">
        <f>IF(PNL!C1082="","",PNL!C1082)</f>
        <v/>
      </c>
      <c r="D1082" t="str">
        <f>IF(PNL!D1082="","",PNL!D1082)</f>
        <v/>
      </c>
      <c r="E1082" t="str">
        <f t="shared" si="176"/>
        <v/>
      </c>
      <c r="F1082" t="str">
        <f>IF($A1082="","",IF($E1082=1,SUMIFS(Compta!$F$1:$F$675,Compta!$A$1:$A$675,$A1082,Compta!$B$1:$B$675,$B1082,Compta!$C$1:$C$675,"2026"),0))</f>
        <v/>
      </c>
      <c r="G1082" t="str">
        <f t="shared" si="177"/>
        <v/>
      </c>
      <c r="H1082" t="str">
        <f t="shared" si="178"/>
        <v/>
      </c>
      <c r="I1082" t="str">
        <f t="shared" si="179"/>
        <v/>
      </c>
      <c r="J1082" t="str">
        <f t="shared" si="180"/>
        <v/>
      </c>
      <c r="K1082" t="str">
        <f t="shared" si="181"/>
        <v/>
      </c>
      <c r="L1082" t="str">
        <f t="shared" si="182"/>
        <v/>
      </c>
      <c r="M1082" t="str">
        <f t="shared" si="183"/>
        <v/>
      </c>
      <c r="N1082" t="str">
        <f t="shared" si="184"/>
        <v/>
      </c>
      <c r="O1082" t="str">
        <f t="shared" si="185"/>
        <v/>
      </c>
      <c r="P1082" t="str">
        <f>IF($A1082="","",IF($E1082=1,$F1082*$O1082,PNL!G1082))</f>
        <v/>
      </c>
      <c r="T1082" t="str">
        <f t="shared" si="186"/>
        <v/>
      </c>
    </row>
    <row r="1083" spans="1:20" x14ac:dyDescent="0.45">
      <c r="A1083" t="str">
        <f>IF(PNL!A1083="","",PNL!A1083)</f>
        <v/>
      </c>
      <c r="B1083" t="str">
        <f>IF(PNL!B1083="","",PNL!B1083)</f>
        <v/>
      </c>
      <c r="C1083" t="str">
        <f>IF(PNL!C1083="","",PNL!C1083)</f>
        <v/>
      </c>
      <c r="D1083" t="str">
        <f>IF(PNL!D1083="","",PNL!D1083)</f>
        <v/>
      </c>
      <c r="E1083" t="str">
        <f t="shared" si="176"/>
        <v/>
      </c>
      <c r="F1083" t="str">
        <f>IF($A1083="","",IF($E1083=1,SUMIFS(Compta!$F$1:$F$675,Compta!$A$1:$A$675,$A1083,Compta!$B$1:$B$675,$B1083,Compta!$C$1:$C$675,"2026"),0))</f>
        <v/>
      </c>
      <c r="G1083" t="str">
        <f t="shared" si="177"/>
        <v/>
      </c>
      <c r="H1083" t="str">
        <f t="shared" si="178"/>
        <v/>
      </c>
      <c r="I1083" t="str">
        <f t="shared" si="179"/>
        <v/>
      </c>
      <c r="J1083" t="str">
        <f t="shared" si="180"/>
        <v/>
      </c>
      <c r="K1083" t="str">
        <f t="shared" si="181"/>
        <v/>
      </c>
      <c r="L1083" t="str">
        <f t="shared" si="182"/>
        <v/>
      </c>
      <c r="M1083" t="str">
        <f t="shared" si="183"/>
        <v/>
      </c>
      <c r="N1083" t="str">
        <f t="shared" si="184"/>
        <v/>
      </c>
      <c r="O1083" t="str">
        <f t="shared" si="185"/>
        <v/>
      </c>
      <c r="P1083" t="str">
        <f>IF($A1083="","",IF($E1083=1,$F1083*$O1083,PNL!G1083))</f>
        <v/>
      </c>
      <c r="T1083" t="str">
        <f t="shared" si="186"/>
        <v/>
      </c>
    </row>
    <row r="1084" spans="1:20" x14ac:dyDescent="0.45">
      <c r="A1084" t="str">
        <f>IF(PNL!A1084="","",PNL!A1084)</f>
        <v/>
      </c>
      <c r="B1084" t="str">
        <f>IF(PNL!B1084="","",PNL!B1084)</f>
        <v/>
      </c>
      <c r="C1084" t="str">
        <f>IF(PNL!C1084="","",PNL!C1084)</f>
        <v/>
      </c>
      <c r="D1084" t="str">
        <f>IF(PNL!D1084="","",PNL!D1084)</f>
        <v/>
      </c>
      <c r="E1084" t="str">
        <f t="shared" si="176"/>
        <v/>
      </c>
      <c r="F1084" t="str">
        <f>IF($A1084="","",IF($E1084=1,SUMIFS(Compta!$F$1:$F$675,Compta!$A$1:$A$675,$A1084,Compta!$B$1:$B$675,$B1084,Compta!$C$1:$C$675,"2026"),0))</f>
        <v/>
      </c>
      <c r="G1084" t="str">
        <f t="shared" si="177"/>
        <v/>
      </c>
      <c r="H1084" t="str">
        <f t="shared" si="178"/>
        <v/>
      </c>
      <c r="I1084" t="str">
        <f t="shared" si="179"/>
        <v/>
      </c>
      <c r="J1084" t="str">
        <f t="shared" si="180"/>
        <v/>
      </c>
      <c r="K1084" t="str">
        <f t="shared" si="181"/>
        <v/>
      </c>
      <c r="L1084" t="str">
        <f t="shared" si="182"/>
        <v/>
      </c>
      <c r="M1084" t="str">
        <f t="shared" si="183"/>
        <v/>
      </c>
      <c r="N1084" t="str">
        <f t="shared" si="184"/>
        <v/>
      </c>
      <c r="O1084" t="str">
        <f t="shared" si="185"/>
        <v/>
      </c>
      <c r="P1084" t="str">
        <f>IF($A1084="","",IF($E1084=1,$F1084*$O1084,PNL!G1084))</f>
        <v/>
      </c>
      <c r="T1084" t="str">
        <f t="shared" si="186"/>
        <v/>
      </c>
    </row>
    <row r="1085" spans="1:20" x14ac:dyDescent="0.45">
      <c r="A1085" t="str">
        <f>IF(PNL!A1085="","",PNL!A1085)</f>
        <v/>
      </c>
      <c r="B1085" t="str">
        <f>IF(PNL!B1085="","",PNL!B1085)</f>
        <v/>
      </c>
      <c r="C1085" t="str">
        <f>IF(PNL!C1085="","",PNL!C1085)</f>
        <v/>
      </c>
      <c r="D1085" t="str">
        <f>IF(PNL!D1085="","",PNL!D1085)</f>
        <v/>
      </c>
      <c r="E1085" t="str">
        <f t="shared" si="176"/>
        <v/>
      </c>
      <c r="F1085" t="str">
        <f>IF($A1085="","",IF($E1085=1,SUMIFS(Compta!$F$1:$F$675,Compta!$A$1:$A$675,$A1085,Compta!$B$1:$B$675,$B1085,Compta!$C$1:$C$675,"2026"),0))</f>
        <v/>
      </c>
      <c r="G1085" t="str">
        <f t="shared" si="177"/>
        <v/>
      </c>
      <c r="H1085" t="str">
        <f t="shared" si="178"/>
        <v/>
      </c>
      <c r="I1085" t="str">
        <f t="shared" si="179"/>
        <v/>
      </c>
      <c r="J1085" t="str">
        <f t="shared" si="180"/>
        <v/>
      </c>
      <c r="K1085" t="str">
        <f t="shared" si="181"/>
        <v/>
      </c>
      <c r="L1085" t="str">
        <f t="shared" si="182"/>
        <v/>
      </c>
      <c r="M1085" t="str">
        <f t="shared" si="183"/>
        <v/>
      </c>
      <c r="N1085" t="str">
        <f t="shared" si="184"/>
        <v/>
      </c>
      <c r="O1085" t="str">
        <f t="shared" si="185"/>
        <v/>
      </c>
      <c r="P1085" t="str">
        <f>IF($A1085="","",IF($E1085=1,$F1085*$O1085,PNL!G1085))</f>
        <v/>
      </c>
      <c r="T1085" t="str">
        <f t="shared" si="186"/>
        <v/>
      </c>
    </row>
    <row r="1086" spans="1:20" x14ac:dyDescent="0.45">
      <c r="A1086" t="str">
        <f>IF(PNL!A1086="","",PNL!A1086)</f>
        <v/>
      </c>
      <c r="B1086" t="str">
        <f>IF(PNL!B1086="","",PNL!B1086)</f>
        <v/>
      </c>
      <c r="C1086" t="str">
        <f>IF(PNL!C1086="","",PNL!C1086)</f>
        <v/>
      </c>
      <c r="D1086" t="str">
        <f>IF(PNL!D1086="","",PNL!D1086)</f>
        <v/>
      </c>
      <c r="E1086" t="str">
        <f t="shared" si="176"/>
        <v/>
      </c>
      <c r="F1086" t="str">
        <f>IF($A1086="","",IF($E1086=1,SUMIFS(Compta!$F$1:$F$675,Compta!$A$1:$A$675,$A1086,Compta!$B$1:$B$675,$B1086,Compta!$C$1:$C$675,"2026"),0))</f>
        <v/>
      </c>
      <c r="G1086" t="str">
        <f t="shared" si="177"/>
        <v/>
      </c>
      <c r="H1086" t="str">
        <f t="shared" si="178"/>
        <v/>
      </c>
      <c r="I1086" t="str">
        <f t="shared" si="179"/>
        <v/>
      </c>
      <c r="J1086" t="str">
        <f t="shared" si="180"/>
        <v/>
      </c>
      <c r="K1086" t="str">
        <f t="shared" si="181"/>
        <v/>
      </c>
      <c r="L1086" t="str">
        <f t="shared" si="182"/>
        <v/>
      </c>
      <c r="M1086" t="str">
        <f t="shared" si="183"/>
        <v/>
      </c>
      <c r="N1086" t="str">
        <f t="shared" si="184"/>
        <v/>
      </c>
      <c r="O1086" t="str">
        <f t="shared" si="185"/>
        <v/>
      </c>
      <c r="P1086" t="str">
        <f>IF($A1086="","",IF($E1086=1,$F1086*$O1086,PNL!G1086))</f>
        <v/>
      </c>
      <c r="T1086" t="str">
        <f t="shared" si="186"/>
        <v/>
      </c>
    </row>
    <row r="1087" spans="1:20" x14ac:dyDescent="0.45">
      <c r="A1087" t="str">
        <f>IF(PNL!A1087="","",PNL!A1087)</f>
        <v/>
      </c>
      <c r="B1087" t="str">
        <f>IF(PNL!B1087="","",PNL!B1087)</f>
        <v/>
      </c>
      <c r="C1087" t="str">
        <f>IF(PNL!C1087="","",PNL!C1087)</f>
        <v/>
      </c>
      <c r="D1087" t="str">
        <f>IF(PNL!D1087="","",PNL!D1087)</f>
        <v/>
      </c>
      <c r="E1087" t="str">
        <f t="shared" si="176"/>
        <v/>
      </c>
      <c r="F1087" t="str">
        <f>IF($A1087="","",IF($E1087=1,SUMIFS(Compta!$F$1:$F$675,Compta!$A$1:$A$675,$A1087,Compta!$B$1:$B$675,$B1087,Compta!$C$1:$C$675,"2026"),0))</f>
        <v/>
      </c>
      <c r="G1087" t="str">
        <f t="shared" si="177"/>
        <v/>
      </c>
      <c r="H1087" t="str">
        <f t="shared" si="178"/>
        <v/>
      </c>
      <c r="I1087" t="str">
        <f t="shared" si="179"/>
        <v/>
      </c>
      <c r="J1087" t="str">
        <f t="shared" si="180"/>
        <v/>
      </c>
      <c r="K1087" t="str">
        <f t="shared" si="181"/>
        <v/>
      </c>
      <c r="L1087" t="str">
        <f t="shared" si="182"/>
        <v/>
      </c>
      <c r="M1087" t="str">
        <f t="shared" si="183"/>
        <v/>
      </c>
      <c r="N1087" t="str">
        <f t="shared" si="184"/>
        <v/>
      </c>
      <c r="O1087" t="str">
        <f t="shared" si="185"/>
        <v/>
      </c>
      <c r="P1087" t="str">
        <f>IF($A1087="","",IF($E1087=1,$F1087*$O1087,PNL!G1087))</f>
        <v/>
      </c>
      <c r="T1087" t="str">
        <f t="shared" si="186"/>
        <v/>
      </c>
    </row>
    <row r="1088" spans="1:20" x14ac:dyDescent="0.45">
      <c r="A1088" t="str">
        <f>IF(PNL!A1088="","",PNL!A1088)</f>
        <v/>
      </c>
      <c r="B1088" t="str">
        <f>IF(PNL!B1088="","",PNL!B1088)</f>
        <v/>
      </c>
      <c r="C1088" t="str">
        <f>IF(PNL!C1088="","",PNL!C1088)</f>
        <v/>
      </c>
      <c r="D1088" t="str">
        <f>IF(PNL!D1088="","",PNL!D1088)</f>
        <v/>
      </c>
      <c r="E1088" t="str">
        <f t="shared" si="176"/>
        <v/>
      </c>
      <c r="F1088" t="str">
        <f>IF($A1088="","",IF($E1088=1,SUMIFS(Compta!$F$1:$F$675,Compta!$A$1:$A$675,$A1088,Compta!$B$1:$B$675,$B1088,Compta!$C$1:$C$675,"2026"),0))</f>
        <v/>
      </c>
      <c r="G1088" t="str">
        <f t="shared" si="177"/>
        <v/>
      </c>
      <c r="H1088" t="str">
        <f t="shared" si="178"/>
        <v/>
      </c>
      <c r="I1088" t="str">
        <f t="shared" si="179"/>
        <v/>
      </c>
      <c r="J1088" t="str">
        <f t="shared" si="180"/>
        <v/>
      </c>
      <c r="K1088" t="str">
        <f t="shared" si="181"/>
        <v/>
      </c>
      <c r="L1088" t="str">
        <f t="shared" si="182"/>
        <v/>
      </c>
      <c r="M1088" t="str">
        <f t="shared" si="183"/>
        <v/>
      </c>
      <c r="N1088" t="str">
        <f t="shared" si="184"/>
        <v/>
      </c>
      <c r="O1088" t="str">
        <f t="shared" si="185"/>
        <v/>
      </c>
      <c r="P1088" t="str">
        <f>IF($A1088="","",IF($E1088=1,$F1088*$O1088,PNL!G1088))</f>
        <v/>
      </c>
      <c r="T1088" t="str">
        <f t="shared" si="186"/>
        <v/>
      </c>
    </row>
    <row r="1089" spans="1:20" x14ac:dyDescent="0.45">
      <c r="A1089" t="str">
        <f>IF(PNL!A1089="","",PNL!A1089)</f>
        <v/>
      </c>
      <c r="B1089" t="str">
        <f>IF(PNL!B1089="","",PNL!B1089)</f>
        <v/>
      </c>
      <c r="C1089" t="str">
        <f>IF(PNL!C1089="","",PNL!C1089)</f>
        <v/>
      </c>
      <c r="D1089" t="str">
        <f>IF(PNL!D1089="","",PNL!D1089)</f>
        <v/>
      </c>
      <c r="E1089" t="str">
        <f t="shared" si="176"/>
        <v/>
      </c>
      <c r="F1089" t="str">
        <f>IF($A1089="","",IF($E1089=1,SUMIFS(Compta!$F$1:$F$675,Compta!$A$1:$A$675,$A1089,Compta!$B$1:$B$675,$B1089,Compta!$C$1:$C$675,"2026"),0))</f>
        <v/>
      </c>
      <c r="G1089" t="str">
        <f t="shared" si="177"/>
        <v/>
      </c>
      <c r="H1089" t="str">
        <f t="shared" si="178"/>
        <v/>
      </c>
      <c r="I1089" t="str">
        <f t="shared" si="179"/>
        <v/>
      </c>
      <c r="J1089" t="str">
        <f t="shared" si="180"/>
        <v/>
      </c>
      <c r="K1089" t="str">
        <f t="shared" si="181"/>
        <v/>
      </c>
      <c r="L1089" t="str">
        <f t="shared" si="182"/>
        <v/>
      </c>
      <c r="M1089" t="str">
        <f t="shared" si="183"/>
        <v/>
      </c>
      <c r="N1089" t="str">
        <f t="shared" si="184"/>
        <v/>
      </c>
      <c r="O1089" t="str">
        <f t="shared" si="185"/>
        <v/>
      </c>
      <c r="P1089" t="str">
        <f>IF($A1089="","",IF($E1089=1,$F1089*$O1089,PNL!G1089))</f>
        <v/>
      </c>
      <c r="T1089" t="str">
        <f t="shared" si="186"/>
        <v/>
      </c>
    </row>
    <row r="1090" spans="1:20" x14ac:dyDescent="0.45">
      <c r="A1090" t="str">
        <f>IF(PNL!A1090="","",PNL!A1090)</f>
        <v/>
      </c>
      <c r="B1090" t="str">
        <f>IF(PNL!B1090="","",PNL!B1090)</f>
        <v/>
      </c>
      <c r="C1090" t="str">
        <f>IF(PNL!C1090="","",PNL!C1090)</f>
        <v/>
      </c>
      <c r="D1090" t="str">
        <f>IF(PNL!D1090="","",PNL!D1090)</f>
        <v/>
      </c>
      <c r="E1090" t="str">
        <f t="shared" ref="E1090:E1153" si="187">IF($A1090="","",IF(AND($C1090="2027",OR($D1090="V01",$D1090="V02",$D1090="V03")),1,0))</f>
        <v/>
      </c>
      <c r="F1090" t="str">
        <f>IF($A1090="","",IF($E1090=1,SUMIFS(Compta!$F$1:$F$675,Compta!$A$1:$A$675,$A1090,Compta!$B$1:$B$675,$B1090,Compta!$C$1:$C$675,"2026"),0))</f>
        <v/>
      </c>
      <c r="G1090" t="str">
        <f t="shared" ref="G1090:G1153" si="188">IF($A1090="","",IF($D1090="V01",cad!$C$23,IF($D1090="V02",cad!$D$23,cad!$E$23)))</f>
        <v/>
      </c>
      <c r="H1090" t="str">
        <f t="shared" ref="H1090:H1153" si="189">IF($A1090="","",IF($D1090="V01",cad!$C$24,IF($D1090="V02",cad!$D$24,cad!$E$24)))</f>
        <v/>
      </c>
      <c r="I1090" t="str">
        <f t="shared" ref="I1090:I1153" si="190">IF($A1090="","",IF($D1090="V01",cad!$C$32,IF($D1090="V02",cad!$D$32,cad!$E$32)))</f>
        <v/>
      </c>
      <c r="J1090" t="str">
        <f t="shared" ref="J1090:J1153" si="191">IF($A1090="","",IF($D1090="V01",cad!$C$33,IF($D1090="V02",cad!$D$33,cad!$E$33)))</f>
        <v/>
      </c>
      <c r="K1090" t="str">
        <f t="shared" ref="K1090:K1153" si="192">IF($A1090="","",IF($D1090="V01",cad!$C$34,IF($D1090="V02",cad!$D$34,cad!$E$34)))</f>
        <v/>
      </c>
      <c r="L1090" t="str">
        <f t="shared" ref="L1090:L1153" si="193">IF($A1090="","",IF($D1090="V01",cad!$C$35,IF($D1090="V02",cad!$D$35,cad!$E$35)))</f>
        <v/>
      </c>
      <c r="M1090" t="str">
        <f t="shared" ref="M1090:M1153" si="194">IF($A1090="","",IF($D1090="V01",cad!$C$36,IF($D1090="V02",cad!$D$36,cad!$E$36)))</f>
        <v/>
      </c>
      <c r="N1090" t="str">
        <f t="shared" ref="N1090:N1153" si="195">IF($A1090="","",IF($D1090="V01",$R$2,IF($D1090="V02",$R$3,$R$4)))</f>
        <v/>
      </c>
      <c r="O1090" t="str">
        <f t="shared" ref="O1090:O1153" si="196">IF($A1090="","",IF(OR($B1090="7062",$B1090="706",$B1090="708"),$N1090,IF($B1090="6231",1+$G1090,IF($B1090="6236",1+$H1090,IF(OR($B1090="621",$B1090="604",$B1090="6063"),$N1090*(1-$L1090),IF(OR($B1090="6411",$B1090="6413",$B1090="6414",$B1090="645"),(1+$J1090)*(1+$K1090),IF(OR($B1090="613",$B1090="615",$B1090="616",$B1090="6226",$B1090="625",$B1090="626",$B1090="6281"),(1+$I1090)*(1-$L1090)*(1+$M1090),IF(OR($B1090="6331",$B1090="63511",$B1090="6333"),(1+$I1090)*(1-$L1090),IF($B1090="6811",1+$I1090,1)))))))))</f>
        <v/>
      </c>
      <c r="P1090" t="str">
        <f>IF($A1090="","",IF($E1090=1,$F1090*$O1090,PNL!G1090))</f>
        <v/>
      </c>
      <c r="T1090" t="str">
        <f t="shared" ref="T1090:T1153" si="197">IF($A1090="","",IF($E1090=1,IF(OR($B1090="7062",$B1090="706",$B1090="708"),$P1090,IF(AND(LEFT($B1090,1)="6",$B1090&lt;&gt;"6811"),-$P1090,0)),0))</f>
        <v/>
      </c>
    </row>
    <row r="1091" spans="1:20" x14ac:dyDescent="0.45">
      <c r="A1091" t="str">
        <f>IF(PNL!A1091="","",PNL!A1091)</f>
        <v/>
      </c>
      <c r="B1091" t="str">
        <f>IF(PNL!B1091="","",PNL!B1091)</f>
        <v/>
      </c>
      <c r="C1091" t="str">
        <f>IF(PNL!C1091="","",PNL!C1091)</f>
        <v/>
      </c>
      <c r="D1091" t="str">
        <f>IF(PNL!D1091="","",PNL!D1091)</f>
        <v/>
      </c>
      <c r="E1091" t="str">
        <f t="shared" si="187"/>
        <v/>
      </c>
      <c r="F1091" t="str">
        <f>IF($A1091="","",IF($E1091=1,SUMIFS(Compta!$F$1:$F$675,Compta!$A$1:$A$675,$A1091,Compta!$B$1:$B$675,$B1091,Compta!$C$1:$C$675,"2026"),0))</f>
        <v/>
      </c>
      <c r="G1091" t="str">
        <f t="shared" si="188"/>
        <v/>
      </c>
      <c r="H1091" t="str">
        <f t="shared" si="189"/>
        <v/>
      </c>
      <c r="I1091" t="str">
        <f t="shared" si="190"/>
        <v/>
      </c>
      <c r="J1091" t="str">
        <f t="shared" si="191"/>
        <v/>
      </c>
      <c r="K1091" t="str">
        <f t="shared" si="192"/>
        <v/>
      </c>
      <c r="L1091" t="str">
        <f t="shared" si="193"/>
        <v/>
      </c>
      <c r="M1091" t="str">
        <f t="shared" si="194"/>
        <v/>
      </c>
      <c r="N1091" t="str">
        <f t="shared" si="195"/>
        <v/>
      </c>
      <c r="O1091" t="str">
        <f t="shared" si="196"/>
        <v/>
      </c>
      <c r="P1091" t="str">
        <f>IF($A1091="","",IF($E1091=1,$F1091*$O1091,PNL!G1091))</f>
        <v/>
      </c>
      <c r="T1091" t="str">
        <f t="shared" si="197"/>
        <v/>
      </c>
    </row>
    <row r="1092" spans="1:20" x14ac:dyDescent="0.45">
      <c r="A1092" t="str">
        <f>IF(PNL!A1092="","",PNL!A1092)</f>
        <v/>
      </c>
      <c r="B1092" t="str">
        <f>IF(PNL!B1092="","",PNL!B1092)</f>
        <v/>
      </c>
      <c r="C1092" t="str">
        <f>IF(PNL!C1092="","",PNL!C1092)</f>
        <v/>
      </c>
      <c r="D1092" t="str">
        <f>IF(PNL!D1092="","",PNL!D1092)</f>
        <v/>
      </c>
      <c r="E1092" t="str">
        <f t="shared" si="187"/>
        <v/>
      </c>
      <c r="F1092" t="str">
        <f>IF($A1092="","",IF($E1092=1,SUMIFS(Compta!$F$1:$F$675,Compta!$A$1:$A$675,$A1092,Compta!$B$1:$B$675,$B1092,Compta!$C$1:$C$675,"2026"),0))</f>
        <v/>
      </c>
      <c r="G1092" t="str">
        <f t="shared" si="188"/>
        <v/>
      </c>
      <c r="H1092" t="str">
        <f t="shared" si="189"/>
        <v/>
      </c>
      <c r="I1092" t="str">
        <f t="shared" si="190"/>
        <v/>
      </c>
      <c r="J1092" t="str">
        <f t="shared" si="191"/>
        <v/>
      </c>
      <c r="K1092" t="str">
        <f t="shared" si="192"/>
        <v/>
      </c>
      <c r="L1092" t="str">
        <f t="shared" si="193"/>
        <v/>
      </c>
      <c r="M1092" t="str">
        <f t="shared" si="194"/>
        <v/>
      </c>
      <c r="N1092" t="str">
        <f t="shared" si="195"/>
        <v/>
      </c>
      <c r="O1092" t="str">
        <f t="shared" si="196"/>
        <v/>
      </c>
      <c r="P1092" t="str">
        <f>IF($A1092="","",IF($E1092=1,$F1092*$O1092,PNL!G1092))</f>
        <v/>
      </c>
      <c r="T1092" t="str">
        <f t="shared" si="197"/>
        <v/>
      </c>
    </row>
    <row r="1093" spans="1:20" x14ac:dyDescent="0.45">
      <c r="A1093" t="str">
        <f>IF(PNL!A1093="","",PNL!A1093)</f>
        <v/>
      </c>
      <c r="B1093" t="str">
        <f>IF(PNL!B1093="","",PNL!B1093)</f>
        <v/>
      </c>
      <c r="C1093" t="str">
        <f>IF(PNL!C1093="","",PNL!C1093)</f>
        <v/>
      </c>
      <c r="D1093" t="str">
        <f>IF(PNL!D1093="","",PNL!D1093)</f>
        <v/>
      </c>
      <c r="E1093" t="str">
        <f t="shared" si="187"/>
        <v/>
      </c>
      <c r="F1093" t="str">
        <f>IF($A1093="","",IF($E1093=1,SUMIFS(Compta!$F$1:$F$675,Compta!$A$1:$A$675,$A1093,Compta!$B$1:$B$675,$B1093,Compta!$C$1:$C$675,"2026"),0))</f>
        <v/>
      </c>
      <c r="G1093" t="str">
        <f t="shared" si="188"/>
        <v/>
      </c>
      <c r="H1093" t="str">
        <f t="shared" si="189"/>
        <v/>
      </c>
      <c r="I1093" t="str">
        <f t="shared" si="190"/>
        <v/>
      </c>
      <c r="J1093" t="str">
        <f t="shared" si="191"/>
        <v/>
      </c>
      <c r="K1093" t="str">
        <f t="shared" si="192"/>
        <v/>
      </c>
      <c r="L1093" t="str">
        <f t="shared" si="193"/>
        <v/>
      </c>
      <c r="M1093" t="str">
        <f t="shared" si="194"/>
        <v/>
      </c>
      <c r="N1093" t="str">
        <f t="shared" si="195"/>
        <v/>
      </c>
      <c r="O1093" t="str">
        <f t="shared" si="196"/>
        <v/>
      </c>
      <c r="P1093" t="str">
        <f>IF($A1093="","",IF($E1093=1,$F1093*$O1093,PNL!G1093))</f>
        <v/>
      </c>
      <c r="T1093" t="str">
        <f t="shared" si="197"/>
        <v/>
      </c>
    </row>
    <row r="1094" spans="1:20" x14ac:dyDescent="0.45">
      <c r="A1094" t="str">
        <f>IF(PNL!A1094="","",PNL!A1094)</f>
        <v/>
      </c>
      <c r="B1094" t="str">
        <f>IF(PNL!B1094="","",PNL!B1094)</f>
        <v/>
      </c>
      <c r="C1094" t="str">
        <f>IF(PNL!C1094="","",PNL!C1094)</f>
        <v/>
      </c>
      <c r="D1094" t="str">
        <f>IF(PNL!D1094="","",PNL!D1094)</f>
        <v/>
      </c>
      <c r="E1094" t="str">
        <f t="shared" si="187"/>
        <v/>
      </c>
      <c r="F1094" t="str">
        <f>IF($A1094="","",IF($E1094=1,SUMIFS(Compta!$F$1:$F$675,Compta!$A$1:$A$675,$A1094,Compta!$B$1:$B$675,$B1094,Compta!$C$1:$C$675,"2026"),0))</f>
        <v/>
      </c>
      <c r="G1094" t="str">
        <f t="shared" si="188"/>
        <v/>
      </c>
      <c r="H1094" t="str">
        <f t="shared" si="189"/>
        <v/>
      </c>
      <c r="I1094" t="str">
        <f t="shared" si="190"/>
        <v/>
      </c>
      <c r="J1094" t="str">
        <f t="shared" si="191"/>
        <v/>
      </c>
      <c r="K1094" t="str">
        <f t="shared" si="192"/>
        <v/>
      </c>
      <c r="L1094" t="str">
        <f t="shared" si="193"/>
        <v/>
      </c>
      <c r="M1094" t="str">
        <f t="shared" si="194"/>
        <v/>
      </c>
      <c r="N1094" t="str">
        <f t="shared" si="195"/>
        <v/>
      </c>
      <c r="O1094" t="str">
        <f t="shared" si="196"/>
        <v/>
      </c>
      <c r="P1094" t="str">
        <f>IF($A1094="","",IF($E1094=1,$F1094*$O1094,PNL!G1094))</f>
        <v/>
      </c>
      <c r="T1094" t="str">
        <f t="shared" si="197"/>
        <v/>
      </c>
    </row>
    <row r="1095" spans="1:20" x14ac:dyDescent="0.45">
      <c r="A1095" t="str">
        <f>IF(PNL!A1095="","",PNL!A1095)</f>
        <v/>
      </c>
      <c r="B1095" t="str">
        <f>IF(PNL!B1095="","",PNL!B1095)</f>
        <v/>
      </c>
      <c r="C1095" t="str">
        <f>IF(PNL!C1095="","",PNL!C1095)</f>
        <v/>
      </c>
      <c r="D1095" t="str">
        <f>IF(PNL!D1095="","",PNL!D1095)</f>
        <v/>
      </c>
      <c r="E1095" t="str">
        <f t="shared" si="187"/>
        <v/>
      </c>
      <c r="F1095" t="str">
        <f>IF($A1095="","",IF($E1095=1,SUMIFS(Compta!$F$1:$F$675,Compta!$A$1:$A$675,$A1095,Compta!$B$1:$B$675,$B1095,Compta!$C$1:$C$675,"2026"),0))</f>
        <v/>
      </c>
      <c r="G1095" t="str">
        <f t="shared" si="188"/>
        <v/>
      </c>
      <c r="H1095" t="str">
        <f t="shared" si="189"/>
        <v/>
      </c>
      <c r="I1095" t="str">
        <f t="shared" si="190"/>
        <v/>
      </c>
      <c r="J1095" t="str">
        <f t="shared" si="191"/>
        <v/>
      </c>
      <c r="K1095" t="str">
        <f t="shared" si="192"/>
        <v/>
      </c>
      <c r="L1095" t="str">
        <f t="shared" si="193"/>
        <v/>
      </c>
      <c r="M1095" t="str">
        <f t="shared" si="194"/>
        <v/>
      </c>
      <c r="N1095" t="str">
        <f t="shared" si="195"/>
        <v/>
      </c>
      <c r="O1095" t="str">
        <f t="shared" si="196"/>
        <v/>
      </c>
      <c r="P1095" t="str">
        <f>IF($A1095="","",IF($E1095=1,$F1095*$O1095,PNL!G1095))</f>
        <v/>
      </c>
      <c r="T1095" t="str">
        <f t="shared" si="197"/>
        <v/>
      </c>
    </row>
    <row r="1096" spans="1:20" x14ac:dyDescent="0.45">
      <c r="A1096" t="str">
        <f>IF(PNL!A1096="","",PNL!A1096)</f>
        <v/>
      </c>
      <c r="B1096" t="str">
        <f>IF(PNL!B1096="","",PNL!B1096)</f>
        <v/>
      </c>
      <c r="C1096" t="str">
        <f>IF(PNL!C1096="","",PNL!C1096)</f>
        <v/>
      </c>
      <c r="D1096" t="str">
        <f>IF(PNL!D1096="","",PNL!D1096)</f>
        <v/>
      </c>
      <c r="E1096" t="str">
        <f t="shared" si="187"/>
        <v/>
      </c>
      <c r="F1096" t="str">
        <f>IF($A1096="","",IF($E1096=1,SUMIFS(Compta!$F$1:$F$675,Compta!$A$1:$A$675,$A1096,Compta!$B$1:$B$675,$B1096,Compta!$C$1:$C$675,"2026"),0))</f>
        <v/>
      </c>
      <c r="G1096" t="str">
        <f t="shared" si="188"/>
        <v/>
      </c>
      <c r="H1096" t="str">
        <f t="shared" si="189"/>
        <v/>
      </c>
      <c r="I1096" t="str">
        <f t="shared" si="190"/>
        <v/>
      </c>
      <c r="J1096" t="str">
        <f t="shared" si="191"/>
        <v/>
      </c>
      <c r="K1096" t="str">
        <f t="shared" si="192"/>
        <v/>
      </c>
      <c r="L1096" t="str">
        <f t="shared" si="193"/>
        <v/>
      </c>
      <c r="M1096" t="str">
        <f t="shared" si="194"/>
        <v/>
      </c>
      <c r="N1096" t="str">
        <f t="shared" si="195"/>
        <v/>
      </c>
      <c r="O1096" t="str">
        <f t="shared" si="196"/>
        <v/>
      </c>
      <c r="P1096" t="str">
        <f>IF($A1096="","",IF($E1096=1,$F1096*$O1096,PNL!G1096))</f>
        <v/>
      </c>
      <c r="T1096" t="str">
        <f t="shared" si="197"/>
        <v/>
      </c>
    </row>
    <row r="1097" spans="1:20" x14ac:dyDescent="0.45">
      <c r="A1097" t="str">
        <f>IF(PNL!A1097="","",PNL!A1097)</f>
        <v/>
      </c>
      <c r="B1097" t="str">
        <f>IF(PNL!B1097="","",PNL!B1097)</f>
        <v/>
      </c>
      <c r="C1097" t="str">
        <f>IF(PNL!C1097="","",PNL!C1097)</f>
        <v/>
      </c>
      <c r="D1097" t="str">
        <f>IF(PNL!D1097="","",PNL!D1097)</f>
        <v/>
      </c>
      <c r="E1097" t="str">
        <f t="shared" si="187"/>
        <v/>
      </c>
      <c r="F1097" t="str">
        <f>IF($A1097="","",IF($E1097=1,SUMIFS(Compta!$F$1:$F$675,Compta!$A$1:$A$675,$A1097,Compta!$B$1:$B$675,$B1097,Compta!$C$1:$C$675,"2026"),0))</f>
        <v/>
      </c>
      <c r="G1097" t="str">
        <f t="shared" si="188"/>
        <v/>
      </c>
      <c r="H1097" t="str">
        <f t="shared" si="189"/>
        <v/>
      </c>
      <c r="I1097" t="str">
        <f t="shared" si="190"/>
        <v/>
      </c>
      <c r="J1097" t="str">
        <f t="shared" si="191"/>
        <v/>
      </c>
      <c r="K1097" t="str">
        <f t="shared" si="192"/>
        <v/>
      </c>
      <c r="L1097" t="str">
        <f t="shared" si="193"/>
        <v/>
      </c>
      <c r="M1097" t="str">
        <f t="shared" si="194"/>
        <v/>
      </c>
      <c r="N1097" t="str">
        <f t="shared" si="195"/>
        <v/>
      </c>
      <c r="O1097" t="str">
        <f t="shared" si="196"/>
        <v/>
      </c>
      <c r="P1097" t="str">
        <f>IF($A1097="","",IF($E1097=1,$F1097*$O1097,PNL!G1097))</f>
        <v/>
      </c>
      <c r="T1097" t="str">
        <f t="shared" si="197"/>
        <v/>
      </c>
    </row>
    <row r="1098" spans="1:20" x14ac:dyDescent="0.45">
      <c r="A1098" t="str">
        <f>IF(PNL!A1098="","",PNL!A1098)</f>
        <v/>
      </c>
      <c r="B1098" t="str">
        <f>IF(PNL!B1098="","",PNL!B1098)</f>
        <v/>
      </c>
      <c r="C1098" t="str">
        <f>IF(PNL!C1098="","",PNL!C1098)</f>
        <v/>
      </c>
      <c r="D1098" t="str">
        <f>IF(PNL!D1098="","",PNL!D1098)</f>
        <v/>
      </c>
      <c r="E1098" t="str">
        <f t="shared" si="187"/>
        <v/>
      </c>
      <c r="F1098" t="str">
        <f>IF($A1098="","",IF($E1098=1,SUMIFS(Compta!$F$1:$F$675,Compta!$A$1:$A$675,$A1098,Compta!$B$1:$B$675,$B1098,Compta!$C$1:$C$675,"2026"),0))</f>
        <v/>
      </c>
      <c r="G1098" t="str">
        <f t="shared" si="188"/>
        <v/>
      </c>
      <c r="H1098" t="str">
        <f t="shared" si="189"/>
        <v/>
      </c>
      <c r="I1098" t="str">
        <f t="shared" si="190"/>
        <v/>
      </c>
      <c r="J1098" t="str">
        <f t="shared" si="191"/>
        <v/>
      </c>
      <c r="K1098" t="str">
        <f t="shared" si="192"/>
        <v/>
      </c>
      <c r="L1098" t="str">
        <f t="shared" si="193"/>
        <v/>
      </c>
      <c r="M1098" t="str">
        <f t="shared" si="194"/>
        <v/>
      </c>
      <c r="N1098" t="str">
        <f t="shared" si="195"/>
        <v/>
      </c>
      <c r="O1098" t="str">
        <f t="shared" si="196"/>
        <v/>
      </c>
      <c r="P1098" t="str">
        <f>IF($A1098="","",IF($E1098=1,$F1098*$O1098,PNL!G1098))</f>
        <v/>
      </c>
      <c r="T1098" t="str">
        <f t="shared" si="197"/>
        <v/>
      </c>
    </row>
    <row r="1099" spans="1:20" x14ac:dyDescent="0.45">
      <c r="A1099" t="str">
        <f>IF(PNL!A1099="","",PNL!A1099)</f>
        <v/>
      </c>
      <c r="B1099" t="str">
        <f>IF(PNL!B1099="","",PNL!B1099)</f>
        <v/>
      </c>
      <c r="C1099" t="str">
        <f>IF(PNL!C1099="","",PNL!C1099)</f>
        <v/>
      </c>
      <c r="D1099" t="str">
        <f>IF(PNL!D1099="","",PNL!D1099)</f>
        <v/>
      </c>
      <c r="E1099" t="str">
        <f t="shared" si="187"/>
        <v/>
      </c>
      <c r="F1099" t="str">
        <f>IF($A1099="","",IF($E1099=1,SUMIFS(Compta!$F$1:$F$675,Compta!$A$1:$A$675,$A1099,Compta!$B$1:$B$675,$B1099,Compta!$C$1:$C$675,"2026"),0))</f>
        <v/>
      </c>
      <c r="G1099" t="str">
        <f t="shared" si="188"/>
        <v/>
      </c>
      <c r="H1099" t="str">
        <f t="shared" si="189"/>
        <v/>
      </c>
      <c r="I1099" t="str">
        <f t="shared" si="190"/>
        <v/>
      </c>
      <c r="J1099" t="str">
        <f t="shared" si="191"/>
        <v/>
      </c>
      <c r="K1099" t="str">
        <f t="shared" si="192"/>
        <v/>
      </c>
      <c r="L1099" t="str">
        <f t="shared" si="193"/>
        <v/>
      </c>
      <c r="M1099" t="str">
        <f t="shared" si="194"/>
        <v/>
      </c>
      <c r="N1099" t="str">
        <f t="shared" si="195"/>
        <v/>
      </c>
      <c r="O1099" t="str">
        <f t="shared" si="196"/>
        <v/>
      </c>
      <c r="P1099" t="str">
        <f>IF($A1099="","",IF($E1099=1,$F1099*$O1099,PNL!G1099))</f>
        <v/>
      </c>
      <c r="T1099" t="str">
        <f t="shared" si="197"/>
        <v/>
      </c>
    </row>
    <row r="1100" spans="1:20" x14ac:dyDescent="0.45">
      <c r="A1100" t="str">
        <f>IF(PNL!A1100="","",PNL!A1100)</f>
        <v/>
      </c>
      <c r="B1100" t="str">
        <f>IF(PNL!B1100="","",PNL!B1100)</f>
        <v/>
      </c>
      <c r="C1100" t="str">
        <f>IF(PNL!C1100="","",PNL!C1100)</f>
        <v/>
      </c>
      <c r="D1100" t="str">
        <f>IF(PNL!D1100="","",PNL!D1100)</f>
        <v/>
      </c>
      <c r="E1100" t="str">
        <f t="shared" si="187"/>
        <v/>
      </c>
      <c r="F1100" t="str">
        <f>IF($A1100="","",IF($E1100=1,SUMIFS(Compta!$F$1:$F$675,Compta!$A$1:$A$675,$A1100,Compta!$B$1:$B$675,$B1100,Compta!$C$1:$C$675,"2026"),0))</f>
        <v/>
      </c>
      <c r="G1100" t="str">
        <f t="shared" si="188"/>
        <v/>
      </c>
      <c r="H1100" t="str">
        <f t="shared" si="189"/>
        <v/>
      </c>
      <c r="I1100" t="str">
        <f t="shared" si="190"/>
        <v/>
      </c>
      <c r="J1100" t="str">
        <f t="shared" si="191"/>
        <v/>
      </c>
      <c r="K1100" t="str">
        <f t="shared" si="192"/>
        <v/>
      </c>
      <c r="L1100" t="str">
        <f t="shared" si="193"/>
        <v/>
      </c>
      <c r="M1100" t="str">
        <f t="shared" si="194"/>
        <v/>
      </c>
      <c r="N1100" t="str">
        <f t="shared" si="195"/>
        <v/>
      </c>
      <c r="O1100" t="str">
        <f t="shared" si="196"/>
        <v/>
      </c>
      <c r="P1100" t="str">
        <f>IF($A1100="","",IF($E1100=1,$F1100*$O1100,PNL!G1100))</f>
        <v/>
      </c>
      <c r="T1100" t="str">
        <f t="shared" si="197"/>
        <v/>
      </c>
    </row>
    <row r="1101" spans="1:20" x14ac:dyDescent="0.45">
      <c r="A1101" t="str">
        <f>IF(PNL!A1101="","",PNL!A1101)</f>
        <v/>
      </c>
      <c r="B1101" t="str">
        <f>IF(PNL!B1101="","",PNL!B1101)</f>
        <v/>
      </c>
      <c r="C1101" t="str">
        <f>IF(PNL!C1101="","",PNL!C1101)</f>
        <v/>
      </c>
      <c r="D1101" t="str">
        <f>IF(PNL!D1101="","",PNL!D1101)</f>
        <v/>
      </c>
      <c r="E1101" t="str">
        <f t="shared" si="187"/>
        <v/>
      </c>
      <c r="F1101" t="str">
        <f>IF($A1101="","",IF($E1101=1,SUMIFS(Compta!$F$1:$F$675,Compta!$A$1:$A$675,$A1101,Compta!$B$1:$B$675,$B1101,Compta!$C$1:$C$675,"2026"),0))</f>
        <v/>
      </c>
      <c r="G1101" t="str">
        <f t="shared" si="188"/>
        <v/>
      </c>
      <c r="H1101" t="str">
        <f t="shared" si="189"/>
        <v/>
      </c>
      <c r="I1101" t="str">
        <f t="shared" si="190"/>
        <v/>
      </c>
      <c r="J1101" t="str">
        <f t="shared" si="191"/>
        <v/>
      </c>
      <c r="K1101" t="str">
        <f t="shared" si="192"/>
        <v/>
      </c>
      <c r="L1101" t="str">
        <f t="shared" si="193"/>
        <v/>
      </c>
      <c r="M1101" t="str">
        <f t="shared" si="194"/>
        <v/>
      </c>
      <c r="N1101" t="str">
        <f t="shared" si="195"/>
        <v/>
      </c>
      <c r="O1101" t="str">
        <f t="shared" si="196"/>
        <v/>
      </c>
      <c r="P1101" t="str">
        <f>IF($A1101="","",IF($E1101=1,$F1101*$O1101,PNL!G1101))</f>
        <v/>
      </c>
      <c r="T1101" t="str">
        <f t="shared" si="197"/>
        <v/>
      </c>
    </row>
    <row r="1102" spans="1:20" x14ac:dyDescent="0.45">
      <c r="A1102" t="str">
        <f>IF(PNL!A1102="","",PNL!A1102)</f>
        <v/>
      </c>
      <c r="B1102" t="str">
        <f>IF(PNL!B1102="","",PNL!B1102)</f>
        <v/>
      </c>
      <c r="C1102" t="str">
        <f>IF(PNL!C1102="","",PNL!C1102)</f>
        <v/>
      </c>
      <c r="D1102" t="str">
        <f>IF(PNL!D1102="","",PNL!D1102)</f>
        <v/>
      </c>
      <c r="E1102" t="str">
        <f t="shared" si="187"/>
        <v/>
      </c>
      <c r="F1102" t="str">
        <f>IF($A1102="","",IF($E1102=1,SUMIFS(Compta!$F$1:$F$675,Compta!$A$1:$A$675,$A1102,Compta!$B$1:$B$675,$B1102,Compta!$C$1:$C$675,"2026"),0))</f>
        <v/>
      </c>
      <c r="G1102" t="str">
        <f t="shared" si="188"/>
        <v/>
      </c>
      <c r="H1102" t="str">
        <f t="shared" si="189"/>
        <v/>
      </c>
      <c r="I1102" t="str">
        <f t="shared" si="190"/>
        <v/>
      </c>
      <c r="J1102" t="str">
        <f t="shared" si="191"/>
        <v/>
      </c>
      <c r="K1102" t="str">
        <f t="shared" si="192"/>
        <v/>
      </c>
      <c r="L1102" t="str">
        <f t="shared" si="193"/>
        <v/>
      </c>
      <c r="M1102" t="str">
        <f t="shared" si="194"/>
        <v/>
      </c>
      <c r="N1102" t="str">
        <f t="shared" si="195"/>
        <v/>
      </c>
      <c r="O1102" t="str">
        <f t="shared" si="196"/>
        <v/>
      </c>
      <c r="P1102" t="str">
        <f>IF($A1102="","",IF($E1102=1,$F1102*$O1102,PNL!G1102))</f>
        <v/>
      </c>
      <c r="T1102" t="str">
        <f t="shared" si="197"/>
        <v/>
      </c>
    </row>
    <row r="1103" spans="1:20" x14ac:dyDescent="0.45">
      <c r="A1103" t="str">
        <f>IF(PNL!A1103="","",PNL!A1103)</f>
        <v/>
      </c>
      <c r="B1103" t="str">
        <f>IF(PNL!B1103="","",PNL!B1103)</f>
        <v/>
      </c>
      <c r="C1103" t="str">
        <f>IF(PNL!C1103="","",PNL!C1103)</f>
        <v/>
      </c>
      <c r="D1103" t="str">
        <f>IF(PNL!D1103="","",PNL!D1103)</f>
        <v/>
      </c>
      <c r="E1103" t="str">
        <f t="shared" si="187"/>
        <v/>
      </c>
      <c r="F1103" t="str">
        <f>IF($A1103="","",IF($E1103=1,SUMIFS(Compta!$F$1:$F$675,Compta!$A$1:$A$675,$A1103,Compta!$B$1:$B$675,$B1103,Compta!$C$1:$C$675,"2026"),0))</f>
        <v/>
      </c>
      <c r="G1103" t="str">
        <f t="shared" si="188"/>
        <v/>
      </c>
      <c r="H1103" t="str">
        <f t="shared" si="189"/>
        <v/>
      </c>
      <c r="I1103" t="str">
        <f t="shared" si="190"/>
        <v/>
      </c>
      <c r="J1103" t="str">
        <f t="shared" si="191"/>
        <v/>
      </c>
      <c r="K1103" t="str">
        <f t="shared" si="192"/>
        <v/>
      </c>
      <c r="L1103" t="str">
        <f t="shared" si="193"/>
        <v/>
      </c>
      <c r="M1103" t="str">
        <f t="shared" si="194"/>
        <v/>
      </c>
      <c r="N1103" t="str">
        <f t="shared" si="195"/>
        <v/>
      </c>
      <c r="O1103" t="str">
        <f t="shared" si="196"/>
        <v/>
      </c>
      <c r="P1103" t="str">
        <f>IF($A1103="","",IF($E1103=1,$F1103*$O1103,PNL!G1103))</f>
        <v/>
      </c>
      <c r="T1103" t="str">
        <f t="shared" si="197"/>
        <v/>
      </c>
    </row>
    <row r="1104" spans="1:20" x14ac:dyDescent="0.45">
      <c r="A1104" t="str">
        <f>IF(PNL!A1104="","",PNL!A1104)</f>
        <v/>
      </c>
      <c r="B1104" t="str">
        <f>IF(PNL!B1104="","",PNL!B1104)</f>
        <v/>
      </c>
      <c r="C1104" t="str">
        <f>IF(PNL!C1104="","",PNL!C1104)</f>
        <v/>
      </c>
      <c r="D1104" t="str">
        <f>IF(PNL!D1104="","",PNL!D1104)</f>
        <v/>
      </c>
      <c r="E1104" t="str">
        <f t="shared" si="187"/>
        <v/>
      </c>
      <c r="F1104" t="str">
        <f>IF($A1104="","",IF($E1104=1,SUMIFS(Compta!$F$1:$F$675,Compta!$A$1:$A$675,$A1104,Compta!$B$1:$B$675,$B1104,Compta!$C$1:$C$675,"2026"),0))</f>
        <v/>
      </c>
      <c r="G1104" t="str">
        <f t="shared" si="188"/>
        <v/>
      </c>
      <c r="H1104" t="str">
        <f t="shared" si="189"/>
        <v/>
      </c>
      <c r="I1104" t="str">
        <f t="shared" si="190"/>
        <v/>
      </c>
      <c r="J1104" t="str">
        <f t="shared" si="191"/>
        <v/>
      </c>
      <c r="K1104" t="str">
        <f t="shared" si="192"/>
        <v/>
      </c>
      <c r="L1104" t="str">
        <f t="shared" si="193"/>
        <v/>
      </c>
      <c r="M1104" t="str">
        <f t="shared" si="194"/>
        <v/>
      </c>
      <c r="N1104" t="str">
        <f t="shared" si="195"/>
        <v/>
      </c>
      <c r="O1104" t="str">
        <f t="shared" si="196"/>
        <v/>
      </c>
      <c r="P1104" t="str">
        <f>IF($A1104="","",IF($E1104=1,$F1104*$O1104,PNL!G1104))</f>
        <v/>
      </c>
      <c r="T1104" t="str">
        <f t="shared" si="197"/>
        <v/>
      </c>
    </row>
    <row r="1105" spans="1:20" x14ac:dyDescent="0.45">
      <c r="A1105" t="str">
        <f>IF(PNL!A1105="","",PNL!A1105)</f>
        <v/>
      </c>
      <c r="B1105" t="str">
        <f>IF(PNL!B1105="","",PNL!B1105)</f>
        <v/>
      </c>
      <c r="C1105" t="str">
        <f>IF(PNL!C1105="","",PNL!C1105)</f>
        <v/>
      </c>
      <c r="D1105" t="str">
        <f>IF(PNL!D1105="","",PNL!D1105)</f>
        <v/>
      </c>
      <c r="E1105" t="str">
        <f t="shared" si="187"/>
        <v/>
      </c>
      <c r="F1105" t="str">
        <f>IF($A1105="","",IF($E1105=1,SUMIFS(Compta!$F$1:$F$675,Compta!$A$1:$A$675,$A1105,Compta!$B$1:$B$675,$B1105,Compta!$C$1:$C$675,"2026"),0))</f>
        <v/>
      </c>
      <c r="G1105" t="str">
        <f t="shared" si="188"/>
        <v/>
      </c>
      <c r="H1105" t="str">
        <f t="shared" si="189"/>
        <v/>
      </c>
      <c r="I1105" t="str">
        <f t="shared" si="190"/>
        <v/>
      </c>
      <c r="J1105" t="str">
        <f t="shared" si="191"/>
        <v/>
      </c>
      <c r="K1105" t="str">
        <f t="shared" si="192"/>
        <v/>
      </c>
      <c r="L1105" t="str">
        <f t="shared" si="193"/>
        <v/>
      </c>
      <c r="M1105" t="str">
        <f t="shared" si="194"/>
        <v/>
      </c>
      <c r="N1105" t="str">
        <f t="shared" si="195"/>
        <v/>
      </c>
      <c r="O1105" t="str">
        <f t="shared" si="196"/>
        <v/>
      </c>
      <c r="P1105" t="str">
        <f>IF($A1105="","",IF($E1105=1,$F1105*$O1105,PNL!G1105))</f>
        <v/>
      </c>
      <c r="T1105" t="str">
        <f t="shared" si="197"/>
        <v/>
      </c>
    </row>
    <row r="1106" spans="1:20" x14ac:dyDescent="0.45">
      <c r="A1106" t="str">
        <f>IF(PNL!A1106="","",PNL!A1106)</f>
        <v/>
      </c>
      <c r="B1106" t="str">
        <f>IF(PNL!B1106="","",PNL!B1106)</f>
        <v/>
      </c>
      <c r="C1106" t="str">
        <f>IF(PNL!C1106="","",PNL!C1106)</f>
        <v/>
      </c>
      <c r="D1106" t="str">
        <f>IF(PNL!D1106="","",PNL!D1106)</f>
        <v/>
      </c>
      <c r="E1106" t="str">
        <f t="shared" si="187"/>
        <v/>
      </c>
      <c r="F1106" t="str">
        <f>IF($A1106="","",IF($E1106=1,SUMIFS(Compta!$F$1:$F$675,Compta!$A$1:$A$675,$A1106,Compta!$B$1:$B$675,$B1106,Compta!$C$1:$C$675,"2026"),0))</f>
        <v/>
      </c>
      <c r="G1106" t="str">
        <f t="shared" si="188"/>
        <v/>
      </c>
      <c r="H1106" t="str">
        <f t="shared" si="189"/>
        <v/>
      </c>
      <c r="I1106" t="str">
        <f t="shared" si="190"/>
        <v/>
      </c>
      <c r="J1106" t="str">
        <f t="shared" si="191"/>
        <v/>
      </c>
      <c r="K1106" t="str">
        <f t="shared" si="192"/>
        <v/>
      </c>
      <c r="L1106" t="str">
        <f t="shared" si="193"/>
        <v/>
      </c>
      <c r="M1106" t="str">
        <f t="shared" si="194"/>
        <v/>
      </c>
      <c r="N1106" t="str">
        <f t="shared" si="195"/>
        <v/>
      </c>
      <c r="O1106" t="str">
        <f t="shared" si="196"/>
        <v/>
      </c>
      <c r="P1106" t="str">
        <f>IF($A1106="","",IF($E1106=1,$F1106*$O1106,PNL!G1106))</f>
        <v/>
      </c>
      <c r="T1106" t="str">
        <f t="shared" si="197"/>
        <v/>
      </c>
    </row>
    <row r="1107" spans="1:20" x14ac:dyDescent="0.45">
      <c r="A1107" t="str">
        <f>IF(PNL!A1107="","",PNL!A1107)</f>
        <v/>
      </c>
      <c r="B1107" t="str">
        <f>IF(PNL!B1107="","",PNL!B1107)</f>
        <v/>
      </c>
      <c r="C1107" t="str">
        <f>IF(PNL!C1107="","",PNL!C1107)</f>
        <v/>
      </c>
      <c r="D1107" t="str">
        <f>IF(PNL!D1107="","",PNL!D1107)</f>
        <v/>
      </c>
      <c r="E1107" t="str">
        <f t="shared" si="187"/>
        <v/>
      </c>
      <c r="F1107" t="str">
        <f>IF($A1107="","",IF($E1107=1,SUMIFS(Compta!$F$1:$F$675,Compta!$A$1:$A$675,$A1107,Compta!$B$1:$B$675,$B1107,Compta!$C$1:$C$675,"2026"),0))</f>
        <v/>
      </c>
      <c r="G1107" t="str">
        <f t="shared" si="188"/>
        <v/>
      </c>
      <c r="H1107" t="str">
        <f t="shared" si="189"/>
        <v/>
      </c>
      <c r="I1107" t="str">
        <f t="shared" si="190"/>
        <v/>
      </c>
      <c r="J1107" t="str">
        <f t="shared" si="191"/>
        <v/>
      </c>
      <c r="K1107" t="str">
        <f t="shared" si="192"/>
        <v/>
      </c>
      <c r="L1107" t="str">
        <f t="shared" si="193"/>
        <v/>
      </c>
      <c r="M1107" t="str">
        <f t="shared" si="194"/>
        <v/>
      </c>
      <c r="N1107" t="str">
        <f t="shared" si="195"/>
        <v/>
      </c>
      <c r="O1107" t="str">
        <f t="shared" si="196"/>
        <v/>
      </c>
      <c r="P1107" t="str">
        <f>IF($A1107="","",IF($E1107=1,$F1107*$O1107,PNL!G1107))</f>
        <v/>
      </c>
      <c r="T1107" t="str">
        <f t="shared" si="197"/>
        <v/>
      </c>
    </row>
    <row r="1108" spans="1:20" x14ac:dyDescent="0.45">
      <c r="A1108" t="str">
        <f>IF(PNL!A1108="","",PNL!A1108)</f>
        <v/>
      </c>
      <c r="B1108" t="str">
        <f>IF(PNL!B1108="","",PNL!B1108)</f>
        <v/>
      </c>
      <c r="C1108" t="str">
        <f>IF(PNL!C1108="","",PNL!C1108)</f>
        <v/>
      </c>
      <c r="D1108" t="str">
        <f>IF(PNL!D1108="","",PNL!D1108)</f>
        <v/>
      </c>
      <c r="E1108" t="str">
        <f t="shared" si="187"/>
        <v/>
      </c>
      <c r="F1108" t="str">
        <f>IF($A1108="","",IF($E1108=1,SUMIFS(Compta!$F$1:$F$675,Compta!$A$1:$A$675,$A1108,Compta!$B$1:$B$675,$B1108,Compta!$C$1:$C$675,"2026"),0))</f>
        <v/>
      </c>
      <c r="G1108" t="str">
        <f t="shared" si="188"/>
        <v/>
      </c>
      <c r="H1108" t="str">
        <f t="shared" si="189"/>
        <v/>
      </c>
      <c r="I1108" t="str">
        <f t="shared" si="190"/>
        <v/>
      </c>
      <c r="J1108" t="str">
        <f t="shared" si="191"/>
        <v/>
      </c>
      <c r="K1108" t="str">
        <f t="shared" si="192"/>
        <v/>
      </c>
      <c r="L1108" t="str">
        <f t="shared" si="193"/>
        <v/>
      </c>
      <c r="M1108" t="str">
        <f t="shared" si="194"/>
        <v/>
      </c>
      <c r="N1108" t="str">
        <f t="shared" si="195"/>
        <v/>
      </c>
      <c r="O1108" t="str">
        <f t="shared" si="196"/>
        <v/>
      </c>
      <c r="P1108" t="str">
        <f>IF($A1108="","",IF($E1108=1,$F1108*$O1108,PNL!G1108))</f>
        <v/>
      </c>
      <c r="T1108" t="str">
        <f t="shared" si="197"/>
        <v/>
      </c>
    </row>
    <row r="1109" spans="1:20" x14ac:dyDescent="0.45">
      <c r="A1109" t="str">
        <f>IF(PNL!A1109="","",PNL!A1109)</f>
        <v/>
      </c>
      <c r="B1109" t="str">
        <f>IF(PNL!B1109="","",PNL!B1109)</f>
        <v/>
      </c>
      <c r="C1109" t="str">
        <f>IF(PNL!C1109="","",PNL!C1109)</f>
        <v/>
      </c>
      <c r="D1109" t="str">
        <f>IF(PNL!D1109="","",PNL!D1109)</f>
        <v/>
      </c>
      <c r="E1109" t="str">
        <f t="shared" si="187"/>
        <v/>
      </c>
      <c r="F1109" t="str">
        <f>IF($A1109="","",IF($E1109=1,SUMIFS(Compta!$F$1:$F$675,Compta!$A$1:$A$675,$A1109,Compta!$B$1:$B$675,$B1109,Compta!$C$1:$C$675,"2026"),0))</f>
        <v/>
      </c>
      <c r="G1109" t="str">
        <f t="shared" si="188"/>
        <v/>
      </c>
      <c r="H1109" t="str">
        <f t="shared" si="189"/>
        <v/>
      </c>
      <c r="I1109" t="str">
        <f t="shared" si="190"/>
        <v/>
      </c>
      <c r="J1109" t="str">
        <f t="shared" si="191"/>
        <v/>
      </c>
      <c r="K1109" t="str">
        <f t="shared" si="192"/>
        <v/>
      </c>
      <c r="L1109" t="str">
        <f t="shared" si="193"/>
        <v/>
      </c>
      <c r="M1109" t="str">
        <f t="shared" si="194"/>
        <v/>
      </c>
      <c r="N1109" t="str">
        <f t="shared" si="195"/>
        <v/>
      </c>
      <c r="O1109" t="str">
        <f t="shared" si="196"/>
        <v/>
      </c>
      <c r="P1109" t="str">
        <f>IF($A1109="","",IF($E1109=1,$F1109*$O1109,PNL!G1109))</f>
        <v/>
      </c>
      <c r="T1109" t="str">
        <f t="shared" si="197"/>
        <v/>
      </c>
    </row>
    <row r="1110" spans="1:20" x14ac:dyDescent="0.45">
      <c r="A1110" t="str">
        <f>IF(PNL!A1110="","",PNL!A1110)</f>
        <v/>
      </c>
      <c r="B1110" t="str">
        <f>IF(PNL!B1110="","",PNL!B1110)</f>
        <v/>
      </c>
      <c r="C1110" t="str">
        <f>IF(PNL!C1110="","",PNL!C1110)</f>
        <v/>
      </c>
      <c r="D1110" t="str">
        <f>IF(PNL!D1110="","",PNL!D1110)</f>
        <v/>
      </c>
      <c r="E1110" t="str">
        <f t="shared" si="187"/>
        <v/>
      </c>
      <c r="F1110" t="str">
        <f>IF($A1110="","",IF($E1110=1,SUMIFS(Compta!$F$1:$F$675,Compta!$A$1:$A$675,$A1110,Compta!$B$1:$B$675,$B1110,Compta!$C$1:$C$675,"2026"),0))</f>
        <v/>
      </c>
      <c r="G1110" t="str">
        <f t="shared" si="188"/>
        <v/>
      </c>
      <c r="H1110" t="str">
        <f t="shared" si="189"/>
        <v/>
      </c>
      <c r="I1110" t="str">
        <f t="shared" si="190"/>
        <v/>
      </c>
      <c r="J1110" t="str">
        <f t="shared" si="191"/>
        <v/>
      </c>
      <c r="K1110" t="str">
        <f t="shared" si="192"/>
        <v/>
      </c>
      <c r="L1110" t="str">
        <f t="shared" si="193"/>
        <v/>
      </c>
      <c r="M1110" t="str">
        <f t="shared" si="194"/>
        <v/>
      </c>
      <c r="N1110" t="str">
        <f t="shared" si="195"/>
        <v/>
      </c>
      <c r="O1110" t="str">
        <f t="shared" si="196"/>
        <v/>
      </c>
      <c r="P1110" t="str">
        <f>IF($A1110="","",IF($E1110=1,$F1110*$O1110,PNL!G1110))</f>
        <v/>
      </c>
      <c r="T1110" t="str">
        <f t="shared" si="197"/>
        <v/>
      </c>
    </row>
    <row r="1111" spans="1:20" x14ac:dyDescent="0.45">
      <c r="A1111" t="str">
        <f>IF(PNL!A1111="","",PNL!A1111)</f>
        <v/>
      </c>
      <c r="B1111" t="str">
        <f>IF(PNL!B1111="","",PNL!B1111)</f>
        <v/>
      </c>
      <c r="C1111" t="str">
        <f>IF(PNL!C1111="","",PNL!C1111)</f>
        <v/>
      </c>
      <c r="D1111" t="str">
        <f>IF(PNL!D1111="","",PNL!D1111)</f>
        <v/>
      </c>
      <c r="E1111" t="str">
        <f t="shared" si="187"/>
        <v/>
      </c>
      <c r="F1111" t="str">
        <f>IF($A1111="","",IF($E1111=1,SUMIFS(Compta!$F$1:$F$675,Compta!$A$1:$A$675,$A1111,Compta!$B$1:$B$675,$B1111,Compta!$C$1:$C$675,"2026"),0))</f>
        <v/>
      </c>
      <c r="G1111" t="str">
        <f t="shared" si="188"/>
        <v/>
      </c>
      <c r="H1111" t="str">
        <f t="shared" si="189"/>
        <v/>
      </c>
      <c r="I1111" t="str">
        <f t="shared" si="190"/>
        <v/>
      </c>
      <c r="J1111" t="str">
        <f t="shared" si="191"/>
        <v/>
      </c>
      <c r="K1111" t="str">
        <f t="shared" si="192"/>
        <v/>
      </c>
      <c r="L1111" t="str">
        <f t="shared" si="193"/>
        <v/>
      </c>
      <c r="M1111" t="str">
        <f t="shared" si="194"/>
        <v/>
      </c>
      <c r="N1111" t="str">
        <f t="shared" si="195"/>
        <v/>
      </c>
      <c r="O1111" t="str">
        <f t="shared" si="196"/>
        <v/>
      </c>
      <c r="P1111" t="str">
        <f>IF($A1111="","",IF($E1111=1,$F1111*$O1111,PNL!G1111))</f>
        <v/>
      </c>
      <c r="T1111" t="str">
        <f t="shared" si="197"/>
        <v/>
      </c>
    </row>
    <row r="1112" spans="1:20" x14ac:dyDescent="0.45">
      <c r="A1112" t="str">
        <f>IF(PNL!A1112="","",PNL!A1112)</f>
        <v/>
      </c>
      <c r="B1112" t="str">
        <f>IF(PNL!B1112="","",PNL!B1112)</f>
        <v/>
      </c>
      <c r="C1112" t="str">
        <f>IF(PNL!C1112="","",PNL!C1112)</f>
        <v/>
      </c>
      <c r="D1112" t="str">
        <f>IF(PNL!D1112="","",PNL!D1112)</f>
        <v/>
      </c>
      <c r="E1112" t="str">
        <f t="shared" si="187"/>
        <v/>
      </c>
      <c r="F1112" t="str">
        <f>IF($A1112="","",IF($E1112=1,SUMIFS(Compta!$F$1:$F$675,Compta!$A$1:$A$675,$A1112,Compta!$B$1:$B$675,$B1112,Compta!$C$1:$C$675,"2026"),0))</f>
        <v/>
      </c>
      <c r="G1112" t="str">
        <f t="shared" si="188"/>
        <v/>
      </c>
      <c r="H1112" t="str">
        <f t="shared" si="189"/>
        <v/>
      </c>
      <c r="I1112" t="str">
        <f t="shared" si="190"/>
        <v/>
      </c>
      <c r="J1112" t="str">
        <f t="shared" si="191"/>
        <v/>
      </c>
      <c r="K1112" t="str">
        <f t="shared" si="192"/>
        <v/>
      </c>
      <c r="L1112" t="str">
        <f t="shared" si="193"/>
        <v/>
      </c>
      <c r="M1112" t="str">
        <f t="shared" si="194"/>
        <v/>
      </c>
      <c r="N1112" t="str">
        <f t="shared" si="195"/>
        <v/>
      </c>
      <c r="O1112" t="str">
        <f t="shared" si="196"/>
        <v/>
      </c>
      <c r="P1112" t="str">
        <f>IF($A1112="","",IF($E1112=1,$F1112*$O1112,PNL!G1112))</f>
        <v/>
      </c>
      <c r="T1112" t="str">
        <f t="shared" si="197"/>
        <v/>
      </c>
    </row>
    <row r="1113" spans="1:20" x14ac:dyDescent="0.45">
      <c r="A1113" t="str">
        <f>IF(PNL!A1113="","",PNL!A1113)</f>
        <v/>
      </c>
      <c r="B1113" t="str">
        <f>IF(PNL!B1113="","",PNL!B1113)</f>
        <v/>
      </c>
      <c r="C1113" t="str">
        <f>IF(PNL!C1113="","",PNL!C1113)</f>
        <v/>
      </c>
      <c r="D1113" t="str">
        <f>IF(PNL!D1113="","",PNL!D1113)</f>
        <v/>
      </c>
      <c r="E1113" t="str">
        <f t="shared" si="187"/>
        <v/>
      </c>
      <c r="F1113" t="str">
        <f>IF($A1113="","",IF($E1113=1,SUMIFS(Compta!$F$1:$F$675,Compta!$A$1:$A$675,$A1113,Compta!$B$1:$B$675,$B1113,Compta!$C$1:$C$675,"2026"),0))</f>
        <v/>
      </c>
      <c r="G1113" t="str">
        <f t="shared" si="188"/>
        <v/>
      </c>
      <c r="H1113" t="str">
        <f t="shared" si="189"/>
        <v/>
      </c>
      <c r="I1113" t="str">
        <f t="shared" si="190"/>
        <v/>
      </c>
      <c r="J1113" t="str">
        <f t="shared" si="191"/>
        <v/>
      </c>
      <c r="K1113" t="str">
        <f t="shared" si="192"/>
        <v/>
      </c>
      <c r="L1113" t="str">
        <f t="shared" si="193"/>
        <v/>
      </c>
      <c r="M1113" t="str">
        <f t="shared" si="194"/>
        <v/>
      </c>
      <c r="N1113" t="str">
        <f t="shared" si="195"/>
        <v/>
      </c>
      <c r="O1113" t="str">
        <f t="shared" si="196"/>
        <v/>
      </c>
      <c r="P1113" t="str">
        <f>IF($A1113="","",IF($E1113=1,$F1113*$O1113,PNL!G1113))</f>
        <v/>
      </c>
      <c r="T1113" t="str">
        <f t="shared" si="197"/>
        <v/>
      </c>
    </row>
    <row r="1114" spans="1:20" x14ac:dyDescent="0.45">
      <c r="A1114" t="str">
        <f>IF(PNL!A1114="","",PNL!A1114)</f>
        <v/>
      </c>
      <c r="B1114" t="str">
        <f>IF(PNL!B1114="","",PNL!B1114)</f>
        <v/>
      </c>
      <c r="C1114" t="str">
        <f>IF(PNL!C1114="","",PNL!C1114)</f>
        <v/>
      </c>
      <c r="D1114" t="str">
        <f>IF(PNL!D1114="","",PNL!D1114)</f>
        <v/>
      </c>
      <c r="E1114" t="str">
        <f t="shared" si="187"/>
        <v/>
      </c>
      <c r="F1114" t="str">
        <f>IF($A1114="","",IF($E1114=1,SUMIFS(Compta!$F$1:$F$675,Compta!$A$1:$A$675,$A1114,Compta!$B$1:$B$675,$B1114,Compta!$C$1:$C$675,"2026"),0))</f>
        <v/>
      </c>
      <c r="G1114" t="str">
        <f t="shared" si="188"/>
        <v/>
      </c>
      <c r="H1114" t="str">
        <f t="shared" si="189"/>
        <v/>
      </c>
      <c r="I1114" t="str">
        <f t="shared" si="190"/>
        <v/>
      </c>
      <c r="J1114" t="str">
        <f t="shared" si="191"/>
        <v/>
      </c>
      <c r="K1114" t="str">
        <f t="shared" si="192"/>
        <v/>
      </c>
      <c r="L1114" t="str">
        <f t="shared" si="193"/>
        <v/>
      </c>
      <c r="M1114" t="str">
        <f t="shared" si="194"/>
        <v/>
      </c>
      <c r="N1114" t="str">
        <f t="shared" si="195"/>
        <v/>
      </c>
      <c r="O1114" t="str">
        <f t="shared" si="196"/>
        <v/>
      </c>
      <c r="P1114" t="str">
        <f>IF($A1114="","",IF($E1114=1,$F1114*$O1114,PNL!G1114))</f>
        <v/>
      </c>
      <c r="T1114" t="str">
        <f t="shared" si="197"/>
        <v/>
      </c>
    </row>
    <row r="1115" spans="1:20" x14ac:dyDescent="0.45">
      <c r="A1115" t="str">
        <f>IF(PNL!A1115="","",PNL!A1115)</f>
        <v/>
      </c>
      <c r="B1115" t="str">
        <f>IF(PNL!B1115="","",PNL!B1115)</f>
        <v/>
      </c>
      <c r="C1115" t="str">
        <f>IF(PNL!C1115="","",PNL!C1115)</f>
        <v/>
      </c>
      <c r="D1115" t="str">
        <f>IF(PNL!D1115="","",PNL!D1115)</f>
        <v/>
      </c>
      <c r="E1115" t="str">
        <f t="shared" si="187"/>
        <v/>
      </c>
      <c r="F1115" t="str">
        <f>IF($A1115="","",IF($E1115=1,SUMIFS(Compta!$F$1:$F$675,Compta!$A$1:$A$675,$A1115,Compta!$B$1:$B$675,$B1115,Compta!$C$1:$C$675,"2026"),0))</f>
        <v/>
      </c>
      <c r="G1115" t="str">
        <f t="shared" si="188"/>
        <v/>
      </c>
      <c r="H1115" t="str">
        <f t="shared" si="189"/>
        <v/>
      </c>
      <c r="I1115" t="str">
        <f t="shared" si="190"/>
        <v/>
      </c>
      <c r="J1115" t="str">
        <f t="shared" si="191"/>
        <v/>
      </c>
      <c r="K1115" t="str">
        <f t="shared" si="192"/>
        <v/>
      </c>
      <c r="L1115" t="str">
        <f t="shared" si="193"/>
        <v/>
      </c>
      <c r="M1115" t="str">
        <f t="shared" si="194"/>
        <v/>
      </c>
      <c r="N1115" t="str">
        <f t="shared" si="195"/>
        <v/>
      </c>
      <c r="O1115" t="str">
        <f t="shared" si="196"/>
        <v/>
      </c>
      <c r="P1115" t="str">
        <f>IF($A1115="","",IF($E1115=1,$F1115*$O1115,PNL!G1115))</f>
        <v/>
      </c>
      <c r="T1115" t="str">
        <f t="shared" si="197"/>
        <v/>
      </c>
    </row>
    <row r="1116" spans="1:20" x14ac:dyDescent="0.45">
      <c r="A1116" t="str">
        <f>IF(PNL!A1116="","",PNL!A1116)</f>
        <v/>
      </c>
      <c r="B1116" t="str">
        <f>IF(PNL!B1116="","",PNL!B1116)</f>
        <v/>
      </c>
      <c r="C1116" t="str">
        <f>IF(PNL!C1116="","",PNL!C1116)</f>
        <v/>
      </c>
      <c r="D1116" t="str">
        <f>IF(PNL!D1116="","",PNL!D1116)</f>
        <v/>
      </c>
      <c r="E1116" t="str">
        <f t="shared" si="187"/>
        <v/>
      </c>
      <c r="F1116" t="str">
        <f>IF($A1116="","",IF($E1116=1,SUMIFS(Compta!$F$1:$F$675,Compta!$A$1:$A$675,$A1116,Compta!$B$1:$B$675,$B1116,Compta!$C$1:$C$675,"2026"),0))</f>
        <v/>
      </c>
      <c r="G1116" t="str">
        <f t="shared" si="188"/>
        <v/>
      </c>
      <c r="H1116" t="str">
        <f t="shared" si="189"/>
        <v/>
      </c>
      <c r="I1116" t="str">
        <f t="shared" si="190"/>
        <v/>
      </c>
      <c r="J1116" t="str">
        <f t="shared" si="191"/>
        <v/>
      </c>
      <c r="K1116" t="str">
        <f t="shared" si="192"/>
        <v/>
      </c>
      <c r="L1116" t="str">
        <f t="shared" si="193"/>
        <v/>
      </c>
      <c r="M1116" t="str">
        <f t="shared" si="194"/>
        <v/>
      </c>
      <c r="N1116" t="str">
        <f t="shared" si="195"/>
        <v/>
      </c>
      <c r="O1116" t="str">
        <f t="shared" si="196"/>
        <v/>
      </c>
      <c r="P1116" t="str">
        <f>IF($A1116="","",IF($E1116=1,$F1116*$O1116,PNL!G1116))</f>
        <v/>
      </c>
      <c r="T1116" t="str">
        <f t="shared" si="197"/>
        <v/>
      </c>
    </row>
    <row r="1117" spans="1:20" x14ac:dyDescent="0.45">
      <c r="A1117" t="str">
        <f>IF(PNL!A1117="","",PNL!A1117)</f>
        <v/>
      </c>
      <c r="B1117" t="str">
        <f>IF(PNL!B1117="","",PNL!B1117)</f>
        <v/>
      </c>
      <c r="C1117" t="str">
        <f>IF(PNL!C1117="","",PNL!C1117)</f>
        <v/>
      </c>
      <c r="D1117" t="str">
        <f>IF(PNL!D1117="","",PNL!D1117)</f>
        <v/>
      </c>
      <c r="E1117" t="str">
        <f t="shared" si="187"/>
        <v/>
      </c>
      <c r="F1117" t="str">
        <f>IF($A1117="","",IF($E1117=1,SUMIFS(Compta!$F$1:$F$675,Compta!$A$1:$A$675,$A1117,Compta!$B$1:$B$675,$B1117,Compta!$C$1:$C$675,"2026"),0))</f>
        <v/>
      </c>
      <c r="G1117" t="str">
        <f t="shared" si="188"/>
        <v/>
      </c>
      <c r="H1117" t="str">
        <f t="shared" si="189"/>
        <v/>
      </c>
      <c r="I1117" t="str">
        <f t="shared" si="190"/>
        <v/>
      </c>
      <c r="J1117" t="str">
        <f t="shared" si="191"/>
        <v/>
      </c>
      <c r="K1117" t="str">
        <f t="shared" si="192"/>
        <v/>
      </c>
      <c r="L1117" t="str">
        <f t="shared" si="193"/>
        <v/>
      </c>
      <c r="M1117" t="str">
        <f t="shared" si="194"/>
        <v/>
      </c>
      <c r="N1117" t="str">
        <f t="shared" si="195"/>
        <v/>
      </c>
      <c r="O1117" t="str">
        <f t="shared" si="196"/>
        <v/>
      </c>
      <c r="P1117" t="str">
        <f>IF($A1117="","",IF($E1117=1,$F1117*$O1117,PNL!G1117))</f>
        <v/>
      </c>
      <c r="T1117" t="str">
        <f t="shared" si="197"/>
        <v/>
      </c>
    </row>
    <row r="1118" spans="1:20" x14ac:dyDescent="0.45">
      <c r="A1118" t="str">
        <f>IF(PNL!A1118="","",PNL!A1118)</f>
        <v/>
      </c>
      <c r="B1118" t="str">
        <f>IF(PNL!B1118="","",PNL!B1118)</f>
        <v/>
      </c>
      <c r="C1118" t="str">
        <f>IF(PNL!C1118="","",PNL!C1118)</f>
        <v/>
      </c>
      <c r="D1118" t="str">
        <f>IF(PNL!D1118="","",PNL!D1118)</f>
        <v/>
      </c>
      <c r="E1118" t="str">
        <f t="shared" si="187"/>
        <v/>
      </c>
      <c r="F1118" t="str">
        <f>IF($A1118="","",IF($E1118=1,SUMIFS(Compta!$F$1:$F$675,Compta!$A$1:$A$675,$A1118,Compta!$B$1:$B$675,$B1118,Compta!$C$1:$C$675,"2026"),0))</f>
        <v/>
      </c>
      <c r="G1118" t="str">
        <f t="shared" si="188"/>
        <v/>
      </c>
      <c r="H1118" t="str">
        <f t="shared" si="189"/>
        <v/>
      </c>
      <c r="I1118" t="str">
        <f t="shared" si="190"/>
        <v/>
      </c>
      <c r="J1118" t="str">
        <f t="shared" si="191"/>
        <v/>
      </c>
      <c r="K1118" t="str">
        <f t="shared" si="192"/>
        <v/>
      </c>
      <c r="L1118" t="str">
        <f t="shared" si="193"/>
        <v/>
      </c>
      <c r="M1118" t="str">
        <f t="shared" si="194"/>
        <v/>
      </c>
      <c r="N1118" t="str">
        <f t="shared" si="195"/>
        <v/>
      </c>
      <c r="O1118" t="str">
        <f t="shared" si="196"/>
        <v/>
      </c>
      <c r="P1118" t="str">
        <f>IF($A1118="","",IF($E1118=1,$F1118*$O1118,PNL!G1118))</f>
        <v/>
      </c>
      <c r="T1118" t="str">
        <f t="shared" si="197"/>
        <v/>
      </c>
    </row>
    <row r="1119" spans="1:20" x14ac:dyDescent="0.45">
      <c r="A1119" t="str">
        <f>IF(PNL!A1119="","",PNL!A1119)</f>
        <v/>
      </c>
      <c r="B1119" t="str">
        <f>IF(PNL!B1119="","",PNL!B1119)</f>
        <v/>
      </c>
      <c r="C1119" t="str">
        <f>IF(PNL!C1119="","",PNL!C1119)</f>
        <v/>
      </c>
      <c r="D1119" t="str">
        <f>IF(PNL!D1119="","",PNL!D1119)</f>
        <v/>
      </c>
      <c r="E1119" t="str">
        <f t="shared" si="187"/>
        <v/>
      </c>
      <c r="F1119" t="str">
        <f>IF($A1119="","",IF($E1119=1,SUMIFS(Compta!$F$1:$F$675,Compta!$A$1:$A$675,$A1119,Compta!$B$1:$B$675,$B1119,Compta!$C$1:$C$675,"2026"),0))</f>
        <v/>
      </c>
      <c r="G1119" t="str">
        <f t="shared" si="188"/>
        <v/>
      </c>
      <c r="H1119" t="str">
        <f t="shared" si="189"/>
        <v/>
      </c>
      <c r="I1119" t="str">
        <f t="shared" si="190"/>
        <v/>
      </c>
      <c r="J1119" t="str">
        <f t="shared" si="191"/>
        <v/>
      </c>
      <c r="K1119" t="str">
        <f t="shared" si="192"/>
        <v/>
      </c>
      <c r="L1119" t="str">
        <f t="shared" si="193"/>
        <v/>
      </c>
      <c r="M1119" t="str">
        <f t="shared" si="194"/>
        <v/>
      </c>
      <c r="N1119" t="str">
        <f t="shared" si="195"/>
        <v/>
      </c>
      <c r="O1119" t="str">
        <f t="shared" si="196"/>
        <v/>
      </c>
      <c r="P1119" t="str">
        <f>IF($A1119="","",IF($E1119=1,$F1119*$O1119,PNL!G1119))</f>
        <v/>
      </c>
      <c r="T1119" t="str">
        <f t="shared" si="197"/>
        <v/>
      </c>
    </row>
    <row r="1120" spans="1:20" x14ac:dyDescent="0.45">
      <c r="A1120" t="str">
        <f>IF(PNL!A1120="","",PNL!A1120)</f>
        <v/>
      </c>
      <c r="B1120" t="str">
        <f>IF(PNL!B1120="","",PNL!B1120)</f>
        <v/>
      </c>
      <c r="C1120" t="str">
        <f>IF(PNL!C1120="","",PNL!C1120)</f>
        <v/>
      </c>
      <c r="D1120" t="str">
        <f>IF(PNL!D1120="","",PNL!D1120)</f>
        <v/>
      </c>
      <c r="E1120" t="str">
        <f t="shared" si="187"/>
        <v/>
      </c>
      <c r="F1120" t="str">
        <f>IF($A1120="","",IF($E1120=1,SUMIFS(Compta!$F$1:$F$675,Compta!$A$1:$A$675,$A1120,Compta!$B$1:$B$675,$B1120,Compta!$C$1:$C$675,"2026"),0))</f>
        <v/>
      </c>
      <c r="G1120" t="str">
        <f t="shared" si="188"/>
        <v/>
      </c>
      <c r="H1120" t="str">
        <f t="shared" si="189"/>
        <v/>
      </c>
      <c r="I1120" t="str">
        <f t="shared" si="190"/>
        <v/>
      </c>
      <c r="J1120" t="str">
        <f t="shared" si="191"/>
        <v/>
      </c>
      <c r="K1120" t="str">
        <f t="shared" si="192"/>
        <v/>
      </c>
      <c r="L1120" t="str">
        <f t="shared" si="193"/>
        <v/>
      </c>
      <c r="M1120" t="str">
        <f t="shared" si="194"/>
        <v/>
      </c>
      <c r="N1120" t="str">
        <f t="shared" si="195"/>
        <v/>
      </c>
      <c r="O1120" t="str">
        <f t="shared" si="196"/>
        <v/>
      </c>
      <c r="P1120" t="str">
        <f>IF($A1120="","",IF($E1120=1,$F1120*$O1120,PNL!G1120))</f>
        <v/>
      </c>
      <c r="T1120" t="str">
        <f t="shared" si="197"/>
        <v/>
      </c>
    </row>
    <row r="1121" spans="1:20" x14ac:dyDescent="0.45">
      <c r="A1121" t="str">
        <f>IF(PNL!A1121="","",PNL!A1121)</f>
        <v/>
      </c>
      <c r="B1121" t="str">
        <f>IF(PNL!B1121="","",PNL!B1121)</f>
        <v/>
      </c>
      <c r="C1121" t="str">
        <f>IF(PNL!C1121="","",PNL!C1121)</f>
        <v/>
      </c>
      <c r="D1121" t="str">
        <f>IF(PNL!D1121="","",PNL!D1121)</f>
        <v/>
      </c>
      <c r="E1121" t="str">
        <f t="shared" si="187"/>
        <v/>
      </c>
      <c r="F1121" t="str">
        <f>IF($A1121="","",IF($E1121=1,SUMIFS(Compta!$F$1:$F$675,Compta!$A$1:$A$675,$A1121,Compta!$B$1:$B$675,$B1121,Compta!$C$1:$C$675,"2026"),0))</f>
        <v/>
      </c>
      <c r="G1121" t="str">
        <f t="shared" si="188"/>
        <v/>
      </c>
      <c r="H1121" t="str">
        <f t="shared" si="189"/>
        <v/>
      </c>
      <c r="I1121" t="str">
        <f t="shared" si="190"/>
        <v/>
      </c>
      <c r="J1121" t="str">
        <f t="shared" si="191"/>
        <v/>
      </c>
      <c r="K1121" t="str">
        <f t="shared" si="192"/>
        <v/>
      </c>
      <c r="L1121" t="str">
        <f t="shared" si="193"/>
        <v/>
      </c>
      <c r="M1121" t="str">
        <f t="shared" si="194"/>
        <v/>
      </c>
      <c r="N1121" t="str">
        <f t="shared" si="195"/>
        <v/>
      </c>
      <c r="O1121" t="str">
        <f t="shared" si="196"/>
        <v/>
      </c>
      <c r="P1121" t="str">
        <f>IF($A1121="","",IF($E1121=1,$F1121*$O1121,PNL!G1121))</f>
        <v/>
      </c>
      <c r="T1121" t="str">
        <f t="shared" si="197"/>
        <v/>
      </c>
    </row>
    <row r="1122" spans="1:20" x14ac:dyDescent="0.45">
      <c r="A1122" t="str">
        <f>IF(PNL!A1122="","",PNL!A1122)</f>
        <v/>
      </c>
      <c r="B1122" t="str">
        <f>IF(PNL!B1122="","",PNL!B1122)</f>
        <v/>
      </c>
      <c r="C1122" t="str">
        <f>IF(PNL!C1122="","",PNL!C1122)</f>
        <v/>
      </c>
      <c r="D1122" t="str">
        <f>IF(PNL!D1122="","",PNL!D1122)</f>
        <v/>
      </c>
      <c r="E1122" t="str">
        <f t="shared" si="187"/>
        <v/>
      </c>
      <c r="F1122" t="str">
        <f>IF($A1122="","",IF($E1122=1,SUMIFS(Compta!$F$1:$F$675,Compta!$A$1:$A$675,$A1122,Compta!$B$1:$B$675,$B1122,Compta!$C$1:$C$675,"2026"),0))</f>
        <v/>
      </c>
      <c r="G1122" t="str">
        <f t="shared" si="188"/>
        <v/>
      </c>
      <c r="H1122" t="str">
        <f t="shared" si="189"/>
        <v/>
      </c>
      <c r="I1122" t="str">
        <f t="shared" si="190"/>
        <v/>
      </c>
      <c r="J1122" t="str">
        <f t="shared" si="191"/>
        <v/>
      </c>
      <c r="K1122" t="str">
        <f t="shared" si="192"/>
        <v/>
      </c>
      <c r="L1122" t="str">
        <f t="shared" si="193"/>
        <v/>
      </c>
      <c r="M1122" t="str">
        <f t="shared" si="194"/>
        <v/>
      </c>
      <c r="N1122" t="str">
        <f t="shared" si="195"/>
        <v/>
      </c>
      <c r="O1122" t="str">
        <f t="shared" si="196"/>
        <v/>
      </c>
      <c r="P1122" t="str">
        <f>IF($A1122="","",IF($E1122=1,$F1122*$O1122,PNL!G1122))</f>
        <v/>
      </c>
      <c r="T1122" t="str">
        <f t="shared" si="197"/>
        <v/>
      </c>
    </row>
    <row r="1123" spans="1:20" x14ac:dyDescent="0.45">
      <c r="A1123" t="str">
        <f>IF(PNL!A1123="","",PNL!A1123)</f>
        <v/>
      </c>
      <c r="B1123" t="str">
        <f>IF(PNL!B1123="","",PNL!B1123)</f>
        <v/>
      </c>
      <c r="C1123" t="str">
        <f>IF(PNL!C1123="","",PNL!C1123)</f>
        <v/>
      </c>
      <c r="D1123" t="str">
        <f>IF(PNL!D1123="","",PNL!D1123)</f>
        <v/>
      </c>
      <c r="E1123" t="str">
        <f t="shared" si="187"/>
        <v/>
      </c>
      <c r="F1123" t="str">
        <f>IF($A1123="","",IF($E1123=1,SUMIFS(Compta!$F$1:$F$675,Compta!$A$1:$A$675,$A1123,Compta!$B$1:$B$675,$B1123,Compta!$C$1:$C$675,"2026"),0))</f>
        <v/>
      </c>
      <c r="G1123" t="str">
        <f t="shared" si="188"/>
        <v/>
      </c>
      <c r="H1123" t="str">
        <f t="shared" si="189"/>
        <v/>
      </c>
      <c r="I1123" t="str">
        <f t="shared" si="190"/>
        <v/>
      </c>
      <c r="J1123" t="str">
        <f t="shared" si="191"/>
        <v/>
      </c>
      <c r="K1123" t="str">
        <f t="shared" si="192"/>
        <v/>
      </c>
      <c r="L1123" t="str">
        <f t="shared" si="193"/>
        <v/>
      </c>
      <c r="M1123" t="str">
        <f t="shared" si="194"/>
        <v/>
      </c>
      <c r="N1123" t="str">
        <f t="shared" si="195"/>
        <v/>
      </c>
      <c r="O1123" t="str">
        <f t="shared" si="196"/>
        <v/>
      </c>
      <c r="P1123" t="str">
        <f>IF($A1123="","",IF($E1123=1,$F1123*$O1123,PNL!G1123))</f>
        <v/>
      </c>
      <c r="T1123" t="str">
        <f t="shared" si="197"/>
        <v/>
      </c>
    </row>
    <row r="1124" spans="1:20" x14ac:dyDescent="0.45">
      <c r="A1124" t="str">
        <f>IF(PNL!A1124="","",PNL!A1124)</f>
        <v/>
      </c>
      <c r="B1124" t="str">
        <f>IF(PNL!B1124="","",PNL!B1124)</f>
        <v/>
      </c>
      <c r="C1124" t="str">
        <f>IF(PNL!C1124="","",PNL!C1124)</f>
        <v/>
      </c>
      <c r="D1124" t="str">
        <f>IF(PNL!D1124="","",PNL!D1124)</f>
        <v/>
      </c>
      <c r="E1124" t="str">
        <f t="shared" si="187"/>
        <v/>
      </c>
      <c r="F1124" t="str">
        <f>IF($A1124="","",IF($E1124=1,SUMIFS(Compta!$F$1:$F$675,Compta!$A$1:$A$675,$A1124,Compta!$B$1:$B$675,$B1124,Compta!$C$1:$C$675,"2026"),0))</f>
        <v/>
      </c>
      <c r="G1124" t="str">
        <f t="shared" si="188"/>
        <v/>
      </c>
      <c r="H1124" t="str">
        <f t="shared" si="189"/>
        <v/>
      </c>
      <c r="I1124" t="str">
        <f t="shared" si="190"/>
        <v/>
      </c>
      <c r="J1124" t="str">
        <f t="shared" si="191"/>
        <v/>
      </c>
      <c r="K1124" t="str">
        <f t="shared" si="192"/>
        <v/>
      </c>
      <c r="L1124" t="str">
        <f t="shared" si="193"/>
        <v/>
      </c>
      <c r="M1124" t="str">
        <f t="shared" si="194"/>
        <v/>
      </c>
      <c r="N1124" t="str">
        <f t="shared" si="195"/>
        <v/>
      </c>
      <c r="O1124" t="str">
        <f t="shared" si="196"/>
        <v/>
      </c>
      <c r="P1124" t="str">
        <f>IF($A1124="","",IF($E1124=1,$F1124*$O1124,PNL!G1124))</f>
        <v/>
      </c>
      <c r="T1124" t="str">
        <f t="shared" si="197"/>
        <v/>
      </c>
    </row>
    <row r="1125" spans="1:20" x14ac:dyDescent="0.45">
      <c r="A1125" t="str">
        <f>IF(PNL!A1125="","",PNL!A1125)</f>
        <v/>
      </c>
      <c r="B1125" t="str">
        <f>IF(PNL!B1125="","",PNL!B1125)</f>
        <v/>
      </c>
      <c r="C1125" t="str">
        <f>IF(PNL!C1125="","",PNL!C1125)</f>
        <v/>
      </c>
      <c r="D1125" t="str">
        <f>IF(PNL!D1125="","",PNL!D1125)</f>
        <v/>
      </c>
      <c r="E1125" t="str">
        <f t="shared" si="187"/>
        <v/>
      </c>
      <c r="F1125" t="str">
        <f>IF($A1125="","",IF($E1125=1,SUMIFS(Compta!$F$1:$F$675,Compta!$A$1:$A$675,$A1125,Compta!$B$1:$B$675,$B1125,Compta!$C$1:$C$675,"2026"),0))</f>
        <v/>
      </c>
      <c r="G1125" t="str">
        <f t="shared" si="188"/>
        <v/>
      </c>
      <c r="H1125" t="str">
        <f t="shared" si="189"/>
        <v/>
      </c>
      <c r="I1125" t="str">
        <f t="shared" si="190"/>
        <v/>
      </c>
      <c r="J1125" t="str">
        <f t="shared" si="191"/>
        <v/>
      </c>
      <c r="K1125" t="str">
        <f t="shared" si="192"/>
        <v/>
      </c>
      <c r="L1125" t="str">
        <f t="shared" si="193"/>
        <v/>
      </c>
      <c r="M1125" t="str">
        <f t="shared" si="194"/>
        <v/>
      </c>
      <c r="N1125" t="str">
        <f t="shared" si="195"/>
        <v/>
      </c>
      <c r="O1125" t="str">
        <f t="shared" si="196"/>
        <v/>
      </c>
      <c r="P1125" t="str">
        <f>IF($A1125="","",IF($E1125=1,$F1125*$O1125,PNL!G1125))</f>
        <v/>
      </c>
      <c r="T1125" t="str">
        <f t="shared" si="197"/>
        <v/>
      </c>
    </row>
    <row r="1126" spans="1:20" x14ac:dyDescent="0.45">
      <c r="A1126" t="str">
        <f>IF(PNL!A1126="","",PNL!A1126)</f>
        <v/>
      </c>
      <c r="B1126" t="str">
        <f>IF(PNL!B1126="","",PNL!B1126)</f>
        <v/>
      </c>
      <c r="C1126" t="str">
        <f>IF(PNL!C1126="","",PNL!C1126)</f>
        <v/>
      </c>
      <c r="D1126" t="str">
        <f>IF(PNL!D1126="","",PNL!D1126)</f>
        <v/>
      </c>
      <c r="E1126" t="str">
        <f t="shared" si="187"/>
        <v/>
      </c>
      <c r="F1126" t="str">
        <f>IF($A1126="","",IF($E1126=1,SUMIFS(Compta!$F$1:$F$675,Compta!$A$1:$A$675,$A1126,Compta!$B$1:$B$675,$B1126,Compta!$C$1:$C$675,"2026"),0))</f>
        <v/>
      </c>
      <c r="G1126" t="str">
        <f t="shared" si="188"/>
        <v/>
      </c>
      <c r="H1126" t="str">
        <f t="shared" si="189"/>
        <v/>
      </c>
      <c r="I1126" t="str">
        <f t="shared" si="190"/>
        <v/>
      </c>
      <c r="J1126" t="str">
        <f t="shared" si="191"/>
        <v/>
      </c>
      <c r="K1126" t="str">
        <f t="shared" si="192"/>
        <v/>
      </c>
      <c r="L1126" t="str">
        <f t="shared" si="193"/>
        <v/>
      </c>
      <c r="M1126" t="str">
        <f t="shared" si="194"/>
        <v/>
      </c>
      <c r="N1126" t="str">
        <f t="shared" si="195"/>
        <v/>
      </c>
      <c r="O1126" t="str">
        <f t="shared" si="196"/>
        <v/>
      </c>
      <c r="P1126" t="str">
        <f>IF($A1126="","",IF($E1126=1,$F1126*$O1126,PNL!G1126))</f>
        <v/>
      </c>
      <c r="T1126" t="str">
        <f t="shared" si="197"/>
        <v/>
      </c>
    </row>
    <row r="1127" spans="1:20" x14ac:dyDescent="0.45">
      <c r="A1127" t="str">
        <f>IF(PNL!A1127="","",PNL!A1127)</f>
        <v/>
      </c>
      <c r="B1127" t="str">
        <f>IF(PNL!B1127="","",PNL!B1127)</f>
        <v/>
      </c>
      <c r="C1127" t="str">
        <f>IF(PNL!C1127="","",PNL!C1127)</f>
        <v/>
      </c>
      <c r="D1127" t="str">
        <f>IF(PNL!D1127="","",PNL!D1127)</f>
        <v/>
      </c>
      <c r="E1127" t="str">
        <f t="shared" si="187"/>
        <v/>
      </c>
      <c r="F1127" t="str">
        <f>IF($A1127="","",IF($E1127=1,SUMIFS(Compta!$F$1:$F$675,Compta!$A$1:$A$675,$A1127,Compta!$B$1:$B$675,$B1127,Compta!$C$1:$C$675,"2026"),0))</f>
        <v/>
      </c>
      <c r="G1127" t="str">
        <f t="shared" si="188"/>
        <v/>
      </c>
      <c r="H1127" t="str">
        <f t="shared" si="189"/>
        <v/>
      </c>
      <c r="I1127" t="str">
        <f t="shared" si="190"/>
        <v/>
      </c>
      <c r="J1127" t="str">
        <f t="shared" si="191"/>
        <v/>
      </c>
      <c r="K1127" t="str">
        <f t="shared" si="192"/>
        <v/>
      </c>
      <c r="L1127" t="str">
        <f t="shared" si="193"/>
        <v/>
      </c>
      <c r="M1127" t="str">
        <f t="shared" si="194"/>
        <v/>
      </c>
      <c r="N1127" t="str">
        <f t="shared" si="195"/>
        <v/>
      </c>
      <c r="O1127" t="str">
        <f t="shared" si="196"/>
        <v/>
      </c>
      <c r="P1127" t="str">
        <f>IF($A1127="","",IF($E1127=1,$F1127*$O1127,PNL!G1127))</f>
        <v/>
      </c>
      <c r="T1127" t="str">
        <f t="shared" si="197"/>
        <v/>
      </c>
    </row>
    <row r="1128" spans="1:20" x14ac:dyDescent="0.45">
      <c r="A1128" t="str">
        <f>IF(PNL!A1128="","",PNL!A1128)</f>
        <v/>
      </c>
      <c r="B1128" t="str">
        <f>IF(PNL!B1128="","",PNL!B1128)</f>
        <v/>
      </c>
      <c r="C1128" t="str">
        <f>IF(PNL!C1128="","",PNL!C1128)</f>
        <v/>
      </c>
      <c r="D1128" t="str">
        <f>IF(PNL!D1128="","",PNL!D1128)</f>
        <v/>
      </c>
      <c r="E1128" t="str">
        <f t="shared" si="187"/>
        <v/>
      </c>
      <c r="F1128" t="str">
        <f>IF($A1128="","",IF($E1128=1,SUMIFS(Compta!$F$1:$F$675,Compta!$A$1:$A$675,$A1128,Compta!$B$1:$B$675,$B1128,Compta!$C$1:$C$675,"2026"),0))</f>
        <v/>
      </c>
      <c r="G1128" t="str">
        <f t="shared" si="188"/>
        <v/>
      </c>
      <c r="H1128" t="str">
        <f t="shared" si="189"/>
        <v/>
      </c>
      <c r="I1128" t="str">
        <f t="shared" si="190"/>
        <v/>
      </c>
      <c r="J1128" t="str">
        <f t="shared" si="191"/>
        <v/>
      </c>
      <c r="K1128" t="str">
        <f t="shared" si="192"/>
        <v/>
      </c>
      <c r="L1128" t="str">
        <f t="shared" si="193"/>
        <v/>
      </c>
      <c r="M1128" t="str">
        <f t="shared" si="194"/>
        <v/>
      </c>
      <c r="N1128" t="str">
        <f t="shared" si="195"/>
        <v/>
      </c>
      <c r="O1128" t="str">
        <f t="shared" si="196"/>
        <v/>
      </c>
      <c r="P1128" t="str">
        <f>IF($A1128="","",IF($E1128=1,$F1128*$O1128,PNL!G1128))</f>
        <v/>
      </c>
      <c r="T1128" t="str">
        <f t="shared" si="197"/>
        <v/>
      </c>
    </row>
    <row r="1129" spans="1:20" x14ac:dyDescent="0.45">
      <c r="A1129" t="str">
        <f>IF(PNL!A1129="","",PNL!A1129)</f>
        <v/>
      </c>
      <c r="B1129" t="str">
        <f>IF(PNL!B1129="","",PNL!B1129)</f>
        <v/>
      </c>
      <c r="C1129" t="str">
        <f>IF(PNL!C1129="","",PNL!C1129)</f>
        <v/>
      </c>
      <c r="D1129" t="str">
        <f>IF(PNL!D1129="","",PNL!D1129)</f>
        <v/>
      </c>
      <c r="E1129" t="str">
        <f t="shared" si="187"/>
        <v/>
      </c>
      <c r="F1129" t="str">
        <f>IF($A1129="","",IF($E1129=1,SUMIFS(Compta!$F$1:$F$675,Compta!$A$1:$A$675,$A1129,Compta!$B$1:$B$675,$B1129,Compta!$C$1:$C$675,"2026"),0))</f>
        <v/>
      </c>
      <c r="G1129" t="str">
        <f t="shared" si="188"/>
        <v/>
      </c>
      <c r="H1129" t="str">
        <f t="shared" si="189"/>
        <v/>
      </c>
      <c r="I1129" t="str">
        <f t="shared" si="190"/>
        <v/>
      </c>
      <c r="J1129" t="str">
        <f t="shared" si="191"/>
        <v/>
      </c>
      <c r="K1129" t="str">
        <f t="shared" si="192"/>
        <v/>
      </c>
      <c r="L1129" t="str">
        <f t="shared" si="193"/>
        <v/>
      </c>
      <c r="M1129" t="str">
        <f t="shared" si="194"/>
        <v/>
      </c>
      <c r="N1129" t="str">
        <f t="shared" si="195"/>
        <v/>
      </c>
      <c r="O1129" t="str">
        <f t="shared" si="196"/>
        <v/>
      </c>
      <c r="P1129" t="str">
        <f>IF($A1129="","",IF($E1129=1,$F1129*$O1129,PNL!G1129))</f>
        <v/>
      </c>
      <c r="T1129" t="str">
        <f t="shared" si="197"/>
        <v/>
      </c>
    </row>
    <row r="1130" spans="1:20" x14ac:dyDescent="0.45">
      <c r="A1130" t="str">
        <f>IF(PNL!A1130="","",PNL!A1130)</f>
        <v/>
      </c>
      <c r="B1130" t="str">
        <f>IF(PNL!B1130="","",PNL!B1130)</f>
        <v/>
      </c>
      <c r="C1130" t="str">
        <f>IF(PNL!C1130="","",PNL!C1130)</f>
        <v/>
      </c>
      <c r="D1130" t="str">
        <f>IF(PNL!D1130="","",PNL!D1130)</f>
        <v/>
      </c>
      <c r="E1130" t="str">
        <f t="shared" si="187"/>
        <v/>
      </c>
      <c r="F1130" t="str">
        <f>IF($A1130="","",IF($E1130=1,SUMIFS(Compta!$F$1:$F$675,Compta!$A$1:$A$675,$A1130,Compta!$B$1:$B$675,$B1130,Compta!$C$1:$C$675,"2026"),0))</f>
        <v/>
      </c>
      <c r="G1130" t="str">
        <f t="shared" si="188"/>
        <v/>
      </c>
      <c r="H1130" t="str">
        <f t="shared" si="189"/>
        <v/>
      </c>
      <c r="I1130" t="str">
        <f t="shared" si="190"/>
        <v/>
      </c>
      <c r="J1130" t="str">
        <f t="shared" si="191"/>
        <v/>
      </c>
      <c r="K1130" t="str">
        <f t="shared" si="192"/>
        <v/>
      </c>
      <c r="L1130" t="str">
        <f t="shared" si="193"/>
        <v/>
      </c>
      <c r="M1130" t="str">
        <f t="shared" si="194"/>
        <v/>
      </c>
      <c r="N1130" t="str">
        <f t="shared" si="195"/>
        <v/>
      </c>
      <c r="O1130" t="str">
        <f t="shared" si="196"/>
        <v/>
      </c>
      <c r="P1130" t="str">
        <f>IF($A1130="","",IF($E1130=1,$F1130*$O1130,PNL!G1130))</f>
        <v/>
      </c>
      <c r="T1130" t="str">
        <f t="shared" si="197"/>
        <v/>
      </c>
    </row>
    <row r="1131" spans="1:20" x14ac:dyDescent="0.45">
      <c r="A1131" t="str">
        <f>IF(PNL!A1131="","",PNL!A1131)</f>
        <v/>
      </c>
      <c r="B1131" t="str">
        <f>IF(PNL!B1131="","",PNL!B1131)</f>
        <v/>
      </c>
      <c r="C1131" t="str">
        <f>IF(PNL!C1131="","",PNL!C1131)</f>
        <v/>
      </c>
      <c r="D1131" t="str">
        <f>IF(PNL!D1131="","",PNL!D1131)</f>
        <v/>
      </c>
      <c r="E1131" t="str">
        <f t="shared" si="187"/>
        <v/>
      </c>
      <c r="F1131" t="str">
        <f>IF($A1131="","",IF($E1131=1,SUMIFS(Compta!$F$1:$F$675,Compta!$A$1:$A$675,$A1131,Compta!$B$1:$B$675,$B1131,Compta!$C$1:$C$675,"2026"),0))</f>
        <v/>
      </c>
      <c r="G1131" t="str">
        <f t="shared" si="188"/>
        <v/>
      </c>
      <c r="H1131" t="str">
        <f t="shared" si="189"/>
        <v/>
      </c>
      <c r="I1131" t="str">
        <f t="shared" si="190"/>
        <v/>
      </c>
      <c r="J1131" t="str">
        <f t="shared" si="191"/>
        <v/>
      </c>
      <c r="K1131" t="str">
        <f t="shared" si="192"/>
        <v/>
      </c>
      <c r="L1131" t="str">
        <f t="shared" si="193"/>
        <v/>
      </c>
      <c r="M1131" t="str">
        <f t="shared" si="194"/>
        <v/>
      </c>
      <c r="N1131" t="str">
        <f t="shared" si="195"/>
        <v/>
      </c>
      <c r="O1131" t="str">
        <f t="shared" si="196"/>
        <v/>
      </c>
      <c r="P1131" t="str">
        <f>IF($A1131="","",IF($E1131=1,$F1131*$O1131,PNL!G1131))</f>
        <v/>
      </c>
      <c r="T1131" t="str">
        <f t="shared" si="197"/>
        <v/>
      </c>
    </row>
    <row r="1132" spans="1:20" x14ac:dyDescent="0.45">
      <c r="A1132" t="str">
        <f>IF(PNL!A1132="","",PNL!A1132)</f>
        <v/>
      </c>
      <c r="B1132" t="str">
        <f>IF(PNL!B1132="","",PNL!B1132)</f>
        <v/>
      </c>
      <c r="C1132" t="str">
        <f>IF(PNL!C1132="","",PNL!C1132)</f>
        <v/>
      </c>
      <c r="D1132" t="str">
        <f>IF(PNL!D1132="","",PNL!D1132)</f>
        <v/>
      </c>
      <c r="E1132" t="str">
        <f t="shared" si="187"/>
        <v/>
      </c>
      <c r="F1132" t="str">
        <f>IF($A1132="","",IF($E1132=1,SUMIFS(Compta!$F$1:$F$675,Compta!$A$1:$A$675,$A1132,Compta!$B$1:$B$675,$B1132,Compta!$C$1:$C$675,"2026"),0))</f>
        <v/>
      </c>
      <c r="G1132" t="str">
        <f t="shared" si="188"/>
        <v/>
      </c>
      <c r="H1132" t="str">
        <f t="shared" si="189"/>
        <v/>
      </c>
      <c r="I1132" t="str">
        <f t="shared" si="190"/>
        <v/>
      </c>
      <c r="J1132" t="str">
        <f t="shared" si="191"/>
        <v/>
      </c>
      <c r="K1132" t="str">
        <f t="shared" si="192"/>
        <v/>
      </c>
      <c r="L1132" t="str">
        <f t="shared" si="193"/>
        <v/>
      </c>
      <c r="M1132" t="str">
        <f t="shared" si="194"/>
        <v/>
      </c>
      <c r="N1132" t="str">
        <f t="shared" si="195"/>
        <v/>
      </c>
      <c r="O1132" t="str">
        <f t="shared" si="196"/>
        <v/>
      </c>
      <c r="P1132" t="str">
        <f>IF($A1132="","",IF($E1132=1,$F1132*$O1132,PNL!G1132))</f>
        <v/>
      </c>
      <c r="T1132" t="str">
        <f t="shared" si="197"/>
        <v/>
      </c>
    </row>
    <row r="1133" spans="1:20" x14ac:dyDescent="0.45">
      <c r="A1133" t="str">
        <f>IF(PNL!A1133="","",PNL!A1133)</f>
        <v/>
      </c>
      <c r="B1133" t="str">
        <f>IF(PNL!B1133="","",PNL!B1133)</f>
        <v/>
      </c>
      <c r="C1133" t="str">
        <f>IF(PNL!C1133="","",PNL!C1133)</f>
        <v/>
      </c>
      <c r="D1133" t="str">
        <f>IF(PNL!D1133="","",PNL!D1133)</f>
        <v/>
      </c>
      <c r="E1133" t="str">
        <f t="shared" si="187"/>
        <v/>
      </c>
      <c r="F1133" t="str">
        <f>IF($A1133="","",IF($E1133=1,SUMIFS(Compta!$F$1:$F$675,Compta!$A$1:$A$675,$A1133,Compta!$B$1:$B$675,$B1133,Compta!$C$1:$C$675,"2026"),0))</f>
        <v/>
      </c>
      <c r="G1133" t="str">
        <f t="shared" si="188"/>
        <v/>
      </c>
      <c r="H1133" t="str">
        <f t="shared" si="189"/>
        <v/>
      </c>
      <c r="I1133" t="str">
        <f t="shared" si="190"/>
        <v/>
      </c>
      <c r="J1133" t="str">
        <f t="shared" si="191"/>
        <v/>
      </c>
      <c r="K1133" t="str">
        <f t="shared" si="192"/>
        <v/>
      </c>
      <c r="L1133" t="str">
        <f t="shared" si="193"/>
        <v/>
      </c>
      <c r="M1133" t="str">
        <f t="shared" si="194"/>
        <v/>
      </c>
      <c r="N1133" t="str">
        <f t="shared" si="195"/>
        <v/>
      </c>
      <c r="O1133" t="str">
        <f t="shared" si="196"/>
        <v/>
      </c>
      <c r="P1133" t="str">
        <f>IF($A1133="","",IF($E1133=1,$F1133*$O1133,PNL!G1133))</f>
        <v/>
      </c>
      <c r="T1133" t="str">
        <f t="shared" si="197"/>
        <v/>
      </c>
    </row>
    <row r="1134" spans="1:20" x14ac:dyDescent="0.45">
      <c r="A1134" t="str">
        <f>IF(PNL!A1134="","",PNL!A1134)</f>
        <v/>
      </c>
      <c r="B1134" t="str">
        <f>IF(PNL!B1134="","",PNL!B1134)</f>
        <v/>
      </c>
      <c r="C1134" t="str">
        <f>IF(PNL!C1134="","",PNL!C1134)</f>
        <v/>
      </c>
      <c r="D1134" t="str">
        <f>IF(PNL!D1134="","",PNL!D1134)</f>
        <v/>
      </c>
      <c r="E1134" t="str">
        <f t="shared" si="187"/>
        <v/>
      </c>
      <c r="F1134" t="str">
        <f>IF($A1134="","",IF($E1134=1,SUMIFS(Compta!$F$1:$F$675,Compta!$A$1:$A$675,$A1134,Compta!$B$1:$B$675,$B1134,Compta!$C$1:$C$675,"2026"),0))</f>
        <v/>
      </c>
      <c r="G1134" t="str">
        <f t="shared" si="188"/>
        <v/>
      </c>
      <c r="H1134" t="str">
        <f t="shared" si="189"/>
        <v/>
      </c>
      <c r="I1134" t="str">
        <f t="shared" si="190"/>
        <v/>
      </c>
      <c r="J1134" t="str">
        <f t="shared" si="191"/>
        <v/>
      </c>
      <c r="K1134" t="str">
        <f t="shared" si="192"/>
        <v/>
      </c>
      <c r="L1134" t="str">
        <f t="shared" si="193"/>
        <v/>
      </c>
      <c r="M1134" t="str">
        <f t="shared" si="194"/>
        <v/>
      </c>
      <c r="N1134" t="str">
        <f t="shared" si="195"/>
        <v/>
      </c>
      <c r="O1134" t="str">
        <f t="shared" si="196"/>
        <v/>
      </c>
      <c r="P1134" t="str">
        <f>IF($A1134="","",IF($E1134=1,$F1134*$O1134,PNL!G1134))</f>
        <v/>
      </c>
      <c r="T1134" t="str">
        <f t="shared" si="197"/>
        <v/>
      </c>
    </row>
    <row r="1135" spans="1:20" x14ac:dyDescent="0.45">
      <c r="A1135" t="str">
        <f>IF(PNL!A1135="","",PNL!A1135)</f>
        <v/>
      </c>
      <c r="B1135" t="str">
        <f>IF(PNL!B1135="","",PNL!B1135)</f>
        <v/>
      </c>
      <c r="C1135" t="str">
        <f>IF(PNL!C1135="","",PNL!C1135)</f>
        <v/>
      </c>
      <c r="D1135" t="str">
        <f>IF(PNL!D1135="","",PNL!D1135)</f>
        <v/>
      </c>
      <c r="E1135" t="str">
        <f t="shared" si="187"/>
        <v/>
      </c>
      <c r="F1135" t="str">
        <f>IF($A1135="","",IF($E1135=1,SUMIFS(Compta!$F$1:$F$675,Compta!$A$1:$A$675,$A1135,Compta!$B$1:$B$675,$B1135,Compta!$C$1:$C$675,"2026"),0))</f>
        <v/>
      </c>
      <c r="G1135" t="str">
        <f t="shared" si="188"/>
        <v/>
      </c>
      <c r="H1135" t="str">
        <f t="shared" si="189"/>
        <v/>
      </c>
      <c r="I1135" t="str">
        <f t="shared" si="190"/>
        <v/>
      </c>
      <c r="J1135" t="str">
        <f t="shared" si="191"/>
        <v/>
      </c>
      <c r="K1135" t="str">
        <f t="shared" si="192"/>
        <v/>
      </c>
      <c r="L1135" t="str">
        <f t="shared" si="193"/>
        <v/>
      </c>
      <c r="M1135" t="str">
        <f t="shared" si="194"/>
        <v/>
      </c>
      <c r="N1135" t="str">
        <f t="shared" si="195"/>
        <v/>
      </c>
      <c r="O1135" t="str">
        <f t="shared" si="196"/>
        <v/>
      </c>
      <c r="P1135" t="str">
        <f>IF($A1135="","",IF($E1135=1,$F1135*$O1135,PNL!G1135))</f>
        <v/>
      </c>
      <c r="T1135" t="str">
        <f t="shared" si="197"/>
        <v/>
      </c>
    </row>
    <row r="1136" spans="1:20" x14ac:dyDescent="0.45">
      <c r="A1136" t="str">
        <f>IF(PNL!A1136="","",PNL!A1136)</f>
        <v/>
      </c>
      <c r="B1136" t="str">
        <f>IF(PNL!B1136="","",PNL!B1136)</f>
        <v/>
      </c>
      <c r="C1136" t="str">
        <f>IF(PNL!C1136="","",PNL!C1136)</f>
        <v/>
      </c>
      <c r="D1136" t="str">
        <f>IF(PNL!D1136="","",PNL!D1136)</f>
        <v/>
      </c>
      <c r="E1136" t="str">
        <f t="shared" si="187"/>
        <v/>
      </c>
      <c r="F1136" t="str">
        <f>IF($A1136="","",IF($E1136=1,SUMIFS(Compta!$F$1:$F$675,Compta!$A$1:$A$675,$A1136,Compta!$B$1:$B$675,$B1136,Compta!$C$1:$C$675,"2026"),0))</f>
        <v/>
      </c>
      <c r="G1136" t="str">
        <f t="shared" si="188"/>
        <v/>
      </c>
      <c r="H1136" t="str">
        <f t="shared" si="189"/>
        <v/>
      </c>
      <c r="I1136" t="str">
        <f t="shared" si="190"/>
        <v/>
      </c>
      <c r="J1136" t="str">
        <f t="shared" si="191"/>
        <v/>
      </c>
      <c r="K1136" t="str">
        <f t="shared" si="192"/>
        <v/>
      </c>
      <c r="L1136" t="str">
        <f t="shared" si="193"/>
        <v/>
      </c>
      <c r="M1136" t="str">
        <f t="shared" si="194"/>
        <v/>
      </c>
      <c r="N1136" t="str">
        <f t="shared" si="195"/>
        <v/>
      </c>
      <c r="O1136" t="str">
        <f t="shared" si="196"/>
        <v/>
      </c>
      <c r="P1136" t="str">
        <f>IF($A1136="","",IF($E1136=1,$F1136*$O1136,PNL!G1136))</f>
        <v/>
      </c>
      <c r="T1136" t="str">
        <f t="shared" si="197"/>
        <v/>
      </c>
    </row>
    <row r="1137" spans="1:20" x14ac:dyDescent="0.45">
      <c r="A1137" t="str">
        <f>IF(PNL!A1137="","",PNL!A1137)</f>
        <v/>
      </c>
      <c r="B1137" t="str">
        <f>IF(PNL!B1137="","",PNL!B1137)</f>
        <v/>
      </c>
      <c r="C1137" t="str">
        <f>IF(PNL!C1137="","",PNL!C1137)</f>
        <v/>
      </c>
      <c r="D1137" t="str">
        <f>IF(PNL!D1137="","",PNL!D1137)</f>
        <v/>
      </c>
      <c r="E1137" t="str">
        <f t="shared" si="187"/>
        <v/>
      </c>
      <c r="F1137" t="str">
        <f>IF($A1137="","",IF($E1137=1,SUMIFS(Compta!$F$1:$F$675,Compta!$A$1:$A$675,$A1137,Compta!$B$1:$B$675,$B1137,Compta!$C$1:$C$675,"2026"),0))</f>
        <v/>
      </c>
      <c r="G1137" t="str">
        <f t="shared" si="188"/>
        <v/>
      </c>
      <c r="H1137" t="str">
        <f t="shared" si="189"/>
        <v/>
      </c>
      <c r="I1137" t="str">
        <f t="shared" si="190"/>
        <v/>
      </c>
      <c r="J1137" t="str">
        <f t="shared" si="191"/>
        <v/>
      </c>
      <c r="K1137" t="str">
        <f t="shared" si="192"/>
        <v/>
      </c>
      <c r="L1137" t="str">
        <f t="shared" si="193"/>
        <v/>
      </c>
      <c r="M1137" t="str">
        <f t="shared" si="194"/>
        <v/>
      </c>
      <c r="N1137" t="str">
        <f t="shared" si="195"/>
        <v/>
      </c>
      <c r="O1137" t="str">
        <f t="shared" si="196"/>
        <v/>
      </c>
      <c r="P1137" t="str">
        <f>IF($A1137="","",IF($E1137=1,$F1137*$O1137,PNL!G1137))</f>
        <v/>
      </c>
      <c r="T1137" t="str">
        <f t="shared" si="197"/>
        <v/>
      </c>
    </row>
    <row r="1138" spans="1:20" x14ac:dyDescent="0.45">
      <c r="A1138" t="str">
        <f>IF(PNL!A1138="","",PNL!A1138)</f>
        <v/>
      </c>
      <c r="B1138" t="str">
        <f>IF(PNL!B1138="","",PNL!B1138)</f>
        <v/>
      </c>
      <c r="C1138" t="str">
        <f>IF(PNL!C1138="","",PNL!C1138)</f>
        <v/>
      </c>
      <c r="D1138" t="str">
        <f>IF(PNL!D1138="","",PNL!D1138)</f>
        <v/>
      </c>
      <c r="E1138" t="str">
        <f t="shared" si="187"/>
        <v/>
      </c>
      <c r="F1138" t="str">
        <f>IF($A1138="","",IF($E1138=1,SUMIFS(Compta!$F$1:$F$675,Compta!$A$1:$A$675,$A1138,Compta!$B$1:$B$675,$B1138,Compta!$C$1:$C$675,"2026"),0))</f>
        <v/>
      </c>
      <c r="G1138" t="str">
        <f t="shared" si="188"/>
        <v/>
      </c>
      <c r="H1138" t="str">
        <f t="shared" si="189"/>
        <v/>
      </c>
      <c r="I1138" t="str">
        <f t="shared" si="190"/>
        <v/>
      </c>
      <c r="J1138" t="str">
        <f t="shared" si="191"/>
        <v/>
      </c>
      <c r="K1138" t="str">
        <f t="shared" si="192"/>
        <v/>
      </c>
      <c r="L1138" t="str">
        <f t="shared" si="193"/>
        <v/>
      </c>
      <c r="M1138" t="str">
        <f t="shared" si="194"/>
        <v/>
      </c>
      <c r="N1138" t="str">
        <f t="shared" si="195"/>
        <v/>
      </c>
      <c r="O1138" t="str">
        <f t="shared" si="196"/>
        <v/>
      </c>
      <c r="P1138" t="str">
        <f>IF($A1138="","",IF($E1138=1,$F1138*$O1138,PNL!G1138))</f>
        <v/>
      </c>
      <c r="T1138" t="str">
        <f t="shared" si="197"/>
        <v/>
      </c>
    </row>
    <row r="1139" spans="1:20" x14ac:dyDescent="0.45">
      <c r="A1139" t="str">
        <f>IF(PNL!A1139="","",PNL!A1139)</f>
        <v/>
      </c>
      <c r="B1139" t="str">
        <f>IF(PNL!B1139="","",PNL!B1139)</f>
        <v/>
      </c>
      <c r="C1139" t="str">
        <f>IF(PNL!C1139="","",PNL!C1139)</f>
        <v/>
      </c>
      <c r="D1139" t="str">
        <f>IF(PNL!D1139="","",PNL!D1139)</f>
        <v/>
      </c>
      <c r="E1139" t="str">
        <f t="shared" si="187"/>
        <v/>
      </c>
      <c r="F1139" t="str">
        <f>IF($A1139="","",IF($E1139=1,SUMIFS(Compta!$F$1:$F$675,Compta!$A$1:$A$675,$A1139,Compta!$B$1:$B$675,$B1139,Compta!$C$1:$C$675,"2026"),0))</f>
        <v/>
      </c>
      <c r="G1139" t="str">
        <f t="shared" si="188"/>
        <v/>
      </c>
      <c r="H1139" t="str">
        <f t="shared" si="189"/>
        <v/>
      </c>
      <c r="I1139" t="str">
        <f t="shared" si="190"/>
        <v/>
      </c>
      <c r="J1139" t="str">
        <f t="shared" si="191"/>
        <v/>
      </c>
      <c r="K1139" t="str">
        <f t="shared" si="192"/>
        <v/>
      </c>
      <c r="L1139" t="str">
        <f t="shared" si="193"/>
        <v/>
      </c>
      <c r="M1139" t="str">
        <f t="shared" si="194"/>
        <v/>
      </c>
      <c r="N1139" t="str">
        <f t="shared" si="195"/>
        <v/>
      </c>
      <c r="O1139" t="str">
        <f t="shared" si="196"/>
        <v/>
      </c>
      <c r="P1139" t="str">
        <f>IF($A1139="","",IF($E1139=1,$F1139*$O1139,PNL!G1139))</f>
        <v/>
      </c>
      <c r="T1139" t="str">
        <f t="shared" si="197"/>
        <v/>
      </c>
    </row>
    <row r="1140" spans="1:20" x14ac:dyDescent="0.45">
      <c r="A1140" t="str">
        <f>IF(PNL!A1140="","",PNL!A1140)</f>
        <v/>
      </c>
      <c r="B1140" t="str">
        <f>IF(PNL!B1140="","",PNL!B1140)</f>
        <v/>
      </c>
      <c r="C1140" t="str">
        <f>IF(PNL!C1140="","",PNL!C1140)</f>
        <v/>
      </c>
      <c r="D1140" t="str">
        <f>IF(PNL!D1140="","",PNL!D1140)</f>
        <v/>
      </c>
      <c r="E1140" t="str">
        <f t="shared" si="187"/>
        <v/>
      </c>
      <c r="F1140" t="str">
        <f>IF($A1140="","",IF($E1140=1,SUMIFS(Compta!$F$1:$F$675,Compta!$A$1:$A$675,$A1140,Compta!$B$1:$B$675,$B1140,Compta!$C$1:$C$675,"2026"),0))</f>
        <v/>
      </c>
      <c r="G1140" t="str">
        <f t="shared" si="188"/>
        <v/>
      </c>
      <c r="H1140" t="str">
        <f t="shared" si="189"/>
        <v/>
      </c>
      <c r="I1140" t="str">
        <f t="shared" si="190"/>
        <v/>
      </c>
      <c r="J1140" t="str">
        <f t="shared" si="191"/>
        <v/>
      </c>
      <c r="K1140" t="str">
        <f t="shared" si="192"/>
        <v/>
      </c>
      <c r="L1140" t="str">
        <f t="shared" si="193"/>
        <v/>
      </c>
      <c r="M1140" t="str">
        <f t="shared" si="194"/>
        <v/>
      </c>
      <c r="N1140" t="str">
        <f t="shared" si="195"/>
        <v/>
      </c>
      <c r="O1140" t="str">
        <f t="shared" si="196"/>
        <v/>
      </c>
      <c r="P1140" t="str">
        <f>IF($A1140="","",IF($E1140=1,$F1140*$O1140,PNL!G1140))</f>
        <v/>
      </c>
      <c r="T1140" t="str">
        <f t="shared" si="197"/>
        <v/>
      </c>
    </row>
    <row r="1141" spans="1:20" x14ac:dyDescent="0.45">
      <c r="A1141" t="str">
        <f>IF(PNL!A1141="","",PNL!A1141)</f>
        <v/>
      </c>
      <c r="B1141" t="str">
        <f>IF(PNL!B1141="","",PNL!B1141)</f>
        <v/>
      </c>
      <c r="C1141" t="str">
        <f>IF(PNL!C1141="","",PNL!C1141)</f>
        <v/>
      </c>
      <c r="D1141" t="str">
        <f>IF(PNL!D1141="","",PNL!D1141)</f>
        <v/>
      </c>
      <c r="E1141" t="str">
        <f t="shared" si="187"/>
        <v/>
      </c>
      <c r="F1141" t="str">
        <f>IF($A1141="","",IF($E1141=1,SUMIFS(Compta!$F$1:$F$675,Compta!$A$1:$A$675,$A1141,Compta!$B$1:$B$675,$B1141,Compta!$C$1:$C$675,"2026"),0))</f>
        <v/>
      </c>
      <c r="G1141" t="str">
        <f t="shared" si="188"/>
        <v/>
      </c>
      <c r="H1141" t="str">
        <f t="shared" si="189"/>
        <v/>
      </c>
      <c r="I1141" t="str">
        <f t="shared" si="190"/>
        <v/>
      </c>
      <c r="J1141" t="str">
        <f t="shared" si="191"/>
        <v/>
      </c>
      <c r="K1141" t="str">
        <f t="shared" si="192"/>
        <v/>
      </c>
      <c r="L1141" t="str">
        <f t="shared" si="193"/>
        <v/>
      </c>
      <c r="M1141" t="str">
        <f t="shared" si="194"/>
        <v/>
      </c>
      <c r="N1141" t="str">
        <f t="shared" si="195"/>
        <v/>
      </c>
      <c r="O1141" t="str">
        <f t="shared" si="196"/>
        <v/>
      </c>
      <c r="P1141" t="str">
        <f>IF($A1141="","",IF($E1141=1,$F1141*$O1141,PNL!G1141))</f>
        <v/>
      </c>
      <c r="T1141" t="str">
        <f t="shared" si="197"/>
        <v/>
      </c>
    </row>
    <row r="1142" spans="1:20" x14ac:dyDescent="0.45">
      <c r="A1142" t="str">
        <f>IF(PNL!A1142="","",PNL!A1142)</f>
        <v/>
      </c>
      <c r="B1142" t="str">
        <f>IF(PNL!B1142="","",PNL!B1142)</f>
        <v/>
      </c>
      <c r="C1142" t="str">
        <f>IF(PNL!C1142="","",PNL!C1142)</f>
        <v/>
      </c>
      <c r="D1142" t="str">
        <f>IF(PNL!D1142="","",PNL!D1142)</f>
        <v/>
      </c>
      <c r="E1142" t="str">
        <f t="shared" si="187"/>
        <v/>
      </c>
      <c r="F1142" t="str">
        <f>IF($A1142="","",IF($E1142=1,SUMIFS(Compta!$F$1:$F$675,Compta!$A$1:$A$675,$A1142,Compta!$B$1:$B$675,$B1142,Compta!$C$1:$C$675,"2026"),0))</f>
        <v/>
      </c>
      <c r="G1142" t="str">
        <f t="shared" si="188"/>
        <v/>
      </c>
      <c r="H1142" t="str">
        <f t="shared" si="189"/>
        <v/>
      </c>
      <c r="I1142" t="str">
        <f t="shared" si="190"/>
        <v/>
      </c>
      <c r="J1142" t="str">
        <f t="shared" si="191"/>
        <v/>
      </c>
      <c r="K1142" t="str">
        <f t="shared" si="192"/>
        <v/>
      </c>
      <c r="L1142" t="str">
        <f t="shared" si="193"/>
        <v/>
      </c>
      <c r="M1142" t="str">
        <f t="shared" si="194"/>
        <v/>
      </c>
      <c r="N1142" t="str">
        <f t="shared" si="195"/>
        <v/>
      </c>
      <c r="O1142" t="str">
        <f t="shared" si="196"/>
        <v/>
      </c>
      <c r="P1142" t="str">
        <f>IF($A1142="","",IF($E1142=1,$F1142*$O1142,PNL!G1142))</f>
        <v/>
      </c>
      <c r="T1142" t="str">
        <f t="shared" si="197"/>
        <v/>
      </c>
    </row>
    <row r="1143" spans="1:20" x14ac:dyDescent="0.45">
      <c r="A1143" t="str">
        <f>IF(PNL!A1143="","",PNL!A1143)</f>
        <v/>
      </c>
      <c r="B1143" t="str">
        <f>IF(PNL!B1143="","",PNL!B1143)</f>
        <v/>
      </c>
      <c r="C1143" t="str">
        <f>IF(PNL!C1143="","",PNL!C1143)</f>
        <v/>
      </c>
      <c r="D1143" t="str">
        <f>IF(PNL!D1143="","",PNL!D1143)</f>
        <v/>
      </c>
      <c r="E1143" t="str">
        <f t="shared" si="187"/>
        <v/>
      </c>
      <c r="F1143" t="str">
        <f>IF($A1143="","",IF($E1143=1,SUMIFS(Compta!$F$1:$F$675,Compta!$A$1:$A$675,$A1143,Compta!$B$1:$B$675,$B1143,Compta!$C$1:$C$675,"2026"),0))</f>
        <v/>
      </c>
      <c r="G1143" t="str">
        <f t="shared" si="188"/>
        <v/>
      </c>
      <c r="H1143" t="str">
        <f t="shared" si="189"/>
        <v/>
      </c>
      <c r="I1143" t="str">
        <f t="shared" si="190"/>
        <v/>
      </c>
      <c r="J1143" t="str">
        <f t="shared" si="191"/>
        <v/>
      </c>
      <c r="K1143" t="str">
        <f t="shared" si="192"/>
        <v/>
      </c>
      <c r="L1143" t="str">
        <f t="shared" si="193"/>
        <v/>
      </c>
      <c r="M1143" t="str">
        <f t="shared" si="194"/>
        <v/>
      </c>
      <c r="N1143" t="str">
        <f t="shared" si="195"/>
        <v/>
      </c>
      <c r="O1143" t="str">
        <f t="shared" si="196"/>
        <v/>
      </c>
      <c r="P1143" t="str">
        <f>IF($A1143="","",IF($E1143=1,$F1143*$O1143,PNL!G1143))</f>
        <v/>
      </c>
      <c r="T1143" t="str">
        <f t="shared" si="197"/>
        <v/>
      </c>
    </row>
    <row r="1144" spans="1:20" x14ac:dyDescent="0.45">
      <c r="A1144" t="str">
        <f>IF(PNL!A1144="","",PNL!A1144)</f>
        <v/>
      </c>
      <c r="B1144" t="str">
        <f>IF(PNL!B1144="","",PNL!B1144)</f>
        <v/>
      </c>
      <c r="C1144" t="str">
        <f>IF(PNL!C1144="","",PNL!C1144)</f>
        <v/>
      </c>
      <c r="D1144" t="str">
        <f>IF(PNL!D1144="","",PNL!D1144)</f>
        <v/>
      </c>
      <c r="E1144" t="str">
        <f t="shared" si="187"/>
        <v/>
      </c>
      <c r="F1144" t="str">
        <f>IF($A1144="","",IF($E1144=1,SUMIFS(Compta!$F$1:$F$675,Compta!$A$1:$A$675,$A1144,Compta!$B$1:$B$675,$B1144,Compta!$C$1:$C$675,"2026"),0))</f>
        <v/>
      </c>
      <c r="G1144" t="str">
        <f t="shared" si="188"/>
        <v/>
      </c>
      <c r="H1144" t="str">
        <f t="shared" si="189"/>
        <v/>
      </c>
      <c r="I1144" t="str">
        <f t="shared" si="190"/>
        <v/>
      </c>
      <c r="J1144" t="str">
        <f t="shared" si="191"/>
        <v/>
      </c>
      <c r="K1144" t="str">
        <f t="shared" si="192"/>
        <v/>
      </c>
      <c r="L1144" t="str">
        <f t="shared" si="193"/>
        <v/>
      </c>
      <c r="M1144" t="str">
        <f t="shared" si="194"/>
        <v/>
      </c>
      <c r="N1144" t="str">
        <f t="shared" si="195"/>
        <v/>
      </c>
      <c r="O1144" t="str">
        <f t="shared" si="196"/>
        <v/>
      </c>
      <c r="P1144" t="str">
        <f>IF($A1144="","",IF($E1144=1,$F1144*$O1144,PNL!G1144))</f>
        <v/>
      </c>
      <c r="T1144" t="str">
        <f t="shared" si="197"/>
        <v/>
      </c>
    </row>
    <row r="1145" spans="1:20" x14ac:dyDescent="0.45">
      <c r="A1145" t="str">
        <f>IF(PNL!A1145="","",PNL!A1145)</f>
        <v/>
      </c>
      <c r="B1145" t="str">
        <f>IF(PNL!B1145="","",PNL!B1145)</f>
        <v/>
      </c>
      <c r="C1145" t="str">
        <f>IF(PNL!C1145="","",PNL!C1145)</f>
        <v/>
      </c>
      <c r="D1145" t="str">
        <f>IF(PNL!D1145="","",PNL!D1145)</f>
        <v/>
      </c>
      <c r="E1145" t="str">
        <f t="shared" si="187"/>
        <v/>
      </c>
      <c r="F1145" t="str">
        <f>IF($A1145="","",IF($E1145=1,SUMIFS(Compta!$F$1:$F$675,Compta!$A$1:$A$675,$A1145,Compta!$B$1:$B$675,$B1145,Compta!$C$1:$C$675,"2026"),0))</f>
        <v/>
      </c>
      <c r="G1145" t="str">
        <f t="shared" si="188"/>
        <v/>
      </c>
      <c r="H1145" t="str">
        <f t="shared" si="189"/>
        <v/>
      </c>
      <c r="I1145" t="str">
        <f t="shared" si="190"/>
        <v/>
      </c>
      <c r="J1145" t="str">
        <f t="shared" si="191"/>
        <v/>
      </c>
      <c r="K1145" t="str">
        <f t="shared" si="192"/>
        <v/>
      </c>
      <c r="L1145" t="str">
        <f t="shared" si="193"/>
        <v/>
      </c>
      <c r="M1145" t="str">
        <f t="shared" si="194"/>
        <v/>
      </c>
      <c r="N1145" t="str">
        <f t="shared" si="195"/>
        <v/>
      </c>
      <c r="O1145" t="str">
        <f t="shared" si="196"/>
        <v/>
      </c>
      <c r="P1145" t="str">
        <f>IF($A1145="","",IF($E1145=1,$F1145*$O1145,PNL!G1145))</f>
        <v/>
      </c>
      <c r="T1145" t="str">
        <f t="shared" si="197"/>
        <v/>
      </c>
    </row>
    <row r="1146" spans="1:20" x14ac:dyDescent="0.45">
      <c r="A1146" t="str">
        <f>IF(PNL!A1146="","",PNL!A1146)</f>
        <v/>
      </c>
      <c r="B1146" t="str">
        <f>IF(PNL!B1146="","",PNL!B1146)</f>
        <v/>
      </c>
      <c r="C1146" t="str">
        <f>IF(PNL!C1146="","",PNL!C1146)</f>
        <v/>
      </c>
      <c r="D1146" t="str">
        <f>IF(PNL!D1146="","",PNL!D1146)</f>
        <v/>
      </c>
      <c r="E1146" t="str">
        <f t="shared" si="187"/>
        <v/>
      </c>
      <c r="F1146" t="str">
        <f>IF($A1146="","",IF($E1146=1,SUMIFS(Compta!$F$1:$F$675,Compta!$A$1:$A$675,$A1146,Compta!$B$1:$B$675,$B1146,Compta!$C$1:$C$675,"2026"),0))</f>
        <v/>
      </c>
      <c r="G1146" t="str">
        <f t="shared" si="188"/>
        <v/>
      </c>
      <c r="H1146" t="str">
        <f t="shared" si="189"/>
        <v/>
      </c>
      <c r="I1146" t="str">
        <f t="shared" si="190"/>
        <v/>
      </c>
      <c r="J1146" t="str">
        <f t="shared" si="191"/>
        <v/>
      </c>
      <c r="K1146" t="str">
        <f t="shared" si="192"/>
        <v/>
      </c>
      <c r="L1146" t="str">
        <f t="shared" si="193"/>
        <v/>
      </c>
      <c r="M1146" t="str">
        <f t="shared" si="194"/>
        <v/>
      </c>
      <c r="N1146" t="str">
        <f t="shared" si="195"/>
        <v/>
      </c>
      <c r="O1146" t="str">
        <f t="shared" si="196"/>
        <v/>
      </c>
      <c r="P1146" t="str">
        <f>IF($A1146="","",IF($E1146=1,$F1146*$O1146,PNL!G1146))</f>
        <v/>
      </c>
      <c r="T1146" t="str">
        <f t="shared" si="197"/>
        <v/>
      </c>
    </row>
    <row r="1147" spans="1:20" x14ac:dyDescent="0.45">
      <c r="A1147" t="str">
        <f>IF(PNL!A1147="","",PNL!A1147)</f>
        <v/>
      </c>
      <c r="B1147" t="str">
        <f>IF(PNL!B1147="","",PNL!B1147)</f>
        <v/>
      </c>
      <c r="C1147" t="str">
        <f>IF(PNL!C1147="","",PNL!C1147)</f>
        <v/>
      </c>
      <c r="D1147" t="str">
        <f>IF(PNL!D1147="","",PNL!D1147)</f>
        <v/>
      </c>
      <c r="E1147" t="str">
        <f t="shared" si="187"/>
        <v/>
      </c>
      <c r="F1147" t="str">
        <f>IF($A1147="","",IF($E1147=1,SUMIFS(Compta!$F$1:$F$675,Compta!$A$1:$A$675,$A1147,Compta!$B$1:$B$675,$B1147,Compta!$C$1:$C$675,"2026"),0))</f>
        <v/>
      </c>
      <c r="G1147" t="str">
        <f t="shared" si="188"/>
        <v/>
      </c>
      <c r="H1147" t="str">
        <f t="shared" si="189"/>
        <v/>
      </c>
      <c r="I1147" t="str">
        <f t="shared" si="190"/>
        <v/>
      </c>
      <c r="J1147" t="str">
        <f t="shared" si="191"/>
        <v/>
      </c>
      <c r="K1147" t="str">
        <f t="shared" si="192"/>
        <v/>
      </c>
      <c r="L1147" t="str">
        <f t="shared" si="193"/>
        <v/>
      </c>
      <c r="M1147" t="str">
        <f t="shared" si="194"/>
        <v/>
      </c>
      <c r="N1147" t="str">
        <f t="shared" si="195"/>
        <v/>
      </c>
      <c r="O1147" t="str">
        <f t="shared" si="196"/>
        <v/>
      </c>
      <c r="P1147" t="str">
        <f>IF($A1147="","",IF($E1147=1,$F1147*$O1147,PNL!G1147))</f>
        <v/>
      </c>
      <c r="T1147" t="str">
        <f t="shared" si="197"/>
        <v/>
      </c>
    </row>
    <row r="1148" spans="1:20" x14ac:dyDescent="0.45">
      <c r="A1148" t="str">
        <f>IF(PNL!A1148="","",PNL!A1148)</f>
        <v/>
      </c>
      <c r="B1148" t="str">
        <f>IF(PNL!B1148="","",PNL!B1148)</f>
        <v/>
      </c>
      <c r="C1148" t="str">
        <f>IF(PNL!C1148="","",PNL!C1148)</f>
        <v/>
      </c>
      <c r="D1148" t="str">
        <f>IF(PNL!D1148="","",PNL!D1148)</f>
        <v/>
      </c>
      <c r="E1148" t="str">
        <f t="shared" si="187"/>
        <v/>
      </c>
      <c r="F1148" t="str">
        <f>IF($A1148="","",IF($E1148=1,SUMIFS(Compta!$F$1:$F$675,Compta!$A$1:$A$675,$A1148,Compta!$B$1:$B$675,$B1148,Compta!$C$1:$C$675,"2026"),0))</f>
        <v/>
      </c>
      <c r="G1148" t="str">
        <f t="shared" si="188"/>
        <v/>
      </c>
      <c r="H1148" t="str">
        <f t="shared" si="189"/>
        <v/>
      </c>
      <c r="I1148" t="str">
        <f t="shared" si="190"/>
        <v/>
      </c>
      <c r="J1148" t="str">
        <f t="shared" si="191"/>
        <v/>
      </c>
      <c r="K1148" t="str">
        <f t="shared" si="192"/>
        <v/>
      </c>
      <c r="L1148" t="str">
        <f t="shared" si="193"/>
        <v/>
      </c>
      <c r="M1148" t="str">
        <f t="shared" si="194"/>
        <v/>
      </c>
      <c r="N1148" t="str">
        <f t="shared" si="195"/>
        <v/>
      </c>
      <c r="O1148" t="str">
        <f t="shared" si="196"/>
        <v/>
      </c>
      <c r="P1148" t="str">
        <f>IF($A1148="","",IF($E1148=1,$F1148*$O1148,PNL!G1148))</f>
        <v/>
      </c>
      <c r="T1148" t="str">
        <f t="shared" si="197"/>
        <v/>
      </c>
    </row>
    <row r="1149" spans="1:20" x14ac:dyDescent="0.45">
      <c r="A1149" t="str">
        <f>IF(PNL!A1149="","",PNL!A1149)</f>
        <v/>
      </c>
      <c r="B1149" t="str">
        <f>IF(PNL!B1149="","",PNL!B1149)</f>
        <v/>
      </c>
      <c r="C1149" t="str">
        <f>IF(PNL!C1149="","",PNL!C1149)</f>
        <v/>
      </c>
      <c r="D1149" t="str">
        <f>IF(PNL!D1149="","",PNL!D1149)</f>
        <v/>
      </c>
      <c r="E1149" t="str">
        <f t="shared" si="187"/>
        <v/>
      </c>
      <c r="F1149" t="str">
        <f>IF($A1149="","",IF($E1149=1,SUMIFS(Compta!$F$1:$F$675,Compta!$A$1:$A$675,$A1149,Compta!$B$1:$B$675,$B1149,Compta!$C$1:$C$675,"2026"),0))</f>
        <v/>
      </c>
      <c r="G1149" t="str">
        <f t="shared" si="188"/>
        <v/>
      </c>
      <c r="H1149" t="str">
        <f t="shared" si="189"/>
        <v/>
      </c>
      <c r="I1149" t="str">
        <f t="shared" si="190"/>
        <v/>
      </c>
      <c r="J1149" t="str">
        <f t="shared" si="191"/>
        <v/>
      </c>
      <c r="K1149" t="str">
        <f t="shared" si="192"/>
        <v/>
      </c>
      <c r="L1149" t="str">
        <f t="shared" si="193"/>
        <v/>
      </c>
      <c r="M1149" t="str">
        <f t="shared" si="194"/>
        <v/>
      </c>
      <c r="N1149" t="str">
        <f t="shared" si="195"/>
        <v/>
      </c>
      <c r="O1149" t="str">
        <f t="shared" si="196"/>
        <v/>
      </c>
      <c r="P1149" t="str">
        <f>IF($A1149="","",IF($E1149=1,$F1149*$O1149,PNL!G1149))</f>
        <v/>
      </c>
      <c r="T1149" t="str">
        <f t="shared" si="197"/>
        <v/>
      </c>
    </row>
    <row r="1150" spans="1:20" x14ac:dyDescent="0.45">
      <c r="A1150" t="str">
        <f>IF(PNL!A1150="","",PNL!A1150)</f>
        <v/>
      </c>
      <c r="B1150" t="str">
        <f>IF(PNL!B1150="","",PNL!B1150)</f>
        <v/>
      </c>
      <c r="C1150" t="str">
        <f>IF(PNL!C1150="","",PNL!C1150)</f>
        <v/>
      </c>
      <c r="D1150" t="str">
        <f>IF(PNL!D1150="","",PNL!D1150)</f>
        <v/>
      </c>
      <c r="E1150" t="str">
        <f t="shared" si="187"/>
        <v/>
      </c>
      <c r="F1150" t="str">
        <f>IF($A1150="","",IF($E1150=1,SUMIFS(Compta!$F$1:$F$675,Compta!$A$1:$A$675,$A1150,Compta!$B$1:$B$675,$B1150,Compta!$C$1:$C$675,"2026"),0))</f>
        <v/>
      </c>
      <c r="G1150" t="str">
        <f t="shared" si="188"/>
        <v/>
      </c>
      <c r="H1150" t="str">
        <f t="shared" si="189"/>
        <v/>
      </c>
      <c r="I1150" t="str">
        <f t="shared" si="190"/>
        <v/>
      </c>
      <c r="J1150" t="str">
        <f t="shared" si="191"/>
        <v/>
      </c>
      <c r="K1150" t="str">
        <f t="shared" si="192"/>
        <v/>
      </c>
      <c r="L1150" t="str">
        <f t="shared" si="193"/>
        <v/>
      </c>
      <c r="M1150" t="str">
        <f t="shared" si="194"/>
        <v/>
      </c>
      <c r="N1150" t="str">
        <f t="shared" si="195"/>
        <v/>
      </c>
      <c r="O1150" t="str">
        <f t="shared" si="196"/>
        <v/>
      </c>
      <c r="P1150" t="str">
        <f>IF($A1150="","",IF($E1150=1,$F1150*$O1150,PNL!G1150))</f>
        <v/>
      </c>
      <c r="T1150" t="str">
        <f t="shared" si="197"/>
        <v/>
      </c>
    </row>
    <row r="1151" spans="1:20" x14ac:dyDescent="0.45">
      <c r="A1151" t="str">
        <f>IF(PNL!A1151="","",PNL!A1151)</f>
        <v/>
      </c>
      <c r="B1151" t="str">
        <f>IF(PNL!B1151="","",PNL!B1151)</f>
        <v/>
      </c>
      <c r="C1151" t="str">
        <f>IF(PNL!C1151="","",PNL!C1151)</f>
        <v/>
      </c>
      <c r="D1151" t="str">
        <f>IF(PNL!D1151="","",PNL!D1151)</f>
        <v/>
      </c>
      <c r="E1151" t="str">
        <f t="shared" si="187"/>
        <v/>
      </c>
      <c r="F1151" t="str">
        <f>IF($A1151="","",IF($E1151=1,SUMIFS(Compta!$F$1:$F$675,Compta!$A$1:$A$675,$A1151,Compta!$B$1:$B$675,$B1151,Compta!$C$1:$C$675,"2026"),0))</f>
        <v/>
      </c>
      <c r="G1151" t="str">
        <f t="shared" si="188"/>
        <v/>
      </c>
      <c r="H1151" t="str">
        <f t="shared" si="189"/>
        <v/>
      </c>
      <c r="I1151" t="str">
        <f t="shared" si="190"/>
        <v/>
      </c>
      <c r="J1151" t="str">
        <f t="shared" si="191"/>
        <v/>
      </c>
      <c r="K1151" t="str">
        <f t="shared" si="192"/>
        <v/>
      </c>
      <c r="L1151" t="str">
        <f t="shared" si="193"/>
        <v/>
      </c>
      <c r="M1151" t="str">
        <f t="shared" si="194"/>
        <v/>
      </c>
      <c r="N1151" t="str">
        <f t="shared" si="195"/>
        <v/>
      </c>
      <c r="O1151" t="str">
        <f t="shared" si="196"/>
        <v/>
      </c>
      <c r="P1151" t="str">
        <f>IF($A1151="","",IF($E1151=1,$F1151*$O1151,PNL!G1151))</f>
        <v/>
      </c>
      <c r="T1151" t="str">
        <f t="shared" si="197"/>
        <v/>
      </c>
    </row>
    <row r="1152" spans="1:20" x14ac:dyDescent="0.45">
      <c r="A1152" t="str">
        <f>IF(PNL!A1152="","",PNL!A1152)</f>
        <v/>
      </c>
      <c r="B1152" t="str">
        <f>IF(PNL!B1152="","",PNL!B1152)</f>
        <v/>
      </c>
      <c r="C1152" t="str">
        <f>IF(PNL!C1152="","",PNL!C1152)</f>
        <v/>
      </c>
      <c r="D1152" t="str">
        <f>IF(PNL!D1152="","",PNL!D1152)</f>
        <v/>
      </c>
      <c r="E1152" t="str">
        <f t="shared" si="187"/>
        <v/>
      </c>
      <c r="F1152" t="str">
        <f>IF($A1152="","",IF($E1152=1,SUMIFS(Compta!$F$1:$F$675,Compta!$A$1:$A$675,$A1152,Compta!$B$1:$B$675,$B1152,Compta!$C$1:$C$675,"2026"),0))</f>
        <v/>
      </c>
      <c r="G1152" t="str">
        <f t="shared" si="188"/>
        <v/>
      </c>
      <c r="H1152" t="str">
        <f t="shared" si="189"/>
        <v/>
      </c>
      <c r="I1152" t="str">
        <f t="shared" si="190"/>
        <v/>
      </c>
      <c r="J1152" t="str">
        <f t="shared" si="191"/>
        <v/>
      </c>
      <c r="K1152" t="str">
        <f t="shared" si="192"/>
        <v/>
      </c>
      <c r="L1152" t="str">
        <f t="shared" si="193"/>
        <v/>
      </c>
      <c r="M1152" t="str">
        <f t="shared" si="194"/>
        <v/>
      </c>
      <c r="N1152" t="str">
        <f t="shared" si="195"/>
        <v/>
      </c>
      <c r="O1152" t="str">
        <f t="shared" si="196"/>
        <v/>
      </c>
      <c r="P1152" t="str">
        <f>IF($A1152="","",IF($E1152=1,$F1152*$O1152,PNL!G1152))</f>
        <v/>
      </c>
      <c r="T1152" t="str">
        <f t="shared" si="197"/>
        <v/>
      </c>
    </row>
    <row r="1153" spans="1:20" x14ac:dyDescent="0.45">
      <c r="A1153" t="str">
        <f>IF(PNL!A1153="","",PNL!A1153)</f>
        <v/>
      </c>
      <c r="B1153" t="str">
        <f>IF(PNL!B1153="","",PNL!B1153)</f>
        <v/>
      </c>
      <c r="C1153" t="str">
        <f>IF(PNL!C1153="","",PNL!C1153)</f>
        <v/>
      </c>
      <c r="D1153" t="str">
        <f>IF(PNL!D1153="","",PNL!D1153)</f>
        <v/>
      </c>
      <c r="E1153" t="str">
        <f t="shared" si="187"/>
        <v/>
      </c>
      <c r="F1153" t="str">
        <f>IF($A1153="","",IF($E1153=1,SUMIFS(Compta!$F$1:$F$675,Compta!$A$1:$A$675,$A1153,Compta!$B$1:$B$675,$B1153,Compta!$C$1:$C$675,"2026"),0))</f>
        <v/>
      </c>
      <c r="G1153" t="str">
        <f t="shared" si="188"/>
        <v/>
      </c>
      <c r="H1153" t="str">
        <f t="shared" si="189"/>
        <v/>
      </c>
      <c r="I1153" t="str">
        <f t="shared" si="190"/>
        <v/>
      </c>
      <c r="J1153" t="str">
        <f t="shared" si="191"/>
        <v/>
      </c>
      <c r="K1153" t="str">
        <f t="shared" si="192"/>
        <v/>
      </c>
      <c r="L1153" t="str">
        <f t="shared" si="193"/>
        <v/>
      </c>
      <c r="M1153" t="str">
        <f t="shared" si="194"/>
        <v/>
      </c>
      <c r="N1153" t="str">
        <f t="shared" si="195"/>
        <v/>
      </c>
      <c r="O1153" t="str">
        <f t="shared" si="196"/>
        <v/>
      </c>
      <c r="P1153" t="str">
        <f>IF($A1153="","",IF($E1153=1,$F1153*$O1153,PNL!G1153))</f>
        <v/>
      </c>
      <c r="T1153" t="str">
        <f t="shared" si="197"/>
        <v/>
      </c>
    </row>
    <row r="1154" spans="1:20" x14ac:dyDescent="0.45">
      <c r="A1154" t="str">
        <f>IF(PNL!A1154="","",PNL!A1154)</f>
        <v/>
      </c>
      <c r="B1154" t="str">
        <f>IF(PNL!B1154="","",PNL!B1154)</f>
        <v/>
      </c>
      <c r="C1154" t="str">
        <f>IF(PNL!C1154="","",PNL!C1154)</f>
        <v/>
      </c>
      <c r="D1154" t="str">
        <f>IF(PNL!D1154="","",PNL!D1154)</f>
        <v/>
      </c>
      <c r="E1154" t="str">
        <f t="shared" ref="E1154:E1217" si="198">IF($A1154="","",IF(AND($C1154="2027",OR($D1154="V01",$D1154="V02",$D1154="V03")),1,0))</f>
        <v/>
      </c>
      <c r="F1154" t="str">
        <f>IF($A1154="","",IF($E1154=1,SUMIFS(Compta!$F$1:$F$675,Compta!$A$1:$A$675,$A1154,Compta!$B$1:$B$675,$B1154,Compta!$C$1:$C$675,"2026"),0))</f>
        <v/>
      </c>
      <c r="G1154" t="str">
        <f t="shared" ref="G1154:G1217" si="199">IF($A1154="","",IF($D1154="V01",cad!$C$23,IF($D1154="V02",cad!$D$23,cad!$E$23)))</f>
        <v/>
      </c>
      <c r="H1154" t="str">
        <f t="shared" ref="H1154:H1217" si="200">IF($A1154="","",IF($D1154="V01",cad!$C$24,IF($D1154="V02",cad!$D$24,cad!$E$24)))</f>
        <v/>
      </c>
      <c r="I1154" t="str">
        <f t="shared" ref="I1154:I1217" si="201">IF($A1154="","",IF($D1154="V01",cad!$C$32,IF($D1154="V02",cad!$D$32,cad!$E$32)))</f>
        <v/>
      </c>
      <c r="J1154" t="str">
        <f t="shared" ref="J1154:J1217" si="202">IF($A1154="","",IF($D1154="V01",cad!$C$33,IF($D1154="V02",cad!$D$33,cad!$E$33)))</f>
        <v/>
      </c>
      <c r="K1154" t="str">
        <f t="shared" ref="K1154:K1217" si="203">IF($A1154="","",IF($D1154="V01",cad!$C$34,IF($D1154="V02",cad!$D$34,cad!$E$34)))</f>
        <v/>
      </c>
      <c r="L1154" t="str">
        <f t="shared" ref="L1154:L1217" si="204">IF($A1154="","",IF($D1154="V01",cad!$C$35,IF($D1154="V02",cad!$D$35,cad!$E$35)))</f>
        <v/>
      </c>
      <c r="M1154" t="str">
        <f t="shared" ref="M1154:M1217" si="205">IF($A1154="","",IF($D1154="V01",cad!$C$36,IF($D1154="V02",cad!$D$36,cad!$E$36)))</f>
        <v/>
      </c>
      <c r="N1154" t="str">
        <f t="shared" ref="N1154:N1217" si="206">IF($A1154="","",IF($D1154="V01",$R$2,IF($D1154="V02",$R$3,$R$4)))</f>
        <v/>
      </c>
      <c r="O1154" t="str">
        <f t="shared" ref="O1154:O1217" si="207">IF($A1154="","",IF(OR($B1154="7062",$B1154="706",$B1154="708"),$N1154,IF($B1154="6231",1+$G1154,IF($B1154="6236",1+$H1154,IF(OR($B1154="621",$B1154="604",$B1154="6063"),$N1154*(1-$L1154),IF(OR($B1154="6411",$B1154="6413",$B1154="6414",$B1154="645"),(1+$J1154)*(1+$K1154),IF(OR($B1154="613",$B1154="615",$B1154="616",$B1154="6226",$B1154="625",$B1154="626",$B1154="6281"),(1+$I1154)*(1-$L1154)*(1+$M1154),IF(OR($B1154="6331",$B1154="63511",$B1154="6333"),(1+$I1154)*(1-$L1154),IF($B1154="6811",1+$I1154,1)))))))))</f>
        <v/>
      </c>
      <c r="P1154" t="str">
        <f>IF($A1154="","",IF($E1154=1,$F1154*$O1154,PNL!G1154))</f>
        <v/>
      </c>
      <c r="T1154" t="str">
        <f t="shared" ref="T1154:T1217" si="208">IF($A1154="","",IF($E1154=1,IF(OR($B1154="7062",$B1154="706",$B1154="708"),$P1154,IF(AND(LEFT($B1154,1)="6",$B1154&lt;&gt;"6811"),-$P1154,0)),0))</f>
        <v/>
      </c>
    </row>
    <row r="1155" spans="1:20" x14ac:dyDescent="0.45">
      <c r="A1155" t="str">
        <f>IF(PNL!A1155="","",PNL!A1155)</f>
        <v/>
      </c>
      <c r="B1155" t="str">
        <f>IF(PNL!B1155="","",PNL!B1155)</f>
        <v/>
      </c>
      <c r="C1155" t="str">
        <f>IF(PNL!C1155="","",PNL!C1155)</f>
        <v/>
      </c>
      <c r="D1155" t="str">
        <f>IF(PNL!D1155="","",PNL!D1155)</f>
        <v/>
      </c>
      <c r="E1155" t="str">
        <f t="shared" si="198"/>
        <v/>
      </c>
      <c r="F1155" t="str">
        <f>IF($A1155="","",IF($E1155=1,SUMIFS(Compta!$F$1:$F$675,Compta!$A$1:$A$675,$A1155,Compta!$B$1:$B$675,$B1155,Compta!$C$1:$C$675,"2026"),0))</f>
        <v/>
      </c>
      <c r="G1155" t="str">
        <f t="shared" si="199"/>
        <v/>
      </c>
      <c r="H1155" t="str">
        <f t="shared" si="200"/>
        <v/>
      </c>
      <c r="I1155" t="str">
        <f t="shared" si="201"/>
        <v/>
      </c>
      <c r="J1155" t="str">
        <f t="shared" si="202"/>
        <v/>
      </c>
      <c r="K1155" t="str">
        <f t="shared" si="203"/>
        <v/>
      </c>
      <c r="L1155" t="str">
        <f t="shared" si="204"/>
        <v/>
      </c>
      <c r="M1155" t="str">
        <f t="shared" si="205"/>
        <v/>
      </c>
      <c r="N1155" t="str">
        <f t="shared" si="206"/>
        <v/>
      </c>
      <c r="O1155" t="str">
        <f t="shared" si="207"/>
        <v/>
      </c>
      <c r="P1155" t="str">
        <f>IF($A1155="","",IF($E1155=1,$F1155*$O1155,PNL!G1155))</f>
        <v/>
      </c>
      <c r="T1155" t="str">
        <f t="shared" si="208"/>
        <v/>
      </c>
    </row>
    <row r="1156" spans="1:20" x14ac:dyDescent="0.45">
      <c r="A1156" t="str">
        <f>IF(PNL!A1156="","",PNL!A1156)</f>
        <v/>
      </c>
      <c r="B1156" t="str">
        <f>IF(PNL!B1156="","",PNL!B1156)</f>
        <v/>
      </c>
      <c r="C1156" t="str">
        <f>IF(PNL!C1156="","",PNL!C1156)</f>
        <v/>
      </c>
      <c r="D1156" t="str">
        <f>IF(PNL!D1156="","",PNL!D1156)</f>
        <v/>
      </c>
      <c r="E1156" t="str">
        <f t="shared" si="198"/>
        <v/>
      </c>
      <c r="F1156" t="str">
        <f>IF($A1156="","",IF($E1156=1,SUMIFS(Compta!$F$1:$F$675,Compta!$A$1:$A$675,$A1156,Compta!$B$1:$B$675,$B1156,Compta!$C$1:$C$675,"2026"),0))</f>
        <v/>
      </c>
      <c r="G1156" t="str">
        <f t="shared" si="199"/>
        <v/>
      </c>
      <c r="H1156" t="str">
        <f t="shared" si="200"/>
        <v/>
      </c>
      <c r="I1156" t="str">
        <f t="shared" si="201"/>
        <v/>
      </c>
      <c r="J1156" t="str">
        <f t="shared" si="202"/>
        <v/>
      </c>
      <c r="K1156" t="str">
        <f t="shared" si="203"/>
        <v/>
      </c>
      <c r="L1156" t="str">
        <f t="shared" si="204"/>
        <v/>
      </c>
      <c r="M1156" t="str">
        <f t="shared" si="205"/>
        <v/>
      </c>
      <c r="N1156" t="str">
        <f t="shared" si="206"/>
        <v/>
      </c>
      <c r="O1156" t="str">
        <f t="shared" si="207"/>
        <v/>
      </c>
      <c r="P1156" t="str">
        <f>IF($A1156="","",IF($E1156=1,$F1156*$O1156,PNL!G1156))</f>
        <v/>
      </c>
      <c r="T1156" t="str">
        <f t="shared" si="208"/>
        <v/>
      </c>
    </row>
    <row r="1157" spans="1:20" x14ac:dyDescent="0.45">
      <c r="A1157" t="str">
        <f>IF(PNL!A1157="","",PNL!A1157)</f>
        <v/>
      </c>
      <c r="B1157" t="str">
        <f>IF(PNL!B1157="","",PNL!B1157)</f>
        <v/>
      </c>
      <c r="C1157" t="str">
        <f>IF(PNL!C1157="","",PNL!C1157)</f>
        <v/>
      </c>
      <c r="D1157" t="str">
        <f>IF(PNL!D1157="","",PNL!D1157)</f>
        <v/>
      </c>
      <c r="E1157" t="str">
        <f t="shared" si="198"/>
        <v/>
      </c>
      <c r="F1157" t="str">
        <f>IF($A1157="","",IF($E1157=1,SUMIFS(Compta!$F$1:$F$675,Compta!$A$1:$A$675,$A1157,Compta!$B$1:$B$675,$B1157,Compta!$C$1:$C$675,"2026"),0))</f>
        <v/>
      </c>
      <c r="G1157" t="str">
        <f t="shared" si="199"/>
        <v/>
      </c>
      <c r="H1157" t="str">
        <f t="shared" si="200"/>
        <v/>
      </c>
      <c r="I1157" t="str">
        <f t="shared" si="201"/>
        <v/>
      </c>
      <c r="J1157" t="str">
        <f t="shared" si="202"/>
        <v/>
      </c>
      <c r="K1157" t="str">
        <f t="shared" si="203"/>
        <v/>
      </c>
      <c r="L1157" t="str">
        <f t="shared" si="204"/>
        <v/>
      </c>
      <c r="M1157" t="str">
        <f t="shared" si="205"/>
        <v/>
      </c>
      <c r="N1157" t="str">
        <f t="shared" si="206"/>
        <v/>
      </c>
      <c r="O1157" t="str">
        <f t="shared" si="207"/>
        <v/>
      </c>
      <c r="P1157" t="str">
        <f>IF($A1157="","",IF($E1157=1,$F1157*$O1157,PNL!G1157))</f>
        <v/>
      </c>
      <c r="T1157" t="str">
        <f t="shared" si="208"/>
        <v/>
      </c>
    </row>
    <row r="1158" spans="1:20" x14ac:dyDescent="0.45">
      <c r="A1158" t="str">
        <f>IF(PNL!A1158="","",PNL!A1158)</f>
        <v/>
      </c>
      <c r="B1158" t="str">
        <f>IF(PNL!B1158="","",PNL!B1158)</f>
        <v/>
      </c>
      <c r="C1158" t="str">
        <f>IF(PNL!C1158="","",PNL!C1158)</f>
        <v/>
      </c>
      <c r="D1158" t="str">
        <f>IF(PNL!D1158="","",PNL!D1158)</f>
        <v/>
      </c>
      <c r="E1158" t="str">
        <f t="shared" si="198"/>
        <v/>
      </c>
      <c r="F1158" t="str">
        <f>IF($A1158="","",IF($E1158=1,SUMIFS(Compta!$F$1:$F$675,Compta!$A$1:$A$675,$A1158,Compta!$B$1:$B$675,$B1158,Compta!$C$1:$C$675,"2026"),0))</f>
        <v/>
      </c>
      <c r="G1158" t="str">
        <f t="shared" si="199"/>
        <v/>
      </c>
      <c r="H1158" t="str">
        <f t="shared" si="200"/>
        <v/>
      </c>
      <c r="I1158" t="str">
        <f t="shared" si="201"/>
        <v/>
      </c>
      <c r="J1158" t="str">
        <f t="shared" si="202"/>
        <v/>
      </c>
      <c r="K1158" t="str">
        <f t="shared" si="203"/>
        <v/>
      </c>
      <c r="L1158" t="str">
        <f t="shared" si="204"/>
        <v/>
      </c>
      <c r="M1158" t="str">
        <f t="shared" si="205"/>
        <v/>
      </c>
      <c r="N1158" t="str">
        <f t="shared" si="206"/>
        <v/>
      </c>
      <c r="O1158" t="str">
        <f t="shared" si="207"/>
        <v/>
      </c>
      <c r="P1158" t="str">
        <f>IF($A1158="","",IF($E1158=1,$F1158*$O1158,PNL!G1158))</f>
        <v/>
      </c>
      <c r="T1158" t="str">
        <f t="shared" si="208"/>
        <v/>
      </c>
    </row>
    <row r="1159" spans="1:20" x14ac:dyDescent="0.45">
      <c r="A1159" t="str">
        <f>IF(PNL!A1159="","",PNL!A1159)</f>
        <v/>
      </c>
      <c r="B1159" t="str">
        <f>IF(PNL!B1159="","",PNL!B1159)</f>
        <v/>
      </c>
      <c r="C1159" t="str">
        <f>IF(PNL!C1159="","",PNL!C1159)</f>
        <v/>
      </c>
      <c r="D1159" t="str">
        <f>IF(PNL!D1159="","",PNL!D1159)</f>
        <v/>
      </c>
      <c r="E1159" t="str">
        <f t="shared" si="198"/>
        <v/>
      </c>
      <c r="F1159" t="str">
        <f>IF($A1159="","",IF($E1159=1,SUMIFS(Compta!$F$1:$F$675,Compta!$A$1:$A$675,$A1159,Compta!$B$1:$B$675,$B1159,Compta!$C$1:$C$675,"2026"),0))</f>
        <v/>
      </c>
      <c r="G1159" t="str">
        <f t="shared" si="199"/>
        <v/>
      </c>
      <c r="H1159" t="str">
        <f t="shared" si="200"/>
        <v/>
      </c>
      <c r="I1159" t="str">
        <f t="shared" si="201"/>
        <v/>
      </c>
      <c r="J1159" t="str">
        <f t="shared" si="202"/>
        <v/>
      </c>
      <c r="K1159" t="str">
        <f t="shared" si="203"/>
        <v/>
      </c>
      <c r="L1159" t="str">
        <f t="shared" si="204"/>
        <v/>
      </c>
      <c r="M1159" t="str">
        <f t="shared" si="205"/>
        <v/>
      </c>
      <c r="N1159" t="str">
        <f t="shared" si="206"/>
        <v/>
      </c>
      <c r="O1159" t="str">
        <f t="shared" si="207"/>
        <v/>
      </c>
      <c r="P1159" t="str">
        <f>IF($A1159="","",IF($E1159=1,$F1159*$O1159,PNL!G1159))</f>
        <v/>
      </c>
      <c r="T1159" t="str">
        <f t="shared" si="208"/>
        <v/>
      </c>
    </row>
    <row r="1160" spans="1:20" x14ac:dyDescent="0.45">
      <c r="A1160" t="str">
        <f>IF(PNL!A1160="","",PNL!A1160)</f>
        <v/>
      </c>
      <c r="B1160" t="str">
        <f>IF(PNL!B1160="","",PNL!B1160)</f>
        <v/>
      </c>
      <c r="C1160" t="str">
        <f>IF(PNL!C1160="","",PNL!C1160)</f>
        <v/>
      </c>
      <c r="D1160" t="str">
        <f>IF(PNL!D1160="","",PNL!D1160)</f>
        <v/>
      </c>
      <c r="E1160" t="str">
        <f t="shared" si="198"/>
        <v/>
      </c>
      <c r="F1160" t="str">
        <f>IF($A1160="","",IF($E1160=1,SUMIFS(Compta!$F$1:$F$675,Compta!$A$1:$A$675,$A1160,Compta!$B$1:$B$675,$B1160,Compta!$C$1:$C$675,"2026"),0))</f>
        <v/>
      </c>
      <c r="G1160" t="str">
        <f t="shared" si="199"/>
        <v/>
      </c>
      <c r="H1160" t="str">
        <f t="shared" si="200"/>
        <v/>
      </c>
      <c r="I1160" t="str">
        <f t="shared" si="201"/>
        <v/>
      </c>
      <c r="J1160" t="str">
        <f t="shared" si="202"/>
        <v/>
      </c>
      <c r="K1160" t="str">
        <f t="shared" si="203"/>
        <v/>
      </c>
      <c r="L1160" t="str">
        <f t="shared" si="204"/>
        <v/>
      </c>
      <c r="M1160" t="str">
        <f t="shared" si="205"/>
        <v/>
      </c>
      <c r="N1160" t="str">
        <f t="shared" si="206"/>
        <v/>
      </c>
      <c r="O1160" t="str">
        <f t="shared" si="207"/>
        <v/>
      </c>
      <c r="P1160" t="str">
        <f>IF($A1160="","",IF($E1160=1,$F1160*$O1160,PNL!G1160))</f>
        <v/>
      </c>
      <c r="T1160" t="str">
        <f t="shared" si="208"/>
        <v/>
      </c>
    </row>
    <row r="1161" spans="1:20" x14ac:dyDescent="0.45">
      <c r="A1161" t="str">
        <f>IF(PNL!A1161="","",PNL!A1161)</f>
        <v/>
      </c>
      <c r="B1161" t="str">
        <f>IF(PNL!B1161="","",PNL!B1161)</f>
        <v/>
      </c>
      <c r="C1161" t="str">
        <f>IF(PNL!C1161="","",PNL!C1161)</f>
        <v/>
      </c>
      <c r="D1161" t="str">
        <f>IF(PNL!D1161="","",PNL!D1161)</f>
        <v/>
      </c>
      <c r="E1161" t="str">
        <f t="shared" si="198"/>
        <v/>
      </c>
      <c r="F1161" t="str">
        <f>IF($A1161="","",IF($E1161=1,SUMIFS(Compta!$F$1:$F$675,Compta!$A$1:$A$675,$A1161,Compta!$B$1:$B$675,$B1161,Compta!$C$1:$C$675,"2026"),0))</f>
        <v/>
      </c>
      <c r="G1161" t="str">
        <f t="shared" si="199"/>
        <v/>
      </c>
      <c r="H1161" t="str">
        <f t="shared" si="200"/>
        <v/>
      </c>
      <c r="I1161" t="str">
        <f t="shared" si="201"/>
        <v/>
      </c>
      <c r="J1161" t="str">
        <f t="shared" si="202"/>
        <v/>
      </c>
      <c r="K1161" t="str">
        <f t="shared" si="203"/>
        <v/>
      </c>
      <c r="L1161" t="str">
        <f t="shared" si="204"/>
        <v/>
      </c>
      <c r="M1161" t="str">
        <f t="shared" si="205"/>
        <v/>
      </c>
      <c r="N1161" t="str">
        <f t="shared" si="206"/>
        <v/>
      </c>
      <c r="O1161" t="str">
        <f t="shared" si="207"/>
        <v/>
      </c>
      <c r="P1161" t="str">
        <f>IF($A1161="","",IF($E1161=1,$F1161*$O1161,PNL!G1161))</f>
        <v/>
      </c>
      <c r="T1161" t="str">
        <f t="shared" si="208"/>
        <v/>
      </c>
    </row>
    <row r="1162" spans="1:20" x14ac:dyDescent="0.45">
      <c r="A1162" t="str">
        <f>IF(PNL!A1162="","",PNL!A1162)</f>
        <v/>
      </c>
      <c r="B1162" t="str">
        <f>IF(PNL!B1162="","",PNL!B1162)</f>
        <v/>
      </c>
      <c r="C1162" t="str">
        <f>IF(PNL!C1162="","",PNL!C1162)</f>
        <v/>
      </c>
      <c r="D1162" t="str">
        <f>IF(PNL!D1162="","",PNL!D1162)</f>
        <v/>
      </c>
      <c r="E1162" t="str">
        <f t="shared" si="198"/>
        <v/>
      </c>
      <c r="F1162" t="str">
        <f>IF($A1162="","",IF($E1162=1,SUMIFS(Compta!$F$1:$F$675,Compta!$A$1:$A$675,$A1162,Compta!$B$1:$B$675,$B1162,Compta!$C$1:$C$675,"2026"),0))</f>
        <v/>
      </c>
      <c r="G1162" t="str">
        <f t="shared" si="199"/>
        <v/>
      </c>
      <c r="H1162" t="str">
        <f t="shared" si="200"/>
        <v/>
      </c>
      <c r="I1162" t="str">
        <f t="shared" si="201"/>
        <v/>
      </c>
      <c r="J1162" t="str">
        <f t="shared" si="202"/>
        <v/>
      </c>
      <c r="K1162" t="str">
        <f t="shared" si="203"/>
        <v/>
      </c>
      <c r="L1162" t="str">
        <f t="shared" si="204"/>
        <v/>
      </c>
      <c r="M1162" t="str">
        <f t="shared" si="205"/>
        <v/>
      </c>
      <c r="N1162" t="str">
        <f t="shared" si="206"/>
        <v/>
      </c>
      <c r="O1162" t="str">
        <f t="shared" si="207"/>
        <v/>
      </c>
      <c r="P1162" t="str">
        <f>IF($A1162="","",IF($E1162=1,$F1162*$O1162,PNL!G1162))</f>
        <v/>
      </c>
      <c r="T1162" t="str">
        <f t="shared" si="208"/>
        <v/>
      </c>
    </row>
    <row r="1163" spans="1:20" x14ac:dyDescent="0.45">
      <c r="A1163" t="str">
        <f>IF(PNL!A1163="","",PNL!A1163)</f>
        <v/>
      </c>
      <c r="B1163" t="str">
        <f>IF(PNL!B1163="","",PNL!B1163)</f>
        <v/>
      </c>
      <c r="C1163" t="str">
        <f>IF(PNL!C1163="","",PNL!C1163)</f>
        <v/>
      </c>
      <c r="D1163" t="str">
        <f>IF(PNL!D1163="","",PNL!D1163)</f>
        <v/>
      </c>
      <c r="E1163" t="str">
        <f t="shared" si="198"/>
        <v/>
      </c>
      <c r="F1163" t="str">
        <f>IF($A1163="","",IF($E1163=1,SUMIFS(Compta!$F$1:$F$675,Compta!$A$1:$A$675,$A1163,Compta!$B$1:$B$675,$B1163,Compta!$C$1:$C$675,"2026"),0))</f>
        <v/>
      </c>
      <c r="G1163" t="str">
        <f t="shared" si="199"/>
        <v/>
      </c>
      <c r="H1163" t="str">
        <f t="shared" si="200"/>
        <v/>
      </c>
      <c r="I1163" t="str">
        <f t="shared" si="201"/>
        <v/>
      </c>
      <c r="J1163" t="str">
        <f t="shared" si="202"/>
        <v/>
      </c>
      <c r="K1163" t="str">
        <f t="shared" si="203"/>
        <v/>
      </c>
      <c r="L1163" t="str">
        <f t="shared" si="204"/>
        <v/>
      </c>
      <c r="M1163" t="str">
        <f t="shared" si="205"/>
        <v/>
      </c>
      <c r="N1163" t="str">
        <f t="shared" si="206"/>
        <v/>
      </c>
      <c r="O1163" t="str">
        <f t="shared" si="207"/>
        <v/>
      </c>
      <c r="P1163" t="str">
        <f>IF($A1163="","",IF($E1163=1,$F1163*$O1163,PNL!G1163))</f>
        <v/>
      </c>
      <c r="T1163" t="str">
        <f t="shared" si="208"/>
        <v/>
      </c>
    </row>
    <row r="1164" spans="1:20" x14ac:dyDescent="0.45">
      <c r="A1164" t="str">
        <f>IF(PNL!A1164="","",PNL!A1164)</f>
        <v/>
      </c>
      <c r="B1164" t="str">
        <f>IF(PNL!B1164="","",PNL!B1164)</f>
        <v/>
      </c>
      <c r="C1164" t="str">
        <f>IF(PNL!C1164="","",PNL!C1164)</f>
        <v/>
      </c>
      <c r="D1164" t="str">
        <f>IF(PNL!D1164="","",PNL!D1164)</f>
        <v/>
      </c>
      <c r="E1164" t="str">
        <f t="shared" si="198"/>
        <v/>
      </c>
      <c r="F1164" t="str">
        <f>IF($A1164="","",IF($E1164=1,SUMIFS(Compta!$F$1:$F$675,Compta!$A$1:$A$675,$A1164,Compta!$B$1:$B$675,$B1164,Compta!$C$1:$C$675,"2026"),0))</f>
        <v/>
      </c>
      <c r="G1164" t="str">
        <f t="shared" si="199"/>
        <v/>
      </c>
      <c r="H1164" t="str">
        <f t="shared" si="200"/>
        <v/>
      </c>
      <c r="I1164" t="str">
        <f t="shared" si="201"/>
        <v/>
      </c>
      <c r="J1164" t="str">
        <f t="shared" si="202"/>
        <v/>
      </c>
      <c r="K1164" t="str">
        <f t="shared" si="203"/>
        <v/>
      </c>
      <c r="L1164" t="str">
        <f t="shared" si="204"/>
        <v/>
      </c>
      <c r="M1164" t="str">
        <f t="shared" si="205"/>
        <v/>
      </c>
      <c r="N1164" t="str">
        <f t="shared" si="206"/>
        <v/>
      </c>
      <c r="O1164" t="str">
        <f t="shared" si="207"/>
        <v/>
      </c>
      <c r="P1164" t="str">
        <f>IF($A1164="","",IF($E1164=1,$F1164*$O1164,PNL!G1164))</f>
        <v/>
      </c>
      <c r="T1164" t="str">
        <f t="shared" si="208"/>
        <v/>
      </c>
    </row>
    <row r="1165" spans="1:20" x14ac:dyDescent="0.45">
      <c r="A1165" t="str">
        <f>IF(PNL!A1165="","",PNL!A1165)</f>
        <v/>
      </c>
      <c r="B1165" t="str">
        <f>IF(PNL!B1165="","",PNL!B1165)</f>
        <v/>
      </c>
      <c r="C1165" t="str">
        <f>IF(PNL!C1165="","",PNL!C1165)</f>
        <v/>
      </c>
      <c r="D1165" t="str">
        <f>IF(PNL!D1165="","",PNL!D1165)</f>
        <v/>
      </c>
      <c r="E1165" t="str">
        <f t="shared" si="198"/>
        <v/>
      </c>
      <c r="F1165" t="str">
        <f>IF($A1165="","",IF($E1165=1,SUMIFS(Compta!$F$1:$F$675,Compta!$A$1:$A$675,$A1165,Compta!$B$1:$B$675,$B1165,Compta!$C$1:$C$675,"2026"),0))</f>
        <v/>
      </c>
      <c r="G1165" t="str">
        <f t="shared" si="199"/>
        <v/>
      </c>
      <c r="H1165" t="str">
        <f t="shared" si="200"/>
        <v/>
      </c>
      <c r="I1165" t="str">
        <f t="shared" si="201"/>
        <v/>
      </c>
      <c r="J1165" t="str">
        <f t="shared" si="202"/>
        <v/>
      </c>
      <c r="K1165" t="str">
        <f t="shared" si="203"/>
        <v/>
      </c>
      <c r="L1165" t="str">
        <f t="shared" si="204"/>
        <v/>
      </c>
      <c r="M1165" t="str">
        <f t="shared" si="205"/>
        <v/>
      </c>
      <c r="N1165" t="str">
        <f t="shared" si="206"/>
        <v/>
      </c>
      <c r="O1165" t="str">
        <f t="shared" si="207"/>
        <v/>
      </c>
      <c r="P1165" t="str">
        <f>IF($A1165="","",IF($E1165=1,$F1165*$O1165,PNL!G1165))</f>
        <v/>
      </c>
      <c r="T1165" t="str">
        <f t="shared" si="208"/>
        <v/>
      </c>
    </row>
    <row r="1166" spans="1:20" x14ac:dyDescent="0.45">
      <c r="A1166" t="str">
        <f>IF(PNL!A1166="","",PNL!A1166)</f>
        <v/>
      </c>
      <c r="B1166" t="str">
        <f>IF(PNL!B1166="","",PNL!B1166)</f>
        <v/>
      </c>
      <c r="C1166" t="str">
        <f>IF(PNL!C1166="","",PNL!C1166)</f>
        <v/>
      </c>
      <c r="D1166" t="str">
        <f>IF(PNL!D1166="","",PNL!D1166)</f>
        <v/>
      </c>
      <c r="E1166" t="str">
        <f t="shared" si="198"/>
        <v/>
      </c>
      <c r="F1166" t="str">
        <f>IF($A1166="","",IF($E1166=1,SUMIFS(Compta!$F$1:$F$675,Compta!$A$1:$A$675,$A1166,Compta!$B$1:$B$675,$B1166,Compta!$C$1:$C$675,"2026"),0))</f>
        <v/>
      </c>
      <c r="G1166" t="str">
        <f t="shared" si="199"/>
        <v/>
      </c>
      <c r="H1166" t="str">
        <f t="shared" si="200"/>
        <v/>
      </c>
      <c r="I1166" t="str">
        <f t="shared" si="201"/>
        <v/>
      </c>
      <c r="J1166" t="str">
        <f t="shared" si="202"/>
        <v/>
      </c>
      <c r="K1166" t="str">
        <f t="shared" si="203"/>
        <v/>
      </c>
      <c r="L1166" t="str">
        <f t="shared" si="204"/>
        <v/>
      </c>
      <c r="M1166" t="str">
        <f t="shared" si="205"/>
        <v/>
      </c>
      <c r="N1166" t="str">
        <f t="shared" si="206"/>
        <v/>
      </c>
      <c r="O1166" t="str">
        <f t="shared" si="207"/>
        <v/>
      </c>
      <c r="P1166" t="str">
        <f>IF($A1166="","",IF($E1166=1,$F1166*$O1166,PNL!G1166))</f>
        <v/>
      </c>
      <c r="T1166" t="str">
        <f t="shared" si="208"/>
        <v/>
      </c>
    </row>
    <row r="1167" spans="1:20" x14ac:dyDescent="0.45">
      <c r="A1167" t="str">
        <f>IF(PNL!A1167="","",PNL!A1167)</f>
        <v/>
      </c>
      <c r="B1167" t="str">
        <f>IF(PNL!B1167="","",PNL!B1167)</f>
        <v/>
      </c>
      <c r="C1167" t="str">
        <f>IF(PNL!C1167="","",PNL!C1167)</f>
        <v/>
      </c>
      <c r="D1167" t="str">
        <f>IF(PNL!D1167="","",PNL!D1167)</f>
        <v/>
      </c>
      <c r="E1167" t="str">
        <f t="shared" si="198"/>
        <v/>
      </c>
      <c r="F1167" t="str">
        <f>IF($A1167="","",IF($E1167=1,SUMIFS(Compta!$F$1:$F$675,Compta!$A$1:$A$675,$A1167,Compta!$B$1:$B$675,$B1167,Compta!$C$1:$C$675,"2026"),0))</f>
        <v/>
      </c>
      <c r="G1167" t="str">
        <f t="shared" si="199"/>
        <v/>
      </c>
      <c r="H1167" t="str">
        <f t="shared" si="200"/>
        <v/>
      </c>
      <c r="I1167" t="str">
        <f t="shared" si="201"/>
        <v/>
      </c>
      <c r="J1167" t="str">
        <f t="shared" si="202"/>
        <v/>
      </c>
      <c r="K1167" t="str">
        <f t="shared" si="203"/>
        <v/>
      </c>
      <c r="L1167" t="str">
        <f t="shared" si="204"/>
        <v/>
      </c>
      <c r="M1167" t="str">
        <f t="shared" si="205"/>
        <v/>
      </c>
      <c r="N1167" t="str">
        <f t="shared" si="206"/>
        <v/>
      </c>
      <c r="O1167" t="str">
        <f t="shared" si="207"/>
        <v/>
      </c>
      <c r="P1167" t="str">
        <f>IF($A1167="","",IF($E1167=1,$F1167*$O1167,PNL!G1167))</f>
        <v/>
      </c>
      <c r="T1167" t="str">
        <f t="shared" si="208"/>
        <v/>
      </c>
    </row>
    <row r="1168" spans="1:20" x14ac:dyDescent="0.45">
      <c r="A1168" t="str">
        <f>IF(PNL!A1168="","",PNL!A1168)</f>
        <v/>
      </c>
      <c r="B1168" t="str">
        <f>IF(PNL!B1168="","",PNL!B1168)</f>
        <v/>
      </c>
      <c r="C1168" t="str">
        <f>IF(PNL!C1168="","",PNL!C1168)</f>
        <v/>
      </c>
      <c r="D1168" t="str">
        <f>IF(PNL!D1168="","",PNL!D1168)</f>
        <v/>
      </c>
      <c r="E1168" t="str">
        <f t="shared" si="198"/>
        <v/>
      </c>
      <c r="F1168" t="str">
        <f>IF($A1168="","",IF($E1168=1,SUMIFS(Compta!$F$1:$F$675,Compta!$A$1:$A$675,$A1168,Compta!$B$1:$B$675,$B1168,Compta!$C$1:$C$675,"2026"),0))</f>
        <v/>
      </c>
      <c r="G1168" t="str">
        <f t="shared" si="199"/>
        <v/>
      </c>
      <c r="H1168" t="str">
        <f t="shared" si="200"/>
        <v/>
      </c>
      <c r="I1168" t="str">
        <f t="shared" si="201"/>
        <v/>
      </c>
      <c r="J1168" t="str">
        <f t="shared" si="202"/>
        <v/>
      </c>
      <c r="K1168" t="str">
        <f t="shared" si="203"/>
        <v/>
      </c>
      <c r="L1168" t="str">
        <f t="shared" si="204"/>
        <v/>
      </c>
      <c r="M1168" t="str">
        <f t="shared" si="205"/>
        <v/>
      </c>
      <c r="N1168" t="str">
        <f t="shared" si="206"/>
        <v/>
      </c>
      <c r="O1168" t="str">
        <f t="shared" si="207"/>
        <v/>
      </c>
      <c r="P1168" t="str">
        <f>IF($A1168="","",IF($E1168=1,$F1168*$O1168,PNL!G1168))</f>
        <v/>
      </c>
      <c r="T1168" t="str">
        <f t="shared" si="208"/>
        <v/>
      </c>
    </row>
    <row r="1169" spans="1:20" x14ac:dyDescent="0.45">
      <c r="A1169" t="str">
        <f>IF(PNL!A1169="","",PNL!A1169)</f>
        <v/>
      </c>
      <c r="B1169" t="str">
        <f>IF(PNL!B1169="","",PNL!B1169)</f>
        <v/>
      </c>
      <c r="C1169" t="str">
        <f>IF(PNL!C1169="","",PNL!C1169)</f>
        <v/>
      </c>
      <c r="D1169" t="str">
        <f>IF(PNL!D1169="","",PNL!D1169)</f>
        <v/>
      </c>
      <c r="E1169" t="str">
        <f t="shared" si="198"/>
        <v/>
      </c>
      <c r="F1169" t="str">
        <f>IF($A1169="","",IF($E1169=1,SUMIFS(Compta!$F$1:$F$675,Compta!$A$1:$A$675,$A1169,Compta!$B$1:$B$675,$B1169,Compta!$C$1:$C$675,"2026"),0))</f>
        <v/>
      </c>
      <c r="G1169" t="str">
        <f t="shared" si="199"/>
        <v/>
      </c>
      <c r="H1169" t="str">
        <f t="shared" si="200"/>
        <v/>
      </c>
      <c r="I1169" t="str">
        <f t="shared" si="201"/>
        <v/>
      </c>
      <c r="J1169" t="str">
        <f t="shared" si="202"/>
        <v/>
      </c>
      <c r="K1169" t="str">
        <f t="shared" si="203"/>
        <v/>
      </c>
      <c r="L1169" t="str">
        <f t="shared" si="204"/>
        <v/>
      </c>
      <c r="M1169" t="str">
        <f t="shared" si="205"/>
        <v/>
      </c>
      <c r="N1169" t="str">
        <f t="shared" si="206"/>
        <v/>
      </c>
      <c r="O1169" t="str">
        <f t="shared" si="207"/>
        <v/>
      </c>
      <c r="P1169" t="str">
        <f>IF($A1169="","",IF($E1169=1,$F1169*$O1169,PNL!G1169))</f>
        <v/>
      </c>
      <c r="T1169" t="str">
        <f t="shared" si="208"/>
        <v/>
      </c>
    </row>
    <row r="1170" spans="1:20" x14ac:dyDescent="0.45">
      <c r="A1170" t="str">
        <f>IF(PNL!A1170="","",PNL!A1170)</f>
        <v/>
      </c>
      <c r="B1170" t="str">
        <f>IF(PNL!B1170="","",PNL!B1170)</f>
        <v/>
      </c>
      <c r="C1170" t="str">
        <f>IF(PNL!C1170="","",PNL!C1170)</f>
        <v/>
      </c>
      <c r="D1170" t="str">
        <f>IF(PNL!D1170="","",PNL!D1170)</f>
        <v/>
      </c>
      <c r="E1170" t="str">
        <f t="shared" si="198"/>
        <v/>
      </c>
      <c r="F1170" t="str">
        <f>IF($A1170="","",IF($E1170=1,SUMIFS(Compta!$F$1:$F$675,Compta!$A$1:$A$675,$A1170,Compta!$B$1:$B$675,$B1170,Compta!$C$1:$C$675,"2026"),0))</f>
        <v/>
      </c>
      <c r="G1170" t="str">
        <f t="shared" si="199"/>
        <v/>
      </c>
      <c r="H1170" t="str">
        <f t="shared" si="200"/>
        <v/>
      </c>
      <c r="I1170" t="str">
        <f t="shared" si="201"/>
        <v/>
      </c>
      <c r="J1170" t="str">
        <f t="shared" si="202"/>
        <v/>
      </c>
      <c r="K1170" t="str">
        <f t="shared" si="203"/>
        <v/>
      </c>
      <c r="L1170" t="str">
        <f t="shared" si="204"/>
        <v/>
      </c>
      <c r="M1170" t="str">
        <f t="shared" si="205"/>
        <v/>
      </c>
      <c r="N1170" t="str">
        <f t="shared" si="206"/>
        <v/>
      </c>
      <c r="O1170" t="str">
        <f t="shared" si="207"/>
        <v/>
      </c>
      <c r="P1170" t="str">
        <f>IF($A1170="","",IF($E1170=1,$F1170*$O1170,PNL!G1170))</f>
        <v/>
      </c>
      <c r="T1170" t="str">
        <f t="shared" si="208"/>
        <v/>
      </c>
    </row>
    <row r="1171" spans="1:20" x14ac:dyDescent="0.45">
      <c r="A1171" t="str">
        <f>IF(PNL!A1171="","",PNL!A1171)</f>
        <v/>
      </c>
      <c r="B1171" t="str">
        <f>IF(PNL!B1171="","",PNL!B1171)</f>
        <v/>
      </c>
      <c r="C1171" t="str">
        <f>IF(PNL!C1171="","",PNL!C1171)</f>
        <v/>
      </c>
      <c r="D1171" t="str">
        <f>IF(PNL!D1171="","",PNL!D1171)</f>
        <v/>
      </c>
      <c r="E1171" t="str">
        <f t="shared" si="198"/>
        <v/>
      </c>
      <c r="F1171" t="str">
        <f>IF($A1171="","",IF($E1171=1,SUMIFS(Compta!$F$1:$F$675,Compta!$A$1:$A$675,$A1171,Compta!$B$1:$B$675,$B1171,Compta!$C$1:$C$675,"2026"),0))</f>
        <v/>
      </c>
      <c r="G1171" t="str">
        <f t="shared" si="199"/>
        <v/>
      </c>
      <c r="H1171" t="str">
        <f t="shared" si="200"/>
        <v/>
      </c>
      <c r="I1171" t="str">
        <f t="shared" si="201"/>
        <v/>
      </c>
      <c r="J1171" t="str">
        <f t="shared" si="202"/>
        <v/>
      </c>
      <c r="K1171" t="str">
        <f t="shared" si="203"/>
        <v/>
      </c>
      <c r="L1171" t="str">
        <f t="shared" si="204"/>
        <v/>
      </c>
      <c r="M1171" t="str">
        <f t="shared" si="205"/>
        <v/>
      </c>
      <c r="N1171" t="str">
        <f t="shared" si="206"/>
        <v/>
      </c>
      <c r="O1171" t="str">
        <f t="shared" si="207"/>
        <v/>
      </c>
      <c r="P1171" t="str">
        <f>IF($A1171="","",IF($E1171=1,$F1171*$O1171,PNL!G1171))</f>
        <v/>
      </c>
      <c r="T1171" t="str">
        <f t="shared" si="208"/>
        <v/>
      </c>
    </row>
    <row r="1172" spans="1:20" x14ac:dyDescent="0.45">
      <c r="A1172" t="str">
        <f>IF(PNL!A1172="","",PNL!A1172)</f>
        <v/>
      </c>
      <c r="B1172" t="str">
        <f>IF(PNL!B1172="","",PNL!B1172)</f>
        <v/>
      </c>
      <c r="C1172" t="str">
        <f>IF(PNL!C1172="","",PNL!C1172)</f>
        <v/>
      </c>
      <c r="D1172" t="str">
        <f>IF(PNL!D1172="","",PNL!D1172)</f>
        <v/>
      </c>
      <c r="E1172" t="str">
        <f t="shared" si="198"/>
        <v/>
      </c>
      <c r="F1172" t="str">
        <f>IF($A1172="","",IF($E1172=1,SUMIFS(Compta!$F$1:$F$675,Compta!$A$1:$A$675,$A1172,Compta!$B$1:$B$675,$B1172,Compta!$C$1:$C$675,"2026"),0))</f>
        <v/>
      </c>
      <c r="G1172" t="str">
        <f t="shared" si="199"/>
        <v/>
      </c>
      <c r="H1172" t="str">
        <f t="shared" si="200"/>
        <v/>
      </c>
      <c r="I1172" t="str">
        <f t="shared" si="201"/>
        <v/>
      </c>
      <c r="J1172" t="str">
        <f t="shared" si="202"/>
        <v/>
      </c>
      <c r="K1172" t="str">
        <f t="shared" si="203"/>
        <v/>
      </c>
      <c r="L1172" t="str">
        <f t="shared" si="204"/>
        <v/>
      </c>
      <c r="M1172" t="str">
        <f t="shared" si="205"/>
        <v/>
      </c>
      <c r="N1172" t="str">
        <f t="shared" si="206"/>
        <v/>
      </c>
      <c r="O1172" t="str">
        <f t="shared" si="207"/>
        <v/>
      </c>
      <c r="P1172" t="str">
        <f>IF($A1172="","",IF($E1172=1,$F1172*$O1172,PNL!G1172))</f>
        <v/>
      </c>
      <c r="T1172" t="str">
        <f t="shared" si="208"/>
        <v/>
      </c>
    </row>
    <row r="1173" spans="1:20" x14ac:dyDescent="0.45">
      <c r="A1173" t="str">
        <f>IF(PNL!A1173="","",PNL!A1173)</f>
        <v/>
      </c>
      <c r="B1173" t="str">
        <f>IF(PNL!B1173="","",PNL!B1173)</f>
        <v/>
      </c>
      <c r="C1173" t="str">
        <f>IF(PNL!C1173="","",PNL!C1173)</f>
        <v/>
      </c>
      <c r="D1173" t="str">
        <f>IF(PNL!D1173="","",PNL!D1173)</f>
        <v/>
      </c>
      <c r="E1173" t="str">
        <f t="shared" si="198"/>
        <v/>
      </c>
      <c r="F1173" t="str">
        <f>IF($A1173="","",IF($E1173=1,SUMIFS(Compta!$F$1:$F$675,Compta!$A$1:$A$675,$A1173,Compta!$B$1:$B$675,$B1173,Compta!$C$1:$C$675,"2026"),0))</f>
        <v/>
      </c>
      <c r="G1173" t="str">
        <f t="shared" si="199"/>
        <v/>
      </c>
      <c r="H1173" t="str">
        <f t="shared" si="200"/>
        <v/>
      </c>
      <c r="I1173" t="str">
        <f t="shared" si="201"/>
        <v/>
      </c>
      <c r="J1173" t="str">
        <f t="shared" si="202"/>
        <v/>
      </c>
      <c r="K1173" t="str">
        <f t="shared" si="203"/>
        <v/>
      </c>
      <c r="L1173" t="str">
        <f t="shared" si="204"/>
        <v/>
      </c>
      <c r="M1173" t="str">
        <f t="shared" si="205"/>
        <v/>
      </c>
      <c r="N1173" t="str">
        <f t="shared" si="206"/>
        <v/>
      </c>
      <c r="O1173" t="str">
        <f t="shared" si="207"/>
        <v/>
      </c>
      <c r="P1173" t="str">
        <f>IF($A1173="","",IF($E1173=1,$F1173*$O1173,PNL!G1173))</f>
        <v/>
      </c>
      <c r="T1173" t="str">
        <f t="shared" si="208"/>
        <v/>
      </c>
    </row>
    <row r="1174" spans="1:20" x14ac:dyDescent="0.45">
      <c r="A1174" t="str">
        <f>IF(PNL!A1174="","",PNL!A1174)</f>
        <v/>
      </c>
      <c r="B1174" t="str">
        <f>IF(PNL!B1174="","",PNL!B1174)</f>
        <v/>
      </c>
      <c r="C1174" t="str">
        <f>IF(PNL!C1174="","",PNL!C1174)</f>
        <v/>
      </c>
      <c r="D1174" t="str">
        <f>IF(PNL!D1174="","",PNL!D1174)</f>
        <v/>
      </c>
      <c r="E1174" t="str">
        <f t="shared" si="198"/>
        <v/>
      </c>
      <c r="F1174" t="str">
        <f>IF($A1174="","",IF($E1174=1,SUMIFS(Compta!$F$1:$F$675,Compta!$A$1:$A$675,$A1174,Compta!$B$1:$B$675,$B1174,Compta!$C$1:$C$675,"2026"),0))</f>
        <v/>
      </c>
      <c r="G1174" t="str">
        <f t="shared" si="199"/>
        <v/>
      </c>
      <c r="H1174" t="str">
        <f t="shared" si="200"/>
        <v/>
      </c>
      <c r="I1174" t="str">
        <f t="shared" si="201"/>
        <v/>
      </c>
      <c r="J1174" t="str">
        <f t="shared" si="202"/>
        <v/>
      </c>
      <c r="K1174" t="str">
        <f t="shared" si="203"/>
        <v/>
      </c>
      <c r="L1174" t="str">
        <f t="shared" si="204"/>
        <v/>
      </c>
      <c r="M1174" t="str">
        <f t="shared" si="205"/>
        <v/>
      </c>
      <c r="N1174" t="str">
        <f t="shared" si="206"/>
        <v/>
      </c>
      <c r="O1174" t="str">
        <f t="shared" si="207"/>
        <v/>
      </c>
      <c r="P1174" t="str">
        <f>IF($A1174="","",IF($E1174=1,$F1174*$O1174,PNL!G1174))</f>
        <v/>
      </c>
      <c r="T1174" t="str">
        <f t="shared" si="208"/>
        <v/>
      </c>
    </row>
    <row r="1175" spans="1:20" x14ac:dyDescent="0.45">
      <c r="A1175" t="str">
        <f>IF(PNL!A1175="","",PNL!A1175)</f>
        <v/>
      </c>
      <c r="B1175" t="str">
        <f>IF(PNL!B1175="","",PNL!B1175)</f>
        <v/>
      </c>
      <c r="C1175" t="str">
        <f>IF(PNL!C1175="","",PNL!C1175)</f>
        <v/>
      </c>
      <c r="D1175" t="str">
        <f>IF(PNL!D1175="","",PNL!D1175)</f>
        <v/>
      </c>
      <c r="E1175" t="str">
        <f t="shared" si="198"/>
        <v/>
      </c>
      <c r="F1175" t="str">
        <f>IF($A1175="","",IF($E1175=1,SUMIFS(Compta!$F$1:$F$675,Compta!$A$1:$A$675,$A1175,Compta!$B$1:$B$675,$B1175,Compta!$C$1:$C$675,"2026"),0))</f>
        <v/>
      </c>
      <c r="G1175" t="str">
        <f t="shared" si="199"/>
        <v/>
      </c>
      <c r="H1175" t="str">
        <f t="shared" si="200"/>
        <v/>
      </c>
      <c r="I1175" t="str">
        <f t="shared" si="201"/>
        <v/>
      </c>
      <c r="J1175" t="str">
        <f t="shared" si="202"/>
        <v/>
      </c>
      <c r="K1175" t="str">
        <f t="shared" si="203"/>
        <v/>
      </c>
      <c r="L1175" t="str">
        <f t="shared" si="204"/>
        <v/>
      </c>
      <c r="M1175" t="str">
        <f t="shared" si="205"/>
        <v/>
      </c>
      <c r="N1175" t="str">
        <f t="shared" si="206"/>
        <v/>
      </c>
      <c r="O1175" t="str">
        <f t="shared" si="207"/>
        <v/>
      </c>
      <c r="P1175" t="str">
        <f>IF($A1175="","",IF($E1175=1,$F1175*$O1175,PNL!G1175))</f>
        <v/>
      </c>
      <c r="T1175" t="str">
        <f t="shared" si="208"/>
        <v/>
      </c>
    </row>
    <row r="1176" spans="1:20" x14ac:dyDescent="0.45">
      <c r="A1176" t="str">
        <f>IF(PNL!A1176="","",PNL!A1176)</f>
        <v/>
      </c>
      <c r="B1176" t="str">
        <f>IF(PNL!B1176="","",PNL!B1176)</f>
        <v/>
      </c>
      <c r="C1176" t="str">
        <f>IF(PNL!C1176="","",PNL!C1176)</f>
        <v/>
      </c>
      <c r="D1176" t="str">
        <f>IF(PNL!D1176="","",PNL!D1176)</f>
        <v/>
      </c>
      <c r="E1176" t="str">
        <f t="shared" si="198"/>
        <v/>
      </c>
      <c r="F1176" t="str">
        <f>IF($A1176="","",IF($E1176=1,SUMIFS(Compta!$F$1:$F$675,Compta!$A$1:$A$675,$A1176,Compta!$B$1:$B$675,$B1176,Compta!$C$1:$C$675,"2026"),0))</f>
        <v/>
      </c>
      <c r="G1176" t="str">
        <f t="shared" si="199"/>
        <v/>
      </c>
      <c r="H1176" t="str">
        <f t="shared" si="200"/>
        <v/>
      </c>
      <c r="I1176" t="str">
        <f t="shared" si="201"/>
        <v/>
      </c>
      <c r="J1176" t="str">
        <f t="shared" si="202"/>
        <v/>
      </c>
      <c r="K1176" t="str">
        <f t="shared" si="203"/>
        <v/>
      </c>
      <c r="L1176" t="str">
        <f t="shared" si="204"/>
        <v/>
      </c>
      <c r="M1176" t="str">
        <f t="shared" si="205"/>
        <v/>
      </c>
      <c r="N1176" t="str">
        <f t="shared" si="206"/>
        <v/>
      </c>
      <c r="O1176" t="str">
        <f t="shared" si="207"/>
        <v/>
      </c>
      <c r="P1176" t="str">
        <f>IF($A1176="","",IF($E1176=1,$F1176*$O1176,PNL!G1176))</f>
        <v/>
      </c>
      <c r="T1176" t="str">
        <f t="shared" si="208"/>
        <v/>
      </c>
    </row>
    <row r="1177" spans="1:20" x14ac:dyDescent="0.45">
      <c r="A1177" t="str">
        <f>IF(PNL!A1177="","",PNL!A1177)</f>
        <v/>
      </c>
      <c r="B1177" t="str">
        <f>IF(PNL!B1177="","",PNL!B1177)</f>
        <v/>
      </c>
      <c r="C1177" t="str">
        <f>IF(PNL!C1177="","",PNL!C1177)</f>
        <v/>
      </c>
      <c r="D1177" t="str">
        <f>IF(PNL!D1177="","",PNL!D1177)</f>
        <v/>
      </c>
      <c r="E1177" t="str">
        <f t="shared" si="198"/>
        <v/>
      </c>
      <c r="F1177" t="str">
        <f>IF($A1177="","",IF($E1177=1,SUMIFS(Compta!$F$1:$F$675,Compta!$A$1:$A$675,$A1177,Compta!$B$1:$B$675,$B1177,Compta!$C$1:$C$675,"2026"),0))</f>
        <v/>
      </c>
      <c r="G1177" t="str">
        <f t="shared" si="199"/>
        <v/>
      </c>
      <c r="H1177" t="str">
        <f t="shared" si="200"/>
        <v/>
      </c>
      <c r="I1177" t="str">
        <f t="shared" si="201"/>
        <v/>
      </c>
      <c r="J1177" t="str">
        <f t="shared" si="202"/>
        <v/>
      </c>
      <c r="K1177" t="str">
        <f t="shared" si="203"/>
        <v/>
      </c>
      <c r="L1177" t="str">
        <f t="shared" si="204"/>
        <v/>
      </c>
      <c r="M1177" t="str">
        <f t="shared" si="205"/>
        <v/>
      </c>
      <c r="N1177" t="str">
        <f t="shared" si="206"/>
        <v/>
      </c>
      <c r="O1177" t="str">
        <f t="shared" si="207"/>
        <v/>
      </c>
      <c r="P1177" t="str">
        <f>IF($A1177="","",IF($E1177=1,$F1177*$O1177,PNL!G1177))</f>
        <v/>
      </c>
      <c r="T1177" t="str">
        <f t="shared" si="208"/>
        <v/>
      </c>
    </row>
    <row r="1178" spans="1:20" x14ac:dyDescent="0.45">
      <c r="A1178" t="str">
        <f>IF(PNL!A1178="","",PNL!A1178)</f>
        <v/>
      </c>
      <c r="B1178" t="str">
        <f>IF(PNL!B1178="","",PNL!B1178)</f>
        <v/>
      </c>
      <c r="C1178" t="str">
        <f>IF(PNL!C1178="","",PNL!C1178)</f>
        <v/>
      </c>
      <c r="D1178" t="str">
        <f>IF(PNL!D1178="","",PNL!D1178)</f>
        <v/>
      </c>
      <c r="E1178" t="str">
        <f t="shared" si="198"/>
        <v/>
      </c>
      <c r="F1178" t="str">
        <f>IF($A1178="","",IF($E1178=1,SUMIFS(Compta!$F$1:$F$675,Compta!$A$1:$A$675,$A1178,Compta!$B$1:$B$675,$B1178,Compta!$C$1:$C$675,"2026"),0))</f>
        <v/>
      </c>
      <c r="G1178" t="str">
        <f t="shared" si="199"/>
        <v/>
      </c>
      <c r="H1178" t="str">
        <f t="shared" si="200"/>
        <v/>
      </c>
      <c r="I1178" t="str">
        <f t="shared" si="201"/>
        <v/>
      </c>
      <c r="J1178" t="str">
        <f t="shared" si="202"/>
        <v/>
      </c>
      <c r="K1178" t="str">
        <f t="shared" si="203"/>
        <v/>
      </c>
      <c r="L1178" t="str">
        <f t="shared" si="204"/>
        <v/>
      </c>
      <c r="M1178" t="str">
        <f t="shared" si="205"/>
        <v/>
      </c>
      <c r="N1178" t="str">
        <f t="shared" si="206"/>
        <v/>
      </c>
      <c r="O1178" t="str">
        <f t="shared" si="207"/>
        <v/>
      </c>
      <c r="P1178" t="str">
        <f>IF($A1178="","",IF($E1178=1,$F1178*$O1178,PNL!G1178))</f>
        <v/>
      </c>
      <c r="T1178" t="str">
        <f t="shared" si="208"/>
        <v/>
      </c>
    </row>
    <row r="1179" spans="1:20" x14ac:dyDescent="0.45">
      <c r="A1179" t="str">
        <f>IF(PNL!A1179="","",PNL!A1179)</f>
        <v/>
      </c>
      <c r="B1179" t="str">
        <f>IF(PNL!B1179="","",PNL!B1179)</f>
        <v/>
      </c>
      <c r="C1179" t="str">
        <f>IF(PNL!C1179="","",PNL!C1179)</f>
        <v/>
      </c>
      <c r="D1179" t="str">
        <f>IF(PNL!D1179="","",PNL!D1179)</f>
        <v/>
      </c>
      <c r="E1179" t="str">
        <f t="shared" si="198"/>
        <v/>
      </c>
      <c r="F1179" t="str">
        <f>IF($A1179="","",IF($E1179=1,SUMIFS(Compta!$F$1:$F$675,Compta!$A$1:$A$675,$A1179,Compta!$B$1:$B$675,$B1179,Compta!$C$1:$C$675,"2026"),0))</f>
        <v/>
      </c>
      <c r="G1179" t="str">
        <f t="shared" si="199"/>
        <v/>
      </c>
      <c r="H1179" t="str">
        <f t="shared" si="200"/>
        <v/>
      </c>
      <c r="I1179" t="str">
        <f t="shared" si="201"/>
        <v/>
      </c>
      <c r="J1179" t="str">
        <f t="shared" si="202"/>
        <v/>
      </c>
      <c r="K1179" t="str">
        <f t="shared" si="203"/>
        <v/>
      </c>
      <c r="L1179" t="str">
        <f t="shared" si="204"/>
        <v/>
      </c>
      <c r="M1179" t="str">
        <f t="shared" si="205"/>
        <v/>
      </c>
      <c r="N1179" t="str">
        <f t="shared" si="206"/>
        <v/>
      </c>
      <c r="O1179" t="str">
        <f t="shared" si="207"/>
        <v/>
      </c>
      <c r="P1179" t="str">
        <f>IF($A1179="","",IF($E1179=1,$F1179*$O1179,PNL!G1179))</f>
        <v/>
      </c>
      <c r="T1179" t="str">
        <f t="shared" si="208"/>
        <v/>
      </c>
    </row>
    <row r="1180" spans="1:20" x14ac:dyDescent="0.45">
      <c r="A1180" t="str">
        <f>IF(PNL!A1180="","",PNL!A1180)</f>
        <v/>
      </c>
      <c r="B1180" t="str">
        <f>IF(PNL!B1180="","",PNL!B1180)</f>
        <v/>
      </c>
      <c r="C1180" t="str">
        <f>IF(PNL!C1180="","",PNL!C1180)</f>
        <v/>
      </c>
      <c r="D1180" t="str">
        <f>IF(PNL!D1180="","",PNL!D1180)</f>
        <v/>
      </c>
      <c r="E1180" t="str">
        <f t="shared" si="198"/>
        <v/>
      </c>
      <c r="F1180" t="str">
        <f>IF($A1180="","",IF($E1180=1,SUMIFS(Compta!$F$1:$F$675,Compta!$A$1:$A$675,$A1180,Compta!$B$1:$B$675,$B1180,Compta!$C$1:$C$675,"2026"),0))</f>
        <v/>
      </c>
      <c r="G1180" t="str">
        <f t="shared" si="199"/>
        <v/>
      </c>
      <c r="H1180" t="str">
        <f t="shared" si="200"/>
        <v/>
      </c>
      <c r="I1180" t="str">
        <f t="shared" si="201"/>
        <v/>
      </c>
      <c r="J1180" t="str">
        <f t="shared" si="202"/>
        <v/>
      </c>
      <c r="K1180" t="str">
        <f t="shared" si="203"/>
        <v/>
      </c>
      <c r="L1180" t="str">
        <f t="shared" si="204"/>
        <v/>
      </c>
      <c r="M1180" t="str">
        <f t="shared" si="205"/>
        <v/>
      </c>
      <c r="N1180" t="str">
        <f t="shared" si="206"/>
        <v/>
      </c>
      <c r="O1180" t="str">
        <f t="shared" si="207"/>
        <v/>
      </c>
      <c r="P1180" t="str">
        <f>IF($A1180="","",IF($E1180=1,$F1180*$O1180,PNL!G1180))</f>
        <v/>
      </c>
      <c r="T1180" t="str">
        <f t="shared" si="208"/>
        <v/>
      </c>
    </row>
    <row r="1181" spans="1:20" x14ac:dyDescent="0.45">
      <c r="A1181" t="str">
        <f>IF(PNL!A1181="","",PNL!A1181)</f>
        <v/>
      </c>
      <c r="B1181" t="str">
        <f>IF(PNL!B1181="","",PNL!B1181)</f>
        <v/>
      </c>
      <c r="C1181" t="str">
        <f>IF(PNL!C1181="","",PNL!C1181)</f>
        <v/>
      </c>
      <c r="D1181" t="str">
        <f>IF(PNL!D1181="","",PNL!D1181)</f>
        <v/>
      </c>
      <c r="E1181" t="str">
        <f t="shared" si="198"/>
        <v/>
      </c>
      <c r="F1181" t="str">
        <f>IF($A1181="","",IF($E1181=1,SUMIFS(Compta!$F$1:$F$675,Compta!$A$1:$A$675,$A1181,Compta!$B$1:$B$675,$B1181,Compta!$C$1:$C$675,"2026"),0))</f>
        <v/>
      </c>
      <c r="G1181" t="str">
        <f t="shared" si="199"/>
        <v/>
      </c>
      <c r="H1181" t="str">
        <f t="shared" si="200"/>
        <v/>
      </c>
      <c r="I1181" t="str">
        <f t="shared" si="201"/>
        <v/>
      </c>
      <c r="J1181" t="str">
        <f t="shared" si="202"/>
        <v/>
      </c>
      <c r="K1181" t="str">
        <f t="shared" si="203"/>
        <v/>
      </c>
      <c r="L1181" t="str">
        <f t="shared" si="204"/>
        <v/>
      </c>
      <c r="M1181" t="str">
        <f t="shared" si="205"/>
        <v/>
      </c>
      <c r="N1181" t="str">
        <f t="shared" si="206"/>
        <v/>
      </c>
      <c r="O1181" t="str">
        <f t="shared" si="207"/>
        <v/>
      </c>
      <c r="P1181" t="str">
        <f>IF($A1181="","",IF($E1181=1,$F1181*$O1181,PNL!G1181))</f>
        <v/>
      </c>
      <c r="T1181" t="str">
        <f t="shared" si="208"/>
        <v/>
      </c>
    </row>
    <row r="1182" spans="1:20" x14ac:dyDescent="0.45">
      <c r="A1182" t="str">
        <f>IF(PNL!A1182="","",PNL!A1182)</f>
        <v/>
      </c>
      <c r="B1182" t="str">
        <f>IF(PNL!B1182="","",PNL!B1182)</f>
        <v/>
      </c>
      <c r="C1182" t="str">
        <f>IF(PNL!C1182="","",PNL!C1182)</f>
        <v/>
      </c>
      <c r="D1182" t="str">
        <f>IF(PNL!D1182="","",PNL!D1182)</f>
        <v/>
      </c>
      <c r="E1182" t="str">
        <f t="shared" si="198"/>
        <v/>
      </c>
      <c r="F1182" t="str">
        <f>IF($A1182="","",IF($E1182=1,SUMIFS(Compta!$F$1:$F$675,Compta!$A$1:$A$675,$A1182,Compta!$B$1:$B$675,$B1182,Compta!$C$1:$C$675,"2026"),0))</f>
        <v/>
      </c>
      <c r="G1182" t="str">
        <f t="shared" si="199"/>
        <v/>
      </c>
      <c r="H1182" t="str">
        <f t="shared" si="200"/>
        <v/>
      </c>
      <c r="I1182" t="str">
        <f t="shared" si="201"/>
        <v/>
      </c>
      <c r="J1182" t="str">
        <f t="shared" si="202"/>
        <v/>
      </c>
      <c r="K1182" t="str">
        <f t="shared" si="203"/>
        <v/>
      </c>
      <c r="L1182" t="str">
        <f t="shared" si="204"/>
        <v/>
      </c>
      <c r="M1182" t="str">
        <f t="shared" si="205"/>
        <v/>
      </c>
      <c r="N1182" t="str">
        <f t="shared" si="206"/>
        <v/>
      </c>
      <c r="O1182" t="str">
        <f t="shared" si="207"/>
        <v/>
      </c>
      <c r="P1182" t="str">
        <f>IF($A1182="","",IF($E1182=1,$F1182*$O1182,PNL!G1182))</f>
        <v/>
      </c>
      <c r="T1182" t="str">
        <f t="shared" si="208"/>
        <v/>
      </c>
    </row>
    <row r="1183" spans="1:20" x14ac:dyDescent="0.45">
      <c r="A1183" t="str">
        <f>IF(PNL!A1183="","",PNL!A1183)</f>
        <v/>
      </c>
      <c r="B1183" t="str">
        <f>IF(PNL!B1183="","",PNL!B1183)</f>
        <v/>
      </c>
      <c r="C1183" t="str">
        <f>IF(PNL!C1183="","",PNL!C1183)</f>
        <v/>
      </c>
      <c r="D1183" t="str">
        <f>IF(PNL!D1183="","",PNL!D1183)</f>
        <v/>
      </c>
      <c r="E1183" t="str">
        <f t="shared" si="198"/>
        <v/>
      </c>
      <c r="F1183" t="str">
        <f>IF($A1183="","",IF($E1183=1,SUMIFS(Compta!$F$1:$F$675,Compta!$A$1:$A$675,$A1183,Compta!$B$1:$B$675,$B1183,Compta!$C$1:$C$675,"2026"),0))</f>
        <v/>
      </c>
      <c r="G1183" t="str">
        <f t="shared" si="199"/>
        <v/>
      </c>
      <c r="H1183" t="str">
        <f t="shared" si="200"/>
        <v/>
      </c>
      <c r="I1183" t="str">
        <f t="shared" si="201"/>
        <v/>
      </c>
      <c r="J1183" t="str">
        <f t="shared" si="202"/>
        <v/>
      </c>
      <c r="K1183" t="str">
        <f t="shared" si="203"/>
        <v/>
      </c>
      <c r="L1183" t="str">
        <f t="shared" si="204"/>
        <v/>
      </c>
      <c r="M1183" t="str">
        <f t="shared" si="205"/>
        <v/>
      </c>
      <c r="N1183" t="str">
        <f t="shared" si="206"/>
        <v/>
      </c>
      <c r="O1183" t="str">
        <f t="shared" si="207"/>
        <v/>
      </c>
      <c r="P1183" t="str">
        <f>IF($A1183="","",IF($E1183=1,$F1183*$O1183,PNL!G1183))</f>
        <v/>
      </c>
      <c r="T1183" t="str">
        <f t="shared" si="208"/>
        <v/>
      </c>
    </row>
    <row r="1184" spans="1:20" x14ac:dyDescent="0.45">
      <c r="A1184" t="str">
        <f>IF(PNL!A1184="","",PNL!A1184)</f>
        <v/>
      </c>
      <c r="B1184" t="str">
        <f>IF(PNL!B1184="","",PNL!B1184)</f>
        <v/>
      </c>
      <c r="C1184" t="str">
        <f>IF(PNL!C1184="","",PNL!C1184)</f>
        <v/>
      </c>
      <c r="D1184" t="str">
        <f>IF(PNL!D1184="","",PNL!D1184)</f>
        <v/>
      </c>
      <c r="E1184" t="str">
        <f t="shared" si="198"/>
        <v/>
      </c>
      <c r="F1184" t="str">
        <f>IF($A1184="","",IF($E1184=1,SUMIFS(Compta!$F$1:$F$675,Compta!$A$1:$A$675,$A1184,Compta!$B$1:$B$675,$B1184,Compta!$C$1:$C$675,"2026"),0))</f>
        <v/>
      </c>
      <c r="G1184" t="str">
        <f t="shared" si="199"/>
        <v/>
      </c>
      <c r="H1184" t="str">
        <f t="shared" si="200"/>
        <v/>
      </c>
      <c r="I1184" t="str">
        <f t="shared" si="201"/>
        <v/>
      </c>
      <c r="J1184" t="str">
        <f t="shared" si="202"/>
        <v/>
      </c>
      <c r="K1184" t="str">
        <f t="shared" si="203"/>
        <v/>
      </c>
      <c r="L1184" t="str">
        <f t="shared" si="204"/>
        <v/>
      </c>
      <c r="M1184" t="str">
        <f t="shared" si="205"/>
        <v/>
      </c>
      <c r="N1184" t="str">
        <f t="shared" si="206"/>
        <v/>
      </c>
      <c r="O1184" t="str">
        <f t="shared" si="207"/>
        <v/>
      </c>
      <c r="P1184" t="str">
        <f>IF($A1184="","",IF($E1184=1,$F1184*$O1184,PNL!G1184))</f>
        <v/>
      </c>
      <c r="T1184" t="str">
        <f t="shared" si="208"/>
        <v/>
      </c>
    </row>
    <row r="1185" spans="1:20" x14ac:dyDescent="0.45">
      <c r="A1185" t="str">
        <f>IF(PNL!A1185="","",PNL!A1185)</f>
        <v/>
      </c>
      <c r="B1185" t="str">
        <f>IF(PNL!B1185="","",PNL!B1185)</f>
        <v/>
      </c>
      <c r="C1185" t="str">
        <f>IF(PNL!C1185="","",PNL!C1185)</f>
        <v/>
      </c>
      <c r="D1185" t="str">
        <f>IF(PNL!D1185="","",PNL!D1185)</f>
        <v/>
      </c>
      <c r="E1185" t="str">
        <f t="shared" si="198"/>
        <v/>
      </c>
      <c r="F1185" t="str">
        <f>IF($A1185="","",IF($E1185=1,SUMIFS(Compta!$F$1:$F$675,Compta!$A$1:$A$675,$A1185,Compta!$B$1:$B$675,$B1185,Compta!$C$1:$C$675,"2026"),0))</f>
        <v/>
      </c>
      <c r="G1185" t="str">
        <f t="shared" si="199"/>
        <v/>
      </c>
      <c r="H1185" t="str">
        <f t="shared" si="200"/>
        <v/>
      </c>
      <c r="I1185" t="str">
        <f t="shared" si="201"/>
        <v/>
      </c>
      <c r="J1185" t="str">
        <f t="shared" si="202"/>
        <v/>
      </c>
      <c r="K1185" t="str">
        <f t="shared" si="203"/>
        <v/>
      </c>
      <c r="L1185" t="str">
        <f t="shared" si="204"/>
        <v/>
      </c>
      <c r="M1185" t="str">
        <f t="shared" si="205"/>
        <v/>
      </c>
      <c r="N1185" t="str">
        <f t="shared" si="206"/>
        <v/>
      </c>
      <c r="O1185" t="str">
        <f t="shared" si="207"/>
        <v/>
      </c>
      <c r="P1185" t="str">
        <f>IF($A1185="","",IF($E1185=1,$F1185*$O1185,PNL!G1185))</f>
        <v/>
      </c>
      <c r="T1185" t="str">
        <f t="shared" si="208"/>
        <v/>
      </c>
    </row>
    <row r="1186" spans="1:20" x14ac:dyDescent="0.45">
      <c r="A1186" t="str">
        <f>IF(PNL!A1186="","",PNL!A1186)</f>
        <v/>
      </c>
      <c r="B1186" t="str">
        <f>IF(PNL!B1186="","",PNL!B1186)</f>
        <v/>
      </c>
      <c r="C1186" t="str">
        <f>IF(PNL!C1186="","",PNL!C1186)</f>
        <v/>
      </c>
      <c r="D1186" t="str">
        <f>IF(PNL!D1186="","",PNL!D1186)</f>
        <v/>
      </c>
      <c r="E1186" t="str">
        <f t="shared" si="198"/>
        <v/>
      </c>
      <c r="F1186" t="str">
        <f>IF($A1186="","",IF($E1186=1,SUMIFS(Compta!$F$1:$F$675,Compta!$A$1:$A$675,$A1186,Compta!$B$1:$B$675,$B1186,Compta!$C$1:$C$675,"2026"),0))</f>
        <v/>
      </c>
      <c r="G1186" t="str">
        <f t="shared" si="199"/>
        <v/>
      </c>
      <c r="H1186" t="str">
        <f t="shared" si="200"/>
        <v/>
      </c>
      <c r="I1186" t="str">
        <f t="shared" si="201"/>
        <v/>
      </c>
      <c r="J1186" t="str">
        <f t="shared" si="202"/>
        <v/>
      </c>
      <c r="K1186" t="str">
        <f t="shared" si="203"/>
        <v/>
      </c>
      <c r="L1186" t="str">
        <f t="shared" si="204"/>
        <v/>
      </c>
      <c r="M1186" t="str">
        <f t="shared" si="205"/>
        <v/>
      </c>
      <c r="N1186" t="str">
        <f t="shared" si="206"/>
        <v/>
      </c>
      <c r="O1186" t="str">
        <f t="shared" si="207"/>
        <v/>
      </c>
      <c r="P1186" t="str">
        <f>IF($A1186="","",IF($E1186=1,$F1186*$O1186,PNL!G1186))</f>
        <v/>
      </c>
      <c r="T1186" t="str">
        <f t="shared" si="208"/>
        <v/>
      </c>
    </row>
    <row r="1187" spans="1:20" x14ac:dyDescent="0.45">
      <c r="A1187" t="str">
        <f>IF(PNL!A1187="","",PNL!A1187)</f>
        <v/>
      </c>
      <c r="B1187" t="str">
        <f>IF(PNL!B1187="","",PNL!B1187)</f>
        <v/>
      </c>
      <c r="C1187" t="str">
        <f>IF(PNL!C1187="","",PNL!C1187)</f>
        <v/>
      </c>
      <c r="D1187" t="str">
        <f>IF(PNL!D1187="","",PNL!D1187)</f>
        <v/>
      </c>
      <c r="E1187" t="str">
        <f t="shared" si="198"/>
        <v/>
      </c>
      <c r="F1187" t="str">
        <f>IF($A1187="","",IF($E1187=1,SUMIFS(Compta!$F$1:$F$675,Compta!$A$1:$A$675,$A1187,Compta!$B$1:$B$675,$B1187,Compta!$C$1:$C$675,"2026"),0))</f>
        <v/>
      </c>
      <c r="G1187" t="str">
        <f t="shared" si="199"/>
        <v/>
      </c>
      <c r="H1187" t="str">
        <f t="shared" si="200"/>
        <v/>
      </c>
      <c r="I1187" t="str">
        <f t="shared" si="201"/>
        <v/>
      </c>
      <c r="J1187" t="str">
        <f t="shared" si="202"/>
        <v/>
      </c>
      <c r="K1187" t="str">
        <f t="shared" si="203"/>
        <v/>
      </c>
      <c r="L1187" t="str">
        <f t="shared" si="204"/>
        <v/>
      </c>
      <c r="M1187" t="str">
        <f t="shared" si="205"/>
        <v/>
      </c>
      <c r="N1187" t="str">
        <f t="shared" si="206"/>
        <v/>
      </c>
      <c r="O1187" t="str">
        <f t="shared" si="207"/>
        <v/>
      </c>
      <c r="P1187" t="str">
        <f>IF($A1187="","",IF($E1187=1,$F1187*$O1187,PNL!G1187))</f>
        <v/>
      </c>
      <c r="T1187" t="str">
        <f t="shared" si="208"/>
        <v/>
      </c>
    </row>
    <row r="1188" spans="1:20" x14ac:dyDescent="0.45">
      <c r="A1188" t="str">
        <f>IF(PNL!A1188="","",PNL!A1188)</f>
        <v/>
      </c>
      <c r="B1188" t="str">
        <f>IF(PNL!B1188="","",PNL!B1188)</f>
        <v/>
      </c>
      <c r="C1188" t="str">
        <f>IF(PNL!C1188="","",PNL!C1188)</f>
        <v/>
      </c>
      <c r="D1188" t="str">
        <f>IF(PNL!D1188="","",PNL!D1188)</f>
        <v/>
      </c>
      <c r="E1188" t="str">
        <f t="shared" si="198"/>
        <v/>
      </c>
      <c r="F1188" t="str">
        <f>IF($A1188="","",IF($E1188=1,SUMIFS(Compta!$F$1:$F$675,Compta!$A$1:$A$675,$A1188,Compta!$B$1:$B$675,$B1188,Compta!$C$1:$C$675,"2026"),0))</f>
        <v/>
      </c>
      <c r="G1188" t="str">
        <f t="shared" si="199"/>
        <v/>
      </c>
      <c r="H1188" t="str">
        <f t="shared" si="200"/>
        <v/>
      </c>
      <c r="I1188" t="str">
        <f t="shared" si="201"/>
        <v/>
      </c>
      <c r="J1188" t="str">
        <f t="shared" si="202"/>
        <v/>
      </c>
      <c r="K1188" t="str">
        <f t="shared" si="203"/>
        <v/>
      </c>
      <c r="L1188" t="str">
        <f t="shared" si="204"/>
        <v/>
      </c>
      <c r="M1188" t="str">
        <f t="shared" si="205"/>
        <v/>
      </c>
      <c r="N1188" t="str">
        <f t="shared" si="206"/>
        <v/>
      </c>
      <c r="O1188" t="str">
        <f t="shared" si="207"/>
        <v/>
      </c>
      <c r="P1188" t="str">
        <f>IF($A1188="","",IF($E1188=1,$F1188*$O1188,PNL!G1188))</f>
        <v/>
      </c>
      <c r="T1188" t="str">
        <f t="shared" si="208"/>
        <v/>
      </c>
    </row>
    <row r="1189" spans="1:20" x14ac:dyDescent="0.45">
      <c r="A1189" t="str">
        <f>IF(PNL!A1189="","",PNL!A1189)</f>
        <v/>
      </c>
      <c r="B1189" t="str">
        <f>IF(PNL!B1189="","",PNL!B1189)</f>
        <v/>
      </c>
      <c r="C1189" t="str">
        <f>IF(PNL!C1189="","",PNL!C1189)</f>
        <v/>
      </c>
      <c r="D1189" t="str">
        <f>IF(PNL!D1189="","",PNL!D1189)</f>
        <v/>
      </c>
      <c r="E1189" t="str">
        <f t="shared" si="198"/>
        <v/>
      </c>
      <c r="F1189" t="str">
        <f>IF($A1189="","",IF($E1189=1,SUMIFS(Compta!$F$1:$F$675,Compta!$A$1:$A$675,$A1189,Compta!$B$1:$B$675,$B1189,Compta!$C$1:$C$675,"2026"),0))</f>
        <v/>
      </c>
      <c r="G1189" t="str">
        <f t="shared" si="199"/>
        <v/>
      </c>
      <c r="H1189" t="str">
        <f t="shared" si="200"/>
        <v/>
      </c>
      <c r="I1189" t="str">
        <f t="shared" si="201"/>
        <v/>
      </c>
      <c r="J1189" t="str">
        <f t="shared" si="202"/>
        <v/>
      </c>
      <c r="K1189" t="str">
        <f t="shared" si="203"/>
        <v/>
      </c>
      <c r="L1189" t="str">
        <f t="shared" si="204"/>
        <v/>
      </c>
      <c r="M1189" t="str">
        <f t="shared" si="205"/>
        <v/>
      </c>
      <c r="N1189" t="str">
        <f t="shared" si="206"/>
        <v/>
      </c>
      <c r="O1189" t="str">
        <f t="shared" si="207"/>
        <v/>
      </c>
      <c r="P1189" t="str">
        <f>IF($A1189="","",IF($E1189=1,$F1189*$O1189,PNL!G1189))</f>
        <v/>
      </c>
      <c r="T1189" t="str">
        <f t="shared" si="208"/>
        <v/>
      </c>
    </row>
    <row r="1190" spans="1:20" x14ac:dyDescent="0.45">
      <c r="A1190" t="str">
        <f>IF(PNL!A1190="","",PNL!A1190)</f>
        <v/>
      </c>
      <c r="B1190" t="str">
        <f>IF(PNL!B1190="","",PNL!B1190)</f>
        <v/>
      </c>
      <c r="C1190" t="str">
        <f>IF(PNL!C1190="","",PNL!C1190)</f>
        <v/>
      </c>
      <c r="D1190" t="str">
        <f>IF(PNL!D1190="","",PNL!D1190)</f>
        <v/>
      </c>
      <c r="E1190" t="str">
        <f t="shared" si="198"/>
        <v/>
      </c>
      <c r="F1190" t="str">
        <f>IF($A1190="","",IF($E1190=1,SUMIFS(Compta!$F$1:$F$675,Compta!$A$1:$A$675,$A1190,Compta!$B$1:$B$675,$B1190,Compta!$C$1:$C$675,"2026"),0))</f>
        <v/>
      </c>
      <c r="G1190" t="str">
        <f t="shared" si="199"/>
        <v/>
      </c>
      <c r="H1190" t="str">
        <f t="shared" si="200"/>
        <v/>
      </c>
      <c r="I1190" t="str">
        <f t="shared" si="201"/>
        <v/>
      </c>
      <c r="J1190" t="str">
        <f t="shared" si="202"/>
        <v/>
      </c>
      <c r="K1190" t="str">
        <f t="shared" si="203"/>
        <v/>
      </c>
      <c r="L1190" t="str">
        <f t="shared" si="204"/>
        <v/>
      </c>
      <c r="M1190" t="str">
        <f t="shared" si="205"/>
        <v/>
      </c>
      <c r="N1190" t="str">
        <f t="shared" si="206"/>
        <v/>
      </c>
      <c r="O1190" t="str">
        <f t="shared" si="207"/>
        <v/>
      </c>
      <c r="P1190" t="str">
        <f>IF($A1190="","",IF($E1190=1,$F1190*$O1190,PNL!G1190))</f>
        <v/>
      </c>
      <c r="T1190" t="str">
        <f t="shared" si="208"/>
        <v/>
      </c>
    </row>
    <row r="1191" spans="1:20" x14ac:dyDescent="0.45">
      <c r="A1191" t="str">
        <f>IF(PNL!A1191="","",PNL!A1191)</f>
        <v/>
      </c>
      <c r="B1191" t="str">
        <f>IF(PNL!B1191="","",PNL!B1191)</f>
        <v/>
      </c>
      <c r="C1191" t="str">
        <f>IF(PNL!C1191="","",PNL!C1191)</f>
        <v/>
      </c>
      <c r="D1191" t="str">
        <f>IF(PNL!D1191="","",PNL!D1191)</f>
        <v/>
      </c>
      <c r="E1191" t="str">
        <f t="shared" si="198"/>
        <v/>
      </c>
      <c r="F1191" t="str">
        <f>IF($A1191="","",IF($E1191=1,SUMIFS(Compta!$F$1:$F$675,Compta!$A$1:$A$675,$A1191,Compta!$B$1:$B$675,$B1191,Compta!$C$1:$C$675,"2026"),0))</f>
        <v/>
      </c>
      <c r="G1191" t="str">
        <f t="shared" si="199"/>
        <v/>
      </c>
      <c r="H1191" t="str">
        <f t="shared" si="200"/>
        <v/>
      </c>
      <c r="I1191" t="str">
        <f t="shared" si="201"/>
        <v/>
      </c>
      <c r="J1191" t="str">
        <f t="shared" si="202"/>
        <v/>
      </c>
      <c r="K1191" t="str">
        <f t="shared" si="203"/>
        <v/>
      </c>
      <c r="L1191" t="str">
        <f t="shared" si="204"/>
        <v/>
      </c>
      <c r="M1191" t="str">
        <f t="shared" si="205"/>
        <v/>
      </c>
      <c r="N1191" t="str">
        <f t="shared" si="206"/>
        <v/>
      </c>
      <c r="O1191" t="str">
        <f t="shared" si="207"/>
        <v/>
      </c>
      <c r="P1191" t="str">
        <f>IF($A1191="","",IF($E1191=1,$F1191*$O1191,PNL!G1191))</f>
        <v/>
      </c>
      <c r="T1191" t="str">
        <f t="shared" si="208"/>
        <v/>
      </c>
    </row>
    <row r="1192" spans="1:20" x14ac:dyDescent="0.45">
      <c r="A1192" t="str">
        <f>IF(PNL!A1192="","",PNL!A1192)</f>
        <v/>
      </c>
      <c r="B1192" t="str">
        <f>IF(PNL!B1192="","",PNL!B1192)</f>
        <v/>
      </c>
      <c r="C1192" t="str">
        <f>IF(PNL!C1192="","",PNL!C1192)</f>
        <v/>
      </c>
      <c r="D1192" t="str">
        <f>IF(PNL!D1192="","",PNL!D1192)</f>
        <v/>
      </c>
      <c r="E1192" t="str">
        <f t="shared" si="198"/>
        <v/>
      </c>
      <c r="F1192" t="str">
        <f>IF($A1192="","",IF($E1192=1,SUMIFS(Compta!$F$1:$F$675,Compta!$A$1:$A$675,$A1192,Compta!$B$1:$B$675,$B1192,Compta!$C$1:$C$675,"2026"),0))</f>
        <v/>
      </c>
      <c r="G1192" t="str">
        <f t="shared" si="199"/>
        <v/>
      </c>
      <c r="H1192" t="str">
        <f t="shared" si="200"/>
        <v/>
      </c>
      <c r="I1192" t="str">
        <f t="shared" si="201"/>
        <v/>
      </c>
      <c r="J1192" t="str">
        <f t="shared" si="202"/>
        <v/>
      </c>
      <c r="K1192" t="str">
        <f t="shared" si="203"/>
        <v/>
      </c>
      <c r="L1192" t="str">
        <f t="shared" si="204"/>
        <v/>
      </c>
      <c r="M1192" t="str">
        <f t="shared" si="205"/>
        <v/>
      </c>
      <c r="N1192" t="str">
        <f t="shared" si="206"/>
        <v/>
      </c>
      <c r="O1192" t="str">
        <f t="shared" si="207"/>
        <v/>
      </c>
      <c r="P1192" t="str">
        <f>IF($A1192="","",IF($E1192=1,$F1192*$O1192,PNL!G1192))</f>
        <v/>
      </c>
      <c r="T1192" t="str">
        <f t="shared" si="208"/>
        <v/>
      </c>
    </row>
    <row r="1193" spans="1:20" x14ac:dyDescent="0.45">
      <c r="A1193" t="str">
        <f>IF(PNL!A1193="","",PNL!A1193)</f>
        <v/>
      </c>
      <c r="B1193" t="str">
        <f>IF(PNL!B1193="","",PNL!B1193)</f>
        <v/>
      </c>
      <c r="C1193" t="str">
        <f>IF(PNL!C1193="","",PNL!C1193)</f>
        <v/>
      </c>
      <c r="D1193" t="str">
        <f>IF(PNL!D1193="","",PNL!D1193)</f>
        <v/>
      </c>
      <c r="E1193" t="str">
        <f t="shared" si="198"/>
        <v/>
      </c>
      <c r="F1193" t="str">
        <f>IF($A1193="","",IF($E1193=1,SUMIFS(Compta!$F$1:$F$675,Compta!$A$1:$A$675,$A1193,Compta!$B$1:$B$675,$B1193,Compta!$C$1:$C$675,"2026"),0))</f>
        <v/>
      </c>
      <c r="G1193" t="str">
        <f t="shared" si="199"/>
        <v/>
      </c>
      <c r="H1193" t="str">
        <f t="shared" si="200"/>
        <v/>
      </c>
      <c r="I1193" t="str">
        <f t="shared" si="201"/>
        <v/>
      </c>
      <c r="J1193" t="str">
        <f t="shared" si="202"/>
        <v/>
      </c>
      <c r="K1193" t="str">
        <f t="shared" si="203"/>
        <v/>
      </c>
      <c r="L1193" t="str">
        <f t="shared" si="204"/>
        <v/>
      </c>
      <c r="M1193" t="str">
        <f t="shared" si="205"/>
        <v/>
      </c>
      <c r="N1193" t="str">
        <f t="shared" si="206"/>
        <v/>
      </c>
      <c r="O1193" t="str">
        <f t="shared" si="207"/>
        <v/>
      </c>
      <c r="P1193" t="str">
        <f>IF($A1193="","",IF($E1193=1,$F1193*$O1193,PNL!G1193))</f>
        <v/>
      </c>
      <c r="T1193" t="str">
        <f t="shared" si="208"/>
        <v/>
      </c>
    </row>
    <row r="1194" spans="1:20" x14ac:dyDescent="0.45">
      <c r="A1194" t="str">
        <f>IF(PNL!A1194="","",PNL!A1194)</f>
        <v/>
      </c>
      <c r="B1194" t="str">
        <f>IF(PNL!B1194="","",PNL!B1194)</f>
        <v/>
      </c>
      <c r="C1194" t="str">
        <f>IF(PNL!C1194="","",PNL!C1194)</f>
        <v/>
      </c>
      <c r="D1194" t="str">
        <f>IF(PNL!D1194="","",PNL!D1194)</f>
        <v/>
      </c>
      <c r="E1194" t="str">
        <f t="shared" si="198"/>
        <v/>
      </c>
      <c r="F1194" t="str">
        <f>IF($A1194="","",IF($E1194=1,SUMIFS(Compta!$F$1:$F$675,Compta!$A$1:$A$675,$A1194,Compta!$B$1:$B$675,$B1194,Compta!$C$1:$C$675,"2026"),0))</f>
        <v/>
      </c>
      <c r="G1194" t="str">
        <f t="shared" si="199"/>
        <v/>
      </c>
      <c r="H1194" t="str">
        <f t="shared" si="200"/>
        <v/>
      </c>
      <c r="I1194" t="str">
        <f t="shared" si="201"/>
        <v/>
      </c>
      <c r="J1194" t="str">
        <f t="shared" si="202"/>
        <v/>
      </c>
      <c r="K1194" t="str">
        <f t="shared" si="203"/>
        <v/>
      </c>
      <c r="L1194" t="str">
        <f t="shared" si="204"/>
        <v/>
      </c>
      <c r="M1194" t="str">
        <f t="shared" si="205"/>
        <v/>
      </c>
      <c r="N1194" t="str">
        <f t="shared" si="206"/>
        <v/>
      </c>
      <c r="O1194" t="str">
        <f t="shared" si="207"/>
        <v/>
      </c>
      <c r="P1194" t="str">
        <f>IF($A1194="","",IF($E1194=1,$F1194*$O1194,PNL!G1194))</f>
        <v/>
      </c>
      <c r="T1194" t="str">
        <f t="shared" si="208"/>
        <v/>
      </c>
    </row>
    <row r="1195" spans="1:20" x14ac:dyDescent="0.45">
      <c r="A1195" t="str">
        <f>IF(PNL!A1195="","",PNL!A1195)</f>
        <v/>
      </c>
      <c r="B1195" t="str">
        <f>IF(PNL!B1195="","",PNL!B1195)</f>
        <v/>
      </c>
      <c r="C1195" t="str">
        <f>IF(PNL!C1195="","",PNL!C1195)</f>
        <v/>
      </c>
      <c r="D1195" t="str">
        <f>IF(PNL!D1195="","",PNL!D1195)</f>
        <v/>
      </c>
      <c r="E1195" t="str">
        <f t="shared" si="198"/>
        <v/>
      </c>
      <c r="F1195" t="str">
        <f>IF($A1195="","",IF($E1195=1,SUMIFS(Compta!$F$1:$F$675,Compta!$A$1:$A$675,$A1195,Compta!$B$1:$B$675,$B1195,Compta!$C$1:$C$675,"2026"),0))</f>
        <v/>
      </c>
      <c r="G1195" t="str">
        <f t="shared" si="199"/>
        <v/>
      </c>
      <c r="H1195" t="str">
        <f t="shared" si="200"/>
        <v/>
      </c>
      <c r="I1195" t="str">
        <f t="shared" si="201"/>
        <v/>
      </c>
      <c r="J1195" t="str">
        <f t="shared" si="202"/>
        <v/>
      </c>
      <c r="K1195" t="str">
        <f t="shared" si="203"/>
        <v/>
      </c>
      <c r="L1195" t="str">
        <f t="shared" si="204"/>
        <v/>
      </c>
      <c r="M1195" t="str">
        <f t="shared" si="205"/>
        <v/>
      </c>
      <c r="N1195" t="str">
        <f t="shared" si="206"/>
        <v/>
      </c>
      <c r="O1195" t="str">
        <f t="shared" si="207"/>
        <v/>
      </c>
      <c r="P1195" t="str">
        <f>IF($A1195="","",IF($E1195=1,$F1195*$O1195,PNL!G1195))</f>
        <v/>
      </c>
      <c r="T1195" t="str">
        <f t="shared" si="208"/>
        <v/>
      </c>
    </row>
    <row r="1196" spans="1:20" x14ac:dyDescent="0.45">
      <c r="A1196" t="str">
        <f>IF(PNL!A1196="","",PNL!A1196)</f>
        <v/>
      </c>
      <c r="B1196" t="str">
        <f>IF(PNL!B1196="","",PNL!B1196)</f>
        <v/>
      </c>
      <c r="C1196" t="str">
        <f>IF(PNL!C1196="","",PNL!C1196)</f>
        <v/>
      </c>
      <c r="D1196" t="str">
        <f>IF(PNL!D1196="","",PNL!D1196)</f>
        <v/>
      </c>
      <c r="E1196" t="str">
        <f t="shared" si="198"/>
        <v/>
      </c>
      <c r="F1196" t="str">
        <f>IF($A1196="","",IF($E1196=1,SUMIFS(Compta!$F$1:$F$675,Compta!$A$1:$A$675,$A1196,Compta!$B$1:$B$675,$B1196,Compta!$C$1:$C$675,"2026"),0))</f>
        <v/>
      </c>
      <c r="G1196" t="str">
        <f t="shared" si="199"/>
        <v/>
      </c>
      <c r="H1196" t="str">
        <f t="shared" si="200"/>
        <v/>
      </c>
      <c r="I1196" t="str">
        <f t="shared" si="201"/>
        <v/>
      </c>
      <c r="J1196" t="str">
        <f t="shared" si="202"/>
        <v/>
      </c>
      <c r="K1196" t="str">
        <f t="shared" si="203"/>
        <v/>
      </c>
      <c r="L1196" t="str">
        <f t="shared" si="204"/>
        <v/>
      </c>
      <c r="M1196" t="str">
        <f t="shared" si="205"/>
        <v/>
      </c>
      <c r="N1196" t="str">
        <f t="shared" si="206"/>
        <v/>
      </c>
      <c r="O1196" t="str">
        <f t="shared" si="207"/>
        <v/>
      </c>
      <c r="P1196" t="str">
        <f>IF($A1196="","",IF($E1196=1,$F1196*$O1196,PNL!G1196))</f>
        <v/>
      </c>
      <c r="T1196" t="str">
        <f t="shared" si="208"/>
        <v/>
      </c>
    </row>
    <row r="1197" spans="1:20" x14ac:dyDescent="0.45">
      <c r="A1197" t="str">
        <f>IF(PNL!A1197="","",PNL!A1197)</f>
        <v/>
      </c>
      <c r="B1197" t="str">
        <f>IF(PNL!B1197="","",PNL!B1197)</f>
        <v/>
      </c>
      <c r="C1197" t="str">
        <f>IF(PNL!C1197="","",PNL!C1197)</f>
        <v/>
      </c>
      <c r="D1197" t="str">
        <f>IF(PNL!D1197="","",PNL!D1197)</f>
        <v/>
      </c>
      <c r="E1197" t="str">
        <f t="shared" si="198"/>
        <v/>
      </c>
      <c r="F1197" t="str">
        <f>IF($A1197="","",IF($E1197=1,SUMIFS(Compta!$F$1:$F$675,Compta!$A$1:$A$675,$A1197,Compta!$B$1:$B$675,$B1197,Compta!$C$1:$C$675,"2026"),0))</f>
        <v/>
      </c>
      <c r="G1197" t="str">
        <f t="shared" si="199"/>
        <v/>
      </c>
      <c r="H1197" t="str">
        <f t="shared" si="200"/>
        <v/>
      </c>
      <c r="I1197" t="str">
        <f t="shared" si="201"/>
        <v/>
      </c>
      <c r="J1197" t="str">
        <f t="shared" si="202"/>
        <v/>
      </c>
      <c r="K1197" t="str">
        <f t="shared" si="203"/>
        <v/>
      </c>
      <c r="L1197" t="str">
        <f t="shared" si="204"/>
        <v/>
      </c>
      <c r="M1197" t="str">
        <f t="shared" si="205"/>
        <v/>
      </c>
      <c r="N1197" t="str">
        <f t="shared" si="206"/>
        <v/>
      </c>
      <c r="O1197" t="str">
        <f t="shared" si="207"/>
        <v/>
      </c>
      <c r="P1197" t="str">
        <f>IF($A1197="","",IF($E1197=1,$F1197*$O1197,PNL!G1197))</f>
        <v/>
      </c>
      <c r="T1197" t="str">
        <f t="shared" si="208"/>
        <v/>
      </c>
    </row>
    <row r="1198" spans="1:20" x14ac:dyDescent="0.45">
      <c r="A1198" t="str">
        <f>IF(PNL!A1198="","",PNL!A1198)</f>
        <v/>
      </c>
      <c r="B1198" t="str">
        <f>IF(PNL!B1198="","",PNL!B1198)</f>
        <v/>
      </c>
      <c r="C1198" t="str">
        <f>IF(PNL!C1198="","",PNL!C1198)</f>
        <v/>
      </c>
      <c r="D1198" t="str">
        <f>IF(PNL!D1198="","",PNL!D1198)</f>
        <v/>
      </c>
      <c r="E1198" t="str">
        <f t="shared" si="198"/>
        <v/>
      </c>
      <c r="F1198" t="str">
        <f>IF($A1198="","",IF($E1198=1,SUMIFS(Compta!$F$1:$F$675,Compta!$A$1:$A$675,$A1198,Compta!$B$1:$B$675,$B1198,Compta!$C$1:$C$675,"2026"),0))</f>
        <v/>
      </c>
      <c r="G1198" t="str">
        <f t="shared" si="199"/>
        <v/>
      </c>
      <c r="H1198" t="str">
        <f t="shared" si="200"/>
        <v/>
      </c>
      <c r="I1198" t="str">
        <f t="shared" si="201"/>
        <v/>
      </c>
      <c r="J1198" t="str">
        <f t="shared" si="202"/>
        <v/>
      </c>
      <c r="K1198" t="str">
        <f t="shared" si="203"/>
        <v/>
      </c>
      <c r="L1198" t="str">
        <f t="shared" si="204"/>
        <v/>
      </c>
      <c r="M1198" t="str">
        <f t="shared" si="205"/>
        <v/>
      </c>
      <c r="N1198" t="str">
        <f t="shared" si="206"/>
        <v/>
      </c>
      <c r="O1198" t="str">
        <f t="shared" si="207"/>
        <v/>
      </c>
      <c r="P1198" t="str">
        <f>IF($A1198="","",IF($E1198=1,$F1198*$O1198,PNL!G1198))</f>
        <v/>
      </c>
      <c r="T1198" t="str">
        <f t="shared" si="208"/>
        <v/>
      </c>
    </row>
    <row r="1199" spans="1:20" x14ac:dyDescent="0.45">
      <c r="A1199" t="str">
        <f>IF(PNL!A1199="","",PNL!A1199)</f>
        <v/>
      </c>
      <c r="B1199" t="str">
        <f>IF(PNL!B1199="","",PNL!B1199)</f>
        <v/>
      </c>
      <c r="C1199" t="str">
        <f>IF(PNL!C1199="","",PNL!C1199)</f>
        <v/>
      </c>
      <c r="D1199" t="str">
        <f>IF(PNL!D1199="","",PNL!D1199)</f>
        <v/>
      </c>
      <c r="E1199" t="str">
        <f t="shared" si="198"/>
        <v/>
      </c>
      <c r="F1199" t="str">
        <f>IF($A1199="","",IF($E1199=1,SUMIFS(Compta!$F$1:$F$675,Compta!$A$1:$A$675,$A1199,Compta!$B$1:$B$675,$B1199,Compta!$C$1:$C$675,"2026"),0))</f>
        <v/>
      </c>
      <c r="G1199" t="str">
        <f t="shared" si="199"/>
        <v/>
      </c>
      <c r="H1199" t="str">
        <f t="shared" si="200"/>
        <v/>
      </c>
      <c r="I1199" t="str">
        <f t="shared" si="201"/>
        <v/>
      </c>
      <c r="J1199" t="str">
        <f t="shared" si="202"/>
        <v/>
      </c>
      <c r="K1199" t="str">
        <f t="shared" si="203"/>
        <v/>
      </c>
      <c r="L1199" t="str">
        <f t="shared" si="204"/>
        <v/>
      </c>
      <c r="M1199" t="str">
        <f t="shared" si="205"/>
        <v/>
      </c>
      <c r="N1199" t="str">
        <f t="shared" si="206"/>
        <v/>
      </c>
      <c r="O1199" t="str">
        <f t="shared" si="207"/>
        <v/>
      </c>
      <c r="P1199" t="str">
        <f>IF($A1199="","",IF($E1199=1,$F1199*$O1199,PNL!G1199))</f>
        <v/>
      </c>
      <c r="T1199" t="str">
        <f t="shared" si="208"/>
        <v/>
      </c>
    </row>
    <row r="1200" spans="1:20" x14ac:dyDescent="0.45">
      <c r="A1200" t="str">
        <f>IF(PNL!A1200="","",PNL!A1200)</f>
        <v/>
      </c>
      <c r="B1200" t="str">
        <f>IF(PNL!B1200="","",PNL!B1200)</f>
        <v/>
      </c>
      <c r="C1200" t="str">
        <f>IF(PNL!C1200="","",PNL!C1200)</f>
        <v/>
      </c>
      <c r="D1200" t="str">
        <f>IF(PNL!D1200="","",PNL!D1200)</f>
        <v/>
      </c>
      <c r="E1200" t="str">
        <f t="shared" si="198"/>
        <v/>
      </c>
      <c r="F1200" t="str">
        <f>IF($A1200="","",IF($E1200=1,SUMIFS(Compta!$F$1:$F$675,Compta!$A$1:$A$675,$A1200,Compta!$B$1:$B$675,$B1200,Compta!$C$1:$C$675,"2026"),0))</f>
        <v/>
      </c>
      <c r="G1200" t="str">
        <f t="shared" si="199"/>
        <v/>
      </c>
      <c r="H1200" t="str">
        <f t="shared" si="200"/>
        <v/>
      </c>
      <c r="I1200" t="str">
        <f t="shared" si="201"/>
        <v/>
      </c>
      <c r="J1200" t="str">
        <f t="shared" si="202"/>
        <v/>
      </c>
      <c r="K1200" t="str">
        <f t="shared" si="203"/>
        <v/>
      </c>
      <c r="L1200" t="str">
        <f t="shared" si="204"/>
        <v/>
      </c>
      <c r="M1200" t="str">
        <f t="shared" si="205"/>
        <v/>
      </c>
      <c r="N1200" t="str">
        <f t="shared" si="206"/>
        <v/>
      </c>
      <c r="O1200" t="str">
        <f t="shared" si="207"/>
        <v/>
      </c>
      <c r="P1200" t="str">
        <f>IF($A1200="","",IF($E1200=1,$F1200*$O1200,PNL!G1200))</f>
        <v/>
      </c>
      <c r="T1200" t="str">
        <f t="shared" si="208"/>
        <v/>
      </c>
    </row>
    <row r="1201" spans="1:20" x14ac:dyDescent="0.45">
      <c r="A1201" t="str">
        <f>IF(PNL!A1201="","",PNL!A1201)</f>
        <v/>
      </c>
      <c r="B1201" t="str">
        <f>IF(PNL!B1201="","",PNL!B1201)</f>
        <v/>
      </c>
      <c r="C1201" t="str">
        <f>IF(PNL!C1201="","",PNL!C1201)</f>
        <v/>
      </c>
      <c r="D1201" t="str">
        <f>IF(PNL!D1201="","",PNL!D1201)</f>
        <v/>
      </c>
      <c r="E1201" t="str">
        <f t="shared" si="198"/>
        <v/>
      </c>
      <c r="F1201" t="str">
        <f>IF($A1201="","",IF($E1201=1,SUMIFS(Compta!$F$1:$F$675,Compta!$A$1:$A$675,$A1201,Compta!$B$1:$B$675,$B1201,Compta!$C$1:$C$675,"2026"),0))</f>
        <v/>
      </c>
      <c r="G1201" t="str">
        <f t="shared" si="199"/>
        <v/>
      </c>
      <c r="H1201" t="str">
        <f t="shared" si="200"/>
        <v/>
      </c>
      <c r="I1201" t="str">
        <f t="shared" si="201"/>
        <v/>
      </c>
      <c r="J1201" t="str">
        <f t="shared" si="202"/>
        <v/>
      </c>
      <c r="K1201" t="str">
        <f t="shared" si="203"/>
        <v/>
      </c>
      <c r="L1201" t="str">
        <f t="shared" si="204"/>
        <v/>
      </c>
      <c r="M1201" t="str">
        <f t="shared" si="205"/>
        <v/>
      </c>
      <c r="N1201" t="str">
        <f t="shared" si="206"/>
        <v/>
      </c>
      <c r="O1201" t="str">
        <f t="shared" si="207"/>
        <v/>
      </c>
      <c r="P1201" t="str">
        <f>IF($A1201="","",IF($E1201=1,$F1201*$O1201,PNL!G1201))</f>
        <v/>
      </c>
      <c r="T1201" t="str">
        <f t="shared" si="208"/>
        <v/>
      </c>
    </row>
    <row r="1202" spans="1:20" x14ac:dyDescent="0.45">
      <c r="A1202" t="str">
        <f>IF(PNL!A1202="","",PNL!A1202)</f>
        <v/>
      </c>
      <c r="B1202" t="str">
        <f>IF(PNL!B1202="","",PNL!B1202)</f>
        <v/>
      </c>
      <c r="C1202" t="str">
        <f>IF(PNL!C1202="","",PNL!C1202)</f>
        <v/>
      </c>
      <c r="D1202" t="str">
        <f>IF(PNL!D1202="","",PNL!D1202)</f>
        <v/>
      </c>
      <c r="E1202" t="str">
        <f t="shared" si="198"/>
        <v/>
      </c>
      <c r="F1202" t="str">
        <f>IF($A1202="","",IF($E1202=1,SUMIFS(Compta!$F$1:$F$675,Compta!$A$1:$A$675,$A1202,Compta!$B$1:$B$675,$B1202,Compta!$C$1:$C$675,"2026"),0))</f>
        <v/>
      </c>
      <c r="G1202" t="str">
        <f t="shared" si="199"/>
        <v/>
      </c>
      <c r="H1202" t="str">
        <f t="shared" si="200"/>
        <v/>
      </c>
      <c r="I1202" t="str">
        <f t="shared" si="201"/>
        <v/>
      </c>
      <c r="J1202" t="str">
        <f t="shared" si="202"/>
        <v/>
      </c>
      <c r="K1202" t="str">
        <f t="shared" si="203"/>
        <v/>
      </c>
      <c r="L1202" t="str">
        <f t="shared" si="204"/>
        <v/>
      </c>
      <c r="M1202" t="str">
        <f t="shared" si="205"/>
        <v/>
      </c>
      <c r="N1202" t="str">
        <f t="shared" si="206"/>
        <v/>
      </c>
      <c r="O1202" t="str">
        <f t="shared" si="207"/>
        <v/>
      </c>
      <c r="P1202" t="str">
        <f>IF($A1202="","",IF($E1202=1,$F1202*$O1202,PNL!G1202))</f>
        <v/>
      </c>
      <c r="T1202" t="str">
        <f t="shared" si="208"/>
        <v/>
      </c>
    </row>
    <row r="1203" spans="1:20" x14ac:dyDescent="0.45">
      <c r="A1203" t="str">
        <f>IF(PNL!A1203="","",PNL!A1203)</f>
        <v/>
      </c>
      <c r="B1203" t="str">
        <f>IF(PNL!B1203="","",PNL!B1203)</f>
        <v/>
      </c>
      <c r="C1203" t="str">
        <f>IF(PNL!C1203="","",PNL!C1203)</f>
        <v/>
      </c>
      <c r="D1203" t="str">
        <f>IF(PNL!D1203="","",PNL!D1203)</f>
        <v/>
      </c>
      <c r="E1203" t="str">
        <f t="shared" si="198"/>
        <v/>
      </c>
      <c r="F1203" t="str">
        <f>IF($A1203="","",IF($E1203=1,SUMIFS(Compta!$F$1:$F$675,Compta!$A$1:$A$675,$A1203,Compta!$B$1:$B$675,$B1203,Compta!$C$1:$C$675,"2026"),0))</f>
        <v/>
      </c>
      <c r="G1203" t="str">
        <f t="shared" si="199"/>
        <v/>
      </c>
      <c r="H1203" t="str">
        <f t="shared" si="200"/>
        <v/>
      </c>
      <c r="I1203" t="str">
        <f t="shared" si="201"/>
        <v/>
      </c>
      <c r="J1203" t="str">
        <f t="shared" si="202"/>
        <v/>
      </c>
      <c r="K1203" t="str">
        <f t="shared" si="203"/>
        <v/>
      </c>
      <c r="L1203" t="str">
        <f t="shared" si="204"/>
        <v/>
      </c>
      <c r="M1203" t="str">
        <f t="shared" si="205"/>
        <v/>
      </c>
      <c r="N1203" t="str">
        <f t="shared" si="206"/>
        <v/>
      </c>
      <c r="O1203" t="str">
        <f t="shared" si="207"/>
        <v/>
      </c>
      <c r="P1203" t="str">
        <f>IF($A1203="","",IF($E1203=1,$F1203*$O1203,PNL!G1203))</f>
        <v/>
      </c>
      <c r="T1203" t="str">
        <f t="shared" si="208"/>
        <v/>
      </c>
    </row>
    <row r="1204" spans="1:20" x14ac:dyDescent="0.45">
      <c r="A1204" t="str">
        <f>IF(PNL!A1204="","",PNL!A1204)</f>
        <v/>
      </c>
      <c r="B1204" t="str">
        <f>IF(PNL!B1204="","",PNL!B1204)</f>
        <v/>
      </c>
      <c r="C1204" t="str">
        <f>IF(PNL!C1204="","",PNL!C1204)</f>
        <v/>
      </c>
      <c r="D1204" t="str">
        <f>IF(PNL!D1204="","",PNL!D1204)</f>
        <v/>
      </c>
      <c r="E1204" t="str">
        <f t="shared" si="198"/>
        <v/>
      </c>
      <c r="F1204" t="str">
        <f>IF($A1204="","",IF($E1204=1,SUMIFS(Compta!$F$1:$F$675,Compta!$A$1:$A$675,$A1204,Compta!$B$1:$B$675,$B1204,Compta!$C$1:$C$675,"2026"),0))</f>
        <v/>
      </c>
      <c r="G1204" t="str">
        <f t="shared" si="199"/>
        <v/>
      </c>
      <c r="H1204" t="str">
        <f t="shared" si="200"/>
        <v/>
      </c>
      <c r="I1204" t="str">
        <f t="shared" si="201"/>
        <v/>
      </c>
      <c r="J1204" t="str">
        <f t="shared" si="202"/>
        <v/>
      </c>
      <c r="K1204" t="str">
        <f t="shared" si="203"/>
        <v/>
      </c>
      <c r="L1204" t="str">
        <f t="shared" si="204"/>
        <v/>
      </c>
      <c r="M1204" t="str">
        <f t="shared" si="205"/>
        <v/>
      </c>
      <c r="N1204" t="str">
        <f t="shared" si="206"/>
        <v/>
      </c>
      <c r="O1204" t="str">
        <f t="shared" si="207"/>
        <v/>
      </c>
      <c r="P1204" t="str">
        <f>IF($A1204="","",IF($E1204=1,$F1204*$O1204,PNL!G1204))</f>
        <v/>
      </c>
      <c r="T1204" t="str">
        <f t="shared" si="208"/>
        <v/>
      </c>
    </row>
    <row r="1205" spans="1:20" x14ac:dyDescent="0.45">
      <c r="A1205" t="str">
        <f>IF(PNL!A1205="","",PNL!A1205)</f>
        <v/>
      </c>
      <c r="B1205" t="str">
        <f>IF(PNL!B1205="","",PNL!B1205)</f>
        <v/>
      </c>
      <c r="C1205" t="str">
        <f>IF(PNL!C1205="","",PNL!C1205)</f>
        <v/>
      </c>
      <c r="D1205" t="str">
        <f>IF(PNL!D1205="","",PNL!D1205)</f>
        <v/>
      </c>
      <c r="E1205" t="str">
        <f t="shared" si="198"/>
        <v/>
      </c>
      <c r="F1205" t="str">
        <f>IF($A1205="","",IF($E1205=1,SUMIFS(Compta!$F$1:$F$675,Compta!$A$1:$A$675,$A1205,Compta!$B$1:$B$675,$B1205,Compta!$C$1:$C$675,"2026"),0))</f>
        <v/>
      </c>
      <c r="G1205" t="str">
        <f t="shared" si="199"/>
        <v/>
      </c>
      <c r="H1205" t="str">
        <f t="shared" si="200"/>
        <v/>
      </c>
      <c r="I1205" t="str">
        <f t="shared" si="201"/>
        <v/>
      </c>
      <c r="J1205" t="str">
        <f t="shared" si="202"/>
        <v/>
      </c>
      <c r="K1205" t="str">
        <f t="shared" si="203"/>
        <v/>
      </c>
      <c r="L1205" t="str">
        <f t="shared" si="204"/>
        <v/>
      </c>
      <c r="M1205" t="str">
        <f t="shared" si="205"/>
        <v/>
      </c>
      <c r="N1205" t="str">
        <f t="shared" si="206"/>
        <v/>
      </c>
      <c r="O1205" t="str">
        <f t="shared" si="207"/>
        <v/>
      </c>
      <c r="P1205" t="str">
        <f>IF($A1205="","",IF($E1205=1,$F1205*$O1205,PNL!G1205))</f>
        <v/>
      </c>
      <c r="T1205" t="str">
        <f t="shared" si="208"/>
        <v/>
      </c>
    </row>
    <row r="1206" spans="1:20" x14ac:dyDescent="0.45">
      <c r="A1206" t="str">
        <f>IF(PNL!A1206="","",PNL!A1206)</f>
        <v/>
      </c>
      <c r="B1206" t="str">
        <f>IF(PNL!B1206="","",PNL!B1206)</f>
        <v/>
      </c>
      <c r="C1206" t="str">
        <f>IF(PNL!C1206="","",PNL!C1206)</f>
        <v/>
      </c>
      <c r="D1206" t="str">
        <f>IF(PNL!D1206="","",PNL!D1206)</f>
        <v/>
      </c>
      <c r="E1206" t="str">
        <f t="shared" si="198"/>
        <v/>
      </c>
      <c r="F1206" t="str">
        <f>IF($A1206="","",IF($E1206=1,SUMIFS(Compta!$F$1:$F$675,Compta!$A$1:$A$675,$A1206,Compta!$B$1:$B$675,$B1206,Compta!$C$1:$C$675,"2026"),0))</f>
        <v/>
      </c>
      <c r="G1206" t="str">
        <f t="shared" si="199"/>
        <v/>
      </c>
      <c r="H1206" t="str">
        <f t="shared" si="200"/>
        <v/>
      </c>
      <c r="I1206" t="str">
        <f t="shared" si="201"/>
        <v/>
      </c>
      <c r="J1206" t="str">
        <f t="shared" si="202"/>
        <v/>
      </c>
      <c r="K1206" t="str">
        <f t="shared" si="203"/>
        <v/>
      </c>
      <c r="L1206" t="str">
        <f t="shared" si="204"/>
        <v/>
      </c>
      <c r="M1206" t="str">
        <f t="shared" si="205"/>
        <v/>
      </c>
      <c r="N1206" t="str">
        <f t="shared" si="206"/>
        <v/>
      </c>
      <c r="O1206" t="str">
        <f t="shared" si="207"/>
        <v/>
      </c>
      <c r="P1206" t="str">
        <f>IF($A1206="","",IF($E1206=1,$F1206*$O1206,PNL!G1206))</f>
        <v/>
      </c>
      <c r="T1206" t="str">
        <f t="shared" si="208"/>
        <v/>
      </c>
    </row>
    <row r="1207" spans="1:20" x14ac:dyDescent="0.45">
      <c r="A1207" t="str">
        <f>IF(PNL!A1207="","",PNL!A1207)</f>
        <v/>
      </c>
      <c r="B1207" t="str">
        <f>IF(PNL!B1207="","",PNL!B1207)</f>
        <v/>
      </c>
      <c r="C1207" t="str">
        <f>IF(PNL!C1207="","",PNL!C1207)</f>
        <v/>
      </c>
      <c r="D1207" t="str">
        <f>IF(PNL!D1207="","",PNL!D1207)</f>
        <v/>
      </c>
      <c r="E1207" t="str">
        <f t="shared" si="198"/>
        <v/>
      </c>
      <c r="F1207" t="str">
        <f>IF($A1207="","",IF($E1207=1,SUMIFS(Compta!$F$1:$F$675,Compta!$A$1:$A$675,$A1207,Compta!$B$1:$B$675,$B1207,Compta!$C$1:$C$675,"2026"),0))</f>
        <v/>
      </c>
      <c r="G1207" t="str">
        <f t="shared" si="199"/>
        <v/>
      </c>
      <c r="H1207" t="str">
        <f t="shared" si="200"/>
        <v/>
      </c>
      <c r="I1207" t="str">
        <f t="shared" si="201"/>
        <v/>
      </c>
      <c r="J1207" t="str">
        <f t="shared" si="202"/>
        <v/>
      </c>
      <c r="K1207" t="str">
        <f t="shared" si="203"/>
        <v/>
      </c>
      <c r="L1207" t="str">
        <f t="shared" si="204"/>
        <v/>
      </c>
      <c r="M1207" t="str">
        <f t="shared" si="205"/>
        <v/>
      </c>
      <c r="N1207" t="str">
        <f t="shared" si="206"/>
        <v/>
      </c>
      <c r="O1207" t="str">
        <f t="shared" si="207"/>
        <v/>
      </c>
      <c r="P1207" t="str">
        <f>IF($A1207="","",IF($E1207=1,$F1207*$O1207,PNL!G1207))</f>
        <v/>
      </c>
      <c r="T1207" t="str">
        <f t="shared" si="208"/>
        <v/>
      </c>
    </row>
    <row r="1208" spans="1:20" x14ac:dyDescent="0.45">
      <c r="A1208" t="str">
        <f>IF(PNL!A1208="","",PNL!A1208)</f>
        <v/>
      </c>
      <c r="B1208" t="str">
        <f>IF(PNL!B1208="","",PNL!B1208)</f>
        <v/>
      </c>
      <c r="C1208" t="str">
        <f>IF(PNL!C1208="","",PNL!C1208)</f>
        <v/>
      </c>
      <c r="D1208" t="str">
        <f>IF(PNL!D1208="","",PNL!D1208)</f>
        <v/>
      </c>
      <c r="E1208" t="str">
        <f t="shared" si="198"/>
        <v/>
      </c>
      <c r="F1208" t="str">
        <f>IF($A1208="","",IF($E1208=1,SUMIFS(Compta!$F$1:$F$675,Compta!$A$1:$A$675,$A1208,Compta!$B$1:$B$675,$B1208,Compta!$C$1:$C$675,"2026"),0))</f>
        <v/>
      </c>
      <c r="G1208" t="str">
        <f t="shared" si="199"/>
        <v/>
      </c>
      <c r="H1208" t="str">
        <f t="shared" si="200"/>
        <v/>
      </c>
      <c r="I1208" t="str">
        <f t="shared" si="201"/>
        <v/>
      </c>
      <c r="J1208" t="str">
        <f t="shared" si="202"/>
        <v/>
      </c>
      <c r="K1208" t="str">
        <f t="shared" si="203"/>
        <v/>
      </c>
      <c r="L1208" t="str">
        <f t="shared" si="204"/>
        <v/>
      </c>
      <c r="M1208" t="str">
        <f t="shared" si="205"/>
        <v/>
      </c>
      <c r="N1208" t="str">
        <f t="shared" si="206"/>
        <v/>
      </c>
      <c r="O1208" t="str">
        <f t="shared" si="207"/>
        <v/>
      </c>
      <c r="P1208" t="str">
        <f>IF($A1208="","",IF($E1208=1,$F1208*$O1208,PNL!G1208))</f>
        <v/>
      </c>
      <c r="T1208" t="str">
        <f t="shared" si="208"/>
        <v/>
      </c>
    </row>
    <row r="1209" spans="1:20" x14ac:dyDescent="0.45">
      <c r="A1209" t="str">
        <f>IF(PNL!A1209="","",PNL!A1209)</f>
        <v/>
      </c>
      <c r="B1209" t="str">
        <f>IF(PNL!B1209="","",PNL!B1209)</f>
        <v/>
      </c>
      <c r="C1209" t="str">
        <f>IF(PNL!C1209="","",PNL!C1209)</f>
        <v/>
      </c>
      <c r="D1209" t="str">
        <f>IF(PNL!D1209="","",PNL!D1209)</f>
        <v/>
      </c>
      <c r="E1209" t="str">
        <f t="shared" si="198"/>
        <v/>
      </c>
      <c r="F1209" t="str">
        <f>IF($A1209="","",IF($E1209=1,SUMIFS(Compta!$F$1:$F$675,Compta!$A$1:$A$675,$A1209,Compta!$B$1:$B$675,$B1209,Compta!$C$1:$C$675,"2026"),0))</f>
        <v/>
      </c>
      <c r="G1209" t="str">
        <f t="shared" si="199"/>
        <v/>
      </c>
      <c r="H1209" t="str">
        <f t="shared" si="200"/>
        <v/>
      </c>
      <c r="I1209" t="str">
        <f t="shared" si="201"/>
        <v/>
      </c>
      <c r="J1209" t="str">
        <f t="shared" si="202"/>
        <v/>
      </c>
      <c r="K1209" t="str">
        <f t="shared" si="203"/>
        <v/>
      </c>
      <c r="L1209" t="str">
        <f t="shared" si="204"/>
        <v/>
      </c>
      <c r="M1209" t="str">
        <f t="shared" si="205"/>
        <v/>
      </c>
      <c r="N1209" t="str">
        <f t="shared" si="206"/>
        <v/>
      </c>
      <c r="O1209" t="str">
        <f t="shared" si="207"/>
        <v/>
      </c>
      <c r="P1209" t="str">
        <f>IF($A1209="","",IF($E1209=1,$F1209*$O1209,PNL!G1209))</f>
        <v/>
      </c>
      <c r="T1209" t="str">
        <f t="shared" si="208"/>
        <v/>
      </c>
    </row>
    <row r="1210" spans="1:20" x14ac:dyDescent="0.45">
      <c r="A1210" t="str">
        <f>IF(PNL!A1210="","",PNL!A1210)</f>
        <v/>
      </c>
      <c r="B1210" t="str">
        <f>IF(PNL!B1210="","",PNL!B1210)</f>
        <v/>
      </c>
      <c r="C1210" t="str">
        <f>IF(PNL!C1210="","",PNL!C1210)</f>
        <v/>
      </c>
      <c r="D1210" t="str">
        <f>IF(PNL!D1210="","",PNL!D1210)</f>
        <v/>
      </c>
      <c r="E1210" t="str">
        <f t="shared" si="198"/>
        <v/>
      </c>
      <c r="F1210" t="str">
        <f>IF($A1210="","",IF($E1210=1,SUMIFS(Compta!$F$1:$F$675,Compta!$A$1:$A$675,$A1210,Compta!$B$1:$B$675,$B1210,Compta!$C$1:$C$675,"2026"),0))</f>
        <v/>
      </c>
      <c r="G1210" t="str">
        <f t="shared" si="199"/>
        <v/>
      </c>
      <c r="H1210" t="str">
        <f t="shared" si="200"/>
        <v/>
      </c>
      <c r="I1210" t="str">
        <f t="shared" si="201"/>
        <v/>
      </c>
      <c r="J1210" t="str">
        <f t="shared" si="202"/>
        <v/>
      </c>
      <c r="K1210" t="str">
        <f t="shared" si="203"/>
        <v/>
      </c>
      <c r="L1210" t="str">
        <f t="shared" si="204"/>
        <v/>
      </c>
      <c r="M1210" t="str">
        <f t="shared" si="205"/>
        <v/>
      </c>
      <c r="N1210" t="str">
        <f t="shared" si="206"/>
        <v/>
      </c>
      <c r="O1210" t="str">
        <f t="shared" si="207"/>
        <v/>
      </c>
      <c r="P1210" t="str">
        <f>IF($A1210="","",IF($E1210=1,$F1210*$O1210,PNL!G1210))</f>
        <v/>
      </c>
      <c r="T1210" t="str">
        <f t="shared" si="208"/>
        <v/>
      </c>
    </row>
    <row r="1211" spans="1:20" x14ac:dyDescent="0.45">
      <c r="A1211" t="str">
        <f>IF(PNL!A1211="","",PNL!A1211)</f>
        <v/>
      </c>
      <c r="B1211" t="str">
        <f>IF(PNL!B1211="","",PNL!B1211)</f>
        <v/>
      </c>
      <c r="C1211" t="str">
        <f>IF(PNL!C1211="","",PNL!C1211)</f>
        <v/>
      </c>
      <c r="D1211" t="str">
        <f>IF(PNL!D1211="","",PNL!D1211)</f>
        <v/>
      </c>
      <c r="E1211" t="str">
        <f t="shared" si="198"/>
        <v/>
      </c>
      <c r="F1211" t="str">
        <f>IF($A1211="","",IF($E1211=1,SUMIFS(Compta!$F$1:$F$675,Compta!$A$1:$A$675,$A1211,Compta!$B$1:$B$675,$B1211,Compta!$C$1:$C$675,"2026"),0))</f>
        <v/>
      </c>
      <c r="G1211" t="str">
        <f t="shared" si="199"/>
        <v/>
      </c>
      <c r="H1211" t="str">
        <f t="shared" si="200"/>
        <v/>
      </c>
      <c r="I1211" t="str">
        <f t="shared" si="201"/>
        <v/>
      </c>
      <c r="J1211" t="str">
        <f t="shared" si="202"/>
        <v/>
      </c>
      <c r="K1211" t="str">
        <f t="shared" si="203"/>
        <v/>
      </c>
      <c r="L1211" t="str">
        <f t="shared" si="204"/>
        <v/>
      </c>
      <c r="M1211" t="str">
        <f t="shared" si="205"/>
        <v/>
      </c>
      <c r="N1211" t="str">
        <f t="shared" si="206"/>
        <v/>
      </c>
      <c r="O1211" t="str">
        <f t="shared" si="207"/>
        <v/>
      </c>
      <c r="P1211" t="str">
        <f>IF($A1211="","",IF($E1211=1,$F1211*$O1211,PNL!G1211))</f>
        <v/>
      </c>
      <c r="T1211" t="str">
        <f t="shared" si="208"/>
        <v/>
      </c>
    </row>
    <row r="1212" spans="1:20" x14ac:dyDescent="0.45">
      <c r="A1212" t="str">
        <f>IF(PNL!A1212="","",PNL!A1212)</f>
        <v/>
      </c>
      <c r="B1212" t="str">
        <f>IF(PNL!B1212="","",PNL!B1212)</f>
        <v/>
      </c>
      <c r="C1212" t="str">
        <f>IF(PNL!C1212="","",PNL!C1212)</f>
        <v/>
      </c>
      <c r="D1212" t="str">
        <f>IF(PNL!D1212="","",PNL!D1212)</f>
        <v/>
      </c>
      <c r="E1212" t="str">
        <f t="shared" si="198"/>
        <v/>
      </c>
      <c r="F1212" t="str">
        <f>IF($A1212="","",IF($E1212=1,SUMIFS(Compta!$F$1:$F$675,Compta!$A$1:$A$675,$A1212,Compta!$B$1:$B$675,$B1212,Compta!$C$1:$C$675,"2026"),0))</f>
        <v/>
      </c>
      <c r="G1212" t="str">
        <f t="shared" si="199"/>
        <v/>
      </c>
      <c r="H1212" t="str">
        <f t="shared" si="200"/>
        <v/>
      </c>
      <c r="I1212" t="str">
        <f t="shared" si="201"/>
        <v/>
      </c>
      <c r="J1212" t="str">
        <f t="shared" si="202"/>
        <v/>
      </c>
      <c r="K1212" t="str">
        <f t="shared" si="203"/>
        <v/>
      </c>
      <c r="L1212" t="str">
        <f t="shared" si="204"/>
        <v/>
      </c>
      <c r="M1212" t="str">
        <f t="shared" si="205"/>
        <v/>
      </c>
      <c r="N1212" t="str">
        <f t="shared" si="206"/>
        <v/>
      </c>
      <c r="O1212" t="str">
        <f t="shared" si="207"/>
        <v/>
      </c>
      <c r="P1212" t="str">
        <f>IF($A1212="","",IF($E1212=1,$F1212*$O1212,PNL!G1212))</f>
        <v/>
      </c>
      <c r="T1212" t="str">
        <f t="shared" si="208"/>
        <v/>
      </c>
    </row>
    <row r="1213" spans="1:20" x14ac:dyDescent="0.45">
      <c r="A1213" t="str">
        <f>IF(PNL!A1213="","",PNL!A1213)</f>
        <v/>
      </c>
      <c r="B1213" t="str">
        <f>IF(PNL!B1213="","",PNL!B1213)</f>
        <v/>
      </c>
      <c r="C1213" t="str">
        <f>IF(PNL!C1213="","",PNL!C1213)</f>
        <v/>
      </c>
      <c r="D1213" t="str">
        <f>IF(PNL!D1213="","",PNL!D1213)</f>
        <v/>
      </c>
      <c r="E1213" t="str">
        <f t="shared" si="198"/>
        <v/>
      </c>
      <c r="F1213" t="str">
        <f>IF($A1213="","",IF($E1213=1,SUMIFS(Compta!$F$1:$F$675,Compta!$A$1:$A$675,$A1213,Compta!$B$1:$B$675,$B1213,Compta!$C$1:$C$675,"2026"),0))</f>
        <v/>
      </c>
      <c r="G1213" t="str">
        <f t="shared" si="199"/>
        <v/>
      </c>
      <c r="H1213" t="str">
        <f t="shared" si="200"/>
        <v/>
      </c>
      <c r="I1213" t="str">
        <f t="shared" si="201"/>
        <v/>
      </c>
      <c r="J1213" t="str">
        <f t="shared" si="202"/>
        <v/>
      </c>
      <c r="K1213" t="str">
        <f t="shared" si="203"/>
        <v/>
      </c>
      <c r="L1213" t="str">
        <f t="shared" si="204"/>
        <v/>
      </c>
      <c r="M1213" t="str">
        <f t="shared" si="205"/>
        <v/>
      </c>
      <c r="N1213" t="str">
        <f t="shared" si="206"/>
        <v/>
      </c>
      <c r="O1213" t="str">
        <f t="shared" si="207"/>
        <v/>
      </c>
      <c r="P1213" t="str">
        <f>IF($A1213="","",IF($E1213=1,$F1213*$O1213,PNL!G1213))</f>
        <v/>
      </c>
      <c r="T1213" t="str">
        <f t="shared" si="208"/>
        <v/>
      </c>
    </row>
    <row r="1214" spans="1:20" x14ac:dyDescent="0.45">
      <c r="A1214" t="str">
        <f>IF(PNL!A1214="","",PNL!A1214)</f>
        <v/>
      </c>
      <c r="B1214" t="str">
        <f>IF(PNL!B1214="","",PNL!B1214)</f>
        <v/>
      </c>
      <c r="C1214" t="str">
        <f>IF(PNL!C1214="","",PNL!C1214)</f>
        <v/>
      </c>
      <c r="D1214" t="str">
        <f>IF(PNL!D1214="","",PNL!D1214)</f>
        <v/>
      </c>
      <c r="E1214" t="str">
        <f t="shared" si="198"/>
        <v/>
      </c>
      <c r="F1214" t="str">
        <f>IF($A1214="","",IF($E1214=1,SUMIFS(Compta!$F$1:$F$675,Compta!$A$1:$A$675,$A1214,Compta!$B$1:$B$675,$B1214,Compta!$C$1:$C$675,"2026"),0))</f>
        <v/>
      </c>
      <c r="G1214" t="str">
        <f t="shared" si="199"/>
        <v/>
      </c>
      <c r="H1214" t="str">
        <f t="shared" si="200"/>
        <v/>
      </c>
      <c r="I1214" t="str">
        <f t="shared" si="201"/>
        <v/>
      </c>
      <c r="J1214" t="str">
        <f t="shared" si="202"/>
        <v/>
      </c>
      <c r="K1214" t="str">
        <f t="shared" si="203"/>
        <v/>
      </c>
      <c r="L1214" t="str">
        <f t="shared" si="204"/>
        <v/>
      </c>
      <c r="M1214" t="str">
        <f t="shared" si="205"/>
        <v/>
      </c>
      <c r="N1214" t="str">
        <f t="shared" si="206"/>
        <v/>
      </c>
      <c r="O1214" t="str">
        <f t="shared" si="207"/>
        <v/>
      </c>
      <c r="P1214" t="str">
        <f>IF($A1214="","",IF($E1214=1,$F1214*$O1214,PNL!G1214))</f>
        <v/>
      </c>
      <c r="T1214" t="str">
        <f t="shared" si="208"/>
        <v/>
      </c>
    </row>
    <row r="1215" spans="1:20" x14ac:dyDescent="0.45">
      <c r="A1215" t="str">
        <f>IF(PNL!A1215="","",PNL!A1215)</f>
        <v/>
      </c>
      <c r="B1215" t="str">
        <f>IF(PNL!B1215="","",PNL!B1215)</f>
        <v/>
      </c>
      <c r="C1215" t="str">
        <f>IF(PNL!C1215="","",PNL!C1215)</f>
        <v/>
      </c>
      <c r="D1215" t="str">
        <f>IF(PNL!D1215="","",PNL!D1215)</f>
        <v/>
      </c>
      <c r="E1215" t="str">
        <f t="shared" si="198"/>
        <v/>
      </c>
      <c r="F1215" t="str">
        <f>IF($A1215="","",IF($E1215=1,SUMIFS(Compta!$F$1:$F$675,Compta!$A$1:$A$675,$A1215,Compta!$B$1:$B$675,$B1215,Compta!$C$1:$C$675,"2026"),0))</f>
        <v/>
      </c>
      <c r="G1215" t="str">
        <f t="shared" si="199"/>
        <v/>
      </c>
      <c r="H1215" t="str">
        <f t="shared" si="200"/>
        <v/>
      </c>
      <c r="I1215" t="str">
        <f t="shared" si="201"/>
        <v/>
      </c>
      <c r="J1215" t="str">
        <f t="shared" si="202"/>
        <v/>
      </c>
      <c r="K1215" t="str">
        <f t="shared" si="203"/>
        <v/>
      </c>
      <c r="L1215" t="str">
        <f t="shared" si="204"/>
        <v/>
      </c>
      <c r="M1215" t="str">
        <f t="shared" si="205"/>
        <v/>
      </c>
      <c r="N1215" t="str">
        <f t="shared" si="206"/>
        <v/>
      </c>
      <c r="O1215" t="str">
        <f t="shared" si="207"/>
        <v/>
      </c>
      <c r="P1215" t="str">
        <f>IF($A1215="","",IF($E1215=1,$F1215*$O1215,PNL!G1215))</f>
        <v/>
      </c>
      <c r="T1215" t="str">
        <f t="shared" si="208"/>
        <v/>
      </c>
    </row>
    <row r="1216" spans="1:20" x14ac:dyDescent="0.45">
      <c r="A1216" t="str">
        <f>IF(PNL!A1216="","",PNL!A1216)</f>
        <v/>
      </c>
      <c r="B1216" t="str">
        <f>IF(PNL!B1216="","",PNL!B1216)</f>
        <v/>
      </c>
      <c r="C1216" t="str">
        <f>IF(PNL!C1216="","",PNL!C1216)</f>
        <v/>
      </c>
      <c r="D1216" t="str">
        <f>IF(PNL!D1216="","",PNL!D1216)</f>
        <v/>
      </c>
      <c r="E1216" t="str">
        <f t="shared" si="198"/>
        <v/>
      </c>
      <c r="F1216" t="str">
        <f>IF($A1216="","",IF($E1216=1,SUMIFS(Compta!$F$1:$F$675,Compta!$A$1:$A$675,$A1216,Compta!$B$1:$B$675,$B1216,Compta!$C$1:$C$675,"2026"),0))</f>
        <v/>
      </c>
      <c r="G1216" t="str">
        <f t="shared" si="199"/>
        <v/>
      </c>
      <c r="H1216" t="str">
        <f t="shared" si="200"/>
        <v/>
      </c>
      <c r="I1216" t="str">
        <f t="shared" si="201"/>
        <v/>
      </c>
      <c r="J1216" t="str">
        <f t="shared" si="202"/>
        <v/>
      </c>
      <c r="K1216" t="str">
        <f t="shared" si="203"/>
        <v/>
      </c>
      <c r="L1216" t="str">
        <f t="shared" si="204"/>
        <v/>
      </c>
      <c r="M1216" t="str">
        <f t="shared" si="205"/>
        <v/>
      </c>
      <c r="N1216" t="str">
        <f t="shared" si="206"/>
        <v/>
      </c>
      <c r="O1216" t="str">
        <f t="shared" si="207"/>
        <v/>
      </c>
      <c r="P1216" t="str">
        <f>IF($A1216="","",IF($E1216=1,$F1216*$O1216,PNL!G1216))</f>
        <v/>
      </c>
      <c r="T1216" t="str">
        <f t="shared" si="208"/>
        <v/>
      </c>
    </row>
    <row r="1217" spans="1:20" x14ac:dyDescent="0.45">
      <c r="A1217" t="str">
        <f>IF(PNL!A1217="","",PNL!A1217)</f>
        <v/>
      </c>
      <c r="B1217" t="str">
        <f>IF(PNL!B1217="","",PNL!B1217)</f>
        <v/>
      </c>
      <c r="C1217" t="str">
        <f>IF(PNL!C1217="","",PNL!C1217)</f>
        <v/>
      </c>
      <c r="D1217" t="str">
        <f>IF(PNL!D1217="","",PNL!D1217)</f>
        <v/>
      </c>
      <c r="E1217" t="str">
        <f t="shared" si="198"/>
        <v/>
      </c>
      <c r="F1217" t="str">
        <f>IF($A1217="","",IF($E1217=1,SUMIFS(Compta!$F$1:$F$675,Compta!$A$1:$A$675,$A1217,Compta!$B$1:$B$675,$B1217,Compta!$C$1:$C$675,"2026"),0))</f>
        <v/>
      </c>
      <c r="G1217" t="str">
        <f t="shared" si="199"/>
        <v/>
      </c>
      <c r="H1217" t="str">
        <f t="shared" si="200"/>
        <v/>
      </c>
      <c r="I1217" t="str">
        <f t="shared" si="201"/>
        <v/>
      </c>
      <c r="J1217" t="str">
        <f t="shared" si="202"/>
        <v/>
      </c>
      <c r="K1217" t="str">
        <f t="shared" si="203"/>
        <v/>
      </c>
      <c r="L1217" t="str">
        <f t="shared" si="204"/>
        <v/>
      </c>
      <c r="M1217" t="str">
        <f t="shared" si="205"/>
        <v/>
      </c>
      <c r="N1217" t="str">
        <f t="shared" si="206"/>
        <v/>
      </c>
      <c r="O1217" t="str">
        <f t="shared" si="207"/>
        <v/>
      </c>
      <c r="P1217" t="str">
        <f>IF($A1217="","",IF($E1217=1,$F1217*$O1217,PNL!G1217))</f>
        <v/>
      </c>
      <c r="T1217" t="str">
        <f t="shared" si="208"/>
        <v/>
      </c>
    </row>
    <row r="1218" spans="1:20" x14ac:dyDescent="0.45">
      <c r="A1218" t="str">
        <f>IF(PNL!A1218="","",PNL!A1218)</f>
        <v/>
      </c>
      <c r="B1218" t="str">
        <f>IF(PNL!B1218="","",PNL!B1218)</f>
        <v/>
      </c>
      <c r="C1218" t="str">
        <f>IF(PNL!C1218="","",PNL!C1218)</f>
        <v/>
      </c>
      <c r="D1218" t="str">
        <f>IF(PNL!D1218="","",PNL!D1218)</f>
        <v/>
      </c>
      <c r="E1218" t="str">
        <f t="shared" ref="E1218:E1281" si="209">IF($A1218="","",IF(AND($C1218="2027",OR($D1218="V01",$D1218="V02",$D1218="V03")),1,0))</f>
        <v/>
      </c>
      <c r="F1218" t="str">
        <f>IF($A1218="","",IF($E1218=1,SUMIFS(Compta!$F$1:$F$675,Compta!$A$1:$A$675,$A1218,Compta!$B$1:$B$675,$B1218,Compta!$C$1:$C$675,"2026"),0))</f>
        <v/>
      </c>
      <c r="G1218" t="str">
        <f t="shared" ref="G1218:G1281" si="210">IF($A1218="","",IF($D1218="V01",cad!$C$23,IF($D1218="V02",cad!$D$23,cad!$E$23)))</f>
        <v/>
      </c>
      <c r="H1218" t="str">
        <f t="shared" ref="H1218:H1281" si="211">IF($A1218="","",IF($D1218="V01",cad!$C$24,IF($D1218="V02",cad!$D$24,cad!$E$24)))</f>
        <v/>
      </c>
      <c r="I1218" t="str">
        <f t="shared" ref="I1218:I1281" si="212">IF($A1218="","",IF($D1218="V01",cad!$C$32,IF($D1218="V02",cad!$D$32,cad!$E$32)))</f>
        <v/>
      </c>
      <c r="J1218" t="str">
        <f t="shared" ref="J1218:J1281" si="213">IF($A1218="","",IF($D1218="V01",cad!$C$33,IF($D1218="V02",cad!$D$33,cad!$E$33)))</f>
        <v/>
      </c>
      <c r="K1218" t="str">
        <f t="shared" ref="K1218:K1281" si="214">IF($A1218="","",IF($D1218="V01",cad!$C$34,IF($D1218="V02",cad!$D$34,cad!$E$34)))</f>
        <v/>
      </c>
      <c r="L1218" t="str">
        <f t="shared" ref="L1218:L1281" si="215">IF($A1218="","",IF($D1218="V01",cad!$C$35,IF($D1218="V02",cad!$D$35,cad!$E$35)))</f>
        <v/>
      </c>
      <c r="M1218" t="str">
        <f t="shared" ref="M1218:M1281" si="216">IF($A1218="","",IF($D1218="V01",cad!$C$36,IF($D1218="V02",cad!$D$36,cad!$E$36)))</f>
        <v/>
      </c>
      <c r="N1218" t="str">
        <f t="shared" ref="N1218:N1281" si="217">IF($A1218="","",IF($D1218="V01",$R$2,IF($D1218="V02",$R$3,$R$4)))</f>
        <v/>
      </c>
      <c r="O1218" t="str">
        <f t="shared" ref="O1218:O1281" si="218">IF($A1218="","",IF(OR($B1218="7062",$B1218="706",$B1218="708"),$N1218,IF($B1218="6231",1+$G1218,IF($B1218="6236",1+$H1218,IF(OR($B1218="621",$B1218="604",$B1218="6063"),$N1218*(1-$L1218),IF(OR($B1218="6411",$B1218="6413",$B1218="6414",$B1218="645"),(1+$J1218)*(1+$K1218),IF(OR($B1218="613",$B1218="615",$B1218="616",$B1218="6226",$B1218="625",$B1218="626",$B1218="6281"),(1+$I1218)*(1-$L1218)*(1+$M1218),IF(OR($B1218="6331",$B1218="63511",$B1218="6333"),(1+$I1218)*(1-$L1218),IF($B1218="6811",1+$I1218,1)))))))))</f>
        <v/>
      </c>
      <c r="P1218" t="str">
        <f>IF($A1218="","",IF($E1218=1,$F1218*$O1218,PNL!G1218))</f>
        <v/>
      </c>
      <c r="T1218" t="str">
        <f t="shared" ref="T1218:T1281" si="219">IF($A1218="","",IF($E1218=1,IF(OR($B1218="7062",$B1218="706",$B1218="708"),$P1218,IF(AND(LEFT($B1218,1)="6",$B1218&lt;&gt;"6811"),-$P1218,0)),0))</f>
        <v/>
      </c>
    </row>
    <row r="1219" spans="1:20" x14ac:dyDescent="0.45">
      <c r="A1219" t="str">
        <f>IF(PNL!A1219="","",PNL!A1219)</f>
        <v/>
      </c>
      <c r="B1219" t="str">
        <f>IF(PNL!B1219="","",PNL!B1219)</f>
        <v/>
      </c>
      <c r="C1219" t="str">
        <f>IF(PNL!C1219="","",PNL!C1219)</f>
        <v/>
      </c>
      <c r="D1219" t="str">
        <f>IF(PNL!D1219="","",PNL!D1219)</f>
        <v/>
      </c>
      <c r="E1219" t="str">
        <f t="shared" si="209"/>
        <v/>
      </c>
      <c r="F1219" t="str">
        <f>IF($A1219="","",IF($E1219=1,SUMIFS(Compta!$F$1:$F$675,Compta!$A$1:$A$675,$A1219,Compta!$B$1:$B$675,$B1219,Compta!$C$1:$C$675,"2026"),0))</f>
        <v/>
      </c>
      <c r="G1219" t="str">
        <f t="shared" si="210"/>
        <v/>
      </c>
      <c r="H1219" t="str">
        <f t="shared" si="211"/>
        <v/>
      </c>
      <c r="I1219" t="str">
        <f t="shared" si="212"/>
        <v/>
      </c>
      <c r="J1219" t="str">
        <f t="shared" si="213"/>
        <v/>
      </c>
      <c r="K1219" t="str">
        <f t="shared" si="214"/>
        <v/>
      </c>
      <c r="L1219" t="str">
        <f t="shared" si="215"/>
        <v/>
      </c>
      <c r="M1219" t="str">
        <f t="shared" si="216"/>
        <v/>
      </c>
      <c r="N1219" t="str">
        <f t="shared" si="217"/>
        <v/>
      </c>
      <c r="O1219" t="str">
        <f t="shared" si="218"/>
        <v/>
      </c>
      <c r="P1219" t="str">
        <f>IF($A1219="","",IF($E1219=1,$F1219*$O1219,PNL!G1219))</f>
        <v/>
      </c>
      <c r="T1219" t="str">
        <f t="shared" si="219"/>
        <v/>
      </c>
    </row>
    <row r="1220" spans="1:20" x14ac:dyDescent="0.45">
      <c r="A1220" t="str">
        <f>IF(PNL!A1220="","",PNL!A1220)</f>
        <v/>
      </c>
      <c r="B1220" t="str">
        <f>IF(PNL!B1220="","",PNL!B1220)</f>
        <v/>
      </c>
      <c r="C1220" t="str">
        <f>IF(PNL!C1220="","",PNL!C1220)</f>
        <v/>
      </c>
      <c r="D1220" t="str">
        <f>IF(PNL!D1220="","",PNL!D1220)</f>
        <v/>
      </c>
      <c r="E1220" t="str">
        <f t="shared" si="209"/>
        <v/>
      </c>
      <c r="F1220" t="str">
        <f>IF($A1220="","",IF($E1220=1,SUMIFS(Compta!$F$1:$F$675,Compta!$A$1:$A$675,$A1220,Compta!$B$1:$B$675,$B1220,Compta!$C$1:$C$675,"2026"),0))</f>
        <v/>
      </c>
      <c r="G1220" t="str">
        <f t="shared" si="210"/>
        <v/>
      </c>
      <c r="H1220" t="str">
        <f t="shared" si="211"/>
        <v/>
      </c>
      <c r="I1220" t="str">
        <f t="shared" si="212"/>
        <v/>
      </c>
      <c r="J1220" t="str">
        <f t="shared" si="213"/>
        <v/>
      </c>
      <c r="K1220" t="str">
        <f t="shared" si="214"/>
        <v/>
      </c>
      <c r="L1220" t="str">
        <f t="shared" si="215"/>
        <v/>
      </c>
      <c r="M1220" t="str">
        <f t="shared" si="216"/>
        <v/>
      </c>
      <c r="N1220" t="str">
        <f t="shared" si="217"/>
        <v/>
      </c>
      <c r="O1220" t="str">
        <f t="shared" si="218"/>
        <v/>
      </c>
      <c r="P1220" t="str">
        <f>IF($A1220="","",IF($E1220=1,$F1220*$O1220,PNL!G1220))</f>
        <v/>
      </c>
      <c r="T1220" t="str">
        <f t="shared" si="219"/>
        <v/>
      </c>
    </row>
    <row r="1221" spans="1:20" x14ac:dyDescent="0.45">
      <c r="A1221" t="str">
        <f>IF(PNL!A1221="","",PNL!A1221)</f>
        <v/>
      </c>
      <c r="B1221" t="str">
        <f>IF(PNL!B1221="","",PNL!B1221)</f>
        <v/>
      </c>
      <c r="C1221" t="str">
        <f>IF(PNL!C1221="","",PNL!C1221)</f>
        <v/>
      </c>
      <c r="D1221" t="str">
        <f>IF(PNL!D1221="","",PNL!D1221)</f>
        <v/>
      </c>
      <c r="E1221" t="str">
        <f t="shared" si="209"/>
        <v/>
      </c>
      <c r="F1221" t="str">
        <f>IF($A1221="","",IF($E1221=1,SUMIFS(Compta!$F$1:$F$675,Compta!$A$1:$A$675,$A1221,Compta!$B$1:$B$675,$B1221,Compta!$C$1:$C$675,"2026"),0))</f>
        <v/>
      </c>
      <c r="G1221" t="str">
        <f t="shared" si="210"/>
        <v/>
      </c>
      <c r="H1221" t="str">
        <f t="shared" si="211"/>
        <v/>
      </c>
      <c r="I1221" t="str">
        <f t="shared" si="212"/>
        <v/>
      </c>
      <c r="J1221" t="str">
        <f t="shared" si="213"/>
        <v/>
      </c>
      <c r="K1221" t="str">
        <f t="shared" si="214"/>
        <v/>
      </c>
      <c r="L1221" t="str">
        <f t="shared" si="215"/>
        <v/>
      </c>
      <c r="M1221" t="str">
        <f t="shared" si="216"/>
        <v/>
      </c>
      <c r="N1221" t="str">
        <f t="shared" si="217"/>
        <v/>
      </c>
      <c r="O1221" t="str">
        <f t="shared" si="218"/>
        <v/>
      </c>
      <c r="P1221" t="str">
        <f>IF($A1221="","",IF($E1221=1,$F1221*$O1221,PNL!G1221))</f>
        <v/>
      </c>
      <c r="T1221" t="str">
        <f t="shared" si="219"/>
        <v/>
      </c>
    </row>
    <row r="1222" spans="1:20" x14ac:dyDescent="0.45">
      <c r="A1222" t="str">
        <f>IF(PNL!A1222="","",PNL!A1222)</f>
        <v/>
      </c>
      <c r="B1222" t="str">
        <f>IF(PNL!B1222="","",PNL!B1222)</f>
        <v/>
      </c>
      <c r="C1222" t="str">
        <f>IF(PNL!C1222="","",PNL!C1222)</f>
        <v/>
      </c>
      <c r="D1222" t="str">
        <f>IF(PNL!D1222="","",PNL!D1222)</f>
        <v/>
      </c>
      <c r="E1222" t="str">
        <f t="shared" si="209"/>
        <v/>
      </c>
      <c r="F1222" t="str">
        <f>IF($A1222="","",IF($E1222=1,SUMIFS(Compta!$F$1:$F$675,Compta!$A$1:$A$675,$A1222,Compta!$B$1:$B$675,$B1222,Compta!$C$1:$C$675,"2026"),0))</f>
        <v/>
      </c>
      <c r="G1222" t="str">
        <f t="shared" si="210"/>
        <v/>
      </c>
      <c r="H1222" t="str">
        <f t="shared" si="211"/>
        <v/>
      </c>
      <c r="I1222" t="str">
        <f t="shared" si="212"/>
        <v/>
      </c>
      <c r="J1222" t="str">
        <f t="shared" si="213"/>
        <v/>
      </c>
      <c r="K1222" t="str">
        <f t="shared" si="214"/>
        <v/>
      </c>
      <c r="L1222" t="str">
        <f t="shared" si="215"/>
        <v/>
      </c>
      <c r="M1222" t="str">
        <f t="shared" si="216"/>
        <v/>
      </c>
      <c r="N1222" t="str">
        <f t="shared" si="217"/>
        <v/>
      </c>
      <c r="O1222" t="str">
        <f t="shared" si="218"/>
        <v/>
      </c>
      <c r="P1222" t="str">
        <f>IF($A1222="","",IF($E1222=1,$F1222*$O1222,PNL!G1222))</f>
        <v/>
      </c>
      <c r="T1222" t="str">
        <f t="shared" si="219"/>
        <v/>
      </c>
    </row>
    <row r="1223" spans="1:20" x14ac:dyDescent="0.45">
      <c r="A1223" t="str">
        <f>IF(PNL!A1223="","",PNL!A1223)</f>
        <v/>
      </c>
      <c r="B1223" t="str">
        <f>IF(PNL!B1223="","",PNL!B1223)</f>
        <v/>
      </c>
      <c r="C1223" t="str">
        <f>IF(PNL!C1223="","",PNL!C1223)</f>
        <v/>
      </c>
      <c r="D1223" t="str">
        <f>IF(PNL!D1223="","",PNL!D1223)</f>
        <v/>
      </c>
      <c r="E1223" t="str">
        <f t="shared" si="209"/>
        <v/>
      </c>
      <c r="F1223" t="str">
        <f>IF($A1223="","",IF($E1223=1,SUMIFS(Compta!$F$1:$F$675,Compta!$A$1:$A$675,$A1223,Compta!$B$1:$B$675,$B1223,Compta!$C$1:$C$675,"2026"),0))</f>
        <v/>
      </c>
      <c r="G1223" t="str">
        <f t="shared" si="210"/>
        <v/>
      </c>
      <c r="H1223" t="str">
        <f t="shared" si="211"/>
        <v/>
      </c>
      <c r="I1223" t="str">
        <f t="shared" si="212"/>
        <v/>
      </c>
      <c r="J1223" t="str">
        <f t="shared" si="213"/>
        <v/>
      </c>
      <c r="K1223" t="str">
        <f t="shared" si="214"/>
        <v/>
      </c>
      <c r="L1223" t="str">
        <f t="shared" si="215"/>
        <v/>
      </c>
      <c r="M1223" t="str">
        <f t="shared" si="216"/>
        <v/>
      </c>
      <c r="N1223" t="str">
        <f t="shared" si="217"/>
        <v/>
      </c>
      <c r="O1223" t="str">
        <f t="shared" si="218"/>
        <v/>
      </c>
      <c r="P1223" t="str">
        <f>IF($A1223="","",IF($E1223=1,$F1223*$O1223,PNL!G1223))</f>
        <v/>
      </c>
      <c r="T1223" t="str">
        <f t="shared" si="219"/>
        <v/>
      </c>
    </row>
    <row r="1224" spans="1:20" x14ac:dyDescent="0.45">
      <c r="A1224" t="str">
        <f>IF(PNL!A1224="","",PNL!A1224)</f>
        <v/>
      </c>
      <c r="B1224" t="str">
        <f>IF(PNL!B1224="","",PNL!B1224)</f>
        <v/>
      </c>
      <c r="C1224" t="str">
        <f>IF(PNL!C1224="","",PNL!C1224)</f>
        <v/>
      </c>
      <c r="D1224" t="str">
        <f>IF(PNL!D1224="","",PNL!D1224)</f>
        <v/>
      </c>
      <c r="E1224" t="str">
        <f t="shared" si="209"/>
        <v/>
      </c>
      <c r="F1224" t="str">
        <f>IF($A1224="","",IF($E1224=1,SUMIFS(Compta!$F$1:$F$675,Compta!$A$1:$A$675,$A1224,Compta!$B$1:$B$675,$B1224,Compta!$C$1:$C$675,"2026"),0))</f>
        <v/>
      </c>
      <c r="G1224" t="str">
        <f t="shared" si="210"/>
        <v/>
      </c>
      <c r="H1224" t="str">
        <f t="shared" si="211"/>
        <v/>
      </c>
      <c r="I1224" t="str">
        <f t="shared" si="212"/>
        <v/>
      </c>
      <c r="J1224" t="str">
        <f t="shared" si="213"/>
        <v/>
      </c>
      <c r="K1224" t="str">
        <f t="shared" si="214"/>
        <v/>
      </c>
      <c r="L1224" t="str">
        <f t="shared" si="215"/>
        <v/>
      </c>
      <c r="M1224" t="str">
        <f t="shared" si="216"/>
        <v/>
      </c>
      <c r="N1224" t="str">
        <f t="shared" si="217"/>
        <v/>
      </c>
      <c r="O1224" t="str">
        <f t="shared" si="218"/>
        <v/>
      </c>
      <c r="P1224" t="str">
        <f>IF($A1224="","",IF($E1224=1,$F1224*$O1224,PNL!G1224))</f>
        <v/>
      </c>
      <c r="T1224" t="str">
        <f t="shared" si="219"/>
        <v/>
      </c>
    </row>
    <row r="1225" spans="1:20" x14ac:dyDescent="0.45">
      <c r="A1225" t="str">
        <f>IF(PNL!A1225="","",PNL!A1225)</f>
        <v/>
      </c>
      <c r="B1225" t="str">
        <f>IF(PNL!B1225="","",PNL!B1225)</f>
        <v/>
      </c>
      <c r="C1225" t="str">
        <f>IF(PNL!C1225="","",PNL!C1225)</f>
        <v/>
      </c>
      <c r="D1225" t="str">
        <f>IF(PNL!D1225="","",PNL!D1225)</f>
        <v/>
      </c>
      <c r="E1225" t="str">
        <f t="shared" si="209"/>
        <v/>
      </c>
      <c r="F1225" t="str">
        <f>IF($A1225="","",IF($E1225=1,SUMIFS(Compta!$F$1:$F$675,Compta!$A$1:$A$675,$A1225,Compta!$B$1:$B$675,$B1225,Compta!$C$1:$C$675,"2026"),0))</f>
        <v/>
      </c>
      <c r="G1225" t="str">
        <f t="shared" si="210"/>
        <v/>
      </c>
      <c r="H1225" t="str">
        <f t="shared" si="211"/>
        <v/>
      </c>
      <c r="I1225" t="str">
        <f t="shared" si="212"/>
        <v/>
      </c>
      <c r="J1225" t="str">
        <f t="shared" si="213"/>
        <v/>
      </c>
      <c r="K1225" t="str">
        <f t="shared" si="214"/>
        <v/>
      </c>
      <c r="L1225" t="str">
        <f t="shared" si="215"/>
        <v/>
      </c>
      <c r="M1225" t="str">
        <f t="shared" si="216"/>
        <v/>
      </c>
      <c r="N1225" t="str">
        <f t="shared" si="217"/>
        <v/>
      </c>
      <c r="O1225" t="str">
        <f t="shared" si="218"/>
        <v/>
      </c>
      <c r="P1225" t="str">
        <f>IF($A1225="","",IF($E1225=1,$F1225*$O1225,PNL!G1225))</f>
        <v/>
      </c>
      <c r="T1225" t="str">
        <f t="shared" si="219"/>
        <v/>
      </c>
    </row>
    <row r="1226" spans="1:20" x14ac:dyDescent="0.45">
      <c r="A1226" t="str">
        <f>IF(PNL!A1226="","",PNL!A1226)</f>
        <v/>
      </c>
      <c r="B1226" t="str">
        <f>IF(PNL!B1226="","",PNL!B1226)</f>
        <v/>
      </c>
      <c r="C1226" t="str">
        <f>IF(PNL!C1226="","",PNL!C1226)</f>
        <v/>
      </c>
      <c r="D1226" t="str">
        <f>IF(PNL!D1226="","",PNL!D1226)</f>
        <v/>
      </c>
      <c r="E1226" t="str">
        <f t="shared" si="209"/>
        <v/>
      </c>
      <c r="F1226" t="str">
        <f>IF($A1226="","",IF($E1226=1,SUMIFS(Compta!$F$1:$F$675,Compta!$A$1:$A$675,$A1226,Compta!$B$1:$B$675,$B1226,Compta!$C$1:$C$675,"2026"),0))</f>
        <v/>
      </c>
      <c r="G1226" t="str">
        <f t="shared" si="210"/>
        <v/>
      </c>
      <c r="H1226" t="str">
        <f t="shared" si="211"/>
        <v/>
      </c>
      <c r="I1226" t="str">
        <f t="shared" si="212"/>
        <v/>
      </c>
      <c r="J1226" t="str">
        <f t="shared" si="213"/>
        <v/>
      </c>
      <c r="K1226" t="str">
        <f t="shared" si="214"/>
        <v/>
      </c>
      <c r="L1226" t="str">
        <f t="shared" si="215"/>
        <v/>
      </c>
      <c r="M1226" t="str">
        <f t="shared" si="216"/>
        <v/>
      </c>
      <c r="N1226" t="str">
        <f t="shared" si="217"/>
        <v/>
      </c>
      <c r="O1226" t="str">
        <f t="shared" si="218"/>
        <v/>
      </c>
      <c r="P1226" t="str">
        <f>IF($A1226="","",IF($E1226=1,$F1226*$O1226,PNL!G1226))</f>
        <v/>
      </c>
      <c r="T1226" t="str">
        <f t="shared" si="219"/>
        <v/>
      </c>
    </row>
    <row r="1227" spans="1:20" x14ac:dyDescent="0.45">
      <c r="A1227" t="str">
        <f>IF(PNL!A1227="","",PNL!A1227)</f>
        <v/>
      </c>
      <c r="B1227" t="str">
        <f>IF(PNL!B1227="","",PNL!B1227)</f>
        <v/>
      </c>
      <c r="C1227" t="str">
        <f>IF(PNL!C1227="","",PNL!C1227)</f>
        <v/>
      </c>
      <c r="D1227" t="str">
        <f>IF(PNL!D1227="","",PNL!D1227)</f>
        <v/>
      </c>
      <c r="E1227" t="str">
        <f t="shared" si="209"/>
        <v/>
      </c>
      <c r="F1227" t="str">
        <f>IF($A1227="","",IF($E1227=1,SUMIFS(Compta!$F$1:$F$675,Compta!$A$1:$A$675,$A1227,Compta!$B$1:$B$675,$B1227,Compta!$C$1:$C$675,"2026"),0))</f>
        <v/>
      </c>
      <c r="G1227" t="str">
        <f t="shared" si="210"/>
        <v/>
      </c>
      <c r="H1227" t="str">
        <f t="shared" si="211"/>
        <v/>
      </c>
      <c r="I1227" t="str">
        <f t="shared" si="212"/>
        <v/>
      </c>
      <c r="J1227" t="str">
        <f t="shared" si="213"/>
        <v/>
      </c>
      <c r="K1227" t="str">
        <f t="shared" si="214"/>
        <v/>
      </c>
      <c r="L1227" t="str">
        <f t="shared" si="215"/>
        <v/>
      </c>
      <c r="M1227" t="str">
        <f t="shared" si="216"/>
        <v/>
      </c>
      <c r="N1227" t="str">
        <f t="shared" si="217"/>
        <v/>
      </c>
      <c r="O1227" t="str">
        <f t="shared" si="218"/>
        <v/>
      </c>
      <c r="P1227" t="str">
        <f>IF($A1227="","",IF($E1227=1,$F1227*$O1227,PNL!G1227))</f>
        <v/>
      </c>
      <c r="T1227" t="str">
        <f t="shared" si="219"/>
        <v/>
      </c>
    </row>
    <row r="1228" spans="1:20" x14ac:dyDescent="0.45">
      <c r="A1228" t="str">
        <f>IF(PNL!A1228="","",PNL!A1228)</f>
        <v/>
      </c>
      <c r="B1228" t="str">
        <f>IF(PNL!B1228="","",PNL!B1228)</f>
        <v/>
      </c>
      <c r="C1228" t="str">
        <f>IF(PNL!C1228="","",PNL!C1228)</f>
        <v/>
      </c>
      <c r="D1228" t="str">
        <f>IF(PNL!D1228="","",PNL!D1228)</f>
        <v/>
      </c>
      <c r="E1228" t="str">
        <f t="shared" si="209"/>
        <v/>
      </c>
      <c r="F1228" t="str">
        <f>IF($A1228="","",IF($E1228=1,SUMIFS(Compta!$F$1:$F$675,Compta!$A$1:$A$675,$A1228,Compta!$B$1:$B$675,$B1228,Compta!$C$1:$C$675,"2026"),0))</f>
        <v/>
      </c>
      <c r="G1228" t="str">
        <f t="shared" si="210"/>
        <v/>
      </c>
      <c r="H1228" t="str">
        <f t="shared" si="211"/>
        <v/>
      </c>
      <c r="I1228" t="str">
        <f t="shared" si="212"/>
        <v/>
      </c>
      <c r="J1228" t="str">
        <f t="shared" si="213"/>
        <v/>
      </c>
      <c r="K1228" t="str">
        <f t="shared" si="214"/>
        <v/>
      </c>
      <c r="L1228" t="str">
        <f t="shared" si="215"/>
        <v/>
      </c>
      <c r="M1228" t="str">
        <f t="shared" si="216"/>
        <v/>
      </c>
      <c r="N1228" t="str">
        <f t="shared" si="217"/>
        <v/>
      </c>
      <c r="O1228" t="str">
        <f t="shared" si="218"/>
        <v/>
      </c>
      <c r="P1228" t="str">
        <f>IF($A1228="","",IF($E1228=1,$F1228*$O1228,PNL!G1228))</f>
        <v/>
      </c>
      <c r="T1228" t="str">
        <f t="shared" si="219"/>
        <v/>
      </c>
    </row>
    <row r="1229" spans="1:20" x14ac:dyDescent="0.45">
      <c r="A1229" t="str">
        <f>IF(PNL!A1229="","",PNL!A1229)</f>
        <v/>
      </c>
      <c r="B1229" t="str">
        <f>IF(PNL!B1229="","",PNL!B1229)</f>
        <v/>
      </c>
      <c r="C1229" t="str">
        <f>IF(PNL!C1229="","",PNL!C1229)</f>
        <v/>
      </c>
      <c r="D1229" t="str">
        <f>IF(PNL!D1229="","",PNL!D1229)</f>
        <v/>
      </c>
      <c r="E1229" t="str">
        <f t="shared" si="209"/>
        <v/>
      </c>
      <c r="F1229" t="str">
        <f>IF($A1229="","",IF($E1229=1,SUMIFS(Compta!$F$1:$F$675,Compta!$A$1:$A$675,$A1229,Compta!$B$1:$B$675,$B1229,Compta!$C$1:$C$675,"2026"),0))</f>
        <v/>
      </c>
      <c r="G1229" t="str">
        <f t="shared" si="210"/>
        <v/>
      </c>
      <c r="H1229" t="str">
        <f t="shared" si="211"/>
        <v/>
      </c>
      <c r="I1229" t="str">
        <f t="shared" si="212"/>
        <v/>
      </c>
      <c r="J1229" t="str">
        <f t="shared" si="213"/>
        <v/>
      </c>
      <c r="K1229" t="str">
        <f t="shared" si="214"/>
        <v/>
      </c>
      <c r="L1229" t="str">
        <f t="shared" si="215"/>
        <v/>
      </c>
      <c r="M1229" t="str">
        <f t="shared" si="216"/>
        <v/>
      </c>
      <c r="N1229" t="str">
        <f t="shared" si="217"/>
        <v/>
      </c>
      <c r="O1229" t="str">
        <f t="shared" si="218"/>
        <v/>
      </c>
      <c r="P1229" t="str">
        <f>IF($A1229="","",IF($E1229=1,$F1229*$O1229,PNL!G1229))</f>
        <v/>
      </c>
      <c r="T1229" t="str">
        <f t="shared" si="219"/>
        <v/>
      </c>
    </row>
    <row r="1230" spans="1:20" x14ac:dyDescent="0.45">
      <c r="A1230" t="str">
        <f>IF(PNL!A1230="","",PNL!A1230)</f>
        <v/>
      </c>
      <c r="B1230" t="str">
        <f>IF(PNL!B1230="","",PNL!B1230)</f>
        <v/>
      </c>
      <c r="C1230" t="str">
        <f>IF(PNL!C1230="","",PNL!C1230)</f>
        <v/>
      </c>
      <c r="D1230" t="str">
        <f>IF(PNL!D1230="","",PNL!D1230)</f>
        <v/>
      </c>
      <c r="E1230" t="str">
        <f t="shared" si="209"/>
        <v/>
      </c>
      <c r="F1230" t="str">
        <f>IF($A1230="","",IF($E1230=1,SUMIFS(Compta!$F$1:$F$675,Compta!$A$1:$A$675,$A1230,Compta!$B$1:$B$675,$B1230,Compta!$C$1:$C$675,"2026"),0))</f>
        <v/>
      </c>
      <c r="G1230" t="str">
        <f t="shared" si="210"/>
        <v/>
      </c>
      <c r="H1230" t="str">
        <f t="shared" si="211"/>
        <v/>
      </c>
      <c r="I1230" t="str">
        <f t="shared" si="212"/>
        <v/>
      </c>
      <c r="J1230" t="str">
        <f t="shared" si="213"/>
        <v/>
      </c>
      <c r="K1230" t="str">
        <f t="shared" si="214"/>
        <v/>
      </c>
      <c r="L1230" t="str">
        <f t="shared" si="215"/>
        <v/>
      </c>
      <c r="M1230" t="str">
        <f t="shared" si="216"/>
        <v/>
      </c>
      <c r="N1230" t="str">
        <f t="shared" si="217"/>
        <v/>
      </c>
      <c r="O1230" t="str">
        <f t="shared" si="218"/>
        <v/>
      </c>
      <c r="P1230" t="str">
        <f>IF($A1230="","",IF($E1230=1,$F1230*$O1230,PNL!G1230))</f>
        <v/>
      </c>
      <c r="T1230" t="str">
        <f t="shared" si="219"/>
        <v/>
      </c>
    </row>
    <row r="1231" spans="1:20" x14ac:dyDescent="0.45">
      <c r="A1231" t="str">
        <f>IF(PNL!A1231="","",PNL!A1231)</f>
        <v/>
      </c>
      <c r="B1231" t="str">
        <f>IF(PNL!B1231="","",PNL!B1231)</f>
        <v/>
      </c>
      <c r="C1231" t="str">
        <f>IF(PNL!C1231="","",PNL!C1231)</f>
        <v/>
      </c>
      <c r="D1231" t="str">
        <f>IF(PNL!D1231="","",PNL!D1231)</f>
        <v/>
      </c>
      <c r="E1231" t="str">
        <f t="shared" si="209"/>
        <v/>
      </c>
      <c r="F1231" t="str">
        <f>IF($A1231="","",IF($E1231=1,SUMIFS(Compta!$F$1:$F$675,Compta!$A$1:$A$675,$A1231,Compta!$B$1:$B$675,$B1231,Compta!$C$1:$C$675,"2026"),0))</f>
        <v/>
      </c>
      <c r="G1231" t="str">
        <f t="shared" si="210"/>
        <v/>
      </c>
      <c r="H1231" t="str">
        <f t="shared" si="211"/>
        <v/>
      </c>
      <c r="I1231" t="str">
        <f t="shared" si="212"/>
        <v/>
      </c>
      <c r="J1231" t="str">
        <f t="shared" si="213"/>
        <v/>
      </c>
      <c r="K1231" t="str">
        <f t="shared" si="214"/>
        <v/>
      </c>
      <c r="L1231" t="str">
        <f t="shared" si="215"/>
        <v/>
      </c>
      <c r="M1231" t="str">
        <f t="shared" si="216"/>
        <v/>
      </c>
      <c r="N1231" t="str">
        <f t="shared" si="217"/>
        <v/>
      </c>
      <c r="O1231" t="str">
        <f t="shared" si="218"/>
        <v/>
      </c>
      <c r="P1231" t="str">
        <f>IF($A1231="","",IF($E1231=1,$F1231*$O1231,PNL!G1231))</f>
        <v/>
      </c>
      <c r="T1231" t="str">
        <f t="shared" si="219"/>
        <v/>
      </c>
    </row>
    <row r="1232" spans="1:20" x14ac:dyDescent="0.45">
      <c r="A1232" t="str">
        <f>IF(PNL!A1232="","",PNL!A1232)</f>
        <v/>
      </c>
      <c r="B1232" t="str">
        <f>IF(PNL!B1232="","",PNL!B1232)</f>
        <v/>
      </c>
      <c r="C1232" t="str">
        <f>IF(PNL!C1232="","",PNL!C1232)</f>
        <v/>
      </c>
      <c r="D1232" t="str">
        <f>IF(PNL!D1232="","",PNL!D1232)</f>
        <v/>
      </c>
      <c r="E1232" t="str">
        <f t="shared" si="209"/>
        <v/>
      </c>
      <c r="F1232" t="str">
        <f>IF($A1232="","",IF($E1232=1,SUMIFS(Compta!$F$1:$F$675,Compta!$A$1:$A$675,$A1232,Compta!$B$1:$B$675,$B1232,Compta!$C$1:$C$675,"2026"),0))</f>
        <v/>
      </c>
      <c r="G1232" t="str">
        <f t="shared" si="210"/>
        <v/>
      </c>
      <c r="H1232" t="str">
        <f t="shared" si="211"/>
        <v/>
      </c>
      <c r="I1232" t="str">
        <f t="shared" si="212"/>
        <v/>
      </c>
      <c r="J1232" t="str">
        <f t="shared" si="213"/>
        <v/>
      </c>
      <c r="K1232" t="str">
        <f t="shared" si="214"/>
        <v/>
      </c>
      <c r="L1232" t="str">
        <f t="shared" si="215"/>
        <v/>
      </c>
      <c r="M1232" t="str">
        <f t="shared" si="216"/>
        <v/>
      </c>
      <c r="N1232" t="str">
        <f t="shared" si="217"/>
        <v/>
      </c>
      <c r="O1232" t="str">
        <f t="shared" si="218"/>
        <v/>
      </c>
      <c r="P1232" t="str">
        <f>IF($A1232="","",IF($E1232=1,$F1232*$O1232,PNL!G1232))</f>
        <v/>
      </c>
      <c r="T1232" t="str">
        <f t="shared" si="219"/>
        <v/>
      </c>
    </row>
    <row r="1233" spans="1:20" x14ac:dyDescent="0.45">
      <c r="A1233" t="str">
        <f>IF(PNL!A1233="","",PNL!A1233)</f>
        <v/>
      </c>
      <c r="B1233" t="str">
        <f>IF(PNL!B1233="","",PNL!B1233)</f>
        <v/>
      </c>
      <c r="C1233" t="str">
        <f>IF(PNL!C1233="","",PNL!C1233)</f>
        <v/>
      </c>
      <c r="D1233" t="str">
        <f>IF(PNL!D1233="","",PNL!D1233)</f>
        <v/>
      </c>
      <c r="E1233" t="str">
        <f t="shared" si="209"/>
        <v/>
      </c>
      <c r="F1233" t="str">
        <f>IF($A1233="","",IF($E1233=1,SUMIFS(Compta!$F$1:$F$675,Compta!$A$1:$A$675,$A1233,Compta!$B$1:$B$675,$B1233,Compta!$C$1:$C$675,"2026"),0))</f>
        <v/>
      </c>
      <c r="G1233" t="str">
        <f t="shared" si="210"/>
        <v/>
      </c>
      <c r="H1233" t="str">
        <f t="shared" si="211"/>
        <v/>
      </c>
      <c r="I1233" t="str">
        <f t="shared" si="212"/>
        <v/>
      </c>
      <c r="J1233" t="str">
        <f t="shared" si="213"/>
        <v/>
      </c>
      <c r="K1233" t="str">
        <f t="shared" si="214"/>
        <v/>
      </c>
      <c r="L1233" t="str">
        <f t="shared" si="215"/>
        <v/>
      </c>
      <c r="M1233" t="str">
        <f t="shared" si="216"/>
        <v/>
      </c>
      <c r="N1233" t="str">
        <f t="shared" si="217"/>
        <v/>
      </c>
      <c r="O1233" t="str">
        <f t="shared" si="218"/>
        <v/>
      </c>
      <c r="P1233" t="str">
        <f>IF($A1233="","",IF($E1233=1,$F1233*$O1233,PNL!G1233))</f>
        <v/>
      </c>
      <c r="T1233" t="str">
        <f t="shared" si="219"/>
        <v/>
      </c>
    </row>
    <row r="1234" spans="1:20" x14ac:dyDescent="0.45">
      <c r="A1234" t="str">
        <f>IF(PNL!A1234="","",PNL!A1234)</f>
        <v/>
      </c>
      <c r="B1234" t="str">
        <f>IF(PNL!B1234="","",PNL!B1234)</f>
        <v/>
      </c>
      <c r="C1234" t="str">
        <f>IF(PNL!C1234="","",PNL!C1234)</f>
        <v/>
      </c>
      <c r="D1234" t="str">
        <f>IF(PNL!D1234="","",PNL!D1234)</f>
        <v/>
      </c>
      <c r="E1234" t="str">
        <f t="shared" si="209"/>
        <v/>
      </c>
      <c r="F1234" t="str">
        <f>IF($A1234="","",IF($E1234=1,SUMIFS(Compta!$F$1:$F$675,Compta!$A$1:$A$675,$A1234,Compta!$B$1:$B$675,$B1234,Compta!$C$1:$C$675,"2026"),0))</f>
        <v/>
      </c>
      <c r="G1234" t="str">
        <f t="shared" si="210"/>
        <v/>
      </c>
      <c r="H1234" t="str">
        <f t="shared" si="211"/>
        <v/>
      </c>
      <c r="I1234" t="str">
        <f t="shared" si="212"/>
        <v/>
      </c>
      <c r="J1234" t="str">
        <f t="shared" si="213"/>
        <v/>
      </c>
      <c r="K1234" t="str">
        <f t="shared" si="214"/>
        <v/>
      </c>
      <c r="L1234" t="str">
        <f t="shared" si="215"/>
        <v/>
      </c>
      <c r="M1234" t="str">
        <f t="shared" si="216"/>
        <v/>
      </c>
      <c r="N1234" t="str">
        <f t="shared" si="217"/>
        <v/>
      </c>
      <c r="O1234" t="str">
        <f t="shared" si="218"/>
        <v/>
      </c>
      <c r="P1234" t="str">
        <f>IF($A1234="","",IF($E1234=1,$F1234*$O1234,PNL!G1234))</f>
        <v/>
      </c>
      <c r="T1234" t="str">
        <f t="shared" si="219"/>
        <v/>
      </c>
    </row>
    <row r="1235" spans="1:20" x14ac:dyDescent="0.45">
      <c r="A1235" t="str">
        <f>IF(PNL!A1235="","",PNL!A1235)</f>
        <v/>
      </c>
      <c r="B1235" t="str">
        <f>IF(PNL!B1235="","",PNL!B1235)</f>
        <v/>
      </c>
      <c r="C1235" t="str">
        <f>IF(PNL!C1235="","",PNL!C1235)</f>
        <v/>
      </c>
      <c r="D1235" t="str">
        <f>IF(PNL!D1235="","",PNL!D1235)</f>
        <v/>
      </c>
      <c r="E1235" t="str">
        <f t="shared" si="209"/>
        <v/>
      </c>
      <c r="F1235" t="str">
        <f>IF($A1235="","",IF($E1235=1,SUMIFS(Compta!$F$1:$F$675,Compta!$A$1:$A$675,$A1235,Compta!$B$1:$B$675,$B1235,Compta!$C$1:$C$675,"2026"),0))</f>
        <v/>
      </c>
      <c r="G1235" t="str">
        <f t="shared" si="210"/>
        <v/>
      </c>
      <c r="H1235" t="str">
        <f t="shared" si="211"/>
        <v/>
      </c>
      <c r="I1235" t="str">
        <f t="shared" si="212"/>
        <v/>
      </c>
      <c r="J1235" t="str">
        <f t="shared" si="213"/>
        <v/>
      </c>
      <c r="K1235" t="str">
        <f t="shared" si="214"/>
        <v/>
      </c>
      <c r="L1235" t="str">
        <f t="shared" si="215"/>
        <v/>
      </c>
      <c r="M1235" t="str">
        <f t="shared" si="216"/>
        <v/>
      </c>
      <c r="N1235" t="str">
        <f t="shared" si="217"/>
        <v/>
      </c>
      <c r="O1235" t="str">
        <f t="shared" si="218"/>
        <v/>
      </c>
      <c r="P1235" t="str">
        <f>IF($A1235="","",IF($E1235=1,$F1235*$O1235,PNL!G1235))</f>
        <v/>
      </c>
      <c r="T1235" t="str">
        <f t="shared" si="219"/>
        <v/>
      </c>
    </row>
    <row r="1236" spans="1:20" x14ac:dyDescent="0.45">
      <c r="A1236" t="str">
        <f>IF(PNL!A1236="","",PNL!A1236)</f>
        <v/>
      </c>
      <c r="B1236" t="str">
        <f>IF(PNL!B1236="","",PNL!B1236)</f>
        <v/>
      </c>
      <c r="C1236" t="str">
        <f>IF(PNL!C1236="","",PNL!C1236)</f>
        <v/>
      </c>
      <c r="D1236" t="str">
        <f>IF(PNL!D1236="","",PNL!D1236)</f>
        <v/>
      </c>
      <c r="E1236" t="str">
        <f t="shared" si="209"/>
        <v/>
      </c>
      <c r="F1236" t="str">
        <f>IF($A1236="","",IF($E1236=1,SUMIFS(Compta!$F$1:$F$675,Compta!$A$1:$A$675,$A1236,Compta!$B$1:$B$675,$B1236,Compta!$C$1:$C$675,"2026"),0))</f>
        <v/>
      </c>
      <c r="G1236" t="str">
        <f t="shared" si="210"/>
        <v/>
      </c>
      <c r="H1236" t="str">
        <f t="shared" si="211"/>
        <v/>
      </c>
      <c r="I1236" t="str">
        <f t="shared" si="212"/>
        <v/>
      </c>
      <c r="J1236" t="str">
        <f t="shared" si="213"/>
        <v/>
      </c>
      <c r="K1236" t="str">
        <f t="shared" si="214"/>
        <v/>
      </c>
      <c r="L1236" t="str">
        <f t="shared" si="215"/>
        <v/>
      </c>
      <c r="M1236" t="str">
        <f t="shared" si="216"/>
        <v/>
      </c>
      <c r="N1236" t="str">
        <f t="shared" si="217"/>
        <v/>
      </c>
      <c r="O1236" t="str">
        <f t="shared" si="218"/>
        <v/>
      </c>
      <c r="P1236" t="str">
        <f>IF($A1236="","",IF($E1236=1,$F1236*$O1236,PNL!G1236))</f>
        <v/>
      </c>
      <c r="T1236" t="str">
        <f t="shared" si="219"/>
        <v/>
      </c>
    </row>
    <row r="1237" spans="1:20" x14ac:dyDescent="0.45">
      <c r="A1237" t="str">
        <f>IF(PNL!A1237="","",PNL!A1237)</f>
        <v/>
      </c>
      <c r="B1237" t="str">
        <f>IF(PNL!B1237="","",PNL!B1237)</f>
        <v/>
      </c>
      <c r="C1237" t="str">
        <f>IF(PNL!C1237="","",PNL!C1237)</f>
        <v/>
      </c>
      <c r="D1237" t="str">
        <f>IF(PNL!D1237="","",PNL!D1237)</f>
        <v/>
      </c>
      <c r="E1237" t="str">
        <f t="shared" si="209"/>
        <v/>
      </c>
      <c r="F1237" t="str">
        <f>IF($A1237="","",IF($E1237=1,SUMIFS(Compta!$F$1:$F$675,Compta!$A$1:$A$675,$A1237,Compta!$B$1:$B$675,$B1237,Compta!$C$1:$C$675,"2026"),0))</f>
        <v/>
      </c>
      <c r="G1237" t="str">
        <f t="shared" si="210"/>
        <v/>
      </c>
      <c r="H1237" t="str">
        <f t="shared" si="211"/>
        <v/>
      </c>
      <c r="I1237" t="str">
        <f t="shared" si="212"/>
        <v/>
      </c>
      <c r="J1237" t="str">
        <f t="shared" si="213"/>
        <v/>
      </c>
      <c r="K1237" t="str">
        <f t="shared" si="214"/>
        <v/>
      </c>
      <c r="L1237" t="str">
        <f t="shared" si="215"/>
        <v/>
      </c>
      <c r="M1237" t="str">
        <f t="shared" si="216"/>
        <v/>
      </c>
      <c r="N1237" t="str">
        <f t="shared" si="217"/>
        <v/>
      </c>
      <c r="O1237" t="str">
        <f t="shared" si="218"/>
        <v/>
      </c>
      <c r="P1237" t="str">
        <f>IF($A1237="","",IF($E1237=1,$F1237*$O1237,PNL!G1237))</f>
        <v/>
      </c>
      <c r="T1237" t="str">
        <f t="shared" si="219"/>
        <v/>
      </c>
    </row>
    <row r="1238" spans="1:20" x14ac:dyDescent="0.45">
      <c r="A1238" t="str">
        <f>IF(PNL!A1238="","",PNL!A1238)</f>
        <v/>
      </c>
      <c r="B1238" t="str">
        <f>IF(PNL!B1238="","",PNL!B1238)</f>
        <v/>
      </c>
      <c r="C1238" t="str">
        <f>IF(PNL!C1238="","",PNL!C1238)</f>
        <v/>
      </c>
      <c r="D1238" t="str">
        <f>IF(PNL!D1238="","",PNL!D1238)</f>
        <v/>
      </c>
      <c r="E1238" t="str">
        <f t="shared" si="209"/>
        <v/>
      </c>
      <c r="F1238" t="str">
        <f>IF($A1238="","",IF($E1238=1,SUMIFS(Compta!$F$1:$F$675,Compta!$A$1:$A$675,$A1238,Compta!$B$1:$B$675,$B1238,Compta!$C$1:$C$675,"2026"),0))</f>
        <v/>
      </c>
      <c r="G1238" t="str">
        <f t="shared" si="210"/>
        <v/>
      </c>
      <c r="H1238" t="str">
        <f t="shared" si="211"/>
        <v/>
      </c>
      <c r="I1238" t="str">
        <f t="shared" si="212"/>
        <v/>
      </c>
      <c r="J1238" t="str">
        <f t="shared" si="213"/>
        <v/>
      </c>
      <c r="K1238" t="str">
        <f t="shared" si="214"/>
        <v/>
      </c>
      <c r="L1238" t="str">
        <f t="shared" si="215"/>
        <v/>
      </c>
      <c r="M1238" t="str">
        <f t="shared" si="216"/>
        <v/>
      </c>
      <c r="N1238" t="str">
        <f t="shared" si="217"/>
        <v/>
      </c>
      <c r="O1238" t="str">
        <f t="shared" si="218"/>
        <v/>
      </c>
      <c r="P1238" t="str">
        <f>IF($A1238="","",IF($E1238=1,$F1238*$O1238,PNL!G1238))</f>
        <v/>
      </c>
      <c r="T1238" t="str">
        <f t="shared" si="219"/>
        <v/>
      </c>
    </row>
    <row r="1239" spans="1:20" x14ac:dyDescent="0.45">
      <c r="A1239" t="str">
        <f>IF(PNL!A1239="","",PNL!A1239)</f>
        <v/>
      </c>
      <c r="B1239" t="str">
        <f>IF(PNL!B1239="","",PNL!B1239)</f>
        <v/>
      </c>
      <c r="C1239" t="str">
        <f>IF(PNL!C1239="","",PNL!C1239)</f>
        <v/>
      </c>
      <c r="D1239" t="str">
        <f>IF(PNL!D1239="","",PNL!D1239)</f>
        <v/>
      </c>
      <c r="E1239" t="str">
        <f t="shared" si="209"/>
        <v/>
      </c>
      <c r="F1239" t="str">
        <f>IF($A1239="","",IF($E1239=1,SUMIFS(Compta!$F$1:$F$675,Compta!$A$1:$A$675,$A1239,Compta!$B$1:$B$675,$B1239,Compta!$C$1:$C$675,"2026"),0))</f>
        <v/>
      </c>
      <c r="G1239" t="str">
        <f t="shared" si="210"/>
        <v/>
      </c>
      <c r="H1239" t="str">
        <f t="shared" si="211"/>
        <v/>
      </c>
      <c r="I1239" t="str">
        <f t="shared" si="212"/>
        <v/>
      </c>
      <c r="J1239" t="str">
        <f t="shared" si="213"/>
        <v/>
      </c>
      <c r="K1239" t="str">
        <f t="shared" si="214"/>
        <v/>
      </c>
      <c r="L1239" t="str">
        <f t="shared" si="215"/>
        <v/>
      </c>
      <c r="M1239" t="str">
        <f t="shared" si="216"/>
        <v/>
      </c>
      <c r="N1239" t="str">
        <f t="shared" si="217"/>
        <v/>
      </c>
      <c r="O1239" t="str">
        <f t="shared" si="218"/>
        <v/>
      </c>
      <c r="P1239" t="str">
        <f>IF($A1239="","",IF($E1239=1,$F1239*$O1239,PNL!G1239))</f>
        <v/>
      </c>
      <c r="T1239" t="str">
        <f t="shared" si="219"/>
        <v/>
      </c>
    </row>
    <row r="1240" spans="1:20" x14ac:dyDescent="0.45">
      <c r="A1240" t="str">
        <f>IF(PNL!A1240="","",PNL!A1240)</f>
        <v/>
      </c>
      <c r="B1240" t="str">
        <f>IF(PNL!B1240="","",PNL!B1240)</f>
        <v/>
      </c>
      <c r="C1240" t="str">
        <f>IF(PNL!C1240="","",PNL!C1240)</f>
        <v/>
      </c>
      <c r="D1240" t="str">
        <f>IF(PNL!D1240="","",PNL!D1240)</f>
        <v/>
      </c>
      <c r="E1240" t="str">
        <f t="shared" si="209"/>
        <v/>
      </c>
      <c r="F1240" t="str">
        <f>IF($A1240="","",IF($E1240=1,SUMIFS(Compta!$F$1:$F$675,Compta!$A$1:$A$675,$A1240,Compta!$B$1:$B$675,$B1240,Compta!$C$1:$C$675,"2026"),0))</f>
        <v/>
      </c>
      <c r="G1240" t="str">
        <f t="shared" si="210"/>
        <v/>
      </c>
      <c r="H1240" t="str">
        <f t="shared" si="211"/>
        <v/>
      </c>
      <c r="I1240" t="str">
        <f t="shared" si="212"/>
        <v/>
      </c>
      <c r="J1240" t="str">
        <f t="shared" si="213"/>
        <v/>
      </c>
      <c r="K1240" t="str">
        <f t="shared" si="214"/>
        <v/>
      </c>
      <c r="L1240" t="str">
        <f t="shared" si="215"/>
        <v/>
      </c>
      <c r="M1240" t="str">
        <f t="shared" si="216"/>
        <v/>
      </c>
      <c r="N1240" t="str">
        <f t="shared" si="217"/>
        <v/>
      </c>
      <c r="O1240" t="str">
        <f t="shared" si="218"/>
        <v/>
      </c>
      <c r="P1240" t="str">
        <f>IF($A1240="","",IF($E1240=1,$F1240*$O1240,PNL!G1240))</f>
        <v/>
      </c>
      <c r="T1240" t="str">
        <f t="shared" si="219"/>
        <v/>
      </c>
    </row>
    <row r="1241" spans="1:20" x14ac:dyDescent="0.45">
      <c r="A1241" t="str">
        <f>IF(PNL!A1241="","",PNL!A1241)</f>
        <v/>
      </c>
      <c r="B1241" t="str">
        <f>IF(PNL!B1241="","",PNL!B1241)</f>
        <v/>
      </c>
      <c r="C1241" t="str">
        <f>IF(PNL!C1241="","",PNL!C1241)</f>
        <v/>
      </c>
      <c r="D1241" t="str">
        <f>IF(PNL!D1241="","",PNL!D1241)</f>
        <v/>
      </c>
      <c r="E1241" t="str">
        <f t="shared" si="209"/>
        <v/>
      </c>
      <c r="F1241" t="str">
        <f>IF($A1241="","",IF($E1241=1,SUMIFS(Compta!$F$1:$F$675,Compta!$A$1:$A$675,$A1241,Compta!$B$1:$B$675,$B1241,Compta!$C$1:$C$675,"2026"),0))</f>
        <v/>
      </c>
      <c r="G1241" t="str">
        <f t="shared" si="210"/>
        <v/>
      </c>
      <c r="H1241" t="str">
        <f t="shared" si="211"/>
        <v/>
      </c>
      <c r="I1241" t="str">
        <f t="shared" si="212"/>
        <v/>
      </c>
      <c r="J1241" t="str">
        <f t="shared" si="213"/>
        <v/>
      </c>
      <c r="K1241" t="str">
        <f t="shared" si="214"/>
        <v/>
      </c>
      <c r="L1241" t="str">
        <f t="shared" si="215"/>
        <v/>
      </c>
      <c r="M1241" t="str">
        <f t="shared" si="216"/>
        <v/>
      </c>
      <c r="N1241" t="str">
        <f t="shared" si="217"/>
        <v/>
      </c>
      <c r="O1241" t="str">
        <f t="shared" si="218"/>
        <v/>
      </c>
      <c r="P1241" t="str">
        <f>IF($A1241="","",IF($E1241=1,$F1241*$O1241,PNL!G1241))</f>
        <v/>
      </c>
      <c r="T1241" t="str">
        <f t="shared" si="219"/>
        <v/>
      </c>
    </row>
    <row r="1242" spans="1:20" x14ac:dyDescent="0.45">
      <c r="A1242" t="str">
        <f>IF(PNL!A1242="","",PNL!A1242)</f>
        <v/>
      </c>
      <c r="B1242" t="str">
        <f>IF(PNL!B1242="","",PNL!B1242)</f>
        <v/>
      </c>
      <c r="C1242" t="str">
        <f>IF(PNL!C1242="","",PNL!C1242)</f>
        <v/>
      </c>
      <c r="D1242" t="str">
        <f>IF(PNL!D1242="","",PNL!D1242)</f>
        <v/>
      </c>
      <c r="E1242" t="str">
        <f t="shared" si="209"/>
        <v/>
      </c>
      <c r="F1242" t="str">
        <f>IF($A1242="","",IF($E1242=1,SUMIFS(Compta!$F$1:$F$675,Compta!$A$1:$A$675,$A1242,Compta!$B$1:$B$675,$B1242,Compta!$C$1:$C$675,"2026"),0))</f>
        <v/>
      </c>
      <c r="G1242" t="str">
        <f t="shared" si="210"/>
        <v/>
      </c>
      <c r="H1242" t="str">
        <f t="shared" si="211"/>
        <v/>
      </c>
      <c r="I1242" t="str">
        <f t="shared" si="212"/>
        <v/>
      </c>
      <c r="J1242" t="str">
        <f t="shared" si="213"/>
        <v/>
      </c>
      <c r="K1242" t="str">
        <f t="shared" si="214"/>
        <v/>
      </c>
      <c r="L1242" t="str">
        <f t="shared" si="215"/>
        <v/>
      </c>
      <c r="M1242" t="str">
        <f t="shared" si="216"/>
        <v/>
      </c>
      <c r="N1242" t="str">
        <f t="shared" si="217"/>
        <v/>
      </c>
      <c r="O1242" t="str">
        <f t="shared" si="218"/>
        <v/>
      </c>
      <c r="P1242" t="str">
        <f>IF($A1242="","",IF($E1242=1,$F1242*$O1242,PNL!G1242))</f>
        <v/>
      </c>
      <c r="T1242" t="str">
        <f t="shared" si="219"/>
        <v/>
      </c>
    </row>
    <row r="1243" spans="1:20" x14ac:dyDescent="0.45">
      <c r="A1243" t="str">
        <f>IF(PNL!A1243="","",PNL!A1243)</f>
        <v/>
      </c>
      <c r="B1243" t="str">
        <f>IF(PNL!B1243="","",PNL!B1243)</f>
        <v/>
      </c>
      <c r="C1243" t="str">
        <f>IF(PNL!C1243="","",PNL!C1243)</f>
        <v/>
      </c>
      <c r="D1243" t="str">
        <f>IF(PNL!D1243="","",PNL!D1243)</f>
        <v/>
      </c>
      <c r="E1243" t="str">
        <f t="shared" si="209"/>
        <v/>
      </c>
      <c r="F1243" t="str">
        <f>IF($A1243="","",IF($E1243=1,SUMIFS(Compta!$F$1:$F$675,Compta!$A$1:$A$675,$A1243,Compta!$B$1:$B$675,$B1243,Compta!$C$1:$C$675,"2026"),0))</f>
        <v/>
      </c>
      <c r="G1243" t="str">
        <f t="shared" si="210"/>
        <v/>
      </c>
      <c r="H1243" t="str">
        <f t="shared" si="211"/>
        <v/>
      </c>
      <c r="I1243" t="str">
        <f t="shared" si="212"/>
        <v/>
      </c>
      <c r="J1243" t="str">
        <f t="shared" si="213"/>
        <v/>
      </c>
      <c r="K1243" t="str">
        <f t="shared" si="214"/>
        <v/>
      </c>
      <c r="L1243" t="str">
        <f t="shared" si="215"/>
        <v/>
      </c>
      <c r="M1243" t="str">
        <f t="shared" si="216"/>
        <v/>
      </c>
      <c r="N1243" t="str">
        <f t="shared" si="217"/>
        <v/>
      </c>
      <c r="O1243" t="str">
        <f t="shared" si="218"/>
        <v/>
      </c>
      <c r="P1243" t="str">
        <f>IF($A1243="","",IF($E1243=1,$F1243*$O1243,PNL!G1243))</f>
        <v/>
      </c>
      <c r="T1243" t="str">
        <f t="shared" si="219"/>
        <v/>
      </c>
    </row>
    <row r="1244" spans="1:20" x14ac:dyDescent="0.45">
      <c r="A1244" t="str">
        <f>IF(PNL!A1244="","",PNL!A1244)</f>
        <v/>
      </c>
      <c r="B1244" t="str">
        <f>IF(PNL!B1244="","",PNL!B1244)</f>
        <v/>
      </c>
      <c r="C1244" t="str">
        <f>IF(PNL!C1244="","",PNL!C1244)</f>
        <v/>
      </c>
      <c r="D1244" t="str">
        <f>IF(PNL!D1244="","",PNL!D1244)</f>
        <v/>
      </c>
      <c r="E1244" t="str">
        <f t="shared" si="209"/>
        <v/>
      </c>
      <c r="F1244" t="str">
        <f>IF($A1244="","",IF($E1244=1,SUMIFS(Compta!$F$1:$F$675,Compta!$A$1:$A$675,$A1244,Compta!$B$1:$B$675,$B1244,Compta!$C$1:$C$675,"2026"),0))</f>
        <v/>
      </c>
      <c r="G1244" t="str">
        <f t="shared" si="210"/>
        <v/>
      </c>
      <c r="H1244" t="str">
        <f t="shared" si="211"/>
        <v/>
      </c>
      <c r="I1244" t="str">
        <f t="shared" si="212"/>
        <v/>
      </c>
      <c r="J1244" t="str">
        <f t="shared" si="213"/>
        <v/>
      </c>
      <c r="K1244" t="str">
        <f t="shared" si="214"/>
        <v/>
      </c>
      <c r="L1244" t="str">
        <f t="shared" si="215"/>
        <v/>
      </c>
      <c r="M1244" t="str">
        <f t="shared" si="216"/>
        <v/>
      </c>
      <c r="N1244" t="str">
        <f t="shared" si="217"/>
        <v/>
      </c>
      <c r="O1244" t="str">
        <f t="shared" si="218"/>
        <v/>
      </c>
      <c r="P1244" t="str">
        <f>IF($A1244="","",IF($E1244=1,$F1244*$O1244,PNL!G1244))</f>
        <v/>
      </c>
      <c r="T1244" t="str">
        <f t="shared" si="219"/>
        <v/>
      </c>
    </row>
    <row r="1245" spans="1:20" x14ac:dyDescent="0.45">
      <c r="A1245" t="str">
        <f>IF(PNL!A1245="","",PNL!A1245)</f>
        <v/>
      </c>
      <c r="B1245" t="str">
        <f>IF(PNL!B1245="","",PNL!B1245)</f>
        <v/>
      </c>
      <c r="C1245" t="str">
        <f>IF(PNL!C1245="","",PNL!C1245)</f>
        <v/>
      </c>
      <c r="D1245" t="str">
        <f>IF(PNL!D1245="","",PNL!D1245)</f>
        <v/>
      </c>
      <c r="E1245" t="str">
        <f t="shared" si="209"/>
        <v/>
      </c>
      <c r="F1245" t="str">
        <f>IF($A1245="","",IF($E1245=1,SUMIFS(Compta!$F$1:$F$675,Compta!$A$1:$A$675,$A1245,Compta!$B$1:$B$675,$B1245,Compta!$C$1:$C$675,"2026"),0))</f>
        <v/>
      </c>
      <c r="G1245" t="str">
        <f t="shared" si="210"/>
        <v/>
      </c>
      <c r="H1245" t="str">
        <f t="shared" si="211"/>
        <v/>
      </c>
      <c r="I1245" t="str">
        <f t="shared" si="212"/>
        <v/>
      </c>
      <c r="J1245" t="str">
        <f t="shared" si="213"/>
        <v/>
      </c>
      <c r="K1245" t="str">
        <f t="shared" si="214"/>
        <v/>
      </c>
      <c r="L1245" t="str">
        <f t="shared" si="215"/>
        <v/>
      </c>
      <c r="M1245" t="str">
        <f t="shared" si="216"/>
        <v/>
      </c>
      <c r="N1245" t="str">
        <f t="shared" si="217"/>
        <v/>
      </c>
      <c r="O1245" t="str">
        <f t="shared" si="218"/>
        <v/>
      </c>
      <c r="P1245" t="str">
        <f>IF($A1245="","",IF($E1245=1,$F1245*$O1245,PNL!G1245))</f>
        <v/>
      </c>
      <c r="T1245" t="str">
        <f t="shared" si="219"/>
        <v/>
      </c>
    </row>
    <row r="1246" spans="1:20" x14ac:dyDescent="0.45">
      <c r="A1246" t="str">
        <f>IF(PNL!A1246="","",PNL!A1246)</f>
        <v/>
      </c>
      <c r="B1246" t="str">
        <f>IF(PNL!B1246="","",PNL!B1246)</f>
        <v/>
      </c>
      <c r="C1246" t="str">
        <f>IF(PNL!C1246="","",PNL!C1246)</f>
        <v/>
      </c>
      <c r="D1246" t="str">
        <f>IF(PNL!D1246="","",PNL!D1246)</f>
        <v/>
      </c>
      <c r="E1246" t="str">
        <f t="shared" si="209"/>
        <v/>
      </c>
      <c r="F1246" t="str">
        <f>IF($A1246="","",IF($E1246=1,SUMIFS(Compta!$F$1:$F$675,Compta!$A$1:$A$675,$A1246,Compta!$B$1:$B$675,$B1246,Compta!$C$1:$C$675,"2026"),0))</f>
        <v/>
      </c>
      <c r="G1246" t="str">
        <f t="shared" si="210"/>
        <v/>
      </c>
      <c r="H1246" t="str">
        <f t="shared" si="211"/>
        <v/>
      </c>
      <c r="I1246" t="str">
        <f t="shared" si="212"/>
        <v/>
      </c>
      <c r="J1246" t="str">
        <f t="shared" si="213"/>
        <v/>
      </c>
      <c r="K1246" t="str">
        <f t="shared" si="214"/>
        <v/>
      </c>
      <c r="L1246" t="str">
        <f t="shared" si="215"/>
        <v/>
      </c>
      <c r="M1246" t="str">
        <f t="shared" si="216"/>
        <v/>
      </c>
      <c r="N1246" t="str">
        <f t="shared" si="217"/>
        <v/>
      </c>
      <c r="O1246" t="str">
        <f t="shared" si="218"/>
        <v/>
      </c>
      <c r="P1246" t="str">
        <f>IF($A1246="","",IF($E1246=1,$F1246*$O1246,PNL!G1246))</f>
        <v/>
      </c>
      <c r="T1246" t="str">
        <f t="shared" si="219"/>
        <v/>
      </c>
    </row>
    <row r="1247" spans="1:20" x14ac:dyDescent="0.45">
      <c r="A1247" t="str">
        <f>IF(PNL!A1247="","",PNL!A1247)</f>
        <v/>
      </c>
      <c r="B1247" t="str">
        <f>IF(PNL!B1247="","",PNL!B1247)</f>
        <v/>
      </c>
      <c r="C1247" t="str">
        <f>IF(PNL!C1247="","",PNL!C1247)</f>
        <v/>
      </c>
      <c r="D1247" t="str">
        <f>IF(PNL!D1247="","",PNL!D1247)</f>
        <v/>
      </c>
      <c r="E1247" t="str">
        <f t="shared" si="209"/>
        <v/>
      </c>
      <c r="F1247" t="str">
        <f>IF($A1247="","",IF($E1247=1,SUMIFS(Compta!$F$1:$F$675,Compta!$A$1:$A$675,$A1247,Compta!$B$1:$B$675,$B1247,Compta!$C$1:$C$675,"2026"),0))</f>
        <v/>
      </c>
      <c r="G1247" t="str">
        <f t="shared" si="210"/>
        <v/>
      </c>
      <c r="H1247" t="str">
        <f t="shared" si="211"/>
        <v/>
      </c>
      <c r="I1247" t="str">
        <f t="shared" si="212"/>
        <v/>
      </c>
      <c r="J1247" t="str">
        <f t="shared" si="213"/>
        <v/>
      </c>
      <c r="K1247" t="str">
        <f t="shared" si="214"/>
        <v/>
      </c>
      <c r="L1247" t="str">
        <f t="shared" si="215"/>
        <v/>
      </c>
      <c r="M1247" t="str">
        <f t="shared" si="216"/>
        <v/>
      </c>
      <c r="N1247" t="str">
        <f t="shared" si="217"/>
        <v/>
      </c>
      <c r="O1247" t="str">
        <f t="shared" si="218"/>
        <v/>
      </c>
      <c r="P1247" t="str">
        <f>IF($A1247="","",IF($E1247=1,$F1247*$O1247,PNL!G1247))</f>
        <v/>
      </c>
      <c r="T1247" t="str">
        <f t="shared" si="219"/>
        <v/>
      </c>
    </row>
    <row r="1248" spans="1:20" x14ac:dyDescent="0.45">
      <c r="A1248" t="str">
        <f>IF(PNL!A1248="","",PNL!A1248)</f>
        <v/>
      </c>
      <c r="B1248" t="str">
        <f>IF(PNL!B1248="","",PNL!B1248)</f>
        <v/>
      </c>
      <c r="C1248" t="str">
        <f>IF(PNL!C1248="","",PNL!C1248)</f>
        <v/>
      </c>
      <c r="D1248" t="str">
        <f>IF(PNL!D1248="","",PNL!D1248)</f>
        <v/>
      </c>
      <c r="E1248" t="str">
        <f t="shared" si="209"/>
        <v/>
      </c>
      <c r="F1248" t="str">
        <f>IF($A1248="","",IF($E1248=1,SUMIFS(Compta!$F$1:$F$675,Compta!$A$1:$A$675,$A1248,Compta!$B$1:$B$675,$B1248,Compta!$C$1:$C$675,"2026"),0))</f>
        <v/>
      </c>
      <c r="G1248" t="str">
        <f t="shared" si="210"/>
        <v/>
      </c>
      <c r="H1248" t="str">
        <f t="shared" si="211"/>
        <v/>
      </c>
      <c r="I1248" t="str">
        <f t="shared" si="212"/>
        <v/>
      </c>
      <c r="J1248" t="str">
        <f t="shared" si="213"/>
        <v/>
      </c>
      <c r="K1248" t="str">
        <f t="shared" si="214"/>
        <v/>
      </c>
      <c r="L1248" t="str">
        <f t="shared" si="215"/>
        <v/>
      </c>
      <c r="M1248" t="str">
        <f t="shared" si="216"/>
        <v/>
      </c>
      <c r="N1248" t="str">
        <f t="shared" si="217"/>
        <v/>
      </c>
      <c r="O1248" t="str">
        <f t="shared" si="218"/>
        <v/>
      </c>
      <c r="P1248" t="str">
        <f>IF($A1248="","",IF($E1248=1,$F1248*$O1248,PNL!G1248))</f>
        <v/>
      </c>
      <c r="T1248" t="str">
        <f t="shared" si="219"/>
        <v/>
      </c>
    </row>
    <row r="1249" spans="1:20" x14ac:dyDescent="0.45">
      <c r="A1249" t="str">
        <f>IF(PNL!A1249="","",PNL!A1249)</f>
        <v/>
      </c>
      <c r="B1249" t="str">
        <f>IF(PNL!B1249="","",PNL!B1249)</f>
        <v/>
      </c>
      <c r="C1249" t="str">
        <f>IF(PNL!C1249="","",PNL!C1249)</f>
        <v/>
      </c>
      <c r="D1249" t="str">
        <f>IF(PNL!D1249="","",PNL!D1249)</f>
        <v/>
      </c>
      <c r="E1249" t="str">
        <f t="shared" si="209"/>
        <v/>
      </c>
      <c r="F1249" t="str">
        <f>IF($A1249="","",IF($E1249=1,SUMIFS(Compta!$F$1:$F$675,Compta!$A$1:$A$675,$A1249,Compta!$B$1:$B$675,$B1249,Compta!$C$1:$C$675,"2026"),0))</f>
        <v/>
      </c>
      <c r="G1249" t="str">
        <f t="shared" si="210"/>
        <v/>
      </c>
      <c r="H1249" t="str">
        <f t="shared" si="211"/>
        <v/>
      </c>
      <c r="I1249" t="str">
        <f t="shared" si="212"/>
        <v/>
      </c>
      <c r="J1249" t="str">
        <f t="shared" si="213"/>
        <v/>
      </c>
      <c r="K1249" t="str">
        <f t="shared" si="214"/>
        <v/>
      </c>
      <c r="L1249" t="str">
        <f t="shared" si="215"/>
        <v/>
      </c>
      <c r="M1249" t="str">
        <f t="shared" si="216"/>
        <v/>
      </c>
      <c r="N1249" t="str">
        <f t="shared" si="217"/>
        <v/>
      </c>
      <c r="O1249" t="str">
        <f t="shared" si="218"/>
        <v/>
      </c>
      <c r="P1249" t="str">
        <f>IF($A1249="","",IF($E1249=1,$F1249*$O1249,PNL!G1249))</f>
        <v/>
      </c>
      <c r="T1249" t="str">
        <f t="shared" si="219"/>
        <v/>
      </c>
    </row>
    <row r="1250" spans="1:20" x14ac:dyDescent="0.45">
      <c r="A1250" t="str">
        <f>IF(PNL!A1250="","",PNL!A1250)</f>
        <v/>
      </c>
      <c r="B1250" t="str">
        <f>IF(PNL!B1250="","",PNL!B1250)</f>
        <v/>
      </c>
      <c r="C1250" t="str">
        <f>IF(PNL!C1250="","",PNL!C1250)</f>
        <v/>
      </c>
      <c r="D1250" t="str">
        <f>IF(PNL!D1250="","",PNL!D1250)</f>
        <v/>
      </c>
      <c r="E1250" t="str">
        <f t="shared" si="209"/>
        <v/>
      </c>
      <c r="F1250" t="str">
        <f>IF($A1250="","",IF($E1250=1,SUMIFS(Compta!$F$1:$F$675,Compta!$A$1:$A$675,$A1250,Compta!$B$1:$B$675,$B1250,Compta!$C$1:$C$675,"2026"),0))</f>
        <v/>
      </c>
      <c r="G1250" t="str">
        <f t="shared" si="210"/>
        <v/>
      </c>
      <c r="H1250" t="str">
        <f t="shared" si="211"/>
        <v/>
      </c>
      <c r="I1250" t="str">
        <f t="shared" si="212"/>
        <v/>
      </c>
      <c r="J1250" t="str">
        <f t="shared" si="213"/>
        <v/>
      </c>
      <c r="K1250" t="str">
        <f t="shared" si="214"/>
        <v/>
      </c>
      <c r="L1250" t="str">
        <f t="shared" si="215"/>
        <v/>
      </c>
      <c r="M1250" t="str">
        <f t="shared" si="216"/>
        <v/>
      </c>
      <c r="N1250" t="str">
        <f t="shared" si="217"/>
        <v/>
      </c>
      <c r="O1250" t="str">
        <f t="shared" si="218"/>
        <v/>
      </c>
      <c r="P1250" t="str">
        <f>IF($A1250="","",IF($E1250=1,$F1250*$O1250,PNL!G1250))</f>
        <v/>
      </c>
      <c r="T1250" t="str">
        <f t="shared" si="219"/>
        <v/>
      </c>
    </row>
    <row r="1251" spans="1:20" x14ac:dyDescent="0.45">
      <c r="A1251" t="str">
        <f>IF(PNL!A1251="","",PNL!A1251)</f>
        <v/>
      </c>
      <c r="B1251" t="str">
        <f>IF(PNL!B1251="","",PNL!B1251)</f>
        <v/>
      </c>
      <c r="C1251" t="str">
        <f>IF(PNL!C1251="","",PNL!C1251)</f>
        <v/>
      </c>
      <c r="D1251" t="str">
        <f>IF(PNL!D1251="","",PNL!D1251)</f>
        <v/>
      </c>
      <c r="E1251" t="str">
        <f t="shared" si="209"/>
        <v/>
      </c>
      <c r="F1251" t="str">
        <f>IF($A1251="","",IF($E1251=1,SUMIFS(Compta!$F$1:$F$675,Compta!$A$1:$A$675,$A1251,Compta!$B$1:$B$675,$B1251,Compta!$C$1:$C$675,"2026"),0))</f>
        <v/>
      </c>
      <c r="G1251" t="str">
        <f t="shared" si="210"/>
        <v/>
      </c>
      <c r="H1251" t="str">
        <f t="shared" si="211"/>
        <v/>
      </c>
      <c r="I1251" t="str">
        <f t="shared" si="212"/>
        <v/>
      </c>
      <c r="J1251" t="str">
        <f t="shared" si="213"/>
        <v/>
      </c>
      <c r="K1251" t="str">
        <f t="shared" si="214"/>
        <v/>
      </c>
      <c r="L1251" t="str">
        <f t="shared" si="215"/>
        <v/>
      </c>
      <c r="M1251" t="str">
        <f t="shared" si="216"/>
        <v/>
      </c>
      <c r="N1251" t="str">
        <f t="shared" si="217"/>
        <v/>
      </c>
      <c r="O1251" t="str">
        <f t="shared" si="218"/>
        <v/>
      </c>
      <c r="P1251" t="str">
        <f>IF($A1251="","",IF($E1251=1,$F1251*$O1251,PNL!G1251))</f>
        <v/>
      </c>
      <c r="T1251" t="str">
        <f t="shared" si="219"/>
        <v/>
      </c>
    </row>
    <row r="1252" spans="1:20" x14ac:dyDescent="0.45">
      <c r="A1252" t="str">
        <f>IF(PNL!A1252="","",PNL!A1252)</f>
        <v/>
      </c>
      <c r="B1252" t="str">
        <f>IF(PNL!B1252="","",PNL!B1252)</f>
        <v/>
      </c>
      <c r="C1252" t="str">
        <f>IF(PNL!C1252="","",PNL!C1252)</f>
        <v/>
      </c>
      <c r="D1252" t="str">
        <f>IF(PNL!D1252="","",PNL!D1252)</f>
        <v/>
      </c>
      <c r="E1252" t="str">
        <f t="shared" si="209"/>
        <v/>
      </c>
      <c r="F1252" t="str">
        <f>IF($A1252="","",IF($E1252=1,SUMIFS(Compta!$F$1:$F$675,Compta!$A$1:$A$675,$A1252,Compta!$B$1:$B$675,$B1252,Compta!$C$1:$C$675,"2026"),0))</f>
        <v/>
      </c>
      <c r="G1252" t="str">
        <f t="shared" si="210"/>
        <v/>
      </c>
      <c r="H1252" t="str">
        <f t="shared" si="211"/>
        <v/>
      </c>
      <c r="I1252" t="str">
        <f t="shared" si="212"/>
        <v/>
      </c>
      <c r="J1252" t="str">
        <f t="shared" si="213"/>
        <v/>
      </c>
      <c r="K1252" t="str">
        <f t="shared" si="214"/>
        <v/>
      </c>
      <c r="L1252" t="str">
        <f t="shared" si="215"/>
        <v/>
      </c>
      <c r="M1252" t="str">
        <f t="shared" si="216"/>
        <v/>
      </c>
      <c r="N1252" t="str">
        <f t="shared" si="217"/>
        <v/>
      </c>
      <c r="O1252" t="str">
        <f t="shared" si="218"/>
        <v/>
      </c>
      <c r="P1252" t="str">
        <f>IF($A1252="","",IF($E1252=1,$F1252*$O1252,PNL!G1252))</f>
        <v/>
      </c>
      <c r="T1252" t="str">
        <f t="shared" si="219"/>
        <v/>
      </c>
    </row>
    <row r="1253" spans="1:20" x14ac:dyDescent="0.45">
      <c r="A1253" t="str">
        <f>IF(PNL!A1253="","",PNL!A1253)</f>
        <v/>
      </c>
      <c r="B1253" t="str">
        <f>IF(PNL!B1253="","",PNL!B1253)</f>
        <v/>
      </c>
      <c r="C1253" t="str">
        <f>IF(PNL!C1253="","",PNL!C1253)</f>
        <v/>
      </c>
      <c r="D1253" t="str">
        <f>IF(PNL!D1253="","",PNL!D1253)</f>
        <v/>
      </c>
      <c r="E1253" t="str">
        <f t="shared" si="209"/>
        <v/>
      </c>
      <c r="F1253" t="str">
        <f>IF($A1253="","",IF($E1253=1,SUMIFS(Compta!$F$1:$F$675,Compta!$A$1:$A$675,$A1253,Compta!$B$1:$B$675,$B1253,Compta!$C$1:$C$675,"2026"),0))</f>
        <v/>
      </c>
      <c r="G1253" t="str">
        <f t="shared" si="210"/>
        <v/>
      </c>
      <c r="H1253" t="str">
        <f t="shared" si="211"/>
        <v/>
      </c>
      <c r="I1253" t="str">
        <f t="shared" si="212"/>
        <v/>
      </c>
      <c r="J1253" t="str">
        <f t="shared" si="213"/>
        <v/>
      </c>
      <c r="K1253" t="str">
        <f t="shared" si="214"/>
        <v/>
      </c>
      <c r="L1253" t="str">
        <f t="shared" si="215"/>
        <v/>
      </c>
      <c r="M1253" t="str">
        <f t="shared" si="216"/>
        <v/>
      </c>
      <c r="N1253" t="str">
        <f t="shared" si="217"/>
        <v/>
      </c>
      <c r="O1253" t="str">
        <f t="shared" si="218"/>
        <v/>
      </c>
      <c r="P1253" t="str">
        <f>IF($A1253="","",IF($E1253=1,$F1253*$O1253,PNL!G1253))</f>
        <v/>
      </c>
      <c r="T1253" t="str">
        <f t="shared" si="219"/>
        <v/>
      </c>
    </row>
    <row r="1254" spans="1:20" x14ac:dyDescent="0.45">
      <c r="A1254" t="str">
        <f>IF(PNL!A1254="","",PNL!A1254)</f>
        <v/>
      </c>
      <c r="B1254" t="str">
        <f>IF(PNL!B1254="","",PNL!B1254)</f>
        <v/>
      </c>
      <c r="C1254" t="str">
        <f>IF(PNL!C1254="","",PNL!C1254)</f>
        <v/>
      </c>
      <c r="D1254" t="str">
        <f>IF(PNL!D1254="","",PNL!D1254)</f>
        <v/>
      </c>
      <c r="E1254" t="str">
        <f t="shared" si="209"/>
        <v/>
      </c>
      <c r="F1254" t="str">
        <f>IF($A1254="","",IF($E1254=1,SUMIFS(Compta!$F$1:$F$675,Compta!$A$1:$A$675,$A1254,Compta!$B$1:$B$675,$B1254,Compta!$C$1:$C$675,"2026"),0))</f>
        <v/>
      </c>
      <c r="G1254" t="str">
        <f t="shared" si="210"/>
        <v/>
      </c>
      <c r="H1254" t="str">
        <f t="shared" si="211"/>
        <v/>
      </c>
      <c r="I1254" t="str">
        <f t="shared" si="212"/>
        <v/>
      </c>
      <c r="J1254" t="str">
        <f t="shared" si="213"/>
        <v/>
      </c>
      <c r="K1254" t="str">
        <f t="shared" si="214"/>
        <v/>
      </c>
      <c r="L1254" t="str">
        <f t="shared" si="215"/>
        <v/>
      </c>
      <c r="M1254" t="str">
        <f t="shared" si="216"/>
        <v/>
      </c>
      <c r="N1254" t="str">
        <f t="shared" si="217"/>
        <v/>
      </c>
      <c r="O1254" t="str">
        <f t="shared" si="218"/>
        <v/>
      </c>
      <c r="P1254" t="str">
        <f>IF($A1254="","",IF($E1254=1,$F1254*$O1254,PNL!G1254))</f>
        <v/>
      </c>
      <c r="T1254" t="str">
        <f t="shared" si="219"/>
        <v/>
      </c>
    </row>
    <row r="1255" spans="1:20" x14ac:dyDescent="0.45">
      <c r="A1255" t="str">
        <f>IF(PNL!A1255="","",PNL!A1255)</f>
        <v/>
      </c>
      <c r="B1255" t="str">
        <f>IF(PNL!B1255="","",PNL!B1255)</f>
        <v/>
      </c>
      <c r="C1255" t="str">
        <f>IF(PNL!C1255="","",PNL!C1255)</f>
        <v/>
      </c>
      <c r="D1255" t="str">
        <f>IF(PNL!D1255="","",PNL!D1255)</f>
        <v/>
      </c>
      <c r="E1255" t="str">
        <f t="shared" si="209"/>
        <v/>
      </c>
      <c r="F1255" t="str">
        <f>IF($A1255="","",IF($E1255=1,SUMIFS(Compta!$F$1:$F$675,Compta!$A$1:$A$675,$A1255,Compta!$B$1:$B$675,$B1255,Compta!$C$1:$C$675,"2026"),0))</f>
        <v/>
      </c>
      <c r="G1255" t="str">
        <f t="shared" si="210"/>
        <v/>
      </c>
      <c r="H1255" t="str">
        <f t="shared" si="211"/>
        <v/>
      </c>
      <c r="I1255" t="str">
        <f t="shared" si="212"/>
        <v/>
      </c>
      <c r="J1255" t="str">
        <f t="shared" si="213"/>
        <v/>
      </c>
      <c r="K1255" t="str">
        <f t="shared" si="214"/>
        <v/>
      </c>
      <c r="L1255" t="str">
        <f t="shared" si="215"/>
        <v/>
      </c>
      <c r="M1255" t="str">
        <f t="shared" si="216"/>
        <v/>
      </c>
      <c r="N1255" t="str">
        <f t="shared" si="217"/>
        <v/>
      </c>
      <c r="O1255" t="str">
        <f t="shared" si="218"/>
        <v/>
      </c>
      <c r="P1255" t="str">
        <f>IF($A1255="","",IF($E1255=1,$F1255*$O1255,PNL!G1255))</f>
        <v/>
      </c>
      <c r="T1255" t="str">
        <f t="shared" si="219"/>
        <v/>
      </c>
    </row>
    <row r="1256" spans="1:20" x14ac:dyDescent="0.45">
      <c r="A1256" t="str">
        <f>IF(PNL!A1256="","",PNL!A1256)</f>
        <v/>
      </c>
      <c r="B1256" t="str">
        <f>IF(PNL!B1256="","",PNL!B1256)</f>
        <v/>
      </c>
      <c r="C1256" t="str">
        <f>IF(PNL!C1256="","",PNL!C1256)</f>
        <v/>
      </c>
      <c r="D1256" t="str">
        <f>IF(PNL!D1256="","",PNL!D1256)</f>
        <v/>
      </c>
      <c r="E1256" t="str">
        <f t="shared" si="209"/>
        <v/>
      </c>
      <c r="F1256" t="str">
        <f>IF($A1256="","",IF($E1256=1,SUMIFS(Compta!$F$1:$F$675,Compta!$A$1:$A$675,$A1256,Compta!$B$1:$B$675,$B1256,Compta!$C$1:$C$675,"2026"),0))</f>
        <v/>
      </c>
      <c r="G1256" t="str">
        <f t="shared" si="210"/>
        <v/>
      </c>
      <c r="H1256" t="str">
        <f t="shared" si="211"/>
        <v/>
      </c>
      <c r="I1256" t="str">
        <f t="shared" si="212"/>
        <v/>
      </c>
      <c r="J1256" t="str">
        <f t="shared" si="213"/>
        <v/>
      </c>
      <c r="K1256" t="str">
        <f t="shared" si="214"/>
        <v/>
      </c>
      <c r="L1256" t="str">
        <f t="shared" si="215"/>
        <v/>
      </c>
      <c r="M1256" t="str">
        <f t="shared" si="216"/>
        <v/>
      </c>
      <c r="N1256" t="str">
        <f t="shared" si="217"/>
        <v/>
      </c>
      <c r="O1256" t="str">
        <f t="shared" si="218"/>
        <v/>
      </c>
      <c r="P1256" t="str">
        <f>IF($A1256="","",IF($E1256=1,$F1256*$O1256,PNL!G1256))</f>
        <v/>
      </c>
      <c r="T1256" t="str">
        <f t="shared" si="219"/>
        <v/>
      </c>
    </row>
    <row r="1257" spans="1:20" x14ac:dyDescent="0.45">
      <c r="A1257" t="str">
        <f>IF(PNL!A1257="","",PNL!A1257)</f>
        <v/>
      </c>
      <c r="B1257" t="str">
        <f>IF(PNL!B1257="","",PNL!B1257)</f>
        <v/>
      </c>
      <c r="C1257" t="str">
        <f>IF(PNL!C1257="","",PNL!C1257)</f>
        <v/>
      </c>
      <c r="D1257" t="str">
        <f>IF(PNL!D1257="","",PNL!D1257)</f>
        <v/>
      </c>
      <c r="E1257" t="str">
        <f t="shared" si="209"/>
        <v/>
      </c>
      <c r="F1257" t="str">
        <f>IF($A1257="","",IF($E1257=1,SUMIFS(Compta!$F$1:$F$675,Compta!$A$1:$A$675,$A1257,Compta!$B$1:$B$675,$B1257,Compta!$C$1:$C$675,"2026"),0))</f>
        <v/>
      </c>
      <c r="G1257" t="str">
        <f t="shared" si="210"/>
        <v/>
      </c>
      <c r="H1257" t="str">
        <f t="shared" si="211"/>
        <v/>
      </c>
      <c r="I1257" t="str">
        <f t="shared" si="212"/>
        <v/>
      </c>
      <c r="J1257" t="str">
        <f t="shared" si="213"/>
        <v/>
      </c>
      <c r="K1257" t="str">
        <f t="shared" si="214"/>
        <v/>
      </c>
      <c r="L1257" t="str">
        <f t="shared" si="215"/>
        <v/>
      </c>
      <c r="M1257" t="str">
        <f t="shared" si="216"/>
        <v/>
      </c>
      <c r="N1257" t="str">
        <f t="shared" si="217"/>
        <v/>
      </c>
      <c r="O1257" t="str">
        <f t="shared" si="218"/>
        <v/>
      </c>
      <c r="P1257" t="str">
        <f>IF($A1257="","",IF($E1257=1,$F1257*$O1257,PNL!G1257))</f>
        <v/>
      </c>
      <c r="T1257" t="str">
        <f t="shared" si="219"/>
        <v/>
      </c>
    </row>
    <row r="1258" spans="1:20" x14ac:dyDescent="0.45">
      <c r="A1258" t="str">
        <f>IF(PNL!A1258="","",PNL!A1258)</f>
        <v/>
      </c>
      <c r="B1258" t="str">
        <f>IF(PNL!B1258="","",PNL!B1258)</f>
        <v/>
      </c>
      <c r="C1258" t="str">
        <f>IF(PNL!C1258="","",PNL!C1258)</f>
        <v/>
      </c>
      <c r="D1258" t="str">
        <f>IF(PNL!D1258="","",PNL!D1258)</f>
        <v/>
      </c>
      <c r="E1258" t="str">
        <f t="shared" si="209"/>
        <v/>
      </c>
      <c r="F1258" t="str">
        <f>IF($A1258="","",IF($E1258=1,SUMIFS(Compta!$F$1:$F$675,Compta!$A$1:$A$675,$A1258,Compta!$B$1:$B$675,$B1258,Compta!$C$1:$C$675,"2026"),0))</f>
        <v/>
      </c>
      <c r="G1258" t="str">
        <f t="shared" si="210"/>
        <v/>
      </c>
      <c r="H1258" t="str">
        <f t="shared" si="211"/>
        <v/>
      </c>
      <c r="I1258" t="str">
        <f t="shared" si="212"/>
        <v/>
      </c>
      <c r="J1258" t="str">
        <f t="shared" si="213"/>
        <v/>
      </c>
      <c r="K1258" t="str">
        <f t="shared" si="214"/>
        <v/>
      </c>
      <c r="L1258" t="str">
        <f t="shared" si="215"/>
        <v/>
      </c>
      <c r="M1258" t="str">
        <f t="shared" si="216"/>
        <v/>
      </c>
      <c r="N1258" t="str">
        <f t="shared" si="217"/>
        <v/>
      </c>
      <c r="O1258" t="str">
        <f t="shared" si="218"/>
        <v/>
      </c>
      <c r="P1258" t="str">
        <f>IF($A1258="","",IF($E1258=1,$F1258*$O1258,PNL!G1258))</f>
        <v/>
      </c>
      <c r="T1258" t="str">
        <f t="shared" si="219"/>
        <v/>
      </c>
    </row>
    <row r="1259" spans="1:20" x14ac:dyDescent="0.45">
      <c r="A1259" t="str">
        <f>IF(PNL!A1259="","",PNL!A1259)</f>
        <v/>
      </c>
      <c r="B1259" t="str">
        <f>IF(PNL!B1259="","",PNL!B1259)</f>
        <v/>
      </c>
      <c r="C1259" t="str">
        <f>IF(PNL!C1259="","",PNL!C1259)</f>
        <v/>
      </c>
      <c r="D1259" t="str">
        <f>IF(PNL!D1259="","",PNL!D1259)</f>
        <v/>
      </c>
      <c r="E1259" t="str">
        <f t="shared" si="209"/>
        <v/>
      </c>
      <c r="F1259" t="str">
        <f>IF($A1259="","",IF($E1259=1,SUMIFS(Compta!$F$1:$F$675,Compta!$A$1:$A$675,$A1259,Compta!$B$1:$B$675,$B1259,Compta!$C$1:$C$675,"2026"),0))</f>
        <v/>
      </c>
      <c r="G1259" t="str">
        <f t="shared" si="210"/>
        <v/>
      </c>
      <c r="H1259" t="str">
        <f t="shared" si="211"/>
        <v/>
      </c>
      <c r="I1259" t="str">
        <f t="shared" si="212"/>
        <v/>
      </c>
      <c r="J1259" t="str">
        <f t="shared" si="213"/>
        <v/>
      </c>
      <c r="K1259" t="str">
        <f t="shared" si="214"/>
        <v/>
      </c>
      <c r="L1259" t="str">
        <f t="shared" si="215"/>
        <v/>
      </c>
      <c r="M1259" t="str">
        <f t="shared" si="216"/>
        <v/>
      </c>
      <c r="N1259" t="str">
        <f t="shared" si="217"/>
        <v/>
      </c>
      <c r="O1259" t="str">
        <f t="shared" si="218"/>
        <v/>
      </c>
      <c r="P1259" t="str">
        <f>IF($A1259="","",IF($E1259=1,$F1259*$O1259,PNL!G1259))</f>
        <v/>
      </c>
      <c r="T1259" t="str">
        <f t="shared" si="219"/>
        <v/>
      </c>
    </row>
    <row r="1260" spans="1:20" x14ac:dyDescent="0.45">
      <c r="A1260" t="str">
        <f>IF(PNL!A1260="","",PNL!A1260)</f>
        <v/>
      </c>
      <c r="B1260" t="str">
        <f>IF(PNL!B1260="","",PNL!B1260)</f>
        <v/>
      </c>
      <c r="C1260" t="str">
        <f>IF(PNL!C1260="","",PNL!C1260)</f>
        <v/>
      </c>
      <c r="D1260" t="str">
        <f>IF(PNL!D1260="","",PNL!D1260)</f>
        <v/>
      </c>
      <c r="E1260" t="str">
        <f t="shared" si="209"/>
        <v/>
      </c>
      <c r="F1260" t="str">
        <f>IF($A1260="","",IF($E1260=1,SUMIFS(Compta!$F$1:$F$675,Compta!$A$1:$A$675,$A1260,Compta!$B$1:$B$675,$B1260,Compta!$C$1:$C$675,"2026"),0))</f>
        <v/>
      </c>
      <c r="G1260" t="str">
        <f t="shared" si="210"/>
        <v/>
      </c>
      <c r="H1260" t="str">
        <f t="shared" si="211"/>
        <v/>
      </c>
      <c r="I1260" t="str">
        <f t="shared" si="212"/>
        <v/>
      </c>
      <c r="J1260" t="str">
        <f t="shared" si="213"/>
        <v/>
      </c>
      <c r="K1260" t="str">
        <f t="shared" si="214"/>
        <v/>
      </c>
      <c r="L1260" t="str">
        <f t="shared" si="215"/>
        <v/>
      </c>
      <c r="M1260" t="str">
        <f t="shared" si="216"/>
        <v/>
      </c>
      <c r="N1260" t="str">
        <f t="shared" si="217"/>
        <v/>
      </c>
      <c r="O1260" t="str">
        <f t="shared" si="218"/>
        <v/>
      </c>
      <c r="P1260" t="str">
        <f>IF($A1260="","",IF($E1260=1,$F1260*$O1260,PNL!G1260))</f>
        <v/>
      </c>
      <c r="T1260" t="str">
        <f t="shared" si="219"/>
        <v/>
      </c>
    </row>
    <row r="1261" spans="1:20" x14ac:dyDescent="0.45">
      <c r="A1261" t="str">
        <f>IF(PNL!A1261="","",PNL!A1261)</f>
        <v/>
      </c>
      <c r="B1261" t="str">
        <f>IF(PNL!B1261="","",PNL!B1261)</f>
        <v/>
      </c>
      <c r="C1261" t="str">
        <f>IF(PNL!C1261="","",PNL!C1261)</f>
        <v/>
      </c>
      <c r="D1261" t="str">
        <f>IF(PNL!D1261="","",PNL!D1261)</f>
        <v/>
      </c>
      <c r="E1261" t="str">
        <f t="shared" si="209"/>
        <v/>
      </c>
      <c r="F1261" t="str">
        <f>IF($A1261="","",IF($E1261=1,SUMIFS(Compta!$F$1:$F$675,Compta!$A$1:$A$675,$A1261,Compta!$B$1:$B$675,$B1261,Compta!$C$1:$C$675,"2026"),0))</f>
        <v/>
      </c>
      <c r="G1261" t="str">
        <f t="shared" si="210"/>
        <v/>
      </c>
      <c r="H1261" t="str">
        <f t="shared" si="211"/>
        <v/>
      </c>
      <c r="I1261" t="str">
        <f t="shared" si="212"/>
        <v/>
      </c>
      <c r="J1261" t="str">
        <f t="shared" si="213"/>
        <v/>
      </c>
      <c r="K1261" t="str">
        <f t="shared" si="214"/>
        <v/>
      </c>
      <c r="L1261" t="str">
        <f t="shared" si="215"/>
        <v/>
      </c>
      <c r="M1261" t="str">
        <f t="shared" si="216"/>
        <v/>
      </c>
      <c r="N1261" t="str">
        <f t="shared" si="217"/>
        <v/>
      </c>
      <c r="O1261" t="str">
        <f t="shared" si="218"/>
        <v/>
      </c>
      <c r="P1261" t="str">
        <f>IF($A1261="","",IF($E1261=1,$F1261*$O1261,PNL!G1261))</f>
        <v/>
      </c>
      <c r="T1261" t="str">
        <f t="shared" si="219"/>
        <v/>
      </c>
    </row>
    <row r="1262" spans="1:20" x14ac:dyDescent="0.45">
      <c r="A1262" t="str">
        <f>IF(PNL!A1262="","",PNL!A1262)</f>
        <v/>
      </c>
      <c r="B1262" t="str">
        <f>IF(PNL!B1262="","",PNL!B1262)</f>
        <v/>
      </c>
      <c r="C1262" t="str">
        <f>IF(PNL!C1262="","",PNL!C1262)</f>
        <v/>
      </c>
      <c r="D1262" t="str">
        <f>IF(PNL!D1262="","",PNL!D1262)</f>
        <v/>
      </c>
      <c r="E1262" t="str">
        <f t="shared" si="209"/>
        <v/>
      </c>
      <c r="F1262" t="str">
        <f>IF($A1262="","",IF($E1262=1,SUMIFS(Compta!$F$1:$F$675,Compta!$A$1:$A$675,$A1262,Compta!$B$1:$B$675,$B1262,Compta!$C$1:$C$675,"2026"),0))</f>
        <v/>
      </c>
      <c r="G1262" t="str">
        <f t="shared" si="210"/>
        <v/>
      </c>
      <c r="H1262" t="str">
        <f t="shared" si="211"/>
        <v/>
      </c>
      <c r="I1262" t="str">
        <f t="shared" si="212"/>
        <v/>
      </c>
      <c r="J1262" t="str">
        <f t="shared" si="213"/>
        <v/>
      </c>
      <c r="K1262" t="str">
        <f t="shared" si="214"/>
        <v/>
      </c>
      <c r="L1262" t="str">
        <f t="shared" si="215"/>
        <v/>
      </c>
      <c r="M1262" t="str">
        <f t="shared" si="216"/>
        <v/>
      </c>
      <c r="N1262" t="str">
        <f t="shared" si="217"/>
        <v/>
      </c>
      <c r="O1262" t="str">
        <f t="shared" si="218"/>
        <v/>
      </c>
      <c r="P1262" t="str">
        <f>IF($A1262="","",IF($E1262=1,$F1262*$O1262,PNL!G1262))</f>
        <v/>
      </c>
      <c r="T1262" t="str">
        <f t="shared" si="219"/>
        <v/>
      </c>
    </row>
    <row r="1263" spans="1:20" x14ac:dyDescent="0.45">
      <c r="A1263" t="str">
        <f>IF(PNL!A1263="","",PNL!A1263)</f>
        <v/>
      </c>
      <c r="B1263" t="str">
        <f>IF(PNL!B1263="","",PNL!B1263)</f>
        <v/>
      </c>
      <c r="C1263" t="str">
        <f>IF(PNL!C1263="","",PNL!C1263)</f>
        <v/>
      </c>
      <c r="D1263" t="str">
        <f>IF(PNL!D1263="","",PNL!D1263)</f>
        <v/>
      </c>
      <c r="E1263" t="str">
        <f t="shared" si="209"/>
        <v/>
      </c>
      <c r="F1263" t="str">
        <f>IF($A1263="","",IF($E1263=1,SUMIFS(Compta!$F$1:$F$675,Compta!$A$1:$A$675,$A1263,Compta!$B$1:$B$675,$B1263,Compta!$C$1:$C$675,"2026"),0))</f>
        <v/>
      </c>
      <c r="G1263" t="str">
        <f t="shared" si="210"/>
        <v/>
      </c>
      <c r="H1263" t="str">
        <f t="shared" si="211"/>
        <v/>
      </c>
      <c r="I1263" t="str">
        <f t="shared" si="212"/>
        <v/>
      </c>
      <c r="J1263" t="str">
        <f t="shared" si="213"/>
        <v/>
      </c>
      <c r="K1263" t="str">
        <f t="shared" si="214"/>
        <v/>
      </c>
      <c r="L1263" t="str">
        <f t="shared" si="215"/>
        <v/>
      </c>
      <c r="M1263" t="str">
        <f t="shared" si="216"/>
        <v/>
      </c>
      <c r="N1263" t="str">
        <f t="shared" si="217"/>
        <v/>
      </c>
      <c r="O1263" t="str">
        <f t="shared" si="218"/>
        <v/>
      </c>
      <c r="P1263" t="str">
        <f>IF($A1263="","",IF($E1263=1,$F1263*$O1263,PNL!G1263))</f>
        <v/>
      </c>
      <c r="T1263" t="str">
        <f t="shared" si="219"/>
        <v/>
      </c>
    </row>
    <row r="1264" spans="1:20" x14ac:dyDescent="0.45">
      <c r="A1264" t="str">
        <f>IF(PNL!A1264="","",PNL!A1264)</f>
        <v/>
      </c>
      <c r="B1264" t="str">
        <f>IF(PNL!B1264="","",PNL!B1264)</f>
        <v/>
      </c>
      <c r="C1264" t="str">
        <f>IF(PNL!C1264="","",PNL!C1264)</f>
        <v/>
      </c>
      <c r="D1264" t="str">
        <f>IF(PNL!D1264="","",PNL!D1264)</f>
        <v/>
      </c>
      <c r="E1264" t="str">
        <f t="shared" si="209"/>
        <v/>
      </c>
      <c r="F1264" t="str">
        <f>IF($A1264="","",IF($E1264=1,SUMIFS(Compta!$F$1:$F$675,Compta!$A$1:$A$675,$A1264,Compta!$B$1:$B$675,$B1264,Compta!$C$1:$C$675,"2026"),0))</f>
        <v/>
      </c>
      <c r="G1264" t="str">
        <f t="shared" si="210"/>
        <v/>
      </c>
      <c r="H1264" t="str">
        <f t="shared" si="211"/>
        <v/>
      </c>
      <c r="I1264" t="str">
        <f t="shared" si="212"/>
        <v/>
      </c>
      <c r="J1264" t="str">
        <f t="shared" si="213"/>
        <v/>
      </c>
      <c r="K1264" t="str">
        <f t="shared" si="214"/>
        <v/>
      </c>
      <c r="L1264" t="str">
        <f t="shared" si="215"/>
        <v/>
      </c>
      <c r="M1264" t="str">
        <f t="shared" si="216"/>
        <v/>
      </c>
      <c r="N1264" t="str">
        <f t="shared" si="217"/>
        <v/>
      </c>
      <c r="O1264" t="str">
        <f t="shared" si="218"/>
        <v/>
      </c>
      <c r="P1264" t="str">
        <f>IF($A1264="","",IF($E1264=1,$F1264*$O1264,PNL!G1264))</f>
        <v/>
      </c>
      <c r="T1264" t="str">
        <f t="shared" si="219"/>
        <v/>
      </c>
    </row>
    <row r="1265" spans="1:20" x14ac:dyDescent="0.45">
      <c r="A1265" t="str">
        <f>IF(PNL!A1265="","",PNL!A1265)</f>
        <v/>
      </c>
      <c r="B1265" t="str">
        <f>IF(PNL!B1265="","",PNL!B1265)</f>
        <v/>
      </c>
      <c r="C1265" t="str">
        <f>IF(PNL!C1265="","",PNL!C1265)</f>
        <v/>
      </c>
      <c r="D1265" t="str">
        <f>IF(PNL!D1265="","",PNL!D1265)</f>
        <v/>
      </c>
      <c r="E1265" t="str">
        <f t="shared" si="209"/>
        <v/>
      </c>
      <c r="F1265" t="str">
        <f>IF($A1265="","",IF($E1265=1,SUMIFS(Compta!$F$1:$F$675,Compta!$A$1:$A$675,$A1265,Compta!$B$1:$B$675,$B1265,Compta!$C$1:$C$675,"2026"),0))</f>
        <v/>
      </c>
      <c r="G1265" t="str">
        <f t="shared" si="210"/>
        <v/>
      </c>
      <c r="H1265" t="str">
        <f t="shared" si="211"/>
        <v/>
      </c>
      <c r="I1265" t="str">
        <f t="shared" si="212"/>
        <v/>
      </c>
      <c r="J1265" t="str">
        <f t="shared" si="213"/>
        <v/>
      </c>
      <c r="K1265" t="str">
        <f t="shared" si="214"/>
        <v/>
      </c>
      <c r="L1265" t="str">
        <f t="shared" si="215"/>
        <v/>
      </c>
      <c r="M1265" t="str">
        <f t="shared" si="216"/>
        <v/>
      </c>
      <c r="N1265" t="str">
        <f t="shared" si="217"/>
        <v/>
      </c>
      <c r="O1265" t="str">
        <f t="shared" si="218"/>
        <v/>
      </c>
      <c r="P1265" t="str">
        <f>IF($A1265="","",IF($E1265=1,$F1265*$O1265,PNL!G1265))</f>
        <v/>
      </c>
      <c r="T1265" t="str">
        <f t="shared" si="219"/>
        <v/>
      </c>
    </row>
    <row r="1266" spans="1:20" x14ac:dyDescent="0.45">
      <c r="A1266" t="str">
        <f>IF(PNL!A1266="","",PNL!A1266)</f>
        <v/>
      </c>
      <c r="B1266" t="str">
        <f>IF(PNL!B1266="","",PNL!B1266)</f>
        <v/>
      </c>
      <c r="C1266" t="str">
        <f>IF(PNL!C1266="","",PNL!C1266)</f>
        <v/>
      </c>
      <c r="D1266" t="str">
        <f>IF(PNL!D1266="","",PNL!D1266)</f>
        <v/>
      </c>
      <c r="E1266" t="str">
        <f t="shared" si="209"/>
        <v/>
      </c>
      <c r="F1266" t="str">
        <f>IF($A1266="","",IF($E1266=1,SUMIFS(Compta!$F$1:$F$675,Compta!$A$1:$A$675,$A1266,Compta!$B$1:$B$675,$B1266,Compta!$C$1:$C$675,"2026"),0))</f>
        <v/>
      </c>
      <c r="G1266" t="str">
        <f t="shared" si="210"/>
        <v/>
      </c>
      <c r="H1266" t="str">
        <f t="shared" si="211"/>
        <v/>
      </c>
      <c r="I1266" t="str">
        <f t="shared" si="212"/>
        <v/>
      </c>
      <c r="J1266" t="str">
        <f t="shared" si="213"/>
        <v/>
      </c>
      <c r="K1266" t="str">
        <f t="shared" si="214"/>
        <v/>
      </c>
      <c r="L1266" t="str">
        <f t="shared" si="215"/>
        <v/>
      </c>
      <c r="M1266" t="str">
        <f t="shared" si="216"/>
        <v/>
      </c>
      <c r="N1266" t="str">
        <f t="shared" si="217"/>
        <v/>
      </c>
      <c r="O1266" t="str">
        <f t="shared" si="218"/>
        <v/>
      </c>
      <c r="P1266" t="str">
        <f>IF($A1266="","",IF($E1266=1,$F1266*$O1266,PNL!G1266))</f>
        <v/>
      </c>
      <c r="T1266" t="str">
        <f t="shared" si="219"/>
        <v/>
      </c>
    </row>
    <row r="1267" spans="1:20" x14ac:dyDescent="0.45">
      <c r="A1267" t="str">
        <f>IF(PNL!A1267="","",PNL!A1267)</f>
        <v/>
      </c>
      <c r="B1267" t="str">
        <f>IF(PNL!B1267="","",PNL!B1267)</f>
        <v/>
      </c>
      <c r="C1267" t="str">
        <f>IF(PNL!C1267="","",PNL!C1267)</f>
        <v/>
      </c>
      <c r="D1267" t="str">
        <f>IF(PNL!D1267="","",PNL!D1267)</f>
        <v/>
      </c>
      <c r="E1267" t="str">
        <f t="shared" si="209"/>
        <v/>
      </c>
      <c r="F1267" t="str">
        <f>IF($A1267="","",IF($E1267=1,SUMIFS(Compta!$F$1:$F$675,Compta!$A$1:$A$675,$A1267,Compta!$B$1:$B$675,$B1267,Compta!$C$1:$C$675,"2026"),0))</f>
        <v/>
      </c>
      <c r="G1267" t="str">
        <f t="shared" si="210"/>
        <v/>
      </c>
      <c r="H1267" t="str">
        <f t="shared" si="211"/>
        <v/>
      </c>
      <c r="I1267" t="str">
        <f t="shared" si="212"/>
        <v/>
      </c>
      <c r="J1267" t="str">
        <f t="shared" si="213"/>
        <v/>
      </c>
      <c r="K1267" t="str">
        <f t="shared" si="214"/>
        <v/>
      </c>
      <c r="L1267" t="str">
        <f t="shared" si="215"/>
        <v/>
      </c>
      <c r="M1267" t="str">
        <f t="shared" si="216"/>
        <v/>
      </c>
      <c r="N1267" t="str">
        <f t="shared" si="217"/>
        <v/>
      </c>
      <c r="O1267" t="str">
        <f t="shared" si="218"/>
        <v/>
      </c>
      <c r="P1267" t="str">
        <f>IF($A1267="","",IF($E1267=1,$F1267*$O1267,PNL!G1267))</f>
        <v/>
      </c>
      <c r="T1267" t="str">
        <f t="shared" si="219"/>
        <v/>
      </c>
    </row>
    <row r="1268" spans="1:20" x14ac:dyDescent="0.45">
      <c r="A1268" t="str">
        <f>IF(PNL!A1268="","",PNL!A1268)</f>
        <v/>
      </c>
      <c r="B1268" t="str">
        <f>IF(PNL!B1268="","",PNL!B1268)</f>
        <v/>
      </c>
      <c r="C1268" t="str">
        <f>IF(PNL!C1268="","",PNL!C1268)</f>
        <v/>
      </c>
      <c r="D1268" t="str">
        <f>IF(PNL!D1268="","",PNL!D1268)</f>
        <v/>
      </c>
      <c r="E1268" t="str">
        <f t="shared" si="209"/>
        <v/>
      </c>
      <c r="F1268" t="str">
        <f>IF($A1268="","",IF($E1268=1,SUMIFS(Compta!$F$1:$F$675,Compta!$A$1:$A$675,$A1268,Compta!$B$1:$B$675,$B1268,Compta!$C$1:$C$675,"2026"),0))</f>
        <v/>
      </c>
      <c r="G1268" t="str">
        <f t="shared" si="210"/>
        <v/>
      </c>
      <c r="H1268" t="str">
        <f t="shared" si="211"/>
        <v/>
      </c>
      <c r="I1268" t="str">
        <f t="shared" si="212"/>
        <v/>
      </c>
      <c r="J1268" t="str">
        <f t="shared" si="213"/>
        <v/>
      </c>
      <c r="K1268" t="str">
        <f t="shared" si="214"/>
        <v/>
      </c>
      <c r="L1268" t="str">
        <f t="shared" si="215"/>
        <v/>
      </c>
      <c r="M1268" t="str">
        <f t="shared" si="216"/>
        <v/>
      </c>
      <c r="N1268" t="str">
        <f t="shared" si="217"/>
        <v/>
      </c>
      <c r="O1268" t="str">
        <f t="shared" si="218"/>
        <v/>
      </c>
      <c r="P1268" t="str">
        <f>IF($A1268="","",IF($E1268=1,$F1268*$O1268,PNL!G1268))</f>
        <v/>
      </c>
      <c r="T1268" t="str">
        <f t="shared" si="219"/>
        <v/>
      </c>
    </row>
    <row r="1269" spans="1:20" x14ac:dyDescent="0.45">
      <c r="A1269" t="str">
        <f>IF(PNL!A1269="","",PNL!A1269)</f>
        <v/>
      </c>
      <c r="B1269" t="str">
        <f>IF(PNL!B1269="","",PNL!B1269)</f>
        <v/>
      </c>
      <c r="C1269" t="str">
        <f>IF(PNL!C1269="","",PNL!C1269)</f>
        <v/>
      </c>
      <c r="D1269" t="str">
        <f>IF(PNL!D1269="","",PNL!D1269)</f>
        <v/>
      </c>
      <c r="E1269" t="str">
        <f t="shared" si="209"/>
        <v/>
      </c>
      <c r="F1269" t="str">
        <f>IF($A1269="","",IF($E1269=1,SUMIFS(Compta!$F$1:$F$675,Compta!$A$1:$A$675,$A1269,Compta!$B$1:$B$675,$B1269,Compta!$C$1:$C$675,"2026"),0))</f>
        <v/>
      </c>
      <c r="G1269" t="str">
        <f t="shared" si="210"/>
        <v/>
      </c>
      <c r="H1269" t="str">
        <f t="shared" si="211"/>
        <v/>
      </c>
      <c r="I1269" t="str">
        <f t="shared" si="212"/>
        <v/>
      </c>
      <c r="J1269" t="str">
        <f t="shared" si="213"/>
        <v/>
      </c>
      <c r="K1269" t="str">
        <f t="shared" si="214"/>
        <v/>
      </c>
      <c r="L1269" t="str">
        <f t="shared" si="215"/>
        <v/>
      </c>
      <c r="M1269" t="str">
        <f t="shared" si="216"/>
        <v/>
      </c>
      <c r="N1269" t="str">
        <f t="shared" si="217"/>
        <v/>
      </c>
      <c r="O1269" t="str">
        <f t="shared" si="218"/>
        <v/>
      </c>
      <c r="P1269" t="str">
        <f>IF($A1269="","",IF($E1269=1,$F1269*$O1269,PNL!G1269))</f>
        <v/>
      </c>
      <c r="T1269" t="str">
        <f t="shared" si="219"/>
        <v/>
      </c>
    </row>
    <row r="1270" spans="1:20" x14ac:dyDescent="0.45">
      <c r="A1270" t="str">
        <f>IF(PNL!A1270="","",PNL!A1270)</f>
        <v/>
      </c>
      <c r="B1270" t="str">
        <f>IF(PNL!B1270="","",PNL!B1270)</f>
        <v/>
      </c>
      <c r="C1270" t="str">
        <f>IF(PNL!C1270="","",PNL!C1270)</f>
        <v/>
      </c>
      <c r="D1270" t="str">
        <f>IF(PNL!D1270="","",PNL!D1270)</f>
        <v/>
      </c>
      <c r="E1270" t="str">
        <f t="shared" si="209"/>
        <v/>
      </c>
      <c r="F1270" t="str">
        <f>IF($A1270="","",IF($E1270=1,SUMIFS(Compta!$F$1:$F$675,Compta!$A$1:$A$675,$A1270,Compta!$B$1:$B$675,$B1270,Compta!$C$1:$C$675,"2026"),0))</f>
        <v/>
      </c>
      <c r="G1270" t="str">
        <f t="shared" si="210"/>
        <v/>
      </c>
      <c r="H1270" t="str">
        <f t="shared" si="211"/>
        <v/>
      </c>
      <c r="I1270" t="str">
        <f t="shared" si="212"/>
        <v/>
      </c>
      <c r="J1270" t="str">
        <f t="shared" si="213"/>
        <v/>
      </c>
      <c r="K1270" t="str">
        <f t="shared" si="214"/>
        <v/>
      </c>
      <c r="L1270" t="str">
        <f t="shared" si="215"/>
        <v/>
      </c>
      <c r="M1270" t="str">
        <f t="shared" si="216"/>
        <v/>
      </c>
      <c r="N1270" t="str">
        <f t="shared" si="217"/>
        <v/>
      </c>
      <c r="O1270" t="str">
        <f t="shared" si="218"/>
        <v/>
      </c>
      <c r="P1270" t="str">
        <f>IF($A1270="","",IF($E1270=1,$F1270*$O1270,PNL!G1270))</f>
        <v/>
      </c>
      <c r="T1270" t="str">
        <f t="shared" si="219"/>
        <v/>
      </c>
    </row>
    <row r="1271" spans="1:20" x14ac:dyDescent="0.45">
      <c r="A1271" t="str">
        <f>IF(PNL!A1271="","",PNL!A1271)</f>
        <v/>
      </c>
      <c r="B1271" t="str">
        <f>IF(PNL!B1271="","",PNL!B1271)</f>
        <v/>
      </c>
      <c r="C1271" t="str">
        <f>IF(PNL!C1271="","",PNL!C1271)</f>
        <v/>
      </c>
      <c r="D1271" t="str">
        <f>IF(PNL!D1271="","",PNL!D1271)</f>
        <v/>
      </c>
      <c r="E1271" t="str">
        <f t="shared" si="209"/>
        <v/>
      </c>
      <c r="F1271" t="str">
        <f>IF($A1271="","",IF($E1271=1,SUMIFS(Compta!$F$1:$F$675,Compta!$A$1:$A$675,$A1271,Compta!$B$1:$B$675,$B1271,Compta!$C$1:$C$675,"2026"),0))</f>
        <v/>
      </c>
      <c r="G1271" t="str">
        <f t="shared" si="210"/>
        <v/>
      </c>
      <c r="H1271" t="str">
        <f t="shared" si="211"/>
        <v/>
      </c>
      <c r="I1271" t="str">
        <f t="shared" si="212"/>
        <v/>
      </c>
      <c r="J1271" t="str">
        <f t="shared" si="213"/>
        <v/>
      </c>
      <c r="K1271" t="str">
        <f t="shared" si="214"/>
        <v/>
      </c>
      <c r="L1271" t="str">
        <f t="shared" si="215"/>
        <v/>
      </c>
      <c r="M1271" t="str">
        <f t="shared" si="216"/>
        <v/>
      </c>
      <c r="N1271" t="str">
        <f t="shared" si="217"/>
        <v/>
      </c>
      <c r="O1271" t="str">
        <f t="shared" si="218"/>
        <v/>
      </c>
      <c r="P1271" t="str">
        <f>IF($A1271="","",IF($E1271=1,$F1271*$O1271,PNL!G1271))</f>
        <v/>
      </c>
      <c r="T1271" t="str">
        <f t="shared" si="219"/>
        <v/>
      </c>
    </row>
    <row r="1272" spans="1:20" x14ac:dyDescent="0.45">
      <c r="A1272" t="str">
        <f>IF(PNL!A1272="","",PNL!A1272)</f>
        <v/>
      </c>
      <c r="B1272" t="str">
        <f>IF(PNL!B1272="","",PNL!B1272)</f>
        <v/>
      </c>
      <c r="C1272" t="str">
        <f>IF(PNL!C1272="","",PNL!C1272)</f>
        <v/>
      </c>
      <c r="D1272" t="str">
        <f>IF(PNL!D1272="","",PNL!D1272)</f>
        <v/>
      </c>
      <c r="E1272" t="str">
        <f t="shared" si="209"/>
        <v/>
      </c>
      <c r="F1272" t="str">
        <f>IF($A1272="","",IF($E1272=1,SUMIFS(Compta!$F$1:$F$675,Compta!$A$1:$A$675,$A1272,Compta!$B$1:$B$675,$B1272,Compta!$C$1:$C$675,"2026"),0))</f>
        <v/>
      </c>
      <c r="G1272" t="str">
        <f t="shared" si="210"/>
        <v/>
      </c>
      <c r="H1272" t="str">
        <f t="shared" si="211"/>
        <v/>
      </c>
      <c r="I1272" t="str">
        <f t="shared" si="212"/>
        <v/>
      </c>
      <c r="J1272" t="str">
        <f t="shared" si="213"/>
        <v/>
      </c>
      <c r="K1272" t="str">
        <f t="shared" si="214"/>
        <v/>
      </c>
      <c r="L1272" t="str">
        <f t="shared" si="215"/>
        <v/>
      </c>
      <c r="M1272" t="str">
        <f t="shared" si="216"/>
        <v/>
      </c>
      <c r="N1272" t="str">
        <f t="shared" si="217"/>
        <v/>
      </c>
      <c r="O1272" t="str">
        <f t="shared" si="218"/>
        <v/>
      </c>
      <c r="P1272" t="str">
        <f>IF($A1272="","",IF($E1272=1,$F1272*$O1272,PNL!G1272))</f>
        <v/>
      </c>
      <c r="T1272" t="str">
        <f t="shared" si="219"/>
        <v/>
      </c>
    </row>
    <row r="1273" spans="1:20" x14ac:dyDescent="0.45">
      <c r="A1273" t="str">
        <f>IF(PNL!A1273="","",PNL!A1273)</f>
        <v/>
      </c>
      <c r="B1273" t="str">
        <f>IF(PNL!B1273="","",PNL!B1273)</f>
        <v/>
      </c>
      <c r="C1273" t="str">
        <f>IF(PNL!C1273="","",PNL!C1273)</f>
        <v/>
      </c>
      <c r="D1273" t="str">
        <f>IF(PNL!D1273="","",PNL!D1273)</f>
        <v/>
      </c>
      <c r="E1273" t="str">
        <f t="shared" si="209"/>
        <v/>
      </c>
      <c r="F1273" t="str">
        <f>IF($A1273="","",IF($E1273=1,SUMIFS(Compta!$F$1:$F$675,Compta!$A$1:$A$675,$A1273,Compta!$B$1:$B$675,$B1273,Compta!$C$1:$C$675,"2026"),0))</f>
        <v/>
      </c>
      <c r="G1273" t="str">
        <f t="shared" si="210"/>
        <v/>
      </c>
      <c r="H1273" t="str">
        <f t="shared" si="211"/>
        <v/>
      </c>
      <c r="I1273" t="str">
        <f t="shared" si="212"/>
        <v/>
      </c>
      <c r="J1273" t="str">
        <f t="shared" si="213"/>
        <v/>
      </c>
      <c r="K1273" t="str">
        <f t="shared" si="214"/>
        <v/>
      </c>
      <c r="L1273" t="str">
        <f t="shared" si="215"/>
        <v/>
      </c>
      <c r="M1273" t="str">
        <f t="shared" si="216"/>
        <v/>
      </c>
      <c r="N1273" t="str">
        <f t="shared" si="217"/>
        <v/>
      </c>
      <c r="O1273" t="str">
        <f t="shared" si="218"/>
        <v/>
      </c>
      <c r="P1273" t="str">
        <f>IF($A1273="","",IF($E1273=1,$F1273*$O1273,PNL!G1273))</f>
        <v/>
      </c>
      <c r="T1273" t="str">
        <f t="shared" si="219"/>
        <v/>
      </c>
    </row>
    <row r="1274" spans="1:20" x14ac:dyDescent="0.45">
      <c r="A1274" t="str">
        <f>IF(PNL!A1274="","",PNL!A1274)</f>
        <v/>
      </c>
      <c r="B1274" t="str">
        <f>IF(PNL!B1274="","",PNL!B1274)</f>
        <v/>
      </c>
      <c r="C1274" t="str">
        <f>IF(PNL!C1274="","",PNL!C1274)</f>
        <v/>
      </c>
      <c r="D1274" t="str">
        <f>IF(PNL!D1274="","",PNL!D1274)</f>
        <v/>
      </c>
      <c r="E1274" t="str">
        <f t="shared" si="209"/>
        <v/>
      </c>
      <c r="F1274" t="str">
        <f>IF($A1274="","",IF($E1274=1,SUMIFS(Compta!$F$1:$F$675,Compta!$A$1:$A$675,$A1274,Compta!$B$1:$B$675,$B1274,Compta!$C$1:$C$675,"2026"),0))</f>
        <v/>
      </c>
      <c r="G1274" t="str">
        <f t="shared" si="210"/>
        <v/>
      </c>
      <c r="H1274" t="str">
        <f t="shared" si="211"/>
        <v/>
      </c>
      <c r="I1274" t="str">
        <f t="shared" si="212"/>
        <v/>
      </c>
      <c r="J1274" t="str">
        <f t="shared" si="213"/>
        <v/>
      </c>
      <c r="K1274" t="str">
        <f t="shared" si="214"/>
        <v/>
      </c>
      <c r="L1274" t="str">
        <f t="shared" si="215"/>
        <v/>
      </c>
      <c r="M1274" t="str">
        <f t="shared" si="216"/>
        <v/>
      </c>
      <c r="N1274" t="str">
        <f t="shared" si="217"/>
        <v/>
      </c>
      <c r="O1274" t="str">
        <f t="shared" si="218"/>
        <v/>
      </c>
      <c r="P1274" t="str">
        <f>IF($A1274="","",IF($E1274=1,$F1274*$O1274,PNL!G1274))</f>
        <v/>
      </c>
      <c r="T1274" t="str">
        <f t="shared" si="219"/>
        <v/>
      </c>
    </row>
    <row r="1275" spans="1:20" x14ac:dyDescent="0.45">
      <c r="A1275" t="str">
        <f>IF(PNL!A1275="","",PNL!A1275)</f>
        <v/>
      </c>
      <c r="B1275" t="str">
        <f>IF(PNL!B1275="","",PNL!B1275)</f>
        <v/>
      </c>
      <c r="C1275" t="str">
        <f>IF(PNL!C1275="","",PNL!C1275)</f>
        <v/>
      </c>
      <c r="D1275" t="str">
        <f>IF(PNL!D1275="","",PNL!D1275)</f>
        <v/>
      </c>
      <c r="E1275" t="str">
        <f t="shared" si="209"/>
        <v/>
      </c>
      <c r="F1275" t="str">
        <f>IF($A1275="","",IF($E1275=1,SUMIFS(Compta!$F$1:$F$675,Compta!$A$1:$A$675,$A1275,Compta!$B$1:$B$675,$B1275,Compta!$C$1:$C$675,"2026"),0))</f>
        <v/>
      </c>
      <c r="G1275" t="str">
        <f t="shared" si="210"/>
        <v/>
      </c>
      <c r="H1275" t="str">
        <f t="shared" si="211"/>
        <v/>
      </c>
      <c r="I1275" t="str">
        <f t="shared" si="212"/>
        <v/>
      </c>
      <c r="J1275" t="str">
        <f t="shared" si="213"/>
        <v/>
      </c>
      <c r="K1275" t="str">
        <f t="shared" si="214"/>
        <v/>
      </c>
      <c r="L1275" t="str">
        <f t="shared" si="215"/>
        <v/>
      </c>
      <c r="M1275" t="str">
        <f t="shared" si="216"/>
        <v/>
      </c>
      <c r="N1275" t="str">
        <f t="shared" si="217"/>
        <v/>
      </c>
      <c r="O1275" t="str">
        <f t="shared" si="218"/>
        <v/>
      </c>
      <c r="P1275" t="str">
        <f>IF($A1275="","",IF($E1275=1,$F1275*$O1275,PNL!G1275))</f>
        <v/>
      </c>
      <c r="T1275" t="str">
        <f t="shared" si="219"/>
        <v/>
      </c>
    </row>
    <row r="1276" spans="1:20" x14ac:dyDescent="0.45">
      <c r="A1276" t="str">
        <f>IF(PNL!A1276="","",PNL!A1276)</f>
        <v/>
      </c>
      <c r="B1276" t="str">
        <f>IF(PNL!B1276="","",PNL!B1276)</f>
        <v/>
      </c>
      <c r="C1276" t="str">
        <f>IF(PNL!C1276="","",PNL!C1276)</f>
        <v/>
      </c>
      <c r="D1276" t="str">
        <f>IF(PNL!D1276="","",PNL!D1276)</f>
        <v/>
      </c>
      <c r="E1276" t="str">
        <f t="shared" si="209"/>
        <v/>
      </c>
      <c r="F1276" t="str">
        <f>IF($A1276="","",IF($E1276=1,SUMIFS(Compta!$F$1:$F$675,Compta!$A$1:$A$675,$A1276,Compta!$B$1:$B$675,$B1276,Compta!$C$1:$C$675,"2026"),0))</f>
        <v/>
      </c>
      <c r="G1276" t="str">
        <f t="shared" si="210"/>
        <v/>
      </c>
      <c r="H1276" t="str">
        <f t="shared" si="211"/>
        <v/>
      </c>
      <c r="I1276" t="str">
        <f t="shared" si="212"/>
        <v/>
      </c>
      <c r="J1276" t="str">
        <f t="shared" si="213"/>
        <v/>
      </c>
      <c r="K1276" t="str">
        <f t="shared" si="214"/>
        <v/>
      </c>
      <c r="L1276" t="str">
        <f t="shared" si="215"/>
        <v/>
      </c>
      <c r="M1276" t="str">
        <f t="shared" si="216"/>
        <v/>
      </c>
      <c r="N1276" t="str">
        <f t="shared" si="217"/>
        <v/>
      </c>
      <c r="O1276" t="str">
        <f t="shared" si="218"/>
        <v/>
      </c>
      <c r="P1276" t="str">
        <f>IF($A1276="","",IF($E1276=1,$F1276*$O1276,PNL!G1276))</f>
        <v/>
      </c>
      <c r="T1276" t="str">
        <f t="shared" si="219"/>
        <v/>
      </c>
    </row>
    <row r="1277" spans="1:20" x14ac:dyDescent="0.45">
      <c r="A1277" t="str">
        <f>IF(PNL!A1277="","",PNL!A1277)</f>
        <v/>
      </c>
      <c r="B1277" t="str">
        <f>IF(PNL!B1277="","",PNL!B1277)</f>
        <v/>
      </c>
      <c r="C1277" t="str">
        <f>IF(PNL!C1277="","",PNL!C1277)</f>
        <v/>
      </c>
      <c r="D1277" t="str">
        <f>IF(PNL!D1277="","",PNL!D1277)</f>
        <v/>
      </c>
      <c r="E1277" t="str">
        <f t="shared" si="209"/>
        <v/>
      </c>
      <c r="F1277" t="str">
        <f>IF($A1277="","",IF($E1277=1,SUMIFS(Compta!$F$1:$F$675,Compta!$A$1:$A$675,$A1277,Compta!$B$1:$B$675,$B1277,Compta!$C$1:$C$675,"2026"),0))</f>
        <v/>
      </c>
      <c r="G1277" t="str">
        <f t="shared" si="210"/>
        <v/>
      </c>
      <c r="H1277" t="str">
        <f t="shared" si="211"/>
        <v/>
      </c>
      <c r="I1277" t="str">
        <f t="shared" si="212"/>
        <v/>
      </c>
      <c r="J1277" t="str">
        <f t="shared" si="213"/>
        <v/>
      </c>
      <c r="K1277" t="str">
        <f t="shared" si="214"/>
        <v/>
      </c>
      <c r="L1277" t="str">
        <f t="shared" si="215"/>
        <v/>
      </c>
      <c r="M1277" t="str">
        <f t="shared" si="216"/>
        <v/>
      </c>
      <c r="N1277" t="str">
        <f t="shared" si="217"/>
        <v/>
      </c>
      <c r="O1277" t="str">
        <f t="shared" si="218"/>
        <v/>
      </c>
      <c r="P1277" t="str">
        <f>IF($A1277="","",IF($E1277=1,$F1277*$O1277,PNL!G1277))</f>
        <v/>
      </c>
      <c r="T1277" t="str">
        <f t="shared" si="219"/>
        <v/>
      </c>
    </row>
    <row r="1278" spans="1:20" x14ac:dyDescent="0.45">
      <c r="A1278" t="str">
        <f>IF(PNL!A1278="","",PNL!A1278)</f>
        <v/>
      </c>
      <c r="B1278" t="str">
        <f>IF(PNL!B1278="","",PNL!B1278)</f>
        <v/>
      </c>
      <c r="C1278" t="str">
        <f>IF(PNL!C1278="","",PNL!C1278)</f>
        <v/>
      </c>
      <c r="D1278" t="str">
        <f>IF(PNL!D1278="","",PNL!D1278)</f>
        <v/>
      </c>
      <c r="E1278" t="str">
        <f t="shared" si="209"/>
        <v/>
      </c>
      <c r="F1278" t="str">
        <f>IF($A1278="","",IF($E1278=1,SUMIFS(Compta!$F$1:$F$675,Compta!$A$1:$A$675,$A1278,Compta!$B$1:$B$675,$B1278,Compta!$C$1:$C$675,"2026"),0))</f>
        <v/>
      </c>
      <c r="G1278" t="str">
        <f t="shared" si="210"/>
        <v/>
      </c>
      <c r="H1278" t="str">
        <f t="shared" si="211"/>
        <v/>
      </c>
      <c r="I1278" t="str">
        <f t="shared" si="212"/>
        <v/>
      </c>
      <c r="J1278" t="str">
        <f t="shared" si="213"/>
        <v/>
      </c>
      <c r="K1278" t="str">
        <f t="shared" si="214"/>
        <v/>
      </c>
      <c r="L1278" t="str">
        <f t="shared" si="215"/>
        <v/>
      </c>
      <c r="M1278" t="str">
        <f t="shared" si="216"/>
        <v/>
      </c>
      <c r="N1278" t="str">
        <f t="shared" si="217"/>
        <v/>
      </c>
      <c r="O1278" t="str">
        <f t="shared" si="218"/>
        <v/>
      </c>
      <c r="P1278" t="str">
        <f>IF($A1278="","",IF($E1278=1,$F1278*$O1278,PNL!G1278))</f>
        <v/>
      </c>
      <c r="T1278" t="str">
        <f t="shared" si="219"/>
        <v/>
      </c>
    </row>
    <row r="1279" spans="1:20" x14ac:dyDescent="0.45">
      <c r="A1279" t="str">
        <f>IF(PNL!A1279="","",PNL!A1279)</f>
        <v/>
      </c>
      <c r="B1279" t="str">
        <f>IF(PNL!B1279="","",PNL!B1279)</f>
        <v/>
      </c>
      <c r="C1279" t="str">
        <f>IF(PNL!C1279="","",PNL!C1279)</f>
        <v/>
      </c>
      <c r="D1279" t="str">
        <f>IF(PNL!D1279="","",PNL!D1279)</f>
        <v/>
      </c>
      <c r="E1279" t="str">
        <f t="shared" si="209"/>
        <v/>
      </c>
      <c r="F1279" t="str">
        <f>IF($A1279="","",IF($E1279=1,SUMIFS(Compta!$F$1:$F$675,Compta!$A$1:$A$675,$A1279,Compta!$B$1:$B$675,$B1279,Compta!$C$1:$C$675,"2026"),0))</f>
        <v/>
      </c>
      <c r="G1279" t="str">
        <f t="shared" si="210"/>
        <v/>
      </c>
      <c r="H1279" t="str">
        <f t="shared" si="211"/>
        <v/>
      </c>
      <c r="I1279" t="str">
        <f t="shared" si="212"/>
        <v/>
      </c>
      <c r="J1279" t="str">
        <f t="shared" si="213"/>
        <v/>
      </c>
      <c r="K1279" t="str">
        <f t="shared" si="214"/>
        <v/>
      </c>
      <c r="L1279" t="str">
        <f t="shared" si="215"/>
        <v/>
      </c>
      <c r="M1279" t="str">
        <f t="shared" si="216"/>
        <v/>
      </c>
      <c r="N1279" t="str">
        <f t="shared" si="217"/>
        <v/>
      </c>
      <c r="O1279" t="str">
        <f t="shared" si="218"/>
        <v/>
      </c>
      <c r="P1279" t="str">
        <f>IF($A1279="","",IF($E1279=1,$F1279*$O1279,PNL!G1279))</f>
        <v/>
      </c>
      <c r="T1279" t="str">
        <f t="shared" si="219"/>
        <v/>
      </c>
    </row>
    <row r="1280" spans="1:20" x14ac:dyDescent="0.45">
      <c r="A1280" t="str">
        <f>IF(PNL!A1280="","",PNL!A1280)</f>
        <v/>
      </c>
      <c r="B1280" t="str">
        <f>IF(PNL!B1280="","",PNL!B1280)</f>
        <v/>
      </c>
      <c r="C1280" t="str">
        <f>IF(PNL!C1280="","",PNL!C1280)</f>
        <v/>
      </c>
      <c r="D1280" t="str">
        <f>IF(PNL!D1280="","",PNL!D1280)</f>
        <v/>
      </c>
      <c r="E1280" t="str">
        <f t="shared" si="209"/>
        <v/>
      </c>
      <c r="F1280" t="str">
        <f>IF($A1280="","",IF($E1280=1,SUMIFS(Compta!$F$1:$F$675,Compta!$A$1:$A$675,$A1280,Compta!$B$1:$B$675,$B1280,Compta!$C$1:$C$675,"2026"),0))</f>
        <v/>
      </c>
      <c r="G1280" t="str">
        <f t="shared" si="210"/>
        <v/>
      </c>
      <c r="H1280" t="str">
        <f t="shared" si="211"/>
        <v/>
      </c>
      <c r="I1280" t="str">
        <f t="shared" si="212"/>
        <v/>
      </c>
      <c r="J1280" t="str">
        <f t="shared" si="213"/>
        <v/>
      </c>
      <c r="K1280" t="str">
        <f t="shared" si="214"/>
        <v/>
      </c>
      <c r="L1280" t="str">
        <f t="shared" si="215"/>
        <v/>
      </c>
      <c r="M1280" t="str">
        <f t="shared" si="216"/>
        <v/>
      </c>
      <c r="N1280" t="str">
        <f t="shared" si="217"/>
        <v/>
      </c>
      <c r="O1280" t="str">
        <f t="shared" si="218"/>
        <v/>
      </c>
      <c r="P1280" t="str">
        <f>IF($A1280="","",IF($E1280=1,$F1280*$O1280,PNL!G1280))</f>
        <v/>
      </c>
      <c r="T1280" t="str">
        <f t="shared" si="219"/>
        <v/>
      </c>
    </row>
    <row r="1281" spans="1:20" x14ac:dyDescent="0.45">
      <c r="A1281" t="str">
        <f>IF(PNL!A1281="","",PNL!A1281)</f>
        <v/>
      </c>
      <c r="B1281" t="str">
        <f>IF(PNL!B1281="","",PNL!B1281)</f>
        <v/>
      </c>
      <c r="C1281" t="str">
        <f>IF(PNL!C1281="","",PNL!C1281)</f>
        <v/>
      </c>
      <c r="D1281" t="str">
        <f>IF(PNL!D1281="","",PNL!D1281)</f>
        <v/>
      </c>
      <c r="E1281" t="str">
        <f t="shared" si="209"/>
        <v/>
      </c>
      <c r="F1281" t="str">
        <f>IF($A1281="","",IF($E1281=1,SUMIFS(Compta!$F$1:$F$675,Compta!$A$1:$A$675,$A1281,Compta!$B$1:$B$675,$B1281,Compta!$C$1:$C$675,"2026"),0))</f>
        <v/>
      </c>
      <c r="G1281" t="str">
        <f t="shared" si="210"/>
        <v/>
      </c>
      <c r="H1281" t="str">
        <f t="shared" si="211"/>
        <v/>
      </c>
      <c r="I1281" t="str">
        <f t="shared" si="212"/>
        <v/>
      </c>
      <c r="J1281" t="str">
        <f t="shared" si="213"/>
        <v/>
      </c>
      <c r="K1281" t="str">
        <f t="shared" si="214"/>
        <v/>
      </c>
      <c r="L1281" t="str">
        <f t="shared" si="215"/>
        <v/>
      </c>
      <c r="M1281" t="str">
        <f t="shared" si="216"/>
        <v/>
      </c>
      <c r="N1281" t="str">
        <f t="shared" si="217"/>
        <v/>
      </c>
      <c r="O1281" t="str">
        <f t="shared" si="218"/>
        <v/>
      </c>
      <c r="P1281" t="str">
        <f>IF($A1281="","",IF($E1281=1,$F1281*$O1281,PNL!G1281))</f>
        <v/>
      </c>
      <c r="T1281" t="str">
        <f t="shared" si="219"/>
        <v/>
      </c>
    </row>
    <row r="1282" spans="1:20" x14ac:dyDescent="0.45">
      <c r="A1282" t="str">
        <f>IF(PNL!A1282="","",PNL!A1282)</f>
        <v/>
      </c>
      <c r="B1282" t="str">
        <f>IF(PNL!B1282="","",PNL!B1282)</f>
        <v/>
      </c>
      <c r="C1282" t="str">
        <f>IF(PNL!C1282="","",PNL!C1282)</f>
        <v/>
      </c>
      <c r="D1282" t="str">
        <f>IF(PNL!D1282="","",PNL!D1282)</f>
        <v/>
      </c>
      <c r="E1282" t="str">
        <f t="shared" ref="E1282:E1345" si="220">IF($A1282="","",IF(AND($C1282="2027",OR($D1282="V01",$D1282="V02",$D1282="V03")),1,0))</f>
        <v/>
      </c>
      <c r="F1282" t="str">
        <f>IF($A1282="","",IF($E1282=1,SUMIFS(Compta!$F$1:$F$675,Compta!$A$1:$A$675,$A1282,Compta!$B$1:$B$675,$B1282,Compta!$C$1:$C$675,"2026"),0))</f>
        <v/>
      </c>
      <c r="G1282" t="str">
        <f t="shared" ref="G1282:G1345" si="221">IF($A1282="","",IF($D1282="V01",cad!$C$23,IF($D1282="V02",cad!$D$23,cad!$E$23)))</f>
        <v/>
      </c>
      <c r="H1282" t="str">
        <f t="shared" ref="H1282:H1345" si="222">IF($A1282="","",IF($D1282="V01",cad!$C$24,IF($D1282="V02",cad!$D$24,cad!$E$24)))</f>
        <v/>
      </c>
      <c r="I1282" t="str">
        <f t="shared" ref="I1282:I1345" si="223">IF($A1282="","",IF($D1282="V01",cad!$C$32,IF($D1282="V02",cad!$D$32,cad!$E$32)))</f>
        <v/>
      </c>
      <c r="J1282" t="str">
        <f t="shared" ref="J1282:J1345" si="224">IF($A1282="","",IF($D1282="V01",cad!$C$33,IF($D1282="V02",cad!$D$33,cad!$E$33)))</f>
        <v/>
      </c>
      <c r="K1282" t="str">
        <f t="shared" ref="K1282:K1345" si="225">IF($A1282="","",IF($D1282="V01",cad!$C$34,IF($D1282="V02",cad!$D$34,cad!$E$34)))</f>
        <v/>
      </c>
      <c r="L1282" t="str">
        <f t="shared" ref="L1282:L1345" si="226">IF($A1282="","",IF($D1282="V01",cad!$C$35,IF($D1282="V02",cad!$D$35,cad!$E$35)))</f>
        <v/>
      </c>
      <c r="M1282" t="str">
        <f t="shared" ref="M1282:M1345" si="227">IF($A1282="","",IF($D1282="V01",cad!$C$36,IF($D1282="V02",cad!$D$36,cad!$E$36)))</f>
        <v/>
      </c>
      <c r="N1282" t="str">
        <f t="shared" ref="N1282:N1345" si="228">IF($A1282="","",IF($D1282="V01",$R$2,IF($D1282="V02",$R$3,$R$4)))</f>
        <v/>
      </c>
      <c r="O1282" t="str">
        <f t="shared" ref="O1282:O1345" si="229">IF($A1282="","",IF(OR($B1282="7062",$B1282="706",$B1282="708"),$N1282,IF($B1282="6231",1+$G1282,IF($B1282="6236",1+$H1282,IF(OR($B1282="621",$B1282="604",$B1282="6063"),$N1282*(1-$L1282),IF(OR($B1282="6411",$B1282="6413",$B1282="6414",$B1282="645"),(1+$J1282)*(1+$K1282),IF(OR($B1282="613",$B1282="615",$B1282="616",$B1282="6226",$B1282="625",$B1282="626",$B1282="6281"),(1+$I1282)*(1-$L1282)*(1+$M1282),IF(OR($B1282="6331",$B1282="63511",$B1282="6333"),(1+$I1282)*(1-$L1282),IF($B1282="6811",1+$I1282,1)))))))))</f>
        <v/>
      </c>
      <c r="P1282" t="str">
        <f>IF($A1282="","",IF($E1282=1,$F1282*$O1282,PNL!G1282))</f>
        <v/>
      </c>
      <c r="T1282" t="str">
        <f t="shared" ref="T1282:T1345" si="230">IF($A1282="","",IF($E1282=1,IF(OR($B1282="7062",$B1282="706",$B1282="708"),$P1282,IF(AND(LEFT($B1282,1)="6",$B1282&lt;&gt;"6811"),-$P1282,0)),0))</f>
        <v/>
      </c>
    </row>
    <row r="1283" spans="1:20" x14ac:dyDescent="0.45">
      <c r="A1283" t="str">
        <f>IF(PNL!A1283="","",PNL!A1283)</f>
        <v/>
      </c>
      <c r="B1283" t="str">
        <f>IF(PNL!B1283="","",PNL!B1283)</f>
        <v/>
      </c>
      <c r="C1283" t="str">
        <f>IF(PNL!C1283="","",PNL!C1283)</f>
        <v/>
      </c>
      <c r="D1283" t="str">
        <f>IF(PNL!D1283="","",PNL!D1283)</f>
        <v/>
      </c>
      <c r="E1283" t="str">
        <f t="shared" si="220"/>
        <v/>
      </c>
      <c r="F1283" t="str">
        <f>IF($A1283="","",IF($E1283=1,SUMIFS(Compta!$F$1:$F$675,Compta!$A$1:$A$675,$A1283,Compta!$B$1:$B$675,$B1283,Compta!$C$1:$C$675,"2026"),0))</f>
        <v/>
      </c>
      <c r="G1283" t="str">
        <f t="shared" si="221"/>
        <v/>
      </c>
      <c r="H1283" t="str">
        <f t="shared" si="222"/>
        <v/>
      </c>
      <c r="I1283" t="str">
        <f t="shared" si="223"/>
        <v/>
      </c>
      <c r="J1283" t="str">
        <f t="shared" si="224"/>
        <v/>
      </c>
      <c r="K1283" t="str">
        <f t="shared" si="225"/>
        <v/>
      </c>
      <c r="L1283" t="str">
        <f t="shared" si="226"/>
        <v/>
      </c>
      <c r="M1283" t="str">
        <f t="shared" si="227"/>
        <v/>
      </c>
      <c r="N1283" t="str">
        <f t="shared" si="228"/>
        <v/>
      </c>
      <c r="O1283" t="str">
        <f t="shared" si="229"/>
        <v/>
      </c>
      <c r="P1283" t="str">
        <f>IF($A1283="","",IF($E1283=1,$F1283*$O1283,PNL!G1283))</f>
        <v/>
      </c>
      <c r="T1283" t="str">
        <f t="shared" si="230"/>
        <v/>
      </c>
    </row>
    <row r="1284" spans="1:20" x14ac:dyDescent="0.45">
      <c r="A1284" t="str">
        <f>IF(PNL!A1284="","",PNL!A1284)</f>
        <v/>
      </c>
      <c r="B1284" t="str">
        <f>IF(PNL!B1284="","",PNL!B1284)</f>
        <v/>
      </c>
      <c r="C1284" t="str">
        <f>IF(PNL!C1284="","",PNL!C1284)</f>
        <v/>
      </c>
      <c r="D1284" t="str">
        <f>IF(PNL!D1284="","",PNL!D1284)</f>
        <v/>
      </c>
      <c r="E1284" t="str">
        <f t="shared" si="220"/>
        <v/>
      </c>
      <c r="F1284" t="str">
        <f>IF($A1284="","",IF($E1284=1,SUMIFS(Compta!$F$1:$F$675,Compta!$A$1:$A$675,$A1284,Compta!$B$1:$B$675,$B1284,Compta!$C$1:$C$675,"2026"),0))</f>
        <v/>
      </c>
      <c r="G1284" t="str">
        <f t="shared" si="221"/>
        <v/>
      </c>
      <c r="H1284" t="str">
        <f t="shared" si="222"/>
        <v/>
      </c>
      <c r="I1284" t="str">
        <f t="shared" si="223"/>
        <v/>
      </c>
      <c r="J1284" t="str">
        <f t="shared" si="224"/>
        <v/>
      </c>
      <c r="K1284" t="str">
        <f t="shared" si="225"/>
        <v/>
      </c>
      <c r="L1284" t="str">
        <f t="shared" si="226"/>
        <v/>
      </c>
      <c r="M1284" t="str">
        <f t="shared" si="227"/>
        <v/>
      </c>
      <c r="N1284" t="str">
        <f t="shared" si="228"/>
        <v/>
      </c>
      <c r="O1284" t="str">
        <f t="shared" si="229"/>
        <v/>
      </c>
      <c r="P1284" t="str">
        <f>IF($A1284="","",IF($E1284=1,$F1284*$O1284,PNL!G1284))</f>
        <v/>
      </c>
      <c r="T1284" t="str">
        <f t="shared" si="230"/>
        <v/>
      </c>
    </row>
    <row r="1285" spans="1:20" x14ac:dyDescent="0.45">
      <c r="A1285" t="str">
        <f>IF(PNL!A1285="","",PNL!A1285)</f>
        <v/>
      </c>
      <c r="B1285" t="str">
        <f>IF(PNL!B1285="","",PNL!B1285)</f>
        <v/>
      </c>
      <c r="C1285" t="str">
        <f>IF(PNL!C1285="","",PNL!C1285)</f>
        <v/>
      </c>
      <c r="D1285" t="str">
        <f>IF(PNL!D1285="","",PNL!D1285)</f>
        <v/>
      </c>
      <c r="E1285" t="str">
        <f t="shared" si="220"/>
        <v/>
      </c>
      <c r="F1285" t="str">
        <f>IF($A1285="","",IF($E1285=1,SUMIFS(Compta!$F$1:$F$675,Compta!$A$1:$A$675,$A1285,Compta!$B$1:$B$675,$B1285,Compta!$C$1:$C$675,"2026"),0))</f>
        <v/>
      </c>
      <c r="G1285" t="str">
        <f t="shared" si="221"/>
        <v/>
      </c>
      <c r="H1285" t="str">
        <f t="shared" si="222"/>
        <v/>
      </c>
      <c r="I1285" t="str">
        <f t="shared" si="223"/>
        <v/>
      </c>
      <c r="J1285" t="str">
        <f t="shared" si="224"/>
        <v/>
      </c>
      <c r="K1285" t="str">
        <f t="shared" si="225"/>
        <v/>
      </c>
      <c r="L1285" t="str">
        <f t="shared" si="226"/>
        <v/>
      </c>
      <c r="M1285" t="str">
        <f t="shared" si="227"/>
        <v/>
      </c>
      <c r="N1285" t="str">
        <f t="shared" si="228"/>
        <v/>
      </c>
      <c r="O1285" t="str">
        <f t="shared" si="229"/>
        <v/>
      </c>
      <c r="P1285" t="str">
        <f>IF($A1285="","",IF($E1285=1,$F1285*$O1285,PNL!G1285))</f>
        <v/>
      </c>
      <c r="T1285" t="str">
        <f t="shared" si="230"/>
        <v/>
      </c>
    </row>
    <row r="1286" spans="1:20" x14ac:dyDescent="0.45">
      <c r="A1286" t="str">
        <f>IF(PNL!A1286="","",PNL!A1286)</f>
        <v/>
      </c>
      <c r="B1286" t="str">
        <f>IF(PNL!B1286="","",PNL!B1286)</f>
        <v/>
      </c>
      <c r="C1286" t="str">
        <f>IF(PNL!C1286="","",PNL!C1286)</f>
        <v/>
      </c>
      <c r="D1286" t="str">
        <f>IF(PNL!D1286="","",PNL!D1286)</f>
        <v/>
      </c>
      <c r="E1286" t="str">
        <f t="shared" si="220"/>
        <v/>
      </c>
      <c r="F1286" t="str">
        <f>IF($A1286="","",IF($E1286=1,SUMIFS(Compta!$F$1:$F$675,Compta!$A$1:$A$675,$A1286,Compta!$B$1:$B$675,$B1286,Compta!$C$1:$C$675,"2026"),0))</f>
        <v/>
      </c>
      <c r="G1286" t="str">
        <f t="shared" si="221"/>
        <v/>
      </c>
      <c r="H1286" t="str">
        <f t="shared" si="222"/>
        <v/>
      </c>
      <c r="I1286" t="str">
        <f t="shared" si="223"/>
        <v/>
      </c>
      <c r="J1286" t="str">
        <f t="shared" si="224"/>
        <v/>
      </c>
      <c r="K1286" t="str">
        <f t="shared" si="225"/>
        <v/>
      </c>
      <c r="L1286" t="str">
        <f t="shared" si="226"/>
        <v/>
      </c>
      <c r="M1286" t="str">
        <f t="shared" si="227"/>
        <v/>
      </c>
      <c r="N1286" t="str">
        <f t="shared" si="228"/>
        <v/>
      </c>
      <c r="O1286" t="str">
        <f t="shared" si="229"/>
        <v/>
      </c>
      <c r="P1286" t="str">
        <f>IF($A1286="","",IF($E1286=1,$F1286*$O1286,PNL!G1286))</f>
        <v/>
      </c>
      <c r="T1286" t="str">
        <f t="shared" si="230"/>
        <v/>
      </c>
    </row>
    <row r="1287" spans="1:20" x14ac:dyDescent="0.45">
      <c r="A1287" t="str">
        <f>IF(PNL!A1287="","",PNL!A1287)</f>
        <v/>
      </c>
      <c r="B1287" t="str">
        <f>IF(PNL!B1287="","",PNL!B1287)</f>
        <v/>
      </c>
      <c r="C1287" t="str">
        <f>IF(PNL!C1287="","",PNL!C1287)</f>
        <v/>
      </c>
      <c r="D1287" t="str">
        <f>IF(PNL!D1287="","",PNL!D1287)</f>
        <v/>
      </c>
      <c r="E1287" t="str">
        <f t="shared" si="220"/>
        <v/>
      </c>
      <c r="F1287" t="str">
        <f>IF($A1287="","",IF($E1287=1,SUMIFS(Compta!$F$1:$F$675,Compta!$A$1:$A$675,$A1287,Compta!$B$1:$B$675,$B1287,Compta!$C$1:$C$675,"2026"),0))</f>
        <v/>
      </c>
      <c r="G1287" t="str">
        <f t="shared" si="221"/>
        <v/>
      </c>
      <c r="H1287" t="str">
        <f t="shared" si="222"/>
        <v/>
      </c>
      <c r="I1287" t="str">
        <f t="shared" si="223"/>
        <v/>
      </c>
      <c r="J1287" t="str">
        <f t="shared" si="224"/>
        <v/>
      </c>
      <c r="K1287" t="str">
        <f t="shared" si="225"/>
        <v/>
      </c>
      <c r="L1287" t="str">
        <f t="shared" si="226"/>
        <v/>
      </c>
      <c r="M1287" t="str">
        <f t="shared" si="227"/>
        <v/>
      </c>
      <c r="N1287" t="str">
        <f t="shared" si="228"/>
        <v/>
      </c>
      <c r="O1287" t="str">
        <f t="shared" si="229"/>
        <v/>
      </c>
      <c r="P1287" t="str">
        <f>IF($A1287="","",IF($E1287=1,$F1287*$O1287,PNL!G1287))</f>
        <v/>
      </c>
      <c r="T1287" t="str">
        <f t="shared" si="230"/>
        <v/>
      </c>
    </row>
    <row r="1288" spans="1:20" x14ac:dyDescent="0.45">
      <c r="A1288" t="str">
        <f>IF(PNL!A1288="","",PNL!A1288)</f>
        <v/>
      </c>
      <c r="B1288" t="str">
        <f>IF(PNL!B1288="","",PNL!B1288)</f>
        <v/>
      </c>
      <c r="C1288" t="str">
        <f>IF(PNL!C1288="","",PNL!C1288)</f>
        <v/>
      </c>
      <c r="D1288" t="str">
        <f>IF(PNL!D1288="","",PNL!D1288)</f>
        <v/>
      </c>
      <c r="E1288" t="str">
        <f t="shared" si="220"/>
        <v/>
      </c>
      <c r="F1288" t="str">
        <f>IF($A1288="","",IF($E1288=1,SUMIFS(Compta!$F$1:$F$675,Compta!$A$1:$A$675,$A1288,Compta!$B$1:$B$675,$B1288,Compta!$C$1:$C$675,"2026"),0))</f>
        <v/>
      </c>
      <c r="G1288" t="str">
        <f t="shared" si="221"/>
        <v/>
      </c>
      <c r="H1288" t="str">
        <f t="shared" si="222"/>
        <v/>
      </c>
      <c r="I1288" t="str">
        <f t="shared" si="223"/>
        <v/>
      </c>
      <c r="J1288" t="str">
        <f t="shared" si="224"/>
        <v/>
      </c>
      <c r="K1288" t="str">
        <f t="shared" si="225"/>
        <v/>
      </c>
      <c r="L1288" t="str">
        <f t="shared" si="226"/>
        <v/>
      </c>
      <c r="M1288" t="str">
        <f t="shared" si="227"/>
        <v/>
      </c>
      <c r="N1288" t="str">
        <f t="shared" si="228"/>
        <v/>
      </c>
      <c r="O1288" t="str">
        <f t="shared" si="229"/>
        <v/>
      </c>
      <c r="P1288" t="str">
        <f>IF($A1288="","",IF($E1288=1,$F1288*$O1288,PNL!G1288))</f>
        <v/>
      </c>
      <c r="T1288" t="str">
        <f t="shared" si="230"/>
        <v/>
      </c>
    </row>
    <row r="1289" spans="1:20" x14ac:dyDescent="0.45">
      <c r="A1289" t="str">
        <f>IF(PNL!A1289="","",PNL!A1289)</f>
        <v/>
      </c>
      <c r="B1289" t="str">
        <f>IF(PNL!B1289="","",PNL!B1289)</f>
        <v/>
      </c>
      <c r="C1289" t="str">
        <f>IF(PNL!C1289="","",PNL!C1289)</f>
        <v/>
      </c>
      <c r="D1289" t="str">
        <f>IF(PNL!D1289="","",PNL!D1289)</f>
        <v/>
      </c>
      <c r="E1289" t="str">
        <f t="shared" si="220"/>
        <v/>
      </c>
      <c r="F1289" t="str">
        <f>IF($A1289="","",IF($E1289=1,SUMIFS(Compta!$F$1:$F$675,Compta!$A$1:$A$675,$A1289,Compta!$B$1:$B$675,$B1289,Compta!$C$1:$C$675,"2026"),0))</f>
        <v/>
      </c>
      <c r="G1289" t="str">
        <f t="shared" si="221"/>
        <v/>
      </c>
      <c r="H1289" t="str">
        <f t="shared" si="222"/>
        <v/>
      </c>
      <c r="I1289" t="str">
        <f t="shared" si="223"/>
        <v/>
      </c>
      <c r="J1289" t="str">
        <f t="shared" si="224"/>
        <v/>
      </c>
      <c r="K1289" t="str">
        <f t="shared" si="225"/>
        <v/>
      </c>
      <c r="L1289" t="str">
        <f t="shared" si="226"/>
        <v/>
      </c>
      <c r="M1289" t="str">
        <f t="shared" si="227"/>
        <v/>
      </c>
      <c r="N1289" t="str">
        <f t="shared" si="228"/>
        <v/>
      </c>
      <c r="O1289" t="str">
        <f t="shared" si="229"/>
        <v/>
      </c>
      <c r="P1289" t="str">
        <f>IF($A1289="","",IF($E1289=1,$F1289*$O1289,PNL!G1289))</f>
        <v/>
      </c>
      <c r="T1289" t="str">
        <f t="shared" si="230"/>
        <v/>
      </c>
    </row>
    <row r="1290" spans="1:20" x14ac:dyDescent="0.45">
      <c r="A1290" t="str">
        <f>IF(PNL!A1290="","",PNL!A1290)</f>
        <v/>
      </c>
      <c r="B1290" t="str">
        <f>IF(PNL!B1290="","",PNL!B1290)</f>
        <v/>
      </c>
      <c r="C1290" t="str">
        <f>IF(PNL!C1290="","",PNL!C1290)</f>
        <v/>
      </c>
      <c r="D1290" t="str">
        <f>IF(PNL!D1290="","",PNL!D1290)</f>
        <v/>
      </c>
      <c r="E1290" t="str">
        <f t="shared" si="220"/>
        <v/>
      </c>
      <c r="F1290" t="str">
        <f>IF($A1290="","",IF($E1290=1,SUMIFS(Compta!$F$1:$F$675,Compta!$A$1:$A$675,$A1290,Compta!$B$1:$B$675,$B1290,Compta!$C$1:$C$675,"2026"),0))</f>
        <v/>
      </c>
      <c r="G1290" t="str">
        <f t="shared" si="221"/>
        <v/>
      </c>
      <c r="H1290" t="str">
        <f t="shared" si="222"/>
        <v/>
      </c>
      <c r="I1290" t="str">
        <f t="shared" si="223"/>
        <v/>
      </c>
      <c r="J1290" t="str">
        <f t="shared" si="224"/>
        <v/>
      </c>
      <c r="K1290" t="str">
        <f t="shared" si="225"/>
        <v/>
      </c>
      <c r="L1290" t="str">
        <f t="shared" si="226"/>
        <v/>
      </c>
      <c r="M1290" t="str">
        <f t="shared" si="227"/>
        <v/>
      </c>
      <c r="N1290" t="str">
        <f t="shared" si="228"/>
        <v/>
      </c>
      <c r="O1290" t="str">
        <f t="shared" si="229"/>
        <v/>
      </c>
      <c r="P1290" t="str">
        <f>IF($A1290="","",IF($E1290=1,$F1290*$O1290,PNL!G1290))</f>
        <v/>
      </c>
      <c r="T1290" t="str">
        <f t="shared" si="230"/>
        <v/>
      </c>
    </row>
    <row r="1291" spans="1:20" x14ac:dyDescent="0.45">
      <c r="A1291" t="str">
        <f>IF(PNL!A1291="","",PNL!A1291)</f>
        <v/>
      </c>
      <c r="B1291" t="str">
        <f>IF(PNL!B1291="","",PNL!B1291)</f>
        <v/>
      </c>
      <c r="C1291" t="str">
        <f>IF(PNL!C1291="","",PNL!C1291)</f>
        <v/>
      </c>
      <c r="D1291" t="str">
        <f>IF(PNL!D1291="","",PNL!D1291)</f>
        <v/>
      </c>
      <c r="E1291" t="str">
        <f t="shared" si="220"/>
        <v/>
      </c>
      <c r="F1291" t="str">
        <f>IF($A1291="","",IF($E1291=1,SUMIFS(Compta!$F$1:$F$675,Compta!$A$1:$A$675,$A1291,Compta!$B$1:$B$675,$B1291,Compta!$C$1:$C$675,"2026"),0))</f>
        <v/>
      </c>
      <c r="G1291" t="str">
        <f t="shared" si="221"/>
        <v/>
      </c>
      <c r="H1291" t="str">
        <f t="shared" si="222"/>
        <v/>
      </c>
      <c r="I1291" t="str">
        <f t="shared" si="223"/>
        <v/>
      </c>
      <c r="J1291" t="str">
        <f t="shared" si="224"/>
        <v/>
      </c>
      <c r="K1291" t="str">
        <f t="shared" si="225"/>
        <v/>
      </c>
      <c r="L1291" t="str">
        <f t="shared" si="226"/>
        <v/>
      </c>
      <c r="M1291" t="str">
        <f t="shared" si="227"/>
        <v/>
      </c>
      <c r="N1291" t="str">
        <f t="shared" si="228"/>
        <v/>
      </c>
      <c r="O1291" t="str">
        <f t="shared" si="229"/>
        <v/>
      </c>
      <c r="P1291" t="str">
        <f>IF($A1291="","",IF($E1291=1,$F1291*$O1291,PNL!G1291))</f>
        <v/>
      </c>
      <c r="T1291" t="str">
        <f t="shared" si="230"/>
        <v/>
      </c>
    </row>
    <row r="1292" spans="1:20" x14ac:dyDescent="0.45">
      <c r="A1292" t="str">
        <f>IF(PNL!A1292="","",PNL!A1292)</f>
        <v/>
      </c>
      <c r="B1292" t="str">
        <f>IF(PNL!B1292="","",PNL!B1292)</f>
        <v/>
      </c>
      <c r="C1292" t="str">
        <f>IF(PNL!C1292="","",PNL!C1292)</f>
        <v/>
      </c>
      <c r="D1292" t="str">
        <f>IF(PNL!D1292="","",PNL!D1292)</f>
        <v/>
      </c>
      <c r="E1292" t="str">
        <f t="shared" si="220"/>
        <v/>
      </c>
      <c r="F1292" t="str">
        <f>IF($A1292="","",IF($E1292=1,SUMIFS(Compta!$F$1:$F$675,Compta!$A$1:$A$675,$A1292,Compta!$B$1:$B$675,$B1292,Compta!$C$1:$C$675,"2026"),0))</f>
        <v/>
      </c>
      <c r="G1292" t="str">
        <f t="shared" si="221"/>
        <v/>
      </c>
      <c r="H1292" t="str">
        <f t="shared" si="222"/>
        <v/>
      </c>
      <c r="I1292" t="str">
        <f t="shared" si="223"/>
        <v/>
      </c>
      <c r="J1292" t="str">
        <f t="shared" si="224"/>
        <v/>
      </c>
      <c r="K1292" t="str">
        <f t="shared" si="225"/>
        <v/>
      </c>
      <c r="L1292" t="str">
        <f t="shared" si="226"/>
        <v/>
      </c>
      <c r="M1292" t="str">
        <f t="shared" si="227"/>
        <v/>
      </c>
      <c r="N1292" t="str">
        <f t="shared" si="228"/>
        <v/>
      </c>
      <c r="O1292" t="str">
        <f t="shared" si="229"/>
        <v/>
      </c>
      <c r="P1292" t="str">
        <f>IF($A1292="","",IF($E1292=1,$F1292*$O1292,PNL!G1292))</f>
        <v/>
      </c>
      <c r="T1292" t="str">
        <f t="shared" si="230"/>
        <v/>
      </c>
    </row>
    <row r="1293" spans="1:20" x14ac:dyDescent="0.45">
      <c r="A1293" t="str">
        <f>IF(PNL!A1293="","",PNL!A1293)</f>
        <v/>
      </c>
      <c r="B1293" t="str">
        <f>IF(PNL!B1293="","",PNL!B1293)</f>
        <v/>
      </c>
      <c r="C1293" t="str">
        <f>IF(PNL!C1293="","",PNL!C1293)</f>
        <v/>
      </c>
      <c r="D1293" t="str">
        <f>IF(PNL!D1293="","",PNL!D1293)</f>
        <v/>
      </c>
      <c r="E1293" t="str">
        <f t="shared" si="220"/>
        <v/>
      </c>
      <c r="F1293" t="str">
        <f>IF($A1293="","",IF($E1293=1,SUMIFS(Compta!$F$1:$F$675,Compta!$A$1:$A$675,$A1293,Compta!$B$1:$B$675,$B1293,Compta!$C$1:$C$675,"2026"),0))</f>
        <v/>
      </c>
      <c r="G1293" t="str">
        <f t="shared" si="221"/>
        <v/>
      </c>
      <c r="H1293" t="str">
        <f t="shared" si="222"/>
        <v/>
      </c>
      <c r="I1293" t="str">
        <f t="shared" si="223"/>
        <v/>
      </c>
      <c r="J1293" t="str">
        <f t="shared" si="224"/>
        <v/>
      </c>
      <c r="K1293" t="str">
        <f t="shared" si="225"/>
        <v/>
      </c>
      <c r="L1293" t="str">
        <f t="shared" si="226"/>
        <v/>
      </c>
      <c r="M1293" t="str">
        <f t="shared" si="227"/>
        <v/>
      </c>
      <c r="N1293" t="str">
        <f t="shared" si="228"/>
        <v/>
      </c>
      <c r="O1293" t="str">
        <f t="shared" si="229"/>
        <v/>
      </c>
      <c r="P1293" t="str">
        <f>IF($A1293="","",IF($E1293=1,$F1293*$O1293,PNL!G1293))</f>
        <v/>
      </c>
      <c r="T1293" t="str">
        <f t="shared" si="230"/>
        <v/>
      </c>
    </row>
    <row r="1294" spans="1:20" x14ac:dyDescent="0.45">
      <c r="A1294" t="str">
        <f>IF(PNL!A1294="","",PNL!A1294)</f>
        <v/>
      </c>
      <c r="B1294" t="str">
        <f>IF(PNL!B1294="","",PNL!B1294)</f>
        <v/>
      </c>
      <c r="C1294" t="str">
        <f>IF(PNL!C1294="","",PNL!C1294)</f>
        <v/>
      </c>
      <c r="D1294" t="str">
        <f>IF(PNL!D1294="","",PNL!D1294)</f>
        <v/>
      </c>
      <c r="E1294" t="str">
        <f t="shared" si="220"/>
        <v/>
      </c>
      <c r="F1294" t="str">
        <f>IF($A1294="","",IF($E1294=1,SUMIFS(Compta!$F$1:$F$675,Compta!$A$1:$A$675,$A1294,Compta!$B$1:$B$675,$B1294,Compta!$C$1:$C$675,"2026"),0))</f>
        <v/>
      </c>
      <c r="G1294" t="str">
        <f t="shared" si="221"/>
        <v/>
      </c>
      <c r="H1294" t="str">
        <f t="shared" si="222"/>
        <v/>
      </c>
      <c r="I1294" t="str">
        <f t="shared" si="223"/>
        <v/>
      </c>
      <c r="J1294" t="str">
        <f t="shared" si="224"/>
        <v/>
      </c>
      <c r="K1294" t="str">
        <f t="shared" si="225"/>
        <v/>
      </c>
      <c r="L1294" t="str">
        <f t="shared" si="226"/>
        <v/>
      </c>
      <c r="M1294" t="str">
        <f t="shared" si="227"/>
        <v/>
      </c>
      <c r="N1294" t="str">
        <f t="shared" si="228"/>
        <v/>
      </c>
      <c r="O1294" t="str">
        <f t="shared" si="229"/>
        <v/>
      </c>
      <c r="P1294" t="str">
        <f>IF($A1294="","",IF($E1294=1,$F1294*$O1294,PNL!G1294))</f>
        <v/>
      </c>
      <c r="T1294" t="str">
        <f t="shared" si="230"/>
        <v/>
      </c>
    </row>
    <row r="1295" spans="1:20" x14ac:dyDescent="0.45">
      <c r="A1295" t="str">
        <f>IF(PNL!A1295="","",PNL!A1295)</f>
        <v/>
      </c>
      <c r="B1295" t="str">
        <f>IF(PNL!B1295="","",PNL!B1295)</f>
        <v/>
      </c>
      <c r="C1295" t="str">
        <f>IF(PNL!C1295="","",PNL!C1295)</f>
        <v/>
      </c>
      <c r="D1295" t="str">
        <f>IF(PNL!D1295="","",PNL!D1295)</f>
        <v/>
      </c>
      <c r="E1295" t="str">
        <f t="shared" si="220"/>
        <v/>
      </c>
      <c r="F1295" t="str">
        <f>IF($A1295="","",IF($E1295=1,SUMIFS(Compta!$F$1:$F$675,Compta!$A$1:$A$675,$A1295,Compta!$B$1:$B$675,$B1295,Compta!$C$1:$C$675,"2026"),0))</f>
        <v/>
      </c>
      <c r="G1295" t="str">
        <f t="shared" si="221"/>
        <v/>
      </c>
      <c r="H1295" t="str">
        <f t="shared" si="222"/>
        <v/>
      </c>
      <c r="I1295" t="str">
        <f t="shared" si="223"/>
        <v/>
      </c>
      <c r="J1295" t="str">
        <f t="shared" si="224"/>
        <v/>
      </c>
      <c r="K1295" t="str">
        <f t="shared" si="225"/>
        <v/>
      </c>
      <c r="L1295" t="str">
        <f t="shared" si="226"/>
        <v/>
      </c>
      <c r="M1295" t="str">
        <f t="shared" si="227"/>
        <v/>
      </c>
      <c r="N1295" t="str">
        <f t="shared" si="228"/>
        <v/>
      </c>
      <c r="O1295" t="str">
        <f t="shared" si="229"/>
        <v/>
      </c>
      <c r="P1295" t="str">
        <f>IF($A1295="","",IF($E1295=1,$F1295*$O1295,PNL!G1295))</f>
        <v/>
      </c>
      <c r="T1295" t="str">
        <f t="shared" si="230"/>
        <v/>
      </c>
    </row>
    <row r="1296" spans="1:20" x14ac:dyDescent="0.45">
      <c r="A1296" t="str">
        <f>IF(PNL!A1296="","",PNL!A1296)</f>
        <v/>
      </c>
      <c r="B1296" t="str">
        <f>IF(PNL!B1296="","",PNL!B1296)</f>
        <v/>
      </c>
      <c r="C1296" t="str">
        <f>IF(PNL!C1296="","",PNL!C1296)</f>
        <v/>
      </c>
      <c r="D1296" t="str">
        <f>IF(PNL!D1296="","",PNL!D1296)</f>
        <v/>
      </c>
      <c r="E1296" t="str">
        <f t="shared" si="220"/>
        <v/>
      </c>
      <c r="F1296" t="str">
        <f>IF($A1296="","",IF($E1296=1,SUMIFS(Compta!$F$1:$F$675,Compta!$A$1:$A$675,$A1296,Compta!$B$1:$B$675,$B1296,Compta!$C$1:$C$675,"2026"),0))</f>
        <v/>
      </c>
      <c r="G1296" t="str">
        <f t="shared" si="221"/>
        <v/>
      </c>
      <c r="H1296" t="str">
        <f t="shared" si="222"/>
        <v/>
      </c>
      <c r="I1296" t="str">
        <f t="shared" si="223"/>
        <v/>
      </c>
      <c r="J1296" t="str">
        <f t="shared" si="224"/>
        <v/>
      </c>
      <c r="K1296" t="str">
        <f t="shared" si="225"/>
        <v/>
      </c>
      <c r="L1296" t="str">
        <f t="shared" si="226"/>
        <v/>
      </c>
      <c r="M1296" t="str">
        <f t="shared" si="227"/>
        <v/>
      </c>
      <c r="N1296" t="str">
        <f t="shared" si="228"/>
        <v/>
      </c>
      <c r="O1296" t="str">
        <f t="shared" si="229"/>
        <v/>
      </c>
      <c r="P1296" t="str">
        <f>IF($A1296="","",IF($E1296=1,$F1296*$O1296,PNL!G1296))</f>
        <v/>
      </c>
      <c r="T1296" t="str">
        <f t="shared" si="230"/>
        <v/>
      </c>
    </row>
    <row r="1297" spans="1:20" x14ac:dyDescent="0.45">
      <c r="A1297" t="str">
        <f>IF(PNL!A1297="","",PNL!A1297)</f>
        <v/>
      </c>
      <c r="B1297" t="str">
        <f>IF(PNL!B1297="","",PNL!B1297)</f>
        <v/>
      </c>
      <c r="C1297" t="str">
        <f>IF(PNL!C1297="","",PNL!C1297)</f>
        <v/>
      </c>
      <c r="D1297" t="str">
        <f>IF(PNL!D1297="","",PNL!D1297)</f>
        <v/>
      </c>
      <c r="E1297" t="str">
        <f t="shared" si="220"/>
        <v/>
      </c>
      <c r="F1297" t="str">
        <f>IF($A1297="","",IF($E1297=1,SUMIFS(Compta!$F$1:$F$675,Compta!$A$1:$A$675,$A1297,Compta!$B$1:$B$675,$B1297,Compta!$C$1:$C$675,"2026"),0))</f>
        <v/>
      </c>
      <c r="G1297" t="str">
        <f t="shared" si="221"/>
        <v/>
      </c>
      <c r="H1297" t="str">
        <f t="shared" si="222"/>
        <v/>
      </c>
      <c r="I1297" t="str">
        <f t="shared" si="223"/>
        <v/>
      </c>
      <c r="J1297" t="str">
        <f t="shared" si="224"/>
        <v/>
      </c>
      <c r="K1297" t="str">
        <f t="shared" si="225"/>
        <v/>
      </c>
      <c r="L1297" t="str">
        <f t="shared" si="226"/>
        <v/>
      </c>
      <c r="M1297" t="str">
        <f t="shared" si="227"/>
        <v/>
      </c>
      <c r="N1297" t="str">
        <f t="shared" si="228"/>
        <v/>
      </c>
      <c r="O1297" t="str">
        <f t="shared" si="229"/>
        <v/>
      </c>
      <c r="P1297" t="str">
        <f>IF($A1297="","",IF($E1297=1,$F1297*$O1297,PNL!G1297))</f>
        <v/>
      </c>
      <c r="T1297" t="str">
        <f t="shared" si="230"/>
        <v/>
      </c>
    </row>
    <row r="1298" spans="1:20" x14ac:dyDescent="0.45">
      <c r="A1298" t="str">
        <f>IF(PNL!A1298="","",PNL!A1298)</f>
        <v/>
      </c>
      <c r="B1298" t="str">
        <f>IF(PNL!B1298="","",PNL!B1298)</f>
        <v/>
      </c>
      <c r="C1298" t="str">
        <f>IF(PNL!C1298="","",PNL!C1298)</f>
        <v/>
      </c>
      <c r="D1298" t="str">
        <f>IF(PNL!D1298="","",PNL!D1298)</f>
        <v/>
      </c>
      <c r="E1298" t="str">
        <f t="shared" si="220"/>
        <v/>
      </c>
      <c r="F1298" t="str">
        <f>IF($A1298="","",IF($E1298=1,SUMIFS(Compta!$F$1:$F$675,Compta!$A$1:$A$675,$A1298,Compta!$B$1:$B$675,$B1298,Compta!$C$1:$C$675,"2026"),0))</f>
        <v/>
      </c>
      <c r="G1298" t="str">
        <f t="shared" si="221"/>
        <v/>
      </c>
      <c r="H1298" t="str">
        <f t="shared" si="222"/>
        <v/>
      </c>
      <c r="I1298" t="str">
        <f t="shared" si="223"/>
        <v/>
      </c>
      <c r="J1298" t="str">
        <f t="shared" si="224"/>
        <v/>
      </c>
      <c r="K1298" t="str">
        <f t="shared" si="225"/>
        <v/>
      </c>
      <c r="L1298" t="str">
        <f t="shared" si="226"/>
        <v/>
      </c>
      <c r="M1298" t="str">
        <f t="shared" si="227"/>
        <v/>
      </c>
      <c r="N1298" t="str">
        <f t="shared" si="228"/>
        <v/>
      </c>
      <c r="O1298" t="str">
        <f t="shared" si="229"/>
        <v/>
      </c>
      <c r="P1298" t="str">
        <f>IF($A1298="","",IF($E1298=1,$F1298*$O1298,PNL!G1298))</f>
        <v/>
      </c>
      <c r="T1298" t="str">
        <f t="shared" si="230"/>
        <v/>
      </c>
    </row>
    <row r="1299" spans="1:20" x14ac:dyDescent="0.45">
      <c r="A1299" t="str">
        <f>IF(PNL!A1299="","",PNL!A1299)</f>
        <v/>
      </c>
      <c r="B1299" t="str">
        <f>IF(PNL!B1299="","",PNL!B1299)</f>
        <v/>
      </c>
      <c r="C1299" t="str">
        <f>IF(PNL!C1299="","",PNL!C1299)</f>
        <v/>
      </c>
      <c r="D1299" t="str">
        <f>IF(PNL!D1299="","",PNL!D1299)</f>
        <v/>
      </c>
      <c r="E1299" t="str">
        <f t="shared" si="220"/>
        <v/>
      </c>
      <c r="F1299" t="str">
        <f>IF($A1299="","",IF($E1299=1,SUMIFS(Compta!$F$1:$F$675,Compta!$A$1:$A$675,$A1299,Compta!$B$1:$B$675,$B1299,Compta!$C$1:$C$675,"2026"),0))</f>
        <v/>
      </c>
      <c r="G1299" t="str">
        <f t="shared" si="221"/>
        <v/>
      </c>
      <c r="H1299" t="str">
        <f t="shared" si="222"/>
        <v/>
      </c>
      <c r="I1299" t="str">
        <f t="shared" si="223"/>
        <v/>
      </c>
      <c r="J1299" t="str">
        <f t="shared" si="224"/>
        <v/>
      </c>
      <c r="K1299" t="str">
        <f t="shared" si="225"/>
        <v/>
      </c>
      <c r="L1299" t="str">
        <f t="shared" si="226"/>
        <v/>
      </c>
      <c r="M1299" t="str">
        <f t="shared" si="227"/>
        <v/>
      </c>
      <c r="N1299" t="str">
        <f t="shared" si="228"/>
        <v/>
      </c>
      <c r="O1299" t="str">
        <f t="shared" si="229"/>
        <v/>
      </c>
      <c r="P1299" t="str">
        <f>IF($A1299="","",IF($E1299=1,$F1299*$O1299,PNL!G1299))</f>
        <v/>
      </c>
      <c r="T1299" t="str">
        <f t="shared" si="230"/>
        <v/>
      </c>
    </row>
    <row r="1300" spans="1:20" x14ac:dyDescent="0.45">
      <c r="A1300" t="str">
        <f>IF(PNL!A1300="","",PNL!A1300)</f>
        <v/>
      </c>
      <c r="B1300" t="str">
        <f>IF(PNL!B1300="","",PNL!B1300)</f>
        <v/>
      </c>
      <c r="C1300" t="str">
        <f>IF(PNL!C1300="","",PNL!C1300)</f>
        <v/>
      </c>
      <c r="D1300" t="str">
        <f>IF(PNL!D1300="","",PNL!D1300)</f>
        <v/>
      </c>
      <c r="E1300" t="str">
        <f t="shared" si="220"/>
        <v/>
      </c>
      <c r="F1300" t="str">
        <f>IF($A1300="","",IF($E1300=1,SUMIFS(Compta!$F$1:$F$675,Compta!$A$1:$A$675,$A1300,Compta!$B$1:$B$675,$B1300,Compta!$C$1:$C$675,"2026"),0))</f>
        <v/>
      </c>
      <c r="G1300" t="str">
        <f t="shared" si="221"/>
        <v/>
      </c>
      <c r="H1300" t="str">
        <f t="shared" si="222"/>
        <v/>
      </c>
      <c r="I1300" t="str">
        <f t="shared" si="223"/>
        <v/>
      </c>
      <c r="J1300" t="str">
        <f t="shared" si="224"/>
        <v/>
      </c>
      <c r="K1300" t="str">
        <f t="shared" si="225"/>
        <v/>
      </c>
      <c r="L1300" t="str">
        <f t="shared" si="226"/>
        <v/>
      </c>
      <c r="M1300" t="str">
        <f t="shared" si="227"/>
        <v/>
      </c>
      <c r="N1300" t="str">
        <f t="shared" si="228"/>
        <v/>
      </c>
      <c r="O1300" t="str">
        <f t="shared" si="229"/>
        <v/>
      </c>
      <c r="P1300" t="str">
        <f>IF($A1300="","",IF($E1300=1,$F1300*$O1300,PNL!G1300))</f>
        <v/>
      </c>
      <c r="T1300" t="str">
        <f t="shared" si="230"/>
        <v/>
      </c>
    </row>
    <row r="1301" spans="1:20" x14ac:dyDescent="0.45">
      <c r="A1301" t="str">
        <f>IF(PNL!A1301="","",PNL!A1301)</f>
        <v/>
      </c>
      <c r="B1301" t="str">
        <f>IF(PNL!B1301="","",PNL!B1301)</f>
        <v/>
      </c>
      <c r="C1301" t="str">
        <f>IF(PNL!C1301="","",PNL!C1301)</f>
        <v/>
      </c>
      <c r="D1301" t="str">
        <f>IF(PNL!D1301="","",PNL!D1301)</f>
        <v/>
      </c>
      <c r="E1301" t="str">
        <f t="shared" si="220"/>
        <v/>
      </c>
      <c r="F1301" t="str">
        <f>IF($A1301="","",IF($E1301=1,SUMIFS(Compta!$F$1:$F$675,Compta!$A$1:$A$675,$A1301,Compta!$B$1:$B$675,$B1301,Compta!$C$1:$C$675,"2026"),0))</f>
        <v/>
      </c>
      <c r="G1301" t="str">
        <f t="shared" si="221"/>
        <v/>
      </c>
      <c r="H1301" t="str">
        <f t="shared" si="222"/>
        <v/>
      </c>
      <c r="I1301" t="str">
        <f t="shared" si="223"/>
        <v/>
      </c>
      <c r="J1301" t="str">
        <f t="shared" si="224"/>
        <v/>
      </c>
      <c r="K1301" t="str">
        <f t="shared" si="225"/>
        <v/>
      </c>
      <c r="L1301" t="str">
        <f t="shared" si="226"/>
        <v/>
      </c>
      <c r="M1301" t="str">
        <f t="shared" si="227"/>
        <v/>
      </c>
      <c r="N1301" t="str">
        <f t="shared" si="228"/>
        <v/>
      </c>
      <c r="O1301" t="str">
        <f t="shared" si="229"/>
        <v/>
      </c>
      <c r="P1301" t="str">
        <f>IF($A1301="","",IF($E1301=1,$F1301*$O1301,PNL!G1301))</f>
        <v/>
      </c>
      <c r="T1301" t="str">
        <f t="shared" si="230"/>
        <v/>
      </c>
    </row>
    <row r="1302" spans="1:20" x14ac:dyDescent="0.45">
      <c r="A1302" t="str">
        <f>IF(PNL!A1302="","",PNL!A1302)</f>
        <v/>
      </c>
      <c r="B1302" t="str">
        <f>IF(PNL!B1302="","",PNL!B1302)</f>
        <v/>
      </c>
      <c r="C1302" t="str">
        <f>IF(PNL!C1302="","",PNL!C1302)</f>
        <v/>
      </c>
      <c r="D1302" t="str">
        <f>IF(PNL!D1302="","",PNL!D1302)</f>
        <v/>
      </c>
      <c r="E1302" t="str">
        <f t="shared" si="220"/>
        <v/>
      </c>
      <c r="F1302" t="str">
        <f>IF($A1302="","",IF($E1302=1,SUMIFS(Compta!$F$1:$F$675,Compta!$A$1:$A$675,$A1302,Compta!$B$1:$B$675,$B1302,Compta!$C$1:$C$675,"2026"),0))</f>
        <v/>
      </c>
      <c r="G1302" t="str">
        <f t="shared" si="221"/>
        <v/>
      </c>
      <c r="H1302" t="str">
        <f t="shared" si="222"/>
        <v/>
      </c>
      <c r="I1302" t="str">
        <f t="shared" si="223"/>
        <v/>
      </c>
      <c r="J1302" t="str">
        <f t="shared" si="224"/>
        <v/>
      </c>
      <c r="K1302" t="str">
        <f t="shared" si="225"/>
        <v/>
      </c>
      <c r="L1302" t="str">
        <f t="shared" si="226"/>
        <v/>
      </c>
      <c r="M1302" t="str">
        <f t="shared" si="227"/>
        <v/>
      </c>
      <c r="N1302" t="str">
        <f t="shared" si="228"/>
        <v/>
      </c>
      <c r="O1302" t="str">
        <f t="shared" si="229"/>
        <v/>
      </c>
      <c r="P1302" t="str">
        <f>IF($A1302="","",IF($E1302=1,$F1302*$O1302,PNL!G1302))</f>
        <v/>
      </c>
      <c r="T1302" t="str">
        <f t="shared" si="230"/>
        <v/>
      </c>
    </row>
    <row r="1303" spans="1:20" x14ac:dyDescent="0.45">
      <c r="A1303" t="str">
        <f>IF(PNL!A1303="","",PNL!A1303)</f>
        <v/>
      </c>
      <c r="B1303" t="str">
        <f>IF(PNL!B1303="","",PNL!B1303)</f>
        <v/>
      </c>
      <c r="C1303" t="str">
        <f>IF(PNL!C1303="","",PNL!C1303)</f>
        <v/>
      </c>
      <c r="D1303" t="str">
        <f>IF(PNL!D1303="","",PNL!D1303)</f>
        <v/>
      </c>
      <c r="E1303" t="str">
        <f t="shared" si="220"/>
        <v/>
      </c>
      <c r="F1303" t="str">
        <f>IF($A1303="","",IF($E1303=1,SUMIFS(Compta!$F$1:$F$675,Compta!$A$1:$A$675,$A1303,Compta!$B$1:$B$675,$B1303,Compta!$C$1:$C$675,"2026"),0))</f>
        <v/>
      </c>
      <c r="G1303" t="str">
        <f t="shared" si="221"/>
        <v/>
      </c>
      <c r="H1303" t="str">
        <f t="shared" si="222"/>
        <v/>
      </c>
      <c r="I1303" t="str">
        <f t="shared" si="223"/>
        <v/>
      </c>
      <c r="J1303" t="str">
        <f t="shared" si="224"/>
        <v/>
      </c>
      <c r="K1303" t="str">
        <f t="shared" si="225"/>
        <v/>
      </c>
      <c r="L1303" t="str">
        <f t="shared" si="226"/>
        <v/>
      </c>
      <c r="M1303" t="str">
        <f t="shared" si="227"/>
        <v/>
      </c>
      <c r="N1303" t="str">
        <f t="shared" si="228"/>
        <v/>
      </c>
      <c r="O1303" t="str">
        <f t="shared" si="229"/>
        <v/>
      </c>
      <c r="P1303" t="str">
        <f>IF($A1303="","",IF($E1303=1,$F1303*$O1303,PNL!G1303))</f>
        <v/>
      </c>
      <c r="T1303" t="str">
        <f t="shared" si="230"/>
        <v/>
      </c>
    </row>
    <row r="1304" spans="1:20" x14ac:dyDescent="0.45">
      <c r="A1304" t="str">
        <f>IF(PNL!A1304="","",PNL!A1304)</f>
        <v/>
      </c>
      <c r="B1304" t="str">
        <f>IF(PNL!B1304="","",PNL!B1304)</f>
        <v/>
      </c>
      <c r="C1304" t="str">
        <f>IF(PNL!C1304="","",PNL!C1304)</f>
        <v/>
      </c>
      <c r="D1304" t="str">
        <f>IF(PNL!D1304="","",PNL!D1304)</f>
        <v/>
      </c>
      <c r="E1304" t="str">
        <f t="shared" si="220"/>
        <v/>
      </c>
      <c r="F1304" t="str">
        <f>IF($A1304="","",IF($E1304=1,SUMIFS(Compta!$F$1:$F$675,Compta!$A$1:$A$675,$A1304,Compta!$B$1:$B$675,$B1304,Compta!$C$1:$C$675,"2026"),0))</f>
        <v/>
      </c>
      <c r="G1304" t="str">
        <f t="shared" si="221"/>
        <v/>
      </c>
      <c r="H1304" t="str">
        <f t="shared" si="222"/>
        <v/>
      </c>
      <c r="I1304" t="str">
        <f t="shared" si="223"/>
        <v/>
      </c>
      <c r="J1304" t="str">
        <f t="shared" si="224"/>
        <v/>
      </c>
      <c r="K1304" t="str">
        <f t="shared" si="225"/>
        <v/>
      </c>
      <c r="L1304" t="str">
        <f t="shared" si="226"/>
        <v/>
      </c>
      <c r="M1304" t="str">
        <f t="shared" si="227"/>
        <v/>
      </c>
      <c r="N1304" t="str">
        <f t="shared" si="228"/>
        <v/>
      </c>
      <c r="O1304" t="str">
        <f t="shared" si="229"/>
        <v/>
      </c>
      <c r="P1304" t="str">
        <f>IF($A1304="","",IF($E1304=1,$F1304*$O1304,PNL!G1304))</f>
        <v/>
      </c>
      <c r="T1304" t="str">
        <f t="shared" si="230"/>
        <v/>
      </c>
    </row>
    <row r="1305" spans="1:20" x14ac:dyDescent="0.45">
      <c r="A1305" t="str">
        <f>IF(PNL!A1305="","",PNL!A1305)</f>
        <v/>
      </c>
      <c r="B1305" t="str">
        <f>IF(PNL!B1305="","",PNL!B1305)</f>
        <v/>
      </c>
      <c r="C1305" t="str">
        <f>IF(PNL!C1305="","",PNL!C1305)</f>
        <v/>
      </c>
      <c r="D1305" t="str">
        <f>IF(PNL!D1305="","",PNL!D1305)</f>
        <v/>
      </c>
      <c r="E1305" t="str">
        <f t="shared" si="220"/>
        <v/>
      </c>
      <c r="F1305" t="str">
        <f>IF($A1305="","",IF($E1305=1,SUMIFS(Compta!$F$1:$F$675,Compta!$A$1:$A$675,$A1305,Compta!$B$1:$B$675,$B1305,Compta!$C$1:$C$675,"2026"),0))</f>
        <v/>
      </c>
      <c r="G1305" t="str">
        <f t="shared" si="221"/>
        <v/>
      </c>
      <c r="H1305" t="str">
        <f t="shared" si="222"/>
        <v/>
      </c>
      <c r="I1305" t="str">
        <f t="shared" si="223"/>
        <v/>
      </c>
      <c r="J1305" t="str">
        <f t="shared" si="224"/>
        <v/>
      </c>
      <c r="K1305" t="str">
        <f t="shared" si="225"/>
        <v/>
      </c>
      <c r="L1305" t="str">
        <f t="shared" si="226"/>
        <v/>
      </c>
      <c r="M1305" t="str">
        <f t="shared" si="227"/>
        <v/>
      </c>
      <c r="N1305" t="str">
        <f t="shared" si="228"/>
        <v/>
      </c>
      <c r="O1305" t="str">
        <f t="shared" si="229"/>
        <v/>
      </c>
      <c r="P1305" t="str">
        <f>IF($A1305="","",IF($E1305=1,$F1305*$O1305,PNL!G1305))</f>
        <v/>
      </c>
      <c r="T1305" t="str">
        <f t="shared" si="230"/>
        <v/>
      </c>
    </row>
    <row r="1306" spans="1:20" x14ac:dyDescent="0.45">
      <c r="A1306" t="str">
        <f>IF(PNL!A1306="","",PNL!A1306)</f>
        <v/>
      </c>
      <c r="B1306" t="str">
        <f>IF(PNL!B1306="","",PNL!B1306)</f>
        <v/>
      </c>
      <c r="C1306" t="str">
        <f>IF(PNL!C1306="","",PNL!C1306)</f>
        <v/>
      </c>
      <c r="D1306" t="str">
        <f>IF(PNL!D1306="","",PNL!D1306)</f>
        <v/>
      </c>
      <c r="E1306" t="str">
        <f t="shared" si="220"/>
        <v/>
      </c>
      <c r="F1306" t="str">
        <f>IF($A1306="","",IF($E1306=1,SUMIFS(Compta!$F$1:$F$675,Compta!$A$1:$A$675,$A1306,Compta!$B$1:$B$675,$B1306,Compta!$C$1:$C$675,"2026"),0))</f>
        <v/>
      </c>
      <c r="G1306" t="str">
        <f t="shared" si="221"/>
        <v/>
      </c>
      <c r="H1306" t="str">
        <f t="shared" si="222"/>
        <v/>
      </c>
      <c r="I1306" t="str">
        <f t="shared" si="223"/>
        <v/>
      </c>
      <c r="J1306" t="str">
        <f t="shared" si="224"/>
        <v/>
      </c>
      <c r="K1306" t="str">
        <f t="shared" si="225"/>
        <v/>
      </c>
      <c r="L1306" t="str">
        <f t="shared" si="226"/>
        <v/>
      </c>
      <c r="M1306" t="str">
        <f t="shared" si="227"/>
        <v/>
      </c>
      <c r="N1306" t="str">
        <f t="shared" si="228"/>
        <v/>
      </c>
      <c r="O1306" t="str">
        <f t="shared" si="229"/>
        <v/>
      </c>
      <c r="P1306" t="str">
        <f>IF($A1306="","",IF($E1306=1,$F1306*$O1306,PNL!G1306))</f>
        <v/>
      </c>
      <c r="T1306" t="str">
        <f t="shared" si="230"/>
        <v/>
      </c>
    </row>
    <row r="1307" spans="1:20" x14ac:dyDescent="0.45">
      <c r="A1307" t="str">
        <f>IF(PNL!A1307="","",PNL!A1307)</f>
        <v/>
      </c>
      <c r="B1307" t="str">
        <f>IF(PNL!B1307="","",PNL!B1307)</f>
        <v/>
      </c>
      <c r="C1307" t="str">
        <f>IF(PNL!C1307="","",PNL!C1307)</f>
        <v/>
      </c>
      <c r="D1307" t="str">
        <f>IF(PNL!D1307="","",PNL!D1307)</f>
        <v/>
      </c>
      <c r="E1307" t="str">
        <f t="shared" si="220"/>
        <v/>
      </c>
      <c r="F1307" t="str">
        <f>IF($A1307="","",IF($E1307=1,SUMIFS(Compta!$F$1:$F$675,Compta!$A$1:$A$675,$A1307,Compta!$B$1:$B$675,$B1307,Compta!$C$1:$C$675,"2026"),0))</f>
        <v/>
      </c>
      <c r="G1307" t="str">
        <f t="shared" si="221"/>
        <v/>
      </c>
      <c r="H1307" t="str">
        <f t="shared" si="222"/>
        <v/>
      </c>
      <c r="I1307" t="str">
        <f t="shared" si="223"/>
        <v/>
      </c>
      <c r="J1307" t="str">
        <f t="shared" si="224"/>
        <v/>
      </c>
      <c r="K1307" t="str">
        <f t="shared" si="225"/>
        <v/>
      </c>
      <c r="L1307" t="str">
        <f t="shared" si="226"/>
        <v/>
      </c>
      <c r="M1307" t="str">
        <f t="shared" si="227"/>
        <v/>
      </c>
      <c r="N1307" t="str">
        <f t="shared" si="228"/>
        <v/>
      </c>
      <c r="O1307" t="str">
        <f t="shared" si="229"/>
        <v/>
      </c>
      <c r="P1307" t="str">
        <f>IF($A1307="","",IF($E1307=1,$F1307*$O1307,PNL!G1307))</f>
        <v/>
      </c>
      <c r="T1307" t="str">
        <f t="shared" si="230"/>
        <v/>
      </c>
    </row>
    <row r="1308" spans="1:20" x14ac:dyDescent="0.45">
      <c r="A1308" t="str">
        <f>IF(PNL!A1308="","",PNL!A1308)</f>
        <v/>
      </c>
      <c r="B1308" t="str">
        <f>IF(PNL!B1308="","",PNL!B1308)</f>
        <v/>
      </c>
      <c r="C1308" t="str">
        <f>IF(PNL!C1308="","",PNL!C1308)</f>
        <v/>
      </c>
      <c r="D1308" t="str">
        <f>IF(PNL!D1308="","",PNL!D1308)</f>
        <v/>
      </c>
      <c r="E1308" t="str">
        <f t="shared" si="220"/>
        <v/>
      </c>
      <c r="F1308" t="str">
        <f>IF($A1308="","",IF($E1308=1,SUMIFS(Compta!$F$1:$F$675,Compta!$A$1:$A$675,$A1308,Compta!$B$1:$B$675,$B1308,Compta!$C$1:$C$675,"2026"),0))</f>
        <v/>
      </c>
      <c r="G1308" t="str">
        <f t="shared" si="221"/>
        <v/>
      </c>
      <c r="H1308" t="str">
        <f t="shared" si="222"/>
        <v/>
      </c>
      <c r="I1308" t="str">
        <f t="shared" si="223"/>
        <v/>
      </c>
      <c r="J1308" t="str">
        <f t="shared" si="224"/>
        <v/>
      </c>
      <c r="K1308" t="str">
        <f t="shared" si="225"/>
        <v/>
      </c>
      <c r="L1308" t="str">
        <f t="shared" si="226"/>
        <v/>
      </c>
      <c r="M1308" t="str">
        <f t="shared" si="227"/>
        <v/>
      </c>
      <c r="N1308" t="str">
        <f t="shared" si="228"/>
        <v/>
      </c>
      <c r="O1308" t="str">
        <f t="shared" si="229"/>
        <v/>
      </c>
      <c r="P1308" t="str">
        <f>IF($A1308="","",IF($E1308=1,$F1308*$O1308,PNL!G1308))</f>
        <v/>
      </c>
      <c r="T1308" t="str">
        <f t="shared" si="230"/>
        <v/>
      </c>
    </row>
    <row r="1309" spans="1:20" x14ac:dyDescent="0.45">
      <c r="A1309" t="str">
        <f>IF(PNL!A1309="","",PNL!A1309)</f>
        <v/>
      </c>
      <c r="B1309" t="str">
        <f>IF(PNL!B1309="","",PNL!B1309)</f>
        <v/>
      </c>
      <c r="C1309" t="str">
        <f>IF(PNL!C1309="","",PNL!C1309)</f>
        <v/>
      </c>
      <c r="D1309" t="str">
        <f>IF(PNL!D1309="","",PNL!D1309)</f>
        <v/>
      </c>
      <c r="E1309" t="str">
        <f t="shared" si="220"/>
        <v/>
      </c>
      <c r="F1309" t="str">
        <f>IF($A1309="","",IF($E1309=1,SUMIFS(Compta!$F$1:$F$675,Compta!$A$1:$A$675,$A1309,Compta!$B$1:$B$675,$B1309,Compta!$C$1:$C$675,"2026"),0))</f>
        <v/>
      </c>
      <c r="G1309" t="str">
        <f t="shared" si="221"/>
        <v/>
      </c>
      <c r="H1309" t="str">
        <f t="shared" si="222"/>
        <v/>
      </c>
      <c r="I1309" t="str">
        <f t="shared" si="223"/>
        <v/>
      </c>
      <c r="J1309" t="str">
        <f t="shared" si="224"/>
        <v/>
      </c>
      <c r="K1309" t="str">
        <f t="shared" si="225"/>
        <v/>
      </c>
      <c r="L1309" t="str">
        <f t="shared" si="226"/>
        <v/>
      </c>
      <c r="M1309" t="str">
        <f t="shared" si="227"/>
        <v/>
      </c>
      <c r="N1309" t="str">
        <f t="shared" si="228"/>
        <v/>
      </c>
      <c r="O1309" t="str">
        <f t="shared" si="229"/>
        <v/>
      </c>
      <c r="P1309" t="str">
        <f>IF($A1309="","",IF($E1309=1,$F1309*$O1309,PNL!G1309))</f>
        <v/>
      </c>
      <c r="T1309" t="str">
        <f t="shared" si="230"/>
        <v/>
      </c>
    </row>
    <row r="1310" spans="1:20" x14ac:dyDescent="0.45">
      <c r="A1310" t="str">
        <f>IF(PNL!A1310="","",PNL!A1310)</f>
        <v/>
      </c>
      <c r="B1310" t="str">
        <f>IF(PNL!B1310="","",PNL!B1310)</f>
        <v/>
      </c>
      <c r="C1310" t="str">
        <f>IF(PNL!C1310="","",PNL!C1310)</f>
        <v/>
      </c>
      <c r="D1310" t="str">
        <f>IF(PNL!D1310="","",PNL!D1310)</f>
        <v/>
      </c>
      <c r="E1310" t="str">
        <f t="shared" si="220"/>
        <v/>
      </c>
      <c r="F1310" t="str">
        <f>IF($A1310="","",IF($E1310=1,SUMIFS(Compta!$F$1:$F$675,Compta!$A$1:$A$675,$A1310,Compta!$B$1:$B$675,$B1310,Compta!$C$1:$C$675,"2026"),0))</f>
        <v/>
      </c>
      <c r="G1310" t="str">
        <f t="shared" si="221"/>
        <v/>
      </c>
      <c r="H1310" t="str">
        <f t="shared" si="222"/>
        <v/>
      </c>
      <c r="I1310" t="str">
        <f t="shared" si="223"/>
        <v/>
      </c>
      <c r="J1310" t="str">
        <f t="shared" si="224"/>
        <v/>
      </c>
      <c r="K1310" t="str">
        <f t="shared" si="225"/>
        <v/>
      </c>
      <c r="L1310" t="str">
        <f t="shared" si="226"/>
        <v/>
      </c>
      <c r="M1310" t="str">
        <f t="shared" si="227"/>
        <v/>
      </c>
      <c r="N1310" t="str">
        <f t="shared" si="228"/>
        <v/>
      </c>
      <c r="O1310" t="str">
        <f t="shared" si="229"/>
        <v/>
      </c>
      <c r="P1310" t="str">
        <f>IF($A1310="","",IF($E1310=1,$F1310*$O1310,PNL!G1310))</f>
        <v/>
      </c>
      <c r="T1310" t="str">
        <f t="shared" si="230"/>
        <v/>
      </c>
    </row>
    <row r="1311" spans="1:20" x14ac:dyDescent="0.45">
      <c r="A1311" t="str">
        <f>IF(PNL!A1311="","",PNL!A1311)</f>
        <v/>
      </c>
      <c r="B1311" t="str">
        <f>IF(PNL!B1311="","",PNL!B1311)</f>
        <v/>
      </c>
      <c r="C1311" t="str">
        <f>IF(PNL!C1311="","",PNL!C1311)</f>
        <v/>
      </c>
      <c r="D1311" t="str">
        <f>IF(PNL!D1311="","",PNL!D1311)</f>
        <v/>
      </c>
      <c r="E1311" t="str">
        <f t="shared" si="220"/>
        <v/>
      </c>
      <c r="F1311" t="str">
        <f>IF($A1311="","",IF($E1311=1,SUMIFS(Compta!$F$1:$F$675,Compta!$A$1:$A$675,$A1311,Compta!$B$1:$B$675,$B1311,Compta!$C$1:$C$675,"2026"),0))</f>
        <v/>
      </c>
      <c r="G1311" t="str">
        <f t="shared" si="221"/>
        <v/>
      </c>
      <c r="H1311" t="str">
        <f t="shared" si="222"/>
        <v/>
      </c>
      <c r="I1311" t="str">
        <f t="shared" si="223"/>
        <v/>
      </c>
      <c r="J1311" t="str">
        <f t="shared" si="224"/>
        <v/>
      </c>
      <c r="K1311" t="str">
        <f t="shared" si="225"/>
        <v/>
      </c>
      <c r="L1311" t="str">
        <f t="shared" si="226"/>
        <v/>
      </c>
      <c r="M1311" t="str">
        <f t="shared" si="227"/>
        <v/>
      </c>
      <c r="N1311" t="str">
        <f t="shared" si="228"/>
        <v/>
      </c>
      <c r="O1311" t="str">
        <f t="shared" si="229"/>
        <v/>
      </c>
      <c r="P1311" t="str">
        <f>IF($A1311="","",IF($E1311=1,$F1311*$O1311,PNL!G1311))</f>
        <v/>
      </c>
      <c r="T1311" t="str">
        <f t="shared" si="230"/>
        <v/>
      </c>
    </row>
    <row r="1312" spans="1:20" x14ac:dyDescent="0.45">
      <c r="A1312" t="str">
        <f>IF(PNL!A1312="","",PNL!A1312)</f>
        <v/>
      </c>
      <c r="B1312" t="str">
        <f>IF(PNL!B1312="","",PNL!B1312)</f>
        <v/>
      </c>
      <c r="C1312" t="str">
        <f>IF(PNL!C1312="","",PNL!C1312)</f>
        <v/>
      </c>
      <c r="D1312" t="str">
        <f>IF(PNL!D1312="","",PNL!D1312)</f>
        <v/>
      </c>
      <c r="E1312" t="str">
        <f t="shared" si="220"/>
        <v/>
      </c>
      <c r="F1312" t="str">
        <f>IF($A1312="","",IF($E1312=1,SUMIFS(Compta!$F$1:$F$675,Compta!$A$1:$A$675,$A1312,Compta!$B$1:$B$675,$B1312,Compta!$C$1:$C$675,"2026"),0))</f>
        <v/>
      </c>
      <c r="G1312" t="str">
        <f t="shared" si="221"/>
        <v/>
      </c>
      <c r="H1312" t="str">
        <f t="shared" si="222"/>
        <v/>
      </c>
      <c r="I1312" t="str">
        <f t="shared" si="223"/>
        <v/>
      </c>
      <c r="J1312" t="str">
        <f t="shared" si="224"/>
        <v/>
      </c>
      <c r="K1312" t="str">
        <f t="shared" si="225"/>
        <v/>
      </c>
      <c r="L1312" t="str">
        <f t="shared" si="226"/>
        <v/>
      </c>
      <c r="M1312" t="str">
        <f t="shared" si="227"/>
        <v/>
      </c>
      <c r="N1312" t="str">
        <f t="shared" si="228"/>
        <v/>
      </c>
      <c r="O1312" t="str">
        <f t="shared" si="229"/>
        <v/>
      </c>
      <c r="P1312" t="str">
        <f>IF($A1312="","",IF($E1312=1,$F1312*$O1312,PNL!G1312))</f>
        <v/>
      </c>
      <c r="T1312" t="str">
        <f t="shared" si="230"/>
        <v/>
      </c>
    </row>
    <row r="1313" spans="1:20" x14ac:dyDescent="0.45">
      <c r="A1313" t="str">
        <f>IF(PNL!A1313="","",PNL!A1313)</f>
        <v/>
      </c>
      <c r="B1313" t="str">
        <f>IF(PNL!B1313="","",PNL!B1313)</f>
        <v/>
      </c>
      <c r="C1313" t="str">
        <f>IF(PNL!C1313="","",PNL!C1313)</f>
        <v/>
      </c>
      <c r="D1313" t="str">
        <f>IF(PNL!D1313="","",PNL!D1313)</f>
        <v/>
      </c>
      <c r="E1313" t="str">
        <f t="shared" si="220"/>
        <v/>
      </c>
      <c r="F1313" t="str">
        <f>IF($A1313="","",IF($E1313=1,SUMIFS(Compta!$F$1:$F$675,Compta!$A$1:$A$675,$A1313,Compta!$B$1:$B$675,$B1313,Compta!$C$1:$C$675,"2026"),0))</f>
        <v/>
      </c>
      <c r="G1313" t="str">
        <f t="shared" si="221"/>
        <v/>
      </c>
      <c r="H1313" t="str">
        <f t="shared" si="222"/>
        <v/>
      </c>
      <c r="I1313" t="str">
        <f t="shared" si="223"/>
        <v/>
      </c>
      <c r="J1313" t="str">
        <f t="shared" si="224"/>
        <v/>
      </c>
      <c r="K1313" t="str">
        <f t="shared" si="225"/>
        <v/>
      </c>
      <c r="L1313" t="str">
        <f t="shared" si="226"/>
        <v/>
      </c>
      <c r="M1313" t="str">
        <f t="shared" si="227"/>
        <v/>
      </c>
      <c r="N1313" t="str">
        <f t="shared" si="228"/>
        <v/>
      </c>
      <c r="O1313" t="str">
        <f t="shared" si="229"/>
        <v/>
      </c>
      <c r="P1313" t="str">
        <f>IF($A1313="","",IF($E1313=1,$F1313*$O1313,PNL!G1313))</f>
        <v/>
      </c>
      <c r="T1313" t="str">
        <f t="shared" si="230"/>
        <v/>
      </c>
    </row>
    <row r="1314" spans="1:20" x14ac:dyDescent="0.45">
      <c r="A1314" t="str">
        <f>IF(PNL!A1314="","",PNL!A1314)</f>
        <v/>
      </c>
      <c r="B1314" t="str">
        <f>IF(PNL!B1314="","",PNL!B1314)</f>
        <v/>
      </c>
      <c r="C1314" t="str">
        <f>IF(PNL!C1314="","",PNL!C1314)</f>
        <v/>
      </c>
      <c r="D1314" t="str">
        <f>IF(PNL!D1314="","",PNL!D1314)</f>
        <v/>
      </c>
      <c r="E1314" t="str">
        <f t="shared" si="220"/>
        <v/>
      </c>
      <c r="F1314" t="str">
        <f>IF($A1314="","",IF($E1314=1,SUMIFS(Compta!$F$1:$F$675,Compta!$A$1:$A$675,$A1314,Compta!$B$1:$B$675,$B1314,Compta!$C$1:$C$675,"2026"),0))</f>
        <v/>
      </c>
      <c r="G1314" t="str">
        <f t="shared" si="221"/>
        <v/>
      </c>
      <c r="H1314" t="str">
        <f t="shared" si="222"/>
        <v/>
      </c>
      <c r="I1314" t="str">
        <f t="shared" si="223"/>
        <v/>
      </c>
      <c r="J1314" t="str">
        <f t="shared" si="224"/>
        <v/>
      </c>
      <c r="K1314" t="str">
        <f t="shared" si="225"/>
        <v/>
      </c>
      <c r="L1314" t="str">
        <f t="shared" si="226"/>
        <v/>
      </c>
      <c r="M1314" t="str">
        <f t="shared" si="227"/>
        <v/>
      </c>
      <c r="N1314" t="str">
        <f t="shared" si="228"/>
        <v/>
      </c>
      <c r="O1314" t="str">
        <f t="shared" si="229"/>
        <v/>
      </c>
      <c r="P1314" t="str">
        <f>IF($A1314="","",IF($E1314=1,$F1314*$O1314,PNL!G1314))</f>
        <v/>
      </c>
      <c r="T1314" t="str">
        <f t="shared" si="230"/>
        <v/>
      </c>
    </row>
    <row r="1315" spans="1:20" x14ac:dyDescent="0.45">
      <c r="A1315" t="str">
        <f>IF(PNL!A1315="","",PNL!A1315)</f>
        <v/>
      </c>
      <c r="B1315" t="str">
        <f>IF(PNL!B1315="","",PNL!B1315)</f>
        <v/>
      </c>
      <c r="C1315" t="str">
        <f>IF(PNL!C1315="","",PNL!C1315)</f>
        <v/>
      </c>
      <c r="D1315" t="str">
        <f>IF(PNL!D1315="","",PNL!D1315)</f>
        <v/>
      </c>
      <c r="E1315" t="str">
        <f t="shared" si="220"/>
        <v/>
      </c>
      <c r="F1315" t="str">
        <f>IF($A1315="","",IF($E1315=1,SUMIFS(Compta!$F$1:$F$675,Compta!$A$1:$A$675,$A1315,Compta!$B$1:$B$675,$B1315,Compta!$C$1:$C$675,"2026"),0))</f>
        <v/>
      </c>
      <c r="G1315" t="str">
        <f t="shared" si="221"/>
        <v/>
      </c>
      <c r="H1315" t="str">
        <f t="shared" si="222"/>
        <v/>
      </c>
      <c r="I1315" t="str">
        <f t="shared" si="223"/>
        <v/>
      </c>
      <c r="J1315" t="str">
        <f t="shared" si="224"/>
        <v/>
      </c>
      <c r="K1315" t="str">
        <f t="shared" si="225"/>
        <v/>
      </c>
      <c r="L1315" t="str">
        <f t="shared" si="226"/>
        <v/>
      </c>
      <c r="M1315" t="str">
        <f t="shared" si="227"/>
        <v/>
      </c>
      <c r="N1315" t="str">
        <f t="shared" si="228"/>
        <v/>
      </c>
      <c r="O1315" t="str">
        <f t="shared" si="229"/>
        <v/>
      </c>
      <c r="P1315" t="str">
        <f>IF($A1315="","",IF($E1315=1,$F1315*$O1315,PNL!G1315))</f>
        <v/>
      </c>
      <c r="T1315" t="str">
        <f t="shared" si="230"/>
        <v/>
      </c>
    </row>
    <row r="1316" spans="1:20" x14ac:dyDescent="0.45">
      <c r="A1316" t="str">
        <f>IF(PNL!A1316="","",PNL!A1316)</f>
        <v/>
      </c>
      <c r="B1316" t="str">
        <f>IF(PNL!B1316="","",PNL!B1316)</f>
        <v/>
      </c>
      <c r="C1316" t="str">
        <f>IF(PNL!C1316="","",PNL!C1316)</f>
        <v/>
      </c>
      <c r="D1316" t="str">
        <f>IF(PNL!D1316="","",PNL!D1316)</f>
        <v/>
      </c>
      <c r="E1316" t="str">
        <f t="shared" si="220"/>
        <v/>
      </c>
      <c r="F1316" t="str">
        <f>IF($A1316="","",IF($E1316=1,SUMIFS(Compta!$F$1:$F$675,Compta!$A$1:$A$675,$A1316,Compta!$B$1:$B$675,$B1316,Compta!$C$1:$C$675,"2026"),0))</f>
        <v/>
      </c>
      <c r="G1316" t="str">
        <f t="shared" si="221"/>
        <v/>
      </c>
      <c r="H1316" t="str">
        <f t="shared" si="222"/>
        <v/>
      </c>
      <c r="I1316" t="str">
        <f t="shared" si="223"/>
        <v/>
      </c>
      <c r="J1316" t="str">
        <f t="shared" si="224"/>
        <v/>
      </c>
      <c r="K1316" t="str">
        <f t="shared" si="225"/>
        <v/>
      </c>
      <c r="L1316" t="str">
        <f t="shared" si="226"/>
        <v/>
      </c>
      <c r="M1316" t="str">
        <f t="shared" si="227"/>
        <v/>
      </c>
      <c r="N1316" t="str">
        <f t="shared" si="228"/>
        <v/>
      </c>
      <c r="O1316" t="str">
        <f t="shared" si="229"/>
        <v/>
      </c>
      <c r="P1316" t="str">
        <f>IF($A1316="","",IF($E1316=1,$F1316*$O1316,PNL!G1316))</f>
        <v/>
      </c>
      <c r="T1316" t="str">
        <f t="shared" si="230"/>
        <v/>
      </c>
    </row>
    <row r="1317" spans="1:20" x14ac:dyDescent="0.45">
      <c r="A1317" t="str">
        <f>IF(PNL!A1317="","",PNL!A1317)</f>
        <v/>
      </c>
      <c r="B1317" t="str">
        <f>IF(PNL!B1317="","",PNL!B1317)</f>
        <v/>
      </c>
      <c r="C1317" t="str">
        <f>IF(PNL!C1317="","",PNL!C1317)</f>
        <v/>
      </c>
      <c r="D1317" t="str">
        <f>IF(PNL!D1317="","",PNL!D1317)</f>
        <v/>
      </c>
      <c r="E1317" t="str">
        <f t="shared" si="220"/>
        <v/>
      </c>
      <c r="F1317" t="str">
        <f>IF($A1317="","",IF($E1317=1,SUMIFS(Compta!$F$1:$F$675,Compta!$A$1:$A$675,$A1317,Compta!$B$1:$B$675,$B1317,Compta!$C$1:$C$675,"2026"),0))</f>
        <v/>
      </c>
      <c r="G1317" t="str">
        <f t="shared" si="221"/>
        <v/>
      </c>
      <c r="H1317" t="str">
        <f t="shared" si="222"/>
        <v/>
      </c>
      <c r="I1317" t="str">
        <f t="shared" si="223"/>
        <v/>
      </c>
      <c r="J1317" t="str">
        <f t="shared" si="224"/>
        <v/>
      </c>
      <c r="K1317" t="str">
        <f t="shared" si="225"/>
        <v/>
      </c>
      <c r="L1317" t="str">
        <f t="shared" si="226"/>
        <v/>
      </c>
      <c r="M1317" t="str">
        <f t="shared" si="227"/>
        <v/>
      </c>
      <c r="N1317" t="str">
        <f t="shared" si="228"/>
        <v/>
      </c>
      <c r="O1317" t="str">
        <f t="shared" si="229"/>
        <v/>
      </c>
      <c r="P1317" t="str">
        <f>IF($A1317="","",IF($E1317=1,$F1317*$O1317,PNL!G1317))</f>
        <v/>
      </c>
      <c r="T1317" t="str">
        <f t="shared" si="230"/>
        <v/>
      </c>
    </row>
    <row r="1318" spans="1:20" x14ac:dyDescent="0.45">
      <c r="A1318" t="str">
        <f>IF(PNL!A1318="","",PNL!A1318)</f>
        <v/>
      </c>
      <c r="B1318" t="str">
        <f>IF(PNL!B1318="","",PNL!B1318)</f>
        <v/>
      </c>
      <c r="C1318" t="str">
        <f>IF(PNL!C1318="","",PNL!C1318)</f>
        <v/>
      </c>
      <c r="D1318" t="str">
        <f>IF(PNL!D1318="","",PNL!D1318)</f>
        <v/>
      </c>
      <c r="E1318" t="str">
        <f t="shared" si="220"/>
        <v/>
      </c>
      <c r="F1318" t="str">
        <f>IF($A1318="","",IF($E1318=1,SUMIFS(Compta!$F$1:$F$675,Compta!$A$1:$A$675,$A1318,Compta!$B$1:$B$675,$B1318,Compta!$C$1:$C$675,"2026"),0))</f>
        <v/>
      </c>
      <c r="G1318" t="str">
        <f t="shared" si="221"/>
        <v/>
      </c>
      <c r="H1318" t="str">
        <f t="shared" si="222"/>
        <v/>
      </c>
      <c r="I1318" t="str">
        <f t="shared" si="223"/>
        <v/>
      </c>
      <c r="J1318" t="str">
        <f t="shared" si="224"/>
        <v/>
      </c>
      <c r="K1318" t="str">
        <f t="shared" si="225"/>
        <v/>
      </c>
      <c r="L1318" t="str">
        <f t="shared" si="226"/>
        <v/>
      </c>
      <c r="M1318" t="str">
        <f t="shared" si="227"/>
        <v/>
      </c>
      <c r="N1318" t="str">
        <f t="shared" si="228"/>
        <v/>
      </c>
      <c r="O1318" t="str">
        <f t="shared" si="229"/>
        <v/>
      </c>
      <c r="P1318" t="str">
        <f>IF($A1318="","",IF($E1318=1,$F1318*$O1318,PNL!G1318))</f>
        <v/>
      </c>
      <c r="T1318" t="str">
        <f t="shared" si="230"/>
        <v/>
      </c>
    </row>
    <row r="1319" spans="1:20" x14ac:dyDescent="0.45">
      <c r="A1319" t="str">
        <f>IF(PNL!A1319="","",PNL!A1319)</f>
        <v/>
      </c>
      <c r="B1319" t="str">
        <f>IF(PNL!B1319="","",PNL!B1319)</f>
        <v/>
      </c>
      <c r="C1319" t="str">
        <f>IF(PNL!C1319="","",PNL!C1319)</f>
        <v/>
      </c>
      <c r="D1319" t="str">
        <f>IF(PNL!D1319="","",PNL!D1319)</f>
        <v/>
      </c>
      <c r="E1319" t="str">
        <f t="shared" si="220"/>
        <v/>
      </c>
      <c r="F1319" t="str">
        <f>IF($A1319="","",IF($E1319=1,SUMIFS(Compta!$F$1:$F$675,Compta!$A$1:$A$675,$A1319,Compta!$B$1:$B$675,$B1319,Compta!$C$1:$C$675,"2026"),0))</f>
        <v/>
      </c>
      <c r="G1319" t="str">
        <f t="shared" si="221"/>
        <v/>
      </c>
      <c r="H1319" t="str">
        <f t="shared" si="222"/>
        <v/>
      </c>
      <c r="I1319" t="str">
        <f t="shared" si="223"/>
        <v/>
      </c>
      <c r="J1319" t="str">
        <f t="shared" si="224"/>
        <v/>
      </c>
      <c r="K1319" t="str">
        <f t="shared" si="225"/>
        <v/>
      </c>
      <c r="L1319" t="str">
        <f t="shared" si="226"/>
        <v/>
      </c>
      <c r="M1319" t="str">
        <f t="shared" si="227"/>
        <v/>
      </c>
      <c r="N1319" t="str">
        <f t="shared" si="228"/>
        <v/>
      </c>
      <c r="O1319" t="str">
        <f t="shared" si="229"/>
        <v/>
      </c>
      <c r="P1319" t="str">
        <f>IF($A1319="","",IF($E1319=1,$F1319*$O1319,PNL!G1319))</f>
        <v/>
      </c>
      <c r="T1319" t="str">
        <f t="shared" si="230"/>
        <v/>
      </c>
    </row>
    <row r="1320" spans="1:20" x14ac:dyDescent="0.45">
      <c r="A1320" t="str">
        <f>IF(PNL!A1320="","",PNL!A1320)</f>
        <v/>
      </c>
      <c r="B1320" t="str">
        <f>IF(PNL!B1320="","",PNL!B1320)</f>
        <v/>
      </c>
      <c r="C1320" t="str">
        <f>IF(PNL!C1320="","",PNL!C1320)</f>
        <v/>
      </c>
      <c r="D1320" t="str">
        <f>IF(PNL!D1320="","",PNL!D1320)</f>
        <v/>
      </c>
      <c r="E1320" t="str">
        <f t="shared" si="220"/>
        <v/>
      </c>
      <c r="F1320" t="str">
        <f>IF($A1320="","",IF($E1320=1,SUMIFS(Compta!$F$1:$F$675,Compta!$A$1:$A$675,$A1320,Compta!$B$1:$B$675,$B1320,Compta!$C$1:$C$675,"2026"),0))</f>
        <v/>
      </c>
      <c r="G1320" t="str">
        <f t="shared" si="221"/>
        <v/>
      </c>
      <c r="H1320" t="str">
        <f t="shared" si="222"/>
        <v/>
      </c>
      <c r="I1320" t="str">
        <f t="shared" si="223"/>
        <v/>
      </c>
      <c r="J1320" t="str">
        <f t="shared" si="224"/>
        <v/>
      </c>
      <c r="K1320" t="str">
        <f t="shared" si="225"/>
        <v/>
      </c>
      <c r="L1320" t="str">
        <f t="shared" si="226"/>
        <v/>
      </c>
      <c r="M1320" t="str">
        <f t="shared" si="227"/>
        <v/>
      </c>
      <c r="N1320" t="str">
        <f t="shared" si="228"/>
        <v/>
      </c>
      <c r="O1320" t="str">
        <f t="shared" si="229"/>
        <v/>
      </c>
      <c r="P1320" t="str">
        <f>IF($A1320="","",IF($E1320=1,$F1320*$O1320,PNL!G1320))</f>
        <v/>
      </c>
      <c r="T1320" t="str">
        <f t="shared" si="230"/>
        <v/>
      </c>
    </row>
    <row r="1321" spans="1:20" x14ac:dyDescent="0.45">
      <c r="A1321" t="str">
        <f>IF(PNL!A1321="","",PNL!A1321)</f>
        <v/>
      </c>
      <c r="B1321" t="str">
        <f>IF(PNL!B1321="","",PNL!B1321)</f>
        <v/>
      </c>
      <c r="C1321" t="str">
        <f>IF(PNL!C1321="","",PNL!C1321)</f>
        <v/>
      </c>
      <c r="D1321" t="str">
        <f>IF(PNL!D1321="","",PNL!D1321)</f>
        <v/>
      </c>
      <c r="E1321" t="str">
        <f t="shared" si="220"/>
        <v/>
      </c>
      <c r="F1321" t="str">
        <f>IF($A1321="","",IF($E1321=1,SUMIFS(Compta!$F$1:$F$675,Compta!$A$1:$A$675,$A1321,Compta!$B$1:$B$675,$B1321,Compta!$C$1:$C$675,"2026"),0))</f>
        <v/>
      </c>
      <c r="G1321" t="str">
        <f t="shared" si="221"/>
        <v/>
      </c>
      <c r="H1321" t="str">
        <f t="shared" si="222"/>
        <v/>
      </c>
      <c r="I1321" t="str">
        <f t="shared" si="223"/>
        <v/>
      </c>
      <c r="J1321" t="str">
        <f t="shared" si="224"/>
        <v/>
      </c>
      <c r="K1321" t="str">
        <f t="shared" si="225"/>
        <v/>
      </c>
      <c r="L1321" t="str">
        <f t="shared" si="226"/>
        <v/>
      </c>
      <c r="M1321" t="str">
        <f t="shared" si="227"/>
        <v/>
      </c>
      <c r="N1321" t="str">
        <f t="shared" si="228"/>
        <v/>
      </c>
      <c r="O1321" t="str">
        <f t="shared" si="229"/>
        <v/>
      </c>
      <c r="P1321" t="str">
        <f>IF($A1321="","",IF($E1321=1,$F1321*$O1321,PNL!G1321))</f>
        <v/>
      </c>
      <c r="T1321" t="str">
        <f t="shared" si="230"/>
        <v/>
      </c>
    </row>
    <row r="1322" spans="1:20" x14ac:dyDescent="0.45">
      <c r="A1322" t="str">
        <f>IF(PNL!A1322="","",PNL!A1322)</f>
        <v/>
      </c>
      <c r="B1322" t="str">
        <f>IF(PNL!B1322="","",PNL!B1322)</f>
        <v/>
      </c>
      <c r="C1322" t="str">
        <f>IF(PNL!C1322="","",PNL!C1322)</f>
        <v/>
      </c>
      <c r="D1322" t="str">
        <f>IF(PNL!D1322="","",PNL!D1322)</f>
        <v/>
      </c>
      <c r="E1322" t="str">
        <f t="shared" si="220"/>
        <v/>
      </c>
      <c r="F1322" t="str">
        <f>IF($A1322="","",IF($E1322=1,SUMIFS(Compta!$F$1:$F$675,Compta!$A$1:$A$675,$A1322,Compta!$B$1:$B$675,$B1322,Compta!$C$1:$C$675,"2026"),0))</f>
        <v/>
      </c>
      <c r="G1322" t="str">
        <f t="shared" si="221"/>
        <v/>
      </c>
      <c r="H1322" t="str">
        <f t="shared" si="222"/>
        <v/>
      </c>
      <c r="I1322" t="str">
        <f t="shared" si="223"/>
        <v/>
      </c>
      <c r="J1322" t="str">
        <f t="shared" si="224"/>
        <v/>
      </c>
      <c r="K1322" t="str">
        <f t="shared" si="225"/>
        <v/>
      </c>
      <c r="L1322" t="str">
        <f t="shared" si="226"/>
        <v/>
      </c>
      <c r="M1322" t="str">
        <f t="shared" si="227"/>
        <v/>
      </c>
      <c r="N1322" t="str">
        <f t="shared" si="228"/>
        <v/>
      </c>
      <c r="O1322" t="str">
        <f t="shared" si="229"/>
        <v/>
      </c>
      <c r="P1322" t="str">
        <f>IF($A1322="","",IF($E1322=1,$F1322*$O1322,PNL!G1322))</f>
        <v/>
      </c>
      <c r="T1322" t="str">
        <f t="shared" si="230"/>
        <v/>
      </c>
    </row>
    <row r="1323" spans="1:20" x14ac:dyDescent="0.45">
      <c r="A1323" t="str">
        <f>IF(PNL!A1323="","",PNL!A1323)</f>
        <v/>
      </c>
      <c r="B1323" t="str">
        <f>IF(PNL!B1323="","",PNL!B1323)</f>
        <v/>
      </c>
      <c r="C1323" t="str">
        <f>IF(PNL!C1323="","",PNL!C1323)</f>
        <v/>
      </c>
      <c r="D1323" t="str">
        <f>IF(PNL!D1323="","",PNL!D1323)</f>
        <v/>
      </c>
      <c r="E1323" t="str">
        <f t="shared" si="220"/>
        <v/>
      </c>
      <c r="F1323" t="str">
        <f>IF($A1323="","",IF($E1323=1,SUMIFS(Compta!$F$1:$F$675,Compta!$A$1:$A$675,$A1323,Compta!$B$1:$B$675,$B1323,Compta!$C$1:$C$675,"2026"),0))</f>
        <v/>
      </c>
      <c r="G1323" t="str">
        <f t="shared" si="221"/>
        <v/>
      </c>
      <c r="H1323" t="str">
        <f t="shared" si="222"/>
        <v/>
      </c>
      <c r="I1323" t="str">
        <f t="shared" si="223"/>
        <v/>
      </c>
      <c r="J1323" t="str">
        <f t="shared" si="224"/>
        <v/>
      </c>
      <c r="K1323" t="str">
        <f t="shared" si="225"/>
        <v/>
      </c>
      <c r="L1323" t="str">
        <f t="shared" si="226"/>
        <v/>
      </c>
      <c r="M1323" t="str">
        <f t="shared" si="227"/>
        <v/>
      </c>
      <c r="N1323" t="str">
        <f t="shared" si="228"/>
        <v/>
      </c>
      <c r="O1323" t="str">
        <f t="shared" si="229"/>
        <v/>
      </c>
      <c r="P1323" t="str">
        <f>IF($A1323="","",IF($E1323=1,$F1323*$O1323,PNL!G1323))</f>
        <v/>
      </c>
      <c r="T1323" t="str">
        <f t="shared" si="230"/>
        <v/>
      </c>
    </row>
    <row r="1324" spans="1:20" x14ac:dyDescent="0.45">
      <c r="A1324" t="str">
        <f>IF(PNL!A1324="","",PNL!A1324)</f>
        <v/>
      </c>
      <c r="B1324" t="str">
        <f>IF(PNL!B1324="","",PNL!B1324)</f>
        <v/>
      </c>
      <c r="C1324" t="str">
        <f>IF(PNL!C1324="","",PNL!C1324)</f>
        <v/>
      </c>
      <c r="D1324" t="str">
        <f>IF(PNL!D1324="","",PNL!D1324)</f>
        <v/>
      </c>
      <c r="E1324" t="str">
        <f t="shared" si="220"/>
        <v/>
      </c>
      <c r="F1324" t="str">
        <f>IF($A1324="","",IF($E1324=1,SUMIFS(Compta!$F$1:$F$675,Compta!$A$1:$A$675,$A1324,Compta!$B$1:$B$675,$B1324,Compta!$C$1:$C$675,"2026"),0))</f>
        <v/>
      </c>
      <c r="G1324" t="str">
        <f t="shared" si="221"/>
        <v/>
      </c>
      <c r="H1324" t="str">
        <f t="shared" si="222"/>
        <v/>
      </c>
      <c r="I1324" t="str">
        <f t="shared" si="223"/>
        <v/>
      </c>
      <c r="J1324" t="str">
        <f t="shared" si="224"/>
        <v/>
      </c>
      <c r="K1324" t="str">
        <f t="shared" si="225"/>
        <v/>
      </c>
      <c r="L1324" t="str">
        <f t="shared" si="226"/>
        <v/>
      </c>
      <c r="M1324" t="str">
        <f t="shared" si="227"/>
        <v/>
      </c>
      <c r="N1324" t="str">
        <f t="shared" si="228"/>
        <v/>
      </c>
      <c r="O1324" t="str">
        <f t="shared" si="229"/>
        <v/>
      </c>
      <c r="P1324" t="str">
        <f>IF($A1324="","",IF($E1324=1,$F1324*$O1324,PNL!G1324))</f>
        <v/>
      </c>
      <c r="T1324" t="str">
        <f t="shared" si="230"/>
        <v/>
      </c>
    </row>
    <row r="1325" spans="1:20" x14ac:dyDescent="0.45">
      <c r="A1325" t="str">
        <f>IF(PNL!A1325="","",PNL!A1325)</f>
        <v/>
      </c>
      <c r="B1325" t="str">
        <f>IF(PNL!B1325="","",PNL!B1325)</f>
        <v/>
      </c>
      <c r="C1325" t="str">
        <f>IF(PNL!C1325="","",PNL!C1325)</f>
        <v/>
      </c>
      <c r="D1325" t="str">
        <f>IF(PNL!D1325="","",PNL!D1325)</f>
        <v/>
      </c>
      <c r="E1325" t="str">
        <f t="shared" si="220"/>
        <v/>
      </c>
      <c r="F1325" t="str">
        <f>IF($A1325="","",IF($E1325=1,SUMIFS(Compta!$F$1:$F$675,Compta!$A$1:$A$675,$A1325,Compta!$B$1:$B$675,$B1325,Compta!$C$1:$C$675,"2026"),0))</f>
        <v/>
      </c>
      <c r="G1325" t="str">
        <f t="shared" si="221"/>
        <v/>
      </c>
      <c r="H1325" t="str">
        <f t="shared" si="222"/>
        <v/>
      </c>
      <c r="I1325" t="str">
        <f t="shared" si="223"/>
        <v/>
      </c>
      <c r="J1325" t="str">
        <f t="shared" si="224"/>
        <v/>
      </c>
      <c r="K1325" t="str">
        <f t="shared" si="225"/>
        <v/>
      </c>
      <c r="L1325" t="str">
        <f t="shared" si="226"/>
        <v/>
      </c>
      <c r="M1325" t="str">
        <f t="shared" si="227"/>
        <v/>
      </c>
      <c r="N1325" t="str">
        <f t="shared" si="228"/>
        <v/>
      </c>
      <c r="O1325" t="str">
        <f t="shared" si="229"/>
        <v/>
      </c>
      <c r="P1325" t="str">
        <f>IF($A1325="","",IF($E1325=1,$F1325*$O1325,PNL!G1325))</f>
        <v/>
      </c>
      <c r="T1325" t="str">
        <f t="shared" si="230"/>
        <v/>
      </c>
    </row>
    <row r="1326" spans="1:20" x14ac:dyDescent="0.45">
      <c r="A1326" t="str">
        <f>IF(PNL!A1326="","",PNL!A1326)</f>
        <v/>
      </c>
      <c r="B1326" t="str">
        <f>IF(PNL!B1326="","",PNL!B1326)</f>
        <v/>
      </c>
      <c r="C1326" t="str">
        <f>IF(PNL!C1326="","",PNL!C1326)</f>
        <v/>
      </c>
      <c r="D1326" t="str">
        <f>IF(PNL!D1326="","",PNL!D1326)</f>
        <v/>
      </c>
      <c r="E1326" t="str">
        <f t="shared" si="220"/>
        <v/>
      </c>
      <c r="F1326" t="str">
        <f>IF($A1326="","",IF($E1326=1,SUMIFS(Compta!$F$1:$F$675,Compta!$A$1:$A$675,$A1326,Compta!$B$1:$B$675,$B1326,Compta!$C$1:$C$675,"2026"),0))</f>
        <v/>
      </c>
      <c r="G1326" t="str">
        <f t="shared" si="221"/>
        <v/>
      </c>
      <c r="H1326" t="str">
        <f t="shared" si="222"/>
        <v/>
      </c>
      <c r="I1326" t="str">
        <f t="shared" si="223"/>
        <v/>
      </c>
      <c r="J1326" t="str">
        <f t="shared" si="224"/>
        <v/>
      </c>
      <c r="K1326" t="str">
        <f t="shared" si="225"/>
        <v/>
      </c>
      <c r="L1326" t="str">
        <f t="shared" si="226"/>
        <v/>
      </c>
      <c r="M1326" t="str">
        <f t="shared" si="227"/>
        <v/>
      </c>
      <c r="N1326" t="str">
        <f t="shared" si="228"/>
        <v/>
      </c>
      <c r="O1326" t="str">
        <f t="shared" si="229"/>
        <v/>
      </c>
      <c r="P1326" t="str">
        <f>IF($A1326="","",IF($E1326=1,$F1326*$O1326,PNL!G1326))</f>
        <v/>
      </c>
      <c r="T1326" t="str">
        <f t="shared" si="230"/>
        <v/>
      </c>
    </row>
    <row r="1327" spans="1:20" x14ac:dyDescent="0.45">
      <c r="A1327" t="str">
        <f>IF(PNL!A1327="","",PNL!A1327)</f>
        <v/>
      </c>
      <c r="B1327" t="str">
        <f>IF(PNL!B1327="","",PNL!B1327)</f>
        <v/>
      </c>
      <c r="C1327" t="str">
        <f>IF(PNL!C1327="","",PNL!C1327)</f>
        <v/>
      </c>
      <c r="D1327" t="str">
        <f>IF(PNL!D1327="","",PNL!D1327)</f>
        <v/>
      </c>
      <c r="E1327" t="str">
        <f t="shared" si="220"/>
        <v/>
      </c>
      <c r="F1327" t="str">
        <f>IF($A1327="","",IF($E1327=1,SUMIFS(Compta!$F$1:$F$675,Compta!$A$1:$A$675,$A1327,Compta!$B$1:$B$675,$B1327,Compta!$C$1:$C$675,"2026"),0))</f>
        <v/>
      </c>
      <c r="G1327" t="str">
        <f t="shared" si="221"/>
        <v/>
      </c>
      <c r="H1327" t="str">
        <f t="shared" si="222"/>
        <v/>
      </c>
      <c r="I1327" t="str">
        <f t="shared" si="223"/>
        <v/>
      </c>
      <c r="J1327" t="str">
        <f t="shared" si="224"/>
        <v/>
      </c>
      <c r="K1327" t="str">
        <f t="shared" si="225"/>
        <v/>
      </c>
      <c r="L1327" t="str">
        <f t="shared" si="226"/>
        <v/>
      </c>
      <c r="M1327" t="str">
        <f t="shared" si="227"/>
        <v/>
      </c>
      <c r="N1327" t="str">
        <f t="shared" si="228"/>
        <v/>
      </c>
      <c r="O1327" t="str">
        <f t="shared" si="229"/>
        <v/>
      </c>
      <c r="P1327" t="str">
        <f>IF($A1327="","",IF($E1327=1,$F1327*$O1327,PNL!G1327))</f>
        <v/>
      </c>
      <c r="T1327" t="str">
        <f t="shared" si="230"/>
        <v/>
      </c>
    </row>
    <row r="1328" spans="1:20" x14ac:dyDescent="0.45">
      <c r="A1328" t="str">
        <f>IF(PNL!A1328="","",PNL!A1328)</f>
        <v/>
      </c>
      <c r="B1328" t="str">
        <f>IF(PNL!B1328="","",PNL!B1328)</f>
        <v/>
      </c>
      <c r="C1328" t="str">
        <f>IF(PNL!C1328="","",PNL!C1328)</f>
        <v/>
      </c>
      <c r="D1328" t="str">
        <f>IF(PNL!D1328="","",PNL!D1328)</f>
        <v/>
      </c>
      <c r="E1328" t="str">
        <f t="shared" si="220"/>
        <v/>
      </c>
      <c r="F1328" t="str">
        <f>IF($A1328="","",IF($E1328=1,SUMIFS(Compta!$F$1:$F$675,Compta!$A$1:$A$675,$A1328,Compta!$B$1:$B$675,$B1328,Compta!$C$1:$C$675,"2026"),0))</f>
        <v/>
      </c>
      <c r="G1328" t="str">
        <f t="shared" si="221"/>
        <v/>
      </c>
      <c r="H1328" t="str">
        <f t="shared" si="222"/>
        <v/>
      </c>
      <c r="I1328" t="str">
        <f t="shared" si="223"/>
        <v/>
      </c>
      <c r="J1328" t="str">
        <f t="shared" si="224"/>
        <v/>
      </c>
      <c r="K1328" t="str">
        <f t="shared" si="225"/>
        <v/>
      </c>
      <c r="L1328" t="str">
        <f t="shared" si="226"/>
        <v/>
      </c>
      <c r="M1328" t="str">
        <f t="shared" si="227"/>
        <v/>
      </c>
      <c r="N1328" t="str">
        <f t="shared" si="228"/>
        <v/>
      </c>
      <c r="O1328" t="str">
        <f t="shared" si="229"/>
        <v/>
      </c>
      <c r="P1328" t="str">
        <f>IF($A1328="","",IF($E1328=1,$F1328*$O1328,PNL!G1328))</f>
        <v/>
      </c>
      <c r="T1328" t="str">
        <f t="shared" si="230"/>
        <v/>
      </c>
    </row>
    <row r="1329" spans="1:20" x14ac:dyDescent="0.45">
      <c r="A1329" t="str">
        <f>IF(PNL!A1329="","",PNL!A1329)</f>
        <v/>
      </c>
      <c r="B1329" t="str">
        <f>IF(PNL!B1329="","",PNL!B1329)</f>
        <v/>
      </c>
      <c r="C1329" t="str">
        <f>IF(PNL!C1329="","",PNL!C1329)</f>
        <v/>
      </c>
      <c r="D1329" t="str">
        <f>IF(PNL!D1329="","",PNL!D1329)</f>
        <v/>
      </c>
      <c r="E1329" t="str">
        <f t="shared" si="220"/>
        <v/>
      </c>
      <c r="F1329" t="str">
        <f>IF($A1329="","",IF($E1329=1,SUMIFS(Compta!$F$1:$F$675,Compta!$A$1:$A$675,$A1329,Compta!$B$1:$B$675,$B1329,Compta!$C$1:$C$675,"2026"),0))</f>
        <v/>
      </c>
      <c r="G1329" t="str">
        <f t="shared" si="221"/>
        <v/>
      </c>
      <c r="H1329" t="str">
        <f t="shared" si="222"/>
        <v/>
      </c>
      <c r="I1329" t="str">
        <f t="shared" si="223"/>
        <v/>
      </c>
      <c r="J1329" t="str">
        <f t="shared" si="224"/>
        <v/>
      </c>
      <c r="K1329" t="str">
        <f t="shared" si="225"/>
        <v/>
      </c>
      <c r="L1329" t="str">
        <f t="shared" si="226"/>
        <v/>
      </c>
      <c r="M1329" t="str">
        <f t="shared" si="227"/>
        <v/>
      </c>
      <c r="N1329" t="str">
        <f t="shared" si="228"/>
        <v/>
      </c>
      <c r="O1329" t="str">
        <f t="shared" si="229"/>
        <v/>
      </c>
      <c r="P1329" t="str">
        <f>IF($A1329="","",IF($E1329=1,$F1329*$O1329,PNL!G1329))</f>
        <v/>
      </c>
      <c r="T1329" t="str">
        <f t="shared" si="230"/>
        <v/>
      </c>
    </row>
    <row r="1330" spans="1:20" x14ac:dyDescent="0.45">
      <c r="A1330" t="str">
        <f>IF(PNL!A1330="","",PNL!A1330)</f>
        <v/>
      </c>
      <c r="B1330" t="str">
        <f>IF(PNL!B1330="","",PNL!B1330)</f>
        <v/>
      </c>
      <c r="C1330" t="str">
        <f>IF(PNL!C1330="","",PNL!C1330)</f>
        <v/>
      </c>
      <c r="D1330" t="str">
        <f>IF(PNL!D1330="","",PNL!D1330)</f>
        <v/>
      </c>
      <c r="E1330" t="str">
        <f t="shared" si="220"/>
        <v/>
      </c>
      <c r="F1330" t="str">
        <f>IF($A1330="","",IF($E1330=1,SUMIFS(Compta!$F$1:$F$675,Compta!$A$1:$A$675,$A1330,Compta!$B$1:$B$675,$B1330,Compta!$C$1:$C$675,"2026"),0))</f>
        <v/>
      </c>
      <c r="G1330" t="str">
        <f t="shared" si="221"/>
        <v/>
      </c>
      <c r="H1330" t="str">
        <f t="shared" si="222"/>
        <v/>
      </c>
      <c r="I1330" t="str">
        <f t="shared" si="223"/>
        <v/>
      </c>
      <c r="J1330" t="str">
        <f t="shared" si="224"/>
        <v/>
      </c>
      <c r="K1330" t="str">
        <f t="shared" si="225"/>
        <v/>
      </c>
      <c r="L1330" t="str">
        <f t="shared" si="226"/>
        <v/>
      </c>
      <c r="M1330" t="str">
        <f t="shared" si="227"/>
        <v/>
      </c>
      <c r="N1330" t="str">
        <f t="shared" si="228"/>
        <v/>
      </c>
      <c r="O1330" t="str">
        <f t="shared" si="229"/>
        <v/>
      </c>
      <c r="P1330" t="str">
        <f>IF($A1330="","",IF($E1330=1,$F1330*$O1330,PNL!G1330))</f>
        <v/>
      </c>
      <c r="T1330" t="str">
        <f t="shared" si="230"/>
        <v/>
      </c>
    </row>
    <row r="1331" spans="1:20" x14ac:dyDescent="0.45">
      <c r="A1331" t="str">
        <f>IF(PNL!A1331="","",PNL!A1331)</f>
        <v/>
      </c>
      <c r="B1331" t="str">
        <f>IF(PNL!B1331="","",PNL!B1331)</f>
        <v/>
      </c>
      <c r="C1331" t="str">
        <f>IF(PNL!C1331="","",PNL!C1331)</f>
        <v/>
      </c>
      <c r="D1331" t="str">
        <f>IF(PNL!D1331="","",PNL!D1331)</f>
        <v/>
      </c>
      <c r="E1331" t="str">
        <f t="shared" si="220"/>
        <v/>
      </c>
      <c r="F1331" t="str">
        <f>IF($A1331="","",IF($E1331=1,SUMIFS(Compta!$F$1:$F$675,Compta!$A$1:$A$675,$A1331,Compta!$B$1:$B$675,$B1331,Compta!$C$1:$C$675,"2026"),0))</f>
        <v/>
      </c>
      <c r="G1331" t="str">
        <f t="shared" si="221"/>
        <v/>
      </c>
      <c r="H1331" t="str">
        <f t="shared" si="222"/>
        <v/>
      </c>
      <c r="I1331" t="str">
        <f t="shared" si="223"/>
        <v/>
      </c>
      <c r="J1331" t="str">
        <f t="shared" si="224"/>
        <v/>
      </c>
      <c r="K1331" t="str">
        <f t="shared" si="225"/>
        <v/>
      </c>
      <c r="L1331" t="str">
        <f t="shared" si="226"/>
        <v/>
      </c>
      <c r="M1331" t="str">
        <f t="shared" si="227"/>
        <v/>
      </c>
      <c r="N1331" t="str">
        <f t="shared" si="228"/>
        <v/>
      </c>
      <c r="O1331" t="str">
        <f t="shared" si="229"/>
        <v/>
      </c>
      <c r="P1331" t="str">
        <f>IF($A1331="","",IF($E1331=1,$F1331*$O1331,PNL!G1331))</f>
        <v/>
      </c>
      <c r="T1331" t="str">
        <f t="shared" si="230"/>
        <v/>
      </c>
    </row>
    <row r="1332" spans="1:20" x14ac:dyDescent="0.45">
      <c r="A1332" t="str">
        <f>IF(PNL!A1332="","",PNL!A1332)</f>
        <v/>
      </c>
      <c r="B1332" t="str">
        <f>IF(PNL!B1332="","",PNL!B1332)</f>
        <v/>
      </c>
      <c r="C1332" t="str">
        <f>IF(PNL!C1332="","",PNL!C1332)</f>
        <v/>
      </c>
      <c r="D1332" t="str">
        <f>IF(PNL!D1332="","",PNL!D1332)</f>
        <v/>
      </c>
      <c r="E1332" t="str">
        <f t="shared" si="220"/>
        <v/>
      </c>
      <c r="F1332" t="str">
        <f>IF($A1332="","",IF($E1332=1,SUMIFS(Compta!$F$1:$F$675,Compta!$A$1:$A$675,$A1332,Compta!$B$1:$B$675,$B1332,Compta!$C$1:$C$675,"2026"),0))</f>
        <v/>
      </c>
      <c r="G1332" t="str">
        <f t="shared" si="221"/>
        <v/>
      </c>
      <c r="H1332" t="str">
        <f t="shared" si="222"/>
        <v/>
      </c>
      <c r="I1332" t="str">
        <f t="shared" si="223"/>
        <v/>
      </c>
      <c r="J1332" t="str">
        <f t="shared" si="224"/>
        <v/>
      </c>
      <c r="K1332" t="str">
        <f t="shared" si="225"/>
        <v/>
      </c>
      <c r="L1332" t="str">
        <f t="shared" si="226"/>
        <v/>
      </c>
      <c r="M1332" t="str">
        <f t="shared" si="227"/>
        <v/>
      </c>
      <c r="N1332" t="str">
        <f t="shared" si="228"/>
        <v/>
      </c>
      <c r="O1332" t="str">
        <f t="shared" si="229"/>
        <v/>
      </c>
      <c r="P1332" t="str">
        <f>IF($A1332="","",IF($E1332=1,$F1332*$O1332,PNL!G1332))</f>
        <v/>
      </c>
      <c r="T1332" t="str">
        <f t="shared" si="230"/>
        <v/>
      </c>
    </row>
    <row r="1333" spans="1:20" x14ac:dyDescent="0.45">
      <c r="A1333" t="str">
        <f>IF(PNL!A1333="","",PNL!A1333)</f>
        <v/>
      </c>
      <c r="B1333" t="str">
        <f>IF(PNL!B1333="","",PNL!B1333)</f>
        <v/>
      </c>
      <c r="C1333" t="str">
        <f>IF(PNL!C1333="","",PNL!C1333)</f>
        <v/>
      </c>
      <c r="D1333" t="str">
        <f>IF(PNL!D1333="","",PNL!D1333)</f>
        <v/>
      </c>
      <c r="E1333" t="str">
        <f t="shared" si="220"/>
        <v/>
      </c>
      <c r="F1333" t="str">
        <f>IF($A1333="","",IF($E1333=1,SUMIFS(Compta!$F$1:$F$675,Compta!$A$1:$A$675,$A1333,Compta!$B$1:$B$675,$B1333,Compta!$C$1:$C$675,"2026"),0))</f>
        <v/>
      </c>
      <c r="G1333" t="str">
        <f t="shared" si="221"/>
        <v/>
      </c>
      <c r="H1333" t="str">
        <f t="shared" si="222"/>
        <v/>
      </c>
      <c r="I1333" t="str">
        <f t="shared" si="223"/>
        <v/>
      </c>
      <c r="J1333" t="str">
        <f t="shared" si="224"/>
        <v/>
      </c>
      <c r="K1333" t="str">
        <f t="shared" si="225"/>
        <v/>
      </c>
      <c r="L1333" t="str">
        <f t="shared" si="226"/>
        <v/>
      </c>
      <c r="M1333" t="str">
        <f t="shared" si="227"/>
        <v/>
      </c>
      <c r="N1333" t="str">
        <f t="shared" si="228"/>
        <v/>
      </c>
      <c r="O1333" t="str">
        <f t="shared" si="229"/>
        <v/>
      </c>
      <c r="P1333" t="str">
        <f>IF($A1333="","",IF($E1333=1,$F1333*$O1333,PNL!G1333))</f>
        <v/>
      </c>
      <c r="T1333" t="str">
        <f t="shared" si="230"/>
        <v/>
      </c>
    </row>
    <row r="1334" spans="1:20" x14ac:dyDescent="0.45">
      <c r="A1334" t="str">
        <f>IF(PNL!A1334="","",PNL!A1334)</f>
        <v/>
      </c>
      <c r="B1334" t="str">
        <f>IF(PNL!B1334="","",PNL!B1334)</f>
        <v/>
      </c>
      <c r="C1334" t="str">
        <f>IF(PNL!C1334="","",PNL!C1334)</f>
        <v/>
      </c>
      <c r="D1334" t="str">
        <f>IF(PNL!D1334="","",PNL!D1334)</f>
        <v/>
      </c>
      <c r="E1334" t="str">
        <f t="shared" si="220"/>
        <v/>
      </c>
      <c r="F1334" t="str">
        <f>IF($A1334="","",IF($E1334=1,SUMIFS(Compta!$F$1:$F$675,Compta!$A$1:$A$675,$A1334,Compta!$B$1:$B$675,$B1334,Compta!$C$1:$C$675,"2026"),0))</f>
        <v/>
      </c>
      <c r="G1334" t="str">
        <f t="shared" si="221"/>
        <v/>
      </c>
      <c r="H1334" t="str">
        <f t="shared" si="222"/>
        <v/>
      </c>
      <c r="I1334" t="str">
        <f t="shared" si="223"/>
        <v/>
      </c>
      <c r="J1334" t="str">
        <f t="shared" si="224"/>
        <v/>
      </c>
      <c r="K1334" t="str">
        <f t="shared" si="225"/>
        <v/>
      </c>
      <c r="L1334" t="str">
        <f t="shared" si="226"/>
        <v/>
      </c>
      <c r="M1334" t="str">
        <f t="shared" si="227"/>
        <v/>
      </c>
      <c r="N1334" t="str">
        <f t="shared" si="228"/>
        <v/>
      </c>
      <c r="O1334" t="str">
        <f t="shared" si="229"/>
        <v/>
      </c>
      <c r="P1334" t="str">
        <f>IF($A1334="","",IF($E1334=1,$F1334*$O1334,PNL!G1334))</f>
        <v/>
      </c>
      <c r="T1334" t="str">
        <f t="shared" si="230"/>
        <v/>
      </c>
    </row>
    <row r="1335" spans="1:20" x14ac:dyDescent="0.45">
      <c r="A1335" t="str">
        <f>IF(PNL!A1335="","",PNL!A1335)</f>
        <v/>
      </c>
      <c r="B1335" t="str">
        <f>IF(PNL!B1335="","",PNL!B1335)</f>
        <v/>
      </c>
      <c r="C1335" t="str">
        <f>IF(PNL!C1335="","",PNL!C1335)</f>
        <v/>
      </c>
      <c r="D1335" t="str">
        <f>IF(PNL!D1335="","",PNL!D1335)</f>
        <v/>
      </c>
      <c r="E1335" t="str">
        <f t="shared" si="220"/>
        <v/>
      </c>
      <c r="F1335" t="str">
        <f>IF($A1335="","",IF($E1335=1,SUMIFS(Compta!$F$1:$F$675,Compta!$A$1:$A$675,$A1335,Compta!$B$1:$B$675,$B1335,Compta!$C$1:$C$675,"2026"),0))</f>
        <v/>
      </c>
      <c r="G1335" t="str">
        <f t="shared" si="221"/>
        <v/>
      </c>
      <c r="H1335" t="str">
        <f t="shared" si="222"/>
        <v/>
      </c>
      <c r="I1335" t="str">
        <f t="shared" si="223"/>
        <v/>
      </c>
      <c r="J1335" t="str">
        <f t="shared" si="224"/>
        <v/>
      </c>
      <c r="K1335" t="str">
        <f t="shared" si="225"/>
        <v/>
      </c>
      <c r="L1335" t="str">
        <f t="shared" si="226"/>
        <v/>
      </c>
      <c r="M1335" t="str">
        <f t="shared" si="227"/>
        <v/>
      </c>
      <c r="N1335" t="str">
        <f t="shared" si="228"/>
        <v/>
      </c>
      <c r="O1335" t="str">
        <f t="shared" si="229"/>
        <v/>
      </c>
      <c r="P1335" t="str">
        <f>IF($A1335="","",IF($E1335=1,$F1335*$O1335,PNL!G1335))</f>
        <v/>
      </c>
      <c r="T1335" t="str">
        <f t="shared" si="230"/>
        <v/>
      </c>
    </row>
    <row r="1336" spans="1:20" x14ac:dyDescent="0.45">
      <c r="A1336" t="str">
        <f>IF(PNL!A1336="","",PNL!A1336)</f>
        <v/>
      </c>
      <c r="B1336" t="str">
        <f>IF(PNL!B1336="","",PNL!B1336)</f>
        <v/>
      </c>
      <c r="C1336" t="str">
        <f>IF(PNL!C1336="","",PNL!C1336)</f>
        <v/>
      </c>
      <c r="D1336" t="str">
        <f>IF(PNL!D1336="","",PNL!D1336)</f>
        <v/>
      </c>
      <c r="E1336" t="str">
        <f t="shared" si="220"/>
        <v/>
      </c>
      <c r="F1336" t="str">
        <f>IF($A1336="","",IF($E1336=1,SUMIFS(Compta!$F$1:$F$675,Compta!$A$1:$A$675,$A1336,Compta!$B$1:$B$675,$B1336,Compta!$C$1:$C$675,"2026"),0))</f>
        <v/>
      </c>
      <c r="G1336" t="str">
        <f t="shared" si="221"/>
        <v/>
      </c>
      <c r="H1336" t="str">
        <f t="shared" si="222"/>
        <v/>
      </c>
      <c r="I1336" t="str">
        <f t="shared" si="223"/>
        <v/>
      </c>
      <c r="J1336" t="str">
        <f t="shared" si="224"/>
        <v/>
      </c>
      <c r="K1336" t="str">
        <f t="shared" si="225"/>
        <v/>
      </c>
      <c r="L1336" t="str">
        <f t="shared" si="226"/>
        <v/>
      </c>
      <c r="M1336" t="str">
        <f t="shared" si="227"/>
        <v/>
      </c>
      <c r="N1336" t="str">
        <f t="shared" si="228"/>
        <v/>
      </c>
      <c r="O1336" t="str">
        <f t="shared" si="229"/>
        <v/>
      </c>
      <c r="P1336" t="str">
        <f>IF($A1336="","",IF($E1336=1,$F1336*$O1336,PNL!G1336))</f>
        <v/>
      </c>
      <c r="T1336" t="str">
        <f t="shared" si="230"/>
        <v/>
      </c>
    </row>
    <row r="1337" spans="1:20" x14ac:dyDescent="0.45">
      <c r="A1337" t="str">
        <f>IF(PNL!A1337="","",PNL!A1337)</f>
        <v/>
      </c>
      <c r="B1337" t="str">
        <f>IF(PNL!B1337="","",PNL!B1337)</f>
        <v/>
      </c>
      <c r="C1337" t="str">
        <f>IF(PNL!C1337="","",PNL!C1337)</f>
        <v/>
      </c>
      <c r="D1337" t="str">
        <f>IF(PNL!D1337="","",PNL!D1337)</f>
        <v/>
      </c>
      <c r="E1337" t="str">
        <f t="shared" si="220"/>
        <v/>
      </c>
      <c r="F1337" t="str">
        <f>IF($A1337="","",IF($E1337=1,SUMIFS(Compta!$F$1:$F$675,Compta!$A$1:$A$675,$A1337,Compta!$B$1:$B$675,$B1337,Compta!$C$1:$C$675,"2026"),0))</f>
        <v/>
      </c>
      <c r="G1337" t="str">
        <f t="shared" si="221"/>
        <v/>
      </c>
      <c r="H1337" t="str">
        <f t="shared" si="222"/>
        <v/>
      </c>
      <c r="I1337" t="str">
        <f t="shared" si="223"/>
        <v/>
      </c>
      <c r="J1337" t="str">
        <f t="shared" si="224"/>
        <v/>
      </c>
      <c r="K1337" t="str">
        <f t="shared" si="225"/>
        <v/>
      </c>
      <c r="L1337" t="str">
        <f t="shared" si="226"/>
        <v/>
      </c>
      <c r="M1337" t="str">
        <f t="shared" si="227"/>
        <v/>
      </c>
      <c r="N1337" t="str">
        <f t="shared" si="228"/>
        <v/>
      </c>
      <c r="O1337" t="str">
        <f t="shared" si="229"/>
        <v/>
      </c>
      <c r="P1337" t="str">
        <f>IF($A1337="","",IF($E1337=1,$F1337*$O1337,PNL!G1337))</f>
        <v/>
      </c>
      <c r="T1337" t="str">
        <f t="shared" si="230"/>
        <v/>
      </c>
    </row>
    <row r="1338" spans="1:20" x14ac:dyDescent="0.45">
      <c r="A1338" t="str">
        <f>IF(PNL!A1338="","",PNL!A1338)</f>
        <v/>
      </c>
      <c r="B1338" t="str">
        <f>IF(PNL!B1338="","",PNL!B1338)</f>
        <v/>
      </c>
      <c r="C1338" t="str">
        <f>IF(PNL!C1338="","",PNL!C1338)</f>
        <v/>
      </c>
      <c r="D1338" t="str">
        <f>IF(PNL!D1338="","",PNL!D1338)</f>
        <v/>
      </c>
      <c r="E1338" t="str">
        <f t="shared" si="220"/>
        <v/>
      </c>
      <c r="F1338" t="str">
        <f>IF($A1338="","",IF($E1338=1,SUMIFS(Compta!$F$1:$F$675,Compta!$A$1:$A$675,$A1338,Compta!$B$1:$B$675,$B1338,Compta!$C$1:$C$675,"2026"),0))</f>
        <v/>
      </c>
      <c r="G1338" t="str">
        <f t="shared" si="221"/>
        <v/>
      </c>
      <c r="H1338" t="str">
        <f t="shared" si="222"/>
        <v/>
      </c>
      <c r="I1338" t="str">
        <f t="shared" si="223"/>
        <v/>
      </c>
      <c r="J1338" t="str">
        <f t="shared" si="224"/>
        <v/>
      </c>
      <c r="K1338" t="str">
        <f t="shared" si="225"/>
        <v/>
      </c>
      <c r="L1338" t="str">
        <f t="shared" si="226"/>
        <v/>
      </c>
      <c r="M1338" t="str">
        <f t="shared" si="227"/>
        <v/>
      </c>
      <c r="N1338" t="str">
        <f t="shared" si="228"/>
        <v/>
      </c>
      <c r="O1338" t="str">
        <f t="shared" si="229"/>
        <v/>
      </c>
      <c r="P1338" t="str">
        <f>IF($A1338="","",IF($E1338=1,$F1338*$O1338,PNL!G1338))</f>
        <v/>
      </c>
      <c r="T1338" t="str">
        <f t="shared" si="230"/>
        <v/>
      </c>
    </row>
    <row r="1339" spans="1:20" x14ac:dyDescent="0.45">
      <c r="A1339" t="str">
        <f>IF(PNL!A1339="","",PNL!A1339)</f>
        <v/>
      </c>
      <c r="B1339" t="str">
        <f>IF(PNL!B1339="","",PNL!B1339)</f>
        <v/>
      </c>
      <c r="C1339" t="str">
        <f>IF(PNL!C1339="","",PNL!C1339)</f>
        <v/>
      </c>
      <c r="D1339" t="str">
        <f>IF(PNL!D1339="","",PNL!D1339)</f>
        <v/>
      </c>
      <c r="E1339" t="str">
        <f t="shared" si="220"/>
        <v/>
      </c>
      <c r="F1339" t="str">
        <f>IF($A1339="","",IF($E1339=1,SUMIFS(Compta!$F$1:$F$675,Compta!$A$1:$A$675,$A1339,Compta!$B$1:$B$675,$B1339,Compta!$C$1:$C$675,"2026"),0))</f>
        <v/>
      </c>
      <c r="G1339" t="str">
        <f t="shared" si="221"/>
        <v/>
      </c>
      <c r="H1339" t="str">
        <f t="shared" si="222"/>
        <v/>
      </c>
      <c r="I1339" t="str">
        <f t="shared" si="223"/>
        <v/>
      </c>
      <c r="J1339" t="str">
        <f t="shared" si="224"/>
        <v/>
      </c>
      <c r="K1339" t="str">
        <f t="shared" si="225"/>
        <v/>
      </c>
      <c r="L1339" t="str">
        <f t="shared" si="226"/>
        <v/>
      </c>
      <c r="M1339" t="str">
        <f t="shared" si="227"/>
        <v/>
      </c>
      <c r="N1339" t="str">
        <f t="shared" si="228"/>
        <v/>
      </c>
      <c r="O1339" t="str">
        <f t="shared" si="229"/>
        <v/>
      </c>
      <c r="P1339" t="str">
        <f>IF($A1339="","",IF($E1339=1,$F1339*$O1339,PNL!G1339))</f>
        <v/>
      </c>
      <c r="T1339" t="str">
        <f t="shared" si="230"/>
        <v/>
      </c>
    </row>
    <row r="1340" spans="1:20" x14ac:dyDescent="0.45">
      <c r="A1340" t="str">
        <f>IF(PNL!A1340="","",PNL!A1340)</f>
        <v/>
      </c>
      <c r="B1340" t="str">
        <f>IF(PNL!B1340="","",PNL!B1340)</f>
        <v/>
      </c>
      <c r="C1340" t="str">
        <f>IF(PNL!C1340="","",PNL!C1340)</f>
        <v/>
      </c>
      <c r="D1340" t="str">
        <f>IF(PNL!D1340="","",PNL!D1340)</f>
        <v/>
      </c>
      <c r="E1340" t="str">
        <f t="shared" si="220"/>
        <v/>
      </c>
      <c r="F1340" t="str">
        <f>IF($A1340="","",IF($E1340=1,SUMIFS(Compta!$F$1:$F$675,Compta!$A$1:$A$675,$A1340,Compta!$B$1:$B$675,$B1340,Compta!$C$1:$C$675,"2026"),0))</f>
        <v/>
      </c>
      <c r="G1340" t="str">
        <f t="shared" si="221"/>
        <v/>
      </c>
      <c r="H1340" t="str">
        <f t="shared" si="222"/>
        <v/>
      </c>
      <c r="I1340" t="str">
        <f t="shared" si="223"/>
        <v/>
      </c>
      <c r="J1340" t="str">
        <f t="shared" si="224"/>
        <v/>
      </c>
      <c r="K1340" t="str">
        <f t="shared" si="225"/>
        <v/>
      </c>
      <c r="L1340" t="str">
        <f t="shared" si="226"/>
        <v/>
      </c>
      <c r="M1340" t="str">
        <f t="shared" si="227"/>
        <v/>
      </c>
      <c r="N1340" t="str">
        <f t="shared" si="228"/>
        <v/>
      </c>
      <c r="O1340" t="str">
        <f t="shared" si="229"/>
        <v/>
      </c>
      <c r="P1340" t="str">
        <f>IF($A1340="","",IF($E1340=1,$F1340*$O1340,PNL!G1340))</f>
        <v/>
      </c>
      <c r="T1340" t="str">
        <f t="shared" si="230"/>
        <v/>
      </c>
    </row>
    <row r="1341" spans="1:20" x14ac:dyDescent="0.45">
      <c r="A1341" t="str">
        <f>IF(PNL!A1341="","",PNL!A1341)</f>
        <v/>
      </c>
      <c r="B1341" t="str">
        <f>IF(PNL!B1341="","",PNL!B1341)</f>
        <v/>
      </c>
      <c r="C1341" t="str">
        <f>IF(PNL!C1341="","",PNL!C1341)</f>
        <v/>
      </c>
      <c r="D1341" t="str">
        <f>IF(PNL!D1341="","",PNL!D1341)</f>
        <v/>
      </c>
      <c r="E1341" t="str">
        <f t="shared" si="220"/>
        <v/>
      </c>
      <c r="F1341" t="str">
        <f>IF($A1341="","",IF($E1341=1,SUMIFS(Compta!$F$1:$F$675,Compta!$A$1:$A$675,$A1341,Compta!$B$1:$B$675,$B1341,Compta!$C$1:$C$675,"2026"),0))</f>
        <v/>
      </c>
      <c r="G1341" t="str">
        <f t="shared" si="221"/>
        <v/>
      </c>
      <c r="H1341" t="str">
        <f t="shared" si="222"/>
        <v/>
      </c>
      <c r="I1341" t="str">
        <f t="shared" si="223"/>
        <v/>
      </c>
      <c r="J1341" t="str">
        <f t="shared" si="224"/>
        <v/>
      </c>
      <c r="K1341" t="str">
        <f t="shared" si="225"/>
        <v/>
      </c>
      <c r="L1341" t="str">
        <f t="shared" si="226"/>
        <v/>
      </c>
      <c r="M1341" t="str">
        <f t="shared" si="227"/>
        <v/>
      </c>
      <c r="N1341" t="str">
        <f t="shared" si="228"/>
        <v/>
      </c>
      <c r="O1341" t="str">
        <f t="shared" si="229"/>
        <v/>
      </c>
      <c r="P1341" t="str">
        <f>IF($A1341="","",IF($E1341=1,$F1341*$O1341,PNL!G1341))</f>
        <v/>
      </c>
      <c r="T1341" t="str">
        <f t="shared" si="230"/>
        <v/>
      </c>
    </row>
    <row r="1342" spans="1:20" x14ac:dyDescent="0.45">
      <c r="A1342" t="str">
        <f>IF(PNL!A1342="","",PNL!A1342)</f>
        <v/>
      </c>
      <c r="B1342" t="str">
        <f>IF(PNL!B1342="","",PNL!B1342)</f>
        <v/>
      </c>
      <c r="C1342" t="str">
        <f>IF(PNL!C1342="","",PNL!C1342)</f>
        <v/>
      </c>
      <c r="D1342" t="str">
        <f>IF(PNL!D1342="","",PNL!D1342)</f>
        <v/>
      </c>
      <c r="E1342" t="str">
        <f t="shared" si="220"/>
        <v/>
      </c>
      <c r="F1342" t="str">
        <f>IF($A1342="","",IF($E1342=1,SUMIFS(Compta!$F$1:$F$675,Compta!$A$1:$A$675,$A1342,Compta!$B$1:$B$675,$B1342,Compta!$C$1:$C$675,"2026"),0))</f>
        <v/>
      </c>
      <c r="G1342" t="str">
        <f t="shared" si="221"/>
        <v/>
      </c>
      <c r="H1342" t="str">
        <f t="shared" si="222"/>
        <v/>
      </c>
      <c r="I1342" t="str">
        <f t="shared" si="223"/>
        <v/>
      </c>
      <c r="J1342" t="str">
        <f t="shared" si="224"/>
        <v/>
      </c>
      <c r="K1342" t="str">
        <f t="shared" si="225"/>
        <v/>
      </c>
      <c r="L1342" t="str">
        <f t="shared" si="226"/>
        <v/>
      </c>
      <c r="M1342" t="str">
        <f t="shared" si="227"/>
        <v/>
      </c>
      <c r="N1342" t="str">
        <f t="shared" si="228"/>
        <v/>
      </c>
      <c r="O1342" t="str">
        <f t="shared" si="229"/>
        <v/>
      </c>
      <c r="P1342" t="str">
        <f>IF($A1342="","",IF($E1342=1,$F1342*$O1342,PNL!G1342))</f>
        <v/>
      </c>
      <c r="T1342" t="str">
        <f t="shared" si="230"/>
        <v/>
      </c>
    </row>
    <row r="1343" spans="1:20" x14ac:dyDescent="0.45">
      <c r="A1343" t="str">
        <f>IF(PNL!A1343="","",PNL!A1343)</f>
        <v/>
      </c>
      <c r="B1343" t="str">
        <f>IF(PNL!B1343="","",PNL!B1343)</f>
        <v/>
      </c>
      <c r="C1343" t="str">
        <f>IF(PNL!C1343="","",PNL!C1343)</f>
        <v/>
      </c>
      <c r="D1343" t="str">
        <f>IF(PNL!D1343="","",PNL!D1343)</f>
        <v/>
      </c>
      <c r="E1343" t="str">
        <f t="shared" si="220"/>
        <v/>
      </c>
      <c r="F1343" t="str">
        <f>IF($A1343="","",IF($E1343=1,SUMIFS(Compta!$F$1:$F$675,Compta!$A$1:$A$675,$A1343,Compta!$B$1:$B$675,$B1343,Compta!$C$1:$C$675,"2026"),0))</f>
        <v/>
      </c>
      <c r="G1343" t="str">
        <f t="shared" si="221"/>
        <v/>
      </c>
      <c r="H1343" t="str">
        <f t="shared" si="222"/>
        <v/>
      </c>
      <c r="I1343" t="str">
        <f t="shared" si="223"/>
        <v/>
      </c>
      <c r="J1343" t="str">
        <f t="shared" si="224"/>
        <v/>
      </c>
      <c r="K1343" t="str">
        <f t="shared" si="225"/>
        <v/>
      </c>
      <c r="L1343" t="str">
        <f t="shared" si="226"/>
        <v/>
      </c>
      <c r="M1343" t="str">
        <f t="shared" si="227"/>
        <v/>
      </c>
      <c r="N1343" t="str">
        <f t="shared" si="228"/>
        <v/>
      </c>
      <c r="O1343" t="str">
        <f t="shared" si="229"/>
        <v/>
      </c>
      <c r="P1343" t="str">
        <f>IF($A1343="","",IF($E1343=1,$F1343*$O1343,PNL!G1343))</f>
        <v/>
      </c>
      <c r="T1343" t="str">
        <f t="shared" si="230"/>
        <v/>
      </c>
    </row>
    <row r="1344" spans="1:20" x14ac:dyDescent="0.45">
      <c r="A1344" t="str">
        <f>IF(PNL!A1344="","",PNL!A1344)</f>
        <v/>
      </c>
      <c r="B1344" t="str">
        <f>IF(PNL!B1344="","",PNL!B1344)</f>
        <v/>
      </c>
      <c r="C1344" t="str">
        <f>IF(PNL!C1344="","",PNL!C1344)</f>
        <v/>
      </c>
      <c r="D1344" t="str">
        <f>IF(PNL!D1344="","",PNL!D1344)</f>
        <v/>
      </c>
      <c r="E1344" t="str">
        <f t="shared" si="220"/>
        <v/>
      </c>
      <c r="F1344" t="str">
        <f>IF($A1344="","",IF($E1344=1,SUMIFS(Compta!$F$1:$F$675,Compta!$A$1:$A$675,$A1344,Compta!$B$1:$B$675,$B1344,Compta!$C$1:$C$675,"2026"),0))</f>
        <v/>
      </c>
      <c r="G1344" t="str">
        <f t="shared" si="221"/>
        <v/>
      </c>
      <c r="H1344" t="str">
        <f t="shared" si="222"/>
        <v/>
      </c>
      <c r="I1344" t="str">
        <f t="shared" si="223"/>
        <v/>
      </c>
      <c r="J1344" t="str">
        <f t="shared" si="224"/>
        <v/>
      </c>
      <c r="K1344" t="str">
        <f t="shared" si="225"/>
        <v/>
      </c>
      <c r="L1344" t="str">
        <f t="shared" si="226"/>
        <v/>
      </c>
      <c r="M1344" t="str">
        <f t="shared" si="227"/>
        <v/>
      </c>
      <c r="N1344" t="str">
        <f t="shared" si="228"/>
        <v/>
      </c>
      <c r="O1344" t="str">
        <f t="shared" si="229"/>
        <v/>
      </c>
      <c r="P1344" t="str">
        <f>IF($A1344="","",IF($E1344=1,$F1344*$O1344,PNL!G1344))</f>
        <v/>
      </c>
      <c r="T1344" t="str">
        <f t="shared" si="230"/>
        <v/>
      </c>
    </row>
    <row r="1345" spans="1:20" x14ac:dyDescent="0.45">
      <c r="A1345" t="str">
        <f>IF(PNL!A1345="","",PNL!A1345)</f>
        <v/>
      </c>
      <c r="B1345" t="str">
        <f>IF(PNL!B1345="","",PNL!B1345)</f>
        <v/>
      </c>
      <c r="C1345" t="str">
        <f>IF(PNL!C1345="","",PNL!C1345)</f>
        <v/>
      </c>
      <c r="D1345" t="str">
        <f>IF(PNL!D1345="","",PNL!D1345)</f>
        <v/>
      </c>
      <c r="E1345" t="str">
        <f t="shared" si="220"/>
        <v/>
      </c>
      <c r="F1345" t="str">
        <f>IF($A1345="","",IF($E1345=1,SUMIFS(Compta!$F$1:$F$675,Compta!$A$1:$A$675,$A1345,Compta!$B$1:$B$675,$B1345,Compta!$C$1:$C$675,"2026"),0))</f>
        <v/>
      </c>
      <c r="G1345" t="str">
        <f t="shared" si="221"/>
        <v/>
      </c>
      <c r="H1345" t="str">
        <f t="shared" si="222"/>
        <v/>
      </c>
      <c r="I1345" t="str">
        <f t="shared" si="223"/>
        <v/>
      </c>
      <c r="J1345" t="str">
        <f t="shared" si="224"/>
        <v/>
      </c>
      <c r="K1345" t="str">
        <f t="shared" si="225"/>
        <v/>
      </c>
      <c r="L1345" t="str">
        <f t="shared" si="226"/>
        <v/>
      </c>
      <c r="M1345" t="str">
        <f t="shared" si="227"/>
        <v/>
      </c>
      <c r="N1345" t="str">
        <f t="shared" si="228"/>
        <v/>
      </c>
      <c r="O1345" t="str">
        <f t="shared" si="229"/>
        <v/>
      </c>
      <c r="P1345" t="str">
        <f>IF($A1345="","",IF($E1345=1,$F1345*$O1345,PNL!G1345))</f>
        <v/>
      </c>
      <c r="T1345" t="str">
        <f t="shared" si="230"/>
        <v/>
      </c>
    </row>
    <row r="1346" spans="1:20" x14ac:dyDescent="0.45">
      <c r="A1346" t="str">
        <f>IF(PNL!A1346="","",PNL!A1346)</f>
        <v/>
      </c>
      <c r="B1346" t="str">
        <f>IF(PNL!B1346="","",PNL!B1346)</f>
        <v/>
      </c>
      <c r="C1346" t="str">
        <f>IF(PNL!C1346="","",PNL!C1346)</f>
        <v/>
      </c>
      <c r="D1346" t="str">
        <f>IF(PNL!D1346="","",PNL!D1346)</f>
        <v/>
      </c>
      <c r="E1346" t="str">
        <f t="shared" ref="E1346:E1347" si="231">IF($A1346="","",IF(AND($C1346="2027",OR($D1346="V01",$D1346="V02",$D1346="V03")),1,0))</f>
        <v/>
      </c>
      <c r="F1346" t="str">
        <f>IF($A1346="","",IF($E1346=1,SUMIFS(Compta!$F$1:$F$675,Compta!$A$1:$A$675,$A1346,Compta!$B$1:$B$675,$B1346,Compta!$C$1:$C$675,"2026"),0))</f>
        <v/>
      </c>
      <c r="G1346" t="str">
        <f t="shared" ref="G1346:G1347" si="232">IF($A1346="","",IF($D1346="V01",cad!$C$23,IF($D1346="V02",cad!$D$23,cad!$E$23)))</f>
        <v/>
      </c>
      <c r="H1346" t="str">
        <f t="shared" ref="H1346:H1347" si="233">IF($A1346="","",IF($D1346="V01",cad!$C$24,IF($D1346="V02",cad!$D$24,cad!$E$24)))</f>
        <v/>
      </c>
      <c r="I1346" t="str">
        <f t="shared" ref="I1346:I1347" si="234">IF($A1346="","",IF($D1346="V01",cad!$C$32,IF($D1346="V02",cad!$D$32,cad!$E$32)))</f>
        <v/>
      </c>
      <c r="J1346" t="str">
        <f t="shared" ref="J1346:J1347" si="235">IF($A1346="","",IF($D1346="V01",cad!$C$33,IF($D1346="V02",cad!$D$33,cad!$E$33)))</f>
        <v/>
      </c>
      <c r="K1346" t="str">
        <f t="shared" ref="K1346:K1347" si="236">IF($A1346="","",IF($D1346="V01",cad!$C$34,IF($D1346="V02",cad!$D$34,cad!$E$34)))</f>
        <v/>
      </c>
      <c r="L1346" t="str">
        <f t="shared" ref="L1346:L1347" si="237">IF($A1346="","",IF($D1346="V01",cad!$C$35,IF($D1346="V02",cad!$D$35,cad!$E$35)))</f>
        <v/>
      </c>
      <c r="M1346" t="str">
        <f t="shared" ref="M1346:M1347" si="238">IF($A1346="","",IF($D1346="V01",cad!$C$36,IF($D1346="V02",cad!$D$36,cad!$E$36)))</f>
        <v/>
      </c>
      <c r="N1346" t="str">
        <f t="shared" ref="N1346:N1347" si="239">IF($A1346="","",IF($D1346="V01",$R$2,IF($D1346="V02",$R$3,$R$4)))</f>
        <v/>
      </c>
      <c r="O1346" t="str">
        <f t="shared" ref="O1346:O1347" si="240">IF($A1346="","",IF(OR($B1346="7062",$B1346="706",$B1346="708"),$N1346,IF($B1346="6231",1+$G1346,IF($B1346="6236",1+$H1346,IF(OR($B1346="621",$B1346="604",$B1346="6063"),$N1346*(1-$L1346),IF(OR($B1346="6411",$B1346="6413",$B1346="6414",$B1346="645"),(1+$J1346)*(1+$K1346),IF(OR($B1346="613",$B1346="615",$B1346="616",$B1346="6226",$B1346="625",$B1346="626",$B1346="6281"),(1+$I1346)*(1-$L1346)*(1+$M1346),IF(OR($B1346="6331",$B1346="63511",$B1346="6333"),(1+$I1346)*(1-$L1346),IF($B1346="6811",1+$I1346,1)))))))))</f>
        <v/>
      </c>
      <c r="P1346" t="str">
        <f>IF($A1346="","",IF($E1346=1,$F1346*$O1346,PNL!G1346))</f>
        <v/>
      </c>
      <c r="T1346" t="str">
        <f t="shared" ref="T1346:T1347" si="241">IF($A1346="","",IF($E1346=1,IF(OR($B1346="7062",$B1346="706",$B1346="708"),$P1346,IF(AND(LEFT($B1346,1)="6",$B1346&lt;&gt;"6811"),-$P1346,0)),0))</f>
        <v/>
      </c>
    </row>
    <row r="1347" spans="1:20" x14ac:dyDescent="0.45">
      <c r="A1347" t="str">
        <f>IF(PNL!A1347="","",PNL!A1347)</f>
        <v/>
      </c>
      <c r="B1347" t="str">
        <f>IF(PNL!B1347="","",PNL!B1347)</f>
        <v/>
      </c>
      <c r="C1347" t="str">
        <f>IF(PNL!C1347="","",PNL!C1347)</f>
        <v/>
      </c>
      <c r="D1347" t="str">
        <f>IF(PNL!D1347="","",PNL!D1347)</f>
        <v/>
      </c>
      <c r="E1347" t="str">
        <f t="shared" si="231"/>
        <v/>
      </c>
      <c r="F1347" t="str">
        <f>IF($A1347="","",IF($E1347=1,SUMIFS(Compta!$F$1:$F$675,Compta!$A$1:$A$675,$A1347,Compta!$B$1:$B$675,$B1347,Compta!$C$1:$C$675,"2026"),0))</f>
        <v/>
      </c>
      <c r="G1347" t="str">
        <f t="shared" si="232"/>
        <v/>
      </c>
      <c r="H1347" t="str">
        <f t="shared" si="233"/>
        <v/>
      </c>
      <c r="I1347" t="str">
        <f t="shared" si="234"/>
        <v/>
      </c>
      <c r="J1347" t="str">
        <f t="shared" si="235"/>
        <v/>
      </c>
      <c r="K1347" t="str">
        <f t="shared" si="236"/>
        <v/>
      </c>
      <c r="L1347" t="str">
        <f t="shared" si="237"/>
        <v/>
      </c>
      <c r="M1347" t="str">
        <f t="shared" si="238"/>
        <v/>
      </c>
      <c r="N1347" t="str">
        <f t="shared" si="239"/>
        <v/>
      </c>
      <c r="O1347" t="str">
        <f t="shared" si="240"/>
        <v/>
      </c>
      <c r="P1347" t="str">
        <f>IF($A1347="","",IF($E1347=1,$F1347*$O1347,PNL!G1347))</f>
        <v/>
      </c>
      <c r="T1347" t="str">
        <f t="shared" si="241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T175"/>
  <sheetViews>
    <sheetView workbookViewId="0"/>
  </sheetViews>
  <sheetFormatPr baseColWidth="10" defaultColWidth="9.06640625" defaultRowHeight="14.25" x14ac:dyDescent="0.45"/>
  <sheetData>
    <row r="1" spans="1:46" x14ac:dyDescent="0.45">
      <c r="A1" t="s">
        <v>33</v>
      </c>
      <c r="B1" t="s">
        <v>29</v>
      </c>
      <c r="C1" t="s">
        <v>68</v>
      </c>
      <c r="D1" t="s">
        <v>286</v>
      </c>
      <c r="E1" t="s">
        <v>287</v>
      </c>
      <c r="F1" t="s">
        <v>288</v>
      </c>
      <c r="G1" t="s">
        <v>39</v>
      </c>
      <c r="H1" t="s">
        <v>41</v>
      </c>
      <c r="I1" t="s">
        <v>55</v>
      </c>
      <c r="J1" t="s">
        <v>37</v>
      </c>
      <c r="K1" t="s">
        <v>289</v>
      </c>
      <c r="L1" t="s">
        <v>290</v>
      </c>
      <c r="M1" t="s">
        <v>291</v>
      </c>
      <c r="N1" t="s">
        <v>292</v>
      </c>
      <c r="O1" t="s">
        <v>293</v>
      </c>
      <c r="P1" t="s">
        <v>294</v>
      </c>
      <c r="Q1" t="s">
        <v>295</v>
      </c>
      <c r="R1" t="s">
        <v>296</v>
      </c>
      <c r="S1" t="s">
        <v>297</v>
      </c>
      <c r="T1" t="s">
        <v>298</v>
      </c>
      <c r="U1" t="s">
        <v>299</v>
      </c>
      <c r="V1" t="s">
        <v>300</v>
      </c>
      <c r="W1" t="s">
        <v>140</v>
      </c>
      <c r="X1" t="s">
        <v>141</v>
      </c>
      <c r="Y1" t="s">
        <v>142</v>
      </c>
      <c r="Z1" t="s">
        <v>301</v>
      </c>
      <c r="AA1" t="s">
        <v>302</v>
      </c>
      <c r="AB1" t="s">
        <v>303</v>
      </c>
      <c r="AC1" t="s">
        <v>304</v>
      </c>
      <c r="AD1" t="s">
        <v>305</v>
      </c>
      <c r="AE1" t="s">
        <v>306</v>
      </c>
      <c r="AF1" t="s">
        <v>307</v>
      </c>
      <c r="AG1" t="s">
        <v>308</v>
      </c>
      <c r="AH1" t="s">
        <v>309</v>
      </c>
      <c r="AI1" t="s">
        <v>84</v>
      </c>
      <c r="AJ1" t="s">
        <v>85</v>
      </c>
      <c r="AK1" t="s">
        <v>86</v>
      </c>
      <c r="AL1" t="s">
        <v>87</v>
      </c>
      <c r="AM1" t="s">
        <v>88</v>
      </c>
      <c r="AN1" t="s">
        <v>310</v>
      </c>
      <c r="AO1" t="s">
        <v>311</v>
      </c>
      <c r="AP1" t="s">
        <v>312</v>
      </c>
      <c r="AQ1" t="s">
        <v>313</v>
      </c>
      <c r="AR1" t="s">
        <v>314</v>
      </c>
      <c r="AT1" t="s">
        <v>271</v>
      </c>
    </row>
    <row r="2" spans="1:46" x14ac:dyDescent="0.45">
      <c r="A2">
        <f>IF(Allocation!C2="","",Allocation!C2)</f>
        <v>1000</v>
      </c>
      <c r="B2">
        <f>IF(Allocation!D2="","",Allocation!D2)</f>
        <v>1000</v>
      </c>
      <c r="C2">
        <f>IF(Allocation!E2="","",Allocation!E2)</f>
        <v>1000</v>
      </c>
      <c r="D2">
        <f>IF(Allocation!F2="","",Allocation!F2)</f>
        <v>1000</v>
      </c>
      <c r="E2">
        <f>IF(Allocation!G2="","",Allocation!G2)</f>
        <v>1000</v>
      </c>
      <c r="F2">
        <f>IF(Allocation!H2="","",Allocation!H2)</f>
        <v>1000</v>
      </c>
      <c r="G2">
        <f>IF(Allocation!D2="","",Allocation!I2)</f>
        <v>1000</v>
      </c>
      <c r="H2">
        <f>IF(Allocation!D2="","",Allocation!J2)</f>
        <v>1000</v>
      </c>
      <c r="I2">
        <f>IF(Allocation!D2="","",Allocation!K2)</f>
        <v>1000</v>
      </c>
      <c r="J2">
        <f>IF($A2="","",SUMIFS(Socle!$K$1:$K$1000,Socle!$C$1:$C$1000,$B2,Socle!$D$1:$D$1000,$D2,Socle!$E$1:$E$1000,$E2,Socle!$F$1:$F$1000,$F2,Socle!$G$1:$G$1000,$A2))</f>
        <v>0</v>
      </c>
      <c r="K2">
        <f t="shared" ref="K2:K65" si="0">IF($A2="","",$H2*IF(AND(LEFT($D2,3)="BAC",$F2="INIT"),600,IF(LEFT($D2,3)="BAC",480,IF(AND(LEFT($D2,3)="MAS",$F2="INIT"),520,IF(LEFT($D2,3)="MAS",420,IF($F2="INIT",1000,700))))))</f>
        <v>700000</v>
      </c>
      <c r="L2">
        <f>IF($A2="","",SUMIFS(Allocation!$I$1:$I$175,Allocation!$C$1:$C$175,$A2,Allocation!$D$1:$D$175,$B2))</f>
        <v>1000</v>
      </c>
      <c r="M2">
        <f>IF($A2="","",SUMIFS(Allocation!$J$1:$J$175,Allocation!$C$1:$C$175,$A2,Allocation!$D$1:$D$175,$B2))</f>
        <v>1000</v>
      </c>
      <c r="N2">
        <f>IF($A2="","",SUMIFS(Allocation!$K$1:$K$175,Allocation!$C$1:$C$175,$A2,Allocation!$D$1:$D$175,$B2))</f>
        <v>1000</v>
      </c>
      <c r="O2">
        <f t="shared" ref="O2:O65" si="1">IF($A2="","",SUMIFS($K$1:$K$175,$A$1:$A$175,$A2,$B$1:$B$175,$B2))</f>
        <v>700000</v>
      </c>
      <c r="P2">
        <f t="shared" ref="P2:P65" si="2">IF($A2="","",SUMIFS($J$1:$J$175,$A$1:$A$175,$A2,$B$1:$B$175,$B2))</f>
        <v>0</v>
      </c>
      <c r="Q2">
        <f>IF($A2="","",SUMIFS(Allocation!$I$1:$I$175,Allocation!$C$1:$C$175,$A2,Allocation!$E$1:$E$175,$C2))</f>
        <v>1000</v>
      </c>
      <c r="R2">
        <f>IF($A2="","",SUMIFS(Allocation!$J$1:$J$175,Allocation!$C$1:$C$175,$A2,Allocation!$E$1:$E$175,$C2))</f>
        <v>1000</v>
      </c>
      <c r="S2">
        <f>IF($A2="","",SUMIFS(Allocation!$K$1:$K$175,Allocation!$C$1:$C$175,$A2,Allocation!$E$1:$E$175,$C2))</f>
        <v>1000</v>
      </c>
      <c r="T2">
        <f>IF($A2="","",SUMIFS(Allocation!$I$1:$I$175,Allocation!$C$1:$C$175,$A2))</f>
        <v>1000</v>
      </c>
      <c r="U2">
        <f>IF($A2="","",SUMIFS(Allocation!$J$1:$J$175,Allocation!$C$1:$C$175,$A2))</f>
        <v>1000</v>
      </c>
      <c r="V2">
        <f>IF($A2="","",SUMIFS(Allocation!$K$1:$K$175,Allocation!$C$1:$C$175,$A2))</f>
        <v>1000</v>
      </c>
      <c r="W2">
        <f>IF($A2="","",SUMIFS(Compta!$F$1:$F$675,Compta!$A$1:$A$675,$B2,Compta!$B$1:$B$675,"621",Compta!$C$1:$C$675,$A2))</f>
        <v>0</v>
      </c>
      <c r="X2">
        <f>IF($A2="","",SUMIFS(Compta!$F$1:$F$675,Compta!$A$1:$A$675,$B2,Compta!$B$1:$B$675,"6411",Compta!$C$1:$C$675,$A2))</f>
        <v>0</v>
      </c>
      <c r="Y2">
        <f>IF($A2="","",SUMIFS(Compta!$F$1:$F$675,Compta!$A$1:$A$675,$B2,Compta!$B$1:$B$675,"604",Compta!$C$1:$C$675,$A2)+SUMIFS(Compta!$F$1:$F$675,Compta!$A$1:$A$675,$B2,Compta!$B$1:$B$675,"6063",Compta!$C$1:$C$675,$A2))</f>
        <v>0</v>
      </c>
      <c r="Z2">
        <f>IF($A2="","",SUMIFS(Compta!$F$1:$F$675,Compta!$A$1:$A$675,$B2,Compta!$B$1:$B$675,"6231",Compta!$C$1:$C$675,$A2))</f>
        <v>0</v>
      </c>
      <c r="AA2">
        <f>IF($A2="","",SUMIFS(Compta!$F$1:$F$675,Compta!$A$1:$A$675,$B2,Compta!$B$1:$B$675,"6413",Compta!$C$1:$C$675,$A2)+SUMIFS(Compta!$F$1:$F$675,Compta!$A$1:$A$675,$B2,Compta!$B$1:$B$675,"645",Compta!$C$1:$C$675,$A2)+SUMIFS(Compta!$F$1:$F$675,Compta!$A$1:$A$675,$B2,Compta!$B$1:$B$675,"613",Compta!$C$1:$C$675,$A2)+SUMIFS(Compta!$F$1:$F$675,Compta!$A$1:$A$675,$B2,Compta!$B$1:$B$675,"615",Compta!$C$1:$C$675,$A2)+SUMIFS(Compta!$F$1:$F$675,Compta!$A$1:$A$675,$B2,Compta!$B$1:$B$675,"616",Compta!$C$1:$C$675,$A2)+SUMIFS(Compta!$F$1:$F$675,Compta!$A$1:$A$675,$B2,Compta!$B$1:$B$675,"625",Compta!$C$1:$C$675,$A2)+SUMIFS(Compta!$F$1:$F$675,Compta!$A$1:$A$675,$B2,Compta!$B$1:$B$675,"63511",Compta!$C$1:$C$675,$A2))</f>
        <v>0</v>
      </c>
      <c r="AB2">
        <f>IF($A2="","",SUMIFS(Compta!$F$1:$F$675,Compta!$A$1:$A$675,"GRP",Compta!$B$1:$B$675,"6414",Compta!$C$1:$C$675,$A2)+SUMIFS(Compta!$F$1:$F$675,Compta!$A$1:$A$675,"GRP",Compta!$B$1:$B$675,"6226",Compta!$C$1:$C$675,$A2)+SUMIFS(Compta!$F$1:$F$675,Compta!$A$1:$A$675,"GRP",Compta!$B$1:$B$675,"626",Compta!$C$1:$C$675,$A2)+SUMIFS(Compta!$F$1:$F$675,Compta!$A$1:$A$675,"GRP",Compta!$B$1:$B$675,"6281",Compta!$C$1:$C$675,$A2)+SUMIFS(Compta!$F$1:$F$675,Compta!$A$1:$A$675,"GRP",Compta!$B$1:$B$675,"6331",Compta!$C$1:$C$675,$A2)+SUMIFS(Compta!$F$1:$F$675,Compta!$A$1:$A$675,"GRP",Compta!$B$1:$B$675,"6333",Compta!$C$1:$C$675,$A2))</f>
        <v>0</v>
      </c>
      <c r="AC2">
        <f t="shared" ref="AC2:AC65" si="3">IF($A2="","",IF(ALLOC!$C$9="Chiffre d'affaires",$I2,IF(ALLOC!$C$9="Effectif",$G2,$H2)))</f>
        <v>1000</v>
      </c>
      <c r="AD2">
        <f t="shared" ref="AD2:AD65" si="4">IF($A2="","",IF(ALLOC!$C$9="Chiffre d'affaires",$N2,IF(ALLOC!$C$9="Effectif",$L2,$M2)))</f>
        <v>1000</v>
      </c>
      <c r="AE2">
        <f t="shared" ref="AE2:AE65" si="5">IF($A2="","",IF(ALLOC!$C$8="Chiffre d'affaires",$N2,IF(ALLOC!$C$8="Effectif",$L2,$M2)))</f>
        <v>1000</v>
      </c>
      <c r="AF2">
        <f t="shared" ref="AF2:AF65" si="6">IF($A2="","",IF(ALLOC!$C$8="Chiffre d'affaires",$S2,IF(ALLOC!$C$8="Effectif",$Q2,$R2)))</f>
        <v>1000</v>
      </c>
      <c r="AG2">
        <f t="shared" ref="AG2:AG65" si="7">IF($A2="","",IF(ALLOC!$C$6="Chiffre d'affaires",$S2,IF(ALLOC!$C$6="Effectif",$Q2,$R2)))</f>
        <v>1000</v>
      </c>
      <c r="AH2">
        <f t="shared" ref="AH2:AH65" si="8">IF($A2="","",IF(ALLOC!$C$6="Chiffre d'affaires",$V2,IF(ALLOC!$C$6="Effectif",$T2,$U2)))</f>
        <v>1000</v>
      </c>
      <c r="AI2">
        <f t="shared" ref="AI2:AI65" si="9">IF($A2="","",$W2*IFERROR($K2/$O2,0))</f>
        <v>0</v>
      </c>
      <c r="AJ2">
        <f t="shared" ref="AJ2:AJ65" si="10">IF($A2="","",$X2*IFERROR($K2/$O2,0))</f>
        <v>0</v>
      </c>
      <c r="AK2">
        <f t="shared" ref="AK2:AK65" si="11">IF($A2="","",$Y2*IFERROR($G2/$L2,0)+$Z2*IFERROR($J2/$P2,0))</f>
        <v>0</v>
      </c>
      <c r="AL2">
        <f t="shared" ref="AL2:AL65" si="12">IF($A2="","",$AA2*IFERROR($AC2/$AD2,0))</f>
        <v>0</v>
      </c>
      <c r="AM2">
        <f t="shared" ref="AM2:AM65" si="13">IF($A2="","",$AB2*IFERROR($AG2/$AH2,0)*IFERROR($AE2/$AF2,0)*IFERROR($AC2/$AD2,0))</f>
        <v>0</v>
      </c>
      <c r="AN2">
        <f t="shared" ref="AN2:AN65" si="14">IF($A2="","",$I2-($AI2+$AJ2+$AK2+$AL2+$AM2+$AR2))</f>
        <v>1000</v>
      </c>
      <c r="AO2">
        <f>IF($A2="","",SUMIFS(Compta!$F$1:$F$675,Compta!$A$1:$A$675,"GRP",Compta!$B$1:$B$675,"6236",Compta!$C$1:$C$675,$A2))</f>
        <v>0</v>
      </c>
      <c r="AP2">
        <f t="shared" ref="AP2:AP65" si="15">IF($A2="","",IF(ALLOC!$C$7="Chiffre d'affaires",$S2,IF(ALLOC!$C$7="Effectif",$Q2,$R2)))</f>
        <v>1000</v>
      </c>
      <c r="AQ2">
        <f t="shared" ref="AQ2:AQ65" si="16">IF($A2="","",IF(ALLOC!$C$7="Chiffre d'affaires",$V2,IF(ALLOC!$C$7="Effectif",$T2,$U2)))</f>
        <v>1000</v>
      </c>
      <c r="AR2">
        <f t="shared" ref="AR2:AR65" si="17">IF($A2="","",$AO2*IFERROR($AP2/$AQ2,0)*IFERROR($AE2/$AF2,0)*IFERROR($AC2/$AD2,0))</f>
        <v>0</v>
      </c>
    </row>
    <row r="3" spans="1:46" x14ac:dyDescent="0.45">
      <c r="A3" t="str">
        <f>IF(Allocation!C3="","",Allocation!C3)</f>
        <v/>
      </c>
      <c r="B3" t="str">
        <f>IF(Allocation!D3="","",Allocation!D3)</f>
        <v/>
      </c>
      <c r="C3" t="str">
        <f>IF(Allocation!E3="","",Allocation!E3)</f>
        <v/>
      </c>
      <c r="D3" t="str">
        <f>IF(Allocation!F3="","",Allocation!F3)</f>
        <v/>
      </c>
      <c r="E3" t="str">
        <f>IF(Allocation!G3="","",Allocation!G3)</f>
        <v/>
      </c>
      <c r="F3" t="str">
        <f>IF(Allocation!H3="","",Allocation!H3)</f>
        <v/>
      </c>
      <c r="G3" t="str">
        <f>IF(Allocation!D3="","",Allocation!I3)</f>
        <v/>
      </c>
      <c r="H3" t="str">
        <f>IF(Allocation!D3="","",Allocation!J3)</f>
        <v/>
      </c>
      <c r="I3" t="str">
        <f>IF(Allocation!D3="","",Allocation!K3)</f>
        <v/>
      </c>
      <c r="J3" t="str">
        <f>IF($A3="","",SUMIFS(Socle!$K$1:$K$1000,Socle!$C$1:$C$1000,$B3,Socle!$D$1:$D$1000,$D3,Socle!$E$1:$E$1000,$E3,Socle!$F$1:$F$1000,$F3,Socle!$G$1:$G$1000,$A3))</f>
        <v/>
      </c>
      <c r="K3" t="str">
        <f t="shared" si="0"/>
        <v/>
      </c>
      <c r="L3" t="str">
        <f>IF($A3="","",SUMIFS(Allocation!$I$1:$I$175,Allocation!$C$1:$C$175,$A3,Allocation!$D$1:$D$175,$B3))</f>
        <v/>
      </c>
      <c r="M3" t="str">
        <f>IF($A3="","",SUMIFS(Allocation!$J$1:$J$175,Allocation!$C$1:$C$175,$A3,Allocation!$D$1:$D$175,$B3))</f>
        <v/>
      </c>
      <c r="N3" t="str">
        <f>IF($A3="","",SUMIFS(Allocation!$K$1:$K$175,Allocation!$C$1:$C$175,$A3,Allocation!$D$1:$D$175,$B3))</f>
        <v/>
      </c>
      <c r="O3" t="str">
        <f t="shared" si="1"/>
        <v/>
      </c>
      <c r="P3" t="str">
        <f t="shared" si="2"/>
        <v/>
      </c>
      <c r="Q3" t="str">
        <f>IF($A3="","",SUMIFS(Allocation!$I$1:$I$175,Allocation!$C$1:$C$175,$A3,Allocation!$E$1:$E$175,$C3))</f>
        <v/>
      </c>
      <c r="R3" t="str">
        <f>IF($A3="","",SUMIFS(Allocation!$J$1:$J$175,Allocation!$C$1:$C$175,$A3,Allocation!$E$1:$E$175,$C3))</f>
        <v/>
      </c>
      <c r="S3" t="str">
        <f>IF($A3="","",SUMIFS(Allocation!$K$1:$K$175,Allocation!$C$1:$C$175,$A3,Allocation!$E$1:$E$175,$C3))</f>
        <v/>
      </c>
      <c r="T3" t="str">
        <f>IF($A3="","",SUMIFS(Allocation!$I$1:$I$175,Allocation!$C$1:$C$175,$A3))</f>
        <v/>
      </c>
      <c r="U3" t="str">
        <f>IF($A3="","",SUMIFS(Allocation!$J$1:$J$175,Allocation!$C$1:$C$175,$A3))</f>
        <v/>
      </c>
      <c r="V3" t="str">
        <f>IF($A3="","",SUMIFS(Allocation!$K$1:$K$175,Allocation!$C$1:$C$175,$A3))</f>
        <v/>
      </c>
      <c r="W3" t="str">
        <f>IF($A3="","",SUMIFS(Compta!$F$1:$F$675,Compta!$A$1:$A$675,$B3,Compta!$B$1:$B$675,"621",Compta!$C$1:$C$675,$A3))</f>
        <v/>
      </c>
      <c r="X3" t="str">
        <f>IF($A3="","",SUMIFS(Compta!$F$1:$F$675,Compta!$A$1:$A$675,$B3,Compta!$B$1:$B$675,"6411",Compta!$C$1:$C$675,$A3))</f>
        <v/>
      </c>
      <c r="Y3" t="str">
        <f>IF($A3="","",SUMIFS(Compta!$F$1:$F$675,Compta!$A$1:$A$675,$B3,Compta!$B$1:$B$675,"604",Compta!$C$1:$C$675,$A3)+SUMIFS(Compta!$F$1:$F$675,Compta!$A$1:$A$675,$B3,Compta!$B$1:$B$675,"6063",Compta!$C$1:$C$675,$A3))</f>
        <v/>
      </c>
      <c r="Z3" t="str">
        <f>IF($A3="","",SUMIFS(Compta!$F$1:$F$675,Compta!$A$1:$A$675,$B3,Compta!$B$1:$B$675,"6231",Compta!$C$1:$C$675,$A3))</f>
        <v/>
      </c>
      <c r="AA3" t="str">
        <f>IF($A3="","",SUMIFS(Compta!$F$1:$F$675,Compta!$A$1:$A$675,$B3,Compta!$B$1:$B$675,"6413",Compta!$C$1:$C$675,$A3)+SUMIFS(Compta!$F$1:$F$675,Compta!$A$1:$A$675,$B3,Compta!$B$1:$B$675,"645",Compta!$C$1:$C$675,$A3)+SUMIFS(Compta!$F$1:$F$675,Compta!$A$1:$A$675,$B3,Compta!$B$1:$B$675,"613",Compta!$C$1:$C$675,$A3)+SUMIFS(Compta!$F$1:$F$675,Compta!$A$1:$A$675,$B3,Compta!$B$1:$B$675,"615",Compta!$C$1:$C$675,$A3)+SUMIFS(Compta!$F$1:$F$675,Compta!$A$1:$A$675,$B3,Compta!$B$1:$B$675,"616",Compta!$C$1:$C$675,$A3)+SUMIFS(Compta!$F$1:$F$675,Compta!$A$1:$A$675,$B3,Compta!$B$1:$B$675,"625",Compta!$C$1:$C$675,$A3)+SUMIFS(Compta!$F$1:$F$675,Compta!$A$1:$A$675,$B3,Compta!$B$1:$B$675,"63511",Compta!$C$1:$C$675,$A3))</f>
        <v/>
      </c>
      <c r="AB3" t="str">
        <f>IF($A3="","",SUMIFS(Compta!$F$1:$F$675,Compta!$A$1:$A$675,"GRP",Compta!$B$1:$B$675,"6414",Compta!$C$1:$C$675,$A3)+SUMIFS(Compta!$F$1:$F$675,Compta!$A$1:$A$675,"GRP",Compta!$B$1:$B$675,"6226",Compta!$C$1:$C$675,$A3)+SUMIFS(Compta!$F$1:$F$675,Compta!$A$1:$A$675,"GRP",Compta!$B$1:$B$675,"626",Compta!$C$1:$C$675,$A3)+SUMIFS(Compta!$F$1:$F$675,Compta!$A$1:$A$675,"GRP",Compta!$B$1:$B$675,"6281",Compta!$C$1:$C$675,$A3)+SUMIFS(Compta!$F$1:$F$675,Compta!$A$1:$A$675,"GRP",Compta!$B$1:$B$675,"6331",Compta!$C$1:$C$675,$A3)+SUMIFS(Compta!$F$1:$F$675,Compta!$A$1:$A$675,"GRP",Compta!$B$1:$B$675,"6333",Compta!$C$1:$C$675,$A3))</f>
        <v/>
      </c>
      <c r="AC3" t="str">
        <f t="shared" si="3"/>
        <v/>
      </c>
      <c r="AD3" t="str">
        <f t="shared" si="4"/>
        <v/>
      </c>
      <c r="AE3" t="str">
        <f t="shared" si="5"/>
        <v/>
      </c>
      <c r="AF3" t="str">
        <f t="shared" si="6"/>
        <v/>
      </c>
      <c r="AG3" t="str">
        <f t="shared" si="7"/>
        <v/>
      </c>
      <c r="AH3" t="str">
        <f t="shared" si="8"/>
        <v/>
      </c>
      <c r="AI3" t="str">
        <f t="shared" si="9"/>
        <v/>
      </c>
      <c r="AJ3" t="str">
        <f t="shared" si="10"/>
        <v/>
      </c>
      <c r="AK3" t="str">
        <f t="shared" si="11"/>
        <v/>
      </c>
      <c r="AL3" t="str">
        <f t="shared" si="12"/>
        <v/>
      </c>
      <c r="AM3" t="str">
        <f t="shared" si="13"/>
        <v/>
      </c>
      <c r="AN3" t="str">
        <f t="shared" si="14"/>
        <v/>
      </c>
      <c r="AO3" t="str">
        <f>IF($A3="","",SUMIFS(Compta!$F$1:$F$675,Compta!$A$1:$A$675,"GRP",Compta!$B$1:$B$675,"6236",Compta!$C$1:$C$675,$A3))</f>
        <v/>
      </c>
      <c r="AP3" t="str">
        <f t="shared" si="15"/>
        <v/>
      </c>
      <c r="AQ3" t="str">
        <f t="shared" si="16"/>
        <v/>
      </c>
      <c r="AR3" t="str">
        <f t="shared" si="17"/>
        <v/>
      </c>
    </row>
    <row r="4" spans="1:46" x14ac:dyDescent="0.45">
      <c r="A4" t="str">
        <f>IF(Allocation!C4="","",Allocation!C4)</f>
        <v/>
      </c>
      <c r="B4" t="str">
        <f>IF(Allocation!D4="","",Allocation!D4)</f>
        <v/>
      </c>
      <c r="C4" t="str">
        <f>IF(Allocation!E4="","",Allocation!E4)</f>
        <v/>
      </c>
      <c r="D4" t="str">
        <f>IF(Allocation!F4="","",Allocation!F4)</f>
        <v/>
      </c>
      <c r="E4" t="str">
        <f>IF(Allocation!G4="","",Allocation!G4)</f>
        <v/>
      </c>
      <c r="F4" t="str">
        <f>IF(Allocation!H4="","",Allocation!H4)</f>
        <v/>
      </c>
      <c r="G4" t="str">
        <f>IF(Allocation!D4="","",Allocation!I4)</f>
        <v/>
      </c>
      <c r="H4" t="str">
        <f>IF(Allocation!D4="","",Allocation!J4)</f>
        <v/>
      </c>
      <c r="I4" t="str">
        <f>IF(Allocation!D4="","",Allocation!K4)</f>
        <v/>
      </c>
      <c r="J4" t="str">
        <f>IF($A4="","",SUMIFS(Socle!$K$1:$K$1000,Socle!$C$1:$C$1000,$B4,Socle!$D$1:$D$1000,$D4,Socle!$E$1:$E$1000,$E4,Socle!$F$1:$F$1000,$F4,Socle!$G$1:$G$1000,$A4))</f>
        <v/>
      </c>
      <c r="K4" t="str">
        <f t="shared" si="0"/>
        <v/>
      </c>
      <c r="L4" t="str">
        <f>IF($A4="","",SUMIFS(Allocation!$I$1:$I$175,Allocation!$C$1:$C$175,$A4,Allocation!$D$1:$D$175,$B4))</f>
        <v/>
      </c>
      <c r="M4" t="str">
        <f>IF($A4="","",SUMIFS(Allocation!$J$1:$J$175,Allocation!$C$1:$C$175,$A4,Allocation!$D$1:$D$175,$B4))</f>
        <v/>
      </c>
      <c r="N4" t="str">
        <f>IF($A4="","",SUMIFS(Allocation!$K$1:$K$175,Allocation!$C$1:$C$175,$A4,Allocation!$D$1:$D$175,$B4))</f>
        <v/>
      </c>
      <c r="O4" t="str">
        <f t="shared" si="1"/>
        <v/>
      </c>
      <c r="P4" t="str">
        <f t="shared" si="2"/>
        <v/>
      </c>
      <c r="Q4" t="str">
        <f>IF($A4="","",SUMIFS(Allocation!$I$1:$I$175,Allocation!$C$1:$C$175,$A4,Allocation!$E$1:$E$175,$C4))</f>
        <v/>
      </c>
      <c r="R4" t="str">
        <f>IF($A4="","",SUMIFS(Allocation!$J$1:$J$175,Allocation!$C$1:$C$175,$A4,Allocation!$E$1:$E$175,$C4))</f>
        <v/>
      </c>
      <c r="S4" t="str">
        <f>IF($A4="","",SUMIFS(Allocation!$K$1:$K$175,Allocation!$C$1:$C$175,$A4,Allocation!$E$1:$E$175,$C4))</f>
        <v/>
      </c>
      <c r="T4" t="str">
        <f>IF($A4="","",SUMIFS(Allocation!$I$1:$I$175,Allocation!$C$1:$C$175,$A4))</f>
        <v/>
      </c>
      <c r="U4" t="str">
        <f>IF($A4="","",SUMIFS(Allocation!$J$1:$J$175,Allocation!$C$1:$C$175,$A4))</f>
        <v/>
      </c>
      <c r="V4" t="str">
        <f>IF($A4="","",SUMIFS(Allocation!$K$1:$K$175,Allocation!$C$1:$C$175,$A4))</f>
        <v/>
      </c>
      <c r="W4" t="str">
        <f>IF($A4="","",SUMIFS(Compta!$F$1:$F$675,Compta!$A$1:$A$675,$B4,Compta!$B$1:$B$675,"621",Compta!$C$1:$C$675,$A4))</f>
        <v/>
      </c>
      <c r="X4" t="str">
        <f>IF($A4="","",SUMIFS(Compta!$F$1:$F$675,Compta!$A$1:$A$675,$B4,Compta!$B$1:$B$675,"6411",Compta!$C$1:$C$675,$A4))</f>
        <v/>
      </c>
      <c r="Y4" t="str">
        <f>IF($A4="","",SUMIFS(Compta!$F$1:$F$675,Compta!$A$1:$A$675,$B4,Compta!$B$1:$B$675,"604",Compta!$C$1:$C$675,$A4)+SUMIFS(Compta!$F$1:$F$675,Compta!$A$1:$A$675,$B4,Compta!$B$1:$B$675,"6063",Compta!$C$1:$C$675,$A4))</f>
        <v/>
      </c>
      <c r="Z4" t="str">
        <f>IF($A4="","",SUMIFS(Compta!$F$1:$F$675,Compta!$A$1:$A$675,$B4,Compta!$B$1:$B$675,"6231",Compta!$C$1:$C$675,$A4))</f>
        <v/>
      </c>
      <c r="AA4" t="str">
        <f>IF($A4="","",SUMIFS(Compta!$F$1:$F$675,Compta!$A$1:$A$675,$B4,Compta!$B$1:$B$675,"6413",Compta!$C$1:$C$675,$A4)+SUMIFS(Compta!$F$1:$F$675,Compta!$A$1:$A$675,$B4,Compta!$B$1:$B$675,"645",Compta!$C$1:$C$675,$A4)+SUMIFS(Compta!$F$1:$F$675,Compta!$A$1:$A$675,$B4,Compta!$B$1:$B$675,"613",Compta!$C$1:$C$675,$A4)+SUMIFS(Compta!$F$1:$F$675,Compta!$A$1:$A$675,$B4,Compta!$B$1:$B$675,"615",Compta!$C$1:$C$675,$A4)+SUMIFS(Compta!$F$1:$F$675,Compta!$A$1:$A$675,$B4,Compta!$B$1:$B$675,"616",Compta!$C$1:$C$675,$A4)+SUMIFS(Compta!$F$1:$F$675,Compta!$A$1:$A$675,$B4,Compta!$B$1:$B$675,"625",Compta!$C$1:$C$675,$A4)+SUMIFS(Compta!$F$1:$F$675,Compta!$A$1:$A$675,$B4,Compta!$B$1:$B$675,"63511",Compta!$C$1:$C$675,$A4))</f>
        <v/>
      </c>
      <c r="AB4" t="str">
        <f>IF($A4="","",SUMIFS(Compta!$F$1:$F$675,Compta!$A$1:$A$675,"GRP",Compta!$B$1:$B$675,"6414",Compta!$C$1:$C$675,$A4)+SUMIFS(Compta!$F$1:$F$675,Compta!$A$1:$A$675,"GRP",Compta!$B$1:$B$675,"6226",Compta!$C$1:$C$675,$A4)+SUMIFS(Compta!$F$1:$F$675,Compta!$A$1:$A$675,"GRP",Compta!$B$1:$B$675,"626",Compta!$C$1:$C$675,$A4)+SUMIFS(Compta!$F$1:$F$675,Compta!$A$1:$A$675,"GRP",Compta!$B$1:$B$675,"6281",Compta!$C$1:$C$675,$A4)+SUMIFS(Compta!$F$1:$F$675,Compta!$A$1:$A$675,"GRP",Compta!$B$1:$B$675,"6331",Compta!$C$1:$C$675,$A4)+SUMIFS(Compta!$F$1:$F$675,Compta!$A$1:$A$675,"GRP",Compta!$B$1:$B$675,"6333",Compta!$C$1:$C$675,$A4))</f>
        <v/>
      </c>
      <c r="AC4" t="str">
        <f t="shared" si="3"/>
        <v/>
      </c>
      <c r="AD4" t="str">
        <f t="shared" si="4"/>
        <v/>
      </c>
      <c r="AE4" t="str">
        <f t="shared" si="5"/>
        <v/>
      </c>
      <c r="AF4" t="str">
        <f t="shared" si="6"/>
        <v/>
      </c>
      <c r="AG4" t="str">
        <f t="shared" si="7"/>
        <v/>
      </c>
      <c r="AH4" t="str">
        <f t="shared" si="8"/>
        <v/>
      </c>
      <c r="AI4" t="str">
        <f t="shared" si="9"/>
        <v/>
      </c>
      <c r="AJ4" t="str">
        <f t="shared" si="10"/>
        <v/>
      </c>
      <c r="AK4" t="str">
        <f t="shared" si="11"/>
        <v/>
      </c>
      <c r="AL4" t="str">
        <f t="shared" si="12"/>
        <v/>
      </c>
      <c r="AM4" t="str">
        <f t="shared" si="13"/>
        <v/>
      </c>
      <c r="AN4" t="str">
        <f t="shared" si="14"/>
        <v/>
      </c>
      <c r="AO4" t="str">
        <f>IF($A4="","",SUMIFS(Compta!$F$1:$F$675,Compta!$A$1:$A$675,"GRP",Compta!$B$1:$B$675,"6236",Compta!$C$1:$C$675,$A4))</f>
        <v/>
      </c>
      <c r="AP4" t="str">
        <f t="shared" si="15"/>
        <v/>
      </c>
      <c r="AQ4" t="str">
        <f t="shared" si="16"/>
        <v/>
      </c>
      <c r="AR4" t="str">
        <f t="shared" si="17"/>
        <v/>
      </c>
    </row>
    <row r="5" spans="1:46" x14ac:dyDescent="0.45">
      <c r="A5" t="str">
        <f>IF(Allocation!C5="","",Allocation!C5)</f>
        <v/>
      </c>
      <c r="B5" t="str">
        <f>IF(Allocation!D5="","",Allocation!D5)</f>
        <v/>
      </c>
      <c r="C5" t="str">
        <f>IF(Allocation!E5="","",Allocation!E5)</f>
        <v/>
      </c>
      <c r="D5" t="str">
        <f>IF(Allocation!F5="","",Allocation!F5)</f>
        <v/>
      </c>
      <c r="E5" t="str">
        <f>IF(Allocation!G5="","",Allocation!G5)</f>
        <v/>
      </c>
      <c r="F5" t="str">
        <f>IF(Allocation!H5="","",Allocation!H5)</f>
        <v/>
      </c>
      <c r="G5" t="str">
        <f>IF(Allocation!D5="","",Allocation!I5)</f>
        <v/>
      </c>
      <c r="H5" t="str">
        <f>IF(Allocation!D5="","",Allocation!J5)</f>
        <v/>
      </c>
      <c r="I5" t="str">
        <f>IF(Allocation!D5="","",Allocation!K5)</f>
        <v/>
      </c>
      <c r="J5" t="str">
        <f>IF($A5="","",SUMIFS(Socle!$K$1:$K$1000,Socle!$C$1:$C$1000,$B5,Socle!$D$1:$D$1000,$D5,Socle!$E$1:$E$1000,$E5,Socle!$F$1:$F$1000,$F5,Socle!$G$1:$G$1000,$A5))</f>
        <v/>
      </c>
      <c r="K5" t="str">
        <f t="shared" si="0"/>
        <v/>
      </c>
      <c r="L5" t="str">
        <f>IF($A5="","",SUMIFS(Allocation!$I$1:$I$175,Allocation!$C$1:$C$175,$A5,Allocation!$D$1:$D$175,$B5))</f>
        <v/>
      </c>
      <c r="M5" t="str">
        <f>IF($A5="","",SUMIFS(Allocation!$J$1:$J$175,Allocation!$C$1:$C$175,$A5,Allocation!$D$1:$D$175,$B5))</f>
        <v/>
      </c>
      <c r="N5" t="str">
        <f>IF($A5="","",SUMIFS(Allocation!$K$1:$K$175,Allocation!$C$1:$C$175,$A5,Allocation!$D$1:$D$175,$B5))</f>
        <v/>
      </c>
      <c r="O5" t="str">
        <f t="shared" si="1"/>
        <v/>
      </c>
      <c r="P5" t="str">
        <f t="shared" si="2"/>
        <v/>
      </c>
      <c r="Q5" t="str">
        <f>IF($A5="","",SUMIFS(Allocation!$I$1:$I$175,Allocation!$C$1:$C$175,$A5,Allocation!$E$1:$E$175,$C5))</f>
        <v/>
      </c>
      <c r="R5" t="str">
        <f>IF($A5="","",SUMIFS(Allocation!$J$1:$J$175,Allocation!$C$1:$C$175,$A5,Allocation!$E$1:$E$175,$C5))</f>
        <v/>
      </c>
      <c r="S5" t="str">
        <f>IF($A5="","",SUMIFS(Allocation!$K$1:$K$175,Allocation!$C$1:$C$175,$A5,Allocation!$E$1:$E$175,$C5))</f>
        <v/>
      </c>
      <c r="T5" t="str">
        <f>IF($A5="","",SUMIFS(Allocation!$I$1:$I$175,Allocation!$C$1:$C$175,$A5))</f>
        <v/>
      </c>
      <c r="U5" t="str">
        <f>IF($A5="","",SUMIFS(Allocation!$J$1:$J$175,Allocation!$C$1:$C$175,$A5))</f>
        <v/>
      </c>
      <c r="V5" t="str">
        <f>IF($A5="","",SUMIFS(Allocation!$K$1:$K$175,Allocation!$C$1:$C$175,$A5))</f>
        <v/>
      </c>
      <c r="W5" t="str">
        <f>IF($A5="","",SUMIFS(Compta!$F$1:$F$675,Compta!$A$1:$A$675,$B5,Compta!$B$1:$B$675,"621",Compta!$C$1:$C$675,$A5))</f>
        <v/>
      </c>
      <c r="X5" t="str">
        <f>IF($A5="","",SUMIFS(Compta!$F$1:$F$675,Compta!$A$1:$A$675,$B5,Compta!$B$1:$B$675,"6411",Compta!$C$1:$C$675,$A5))</f>
        <v/>
      </c>
      <c r="Y5" t="str">
        <f>IF($A5="","",SUMIFS(Compta!$F$1:$F$675,Compta!$A$1:$A$675,$B5,Compta!$B$1:$B$675,"604",Compta!$C$1:$C$675,$A5)+SUMIFS(Compta!$F$1:$F$675,Compta!$A$1:$A$675,$B5,Compta!$B$1:$B$675,"6063",Compta!$C$1:$C$675,$A5))</f>
        <v/>
      </c>
      <c r="Z5" t="str">
        <f>IF($A5="","",SUMIFS(Compta!$F$1:$F$675,Compta!$A$1:$A$675,$B5,Compta!$B$1:$B$675,"6231",Compta!$C$1:$C$675,$A5))</f>
        <v/>
      </c>
      <c r="AA5" t="str">
        <f>IF($A5="","",SUMIFS(Compta!$F$1:$F$675,Compta!$A$1:$A$675,$B5,Compta!$B$1:$B$675,"6413",Compta!$C$1:$C$675,$A5)+SUMIFS(Compta!$F$1:$F$675,Compta!$A$1:$A$675,$B5,Compta!$B$1:$B$675,"645",Compta!$C$1:$C$675,$A5)+SUMIFS(Compta!$F$1:$F$675,Compta!$A$1:$A$675,$B5,Compta!$B$1:$B$675,"613",Compta!$C$1:$C$675,$A5)+SUMIFS(Compta!$F$1:$F$675,Compta!$A$1:$A$675,$B5,Compta!$B$1:$B$675,"615",Compta!$C$1:$C$675,$A5)+SUMIFS(Compta!$F$1:$F$675,Compta!$A$1:$A$675,$B5,Compta!$B$1:$B$675,"616",Compta!$C$1:$C$675,$A5)+SUMIFS(Compta!$F$1:$F$675,Compta!$A$1:$A$675,$B5,Compta!$B$1:$B$675,"625",Compta!$C$1:$C$675,$A5)+SUMIFS(Compta!$F$1:$F$675,Compta!$A$1:$A$675,$B5,Compta!$B$1:$B$675,"63511",Compta!$C$1:$C$675,$A5))</f>
        <v/>
      </c>
      <c r="AB5" t="str">
        <f>IF($A5="","",SUMIFS(Compta!$F$1:$F$675,Compta!$A$1:$A$675,"GRP",Compta!$B$1:$B$675,"6414",Compta!$C$1:$C$675,$A5)+SUMIFS(Compta!$F$1:$F$675,Compta!$A$1:$A$675,"GRP",Compta!$B$1:$B$675,"6226",Compta!$C$1:$C$675,$A5)+SUMIFS(Compta!$F$1:$F$675,Compta!$A$1:$A$675,"GRP",Compta!$B$1:$B$675,"626",Compta!$C$1:$C$675,$A5)+SUMIFS(Compta!$F$1:$F$675,Compta!$A$1:$A$675,"GRP",Compta!$B$1:$B$675,"6281",Compta!$C$1:$C$675,$A5)+SUMIFS(Compta!$F$1:$F$675,Compta!$A$1:$A$675,"GRP",Compta!$B$1:$B$675,"6331",Compta!$C$1:$C$675,$A5)+SUMIFS(Compta!$F$1:$F$675,Compta!$A$1:$A$675,"GRP",Compta!$B$1:$B$675,"6333",Compta!$C$1:$C$675,$A5))</f>
        <v/>
      </c>
      <c r="AC5" t="str">
        <f t="shared" si="3"/>
        <v/>
      </c>
      <c r="AD5" t="str">
        <f t="shared" si="4"/>
        <v/>
      </c>
      <c r="AE5" t="str">
        <f t="shared" si="5"/>
        <v/>
      </c>
      <c r="AF5" t="str">
        <f t="shared" si="6"/>
        <v/>
      </c>
      <c r="AG5" t="str">
        <f t="shared" si="7"/>
        <v/>
      </c>
      <c r="AH5" t="str">
        <f t="shared" si="8"/>
        <v/>
      </c>
      <c r="AI5" t="str">
        <f t="shared" si="9"/>
        <v/>
      </c>
      <c r="AJ5" t="str">
        <f t="shared" si="10"/>
        <v/>
      </c>
      <c r="AK5" t="str">
        <f t="shared" si="11"/>
        <v/>
      </c>
      <c r="AL5" t="str">
        <f t="shared" si="12"/>
        <v/>
      </c>
      <c r="AM5" t="str">
        <f t="shared" si="13"/>
        <v/>
      </c>
      <c r="AN5" t="str">
        <f t="shared" si="14"/>
        <v/>
      </c>
      <c r="AO5" t="str">
        <f>IF($A5="","",SUMIFS(Compta!$F$1:$F$675,Compta!$A$1:$A$675,"GRP",Compta!$B$1:$B$675,"6236",Compta!$C$1:$C$675,$A5))</f>
        <v/>
      </c>
      <c r="AP5" t="str">
        <f t="shared" si="15"/>
        <v/>
      </c>
      <c r="AQ5" t="str">
        <f t="shared" si="16"/>
        <v/>
      </c>
      <c r="AR5" t="str">
        <f t="shared" si="17"/>
        <v/>
      </c>
    </row>
    <row r="6" spans="1:46" x14ac:dyDescent="0.45">
      <c r="A6" t="str">
        <f>IF(Allocation!C6="","",Allocation!C6)</f>
        <v/>
      </c>
      <c r="B6" t="str">
        <f>IF(Allocation!D6="","",Allocation!D6)</f>
        <v/>
      </c>
      <c r="C6" t="str">
        <f>IF(Allocation!E6="","",Allocation!E6)</f>
        <v/>
      </c>
      <c r="D6" t="str">
        <f>IF(Allocation!F6="","",Allocation!F6)</f>
        <v/>
      </c>
      <c r="E6" t="str">
        <f>IF(Allocation!G6="","",Allocation!G6)</f>
        <v/>
      </c>
      <c r="F6" t="str">
        <f>IF(Allocation!H6="","",Allocation!H6)</f>
        <v/>
      </c>
      <c r="G6" t="str">
        <f>IF(Allocation!D6="","",Allocation!I6)</f>
        <v/>
      </c>
      <c r="H6" t="str">
        <f>IF(Allocation!D6="","",Allocation!J6)</f>
        <v/>
      </c>
      <c r="I6" t="str">
        <f>IF(Allocation!D6="","",Allocation!K6)</f>
        <v/>
      </c>
      <c r="J6" t="str">
        <f>IF($A6="","",SUMIFS(Socle!$K$1:$K$1000,Socle!$C$1:$C$1000,$B6,Socle!$D$1:$D$1000,$D6,Socle!$E$1:$E$1000,$E6,Socle!$F$1:$F$1000,$F6,Socle!$G$1:$G$1000,$A6))</f>
        <v/>
      </c>
      <c r="K6" t="str">
        <f t="shared" si="0"/>
        <v/>
      </c>
      <c r="L6" t="str">
        <f>IF($A6="","",SUMIFS(Allocation!$I$1:$I$175,Allocation!$C$1:$C$175,$A6,Allocation!$D$1:$D$175,$B6))</f>
        <v/>
      </c>
      <c r="M6" t="str">
        <f>IF($A6="","",SUMIFS(Allocation!$J$1:$J$175,Allocation!$C$1:$C$175,$A6,Allocation!$D$1:$D$175,$B6))</f>
        <v/>
      </c>
      <c r="N6" t="str">
        <f>IF($A6="","",SUMIFS(Allocation!$K$1:$K$175,Allocation!$C$1:$C$175,$A6,Allocation!$D$1:$D$175,$B6))</f>
        <v/>
      </c>
      <c r="O6" t="str">
        <f t="shared" si="1"/>
        <v/>
      </c>
      <c r="P6" t="str">
        <f t="shared" si="2"/>
        <v/>
      </c>
      <c r="Q6" t="str">
        <f>IF($A6="","",SUMIFS(Allocation!$I$1:$I$175,Allocation!$C$1:$C$175,$A6,Allocation!$E$1:$E$175,$C6))</f>
        <v/>
      </c>
      <c r="R6" t="str">
        <f>IF($A6="","",SUMIFS(Allocation!$J$1:$J$175,Allocation!$C$1:$C$175,$A6,Allocation!$E$1:$E$175,$C6))</f>
        <v/>
      </c>
      <c r="S6" t="str">
        <f>IF($A6="","",SUMIFS(Allocation!$K$1:$K$175,Allocation!$C$1:$C$175,$A6,Allocation!$E$1:$E$175,$C6))</f>
        <v/>
      </c>
      <c r="T6" t="str">
        <f>IF($A6="","",SUMIFS(Allocation!$I$1:$I$175,Allocation!$C$1:$C$175,$A6))</f>
        <v/>
      </c>
      <c r="U6" t="str">
        <f>IF($A6="","",SUMIFS(Allocation!$J$1:$J$175,Allocation!$C$1:$C$175,$A6))</f>
        <v/>
      </c>
      <c r="V6" t="str">
        <f>IF($A6="","",SUMIFS(Allocation!$K$1:$K$175,Allocation!$C$1:$C$175,$A6))</f>
        <v/>
      </c>
      <c r="W6" t="str">
        <f>IF($A6="","",SUMIFS(Compta!$F$1:$F$675,Compta!$A$1:$A$675,$B6,Compta!$B$1:$B$675,"621",Compta!$C$1:$C$675,$A6))</f>
        <v/>
      </c>
      <c r="X6" t="str">
        <f>IF($A6="","",SUMIFS(Compta!$F$1:$F$675,Compta!$A$1:$A$675,$B6,Compta!$B$1:$B$675,"6411",Compta!$C$1:$C$675,$A6))</f>
        <v/>
      </c>
      <c r="Y6" t="str">
        <f>IF($A6="","",SUMIFS(Compta!$F$1:$F$675,Compta!$A$1:$A$675,$B6,Compta!$B$1:$B$675,"604",Compta!$C$1:$C$675,$A6)+SUMIFS(Compta!$F$1:$F$675,Compta!$A$1:$A$675,$B6,Compta!$B$1:$B$675,"6063",Compta!$C$1:$C$675,$A6))</f>
        <v/>
      </c>
      <c r="Z6" t="str">
        <f>IF($A6="","",SUMIFS(Compta!$F$1:$F$675,Compta!$A$1:$A$675,$B6,Compta!$B$1:$B$675,"6231",Compta!$C$1:$C$675,$A6))</f>
        <v/>
      </c>
      <c r="AA6" t="str">
        <f>IF($A6="","",SUMIFS(Compta!$F$1:$F$675,Compta!$A$1:$A$675,$B6,Compta!$B$1:$B$675,"6413",Compta!$C$1:$C$675,$A6)+SUMIFS(Compta!$F$1:$F$675,Compta!$A$1:$A$675,$B6,Compta!$B$1:$B$675,"645",Compta!$C$1:$C$675,$A6)+SUMIFS(Compta!$F$1:$F$675,Compta!$A$1:$A$675,$B6,Compta!$B$1:$B$675,"613",Compta!$C$1:$C$675,$A6)+SUMIFS(Compta!$F$1:$F$675,Compta!$A$1:$A$675,$B6,Compta!$B$1:$B$675,"615",Compta!$C$1:$C$675,$A6)+SUMIFS(Compta!$F$1:$F$675,Compta!$A$1:$A$675,$B6,Compta!$B$1:$B$675,"616",Compta!$C$1:$C$675,$A6)+SUMIFS(Compta!$F$1:$F$675,Compta!$A$1:$A$675,$B6,Compta!$B$1:$B$675,"625",Compta!$C$1:$C$675,$A6)+SUMIFS(Compta!$F$1:$F$675,Compta!$A$1:$A$675,$B6,Compta!$B$1:$B$675,"63511",Compta!$C$1:$C$675,$A6))</f>
        <v/>
      </c>
      <c r="AB6" t="str">
        <f>IF($A6="","",SUMIFS(Compta!$F$1:$F$675,Compta!$A$1:$A$675,"GRP",Compta!$B$1:$B$675,"6414",Compta!$C$1:$C$675,$A6)+SUMIFS(Compta!$F$1:$F$675,Compta!$A$1:$A$675,"GRP",Compta!$B$1:$B$675,"6226",Compta!$C$1:$C$675,$A6)+SUMIFS(Compta!$F$1:$F$675,Compta!$A$1:$A$675,"GRP",Compta!$B$1:$B$675,"626",Compta!$C$1:$C$675,$A6)+SUMIFS(Compta!$F$1:$F$675,Compta!$A$1:$A$675,"GRP",Compta!$B$1:$B$675,"6281",Compta!$C$1:$C$675,$A6)+SUMIFS(Compta!$F$1:$F$675,Compta!$A$1:$A$675,"GRP",Compta!$B$1:$B$675,"6331",Compta!$C$1:$C$675,$A6)+SUMIFS(Compta!$F$1:$F$675,Compta!$A$1:$A$675,"GRP",Compta!$B$1:$B$675,"6333",Compta!$C$1:$C$675,$A6))</f>
        <v/>
      </c>
      <c r="AC6" t="str">
        <f t="shared" si="3"/>
        <v/>
      </c>
      <c r="AD6" t="str">
        <f t="shared" si="4"/>
        <v/>
      </c>
      <c r="AE6" t="str">
        <f t="shared" si="5"/>
        <v/>
      </c>
      <c r="AF6" t="str">
        <f t="shared" si="6"/>
        <v/>
      </c>
      <c r="AG6" t="str">
        <f t="shared" si="7"/>
        <v/>
      </c>
      <c r="AH6" t="str">
        <f t="shared" si="8"/>
        <v/>
      </c>
      <c r="AI6" t="str">
        <f t="shared" si="9"/>
        <v/>
      </c>
      <c r="AJ6" t="str">
        <f t="shared" si="10"/>
        <v/>
      </c>
      <c r="AK6" t="str">
        <f t="shared" si="11"/>
        <v/>
      </c>
      <c r="AL6" t="str">
        <f t="shared" si="12"/>
        <v/>
      </c>
      <c r="AM6" t="str">
        <f t="shared" si="13"/>
        <v/>
      </c>
      <c r="AN6" t="str">
        <f t="shared" si="14"/>
        <v/>
      </c>
      <c r="AO6" t="str">
        <f>IF($A6="","",SUMIFS(Compta!$F$1:$F$675,Compta!$A$1:$A$675,"GRP",Compta!$B$1:$B$675,"6236",Compta!$C$1:$C$675,$A6))</f>
        <v/>
      </c>
      <c r="AP6" t="str">
        <f t="shared" si="15"/>
        <v/>
      </c>
      <c r="AQ6" t="str">
        <f t="shared" si="16"/>
        <v/>
      </c>
      <c r="AR6" t="str">
        <f t="shared" si="17"/>
        <v/>
      </c>
    </row>
    <row r="7" spans="1:46" x14ac:dyDescent="0.45">
      <c r="A7" t="str">
        <f>IF(Allocation!C7="","",Allocation!C7)</f>
        <v/>
      </c>
      <c r="B7" t="str">
        <f>IF(Allocation!D7="","",Allocation!D7)</f>
        <v/>
      </c>
      <c r="C7" t="str">
        <f>IF(Allocation!E7="","",Allocation!E7)</f>
        <v/>
      </c>
      <c r="D7" t="str">
        <f>IF(Allocation!F7="","",Allocation!F7)</f>
        <v/>
      </c>
      <c r="E7" t="str">
        <f>IF(Allocation!G7="","",Allocation!G7)</f>
        <v/>
      </c>
      <c r="F7" t="str">
        <f>IF(Allocation!H7="","",Allocation!H7)</f>
        <v/>
      </c>
      <c r="G7" t="str">
        <f>IF(Allocation!D7="","",Allocation!I7)</f>
        <v/>
      </c>
      <c r="H7" t="str">
        <f>IF(Allocation!D7="","",Allocation!J7)</f>
        <v/>
      </c>
      <c r="I7" t="str">
        <f>IF(Allocation!D7="","",Allocation!K7)</f>
        <v/>
      </c>
      <c r="J7" t="str">
        <f>IF($A7="","",SUMIFS(Socle!$K$1:$K$1000,Socle!$C$1:$C$1000,$B7,Socle!$D$1:$D$1000,$D7,Socle!$E$1:$E$1000,$E7,Socle!$F$1:$F$1000,$F7,Socle!$G$1:$G$1000,$A7))</f>
        <v/>
      </c>
      <c r="K7" t="str">
        <f t="shared" si="0"/>
        <v/>
      </c>
      <c r="L7" t="str">
        <f>IF($A7="","",SUMIFS(Allocation!$I$1:$I$175,Allocation!$C$1:$C$175,$A7,Allocation!$D$1:$D$175,$B7))</f>
        <v/>
      </c>
      <c r="M7" t="str">
        <f>IF($A7="","",SUMIFS(Allocation!$J$1:$J$175,Allocation!$C$1:$C$175,$A7,Allocation!$D$1:$D$175,$B7))</f>
        <v/>
      </c>
      <c r="N7" t="str">
        <f>IF($A7="","",SUMIFS(Allocation!$K$1:$K$175,Allocation!$C$1:$C$175,$A7,Allocation!$D$1:$D$175,$B7))</f>
        <v/>
      </c>
      <c r="O7" t="str">
        <f t="shared" si="1"/>
        <v/>
      </c>
      <c r="P7" t="str">
        <f t="shared" si="2"/>
        <v/>
      </c>
      <c r="Q7" t="str">
        <f>IF($A7="","",SUMIFS(Allocation!$I$1:$I$175,Allocation!$C$1:$C$175,$A7,Allocation!$E$1:$E$175,$C7))</f>
        <v/>
      </c>
      <c r="R7" t="str">
        <f>IF($A7="","",SUMIFS(Allocation!$J$1:$J$175,Allocation!$C$1:$C$175,$A7,Allocation!$E$1:$E$175,$C7))</f>
        <v/>
      </c>
      <c r="S7" t="str">
        <f>IF($A7="","",SUMIFS(Allocation!$K$1:$K$175,Allocation!$C$1:$C$175,$A7,Allocation!$E$1:$E$175,$C7))</f>
        <v/>
      </c>
      <c r="T7" t="str">
        <f>IF($A7="","",SUMIFS(Allocation!$I$1:$I$175,Allocation!$C$1:$C$175,$A7))</f>
        <v/>
      </c>
      <c r="U7" t="str">
        <f>IF($A7="","",SUMIFS(Allocation!$J$1:$J$175,Allocation!$C$1:$C$175,$A7))</f>
        <v/>
      </c>
      <c r="V7" t="str">
        <f>IF($A7="","",SUMIFS(Allocation!$K$1:$K$175,Allocation!$C$1:$C$175,$A7))</f>
        <v/>
      </c>
      <c r="W7" t="str">
        <f>IF($A7="","",SUMIFS(Compta!$F$1:$F$675,Compta!$A$1:$A$675,$B7,Compta!$B$1:$B$675,"621",Compta!$C$1:$C$675,$A7))</f>
        <v/>
      </c>
      <c r="X7" t="str">
        <f>IF($A7="","",SUMIFS(Compta!$F$1:$F$675,Compta!$A$1:$A$675,$B7,Compta!$B$1:$B$675,"6411",Compta!$C$1:$C$675,$A7))</f>
        <v/>
      </c>
      <c r="Y7" t="str">
        <f>IF($A7="","",SUMIFS(Compta!$F$1:$F$675,Compta!$A$1:$A$675,$B7,Compta!$B$1:$B$675,"604",Compta!$C$1:$C$675,$A7)+SUMIFS(Compta!$F$1:$F$675,Compta!$A$1:$A$675,$B7,Compta!$B$1:$B$675,"6063",Compta!$C$1:$C$675,$A7))</f>
        <v/>
      </c>
      <c r="Z7" t="str">
        <f>IF($A7="","",SUMIFS(Compta!$F$1:$F$675,Compta!$A$1:$A$675,$B7,Compta!$B$1:$B$675,"6231",Compta!$C$1:$C$675,$A7))</f>
        <v/>
      </c>
      <c r="AA7" t="str">
        <f>IF($A7="","",SUMIFS(Compta!$F$1:$F$675,Compta!$A$1:$A$675,$B7,Compta!$B$1:$B$675,"6413",Compta!$C$1:$C$675,$A7)+SUMIFS(Compta!$F$1:$F$675,Compta!$A$1:$A$675,$B7,Compta!$B$1:$B$675,"645",Compta!$C$1:$C$675,$A7)+SUMIFS(Compta!$F$1:$F$675,Compta!$A$1:$A$675,$B7,Compta!$B$1:$B$675,"613",Compta!$C$1:$C$675,$A7)+SUMIFS(Compta!$F$1:$F$675,Compta!$A$1:$A$675,$B7,Compta!$B$1:$B$675,"615",Compta!$C$1:$C$675,$A7)+SUMIFS(Compta!$F$1:$F$675,Compta!$A$1:$A$675,$B7,Compta!$B$1:$B$675,"616",Compta!$C$1:$C$675,$A7)+SUMIFS(Compta!$F$1:$F$675,Compta!$A$1:$A$675,$B7,Compta!$B$1:$B$675,"625",Compta!$C$1:$C$675,$A7)+SUMIFS(Compta!$F$1:$F$675,Compta!$A$1:$A$675,$B7,Compta!$B$1:$B$675,"63511",Compta!$C$1:$C$675,$A7))</f>
        <v/>
      </c>
      <c r="AB7" t="str">
        <f>IF($A7="","",SUMIFS(Compta!$F$1:$F$675,Compta!$A$1:$A$675,"GRP",Compta!$B$1:$B$675,"6414",Compta!$C$1:$C$675,$A7)+SUMIFS(Compta!$F$1:$F$675,Compta!$A$1:$A$675,"GRP",Compta!$B$1:$B$675,"6226",Compta!$C$1:$C$675,$A7)+SUMIFS(Compta!$F$1:$F$675,Compta!$A$1:$A$675,"GRP",Compta!$B$1:$B$675,"626",Compta!$C$1:$C$675,$A7)+SUMIFS(Compta!$F$1:$F$675,Compta!$A$1:$A$675,"GRP",Compta!$B$1:$B$675,"6281",Compta!$C$1:$C$675,$A7)+SUMIFS(Compta!$F$1:$F$675,Compta!$A$1:$A$675,"GRP",Compta!$B$1:$B$675,"6331",Compta!$C$1:$C$675,$A7)+SUMIFS(Compta!$F$1:$F$675,Compta!$A$1:$A$675,"GRP",Compta!$B$1:$B$675,"6333",Compta!$C$1:$C$675,$A7))</f>
        <v/>
      </c>
      <c r="AC7" t="str">
        <f t="shared" si="3"/>
        <v/>
      </c>
      <c r="AD7" t="str">
        <f t="shared" si="4"/>
        <v/>
      </c>
      <c r="AE7" t="str">
        <f t="shared" si="5"/>
        <v/>
      </c>
      <c r="AF7" t="str">
        <f t="shared" si="6"/>
        <v/>
      </c>
      <c r="AG7" t="str">
        <f t="shared" si="7"/>
        <v/>
      </c>
      <c r="AH7" t="str">
        <f t="shared" si="8"/>
        <v/>
      </c>
      <c r="AI7" t="str">
        <f t="shared" si="9"/>
        <v/>
      </c>
      <c r="AJ7" t="str">
        <f t="shared" si="10"/>
        <v/>
      </c>
      <c r="AK7" t="str">
        <f t="shared" si="11"/>
        <v/>
      </c>
      <c r="AL7" t="str">
        <f t="shared" si="12"/>
        <v/>
      </c>
      <c r="AM7" t="str">
        <f t="shared" si="13"/>
        <v/>
      </c>
      <c r="AN7" t="str">
        <f t="shared" si="14"/>
        <v/>
      </c>
      <c r="AO7" t="str">
        <f>IF($A7="","",SUMIFS(Compta!$F$1:$F$675,Compta!$A$1:$A$675,"GRP",Compta!$B$1:$B$675,"6236",Compta!$C$1:$C$675,$A7))</f>
        <v/>
      </c>
      <c r="AP7" t="str">
        <f t="shared" si="15"/>
        <v/>
      </c>
      <c r="AQ7" t="str">
        <f t="shared" si="16"/>
        <v/>
      </c>
      <c r="AR7" t="str">
        <f t="shared" si="17"/>
        <v/>
      </c>
    </row>
    <row r="8" spans="1:46" x14ac:dyDescent="0.45">
      <c r="A8" t="str">
        <f>IF(Allocation!C8="","",Allocation!C8)</f>
        <v/>
      </c>
      <c r="B8" t="str">
        <f>IF(Allocation!D8="","",Allocation!D8)</f>
        <v/>
      </c>
      <c r="C8" t="str">
        <f>IF(Allocation!E8="","",Allocation!E8)</f>
        <v/>
      </c>
      <c r="D8" t="str">
        <f>IF(Allocation!F8="","",Allocation!F8)</f>
        <v/>
      </c>
      <c r="E8" t="str">
        <f>IF(Allocation!G8="","",Allocation!G8)</f>
        <v/>
      </c>
      <c r="F8" t="str">
        <f>IF(Allocation!H8="","",Allocation!H8)</f>
        <v/>
      </c>
      <c r="G8" t="str">
        <f>IF(Allocation!D8="","",Allocation!I8)</f>
        <v/>
      </c>
      <c r="H8" t="str">
        <f>IF(Allocation!D8="","",Allocation!J8)</f>
        <v/>
      </c>
      <c r="I8" t="str">
        <f>IF(Allocation!D8="","",Allocation!K8)</f>
        <v/>
      </c>
      <c r="J8" t="str">
        <f>IF($A8="","",SUMIFS(Socle!$K$1:$K$1000,Socle!$C$1:$C$1000,$B8,Socle!$D$1:$D$1000,$D8,Socle!$E$1:$E$1000,$E8,Socle!$F$1:$F$1000,$F8,Socle!$G$1:$G$1000,$A8))</f>
        <v/>
      </c>
      <c r="K8" t="str">
        <f t="shared" si="0"/>
        <v/>
      </c>
      <c r="L8" t="str">
        <f>IF($A8="","",SUMIFS(Allocation!$I$1:$I$175,Allocation!$C$1:$C$175,$A8,Allocation!$D$1:$D$175,$B8))</f>
        <v/>
      </c>
      <c r="M8" t="str">
        <f>IF($A8="","",SUMIFS(Allocation!$J$1:$J$175,Allocation!$C$1:$C$175,$A8,Allocation!$D$1:$D$175,$B8))</f>
        <v/>
      </c>
      <c r="N8" t="str">
        <f>IF($A8="","",SUMIFS(Allocation!$K$1:$K$175,Allocation!$C$1:$C$175,$A8,Allocation!$D$1:$D$175,$B8))</f>
        <v/>
      </c>
      <c r="O8" t="str">
        <f t="shared" si="1"/>
        <v/>
      </c>
      <c r="P8" t="str">
        <f t="shared" si="2"/>
        <v/>
      </c>
      <c r="Q8" t="str">
        <f>IF($A8="","",SUMIFS(Allocation!$I$1:$I$175,Allocation!$C$1:$C$175,$A8,Allocation!$E$1:$E$175,$C8))</f>
        <v/>
      </c>
      <c r="R8" t="str">
        <f>IF($A8="","",SUMIFS(Allocation!$J$1:$J$175,Allocation!$C$1:$C$175,$A8,Allocation!$E$1:$E$175,$C8))</f>
        <v/>
      </c>
      <c r="S8" t="str">
        <f>IF($A8="","",SUMIFS(Allocation!$K$1:$K$175,Allocation!$C$1:$C$175,$A8,Allocation!$E$1:$E$175,$C8))</f>
        <v/>
      </c>
      <c r="T8" t="str">
        <f>IF($A8="","",SUMIFS(Allocation!$I$1:$I$175,Allocation!$C$1:$C$175,$A8))</f>
        <v/>
      </c>
      <c r="U8" t="str">
        <f>IF($A8="","",SUMIFS(Allocation!$J$1:$J$175,Allocation!$C$1:$C$175,$A8))</f>
        <v/>
      </c>
      <c r="V8" t="str">
        <f>IF($A8="","",SUMIFS(Allocation!$K$1:$K$175,Allocation!$C$1:$C$175,$A8))</f>
        <v/>
      </c>
      <c r="W8" t="str">
        <f>IF($A8="","",SUMIFS(Compta!$F$1:$F$675,Compta!$A$1:$A$675,$B8,Compta!$B$1:$B$675,"621",Compta!$C$1:$C$675,$A8))</f>
        <v/>
      </c>
      <c r="X8" t="str">
        <f>IF($A8="","",SUMIFS(Compta!$F$1:$F$675,Compta!$A$1:$A$675,$B8,Compta!$B$1:$B$675,"6411",Compta!$C$1:$C$675,$A8))</f>
        <v/>
      </c>
      <c r="Y8" t="str">
        <f>IF($A8="","",SUMIFS(Compta!$F$1:$F$675,Compta!$A$1:$A$675,$B8,Compta!$B$1:$B$675,"604",Compta!$C$1:$C$675,$A8)+SUMIFS(Compta!$F$1:$F$675,Compta!$A$1:$A$675,$B8,Compta!$B$1:$B$675,"6063",Compta!$C$1:$C$675,$A8))</f>
        <v/>
      </c>
      <c r="Z8" t="str">
        <f>IF($A8="","",SUMIFS(Compta!$F$1:$F$675,Compta!$A$1:$A$675,$B8,Compta!$B$1:$B$675,"6231",Compta!$C$1:$C$675,$A8))</f>
        <v/>
      </c>
      <c r="AA8" t="str">
        <f>IF($A8="","",SUMIFS(Compta!$F$1:$F$675,Compta!$A$1:$A$675,$B8,Compta!$B$1:$B$675,"6413",Compta!$C$1:$C$675,$A8)+SUMIFS(Compta!$F$1:$F$675,Compta!$A$1:$A$675,$B8,Compta!$B$1:$B$675,"645",Compta!$C$1:$C$675,$A8)+SUMIFS(Compta!$F$1:$F$675,Compta!$A$1:$A$675,$B8,Compta!$B$1:$B$675,"613",Compta!$C$1:$C$675,$A8)+SUMIFS(Compta!$F$1:$F$675,Compta!$A$1:$A$675,$B8,Compta!$B$1:$B$675,"615",Compta!$C$1:$C$675,$A8)+SUMIFS(Compta!$F$1:$F$675,Compta!$A$1:$A$675,$B8,Compta!$B$1:$B$675,"616",Compta!$C$1:$C$675,$A8)+SUMIFS(Compta!$F$1:$F$675,Compta!$A$1:$A$675,$B8,Compta!$B$1:$B$675,"625",Compta!$C$1:$C$675,$A8)+SUMIFS(Compta!$F$1:$F$675,Compta!$A$1:$A$675,$B8,Compta!$B$1:$B$675,"63511",Compta!$C$1:$C$675,$A8))</f>
        <v/>
      </c>
      <c r="AB8" t="str">
        <f>IF($A8="","",SUMIFS(Compta!$F$1:$F$675,Compta!$A$1:$A$675,"GRP",Compta!$B$1:$B$675,"6414",Compta!$C$1:$C$675,$A8)+SUMIFS(Compta!$F$1:$F$675,Compta!$A$1:$A$675,"GRP",Compta!$B$1:$B$675,"6226",Compta!$C$1:$C$675,$A8)+SUMIFS(Compta!$F$1:$F$675,Compta!$A$1:$A$675,"GRP",Compta!$B$1:$B$675,"626",Compta!$C$1:$C$675,$A8)+SUMIFS(Compta!$F$1:$F$675,Compta!$A$1:$A$675,"GRP",Compta!$B$1:$B$675,"6281",Compta!$C$1:$C$675,$A8)+SUMIFS(Compta!$F$1:$F$675,Compta!$A$1:$A$675,"GRP",Compta!$B$1:$B$675,"6331",Compta!$C$1:$C$675,$A8)+SUMIFS(Compta!$F$1:$F$675,Compta!$A$1:$A$675,"GRP",Compta!$B$1:$B$675,"6333",Compta!$C$1:$C$675,$A8))</f>
        <v/>
      </c>
      <c r="AC8" t="str">
        <f t="shared" si="3"/>
        <v/>
      </c>
      <c r="AD8" t="str">
        <f t="shared" si="4"/>
        <v/>
      </c>
      <c r="AE8" t="str">
        <f t="shared" si="5"/>
        <v/>
      </c>
      <c r="AF8" t="str">
        <f t="shared" si="6"/>
        <v/>
      </c>
      <c r="AG8" t="str">
        <f t="shared" si="7"/>
        <v/>
      </c>
      <c r="AH8" t="str">
        <f t="shared" si="8"/>
        <v/>
      </c>
      <c r="AI8" t="str">
        <f t="shared" si="9"/>
        <v/>
      </c>
      <c r="AJ8" t="str">
        <f t="shared" si="10"/>
        <v/>
      </c>
      <c r="AK8" t="str">
        <f t="shared" si="11"/>
        <v/>
      </c>
      <c r="AL8" t="str">
        <f t="shared" si="12"/>
        <v/>
      </c>
      <c r="AM8" t="str">
        <f t="shared" si="13"/>
        <v/>
      </c>
      <c r="AN8" t="str">
        <f t="shared" si="14"/>
        <v/>
      </c>
      <c r="AO8" t="str">
        <f>IF($A8="","",SUMIFS(Compta!$F$1:$F$675,Compta!$A$1:$A$675,"GRP",Compta!$B$1:$B$675,"6236",Compta!$C$1:$C$675,$A8))</f>
        <v/>
      </c>
      <c r="AP8" t="str">
        <f t="shared" si="15"/>
        <v/>
      </c>
      <c r="AQ8" t="str">
        <f t="shared" si="16"/>
        <v/>
      </c>
      <c r="AR8" t="str">
        <f t="shared" si="17"/>
        <v/>
      </c>
    </row>
    <row r="9" spans="1:46" x14ac:dyDescent="0.45">
      <c r="A9" t="str">
        <f>IF(Allocation!C9="","",Allocation!C9)</f>
        <v/>
      </c>
      <c r="B9" t="str">
        <f>IF(Allocation!D9="","",Allocation!D9)</f>
        <v/>
      </c>
      <c r="C9" t="str">
        <f>IF(Allocation!E9="","",Allocation!E9)</f>
        <v/>
      </c>
      <c r="D9" t="str">
        <f>IF(Allocation!F9="","",Allocation!F9)</f>
        <v/>
      </c>
      <c r="E9" t="str">
        <f>IF(Allocation!G9="","",Allocation!G9)</f>
        <v/>
      </c>
      <c r="F9" t="str">
        <f>IF(Allocation!H9="","",Allocation!H9)</f>
        <v/>
      </c>
      <c r="G9" t="str">
        <f>IF(Allocation!D9="","",Allocation!I9)</f>
        <v/>
      </c>
      <c r="H9" t="str">
        <f>IF(Allocation!D9="","",Allocation!J9)</f>
        <v/>
      </c>
      <c r="I9" t="str">
        <f>IF(Allocation!D9="","",Allocation!K9)</f>
        <v/>
      </c>
      <c r="J9" t="str">
        <f>IF($A9="","",SUMIFS(Socle!$K$1:$K$1000,Socle!$C$1:$C$1000,$B9,Socle!$D$1:$D$1000,$D9,Socle!$E$1:$E$1000,$E9,Socle!$F$1:$F$1000,$F9,Socle!$G$1:$G$1000,$A9))</f>
        <v/>
      </c>
      <c r="K9" t="str">
        <f t="shared" si="0"/>
        <v/>
      </c>
      <c r="L9" t="str">
        <f>IF($A9="","",SUMIFS(Allocation!$I$1:$I$175,Allocation!$C$1:$C$175,$A9,Allocation!$D$1:$D$175,$B9))</f>
        <v/>
      </c>
      <c r="M9" t="str">
        <f>IF($A9="","",SUMIFS(Allocation!$J$1:$J$175,Allocation!$C$1:$C$175,$A9,Allocation!$D$1:$D$175,$B9))</f>
        <v/>
      </c>
      <c r="N9" t="str">
        <f>IF($A9="","",SUMIFS(Allocation!$K$1:$K$175,Allocation!$C$1:$C$175,$A9,Allocation!$D$1:$D$175,$B9))</f>
        <v/>
      </c>
      <c r="O9" t="str">
        <f t="shared" si="1"/>
        <v/>
      </c>
      <c r="P9" t="str">
        <f t="shared" si="2"/>
        <v/>
      </c>
      <c r="Q9" t="str">
        <f>IF($A9="","",SUMIFS(Allocation!$I$1:$I$175,Allocation!$C$1:$C$175,$A9,Allocation!$E$1:$E$175,$C9))</f>
        <v/>
      </c>
      <c r="R9" t="str">
        <f>IF($A9="","",SUMIFS(Allocation!$J$1:$J$175,Allocation!$C$1:$C$175,$A9,Allocation!$E$1:$E$175,$C9))</f>
        <v/>
      </c>
      <c r="S9" t="str">
        <f>IF($A9="","",SUMIFS(Allocation!$K$1:$K$175,Allocation!$C$1:$C$175,$A9,Allocation!$E$1:$E$175,$C9))</f>
        <v/>
      </c>
      <c r="T9" t="str">
        <f>IF($A9="","",SUMIFS(Allocation!$I$1:$I$175,Allocation!$C$1:$C$175,$A9))</f>
        <v/>
      </c>
      <c r="U9" t="str">
        <f>IF($A9="","",SUMIFS(Allocation!$J$1:$J$175,Allocation!$C$1:$C$175,$A9))</f>
        <v/>
      </c>
      <c r="V9" t="str">
        <f>IF($A9="","",SUMIFS(Allocation!$K$1:$K$175,Allocation!$C$1:$C$175,$A9))</f>
        <v/>
      </c>
      <c r="W9" t="str">
        <f>IF($A9="","",SUMIFS(Compta!$F$1:$F$675,Compta!$A$1:$A$675,$B9,Compta!$B$1:$B$675,"621",Compta!$C$1:$C$675,$A9))</f>
        <v/>
      </c>
      <c r="X9" t="str">
        <f>IF($A9="","",SUMIFS(Compta!$F$1:$F$675,Compta!$A$1:$A$675,$B9,Compta!$B$1:$B$675,"6411",Compta!$C$1:$C$675,$A9))</f>
        <v/>
      </c>
      <c r="Y9" t="str">
        <f>IF($A9="","",SUMIFS(Compta!$F$1:$F$675,Compta!$A$1:$A$675,$B9,Compta!$B$1:$B$675,"604",Compta!$C$1:$C$675,$A9)+SUMIFS(Compta!$F$1:$F$675,Compta!$A$1:$A$675,$B9,Compta!$B$1:$B$675,"6063",Compta!$C$1:$C$675,$A9))</f>
        <v/>
      </c>
      <c r="Z9" t="str">
        <f>IF($A9="","",SUMIFS(Compta!$F$1:$F$675,Compta!$A$1:$A$675,$B9,Compta!$B$1:$B$675,"6231",Compta!$C$1:$C$675,$A9))</f>
        <v/>
      </c>
      <c r="AA9" t="str">
        <f>IF($A9="","",SUMIFS(Compta!$F$1:$F$675,Compta!$A$1:$A$675,$B9,Compta!$B$1:$B$675,"6413",Compta!$C$1:$C$675,$A9)+SUMIFS(Compta!$F$1:$F$675,Compta!$A$1:$A$675,$B9,Compta!$B$1:$B$675,"645",Compta!$C$1:$C$675,$A9)+SUMIFS(Compta!$F$1:$F$675,Compta!$A$1:$A$675,$B9,Compta!$B$1:$B$675,"613",Compta!$C$1:$C$675,$A9)+SUMIFS(Compta!$F$1:$F$675,Compta!$A$1:$A$675,$B9,Compta!$B$1:$B$675,"615",Compta!$C$1:$C$675,$A9)+SUMIFS(Compta!$F$1:$F$675,Compta!$A$1:$A$675,$B9,Compta!$B$1:$B$675,"616",Compta!$C$1:$C$675,$A9)+SUMIFS(Compta!$F$1:$F$675,Compta!$A$1:$A$675,$B9,Compta!$B$1:$B$675,"625",Compta!$C$1:$C$675,$A9)+SUMIFS(Compta!$F$1:$F$675,Compta!$A$1:$A$675,$B9,Compta!$B$1:$B$675,"63511",Compta!$C$1:$C$675,$A9))</f>
        <v/>
      </c>
      <c r="AB9" t="str">
        <f>IF($A9="","",SUMIFS(Compta!$F$1:$F$675,Compta!$A$1:$A$675,"GRP",Compta!$B$1:$B$675,"6414",Compta!$C$1:$C$675,$A9)+SUMIFS(Compta!$F$1:$F$675,Compta!$A$1:$A$675,"GRP",Compta!$B$1:$B$675,"6226",Compta!$C$1:$C$675,$A9)+SUMIFS(Compta!$F$1:$F$675,Compta!$A$1:$A$675,"GRP",Compta!$B$1:$B$675,"626",Compta!$C$1:$C$675,$A9)+SUMIFS(Compta!$F$1:$F$675,Compta!$A$1:$A$675,"GRP",Compta!$B$1:$B$675,"6281",Compta!$C$1:$C$675,$A9)+SUMIFS(Compta!$F$1:$F$675,Compta!$A$1:$A$675,"GRP",Compta!$B$1:$B$675,"6331",Compta!$C$1:$C$675,$A9)+SUMIFS(Compta!$F$1:$F$675,Compta!$A$1:$A$675,"GRP",Compta!$B$1:$B$675,"6333",Compta!$C$1:$C$675,$A9))</f>
        <v/>
      </c>
      <c r="AC9" t="str">
        <f t="shared" si="3"/>
        <v/>
      </c>
      <c r="AD9" t="str">
        <f t="shared" si="4"/>
        <v/>
      </c>
      <c r="AE9" t="str">
        <f t="shared" si="5"/>
        <v/>
      </c>
      <c r="AF9" t="str">
        <f t="shared" si="6"/>
        <v/>
      </c>
      <c r="AG9" t="str">
        <f t="shared" si="7"/>
        <v/>
      </c>
      <c r="AH9" t="str">
        <f t="shared" si="8"/>
        <v/>
      </c>
      <c r="AI9" t="str">
        <f t="shared" si="9"/>
        <v/>
      </c>
      <c r="AJ9" t="str">
        <f t="shared" si="10"/>
        <v/>
      </c>
      <c r="AK9" t="str">
        <f t="shared" si="11"/>
        <v/>
      </c>
      <c r="AL9" t="str">
        <f t="shared" si="12"/>
        <v/>
      </c>
      <c r="AM9" t="str">
        <f t="shared" si="13"/>
        <v/>
      </c>
      <c r="AN9" t="str">
        <f t="shared" si="14"/>
        <v/>
      </c>
      <c r="AO9" t="str">
        <f>IF($A9="","",SUMIFS(Compta!$F$1:$F$675,Compta!$A$1:$A$675,"GRP",Compta!$B$1:$B$675,"6236",Compta!$C$1:$C$675,$A9))</f>
        <v/>
      </c>
      <c r="AP9" t="str">
        <f t="shared" si="15"/>
        <v/>
      </c>
      <c r="AQ9" t="str">
        <f t="shared" si="16"/>
        <v/>
      </c>
      <c r="AR9" t="str">
        <f t="shared" si="17"/>
        <v/>
      </c>
    </row>
    <row r="10" spans="1:46" x14ac:dyDescent="0.45">
      <c r="A10" t="str">
        <f>IF(Allocation!C10="","",Allocation!C10)</f>
        <v/>
      </c>
      <c r="B10" t="str">
        <f>IF(Allocation!D10="","",Allocation!D10)</f>
        <v/>
      </c>
      <c r="C10" t="str">
        <f>IF(Allocation!E10="","",Allocation!E10)</f>
        <v/>
      </c>
      <c r="D10" t="str">
        <f>IF(Allocation!F10="","",Allocation!F10)</f>
        <v/>
      </c>
      <c r="E10" t="str">
        <f>IF(Allocation!G10="","",Allocation!G10)</f>
        <v/>
      </c>
      <c r="F10" t="str">
        <f>IF(Allocation!H10="","",Allocation!H10)</f>
        <v/>
      </c>
      <c r="G10" t="str">
        <f>IF(Allocation!D10="","",Allocation!I10)</f>
        <v/>
      </c>
      <c r="H10" t="str">
        <f>IF(Allocation!D10="","",Allocation!J10)</f>
        <v/>
      </c>
      <c r="I10" t="str">
        <f>IF(Allocation!D10="","",Allocation!K10)</f>
        <v/>
      </c>
      <c r="J10" t="str">
        <f>IF($A10="","",SUMIFS(Socle!$K$1:$K$1000,Socle!$C$1:$C$1000,$B10,Socle!$D$1:$D$1000,$D10,Socle!$E$1:$E$1000,$E10,Socle!$F$1:$F$1000,$F10,Socle!$G$1:$G$1000,$A10))</f>
        <v/>
      </c>
      <c r="K10" t="str">
        <f t="shared" si="0"/>
        <v/>
      </c>
      <c r="L10" t="str">
        <f>IF($A10="","",SUMIFS(Allocation!$I$1:$I$175,Allocation!$C$1:$C$175,$A10,Allocation!$D$1:$D$175,$B10))</f>
        <v/>
      </c>
      <c r="M10" t="str">
        <f>IF($A10="","",SUMIFS(Allocation!$J$1:$J$175,Allocation!$C$1:$C$175,$A10,Allocation!$D$1:$D$175,$B10))</f>
        <v/>
      </c>
      <c r="N10" t="str">
        <f>IF($A10="","",SUMIFS(Allocation!$K$1:$K$175,Allocation!$C$1:$C$175,$A10,Allocation!$D$1:$D$175,$B10))</f>
        <v/>
      </c>
      <c r="O10" t="str">
        <f t="shared" si="1"/>
        <v/>
      </c>
      <c r="P10" t="str">
        <f t="shared" si="2"/>
        <v/>
      </c>
      <c r="Q10" t="str">
        <f>IF($A10="","",SUMIFS(Allocation!$I$1:$I$175,Allocation!$C$1:$C$175,$A10,Allocation!$E$1:$E$175,$C10))</f>
        <v/>
      </c>
      <c r="R10" t="str">
        <f>IF($A10="","",SUMIFS(Allocation!$J$1:$J$175,Allocation!$C$1:$C$175,$A10,Allocation!$E$1:$E$175,$C10))</f>
        <v/>
      </c>
      <c r="S10" t="str">
        <f>IF($A10="","",SUMIFS(Allocation!$K$1:$K$175,Allocation!$C$1:$C$175,$A10,Allocation!$E$1:$E$175,$C10))</f>
        <v/>
      </c>
      <c r="T10" t="str">
        <f>IF($A10="","",SUMIFS(Allocation!$I$1:$I$175,Allocation!$C$1:$C$175,$A10))</f>
        <v/>
      </c>
      <c r="U10" t="str">
        <f>IF($A10="","",SUMIFS(Allocation!$J$1:$J$175,Allocation!$C$1:$C$175,$A10))</f>
        <v/>
      </c>
      <c r="V10" t="str">
        <f>IF($A10="","",SUMIFS(Allocation!$K$1:$K$175,Allocation!$C$1:$C$175,$A10))</f>
        <v/>
      </c>
      <c r="W10" t="str">
        <f>IF($A10="","",SUMIFS(Compta!$F$1:$F$675,Compta!$A$1:$A$675,$B10,Compta!$B$1:$B$675,"621",Compta!$C$1:$C$675,$A10))</f>
        <v/>
      </c>
      <c r="X10" t="str">
        <f>IF($A10="","",SUMIFS(Compta!$F$1:$F$675,Compta!$A$1:$A$675,$B10,Compta!$B$1:$B$675,"6411",Compta!$C$1:$C$675,$A10))</f>
        <v/>
      </c>
      <c r="Y10" t="str">
        <f>IF($A10="","",SUMIFS(Compta!$F$1:$F$675,Compta!$A$1:$A$675,$B10,Compta!$B$1:$B$675,"604",Compta!$C$1:$C$675,$A10)+SUMIFS(Compta!$F$1:$F$675,Compta!$A$1:$A$675,$B10,Compta!$B$1:$B$675,"6063",Compta!$C$1:$C$675,$A10))</f>
        <v/>
      </c>
      <c r="Z10" t="str">
        <f>IF($A10="","",SUMIFS(Compta!$F$1:$F$675,Compta!$A$1:$A$675,$B10,Compta!$B$1:$B$675,"6231",Compta!$C$1:$C$675,$A10))</f>
        <v/>
      </c>
      <c r="AA10" t="str">
        <f>IF($A10="","",SUMIFS(Compta!$F$1:$F$675,Compta!$A$1:$A$675,$B10,Compta!$B$1:$B$675,"6413",Compta!$C$1:$C$675,$A10)+SUMIFS(Compta!$F$1:$F$675,Compta!$A$1:$A$675,$B10,Compta!$B$1:$B$675,"645",Compta!$C$1:$C$675,$A10)+SUMIFS(Compta!$F$1:$F$675,Compta!$A$1:$A$675,$B10,Compta!$B$1:$B$675,"613",Compta!$C$1:$C$675,$A10)+SUMIFS(Compta!$F$1:$F$675,Compta!$A$1:$A$675,$B10,Compta!$B$1:$B$675,"615",Compta!$C$1:$C$675,$A10)+SUMIFS(Compta!$F$1:$F$675,Compta!$A$1:$A$675,$B10,Compta!$B$1:$B$675,"616",Compta!$C$1:$C$675,$A10)+SUMIFS(Compta!$F$1:$F$675,Compta!$A$1:$A$675,$B10,Compta!$B$1:$B$675,"625",Compta!$C$1:$C$675,$A10)+SUMIFS(Compta!$F$1:$F$675,Compta!$A$1:$A$675,$B10,Compta!$B$1:$B$675,"63511",Compta!$C$1:$C$675,$A10))</f>
        <v/>
      </c>
      <c r="AB10" t="str">
        <f>IF($A10="","",SUMIFS(Compta!$F$1:$F$675,Compta!$A$1:$A$675,"GRP",Compta!$B$1:$B$675,"6414",Compta!$C$1:$C$675,$A10)+SUMIFS(Compta!$F$1:$F$675,Compta!$A$1:$A$675,"GRP",Compta!$B$1:$B$675,"6226",Compta!$C$1:$C$675,$A10)+SUMIFS(Compta!$F$1:$F$675,Compta!$A$1:$A$675,"GRP",Compta!$B$1:$B$675,"626",Compta!$C$1:$C$675,$A10)+SUMIFS(Compta!$F$1:$F$675,Compta!$A$1:$A$675,"GRP",Compta!$B$1:$B$675,"6281",Compta!$C$1:$C$675,$A10)+SUMIFS(Compta!$F$1:$F$675,Compta!$A$1:$A$675,"GRP",Compta!$B$1:$B$675,"6331",Compta!$C$1:$C$675,$A10)+SUMIFS(Compta!$F$1:$F$675,Compta!$A$1:$A$675,"GRP",Compta!$B$1:$B$675,"6333",Compta!$C$1:$C$675,$A10))</f>
        <v/>
      </c>
      <c r="AC10" t="str">
        <f t="shared" si="3"/>
        <v/>
      </c>
      <c r="AD10" t="str">
        <f t="shared" si="4"/>
        <v/>
      </c>
      <c r="AE10" t="str">
        <f t="shared" si="5"/>
        <v/>
      </c>
      <c r="AF10" t="str">
        <f t="shared" si="6"/>
        <v/>
      </c>
      <c r="AG10" t="str">
        <f t="shared" si="7"/>
        <v/>
      </c>
      <c r="AH10" t="str">
        <f t="shared" si="8"/>
        <v/>
      </c>
      <c r="AI10" t="str">
        <f t="shared" si="9"/>
        <v/>
      </c>
      <c r="AJ10" t="str">
        <f t="shared" si="10"/>
        <v/>
      </c>
      <c r="AK10" t="str">
        <f t="shared" si="11"/>
        <v/>
      </c>
      <c r="AL10" t="str">
        <f t="shared" si="12"/>
        <v/>
      </c>
      <c r="AM10" t="str">
        <f t="shared" si="13"/>
        <v/>
      </c>
      <c r="AN10" t="str">
        <f t="shared" si="14"/>
        <v/>
      </c>
      <c r="AO10" t="str">
        <f>IF($A10="","",SUMIFS(Compta!$F$1:$F$675,Compta!$A$1:$A$675,"GRP",Compta!$B$1:$B$675,"6236",Compta!$C$1:$C$675,$A10))</f>
        <v/>
      </c>
      <c r="AP10" t="str">
        <f t="shared" si="15"/>
        <v/>
      </c>
      <c r="AQ10" t="str">
        <f t="shared" si="16"/>
        <v/>
      </c>
      <c r="AR10" t="str">
        <f t="shared" si="17"/>
        <v/>
      </c>
    </row>
    <row r="11" spans="1:46" x14ac:dyDescent="0.45">
      <c r="A11" t="str">
        <f>IF(Allocation!C11="","",Allocation!C11)</f>
        <v/>
      </c>
      <c r="B11" t="str">
        <f>IF(Allocation!D11="","",Allocation!D11)</f>
        <v/>
      </c>
      <c r="C11" t="str">
        <f>IF(Allocation!E11="","",Allocation!E11)</f>
        <v/>
      </c>
      <c r="D11" t="str">
        <f>IF(Allocation!F11="","",Allocation!F11)</f>
        <v/>
      </c>
      <c r="E11" t="str">
        <f>IF(Allocation!G11="","",Allocation!G11)</f>
        <v/>
      </c>
      <c r="F11" t="str">
        <f>IF(Allocation!H11="","",Allocation!H11)</f>
        <v/>
      </c>
      <c r="G11" t="str">
        <f>IF(Allocation!D11="","",Allocation!I11)</f>
        <v/>
      </c>
      <c r="H11" t="str">
        <f>IF(Allocation!D11="","",Allocation!J11)</f>
        <v/>
      </c>
      <c r="I11" t="str">
        <f>IF(Allocation!D11="","",Allocation!K11)</f>
        <v/>
      </c>
      <c r="J11" t="str">
        <f>IF($A11="","",SUMIFS(Socle!$K$1:$K$1000,Socle!$C$1:$C$1000,$B11,Socle!$D$1:$D$1000,$D11,Socle!$E$1:$E$1000,$E11,Socle!$F$1:$F$1000,$F11,Socle!$G$1:$G$1000,$A11))</f>
        <v/>
      </c>
      <c r="K11" t="str">
        <f t="shared" si="0"/>
        <v/>
      </c>
      <c r="L11" t="str">
        <f>IF($A11="","",SUMIFS(Allocation!$I$1:$I$175,Allocation!$C$1:$C$175,$A11,Allocation!$D$1:$D$175,$B11))</f>
        <v/>
      </c>
      <c r="M11" t="str">
        <f>IF($A11="","",SUMIFS(Allocation!$J$1:$J$175,Allocation!$C$1:$C$175,$A11,Allocation!$D$1:$D$175,$B11))</f>
        <v/>
      </c>
      <c r="N11" t="str">
        <f>IF($A11="","",SUMIFS(Allocation!$K$1:$K$175,Allocation!$C$1:$C$175,$A11,Allocation!$D$1:$D$175,$B11))</f>
        <v/>
      </c>
      <c r="O11" t="str">
        <f t="shared" si="1"/>
        <v/>
      </c>
      <c r="P11" t="str">
        <f t="shared" si="2"/>
        <v/>
      </c>
      <c r="Q11" t="str">
        <f>IF($A11="","",SUMIFS(Allocation!$I$1:$I$175,Allocation!$C$1:$C$175,$A11,Allocation!$E$1:$E$175,$C11))</f>
        <v/>
      </c>
      <c r="R11" t="str">
        <f>IF($A11="","",SUMIFS(Allocation!$J$1:$J$175,Allocation!$C$1:$C$175,$A11,Allocation!$E$1:$E$175,$C11))</f>
        <v/>
      </c>
      <c r="S11" t="str">
        <f>IF($A11="","",SUMIFS(Allocation!$K$1:$K$175,Allocation!$C$1:$C$175,$A11,Allocation!$E$1:$E$175,$C11))</f>
        <v/>
      </c>
      <c r="T11" t="str">
        <f>IF($A11="","",SUMIFS(Allocation!$I$1:$I$175,Allocation!$C$1:$C$175,$A11))</f>
        <v/>
      </c>
      <c r="U11" t="str">
        <f>IF($A11="","",SUMIFS(Allocation!$J$1:$J$175,Allocation!$C$1:$C$175,$A11))</f>
        <v/>
      </c>
      <c r="V11" t="str">
        <f>IF($A11="","",SUMIFS(Allocation!$K$1:$K$175,Allocation!$C$1:$C$175,$A11))</f>
        <v/>
      </c>
      <c r="W11" t="str">
        <f>IF($A11="","",SUMIFS(Compta!$F$1:$F$675,Compta!$A$1:$A$675,$B11,Compta!$B$1:$B$675,"621",Compta!$C$1:$C$675,$A11))</f>
        <v/>
      </c>
      <c r="X11" t="str">
        <f>IF($A11="","",SUMIFS(Compta!$F$1:$F$675,Compta!$A$1:$A$675,$B11,Compta!$B$1:$B$675,"6411",Compta!$C$1:$C$675,$A11))</f>
        <v/>
      </c>
      <c r="Y11" t="str">
        <f>IF($A11="","",SUMIFS(Compta!$F$1:$F$675,Compta!$A$1:$A$675,$B11,Compta!$B$1:$B$675,"604",Compta!$C$1:$C$675,$A11)+SUMIFS(Compta!$F$1:$F$675,Compta!$A$1:$A$675,$B11,Compta!$B$1:$B$675,"6063",Compta!$C$1:$C$675,$A11))</f>
        <v/>
      </c>
      <c r="Z11" t="str">
        <f>IF($A11="","",SUMIFS(Compta!$F$1:$F$675,Compta!$A$1:$A$675,$B11,Compta!$B$1:$B$675,"6231",Compta!$C$1:$C$675,$A11))</f>
        <v/>
      </c>
      <c r="AA11" t="str">
        <f>IF($A11="","",SUMIFS(Compta!$F$1:$F$675,Compta!$A$1:$A$675,$B11,Compta!$B$1:$B$675,"6413",Compta!$C$1:$C$675,$A11)+SUMIFS(Compta!$F$1:$F$675,Compta!$A$1:$A$675,$B11,Compta!$B$1:$B$675,"645",Compta!$C$1:$C$675,$A11)+SUMIFS(Compta!$F$1:$F$675,Compta!$A$1:$A$675,$B11,Compta!$B$1:$B$675,"613",Compta!$C$1:$C$675,$A11)+SUMIFS(Compta!$F$1:$F$675,Compta!$A$1:$A$675,$B11,Compta!$B$1:$B$675,"615",Compta!$C$1:$C$675,$A11)+SUMIFS(Compta!$F$1:$F$675,Compta!$A$1:$A$675,$B11,Compta!$B$1:$B$675,"616",Compta!$C$1:$C$675,$A11)+SUMIFS(Compta!$F$1:$F$675,Compta!$A$1:$A$675,$B11,Compta!$B$1:$B$675,"625",Compta!$C$1:$C$675,$A11)+SUMIFS(Compta!$F$1:$F$675,Compta!$A$1:$A$675,$B11,Compta!$B$1:$B$675,"63511",Compta!$C$1:$C$675,$A11))</f>
        <v/>
      </c>
      <c r="AB11" t="str">
        <f>IF($A11="","",SUMIFS(Compta!$F$1:$F$675,Compta!$A$1:$A$675,"GRP",Compta!$B$1:$B$675,"6414",Compta!$C$1:$C$675,$A11)+SUMIFS(Compta!$F$1:$F$675,Compta!$A$1:$A$675,"GRP",Compta!$B$1:$B$675,"6226",Compta!$C$1:$C$675,$A11)+SUMIFS(Compta!$F$1:$F$675,Compta!$A$1:$A$675,"GRP",Compta!$B$1:$B$675,"626",Compta!$C$1:$C$675,$A11)+SUMIFS(Compta!$F$1:$F$675,Compta!$A$1:$A$675,"GRP",Compta!$B$1:$B$675,"6281",Compta!$C$1:$C$675,$A11)+SUMIFS(Compta!$F$1:$F$675,Compta!$A$1:$A$675,"GRP",Compta!$B$1:$B$675,"6331",Compta!$C$1:$C$675,$A11)+SUMIFS(Compta!$F$1:$F$675,Compta!$A$1:$A$675,"GRP",Compta!$B$1:$B$675,"6333",Compta!$C$1:$C$675,$A11))</f>
        <v/>
      </c>
      <c r="AC11" t="str">
        <f t="shared" si="3"/>
        <v/>
      </c>
      <c r="AD11" t="str">
        <f t="shared" si="4"/>
        <v/>
      </c>
      <c r="AE11" t="str">
        <f t="shared" si="5"/>
        <v/>
      </c>
      <c r="AF11" t="str">
        <f t="shared" si="6"/>
        <v/>
      </c>
      <c r="AG11" t="str">
        <f t="shared" si="7"/>
        <v/>
      </c>
      <c r="AH11" t="str">
        <f t="shared" si="8"/>
        <v/>
      </c>
      <c r="AI11" t="str">
        <f t="shared" si="9"/>
        <v/>
      </c>
      <c r="AJ11" t="str">
        <f t="shared" si="10"/>
        <v/>
      </c>
      <c r="AK11" t="str">
        <f t="shared" si="11"/>
        <v/>
      </c>
      <c r="AL11" t="str">
        <f t="shared" si="12"/>
        <v/>
      </c>
      <c r="AM11" t="str">
        <f t="shared" si="13"/>
        <v/>
      </c>
      <c r="AN11" t="str">
        <f t="shared" si="14"/>
        <v/>
      </c>
      <c r="AO11" t="str">
        <f>IF($A11="","",SUMIFS(Compta!$F$1:$F$675,Compta!$A$1:$A$675,"GRP",Compta!$B$1:$B$675,"6236",Compta!$C$1:$C$675,$A11))</f>
        <v/>
      </c>
      <c r="AP11" t="str">
        <f t="shared" si="15"/>
        <v/>
      </c>
      <c r="AQ11" t="str">
        <f t="shared" si="16"/>
        <v/>
      </c>
      <c r="AR11" t="str">
        <f t="shared" si="17"/>
        <v/>
      </c>
    </row>
    <row r="12" spans="1:46" x14ac:dyDescent="0.45">
      <c r="A12" t="str">
        <f>IF(Allocation!C12="","",Allocation!C12)</f>
        <v/>
      </c>
      <c r="B12" t="str">
        <f>IF(Allocation!D12="","",Allocation!D12)</f>
        <v/>
      </c>
      <c r="C12" t="str">
        <f>IF(Allocation!E12="","",Allocation!E12)</f>
        <v/>
      </c>
      <c r="D12" t="str">
        <f>IF(Allocation!F12="","",Allocation!F12)</f>
        <v/>
      </c>
      <c r="E12" t="str">
        <f>IF(Allocation!G12="","",Allocation!G12)</f>
        <v/>
      </c>
      <c r="F12" t="str">
        <f>IF(Allocation!H12="","",Allocation!H12)</f>
        <v/>
      </c>
      <c r="G12" t="str">
        <f>IF(Allocation!D12="","",Allocation!I12)</f>
        <v/>
      </c>
      <c r="H12" t="str">
        <f>IF(Allocation!D12="","",Allocation!J12)</f>
        <v/>
      </c>
      <c r="I12" t="str">
        <f>IF(Allocation!D12="","",Allocation!K12)</f>
        <v/>
      </c>
      <c r="J12" t="str">
        <f>IF($A12="","",SUMIFS(Socle!$K$1:$K$1000,Socle!$C$1:$C$1000,$B12,Socle!$D$1:$D$1000,$D12,Socle!$E$1:$E$1000,$E12,Socle!$F$1:$F$1000,$F12,Socle!$G$1:$G$1000,$A12))</f>
        <v/>
      </c>
      <c r="K12" t="str">
        <f t="shared" si="0"/>
        <v/>
      </c>
      <c r="L12" t="str">
        <f>IF($A12="","",SUMIFS(Allocation!$I$1:$I$175,Allocation!$C$1:$C$175,$A12,Allocation!$D$1:$D$175,$B12))</f>
        <v/>
      </c>
      <c r="M12" t="str">
        <f>IF($A12="","",SUMIFS(Allocation!$J$1:$J$175,Allocation!$C$1:$C$175,$A12,Allocation!$D$1:$D$175,$B12))</f>
        <v/>
      </c>
      <c r="N12" t="str">
        <f>IF($A12="","",SUMIFS(Allocation!$K$1:$K$175,Allocation!$C$1:$C$175,$A12,Allocation!$D$1:$D$175,$B12))</f>
        <v/>
      </c>
      <c r="O12" t="str">
        <f t="shared" si="1"/>
        <v/>
      </c>
      <c r="P12" t="str">
        <f t="shared" si="2"/>
        <v/>
      </c>
      <c r="Q12" t="str">
        <f>IF($A12="","",SUMIFS(Allocation!$I$1:$I$175,Allocation!$C$1:$C$175,$A12,Allocation!$E$1:$E$175,$C12))</f>
        <v/>
      </c>
      <c r="R12" t="str">
        <f>IF($A12="","",SUMIFS(Allocation!$J$1:$J$175,Allocation!$C$1:$C$175,$A12,Allocation!$E$1:$E$175,$C12))</f>
        <v/>
      </c>
      <c r="S12" t="str">
        <f>IF($A12="","",SUMIFS(Allocation!$K$1:$K$175,Allocation!$C$1:$C$175,$A12,Allocation!$E$1:$E$175,$C12))</f>
        <v/>
      </c>
      <c r="T12" t="str">
        <f>IF($A12="","",SUMIFS(Allocation!$I$1:$I$175,Allocation!$C$1:$C$175,$A12))</f>
        <v/>
      </c>
      <c r="U12" t="str">
        <f>IF($A12="","",SUMIFS(Allocation!$J$1:$J$175,Allocation!$C$1:$C$175,$A12))</f>
        <v/>
      </c>
      <c r="V12" t="str">
        <f>IF($A12="","",SUMIFS(Allocation!$K$1:$K$175,Allocation!$C$1:$C$175,$A12))</f>
        <v/>
      </c>
      <c r="W12" t="str">
        <f>IF($A12="","",SUMIFS(Compta!$F$1:$F$675,Compta!$A$1:$A$675,$B12,Compta!$B$1:$B$675,"621",Compta!$C$1:$C$675,$A12))</f>
        <v/>
      </c>
      <c r="X12" t="str">
        <f>IF($A12="","",SUMIFS(Compta!$F$1:$F$675,Compta!$A$1:$A$675,$B12,Compta!$B$1:$B$675,"6411",Compta!$C$1:$C$675,$A12))</f>
        <v/>
      </c>
      <c r="Y12" t="str">
        <f>IF($A12="","",SUMIFS(Compta!$F$1:$F$675,Compta!$A$1:$A$675,$B12,Compta!$B$1:$B$675,"604",Compta!$C$1:$C$675,$A12)+SUMIFS(Compta!$F$1:$F$675,Compta!$A$1:$A$675,$B12,Compta!$B$1:$B$675,"6063",Compta!$C$1:$C$675,$A12))</f>
        <v/>
      </c>
      <c r="Z12" t="str">
        <f>IF($A12="","",SUMIFS(Compta!$F$1:$F$675,Compta!$A$1:$A$675,$B12,Compta!$B$1:$B$675,"6231",Compta!$C$1:$C$675,$A12))</f>
        <v/>
      </c>
      <c r="AA12" t="str">
        <f>IF($A12="","",SUMIFS(Compta!$F$1:$F$675,Compta!$A$1:$A$675,$B12,Compta!$B$1:$B$675,"6413",Compta!$C$1:$C$675,$A12)+SUMIFS(Compta!$F$1:$F$675,Compta!$A$1:$A$675,$B12,Compta!$B$1:$B$675,"645",Compta!$C$1:$C$675,$A12)+SUMIFS(Compta!$F$1:$F$675,Compta!$A$1:$A$675,$B12,Compta!$B$1:$B$675,"613",Compta!$C$1:$C$675,$A12)+SUMIFS(Compta!$F$1:$F$675,Compta!$A$1:$A$675,$B12,Compta!$B$1:$B$675,"615",Compta!$C$1:$C$675,$A12)+SUMIFS(Compta!$F$1:$F$675,Compta!$A$1:$A$675,$B12,Compta!$B$1:$B$675,"616",Compta!$C$1:$C$675,$A12)+SUMIFS(Compta!$F$1:$F$675,Compta!$A$1:$A$675,$B12,Compta!$B$1:$B$675,"625",Compta!$C$1:$C$675,$A12)+SUMIFS(Compta!$F$1:$F$675,Compta!$A$1:$A$675,$B12,Compta!$B$1:$B$675,"63511",Compta!$C$1:$C$675,$A12))</f>
        <v/>
      </c>
      <c r="AB12" t="str">
        <f>IF($A12="","",SUMIFS(Compta!$F$1:$F$675,Compta!$A$1:$A$675,"GRP",Compta!$B$1:$B$675,"6414",Compta!$C$1:$C$675,$A12)+SUMIFS(Compta!$F$1:$F$675,Compta!$A$1:$A$675,"GRP",Compta!$B$1:$B$675,"6226",Compta!$C$1:$C$675,$A12)+SUMIFS(Compta!$F$1:$F$675,Compta!$A$1:$A$675,"GRP",Compta!$B$1:$B$675,"626",Compta!$C$1:$C$675,$A12)+SUMIFS(Compta!$F$1:$F$675,Compta!$A$1:$A$675,"GRP",Compta!$B$1:$B$675,"6281",Compta!$C$1:$C$675,$A12)+SUMIFS(Compta!$F$1:$F$675,Compta!$A$1:$A$675,"GRP",Compta!$B$1:$B$675,"6331",Compta!$C$1:$C$675,$A12)+SUMIFS(Compta!$F$1:$F$675,Compta!$A$1:$A$675,"GRP",Compta!$B$1:$B$675,"6333",Compta!$C$1:$C$675,$A12))</f>
        <v/>
      </c>
      <c r="AC12" t="str">
        <f t="shared" si="3"/>
        <v/>
      </c>
      <c r="AD12" t="str">
        <f t="shared" si="4"/>
        <v/>
      </c>
      <c r="AE12" t="str">
        <f t="shared" si="5"/>
        <v/>
      </c>
      <c r="AF12" t="str">
        <f t="shared" si="6"/>
        <v/>
      </c>
      <c r="AG12" t="str">
        <f t="shared" si="7"/>
        <v/>
      </c>
      <c r="AH12" t="str">
        <f t="shared" si="8"/>
        <v/>
      </c>
      <c r="AI12" t="str">
        <f t="shared" si="9"/>
        <v/>
      </c>
      <c r="AJ12" t="str">
        <f t="shared" si="10"/>
        <v/>
      </c>
      <c r="AK12" t="str">
        <f t="shared" si="11"/>
        <v/>
      </c>
      <c r="AL12" t="str">
        <f t="shared" si="12"/>
        <v/>
      </c>
      <c r="AM12" t="str">
        <f t="shared" si="13"/>
        <v/>
      </c>
      <c r="AN12" t="str">
        <f t="shared" si="14"/>
        <v/>
      </c>
      <c r="AO12" t="str">
        <f>IF($A12="","",SUMIFS(Compta!$F$1:$F$675,Compta!$A$1:$A$675,"GRP",Compta!$B$1:$B$675,"6236",Compta!$C$1:$C$675,$A12))</f>
        <v/>
      </c>
      <c r="AP12" t="str">
        <f t="shared" si="15"/>
        <v/>
      </c>
      <c r="AQ12" t="str">
        <f t="shared" si="16"/>
        <v/>
      </c>
      <c r="AR12" t="str">
        <f t="shared" si="17"/>
        <v/>
      </c>
    </row>
    <row r="13" spans="1:46" x14ac:dyDescent="0.45">
      <c r="A13" t="str">
        <f>IF(Allocation!C13="","",Allocation!C13)</f>
        <v/>
      </c>
      <c r="B13" t="str">
        <f>IF(Allocation!D13="","",Allocation!D13)</f>
        <v/>
      </c>
      <c r="C13" t="str">
        <f>IF(Allocation!E13="","",Allocation!E13)</f>
        <v/>
      </c>
      <c r="D13" t="str">
        <f>IF(Allocation!F13="","",Allocation!F13)</f>
        <v/>
      </c>
      <c r="E13" t="str">
        <f>IF(Allocation!G13="","",Allocation!G13)</f>
        <v/>
      </c>
      <c r="F13" t="str">
        <f>IF(Allocation!H13="","",Allocation!H13)</f>
        <v/>
      </c>
      <c r="G13" t="str">
        <f>IF(Allocation!D13="","",Allocation!I13)</f>
        <v/>
      </c>
      <c r="H13" t="str">
        <f>IF(Allocation!D13="","",Allocation!J13)</f>
        <v/>
      </c>
      <c r="I13" t="str">
        <f>IF(Allocation!D13="","",Allocation!K13)</f>
        <v/>
      </c>
      <c r="J13" t="str">
        <f>IF($A13="","",SUMIFS(Socle!$K$1:$K$1000,Socle!$C$1:$C$1000,$B13,Socle!$D$1:$D$1000,$D13,Socle!$E$1:$E$1000,$E13,Socle!$F$1:$F$1000,$F13,Socle!$G$1:$G$1000,$A13))</f>
        <v/>
      </c>
      <c r="K13" t="str">
        <f t="shared" si="0"/>
        <v/>
      </c>
      <c r="L13" t="str">
        <f>IF($A13="","",SUMIFS(Allocation!$I$1:$I$175,Allocation!$C$1:$C$175,$A13,Allocation!$D$1:$D$175,$B13))</f>
        <v/>
      </c>
      <c r="M13" t="str">
        <f>IF($A13="","",SUMIFS(Allocation!$J$1:$J$175,Allocation!$C$1:$C$175,$A13,Allocation!$D$1:$D$175,$B13))</f>
        <v/>
      </c>
      <c r="N13" t="str">
        <f>IF($A13="","",SUMIFS(Allocation!$K$1:$K$175,Allocation!$C$1:$C$175,$A13,Allocation!$D$1:$D$175,$B13))</f>
        <v/>
      </c>
      <c r="O13" t="str">
        <f t="shared" si="1"/>
        <v/>
      </c>
      <c r="P13" t="str">
        <f t="shared" si="2"/>
        <v/>
      </c>
      <c r="Q13" t="str">
        <f>IF($A13="","",SUMIFS(Allocation!$I$1:$I$175,Allocation!$C$1:$C$175,$A13,Allocation!$E$1:$E$175,$C13))</f>
        <v/>
      </c>
      <c r="R13" t="str">
        <f>IF($A13="","",SUMIFS(Allocation!$J$1:$J$175,Allocation!$C$1:$C$175,$A13,Allocation!$E$1:$E$175,$C13))</f>
        <v/>
      </c>
      <c r="S13" t="str">
        <f>IF($A13="","",SUMIFS(Allocation!$K$1:$K$175,Allocation!$C$1:$C$175,$A13,Allocation!$E$1:$E$175,$C13))</f>
        <v/>
      </c>
      <c r="T13" t="str">
        <f>IF($A13="","",SUMIFS(Allocation!$I$1:$I$175,Allocation!$C$1:$C$175,$A13))</f>
        <v/>
      </c>
      <c r="U13" t="str">
        <f>IF($A13="","",SUMIFS(Allocation!$J$1:$J$175,Allocation!$C$1:$C$175,$A13))</f>
        <v/>
      </c>
      <c r="V13" t="str">
        <f>IF($A13="","",SUMIFS(Allocation!$K$1:$K$175,Allocation!$C$1:$C$175,$A13))</f>
        <v/>
      </c>
      <c r="W13" t="str">
        <f>IF($A13="","",SUMIFS(Compta!$F$1:$F$675,Compta!$A$1:$A$675,$B13,Compta!$B$1:$B$675,"621",Compta!$C$1:$C$675,$A13))</f>
        <v/>
      </c>
      <c r="X13" t="str">
        <f>IF($A13="","",SUMIFS(Compta!$F$1:$F$675,Compta!$A$1:$A$675,$B13,Compta!$B$1:$B$675,"6411",Compta!$C$1:$C$675,$A13))</f>
        <v/>
      </c>
      <c r="Y13" t="str">
        <f>IF($A13="","",SUMIFS(Compta!$F$1:$F$675,Compta!$A$1:$A$675,$B13,Compta!$B$1:$B$675,"604",Compta!$C$1:$C$675,$A13)+SUMIFS(Compta!$F$1:$F$675,Compta!$A$1:$A$675,$B13,Compta!$B$1:$B$675,"6063",Compta!$C$1:$C$675,$A13))</f>
        <v/>
      </c>
      <c r="Z13" t="str">
        <f>IF($A13="","",SUMIFS(Compta!$F$1:$F$675,Compta!$A$1:$A$675,$B13,Compta!$B$1:$B$675,"6231",Compta!$C$1:$C$675,$A13))</f>
        <v/>
      </c>
      <c r="AA13" t="str">
        <f>IF($A13="","",SUMIFS(Compta!$F$1:$F$675,Compta!$A$1:$A$675,$B13,Compta!$B$1:$B$675,"6413",Compta!$C$1:$C$675,$A13)+SUMIFS(Compta!$F$1:$F$675,Compta!$A$1:$A$675,$B13,Compta!$B$1:$B$675,"645",Compta!$C$1:$C$675,$A13)+SUMIFS(Compta!$F$1:$F$675,Compta!$A$1:$A$675,$B13,Compta!$B$1:$B$675,"613",Compta!$C$1:$C$675,$A13)+SUMIFS(Compta!$F$1:$F$675,Compta!$A$1:$A$675,$B13,Compta!$B$1:$B$675,"615",Compta!$C$1:$C$675,$A13)+SUMIFS(Compta!$F$1:$F$675,Compta!$A$1:$A$675,$B13,Compta!$B$1:$B$675,"616",Compta!$C$1:$C$675,$A13)+SUMIFS(Compta!$F$1:$F$675,Compta!$A$1:$A$675,$B13,Compta!$B$1:$B$675,"625",Compta!$C$1:$C$675,$A13)+SUMIFS(Compta!$F$1:$F$675,Compta!$A$1:$A$675,$B13,Compta!$B$1:$B$675,"63511",Compta!$C$1:$C$675,$A13))</f>
        <v/>
      </c>
      <c r="AB13" t="str">
        <f>IF($A13="","",SUMIFS(Compta!$F$1:$F$675,Compta!$A$1:$A$675,"GRP",Compta!$B$1:$B$675,"6414",Compta!$C$1:$C$675,$A13)+SUMIFS(Compta!$F$1:$F$675,Compta!$A$1:$A$675,"GRP",Compta!$B$1:$B$675,"6226",Compta!$C$1:$C$675,$A13)+SUMIFS(Compta!$F$1:$F$675,Compta!$A$1:$A$675,"GRP",Compta!$B$1:$B$675,"626",Compta!$C$1:$C$675,$A13)+SUMIFS(Compta!$F$1:$F$675,Compta!$A$1:$A$675,"GRP",Compta!$B$1:$B$675,"6281",Compta!$C$1:$C$675,$A13)+SUMIFS(Compta!$F$1:$F$675,Compta!$A$1:$A$675,"GRP",Compta!$B$1:$B$675,"6331",Compta!$C$1:$C$675,$A13)+SUMIFS(Compta!$F$1:$F$675,Compta!$A$1:$A$675,"GRP",Compta!$B$1:$B$675,"6333",Compta!$C$1:$C$675,$A13))</f>
        <v/>
      </c>
      <c r="AC13" t="str">
        <f t="shared" si="3"/>
        <v/>
      </c>
      <c r="AD13" t="str">
        <f t="shared" si="4"/>
        <v/>
      </c>
      <c r="AE13" t="str">
        <f t="shared" si="5"/>
        <v/>
      </c>
      <c r="AF13" t="str">
        <f t="shared" si="6"/>
        <v/>
      </c>
      <c r="AG13" t="str">
        <f t="shared" si="7"/>
        <v/>
      </c>
      <c r="AH13" t="str">
        <f t="shared" si="8"/>
        <v/>
      </c>
      <c r="AI13" t="str">
        <f t="shared" si="9"/>
        <v/>
      </c>
      <c r="AJ13" t="str">
        <f t="shared" si="10"/>
        <v/>
      </c>
      <c r="AK13" t="str">
        <f t="shared" si="11"/>
        <v/>
      </c>
      <c r="AL13" t="str">
        <f t="shared" si="12"/>
        <v/>
      </c>
      <c r="AM13" t="str">
        <f t="shared" si="13"/>
        <v/>
      </c>
      <c r="AN13" t="str">
        <f t="shared" si="14"/>
        <v/>
      </c>
      <c r="AO13" t="str">
        <f>IF($A13="","",SUMIFS(Compta!$F$1:$F$675,Compta!$A$1:$A$675,"GRP",Compta!$B$1:$B$675,"6236",Compta!$C$1:$C$675,$A13))</f>
        <v/>
      </c>
      <c r="AP13" t="str">
        <f t="shared" si="15"/>
        <v/>
      </c>
      <c r="AQ13" t="str">
        <f t="shared" si="16"/>
        <v/>
      </c>
      <c r="AR13" t="str">
        <f t="shared" si="17"/>
        <v/>
      </c>
    </row>
    <row r="14" spans="1:46" x14ac:dyDescent="0.45">
      <c r="A14" t="str">
        <f>IF(Allocation!C14="","",Allocation!C14)</f>
        <v/>
      </c>
      <c r="B14" t="str">
        <f>IF(Allocation!D14="","",Allocation!D14)</f>
        <v/>
      </c>
      <c r="C14" t="str">
        <f>IF(Allocation!E14="","",Allocation!E14)</f>
        <v/>
      </c>
      <c r="D14" t="str">
        <f>IF(Allocation!F14="","",Allocation!F14)</f>
        <v/>
      </c>
      <c r="E14" t="str">
        <f>IF(Allocation!G14="","",Allocation!G14)</f>
        <v/>
      </c>
      <c r="F14" t="str">
        <f>IF(Allocation!H14="","",Allocation!H14)</f>
        <v/>
      </c>
      <c r="G14" t="str">
        <f>IF(Allocation!D14="","",Allocation!I14)</f>
        <v/>
      </c>
      <c r="H14" t="str">
        <f>IF(Allocation!D14="","",Allocation!J14)</f>
        <v/>
      </c>
      <c r="I14" t="str">
        <f>IF(Allocation!D14="","",Allocation!K14)</f>
        <v/>
      </c>
      <c r="J14" t="str">
        <f>IF($A14="","",SUMIFS(Socle!$K$1:$K$1000,Socle!$C$1:$C$1000,$B14,Socle!$D$1:$D$1000,$D14,Socle!$E$1:$E$1000,$E14,Socle!$F$1:$F$1000,$F14,Socle!$G$1:$G$1000,$A14))</f>
        <v/>
      </c>
      <c r="K14" t="str">
        <f t="shared" si="0"/>
        <v/>
      </c>
      <c r="L14" t="str">
        <f>IF($A14="","",SUMIFS(Allocation!$I$1:$I$175,Allocation!$C$1:$C$175,$A14,Allocation!$D$1:$D$175,$B14))</f>
        <v/>
      </c>
      <c r="M14" t="str">
        <f>IF($A14="","",SUMIFS(Allocation!$J$1:$J$175,Allocation!$C$1:$C$175,$A14,Allocation!$D$1:$D$175,$B14))</f>
        <v/>
      </c>
      <c r="N14" t="str">
        <f>IF($A14="","",SUMIFS(Allocation!$K$1:$K$175,Allocation!$C$1:$C$175,$A14,Allocation!$D$1:$D$175,$B14))</f>
        <v/>
      </c>
      <c r="O14" t="str">
        <f t="shared" si="1"/>
        <v/>
      </c>
      <c r="P14" t="str">
        <f t="shared" si="2"/>
        <v/>
      </c>
      <c r="Q14" t="str">
        <f>IF($A14="","",SUMIFS(Allocation!$I$1:$I$175,Allocation!$C$1:$C$175,$A14,Allocation!$E$1:$E$175,$C14))</f>
        <v/>
      </c>
      <c r="R14" t="str">
        <f>IF($A14="","",SUMIFS(Allocation!$J$1:$J$175,Allocation!$C$1:$C$175,$A14,Allocation!$E$1:$E$175,$C14))</f>
        <v/>
      </c>
      <c r="S14" t="str">
        <f>IF($A14="","",SUMIFS(Allocation!$K$1:$K$175,Allocation!$C$1:$C$175,$A14,Allocation!$E$1:$E$175,$C14))</f>
        <v/>
      </c>
      <c r="T14" t="str">
        <f>IF($A14="","",SUMIFS(Allocation!$I$1:$I$175,Allocation!$C$1:$C$175,$A14))</f>
        <v/>
      </c>
      <c r="U14" t="str">
        <f>IF($A14="","",SUMIFS(Allocation!$J$1:$J$175,Allocation!$C$1:$C$175,$A14))</f>
        <v/>
      </c>
      <c r="V14" t="str">
        <f>IF($A14="","",SUMIFS(Allocation!$K$1:$K$175,Allocation!$C$1:$C$175,$A14))</f>
        <v/>
      </c>
      <c r="W14" t="str">
        <f>IF($A14="","",SUMIFS(Compta!$F$1:$F$675,Compta!$A$1:$A$675,$B14,Compta!$B$1:$B$675,"621",Compta!$C$1:$C$675,$A14))</f>
        <v/>
      </c>
      <c r="X14" t="str">
        <f>IF($A14="","",SUMIFS(Compta!$F$1:$F$675,Compta!$A$1:$A$675,$B14,Compta!$B$1:$B$675,"6411",Compta!$C$1:$C$675,$A14))</f>
        <v/>
      </c>
      <c r="Y14" t="str">
        <f>IF($A14="","",SUMIFS(Compta!$F$1:$F$675,Compta!$A$1:$A$675,$B14,Compta!$B$1:$B$675,"604",Compta!$C$1:$C$675,$A14)+SUMIFS(Compta!$F$1:$F$675,Compta!$A$1:$A$675,$B14,Compta!$B$1:$B$675,"6063",Compta!$C$1:$C$675,$A14))</f>
        <v/>
      </c>
      <c r="Z14" t="str">
        <f>IF($A14="","",SUMIFS(Compta!$F$1:$F$675,Compta!$A$1:$A$675,$B14,Compta!$B$1:$B$675,"6231",Compta!$C$1:$C$675,$A14))</f>
        <v/>
      </c>
      <c r="AA14" t="str">
        <f>IF($A14="","",SUMIFS(Compta!$F$1:$F$675,Compta!$A$1:$A$675,$B14,Compta!$B$1:$B$675,"6413",Compta!$C$1:$C$675,$A14)+SUMIFS(Compta!$F$1:$F$675,Compta!$A$1:$A$675,$B14,Compta!$B$1:$B$675,"645",Compta!$C$1:$C$675,$A14)+SUMIFS(Compta!$F$1:$F$675,Compta!$A$1:$A$675,$B14,Compta!$B$1:$B$675,"613",Compta!$C$1:$C$675,$A14)+SUMIFS(Compta!$F$1:$F$675,Compta!$A$1:$A$675,$B14,Compta!$B$1:$B$675,"615",Compta!$C$1:$C$675,$A14)+SUMIFS(Compta!$F$1:$F$675,Compta!$A$1:$A$675,$B14,Compta!$B$1:$B$675,"616",Compta!$C$1:$C$675,$A14)+SUMIFS(Compta!$F$1:$F$675,Compta!$A$1:$A$675,$B14,Compta!$B$1:$B$675,"625",Compta!$C$1:$C$675,$A14)+SUMIFS(Compta!$F$1:$F$675,Compta!$A$1:$A$675,$B14,Compta!$B$1:$B$675,"63511",Compta!$C$1:$C$675,$A14))</f>
        <v/>
      </c>
      <c r="AB14" t="str">
        <f>IF($A14="","",SUMIFS(Compta!$F$1:$F$675,Compta!$A$1:$A$675,"GRP",Compta!$B$1:$B$675,"6414",Compta!$C$1:$C$675,$A14)+SUMIFS(Compta!$F$1:$F$675,Compta!$A$1:$A$675,"GRP",Compta!$B$1:$B$675,"6226",Compta!$C$1:$C$675,$A14)+SUMIFS(Compta!$F$1:$F$675,Compta!$A$1:$A$675,"GRP",Compta!$B$1:$B$675,"626",Compta!$C$1:$C$675,$A14)+SUMIFS(Compta!$F$1:$F$675,Compta!$A$1:$A$675,"GRP",Compta!$B$1:$B$675,"6281",Compta!$C$1:$C$675,$A14)+SUMIFS(Compta!$F$1:$F$675,Compta!$A$1:$A$675,"GRP",Compta!$B$1:$B$675,"6331",Compta!$C$1:$C$675,$A14)+SUMIFS(Compta!$F$1:$F$675,Compta!$A$1:$A$675,"GRP",Compta!$B$1:$B$675,"6333",Compta!$C$1:$C$675,$A14))</f>
        <v/>
      </c>
      <c r="AC14" t="str">
        <f t="shared" si="3"/>
        <v/>
      </c>
      <c r="AD14" t="str">
        <f t="shared" si="4"/>
        <v/>
      </c>
      <c r="AE14" t="str">
        <f t="shared" si="5"/>
        <v/>
      </c>
      <c r="AF14" t="str">
        <f t="shared" si="6"/>
        <v/>
      </c>
      <c r="AG14" t="str">
        <f t="shared" si="7"/>
        <v/>
      </c>
      <c r="AH14" t="str">
        <f t="shared" si="8"/>
        <v/>
      </c>
      <c r="AI14" t="str">
        <f t="shared" si="9"/>
        <v/>
      </c>
      <c r="AJ14" t="str">
        <f t="shared" si="10"/>
        <v/>
      </c>
      <c r="AK14" t="str">
        <f t="shared" si="11"/>
        <v/>
      </c>
      <c r="AL14" t="str">
        <f t="shared" si="12"/>
        <v/>
      </c>
      <c r="AM14" t="str">
        <f t="shared" si="13"/>
        <v/>
      </c>
      <c r="AN14" t="str">
        <f t="shared" si="14"/>
        <v/>
      </c>
      <c r="AO14" t="str">
        <f>IF($A14="","",SUMIFS(Compta!$F$1:$F$675,Compta!$A$1:$A$675,"GRP",Compta!$B$1:$B$675,"6236",Compta!$C$1:$C$675,$A14))</f>
        <v/>
      </c>
      <c r="AP14" t="str">
        <f t="shared" si="15"/>
        <v/>
      </c>
      <c r="AQ14" t="str">
        <f t="shared" si="16"/>
        <v/>
      </c>
      <c r="AR14" t="str">
        <f t="shared" si="17"/>
        <v/>
      </c>
    </row>
    <row r="15" spans="1:46" x14ac:dyDescent="0.45">
      <c r="A15" t="str">
        <f>IF(Allocation!C15="","",Allocation!C15)</f>
        <v/>
      </c>
      <c r="B15" t="str">
        <f>IF(Allocation!D15="","",Allocation!D15)</f>
        <v/>
      </c>
      <c r="C15" t="str">
        <f>IF(Allocation!E15="","",Allocation!E15)</f>
        <v/>
      </c>
      <c r="D15" t="str">
        <f>IF(Allocation!F15="","",Allocation!F15)</f>
        <v/>
      </c>
      <c r="E15" t="str">
        <f>IF(Allocation!G15="","",Allocation!G15)</f>
        <v/>
      </c>
      <c r="F15" t="str">
        <f>IF(Allocation!H15="","",Allocation!H15)</f>
        <v/>
      </c>
      <c r="G15" t="str">
        <f>IF(Allocation!D15="","",Allocation!I15)</f>
        <v/>
      </c>
      <c r="H15" t="str">
        <f>IF(Allocation!D15="","",Allocation!J15)</f>
        <v/>
      </c>
      <c r="I15" t="str">
        <f>IF(Allocation!D15="","",Allocation!K15)</f>
        <v/>
      </c>
      <c r="J15" t="str">
        <f>IF($A15="","",SUMIFS(Socle!$K$1:$K$1000,Socle!$C$1:$C$1000,$B15,Socle!$D$1:$D$1000,$D15,Socle!$E$1:$E$1000,$E15,Socle!$F$1:$F$1000,$F15,Socle!$G$1:$G$1000,$A15))</f>
        <v/>
      </c>
      <c r="K15" t="str">
        <f t="shared" si="0"/>
        <v/>
      </c>
      <c r="L15" t="str">
        <f>IF($A15="","",SUMIFS(Allocation!$I$1:$I$175,Allocation!$C$1:$C$175,$A15,Allocation!$D$1:$D$175,$B15))</f>
        <v/>
      </c>
      <c r="M15" t="str">
        <f>IF($A15="","",SUMIFS(Allocation!$J$1:$J$175,Allocation!$C$1:$C$175,$A15,Allocation!$D$1:$D$175,$B15))</f>
        <v/>
      </c>
      <c r="N15" t="str">
        <f>IF($A15="","",SUMIFS(Allocation!$K$1:$K$175,Allocation!$C$1:$C$175,$A15,Allocation!$D$1:$D$175,$B15))</f>
        <v/>
      </c>
      <c r="O15" t="str">
        <f t="shared" si="1"/>
        <v/>
      </c>
      <c r="P15" t="str">
        <f t="shared" si="2"/>
        <v/>
      </c>
      <c r="Q15" t="str">
        <f>IF($A15="","",SUMIFS(Allocation!$I$1:$I$175,Allocation!$C$1:$C$175,$A15,Allocation!$E$1:$E$175,$C15))</f>
        <v/>
      </c>
      <c r="R15" t="str">
        <f>IF($A15="","",SUMIFS(Allocation!$J$1:$J$175,Allocation!$C$1:$C$175,$A15,Allocation!$E$1:$E$175,$C15))</f>
        <v/>
      </c>
      <c r="S15" t="str">
        <f>IF($A15="","",SUMIFS(Allocation!$K$1:$K$175,Allocation!$C$1:$C$175,$A15,Allocation!$E$1:$E$175,$C15))</f>
        <v/>
      </c>
      <c r="T15" t="str">
        <f>IF($A15="","",SUMIFS(Allocation!$I$1:$I$175,Allocation!$C$1:$C$175,$A15))</f>
        <v/>
      </c>
      <c r="U15" t="str">
        <f>IF($A15="","",SUMIFS(Allocation!$J$1:$J$175,Allocation!$C$1:$C$175,$A15))</f>
        <v/>
      </c>
      <c r="V15" t="str">
        <f>IF($A15="","",SUMIFS(Allocation!$K$1:$K$175,Allocation!$C$1:$C$175,$A15))</f>
        <v/>
      </c>
      <c r="W15" t="str">
        <f>IF($A15="","",SUMIFS(Compta!$F$1:$F$675,Compta!$A$1:$A$675,$B15,Compta!$B$1:$B$675,"621",Compta!$C$1:$C$675,$A15))</f>
        <v/>
      </c>
      <c r="X15" t="str">
        <f>IF($A15="","",SUMIFS(Compta!$F$1:$F$675,Compta!$A$1:$A$675,$B15,Compta!$B$1:$B$675,"6411",Compta!$C$1:$C$675,$A15))</f>
        <v/>
      </c>
      <c r="Y15" t="str">
        <f>IF($A15="","",SUMIFS(Compta!$F$1:$F$675,Compta!$A$1:$A$675,$B15,Compta!$B$1:$B$675,"604",Compta!$C$1:$C$675,$A15)+SUMIFS(Compta!$F$1:$F$675,Compta!$A$1:$A$675,$B15,Compta!$B$1:$B$675,"6063",Compta!$C$1:$C$675,$A15))</f>
        <v/>
      </c>
      <c r="Z15" t="str">
        <f>IF($A15="","",SUMIFS(Compta!$F$1:$F$675,Compta!$A$1:$A$675,$B15,Compta!$B$1:$B$675,"6231",Compta!$C$1:$C$675,$A15))</f>
        <v/>
      </c>
      <c r="AA15" t="str">
        <f>IF($A15="","",SUMIFS(Compta!$F$1:$F$675,Compta!$A$1:$A$675,$B15,Compta!$B$1:$B$675,"6413",Compta!$C$1:$C$675,$A15)+SUMIFS(Compta!$F$1:$F$675,Compta!$A$1:$A$675,$B15,Compta!$B$1:$B$675,"645",Compta!$C$1:$C$675,$A15)+SUMIFS(Compta!$F$1:$F$675,Compta!$A$1:$A$675,$B15,Compta!$B$1:$B$675,"613",Compta!$C$1:$C$675,$A15)+SUMIFS(Compta!$F$1:$F$675,Compta!$A$1:$A$675,$B15,Compta!$B$1:$B$675,"615",Compta!$C$1:$C$675,$A15)+SUMIFS(Compta!$F$1:$F$675,Compta!$A$1:$A$675,$B15,Compta!$B$1:$B$675,"616",Compta!$C$1:$C$675,$A15)+SUMIFS(Compta!$F$1:$F$675,Compta!$A$1:$A$675,$B15,Compta!$B$1:$B$675,"625",Compta!$C$1:$C$675,$A15)+SUMIFS(Compta!$F$1:$F$675,Compta!$A$1:$A$675,$B15,Compta!$B$1:$B$675,"63511",Compta!$C$1:$C$675,$A15))</f>
        <v/>
      </c>
      <c r="AB15" t="str">
        <f>IF($A15="","",SUMIFS(Compta!$F$1:$F$675,Compta!$A$1:$A$675,"GRP",Compta!$B$1:$B$675,"6414",Compta!$C$1:$C$675,$A15)+SUMIFS(Compta!$F$1:$F$675,Compta!$A$1:$A$675,"GRP",Compta!$B$1:$B$675,"6226",Compta!$C$1:$C$675,$A15)+SUMIFS(Compta!$F$1:$F$675,Compta!$A$1:$A$675,"GRP",Compta!$B$1:$B$675,"626",Compta!$C$1:$C$675,$A15)+SUMIFS(Compta!$F$1:$F$675,Compta!$A$1:$A$675,"GRP",Compta!$B$1:$B$675,"6281",Compta!$C$1:$C$675,$A15)+SUMIFS(Compta!$F$1:$F$675,Compta!$A$1:$A$675,"GRP",Compta!$B$1:$B$675,"6331",Compta!$C$1:$C$675,$A15)+SUMIFS(Compta!$F$1:$F$675,Compta!$A$1:$A$675,"GRP",Compta!$B$1:$B$675,"6333",Compta!$C$1:$C$675,$A15))</f>
        <v/>
      </c>
      <c r="AC15" t="str">
        <f t="shared" si="3"/>
        <v/>
      </c>
      <c r="AD15" t="str">
        <f t="shared" si="4"/>
        <v/>
      </c>
      <c r="AE15" t="str">
        <f t="shared" si="5"/>
        <v/>
      </c>
      <c r="AF15" t="str">
        <f t="shared" si="6"/>
        <v/>
      </c>
      <c r="AG15" t="str">
        <f t="shared" si="7"/>
        <v/>
      </c>
      <c r="AH15" t="str">
        <f t="shared" si="8"/>
        <v/>
      </c>
      <c r="AI15" t="str">
        <f t="shared" si="9"/>
        <v/>
      </c>
      <c r="AJ15" t="str">
        <f t="shared" si="10"/>
        <v/>
      </c>
      <c r="AK15" t="str">
        <f t="shared" si="11"/>
        <v/>
      </c>
      <c r="AL15" t="str">
        <f t="shared" si="12"/>
        <v/>
      </c>
      <c r="AM15" t="str">
        <f t="shared" si="13"/>
        <v/>
      </c>
      <c r="AN15" t="str">
        <f t="shared" si="14"/>
        <v/>
      </c>
      <c r="AO15" t="str">
        <f>IF($A15="","",SUMIFS(Compta!$F$1:$F$675,Compta!$A$1:$A$675,"GRP",Compta!$B$1:$B$675,"6236",Compta!$C$1:$C$675,$A15))</f>
        <v/>
      </c>
      <c r="AP15" t="str">
        <f t="shared" si="15"/>
        <v/>
      </c>
      <c r="AQ15" t="str">
        <f t="shared" si="16"/>
        <v/>
      </c>
      <c r="AR15" t="str">
        <f t="shared" si="17"/>
        <v/>
      </c>
    </row>
    <row r="16" spans="1:46" x14ac:dyDescent="0.45">
      <c r="A16" t="str">
        <f>IF(Allocation!C16="","",Allocation!C16)</f>
        <v/>
      </c>
      <c r="B16" t="str">
        <f>IF(Allocation!D16="","",Allocation!D16)</f>
        <v/>
      </c>
      <c r="C16" t="str">
        <f>IF(Allocation!E16="","",Allocation!E16)</f>
        <v/>
      </c>
      <c r="D16" t="str">
        <f>IF(Allocation!F16="","",Allocation!F16)</f>
        <v/>
      </c>
      <c r="E16" t="str">
        <f>IF(Allocation!G16="","",Allocation!G16)</f>
        <v/>
      </c>
      <c r="F16" t="str">
        <f>IF(Allocation!H16="","",Allocation!H16)</f>
        <v/>
      </c>
      <c r="G16" t="str">
        <f>IF(Allocation!D16="","",Allocation!I16)</f>
        <v/>
      </c>
      <c r="H16" t="str">
        <f>IF(Allocation!D16="","",Allocation!J16)</f>
        <v/>
      </c>
      <c r="I16" t="str">
        <f>IF(Allocation!D16="","",Allocation!K16)</f>
        <v/>
      </c>
      <c r="J16" t="str">
        <f>IF($A16="","",SUMIFS(Socle!$K$1:$K$1000,Socle!$C$1:$C$1000,$B16,Socle!$D$1:$D$1000,$D16,Socle!$E$1:$E$1000,$E16,Socle!$F$1:$F$1000,$F16,Socle!$G$1:$G$1000,$A16))</f>
        <v/>
      </c>
      <c r="K16" t="str">
        <f t="shared" si="0"/>
        <v/>
      </c>
      <c r="L16" t="str">
        <f>IF($A16="","",SUMIFS(Allocation!$I$1:$I$175,Allocation!$C$1:$C$175,$A16,Allocation!$D$1:$D$175,$B16))</f>
        <v/>
      </c>
      <c r="M16" t="str">
        <f>IF($A16="","",SUMIFS(Allocation!$J$1:$J$175,Allocation!$C$1:$C$175,$A16,Allocation!$D$1:$D$175,$B16))</f>
        <v/>
      </c>
      <c r="N16" t="str">
        <f>IF($A16="","",SUMIFS(Allocation!$K$1:$K$175,Allocation!$C$1:$C$175,$A16,Allocation!$D$1:$D$175,$B16))</f>
        <v/>
      </c>
      <c r="O16" t="str">
        <f t="shared" si="1"/>
        <v/>
      </c>
      <c r="P16" t="str">
        <f t="shared" si="2"/>
        <v/>
      </c>
      <c r="Q16" t="str">
        <f>IF($A16="","",SUMIFS(Allocation!$I$1:$I$175,Allocation!$C$1:$C$175,$A16,Allocation!$E$1:$E$175,$C16))</f>
        <v/>
      </c>
      <c r="R16" t="str">
        <f>IF($A16="","",SUMIFS(Allocation!$J$1:$J$175,Allocation!$C$1:$C$175,$A16,Allocation!$E$1:$E$175,$C16))</f>
        <v/>
      </c>
      <c r="S16" t="str">
        <f>IF($A16="","",SUMIFS(Allocation!$K$1:$K$175,Allocation!$C$1:$C$175,$A16,Allocation!$E$1:$E$175,$C16))</f>
        <v/>
      </c>
      <c r="T16" t="str">
        <f>IF($A16="","",SUMIFS(Allocation!$I$1:$I$175,Allocation!$C$1:$C$175,$A16))</f>
        <v/>
      </c>
      <c r="U16" t="str">
        <f>IF($A16="","",SUMIFS(Allocation!$J$1:$J$175,Allocation!$C$1:$C$175,$A16))</f>
        <v/>
      </c>
      <c r="V16" t="str">
        <f>IF($A16="","",SUMIFS(Allocation!$K$1:$K$175,Allocation!$C$1:$C$175,$A16))</f>
        <v/>
      </c>
      <c r="W16" t="str">
        <f>IF($A16="","",SUMIFS(Compta!$F$1:$F$675,Compta!$A$1:$A$675,$B16,Compta!$B$1:$B$675,"621",Compta!$C$1:$C$675,$A16))</f>
        <v/>
      </c>
      <c r="X16" t="str">
        <f>IF($A16="","",SUMIFS(Compta!$F$1:$F$675,Compta!$A$1:$A$675,$B16,Compta!$B$1:$B$675,"6411",Compta!$C$1:$C$675,$A16))</f>
        <v/>
      </c>
      <c r="Y16" t="str">
        <f>IF($A16="","",SUMIFS(Compta!$F$1:$F$675,Compta!$A$1:$A$675,$B16,Compta!$B$1:$B$675,"604",Compta!$C$1:$C$675,$A16)+SUMIFS(Compta!$F$1:$F$675,Compta!$A$1:$A$675,$B16,Compta!$B$1:$B$675,"6063",Compta!$C$1:$C$675,$A16))</f>
        <v/>
      </c>
      <c r="Z16" t="str">
        <f>IF($A16="","",SUMIFS(Compta!$F$1:$F$675,Compta!$A$1:$A$675,$B16,Compta!$B$1:$B$675,"6231",Compta!$C$1:$C$675,$A16))</f>
        <v/>
      </c>
      <c r="AA16" t="str">
        <f>IF($A16="","",SUMIFS(Compta!$F$1:$F$675,Compta!$A$1:$A$675,$B16,Compta!$B$1:$B$675,"6413",Compta!$C$1:$C$675,$A16)+SUMIFS(Compta!$F$1:$F$675,Compta!$A$1:$A$675,$B16,Compta!$B$1:$B$675,"645",Compta!$C$1:$C$675,$A16)+SUMIFS(Compta!$F$1:$F$675,Compta!$A$1:$A$675,$B16,Compta!$B$1:$B$675,"613",Compta!$C$1:$C$675,$A16)+SUMIFS(Compta!$F$1:$F$675,Compta!$A$1:$A$675,$B16,Compta!$B$1:$B$675,"615",Compta!$C$1:$C$675,$A16)+SUMIFS(Compta!$F$1:$F$675,Compta!$A$1:$A$675,$B16,Compta!$B$1:$B$675,"616",Compta!$C$1:$C$675,$A16)+SUMIFS(Compta!$F$1:$F$675,Compta!$A$1:$A$675,$B16,Compta!$B$1:$B$675,"625",Compta!$C$1:$C$675,$A16)+SUMIFS(Compta!$F$1:$F$675,Compta!$A$1:$A$675,$B16,Compta!$B$1:$B$675,"63511",Compta!$C$1:$C$675,$A16))</f>
        <v/>
      </c>
      <c r="AB16" t="str">
        <f>IF($A16="","",SUMIFS(Compta!$F$1:$F$675,Compta!$A$1:$A$675,"GRP",Compta!$B$1:$B$675,"6414",Compta!$C$1:$C$675,$A16)+SUMIFS(Compta!$F$1:$F$675,Compta!$A$1:$A$675,"GRP",Compta!$B$1:$B$675,"6226",Compta!$C$1:$C$675,$A16)+SUMIFS(Compta!$F$1:$F$675,Compta!$A$1:$A$675,"GRP",Compta!$B$1:$B$675,"626",Compta!$C$1:$C$675,$A16)+SUMIFS(Compta!$F$1:$F$675,Compta!$A$1:$A$675,"GRP",Compta!$B$1:$B$675,"6281",Compta!$C$1:$C$675,$A16)+SUMIFS(Compta!$F$1:$F$675,Compta!$A$1:$A$675,"GRP",Compta!$B$1:$B$675,"6331",Compta!$C$1:$C$675,$A16)+SUMIFS(Compta!$F$1:$F$675,Compta!$A$1:$A$675,"GRP",Compta!$B$1:$B$675,"6333",Compta!$C$1:$C$675,$A16))</f>
        <v/>
      </c>
      <c r="AC16" t="str">
        <f t="shared" si="3"/>
        <v/>
      </c>
      <c r="AD16" t="str">
        <f t="shared" si="4"/>
        <v/>
      </c>
      <c r="AE16" t="str">
        <f t="shared" si="5"/>
        <v/>
      </c>
      <c r="AF16" t="str">
        <f t="shared" si="6"/>
        <v/>
      </c>
      <c r="AG16" t="str">
        <f t="shared" si="7"/>
        <v/>
      </c>
      <c r="AH16" t="str">
        <f t="shared" si="8"/>
        <v/>
      </c>
      <c r="AI16" t="str">
        <f t="shared" si="9"/>
        <v/>
      </c>
      <c r="AJ16" t="str">
        <f t="shared" si="10"/>
        <v/>
      </c>
      <c r="AK16" t="str">
        <f t="shared" si="11"/>
        <v/>
      </c>
      <c r="AL16" t="str">
        <f t="shared" si="12"/>
        <v/>
      </c>
      <c r="AM16" t="str">
        <f t="shared" si="13"/>
        <v/>
      </c>
      <c r="AN16" t="str">
        <f t="shared" si="14"/>
        <v/>
      </c>
      <c r="AO16" t="str">
        <f>IF($A16="","",SUMIFS(Compta!$F$1:$F$675,Compta!$A$1:$A$675,"GRP",Compta!$B$1:$B$675,"6236",Compta!$C$1:$C$675,$A16))</f>
        <v/>
      </c>
      <c r="AP16" t="str">
        <f t="shared" si="15"/>
        <v/>
      </c>
      <c r="AQ16" t="str">
        <f t="shared" si="16"/>
        <v/>
      </c>
      <c r="AR16" t="str">
        <f t="shared" si="17"/>
        <v/>
      </c>
    </row>
    <row r="17" spans="1:44" x14ac:dyDescent="0.45">
      <c r="A17" t="str">
        <f>IF(Allocation!C17="","",Allocation!C17)</f>
        <v/>
      </c>
      <c r="B17" t="str">
        <f>IF(Allocation!D17="","",Allocation!D17)</f>
        <v/>
      </c>
      <c r="C17" t="str">
        <f>IF(Allocation!E17="","",Allocation!E17)</f>
        <v/>
      </c>
      <c r="D17" t="str">
        <f>IF(Allocation!F17="","",Allocation!F17)</f>
        <v/>
      </c>
      <c r="E17" t="str">
        <f>IF(Allocation!G17="","",Allocation!G17)</f>
        <v/>
      </c>
      <c r="F17" t="str">
        <f>IF(Allocation!H17="","",Allocation!H17)</f>
        <v/>
      </c>
      <c r="G17" t="str">
        <f>IF(Allocation!D17="","",Allocation!I17)</f>
        <v/>
      </c>
      <c r="H17" t="str">
        <f>IF(Allocation!D17="","",Allocation!J17)</f>
        <v/>
      </c>
      <c r="I17" t="str">
        <f>IF(Allocation!D17="","",Allocation!K17)</f>
        <v/>
      </c>
      <c r="J17" t="str">
        <f>IF($A17="","",SUMIFS(Socle!$K$1:$K$1000,Socle!$C$1:$C$1000,$B17,Socle!$D$1:$D$1000,$D17,Socle!$E$1:$E$1000,$E17,Socle!$F$1:$F$1000,$F17,Socle!$G$1:$G$1000,$A17))</f>
        <v/>
      </c>
      <c r="K17" t="str">
        <f t="shared" si="0"/>
        <v/>
      </c>
      <c r="L17" t="str">
        <f>IF($A17="","",SUMIFS(Allocation!$I$1:$I$175,Allocation!$C$1:$C$175,$A17,Allocation!$D$1:$D$175,$B17))</f>
        <v/>
      </c>
      <c r="M17" t="str">
        <f>IF($A17="","",SUMIFS(Allocation!$J$1:$J$175,Allocation!$C$1:$C$175,$A17,Allocation!$D$1:$D$175,$B17))</f>
        <v/>
      </c>
      <c r="N17" t="str">
        <f>IF($A17="","",SUMIFS(Allocation!$K$1:$K$175,Allocation!$C$1:$C$175,$A17,Allocation!$D$1:$D$175,$B17))</f>
        <v/>
      </c>
      <c r="O17" t="str">
        <f t="shared" si="1"/>
        <v/>
      </c>
      <c r="P17" t="str">
        <f t="shared" si="2"/>
        <v/>
      </c>
      <c r="Q17" t="str">
        <f>IF($A17="","",SUMIFS(Allocation!$I$1:$I$175,Allocation!$C$1:$C$175,$A17,Allocation!$E$1:$E$175,$C17))</f>
        <v/>
      </c>
      <c r="R17" t="str">
        <f>IF($A17="","",SUMIFS(Allocation!$J$1:$J$175,Allocation!$C$1:$C$175,$A17,Allocation!$E$1:$E$175,$C17))</f>
        <v/>
      </c>
      <c r="S17" t="str">
        <f>IF($A17="","",SUMIFS(Allocation!$K$1:$K$175,Allocation!$C$1:$C$175,$A17,Allocation!$E$1:$E$175,$C17))</f>
        <v/>
      </c>
      <c r="T17" t="str">
        <f>IF($A17="","",SUMIFS(Allocation!$I$1:$I$175,Allocation!$C$1:$C$175,$A17))</f>
        <v/>
      </c>
      <c r="U17" t="str">
        <f>IF($A17="","",SUMIFS(Allocation!$J$1:$J$175,Allocation!$C$1:$C$175,$A17))</f>
        <v/>
      </c>
      <c r="V17" t="str">
        <f>IF($A17="","",SUMIFS(Allocation!$K$1:$K$175,Allocation!$C$1:$C$175,$A17))</f>
        <v/>
      </c>
      <c r="W17" t="str">
        <f>IF($A17="","",SUMIFS(Compta!$F$1:$F$675,Compta!$A$1:$A$675,$B17,Compta!$B$1:$B$675,"621",Compta!$C$1:$C$675,$A17))</f>
        <v/>
      </c>
      <c r="X17" t="str">
        <f>IF($A17="","",SUMIFS(Compta!$F$1:$F$675,Compta!$A$1:$A$675,$B17,Compta!$B$1:$B$675,"6411",Compta!$C$1:$C$675,$A17))</f>
        <v/>
      </c>
      <c r="Y17" t="str">
        <f>IF($A17="","",SUMIFS(Compta!$F$1:$F$675,Compta!$A$1:$A$675,$B17,Compta!$B$1:$B$675,"604",Compta!$C$1:$C$675,$A17)+SUMIFS(Compta!$F$1:$F$675,Compta!$A$1:$A$675,$B17,Compta!$B$1:$B$675,"6063",Compta!$C$1:$C$675,$A17))</f>
        <v/>
      </c>
      <c r="Z17" t="str">
        <f>IF($A17="","",SUMIFS(Compta!$F$1:$F$675,Compta!$A$1:$A$675,$B17,Compta!$B$1:$B$675,"6231",Compta!$C$1:$C$675,$A17))</f>
        <v/>
      </c>
      <c r="AA17" t="str">
        <f>IF($A17="","",SUMIFS(Compta!$F$1:$F$675,Compta!$A$1:$A$675,$B17,Compta!$B$1:$B$675,"6413",Compta!$C$1:$C$675,$A17)+SUMIFS(Compta!$F$1:$F$675,Compta!$A$1:$A$675,$B17,Compta!$B$1:$B$675,"645",Compta!$C$1:$C$675,$A17)+SUMIFS(Compta!$F$1:$F$675,Compta!$A$1:$A$675,$B17,Compta!$B$1:$B$675,"613",Compta!$C$1:$C$675,$A17)+SUMIFS(Compta!$F$1:$F$675,Compta!$A$1:$A$675,$B17,Compta!$B$1:$B$675,"615",Compta!$C$1:$C$675,$A17)+SUMIFS(Compta!$F$1:$F$675,Compta!$A$1:$A$675,$B17,Compta!$B$1:$B$675,"616",Compta!$C$1:$C$675,$A17)+SUMIFS(Compta!$F$1:$F$675,Compta!$A$1:$A$675,$B17,Compta!$B$1:$B$675,"625",Compta!$C$1:$C$675,$A17)+SUMIFS(Compta!$F$1:$F$675,Compta!$A$1:$A$675,$B17,Compta!$B$1:$B$675,"63511",Compta!$C$1:$C$675,$A17))</f>
        <v/>
      </c>
      <c r="AB17" t="str">
        <f>IF($A17="","",SUMIFS(Compta!$F$1:$F$675,Compta!$A$1:$A$675,"GRP",Compta!$B$1:$B$675,"6414",Compta!$C$1:$C$675,$A17)+SUMIFS(Compta!$F$1:$F$675,Compta!$A$1:$A$675,"GRP",Compta!$B$1:$B$675,"6226",Compta!$C$1:$C$675,$A17)+SUMIFS(Compta!$F$1:$F$675,Compta!$A$1:$A$675,"GRP",Compta!$B$1:$B$675,"626",Compta!$C$1:$C$675,$A17)+SUMIFS(Compta!$F$1:$F$675,Compta!$A$1:$A$675,"GRP",Compta!$B$1:$B$675,"6281",Compta!$C$1:$C$675,$A17)+SUMIFS(Compta!$F$1:$F$675,Compta!$A$1:$A$675,"GRP",Compta!$B$1:$B$675,"6331",Compta!$C$1:$C$675,$A17)+SUMIFS(Compta!$F$1:$F$675,Compta!$A$1:$A$675,"GRP",Compta!$B$1:$B$675,"6333",Compta!$C$1:$C$675,$A17))</f>
        <v/>
      </c>
      <c r="AC17" t="str">
        <f t="shared" si="3"/>
        <v/>
      </c>
      <c r="AD17" t="str">
        <f t="shared" si="4"/>
        <v/>
      </c>
      <c r="AE17" t="str">
        <f t="shared" si="5"/>
        <v/>
      </c>
      <c r="AF17" t="str">
        <f t="shared" si="6"/>
        <v/>
      </c>
      <c r="AG17" t="str">
        <f t="shared" si="7"/>
        <v/>
      </c>
      <c r="AH17" t="str">
        <f t="shared" si="8"/>
        <v/>
      </c>
      <c r="AI17" t="str">
        <f t="shared" si="9"/>
        <v/>
      </c>
      <c r="AJ17" t="str">
        <f t="shared" si="10"/>
        <v/>
      </c>
      <c r="AK17" t="str">
        <f t="shared" si="11"/>
        <v/>
      </c>
      <c r="AL17" t="str">
        <f t="shared" si="12"/>
        <v/>
      </c>
      <c r="AM17" t="str">
        <f t="shared" si="13"/>
        <v/>
      </c>
      <c r="AN17" t="str">
        <f t="shared" si="14"/>
        <v/>
      </c>
      <c r="AO17" t="str">
        <f>IF($A17="","",SUMIFS(Compta!$F$1:$F$675,Compta!$A$1:$A$675,"GRP",Compta!$B$1:$B$675,"6236",Compta!$C$1:$C$675,$A17))</f>
        <v/>
      </c>
      <c r="AP17" t="str">
        <f t="shared" si="15"/>
        <v/>
      </c>
      <c r="AQ17" t="str">
        <f t="shared" si="16"/>
        <v/>
      </c>
      <c r="AR17" t="str">
        <f t="shared" si="17"/>
        <v/>
      </c>
    </row>
    <row r="18" spans="1:44" x14ac:dyDescent="0.45">
      <c r="A18" t="str">
        <f>IF(Allocation!C18="","",Allocation!C18)</f>
        <v/>
      </c>
      <c r="B18" t="str">
        <f>IF(Allocation!D18="","",Allocation!D18)</f>
        <v/>
      </c>
      <c r="C18" t="str">
        <f>IF(Allocation!E18="","",Allocation!E18)</f>
        <v/>
      </c>
      <c r="D18" t="str">
        <f>IF(Allocation!F18="","",Allocation!F18)</f>
        <v/>
      </c>
      <c r="E18" t="str">
        <f>IF(Allocation!G18="","",Allocation!G18)</f>
        <v/>
      </c>
      <c r="F18" t="str">
        <f>IF(Allocation!H18="","",Allocation!H18)</f>
        <v/>
      </c>
      <c r="G18" t="str">
        <f>IF(Allocation!D18="","",Allocation!I18)</f>
        <v/>
      </c>
      <c r="H18" t="str">
        <f>IF(Allocation!D18="","",Allocation!J18)</f>
        <v/>
      </c>
      <c r="I18" t="str">
        <f>IF(Allocation!D18="","",Allocation!K18)</f>
        <v/>
      </c>
      <c r="J18" t="str">
        <f>IF($A18="","",SUMIFS(Socle!$K$1:$K$1000,Socle!$C$1:$C$1000,$B18,Socle!$D$1:$D$1000,$D18,Socle!$E$1:$E$1000,$E18,Socle!$F$1:$F$1000,$F18,Socle!$G$1:$G$1000,$A18))</f>
        <v/>
      </c>
      <c r="K18" t="str">
        <f t="shared" si="0"/>
        <v/>
      </c>
      <c r="L18" t="str">
        <f>IF($A18="","",SUMIFS(Allocation!$I$1:$I$175,Allocation!$C$1:$C$175,$A18,Allocation!$D$1:$D$175,$B18))</f>
        <v/>
      </c>
      <c r="M18" t="str">
        <f>IF($A18="","",SUMIFS(Allocation!$J$1:$J$175,Allocation!$C$1:$C$175,$A18,Allocation!$D$1:$D$175,$B18))</f>
        <v/>
      </c>
      <c r="N18" t="str">
        <f>IF($A18="","",SUMIFS(Allocation!$K$1:$K$175,Allocation!$C$1:$C$175,$A18,Allocation!$D$1:$D$175,$B18))</f>
        <v/>
      </c>
      <c r="O18" t="str">
        <f t="shared" si="1"/>
        <v/>
      </c>
      <c r="P18" t="str">
        <f t="shared" si="2"/>
        <v/>
      </c>
      <c r="Q18" t="str">
        <f>IF($A18="","",SUMIFS(Allocation!$I$1:$I$175,Allocation!$C$1:$C$175,$A18,Allocation!$E$1:$E$175,$C18))</f>
        <v/>
      </c>
      <c r="R18" t="str">
        <f>IF($A18="","",SUMIFS(Allocation!$J$1:$J$175,Allocation!$C$1:$C$175,$A18,Allocation!$E$1:$E$175,$C18))</f>
        <v/>
      </c>
      <c r="S18" t="str">
        <f>IF($A18="","",SUMIFS(Allocation!$K$1:$K$175,Allocation!$C$1:$C$175,$A18,Allocation!$E$1:$E$175,$C18))</f>
        <v/>
      </c>
      <c r="T18" t="str">
        <f>IF($A18="","",SUMIFS(Allocation!$I$1:$I$175,Allocation!$C$1:$C$175,$A18))</f>
        <v/>
      </c>
      <c r="U18" t="str">
        <f>IF($A18="","",SUMIFS(Allocation!$J$1:$J$175,Allocation!$C$1:$C$175,$A18))</f>
        <v/>
      </c>
      <c r="V18" t="str">
        <f>IF($A18="","",SUMIFS(Allocation!$K$1:$K$175,Allocation!$C$1:$C$175,$A18))</f>
        <v/>
      </c>
      <c r="W18" t="str">
        <f>IF($A18="","",SUMIFS(Compta!$F$1:$F$675,Compta!$A$1:$A$675,$B18,Compta!$B$1:$B$675,"621",Compta!$C$1:$C$675,$A18))</f>
        <v/>
      </c>
      <c r="X18" t="str">
        <f>IF($A18="","",SUMIFS(Compta!$F$1:$F$675,Compta!$A$1:$A$675,$B18,Compta!$B$1:$B$675,"6411",Compta!$C$1:$C$675,$A18))</f>
        <v/>
      </c>
      <c r="Y18" t="str">
        <f>IF($A18="","",SUMIFS(Compta!$F$1:$F$675,Compta!$A$1:$A$675,$B18,Compta!$B$1:$B$675,"604",Compta!$C$1:$C$675,$A18)+SUMIFS(Compta!$F$1:$F$675,Compta!$A$1:$A$675,$B18,Compta!$B$1:$B$675,"6063",Compta!$C$1:$C$675,$A18))</f>
        <v/>
      </c>
      <c r="Z18" t="str">
        <f>IF($A18="","",SUMIFS(Compta!$F$1:$F$675,Compta!$A$1:$A$675,$B18,Compta!$B$1:$B$675,"6231",Compta!$C$1:$C$675,$A18))</f>
        <v/>
      </c>
      <c r="AA18" t="str">
        <f>IF($A18="","",SUMIFS(Compta!$F$1:$F$675,Compta!$A$1:$A$675,$B18,Compta!$B$1:$B$675,"6413",Compta!$C$1:$C$675,$A18)+SUMIFS(Compta!$F$1:$F$675,Compta!$A$1:$A$675,$B18,Compta!$B$1:$B$675,"645",Compta!$C$1:$C$675,$A18)+SUMIFS(Compta!$F$1:$F$675,Compta!$A$1:$A$675,$B18,Compta!$B$1:$B$675,"613",Compta!$C$1:$C$675,$A18)+SUMIFS(Compta!$F$1:$F$675,Compta!$A$1:$A$675,$B18,Compta!$B$1:$B$675,"615",Compta!$C$1:$C$675,$A18)+SUMIFS(Compta!$F$1:$F$675,Compta!$A$1:$A$675,$B18,Compta!$B$1:$B$675,"616",Compta!$C$1:$C$675,$A18)+SUMIFS(Compta!$F$1:$F$675,Compta!$A$1:$A$675,$B18,Compta!$B$1:$B$675,"625",Compta!$C$1:$C$675,$A18)+SUMIFS(Compta!$F$1:$F$675,Compta!$A$1:$A$675,$B18,Compta!$B$1:$B$675,"63511",Compta!$C$1:$C$675,$A18))</f>
        <v/>
      </c>
      <c r="AB18" t="str">
        <f>IF($A18="","",SUMIFS(Compta!$F$1:$F$675,Compta!$A$1:$A$675,"GRP",Compta!$B$1:$B$675,"6414",Compta!$C$1:$C$675,$A18)+SUMIFS(Compta!$F$1:$F$675,Compta!$A$1:$A$675,"GRP",Compta!$B$1:$B$675,"6226",Compta!$C$1:$C$675,$A18)+SUMIFS(Compta!$F$1:$F$675,Compta!$A$1:$A$675,"GRP",Compta!$B$1:$B$675,"626",Compta!$C$1:$C$675,$A18)+SUMIFS(Compta!$F$1:$F$675,Compta!$A$1:$A$675,"GRP",Compta!$B$1:$B$675,"6281",Compta!$C$1:$C$675,$A18)+SUMIFS(Compta!$F$1:$F$675,Compta!$A$1:$A$675,"GRP",Compta!$B$1:$B$675,"6331",Compta!$C$1:$C$675,$A18)+SUMIFS(Compta!$F$1:$F$675,Compta!$A$1:$A$675,"GRP",Compta!$B$1:$B$675,"6333",Compta!$C$1:$C$675,$A18))</f>
        <v/>
      </c>
      <c r="AC18" t="str">
        <f t="shared" si="3"/>
        <v/>
      </c>
      <c r="AD18" t="str">
        <f t="shared" si="4"/>
        <v/>
      </c>
      <c r="AE18" t="str">
        <f t="shared" si="5"/>
        <v/>
      </c>
      <c r="AF18" t="str">
        <f t="shared" si="6"/>
        <v/>
      </c>
      <c r="AG18" t="str">
        <f t="shared" si="7"/>
        <v/>
      </c>
      <c r="AH18" t="str">
        <f t="shared" si="8"/>
        <v/>
      </c>
      <c r="AI18" t="str">
        <f t="shared" si="9"/>
        <v/>
      </c>
      <c r="AJ18" t="str">
        <f t="shared" si="10"/>
        <v/>
      </c>
      <c r="AK18" t="str">
        <f t="shared" si="11"/>
        <v/>
      </c>
      <c r="AL18" t="str">
        <f t="shared" si="12"/>
        <v/>
      </c>
      <c r="AM18" t="str">
        <f t="shared" si="13"/>
        <v/>
      </c>
      <c r="AN18" t="str">
        <f t="shared" si="14"/>
        <v/>
      </c>
      <c r="AO18" t="str">
        <f>IF($A18="","",SUMIFS(Compta!$F$1:$F$675,Compta!$A$1:$A$675,"GRP",Compta!$B$1:$B$675,"6236",Compta!$C$1:$C$675,$A18))</f>
        <v/>
      </c>
      <c r="AP18" t="str">
        <f t="shared" si="15"/>
        <v/>
      </c>
      <c r="AQ18" t="str">
        <f t="shared" si="16"/>
        <v/>
      </c>
      <c r="AR18" t="str">
        <f t="shared" si="17"/>
        <v/>
      </c>
    </row>
    <row r="19" spans="1:44" x14ac:dyDescent="0.45">
      <c r="A19" t="str">
        <f>IF(Allocation!C19="","",Allocation!C19)</f>
        <v/>
      </c>
      <c r="B19" t="str">
        <f>IF(Allocation!D19="","",Allocation!D19)</f>
        <v/>
      </c>
      <c r="C19" t="str">
        <f>IF(Allocation!E19="","",Allocation!E19)</f>
        <v/>
      </c>
      <c r="D19" t="str">
        <f>IF(Allocation!F19="","",Allocation!F19)</f>
        <v/>
      </c>
      <c r="E19" t="str">
        <f>IF(Allocation!G19="","",Allocation!G19)</f>
        <v/>
      </c>
      <c r="F19" t="str">
        <f>IF(Allocation!H19="","",Allocation!H19)</f>
        <v/>
      </c>
      <c r="G19" t="str">
        <f>IF(Allocation!D19="","",Allocation!I19)</f>
        <v/>
      </c>
      <c r="H19" t="str">
        <f>IF(Allocation!D19="","",Allocation!J19)</f>
        <v/>
      </c>
      <c r="I19" t="str">
        <f>IF(Allocation!D19="","",Allocation!K19)</f>
        <v/>
      </c>
      <c r="J19" t="str">
        <f>IF($A19="","",SUMIFS(Socle!$K$1:$K$1000,Socle!$C$1:$C$1000,$B19,Socle!$D$1:$D$1000,$D19,Socle!$E$1:$E$1000,$E19,Socle!$F$1:$F$1000,$F19,Socle!$G$1:$G$1000,$A19))</f>
        <v/>
      </c>
      <c r="K19" t="str">
        <f t="shared" si="0"/>
        <v/>
      </c>
      <c r="L19" t="str">
        <f>IF($A19="","",SUMIFS(Allocation!$I$1:$I$175,Allocation!$C$1:$C$175,$A19,Allocation!$D$1:$D$175,$B19))</f>
        <v/>
      </c>
      <c r="M19" t="str">
        <f>IF($A19="","",SUMIFS(Allocation!$J$1:$J$175,Allocation!$C$1:$C$175,$A19,Allocation!$D$1:$D$175,$B19))</f>
        <v/>
      </c>
      <c r="N19" t="str">
        <f>IF($A19="","",SUMIFS(Allocation!$K$1:$K$175,Allocation!$C$1:$C$175,$A19,Allocation!$D$1:$D$175,$B19))</f>
        <v/>
      </c>
      <c r="O19" t="str">
        <f t="shared" si="1"/>
        <v/>
      </c>
      <c r="P19" t="str">
        <f t="shared" si="2"/>
        <v/>
      </c>
      <c r="Q19" t="str">
        <f>IF($A19="","",SUMIFS(Allocation!$I$1:$I$175,Allocation!$C$1:$C$175,$A19,Allocation!$E$1:$E$175,$C19))</f>
        <v/>
      </c>
      <c r="R19" t="str">
        <f>IF($A19="","",SUMIFS(Allocation!$J$1:$J$175,Allocation!$C$1:$C$175,$A19,Allocation!$E$1:$E$175,$C19))</f>
        <v/>
      </c>
      <c r="S19" t="str">
        <f>IF($A19="","",SUMIFS(Allocation!$K$1:$K$175,Allocation!$C$1:$C$175,$A19,Allocation!$E$1:$E$175,$C19))</f>
        <v/>
      </c>
      <c r="T19" t="str">
        <f>IF($A19="","",SUMIFS(Allocation!$I$1:$I$175,Allocation!$C$1:$C$175,$A19))</f>
        <v/>
      </c>
      <c r="U19" t="str">
        <f>IF($A19="","",SUMIFS(Allocation!$J$1:$J$175,Allocation!$C$1:$C$175,$A19))</f>
        <v/>
      </c>
      <c r="V19" t="str">
        <f>IF($A19="","",SUMIFS(Allocation!$K$1:$K$175,Allocation!$C$1:$C$175,$A19))</f>
        <v/>
      </c>
      <c r="W19" t="str">
        <f>IF($A19="","",SUMIFS(Compta!$F$1:$F$675,Compta!$A$1:$A$675,$B19,Compta!$B$1:$B$675,"621",Compta!$C$1:$C$675,$A19))</f>
        <v/>
      </c>
      <c r="X19" t="str">
        <f>IF($A19="","",SUMIFS(Compta!$F$1:$F$675,Compta!$A$1:$A$675,$B19,Compta!$B$1:$B$675,"6411",Compta!$C$1:$C$675,$A19))</f>
        <v/>
      </c>
      <c r="Y19" t="str">
        <f>IF($A19="","",SUMIFS(Compta!$F$1:$F$675,Compta!$A$1:$A$675,$B19,Compta!$B$1:$B$675,"604",Compta!$C$1:$C$675,$A19)+SUMIFS(Compta!$F$1:$F$675,Compta!$A$1:$A$675,$B19,Compta!$B$1:$B$675,"6063",Compta!$C$1:$C$675,$A19))</f>
        <v/>
      </c>
      <c r="Z19" t="str">
        <f>IF($A19="","",SUMIFS(Compta!$F$1:$F$675,Compta!$A$1:$A$675,$B19,Compta!$B$1:$B$675,"6231",Compta!$C$1:$C$675,$A19))</f>
        <v/>
      </c>
      <c r="AA19" t="str">
        <f>IF($A19="","",SUMIFS(Compta!$F$1:$F$675,Compta!$A$1:$A$675,$B19,Compta!$B$1:$B$675,"6413",Compta!$C$1:$C$675,$A19)+SUMIFS(Compta!$F$1:$F$675,Compta!$A$1:$A$675,$B19,Compta!$B$1:$B$675,"645",Compta!$C$1:$C$675,$A19)+SUMIFS(Compta!$F$1:$F$675,Compta!$A$1:$A$675,$B19,Compta!$B$1:$B$675,"613",Compta!$C$1:$C$675,$A19)+SUMIFS(Compta!$F$1:$F$675,Compta!$A$1:$A$675,$B19,Compta!$B$1:$B$675,"615",Compta!$C$1:$C$675,$A19)+SUMIFS(Compta!$F$1:$F$675,Compta!$A$1:$A$675,$B19,Compta!$B$1:$B$675,"616",Compta!$C$1:$C$675,$A19)+SUMIFS(Compta!$F$1:$F$675,Compta!$A$1:$A$675,$B19,Compta!$B$1:$B$675,"625",Compta!$C$1:$C$675,$A19)+SUMIFS(Compta!$F$1:$F$675,Compta!$A$1:$A$675,$B19,Compta!$B$1:$B$675,"63511",Compta!$C$1:$C$675,$A19))</f>
        <v/>
      </c>
      <c r="AB19" t="str">
        <f>IF($A19="","",SUMIFS(Compta!$F$1:$F$675,Compta!$A$1:$A$675,"GRP",Compta!$B$1:$B$675,"6414",Compta!$C$1:$C$675,$A19)+SUMIFS(Compta!$F$1:$F$675,Compta!$A$1:$A$675,"GRP",Compta!$B$1:$B$675,"6226",Compta!$C$1:$C$675,$A19)+SUMIFS(Compta!$F$1:$F$675,Compta!$A$1:$A$675,"GRP",Compta!$B$1:$B$675,"626",Compta!$C$1:$C$675,$A19)+SUMIFS(Compta!$F$1:$F$675,Compta!$A$1:$A$675,"GRP",Compta!$B$1:$B$675,"6281",Compta!$C$1:$C$675,$A19)+SUMIFS(Compta!$F$1:$F$675,Compta!$A$1:$A$675,"GRP",Compta!$B$1:$B$675,"6331",Compta!$C$1:$C$675,$A19)+SUMIFS(Compta!$F$1:$F$675,Compta!$A$1:$A$675,"GRP",Compta!$B$1:$B$675,"6333",Compta!$C$1:$C$675,$A19))</f>
        <v/>
      </c>
      <c r="AC19" t="str">
        <f t="shared" si="3"/>
        <v/>
      </c>
      <c r="AD19" t="str">
        <f t="shared" si="4"/>
        <v/>
      </c>
      <c r="AE19" t="str">
        <f t="shared" si="5"/>
        <v/>
      </c>
      <c r="AF19" t="str">
        <f t="shared" si="6"/>
        <v/>
      </c>
      <c r="AG19" t="str">
        <f t="shared" si="7"/>
        <v/>
      </c>
      <c r="AH19" t="str">
        <f t="shared" si="8"/>
        <v/>
      </c>
      <c r="AI19" t="str">
        <f t="shared" si="9"/>
        <v/>
      </c>
      <c r="AJ19" t="str">
        <f t="shared" si="10"/>
        <v/>
      </c>
      <c r="AK19" t="str">
        <f t="shared" si="11"/>
        <v/>
      </c>
      <c r="AL19" t="str">
        <f t="shared" si="12"/>
        <v/>
      </c>
      <c r="AM19" t="str">
        <f t="shared" si="13"/>
        <v/>
      </c>
      <c r="AN19" t="str">
        <f t="shared" si="14"/>
        <v/>
      </c>
      <c r="AO19" t="str">
        <f>IF($A19="","",SUMIFS(Compta!$F$1:$F$675,Compta!$A$1:$A$675,"GRP",Compta!$B$1:$B$675,"6236",Compta!$C$1:$C$675,$A19))</f>
        <v/>
      </c>
      <c r="AP19" t="str">
        <f t="shared" si="15"/>
        <v/>
      </c>
      <c r="AQ19" t="str">
        <f t="shared" si="16"/>
        <v/>
      </c>
      <c r="AR19" t="str">
        <f t="shared" si="17"/>
        <v/>
      </c>
    </row>
    <row r="20" spans="1:44" x14ac:dyDescent="0.45">
      <c r="A20" t="str">
        <f>IF(Allocation!C20="","",Allocation!C20)</f>
        <v/>
      </c>
      <c r="B20" t="str">
        <f>IF(Allocation!D20="","",Allocation!D20)</f>
        <v/>
      </c>
      <c r="C20" t="str">
        <f>IF(Allocation!E20="","",Allocation!E20)</f>
        <v/>
      </c>
      <c r="D20" t="str">
        <f>IF(Allocation!F20="","",Allocation!F20)</f>
        <v/>
      </c>
      <c r="E20" t="str">
        <f>IF(Allocation!G20="","",Allocation!G20)</f>
        <v/>
      </c>
      <c r="F20" t="str">
        <f>IF(Allocation!H20="","",Allocation!H20)</f>
        <v/>
      </c>
      <c r="G20" t="str">
        <f>IF(Allocation!D20="","",Allocation!I20)</f>
        <v/>
      </c>
      <c r="H20" t="str">
        <f>IF(Allocation!D20="","",Allocation!J20)</f>
        <v/>
      </c>
      <c r="I20" t="str">
        <f>IF(Allocation!D20="","",Allocation!K20)</f>
        <v/>
      </c>
      <c r="J20" t="str">
        <f>IF($A20="","",SUMIFS(Socle!$K$1:$K$1000,Socle!$C$1:$C$1000,$B20,Socle!$D$1:$D$1000,$D20,Socle!$E$1:$E$1000,$E20,Socle!$F$1:$F$1000,$F20,Socle!$G$1:$G$1000,$A20))</f>
        <v/>
      </c>
      <c r="K20" t="str">
        <f t="shared" si="0"/>
        <v/>
      </c>
      <c r="L20" t="str">
        <f>IF($A20="","",SUMIFS(Allocation!$I$1:$I$175,Allocation!$C$1:$C$175,$A20,Allocation!$D$1:$D$175,$B20))</f>
        <v/>
      </c>
      <c r="M20" t="str">
        <f>IF($A20="","",SUMIFS(Allocation!$J$1:$J$175,Allocation!$C$1:$C$175,$A20,Allocation!$D$1:$D$175,$B20))</f>
        <v/>
      </c>
      <c r="N20" t="str">
        <f>IF($A20="","",SUMIFS(Allocation!$K$1:$K$175,Allocation!$C$1:$C$175,$A20,Allocation!$D$1:$D$175,$B20))</f>
        <v/>
      </c>
      <c r="O20" t="str">
        <f t="shared" si="1"/>
        <v/>
      </c>
      <c r="P20" t="str">
        <f t="shared" si="2"/>
        <v/>
      </c>
      <c r="Q20" t="str">
        <f>IF($A20="","",SUMIFS(Allocation!$I$1:$I$175,Allocation!$C$1:$C$175,$A20,Allocation!$E$1:$E$175,$C20))</f>
        <v/>
      </c>
      <c r="R20" t="str">
        <f>IF($A20="","",SUMIFS(Allocation!$J$1:$J$175,Allocation!$C$1:$C$175,$A20,Allocation!$E$1:$E$175,$C20))</f>
        <v/>
      </c>
      <c r="S20" t="str">
        <f>IF($A20="","",SUMIFS(Allocation!$K$1:$K$175,Allocation!$C$1:$C$175,$A20,Allocation!$E$1:$E$175,$C20))</f>
        <v/>
      </c>
      <c r="T20" t="str">
        <f>IF($A20="","",SUMIFS(Allocation!$I$1:$I$175,Allocation!$C$1:$C$175,$A20))</f>
        <v/>
      </c>
      <c r="U20" t="str">
        <f>IF($A20="","",SUMIFS(Allocation!$J$1:$J$175,Allocation!$C$1:$C$175,$A20))</f>
        <v/>
      </c>
      <c r="V20" t="str">
        <f>IF($A20="","",SUMIFS(Allocation!$K$1:$K$175,Allocation!$C$1:$C$175,$A20))</f>
        <v/>
      </c>
      <c r="W20" t="str">
        <f>IF($A20="","",SUMIFS(Compta!$F$1:$F$675,Compta!$A$1:$A$675,$B20,Compta!$B$1:$B$675,"621",Compta!$C$1:$C$675,$A20))</f>
        <v/>
      </c>
      <c r="X20" t="str">
        <f>IF($A20="","",SUMIFS(Compta!$F$1:$F$675,Compta!$A$1:$A$675,$B20,Compta!$B$1:$B$675,"6411",Compta!$C$1:$C$675,$A20))</f>
        <v/>
      </c>
      <c r="Y20" t="str">
        <f>IF($A20="","",SUMIFS(Compta!$F$1:$F$675,Compta!$A$1:$A$675,$B20,Compta!$B$1:$B$675,"604",Compta!$C$1:$C$675,$A20)+SUMIFS(Compta!$F$1:$F$675,Compta!$A$1:$A$675,$B20,Compta!$B$1:$B$675,"6063",Compta!$C$1:$C$675,$A20))</f>
        <v/>
      </c>
      <c r="Z20" t="str">
        <f>IF($A20="","",SUMIFS(Compta!$F$1:$F$675,Compta!$A$1:$A$675,$B20,Compta!$B$1:$B$675,"6231",Compta!$C$1:$C$675,$A20))</f>
        <v/>
      </c>
      <c r="AA20" t="str">
        <f>IF($A20="","",SUMIFS(Compta!$F$1:$F$675,Compta!$A$1:$A$675,$B20,Compta!$B$1:$B$675,"6413",Compta!$C$1:$C$675,$A20)+SUMIFS(Compta!$F$1:$F$675,Compta!$A$1:$A$675,$B20,Compta!$B$1:$B$675,"645",Compta!$C$1:$C$675,$A20)+SUMIFS(Compta!$F$1:$F$675,Compta!$A$1:$A$675,$B20,Compta!$B$1:$B$675,"613",Compta!$C$1:$C$675,$A20)+SUMIFS(Compta!$F$1:$F$675,Compta!$A$1:$A$675,$B20,Compta!$B$1:$B$675,"615",Compta!$C$1:$C$675,$A20)+SUMIFS(Compta!$F$1:$F$675,Compta!$A$1:$A$675,$B20,Compta!$B$1:$B$675,"616",Compta!$C$1:$C$675,$A20)+SUMIFS(Compta!$F$1:$F$675,Compta!$A$1:$A$675,$B20,Compta!$B$1:$B$675,"625",Compta!$C$1:$C$675,$A20)+SUMIFS(Compta!$F$1:$F$675,Compta!$A$1:$A$675,$B20,Compta!$B$1:$B$675,"63511",Compta!$C$1:$C$675,$A20))</f>
        <v/>
      </c>
      <c r="AB20" t="str">
        <f>IF($A20="","",SUMIFS(Compta!$F$1:$F$675,Compta!$A$1:$A$675,"GRP",Compta!$B$1:$B$675,"6414",Compta!$C$1:$C$675,$A20)+SUMIFS(Compta!$F$1:$F$675,Compta!$A$1:$A$675,"GRP",Compta!$B$1:$B$675,"6226",Compta!$C$1:$C$675,$A20)+SUMIFS(Compta!$F$1:$F$675,Compta!$A$1:$A$675,"GRP",Compta!$B$1:$B$675,"626",Compta!$C$1:$C$675,$A20)+SUMIFS(Compta!$F$1:$F$675,Compta!$A$1:$A$675,"GRP",Compta!$B$1:$B$675,"6281",Compta!$C$1:$C$675,$A20)+SUMIFS(Compta!$F$1:$F$675,Compta!$A$1:$A$675,"GRP",Compta!$B$1:$B$675,"6331",Compta!$C$1:$C$675,$A20)+SUMIFS(Compta!$F$1:$F$675,Compta!$A$1:$A$675,"GRP",Compta!$B$1:$B$675,"6333",Compta!$C$1:$C$675,$A20))</f>
        <v/>
      </c>
      <c r="AC20" t="str">
        <f t="shared" si="3"/>
        <v/>
      </c>
      <c r="AD20" t="str">
        <f t="shared" si="4"/>
        <v/>
      </c>
      <c r="AE20" t="str">
        <f t="shared" si="5"/>
        <v/>
      </c>
      <c r="AF20" t="str">
        <f t="shared" si="6"/>
        <v/>
      </c>
      <c r="AG20" t="str">
        <f t="shared" si="7"/>
        <v/>
      </c>
      <c r="AH20" t="str">
        <f t="shared" si="8"/>
        <v/>
      </c>
      <c r="AI20" t="str">
        <f t="shared" si="9"/>
        <v/>
      </c>
      <c r="AJ20" t="str">
        <f t="shared" si="10"/>
        <v/>
      </c>
      <c r="AK20" t="str">
        <f t="shared" si="11"/>
        <v/>
      </c>
      <c r="AL20" t="str">
        <f t="shared" si="12"/>
        <v/>
      </c>
      <c r="AM20" t="str">
        <f t="shared" si="13"/>
        <v/>
      </c>
      <c r="AN20" t="str">
        <f t="shared" si="14"/>
        <v/>
      </c>
      <c r="AO20" t="str">
        <f>IF($A20="","",SUMIFS(Compta!$F$1:$F$675,Compta!$A$1:$A$675,"GRP",Compta!$B$1:$B$675,"6236",Compta!$C$1:$C$675,$A20))</f>
        <v/>
      </c>
      <c r="AP20" t="str">
        <f t="shared" si="15"/>
        <v/>
      </c>
      <c r="AQ20" t="str">
        <f t="shared" si="16"/>
        <v/>
      </c>
      <c r="AR20" t="str">
        <f t="shared" si="17"/>
        <v/>
      </c>
    </row>
    <row r="21" spans="1:44" x14ac:dyDescent="0.45">
      <c r="A21" t="str">
        <f>IF(Allocation!C21="","",Allocation!C21)</f>
        <v/>
      </c>
      <c r="B21" t="str">
        <f>IF(Allocation!D21="","",Allocation!D21)</f>
        <v/>
      </c>
      <c r="C21" t="str">
        <f>IF(Allocation!E21="","",Allocation!E21)</f>
        <v/>
      </c>
      <c r="D21" t="str">
        <f>IF(Allocation!F21="","",Allocation!F21)</f>
        <v/>
      </c>
      <c r="E21" t="str">
        <f>IF(Allocation!G21="","",Allocation!G21)</f>
        <v/>
      </c>
      <c r="F21" t="str">
        <f>IF(Allocation!H21="","",Allocation!H21)</f>
        <v/>
      </c>
      <c r="G21" t="str">
        <f>IF(Allocation!D21="","",Allocation!I21)</f>
        <v/>
      </c>
      <c r="H21" t="str">
        <f>IF(Allocation!D21="","",Allocation!J21)</f>
        <v/>
      </c>
      <c r="I21" t="str">
        <f>IF(Allocation!D21="","",Allocation!K21)</f>
        <v/>
      </c>
      <c r="J21" t="str">
        <f>IF($A21="","",SUMIFS(Socle!$K$1:$K$1000,Socle!$C$1:$C$1000,$B21,Socle!$D$1:$D$1000,$D21,Socle!$E$1:$E$1000,$E21,Socle!$F$1:$F$1000,$F21,Socle!$G$1:$G$1000,$A21))</f>
        <v/>
      </c>
      <c r="K21" t="str">
        <f t="shared" si="0"/>
        <v/>
      </c>
      <c r="L21" t="str">
        <f>IF($A21="","",SUMIFS(Allocation!$I$1:$I$175,Allocation!$C$1:$C$175,$A21,Allocation!$D$1:$D$175,$B21))</f>
        <v/>
      </c>
      <c r="M21" t="str">
        <f>IF($A21="","",SUMIFS(Allocation!$J$1:$J$175,Allocation!$C$1:$C$175,$A21,Allocation!$D$1:$D$175,$B21))</f>
        <v/>
      </c>
      <c r="N21" t="str">
        <f>IF($A21="","",SUMIFS(Allocation!$K$1:$K$175,Allocation!$C$1:$C$175,$A21,Allocation!$D$1:$D$175,$B21))</f>
        <v/>
      </c>
      <c r="O21" t="str">
        <f t="shared" si="1"/>
        <v/>
      </c>
      <c r="P21" t="str">
        <f t="shared" si="2"/>
        <v/>
      </c>
      <c r="Q21" t="str">
        <f>IF($A21="","",SUMIFS(Allocation!$I$1:$I$175,Allocation!$C$1:$C$175,$A21,Allocation!$E$1:$E$175,$C21))</f>
        <v/>
      </c>
      <c r="R21" t="str">
        <f>IF($A21="","",SUMIFS(Allocation!$J$1:$J$175,Allocation!$C$1:$C$175,$A21,Allocation!$E$1:$E$175,$C21))</f>
        <v/>
      </c>
      <c r="S21" t="str">
        <f>IF($A21="","",SUMIFS(Allocation!$K$1:$K$175,Allocation!$C$1:$C$175,$A21,Allocation!$E$1:$E$175,$C21))</f>
        <v/>
      </c>
      <c r="T21" t="str">
        <f>IF($A21="","",SUMIFS(Allocation!$I$1:$I$175,Allocation!$C$1:$C$175,$A21))</f>
        <v/>
      </c>
      <c r="U21" t="str">
        <f>IF($A21="","",SUMIFS(Allocation!$J$1:$J$175,Allocation!$C$1:$C$175,$A21))</f>
        <v/>
      </c>
      <c r="V21" t="str">
        <f>IF($A21="","",SUMIFS(Allocation!$K$1:$K$175,Allocation!$C$1:$C$175,$A21))</f>
        <v/>
      </c>
      <c r="W21" t="str">
        <f>IF($A21="","",SUMIFS(Compta!$F$1:$F$675,Compta!$A$1:$A$675,$B21,Compta!$B$1:$B$675,"621",Compta!$C$1:$C$675,$A21))</f>
        <v/>
      </c>
      <c r="X21" t="str">
        <f>IF($A21="","",SUMIFS(Compta!$F$1:$F$675,Compta!$A$1:$A$675,$B21,Compta!$B$1:$B$675,"6411",Compta!$C$1:$C$675,$A21))</f>
        <v/>
      </c>
      <c r="Y21" t="str">
        <f>IF($A21="","",SUMIFS(Compta!$F$1:$F$675,Compta!$A$1:$A$675,$B21,Compta!$B$1:$B$675,"604",Compta!$C$1:$C$675,$A21)+SUMIFS(Compta!$F$1:$F$675,Compta!$A$1:$A$675,$B21,Compta!$B$1:$B$675,"6063",Compta!$C$1:$C$675,$A21))</f>
        <v/>
      </c>
      <c r="Z21" t="str">
        <f>IF($A21="","",SUMIFS(Compta!$F$1:$F$675,Compta!$A$1:$A$675,$B21,Compta!$B$1:$B$675,"6231",Compta!$C$1:$C$675,$A21))</f>
        <v/>
      </c>
      <c r="AA21" t="str">
        <f>IF($A21="","",SUMIFS(Compta!$F$1:$F$675,Compta!$A$1:$A$675,$B21,Compta!$B$1:$B$675,"6413",Compta!$C$1:$C$675,$A21)+SUMIFS(Compta!$F$1:$F$675,Compta!$A$1:$A$675,$B21,Compta!$B$1:$B$675,"645",Compta!$C$1:$C$675,$A21)+SUMIFS(Compta!$F$1:$F$675,Compta!$A$1:$A$675,$B21,Compta!$B$1:$B$675,"613",Compta!$C$1:$C$675,$A21)+SUMIFS(Compta!$F$1:$F$675,Compta!$A$1:$A$675,$B21,Compta!$B$1:$B$675,"615",Compta!$C$1:$C$675,$A21)+SUMIFS(Compta!$F$1:$F$675,Compta!$A$1:$A$675,$B21,Compta!$B$1:$B$675,"616",Compta!$C$1:$C$675,$A21)+SUMIFS(Compta!$F$1:$F$675,Compta!$A$1:$A$675,$B21,Compta!$B$1:$B$675,"625",Compta!$C$1:$C$675,$A21)+SUMIFS(Compta!$F$1:$F$675,Compta!$A$1:$A$675,$B21,Compta!$B$1:$B$675,"63511",Compta!$C$1:$C$675,$A21))</f>
        <v/>
      </c>
      <c r="AB21" t="str">
        <f>IF($A21="","",SUMIFS(Compta!$F$1:$F$675,Compta!$A$1:$A$675,"GRP",Compta!$B$1:$B$675,"6414",Compta!$C$1:$C$675,$A21)+SUMIFS(Compta!$F$1:$F$675,Compta!$A$1:$A$675,"GRP",Compta!$B$1:$B$675,"6226",Compta!$C$1:$C$675,$A21)+SUMIFS(Compta!$F$1:$F$675,Compta!$A$1:$A$675,"GRP",Compta!$B$1:$B$675,"626",Compta!$C$1:$C$675,$A21)+SUMIFS(Compta!$F$1:$F$675,Compta!$A$1:$A$675,"GRP",Compta!$B$1:$B$675,"6281",Compta!$C$1:$C$675,$A21)+SUMIFS(Compta!$F$1:$F$675,Compta!$A$1:$A$675,"GRP",Compta!$B$1:$B$675,"6331",Compta!$C$1:$C$675,$A21)+SUMIFS(Compta!$F$1:$F$675,Compta!$A$1:$A$675,"GRP",Compta!$B$1:$B$675,"6333",Compta!$C$1:$C$675,$A21))</f>
        <v/>
      </c>
      <c r="AC21" t="str">
        <f t="shared" si="3"/>
        <v/>
      </c>
      <c r="AD21" t="str">
        <f t="shared" si="4"/>
        <v/>
      </c>
      <c r="AE21" t="str">
        <f t="shared" si="5"/>
        <v/>
      </c>
      <c r="AF21" t="str">
        <f t="shared" si="6"/>
        <v/>
      </c>
      <c r="AG21" t="str">
        <f t="shared" si="7"/>
        <v/>
      </c>
      <c r="AH21" t="str">
        <f t="shared" si="8"/>
        <v/>
      </c>
      <c r="AI21" t="str">
        <f t="shared" si="9"/>
        <v/>
      </c>
      <c r="AJ21" t="str">
        <f t="shared" si="10"/>
        <v/>
      </c>
      <c r="AK21" t="str">
        <f t="shared" si="11"/>
        <v/>
      </c>
      <c r="AL21" t="str">
        <f t="shared" si="12"/>
        <v/>
      </c>
      <c r="AM21" t="str">
        <f t="shared" si="13"/>
        <v/>
      </c>
      <c r="AN21" t="str">
        <f t="shared" si="14"/>
        <v/>
      </c>
      <c r="AO21" t="str">
        <f>IF($A21="","",SUMIFS(Compta!$F$1:$F$675,Compta!$A$1:$A$675,"GRP",Compta!$B$1:$B$675,"6236",Compta!$C$1:$C$675,$A21))</f>
        <v/>
      </c>
      <c r="AP21" t="str">
        <f t="shared" si="15"/>
        <v/>
      </c>
      <c r="AQ21" t="str">
        <f t="shared" si="16"/>
        <v/>
      </c>
      <c r="AR21" t="str">
        <f t="shared" si="17"/>
        <v/>
      </c>
    </row>
    <row r="22" spans="1:44" x14ac:dyDescent="0.45">
      <c r="A22" t="str">
        <f>IF(Allocation!C22="","",Allocation!C22)</f>
        <v/>
      </c>
      <c r="B22" t="str">
        <f>IF(Allocation!D22="","",Allocation!D22)</f>
        <v/>
      </c>
      <c r="C22" t="str">
        <f>IF(Allocation!E22="","",Allocation!E22)</f>
        <v/>
      </c>
      <c r="D22" t="str">
        <f>IF(Allocation!F22="","",Allocation!F22)</f>
        <v/>
      </c>
      <c r="E22" t="str">
        <f>IF(Allocation!G22="","",Allocation!G22)</f>
        <v/>
      </c>
      <c r="F22" t="str">
        <f>IF(Allocation!H22="","",Allocation!H22)</f>
        <v/>
      </c>
      <c r="G22" t="str">
        <f>IF(Allocation!D22="","",Allocation!I22)</f>
        <v/>
      </c>
      <c r="H22" t="str">
        <f>IF(Allocation!D22="","",Allocation!J22)</f>
        <v/>
      </c>
      <c r="I22" t="str">
        <f>IF(Allocation!D22="","",Allocation!K22)</f>
        <v/>
      </c>
      <c r="J22" t="str">
        <f>IF($A22="","",SUMIFS(Socle!$K$1:$K$1000,Socle!$C$1:$C$1000,$B22,Socle!$D$1:$D$1000,$D22,Socle!$E$1:$E$1000,$E22,Socle!$F$1:$F$1000,$F22,Socle!$G$1:$G$1000,$A22))</f>
        <v/>
      </c>
      <c r="K22" t="str">
        <f t="shared" si="0"/>
        <v/>
      </c>
      <c r="L22" t="str">
        <f>IF($A22="","",SUMIFS(Allocation!$I$1:$I$175,Allocation!$C$1:$C$175,$A22,Allocation!$D$1:$D$175,$B22))</f>
        <v/>
      </c>
      <c r="M22" t="str">
        <f>IF($A22="","",SUMIFS(Allocation!$J$1:$J$175,Allocation!$C$1:$C$175,$A22,Allocation!$D$1:$D$175,$B22))</f>
        <v/>
      </c>
      <c r="N22" t="str">
        <f>IF($A22="","",SUMIFS(Allocation!$K$1:$K$175,Allocation!$C$1:$C$175,$A22,Allocation!$D$1:$D$175,$B22))</f>
        <v/>
      </c>
      <c r="O22" t="str">
        <f t="shared" si="1"/>
        <v/>
      </c>
      <c r="P22" t="str">
        <f t="shared" si="2"/>
        <v/>
      </c>
      <c r="Q22" t="str">
        <f>IF($A22="","",SUMIFS(Allocation!$I$1:$I$175,Allocation!$C$1:$C$175,$A22,Allocation!$E$1:$E$175,$C22))</f>
        <v/>
      </c>
      <c r="R22" t="str">
        <f>IF($A22="","",SUMIFS(Allocation!$J$1:$J$175,Allocation!$C$1:$C$175,$A22,Allocation!$E$1:$E$175,$C22))</f>
        <v/>
      </c>
      <c r="S22" t="str">
        <f>IF($A22="","",SUMIFS(Allocation!$K$1:$K$175,Allocation!$C$1:$C$175,$A22,Allocation!$E$1:$E$175,$C22))</f>
        <v/>
      </c>
      <c r="T22" t="str">
        <f>IF($A22="","",SUMIFS(Allocation!$I$1:$I$175,Allocation!$C$1:$C$175,$A22))</f>
        <v/>
      </c>
      <c r="U22" t="str">
        <f>IF($A22="","",SUMIFS(Allocation!$J$1:$J$175,Allocation!$C$1:$C$175,$A22))</f>
        <v/>
      </c>
      <c r="V22" t="str">
        <f>IF($A22="","",SUMIFS(Allocation!$K$1:$K$175,Allocation!$C$1:$C$175,$A22))</f>
        <v/>
      </c>
      <c r="W22" t="str">
        <f>IF($A22="","",SUMIFS(Compta!$F$1:$F$675,Compta!$A$1:$A$675,$B22,Compta!$B$1:$B$675,"621",Compta!$C$1:$C$675,$A22))</f>
        <v/>
      </c>
      <c r="X22" t="str">
        <f>IF($A22="","",SUMIFS(Compta!$F$1:$F$675,Compta!$A$1:$A$675,$B22,Compta!$B$1:$B$675,"6411",Compta!$C$1:$C$675,$A22))</f>
        <v/>
      </c>
      <c r="Y22" t="str">
        <f>IF($A22="","",SUMIFS(Compta!$F$1:$F$675,Compta!$A$1:$A$675,$B22,Compta!$B$1:$B$675,"604",Compta!$C$1:$C$675,$A22)+SUMIFS(Compta!$F$1:$F$675,Compta!$A$1:$A$675,$B22,Compta!$B$1:$B$675,"6063",Compta!$C$1:$C$675,$A22))</f>
        <v/>
      </c>
      <c r="Z22" t="str">
        <f>IF($A22="","",SUMIFS(Compta!$F$1:$F$675,Compta!$A$1:$A$675,$B22,Compta!$B$1:$B$675,"6231",Compta!$C$1:$C$675,$A22))</f>
        <v/>
      </c>
      <c r="AA22" t="str">
        <f>IF($A22="","",SUMIFS(Compta!$F$1:$F$675,Compta!$A$1:$A$675,$B22,Compta!$B$1:$B$675,"6413",Compta!$C$1:$C$675,$A22)+SUMIFS(Compta!$F$1:$F$675,Compta!$A$1:$A$675,$B22,Compta!$B$1:$B$675,"645",Compta!$C$1:$C$675,$A22)+SUMIFS(Compta!$F$1:$F$675,Compta!$A$1:$A$675,$B22,Compta!$B$1:$B$675,"613",Compta!$C$1:$C$675,$A22)+SUMIFS(Compta!$F$1:$F$675,Compta!$A$1:$A$675,$B22,Compta!$B$1:$B$675,"615",Compta!$C$1:$C$675,$A22)+SUMIFS(Compta!$F$1:$F$675,Compta!$A$1:$A$675,$B22,Compta!$B$1:$B$675,"616",Compta!$C$1:$C$675,$A22)+SUMIFS(Compta!$F$1:$F$675,Compta!$A$1:$A$675,$B22,Compta!$B$1:$B$675,"625",Compta!$C$1:$C$675,$A22)+SUMIFS(Compta!$F$1:$F$675,Compta!$A$1:$A$675,$B22,Compta!$B$1:$B$675,"63511",Compta!$C$1:$C$675,$A22))</f>
        <v/>
      </c>
      <c r="AB22" t="str">
        <f>IF($A22="","",SUMIFS(Compta!$F$1:$F$675,Compta!$A$1:$A$675,"GRP",Compta!$B$1:$B$675,"6414",Compta!$C$1:$C$675,$A22)+SUMIFS(Compta!$F$1:$F$675,Compta!$A$1:$A$675,"GRP",Compta!$B$1:$B$675,"6226",Compta!$C$1:$C$675,$A22)+SUMIFS(Compta!$F$1:$F$675,Compta!$A$1:$A$675,"GRP",Compta!$B$1:$B$675,"626",Compta!$C$1:$C$675,$A22)+SUMIFS(Compta!$F$1:$F$675,Compta!$A$1:$A$675,"GRP",Compta!$B$1:$B$675,"6281",Compta!$C$1:$C$675,$A22)+SUMIFS(Compta!$F$1:$F$675,Compta!$A$1:$A$675,"GRP",Compta!$B$1:$B$675,"6331",Compta!$C$1:$C$675,$A22)+SUMIFS(Compta!$F$1:$F$675,Compta!$A$1:$A$675,"GRP",Compta!$B$1:$B$675,"6333",Compta!$C$1:$C$675,$A22))</f>
        <v/>
      </c>
      <c r="AC22" t="str">
        <f t="shared" si="3"/>
        <v/>
      </c>
      <c r="AD22" t="str">
        <f t="shared" si="4"/>
        <v/>
      </c>
      <c r="AE22" t="str">
        <f t="shared" si="5"/>
        <v/>
      </c>
      <c r="AF22" t="str">
        <f t="shared" si="6"/>
        <v/>
      </c>
      <c r="AG22" t="str">
        <f t="shared" si="7"/>
        <v/>
      </c>
      <c r="AH22" t="str">
        <f t="shared" si="8"/>
        <v/>
      </c>
      <c r="AI22" t="str">
        <f t="shared" si="9"/>
        <v/>
      </c>
      <c r="AJ22" t="str">
        <f t="shared" si="10"/>
        <v/>
      </c>
      <c r="AK22" t="str">
        <f t="shared" si="11"/>
        <v/>
      </c>
      <c r="AL22" t="str">
        <f t="shared" si="12"/>
        <v/>
      </c>
      <c r="AM22" t="str">
        <f t="shared" si="13"/>
        <v/>
      </c>
      <c r="AN22" t="str">
        <f t="shared" si="14"/>
        <v/>
      </c>
      <c r="AO22" t="str">
        <f>IF($A22="","",SUMIFS(Compta!$F$1:$F$675,Compta!$A$1:$A$675,"GRP",Compta!$B$1:$B$675,"6236",Compta!$C$1:$C$675,$A22))</f>
        <v/>
      </c>
      <c r="AP22" t="str">
        <f t="shared" si="15"/>
        <v/>
      </c>
      <c r="AQ22" t="str">
        <f t="shared" si="16"/>
        <v/>
      </c>
      <c r="AR22" t="str">
        <f t="shared" si="17"/>
        <v/>
      </c>
    </row>
    <row r="23" spans="1:44" x14ac:dyDescent="0.45">
      <c r="A23" t="str">
        <f>IF(Allocation!C23="","",Allocation!C23)</f>
        <v/>
      </c>
      <c r="B23" t="str">
        <f>IF(Allocation!D23="","",Allocation!D23)</f>
        <v/>
      </c>
      <c r="C23" t="str">
        <f>IF(Allocation!E23="","",Allocation!E23)</f>
        <v/>
      </c>
      <c r="D23" t="str">
        <f>IF(Allocation!F23="","",Allocation!F23)</f>
        <v/>
      </c>
      <c r="E23" t="str">
        <f>IF(Allocation!G23="","",Allocation!G23)</f>
        <v/>
      </c>
      <c r="F23" t="str">
        <f>IF(Allocation!H23="","",Allocation!H23)</f>
        <v/>
      </c>
      <c r="G23" t="str">
        <f>IF(Allocation!D23="","",Allocation!I23)</f>
        <v/>
      </c>
      <c r="H23" t="str">
        <f>IF(Allocation!D23="","",Allocation!J23)</f>
        <v/>
      </c>
      <c r="I23" t="str">
        <f>IF(Allocation!D23="","",Allocation!K23)</f>
        <v/>
      </c>
      <c r="J23" t="str">
        <f>IF($A23="","",SUMIFS(Socle!$K$1:$K$1000,Socle!$C$1:$C$1000,$B23,Socle!$D$1:$D$1000,$D23,Socle!$E$1:$E$1000,$E23,Socle!$F$1:$F$1000,$F23,Socle!$G$1:$G$1000,$A23))</f>
        <v/>
      </c>
      <c r="K23" t="str">
        <f t="shared" si="0"/>
        <v/>
      </c>
      <c r="L23" t="str">
        <f>IF($A23="","",SUMIFS(Allocation!$I$1:$I$175,Allocation!$C$1:$C$175,$A23,Allocation!$D$1:$D$175,$B23))</f>
        <v/>
      </c>
      <c r="M23" t="str">
        <f>IF($A23="","",SUMIFS(Allocation!$J$1:$J$175,Allocation!$C$1:$C$175,$A23,Allocation!$D$1:$D$175,$B23))</f>
        <v/>
      </c>
      <c r="N23" t="str">
        <f>IF($A23="","",SUMIFS(Allocation!$K$1:$K$175,Allocation!$C$1:$C$175,$A23,Allocation!$D$1:$D$175,$B23))</f>
        <v/>
      </c>
      <c r="O23" t="str">
        <f t="shared" si="1"/>
        <v/>
      </c>
      <c r="P23" t="str">
        <f t="shared" si="2"/>
        <v/>
      </c>
      <c r="Q23" t="str">
        <f>IF($A23="","",SUMIFS(Allocation!$I$1:$I$175,Allocation!$C$1:$C$175,$A23,Allocation!$E$1:$E$175,$C23))</f>
        <v/>
      </c>
      <c r="R23" t="str">
        <f>IF($A23="","",SUMIFS(Allocation!$J$1:$J$175,Allocation!$C$1:$C$175,$A23,Allocation!$E$1:$E$175,$C23))</f>
        <v/>
      </c>
      <c r="S23" t="str">
        <f>IF($A23="","",SUMIFS(Allocation!$K$1:$K$175,Allocation!$C$1:$C$175,$A23,Allocation!$E$1:$E$175,$C23))</f>
        <v/>
      </c>
      <c r="T23" t="str">
        <f>IF($A23="","",SUMIFS(Allocation!$I$1:$I$175,Allocation!$C$1:$C$175,$A23))</f>
        <v/>
      </c>
      <c r="U23" t="str">
        <f>IF($A23="","",SUMIFS(Allocation!$J$1:$J$175,Allocation!$C$1:$C$175,$A23))</f>
        <v/>
      </c>
      <c r="V23" t="str">
        <f>IF($A23="","",SUMIFS(Allocation!$K$1:$K$175,Allocation!$C$1:$C$175,$A23))</f>
        <v/>
      </c>
      <c r="W23" t="str">
        <f>IF($A23="","",SUMIFS(Compta!$F$1:$F$675,Compta!$A$1:$A$675,$B23,Compta!$B$1:$B$675,"621",Compta!$C$1:$C$675,$A23))</f>
        <v/>
      </c>
      <c r="X23" t="str">
        <f>IF($A23="","",SUMIFS(Compta!$F$1:$F$675,Compta!$A$1:$A$675,$B23,Compta!$B$1:$B$675,"6411",Compta!$C$1:$C$675,$A23))</f>
        <v/>
      </c>
      <c r="Y23" t="str">
        <f>IF($A23="","",SUMIFS(Compta!$F$1:$F$675,Compta!$A$1:$A$675,$B23,Compta!$B$1:$B$675,"604",Compta!$C$1:$C$675,$A23)+SUMIFS(Compta!$F$1:$F$675,Compta!$A$1:$A$675,$B23,Compta!$B$1:$B$675,"6063",Compta!$C$1:$C$675,$A23))</f>
        <v/>
      </c>
      <c r="Z23" t="str">
        <f>IF($A23="","",SUMIFS(Compta!$F$1:$F$675,Compta!$A$1:$A$675,$B23,Compta!$B$1:$B$675,"6231",Compta!$C$1:$C$675,$A23))</f>
        <v/>
      </c>
      <c r="AA23" t="str">
        <f>IF($A23="","",SUMIFS(Compta!$F$1:$F$675,Compta!$A$1:$A$675,$B23,Compta!$B$1:$B$675,"6413",Compta!$C$1:$C$675,$A23)+SUMIFS(Compta!$F$1:$F$675,Compta!$A$1:$A$675,$B23,Compta!$B$1:$B$675,"645",Compta!$C$1:$C$675,$A23)+SUMIFS(Compta!$F$1:$F$675,Compta!$A$1:$A$675,$B23,Compta!$B$1:$B$675,"613",Compta!$C$1:$C$675,$A23)+SUMIFS(Compta!$F$1:$F$675,Compta!$A$1:$A$675,$B23,Compta!$B$1:$B$675,"615",Compta!$C$1:$C$675,$A23)+SUMIFS(Compta!$F$1:$F$675,Compta!$A$1:$A$675,$B23,Compta!$B$1:$B$675,"616",Compta!$C$1:$C$675,$A23)+SUMIFS(Compta!$F$1:$F$675,Compta!$A$1:$A$675,$B23,Compta!$B$1:$B$675,"625",Compta!$C$1:$C$675,$A23)+SUMIFS(Compta!$F$1:$F$675,Compta!$A$1:$A$675,$B23,Compta!$B$1:$B$675,"63511",Compta!$C$1:$C$675,$A23))</f>
        <v/>
      </c>
      <c r="AB23" t="str">
        <f>IF($A23="","",SUMIFS(Compta!$F$1:$F$675,Compta!$A$1:$A$675,"GRP",Compta!$B$1:$B$675,"6414",Compta!$C$1:$C$675,$A23)+SUMIFS(Compta!$F$1:$F$675,Compta!$A$1:$A$675,"GRP",Compta!$B$1:$B$675,"6226",Compta!$C$1:$C$675,$A23)+SUMIFS(Compta!$F$1:$F$675,Compta!$A$1:$A$675,"GRP",Compta!$B$1:$B$675,"626",Compta!$C$1:$C$675,$A23)+SUMIFS(Compta!$F$1:$F$675,Compta!$A$1:$A$675,"GRP",Compta!$B$1:$B$675,"6281",Compta!$C$1:$C$675,$A23)+SUMIFS(Compta!$F$1:$F$675,Compta!$A$1:$A$675,"GRP",Compta!$B$1:$B$675,"6331",Compta!$C$1:$C$675,$A23)+SUMIFS(Compta!$F$1:$F$675,Compta!$A$1:$A$675,"GRP",Compta!$B$1:$B$675,"6333",Compta!$C$1:$C$675,$A23))</f>
        <v/>
      </c>
      <c r="AC23" t="str">
        <f t="shared" si="3"/>
        <v/>
      </c>
      <c r="AD23" t="str">
        <f t="shared" si="4"/>
        <v/>
      </c>
      <c r="AE23" t="str">
        <f t="shared" si="5"/>
        <v/>
      </c>
      <c r="AF23" t="str">
        <f t="shared" si="6"/>
        <v/>
      </c>
      <c r="AG23" t="str">
        <f t="shared" si="7"/>
        <v/>
      </c>
      <c r="AH23" t="str">
        <f t="shared" si="8"/>
        <v/>
      </c>
      <c r="AI23" t="str">
        <f t="shared" si="9"/>
        <v/>
      </c>
      <c r="AJ23" t="str">
        <f t="shared" si="10"/>
        <v/>
      </c>
      <c r="AK23" t="str">
        <f t="shared" si="11"/>
        <v/>
      </c>
      <c r="AL23" t="str">
        <f t="shared" si="12"/>
        <v/>
      </c>
      <c r="AM23" t="str">
        <f t="shared" si="13"/>
        <v/>
      </c>
      <c r="AN23" t="str">
        <f t="shared" si="14"/>
        <v/>
      </c>
      <c r="AO23" t="str">
        <f>IF($A23="","",SUMIFS(Compta!$F$1:$F$675,Compta!$A$1:$A$675,"GRP",Compta!$B$1:$B$675,"6236",Compta!$C$1:$C$675,$A23))</f>
        <v/>
      </c>
      <c r="AP23" t="str">
        <f t="shared" si="15"/>
        <v/>
      </c>
      <c r="AQ23" t="str">
        <f t="shared" si="16"/>
        <v/>
      </c>
      <c r="AR23" t="str">
        <f t="shared" si="17"/>
        <v/>
      </c>
    </row>
    <row r="24" spans="1:44" x14ac:dyDescent="0.45">
      <c r="A24" t="str">
        <f>IF(Allocation!C24="","",Allocation!C24)</f>
        <v/>
      </c>
      <c r="B24" t="str">
        <f>IF(Allocation!D24="","",Allocation!D24)</f>
        <v/>
      </c>
      <c r="C24" t="str">
        <f>IF(Allocation!E24="","",Allocation!E24)</f>
        <v/>
      </c>
      <c r="D24" t="str">
        <f>IF(Allocation!F24="","",Allocation!F24)</f>
        <v/>
      </c>
      <c r="E24" t="str">
        <f>IF(Allocation!G24="","",Allocation!G24)</f>
        <v/>
      </c>
      <c r="F24" t="str">
        <f>IF(Allocation!H24="","",Allocation!H24)</f>
        <v/>
      </c>
      <c r="G24" t="str">
        <f>IF(Allocation!D24="","",Allocation!I24)</f>
        <v/>
      </c>
      <c r="H24" t="str">
        <f>IF(Allocation!D24="","",Allocation!J24)</f>
        <v/>
      </c>
      <c r="I24" t="str">
        <f>IF(Allocation!D24="","",Allocation!K24)</f>
        <v/>
      </c>
      <c r="J24" t="str">
        <f>IF($A24="","",SUMIFS(Socle!$K$1:$K$1000,Socle!$C$1:$C$1000,$B24,Socle!$D$1:$D$1000,$D24,Socle!$E$1:$E$1000,$E24,Socle!$F$1:$F$1000,$F24,Socle!$G$1:$G$1000,$A24))</f>
        <v/>
      </c>
      <c r="K24" t="str">
        <f t="shared" si="0"/>
        <v/>
      </c>
      <c r="L24" t="str">
        <f>IF($A24="","",SUMIFS(Allocation!$I$1:$I$175,Allocation!$C$1:$C$175,$A24,Allocation!$D$1:$D$175,$B24))</f>
        <v/>
      </c>
      <c r="M24" t="str">
        <f>IF($A24="","",SUMIFS(Allocation!$J$1:$J$175,Allocation!$C$1:$C$175,$A24,Allocation!$D$1:$D$175,$B24))</f>
        <v/>
      </c>
      <c r="N24" t="str">
        <f>IF($A24="","",SUMIFS(Allocation!$K$1:$K$175,Allocation!$C$1:$C$175,$A24,Allocation!$D$1:$D$175,$B24))</f>
        <v/>
      </c>
      <c r="O24" t="str">
        <f t="shared" si="1"/>
        <v/>
      </c>
      <c r="P24" t="str">
        <f t="shared" si="2"/>
        <v/>
      </c>
      <c r="Q24" t="str">
        <f>IF($A24="","",SUMIFS(Allocation!$I$1:$I$175,Allocation!$C$1:$C$175,$A24,Allocation!$E$1:$E$175,$C24))</f>
        <v/>
      </c>
      <c r="R24" t="str">
        <f>IF($A24="","",SUMIFS(Allocation!$J$1:$J$175,Allocation!$C$1:$C$175,$A24,Allocation!$E$1:$E$175,$C24))</f>
        <v/>
      </c>
      <c r="S24" t="str">
        <f>IF($A24="","",SUMIFS(Allocation!$K$1:$K$175,Allocation!$C$1:$C$175,$A24,Allocation!$E$1:$E$175,$C24))</f>
        <v/>
      </c>
      <c r="T24" t="str">
        <f>IF($A24="","",SUMIFS(Allocation!$I$1:$I$175,Allocation!$C$1:$C$175,$A24))</f>
        <v/>
      </c>
      <c r="U24" t="str">
        <f>IF($A24="","",SUMIFS(Allocation!$J$1:$J$175,Allocation!$C$1:$C$175,$A24))</f>
        <v/>
      </c>
      <c r="V24" t="str">
        <f>IF($A24="","",SUMIFS(Allocation!$K$1:$K$175,Allocation!$C$1:$C$175,$A24))</f>
        <v/>
      </c>
      <c r="W24" t="str">
        <f>IF($A24="","",SUMIFS(Compta!$F$1:$F$675,Compta!$A$1:$A$675,$B24,Compta!$B$1:$B$675,"621",Compta!$C$1:$C$675,$A24))</f>
        <v/>
      </c>
      <c r="X24" t="str">
        <f>IF($A24="","",SUMIFS(Compta!$F$1:$F$675,Compta!$A$1:$A$675,$B24,Compta!$B$1:$B$675,"6411",Compta!$C$1:$C$675,$A24))</f>
        <v/>
      </c>
      <c r="Y24" t="str">
        <f>IF($A24="","",SUMIFS(Compta!$F$1:$F$675,Compta!$A$1:$A$675,$B24,Compta!$B$1:$B$675,"604",Compta!$C$1:$C$675,$A24)+SUMIFS(Compta!$F$1:$F$675,Compta!$A$1:$A$675,$B24,Compta!$B$1:$B$675,"6063",Compta!$C$1:$C$675,$A24))</f>
        <v/>
      </c>
      <c r="Z24" t="str">
        <f>IF($A24="","",SUMIFS(Compta!$F$1:$F$675,Compta!$A$1:$A$675,$B24,Compta!$B$1:$B$675,"6231",Compta!$C$1:$C$675,$A24))</f>
        <v/>
      </c>
      <c r="AA24" t="str">
        <f>IF($A24="","",SUMIFS(Compta!$F$1:$F$675,Compta!$A$1:$A$675,$B24,Compta!$B$1:$B$675,"6413",Compta!$C$1:$C$675,$A24)+SUMIFS(Compta!$F$1:$F$675,Compta!$A$1:$A$675,$B24,Compta!$B$1:$B$675,"645",Compta!$C$1:$C$675,$A24)+SUMIFS(Compta!$F$1:$F$675,Compta!$A$1:$A$675,$B24,Compta!$B$1:$B$675,"613",Compta!$C$1:$C$675,$A24)+SUMIFS(Compta!$F$1:$F$675,Compta!$A$1:$A$675,$B24,Compta!$B$1:$B$675,"615",Compta!$C$1:$C$675,$A24)+SUMIFS(Compta!$F$1:$F$675,Compta!$A$1:$A$675,$B24,Compta!$B$1:$B$675,"616",Compta!$C$1:$C$675,$A24)+SUMIFS(Compta!$F$1:$F$675,Compta!$A$1:$A$675,$B24,Compta!$B$1:$B$675,"625",Compta!$C$1:$C$675,$A24)+SUMIFS(Compta!$F$1:$F$675,Compta!$A$1:$A$675,$B24,Compta!$B$1:$B$675,"63511",Compta!$C$1:$C$675,$A24))</f>
        <v/>
      </c>
      <c r="AB24" t="str">
        <f>IF($A24="","",SUMIFS(Compta!$F$1:$F$675,Compta!$A$1:$A$675,"GRP",Compta!$B$1:$B$675,"6414",Compta!$C$1:$C$675,$A24)+SUMIFS(Compta!$F$1:$F$675,Compta!$A$1:$A$675,"GRP",Compta!$B$1:$B$675,"6226",Compta!$C$1:$C$675,$A24)+SUMIFS(Compta!$F$1:$F$675,Compta!$A$1:$A$675,"GRP",Compta!$B$1:$B$675,"626",Compta!$C$1:$C$675,$A24)+SUMIFS(Compta!$F$1:$F$675,Compta!$A$1:$A$675,"GRP",Compta!$B$1:$B$675,"6281",Compta!$C$1:$C$675,$A24)+SUMIFS(Compta!$F$1:$F$675,Compta!$A$1:$A$675,"GRP",Compta!$B$1:$B$675,"6331",Compta!$C$1:$C$675,$A24)+SUMIFS(Compta!$F$1:$F$675,Compta!$A$1:$A$675,"GRP",Compta!$B$1:$B$675,"6333",Compta!$C$1:$C$675,$A24))</f>
        <v/>
      </c>
      <c r="AC24" t="str">
        <f t="shared" si="3"/>
        <v/>
      </c>
      <c r="AD24" t="str">
        <f t="shared" si="4"/>
        <v/>
      </c>
      <c r="AE24" t="str">
        <f t="shared" si="5"/>
        <v/>
      </c>
      <c r="AF24" t="str">
        <f t="shared" si="6"/>
        <v/>
      </c>
      <c r="AG24" t="str">
        <f t="shared" si="7"/>
        <v/>
      </c>
      <c r="AH24" t="str">
        <f t="shared" si="8"/>
        <v/>
      </c>
      <c r="AI24" t="str">
        <f t="shared" si="9"/>
        <v/>
      </c>
      <c r="AJ24" t="str">
        <f t="shared" si="10"/>
        <v/>
      </c>
      <c r="AK24" t="str">
        <f t="shared" si="11"/>
        <v/>
      </c>
      <c r="AL24" t="str">
        <f t="shared" si="12"/>
        <v/>
      </c>
      <c r="AM24" t="str">
        <f t="shared" si="13"/>
        <v/>
      </c>
      <c r="AN24" t="str">
        <f t="shared" si="14"/>
        <v/>
      </c>
      <c r="AO24" t="str">
        <f>IF($A24="","",SUMIFS(Compta!$F$1:$F$675,Compta!$A$1:$A$675,"GRP",Compta!$B$1:$B$675,"6236",Compta!$C$1:$C$675,$A24))</f>
        <v/>
      </c>
      <c r="AP24" t="str">
        <f t="shared" si="15"/>
        <v/>
      </c>
      <c r="AQ24" t="str">
        <f t="shared" si="16"/>
        <v/>
      </c>
      <c r="AR24" t="str">
        <f t="shared" si="17"/>
        <v/>
      </c>
    </row>
    <row r="25" spans="1:44" x14ac:dyDescent="0.45">
      <c r="A25" t="str">
        <f>IF(Allocation!C25="","",Allocation!C25)</f>
        <v/>
      </c>
      <c r="B25" t="str">
        <f>IF(Allocation!D25="","",Allocation!D25)</f>
        <v/>
      </c>
      <c r="C25" t="str">
        <f>IF(Allocation!E25="","",Allocation!E25)</f>
        <v/>
      </c>
      <c r="D25" t="str">
        <f>IF(Allocation!F25="","",Allocation!F25)</f>
        <v/>
      </c>
      <c r="E25" t="str">
        <f>IF(Allocation!G25="","",Allocation!G25)</f>
        <v/>
      </c>
      <c r="F25" t="str">
        <f>IF(Allocation!H25="","",Allocation!H25)</f>
        <v/>
      </c>
      <c r="G25" t="str">
        <f>IF(Allocation!D25="","",Allocation!I25)</f>
        <v/>
      </c>
      <c r="H25" t="str">
        <f>IF(Allocation!D25="","",Allocation!J25)</f>
        <v/>
      </c>
      <c r="I25" t="str">
        <f>IF(Allocation!D25="","",Allocation!K25)</f>
        <v/>
      </c>
      <c r="J25" t="str">
        <f>IF($A25="","",SUMIFS(Socle!$K$1:$K$1000,Socle!$C$1:$C$1000,$B25,Socle!$D$1:$D$1000,$D25,Socle!$E$1:$E$1000,$E25,Socle!$F$1:$F$1000,$F25,Socle!$G$1:$G$1000,$A25))</f>
        <v/>
      </c>
      <c r="K25" t="str">
        <f t="shared" si="0"/>
        <v/>
      </c>
      <c r="L25" t="str">
        <f>IF($A25="","",SUMIFS(Allocation!$I$1:$I$175,Allocation!$C$1:$C$175,$A25,Allocation!$D$1:$D$175,$B25))</f>
        <v/>
      </c>
      <c r="M25" t="str">
        <f>IF($A25="","",SUMIFS(Allocation!$J$1:$J$175,Allocation!$C$1:$C$175,$A25,Allocation!$D$1:$D$175,$B25))</f>
        <v/>
      </c>
      <c r="N25" t="str">
        <f>IF($A25="","",SUMIFS(Allocation!$K$1:$K$175,Allocation!$C$1:$C$175,$A25,Allocation!$D$1:$D$175,$B25))</f>
        <v/>
      </c>
      <c r="O25" t="str">
        <f t="shared" si="1"/>
        <v/>
      </c>
      <c r="P25" t="str">
        <f t="shared" si="2"/>
        <v/>
      </c>
      <c r="Q25" t="str">
        <f>IF($A25="","",SUMIFS(Allocation!$I$1:$I$175,Allocation!$C$1:$C$175,$A25,Allocation!$E$1:$E$175,$C25))</f>
        <v/>
      </c>
      <c r="R25" t="str">
        <f>IF($A25="","",SUMIFS(Allocation!$J$1:$J$175,Allocation!$C$1:$C$175,$A25,Allocation!$E$1:$E$175,$C25))</f>
        <v/>
      </c>
      <c r="S25" t="str">
        <f>IF($A25="","",SUMIFS(Allocation!$K$1:$K$175,Allocation!$C$1:$C$175,$A25,Allocation!$E$1:$E$175,$C25))</f>
        <v/>
      </c>
      <c r="T25" t="str">
        <f>IF($A25="","",SUMIFS(Allocation!$I$1:$I$175,Allocation!$C$1:$C$175,$A25))</f>
        <v/>
      </c>
      <c r="U25" t="str">
        <f>IF($A25="","",SUMIFS(Allocation!$J$1:$J$175,Allocation!$C$1:$C$175,$A25))</f>
        <v/>
      </c>
      <c r="V25" t="str">
        <f>IF($A25="","",SUMIFS(Allocation!$K$1:$K$175,Allocation!$C$1:$C$175,$A25))</f>
        <v/>
      </c>
      <c r="W25" t="str">
        <f>IF($A25="","",SUMIFS(Compta!$F$1:$F$675,Compta!$A$1:$A$675,$B25,Compta!$B$1:$B$675,"621",Compta!$C$1:$C$675,$A25))</f>
        <v/>
      </c>
      <c r="X25" t="str">
        <f>IF($A25="","",SUMIFS(Compta!$F$1:$F$675,Compta!$A$1:$A$675,$B25,Compta!$B$1:$B$675,"6411",Compta!$C$1:$C$675,$A25))</f>
        <v/>
      </c>
      <c r="Y25" t="str">
        <f>IF($A25="","",SUMIFS(Compta!$F$1:$F$675,Compta!$A$1:$A$675,$B25,Compta!$B$1:$B$675,"604",Compta!$C$1:$C$675,$A25)+SUMIFS(Compta!$F$1:$F$675,Compta!$A$1:$A$675,$B25,Compta!$B$1:$B$675,"6063",Compta!$C$1:$C$675,$A25))</f>
        <v/>
      </c>
      <c r="Z25" t="str">
        <f>IF($A25="","",SUMIFS(Compta!$F$1:$F$675,Compta!$A$1:$A$675,$B25,Compta!$B$1:$B$675,"6231",Compta!$C$1:$C$675,$A25))</f>
        <v/>
      </c>
      <c r="AA25" t="str">
        <f>IF($A25="","",SUMIFS(Compta!$F$1:$F$675,Compta!$A$1:$A$675,$B25,Compta!$B$1:$B$675,"6413",Compta!$C$1:$C$675,$A25)+SUMIFS(Compta!$F$1:$F$675,Compta!$A$1:$A$675,$B25,Compta!$B$1:$B$675,"645",Compta!$C$1:$C$675,$A25)+SUMIFS(Compta!$F$1:$F$675,Compta!$A$1:$A$675,$B25,Compta!$B$1:$B$675,"613",Compta!$C$1:$C$675,$A25)+SUMIFS(Compta!$F$1:$F$675,Compta!$A$1:$A$675,$B25,Compta!$B$1:$B$675,"615",Compta!$C$1:$C$675,$A25)+SUMIFS(Compta!$F$1:$F$675,Compta!$A$1:$A$675,$B25,Compta!$B$1:$B$675,"616",Compta!$C$1:$C$675,$A25)+SUMIFS(Compta!$F$1:$F$675,Compta!$A$1:$A$675,$B25,Compta!$B$1:$B$675,"625",Compta!$C$1:$C$675,$A25)+SUMIFS(Compta!$F$1:$F$675,Compta!$A$1:$A$675,$B25,Compta!$B$1:$B$675,"63511",Compta!$C$1:$C$675,$A25))</f>
        <v/>
      </c>
      <c r="AB25" t="str">
        <f>IF($A25="","",SUMIFS(Compta!$F$1:$F$675,Compta!$A$1:$A$675,"GRP",Compta!$B$1:$B$675,"6414",Compta!$C$1:$C$675,$A25)+SUMIFS(Compta!$F$1:$F$675,Compta!$A$1:$A$675,"GRP",Compta!$B$1:$B$675,"6226",Compta!$C$1:$C$675,$A25)+SUMIFS(Compta!$F$1:$F$675,Compta!$A$1:$A$675,"GRP",Compta!$B$1:$B$675,"626",Compta!$C$1:$C$675,$A25)+SUMIFS(Compta!$F$1:$F$675,Compta!$A$1:$A$675,"GRP",Compta!$B$1:$B$675,"6281",Compta!$C$1:$C$675,$A25)+SUMIFS(Compta!$F$1:$F$675,Compta!$A$1:$A$675,"GRP",Compta!$B$1:$B$675,"6331",Compta!$C$1:$C$675,$A25)+SUMIFS(Compta!$F$1:$F$675,Compta!$A$1:$A$675,"GRP",Compta!$B$1:$B$675,"6333",Compta!$C$1:$C$675,$A25))</f>
        <v/>
      </c>
      <c r="AC25" t="str">
        <f t="shared" si="3"/>
        <v/>
      </c>
      <c r="AD25" t="str">
        <f t="shared" si="4"/>
        <v/>
      </c>
      <c r="AE25" t="str">
        <f t="shared" si="5"/>
        <v/>
      </c>
      <c r="AF25" t="str">
        <f t="shared" si="6"/>
        <v/>
      </c>
      <c r="AG25" t="str">
        <f t="shared" si="7"/>
        <v/>
      </c>
      <c r="AH25" t="str">
        <f t="shared" si="8"/>
        <v/>
      </c>
      <c r="AI25" t="str">
        <f t="shared" si="9"/>
        <v/>
      </c>
      <c r="AJ25" t="str">
        <f t="shared" si="10"/>
        <v/>
      </c>
      <c r="AK25" t="str">
        <f t="shared" si="11"/>
        <v/>
      </c>
      <c r="AL25" t="str">
        <f t="shared" si="12"/>
        <v/>
      </c>
      <c r="AM25" t="str">
        <f t="shared" si="13"/>
        <v/>
      </c>
      <c r="AN25" t="str">
        <f t="shared" si="14"/>
        <v/>
      </c>
      <c r="AO25" t="str">
        <f>IF($A25="","",SUMIFS(Compta!$F$1:$F$675,Compta!$A$1:$A$675,"GRP",Compta!$B$1:$B$675,"6236",Compta!$C$1:$C$675,$A25))</f>
        <v/>
      </c>
      <c r="AP25" t="str">
        <f t="shared" si="15"/>
        <v/>
      </c>
      <c r="AQ25" t="str">
        <f t="shared" si="16"/>
        <v/>
      </c>
      <c r="AR25" t="str">
        <f t="shared" si="17"/>
        <v/>
      </c>
    </row>
    <row r="26" spans="1:44" x14ac:dyDescent="0.45">
      <c r="A26" t="str">
        <f>IF(Allocation!C26="","",Allocation!C26)</f>
        <v/>
      </c>
      <c r="B26" t="str">
        <f>IF(Allocation!D26="","",Allocation!D26)</f>
        <v/>
      </c>
      <c r="C26" t="str">
        <f>IF(Allocation!E26="","",Allocation!E26)</f>
        <v/>
      </c>
      <c r="D26" t="str">
        <f>IF(Allocation!F26="","",Allocation!F26)</f>
        <v/>
      </c>
      <c r="E26" t="str">
        <f>IF(Allocation!G26="","",Allocation!G26)</f>
        <v/>
      </c>
      <c r="F26" t="str">
        <f>IF(Allocation!H26="","",Allocation!H26)</f>
        <v/>
      </c>
      <c r="G26" t="str">
        <f>IF(Allocation!D26="","",Allocation!I26)</f>
        <v/>
      </c>
      <c r="H26" t="str">
        <f>IF(Allocation!D26="","",Allocation!J26)</f>
        <v/>
      </c>
      <c r="I26" t="str">
        <f>IF(Allocation!D26="","",Allocation!K26)</f>
        <v/>
      </c>
      <c r="J26" t="str">
        <f>IF($A26="","",SUMIFS(Socle!$K$1:$K$1000,Socle!$C$1:$C$1000,$B26,Socle!$D$1:$D$1000,$D26,Socle!$E$1:$E$1000,$E26,Socle!$F$1:$F$1000,$F26,Socle!$G$1:$G$1000,$A26))</f>
        <v/>
      </c>
      <c r="K26" t="str">
        <f t="shared" si="0"/>
        <v/>
      </c>
      <c r="L26" t="str">
        <f>IF($A26="","",SUMIFS(Allocation!$I$1:$I$175,Allocation!$C$1:$C$175,$A26,Allocation!$D$1:$D$175,$B26))</f>
        <v/>
      </c>
      <c r="M26" t="str">
        <f>IF($A26="","",SUMIFS(Allocation!$J$1:$J$175,Allocation!$C$1:$C$175,$A26,Allocation!$D$1:$D$175,$B26))</f>
        <v/>
      </c>
      <c r="N26" t="str">
        <f>IF($A26="","",SUMIFS(Allocation!$K$1:$K$175,Allocation!$C$1:$C$175,$A26,Allocation!$D$1:$D$175,$B26))</f>
        <v/>
      </c>
      <c r="O26" t="str">
        <f t="shared" si="1"/>
        <v/>
      </c>
      <c r="P26" t="str">
        <f t="shared" si="2"/>
        <v/>
      </c>
      <c r="Q26" t="str">
        <f>IF($A26="","",SUMIFS(Allocation!$I$1:$I$175,Allocation!$C$1:$C$175,$A26,Allocation!$E$1:$E$175,$C26))</f>
        <v/>
      </c>
      <c r="R26" t="str">
        <f>IF($A26="","",SUMIFS(Allocation!$J$1:$J$175,Allocation!$C$1:$C$175,$A26,Allocation!$E$1:$E$175,$C26))</f>
        <v/>
      </c>
      <c r="S26" t="str">
        <f>IF($A26="","",SUMIFS(Allocation!$K$1:$K$175,Allocation!$C$1:$C$175,$A26,Allocation!$E$1:$E$175,$C26))</f>
        <v/>
      </c>
      <c r="T26" t="str">
        <f>IF($A26="","",SUMIFS(Allocation!$I$1:$I$175,Allocation!$C$1:$C$175,$A26))</f>
        <v/>
      </c>
      <c r="U26" t="str">
        <f>IF($A26="","",SUMIFS(Allocation!$J$1:$J$175,Allocation!$C$1:$C$175,$A26))</f>
        <v/>
      </c>
      <c r="V26" t="str">
        <f>IF($A26="","",SUMIFS(Allocation!$K$1:$K$175,Allocation!$C$1:$C$175,$A26))</f>
        <v/>
      </c>
      <c r="W26" t="str">
        <f>IF($A26="","",SUMIFS(Compta!$F$1:$F$675,Compta!$A$1:$A$675,$B26,Compta!$B$1:$B$675,"621",Compta!$C$1:$C$675,$A26))</f>
        <v/>
      </c>
      <c r="X26" t="str">
        <f>IF($A26="","",SUMIFS(Compta!$F$1:$F$675,Compta!$A$1:$A$675,$B26,Compta!$B$1:$B$675,"6411",Compta!$C$1:$C$675,$A26))</f>
        <v/>
      </c>
      <c r="Y26" t="str">
        <f>IF($A26="","",SUMIFS(Compta!$F$1:$F$675,Compta!$A$1:$A$675,$B26,Compta!$B$1:$B$675,"604",Compta!$C$1:$C$675,$A26)+SUMIFS(Compta!$F$1:$F$675,Compta!$A$1:$A$675,$B26,Compta!$B$1:$B$675,"6063",Compta!$C$1:$C$675,$A26))</f>
        <v/>
      </c>
      <c r="Z26" t="str">
        <f>IF($A26="","",SUMIFS(Compta!$F$1:$F$675,Compta!$A$1:$A$675,$B26,Compta!$B$1:$B$675,"6231",Compta!$C$1:$C$675,$A26))</f>
        <v/>
      </c>
      <c r="AA26" t="str">
        <f>IF($A26="","",SUMIFS(Compta!$F$1:$F$675,Compta!$A$1:$A$675,$B26,Compta!$B$1:$B$675,"6413",Compta!$C$1:$C$675,$A26)+SUMIFS(Compta!$F$1:$F$675,Compta!$A$1:$A$675,$B26,Compta!$B$1:$B$675,"645",Compta!$C$1:$C$675,$A26)+SUMIFS(Compta!$F$1:$F$675,Compta!$A$1:$A$675,$B26,Compta!$B$1:$B$675,"613",Compta!$C$1:$C$675,$A26)+SUMIFS(Compta!$F$1:$F$675,Compta!$A$1:$A$675,$B26,Compta!$B$1:$B$675,"615",Compta!$C$1:$C$675,$A26)+SUMIFS(Compta!$F$1:$F$675,Compta!$A$1:$A$675,$B26,Compta!$B$1:$B$675,"616",Compta!$C$1:$C$675,$A26)+SUMIFS(Compta!$F$1:$F$675,Compta!$A$1:$A$675,$B26,Compta!$B$1:$B$675,"625",Compta!$C$1:$C$675,$A26)+SUMIFS(Compta!$F$1:$F$675,Compta!$A$1:$A$675,$B26,Compta!$B$1:$B$675,"63511",Compta!$C$1:$C$675,$A26))</f>
        <v/>
      </c>
      <c r="AB26" t="str">
        <f>IF($A26="","",SUMIFS(Compta!$F$1:$F$675,Compta!$A$1:$A$675,"GRP",Compta!$B$1:$B$675,"6414",Compta!$C$1:$C$675,$A26)+SUMIFS(Compta!$F$1:$F$675,Compta!$A$1:$A$675,"GRP",Compta!$B$1:$B$675,"6226",Compta!$C$1:$C$675,$A26)+SUMIFS(Compta!$F$1:$F$675,Compta!$A$1:$A$675,"GRP",Compta!$B$1:$B$675,"626",Compta!$C$1:$C$675,$A26)+SUMIFS(Compta!$F$1:$F$675,Compta!$A$1:$A$675,"GRP",Compta!$B$1:$B$675,"6281",Compta!$C$1:$C$675,$A26)+SUMIFS(Compta!$F$1:$F$675,Compta!$A$1:$A$675,"GRP",Compta!$B$1:$B$675,"6331",Compta!$C$1:$C$675,$A26)+SUMIFS(Compta!$F$1:$F$675,Compta!$A$1:$A$675,"GRP",Compta!$B$1:$B$675,"6333",Compta!$C$1:$C$675,$A26))</f>
        <v/>
      </c>
      <c r="AC26" t="str">
        <f t="shared" si="3"/>
        <v/>
      </c>
      <c r="AD26" t="str">
        <f t="shared" si="4"/>
        <v/>
      </c>
      <c r="AE26" t="str">
        <f t="shared" si="5"/>
        <v/>
      </c>
      <c r="AF26" t="str">
        <f t="shared" si="6"/>
        <v/>
      </c>
      <c r="AG26" t="str">
        <f t="shared" si="7"/>
        <v/>
      </c>
      <c r="AH26" t="str">
        <f t="shared" si="8"/>
        <v/>
      </c>
      <c r="AI26" t="str">
        <f t="shared" si="9"/>
        <v/>
      </c>
      <c r="AJ26" t="str">
        <f t="shared" si="10"/>
        <v/>
      </c>
      <c r="AK26" t="str">
        <f t="shared" si="11"/>
        <v/>
      </c>
      <c r="AL26" t="str">
        <f t="shared" si="12"/>
        <v/>
      </c>
      <c r="AM26" t="str">
        <f t="shared" si="13"/>
        <v/>
      </c>
      <c r="AN26" t="str">
        <f t="shared" si="14"/>
        <v/>
      </c>
      <c r="AO26" t="str">
        <f>IF($A26="","",SUMIFS(Compta!$F$1:$F$675,Compta!$A$1:$A$675,"GRP",Compta!$B$1:$B$675,"6236",Compta!$C$1:$C$675,$A26))</f>
        <v/>
      </c>
      <c r="AP26" t="str">
        <f t="shared" si="15"/>
        <v/>
      </c>
      <c r="AQ26" t="str">
        <f t="shared" si="16"/>
        <v/>
      </c>
      <c r="AR26" t="str">
        <f t="shared" si="17"/>
        <v/>
      </c>
    </row>
    <row r="27" spans="1:44" x14ac:dyDescent="0.45">
      <c r="A27" t="str">
        <f>IF(Allocation!C27="","",Allocation!C27)</f>
        <v/>
      </c>
      <c r="B27" t="str">
        <f>IF(Allocation!D27="","",Allocation!D27)</f>
        <v/>
      </c>
      <c r="C27" t="str">
        <f>IF(Allocation!E27="","",Allocation!E27)</f>
        <v/>
      </c>
      <c r="D27" t="str">
        <f>IF(Allocation!F27="","",Allocation!F27)</f>
        <v/>
      </c>
      <c r="E27" t="str">
        <f>IF(Allocation!G27="","",Allocation!G27)</f>
        <v/>
      </c>
      <c r="F27" t="str">
        <f>IF(Allocation!H27="","",Allocation!H27)</f>
        <v/>
      </c>
      <c r="G27" t="str">
        <f>IF(Allocation!D27="","",Allocation!I27)</f>
        <v/>
      </c>
      <c r="H27" t="str">
        <f>IF(Allocation!D27="","",Allocation!J27)</f>
        <v/>
      </c>
      <c r="I27" t="str">
        <f>IF(Allocation!D27="","",Allocation!K27)</f>
        <v/>
      </c>
      <c r="J27" t="str">
        <f>IF($A27="","",SUMIFS(Socle!$K$1:$K$1000,Socle!$C$1:$C$1000,$B27,Socle!$D$1:$D$1000,$D27,Socle!$E$1:$E$1000,$E27,Socle!$F$1:$F$1000,$F27,Socle!$G$1:$G$1000,$A27))</f>
        <v/>
      </c>
      <c r="K27" t="str">
        <f t="shared" si="0"/>
        <v/>
      </c>
      <c r="L27" t="str">
        <f>IF($A27="","",SUMIFS(Allocation!$I$1:$I$175,Allocation!$C$1:$C$175,$A27,Allocation!$D$1:$D$175,$B27))</f>
        <v/>
      </c>
      <c r="M27" t="str">
        <f>IF($A27="","",SUMIFS(Allocation!$J$1:$J$175,Allocation!$C$1:$C$175,$A27,Allocation!$D$1:$D$175,$B27))</f>
        <v/>
      </c>
      <c r="N27" t="str">
        <f>IF($A27="","",SUMIFS(Allocation!$K$1:$K$175,Allocation!$C$1:$C$175,$A27,Allocation!$D$1:$D$175,$B27))</f>
        <v/>
      </c>
      <c r="O27" t="str">
        <f t="shared" si="1"/>
        <v/>
      </c>
      <c r="P27" t="str">
        <f t="shared" si="2"/>
        <v/>
      </c>
      <c r="Q27" t="str">
        <f>IF($A27="","",SUMIFS(Allocation!$I$1:$I$175,Allocation!$C$1:$C$175,$A27,Allocation!$E$1:$E$175,$C27))</f>
        <v/>
      </c>
      <c r="R27" t="str">
        <f>IF($A27="","",SUMIFS(Allocation!$J$1:$J$175,Allocation!$C$1:$C$175,$A27,Allocation!$E$1:$E$175,$C27))</f>
        <v/>
      </c>
      <c r="S27" t="str">
        <f>IF($A27="","",SUMIFS(Allocation!$K$1:$K$175,Allocation!$C$1:$C$175,$A27,Allocation!$E$1:$E$175,$C27))</f>
        <v/>
      </c>
      <c r="T27" t="str">
        <f>IF($A27="","",SUMIFS(Allocation!$I$1:$I$175,Allocation!$C$1:$C$175,$A27))</f>
        <v/>
      </c>
      <c r="U27" t="str">
        <f>IF($A27="","",SUMIFS(Allocation!$J$1:$J$175,Allocation!$C$1:$C$175,$A27))</f>
        <v/>
      </c>
      <c r="V27" t="str">
        <f>IF($A27="","",SUMIFS(Allocation!$K$1:$K$175,Allocation!$C$1:$C$175,$A27))</f>
        <v/>
      </c>
      <c r="W27" t="str">
        <f>IF($A27="","",SUMIFS(Compta!$F$1:$F$675,Compta!$A$1:$A$675,$B27,Compta!$B$1:$B$675,"621",Compta!$C$1:$C$675,$A27))</f>
        <v/>
      </c>
      <c r="X27" t="str">
        <f>IF($A27="","",SUMIFS(Compta!$F$1:$F$675,Compta!$A$1:$A$675,$B27,Compta!$B$1:$B$675,"6411",Compta!$C$1:$C$675,$A27))</f>
        <v/>
      </c>
      <c r="Y27" t="str">
        <f>IF($A27="","",SUMIFS(Compta!$F$1:$F$675,Compta!$A$1:$A$675,$B27,Compta!$B$1:$B$675,"604",Compta!$C$1:$C$675,$A27)+SUMIFS(Compta!$F$1:$F$675,Compta!$A$1:$A$675,$B27,Compta!$B$1:$B$675,"6063",Compta!$C$1:$C$675,$A27))</f>
        <v/>
      </c>
      <c r="Z27" t="str">
        <f>IF($A27="","",SUMIFS(Compta!$F$1:$F$675,Compta!$A$1:$A$675,$B27,Compta!$B$1:$B$675,"6231",Compta!$C$1:$C$675,$A27))</f>
        <v/>
      </c>
      <c r="AA27" t="str">
        <f>IF($A27="","",SUMIFS(Compta!$F$1:$F$675,Compta!$A$1:$A$675,$B27,Compta!$B$1:$B$675,"6413",Compta!$C$1:$C$675,$A27)+SUMIFS(Compta!$F$1:$F$675,Compta!$A$1:$A$675,$B27,Compta!$B$1:$B$675,"645",Compta!$C$1:$C$675,$A27)+SUMIFS(Compta!$F$1:$F$675,Compta!$A$1:$A$675,$B27,Compta!$B$1:$B$675,"613",Compta!$C$1:$C$675,$A27)+SUMIFS(Compta!$F$1:$F$675,Compta!$A$1:$A$675,$B27,Compta!$B$1:$B$675,"615",Compta!$C$1:$C$675,$A27)+SUMIFS(Compta!$F$1:$F$675,Compta!$A$1:$A$675,$B27,Compta!$B$1:$B$675,"616",Compta!$C$1:$C$675,$A27)+SUMIFS(Compta!$F$1:$F$675,Compta!$A$1:$A$675,$B27,Compta!$B$1:$B$675,"625",Compta!$C$1:$C$675,$A27)+SUMIFS(Compta!$F$1:$F$675,Compta!$A$1:$A$675,$B27,Compta!$B$1:$B$675,"63511",Compta!$C$1:$C$675,$A27))</f>
        <v/>
      </c>
      <c r="AB27" t="str">
        <f>IF($A27="","",SUMIFS(Compta!$F$1:$F$675,Compta!$A$1:$A$675,"GRP",Compta!$B$1:$B$675,"6414",Compta!$C$1:$C$675,$A27)+SUMIFS(Compta!$F$1:$F$675,Compta!$A$1:$A$675,"GRP",Compta!$B$1:$B$675,"6226",Compta!$C$1:$C$675,$A27)+SUMIFS(Compta!$F$1:$F$675,Compta!$A$1:$A$675,"GRP",Compta!$B$1:$B$675,"626",Compta!$C$1:$C$675,$A27)+SUMIFS(Compta!$F$1:$F$675,Compta!$A$1:$A$675,"GRP",Compta!$B$1:$B$675,"6281",Compta!$C$1:$C$675,$A27)+SUMIFS(Compta!$F$1:$F$675,Compta!$A$1:$A$675,"GRP",Compta!$B$1:$B$675,"6331",Compta!$C$1:$C$675,$A27)+SUMIFS(Compta!$F$1:$F$675,Compta!$A$1:$A$675,"GRP",Compta!$B$1:$B$675,"6333",Compta!$C$1:$C$675,$A27))</f>
        <v/>
      </c>
      <c r="AC27" t="str">
        <f t="shared" si="3"/>
        <v/>
      </c>
      <c r="AD27" t="str">
        <f t="shared" si="4"/>
        <v/>
      </c>
      <c r="AE27" t="str">
        <f t="shared" si="5"/>
        <v/>
      </c>
      <c r="AF27" t="str">
        <f t="shared" si="6"/>
        <v/>
      </c>
      <c r="AG27" t="str">
        <f t="shared" si="7"/>
        <v/>
      </c>
      <c r="AH27" t="str">
        <f t="shared" si="8"/>
        <v/>
      </c>
      <c r="AI27" t="str">
        <f t="shared" si="9"/>
        <v/>
      </c>
      <c r="AJ27" t="str">
        <f t="shared" si="10"/>
        <v/>
      </c>
      <c r="AK27" t="str">
        <f t="shared" si="11"/>
        <v/>
      </c>
      <c r="AL27" t="str">
        <f t="shared" si="12"/>
        <v/>
      </c>
      <c r="AM27" t="str">
        <f t="shared" si="13"/>
        <v/>
      </c>
      <c r="AN27" t="str">
        <f t="shared" si="14"/>
        <v/>
      </c>
      <c r="AO27" t="str">
        <f>IF($A27="","",SUMIFS(Compta!$F$1:$F$675,Compta!$A$1:$A$675,"GRP",Compta!$B$1:$B$675,"6236",Compta!$C$1:$C$675,$A27))</f>
        <v/>
      </c>
      <c r="AP27" t="str">
        <f t="shared" si="15"/>
        <v/>
      </c>
      <c r="AQ27" t="str">
        <f t="shared" si="16"/>
        <v/>
      </c>
      <c r="AR27" t="str">
        <f t="shared" si="17"/>
        <v/>
      </c>
    </row>
    <row r="28" spans="1:44" x14ac:dyDescent="0.45">
      <c r="A28" t="str">
        <f>IF(Allocation!C28="","",Allocation!C28)</f>
        <v/>
      </c>
      <c r="B28" t="str">
        <f>IF(Allocation!D28="","",Allocation!D28)</f>
        <v/>
      </c>
      <c r="C28" t="str">
        <f>IF(Allocation!E28="","",Allocation!E28)</f>
        <v/>
      </c>
      <c r="D28" t="str">
        <f>IF(Allocation!F28="","",Allocation!F28)</f>
        <v/>
      </c>
      <c r="E28" t="str">
        <f>IF(Allocation!G28="","",Allocation!G28)</f>
        <v/>
      </c>
      <c r="F28" t="str">
        <f>IF(Allocation!H28="","",Allocation!H28)</f>
        <v/>
      </c>
      <c r="G28" t="str">
        <f>IF(Allocation!D28="","",Allocation!I28)</f>
        <v/>
      </c>
      <c r="H28" t="str">
        <f>IF(Allocation!D28="","",Allocation!J28)</f>
        <v/>
      </c>
      <c r="I28" t="str">
        <f>IF(Allocation!D28="","",Allocation!K28)</f>
        <v/>
      </c>
      <c r="J28" t="str">
        <f>IF($A28="","",SUMIFS(Socle!$K$1:$K$1000,Socle!$C$1:$C$1000,$B28,Socle!$D$1:$D$1000,$D28,Socle!$E$1:$E$1000,$E28,Socle!$F$1:$F$1000,$F28,Socle!$G$1:$G$1000,$A28))</f>
        <v/>
      </c>
      <c r="K28" t="str">
        <f t="shared" si="0"/>
        <v/>
      </c>
      <c r="L28" t="str">
        <f>IF($A28="","",SUMIFS(Allocation!$I$1:$I$175,Allocation!$C$1:$C$175,$A28,Allocation!$D$1:$D$175,$B28))</f>
        <v/>
      </c>
      <c r="M28" t="str">
        <f>IF($A28="","",SUMIFS(Allocation!$J$1:$J$175,Allocation!$C$1:$C$175,$A28,Allocation!$D$1:$D$175,$B28))</f>
        <v/>
      </c>
      <c r="N28" t="str">
        <f>IF($A28="","",SUMIFS(Allocation!$K$1:$K$175,Allocation!$C$1:$C$175,$A28,Allocation!$D$1:$D$175,$B28))</f>
        <v/>
      </c>
      <c r="O28" t="str">
        <f t="shared" si="1"/>
        <v/>
      </c>
      <c r="P28" t="str">
        <f t="shared" si="2"/>
        <v/>
      </c>
      <c r="Q28" t="str">
        <f>IF($A28="","",SUMIFS(Allocation!$I$1:$I$175,Allocation!$C$1:$C$175,$A28,Allocation!$E$1:$E$175,$C28))</f>
        <v/>
      </c>
      <c r="R28" t="str">
        <f>IF($A28="","",SUMIFS(Allocation!$J$1:$J$175,Allocation!$C$1:$C$175,$A28,Allocation!$E$1:$E$175,$C28))</f>
        <v/>
      </c>
      <c r="S28" t="str">
        <f>IF($A28="","",SUMIFS(Allocation!$K$1:$K$175,Allocation!$C$1:$C$175,$A28,Allocation!$E$1:$E$175,$C28))</f>
        <v/>
      </c>
      <c r="T28" t="str">
        <f>IF($A28="","",SUMIFS(Allocation!$I$1:$I$175,Allocation!$C$1:$C$175,$A28))</f>
        <v/>
      </c>
      <c r="U28" t="str">
        <f>IF($A28="","",SUMIFS(Allocation!$J$1:$J$175,Allocation!$C$1:$C$175,$A28))</f>
        <v/>
      </c>
      <c r="V28" t="str">
        <f>IF($A28="","",SUMIFS(Allocation!$K$1:$K$175,Allocation!$C$1:$C$175,$A28))</f>
        <v/>
      </c>
      <c r="W28" t="str">
        <f>IF($A28="","",SUMIFS(Compta!$F$1:$F$675,Compta!$A$1:$A$675,$B28,Compta!$B$1:$B$675,"621",Compta!$C$1:$C$675,$A28))</f>
        <v/>
      </c>
      <c r="X28" t="str">
        <f>IF($A28="","",SUMIFS(Compta!$F$1:$F$675,Compta!$A$1:$A$675,$B28,Compta!$B$1:$B$675,"6411",Compta!$C$1:$C$675,$A28))</f>
        <v/>
      </c>
      <c r="Y28" t="str">
        <f>IF($A28="","",SUMIFS(Compta!$F$1:$F$675,Compta!$A$1:$A$675,$B28,Compta!$B$1:$B$675,"604",Compta!$C$1:$C$675,$A28)+SUMIFS(Compta!$F$1:$F$675,Compta!$A$1:$A$675,$B28,Compta!$B$1:$B$675,"6063",Compta!$C$1:$C$675,$A28))</f>
        <v/>
      </c>
      <c r="Z28" t="str">
        <f>IF($A28="","",SUMIFS(Compta!$F$1:$F$675,Compta!$A$1:$A$675,$B28,Compta!$B$1:$B$675,"6231",Compta!$C$1:$C$675,$A28))</f>
        <v/>
      </c>
      <c r="AA28" t="str">
        <f>IF($A28="","",SUMIFS(Compta!$F$1:$F$675,Compta!$A$1:$A$675,$B28,Compta!$B$1:$B$675,"6413",Compta!$C$1:$C$675,$A28)+SUMIFS(Compta!$F$1:$F$675,Compta!$A$1:$A$675,$B28,Compta!$B$1:$B$675,"645",Compta!$C$1:$C$675,$A28)+SUMIFS(Compta!$F$1:$F$675,Compta!$A$1:$A$675,$B28,Compta!$B$1:$B$675,"613",Compta!$C$1:$C$675,$A28)+SUMIFS(Compta!$F$1:$F$675,Compta!$A$1:$A$675,$B28,Compta!$B$1:$B$675,"615",Compta!$C$1:$C$675,$A28)+SUMIFS(Compta!$F$1:$F$675,Compta!$A$1:$A$675,$B28,Compta!$B$1:$B$675,"616",Compta!$C$1:$C$675,$A28)+SUMIFS(Compta!$F$1:$F$675,Compta!$A$1:$A$675,$B28,Compta!$B$1:$B$675,"625",Compta!$C$1:$C$675,$A28)+SUMIFS(Compta!$F$1:$F$675,Compta!$A$1:$A$675,$B28,Compta!$B$1:$B$675,"63511",Compta!$C$1:$C$675,$A28))</f>
        <v/>
      </c>
      <c r="AB28" t="str">
        <f>IF($A28="","",SUMIFS(Compta!$F$1:$F$675,Compta!$A$1:$A$675,"GRP",Compta!$B$1:$B$675,"6414",Compta!$C$1:$C$675,$A28)+SUMIFS(Compta!$F$1:$F$675,Compta!$A$1:$A$675,"GRP",Compta!$B$1:$B$675,"6226",Compta!$C$1:$C$675,$A28)+SUMIFS(Compta!$F$1:$F$675,Compta!$A$1:$A$675,"GRP",Compta!$B$1:$B$675,"626",Compta!$C$1:$C$675,$A28)+SUMIFS(Compta!$F$1:$F$675,Compta!$A$1:$A$675,"GRP",Compta!$B$1:$B$675,"6281",Compta!$C$1:$C$675,$A28)+SUMIFS(Compta!$F$1:$F$675,Compta!$A$1:$A$675,"GRP",Compta!$B$1:$B$675,"6331",Compta!$C$1:$C$675,$A28)+SUMIFS(Compta!$F$1:$F$675,Compta!$A$1:$A$675,"GRP",Compta!$B$1:$B$675,"6333",Compta!$C$1:$C$675,$A28))</f>
        <v/>
      </c>
      <c r="AC28" t="str">
        <f t="shared" si="3"/>
        <v/>
      </c>
      <c r="AD28" t="str">
        <f t="shared" si="4"/>
        <v/>
      </c>
      <c r="AE28" t="str">
        <f t="shared" si="5"/>
        <v/>
      </c>
      <c r="AF28" t="str">
        <f t="shared" si="6"/>
        <v/>
      </c>
      <c r="AG28" t="str">
        <f t="shared" si="7"/>
        <v/>
      </c>
      <c r="AH28" t="str">
        <f t="shared" si="8"/>
        <v/>
      </c>
      <c r="AI28" t="str">
        <f t="shared" si="9"/>
        <v/>
      </c>
      <c r="AJ28" t="str">
        <f t="shared" si="10"/>
        <v/>
      </c>
      <c r="AK28" t="str">
        <f t="shared" si="11"/>
        <v/>
      </c>
      <c r="AL28" t="str">
        <f t="shared" si="12"/>
        <v/>
      </c>
      <c r="AM28" t="str">
        <f t="shared" si="13"/>
        <v/>
      </c>
      <c r="AN28" t="str">
        <f t="shared" si="14"/>
        <v/>
      </c>
      <c r="AO28" t="str">
        <f>IF($A28="","",SUMIFS(Compta!$F$1:$F$675,Compta!$A$1:$A$675,"GRP",Compta!$B$1:$B$675,"6236",Compta!$C$1:$C$675,$A28))</f>
        <v/>
      </c>
      <c r="AP28" t="str">
        <f t="shared" si="15"/>
        <v/>
      </c>
      <c r="AQ28" t="str">
        <f t="shared" si="16"/>
        <v/>
      </c>
      <c r="AR28" t="str">
        <f t="shared" si="17"/>
        <v/>
      </c>
    </row>
    <row r="29" spans="1:44" x14ac:dyDescent="0.45">
      <c r="A29" t="str">
        <f>IF(Allocation!C29="","",Allocation!C29)</f>
        <v/>
      </c>
      <c r="B29" t="str">
        <f>IF(Allocation!D29="","",Allocation!D29)</f>
        <v/>
      </c>
      <c r="C29" t="str">
        <f>IF(Allocation!E29="","",Allocation!E29)</f>
        <v/>
      </c>
      <c r="D29" t="str">
        <f>IF(Allocation!F29="","",Allocation!F29)</f>
        <v/>
      </c>
      <c r="E29" t="str">
        <f>IF(Allocation!G29="","",Allocation!G29)</f>
        <v/>
      </c>
      <c r="F29" t="str">
        <f>IF(Allocation!H29="","",Allocation!H29)</f>
        <v/>
      </c>
      <c r="G29" t="str">
        <f>IF(Allocation!D29="","",Allocation!I29)</f>
        <v/>
      </c>
      <c r="H29" t="str">
        <f>IF(Allocation!D29="","",Allocation!J29)</f>
        <v/>
      </c>
      <c r="I29" t="str">
        <f>IF(Allocation!D29="","",Allocation!K29)</f>
        <v/>
      </c>
      <c r="J29" t="str">
        <f>IF($A29="","",SUMIFS(Socle!$K$1:$K$1000,Socle!$C$1:$C$1000,$B29,Socle!$D$1:$D$1000,$D29,Socle!$E$1:$E$1000,$E29,Socle!$F$1:$F$1000,$F29,Socle!$G$1:$G$1000,$A29))</f>
        <v/>
      </c>
      <c r="K29" t="str">
        <f t="shared" si="0"/>
        <v/>
      </c>
      <c r="L29" t="str">
        <f>IF($A29="","",SUMIFS(Allocation!$I$1:$I$175,Allocation!$C$1:$C$175,$A29,Allocation!$D$1:$D$175,$B29))</f>
        <v/>
      </c>
      <c r="M29" t="str">
        <f>IF($A29="","",SUMIFS(Allocation!$J$1:$J$175,Allocation!$C$1:$C$175,$A29,Allocation!$D$1:$D$175,$B29))</f>
        <v/>
      </c>
      <c r="N29" t="str">
        <f>IF($A29="","",SUMIFS(Allocation!$K$1:$K$175,Allocation!$C$1:$C$175,$A29,Allocation!$D$1:$D$175,$B29))</f>
        <v/>
      </c>
      <c r="O29" t="str">
        <f t="shared" si="1"/>
        <v/>
      </c>
      <c r="P29" t="str">
        <f t="shared" si="2"/>
        <v/>
      </c>
      <c r="Q29" t="str">
        <f>IF($A29="","",SUMIFS(Allocation!$I$1:$I$175,Allocation!$C$1:$C$175,$A29,Allocation!$E$1:$E$175,$C29))</f>
        <v/>
      </c>
      <c r="R29" t="str">
        <f>IF($A29="","",SUMIFS(Allocation!$J$1:$J$175,Allocation!$C$1:$C$175,$A29,Allocation!$E$1:$E$175,$C29))</f>
        <v/>
      </c>
      <c r="S29" t="str">
        <f>IF($A29="","",SUMIFS(Allocation!$K$1:$K$175,Allocation!$C$1:$C$175,$A29,Allocation!$E$1:$E$175,$C29))</f>
        <v/>
      </c>
      <c r="T29" t="str">
        <f>IF($A29="","",SUMIFS(Allocation!$I$1:$I$175,Allocation!$C$1:$C$175,$A29))</f>
        <v/>
      </c>
      <c r="U29" t="str">
        <f>IF($A29="","",SUMIFS(Allocation!$J$1:$J$175,Allocation!$C$1:$C$175,$A29))</f>
        <v/>
      </c>
      <c r="V29" t="str">
        <f>IF($A29="","",SUMIFS(Allocation!$K$1:$K$175,Allocation!$C$1:$C$175,$A29))</f>
        <v/>
      </c>
      <c r="W29" t="str">
        <f>IF($A29="","",SUMIFS(Compta!$F$1:$F$675,Compta!$A$1:$A$675,$B29,Compta!$B$1:$B$675,"621",Compta!$C$1:$C$675,$A29))</f>
        <v/>
      </c>
      <c r="X29" t="str">
        <f>IF($A29="","",SUMIFS(Compta!$F$1:$F$675,Compta!$A$1:$A$675,$B29,Compta!$B$1:$B$675,"6411",Compta!$C$1:$C$675,$A29))</f>
        <v/>
      </c>
      <c r="Y29" t="str">
        <f>IF($A29="","",SUMIFS(Compta!$F$1:$F$675,Compta!$A$1:$A$675,$B29,Compta!$B$1:$B$675,"604",Compta!$C$1:$C$675,$A29)+SUMIFS(Compta!$F$1:$F$675,Compta!$A$1:$A$675,$B29,Compta!$B$1:$B$675,"6063",Compta!$C$1:$C$675,$A29))</f>
        <v/>
      </c>
      <c r="Z29" t="str">
        <f>IF($A29="","",SUMIFS(Compta!$F$1:$F$675,Compta!$A$1:$A$675,$B29,Compta!$B$1:$B$675,"6231",Compta!$C$1:$C$675,$A29))</f>
        <v/>
      </c>
      <c r="AA29" t="str">
        <f>IF($A29="","",SUMIFS(Compta!$F$1:$F$675,Compta!$A$1:$A$675,$B29,Compta!$B$1:$B$675,"6413",Compta!$C$1:$C$675,$A29)+SUMIFS(Compta!$F$1:$F$675,Compta!$A$1:$A$675,$B29,Compta!$B$1:$B$675,"645",Compta!$C$1:$C$675,$A29)+SUMIFS(Compta!$F$1:$F$675,Compta!$A$1:$A$675,$B29,Compta!$B$1:$B$675,"613",Compta!$C$1:$C$675,$A29)+SUMIFS(Compta!$F$1:$F$675,Compta!$A$1:$A$675,$B29,Compta!$B$1:$B$675,"615",Compta!$C$1:$C$675,$A29)+SUMIFS(Compta!$F$1:$F$675,Compta!$A$1:$A$675,$B29,Compta!$B$1:$B$675,"616",Compta!$C$1:$C$675,$A29)+SUMIFS(Compta!$F$1:$F$675,Compta!$A$1:$A$675,$B29,Compta!$B$1:$B$675,"625",Compta!$C$1:$C$675,$A29)+SUMIFS(Compta!$F$1:$F$675,Compta!$A$1:$A$675,$B29,Compta!$B$1:$B$675,"63511",Compta!$C$1:$C$675,$A29))</f>
        <v/>
      </c>
      <c r="AB29" t="str">
        <f>IF($A29="","",SUMIFS(Compta!$F$1:$F$675,Compta!$A$1:$A$675,"GRP",Compta!$B$1:$B$675,"6414",Compta!$C$1:$C$675,$A29)+SUMIFS(Compta!$F$1:$F$675,Compta!$A$1:$A$675,"GRP",Compta!$B$1:$B$675,"6226",Compta!$C$1:$C$675,$A29)+SUMIFS(Compta!$F$1:$F$675,Compta!$A$1:$A$675,"GRP",Compta!$B$1:$B$675,"626",Compta!$C$1:$C$675,$A29)+SUMIFS(Compta!$F$1:$F$675,Compta!$A$1:$A$675,"GRP",Compta!$B$1:$B$675,"6281",Compta!$C$1:$C$675,$A29)+SUMIFS(Compta!$F$1:$F$675,Compta!$A$1:$A$675,"GRP",Compta!$B$1:$B$675,"6331",Compta!$C$1:$C$675,$A29)+SUMIFS(Compta!$F$1:$F$675,Compta!$A$1:$A$675,"GRP",Compta!$B$1:$B$675,"6333",Compta!$C$1:$C$675,$A29))</f>
        <v/>
      </c>
      <c r="AC29" t="str">
        <f t="shared" si="3"/>
        <v/>
      </c>
      <c r="AD29" t="str">
        <f t="shared" si="4"/>
        <v/>
      </c>
      <c r="AE29" t="str">
        <f t="shared" si="5"/>
        <v/>
      </c>
      <c r="AF29" t="str">
        <f t="shared" si="6"/>
        <v/>
      </c>
      <c r="AG29" t="str">
        <f t="shared" si="7"/>
        <v/>
      </c>
      <c r="AH29" t="str">
        <f t="shared" si="8"/>
        <v/>
      </c>
      <c r="AI29" t="str">
        <f t="shared" si="9"/>
        <v/>
      </c>
      <c r="AJ29" t="str">
        <f t="shared" si="10"/>
        <v/>
      </c>
      <c r="AK29" t="str">
        <f t="shared" si="11"/>
        <v/>
      </c>
      <c r="AL29" t="str">
        <f t="shared" si="12"/>
        <v/>
      </c>
      <c r="AM29" t="str">
        <f t="shared" si="13"/>
        <v/>
      </c>
      <c r="AN29" t="str">
        <f t="shared" si="14"/>
        <v/>
      </c>
      <c r="AO29" t="str">
        <f>IF($A29="","",SUMIFS(Compta!$F$1:$F$675,Compta!$A$1:$A$675,"GRP",Compta!$B$1:$B$675,"6236",Compta!$C$1:$C$675,$A29))</f>
        <v/>
      </c>
      <c r="AP29" t="str">
        <f t="shared" si="15"/>
        <v/>
      </c>
      <c r="AQ29" t="str">
        <f t="shared" si="16"/>
        <v/>
      </c>
      <c r="AR29" t="str">
        <f t="shared" si="17"/>
        <v/>
      </c>
    </row>
    <row r="30" spans="1:44" x14ac:dyDescent="0.45">
      <c r="A30" t="str">
        <f>IF(Allocation!C30="","",Allocation!C30)</f>
        <v/>
      </c>
      <c r="B30" t="str">
        <f>IF(Allocation!D30="","",Allocation!D30)</f>
        <v/>
      </c>
      <c r="C30" t="str">
        <f>IF(Allocation!E30="","",Allocation!E30)</f>
        <v/>
      </c>
      <c r="D30" t="str">
        <f>IF(Allocation!F30="","",Allocation!F30)</f>
        <v/>
      </c>
      <c r="E30" t="str">
        <f>IF(Allocation!G30="","",Allocation!G30)</f>
        <v/>
      </c>
      <c r="F30" t="str">
        <f>IF(Allocation!H30="","",Allocation!H30)</f>
        <v/>
      </c>
      <c r="G30" t="str">
        <f>IF(Allocation!D30="","",Allocation!I30)</f>
        <v/>
      </c>
      <c r="H30" t="str">
        <f>IF(Allocation!D30="","",Allocation!J30)</f>
        <v/>
      </c>
      <c r="I30" t="str">
        <f>IF(Allocation!D30="","",Allocation!K30)</f>
        <v/>
      </c>
      <c r="J30" t="str">
        <f>IF($A30="","",SUMIFS(Socle!$K$1:$K$1000,Socle!$C$1:$C$1000,$B30,Socle!$D$1:$D$1000,$D30,Socle!$E$1:$E$1000,$E30,Socle!$F$1:$F$1000,$F30,Socle!$G$1:$G$1000,$A30))</f>
        <v/>
      </c>
      <c r="K30" t="str">
        <f t="shared" si="0"/>
        <v/>
      </c>
      <c r="L30" t="str">
        <f>IF($A30="","",SUMIFS(Allocation!$I$1:$I$175,Allocation!$C$1:$C$175,$A30,Allocation!$D$1:$D$175,$B30))</f>
        <v/>
      </c>
      <c r="M30" t="str">
        <f>IF($A30="","",SUMIFS(Allocation!$J$1:$J$175,Allocation!$C$1:$C$175,$A30,Allocation!$D$1:$D$175,$B30))</f>
        <v/>
      </c>
      <c r="N30" t="str">
        <f>IF($A30="","",SUMIFS(Allocation!$K$1:$K$175,Allocation!$C$1:$C$175,$A30,Allocation!$D$1:$D$175,$B30))</f>
        <v/>
      </c>
      <c r="O30" t="str">
        <f t="shared" si="1"/>
        <v/>
      </c>
      <c r="P30" t="str">
        <f t="shared" si="2"/>
        <v/>
      </c>
      <c r="Q30" t="str">
        <f>IF($A30="","",SUMIFS(Allocation!$I$1:$I$175,Allocation!$C$1:$C$175,$A30,Allocation!$E$1:$E$175,$C30))</f>
        <v/>
      </c>
      <c r="R30" t="str">
        <f>IF($A30="","",SUMIFS(Allocation!$J$1:$J$175,Allocation!$C$1:$C$175,$A30,Allocation!$E$1:$E$175,$C30))</f>
        <v/>
      </c>
      <c r="S30" t="str">
        <f>IF($A30="","",SUMIFS(Allocation!$K$1:$K$175,Allocation!$C$1:$C$175,$A30,Allocation!$E$1:$E$175,$C30))</f>
        <v/>
      </c>
      <c r="T30" t="str">
        <f>IF($A30="","",SUMIFS(Allocation!$I$1:$I$175,Allocation!$C$1:$C$175,$A30))</f>
        <v/>
      </c>
      <c r="U30" t="str">
        <f>IF($A30="","",SUMIFS(Allocation!$J$1:$J$175,Allocation!$C$1:$C$175,$A30))</f>
        <v/>
      </c>
      <c r="V30" t="str">
        <f>IF($A30="","",SUMIFS(Allocation!$K$1:$K$175,Allocation!$C$1:$C$175,$A30))</f>
        <v/>
      </c>
      <c r="W30" t="str">
        <f>IF($A30="","",SUMIFS(Compta!$F$1:$F$675,Compta!$A$1:$A$675,$B30,Compta!$B$1:$B$675,"621",Compta!$C$1:$C$675,$A30))</f>
        <v/>
      </c>
      <c r="X30" t="str">
        <f>IF($A30="","",SUMIFS(Compta!$F$1:$F$675,Compta!$A$1:$A$675,$B30,Compta!$B$1:$B$675,"6411",Compta!$C$1:$C$675,$A30))</f>
        <v/>
      </c>
      <c r="Y30" t="str">
        <f>IF($A30="","",SUMIFS(Compta!$F$1:$F$675,Compta!$A$1:$A$675,$B30,Compta!$B$1:$B$675,"604",Compta!$C$1:$C$675,$A30)+SUMIFS(Compta!$F$1:$F$675,Compta!$A$1:$A$675,$B30,Compta!$B$1:$B$675,"6063",Compta!$C$1:$C$675,$A30))</f>
        <v/>
      </c>
      <c r="Z30" t="str">
        <f>IF($A30="","",SUMIFS(Compta!$F$1:$F$675,Compta!$A$1:$A$675,$B30,Compta!$B$1:$B$675,"6231",Compta!$C$1:$C$675,$A30))</f>
        <v/>
      </c>
      <c r="AA30" t="str">
        <f>IF($A30="","",SUMIFS(Compta!$F$1:$F$675,Compta!$A$1:$A$675,$B30,Compta!$B$1:$B$675,"6413",Compta!$C$1:$C$675,$A30)+SUMIFS(Compta!$F$1:$F$675,Compta!$A$1:$A$675,$B30,Compta!$B$1:$B$675,"645",Compta!$C$1:$C$675,$A30)+SUMIFS(Compta!$F$1:$F$675,Compta!$A$1:$A$675,$B30,Compta!$B$1:$B$675,"613",Compta!$C$1:$C$675,$A30)+SUMIFS(Compta!$F$1:$F$675,Compta!$A$1:$A$675,$B30,Compta!$B$1:$B$675,"615",Compta!$C$1:$C$675,$A30)+SUMIFS(Compta!$F$1:$F$675,Compta!$A$1:$A$675,$B30,Compta!$B$1:$B$675,"616",Compta!$C$1:$C$675,$A30)+SUMIFS(Compta!$F$1:$F$675,Compta!$A$1:$A$675,$B30,Compta!$B$1:$B$675,"625",Compta!$C$1:$C$675,$A30)+SUMIFS(Compta!$F$1:$F$675,Compta!$A$1:$A$675,$B30,Compta!$B$1:$B$675,"63511",Compta!$C$1:$C$675,$A30))</f>
        <v/>
      </c>
      <c r="AB30" t="str">
        <f>IF($A30="","",SUMIFS(Compta!$F$1:$F$675,Compta!$A$1:$A$675,"GRP",Compta!$B$1:$B$675,"6414",Compta!$C$1:$C$675,$A30)+SUMIFS(Compta!$F$1:$F$675,Compta!$A$1:$A$675,"GRP",Compta!$B$1:$B$675,"6226",Compta!$C$1:$C$675,$A30)+SUMIFS(Compta!$F$1:$F$675,Compta!$A$1:$A$675,"GRP",Compta!$B$1:$B$675,"626",Compta!$C$1:$C$675,$A30)+SUMIFS(Compta!$F$1:$F$675,Compta!$A$1:$A$675,"GRP",Compta!$B$1:$B$675,"6281",Compta!$C$1:$C$675,$A30)+SUMIFS(Compta!$F$1:$F$675,Compta!$A$1:$A$675,"GRP",Compta!$B$1:$B$675,"6331",Compta!$C$1:$C$675,$A30)+SUMIFS(Compta!$F$1:$F$675,Compta!$A$1:$A$675,"GRP",Compta!$B$1:$B$675,"6333",Compta!$C$1:$C$675,$A30))</f>
        <v/>
      </c>
      <c r="AC30" t="str">
        <f t="shared" si="3"/>
        <v/>
      </c>
      <c r="AD30" t="str">
        <f t="shared" si="4"/>
        <v/>
      </c>
      <c r="AE30" t="str">
        <f t="shared" si="5"/>
        <v/>
      </c>
      <c r="AF30" t="str">
        <f t="shared" si="6"/>
        <v/>
      </c>
      <c r="AG30" t="str">
        <f t="shared" si="7"/>
        <v/>
      </c>
      <c r="AH30" t="str">
        <f t="shared" si="8"/>
        <v/>
      </c>
      <c r="AI30" t="str">
        <f t="shared" si="9"/>
        <v/>
      </c>
      <c r="AJ30" t="str">
        <f t="shared" si="10"/>
        <v/>
      </c>
      <c r="AK30" t="str">
        <f t="shared" si="11"/>
        <v/>
      </c>
      <c r="AL30" t="str">
        <f t="shared" si="12"/>
        <v/>
      </c>
      <c r="AM30" t="str">
        <f t="shared" si="13"/>
        <v/>
      </c>
      <c r="AN30" t="str">
        <f t="shared" si="14"/>
        <v/>
      </c>
      <c r="AO30" t="str">
        <f>IF($A30="","",SUMIFS(Compta!$F$1:$F$675,Compta!$A$1:$A$675,"GRP",Compta!$B$1:$B$675,"6236",Compta!$C$1:$C$675,$A30))</f>
        <v/>
      </c>
      <c r="AP30" t="str">
        <f t="shared" si="15"/>
        <v/>
      </c>
      <c r="AQ30" t="str">
        <f t="shared" si="16"/>
        <v/>
      </c>
      <c r="AR30" t="str">
        <f t="shared" si="17"/>
        <v/>
      </c>
    </row>
    <row r="31" spans="1:44" x14ac:dyDescent="0.45">
      <c r="A31" t="str">
        <f>IF(Allocation!C31="","",Allocation!C31)</f>
        <v/>
      </c>
      <c r="B31" t="str">
        <f>IF(Allocation!D31="","",Allocation!D31)</f>
        <v/>
      </c>
      <c r="C31" t="str">
        <f>IF(Allocation!E31="","",Allocation!E31)</f>
        <v/>
      </c>
      <c r="D31" t="str">
        <f>IF(Allocation!F31="","",Allocation!F31)</f>
        <v/>
      </c>
      <c r="E31" t="str">
        <f>IF(Allocation!G31="","",Allocation!G31)</f>
        <v/>
      </c>
      <c r="F31" t="str">
        <f>IF(Allocation!H31="","",Allocation!H31)</f>
        <v/>
      </c>
      <c r="G31" t="str">
        <f>IF(Allocation!D31="","",Allocation!I31)</f>
        <v/>
      </c>
      <c r="H31" t="str">
        <f>IF(Allocation!D31="","",Allocation!J31)</f>
        <v/>
      </c>
      <c r="I31" t="str">
        <f>IF(Allocation!D31="","",Allocation!K31)</f>
        <v/>
      </c>
      <c r="J31" t="str">
        <f>IF($A31="","",SUMIFS(Socle!$K$1:$K$1000,Socle!$C$1:$C$1000,$B31,Socle!$D$1:$D$1000,$D31,Socle!$E$1:$E$1000,$E31,Socle!$F$1:$F$1000,$F31,Socle!$G$1:$G$1000,$A31))</f>
        <v/>
      </c>
      <c r="K31" t="str">
        <f t="shared" si="0"/>
        <v/>
      </c>
      <c r="L31" t="str">
        <f>IF($A31="","",SUMIFS(Allocation!$I$1:$I$175,Allocation!$C$1:$C$175,$A31,Allocation!$D$1:$D$175,$B31))</f>
        <v/>
      </c>
      <c r="M31" t="str">
        <f>IF($A31="","",SUMIFS(Allocation!$J$1:$J$175,Allocation!$C$1:$C$175,$A31,Allocation!$D$1:$D$175,$B31))</f>
        <v/>
      </c>
      <c r="N31" t="str">
        <f>IF($A31="","",SUMIFS(Allocation!$K$1:$K$175,Allocation!$C$1:$C$175,$A31,Allocation!$D$1:$D$175,$B31))</f>
        <v/>
      </c>
      <c r="O31" t="str">
        <f t="shared" si="1"/>
        <v/>
      </c>
      <c r="P31" t="str">
        <f t="shared" si="2"/>
        <v/>
      </c>
      <c r="Q31" t="str">
        <f>IF($A31="","",SUMIFS(Allocation!$I$1:$I$175,Allocation!$C$1:$C$175,$A31,Allocation!$E$1:$E$175,$C31))</f>
        <v/>
      </c>
      <c r="R31" t="str">
        <f>IF($A31="","",SUMIFS(Allocation!$J$1:$J$175,Allocation!$C$1:$C$175,$A31,Allocation!$E$1:$E$175,$C31))</f>
        <v/>
      </c>
      <c r="S31" t="str">
        <f>IF($A31="","",SUMIFS(Allocation!$K$1:$K$175,Allocation!$C$1:$C$175,$A31,Allocation!$E$1:$E$175,$C31))</f>
        <v/>
      </c>
      <c r="T31" t="str">
        <f>IF($A31="","",SUMIFS(Allocation!$I$1:$I$175,Allocation!$C$1:$C$175,$A31))</f>
        <v/>
      </c>
      <c r="U31" t="str">
        <f>IF($A31="","",SUMIFS(Allocation!$J$1:$J$175,Allocation!$C$1:$C$175,$A31))</f>
        <v/>
      </c>
      <c r="V31" t="str">
        <f>IF($A31="","",SUMIFS(Allocation!$K$1:$K$175,Allocation!$C$1:$C$175,$A31))</f>
        <v/>
      </c>
      <c r="W31" t="str">
        <f>IF($A31="","",SUMIFS(Compta!$F$1:$F$675,Compta!$A$1:$A$675,$B31,Compta!$B$1:$B$675,"621",Compta!$C$1:$C$675,$A31))</f>
        <v/>
      </c>
      <c r="X31" t="str">
        <f>IF($A31="","",SUMIFS(Compta!$F$1:$F$675,Compta!$A$1:$A$675,$B31,Compta!$B$1:$B$675,"6411",Compta!$C$1:$C$675,$A31))</f>
        <v/>
      </c>
      <c r="Y31" t="str">
        <f>IF($A31="","",SUMIFS(Compta!$F$1:$F$675,Compta!$A$1:$A$675,$B31,Compta!$B$1:$B$675,"604",Compta!$C$1:$C$675,$A31)+SUMIFS(Compta!$F$1:$F$675,Compta!$A$1:$A$675,$B31,Compta!$B$1:$B$675,"6063",Compta!$C$1:$C$675,$A31))</f>
        <v/>
      </c>
      <c r="Z31" t="str">
        <f>IF($A31="","",SUMIFS(Compta!$F$1:$F$675,Compta!$A$1:$A$675,$B31,Compta!$B$1:$B$675,"6231",Compta!$C$1:$C$675,$A31))</f>
        <v/>
      </c>
      <c r="AA31" t="str">
        <f>IF($A31="","",SUMIFS(Compta!$F$1:$F$675,Compta!$A$1:$A$675,$B31,Compta!$B$1:$B$675,"6413",Compta!$C$1:$C$675,$A31)+SUMIFS(Compta!$F$1:$F$675,Compta!$A$1:$A$675,$B31,Compta!$B$1:$B$675,"645",Compta!$C$1:$C$675,$A31)+SUMIFS(Compta!$F$1:$F$675,Compta!$A$1:$A$675,$B31,Compta!$B$1:$B$675,"613",Compta!$C$1:$C$675,$A31)+SUMIFS(Compta!$F$1:$F$675,Compta!$A$1:$A$675,$B31,Compta!$B$1:$B$675,"615",Compta!$C$1:$C$675,$A31)+SUMIFS(Compta!$F$1:$F$675,Compta!$A$1:$A$675,$B31,Compta!$B$1:$B$675,"616",Compta!$C$1:$C$675,$A31)+SUMIFS(Compta!$F$1:$F$675,Compta!$A$1:$A$675,$B31,Compta!$B$1:$B$675,"625",Compta!$C$1:$C$675,$A31)+SUMIFS(Compta!$F$1:$F$675,Compta!$A$1:$A$675,$B31,Compta!$B$1:$B$675,"63511",Compta!$C$1:$C$675,$A31))</f>
        <v/>
      </c>
      <c r="AB31" t="str">
        <f>IF($A31="","",SUMIFS(Compta!$F$1:$F$675,Compta!$A$1:$A$675,"GRP",Compta!$B$1:$B$675,"6414",Compta!$C$1:$C$675,$A31)+SUMIFS(Compta!$F$1:$F$675,Compta!$A$1:$A$675,"GRP",Compta!$B$1:$B$675,"6226",Compta!$C$1:$C$675,$A31)+SUMIFS(Compta!$F$1:$F$675,Compta!$A$1:$A$675,"GRP",Compta!$B$1:$B$675,"626",Compta!$C$1:$C$675,$A31)+SUMIFS(Compta!$F$1:$F$675,Compta!$A$1:$A$675,"GRP",Compta!$B$1:$B$675,"6281",Compta!$C$1:$C$675,$A31)+SUMIFS(Compta!$F$1:$F$675,Compta!$A$1:$A$675,"GRP",Compta!$B$1:$B$675,"6331",Compta!$C$1:$C$675,$A31)+SUMIFS(Compta!$F$1:$F$675,Compta!$A$1:$A$675,"GRP",Compta!$B$1:$B$675,"6333",Compta!$C$1:$C$675,$A31))</f>
        <v/>
      </c>
      <c r="AC31" t="str">
        <f t="shared" si="3"/>
        <v/>
      </c>
      <c r="AD31" t="str">
        <f t="shared" si="4"/>
        <v/>
      </c>
      <c r="AE31" t="str">
        <f t="shared" si="5"/>
        <v/>
      </c>
      <c r="AF31" t="str">
        <f t="shared" si="6"/>
        <v/>
      </c>
      <c r="AG31" t="str">
        <f t="shared" si="7"/>
        <v/>
      </c>
      <c r="AH31" t="str">
        <f t="shared" si="8"/>
        <v/>
      </c>
      <c r="AI31" t="str">
        <f t="shared" si="9"/>
        <v/>
      </c>
      <c r="AJ31" t="str">
        <f t="shared" si="10"/>
        <v/>
      </c>
      <c r="AK31" t="str">
        <f t="shared" si="11"/>
        <v/>
      </c>
      <c r="AL31" t="str">
        <f t="shared" si="12"/>
        <v/>
      </c>
      <c r="AM31" t="str">
        <f t="shared" si="13"/>
        <v/>
      </c>
      <c r="AN31" t="str">
        <f t="shared" si="14"/>
        <v/>
      </c>
      <c r="AO31" t="str">
        <f>IF($A31="","",SUMIFS(Compta!$F$1:$F$675,Compta!$A$1:$A$675,"GRP",Compta!$B$1:$B$675,"6236",Compta!$C$1:$C$675,$A31))</f>
        <v/>
      </c>
      <c r="AP31" t="str">
        <f t="shared" si="15"/>
        <v/>
      </c>
      <c r="AQ31" t="str">
        <f t="shared" si="16"/>
        <v/>
      </c>
      <c r="AR31" t="str">
        <f t="shared" si="17"/>
        <v/>
      </c>
    </row>
    <row r="32" spans="1:44" x14ac:dyDescent="0.45">
      <c r="A32" t="str">
        <f>IF(Allocation!C32="","",Allocation!C32)</f>
        <v/>
      </c>
      <c r="B32" t="str">
        <f>IF(Allocation!D32="","",Allocation!D32)</f>
        <v/>
      </c>
      <c r="C32" t="str">
        <f>IF(Allocation!E32="","",Allocation!E32)</f>
        <v/>
      </c>
      <c r="D32" t="str">
        <f>IF(Allocation!F32="","",Allocation!F32)</f>
        <v/>
      </c>
      <c r="E32" t="str">
        <f>IF(Allocation!G32="","",Allocation!G32)</f>
        <v/>
      </c>
      <c r="F32" t="str">
        <f>IF(Allocation!H32="","",Allocation!H32)</f>
        <v/>
      </c>
      <c r="G32" t="str">
        <f>IF(Allocation!D32="","",Allocation!I32)</f>
        <v/>
      </c>
      <c r="H32" t="str">
        <f>IF(Allocation!D32="","",Allocation!J32)</f>
        <v/>
      </c>
      <c r="I32" t="str">
        <f>IF(Allocation!D32="","",Allocation!K32)</f>
        <v/>
      </c>
      <c r="J32" t="str">
        <f>IF($A32="","",SUMIFS(Socle!$K$1:$K$1000,Socle!$C$1:$C$1000,$B32,Socle!$D$1:$D$1000,$D32,Socle!$E$1:$E$1000,$E32,Socle!$F$1:$F$1000,$F32,Socle!$G$1:$G$1000,$A32))</f>
        <v/>
      </c>
      <c r="K32" t="str">
        <f t="shared" si="0"/>
        <v/>
      </c>
      <c r="L32" t="str">
        <f>IF($A32="","",SUMIFS(Allocation!$I$1:$I$175,Allocation!$C$1:$C$175,$A32,Allocation!$D$1:$D$175,$B32))</f>
        <v/>
      </c>
      <c r="M32" t="str">
        <f>IF($A32="","",SUMIFS(Allocation!$J$1:$J$175,Allocation!$C$1:$C$175,$A32,Allocation!$D$1:$D$175,$B32))</f>
        <v/>
      </c>
      <c r="N32" t="str">
        <f>IF($A32="","",SUMIFS(Allocation!$K$1:$K$175,Allocation!$C$1:$C$175,$A32,Allocation!$D$1:$D$175,$B32))</f>
        <v/>
      </c>
      <c r="O32" t="str">
        <f t="shared" si="1"/>
        <v/>
      </c>
      <c r="P32" t="str">
        <f t="shared" si="2"/>
        <v/>
      </c>
      <c r="Q32" t="str">
        <f>IF($A32="","",SUMIFS(Allocation!$I$1:$I$175,Allocation!$C$1:$C$175,$A32,Allocation!$E$1:$E$175,$C32))</f>
        <v/>
      </c>
      <c r="R32" t="str">
        <f>IF($A32="","",SUMIFS(Allocation!$J$1:$J$175,Allocation!$C$1:$C$175,$A32,Allocation!$E$1:$E$175,$C32))</f>
        <v/>
      </c>
      <c r="S32" t="str">
        <f>IF($A32="","",SUMIFS(Allocation!$K$1:$K$175,Allocation!$C$1:$C$175,$A32,Allocation!$E$1:$E$175,$C32))</f>
        <v/>
      </c>
      <c r="T32" t="str">
        <f>IF($A32="","",SUMIFS(Allocation!$I$1:$I$175,Allocation!$C$1:$C$175,$A32))</f>
        <v/>
      </c>
      <c r="U32" t="str">
        <f>IF($A32="","",SUMIFS(Allocation!$J$1:$J$175,Allocation!$C$1:$C$175,$A32))</f>
        <v/>
      </c>
      <c r="V32" t="str">
        <f>IF($A32="","",SUMIFS(Allocation!$K$1:$K$175,Allocation!$C$1:$C$175,$A32))</f>
        <v/>
      </c>
      <c r="W32" t="str">
        <f>IF($A32="","",SUMIFS(Compta!$F$1:$F$675,Compta!$A$1:$A$675,$B32,Compta!$B$1:$B$675,"621",Compta!$C$1:$C$675,$A32))</f>
        <v/>
      </c>
      <c r="X32" t="str">
        <f>IF($A32="","",SUMIFS(Compta!$F$1:$F$675,Compta!$A$1:$A$675,$B32,Compta!$B$1:$B$675,"6411",Compta!$C$1:$C$675,$A32))</f>
        <v/>
      </c>
      <c r="Y32" t="str">
        <f>IF($A32="","",SUMIFS(Compta!$F$1:$F$675,Compta!$A$1:$A$675,$B32,Compta!$B$1:$B$675,"604",Compta!$C$1:$C$675,$A32)+SUMIFS(Compta!$F$1:$F$675,Compta!$A$1:$A$675,$B32,Compta!$B$1:$B$675,"6063",Compta!$C$1:$C$675,$A32))</f>
        <v/>
      </c>
      <c r="Z32" t="str">
        <f>IF($A32="","",SUMIFS(Compta!$F$1:$F$675,Compta!$A$1:$A$675,$B32,Compta!$B$1:$B$675,"6231",Compta!$C$1:$C$675,$A32))</f>
        <v/>
      </c>
      <c r="AA32" t="str">
        <f>IF($A32="","",SUMIFS(Compta!$F$1:$F$675,Compta!$A$1:$A$675,$B32,Compta!$B$1:$B$675,"6413",Compta!$C$1:$C$675,$A32)+SUMIFS(Compta!$F$1:$F$675,Compta!$A$1:$A$675,$B32,Compta!$B$1:$B$675,"645",Compta!$C$1:$C$675,$A32)+SUMIFS(Compta!$F$1:$F$675,Compta!$A$1:$A$675,$B32,Compta!$B$1:$B$675,"613",Compta!$C$1:$C$675,$A32)+SUMIFS(Compta!$F$1:$F$675,Compta!$A$1:$A$675,$B32,Compta!$B$1:$B$675,"615",Compta!$C$1:$C$675,$A32)+SUMIFS(Compta!$F$1:$F$675,Compta!$A$1:$A$675,$B32,Compta!$B$1:$B$675,"616",Compta!$C$1:$C$675,$A32)+SUMIFS(Compta!$F$1:$F$675,Compta!$A$1:$A$675,$B32,Compta!$B$1:$B$675,"625",Compta!$C$1:$C$675,$A32)+SUMIFS(Compta!$F$1:$F$675,Compta!$A$1:$A$675,$B32,Compta!$B$1:$B$675,"63511",Compta!$C$1:$C$675,$A32))</f>
        <v/>
      </c>
      <c r="AB32" t="str">
        <f>IF($A32="","",SUMIFS(Compta!$F$1:$F$675,Compta!$A$1:$A$675,"GRP",Compta!$B$1:$B$675,"6414",Compta!$C$1:$C$675,$A32)+SUMIFS(Compta!$F$1:$F$675,Compta!$A$1:$A$675,"GRP",Compta!$B$1:$B$675,"6226",Compta!$C$1:$C$675,$A32)+SUMIFS(Compta!$F$1:$F$675,Compta!$A$1:$A$675,"GRP",Compta!$B$1:$B$675,"626",Compta!$C$1:$C$675,$A32)+SUMIFS(Compta!$F$1:$F$675,Compta!$A$1:$A$675,"GRP",Compta!$B$1:$B$675,"6281",Compta!$C$1:$C$675,$A32)+SUMIFS(Compta!$F$1:$F$675,Compta!$A$1:$A$675,"GRP",Compta!$B$1:$B$675,"6331",Compta!$C$1:$C$675,$A32)+SUMIFS(Compta!$F$1:$F$675,Compta!$A$1:$A$675,"GRP",Compta!$B$1:$B$675,"6333",Compta!$C$1:$C$675,$A32))</f>
        <v/>
      </c>
      <c r="AC32" t="str">
        <f t="shared" si="3"/>
        <v/>
      </c>
      <c r="AD32" t="str">
        <f t="shared" si="4"/>
        <v/>
      </c>
      <c r="AE32" t="str">
        <f t="shared" si="5"/>
        <v/>
      </c>
      <c r="AF32" t="str">
        <f t="shared" si="6"/>
        <v/>
      </c>
      <c r="AG32" t="str">
        <f t="shared" si="7"/>
        <v/>
      </c>
      <c r="AH32" t="str">
        <f t="shared" si="8"/>
        <v/>
      </c>
      <c r="AI32" t="str">
        <f t="shared" si="9"/>
        <v/>
      </c>
      <c r="AJ32" t="str">
        <f t="shared" si="10"/>
        <v/>
      </c>
      <c r="AK32" t="str">
        <f t="shared" si="11"/>
        <v/>
      </c>
      <c r="AL32" t="str">
        <f t="shared" si="12"/>
        <v/>
      </c>
      <c r="AM32" t="str">
        <f t="shared" si="13"/>
        <v/>
      </c>
      <c r="AN32" t="str">
        <f t="shared" si="14"/>
        <v/>
      </c>
      <c r="AO32" t="str">
        <f>IF($A32="","",SUMIFS(Compta!$F$1:$F$675,Compta!$A$1:$A$675,"GRP",Compta!$B$1:$B$675,"6236",Compta!$C$1:$C$675,$A32))</f>
        <v/>
      </c>
      <c r="AP32" t="str">
        <f t="shared" si="15"/>
        <v/>
      </c>
      <c r="AQ32" t="str">
        <f t="shared" si="16"/>
        <v/>
      </c>
      <c r="AR32" t="str">
        <f t="shared" si="17"/>
        <v/>
      </c>
    </row>
    <row r="33" spans="1:44" x14ac:dyDescent="0.45">
      <c r="A33" t="str">
        <f>IF(Allocation!C33="","",Allocation!C33)</f>
        <v/>
      </c>
      <c r="B33" t="str">
        <f>IF(Allocation!D33="","",Allocation!D33)</f>
        <v/>
      </c>
      <c r="C33" t="str">
        <f>IF(Allocation!E33="","",Allocation!E33)</f>
        <v/>
      </c>
      <c r="D33" t="str">
        <f>IF(Allocation!F33="","",Allocation!F33)</f>
        <v/>
      </c>
      <c r="E33" t="str">
        <f>IF(Allocation!G33="","",Allocation!G33)</f>
        <v/>
      </c>
      <c r="F33" t="str">
        <f>IF(Allocation!H33="","",Allocation!H33)</f>
        <v/>
      </c>
      <c r="G33" t="str">
        <f>IF(Allocation!D33="","",Allocation!I33)</f>
        <v/>
      </c>
      <c r="H33" t="str">
        <f>IF(Allocation!D33="","",Allocation!J33)</f>
        <v/>
      </c>
      <c r="I33" t="str">
        <f>IF(Allocation!D33="","",Allocation!K33)</f>
        <v/>
      </c>
      <c r="J33" t="str">
        <f>IF($A33="","",SUMIFS(Socle!$K$1:$K$1000,Socle!$C$1:$C$1000,$B33,Socle!$D$1:$D$1000,$D33,Socle!$E$1:$E$1000,$E33,Socle!$F$1:$F$1000,$F33,Socle!$G$1:$G$1000,$A33))</f>
        <v/>
      </c>
      <c r="K33" t="str">
        <f t="shared" si="0"/>
        <v/>
      </c>
      <c r="L33" t="str">
        <f>IF($A33="","",SUMIFS(Allocation!$I$1:$I$175,Allocation!$C$1:$C$175,$A33,Allocation!$D$1:$D$175,$B33))</f>
        <v/>
      </c>
      <c r="M33" t="str">
        <f>IF($A33="","",SUMIFS(Allocation!$J$1:$J$175,Allocation!$C$1:$C$175,$A33,Allocation!$D$1:$D$175,$B33))</f>
        <v/>
      </c>
      <c r="N33" t="str">
        <f>IF($A33="","",SUMIFS(Allocation!$K$1:$K$175,Allocation!$C$1:$C$175,$A33,Allocation!$D$1:$D$175,$B33))</f>
        <v/>
      </c>
      <c r="O33" t="str">
        <f t="shared" si="1"/>
        <v/>
      </c>
      <c r="P33" t="str">
        <f t="shared" si="2"/>
        <v/>
      </c>
      <c r="Q33" t="str">
        <f>IF($A33="","",SUMIFS(Allocation!$I$1:$I$175,Allocation!$C$1:$C$175,$A33,Allocation!$E$1:$E$175,$C33))</f>
        <v/>
      </c>
      <c r="R33" t="str">
        <f>IF($A33="","",SUMIFS(Allocation!$J$1:$J$175,Allocation!$C$1:$C$175,$A33,Allocation!$E$1:$E$175,$C33))</f>
        <v/>
      </c>
      <c r="S33" t="str">
        <f>IF($A33="","",SUMIFS(Allocation!$K$1:$K$175,Allocation!$C$1:$C$175,$A33,Allocation!$E$1:$E$175,$C33))</f>
        <v/>
      </c>
      <c r="T33" t="str">
        <f>IF($A33="","",SUMIFS(Allocation!$I$1:$I$175,Allocation!$C$1:$C$175,$A33))</f>
        <v/>
      </c>
      <c r="U33" t="str">
        <f>IF($A33="","",SUMIFS(Allocation!$J$1:$J$175,Allocation!$C$1:$C$175,$A33))</f>
        <v/>
      </c>
      <c r="V33" t="str">
        <f>IF($A33="","",SUMIFS(Allocation!$K$1:$K$175,Allocation!$C$1:$C$175,$A33))</f>
        <v/>
      </c>
      <c r="W33" t="str">
        <f>IF($A33="","",SUMIFS(Compta!$F$1:$F$675,Compta!$A$1:$A$675,$B33,Compta!$B$1:$B$675,"621",Compta!$C$1:$C$675,$A33))</f>
        <v/>
      </c>
      <c r="X33" t="str">
        <f>IF($A33="","",SUMIFS(Compta!$F$1:$F$675,Compta!$A$1:$A$675,$B33,Compta!$B$1:$B$675,"6411",Compta!$C$1:$C$675,$A33))</f>
        <v/>
      </c>
      <c r="Y33" t="str">
        <f>IF($A33="","",SUMIFS(Compta!$F$1:$F$675,Compta!$A$1:$A$675,$B33,Compta!$B$1:$B$675,"604",Compta!$C$1:$C$675,$A33)+SUMIFS(Compta!$F$1:$F$675,Compta!$A$1:$A$675,$B33,Compta!$B$1:$B$675,"6063",Compta!$C$1:$C$675,$A33))</f>
        <v/>
      </c>
      <c r="Z33" t="str">
        <f>IF($A33="","",SUMIFS(Compta!$F$1:$F$675,Compta!$A$1:$A$675,$B33,Compta!$B$1:$B$675,"6231",Compta!$C$1:$C$675,$A33))</f>
        <v/>
      </c>
      <c r="AA33" t="str">
        <f>IF($A33="","",SUMIFS(Compta!$F$1:$F$675,Compta!$A$1:$A$675,$B33,Compta!$B$1:$B$675,"6413",Compta!$C$1:$C$675,$A33)+SUMIFS(Compta!$F$1:$F$675,Compta!$A$1:$A$675,$B33,Compta!$B$1:$B$675,"645",Compta!$C$1:$C$675,$A33)+SUMIFS(Compta!$F$1:$F$675,Compta!$A$1:$A$675,$B33,Compta!$B$1:$B$675,"613",Compta!$C$1:$C$675,$A33)+SUMIFS(Compta!$F$1:$F$675,Compta!$A$1:$A$675,$B33,Compta!$B$1:$B$675,"615",Compta!$C$1:$C$675,$A33)+SUMIFS(Compta!$F$1:$F$675,Compta!$A$1:$A$675,$B33,Compta!$B$1:$B$675,"616",Compta!$C$1:$C$675,$A33)+SUMIFS(Compta!$F$1:$F$675,Compta!$A$1:$A$675,$B33,Compta!$B$1:$B$675,"625",Compta!$C$1:$C$675,$A33)+SUMIFS(Compta!$F$1:$F$675,Compta!$A$1:$A$675,$B33,Compta!$B$1:$B$675,"63511",Compta!$C$1:$C$675,$A33))</f>
        <v/>
      </c>
      <c r="AB33" t="str">
        <f>IF($A33="","",SUMIFS(Compta!$F$1:$F$675,Compta!$A$1:$A$675,"GRP",Compta!$B$1:$B$675,"6414",Compta!$C$1:$C$675,$A33)+SUMIFS(Compta!$F$1:$F$675,Compta!$A$1:$A$675,"GRP",Compta!$B$1:$B$675,"6226",Compta!$C$1:$C$675,$A33)+SUMIFS(Compta!$F$1:$F$675,Compta!$A$1:$A$675,"GRP",Compta!$B$1:$B$675,"626",Compta!$C$1:$C$675,$A33)+SUMIFS(Compta!$F$1:$F$675,Compta!$A$1:$A$675,"GRP",Compta!$B$1:$B$675,"6281",Compta!$C$1:$C$675,$A33)+SUMIFS(Compta!$F$1:$F$675,Compta!$A$1:$A$675,"GRP",Compta!$B$1:$B$675,"6331",Compta!$C$1:$C$675,$A33)+SUMIFS(Compta!$F$1:$F$675,Compta!$A$1:$A$675,"GRP",Compta!$B$1:$B$675,"6333",Compta!$C$1:$C$675,$A33))</f>
        <v/>
      </c>
      <c r="AC33" t="str">
        <f t="shared" si="3"/>
        <v/>
      </c>
      <c r="AD33" t="str">
        <f t="shared" si="4"/>
        <v/>
      </c>
      <c r="AE33" t="str">
        <f t="shared" si="5"/>
        <v/>
      </c>
      <c r="AF33" t="str">
        <f t="shared" si="6"/>
        <v/>
      </c>
      <c r="AG33" t="str">
        <f t="shared" si="7"/>
        <v/>
      </c>
      <c r="AH33" t="str">
        <f t="shared" si="8"/>
        <v/>
      </c>
      <c r="AI33" t="str">
        <f t="shared" si="9"/>
        <v/>
      </c>
      <c r="AJ33" t="str">
        <f t="shared" si="10"/>
        <v/>
      </c>
      <c r="AK33" t="str">
        <f t="shared" si="11"/>
        <v/>
      </c>
      <c r="AL33" t="str">
        <f t="shared" si="12"/>
        <v/>
      </c>
      <c r="AM33" t="str">
        <f t="shared" si="13"/>
        <v/>
      </c>
      <c r="AN33" t="str">
        <f t="shared" si="14"/>
        <v/>
      </c>
      <c r="AO33" t="str">
        <f>IF($A33="","",SUMIFS(Compta!$F$1:$F$675,Compta!$A$1:$A$675,"GRP",Compta!$B$1:$B$675,"6236",Compta!$C$1:$C$675,$A33))</f>
        <v/>
      </c>
      <c r="AP33" t="str">
        <f t="shared" si="15"/>
        <v/>
      </c>
      <c r="AQ33" t="str">
        <f t="shared" si="16"/>
        <v/>
      </c>
      <c r="AR33" t="str">
        <f t="shared" si="17"/>
        <v/>
      </c>
    </row>
    <row r="34" spans="1:44" x14ac:dyDescent="0.45">
      <c r="A34" t="str">
        <f>IF(Allocation!C34="","",Allocation!C34)</f>
        <v/>
      </c>
      <c r="B34" t="str">
        <f>IF(Allocation!D34="","",Allocation!D34)</f>
        <v/>
      </c>
      <c r="C34" t="str">
        <f>IF(Allocation!E34="","",Allocation!E34)</f>
        <v/>
      </c>
      <c r="D34" t="str">
        <f>IF(Allocation!F34="","",Allocation!F34)</f>
        <v/>
      </c>
      <c r="E34" t="str">
        <f>IF(Allocation!G34="","",Allocation!G34)</f>
        <v/>
      </c>
      <c r="F34" t="str">
        <f>IF(Allocation!H34="","",Allocation!H34)</f>
        <v/>
      </c>
      <c r="G34" t="str">
        <f>IF(Allocation!D34="","",Allocation!I34)</f>
        <v/>
      </c>
      <c r="H34" t="str">
        <f>IF(Allocation!D34="","",Allocation!J34)</f>
        <v/>
      </c>
      <c r="I34" t="str">
        <f>IF(Allocation!D34="","",Allocation!K34)</f>
        <v/>
      </c>
      <c r="J34" t="str">
        <f>IF($A34="","",SUMIFS(Socle!$K$1:$K$1000,Socle!$C$1:$C$1000,$B34,Socle!$D$1:$D$1000,$D34,Socle!$E$1:$E$1000,$E34,Socle!$F$1:$F$1000,$F34,Socle!$G$1:$G$1000,$A34))</f>
        <v/>
      </c>
      <c r="K34" t="str">
        <f t="shared" si="0"/>
        <v/>
      </c>
      <c r="L34" t="str">
        <f>IF($A34="","",SUMIFS(Allocation!$I$1:$I$175,Allocation!$C$1:$C$175,$A34,Allocation!$D$1:$D$175,$B34))</f>
        <v/>
      </c>
      <c r="M34" t="str">
        <f>IF($A34="","",SUMIFS(Allocation!$J$1:$J$175,Allocation!$C$1:$C$175,$A34,Allocation!$D$1:$D$175,$B34))</f>
        <v/>
      </c>
      <c r="N34" t="str">
        <f>IF($A34="","",SUMIFS(Allocation!$K$1:$K$175,Allocation!$C$1:$C$175,$A34,Allocation!$D$1:$D$175,$B34))</f>
        <v/>
      </c>
      <c r="O34" t="str">
        <f t="shared" si="1"/>
        <v/>
      </c>
      <c r="P34" t="str">
        <f t="shared" si="2"/>
        <v/>
      </c>
      <c r="Q34" t="str">
        <f>IF($A34="","",SUMIFS(Allocation!$I$1:$I$175,Allocation!$C$1:$C$175,$A34,Allocation!$E$1:$E$175,$C34))</f>
        <v/>
      </c>
      <c r="R34" t="str">
        <f>IF($A34="","",SUMIFS(Allocation!$J$1:$J$175,Allocation!$C$1:$C$175,$A34,Allocation!$E$1:$E$175,$C34))</f>
        <v/>
      </c>
      <c r="S34" t="str">
        <f>IF($A34="","",SUMIFS(Allocation!$K$1:$K$175,Allocation!$C$1:$C$175,$A34,Allocation!$E$1:$E$175,$C34))</f>
        <v/>
      </c>
      <c r="T34" t="str">
        <f>IF($A34="","",SUMIFS(Allocation!$I$1:$I$175,Allocation!$C$1:$C$175,$A34))</f>
        <v/>
      </c>
      <c r="U34" t="str">
        <f>IF($A34="","",SUMIFS(Allocation!$J$1:$J$175,Allocation!$C$1:$C$175,$A34))</f>
        <v/>
      </c>
      <c r="V34" t="str">
        <f>IF($A34="","",SUMIFS(Allocation!$K$1:$K$175,Allocation!$C$1:$C$175,$A34))</f>
        <v/>
      </c>
      <c r="W34" t="str">
        <f>IF($A34="","",SUMIFS(Compta!$F$1:$F$675,Compta!$A$1:$A$675,$B34,Compta!$B$1:$B$675,"621",Compta!$C$1:$C$675,$A34))</f>
        <v/>
      </c>
      <c r="X34" t="str">
        <f>IF($A34="","",SUMIFS(Compta!$F$1:$F$675,Compta!$A$1:$A$675,$B34,Compta!$B$1:$B$675,"6411",Compta!$C$1:$C$675,$A34))</f>
        <v/>
      </c>
      <c r="Y34" t="str">
        <f>IF($A34="","",SUMIFS(Compta!$F$1:$F$675,Compta!$A$1:$A$675,$B34,Compta!$B$1:$B$675,"604",Compta!$C$1:$C$675,$A34)+SUMIFS(Compta!$F$1:$F$675,Compta!$A$1:$A$675,$B34,Compta!$B$1:$B$675,"6063",Compta!$C$1:$C$675,$A34))</f>
        <v/>
      </c>
      <c r="Z34" t="str">
        <f>IF($A34="","",SUMIFS(Compta!$F$1:$F$675,Compta!$A$1:$A$675,$B34,Compta!$B$1:$B$675,"6231",Compta!$C$1:$C$675,$A34))</f>
        <v/>
      </c>
      <c r="AA34" t="str">
        <f>IF($A34="","",SUMIFS(Compta!$F$1:$F$675,Compta!$A$1:$A$675,$B34,Compta!$B$1:$B$675,"6413",Compta!$C$1:$C$675,$A34)+SUMIFS(Compta!$F$1:$F$675,Compta!$A$1:$A$675,$B34,Compta!$B$1:$B$675,"645",Compta!$C$1:$C$675,$A34)+SUMIFS(Compta!$F$1:$F$675,Compta!$A$1:$A$675,$B34,Compta!$B$1:$B$675,"613",Compta!$C$1:$C$675,$A34)+SUMIFS(Compta!$F$1:$F$675,Compta!$A$1:$A$675,$B34,Compta!$B$1:$B$675,"615",Compta!$C$1:$C$675,$A34)+SUMIFS(Compta!$F$1:$F$675,Compta!$A$1:$A$675,$B34,Compta!$B$1:$B$675,"616",Compta!$C$1:$C$675,$A34)+SUMIFS(Compta!$F$1:$F$675,Compta!$A$1:$A$675,$B34,Compta!$B$1:$B$675,"625",Compta!$C$1:$C$675,$A34)+SUMIFS(Compta!$F$1:$F$675,Compta!$A$1:$A$675,$B34,Compta!$B$1:$B$675,"63511",Compta!$C$1:$C$675,$A34))</f>
        <v/>
      </c>
      <c r="AB34" t="str">
        <f>IF($A34="","",SUMIFS(Compta!$F$1:$F$675,Compta!$A$1:$A$675,"GRP",Compta!$B$1:$B$675,"6414",Compta!$C$1:$C$675,$A34)+SUMIFS(Compta!$F$1:$F$675,Compta!$A$1:$A$675,"GRP",Compta!$B$1:$B$675,"6226",Compta!$C$1:$C$675,$A34)+SUMIFS(Compta!$F$1:$F$675,Compta!$A$1:$A$675,"GRP",Compta!$B$1:$B$675,"626",Compta!$C$1:$C$675,$A34)+SUMIFS(Compta!$F$1:$F$675,Compta!$A$1:$A$675,"GRP",Compta!$B$1:$B$675,"6281",Compta!$C$1:$C$675,$A34)+SUMIFS(Compta!$F$1:$F$675,Compta!$A$1:$A$675,"GRP",Compta!$B$1:$B$675,"6331",Compta!$C$1:$C$675,$A34)+SUMIFS(Compta!$F$1:$F$675,Compta!$A$1:$A$675,"GRP",Compta!$B$1:$B$675,"6333",Compta!$C$1:$C$675,$A34))</f>
        <v/>
      </c>
      <c r="AC34" t="str">
        <f t="shared" si="3"/>
        <v/>
      </c>
      <c r="AD34" t="str">
        <f t="shared" si="4"/>
        <v/>
      </c>
      <c r="AE34" t="str">
        <f t="shared" si="5"/>
        <v/>
      </c>
      <c r="AF34" t="str">
        <f t="shared" si="6"/>
        <v/>
      </c>
      <c r="AG34" t="str">
        <f t="shared" si="7"/>
        <v/>
      </c>
      <c r="AH34" t="str">
        <f t="shared" si="8"/>
        <v/>
      </c>
      <c r="AI34" t="str">
        <f t="shared" si="9"/>
        <v/>
      </c>
      <c r="AJ34" t="str">
        <f t="shared" si="10"/>
        <v/>
      </c>
      <c r="AK34" t="str">
        <f t="shared" si="11"/>
        <v/>
      </c>
      <c r="AL34" t="str">
        <f t="shared" si="12"/>
        <v/>
      </c>
      <c r="AM34" t="str">
        <f t="shared" si="13"/>
        <v/>
      </c>
      <c r="AN34" t="str">
        <f t="shared" si="14"/>
        <v/>
      </c>
      <c r="AO34" t="str">
        <f>IF($A34="","",SUMIFS(Compta!$F$1:$F$675,Compta!$A$1:$A$675,"GRP",Compta!$B$1:$B$675,"6236",Compta!$C$1:$C$675,$A34))</f>
        <v/>
      </c>
      <c r="AP34" t="str">
        <f t="shared" si="15"/>
        <v/>
      </c>
      <c r="AQ34" t="str">
        <f t="shared" si="16"/>
        <v/>
      </c>
      <c r="AR34" t="str">
        <f t="shared" si="17"/>
        <v/>
      </c>
    </row>
    <row r="35" spans="1:44" x14ac:dyDescent="0.45">
      <c r="A35" t="str">
        <f>IF(Allocation!C35="","",Allocation!C35)</f>
        <v/>
      </c>
      <c r="B35" t="str">
        <f>IF(Allocation!D35="","",Allocation!D35)</f>
        <v/>
      </c>
      <c r="C35" t="str">
        <f>IF(Allocation!E35="","",Allocation!E35)</f>
        <v/>
      </c>
      <c r="D35" t="str">
        <f>IF(Allocation!F35="","",Allocation!F35)</f>
        <v/>
      </c>
      <c r="E35" t="str">
        <f>IF(Allocation!G35="","",Allocation!G35)</f>
        <v/>
      </c>
      <c r="F35" t="str">
        <f>IF(Allocation!H35="","",Allocation!H35)</f>
        <v/>
      </c>
      <c r="G35" t="str">
        <f>IF(Allocation!D35="","",Allocation!I35)</f>
        <v/>
      </c>
      <c r="H35" t="str">
        <f>IF(Allocation!D35="","",Allocation!J35)</f>
        <v/>
      </c>
      <c r="I35" t="str">
        <f>IF(Allocation!D35="","",Allocation!K35)</f>
        <v/>
      </c>
      <c r="J35" t="str">
        <f>IF($A35="","",SUMIFS(Socle!$K$1:$K$1000,Socle!$C$1:$C$1000,$B35,Socle!$D$1:$D$1000,$D35,Socle!$E$1:$E$1000,$E35,Socle!$F$1:$F$1000,$F35,Socle!$G$1:$G$1000,$A35))</f>
        <v/>
      </c>
      <c r="K35" t="str">
        <f t="shared" si="0"/>
        <v/>
      </c>
      <c r="L35" t="str">
        <f>IF($A35="","",SUMIFS(Allocation!$I$1:$I$175,Allocation!$C$1:$C$175,$A35,Allocation!$D$1:$D$175,$B35))</f>
        <v/>
      </c>
      <c r="M35" t="str">
        <f>IF($A35="","",SUMIFS(Allocation!$J$1:$J$175,Allocation!$C$1:$C$175,$A35,Allocation!$D$1:$D$175,$B35))</f>
        <v/>
      </c>
      <c r="N35" t="str">
        <f>IF($A35="","",SUMIFS(Allocation!$K$1:$K$175,Allocation!$C$1:$C$175,$A35,Allocation!$D$1:$D$175,$B35))</f>
        <v/>
      </c>
      <c r="O35" t="str">
        <f t="shared" si="1"/>
        <v/>
      </c>
      <c r="P35" t="str">
        <f t="shared" si="2"/>
        <v/>
      </c>
      <c r="Q35" t="str">
        <f>IF($A35="","",SUMIFS(Allocation!$I$1:$I$175,Allocation!$C$1:$C$175,$A35,Allocation!$E$1:$E$175,$C35))</f>
        <v/>
      </c>
      <c r="R35" t="str">
        <f>IF($A35="","",SUMIFS(Allocation!$J$1:$J$175,Allocation!$C$1:$C$175,$A35,Allocation!$E$1:$E$175,$C35))</f>
        <v/>
      </c>
      <c r="S35" t="str">
        <f>IF($A35="","",SUMIFS(Allocation!$K$1:$K$175,Allocation!$C$1:$C$175,$A35,Allocation!$E$1:$E$175,$C35))</f>
        <v/>
      </c>
      <c r="T35" t="str">
        <f>IF($A35="","",SUMIFS(Allocation!$I$1:$I$175,Allocation!$C$1:$C$175,$A35))</f>
        <v/>
      </c>
      <c r="U35" t="str">
        <f>IF($A35="","",SUMIFS(Allocation!$J$1:$J$175,Allocation!$C$1:$C$175,$A35))</f>
        <v/>
      </c>
      <c r="V35" t="str">
        <f>IF($A35="","",SUMIFS(Allocation!$K$1:$K$175,Allocation!$C$1:$C$175,$A35))</f>
        <v/>
      </c>
      <c r="W35" t="str">
        <f>IF($A35="","",SUMIFS(Compta!$F$1:$F$675,Compta!$A$1:$A$675,$B35,Compta!$B$1:$B$675,"621",Compta!$C$1:$C$675,$A35))</f>
        <v/>
      </c>
      <c r="X35" t="str">
        <f>IF($A35="","",SUMIFS(Compta!$F$1:$F$675,Compta!$A$1:$A$675,$B35,Compta!$B$1:$B$675,"6411",Compta!$C$1:$C$675,$A35))</f>
        <v/>
      </c>
      <c r="Y35" t="str">
        <f>IF($A35="","",SUMIFS(Compta!$F$1:$F$675,Compta!$A$1:$A$675,$B35,Compta!$B$1:$B$675,"604",Compta!$C$1:$C$675,$A35)+SUMIFS(Compta!$F$1:$F$675,Compta!$A$1:$A$675,$B35,Compta!$B$1:$B$675,"6063",Compta!$C$1:$C$675,$A35))</f>
        <v/>
      </c>
      <c r="Z35" t="str">
        <f>IF($A35="","",SUMIFS(Compta!$F$1:$F$675,Compta!$A$1:$A$675,$B35,Compta!$B$1:$B$675,"6231",Compta!$C$1:$C$675,$A35))</f>
        <v/>
      </c>
      <c r="AA35" t="str">
        <f>IF($A35="","",SUMIFS(Compta!$F$1:$F$675,Compta!$A$1:$A$675,$B35,Compta!$B$1:$B$675,"6413",Compta!$C$1:$C$675,$A35)+SUMIFS(Compta!$F$1:$F$675,Compta!$A$1:$A$675,$B35,Compta!$B$1:$B$675,"645",Compta!$C$1:$C$675,$A35)+SUMIFS(Compta!$F$1:$F$675,Compta!$A$1:$A$675,$B35,Compta!$B$1:$B$675,"613",Compta!$C$1:$C$675,$A35)+SUMIFS(Compta!$F$1:$F$675,Compta!$A$1:$A$675,$B35,Compta!$B$1:$B$675,"615",Compta!$C$1:$C$675,$A35)+SUMIFS(Compta!$F$1:$F$675,Compta!$A$1:$A$675,$B35,Compta!$B$1:$B$675,"616",Compta!$C$1:$C$675,$A35)+SUMIFS(Compta!$F$1:$F$675,Compta!$A$1:$A$675,$B35,Compta!$B$1:$B$675,"625",Compta!$C$1:$C$675,$A35)+SUMIFS(Compta!$F$1:$F$675,Compta!$A$1:$A$675,$B35,Compta!$B$1:$B$675,"63511",Compta!$C$1:$C$675,$A35))</f>
        <v/>
      </c>
      <c r="AB35" t="str">
        <f>IF($A35="","",SUMIFS(Compta!$F$1:$F$675,Compta!$A$1:$A$675,"GRP",Compta!$B$1:$B$675,"6414",Compta!$C$1:$C$675,$A35)+SUMIFS(Compta!$F$1:$F$675,Compta!$A$1:$A$675,"GRP",Compta!$B$1:$B$675,"6226",Compta!$C$1:$C$675,$A35)+SUMIFS(Compta!$F$1:$F$675,Compta!$A$1:$A$675,"GRP",Compta!$B$1:$B$675,"626",Compta!$C$1:$C$675,$A35)+SUMIFS(Compta!$F$1:$F$675,Compta!$A$1:$A$675,"GRP",Compta!$B$1:$B$675,"6281",Compta!$C$1:$C$675,$A35)+SUMIFS(Compta!$F$1:$F$675,Compta!$A$1:$A$675,"GRP",Compta!$B$1:$B$675,"6331",Compta!$C$1:$C$675,$A35)+SUMIFS(Compta!$F$1:$F$675,Compta!$A$1:$A$675,"GRP",Compta!$B$1:$B$675,"6333",Compta!$C$1:$C$675,$A35))</f>
        <v/>
      </c>
      <c r="AC35" t="str">
        <f t="shared" si="3"/>
        <v/>
      </c>
      <c r="AD35" t="str">
        <f t="shared" si="4"/>
        <v/>
      </c>
      <c r="AE35" t="str">
        <f t="shared" si="5"/>
        <v/>
      </c>
      <c r="AF35" t="str">
        <f t="shared" si="6"/>
        <v/>
      </c>
      <c r="AG35" t="str">
        <f t="shared" si="7"/>
        <v/>
      </c>
      <c r="AH35" t="str">
        <f t="shared" si="8"/>
        <v/>
      </c>
      <c r="AI35" t="str">
        <f t="shared" si="9"/>
        <v/>
      </c>
      <c r="AJ35" t="str">
        <f t="shared" si="10"/>
        <v/>
      </c>
      <c r="AK35" t="str">
        <f t="shared" si="11"/>
        <v/>
      </c>
      <c r="AL35" t="str">
        <f t="shared" si="12"/>
        <v/>
      </c>
      <c r="AM35" t="str">
        <f t="shared" si="13"/>
        <v/>
      </c>
      <c r="AN35" t="str">
        <f t="shared" si="14"/>
        <v/>
      </c>
      <c r="AO35" t="str">
        <f>IF($A35="","",SUMIFS(Compta!$F$1:$F$675,Compta!$A$1:$A$675,"GRP",Compta!$B$1:$B$675,"6236",Compta!$C$1:$C$675,$A35))</f>
        <v/>
      </c>
      <c r="AP35" t="str">
        <f t="shared" si="15"/>
        <v/>
      </c>
      <c r="AQ35" t="str">
        <f t="shared" si="16"/>
        <v/>
      </c>
      <c r="AR35" t="str">
        <f t="shared" si="17"/>
        <v/>
      </c>
    </row>
    <row r="36" spans="1:44" x14ac:dyDescent="0.45">
      <c r="A36" t="str">
        <f>IF(Allocation!C36="","",Allocation!C36)</f>
        <v/>
      </c>
      <c r="B36" t="str">
        <f>IF(Allocation!D36="","",Allocation!D36)</f>
        <v/>
      </c>
      <c r="C36" t="str">
        <f>IF(Allocation!E36="","",Allocation!E36)</f>
        <v/>
      </c>
      <c r="D36" t="str">
        <f>IF(Allocation!F36="","",Allocation!F36)</f>
        <v/>
      </c>
      <c r="E36" t="str">
        <f>IF(Allocation!G36="","",Allocation!G36)</f>
        <v/>
      </c>
      <c r="F36" t="str">
        <f>IF(Allocation!H36="","",Allocation!H36)</f>
        <v/>
      </c>
      <c r="G36" t="str">
        <f>IF(Allocation!D36="","",Allocation!I36)</f>
        <v/>
      </c>
      <c r="H36" t="str">
        <f>IF(Allocation!D36="","",Allocation!J36)</f>
        <v/>
      </c>
      <c r="I36" t="str">
        <f>IF(Allocation!D36="","",Allocation!K36)</f>
        <v/>
      </c>
      <c r="J36" t="str">
        <f>IF($A36="","",SUMIFS(Socle!$K$1:$K$1000,Socle!$C$1:$C$1000,$B36,Socle!$D$1:$D$1000,$D36,Socle!$E$1:$E$1000,$E36,Socle!$F$1:$F$1000,$F36,Socle!$G$1:$G$1000,$A36))</f>
        <v/>
      </c>
      <c r="K36" t="str">
        <f t="shared" si="0"/>
        <v/>
      </c>
      <c r="L36" t="str">
        <f>IF($A36="","",SUMIFS(Allocation!$I$1:$I$175,Allocation!$C$1:$C$175,$A36,Allocation!$D$1:$D$175,$B36))</f>
        <v/>
      </c>
      <c r="M36" t="str">
        <f>IF($A36="","",SUMIFS(Allocation!$J$1:$J$175,Allocation!$C$1:$C$175,$A36,Allocation!$D$1:$D$175,$B36))</f>
        <v/>
      </c>
      <c r="N36" t="str">
        <f>IF($A36="","",SUMIFS(Allocation!$K$1:$K$175,Allocation!$C$1:$C$175,$A36,Allocation!$D$1:$D$175,$B36))</f>
        <v/>
      </c>
      <c r="O36" t="str">
        <f t="shared" si="1"/>
        <v/>
      </c>
      <c r="P36" t="str">
        <f t="shared" si="2"/>
        <v/>
      </c>
      <c r="Q36" t="str">
        <f>IF($A36="","",SUMIFS(Allocation!$I$1:$I$175,Allocation!$C$1:$C$175,$A36,Allocation!$E$1:$E$175,$C36))</f>
        <v/>
      </c>
      <c r="R36" t="str">
        <f>IF($A36="","",SUMIFS(Allocation!$J$1:$J$175,Allocation!$C$1:$C$175,$A36,Allocation!$E$1:$E$175,$C36))</f>
        <v/>
      </c>
      <c r="S36" t="str">
        <f>IF($A36="","",SUMIFS(Allocation!$K$1:$K$175,Allocation!$C$1:$C$175,$A36,Allocation!$E$1:$E$175,$C36))</f>
        <v/>
      </c>
      <c r="T36" t="str">
        <f>IF($A36="","",SUMIFS(Allocation!$I$1:$I$175,Allocation!$C$1:$C$175,$A36))</f>
        <v/>
      </c>
      <c r="U36" t="str">
        <f>IF($A36="","",SUMIFS(Allocation!$J$1:$J$175,Allocation!$C$1:$C$175,$A36))</f>
        <v/>
      </c>
      <c r="V36" t="str">
        <f>IF($A36="","",SUMIFS(Allocation!$K$1:$K$175,Allocation!$C$1:$C$175,$A36))</f>
        <v/>
      </c>
      <c r="W36" t="str">
        <f>IF($A36="","",SUMIFS(Compta!$F$1:$F$675,Compta!$A$1:$A$675,$B36,Compta!$B$1:$B$675,"621",Compta!$C$1:$C$675,$A36))</f>
        <v/>
      </c>
      <c r="X36" t="str">
        <f>IF($A36="","",SUMIFS(Compta!$F$1:$F$675,Compta!$A$1:$A$675,$B36,Compta!$B$1:$B$675,"6411",Compta!$C$1:$C$675,$A36))</f>
        <v/>
      </c>
      <c r="Y36" t="str">
        <f>IF($A36="","",SUMIFS(Compta!$F$1:$F$675,Compta!$A$1:$A$675,$B36,Compta!$B$1:$B$675,"604",Compta!$C$1:$C$675,$A36)+SUMIFS(Compta!$F$1:$F$675,Compta!$A$1:$A$675,$B36,Compta!$B$1:$B$675,"6063",Compta!$C$1:$C$675,$A36))</f>
        <v/>
      </c>
      <c r="Z36" t="str">
        <f>IF($A36="","",SUMIFS(Compta!$F$1:$F$675,Compta!$A$1:$A$675,$B36,Compta!$B$1:$B$675,"6231",Compta!$C$1:$C$675,$A36))</f>
        <v/>
      </c>
      <c r="AA36" t="str">
        <f>IF($A36="","",SUMIFS(Compta!$F$1:$F$675,Compta!$A$1:$A$675,$B36,Compta!$B$1:$B$675,"6413",Compta!$C$1:$C$675,$A36)+SUMIFS(Compta!$F$1:$F$675,Compta!$A$1:$A$675,$B36,Compta!$B$1:$B$675,"645",Compta!$C$1:$C$675,$A36)+SUMIFS(Compta!$F$1:$F$675,Compta!$A$1:$A$675,$B36,Compta!$B$1:$B$675,"613",Compta!$C$1:$C$675,$A36)+SUMIFS(Compta!$F$1:$F$675,Compta!$A$1:$A$675,$B36,Compta!$B$1:$B$675,"615",Compta!$C$1:$C$675,$A36)+SUMIFS(Compta!$F$1:$F$675,Compta!$A$1:$A$675,$B36,Compta!$B$1:$B$675,"616",Compta!$C$1:$C$675,$A36)+SUMIFS(Compta!$F$1:$F$675,Compta!$A$1:$A$675,$B36,Compta!$B$1:$B$675,"625",Compta!$C$1:$C$675,$A36)+SUMIFS(Compta!$F$1:$F$675,Compta!$A$1:$A$675,$B36,Compta!$B$1:$B$675,"63511",Compta!$C$1:$C$675,$A36))</f>
        <v/>
      </c>
      <c r="AB36" t="str">
        <f>IF($A36="","",SUMIFS(Compta!$F$1:$F$675,Compta!$A$1:$A$675,"GRP",Compta!$B$1:$B$675,"6414",Compta!$C$1:$C$675,$A36)+SUMIFS(Compta!$F$1:$F$675,Compta!$A$1:$A$675,"GRP",Compta!$B$1:$B$675,"6226",Compta!$C$1:$C$675,$A36)+SUMIFS(Compta!$F$1:$F$675,Compta!$A$1:$A$675,"GRP",Compta!$B$1:$B$675,"626",Compta!$C$1:$C$675,$A36)+SUMIFS(Compta!$F$1:$F$675,Compta!$A$1:$A$675,"GRP",Compta!$B$1:$B$675,"6281",Compta!$C$1:$C$675,$A36)+SUMIFS(Compta!$F$1:$F$675,Compta!$A$1:$A$675,"GRP",Compta!$B$1:$B$675,"6331",Compta!$C$1:$C$675,$A36)+SUMIFS(Compta!$F$1:$F$675,Compta!$A$1:$A$675,"GRP",Compta!$B$1:$B$675,"6333",Compta!$C$1:$C$675,$A36))</f>
        <v/>
      </c>
      <c r="AC36" t="str">
        <f t="shared" si="3"/>
        <v/>
      </c>
      <c r="AD36" t="str">
        <f t="shared" si="4"/>
        <v/>
      </c>
      <c r="AE36" t="str">
        <f t="shared" si="5"/>
        <v/>
      </c>
      <c r="AF36" t="str">
        <f t="shared" si="6"/>
        <v/>
      </c>
      <c r="AG36" t="str">
        <f t="shared" si="7"/>
        <v/>
      </c>
      <c r="AH36" t="str">
        <f t="shared" si="8"/>
        <v/>
      </c>
      <c r="AI36" t="str">
        <f t="shared" si="9"/>
        <v/>
      </c>
      <c r="AJ36" t="str">
        <f t="shared" si="10"/>
        <v/>
      </c>
      <c r="AK36" t="str">
        <f t="shared" si="11"/>
        <v/>
      </c>
      <c r="AL36" t="str">
        <f t="shared" si="12"/>
        <v/>
      </c>
      <c r="AM36" t="str">
        <f t="shared" si="13"/>
        <v/>
      </c>
      <c r="AN36" t="str">
        <f t="shared" si="14"/>
        <v/>
      </c>
      <c r="AO36" t="str">
        <f>IF($A36="","",SUMIFS(Compta!$F$1:$F$675,Compta!$A$1:$A$675,"GRP",Compta!$B$1:$B$675,"6236",Compta!$C$1:$C$675,$A36))</f>
        <v/>
      </c>
      <c r="AP36" t="str">
        <f t="shared" si="15"/>
        <v/>
      </c>
      <c r="AQ36" t="str">
        <f t="shared" si="16"/>
        <v/>
      </c>
      <c r="AR36" t="str">
        <f t="shared" si="17"/>
        <v/>
      </c>
    </row>
    <row r="37" spans="1:44" x14ac:dyDescent="0.45">
      <c r="A37" t="str">
        <f>IF(Allocation!C37="","",Allocation!C37)</f>
        <v/>
      </c>
      <c r="B37" t="str">
        <f>IF(Allocation!D37="","",Allocation!D37)</f>
        <v/>
      </c>
      <c r="C37" t="str">
        <f>IF(Allocation!E37="","",Allocation!E37)</f>
        <v/>
      </c>
      <c r="D37" t="str">
        <f>IF(Allocation!F37="","",Allocation!F37)</f>
        <v/>
      </c>
      <c r="E37" t="str">
        <f>IF(Allocation!G37="","",Allocation!G37)</f>
        <v/>
      </c>
      <c r="F37" t="str">
        <f>IF(Allocation!H37="","",Allocation!H37)</f>
        <v/>
      </c>
      <c r="G37" t="str">
        <f>IF(Allocation!D37="","",Allocation!I37)</f>
        <v/>
      </c>
      <c r="H37" t="str">
        <f>IF(Allocation!D37="","",Allocation!J37)</f>
        <v/>
      </c>
      <c r="I37" t="str">
        <f>IF(Allocation!D37="","",Allocation!K37)</f>
        <v/>
      </c>
      <c r="J37" t="str">
        <f>IF($A37="","",SUMIFS(Socle!$K$1:$K$1000,Socle!$C$1:$C$1000,$B37,Socle!$D$1:$D$1000,$D37,Socle!$E$1:$E$1000,$E37,Socle!$F$1:$F$1000,$F37,Socle!$G$1:$G$1000,$A37))</f>
        <v/>
      </c>
      <c r="K37" t="str">
        <f t="shared" si="0"/>
        <v/>
      </c>
      <c r="L37" t="str">
        <f>IF($A37="","",SUMIFS(Allocation!$I$1:$I$175,Allocation!$C$1:$C$175,$A37,Allocation!$D$1:$D$175,$B37))</f>
        <v/>
      </c>
      <c r="M37" t="str">
        <f>IF($A37="","",SUMIFS(Allocation!$J$1:$J$175,Allocation!$C$1:$C$175,$A37,Allocation!$D$1:$D$175,$B37))</f>
        <v/>
      </c>
      <c r="N37" t="str">
        <f>IF($A37="","",SUMIFS(Allocation!$K$1:$K$175,Allocation!$C$1:$C$175,$A37,Allocation!$D$1:$D$175,$B37))</f>
        <v/>
      </c>
      <c r="O37" t="str">
        <f t="shared" si="1"/>
        <v/>
      </c>
      <c r="P37" t="str">
        <f t="shared" si="2"/>
        <v/>
      </c>
      <c r="Q37" t="str">
        <f>IF($A37="","",SUMIFS(Allocation!$I$1:$I$175,Allocation!$C$1:$C$175,$A37,Allocation!$E$1:$E$175,$C37))</f>
        <v/>
      </c>
      <c r="R37" t="str">
        <f>IF($A37="","",SUMIFS(Allocation!$J$1:$J$175,Allocation!$C$1:$C$175,$A37,Allocation!$E$1:$E$175,$C37))</f>
        <v/>
      </c>
      <c r="S37" t="str">
        <f>IF($A37="","",SUMIFS(Allocation!$K$1:$K$175,Allocation!$C$1:$C$175,$A37,Allocation!$E$1:$E$175,$C37))</f>
        <v/>
      </c>
      <c r="T37" t="str">
        <f>IF($A37="","",SUMIFS(Allocation!$I$1:$I$175,Allocation!$C$1:$C$175,$A37))</f>
        <v/>
      </c>
      <c r="U37" t="str">
        <f>IF($A37="","",SUMIFS(Allocation!$J$1:$J$175,Allocation!$C$1:$C$175,$A37))</f>
        <v/>
      </c>
      <c r="V37" t="str">
        <f>IF($A37="","",SUMIFS(Allocation!$K$1:$K$175,Allocation!$C$1:$C$175,$A37))</f>
        <v/>
      </c>
      <c r="W37" t="str">
        <f>IF($A37="","",SUMIFS(Compta!$F$1:$F$675,Compta!$A$1:$A$675,$B37,Compta!$B$1:$B$675,"621",Compta!$C$1:$C$675,$A37))</f>
        <v/>
      </c>
      <c r="X37" t="str">
        <f>IF($A37="","",SUMIFS(Compta!$F$1:$F$675,Compta!$A$1:$A$675,$B37,Compta!$B$1:$B$675,"6411",Compta!$C$1:$C$675,$A37))</f>
        <v/>
      </c>
      <c r="Y37" t="str">
        <f>IF($A37="","",SUMIFS(Compta!$F$1:$F$675,Compta!$A$1:$A$675,$B37,Compta!$B$1:$B$675,"604",Compta!$C$1:$C$675,$A37)+SUMIFS(Compta!$F$1:$F$675,Compta!$A$1:$A$675,$B37,Compta!$B$1:$B$675,"6063",Compta!$C$1:$C$675,$A37))</f>
        <v/>
      </c>
      <c r="Z37" t="str">
        <f>IF($A37="","",SUMIFS(Compta!$F$1:$F$675,Compta!$A$1:$A$675,$B37,Compta!$B$1:$B$675,"6231",Compta!$C$1:$C$675,$A37))</f>
        <v/>
      </c>
      <c r="AA37" t="str">
        <f>IF($A37="","",SUMIFS(Compta!$F$1:$F$675,Compta!$A$1:$A$675,$B37,Compta!$B$1:$B$675,"6413",Compta!$C$1:$C$675,$A37)+SUMIFS(Compta!$F$1:$F$675,Compta!$A$1:$A$675,$B37,Compta!$B$1:$B$675,"645",Compta!$C$1:$C$675,$A37)+SUMIFS(Compta!$F$1:$F$675,Compta!$A$1:$A$675,$B37,Compta!$B$1:$B$675,"613",Compta!$C$1:$C$675,$A37)+SUMIFS(Compta!$F$1:$F$675,Compta!$A$1:$A$675,$B37,Compta!$B$1:$B$675,"615",Compta!$C$1:$C$675,$A37)+SUMIFS(Compta!$F$1:$F$675,Compta!$A$1:$A$675,$B37,Compta!$B$1:$B$675,"616",Compta!$C$1:$C$675,$A37)+SUMIFS(Compta!$F$1:$F$675,Compta!$A$1:$A$675,$B37,Compta!$B$1:$B$675,"625",Compta!$C$1:$C$675,$A37)+SUMIFS(Compta!$F$1:$F$675,Compta!$A$1:$A$675,$B37,Compta!$B$1:$B$675,"63511",Compta!$C$1:$C$675,$A37))</f>
        <v/>
      </c>
      <c r="AB37" t="str">
        <f>IF($A37="","",SUMIFS(Compta!$F$1:$F$675,Compta!$A$1:$A$675,"GRP",Compta!$B$1:$B$675,"6414",Compta!$C$1:$C$675,$A37)+SUMIFS(Compta!$F$1:$F$675,Compta!$A$1:$A$675,"GRP",Compta!$B$1:$B$675,"6226",Compta!$C$1:$C$675,$A37)+SUMIFS(Compta!$F$1:$F$675,Compta!$A$1:$A$675,"GRP",Compta!$B$1:$B$675,"626",Compta!$C$1:$C$675,$A37)+SUMIFS(Compta!$F$1:$F$675,Compta!$A$1:$A$675,"GRP",Compta!$B$1:$B$675,"6281",Compta!$C$1:$C$675,$A37)+SUMIFS(Compta!$F$1:$F$675,Compta!$A$1:$A$675,"GRP",Compta!$B$1:$B$675,"6331",Compta!$C$1:$C$675,$A37)+SUMIFS(Compta!$F$1:$F$675,Compta!$A$1:$A$675,"GRP",Compta!$B$1:$B$675,"6333",Compta!$C$1:$C$675,$A37))</f>
        <v/>
      </c>
      <c r="AC37" t="str">
        <f t="shared" si="3"/>
        <v/>
      </c>
      <c r="AD37" t="str">
        <f t="shared" si="4"/>
        <v/>
      </c>
      <c r="AE37" t="str">
        <f t="shared" si="5"/>
        <v/>
      </c>
      <c r="AF37" t="str">
        <f t="shared" si="6"/>
        <v/>
      </c>
      <c r="AG37" t="str">
        <f t="shared" si="7"/>
        <v/>
      </c>
      <c r="AH37" t="str">
        <f t="shared" si="8"/>
        <v/>
      </c>
      <c r="AI37" t="str">
        <f t="shared" si="9"/>
        <v/>
      </c>
      <c r="AJ37" t="str">
        <f t="shared" si="10"/>
        <v/>
      </c>
      <c r="AK37" t="str">
        <f t="shared" si="11"/>
        <v/>
      </c>
      <c r="AL37" t="str">
        <f t="shared" si="12"/>
        <v/>
      </c>
      <c r="AM37" t="str">
        <f t="shared" si="13"/>
        <v/>
      </c>
      <c r="AN37" t="str">
        <f t="shared" si="14"/>
        <v/>
      </c>
      <c r="AO37" t="str">
        <f>IF($A37="","",SUMIFS(Compta!$F$1:$F$675,Compta!$A$1:$A$675,"GRP",Compta!$B$1:$B$675,"6236",Compta!$C$1:$C$675,$A37))</f>
        <v/>
      </c>
      <c r="AP37" t="str">
        <f t="shared" si="15"/>
        <v/>
      </c>
      <c r="AQ37" t="str">
        <f t="shared" si="16"/>
        <v/>
      </c>
      <c r="AR37" t="str">
        <f t="shared" si="17"/>
        <v/>
      </c>
    </row>
    <row r="38" spans="1:44" x14ac:dyDescent="0.45">
      <c r="A38" t="str">
        <f>IF(Allocation!C38="","",Allocation!C38)</f>
        <v/>
      </c>
      <c r="B38" t="str">
        <f>IF(Allocation!D38="","",Allocation!D38)</f>
        <v/>
      </c>
      <c r="C38" t="str">
        <f>IF(Allocation!E38="","",Allocation!E38)</f>
        <v/>
      </c>
      <c r="D38" t="str">
        <f>IF(Allocation!F38="","",Allocation!F38)</f>
        <v/>
      </c>
      <c r="E38" t="str">
        <f>IF(Allocation!G38="","",Allocation!G38)</f>
        <v/>
      </c>
      <c r="F38" t="str">
        <f>IF(Allocation!H38="","",Allocation!H38)</f>
        <v/>
      </c>
      <c r="G38" t="str">
        <f>IF(Allocation!D38="","",Allocation!I38)</f>
        <v/>
      </c>
      <c r="H38" t="str">
        <f>IF(Allocation!D38="","",Allocation!J38)</f>
        <v/>
      </c>
      <c r="I38" t="str">
        <f>IF(Allocation!D38="","",Allocation!K38)</f>
        <v/>
      </c>
      <c r="J38" t="str">
        <f>IF($A38="","",SUMIFS(Socle!$K$1:$K$1000,Socle!$C$1:$C$1000,$B38,Socle!$D$1:$D$1000,$D38,Socle!$E$1:$E$1000,$E38,Socle!$F$1:$F$1000,$F38,Socle!$G$1:$G$1000,$A38))</f>
        <v/>
      </c>
      <c r="K38" t="str">
        <f t="shared" si="0"/>
        <v/>
      </c>
      <c r="L38" t="str">
        <f>IF($A38="","",SUMIFS(Allocation!$I$1:$I$175,Allocation!$C$1:$C$175,$A38,Allocation!$D$1:$D$175,$B38))</f>
        <v/>
      </c>
      <c r="M38" t="str">
        <f>IF($A38="","",SUMIFS(Allocation!$J$1:$J$175,Allocation!$C$1:$C$175,$A38,Allocation!$D$1:$D$175,$B38))</f>
        <v/>
      </c>
      <c r="N38" t="str">
        <f>IF($A38="","",SUMIFS(Allocation!$K$1:$K$175,Allocation!$C$1:$C$175,$A38,Allocation!$D$1:$D$175,$B38))</f>
        <v/>
      </c>
      <c r="O38" t="str">
        <f t="shared" si="1"/>
        <v/>
      </c>
      <c r="P38" t="str">
        <f t="shared" si="2"/>
        <v/>
      </c>
      <c r="Q38" t="str">
        <f>IF($A38="","",SUMIFS(Allocation!$I$1:$I$175,Allocation!$C$1:$C$175,$A38,Allocation!$E$1:$E$175,$C38))</f>
        <v/>
      </c>
      <c r="R38" t="str">
        <f>IF($A38="","",SUMIFS(Allocation!$J$1:$J$175,Allocation!$C$1:$C$175,$A38,Allocation!$E$1:$E$175,$C38))</f>
        <v/>
      </c>
      <c r="S38" t="str">
        <f>IF($A38="","",SUMIFS(Allocation!$K$1:$K$175,Allocation!$C$1:$C$175,$A38,Allocation!$E$1:$E$175,$C38))</f>
        <v/>
      </c>
      <c r="T38" t="str">
        <f>IF($A38="","",SUMIFS(Allocation!$I$1:$I$175,Allocation!$C$1:$C$175,$A38))</f>
        <v/>
      </c>
      <c r="U38" t="str">
        <f>IF($A38="","",SUMIFS(Allocation!$J$1:$J$175,Allocation!$C$1:$C$175,$A38))</f>
        <v/>
      </c>
      <c r="V38" t="str">
        <f>IF($A38="","",SUMIFS(Allocation!$K$1:$K$175,Allocation!$C$1:$C$175,$A38))</f>
        <v/>
      </c>
      <c r="W38" t="str">
        <f>IF($A38="","",SUMIFS(Compta!$F$1:$F$675,Compta!$A$1:$A$675,$B38,Compta!$B$1:$B$675,"621",Compta!$C$1:$C$675,$A38))</f>
        <v/>
      </c>
      <c r="X38" t="str">
        <f>IF($A38="","",SUMIFS(Compta!$F$1:$F$675,Compta!$A$1:$A$675,$B38,Compta!$B$1:$B$675,"6411",Compta!$C$1:$C$675,$A38))</f>
        <v/>
      </c>
      <c r="Y38" t="str">
        <f>IF($A38="","",SUMIFS(Compta!$F$1:$F$675,Compta!$A$1:$A$675,$B38,Compta!$B$1:$B$675,"604",Compta!$C$1:$C$675,$A38)+SUMIFS(Compta!$F$1:$F$675,Compta!$A$1:$A$675,$B38,Compta!$B$1:$B$675,"6063",Compta!$C$1:$C$675,$A38))</f>
        <v/>
      </c>
      <c r="Z38" t="str">
        <f>IF($A38="","",SUMIFS(Compta!$F$1:$F$675,Compta!$A$1:$A$675,$B38,Compta!$B$1:$B$675,"6231",Compta!$C$1:$C$675,$A38))</f>
        <v/>
      </c>
      <c r="AA38" t="str">
        <f>IF($A38="","",SUMIFS(Compta!$F$1:$F$675,Compta!$A$1:$A$675,$B38,Compta!$B$1:$B$675,"6413",Compta!$C$1:$C$675,$A38)+SUMIFS(Compta!$F$1:$F$675,Compta!$A$1:$A$675,$B38,Compta!$B$1:$B$675,"645",Compta!$C$1:$C$675,$A38)+SUMIFS(Compta!$F$1:$F$675,Compta!$A$1:$A$675,$B38,Compta!$B$1:$B$675,"613",Compta!$C$1:$C$675,$A38)+SUMIFS(Compta!$F$1:$F$675,Compta!$A$1:$A$675,$B38,Compta!$B$1:$B$675,"615",Compta!$C$1:$C$675,$A38)+SUMIFS(Compta!$F$1:$F$675,Compta!$A$1:$A$675,$B38,Compta!$B$1:$B$675,"616",Compta!$C$1:$C$675,$A38)+SUMIFS(Compta!$F$1:$F$675,Compta!$A$1:$A$675,$B38,Compta!$B$1:$B$675,"625",Compta!$C$1:$C$675,$A38)+SUMIFS(Compta!$F$1:$F$675,Compta!$A$1:$A$675,$B38,Compta!$B$1:$B$675,"63511",Compta!$C$1:$C$675,$A38))</f>
        <v/>
      </c>
      <c r="AB38" t="str">
        <f>IF($A38="","",SUMIFS(Compta!$F$1:$F$675,Compta!$A$1:$A$675,"GRP",Compta!$B$1:$B$675,"6414",Compta!$C$1:$C$675,$A38)+SUMIFS(Compta!$F$1:$F$675,Compta!$A$1:$A$675,"GRP",Compta!$B$1:$B$675,"6226",Compta!$C$1:$C$675,$A38)+SUMIFS(Compta!$F$1:$F$675,Compta!$A$1:$A$675,"GRP",Compta!$B$1:$B$675,"626",Compta!$C$1:$C$675,$A38)+SUMIFS(Compta!$F$1:$F$675,Compta!$A$1:$A$675,"GRP",Compta!$B$1:$B$675,"6281",Compta!$C$1:$C$675,$A38)+SUMIFS(Compta!$F$1:$F$675,Compta!$A$1:$A$675,"GRP",Compta!$B$1:$B$675,"6331",Compta!$C$1:$C$675,$A38)+SUMIFS(Compta!$F$1:$F$675,Compta!$A$1:$A$675,"GRP",Compta!$B$1:$B$675,"6333",Compta!$C$1:$C$675,$A38))</f>
        <v/>
      </c>
      <c r="AC38" t="str">
        <f t="shared" si="3"/>
        <v/>
      </c>
      <c r="AD38" t="str">
        <f t="shared" si="4"/>
        <v/>
      </c>
      <c r="AE38" t="str">
        <f t="shared" si="5"/>
        <v/>
      </c>
      <c r="AF38" t="str">
        <f t="shared" si="6"/>
        <v/>
      </c>
      <c r="AG38" t="str">
        <f t="shared" si="7"/>
        <v/>
      </c>
      <c r="AH38" t="str">
        <f t="shared" si="8"/>
        <v/>
      </c>
      <c r="AI38" t="str">
        <f t="shared" si="9"/>
        <v/>
      </c>
      <c r="AJ38" t="str">
        <f t="shared" si="10"/>
        <v/>
      </c>
      <c r="AK38" t="str">
        <f t="shared" si="11"/>
        <v/>
      </c>
      <c r="AL38" t="str">
        <f t="shared" si="12"/>
        <v/>
      </c>
      <c r="AM38" t="str">
        <f t="shared" si="13"/>
        <v/>
      </c>
      <c r="AN38" t="str">
        <f t="shared" si="14"/>
        <v/>
      </c>
      <c r="AO38" t="str">
        <f>IF($A38="","",SUMIFS(Compta!$F$1:$F$675,Compta!$A$1:$A$675,"GRP",Compta!$B$1:$B$675,"6236",Compta!$C$1:$C$675,$A38))</f>
        <v/>
      </c>
      <c r="AP38" t="str">
        <f t="shared" si="15"/>
        <v/>
      </c>
      <c r="AQ38" t="str">
        <f t="shared" si="16"/>
        <v/>
      </c>
      <c r="AR38" t="str">
        <f t="shared" si="17"/>
        <v/>
      </c>
    </row>
    <row r="39" spans="1:44" x14ac:dyDescent="0.45">
      <c r="A39" t="str">
        <f>IF(Allocation!C39="","",Allocation!C39)</f>
        <v/>
      </c>
      <c r="B39" t="str">
        <f>IF(Allocation!D39="","",Allocation!D39)</f>
        <v/>
      </c>
      <c r="C39" t="str">
        <f>IF(Allocation!E39="","",Allocation!E39)</f>
        <v/>
      </c>
      <c r="D39" t="str">
        <f>IF(Allocation!F39="","",Allocation!F39)</f>
        <v/>
      </c>
      <c r="E39" t="str">
        <f>IF(Allocation!G39="","",Allocation!G39)</f>
        <v/>
      </c>
      <c r="F39" t="str">
        <f>IF(Allocation!H39="","",Allocation!H39)</f>
        <v/>
      </c>
      <c r="G39" t="str">
        <f>IF(Allocation!D39="","",Allocation!I39)</f>
        <v/>
      </c>
      <c r="H39" t="str">
        <f>IF(Allocation!D39="","",Allocation!J39)</f>
        <v/>
      </c>
      <c r="I39" t="str">
        <f>IF(Allocation!D39="","",Allocation!K39)</f>
        <v/>
      </c>
      <c r="J39" t="str">
        <f>IF($A39="","",SUMIFS(Socle!$K$1:$K$1000,Socle!$C$1:$C$1000,$B39,Socle!$D$1:$D$1000,$D39,Socle!$E$1:$E$1000,$E39,Socle!$F$1:$F$1000,$F39,Socle!$G$1:$G$1000,$A39))</f>
        <v/>
      </c>
      <c r="K39" t="str">
        <f t="shared" si="0"/>
        <v/>
      </c>
      <c r="L39" t="str">
        <f>IF($A39="","",SUMIFS(Allocation!$I$1:$I$175,Allocation!$C$1:$C$175,$A39,Allocation!$D$1:$D$175,$B39))</f>
        <v/>
      </c>
      <c r="M39" t="str">
        <f>IF($A39="","",SUMIFS(Allocation!$J$1:$J$175,Allocation!$C$1:$C$175,$A39,Allocation!$D$1:$D$175,$B39))</f>
        <v/>
      </c>
      <c r="N39" t="str">
        <f>IF($A39="","",SUMIFS(Allocation!$K$1:$K$175,Allocation!$C$1:$C$175,$A39,Allocation!$D$1:$D$175,$B39))</f>
        <v/>
      </c>
      <c r="O39" t="str">
        <f t="shared" si="1"/>
        <v/>
      </c>
      <c r="P39" t="str">
        <f t="shared" si="2"/>
        <v/>
      </c>
      <c r="Q39" t="str">
        <f>IF($A39="","",SUMIFS(Allocation!$I$1:$I$175,Allocation!$C$1:$C$175,$A39,Allocation!$E$1:$E$175,$C39))</f>
        <v/>
      </c>
      <c r="R39" t="str">
        <f>IF($A39="","",SUMIFS(Allocation!$J$1:$J$175,Allocation!$C$1:$C$175,$A39,Allocation!$E$1:$E$175,$C39))</f>
        <v/>
      </c>
      <c r="S39" t="str">
        <f>IF($A39="","",SUMIFS(Allocation!$K$1:$K$175,Allocation!$C$1:$C$175,$A39,Allocation!$E$1:$E$175,$C39))</f>
        <v/>
      </c>
      <c r="T39" t="str">
        <f>IF($A39="","",SUMIFS(Allocation!$I$1:$I$175,Allocation!$C$1:$C$175,$A39))</f>
        <v/>
      </c>
      <c r="U39" t="str">
        <f>IF($A39="","",SUMIFS(Allocation!$J$1:$J$175,Allocation!$C$1:$C$175,$A39))</f>
        <v/>
      </c>
      <c r="V39" t="str">
        <f>IF($A39="","",SUMIFS(Allocation!$K$1:$K$175,Allocation!$C$1:$C$175,$A39))</f>
        <v/>
      </c>
      <c r="W39" t="str">
        <f>IF($A39="","",SUMIFS(Compta!$F$1:$F$675,Compta!$A$1:$A$675,$B39,Compta!$B$1:$B$675,"621",Compta!$C$1:$C$675,$A39))</f>
        <v/>
      </c>
      <c r="X39" t="str">
        <f>IF($A39="","",SUMIFS(Compta!$F$1:$F$675,Compta!$A$1:$A$675,$B39,Compta!$B$1:$B$675,"6411",Compta!$C$1:$C$675,$A39))</f>
        <v/>
      </c>
      <c r="Y39" t="str">
        <f>IF($A39="","",SUMIFS(Compta!$F$1:$F$675,Compta!$A$1:$A$675,$B39,Compta!$B$1:$B$675,"604",Compta!$C$1:$C$675,$A39)+SUMIFS(Compta!$F$1:$F$675,Compta!$A$1:$A$675,$B39,Compta!$B$1:$B$675,"6063",Compta!$C$1:$C$675,$A39))</f>
        <v/>
      </c>
      <c r="Z39" t="str">
        <f>IF($A39="","",SUMIFS(Compta!$F$1:$F$675,Compta!$A$1:$A$675,$B39,Compta!$B$1:$B$675,"6231",Compta!$C$1:$C$675,$A39))</f>
        <v/>
      </c>
      <c r="AA39" t="str">
        <f>IF($A39="","",SUMIFS(Compta!$F$1:$F$675,Compta!$A$1:$A$675,$B39,Compta!$B$1:$B$675,"6413",Compta!$C$1:$C$675,$A39)+SUMIFS(Compta!$F$1:$F$675,Compta!$A$1:$A$675,$B39,Compta!$B$1:$B$675,"645",Compta!$C$1:$C$675,$A39)+SUMIFS(Compta!$F$1:$F$675,Compta!$A$1:$A$675,$B39,Compta!$B$1:$B$675,"613",Compta!$C$1:$C$675,$A39)+SUMIFS(Compta!$F$1:$F$675,Compta!$A$1:$A$675,$B39,Compta!$B$1:$B$675,"615",Compta!$C$1:$C$675,$A39)+SUMIFS(Compta!$F$1:$F$675,Compta!$A$1:$A$675,$B39,Compta!$B$1:$B$675,"616",Compta!$C$1:$C$675,$A39)+SUMIFS(Compta!$F$1:$F$675,Compta!$A$1:$A$675,$B39,Compta!$B$1:$B$675,"625",Compta!$C$1:$C$675,$A39)+SUMIFS(Compta!$F$1:$F$675,Compta!$A$1:$A$675,$B39,Compta!$B$1:$B$675,"63511",Compta!$C$1:$C$675,$A39))</f>
        <v/>
      </c>
      <c r="AB39" t="str">
        <f>IF($A39="","",SUMIFS(Compta!$F$1:$F$675,Compta!$A$1:$A$675,"GRP",Compta!$B$1:$B$675,"6414",Compta!$C$1:$C$675,$A39)+SUMIFS(Compta!$F$1:$F$675,Compta!$A$1:$A$675,"GRP",Compta!$B$1:$B$675,"6226",Compta!$C$1:$C$675,$A39)+SUMIFS(Compta!$F$1:$F$675,Compta!$A$1:$A$675,"GRP",Compta!$B$1:$B$675,"626",Compta!$C$1:$C$675,$A39)+SUMIFS(Compta!$F$1:$F$675,Compta!$A$1:$A$675,"GRP",Compta!$B$1:$B$675,"6281",Compta!$C$1:$C$675,$A39)+SUMIFS(Compta!$F$1:$F$675,Compta!$A$1:$A$675,"GRP",Compta!$B$1:$B$675,"6331",Compta!$C$1:$C$675,$A39)+SUMIFS(Compta!$F$1:$F$675,Compta!$A$1:$A$675,"GRP",Compta!$B$1:$B$675,"6333",Compta!$C$1:$C$675,$A39))</f>
        <v/>
      </c>
      <c r="AC39" t="str">
        <f t="shared" si="3"/>
        <v/>
      </c>
      <c r="AD39" t="str">
        <f t="shared" si="4"/>
        <v/>
      </c>
      <c r="AE39" t="str">
        <f t="shared" si="5"/>
        <v/>
      </c>
      <c r="AF39" t="str">
        <f t="shared" si="6"/>
        <v/>
      </c>
      <c r="AG39" t="str">
        <f t="shared" si="7"/>
        <v/>
      </c>
      <c r="AH39" t="str">
        <f t="shared" si="8"/>
        <v/>
      </c>
      <c r="AI39" t="str">
        <f t="shared" si="9"/>
        <v/>
      </c>
      <c r="AJ39" t="str">
        <f t="shared" si="10"/>
        <v/>
      </c>
      <c r="AK39" t="str">
        <f t="shared" si="11"/>
        <v/>
      </c>
      <c r="AL39" t="str">
        <f t="shared" si="12"/>
        <v/>
      </c>
      <c r="AM39" t="str">
        <f t="shared" si="13"/>
        <v/>
      </c>
      <c r="AN39" t="str">
        <f t="shared" si="14"/>
        <v/>
      </c>
      <c r="AO39" t="str">
        <f>IF($A39="","",SUMIFS(Compta!$F$1:$F$675,Compta!$A$1:$A$675,"GRP",Compta!$B$1:$B$675,"6236",Compta!$C$1:$C$675,$A39))</f>
        <v/>
      </c>
      <c r="AP39" t="str">
        <f t="shared" si="15"/>
        <v/>
      </c>
      <c r="AQ39" t="str">
        <f t="shared" si="16"/>
        <v/>
      </c>
      <c r="AR39" t="str">
        <f t="shared" si="17"/>
        <v/>
      </c>
    </row>
    <row r="40" spans="1:44" x14ac:dyDescent="0.45">
      <c r="A40" t="str">
        <f>IF(Allocation!C40="","",Allocation!C40)</f>
        <v/>
      </c>
      <c r="B40" t="str">
        <f>IF(Allocation!D40="","",Allocation!D40)</f>
        <v/>
      </c>
      <c r="C40" t="str">
        <f>IF(Allocation!E40="","",Allocation!E40)</f>
        <v/>
      </c>
      <c r="D40" t="str">
        <f>IF(Allocation!F40="","",Allocation!F40)</f>
        <v/>
      </c>
      <c r="E40" t="str">
        <f>IF(Allocation!G40="","",Allocation!G40)</f>
        <v/>
      </c>
      <c r="F40" t="str">
        <f>IF(Allocation!H40="","",Allocation!H40)</f>
        <v/>
      </c>
      <c r="G40" t="str">
        <f>IF(Allocation!D40="","",Allocation!I40)</f>
        <v/>
      </c>
      <c r="H40" t="str">
        <f>IF(Allocation!D40="","",Allocation!J40)</f>
        <v/>
      </c>
      <c r="I40" t="str">
        <f>IF(Allocation!D40="","",Allocation!K40)</f>
        <v/>
      </c>
      <c r="J40" t="str">
        <f>IF($A40="","",SUMIFS(Socle!$K$1:$K$1000,Socle!$C$1:$C$1000,$B40,Socle!$D$1:$D$1000,$D40,Socle!$E$1:$E$1000,$E40,Socle!$F$1:$F$1000,$F40,Socle!$G$1:$G$1000,$A40))</f>
        <v/>
      </c>
      <c r="K40" t="str">
        <f t="shared" si="0"/>
        <v/>
      </c>
      <c r="L40" t="str">
        <f>IF($A40="","",SUMIFS(Allocation!$I$1:$I$175,Allocation!$C$1:$C$175,$A40,Allocation!$D$1:$D$175,$B40))</f>
        <v/>
      </c>
      <c r="M40" t="str">
        <f>IF($A40="","",SUMIFS(Allocation!$J$1:$J$175,Allocation!$C$1:$C$175,$A40,Allocation!$D$1:$D$175,$B40))</f>
        <v/>
      </c>
      <c r="N40" t="str">
        <f>IF($A40="","",SUMIFS(Allocation!$K$1:$K$175,Allocation!$C$1:$C$175,$A40,Allocation!$D$1:$D$175,$B40))</f>
        <v/>
      </c>
      <c r="O40" t="str">
        <f t="shared" si="1"/>
        <v/>
      </c>
      <c r="P40" t="str">
        <f t="shared" si="2"/>
        <v/>
      </c>
      <c r="Q40" t="str">
        <f>IF($A40="","",SUMIFS(Allocation!$I$1:$I$175,Allocation!$C$1:$C$175,$A40,Allocation!$E$1:$E$175,$C40))</f>
        <v/>
      </c>
      <c r="R40" t="str">
        <f>IF($A40="","",SUMIFS(Allocation!$J$1:$J$175,Allocation!$C$1:$C$175,$A40,Allocation!$E$1:$E$175,$C40))</f>
        <v/>
      </c>
      <c r="S40" t="str">
        <f>IF($A40="","",SUMIFS(Allocation!$K$1:$K$175,Allocation!$C$1:$C$175,$A40,Allocation!$E$1:$E$175,$C40))</f>
        <v/>
      </c>
      <c r="T40" t="str">
        <f>IF($A40="","",SUMIFS(Allocation!$I$1:$I$175,Allocation!$C$1:$C$175,$A40))</f>
        <v/>
      </c>
      <c r="U40" t="str">
        <f>IF($A40="","",SUMIFS(Allocation!$J$1:$J$175,Allocation!$C$1:$C$175,$A40))</f>
        <v/>
      </c>
      <c r="V40" t="str">
        <f>IF($A40="","",SUMIFS(Allocation!$K$1:$K$175,Allocation!$C$1:$C$175,$A40))</f>
        <v/>
      </c>
      <c r="W40" t="str">
        <f>IF($A40="","",SUMIFS(Compta!$F$1:$F$675,Compta!$A$1:$A$675,$B40,Compta!$B$1:$B$675,"621",Compta!$C$1:$C$675,$A40))</f>
        <v/>
      </c>
      <c r="X40" t="str">
        <f>IF($A40="","",SUMIFS(Compta!$F$1:$F$675,Compta!$A$1:$A$675,$B40,Compta!$B$1:$B$675,"6411",Compta!$C$1:$C$675,$A40))</f>
        <v/>
      </c>
      <c r="Y40" t="str">
        <f>IF($A40="","",SUMIFS(Compta!$F$1:$F$675,Compta!$A$1:$A$675,$B40,Compta!$B$1:$B$675,"604",Compta!$C$1:$C$675,$A40)+SUMIFS(Compta!$F$1:$F$675,Compta!$A$1:$A$675,$B40,Compta!$B$1:$B$675,"6063",Compta!$C$1:$C$675,$A40))</f>
        <v/>
      </c>
      <c r="Z40" t="str">
        <f>IF($A40="","",SUMIFS(Compta!$F$1:$F$675,Compta!$A$1:$A$675,$B40,Compta!$B$1:$B$675,"6231",Compta!$C$1:$C$675,$A40))</f>
        <v/>
      </c>
      <c r="AA40" t="str">
        <f>IF($A40="","",SUMIFS(Compta!$F$1:$F$675,Compta!$A$1:$A$675,$B40,Compta!$B$1:$B$675,"6413",Compta!$C$1:$C$675,$A40)+SUMIFS(Compta!$F$1:$F$675,Compta!$A$1:$A$675,$B40,Compta!$B$1:$B$675,"645",Compta!$C$1:$C$675,$A40)+SUMIFS(Compta!$F$1:$F$675,Compta!$A$1:$A$675,$B40,Compta!$B$1:$B$675,"613",Compta!$C$1:$C$675,$A40)+SUMIFS(Compta!$F$1:$F$675,Compta!$A$1:$A$675,$B40,Compta!$B$1:$B$675,"615",Compta!$C$1:$C$675,$A40)+SUMIFS(Compta!$F$1:$F$675,Compta!$A$1:$A$675,$B40,Compta!$B$1:$B$675,"616",Compta!$C$1:$C$675,$A40)+SUMIFS(Compta!$F$1:$F$675,Compta!$A$1:$A$675,$B40,Compta!$B$1:$B$675,"625",Compta!$C$1:$C$675,$A40)+SUMIFS(Compta!$F$1:$F$675,Compta!$A$1:$A$675,$B40,Compta!$B$1:$B$675,"63511",Compta!$C$1:$C$675,$A40))</f>
        <v/>
      </c>
      <c r="AB40" t="str">
        <f>IF($A40="","",SUMIFS(Compta!$F$1:$F$675,Compta!$A$1:$A$675,"GRP",Compta!$B$1:$B$675,"6414",Compta!$C$1:$C$675,$A40)+SUMIFS(Compta!$F$1:$F$675,Compta!$A$1:$A$675,"GRP",Compta!$B$1:$B$675,"6226",Compta!$C$1:$C$675,$A40)+SUMIFS(Compta!$F$1:$F$675,Compta!$A$1:$A$675,"GRP",Compta!$B$1:$B$675,"626",Compta!$C$1:$C$675,$A40)+SUMIFS(Compta!$F$1:$F$675,Compta!$A$1:$A$675,"GRP",Compta!$B$1:$B$675,"6281",Compta!$C$1:$C$675,$A40)+SUMIFS(Compta!$F$1:$F$675,Compta!$A$1:$A$675,"GRP",Compta!$B$1:$B$675,"6331",Compta!$C$1:$C$675,$A40)+SUMIFS(Compta!$F$1:$F$675,Compta!$A$1:$A$675,"GRP",Compta!$B$1:$B$675,"6333",Compta!$C$1:$C$675,$A40))</f>
        <v/>
      </c>
      <c r="AC40" t="str">
        <f t="shared" si="3"/>
        <v/>
      </c>
      <c r="AD40" t="str">
        <f t="shared" si="4"/>
        <v/>
      </c>
      <c r="AE40" t="str">
        <f t="shared" si="5"/>
        <v/>
      </c>
      <c r="AF40" t="str">
        <f t="shared" si="6"/>
        <v/>
      </c>
      <c r="AG40" t="str">
        <f t="shared" si="7"/>
        <v/>
      </c>
      <c r="AH40" t="str">
        <f t="shared" si="8"/>
        <v/>
      </c>
      <c r="AI40" t="str">
        <f t="shared" si="9"/>
        <v/>
      </c>
      <c r="AJ40" t="str">
        <f t="shared" si="10"/>
        <v/>
      </c>
      <c r="AK40" t="str">
        <f t="shared" si="11"/>
        <v/>
      </c>
      <c r="AL40" t="str">
        <f t="shared" si="12"/>
        <v/>
      </c>
      <c r="AM40" t="str">
        <f t="shared" si="13"/>
        <v/>
      </c>
      <c r="AN40" t="str">
        <f t="shared" si="14"/>
        <v/>
      </c>
      <c r="AO40" t="str">
        <f>IF($A40="","",SUMIFS(Compta!$F$1:$F$675,Compta!$A$1:$A$675,"GRP",Compta!$B$1:$B$675,"6236",Compta!$C$1:$C$675,$A40))</f>
        <v/>
      </c>
      <c r="AP40" t="str">
        <f t="shared" si="15"/>
        <v/>
      </c>
      <c r="AQ40" t="str">
        <f t="shared" si="16"/>
        <v/>
      </c>
      <c r="AR40" t="str">
        <f t="shared" si="17"/>
        <v/>
      </c>
    </row>
    <row r="41" spans="1:44" x14ac:dyDescent="0.45">
      <c r="A41" t="str">
        <f>IF(Allocation!C41="","",Allocation!C41)</f>
        <v/>
      </c>
      <c r="B41" t="str">
        <f>IF(Allocation!D41="","",Allocation!D41)</f>
        <v/>
      </c>
      <c r="C41" t="str">
        <f>IF(Allocation!E41="","",Allocation!E41)</f>
        <v/>
      </c>
      <c r="D41" t="str">
        <f>IF(Allocation!F41="","",Allocation!F41)</f>
        <v/>
      </c>
      <c r="E41" t="str">
        <f>IF(Allocation!G41="","",Allocation!G41)</f>
        <v/>
      </c>
      <c r="F41" t="str">
        <f>IF(Allocation!H41="","",Allocation!H41)</f>
        <v/>
      </c>
      <c r="G41" t="str">
        <f>IF(Allocation!D41="","",Allocation!I41)</f>
        <v/>
      </c>
      <c r="H41" t="str">
        <f>IF(Allocation!D41="","",Allocation!J41)</f>
        <v/>
      </c>
      <c r="I41" t="str">
        <f>IF(Allocation!D41="","",Allocation!K41)</f>
        <v/>
      </c>
      <c r="J41" t="str">
        <f>IF($A41="","",SUMIFS(Socle!$K$1:$K$1000,Socle!$C$1:$C$1000,$B41,Socle!$D$1:$D$1000,$D41,Socle!$E$1:$E$1000,$E41,Socle!$F$1:$F$1000,$F41,Socle!$G$1:$G$1000,$A41))</f>
        <v/>
      </c>
      <c r="K41" t="str">
        <f t="shared" si="0"/>
        <v/>
      </c>
      <c r="L41" t="str">
        <f>IF($A41="","",SUMIFS(Allocation!$I$1:$I$175,Allocation!$C$1:$C$175,$A41,Allocation!$D$1:$D$175,$B41))</f>
        <v/>
      </c>
      <c r="M41" t="str">
        <f>IF($A41="","",SUMIFS(Allocation!$J$1:$J$175,Allocation!$C$1:$C$175,$A41,Allocation!$D$1:$D$175,$B41))</f>
        <v/>
      </c>
      <c r="N41" t="str">
        <f>IF($A41="","",SUMIFS(Allocation!$K$1:$K$175,Allocation!$C$1:$C$175,$A41,Allocation!$D$1:$D$175,$B41))</f>
        <v/>
      </c>
      <c r="O41" t="str">
        <f t="shared" si="1"/>
        <v/>
      </c>
      <c r="P41" t="str">
        <f t="shared" si="2"/>
        <v/>
      </c>
      <c r="Q41" t="str">
        <f>IF($A41="","",SUMIFS(Allocation!$I$1:$I$175,Allocation!$C$1:$C$175,$A41,Allocation!$E$1:$E$175,$C41))</f>
        <v/>
      </c>
      <c r="R41" t="str">
        <f>IF($A41="","",SUMIFS(Allocation!$J$1:$J$175,Allocation!$C$1:$C$175,$A41,Allocation!$E$1:$E$175,$C41))</f>
        <v/>
      </c>
      <c r="S41" t="str">
        <f>IF($A41="","",SUMIFS(Allocation!$K$1:$K$175,Allocation!$C$1:$C$175,$A41,Allocation!$E$1:$E$175,$C41))</f>
        <v/>
      </c>
      <c r="T41" t="str">
        <f>IF($A41="","",SUMIFS(Allocation!$I$1:$I$175,Allocation!$C$1:$C$175,$A41))</f>
        <v/>
      </c>
      <c r="U41" t="str">
        <f>IF($A41="","",SUMIFS(Allocation!$J$1:$J$175,Allocation!$C$1:$C$175,$A41))</f>
        <v/>
      </c>
      <c r="V41" t="str">
        <f>IF($A41="","",SUMIFS(Allocation!$K$1:$K$175,Allocation!$C$1:$C$175,$A41))</f>
        <v/>
      </c>
      <c r="W41" t="str">
        <f>IF($A41="","",SUMIFS(Compta!$F$1:$F$675,Compta!$A$1:$A$675,$B41,Compta!$B$1:$B$675,"621",Compta!$C$1:$C$675,$A41))</f>
        <v/>
      </c>
      <c r="X41" t="str">
        <f>IF($A41="","",SUMIFS(Compta!$F$1:$F$675,Compta!$A$1:$A$675,$B41,Compta!$B$1:$B$675,"6411",Compta!$C$1:$C$675,$A41))</f>
        <v/>
      </c>
      <c r="Y41" t="str">
        <f>IF($A41="","",SUMIFS(Compta!$F$1:$F$675,Compta!$A$1:$A$675,$B41,Compta!$B$1:$B$675,"604",Compta!$C$1:$C$675,$A41)+SUMIFS(Compta!$F$1:$F$675,Compta!$A$1:$A$675,$B41,Compta!$B$1:$B$675,"6063",Compta!$C$1:$C$675,$A41))</f>
        <v/>
      </c>
      <c r="Z41" t="str">
        <f>IF($A41="","",SUMIFS(Compta!$F$1:$F$675,Compta!$A$1:$A$675,$B41,Compta!$B$1:$B$675,"6231",Compta!$C$1:$C$675,$A41))</f>
        <v/>
      </c>
      <c r="AA41" t="str">
        <f>IF($A41="","",SUMIFS(Compta!$F$1:$F$675,Compta!$A$1:$A$675,$B41,Compta!$B$1:$B$675,"6413",Compta!$C$1:$C$675,$A41)+SUMIFS(Compta!$F$1:$F$675,Compta!$A$1:$A$675,$B41,Compta!$B$1:$B$675,"645",Compta!$C$1:$C$675,$A41)+SUMIFS(Compta!$F$1:$F$675,Compta!$A$1:$A$675,$B41,Compta!$B$1:$B$675,"613",Compta!$C$1:$C$675,$A41)+SUMIFS(Compta!$F$1:$F$675,Compta!$A$1:$A$675,$B41,Compta!$B$1:$B$675,"615",Compta!$C$1:$C$675,$A41)+SUMIFS(Compta!$F$1:$F$675,Compta!$A$1:$A$675,$B41,Compta!$B$1:$B$675,"616",Compta!$C$1:$C$675,$A41)+SUMIFS(Compta!$F$1:$F$675,Compta!$A$1:$A$675,$B41,Compta!$B$1:$B$675,"625",Compta!$C$1:$C$675,$A41)+SUMIFS(Compta!$F$1:$F$675,Compta!$A$1:$A$675,$B41,Compta!$B$1:$B$675,"63511",Compta!$C$1:$C$675,$A41))</f>
        <v/>
      </c>
      <c r="AB41" t="str">
        <f>IF($A41="","",SUMIFS(Compta!$F$1:$F$675,Compta!$A$1:$A$675,"GRP",Compta!$B$1:$B$675,"6414",Compta!$C$1:$C$675,$A41)+SUMIFS(Compta!$F$1:$F$675,Compta!$A$1:$A$675,"GRP",Compta!$B$1:$B$675,"6226",Compta!$C$1:$C$675,$A41)+SUMIFS(Compta!$F$1:$F$675,Compta!$A$1:$A$675,"GRP",Compta!$B$1:$B$675,"626",Compta!$C$1:$C$675,$A41)+SUMIFS(Compta!$F$1:$F$675,Compta!$A$1:$A$675,"GRP",Compta!$B$1:$B$675,"6281",Compta!$C$1:$C$675,$A41)+SUMIFS(Compta!$F$1:$F$675,Compta!$A$1:$A$675,"GRP",Compta!$B$1:$B$675,"6331",Compta!$C$1:$C$675,$A41)+SUMIFS(Compta!$F$1:$F$675,Compta!$A$1:$A$675,"GRP",Compta!$B$1:$B$675,"6333",Compta!$C$1:$C$675,$A41))</f>
        <v/>
      </c>
      <c r="AC41" t="str">
        <f t="shared" si="3"/>
        <v/>
      </c>
      <c r="AD41" t="str">
        <f t="shared" si="4"/>
        <v/>
      </c>
      <c r="AE41" t="str">
        <f t="shared" si="5"/>
        <v/>
      </c>
      <c r="AF41" t="str">
        <f t="shared" si="6"/>
        <v/>
      </c>
      <c r="AG41" t="str">
        <f t="shared" si="7"/>
        <v/>
      </c>
      <c r="AH41" t="str">
        <f t="shared" si="8"/>
        <v/>
      </c>
      <c r="AI41" t="str">
        <f t="shared" si="9"/>
        <v/>
      </c>
      <c r="AJ41" t="str">
        <f t="shared" si="10"/>
        <v/>
      </c>
      <c r="AK41" t="str">
        <f t="shared" si="11"/>
        <v/>
      </c>
      <c r="AL41" t="str">
        <f t="shared" si="12"/>
        <v/>
      </c>
      <c r="AM41" t="str">
        <f t="shared" si="13"/>
        <v/>
      </c>
      <c r="AN41" t="str">
        <f t="shared" si="14"/>
        <v/>
      </c>
      <c r="AO41" t="str">
        <f>IF($A41="","",SUMIFS(Compta!$F$1:$F$675,Compta!$A$1:$A$675,"GRP",Compta!$B$1:$B$675,"6236",Compta!$C$1:$C$675,$A41))</f>
        <v/>
      </c>
      <c r="AP41" t="str">
        <f t="shared" si="15"/>
        <v/>
      </c>
      <c r="AQ41" t="str">
        <f t="shared" si="16"/>
        <v/>
      </c>
      <c r="AR41" t="str">
        <f t="shared" si="17"/>
        <v/>
      </c>
    </row>
    <row r="42" spans="1:44" x14ac:dyDescent="0.45">
      <c r="A42" t="str">
        <f>IF(Allocation!C42="","",Allocation!C42)</f>
        <v/>
      </c>
      <c r="B42" t="str">
        <f>IF(Allocation!D42="","",Allocation!D42)</f>
        <v/>
      </c>
      <c r="C42" t="str">
        <f>IF(Allocation!E42="","",Allocation!E42)</f>
        <v/>
      </c>
      <c r="D42" t="str">
        <f>IF(Allocation!F42="","",Allocation!F42)</f>
        <v/>
      </c>
      <c r="E42" t="str">
        <f>IF(Allocation!G42="","",Allocation!G42)</f>
        <v/>
      </c>
      <c r="F42" t="str">
        <f>IF(Allocation!H42="","",Allocation!H42)</f>
        <v/>
      </c>
      <c r="G42" t="str">
        <f>IF(Allocation!D42="","",Allocation!I42)</f>
        <v/>
      </c>
      <c r="H42" t="str">
        <f>IF(Allocation!D42="","",Allocation!J42)</f>
        <v/>
      </c>
      <c r="I42" t="str">
        <f>IF(Allocation!D42="","",Allocation!K42)</f>
        <v/>
      </c>
      <c r="J42" t="str">
        <f>IF($A42="","",SUMIFS(Socle!$K$1:$K$1000,Socle!$C$1:$C$1000,$B42,Socle!$D$1:$D$1000,$D42,Socle!$E$1:$E$1000,$E42,Socle!$F$1:$F$1000,$F42,Socle!$G$1:$G$1000,$A42))</f>
        <v/>
      </c>
      <c r="K42" t="str">
        <f t="shared" si="0"/>
        <v/>
      </c>
      <c r="L42" t="str">
        <f>IF($A42="","",SUMIFS(Allocation!$I$1:$I$175,Allocation!$C$1:$C$175,$A42,Allocation!$D$1:$D$175,$B42))</f>
        <v/>
      </c>
      <c r="M42" t="str">
        <f>IF($A42="","",SUMIFS(Allocation!$J$1:$J$175,Allocation!$C$1:$C$175,$A42,Allocation!$D$1:$D$175,$B42))</f>
        <v/>
      </c>
      <c r="N42" t="str">
        <f>IF($A42="","",SUMIFS(Allocation!$K$1:$K$175,Allocation!$C$1:$C$175,$A42,Allocation!$D$1:$D$175,$B42))</f>
        <v/>
      </c>
      <c r="O42" t="str">
        <f t="shared" si="1"/>
        <v/>
      </c>
      <c r="P42" t="str">
        <f t="shared" si="2"/>
        <v/>
      </c>
      <c r="Q42" t="str">
        <f>IF($A42="","",SUMIFS(Allocation!$I$1:$I$175,Allocation!$C$1:$C$175,$A42,Allocation!$E$1:$E$175,$C42))</f>
        <v/>
      </c>
      <c r="R42" t="str">
        <f>IF($A42="","",SUMIFS(Allocation!$J$1:$J$175,Allocation!$C$1:$C$175,$A42,Allocation!$E$1:$E$175,$C42))</f>
        <v/>
      </c>
      <c r="S42" t="str">
        <f>IF($A42="","",SUMIFS(Allocation!$K$1:$K$175,Allocation!$C$1:$C$175,$A42,Allocation!$E$1:$E$175,$C42))</f>
        <v/>
      </c>
      <c r="T42" t="str">
        <f>IF($A42="","",SUMIFS(Allocation!$I$1:$I$175,Allocation!$C$1:$C$175,$A42))</f>
        <v/>
      </c>
      <c r="U42" t="str">
        <f>IF($A42="","",SUMIFS(Allocation!$J$1:$J$175,Allocation!$C$1:$C$175,$A42))</f>
        <v/>
      </c>
      <c r="V42" t="str">
        <f>IF($A42="","",SUMIFS(Allocation!$K$1:$K$175,Allocation!$C$1:$C$175,$A42))</f>
        <v/>
      </c>
      <c r="W42" t="str">
        <f>IF($A42="","",SUMIFS(Compta!$F$1:$F$675,Compta!$A$1:$A$675,$B42,Compta!$B$1:$B$675,"621",Compta!$C$1:$C$675,$A42))</f>
        <v/>
      </c>
      <c r="X42" t="str">
        <f>IF($A42="","",SUMIFS(Compta!$F$1:$F$675,Compta!$A$1:$A$675,$B42,Compta!$B$1:$B$675,"6411",Compta!$C$1:$C$675,$A42))</f>
        <v/>
      </c>
      <c r="Y42" t="str">
        <f>IF($A42="","",SUMIFS(Compta!$F$1:$F$675,Compta!$A$1:$A$675,$B42,Compta!$B$1:$B$675,"604",Compta!$C$1:$C$675,$A42)+SUMIFS(Compta!$F$1:$F$675,Compta!$A$1:$A$675,$B42,Compta!$B$1:$B$675,"6063",Compta!$C$1:$C$675,$A42))</f>
        <v/>
      </c>
      <c r="Z42" t="str">
        <f>IF($A42="","",SUMIFS(Compta!$F$1:$F$675,Compta!$A$1:$A$675,$B42,Compta!$B$1:$B$675,"6231",Compta!$C$1:$C$675,$A42))</f>
        <v/>
      </c>
      <c r="AA42" t="str">
        <f>IF($A42="","",SUMIFS(Compta!$F$1:$F$675,Compta!$A$1:$A$675,$B42,Compta!$B$1:$B$675,"6413",Compta!$C$1:$C$675,$A42)+SUMIFS(Compta!$F$1:$F$675,Compta!$A$1:$A$675,$B42,Compta!$B$1:$B$675,"645",Compta!$C$1:$C$675,$A42)+SUMIFS(Compta!$F$1:$F$675,Compta!$A$1:$A$675,$B42,Compta!$B$1:$B$675,"613",Compta!$C$1:$C$675,$A42)+SUMIFS(Compta!$F$1:$F$675,Compta!$A$1:$A$675,$B42,Compta!$B$1:$B$675,"615",Compta!$C$1:$C$675,$A42)+SUMIFS(Compta!$F$1:$F$675,Compta!$A$1:$A$675,$B42,Compta!$B$1:$B$675,"616",Compta!$C$1:$C$675,$A42)+SUMIFS(Compta!$F$1:$F$675,Compta!$A$1:$A$675,$B42,Compta!$B$1:$B$675,"625",Compta!$C$1:$C$675,$A42)+SUMIFS(Compta!$F$1:$F$675,Compta!$A$1:$A$675,$B42,Compta!$B$1:$B$675,"63511",Compta!$C$1:$C$675,$A42))</f>
        <v/>
      </c>
      <c r="AB42" t="str">
        <f>IF($A42="","",SUMIFS(Compta!$F$1:$F$675,Compta!$A$1:$A$675,"GRP",Compta!$B$1:$B$675,"6414",Compta!$C$1:$C$675,$A42)+SUMIFS(Compta!$F$1:$F$675,Compta!$A$1:$A$675,"GRP",Compta!$B$1:$B$675,"6226",Compta!$C$1:$C$675,$A42)+SUMIFS(Compta!$F$1:$F$675,Compta!$A$1:$A$675,"GRP",Compta!$B$1:$B$675,"626",Compta!$C$1:$C$675,$A42)+SUMIFS(Compta!$F$1:$F$675,Compta!$A$1:$A$675,"GRP",Compta!$B$1:$B$675,"6281",Compta!$C$1:$C$675,$A42)+SUMIFS(Compta!$F$1:$F$675,Compta!$A$1:$A$675,"GRP",Compta!$B$1:$B$675,"6331",Compta!$C$1:$C$675,$A42)+SUMIFS(Compta!$F$1:$F$675,Compta!$A$1:$A$675,"GRP",Compta!$B$1:$B$675,"6333",Compta!$C$1:$C$675,$A42))</f>
        <v/>
      </c>
      <c r="AC42" t="str">
        <f t="shared" si="3"/>
        <v/>
      </c>
      <c r="AD42" t="str">
        <f t="shared" si="4"/>
        <v/>
      </c>
      <c r="AE42" t="str">
        <f t="shared" si="5"/>
        <v/>
      </c>
      <c r="AF42" t="str">
        <f t="shared" si="6"/>
        <v/>
      </c>
      <c r="AG42" t="str">
        <f t="shared" si="7"/>
        <v/>
      </c>
      <c r="AH42" t="str">
        <f t="shared" si="8"/>
        <v/>
      </c>
      <c r="AI42" t="str">
        <f t="shared" si="9"/>
        <v/>
      </c>
      <c r="AJ42" t="str">
        <f t="shared" si="10"/>
        <v/>
      </c>
      <c r="AK42" t="str">
        <f t="shared" si="11"/>
        <v/>
      </c>
      <c r="AL42" t="str">
        <f t="shared" si="12"/>
        <v/>
      </c>
      <c r="AM42" t="str">
        <f t="shared" si="13"/>
        <v/>
      </c>
      <c r="AN42" t="str">
        <f t="shared" si="14"/>
        <v/>
      </c>
      <c r="AO42" t="str">
        <f>IF($A42="","",SUMIFS(Compta!$F$1:$F$675,Compta!$A$1:$A$675,"GRP",Compta!$B$1:$B$675,"6236",Compta!$C$1:$C$675,$A42))</f>
        <v/>
      </c>
      <c r="AP42" t="str">
        <f t="shared" si="15"/>
        <v/>
      </c>
      <c r="AQ42" t="str">
        <f t="shared" si="16"/>
        <v/>
      </c>
      <c r="AR42" t="str">
        <f t="shared" si="17"/>
        <v/>
      </c>
    </row>
    <row r="43" spans="1:44" x14ac:dyDescent="0.45">
      <c r="A43" t="str">
        <f>IF(Allocation!C43="","",Allocation!C43)</f>
        <v/>
      </c>
      <c r="B43" t="str">
        <f>IF(Allocation!D43="","",Allocation!D43)</f>
        <v/>
      </c>
      <c r="C43" t="str">
        <f>IF(Allocation!E43="","",Allocation!E43)</f>
        <v/>
      </c>
      <c r="D43" t="str">
        <f>IF(Allocation!F43="","",Allocation!F43)</f>
        <v/>
      </c>
      <c r="E43" t="str">
        <f>IF(Allocation!G43="","",Allocation!G43)</f>
        <v/>
      </c>
      <c r="F43" t="str">
        <f>IF(Allocation!H43="","",Allocation!H43)</f>
        <v/>
      </c>
      <c r="G43" t="str">
        <f>IF(Allocation!D43="","",Allocation!I43)</f>
        <v/>
      </c>
      <c r="H43" t="str">
        <f>IF(Allocation!D43="","",Allocation!J43)</f>
        <v/>
      </c>
      <c r="I43" t="str">
        <f>IF(Allocation!D43="","",Allocation!K43)</f>
        <v/>
      </c>
      <c r="J43" t="str">
        <f>IF($A43="","",SUMIFS(Socle!$K$1:$K$1000,Socle!$C$1:$C$1000,$B43,Socle!$D$1:$D$1000,$D43,Socle!$E$1:$E$1000,$E43,Socle!$F$1:$F$1000,$F43,Socle!$G$1:$G$1000,$A43))</f>
        <v/>
      </c>
      <c r="K43" t="str">
        <f t="shared" si="0"/>
        <v/>
      </c>
      <c r="L43" t="str">
        <f>IF($A43="","",SUMIFS(Allocation!$I$1:$I$175,Allocation!$C$1:$C$175,$A43,Allocation!$D$1:$D$175,$B43))</f>
        <v/>
      </c>
      <c r="M43" t="str">
        <f>IF($A43="","",SUMIFS(Allocation!$J$1:$J$175,Allocation!$C$1:$C$175,$A43,Allocation!$D$1:$D$175,$B43))</f>
        <v/>
      </c>
      <c r="N43" t="str">
        <f>IF($A43="","",SUMIFS(Allocation!$K$1:$K$175,Allocation!$C$1:$C$175,$A43,Allocation!$D$1:$D$175,$B43))</f>
        <v/>
      </c>
      <c r="O43" t="str">
        <f t="shared" si="1"/>
        <v/>
      </c>
      <c r="P43" t="str">
        <f t="shared" si="2"/>
        <v/>
      </c>
      <c r="Q43" t="str">
        <f>IF($A43="","",SUMIFS(Allocation!$I$1:$I$175,Allocation!$C$1:$C$175,$A43,Allocation!$E$1:$E$175,$C43))</f>
        <v/>
      </c>
      <c r="R43" t="str">
        <f>IF($A43="","",SUMIFS(Allocation!$J$1:$J$175,Allocation!$C$1:$C$175,$A43,Allocation!$E$1:$E$175,$C43))</f>
        <v/>
      </c>
      <c r="S43" t="str">
        <f>IF($A43="","",SUMIFS(Allocation!$K$1:$K$175,Allocation!$C$1:$C$175,$A43,Allocation!$E$1:$E$175,$C43))</f>
        <v/>
      </c>
      <c r="T43" t="str">
        <f>IF($A43="","",SUMIFS(Allocation!$I$1:$I$175,Allocation!$C$1:$C$175,$A43))</f>
        <v/>
      </c>
      <c r="U43" t="str">
        <f>IF($A43="","",SUMIFS(Allocation!$J$1:$J$175,Allocation!$C$1:$C$175,$A43))</f>
        <v/>
      </c>
      <c r="V43" t="str">
        <f>IF($A43="","",SUMIFS(Allocation!$K$1:$K$175,Allocation!$C$1:$C$175,$A43))</f>
        <v/>
      </c>
      <c r="W43" t="str">
        <f>IF($A43="","",SUMIFS(Compta!$F$1:$F$675,Compta!$A$1:$A$675,$B43,Compta!$B$1:$B$675,"621",Compta!$C$1:$C$675,$A43))</f>
        <v/>
      </c>
      <c r="X43" t="str">
        <f>IF($A43="","",SUMIFS(Compta!$F$1:$F$675,Compta!$A$1:$A$675,$B43,Compta!$B$1:$B$675,"6411",Compta!$C$1:$C$675,$A43))</f>
        <v/>
      </c>
      <c r="Y43" t="str">
        <f>IF($A43="","",SUMIFS(Compta!$F$1:$F$675,Compta!$A$1:$A$675,$B43,Compta!$B$1:$B$675,"604",Compta!$C$1:$C$675,$A43)+SUMIFS(Compta!$F$1:$F$675,Compta!$A$1:$A$675,$B43,Compta!$B$1:$B$675,"6063",Compta!$C$1:$C$675,$A43))</f>
        <v/>
      </c>
      <c r="Z43" t="str">
        <f>IF($A43="","",SUMIFS(Compta!$F$1:$F$675,Compta!$A$1:$A$675,$B43,Compta!$B$1:$B$675,"6231",Compta!$C$1:$C$675,$A43))</f>
        <v/>
      </c>
      <c r="AA43" t="str">
        <f>IF($A43="","",SUMIFS(Compta!$F$1:$F$675,Compta!$A$1:$A$675,$B43,Compta!$B$1:$B$675,"6413",Compta!$C$1:$C$675,$A43)+SUMIFS(Compta!$F$1:$F$675,Compta!$A$1:$A$675,$B43,Compta!$B$1:$B$675,"645",Compta!$C$1:$C$675,$A43)+SUMIFS(Compta!$F$1:$F$675,Compta!$A$1:$A$675,$B43,Compta!$B$1:$B$675,"613",Compta!$C$1:$C$675,$A43)+SUMIFS(Compta!$F$1:$F$675,Compta!$A$1:$A$675,$B43,Compta!$B$1:$B$675,"615",Compta!$C$1:$C$675,$A43)+SUMIFS(Compta!$F$1:$F$675,Compta!$A$1:$A$675,$B43,Compta!$B$1:$B$675,"616",Compta!$C$1:$C$675,$A43)+SUMIFS(Compta!$F$1:$F$675,Compta!$A$1:$A$675,$B43,Compta!$B$1:$B$675,"625",Compta!$C$1:$C$675,$A43)+SUMIFS(Compta!$F$1:$F$675,Compta!$A$1:$A$675,$B43,Compta!$B$1:$B$675,"63511",Compta!$C$1:$C$675,$A43))</f>
        <v/>
      </c>
      <c r="AB43" t="str">
        <f>IF($A43="","",SUMIFS(Compta!$F$1:$F$675,Compta!$A$1:$A$675,"GRP",Compta!$B$1:$B$675,"6414",Compta!$C$1:$C$675,$A43)+SUMIFS(Compta!$F$1:$F$675,Compta!$A$1:$A$675,"GRP",Compta!$B$1:$B$675,"6226",Compta!$C$1:$C$675,$A43)+SUMIFS(Compta!$F$1:$F$675,Compta!$A$1:$A$675,"GRP",Compta!$B$1:$B$675,"626",Compta!$C$1:$C$675,$A43)+SUMIFS(Compta!$F$1:$F$675,Compta!$A$1:$A$675,"GRP",Compta!$B$1:$B$675,"6281",Compta!$C$1:$C$675,$A43)+SUMIFS(Compta!$F$1:$F$675,Compta!$A$1:$A$675,"GRP",Compta!$B$1:$B$675,"6331",Compta!$C$1:$C$675,$A43)+SUMIFS(Compta!$F$1:$F$675,Compta!$A$1:$A$675,"GRP",Compta!$B$1:$B$675,"6333",Compta!$C$1:$C$675,$A43))</f>
        <v/>
      </c>
      <c r="AC43" t="str">
        <f t="shared" si="3"/>
        <v/>
      </c>
      <c r="AD43" t="str">
        <f t="shared" si="4"/>
        <v/>
      </c>
      <c r="AE43" t="str">
        <f t="shared" si="5"/>
        <v/>
      </c>
      <c r="AF43" t="str">
        <f t="shared" si="6"/>
        <v/>
      </c>
      <c r="AG43" t="str">
        <f t="shared" si="7"/>
        <v/>
      </c>
      <c r="AH43" t="str">
        <f t="shared" si="8"/>
        <v/>
      </c>
      <c r="AI43" t="str">
        <f t="shared" si="9"/>
        <v/>
      </c>
      <c r="AJ43" t="str">
        <f t="shared" si="10"/>
        <v/>
      </c>
      <c r="AK43" t="str">
        <f t="shared" si="11"/>
        <v/>
      </c>
      <c r="AL43" t="str">
        <f t="shared" si="12"/>
        <v/>
      </c>
      <c r="AM43" t="str">
        <f t="shared" si="13"/>
        <v/>
      </c>
      <c r="AN43" t="str">
        <f t="shared" si="14"/>
        <v/>
      </c>
      <c r="AO43" t="str">
        <f>IF($A43="","",SUMIFS(Compta!$F$1:$F$675,Compta!$A$1:$A$675,"GRP",Compta!$B$1:$B$675,"6236",Compta!$C$1:$C$675,$A43))</f>
        <v/>
      </c>
      <c r="AP43" t="str">
        <f t="shared" si="15"/>
        <v/>
      </c>
      <c r="AQ43" t="str">
        <f t="shared" si="16"/>
        <v/>
      </c>
      <c r="AR43" t="str">
        <f t="shared" si="17"/>
        <v/>
      </c>
    </row>
    <row r="44" spans="1:44" x14ac:dyDescent="0.45">
      <c r="A44" t="str">
        <f>IF(Allocation!C44="","",Allocation!C44)</f>
        <v/>
      </c>
      <c r="B44" t="str">
        <f>IF(Allocation!D44="","",Allocation!D44)</f>
        <v/>
      </c>
      <c r="C44" t="str">
        <f>IF(Allocation!E44="","",Allocation!E44)</f>
        <v/>
      </c>
      <c r="D44" t="str">
        <f>IF(Allocation!F44="","",Allocation!F44)</f>
        <v/>
      </c>
      <c r="E44" t="str">
        <f>IF(Allocation!G44="","",Allocation!G44)</f>
        <v/>
      </c>
      <c r="F44" t="str">
        <f>IF(Allocation!H44="","",Allocation!H44)</f>
        <v/>
      </c>
      <c r="G44" t="str">
        <f>IF(Allocation!D44="","",Allocation!I44)</f>
        <v/>
      </c>
      <c r="H44" t="str">
        <f>IF(Allocation!D44="","",Allocation!J44)</f>
        <v/>
      </c>
      <c r="I44" t="str">
        <f>IF(Allocation!D44="","",Allocation!K44)</f>
        <v/>
      </c>
      <c r="J44" t="str">
        <f>IF($A44="","",SUMIFS(Socle!$K$1:$K$1000,Socle!$C$1:$C$1000,$B44,Socle!$D$1:$D$1000,$D44,Socle!$E$1:$E$1000,$E44,Socle!$F$1:$F$1000,$F44,Socle!$G$1:$G$1000,$A44))</f>
        <v/>
      </c>
      <c r="K44" t="str">
        <f t="shared" si="0"/>
        <v/>
      </c>
      <c r="L44" t="str">
        <f>IF($A44="","",SUMIFS(Allocation!$I$1:$I$175,Allocation!$C$1:$C$175,$A44,Allocation!$D$1:$D$175,$B44))</f>
        <v/>
      </c>
      <c r="M44" t="str">
        <f>IF($A44="","",SUMIFS(Allocation!$J$1:$J$175,Allocation!$C$1:$C$175,$A44,Allocation!$D$1:$D$175,$B44))</f>
        <v/>
      </c>
      <c r="N44" t="str">
        <f>IF($A44="","",SUMIFS(Allocation!$K$1:$K$175,Allocation!$C$1:$C$175,$A44,Allocation!$D$1:$D$175,$B44))</f>
        <v/>
      </c>
      <c r="O44" t="str">
        <f t="shared" si="1"/>
        <v/>
      </c>
      <c r="P44" t="str">
        <f t="shared" si="2"/>
        <v/>
      </c>
      <c r="Q44" t="str">
        <f>IF($A44="","",SUMIFS(Allocation!$I$1:$I$175,Allocation!$C$1:$C$175,$A44,Allocation!$E$1:$E$175,$C44))</f>
        <v/>
      </c>
      <c r="R44" t="str">
        <f>IF($A44="","",SUMIFS(Allocation!$J$1:$J$175,Allocation!$C$1:$C$175,$A44,Allocation!$E$1:$E$175,$C44))</f>
        <v/>
      </c>
      <c r="S44" t="str">
        <f>IF($A44="","",SUMIFS(Allocation!$K$1:$K$175,Allocation!$C$1:$C$175,$A44,Allocation!$E$1:$E$175,$C44))</f>
        <v/>
      </c>
      <c r="T44" t="str">
        <f>IF($A44="","",SUMIFS(Allocation!$I$1:$I$175,Allocation!$C$1:$C$175,$A44))</f>
        <v/>
      </c>
      <c r="U44" t="str">
        <f>IF($A44="","",SUMIFS(Allocation!$J$1:$J$175,Allocation!$C$1:$C$175,$A44))</f>
        <v/>
      </c>
      <c r="V44" t="str">
        <f>IF($A44="","",SUMIFS(Allocation!$K$1:$K$175,Allocation!$C$1:$C$175,$A44))</f>
        <v/>
      </c>
      <c r="W44" t="str">
        <f>IF($A44="","",SUMIFS(Compta!$F$1:$F$675,Compta!$A$1:$A$675,$B44,Compta!$B$1:$B$675,"621",Compta!$C$1:$C$675,$A44))</f>
        <v/>
      </c>
      <c r="X44" t="str">
        <f>IF($A44="","",SUMIFS(Compta!$F$1:$F$675,Compta!$A$1:$A$675,$B44,Compta!$B$1:$B$675,"6411",Compta!$C$1:$C$675,$A44))</f>
        <v/>
      </c>
      <c r="Y44" t="str">
        <f>IF($A44="","",SUMIFS(Compta!$F$1:$F$675,Compta!$A$1:$A$675,$B44,Compta!$B$1:$B$675,"604",Compta!$C$1:$C$675,$A44)+SUMIFS(Compta!$F$1:$F$675,Compta!$A$1:$A$675,$B44,Compta!$B$1:$B$675,"6063",Compta!$C$1:$C$675,$A44))</f>
        <v/>
      </c>
      <c r="Z44" t="str">
        <f>IF($A44="","",SUMIFS(Compta!$F$1:$F$675,Compta!$A$1:$A$675,$B44,Compta!$B$1:$B$675,"6231",Compta!$C$1:$C$675,$A44))</f>
        <v/>
      </c>
      <c r="AA44" t="str">
        <f>IF($A44="","",SUMIFS(Compta!$F$1:$F$675,Compta!$A$1:$A$675,$B44,Compta!$B$1:$B$675,"6413",Compta!$C$1:$C$675,$A44)+SUMIFS(Compta!$F$1:$F$675,Compta!$A$1:$A$675,$B44,Compta!$B$1:$B$675,"645",Compta!$C$1:$C$675,$A44)+SUMIFS(Compta!$F$1:$F$675,Compta!$A$1:$A$675,$B44,Compta!$B$1:$B$675,"613",Compta!$C$1:$C$675,$A44)+SUMIFS(Compta!$F$1:$F$675,Compta!$A$1:$A$675,$B44,Compta!$B$1:$B$675,"615",Compta!$C$1:$C$675,$A44)+SUMIFS(Compta!$F$1:$F$675,Compta!$A$1:$A$675,$B44,Compta!$B$1:$B$675,"616",Compta!$C$1:$C$675,$A44)+SUMIFS(Compta!$F$1:$F$675,Compta!$A$1:$A$675,$B44,Compta!$B$1:$B$675,"625",Compta!$C$1:$C$675,$A44)+SUMIFS(Compta!$F$1:$F$675,Compta!$A$1:$A$675,$B44,Compta!$B$1:$B$675,"63511",Compta!$C$1:$C$675,$A44))</f>
        <v/>
      </c>
      <c r="AB44" t="str">
        <f>IF($A44="","",SUMIFS(Compta!$F$1:$F$675,Compta!$A$1:$A$675,"GRP",Compta!$B$1:$B$675,"6414",Compta!$C$1:$C$675,$A44)+SUMIFS(Compta!$F$1:$F$675,Compta!$A$1:$A$675,"GRP",Compta!$B$1:$B$675,"6226",Compta!$C$1:$C$675,$A44)+SUMIFS(Compta!$F$1:$F$675,Compta!$A$1:$A$675,"GRP",Compta!$B$1:$B$675,"626",Compta!$C$1:$C$675,$A44)+SUMIFS(Compta!$F$1:$F$675,Compta!$A$1:$A$675,"GRP",Compta!$B$1:$B$675,"6281",Compta!$C$1:$C$675,$A44)+SUMIFS(Compta!$F$1:$F$675,Compta!$A$1:$A$675,"GRP",Compta!$B$1:$B$675,"6331",Compta!$C$1:$C$675,$A44)+SUMIFS(Compta!$F$1:$F$675,Compta!$A$1:$A$675,"GRP",Compta!$B$1:$B$675,"6333",Compta!$C$1:$C$675,$A44))</f>
        <v/>
      </c>
      <c r="AC44" t="str">
        <f t="shared" si="3"/>
        <v/>
      </c>
      <c r="AD44" t="str">
        <f t="shared" si="4"/>
        <v/>
      </c>
      <c r="AE44" t="str">
        <f t="shared" si="5"/>
        <v/>
      </c>
      <c r="AF44" t="str">
        <f t="shared" si="6"/>
        <v/>
      </c>
      <c r="AG44" t="str">
        <f t="shared" si="7"/>
        <v/>
      </c>
      <c r="AH44" t="str">
        <f t="shared" si="8"/>
        <v/>
      </c>
      <c r="AI44" t="str">
        <f t="shared" si="9"/>
        <v/>
      </c>
      <c r="AJ44" t="str">
        <f t="shared" si="10"/>
        <v/>
      </c>
      <c r="AK44" t="str">
        <f t="shared" si="11"/>
        <v/>
      </c>
      <c r="AL44" t="str">
        <f t="shared" si="12"/>
        <v/>
      </c>
      <c r="AM44" t="str">
        <f t="shared" si="13"/>
        <v/>
      </c>
      <c r="AN44" t="str">
        <f t="shared" si="14"/>
        <v/>
      </c>
      <c r="AO44" t="str">
        <f>IF($A44="","",SUMIFS(Compta!$F$1:$F$675,Compta!$A$1:$A$675,"GRP",Compta!$B$1:$B$675,"6236",Compta!$C$1:$C$675,$A44))</f>
        <v/>
      </c>
      <c r="AP44" t="str">
        <f t="shared" si="15"/>
        <v/>
      </c>
      <c r="AQ44" t="str">
        <f t="shared" si="16"/>
        <v/>
      </c>
      <c r="AR44" t="str">
        <f t="shared" si="17"/>
        <v/>
      </c>
    </row>
    <row r="45" spans="1:44" x14ac:dyDescent="0.45">
      <c r="A45" t="str">
        <f>IF(Allocation!C45="","",Allocation!C45)</f>
        <v/>
      </c>
      <c r="B45" t="str">
        <f>IF(Allocation!D45="","",Allocation!D45)</f>
        <v/>
      </c>
      <c r="C45" t="str">
        <f>IF(Allocation!E45="","",Allocation!E45)</f>
        <v/>
      </c>
      <c r="D45" t="str">
        <f>IF(Allocation!F45="","",Allocation!F45)</f>
        <v/>
      </c>
      <c r="E45" t="str">
        <f>IF(Allocation!G45="","",Allocation!G45)</f>
        <v/>
      </c>
      <c r="F45" t="str">
        <f>IF(Allocation!H45="","",Allocation!H45)</f>
        <v/>
      </c>
      <c r="G45" t="str">
        <f>IF(Allocation!D45="","",Allocation!I45)</f>
        <v/>
      </c>
      <c r="H45" t="str">
        <f>IF(Allocation!D45="","",Allocation!J45)</f>
        <v/>
      </c>
      <c r="I45" t="str">
        <f>IF(Allocation!D45="","",Allocation!K45)</f>
        <v/>
      </c>
      <c r="J45" t="str">
        <f>IF($A45="","",SUMIFS(Socle!$K$1:$K$1000,Socle!$C$1:$C$1000,$B45,Socle!$D$1:$D$1000,$D45,Socle!$E$1:$E$1000,$E45,Socle!$F$1:$F$1000,$F45,Socle!$G$1:$G$1000,$A45))</f>
        <v/>
      </c>
      <c r="K45" t="str">
        <f t="shared" si="0"/>
        <v/>
      </c>
      <c r="L45" t="str">
        <f>IF($A45="","",SUMIFS(Allocation!$I$1:$I$175,Allocation!$C$1:$C$175,$A45,Allocation!$D$1:$D$175,$B45))</f>
        <v/>
      </c>
      <c r="M45" t="str">
        <f>IF($A45="","",SUMIFS(Allocation!$J$1:$J$175,Allocation!$C$1:$C$175,$A45,Allocation!$D$1:$D$175,$B45))</f>
        <v/>
      </c>
      <c r="N45" t="str">
        <f>IF($A45="","",SUMIFS(Allocation!$K$1:$K$175,Allocation!$C$1:$C$175,$A45,Allocation!$D$1:$D$175,$B45))</f>
        <v/>
      </c>
      <c r="O45" t="str">
        <f t="shared" si="1"/>
        <v/>
      </c>
      <c r="P45" t="str">
        <f t="shared" si="2"/>
        <v/>
      </c>
      <c r="Q45" t="str">
        <f>IF($A45="","",SUMIFS(Allocation!$I$1:$I$175,Allocation!$C$1:$C$175,$A45,Allocation!$E$1:$E$175,$C45))</f>
        <v/>
      </c>
      <c r="R45" t="str">
        <f>IF($A45="","",SUMIFS(Allocation!$J$1:$J$175,Allocation!$C$1:$C$175,$A45,Allocation!$E$1:$E$175,$C45))</f>
        <v/>
      </c>
      <c r="S45" t="str">
        <f>IF($A45="","",SUMIFS(Allocation!$K$1:$K$175,Allocation!$C$1:$C$175,$A45,Allocation!$E$1:$E$175,$C45))</f>
        <v/>
      </c>
      <c r="T45" t="str">
        <f>IF($A45="","",SUMIFS(Allocation!$I$1:$I$175,Allocation!$C$1:$C$175,$A45))</f>
        <v/>
      </c>
      <c r="U45" t="str">
        <f>IF($A45="","",SUMIFS(Allocation!$J$1:$J$175,Allocation!$C$1:$C$175,$A45))</f>
        <v/>
      </c>
      <c r="V45" t="str">
        <f>IF($A45="","",SUMIFS(Allocation!$K$1:$K$175,Allocation!$C$1:$C$175,$A45))</f>
        <v/>
      </c>
      <c r="W45" t="str">
        <f>IF($A45="","",SUMIFS(Compta!$F$1:$F$675,Compta!$A$1:$A$675,$B45,Compta!$B$1:$B$675,"621",Compta!$C$1:$C$675,$A45))</f>
        <v/>
      </c>
      <c r="X45" t="str">
        <f>IF($A45="","",SUMIFS(Compta!$F$1:$F$675,Compta!$A$1:$A$675,$B45,Compta!$B$1:$B$675,"6411",Compta!$C$1:$C$675,$A45))</f>
        <v/>
      </c>
      <c r="Y45" t="str">
        <f>IF($A45="","",SUMIFS(Compta!$F$1:$F$675,Compta!$A$1:$A$675,$B45,Compta!$B$1:$B$675,"604",Compta!$C$1:$C$675,$A45)+SUMIFS(Compta!$F$1:$F$675,Compta!$A$1:$A$675,$B45,Compta!$B$1:$B$675,"6063",Compta!$C$1:$C$675,$A45))</f>
        <v/>
      </c>
      <c r="Z45" t="str">
        <f>IF($A45="","",SUMIFS(Compta!$F$1:$F$675,Compta!$A$1:$A$675,$B45,Compta!$B$1:$B$675,"6231",Compta!$C$1:$C$675,$A45))</f>
        <v/>
      </c>
      <c r="AA45" t="str">
        <f>IF($A45="","",SUMIFS(Compta!$F$1:$F$675,Compta!$A$1:$A$675,$B45,Compta!$B$1:$B$675,"6413",Compta!$C$1:$C$675,$A45)+SUMIFS(Compta!$F$1:$F$675,Compta!$A$1:$A$675,$B45,Compta!$B$1:$B$675,"645",Compta!$C$1:$C$675,$A45)+SUMIFS(Compta!$F$1:$F$675,Compta!$A$1:$A$675,$B45,Compta!$B$1:$B$675,"613",Compta!$C$1:$C$675,$A45)+SUMIFS(Compta!$F$1:$F$675,Compta!$A$1:$A$675,$B45,Compta!$B$1:$B$675,"615",Compta!$C$1:$C$675,$A45)+SUMIFS(Compta!$F$1:$F$675,Compta!$A$1:$A$675,$B45,Compta!$B$1:$B$675,"616",Compta!$C$1:$C$675,$A45)+SUMIFS(Compta!$F$1:$F$675,Compta!$A$1:$A$675,$B45,Compta!$B$1:$B$675,"625",Compta!$C$1:$C$675,$A45)+SUMIFS(Compta!$F$1:$F$675,Compta!$A$1:$A$675,$B45,Compta!$B$1:$B$675,"63511",Compta!$C$1:$C$675,$A45))</f>
        <v/>
      </c>
      <c r="AB45" t="str">
        <f>IF($A45="","",SUMIFS(Compta!$F$1:$F$675,Compta!$A$1:$A$675,"GRP",Compta!$B$1:$B$675,"6414",Compta!$C$1:$C$675,$A45)+SUMIFS(Compta!$F$1:$F$675,Compta!$A$1:$A$675,"GRP",Compta!$B$1:$B$675,"6226",Compta!$C$1:$C$675,$A45)+SUMIFS(Compta!$F$1:$F$675,Compta!$A$1:$A$675,"GRP",Compta!$B$1:$B$675,"626",Compta!$C$1:$C$675,$A45)+SUMIFS(Compta!$F$1:$F$675,Compta!$A$1:$A$675,"GRP",Compta!$B$1:$B$675,"6281",Compta!$C$1:$C$675,$A45)+SUMIFS(Compta!$F$1:$F$675,Compta!$A$1:$A$675,"GRP",Compta!$B$1:$B$675,"6331",Compta!$C$1:$C$675,$A45)+SUMIFS(Compta!$F$1:$F$675,Compta!$A$1:$A$675,"GRP",Compta!$B$1:$B$675,"6333",Compta!$C$1:$C$675,$A45))</f>
        <v/>
      </c>
      <c r="AC45" t="str">
        <f t="shared" si="3"/>
        <v/>
      </c>
      <c r="AD45" t="str">
        <f t="shared" si="4"/>
        <v/>
      </c>
      <c r="AE45" t="str">
        <f t="shared" si="5"/>
        <v/>
      </c>
      <c r="AF45" t="str">
        <f t="shared" si="6"/>
        <v/>
      </c>
      <c r="AG45" t="str">
        <f t="shared" si="7"/>
        <v/>
      </c>
      <c r="AH45" t="str">
        <f t="shared" si="8"/>
        <v/>
      </c>
      <c r="AI45" t="str">
        <f t="shared" si="9"/>
        <v/>
      </c>
      <c r="AJ45" t="str">
        <f t="shared" si="10"/>
        <v/>
      </c>
      <c r="AK45" t="str">
        <f t="shared" si="11"/>
        <v/>
      </c>
      <c r="AL45" t="str">
        <f t="shared" si="12"/>
        <v/>
      </c>
      <c r="AM45" t="str">
        <f t="shared" si="13"/>
        <v/>
      </c>
      <c r="AN45" t="str">
        <f t="shared" si="14"/>
        <v/>
      </c>
      <c r="AO45" t="str">
        <f>IF($A45="","",SUMIFS(Compta!$F$1:$F$675,Compta!$A$1:$A$675,"GRP",Compta!$B$1:$B$675,"6236",Compta!$C$1:$C$675,$A45))</f>
        <v/>
      </c>
      <c r="AP45" t="str">
        <f t="shared" si="15"/>
        <v/>
      </c>
      <c r="AQ45" t="str">
        <f t="shared" si="16"/>
        <v/>
      </c>
      <c r="AR45" t="str">
        <f t="shared" si="17"/>
        <v/>
      </c>
    </row>
    <row r="46" spans="1:44" x14ac:dyDescent="0.45">
      <c r="A46" t="str">
        <f>IF(Allocation!C46="","",Allocation!C46)</f>
        <v/>
      </c>
      <c r="B46" t="str">
        <f>IF(Allocation!D46="","",Allocation!D46)</f>
        <v/>
      </c>
      <c r="C46" t="str">
        <f>IF(Allocation!E46="","",Allocation!E46)</f>
        <v/>
      </c>
      <c r="D46" t="str">
        <f>IF(Allocation!F46="","",Allocation!F46)</f>
        <v/>
      </c>
      <c r="E46" t="str">
        <f>IF(Allocation!G46="","",Allocation!G46)</f>
        <v/>
      </c>
      <c r="F46" t="str">
        <f>IF(Allocation!H46="","",Allocation!H46)</f>
        <v/>
      </c>
      <c r="G46" t="str">
        <f>IF(Allocation!D46="","",Allocation!I46)</f>
        <v/>
      </c>
      <c r="H46" t="str">
        <f>IF(Allocation!D46="","",Allocation!J46)</f>
        <v/>
      </c>
      <c r="I46" t="str">
        <f>IF(Allocation!D46="","",Allocation!K46)</f>
        <v/>
      </c>
      <c r="J46" t="str">
        <f>IF($A46="","",SUMIFS(Socle!$K$1:$K$1000,Socle!$C$1:$C$1000,$B46,Socle!$D$1:$D$1000,$D46,Socle!$E$1:$E$1000,$E46,Socle!$F$1:$F$1000,$F46,Socle!$G$1:$G$1000,$A46))</f>
        <v/>
      </c>
      <c r="K46" t="str">
        <f t="shared" si="0"/>
        <v/>
      </c>
      <c r="L46" t="str">
        <f>IF($A46="","",SUMIFS(Allocation!$I$1:$I$175,Allocation!$C$1:$C$175,$A46,Allocation!$D$1:$D$175,$B46))</f>
        <v/>
      </c>
      <c r="M46" t="str">
        <f>IF($A46="","",SUMIFS(Allocation!$J$1:$J$175,Allocation!$C$1:$C$175,$A46,Allocation!$D$1:$D$175,$B46))</f>
        <v/>
      </c>
      <c r="N46" t="str">
        <f>IF($A46="","",SUMIFS(Allocation!$K$1:$K$175,Allocation!$C$1:$C$175,$A46,Allocation!$D$1:$D$175,$B46))</f>
        <v/>
      </c>
      <c r="O46" t="str">
        <f t="shared" si="1"/>
        <v/>
      </c>
      <c r="P46" t="str">
        <f t="shared" si="2"/>
        <v/>
      </c>
      <c r="Q46" t="str">
        <f>IF($A46="","",SUMIFS(Allocation!$I$1:$I$175,Allocation!$C$1:$C$175,$A46,Allocation!$E$1:$E$175,$C46))</f>
        <v/>
      </c>
      <c r="R46" t="str">
        <f>IF($A46="","",SUMIFS(Allocation!$J$1:$J$175,Allocation!$C$1:$C$175,$A46,Allocation!$E$1:$E$175,$C46))</f>
        <v/>
      </c>
      <c r="S46" t="str">
        <f>IF($A46="","",SUMIFS(Allocation!$K$1:$K$175,Allocation!$C$1:$C$175,$A46,Allocation!$E$1:$E$175,$C46))</f>
        <v/>
      </c>
      <c r="T46" t="str">
        <f>IF($A46="","",SUMIFS(Allocation!$I$1:$I$175,Allocation!$C$1:$C$175,$A46))</f>
        <v/>
      </c>
      <c r="U46" t="str">
        <f>IF($A46="","",SUMIFS(Allocation!$J$1:$J$175,Allocation!$C$1:$C$175,$A46))</f>
        <v/>
      </c>
      <c r="V46" t="str">
        <f>IF($A46="","",SUMIFS(Allocation!$K$1:$K$175,Allocation!$C$1:$C$175,$A46))</f>
        <v/>
      </c>
      <c r="W46" t="str">
        <f>IF($A46="","",SUMIFS(Compta!$F$1:$F$675,Compta!$A$1:$A$675,$B46,Compta!$B$1:$B$675,"621",Compta!$C$1:$C$675,$A46))</f>
        <v/>
      </c>
      <c r="X46" t="str">
        <f>IF($A46="","",SUMIFS(Compta!$F$1:$F$675,Compta!$A$1:$A$675,$B46,Compta!$B$1:$B$675,"6411",Compta!$C$1:$C$675,$A46))</f>
        <v/>
      </c>
      <c r="Y46" t="str">
        <f>IF($A46="","",SUMIFS(Compta!$F$1:$F$675,Compta!$A$1:$A$675,$B46,Compta!$B$1:$B$675,"604",Compta!$C$1:$C$675,$A46)+SUMIFS(Compta!$F$1:$F$675,Compta!$A$1:$A$675,$B46,Compta!$B$1:$B$675,"6063",Compta!$C$1:$C$675,$A46))</f>
        <v/>
      </c>
      <c r="Z46" t="str">
        <f>IF($A46="","",SUMIFS(Compta!$F$1:$F$675,Compta!$A$1:$A$675,$B46,Compta!$B$1:$B$675,"6231",Compta!$C$1:$C$675,$A46))</f>
        <v/>
      </c>
      <c r="AA46" t="str">
        <f>IF($A46="","",SUMIFS(Compta!$F$1:$F$675,Compta!$A$1:$A$675,$B46,Compta!$B$1:$B$675,"6413",Compta!$C$1:$C$675,$A46)+SUMIFS(Compta!$F$1:$F$675,Compta!$A$1:$A$675,$B46,Compta!$B$1:$B$675,"645",Compta!$C$1:$C$675,$A46)+SUMIFS(Compta!$F$1:$F$675,Compta!$A$1:$A$675,$B46,Compta!$B$1:$B$675,"613",Compta!$C$1:$C$675,$A46)+SUMIFS(Compta!$F$1:$F$675,Compta!$A$1:$A$675,$B46,Compta!$B$1:$B$675,"615",Compta!$C$1:$C$675,$A46)+SUMIFS(Compta!$F$1:$F$675,Compta!$A$1:$A$675,$B46,Compta!$B$1:$B$675,"616",Compta!$C$1:$C$675,$A46)+SUMIFS(Compta!$F$1:$F$675,Compta!$A$1:$A$675,$B46,Compta!$B$1:$B$675,"625",Compta!$C$1:$C$675,$A46)+SUMIFS(Compta!$F$1:$F$675,Compta!$A$1:$A$675,$B46,Compta!$B$1:$B$675,"63511",Compta!$C$1:$C$675,$A46))</f>
        <v/>
      </c>
      <c r="AB46" t="str">
        <f>IF($A46="","",SUMIFS(Compta!$F$1:$F$675,Compta!$A$1:$A$675,"GRP",Compta!$B$1:$B$675,"6414",Compta!$C$1:$C$675,$A46)+SUMIFS(Compta!$F$1:$F$675,Compta!$A$1:$A$675,"GRP",Compta!$B$1:$B$675,"6226",Compta!$C$1:$C$675,$A46)+SUMIFS(Compta!$F$1:$F$675,Compta!$A$1:$A$675,"GRP",Compta!$B$1:$B$675,"626",Compta!$C$1:$C$675,$A46)+SUMIFS(Compta!$F$1:$F$675,Compta!$A$1:$A$675,"GRP",Compta!$B$1:$B$675,"6281",Compta!$C$1:$C$675,$A46)+SUMIFS(Compta!$F$1:$F$675,Compta!$A$1:$A$675,"GRP",Compta!$B$1:$B$675,"6331",Compta!$C$1:$C$675,$A46)+SUMIFS(Compta!$F$1:$F$675,Compta!$A$1:$A$675,"GRP",Compta!$B$1:$B$675,"6333",Compta!$C$1:$C$675,$A46))</f>
        <v/>
      </c>
      <c r="AC46" t="str">
        <f t="shared" si="3"/>
        <v/>
      </c>
      <c r="AD46" t="str">
        <f t="shared" si="4"/>
        <v/>
      </c>
      <c r="AE46" t="str">
        <f t="shared" si="5"/>
        <v/>
      </c>
      <c r="AF46" t="str">
        <f t="shared" si="6"/>
        <v/>
      </c>
      <c r="AG46" t="str">
        <f t="shared" si="7"/>
        <v/>
      </c>
      <c r="AH46" t="str">
        <f t="shared" si="8"/>
        <v/>
      </c>
      <c r="AI46" t="str">
        <f t="shared" si="9"/>
        <v/>
      </c>
      <c r="AJ46" t="str">
        <f t="shared" si="10"/>
        <v/>
      </c>
      <c r="AK46" t="str">
        <f t="shared" si="11"/>
        <v/>
      </c>
      <c r="AL46" t="str">
        <f t="shared" si="12"/>
        <v/>
      </c>
      <c r="AM46" t="str">
        <f t="shared" si="13"/>
        <v/>
      </c>
      <c r="AN46" t="str">
        <f t="shared" si="14"/>
        <v/>
      </c>
      <c r="AO46" t="str">
        <f>IF($A46="","",SUMIFS(Compta!$F$1:$F$675,Compta!$A$1:$A$675,"GRP",Compta!$B$1:$B$675,"6236",Compta!$C$1:$C$675,$A46))</f>
        <v/>
      </c>
      <c r="AP46" t="str">
        <f t="shared" si="15"/>
        <v/>
      </c>
      <c r="AQ46" t="str">
        <f t="shared" si="16"/>
        <v/>
      </c>
      <c r="AR46" t="str">
        <f t="shared" si="17"/>
        <v/>
      </c>
    </row>
    <row r="47" spans="1:44" x14ac:dyDescent="0.45">
      <c r="A47" t="str">
        <f>IF(Allocation!C47="","",Allocation!C47)</f>
        <v/>
      </c>
      <c r="B47" t="str">
        <f>IF(Allocation!D47="","",Allocation!D47)</f>
        <v/>
      </c>
      <c r="C47" t="str">
        <f>IF(Allocation!E47="","",Allocation!E47)</f>
        <v/>
      </c>
      <c r="D47" t="str">
        <f>IF(Allocation!F47="","",Allocation!F47)</f>
        <v/>
      </c>
      <c r="E47" t="str">
        <f>IF(Allocation!G47="","",Allocation!G47)</f>
        <v/>
      </c>
      <c r="F47" t="str">
        <f>IF(Allocation!H47="","",Allocation!H47)</f>
        <v/>
      </c>
      <c r="G47" t="str">
        <f>IF(Allocation!D47="","",Allocation!I47)</f>
        <v/>
      </c>
      <c r="H47" t="str">
        <f>IF(Allocation!D47="","",Allocation!J47)</f>
        <v/>
      </c>
      <c r="I47" t="str">
        <f>IF(Allocation!D47="","",Allocation!K47)</f>
        <v/>
      </c>
      <c r="J47" t="str">
        <f>IF($A47="","",SUMIFS(Socle!$K$1:$K$1000,Socle!$C$1:$C$1000,$B47,Socle!$D$1:$D$1000,$D47,Socle!$E$1:$E$1000,$E47,Socle!$F$1:$F$1000,$F47,Socle!$G$1:$G$1000,$A47))</f>
        <v/>
      </c>
      <c r="K47" t="str">
        <f t="shared" si="0"/>
        <v/>
      </c>
      <c r="L47" t="str">
        <f>IF($A47="","",SUMIFS(Allocation!$I$1:$I$175,Allocation!$C$1:$C$175,$A47,Allocation!$D$1:$D$175,$B47))</f>
        <v/>
      </c>
      <c r="M47" t="str">
        <f>IF($A47="","",SUMIFS(Allocation!$J$1:$J$175,Allocation!$C$1:$C$175,$A47,Allocation!$D$1:$D$175,$B47))</f>
        <v/>
      </c>
      <c r="N47" t="str">
        <f>IF($A47="","",SUMIFS(Allocation!$K$1:$K$175,Allocation!$C$1:$C$175,$A47,Allocation!$D$1:$D$175,$B47))</f>
        <v/>
      </c>
      <c r="O47" t="str">
        <f t="shared" si="1"/>
        <v/>
      </c>
      <c r="P47" t="str">
        <f t="shared" si="2"/>
        <v/>
      </c>
      <c r="Q47" t="str">
        <f>IF($A47="","",SUMIFS(Allocation!$I$1:$I$175,Allocation!$C$1:$C$175,$A47,Allocation!$E$1:$E$175,$C47))</f>
        <v/>
      </c>
      <c r="R47" t="str">
        <f>IF($A47="","",SUMIFS(Allocation!$J$1:$J$175,Allocation!$C$1:$C$175,$A47,Allocation!$E$1:$E$175,$C47))</f>
        <v/>
      </c>
      <c r="S47" t="str">
        <f>IF($A47="","",SUMIFS(Allocation!$K$1:$K$175,Allocation!$C$1:$C$175,$A47,Allocation!$E$1:$E$175,$C47))</f>
        <v/>
      </c>
      <c r="T47" t="str">
        <f>IF($A47="","",SUMIFS(Allocation!$I$1:$I$175,Allocation!$C$1:$C$175,$A47))</f>
        <v/>
      </c>
      <c r="U47" t="str">
        <f>IF($A47="","",SUMIFS(Allocation!$J$1:$J$175,Allocation!$C$1:$C$175,$A47))</f>
        <v/>
      </c>
      <c r="V47" t="str">
        <f>IF($A47="","",SUMIFS(Allocation!$K$1:$K$175,Allocation!$C$1:$C$175,$A47))</f>
        <v/>
      </c>
      <c r="W47" t="str">
        <f>IF($A47="","",SUMIFS(Compta!$F$1:$F$675,Compta!$A$1:$A$675,$B47,Compta!$B$1:$B$675,"621",Compta!$C$1:$C$675,$A47))</f>
        <v/>
      </c>
      <c r="X47" t="str">
        <f>IF($A47="","",SUMIFS(Compta!$F$1:$F$675,Compta!$A$1:$A$675,$B47,Compta!$B$1:$B$675,"6411",Compta!$C$1:$C$675,$A47))</f>
        <v/>
      </c>
      <c r="Y47" t="str">
        <f>IF($A47="","",SUMIFS(Compta!$F$1:$F$675,Compta!$A$1:$A$675,$B47,Compta!$B$1:$B$675,"604",Compta!$C$1:$C$675,$A47)+SUMIFS(Compta!$F$1:$F$675,Compta!$A$1:$A$675,$B47,Compta!$B$1:$B$675,"6063",Compta!$C$1:$C$675,$A47))</f>
        <v/>
      </c>
      <c r="Z47" t="str">
        <f>IF($A47="","",SUMIFS(Compta!$F$1:$F$675,Compta!$A$1:$A$675,$B47,Compta!$B$1:$B$675,"6231",Compta!$C$1:$C$675,$A47))</f>
        <v/>
      </c>
      <c r="AA47" t="str">
        <f>IF($A47="","",SUMIFS(Compta!$F$1:$F$675,Compta!$A$1:$A$675,$B47,Compta!$B$1:$B$675,"6413",Compta!$C$1:$C$675,$A47)+SUMIFS(Compta!$F$1:$F$675,Compta!$A$1:$A$675,$B47,Compta!$B$1:$B$675,"645",Compta!$C$1:$C$675,$A47)+SUMIFS(Compta!$F$1:$F$675,Compta!$A$1:$A$675,$B47,Compta!$B$1:$B$675,"613",Compta!$C$1:$C$675,$A47)+SUMIFS(Compta!$F$1:$F$675,Compta!$A$1:$A$675,$B47,Compta!$B$1:$B$675,"615",Compta!$C$1:$C$675,$A47)+SUMIFS(Compta!$F$1:$F$675,Compta!$A$1:$A$675,$B47,Compta!$B$1:$B$675,"616",Compta!$C$1:$C$675,$A47)+SUMIFS(Compta!$F$1:$F$675,Compta!$A$1:$A$675,$B47,Compta!$B$1:$B$675,"625",Compta!$C$1:$C$675,$A47)+SUMIFS(Compta!$F$1:$F$675,Compta!$A$1:$A$675,$B47,Compta!$B$1:$B$675,"63511",Compta!$C$1:$C$675,$A47))</f>
        <v/>
      </c>
      <c r="AB47" t="str">
        <f>IF($A47="","",SUMIFS(Compta!$F$1:$F$675,Compta!$A$1:$A$675,"GRP",Compta!$B$1:$B$675,"6414",Compta!$C$1:$C$675,$A47)+SUMIFS(Compta!$F$1:$F$675,Compta!$A$1:$A$675,"GRP",Compta!$B$1:$B$675,"6226",Compta!$C$1:$C$675,$A47)+SUMIFS(Compta!$F$1:$F$675,Compta!$A$1:$A$675,"GRP",Compta!$B$1:$B$675,"626",Compta!$C$1:$C$675,$A47)+SUMIFS(Compta!$F$1:$F$675,Compta!$A$1:$A$675,"GRP",Compta!$B$1:$B$675,"6281",Compta!$C$1:$C$675,$A47)+SUMIFS(Compta!$F$1:$F$675,Compta!$A$1:$A$675,"GRP",Compta!$B$1:$B$675,"6331",Compta!$C$1:$C$675,$A47)+SUMIFS(Compta!$F$1:$F$675,Compta!$A$1:$A$675,"GRP",Compta!$B$1:$B$675,"6333",Compta!$C$1:$C$675,$A47))</f>
        <v/>
      </c>
      <c r="AC47" t="str">
        <f t="shared" si="3"/>
        <v/>
      </c>
      <c r="AD47" t="str">
        <f t="shared" si="4"/>
        <v/>
      </c>
      <c r="AE47" t="str">
        <f t="shared" si="5"/>
        <v/>
      </c>
      <c r="AF47" t="str">
        <f t="shared" si="6"/>
        <v/>
      </c>
      <c r="AG47" t="str">
        <f t="shared" si="7"/>
        <v/>
      </c>
      <c r="AH47" t="str">
        <f t="shared" si="8"/>
        <v/>
      </c>
      <c r="AI47" t="str">
        <f t="shared" si="9"/>
        <v/>
      </c>
      <c r="AJ47" t="str">
        <f t="shared" si="10"/>
        <v/>
      </c>
      <c r="AK47" t="str">
        <f t="shared" si="11"/>
        <v/>
      </c>
      <c r="AL47" t="str">
        <f t="shared" si="12"/>
        <v/>
      </c>
      <c r="AM47" t="str">
        <f t="shared" si="13"/>
        <v/>
      </c>
      <c r="AN47" t="str">
        <f t="shared" si="14"/>
        <v/>
      </c>
      <c r="AO47" t="str">
        <f>IF($A47="","",SUMIFS(Compta!$F$1:$F$675,Compta!$A$1:$A$675,"GRP",Compta!$B$1:$B$675,"6236",Compta!$C$1:$C$675,$A47))</f>
        <v/>
      </c>
      <c r="AP47" t="str">
        <f t="shared" si="15"/>
        <v/>
      </c>
      <c r="AQ47" t="str">
        <f t="shared" si="16"/>
        <v/>
      </c>
      <c r="AR47" t="str">
        <f t="shared" si="17"/>
        <v/>
      </c>
    </row>
    <row r="48" spans="1:44" x14ac:dyDescent="0.45">
      <c r="A48" t="str">
        <f>IF(Allocation!C48="","",Allocation!C48)</f>
        <v/>
      </c>
      <c r="B48" t="str">
        <f>IF(Allocation!D48="","",Allocation!D48)</f>
        <v/>
      </c>
      <c r="C48" t="str">
        <f>IF(Allocation!E48="","",Allocation!E48)</f>
        <v/>
      </c>
      <c r="D48" t="str">
        <f>IF(Allocation!F48="","",Allocation!F48)</f>
        <v/>
      </c>
      <c r="E48" t="str">
        <f>IF(Allocation!G48="","",Allocation!G48)</f>
        <v/>
      </c>
      <c r="F48" t="str">
        <f>IF(Allocation!H48="","",Allocation!H48)</f>
        <v/>
      </c>
      <c r="G48" t="str">
        <f>IF(Allocation!D48="","",Allocation!I48)</f>
        <v/>
      </c>
      <c r="H48" t="str">
        <f>IF(Allocation!D48="","",Allocation!J48)</f>
        <v/>
      </c>
      <c r="I48" t="str">
        <f>IF(Allocation!D48="","",Allocation!K48)</f>
        <v/>
      </c>
      <c r="J48" t="str">
        <f>IF($A48="","",SUMIFS(Socle!$K$1:$K$1000,Socle!$C$1:$C$1000,$B48,Socle!$D$1:$D$1000,$D48,Socle!$E$1:$E$1000,$E48,Socle!$F$1:$F$1000,$F48,Socle!$G$1:$G$1000,$A48))</f>
        <v/>
      </c>
      <c r="K48" t="str">
        <f t="shared" si="0"/>
        <v/>
      </c>
      <c r="L48" t="str">
        <f>IF($A48="","",SUMIFS(Allocation!$I$1:$I$175,Allocation!$C$1:$C$175,$A48,Allocation!$D$1:$D$175,$B48))</f>
        <v/>
      </c>
      <c r="M48" t="str">
        <f>IF($A48="","",SUMIFS(Allocation!$J$1:$J$175,Allocation!$C$1:$C$175,$A48,Allocation!$D$1:$D$175,$B48))</f>
        <v/>
      </c>
      <c r="N48" t="str">
        <f>IF($A48="","",SUMIFS(Allocation!$K$1:$K$175,Allocation!$C$1:$C$175,$A48,Allocation!$D$1:$D$175,$B48))</f>
        <v/>
      </c>
      <c r="O48" t="str">
        <f t="shared" si="1"/>
        <v/>
      </c>
      <c r="P48" t="str">
        <f t="shared" si="2"/>
        <v/>
      </c>
      <c r="Q48" t="str">
        <f>IF($A48="","",SUMIFS(Allocation!$I$1:$I$175,Allocation!$C$1:$C$175,$A48,Allocation!$E$1:$E$175,$C48))</f>
        <v/>
      </c>
      <c r="R48" t="str">
        <f>IF($A48="","",SUMIFS(Allocation!$J$1:$J$175,Allocation!$C$1:$C$175,$A48,Allocation!$E$1:$E$175,$C48))</f>
        <v/>
      </c>
      <c r="S48" t="str">
        <f>IF($A48="","",SUMIFS(Allocation!$K$1:$K$175,Allocation!$C$1:$C$175,$A48,Allocation!$E$1:$E$175,$C48))</f>
        <v/>
      </c>
      <c r="T48" t="str">
        <f>IF($A48="","",SUMIFS(Allocation!$I$1:$I$175,Allocation!$C$1:$C$175,$A48))</f>
        <v/>
      </c>
      <c r="U48" t="str">
        <f>IF($A48="","",SUMIFS(Allocation!$J$1:$J$175,Allocation!$C$1:$C$175,$A48))</f>
        <v/>
      </c>
      <c r="V48" t="str">
        <f>IF($A48="","",SUMIFS(Allocation!$K$1:$K$175,Allocation!$C$1:$C$175,$A48))</f>
        <v/>
      </c>
      <c r="W48" t="str">
        <f>IF($A48="","",SUMIFS(Compta!$F$1:$F$675,Compta!$A$1:$A$675,$B48,Compta!$B$1:$B$675,"621",Compta!$C$1:$C$675,$A48))</f>
        <v/>
      </c>
      <c r="X48" t="str">
        <f>IF($A48="","",SUMIFS(Compta!$F$1:$F$675,Compta!$A$1:$A$675,$B48,Compta!$B$1:$B$675,"6411",Compta!$C$1:$C$675,$A48))</f>
        <v/>
      </c>
      <c r="Y48" t="str">
        <f>IF($A48="","",SUMIFS(Compta!$F$1:$F$675,Compta!$A$1:$A$675,$B48,Compta!$B$1:$B$675,"604",Compta!$C$1:$C$675,$A48)+SUMIFS(Compta!$F$1:$F$675,Compta!$A$1:$A$675,$B48,Compta!$B$1:$B$675,"6063",Compta!$C$1:$C$675,$A48))</f>
        <v/>
      </c>
      <c r="Z48" t="str">
        <f>IF($A48="","",SUMIFS(Compta!$F$1:$F$675,Compta!$A$1:$A$675,$B48,Compta!$B$1:$B$675,"6231",Compta!$C$1:$C$675,$A48))</f>
        <v/>
      </c>
      <c r="AA48" t="str">
        <f>IF($A48="","",SUMIFS(Compta!$F$1:$F$675,Compta!$A$1:$A$675,$B48,Compta!$B$1:$B$675,"6413",Compta!$C$1:$C$675,$A48)+SUMIFS(Compta!$F$1:$F$675,Compta!$A$1:$A$675,$B48,Compta!$B$1:$B$675,"645",Compta!$C$1:$C$675,$A48)+SUMIFS(Compta!$F$1:$F$675,Compta!$A$1:$A$675,$B48,Compta!$B$1:$B$675,"613",Compta!$C$1:$C$675,$A48)+SUMIFS(Compta!$F$1:$F$675,Compta!$A$1:$A$675,$B48,Compta!$B$1:$B$675,"615",Compta!$C$1:$C$675,$A48)+SUMIFS(Compta!$F$1:$F$675,Compta!$A$1:$A$675,$B48,Compta!$B$1:$B$675,"616",Compta!$C$1:$C$675,$A48)+SUMIFS(Compta!$F$1:$F$675,Compta!$A$1:$A$675,$B48,Compta!$B$1:$B$675,"625",Compta!$C$1:$C$675,$A48)+SUMIFS(Compta!$F$1:$F$675,Compta!$A$1:$A$675,$B48,Compta!$B$1:$B$675,"63511",Compta!$C$1:$C$675,$A48))</f>
        <v/>
      </c>
      <c r="AB48" t="str">
        <f>IF($A48="","",SUMIFS(Compta!$F$1:$F$675,Compta!$A$1:$A$675,"GRP",Compta!$B$1:$B$675,"6414",Compta!$C$1:$C$675,$A48)+SUMIFS(Compta!$F$1:$F$675,Compta!$A$1:$A$675,"GRP",Compta!$B$1:$B$675,"6226",Compta!$C$1:$C$675,$A48)+SUMIFS(Compta!$F$1:$F$675,Compta!$A$1:$A$675,"GRP",Compta!$B$1:$B$675,"626",Compta!$C$1:$C$675,$A48)+SUMIFS(Compta!$F$1:$F$675,Compta!$A$1:$A$675,"GRP",Compta!$B$1:$B$675,"6281",Compta!$C$1:$C$675,$A48)+SUMIFS(Compta!$F$1:$F$675,Compta!$A$1:$A$675,"GRP",Compta!$B$1:$B$675,"6331",Compta!$C$1:$C$675,$A48)+SUMIFS(Compta!$F$1:$F$675,Compta!$A$1:$A$675,"GRP",Compta!$B$1:$B$675,"6333",Compta!$C$1:$C$675,$A48))</f>
        <v/>
      </c>
      <c r="AC48" t="str">
        <f t="shared" si="3"/>
        <v/>
      </c>
      <c r="AD48" t="str">
        <f t="shared" si="4"/>
        <v/>
      </c>
      <c r="AE48" t="str">
        <f t="shared" si="5"/>
        <v/>
      </c>
      <c r="AF48" t="str">
        <f t="shared" si="6"/>
        <v/>
      </c>
      <c r="AG48" t="str">
        <f t="shared" si="7"/>
        <v/>
      </c>
      <c r="AH48" t="str">
        <f t="shared" si="8"/>
        <v/>
      </c>
      <c r="AI48" t="str">
        <f t="shared" si="9"/>
        <v/>
      </c>
      <c r="AJ48" t="str">
        <f t="shared" si="10"/>
        <v/>
      </c>
      <c r="AK48" t="str">
        <f t="shared" si="11"/>
        <v/>
      </c>
      <c r="AL48" t="str">
        <f t="shared" si="12"/>
        <v/>
      </c>
      <c r="AM48" t="str">
        <f t="shared" si="13"/>
        <v/>
      </c>
      <c r="AN48" t="str">
        <f t="shared" si="14"/>
        <v/>
      </c>
      <c r="AO48" t="str">
        <f>IF($A48="","",SUMIFS(Compta!$F$1:$F$675,Compta!$A$1:$A$675,"GRP",Compta!$B$1:$B$675,"6236",Compta!$C$1:$C$675,$A48))</f>
        <v/>
      </c>
      <c r="AP48" t="str">
        <f t="shared" si="15"/>
        <v/>
      </c>
      <c r="AQ48" t="str">
        <f t="shared" si="16"/>
        <v/>
      </c>
      <c r="AR48" t="str">
        <f t="shared" si="17"/>
        <v/>
      </c>
    </row>
    <row r="49" spans="1:44" x14ac:dyDescent="0.45">
      <c r="A49" t="str">
        <f>IF(Allocation!C49="","",Allocation!C49)</f>
        <v/>
      </c>
      <c r="B49" t="str">
        <f>IF(Allocation!D49="","",Allocation!D49)</f>
        <v/>
      </c>
      <c r="C49" t="str">
        <f>IF(Allocation!E49="","",Allocation!E49)</f>
        <v/>
      </c>
      <c r="D49" t="str">
        <f>IF(Allocation!F49="","",Allocation!F49)</f>
        <v/>
      </c>
      <c r="E49" t="str">
        <f>IF(Allocation!G49="","",Allocation!G49)</f>
        <v/>
      </c>
      <c r="F49" t="str">
        <f>IF(Allocation!H49="","",Allocation!H49)</f>
        <v/>
      </c>
      <c r="G49" t="str">
        <f>IF(Allocation!D49="","",Allocation!I49)</f>
        <v/>
      </c>
      <c r="H49" t="str">
        <f>IF(Allocation!D49="","",Allocation!J49)</f>
        <v/>
      </c>
      <c r="I49" t="str">
        <f>IF(Allocation!D49="","",Allocation!K49)</f>
        <v/>
      </c>
      <c r="J49" t="str">
        <f>IF($A49="","",SUMIFS(Socle!$K$1:$K$1000,Socle!$C$1:$C$1000,$B49,Socle!$D$1:$D$1000,$D49,Socle!$E$1:$E$1000,$E49,Socle!$F$1:$F$1000,$F49,Socle!$G$1:$G$1000,$A49))</f>
        <v/>
      </c>
      <c r="K49" t="str">
        <f t="shared" si="0"/>
        <v/>
      </c>
      <c r="L49" t="str">
        <f>IF($A49="","",SUMIFS(Allocation!$I$1:$I$175,Allocation!$C$1:$C$175,$A49,Allocation!$D$1:$D$175,$B49))</f>
        <v/>
      </c>
      <c r="M49" t="str">
        <f>IF($A49="","",SUMIFS(Allocation!$J$1:$J$175,Allocation!$C$1:$C$175,$A49,Allocation!$D$1:$D$175,$B49))</f>
        <v/>
      </c>
      <c r="N49" t="str">
        <f>IF($A49="","",SUMIFS(Allocation!$K$1:$K$175,Allocation!$C$1:$C$175,$A49,Allocation!$D$1:$D$175,$B49))</f>
        <v/>
      </c>
      <c r="O49" t="str">
        <f t="shared" si="1"/>
        <v/>
      </c>
      <c r="P49" t="str">
        <f t="shared" si="2"/>
        <v/>
      </c>
      <c r="Q49" t="str">
        <f>IF($A49="","",SUMIFS(Allocation!$I$1:$I$175,Allocation!$C$1:$C$175,$A49,Allocation!$E$1:$E$175,$C49))</f>
        <v/>
      </c>
      <c r="R49" t="str">
        <f>IF($A49="","",SUMIFS(Allocation!$J$1:$J$175,Allocation!$C$1:$C$175,$A49,Allocation!$E$1:$E$175,$C49))</f>
        <v/>
      </c>
      <c r="S49" t="str">
        <f>IF($A49="","",SUMIFS(Allocation!$K$1:$K$175,Allocation!$C$1:$C$175,$A49,Allocation!$E$1:$E$175,$C49))</f>
        <v/>
      </c>
      <c r="T49" t="str">
        <f>IF($A49="","",SUMIFS(Allocation!$I$1:$I$175,Allocation!$C$1:$C$175,$A49))</f>
        <v/>
      </c>
      <c r="U49" t="str">
        <f>IF($A49="","",SUMIFS(Allocation!$J$1:$J$175,Allocation!$C$1:$C$175,$A49))</f>
        <v/>
      </c>
      <c r="V49" t="str">
        <f>IF($A49="","",SUMIFS(Allocation!$K$1:$K$175,Allocation!$C$1:$C$175,$A49))</f>
        <v/>
      </c>
      <c r="W49" t="str">
        <f>IF($A49="","",SUMIFS(Compta!$F$1:$F$675,Compta!$A$1:$A$675,$B49,Compta!$B$1:$B$675,"621",Compta!$C$1:$C$675,$A49))</f>
        <v/>
      </c>
      <c r="X49" t="str">
        <f>IF($A49="","",SUMIFS(Compta!$F$1:$F$675,Compta!$A$1:$A$675,$B49,Compta!$B$1:$B$675,"6411",Compta!$C$1:$C$675,$A49))</f>
        <v/>
      </c>
      <c r="Y49" t="str">
        <f>IF($A49="","",SUMIFS(Compta!$F$1:$F$675,Compta!$A$1:$A$675,$B49,Compta!$B$1:$B$675,"604",Compta!$C$1:$C$675,$A49)+SUMIFS(Compta!$F$1:$F$675,Compta!$A$1:$A$675,$B49,Compta!$B$1:$B$675,"6063",Compta!$C$1:$C$675,$A49))</f>
        <v/>
      </c>
      <c r="Z49" t="str">
        <f>IF($A49="","",SUMIFS(Compta!$F$1:$F$675,Compta!$A$1:$A$675,$B49,Compta!$B$1:$B$675,"6231",Compta!$C$1:$C$675,$A49))</f>
        <v/>
      </c>
      <c r="AA49" t="str">
        <f>IF($A49="","",SUMIFS(Compta!$F$1:$F$675,Compta!$A$1:$A$675,$B49,Compta!$B$1:$B$675,"6413",Compta!$C$1:$C$675,$A49)+SUMIFS(Compta!$F$1:$F$675,Compta!$A$1:$A$675,$B49,Compta!$B$1:$B$675,"645",Compta!$C$1:$C$675,$A49)+SUMIFS(Compta!$F$1:$F$675,Compta!$A$1:$A$675,$B49,Compta!$B$1:$B$675,"613",Compta!$C$1:$C$675,$A49)+SUMIFS(Compta!$F$1:$F$675,Compta!$A$1:$A$675,$B49,Compta!$B$1:$B$675,"615",Compta!$C$1:$C$675,$A49)+SUMIFS(Compta!$F$1:$F$675,Compta!$A$1:$A$675,$B49,Compta!$B$1:$B$675,"616",Compta!$C$1:$C$675,$A49)+SUMIFS(Compta!$F$1:$F$675,Compta!$A$1:$A$675,$B49,Compta!$B$1:$B$675,"625",Compta!$C$1:$C$675,$A49)+SUMIFS(Compta!$F$1:$F$675,Compta!$A$1:$A$675,$B49,Compta!$B$1:$B$675,"63511",Compta!$C$1:$C$675,$A49))</f>
        <v/>
      </c>
      <c r="AB49" t="str">
        <f>IF($A49="","",SUMIFS(Compta!$F$1:$F$675,Compta!$A$1:$A$675,"GRP",Compta!$B$1:$B$675,"6414",Compta!$C$1:$C$675,$A49)+SUMIFS(Compta!$F$1:$F$675,Compta!$A$1:$A$675,"GRP",Compta!$B$1:$B$675,"6226",Compta!$C$1:$C$675,$A49)+SUMIFS(Compta!$F$1:$F$675,Compta!$A$1:$A$675,"GRP",Compta!$B$1:$B$675,"626",Compta!$C$1:$C$675,$A49)+SUMIFS(Compta!$F$1:$F$675,Compta!$A$1:$A$675,"GRP",Compta!$B$1:$B$675,"6281",Compta!$C$1:$C$675,$A49)+SUMIFS(Compta!$F$1:$F$675,Compta!$A$1:$A$675,"GRP",Compta!$B$1:$B$675,"6331",Compta!$C$1:$C$675,$A49)+SUMIFS(Compta!$F$1:$F$675,Compta!$A$1:$A$675,"GRP",Compta!$B$1:$B$675,"6333",Compta!$C$1:$C$675,$A49))</f>
        <v/>
      </c>
      <c r="AC49" t="str">
        <f t="shared" si="3"/>
        <v/>
      </c>
      <c r="AD49" t="str">
        <f t="shared" si="4"/>
        <v/>
      </c>
      <c r="AE49" t="str">
        <f t="shared" si="5"/>
        <v/>
      </c>
      <c r="AF49" t="str">
        <f t="shared" si="6"/>
        <v/>
      </c>
      <c r="AG49" t="str">
        <f t="shared" si="7"/>
        <v/>
      </c>
      <c r="AH49" t="str">
        <f t="shared" si="8"/>
        <v/>
      </c>
      <c r="AI49" t="str">
        <f t="shared" si="9"/>
        <v/>
      </c>
      <c r="AJ49" t="str">
        <f t="shared" si="10"/>
        <v/>
      </c>
      <c r="AK49" t="str">
        <f t="shared" si="11"/>
        <v/>
      </c>
      <c r="AL49" t="str">
        <f t="shared" si="12"/>
        <v/>
      </c>
      <c r="AM49" t="str">
        <f t="shared" si="13"/>
        <v/>
      </c>
      <c r="AN49" t="str">
        <f t="shared" si="14"/>
        <v/>
      </c>
      <c r="AO49" t="str">
        <f>IF($A49="","",SUMIFS(Compta!$F$1:$F$675,Compta!$A$1:$A$675,"GRP",Compta!$B$1:$B$675,"6236",Compta!$C$1:$C$675,$A49))</f>
        <v/>
      </c>
      <c r="AP49" t="str">
        <f t="shared" si="15"/>
        <v/>
      </c>
      <c r="AQ49" t="str">
        <f t="shared" si="16"/>
        <v/>
      </c>
      <c r="AR49" t="str">
        <f t="shared" si="17"/>
        <v/>
      </c>
    </row>
    <row r="50" spans="1:44" x14ac:dyDescent="0.45">
      <c r="A50" t="str">
        <f>IF(Allocation!C50="","",Allocation!C50)</f>
        <v/>
      </c>
      <c r="B50" t="str">
        <f>IF(Allocation!D50="","",Allocation!D50)</f>
        <v/>
      </c>
      <c r="C50" t="str">
        <f>IF(Allocation!E50="","",Allocation!E50)</f>
        <v/>
      </c>
      <c r="D50" t="str">
        <f>IF(Allocation!F50="","",Allocation!F50)</f>
        <v/>
      </c>
      <c r="E50" t="str">
        <f>IF(Allocation!G50="","",Allocation!G50)</f>
        <v/>
      </c>
      <c r="F50" t="str">
        <f>IF(Allocation!H50="","",Allocation!H50)</f>
        <v/>
      </c>
      <c r="G50" t="str">
        <f>IF(Allocation!D50="","",Allocation!I50)</f>
        <v/>
      </c>
      <c r="H50" t="str">
        <f>IF(Allocation!D50="","",Allocation!J50)</f>
        <v/>
      </c>
      <c r="I50" t="str">
        <f>IF(Allocation!D50="","",Allocation!K50)</f>
        <v/>
      </c>
      <c r="J50" t="str">
        <f>IF($A50="","",SUMIFS(Socle!$K$1:$K$1000,Socle!$C$1:$C$1000,$B50,Socle!$D$1:$D$1000,$D50,Socle!$E$1:$E$1000,$E50,Socle!$F$1:$F$1000,$F50,Socle!$G$1:$G$1000,$A50))</f>
        <v/>
      </c>
      <c r="K50" t="str">
        <f t="shared" si="0"/>
        <v/>
      </c>
      <c r="L50" t="str">
        <f>IF($A50="","",SUMIFS(Allocation!$I$1:$I$175,Allocation!$C$1:$C$175,$A50,Allocation!$D$1:$D$175,$B50))</f>
        <v/>
      </c>
      <c r="M50" t="str">
        <f>IF($A50="","",SUMIFS(Allocation!$J$1:$J$175,Allocation!$C$1:$C$175,$A50,Allocation!$D$1:$D$175,$B50))</f>
        <v/>
      </c>
      <c r="N50" t="str">
        <f>IF($A50="","",SUMIFS(Allocation!$K$1:$K$175,Allocation!$C$1:$C$175,$A50,Allocation!$D$1:$D$175,$B50))</f>
        <v/>
      </c>
      <c r="O50" t="str">
        <f t="shared" si="1"/>
        <v/>
      </c>
      <c r="P50" t="str">
        <f t="shared" si="2"/>
        <v/>
      </c>
      <c r="Q50" t="str">
        <f>IF($A50="","",SUMIFS(Allocation!$I$1:$I$175,Allocation!$C$1:$C$175,$A50,Allocation!$E$1:$E$175,$C50))</f>
        <v/>
      </c>
      <c r="R50" t="str">
        <f>IF($A50="","",SUMIFS(Allocation!$J$1:$J$175,Allocation!$C$1:$C$175,$A50,Allocation!$E$1:$E$175,$C50))</f>
        <v/>
      </c>
      <c r="S50" t="str">
        <f>IF($A50="","",SUMIFS(Allocation!$K$1:$K$175,Allocation!$C$1:$C$175,$A50,Allocation!$E$1:$E$175,$C50))</f>
        <v/>
      </c>
      <c r="T50" t="str">
        <f>IF($A50="","",SUMIFS(Allocation!$I$1:$I$175,Allocation!$C$1:$C$175,$A50))</f>
        <v/>
      </c>
      <c r="U50" t="str">
        <f>IF($A50="","",SUMIFS(Allocation!$J$1:$J$175,Allocation!$C$1:$C$175,$A50))</f>
        <v/>
      </c>
      <c r="V50" t="str">
        <f>IF($A50="","",SUMIFS(Allocation!$K$1:$K$175,Allocation!$C$1:$C$175,$A50))</f>
        <v/>
      </c>
      <c r="W50" t="str">
        <f>IF($A50="","",SUMIFS(Compta!$F$1:$F$675,Compta!$A$1:$A$675,$B50,Compta!$B$1:$B$675,"621",Compta!$C$1:$C$675,$A50))</f>
        <v/>
      </c>
      <c r="X50" t="str">
        <f>IF($A50="","",SUMIFS(Compta!$F$1:$F$675,Compta!$A$1:$A$675,$B50,Compta!$B$1:$B$675,"6411",Compta!$C$1:$C$675,$A50))</f>
        <v/>
      </c>
      <c r="Y50" t="str">
        <f>IF($A50="","",SUMIFS(Compta!$F$1:$F$675,Compta!$A$1:$A$675,$B50,Compta!$B$1:$B$675,"604",Compta!$C$1:$C$675,$A50)+SUMIFS(Compta!$F$1:$F$675,Compta!$A$1:$A$675,$B50,Compta!$B$1:$B$675,"6063",Compta!$C$1:$C$675,$A50))</f>
        <v/>
      </c>
      <c r="Z50" t="str">
        <f>IF($A50="","",SUMIFS(Compta!$F$1:$F$675,Compta!$A$1:$A$675,$B50,Compta!$B$1:$B$675,"6231",Compta!$C$1:$C$675,$A50))</f>
        <v/>
      </c>
      <c r="AA50" t="str">
        <f>IF($A50="","",SUMIFS(Compta!$F$1:$F$675,Compta!$A$1:$A$675,$B50,Compta!$B$1:$B$675,"6413",Compta!$C$1:$C$675,$A50)+SUMIFS(Compta!$F$1:$F$675,Compta!$A$1:$A$675,$B50,Compta!$B$1:$B$675,"645",Compta!$C$1:$C$675,$A50)+SUMIFS(Compta!$F$1:$F$675,Compta!$A$1:$A$675,$B50,Compta!$B$1:$B$675,"613",Compta!$C$1:$C$675,$A50)+SUMIFS(Compta!$F$1:$F$675,Compta!$A$1:$A$675,$B50,Compta!$B$1:$B$675,"615",Compta!$C$1:$C$675,$A50)+SUMIFS(Compta!$F$1:$F$675,Compta!$A$1:$A$675,$B50,Compta!$B$1:$B$675,"616",Compta!$C$1:$C$675,$A50)+SUMIFS(Compta!$F$1:$F$675,Compta!$A$1:$A$675,$B50,Compta!$B$1:$B$675,"625",Compta!$C$1:$C$675,$A50)+SUMIFS(Compta!$F$1:$F$675,Compta!$A$1:$A$675,$B50,Compta!$B$1:$B$675,"63511",Compta!$C$1:$C$675,$A50))</f>
        <v/>
      </c>
      <c r="AB50" t="str">
        <f>IF($A50="","",SUMIFS(Compta!$F$1:$F$675,Compta!$A$1:$A$675,"GRP",Compta!$B$1:$B$675,"6414",Compta!$C$1:$C$675,$A50)+SUMIFS(Compta!$F$1:$F$675,Compta!$A$1:$A$675,"GRP",Compta!$B$1:$B$675,"6226",Compta!$C$1:$C$675,$A50)+SUMIFS(Compta!$F$1:$F$675,Compta!$A$1:$A$675,"GRP",Compta!$B$1:$B$675,"626",Compta!$C$1:$C$675,$A50)+SUMIFS(Compta!$F$1:$F$675,Compta!$A$1:$A$675,"GRP",Compta!$B$1:$B$675,"6281",Compta!$C$1:$C$675,$A50)+SUMIFS(Compta!$F$1:$F$675,Compta!$A$1:$A$675,"GRP",Compta!$B$1:$B$675,"6331",Compta!$C$1:$C$675,$A50)+SUMIFS(Compta!$F$1:$F$675,Compta!$A$1:$A$675,"GRP",Compta!$B$1:$B$675,"6333",Compta!$C$1:$C$675,$A50))</f>
        <v/>
      </c>
      <c r="AC50" t="str">
        <f t="shared" si="3"/>
        <v/>
      </c>
      <c r="AD50" t="str">
        <f t="shared" si="4"/>
        <v/>
      </c>
      <c r="AE50" t="str">
        <f t="shared" si="5"/>
        <v/>
      </c>
      <c r="AF50" t="str">
        <f t="shared" si="6"/>
        <v/>
      </c>
      <c r="AG50" t="str">
        <f t="shared" si="7"/>
        <v/>
      </c>
      <c r="AH50" t="str">
        <f t="shared" si="8"/>
        <v/>
      </c>
      <c r="AI50" t="str">
        <f t="shared" si="9"/>
        <v/>
      </c>
      <c r="AJ50" t="str">
        <f t="shared" si="10"/>
        <v/>
      </c>
      <c r="AK50" t="str">
        <f t="shared" si="11"/>
        <v/>
      </c>
      <c r="AL50" t="str">
        <f t="shared" si="12"/>
        <v/>
      </c>
      <c r="AM50" t="str">
        <f t="shared" si="13"/>
        <v/>
      </c>
      <c r="AN50" t="str">
        <f t="shared" si="14"/>
        <v/>
      </c>
      <c r="AO50" t="str">
        <f>IF($A50="","",SUMIFS(Compta!$F$1:$F$675,Compta!$A$1:$A$675,"GRP",Compta!$B$1:$B$675,"6236",Compta!$C$1:$C$675,$A50))</f>
        <v/>
      </c>
      <c r="AP50" t="str">
        <f t="shared" si="15"/>
        <v/>
      </c>
      <c r="AQ50" t="str">
        <f t="shared" si="16"/>
        <v/>
      </c>
      <c r="AR50" t="str">
        <f t="shared" si="17"/>
        <v/>
      </c>
    </row>
    <row r="51" spans="1:44" x14ac:dyDescent="0.45">
      <c r="A51" t="str">
        <f>IF(Allocation!C51="","",Allocation!C51)</f>
        <v/>
      </c>
      <c r="B51" t="str">
        <f>IF(Allocation!D51="","",Allocation!D51)</f>
        <v/>
      </c>
      <c r="C51" t="str">
        <f>IF(Allocation!E51="","",Allocation!E51)</f>
        <v/>
      </c>
      <c r="D51" t="str">
        <f>IF(Allocation!F51="","",Allocation!F51)</f>
        <v/>
      </c>
      <c r="E51" t="str">
        <f>IF(Allocation!G51="","",Allocation!G51)</f>
        <v/>
      </c>
      <c r="F51" t="str">
        <f>IF(Allocation!H51="","",Allocation!H51)</f>
        <v/>
      </c>
      <c r="G51" t="str">
        <f>IF(Allocation!D51="","",Allocation!I51)</f>
        <v/>
      </c>
      <c r="H51" t="str">
        <f>IF(Allocation!D51="","",Allocation!J51)</f>
        <v/>
      </c>
      <c r="I51" t="str">
        <f>IF(Allocation!D51="","",Allocation!K51)</f>
        <v/>
      </c>
      <c r="J51" t="str">
        <f>IF($A51="","",SUMIFS(Socle!$K$1:$K$1000,Socle!$C$1:$C$1000,$B51,Socle!$D$1:$D$1000,$D51,Socle!$E$1:$E$1000,$E51,Socle!$F$1:$F$1000,$F51,Socle!$G$1:$G$1000,$A51))</f>
        <v/>
      </c>
      <c r="K51" t="str">
        <f t="shared" si="0"/>
        <v/>
      </c>
      <c r="L51" t="str">
        <f>IF($A51="","",SUMIFS(Allocation!$I$1:$I$175,Allocation!$C$1:$C$175,$A51,Allocation!$D$1:$D$175,$B51))</f>
        <v/>
      </c>
      <c r="M51" t="str">
        <f>IF($A51="","",SUMIFS(Allocation!$J$1:$J$175,Allocation!$C$1:$C$175,$A51,Allocation!$D$1:$D$175,$B51))</f>
        <v/>
      </c>
      <c r="N51" t="str">
        <f>IF($A51="","",SUMIFS(Allocation!$K$1:$K$175,Allocation!$C$1:$C$175,$A51,Allocation!$D$1:$D$175,$B51))</f>
        <v/>
      </c>
      <c r="O51" t="str">
        <f t="shared" si="1"/>
        <v/>
      </c>
      <c r="P51" t="str">
        <f t="shared" si="2"/>
        <v/>
      </c>
      <c r="Q51" t="str">
        <f>IF($A51="","",SUMIFS(Allocation!$I$1:$I$175,Allocation!$C$1:$C$175,$A51,Allocation!$E$1:$E$175,$C51))</f>
        <v/>
      </c>
      <c r="R51" t="str">
        <f>IF($A51="","",SUMIFS(Allocation!$J$1:$J$175,Allocation!$C$1:$C$175,$A51,Allocation!$E$1:$E$175,$C51))</f>
        <v/>
      </c>
      <c r="S51" t="str">
        <f>IF($A51="","",SUMIFS(Allocation!$K$1:$K$175,Allocation!$C$1:$C$175,$A51,Allocation!$E$1:$E$175,$C51))</f>
        <v/>
      </c>
      <c r="T51" t="str">
        <f>IF($A51="","",SUMIFS(Allocation!$I$1:$I$175,Allocation!$C$1:$C$175,$A51))</f>
        <v/>
      </c>
      <c r="U51" t="str">
        <f>IF($A51="","",SUMIFS(Allocation!$J$1:$J$175,Allocation!$C$1:$C$175,$A51))</f>
        <v/>
      </c>
      <c r="V51" t="str">
        <f>IF($A51="","",SUMIFS(Allocation!$K$1:$K$175,Allocation!$C$1:$C$175,$A51))</f>
        <v/>
      </c>
      <c r="W51" t="str">
        <f>IF($A51="","",SUMIFS(Compta!$F$1:$F$675,Compta!$A$1:$A$675,$B51,Compta!$B$1:$B$675,"621",Compta!$C$1:$C$675,$A51))</f>
        <v/>
      </c>
      <c r="X51" t="str">
        <f>IF($A51="","",SUMIFS(Compta!$F$1:$F$675,Compta!$A$1:$A$675,$B51,Compta!$B$1:$B$675,"6411",Compta!$C$1:$C$675,$A51))</f>
        <v/>
      </c>
      <c r="Y51" t="str">
        <f>IF($A51="","",SUMIFS(Compta!$F$1:$F$675,Compta!$A$1:$A$675,$B51,Compta!$B$1:$B$675,"604",Compta!$C$1:$C$675,$A51)+SUMIFS(Compta!$F$1:$F$675,Compta!$A$1:$A$675,$B51,Compta!$B$1:$B$675,"6063",Compta!$C$1:$C$675,$A51))</f>
        <v/>
      </c>
      <c r="Z51" t="str">
        <f>IF($A51="","",SUMIFS(Compta!$F$1:$F$675,Compta!$A$1:$A$675,$B51,Compta!$B$1:$B$675,"6231",Compta!$C$1:$C$675,$A51))</f>
        <v/>
      </c>
      <c r="AA51" t="str">
        <f>IF($A51="","",SUMIFS(Compta!$F$1:$F$675,Compta!$A$1:$A$675,$B51,Compta!$B$1:$B$675,"6413",Compta!$C$1:$C$675,$A51)+SUMIFS(Compta!$F$1:$F$675,Compta!$A$1:$A$675,$B51,Compta!$B$1:$B$675,"645",Compta!$C$1:$C$675,$A51)+SUMIFS(Compta!$F$1:$F$675,Compta!$A$1:$A$675,$B51,Compta!$B$1:$B$675,"613",Compta!$C$1:$C$675,$A51)+SUMIFS(Compta!$F$1:$F$675,Compta!$A$1:$A$675,$B51,Compta!$B$1:$B$675,"615",Compta!$C$1:$C$675,$A51)+SUMIFS(Compta!$F$1:$F$675,Compta!$A$1:$A$675,$B51,Compta!$B$1:$B$675,"616",Compta!$C$1:$C$675,$A51)+SUMIFS(Compta!$F$1:$F$675,Compta!$A$1:$A$675,$B51,Compta!$B$1:$B$675,"625",Compta!$C$1:$C$675,$A51)+SUMIFS(Compta!$F$1:$F$675,Compta!$A$1:$A$675,$B51,Compta!$B$1:$B$675,"63511",Compta!$C$1:$C$675,$A51))</f>
        <v/>
      </c>
      <c r="AB51" t="str">
        <f>IF($A51="","",SUMIFS(Compta!$F$1:$F$675,Compta!$A$1:$A$675,"GRP",Compta!$B$1:$B$675,"6414",Compta!$C$1:$C$675,$A51)+SUMIFS(Compta!$F$1:$F$675,Compta!$A$1:$A$675,"GRP",Compta!$B$1:$B$675,"6226",Compta!$C$1:$C$675,$A51)+SUMIFS(Compta!$F$1:$F$675,Compta!$A$1:$A$675,"GRP",Compta!$B$1:$B$675,"626",Compta!$C$1:$C$675,$A51)+SUMIFS(Compta!$F$1:$F$675,Compta!$A$1:$A$675,"GRP",Compta!$B$1:$B$675,"6281",Compta!$C$1:$C$675,$A51)+SUMIFS(Compta!$F$1:$F$675,Compta!$A$1:$A$675,"GRP",Compta!$B$1:$B$675,"6331",Compta!$C$1:$C$675,$A51)+SUMIFS(Compta!$F$1:$F$675,Compta!$A$1:$A$675,"GRP",Compta!$B$1:$B$675,"6333",Compta!$C$1:$C$675,$A51))</f>
        <v/>
      </c>
      <c r="AC51" t="str">
        <f t="shared" si="3"/>
        <v/>
      </c>
      <c r="AD51" t="str">
        <f t="shared" si="4"/>
        <v/>
      </c>
      <c r="AE51" t="str">
        <f t="shared" si="5"/>
        <v/>
      </c>
      <c r="AF51" t="str">
        <f t="shared" si="6"/>
        <v/>
      </c>
      <c r="AG51" t="str">
        <f t="shared" si="7"/>
        <v/>
      </c>
      <c r="AH51" t="str">
        <f t="shared" si="8"/>
        <v/>
      </c>
      <c r="AI51" t="str">
        <f t="shared" si="9"/>
        <v/>
      </c>
      <c r="AJ51" t="str">
        <f t="shared" si="10"/>
        <v/>
      </c>
      <c r="AK51" t="str">
        <f t="shared" si="11"/>
        <v/>
      </c>
      <c r="AL51" t="str">
        <f t="shared" si="12"/>
        <v/>
      </c>
      <c r="AM51" t="str">
        <f t="shared" si="13"/>
        <v/>
      </c>
      <c r="AN51" t="str">
        <f t="shared" si="14"/>
        <v/>
      </c>
      <c r="AO51" t="str">
        <f>IF($A51="","",SUMIFS(Compta!$F$1:$F$675,Compta!$A$1:$A$675,"GRP",Compta!$B$1:$B$675,"6236",Compta!$C$1:$C$675,$A51))</f>
        <v/>
      </c>
      <c r="AP51" t="str">
        <f t="shared" si="15"/>
        <v/>
      </c>
      <c r="AQ51" t="str">
        <f t="shared" si="16"/>
        <v/>
      </c>
      <c r="AR51" t="str">
        <f t="shared" si="17"/>
        <v/>
      </c>
    </row>
    <row r="52" spans="1:44" x14ac:dyDescent="0.45">
      <c r="A52" t="str">
        <f>IF(Allocation!C52="","",Allocation!C52)</f>
        <v/>
      </c>
      <c r="B52" t="str">
        <f>IF(Allocation!D52="","",Allocation!D52)</f>
        <v/>
      </c>
      <c r="C52" t="str">
        <f>IF(Allocation!E52="","",Allocation!E52)</f>
        <v/>
      </c>
      <c r="D52" t="str">
        <f>IF(Allocation!F52="","",Allocation!F52)</f>
        <v/>
      </c>
      <c r="E52" t="str">
        <f>IF(Allocation!G52="","",Allocation!G52)</f>
        <v/>
      </c>
      <c r="F52" t="str">
        <f>IF(Allocation!H52="","",Allocation!H52)</f>
        <v/>
      </c>
      <c r="G52" t="str">
        <f>IF(Allocation!D52="","",Allocation!I52)</f>
        <v/>
      </c>
      <c r="H52" t="str">
        <f>IF(Allocation!D52="","",Allocation!J52)</f>
        <v/>
      </c>
      <c r="I52" t="str">
        <f>IF(Allocation!D52="","",Allocation!K52)</f>
        <v/>
      </c>
      <c r="J52" t="str">
        <f>IF($A52="","",SUMIFS(Socle!$K$1:$K$1000,Socle!$C$1:$C$1000,$B52,Socle!$D$1:$D$1000,$D52,Socle!$E$1:$E$1000,$E52,Socle!$F$1:$F$1000,$F52,Socle!$G$1:$G$1000,$A52))</f>
        <v/>
      </c>
      <c r="K52" t="str">
        <f t="shared" si="0"/>
        <v/>
      </c>
      <c r="L52" t="str">
        <f>IF($A52="","",SUMIFS(Allocation!$I$1:$I$175,Allocation!$C$1:$C$175,$A52,Allocation!$D$1:$D$175,$B52))</f>
        <v/>
      </c>
      <c r="M52" t="str">
        <f>IF($A52="","",SUMIFS(Allocation!$J$1:$J$175,Allocation!$C$1:$C$175,$A52,Allocation!$D$1:$D$175,$B52))</f>
        <v/>
      </c>
      <c r="N52" t="str">
        <f>IF($A52="","",SUMIFS(Allocation!$K$1:$K$175,Allocation!$C$1:$C$175,$A52,Allocation!$D$1:$D$175,$B52))</f>
        <v/>
      </c>
      <c r="O52" t="str">
        <f t="shared" si="1"/>
        <v/>
      </c>
      <c r="P52" t="str">
        <f t="shared" si="2"/>
        <v/>
      </c>
      <c r="Q52" t="str">
        <f>IF($A52="","",SUMIFS(Allocation!$I$1:$I$175,Allocation!$C$1:$C$175,$A52,Allocation!$E$1:$E$175,$C52))</f>
        <v/>
      </c>
      <c r="R52" t="str">
        <f>IF($A52="","",SUMIFS(Allocation!$J$1:$J$175,Allocation!$C$1:$C$175,$A52,Allocation!$E$1:$E$175,$C52))</f>
        <v/>
      </c>
      <c r="S52" t="str">
        <f>IF($A52="","",SUMIFS(Allocation!$K$1:$K$175,Allocation!$C$1:$C$175,$A52,Allocation!$E$1:$E$175,$C52))</f>
        <v/>
      </c>
      <c r="T52" t="str">
        <f>IF($A52="","",SUMIFS(Allocation!$I$1:$I$175,Allocation!$C$1:$C$175,$A52))</f>
        <v/>
      </c>
      <c r="U52" t="str">
        <f>IF($A52="","",SUMIFS(Allocation!$J$1:$J$175,Allocation!$C$1:$C$175,$A52))</f>
        <v/>
      </c>
      <c r="V52" t="str">
        <f>IF($A52="","",SUMIFS(Allocation!$K$1:$K$175,Allocation!$C$1:$C$175,$A52))</f>
        <v/>
      </c>
      <c r="W52" t="str">
        <f>IF($A52="","",SUMIFS(Compta!$F$1:$F$675,Compta!$A$1:$A$675,$B52,Compta!$B$1:$B$675,"621",Compta!$C$1:$C$675,$A52))</f>
        <v/>
      </c>
      <c r="X52" t="str">
        <f>IF($A52="","",SUMIFS(Compta!$F$1:$F$675,Compta!$A$1:$A$675,$B52,Compta!$B$1:$B$675,"6411",Compta!$C$1:$C$675,$A52))</f>
        <v/>
      </c>
      <c r="Y52" t="str">
        <f>IF($A52="","",SUMIFS(Compta!$F$1:$F$675,Compta!$A$1:$A$675,$B52,Compta!$B$1:$B$675,"604",Compta!$C$1:$C$675,$A52)+SUMIFS(Compta!$F$1:$F$675,Compta!$A$1:$A$675,$B52,Compta!$B$1:$B$675,"6063",Compta!$C$1:$C$675,$A52))</f>
        <v/>
      </c>
      <c r="Z52" t="str">
        <f>IF($A52="","",SUMIFS(Compta!$F$1:$F$675,Compta!$A$1:$A$675,$B52,Compta!$B$1:$B$675,"6231",Compta!$C$1:$C$675,$A52))</f>
        <v/>
      </c>
      <c r="AA52" t="str">
        <f>IF($A52="","",SUMIFS(Compta!$F$1:$F$675,Compta!$A$1:$A$675,$B52,Compta!$B$1:$B$675,"6413",Compta!$C$1:$C$675,$A52)+SUMIFS(Compta!$F$1:$F$675,Compta!$A$1:$A$675,$B52,Compta!$B$1:$B$675,"645",Compta!$C$1:$C$675,$A52)+SUMIFS(Compta!$F$1:$F$675,Compta!$A$1:$A$675,$B52,Compta!$B$1:$B$675,"613",Compta!$C$1:$C$675,$A52)+SUMIFS(Compta!$F$1:$F$675,Compta!$A$1:$A$675,$B52,Compta!$B$1:$B$675,"615",Compta!$C$1:$C$675,$A52)+SUMIFS(Compta!$F$1:$F$675,Compta!$A$1:$A$675,$B52,Compta!$B$1:$B$675,"616",Compta!$C$1:$C$675,$A52)+SUMIFS(Compta!$F$1:$F$675,Compta!$A$1:$A$675,$B52,Compta!$B$1:$B$675,"625",Compta!$C$1:$C$675,$A52)+SUMIFS(Compta!$F$1:$F$675,Compta!$A$1:$A$675,$B52,Compta!$B$1:$B$675,"63511",Compta!$C$1:$C$675,$A52))</f>
        <v/>
      </c>
      <c r="AB52" t="str">
        <f>IF($A52="","",SUMIFS(Compta!$F$1:$F$675,Compta!$A$1:$A$675,"GRP",Compta!$B$1:$B$675,"6414",Compta!$C$1:$C$675,$A52)+SUMIFS(Compta!$F$1:$F$675,Compta!$A$1:$A$675,"GRP",Compta!$B$1:$B$675,"6226",Compta!$C$1:$C$675,$A52)+SUMIFS(Compta!$F$1:$F$675,Compta!$A$1:$A$675,"GRP",Compta!$B$1:$B$675,"626",Compta!$C$1:$C$675,$A52)+SUMIFS(Compta!$F$1:$F$675,Compta!$A$1:$A$675,"GRP",Compta!$B$1:$B$675,"6281",Compta!$C$1:$C$675,$A52)+SUMIFS(Compta!$F$1:$F$675,Compta!$A$1:$A$675,"GRP",Compta!$B$1:$B$675,"6331",Compta!$C$1:$C$675,$A52)+SUMIFS(Compta!$F$1:$F$675,Compta!$A$1:$A$675,"GRP",Compta!$B$1:$B$675,"6333",Compta!$C$1:$C$675,$A52))</f>
        <v/>
      </c>
      <c r="AC52" t="str">
        <f t="shared" si="3"/>
        <v/>
      </c>
      <c r="AD52" t="str">
        <f t="shared" si="4"/>
        <v/>
      </c>
      <c r="AE52" t="str">
        <f t="shared" si="5"/>
        <v/>
      </c>
      <c r="AF52" t="str">
        <f t="shared" si="6"/>
        <v/>
      </c>
      <c r="AG52" t="str">
        <f t="shared" si="7"/>
        <v/>
      </c>
      <c r="AH52" t="str">
        <f t="shared" si="8"/>
        <v/>
      </c>
      <c r="AI52" t="str">
        <f t="shared" si="9"/>
        <v/>
      </c>
      <c r="AJ52" t="str">
        <f t="shared" si="10"/>
        <v/>
      </c>
      <c r="AK52" t="str">
        <f t="shared" si="11"/>
        <v/>
      </c>
      <c r="AL52" t="str">
        <f t="shared" si="12"/>
        <v/>
      </c>
      <c r="AM52" t="str">
        <f t="shared" si="13"/>
        <v/>
      </c>
      <c r="AN52" t="str">
        <f t="shared" si="14"/>
        <v/>
      </c>
      <c r="AO52" t="str">
        <f>IF($A52="","",SUMIFS(Compta!$F$1:$F$675,Compta!$A$1:$A$675,"GRP",Compta!$B$1:$B$675,"6236",Compta!$C$1:$C$675,$A52))</f>
        <v/>
      </c>
      <c r="AP52" t="str">
        <f t="shared" si="15"/>
        <v/>
      </c>
      <c r="AQ52" t="str">
        <f t="shared" si="16"/>
        <v/>
      </c>
      <c r="AR52" t="str">
        <f t="shared" si="17"/>
        <v/>
      </c>
    </row>
    <row r="53" spans="1:44" x14ac:dyDescent="0.45">
      <c r="A53" t="str">
        <f>IF(Allocation!C53="","",Allocation!C53)</f>
        <v/>
      </c>
      <c r="B53" t="str">
        <f>IF(Allocation!D53="","",Allocation!D53)</f>
        <v/>
      </c>
      <c r="C53" t="str">
        <f>IF(Allocation!E53="","",Allocation!E53)</f>
        <v/>
      </c>
      <c r="D53" t="str">
        <f>IF(Allocation!F53="","",Allocation!F53)</f>
        <v/>
      </c>
      <c r="E53" t="str">
        <f>IF(Allocation!G53="","",Allocation!G53)</f>
        <v/>
      </c>
      <c r="F53" t="str">
        <f>IF(Allocation!H53="","",Allocation!H53)</f>
        <v/>
      </c>
      <c r="G53" t="str">
        <f>IF(Allocation!D53="","",Allocation!I53)</f>
        <v/>
      </c>
      <c r="H53" t="str">
        <f>IF(Allocation!D53="","",Allocation!J53)</f>
        <v/>
      </c>
      <c r="I53" t="str">
        <f>IF(Allocation!D53="","",Allocation!K53)</f>
        <v/>
      </c>
      <c r="J53" t="str">
        <f>IF($A53="","",SUMIFS(Socle!$K$1:$K$1000,Socle!$C$1:$C$1000,$B53,Socle!$D$1:$D$1000,$D53,Socle!$E$1:$E$1000,$E53,Socle!$F$1:$F$1000,$F53,Socle!$G$1:$G$1000,$A53))</f>
        <v/>
      </c>
      <c r="K53" t="str">
        <f t="shared" si="0"/>
        <v/>
      </c>
      <c r="L53" t="str">
        <f>IF($A53="","",SUMIFS(Allocation!$I$1:$I$175,Allocation!$C$1:$C$175,$A53,Allocation!$D$1:$D$175,$B53))</f>
        <v/>
      </c>
      <c r="M53" t="str">
        <f>IF($A53="","",SUMIFS(Allocation!$J$1:$J$175,Allocation!$C$1:$C$175,$A53,Allocation!$D$1:$D$175,$B53))</f>
        <v/>
      </c>
      <c r="N53" t="str">
        <f>IF($A53="","",SUMIFS(Allocation!$K$1:$K$175,Allocation!$C$1:$C$175,$A53,Allocation!$D$1:$D$175,$B53))</f>
        <v/>
      </c>
      <c r="O53" t="str">
        <f t="shared" si="1"/>
        <v/>
      </c>
      <c r="P53" t="str">
        <f t="shared" si="2"/>
        <v/>
      </c>
      <c r="Q53" t="str">
        <f>IF($A53="","",SUMIFS(Allocation!$I$1:$I$175,Allocation!$C$1:$C$175,$A53,Allocation!$E$1:$E$175,$C53))</f>
        <v/>
      </c>
      <c r="R53" t="str">
        <f>IF($A53="","",SUMIFS(Allocation!$J$1:$J$175,Allocation!$C$1:$C$175,$A53,Allocation!$E$1:$E$175,$C53))</f>
        <v/>
      </c>
      <c r="S53" t="str">
        <f>IF($A53="","",SUMIFS(Allocation!$K$1:$K$175,Allocation!$C$1:$C$175,$A53,Allocation!$E$1:$E$175,$C53))</f>
        <v/>
      </c>
      <c r="T53" t="str">
        <f>IF($A53="","",SUMIFS(Allocation!$I$1:$I$175,Allocation!$C$1:$C$175,$A53))</f>
        <v/>
      </c>
      <c r="U53" t="str">
        <f>IF($A53="","",SUMIFS(Allocation!$J$1:$J$175,Allocation!$C$1:$C$175,$A53))</f>
        <v/>
      </c>
      <c r="V53" t="str">
        <f>IF($A53="","",SUMIFS(Allocation!$K$1:$K$175,Allocation!$C$1:$C$175,$A53))</f>
        <v/>
      </c>
      <c r="W53" t="str">
        <f>IF($A53="","",SUMIFS(Compta!$F$1:$F$675,Compta!$A$1:$A$675,$B53,Compta!$B$1:$B$675,"621",Compta!$C$1:$C$675,$A53))</f>
        <v/>
      </c>
      <c r="X53" t="str">
        <f>IF($A53="","",SUMIFS(Compta!$F$1:$F$675,Compta!$A$1:$A$675,$B53,Compta!$B$1:$B$675,"6411",Compta!$C$1:$C$675,$A53))</f>
        <v/>
      </c>
      <c r="Y53" t="str">
        <f>IF($A53="","",SUMIFS(Compta!$F$1:$F$675,Compta!$A$1:$A$675,$B53,Compta!$B$1:$B$675,"604",Compta!$C$1:$C$675,$A53)+SUMIFS(Compta!$F$1:$F$675,Compta!$A$1:$A$675,$B53,Compta!$B$1:$B$675,"6063",Compta!$C$1:$C$675,$A53))</f>
        <v/>
      </c>
      <c r="Z53" t="str">
        <f>IF($A53="","",SUMIFS(Compta!$F$1:$F$675,Compta!$A$1:$A$675,$B53,Compta!$B$1:$B$675,"6231",Compta!$C$1:$C$675,$A53))</f>
        <v/>
      </c>
      <c r="AA53" t="str">
        <f>IF($A53="","",SUMIFS(Compta!$F$1:$F$675,Compta!$A$1:$A$675,$B53,Compta!$B$1:$B$675,"6413",Compta!$C$1:$C$675,$A53)+SUMIFS(Compta!$F$1:$F$675,Compta!$A$1:$A$675,$B53,Compta!$B$1:$B$675,"645",Compta!$C$1:$C$675,$A53)+SUMIFS(Compta!$F$1:$F$675,Compta!$A$1:$A$675,$B53,Compta!$B$1:$B$675,"613",Compta!$C$1:$C$675,$A53)+SUMIFS(Compta!$F$1:$F$675,Compta!$A$1:$A$675,$B53,Compta!$B$1:$B$675,"615",Compta!$C$1:$C$675,$A53)+SUMIFS(Compta!$F$1:$F$675,Compta!$A$1:$A$675,$B53,Compta!$B$1:$B$675,"616",Compta!$C$1:$C$675,$A53)+SUMIFS(Compta!$F$1:$F$675,Compta!$A$1:$A$675,$B53,Compta!$B$1:$B$675,"625",Compta!$C$1:$C$675,$A53)+SUMIFS(Compta!$F$1:$F$675,Compta!$A$1:$A$675,$B53,Compta!$B$1:$B$675,"63511",Compta!$C$1:$C$675,$A53))</f>
        <v/>
      </c>
      <c r="AB53" t="str">
        <f>IF($A53="","",SUMIFS(Compta!$F$1:$F$675,Compta!$A$1:$A$675,"GRP",Compta!$B$1:$B$675,"6414",Compta!$C$1:$C$675,$A53)+SUMIFS(Compta!$F$1:$F$675,Compta!$A$1:$A$675,"GRP",Compta!$B$1:$B$675,"6226",Compta!$C$1:$C$675,$A53)+SUMIFS(Compta!$F$1:$F$675,Compta!$A$1:$A$675,"GRP",Compta!$B$1:$B$675,"626",Compta!$C$1:$C$675,$A53)+SUMIFS(Compta!$F$1:$F$675,Compta!$A$1:$A$675,"GRP",Compta!$B$1:$B$675,"6281",Compta!$C$1:$C$675,$A53)+SUMIFS(Compta!$F$1:$F$675,Compta!$A$1:$A$675,"GRP",Compta!$B$1:$B$675,"6331",Compta!$C$1:$C$675,$A53)+SUMIFS(Compta!$F$1:$F$675,Compta!$A$1:$A$675,"GRP",Compta!$B$1:$B$675,"6333",Compta!$C$1:$C$675,$A53))</f>
        <v/>
      </c>
      <c r="AC53" t="str">
        <f t="shared" si="3"/>
        <v/>
      </c>
      <c r="AD53" t="str">
        <f t="shared" si="4"/>
        <v/>
      </c>
      <c r="AE53" t="str">
        <f t="shared" si="5"/>
        <v/>
      </c>
      <c r="AF53" t="str">
        <f t="shared" si="6"/>
        <v/>
      </c>
      <c r="AG53" t="str">
        <f t="shared" si="7"/>
        <v/>
      </c>
      <c r="AH53" t="str">
        <f t="shared" si="8"/>
        <v/>
      </c>
      <c r="AI53" t="str">
        <f t="shared" si="9"/>
        <v/>
      </c>
      <c r="AJ53" t="str">
        <f t="shared" si="10"/>
        <v/>
      </c>
      <c r="AK53" t="str">
        <f t="shared" si="11"/>
        <v/>
      </c>
      <c r="AL53" t="str">
        <f t="shared" si="12"/>
        <v/>
      </c>
      <c r="AM53" t="str">
        <f t="shared" si="13"/>
        <v/>
      </c>
      <c r="AN53" t="str">
        <f t="shared" si="14"/>
        <v/>
      </c>
      <c r="AO53" t="str">
        <f>IF($A53="","",SUMIFS(Compta!$F$1:$F$675,Compta!$A$1:$A$675,"GRP",Compta!$B$1:$B$675,"6236",Compta!$C$1:$C$675,$A53))</f>
        <v/>
      </c>
      <c r="AP53" t="str">
        <f t="shared" si="15"/>
        <v/>
      </c>
      <c r="AQ53" t="str">
        <f t="shared" si="16"/>
        <v/>
      </c>
      <c r="AR53" t="str">
        <f t="shared" si="17"/>
        <v/>
      </c>
    </row>
    <row r="54" spans="1:44" x14ac:dyDescent="0.45">
      <c r="A54" t="str">
        <f>IF(Allocation!C54="","",Allocation!C54)</f>
        <v/>
      </c>
      <c r="B54" t="str">
        <f>IF(Allocation!D54="","",Allocation!D54)</f>
        <v/>
      </c>
      <c r="C54" t="str">
        <f>IF(Allocation!E54="","",Allocation!E54)</f>
        <v/>
      </c>
      <c r="D54" t="str">
        <f>IF(Allocation!F54="","",Allocation!F54)</f>
        <v/>
      </c>
      <c r="E54" t="str">
        <f>IF(Allocation!G54="","",Allocation!G54)</f>
        <v/>
      </c>
      <c r="F54" t="str">
        <f>IF(Allocation!H54="","",Allocation!H54)</f>
        <v/>
      </c>
      <c r="G54" t="str">
        <f>IF(Allocation!D54="","",Allocation!I54)</f>
        <v/>
      </c>
      <c r="H54" t="str">
        <f>IF(Allocation!D54="","",Allocation!J54)</f>
        <v/>
      </c>
      <c r="I54" t="str">
        <f>IF(Allocation!D54="","",Allocation!K54)</f>
        <v/>
      </c>
      <c r="J54" t="str">
        <f>IF($A54="","",SUMIFS(Socle!$K$1:$K$1000,Socle!$C$1:$C$1000,$B54,Socle!$D$1:$D$1000,$D54,Socle!$E$1:$E$1000,$E54,Socle!$F$1:$F$1000,$F54,Socle!$G$1:$G$1000,$A54))</f>
        <v/>
      </c>
      <c r="K54" t="str">
        <f t="shared" si="0"/>
        <v/>
      </c>
      <c r="L54" t="str">
        <f>IF($A54="","",SUMIFS(Allocation!$I$1:$I$175,Allocation!$C$1:$C$175,$A54,Allocation!$D$1:$D$175,$B54))</f>
        <v/>
      </c>
      <c r="M54" t="str">
        <f>IF($A54="","",SUMIFS(Allocation!$J$1:$J$175,Allocation!$C$1:$C$175,$A54,Allocation!$D$1:$D$175,$B54))</f>
        <v/>
      </c>
      <c r="N54" t="str">
        <f>IF($A54="","",SUMIFS(Allocation!$K$1:$K$175,Allocation!$C$1:$C$175,$A54,Allocation!$D$1:$D$175,$B54))</f>
        <v/>
      </c>
      <c r="O54" t="str">
        <f t="shared" si="1"/>
        <v/>
      </c>
      <c r="P54" t="str">
        <f t="shared" si="2"/>
        <v/>
      </c>
      <c r="Q54" t="str">
        <f>IF($A54="","",SUMIFS(Allocation!$I$1:$I$175,Allocation!$C$1:$C$175,$A54,Allocation!$E$1:$E$175,$C54))</f>
        <v/>
      </c>
      <c r="R54" t="str">
        <f>IF($A54="","",SUMIFS(Allocation!$J$1:$J$175,Allocation!$C$1:$C$175,$A54,Allocation!$E$1:$E$175,$C54))</f>
        <v/>
      </c>
      <c r="S54" t="str">
        <f>IF($A54="","",SUMIFS(Allocation!$K$1:$K$175,Allocation!$C$1:$C$175,$A54,Allocation!$E$1:$E$175,$C54))</f>
        <v/>
      </c>
      <c r="T54" t="str">
        <f>IF($A54="","",SUMIFS(Allocation!$I$1:$I$175,Allocation!$C$1:$C$175,$A54))</f>
        <v/>
      </c>
      <c r="U54" t="str">
        <f>IF($A54="","",SUMIFS(Allocation!$J$1:$J$175,Allocation!$C$1:$C$175,$A54))</f>
        <v/>
      </c>
      <c r="V54" t="str">
        <f>IF($A54="","",SUMIFS(Allocation!$K$1:$K$175,Allocation!$C$1:$C$175,$A54))</f>
        <v/>
      </c>
      <c r="W54" t="str">
        <f>IF($A54="","",SUMIFS(Compta!$F$1:$F$675,Compta!$A$1:$A$675,$B54,Compta!$B$1:$B$675,"621",Compta!$C$1:$C$675,$A54))</f>
        <v/>
      </c>
      <c r="X54" t="str">
        <f>IF($A54="","",SUMIFS(Compta!$F$1:$F$675,Compta!$A$1:$A$675,$B54,Compta!$B$1:$B$675,"6411",Compta!$C$1:$C$675,$A54))</f>
        <v/>
      </c>
      <c r="Y54" t="str">
        <f>IF($A54="","",SUMIFS(Compta!$F$1:$F$675,Compta!$A$1:$A$675,$B54,Compta!$B$1:$B$675,"604",Compta!$C$1:$C$675,$A54)+SUMIFS(Compta!$F$1:$F$675,Compta!$A$1:$A$675,$B54,Compta!$B$1:$B$675,"6063",Compta!$C$1:$C$675,$A54))</f>
        <v/>
      </c>
      <c r="Z54" t="str">
        <f>IF($A54="","",SUMIFS(Compta!$F$1:$F$675,Compta!$A$1:$A$675,$B54,Compta!$B$1:$B$675,"6231",Compta!$C$1:$C$675,$A54))</f>
        <v/>
      </c>
      <c r="AA54" t="str">
        <f>IF($A54="","",SUMIFS(Compta!$F$1:$F$675,Compta!$A$1:$A$675,$B54,Compta!$B$1:$B$675,"6413",Compta!$C$1:$C$675,$A54)+SUMIFS(Compta!$F$1:$F$675,Compta!$A$1:$A$675,$B54,Compta!$B$1:$B$675,"645",Compta!$C$1:$C$675,$A54)+SUMIFS(Compta!$F$1:$F$675,Compta!$A$1:$A$675,$B54,Compta!$B$1:$B$675,"613",Compta!$C$1:$C$675,$A54)+SUMIFS(Compta!$F$1:$F$675,Compta!$A$1:$A$675,$B54,Compta!$B$1:$B$675,"615",Compta!$C$1:$C$675,$A54)+SUMIFS(Compta!$F$1:$F$675,Compta!$A$1:$A$675,$B54,Compta!$B$1:$B$675,"616",Compta!$C$1:$C$675,$A54)+SUMIFS(Compta!$F$1:$F$675,Compta!$A$1:$A$675,$B54,Compta!$B$1:$B$675,"625",Compta!$C$1:$C$675,$A54)+SUMIFS(Compta!$F$1:$F$675,Compta!$A$1:$A$675,$B54,Compta!$B$1:$B$675,"63511",Compta!$C$1:$C$675,$A54))</f>
        <v/>
      </c>
      <c r="AB54" t="str">
        <f>IF($A54="","",SUMIFS(Compta!$F$1:$F$675,Compta!$A$1:$A$675,"GRP",Compta!$B$1:$B$675,"6414",Compta!$C$1:$C$675,$A54)+SUMIFS(Compta!$F$1:$F$675,Compta!$A$1:$A$675,"GRP",Compta!$B$1:$B$675,"6226",Compta!$C$1:$C$675,$A54)+SUMIFS(Compta!$F$1:$F$675,Compta!$A$1:$A$675,"GRP",Compta!$B$1:$B$675,"626",Compta!$C$1:$C$675,$A54)+SUMIFS(Compta!$F$1:$F$675,Compta!$A$1:$A$675,"GRP",Compta!$B$1:$B$675,"6281",Compta!$C$1:$C$675,$A54)+SUMIFS(Compta!$F$1:$F$675,Compta!$A$1:$A$675,"GRP",Compta!$B$1:$B$675,"6331",Compta!$C$1:$C$675,$A54)+SUMIFS(Compta!$F$1:$F$675,Compta!$A$1:$A$675,"GRP",Compta!$B$1:$B$675,"6333",Compta!$C$1:$C$675,$A54))</f>
        <v/>
      </c>
      <c r="AC54" t="str">
        <f t="shared" si="3"/>
        <v/>
      </c>
      <c r="AD54" t="str">
        <f t="shared" si="4"/>
        <v/>
      </c>
      <c r="AE54" t="str">
        <f t="shared" si="5"/>
        <v/>
      </c>
      <c r="AF54" t="str">
        <f t="shared" si="6"/>
        <v/>
      </c>
      <c r="AG54" t="str">
        <f t="shared" si="7"/>
        <v/>
      </c>
      <c r="AH54" t="str">
        <f t="shared" si="8"/>
        <v/>
      </c>
      <c r="AI54" t="str">
        <f t="shared" si="9"/>
        <v/>
      </c>
      <c r="AJ54" t="str">
        <f t="shared" si="10"/>
        <v/>
      </c>
      <c r="AK54" t="str">
        <f t="shared" si="11"/>
        <v/>
      </c>
      <c r="AL54" t="str">
        <f t="shared" si="12"/>
        <v/>
      </c>
      <c r="AM54" t="str">
        <f t="shared" si="13"/>
        <v/>
      </c>
      <c r="AN54" t="str">
        <f t="shared" si="14"/>
        <v/>
      </c>
      <c r="AO54" t="str">
        <f>IF($A54="","",SUMIFS(Compta!$F$1:$F$675,Compta!$A$1:$A$675,"GRP",Compta!$B$1:$B$675,"6236",Compta!$C$1:$C$675,$A54))</f>
        <v/>
      </c>
      <c r="AP54" t="str">
        <f t="shared" si="15"/>
        <v/>
      </c>
      <c r="AQ54" t="str">
        <f t="shared" si="16"/>
        <v/>
      </c>
      <c r="AR54" t="str">
        <f t="shared" si="17"/>
        <v/>
      </c>
    </row>
    <row r="55" spans="1:44" x14ac:dyDescent="0.45">
      <c r="A55" t="str">
        <f>IF(Allocation!C55="","",Allocation!C55)</f>
        <v/>
      </c>
      <c r="B55" t="str">
        <f>IF(Allocation!D55="","",Allocation!D55)</f>
        <v/>
      </c>
      <c r="C55" t="str">
        <f>IF(Allocation!E55="","",Allocation!E55)</f>
        <v/>
      </c>
      <c r="D55" t="str">
        <f>IF(Allocation!F55="","",Allocation!F55)</f>
        <v/>
      </c>
      <c r="E55" t="str">
        <f>IF(Allocation!G55="","",Allocation!G55)</f>
        <v/>
      </c>
      <c r="F55" t="str">
        <f>IF(Allocation!H55="","",Allocation!H55)</f>
        <v/>
      </c>
      <c r="G55" t="str">
        <f>IF(Allocation!D55="","",Allocation!I55)</f>
        <v/>
      </c>
      <c r="H55" t="str">
        <f>IF(Allocation!D55="","",Allocation!J55)</f>
        <v/>
      </c>
      <c r="I55" t="str">
        <f>IF(Allocation!D55="","",Allocation!K55)</f>
        <v/>
      </c>
      <c r="J55" t="str">
        <f>IF($A55="","",SUMIFS(Socle!$K$1:$K$1000,Socle!$C$1:$C$1000,$B55,Socle!$D$1:$D$1000,$D55,Socle!$E$1:$E$1000,$E55,Socle!$F$1:$F$1000,$F55,Socle!$G$1:$G$1000,$A55))</f>
        <v/>
      </c>
      <c r="K55" t="str">
        <f t="shared" si="0"/>
        <v/>
      </c>
      <c r="L55" t="str">
        <f>IF($A55="","",SUMIFS(Allocation!$I$1:$I$175,Allocation!$C$1:$C$175,$A55,Allocation!$D$1:$D$175,$B55))</f>
        <v/>
      </c>
      <c r="M55" t="str">
        <f>IF($A55="","",SUMIFS(Allocation!$J$1:$J$175,Allocation!$C$1:$C$175,$A55,Allocation!$D$1:$D$175,$B55))</f>
        <v/>
      </c>
      <c r="N55" t="str">
        <f>IF($A55="","",SUMIFS(Allocation!$K$1:$K$175,Allocation!$C$1:$C$175,$A55,Allocation!$D$1:$D$175,$B55))</f>
        <v/>
      </c>
      <c r="O55" t="str">
        <f t="shared" si="1"/>
        <v/>
      </c>
      <c r="P55" t="str">
        <f t="shared" si="2"/>
        <v/>
      </c>
      <c r="Q55" t="str">
        <f>IF($A55="","",SUMIFS(Allocation!$I$1:$I$175,Allocation!$C$1:$C$175,$A55,Allocation!$E$1:$E$175,$C55))</f>
        <v/>
      </c>
      <c r="R55" t="str">
        <f>IF($A55="","",SUMIFS(Allocation!$J$1:$J$175,Allocation!$C$1:$C$175,$A55,Allocation!$E$1:$E$175,$C55))</f>
        <v/>
      </c>
      <c r="S55" t="str">
        <f>IF($A55="","",SUMIFS(Allocation!$K$1:$K$175,Allocation!$C$1:$C$175,$A55,Allocation!$E$1:$E$175,$C55))</f>
        <v/>
      </c>
      <c r="T55" t="str">
        <f>IF($A55="","",SUMIFS(Allocation!$I$1:$I$175,Allocation!$C$1:$C$175,$A55))</f>
        <v/>
      </c>
      <c r="U55" t="str">
        <f>IF($A55="","",SUMIFS(Allocation!$J$1:$J$175,Allocation!$C$1:$C$175,$A55))</f>
        <v/>
      </c>
      <c r="V55" t="str">
        <f>IF($A55="","",SUMIFS(Allocation!$K$1:$K$175,Allocation!$C$1:$C$175,$A55))</f>
        <v/>
      </c>
      <c r="W55" t="str">
        <f>IF($A55="","",SUMIFS(Compta!$F$1:$F$675,Compta!$A$1:$A$675,$B55,Compta!$B$1:$B$675,"621",Compta!$C$1:$C$675,$A55))</f>
        <v/>
      </c>
      <c r="X55" t="str">
        <f>IF($A55="","",SUMIFS(Compta!$F$1:$F$675,Compta!$A$1:$A$675,$B55,Compta!$B$1:$B$675,"6411",Compta!$C$1:$C$675,$A55))</f>
        <v/>
      </c>
      <c r="Y55" t="str">
        <f>IF($A55="","",SUMIFS(Compta!$F$1:$F$675,Compta!$A$1:$A$675,$B55,Compta!$B$1:$B$675,"604",Compta!$C$1:$C$675,$A55)+SUMIFS(Compta!$F$1:$F$675,Compta!$A$1:$A$675,$B55,Compta!$B$1:$B$675,"6063",Compta!$C$1:$C$675,$A55))</f>
        <v/>
      </c>
      <c r="Z55" t="str">
        <f>IF($A55="","",SUMIFS(Compta!$F$1:$F$675,Compta!$A$1:$A$675,$B55,Compta!$B$1:$B$675,"6231",Compta!$C$1:$C$675,$A55))</f>
        <v/>
      </c>
      <c r="AA55" t="str">
        <f>IF($A55="","",SUMIFS(Compta!$F$1:$F$675,Compta!$A$1:$A$675,$B55,Compta!$B$1:$B$675,"6413",Compta!$C$1:$C$675,$A55)+SUMIFS(Compta!$F$1:$F$675,Compta!$A$1:$A$675,$B55,Compta!$B$1:$B$675,"645",Compta!$C$1:$C$675,$A55)+SUMIFS(Compta!$F$1:$F$675,Compta!$A$1:$A$675,$B55,Compta!$B$1:$B$675,"613",Compta!$C$1:$C$675,$A55)+SUMIFS(Compta!$F$1:$F$675,Compta!$A$1:$A$675,$B55,Compta!$B$1:$B$675,"615",Compta!$C$1:$C$675,$A55)+SUMIFS(Compta!$F$1:$F$675,Compta!$A$1:$A$675,$B55,Compta!$B$1:$B$675,"616",Compta!$C$1:$C$675,$A55)+SUMIFS(Compta!$F$1:$F$675,Compta!$A$1:$A$675,$B55,Compta!$B$1:$B$675,"625",Compta!$C$1:$C$675,$A55)+SUMIFS(Compta!$F$1:$F$675,Compta!$A$1:$A$675,$B55,Compta!$B$1:$B$675,"63511",Compta!$C$1:$C$675,$A55))</f>
        <v/>
      </c>
      <c r="AB55" t="str">
        <f>IF($A55="","",SUMIFS(Compta!$F$1:$F$675,Compta!$A$1:$A$675,"GRP",Compta!$B$1:$B$675,"6414",Compta!$C$1:$C$675,$A55)+SUMIFS(Compta!$F$1:$F$675,Compta!$A$1:$A$675,"GRP",Compta!$B$1:$B$675,"6226",Compta!$C$1:$C$675,$A55)+SUMIFS(Compta!$F$1:$F$675,Compta!$A$1:$A$675,"GRP",Compta!$B$1:$B$675,"626",Compta!$C$1:$C$675,$A55)+SUMIFS(Compta!$F$1:$F$675,Compta!$A$1:$A$675,"GRP",Compta!$B$1:$B$675,"6281",Compta!$C$1:$C$675,$A55)+SUMIFS(Compta!$F$1:$F$675,Compta!$A$1:$A$675,"GRP",Compta!$B$1:$B$675,"6331",Compta!$C$1:$C$675,$A55)+SUMIFS(Compta!$F$1:$F$675,Compta!$A$1:$A$675,"GRP",Compta!$B$1:$B$675,"6333",Compta!$C$1:$C$675,$A55))</f>
        <v/>
      </c>
      <c r="AC55" t="str">
        <f t="shared" si="3"/>
        <v/>
      </c>
      <c r="AD55" t="str">
        <f t="shared" si="4"/>
        <v/>
      </c>
      <c r="AE55" t="str">
        <f t="shared" si="5"/>
        <v/>
      </c>
      <c r="AF55" t="str">
        <f t="shared" si="6"/>
        <v/>
      </c>
      <c r="AG55" t="str">
        <f t="shared" si="7"/>
        <v/>
      </c>
      <c r="AH55" t="str">
        <f t="shared" si="8"/>
        <v/>
      </c>
      <c r="AI55" t="str">
        <f t="shared" si="9"/>
        <v/>
      </c>
      <c r="AJ55" t="str">
        <f t="shared" si="10"/>
        <v/>
      </c>
      <c r="AK55" t="str">
        <f t="shared" si="11"/>
        <v/>
      </c>
      <c r="AL55" t="str">
        <f t="shared" si="12"/>
        <v/>
      </c>
      <c r="AM55" t="str">
        <f t="shared" si="13"/>
        <v/>
      </c>
      <c r="AN55" t="str">
        <f t="shared" si="14"/>
        <v/>
      </c>
      <c r="AO55" t="str">
        <f>IF($A55="","",SUMIFS(Compta!$F$1:$F$675,Compta!$A$1:$A$675,"GRP",Compta!$B$1:$B$675,"6236",Compta!$C$1:$C$675,$A55))</f>
        <v/>
      </c>
      <c r="AP55" t="str">
        <f t="shared" si="15"/>
        <v/>
      </c>
      <c r="AQ55" t="str">
        <f t="shared" si="16"/>
        <v/>
      </c>
      <c r="AR55" t="str">
        <f t="shared" si="17"/>
        <v/>
      </c>
    </row>
    <row r="56" spans="1:44" x14ac:dyDescent="0.45">
      <c r="A56" t="str">
        <f>IF(Allocation!C56="","",Allocation!C56)</f>
        <v/>
      </c>
      <c r="B56" t="str">
        <f>IF(Allocation!D56="","",Allocation!D56)</f>
        <v/>
      </c>
      <c r="C56" t="str">
        <f>IF(Allocation!E56="","",Allocation!E56)</f>
        <v/>
      </c>
      <c r="D56" t="str">
        <f>IF(Allocation!F56="","",Allocation!F56)</f>
        <v/>
      </c>
      <c r="E56" t="str">
        <f>IF(Allocation!G56="","",Allocation!G56)</f>
        <v/>
      </c>
      <c r="F56" t="str">
        <f>IF(Allocation!H56="","",Allocation!H56)</f>
        <v/>
      </c>
      <c r="G56" t="str">
        <f>IF(Allocation!D56="","",Allocation!I56)</f>
        <v/>
      </c>
      <c r="H56" t="str">
        <f>IF(Allocation!D56="","",Allocation!J56)</f>
        <v/>
      </c>
      <c r="I56" t="str">
        <f>IF(Allocation!D56="","",Allocation!K56)</f>
        <v/>
      </c>
      <c r="J56" t="str">
        <f>IF($A56="","",SUMIFS(Socle!$K$1:$K$1000,Socle!$C$1:$C$1000,$B56,Socle!$D$1:$D$1000,$D56,Socle!$E$1:$E$1000,$E56,Socle!$F$1:$F$1000,$F56,Socle!$G$1:$G$1000,$A56))</f>
        <v/>
      </c>
      <c r="K56" t="str">
        <f t="shared" si="0"/>
        <v/>
      </c>
      <c r="L56" t="str">
        <f>IF($A56="","",SUMIFS(Allocation!$I$1:$I$175,Allocation!$C$1:$C$175,$A56,Allocation!$D$1:$D$175,$B56))</f>
        <v/>
      </c>
      <c r="M56" t="str">
        <f>IF($A56="","",SUMIFS(Allocation!$J$1:$J$175,Allocation!$C$1:$C$175,$A56,Allocation!$D$1:$D$175,$B56))</f>
        <v/>
      </c>
      <c r="N56" t="str">
        <f>IF($A56="","",SUMIFS(Allocation!$K$1:$K$175,Allocation!$C$1:$C$175,$A56,Allocation!$D$1:$D$175,$B56))</f>
        <v/>
      </c>
      <c r="O56" t="str">
        <f t="shared" si="1"/>
        <v/>
      </c>
      <c r="P56" t="str">
        <f t="shared" si="2"/>
        <v/>
      </c>
      <c r="Q56" t="str">
        <f>IF($A56="","",SUMIFS(Allocation!$I$1:$I$175,Allocation!$C$1:$C$175,$A56,Allocation!$E$1:$E$175,$C56))</f>
        <v/>
      </c>
      <c r="R56" t="str">
        <f>IF($A56="","",SUMIFS(Allocation!$J$1:$J$175,Allocation!$C$1:$C$175,$A56,Allocation!$E$1:$E$175,$C56))</f>
        <v/>
      </c>
      <c r="S56" t="str">
        <f>IF($A56="","",SUMIFS(Allocation!$K$1:$K$175,Allocation!$C$1:$C$175,$A56,Allocation!$E$1:$E$175,$C56))</f>
        <v/>
      </c>
      <c r="T56" t="str">
        <f>IF($A56="","",SUMIFS(Allocation!$I$1:$I$175,Allocation!$C$1:$C$175,$A56))</f>
        <v/>
      </c>
      <c r="U56" t="str">
        <f>IF($A56="","",SUMIFS(Allocation!$J$1:$J$175,Allocation!$C$1:$C$175,$A56))</f>
        <v/>
      </c>
      <c r="V56" t="str">
        <f>IF($A56="","",SUMIFS(Allocation!$K$1:$K$175,Allocation!$C$1:$C$175,$A56))</f>
        <v/>
      </c>
      <c r="W56" t="str">
        <f>IF($A56="","",SUMIFS(Compta!$F$1:$F$675,Compta!$A$1:$A$675,$B56,Compta!$B$1:$B$675,"621",Compta!$C$1:$C$675,$A56))</f>
        <v/>
      </c>
      <c r="X56" t="str">
        <f>IF($A56="","",SUMIFS(Compta!$F$1:$F$675,Compta!$A$1:$A$675,$B56,Compta!$B$1:$B$675,"6411",Compta!$C$1:$C$675,$A56))</f>
        <v/>
      </c>
      <c r="Y56" t="str">
        <f>IF($A56="","",SUMIFS(Compta!$F$1:$F$675,Compta!$A$1:$A$675,$B56,Compta!$B$1:$B$675,"604",Compta!$C$1:$C$675,$A56)+SUMIFS(Compta!$F$1:$F$675,Compta!$A$1:$A$675,$B56,Compta!$B$1:$B$675,"6063",Compta!$C$1:$C$675,$A56))</f>
        <v/>
      </c>
      <c r="Z56" t="str">
        <f>IF($A56="","",SUMIFS(Compta!$F$1:$F$675,Compta!$A$1:$A$675,$B56,Compta!$B$1:$B$675,"6231",Compta!$C$1:$C$675,$A56))</f>
        <v/>
      </c>
      <c r="AA56" t="str">
        <f>IF($A56="","",SUMIFS(Compta!$F$1:$F$675,Compta!$A$1:$A$675,$B56,Compta!$B$1:$B$675,"6413",Compta!$C$1:$C$675,$A56)+SUMIFS(Compta!$F$1:$F$675,Compta!$A$1:$A$675,$B56,Compta!$B$1:$B$675,"645",Compta!$C$1:$C$675,$A56)+SUMIFS(Compta!$F$1:$F$675,Compta!$A$1:$A$675,$B56,Compta!$B$1:$B$675,"613",Compta!$C$1:$C$675,$A56)+SUMIFS(Compta!$F$1:$F$675,Compta!$A$1:$A$675,$B56,Compta!$B$1:$B$675,"615",Compta!$C$1:$C$675,$A56)+SUMIFS(Compta!$F$1:$F$675,Compta!$A$1:$A$675,$B56,Compta!$B$1:$B$675,"616",Compta!$C$1:$C$675,$A56)+SUMIFS(Compta!$F$1:$F$675,Compta!$A$1:$A$675,$B56,Compta!$B$1:$B$675,"625",Compta!$C$1:$C$675,$A56)+SUMIFS(Compta!$F$1:$F$675,Compta!$A$1:$A$675,$B56,Compta!$B$1:$B$675,"63511",Compta!$C$1:$C$675,$A56))</f>
        <v/>
      </c>
      <c r="AB56" t="str">
        <f>IF($A56="","",SUMIFS(Compta!$F$1:$F$675,Compta!$A$1:$A$675,"GRP",Compta!$B$1:$B$675,"6414",Compta!$C$1:$C$675,$A56)+SUMIFS(Compta!$F$1:$F$675,Compta!$A$1:$A$675,"GRP",Compta!$B$1:$B$675,"6226",Compta!$C$1:$C$675,$A56)+SUMIFS(Compta!$F$1:$F$675,Compta!$A$1:$A$675,"GRP",Compta!$B$1:$B$675,"626",Compta!$C$1:$C$675,$A56)+SUMIFS(Compta!$F$1:$F$675,Compta!$A$1:$A$675,"GRP",Compta!$B$1:$B$675,"6281",Compta!$C$1:$C$675,$A56)+SUMIFS(Compta!$F$1:$F$675,Compta!$A$1:$A$675,"GRP",Compta!$B$1:$B$675,"6331",Compta!$C$1:$C$675,$A56)+SUMIFS(Compta!$F$1:$F$675,Compta!$A$1:$A$675,"GRP",Compta!$B$1:$B$675,"6333",Compta!$C$1:$C$675,$A56))</f>
        <v/>
      </c>
      <c r="AC56" t="str">
        <f t="shared" si="3"/>
        <v/>
      </c>
      <c r="AD56" t="str">
        <f t="shared" si="4"/>
        <v/>
      </c>
      <c r="AE56" t="str">
        <f t="shared" si="5"/>
        <v/>
      </c>
      <c r="AF56" t="str">
        <f t="shared" si="6"/>
        <v/>
      </c>
      <c r="AG56" t="str">
        <f t="shared" si="7"/>
        <v/>
      </c>
      <c r="AH56" t="str">
        <f t="shared" si="8"/>
        <v/>
      </c>
      <c r="AI56" t="str">
        <f t="shared" si="9"/>
        <v/>
      </c>
      <c r="AJ56" t="str">
        <f t="shared" si="10"/>
        <v/>
      </c>
      <c r="AK56" t="str">
        <f t="shared" si="11"/>
        <v/>
      </c>
      <c r="AL56" t="str">
        <f t="shared" si="12"/>
        <v/>
      </c>
      <c r="AM56" t="str">
        <f t="shared" si="13"/>
        <v/>
      </c>
      <c r="AN56" t="str">
        <f t="shared" si="14"/>
        <v/>
      </c>
      <c r="AO56" t="str">
        <f>IF($A56="","",SUMIFS(Compta!$F$1:$F$675,Compta!$A$1:$A$675,"GRP",Compta!$B$1:$B$675,"6236",Compta!$C$1:$C$675,$A56))</f>
        <v/>
      </c>
      <c r="AP56" t="str">
        <f t="shared" si="15"/>
        <v/>
      </c>
      <c r="AQ56" t="str">
        <f t="shared" si="16"/>
        <v/>
      </c>
      <c r="AR56" t="str">
        <f t="shared" si="17"/>
        <v/>
      </c>
    </row>
    <row r="57" spans="1:44" x14ac:dyDescent="0.45">
      <c r="A57" t="str">
        <f>IF(Allocation!C57="","",Allocation!C57)</f>
        <v/>
      </c>
      <c r="B57" t="str">
        <f>IF(Allocation!D57="","",Allocation!D57)</f>
        <v/>
      </c>
      <c r="C57" t="str">
        <f>IF(Allocation!E57="","",Allocation!E57)</f>
        <v/>
      </c>
      <c r="D57" t="str">
        <f>IF(Allocation!F57="","",Allocation!F57)</f>
        <v/>
      </c>
      <c r="E57" t="str">
        <f>IF(Allocation!G57="","",Allocation!G57)</f>
        <v/>
      </c>
      <c r="F57" t="str">
        <f>IF(Allocation!H57="","",Allocation!H57)</f>
        <v/>
      </c>
      <c r="G57" t="str">
        <f>IF(Allocation!D57="","",Allocation!I57)</f>
        <v/>
      </c>
      <c r="H57" t="str">
        <f>IF(Allocation!D57="","",Allocation!J57)</f>
        <v/>
      </c>
      <c r="I57" t="str">
        <f>IF(Allocation!D57="","",Allocation!K57)</f>
        <v/>
      </c>
      <c r="J57" t="str">
        <f>IF($A57="","",SUMIFS(Socle!$K$1:$K$1000,Socle!$C$1:$C$1000,$B57,Socle!$D$1:$D$1000,$D57,Socle!$E$1:$E$1000,$E57,Socle!$F$1:$F$1000,$F57,Socle!$G$1:$G$1000,$A57))</f>
        <v/>
      </c>
      <c r="K57" t="str">
        <f t="shared" si="0"/>
        <v/>
      </c>
      <c r="L57" t="str">
        <f>IF($A57="","",SUMIFS(Allocation!$I$1:$I$175,Allocation!$C$1:$C$175,$A57,Allocation!$D$1:$D$175,$B57))</f>
        <v/>
      </c>
      <c r="M57" t="str">
        <f>IF($A57="","",SUMIFS(Allocation!$J$1:$J$175,Allocation!$C$1:$C$175,$A57,Allocation!$D$1:$D$175,$B57))</f>
        <v/>
      </c>
      <c r="N57" t="str">
        <f>IF($A57="","",SUMIFS(Allocation!$K$1:$K$175,Allocation!$C$1:$C$175,$A57,Allocation!$D$1:$D$175,$B57))</f>
        <v/>
      </c>
      <c r="O57" t="str">
        <f t="shared" si="1"/>
        <v/>
      </c>
      <c r="P57" t="str">
        <f t="shared" si="2"/>
        <v/>
      </c>
      <c r="Q57" t="str">
        <f>IF($A57="","",SUMIFS(Allocation!$I$1:$I$175,Allocation!$C$1:$C$175,$A57,Allocation!$E$1:$E$175,$C57))</f>
        <v/>
      </c>
      <c r="R57" t="str">
        <f>IF($A57="","",SUMIFS(Allocation!$J$1:$J$175,Allocation!$C$1:$C$175,$A57,Allocation!$E$1:$E$175,$C57))</f>
        <v/>
      </c>
      <c r="S57" t="str">
        <f>IF($A57="","",SUMIFS(Allocation!$K$1:$K$175,Allocation!$C$1:$C$175,$A57,Allocation!$E$1:$E$175,$C57))</f>
        <v/>
      </c>
      <c r="T57" t="str">
        <f>IF($A57="","",SUMIFS(Allocation!$I$1:$I$175,Allocation!$C$1:$C$175,$A57))</f>
        <v/>
      </c>
      <c r="U57" t="str">
        <f>IF($A57="","",SUMIFS(Allocation!$J$1:$J$175,Allocation!$C$1:$C$175,$A57))</f>
        <v/>
      </c>
      <c r="V57" t="str">
        <f>IF($A57="","",SUMIFS(Allocation!$K$1:$K$175,Allocation!$C$1:$C$175,$A57))</f>
        <v/>
      </c>
      <c r="W57" t="str">
        <f>IF($A57="","",SUMIFS(Compta!$F$1:$F$675,Compta!$A$1:$A$675,$B57,Compta!$B$1:$B$675,"621",Compta!$C$1:$C$675,$A57))</f>
        <v/>
      </c>
      <c r="X57" t="str">
        <f>IF($A57="","",SUMIFS(Compta!$F$1:$F$675,Compta!$A$1:$A$675,$B57,Compta!$B$1:$B$675,"6411",Compta!$C$1:$C$675,$A57))</f>
        <v/>
      </c>
      <c r="Y57" t="str">
        <f>IF($A57="","",SUMIFS(Compta!$F$1:$F$675,Compta!$A$1:$A$675,$B57,Compta!$B$1:$B$675,"604",Compta!$C$1:$C$675,$A57)+SUMIFS(Compta!$F$1:$F$675,Compta!$A$1:$A$675,$B57,Compta!$B$1:$B$675,"6063",Compta!$C$1:$C$675,$A57))</f>
        <v/>
      </c>
      <c r="Z57" t="str">
        <f>IF($A57="","",SUMIFS(Compta!$F$1:$F$675,Compta!$A$1:$A$675,$B57,Compta!$B$1:$B$675,"6231",Compta!$C$1:$C$675,$A57))</f>
        <v/>
      </c>
      <c r="AA57" t="str">
        <f>IF($A57="","",SUMIFS(Compta!$F$1:$F$675,Compta!$A$1:$A$675,$B57,Compta!$B$1:$B$675,"6413",Compta!$C$1:$C$675,$A57)+SUMIFS(Compta!$F$1:$F$675,Compta!$A$1:$A$675,$B57,Compta!$B$1:$B$675,"645",Compta!$C$1:$C$675,$A57)+SUMIFS(Compta!$F$1:$F$675,Compta!$A$1:$A$675,$B57,Compta!$B$1:$B$675,"613",Compta!$C$1:$C$675,$A57)+SUMIFS(Compta!$F$1:$F$675,Compta!$A$1:$A$675,$B57,Compta!$B$1:$B$675,"615",Compta!$C$1:$C$675,$A57)+SUMIFS(Compta!$F$1:$F$675,Compta!$A$1:$A$675,$B57,Compta!$B$1:$B$675,"616",Compta!$C$1:$C$675,$A57)+SUMIFS(Compta!$F$1:$F$675,Compta!$A$1:$A$675,$B57,Compta!$B$1:$B$675,"625",Compta!$C$1:$C$675,$A57)+SUMIFS(Compta!$F$1:$F$675,Compta!$A$1:$A$675,$B57,Compta!$B$1:$B$675,"63511",Compta!$C$1:$C$675,$A57))</f>
        <v/>
      </c>
      <c r="AB57" t="str">
        <f>IF($A57="","",SUMIFS(Compta!$F$1:$F$675,Compta!$A$1:$A$675,"GRP",Compta!$B$1:$B$675,"6414",Compta!$C$1:$C$675,$A57)+SUMIFS(Compta!$F$1:$F$675,Compta!$A$1:$A$675,"GRP",Compta!$B$1:$B$675,"6226",Compta!$C$1:$C$675,$A57)+SUMIFS(Compta!$F$1:$F$675,Compta!$A$1:$A$675,"GRP",Compta!$B$1:$B$675,"626",Compta!$C$1:$C$675,$A57)+SUMIFS(Compta!$F$1:$F$675,Compta!$A$1:$A$675,"GRP",Compta!$B$1:$B$675,"6281",Compta!$C$1:$C$675,$A57)+SUMIFS(Compta!$F$1:$F$675,Compta!$A$1:$A$675,"GRP",Compta!$B$1:$B$675,"6331",Compta!$C$1:$C$675,$A57)+SUMIFS(Compta!$F$1:$F$675,Compta!$A$1:$A$675,"GRP",Compta!$B$1:$B$675,"6333",Compta!$C$1:$C$675,$A57))</f>
        <v/>
      </c>
      <c r="AC57" t="str">
        <f t="shared" si="3"/>
        <v/>
      </c>
      <c r="AD57" t="str">
        <f t="shared" si="4"/>
        <v/>
      </c>
      <c r="AE57" t="str">
        <f t="shared" si="5"/>
        <v/>
      </c>
      <c r="AF57" t="str">
        <f t="shared" si="6"/>
        <v/>
      </c>
      <c r="AG57" t="str">
        <f t="shared" si="7"/>
        <v/>
      </c>
      <c r="AH57" t="str">
        <f t="shared" si="8"/>
        <v/>
      </c>
      <c r="AI57" t="str">
        <f t="shared" si="9"/>
        <v/>
      </c>
      <c r="AJ57" t="str">
        <f t="shared" si="10"/>
        <v/>
      </c>
      <c r="AK57" t="str">
        <f t="shared" si="11"/>
        <v/>
      </c>
      <c r="AL57" t="str">
        <f t="shared" si="12"/>
        <v/>
      </c>
      <c r="AM57" t="str">
        <f t="shared" si="13"/>
        <v/>
      </c>
      <c r="AN57" t="str">
        <f t="shared" si="14"/>
        <v/>
      </c>
      <c r="AO57" t="str">
        <f>IF($A57="","",SUMIFS(Compta!$F$1:$F$675,Compta!$A$1:$A$675,"GRP",Compta!$B$1:$B$675,"6236",Compta!$C$1:$C$675,$A57))</f>
        <v/>
      </c>
      <c r="AP57" t="str">
        <f t="shared" si="15"/>
        <v/>
      </c>
      <c r="AQ57" t="str">
        <f t="shared" si="16"/>
        <v/>
      </c>
      <c r="AR57" t="str">
        <f t="shared" si="17"/>
        <v/>
      </c>
    </row>
    <row r="58" spans="1:44" x14ac:dyDescent="0.45">
      <c r="A58" t="str">
        <f>IF(Allocation!C58="","",Allocation!C58)</f>
        <v/>
      </c>
      <c r="B58" t="str">
        <f>IF(Allocation!D58="","",Allocation!D58)</f>
        <v/>
      </c>
      <c r="C58" t="str">
        <f>IF(Allocation!E58="","",Allocation!E58)</f>
        <v/>
      </c>
      <c r="D58" t="str">
        <f>IF(Allocation!F58="","",Allocation!F58)</f>
        <v/>
      </c>
      <c r="E58" t="str">
        <f>IF(Allocation!G58="","",Allocation!G58)</f>
        <v/>
      </c>
      <c r="F58" t="str">
        <f>IF(Allocation!H58="","",Allocation!H58)</f>
        <v/>
      </c>
      <c r="G58" t="str">
        <f>IF(Allocation!D58="","",Allocation!I58)</f>
        <v/>
      </c>
      <c r="H58" t="str">
        <f>IF(Allocation!D58="","",Allocation!J58)</f>
        <v/>
      </c>
      <c r="I58" t="str">
        <f>IF(Allocation!D58="","",Allocation!K58)</f>
        <v/>
      </c>
      <c r="J58" t="str">
        <f>IF($A58="","",SUMIFS(Socle!$K$1:$K$1000,Socle!$C$1:$C$1000,$B58,Socle!$D$1:$D$1000,$D58,Socle!$E$1:$E$1000,$E58,Socle!$F$1:$F$1000,$F58,Socle!$G$1:$G$1000,$A58))</f>
        <v/>
      </c>
      <c r="K58" t="str">
        <f t="shared" si="0"/>
        <v/>
      </c>
      <c r="L58" t="str">
        <f>IF($A58="","",SUMIFS(Allocation!$I$1:$I$175,Allocation!$C$1:$C$175,$A58,Allocation!$D$1:$D$175,$B58))</f>
        <v/>
      </c>
      <c r="M58" t="str">
        <f>IF($A58="","",SUMIFS(Allocation!$J$1:$J$175,Allocation!$C$1:$C$175,$A58,Allocation!$D$1:$D$175,$B58))</f>
        <v/>
      </c>
      <c r="N58" t="str">
        <f>IF($A58="","",SUMIFS(Allocation!$K$1:$K$175,Allocation!$C$1:$C$175,$A58,Allocation!$D$1:$D$175,$B58))</f>
        <v/>
      </c>
      <c r="O58" t="str">
        <f t="shared" si="1"/>
        <v/>
      </c>
      <c r="P58" t="str">
        <f t="shared" si="2"/>
        <v/>
      </c>
      <c r="Q58" t="str">
        <f>IF($A58="","",SUMIFS(Allocation!$I$1:$I$175,Allocation!$C$1:$C$175,$A58,Allocation!$E$1:$E$175,$C58))</f>
        <v/>
      </c>
      <c r="R58" t="str">
        <f>IF($A58="","",SUMIFS(Allocation!$J$1:$J$175,Allocation!$C$1:$C$175,$A58,Allocation!$E$1:$E$175,$C58))</f>
        <v/>
      </c>
      <c r="S58" t="str">
        <f>IF($A58="","",SUMIFS(Allocation!$K$1:$K$175,Allocation!$C$1:$C$175,$A58,Allocation!$E$1:$E$175,$C58))</f>
        <v/>
      </c>
      <c r="T58" t="str">
        <f>IF($A58="","",SUMIFS(Allocation!$I$1:$I$175,Allocation!$C$1:$C$175,$A58))</f>
        <v/>
      </c>
      <c r="U58" t="str">
        <f>IF($A58="","",SUMIFS(Allocation!$J$1:$J$175,Allocation!$C$1:$C$175,$A58))</f>
        <v/>
      </c>
      <c r="V58" t="str">
        <f>IF($A58="","",SUMIFS(Allocation!$K$1:$K$175,Allocation!$C$1:$C$175,$A58))</f>
        <v/>
      </c>
      <c r="W58" t="str">
        <f>IF($A58="","",SUMIFS(Compta!$F$1:$F$675,Compta!$A$1:$A$675,$B58,Compta!$B$1:$B$675,"621",Compta!$C$1:$C$675,$A58))</f>
        <v/>
      </c>
      <c r="X58" t="str">
        <f>IF($A58="","",SUMIFS(Compta!$F$1:$F$675,Compta!$A$1:$A$675,$B58,Compta!$B$1:$B$675,"6411",Compta!$C$1:$C$675,$A58))</f>
        <v/>
      </c>
      <c r="Y58" t="str">
        <f>IF($A58="","",SUMIFS(Compta!$F$1:$F$675,Compta!$A$1:$A$675,$B58,Compta!$B$1:$B$675,"604",Compta!$C$1:$C$675,$A58)+SUMIFS(Compta!$F$1:$F$675,Compta!$A$1:$A$675,$B58,Compta!$B$1:$B$675,"6063",Compta!$C$1:$C$675,$A58))</f>
        <v/>
      </c>
      <c r="Z58" t="str">
        <f>IF($A58="","",SUMIFS(Compta!$F$1:$F$675,Compta!$A$1:$A$675,$B58,Compta!$B$1:$B$675,"6231",Compta!$C$1:$C$675,$A58))</f>
        <v/>
      </c>
      <c r="AA58" t="str">
        <f>IF($A58="","",SUMIFS(Compta!$F$1:$F$675,Compta!$A$1:$A$675,$B58,Compta!$B$1:$B$675,"6413",Compta!$C$1:$C$675,$A58)+SUMIFS(Compta!$F$1:$F$675,Compta!$A$1:$A$675,$B58,Compta!$B$1:$B$675,"645",Compta!$C$1:$C$675,$A58)+SUMIFS(Compta!$F$1:$F$675,Compta!$A$1:$A$675,$B58,Compta!$B$1:$B$675,"613",Compta!$C$1:$C$675,$A58)+SUMIFS(Compta!$F$1:$F$675,Compta!$A$1:$A$675,$B58,Compta!$B$1:$B$675,"615",Compta!$C$1:$C$675,$A58)+SUMIFS(Compta!$F$1:$F$675,Compta!$A$1:$A$675,$B58,Compta!$B$1:$B$675,"616",Compta!$C$1:$C$675,$A58)+SUMIFS(Compta!$F$1:$F$675,Compta!$A$1:$A$675,$B58,Compta!$B$1:$B$675,"625",Compta!$C$1:$C$675,$A58)+SUMIFS(Compta!$F$1:$F$675,Compta!$A$1:$A$675,$B58,Compta!$B$1:$B$675,"63511",Compta!$C$1:$C$675,$A58))</f>
        <v/>
      </c>
      <c r="AB58" t="str">
        <f>IF($A58="","",SUMIFS(Compta!$F$1:$F$675,Compta!$A$1:$A$675,"GRP",Compta!$B$1:$B$675,"6414",Compta!$C$1:$C$675,$A58)+SUMIFS(Compta!$F$1:$F$675,Compta!$A$1:$A$675,"GRP",Compta!$B$1:$B$675,"6226",Compta!$C$1:$C$675,$A58)+SUMIFS(Compta!$F$1:$F$675,Compta!$A$1:$A$675,"GRP",Compta!$B$1:$B$675,"626",Compta!$C$1:$C$675,$A58)+SUMIFS(Compta!$F$1:$F$675,Compta!$A$1:$A$675,"GRP",Compta!$B$1:$B$675,"6281",Compta!$C$1:$C$675,$A58)+SUMIFS(Compta!$F$1:$F$675,Compta!$A$1:$A$675,"GRP",Compta!$B$1:$B$675,"6331",Compta!$C$1:$C$675,$A58)+SUMIFS(Compta!$F$1:$F$675,Compta!$A$1:$A$675,"GRP",Compta!$B$1:$B$675,"6333",Compta!$C$1:$C$675,$A58))</f>
        <v/>
      </c>
      <c r="AC58" t="str">
        <f t="shared" si="3"/>
        <v/>
      </c>
      <c r="AD58" t="str">
        <f t="shared" si="4"/>
        <v/>
      </c>
      <c r="AE58" t="str">
        <f t="shared" si="5"/>
        <v/>
      </c>
      <c r="AF58" t="str">
        <f t="shared" si="6"/>
        <v/>
      </c>
      <c r="AG58" t="str">
        <f t="shared" si="7"/>
        <v/>
      </c>
      <c r="AH58" t="str">
        <f t="shared" si="8"/>
        <v/>
      </c>
      <c r="AI58" t="str">
        <f t="shared" si="9"/>
        <v/>
      </c>
      <c r="AJ58" t="str">
        <f t="shared" si="10"/>
        <v/>
      </c>
      <c r="AK58" t="str">
        <f t="shared" si="11"/>
        <v/>
      </c>
      <c r="AL58" t="str">
        <f t="shared" si="12"/>
        <v/>
      </c>
      <c r="AM58" t="str">
        <f t="shared" si="13"/>
        <v/>
      </c>
      <c r="AN58" t="str">
        <f t="shared" si="14"/>
        <v/>
      </c>
      <c r="AO58" t="str">
        <f>IF($A58="","",SUMIFS(Compta!$F$1:$F$675,Compta!$A$1:$A$675,"GRP",Compta!$B$1:$B$675,"6236",Compta!$C$1:$C$675,$A58))</f>
        <v/>
      </c>
      <c r="AP58" t="str">
        <f t="shared" si="15"/>
        <v/>
      </c>
      <c r="AQ58" t="str">
        <f t="shared" si="16"/>
        <v/>
      </c>
      <c r="AR58" t="str">
        <f t="shared" si="17"/>
        <v/>
      </c>
    </row>
    <row r="59" spans="1:44" x14ac:dyDescent="0.45">
      <c r="A59" t="str">
        <f>IF(Allocation!C59="","",Allocation!C59)</f>
        <v/>
      </c>
      <c r="B59" t="str">
        <f>IF(Allocation!D59="","",Allocation!D59)</f>
        <v/>
      </c>
      <c r="C59" t="str">
        <f>IF(Allocation!E59="","",Allocation!E59)</f>
        <v/>
      </c>
      <c r="D59" t="str">
        <f>IF(Allocation!F59="","",Allocation!F59)</f>
        <v/>
      </c>
      <c r="E59" t="str">
        <f>IF(Allocation!G59="","",Allocation!G59)</f>
        <v/>
      </c>
      <c r="F59" t="str">
        <f>IF(Allocation!H59="","",Allocation!H59)</f>
        <v/>
      </c>
      <c r="G59" t="str">
        <f>IF(Allocation!D59="","",Allocation!I59)</f>
        <v/>
      </c>
      <c r="H59" t="str">
        <f>IF(Allocation!D59="","",Allocation!J59)</f>
        <v/>
      </c>
      <c r="I59" t="str">
        <f>IF(Allocation!D59="","",Allocation!K59)</f>
        <v/>
      </c>
      <c r="J59" t="str">
        <f>IF($A59="","",SUMIFS(Socle!$K$1:$K$1000,Socle!$C$1:$C$1000,$B59,Socle!$D$1:$D$1000,$D59,Socle!$E$1:$E$1000,$E59,Socle!$F$1:$F$1000,$F59,Socle!$G$1:$G$1000,$A59))</f>
        <v/>
      </c>
      <c r="K59" t="str">
        <f t="shared" si="0"/>
        <v/>
      </c>
      <c r="L59" t="str">
        <f>IF($A59="","",SUMIFS(Allocation!$I$1:$I$175,Allocation!$C$1:$C$175,$A59,Allocation!$D$1:$D$175,$B59))</f>
        <v/>
      </c>
      <c r="M59" t="str">
        <f>IF($A59="","",SUMIFS(Allocation!$J$1:$J$175,Allocation!$C$1:$C$175,$A59,Allocation!$D$1:$D$175,$B59))</f>
        <v/>
      </c>
      <c r="N59" t="str">
        <f>IF($A59="","",SUMIFS(Allocation!$K$1:$K$175,Allocation!$C$1:$C$175,$A59,Allocation!$D$1:$D$175,$B59))</f>
        <v/>
      </c>
      <c r="O59" t="str">
        <f t="shared" si="1"/>
        <v/>
      </c>
      <c r="P59" t="str">
        <f t="shared" si="2"/>
        <v/>
      </c>
      <c r="Q59" t="str">
        <f>IF($A59="","",SUMIFS(Allocation!$I$1:$I$175,Allocation!$C$1:$C$175,$A59,Allocation!$E$1:$E$175,$C59))</f>
        <v/>
      </c>
      <c r="R59" t="str">
        <f>IF($A59="","",SUMIFS(Allocation!$J$1:$J$175,Allocation!$C$1:$C$175,$A59,Allocation!$E$1:$E$175,$C59))</f>
        <v/>
      </c>
      <c r="S59" t="str">
        <f>IF($A59="","",SUMIFS(Allocation!$K$1:$K$175,Allocation!$C$1:$C$175,$A59,Allocation!$E$1:$E$175,$C59))</f>
        <v/>
      </c>
      <c r="T59" t="str">
        <f>IF($A59="","",SUMIFS(Allocation!$I$1:$I$175,Allocation!$C$1:$C$175,$A59))</f>
        <v/>
      </c>
      <c r="U59" t="str">
        <f>IF($A59="","",SUMIFS(Allocation!$J$1:$J$175,Allocation!$C$1:$C$175,$A59))</f>
        <v/>
      </c>
      <c r="V59" t="str">
        <f>IF($A59="","",SUMIFS(Allocation!$K$1:$K$175,Allocation!$C$1:$C$175,$A59))</f>
        <v/>
      </c>
      <c r="W59" t="str">
        <f>IF($A59="","",SUMIFS(Compta!$F$1:$F$675,Compta!$A$1:$A$675,$B59,Compta!$B$1:$B$675,"621",Compta!$C$1:$C$675,$A59))</f>
        <v/>
      </c>
      <c r="X59" t="str">
        <f>IF($A59="","",SUMIFS(Compta!$F$1:$F$675,Compta!$A$1:$A$675,$B59,Compta!$B$1:$B$675,"6411",Compta!$C$1:$C$675,$A59))</f>
        <v/>
      </c>
      <c r="Y59" t="str">
        <f>IF($A59="","",SUMIFS(Compta!$F$1:$F$675,Compta!$A$1:$A$675,$B59,Compta!$B$1:$B$675,"604",Compta!$C$1:$C$675,$A59)+SUMIFS(Compta!$F$1:$F$675,Compta!$A$1:$A$675,$B59,Compta!$B$1:$B$675,"6063",Compta!$C$1:$C$675,$A59))</f>
        <v/>
      </c>
      <c r="Z59" t="str">
        <f>IF($A59="","",SUMIFS(Compta!$F$1:$F$675,Compta!$A$1:$A$675,$B59,Compta!$B$1:$B$675,"6231",Compta!$C$1:$C$675,$A59))</f>
        <v/>
      </c>
      <c r="AA59" t="str">
        <f>IF($A59="","",SUMIFS(Compta!$F$1:$F$675,Compta!$A$1:$A$675,$B59,Compta!$B$1:$B$675,"6413",Compta!$C$1:$C$675,$A59)+SUMIFS(Compta!$F$1:$F$675,Compta!$A$1:$A$675,$B59,Compta!$B$1:$B$675,"645",Compta!$C$1:$C$675,$A59)+SUMIFS(Compta!$F$1:$F$675,Compta!$A$1:$A$675,$B59,Compta!$B$1:$B$675,"613",Compta!$C$1:$C$675,$A59)+SUMIFS(Compta!$F$1:$F$675,Compta!$A$1:$A$675,$B59,Compta!$B$1:$B$675,"615",Compta!$C$1:$C$675,$A59)+SUMIFS(Compta!$F$1:$F$675,Compta!$A$1:$A$675,$B59,Compta!$B$1:$B$675,"616",Compta!$C$1:$C$675,$A59)+SUMIFS(Compta!$F$1:$F$675,Compta!$A$1:$A$675,$B59,Compta!$B$1:$B$675,"625",Compta!$C$1:$C$675,$A59)+SUMIFS(Compta!$F$1:$F$675,Compta!$A$1:$A$675,$B59,Compta!$B$1:$B$675,"63511",Compta!$C$1:$C$675,$A59))</f>
        <v/>
      </c>
      <c r="AB59" t="str">
        <f>IF($A59="","",SUMIFS(Compta!$F$1:$F$675,Compta!$A$1:$A$675,"GRP",Compta!$B$1:$B$675,"6414",Compta!$C$1:$C$675,$A59)+SUMIFS(Compta!$F$1:$F$675,Compta!$A$1:$A$675,"GRP",Compta!$B$1:$B$675,"6226",Compta!$C$1:$C$675,$A59)+SUMIFS(Compta!$F$1:$F$675,Compta!$A$1:$A$675,"GRP",Compta!$B$1:$B$675,"626",Compta!$C$1:$C$675,$A59)+SUMIFS(Compta!$F$1:$F$675,Compta!$A$1:$A$675,"GRP",Compta!$B$1:$B$675,"6281",Compta!$C$1:$C$675,$A59)+SUMIFS(Compta!$F$1:$F$675,Compta!$A$1:$A$675,"GRP",Compta!$B$1:$B$675,"6331",Compta!$C$1:$C$675,$A59)+SUMIFS(Compta!$F$1:$F$675,Compta!$A$1:$A$675,"GRP",Compta!$B$1:$B$675,"6333",Compta!$C$1:$C$675,$A59))</f>
        <v/>
      </c>
      <c r="AC59" t="str">
        <f t="shared" si="3"/>
        <v/>
      </c>
      <c r="AD59" t="str">
        <f t="shared" si="4"/>
        <v/>
      </c>
      <c r="AE59" t="str">
        <f t="shared" si="5"/>
        <v/>
      </c>
      <c r="AF59" t="str">
        <f t="shared" si="6"/>
        <v/>
      </c>
      <c r="AG59" t="str">
        <f t="shared" si="7"/>
        <v/>
      </c>
      <c r="AH59" t="str">
        <f t="shared" si="8"/>
        <v/>
      </c>
      <c r="AI59" t="str">
        <f t="shared" si="9"/>
        <v/>
      </c>
      <c r="AJ59" t="str">
        <f t="shared" si="10"/>
        <v/>
      </c>
      <c r="AK59" t="str">
        <f t="shared" si="11"/>
        <v/>
      </c>
      <c r="AL59" t="str">
        <f t="shared" si="12"/>
        <v/>
      </c>
      <c r="AM59" t="str">
        <f t="shared" si="13"/>
        <v/>
      </c>
      <c r="AN59" t="str">
        <f t="shared" si="14"/>
        <v/>
      </c>
      <c r="AO59" t="str">
        <f>IF($A59="","",SUMIFS(Compta!$F$1:$F$675,Compta!$A$1:$A$675,"GRP",Compta!$B$1:$B$675,"6236",Compta!$C$1:$C$675,$A59))</f>
        <v/>
      </c>
      <c r="AP59" t="str">
        <f t="shared" si="15"/>
        <v/>
      </c>
      <c r="AQ59" t="str">
        <f t="shared" si="16"/>
        <v/>
      </c>
      <c r="AR59" t="str">
        <f t="shared" si="17"/>
        <v/>
      </c>
    </row>
    <row r="60" spans="1:44" x14ac:dyDescent="0.45">
      <c r="A60" t="str">
        <f>IF(Allocation!C60="","",Allocation!C60)</f>
        <v/>
      </c>
      <c r="B60" t="str">
        <f>IF(Allocation!D60="","",Allocation!D60)</f>
        <v/>
      </c>
      <c r="C60" t="str">
        <f>IF(Allocation!E60="","",Allocation!E60)</f>
        <v/>
      </c>
      <c r="D60" t="str">
        <f>IF(Allocation!F60="","",Allocation!F60)</f>
        <v/>
      </c>
      <c r="E60" t="str">
        <f>IF(Allocation!G60="","",Allocation!G60)</f>
        <v/>
      </c>
      <c r="F60" t="str">
        <f>IF(Allocation!H60="","",Allocation!H60)</f>
        <v/>
      </c>
      <c r="G60" t="str">
        <f>IF(Allocation!D60="","",Allocation!I60)</f>
        <v/>
      </c>
      <c r="H60" t="str">
        <f>IF(Allocation!D60="","",Allocation!J60)</f>
        <v/>
      </c>
      <c r="I60" t="str">
        <f>IF(Allocation!D60="","",Allocation!K60)</f>
        <v/>
      </c>
      <c r="J60" t="str">
        <f>IF($A60="","",SUMIFS(Socle!$K$1:$K$1000,Socle!$C$1:$C$1000,$B60,Socle!$D$1:$D$1000,$D60,Socle!$E$1:$E$1000,$E60,Socle!$F$1:$F$1000,$F60,Socle!$G$1:$G$1000,$A60))</f>
        <v/>
      </c>
      <c r="K60" t="str">
        <f t="shared" si="0"/>
        <v/>
      </c>
      <c r="L60" t="str">
        <f>IF($A60="","",SUMIFS(Allocation!$I$1:$I$175,Allocation!$C$1:$C$175,$A60,Allocation!$D$1:$D$175,$B60))</f>
        <v/>
      </c>
      <c r="M60" t="str">
        <f>IF($A60="","",SUMIFS(Allocation!$J$1:$J$175,Allocation!$C$1:$C$175,$A60,Allocation!$D$1:$D$175,$B60))</f>
        <v/>
      </c>
      <c r="N60" t="str">
        <f>IF($A60="","",SUMIFS(Allocation!$K$1:$K$175,Allocation!$C$1:$C$175,$A60,Allocation!$D$1:$D$175,$B60))</f>
        <v/>
      </c>
      <c r="O60" t="str">
        <f t="shared" si="1"/>
        <v/>
      </c>
      <c r="P60" t="str">
        <f t="shared" si="2"/>
        <v/>
      </c>
      <c r="Q60" t="str">
        <f>IF($A60="","",SUMIFS(Allocation!$I$1:$I$175,Allocation!$C$1:$C$175,$A60,Allocation!$E$1:$E$175,$C60))</f>
        <v/>
      </c>
      <c r="R60" t="str">
        <f>IF($A60="","",SUMIFS(Allocation!$J$1:$J$175,Allocation!$C$1:$C$175,$A60,Allocation!$E$1:$E$175,$C60))</f>
        <v/>
      </c>
      <c r="S60" t="str">
        <f>IF($A60="","",SUMIFS(Allocation!$K$1:$K$175,Allocation!$C$1:$C$175,$A60,Allocation!$E$1:$E$175,$C60))</f>
        <v/>
      </c>
      <c r="T60" t="str">
        <f>IF($A60="","",SUMIFS(Allocation!$I$1:$I$175,Allocation!$C$1:$C$175,$A60))</f>
        <v/>
      </c>
      <c r="U60" t="str">
        <f>IF($A60="","",SUMIFS(Allocation!$J$1:$J$175,Allocation!$C$1:$C$175,$A60))</f>
        <v/>
      </c>
      <c r="V60" t="str">
        <f>IF($A60="","",SUMIFS(Allocation!$K$1:$K$175,Allocation!$C$1:$C$175,$A60))</f>
        <v/>
      </c>
      <c r="W60" t="str">
        <f>IF($A60="","",SUMIFS(Compta!$F$1:$F$675,Compta!$A$1:$A$675,$B60,Compta!$B$1:$B$675,"621",Compta!$C$1:$C$675,$A60))</f>
        <v/>
      </c>
      <c r="X60" t="str">
        <f>IF($A60="","",SUMIFS(Compta!$F$1:$F$675,Compta!$A$1:$A$675,$B60,Compta!$B$1:$B$675,"6411",Compta!$C$1:$C$675,$A60))</f>
        <v/>
      </c>
      <c r="Y60" t="str">
        <f>IF($A60="","",SUMIFS(Compta!$F$1:$F$675,Compta!$A$1:$A$675,$B60,Compta!$B$1:$B$675,"604",Compta!$C$1:$C$675,$A60)+SUMIFS(Compta!$F$1:$F$675,Compta!$A$1:$A$675,$B60,Compta!$B$1:$B$675,"6063",Compta!$C$1:$C$675,$A60))</f>
        <v/>
      </c>
      <c r="Z60" t="str">
        <f>IF($A60="","",SUMIFS(Compta!$F$1:$F$675,Compta!$A$1:$A$675,$B60,Compta!$B$1:$B$675,"6231",Compta!$C$1:$C$675,$A60))</f>
        <v/>
      </c>
      <c r="AA60" t="str">
        <f>IF($A60="","",SUMIFS(Compta!$F$1:$F$675,Compta!$A$1:$A$675,$B60,Compta!$B$1:$B$675,"6413",Compta!$C$1:$C$675,$A60)+SUMIFS(Compta!$F$1:$F$675,Compta!$A$1:$A$675,$B60,Compta!$B$1:$B$675,"645",Compta!$C$1:$C$675,$A60)+SUMIFS(Compta!$F$1:$F$675,Compta!$A$1:$A$675,$B60,Compta!$B$1:$B$675,"613",Compta!$C$1:$C$675,$A60)+SUMIFS(Compta!$F$1:$F$675,Compta!$A$1:$A$675,$B60,Compta!$B$1:$B$675,"615",Compta!$C$1:$C$675,$A60)+SUMIFS(Compta!$F$1:$F$675,Compta!$A$1:$A$675,$B60,Compta!$B$1:$B$675,"616",Compta!$C$1:$C$675,$A60)+SUMIFS(Compta!$F$1:$F$675,Compta!$A$1:$A$675,$B60,Compta!$B$1:$B$675,"625",Compta!$C$1:$C$675,$A60)+SUMIFS(Compta!$F$1:$F$675,Compta!$A$1:$A$675,$B60,Compta!$B$1:$B$675,"63511",Compta!$C$1:$C$675,$A60))</f>
        <v/>
      </c>
      <c r="AB60" t="str">
        <f>IF($A60="","",SUMIFS(Compta!$F$1:$F$675,Compta!$A$1:$A$675,"GRP",Compta!$B$1:$B$675,"6414",Compta!$C$1:$C$675,$A60)+SUMIFS(Compta!$F$1:$F$675,Compta!$A$1:$A$675,"GRP",Compta!$B$1:$B$675,"6226",Compta!$C$1:$C$675,$A60)+SUMIFS(Compta!$F$1:$F$675,Compta!$A$1:$A$675,"GRP",Compta!$B$1:$B$675,"626",Compta!$C$1:$C$675,$A60)+SUMIFS(Compta!$F$1:$F$675,Compta!$A$1:$A$675,"GRP",Compta!$B$1:$B$675,"6281",Compta!$C$1:$C$675,$A60)+SUMIFS(Compta!$F$1:$F$675,Compta!$A$1:$A$675,"GRP",Compta!$B$1:$B$675,"6331",Compta!$C$1:$C$675,$A60)+SUMIFS(Compta!$F$1:$F$675,Compta!$A$1:$A$675,"GRP",Compta!$B$1:$B$675,"6333",Compta!$C$1:$C$675,$A60))</f>
        <v/>
      </c>
      <c r="AC60" t="str">
        <f t="shared" si="3"/>
        <v/>
      </c>
      <c r="AD60" t="str">
        <f t="shared" si="4"/>
        <v/>
      </c>
      <c r="AE60" t="str">
        <f t="shared" si="5"/>
        <v/>
      </c>
      <c r="AF60" t="str">
        <f t="shared" si="6"/>
        <v/>
      </c>
      <c r="AG60" t="str">
        <f t="shared" si="7"/>
        <v/>
      </c>
      <c r="AH60" t="str">
        <f t="shared" si="8"/>
        <v/>
      </c>
      <c r="AI60" t="str">
        <f t="shared" si="9"/>
        <v/>
      </c>
      <c r="AJ60" t="str">
        <f t="shared" si="10"/>
        <v/>
      </c>
      <c r="AK60" t="str">
        <f t="shared" si="11"/>
        <v/>
      </c>
      <c r="AL60" t="str">
        <f t="shared" si="12"/>
        <v/>
      </c>
      <c r="AM60" t="str">
        <f t="shared" si="13"/>
        <v/>
      </c>
      <c r="AN60" t="str">
        <f t="shared" si="14"/>
        <v/>
      </c>
      <c r="AO60" t="str">
        <f>IF($A60="","",SUMIFS(Compta!$F$1:$F$675,Compta!$A$1:$A$675,"GRP",Compta!$B$1:$B$675,"6236",Compta!$C$1:$C$675,$A60))</f>
        <v/>
      </c>
      <c r="AP60" t="str">
        <f t="shared" si="15"/>
        <v/>
      </c>
      <c r="AQ60" t="str">
        <f t="shared" si="16"/>
        <v/>
      </c>
      <c r="AR60" t="str">
        <f t="shared" si="17"/>
        <v/>
      </c>
    </row>
    <row r="61" spans="1:44" x14ac:dyDescent="0.45">
      <c r="A61" t="str">
        <f>IF(Allocation!C61="","",Allocation!C61)</f>
        <v/>
      </c>
      <c r="B61" t="str">
        <f>IF(Allocation!D61="","",Allocation!D61)</f>
        <v/>
      </c>
      <c r="C61" t="str">
        <f>IF(Allocation!E61="","",Allocation!E61)</f>
        <v/>
      </c>
      <c r="D61" t="str">
        <f>IF(Allocation!F61="","",Allocation!F61)</f>
        <v/>
      </c>
      <c r="E61" t="str">
        <f>IF(Allocation!G61="","",Allocation!G61)</f>
        <v/>
      </c>
      <c r="F61" t="str">
        <f>IF(Allocation!H61="","",Allocation!H61)</f>
        <v/>
      </c>
      <c r="G61" t="str">
        <f>IF(Allocation!D61="","",Allocation!I61)</f>
        <v/>
      </c>
      <c r="H61" t="str">
        <f>IF(Allocation!D61="","",Allocation!J61)</f>
        <v/>
      </c>
      <c r="I61" t="str">
        <f>IF(Allocation!D61="","",Allocation!K61)</f>
        <v/>
      </c>
      <c r="J61" t="str">
        <f>IF($A61="","",SUMIFS(Socle!$K$1:$K$1000,Socle!$C$1:$C$1000,$B61,Socle!$D$1:$D$1000,$D61,Socle!$E$1:$E$1000,$E61,Socle!$F$1:$F$1000,$F61,Socle!$G$1:$G$1000,$A61))</f>
        <v/>
      </c>
      <c r="K61" t="str">
        <f t="shared" si="0"/>
        <v/>
      </c>
      <c r="L61" t="str">
        <f>IF($A61="","",SUMIFS(Allocation!$I$1:$I$175,Allocation!$C$1:$C$175,$A61,Allocation!$D$1:$D$175,$B61))</f>
        <v/>
      </c>
      <c r="M61" t="str">
        <f>IF($A61="","",SUMIFS(Allocation!$J$1:$J$175,Allocation!$C$1:$C$175,$A61,Allocation!$D$1:$D$175,$B61))</f>
        <v/>
      </c>
      <c r="N61" t="str">
        <f>IF($A61="","",SUMIFS(Allocation!$K$1:$K$175,Allocation!$C$1:$C$175,$A61,Allocation!$D$1:$D$175,$B61))</f>
        <v/>
      </c>
      <c r="O61" t="str">
        <f t="shared" si="1"/>
        <v/>
      </c>
      <c r="P61" t="str">
        <f t="shared" si="2"/>
        <v/>
      </c>
      <c r="Q61" t="str">
        <f>IF($A61="","",SUMIFS(Allocation!$I$1:$I$175,Allocation!$C$1:$C$175,$A61,Allocation!$E$1:$E$175,$C61))</f>
        <v/>
      </c>
      <c r="R61" t="str">
        <f>IF($A61="","",SUMIFS(Allocation!$J$1:$J$175,Allocation!$C$1:$C$175,$A61,Allocation!$E$1:$E$175,$C61))</f>
        <v/>
      </c>
      <c r="S61" t="str">
        <f>IF($A61="","",SUMIFS(Allocation!$K$1:$K$175,Allocation!$C$1:$C$175,$A61,Allocation!$E$1:$E$175,$C61))</f>
        <v/>
      </c>
      <c r="T61" t="str">
        <f>IF($A61="","",SUMIFS(Allocation!$I$1:$I$175,Allocation!$C$1:$C$175,$A61))</f>
        <v/>
      </c>
      <c r="U61" t="str">
        <f>IF($A61="","",SUMIFS(Allocation!$J$1:$J$175,Allocation!$C$1:$C$175,$A61))</f>
        <v/>
      </c>
      <c r="V61" t="str">
        <f>IF($A61="","",SUMIFS(Allocation!$K$1:$K$175,Allocation!$C$1:$C$175,$A61))</f>
        <v/>
      </c>
      <c r="W61" t="str">
        <f>IF($A61="","",SUMIFS(Compta!$F$1:$F$675,Compta!$A$1:$A$675,$B61,Compta!$B$1:$B$675,"621",Compta!$C$1:$C$675,$A61))</f>
        <v/>
      </c>
      <c r="X61" t="str">
        <f>IF($A61="","",SUMIFS(Compta!$F$1:$F$675,Compta!$A$1:$A$675,$B61,Compta!$B$1:$B$675,"6411",Compta!$C$1:$C$675,$A61))</f>
        <v/>
      </c>
      <c r="Y61" t="str">
        <f>IF($A61="","",SUMIFS(Compta!$F$1:$F$675,Compta!$A$1:$A$675,$B61,Compta!$B$1:$B$675,"604",Compta!$C$1:$C$675,$A61)+SUMIFS(Compta!$F$1:$F$675,Compta!$A$1:$A$675,$B61,Compta!$B$1:$B$675,"6063",Compta!$C$1:$C$675,$A61))</f>
        <v/>
      </c>
      <c r="Z61" t="str">
        <f>IF($A61="","",SUMIFS(Compta!$F$1:$F$675,Compta!$A$1:$A$675,$B61,Compta!$B$1:$B$675,"6231",Compta!$C$1:$C$675,$A61))</f>
        <v/>
      </c>
      <c r="AA61" t="str">
        <f>IF($A61="","",SUMIFS(Compta!$F$1:$F$675,Compta!$A$1:$A$675,$B61,Compta!$B$1:$B$675,"6413",Compta!$C$1:$C$675,$A61)+SUMIFS(Compta!$F$1:$F$675,Compta!$A$1:$A$675,$B61,Compta!$B$1:$B$675,"645",Compta!$C$1:$C$675,$A61)+SUMIFS(Compta!$F$1:$F$675,Compta!$A$1:$A$675,$B61,Compta!$B$1:$B$675,"613",Compta!$C$1:$C$675,$A61)+SUMIFS(Compta!$F$1:$F$675,Compta!$A$1:$A$675,$B61,Compta!$B$1:$B$675,"615",Compta!$C$1:$C$675,$A61)+SUMIFS(Compta!$F$1:$F$675,Compta!$A$1:$A$675,$B61,Compta!$B$1:$B$675,"616",Compta!$C$1:$C$675,$A61)+SUMIFS(Compta!$F$1:$F$675,Compta!$A$1:$A$675,$B61,Compta!$B$1:$B$675,"625",Compta!$C$1:$C$675,$A61)+SUMIFS(Compta!$F$1:$F$675,Compta!$A$1:$A$675,$B61,Compta!$B$1:$B$675,"63511",Compta!$C$1:$C$675,$A61))</f>
        <v/>
      </c>
      <c r="AB61" t="str">
        <f>IF($A61="","",SUMIFS(Compta!$F$1:$F$675,Compta!$A$1:$A$675,"GRP",Compta!$B$1:$B$675,"6414",Compta!$C$1:$C$675,$A61)+SUMIFS(Compta!$F$1:$F$675,Compta!$A$1:$A$675,"GRP",Compta!$B$1:$B$675,"6226",Compta!$C$1:$C$675,$A61)+SUMIFS(Compta!$F$1:$F$675,Compta!$A$1:$A$675,"GRP",Compta!$B$1:$B$675,"626",Compta!$C$1:$C$675,$A61)+SUMIFS(Compta!$F$1:$F$675,Compta!$A$1:$A$675,"GRP",Compta!$B$1:$B$675,"6281",Compta!$C$1:$C$675,$A61)+SUMIFS(Compta!$F$1:$F$675,Compta!$A$1:$A$675,"GRP",Compta!$B$1:$B$675,"6331",Compta!$C$1:$C$675,$A61)+SUMIFS(Compta!$F$1:$F$675,Compta!$A$1:$A$675,"GRP",Compta!$B$1:$B$675,"6333",Compta!$C$1:$C$675,$A61))</f>
        <v/>
      </c>
      <c r="AC61" t="str">
        <f t="shared" si="3"/>
        <v/>
      </c>
      <c r="AD61" t="str">
        <f t="shared" si="4"/>
        <v/>
      </c>
      <c r="AE61" t="str">
        <f t="shared" si="5"/>
        <v/>
      </c>
      <c r="AF61" t="str">
        <f t="shared" si="6"/>
        <v/>
      </c>
      <c r="AG61" t="str">
        <f t="shared" si="7"/>
        <v/>
      </c>
      <c r="AH61" t="str">
        <f t="shared" si="8"/>
        <v/>
      </c>
      <c r="AI61" t="str">
        <f t="shared" si="9"/>
        <v/>
      </c>
      <c r="AJ61" t="str">
        <f t="shared" si="10"/>
        <v/>
      </c>
      <c r="AK61" t="str">
        <f t="shared" si="11"/>
        <v/>
      </c>
      <c r="AL61" t="str">
        <f t="shared" si="12"/>
        <v/>
      </c>
      <c r="AM61" t="str">
        <f t="shared" si="13"/>
        <v/>
      </c>
      <c r="AN61" t="str">
        <f t="shared" si="14"/>
        <v/>
      </c>
      <c r="AO61" t="str">
        <f>IF($A61="","",SUMIFS(Compta!$F$1:$F$675,Compta!$A$1:$A$675,"GRP",Compta!$B$1:$B$675,"6236",Compta!$C$1:$C$675,$A61))</f>
        <v/>
      </c>
      <c r="AP61" t="str">
        <f t="shared" si="15"/>
        <v/>
      </c>
      <c r="AQ61" t="str">
        <f t="shared" si="16"/>
        <v/>
      </c>
      <c r="AR61" t="str">
        <f t="shared" si="17"/>
        <v/>
      </c>
    </row>
    <row r="62" spans="1:44" x14ac:dyDescent="0.45">
      <c r="A62" t="str">
        <f>IF(Allocation!C62="","",Allocation!C62)</f>
        <v/>
      </c>
      <c r="B62" t="str">
        <f>IF(Allocation!D62="","",Allocation!D62)</f>
        <v/>
      </c>
      <c r="C62" t="str">
        <f>IF(Allocation!E62="","",Allocation!E62)</f>
        <v/>
      </c>
      <c r="D62" t="str">
        <f>IF(Allocation!F62="","",Allocation!F62)</f>
        <v/>
      </c>
      <c r="E62" t="str">
        <f>IF(Allocation!G62="","",Allocation!G62)</f>
        <v/>
      </c>
      <c r="F62" t="str">
        <f>IF(Allocation!H62="","",Allocation!H62)</f>
        <v/>
      </c>
      <c r="G62" t="str">
        <f>IF(Allocation!D62="","",Allocation!I62)</f>
        <v/>
      </c>
      <c r="H62" t="str">
        <f>IF(Allocation!D62="","",Allocation!J62)</f>
        <v/>
      </c>
      <c r="I62" t="str">
        <f>IF(Allocation!D62="","",Allocation!K62)</f>
        <v/>
      </c>
      <c r="J62" t="str">
        <f>IF($A62="","",SUMIFS(Socle!$K$1:$K$1000,Socle!$C$1:$C$1000,$B62,Socle!$D$1:$D$1000,$D62,Socle!$E$1:$E$1000,$E62,Socle!$F$1:$F$1000,$F62,Socle!$G$1:$G$1000,$A62))</f>
        <v/>
      </c>
      <c r="K62" t="str">
        <f t="shared" si="0"/>
        <v/>
      </c>
      <c r="L62" t="str">
        <f>IF($A62="","",SUMIFS(Allocation!$I$1:$I$175,Allocation!$C$1:$C$175,$A62,Allocation!$D$1:$D$175,$B62))</f>
        <v/>
      </c>
      <c r="M62" t="str">
        <f>IF($A62="","",SUMIFS(Allocation!$J$1:$J$175,Allocation!$C$1:$C$175,$A62,Allocation!$D$1:$D$175,$B62))</f>
        <v/>
      </c>
      <c r="N62" t="str">
        <f>IF($A62="","",SUMIFS(Allocation!$K$1:$K$175,Allocation!$C$1:$C$175,$A62,Allocation!$D$1:$D$175,$B62))</f>
        <v/>
      </c>
      <c r="O62" t="str">
        <f t="shared" si="1"/>
        <v/>
      </c>
      <c r="P62" t="str">
        <f t="shared" si="2"/>
        <v/>
      </c>
      <c r="Q62" t="str">
        <f>IF($A62="","",SUMIFS(Allocation!$I$1:$I$175,Allocation!$C$1:$C$175,$A62,Allocation!$E$1:$E$175,$C62))</f>
        <v/>
      </c>
      <c r="R62" t="str">
        <f>IF($A62="","",SUMIFS(Allocation!$J$1:$J$175,Allocation!$C$1:$C$175,$A62,Allocation!$E$1:$E$175,$C62))</f>
        <v/>
      </c>
      <c r="S62" t="str">
        <f>IF($A62="","",SUMIFS(Allocation!$K$1:$K$175,Allocation!$C$1:$C$175,$A62,Allocation!$E$1:$E$175,$C62))</f>
        <v/>
      </c>
      <c r="T62" t="str">
        <f>IF($A62="","",SUMIFS(Allocation!$I$1:$I$175,Allocation!$C$1:$C$175,$A62))</f>
        <v/>
      </c>
      <c r="U62" t="str">
        <f>IF($A62="","",SUMIFS(Allocation!$J$1:$J$175,Allocation!$C$1:$C$175,$A62))</f>
        <v/>
      </c>
      <c r="V62" t="str">
        <f>IF($A62="","",SUMIFS(Allocation!$K$1:$K$175,Allocation!$C$1:$C$175,$A62))</f>
        <v/>
      </c>
      <c r="W62" t="str">
        <f>IF($A62="","",SUMIFS(Compta!$F$1:$F$675,Compta!$A$1:$A$675,$B62,Compta!$B$1:$B$675,"621",Compta!$C$1:$C$675,$A62))</f>
        <v/>
      </c>
      <c r="X62" t="str">
        <f>IF($A62="","",SUMIFS(Compta!$F$1:$F$675,Compta!$A$1:$A$675,$B62,Compta!$B$1:$B$675,"6411",Compta!$C$1:$C$675,$A62))</f>
        <v/>
      </c>
      <c r="Y62" t="str">
        <f>IF($A62="","",SUMIFS(Compta!$F$1:$F$675,Compta!$A$1:$A$675,$B62,Compta!$B$1:$B$675,"604",Compta!$C$1:$C$675,$A62)+SUMIFS(Compta!$F$1:$F$675,Compta!$A$1:$A$675,$B62,Compta!$B$1:$B$675,"6063",Compta!$C$1:$C$675,$A62))</f>
        <v/>
      </c>
      <c r="Z62" t="str">
        <f>IF($A62="","",SUMIFS(Compta!$F$1:$F$675,Compta!$A$1:$A$675,$B62,Compta!$B$1:$B$675,"6231",Compta!$C$1:$C$675,$A62))</f>
        <v/>
      </c>
      <c r="AA62" t="str">
        <f>IF($A62="","",SUMIFS(Compta!$F$1:$F$675,Compta!$A$1:$A$675,$B62,Compta!$B$1:$B$675,"6413",Compta!$C$1:$C$675,$A62)+SUMIFS(Compta!$F$1:$F$675,Compta!$A$1:$A$675,$B62,Compta!$B$1:$B$675,"645",Compta!$C$1:$C$675,$A62)+SUMIFS(Compta!$F$1:$F$675,Compta!$A$1:$A$675,$B62,Compta!$B$1:$B$675,"613",Compta!$C$1:$C$675,$A62)+SUMIFS(Compta!$F$1:$F$675,Compta!$A$1:$A$675,$B62,Compta!$B$1:$B$675,"615",Compta!$C$1:$C$675,$A62)+SUMIFS(Compta!$F$1:$F$675,Compta!$A$1:$A$675,$B62,Compta!$B$1:$B$675,"616",Compta!$C$1:$C$675,$A62)+SUMIFS(Compta!$F$1:$F$675,Compta!$A$1:$A$675,$B62,Compta!$B$1:$B$675,"625",Compta!$C$1:$C$675,$A62)+SUMIFS(Compta!$F$1:$F$675,Compta!$A$1:$A$675,$B62,Compta!$B$1:$B$675,"63511",Compta!$C$1:$C$675,$A62))</f>
        <v/>
      </c>
      <c r="AB62" t="str">
        <f>IF($A62="","",SUMIFS(Compta!$F$1:$F$675,Compta!$A$1:$A$675,"GRP",Compta!$B$1:$B$675,"6414",Compta!$C$1:$C$675,$A62)+SUMIFS(Compta!$F$1:$F$675,Compta!$A$1:$A$675,"GRP",Compta!$B$1:$B$675,"6226",Compta!$C$1:$C$675,$A62)+SUMIFS(Compta!$F$1:$F$675,Compta!$A$1:$A$675,"GRP",Compta!$B$1:$B$675,"626",Compta!$C$1:$C$675,$A62)+SUMIFS(Compta!$F$1:$F$675,Compta!$A$1:$A$675,"GRP",Compta!$B$1:$B$675,"6281",Compta!$C$1:$C$675,$A62)+SUMIFS(Compta!$F$1:$F$675,Compta!$A$1:$A$675,"GRP",Compta!$B$1:$B$675,"6331",Compta!$C$1:$C$675,$A62)+SUMIFS(Compta!$F$1:$F$675,Compta!$A$1:$A$675,"GRP",Compta!$B$1:$B$675,"6333",Compta!$C$1:$C$675,$A62))</f>
        <v/>
      </c>
      <c r="AC62" t="str">
        <f t="shared" si="3"/>
        <v/>
      </c>
      <c r="AD62" t="str">
        <f t="shared" si="4"/>
        <v/>
      </c>
      <c r="AE62" t="str">
        <f t="shared" si="5"/>
        <v/>
      </c>
      <c r="AF62" t="str">
        <f t="shared" si="6"/>
        <v/>
      </c>
      <c r="AG62" t="str">
        <f t="shared" si="7"/>
        <v/>
      </c>
      <c r="AH62" t="str">
        <f t="shared" si="8"/>
        <v/>
      </c>
      <c r="AI62" t="str">
        <f t="shared" si="9"/>
        <v/>
      </c>
      <c r="AJ62" t="str">
        <f t="shared" si="10"/>
        <v/>
      </c>
      <c r="AK62" t="str">
        <f t="shared" si="11"/>
        <v/>
      </c>
      <c r="AL62" t="str">
        <f t="shared" si="12"/>
        <v/>
      </c>
      <c r="AM62" t="str">
        <f t="shared" si="13"/>
        <v/>
      </c>
      <c r="AN62" t="str">
        <f t="shared" si="14"/>
        <v/>
      </c>
      <c r="AO62" t="str">
        <f>IF($A62="","",SUMIFS(Compta!$F$1:$F$675,Compta!$A$1:$A$675,"GRP",Compta!$B$1:$B$675,"6236",Compta!$C$1:$C$675,$A62))</f>
        <v/>
      </c>
      <c r="AP62" t="str">
        <f t="shared" si="15"/>
        <v/>
      </c>
      <c r="AQ62" t="str">
        <f t="shared" si="16"/>
        <v/>
      </c>
      <c r="AR62" t="str">
        <f t="shared" si="17"/>
        <v/>
      </c>
    </row>
    <row r="63" spans="1:44" x14ac:dyDescent="0.45">
      <c r="A63" t="str">
        <f>IF(Allocation!C63="","",Allocation!C63)</f>
        <v/>
      </c>
      <c r="B63" t="str">
        <f>IF(Allocation!D63="","",Allocation!D63)</f>
        <v/>
      </c>
      <c r="C63" t="str">
        <f>IF(Allocation!E63="","",Allocation!E63)</f>
        <v/>
      </c>
      <c r="D63" t="str">
        <f>IF(Allocation!F63="","",Allocation!F63)</f>
        <v/>
      </c>
      <c r="E63" t="str">
        <f>IF(Allocation!G63="","",Allocation!G63)</f>
        <v/>
      </c>
      <c r="F63" t="str">
        <f>IF(Allocation!H63="","",Allocation!H63)</f>
        <v/>
      </c>
      <c r="G63" t="str">
        <f>IF(Allocation!D63="","",Allocation!I63)</f>
        <v/>
      </c>
      <c r="H63" t="str">
        <f>IF(Allocation!D63="","",Allocation!J63)</f>
        <v/>
      </c>
      <c r="I63" t="str">
        <f>IF(Allocation!D63="","",Allocation!K63)</f>
        <v/>
      </c>
      <c r="J63" t="str">
        <f>IF($A63="","",SUMIFS(Socle!$K$1:$K$1000,Socle!$C$1:$C$1000,$B63,Socle!$D$1:$D$1000,$D63,Socle!$E$1:$E$1000,$E63,Socle!$F$1:$F$1000,$F63,Socle!$G$1:$G$1000,$A63))</f>
        <v/>
      </c>
      <c r="K63" t="str">
        <f t="shared" si="0"/>
        <v/>
      </c>
      <c r="L63" t="str">
        <f>IF($A63="","",SUMIFS(Allocation!$I$1:$I$175,Allocation!$C$1:$C$175,$A63,Allocation!$D$1:$D$175,$B63))</f>
        <v/>
      </c>
      <c r="M63" t="str">
        <f>IF($A63="","",SUMIFS(Allocation!$J$1:$J$175,Allocation!$C$1:$C$175,$A63,Allocation!$D$1:$D$175,$B63))</f>
        <v/>
      </c>
      <c r="N63" t="str">
        <f>IF($A63="","",SUMIFS(Allocation!$K$1:$K$175,Allocation!$C$1:$C$175,$A63,Allocation!$D$1:$D$175,$B63))</f>
        <v/>
      </c>
      <c r="O63" t="str">
        <f t="shared" si="1"/>
        <v/>
      </c>
      <c r="P63" t="str">
        <f t="shared" si="2"/>
        <v/>
      </c>
      <c r="Q63" t="str">
        <f>IF($A63="","",SUMIFS(Allocation!$I$1:$I$175,Allocation!$C$1:$C$175,$A63,Allocation!$E$1:$E$175,$C63))</f>
        <v/>
      </c>
      <c r="R63" t="str">
        <f>IF($A63="","",SUMIFS(Allocation!$J$1:$J$175,Allocation!$C$1:$C$175,$A63,Allocation!$E$1:$E$175,$C63))</f>
        <v/>
      </c>
      <c r="S63" t="str">
        <f>IF($A63="","",SUMIFS(Allocation!$K$1:$K$175,Allocation!$C$1:$C$175,$A63,Allocation!$E$1:$E$175,$C63))</f>
        <v/>
      </c>
      <c r="T63" t="str">
        <f>IF($A63="","",SUMIFS(Allocation!$I$1:$I$175,Allocation!$C$1:$C$175,$A63))</f>
        <v/>
      </c>
      <c r="U63" t="str">
        <f>IF($A63="","",SUMIFS(Allocation!$J$1:$J$175,Allocation!$C$1:$C$175,$A63))</f>
        <v/>
      </c>
      <c r="V63" t="str">
        <f>IF($A63="","",SUMIFS(Allocation!$K$1:$K$175,Allocation!$C$1:$C$175,$A63))</f>
        <v/>
      </c>
      <c r="W63" t="str">
        <f>IF($A63="","",SUMIFS(Compta!$F$1:$F$675,Compta!$A$1:$A$675,$B63,Compta!$B$1:$B$675,"621",Compta!$C$1:$C$675,$A63))</f>
        <v/>
      </c>
      <c r="X63" t="str">
        <f>IF($A63="","",SUMIFS(Compta!$F$1:$F$675,Compta!$A$1:$A$675,$B63,Compta!$B$1:$B$675,"6411",Compta!$C$1:$C$675,$A63))</f>
        <v/>
      </c>
      <c r="Y63" t="str">
        <f>IF($A63="","",SUMIFS(Compta!$F$1:$F$675,Compta!$A$1:$A$675,$B63,Compta!$B$1:$B$675,"604",Compta!$C$1:$C$675,$A63)+SUMIFS(Compta!$F$1:$F$675,Compta!$A$1:$A$675,$B63,Compta!$B$1:$B$675,"6063",Compta!$C$1:$C$675,$A63))</f>
        <v/>
      </c>
      <c r="Z63" t="str">
        <f>IF($A63="","",SUMIFS(Compta!$F$1:$F$675,Compta!$A$1:$A$675,$B63,Compta!$B$1:$B$675,"6231",Compta!$C$1:$C$675,$A63))</f>
        <v/>
      </c>
      <c r="AA63" t="str">
        <f>IF($A63="","",SUMIFS(Compta!$F$1:$F$675,Compta!$A$1:$A$675,$B63,Compta!$B$1:$B$675,"6413",Compta!$C$1:$C$675,$A63)+SUMIFS(Compta!$F$1:$F$675,Compta!$A$1:$A$675,$B63,Compta!$B$1:$B$675,"645",Compta!$C$1:$C$675,$A63)+SUMIFS(Compta!$F$1:$F$675,Compta!$A$1:$A$675,$B63,Compta!$B$1:$B$675,"613",Compta!$C$1:$C$675,$A63)+SUMIFS(Compta!$F$1:$F$675,Compta!$A$1:$A$675,$B63,Compta!$B$1:$B$675,"615",Compta!$C$1:$C$675,$A63)+SUMIFS(Compta!$F$1:$F$675,Compta!$A$1:$A$675,$B63,Compta!$B$1:$B$675,"616",Compta!$C$1:$C$675,$A63)+SUMIFS(Compta!$F$1:$F$675,Compta!$A$1:$A$675,$B63,Compta!$B$1:$B$675,"625",Compta!$C$1:$C$675,$A63)+SUMIFS(Compta!$F$1:$F$675,Compta!$A$1:$A$675,$B63,Compta!$B$1:$B$675,"63511",Compta!$C$1:$C$675,$A63))</f>
        <v/>
      </c>
      <c r="AB63" t="str">
        <f>IF($A63="","",SUMIFS(Compta!$F$1:$F$675,Compta!$A$1:$A$675,"GRP",Compta!$B$1:$B$675,"6414",Compta!$C$1:$C$675,$A63)+SUMIFS(Compta!$F$1:$F$675,Compta!$A$1:$A$675,"GRP",Compta!$B$1:$B$675,"6226",Compta!$C$1:$C$675,$A63)+SUMIFS(Compta!$F$1:$F$675,Compta!$A$1:$A$675,"GRP",Compta!$B$1:$B$675,"626",Compta!$C$1:$C$675,$A63)+SUMIFS(Compta!$F$1:$F$675,Compta!$A$1:$A$675,"GRP",Compta!$B$1:$B$675,"6281",Compta!$C$1:$C$675,$A63)+SUMIFS(Compta!$F$1:$F$675,Compta!$A$1:$A$675,"GRP",Compta!$B$1:$B$675,"6331",Compta!$C$1:$C$675,$A63)+SUMIFS(Compta!$F$1:$F$675,Compta!$A$1:$A$675,"GRP",Compta!$B$1:$B$675,"6333",Compta!$C$1:$C$675,$A63))</f>
        <v/>
      </c>
      <c r="AC63" t="str">
        <f t="shared" si="3"/>
        <v/>
      </c>
      <c r="AD63" t="str">
        <f t="shared" si="4"/>
        <v/>
      </c>
      <c r="AE63" t="str">
        <f t="shared" si="5"/>
        <v/>
      </c>
      <c r="AF63" t="str">
        <f t="shared" si="6"/>
        <v/>
      </c>
      <c r="AG63" t="str">
        <f t="shared" si="7"/>
        <v/>
      </c>
      <c r="AH63" t="str">
        <f t="shared" si="8"/>
        <v/>
      </c>
      <c r="AI63" t="str">
        <f t="shared" si="9"/>
        <v/>
      </c>
      <c r="AJ63" t="str">
        <f t="shared" si="10"/>
        <v/>
      </c>
      <c r="AK63" t="str">
        <f t="shared" si="11"/>
        <v/>
      </c>
      <c r="AL63" t="str">
        <f t="shared" si="12"/>
        <v/>
      </c>
      <c r="AM63" t="str">
        <f t="shared" si="13"/>
        <v/>
      </c>
      <c r="AN63" t="str">
        <f t="shared" si="14"/>
        <v/>
      </c>
      <c r="AO63" t="str">
        <f>IF($A63="","",SUMIFS(Compta!$F$1:$F$675,Compta!$A$1:$A$675,"GRP",Compta!$B$1:$B$675,"6236",Compta!$C$1:$C$675,$A63))</f>
        <v/>
      </c>
      <c r="AP63" t="str">
        <f t="shared" si="15"/>
        <v/>
      </c>
      <c r="AQ63" t="str">
        <f t="shared" si="16"/>
        <v/>
      </c>
      <c r="AR63" t="str">
        <f t="shared" si="17"/>
        <v/>
      </c>
    </row>
    <row r="64" spans="1:44" x14ac:dyDescent="0.45">
      <c r="A64" t="str">
        <f>IF(Allocation!C64="","",Allocation!C64)</f>
        <v/>
      </c>
      <c r="B64" t="str">
        <f>IF(Allocation!D64="","",Allocation!D64)</f>
        <v/>
      </c>
      <c r="C64" t="str">
        <f>IF(Allocation!E64="","",Allocation!E64)</f>
        <v/>
      </c>
      <c r="D64" t="str">
        <f>IF(Allocation!F64="","",Allocation!F64)</f>
        <v/>
      </c>
      <c r="E64" t="str">
        <f>IF(Allocation!G64="","",Allocation!G64)</f>
        <v/>
      </c>
      <c r="F64" t="str">
        <f>IF(Allocation!H64="","",Allocation!H64)</f>
        <v/>
      </c>
      <c r="G64" t="str">
        <f>IF(Allocation!D64="","",Allocation!I64)</f>
        <v/>
      </c>
      <c r="H64" t="str">
        <f>IF(Allocation!D64="","",Allocation!J64)</f>
        <v/>
      </c>
      <c r="I64" t="str">
        <f>IF(Allocation!D64="","",Allocation!K64)</f>
        <v/>
      </c>
      <c r="J64" t="str">
        <f>IF($A64="","",SUMIFS(Socle!$K$1:$K$1000,Socle!$C$1:$C$1000,$B64,Socle!$D$1:$D$1000,$D64,Socle!$E$1:$E$1000,$E64,Socle!$F$1:$F$1000,$F64,Socle!$G$1:$G$1000,$A64))</f>
        <v/>
      </c>
      <c r="K64" t="str">
        <f t="shared" si="0"/>
        <v/>
      </c>
      <c r="L64" t="str">
        <f>IF($A64="","",SUMIFS(Allocation!$I$1:$I$175,Allocation!$C$1:$C$175,$A64,Allocation!$D$1:$D$175,$B64))</f>
        <v/>
      </c>
      <c r="M64" t="str">
        <f>IF($A64="","",SUMIFS(Allocation!$J$1:$J$175,Allocation!$C$1:$C$175,$A64,Allocation!$D$1:$D$175,$B64))</f>
        <v/>
      </c>
      <c r="N64" t="str">
        <f>IF($A64="","",SUMIFS(Allocation!$K$1:$K$175,Allocation!$C$1:$C$175,$A64,Allocation!$D$1:$D$175,$B64))</f>
        <v/>
      </c>
      <c r="O64" t="str">
        <f t="shared" si="1"/>
        <v/>
      </c>
      <c r="P64" t="str">
        <f t="shared" si="2"/>
        <v/>
      </c>
      <c r="Q64" t="str">
        <f>IF($A64="","",SUMIFS(Allocation!$I$1:$I$175,Allocation!$C$1:$C$175,$A64,Allocation!$E$1:$E$175,$C64))</f>
        <v/>
      </c>
      <c r="R64" t="str">
        <f>IF($A64="","",SUMIFS(Allocation!$J$1:$J$175,Allocation!$C$1:$C$175,$A64,Allocation!$E$1:$E$175,$C64))</f>
        <v/>
      </c>
      <c r="S64" t="str">
        <f>IF($A64="","",SUMIFS(Allocation!$K$1:$K$175,Allocation!$C$1:$C$175,$A64,Allocation!$E$1:$E$175,$C64))</f>
        <v/>
      </c>
      <c r="T64" t="str">
        <f>IF($A64="","",SUMIFS(Allocation!$I$1:$I$175,Allocation!$C$1:$C$175,$A64))</f>
        <v/>
      </c>
      <c r="U64" t="str">
        <f>IF($A64="","",SUMIFS(Allocation!$J$1:$J$175,Allocation!$C$1:$C$175,$A64))</f>
        <v/>
      </c>
      <c r="V64" t="str">
        <f>IF($A64="","",SUMIFS(Allocation!$K$1:$K$175,Allocation!$C$1:$C$175,$A64))</f>
        <v/>
      </c>
      <c r="W64" t="str">
        <f>IF($A64="","",SUMIFS(Compta!$F$1:$F$675,Compta!$A$1:$A$675,$B64,Compta!$B$1:$B$675,"621",Compta!$C$1:$C$675,$A64))</f>
        <v/>
      </c>
      <c r="X64" t="str">
        <f>IF($A64="","",SUMIFS(Compta!$F$1:$F$675,Compta!$A$1:$A$675,$B64,Compta!$B$1:$B$675,"6411",Compta!$C$1:$C$675,$A64))</f>
        <v/>
      </c>
      <c r="Y64" t="str">
        <f>IF($A64="","",SUMIFS(Compta!$F$1:$F$675,Compta!$A$1:$A$675,$B64,Compta!$B$1:$B$675,"604",Compta!$C$1:$C$675,$A64)+SUMIFS(Compta!$F$1:$F$675,Compta!$A$1:$A$675,$B64,Compta!$B$1:$B$675,"6063",Compta!$C$1:$C$675,$A64))</f>
        <v/>
      </c>
      <c r="Z64" t="str">
        <f>IF($A64="","",SUMIFS(Compta!$F$1:$F$675,Compta!$A$1:$A$675,$B64,Compta!$B$1:$B$675,"6231",Compta!$C$1:$C$675,$A64))</f>
        <v/>
      </c>
      <c r="AA64" t="str">
        <f>IF($A64="","",SUMIFS(Compta!$F$1:$F$675,Compta!$A$1:$A$675,$B64,Compta!$B$1:$B$675,"6413",Compta!$C$1:$C$675,$A64)+SUMIFS(Compta!$F$1:$F$675,Compta!$A$1:$A$675,$B64,Compta!$B$1:$B$675,"645",Compta!$C$1:$C$675,$A64)+SUMIFS(Compta!$F$1:$F$675,Compta!$A$1:$A$675,$B64,Compta!$B$1:$B$675,"613",Compta!$C$1:$C$675,$A64)+SUMIFS(Compta!$F$1:$F$675,Compta!$A$1:$A$675,$B64,Compta!$B$1:$B$675,"615",Compta!$C$1:$C$675,$A64)+SUMIFS(Compta!$F$1:$F$675,Compta!$A$1:$A$675,$B64,Compta!$B$1:$B$675,"616",Compta!$C$1:$C$675,$A64)+SUMIFS(Compta!$F$1:$F$675,Compta!$A$1:$A$675,$B64,Compta!$B$1:$B$675,"625",Compta!$C$1:$C$675,$A64)+SUMIFS(Compta!$F$1:$F$675,Compta!$A$1:$A$675,$B64,Compta!$B$1:$B$675,"63511",Compta!$C$1:$C$675,$A64))</f>
        <v/>
      </c>
      <c r="AB64" t="str">
        <f>IF($A64="","",SUMIFS(Compta!$F$1:$F$675,Compta!$A$1:$A$675,"GRP",Compta!$B$1:$B$675,"6414",Compta!$C$1:$C$675,$A64)+SUMIFS(Compta!$F$1:$F$675,Compta!$A$1:$A$675,"GRP",Compta!$B$1:$B$675,"6226",Compta!$C$1:$C$675,$A64)+SUMIFS(Compta!$F$1:$F$675,Compta!$A$1:$A$675,"GRP",Compta!$B$1:$B$675,"626",Compta!$C$1:$C$675,$A64)+SUMIFS(Compta!$F$1:$F$675,Compta!$A$1:$A$675,"GRP",Compta!$B$1:$B$675,"6281",Compta!$C$1:$C$675,$A64)+SUMIFS(Compta!$F$1:$F$675,Compta!$A$1:$A$675,"GRP",Compta!$B$1:$B$675,"6331",Compta!$C$1:$C$675,$A64)+SUMIFS(Compta!$F$1:$F$675,Compta!$A$1:$A$675,"GRP",Compta!$B$1:$B$675,"6333",Compta!$C$1:$C$675,$A64))</f>
        <v/>
      </c>
      <c r="AC64" t="str">
        <f t="shared" si="3"/>
        <v/>
      </c>
      <c r="AD64" t="str">
        <f t="shared" si="4"/>
        <v/>
      </c>
      <c r="AE64" t="str">
        <f t="shared" si="5"/>
        <v/>
      </c>
      <c r="AF64" t="str">
        <f t="shared" si="6"/>
        <v/>
      </c>
      <c r="AG64" t="str">
        <f t="shared" si="7"/>
        <v/>
      </c>
      <c r="AH64" t="str">
        <f t="shared" si="8"/>
        <v/>
      </c>
      <c r="AI64" t="str">
        <f t="shared" si="9"/>
        <v/>
      </c>
      <c r="AJ64" t="str">
        <f t="shared" si="10"/>
        <v/>
      </c>
      <c r="AK64" t="str">
        <f t="shared" si="11"/>
        <v/>
      </c>
      <c r="AL64" t="str">
        <f t="shared" si="12"/>
        <v/>
      </c>
      <c r="AM64" t="str">
        <f t="shared" si="13"/>
        <v/>
      </c>
      <c r="AN64" t="str">
        <f t="shared" si="14"/>
        <v/>
      </c>
      <c r="AO64" t="str">
        <f>IF($A64="","",SUMIFS(Compta!$F$1:$F$675,Compta!$A$1:$A$675,"GRP",Compta!$B$1:$B$675,"6236",Compta!$C$1:$C$675,$A64))</f>
        <v/>
      </c>
      <c r="AP64" t="str">
        <f t="shared" si="15"/>
        <v/>
      </c>
      <c r="AQ64" t="str">
        <f t="shared" si="16"/>
        <v/>
      </c>
      <c r="AR64" t="str">
        <f t="shared" si="17"/>
        <v/>
      </c>
    </row>
    <row r="65" spans="1:44" x14ac:dyDescent="0.45">
      <c r="A65" t="str">
        <f>IF(Allocation!C65="","",Allocation!C65)</f>
        <v/>
      </c>
      <c r="B65" t="str">
        <f>IF(Allocation!D65="","",Allocation!D65)</f>
        <v/>
      </c>
      <c r="C65" t="str">
        <f>IF(Allocation!E65="","",Allocation!E65)</f>
        <v/>
      </c>
      <c r="D65" t="str">
        <f>IF(Allocation!F65="","",Allocation!F65)</f>
        <v/>
      </c>
      <c r="E65" t="str">
        <f>IF(Allocation!G65="","",Allocation!G65)</f>
        <v/>
      </c>
      <c r="F65" t="str">
        <f>IF(Allocation!H65="","",Allocation!H65)</f>
        <v/>
      </c>
      <c r="G65" t="str">
        <f>IF(Allocation!D65="","",Allocation!I65)</f>
        <v/>
      </c>
      <c r="H65" t="str">
        <f>IF(Allocation!D65="","",Allocation!J65)</f>
        <v/>
      </c>
      <c r="I65" t="str">
        <f>IF(Allocation!D65="","",Allocation!K65)</f>
        <v/>
      </c>
      <c r="J65" t="str">
        <f>IF($A65="","",SUMIFS(Socle!$K$1:$K$1000,Socle!$C$1:$C$1000,$B65,Socle!$D$1:$D$1000,$D65,Socle!$E$1:$E$1000,$E65,Socle!$F$1:$F$1000,$F65,Socle!$G$1:$G$1000,$A65))</f>
        <v/>
      </c>
      <c r="K65" t="str">
        <f t="shared" si="0"/>
        <v/>
      </c>
      <c r="L65" t="str">
        <f>IF($A65="","",SUMIFS(Allocation!$I$1:$I$175,Allocation!$C$1:$C$175,$A65,Allocation!$D$1:$D$175,$B65))</f>
        <v/>
      </c>
      <c r="M65" t="str">
        <f>IF($A65="","",SUMIFS(Allocation!$J$1:$J$175,Allocation!$C$1:$C$175,$A65,Allocation!$D$1:$D$175,$B65))</f>
        <v/>
      </c>
      <c r="N65" t="str">
        <f>IF($A65="","",SUMIFS(Allocation!$K$1:$K$175,Allocation!$C$1:$C$175,$A65,Allocation!$D$1:$D$175,$B65))</f>
        <v/>
      </c>
      <c r="O65" t="str">
        <f t="shared" si="1"/>
        <v/>
      </c>
      <c r="P65" t="str">
        <f t="shared" si="2"/>
        <v/>
      </c>
      <c r="Q65" t="str">
        <f>IF($A65="","",SUMIFS(Allocation!$I$1:$I$175,Allocation!$C$1:$C$175,$A65,Allocation!$E$1:$E$175,$C65))</f>
        <v/>
      </c>
      <c r="R65" t="str">
        <f>IF($A65="","",SUMIFS(Allocation!$J$1:$J$175,Allocation!$C$1:$C$175,$A65,Allocation!$E$1:$E$175,$C65))</f>
        <v/>
      </c>
      <c r="S65" t="str">
        <f>IF($A65="","",SUMIFS(Allocation!$K$1:$K$175,Allocation!$C$1:$C$175,$A65,Allocation!$E$1:$E$175,$C65))</f>
        <v/>
      </c>
      <c r="T65" t="str">
        <f>IF($A65="","",SUMIFS(Allocation!$I$1:$I$175,Allocation!$C$1:$C$175,$A65))</f>
        <v/>
      </c>
      <c r="U65" t="str">
        <f>IF($A65="","",SUMIFS(Allocation!$J$1:$J$175,Allocation!$C$1:$C$175,$A65))</f>
        <v/>
      </c>
      <c r="V65" t="str">
        <f>IF($A65="","",SUMIFS(Allocation!$K$1:$K$175,Allocation!$C$1:$C$175,$A65))</f>
        <v/>
      </c>
      <c r="W65" t="str">
        <f>IF($A65="","",SUMIFS(Compta!$F$1:$F$675,Compta!$A$1:$A$675,$B65,Compta!$B$1:$B$675,"621",Compta!$C$1:$C$675,$A65))</f>
        <v/>
      </c>
      <c r="X65" t="str">
        <f>IF($A65="","",SUMIFS(Compta!$F$1:$F$675,Compta!$A$1:$A$675,$B65,Compta!$B$1:$B$675,"6411",Compta!$C$1:$C$675,$A65))</f>
        <v/>
      </c>
      <c r="Y65" t="str">
        <f>IF($A65="","",SUMIFS(Compta!$F$1:$F$675,Compta!$A$1:$A$675,$B65,Compta!$B$1:$B$675,"604",Compta!$C$1:$C$675,$A65)+SUMIFS(Compta!$F$1:$F$675,Compta!$A$1:$A$675,$B65,Compta!$B$1:$B$675,"6063",Compta!$C$1:$C$675,$A65))</f>
        <v/>
      </c>
      <c r="Z65" t="str">
        <f>IF($A65="","",SUMIFS(Compta!$F$1:$F$675,Compta!$A$1:$A$675,$B65,Compta!$B$1:$B$675,"6231",Compta!$C$1:$C$675,$A65))</f>
        <v/>
      </c>
      <c r="AA65" t="str">
        <f>IF($A65="","",SUMIFS(Compta!$F$1:$F$675,Compta!$A$1:$A$675,$B65,Compta!$B$1:$B$675,"6413",Compta!$C$1:$C$675,$A65)+SUMIFS(Compta!$F$1:$F$675,Compta!$A$1:$A$675,$B65,Compta!$B$1:$B$675,"645",Compta!$C$1:$C$675,$A65)+SUMIFS(Compta!$F$1:$F$675,Compta!$A$1:$A$675,$B65,Compta!$B$1:$B$675,"613",Compta!$C$1:$C$675,$A65)+SUMIFS(Compta!$F$1:$F$675,Compta!$A$1:$A$675,$B65,Compta!$B$1:$B$675,"615",Compta!$C$1:$C$675,$A65)+SUMIFS(Compta!$F$1:$F$675,Compta!$A$1:$A$675,$B65,Compta!$B$1:$B$675,"616",Compta!$C$1:$C$675,$A65)+SUMIFS(Compta!$F$1:$F$675,Compta!$A$1:$A$675,$B65,Compta!$B$1:$B$675,"625",Compta!$C$1:$C$675,$A65)+SUMIFS(Compta!$F$1:$F$675,Compta!$A$1:$A$675,$B65,Compta!$B$1:$B$675,"63511",Compta!$C$1:$C$675,$A65))</f>
        <v/>
      </c>
      <c r="AB65" t="str">
        <f>IF($A65="","",SUMIFS(Compta!$F$1:$F$675,Compta!$A$1:$A$675,"GRP",Compta!$B$1:$B$675,"6414",Compta!$C$1:$C$675,$A65)+SUMIFS(Compta!$F$1:$F$675,Compta!$A$1:$A$675,"GRP",Compta!$B$1:$B$675,"6226",Compta!$C$1:$C$675,$A65)+SUMIFS(Compta!$F$1:$F$675,Compta!$A$1:$A$675,"GRP",Compta!$B$1:$B$675,"626",Compta!$C$1:$C$675,$A65)+SUMIFS(Compta!$F$1:$F$675,Compta!$A$1:$A$675,"GRP",Compta!$B$1:$B$675,"6281",Compta!$C$1:$C$675,$A65)+SUMIFS(Compta!$F$1:$F$675,Compta!$A$1:$A$675,"GRP",Compta!$B$1:$B$675,"6331",Compta!$C$1:$C$675,$A65)+SUMIFS(Compta!$F$1:$F$675,Compta!$A$1:$A$675,"GRP",Compta!$B$1:$B$675,"6333",Compta!$C$1:$C$675,$A65))</f>
        <v/>
      </c>
      <c r="AC65" t="str">
        <f t="shared" si="3"/>
        <v/>
      </c>
      <c r="AD65" t="str">
        <f t="shared" si="4"/>
        <v/>
      </c>
      <c r="AE65" t="str">
        <f t="shared" si="5"/>
        <v/>
      </c>
      <c r="AF65" t="str">
        <f t="shared" si="6"/>
        <v/>
      </c>
      <c r="AG65" t="str">
        <f t="shared" si="7"/>
        <v/>
      </c>
      <c r="AH65" t="str">
        <f t="shared" si="8"/>
        <v/>
      </c>
      <c r="AI65" t="str">
        <f t="shared" si="9"/>
        <v/>
      </c>
      <c r="AJ65" t="str">
        <f t="shared" si="10"/>
        <v/>
      </c>
      <c r="AK65" t="str">
        <f t="shared" si="11"/>
        <v/>
      </c>
      <c r="AL65" t="str">
        <f t="shared" si="12"/>
        <v/>
      </c>
      <c r="AM65" t="str">
        <f t="shared" si="13"/>
        <v/>
      </c>
      <c r="AN65" t="str">
        <f t="shared" si="14"/>
        <v/>
      </c>
      <c r="AO65" t="str">
        <f>IF($A65="","",SUMIFS(Compta!$F$1:$F$675,Compta!$A$1:$A$675,"GRP",Compta!$B$1:$B$675,"6236",Compta!$C$1:$C$675,$A65))</f>
        <v/>
      </c>
      <c r="AP65" t="str">
        <f t="shared" si="15"/>
        <v/>
      </c>
      <c r="AQ65" t="str">
        <f t="shared" si="16"/>
        <v/>
      </c>
      <c r="AR65" t="str">
        <f t="shared" si="17"/>
        <v/>
      </c>
    </row>
    <row r="66" spans="1:44" x14ac:dyDescent="0.45">
      <c r="A66" t="str">
        <f>IF(Allocation!C66="","",Allocation!C66)</f>
        <v/>
      </c>
      <c r="B66" t="str">
        <f>IF(Allocation!D66="","",Allocation!D66)</f>
        <v/>
      </c>
      <c r="C66" t="str">
        <f>IF(Allocation!E66="","",Allocation!E66)</f>
        <v/>
      </c>
      <c r="D66" t="str">
        <f>IF(Allocation!F66="","",Allocation!F66)</f>
        <v/>
      </c>
      <c r="E66" t="str">
        <f>IF(Allocation!G66="","",Allocation!G66)</f>
        <v/>
      </c>
      <c r="F66" t="str">
        <f>IF(Allocation!H66="","",Allocation!H66)</f>
        <v/>
      </c>
      <c r="G66" t="str">
        <f>IF(Allocation!D66="","",Allocation!I66)</f>
        <v/>
      </c>
      <c r="H66" t="str">
        <f>IF(Allocation!D66="","",Allocation!J66)</f>
        <v/>
      </c>
      <c r="I66" t="str">
        <f>IF(Allocation!D66="","",Allocation!K66)</f>
        <v/>
      </c>
      <c r="J66" t="str">
        <f>IF($A66="","",SUMIFS(Socle!$K$1:$K$1000,Socle!$C$1:$C$1000,$B66,Socle!$D$1:$D$1000,$D66,Socle!$E$1:$E$1000,$E66,Socle!$F$1:$F$1000,$F66,Socle!$G$1:$G$1000,$A66))</f>
        <v/>
      </c>
      <c r="K66" t="str">
        <f t="shared" ref="K66:K129" si="18">IF($A66="","",$H66*IF(AND(LEFT($D66,3)="BAC",$F66="INIT"),600,IF(LEFT($D66,3)="BAC",480,IF(AND(LEFT($D66,3)="MAS",$F66="INIT"),520,IF(LEFT($D66,3)="MAS",420,IF($F66="INIT",1000,700))))))</f>
        <v/>
      </c>
      <c r="L66" t="str">
        <f>IF($A66="","",SUMIFS(Allocation!$I$1:$I$175,Allocation!$C$1:$C$175,$A66,Allocation!$D$1:$D$175,$B66))</f>
        <v/>
      </c>
      <c r="M66" t="str">
        <f>IF($A66="","",SUMIFS(Allocation!$J$1:$J$175,Allocation!$C$1:$C$175,$A66,Allocation!$D$1:$D$175,$B66))</f>
        <v/>
      </c>
      <c r="N66" t="str">
        <f>IF($A66="","",SUMIFS(Allocation!$K$1:$K$175,Allocation!$C$1:$C$175,$A66,Allocation!$D$1:$D$175,$B66))</f>
        <v/>
      </c>
      <c r="O66" t="str">
        <f t="shared" ref="O66:O129" si="19">IF($A66="","",SUMIFS($K$1:$K$175,$A$1:$A$175,$A66,$B$1:$B$175,$B66))</f>
        <v/>
      </c>
      <c r="P66" t="str">
        <f t="shared" ref="P66:P129" si="20">IF($A66="","",SUMIFS($J$1:$J$175,$A$1:$A$175,$A66,$B$1:$B$175,$B66))</f>
        <v/>
      </c>
      <c r="Q66" t="str">
        <f>IF($A66="","",SUMIFS(Allocation!$I$1:$I$175,Allocation!$C$1:$C$175,$A66,Allocation!$E$1:$E$175,$C66))</f>
        <v/>
      </c>
      <c r="R66" t="str">
        <f>IF($A66="","",SUMIFS(Allocation!$J$1:$J$175,Allocation!$C$1:$C$175,$A66,Allocation!$E$1:$E$175,$C66))</f>
        <v/>
      </c>
      <c r="S66" t="str">
        <f>IF($A66="","",SUMIFS(Allocation!$K$1:$K$175,Allocation!$C$1:$C$175,$A66,Allocation!$E$1:$E$175,$C66))</f>
        <v/>
      </c>
      <c r="T66" t="str">
        <f>IF($A66="","",SUMIFS(Allocation!$I$1:$I$175,Allocation!$C$1:$C$175,$A66))</f>
        <v/>
      </c>
      <c r="U66" t="str">
        <f>IF($A66="","",SUMIFS(Allocation!$J$1:$J$175,Allocation!$C$1:$C$175,$A66))</f>
        <v/>
      </c>
      <c r="V66" t="str">
        <f>IF($A66="","",SUMIFS(Allocation!$K$1:$K$175,Allocation!$C$1:$C$175,$A66))</f>
        <v/>
      </c>
      <c r="W66" t="str">
        <f>IF($A66="","",SUMIFS(Compta!$F$1:$F$675,Compta!$A$1:$A$675,$B66,Compta!$B$1:$B$675,"621",Compta!$C$1:$C$675,$A66))</f>
        <v/>
      </c>
      <c r="X66" t="str">
        <f>IF($A66="","",SUMIFS(Compta!$F$1:$F$675,Compta!$A$1:$A$675,$B66,Compta!$B$1:$B$675,"6411",Compta!$C$1:$C$675,$A66))</f>
        <v/>
      </c>
      <c r="Y66" t="str">
        <f>IF($A66="","",SUMIFS(Compta!$F$1:$F$675,Compta!$A$1:$A$675,$B66,Compta!$B$1:$B$675,"604",Compta!$C$1:$C$675,$A66)+SUMIFS(Compta!$F$1:$F$675,Compta!$A$1:$A$675,$B66,Compta!$B$1:$B$675,"6063",Compta!$C$1:$C$675,$A66))</f>
        <v/>
      </c>
      <c r="Z66" t="str">
        <f>IF($A66="","",SUMIFS(Compta!$F$1:$F$675,Compta!$A$1:$A$675,$B66,Compta!$B$1:$B$675,"6231",Compta!$C$1:$C$675,$A66))</f>
        <v/>
      </c>
      <c r="AA66" t="str">
        <f>IF($A66="","",SUMIFS(Compta!$F$1:$F$675,Compta!$A$1:$A$675,$B66,Compta!$B$1:$B$675,"6413",Compta!$C$1:$C$675,$A66)+SUMIFS(Compta!$F$1:$F$675,Compta!$A$1:$A$675,$B66,Compta!$B$1:$B$675,"645",Compta!$C$1:$C$675,$A66)+SUMIFS(Compta!$F$1:$F$675,Compta!$A$1:$A$675,$B66,Compta!$B$1:$B$675,"613",Compta!$C$1:$C$675,$A66)+SUMIFS(Compta!$F$1:$F$675,Compta!$A$1:$A$675,$B66,Compta!$B$1:$B$675,"615",Compta!$C$1:$C$675,$A66)+SUMIFS(Compta!$F$1:$F$675,Compta!$A$1:$A$675,$B66,Compta!$B$1:$B$675,"616",Compta!$C$1:$C$675,$A66)+SUMIFS(Compta!$F$1:$F$675,Compta!$A$1:$A$675,$B66,Compta!$B$1:$B$675,"625",Compta!$C$1:$C$675,$A66)+SUMIFS(Compta!$F$1:$F$675,Compta!$A$1:$A$675,$B66,Compta!$B$1:$B$675,"63511",Compta!$C$1:$C$675,$A66))</f>
        <v/>
      </c>
      <c r="AB66" t="str">
        <f>IF($A66="","",SUMIFS(Compta!$F$1:$F$675,Compta!$A$1:$A$675,"GRP",Compta!$B$1:$B$675,"6414",Compta!$C$1:$C$675,$A66)+SUMIFS(Compta!$F$1:$F$675,Compta!$A$1:$A$675,"GRP",Compta!$B$1:$B$675,"6226",Compta!$C$1:$C$675,$A66)+SUMIFS(Compta!$F$1:$F$675,Compta!$A$1:$A$675,"GRP",Compta!$B$1:$B$675,"626",Compta!$C$1:$C$675,$A66)+SUMIFS(Compta!$F$1:$F$675,Compta!$A$1:$A$675,"GRP",Compta!$B$1:$B$675,"6281",Compta!$C$1:$C$675,$A66)+SUMIFS(Compta!$F$1:$F$675,Compta!$A$1:$A$675,"GRP",Compta!$B$1:$B$675,"6331",Compta!$C$1:$C$675,$A66)+SUMIFS(Compta!$F$1:$F$675,Compta!$A$1:$A$675,"GRP",Compta!$B$1:$B$675,"6333",Compta!$C$1:$C$675,$A66))</f>
        <v/>
      </c>
      <c r="AC66" t="str">
        <f t="shared" ref="AC66:AC129" si="21">IF($A66="","",IF(ALLOC!$C$9="Chiffre d'affaires",$I66,IF(ALLOC!$C$9="Effectif",$G66,$H66)))</f>
        <v/>
      </c>
      <c r="AD66" t="str">
        <f t="shared" ref="AD66:AD129" si="22">IF($A66="","",IF(ALLOC!$C$9="Chiffre d'affaires",$N66,IF(ALLOC!$C$9="Effectif",$L66,$M66)))</f>
        <v/>
      </c>
      <c r="AE66" t="str">
        <f t="shared" ref="AE66:AE129" si="23">IF($A66="","",IF(ALLOC!$C$8="Chiffre d'affaires",$N66,IF(ALLOC!$C$8="Effectif",$L66,$M66)))</f>
        <v/>
      </c>
      <c r="AF66" t="str">
        <f t="shared" ref="AF66:AF129" si="24">IF($A66="","",IF(ALLOC!$C$8="Chiffre d'affaires",$S66,IF(ALLOC!$C$8="Effectif",$Q66,$R66)))</f>
        <v/>
      </c>
      <c r="AG66" t="str">
        <f t="shared" ref="AG66:AG129" si="25">IF($A66="","",IF(ALLOC!$C$6="Chiffre d'affaires",$S66,IF(ALLOC!$C$6="Effectif",$Q66,$R66)))</f>
        <v/>
      </c>
      <c r="AH66" t="str">
        <f t="shared" ref="AH66:AH129" si="26">IF($A66="","",IF(ALLOC!$C$6="Chiffre d'affaires",$V66,IF(ALLOC!$C$6="Effectif",$T66,$U66)))</f>
        <v/>
      </c>
      <c r="AI66" t="str">
        <f t="shared" ref="AI66:AI129" si="27">IF($A66="","",$W66*IFERROR($K66/$O66,0))</f>
        <v/>
      </c>
      <c r="AJ66" t="str">
        <f t="shared" ref="AJ66:AJ129" si="28">IF($A66="","",$X66*IFERROR($K66/$O66,0))</f>
        <v/>
      </c>
      <c r="AK66" t="str">
        <f t="shared" ref="AK66:AK129" si="29">IF($A66="","",$Y66*IFERROR($G66/$L66,0)+$Z66*IFERROR($J66/$P66,0))</f>
        <v/>
      </c>
      <c r="AL66" t="str">
        <f t="shared" ref="AL66:AL129" si="30">IF($A66="","",$AA66*IFERROR($AC66/$AD66,0))</f>
        <v/>
      </c>
      <c r="AM66" t="str">
        <f t="shared" ref="AM66:AM129" si="31">IF($A66="","",$AB66*IFERROR($AG66/$AH66,0)*IFERROR($AE66/$AF66,0)*IFERROR($AC66/$AD66,0))</f>
        <v/>
      </c>
      <c r="AN66" t="str">
        <f t="shared" ref="AN66:AN129" si="32">IF($A66="","",$I66-($AI66+$AJ66+$AK66+$AL66+$AM66+$AR66))</f>
        <v/>
      </c>
      <c r="AO66" t="str">
        <f>IF($A66="","",SUMIFS(Compta!$F$1:$F$675,Compta!$A$1:$A$675,"GRP",Compta!$B$1:$B$675,"6236",Compta!$C$1:$C$675,$A66))</f>
        <v/>
      </c>
      <c r="AP66" t="str">
        <f t="shared" ref="AP66:AP129" si="33">IF($A66="","",IF(ALLOC!$C$7="Chiffre d'affaires",$S66,IF(ALLOC!$C$7="Effectif",$Q66,$R66)))</f>
        <v/>
      </c>
      <c r="AQ66" t="str">
        <f t="shared" ref="AQ66:AQ129" si="34">IF($A66="","",IF(ALLOC!$C$7="Chiffre d'affaires",$V66,IF(ALLOC!$C$7="Effectif",$T66,$U66)))</f>
        <v/>
      </c>
      <c r="AR66" t="str">
        <f t="shared" ref="AR66:AR129" si="35">IF($A66="","",$AO66*IFERROR($AP66/$AQ66,0)*IFERROR($AE66/$AF66,0)*IFERROR($AC66/$AD66,0))</f>
        <v/>
      </c>
    </row>
    <row r="67" spans="1:44" x14ac:dyDescent="0.45">
      <c r="A67" t="str">
        <f>IF(Allocation!C67="","",Allocation!C67)</f>
        <v/>
      </c>
      <c r="B67" t="str">
        <f>IF(Allocation!D67="","",Allocation!D67)</f>
        <v/>
      </c>
      <c r="C67" t="str">
        <f>IF(Allocation!E67="","",Allocation!E67)</f>
        <v/>
      </c>
      <c r="D67" t="str">
        <f>IF(Allocation!F67="","",Allocation!F67)</f>
        <v/>
      </c>
      <c r="E67" t="str">
        <f>IF(Allocation!G67="","",Allocation!G67)</f>
        <v/>
      </c>
      <c r="F67" t="str">
        <f>IF(Allocation!H67="","",Allocation!H67)</f>
        <v/>
      </c>
      <c r="G67" t="str">
        <f>IF(Allocation!D67="","",Allocation!I67)</f>
        <v/>
      </c>
      <c r="H67" t="str">
        <f>IF(Allocation!D67="","",Allocation!J67)</f>
        <v/>
      </c>
      <c r="I67" t="str">
        <f>IF(Allocation!D67="","",Allocation!K67)</f>
        <v/>
      </c>
      <c r="J67" t="str">
        <f>IF($A67="","",SUMIFS(Socle!$K$1:$K$1000,Socle!$C$1:$C$1000,$B67,Socle!$D$1:$D$1000,$D67,Socle!$E$1:$E$1000,$E67,Socle!$F$1:$F$1000,$F67,Socle!$G$1:$G$1000,$A67))</f>
        <v/>
      </c>
      <c r="K67" t="str">
        <f t="shared" si="18"/>
        <v/>
      </c>
      <c r="L67" t="str">
        <f>IF($A67="","",SUMIFS(Allocation!$I$1:$I$175,Allocation!$C$1:$C$175,$A67,Allocation!$D$1:$D$175,$B67))</f>
        <v/>
      </c>
      <c r="M67" t="str">
        <f>IF($A67="","",SUMIFS(Allocation!$J$1:$J$175,Allocation!$C$1:$C$175,$A67,Allocation!$D$1:$D$175,$B67))</f>
        <v/>
      </c>
      <c r="N67" t="str">
        <f>IF($A67="","",SUMIFS(Allocation!$K$1:$K$175,Allocation!$C$1:$C$175,$A67,Allocation!$D$1:$D$175,$B67))</f>
        <v/>
      </c>
      <c r="O67" t="str">
        <f t="shared" si="19"/>
        <v/>
      </c>
      <c r="P67" t="str">
        <f t="shared" si="20"/>
        <v/>
      </c>
      <c r="Q67" t="str">
        <f>IF($A67="","",SUMIFS(Allocation!$I$1:$I$175,Allocation!$C$1:$C$175,$A67,Allocation!$E$1:$E$175,$C67))</f>
        <v/>
      </c>
      <c r="R67" t="str">
        <f>IF($A67="","",SUMIFS(Allocation!$J$1:$J$175,Allocation!$C$1:$C$175,$A67,Allocation!$E$1:$E$175,$C67))</f>
        <v/>
      </c>
      <c r="S67" t="str">
        <f>IF($A67="","",SUMIFS(Allocation!$K$1:$K$175,Allocation!$C$1:$C$175,$A67,Allocation!$E$1:$E$175,$C67))</f>
        <v/>
      </c>
      <c r="T67" t="str">
        <f>IF($A67="","",SUMIFS(Allocation!$I$1:$I$175,Allocation!$C$1:$C$175,$A67))</f>
        <v/>
      </c>
      <c r="U67" t="str">
        <f>IF($A67="","",SUMIFS(Allocation!$J$1:$J$175,Allocation!$C$1:$C$175,$A67))</f>
        <v/>
      </c>
      <c r="V67" t="str">
        <f>IF($A67="","",SUMIFS(Allocation!$K$1:$K$175,Allocation!$C$1:$C$175,$A67))</f>
        <v/>
      </c>
      <c r="W67" t="str">
        <f>IF($A67="","",SUMIFS(Compta!$F$1:$F$675,Compta!$A$1:$A$675,$B67,Compta!$B$1:$B$675,"621",Compta!$C$1:$C$675,$A67))</f>
        <v/>
      </c>
      <c r="X67" t="str">
        <f>IF($A67="","",SUMIFS(Compta!$F$1:$F$675,Compta!$A$1:$A$675,$B67,Compta!$B$1:$B$675,"6411",Compta!$C$1:$C$675,$A67))</f>
        <v/>
      </c>
      <c r="Y67" t="str">
        <f>IF($A67="","",SUMIFS(Compta!$F$1:$F$675,Compta!$A$1:$A$675,$B67,Compta!$B$1:$B$675,"604",Compta!$C$1:$C$675,$A67)+SUMIFS(Compta!$F$1:$F$675,Compta!$A$1:$A$675,$B67,Compta!$B$1:$B$675,"6063",Compta!$C$1:$C$675,$A67))</f>
        <v/>
      </c>
      <c r="Z67" t="str">
        <f>IF($A67="","",SUMIFS(Compta!$F$1:$F$675,Compta!$A$1:$A$675,$B67,Compta!$B$1:$B$675,"6231",Compta!$C$1:$C$675,$A67))</f>
        <v/>
      </c>
      <c r="AA67" t="str">
        <f>IF($A67="","",SUMIFS(Compta!$F$1:$F$675,Compta!$A$1:$A$675,$B67,Compta!$B$1:$B$675,"6413",Compta!$C$1:$C$675,$A67)+SUMIFS(Compta!$F$1:$F$675,Compta!$A$1:$A$675,$B67,Compta!$B$1:$B$675,"645",Compta!$C$1:$C$675,$A67)+SUMIFS(Compta!$F$1:$F$675,Compta!$A$1:$A$675,$B67,Compta!$B$1:$B$675,"613",Compta!$C$1:$C$675,$A67)+SUMIFS(Compta!$F$1:$F$675,Compta!$A$1:$A$675,$B67,Compta!$B$1:$B$675,"615",Compta!$C$1:$C$675,$A67)+SUMIFS(Compta!$F$1:$F$675,Compta!$A$1:$A$675,$B67,Compta!$B$1:$B$675,"616",Compta!$C$1:$C$675,$A67)+SUMIFS(Compta!$F$1:$F$675,Compta!$A$1:$A$675,$B67,Compta!$B$1:$B$675,"625",Compta!$C$1:$C$675,$A67)+SUMIFS(Compta!$F$1:$F$675,Compta!$A$1:$A$675,$B67,Compta!$B$1:$B$675,"63511",Compta!$C$1:$C$675,$A67))</f>
        <v/>
      </c>
      <c r="AB67" t="str">
        <f>IF($A67="","",SUMIFS(Compta!$F$1:$F$675,Compta!$A$1:$A$675,"GRP",Compta!$B$1:$B$675,"6414",Compta!$C$1:$C$675,$A67)+SUMIFS(Compta!$F$1:$F$675,Compta!$A$1:$A$675,"GRP",Compta!$B$1:$B$675,"6226",Compta!$C$1:$C$675,$A67)+SUMIFS(Compta!$F$1:$F$675,Compta!$A$1:$A$675,"GRP",Compta!$B$1:$B$675,"626",Compta!$C$1:$C$675,$A67)+SUMIFS(Compta!$F$1:$F$675,Compta!$A$1:$A$675,"GRP",Compta!$B$1:$B$675,"6281",Compta!$C$1:$C$675,$A67)+SUMIFS(Compta!$F$1:$F$675,Compta!$A$1:$A$675,"GRP",Compta!$B$1:$B$675,"6331",Compta!$C$1:$C$675,$A67)+SUMIFS(Compta!$F$1:$F$675,Compta!$A$1:$A$675,"GRP",Compta!$B$1:$B$675,"6333",Compta!$C$1:$C$675,$A67))</f>
        <v/>
      </c>
      <c r="AC67" t="str">
        <f t="shared" si="21"/>
        <v/>
      </c>
      <c r="AD67" t="str">
        <f t="shared" si="22"/>
        <v/>
      </c>
      <c r="AE67" t="str">
        <f t="shared" si="23"/>
        <v/>
      </c>
      <c r="AF67" t="str">
        <f t="shared" si="24"/>
        <v/>
      </c>
      <c r="AG67" t="str">
        <f t="shared" si="25"/>
        <v/>
      </c>
      <c r="AH67" t="str">
        <f t="shared" si="26"/>
        <v/>
      </c>
      <c r="AI67" t="str">
        <f t="shared" si="27"/>
        <v/>
      </c>
      <c r="AJ67" t="str">
        <f t="shared" si="28"/>
        <v/>
      </c>
      <c r="AK67" t="str">
        <f t="shared" si="29"/>
        <v/>
      </c>
      <c r="AL67" t="str">
        <f t="shared" si="30"/>
        <v/>
      </c>
      <c r="AM67" t="str">
        <f t="shared" si="31"/>
        <v/>
      </c>
      <c r="AN67" t="str">
        <f t="shared" si="32"/>
        <v/>
      </c>
      <c r="AO67" t="str">
        <f>IF($A67="","",SUMIFS(Compta!$F$1:$F$675,Compta!$A$1:$A$675,"GRP",Compta!$B$1:$B$675,"6236",Compta!$C$1:$C$675,$A67))</f>
        <v/>
      </c>
      <c r="AP67" t="str">
        <f t="shared" si="33"/>
        <v/>
      </c>
      <c r="AQ67" t="str">
        <f t="shared" si="34"/>
        <v/>
      </c>
      <c r="AR67" t="str">
        <f t="shared" si="35"/>
        <v/>
      </c>
    </row>
    <row r="68" spans="1:44" x14ac:dyDescent="0.45">
      <c r="A68" t="str">
        <f>IF(Allocation!C68="","",Allocation!C68)</f>
        <v/>
      </c>
      <c r="B68" t="str">
        <f>IF(Allocation!D68="","",Allocation!D68)</f>
        <v/>
      </c>
      <c r="C68" t="str">
        <f>IF(Allocation!E68="","",Allocation!E68)</f>
        <v/>
      </c>
      <c r="D68" t="str">
        <f>IF(Allocation!F68="","",Allocation!F68)</f>
        <v/>
      </c>
      <c r="E68" t="str">
        <f>IF(Allocation!G68="","",Allocation!G68)</f>
        <v/>
      </c>
      <c r="F68" t="str">
        <f>IF(Allocation!H68="","",Allocation!H68)</f>
        <v/>
      </c>
      <c r="G68" t="str">
        <f>IF(Allocation!D68="","",Allocation!I68)</f>
        <v/>
      </c>
      <c r="H68" t="str">
        <f>IF(Allocation!D68="","",Allocation!J68)</f>
        <v/>
      </c>
      <c r="I68" t="str">
        <f>IF(Allocation!D68="","",Allocation!K68)</f>
        <v/>
      </c>
      <c r="J68" t="str">
        <f>IF($A68="","",SUMIFS(Socle!$K$1:$K$1000,Socle!$C$1:$C$1000,$B68,Socle!$D$1:$D$1000,$D68,Socle!$E$1:$E$1000,$E68,Socle!$F$1:$F$1000,$F68,Socle!$G$1:$G$1000,$A68))</f>
        <v/>
      </c>
      <c r="K68" t="str">
        <f t="shared" si="18"/>
        <v/>
      </c>
      <c r="L68" t="str">
        <f>IF($A68="","",SUMIFS(Allocation!$I$1:$I$175,Allocation!$C$1:$C$175,$A68,Allocation!$D$1:$D$175,$B68))</f>
        <v/>
      </c>
      <c r="M68" t="str">
        <f>IF($A68="","",SUMIFS(Allocation!$J$1:$J$175,Allocation!$C$1:$C$175,$A68,Allocation!$D$1:$D$175,$B68))</f>
        <v/>
      </c>
      <c r="N68" t="str">
        <f>IF($A68="","",SUMIFS(Allocation!$K$1:$K$175,Allocation!$C$1:$C$175,$A68,Allocation!$D$1:$D$175,$B68))</f>
        <v/>
      </c>
      <c r="O68" t="str">
        <f t="shared" si="19"/>
        <v/>
      </c>
      <c r="P68" t="str">
        <f t="shared" si="20"/>
        <v/>
      </c>
      <c r="Q68" t="str">
        <f>IF($A68="","",SUMIFS(Allocation!$I$1:$I$175,Allocation!$C$1:$C$175,$A68,Allocation!$E$1:$E$175,$C68))</f>
        <v/>
      </c>
      <c r="R68" t="str">
        <f>IF($A68="","",SUMIFS(Allocation!$J$1:$J$175,Allocation!$C$1:$C$175,$A68,Allocation!$E$1:$E$175,$C68))</f>
        <v/>
      </c>
      <c r="S68" t="str">
        <f>IF($A68="","",SUMIFS(Allocation!$K$1:$K$175,Allocation!$C$1:$C$175,$A68,Allocation!$E$1:$E$175,$C68))</f>
        <v/>
      </c>
      <c r="T68" t="str">
        <f>IF($A68="","",SUMIFS(Allocation!$I$1:$I$175,Allocation!$C$1:$C$175,$A68))</f>
        <v/>
      </c>
      <c r="U68" t="str">
        <f>IF($A68="","",SUMIFS(Allocation!$J$1:$J$175,Allocation!$C$1:$C$175,$A68))</f>
        <v/>
      </c>
      <c r="V68" t="str">
        <f>IF($A68="","",SUMIFS(Allocation!$K$1:$K$175,Allocation!$C$1:$C$175,$A68))</f>
        <v/>
      </c>
      <c r="W68" t="str">
        <f>IF($A68="","",SUMIFS(Compta!$F$1:$F$675,Compta!$A$1:$A$675,$B68,Compta!$B$1:$B$675,"621",Compta!$C$1:$C$675,$A68))</f>
        <v/>
      </c>
      <c r="X68" t="str">
        <f>IF($A68="","",SUMIFS(Compta!$F$1:$F$675,Compta!$A$1:$A$675,$B68,Compta!$B$1:$B$675,"6411",Compta!$C$1:$C$675,$A68))</f>
        <v/>
      </c>
      <c r="Y68" t="str">
        <f>IF($A68="","",SUMIFS(Compta!$F$1:$F$675,Compta!$A$1:$A$675,$B68,Compta!$B$1:$B$675,"604",Compta!$C$1:$C$675,$A68)+SUMIFS(Compta!$F$1:$F$675,Compta!$A$1:$A$675,$B68,Compta!$B$1:$B$675,"6063",Compta!$C$1:$C$675,$A68))</f>
        <v/>
      </c>
      <c r="Z68" t="str">
        <f>IF($A68="","",SUMIFS(Compta!$F$1:$F$675,Compta!$A$1:$A$675,$B68,Compta!$B$1:$B$675,"6231",Compta!$C$1:$C$675,$A68))</f>
        <v/>
      </c>
      <c r="AA68" t="str">
        <f>IF($A68="","",SUMIFS(Compta!$F$1:$F$675,Compta!$A$1:$A$675,$B68,Compta!$B$1:$B$675,"6413",Compta!$C$1:$C$675,$A68)+SUMIFS(Compta!$F$1:$F$675,Compta!$A$1:$A$675,$B68,Compta!$B$1:$B$675,"645",Compta!$C$1:$C$675,$A68)+SUMIFS(Compta!$F$1:$F$675,Compta!$A$1:$A$675,$B68,Compta!$B$1:$B$675,"613",Compta!$C$1:$C$675,$A68)+SUMIFS(Compta!$F$1:$F$675,Compta!$A$1:$A$675,$B68,Compta!$B$1:$B$675,"615",Compta!$C$1:$C$675,$A68)+SUMIFS(Compta!$F$1:$F$675,Compta!$A$1:$A$675,$B68,Compta!$B$1:$B$675,"616",Compta!$C$1:$C$675,$A68)+SUMIFS(Compta!$F$1:$F$675,Compta!$A$1:$A$675,$B68,Compta!$B$1:$B$675,"625",Compta!$C$1:$C$675,$A68)+SUMIFS(Compta!$F$1:$F$675,Compta!$A$1:$A$675,$B68,Compta!$B$1:$B$675,"63511",Compta!$C$1:$C$675,$A68))</f>
        <v/>
      </c>
      <c r="AB68" t="str">
        <f>IF($A68="","",SUMIFS(Compta!$F$1:$F$675,Compta!$A$1:$A$675,"GRP",Compta!$B$1:$B$675,"6414",Compta!$C$1:$C$675,$A68)+SUMIFS(Compta!$F$1:$F$675,Compta!$A$1:$A$675,"GRP",Compta!$B$1:$B$675,"6226",Compta!$C$1:$C$675,$A68)+SUMIFS(Compta!$F$1:$F$675,Compta!$A$1:$A$675,"GRP",Compta!$B$1:$B$675,"626",Compta!$C$1:$C$675,$A68)+SUMIFS(Compta!$F$1:$F$675,Compta!$A$1:$A$675,"GRP",Compta!$B$1:$B$675,"6281",Compta!$C$1:$C$675,$A68)+SUMIFS(Compta!$F$1:$F$675,Compta!$A$1:$A$675,"GRP",Compta!$B$1:$B$675,"6331",Compta!$C$1:$C$675,$A68)+SUMIFS(Compta!$F$1:$F$675,Compta!$A$1:$A$675,"GRP",Compta!$B$1:$B$675,"6333",Compta!$C$1:$C$675,$A68))</f>
        <v/>
      </c>
      <c r="AC68" t="str">
        <f t="shared" si="21"/>
        <v/>
      </c>
      <c r="AD68" t="str">
        <f t="shared" si="22"/>
        <v/>
      </c>
      <c r="AE68" t="str">
        <f t="shared" si="23"/>
        <v/>
      </c>
      <c r="AF68" t="str">
        <f t="shared" si="24"/>
        <v/>
      </c>
      <c r="AG68" t="str">
        <f t="shared" si="25"/>
        <v/>
      </c>
      <c r="AH68" t="str">
        <f t="shared" si="26"/>
        <v/>
      </c>
      <c r="AI68" t="str">
        <f t="shared" si="27"/>
        <v/>
      </c>
      <c r="AJ68" t="str">
        <f t="shared" si="28"/>
        <v/>
      </c>
      <c r="AK68" t="str">
        <f t="shared" si="29"/>
        <v/>
      </c>
      <c r="AL68" t="str">
        <f t="shared" si="30"/>
        <v/>
      </c>
      <c r="AM68" t="str">
        <f t="shared" si="31"/>
        <v/>
      </c>
      <c r="AN68" t="str">
        <f t="shared" si="32"/>
        <v/>
      </c>
      <c r="AO68" t="str">
        <f>IF($A68="","",SUMIFS(Compta!$F$1:$F$675,Compta!$A$1:$A$675,"GRP",Compta!$B$1:$B$675,"6236",Compta!$C$1:$C$675,$A68))</f>
        <v/>
      </c>
      <c r="AP68" t="str">
        <f t="shared" si="33"/>
        <v/>
      </c>
      <c r="AQ68" t="str">
        <f t="shared" si="34"/>
        <v/>
      </c>
      <c r="AR68" t="str">
        <f t="shared" si="35"/>
        <v/>
      </c>
    </row>
    <row r="69" spans="1:44" x14ac:dyDescent="0.45">
      <c r="A69" t="str">
        <f>IF(Allocation!C69="","",Allocation!C69)</f>
        <v/>
      </c>
      <c r="B69" t="str">
        <f>IF(Allocation!D69="","",Allocation!D69)</f>
        <v/>
      </c>
      <c r="C69" t="str">
        <f>IF(Allocation!E69="","",Allocation!E69)</f>
        <v/>
      </c>
      <c r="D69" t="str">
        <f>IF(Allocation!F69="","",Allocation!F69)</f>
        <v/>
      </c>
      <c r="E69" t="str">
        <f>IF(Allocation!G69="","",Allocation!G69)</f>
        <v/>
      </c>
      <c r="F69" t="str">
        <f>IF(Allocation!H69="","",Allocation!H69)</f>
        <v/>
      </c>
      <c r="G69" t="str">
        <f>IF(Allocation!D69="","",Allocation!I69)</f>
        <v/>
      </c>
      <c r="H69" t="str">
        <f>IF(Allocation!D69="","",Allocation!J69)</f>
        <v/>
      </c>
      <c r="I69" t="str">
        <f>IF(Allocation!D69="","",Allocation!K69)</f>
        <v/>
      </c>
      <c r="J69" t="str">
        <f>IF($A69="","",SUMIFS(Socle!$K$1:$K$1000,Socle!$C$1:$C$1000,$B69,Socle!$D$1:$D$1000,$D69,Socle!$E$1:$E$1000,$E69,Socle!$F$1:$F$1000,$F69,Socle!$G$1:$G$1000,$A69))</f>
        <v/>
      </c>
      <c r="K69" t="str">
        <f t="shared" si="18"/>
        <v/>
      </c>
      <c r="L69" t="str">
        <f>IF($A69="","",SUMIFS(Allocation!$I$1:$I$175,Allocation!$C$1:$C$175,$A69,Allocation!$D$1:$D$175,$B69))</f>
        <v/>
      </c>
      <c r="M69" t="str">
        <f>IF($A69="","",SUMIFS(Allocation!$J$1:$J$175,Allocation!$C$1:$C$175,$A69,Allocation!$D$1:$D$175,$B69))</f>
        <v/>
      </c>
      <c r="N69" t="str">
        <f>IF($A69="","",SUMIFS(Allocation!$K$1:$K$175,Allocation!$C$1:$C$175,$A69,Allocation!$D$1:$D$175,$B69))</f>
        <v/>
      </c>
      <c r="O69" t="str">
        <f t="shared" si="19"/>
        <v/>
      </c>
      <c r="P69" t="str">
        <f t="shared" si="20"/>
        <v/>
      </c>
      <c r="Q69" t="str">
        <f>IF($A69="","",SUMIFS(Allocation!$I$1:$I$175,Allocation!$C$1:$C$175,$A69,Allocation!$E$1:$E$175,$C69))</f>
        <v/>
      </c>
      <c r="R69" t="str">
        <f>IF($A69="","",SUMIFS(Allocation!$J$1:$J$175,Allocation!$C$1:$C$175,$A69,Allocation!$E$1:$E$175,$C69))</f>
        <v/>
      </c>
      <c r="S69" t="str">
        <f>IF($A69="","",SUMIFS(Allocation!$K$1:$K$175,Allocation!$C$1:$C$175,$A69,Allocation!$E$1:$E$175,$C69))</f>
        <v/>
      </c>
      <c r="T69" t="str">
        <f>IF($A69="","",SUMIFS(Allocation!$I$1:$I$175,Allocation!$C$1:$C$175,$A69))</f>
        <v/>
      </c>
      <c r="U69" t="str">
        <f>IF($A69="","",SUMIFS(Allocation!$J$1:$J$175,Allocation!$C$1:$C$175,$A69))</f>
        <v/>
      </c>
      <c r="V69" t="str">
        <f>IF($A69="","",SUMIFS(Allocation!$K$1:$K$175,Allocation!$C$1:$C$175,$A69))</f>
        <v/>
      </c>
      <c r="W69" t="str">
        <f>IF($A69="","",SUMIFS(Compta!$F$1:$F$675,Compta!$A$1:$A$675,$B69,Compta!$B$1:$B$675,"621",Compta!$C$1:$C$675,$A69))</f>
        <v/>
      </c>
      <c r="X69" t="str">
        <f>IF($A69="","",SUMIFS(Compta!$F$1:$F$675,Compta!$A$1:$A$675,$B69,Compta!$B$1:$B$675,"6411",Compta!$C$1:$C$675,$A69))</f>
        <v/>
      </c>
      <c r="Y69" t="str">
        <f>IF($A69="","",SUMIFS(Compta!$F$1:$F$675,Compta!$A$1:$A$675,$B69,Compta!$B$1:$B$675,"604",Compta!$C$1:$C$675,$A69)+SUMIFS(Compta!$F$1:$F$675,Compta!$A$1:$A$675,$B69,Compta!$B$1:$B$675,"6063",Compta!$C$1:$C$675,$A69))</f>
        <v/>
      </c>
      <c r="Z69" t="str">
        <f>IF($A69="","",SUMIFS(Compta!$F$1:$F$675,Compta!$A$1:$A$675,$B69,Compta!$B$1:$B$675,"6231",Compta!$C$1:$C$675,$A69))</f>
        <v/>
      </c>
      <c r="AA69" t="str">
        <f>IF($A69="","",SUMIFS(Compta!$F$1:$F$675,Compta!$A$1:$A$675,$B69,Compta!$B$1:$B$675,"6413",Compta!$C$1:$C$675,$A69)+SUMIFS(Compta!$F$1:$F$675,Compta!$A$1:$A$675,$B69,Compta!$B$1:$B$675,"645",Compta!$C$1:$C$675,$A69)+SUMIFS(Compta!$F$1:$F$675,Compta!$A$1:$A$675,$B69,Compta!$B$1:$B$675,"613",Compta!$C$1:$C$675,$A69)+SUMIFS(Compta!$F$1:$F$675,Compta!$A$1:$A$675,$B69,Compta!$B$1:$B$675,"615",Compta!$C$1:$C$675,$A69)+SUMIFS(Compta!$F$1:$F$675,Compta!$A$1:$A$675,$B69,Compta!$B$1:$B$675,"616",Compta!$C$1:$C$675,$A69)+SUMIFS(Compta!$F$1:$F$675,Compta!$A$1:$A$675,$B69,Compta!$B$1:$B$675,"625",Compta!$C$1:$C$675,$A69)+SUMIFS(Compta!$F$1:$F$675,Compta!$A$1:$A$675,$B69,Compta!$B$1:$B$675,"63511",Compta!$C$1:$C$675,$A69))</f>
        <v/>
      </c>
      <c r="AB69" t="str">
        <f>IF($A69="","",SUMIFS(Compta!$F$1:$F$675,Compta!$A$1:$A$675,"GRP",Compta!$B$1:$B$675,"6414",Compta!$C$1:$C$675,$A69)+SUMIFS(Compta!$F$1:$F$675,Compta!$A$1:$A$675,"GRP",Compta!$B$1:$B$675,"6226",Compta!$C$1:$C$675,$A69)+SUMIFS(Compta!$F$1:$F$675,Compta!$A$1:$A$675,"GRP",Compta!$B$1:$B$675,"626",Compta!$C$1:$C$675,$A69)+SUMIFS(Compta!$F$1:$F$675,Compta!$A$1:$A$675,"GRP",Compta!$B$1:$B$675,"6281",Compta!$C$1:$C$675,$A69)+SUMIFS(Compta!$F$1:$F$675,Compta!$A$1:$A$675,"GRP",Compta!$B$1:$B$675,"6331",Compta!$C$1:$C$675,$A69)+SUMIFS(Compta!$F$1:$F$675,Compta!$A$1:$A$675,"GRP",Compta!$B$1:$B$675,"6333",Compta!$C$1:$C$675,$A69))</f>
        <v/>
      </c>
      <c r="AC69" t="str">
        <f t="shared" si="21"/>
        <v/>
      </c>
      <c r="AD69" t="str">
        <f t="shared" si="22"/>
        <v/>
      </c>
      <c r="AE69" t="str">
        <f t="shared" si="23"/>
        <v/>
      </c>
      <c r="AF69" t="str">
        <f t="shared" si="24"/>
        <v/>
      </c>
      <c r="AG69" t="str">
        <f t="shared" si="25"/>
        <v/>
      </c>
      <c r="AH69" t="str">
        <f t="shared" si="26"/>
        <v/>
      </c>
      <c r="AI69" t="str">
        <f t="shared" si="27"/>
        <v/>
      </c>
      <c r="AJ69" t="str">
        <f t="shared" si="28"/>
        <v/>
      </c>
      <c r="AK69" t="str">
        <f t="shared" si="29"/>
        <v/>
      </c>
      <c r="AL69" t="str">
        <f t="shared" si="30"/>
        <v/>
      </c>
      <c r="AM69" t="str">
        <f t="shared" si="31"/>
        <v/>
      </c>
      <c r="AN69" t="str">
        <f t="shared" si="32"/>
        <v/>
      </c>
      <c r="AO69" t="str">
        <f>IF($A69="","",SUMIFS(Compta!$F$1:$F$675,Compta!$A$1:$A$675,"GRP",Compta!$B$1:$B$675,"6236",Compta!$C$1:$C$675,$A69))</f>
        <v/>
      </c>
      <c r="AP69" t="str">
        <f t="shared" si="33"/>
        <v/>
      </c>
      <c r="AQ69" t="str">
        <f t="shared" si="34"/>
        <v/>
      </c>
      <c r="AR69" t="str">
        <f t="shared" si="35"/>
        <v/>
      </c>
    </row>
    <row r="70" spans="1:44" x14ac:dyDescent="0.45">
      <c r="A70" t="str">
        <f>IF(Allocation!C70="","",Allocation!C70)</f>
        <v/>
      </c>
      <c r="B70" t="str">
        <f>IF(Allocation!D70="","",Allocation!D70)</f>
        <v/>
      </c>
      <c r="C70" t="str">
        <f>IF(Allocation!E70="","",Allocation!E70)</f>
        <v/>
      </c>
      <c r="D70" t="str">
        <f>IF(Allocation!F70="","",Allocation!F70)</f>
        <v/>
      </c>
      <c r="E70" t="str">
        <f>IF(Allocation!G70="","",Allocation!G70)</f>
        <v/>
      </c>
      <c r="F70" t="str">
        <f>IF(Allocation!H70="","",Allocation!H70)</f>
        <v/>
      </c>
      <c r="G70" t="str">
        <f>IF(Allocation!D70="","",Allocation!I70)</f>
        <v/>
      </c>
      <c r="H70" t="str">
        <f>IF(Allocation!D70="","",Allocation!J70)</f>
        <v/>
      </c>
      <c r="I70" t="str">
        <f>IF(Allocation!D70="","",Allocation!K70)</f>
        <v/>
      </c>
      <c r="J70" t="str">
        <f>IF($A70="","",SUMIFS(Socle!$K$1:$K$1000,Socle!$C$1:$C$1000,$B70,Socle!$D$1:$D$1000,$D70,Socle!$E$1:$E$1000,$E70,Socle!$F$1:$F$1000,$F70,Socle!$G$1:$G$1000,$A70))</f>
        <v/>
      </c>
      <c r="K70" t="str">
        <f t="shared" si="18"/>
        <v/>
      </c>
      <c r="L70" t="str">
        <f>IF($A70="","",SUMIFS(Allocation!$I$1:$I$175,Allocation!$C$1:$C$175,$A70,Allocation!$D$1:$D$175,$B70))</f>
        <v/>
      </c>
      <c r="M70" t="str">
        <f>IF($A70="","",SUMIFS(Allocation!$J$1:$J$175,Allocation!$C$1:$C$175,$A70,Allocation!$D$1:$D$175,$B70))</f>
        <v/>
      </c>
      <c r="N70" t="str">
        <f>IF($A70="","",SUMIFS(Allocation!$K$1:$K$175,Allocation!$C$1:$C$175,$A70,Allocation!$D$1:$D$175,$B70))</f>
        <v/>
      </c>
      <c r="O70" t="str">
        <f t="shared" si="19"/>
        <v/>
      </c>
      <c r="P70" t="str">
        <f t="shared" si="20"/>
        <v/>
      </c>
      <c r="Q70" t="str">
        <f>IF($A70="","",SUMIFS(Allocation!$I$1:$I$175,Allocation!$C$1:$C$175,$A70,Allocation!$E$1:$E$175,$C70))</f>
        <v/>
      </c>
      <c r="R70" t="str">
        <f>IF($A70="","",SUMIFS(Allocation!$J$1:$J$175,Allocation!$C$1:$C$175,$A70,Allocation!$E$1:$E$175,$C70))</f>
        <v/>
      </c>
      <c r="S70" t="str">
        <f>IF($A70="","",SUMIFS(Allocation!$K$1:$K$175,Allocation!$C$1:$C$175,$A70,Allocation!$E$1:$E$175,$C70))</f>
        <v/>
      </c>
      <c r="T70" t="str">
        <f>IF($A70="","",SUMIFS(Allocation!$I$1:$I$175,Allocation!$C$1:$C$175,$A70))</f>
        <v/>
      </c>
      <c r="U70" t="str">
        <f>IF($A70="","",SUMIFS(Allocation!$J$1:$J$175,Allocation!$C$1:$C$175,$A70))</f>
        <v/>
      </c>
      <c r="V70" t="str">
        <f>IF($A70="","",SUMIFS(Allocation!$K$1:$K$175,Allocation!$C$1:$C$175,$A70))</f>
        <v/>
      </c>
      <c r="W70" t="str">
        <f>IF($A70="","",SUMIFS(Compta!$F$1:$F$675,Compta!$A$1:$A$675,$B70,Compta!$B$1:$B$675,"621",Compta!$C$1:$C$675,$A70))</f>
        <v/>
      </c>
      <c r="X70" t="str">
        <f>IF($A70="","",SUMIFS(Compta!$F$1:$F$675,Compta!$A$1:$A$675,$B70,Compta!$B$1:$B$675,"6411",Compta!$C$1:$C$675,$A70))</f>
        <v/>
      </c>
      <c r="Y70" t="str">
        <f>IF($A70="","",SUMIFS(Compta!$F$1:$F$675,Compta!$A$1:$A$675,$B70,Compta!$B$1:$B$675,"604",Compta!$C$1:$C$675,$A70)+SUMIFS(Compta!$F$1:$F$675,Compta!$A$1:$A$675,$B70,Compta!$B$1:$B$675,"6063",Compta!$C$1:$C$675,$A70))</f>
        <v/>
      </c>
      <c r="Z70" t="str">
        <f>IF($A70="","",SUMIFS(Compta!$F$1:$F$675,Compta!$A$1:$A$675,$B70,Compta!$B$1:$B$675,"6231",Compta!$C$1:$C$675,$A70))</f>
        <v/>
      </c>
      <c r="AA70" t="str">
        <f>IF($A70="","",SUMIFS(Compta!$F$1:$F$675,Compta!$A$1:$A$675,$B70,Compta!$B$1:$B$675,"6413",Compta!$C$1:$C$675,$A70)+SUMIFS(Compta!$F$1:$F$675,Compta!$A$1:$A$675,$B70,Compta!$B$1:$B$675,"645",Compta!$C$1:$C$675,$A70)+SUMIFS(Compta!$F$1:$F$675,Compta!$A$1:$A$675,$B70,Compta!$B$1:$B$675,"613",Compta!$C$1:$C$675,$A70)+SUMIFS(Compta!$F$1:$F$675,Compta!$A$1:$A$675,$B70,Compta!$B$1:$B$675,"615",Compta!$C$1:$C$675,$A70)+SUMIFS(Compta!$F$1:$F$675,Compta!$A$1:$A$675,$B70,Compta!$B$1:$B$675,"616",Compta!$C$1:$C$675,$A70)+SUMIFS(Compta!$F$1:$F$675,Compta!$A$1:$A$675,$B70,Compta!$B$1:$B$675,"625",Compta!$C$1:$C$675,$A70)+SUMIFS(Compta!$F$1:$F$675,Compta!$A$1:$A$675,$B70,Compta!$B$1:$B$675,"63511",Compta!$C$1:$C$675,$A70))</f>
        <v/>
      </c>
      <c r="AB70" t="str">
        <f>IF($A70="","",SUMIFS(Compta!$F$1:$F$675,Compta!$A$1:$A$675,"GRP",Compta!$B$1:$B$675,"6414",Compta!$C$1:$C$675,$A70)+SUMIFS(Compta!$F$1:$F$675,Compta!$A$1:$A$675,"GRP",Compta!$B$1:$B$675,"6226",Compta!$C$1:$C$675,$A70)+SUMIFS(Compta!$F$1:$F$675,Compta!$A$1:$A$675,"GRP",Compta!$B$1:$B$675,"626",Compta!$C$1:$C$675,$A70)+SUMIFS(Compta!$F$1:$F$675,Compta!$A$1:$A$675,"GRP",Compta!$B$1:$B$675,"6281",Compta!$C$1:$C$675,$A70)+SUMIFS(Compta!$F$1:$F$675,Compta!$A$1:$A$675,"GRP",Compta!$B$1:$B$675,"6331",Compta!$C$1:$C$675,$A70)+SUMIFS(Compta!$F$1:$F$675,Compta!$A$1:$A$675,"GRP",Compta!$B$1:$B$675,"6333",Compta!$C$1:$C$675,$A70))</f>
        <v/>
      </c>
      <c r="AC70" t="str">
        <f t="shared" si="21"/>
        <v/>
      </c>
      <c r="AD70" t="str">
        <f t="shared" si="22"/>
        <v/>
      </c>
      <c r="AE70" t="str">
        <f t="shared" si="23"/>
        <v/>
      </c>
      <c r="AF70" t="str">
        <f t="shared" si="24"/>
        <v/>
      </c>
      <c r="AG70" t="str">
        <f t="shared" si="25"/>
        <v/>
      </c>
      <c r="AH70" t="str">
        <f t="shared" si="26"/>
        <v/>
      </c>
      <c r="AI70" t="str">
        <f t="shared" si="27"/>
        <v/>
      </c>
      <c r="AJ70" t="str">
        <f t="shared" si="28"/>
        <v/>
      </c>
      <c r="AK70" t="str">
        <f t="shared" si="29"/>
        <v/>
      </c>
      <c r="AL70" t="str">
        <f t="shared" si="30"/>
        <v/>
      </c>
      <c r="AM70" t="str">
        <f t="shared" si="31"/>
        <v/>
      </c>
      <c r="AN70" t="str">
        <f t="shared" si="32"/>
        <v/>
      </c>
      <c r="AO70" t="str">
        <f>IF($A70="","",SUMIFS(Compta!$F$1:$F$675,Compta!$A$1:$A$675,"GRP",Compta!$B$1:$B$675,"6236",Compta!$C$1:$C$675,$A70))</f>
        <v/>
      </c>
      <c r="AP70" t="str">
        <f t="shared" si="33"/>
        <v/>
      </c>
      <c r="AQ70" t="str">
        <f t="shared" si="34"/>
        <v/>
      </c>
      <c r="AR70" t="str">
        <f t="shared" si="35"/>
        <v/>
      </c>
    </row>
    <row r="71" spans="1:44" x14ac:dyDescent="0.45">
      <c r="A71" t="str">
        <f>IF(Allocation!C71="","",Allocation!C71)</f>
        <v/>
      </c>
      <c r="B71" t="str">
        <f>IF(Allocation!D71="","",Allocation!D71)</f>
        <v/>
      </c>
      <c r="C71" t="str">
        <f>IF(Allocation!E71="","",Allocation!E71)</f>
        <v/>
      </c>
      <c r="D71" t="str">
        <f>IF(Allocation!F71="","",Allocation!F71)</f>
        <v/>
      </c>
      <c r="E71" t="str">
        <f>IF(Allocation!G71="","",Allocation!G71)</f>
        <v/>
      </c>
      <c r="F71" t="str">
        <f>IF(Allocation!H71="","",Allocation!H71)</f>
        <v/>
      </c>
      <c r="G71" t="str">
        <f>IF(Allocation!D71="","",Allocation!I71)</f>
        <v/>
      </c>
      <c r="H71" t="str">
        <f>IF(Allocation!D71="","",Allocation!J71)</f>
        <v/>
      </c>
      <c r="I71" t="str">
        <f>IF(Allocation!D71="","",Allocation!K71)</f>
        <v/>
      </c>
      <c r="J71" t="str">
        <f>IF($A71="","",SUMIFS(Socle!$K$1:$K$1000,Socle!$C$1:$C$1000,$B71,Socle!$D$1:$D$1000,$D71,Socle!$E$1:$E$1000,$E71,Socle!$F$1:$F$1000,$F71,Socle!$G$1:$G$1000,$A71))</f>
        <v/>
      </c>
      <c r="K71" t="str">
        <f t="shared" si="18"/>
        <v/>
      </c>
      <c r="L71" t="str">
        <f>IF($A71="","",SUMIFS(Allocation!$I$1:$I$175,Allocation!$C$1:$C$175,$A71,Allocation!$D$1:$D$175,$B71))</f>
        <v/>
      </c>
      <c r="M71" t="str">
        <f>IF($A71="","",SUMIFS(Allocation!$J$1:$J$175,Allocation!$C$1:$C$175,$A71,Allocation!$D$1:$D$175,$B71))</f>
        <v/>
      </c>
      <c r="N71" t="str">
        <f>IF($A71="","",SUMIFS(Allocation!$K$1:$K$175,Allocation!$C$1:$C$175,$A71,Allocation!$D$1:$D$175,$B71))</f>
        <v/>
      </c>
      <c r="O71" t="str">
        <f t="shared" si="19"/>
        <v/>
      </c>
      <c r="P71" t="str">
        <f t="shared" si="20"/>
        <v/>
      </c>
      <c r="Q71" t="str">
        <f>IF($A71="","",SUMIFS(Allocation!$I$1:$I$175,Allocation!$C$1:$C$175,$A71,Allocation!$E$1:$E$175,$C71))</f>
        <v/>
      </c>
      <c r="R71" t="str">
        <f>IF($A71="","",SUMIFS(Allocation!$J$1:$J$175,Allocation!$C$1:$C$175,$A71,Allocation!$E$1:$E$175,$C71))</f>
        <v/>
      </c>
      <c r="S71" t="str">
        <f>IF($A71="","",SUMIFS(Allocation!$K$1:$K$175,Allocation!$C$1:$C$175,$A71,Allocation!$E$1:$E$175,$C71))</f>
        <v/>
      </c>
      <c r="T71" t="str">
        <f>IF($A71="","",SUMIFS(Allocation!$I$1:$I$175,Allocation!$C$1:$C$175,$A71))</f>
        <v/>
      </c>
      <c r="U71" t="str">
        <f>IF($A71="","",SUMIFS(Allocation!$J$1:$J$175,Allocation!$C$1:$C$175,$A71))</f>
        <v/>
      </c>
      <c r="V71" t="str">
        <f>IF($A71="","",SUMIFS(Allocation!$K$1:$K$175,Allocation!$C$1:$C$175,$A71))</f>
        <v/>
      </c>
      <c r="W71" t="str">
        <f>IF($A71="","",SUMIFS(Compta!$F$1:$F$675,Compta!$A$1:$A$675,$B71,Compta!$B$1:$B$675,"621",Compta!$C$1:$C$675,$A71))</f>
        <v/>
      </c>
      <c r="X71" t="str">
        <f>IF($A71="","",SUMIFS(Compta!$F$1:$F$675,Compta!$A$1:$A$675,$B71,Compta!$B$1:$B$675,"6411",Compta!$C$1:$C$675,$A71))</f>
        <v/>
      </c>
      <c r="Y71" t="str">
        <f>IF($A71="","",SUMIFS(Compta!$F$1:$F$675,Compta!$A$1:$A$675,$B71,Compta!$B$1:$B$675,"604",Compta!$C$1:$C$675,$A71)+SUMIFS(Compta!$F$1:$F$675,Compta!$A$1:$A$675,$B71,Compta!$B$1:$B$675,"6063",Compta!$C$1:$C$675,$A71))</f>
        <v/>
      </c>
      <c r="Z71" t="str">
        <f>IF($A71="","",SUMIFS(Compta!$F$1:$F$675,Compta!$A$1:$A$675,$B71,Compta!$B$1:$B$675,"6231",Compta!$C$1:$C$675,$A71))</f>
        <v/>
      </c>
      <c r="AA71" t="str">
        <f>IF($A71="","",SUMIFS(Compta!$F$1:$F$675,Compta!$A$1:$A$675,$B71,Compta!$B$1:$B$675,"6413",Compta!$C$1:$C$675,$A71)+SUMIFS(Compta!$F$1:$F$675,Compta!$A$1:$A$675,$B71,Compta!$B$1:$B$675,"645",Compta!$C$1:$C$675,$A71)+SUMIFS(Compta!$F$1:$F$675,Compta!$A$1:$A$675,$B71,Compta!$B$1:$B$675,"613",Compta!$C$1:$C$675,$A71)+SUMIFS(Compta!$F$1:$F$675,Compta!$A$1:$A$675,$B71,Compta!$B$1:$B$675,"615",Compta!$C$1:$C$675,$A71)+SUMIFS(Compta!$F$1:$F$675,Compta!$A$1:$A$675,$B71,Compta!$B$1:$B$675,"616",Compta!$C$1:$C$675,$A71)+SUMIFS(Compta!$F$1:$F$675,Compta!$A$1:$A$675,$B71,Compta!$B$1:$B$675,"625",Compta!$C$1:$C$675,$A71)+SUMIFS(Compta!$F$1:$F$675,Compta!$A$1:$A$675,$B71,Compta!$B$1:$B$675,"63511",Compta!$C$1:$C$675,$A71))</f>
        <v/>
      </c>
      <c r="AB71" t="str">
        <f>IF($A71="","",SUMIFS(Compta!$F$1:$F$675,Compta!$A$1:$A$675,"GRP",Compta!$B$1:$B$675,"6414",Compta!$C$1:$C$675,$A71)+SUMIFS(Compta!$F$1:$F$675,Compta!$A$1:$A$675,"GRP",Compta!$B$1:$B$675,"6226",Compta!$C$1:$C$675,$A71)+SUMIFS(Compta!$F$1:$F$675,Compta!$A$1:$A$675,"GRP",Compta!$B$1:$B$675,"626",Compta!$C$1:$C$675,$A71)+SUMIFS(Compta!$F$1:$F$675,Compta!$A$1:$A$675,"GRP",Compta!$B$1:$B$675,"6281",Compta!$C$1:$C$675,$A71)+SUMIFS(Compta!$F$1:$F$675,Compta!$A$1:$A$675,"GRP",Compta!$B$1:$B$675,"6331",Compta!$C$1:$C$675,$A71)+SUMIFS(Compta!$F$1:$F$675,Compta!$A$1:$A$675,"GRP",Compta!$B$1:$B$675,"6333",Compta!$C$1:$C$675,$A71))</f>
        <v/>
      </c>
      <c r="AC71" t="str">
        <f t="shared" si="21"/>
        <v/>
      </c>
      <c r="AD71" t="str">
        <f t="shared" si="22"/>
        <v/>
      </c>
      <c r="AE71" t="str">
        <f t="shared" si="23"/>
        <v/>
      </c>
      <c r="AF71" t="str">
        <f t="shared" si="24"/>
        <v/>
      </c>
      <c r="AG71" t="str">
        <f t="shared" si="25"/>
        <v/>
      </c>
      <c r="AH71" t="str">
        <f t="shared" si="26"/>
        <v/>
      </c>
      <c r="AI71" t="str">
        <f t="shared" si="27"/>
        <v/>
      </c>
      <c r="AJ71" t="str">
        <f t="shared" si="28"/>
        <v/>
      </c>
      <c r="AK71" t="str">
        <f t="shared" si="29"/>
        <v/>
      </c>
      <c r="AL71" t="str">
        <f t="shared" si="30"/>
        <v/>
      </c>
      <c r="AM71" t="str">
        <f t="shared" si="31"/>
        <v/>
      </c>
      <c r="AN71" t="str">
        <f t="shared" si="32"/>
        <v/>
      </c>
      <c r="AO71" t="str">
        <f>IF($A71="","",SUMIFS(Compta!$F$1:$F$675,Compta!$A$1:$A$675,"GRP",Compta!$B$1:$B$675,"6236",Compta!$C$1:$C$675,$A71))</f>
        <v/>
      </c>
      <c r="AP71" t="str">
        <f t="shared" si="33"/>
        <v/>
      </c>
      <c r="AQ71" t="str">
        <f t="shared" si="34"/>
        <v/>
      </c>
      <c r="AR71" t="str">
        <f t="shared" si="35"/>
        <v/>
      </c>
    </row>
    <row r="72" spans="1:44" x14ac:dyDescent="0.45">
      <c r="A72" t="str">
        <f>IF(Allocation!C72="","",Allocation!C72)</f>
        <v/>
      </c>
      <c r="B72" t="str">
        <f>IF(Allocation!D72="","",Allocation!D72)</f>
        <v/>
      </c>
      <c r="C72" t="str">
        <f>IF(Allocation!E72="","",Allocation!E72)</f>
        <v/>
      </c>
      <c r="D72" t="str">
        <f>IF(Allocation!F72="","",Allocation!F72)</f>
        <v/>
      </c>
      <c r="E72" t="str">
        <f>IF(Allocation!G72="","",Allocation!G72)</f>
        <v/>
      </c>
      <c r="F72" t="str">
        <f>IF(Allocation!H72="","",Allocation!H72)</f>
        <v/>
      </c>
      <c r="G72" t="str">
        <f>IF(Allocation!D72="","",Allocation!I72)</f>
        <v/>
      </c>
      <c r="H72" t="str">
        <f>IF(Allocation!D72="","",Allocation!J72)</f>
        <v/>
      </c>
      <c r="I72" t="str">
        <f>IF(Allocation!D72="","",Allocation!K72)</f>
        <v/>
      </c>
      <c r="J72" t="str">
        <f>IF($A72="","",SUMIFS(Socle!$K$1:$K$1000,Socle!$C$1:$C$1000,$B72,Socle!$D$1:$D$1000,$D72,Socle!$E$1:$E$1000,$E72,Socle!$F$1:$F$1000,$F72,Socle!$G$1:$G$1000,$A72))</f>
        <v/>
      </c>
      <c r="K72" t="str">
        <f t="shared" si="18"/>
        <v/>
      </c>
      <c r="L72" t="str">
        <f>IF($A72="","",SUMIFS(Allocation!$I$1:$I$175,Allocation!$C$1:$C$175,$A72,Allocation!$D$1:$D$175,$B72))</f>
        <v/>
      </c>
      <c r="M72" t="str">
        <f>IF($A72="","",SUMIFS(Allocation!$J$1:$J$175,Allocation!$C$1:$C$175,$A72,Allocation!$D$1:$D$175,$B72))</f>
        <v/>
      </c>
      <c r="N72" t="str">
        <f>IF($A72="","",SUMIFS(Allocation!$K$1:$K$175,Allocation!$C$1:$C$175,$A72,Allocation!$D$1:$D$175,$B72))</f>
        <v/>
      </c>
      <c r="O72" t="str">
        <f t="shared" si="19"/>
        <v/>
      </c>
      <c r="P72" t="str">
        <f t="shared" si="20"/>
        <v/>
      </c>
      <c r="Q72" t="str">
        <f>IF($A72="","",SUMIFS(Allocation!$I$1:$I$175,Allocation!$C$1:$C$175,$A72,Allocation!$E$1:$E$175,$C72))</f>
        <v/>
      </c>
      <c r="R72" t="str">
        <f>IF($A72="","",SUMIFS(Allocation!$J$1:$J$175,Allocation!$C$1:$C$175,$A72,Allocation!$E$1:$E$175,$C72))</f>
        <v/>
      </c>
      <c r="S72" t="str">
        <f>IF($A72="","",SUMIFS(Allocation!$K$1:$K$175,Allocation!$C$1:$C$175,$A72,Allocation!$E$1:$E$175,$C72))</f>
        <v/>
      </c>
      <c r="T72" t="str">
        <f>IF($A72="","",SUMIFS(Allocation!$I$1:$I$175,Allocation!$C$1:$C$175,$A72))</f>
        <v/>
      </c>
      <c r="U72" t="str">
        <f>IF($A72="","",SUMIFS(Allocation!$J$1:$J$175,Allocation!$C$1:$C$175,$A72))</f>
        <v/>
      </c>
      <c r="V72" t="str">
        <f>IF($A72="","",SUMIFS(Allocation!$K$1:$K$175,Allocation!$C$1:$C$175,$A72))</f>
        <v/>
      </c>
      <c r="W72" t="str">
        <f>IF($A72="","",SUMIFS(Compta!$F$1:$F$675,Compta!$A$1:$A$675,$B72,Compta!$B$1:$B$675,"621",Compta!$C$1:$C$675,$A72))</f>
        <v/>
      </c>
      <c r="X72" t="str">
        <f>IF($A72="","",SUMIFS(Compta!$F$1:$F$675,Compta!$A$1:$A$675,$B72,Compta!$B$1:$B$675,"6411",Compta!$C$1:$C$675,$A72))</f>
        <v/>
      </c>
      <c r="Y72" t="str">
        <f>IF($A72="","",SUMIFS(Compta!$F$1:$F$675,Compta!$A$1:$A$675,$B72,Compta!$B$1:$B$675,"604",Compta!$C$1:$C$675,$A72)+SUMIFS(Compta!$F$1:$F$675,Compta!$A$1:$A$675,$B72,Compta!$B$1:$B$675,"6063",Compta!$C$1:$C$675,$A72))</f>
        <v/>
      </c>
      <c r="Z72" t="str">
        <f>IF($A72="","",SUMIFS(Compta!$F$1:$F$675,Compta!$A$1:$A$675,$B72,Compta!$B$1:$B$675,"6231",Compta!$C$1:$C$675,$A72))</f>
        <v/>
      </c>
      <c r="AA72" t="str">
        <f>IF($A72="","",SUMIFS(Compta!$F$1:$F$675,Compta!$A$1:$A$675,$B72,Compta!$B$1:$B$675,"6413",Compta!$C$1:$C$675,$A72)+SUMIFS(Compta!$F$1:$F$675,Compta!$A$1:$A$675,$B72,Compta!$B$1:$B$675,"645",Compta!$C$1:$C$675,$A72)+SUMIFS(Compta!$F$1:$F$675,Compta!$A$1:$A$675,$B72,Compta!$B$1:$B$675,"613",Compta!$C$1:$C$675,$A72)+SUMIFS(Compta!$F$1:$F$675,Compta!$A$1:$A$675,$B72,Compta!$B$1:$B$675,"615",Compta!$C$1:$C$675,$A72)+SUMIFS(Compta!$F$1:$F$675,Compta!$A$1:$A$675,$B72,Compta!$B$1:$B$675,"616",Compta!$C$1:$C$675,$A72)+SUMIFS(Compta!$F$1:$F$675,Compta!$A$1:$A$675,$B72,Compta!$B$1:$B$675,"625",Compta!$C$1:$C$675,$A72)+SUMIFS(Compta!$F$1:$F$675,Compta!$A$1:$A$675,$B72,Compta!$B$1:$B$675,"63511",Compta!$C$1:$C$675,$A72))</f>
        <v/>
      </c>
      <c r="AB72" t="str">
        <f>IF($A72="","",SUMIFS(Compta!$F$1:$F$675,Compta!$A$1:$A$675,"GRP",Compta!$B$1:$B$675,"6414",Compta!$C$1:$C$675,$A72)+SUMIFS(Compta!$F$1:$F$675,Compta!$A$1:$A$675,"GRP",Compta!$B$1:$B$675,"6226",Compta!$C$1:$C$675,$A72)+SUMIFS(Compta!$F$1:$F$675,Compta!$A$1:$A$675,"GRP",Compta!$B$1:$B$675,"626",Compta!$C$1:$C$675,$A72)+SUMIFS(Compta!$F$1:$F$675,Compta!$A$1:$A$675,"GRP",Compta!$B$1:$B$675,"6281",Compta!$C$1:$C$675,$A72)+SUMIFS(Compta!$F$1:$F$675,Compta!$A$1:$A$675,"GRP",Compta!$B$1:$B$675,"6331",Compta!$C$1:$C$675,$A72)+SUMIFS(Compta!$F$1:$F$675,Compta!$A$1:$A$675,"GRP",Compta!$B$1:$B$675,"6333",Compta!$C$1:$C$675,$A72))</f>
        <v/>
      </c>
      <c r="AC72" t="str">
        <f t="shared" si="21"/>
        <v/>
      </c>
      <c r="AD72" t="str">
        <f t="shared" si="22"/>
        <v/>
      </c>
      <c r="AE72" t="str">
        <f t="shared" si="23"/>
        <v/>
      </c>
      <c r="AF72" t="str">
        <f t="shared" si="24"/>
        <v/>
      </c>
      <c r="AG72" t="str">
        <f t="shared" si="25"/>
        <v/>
      </c>
      <c r="AH72" t="str">
        <f t="shared" si="26"/>
        <v/>
      </c>
      <c r="AI72" t="str">
        <f t="shared" si="27"/>
        <v/>
      </c>
      <c r="AJ72" t="str">
        <f t="shared" si="28"/>
        <v/>
      </c>
      <c r="AK72" t="str">
        <f t="shared" si="29"/>
        <v/>
      </c>
      <c r="AL72" t="str">
        <f t="shared" si="30"/>
        <v/>
      </c>
      <c r="AM72" t="str">
        <f t="shared" si="31"/>
        <v/>
      </c>
      <c r="AN72" t="str">
        <f t="shared" si="32"/>
        <v/>
      </c>
      <c r="AO72" t="str">
        <f>IF($A72="","",SUMIFS(Compta!$F$1:$F$675,Compta!$A$1:$A$675,"GRP",Compta!$B$1:$B$675,"6236",Compta!$C$1:$C$675,$A72))</f>
        <v/>
      </c>
      <c r="AP72" t="str">
        <f t="shared" si="33"/>
        <v/>
      </c>
      <c r="AQ72" t="str">
        <f t="shared" si="34"/>
        <v/>
      </c>
      <c r="AR72" t="str">
        <f t="shared" si="35"/>
        <v/>
      </c>
    </row>
    <row r="73" spans="1:44" x14ac:dyDescent="0.45">
      <c r="A73" t="str">
        <f>IF(Allocation!C73="","",Allocation!C73)</f>
        <v/>
      </c>
      <c r="B73" t="str">
        <f>IF(Allocation!D73="","",Allocation!D73)</f>
        <v/>
      </c>
      <c r="C73" t="str">
        <f>IF(Allocation!E73="","",Allocation!E73)</f>
        <v/>
      </c>
      <c r="D73" t="str">
        <f>IF(Allocation!F73="","",Allocation!F73)</f>
        <v/>
      </c>
      <c r="E73" t="str">
        <f>IF(Allocation!G73="","",Allocation!G73)</f>
        <v/>
      </c>
      <c r="F73" t="str">
        <f>IF(Allocation!H73="","",Allocation!H73)</f>
        <v/>
      </c>
      <c r="G73" t="str">
        <f>IF(Allocation!D73="","",Allocation!I73)</f>
        <v/>
      </c>
      <c r="H73" t="str">
        <f>IF(Allocation!D73="","",Allocation!J73)</f>
        <v/>
      </c>
      <c r="I73" t="str">
        <f>IF(Allocation!D73="","",Allocation!K73)</f>
        <v/>
      </c>
      <c r="J73" t="str">
        <f>IF($A73="","",SUMIFS(Socle!$K$1:$K$1000,Socle!$C$1:$C$1000,$B73,Socle!$D$1:$D$1000,$D73,Socle!$E$1:$E$1000,$E73,Socle!$F$1:$F$1000,$F73,Socle!$G$1:$G$1000,$A73))</f>
        <v/>
      </c>
      <c r="K73" t="str">
        <f t="shared" si="18"/>
        <v/>
      </c>
      <c r="L73" t="str">
        <f>IF($A73="","",SUMIFS(Allocation!$I$1:$I$175,Allocation!$C$1:$C$175,$A73,Allocation!$D$1:$D$175,$B73))</f>
        <v/>
      </c>
      <c r="M73" t="str">
        <f>IF($A73="","",SUMIFS(Allocation!$J$1:$J$175,Allocation!$C$1:$C$175,$A73,Allocation!$D$1:$D$175,$B73))</f>
        <v/>
      </c>
      <c r="N73" t="str">
        <f>IF($A73="","",SUMIFS(Allocation!$K$1:$K$175,Allocation!$C$1:$C$175,$A73,Allocation!$D$1:$D$175,$B73))</f>
        <v/>
      </c>
      <c r="O73" t="str">
        <f t="shared" si="19"/>
        <v/>
      </c>
      <c r="P73" t="str">
        <f t="shared" si="20"/>
        <v/>
      </c>
      <c r="Q73" t="str">
        <f>IF($A73="","",SUMIFS(Allocation!$I$1:$I$175,Allocation!$C$1:$C$175,$A73,Allocation!$E$1:$E$175,$C73))</f>
        <v/>
      </c>
      <c r="R73" t="str">
        <f>IF($A73="","",SUMIFS(Allocation!$J$1:$J$175,Allocation!$C$1:$C$175,$A73,Allocation!$E$1:$E$175,$C73))</f>
        <v/>
      </c>
      <c r="S73" t="str">
        <f>IF($A73="","",SUMIFS(Allocation!$K$1:$K$175,Allocation!$C$1:$C$175,$A73,Allocation!$E$1:$E$175,$C73))</f>
        <v/>
      </c>
      <c r="T73" t="str">
        <f>IF($A73="","",SUMIFS(Allocation!$I$1:$I$175,Allocation!$C$1:$C$175,$A73))</f>
        <v/>
      </c>
      <c r="U73" t="str">
        <f>IF($A73="","",SUMIFS(Allocation!$J$1:$J$175,Allocation!$C$1:$C$175,$A73))</f>
        <v/>
      </c>
      <c r="V73" t="str">
        <f>IF($A73="","",SUMIFS(Allocation!$K$1:$K$175,Allocation!$C$1:$C$175,$A73))</f>
        <v/>
      </c>
      <c r="W73" t="str">
        <f>IF($A73="","",SUMIFS(Compta!$F$1:$F$675,Compta!$A$1:$A$675,$B73,Compta!$B$1:$B$675,"621",Compta!$C$1:$C$675,$A73))</f>
        <v/>
      </c>
      <c r="X73" t="str">
        <f>IF($A73="","",SUMIFS(Compta!$F$1:$F$675,Compta!$A$1:$A$675,$B73,Compta!$B$1:$B$675,"6411",Compta!$C$1:$C$675,$A73))</f>
        <v/>
      </c>
      <c r="Y73" t="str">
        <f>IF($A73="","",SUMIFS(Compta!$F$1:$F$675,Compta!$A$1:$A$675,$B73,Compta!$B$1:$B$675,"604",Compta!$C$1:$C$675,$A73)+SUMIFS(Compta!$F$1:$F$675,Compta!$A$1:$A$675,$B73,Compta!$B$1:$B$675,"6063",Compta!$C$1:$C$675,$A73))</f>
        <v/>
      </c>
      <c r="Z73" t="str">
        <f>IF($A73="","",SUMIFS(Compta!$F$1:$F$675,Compta!$A$1:$A$675,$B73,Compta!$B$1:$B$675,"6231",Compta!$C$1:$C$675,$A73))</f>
        <v/>
      </c>
      <c r="AA73" t="str">
        <f>IF($A73="","",SUMIFS(Compta!$F$1:$F$675,Compta!$A$1:$A$675,$B73,Compta!$B$1:$B$675,"6413",Compta!$C$1:$C$675,$A73)+SUMIFS(Compta!$F$1:$F$675,Compta!$A$1:$A$675,$B73,Compta!$B$1:$B$675,"645",Compta!$C$1:$C$675,$A73)+SUMIFS(Compta!$F$1:$F$675,Compta!$A$1:$A$675,$B73,Compta!$B$1:$B$675,"613",Compta!$C$1:$C$675,$A73)+SUMIFS(Compta!$F$1:$F$675,Compta!$A$1:$A$675,$B73,Compta!$B$1:$B$675,"615",Compta!$C$1:$C$675,$A73)+SUMIFS(Compta!$F$1:$F$675,Compta!$A$1:$A$675,$B73,Compta!$B$1:$B$675,"616",Compta!$C$1:$C$675,$A73)+SUMIFS(Compta!$F$1:$F$675,Compta!$A$1:$A$675,$B73,Compta!$B$1:$B$675,"625",Compta!$C$1:$C$675,$A73)+SUMIFS(Compta!$F$1:$F$675,Compta!$A$1:$A$675,$B73,Compta!$B$1:$B$675,"63511",Compta!$C$1:$C$675,$A73))</f>
        <v/>
      </c>
      <c r="AB73" t="str">
        <f>IF($A73="","",SUMIFS(Compta!$F$1:$F$675,Compta!$A$1:$A$675,"GRP",Compta!$B$1:$B$675,"6414",Compta!$C$1:$C$675,$A73)+SUMIFS(Compta!$F$1:$F$675,Compta!$A$1:$A$675,"GRP",Compta!$B$1:$B$675,"6226",Compta!$C$1:$C$675,$A73)+SUMIFS(Compta!$F$1:$F$675,Compta!$A$1:$A$675,"GRP",Compta!$B$1:$B$675,"626",Compta!$C$1:$C$675,$A73)+SUMIFS(Compta!$F$1:$F$675,Compta!$A$1:$A$675,"GRP",Compta!$B$1:$B$675,"6281",Compta!$C$1:$C$675,$A73)+SUMIFS(Compta!$F$1:$F$675,Compta!$A$1:$A$675,"GRP",Compta!$B$1:$B$675,"6331",Compta!$C$1:$C$675,$A73)+SUMIFS(Compta!$F$1:$F$675,Compta!$A$1:$A$675,"GRP",Compta!$B$1:$B$675,"6333",Compta!$C$1:$C$675,$A73))</f>
        <v/>
      </c>
      <c r="AC73" t="str">
        <f t="shared" si="21"/>
        <v/>
      </c>
      <c r="AD73" t="str">
        <f t="shared" si="22"/>
        <v/>
      </c>
      <c r="AE73" t="str">
        <f t="shared" si="23"/>
        <v/>
      </c>
      <c r="AF73" t="str">
        <f t="shared" si="24"/>
        <v/>
      </c>
      <c r="AG73" t="str">
        <f t="shared" si="25"/>
        <v/>
      </c>
      <c r="AH73" t="str">
        <f t="shared" si="26"/>
        <v/>
      </c>
      <c r="AI73" t="str">
        <f t="shared" si="27"/>
        <v/>
      </c>
      <c r="AJ73" t="str">
        <f t="shared" si="28"/>
        <v/>
      </c>
      <c r="AK73" t="str">
        <f t="shared" si="29"/>
        <v/>
      </c>
      <c r="AL73" t="str">
        <f t="shared" si="30"/>
        <v/>
      </c>
      <c r="AM73" t="str">
        <f t="shared" si="31"/>
        <v/>
      </c>
      <c r="AN73" t="str">
        <f t="shared" si="32"/>
        <v/>
      </c>
      <c r="AO73" t="str">
        <f>IF($A73="","",SUMIFS(Compta!$F$1:$F$675,Compta!$A$1:$A$675,"GRP",Compta!$B$1:$B$675,"6236",Compta!$C$1:$C$675,$A73))</f>
        <v/>
      </c>
      <c r="AP73" t="str">
        <f t="shared" si="33"/>
        <v/>
      </c>
      <c r="AQ73" t="str">
        <f t="shared" si="34"/>
        <v/>
      </c>
      <c r="AR73" t="str">
        <f t="shared" si="35"/>
        <v/>
      </c>
    </row>
    <row r="74" spans="1:44" x14ac:dyDescent="0.45">
      <c r="A74" t="str">
        <f>IF(Allocation!C74="","",Allocation!C74)</f>
        <v/>
      </c>
      <c r="B74" t="str">
        <f>IF(Allocation!D74="","",Allocation!D74)</f>
        <v/>
      </c>
      <c r="C74" t="str">
        <f>IF(Allocation!E74="","",Allocation!E74)</f>
        <v/>
      </c>
      <c r="D74" t="str">
        <f>IF(Allocation!F74="","",Allocation!F74)</f>
        <v/>
      </c>
      <c r="E74" t="str">
        <f>IF(Allocation!G74="","",Allocation!G74)</f>
        <v/>
      </c>
      <c r="F74" t="str">
        <f>IF(Allocation!H74="","",Allocation!H74)</f>
        <v/>
      </c>
      <c r="G74" t="str">
        <f>IF(Allocation!D74="","",Allocation!I74)</f>
        <v/>
      </c>
      <c r="H74" t="str">
        <f>IF(Allocation!D74="","",Allocation!J74)</f>
        <v/>
      </c>
      <c r="I74" t="str">
        <f>IF(Allocation!D74="","",Allocation!K74)</f>
        <v/>
      </c>
      <c r="J74" t="str">
        <f>IF($A74="","",SUMIFS(Socle!$K$1:$K$1000,Socle!$C$1:$C$1000,$B74,Socle!$D$1:$D$1000,$D74,Socle!$E$1:$E$1000,$E74,Socle!$F$1:$F$1000,$F74,Socle!$G$1:$G$1000,$A74))</f>
        <v/>
      </c>
      <c r="K74" t="str">
        <f t="shared" si="18"/>
        <v/>
      </c>
      <c r="L74" t="str">
        <f>IF($A74="","",SUMIFS(Allocation!$I$1:$I$175,Allocation!$C$1:$C$175,$A74,Allocation!$D$1:$D$175,$B74))</f>
        <v/>
      </c>
      <c r="M74" t="str">
        <f>IF($A74="","",SUMIFS(Allocation!$J$1:$J$175,Allocation!$C$1:$C$175,$A74,Allocation!$D$1:$D$175,$B74))</f>
        <v/>
      </c>
      <c r="N74" t="str">
        <f>IF($A74="","",SUMIFS(Allocation!$K$1:$K$175,Allocation!$C$1:$C$175,$A74,Allocation!$D$1:$D$175,$B74))</f>
        <v/>
      </c>
      <c r="O74" t="str">
        <f t="shared" si="19"/>
        <v/>
      </c>
      <c r="P74" t="str">
        <f t="shared" si="20"/>
        <v/>
      </c>
      <c r="Q74" t="str">
        <f>IF($A74="","",SUMIFS(Allocation!$I$1:$I$175,Allocation!$C$1:$C$175,$A74,Allocation!$E$1:$E$175,$C74))</f>
        <v/>
      </c>
      <c r="R74" t="str">
        <f>IF($A74="","",SUMIFS(Allocation!$J$1:$J$175,Allocation!$C$1:$C$175,$A74,Allocation!$E$1:$E$175,$C74))</f>
        <v/>
      </c>
      <c r="S74" t="str">
        <f>IF($A74="","",SUMIFS(Allocation!$K$1:$K$175,Allocation!$C$1:$C$175,$A74,Allocation!$E$1:$E$175,$C74))</f>
        <v/>
      </c>
      <c r="T74" t="str">
        <f>IF($A74="","",SUMIFS(Allocation!$I$1:$I$175,Allocation!$C$1:$C$175,$A74))</f>
        <v/>
      </c>
      <c r="U74" t="str">
        <f>IF($A74="","",SUMIFS(Allocation!$J$1:$J$175,Allocation!$C$1:$C$175,$A74))</f>
        <v/>
      </c>
      <c r="V74" t="str">
        <f>IF($A74="","",SUMIFS(Allocation!$K$1:$K$175,Allocation!$C$1:$C$175,$A74))</f>
        <v/>
      </c>
      <c r="W74" t="str">
        <f>IF($A74="","",SUMIFS(Compta!$F$1:$F$675,Compta!$A$1:$A$675,$B74,Compta!$B$1:$B$675,"621",Compta!$C$1:$C$675,$A74))</f>
        <v/>
      </c>
      <c r="X74" t="str">
        <f>IF($A74="","",SUMIFS(Compta!$F$1:$F$675,Compta!$A$1:$A$675,$B74,Compta!$B$1:$B$675,"6411",Compta!$C$1:$C$675,$A74))</f>
        <v/>
      </c>
      <c r="Y74" t="str">
        <f>IF($A74="","",SUMIFS(Compta!$F$1:$F$675,Compta!$A$1:$A$675,$B74,Compta!$B$1:$B$675,"604",Compta!$C$1:$C$675,$A74)+SUMIFS(Compta!$F$1:$F$675,Compta!$A$1:$A$675,$B74,Compta!$B$1:$B$675,"6063",Compta!$C$1:$C$675,$A74))</f>
        <v/>
      </c>
      <c r="Z74" t="str">
        <f>IF($A74="","",SUMIFS(Compta!$F$1:$F$675,Compta!$A$1:$A$675,$B74,Compta!$B$1:$B$675,"6231",Compta!$C$1:$C$675,$A74))</f>
        <v/>
      </c>
      <c r="AA74" t="str">
        <f>IF($A74="","",SUMIFS(Compta!$F$1:$F$675,Compta!$A$1:$A$675,$B74,Compta!$B$1:$B$675,"6413",Compta!$C$1:$C$675,$A74)+SUMIFS(Compta!$F$1:$F$675,Compta!$A$1:$A$675,$B74,Compta!$B$1:$B$675,"645",Compta!$C$1:$C$675,$A74)+SUMIFS(Compta!$F$1:$F$675,Compta!$A$1:$A$675,$B74,Compta!$B$1:$B$675,"613",Compta!$C$1:$C$675,$A74)+SUMIFS(Compta!$F$1:$F$675,Compta!$A$1:$A$675,$B74,Compta!$B$1:$B$675,"615",Compta!$C$1:$C$675,$A74)+SUMIFS(Compta!$F$1:$F$675,Compta!$A$1:$A$675,$B74,Compta!$B$1:$B$675,"616",Compta!$C$1:$C$675,$A74)+SUMIFS(Compta!$F$1:$F$675,Compta!$A$1:$A$675,$B74,Compta!$B$1:$B$675,"625",Compta!$C$1:$C$675,$A74)+SUMIFS(Compta!$F$1:$F$675,Compta!$A$1:$A$675,$B74,Compta!$B$1:$B$675,"63511",Compta!$C$1:$C$675,$A74))</f>
        <v/>
      </c>
      <c r="AB74" t="str">
        <f>IF($A74="","",SUMIFS(Compta!$F$1:$F$675,Compta!$A$1:$A$675,"GRP",Compta!$B$1:$B$675,"6414",Compta!$C$1:$C$675,$A74)+SUMIFS(Compta!$F$1:$F$675,Compta!$A$1:$A$675,"GRP",Compta!$B$1:$B$675,"6226",Compta!$C$1:$C$675,$A74)+SUMIFS(Compta!$F$1:$F$675,Compta!$A$1:$A$675,"GRP",Compta!$B$1:$B$675,"626",Compta!$C$1:$C$675,$A74)+SUMIFS(Compta!$F$1:$F$675,Compta!$A$1:$A$675,"GRP",Compta!$B$1:$B$675,"6281",Compta!$C$1:$C$675,$A74)+SUMIFS(Compta!$F$1:$F$675,Compta!$A$1:$A$675,"GRP",Compta!$B$1:$B$675,"6331",Compta!$C$1:$C$675,$A74)+SUMIFS(Compta!$F$1:$F$675,Compta!$A$1:$A$675,"GRP",Compta!$B$1:$B$675,"6333",Compta!$C$1:$C$675,$A74))</f>
        <v/>
      </c>
      <c r="AC74" t="str">
        <f t="shared" si="21"/>
        <v/>
      </c>
      <c r="AD74" t="str">
        <f t="shared" si="22"/>
        <v/>
      </c>
      <c r="AE74" t="str">
        <f t="shared" si="23"/>
        <v/>
      </c>
      <c r="AF74" t="str">
        <f t="shared" si="24"/>
        <v/>
      </c>
      <c r="AG74" t="str">
        <f t="shared" si="25"/>
        <v/>
      </c>
      <c r="AH74" t="str">
        <f t="shared" si="26"/>
        <v/>
      </c>
      <c r="AI74" t="str">
        <f t="shared" si="27"/>
        <v/>
      </c>
      <c r="AJ74" t="str">
        <f t="shared" si="28"/>
        <v/>
      </c>
      <c r="AK74" t="str">
        <f t="shared" si="29"/>
        <v/>
      </c>
      <c r="AL74" t="str">
        <f t="shared" si="30"/>
        <v/>
      </c>
      <c r="AM74" t="str">
        <f t="shared" si="31"/>
        <v/>
      </c>
      <c r="AN74" t="str">
        <f t="shared" si="32"/>
        <v/>
      </c>
      <c r="AO74" t="str">
        <f>IF($A74="","",SUMIFS(Compta!$F$1:$F$675,Compta!$A$1:$A$675,"GRP",Compta!$B$1:$B$675,"6236",Compta!$C$1:$C$675,$A74))</f>
        <v/>
      </c>
      <c r="AP74" t="str">
        <f t="shared" si="33"/>
        <v/>
      </c>
      <c r="AQ74" t="str">
        <f t="shared" si="34"/>
        <v/>
      </c>
      <c r="AR74" t="str">
        <f t="shared" si="35"/>
        <v/>
      </c>
    </row>
    <row r="75" spans="1:44" x14ac:dyDescent="0.45">
      <c r="A75" t="str">
        <f>IF(Allocation!C75="","",Allocation!C75)</f>
        <v/>
      </c>
      <c r="B75" t="str">
        <f>IF(Allocation!D75="","",Allocation!D75)</f>
        <v/>
      </c>
      <c r="C75" t="str">
        <f>IF(Allocation!E75="","",Allocation!E75)</f>
        <v/>
      </c>
      <c r="D75" t="str">
        <f>IF(Allocation!F75="","",Allocation!F75)</f>
        <v/>
      </c>
      <c r="E75" t="str">
        <f>IF(Allocation!G75="","",Allocation!G75)</f>
        <v/>
      </c>
      <c r="F75" t="str">
        <f>IF(Allocation!H75="","",Allocation!H75)</f>
        <v/>
      </c>
      <c r="G75" t="str">
        <f>IF(Allocation!D75="","",Allocation!I75)</f>
        <v/>
      </c>
      <c r="H75" t="str">
        <f>IF(Allocation!D75="","",Allocation!J75)</f>
        <v/>
      </c>
      <c r="I75" t="str">
        <f>IF(Allocation!D75="","",Allocation!K75)</f>
        <v/>
      </c>
      <c r="J75" t="str">
        <f>IF($A75="","",SUMIFS(Socle!$K$1:$K$1000,Socle!$C$1:$C$1000,$B75,Socle!$D$1:$D$1000,$D75,Socle!$E$1:$E$1000,$E75,Socle!$F$1:$F$1000,$F75,Socle!$G$1:$G$1000,$A75))</f>
        <v/>
      </c>
      <c r="K75" t="str">
        <f t="shared" si="18"/>
        <v/>
      </c>
      <c r="L75" t="str">
        <f>IF($A75="","",SUMIFS(Allocation!$I$1:$I$175,Allocation!$C$1:$C$175,$A75,Allocation!$D$1:$D$175,$B75))</f>
        <v/>
      </c>
      <c r="M75" t="str">
        <f>IF($A75="","",SUMIFS(Allocation!$J$1:$J$175,Allocation!$C$1:$C$175,$A75,Allocation!$D$1:$D$175,$B75))</f>
        <v/>
      </c>
      <c r="N75" t="str">
        <f>IF($A75="","",SUMIFS(Allocation!$K$1:$K$175,Allocation!$C$1:$C$175,$A75,Allocation!$D$1:$D$175,$B75))</f>
        <v/>
      </c>
      <c r="O75" t="str">
        <f t="shared" si="19"/>
        <v/>
      </c>
      <c r="P75" t="str">
        <f t="shared" si="20"/>
        <v/>
      </c>
      <c r="Q75" t="str">
        <f>IF($A75="","",SUMIFS(Allocation!$I$1:$I$175,Allocation!$C$1:$C$175,$A75,Allocation!$E$1:$E$175,$C75))</f>
        <v/>
      </c>
      <c r="R75" t="str">
        <f>IF($A75="","",SUMIFS(Allocation!$J$1:$J$175,Allocation!$C$1:$C$175,$A75,Allocation!$E$1:$E$175,$C75))</f>
        <v/>
      </c>
      <c r="S75" t="str">
        <f>IF($A75="","",SUMIFS(Allocation!$K$1:$K$175,Allocation!$C$1:$C$175,$A75,Allocation!$E$1:$E$175,$C75))</f>
        <v/>
      </c>
      <c r="T75" t="str">
        <f>IF($A75="","",SUMIFS(Allocation!$I$1:$I$175,Allocation!$C$1:$C$175,$A75))</f>
        <v/>
      </c>
      <c r="U75" t="str">
        <f>IF($A75="","",SUMIFS(Allocation!$J$1:$J$175,Allocation!$C$1:$C$175,$A75))</f>
        <v/>
      </c>
      <c r="V75" t="str">
        <f>IF($A75="","",SUMIFS(Allocation!$K$1:$K$175,Allocation!$C$1:$C$175,$A75))</f>
        <v/>
      </c>
      <c r="W75" t="str">
        <f>IF($A75="","",SUMIFS(Compta!$F$1:$F$675,Compta!$A$1:$A$675,$B75,Compta!$B$1:$B$675,"621",Compta!$C$1:$C$675,$A75))</f>
        <v/>
      </c>
      <c r="X75" t="str">
        <f>IF($A75="","",SUMIFS(Compta!$F$1:$F$675,Compta!$A$1:$A$675,$B75,Compta!$B$1:$B$675,"6411",Compta!$C$1:$C$675,$A75))</f>
        <v/>
      </c>
      <c r="Y75" t="str">
        <f>IF($A75="","",SUMIFS(Compta!$F$1:$F$675,Compta!$A$1:$A$675,$B75,Compta!$B$1:$B$675,"604",Compta!$C$1:$C$675,$A75)+SUMIFS(Compta!$F$1:$F$675,Compta!$A$1:$A$675,$B75,Compta!$B$1:$B$675,"6063",Compta!$C$1:$C$675,$A75))</f>
        <v/>
      </c>
      <c r="Z75" t="str">
        <f>IF($A75="","",SUMIFS(Compta!$F$1:$F$675,Compta!$A$1:$A$675,$B75,Compta!$B$1:$B$675,"6231",Compta!$C$1:$C$675,$A75))</f>
        <v/>
      </c>
      <c r="AA75" t="str">
        <f>IF($A75="","",SUMIFS(Compta!$F$1:$F$675,Compta!$A$1:$A$675,$B75,Compta!$B$1:$B$675,"6413",Compta!$C$1:$C$675,$A75)+SUMIFS(Compta!$F$1:$F$675,Compta!$A$1:$A$675,$B75,Compta!$B$1:$B$675,"645",Compta!$C$1:$C$675,$A75)+SUMIFS(Compta!$F$1:$F$675,Compta!$A$1:$A$675,$B75,Compta!$B$1:$B$675,"613",Compta!$C$1:$C$675,$A75)+SUMIFS(Compta!$F$1:$F$675,Compta!$A$1:$A$675,$B75,Compta!$B$1:$B$675,"615",Compta!$C$1:$C$675,$A75)+SUMIFS(Compta!$F$1:$F$675,Compta!$A$1:$A$675,$B75,Compta!$B$1:$B$675,"616",Compta!$C$1:$C$675,$A75)+SUMIFS(Compta!$F$1:$F$675,Compta!$A$1:$A$675,$B75,Compta!$B$1:$B$675,"625",Compta!$C$1:$C$675,$A75)+SUMIFS(Compta!$F$1:$F$675,Compta!$A$1:$A$675,$B75,Compta!$B$1:$B$675,"63511",Compta!$C$1:$C$675,$A75))</f>
        <v/>
      </c>
      <c r="AB75" t="str">
        <f>IF($A75="","",SUMIFS(Compta!$F$1:$F$675,Compta!$A$1:$A$675,"GRP",Compta!$B$1:$B$675,"6414",Compta!$C$1:$C$675,$A75)+SUMIFS(Compta!$F$1:$F$675,Compta!$A$1:$A$675,"GRP",Compta!$B$1:$B$675,"6226",Compta!$C$1:$C$675,$A75)+SUMIFS(Compta!$F$1:$F$675,Compta!$A$1:$A$675,"GRP",Compta!$B$1:$B$675,"626",Compta!$C$1:$C$675,$A75)+SUMIFS(Compta!$F$1:$F$675,Compta!$A$1:$A$675,"GRP",Compta!$B$1:$B$675,"6281",Compta!$C$1:$C$675,$A75)+SUMIFS(Compta!$F$1:$F$675,Compta!$A$1:$A$675,"GRP",Compta!$B$1:$B$675,"6331",Compta!$C$1:$C$675,$A75)+SUMIFS(Compta!$F$1:$F$675,Compta!$A$1:$A$675,"GRP",Compta!$B$1:$B$675,"6333",Compta!$C$1:$C$675,$A75))</f>
        <v/>
      </c>
      <c r="AC75" t="str">
        <f t="shared" si="21"/>
        <v/>
      </c>
      <c r="AD75" t="str">
        <f t="shared" si="22"/>
        <v/>
      </c>
      <c r="AE75" t="str">
        <f t="shared" si="23"/>
        <v/>
      </c>
      <c r="AF75" t="str">
        <f t="shared" si="24"/>
        <v/>
      </c>
      <c r="AG75" t="str">
        <f t="shared" si="25"/>
        <v/>
      </c>
      <c r="AH75" t="str">
        <f t="shared" si="26"/>
        <v/>
      </c>
      <c r="AI75" t="str">
        <f t="shared" si="27"/>
        <v/>
      </c>
      <c r="AJ75" t="str">
        <f t="shared" si="28"/>
        <v/>
      </c>
      <c r="AK75" t="str">
        <f t="shared" si="29"/>
        <v/>
      </c>
      <c r="AL75" t="str">
        <f t="shared" si="30"/>
        <v/>
      </c>
      <c r="AM75" t="str">
        <f t="shared" si="31"/>
        <v/>
      </c>
      <c r="AN75" t="str">
        <f t="shared" si="32"/>
        <v/>
      </c>
      <c r="AO75" t="str">
        <f>IF($A75="","",SUMIFS(Compta!$F$1:$F$675,Compta!$A$1:$A$675,"GRP",Compta!$B$1:$B$675,"6236",Compta!$C$1:$C$675,$A75))</f>
        <v/>
      </c>
      <c r="AP75" t="str">
        <f t="shared" si="33"/>
        <v/>
      </c>
      <c r="AQ75" t="str">
        <f t="shared" si="34"/>
        <v/>
      </c>
      <c r="AR75" t="str">
        <f t="shared" si="35"/>
        <v/>
      </c>
    </row>
    <row r="76" spans="1:44" x14ac:dyDescent="0.45">
      <c r="A76" t="str">
        <f>IF(Allocation!C76="","",Allocation!C76)</f>
        <v/>
      </c>
      <c r="B76" t="str">
        <f>IF(Allocation!D76="","",Allocation!D76)</f>
        <v/>
      </c>
      <c r="C76" t="str">
        <f>IF(Allocation!E76="","",Allocation!E76)</f>
        <v/>
      </c>
      <c r="D76" t="str">
        <f>IF(Allocation!F76="","",Allocation!F76)</f>
        <v/>
      </c>
      <c r="E76" t="str">
        <f>IF(Allocation!G76="","",Allocation!G76)</f>
        <v/>
      </c>
      <c r="F76" t="str">
        <f>IF(Allocation!H76="","",Allocation!H76)</f>
        <v/>
      </c>
      <c r="G76" t="str">
        <f>IF(Allocation!D76="","",Allocation!I76)</f>
        <v/>
      </c>
      <c r="H76" t="str">
        <f>IF(Allocation!D76="","",Allocation!J76)</f>
        <v/>
      </c>
      <c r="I76" t="str">
        <f>IF(Allocation!D76="","",Allocation!K76)</f>
        <v/>
      </c>
      <c r="J76" t="str">
        <f>IF($A76="","",SUMIFS(Socle!$K$1:$K$1000,Socle!$C$1:$C$1000,$B76,Socle!$D$1:$D$1000,$D76,Socle!$E$1:$E$1000,$E76,Socle!$F$1:$F$1000,$F76,Socle!$G$1:$G$1000,$A76))</f>
        <v/>
      </c>
      <c r="K76" t="str">
        <f t="shared" si="18"/>
        <v/>
      </c>
      <c r="L76" t="str">
        <f>IF($A76="","",SUMIFS(Allocation!$I$1:$I$175,Allocation!$C$1:$C$175,$A76,Allocation!$D$1:$D$175,$B76))</f>
        <v/>
      </c>
      <c r="M76" t="str">
        <f>IF($A76="","",SUMIFS(Allocation!$J$1:$J$175,Allocation!$C$1:$C$175,$A76,Allocation!$D$1:$D$175,$B76))</f>
        <v/>
      </c>
      <c r="N76" t="str">
        <f>IF($A76="","",SUMIFS(Allocation!$K$1:$K$175,Allocation!$C$1:$C$175,$A76,Allocation!$D$1:$D$175,$B76))</f>
        <v/>
      </c>
      <c r="O76" t="str">
        <f t="shared" si="19"/>
        <v/>
      </c>
      <c r="P76" t="str">
        <f t="shared" si="20"/>
        <v/>
      </c>
      <c r="Q76" t="str">
        <f>IF($A76="","",SUMIFS(Allocation!$I$1:$I$175,Allocation!$C$1:$C$175,$A76,Allocation!$E$1:$E$175,$C76))</f>
        <v/>
      </c>
      <c r="R76" t="str">
        <f>IF($A76="","",SUMIFS(Allocation!$J$1:$J$175,Allocation!$C$1:$C$175,$A76,Allocation!$E$1:$E$175,$C76))</f>
        <v/>
      </c>
      <c r="S76" t="str">
        <f>IF($A76="","",SUMIFS(Allocation!$K$1:$K$175,Allocation!$C$1:$C$175,$A76,Allocation!$E$1:$E$175,$C76))</f>
        <v/>
      </c>
      <c r="T76" t="str">
        <f>IF($A76="","",SUMIFS(Allocation!$I$1:$I$175,Allocation!$C$1:$C$175,$A76))</f>
        <v/>
      </c>
      <c r="U76" t="str">
        <f>IF($A76="","",SUMIFS(Allocation!$J$1:$J$175,Allocation!$C$1:$C$175,$A76))</f>
        <v/>
      </c>
      <c r="V76" t="str">
        <f>IF($A76="","",SUMIFS(Allocation!$K$1:$K$175,Allocation!$C$1:$C$175,$A76))</f>
        <v/>
      </c>
      <c r="W76" t="str">
        <f>IF($A76="","",SUMIFS(Compta!$F$1:$F$675,Compta!$A$1:$A$675,$B76,Compta!$B$1:$B$675,"621",Compta!$C$1:$C$675,$A76))</f>
        <v/>
      </c>
      <c r="X76" t="str">
        <f>IF($A76="","",SUMIFS(Compta!$F$1:$F$675,Compta!$A$1:$A$675,$B76,Compta!$B$1:$B$675,"6411",Compta!$C$1:$C$675,$A76))</f>
        <v/>
      </c>
      <c r="Y76" t="str">
        <f>IF($A76="","",SUMIFS(Compta!$F$1:$F$675,Compta!$A$1:$A$675,$B76,Compta!$B$1:$B$675,"604",Compta!$C$1:$C$675,$A76)+SUMIFS(Compta!$F$1:$F$675,Compta!$A$1:$A$675,$B76,Compta!$B$1:$B$675,"6063",Compta!$C$1:$C$675,$A76))</f>
        <v/>
      </c>
      <c r="Z76" t="str">
        <f>IF($A76="","",SUMIFS(Compta!$F$1:$F$675,Compta!$A$1:$A$675,$B76,Compta!$B$1:$B$675,"6231",Compta!$C$1:$C$675,$A76))</f>
        <v/>
      </c>
      <c r="AA76" t="str">
        <f>IF($A76="","",SUMIFS(Compta!$F$1:$F$675,Compta!$A$1:$A$675,$B76,Compta!$B$1:$B$675,"6413",Compta!$C$1:$C$675,$A76)+SUMIFS(Compta!$F$1:$F$675,Compta!$A$1:$A$675,$B76,Compta!$B$1:$B$675,"645",Compta!$C$1:$C$675,$A76)+SUMIFS(Compta!$F$1:$F$675,Compta!$A$1:$A$675,$B76,Compta!$B$1:$B$675,"613",Compta!$C$1:$C$675,$A76)+SUMIFS(Compta!$F$1:$F$675,Compta!$A$1:$A$675,$B76,Compta!$B$1:$B$675,"615",Compta!$C$1:$C$675,$A76)+SUMIFS(Compta!$F$1:$F$675,Compta!$A$1:$A$675,$B76,Compta!$B$1:$B$675,"616",Compta!$C$1:$C$675,$A76)+SUMIFS(Compta!$F$1:$F$675,Compta!$A$1:$A$675,$B76,Compta!$B$1:$B$675,"625",Compta!$C$1:$C$675,$A76)+SUMIFS(Compta!$F$1:$F$675,Compta!$A$1:$A$675,$B76,Compta!$B$1:$B$675,"63511",Compta!$C$1:$C$675,$A76))</f>
        <v/>
      </c>
      <c r="AB76" t="str">
        <f>IF($A76="","",SUMIFS(Compta!$F$1:$F$675,Compta!$A$1:$A$675,"GRP",Compta!$B$1:$B$675,"6414",Compta!$C$1:$C$675,$A76)+SUMIFS(Compta!$F$1:$F$675,Compta!$A$1:$A$675,"GRP",Compta!$B$1:$B$675,"6226",Compta!$C$1:$C$675,$A76)+SUMIFS(Compta!$F$1:$F$675,Compta!$A$1:$A$675,"GRP",Compta!$B$1:$B$675,"626",Compta!$C$1:$C$675,$A76)+SUMIFS(Compta!$F$1:$F$675,Compta!$A$1:$A$675,"GRP",Compta!$B$1:$B$675,"6281",Compta!$C$1:$C$675,$A76)+SUMIFS(Compta!$F$1:$F$675,Compta!$A$1:$A$675,"GRP",Compta!$B$1:$B$675,"6331",Compta!$C$1:$C$675,$A76)+SUMIFS(Compta!$F$1:$F$675,Compta!$A$1:$A$675,"GRP",Compta!$B$1:$B$675,"6333",Compta!$C$1:$C$675,$A76))</f>
        <v/>
      </c>
      <c r="AC76" t="str">
        <f t="shared" si="21"/>
        <v/>
      </c>
      <c r="AD76" t="str">
        <f t="shared" si="22"/>
        <v/>
      </c>
      <c r="AE76" t="str">
        <f t="shared" si="23"/>
        <v/>
      </c>
      <c r="AF76" t="str">
        <f t="shared" si="24"/>
        <v/>
      </c>
      <c r="AG76" t="str">
        <f t="shared" si="25"/>
        <v/>
      </c>
      <c r="AH76" t="str">
        <f t="shared" si="26"/>
        <v/>
      </c>
      <c r="AI76" t="str">
        <f t="shared" si="27"/>
        <v/>
      </c>
      <c r="AJ76" t="str">
        <f t="shared" si="28"/>
        <v/>
      </c>
      <c r="AK76" t="str">
        <f t="shared" si="29"/>
        <v/>
      </c>
      <c r="AL76" t="str">
        <f t="shared" si="30"/>
        <v/>
      </c>
      <c r="AM76" t="str">
        <f t="shared" si="31"/>
        <v/>
      </c>
      <c r="AN76" t="str">
        <f t="shared" si="32"/>
        <v/>
      </c>
      <c r="AO76" t="str">
        <f>IF($A76="","",SUMIFS(Compta!$F$1:$F$675,Compta!$A$1:$A$675,"GRP",Compta!$B$1:$B$675,"6236",Compta!$C$1:$C$675,$A76))</f>
        <v/>
      </c>
      <c r="AP76" t="str">
        <f t="shared" si="33"/>
        <v/>
      </c>
      <c r="AQ76" t="str">
        <f t="shared" si="34"/>
        <v/>
      </c>
      <c r="AR76" t="str">
        <f t="shared" si="35"/>
        <v/>
      </c>
    </row>
    <row r="77" spans="1:44" x14ac:dyDescent="0.45">
      <c r="A77" t="str">
        <f>IF(Allocation!C77="","",Allocation!C77)</f>
        <v/>
      </c>
      <c r="B77" t="str">
        <f>IF(Allocation!D77="","",Allocation!D77)</f>
        <v/>
      </c>
      <c r="C77" t="str">
        <f>IF(Allocation!E77="","",Allocation!E77)</f>
        <v/>
      </c>
      <c r="D77" t="str">
        <f>IF(Allocation!F77="","",Allocation!F77)</f>
        <v/>
      </c>
      <c r="E77" t="str">
        <f>IF(Allocation!G77="","",Allocation!G77)</f>
        <v/>
      </c>
      <c r="F77" t="str">
        <f>IF(Allocation!H77="","",Allocation!H77)</f>
        <v/>
      </c>
      <c r="G77" t="str">
        <f>IF(Allocation!D77="","",Allocation!I77)</f>
        <v/>
      </c>
      <c r="H77" t="str">
        <f>IF(Allocation!D77="","",Allocation!J77)</f>
        <v/>
      </c>
      <c r="I77" t="str">
        <f>IF(Allocation!D77="","",Allocation!K77)</f>
        <v/>
      </c>
      <c r="J77" t="str">
        <f>IF($A77="","",SUMIFS(Socle!$K$1:$K$1000,Socle!$C$1:$C$1000,$B77,Socle!$D$1:$D$1000,$D77,Socle!$E$1:$E$1000,$E77,Socle!$F$1:$F$1000,$F77,Socle!$G$1:$G$1000,$A77))</f>
        <v/>
      </c>
      <c r="K77" t="str">
        <f t="shared" si="18"/>
        <v/>
      </c>
      <c r="L77" t="str">
        <f>IF($A77="","",SUMIFS(Allocation!$I$1:$I$175,Allocation!$C$1:$C$175,$A77,Allocation!$D$1:$D$175,$B77))</f>
        <v/>
      </c>
      <c r="M77" t="str">
        <f>IF($A77="","",SUMIFS(Allocation!$J$1:$J$175,Allocation!$C$1:$C$175,$A77,Allocation!$D$1:$D$175,$B77))</f>
        <v/>
      </c>
      <c r="N77" t="str">
        <f>IF($A77="","",SUMIFS(Allocation!$K$1:$K$175,Allocation!$C$1:$C$175,$A77,Allocation!$D$1:$D$175,$B77))</f>
        <v/>
      </c>
      <c r="O77" t="str">
        <f t="shared" si="19"/>
        <v/>
      </c>
      <c r="P77" t="str">
        <f t="shared" si="20"/>
        <v/>
      </c>
      <c r="Q77" t="str">
        <f>IF($A77="","",SUMIFS(Allocation!$I$1:$I$175,Allocation!$C$1:$C$175,$A77,Allocation!$E$1:$E$175,$C77))</f>
        <v/>
      </c>
      <c r="R77" t="str">
        <f>IF($A77="","",SUMIFS(Allocation!$J$1:$J$175,Allocation!$C$1:$C$175,$A77,Allocation!$E$1:$E$175,$C77))</f>
        <v/>
      </c>
      <c r="S77" t="str">
        <f>IF($A77="","",SUMIFS(Allocation!$K$1:$K$175,Allocation!$C$1:$C$175,$A77,Allocation!$E$1:$E$175,$C77))</f>
        <v/>
      </c>
      <c r="T77" t="str">
        <f>IF($A77="","",SUMIFS(Allocation!$I$1:$I$175,Allocation!$C$1:$C$175,$A77))</f>
        <v/>
      </c>
      <c r="U77" t="str">
        <f>IF($A77="","",SUMIFS(Allocation!$J$1:$J$175,Allocation!$C$1:$C$175,$A77))</f>
        <v/>
      </c>
      <c r="V77" t="str">
        <f>IF($A77="","",SUMIFS(Allocation!$K$1:$K$175,Allocation!$C$1:$C$175,$A77))</f>
        <v/>
      </c>
      <c r="W77" t="str">
        <f>IF($A77="","",SUMIFS(Compta!$F$1:$F$675,Compta!$A$1:$A$675,$B77,Compta!$B$1:$B$675,"621",Compta!$C$1:$C$675,$A77))</f>
        <v/>
      </c>
      <c r="X77" t="str">
        <f>IF($A77="","",SUMIFS(Compta!$F$1:$F$675,Compta!$A$1:$A$675,$B77,Compta!$B$1:$B$675,"6411",Compta!$C$1:$C$675,$A77))</f>
        <v/>
      </c>
      <c r="Y77" t="str">
        <f>IF($A77="","",SUMIFS(Compta!$F$1:$F$675,Compta!$A$1:$A$675,$B77,Compta!$B$1:$B$675,"604",Compta!$C$1:$C$675,$A77)+SUMIFS(Compta!$F$1:$F$675,Compta!$A$1:$A$675,$B77,Compta!$B$1:$B$675,"6063",Compta!$C$1:$C$675,$A77))</f>
        <v/>
      </c>
      <c r="Z77" t="str">
        <f>IF($A77="","",SUMIFS(Compta!$F$1:$F$675,Compta!$A$1:$A$675,$B77,Compta!$B$1:$B$675,"6231",Compta!$C$1:$C$675,$A77))</f>
        <v/>
      </c>
      <c r="AA77" t="str">
        <f>IF($A77="","",SUMIFS(Compta!$F$1:$F$675,Compta!$A$1:$A$675,$B77,Compta!$B$1:$B$675,"6413",Compta!$C$1:$C$675,$A77)+SUMIFS(Compta!$F$1:$F$675,Compta!$A$1:$A$675,$B77,Compta!$B$1:$B$675,"645",Compta!$C$1:$C$675,$A77)+SUMIFS(Compta!$F$1:$F$675,Compta!$A$1:$A$675,$B77,Compta!$B$1:$B$675,"613",Compta!$C$1:$C$675,$A77)+SUMIFS(Compta!$F$1:$F$675,Compta!$A$1:$A$675,$B77,Compta!$B$1:$B$675,"615",Compta!$C$1:$C$675,$A77)+SUMIFS(Compta!$F$1:$F$675,Compta!$A$1:$A$675,$B77,Compta!$B$1:$B$675,"616",Compta!$C$1:$C$675,$A77)+SUMIFS(Compta!$F$1:$F$675,Compta!$A$1:$A$675,$B77,Compta!$B$1:$B$675,"625",Compta!$C$1:$C$675,$A77)+SUMIFS(Compta!$F$1:$F$675,Compta!$A$1:$A$675,$B77,Compta!$B$1:$B$675,"63511",Compta!$C$1:$C$675,$A77))</f>
        <v/>
      </c>
      <c r="AB77" t="str">
        <f>IF($A77="","",SUMIFS(Compta!$F$1:$F$675,Compta!$A$1:$A$675,"GRP",Compta!$B$1:$B$675,"6414",Compta!$C$1:$C$675,$A77)+SUMIFS(Compta!$F$1:$F$675,Compta!$A$1:$A$675,"GRP",Compta!$B$1:$B$675,"6226",Compta!$C$1:$C$675,$A77)+SUMIFS(Compta!$F$1:$F$675,Compta!$A$1:$A$675,"GRP",Compta!$B$1:$B$675,"626",Compta!$C$1:$C$675,$A77)+SUMIFS(Compta!$F$1:$F$675,Compta!$A$1:$A$675,"GRP",Compta!$B$1:$B$675,"6281",Compta!$C$1:$C$675,$A77)+SUMIFS(Compta!$F$1:$F$675,Compta!$A$1:$A$675,"GRP",Compta!$B$1:$B$675,"6331",Compta!$C$1:$C$675,$A77)+SUMIFS(Compta!$F$1:$F$675,Compta!$A$1:$A$675,"GRP",Compta!$B$1:$B$675,"6333",Compta!$C$1:$C$675,$A77))</f>
        <v/>
      </c>
      <c r="AC77" t="str">
        <f t="shared" si="21"/>
        <v/>
      </c>
      <c r="AD77" t="str">
        <f t="shared" si="22"/>
        <v/>
      </c>
      <c r="AE77" t="str">
        <f t="shared" si="23"/>
        <v/>
      </c>
      <c r="AF77" t="str">
        <f t="shared" si="24"/>
        <v/>
      </c>
      <c r="AG77" t="str">
        <f t="shared" si="25"/>
        <v/>
      </c>
      <c r="AH77" t="str">
        <f t="shared" si="26"/>
        <v/>
      </c>
      <c r="AI77" t="str">
        <f t="shared" si="27"/>
        <v/>
      </c>
      <c r="AJ77" t="str">
        <f t="shared" si="28"/>
        <v/>
      </c>
      <c r="AK77" t="str">
        <f t="shared" si="29"/>
        <v/>
      </c>
      <c r="AL77" t="str">
        <f t="shared" si="30"/>
        <v/>
      </c>
      <c r="AM77" t="str">
        <f t="shared" si="31"/>
        <v/>
      </c>
      <c r="AN77" t="str">
        <f t="shared" si="32"/>
        <v/>
      </c>
      <c r="AO77" t="str">
        <f>IF($A77="","",SUMIFS(Compta!$F$1:$F$675,Compta!$A$1:$A$675,"GRP",Compta!$B$1:$B$675,"6236",Compta!$C$1:$C$675,$A77))</f>
        <v/>
      </c>
      <c r="AP77" t="str">
        <f t="shared" si="33"/>
        <v/>
      </c>
      <c r="AQ77" t="str">
        <f t="shared" si="34"/>
        <v/>
      </c>
      <c r="AR77" t="str">
        <f t="shared" si="35"/>
        <v/>
      </c>
    </row>
    <row r="78" spans="1:44" x14ac:dyDescent="0.45">
      <c r="A78" t="str">
        <f>IF(Allocation!C78="","",Allocation!C78)</f>
        <v/>
      </c>
      <c r="B78" t="str">
        <f>IF(Allocation!D78="","",Allocation!D78)</f>
        <v/>
      </c>
      <c r="C78" t="str">
        <f>IF(Allocation!E78="","",Allocation!E78)</f>
        <v/>
      </c>
      <c r="D78" t="str">
        <f>IF(Allocation!F78="","",Allocation!F78)</f>
        <v/>
      </c>
      <c r="E78" t="str">
        <f>IF(Allocation!G78="","",Allocation!G78)</f>
        <v/>
      </c>
      <c r="F78" t="str">
        <f>IF(Allocation!H78="","",Allocation!H78)</f>
        <v/>
      </c>
      <c r="G78" t="str">
        <f>IF(Allocation!D78="","",Allocation!I78)</f>
        <v/>
      </c>
      <c r="H78" t="str">
        <f>IF(Allocation!D78="","",Allocation!J78)</f>
        <v/>
      </c>
      <c r="I78" t="str">
        <f>IF(Allocation!D78="","",Allocation!K78)</f>
        <v/>
      </c>
      <c r="J78" t="str">
        <f>IF($A78="","",SUMIFS(Socle!$K$1:$K$1000,Socle!$C$1:$C$1000,$B78,Socle!$D$1:$D$1000,$D78,Socle!$E$1:$E$1000,$E78,Socle!$F$1:$F$1000,$F78,Socle!$G$1:$G$1000,$A78))</f>
        <v/>
      </c>
      <c r="K78" t="str">
        <f t="shared" si="18"/>
        <v/>
      </c>
      <c r="L78" t="str">
        <f>IF($A78="","",SUMIFS(Allocation!$I$1:$I$175,Allocation!$C$1:$C$175,$A78,Allocation!$D$1:$D$175,$B78))</f>
        <v/>
      </c>
      <c r="M78" t="str">
        <f>IF($A78="","",SUMIFS(Allocation!$J$1:$J$175,Allocation!$C$1:$C$175,$A78,Allocation!$D$1:$D$175,$B78))</f>
        <v/>
      </c>
      <c r="N78" t="str">
        <f>IF($A78="","",SUMIFS(Allocation!$K$1:$K$175,Allocation!$C$1:$C$175,$A78,Allocation!$D$1:$D$175,$B78))</f>
        <v/>
      </c>
      <c r="O78" t="str">
        <f t="shared" si="19"/>
        <v/>
      </c>
      <c r="P78" t="str">
        <f t="shared" si="20"/>
        <v/>
      </c>
      <c r="Q78" t="str">
        <f>IF($A78="","",SUMIFS(Allocation!$I$1:$I$175,Allocation!$C$1:$C$175,$A78,Allocation!$E$1:$E$175,$C78))</f>
        <v/>
      </c>
      <c r="R78" t="str">
        <f>IF($A78="","",SUMIFS(Allocation!$J$1:$J$175,Allocation!$C$1:$C$175,$A78,Allocation!$E$1:$E$175,$C78))</f>
        <v/>
      </c>
      <c r="S78" t="str">
        <f>IF($A78="","",SUMIFS(Allocation!$K$1:$K$175,Allocation!$C$1:$C$175,$A78,Allocation!$E$1:$E$175,$C78))</f>
        <v/>
      </c>
      <c r="T78" t="str">
        <f>IF($A78="","",SUMIFS(Allocation!$I$1:$I$175,Allocation!$C$1:$C$175,$A78))</f>
        <v/>
      </c>
      <c r="U78" t="str">
        <f>IF($A78="","",SUMIFS(Allocation!$J$1:$J$175,Allocation!$C$1:$C$175,$A78))</f>
        <v/>
      </c>
      <c r="V78" t="str">
        <f>IF($A78="","",SUMIFS(Allocation!$K$1:$K$175,Allocation!$C$1:$C$175,$A78))</f>
        <v/>
      </c>
      <c r="W78" t="str">
        <f>IF($A78="","",SUMIFS(Compta!$F$1:$F$675,Compta!$A$1:$A$675,$B78,Compta!$B$1:$B$675,"621",Compta!$C$1:$C$675,$A78))</f>
        <v/>
      </c>
      <c r="X78" t="str">
        <f>IF($A78="","",SUMIFS(Compta!$F$1:$F$675,Compta!$A$1:$A$675,$B78,Compta!$B$1:$B$675,"6411",Compta!$C$1:$C$675,$A78))</f>
        <v/>
      </c>
      <c r="Y78" t="str">
        <f>IF($A78="","",SUMIFS(Compta!$F$1:$F$675,Compta!$A$1:$A$675,$B78,Compta!$B$1:$B$675,"604",Compta!$C$1:$C$675,$A78)+SUMIFS(Compta!$F$1:$F$675,Compta!$A$1:$A$675,$B78,Compta!$B$1:$B$675,"6063",Compta!$C$1:$C$675,$A78))</f>
        <v/>
      </c>
      <c r="Z78" t="str">
        <f>IF($A78="","",SUMIFS(Compta!$F$1:$F$675,Compta!$A$1:$A$675,$B78,Compta!$B$1:$B$675,"6231",Compta!$C$1:$C$675,$A78))</f>
        <v/>
      </c>
      <c r="AA78" t="str">
        <f>IF($A78="","",SUMIFS(Compta!$F$1:$F$675,Compta!$A$1:$A$675,$B78,Compta!$B$1:$B$675,"6413",Compta!$C$1:$C$675,$A78)+SUMIFS(Compta!$F$1:$F$675,Compta!$A$1:$A$675,$B78,Compta!$B$1:$B$675,"645",Compta!$C$1:$C$675,$A78)+SUMIFS(Compta!$F$1:$F$675,Compta!$A$1:$A$675,$B78,Compta!$B$1:$B$675,"613",Compta!$C$1:$C$675,$A78)+SUMIFS(Compta!$F$1:$F$675,Compta!$A$1:$A$675,$B78,Compta!$B$1:$B$675,"615",Compta!$C$1:$C$675,$A78)+SUMIFS(Compta!$F$1:$F$675,Compta!$A$1:$A$675,$B78,Compta!$B$1:$B$675,"616",Compta!$C$1:$C$675,$A78)+SUMIFS(Compta!$F$1:$F$675,Compta!$A$1:$A$675,$B78,Compta!$B$1:$B$675,"625",Compta!$C$1:$C$675,$A78)+SUMIFS(Compta!$F$1:$F$675,Compta!$A$1:$A$675,$B78,Compta!$B$1:$B$675,"63511",Compta!$C$1:$C$675,$A78))</f>
        <v/>
      </c>
      <c r="AB78" t="str">
        <f>IF($A78="","",SUMIFS(Compta!$F$1:$F$675,Compta!$A$1:$A$675,"GRP",Compta!$B$1:$B$675,"6414",Compta!$C$1:$C$675,$A78)+SUMIFS(Compta!$F$1:$F$675,Compta!$A$1:$A$675,"GRP",Compta!$B$1:$B$675,"6226",Compta!$C$1:$C$675,$A78)+SUMIFS(Compta!$F$1:$F$675,Compta!$A$1:$A$675,"GRP",Compta!$B$1:$B$675,"626",Compta!$C$1:$C$675,$A78)+SUMIFS(Compta!$F$1:$F$675,Compta!$A$1:$A$675,"GRP",Compta!$B$1:$B$675,"6281",Compta!$C$1:$C$675,$A78)+SUMIFS(Compta!$F$1:$F$675,Compta!$A$1:$A$675,"GRP",Compta!$B$1:$B$675,"6331",Compta!$C$1:$C$675,$A78)+SUMIFS(Compta!$F$1:$F$675,Compta!$A$1:$A$675,"GRP",Compta!$B$1:$B$675,"6333",Compta!$C$1:$C$675,$A78))</f>
        <v/>
      </c>
      <c r="AC78" t="str">
        <f t="shared" si="21"/>
        <v/>
      </c>
      <c r="AD78" t="str">
        <f t="shared" si="22"/>
        <v/>
      </c>
      <c r="AE78" t="str">
        <f t="shared" si="23"/>
        <v/>
      </c>
      <c r="AF78" t="str">
        <f t="shared" si="24"/>
        <v/>
      </c>
      <c r="AG78" t="str">
        <f t="shared" si="25"/>
        <v/>
      </c>
      <c r="AH78" t="str">
        <f t="shared" si="26"/>
        <v/>
      </c>
      <c r="AI78" t="str">
        <f t="shared" si="27"/>
        <v/>
      </c>
      <c r="AJ78" t="str">
        <f t="shared" si="28"/>
        <v/>
      </c>
      <c r="AK78" t="str">
        <f t="shared" si="29"/>
        <v/>
      </c>
      <c r="AL78" t="str">
        <f t="shared" si="30"/>
        <v/>
      </c>
      <c r="AM78" t="str">
        <f t="shared" si="31"/>
        <v/>
      </c>
      <c r="AN78" t="str">
        <f t="shared" si="32"/>
        <v/>
      </c>
      <c r="AO78" t="str">
        <f>IF($A78="","",SUMIFS(Compta!$F$1:$F$675,Compta!$A$1:$A$675,"GRP",Compta!$B$1:$B$675,"6236",Compta!$C$1:$C$675,$A78))</f>
        <v/>
      </c>
      <c r="AP78" t="str">
        <f t="shared" si="33"/>
        <v/>
      </c>
      <c r="AQ78" t="str">
        <f t="shared" si="34"/>
        <v/>
      </c>
      <c r="AR78" t="str">
        <f t="shared" si="35"/>
        <v/>
      </c>
    </row>
    <row r="79" spans="1:44" x14ac:dyDescent="0.45">
      <c r="A79" t="str">
        <f>IF(Allocation!C79="","",Allocation!C79)</f>
        <v/>
      </c>
      <c r="B79" t="str">
        <f>IF(Allocation!D79="","",Allocation!D79)</f>
        <v/>
      </c>
      <c r="C79" t="str">
        <f>IF(Allocation!E79="","",Allocation!E79)</f>
        <v/>
      </c>
      <c r="D79" t="str">
        <f>IF(Allocation!F79="","",Allocation!F79)</f>
        <v/>
      </c>
      <c r="E79" t="str">
        <f>IF(Allocation!G79="","",Allocation!G79)</f>
        <v/>
      </c>
      <c r="F79" t="str">
        <f>IF(Allocation!H79="","",Allocation!H79)</f>
        <v/>
      </c>
      <c r="G79" t="str">
        <f>IF(Allocation!D79="","",Allocation!I79)</f>
        <v/>
      </c>
      <c r="H79" t="str">
        <f>IF(Allocation!D79="","",Allocation!J79)</f>
        <v/>
      </c>
      <c r="I79" t="str">
        <f>IF(Allocation!D79="","",Allocation!K79)</f>
        <v/>
      </c>
      <c r="J79" t="str">
        <f>IF($A79="","",SUMIFS(Socle!$K$1:$K$1000,Socle!$C$1:$C$1000,$B79,Socle!$D$1:$D$1000,$D79,Socle!$E$1:$E$1000,$E79,Socle!$F$1:$F$1000,$F79,Socle!$G$1:$G$1000,$A79))</f>
        <v/>
      </c>
      <c r="K79" t="str">
        <f t="shared" si="18"/>
        <v/>
      </c>
      <c r="L79" t="str">
        <f>IF($A79="","",SUMIFS(Allocation!$I$1:$I$175,Allocation!$C$1:$C$175,$A79,Allocation!$D$1:$D$175,$B79))</f>
        <v/>
      </c>
      <c r="M79" t="str">
        <f>IF($A79="","",SUMIFS(Allocation!$J$1:$J$175,Allocation!$C$1:$C$175,$A79,Allocation!$D$1:$D$175,$B79))</f>
        <v/>
      </c>
      <c r="N79" t="str">
        <f>IF($A79="","",SUMIFS(Allocation!$K$1:$K$175,Allocation!$C$1:$C$175,$A79,Allocation!$D$1:$D$175,$B79))</f>
        <v/>
      </c>
      <c r="O79" t="str">
        <f t="shared" si="19"/>
        <v/>
      </c>
      <c r="P79" t="str">
        <f t="shared" si="20"/>
        <v/>
      </c>
      <c r="Q79" t="str">
        <f>IF($A79="","",SUMIFS(Allocation!$I$1:$I$175,Allocation!$C$1:$C$175,$A79,Allocation!$E$1:$E$175,$C79))</f>
        <v/>
      </c>
      <c r="R79" t="str">
        <f>IF($A79="","",SUMIFS(Allocation!$J$1:$J$175,Allocation!$C$1:$C$175,$A79,Allocation!$E$1:$E$175,$C79))</f>
        <v/>
      </c>
      <c r="S79" t="str">
        <f>IF($A79="","",SUMIFS(Allocation!$K$1:$K$175,Allocation!$C$1:$C$175,$A79,Allocation!$E$1:$E$175,$C79))</f>
        <v/>
      </c>
      <c r="T79" t="str">
        <f>IF($A79="","",SUMIFS(Allocation!$I$1:$I$175,Allocation!$C$1:$C$175,$A79))</f>
        <v/>
      </c>
      <c r="U79" t="str">
        <f>IF($A79="","",SUMIFS(Allocation!$J$1:$J$175,Allocation!$C$1:$C$175,$A79))</f>
        <v/>
      </c>
      <c r="V79" t="str">
        <f>IF($A79="","",SUMIFS(Allocation!$K$1:$K$175,Allocation!$C$1:$C$175,$A79))</f>
        <v/>
      </c>
      <c r="W79" t="str">
        <f>IF($A79="","",SUMIFS(Compta!$F$1:$F$675,Compta!$A$1:$A$675,$B79,Compta!$B$1:$B$675,"621",Compta!$C$1:$C$675,$A79))</f>
        <v/>
      </c>
      <c r="X79" t="str">
        <f>IF($A79="","",SUMIFS(Compta!$F$1:$F$675,Compta!$A$1:$A$675,$B79,Compta!$B$1:$B$675,"6411",Compta!$C$1:$C$675,$A79))</f>
        <v/>
      </c>
      <c r="Y79" t="str">
        <f>IF($A79="","",SUMIFS(Compta!$F$1:$F$675,Compta!$A$1:$A$675,$B79,Compta!$B$1:$B$675,"604",Compta!$C$1:$C$675,$A79)+SUMIFS(Compta!$F$1:$F$675,Compta!$A$1:$A$675,$B79,Compta!$B$1:$B$675,"6063",Compta!$C$1:$C$675,$A79))</f>
        <v/>
      </c>
      <c r="Z79" t="str">
        <f>IF($A79="","",SUMIFS(Compta!$F$1:$F$675,Compta!$A$1:$A$675,$B79,Compta!$B$1:$B$675,"6231",Compta!$C$1:$C$675,$A79))</f>
        <v/>
      </c>
      <c r="AA79" t="str">
        <f>IF($A79="","",SUMIFS(Compta!$F$1:$F$675,Compta!$A$1:$A$675,$B79,Compta!$B$1:$B$675,"6413",Compta!$C$1:$C$675,$A79)+SUMIFS(Compta!$F$1:$F$675,Compta!$A$1:$A$675,$B79,Compta!$B$1:$B$675,"645",Compta!$C$1:$C$675,$A79)+SUMIFS(Compta!$F$1:$F$675,Compta!$A$1:$A$675,$B79,Compta!$B$1:$B$675,"613",Compta!$C$1:$C$675,$A79)+SUMIFS(Compta!$F$1:$F$675,Compta!$A$1:$A$675,$B79,Compta!$B$1:$B$675,"615",Compta!$C$1:$C$675,$A79)+SUMIFS(Compta!$F$1:$F$675,Compta!$A$1:$A$675,$B79,Compta!$B$1:$B$675,"616",Compta!$C$1:$C$675,$A79)+SUMIFS(Compta!$F$1:$F$675,Compta!$A$1:$A$675,$B79,Compta!$B$1:$B$675,"625",Compta!$C$1:$C$675,$A79)+SUMIFS(Compta!$F$1:$F$675,Compta!$A$1:$A$675,$B79,Compta!$B$1:$B$675,"63511",Compta!$C$1:$C$675,$A79))</f>
        <v/>
      </c>
      <c r="AB79" t="str">
        <f>IF($A79="","",SUMIFS(Compta!$F$1:$F$675,Compta!$A$1:$A$675,"GRP",Compta!$B$1:$B$675,"6414",Compta!$C$1:$C$675,$A79)+SUMIFS(Compta!$F$1:$F$675,Compta!$A$1:$A$675,"GRP",Compta!$B$1:$B$675,"6226",Compta!$C$1:$C$675,$A79)+SUMIFS(Compta!$F$1:$F$675,Compta!$A$1:$A$675,"GRP",Compta!$B$1:$B$675,"626",Compta!$C$1:$C$675,$A79)+SUMIFS(Compta!$F$1:$F$675,Compta!$A$1:$A$675,"GRP",Compta!$B$1:$B$675,"6281",Compta!$C$1:$C$675,$A79)+SUMIFS(Compta!$F$1:$F$675,Compta!$A$1:$A$675,"GRP",Compta!$B$1:$B$675,"6331",Compta!$C$1:$C$675,$A79)+SUMIFS(Compta!$F$1:$F$675,Compta!$A$1:$A$675,"GRP",Compta!$B$1:$B$675,"6333",Compta!$C$1:$C$675,$A79))</f>
        <v/>
      </c>
      <c r="AC79" t="str">
        <f t="shared" si="21"/>
        <v/>
      </c>
      <c r="AD79" t="str">
        <f t="shared" si="22"/>
        <v/>
      </c>
      <c r="AE79" t="str">
        <f t="shared" si="23"/>
        <v/>
      </c>
      <c r="AF79" t="str">
        <f t="shared" si="24"/>
        <v/>
      </c>
      <c r="AG79" t="str">
        <f t="shared" si="25"/>
        <v/>
      </c>
      <c r="AH79" t="str">
        <f t="shared" si="26"/>
        <v/>
      </c>
      <c r="AI79" t="str">
        <f t="shared" si="27"/>
        <v/>
      </c>
      <c r="AJ79" t="str">
        <f t="shared" si="28"/>
        <v/>
      </c>
      <c r="AK79" t="str">
        <f t="shared" si="29"/>
        <v/>
      </c>
      <c r="AL79" t="str">
        <f t="shared" si="30"/>
        <v/>
      </c>
      <c r="AM79" t="str">
        <f t="shared" si="31"/>
        <v/>
      </c>
      <c r="AN79" t="str">
        <f t="shared" si="32"/>
        <v/>
      </c>
      <c r="AO79" t="str">
        <f>IF($A79="","",SUMIFS(Compta!$F$1:$F$675,Compta!$A$1:$A$675,"GRP",Compta!$B$1:$B$675,"6236",Compta!$C$1:$C$675,$A79))</f>
        <v/>
      </c>
      <c r="AP79" t="str">
        <f t="shared" si="33"/>
        <v/>
      </c>
      <c r="AQ79" t="str">
        <f t="shared" si="34"/>
        <v/>
      </c>
      <c r="AR79" t="str">
        <f t="shared" si="35"/>
        <v/>
      </c>
    </row>
    <row r="80" spans="1:44" x14ac:dyDescent="0.45">
      <c r="A80" t="str">
        <f>IF(Allocation!C80="","",Allocation!C80)</f>
        <v/>
      </c>
      <c r="B80" t="str">
        <f>IF(Allocation!D80="","",Allocation!D80)</f>
        <v/>
      </c>
      <c r="C80" t="str">
        <f>IF(Allocation!E80="","",Allocation!E80)</f>
        <v/>
      </c>
      <c r="D80" t="str">
        <f>IF(Allocation!F80="","",Allocation!F80)</f>
        <v/>
      </c>
      <c r="E80" t="str">
        <f>IF(Allocation!G80="","",Allocation!G80)</f>
        <v/>
      </c>
      <c r="F80" t="str">
        <f>IF(Allocation!H80="","",Allocation!H80)</f>
        <v/>
      </c>
      <c r="G80" t="str">
        <f>IF(Allocation!D80="","",Allocation!I80)</f>
        <v/>
      </c>
      <c r="H80" t="str">
        <f>IF(Allocation!D80="","",Allocation!J80)</f>
        <v/>
      </c>
      <c r="I80" t="str">
        <f>IF(Allocation!D80="","",Allocation!K80)</f>
        <v/>
      </c>
      <c r="J80" t="str">
        <f>IF($A80="","",SUMIFS(Socle!$K$1:$K$1000,Socle!$C$1:$C$1000,$B80,Socle!$D$1:$D$1000,$D80,Socle!$E$1:$E$1000,$E80,Socle!$F$1:$F$1000,$F80,Socle!$G$1:$G$1000,$A80))</f>
        <v/>
      </c>
      <c r="K80" t="str">
        <f t="shared" si="18"/>
        <v/>
      </c>
      <c r="L80" t="str">
        <f>IF($A80="","",SUMIFS(Allocation!$I$1:$I$175,Allocation!$C$1:$C$175,$A80,Allocation!$D$1:$D$175,$B80))</f>
        <v/>
      </c>
      <c r="M80" t="str">
        <f>IF($A80="","",SUMIFS(Allocation!$J$1:$J$175,Allocation!$C$1:$C$175,$A80,Allocation!$D$1:$D$175,$B80))</f>
        <v/>
      </c>
      <c r="N80" t="str">
        <f>IF($A80="","",SUMIFS(Allocation!$K$1:$K$175,Allocation!$C$1:$C$175,$A80,Allocation!$D$1:$D$175,$B80))</f>
        <v/>
      </c>
      <c r="O80" t="str">
        <f t="shared" si="19"/>
        <v/>
      </c>
      <c r="P80" t="str">
        <f t="shared" si="20"/>
        <v/>
      </c>
      <c r="Q80" t="str">
        <f>IF($A80="","",SUMIFS(Allocation!$I$1:$I$175,Allocation!$C$1:$C$175,$A80,Allocation!$E$1:$E$175,$C80))</f>
        <v/>
      </c>
      <c r="R80" t="str">
        <f>IF($A80="","",SUMIFS(Allocation!$J$1:$J$175,Allocation!$C$1:$C$175,$A80,Allocation!$E$1:$E$175,$C80))</f>
        <v/>
      </c>
      <c r="S80" t="str">
        <f>IF($A80="","",SUMIFS(Allocation!$K$1:$K$175,Allocation!$C$1:$C$175,$A80,Allocation!$E$1:$E$175,$C80))</f>
        <v/>
      </c>
      <c r="T80" t="str">
        <f>IF($A80="","",SUMIFS(Allocation!$I$1:$I$175,Allocation!$C$1:$C$175,$A80))</f>
        <v/>
      </c>
      <c r="U80" t="str">
        <f>IF($A80="","",SUMIFS(Allocation!$J$1:$J$175,Allocation!$C$1:$C$175,$A80))</f>
        <v/>
      </c>
      <c r="V80" t="str">
        <f>IF($A80="","",SUMIFS(Allocation!$K$1:$K$175,Allocation!$C$1:$C$175,$A80))</f>
        <v/>
      </c>
      <c r="W80" t="str">
        <f>IF($A80="","",SUMIFS(Compta!$F$1:$F$675,Compta!$A$1:$A$675,$B80,Compta!$B$1:$B$675,"621",Compta!$C$1:$C$675,$A80))</f>
        <v/>
      </c>
      <c r="X80" t="str">
        <f>IF($A80="","",SUMIFS(Compta!$F$1:$F$675,Compta!$A$1:$A$675,$B80,Compta!$B$1:$B$675,"6411",Compta!$C$1:$C$675,$A80))</f>
        <v/>
      </c>
      <c r="Y80" t="str">
        <f>IF($A80="","",SUMIFS(Compta!$F$1:$F$675,Compta!$A$1:$A$675,$B80,Compta!$B$1:$B$675,"604",Compta!$C$1:$C$675,$A80)+SUMIFS(Compta!$F$1:$F$675,Compta!$A$1:$A$675,$B80,Compta!$B$1:$B$675,"6063",Compta!$C$1:$C$675,$A80))</f>
        <v/>
      </c>
      <c r="Z80" t="str">
        <f>IF($A80="","",SUMIFS(Compta!$F$1:$F$675,Compta!$A$1:$A$675,$B80,Compta!$B$1:$B$675,"6231",Compta!$C$1:$C$675,$A80))</f>
        <v/>
      </c>
      <c r="AA80" t="str">
        <f>IF($A80="","",SUMIFS(Compta!$F$1:$F$675,Compta!$A$1:$A$675,$B80,Compta!$B$1:$B$675,"6413",Compta!$C$1:$C$675,$A80)+SUMIFS(Compta!$F$1:$F$675,Compta!$A$1:$A$675,$B80,Compta!$B$1:$B$675,"645",Compta!$C$1:$C$675,$A80)+SUMIFS(Compta!$F$1:$F$675,Compta!$A$1:$A$675,$B80,Compta!$B$1:$B$675,"613",Compta!$C$1:$C$675,$A80)+SUMIFS(Compta!$F$1:$F$675,Compta!$A$1:$A$675,$B80,Compta!$B$1:$B$675,"615",Compta!$C$1:$C$675,$A80)+SUMIFS(Compta!$F$1:$F$675,Compta!$A$1:$A$675,$B80,Compta!$B$1:$B$675,"616",Compta!$C$1:$C$675,$A80)+SUMIFS(Compta!$F$1:$F$675,Compta!$A$1:$A$675,$B80,Compta!$B$1:$B$675,"625",Compta!$C$1:$C$675,$A80)+SUMIFS(Compta!$F$1:$F$675,Compta!$A$1:$A$675,$B80,Compta!$B$1:$B$675,"63511",Compta!$C$1:$C$675,$A80))</f>
        <v/>
      </c>
      <c r="AB80" t="str">
        <f>IF($A80="","",SUMIFS(Compta!$F$1:$F$675,Compta!$A$1:$A$675,"GRP",Compta!$B$1:$B$675,"6414",Compta!$C$1:$C$675,$A80)+SUMIFS(Compta!$F$1:$F$675,Compta!$A$1:$A$675,"GRP",Compta!$B$1:$B$675,"6226",Compta!$C$1:$C$675,$A80)+SUMIFS(Compta!$F$1:$F$675,Compta!$A$1:$A$675,"GRP",Compta!$B$1:$B$675,"626",Compta!$C$1:$C$675,$A80)+SUMIFS(Compta!$F$1:$F$675,Compta!$A$1:$A$675,"GRP",Compta!$B$1:$B$675,"6281",Compta!$C$1:$C$675,$A80)+SUMIFS(Compta!$F$1:$F$675,Compta!$A$1:$A$675,"GRP",Compta!$B$1:$B$675,"6331",Compta!$C$1:$C$675,$A80)+SUMIFS(Compta!$F$1:$F$675,Compta!$A$1:$A$675,"GRP",Compta!$B$1:$B$675,"6333",Compta!$C$1:$C$675,$A80))</f>
        <v/>
      </c>
      <c r="AC80" t="str">
        <f t="shared" si="21"/>
        <v/>
      </c>
      <c r="AD80" t="str">
        <f t="shared" si="22"/>
        <v/>
      </c>
      <c r="AE80" t="str">
        <f t="shared" si="23"/>
        <v/>
      </c>
      <c r="AF80" t="str">
        <f t="shared" si="24"/>
        <v/>
      </c>
      <c r="AG80" t="str">
        <f t="shared" si="25"/>
        <v/>
      </c>
      <c r="AH80" t="str">
        <f t="shared" si="26"/>
        <v/>
      </c>
      <c r="AI80" t="str">
        <f t="shared" si="27"/>
        <v/>
      </c>
      <c r="AJ80" t="str">
        <f t="shared" si="28"/>
        <v/>
      </c>
      <c r="AK80" t="str">
        <f t="shared" si="29"/>
        <v/>
      </c>
      <c r="AL80" t="str">
        <f t="shared" si="30"/>
        <v/>
      </c>
      <c r="AM80" t="str">
        <f t="shared" si="31"/>
        <v/>
      </c>
      <c r="AN80" t="str">
        <f t="shared" si="32"/>
        <v/>
      </c>
      <c r="AO80" t="str">
        <f>IF($A80="","",SUMIFS(Compta!$F$1:$F$675,Compta!$A$1:$A$675,"GRP",Compta!$B$1:$B$675,"6236",Compta!$C$1:$C$675,$A80))</f>
        <v/>
      </c>
      <c r="AP80" t="str">
        <f t="shared" si="33"/>
        <v/>
      </c>
      <c r="AQ80" t="str">
        <f t="shared" si="34"/>
        <v/>
      </c>
      <c r="AR80" t="str">
        <f t="shared" si="35"/>
        <v/>
      </c>
    </row>
    <row r="81" spans="1:44" x14ac:dyDescent="0.45">
      <c r="A81" t="str">
        <f>IF(Allocation!C81="","",Allocation!C81)</f>
        <v/>
      </c>
      <c r="B81" t="str">
        <f>IF(Allocation!D81="","",Allocation!D81)</f>
        <v/>
      </c>
      <c r="C81" t="str">
        <f>IF(Allocation!E81="","",Allocation!E81)</f>
        <v/>
      </c>
      <c r="D81" t="str">
        <f>IF(Allocation!F81="","",Allocation!F81)</f>
        <v/>
      </c>
      <c r="E81" t="str">
        <f>IF(Allocation!G81="","",Allocation!G81)</f>
        <v/>
      </c>
      <c r="F81" t="str">
        <f>IF(Allocation!H81="","",Allocation!H81)</f>
        <v/>
      </c>
      <c r="G81" t="str">
        <f>IF(Allocation!D81="","",Allocation!I81)</f>
        <v/>
      </c>
      <c r="H81" t="str">
        <f>IF(Allocation!D81="","",Allocation!J81)</f>
        <v/>
      </c>
      <c r="I81" t="str">
        <f>IF(Allocation!D81="","",Allocation!K81)</f>
        <v/>
      </c>
      <c r="J81" t="str">
        <f>IF($A81="","",SUMIFS(Socle!$K$1:$K$1000,Socle!$C$1:$C$1000,$B81,Socle!$D$1:$D$1000,$D81,Socle!$E$1:$E$1000,$E81,Socle!$F$1:$F$1000,$F81,Socle!$G$1:$G$1000,$A81))</f>
        <v/>
      </c>
      <c r="K81" t="str">
        <f t="shared" si="18"/>
        <v/>
      </c>
      <c r="L81" t="str">
        <f>IF($A81="","",SUMIFS(Allocation!$I$1:$I$175,Allocation!$C$1:$C$175,$A81,Allocation!$D$1:$D$175,$B81))</f>
        <v/>
      </c>
      <c r="M81" t="str">
        <f>IF($A81="","",SUMIFS(Allocation!$J$1:$J$175,Allocation!$C$1:$C$175,$A81,Allocation!$D$1:$D$175,$B81))</f>
        <v/>
      </c>
      <c r="N81" t="str">
        <f>IF($A81="","",SUMIFS(Allocation!$K$1:$K$175,Allocation!$C$1:$C$175,$A81,Allocation!$D$1:$D$175,$B81))</f>
        <v/>
      </c>
      <c r="O81" t="str">
        <f t="shared" si="19"/>
        <v/>
      </c>
      <c r="P81" t="str">
        <f t="shared" si="20"/>
        <v/>
      </c>
      <c r="Q81" t="str">
        <f>IF($A81="","",SUMIFS(Allocation!$I$1:$I$175,Allocation!$C$1:$C$175,$A81,Allocation!$E$1:$E$175,$C81))</f>
        <v/>
      </c>
      <c r="R81" t="str">
        <f>IF($A81="","",SUMIFS(Allocation!$J$1:$J$175,Allocation!$C$1:$C$175,$A81,Allocation!$E$1:$E$175,$C81))</f>
        <v/>
      </c>
      <c r="S81" t="str">
        <f>IF($A81="","",SUMIFS(Allocation!$K$1:$K$175,Allocation!$C$1:$C$175,$A81,Allocation!$E$1:$E$175,$C81))</f>
        <v/>
      </c>
      <c r="T81" t="str">
        <f>IF($A81="","",SUMIFS(Allocation!$I$1:$I$175,Allocation!$C$1:$C$175,$A81))</f>
        <v/>
      </c>
      <c r="U81" t="str">
        <f>IF($A81="","",SUMIFS(Allocation!$J$1:$J$175,Allocation!$C$1:$C$175,$A81))</f>
        <v/>
      </c>
      <c r="V81" t="str">
        <f>IF($A81="","",SUMIFS(Allocation!$K$1:$K$175,Allocation!$C$1:$C$175,$A81))</f>
        <v/>
      </c>
      <c r="W81" t="str">
        <f>IF($A81="","",SUMIFS(Compta!$F$1:$F$675,Compta!$A$1:$A$675,$B81,Compta!$B$1:$B$675,"621",Compta!$C$1:$C$675,$A81))</f>
        <v/>
      </c>
      <c r="X81" t="str">
        <f>IF($A81="","",SUMIFS(Compta!$F$1:$F$675,Compta!$A$1:$A$675,$B81,Compta!$B$1:$B$675,"6411",Compta!$C$1:$C$675,$A81))</f>
        <v/>
      </c>
      <c r="Y81" t="str">
        <f>IF($A81="","",SUMIFS(Compta!$F$1:$F$675,Compta!$A$1:$A$675,$B81,Compta!$B$1:$B$675,"604",Compta!$C$1:$C$675,$A81)+SUMIFS(Compta!$F$1:$F$675,Compta!$A$1:$A$675,$B81,Compta!$B$1:$B$675,"6063",Compta!$C$1:$C$675,$A81))</f>
        <v/>
      </c>
      <c r="Z81" t="str">
        <f>IF($A81="","",SUMIFS(Compta!$F$1:$F$675,Compta!$A$1:$A$675,$B81,Compta!$B$1:$B$675,"6231",Compta!$C$1:$C$675,$A81))</f>
        <v/>
      </c>
      <c r="AA81" t="str">
        <f>IF($A81="","",SUMIFS(Compta!$F$1:$F$675,Compta!$A$1:$A$675,$B81,Compta!$B$1:$B$675,"6413",Compta!$C$1:$C$675,$A81)+SUMIFS(Compta!$F$1:$F$675,Compta!$A$1:$A$675,$B81,Compta!$B$1:$B$675,"645",Compta!$C$1:$C$675,$A81)+SUMIFS(Compta!$F$1:$F$675,Compta!$A$1:$A$675,$B81,Compta!$B$1:$B$675,"613",Compta!$C$1:$C$675,$A81)+SUMIFS(Compta!$F$1:$F$675,Compta!$A$1:$A$675,$B81,Compta!$B$1:$B$675,"615",Compta!$C$1:$C$675,$A81)+SUMIFS(Compta!$F$1:$F$675,Compta!$A$1:$A$675,$B81,Compta!$B$1:$B$675,"616",Compta!$C$1:$C$675,$A81)+SUMIFS(Compta!$F$1:$F$675,Compta!$A$1:$A$675,$B81,Compta!$B$1:$B$675,"625",Compta!$C$1:$C$675,$A81)+SUMIFS(Compta!$F$1:$F$675,Compta!$A$1:$A$675,$B81,Compta!$B$1:$B$675,"63511",Compta!$C$1:$C$675,$A81))</f>
        <v/>
      </c>
      <c r="AB81" t="str">
        <f>IF($A81="","",SUMIFS(Compta!$F$1:$F$675,Compta!$A$1:$A$675,"GRP",Compta!$B$1:$B$675,"6414",Compta!$C$1:$C$675,$A81)+SUMIFS(Compta!$F$1:$F$675,Compta!$A$1:$A$675,"GRP",Compta!$B$1:$B$675,"6226",Compta!$C$1:$C$675,$A81)+SUMIFS(Compta!$F$1:$F$675,Compta!$A$1:$A$675,"GRP",Compta!$B$1:$B$675,"626",Compta!$C$1:$C$675,$A81)+SUMIFS(Compta!$F$1:$F$675,Compta!$A$1:$A$675,"GRP",Compta!$B$1:$B$675,"6281",Compta!$C$1:$C$675,$A81)+SUMIFS(Compta!$F$1:$F$675,Compta!$A$1:$A$675,"GRP",Compta!$B$1:$B$675,"6331",Compta!$C$1:$C$675,$A81)+SUMIFS(Compta!$F$1:$F$675,Compta!$A$1:$A$675,"GRP",Compta!$B$1:$B$675,"6333",Compta!$C$1:$C$675,$A81))</f>
        <v/>
      </c>
      <c r="AC81" t="str">
        <f t="shared" si="21"/>
        <v/>
      </c>
      <c r="AD81" t="str">
        <f t="shared" si="22"/>
        <v/>
      </c>
      <c r="AE81" t="str">
        <f t="shared" si="23"/>
        <v/>
      </c>
      <c r="AF81" t="str">
        <f t="shared" si="24"/>
        <v/>
      </c>
      <c r="AG81" t="str">
        <f t="shared" si="25"/>
        <v/>
      </c>
      <c r="AH81" t="str">
        <f t="shared" si="26"/>
        <v/>
      </c>
      <c r="AI81" t="str">
        <f t="shared" si="27"/>
        <v/>
      </c>
      <c r="AJ81" t="str">
        <f t="shared" si="28"/>
        <v/>
      </c>
      <c r="AK81" t="str">
        <f t="shared" si="29"/>
        <v/>
      </c>
      <c r="AL81" t="str">
        <f t="shared" si="30"/>
        <v/>
      </c>
      <c r="AM81" t="str">
        <f t="shared" si="31"/>
        <v/>
      </c>
      <c r="AN81" t="str">
        <f t="shared" si="32"/>
        <v/>
      </c>
      <c r="AO81" t="str">
        <f>IF($A81="","",SUMIFS(Compta!$F$1:$F$675,Compta!$A$1:$A$675,"GRP",Compta!$B$1:$B$675,"6236",Compta!$C$1:$C$675,$A81))</f>
        <v/>
      </c>
      <c r="AP81" t="str">
        <f t="shared" si="33"/>
        <v/>
      </c>
      <c r="AQ81" t="str">
        <f t="shared" si="34"/>
        <v/>
      </c>
      <c r="AR81" t="str">
        <f t="shared" si="35"/>
        <v/>
      </c>
    </row>
    <row r="82" spans="1:44" x14ac:dyDescent="0.45">
      <c r="A82" t="str">
        <f>IF(Allocation!C82="","",Allocation!C82)</f>
        <v/>
      </c>
      <c r="B82" t="str">
        <f>IF(Allocation!D82="","",Allocation!D82)</f>
        <v/>
      </c>
      <c r="C82" t="str">
        <f>IF(Allocation!E82="","",Allocation!E82)</f>
        <v/>
      </c>
      <c r="D82" t="str">
        <f>IF(Allocation!F82="","",Allocation!F82)</f>
        <v/>
      </c>
      <c r="E82" t="str">
        <f>IF(Allocation!G82="","",Allocation!G82)</f>
        <v/>
      </c>
      <c r="F82" t="str">
        <f>IF(Allocation!H82="","",Allocation!H82)</f>
        <v/>
      </c>
      <c r="G82" t="str">
        <f>IF(Allocation!D82="","",Allocation!I82)</f>
        <v/>
      </c>
      <c r="H82" t="str">
        <f>IF(Allocation!D82="","",Allocation!J82)</f>
        <v/>
      </c>
      <c r="I82" t="str">
        <f>IF(Allocation!D82="","",Allocation!K82)</f>
        <v/>
      </c>
      <c r="J82" t="str">
        <f>IF($A82="","",SUMIFS(Socle!$K$1:$K$1000,Socle!$C$1:$C$1000,$B82,Socle!$D$1:$D$1000,$D82,Socle!$E$1:$E$1000,$E82,Socle!$F$1:$F$1000,$F82,Socle!$G$1:$G$1000,$A82))</f>
        <v/>
      </c>
      <c r="K82" t="str">
        <f t="shared" si="18"/>
        <v/>
      </c>
      <c r="L82" t="str">
        <f>IF($A82="","",SUMIFS(Allocation!$I$1:$I$175,Allocation!$C$1:$C$175,$A82,Allocation!$D$1:$D$175,$B82))</f>
        <v/>
      </c>
      <c r="M82" t="str">
        <f>IF($A82="","",SUMIFS(Allocation!$J$1:$J$175,Allocation!$C$1:$C$175,$A82,Allocation!$D$1:$D$175,$B82))</f>
        <v/>
      </c>
      <c r="N82" t="str">
        <f>IF($A82="","",SUMIFS(Allocation!$K$1:$K$175,Allocation!$C$1:$C$175,$A82,Allocation!$D$1:$D$175,$B82))</f>
        <v/>
      </c>
      <c r="O82" t="str">
        <f t="shared" si="19"/>
        <v/>
      </c>
      <c r="P82" t="str">
        <f t="shared" si="20"/>
        <v/>
      </c>
      <c r="Q82" t="str">
        <f>IF($A82="","",SUMIFS(Allocation!$I$1:$I$175,Allocation!$C$1:$C$175,$A82,Allocation!$E$1:$E$175,$C82))</f>
        <v/>
      </c>
      <c r="R82" t="str">
        <f>IF($A82="","",SUMIFS(Allocation!$J$1:$J$175,Allocation!$C$1:$C$175,$A82,Allocation!$E$1:$E$175,$C82))</f>
        <v/>
      </c>
      <c r="S82" t="str">
        <f>IF($A82="","",SUMIFS(Allocation!$K$1:$K$175,Allocation!$C$1:$C$175,$A82,Allocation!$E$1:$E$175,$C82))</f>
        <v/>
      </c>
      <c r="T82" t="str">
        <f>IF($A82="","",SUMIFS(Allocation!$I$1:$I$175,Allocation!$C$1:$C$175,$A82))</f>
        <v/>
      </c>
      <c r="U82" t="str">
        <f>IF($A82="","",SUMIFS(Allocation!$J$1:$J$175,Allocation!$C$1:$C$175,$A82))</f>
        <v/>
      </c>
      <c r="V82" t="str">
        <f>IF($A82="","",SUMIFS(Allocation!$K$1:$K$175,Allocation!$C$1:$C$175,$A82))</f>
        <v/>
      </c>
      <c r="W82" t="str">
        <f>IF($A82="","",SUMIFS(Compta!$F$1:$F$675,Compta!$A$1:$A$675,$B82,Compta!$B$1:$B$675,"621",Compta!$C$1:$C$675,$A82))</f>
        <v/>
      </c>
      <c r="X82" t="str">
        <f>IF($A82="","",SUMIFS(Compta!$F$1:$F$675,Compta!$A$1:$A$675,$B82,Compta!$B$1:$B$675,"6411",Compta!$C$1:$C$675,$A82))</f>
        <v/>
      </c>
      <c r="Y82" t="str">
        <f>IF($A82="","",SUMIFS(Compta!$F$1:$F$675,Compta!$A$1:$A$675,$B82,Compta!$B$1:$B$675,"604",Compta!$C$1:$C$675,$A82)+SUMIFS(Compta!$F$1:$F$675,Compta!$A$1:$A$675,$B82,Compta!$B$1:$B$675,"6063",Compta!$C$1:$C$675,$A82))</f>
        <v/>
      </c>
      <c r="Z82" t="str">
        <f>IF($A82="","",SUMIFS(Compta!$F$1:$F$675,Compta!$A$1:$A$675,$B82,Compta!$B$1:$B$675,"6231",Compta!$C$1:$C$675,$A82))</f>
        <v/>
      </c>
      <c r="AA82" t="str">
        <f>IF($A82="","",SUMIFS(Compta!$F$1:$F$675,Compta!$A$1:$A$675,$B82,Compta!$B$1:$B$675,"6413",Compta!$C$1:$C$675,$A82)+SUMIFS(Compta!$F$1:$F$675,Compta!$A$1:$A$675,$B82,Compta!$B$1:$B$675,"645",Compta!$C$1:$C$675,$A82)+SUMIFS(Compta!$F$1:$F$675,Compta!$A$1:$A$675,$B82,Compta!$B$1:$B$675,"613",Compta!$C$1:$C$675,$A82)+SUMIFS(Compta!$F$1:$F$675,Compta!$A$1:$A$675,$B82,Compta!$B$1:$B$675,"615",Compta!$C$1:$C$675,$A82)+SUMIFS(Compta!$F$1:$F$675,Compta!$A$1:$A$675,$B82,Compta!$B$1:$B$675,"616",Compta!$C$1:$C$675,$A82)+SUMIFS(Compta!$F$1:$F$675,Compta!$A$1:$A$675,$B82,Compta!$B$1:$B$675,"625",Compta!$C$1:$C$675,$A82)+SUMIFS(Compta!$F$1:$F$675,Compta!$A$1:$A$675,$B82,Compta!$B$1:$B$675,"63511",Compta!$C$1:$C$675,$A82))</f>
        <v/>
      </c>
      <c r="AB82" t="str">
        <f>IF($A82="","",SUMIFS(Compta!$F$1:$F$675,Compta!$A$1:$A$675,"GRP",Compta!$B$1:$B$675,"6414",Compta!$C$1:$C$675,$A82)+SUMIFS(Compta!$F$1:$F$675,Compta!$A$1:$A$675,"GRP",Compta!$B$1:$B$675,"6226",Compta!$C$1:$C$675,$A82)+SUMIFS(Compta!$F$1:$F$675,Compta!$A$1:$A$675,"GRP",Compta!$B$1:$B$675,"626",Compta!$C$1:$C$675,$A82)+SUMIFS(Compta!$F$1:$F$675,Compta!$A$1:$A$675,"GRP",Compta!$B$1:$B$675,"6281",Compta!$C$1:$C$675,$A82)+SUMIFS(Compta!$F$1:$F$675,Compta!$A$1:$A$675,"GRP",Compta!$B$1:$B$675,"6331",Compta!$C$1:$C$675,$A82)+SUMIFS(Compta!$F$1:$F$675,Compta!$A$1:$A$675,"GRP",Compta!$B$1:$B$675,"6333",Compta!$C$1:$C$675,$A82))</f>
        <v/>
      </c>
      <c r="AC82" t="str">
        <f t="shared" si="21"/>
        <v/>
      </c>
      <c r="AD82" t="str">
        <f t="shared" si="22"/>
        <v/>
      </c>
      <c r="AE82" t="str">
        <f t="shared" si="23"/>
        <v/>
      </c>
      <c r="AF82" t="str">
        <f t="shared" si="24"/>
        <v/>
      </c>
      <c r="AG82" t="str">
        <f t="shared" si="25"/>
        <v/>
      </c>
      <c r="AH82" t="str">
        <f t="shared" si="26"/>
        <v/>
      </c>
      <c r="AI82" t="str">
        <f t="shared" si="27"/>
        <v/>
      </c>
      <c r="AJ82" t="str">
        <f t="shared" si="28"/>
        <v/>
      </c>
      <c r="AK82" t="str">
        <f t="shared" si="29"/>
        <v/>
      </c>
      <c r="AL82" t="str">
        <f t="shared" si="30"/>
        <v/>
      </c>
      <c r="AM82" t="str">
        <f t="shared" si="31"/>
        <v/>
      </c>
      <c r="AN82" t="str">
        <f t="shared" si="32"/>
        <v/>
      </c>
      <c r="AO82" t="str">
        <f>IF($A82="","",SUMIFS(Compta!$F$1:$F$675,Compta!$A$1:$A$675,"GRP",Compta!$B$1:$B$675,"6236",Compta!$C$1:$C$675,$A82))</f>
        <v/>
      </c>
      <c r="AP82" t="str">
        <f t="shared" si="33"/>
        <v/>
      </c>
      <c r="AQ82" t="str">
        <f t="shared" si="34"/>
        <v/>
      </c>
      <c r="AR82" t="str">
        <f t="shared" si="35"/>
        <v/>
      </c>
    </row>
    <row r="83" spans="1:44" x14ac:dyDescent="0.45">
      <c r="A83" t="str">
        <f>IF(Allocation!C83="","",Allocation!C83)</f>
        <v/>
      </c>
      <c r="B83" t="str">
        <f>IF(Allocation!D83="","",Allocation!D83)</f>
        <v/>
      </c>
      <c r="C83" t="str">
        <f>IF(Allocation!E83="","",Allocation!E83)</f>
        <v/>
      </c>
      <c r="D83" t="str">
        <f>IF(Allocation!F83="","",Allocation!F83)</f>
        <v/>
      </c>
      <c r="E83" t="str">
        <f>IF(Allocation!G83="","",Allocation!G83)</f>
        <v/>
      </c>
      <c r="F83" t="str">
        <f>IF(Allocation!H83="","",Allocation!H83)</f>
        <v/>
      </c>
      <c r="G83" t="str">
        <f>IF(Allocation!D83="","",Allocation!I83)</f>
        <v/>
      </c>
      <c r="H83" t="str">
        <f>IF(Allocation!D83="","",Allocation!J83)</f>
        <v/>
      </c>
      <c r="I83" t="str">
        <f>IF(Allocation!D83="","",Allocation!K83)</f>
        <v/>
      </c>
      <c r="J83" t="str">
        <f>IF($A83="","",SUMIFS(Socle!$K$1:$K$1000,Socle!$C$1:$C$1000,$B83,Socle!$D$1:$D$1000,$D83,Socle!$E$1:$E$1000,$E83,Socle!$F$1:$F$1000,$F83,Socle!$G$1:$G$1000,$A83))</f>
        <v/>
      </c>
      <c r="K83" t="str">
        <f t="shared" si="18"/>
        <v/>
      </c>
      <c r="L83" t="str">
        <f>IF($A83="","",SUMIFS(Allocation!$I$1:$I$175,Allocation!$C$1:$C$175,$A83,Allocation!$D$1:$D$175,$B83))</f>
        <v/>
      </c>
      <c r="M83" t="str">
        <f>IF($A83="","",SUMIFS(Allocation!$J$1:$J$175,Allocation!$C$1:$C$175,$A83,Allocation!$D$1:$D$175,$B83))</f>
        <v/>
      </c>
      <c r="N83" t="str">
        <f>IF($A83="","",SUMIFS(Allocation!$K$1:$K$175,Allocation!$C$1:$C$175,$A83,Allocation!$D$1:$D$175,$B83))</f>
        <v/>
      </c>
      <c r="O83" t="str">
        <f t="shared" si="19"/>
        <v/>
      </c>
      <c r="P83" t="str">
        <f t="shared" si="20"/>
        <v/>
      </c>
      <c r="Q83" t="str">
        <f>IF($A83="","",SUMIFS(Allocation!$I$1:$I$175,Allocation!$C$1:$C$175,$A83,Allocation!$E$1:$E$175,$C83))</f>
        <v/>
      </c>
      <c r="R83" t="str">
        <f>IF($A83="","",SUMIFS(Allocation!$J$1:$J$175,Allocation!$C$1:$C$175,$A83,Allocation!$E$1:$E$175,$C83))</f>
        <v/>
      </c>
      <c r="S83" t="str">
        <f>IF($A83="","",SUMIFS(Allocation!$K$1:$K$175,Allocation!$C$1:$C$175,$A83,Allocation!$E$1:$E$175,$C83))</f>
        <v/>
      </c>
      <c r="T83" t="str">
        <f>IF($A83="","",SUMIFS(Allocation!$I$1:$I$175,Allocation!$C$1:$C$175,$A83))</f>
        <v/>
      </c>
      <c r="U83" t="str">
        <f>IF($A83="","",SUMIFS(Allocation!$J$1:$J$175,Allocation!$C$1:$C$175,$A83))</f>
        <v/>
      </c>
      <c r="V83" t="str">
        <f>IF($A83="","",SUMIFS(Allocation!$K$1:$K$175,Allocation!$C$1:$C$175,$A83))</f>
        <v/>
      </c>
      <c r="W83" t="str">
        <f>IF($A83="","",SUMIFS(Compta!$F$1:$F$675,Compta!$A$1:$A$675,$B83,Compta!$B$1:$B$675,"621",Compta!$C$1:$C$675,$A83))</f>
        <v/>
      </c>
      <c r="X83" t="str">
        <f>IF($A83="","",SUMIFS(Compta!$F$1:$F$675,Compta!$A$1:$A$675,$B83,Compta!$B$1:$B$675,"6411",Compta!$C$1:$C$675,$A83))</f>
        <v/>
      </c>
      <c r="Y83" t="str">
        <f>IF($A83="","",SUMIFS(Compta!$F$1:$F$675,Compta!$A$1:$A$675,$B83,Compta!$B$1:$B$675,"604",Compta!$C$1:$C$675,$A83)+SUMIFS(Compta!$F$1:$F$675,Compta!$A$1:$A$675,$B83,Compta!$B$1:$B$675,"6063",Compta!$C$1:$C$675,$A83))</f>
        <v/>
      </c>
      <c r="Z83" t="str">
        <f>IF($A83="","",SUMIFS(Compta!$F$1:$F$675,Compta!$A$1:$A$675,$B83,Compta!$B$1:$B$675,"6231",Compta!$C$1:$C$675,$A83))</f>
        <v/>
      </c>
      <c r="AA83" t="str">
        <f>IF($A83="","",SUMIFS(Compta!$F$1:$F$675,Compta!$A$1:$A$675,$B83,Compta!$B$1:$B$675,"6413",Compta!$C$1:$C$675,$A83)+SUMIFS(Compta!$F$1:$F$675,Compta!$A$1:$A$675,$B83,Compta!$B$1:$B$675,"645",Compta!$C$1:$C$675,$A83)+SUMIFS(Compta!$F$1:$F$675,Compta!$A$1:$A$675,$B83,Compta!$B$1:$B$675,"613",Compta!$C$1:$C$675,$A83)+SUMIFS(Compta!$F$1:$F$675,Compta!$A$1:$A$675,$B83,Compta!$B$1:$B$675,"615",Compta!$C$1:$C$675,$A83)+SUMIFS(Compta!$F$1:$F$675,Compta!$A$1:$A$675,$B83,Compta!$B$1:$B$675,"616",Compta!$C$1:$C$675,$A83)+SUMIFS(Compta!$F$1:$F$675,Compta!$A$1:$A$675,$B83,Compta!$B$1:$B$675,"625",Compta!$C$1:$C$675,$A83)+SUMIFS(Compta!$F$1:$F$675,Compta!$A$1:$A$675,$B83,Compta!$B$1:$B$675,"63511",Compta!$C$1:$C$675,$A83))</f>
        <v/>
      </c>
      <c r="AB83" t="str">
        <f>IF($A83="","",SUMIFS(Compta!$F$1:$F$675,Compta!$A$1:$A$675,"GRP",Compta!$B$1:$B$675,"6414",Compta!$C$1:$C$675,$A83)+SUMIFS(Compta!$F$1:$F$675,Compta!$A$1:$A$675,"GRP",Compta!$B$1:$B$675,"6226",Compta!$C$1:$C$675,$A83)+SUMIFS(Compta!$F$1:$F$675,Compta!$A$1:$A$675,"GRP",Compta!$B$1:$B$675,"626",Compta!$C$1:$C$675,$A83)+SUMIFS(Compta!$F$1:$F$675,Compta!$A$1:$A$675,"GRP",Compta!$B$1:$B$675,"6281",Compta!$C$1:$C$675,$A83)+SUMIFS(Compta!$F$1:$F$675,Compta!$A$1:$A$675,"GRP",Compta!$B$1:$B$675,"6331",Compta!$C$1:$C$675,$A83)+SUMIFS(Compta!$F$1:$F$675,Compta!$A$1:$A$675,"GRP",Compta!$B$1:$B$675,"6333",Compta!$C$1:$C$675,$A83))</f>
        <v/>
      </c>
      <c r="AC83" t="str">
        <f t="shared" si="21"/>
        <v/>
      </c>
      <c r="AD83" t="str">
        <f t="shared" si="22"/>
        <v/>
      </c>
      <c r="AE83" t="str">
        <f t="shared" si="23"/>
        <v/>
      </c>
      <c r="AF83" t="str">
        <f t="shared" si="24"/>
        <v/>
      </c>
      <c r="AG83" t="str">
        <f t="shared" si="25"/>
        <v/>
      </c>
      <c r="AH83" t="str">
        <f t="shared" si="26"/>
        <v/>
      </c>
      <c r="AI83" t="str">
        <f t="shared" si="27"/>
        <v/>
      </c>
      <c r="AJ83" t="str">
        <f t="shared" si="28"/>
        <v/>
      </c>
      <c r="AK83" t="str">
        <f t="shared" si="29"/>
        <v/>
      </c>
      <c r="AL83" t="str">
        <f t="shared" si="30"/>
        <v/>
      </c>
      <c r="AM83" t="str">
        <f t="shared" si="31"/>
        <v/>
      </c>
      <c r="AN83" t="str">
        <f t="shared" si="32"/>
        <v/>
      </c>
      <c r="AO83" t="str">
        <f>IF($A83="","",SUMIFS(Compta!$F$1:$F$675,Compta!$A$1:$A$675,"GRP",Compta!$B$1:$B$675,"6236",Compta!$C$1:$C$675,$A83))</f>
        <v/>
      </c>
      <c r="AP83" t="str">
        <f t="shared" si="33"/>
        <v/>
      </c>
      <c r="AQ83" t="str">
        <f t="shared" si="34"/>
        <v/>
      </c>
      <c r="AR83" t="str">
        <f t="shared" si="35"/>
        <v/>
      </c>
    </row>
    <row r="84" spans="1:44" x14ac:dyDescent="0.45">
      <c r="A84" t="str">
        <f>IF(Allocation!C84="","",Allocation!C84)</f>
        <v/>
      </c>
      <c r="B84" t="str">
        <f>IF(Allocation!D84="","",Allocation!D84)</f>
        <v/>
      </c>
      <c r="C84" t="str">
        <f>IF(Allocation!E84="","",Allocation!E84)</f>
        <v/>
      </c>
      <c r="D84" t="str">
        <f>IF(Allocation!F84="","",Allocation!F84)</f>
        <v/>
      </c>
      <c r="E84" t="str">
        <f>IF(Allocation!G84="","",Allocation!G84)</f>
        <v/>
      </c>
      <c r="F84" t="str">
        <f>IF(Allocation!H84="","",Allocation!H84)</f>
        <v/>
      </c>
      <c r="G84" t="str">
        <f>IF(Allocation!D84="","",Allocation!I84)</f>
        <v/>
      </c>
      <c r="H84" t="str">
        <f>IF(Allocation!D84="","",Allocation!J84)</f>
        <v/>
      </c>
      <c r="I84" t="str">
        <f>IF(Allocation!D84="","",Allocation!K84)</f>
        <v/>
      </c>
      <c r="J84" t="str">
        <f>IF($A84="","",SUMIFS(Socle!$K$1:$K$1000,Socle!$C$1:$C$1000,$B84,Socle!$D$1:$D$1000,$D84,Socle!$E$1:$E$1000,$E84,Socle!$F$1:$F$1000,$F84,Socle!$G$1:$G$1000,$A84))</f>
        <v/>
      </c>
      <c r="K84" t="str">
        <f t="shared" si="18"/>
        <v/>
      </c>
      <c r="L84" t="str">
        <f>IF($A84="","",SUMIFS(Allocation!$I$1:$I$175,Allocation!$C$1:$C$175,$A84,Allocation!$D$1:$D$175,$B84))</f>
        <v/>
      </c>
      <c r="M84" t="str">
        <f>IF($A84="","",SUMIFS(Allocation!$J$1:$J$175,Allocation!$C$1:$C$175,$A84,Allocation!$D$1:$D$175,$B84))</f>
        <v/>
      </c>
      <c r="N84" t="str">
        <f>IF($A84="","",SUMIFS(Allocation!$K$1:$K$175,Allocation!$C$1:$C$175,$A84,Allocation!$D$1:$D$175,$B84))</f>
        <v/>
      </c>
      <c r="O84" t="str">
        <f t="shared" si="19"/>
        <v/>
      </c>
      <c r="P84" t="str">
        <f t="shared" si="20"/>
        <v/>
      </c>
      <c r="Q84" t="str">
        <f>IF($A84="","",SUMIFS(Allocation!$I$1:$I$175,Allocation!$C$1:$C$175,$A84,Allocation!$E$1:$E$175,$C84))</f>
        <v/>
      </c>
      <c r="R84" t="str">
        <f>IF($A84="","",SUMIFS(Allocation!$J$1:$J$175,Allocation!$C$1:$C$175,$A84,Allocation!$E$1:$E$175,$C84))</f>
        <v/>
      </c>
      <c r="S84" t="str">
        <f>IF($A84="","",SUMIFS(Allocation!$K$1:$K$175,Allocation!$C$1:$C$175,$A84,Allocation!$E$1:$E$175,$C84))</f>
        <v/>
      </c>
      <c r="T84" t="str">
        <f>IF($A84="","",SUMIFS(Allocation!$I$1:$I$175,Allocation!$C$1:$C$175,$A84))</f>
        <v/>
      </c>
      <c r="U84" t="str">
        <f>IF($A84="","",SUMIFS(Allocation!$J$1:$J$175,Allocation!$C$1:$C$175,$A84))</f>
        <v/>
      </c>
      <c r="V84" t="str">
        <f>IF($A84="","",SUMIFS(Allocation!$K$1:$K$175,Allocation!$C$1:$C$175,$A84))</f>
        <v/>
      </c>
      <c r="W84" t="str">
        <f>IF($A84="","",SUMIFS(Compta!$F$1:$F$675,Compta!$A$1:$A$675,$B84,Compta!$B$1:$B$675,"621",Compta!$C$1:$C$675,$A84))</f>
        <v/>
      </c>
      <c r="X84" t="str">
        <f>IF($A84="","",SUMIFS(Compta!$F$1:$F$675,Compta!$A$1:$A$675,$B84,Compta!$B$1:$B$675,"6411",Compta!$C$1:$C$675,$A84))</f>
        <v/>
      </c>
      <c r="Y84" t="str">
        <f>IF($A84="","",SUMIFS(Compta!$F$1:$F$675,Compta!$A$1:$A$675,$B84,Compta!$B$1:$B$675,"604",Compta!$C$1:$C$675,$A84)+SUMIFS(Compta!$F$1:$F$675,Compta!$A$1:$A$675,$B84,Compta!$B$1:$B$675,"6063",Compta!$C$1:$C$675,$A84))</f>
        <v/>
      </c>
      <c r="Z84" t="str">
        <f>IF($A84="","",SUMIFS(Compta!$F$1:$F$675,Compta!$A$1:$A$675,$B84,Compta!$B$1:$B$675,"6231",Compta!$C$1:$C$675,$A84))</f>
        <v/>
      </c>
      <c r="AA84" t="str">
        <f>IF($A84="","",SUMIFS(Compta!$F$1:$F$675,Compta!$A$1:$A$675,$B84,Compta!$B$1:$B$675,"6413",Compta!$C$1:$C$675,$A84)+SUMIFS(Compta!$F$1:$F$675,Compta!$A$1:$A$675,$B84,Compta!$B$1:$B$675,"645",Compta!$C$1:$C$675,$A84)+SUMIFS(Compta!$F$1:$F$675,Compta!$A$1:$A$675,$B84,Compta!$B$1:$B$675,"613",Compta!$C$1:$C$675,$A84)+SUMIFS(Compta!$F$1:$F$675,Compta!$A$1:$A$675,$B84,Compta!$B$1:$B$675,"615",Compta!$C$1:$C$675,$A84)+SUMIFS(Compta!$F$1:$F$675,Compta!$A$1:$A$675,$B84,Compta!$B$1:$B$675,"616",Compta!$C$1:$C$675,$A84)+SUMIFS(Compta!$F$1:$F$675,Compta!$A$1:$A$675,$B84,Compta!$B$1:$B$675,"625",Compta!$C$1:$C$675,$A84)+SUMIFS(Compta!$F$1:$F$675,Compta!$A$1:$A$675,$B84,Compta!$B$1:$B$675,"63511",Compta!$C$1:$C$675,$A84))</f>
        <v/>
      </c>
      <c r="AB84" t="str">
        <f>IF($A84="","",SUMIFS(Compta!$F$1:$F$675,Compta!$A$1:$A$675,"GRP",Compta!$B$1:$B$675,"6414",Compta!$C$1:$C$675,$A84)+SUMIFS(Compta!$F$1:$F$675,Compta!$A$1:$A$675,"GRP",Compta!$B$1:$B$675,"6226",Compta!$C$1:$C$675,$A84)+SUMIFS(Compta!$F$1:$F$675,Compta!$A$1:$A$675,"GRP",Compta!$B$1:$B$675,"626",Compta!$C$1:$C$675,$A84)+SUMIFS(Compta!$F$1:$F$675,Compta!$A$1:$A$675,"GRP",Compta!$B$1:$B$675,"6281",Compta!$C$1:$C$675,$A84)+SUMIFS(Compta!$F$1:$F$675,Compta!$A$1:$A$675,"GRP",Compta!$B$1:$B$675,"6331",Compta!$C$1:$C$675,$A84)+SUMIFS(Compta!$F$1:$F$675,Compta!$A$1:$A$675,"GRP",Compta!$B$1:$B$675,"6333",Compta!$C$1:$C$675,$A84))</f>
        <v/>
      </c>
      <c r="AC84" t="str">
        <f t="shared" si="21"/>
        <v/>
      </c>
      <c r="AD84" t="str">
        <f t="shared" si="22"/>
        <v/>
      </c>
      <c r="AE84" t="str">
        <f t="shared" si="23"/>
        <v/>
      </c>
      <c r="AF84" t="str">
        <f t="shared" si="24"/>
        <v/>
      </c>
      <c r="AG84" t="str">
        <f t="shared" si="25"/>
        <v/>
      </c>
      <c r="AH84" t="str">
        <f t="shared" si="26"/>
        <v/>
      </c>
      <c r="AI84" t="str">
        <f t="shared" si="27"/>
        <v/>
      </c>
      <c r="AJ84" t="str">
        <f t="shared" si="28"/>
        <v/>
      </c>
      <c r="AK84" t="str">
        <f t="shared" si="29"/>
        <v/>
      </c>
      <c r="AL84" t="str">
        <f t="shared" si="30"/>
        <v/>
      </c>
      <c r="AM84" t="str">
        <f t="shared" si="31"/>
        <v/>
      </c>
      <c r="AN84" t="str">
        <f t="shared" si="32"/>
        <v/>
      </c>
      <c r="AO84" t="str">
        <f>IF($A84="","",SUMIFS(Compta!$F$1:$F$675,Compta!$A$1:$A$675,"GRP",Compta!$B$1:$B$675,"6236",Compta!$C$1:$C$675,$A84))</f>
        <v/>
      </c>
      <c r="AP84" t="str">
        <f t="shared" si="33"/>
        <v/>
      </c>
      <c r="AQ84" t="str">
        <f t="shared" si="34"/>
        <v/>
      </c>
      <c r="AR84" t="str">
        <f t="shared" si="35"/>
        <v/>
      </c>
    </row>
    <row r="85" spans="1:44" x14ac:dyDescent="0.45">
      <c r="A85" t="str">
        <f>IF(Allocation!C85="","",Allocation!C85)</f>
        <v/>
      </c>
      <c r="B85" t="str">
        <f>IF(Allocation!D85="","",Allocation!D85)</f>
        <v/>
      </c>
      <c r="C85" t="str">
        <f>IF(Allocation!E85="","",Allocation!E85)</f>
        <v/>
      </c>
      <c r="D85" t="str">
        <f>IF(Allocation!F85="","",Allocation!F85)</f>
        <v/>
      </c>
      <c r="E85" t="str">
        <f>IF(Allocation!G85="","",Allocation!G85)</f>
        <v/>
      </c>
      <c r="F85" t="str">
        <f>IF(Allocation!H85="","",Allocation!H85)</f>
        <v/>
      </c>
      <c r="G85" t="str">
        <f>IF(Allocation!D85="","",Allocation!I85)</f>
        <v/>
      </c>
      <c r="H85" t="str">
        <f>IF(Allocation!D85="","",Allocation!J85)</f>
        <v/>
      </c>
      <c r="I85" t="str">
        <f>IF(Allocation!D85="","",Allocation!K85)</f>
        <v/>
      </c>
      <c r="J85" t="str">
        <f>IF($A85="","",SUMIFS(Socle!$K$1:$K$1000,Socle!$C$1:$C$1000,$B85,Socle!$D$1:$D$1000,$D85,Socle!$E$1:$E$1000,$E85,Socle!$F$1:$F$1000,$F85,Socle!$G$1:$G$1000,$A85))</f>
        <v/>
      </c>
      <c r="K85" t="str">
        <f t="shared" si="18"/>
        <v/>
      </c>
      <c r="L85" t="str">
        <f>IF($A85="","",SUMIFS(Allocation!$I$1:$I$175,Allocation!$C$1:$C$175,$A85,Allocation!$D$1:$D$175,$B85))</f>
        <v/>
      </c>
      <c r="M85" t="str">
        <f>IF($A85="","",SUMIFS(Allocation!$J$1:$J$175,Allocation!$C$1:$C$175,$A85,Allocation!$D$1:$D$175,$B85))</f>
        <v/>
      </c>
      <c r="N85" t="str">
        <f>IF($A85="","",SUMIFS(Allocation!$K$1:$K$175,Allocation!$C$1:$C$175,$A85,Allocation!$D$1:$D$175,$B85))</f>
        <v/>
      </c>
      <c r="O85" t="str">
        <f t="shared" si="19"/>
        <v/>
      </c>
      <c r="P85" t="str">
        <f t="shared" si="20"/>
        <v/>
      </c>
      <c r="Q85" t="str">
        <f>IF($A85="","",SUMIFS(Allocation!$I$1:$I$175,Allocation!$C$1:$C$175,$A85,Allocation!$E$1:$E$175,$C85))</f>
        <v/>
      </c>
      <c r="R85" t="str">
        <f>IF($A85="","",SUMIFS(Allocation!$J$1:$J$175,Allocation!$C$1:$C$175,$A85,Allocation!$E$1:$E$175,$C85))</f>
        <v/>
      </c>
      <c r="S85" t="str">
        <f>IF($A85="","",SUMIFS(Allocation!$K$1:$K$175,Allocation!$C$1:$C$175,$A85,Allocation!$E$1:$E$175,$C85))</f>
        <v/>
      </c>
      <c r="T85" t="str">
        <f>IF($A85="","",SUMIFS(Allocation!$I$1:$I$175,Allocation!$C$1:$C$175,$A85))</f>
        <v/>
      </c>
      <c r="U85" t="str">
        <f>IF($A85="","",SUMIFS(Allocation!$J$1:$J$175,Allocation!$C$1:$C$175,$A85))</f>
        <v/>
      </c>
      <c r="V85" t="str">
        <f>IF($A85="","",SUMIFS(Allocation!$K$1:$K$175,Allocation!$C$1:$C$175,$A85))</f>
        <v/>
      </c>
      <c r="W85" t="str">
        <f>IF($A85="","",SUMIFS(Compta!$F$1:$F$675,Compta!$A$1:$A$675,$B85,Compta!$B$1:$B$675,"621",Compta!$C$1:$C$675,$A85))</f>
        <v/>
      </c>
      <c r="X85" t="str">
        <f>IF($A85="","",SUMIFS(Compta!$F$1:$F$675,Compta!$A$1:$A$675,$B85,Compta!$B$1:$B$675,"6411",Compta!$C$1:$C$675,$A85))</f>
        <v/>
      </c>
      <c r="Y85" t="str">
        <f>IF($A85="","",SUMIFS(Compta!$F$1:$F$675,Compta!$A$1:$A$675,$B85,Compta!$B$1:$B$675,"604",Compta!$C$1:$C$675,$A85)+SUMIFS(Compta!$F$1:$F$675,Compta!$A$1:$A$675,$B85,Compta!$B$1:$B$675,"6063",Compta!$C$1:$C$675,$A85))</f>
        <v/>
      </c>
      <c r="Z85" t="str">
        <f>IF($A85="","",SUMIFS(Compta!$F$1:$F$675,Compta!$A$1:$A$675,$B85,Compta!$B$1:$B$675,"6231",Compta!$C$1:$C$675,$A85))</f>
        <v/>
      </c>
      <c r="AA85" t="str">
        <f>IF($A85="","",SUMIFS(Compta!$F$1:$F$675,Compta!$A$1:$A$675,$B85,Compta!$B$1:$B$675,"6413",Compta!$C$1:$C$675,$A85)+SUMIFS(Compta!$F$1:$F$675,Compta!$A$1:$A$675,$B85,Compta!$B$1:$B$675,"645",Compta!$C$1:$C$675,$A85)+SUMIFS(Compta!$F$1:$F$675,Compta!$A$1:$A$675,$B85,Compta!$B$1:$B$675,"613",Compta!$C$1:$C$675,$A85)+SUMIFS(Compta!$F$1:$F$675,Compta!$A$1:$A$675,$B85,Compta!$B$1:$B$675,"615",Compta!$C$1:$C$675,$A85)+SUMIFS(Compta!$F$1:$F$675,Compta!$A$1:$A$675,$B85,Compta!$B$1:$B$675,"616",Compta!$C$1:$C$675,$A85)+SUMIFS(Compta!$F$1:$F$675,Compta!$A$1:$A$675,$B85,Compta!$B$1:$B$675,"625",Compta!$C$1:$C$675,$A85)+SUMIFS(Compta!$F$1:$F$675,Compta!$A$1:$A$675,$B85,Compta!$B$1:$B$675,"63511",Compta!$C$1:$C$675,$A85))</f>
        <v/>
      </c>
      <c r="AB85" t="str">
        <f>IF($A85="","",SUMIFS(Compta!$F$1:$F$675,Compta!$A$1:$A$675,"GRP",Compta!$B$1:$B$675,"6414",Compta!$C$1:$C$675,$A85)+SUMIFS(Compta!$F$1:$F$675,Compta!$A$1:$A$675,"GRP",Compta!$B$1:$B$675,"6226",Compta!$C$1:$C$675,$A85)+SUMIFS(Compta!$F$1:$F$675,Compta!$A$1:$A$675,"GRP",Compta!$B$1:$B$675,"626",Compta!$C$1:$C$675,$A85)+SUMIFS(Compta!$F$1:$F$675,Compta!$A$1:$A$675,"GRP",Compta!$B$1:$B$675,"6281",Compta!$C$1:$C$675,$A85)+SUMIFS(Compta!$F$1:$F$675,Compta!$A$1:$A$675,"GRP",Compta!$B$1:$B$675,"6331",Compta!$C$1:$C$675,$A85)+SUMIFS(Compta!$F$1:$F$675,Compta!$A$1:$A$675,"GRP",Compta!$B$1:$B$675,"6333",Compta!$C$1:$C$675,$A85))</f>
        <v/>
      </c>
      <c r="AC85" t="str">
        <f t="shared" si="21"/>
        <v/>
      </c>
      <c r="AD85" t="str">
        <f t="shared" si="22"/>
        <v/>
      </c>
      <c r="AE85" t="str">
        <f t="shared" si="23"/>
        <v/>
      </c>
      <c r="AF85" t="str">
        <f t="shared" si="24"/>
        <v/>
      </c>
      <c r="AG85" t="str">
        <f t="shared" si="25"/>
        <v/>
      </c>
      <c r="AH85" t="str">
        <f t="shared" si="26"/>
        <v/>
      </c>
      <c r="AI85" t="str">
        <f t="shared" si="27"/>
        <v/>
      </c>
      <c r="AJ85" t="str">
        <f t="shared" si="28"/>
        <v/>
      </c>
      <c r="AK85" t="str">
        <f t="shared" si="29"/>
        <v/>
      </c>
      <c r="AL85" t="str">
        <f t="shared" si="30"/>
        <v/>
      </c>
      <c r="AM85" t="str">
        <f t="shared" si="31"/>
        <v/>
      </c>
      <c r="AN85" t="str">
        <f t="shared" si="32"/>
        <v/>
      </c>
      <c r="AO85" t="str">
        <f>IF($A85="","",SUMIFS(Compta!$F$1:$F$675,Compta!$A$1:$A$675,"GRP",Compta!$B$1:$B$675,"6236",Compta!$C$1:$C$675,$A85))</f>
        <v/>
      </c>
      <c r="AP85" t="str">
        <f t="shared" si="33"/>
        <v/>
      </c>
      <c r="AQ85" t="str">
        <f t="shared" si="34"/>
        <v/>
      </c>
      <c r="AR85" t="str">
        <f t="shared" si="35"/>
        <v/>
      </c>
    </row>
    <row r="86" spans="1:44" x14ac:dyDescent="0.45">
      <c r="A86" t="str">
        <f>IF(Allocation!C86="","",Allocation!C86)</f>
        <v/>
      </c>
      <c r="B86" t="str">
        <f>IF(Allocation!D86="","",Allocation!D86)</f>
        <v/>
      </c>
      <c r="C86" t="str">
        <f>IF(Allocation!E86="","",Allocation!E86)</f>
        <v/>
      </c>
      <c r="D86" t="str">
        <f>IF(Allocation!F86="","",Allocation!F86)</f>
        <v/>
      </c>
      <c r="E86" t="str">
        <f>IF(Allocation!G86="","",Allocation!G86)</f>
        <v/>
      </c>
      <c r="F86" t="str">
        <f>IF(Allocation!H86="","",Allocation!H86)</f>
        <v/>
      </c>
      <c r="G86" t="str">
        <f>IF(Allocation!D86="","",Allocation!I86)</f>
        <v/>
      </c>
      <c r="H86" t="str">
        <f>IF(Allocation!D86="","",Allocation!J86)</f>
        <v/>
      </c>
      <c r="I86" t="str">
        <f>IF(Allocation!D86="","",Allocation!K86)</f>
        <v/>
      </c>
      <c r="J86" t="str">
        <f>IF($A86="","",SUMIFS(Socle!$K$1:$K$1000,Socle!$C$1:$C$1000,$B86,Socle!$D$1:$D$1000,$D86,Socle!$E$1:$E$1000,$E86,Socle!$F$1:$F$1000,$F86,Socle!$G$1:$G$1000,$A86))</f>
        <v/>
      </c>
      <c r="K86" t="str">
        <f t="shared" si="18"/>
        <v/>
      </c>
      <c r="L86" t="str">
        <f>IF($A86="","",SUMIFS(Allocation!$I$1:$I$175,Allocation!$C$1:$C$175,$A86,Allocation!$D$1:$D$175,$B86))</f>
        <v/>
      </c>
      <c r="M86" t="str">
        <f>IF($A86="","",SUMIFS(Allocation!$J$1:$J$175,Allocation!$C$1:$C$175,$A86,Allocation!$D$1:$D$175,$B86))</f>
        <v/>
      </c>
      <c r="N86" t="str">
        <f>IF($A86="","",SUMIFS(Allocation!$K$1:$K$175,Allocation!$C$1:$C$175,$A86,Allocation!$D$1:$D$175,$B86))</f>
        <v/>
      </c>
      <c r="O86" t="str">
        <f t="shared" si="19"/>
        <v/>
      </c>
      <c r="P86" t="str">
        <f t="shared" si="20"/>
        <v/>
      </c>
      <c r="Q86" t="str">
        <f>IF($A86="","",SUMIFS(Allocation!$I$1:$I$175,Allocation!$C$1:$C$175,$A86,Allocation!$E$1:$E$175,$C86))</f>
        <v/>
      </c>
      <c r="R86" t="str">
        <f>IF($A86="","",SUMIFS(Allocation!$J$1:$J$175,Allocation!$C$1:$C$175,$A86,Allocation!$E$1:$E$175,$C86))</f>
        <v/>
      </c>
      <c r="S86" t="str">
        <f>IF($A86="","",SUMIFS(Allocation!$K$1:$K$175,Allocation!$C$1:$C$175,$A86,Allocation!$E$1:$E$175,$C86))</f>
        <v/>
      </c>
      <c r="T86" t="str">
        <f>IF($A86="","",SUMIFS(Allocation!$I$1:$I$175,Allocation!$C$1:$C$175,$A86))</f>
        <v/>
      </c>
      <c r="U86" t="str">
        <f>IF($A86="","",SUMIFS(Allocation!$J$1:$J$175,Allocation!$C$1:$C$175,$A86))</f>
        <v/>
      </c>
      <c r="V86" t="str">
        <f>IF($A86="","",SUMIFS(Allocation!$K$1:$K$175,Allocation!$C$1:$C$175,$A86))</f>
        <v/>
      </c>
      <c r="W86" t="str">
        <f>IF($A86="","",SUMIFS(Compta!$F$1:$F$675,Compta!$A$1:$A$675,$B86,Compta!$B$1:$B$675,"621",Compta!$C$1:$C$675,$A86))</f>
        <v/>
      </c>
      <c r="X86" t="str">
        <f>IF($A86="","",SUMIFS(Compta!$F$1:$F$675,Compta!$A$1:$A$675,$B86,Compta!$B$1:$B$675,"6411",Compta!$C$1:$C$675,$A86))</f>
        <v/>
      </c>
      <c r="Y86" t="str">
        <f>IF($A86="","",SUMIFS(Compta!$F$1:$F$675,Compta!$A$1:$A$675,$B86,Compta!$B$1:$B$675,"604",Compta!$C$1:$C$675,$A86)+SUMIFS(Compta!$F$1:$F$675,Compta!$A$1:$A$675,$B86,Compta!$B$1:$B$675,"6063",Compta!$C$1:$C$675,$A86))</f>
        <v/>
      </c>
      <c r="Z86" t="str">
        <f>IF($A86="","",SUMIFS(Compta!$F$1:$F$675,Compta!$A$1:$A$675,$B86,Compta!$B$1:$B$675,"6231",Compta!$C$1:$C$675,$A86))</f>
        <v/>
      </c>
      <c r="AA86" t="str">
        <f>IF($A86="","",SUMIFS(Compta!$F$1:$F$675,Compta!$A$1:$A$675,$B86,Compta!$B$1:$B$675,"6413",Compta!$C$1:$C$675,$A86)+SUMIFS(Compta!$F$1:$F$675,Compta!$A$1:$A$675,$B86,Compta!$B$1:$B$675,"645",Compta!$C$1:$C$675,$A86)+SUMIFS(Compta!$F$1:$F$675,Compta!$A$1:$A$675,$B86,Compta!$B$1:$B$675,"613",Compta!$C$1:$C$675,$A86)+SUMIFS(Compta!$F$1:$F$675,Compta!$A$1:$A$675,$B86,Compta!$B$1:$B$675,"615",Compta!$C$1:$C$675,$A86)+SUMIFS(Compta!$F$1:$F$675,Compta!$A$1:$A$675,$B86,Compta!$B$1:$B$675,"616",Compta!$C$1:$C$675,$A86)+SUMIFS(Compta!$F$1:$F$675,Compta!$A$1:$A$675,$B86,Compta!$B$1:$B$675,"625",Compta!$C$1:$C$675,$A86)+SUMIFS(Compta!$F$1:$F$675,Compta!$A$1:$A$675,$B86,Compta!$B$1:$B$675,"63511",Compta!$C$1:$C$675,$A86))</f>
        <v/>
      </c>
      <c r="AB86" t="str">
        <f>IF($A86="","",SUMIFS(Compta!$F$1:$F$675,Compta!$A$1:$A$675,"GRP",Compta!$B$1:$B$675,"6414",Compta!$C$1:$C$675,$A86)+SUMIFS(Compta!$F$1:$F$675,Compta!$A$1:$A$675,"GRP",Compta!$B$1:$B$675,"6226",Compta!$C$1:$C$675,$A86)+SUMIFS(Compta!$F$1:$F$675,Compta!$A$1:$A$675,"GRP",Compta!$B$1:$B$675,"626",Compta!$C$1:$C$675,$A86)+SUMIFS(Compta!$F$1:$F$675,Compta!$A$1:$A$675,"GRP",Compta!$B$1:$B$675,"6281",Compta!$C$1:$C$675,$A86)+SUMIFS(Compta!$F$1:$F$675,Compta!$A$1:$A$675,"GRP",Compta!$B$1:$B$675,"6331",Compta!$C$1:$C$675,$A86)+SUMIFS(Compta!$F$1:$F$675,Compta!$A$1:$A$675,"GRP",Compta!$B$1:$B$675,"6333",Compta!$C$1:$C$675,$A86))</f>
        <v/>
      </c>
      <c r="AC86" t="str">
        <f t="shared" si="21"/>
        <v/>
      </c>
      <c r="AD86" t="str">
        <f t="shared" si="22"/>
        <v/>
      </c>
      <c r="AE86" t="str">
        <f t="shared" si="23"/>
        <v/>
      </c>
      <c r="AF86" t="str">
        <f t="shared" si="24"/>
        <v/>
      </c>
      <c r="AG86" t="str">
        <f t="shared" si="25"/>
        <v/>
      </c>
      <c r="AH86" t="str">
        <f t="shared" si="26"/>
        <v/>
      </c>
      <c r="AI86" t="str">
        <f t="shared" si="27"/>
        <v/>
      </c>
      <c r="AJ86" t="str">
        <f t="shared" si="28"/>
        <v/>
      </c>
      <c r="AK86" t="str">
        <f t="shared" si="29"/>
        <v/>
      </c>
      <c r="AL86" t="str">
        <f t="shared" si="30"/>
        <v/>
      </c>
      <c r="AM86" t="str">
        <f t="shared" si="31"/>
        <v/>
      </c>
      <c r="AN86" t="str">
        <f t="shared" si="32"/>
        <v/>
      </c>
      <c r="AO86" t="str">
        <f>IF($A86="","",SUMIFS(Compta!$F$1:$F$675,Compta!$A$1:$A$675,"GRP",Compta!$B$1:$B$675,"6236",Compta!$C$1:$C$675,$A86))</f>
        <v/>
      </c>
      <c r="AP86" t="str">
        <f t="shared" si="33"/>
        <v/>
      </c>
      <c r="AQ86" t="str">
        <f t="shared" si="34"/>
        <v/>
      </c>
      <c r="AR86" t="str">
        <f t="shared" si="35"/>
        <v/>
      </c>
    </row>
    <row r="87" spans="1:44" x14ac:dyDescent="0.45">
      <c r="A87" t="str">
        <f>IF(Allocation!C87="","",Allocation!C87)</f>
        <v/>
      </c>
      <c r="B87" t="str">
        <f>IF(Allocation!D87="","",Allocation!D87)</f>
        <v/>
      </c>
      <c r="C87" t="str">
        <f>IF(Allocation!E87="","",Allocation!E87)</f>
        <v/>
      </c>
      <c r="D87" t="str">
        <f>IF(Allocation!F87="","",Allocation!F87)</f>
        <v/>
      </c>
      <c r="E87" t="str">
        <f>IF(Allocation!G87="","",Allocation!G87)</f>
        <v/>
      </c>
      <c r="F87" t="str">
        <f>IF(Allocation!H87="","",Allocation!H87)</f>
        <v/>
      </c>
      <c r="G87" t="str">
        <f>IF(Allocation!D87="","",Allocation!I87)</f>
        <v/>
      </c>
      <c r="H87" t="str">
        <f>IF(Allocation!D87="","",Allocation!J87)</f>
        <v/>
      </c>
      <c r="I87" t="str">
        <f>IF(Allocation!D87="","",Allocation!K87)</f>
        <v/>
      </c>
      <c r="J87" t="str">
        <f>IF($A87="","",SUMIFS(Socle!$K$1:$K$1000,Socle!$C$1:$C$1000,$B87,Socle!$D$1:$D$1000,$D87,Socle!$E$1:$E$1000,$E87,Socle!$F$1:$F$1000,$F87,Socle!$G$1:$G$1000,$A87))</f>
        <v/>
      </c>
      <c r="K87" t="str">
        <f t="shared" si="18"/>
        <v/>
      </c>
      <c r="L87" t="str">
        <f>IF($A87="","",SUMIFS(Allocation!$I$1:$I$175,Allocation!$C$1:$C$175,$A87,Allocation!$D$1:$D$175,$B87))</f>
        <v/>
      </c>
      <c r="M87" t="str">
        <f>IF($A87="","",SUMIFS(Allocation!$J$1:$J$175,Allocation!$C$1:$C$175,$A87,Allocation!$D$1:$D$175,$B87))</f>
        <v/>
      </c>
      <c r="N87" t="str">
        <f>IF($A87="","",SUMIFS(Allocation!$K$1:$K$175,Allocation!$C$1:$C$175,$A87,Allocation!$D$1:$D$175,$B87))</f>
        <v/>
      </c>
      <c r="O87" t="str">
        <f t="shared" si="19"/>
        <v/>
      </c>
      <c r="P87" t="str">
        <f t="shared" si="20"/>
        <v/>
      </c>
      <c r="Q87" t="str">
        <f>IF($A87="","",SUMIFS(Allocation!$I$1:$I$175,Allocation!$C$1:$C$175,$A87,Allocation!$E$1:$E$175,$C87))</f>
        <v/>
      </c>
      <c r="R87" t="str">
        <f>IF($A87="","",SUMIFS(Allocation!$J$1:$J$175,Allocation!$C$1:$C$175,$A87,Allocation!$E$1:$E$175,$C87))</f>
        <v/>
      </c>
      <c r="S87" t="str">
        <f>IF($A87="","",SUMIFS(Allocation!$K$1:$K$175,Allocation!$C$1:$C$175,$A87,Allocation!$E$1:$E$175,$C87))</f>
        <v/>
      </c>
      <c r="T87" t="str">
        <f>IF($A87="","",SUMIFS(Allocation!$I$1:$I$175,Allocation!$C$1:$C$175,$A87))</f>
        <v/>
      </c>
      <c r="U87" t="str">
        <f>IF($A87="","",SUMIFS(Allocation!$J$1:$J$175,Allocation!$C$1:$C$175,$A87))</f>
        <v/>
      </c>
      <c r="V87" t="str">
        <f>IF($A87="","",SUMIFS(Allocation!$K$1:$K$175,Allocation!$C$1:$C$175,$A87))</f>
        <v/>
      </c>
      <c r="W87" t="str">
        <f>IF($A87="","",SUMIFS(Compta!$F$1:$F$675,Compta!$A$1:$A$675,$B87,Compta!$B$1:$B$675,"621",Compta!$C$1:$C$675,$A87))</f>
        <v/>
      </c>
      <c r="X87" t="str">
        <f>IF($A87="","",SUMIFS(Compta!$F$1:$F$675,Compta!$A$1:$A$675,$B87,Compta!$B$1:$B$675,"6411",Compta!$C$1:$C$675,$A87))</f>
        <v/>
      </c>
      <c r="Y87" t="str">
        <f>IF($A87="","",SUMIFS(Compta!$F$1:$F$675,Compta!$A$1:$A$675,$B87,Compta!$B$1:$B$675,"604",Compta!$C$1:$C$675,$A87)+SUMIFS(Compta!$F$1:$F$675,Compta!$A$1:$A$675,$B87,Compta!$B$1:$B$675,"6063",Compta!$C$1:$C$675,$A87))</f>
        <v/>
      </c>
      <c r="Z87" t="str">
        <f>IF($A87="","",SUMIFS(Compta!$F$1:$F$675,Compta!$A$1:$A$675,$B87,Compta!$B$1:$B$675,"6231",Compta!$C$1:$C$675,$A87))</f>
        <v/>
      </c>
      <c r="AA87" t="str">
        <f>IF($A87="","",SUMIFS(Compta!$F$1:$F$675,Compta!$A$1:$A$675,$B87,Compta!$B$1:$B$675,"6413",Compta!$C$1:$C$675,$A87)+SUMIFS(Compta!$F$1:$F$675,Compta!$A$1:$A$675,$B87,Compta!$B$1:$B$675,"645",Compta!$C$1:$C$675,$A87)+SUMIFS(Compta!$F$1:$F$675,Compta!$A$1:$A$675,$B87,Compta!$B$1:$B$675,"613",Compta!$C$1:$C$675,$A87)+SUMIFS(Compta!$F$1:$F$675,Compta!$A$1:$A$675,$B87,Compta!$B$1:$B$675,"615",Compta!$C$1:$C$675,$A87)+SUMIFS(Compta!$F$1:$F$675,Compta!$A$1:$A$675,$B87,Compta!$B$1:$B$675,"616",Compta!$C$1:$C$675,$A87)+SUMIFS(Compta!$F$1:$F$675,Compta!$A$1:$A$675,$B87,Compta!$B$1:$B$675,"625",Compta!$C$1:$C$675,$A87)+SUMIFS(Compta!$F$1:$F$675,Compta!$A$1:$A$675,$B87,Compta!$B$1:$B$675,"63511",Compta!$C$1:$C$675,$A87))</f>
        <v/>
      </c>
      <c r="AB87" t="str">
        <f>IF($A87="","",SUMIFS(Compta!$F$1:$F$675,Compta!$A$1:$A$675,"GRP",Compta!$B$1:$B$675,"6414",Compta!$C$1:$C$675,$A87)+SUMIFS(Compta!$F$1:$F$675,Compta!$A$1:$A$675,"GRP",Compta!$B$1:$B$675,"6226",Compta!$C$1:$C$675,$A87)+SUMIFS(Compta!$F$1:$F$675,Compta!$A$1:$A$675,"GRP",Compta!$B$1:$B$675,"626",Compta!$C$1:$C$675,$A87)+SUMIFS(Compta!$F$1:$F$675,Compta!$A$1:$A$675,"GRP",Compta!$B$1:$B$675,"6281",Compta!$C$1:$C$675,$A87)+SUMIFS(Compta!$F$1:$F$675,Compta!$A$1:$A$675,"GRP",Compta!$B$1:$B$675,"6331",Compta!$C$1:$C$675,$A87)+SUMIFS(Compta!$F$1:$F$675,Compta!$A$1:$A$675,"GRP",Compta!$B$1:$B$675,"6333",Compta!$C$1:$C$675,$A87))</f>
        <v/>
      </c>
      <c r="AC87" t="str">
        <f t="shared" si="21"/>
        <v/>
      </c>
      <c r="AD87" t="str">
        <f t="shared" si="22"/>
        <v/>
      </c>
      <c r="AE87" t="str">
        <f t="shared" si="23"/>
        <v/>
      </c>
      <c r="AF87" t="str">
        <f t="shared" si="24"/>
        <v/>
      </c>
      <c r="AG87" t="str">
        <f t="shared" si="25"/>
        <v/>
      </c>
      <c r="AH87" t="str">
        <f t="shared" si="26"/>
        <v/>
      </c>
      <c r="AI87" t="str">
        <f t="shared" si="27"/>
        <v/>
      </c>
      <c r="AJ87" t="str">
        <f t="shared" si="28"/>
        <v/>
      </c>
      <c r="AK87" t="str">
        <f t="shared" si="29"/>
        <v/>
      </c>
      <c r="AL87" t="str">
        <f t="shared" si="30"/>
        <v/>
      </c>
      <c r="AM87" t="str">
        <f t="shared" si="31"/>
        <v/>
      </c>
      <c r="AN87" t="str">
        <f t="shared" si="32"/>
        <v/>
      </c>
      <c r="AO87" t="str">
        <f>IF($A87="","",SUMIFS(Compta!$F$1:$F$675,Compta!$A$1:$A$675,"GRP",Compta!$B$1:$B$675,"6236",Compta!$C$1:$C$675,$A87))</f>
        <v/>
      </c>
      <c r="AP87" t="str">
        <f t="shared" si="33"/>
        <v/>
      </c>
      <c r="AQ87" t="str">
        <f t="shared" si="34"/>
        <v/>
      </c>
      <c r="AR87" t="str">
        <f t="shared" si="35"/>
        <v/>
      </c>
    </row>
    <row r="88" spans="1:44" x14ac:dyDescent="0.45">
      <c r="A88" t="str">
        <f>IF(Allocation!C88="","",Allocation!C88)</f>
        <v/>
      </c>
      <c r="B88" t="str">
        <f>IF(Allocation!D88="","",Allocation!D88)</f>
        <v/>
      </c>
      <c r="C88" t="str">
        <f>IF(Allocation!E88="","",Allocation!E88)</f>
        <v/>
      </c>
      <c r="D88" t="str">
        <f>IF(Allocation!F88="","",Allocation!F88)</f>
        <v/>
      </c>
      <c r="E88" t="str">
        <f>IF(Allocation!G88="","",Allocation!G88)</f>
        <v/>
      </c>
      <c r="F88" t="str">
        <f>IF(Allocation!H88="","",Allocation!H88)</f>
        <v/>
      </c>
      <c r="G88" t="str">
        <f>IF(Allocation!D88="","",Allocation!I88)</f>
        <v/>
      </c>
      <c r="H88" t="str">
        <f>IF(Allocation!D88="","",Allocation!J88)</f>
        <v/>
      </c>
      <c r="I88" t="str">
        <f>IF(Allocation!D88="","",Allocation!K88)</f>
        <v/>
      </c>
      <c r="J88" t="str">
        <f>IF($A88="","",SUMIFS(Socle!$K$1:$K$1000,Socle!$C$1:$C$1000,$B88,Socle!$D$1:$D$1000,$D88,Socle!$E$1:$E$1000,$E88,Socle!$F$1:$F$1000,$F88,Socle!$G$1:$G$1000,$A88))</f>
        <v/>
      </c>
      <c r="K88" t="str">
        <f t="shared" si="18"/>
        <v/>
      </c>
      <c r="L88" t="str">
        <f>IF($A88="","",SUMIFS(Allocation!$I$1:$I$175,Allocation!$C$1:$C$175,$A88,Allocation!$D$1:$D$175,$B88))</f>
        <v/>
      </c>
      <c r="M88" t="str">
        <f>IF($A88="","",SUMIFS(Allocation!$J$1:$J$175,Allocation!$C$1:$C$175,$A88,Allocation!$D$1:$D$175,$B88))</f>
        <v/>
      </c>
      <c r="N88" t="str">
        <f>IF($A88="","",SUMIFS(Allocation!$K$1:$K$175,Allocation!$C$1:$C$175,$A88,Allocation!$D$1:$D$175,$B88))</f>
        <v/>
      </c>
      <c r="O88" t="str">
        <f t="shared" si="19"/>
        <v/>
      </c>
      <c r="P88" t="str">
        <f t="shared" si="20"/>
        <v/>
      </c>
      <c r="Q88" t="str">
        <f>IF($A88="","",SUMIFS(Allocation!$I$1:$I$175,Allocation!$C$1:$C$175,$A88,Allocation!$E$1:$E$175,$C88))</f>
        <v/>
      </c>
      <c r="R88" t="str">
        <f>IF($A88="","",SUMIFS(Allocation!$J$1:$J$175,Allocation!$C$1:$C$175,$A88,Allocation!$E$1:$E$175,$C88))</f>
        <v/>
      </c>
      <c r="S88" t="str">
        <f>IF($A88="","",SUMIFS(Allocation!$K$1:$K$175,Allocation!$C$1:$C$175,$A88,Allocation!$E$1:$E$175,$C88))</f>
        <v/>
      </c>
      <c r="T88" t="str">
        <f>IF($A88="","",SUMIFS(Allocation!$I$1:$I$175,Allocation!$C$1:$C$175,$A88))</f>
        <v/>
      </c>
      <c r="U88" t="str">
        <f>IF($A88="","",SUMIFS(Allocation!$J$1:$J$175,Allocation!$C$1:$C$175,$A88))</f>
        <v/>
      </c>
      <c r="V88" t="str">
        <f>IF($A88="","",SUMIFS(Allocation!$K$1:$K$175,Allocation!$C$1:$C$175,$A88))</f>
        <v/>
      </c>
      <c r="W88" t="str">
        <f>IF($A88="","",SUMIFS(Compta!$F$1:$F$675,Compta!$A$1:$A$675,$B88,Compta!$B$1:$B$675,"621",Compta!$C$1:$C$675,$A88))</f>
        <v/>
      </c>
      <c r="X88" t="str">
        <f>IF($A88="","",SUMIFS(Compta!$F$1:$F$675,Compta!$A$1:$A$675,$B88,Compta!$B$1:$B$675,"6411",Compta!$C$1:$C$675,$A88))</f>
        <v/>
      </c>
      <c r="Y88" t="str">
        <f>IF($A88="","",SUMIFS(Compta!$F$1:$F$675,Compta!$A$1:$A$675,$B88,Compta!$B$1:$B$675,"604",Compta!$C$1:$C$675,$A88)+SUMIFS(Compta!$F$1:$F$675,Compta!$A$1:$A$675,$B88,Compta!$B$1:$B$675,"6063",Compta!$C$1:$C$675,$A88))</f>
        <v/>
      </c>
      <c r="Z88" t="str">
        <f>IF($A88="","",SUMIFS(Compta!$F$1:$F$675,Compta!$A$1:$A$675,$B88,Compta!$B$1:$B$675,"6231",Compta!$C$1:$C$675,$A88))</f>
        <v/>
      </c>
      <c r="AA88" t="str">
        <f>IF($A88="","",SUMIFS(Compta!$F$1:$F$675,Compta!$A$1:$A$675,$B88,Compta!$B$1:$B$675,"6413",Compta!$C$1:$C$675,$A88)+SUMIFS(Compta!$F$1:$F$675,Compta!$A$1:$A$675,$B88,Compta!$B$1:$B$675,"645",Compta!$C$1:$C$675,$A88)+SUMIFS(Compta!$F$1:$F$675,Compta!$A$1:$A$675,$B88,Compta!$B$1:$B$675,"613",Compta!$C$1:$C$675,$A88)+SUMIFS(Compta!$F$1:$F$675,Compta!$A$1:$A$675,$B88,Compta!$B$1:$B$675,"615",Compta!$C$1:$C$675,$A88)+SUMIFS(Compta!$F$1:$F$675,Compta!$A$1:$A$675,$B88,Compta!$B$1:$B$675,"616",Compta!$C$1:$C$675,$A88)+SUMIFS(Compta!$F$1:$F$675,Compta!$A$1:$A$675,$B88,Compta!$B$1:$B$675,"625",Compta!$C$1:$C$675,$A88)+SUMIFS(Compta!$F$1:$F$675,Compta!$A$1:$A$675,$B88,Compta!$B$1:$B$675,"63511",Compta!$C$1:$C$675,$A88))</f>
        <v/>
      </c>
      <c r="AB88" t="str">
        <f>IF($A88="","",SUMIFS(Compta!$F$1:$F$675,Compta!$A$1:$A$675,"GRP",Compta!$B$1:$B$675,"6414",Compta!$C$1:$C$675,$A88)+SUMIFS(Compta!$F$1:$F$675,Compta!$A$1:$A$675,"GRP",Compta!$B$1:$B$675,"6226",Compta!$C$1:$C$675,$A88)+SUMIFS(Compta!$F$1:$F$675,Compta!$A$1:$A$675,"GRP",Compta!$B$1:$B$675,"626",Compta!$C$1:$C$675,$A88)+SUMIFS(Compta!$F$1:$F$675,Compta!$A$1:$A$675,"GRP",Compta!$B$1:$B$675,"6281",Compta!$C$1:$C$675,$A88)+SUMIFS(Compta!$F$1:$F$675,Compta!$A$1:$A$675,"GRP",Compta!$B$1:$B$675,"6331",Compta!$C$1:$C$675,$A88)+SUMIFS(Compta!$F$1:$F$675,Compta!$A$1:$A$675,"GRP",Compta!$B$1:$B$675,"6333",Compta!$C$1:$C$675,$A88))</f>
        <v/>
      </c>
      <c r="AC88" t="str">
        <f t="shared" si="21"/>
        <v/>
      </c>
      <c r="AD88" t="str">
        <f t="shared" si="22"/>
        <v/>
      </c>
      <c r="AE88" t="str">
        <f t="shared" si="23"/>
        <v/>
      </c>
      <c r="AF88" t="str">
        <f t="shared" si="24"/>
        <v/>
      </c>
      <c r="AG88" t="str">
        <f t="shared" si="25"/>
        <v/>
      </c>
      <c r="AH88" t="str">
        <f t="shared" si="26"/>
        <v/>
      </c>
      <c r="AI88" t="str">
        <f t="shared" si="27"/>
        <v/>
      </c>
      <c r="AJ88" t="str">
        <f t="shared" si="28"/>
        <v/>
      </c>
      <c r="AK88" t="str">
        <f t="shared" si="29"/>
        <v/>
      </c>
      <c r="AL88" t="str">
        <f t="shared" si="30"/>
        <v/>
      </c>
      <c r="AM88" t="str">
        <f t="shared" si="31"/>
        <v/>
      </c>
      <c r="AN88" t="str">
        <f t="shared" si="32"/>
        <v/>
      </c>
      <c r="AO88" t="str">
        <f>IF($A88="","",SUMIFS(Compta!$F$1:$F$675,Compta!$A$1:$A$675,"GRP",Compta!$B$1:$B$675,"6236",Compta!$C$1:$C$675,$A88))</f>
        <v/>
      </c>
      <c r="AP88" t="str">
        <f t="shared" si="33"/>
        <v/>
      </c>
      <c r="AQ88" t="str">
        <f t="shared" si="34"/>
        <v/>
      </c>
      <c r="AR88" t="str">
        <f t="shared" si="35"/>
        <v/>
      </c>
    </row>
    <row r="89" spans="1:44" x14ac:dyDescent="0.45">
      <c r="A89" t="str">
        <f>IF(Allocation!C89="","",Allocation!C89)</f>
        <v/>
      </c>
      <c r="B89" t="str">
        <f>IF(Allocation!D89="","",Allocation!D89)</f>
        <v/>
      </c>
      <c r="C89" t="str">
        <f>IF(Allocation!E89="","",Allocation!E89)</f>
        <v/>
      </c>
      <c r="D89" t="str">
        <f>IF(Allocation!F89="","",Allocation!F89)</f>
        <v/>
      </c>
      <c r="E89" t="str">
        <f>IF(Allocation!G89="","",Allocation!G89)</f>
        <v/>
      </c>
      <c r="F89" t="str">
        <f>IF(Allocation!H89="","",Allocation!H89)</f>
        <v/>
      </c>
      <c r="G89" t="str">
        <f>IF(Allocation!D89="","",Allocation!I89)</f>
        <v/>
      </c>
      <c r="H89" t="str">
        <f>IF(Allocation!D89="","",Allocation!J89)</f>
        <v/>
      </c>
      <c r="I89" t="str">
        <f>IF(Allocation!D89="","",Allocation!K89)</f>
        <v/>
      </c>
      <c r="J89" t="str">
        <f>IF($A89="","",SUMIFS(Socle!$K$1:$K$1000,Socle!$C$1:$C$1000,$B89,Socle!$D$1:$D$1000,$D89,Socle!$E$1:$E$1000,$E89,Socle!$F$1:$F$1000,$F89,Socle!$G$1:$G$1000,$A89))</f>
        <v/>
      </c>
      <c r="K89" t="str">
        <f t="shared" si="18"/>
        <v/>
      </c>
      <c r="L89" t="str">
        <f>IF($A89="","",SUMIFS(Allocation!$I$1:$I$175,Allocation!$C$1:$C$175,$A89,Allocation!$D$1:$D$175,$B89))</f>
        <v/>
      </c>
      <c r="M89" t="str">
        <f>IF($A89="","",SUMIFS(Allocation!$J$1:$J$175,Allocation!$C$1:$C$175,$A89,Allocation!$D$1:$D$175,$B89))</f>
        <v/>
      </c>
      <c r="N89" t="str">
        <f>IF($A89="","",SUMIFS(Allocation!$K$1:$K$175,Allocation!$C$1:$C$175,$A89,Allocation!$D$1:$D$175,$B89))</f>
        <v/>
      </c>
      <c r="O89" t="str">
        <f t="shared" si="19"/>
        <v/>
      </c>
      <c r="P89" t="str">
        <f t="shared" si="20"/>
        <v/>
      </c>
      <c r="Q89" t="str">
        <f>IF($A89="","",SUMIFS(Allocation!$I$1:$I$175,Allocation!$C$1:$C$175,$A89,Allocation!$E$1:$E$175,$C89))</f>
        <v/>
      </c>
      <c r="R89" t="str">
        <f>IF($A89="","",SUMIFS(Allocation!$J$1:$J$175,Allocation!$C$1:$C$175,$A89,Allocation!$E$1:$E$175,$C89))</f>
        <v/>
      </c>
      <c r="S89" t="str">
        <f>IF($A89="","",SUMIFS(Allocation!$K$1:$K$175,Allocation!$C$1:$C$175,$A89,Allocation!$E$1:$E$175,$C89))</f>
        <v/>
      </c>
      <c r="T89" t="str">
        <f>IF($A89="","",SUMIFS(Allocation!$I$1:$I$175,Allocation!$C$1:$C$175,$A89))</f>
        <v/>
      </c>
      <c r="U89" t="str">
        <f>IF($A89="","",SUMIFS(Allocation!$J$1:$J$175,Allocation!$C$1:$C$175,$A89))</f>
        <v/>
      </c>
      <c r="V89" t="str">
        <f>IF($A89="","",SUMIFS(Allocation!$K$1:$K$175,Allocation!$C$1:$C$175,$A89))</f>
        <v/>
      </c>
      <c r="W89" t="str">
        <f>IF($A89="","",SUMIFS(Compta!$F$1:$F$675,Compta!$A$1:$A$675,$B89,Compta!$B$1:$B$675,"621",Compta!$C$1:$C$675,$A89))</f>
        <v/>
      </c>
      <c r="X89" t="str">
        <f>IF($A89="","",SUMIFS(Compta!$F$1:$F$675,Compta!$A$1:$A$675,$B89,Compta!$B$1:$B$675,"6411",Compta!$C$1:$C$675,$A89))</f>
        <v/>
      </c>
      <c r="Y89" t="str">
        <f>IF($A89="","",SUMIFS(Compta!$F$1:$F$675,Compta!$A$1:$A$675,$B89,Compta!$B$1:$B$675,"604",Compta!$C$1:$C$675,$A89)+SUMIFS(Compta!$F$1:$F$675,Compta!$A$1:$A$675,$B89,Compta!$B$1:$B$675,"6063",Compta!$C$1:$C$675,$A89))</f>
        <v/>
      </c>
      <c r="Z89" t="str">
        <f>IF($A89="","",SUMIFS(Compta!$F$1:$F$675,Compta!$A$1:$A$675,$B89,Compta!$B$1:$B$675,"6231",Compta!$C$1:$C$675,$A89))</f>
        <v/>
      </c>
      <c r="AA89" t="str">
        <f>IF($A89="","",SUMIFS(Compta!$F$1:$F$675,Compta!$A$1:$A$675,$B89,Compta!$B$1:$B$675,"6413",Compta!$C$1:$C$675,$A89)+SUMIFS(Compta!$F$1:$F$675,Compta!$A$1:$A$675,$B89,Compta!$B$1:$B$675,"645",Compta!$C$1:$C$675,$A89)+SUMIFS(Compta!$F$1:$F$675,Compta!$A$1:$A$675,$B89,Compta!$B$1:$B$675,"613",Compta!$C$1:$C$675,$A89)+SUMIFS(Compta!$F$1:$F$675,Compta!$A$1:$A$675,$B89,Compta!$B$1:$B$675,"615",Compta!$C$1:$C$675,$A89)+SUMIFS(Compta!$F$1:$F$675,Compta!$A$1:$A$675,$B89,Compta!$B$1:$B$675,"616",Compta!$C$1:$C$675,$A89)+SUMIFS(Compta!$F$1:$F$675,Compta!$A$1:$A$675,$B89,Compta!$B$1:$B$675,"625",Compta!$C$1:$C$675,$A89)+SUMIFS(Compta!$F$1:$F$675,Compta!$A$1:$A$675,$B89,Compta!$B$1:$B$675,"63511",Compta!$C$1:$C$675,$A89))</f>
        <v/>
      </c>
      <c r="AB89" t="str">
        <f>IF($A89="","",SUMIFS(Compta!$F$1:$F$675,Compta!$A$1:$A$675,"GRP",Compta!$B$1:$B$675,"6414",Compta!$C$1:$C$675,$A89)+SUMIFS(Compta!$F$1:$F$675,Compta!$A$1:$A$675,"GRP",Compta!$B$1:$B$675,"6226",Compta!$C$1:$C$675,$A89)+SUMIFS(Compta!$F$1:$F$675,Compta!$A$1:$A$675,"GRP",Compta!$B$1:$B$675,"626",Compta!$C$1:$C$675,$A89)+SUMIFS(Compta!$F$1:$F$675,Compta!$A$1:$A$675,"GRP",Compta!$B$1:$B$675,"6281",Compta!$C$1:$C$675,$A89)+SUMIFS(Compta!$F$1:$F$675,Compta!$A$1:$A$675,"GRP",Compta!$B$1:$B$675,"6331",Compta!$C$1:$C$675,$A89)+SUMIFS(Compta!$F$1:$F$675,Compta!$A$1:$A$675,"GRP",Compta!$B$1:$B$675,"6333",Compta!$C$1:$C$675,$A89))</f>
        <v/>
      </c>
      <c r="AC89" t="str">
        <f t="shared" si="21"/>
        <v/>
      </c>
      <c r="AD89" t="str">
        <f t="shared" si="22"/>
        <v/>
      </c>
      <c r="AE89" t="str">
        <f t="shared" si="23"/>
        <v/>
      </c>
      <c r="AF89" t="str">
        <f t="shared" si="24"/>
        <v/>
      </c>
      <c r="AG89" t="str">
        <f t="shared" si="25"/>
        <v/>
      </c>
      <c r="AH89" t="str">
        <f t="shared" si="26"/>
        <v/>
      </c>
      <c r="AI89" t="str">
        <f t="shared" si="27"/>
        <v/>
      </c>
      <c r="AJ89" t="str">
        <f t="shared" si="28"/>
        <v/>
      </c>
      <c r="AK89" t="str">
        <f t="shared" si="29"/>
        <v/>
      </c>
      <c r="AL89" t="str">
        <f t="shared" si="30"/>
        <v/>
      </c>
      <c r="AM89" t="str">
        <f t="shared" si="31"/>
        <v/>
      </c>
      <c r="AN89" t="str">
        <f t="shared" si="32"/>
        <v/>
      </c>
      <c r="AO89" t="str">
        <f>IF($A89="","",SUMIFS(Compta!$F$1:$F$675,Compta!$A$1:$A$675,"GRP",Compta!$B$1:$B$675,"6236",Compta!$C$1:$C$675,$A89))</f>
        <v/>
      </c>
      <c r="AP89" t="str">
        <f t="shared" si="33"/>
        <v/>
      </c>
      <c r="AQ89" t="str">
        <f t="shared" si="34"/>
        <v/>
      </c>
      <c r="AR89" t="str">
        <f t="shared" si="35"/>
        <v/>
      </c>
    </row>
    <row r="90" spans="1:44" x14ac:dyDescent="0.45">
      <c r="A90" t="str">
        <f>IF(Allocation!C90="","",Allocation!C90)</f>
        <v/>
      </c>
      <c r="B90" t="str">
        <f>IF(Allocation!D90="","",Allocation!D90)</f>
        <v/>
      </c>
      <c r="C90" t="str">
        <f>IF(Allocation!E90="","",Allocation!E90)</f>
        <v/>
      </c>
      <c r="D90" t="str">
        <f>IF(Allocation!F90="","",Allocation!F90)</f>
        <v/>
      </c>
      <c r="E90" t="str">
        <f>IF(Allocation!G90="","",Allocation!G90)</f>
        <v/>
      </c>
      <c r="F90" t="str">
        <f>IF(Allocation!H90="","",Allocation!H90)</f>
        <v/>
      </c>
      <c r="G90" t="str">
        <f>IF(Allocation!D90="","",Allocation!I90)</f>
        <v/>
      </c>
      <c r="H90" t="str">
        <f>IF(Allocation!D90="","",Allocation!J90)</f>
        <v/>
      </c>
      <c r="I90" t="str">
        <f>IF(Allocation!D90="","",Allocation!K90)</f>
        <v/>
      </c>
      <c r="J90" t="str">
        <f>IF($A90="","",SUMIFS(Socle!$K$1:$K$1000,Socle!$C$1:$C$1000,$B90,Socle!$D$1:$D$1000,$D90,Socle!$E$1:$E$1000,$E90,Socle!$F$1:$F$1000,$F90,Socle!$G$1:$G$1000,$A90))</f>
        <v/>
      </c>
      <c r="K90" t="str">
        <f t="shared" si="18"/>
        <v/>
      </c>
      <c r="L90" t="str">
        <f>IF($A90="","",SUMIFS(Allocation!$I$1:$I$175,Allocation!$C$1:$C$175,$A90,Allocation!$D$1:$D$175,$B90))</f>
        <v/>
      </c>
      <c r="M90" t="str">
        <f>IF($A90="","",SUMIFS(Allocation!$J$1:$J$175,Allocation!$C$1:$C$175,$A90,Allocation!$D$1:$D$175,$B90))</f>
        <v/>
      </c>
      <c r="N90" t="str">
        <f>IF($A90="","",SUMIFS(Allocation!$K$1:$K$175,Allocation!$C$1:$C$175,$A90,Allocation!$D$1:$D$175,$B90))</f>
        <v/>
      </c>
      <c r="O90" t="str">
        <f t="shared" si="19"/>
        <v/>
      </c>
      <c r="P90" t="str">
        <f t="shared" si="20"/>
        <v/>
      </c>
      <c r="Q90" t="str">
        <f>IF($A90="","",SUMIFS(Allocation!$I$1:$I$175,Allocation!$C$1:$C$175,$A90,Allocation!$E$1:$E$175,$C90))</f>
        <v/>
      </c>
      <c r="R90" t="str">
        <f>IF($A90="","",SUMIFS(Allocation!$J$1:$J$175,Allocation!$C$1:$C$175,$A90,Allocation!$E$1:$E$175,$C90))</f>
        <v/>
      </c>
      <c r="S90" t="str">
        <f>IF($A90="","",SUMIFS(Allocation!$K$1:$K$175,Allocation!$C$1:$C$175,$A90,Allocation!$E$1:$E$175,$C90))</f>
        <v/>
      </c>
      <c r="T90" t="str">
        <f>IF($A90="","",SUMIFS(Allocation!$I$1:$I$175,Allocation!$C$1:$C$175,$A90))</f>
        <v/>
      </c>
      <c r="U90" t="str">
        <f>IF($A90="","",SUMIFS(Allocation!$J$1:$J$175,Allocation!$C$1:$C$175,$A90))</f>
        <v/>
      </c>
      <c r="V90" t="str">
        <f>IF($A90="","",SUMIFS(Allocation!$K$1:$K$175,Allocation!$C$1:$C$175,$A90))</f>
        <v/>
      </c>
      <c r="W90" t="str">
        <f>IF($A90="","",SUMIFS(Compta!$F$1:$F$675,Compta!$A$1:$A$675,$B90,Compta!$B$1:$B$675,"621",Compta!$C$1:$C$675,$A90))</f>
        <v/>
      </c>
      <c r="X90" t="str">
        <f>IF($A90="","",SUMIFS(Compta!$F$1:$F$675,Compta!$A$1:$A$675,$B90,Compta!$B$1:$B$675,"6411",Compta!$C$1:$C$675,$A90))</f>
        <v/>
      </c>
      <c r="Y90" t="str">
        <f>IF($A90="","",SUMIFS(Compta!$F$1:$F$675,Compta!$A$1:$A$675,$B90,Compta!$B$1:$B$675,"604",Compta!$C$1:$C$675,$A90)+SUMIFS(Compta!$F$1:$F$675,Compta!$A$1:$A$675,$B90,Compta!$B$1:$B$675,"6063",Compta!$C$1:$C$675,$A90))</f>
        <v/>
      </c>
      <c r="Z90" t="str">
        <f>IF($A90="","",SUMIFS(Compta!$F$1:$F$675,Compta!$A$1:$A$675,$B90,Compta!$B$1:$B$675,"6231",Compta!$C$1:$C$675,$A90))</f>
        <v/>
      </c>
      <c r="AA90" t="str">
        <f>IF($A90="","",SUMIFS(Compta!$F$1:$F$675,Compta!$A$1:$A$675,$B90,Compta!$B$1:$B$675,"6413",Compta!$C$1:$C$675,$A90)+SUMIFS(Compta!$F$1:$F$675,Compta!$A$1:$A$675,$B90,Compta!$B$1:$B$675,"645",Compta!$C$1:$C$675,$A90)+SUMIFS(Compta!$F$1:$F$675,Compta!$A$1:$A$675,$B90,Compta!$B$1:$B$675,"613",Compta!$C$1:$C$675,$A90)+SUMIFS(Compta!$F$1:$F$675,Compta!$A$1:$A$675,$B90,Compta!$B$1:$B$675,"615",Compta!$C$1:$C$675,$A90)+SUMIFS(Compta!$F$1:$F$675,Compta!$A$1:$A$675,$B90,Compta!$B$1:$B$675,"616",Compta!$C$1:$C$675,$A90)+SUMIFS(Compta!$F$1:$F$675,Compta!$A$1:$A$675,$B90,Compta!$B$1:$B$675,"625",Compta!$C$1:$C$675,$A90)+SUMIFS(Compta!$F$1:$F$675,Compta!$A$1:$A$675,$B90,Compta!$B$1:$B$675,"63511",Compta!$C$1:$C$675,$A90))</f>
        <v/>
      </c>
      <c r="AB90" t="str">
        <f>IF($A90="","",SUMIFS(Compta!$F$1:$F$675,Compta!$A$1:$A$675,"GRP",Compta!$B$1:$B$675,"6414",Compta!$C$1:$C$675,$A90)+SUMIFS(Compta!$F$1:$F$675,Compta!$A$1:$A$675,"GRP",Compta!$B$1:$B$675,"6226",Compta!$C$1:$C$675,$A90)+SUMIFS(Compta!$F$1:$F$675,Compta!$A$1:$A$675,"GRP",Compta!$B$1:$B$675,"626",Compta!$C$1:$C$675,$A90)+SUMIFS(Compta!$F$1:$F$675,Compta!$A$1:$A$675,"GRP",Compta!$B$1:$B$675,"6281",Compta!$C$1:$C$675,$A90)+SUMIFS(Compta!$F$1:$F$675,Compta!$A$1:$A$675,"GRP",Compta!$B$1:$B$675,"6331",Compta!$C$1:$C$675,$A90)+SUMIFS(Compta!$F$1:$F$675,Compta!$A$1:$A$675,"GRP",Compta!$B$1:$B$675,"6333",Compta!$C$1:$C$675,$A90))</f>
        <v/>
      </c>
      <c r="AC90" t="str">
        <f t="shared" si="21"/>
        <v/>
      </c>
      <c r="AD90" t="str">
        <f t="shared" si="22"/>
        <v/>
      </c>
      <c r="AE90" t="str">
        <f t="shared" si="23"/>
        <v/>
      </c>
      <c r="AF90" t="str">
        <f t="shared" si="24"/>
        <v/>
      </c>
      <c r="AG90" t="str">
        <f t="shared" si="25"/>
        <v/>
      </c>
      <c r="AH90" t="str">
        <f t="shared" si="26"/>
        <v/>
      </c>
      <c r="AI90" t="str">
        <f t="shared" si="27"/>
        <v/>
      </c>
      <c r="AJ90" t="str">
        <f t="shared" si="28"/>
        <v/>
      </c>
      <c r="AK90" t="str">
        <f t="shared" si="29"/>
        <v/>
      </c>
      <c r="AL90" t="str">
        <f t="shared" si="30"/>
        <v/>
      </c>
      <c r="AM90" t="str">
        <f t="shared" si="31"/>
        <v/>
      </c>
      <c r="AN90" t="str">
        <f t="shared" si="32"/>
        <v/>
      </c>
      <c r="AO90" t="str">
        <f>IF($A90="","",SUMIFS(Compta!$F$1:$F$675,Compta!$A$1:$A$675,"GRP",Compta!$B$1:$B$675,"6236",Compta!$C$1:$C$675,$A90))</f>
        <v/>
      </c>
      <c r="AP90" t="str">
        <f t="shared" si="33"/>
        <v/>
      </c>
      <c r="AQ90" t="str">
        <f t="shared" si="34"/>
        <v/>
      </c>
      <c r="AR90" t="str">
        <f t="shared" si="35"/>
        <v/>
      </c>
    </row>
    <row r="91" spans="1:44" x14ac:dyDescent="0.45">
      <c r="A91" t="str">
        <f>IF(Allocation!C91="","",Allocation!C91)</f>
        <v/>
      </c>
      <c r="B91" t="str">
        <f>IF(Allocation!D91="","",Allocation!D91)</f>
        <v/>
      </c>
      <c r="C91" t="str">
        <f>IF(Allocation!E91="","",Allocation!E91)</f>
        <v/>
      </c>
      <c r="D91" t="str">
        <f>IF(Allocation!F91="","",Allocation!F91)</f>
        <v/>
      </c>
      <c r="E91" t="str">
        <f>IF(Allocation!G91="","",Allocation!G91)</f>
        <v/>
      </c>
      <c r="F91" t="str">
        <f>IF(Allocation!H91="","",Allocation!H91)</f>
        <v/>
      </c>
      <c r="G91" t="str">
        <f>IF(Allocation!D91="","",Allocation!I91)</f>
        <v/>
      </c>
      <c r="H91" t="str">
        <f>IF(Allocation!D91="","",Allocation!J91)</f>
        <v/>
      </c>
      <c r="I91" t="str">
        <f>IF(Allocation!D91="","",Allocation!K91)</f>
        <v/>
      </c>
      <c r="J91" t="str">
        <f>IF($A91="","",SUMIFS(Socle!$K$1:$K$1000,Socle!$C$1:$C$1000,$B91,Socle!$D$1:$D$1000,$D91,Socle!$E$1:$E$1000,$E91,Socle!$F$1:$F$1000,$F91,Socle!$G$1:$G$1000,$A91))</f>
        <v/>
      </c>
      <c r="K91" t="str">
        <f t="shared" si="18"/>
        <v/>
      </c>
      <c r="L91" t="str">
        <f>IF($A91="","",SUMIFS(Allocation!$I$1:$I$175,Allocation!$C$1:$C$175,$A91,Allocation!$D$1:$D$175,$B91))</f>
        <v/>
      </c>
      <c r="M91" t="str">
        <f>IF($A91="","",SUMIFS(Allocation!$J$1:$J$175,Allocation!$C$1:$C$175,$A91,Allocation!$D$1:$D$175,$B91))</f>
        <v/>
      </c>
      <c r="N91" t="str">
        <f>IF($A91="","",SUMIFS(Allocation!$K$1:$K$175,Allocation!$C$1:$C$175,$A91,Allocation!$D$1:$D$175,$B91))</f>
        <v/>
      </c>
      <c r="O91" t="str">
        <f t="shared" si="19"/>
        <v/>
      </c>
      <c r="P91" t="str">
        <f t="shared" si="20"/>
        <v/>
      </c>
      <c r="Q91" t="str">
        <f>IF($A91="","",SUMIFS(Allocation!$I$1:$I$175,Allocation!$C$1:$C$175,$A91,Allocation!$E$1:$E$175,$C91))</f>
        <v/>
      </c>
      <c r="R91" t="str">
        <f>IF($A91="","",SUMIFS(Allocation!$J$1:$J$175,Allocation!$C$1:$C$175,$A91,Allocation!$E$1:$E$175,$C91))</f>
        <v/>
      </c>
      <c r="S91" t="str">
        <f>IF($A91="","",SUMIFS(Allocation!$K$1:$K$175,Allocation!$C$1:$C$175,$A91,Allocation!$E$1:$E$175,$C91))</f>
        <v/>
      </c>
      <c r="T91" t="str">
        <f>IF($A91="","",SUMIFS(Allocation!$I$1:$I$175,Allocation!$C$1:$C$175,$A91))</f>
        <v/>
      </c>
      <c r="U91" t="str">
        <f>IF($A91="","",SUMIFS(Allocation!$J$1:$J$175,Allocation!$C$1:$C$175,$A91))</f>
        <v/>
      </c>
      <c r="V91" t="str">
        <f>IF($A91="","",SUMIFS(Allocation!$K$1:$K$175,Allocation!$C$1:$C$175,$A91))</f>
        <v/>
      </c>
      <c r="W91" t="str">
        <f>IF($A91="","",SUMIFS(Compta!$F$1:$F$675,Compta!$A$1:$A$675,$B91,Compta!$B$1:$B$675,"621",Compta!$C$1:$C$675,$A91))</f>
        <v/>
      </c>
      <c r="X91" t="str">
        <f>IF($A91="","",SUMIFS(Compta!$F$1:$F$675,Compta!$A$1:$A$675,$B91,Compta!$B$1:$B$675,"6411",Compta!$C$1:$C$675,$A91))</f>
        <v/>
      </c>
      <c r="Y91" t="str">
        <f>IF($A91="","",SUMIFS(Compta!$F$1:$F$675,Compta!$A$1:$A$675,$B91,Compta!$B$1:$B$675,"604",Compta!$C$1:$C$675,$A91)+SUMIFS(Compta!$F$1:$F$675,Compta!$A$1:$A$675,$B91,Compta!$B$1:$B$675,"6063",Compta!$C$1:$C$675,$A91))</f>
        <v/>
      </c>
      <c r="Z91" t="str">
        <f>IF($A91="","",SUMIFS(Compta!$F$1:$F$675,Compta!$A$1:$A$675,$B91,Compta!$B$1:$B$675,"6231",Compta!$C$1:$C$675,$A91))</f>
        <v/>
      </c>
      <c r="AA91" t="str">
        <f>IF($A91="","",SUMIFS(Compta!$F$1:$F$675,Compta!$A$1:$A$675,$B91,Compta!$B$1:$B$675,"6413",Compta!$C$1:$C$675,$A91)+SUMIFS(Compta!$F$1:$F$675,Compta!$A$1:$A$675,$B91,Compta!$B$1:$B$675,"645",Compta!$C$1:$C$675,$A91)+SUMIFS(Compta!$F$1:$F$675,Compta!$A$1:$A$675,$B91,Compta!$B$1:$B$675,"613",Compta!$C$1:$C$675,$A91)+SUMIFS(Compta!$F$1:$F$675,Compta!$A$1:$A$675,$B91,Compta!$B$1:$B$675,"615",Compta!$C$1:$C$675,$A91)+SUMIFS(Compta!$F$1:$F$675,Compta!$A$1:$A$675,$B91,Compta!$B$1:$B$675,"616",Compta!$C$1:$C$675,$A91)+SUMIFS(Compta!$F$1:$F$675,Compta!$A$1:$A$675,$B91,Compta!$B$1:$B$675,"625",Compta!$C$1:$C$675,$A91)+SUMIFS(Compta!$F$1:$F$675,Compta!$A$1:$A$675,$B91,Compta!$B$1:$B$675,"63511",Compta!$C$1:$C$675,$A91))</f>
        <v/>
      </c>
      <c r="AB91" t="str">
        <f>IF($A91="","",SUMIFS(Compta!$F$1:$F$675,Compta!$A$1:$A$675,"GRP",Compta!$B$1:$B$675,"6414",Compta!$C$1:$C$675,$A91)+SUMIFS(Compta!$F$1:$F$675,Compta!$A$1:$A$675,"GRP",Compta!$B$1:$B$675,"6226",Compta!$C$1:$C$675,$A91)+SUMIFS(Compta!$F$1:$F$675,Compta!$A$1:$A$675,"GRP",Compta!$B$1:$B$675,"626",Compta!$C$1:$C$675,$A91)+SUMIFS(Compta!$F$1:$F$675,Compta!$A$1:$A$675,"GRP",Compta!$B$1:$B$675,"6281",Compta!$C$1:$C$675,$A91)+SUMIFS(Compta!$F$1:$F$675,Compta!$A$1:$A$675,"GRP",Compta!$B$1:$B$675,"6331",Compta!$C$1:$C$675,$A91)+SUMIFS(Compta!$F$1:$F$675,Compta!$A$1:$A$675,"GRP",Compta!$B$1:$B$675,"6333",Compta!$C$1:$C$675,$A91))</f>
        <v/>
      </c>
      <c r="AC91" t="str">
        <f t="shared" si="21"/>
        <v/>
      </c>
      <c r="AD91" t="str">
        <f t="shared" si="22"/>
        <v/>
      </c>
      <c r="AE91" t="str">
        <f t="shared" si="23"/>
        <v/>
      </c>
      <c r="AF91" t="str">
        <f t="shared" si="24"/>
        <v/>
      </c>
      <c r="AG91" t="str">
        <f t="shared" si="25"/>
        <v/>
      </c>
      <c r="AH91" t="str">
        <f t="shared" si="26"/>
        <v/>
      </c>
      <c r="AI91" t="str">
        <f t="shared" si="27"/>
        <v/>
      </c>
      <c r="AJ91" t="str">
        <f t="shared" si="28"/>
        <v/>
      </c>
      <c r="AK91" t="str">
        <f t="shared" si="29"/>
        <v/>
      </c>
      <c r="AL91" t="str">
        <f t="shared" si="30"/>
        <v/>
      </c>
      <c r="AM91" t="str">
        <f t="shared" si="31"/>
        <v/>
      </c>
      <c r="AN91" t="str">
        <f t="shared" si="32"/>
        <v/>
      </c>
      <c r="AO91" t="str">
        <f>IF($A91="","",SUMIFS(Compta!$F$1:$F$675,Compta!$A$1:$A$675,"GRP",Compta!$B$1:$B$675,"6236",Compta!$C$1:$C$675,$A91))</f>
        <v/>
      </c>
      <c r="AP91" t="str">
        <f t="shared" si="33"/>
        <v/>
      </c>
      <c r="AQ91" t="str">
        <f t="shared" si="34"/>
        <v/>
      </c>
      <c r="AR91" t="str">
        <f t="shared" si="35"/>
        <v/>
      </c>
    </row>
    <row r="92" spans="1:44" x14ac:dyDescent="0.45">
      <c r="A92" t="str">
        <f>IF(Allocation!C92="","",Allocation!C92)</f>
        <v/>
      </c>
      <c r="B92" t="str">
        <f>IF(Allocation!D92="","",Allocation!D92)</f>
        <v/>
      </c>
      <c r="C92" t="str">
        <f>IF(Allocation!E92="","",Allocation!E92)</f>
        <v/>
      </c>
      <c r="D92" t="str">
        <f>IF(Allocation!F92="","",Allocation!F92)</f>
        <v/>
      </c>
      <c r="E92" t="str">
        <f>IF(Allocation!G92="","",Allocation!G92)</f>
        <v/>
      </c>
      <c r="F92" t="str">
        <f>IF(Allocation!H92="","",Allocation!H92)</f>
        <v/>
      </c>
      <c r="G92" t="str">
        <f>IF(Allocation!D92="","",Allocation!I92)</f>
        <v/>
      </c>
      <c r="H92" t="str">
        <f>IF(Allocation!D92="","",Allocation!J92)</f>
        <v/>
      </c>
      <c r="I92" t="str">
        <f>IF(Allocation!D92="","",Allocation!K92)</f>
        <v/>
      </c>
      <c r="J92" t="str">
        <f>IF($A92="","",SUMIFS(Socle!$K$1:$K$1000,Socle!$C$1:$C$1000,$B92,Socle!$D$1:$D$1000,$D92,Socle!$E$1:$E$1000,$E92,Socle!$F$1:$F$1000,$F92,Socle!$G$1:$G$1000,$A92))</f>
        <v/>
      </c>
      <c r="K92" t="str">
        <f t="shared" si="18"/>
        <v/>
      </c>
      <c r="L92" t="str">
        <f>IF($A92="","",SUMIFS(Allocation!$I$1:$I$175,Allocation!$C$1:$C$175,$A92,Allocation!$D$1:$D$175,$B92))</f>
        <v/>
      </c>
      <c r="M92" t="str">
        <f>IF($A92="","",SUMIFS(Allocation!$J$1:$J$175,Allocation!$C$1:$C$175,$A92,Allocation!$D$1:$D$175,$B92))</f>
        <v/>
      </c>
      <c r="N92" t="str">
        <f>IF($A92="","",SUMIFS(Allocation!$K$1:$K$175,Allocation!$C$1:$C$175,$A92,Allocation!$D$1:$D$175,$B92))</f>
        <v/>
      </c>
      <c r="O92" t="str">
        <f t="shared" si="19"/>
        <v/>
      </c>
      <c r="P92" t="str">
        <f t="shared" si="20"/>
        <v/>
      </c>
      <c r="Q92" t="str">
        <f>IF($A92="","",SUMIFS(Allocation!$I$1:$I$175,Allocation!$C$1:$C$175,$A92,Allocation!$E$1:$E$175,$C92))</f>
        <v/>
      </c>
      <c r="R92" t="str">
        <f>IF($A92="","",SUMIFS(Allocation!$J$1:$J$175,Allocation!$C$1:$C$175,$A92,Allocation!$E$1:$E$175,$C92))</f>
        <v/>
      </c>
      <c r="S92" t="str">
        <f>IF($A92="","",SUMIFS(Allocation!$K$1:$K$175,Allocation!$C$1:$C$175,$A92,Allocation!$E$1:$E$175,$C92))</f>
        <v/>
      </c>
      <c r="T92" t="str">
        <f>IF($A92="","",SUMIFS(Allocation!$I$1:$I$175,Allocation!$C$1:$C$175,$A92))</f>
        <v/>
      </c>
      <c r="U92" t="str">
        <f>IF($A92="","",SUMIFS(Allocation!$J$1:$J$175,Allocation!$C$1:$C$175,$A92))</f>
        <v/>
      </c>
      <c r="V92" t="str">
        <f>IF($A92="","",SUMIFS(Allocation!$K$1:$K$175,Allocation!$C$1:$C$175,$A92))</f>
        <v/>
      </c>
      <c r="W92" t="str">
        <f>IF($A92="","",SUMIFS(Compta!$F$1:$F$675,Compta!$A$1:$A$675,$B92,Compta!$B$1:$B$675,"621",Compta!$C$1:$C$675,$A92))</f>
        <v/>
      </c>
      <c r="X92" t="str">
        <f>IF($A92="","",SUMIFS(Compta!$F$1:$F$675,Compta!$A$1:$A$675,$B92,Compta!$B$1:$B$675,"6411",Compta!$C$1:$C$675,$A92))</f>
        <v/>
      </c>
      <c r="Y92" t="str">
        <f>IF($A92="","",SUMIFS(Compta!$F$1:$F$675,Compta!$A$1:$A$675,$B92,Compta!$B$1:$B$675,"604",Compta!$C$1:$C$675,$A92)+SUMIFS(Compta!$F$1:$F$675,Compta!$A$1:$A$675,$B92,Compta!$B$1:$B$675,"6063",Compta!$C$1:$C$675,$A92))</f>
        <v/>
      </c>
      <c r="Z92" t="str">
        <f>IF($A92="","",SUMIFS(Compta!$F$1:$F$675,Compta!$A$1:$A$675,$B92,Compta!$B$1:$B$675,"6231",Compta!$C$1:$C$675,$A92))</f>
        <v/>
      </c>
      <c r="AA92" t="str">
        <f>IF($A92="","",SUMIFS(Compta!$F$1:$F$675,Compta!$A$1:$A$675,$B92,Compta!$B$1:$B$675,"6413",Compta!$C$1:$C$675,$A92)+SUMIFS(Compta!$F$1:$F$675,Compta!$A$1:$A$675,$B92,Compta!$B$1:$B$675,"645",Compta!$C$1:$C$675,$A92)+SUMIFS(Compta!$F$1:$F$675,Compta!$A$1:$A$675,$B92,Compta!$B$1:$B$675,"613",Compta!$C$1:$C$675,$A92)+SUMIFS(Compta!$F$1:$F$675,Compta!$A$1:$A$675,$B92,Compta!$B$1:$B$675,"615",Compta!$C$1:$C$675,$A92)+SUMIFS(Compta!$F$1:$F$675,Compta!$A$1:$A$675,$B92,Compta!$B$1:$B$675,"616",Compta!$C$1:$C$675,$A92)+SUMIFS(Compta!$F$1:$F$675,Compta!$A$1:$A$675,$B92,Compta!$B$1:$B$675,"625",Compta!$C$1:$C$675,$A92)+SUMIFS(Compta!$F$1:$F$675,Compta!$A$1:$A$675,$B92,Compta!$B$1:$B$675,"63511",Compta!$C$1:$C$675,$A92))</f>
        <v/>
      </c>
      <c r="AB92" t="str">
        <f>IF($A92="","",SUMIFS(Compta!$F$1:$F$675,Compta!$A$1:$A$675,"GRP",Compta!$B$1:$B$675,"6414",Compta!$C$1:$C$675,$A92)+SUMIFS(Compta!$F$1:$F$675,Compta!$A$1:$A$675,"GRP",Compta!$B$1:$B$675,"6226",Compta!$C$1:$C$675,$A92)+SUMIFS(Compta!$F$1:$F$675,Compta!$A$1:$A$675,"GRP",Compta!$B$1:$B$675,"626",Compta!$C$1:$C$675,$A92)+SUMIFS(Compta!$F$1:$F$675,Compta!$A$1:$A$675,"GRP",Compta!$B$1:$B$675,"6281",Compta!$C$1:$C$675,$A92)+SUMIFS(Compta!$F$1:$F$675,Compta!$A$1:$A$675,"GRP",Compta!$B$1:$B$675,"6331",Compta!$C$1:$C$675,$A92)+SUMIFS(Compta!$F$1:$F$675,Compta!$A$1:$A$675,"GRP",Compta!$B$1:$B$675,"6333",Compta!$C$1:$C$675,$A92))</f>
        <v/>
      </c>
      <c r="AC92" t="str">
        <f t="shared" si="21"/>
        <v/>
      </c>
      <c r="AD92" t="str">
        <f t="shared" si="22"/>
        <v/>
      </c>
      <c r="AE92" t="str">
        <f t="shared" si="23"/>
        <v/>
      </c>
      <c r="AF92" t="str">
        <f t="shared" si="24"/>
        <v/>
      </c>
      <c r="AG92" t="str">
        <f t="shared" si="25"/>
        <v/>
      </c>
      <c r="AH92" t="str">
        <f t="shared" si="26"/>
        <v/>
      </c>
      <c r="AI92" t="str">
        <f t="shared" si="27"/>
        <v/>
      </c>
      <c r="AJ92" t="str">
        <f t="shared" si="28"/>
        <v/>
      </c>
      <c r="AK92" t="str">
        <f t="shared" si="29"/>
        <v/>
      </c>
      <c r="AL92" t="str">
        <f t="shared" si="30"/>
        <v/>
      </c>
      <c r="AM92" t="str">
        <f t="shared" si="31"/>
        <v/>
      </c>
      <c r="AN92" t="str">
        <f t="shared" si="32"/>
        <v/>
      </c>
      <c r="AO92" t="str">
        <f>IF($A92="","",SUMIFS(Compta!$F$1:$F$675,Compta!$A$1:$A$675,"GRP",Compta!$B$1:$B$675,"6236",Compta!$C$1:$C$675,$A92))</f>
        <v/>
      </c>
      <c r="AP92" t="str">
        <f t="shared" si="33"/>
        <v/>
      </c>
      <c r="AQ92" t="str">
        <f t="shared" si="34"/>
        <v/>
      </c>
      <c r="AR92" t="str">
        <f t="shared" si="35"/>
        <v/>
      </c>
    </row>
    <row r="93" spans="1:44" x14ac:dyDescent="0.45">
      <c r="A93" t="str">
        <f>IF(Allocation!C93="","",Allocation!C93)</f>
        <v/>
      </c>
      <c r="B93" t="str">
        <f>IF(Allocation!D93="","",Allocation!D93)</f>
        <v/>
      </c>
      <c r="C93" t="str">
        <f>IF(Allocation!E93="","",Allocation!E93)</f>
        <v/>
      </c>
      <c r="D93" t="str">
        <f>IF(Allocation!F93="","",Allocation!F93)</f>
        <v/>
      </c>
      <c r="E93" t="str">
        <f>IF(Allocation!G93="","",Allocation!G93)</f>
        <v/>
      </c>
      <c r="F93" t="str">
        <f>IF(Allocation!H93="","",Allocation!H93)</f>
        <v/>
      </c>
      <c r="G93" t="str">
        <f>IF(Allocation!D93="","",Allocation!I93)</f>
        <v/>
      </c>
      <c r="H93" t="str">
        <f>IF(Allocation!D93="","",Allocation!J93)</f>
        <v/>
      </c>
      <c r="I93" t="str">
        <f>IF(Allocation!D93="","",Allocation!K93)</f>
        <v/>
      </c>
      <c r="J93" t="str">
        <f>IF($A93="","",SUMIFS(Socle!$K$1:$K$1000,Socle!$C$1:$C$1000,$B93,Socle!$D$1:$D$1000,$D93,Socle!$E$1:$E$1000,$E93,Socle!$F$1:$F$1000,$F93,Socle!$G$1:$G$1000,$A93))</f>
        <v/>
      </c>
      <c r="K93" t="str">
        <f t="shared" si="18"/>
        <v/>
      </c>
      <c r="L93" t="str">
        <f>IF($A93="","",SUMIFS(Allocation!$I$1:$I$175,Allocation!$C$1:$C$175,$A93,Allocation!$D$1:$D$175,$B93))</f>
        <v/>
      </c>
      <c r="M93" t="str">
        <f>IF($A93="","",SUMIFS(Allocation!$J$1:$J$175,Allocation!$C$1:$C$175,$A93,Allocation!$D$1:$D$175,$B93))</f>
        <v/>
      </c>
      <c r="N93" t="str">
        <f>IF($A93="","",SUMIFS(Allocation!$K$1:$K$175,Allocation!$C$1:$C$175,$A93,Allocation!$D$1:$D$175,$B93))</f>
        <v/>
      </c>
      <c r="O93" t="str">
        <f t="shared" si="19"/>
        <v/>
      </c>
      <c r="P93" t="str">
        <f t="shared" si="20"/>
        <v/>
      </c>
      <c r="Q93" t="str">
        <f>IF($A93="","",SUMIFS(Allocation!$I$1:$I$175,Allocation!$C$1:$C$175,$A93,Allocation!$E$1:$E$175,$C93))</f>
        <v/>
      </c>
      <c r="R93" t="str">
        <f>IF($A93="","",SUMIFS(Allocation!$J$1:$J$175,Allocation!$C$1:$C$175,$A93,Allocation!$E$1:$E$175,$C93))</f>
        <v/>
      </c>
      <c r="S93" t="str">
        <f>IF($A93="","",SUMIFS(Allocation!$K$1:$K$175,Allocation!$C$1:$C$175,$A93,Allocation!$E$1:$E$175,$C93))</f>
        <v/>
      </c>
      <c r="T93" t="str">
        <f>IF($A93="","",SUMIFS(Allocation!$I$1:$I$175,Allocation!$C$1:$C$175,$A93))</f>
        <v/>
      </c>
      <c r="U93" t="str">
        <f>IF($A93="","",SUMIFS(Allocation!$J$1:$J$175,Allocation!$C$1:$C$175,$A93))</f>
        <v/>
      </c>
      <c r="V93" t="str">
        <f>IF($A93="","",SUMIFS(Allocation!$K$1:$K$175,Allocation!$C$1:$C$175,$A93))</f>
        <v/>
      </c>
      <c r="W93" t="str">
        <f>IF($A93="","",SUMIFS(Compta!$F$1:$F$675,Compta!$A$1:$A$675,$B93,Compta!$B$1:$B$675,"621",Compta!$C$1:$C$675,$A93))</f>
        <v/>
      </c>
      <c r="X93" t="str">
        <f>IF($A93="","",SUMIFS(Compta!$F$1:$F$675,Compta!$A$1:$A$675,$B93,Compta!$B$1:$B$675,"6411",Compta!$C$1:$C$675,$A93))</f>
        <v/>
      </c>
      <c r="Y93" t="str">
        <f>IF($A93="","",SUMIFS(Compta!$F$1:$F$675,Compta!$A$1:$A$675,$B93,Compta!$B$1:$B$675,"604",Compta!$C$1:$C$675,$A93)+SUMIFS(Compta!$F$1:$F$675,Compta!$A$1:$A$675,$B93,Compta!$B$1:$B$675,"6063",Compta!$C$1:$C$675,$A93))</f>
        <v/>
      </c>
      <c r="Z93" t="str">
        <f>IF($A93="","",SUMIFS(Compta!$F$1:$F$675,Compta!$A$1:$A$675,$B93,Compta!$B$1:$B$675,"6231",Compta!$C$1:$C$675,$A93))</f>
        <v/>
      </c>
      <c r="AA93" t="str">
        <f>IF($A93="","",SUMIFS(Compta!$F$1:$F$675,Compta!$A$1:$A$675,$B93,Compta!$B$1:$B$675,"6413",Compta!$C$1:$C$675,$A93)+SUMIFS(Compta!$F$1:$F$675,Compta!$A$1:$A$675,$B93,Compta!$B$1:$B$675,"645",Compta!$C$1:$C$675,$A93)+SUMIFS(Compta!$F$1:$F$675,Compta!$A$1:$A$675,$B93,Compta!$B$1:$B$675,"613",Compta!$C$1:$C$675,$A93)+SUMIFS(Compta!$F$1:$F$675,Compta!$A$1:$A$675,$B93,Compta!$B$1:$B$675,"615",Compta!$C$1:$C$675,$A93)+SUMIFS(Compta!$F$1:$F$675,Compta!$A$1:$A$675,$B93,Compta!$B$1:$B$675,"616",Compta!$C$1:$C$675,$A93)+SUMIFS(Compta!$F$1:$F$675,Compta!$A$1:$A$675,$B93,Compta!$B$1:$B$675,"625",Compta!$C$1:$C$675,$A93)+SUMIFS(Compta!$F$1:$F$675,Compta!$A$1:$A$675,$B93,Compta!$B$1:$B$675,"63511",Compta!$C$1:$C$675,$A93))</f>
        <v/>
      </c>
      <c r="AB93" t="str">
        <f>IF($A93="","",SUMIFS(Compta!$F$1:$F$675,Compta!$A$1:$A$675,"GRP",Compta!$B$1:$B$675,"6414",Compta!$C$1:$C$675,$A93)+SUMIFS(Compta!$F$1:$F$675,Compta!$A$1:$A$675,"GRP",Compta!$B$1:$B$675,"6226",Compta!$C$1:$C$675,$A93)+SUMIFS(Compta!$F$1:$F$675,Compta!$A$1:$A$675,"GRP",Compta!$B$1:$B$675,"626",Compta!$C$1:$C$675,$A93)+SUMIFS(Compta!$F$1:$F$675,Compta!$A$1:$A$675,"GRP",Compta!$B$1:$B$675,"6281",Compta!$C$1:$C$675,$A93)+SUMIFS(Compta!$F$1:$F$675,Compta!$A$1:$A$675,"GRP",Compta!$B$1:$B$675,"6331",Compta!$C$1:$C$675,$A93)+SUMIFS(Compta!$F$1:$F$675,Compta!$A$1:$A$675,"GRP",Compta!$B$1:$B$675,"6333",Compta!$C$1:$C$675,$A93))</f>
        <v/>
      </c>
      <c r="AC93" t="str">
        <f t="shared" si="21"/>
        <v/>
      </c>
      <c r="AD93" t="str">
        <f t="shared" si="22"/>
        <v/>
      </c>
      <c r="AE93" t="str">
        <f t="shared" si="23"/>
        <v/>
      </c>
      <c r="AF93" t="str">
        <f t="shared" si="24"/>
        <v/>
      </c>
      <c r="AG93" t="str">
        <f t="shared" si="25"/>
        <v/>
      </c>
      <c r="AH93" t="str">
        <f t="shared" si="26"/>
        <v/>
      </c>
      <c r="AI93" t="str">
        <f t="shared" si="27"/>
        <v/>
      </c>
      <c r="AJ93" t="str">
        <f t="shared" si="28"/>
        <v/>
      </c>
      <c r="AK93" t="str">
        <f t="shared" si="29"/>
        <v/>
      </c>
      <c r="AL93" t="str">
        <f t="shared" si="30"/>
        <v/>
      </c>
      <c r="AM93" t="str">
        <f t="shared" si="31"/>
        <v/>
      </c>
      <c r="AN93" t="str">
        <f t="shared" si="32"/>
        <v/>
      </c>
      <c r="AO93" t="str">
        <f>IF($A93="","",SUMIFS(Compta!$F$1:$F$675,Compta!$A$1:$A$675,"GRP",Compta!$B$1:$B$675,"6236",Compta!$C$1:$C$675,$A93))</f>
        <v/>
      </c>
      <c r="AP93" t="str">
        <f t="shared" si="33"/>
        <v/>
      </c>
      <c r="AQ93" t="str">
        <f t="shared" si="34"/>
        <v/>
      </c>
      <c r="AR93" t="str">
        <f t="shared" si="35"/>
        <v/>
      </c>
    </row>
    <row r="94" spans="1:44" x14ac:dyDescent="0.45">
      <c r="A94" t="str">
        <f>IF(Allocation!C94="","",Allocation!C94)</f>
        <v/>
      </c>
      <c r="B94" t="str">
        <f>IF(Allocation!D94="","",Allocation!D94)</f>
        <v/>
      </c>
      <c r="C94" t="str">
        <f>IF(Allocation!E94="","",Allocation!E94)</f>
        <v/>
      </c>
      <c r="D94" t="str">
        <f>IF(Allocation!F94="","",Allocation!F94)</f>
        <v/>
      </c>
      <c r="E94" t="str">
        <f>IF(Allocation!G94="","",Allocation!G94)</f>
        <v/>
      </c>
      <c r="F94" t="str">
        <f>IF(Allocation!H94="","",Allocation!H94)</f>
        <v/>
      </c>
      <c r="G94" t="str">
        <f>IF(Allocation!D94="","",Allocation!I94)</f>
        <v/>
      </c>
      <c r="H94" t="str">
        <f>IF(Allocation!D94="","",Allocation!J94)</f>
        <v/>
      </c>
      <c r="I94" t="str">
        <f>IF(Allocation!D94="","",Allocation!K94)</f>
        <v/>
      </c>
      <c r="J94" t="str">
        <f>IF($A94="","",SUMIFS(Socle!$K$1:$K$1000,Socle!$C$1:$C$1000,$B94,Socle!$D$1:$D$1000,$D94,Socle!$E$1:$E$1000,$E94,Socle!$F$1:$F$1000,$F94,Socle!$G$1:$G$1000,$A94))</f>
        <v/>
      </c>
      <c r="K94" t="str">
        <f t="shared" si="18"/>
        <v/>
      </c>
      <c r="L94" t="str">
        <f>IF($A94="","",SUMIFS(Allocation!$I$1:$I$175,Allocation!$C$1:$C$175,$A94,Allocation!$D$1:$D$175,$B94))</f>
        <v/>
      </c>
      <c r="M94" t="str">
        <f>IF($A94="","",SUMIFS(Allocation!$J$1:$J$175,Allocation!$C$1:$C$175,$A94,Allocation!$D$1:$D$175,$B94))</f>
        <v/>
      </c>
      <c r="N94" t="str">
        <f>IF($A94="","",SUMIFS(Allocation!$K$1:$K$175,Allocation!$C$1:$C$175,$A94,Allocation!$D$1:$D$175,$B94))</f>
        <v/>
      </c>
      <c r="O94" t="str">
        <f t="shared" si="19"/>
        <v/>
      </c>
      <c r="P94" t="str">
        <f t="shared" si="20"/>
        <v/>
      </c>
      <c r="Q94" t="str">
        <f>IF($A94="","",SUMIFS(Allocation!$I$1:$I$175,Allocation!$C$1:$C$175,$A94,Allocation!$E$1:$E$175,$C94))</f>
        <v/>
      </c>
      <c r="R94" t="str">
        <f>IF($A94="","",SUMIFS(Allocation!$J$1:$J$175,Allocation!$C$1:$C$175,$A94,Allocation!$E$1:$E$175,$C94))</f>
        <v/>
      </c>
      <c r="S94" t="str">
        <f>IF($A94="","",SUMIFS(Allocation!$K$1:$K$175,Allocation!$C$1:$C$175,$A94,Allocation!$E$1:$E$175,$C94))</f>
        <v/>
      </c>
      <c r="T94" t="str">
        <f>IF($A94="","",SUMIFS(Allocation!$I$1:$I$175,Allocation!$C$1:$C$175,$A94))</f>
        <v/>
      </c>
      <c r="U94" t="str">
        <f>IF($A94="","",SUMIFS(Allocation!$J$1:$J$175,Allocation!$C$1:$C$175,$A94))</f>
        <v/>
      </c>
      <c r="V94" t="str">
        <f>IF($A94="","",SUMIFS(Allocation!$K$1:$K$175,Allocation!$C$1:$C$175,$A94))</f>
        <v/>
      </c>
      <c r="W94" t="str">
        <f>IF($A94="","",SUMIFS(Compta!$F$1:$F$675,Compta!$A$1:$A$675,$B94,Compta!$B$1:$B$675,"621",Compta!$C$1:$C$675,$A94))</f>
        <v/>
      </c>
      <c r="X94" t="str">
        <f>IF($A94="","",SUMIFS(Compta!$F$1:$F$675,Compta!$A$1:$A$675,$B94,Compta!$B$1:$B$675,"6411",Compta!$C$1:$C$675,$A94))</f>
        <v/>
      </c>
      <c r="Y94" t="str">
        <f>IF($A94="","",SUMIFS(Compta!$F$1:$F$675,Compta!$A$1:$A$675,$B94,Compta!$B$1:$B$675,"604",Compta!$C$1:$C$675,$A94)+SUMIFS(Compta!$F$1:$F$675,Compta!$A$1:$A$675,$B94,Compta!$B$1:$B$675,"6063",Compta!$C$1:$C$675,$A94))</f>
        <v/>
      </c>
      <c r="Z94" t="str">
        <f>IF($A94="","",SUMIFS(Compta!$F$1:$F$675,Compta!$A$1:$A$675,$B94,Compta!$B$1:$B$675,"6231",Compta!$C$1:$C$675,$A94))</f>
        <v/>
      </c>
      <c r="AA94" t="str">
        <f>IF($A94="","",SUMIFS(Compta!$F$1:$F$675,Compta!$A$1:$A$675,$B94,Compta!$B$1:$B$675,"6413",Compta!$C$1:$C$675,$A94)+SUMIFS(Compta!$F$1:$F$675,Compta!$A$1:$A$675,$B94,Compta!$B$1:$B$675,"645",Compta!$C$1:$C$675,$A94)+SUMIFS(Compta!$F$1:$F$675,Compta!$A$1:$A$675,$B94,Compta!$B$1:$B$675,"613",Compta!$C$1:$C$675,$A94)+SUMIFS(Compta!$F$1:$F$675,Compta!$A$1:$A$675,$B94,Compta!$B$1:$B$675,"615",Compta!$C$1:$C$675,$A94)+SUMIFS(Compta!$F$1:$F$675,Compta!$A$1:$A$675,$B94,Compta!$B$1:$B$675,"616",Compta!$C$1:$C$675,$A94)+SUMIFS(Compta!$F$1:$F$675,Compta!$A$1:$A$675,$B94,Compta!$B$1:$B$675,"625",Compta!$C$1:$C$675,$A94)+SUMIFS(Compta!$F$1:$F$675,Compta!$A$1:$A$675,$B94,Compta!$B$1:$B$675,"63511",Compta!$C$1:$C$675,$A94))</f>
        <v/>
      </c>
      <c r="AB94" t="str">
        <f>IF($A94="","",SUMIFS(Compta!$F$1:$F$675,Compta!$A$1:$A$675,"GRP",Compta!$B$1:$B$675,"6414",Compta!$C$1:$C$675,$A94)+SUMIFS(Compta!$F$1:$F$675,Compta!$A$1:$A$675,"GRP",Compta!$B$1:$B$675,"6226",Compta!$C$1:$C$675,$A94)+SUMIFS(Compta!$F$1:$F$675,Compta!$A$1:$A$675,"GRP",Compta!$B$1:$B$675,"626",Compta!$C$1:$C$675,$A94)+SUMIFS(Compta!$F$1:$F$675,Compta!$A$1:$A$675,"GRP",Compta!$B$1:$B$675,"6281",Compta!$C$1:$C$675,$A94)+SUMIFS(Compta!$F$1:$F$675,Compta!$A$1:$A$675,"GRP",Compta!$B$1:$B$675,"6331",Compta!$C$1:$C$675,$A94)+SUMIFS(Compta!$F$1:$F$675,Compta!$A$1:$A$675,"GRP",Compta!$B$1:$B$675,"6333",Compta!$C$1:$C$675,$A94))</f>
        <v/>
      </c>
      <c r="AC94" t="str">
        <f t="shared" si="21"/>
        <v/>
      </c>
      <c r="AD94" t="str">
        <f t="shared" si="22"/>
        <v/>
      </c>
      <c r="AE94" t="str">
        <f t="shared" si="23"/>
        <v/>
      </c>
      <c r="AF94" t="str">
        <f t="shared" si="24"/>
        <v/>
      </c>
      <c r="AG94" t="str">
        <f t="shared" si="25"/>
        <v/>
      </c>
      <c r="AH94" t="str">
        <f t="shared" si="26"/>
        <v/>
      </c>
      <c r="AI94" t="str">
        <f t="shared" si="27"/>
        <v/>
      </c>
      <c r="AJ94" t="str">
        <f t="shared" si="28"/>
        <v/>
      </c>
      <c r="AK94" t="str">
        <f t="shared" si="29"/>
        <v/>
      </c>
      <c r="AL94" t="str">
        <f t="shared" si="30"/>
        <v/>
      </c>
      <c r="AM94" t="str">
        <f t="shared" si="31"/>
        <v/>
      </c>
      <c r="AN94" t="str">
        <f t="shared" si="32"/>
        <v/>
      </c>
      <c r="AO94" t="str">
        <f>IF($A94="","",SUMIFS(Compta!$F$1:$F$675,Compta!$A$1:$A$675,"GRP",Compta!$B$1:$B$675,"6236",Compta!$C$1:$C$675,$A94))</f>
        <v/>
      </c>
      <c r="AP94" t="str">
        <f t="shared" si="33"/>
        <v/>
      </c>
      <c r="AQ94" t="str">
        <f t="shared" si="34"/>
        <v/>
      </c>
      <c r="AR94" t="str">
        <f t="shared" si="35"/>
        <v/>
      </c>
    </row>
    <row r="95" spans="1:44" x14ac:dyDescent="0.45">
      <c r="A95" t="str">
        <f>IF(Allocation!C95="","",Allocation!C95)</f>
        <v/>
      </c>
      <c r="B95" t="str">
        <f>IF(Allocation!D95="","",Allocation!D95)</f>
        <v/>
      </c>
      <c r="C95" t="str">
        <f>IF(Allocation!E95="","",Allocation!E95)</f>
        <v/>
      </c>
      <c r="D95" t="str">
        <f>IF(Allocation!F95="","",Allocation!F95)</f>
        <v/>
      </c>
      <c r="E95" t="str">
        <f>IF(Allocation!G95="","",Allocation!G95)</f>
        <v/>
      </c>
      <c r="F95" t="str">
        <f>IF(Allocation!H95="","",Allocation!H95)</f>
        <v/>
      </c>
      <c r="G95" t="str">
        <f>IF(Allocation!D95="","",Allocation!I95)</f>
        <v/>
      </c>
      <c r="H95" t="str">
        <f>IF(Allocation!D95="","",Allocation!J95)</f>
        <v/>
      </c>
      <c r="I95" t="str">
        <f>IF(Allocation!D95="","",Allocation!K95)</f>
        <v/>
      </c>
      <c r="J95" t="str">
        <f>IF($A95="","",SUMIFS(Socle!$K$1:$K$1000,Socle!$C$1:$C$1000,$B95,Socle!$D$1:$D$1000,$D95,Socle!$E$1:$E$1000,$E95,Socle!$F$1:$F$1000,$F95,Socle!$G$1:$G$1000,$A95))</f>
        <v/>
      </c>
      <c r="K95" t="str">
        <f t="shared" si="18"/>
        <v/>
      </c>
      <c r="L95" t="str">
        <f>IF($A95="","",SUMIFS(Allocation!$I$1:$I$175,Allocation!$C$1:$C$175,$A95,Allocation!$D$1:$D$175,$B95))</f>
        <v/>
      </c>
      <c r="M95" t="str">
        <f>IF($A95="","",SUMIFS(Allocation!$J$1:$J$175,Allocation!$C$1:$C$175,$A95,Allocation!$D$1:$D$175,$B95))</f>
        <v/>
      </c>
      <c r="N95" t="str">
        <f>IF($A95="","",SUMIFS(Allocation!$K$1:$K$175,Allocation!$C$1:$C$175,$A95,Allocation!$D$1:$D$175,$B95))</f>
        <v/>
      </c>
      <c r="O95" t="str">
        <f t="shared" si="19"/>
        <v/>
      </c>
      <c r="P95" t="str">
        <f t="shared" si="20"/>
        <v/>
      </c>
      <c r="Q95" t="str">
        <f>IF($A95="","",SUMIFS(Allocation!$I$1:$I$175,Allocation!$C$1:$C$175,$A95,Allocation!$E$1:$E$175,$C95))</f>
        <v/>
      </c>
      <c r="R95" t="str">
        <f>IF($A95="","",SUMIFS(Allocation!$J$1:$J$175,Allocation!$C$1:$C$175,$A95,Allocation!$E$1:$E$175,$C95))</f>
        <v/>
      </c>
      <c r="S95" t="str">
        <f>IF($A95="","",SUMIFS(Allocation!$K$1:$K$175,Allocation!$C$1:$C$175,$A95,Allocation!$E$1:$E$175,$C95))</f>
        <v/>
      </c>
      <c r="T95" t="str">
        <f>IF($A95="","",SUMIFS(Allocation!$I$1:$I$175,Allocation!$C$1:$C$175,$A95))</f>
        <v/>
      </c>
      <c r="U95" t="str">
        <f>IF($A95="","",SUMIFS(Allocation!$J$1:$J$175,Allocation!$C$1:$C$175,$A95))</f>
        <v/>
      </c>
      <c r="V95" t="str">
        <f>IF($A95="","",SUMIFS(Allocation!$K$1:$K$175,Allocation!$C$1:$C$175,$A95))</f>
        <v/>
      </c>
      <c r="W95" t="str">
        <f>IF($A95="","",SUMIFS(Compta!$F$1:$F$675,Compta!$A$1:$A$675,$B95,Compta!$B$1:$B$675,"621",Compta!$C$1:$C$675,$A95))</f>
        <v/>
      </c>
      <c r="X95" t="str">
        <f>IF($A95="","",SUMIFS(Compta!$F$1:$F$675,Compta!$A$1:$A$675,$B95,Compta!$B$1:$B$675,"6411",Compta!$C$1:$C$675,$A95))</f>
        <v/>
      </c>
      <c r="Y95" t="str">
        <f>IF($A95="","",SUMIFS(Compta!$F$1:$F$675,Compta!$A$1:$A$675,$B95,Compta!$B$1:$B$675,"604",Compta!$C$1:$C$675,$A95)+SUMIFS(Compta!$F$1:$F$675,Compta!$A$1:$A$675,$B95,Compta!$B$1:$B$675,"6063",Compta!$C$1:$C$675,$A95))</f>
        <v/>
      </c>
      <c r="Z95" t="str">
        <f>IF($A95="","",SUMIFS(Compta!$F$1:$F$675,Compta!$A$1:$A$675,$B95,Compta!$B$1:$B$675,"6231",Compta!$C$1:$C$675,$A95))</f>
        <v/>
      </c>
      <c r="AA95" t="str">
        <f>IF($A95="","",SUMIFS(Compta!$F$1:$F$675,Compta!$A$1:$A$675,$B95,Compta!$B$1:$B$675,"6413",Compta!$C$1:$C$675,$A95)+SUMIFS(Compta!$F$1:$F$675,Compta!$A$1:$A$675,$B95,Compta!$B$1:$B$675,"645",Compta!$C$1:$C$675,$A95)+SUMIFS(Compta!$F$1:$F$675,Compta!$A$1:$A$675,$B95,Compta!$B$1:$B$675,"613",Compta!$C$1:$C$675,$A95)+SUMIFS(Compta!$F$1:$F$675,Compta!$A$1:$A$675,$B95,Compta!$B$1:$B$675,"615",Compta!$C$1:$C$675,$A95)+SUMIFS(Compta!$F$1:$F$675,Compta!$A$1:$A$675,$B95,Compta!$B$1:$B$675,"616",Compta!$C$1:$C$675,$A95)+SUMIFS(Compta!$F$1:$F$675,Compta!$A$1:$A$675,$B95,Compta!$B$1:$B$675,"625",Compta!$C$1:$C$675,$A95)+SUMIFS(Compta!$F$1:$F$675,Compta!$A$1:$A$675,$B95,Compta!$B$1:$B$675,"63511",Compta!$C$1:$C$675,$A95))</f>
        <v/>
      </c>
      <c r="AB95" t="str">
        <f>IF($A95="","",SUMIFS(Compta!$F$1:$F$675,Compta!$A$1:$A$675,"GRP",Compta!$B$1:$B$675,"6414",Compta!$C$1:$C$675,$A95)+SUMIFS(Compta!$F$1:$F$675,Compta!$A$1:$A$675,"GRP",Compta!$B$1:$B$675,"6226",Compta!$C$1:$C$675,$A95)+SUMIFS(Compta!$F$1:$F$675,Compta!$A$1:$A$675,"GRP",Compta!$B$1:$B$675,"626",Compta!$C$1:$C$675,$A95)+SUMIFS(Compta!$F$1:$F$675,Compta!$A$1:$A$675,"GRP",Compta!$B$1:$B$675,"6281",Compta!$C$1:$C$675,$A95)+SUMIFS(Compta!$F$1:$F$675,Compta!$A$1:$A$675,"GRP",Compta!$B$1:$B$675,"6331",Compta!$C$1:$C$675,$A95)+SUMIFS(Compta!$F$1:$F$675,Compta!$A$1:$A$675,"GRP",Compta!$B$1:$B$675,"6333",Compta!$C$1:$C$675,$A95))</f>
        <v/>
      </c>
      <c r="AC95" t="str">
        <f t="shared" si="21"/>
        <v/>
      </c>
      <c r="AD95" t="str">
        <f t="shared" si="22"/>
        <v/>
      </c>
      <c r="AE95" t="str">
        <f t="shared" si="23"/>
        <v/>
      </c>
      <c r="AF95" t="str">
        <f t="shared" si="24"/>
        <v/>
      </c>
      <c r="AG95" t="str">
        <f t="shared" si="25"/>
        <v/>
      </c>
      <c r="AH95" t="str">
        <f t="shared" si="26"/>
        <v/>
      </c>
      <c r="AI95" t="str">
        <f t="shared" si="27"/>
        <v/>
      </c>
      <c r="AJ95" t="str">
        <f t="shared" si="28"/>
        <v/>
      </c>
      <c r="AK95" t="str">
        <f t="shared" si="29"/>
        <v/>
      </c>
      <c r="AL95" t="str">
        <f t="shared" si="30"/>
        <v/>
      </c>
      <c r="AM95" t="str">
        <f t="shared" si="31"/>
        <v/>
      </c>
      <c r="AN95" t="str">
        <f t="shared" si="32"/>
        <v/>
      </c>
      <c r="AO95" t="str">
        <f>IF($A95="","",SUMIFS(Compta!$F$1:$F$675,Compta!$A$1:$A$675,"GRP",Compta!$B$1:$B$675,"6236",Compta!$C$1:$C$675,$A95))</f>
        <v/>
      </c>
      <c r="AP95" t="str">
        <f t="shared" si="33"/>
        <v/>
      </c>
      <c r="AQ95" t="str">
        <f t="shared" si="34"/>
        <v/>
      </c>
      <c r="AR95" t="str">
        <f t="shared" si="35"/>
        <v/>
      </c>
    </row>
    <row r="96" spans="1:44" x14ac:dyDescent="0.45">
      <c r="A96" t="str">
        <f>IF(Allocation!C96="","",Allocation!C96)</f>
        <v/>
      </c>
      <c r="B96" t="str">
        <f>IF(Allocation!D96="","",Allocation!D96)</f>
        <v/>
      </c>
      <c r="C96" t="str">
        <f>IF(Allocation!E96="","",Allocation!E96)</f>
        <v/>
      </c>
      <c r="D96" t="str">
        <f>IF(Allocation!F96="","",Allocation!F96)</f>
        <v/>
      </c>
      <c r="E96" t="str">
        <f>IF(Allocation!G96="","",Allocation!G96)</f>
        <v/>
      </c>
      <c r="F96" t="str">
        <f>IF(Allocation!H96="","",Allocation!H96)</f>
        <v/>
      </c>
      <c r="G96" t="str">
        <f>IF(Allocation!D96="","",Allocation!I96)</f>
        <v/>
      </c>
      <c r="H96" t="str">
        <f>IF(Allocation!D96="","",Allocation!J96)</f>
        <v/>
      </c>
      <c r="I96" t="str">
        <f>IF(Allocation!D96="","",Allocation!K96)</f>
        <v/>
      </c>
      <c r="J96" t="str">
        <f>IF($A96="","",SUMIFS(Socle!$K$1:$K$1000,Socle!$C$1:$C$1000,$B96,Socle!$D$1:$D$1000,$D96,Socle!$E$1:$E$1000,$E96,Socle!$F$1:$F$1000,$F96,Socle!$G$1:$G$1000,$A96))</f>
        <v/>
      </c>
      <c r="K96" t="str">
        <f t="shared" si="18"/>
        <v/>
      </c>
      <c r="L96" t="str">
        <f>IF($A96="","",SUMIFS(Allocation!$I$1:$I$175,Allocation!$C$1:$C$175,$A96,Allocation!$D$1:$D$175,$B96))</f>
        <v/>
      </c>
      <c r="M96" t="str">
        <f>IF($A96="","",SUMIFS(Allocation!$J$1:$J$175,Allocation!$C$1:$C$175,$A96,Allocation!$D$1:$D$175,$B96))</f>
        <v/>
      </c>
      <c r="N96" t="str">
        <f>IF($A96="","",SUMIFS(Allocation!$K$1:$K$175,Allocation!$C$1:$C$175,$A96,Allocation!$D$1:$D$175,$B96))</f>
        <v/>
      </c>
      <c r="O96" t="str">
        <f t="shared" si="19"/>
        <v/>
      </c>
      <c r="P96" t="str">
        <f t="shared" si="20"/>
        <v/>
      </c>
      <c r="Q96" t="str">
        <f>IF($A96="","",SUMIFS(Allocation!$I$1:$I$175,Allocation!$C$1:$C$175,$A96,Allocation!$E$1:$E$175,$C96))</f>
        <v/>
      </c>
      <c r="R96" t="str">
        <f>IF($A96="","",SUMIFS(Allocation!$J$1:$J$175,Allocation!$C$1:$C$175,$A96,Allocation!$E$1:$E$175,$C96))</f>
        <v/>
      </c>
      <c r="S96" t="str">
        <f>IF($A96="","",SUMIFS(Allocation!$K$1:$K$175,Allocation!$C$1:$C$175,$A96,Allocation!$E$1:$E$175,$C96))</f>
        <v/>
      </c>
      <c r="T96" t="str">
        <f>IF($A96="","",SUMIFS(Allocation!$I$1:$I$175,Allocation!$C$1:$C$175,$A96))</f>
        <v/>
      </c>
      <c r="U96" t="str">
        <f>IF($A96="","",SUMIFS(Allocation!$J$1:$J$175,Allocation!$C$1:$C$175,$A96))</f>
        <v/>
      </c>
      <c r="V96" t="str">
        <f>IF($A96="","",SUMIFS(Allocation!$K$1:$K$175,Allocation!$C$1:$C$175,$A96))</f>
        <v/>
      </c>
      <c r="W96" t="str">
        <f>IF($A96="","",SUMIFS(Compta!$F$1:$F$675,Compta!$A$1:$A$675,$B96,Compta!$B$1:$B$675,"621",Compta!$C$1:$C$675,$A96))</f>
        <v/>
      </c>
      <c r="X96" t="str">
        <f>IF($A96="","",SUMIFS(Compta!$F$1:$F$675,Compta!$A$1:$A$675,$B96,Compta!$B$1:$B$675,"6411",Compta!$C$1:$C$675,$A96))</f>
        <v/>
      </c>
      <c r="Y96" t="str">
        <f>IF($A96="","",SUMIFS(Compta!$F$1:$F$675,Compta!$A$1:$A$675,$B96,Compta!$B$1:$B$675,"604",Compta!$C$1:$C$675,$A96)+SUMIFS(Compta!$F$1:$F$675,Compta!$A$1:$A$675,$B96,Compta!$B$1:$B$675,"6063",Compta!$C$1:$C$675,$A96))</f>
        <v/>
      </c>
      <c r="Z96" t="str">
        <f>IF($A96="","",SUMIFS(Compta!$F$1:$F$675,Compta!$A$1:$A$675,$B96,Compta!$B$1:$B$675,"6231",Compta!$C$1:$C$675,$A96))</f>
        <v/>
      </c>
      <c r="AA96" t="str">
        <f>IF($A96="","",SUMIFS(Compta!$F$1:$F$675,Compta!$A$1:$A$675,$B96,Compta!$B$1:$B$675,"6413",Compta!$C$1:$C$675,$A96)+SUMIFS(Compta!$F$1:$F$675,Compta!$A$1:$A$675,$B96,Compta!$B$1:$B$675,"645",Compta!$C$1:$C$675,$A96)+SUMIFS(Compta!$F$1:$F$675,Compta!$A$1:$A$675,$B96,Compta!$B$1:$B$675,"613",Compta!$C$1:$C$675,$A96)+SUMIFS(Compta!$F$1:$F$675,Compta!$A$1:$A$675,$B96,Compta!$B$1:$B$675,"615",Compta!$C$1:$C$675,$A96)+SUMIFS(Compta!$F$1:$F$675,Compta!$A$1:$A$675,$B96,Compta!$B$1:$B$675,"616",Compta!$C$1:$C$675,$A96)+SUMIFS(Compta!$F$1:$F$675,Compta!$A$1:$A$675,$B96,Compta!$B$1:$B$675,"625",Compta!$C$1:$C$675,$A96)+SUMIFS(Compta!$F$1:$F$675,Compta!$A$1:$A$675,$B96,Compta!$B$1:$B$675,"63511",Compta!$C$1:$C$675,$A96))</f>
        <v/>
      </c>
      <c r="AB96" t="str">
        <f>IF($A96="","",SUMIFS(Compta!$F$1:$F$675,Compta!$A$1:$A$675,"GRP",Compta!$B$1:$B$675,"6414",Compta!$C$1:$C$675,$A96)+SUMIFS(Compta!$F$1:$F$675,Compta!$A$1:$A$675,"GRP",Compta!$B$1:$B$675,"6226",Compta!$C$1:$C$675,$A96)+SUMIFS(Compta!$F$1:$F$675,Compta!$A$1:$A$675,"GRP",Compta!$B$1:$B$675,"626",Compta!$C$1:$C$675,$A96)+SUMIFS(Compta!$F$1:$F$675,Compta!$A$1:$A$675,"GRP",Compta!$B$1:$B$675,"6281",Compta!$C$1:$C$675,$A96)+SUMIFS(Compta!$F$1:$F$675,Compta!$A$1:$A$675,"GRP",Compta!$B$1:$B$675,"6331",Compta!$C$1:$C$675,$A96)+SUMIFS(Compta!$F$1:$F$675,Compta!$A$1:$A$675,"GRP",Compta!$B$1:$B$675,"6333",Compta!$C$1:$C$675,$A96))</f>
        <v/>
      </c>
      <c r="AC96" t="str">
        <f t="shared" si="21"/>
        <v/>
      </c>
      <c r="AD96" t="str">
        <f t="shared" si="22"/>
        <v/>
      </c>
      <c r="AE96" t="str">
        <f t="shared" si="23"/>
        <v/>
      </c>
      <c r="AF96" t="str">
        <f t="shared" si="24"/>
        <v/>
      </c>
      <c r="AG96" t="str">
        <f t="shared" si="25"/>
        <v/>
      </c>
      <c r="AH96" t="str">
        <f t="shared" si="26"/>
        <v/>
      </c>
      <c r="AI96" t="str">
        <f t="shared" si="27"/>
        <v/>
      </c>
      <c r="AJ96" t="str">
        <f t="shared" si="28"/>
        <v/>
      </c>
      <c r="AK96" t="str">
        <f t="shared" si="29"/>
        <v/>
      </c>
      <c r="AL96" t="str">
        <f t="shared" si="30"/>
        <v/>
      </c>
      <c r="AM96" t="str">
        <f t="shared" si="31"/>
        <v/>
      </c>
      <c r="AN96" t="str">
        <f t="shared" si="32"/>
        <v/>
      </c>
      <c r="AO96" t="str">
        <f>IF($A96="","",SUMIFS(Compta!$F$1:$F$675,Compta!$A$1:$A$675,"GRP",Compta!$B$1:$B$675,"6236",Compta!$C$1:$C$675,$A96))</f>
        <v/>
      </c>
      <c r="AP96" t="str">
        <f t="shared" si="33"/>
        <v/>
      </c>
      <c r="AQ96" t="str">
        <f t="shared" si="34"/>
        <v/>
      </c>
      <c r="AR96" t="str">
        <f t="shared" si="35"/>
        <v/>
      </c>
    </row>
    <row r="97" spans="1:44" x14ac:dyDescent="0.45">
      <c r="A97" t="str">
        <f>IF(Allocation!C97="","",Allocation!C97)</f>
        <v/>
      </c>
      <c r="B97" t="str">
        <f>IF(Allocation!D97="","",Allocation!D97)</f>
        <v/>
      </c>
      <c r="C97" t="str">
        <f>IF(Allocation!E97="","",Allocation!E97)</f>
        <v/>
      </c>
      <c r="D97" t="str">
        <f>IF(Allocation!F97="","",Allocation!F97)</f>
        <v/>
      </c>
      <c r="E97" t="str">
        <f>IF(Allocation!G97="","",Allocation!G97)</f>
        <v/>
      </c>
      <c r="F97" t="str">
        <f>IF(Allocation!H97="","",Allocation!H97)</f>
        <v/>
      </c>
      <c r="G97" t="str">
        <f>IF(Allocation!D97="","",Allocation!I97)</f>
        <v/>
      </c>
      <c r="H97" t="str">
        <f>IF(Allocation!D97="","",Allocation!J97)</f>
        <v/>
      </c>
      <c r="I97" t="str">
        <f>IF(Allocation!D97="","",Allocation!K97)</f>
        <v/>
      </c>
      <c r="J97" t="str">
        <f>IF($A97="","",SUMIFS(Socle!$K$1:$K$1000,Socle!$C$1:$C$1000,$B97,Socle!$D$1:$D$1000,$D97,Socle!$E$1:$E$1000,$E97,Socle!$F$1:$F$1000,$F97,Socle!$G$1:$G$1000,$A97))</f>
        <v/>
      </c>
      <c r="K97" t="str">
        <f t="shared" si="18"/>
        <v/>
      </c>
      <c r="L97" t="str">
        <f>IF($A97="","",SUMIFS(Allocation!$I$1:$I$175,Allocation!$C$1:$C$175,$A97,Allocation!$D$1:$D$175,$B97))</f>
        <v/>
      </c>
      <c r="M97" t="str">
        <f>IF($A97="","",SUMIFS(Allocation!$J$1:$J$175,Allocation!$C$1:$C$175,$A97,Allocation!$D$1:$D$175,$B97))</f>
        <v/>
      </c>
      <c r="N97" t="str">
        <f>IF($A97="","",SUMIFS(Allocation!$K$1:$K$175,Allocation!$C$1:$C$175,$A97,Allocation!$D$1:$D$175,$B97))</f>
        <v/>
      </c>
      <c r="O97" t="str">
        <f t="shared" si="19"/>
        <v/>
      </c>
      <c r="P97" t="str">
        <f t="shared" si="20"/>
        <v/>
      </c>
      <c r="Q97" t="str">
        <f>IF($A97="","",SUMIFS(Allocation!$I$1:$I$175,Allocation!$C$1:$C$175,$A97,Allocation!$E$1:$E$175,$C97))</f>
        <v/>
      </c>
      <c r="R97" t="str">
        <f>IF($A97="","",SUMIFS(Allocation!$J$1:$J$175,Allocation!$C$1:$C$175,$A97,Allocation!$E$1:$E$175,$C97))</f>
        <v/>
      </c>
      <c r="S97" t="str">
        <f>IF($A97="","",SUMIFS(Allocation!$K$1:$K$175,Allocation!$C$1:$C$175,$A97,Allocation!$E$1:$E$175,$C97))</f>
        <v/>
      </c>
      <c r="T97" t="str">
        <f>IF($A97="","",SUMIFS(Allocation!$I$1:$I$175,Allocation!$C$1:$C$175,$A97))</f>
        <v/>
      </c>
      <c r="U97" t="str">
        <f>IF($A97="","",SUMIFS(Allocation!$J$1:$J$175,Allocation!$C$1:$C$175,$A97))</f>
        <v/>
      </c>
      <c r="V97" t="str">
        <f>IF($A97="","",SUMIFS(Allocation!$K$1:$K$175,Allocation!$C$1:$C$175,$A97))</f>
        <v/>
      </c>
      <c r="W97" t="str">
        <f>IF($A97="","",SUMIFS(Compta!$F$1:$F$675,Compta!$A$1:$A$675,$B97,Compta!$B$1:$B$675,"621",Compta!$C$1:$C$675,$A97))</f>
        <v/>
      </c>
      <c r="X97" t="str">
        <f>IF($A97="","",SUMIFS(Compta!$F$1:$F$675,Compta!$A$1:$A$675,$B97,Compta!$B$1:$B$675,"6411",Compta!$C$1:$C$675,$A97))</f>
        <v/>
      </c>
      <c r="Y97" t="str">
        <f>IF($A97="","",SUMIFS(Compta!$F$1:$F$675,Compta!$A$1:$A$675,$B97,Compta!$B$1:$B$675,"604",Compta!$C$1:$C$675,$A97)+SUMIFS(Compta!$F$1:$F$675,Compta!$A$1:$A$675,$B97,Compta!$B$1:$B$675,"6063",Compta!$C$1:$C$675,$A97))</f>
        <v/>
      </c>
      <c r="Z97" t="str">
        <f>IF($A97="","",SUMIFS(Compta!$F$1:$F$675,Compta!$A$1:$A$675,$B97,Compta!$B$1:$B$675,"6231",Compta!$C$1:$C$675,$A97))</f>
        <v/>
      </c>
      <c r="AA97" t="str">
        <f>IF($A97="","",SUMIFS(Compta!$F$1:$F$675,Compta!$A$1:$A$675,$B97,Compta!$B$1:$B$675,"6413",Compta!$C$1:$C$675,$A97)+SUMIFS(Compta!$F$1:$F$675,Compta!$A$1:$A$675,$B97,Compta!$B$1:$B$675,"645",Compta!$C$1:$C$675,$A97)+SUMIFS(Compta!$F$1:$F$675,Compta!$A$1:$A$675,$B97,Compta!$B$1:$B$675,"613",Compta!$C$1:$C$675,$A97)+SUMIFS(Compta!$F$1:$F$675,Compta!$A$1:$A$675,$B97,Compta!$B$1:$B$675,"615",Compta!$C$1:$C$675,$A97)+SUMIFS(Compta!$F$1:$F$675,Compta!$A$1:$A$675,$B97,Compta!$B$1:$B$675,"616",Compta!$C$1:$C$675,$A97)+SUMIFS(Compta!$F$1:$F$675,Compta!$A$1:$A$675,$B97,Compta!$B$1:$B$675,"625",Compta!$C$1:$C$675,$A97)+SUMIFS(Compta!$F$1:$F$675,Compta!$A$1:$A$675,$B97,Compta!$B$1:$B$675,"63511",Compta!$C$1:$C$675,$A97))</f>
        <v/>
      </c>
      <c r="AB97" t="str">
        <f>IF($A97="","",SUMIFS(Compta!$F$1:$F$675,Compta!$A$1:$A$675,"GRP",Compta!$B$1:$B$675,"6414",Compta!$C$1:$C$675,$A97)+SUMIFS(Compta!$F$1:$F$675,Compta!$A$1:$A$675,"GRP",Compta!$B$1:$B$675,"6226",Compta!$C$1:$C$675,$A97)+SUMIFS(Compta!$F$1:$F$675,Compta!$A$1:$A$675,"GRP",Compta!$B$1:$B$675,"626",Compta!$C$1:$C$675,$A97)+SUMIFS(Compta!$F$1:$F$675,Compta!$A$1:$A$675,"GRP",Compta!$B$1:$B$675,"6281",Compta!$C$1:$C$675,$A97)+SUMIFS(Compta!$F$1:$F$675,Compta!$A$1:$A$675,"GRP",Compta!$B$1:$B$675,"6331",Compta!$C$1:$C$675,$A97)+SUMIFS(Compta!$F$1:$F$675,Compta!$A$1:$A$675,"GRP",Compta!$B$1:$B$675,"6333",Compta!$C$1:$C$675,$A97))</f>
        <v/>
      </c>
      <c r="AC97" t="str">
        <f t="shared" si="21"/>
        <v/>
      </c>
      <c r="AD97" t="str">
        <f t="shared" si="22"/>
        <v/>
      </c>
      <c r="AE97" t="str">
        <f t="shared" si="23"/>
        <v/>
      </c>
      <c r="AF97" t="str">
        <f t="shared" si="24"/>
        <v/>
      </c>
      <c r="AG97" t="str">
        <f t="shared" si="25"/>
        <v/>
      </c>
      <c r="AH97" t="str">
        <f t="shared" si="26"/>
        <v/>
      </c>
      <c r="AI97" t="str">
        <f t="shared" si="27"/>
        <v/>
      </c>
      <c r="AJ97" t="str">
        <f t="shared" si="28"/>
        <v/>
      </c>
      <c r="AK97" t="str">
        <f t="shared" si="29"/>
        <v/>
      </c>
      <c r="AL97" t="str">
        <f t="shared" si="30"/>
        <v/>
      </c>
      <c r="AM97" t="str">
        <f t="shared" si="31"/>
        <v/>
      </c>
      <c r="AN97" t="str">
        <f t="shared" si="32"/>
        <v/>
      </c>
      <c r="AO97" t="str">
        <f>IF($A97="","",SUMIFS(Compta!$F$1:$F$675,Compta!$A$1:$A$675,"GRP",Compta!$B$1:$B$675,"6236",Compta!$C$1:$C$675,$A97))</f>
        <v/>
      </c>
      <c r="AP97" t="str">
        <f t="shared" si="33"/>
        <v/>
      </c>
      <c r="AQ97" t="str">
        <f t="shared" si="34"/>
        <v/>
      </c>
      <c r="AR97" t="str">
        <f t="shared" si="35"/>
        <v/>
      </c>
    </row>
    <row r="98" spans="1:44" x14ac:dyDescent="0.45">
      <c r="A98" t="str">
        <f>IF(Allocation!C98="","",Allocation!C98)</f>
        <v/>
      </c>
      <c r="B98" t="str">
        <f>IF(Allocation!D98="","",Allocation!D98)</f>
        <v/>
      </c>
      <c r="C98" t="str">
        <f>IF(Allocation!E98="","",Allocation!E98)</f>
        <v/>
      </c>
      <c r="D98" t="str">
        <f>IF(Allocation!F98="","",Allocation!F98)</f>
        <v/>
      </c>
      <c r="E98" t="str">
        <f>IF(Allocation!G98="","",Allocation!G98)</f>
        <v/>
      </c>
      <c r="F98" t="str">
        <f>IF(Allocation!H98="","",Allocation!H98)</f>
        <v/>
      </c>
      <c r="G98" t="str">
        <f>IF(Allocation!D98="","",Allocation!I98)</f>
        <v/>
      </c>
      <c r="H98" t="str">
        <f>IF(Allocation!D98="","",Allocation!J98)</f>
        <v/>
      </c>
      <c r="I98" t="str">
        <f>IF(Allocation!D98="","",Allocation!K98)</f>
        <v/>
      </c>
      <c r="J98" t="str">
        <f>IF($A98="","",SUMIFS(Socle!$K$1:$K$1000,Socle!$C$1:$C$1000,$B98,Socle!$D$1:$D$1000,$D98,Socle!$E$1:$E$1000,$E98,Socle!$F$1:$F$1000,$F98,Socle!$G$1:$G$1000,$A98))</f>
        <v/>
      </c>
      <c r="K98" t="str">
        <f t="shared" si="18"/>
        <v/>
      </c>
      <c r="L98" t="str">
        <f>IF($A98="","",SUMIFS(Allocation!$I$1:$I$175,Allocation!$C$1:$C$175,$A98,Allocation!$D$1:$D$175,$B98))</f>
        <v/>
      </c>
      <c r="M98" t="str">
        <f>IF($A98="","",SUMIFS(Allocation!$J$1:$J$175,Allocation!$C$1:$C$175,$A98,Allocation!$D$1:$D$175,$B98))</f>
        <v/>
      </c>
      <c r="N98" t="str">
        <f>IF($A98="","",SUMIFS(Allocation!$K$1:$K$175,Allocation!$C$1:$C$175,$A98,Allocation!$D$1:$D$175,$B98))</f>
        <v/>
      </c>
      <c r="O98" t="str">
        <f t="shared" si="19"/>
        <v/>
      </c>
      <c r="P98" t="str">
        <f t="shared" si="20"/>
        <v/>
      </c>
      <c r="Q98" t="str">
        <f>IF($A98="","",SUMIFS(Allocation!$I$1:$I$175,Allocation!$C$1:$C$175,$A98,Allocation!$E$1:$E$175,$C98))</f>
        <v/>
      </c>
      <c r="R98" t="str">
        <f>IF($A98="","",SUMIFS(Allocation!$J$1:$J$175,Allocation!$C$1:$C$175,$A98,Allocation!$E$1:$E$175,$C98))</f>
        <v/>
      </c>
      <c r="S98" t="str">
        <f>IF($A98="","",SUMIFS(Allocation!$K$1:$K$175,Allocation!$C$1:$C$175,$A98,Allocation!$E$1:$E$175,$C98))</f>
        <v/>
      </c>
      <c r="T98" t="str">
        <f>IF($A98="","",SUMIFS(Allocation!$I$1:$I$175,Allocation!$C$1:$C$175,$A98))</f>
        <v/>
      </c>
      <c r="U98" t="str">
        <f>IF($A98="","",SUMIFS(Allocation!$J$1:$J$175,Allocation!$C$1:$C$175,$A98))</f>
        <v/>
      </c>
      <c r="V98" t="str">
        <f>IF($A98="","",SUMIFS(Allocation!$K$1:$K$175,Allocation!$C$1:$C$175,$A98))</f>
        <v/>
      </c>
      <c r="W98" t="str">
        <f>IF($A98="","",SUMIFS(Compta!$F$1:$F$675,Compta!$A$1:$A$675,$B98,Compta!$B$1:$B$675,"621",Compta!$C$1:$C$675,$A98))</f>
        <v/>
      </c>
      <c r="X98" t="str">
        <f>IF($A98="","",SUMIFS(Compta!$F$1:$F$675,Compta!$A$1:$A$675,$B98,Compta!$B$1:$B$675,"6411",Compta!$C$1:$C$675,$A98))</f>
        <v/>
      </c>
      <c r="Y98" t="str">
        <f>IF($A98="","",SUMIFS(Compta!$F$1:$F$675,Compta!$A$1:$A$675,$B98,Compta!$B$1:$B$675,"604",Compta!$C$1:$C$675,$A98)+SUMIFS(Compta!$F$1:$F$675,Compta!$A$1:$A$675,$B98,Compta!$B$1:$B$675,"6063",Compta!$C$1:$C$675,$A98))</f>
        <v/>
      </c>
      <c r="Z98" t="str">
        <f>IF($A98="","",SUMIFS(Compta!$F$1:$F$675,Compta!$A$1:$A$675,$B98,Compta!$B$1:$B$675,"6231",Compta!$C$1:$C$675,$A98))</f>
        <v/>
      </c>
      <c r="AA98" t="str">
        <f>IF($A98="","",SUMIFS(Compta!$F$1:$F$675,Compta!$A$1:$A$675,$B98,Compta!$B$1:$B$675,"6413",Compta!$C$1:$C$675,$A98)+SUMIFS(Compta!$F$1:$F$675,Compta!$A$1:$A$675,$B98,Compta!$B$1:$B$675,"645",Compta!$C$1:$C$675,$A98)+SUMIFS(Compta!$F$1:$F$675,Compta!$A$1:$A$675,$B98,Compta!$B$1:$B$675,"613",Compta!$C$1:$C$675,$A98)+SUMIFS(Compta!$F$1:$F$675,Compta!$A$1:$A$675,$B98,Compta!$B$1:$B$675,"615",Compta!$C$1:$C$675,$A98)+SUMIFS(Compta!$F$1:$F$675,Compta!$A$1:$A$675,$B98,Compta!$B$1:$B$675,"616",Compta!$C$1:$C$675,$A98)+SUMIFS(Compta!$F$1:$F$675,Compta!$A$1:$A$675,$B98,Compta!$B$1:$B$675,"625",Compta!$C$1:$C$675,$A98)+SUMIFS(Compta!$F$1:$F$675,Compta!$A$1:$A$675,$B98,Compta!$B$1:$B$675,"63511",Compta!$C$1:$C$675,$A98))</f>
        <v/>
      </c>
      <c r="AB98" t="str">
        <f>IF($A98="","",SUMIFS(Compta!$F$1:$F$675,Compta!$A$1:$A$675,"GRP",Compta!$B$1:$B$675,"6414",Compta!$C$1:$C$675,$A98)+SUMIFS(Compta!$F$1:$F$675,Compta!$A$1:$A$675,"GRP",Compta!$B$1:$B$675,"6226",Compta!$C$1:$C$675,$A98)+SUMIFS(Compta!$F$1:$F$675,Compta!$A$1:$A$675,"GRP",Compta!$B$1:$B$675,"626",Compta!$C$1:$C$675,$A98)+SUMIFS(Compta!$F$1:$F$675,Compta!$A$1:$A$675,"GRP",Compta!$B$1:$B$675,"6281",Compta!$C$1:$C$675,$A98)+SUMIFS(Compta!$F$1:$F$675,Compta!$A$1:$A$675,"GRP",Compta!$B$1:$B$675,"6331",Compta!$C$1:$C$675,$A98)+SUMIFS(Compta!$F$1:$F$675,Compta!$A$1:$A$675,"GRP",Compta!$B$1:$B$675,"6333",Compta!$C$1:$C$675,$A98))</f>
        <v/>
      </c>
      <c r="AC98" t="str">
        <f t="shared" si="21"/>
        <v/>
      </c>
      <c r="AD98" t="str">
        <f t="shared" si="22"/>
        <v/>
      </c>
      <c r="AE98" t="str">
        <f t="shared" si="23"/>
        <v/>
      </c>
      <c r="AF98" t="str">
        <f t="shared" si="24"/>
        <v/>
      </c>
      <c r="AG98" t="str">
        <f t="shared" si="25"/>
        <v/>
      </c>
      <c r="AH98" t="str">
        <f t="shared" si="26"/>
        <v/>
      </c>
      <c r="AI98" t="str">
        <f t="shared" si="27"/>
        <v/>
      </c>
      <c r="AJ98" t="str">
        <f t="shared" si="28"/>
        <v/>
      </c>
      <c r="AK98" t="str">
        <f t="shared" si="29"/>
        <v/>
      </c>
      <c r="AL98" t="str">
        <f t="shared" si="30"/>
        <v/>
      </c>
      <c r="AM98" t="str">
        <f t="shared" si="31"/>
        <v/>
      </c>
      <c r="AN98" t="str">
        <f t="shared" si="32"/>
        <v/>
      </c>
      <c r="AO98" t="str">
        <f>IF($A98="","",SUMIFS(Compta!$F$1:$F$675,Compta!$A$1:$A$675,"GRP",Compta!$B$1:$B$675,"6236",Compta!$C$1:$C$675,$A98))</f>
        <v/>
      </c>
      <c r="AP98" t="str">
        <f t="shared" si="33"/>
        <v/>
      </c>
      <c r="AQ98" t="str">
        <f t="shared" si="34"/>
        <v/>
      </c>
      <c r="AR98" t="str">
        <f t="shared" si="35"/>
        <v/>
      </c>
    </row>
    <row r="99" spans="1:44" x14ac:dyDescent="0.45">
      <c r="A99" t="str">
        <f>IF(Allocation!C99="","",Allocation!C99)</f>
        <v/>
      </c>
      <c r="B99" t="str">
        <f>IF(Allocation!D99="","",Allocation!D99)</f>
        <v/>
      </c>
      <c r="C99" t="str">
        <f>IF(Allocation!E99="","",Allocation!E99)</f>
        <v/>
      </c>
      <c r="D99" t="str">
        <f>IF(Allocation!F99="","",Allocation!F99)</f>
        <v/>
      </c>
      <c r="E99" t="str">
        <f>IF(Allocation!G99="","",Allocation!G99)</f>
        <v/>
      </c>
      <c r="F99" t="str">
        <f>IF(Allocation!H99="","",Allocation!H99)</f>
        <v/>
      </c>
      <c r="G99" t="str">
        <f>IF(Allocation!D99="","",Allocation!I99)</f>
        <v/>
      </c>
      <c r="H99" t="str">
        <f>IF(Allocation!D99="","",Allocation!J99)</f>
        <v/>
      </c>
      <c r="I99" t="str">
        <f>IF(Allocation!D99="","",Allocation!K99)</f>
        <v/>
      </c>
      <c r="J99" t="str">
        <f>IF($A99="","",SUMIFS(Socle!$K$1:$K$1000,Socle!$C$1:$C$1000,$B99,Socle!$D$1:$D$1000,$D99,Socle!$E$1:$E$1000,$E99,Socle!$F$1:$F$1000,$F99,Socle!$G$1:$G$1000,$A99))</f>
        <v/>
      </c>
      <c r="K99" t="str">
        <f t="shared" si="18"/>
        <v/>
      </c>
      <c r="L99" t="str">
        <f>IF($A99="","",SUMIFS(Allocation!$I$1:$I$175,Allocation!$C$1:$C$175,$A99,Allocation!$D$1:$D$175,$B99))</f>
        <v/>
      </c>
      <c r="M99" t="str">
        <f>IF($A99="","",SUMIFS(Allocation!$J$1:$J$175,Allocation!$C$1:$C$175,$A99,Allocation!$D$1:$D$175,$B99))</f>
        <v/>
      </c>
      <c r="N99" t="str">
        <f>IF($A99="","",SUMIFS(Allocation!$K$1:$K$175,Allocation!$C$1:$C$175,$A99,Allocation!$D$1:$D$175,$B99))</f>
        <v/>
      </c>
      <c r="O99" t="str">
        <f t="shared" si="19"/>
        <v/>
      </c>
      <c r="P99" t="str">
        <f t="shared" si="20"/>
        <v/>
      </c>
      <c r="Q99" t="str">
        <f>IF($A99="","",SUMIFS(Allocation!$I$1:$I$175,Allocation!$C$1:$C$175,$A99,Allocation!$E$1:$E$175,$C99))</f>
        <v/>
      </c>
      <c r="R99" t="str">
        <f>IF($A99="","",SUMIFS(Allocation!$J$1:$J$175,Allocation!$C$1:$C$175,$A99,Allocation!$E$1:$E$175,$C99))</f>
        <v/>
      </c>
      <c r="S99" t="str">
        <f>IF($A99="","",SUMIFS(Allocation!$K$1:$K$175,Allocation!$C$1:$C$175,$A99,Allocation!$E$1:$E$175,$C99))</f>
        <v/>
      </c>
      <c r="T99" t="str">
        <f>IF($A99="","",SUMIFS(Allocation!$I$1:$I$175,Allocation!$C$1:$C$175,$A99))</f>
        <v/>
      </c>
      <c r="U99" t="str">
        <f>IF($A99="","",SUMIFS(Allocation!$J$1:$J$175,Allocation!$C$1:$C$175,$A99))</f>
        <v/>
      </c>
      <c r="V99" t="str">
        <f>IF($A99="","",SUMIFS(Allocation!$K$1:$K$175,Allocation!$C$1:$C$175,$A99))</f>
        <v/>
      </c>
      <c r="W99" t="str">
        <f>IF($A99="","",SUMIFS(Compta!$F$1:$F$675,Compta!$A$1:$A$675,$B99,Compta!$B$1:$B$675,"621",Compta!$C$1:$C$675,$A99))</f>
        <v/>
      </c>
      <c r="X99" t="str">
        <f>IF($A99="","",SUMIFS(Compta!$F$1:$F$675,Compta!$A$1:$A$675,$B99,Compta!$B$1:$B$675,"6411",Compta!$C$1:$C$675,$A99))</f>
        <v/>
      </c>
      <c r="Y99" t="str">
        <f>IF($A99="","",SUMIFS(Compta!$F$1:$F$675,Compta!$A$1:$A$675,$B99,Compta!$B$1:$B$675,"604",Compta!$C$1:$C$675,$A99)+SUMIFS(Compta!$F$1:$F$675,Compta!$A$1:$A$675,$B99,Compta!$B$1:$B$675,"6063",Compta!$C$1:$C$675,$A99))</f>
        <v/>
      </c>
      <c r="Z99" t="str">
        <f>IF($A99="","",SUMIFS(Compta!$F$1:$F$675,Compta!$A$1:$A$675,$B99,Compta!$B$1:$B$675,"6231",Compta!$C$1:$C$675,$A99))</f>
        <v/>
      </c>
      <c r="AA99" t="str">
        <f>IF($A99="","",SUMIFS(Compta!$F$1:$F$675,Compta!$A$1:$A$675,$B99,Compta!$B$1:$B$675,"6413",Compta!$C$1:$C$675,$A99)+SUMIFS(Compta!$F$1:$F$675,Compta!$A$1:$A$675,$B99,Compta!$B$1:$B$675,"645",Compta!$C$1:$C$675,$A99)+SUMIFS(Compta!$F$1:$F$675,Compta!$A$1:$A$675,$B99,Compta!$B$1:$B$675,"613",Compta!$C$1:$C$675,$A99)+SUMIFS(Compta!$F$1:$F$675,Compta!$A$1:$A$675,$B99,Compta!$B$1:$B$675,"615",Compta!$C$1:$C$675,$A99)+SUMIFS(Compta!$F$1:$F$675,Compta!$A$1:$A$675,$B99,Compta!$B$1:$B$675,"616",Compta!$C$1:$C$675,$A99)+SUMIFS(Compta!$F$1:$F$675,Compta!$A$1:$A$675,$B99,Compta!$B$1:$B$675,"625",Compta!$C$1:$C$675,$A99)+SUMIFS(Compta!$F$1:$F$675,Compta!$A$1:$A$675,$B99,Compta!$B$1:$B$675,"63511",Compta!$C$1:$C$675,$A99))</f>
        <v/>
      </c>
      <c r="AB99" t="str">
        <f>IF($A99="","",SUMIFS(Compta!$F$1:$F$675,Compta!$A$1:$A$675,"GRP",Compta!$B$1:$B$675,"6414",Compta!$C$1:$C$675,$A99)+SUMIFS(Compta!$F$1:$F$675,Compta!$A$1:$A$675,"GRP",Compta!$B$1:$B$675,"6226",Compta!$C$1:$C$675,$A99)+SUMIFS(Compta!$F$1:$F$675,Compta!$A$1:$A$675,"GRP",Compta!$B$1:$B$675,"626",Compta!$C$1:$C$675,$A99)+SUMIFS(Compta!$F$1:$F$675,Compta!$A$1:$A$675,"GRP",Compta!$B$1:$B$675,"6281",Compta!$C$1:$C$675,$A99)+SUMIFS(Compta!$F$1:$F$675,Compta!$A$1:$A$675,"GRP",Compta!$B$1:$B$675,"6331",Compta!$C$1:$C$675,$A99)+SUMIFS(Compta!$F$1:$F$675,Compta!$A$1:$A$675,"GRP",Compta!$B$1:$B$675,"6333",Compta!$C$1:$C$675,$A99))</f>
        <v/>
      </c>
      <c r="AC99" t="str">
        <f t="shared" si="21"/>
        <v/>
      </c>
      <c r="AD99" t="str">
        <f t="shared" si="22"/>
        <v/>
      </c>
      <c r="AE99" t="str">
        <f t="shared" si="23"/>
        <v/>
      </c>
      <c r="AF99" t="str">
        <f t="shared" si="24"/>
        <v/>
      </c>
      <c r="AG99" t="str">
        <f t="shared" si="25"/>
        <v/>
      </c>
      <c r="AH99" t="str">
        <f t="shared" si="26"/>
        <v/>
      </c>
      <c r="AI99" t="str">
        <f t="shared" si="27"/>
        <v/>
      </c>
      <c r="AJ99" t="str">
        <f t="shared" si="28"/>
        <v/>
      </c>
      <c r="AK99" t="str">
        <f t="shared" si="29"/>
        <v/>
      </c>
      <c r="AL99" t="str">
        <f t="shared" si="30"/>
        <v/>
      </c>
      <c r="AM99" t="str">
        <f t="shared" si="31"/>
        <v/>
      </c>
      <c r="AN99" t="str">
        <f t="shared" si="32"/>
        <v/>
      </c>
      <c r="AO99" t="str">
        <f>IF($A99="","",SUMIFS(Compta!$F$1:$F$675,Compta!$A$1:$A$675,"GRP",Compta!$B$1:$B$675,"6236",Compta!$C$1:$C$675,$A99))</f>
        <v/>
      </c>
      <c r="AP99" t="str">
        <f t="shared" si="33"/>
        <v/>
      </c>
      <c r="AQ99" t="str">
        <f t="shared" si="34"/>
        <v/>
      </c>
      <c r="AR99" t="str">
        <f t="shared" si="35"/>
        <v/>
      </c>
    </row>
    <row r="100" spans="1:44" x14ac:dyDescent="0.45">
      <c r="A100" t="str">
        <f>IF(Allocation!C100="","",Allocation!C100)</f>
        <v/>
      </c>
      <c r="B100" t="str">
        <f>IF(Allocation!D100="","",Allocation!D100)</f>
        <v/>
      </c>
      <c r="C100" t="str">
        <f>IF(Allocation!E100="","",Allocation!E100)</f>
        <v/>
      </c>
      <c r="D100" t="str">
        <f>IF(Allocation!F100="","",Allocation!F100)</f>
        <v/>
      </c>
      <c r="E100" t="str">
        <f>IF(Allocation!G100="","",Allocation!G100)</f>
        <v/>
      </c>
      <c r="F100" t="str">
        <f>IF(Allocation!H100="","",Allocation!H100)</f>
        <v/>
      </c>
      <c r="G100" t="str">
        <f>IF(Allocation!D100="","",Allocation!I100)</f>
        <v/>
      </c>
      <c r="H100" t="str">
        <f>IF(Allocation!D100="","",Allocation!J100)</f>
        <v/>
      </c>
      <c r="I100" t="str">
        <f>IF(Allocation!D100="","",Allocation!K100)</f>
        <v/>
      </c>
      <c r="J100" t="str">
        <f>IF($A100="","",SUMIFS(Socle!$K$1:$K$1000,Socle!$C$1:$C$1000,$B100,Socle!$D$1:$D$1000,$D100,Socle!$E$1:$E$1000,$E100,Socle!$F$1:$F$1000,$F100,Socle!$G$1:$G$1000,$A100))</f>
        <v/>
      </c>
      <c r="K100" t="str">
        <f t="shared" si="18"/>
        <v/>
      </c>
      <c r="L100" t="str">
        <f>IF($A100="","",SUMIFS(Allocation!$I$1:$I$175,Allocation!$C$1:$C$175,$A100,Allocation!$D$1:$D$175,$B100))</f>
        <v/>
      </c>
      <c r="M100" t="str">
        <f>IF($A100="","",SUMIFS(Allocation!$J$1:$J$175,Allocation!$C$1:$C$175,$A100,Allocation!$D$1:$D$175,$B100))</f>
        <v/>
      </c>
      <c r="N100" t="str">
        <f>IF($A100="","",SUMIFS(Allocation!$K$1:$K$175,Allocation!$C$1:$C$175,$A100,Allocation!$D$1:$D$175,$B100))</f>
        <v/>
      </c>
      <c r="O100" t="str">
        <f t="shared" si="19"/>
        <v/>
      </c>
      <c r="P100" t="str">
        <f t="shared" si="20"/>
        <v/>
      </c>
      <c r="Q100" t="str">
        <f>IF($A100="","",SUMIFS(Allocation!$I$1:$I$175,Allocation!$C$1:$C$175,$A100,Allocation!$E$1:$E$175,$C100))</f>
        <v/>
      </c>
      <c r="R100" t="str">
        <f>IF($A100="","",SUMIFS(Allocation!$J$1:$J$175,Allocation!$C$1:$C$175,$A100,Allocation!$E$1:$E$175,$C100))</f>
        <v/>
      </c>
      <c r="S100" t="str">
        <f>IF($A100="","",SUMIFS(Allocation!$K$1:$K$175,Allocation!$C$1:$C$175,$A100,Allocation!$E$1:$E$175,$C100))</f>
        <v/>
      </c>
      <c r="T100" t="str">
        <f>IF($A100="","",SUMIFS(Allocation!$I$1:$I$175,Allocation!$C$1:$C$175,$A100))</f>
        <v/>
      </c>
      <c r="U100" t="str">
        <f>IF($A100="","",SUMIFS(Allocation!$J$1:$J$175,Allocation!$C$1:$C$175,$A100))</f>
        <v/>
      </c>
      <c r="V100" t="str">
        <f>IF($A100="","",SUMIFS(Allocation!$K$1:$K$175,Allocation!$C$1:$C$175,$A100))</f>
        <v/>
      </c>
      <c r="W100" t="str">
        <f>IF($A100="","",SUMIFS(Compta!$F$1:$F$675,Compta!$A$1:$A$675,$B100,Compta!$B$1:$B$675,"621",Compta!$C$1:$C$675,$A100))</f>
        <v/>
      </c>
      <c r="X100" t="str">
        <f>IF($A100="","",SUMIFS(Compta!$F$1:$F$675,Compta!$A$1:$A$675,$B100,Compta!$B$1:$B$675,"6411",Compta!$C$1:$C$675,$A100))</f>
        <v/>
      </c>
      <c r="Y100" t="str">
        <f>IF($A100="","",SUMIFS(Compta!$F$1:$F$675,Compta!$A$1:$A$675,$B100,Compta!$B$1:$B$675,"604",Compta!$C$1:$C$675,$A100)+SUMIFS(Compta!$F$1:$F$675,Compta!$A$1:$A$675,$B100,Compta!$B$1:$B$675,"6063",Compta!$C$1:$C$675,$A100))</f>
        <v/>
      </c>
      <c r="Z100" t="str">
        <f>IF($A100="","",SUMIFS(Compta!$F$1:$F$675,Compta!$A$1:$A$675,$B100,Compta!$B$1:$B$675,"6231",Compta!$C$1:$C$675,$A100))</f>
        <v/>
      </c>
      <c r="AA100" t="str">
        <f>IF($A100="","",SUMIFS(Compta!$F$1:$F$675,Compta!$A$1:$A$675,$B100,Compta!$B$1:$B$675,"6413",Compta!$C$1:$C$675,$A100)+SUMIFS(Compta!$F$1:$F$675,Compta!$A$1:$A$675,$B100,Compta!$B$1:$B$675,"645",Compta!$C$1:$C$675,$A100)+SUMIFS(Compta!$F$1:$F$675,Compta!$A$1:$A$675,$B100,Compta!$B$1:$B$675,"613",Compta!$C$1:$C$675,$A100)+SUMIFS(Compta!$F$1:$F$675,Compta!$A$1:$A$675,$B100,Compta!$B$1:$B$675,"615",Compta!$C$1:$C$675,$A100)+SUMIFS(Compta!$F$1:$F$675,Compta!$A$1:$A$675,$B100,Compta!$B$1:$B$675,"616",Compta!$C$1:$C$675,$A100)+SUMIFS(Compta!$F$1:$F$675,Compta!$A$1:$A$675,$B100,Compta!$B$1:$B$675,"625",Compta!$C$1:$C$675,$A100)+SUMIFS(Compta!$F$1:$F$675,Compta!$A$1:$A$675,$B100,Compta!$B$1:$B$675,"63511",Compta!$C$1:$C$675,$A100))</f>
        <v/>
      </c>
      <c r="AB100" t="str">
        <f>IF($A100="","",SUMIFS(Compta!$F$1:$F$675,Compta!$A$1:$A$675,"GRP",Compta!$B$1:$B$675,"6414",Compta!$C$1:$C$675,$A100)+SUMIFS(Compta!$F$1:$F$675,Compta!$A$1:$A$675,"GRP",Compta!$B$1:$B$675,"6226",Compta!$C$1:$C$675,$A100)+SUMIFS(Compta!$F$1:$F$675,Compta!$A$1:$A$675,"GRP",Compta!$B$1:$B$675,"626",Compta!$C$1:$C$675,$A100)+SUMIFS(Compta!$F$1:$F$675,Compta!$A$1:$A$675,"GRP",Compta!$B$1:$B$675,"6281",Compta!$C$1:$C$675,$A100)+SUMIFS(Compta!$F$1:$F$675,Compta!$A$1:$A$675,"GRP",Compta!$B$1:$B$675,"6331",Compta!$C$1:$C$675,$A100)+SUMIFS(Compta!$F$1:$F$675,Compta!$A$1:$A$675,"GRP",Compta!$B$1:$B$675,"6333",Compta!$C$1:$C$675,$A100))</f>
        <v/>
      </c>
      <c r="AC100" t="str">
        <f t="shared" si="21"/>
        <v/>
      </c>
      <c r="AD100" t="str">
        <f t="shared" si="22"/>
        <v/>
      </c>
      <c r="AE100" t="str">
        <f t="shared" si="23"/>
        <v/>
      </c>
      <c r="AF100" t="str">
        <f t="shared" si="24"/>
        <v/>
      </c>
      <c r="AG100" t="str">
        <f t="shared" si="25"/>
        <v/>
      </c>
      <c r="AH100" t="str">
        <f t="shared" si="26"/>
        <v/>
      </c>
      <c r="AI100" t="str">
        <f t="shared" si="27"/>
        <v/>
      </c>
      <c r="AJ100" t="str">
        <f t="shared" si="28"/>
        <v/>
      </c>
      <c r="AK100" t="str">
        <f t="shared" si="29"/>
        <v/>
      </c>
      <c r="AL100" t="str">
        <f t="shared" si="30"/>
        <v/>
      </c>
      <c r="AM100" t="str">
        <f t="shared" si="31"/>
        <v/>
      </c>
      <c r="AN100" t="str">
        <f t="shared" si="32"/>
        <v/>
      </c>
      <c r="AO100" t="str">
        <f>IF($A100="","",SUMIFS(Compta!$F$1:$F$675,Compta!$A$1:$A$675,"GRP",Compta!$B$1:$B$675,"6236",Compta!$C$1:$C$675,$A100))</f>
        <v/>
      </c>
      <c r="AP100" t="str">
        <f t="shared" si="33"/>
        <v/>
      </c>
      <c r="AQ100" t="str">
        <f t="shared" si="34"/>
        <v/>
      </c>
      <c r="AR100" t="str">
        <f t="shared" si="35"/>
        <v/>
      </c>
    </row>
    <row r="101" spans="1:44" x14ac:dyDescent="0.45">
      <c r="A101" t="str">
        <f>IF(Allocation!C101="","",Allocation!C101)</f>
        <v/>
      </c>
      <c r="B101" t="str">
        <f>IF(Allocation!D101="","",Allocation!D101)</f>
        <v/>
      </c>
      <c r="C101" t="str">
        <f>IF(Allocation!E101="","",Allocation!E101)</f>
        <v/>
      </c>
      <c r="D101" t="str">
        <f>IF(Allocation!F101="","",Allocation!F101)</f>
        <v/>
      </c>
      <c r="E101" t="str">
        <f>IF(Allocation!G101="","",Allocation!G101)</f>
        <v/>
      </c>
      <c r="F101" t="str">
        <f>IF(Allocation!H101="","",Allocation!H101)</f>
        <v/>
      </c>
      <c r="G101" t="str">
        <f>IF(Allocation!D101="","",Allocation!I101)</f>
        <v/>
      </c>
      <c r="H101" t="str">
        <f>IF(Allocation!D101="","",Allocation!J101)</f>
        <v/>
      </c>
      <c r="I101" t="str">
        <f>IF(Allocation!D101="","",Allocation!K101)</f>
        <v/>
      </c>
      <c r="J101" t="str">
        <f>IF($A101="","",SUMIFS(Socle!$K$1:$K$1000,Socle!$C$1:$C$1000,$B101,Socle!$D$1:$D$1000,$D101,Socle!$E$1:$E$1000,$E101,Socle!$F$1:$F$1000,$F101,Socle!$G$1:$G$1000,$A101))</f>
        <v/>
      </c>
      <c r="K101" t="str">
        <f t="shared" si="18"/>
        <v/>
      </c>
      <c r="L101" t="str">
        <f>IF($A101="","",SUMIFS(Allocation!$I$1:$I$175,Allocation!$C$1:$C$175,$A101,Allocation!$D$1:$D$175,$B101))</f>
        <v/>
      </c>
      <c r="M101" t="str">
        <f>IF($A101="","",SUMIFS(Allocation!$J$1:$J$175,Allocation!$C$1:$C$175,$A101,Allocation!$D$1:$D$175,$B101))</f>
        <v/>
      </c>
      <c r="N101" t="str">
        <f>IF($A101="","",SUMIFS(Allocation!$K$1:$K$175,Allocation!$C$1:$C$175,$A101,Allocation!$D$1:$D$175,$B101))</f>
        <v/>
      </c>
      <c r="O101" t="str">
        <f t="shared" si="19"/>
        <v/>
      </c>
      <c r="P101" t="str">
        <f t="shared" si="20"/>
        <v/>
      </c>
      <c r="Q101" t="str">
        <f>IF($A101="","",SUMIFS(Allocation!$I$1:$I$175,Allocation!$C$1:$C$175,$A101,Allocation!$E$1:$E$175,$C101))</f>
        <v/>
      </c>
      <c r="R101" t="str">
        <f>IF($A101="","",SUMIFS(Allocation!$J$1:$J$175,Allocation!$C$1:$C$175,$A101,Allocation!$E$1:$E$175,$C101))</f>
        <v/>
      </c>
      <c r="S101" t="str">
        <f>IF($A101="","",SUMIFS(Allocation!$K$1:$K$175,Allocation!$C$1:$C$175,$A101,Allocation!$E$1:$E$175,$C101))</f>
        <v/>
      </c>
      <c r="T101" t="str">
        <f>IF($A101="","",SUMIFS(Allocation!$I$1:$I$175,Allocation!$C$1:$C$175,$A101))</f>
        <v/>
      </c>
      <c r="U101" t="str">
        <f>IF($A101="","",SUMIFS(Allocation!$J$1:$J$175,Allocation!$C$1:$C$175,$A101))</f>
        <v/>
      </c>
      <c r="V101" t="str">
        <f>IF($A101="","",SUMIFS(Allocation!$K$1:$K$175,Allocation!$C$1:$C$175,$A101))</f>
        <v/>
      </c>
      <c r="W101" t="str">
        <f>IF($A101="","",SUMIFS(Compta!$F$1:$F$675,Compta!$A$1:$A$675,$B101,Compta!$B$1:$B$675,"621",Compta!$C$1:$C$675,$A101))</f>
        <v/>
      </c>
      <c r="X101" t="str">
        <f>IF($A101="","",SUMIFS(Compta!$F$1:$F$675,Compta!$A$1:$A$675,$B101,Compta!$B$1:$B$675,"6411",Compta!$C$1:$C$675,$A101))</f>
        <v/>
      </c>
      <c r="Y101" t="str">
        <f>IF($A101="","",SUMIFS(Compta!$F$1:$F$675,Compta!$A$1:$A$675,$B101,Compta!$B$1:$B$675,"604",Compta!$C$1:$C$675,$A101)+SUMIFS(Compta!$F$1:$F$675,Compta!$A$1:$A$675,$B101,Compta!$B$1:$B$675,"6063",Compta!$C$1:$C$675,$A101))</f>
        <v/>
      </c>
      <c r="Z101" t="str">
        <f>IF($A101="","",SUMIFS(Compta!$F$1:$F$675,Compta!$A$1:$A$675,$B101,Compta!$B$1:$B$675,"6231",Compta!$C$1:$C$675,$A101))</f>
        <v/>
      </c>
      <c r="AA101" t="str">
        <f>IF($A101="","",SUMIFS(Compta!$F$1:$F$675,Compta!$A$1:$A$675,$B101,Compta!$B$1:$B$675,"6413",Compta!$C$1:$C$675,$A101)+SUMIFS(Compta!$F$1:$F$675,Compta!$A$1:$A$675,$B101,Compta!$B$1:$B$675,"645",Compta!$C$1:$C$675,$A101)+SUMIFS(Compta!$F$1:$F$675,Compta!$A$1:$A$675,$B101,Compta!$B$1:$B$675,"613",Compta!$C$1:$C$675,$A101)+SUMIFS(Compta!$F$1:$F$675,Compta!$A$1:$A$675,$B101,Compta!$B$1:$B$675,"615",Compta!$C$1:$C$675,$A101)+SUMIFS(Compta!$F$1:$F$675,Compta!$A$1:$A$675,$B101,Compta!$B$1:$B$675,"616",Compta!$C$1:$C$675,$A101)+SUMIFS(Compta!$F$1:$F$675,Compta!$A$1:$A$675,$B101,Compta!$B$1:$B$675,"625",Compta!$C$1:$C$675,$A101)+SUMIFS(Compta!$F$1:$F$675,Compta!$A$1:$A$675,$B101,Compta!$B$1:$B$675,"63511",Compta!$C$1:$C$675,$A101))</f>
        <v/>
      </c>
      <c r="AB101" t="str">
        <f>IF($A101="","",SUMIFS(Compta!$F$1:$F$675,Compta!$A$1:$A$675,"GRP",Compta!$B$1:$B$675,"6414",Compta!$C$1:$C$675,$A101)+SUMIFS(Compta!$F$1:$F$675,Compta!$A$1:$A$675,"GRP",Compta!$B$1:$B$675,"6226",Compta!$C$1:$C$675,$A101)+SUMIFS(Compta!$F$1:$F$675,Compta!$A$1:$A$675,"GRP",Compta!$B$1:$B$675,"626",Compta!$C$1:$C$675,$A101)+SUMIFS(Compta!$F$1:$F$675,Compta!$A$1:$A$675,"GRP",Compta!$B$1:$B$675,"6281",Compta!$C$1:$C$675,$A101)+SUMIFS(Compta!$F$1:$F$675,Compta!$A$1:$A$675,"GRP",Compta!$B$1:$B$675,"6331",Compta!$C$1:$C$675,$A101)+SUMIFS(Compta!$F$1:$F$675,Compta!$A$1:$A$675,"GRP",Compta!$B$1:$B$675,"6333",Compta!$C$1:$C$675,$A101))</f>
        <v/>
      </c>
      <c r="AC101" t="str">
        <f t="shared" si="21"/>
        <v/>
      </c>
      <c r="AD101" t="str">
        <f t="shared" si="22"/>
        <v/>
      </c>
      <c r="AE101" t="str">
        <f t="shared" si="23"/>
        <v/>
      </c>
      <c r="AF101" t="str">
        <f t="shared" si="24"/>
        <v/>
      </c>
      <c r="AG101" t="str">
        <f t="shared" si="25"/>
        <v/>
      </c>
      <c r="AH101" t="str">
        <f t="shared" si="26"/>
        <v/>
      </c>
      <c r="AI101" t="str">
        <f t="shared" si="27"/>
        <v/>
      </c>
      <c r="AJ101" t="str">
        <f t="shared" si="28"/>
        <v/>
      </c>
      <c r="AK101" t="str">
        <f t="shared" si="29"/>
        <v/>
      </c>
      <c r="AL101" t="str">
        <f t="shared" si="30"/>
        <v/>
      </c>
      <c r="AM101" t="str">
        <f t="shared" si="31"/>
        <v/>
      </c>
      <c r="AN101" t="str">
        <f t="shared" si="32"/>
        <v/>
      </c>
      <c r="AO101" t="str">
        <f>IF($A101="","",SUMIFS(Compta!$F$1:$F$675,Compta!$A$1:$A$675,"GRP",Compta!$B$1:$B$675,"6236",Compta!$C$1:$C$675,$A101))</f>
        <v/>
      </c>
      <c r="AP101" t="str">
        <f t="shared" si="33"/>
        <v/>
      </c>
      <c r="AQ101" t="str">
        <f t="shared" si="34"/>
        <v/>
      </c>
      <c r="AR101" t="str">
        <f t="shared" si="35"/>
        <v/>
      </c>
    </row>
    <row r="102" spans="1:44" x14ac:dyDescent="0.45">
      <c r="A102" t="str">
        <f>IF(Allocation!C102="","",Allocation!C102)</f>
        <v/>
      </c>
      <c r="B102" t="str">
        <f>IF(Allocation!D102="","",Allocation!D102)</f>
        <v/>
      </c>
      <c r="C102" t="str">
        <f>IF(Allocation!E102="","",Allocation!E102)</f>
        <v/>
      </c>
      <c r="D102" t="str">
        <f>IF(Allocation!F102="","",Allocation!F102)</f>
        <v/>
      </c>
      <c r="E102" t="str">
        <f>IF(Allocation!G102="","",Allocation!G102)</f>
        <v/>
      </c>
      <c r="F102" t="str">
        <f>IF(Allocation!H102="","",Allocation!H102)</f>
        <v/>
      </c>
      <c r="G102" t="str">
        <f>IF(Allocation!D102="","",Allocation!I102)</f>
        <v/>
      </c>
      <c r="H102" t="str">
        <f>IF(Allocation!D102="","",Allocation!J102)</f>
        <v/>
      </c>
      <c r="I102" t="str">
        <f>IF(Allocation!D102="","",Allocation!K102)</f>
        <v/>
      </c>
      <c r="J102" t="str">
        <f>IF($A102="","",SUMIFS(Socle!$K$1:$K$1000,Socle!$C$1:$C$1000,$B102,Socle!$D$1:$D$1000,$D102,Socle!$E$1:$E$1000,$E102,Socle!$F$1:$F$1000,$F102,Socle!$G$1:$G$1000,$A102))</f>
        <v/>
      </c>
      <c r="K102" t="str">
        <f t="shared" si="18"/>
        <v/>
      </c>
      <c r="L102" t="str">
        <f>IF($A102="","",SUMIFS(Allocation!$I$1:$I$175,Allocation!$C$1:$C$175,$A102,Allocation!$D$1:$D$175,$B102))</f>
        <v/>
      </c>
      <c r="M102" t="str">
        <f>IF($A102="","",SUMIFS(Allocation!$J$1:$J$175,Allocation!$C$1:$C$175,$A102,Allocation!$D$1:$D$175,$B102))</f>
        <v/>
      </c>
      <c r="N102" t="str">
        <f>IF($A102="","",SUMIFS(Allocation!$K$1:$K$175,Allocation!$C$1:$C$175,$A102,Allocation!$D$1:$D$175,$B102))</f>
        <v/>
      </c>
      <c r="O102" t="str">
        <f t="shared" si="19"/>
        <v/>
      </c>
      <c r="P102" t="str">
        <f t="shared" si="20"/>
        <v/>
      </c>
      <c r="Q102" t="str">
        <f>IF($A102="","",SUMIFS(Allocation!$I$1:$I$175,Allocation!$C$1:$C$175,$A102,Allocation!$E$1:$E$175,$C102))</f>
        <v/>
      </c>
      <c r="R102" t="str">
        <f>IF($A102="","",SUMIFS(Allocation!$J$1:$J$175,Allocation!$C$1:$C$175,$A102,Allocation!$E$1:$E$175,$C102))</f>
        <v/>
      </c>
      <c r="S102" t="str">
        <f>IF($A102="","",SUMIFS(Allocation!$K$1:$K$175,Allocation!$C$1:$C$175,$A102,Allocation!$E$1:$E$175,$C102))</f>
        <v/>
      </c>
      <c r="T102" t="str">
        <f>IF($A102="","",SUMIFS(Allocation!$I$1:$I$175,Allocation!$C$1:$C$175,$A102))</f>
        <v/>
      </c>
      <c r="U102" t="str">
        <f>IF($A102="","",SUMIFS(Allocation!$J$1:$J$175,Allocation!$C$1:$C$175,$A102))</f>
        <v/>
      </c>
      <c r="V102" t="str">
        <f>IF($A102="","",SUMIFS(Allocation!$K$1:$K$175,Allocation!$C$1:$C$175,$A102))</f>
        <v/>
      </c>
      <c r="W102" t="str">
        <f>IF($A102="","",SUMIFS(Compta!$F$1:$F$675,Compta!$A$1:$A$675,$B102,Compta!$B$1:$B$675,"621",Compta!$C$1:$C$675,$A102))</f>
        <v/>
      </c>
      <c r="X102" t="str">
        <f>IF($A102="","",SUMIFS(Compta!$F$1:$F$675,Compta!$A$1:$A$675,$B102,Compta!$B$1:$B$675,"6411",Compta!$C$1:$C$675,$A102))</f>
        <v/>
      </c>
      <c r="Y102" t="str">
        <f>IF($A102="","",SUMIFS(Compta!$F$1:$F$675,Compta!$A$1:$A$675,$B102,Compta!$B$1:$B$675,"604",Compta!$C$1:$C$675,$A102)+SUMIFS(Compta!$F$1:$F$675,Compta!$A$1:$A$675,$B102,Compta!$B$1:$B$675,"6063",Compta!$C$1:$C$675,$A102))</f>
        <v/>
      </c>
      <c r="Z102" t="str">
        <f>IF($A102="","",SUMIFS(Compta!$F$1:$F$675,Compta!$A$1:$A$675,$B102,Compta!$B$1:$B$675,"6231",Compta!$C$1:$C$675,$A102))</f>
        <v/>
      </c>
      <c r="AA102" t="str">
        <f>IF($A102="","",SUMIFS(Compta!$F$1:$F$675,Compta!$A$1:$A$675,$B102,Compta!$B$1:$B$675,"6413",Compta!$C$1:$C$675,$A102)+SUMIFS(Compta!$F$1:$F$675,Compta!$A$1:$A$675,$B102,Compta!$B$1:$B$675,"645",Compta!$C$1:$C$675,$A102)+SUMIFS(Compta!$F$1:$F$675,Compta!$A$1:$A$675,$B102,Compta!$B$1:$B$675,"613",Compta!$C$1:$C$675,$A102)+SUMIFS(Compta!$F$1:$F$675,Compta!$A$1:$A$675,$B102,Compta!$B$1:$B$675,"615",Compta!$C$1:$C$675,$A102)+SUMIFS(Compta!$F$1:$F$675,Compta!$A$1:$A$675,$B102,Compta!$B$1:$B$675,"616",Compta!$C$1:$C$675,$A102)+SUMIFS(Compta!$F$1:$F$675,Compta!$A$1:$A$675,$B102,Compta!$B$1:$B$675,"625",Compta!$C$1:$C$675,$A102)+SUMIFS(Compta!$F$1:$F$675,Compta!$A$1:$A$675,$B102,Compta!$B$1:$B$675,"63511",Compta!$C$1:$C$675,$A102))</f>
        <v/>
      </c>
      <c r="AB102" t="str">
        <f>IF($A102="","",SUMIFS(Compta!$F$1:$F$675,Compta!$A$1:$A$675,"GRP",Compta!$B$1:$B$675,"6414",Compta!$C$1:$C$675,$A102)+SUMIFS(Compta!$F$1:$F$675,Compta!$A$1:$A$675,"GRP",Compta!$B$1:$B$675,"6226",Compta!$C$1:$C$675,$A102)+SUMIFS(Compta!$F$1:$F$675,Compta!$A$1:$A$675,"GRP",Compta!$B$1:$B$675,"626",Compta!$C$1:$C$675,$A102)+SUMIFS(Compta!$F$1:$F$675,Compta!$A$1:$A$675,"GRP",Compta!$B$1:$B$675,"6281",Compta!$C$1:$C$675,$A102)+SUMIFS(Compta!$F$1:$F$675,Compta!$A$1:$A$675,"GRP",Compta!$B$1:$B$675,"6331",Compta!$C$1:$C$675,$A102)+SUMIFS(Compta!$F$1:$F$675,Compta!$A$1:$A$675,"GRP",Compta!$B$1:$B$675,"6333",Compta!$C$1:$C$675,$A102))</f>
        <v/>
      </c>
      <c r="AC102" t="str">
        <f t="shared" si="21"/>
        <v/>
      </c>
      <c r="AD102" t="str">
        <f t="shared" si="22"/>
        <v/>
      </c>
      <c r="AE102" t="str">
        <f t="shared" si="23"/>
        <v/>
      </c>
      <c r="AF102" t="str">
        <f t="shared" si="24"/>
        <v/>
      </c>
      <c r="AG102" t="str">
        <f t="shared" si="25"/>
        <v/>
      </c>
      <c r="AH102" t="str">
        <f t="shared" si="26"/>
        <v/>
      </c>
      <c r="AI102" t="str">
        <f t="shared" si="27"/>
        <v/>
      </c>
      <c r="AJ102" t="str">
        <f t="shared" si="28"/>
        <v/>
      </c>
      <c r="AK102" t="str">
        <f t="shared" si="29"/>
        <v/>
      </c>
      <c r="AL102" t="str">
        <f t="shared" si="30"/>
        <v/>
      </c>
      <c r="AM102" t="str">
        <f t="shared" si="31"/>
        <v/>
      </c>
      <c r="AN102" t="str">
        <f t="shared" si="32"/>
        <v/>
      </c>
      <c r="AO102" t="str">
        <f>IF($A102="","",SUMIFS(Compta!$F$1:$F$675,Compta!$A$1:$A$675,"GRP",Compta!$B$1:$B$675,"6236",Compta!$C$1:$C$675,$A102))</f>
        <v/>
      </c>
      <c r="AP102" t="str">
        <f t="shared" si="33"/>
        <v/>
      </c>
      <c r="AQ102" t="str">
        <f t="shared" si="34"/>
        <v/>
      </c>
      <c r="AR102" t="str">
        <f t="shared" si="35"/>
        <v/>
      </c>
    </row>
    <row r="103" spans="1:44" x14ac:dyDescent="0.45">
      <c r="A103" t="str">
        <f>IF(Allocation!C103="","",Allocation!C103)</f>
        <v/>
      </c>
      <c r="B103" t="str">
        <f>IF(Allocation!D103="","",Allocation!D103)</f>
        <v/>
      </c>
      <c r="C103" t="str">
        <f>IF(Allocation!E103="","",Allocation!E103)</f>
        <v/>
      </c>
      <c r="D103" t="str">
        <f>IF(Allocation!F103="","",Allocation!F103)</f>
        <v/>
      </c>
      <c r="E103" t="str">
        <f>IF(Allocation!G103="","",Allocation!G103)</f>
        <v/>
      </c>
      <c r="F103" t="str">
        <f>IF(Allocation!H103="","",Allocation!H103)</f>
        <v/>
      </c>
      <c r="G103" t="str">
        <f>IF(Allocation!D103="","",Allocation!I103)</f>
        <v/>
      </c>
      <c r="H103" t="str">
        <f>IF(Allocation!D103="","",Allocation!J103)</f>
        <v/>
      </c>
      <c r="I103" t="str">
        <f>IF(Allocation!D103="","",Allocation!K103)</f>
        <v/>
      </c>
      <c r="J103" t="str">
        <f>IF($A103="","",SUMIFS(Socle!$K$1:$K$1000,Socle!$C$1:$C$1000,$B103,Socle!$D$1:$D$1000,$D103,Socle!$E$1:$E$1000,$E103,Socle!$F$1:$F$1000,$F103,Socle!$G$1:$G$1000,$A103))</f>
        <v/>
      </c>
      <c r="K103" t="str">
        <f t="shared" si="18"/>
        <v/>
      </c>
      <c r="L103" t="str">
        <f>IF($A103="","",SUMIFS(Allocation!$I$1:$I$175,Allocation!$C$1:$C$175,$A103,Allocation!$D$1:$D$175,$B103))</f>
        <v/>
      </c>
      <c r="M103" t="str">
        <f>IF($A103="","",SUMIFS(Allocation!$J$1:$J$175,Allocation!$C$1:$C$175,$A103,Allocation!$D$1:$D$175,$B103))</f>
        <v/>
      </c>
      <c r="N103" t="str">
        <f>IF($A103="","",SUMIFS(Allocation!$K$1:$K$175,Allocation!$C$1:$C$175,$A103,Allocation!$D$1:$D$175,$B103))</f>
        <v/>
      </c>
      <c r="O103" t="str">
        <f t="shared" si="19"/>
        <v/>
      </c>
      <c r="P103" t="str">
        <f t="shared" si="20"/>
        <v/>
      </c>
      <c r="Q103" t="str">
        <f>IF($A103="","",SUMIFS(Allocation!$I$1:$I$175,Allocation!$C$1:$C$175,$A103,Allocation!$E$1:$E$175,$C103))</f>
        <v/>
      </c>
      <c r="R103" t="str">
        <f>IF($A103="","",SUMIFS(Allocation!$J$1:$J$175,Allocation!$C$1:$C$175,$A103,Allocation!$E$1:$E$175,$C103))</f>
        <v/>
      </c>
      <c r="S103" t="str">
        <f>IF($A103="","",SUMIFS(Allocation!$K$1:$K$175,Allocation!$C$1:$C$175,$A103,Allocation!$E$1:$E$175,$C103))</f>
        <v/>
      </c>
      <c r="T103" t="str">
        <f>IF($A103="","",SUMIFS(Allocation!$I$1:$I$175,Allocation!$C$1:$C$175,$A103))</f>
        <v/>
      </c>
      <c r="U103" t="str">
        <f>IF($A103="","",SUMIFS(Allocation!$J$1:$J$175,Allocation!$C$1:$C$175,$A103))</f>
        <v/>
      </c>
      <c r="V103" t="str">
        <f>IF($A103="","",SUMIFS(Allocation!$K$1:$K$175,Allocation!$C$1:$C$175,$A103))</f>
        <v/>
      </c>
      <c r="W103" t="str">
        <f>IF($A103="","",SUMIFS(Compta!$F$1:$F$675,Compta!$A$1:$A$675,$B103,Compta!$B$1:$B$675,"621",Compta!$C$1:$C$675,$A103))</f>
        <v/>
      </c>
      <c r="X103" t="str">
        <f>IF($A103="","",SUMIFS(Compta!$F$1:$F$675,Compta!$A$1:$A$675,$B103,Compta!$B$1:$B$675,"6411",Compta!$C$1:$C$675,$A103))</f>
        <v/>
      </c>
      <c r="Y103" t="str">
        <f>IF($A103="","",SUMIFS(Compta!$F$1:$F$675,Compta!$A$1:$A$675,$B103,Compta!$B$1:$B$675,"604",Compta!$C$1:$C$675,$A103)+SUMIFS(Compta!$F$1:$F$675,Compta!$A$1:$A$675,$B103,Compta!$B$1:$B$675,"6063",Compta!$C$1:$C$675,$A103))</f>
        <v/>
      </c>
      <c r="Z103" t="str">
        <f>IF($A103="","",SUMIFS(Compta!$F$1:$F$675,Compta!$A$1:$A$675,$B103,Compta!$B$1:$B$675,"6231",Compta!$C$1:$C$675,$A103))</f>
        <v/>
      </c>
      <c r="AA103" t="str">
        <f>IF($A103="","",SUMIFS(Compta!$F$1:$F$675,Compta!$A$1:$A$675,$B103,Compta!$B$1:$B$675,"6413",Compta!$C$1:$C$675,$A103)+SUMIFS(Compta!$F$1:$F$675,Compta!$A$1:$A$675,$B103,Compta!$B$1:$B$675,"645",Compta!$C$1:$C$675,$A103)+SUMIFS(Compta!$F$1:$F$675,Compta!$A$1:$A$675,$B103,Compta!$B$1:$B$675,"613",Compta!$C$1:$C$675,$A103)+SUMIFS(Compta!$F$1:$F$675,Compta!$A$1:$A$675,$B103,Compta!$B$1:$B$675,"615",Compta!$C$1:$C$675,$A103)+SUMIFS(Compta!$F$1:$F$675,Compta!$A$1:$A$675,$B103,Compta!$B$1:$B$675,"616",Compta!$C$1:$C$675,$A103)+SUMIFS(Compta!$F$1:$F$675,Compta!$A$1:$A$675,$B103,Compta!$B$1:$B$675,"625",Compta!$C$1:$C$675,$A103)+SUMIFS(Compta!$F$1:$F$675,Compta!$A$1:$A$675,$B103,Compta!$B$1:$B$675,"63511",Compta!$C$1:$C$675,$A103))</f>
        <v/>
      </c>
      <c r="AB103" t="str">
        <f>IF($A103="","",SUMIFS(Compta!$F$1:$F$675,Compta!$A$1:$A$675,"GRP",Compta!$B$1:$B$675,"6414",Compta!$C$1:$C$675,$A103)+SUMIFS(Compta!$F$1:$F$675,Compta!$A$1:$A$675,"GRP",Compta!$B$1:$B$675,"6226",Compta!$C$1:$C$675,$A103)+SUMIFS(Compta!$F$1:$F$675,Compta!$A$1:$A$675,"GRP",Compta!$B$1:$B$675,"626",Compta!$C$1:$C$675,$A103)+SUMIFS(Compta!$F$1:$F$675,Compta!$A$1:$A$675,"GRP",Compta!$B$1:$B$675,"6281",Compta!$C$1:$C$675,$A103)+SUMIFS(Compta!$F$1:$F$675,Compta!$A$1:$A$675,"GRP",Compta!$B$1:$B$675,"6331",Compta!$C$1:$C$675,$A103)+SUMIFS(Compta!$F$1:$F$675,Compta!$A$1:$A$675,"GRP",Compta!$B$1:$B$675,"6333",Compta!$C$1:$C$675,$A103))</f>
        <v/>
      </c>
      <c r="AC103" t="str">
        <f t="shared" si="21"/>
        <v/>
      </c>
      <c r="AD103" t="str">
        <f t="shared" si="22"/>
        <v/>
      </c>
      <c r="AE103" t="str">
        <f t="shared" si="23"/>
        <v/>
      </c>
      <c r="AF103" t="str">
        <f t="shared" si="24"/>
        <v/>
      </c>
      <c r="AG103" t="str">
        <f t="shared" si="25"/>
        <v/>
      </c>
      <c r="AH103" t="str">
        <f t="shared" si="26"/>
        <v/>
      </c>
      <c r="AI103" t="str">
        <f t="shared" si="27"/>
        <v/>
      </c>
      <c r="AJ103" t="str">
        <f t="shared" si="28"/>
        <v/>
      </c>
      <c r="AK103" t="str">
        <f t="shared" si="29"/>
        <v/>
      </c>
      <c r="AL103" t="str">
        <f t="shared" si="30"/>
        <v/>
      </c>
      <c r="AM103" t="str">
        <f t="shared" si="31"/>
        <v/>
      </c>
      <c r="AN103" t="str">
        <f t="shared" si="32"/>
        <v/>
      </c>
      <c r="AO103" t="str">
        <f>IF($A103="","",SUMIFS(Compta!$F$1:$F$675,Compta!$A$1:$A$675,"GRP",Compta!$B$1:$B$675,"6236",Compta!$C$1:$C$675,$A103))</f>
        <v/>
      </c>
      <c r="AP103" t="str">
        <f t="shared" si="33"/>
        <v/>
      </c>
      <c r="AQ103" t="str">
        <f t="shared" si="34"/>
        <v/>
      </c>
      <c r="AR103" t="str">
        <f t="shared" si="35"/>
        <v/>
      </c>
    </row>
    <row r="104" spans="1:44" x14ac:dyDescent="0.45">
      <c r="A104" t="str">
        <f>IF(Allocation!C104="","",Allocation!C104)</f>
        <v/>
      </c>
      <c r="B104" t="str">
        <f>IF(Allocation!D104="","",Allocation!D104)</f>
        <v/>
      </c>
      <c r="C104" t="str">
        <f>IF(Allocation!E104="","",Allocation!E104)</f>
        <v/>
      </c>
      <c r="D104" t="str">
        <f>IF(Allocation!F104="","",Allocation!F104)</f>
        <v/>
      </c>
      <c r="E104" t="str">
        <f>IF(Allocation!G104="","",Allocation!G104)</f>
        <v/>
      </c>
      <c r="F104" t="str">
        <f>IF(Allocation!H104="","",Allocation!H104)</f>
        <v/>
      </c>
      <c r="G104" t="str">
        <f>IF(Allocation!D104="","",Allocation!I104)</f>
        <v/>
      </c>
      <c r="H104" t="str">
        <f>IF(Allocation!D104="","",Allocation!J104)</f>
        <v/>
      </c>
      <c r="I104" t="str">
        <f>IF(Allocation!D104="","",Allocation!K104)</f>
        <v/>
      </c>
      <c r="J104" t="str">
        <f>IF($A104="","",SUMIFS(Socle!$K$1:$K$1000,Socle!$C$1:$C$1000,$B104,Socle!$D$1:$D$1000,$D104,Socle!$E$1:$E$1000,$E104,Socle!$F$1:$F$1000,$F104,Socle!$G$1:$G$1000,$A104))</f>
        <v/>
      </c>
      <c r="K104" t="str">
        <f t="shared" si="18"/>
        <v/>
      </c>
      <c r="L104" t="str">
        <f>IF($A104="","",SUMIFS(Allocation!$I$1:$I$175,Allocation!$C$1:$C$175,$A104,Allocation!$D$1:$D$175,$B104))</f>
        <v/>
      </c>
      <c r="M104" t="str">
        <f>IF($A104="","",SUMIFS(Allocation!$J$1:$J$175,Allocation!$C$1:$C$175,$A104,Allocation!$D$1:$D$175,$B104))</f>
        <v/>
      </c>
      <c r="N104" t="str">
        <f>IF($A104="","",SUMIFS(Allocation!$K$1:$K$175,Allocation!$C$1:$C$175,$A104,Allocation!$D$1:$D$175,$B104))</f>
        <v/>
      </c>
      <c r="O104" t="str">
        <f t="shared" si="19"/>
        <v/>
      </c>
      <c r="P104" t="str">
        <f t="shared" si="20"/>
        <v/>
      </c>
      <c r="Q104" t="str">
        <f>IF($A104="","",SUMIFS(Allocation!$I$1:$I$175,Allocation!$C$1:$C$175,$A104,Allocation!$E$1:$E$175,$C104))</f>
        <v/>
      </c>
      <c r="R104" t="str">
        <f>IF($A104="","",SUMIFS(Allocation!$J$1:$J$175,Allocation!$C$1:$C$175,$A104,Allocation!$E$1:$E$175,$C104))</f>
        <v/>
      </c>
      <c r="S104" t="str">
        <f>IF($A104="","",SUMIFS(Allocation!$K$1:$K$175,Allocation!$C$1:$C$175,$A104,Allocation!$E$1:$E$175,$C104))</f>
        <v/>
      </c>
      <c r="T104" t="str">
        <f>IF($A104="","",SUMIFS(Allocation!$I$1:$I$175,Allocation!$C$1:$C$175,$A104))</f>
        <v/>
      </c>
      <c r="U104" t="str">
        <f>IF($A104="","",SUMIFS(Allocation!$J$1:$J$175,Allocation!$C$1:$C$175,$A104))</f>
        <v/>
      </c>
      <c r="V104" t="str">
        <f>IF($A104="","",SUMIFS(Allocation!$K$1:$K$175,Allocation!$C$1:$C$175,$A104))</f>
        <v/>
      </c>
      <c r="W104" t="str">
        <f>IF($A104="","",SUMIFS(Compta!$F$1:$F$675,Compta!$A$1:$A$675,$B104,Compta!$B$1:$B$675,"621",Compta!$C$1:$C$675,$A104))</f>
        <v/>
      </c>
      <c r="X104" t="str">
        <f>IF($A104="","",SUMIFS(Compta!$F$1:$F$675,Compta!$A$1:$A$675,$B104,Compta!$B$1:$B$675,"6411",Compta!$C$1:$C$675,$A104))</f>
        <v/>
      </c>
      <c r="Y104" t="str">
        <f>IF($A104="","",SUMIFS(Compta!$F$1:$F$675,Compta!$A$1:$A$675,$B104,Compta!$B$1:$B$675,"604",Compta!$C$1:$C$675,$A104)+SUMIFS(Compta!$F$1:$F$675,Compta!$A$1:$A$675,$B104,Compta!$B$1:$B$675,"6063",Compta!$C$1:$C$675,$A104))</f>
        <v/>
      </c>
      <c r="Z104" t="str">
        <f>IF($A104="","",SUMIFS(Compta!$F$1:$F$675,Compta!$A$1:$A$675,$B104,Compta!$B$1:$B$675,"6231",Compta!$C$1:$C$675,$A104))</f>
        <v/>
      </c>
      <c r="AA104" t="str">
        <f>IF($A104="","",SUMIFS(Compta!$F$1:$F$675,Compta!$A$1:$A$675,$B104,Compta!$B$1:$B$675,"6413",Compta!$C$1:$C$675,$A104)+SUMIFS(Compta!$F$1:$F$675,Compta!$A$1:$A$675,$B104,Compta!$B$1:$B$675,"645",Compta!$C$1:$C$675,$A104)+SUMIFS(Compta!$F$1:$F$675,Compta!$A$1:$A$675,$B104,Compta!$B$1:$B$675,"613",Compta!$C$1:$C$675,$A104)+SUMIFS(Compta!$F$1:$F$675,Compta!$A$1:$A$675,$B104,Compta!$B$1:$B$675,"615",Compta!$C$1:$C$675,$A104)+SUMIFS(Compta!$F$1:$F$675,Compta!$A$1:$A$675,$B104,Compta!$B$1:$B$675,"616",Compta!$C$1:$C$675,$A104)+SUMIFS(Compta!$F$1:$F$675,Compta!$A$1:$A$675,$B104,Compta!$B$1:$B$675,"625",Compta!$C$1:$C$675,$A104)+SUMIFS(Compta!$F$1:$F$675,Compta!$A$1:$A$675,$B104,Compta!$B$1:$B$675,"63511",Compta!$C$1:$C$675,$A104))</f>
        <v/>
      </c>
      <c r="AB104" t="str">
        <f>IF($A104="","",SUMIFS(Compta!$F$1:$F$675,Compta!$A$1:$A$675,"GRP",Compta!$B$1:$B$675,"6414",Compta!$C$1:$C$675,$A104)+SUMIFS(Compta!$F$1:$F$675,Compta!$A$1:$A$675,"GRP",Compta!$B$1:$B$675,"6226",Compta!$C$1:$C$675,$A104)+SUMIFS(Compta!$F$1:$F$675,Compta!$A$1:$A$675,"GRP",Compta!$B$1:$B$675,"626",Compta!$C$1:$C$675,$A104)+SUMIFS(Compta!$F$1:$F$675,Compta!$A$1:$A$675,"GRP",Compta!$B$1:$B$675,"6281",Compta!$C$1:$C$675,$A104)+SUMIFS(Compta!$F$1:$F$675,Compta!$A$1:$A$675,"GRP",Compta!$B$1:$B$675,"6331",Compta!$C$1:$C$675,$A104)+SUMIFS(Compta!$F$1:$F$675,Compta!$A$1:$A$675,"GRP",Compta!$B$1:$B$675,"6333",Compta!$C$1:$C$675,$A104))</f>
        <v/>
      </c>
      <c r="AC104" t="str">
        <f t="shared" si="21"/>
        <v/>
      </c>
      <c r="AD104" t="str">
        <f t="shared" si="22"/>
        <v/>
      </c>
      <c r="AE104" t="str">
        <f t="shared" si="23"/>
        <v/>
      </c>
      <c r="AF104" t="str">
        <f t="shared" si="24"/>
        <v/>
      </c>
      <c r="AG104" t="str">
        <f t="shared" si="25"/>
        <v/>
      </c>
      <c r="AH104" t="str">
        <f t="shared" si="26"/>
        <v/>
      </c>
      <c r="AI104" t="str">
        <f t="shared" si="27"/>
        <v/>
      </c>
      <c r="AJ104" t="str">
        <f t="shared" si="28"/>
        <v/>
      </c>
      <c r="AK104" t="str">
        <f t="shared" si="29"/>
        <v/>
      </c>
      <c r="AL104" t="str">
        <f t="shared" si="30"/>
        <v/>
      </c>
      <c r="AM104" t="str">
        <f t="shared" si="31"/>
        <v/>
      </c>
      <c r="AN104" t="str">
        <f t="shared" si="32"/>
        <v/>
      </c>
      <c r="AO104" t="str">
        <f>IF($A104="","",SUMIFS(Compta!$F$1:$F$675,Compta!$A$1:$A$675,"GRP",Compta!$B$1:$B$675,"6236",Compta!$C$1:$C$675,$A104))</f>
        <v/>
      </c>
      <c r="AP104" t="str">
        <f t="shared" si="33"/>
        <v/>
      </c>
      <c r="AQ104" t="str">
        <f t="shared" si="34"/>
        <v/>
      </c>
      <c r="AR104" t="str">
        <f t="shared" si="35"/>
        <v/>
      </c>
    </row>
    <row r="105" spans="1:44" x14ac:dyDescent="0.45">
      <c r="A105" t="str">
        <f>IF(Allocation!C105="","",Allocation!C105)</f>
        <v/>
      </c>
      <c r="B105" t="str">
        <f>IF(Allocation!D105="","",Allocation!D105)</f>
        <v/>
      </c>
      <c r="C105" t="str">
        <f>IF(Allocation!E105="","",Allocation!E105)</f>
        <v/>
      </c>
      <c r="D105" t="str">
        <f>IF(Allocation!F105="","",Allocation!F105)</f>
        <v/>
      </c>
      <c r="E105" t="str">
        <f>IF(Allocation!G105="","",Allocation!G105)</f>
        <v/>
      </c>
      <c r="F105" t="str">
        <f>IF(Allocation!H105="","",Allocation!H105)</f>
        <v/>
      </c>
      <c r="G105" t="str">
        <f>IF(Allocation!D105="","",Allocation!I105)</f>
        <v/>
      </c>
      <c r="H105" t="str">
        <f>IF(Allocation!D105="","",Allocation!J105)</f>
        <v/>
      </c>
      <c r="I105" t="str">
        <f>IF(Allocation!D105="","",Allocation!K105)</f>
        <v/>
      </c>
      <c r="J105" t="str">
        <f>IF($A105="","",SUMIFS(Socle!$K$1:$K$1000,Socle!$C$1:$C$1000,$B105,Socle!$D$1:$D$1000,$D105,Socle!$E$1:$E$1000,$E105,Socle!$F$1:$F$1000,$F105,Socle!$G$1:$G$1000,$A105))</f>
        <v/>
      </c>
      <c r="K105" t="str">
        <f t="shared" si="18"/>
        <v/>
      </c>
      <c r="L105" t="str">
        <f>IF($A105="","",SUMIFS(Allocation!$I$1:$I$175,Allocation!$C$1:$C$175,$A105,Allocation!$D$1:$D$175,$B105))</f>
        <v/>
      </c>
      <c r="M105" t="str">
        <f>IF($A105="","",SUMIFS(Allocation!$J$1:$J$175,Allocation!$C$1:$C$175,$A105,Allocation!$D$1:$D$175,$B105))</f>
        <v/>
      </c>
      <c r="N105" t="str">
        <f>IF($A105="","",SUMIFS(Allocation!$K$1:$K$175,Allocation!$C$1:$C$175,$A105,Allocation!$D$1:$D$175,$B105))</f>
        <v/>
      </c>
      <c r="O105" t="str">
        <f t="shared" si="19"/>
        <v/>
      </c>
      <c r="P105" t="str">
        <f t="shared" si="20"/>
        <v/>
      </c>
      <c r="Q105" t="str">
        <f>IF($A105="","",SUMIFS(Allocation!$I$1:$I$175,Allocation!$C$1:$C$175,$A105,Allocation!$E$1:$E$175,$C105))</f>
        <v/>
      </c>
      <c r="R105" t="str">
        <f>IF($A105="","",SUMIFS(Allocation!$J$1:$J$175,Allocation!$C$1:$C$175,$A105,Allocation!$E$1:$E$175,$C105))</f>
        <v/>
      </c>
      <c r="S105" t="str">
        <f>IF($A105="","",SUMIFS(Allocation!$K$1:$K$175,Allocation!$C$1:$C$175,$A105,Allocation!$E$1:$E$175,$C105))</f>
        <v/>
      </c>
      <c r="T105" t="str">
        <f>IF($A105="","",SUMIFS(Allocation!$I$1:$I$175,Allocation!$C$1:$C$175,$A105))</f>
        <v/>
      </c>
      <c r="U105" t="str">
        <f>IF($A105="","",SUMIFS(Allocation!$J$1:$J$175,Allocation!$C$1:$C$175,$A105))</f>
        <v/>
      </c>
      <c r="V105" t="str">
        <f>IF($A105="","",SUMIFS(Allocation!$K$1:$K$175,Allocation!$C$1:$C$175,$A105))</f>
        <v/>
      </c>
      <c r="W105" t="str">
        <f>IF($A105="","",SUMIFS(Compta!$F$1:$F$675,Compta!$A$1:$A$675,$B105,Compta!$B$1:$B$675,"621",Compta!$C$1:$C$675,$A105))</f>
        <v/>
      </c>
      <c r="X105" t="str">
        <f>IF($A105="","",SUMIFS(Compta!$F$1:$F$675,Compta!$A$1:$A$675,$B105,Compta!$B$1:$B$675,"6411",Compta!$C$1:$C$675,$A105))</f>
        <v/>
      </c>
      <c r="Y105" t="str">
        <f>IF($A105="","",SUMIFS(Compta!$F$1:$F$675,Compta!$A$1:$A$675,$B105,Compta!$B$1:$B$675,"604",Compta!$C$1:$C$675,$A105)+SUMIFS(Compta!$F$1:$F$675,Compta!$A$1:$A$675,$B105,Compta!$B$1:$B$675,"6063",Compta!$C$1:$C$675,$A105))</f>
        <v/>
      </c>
      <c r="Z105" t="str">
        <f>IF($A105="","",SUMIFS(Compta!$F$1:$F$675,Compta!$A$1:$A$675,$B105,Compta!$B$1:$B$675,"6231",Compta!$C$1:$C$675,$A105))</f>
        <v/>
      </c>
      <c r="AA105" t="str">
        <f>IF($A105="","",SUMIFS(Compta!$F$1:$F$675,Compta!$A$1:$A$675,$B105,Compta!$B$1:$B$675,"6413",Compta!$C$1:$C$675,$A105)+SUMIFS(Compta!$F$1:$F$675,Compta!$A$1:$A$675,$B105,Compta!$B$1:$B$675,"645",Compta!$C$1:$C$675,$A105)+SUMIFS(Compta!$F$1:$F$675,Compta!$A$1:$A$675,$B105,Compta!$B$1:$B$675,"613",Compta!$C$1:$C$675,$A105)+SUMIFS(Compta!$F$1:$F$675,Compta!$A$1:$A$675,$B105,Compta!$B$1:$B$675,"615",Compta!$C$1:$C$675,$A105)+SUMIFS(Compta!$F$1:$F$675,Compta!$A$1:$A$675,$B105,Compta!$B$1:$B$675,"616",Compta!$C$1:$C$675,$A105)+SUMIFS(Compta!$F$1:$F$675,Compta!$A$1:$A$675,$B105,Compta!$B$1:$B$675,"625",Compta!$C$1:$C$675,$A105)+SUMIFS(Compta!$F$1:$F$675,Compta!$A$1:$A$675,$B105,Compta!$B$1:$B$675,"63511",Compta!$C$1:$C$675,$A105))</f>
        <v/>
      </c>
      <c r="AB105" t="str">
        <f>IF($A105="","",SUMIFS(Compta!$F$1:$F$675,Compta!$A$1:$A$675,"GRP",Compta!$B$1:$B$675,"6414",Compta!$C$1:$C$675,$A105)+SUMIFS(Compta!$F$1:$F$675,Compta!$A$1:$A$675,"GRP",Compta!$B$1:$B$675,"6226",Compta!$C$1:$C$675,$A105)+SUMIFS(Compta!$F$1:$F$675,Compta!$A$1:$A$675,"GRP",Compta!$B$1:$B$675,"626",Compta!$C$1:$C$675,$A105)+SUMIFS(Compta!$F$1:$F$675,Compta!$A$1:$A$675,"GRP",Compta!$B$1:$B$675,"6281",Compta!$C$1:$C$675,$A105)+SUMIFS(Compta!$F$1:$F$675,Compta!$A$1:$A$675,"GRP",Compta!$B$1:$B$675,"6331",Compta!$C$1:$C$675,$A105)+SUMIFS(Compta!$F$1:$F$675,Compta!$A$1:$A$675,"GRP",Compta!$B$1:$B$675,"6333",Compta!$C$1:$C$675,$A105))</f>
        <v/>
      </c>
      <c r="AC105" t="str">
        <f t="shared" si="21"/>
        <v/>
      </c>
      <c r="AD105" t="str">
        <f t="shared" si="22"/>
        <v/>
      </c>
      <c r="AE105" t="str">
        <f t="shared" si="23"/>
        <v/>
      </c>
      <c r="AF105" t="str">
        <f t="shared" si="24"/>
        <v/>
      </c>
      <c r="AG105" t="str">
        <f t="shared" si="25"/>
        <v/>
      </c>
      <c r="AH105" t="str">
        <f t="shared" si="26"/>
        <v/>
      </c>
      <c r="AI105" t="str">
        <f t="shared" si="27"/>
        <v/>
      </c>
      <c r="AJ105" t="str">
        <f t="shared" si="28"/>
        <v/>
      </c>
      <c r="AK105" t="str">
        <f t="shared" si="29"/>
        <v/>
      </c>
      <c r="AL105" t="str">
        <f t="shared" si="30"/>
        <v/>
      </c>
      <c r="AM105" t="str">
        <f t="shared" si="31"/>
        <v/>
      </c>
      <c r="AN105" t="str">
        <f t="shared" si="32"/>
        <v/>
      </c>
      <c r="AO105" t="str">
        <f>IF($A105="","",SUMIFS(Compta!$F$1:$F$675,Compta!$A$1:$A$675,"GRP",Compta!$B$1:$B$675,"6236",Compta!$C$1:$C$675,$A105))</f>
        <v/>
      </c>
      <c r="AP105" t="str">
        <f t="shared" si="33"/>
        <v/>
      </c>
      <c r="AQ105" t="str">
        <f t="shared" si="34"/>
        <v/>
      </c>
      <c r="AR105" t="str">
        <f t="shared" si="35"/>
        <v/>
      </c>
    </row>
    <row r="106" spans="1:44" x14ac:dyDescent="0.45">
      <c r="A106" t="str">
        <f>IF(Allocation!C106="","",Allocation!C106)</f>
        <v/>
      </c>
      <c r="B106" t="str">
        <f>IF(Allocation!D106="","",Allocation!D106)</f>
        <v/>
      </c>
      <c r="C106" t="str">
        <f>IF(Allocation!E106="","",Allocation!E106)</f>
        <v/>
      </c>
      <c r="D106" t="str">
        <f>IF(Allocation!F106="","",Allocation!F106)</f>
        <v/>
      </c>
      <c r="E106" t="str">
        <f>IF(Allocation!G106="","",Allocation!G106)</f>
        <v/>
      </c>
      <c r="F106" t="str">
        <f>IF(Allocation!H106="","",Allocation!H106)</f>
        <v/>
      </c>
      <c r="G106" t="str">
        <f>IF(Allocation!D106="","",Allocation!I106)</f>
        <v/>
      </c>
      <c r="H106" t="str">
        <f>IF(Allocation!D106="","",Allocation!J106)</f>
        <v/>
      </c>
      <c r="I106" t="str">
        <f>IF(Allocation!D106="","",Allocation!K106)</f>
        <v/>
      </c>
      <c r="J106" t="str">
        <f>IF($A106="","",SUMIFS(Socle!$K$1:$K$1000,Socle!$C$1:$C$1000,$B106,Socle!$D$1:$D$1000,$D106,Socle!$E$1:$E$1000,$E106,Socle!$F$1:$F$1000,$F106,Socle!$G$1:$G$1000,$A106))</f>
        <v/>
      </c>
      <c r="K106" t="str">
        <f t="shared" si="18"/>
        <v/>
      </c>
      <c r="L106" t="str">
        <f>IF($A106="","",SUMIFS(Allocation!$I$1:$I$175,Allocation!$C$1:$C$175,$A106,Allocation!$D$1:$D$175,$B106))</f>
        <v/>
      </c>
      <c r="M106" t="str">
        <f>IF($A106="","",SUMIFS(Allocation!$J$1:$J$175,Allocation!$C$1:$C$175,$A106,Allocation!$D$1:$D$175,$B106))</f>
        <v/>
      </c>
      <c r="N106" t="str">
        <f>IF($A106="","",SUMIFS(Allocation!$K$1:$K$175,Allocation!$C$1:$C$175,$A106,Allocation!$D$1:$D$175,$B106))</f>
        <v/>
      </c>
      <c r="O106" t="str">
        <f t="shared" si="19"/>
        <v/>
      </c>
      <c r="P106" t="str">
        <f t="shared" si="20"/>
        <v/>
      </c>
      <c r="Q106" t="str">
        <f>IF($A106="","",SUMIFS(Allocation!$I$1:$I$175,Allocation!$C$1:$C$175,$A106,Allocation!$E$1:$E$175,$C106))</f>
        <v/>
      </c>
      <c r="R106" t="str">
        <f>IF($A106="","",SUMIFS(Allocation!$J$1:$J$175,Allocation!$C$1:$C$175,$A106,Allocation!$E$1:$E$175,$C106))</f>
        <v/>
      </c>
      <c r="S106" t="str">
        <f>IF($A106="","",SUMIFS(Allocation!$K$1:$K$175,Allocation!$C$1:$C$175,$A106,Allocation!$E$1:$E$175,$C106))</f>
        <v/>
      </c>
      <c r="T106" t="str">
        <f>IF($A106="","",SUMIFS(Allocation!$I$1:$I$175,Allocation!$C$1:$C$175,$A106))</f>
        <v/>
      </c>
      <c r="U106" t="str">
        <f>IF($A106="","",SUMIFS(Allocation!$J$1:$J$175,Allocation!$C$1:$C$175,$A106))</f>
        <v/>
      </c>
      <c r="V106" t="str">
        <f>IF($A106="","",SUMIFS(Allocation!$K$1:$K$175,Allocation!$C$1:$C$175,$A106))</f>
        <v/>
      </c>
      <c r="W106" t="str">
        <f>IF($A106="","",SUMIFS(Compta!$F$1:$F$675,Compta!$A$1:$A$675,$B106,Compta!$B$1:$B$675,"621",Compta!$C$1:$C$675,$A106))</f>
        <v/>
      </c>
      <c r="X106" t="str">
        <f>IF($A106="","",SUMIFS(Compta!$F$1:$F$675,Compta!$A$1:$A$675,$B106,Compta!$B$1:$B$675,"6411",Compta!$C$1:$C$675,$A106))</f>
        <v/>
      </c>
      <c r="Y106" t="str">
        <f>IF($A106="","",SUMIFS(Compta!$F$1:$F$675,Compta!$A$1:$A$675,$B106,Compta!$B$1:$B$675,"604",Compta!$C$1:$C$675,$A106)+SUMIFS(Compta!$F$1:$F$675,Compta!$A$1:$A$675,$B106,Compta!$B$1:$B$675,"6063",Compta!$C$1:$C$675,$A106))</f>
        <v/>
      </c>
      <c r="Z106" t="str">
        <f>IF($A106="","",SUMIFS(Compta!$F$1:$F$675,Compta!$A$1:$A$675,$B106,Compta!$B$1:$B$675,"6231",Compta!$C$1:$C$675,$A106))</f>
        <v/>
      </c>
      <c r="AA106" t="str">
        <f>IF($A106="","",SUMIFS(Compta!$F$1:$F$675,Compta!$A$1:$A$675,$B106,Compta!$B$1:$B$675,"6413",Compta!$C$1:$C$675,$A106)+SUMIFS(Compta!$F$1:$F$675,Compta!$A$1:$A$675,$B106,Compta!$B$1:$B$675,"645",Compta!$C$1:$C$675,$A106)+SUMIFS(Compta!$F$1:$F$675,Compta!$A$1:$A$675,$B106,Compta!$B$1:$B$675,"613",Compta!$C$1:$C$675,$A106)+SUMIFS(Compta!$F$1:$F$675,Compta!$A$1:$A$675,$B106,Compta!$B$1:$B$675,"615",Compta!$C$1:$C$675,$A106)+SUMIFS(Compta!$F$1:$F$675,Compta!$A$1:$A$675,$B106,Compta!$B$1:$B$675,"616",Compta!$C$1:$C$675,$A106)+SUMIFS(Compta!$F$1:$F$675,Compta!$A$1:$A$675,$B106,Compta!$B$1:$B$675,"625",Compta!$C$1:$C$675,$A106)+SUMIFS(Compta!$F$1:$F$675,Compta!$A$1:$A$675,$B106,Compta!$B$1:$B$675,"63511",Compta!$C$1:$C$675,$A106))</f>
        <v/>
      </c>
      <c r="AB106" t="str">
        <f>IF($A106="","",SUMIFS(Compta!$F$1:$F$675,Compta!$A$1:$A$675,"GRP",Compta!$B$1:$B$675,"6414",Compta!$C$1:$C$675,$A106)+SUMIFS(Compta!$F$1:$F$675,Compta!$A$1:$A$675,"GRP",Compta!$B$1:$B$675,"6226",Compta!$C$1:$C$675,$A106)+SUMIFS(Compta!$F$1:$F$675,Compta!$A$1:$A$675,"GRP",Compta!$B$1:$B$675,"626",Compta!$C$1:$C$675,$A106)+SUMIFS(Compta!$F$1:$F$675,Compta!$A$1:$A$675,"GRP",Compta!$B$1:$B$675,"6281",Compta!$C$1:$C$675,$A106)+SUMIFS(Compta!$F$1:$F$675,Compta!$A$1:$A$675,"GRP",Compta!$B$1:$B$675,"6331",Compta!$C$1:$C$675,$A106)+SUMIFS(Compta!$F$1:$F$675,Compta!$A$1:$A$675,"GRP",Compta!$B$1:$B$675,"6333",Compta!$C$1:$C$675,$A106))</f>
        <v/>
      </c>
      <c r="AC106" t="str">
        <f t="shared" si="21"/>
        <v/>
      </c>
      <c r="AD106" t="str">
        <f t="shared" si="22"/>
        <v/>
      </c>
      <c r="AE106" t="str">
        <f t="shared" si="23"/>
        <v/>
      </c>
      <c r="AF106" t="str">
        <f t="shared" si="24"/>
        <v/>
      </c>
      <c r="AG106" t="str">
        <f t="shared" si="25"/>
        <v/>
      </c>
      <c r="AH106" t="str">
        <f t="shared" si="26"/>
        <v/>
      </c>
      <c r="AI106" t="str">
        <f t="shared" si="27"/>
        <v/>
      </c>
      <c r="AJ106" t="str">
        <f t="shared" si="28"/>
        <v/>
      </c>
      <c r="AK106" t="str">
        <f t="shared" si="29"/>
        <v/>
      </c>
      <c r="AL106" t="str">
        <f t="shared" si="30"/>
        <v/>
      </c>
      <c r="AM106" t="str">
        <f t="shared" si="31"/>
        <v/>
      </c>
      <c r="AN106" t="str">
        <f t="shared" si="32"/>
        <v/>
      </c>
      <c r="AO106" t="str">
        <f>IF($A106="","",SUMIFS(Compta!$F$1:$F$675,Compta!$A$1:$A$675,"GRP",Compta!$B$1:$B$675,"6236",Compta!$C$1:$C$675,$A106))</f>
        <v/>
      </c>
      <c r="AP106" t="str">
        <f t="shared" si="33"/>
        <v/>
      </c>
      <c r="AQ106" t="str">
        <f t="shared" si="34"/>
        <v/>
      </c>
      <c r="AR106" t="str">
        <f t="shared" si="35"/>
        <v/>
      </c>
    </row>
    <row r="107" spans="1:44" x14ac:dyDescent="0.45">
      <c r="A107" t="str">
        <f>IF(Allocation!C107="","",Allocation!C107)</f>
        <v/>
      </c>
      <c r="B107" t="str">
        <f>IF(Allocation!D107="","",Allocation!D107)</f>
        <v/>
      </c>
      <c r="C107" t="str">
        <f>IF(Allocation!E107="","",Allocation!E107)</f>
        <v/>
      </c>
      <c r="D107" t="str">
        <f>IF(Allocation!F107="","",Allocation!F107)</f>
        <v/>
      </c>
      <c r="E107" t="str">
        <f>IF(Allocation!G107="","",Allocation!G107)</f>
        <v/>
      </c>
      <c r="F107" t="str">
        <f>IF(Allocation!H107="","",Allocation!H107)</f>
        <v/>
      </c>
      <c r="G107" t="str">
        <f>IF(Allocation!D107="","",Allocation!I107)</f>
        <v/>
      </c>
      <c r="H107" t="str">
        <f>IF(Allocation!D107="","",Allocation!J107)</f>
        <v/>
      </c>
      <c r="I107" t="str">
        <f>IF(Allocation!D107="","",Allocation!K107)</f>
        <v/>
      </c>
      <c r="J107" t="str">
        <f>IF($A107="","",SUMIFS(Socle!$K$1:$K$1000,Socle!$C$1:$C$1000,$B107,Socle!$D$1:$D$1000,$D107,Socle!$E$1:$E$1000,$E107,Socle!$F$1:$F$1000,$F107,Socle!$G$1:$G$1000,$A107))</f>
        <v/>
      </c>
      <c r="K107" t="str">
        <f t="shared" si="18"/>
        <v/>
      </c>
      <c r="L107" t="str">
        <f>IF($A107="","",SUMIFS(Allocation!$I$1:$I$175,Allocation!$C$1:$C$175,$A107,Allocation!$D$1:$D$175,$B107))</f>
        <v/>
      </c>
      <c r="M107" t="str">
        <f>IF($A107="","",SUMIFS(Allocation!$J$1:$J$175,Allocation!$C$1:$C$175,$A107,Allocation!$D$1:$D$175,$B107))</f>
        <v/>
      </c>
      <c r="N107" t="str">
        <f>IF($A107="","",SUMIFS(Allocation!$K$1:$K$175,Allocation!$C$1:$C$175,$A107,Allocation!$D$1:$D$175,$B107))</f>
        <v/>
      </c>
      <c r="O107" t="str">
        <f t="shared" si="19"/>
        <v/>
      </c>
      <c r="P107" t="str">
        <f t="shared" si="20"/>
        <v/>
      </c>
      <c r="Q107" t="str">
        <f>IF($A107="","",SUMIFS(Allocation!$I$1:$I$175,Allocation!$C$1:$C$175,$A107,Allocation!$E$1:$E$175,$C107))</f>
        <v/>
      </c>
      <c r="R107" t="str">
        <f>IF($A107="","",SUMIFS(Allocation!$J$1:$J$175,Allocation!$C$1:$C$175,$A107,Allocation!$E$1:$E$175,$C107))</f>
        <v/>
      </c>
      <c r="S107" t="str">
        <f>IF($A107="","",SUMIFS(Allocation!$K$1:$K$175,Allocation!$C$1:$C$175,$A107,Allocation!$E$1:$E$175,$C107))</f>
        <v/>
      </c>
      <c r="T107" t="str">
        <f>IF($A107="","",SUMIFS(Allocation!$I$1:$I$175,Allocation!$C$1:$C$175,$A107))</f>
        <v/>
      </c>
      <c r="U107" t="str">
        <f>IF($A107="","",SUMIFS(Allocation!$J$1:$J$175,Allocation!$C$1:$C$175,$A107))</f>
        <v/>
      </c>
      <c r="V107" t="str">
        <f>IF($A107="","",SUMIFS(Allocation!$K$1:$K$175,Allocation!$C$1:$C$175,$A107))</f>
        <v/>
      </c>
      <c r="W107" t="str">
        <f>IF($A107="","",SUMIFS(Compta!$F$1:$F$675,Compta!$A$1:$A$675,$B107,Compta!$B$1:$B$675,"621",Compta!$C$1:$C$675,$A107))</f>
        <v/>
      </c>
      <c r="X107" t="str">
        <f>IF($A107="","",SUMIFS(Compta!$F$1:$F$675,Compta!$A$1:$A$675,$B107,Compta!$B$1:$B$675,"6411",Compta!$C$1:$C$675,$A107))</f>
        <v/>
      </c>
      <c r="Y107" t="str">
        <f>IF($A107="","",SUMIFS(Compta!$F$1:$F$675,Compta!$A$1:$A$675,$B107,Compta!$B$1:$B$675,"604",Compta!$C$1:$C$675,$A107)+SUMIFS(Compta!$F$1:$F$675,Compta!$A$1:$A$675,$B107,Compta!$B$1:$B$675,"6063",Compta!$C$1:$C$675,$A107))</f>
        <v/>
      </c>
      <c r="Z107" t="str">
        <f>IF($A107="","",SUMIFS(Compta!$F$1:$F$675,Compta!$A$1:$A$675,$B107,Compta!$B$1:$B$675,"6231",Compta!$C$1:$C$675,$A107))</f>
        <v/>
      </c>
      <c r="AA107" t="str">
        <f>IF($A107="","",SUMIFS(Compta!$F$1:$F$675,Compta!$A$1:$A$675,$B107,Compta!$B$1:$B$675,"6413",Compta!$C$1:$C$675,$A107)+SUMIFS(Compta!$F$1:$F$675,Compta!$A$1:$A$675,$B107,Compta!$B$1:$B$675,"645",Compta!$C$1:$C$675,$A107)+SUMIFS(Compta!$F$1:$F$675,Compta!$A$1:$A$675,$B107,Compta!$B$1:$B$675,"613",Compta!$C$1:$C$675,$A107)+SUMIFS(Compta!$F$1:$F$675,Compta!$A$1:$A$675,$B107,Compta!$B$1:$B$675,"615",Compta!$C$1:$C$675,$A107)+SUMIFS(Compta!$F$1:$F$675,Compta!$A$1:$A$675,$B107,Compta!$B$1:$B$675,"616",Compta!$C$1:$C$675,$A107)+SUMIFS(Compta!$F$1:$F$675,Compta!$A$1:$A$675,$B107,Compta!$B$1:$B$675,"625",Compta!$C$1:$C$675,$A107)+SUMIFS(Compta!$F$1:$F$675,Compta!$A$1:$A$675,$B107,Compta!$B$1:$B$675,"63511",Compta!$C$1:$C$675,$A107))</f>
        <v/>
      </c>
      <c r="AB107" t="str">
        <f>IF($A107="","",SUMIFS(Compta!$F$1:$F$675,Compta!$A$1:$A$675,"GRP",Compta!$B$1:$B$675,"6414",Compta!$C$1:$C$675,$A107)+SUMIFS(Compta!$F$1:$F$675,Compta!$A$1:$A$675,"GRP",Compta!$B$1:$B$675,"6226",Compta!$C$1:$C$675,$A107)+SUMIFS(Compta!$F$1:$F$675,Compta!$A$1:$A$675,"GRP",Compta!$B$1:$B$675,"626",Compta!$C$1:$C$675,$A107)+SUMIFS(Compta!$F$1:$F$675,Compta!$A$1:$A$675,"GRP",Compta!$B$1:$B$675,"6281",Compta!$C$1:$C$675,$A107)+SUMIFS(Compta!$F$1:$F$675,Compta!$A$1:$A$675,"GRP",Compta!$B$1:$B$675,"6331",Compta!$C$1:$C$675,$A107)+SUMIFS(Compta!$F$1:$F$675,Compta!$A$1:$A$675,"GRP",Compta!$B$1:$B$675,"6333",Compta!$C$1:$C$675,$A107))</f>
        <v/>
      </c>
      <c r="AC107" t="str">
        <f t="shared" si="21"/>
        <v/>
      </c>
      <c r="AD107" t="str">
        <f t="shared" si="22"/>
        <v/>
      </c>
      <c r="AE107" t="str">
        <f t="shared" si="23"/>
        <v/>
      </c>
      <c r="AF107" t="str">
        <f t="shared" si="24"/>
        <v/>
      </c>
      <c r="AG107" t="str">
        <f t="shared" si="25"/>
        <v/>
      </c>
      <c r="AH107" t="str">
        <f t="shared" si="26"/>
        <v/>
      </c>
      <c r="AI107" t="str">
        <f t="shared" si="27"/>
        <v/>
      </c>
      <c r="AJ107" t="str">
        <f t="shared" si="28"/>
        <v/>
      </c>
      <c r="AK107" t="str">
        <f t="shared" si="29"/>
        <v/>
      </c>
      <c r="AL107" t="str">
        <f t="shared" si="30"/>
        <v/>
      </c>
      <c r="AM107" t="str">
        <f t="shared" si="31"/>
        <v/>
      </c>
      <c r="AN107" t="str">
        <f t="shared" si="32"/>
        <v/>
      </c>
      <c r="AO107" t="str">
        <f>IF($A107="","",SUMIFS(Compta!$F$1:$F$675,Compta!$A$1:$A$675,"GRP",Compta!$B$1:$B$675,"6236",Compta!$C$1:$C$675,$A107))</f>
        <v/>
      </c>
      <c r="AP107" t="str">
        <f t="shared" si="33"/>
        <v/>
      </c>
      <c r="AQ107" t="str">
        <f t="shared" si="34"/>
        <v/>
      </c>
      <c r="AR107" t="str">
        <f t="shared" si="35"/>
        <v/>
      </c>
    </row>
    <row r="108" spans="1:44" x14ac:dyDescent="0.45">
      <c r="A108" t="str">
        <f>IF(Allocation!C108="","",Allocation!C108)</f>
        <v/>
      </c>
      <c r="B108" t="str">
        <f>IF(Allocation!D108="","",Allocation!D108)</f>
        <v/>
      </c>
      <c r="C108" t="str">
        <f>IF(Allocation!E108="","",Allocation!E108)</f>
        <v/>
      </c>
      <c r="D108" t="str">
        <f>IF(Allocation!F108="","",Allocation!F108)</f>
        <v/>
      </c>
      <c r="E108" t="str">
        <f>IF(Allocation!G108="","",Allocation!G108)</f>
        <v/>
      </c>
      <c r="F108" t="str">
        <f>IF(Allocation!H108="","",Allocation!H108)</f>
        <v/>
      </c>
      <c r="G108" t="str">
        <f>IF(Allocation!D108="","",Allocation!I108)</f>
        <v/>
      </c>
      <c r="H108" t="str">
        <f>IF(Allocation!D108="","",Allocation!J108)</f>
        <v/>
      </c>
      <c r="I108" t="str">
        <f>IF(Allocation!D108="","",Allocation!K108)</f>
        <v/>
      </c>
      <c r="J108" t="str">
        <f>IF($A108="","",SUMIFS(Socle!$K$1:$K$1000,Socle!$C$1:$C$1000,$B108,Socle!$D$1:$D$1000,$D108,Socle!$E$1:$E$1000,$E108,Socle!$F$1:$F$1000,$F108,Socle!$G$1:$G$1000,$A108))</f>
        <v/>
      </c>
      <c r="K108" t="str">
        <f t="shared" si="18"/>
        <v/>
      </c>
      <c r="L108" t="str">
        <f>IF($A108="","",SUMIFS(Allocation!$I$1:$I$175,Allocation!$C$1:$C$175,$A108,Allocation!$D$1:$D$175,$B108))</f>
        <v/>
      </c>
      <c r="M108" t="str">
        <f>IF($A108="","",SUMIFS(Allocation!$J$1:$J$175,Allocation!$C$1:$C$175,$A108,Allocation!$D$1:$D$175,$B108))</f>
        <v/>
      </c>
      <c r="N108" t="str">
        <f>IF($A108="","",SUMIFS(Allocation!$K$1:$K$175,Allocation!$C$1:$C$175,$A108,Allocation!$D$1:$D$175,$B108))</f>
        <v/>
      </c>
      <c r="O108" t="str">
        <f t="shared" si="19"/>
        <v/>
      </c>
      <c r="P108" t="str">
        <f t="shared" si="20"/>
        <v/>
      </c>
      <c r="Q108" t="str">
        <f>IF($A108="","",SUMIFS(Allocation!$I$1:$I$175,Allocation!$C$1:$C$175,$A108,Allocation!$E$1:$E$175,$C108))</f>
        <v/>
      </c>
      <c r="R108" t="str">
        <f>IF($A108="","",SUMIFS(Allocation!$J$1:$J$175,Allocation!$C$1:$C$175,$A108,Allocation!$E$1:$E$175,$C108))</f>
        <v/>
      </c>
      <c r="S108" t="str">
        <f>IF($A108="","",SUMIFS(Allocation!$K$1:$K$175,Allocation!$C$1:$C$175,$A108,Allocation!$E$1:$E$175,$C108))</f>
        <v/>
      </c>
      <c r="T108" t="str">
        <f>IF($A108="","",SUMIFS(Allocation!$I$1:$I$175,Allocation!$C$1:$C$175,$A108))</f>
        <v/>
      </c>
      <c r="U108" t="str">
        <f>IF($A108="","",SUMIFS(Allocation!$J$1:$J$175,Allocation!$C$1:$C$175,$A108))</f>
        <v/>
      </c>
      <c r="V108" t="str">
        <f>IF($A108="","",SUMIFS(Allocation!$K$1:$K$175,Allocation!$C$1:$C$175,$A108))</f>
        <v/>
      </c>
      <c r="W108" t="str">
        <f>IF($A108="","",SUMIFS(Compta!$F$1:$F$675,Compta!$A$1:$A$675,$B108,Compta!$B$1:$B$675,"621",Compta!$C$1:$C$675,$A108))</f>
        <v/>
      </c>
      <c r="X108" t="str">
        <f>IF($A108="","",SUMIFS(Compta!$F$1:$F$675,Compta!$A$1:$A$675,$B108,Compta!$B$1:$B$675,"6411",Compta!$C$1:$C$675,$A108))</f>
        <v/>
      </c>
      <c r="Y108" t="str">
        <f>IF($A108="","",SUMIFS(Compta!$F$1:$F$675,Compta!$A$1:$A$675,$B108,Compta!$B$1:$B$675,"604",Compta!$C$1:$C$675,$A108)+SUMIFS(Compta!$F$1:$F$675,Compta!$A$1:$A$675,$B108,Compta!$B$1:$B$675,"6063",Compta!$C$1:$C$675,$A108))</f>
        <v/>
      </c>
      <c r="Z108" t="str">
        <f>IF($A108="","",SUMIFS(Compta!$F$1:$F$675,Compta!$A$1:$A$675,$B108,Compta!$B$1:$B$675,"6231",Compta!$C$1:$C$675,$A108))</f>
        <v/>
      </c>
      <c r="AA108" t="str">
        <f>IF($A108="","",SUMIFS(Compta!$F$1:$F$675,Compta!$A$1:$A$675,$B108,Compta!$B$1:$B$675,"6413",Compta!$C$1:$C$675,$A108)+SUMIFS(Compta!$F$1:$F$675,Compta!$A$1:$A$675,$B108,Compta!$B$1:$B$675,"645",Compta!$C$1:$C$675,$A108)+SUMIFS(Compta!$F$1:$F$675,Compta!$A$1:$A$675,$B108,Compta!$B$1:$B$675,"613",Compta!$C$1:$C$675,$A108)+SUMIFS(Compta!$F$1:$F$675,Compta!$A$1:$A$675,$B108,Compta!$B$1:$B$675,"615",Compta!$C$1:$C$675,$A108)+SUMIFS(Compta!$F$1:$F$675,Compta!$A$1:$A$675,$B108,Compta!$B$1:$B$675,"616",Compta!$C$1:$C$675,$A108)+SUMIFS(Compta!$F$1:$F$675,Compta!$A$1:$A$675,$B108,Compta!$B$1:$B$675,"625",Compta!$C$1:$C$675,$A108)+SUMIFS(Compta!$F$1:$F$675,Compta!$A$1:$A$675,$B108,Compta!$B$1:$B$675,"63511",Compta!$C$1:$C$675,$A108))</f>
        <v/>
      </c>
      <c r="AB108" t="str">
        <f>IF($A108="","",SUMIFS(Compta!$F$1:$F$675,Compta!$A$1:$A$675,"GRP",Compta!$B$1:$B$675,"6414",Compta!$C$1:$C$675,$A108)+SUMIFS(Compta!$F$1:$F$675,Compta!$A$1:$A$675,"GRP",Compta!$B$1:$B$675,"6226",Compta!$C$1:$C$675,$A108)+SUMIFS(Compta!$F$1:$F$675,Compta!$A$1:$A$675,"GRP",Compta!$B$1:$B$675,"626",Compta!$C$1:$C$675,$A108)+SUMIFS(Compta!$F$1:$F$675,Compta!$A$1:$A$675,"GRP",Compta!$B$1:$B$675,"6281",Compta!$C$1:$C$675,$A108)+SUMIFS(Compta!$F$1:$F$675,Compta!$A$1:$A$675,"GRP",Compta!$B$1:$B$675,"6331",Compta!$C$1:$C$675,$A108)+SUMIFS(Compta!$F$1:$F$675,Compta!$A$1:$A$675,"GRP",Compta!$B$1:$B$675,"6333",Compta!$C$1:$C$675,$A108))</f>
        <v/>
      </c>
      <c r="AC108" t="str">
        <f t="shared" si="21"/>
        <v/>
      </c>
      <c r="AD108" t="str">
        <f t="shared" si="22"/>
        <v/>
      </c>
      <c r="AE108" t="str">
        <f t="shared" si="23"/>
        <v/>
      </c>
      <c r="AF108" t="str">
        <f t="shared" si="24"/>
        <v/>
      </c>
      <c r="AG108" t="str">
        <f t="shared" si="25"/>
        <v/>
      </c>
      <c r="AH108" t="str">
        <f t="shared" si="26"/>
        <v/>
      </c>
      <c r="AI108" t="str">
        <f t="shared" si="27"/>
        <v/>
      </c>
      <c r="AJ108" t="str">
        <f t="shared" si="28"/>
        <v/>
      </c>
      <c r="AK108" t="str">
        <f t="shared" si="29"/>
        <v/>
      </c>
      <c r="AL108" t="str">
        <f t="shared" si="30"/>
        <v/>
      </c>
      <c r="AM108" t="str">
        <f t="shared" si="31"/>
        <v/>
      </c>
      <c r="AN108" t="str">
        <f t="shared" si="32"/>
        <v/>
      </c>
      <c r="AO108" t="str">
        <f>IF($A108="","",SUMIFS(Compta!$F$1:$F$675,Compta!$A$1:$A$675,"GRP",Compta!$B$1:$B$675,"6236",Compta!$C$1:$C$675,$A108))</f>
        <v/>
      </c>
      <c r="AP108" t="str">
        <f t="shared" si="33"/>
        <v/>
      </c>
      <c r="AQ108" t="str">
        <f t="shared" si="34"/>
        <v/>
      </c>
      <c r="AR108" t="str">
        <f t="shared" si="35"/>
        <v/>
      </c>
    </row>
    <row r="109" spans="1:44" x14ac:dyDescent="0.45">
      <c r="A109" t="str">
        <f>IF(Allocation!C109="","",Allocation!C109)</f>
        <v/>
      </c>
      <c r="B109" t="str">
        <f>IF(Allocation!D109="","",Allocation!D109)</f>
        <v/>
      </c>
      <c r="C109" t="str">
        <f>IF(Allocation!E109="","",Allocation!E109)</f>
        <v/>
      </c>
      <c r="D109" t="str">
        <f>IF(Allocation!F109="","",Allocation!F109)</f>
        <v/>
      </c>
      <c r="E109" t="str">
        <f>IF(Allocation!G109="","",Allocation!G109)</f>
        <v/>
      </c>
      <c r="F109" t="str">
        <f>IF(Allocation!H109="","",Allocation!H109)</f>
        <v/>
      </c>
      <c r="G109" t="str">
        <f>IF(Allocation!D109="","",Allocation!I109)</f>
        <v/>
      </c>
      <c r="H109" t="str">
        <f>IF(Allocation!D109="","",Allocation!J109)</f>
        <v/>
      </c>
      <c r="I109" t="str">
        <f>IF(Allocation!D109="","",Allocation!K109)</f>
        <v/>
      </c>
      <c r="J109" t="str">
        <f>IF($A109="","",SUMIFS(Socle!$K$1:$K$1000,Socle!$C$1:$C$1000,$B109,Socle!$D$1:$D$1000,$D109,Socle!$E$1:$E$1000,$E109,Socle!$F$1:$F$1000,$F109,Socle!$G$1:$G$1000,$A109))</f>
        <v/>
      </c>
      <c r="K109" t="str">
        <f t="shared" si="18"/>
        <v/>
      </c>
      <c r="L109" t="str">
        <f>IF($A109="","",SUMIFS(Allocation!$I$1:$I$175,Allocation!$C$1:$C$175,$A109,Allocation!$D$1:$D$175,$B109))</f>
        <v/>
      </c>
      <c r="M109" t="str">
        <f>IF($A109="","",SUMIFS(Allocation!$J$1:$J$175,Allocation!$C$1:$C$175,$A109,Allocation!$D$1:$D$175,$B109))</f>
        <v/>
      </c>
      <c r="N109" t="str">
        <f>IF($A109="","",SUMIFS(Allocation!$K$1:$K$175,Allocation!$C$1:$C$175,$A109,Allocation!$D$1:$D$175,$B109))</f>
        <v/>
      </c>
      <c r="O109" t="str">
        <f t="shared" si="19"/>
        <v/>
      </c>
      <c r="P109" t="str">
        <f t="shared" si="20"/>
        <v/>
      </c>
      <c r="Q109" t="str">
        <f>IF($A109="","",SUMIFS(Allocation!$I$1:$I$175,Allocation!$C$1:$C$175,$A109,Allocation!$E$1:$E$175,$C109))</f>
        <v/>
      </c>
      <c r="R109" t="str">
        <f>IF($A109="","",SUMIFS(Allocation!$J$1:$J$175,Allocation!$C$1:$C$175,$A109,Allocation!$E$1:$E$175,$C109))</f>
        <v/>
      </c>
      <c r="S109" t="str">
        <f>IF($A109="","",SUMIFS(Allocation!$K$1:$K$175,Allocation!$C$1:$C$175,$A109,Allocation!$E$1:$E$175,$C109))</f>
        <v/>
      </c>
      <c r="T109" t="str">
        <f>IF($A109="","",SUMIFS(Allocation!$I$1:$I$175,Allocation!$C$1:$C$175,$A109))</f>
        <v/>
      </c>
      <c r="U109" t="str">
        <f>IF($A109="","",SUMIFS(Allocation!$J$1:$J$175,Allocation!$C$1:$C$175,$A109))</f>
        <v/>
      </c>
      <c r="V109" t="str">
        <f>IF($A109="","",SUMIFS(Allocation!$K$1:$K$175,Allocation!$C$1:$C$175,$A109))</f>
        <v/>
      </c>
      <c r="W109" t="str">
        <f>IF($A109="","",SUMIFS(Compta!$F$1:$F$675,Compta!$A$1:$A$675,$B109,Compta!$B$1:$B$675,"621",Compta!$C$1:$C$675,$A109))</f>
        <v/>
      </c>
      <c r="X109" t="str">
        <f>IF($A109="","",SUMIFS(Compta!$F$1:$F$675,Compta!$A$1:$A$675,$B109,Compta!$B$1:$B$675,"6411",Compta!$C$1:$C$675,$A109))</f>
        <v/>
      </c>
      <c r="Y109" t="str">
        <f>IF($A109="","",SUMIFS(Compta!$F$1:$F$675,Compta!$A$1:$A$675,$B109,Compta!$B$1:$B$675,"604",Compta!$C$1:$C$675,$A109)+SUMIFS(Compta!$F$1:$F$675,Compta!$A$1:$A$675,$B109,Compta!$B$1:$B$675,"6063",Compta!$C$1:$C$675,$A109))</f>
        <v/>
      </c>
      <c r="Z109" t="str">
        <f>IF($A109="","",SUMIFS(Compta!$F$1:$F$675,Compta!$A$1:$A$675,$B109,Compta!$B$1:$B$675,"6231",Compta!$C$1:$C$675,$A109))</f>
        <v/>
      </c>
      <c r="AA109" t="str">
        <f>IF($A109="","",SUMIFS(Compta!$F$1:$F$675,Compta!$A$1:$A$675,$B109,Compta!$B$1:$B$675,"6413",Compta!$C$1:$C$675,$A109)+SUMIFS(Compta!$F$1:$F$675,Compta!$A$1:$A$675,$B109,Compta!$B$1:$B$675,"645",Compta!$C$1:$C$675,$A109)+SUMIFS(Compta!$F$1:$F$675,Compta!$A$1:$A$675,$B109,Compta!$B$1:$B$675,"613",Compta!$C$1:$C$675,$A109)+SUMIFS(Compta!$F$1:$F$675,Compta!$A$1:$A$675,$B109,Compta!$B$1:$B$675,"615",Compta!$C$1:$C$675,$A109)+SUMIFS(Compta!$F$1:$F$675,Compta!$A$1:$A$675,$B109,Compta!$B$1:$B$675,"616",Compta!$C$1:$C$675,$A109)+SUMIFS(Compta!$F$1:$F$675,Compta!$A$1:$A$675,$B109,Compta!$B$1:$B$675,"625",Compta!$C$1:$C$675,$A109)+SUMIFS(Compta!$F$1:$F$675,Compta!$A$1:$A$675,$B109,Compta!$B$1:$B$675,"63511",Compta!$C$1:$C$675,$A109))</f>
        <v/>
      </c>
      <c r="AB109" t="str">
        <f>IF($A109="","",SUMIFS(Compta!$F$1:$F$675,Compta!$A$1:$A$675,"GRP",Compta!$B$1:$B$675,"6414",Compta!$C$1:$C$675,$A109)+SUMIFS(Compta!$F$1:$F$675,Compta!$A$1:$A$675,"GRP",Compta!$B$1:$B$675,"6226",Compta!$C$1:$C$675,$A109)+SUMIFS(Compta!$F$1:$F$675,Compta!$A$1:$A$675,"GRP",Compta!$B$1:$B$675,"626",Compta!$C$1:$C$675,$A109)+SUMIFS(Compta!$F$1:$F$675,Compta!$A$1:$A$675,"GRP",Compta!$B$1:$B$675,"6281",Compta!$C$1:$C$675,$A109)+SUMIFS(Compta!$F$1:$F$675,Compta!$A$1:$A$675,"GRP",Compta!$B$1:$B$675,"6331",Compta!$C$1:$C$675,$A109)+SUMIFS(Compta!$F$1:$F$675,Compta!$A$1:$A$675,"GRP",Compta!$B$1:$B$675,"6333",Compta!$C$1:$C$675,$A109))</f>
        <v/>
      </c>
      <c r="AC109" t="str">
        <f t="shared" si="21"/>
        <v/>
      </c>
      <c r="AD109" t="str">
        <f t="shared" si="22"/>
        <v/>
      </c>
      <c r="AE109" t="str">
        <f t="shared" si="23"/>
        <v/>
      </c>
      <c r="AF109" t="str">
        <f t="shared" si="24"/>
        <v/>
      </c>
      <c r="AG109" t="str">
        <f t="shared" si="25"/>
        <v/>
      </c>
      <c r="AH109" t="str">
        <f t="shared" si="26"/>
        <v/>
      </c>
      <c r="AI109" t="str">
        <f t="shared" si="27"/>
        <v/>
      </c>
      <c r="AJ109" t="str">
        <f t="shared" si="28"/>
        <v/>
      </c>
      <c r="AK109" t="str">
        <f t="shared" si="29"/>
        <v/>
      </c>
      <c r="AL109" t="str">
        <f t="shared" si="30"/>
        <v/>
      </c>
      <c r="AM109" t="str">
        <f t="shared" si="31"/>
        <v/>
      </c>
      <c r="AN109" t="str">
        <f t="shared" si="32"/>
        <v/>
      </c>
      <c r="AO109" t="str">
        <f>IF($A109="","",SUMIFS(Compta!$F$1:$F$675,Compta!$A$1:$A$675,"GRP",Compta!$B$1:$B$675,"6236",Compta!$C$1:$C$675,$A109))</f>
        <v/>
      </c>
      <c r="AP109" t="str">
        <f t="shared" si="33"/>
        <v/>
      </c>
      <c r="AQ109" t="str">
        <f t="shared" si="34"/>
        <v/>
      </c>
      <c r="AR109" t="str">
        <f t="shared" si="35"/>
        <v/>
      </c>
    </row>
    <row r="110" spans="1:44" x14ac:dyDescent="0.45">
      <c r="A110" t="str">
        <f>IF(Allocation!C110="","",Allocation!C110)</f>
        <v/>
      </c>
      <c r="B110" t="str">
        <f>IF(Allocation!D110="","",Allocation!D110)</f>
        <v/>
      </c>
      <c r="C110" t="str">
        <f>IF(Allocation!E110="","",Allocation!E110)</f>
        <v/>
      </c>
      <c r="D110" t="str">
        <f>IF(Allocation!F110="","",Allocation!F110)</f>
        <v/>
      </c>
      <c r="E110" t="str">
        <f>IF(Allocation!G110="","",Allocation!G110)</f>
        <v/>
      </c>
      <c r="F110" t="str">
        <f>IF(Allocation!H110="","",Allocation!H110)</f>
        <v/>
      </c>
      <c r="G110" t="str">
        <f>IF(Allocation!D110="","",Allocation!I110)</f>
        <v/>
      </c>
      <c r="H110" t="str">
        <f>IF(Allocation!D110="","",Allocation!J110)</f>
        <v/>
      </c>
      <c r="I110" t="str">
        <f>IF(Allocation!D110="","",Allocation!K110)</f>
        <v/>
      </c>
      <c r="J110" t="str">
        <f>IF($A110="","",SUMIFS(Socle!$K$1:$K$1000,Socle!$C$1:$C$1000,$B110,Socle!$D$1:$D$1000,$D110,Socle!$E$1:$E$1000,$E110,Socle!$F$1:$F$1000,$F110,Socle!$G$1:$G$1000,$A110))</f>
        <v/>
      </c>
      <c r="K110" t="str">
        <f t="shared" si="18"/>
        <v/>
      </c>
      <c r="L110" t="str">
        <f>IF($A110="","",SUMIFS(Allocation!$I$1:$I$175,Allocation!$C$1:$C$175,$A110,Allocation!$D$1:$D$175,$B110))</f>
        <v/>
      </c>
      <c r="M110" t="str">
        <f>IF($A110="","",SUMIFS(Allocation!$J$1:$J$175,Allocation!$C$1:$C$175,$A110,Allocation!$D$1:$D$175,$B110))</f>
        <v/>
      </c>
      <c r="N110" t="str">
        <f>IF($A110="","",SUMIFS(Allocation!$K$1:$K$175,Allocation!$C$1:$C$175,$A110,Allocation!$D$1:$D$175,$B110))</f>
        <v/>
      </c>
      <c r="O110" t="str">
        <f t="shared" si="19"/>
        <v/>
      </c>
      <c r="P110" t="str">
        <f t="shared" si="20"/>
        <v/>
      </c>
      <c r="Q110" t="str">
        <f>IF($A110="","",SUMIFS(Allocation!$I$1:$I$175,Allocation!$C$1:$C$175,$A110,Allocation!$E$1:$E$175,$C110))</f>
        <v/>
      </c>
      <c r="R110" t="str">
        <f>IF($A110="","",SUMIFS(Allocation!$J$1:$J$175,Allocation!$C$1:$C$175,$A110,Allocation!$E$1:$E$175,$C110))</f>
        <v/>
      </c>
      <c r="S110" t="str">
        <f>IF($A110="","",SUMIFS(Allocation!$K$1:$K$175,Allocation!$C$1:$C$175,$A110,Allocation!$E$1:$E$175,$C110))</f>
        <v/>
      </c>
      <c r="T110" t="str">
        <f>IF($A110="","",SUMIFS(Allocation!$I$1:$I$175,Allocation!$C$1:$C$175,$A110))</f>
        <v/>
      </c>
      <c r="U110" t="str">
        <f>IF($A110="","",SUMIFS(Allocation!$J$1:$J$175,Allocation!$C$1:$C$175,$A110))</f>
        <v/>
      </c>
      <c r="V110" t="str">
        <f>IF($A110="","",SUMIFS(Allocation!$K$1:$K$175,Allocation!$C$1:$C$175,$A110))</f>
        <v/>
      </c>
      <c r="W110" t="str">
        <f>IF($A110="","",SUMIFS(Compta!$F$1:$F$675,Compta!$A$1:$A$675,$B110,Compta!$B$1:$B$675,"621",Compta!$C$1:$C$675,$A110))</f>
        <v/>
      </c>
      <c r="X110" t="str">
        <f>IF($A110="","",SUMIFS(Compta!$F$1:$F$675,Compta!$A$1:$A$675,$B110,Compta!$B$1:$B$675,"6411",Compta!$C$1:$C$675,$A110))</f>
        <v/>
      </c>
      <c r="Y110" t="str">
        <f>IF($A110="","",SUMIFS(Compta!$F$1:$F$675,Compta!$A$1:$A$675,$B110,Compta!$B$1:$B$675,"604",Compta!$C$1:$C$675,$A110)+SUMIFS(Compta!$F$1:$F$675,Compta!$A$1:$A$675,$B110,Compta!$B$1:$B$675,"6063",Compta!$C$1:$C$675,$A110))</f>
        <v/>
      </c>
      <c r="Z110" t="str">
        <f>IF($A110="","",SUMIFS(Compta!$F$1:$F$675,Compta!$A$1:$A$675,$B110,Compta!$B$1:$B$675,"6231",Compta!$C$1:$C$675,$A110))</f>
        <v/>
      </c>
      <c r="AA110" t="str">
        <f>IF($A110="","",SUMIFS(Compta!$F$1:$F$675,Compta!$A$1:$A$675,$B110,Compta!$B$1:$B$675,"6413",Compta!$C$1:$C$675,$A110)+SUMIFS(Compta!$F$1:$F$675,Compta!$A$1:$A$675,$B110,Compta!$B$1:$B$675,"645",Compta!$C$1:$C$675,$A110)+SUMIFS(Compta!$F$1:$F$675,Compta!$A$1:$A$675,$B110,Compta!$B$1:$B$675,"613",Compta!$C$1:$C$675,$A110)+SUMIFS(Compta!$F$1:$F$675,Compta!$A$1:$A$675,$B110,Compta!$B$1:$B$675,"615",Compta!$C$1:$C$675,$A110)+SUMIFS(Compta!$F$1:$F$675,Compta!$A$1:$A$675,$B110,Compta!$B$1:$B$675,"616",Compta!$C$1:$C$675,$A110)+SUMIFS(Compta!$F$1:$F$675,Compta!$A$1:$A$675,$B110,Compta!$B$1:$B$675,"625",Compta!$C$1:$C$675,$A110)+SUMIFS(Compta!$F$1:$F$675,Compta!$A$1:$A$675,$B110,Compta!$B$1:$B$675,"63511",Compta!$C$1:$C$675,$A110))</f>
        <v/>
      </c>
      <c r="AB110" t="str">
        <f>IF($A110="","",SUMIFS(Compta!$F$1:$F$675,Compta!$A$1:$A$675,"GRP",Compta!$B$1:$B$675,"6414",Compta!$C$1:$C$675,$A110)+SUMIFS(Compta!$F$1:$F$675,Compta!$A$1:$A$675,"GRP",Compta!$B$1:$B$675,"6226",Compta!$C$1:$C$675,$A110)+SUMIFS(Compta!$F$1:$F$675,Compta!$A$1:$A$675,"GRP",Compta!$B$1:$B$675,"626",Compta!$C$1:$C$675,$A110)+SUMIFS(Compta!$F$1:$F$675,Compta!$A$1:$A$675,"GRP",Compta!$B$1:$B$675,"6281",Compta!$C$1:$C$675,$A110)+SUMIFS(Compta!$F$1:$F$675,Compta!$A$1:$A$675,"GRP",Compta!$B$1:$B$675,"6331",Compta!$C$1:$C$675,$A110)+SUMIFS(Compta!$F$1:$F$675,Compta!$A$1:$A$675,"GRP",Compta!$B$1:$B$675,"6333",Compta!$C$1:$C$675,$A110))</f>
        <v/>
      </c>
      <c r="AC110" t="str">
        <f t="shared" si="21"/>
        <v/>
      </c>
      <c r="AD110" t="str">
        <f t="shared" si="22"/>
        <v/>
      </c>
      <c r="AE110" t="str">
        <f t="shared" si="23"/>
        <v/>
      </c>
      <c r="AF110" t="str">
        <f t="shared" si="24"/>
        <v/>
      </c>
      <c r="AG110" t="str">
        <f t="shared" si="25"/>
        <v/>
      </c>
      <c r="AH110" t="str">
        <f t="shared" si="26"/>
        <v/>
      </c>
      <c r="AI110" t="str">
        <f t="shared" si="27"/>
        <v/>
      </c>
      <c r="AJ110" t="str">
        <f t="shared" si="28"/>
        <v/>
      </c>
      <c r="AK110" t="str">
        <f t="shared" si="29"/>
        <v/>
      </c>
      <c r="AL110" t="str">
        <f t="shared" si="30"/>
        <v/>
      </c>
      <c r="AM110" t="str">
        <f t="shared" si="31"/>
        <v/>
      </c>
      <c r="AN110" t="str">
        <f t="shared" si="32"/>
        <v/>
      </c>
      <c r="AO110" t="str">
        <f>IF($A110="","",SUMIFS(Compta!$F$1:$F$675,Compta!$A$1:$A$675,"GRP",Compta!$B$1:$B$675,"6236",Compta!$C$1:$C$675,$A110))</f>
        <v/>
      </c>
      <c r="AP110" t="str">
        <f t="shared" si="33"/>
        <v/>
      </c>
      <c r="AQ110" t="str">
        <f t="shared" si="34"/>
        <v/>
      </c>
      <c r="AR110" t="str">
        <f t="shared" si="35"/>
        <v/>
      </c>
    </row>
    <row r="111" spans="1:44" x14ac:dyDescent="0.45">
      <c r="A111" t="str">
        <f>IF(Allocation!C111="","",Allocation!C111)</f>
        <v/>
      </c>
      <c r="B111" t="str">
        <f>IF(Allocation!D111="","",Allocation!D111)</f>
        <v/>
      </c>
      <c r="C111" t="str">
        <f>IF(Allocation!E111="","",Allocation!E111)</f>
        <v/>
      </c>
      <c r="D111" t="str">
        <f>IF(Allocation!F111="","",Allocation!F111)</f>
        <v/>
      </c>
      <c r="E111" t="str">
        <f>IF(Allocation!G111="","",Allocation!G111)</f>
        <v/>
      </c>
      <c r="F111" t="str">
        <f>IF(Allocation!H111="","",Allocation!H111)</f>
        <v/>
      </c>
      <c r="G111" t="str">
        <f>IF(Allocation!D111="","",Allocation!I111)</f>
        <v/>
      </c>
      <c r="H111" t="str">
        <f>IF(Allocation!D111="","",Allocation!J111)</f>
        <v/>
      </c>
      <c r="I111" t="str">
        <f>IF(Allocation!D111="","",Allocation!K111)</f>
        <v/>
      </c>
      <c r="J111" t="str">
        <f>IF($A111="","",SUMIFS(Socle!$K$1:$K$1000,Socle!$C$1:$C$1000,$B111,Socle!$D$1:$D$1000,$D111,Socle!$E$1:$E$1000,$E111,Socle!$F$1:$F$1000,$F111,Socle!$G$1:$G$1000,$A111))</f>
        <v/>
      </c>
      <c r="K111" t="str">
        <f t="shared" si="18"/>
        <v/>
      </c>
      <c r="L111" t="str">
        <f>IF($A111="","",SUMIFS(Allocation!$I$1:$I$175,Allocation!$C$1:$C$175,$A111,Allocation!$D$1:$D$175,$B111))</f>
        <v/>
      </c>
      <c r="M111" t="str">
        <f>IF($A111="","",SUMIFS(Allocation!$J$1:$J$175,Allocation!$C$1:$C$175,$A111,Allocation!$D$1:$D$175,$B111))</f>
        <v/>
      </c>
      <c r="N111" t="str">
        <f>IF($A111="","",SUMIFS(Allocation!$K$1:$K$175,Allocation!$C$1:$C$175,$A111,Allocation!$D$1:$D$175,$B111))</f>
        <v/>
      </c>
      <c r="O111" t="str">
        <f t="shared" si="19"/>
        <v/>
      </c>
      <c r="P111" t="str">
        <f t="shared" si="20"/>
        <v/>
      </c>
      <c r="Q111" t="str">
        <f>IF($A111="","",SUMIFS(Allocation!$I$1:$I$175,Allocation!$C$1:$C$175,$A111,Allocation!$E$1:$E$175,$C111))</f>
        <v/>
      </c>
      <c r="R111" t="str">
        <f>IF($A111="","",SUMIFS(Allocation!$J$1:$J$175,Allocation!$C$1:$C$175,$A111,Allocation!$E$1:$E$175,$C111))</f>
        <v/>
      </c>
      <c r="S111" t="str">
        <f>IF($A111="","",SUMIFS(Allocation!$K$1:$K$175,Allocation!$C$1:$C$175,$A111,Allocation!$E$1:$E$175,$C111))</f>
        <v/>
      </c>
      <c r="T111" t="str">
        <f>IF($A111="","",SUMIFS(Allocation!$I$1:$I$175,Allocation!$C$1:$C$175,$A111))</f>
        <v/>
      </c>
      <c r="U111" t="str">
        <f>IF($A111="","",SUMIFS(Allocation!$J$1:$J$175,Allocation!$C$1:$C$175,$A111))</f>
        <v/>
      </c>
      <c r="V111" t="str">
        <f>IF($A111="","",SUMIFS(Allocation!$K$1:$K$175,Allocation!$C$1:$C$175,$A111))</f>
        <v/>
      </c>
      <c r="W111" t="str">
        <f>IF($A111="","",SUMIFS(Compta!$F$1:$F$675,Compta!$A$1:$A$675,$B111,Compta!$B$1:$B$675,"621",Compta!$C$1:$C$675,$A111))</f>
        <v/>
      </c>
      <c r="X111" t="str">
        <f>IF($A111="","",SUMIFS(Compta!$F$1:$F$675,Compta!$A$1:$A$675,$B111,Compta!$B$1:$B$675,"6411",Compta!$C$1:$C$675,$A111))</f>
        <v/>
      </c>
      <c r="Y111" t="str">
        <f>IF($A111="","",SUMIFS(Compta!$F$1:$F$675,Compta!$A$1:$A$675,$B111,Compta!$B$1:$B$675,"604",Compta!$C$1:$C$675,$A111)+SUMIFS(Compta!$F$1:$F$675,Compta!$A$1:$A$675,$B111,Compta!$B$1:$B$675,"6063",Compta!$C$1:$C$675,$A111))</f>
        <v/>
      </c>
      <c r="Z111" t="str">
        <f>IF($A111="","",SUMIFS(Compta!$F$1:$F$675,Compta!$A$1:$A$675,$B111,Compta!$B$1:$B$675,"6231",Compta!$C$1:$C$675,$A111))</f>
        <v/>
      </c>
      <c r="AA111" t="str">
        <f>IF($A111="","",SUMIFS(Compta!$F$1:$F$675,Compta!$A$1:$A$675,$B111,Compta!$B$1:$B$675,"6413",Compta!$C$1:$C$675,$A111)+SUMIFS(Compta!$F$1:$F$675,Compta!$A$1:$A$675,$B111,Compta!$B$1:$B$675,"645",Compta!$C$1:$C$675,$A111)+SUMIFS(Compta!$F$1:$F$675,Compta!$A$1:$A$675,$B111,Compta!$B$1:$B$675,"613",Compta!$C$1:$C$675,$A111)+SUMIFS(Compta!$F$1:$F$675,Compta!$A$1:$A$675,$B111,Compta!$B$1:$B$675,"615",Compta!$C$1:$C$675,$A111)+SUMIFS(Compta!$F$1:$F$675,Compta!$A$1:$A$675,$B111,Compta!$B$1:$B$675,"616",Compta!$C$1:$C$675,$A111)+SUMIFS(Compta!$F$1:$F$675,Compta!$A$1:$A$675,$B111,Compta!$B$1:$B$675,"625",Compta!$C$1:$C$675,$A111)+SUMIFS(Compta!$F$1:$F$675,Compta!$A$1:$A$675,$B111,Compta!$B$1:$B$675,"63511",Compta!$C$1:$C$675,$A111))</f>
        <v/>
      </c>
      <c r="AB111" t="str">
        <f>IF($A111="","",SUMIFS(Compta!$F$1:$F$675,Compta!$A$1:$A$675,"GRP",Compta!$B$1:$B$675,"6414",Compta!$C$1:$C$675,$A111)+SUMIFS(Compta!$F$1:$F$675,Compta!$A$1:$A$675,"GRP",Compta!$B$1:$B$675,"6226",Compta!$C$1:$C$675,$A111)+SUMIFS(Compta!$F$1:$F$675,Compta!$A$1:$A$675,"GRP",Compta!$B$1:$B$675,"626",Compta!$C$1:$C$675,$A111)+SUMIFS(Compta!$F$1:$F$675,Compta!$A$1:$A$675,"GRP",Compta!$B$1:$B$675,"6281",Compta!$C$1:$C$675,$A111)+SUMIFS(Compta!$F$1:$F$675,Compta!$A$1:$A$675,"GRP",Compta!$B$1:$B$675,"6331",Compta!$C$1:$C$675,$A111)+SUMIFS(Compta!$F$1:$F$675,Compta!$A$1:$A$675,"GRP",Compta!$B$1:$B$675,"6333",Compta!$C$1:$C$675,$A111))</f>
        <v/>
      </c>
      <c r="AC111" t="str">
        <f t="shared" si="21"/>
        <v/>
      </c>
      <c r="AD111" t="str">
        <f t="shared" si="22"/>
        <v/>
      </c>
      <c r="AE111" t="str">
        <f t="shared" si="23"/>
        <v/>
      </c>
      <c r="AF111" t="str">
        <f t="shared" si="24"/>
        <v/>
      </c>
      <c r="AG111" t="str">
        <f t="shared" si="25"/>
        <v/>
      </c>
      <c r="AH111" t="str">
        <f t="shared" si="26"/>
        <v/>
      </c>
      <c r="AI111" t="str">
        <f t="shared" si="27"/>
        <v/>
      </c>
      <c r="AJ111" t="str">
        <f t="shared" si="28"/>
        <v/>
      </c>
      <c r="AK111" t="str">
        <f t="shared" si="29"/>
        <v/>
      </c>
      <c r="AL111" t="str">
        <f t="shared" si="30"/>
        <v/>
      </c>
      <c r="AM111" t="str">
        <f t="shared" si="31"/>
        <v/>
      </c>
      <c r="AN111" t="str">
        <f t="shared" si="32"/>
        <v/>
      </c>
      <c r="AO111" t="str">
        <f>IF($A111="","",SUMIFS(Compta!$F$1:$F$675,Compta!$A$1:$A$675,"GRP",Compta!$B$1:$B$675,"6236",Compta!$C$1:$C$675,$A111))</f>
        <v/>
      </c>
      <c r="AP111" t="str">
        <f t="shared" si="33"/>
        <v/>
      </c>
      <c r="AQ111" t="str">
        <f t="shared" si="34"/>
        <v/>
      </c>
      <c r="AR111" t="str">
        <f t="shared" si="35"/>
        <v/>
      </c>
    </row>
    <row r="112" spans="1:44" x14ac:dyDescent="0.45">
      <c r="A112" t="str">
        <f>IF(Allocation!C112="","",Allocation!C112)</f>
        <v/>
      </c>
      <c r="B112" t="str">
        <f>IF(Allocation!D112="","",Allocation!D112)</f>
        <v/>
      </c>
      <c r="C112" t="str">
        <f>IF(Allocation!E112="","",Allocation!E112)</f>
        <v/>
      </c>
      <c r="D112" t="str">
        <f>IF(Allocation!F112="","",Allocation!F112)</f>
        <v/>
      </c>
      <c r="E112" t="str">
        <f>IF(Allocation!G112="","",Allocation!G112)</f>
        <v/>
      </c>
      <c r="F112" t="str">
        <f>IF(Allocation!H112="","",Allocation!H112)</f>
        <v/>
      </c>
      <c r="G112" t="str">
        <f>IF(Allocation!D112="","",Allocation!I112)</f>
        <v/>
      </c>
      <c r="H112" t="str">
        <f>IF(Allocation!D112="","",Allocation!J112)</f>
        <v/>
      </c>
      <c r="I112" t="str">
        <f>IF(Allocation!D112="","",Allocation!K112)</f>
        <v/>
      </c>
      <c r="J112" t="str">
        <f>IF($A112="","",SUMIFS(Socle!$K$1:$K$1000,Socle!$C$1:$C$1000,$B112,Socle!$D$1:$D$1000,$D112,Socle!$E$1:$E$1000,$E112,Socle!$F$1:$F$1000,$F112,Socle!$G$1:$G$1000,$A112))</f>
        <v/>
      </c>
      <c r="K112" t="str">
        <f t="shared" si="18"/>
        <v/>
      </c>
      <c r="L112" t="str">
        <f>IF($A112="","",SUMIFS(Allocation!$I$1:$I$175,Allocation!$C$1:$C$175,$A112,Allocation!$D$1:$D$175,$B112))</f>
        <v/>
      </c>
      <c r="M112" t="str">
        <f>IF($A112="","",SUMIFS(Allocation!$J$1:$J$175,Allocation!$C$1:$C$175,$A112,Allocation!$D$1:$D$175,$B112))</f>
        <v/>
      </c>
      <c r="N112" t="str">
        <f>IF($A112="","",SUMIFS(Allocation!$K$1:$K$175,Allocation!$C$1:$C$175,$A112,Allocation!$D$1:$D$175,$B112))</f>
        <v/>
      </c>
      <c r="O112" t="str">
        <f t="shared" si="19"/>
        <v/>
      </c>
      <c r="P112" t="str">
        <f t="shared" si="20"/>
        <v/>
      </c>
      <c r="Q112" t="str">
        <f>IF($A112="","",SUMIFS(Allocation!$I$1:$I$175,Allocation!$C$1:$C$175,$A112,Allocation!$E$1:$E$175,$C112))</f>
        <v/>
      </c>
      <c r="R112" t="str">
        <f>IF($A112="","",SUMIFS(Allocation!$J$1:$J$175,Allocation!$C$1:$C$175,$A112,Allocation!$E$1:$E$175,$C112))</f>
        <v/>
      </c>
      <c r="S112" t="str">
        <f>IF($A112="","",SUMIFS(Allocation!$K$1:$K$175,Allocation!$C$1:$C$175,$A112,Allocation!$E$1:$E$175,$C112))</f>
        <v/>
      </c>
      <c r="T112" t="str">
        <f>IF($A112="","",SUMIFS(Allocation!$I$1:$I$175,Allocation!$C$1:$C$175,$A112))</f>
        <v/>
      </c>
      <c r="U112" t="str">
        <f>IF($A112="","",SUMIFS(Allocation!$J$1:$J$175,Allocation!$C$1:$C$175,$A112))</f>
        <v/>
      </c>
      <c r="V112" t="str">
        <f>IF($A112="","",SUMIFS(Allocation!$K$1:$K$175,Allocation!$C$1:$C$175,$A112))</f>
        <v/>
      </c>
      <c r="W112" t="str">
        <f>IF($A112="","",SUMIFS(Compta!$F$1:$F$675,Compta!$A$1:$A$675,$B112,Compta!$B$1:$B$675,"621",Compta!$C$1:$C$675,$A112))</f>
        <v/>
      </c>
      <c r="X112" t="str">
        <f>IF($A112="","",SUMIFS(Compta!$F$1:$F$675,Compta!$A$1:$A$675,$B112,Compta!$B$1:$B$675,"6411",Compta!$C$1:$C$675,$A112))</f>
        <v/>
      </c>
      <c r="Y112" t="str">
        <f>IF($A112="","",SUMIFS(Compta!$F$1:$F$675,Compta!$A$1:$A$675,$B112,Compta!$B$1:$B$675,"604",Compta!$C$1:$C$675,$A112)+SUMIFS(Compta!$F$1:$F$675,Compta!$A$1:$A$675,$B112,Compta!$B$1:$B$675,"6063",Compta!$C$1:$C$675,$A112))</f>
        <v/>
      </c>
      <c r="Z112" t="str">
        <f>IF($A112="","",SUMIFS(Compta!$F$1:$F$675,Compta!$A$1:$A$675,$B112,Compta!$B$1:$B$675,"6231",Compta!$C$1:$C$675,$A112))</f>
        <v/>
      </c>
      <c r="AA112" t="str">
        <f>IF($A112="","",SUMIFS(Compta!$F$1:$F$675,Compta!$A$1:$A$675,$B112,Compta!$B$1:$B$675,"6413",Compta!$C$1:$C$675,$A112)+SUMIFS(Compta!$F$1:$F$675,Compta!$A$1:$A$675,$B112,Compta!$B$1:$B$675,"645",Compta!$C$1:$C$675,$A112)+SUMIFS(Compta!$F$1:$F$675,Compta!$A$1:$A$675,$B112,Compta!$B$1:$B$675,"613",Compta!$C$1:$C$675,$A112)+SUMIFS(Compta!$F$1:$F$675,Compta!$A$1:$A$675,$B112,Compta!$B$1:$B$675,"615",Compta!$C$1:$C$675,$A112)+SUMIFS(Compta!$F$1:$F$675,Compta!$A$1:$A$675,$B112,Compta!$B$1:$B$675,"616",Compta!$C$1:$C$675,$A112)+SUMIFS(Compta!$F$1:$F$675,Compta!$A$1:$A$675,$B112,Compta!$B$1:$B$675,"625",Compta!$C$1:$C$675,$A112)+SUMIFS(Compta!$F$1:$F$675,Compta!$A$1:$A$675,$B112,Compta!$B$1:$B$675,"63511",Compta!$C$1:$C$675,$A112))</f>
        <v/>
      </c>
      <c r="AB112" t="str">
        <f>IF($A112="","",SUMIFS(Compta!$F$1:$F$675,Compta!$A$1:$A$675,"GRP",Compta!$B$1:$B$675,"6414",Compta!$C$1:$C$675,$A112)+SUMIFS(Compta!$F$1:$F$675,Compta!$A$1:$A$675,"GRP",Compta!$B$1:$B$675,"6226",Compta!$C$1:$C$675,$A112)+SUMIFS(Compta!$F$1:$F$675,Compta!$A$1:$A$675,"GRP",Compta!$B$1:$B$675,"626",Compta!$C$1:$C$675,$A112)+SUMIFS(Compta!$F$1:$F$675,Compta!$A$1:$A$675,"GRP",Compta!$B$1:$B$675,"6281",Compta!$C$1:$C$675,$A112)+SUMIFS(Compta!$F$1:$F$675,Compta!$A$1:$A$675,"GRP",Compta!$B$1:$B$675,"6331",Compta!$C$1:$C$675,$A112)+SUMIFS(Compta!$F$1:$F$675,Compta!$A$1:$A$675,"GRP",Compta!$B$1:$B$675,"6333",Compta!$C$1:$C$675,$A112))</f>
        <v/>
      </c>
      <c r="AC112" t="str">
        <f t="shared" si="21"/>
        <v/>
      </c>
      <c r="AD112" t="str">
        <f t="shared" si="22"/>
        <v/>
      </c>
      <c r="AE112" t="str">
        <f t="shared" si="23"/>
        <v/>
      </c>
      <c r="AF112" t="str">
        <f t="shared" si="24"/>
        <v/>
      </c>
      <c r="AG112" t="str">
        <f t="shared" si="25"/>
        <v/>
      </c>
      <c r="AH112" t="str">
        <f t="shared" si="26"/>
        <v/>
      </c>
      <c r="AI112" t="str">
        <f t="shared" si="27"/>
        <v/>
      </c>
      <c r="AJ112" t="str">
        <f t="shared" si="28"/>
        <v/>
      </c>
      <c r="AK112" t="str">
        <f t="shared" si="29"/>
        <v/>
      </c>
      <c r="AL112" t="str">
        <f t="shared" si="30"/>
        <v/>
      </c>
      <c r="AM112" t="str">
        <f t="shared" si="31"/>
        <v/>
      </c>
      <c r="AN112" t="str">
        <f t="shared" si="32"/>
        <v/>
      </c>
      <c r="AO112" t="str">
        <f>IF($A112="","",SUMIFS(Compta!$F$1:$F$675,Compta!$A$1:$A$675,"GRP",Compta!$B$1:$B$675,"6236",Compta!$C$1:$C$675,$A112))</f>
        <v/>
      </c>
      <c r="AP112" t="str">
        <f t="shared" si="33"/>
        <v/>
      </c>
      <c r="AQ112" t="str">
        <f t="shared" si="34"/>
        <v/>
      </c>
      <c r="AR112" t="str">
        <f t="shared" si="35"/>
        <v/>
      </c>
    </row>
    <row r="113" spans="1:44" x14ac:dyDescent="0.45">
      <c r="A113" t="str">
        <f>IF(Allocation!C113="","",Allocation!C113)</f>
        <v/>
      </c>
      <c r="B113" t="str">
        <f>IF(Allocation!D113="","",Allocation!D113)</f>
        <v/>
      </c>
      <c r="C113" t="str">
        <f>IF(Allocation!E113="","",Allocation!E113)</f>
        <v/>
      </c>
      <c r="D113" t="str">
        <f>IF(Allocation!F113="","",Allocation!F113)</f>
        <v/>
      </c>
      <c r="E113" t="str">
        <f>IF(Allocation!G113="","",Allocation!G113)</f>
        <v/>
      </c>
      <c r="F113" t="str">
        <f>IF(Allocation!H113="","",Allocation!H113)</f>
        <v/>
      </c>
      <c r="G113" t="str">
        <f>IF(Allocation!D113="","",Allocation!I113)</f>
        <v/>
      </c>
      <c r="H113" t="str">
        <f>IF(Allocation!D113="","",Allocation!J113)</f>
        <v/>
      </c>
      <c r="I113" t="str">
        <f>IF(Allocation!D113="","",Allocation!K113)</f>
        <v/>
      </c>
      <c r="J113" t="str">
        <f>IF($A113="","",SUMIFS(Socle!$K$1:$K$1000,Socle!$C$1:$C$1000,$B113,Socle!$D$1:$D$1000,$D113,Socle!$E$1:$E$1000,$E113,Socle!$F$1:$F$1000,$F113,Socle!$G$1:$G$1000,$A113))</f>
        <v/>
      </c>
      <c r="K113" t="str">
        <f t="shared" si="18"/>
        <v/>
      </c>
      <c r="L113" t="str">
        <f>IF($A113="","",SUMIFS(Allocation!$I$1:$I$175,Allocation!$C$1:$C$175,$A113,Allocation!$D$1:$D$175,$B113))</f>
        <v/>
      </c>
      <c r="M113" t="str">
        <f>IF($A113="","",SUMIFS(Allocation!$J$1:$J$175,Allocation!$C$1:$C$175,$A113,Allocation!$D$1:$D$175,$B113))</f>
        <v/>
      </c>
      <c r="N113" t="str">
        <f>IF($A113="","",SUMIFS(Allocation!$K$1:$K$175,Allocation!$C$1:$C$175,$A113,Allocation!$D$1:$D$175,$B113))</f>
        <v/>
      </c>
      <c r="O113" t="str">
        <f t="shared" si="19"/>
        <v/>
      </c>
      <c r="P113" t="str">
        <f t="shared" si="20"/>
        <v/>
      </c>
      <c r="Q113" t="str">
        <f>IF($A113="","",SUMIFS(Allocation!$I$1:$I$175,Allocation!$C$1:$C$175,$A113,Allocation!$E$1:$E$175,$C113))</f>
        <v/>
      </c>
      <c r="R113" t="str">
        <f>IF($A113="","",SUMIFS(Allocation!$J$1:$J$175,Allocation!$C$1:$C$175,$A113,Allocation!$E$1:$E$175,$C113))</f>
        <v/>
      </c>
      <c r="S113" t="str">
        <f>IF($A113="","",SUMIFS(Allocation!$K$1:$K$175,Allocation!$C$1:$C$175,$A113,Allocation!$E$1:$E$175,$C113))</f>
        <v/>
      </c>
      <c r="T113" t="str">
        <f>IF($A113="","",SUMIFS(Allocation!$I$1:$I$175,Allocation!$C$1:$C$175,$A113))</f>
        <v/>
      </c>
      <c r="U113" t="str">
        <f>IF($A113="","",SUMIFS(Allocation!$J$1:$J$175,Allocation!$C$1:$C$175,$A113))</f>
        <v/>
      </c>
      <c r="V113" t="str">
        <f>IF($A113="","",SUMIFS(Allocation!$K$1:$K$175,Allocation!$C$1:$C$175,$A113))</f>
        <v/>
      </c>
      <c r="W113" t="str">
        <f>IF($A113="","",SUMIFS(Compta!$F$1:$F$675,Compta!$A$1:$A$675,$B113,Compta!$B$1:$B$675,"621",Compta!$C$1:$C$675,$A113))</f>
        <v/>
      </c>
      <c r="X113" t="str">
        <f>IF($A113="","",SUMIFS(Compta!$F$1:$F$675,Compta!$A$1:$A$675,$B113,Compta!$B$1:$B$675,"6411",Compta!$C$1:$C$675,$A113))</f>
        <v/>
      </c>
      <c r="Y113" t="str">
        <f>IF($A113="","",SUMIFS(Compta!$F$1:$F$675,Compta!$A$1:$A$675,$B113,Compta!$B$1:$B$675,"604",Compta!$C$1:$C$675,$A113)+SUMIFS(Compta!$F$1:$F$675,Compta!$A$1:$A$675,$B113,Compta!$B$1:$B$675,"6063",Compta!$C$1:$C$675,$A113))</f>
        <v/>
      </c>
      <c r="Z113" t="str">
        <f>IF($A113="","",SUMIFS(Compta!$F$1:$F$675,Compta!$A$1:$A$675,$B113,Compta!$B$1:$B$675,"6231",Compta!$C$1:$C$675,$A113))</f>
        <v/>
      </c>
      <c r="AA113" t="str">
        <f>IF($A113="","",SUMIFS(Compta!$F$1:$F$675,Compta!$A$1:$A$675,$B113,Compta!$B$1:$B$675,"6413",Compta!$C$1:$C$675,$A113)+SUMIFS(Compta!$F$1:$F$675,Compta!$A$1:$A$675,$B113,Compta!$B$1:$B$675,"645",Compta!$C$1:$C$675,$A113)+SUMIFS(Compta!$F$1:$F$675,Compta!$A$1:$A$675,$B113,Compta!$B$1:$B$675,"613",Compta!$C$1:$C$675,$A113)+SUMIFS(Compta!$F$1:$F$675,Compta!$A$1:$A$675,$B113,Compta!$B$1:$B$675,"615",Compta!$C$1:$C$675,$A113)+SUMIFS(Compta!$F$1:$F$675,Compta!$A$1:$A$675,$B113,Compta!$B$1:$B$675,"616",Compta!$C$1:$C$675,$A113)+SUMIFS(Compta!$F$1:$F$675,Compta!$A$1:$A$675,$B113,Compta!$B$1:$B$675,"625",Compta!$C$1:$C$675,$A113)+SUMIFS(Compta!$F$1:$F$675,Compta!$A$1:$A$675,$B113,Compta!$B$1:$B$675,"63511",Compta!$C$1:$C$675,$A113))</f>
        <v/>
      </c>
      <c r="AB113" t="str">
        <f>IF($A113="","",SUMIFS(Compta!$F$1:$F$675,Compta!$A$1:$A$675,"GRP",Compta!$B$1:$B$675,"6414",Compta!$C$1:$C$675,$A113)+SUMIFS(Compta!$F$1:$F$675,Compta!$A$1:$A$675,"GRP",Compta!$B$1:$B$675,"6226",Compta!$C$1:$C$675,$A113)+SUMIFS(Compta!$F$1:$F$675,Compta!$A$1:$A$675,"GRP",Compta!$B$1:$B$675,"626",Compta!$C$1:$C$675,$A113)+SUMIFS(Compta!$F$1:$F$675,Compta!$A$1:$A$675,"GRP",Compta!$B$1:$B$675,"6281",Compta!$C$1:$C$675,$A113)+SUMIFS(Compta!$F$1:$F$675,Compta!$A$1:$A$675,"GRP",Compta!$B$1:$B$675,"6331",Compta!$C$1:$C$675,$A113)+SUMIFS(Compta!$F$1:$F$675,Compta!$A$1:$A$675,"GRP",Compta!$B$1:$B$675,"6333",Compta!$C$1:$C$675,$A113))</f>
        <v/>
      </c>
      <c r="AC113" t="str">
        <f t="shared" si="21"/>
        <v/>
      </c>
      <c r="AD113" t="str">
        <f t="shared" si="22"/>
        <v/>
      </c>
      <c r="AE113" t="str">
        <f t="shared" si="23"/>
        <v/>
      </c>
      <c r="AF113" t="str">
        <f t="shared" si="24"/>
        <v/>
      </c>
      <c r="AG113" t="str">
        <f t="shared" si="25"/>
        <v/>
      </c>
      <c r="AH113" t="str">
        <f t="shared" si="26"/>
        <v/>
      </c>
      <c r="AI113" t="str">
        <f t="shared" si="27"/>
        <v/>
      </c>
      <c r="AJ113" t="str">
        <f t="shared" si="28"/>
        <v/>
      </c>
      <c r="AK113" t="str">
        <f t="shared" si="29"/>
        <v/>
      </c>
      <c r="AL113" t="str">
        <f t="shared" si="30"/>
        <v/>
      </c>
      <c r="AM113" t="str">
        <f t="shared" si="31"/>
        <v/>
      </c>
      <c r="AN113" t="str">
        <f t="shared" si="32"/>
        <v/>
      </c>
      <c r="AO113" t="str">
        <f>IF($A113="","",SUMIFS(Compta!$F$1:$F$675,Compta!$A$1:$A$675,"GRP",Compta!$B$1:$B$675,"6236",Compta!$C$1:$C$675,$A113))</f>
        <v/>
      </c>
      <c r="AP113" t="str">
        <f t="shared" si="33"/>
        <v/>
      </c>
      <c r="AQ113" t="str">
        <f t="shared" si="34"/>
        <v/>
      </c>
      <c r="AR113" t="str">
        <f t="shared" si="35"/>
        <v/>
      </c>
    </row>
    <row r="114" spans="1:44" x14ac:dyDescent="0.45">
      <c r="A114" t="str">
        <f>IF(Allocation!C114="","",Allocation!C114)</f>
        <v/>
      </c>
      <c r="B114" t="str">
        <f>IF(Allocation!D114="","",Allocation!D114)</f>
        <v/>
      </c>
      <c r="C114" t="str">
        <f>IF(Allocation!E114="","",Allocation!E114)</f>
        <v/>
      </c>
      <c r="D114" t="str">
        <f>IF(Allocation!F114="","",Allocation!F114)</f>
        <v/>
      </c>
      <c r="E114" t="str">
        <f>IF(Allocation!G114="","",Allocation!G114)</f>
        <v/>
      </c>
      <c r="F114" t="str">
        <f>IF(Allocation!H114="","",Allocation!H114)</f>
        <v/>
      </c>
      <c r="G114" t="str">
        <f>IF(Allocation!D114="","",Allocation!I114)</f>
        <v/>
      </c>
      <c r="H114" t="str">
        <f>IF(Allocation!D114="","",Allocation!J114)</f>
        <v/>
      </c>
      <c r="I114" t="str">
        <f>IF(Allocation!D114="","",Allocation!K114)</f>
        <v/>
      </c>
      <c r="J114" t="str">
        <f>IF($A114="","",SUMIFS(Socle!$K$1:$K$1000,Socle!$C$1:$C$1000,$B114,Socle!$D$1:$D$1000,$D114,Socle!$E$1:$E$1000,$E114,Socle!$F$1:$F$1000,$F114,Socle!$G$1:$G$1000,$A114))</f>
        <v/>
      </c>
      <c r="K114" t="str">
        <f t="shared" si="18"/>
        <v/>
      </c>
      <c r="L114" t="str">
        <f>IF($A114="","",SUMIFS(Allocation!$I$1:$I$175,Allocation!$C$1:$C$175,$A114,Allocation!$D$1:$D$175,$B114))</f>
        <v/>
      </c>
      <c r="M114" t="str">
        <f>IF($A114="","",SUMIFS(Allocation!$J$1:$J$175,Allocation!$C$1:$C$175,$A114,Allocation!$D$1:$D$175,$B114))</f>
        <v/>
      </c>
      <c r="N114" t="str">
        <f>IF($A114="","",SUMIFS(Allocation!$K$1:$K$175,Allocation!$C$1:$C$175,$A114,Allocation!$D$1:$D$175,$B114))</f>
        <v/>
      </c>
      <c r="O114" t="str">
        <f t="shared" si="19"/>
        <v/>
      </c>
      <c r="P114" t="str">
        <f t="shared" si="20"/>
        <v/>
      </c>
      <c r="Q114" t="str">
        <f>IF($A114="","",SUMIFS(Allocation!$I$1:$I$175,Allocation!$C$1:$C$175,$A114,Allocation!$E$1:$E$175,$C114))</f>
        <v/>
      </c>
      <c r="R114" t="str">
        <f>IF($A114="","",SUMIFS(Allocation!$J$1:$J$175,Allocation!$C$1:$C$175,$A114,Allocation!$E$1:$E$175,$C114))</f>
        <v/>
      </c>
      <c r="S114" t="str">
        <f>IF($A114="","",SUMIFS(Allocation!$K$1:$K$175,Allocation!$C$1:$C$175,$A114,Allocation!$E$1:$E$175,$C114))</f>
        <v/>
      </c>
      <c r="T114" t="str">
        <f>IF($A114="","",SUMIFS(Allocation!$I$1:$I$175,Allocation!$C$1:$C$175,$A114))</f>
        <v/>
      </c>
      <c r="U114" t="str">
        <f>IF($A114="","",SUMIFS(Allocation!$J$1:$J$175,Allocation!$C$1:$C$175,$A114))</f>
        <v/>
      </c>
      <c r="V114" t="str">
        <f>IF($A114="","",SUMIFS(Allocation!$K$1:$K$175,Allocation!$C$1:$C$175,$A114))</f>
        <v/>
      </c>
      <c r="W114" t="str">
        <f>IF($A114="","",SUMIFS(Compta!$F$1:$F$675,Compta!$A$1:$A$675,$B114,Compta!$B$1:$B$675,"621",Compta!$C$1:$C$675,$A114))</f>
        <v/>
      </c>
      <c r="X114" t="str">
        <f>IF($A114="","",SUMIFS(Compta!$F$1:$F$675,Compta!$A$1:$A$675,$B114,Compta!$B$1:$B$675,"6411",Compta!$C$1:$C$675,$A114))</f>
        <v/>
      </c>
      <c r="Y114" t="str">
        <f>IF($A114="","",SUMIFS(Compta!$F$1:$F$675,Compta!$A$1:$A$675,$B114,Compta!$B$1:$B$675,"604",Compta!$C$1:$C$675,$A114)+SUMIFS(Compta!$F$1:$F$675,Compta!$A$1:$A$675,$B114,Compta!$B$1:$B$675,"6063",Compta!$C$1:$C$675,$A114))</f>
        <v/>
      </c>
      <c r="Z114" t="str">
        <f>IF($A114="","",SUMIFS(Compta!$F$1:$F$675,Compta!$A$1:$A$675,$B114,Compta!$B$1:$B$675,"6231",Compta!$C$1:$C$675,$A114))</f>
        <v/>
      </c>
      <c r="AA114" t="str">
        <f>IF($A114="","",SUMIFS(Compta!$F$1:$F$675,Compta!$A$1:$A$675,$B114,Compta!$B$1:$B$675,"6413",Compta!$C$1:$C$675,$A114)+SUMIFS(Compta!$F$1:$F$675,Compta!$A$1:$A$675,$B114,Compta!$B$1:$B$675,"645",Compta!$C$1:$C$675,$A114)+SUMIFS(Compta!$F$1:$F$675,Compta!$A$1:$A$675,$B114,Compta!$B$1:$B$675,"613",Compta!$C$1:$C$675,$A114)+SUMIFS(Compta!$F$1:$F$675,Compta!$A$1:$A$675,$B114,Compta!$B$1:$B$675,"615",Compta!$C$1:$C$675,$A114)+SUMIFS(Compta!$F$1:$F$675,Compta!$A$1:$A$675,$B114,Compta!$B$1:$B$675,"616",Compta!$C$1:$C$675,$A114)+SUMIFS(Compta!$F$1:$F$675,Compta!$A$1:$A$675,$B114,Compta!$B$1:$B$675,"625",Compta!$C$1:$C$675,$A114)+SUMIFS(Compta!$F$1:$F$675,Compta!$A$1:$A$675,$B114,Compta!$B$1:$B$675,"63511",Compta!$C$1:$C$675,$A114))</f>
        <v/>
      </c>
      <c r="AB114" t="str">
        <f>IF($A114="","",SUMIFS(Compta!$F$1:$F$675,Compta!$A$1:$A$675,"GRP",Compta!$B$1:$B$675,"6414",Compta!$C$1:$C$675,$A114)+SUMIFS(Compta!$F$1:$F$675,Compta!$A$1:$A$675,"GRP",Compta!$B$1:$B$675,"6226",Compta!$C$1:$C$675,$A114)+SUMIFS(Compta!$F$1:$F$675,Compta!$A$1:$A$675,"GRP",Compta!$B$1:$B$675,"626",Compta!$C$1:$C$675,$A114)+SUMIFS(Compta!$F$1:$F$675,Compta!$A$1:$A$675,"GRP",Compta!$B$1:$B$675,"6281",Compta!$C$1:$C$675,$A114)+SUMIFS(Compta!$F$1:$F$675,Compta!$A$1:$A$675,"GRP",Compta!$B$1:$B$675,"6331",Compta!$C$1:$C$675,$A114)+SUMIFS(Compta!$F$1:$F$675,Compta!$A$1:$A$675,"GRP",Compta!$B$1:$B$675,"6333",Compta!$C$1:$C$675,$A114))</f>
        <v/>
      </c>
      <c r="AC114" t="str">
        <f t="shared" si="21"/>
        <v/>
      </c>
      <c r="AD114" t="str">
        <f t="shared" si="22"/>
        <v/>
      </c>
      <c r="AE114" t="str">
        <f t="shared" si="23"/>
        <v/>
      </c>
      <c r="AF114" t="str">
        <f t="shared" si="24"/>
        <v/>
      </c>
      <c r="AG114" t="str">
        <f t="shared" si="25"/>
        <v/>
      </c>
      <c r="AH114" t="str">
        <f t="shared" si="26"/>
        <v/>
      </c>
      <c r="AI114" t="str">
        <f t="shared" si="27"/>
        <v/>
      </c>
      <c r="AJ114" t="str">
        <f t="shared" si="28"/>
        <v/>
      </c>
      <c r="AK114" t="str">
        <f t="shared" si="29"/>
        <v/>
      </c>
      <c r="AL114" t="str">
        <f t="shared" si="30"/>
        <v/>
      </c>
      <c r="AM114" t="str">
        <f t="shared" si="31"/>
        <v/>
      </c>
      <c r="AN114" t="str">
        <f t="shared" si="32"/>
        <v/>
      </c>
      <c r="AO114" t="str">
        <f>IF($A114="","",SUMIFS(Compta!$F$1:$F$675,Compta!$A$1:$A$675,"GRP",Compta!$B$1:$B$675,"6236",Compta!$C$1:$C$675,$A114))</f>
        <v/>
      </c>
      <c r="AP114" t="str">
        <f t="shared" si="33"/>
        <v/>
      </c>
      <c r="AQ114" t="str">
        <f t="shared" si="34"/>
        <v/>
      </c>
      <c r="AR114" t="str">
        <f t="shared" si="35"/>
        <v/>
      </c>
    </row>
    <row r="115" spans="1:44" x14ac:dyDescent="0.45">
      <c r="A115" t="str">
        <f>IF(Allocation!C115="","",Allocation!C115)</f>
        <v/>
      </c>
      <c r="B115" t="str">
        <f>IF(Allocation!D115="","",Allocation!D115)</f>
        <v/>
      </c>
      <c r="C115" t="str">
        <f>IF(Allocation!E115="","",Allocation!E115)</f>
        <v/>
      </c>
      <c r="D115" t="str">
        <f>IF(Allocation!F115="","",Allocation!F115)</f>
        <v/>
      </c>
      <c r="E115" t="str">
        <f>IF(Allocation!G115="","",Allocation!G115)</f>
        <v/>
      </c>
      <c r="F115" t="str">
        <f>IF(Allocation!H115="","",Allocation!H115)</f>
        <v/>
      </c>
      <c r="G115" t="str">
        <f>IF(Allocation!D115="","",Allocation!I115)</f>
        <v/>
      </c>
      <c r="H115" t="str">
        <f>IF(Allocation!D115="","",Allocation!J115)</f>
        <v/>
      </c>
      <c r="I115" t="str">
        <f>IF(Allocation!D115="","",Allocation!K115)</f>
        <v/>
      </c>
      <c r="J115" t="str">
        <f>IF($A115="","",SUMIFS(Socle!$K$1:$K$1000,Socle!$C$1:$C$1000,$B115,Socle!$D$1:$D$1000,$D115,Socle!$E$1:$E$1000,$E115,Socle!$F$1:$F$1000,$F115,Socle!$G$1:$G$1000,$A115))</f>
        <v/>
      </c>
      <c r="K115" t="str">
        <f t="shared" si="18"/>
        <v/>
      </c>
      <c r="L115" t="str">
        <f>IF($A115="","",SUMIFS(Allocation!$I$1:$I$175,Allocation!$C$1:$C$175,$A115,Allocation!$D$1:$D$175,$B115))</f>
        <v/>
      </c>
      <c r="M115" t="str">
        <f>IF($A115="","",SUMIFS(Allocation!$J$1:$J$175,Allocation!$C$1:$C$175,$A115,Allocation!$D$1:$D$175,$B115))</f>
        <v/>
      </c>
      <c r="N115" t="str">
        <f>IF($A115="","",SUMIFS(Allocation!$K$1:$K$175,Allocation!$C$1:$C$175,$A115,Allocation!$D$1:$D$175,$B115))</f>
        <v/>
      </c>
      <c r="O115" t="str">
        <f t="shared" si="19"/>
        <v/>
      </c>
      <c r="P115" t="str">
        <f t="shared" si="20"/>
        <v/>
      </c>
      <c r="Q115" t="str">
        <f>IF($A115="","",SUMIFS(Allocation!$I$1:$I$175,Allocation!$C$1:$C$175,$A115,Allocation!$E$1:$E$175,$C115))</f>
        <v/>
      </c>
      <c r="R115" t="str">
        <f>IF($A115="","",SUMIFS(Allocation!$J$1:$J$175,Allocation!$C$1:$C$175,$A115,Allocation!$E$1:$E$175,$C115))</f>
        <v/>
      </c>
      <c r="S115" t="str">
        <f>IF($A115="","",SUMIFS(Allocation!$K$1:$K$175,Allocation!$C$1:$C$175,$A115,Allocation!$E$1:$E$175,$C115))</f>
        <v/>
      </c>
      <c r="T115" t="str">
        <f>IF($A115="","",SUMIFS(Allocation!$I$1:$I$175,Allocation!$C$1:$C$175,$A115))</f>
        <v/>
      </c>
      <c r="U115" t="str">
        <f>IF($A115="","",SUMIFS(Allocation!$J$1:$J$175,Allocation!$C$1:$C$175,$A115))</f>
        <v/>
      </c>
      <c r="V115" t="str">
        <f>IF($A115="","",SUMIFS(Allocation!$K$1:$K$175,Allocation!$C$1:$C$175,$A115))</f>
        <v/>
      </c>
      <c r="W115" t="str">
        <f>IF($A115="","",SUMIFS(Compta!$F$1:$F$675,Compta!$A$1:$A$675,$B115,Compta!$B$1:$B$675,"621",Compta!$C$1:$C$675,$A115))</f>
        <v/>
      </c>
      <c r="X115" t="str">
        <f>IF($A115="","",SUMIFS(Compta!$F$1:$F$675,Compta!$A$1:$A$675,$B115,Compta!$B$1:$B$675,"6411",Compta!$C$1:$C$675,$A115))</f>
        <v/>
      </c>
      <c r="Y115" t="str">
        <f>IF($A115="","",SUMIFS(Compta!$F$1:$F$675,Compta!$A$1:$A$675,$B115,Compta!$B$1:$B$675,"604",Compta!$C$1:$C$675,$A115)+SUMIFS(Compta!$F$1:$F$675,Compta!$A$1:$A$675,$B115,Compta!$B$1:$B$675,"6063",Compta!$C$1:$C$675,$A115))</f>
        <v/>
      </c>
      <c r="Z115" t="str">
        <f>IF($A115="","",SUMIFS(Compta!$F$1:$F$675,Compta!$A$1:$A$675,$B115,Compta!$B$1:$B$675,"6231",Compta!$C$1:$C$675,$A115))</f>
        <v/>
      </c>
      <c r="AA115" t="str">
        <f>IF($A115="","",SUMIFS(Compta!$F$1:$F$675,Compta!$A$1:$A$675,$B115,Compta!$B$1:$B$675,"6413",Compta!$C$1:$C$675,$A115)+SUMIFS(Compta!$F$1:$F$675,Compta!$A$1:$A$675,$B115,Compta!$B$1:$B$675,"645",Compta!$C$1:$C$675,$A115)+SUMIFS(Compta!$F$1:$F$675,Compta!$A$1:$A$675,$B115,Compta!$B$1:$B$675,"613",Compta!$C$1:$C$675,$A115)+SUMIFS(Compta!$F$1:$F$675,Compta!$A$1:$A$675,$B115,Compta!$B$1:$B$675,"615",Compta!$C$1:$C$675,$A115)+SUMIFS(Compta!$F$1:$F$675,Compta!$A$1:$A$675,$B115,Compta!$B$1:$B$675,"616",Compta!$C$1:$C$675,$A115)+SUMIFS(Compta!$F$1:$F$675,Compta!$A$1:$A$675,$B115,Compta!$B$1:$B$675,"625",Compta!$C$1:$C$675,$A115)+SUMIFS(Compta!$F$1:$F$675,Compta!$A$1:$A$675,$B115,Compta!$B$1:$B$675,"63511",Compta!$C$1:$C$675,$A115))</f>
        <v/>
      </c>
      <c r="AB115" t="str">
        <f>IF($A115="","",SUMIFS(Compta!$F$1:$F$675,Compta!$A$1:$A$675,"GRP",Compta!$B$1:$B$675,"6414",Compta!$C$1:$C$675,$A115)+SUMIFS(Compta!$F$1:$F$675,Compta!$A$1:$A$675,"GRP",Compta!$B$1:$B$675,"6226",Compta!$C$1:$C$675,$A115)+SUMIFS(Compta!$F$1:$F$675,Compta!$A$1:$A$675,"GRP",Compta!$B$1:$B$675,"626",Compta!$C$1:$C$675,$A115)+SUMIFS(Compta!$F$1:$F$675,Compta!$A$1:$A$675,"GRP",Compta!$B$1:$B$675,"6281",Compta!$C$1:$C$675,$A115)+SUMIFS(Compta!$F$1:$F$675,Compta!$A$1:$A$675,"GRP",Compta!$B$1:$B$675,"6331",Compta!$C$1:$C$675,$A115)+SUMIFS(Compta!$F$1:$F$675,Compta!$A$1:$A$675,"GRP",Compta!$B$1:$B$675,"6333",Compta!$C$1:$C$675,$A115))</f>
        <v/>
      </c>
      <c r="AC115" t="str">
        <f t="shared" si="21"/>
        <v/>
      </c>
      <c r="AD115" t="str">
        <f t="shared" si="22"/>
        <v/>
      </c>
      <c r="AE115" t="str">
        <f t="shared" si="23"/>
        <v/>
      </c>
      <c r="AF115" t="str">
        <f t="shared" si="24"/>
        <v/>
      </c>
      <c r="AG115" t="str">
        <f t="shared" si="25"/>
        <v/>
      </c>
      <c r="AH115" t="str">
        <f t="shared" si="26"/>
        <v/>
      </c>
      <c r="AI115" t="str">
        <f t="shared" si="27"/>
        <v/>
      </c>
      <c r="AJ115" t="str">
        <f t="shared" si="28"/>
        <v/>
      </c>
      <c r="AK115" t="str">
        <f t="shared" si="29"/>
        <v/>
      </c>
      <c r="AL115" t="str">
        <f t="shared" si="30"/>
        <v/>
      </c>
      <c r="AM115" t="str">
        <f t="shared" si="31"/>
        <v/>
      </c>
      <c r="AN115" t="str">
        <f t="shared" si="32"/>
        <v/>
      </c>
      <c r="AO115" t="str">
        <f>IF($A115="","",SUMIFS(Compta!$F$1:$F$675,Compta!$A$1:$A$675,"GRP",Compta!$B$1:$B$675,"6236",Compta!$C$1:$C$675,$A115))</f>
        <v/>
      </c>
      <c r="AP115" t="str">
        <f t="shared" si="33"/>
        <v/>
      </c>
      <c r="AQ115" t="str">
        <f t="shared" si="34"/>
        <v/>
      </c>
      <c r="AR115" t="str">
        <f t="shared" si="35"/>
        <v/>
      </c>
    </row>
    <row r="116" spans="1:44" x14ac:dyDescent="0.45">
      <c r="A116" t="str">
        <f>IF(Allocation!C116="","",Allocation!C116)</f>
        <v/>
      </c>
      <c r="B116" t="str">
        <f>IF(Allocation!D116="","",Allocation!D116)</f>
        <v/>
      </c>
      <c r="C116" t="str">
        <f>IF(Allocation!E116="","",Allocation!E116)</f>
        <v/>
      </c>
      <c r="D116" t="str">
        <f>IF(Allocation!F116="","",Allocation!F116)</f>
        <v/>
      </c>
      <c r="E116" t="str">
        <f>IF(Allocation!G116="","",Allocation!G116)</f>
        <v/>
      </c>
      <c r="F116" t="str">
        <f>IF(Allocation!H116="","",Allocation!H116)</f>
        <v/>
      </c>
      <c r="G116" t="str">
        <f>IF(Allocation!D116="","",Allocation!I116)</f>
        <v/>
      </c>
      <c r="H116" t="str">
        <f>IF(Allocation!D116="","",Allocation!J116)</f>
        <v/>
      </c>
      <c r="I116" t="str">
        <f>IF(Allocation!D116="","",Allocation!K116)</f>
        <v/>
      </c>
      <c r="J116" t="str">
        <f>IF($A116="","",SUMIFS(Socle!$K$1:$K$1000,Socle!$C$1:$C$1000,$B116,Socle!$D$1:$D$1000,$D116,Socle!$E$1:$E$1000,$E116,Socle!$F$1:$F$1000,$F116,Socle!$G$1:$G$1000,$A116))</f>
        <v/>
      </c>
      <c r="K116" t="str">
        <f t="shared" si="18"/>
        <v/>
      </c>
      <c r="L116" t="str">
        <f>IF($A116="","",SUMIFS(Allocation!$I$1:$I$175,Allocation!$C$1:$C$175,$A116,Allocation!$D$1:$D$175,$B116))</f>
        <v/>
      </c>
      <c r="M116" t="str">
        <f>IF($A116="","",SUMIFS(Allocation!$J$1:$J$175,Allocation!$C$1:$C$175,$A116,Allocation!$D$1:$D$175,$B116))</f>
        <v/>
      </c>
      <c r="N116" t="str">
        <f>IF($A116="","",SUMIFS(Allocation!$K$1:$K$175,Allocation!$C$1:$C$175,$A116,Allocation!$D$1:$D$175,$B116))</f>
        <v/>
      </c>
      <c r="O116" t="str">
        <f t="shared" si="19"/>
        <v/>
      </c>
      <c r="P116" t="str">
        <f t="shared" si="20"/>
        <v/>
      </c>
      <c r="Q116" t="str">
        <f>IF($A116="","",SUMIFS(Allocation!$I$1:$I$175,Allocation!$C$1:$C$175,$A116,Allocation!$E$1:$E$175,$C116))</f>
        <v/>
      </c>
      <c r="R116" t="str">
        <f>IF($A116="","",SUMIFS(Allocation!$J$1:$J$175,Allocation!$C$1:$C$175,$A116,Allocation!$E$1:$E$175,$C116))</f>
        <v/>
      </c>
      <c r="S116" t="str">
        <f>IF($A116="","",SUMIFS(Allocation!$K$1:$K$175,Allocation!$C$1:$C$175,$A116,Allocation!$E$1:$E$175,$C116))</f>
        <v/>
      </c>
      <c r="T116" t="str">
        <f>IF($A116="","",SUMIFS(Allocation!$I$1:$I$175,Allocation!$C$1:$C$175,$A116))</f>
        <v/>
      </c>
      <c r="U116" t="str">
        <f>IF($A116="","",SUMIFS(Allocation!$J$1:$J$175,Allocation!$C$1:$C$175,$A116))</f>
        <v/>
      </c>
      <c r="V116" t="str">
        <f>IF($A116="","",SUMIFS(Allocation!$K$1:$K$175,Allocation!$C$1:$C$175,$A116))</f>
        <v/>
      </c>
      <c r="W116" t="str">
        <f>IF($A116="","",SUMIFS(Compta!$F$1:$F$675,Compta!$A$1:$A$675,$B116,Compta!$B$1:$B$675,"621",Compta!$C$1:$C$675,$A116))</f>
        <v/>
      </c>
      <c r="X116" t="str">
        <f>IF($A116="","",SUMIFS(Compta!$F$1:$F$675,Compta!$A$1:$A$675,$B116,Compta!$B$1:$B$675,"6411",Compta!$C$1:$C$675,$A116))</f>
        <v/>
      </c>
      <c r="Y116" t="str">
        <f>IF($A116="","",SUMIFS(Compta!$F$1:$F$675,Compta!$A$1:$A$675,$B116,Compta!$B$1:$B$675,"604",Compta!$C$1:$C$675,$A116)+SUMIFS(Compta!$F$1:$F$675,Compta!$A$1:$A$675,$B116,Compta!$B$1:$B$675,"6063",Compta!$C$1:$C$675,$A116))</f>
        <v/>
      </c>
      <c r="Z116" t="str">
        <f>IF($A116="","",SUMIFS(Compta!$F$1:$F$675,Compta!$A$1:$A$675,$B116,Compta!$B$1:$B$675,"6231",Compta!$C$1:$C$675,$A116))</f>
        <v/>
      </c>
      <c r="AA116" t="str">
        <f>IF($A116="","",SUMIFS(Compta!$F$1:$F$675,Compta!$A$1:$A$675,$B116,Compta!$B$1:$B$675,"6413",Compta!$C$1:$C$675,$A116)+SUMIFS(Compta!$F$1:$F$675,Compta!$A$1:$A$675,$B116,Compta!$B$1:$B$675,"645",Compta!$C$1:$C$675,$A116)+SUMIFS(Compta!$F$1:$F$675,Compta!$A$1:$A$675,$B116,Compta!$B$1:$B$675,"613",Compta!$C$1:$C$675,$A116)+SUMIFS(Compta!$F$1:$F$675,Compta!$A$1:$A$675,$B116,Compta!$B$1:$B$675,"615",Compta!$C$1:$C$675,$A116)+SUMIFS(Compta!$F$1:$F$675,Compta!$A$1:$A$675,$B116,Compta!$B$1:$B$675,"616",Compta!$C$1:$C$675,$A116)+SUMIFS(Compta!$F$1:$F$675,Compta!$A$1:$A$675,$B116,Compta!$B$1:$B$675,"625",Compta!$C$1:$C$675,$A116)+SUMIFS(Compta!$F$1:$F$675,Compta!$A$1:$A$675,$B116,Compta!$B$1:$B$675,"63511",Compta!$C$1:$C$675,$A116))</f>
        <v/>
      </c>
      <c r="AB116" t="str">
        <f>IF($A116="","",SUMIFS(Compta!$F$1:$F$675,Compta!$A$1:$A$675,"GRP",Compta!$B$1:$B$675,"6414",Compta!$C$1:$C$675,$A116)+SUMIFS(Compta!$F$1:$F$675,Compta!$A$1:$A$675,"GRP",Compta!$B$1:$B$675,"6226",Compta!$C$1:$C$675,$A116)+SUMIFS(Compta!$F$1:$F$675,Compta!$A$1:$A$675,"GRP",Compta!$B$1:$B$675,"626",Compta!$C$1:$C$675,$A116)+SUMIFS(Compta!$F$1:$F$675,Compta!$A$1:$A$675,"GRP",Compta!$B$1:$B$675,"6281",Compta!$C$1:$C$675,$A116)+SUMIFS(Compta!$F$1:$F$675,Compta!$A$1:$A$675,"GRP",Compta!$B$1:$B$675,"6331",Compta!$C$1:$C$675,$A116)+SUMIFS(Compta!$F$1:$F$675,Compta!$A$1:$A$675,"GRP",Compta!$B$1:$B$675,"6333",Compta!$C$1:$C$675,$A116))</f>
        <v/>
      </c>
      <c r="AC116" t="str">
        <f t="shared" si="21"/>
        <v/>
      </c>
      <c r="AD116" t="str">
        <f t="shared" si="22"/>
        <v/>
      </c>
      <c r="AE116" t="str">
        <f t="shared" si="23"/>
        <v/>
      </c>
      <c r="AF116" t="str">
        <f t="shared" si="24"/>
        <v/>
      </c>
      <c r="AG116" t="str">
        <f t="shared" si="25"/>
        <v/>
      </c>
      <c r="AH116" t="str">
        <f t="shared" si="26"/>
        <v/>
      </c>
      <c r="AI116" t="str">
        <f t="shared" si="27"/>
        <v/>
      </c>
      <c r="AJ116" t="str">
        <f t="shared" si="28"/>
        <v/>
      </c>
      <c r="AK116" t="str">
        <f t="shared" si="29"/>
        <v/>
      </c>
      <c r="AL116" t="str">
        <f t="shared" si="30"/>
        <v/>
      </c>
      <c r="AM116" t="str">
        <f t="shared" si="31"/>
        <v/>
      </c>
      <c r="AN116" t="str">
        <f t="shared" si="32"/>
        <v/>
      </c>
      <c r="AO116" t="str">
        <f>IF($A116="","",SUMIFS(Compta!$F$1:$F$675,Compta!$A$1:$A$675,"GRP",Compta!$B$1:$B$675,"6236",Compta!$C$1:$C$675,$A116))</f>
        <v/>
      </c>
      <c r="AP116" t="str">
        <f t="shared" si="33"/>
        <v/>
      </c>
      <c r="AQ116" t="str">
        <f t="shared" si="34"/>
        <v/>
      </c>
      <c r="AR116" t="str">
        <f t="shared" si="35"/>
        <v/>
      </c>
    </row>
    <row r="117" spans="1:44" x14ac:dyDescent="0.45">
      <c r="A117" t="str">
        <f>IF(Allocation!C117="","",Allocation!C117)</f>
        <v/>
      </c>
      <c r="B117" t="str">
        <f>IF(Allocation!D117="","",Allocation!D117)</f>
        <v/>
      </c>
      <c r="C117" t="str">
        <f>IF(Allocation!E117="","",Allocation!E117)</f>
        <v/>
      </c>
      <c r="D117" t="str">
        <f>IF(Allocation!F117="","",Allocation!F117)</f>
        <v/>
      </c>
      <c r="E117" t="str">
        <f>IF(Allocation!G117="","",Allocation!G117)</f>
        <v/>
      </c>
      <c r="F117" t="str">
        <f>IF(Allocation!H117="","",Allocation!H117)</f>
        <v/>
      </c>
      <c r="G117" t="str">
        <f>IF(Allocation!D117="","",Allocation!I117)</f>
        <v/>
      </c>
      <c r="H117" t="str">
        <f>IF(Allocation!D117="","",Allocation!J117)</f>
        <v/>
      </c>
      <c r="I117" t="str">
        <f>IF(Allocation!D117="","",Allocation!K117)</f>
        <v/>
      </c>
      <c r="J117" t="str">
        <f>IF($A117="","",SUMIFS(Socle!$K$1:$K$1000,Socle!$C$1:$C$1000,$B117,Socle!$D$1:$D$1000,$D117,Socle!$E$1:$E$1000,$E117,Socle!$F$1:$F$1000,$F117,Socle!$G$1:$G$1000,$A117))</f>
        <v/>
      </c>
      <c r="K117" t="str">
        <f t="shared" si="18"/>
        <v/>
      </c>
      <c r="L117" t="str">
        <f>IF($A117="","",SUMIFS(Allocation!$I$1:$I$175,Allocation!$C$1:$C$175,$A117,Allocation!$D$1:$D$175,$B117))</f>
        <v/>
      </c>
      <c r="M117" t="str">
        <f>IF($A117="","",SUMIFS(Allocation!$J$1:$J$175,Allocation!$C$1:$C$175,$A117,Allocation!$D$1:$D$175,$B117))</f>
        <v/>
      </c>
      <c r="N117" t="str">
        <f>IF($A117="","",SUMIFS(Allocation!$K$1:$K$175,Allocation!$C$1:$C$175,$A117,Allocation!$D$1:$D$175,$B117))</f>
        <v/>
      </c>
      <c r="O117" t="str">
        <f t="shared" si="19"/>
        <v/>
      </c>
      <c r="P117" t="str">
        <f t="shared" si="20"/>
        <v/>
      </c>
      <c r="Q117" t="str">
        <f>IF($A117="","",SUMIFS(Allocation!$I$1:$I$175,Allocation!$C$1:$C$175,$A117,Allocation!$E$1:$E$175,$C117))</f>
        <v/>
      </c>
      <c r="R117" t="str">
        <f>IF($A117="","",SUMIFS(Allocation!$J$1:$J$175,Allocation!$C$1:$C$175,$A117,Allocation!$E$1:$E$175,$C117))</f>
        <v/>
      </c>
      <c r="S117" t="str">
        <f>IF($A117="","",SUMIFS(Allocation!$K$1:$K$175,Allocation!$C$1:$C$175,$A117,Allocation!$E$1:$E$175,$C117))</f>
        <v/>
      </c>
      <c r="T117" t="str">
        <f>IF($A117="","",SUMIFS(Allocation!$I$1:$I$175,Allocation!$C$1:$C$175,$A117))</f>
        <v/>
      </c>
      <c r="U117" t="str">
        <f>IF($A117="","",SUMIFS(Allocation!$J$1:$J$175,Allocation!$C$1:$C$175,$A117))</f>
        <v/>
      </c>
      <c r="V117" t="str">
        <f>IF($A117="","",SUMIFS(Allocation!$K$1:$K$175,Allocation!$C$1:$C$175,$A117))</f>
        <v/>
      </c>
      <c r="W117" t="str">
        <f>IF($A117="","",SUMIFS(Compta!$F$1:$F$675,Compta!$A$1:$A$675,$B117,Compta!$B$1:$B$675,"621",Compta!$C$1:$C$675,$A117))</f>
        <v/>
      </c>
      <c r="X117" t="str">
        <f>IF($A117="","",SUMIFS(Compta!$F$1:$F$675,Compta!$A$1:$A$675,$B117,Compta!$B$1:$B$675,"6411",Compta!$C$1:$C$675,$A117))</f>
        <v/>
      </c>
      <c r="Y117" t="str">
        <f>IF($A117="","",SUMIFS(Compta!$F$1:$F$675,Compta!$A$1:$A$675,$B117,Compta!$B$1:$B$675,"604",Compta!$C$1:$C$675,$A117)+SUMIFS(Compta!$F$1:$F$675,Compta!$A$1:$A$675,$B117,Compta!$B$1:$B$675,"6063",Compta!$C$1:$C$675,$A117))</f>
        <v/>
      </c>
      <c r="Z117" t="str">
        <f>IF($A117="","",SUMIFS(Compta!$F$1:$F$675,Compta!$A$1:$A$675,$B117,Compta!$B$1:$B$675,"6231",Compta!$C$1:$C$675,$A117))</f>
        <v/>
      </c>
      <c r="AA117" t="str">
        <f>IF($A117="","",SUMIFS(Compta!$F$1:$F$675,Compta!$A$1:$A$675,$B117,Compta!$B$1:$B$675,"6413",Compta!$C$1:$C$675,$A117)+SUMIFS(Compta!$F$1:$F$675,Compta!$A$1:$A$675,$B117,Compta!$B$1:$B$675,"645",Compta!$C$1:$C$675,$A117)+SUMIFS(Compta!$F$1:$F$675,Compta!$A$1:$A$675,$B117,Compta!$B$1:$B$675,"613",Compta!$C$1:$C$675,$A117)+SUMIFS(Compta!$F$1:$F$675,Compta!$A$1:$A$675,$B117,Compta!$B$1:$B$675,"615",Compta!$C$1:$C$675,$A117)+SUMIFS(Compta!$F$1:$F$675,Compta!$A$1:$A$675,$B117,Compta!$B$1:$B$675,"616",Compta!$C$1:$C$675,$A117)+SUMIFS(Compta!$F$1:$F$675,Compta!$A$1:$A$675,$B117,Compta!$B$1:$B$675,"625",Compta!$C$1:$C$675,$A117)+SUMIFS(Compta!$F$1:$F$675,Compta!$A$1:$A$675,$B117,Compta!$B$1:$B$675,"63511",Compta!$C$1:$C$675,$A117))</f>
        <v/>
      </c>
      <c r="AB117" t="str">
        <f>IF($A117="","",SUMIFS(Compta!$F$1:$F$675,Compta!$A$1:$A$675,"GRP",Compta!$B$1:$B$675,"6414",Compta!$C$1:$C$675,$A117)+SUMIFS(Compta!$F$1:$F$675,Compta!$A$1:$A$675,"GRP",Compta!$B$1:$B$675,"6226",Compta!$C$1:$C$675,$A117)+SUMIFS(Compta!$F$1:$F$675,Compta!$A$1:$A$675,"GRP",Compta!$B$1:$B$675,"626",Compta!$C$1:$C$675,$A117)+SUMIFS(Compta!$F$1:$F$675,Compta!$A$1:$A$675,"GRP",Compta!$B$1:$B$675,"6281",Compta!$C$1:$C$675,$A117)+SUMIFS(Compta!$F$1:$F$675,Compta!$A$1:$A$675,"GRP",Compta!$B$1:$B$675,"6331",Compta!$C$1:$C$675,$A117)+SUMIFS(Compta!$F$1:$F$675,Compta!$A$1:$A$675,"GRP",Compta!$B$1:$B$675,"6333",Compta!$C$1:$C$675,$A117))</f>
        <v/>
      </c>
      <c r="AC117" t="str">
        <f t="shared" si="21"/>
        <v/>
      </c>
      <c r="AD117" t="str">
        <f t="shared" si="22"/>
        <v/>
      </c>
      <c r="AE117" t="str">
        <f t="shared" si="23"/>
        <v/>
      </c>
      <c r="AF117" t="str">
        <f t="shared" si="24"/>
        <v/>
      </c>
      <c r="AG117" t="str">
        <f t="shared" si="25"/>
        <v/>
      </c>
      <c r="AH117" t="str">
        <f t="shared" si="26"/>
        <v/>
      </c>
      <c r="AI117" t="str">
        <f t="shared" si="27"/>
        <v/>
      </c>
      <c r="AJ117" t="str">
        <f t="shared" si="28"/>
        <v/>
      </c>
      <c r="AK117" t="str">
        <f t="shared" si="29"/>
        <v/>
      </c>
      <c r="AL117" t="str">
        <f t="shared" si="30"/>
        <v/>
      </c>
      <c r="AM117" t="str">
        <f t="shared" si="31"/>
        <v/>
      </c>
      <c r="AN117" t="str">
        <f t="shared" si="32"/>
        <v/>
      </c>
      <c r="AO117" t="str">
        <f>IF($A117="","",SUMIFS(Compta!$F$1:$F$675,Compta!$A$1:$A$675,"GRP",Compta!$B$1:$B$675,"6236",Compta!$C$1:$C$675,$A117))</f>
        <v/>
      </c>
      <c r="AP117" t="str">
        <f t="shared" si="33"/>
        <v/>
      </c>
      <c r="AQ117" t="str">
        <f t="shared" si="34"/>
        <v/>
      </c>
      <c r="AR117" t="str">
        <f t="shared" si="35"/>
        <v/>
      </c>
    </row>
    <row r="118" spans="1:44" x14ac:dyDescent="0.45">
      <c r="A118" t="str">
        <f>IF(Allocation!C118="","",Allocation!C118)</f>
        <v/>
      </c>
      <c r="B118" t="str">
        <f>IF(Allocation!D118="","",Allocation!D118)</f>
        <v/>
      </c>
      <c r="C118" t="str">
        <f>IF(Allocation!E118="","",Allocation!E118)</f>
        <v/>
      </c>
      <c r="D118" t="str">
        <f>IF(Allocation!F118="","",Allocation!F118)</f>
        <v/>
      </c>
      <c r="E118" t="str">
        <f>IF(Allocation!G118="","",Allocation!G118)</f>
        <v/>
      </c>
      <c r="F118" t="str">
        <f>IF(Allocation!H118="","",Allocation!H118)</f>
        <v/>
      </c>
      <c r="G118" t="str">
        <f>IF(Allocation!D118="","",Allocation!I118)</f>
        <v/>
      </c>
      <c r="H118" t="str">
        <f>IF(Allocation!D118="","",Allocation!J118)</f>
        <v/>
      </c>
      <c r="I118" t="str">
        <f>IF(Allocation!D118="","",Allocation!K118)</f>
        <v/>
      </c>
      <c r="J118" t="str">
        <f>IF($A118="","",SUMIFS(Socle!$K$1:$K$1000,Socle!$C$1:$C$1000,$B118,Socle!$D$1:$D$1000,$D118,Socle!$E$1:$E$1000,$E118,Socle!$F$1:$F$1000,$F118,Socle!$G$1:$G$1000,$A118))</f>
        <v/>
      </c>
      <c r="K118" t="str">
        <f t="shared" si="18"/>
        <v/>
      </c>
      <c r="L118" t="str">
        <f>IF($A118="","",SUMIFS(Allocation!$I$1:$I$175,Allocation!$C$1:$C$175,$A118,Allocation!$D$1:$D$175,$B118))</f>
        <v/>
      </c>
      <c r="M118" t="str">
        <f>IF($A118="","",SUMIFS(Allocation!$J$1:$J$175,Allocation!$C$1:$C$175,$A118,Allocation!$D$1:$D$175,$B118))</f>
        <v/>
      </c>
      <c r="N118" t="str">
        <f>IF($A118="","",SUMIFS(Allocation!$K$1:$K$175,Allocation!$C$1:$C$175,$A118,Allocation!$D$1:$D$175,$B118))</f>
        <v/>
      </c>
      <c r="O118" t="str">
        <f t="shared" si="19"/>
        <v/>
      </c>
      <c r="P118" t="str">
        <f t="shared" si="20"/>
        <v/>
      </c>
      <c r="Q118" t="str">
        <f>IF($A118="","",SUMIFS(Allocation!$I$1:$I$175,Allocation!$C$1:$C$175,$A118,Allocation!$E$1:$E$175,$C118))</f>
        <v/>
      </c>
      <c r="R118" t="str">
        <f>IF($A118="","",SUMIFS(Allocation!$J$1:$J$175,Allocation!$C$1:$C$175,$A118,Allocation!$E$1:$E$175,$C118))</f>
        <v/>
      </c>
      <c r="S118" t="str">
        <f>IF($A118="","",SUMIFS(Allocation!$K$1:$K$175,Allocation!$C$1:$C$175,$A118,Allocation!$E$1:$E$175,$C118))</f>
        <v/>
      </c>
      <c r="T118" t="str">
        <f>IF($A118="","",SUMIFS(Allocation!$I$1:$I$175,Allocation!$C$1:$C$175,$A118))</f>
        <v/>
      </c>
      <c r="U118" t="str">
        <f>IF($A118="","",SUMIFS(Allocation!$J$1:$J$175,Allocation!$C$1:$C$175,$A118))</f>
        <v/>
      </c>
      <c r="V118" t="str">
        <f>IF($A118="","",SUMIFS(Allocation!$K$1:$K$175,Allocation!$C$1:$C$175,$A118))</f>
        <v/>
      </c>
      <c r="W118" t="str">
        <f>IF($A118="","",SUMIFS(Compta!$F$1:$F$675,Compta!$A$1:$A$675,$B118,Compta!$B$1:$B$675,"621",Compta!$C$1:$C$675,$A118))</f>
        <v/>
      </c>
      <c r="X118" t="str">
        <f>IF($A118="","",SUMIFS(Compta!$F$1:$F$675,Compta!$A$1:$A$675,$B118,Compta!$B$1:$B$675,"6411",Compta!$C$1:$C$675,$A118))</f>
        <v/>
      </c>
      <c r="Y118" t="str">
        <f>IF($A118="","",SUMIFS(Compta!$F$1:$F$675,Compta!$A$1:$A$675,$B118,Compta!$B$1:$B$675,"604",Compta!$C$1:$C$675,$A118)+SUMIFS(Compta!$F$1:$F$675,Compta!$A$1:$A$675,$B118,Compta!$B$1:$B$675,"6063",Compta!$C$1:$C$675,$A118))</f>
        <v/>
      </c>
      <c r="Z118" t="str">
        <f>IF($A118="","",SUMIFS(Compta!$F$1:$F$675,Compta!$A$1:$A$675,$B118,Compta!$B$1:$B$675,"6231",Compta!$C$1:$C$675,$A118))</f>
        <v/>
      </c>
      <c r="AA118" t="str">
        <f>IF($A118="","",SUMIFS(Compta!$F$1:$F$675,Compta!$A$1:$A$675,$B118,Compta!$B$1:$B$675,"6413",Compta!$C$1:$C$675,$A118)+SUMIFS(Compta!$F$1:$F$675,Compta!$A$1:$A$675,$B118,Compta!$B$1:$B$675,"645",Compta!$C$1:$C$675,$A118)+SUMIFS(Compta!$F$1:$F$675,Compta!$A$1:$A$675,$B118,Compta!$B$1:$B$675,"613",Compta!$C$1:$C$675,$A118)+SUMIFS(Compta!$F$1:$F$675,Compta!$A$1:$A$675,$B118,Compta!$B$1:$B$675,"615",Compta!$C$1:$C$675,$A118)+SUMIFS(Compta!$F$1:$F$675,Compta!$A$1:$A$675,$B118,Compta!$B$1:$B$675,"616",Compta!$C$1:$C$675,$A118)+SUMIFS(Compta!$F$1:$F$675,Compta!$A$1:$A$675,$B118,Compta!$B$1:$B$675,"625",Compta!$C$1:$C$675,$A118)+SUMIFS(Compta!$F$1:$F$675,Compta!$A$1:$A$675,$B118,Compta!$B$1:$B$675,"63511",Compta!$C$1:$C$675,$A118))</f>
        <v/>
      </c>
      <c r="AB118" t="str">
        <f>IF($A118="","",SUMIFS(Compta!$F$1:$F$675,Compta!$A$1:$A$675,"GRP",Compta!$B$1:$B$675,"6414",Compta!$C$1:$C$675,$A118)+SUMIFS(Compta!$F$1:$F$675,Compta!$A$1:$A$675,"GRP",Compta!$B$1:$B$675,"6226",Compta!$C$1:$C$675,$A118)+SUMIFS(Compta!$F$1:$F$675,Compta!$A$1:$A$675,"GRP",Compta!$B$1:$B$675,"626",Compta!$C$1:$C$675,$A118)+SUMIFS(Compta!$F$1:$F$675,Compta!$A$1:$A$675,"GRP",Compta!$B$1:$B$675,"6281",Compta!$C$1:$C$675,$A118)+SUMIFS(Compta!$F$1:$F$675,Compta!$A$1:$A$675,"GRP",Compta!$B$1:$B$675,"6331",Compta!$C$1:$C$675,$A118)+SUMIFS(Compta!$F$1:$F$675,Compta!$A$1:$A$675,"GRP",Compta!$B$1:$B$675,"6333",Compta!$C$1:$C$675,$A118))</f>
        <v/>
      </c>
      <c r="AC118" t="str">
        <f t="shared" si="21"/>
        <v/>
      </c>
      <c r="AD118" t="str">
        <f t="shared" si="22"/>
        <v/>
      </c>
      <c r="AE118" t="str">
        <f t="shared" si="23"/>
        <v/>
      </c>
      <c r="AF118" t="str">
        <f t="shared" si="24"/>
        <v/>
      </c>
      <c r="AG118" t="str">
        <f t="shared" si="25"/>
        <v/>
      </c>
      <c r="AH118" t="str">
        <f t="shared" si="26"/>
        <v/>
      </c>
      <c r="AI118" t="str">
        <f t="shared" si="27"/>
        <v/>
      </c>
      <c r="AJ118" t="str">
        <f t="shared" si="28"/>
        <v/>
      </c>
      <c r="AK118" t="str">
        <f t="shared" si="29"/>
        <v/>
      </c>
      <c r="AL118" t="str">
        <f t="shared" si="30"/>
        <v/>
      </c>
      <c r="AM118" t="str">
        <f t="shared" si="31"/>
        <v/>
      </c>
      <c r="AN118" t="str">
        <f t="shared" si="32"/>
        <v/>
      </c>
      <c r="AO118" t="str">
        <f>IF($A118="","",SUMIFS(Compta!$F$1:$F$675,Compta!$A$1:$A$675,"GRP",Compta!$B$1:$B$675,"6236",Compta!$C$1:$C$675,$A118))</f>
        <v/>
      </c>
      <c r="AP118" t="str">
        <f t="shared" si="33"/>
        <v/>
      </c>
      <c r="AQ118" t="str">
        <f t="shared" si="34"/>
        <v/>
      </c>
      <c r="AR118" t="str">
        <f t="shared" si="35"/>
        <v/>
      </c>
    </row>
    <row r="119" spans="1:44" x14ac:dyDescent="0.45">
      <c r="A119" t="str">
        <f>IF(Allocation!C119="","",Allocation!C119)</f>
        <v/>
      </c>
      <c r="B119" t="str">
        <f>IF(Allocation!D119="","",Allocation!D119)</f>
        <v/>
      </c>
      <c r="C119" t="str">
        <f>IF(Allocation!E119="","",Allocation!E119)</f>
        <v/>
      </c>
      <c r="D119" t="str">
        <f>IF(Allocation!F119="","",Allocation!F119)</f>
        <v/>
      </c>
      <c r="E119" t="str">
        <f>IF(Allocation!G119="","",Allocation!G119)</f>
        <v/>
      </c>
      <c r="F119" t="str">
        <f>IF(Allocation!H119="","",Allocation!H119)</f>
        <v/>
      </c>
      <c r="G119" t="str">
        <f>IF(Allocation!D119="","",Allocation!I119)</f>
        <v/>
      </c>
      <c r="H119" t="str">
        <f>IF(Allocation!D119="","",Allocation!J119)</f>
        <v/>
      </c>
      <c r="I119" t="str">
        <f>IF(Allocation!D119="","",Allocation!K119)</f>
        <v/>
      </c>
      <c r="J119" t="str">
        <f>IF($A119="","",SUMIFS(Socle!$K$1:$K$1000,Socle!$C$1:$C$1000,$B119,Socle!$D$1:$D$1000,$D119,Socle!$E$1:$E$1000,$E119,Socle!$F$1:$F$1000,$F119,Socle!$G$1:$G$1000,$A119))</f>
        <v/>
      </c>
      <c r="K119" t="str">
        <f t="shared" si="18"/>
        <v/>
      </c>
      <c r="L119" t="str">
        <f>IF($A119="","",SUMIFS(Allocation!$I$1:$I$175,Allocation!$C$1:$C$175,$A119,Allocation!$D$1:$D$175,$B119))</f>
        <v/>
      </c>
      <c r="M119" t="str">
        <f>IF($A119="","",SUMIFS(Allocation!$J$1:$J$175,Allocation!$C$1:$C$175,$A119,Allocation!$D$1:$D$175,$B119))</f>
        <v/>
      </c>
      <c r="N119" t="str">
        <f>IF($A119="","",SUMIFS(Allocation!$K$1:$K$175,Allocation!$C$1:$C$175,$A119,Allocation!$D$1:$D$175,$B119))</f>
        <v/>
      </c>
      <c r="O119" t="str">
        <f t="shared" si="19"/>
        <v/>
      </c>
      <c r="P119" t="str">
        <f t="shared" si="20"/>
        <v/>
      </c>
      <c r="Q119" t="str">
        <f>IF($A119="","",SUMIFS(Allocation!$I$1:$I$175,Allocation!$C$1:$C$175,$A119,Allocation!$E$1:$E$175,$C119))</f>
        <v/>
      </c>
      <c r="R119" t="str">
        <f>IF($A119="","",SUMIFS(Allocation!$J$1:$J$175,Allocation!$C$1:$C$175,$A119,Allocation!$E$1:$E$175,$C119))</f>
        <v/>
      </c>
      <c r="S119" t="str">
        <f>IF($A119="","",SUMIFS(Allocation!$K$1:$K$175,Allocation!$C$1:$C$175,$A119,Allocation!$E$1:$E$175,$C119))</f>
        <v/>
      </c>
      <c r="T119" t="str">
        <f>IF($A119="","",SUMIFS(Allocation!$I$1:$I$175,Allocation!$C$1:$C$175,$A119))</f>
        <v/>
      </c>
      <c r="U119" t="str">
        <f>IF($A119="","",SUMIFS(Allocation!$J$1:$J$175,Allocation!$C$1:$C$175,$A119))</f>
        <v/>
      </c>
      <c r="V119" t="str">
        <f>IF($A119="","",SUMIFS(Allocation!$K$1:$K$175,Allocation!$C$1:$C$175,$A119))</f>
        <v/>
      </c>
      <c r="W119" t="str">
        <f>IF($A119="","",SUMIFS(Compta!$F$1:$F$675,Compta!$A$1:$A$675,$B119,Compta!$B$1:$B$675,"621",Compta!$C$1:$C$675,$A119))</f>
        <v/>
      </c>
      <c r="X119" t="str">
        <f>IF($A119="","",SUMIFS(Compta!$F$1:$F$675,Compta!$A$1:$A$675,$B119,Compta!$B$1:$B$675,"6411",Compta!$C$1:$C$675,$A119))</f>
        <v/>
      </c>
      <c r="Y119" t="str">
        <f>IF($A119="","",SUMIFS(Compta!$F$1:$F$675,Compta!$A$1:$A$675,$B119,Compta!$B$1:$B$675,"604",Compta!$C$1:$C$675,$A119)+SUMIFS(Compta!$F$1:$F$675,Compta!$A$1:$A$675,$B119,Compta!$B$1:$B$675,"6063",Compta!$C$1:$C$675,$A119))</f>
        <v/>
      </c>
      <c r="Z119" t="str">
        <f>IF($A119="","",SUMIFS(Compta!$F$1:$F$675,Compta!$A$1:$A$675,$B119,Compta!$B$1:$B$675,"6231",Compta!$C$1:$C$675,$A119))</f>
        <v/>
      </c>
      <c r="AA119" t="str">
        <f>IF($A119="","",SUMIFS(Compta!$F$1:$F$675,Compta!$A$1:$A$675,$B119,Compta!$B$1:$B$675,"6413",Compta!$C$1:$C$675,$A119)+SUMIFS(Compta!$F$1:$F$675,Compta!$A$1:$A$675,$B119,Compta!$B$1:$B$675,"645",Compta!$C$1:$C$675,$A119)+SUMIFS(Compta!$F$1:$F$675,Compta!$A$1:$A$675,$B119,Compta!$B$1:$B$675,"613",Compta!$C$1:$C$675,$A119)+SUMIFS(Compta!$F$1:$F$675,Compta!$A$1:$A$675,$B119,Compta!$B$1:$B$675,"615",Compta!$C$1:$C$675,$A119)+SUMIFS(Compta!$F$1:$F$675,Compta!$A$1:$A$675,$B119,Compta!$B$1:$B$675,"616",Compta!$C$1:$C$675,$A119)+SUMIFS(Compta!$F$1:$F$675,Compta!$A$1:$A$675,$B119,Compta!$B$1:$B$675,"625",Compta!$C$1:$C$675,$A119)+SUMIFS(Compta!$F$1:$F$675,Compta!$A$1:$A$675,$B119,Compta!$B$1:$B$675,"63511",Compta!$C$1:$C$675,$A119))</f>
        <v/>
      </c>
      <c r="AB119" t="str">
        <f>IF($A119="","",SUMIFS(Compta!$F$1:$F$675,Compta!$A$1:$A$675,"GRP",Compta!$B$1:$B$675,"6414",Compta!$C$1:$C$675,$A119)+SUMIFS(Compta!$F$1:$F$675,Compta!$A$1:$A$675,"GRP",Compta!$B$1:$B$675,"6226",Compta!$C$1:$C$675,$A119)+SUMIFS(Compta!$F$1:$F$675,Compta!$A$1:$A$675,"GRP",Compta!$B$1:$B$675,"626",Compta!$C$1:$C$675,$A119)+SUMIFS(Compta!$F$1:$F$675,Compta!$A$1:$A$675,"GRP",Compta!$B$1:$B$675,"6281",Compta!$C$1:$C$675,$A119)+SUMIFS(Compta!$F$1:$F$675,Compta!$A$1:$A$675,"GRP",Compta!$B$1:$B$675,"6331",Compta!$C$1:$C$675,$A119)+SUMIFS(Compta!$F$1:$F$675,Compta!$A$1:$A$675,"GRP",Compta!$B$1:$B$675,"6333",Compta!$C$1:$C$675,$A119))</f>
        <v/>
      </c>
      <c r="AC119" t="str">
        <f t="shared" si="21"/>
        <v/>
      </c>
      <c r="AD119" t="str">
        <f t="shared" si="22"/>
        <v/>
      </c>
      <c r="AE119" t="str">
        <f t="shared" si="23"/>
        <v/>
      </c>
      <c r="AF119" t="str">
        <f t="shared" si="24"/>
        <v/>
      </c>
      <c r="AG119" t="str">
        <f t="shared" si="25"/>
        <v/>
      </c>
      <c r="AH119" t="str">
        <f t="shared" si="26"/>
        <v/>
      </c>
      <c r="AI119" t="str">
        <f t="shared" si="27"/>
        <v/>
      </c>
      <c r="AJ119" t="str">
        <f t="shared" si="28"/>
        <v/>
      </c>
      <c r="AK119" t="str">
        <f t="shared" si="29"/>
        <v/>
      </c>
      <c r="AL119" t="str">
        <f t="shared" si="30"/>
        <v/>
      </c>
      <c r="AM119" t="str">
        <f t="shared" si="31"/>
        <v/>
      </c>
      <c r="AN119" t="str">
        <f t="shared" si="32"/>
        <v/>
      </c>
      <c r="AO119" t="str">
        <f>IF($A119="","",SUMIFS(Compta!$F$1:$F$675,Compta!$A$1:$A$675,"GRP",Compta!$B$1:$B$675,"6236",Compta!$C$1:$C$675,$A119))</f>
        <v/>
      </c>
      <c r="AP119" t="str">
        <f t="shared" si="33"/>
        <v/>
      </c>
      <c r="AQ119" t="str">
        <f t="shared" si="34"/>
        <v/>
      </c>
      <c r="AR119" t="str">
        <f t="shared" si="35"/>
        <v/>
      </c>
    </row>
    <row r="120" spans="1:44" x14ac:dyDescent="0.45">
      <c r="A120" t="str">
        <f>IF(Allocation!C120="","",Allocation!C120)</f>
        <v/>
      </c>
      <c r="B120" t="str">
        <f>IF(Allocation!D120="","",Allocation!D120)</f>
        <v/>
      </c>
      <c r="C120" t="str">
        <f>IF(Allocation!E120="","",Allocation!E120)</f>
        <v/>
      </c>
      <c r="D120" t="str">
        <f>IF(Allocation!F120="","",Allocation!F120)</f>
        <v/>
      </c>
      <c r="E120" t="str">
        <f>IF(Allocation!G120="","",Allocation!G120)</f>
        <v/>
      </c>
      <c r="F120" t="str">
        <f>IF(Allocation!H120="","",Allocation!H120)</f>
        <v/>
      </c>
      <c r="G120" t="str">
        <f>IF(Allocation!D120="","",Allocation!I120)</f>
        <v/>
      </c>
      <c r="H120" t="str">
        <f>IF(Allocation!D120="","",Allocation!J120)</f>
        <v/>
      </c>
      <c r="I120" t="str">
        <f>IF(Allocation!D120="","",Allocation!K120)</f>
        <v/>
      </c>
      <c r="J120" t="str">
        <f>IF($A120="","",SUMIFS(Socle!$K$1:$K$1000,Socle!$C$1:$C$1000,$B120,Socle!$D$1:$D$1000,$D120,Socle!$E$1:$E$1000,$E120,Socle!$F$1:$F$1000,$F120,Socle!$G$1:$G$1000,$A120))</f>
        <v/>
      </c>
      <c r="K120" t="str">
        <f t="shared" si="18"/>
        <v/>
      </c>
      <c r="L120" t="str">
        <f>IF($A120="","",SUMIFS(Allocation!$I$1:$I$175,Allocation!$C$1:$C$175,$A120,Allocation!$D$1:$D$175,$B120))</f>
        <v/>
      </c>
      <c r="M120" t="str">
        <f>IF($A120="","",SUMIFS(Allocation!$J$1:$J$175,Allocation!$C$1:$C$175,$A120,Allocation!$D$1:$D$175,$B120))</f>
        <v/>
      </c>
      <c r="N120" t="str">
        <f>IF($A120="","",SUMIFS(Allocation!$K$1:$K$175,Allocation!$C$1:$C$175,$A120,Allocation!$D$1:$D$175,$B120))</f>
        <v/>
      </c>
      <c r="O120" t="str">
        <f t="shared" si="19"/>
        <v/>
      </c>
      <c r="P120" t="str">
        <f t="shared" si="20"/>
        <v/>
      </c>
      <c r="Q120" t="str">
        <f>IF($A120="","",SUMIFS(Allocation!$I$1:$I$175,Allocation!$C$1:$C$175,$A120,Allocation!$E$1:$E$175,$C120))</f>
        <v/>
      </c>
      <c r="R120" t="str">
        <f>IF($A120="","",SUMIFS(Allocation!$J$1:$J$175,Allocation!$C$1:$C$175,$A120,Allocation!$E$1:$E$175,$C120))</f>
        <v/>
      </c>
      <c r="S120" t="str">
        <f>IF($A120="","",SUMIFS(Allocation!$K$1:$K$175,Allocation!$C$1:$C$175,$A120,Allocation!$E$1:$E$175,$C120))</f>
        <v/>
      </c>
      <c r="T120" t="str">
        <f>IF($A120="","",SUMIFS(Allocation!$I$1:$I$175,Allocation!$C$1:$C$175,$A120))</f>
        <v/>
      </c>
      <c r="U120" t="str">
        <f>IF($A120="","",SUMIFS(Allocation!$J$1:$J$175,Allocation!$C$1:$C$175,$A120))</f>
        <v/>
      </c>
      <c r="V120" t="str">
        <f>IF($A120="","",SUMIFS(Allocation!$K$1:$K$175,Allocation!$C$1:$C$175,$A120))</f>
        <v/>
      </c>
      <c r="W120" t="str">
        <f>IF($A120="","",SUMIFS(Compta!$F$1:$F$675,Compta!$A$1:$A$675,$B120,Compta!$B$1:$B$675,"621",Compta!$C$1:$C$675,$A120))</f>
        <v/>
      </c>
      <c r="X120" t="str">
        <f>IF($A120="","",SUMIFS(Compta!$F$1:$F$675,Compta!$A$1:$A$675,$B120,Compta!$B$1:$B$675,"6411",Compta!$C$1:$C$675,$A120))</f>
        <v/>
      </c>
      <c r="Y120" t="str">
        <f>IF($A120="","",SUMIFS(Compta!$F$1:$F$675,Compta!$A$1:$A$675,$B120,Compta!$B$1:$B$675,"604",Compta!$C$1:$C$675,$A120)+SUMIFS(Compta!$F$1:$F$675,Compta!$A$1:$A$675,$B120,Compta!$B$1:$B$675,"6063",Compta!$C$1:$C$675,$A120))</f>
        <v/>
      </c>
      <c r="Z120" t="str">
        <f>IF($A120="","",SUMIFS(Compta!$F$1:$F$675,Compta!$A$1:$A$675,$B120,Compta!$B$1:$B$675,"6231",Compta!$C$1:$C$675,$A120))</f>
        <v/>
      </c>
      <c r="AA120" t="str">
        <f>IF($A120="","",SUMIFS(Compta!$F$1:$F$675,Compta!$A$1:$A$675,$B120,Compta!$B$1:$B$675,"6413",Compta!$C$1:$C$675,$A120)+SUMIFS(Compta!$F$1:$F$675,Compta!$A$1:$A$675,$B120,Compta!$B$1:$B$675,"645",Compta!$C$1:$C$675,$A120)+SUMIFS(Compta!$F$1:$F$675,Compta!$A$1:$A$675,$B120,Compta!$B$1:$B$675,"613",Compta!$C$1:$C$675,$A120)+SUMIFS(Compta!$F$1:$F$675,Compta!$A$1:$A$675,$B120,Compta!$B$1:$B$675,"615",Compta!$C$1:$C$675,$A120)+SUMIFS(Compta!$F$1:$F$675,Compta!$A$1:$A$675,$B120,Compta!$B$1:$B$675,"616",Compta!$C$1:$C$675,$A120)+SUMIFS(Compta!$F$1:$F$675,Compta!$A$1:$A$675,$B120,Compta!$B$1:$B$675,"625",Compta!$C$1:$C$675,$A120)+SUMIFS(Compta!$F$1:$F$675,Compta!$A$1:$A$675,$B120,Compta!$B$1:$B$675,"63511",Compta!$C$1:$C$675,$A120))</f>
        <v/>
      </c>
      <c r="AB120" t="str">
        <f>IF($A120="","",SUMIFS(Compta!$F$1:$F$675,Compta!$A$1:$A$675,"GRP",Compta!$B$1:$B$675,"6414",Compta!$C$1:$C$675,$A120)+SUMIFS(Compta!$F$1:$F$675,Compta!$A$1:$A$675,"GRP",Compta!$B$1:$B$675,"6226",Compta!$C$1:$C$675,$A120)+SUMIFS(Compta!$F$1:$F$675,Compta!$A$1:$A$675,"GRP",Compta!$B$1:$B$675,"626",Compta!$C$1:$C$675,$A120)+SUMIFS(Compta!$F$1:$F$675,Compta!$A$1:$A$675,"GRP",Compta!$B$1:$B$675,"6281",Compta!$C$1:$C$675,$A120)+SUMIFS(Compta!$F$1:$F$675,Compta!$A$1:$A$675,"GRP",Compta!$B$1:$B$675,"6331",Compta!$C$1:$C$675,$A120)+SUMIFS(Compta!$F$1:$F$675,Compta!$A$1:$A$675,"GRP",Compta!$B$1:$B$675,"6333",Compta!$C$1:$C$675,$A120))</f>
        <v/>
      </c>
      <c r="AC120" t="str">
        <f t="shared" si="21"/>
        <v/>
      </c>
      <c r="AD120" t="str">
        <f t="shared" si="22"/>
        <v/>
      </c>
      <c r="AE120" t="str">
        <f t="shared" si="23"/>
        <v/>
      </c>
      <c r="AF120" t="str">
        <f t="shared" si="24"/>
        <v/>
      </c>
      <c r="AG120" t="str">
        <f t="shared" si="25"/>
        <v/>
      </c>
      <c r="AH120" t="str">
        <f t="shared" si="26"/>
        <v/>
      </c>
      <c r="AI120" t="str">
        <f t="shared" si="27"/>
        <v/>
      </c>
      <c r="AJ120" t="str">
        <f t="shared" si="28"/>
        <v/>
      </c>
      <c r="AK120" t="str">
        <f t="shared" si="29"/>
        <v/>
      </c>
      <c r="AL120" t="str">
        <f t="shared" si="30"/>
        <v/>
      </c>
      <c r="AM120" t="str">
        <f t="shared" si="31"/>
        <v/>
      </c>
      <c r="AN120" t="str">
        <f t="shared" si="32"/>
        <v/>
      </c>
      <c r="AO120" t="str">
        <f>IF($A120="","",SUMIFS(Compta!$F$1:$F$675,Compta!$A$1:$A$675,"GRP",Compta!$B$1:$B$675,"6236",Compta!$C$1:$C$675,$A120))</f>
        <v/>
      </c>
      <c r="AP120" t="str">
        <f t="shared" si="33"/>
        <v/>
      </c>
      <c r="AQ120" t="str">
        <f t="shared" si="34"/>
        <v/>
      </c>
      <c r="AR120" t="str">
        <f t="shared" si="35"/>
        <v/>
      </c>
    </row>
    <row r="121" spans="1:44" x14ac:dyDescent="0.45">
      <c r="A121" t="str">
        <f>IF(Allocation!C121="","",Allocation!C121)</f>
        <v/>
      </c>
      <c r="B121" t="str">
        <f>IF(Allocation!D121="","",Allocation!D121)</f>
        <v/>
      </c>
      <c r="C121" t="str">
        <f>IF(Allocation!E121="","",Allocation!E121)</f>
        <v/>
      </c>
      <c r="D121" t="str">
        <f>IF(Allocation!F121="","",Allocation!F121)</f>
        <v/>
      </c>
      <c r="E121" t="str">
        <f>IF(Allocation!G121="","",Allocation!G121)</f>
        <v/>
      </c>
      <c r="F121" t="str">
        <f>IF(Allocation!H121="","",Allocation!H121)</f>
        <v/>
      </c>
      <c r="G121" t="str">
        <f>IF(Allocation!D121="","",Allocation!I121)</f>
        <v/>
      </c>
      <c r="H121" t="str">
        <f>IF(Allocation!D121="","",Allocation!J121)</f>
        <v/>
      </c>
      <c r="I121" t="str">
        <f>IF(Allocation!D121="","",Allocation!K121)</f>
        <v/>
      </c>
      <c r="J121" t="str">
        <f>IF($A121="","",SUMIFS(Socle!$K$1:$K$1000,Socle!$C$1:$C$1000,$B121,Socle!$D$1:$D$1000,$D121,Socle!$E$1:$E$1000,$E121,Socle!$F$1:$F$1000,$F121,Socle!$G$1:$G$1000,$A121))</f>
        <v/>
      </c>
      <c r="K121" t="str">
        <f t="shared" si="18"/>
        <v/>
      </c>
      <c r="L121" t="str">
        <f>IF($A121="","",SUMIFS(Allocation!$I$1:$I$175,Allocation!$C$1:$C$175,$A121,Allocation!$D$1:$D$175,$B121))</f>
        <v/>
      </c>
      <c r="M121" t="str">
        <f>IF($A121="","",SUMIFS(Allocation!$J$1:$J$175,Allocation!$C$1:$C$175,$A121,Allocation!$D$1:$D$175,$B121))</f>
        <v/>
      </c>
      <c r="N121" t="str">
        <f>IF($A121="","",SUMIFS(Allocation!$K$1:$K$175,Allocation!$C$1:$C$175,$A121,Allocation!$D$1:$D$175,$B121))</f>
        <v/>
      </c>
      <c r="O121" t="str">
        <f t="shared" si="19"/>
        <v/>
      </c>
      <c r="P121" t="str">
        <f t="shared" si="20"/>
        <v/>
      </c>
      <c r="Q121" t="str">
        <f>IF($A121="","",SUMIFS(Allocation!$I$1:$I$175,Allocation!$C$1:$C$175,$A121,Allocation!$E$1:$E$175,$C121))</f>
        <v/>
      </c>
      <c r="R121" t="str">
        <f>IF($A121="","",SUMIFS(Allocation!$J$1:$J$175,Allocation!$C$1:$C$175,$A121,Allocation!$E$1:$E$175,$C121))</f>
        <v/>
      </c>
      <c r="S121" t="str">
        <f>IF($A121="","",SUMIFS(Allocation!$K$1:$K$175,Allocation!$C$1:$C$175,$A121,Allocation!$E$1:$E$175,$C121))</f>
        <v/>
      </c>
      <c r="T121" t="str">
        <f>IF($A121="","",SUMIFS(Allocation!$I$1:$I$175,Allocation!$C$1:$C$175,$A121))</f>
        <v/>
      </c>
      <c r="U121" t="str">
        <f>IF($A121="","",SUMIFS(Allocation!$J$1:$J$175,Allocation!$C$1:$C$175,$A121))</f>
        <v/>
      </c>
      <c r="V121" t="str">
        <f>IF($A121="","",SUMIFS(Allocation!$K$1:$K$175,Allocation!$C$1:$C$175,$A121))</f>
        <v/>
      </c>
      <c r="W121" t="str">
        <f>IF($A121="","",SUMIFS(Compta!$F$1:$F$675,Compta!$A$1:$A$675,$B121,Compta!$B$1:$B$675,"621",Compta!$C$1:$C$675,$A121))</f>
        <v/>
      </c>
      <c r="X121" t="str">
        <f>IF($A121="","",SUMIFS(Compta!$F$1:$F$675,Compta!$A$1:$A$675,$B121,Compta!$B$1:$B$675,"6411",Compta!$C$1:$C$675,$A121))</f>
        <v/>
      </c>
      <c r="Y121" t="str">
        <f>IF($A121="","",SUMIFS(Compta!$F$1:$F$675,Compta!$A$1:$A$675,$B121,Compta!$B$1:$B$675,"604",Compta!$C$1:$C$675,$A121)+SUMIFS(Compta!$F$1:$F$675,Compta!$A$1:$A$675,$B121,Compta!$B$1:$B$675,"6063",Compta!$C$1:$C$675,$A121))</f>
        <v/>
      </c>
      <c r="Z121" t="str">
        <f>IF($A121="","",SUMIFS(Compta!$F$1:$F$675,Compta!$A$1:$A$675,$B121,Compta!$B$1:$B$675,"6231",Compta!$C$1:$C$675,$A121))</f>
        <v/>
      </c>
      <c r="AA121" t="str">
        <f>IF($A121="","",SUMIFS(Compta!$F$1:$F$675,Compta!$A$1:$A$675,$B121,Compta!$B$1:$B$675,"6413",Compta!$C$1:$C$675,$A121)+SUMIFS(Compta!$F$1:$F$675,Compta!$A$1:$A$675,$B121,Compta!$B$1:$B$675,"645",Compta!$C$1:$C$675,$A121)+SUMIFS(Compta!$F$1:$F$675,Compta!$A$1:$A$675,$B121,Compta!$B$1:$B$675,"613",Compta!$C$1:$C$675,$A121)+SUMIFS(Compta!$F$1:$F$675,Compta!$A$1:$A$675,$B121,Compta!$B$1:$B$675,"615",Compta!$C$1:$C$675,$A121)+SUMIFS(Compta!$F$1:$F$675,Compta!$A$1:$A$675,$B121,Compta!$B$1:$B$675,"616",Compta!$C$1:$C$675,$A121)+SUMIFS(Compta!$F$1:$F$675,Compta!$A$1:$A$675,$B121,Compta!$B$1:$B$675,"625",Compta!$C$1:$C$675,$A121)+SUMIFS(Compta!$F$1:$F$675,Compta!$A$1:$A$675,$B121,Compta!$B$1:$B$675,"63511",Compta!$C$1:$C$675,$A121))</f>
        <v/>
      </c>
      <c r="AB121" t="str">
        <f>IF($A121="","",SUMIFS(Compta!$F$1:$F$675,Compta!$A$1:$A$675,"GRP",Compta!$B$1:$B$675,"6414",Compta!$C$1:$C$675,$A121)+SUMIFS(Compta!$F$1:$F$675,Compta!$A$1:$A$675,"GRP",Compta!$B$1:$B$675,"6226",Compta!$C$1:$C$675,$A121)+SUMIFS(Compta!$F$1:$F$675,Compta!$A$1:$A$675,"GRP",Compta!$B$1:$B$675,"626",Compta!$C$1:$C$675,$A121)+SUMIFS(Compta!$F$1:$F$675,Compta!$A$1:$A$675,"GRP",Compta!$B$1:$B$675,"6281",Compta!$C$1:$C$675,$A121)+SUMIFS(Compta!$F$1:$F$675,Compta!$A$1:$A$675,"GRP",Compta!$B$1:$B$675,"6331",Compta!$C$1:$C$675,$A121)+SUMIFS(Compta!$F$1:$F$675,Compta!$A$1:$A$675,"GRP",Compta!$B$1:$B$675,"6333",Compta!$C$1:$C$675,$A121))</f>
        <v/>
      </c>
      <c r="AC121" t="str">
        <f t="shared" si="21"/>
        <v/>
      </c>
      <c r="AD121" t="str">
        <f t="shared" si="22"/>
        <v/>
      </c>
      <c r="AE121" t="str">
        <f t="shared" si="23"/>
        <v/>
      </c>
      <c r="AF121" t="str">
        <f t="shared" si="24"/>
        <v/>
      </c>
      <c r="AG121" t="str">
        <f t="shared" si="25"/>
        <v/>
      </c>
      <c r="AH121" t="str">
        <f t="shared" si="26"/>
        <v/>
      </c>
      <c r="AI121" t="str">
        <f t="shared" si="27"/>
        <v/>
      </c>
      <c r="AJ121" t="str">
        <f t="shared" si="28"/>
        <v/>
      </c>
      <c r="AK121" t="str">
        <f t="shared" si="29"/>
        <v/>
      </c>
      <c r="AL121" t="str">
        <f t="shared" si="30"/>
        <v/>
      </c>
      <c r="AM121" t="str">
        <f t="shared" si="31"/>
        <v/>
      </c>
      <c r="AN121" t="str">
        <f t="shared" si="32"/>
        <v/>
      </c>
      <c r="AO121" t="str">
        <f>IF($A121="","",SUMIFS(Compta!$F$1:$F$675,Compta!$A$1:$A$675,"GRP",Compta!$B$1:$B$675,"6236",Compta!$C$1:$C$675,$A121))</f>
        <v/>
      </c>
      <c r="AP121" t="str">
        <f t="shared" si="33"/>
        <v/>
      </c>
      <c r="AQ121" t="str">
        <f t="shared" si="34"/>
        <v/>
      </c>
      <c r="AR121" t="str">
        <f t="shared" si="35"/>
        <v/>
      </c>
    </row>
    <row r="122" spans="1:44" x14ac:dyDescent="0.45">
      <c r="A122" t="str">
        <f>IF(Allocation!C122="","",Allocation!C122)</f>
        <v/>
      </c>
      <c r="B122" t="str">
        <f>IF(Allocation!D122="","",Allocation!D122)</f>
        <v/>
      </c>
      <c r="C122" t="str">
        <f>IF(Allocation!E122="","",Allocation!E122)</f>
        <v/>
      </c>
      <c r="D122" t="str">
        <f>IF(Allocation!F122="","",Allocation!F122)</f>
        <v/>
      </c>
      <c r="E122" t="str">
        <f>IF(Allocation!G122="","",Allocation!G122)</f>
        <v/>
      </c>
      <c r="F122" t="str">
        <f>IF(Allocation!H122="","",Allocation!H122)</f>
        <v/>
      </c>
      <c r="G122" t="str">
        <f>IF(Allocation!D122="","",Allocation!I122)</f>
        <v/>
      </c>
      <c r="H122" t="str">
        <f>IF(Allocation!D122="","",Allocation!J122)</f>
        <v/>
      </c>
      <c r="I122" t="str">
        <f>IF(Allocation!D122="","",Allocation!K122)</f>
        <v/>
      </c>
      <c r="J122" t="str">
        <f>IF($A122="","",SUMIFS(Socle!$K$1:$K$1000,Socle!$C$1:$C$1000,$B122,Socle!$D$1:$D$1000,$D122,Socle!$E$1:$E$1000,$E122,Socle!$F$1:$F$1000,$F122,Socle!$G$1:$G$1000,$A122))</f>
        <v/>
      </c>
      <c r="K122" t="str">
        <f t="shared" si="18"/>
        <v/>
      </c>
      <c r="L122" t="str">
        <f>IF($A122="","",SUMIFS(Allocation!$I$1:$I$175,Allocation!$C$1:$C$175,$A122,Allocation!$D$1:$D$175,$B122))</f>
        <v/>
      </c>
      <c r="M122" t="str">
        <f>IF($A122="","",SUMIFS(Allocation!$J$1:$J$175,Allocation!$C$1:$C$175,$A122,Allocation!$D$1:$D$175,$B122))</f>
        <v/>
      </c>
      <c r="N122" t="str">
        <f>IF($A122="","",SUMIFS(Allocation!$K$1:$K$175,Allocation!$C$1:$C$175,$A122,Allocation!$D$1:$D$175,$B122))</f>
        <v/>
      </c>
      <c r="O122" t="str">
        <f t="shared" si="19"/>
        <v/>
      </c>
      <c r="P122" t="str">
        <f t="shared" si="20"/>
        <v/>
      </c>
      <c r="Q122" t="str">
        <f>IF($A122="","",SUMIFS(Allocation!$I$1:$I$175,Allocation!$C$1:$C$175,$A122,Allocation!$E$1:$E$175,$C122))</f>
        <v/>
      </c>
      <c r="R122" t="str">
        <f>IF($A122="","",SUMIFS(Allocation!$J$1:$J$175,Allocation!$C$1:$C$175,$A122,Allocation!$E$1:$E$175,$C122))</f>
        <v/>
      </c>
      <c r="S122" t="str">
        <f>IF($A122="","",SUMIFS(Allocation!$K$1:$K$175,Allocation!$C$1:$C$175,$A122,Allocation!$E$1:$E$175,$C122))</f>
        <v/>
      </c>
      <c r="T122" t="str">
        <f>IF($A122="","",SUMIFS(Allocation!$I$1:$I$175,Allocation!$C$1:$C$175,$A122))</f>
        <v/>
      </c>
      <c r="U122" t="str">
        <f>IF($A122="","",SUMIFS(Allocation!$J$1:$J$175,Allocation!$C$1:$C$175,$A122))</f>
        <v/>
      </c>
      <c r="V122" t="str">
        <f>IF($A122="","",SUMIFS(Allocation!$K$1:$K$175,Allocation!$C$1:$C$175,$A122))</f>
        <v/>
      </c>
      <c r="W122" t="str">
        <f>IF($A122="","",SUMIFS(Compta!$F$1:$F$675,Compta!$A$1:$A$675,$B122,Compta!$B$1:$B$675,"621",Compta!$C$1:$C$675,$A122))</f>
        <v/>
      </c>
      <c r="X122" t="str">
        <f>IF($A122="","",SUMIFS(Compta!$F$1:$F$675,Compta!$A$1:$A$675,$B122,Compta!$B$1:$B$675,"6411",Compta!$C$1:$C$675,$A122))</f>
        <v/>
      </c>
      <c r="Y122" t="str">
        <f>IF($A122="","",SUMIFS(Compta!$F$1:$F$675,Compta!$A$1:$A$675,$B122,Compta!$B$1:$B$675,"604",Compta!$C$1:$C$675,$A122)+SUMIFS(Compta!$F$1:$F$675,Compta!$A$1:$A$675,$B122,Compta!$B$1:$B$675,"6063",Compta!$C$1:$C$675,$A122))</f>
        <v/>
      </c>
      <c r="Z122" t="str">
        <f>IF($A122="","",SUMIFS(Compta!$F$1:$F$675,Compta!$A$1:$A$675,$B122,Compta!$B$1:$B$675,"6231",Compta!$C$1:$C$675,$A122))</f>
        <v/>
      </c>
      <c r="AA122" t="str">
        <f>IF($A122="","",SUMIFS(Compta!$F$1:$F$675,Compta!$A$1:$A$675,$B122,Compta!$B$1:$B$675,"6413",Compta!$C$1:$C$675,$A122)+SUMIFS(Compta!$F$1:$F$675,Compta!$A$1:$A$675,$B122,Compta!$B$1:$B$675,"645",Compta!$C$1:$C$675,$A122)+SUMIFS(Compta!$F$1:$F$675,Compta!$A$1:$A$675,$B122,Compta!$B$1:$B$675,"613",Compta!$C$1:$C$675,$A122)+SUMIFS(Compta!$F$1:$F$675,Compta!$A$1:$A$675,$B122,Compta!$B$1:$B$675,"615",Compta!$C$1:$C$675,$A122)+SUMIFS(Compta!$F$1:$F$675,Compta!$A$1:$A$675,$B122,Compta!$B$1:$B$675,"616",Compta!$C$1:$C$675,$A122)+SUMIFS(Compta!$F$1:$F$675,Compta!$A$1:$A$675,$B122,Compta!$B$1:$B$675,"625",Compta!$C$1:$C$675,$A122)+SUMIFS(Compta!$F$1:$F$675,Compta!$A$1:$A$675,$B122,Compta!$B$1:$B$675,"63511",Compta!$C$1:$C$675,$A122))</f>
        <v/>
      </c>
      <c r="AB122" t="str">
        <f>IF($A122="","",SUMIFS(Compta!$F$1:$F$675,Compta!$A$1:$A$675,"GRP",Compta!$B$1:$B$675,"6414",Compta!$C$1:$C$675,$A122)+SUMIFS(Compta!$F$1:$F$675,Compta!$A$1:$A$675,"GRP",Compta!$B$1:$B$675,"6226",Compta!$C$1:$C$675,$A122)+SUMIFS(Compta!$F$1:$F$675,Compta!$A$1:$A$675,"GRP",Compta!$B$1:$B$675,"626",Compta!$C$1:$C$675,$A122)+SUMIFS(Compta!$F$1:$F$675,Compta!$A$1:$A$675,"GRP",Compta!$B$1:$B$675,"6281",Compta!$C$1:$C$675,$A122)+SUMIFS(Compta!$F$1:$F$675,Compta!$A$1:$A$675,"GRP",Compta!$B$1:$B$675,"6331",Compta!$C$1:$C$675,$A122)+SUMIFS(Compta!$F$1:$F$675,Compta!$A$1:$A$675,"GRP",Compta!$B$1:$B$675,"6333",Compta!$C$1:$C$675,$A122))</f>
        <v/>
      </c>
      <c r="AC122" t="str">
        <f t="shared" si="21"/>
        <v/>
      </c>
      <c r="AD122" t="str">
        <f t="shared" si="22"/>
        <v/>
      </c>
      <c r="AE122" t="str">
        <f t="shared" si="23"/>
        <v/>
      </c>
      <c r="AF122" t="str">
        <f t="shared" si="24"/>
        <v/>
      </c>
      <c r="AG122" t="str">
        <f t="shared" si="25"/>
        <v/>
      </c>
      <c r="AH122" t="str">
        <f t="shared" si="26"/>
        <v/>
      </c>
      <c r="AI122" t="str">
        <f t="shared" si="27"/>
        <v/>
      </c>
      <c r="AJ122" t="str">
        <f t="shared" si="28"/>
        <v/>
      </c>
      <c r="AK122" t="str">
        <f t="shared" si="29"/>
        <v/>
      </c>
      <c r="AL122" t="str">
        <f t="shared" si="30"/>
        <v/>
      </c>
      <c r="AM122" t="str">
        <f t="shared" si="31"/>
        <v/>
      </c>
      <c r="AN122" t="str">
        <f t="shared" si="32"/>
        <v/>
      </c>
      <c r="AO122" t="str">
        <f>IF($A122="","",SUMIFS(Compta!$F$1:$F$675,Compta!$A$1:$A$675,"GRP",Compta!$B$1:$B$675,"6236",Compta!$C$1:$C$675,$A122))</f>
        <v/>
      </c>
      <c r="AP122" t="str">
        <f t="shared" si="33"/>
        <v/>
      </c>
      <c r="AQ122" t="str">
        <f t="shared" si="34"/>
        <v/>
      </c>
      <c r="AR122" t="str">
        <f t="shared" si="35"/>
        <v/>
      </c>
    </row>
    <row r="123" spans="1:44" x14ac:dyDescent="0.45">
      <c r="A123" t="str">
        <f>IF(Allocation!C123="","",Allocation!C123)</f>
        <v/>
      </c>
      <c r="B123" t="str">
        <f>IF(Allocation!D123="","",Allocation!D123)</f>
        <v/>
      </c>
      <c r="C123" t="str">
        <f>IF(Allocation!E123="","",Allocation!E123)</f>
        <v/>
      </c>
      <c r="D123" t="str">
        <f>IF(Allocation!F123="","",Allocation!F123)</f>
        <v/>
      </c>
      <c r="E123" t="str">
        <f>IF(Allocation!G123="","",Allocation!G123)</f>
        <v/>
      </c>
      <c r="F123" t="str">
        <f>IF(Allocation!H123="","",Allocation!H123)</f>
        <v/>
      </c>
      <c r="G123" t="str">
        <f>IF(Allocation!D123="","",Allocation!I123)</f>
        <v/>
      </c>
      <c r="H123" t="str">
        <f>IF(Allocation!D123="","",Allocation!J123)</f>
        <v/>
      </c>
      <c r="I123" t="str">
        <f>IF(Allocation!D123="","",Allocation!K123)</f>
        <v/>
      </c>
      <c r="J123" t="str">
        <f>IF($A123="","",SUMIFS(Socle!$K$1:$K$1000,Socle!$C$1:$C$1000,$B123,Socle!$D$1:$D$1000,$D123,Socle!$E$1:$E$1000,$E123,Socle!$F$1:$F$1000,$F123,Socle!$G$1:$G$1000,$A123))</f>
        <v/>
      </c>
      <c r="K123" t="str">
        <f t="shared" si="18"/>
        <v/>
      </c>
      <c r="L123" t="str">
        <f>IF($A123="","",SUMIFS(Allocation!$I$1:$I$175,Allocation!$C$1:$C$175,$A123,Allocation!$D$1:$D$175,$B123))</f>
        <v/>
      </c>
      <c r="M123" t="str">
        <f>IF($A123="","",SUMIFS(Allocation!$J$1:$J$175,Allocation!$C$1:$C$175,$A123,Allocation!$D$1:$D$175,$B123))</f>
        <v/>
      </c>
      <c r="N123" t="str">
        <f>IF($A123="","",SUMIFS(Allocation!$K$1:$K$175,Allocation!$C$1:$C$175,$A123,Allocation!$D$1:$D$175,$B123))</f>
        <v/>
      </c>
      <c r="O123" t="str">
        <f t="shared" si="19"/>
        <v/>
      </c>
      <c r="P123" t="str">
        <f t="shared" si="20"/>
        <v/>
      </c>
      <c r="Q123" t="str">
        <f>IF($A123="","",SUMIFS(Allocation!$I$1:$I$175,Allocation!$C$1:$C$175,$A123,Allocation!$E$1:$E$175,$C123))</f>
        <v/>
      </c>
      <c r="R123" t="str">
        <f>IF($A123="","",SUMIFS(Allocation!$J$1:$J$175,Allocation!$C$1:$C$175,$A123,Allocation!$E$1:$E$175,$C123))</f>
        <v/>
      </c>
      <c r="S123" t="str">
        <f>IF($A123="","",SUMIFS(Allocation!$K$1:$K$175,Allocation!$C$1:$C$175,$A123,Allocation!$E$1:$E$175,$C123))</f>
        <v/>
      </c>
      <c r="T123" t="str">
        <f>IF($A123="","",SUMIFS(Allocation!$I$1:$I$175,Allocation!$C$1:$C$175,$A123))</f>
        <v/>
      </c>
      <c r="U123" t="str">
        <f>IF($A123="","",SUMIFS(Allocation!$J$1:$J$175,Allocation!$C$1:$C$175,$A123))</f>
        <v/>
      </c>
      <c r="V123" t="str">
        <f>IF($A123="","",SUMIFS(Allocation!$K$1:$K$175,Allocation!$C$1:$C$175,$A123))</f>
        <v/>
      </c>
      <c r="W123" t="str">
        <f>IF($A123="","",SUMIFS(Compta!$F$1:$F$675,Compta!$A$1:$A$675,$B123,Compta!$B$1:$B$675,"621",Compta!$C$1:$C$675,$A123))</f>
        <v/>
      </c>
      <c r="X123" t="str">
        <f>IF($A123="","",SUMIFS(Compta!$F$1:$F$675,Compta!$A$1:$A$675,$B123,Compta!$B$1:$B$675,"6411",Compta!$C$1:$C$675,$A123))</f>
        <v/>
      </c>
      <c r="Y123" t="str">
        <f>IF($A123="","",SUMIFS(Compta!$F$1:$F$675,Compta!$A$1:$A$675,$B123,Compta!$B$1:$B$675,"604",Compta!$C$1:$C$675,$A123)+SUMIFS(Compta!$F$1:$F$675,Compta!$A$1:$A$675,$B123,Compta!$B$1:$B$675,"6063",Compta!$C$1:$C$675,$A123))</f>
        <v/>
      </c>
      <c r="Z123" t="str">
        <f>IF($A123="","",SUMIFS(Compta!$F$1:$F$675,Compta!$A$1:$A$675,$B123,Compta!$B$1:$B$675,"6231",Compta!$C$1:$C$675,$A123))</f>
        <v/>
      </c>
      <c r="AA123" t="str">
        <f>IF($A123="","",SUMIFS(Compta!$F$1:$F$675,Compta!$A$1:$A$675,$B123,Compta!$B$1:$B$675,"6413",Compta!$C$1:$C$675,$A123)+SUMIFS(Compta!$F$1:$F$675,Compta!$A$1:$A$675,$B123,Compta!$B$1:$B$675,"645",Compta!$C$1:$C$675,$A123)+SUMIFS(Compta!$F$1:$F$675,Compta!$A$1:$A$675,$B123,Compta!$B$1:$B$675,"613",Compta!$C$1:$C$675,$A123)+SUMIFS(Compta!$F$1:$F$675,Compta!$A$1:$A$675,$B123,Compta!$B$1:$B$675,"615",Compta!$C$1:$C$675,$A123)+SUMIFS(Compta!$F$1:$F$675,Compta!$A$1:$A$675,$B123,Compta!$B$1:$B$675,"616",Compta!$C$1:$C$675,$A123)+SUMIFS(Compta!$F$1:$F$675,Compta!$A$1:$A$675,$B123,Compta!$B$1:$B$675,"625",Compta!$C$1:$C$675,$A123)+SUMIFS(Compta!$F$1:$F$675,Compta!$A$1:$A$675,$B123,Compta!$B$1:$B$675,"63511",Compta!$C$1:$C$675,$A123))</f>
        <v/>
      </c>
      <c r="AB123" t="str">
        <f>IF($A123="","",SUMIFS(Compta!$F$1:$F$675,Compta!$A$1:$A$675,"GRP",Compta!$B$1:$B$675,"6414",Compta!$C$1:$C$675,$A123)+SUMIFS(Compta!$F$1:$F$675,Compta!$A$1:$A$675,"GRP",Compta!$B$1:$B$675,"6226",Compta!$C$1:$C$675,$A123)+SUMIFS(Compta!$F$1:$F$675,Compta!$A$1:$A$675,"GRP",Compta!$B$1:$B$675,"626",Compta!$C$1:$C$675,$A123)+SUMIFS(Compta!$F$1:$F$675,Compta!$A$1:$A$675,"GRP",Compta!$B$1:$B$675,"6281",Compta!$C$1:$C$675,$A123)+SUMIFS(Compta!$F$1:$F$675,Compta!$A$1:$A$675,"GRP",Compta!$B$1:$B$675,"6331",Compta!$C$1:$C$675,$A123)+SUMIFS(Compta!$F$1:$F$675,Compta!$A$1:$A$675,"GRP",Compta!$B$1:$B$675,"6333",Compta!$C$1:$C$675,$A123))</f>
        <v/>
      </c>
      <c r="AC123" t="str">
        <f t="shared" si="21"/>
        <v/>
      </c>
      <c r="AD123" t="str">
        <f t="shared" si="22"/>
        <v/>
      </c>
      <c r="AE123" t="str">
        <f t="shared" si="23"/>
        <v/>
      </c>
      <c r="AF123" t="str">
        <f t="shared" si="24"/>
        <v/>
      </c>
      <c r="AG123" t="str">
        <f t="shared" si="25"/>
        <v/>
      </c>
      <c r="AH123" t="str">
        <f t="shared" si="26"/>
        <v/>
      </c>
      <c r="AI123" t="str">
        <f t="shared" si="27"/>
        <v/>
      </c>
      <c r="AJ123" t="str">
        <f t="shared" si="28"/>
        <v/>
      </c>
      <c r="AK123" t="str">
        <f t="shared" si="29"/>
        <v/>
      </c>
      <c r="AL123" t="str">
        <f t="shared" si="30"/>
        <v/>
      </c>
      <c r="AM123" t="str">
        <f t="shared" si="31"/>
        <v/>
      </c>
      <c r="AN123" t="str">
        <f t="shared" si="32"/>
        <v/>
      </c>
      <c r="AO123" t="str">
        <f>IF($A123="","",SUMIFS(Compta!$F$1:$F$675,Compta!$A$1:$A$675,"GRP",Compta!$B$1:$B$675,"6236",Compta!$C$1:$C$675,$A123))</f>
        <v/>
      </c>
      <c r="AP123" t="str">
        <f t="shared" si="33"/>
        <v/>
      </c>
      <c r="AQ123" t="str">
        <f t="shared" si="34"/>
        <v/>
      </c>
      <c r="AR123" t="str">
        <f t="shared" si="35"/>
        <v/>
      </c>
    </row>
    <row r="124" spans="1:44" x14ac:dyDescent="0.45">
      <c r="A124" t="str">
        <f>IF(Allocation!C124="","",Allocation!C124)</f>
        <v/>
      </c>
      <c r="B124" t="str">
        <f>IF(Allocation!D124="","",Allocation!D124)</f>
        <v/>
      </c>
      <c r="C124" t="str">
        <f>IF(Allocation!E124="","",Allocation!E124)</f>
        <v/>
      </c>
      <c r="D124" t="str">
        <f>IF(Allocation!F124="","",Allocation!F124)</f>
        <v/>
      </c>
      <c r="E124" t="str">
        <f>IF(Allocation!G124="","",Allocation!G124)</f>
        <v/>
      </c>
      <c r="F124" t="str">
        <f>IF(Allocation!H124="","",Allocation!H124)</f>
        <v/>
      </c>
      <c r="G124" t="str">
        <f>IF(Allocation!D124="","",Allocation!I124)</f>
        <v/>
      </c>
      <c r="H124" t="str">
        <f>IF(Allocation!D124="","",Allocation!J124)</f>
        <v/>
      </c>
      <c r="I124" t="str">
        <f>IF(Allocation!D124="","",Allocation!K124)</f>
        <v/>
      </c>
      <c r="J124" t="str">
        <f>IF($A124="","",SUMIFS(Socle!$K$1:$K$1000,Socle!$C$1:$C$1000,$B124,Socle!$D$1:$D$1000,$D124,Socle!$E$1:$E$1000,$E124,Socle!$F$1:$F$1000,$F124,Socle!$G$1:$G$1000,$A124))</f>
        <v/>
      </c>
      <c r="K124" t="str">
        <f t="shared" si="18"/>
        <v/>
      </c>
      <c r="L124" t="str">
        <f>IF($A124="","",SUMIFS(Allocation!$I$1:$I$175,Allocation!$C$1:$C$175,$A124,Allocation!$D$1:$D$175,$B124))</f>
        <v/>
      </c>
      <c r="M124" t="str">
        <f>IF($A124="","",SUMIFS(Allocation!$J$1:$J$175,Allocation!$C$1:$C$175,$A124,Allocation!$D$1:$D$175,$B124))</f>
        <v/>
      </c>
      <c r="N124" t="str">
        <f>IF($A124="","",SUMIFS(Allocation!$K$1:$K$175,Allocation!$C$1:$C$175,$A124,Allocation!$D$1:$D$175,$B124))</f>
        <v/>
      </c>
      <c r="O124" t="str">
        <f t="shared" si="19"/>
        <v/>
      </c>
      <c r="P124" t="str">
        <f t="shared" si="20"/>
        <v/>
      </c>
      <c r="Q124" t="str">
        <f>IF($A124="","",SUMIFS(Allocation!$I$1:$I$175,Allocation!$C$1:$C$175,$A124,Allocation!$E$1:$E$175,$C124))</f>
        <v/>
      </c>
      <c r="R124" t="str">
        <f>IF($A124="","",SUMIFS(Allocation!$J$1:$J$175,Allocation!$C$1:$C$175,$A124,Allocation!$E$1:$E$175,$C124))</f>
        <v/>
      </c>
      <c r="S124" t="str">
        <f>IF($A124="","",SUMIFS(Allocation!$K$1:$K$175,Allocation!$C$1:$C$175,$A124,Allocation!$E$1:$E$175,$C124))</f>
        <v/>
      </c>
      <c r="T124" t="str">
        <f>IF($A124="","",SUMIFS(Allocation!$I$1:$I$175,Allocation!$C$1:$C$175,$A124))</f>
        <v/>
      </c>
      <c r="U124" t="str">
        <f>IF($A124="","",SUMIFS(Allocation!$J$1:$J$175,Allocation!$C$1:$C$175,$A124))</f>
        <v/>
      </c>
      <c r="V124" t="str">
        <f>IF($A124="","",SUMIFS(Allocation!$K$1:$K$175,Allocation!$C$1:$C$175,$A124))</f>
        <v/>
      </c>
      <c r="W124" t="str">
        <f>IF($A124="","",SUMIFS(Compta!$F$1:$F$675,Compta!$A$1:$A$675,$B124,Compta!$B$1:$B$675,"621",Compta!$C$1:$C$675,$A124))</f>
        <v/>
      </c>
      <c r="X124" t="str">
        <f>IF($A124="","",SUMIFS(Compta!$F$1:$F$675,Compta!$A$1:$A$675,$B124,Compta!$B$1:$B$675,"6411",Compta!$C$1:$C$675,$A124))</f>
        <v/>
      </c>
      <c r="Y124" t="str">
        <f>IF($A124="","",SUMIFS(Compta!$F$1:$F$675,Compta!$A$1:$A$675,$B124,Compta!$B$1:$B$675,"604",Compta!$C$1:$C$675,$A124)+SUMIFS(Compta!$F$1:$F$675,Compta!$A$1:$A$675,$B124,Compta!$B$1:$B$675,"6063",Compta!$C$1:$C$675,$A124))</f>
        <v/>
      </c>
      <c r="Z124" t="str">
        <f>IF($A124="","",SUMIFS(Compta!$F$1:$F$675,Compta!$A$1:$A$675,$B124,Compta!$B$1:$B$675,"6231",Compta!$C$1:$C$675,$A124))</f>
        <v/>
      </c>
      <c r="AA124" t="str">
        <f>IF($A124="","",SUMIFS(Compta!$F$1:$F$675,Compta!$A$1:$A$675,$B124,Compta!$B$1:$B$675,"6413",Compta!$C$1:$C$675,$A124)+SUMIFS(Compta!$F$1:$F$675,Compta!$A$1:$A$675,$B124,Compta!$B$1:$B$675,"645",Compta!$C$1:$C$675,$A124)+SUMIFS(Compta!$F$1:$F$675,Compta!$A$1:$A$675,$B124,Compta!$B$1:$B$675,"613",Compta!$C$1:$C$675,$A124)+SUMIFS(Compta!$F$1:$F$675,Compta!$A$1:$A$675,$B124,Compta!$B$1:$B$675,"615",Compta!$C$1:$C$675,$A124)+SUMIFS(Compta!$F$1:$F$675,Compta!$A$1:$A$675,$B124,Compta!$B$1:$B$675,"616",Compta!$C$1:$C$675,$A124)+SUMIFS(Compta!$F$1:$F$675,Compta!$A$1:$A$675,$B124,Compta!$B$1:$B$675,"625",Compta!$C$1:$C$675,$A124)+SUMIFS(Compta!$F$1:$F$675,Compta!$A$1:$A$675,$B124,Compta!$B$1:$B$675,"63511",Compta!$C$1:$C$675,$A124))</f>
        <v/>
      </c>
      <c r="AB124" t="str">
        <f>IF($A124="","",SUMIFS(Compta!$F$1:$F$675,Compta!$A$1:$A$675,"GRP",Compta!$B$1:$B$675,"6414",Compta!$C$1:$C$675,$A124)+SUMIFS(Compta!$F$1:$F$675,Compta!$A$1:$A$675,"GRP",Compta!$B$1:$B$675,"6226",Compta!$C$1:$C$675,$A124)+SUMIFS(Compta!$F$1:$F$675,Compta!$A$1:$A$675,"GRP",Compta!$B$1:$B$675,"626",Compta!$C$1:$C$675,$A124)+SUMIFS(Compta!$F$1:$F$675,Compta!$A$1:$A$675,"GRP",Compta!$B$1:$B$675,"6281",Compta!$C$1:$C$675,$A124)+SUMIFS(Compta!$F$1:$F$675,Compta!$A$1:$A$675,"GRP",Compta!$B$1:$B$675,"6331",Compta!$C$1:$C$675,$A124)+SUMIFS(Compta!$F$1:$F$675,Compta!$A$1:$A$675,"GRP",Compta!$B$1:$B$675,"6333",Compta!$C$1:$C$675,$A124))</f>
        <v/>
      </c>
      <c r="AC124" t="str">
        <f t="shared" si="21"/>
        <v/>
      </c>
      <c r="AD124" t="str">
        <f t="shared" si="22"/>
        <v/>
      </c>
      <c r="AE124" t="str">
        <f t="shared" si="23"/>
        <v/>
      </c>
      <c r="AF124" t="str">
        <f t="shared" si="24"/>
        <v/>
      </c>
      <c r="AG124" t="str">
        <f t="shared" si="25"/>
        <v/>
      </c>
      <c r="AH124" t="str">
        <f t="shared" si="26"/>
        <v/>
      </c>
      <c r="AI124" t="str">
        <f t="shared" si="27"/>
        <v/>
      </c>
      <c r="AJ124" t="str">
        <f t="shared" si="28"/>
        <v/>
      </c>
      <c r="AK124" t="str">
        <f t="shared" si="29"/>
        <v/>
      </c>
      <c r="AL124" t="str">
        <f t="shared" si="30"/>
        <v/>
      </c>
      <c r="AM124" t="str">
        <f t="shared" si="31"/>
        <v/>
      </c>
      <c r="AN124" t="str">
        <f t="shared" si="32"/>
        <v/>
      </c>
      <c r="AO124" t="str">
        <f>IF($A124="","",SUMIFS(Compta!$F$1:$F$675,Compta!$A$1:$A$675,"GRP",Compta!$B$1:$B$675,"6236",Compta!$C$1:$C$675,$A124))</f>
        <v/>
      </c>
      <c r="AP124" t="str">
        <f t="shared" si="33"/>
        <v/>
      </c>
      <c r="AQ124" t="str">
        <f t="shared" si="34"/>
        <v/>
      </c>
      <c r="AR124" t="str">
        <f t="shared" si="35"/>
        <v/>
      </c>
    </row>
    <row r="125" spans="1:44" x14ac:dyDescent="0.45">
      <c r="A125" t="str">
        <f>IF(Allocation!C125="","",Allocation!C125)</f>
        <v/>
      </c>
      <c r="B125" t="str">
        <f>IF(Allocation!D125="","",Allocation!D125)</f>
        <v/>
      </c>
      <c r="C125" t="str">
        <f>IF(Allocation!E125="","",Allocation!E125)</f>
        <v/>
      </c>
      <c r="D125" t="str">
        <f>IF(Allocation!F125="","",Allocation!F125)</f>
        <v/>
      </c>
      <c r="E125" t="str">
        <f>IF(Allocation!G125="","",Allocation!G125)</f>
        <v/>
      </c>
      <c r="F125" t="str">
        <f>IF(Allocation!H125="","",Allocation!H125)</f>
        <v/>
      </c>
      <c r="G125" t="str">
        <f>IF(Allocation!D125="","",Allocation!I125)</f>
        <v/>
      </c>
      <c r="H125" t="str">
        <f>IF(Allocation!D125="","",Allocation!J125)</f>
        <v/>
      </c>
      <c r="I125" t="str">
        <f>IF(Allocation!D125="","",Allocation!K125)</f>
        <v/>
      </c>
      <c r="J125" t="str">
        <f>IF($A125="","",SUMIFS(Socle!$K$1:$K$1000,Socle!$C$1:$C$1000,$B125,Socle!$D$1:$D$1000,$D125,Socle!$E$1:$E$1000,$E125,Socle!$F$1:$F$1000,$F125,Socle!$G$1:$G$1000,$A125))</f>
        <v/>
      </c>
      <c r="K125" t="str">
        <f t="shared" si="18"/>
        <v/>
      </c>
      <c r="L125" t="str">
        <f>IF($A125="","",SUMIFS(Allocation!$I$1:$I$175,Allocation!$C$1:$C$175,$A125,Allocation!$D$1:$D$175,$B125))</f>
        <v/>
      </c>
      <c r="M125" t="str">
        <f>IF($A125="","",SUMIFS(Allocation!$J$1:$J$175,Allocation!$C$1:$C$175,$A125,Allocation!$D$1:$D$175,$B125))</f>
        <v/>
      </c>
      <c r="N125" t="str">
        <f>IF($A125="","",SUMIFS(Allocation!$K$1:$K$175,Allocation!$C$1:$C$175,$A125,Allocation!$D$1:$D$175,$B125))</f>
        <v/>
      </c>
      <c r="O125" t="str">
        <f t="shared" si="19"/>
        <v/>
      </c>
      <c r="P125" t="str">
        <f t="shared" si="20"/>
        <v/>
      </c>
      <c r="Q125" t="str">
        <f>IF($A125="","",SUMIFS(Allocation!$I$1:$I$175,Allocation!$C$1:$C$175,$A125,Allocation!$E$1:$E$175,$C125))</f>
        <v/>
      </c>
      <c r="R125" t="str">
        <f>IF($A125="","",SUMIFS(Allocation!$J$1:$J$175,Allocation!$C$1:$C$175,$A125,Allocation!$E$1:$E$175,$C125))</f>
        <v/>
      </c>
      <c r="S125" t="str">
        <f>IF($A125="","",SUMIFS(Allocation!$K$1:$K$175,Allocation!$C$1:$C$175,$A125,Allocation!$E$1:$E$175,$C125))</f>
        <v/>
      </c>
      <c r="T125" t="str">
        <f>IF($A125="","",SUMIFS(Allocation!$I$1:$I$175,Allocation!$C$1:$C$175,$A125))</f>
        <v/>
      </c>
      <c r="U125" t="str">
        <f>IF($A125="","",SUMIFS(Allocation!$J$1:$J$175,Allocation!$C$1:$C$175,$A125))</f>
        <v/>
      </c>
      <c r="V125" t="str">
        <f>IF($A125="","",SUMIFS(Allocation!$K$1:$K$175,Allocation!$C$1:$C$175,$A125))</f>
        <v/>
      </c>
      <c r="W125" t="str">
        <f>IF($A125="","",SUMIFS(Compta!$F$1:$F$675,Compta!$A$1:$A$675,$B125,Compta!$B$1:$B$675,"621",Compta!$C$1:$C$675,$A125))</f>
        <v/>
      </c>
      <c r="X125" t="str">
        <f>IF($A125="","",SUMIFS(Compta!$F$1:$F$675,Compta!$A$1:$A$675,$B125,Compta!$B$1:$B$675,"6411",Compta!$C$1:$C$675,$A125))</f>
        <v/>
      </c>
      <c r="Y125" t="str">
        <f>IF($A125="","",SUMIFS(Compta!$F$1:$F$675,Compta!$A$1:$A$675,$B125,Compta!$B$1:$B$675,"604",Compta!$C$1:$C$675,$A125)+SUMIFS(Compta!$F$1:$F$675,Compta!$A$1:$A$675,$B125,Compta!$B$1:$B$675,"6063",Compta!$C$1:$C$675,$A125))</f>
        <v/>
      </c>
      <c r="Z125" t="str">
        <f>IF($A125="","",SUMIFS(Compta!$F$1:$F$675,Compta!$A$1:$A$675,$B125,Compta!$B$1:$B$675,"6231",Compta!$C$1:$C$675,$A125))</f>
        <v/>
      </c>
      <c r="AA125" t="str">
        <f>IF($A125="","",SUMIFS(Compta!$F$1:$F$675,Compta!$A$1:$A$675,$B125,Compta!$B$1:$B$675,"6413",Compta!$C$1:$C$675,$A125)+SUMIFS(Compta!$F$1:$F$675,Compta!$A$1:$A$675,$B125,Compta!$B$1:$B$675,"645",Compta!$C$1:$C$675,$A125)+SUMIFS(Compta!$F$1:$F$675,Compta!$A$1:$A$675,$B125,Compta!$B$1:$B$675,"613",Compta!$C$1:$C$675,$A125)+SUMIFS(Compta!$F$1:$F$675,Compta!$A$1:$A$675,$B125,Compta!$B$1:$B$675,"615",Compta!$C$1:$C$675,$A125)+SUMIFS(Compta!$F$1:$F$675,Compta!$A$1:$A$675,$B125,Compta!$B$1:$B$675,"616",Compta!$C$1:$C$675,$A125)+SUMIFS(Compta!$F$1:$F$675,Compta!$A$1:$A$675,$B125,Compta!$B$1:$B$675,"625",Compta!$C$1:$C$675,$A125)+SUMIFS(Compta!$F$1:$F$675,Compta!$A$1:$A$675,$B125,Compta!$B$1:$B$675,"63511",Compta!$C$1:$C$675,$A125))</f>
        <v/>
      </c>
      <c r="AB125" t="str">
        <f>IF($A125="","",SUMIFS(Compta!$F$1:$F$675,Compta!$A$1:$A$675,"GRP",Compta!$B$1:$B$675,"6414",Compta!$C$1:$C$675,$A125)+SUMIFS(Compta!$F$1:$F$675,Compta!$A$1:$A$675,"GRP",Compta!$B$1:$B$675,"6226",Compta!$C$1:$C$675,$A125)+SUMIFS(Compta!$F$1:$F$675,Compta!$A$1:$A$675,"GRP",Compta!$B$1:$B$675,"626",Compta!$C$1:$C$675,$A125)+SUMIFS(Compta!$F$1:$F$675,Compta!$A$1:$A$675,"GRP",Compta!$B$1:$B$675,"6281",Compta!$C$1:$C$675,$A125)+SUMIFS(Compta!$F$1:$F$675,Compta!$A$1:$A$675,"GRP",Compta!$B$1:$B$675,"6331",Compta!$C$1:$C$675,$A125)+SUMIFS(Compta!$F$1:$F$675,Compta!$A$1:$A$675,"GRP",Compta!$B$1:$B$675,"6333",Compta!$C$1:$C$675,$A125))</f>
        <v/>
      </c>
      <c r="AC125" t="str">
        <f t="shared" si="21"/>
        <v/>
      </c>
      <c r="AD125" t="str">
        <f t="shared" si="22"/>
        <v/>
      </c>
      <c r="AE125" t="str">
        <f t="shared" si="23"/>
        <v/>
      </c>
      <c r="AF125" t="str">
        <f t="shared" si="24"/>
        <v/>
      </c>
      <c r="AG125" t="str">
        <f t="shared" si="25"/>
        <v/>
      </c>
      <c r="AH125" t="str">
        <f t="shared" si="26"/>
        <v/>
      </c>
      <c r="AI125" t="str">
        <f t="shared" si="27"/>
        <v/>
      </c>
      <c r="AJ125" t="str">
        <f t="shared" si="28"/>
        <v/>
      </c>
      <c r="AK125" t="str">
        <f t="shared" si="29"/>
        <v/>
      </c>
      <c r="AL125" t="str">
        <f t="shared" si="30"/>
        <v/>
      </c>
      <c r="AM125" t="str">
        <f t="shared" si="31"/>
        <v/>
      </c>
      <c r="AN125" t="str">
        <f t="shared" si="32"/>
        <v/>
      </c>
      <c r="AO125" t="str">
        <f>IF($A125="","",SUMIFS(Compta!$F$1:$F$675,Compta!$A$1:$A$675,"GRP",Compta!$B$1:$B$675,"6236",Compta!$C$1:$C$675,$A125))</f>
        <v/>
      </c>
      <c r="AP125" t="str">
        <f t="shared" si="33"/>
        <v/>
      </c>
      <c r="AQ125" t="str">
        <f t="shared" si="34"/>
        <v/>
      </c>
      <c r="AR125" t="str">
        <f t="shared" si="35"/>
        <v/>
      </c>
    </row>
    <row r="126" spans="1:44" x14ac:dyDescent="0.45">
      <c r="A126" t="str">
        <f>IF(Allocation!C126="","",Allocation!C126)</f>
        <v/>
      </c>
      <c r="B126" t="str">
        <f>IF(Allocation!D126="","",Allocation!D126)</f>
        <v/>
      </c>
      <c r="C126" t="str">
        <f>IF(Allocation!E126="","",Allocation!E126)</f>
        <v/>
      </c>
      <c r="D126" t="str">
        <f>IF(Allocation!F126="","",Allocation!F126)</f>
        <v/>
      </c>
      <c r="E126" t="str">
        <f>IF(Allocation!G126="","",Allocation!G126)</f>
        <v/>
      </c>
      <c r="F126" t="str">
        <f>IF(Allocation!H126="","",Allocation!H126)</f>
        <v/>
      </c>
      <c r="G126" t="str">
        <f>IF(Allocation!D126="","",Allocation!I126)</f>
        <v/>
      </c>
      <c r="H126" t="str">
        <f>IF(Allocation!D126="","",Allocation!J126)</f>
        <v/>
      </c>
      <c r="I126" t="str">
        <f>IF(Allocation!D126="","",Allocation!K126)</f>
        <v/>
      </c>
      <c r="J126" t="str">
        <f>IF($A126="","",SUMIFS(Socle!$K$1:$K$1000,Socle!$C$1:$C$1000,$B126,Socle!$D$1:$D$1000,$D126,Socle!$E$1:$E$1000,$E126,Socle!$F$1:$F$1000,$F126,Socle!$G$1:$G$1000,$A126))</f>
        <v/>
      </c>
      <c r="K126" t="str">
        <f t="shared" si="18"/>
        <v/>
      </c>
      <c r="L126" t="str">
        <f>IF($A126="","",SUMIFS(Allocation!$I$1:$I$175,Allocation!$C$1:$C$175,$A126,Allocation!$D$1:$D$175,$B126))</f>
        <v/>
      </c>
      <c r="M126" t="str">
        <f>IF($A126="","",SUMIFS(Allocation!$J$1:$J$175,Allocation!$C$1:$C$175,$A126,Allocation!$D$1:$D$175,$B126))</f>
        <v/>
      </c>
      <c r="N126" t="str">
        <f>IF($A126="","",SUMIFS(Allocation!$K$1:$K$175,Allocation!$C$1:$C$175,$A126,Allocation!$D$1:$D$175,$B126))</f>
        <v/>
      </c>
      <c r="O126" t="str">
        <f t="shared" si="19"/>
        <v/>
      </c>
      <c r="P126" t="str">
        <f t="shared" si="20"/>
        <v/>
      </c>
      <c r="Q126" t="str">
        <f>IF($A126="","",SUMIFS(Allocation!$I$1:$I$175,Allocation!$C$1:$C$175,$A126,Allocation!$E$1:$E$175,$C126))</f>
        <v/>
      </c>
      <c r="R126" t="str">
        <f>IF($A126="","",SUMIFS(Allocation!$J$1:$J$175,Allocation!$C$1:$C$175,$A126,Allocation!$E$1:$E$175,$C126))</f>
        <v/>
      </c>
      <c r="S126" t="str">
        <f>IF($A126="","",SUMIFS(Allocation!$K$1:$K$175,Allocation!$C$1:$C$175,$A126,Allocation!$E$1:$E$175,$C126))</f>
        <v/>
      </c>
      <c r="T126" t="str">
        <f>IF($A126="","",SUMIFS(Allocation!$I$1:$I$175,Allocation!$C$1:$C$175,$A126))</f>
        <v/>
      </c>
      <c r="U126" t="str">
        <f>IF($A126="","",SUMIFS(Allocation!$J$1:$J$175,Allocation!$C$1:$C$175,$A126))</f>
        <v/>
      </c>
      <c r="V126" t="str">
        <f>IF($A126="","",SUMIFS(Allocation!$K$1:$K$175,Allocation!$C$1:$C$175,$A126))</f>
        <v/>
      </c>
      <c r="W126" t="str">
        <f>IF($A126="","",SUMIFS(Compta!$F$1:$F$675,Compta!$A$1:$A$675,$B126,Compta!$B$1:$B$675,"621",Compta!$C$1:$C$675,$A126))</f>
        <v/>
      </c>
      <c r="X126" t="str">
        <f>IF($A126="","",SUMIFS(Compta!$F$1:$F$675,Compta!$A$1:$A$675,$B126,Compta!$B$1:$B$675,"6411",Compta!$C$1:$C$675,$A126))</f>
        <v/>
      </c>
      <c r="Y126" t="str">
        <f>IF($A126="","",SUMIFS(Compta!$F$1:$F$675,Compta!$A$1:$A$675,$B126,Compta!$B$1:$B$675,"604",Compta!$C$1:$C$675,$A126)+SUMIFS(Compta!$F$1:$F$675,Compta!$A$1:$A$675,$B126,Compta!$B$1:$B$675,"6063",Compta!$C$1:$C$675,$A126))</f>
        <v/>
      </c>
      <c r="Z126" t="str">
        <f>IF($A126="","",SUMIFS(Compta!$F$1:$F$675,Compta!$A$1:$A$675,$B126,Compta!$B$1:$B$675,"6231",Compta!$C$1:$C$675,$A126))</f>
        <v/>
      </c>
      <c r="AA126" t="str">
        <f>IF($A126="","",SUMIFS(Compta!$F$1:$F$675,Compta!$A$1:$A$675,$B126,Compta!$B$1:$B$675,"6413",Compta!$C$1:$C$675,$A126)+SUMIFS(Compta!$F$1:$F$675,Compta!$A$1:$A$675,$B126,Compta!$B$1:$B$675,"645",Compta!$C$1:$C$675,$A126)+SUMIFS(Compta!$F$1:$F$675,Compta!$A$1:$A$675,$B126,Compta!$B$1:$B$675,"613",Compta!$C$1:$C$675,$A126)+SUMIFS(Compta!$F$1:$F$675,Compta!$A$1:$A$675,$B126,Compta!$B$1:$B$675,"615",Compta!$C$1:$C$675,$A126)+SUMIFS(Compta!$F$1:$F$675,Compta!$A$1:$A$675,$B126,Compta!$B$1:$B$675,"616",Compta!$C$1:$C$675,$A126)+SUMIFS(Compta!$F$1:$F$675,Compta!$A$1:$A$675,$B126,Compta!$B$1:$B$675,"625",Compta!$C$1:$C$675,$A126)+SUMIFS(Compta!$F$1:$F$675,Compta!$A$1:$A$675,$B126,Compta!$B$1:$B$675,"63511",Compta!$C$1:$C$675,$A126))</f>
        <v/>
      </c>
      <c r="AB126" t="str">
        <f>IF($A126="","",SUMIFS(Compta!$F$1:$F$675,Compta!$A$1:$A$675,"GRP",Compta!$B$1:$B$675,"6414",Compta!$C$1:$C$675,$A126)+SUMIFS(Compta!$F$1:$F$675,Compta!$A$1:$A$675,"GRP",Compta!$B$1:$B$675,"6226",Compta!$C$1:$C$675,$A126)+SUMIFS(Compta!$F$1:$F$675,Compta!$A$1:$A$675,"GRP",Compta!$B$1:$B$675,"626",Compta!$C$1:$C$675,$A126)+SUMIFS(Compta!$F$1:$F$675,Compta!$A$1:$A$675,"GRP",Compta!$B$1:$B$675,"6281",Compta!$C$1:$C$675,$A126)+SUMIFS(Compta!$F$1:$F$675,Compta!$A$1:$A$675,"GRP",Compta!$B$1:$B$675,"6331",Compta!$C$1:$C$675,$A126)+SUMIFS(Compta!$F$1:$F$675,Compta!$A$1:$A$675,"GRP",Compta!$B$1:$B$675,"6333",Compta!$C$1:$C$675,$A126))</f>
        <v/>
      </c>
      <c r="AC126" t="str">
        <f t="shared" si="21"/>
        <v/>
      </c>
      <c r="AD126" t="str">
        <f t="shared" si="22"/>
        <v/>
      </c>
      <c r="AE126" t="str">
        <f t="shared" si="23"/>
        <v/>
      </c>
      <c r="AF126" t="str">
        <f t="shared" si="24"/>
        <v/>
      </c>
      <c r="AG126" t="str">
        <f t="shared" si="25"/>
        <v/>
      </c>
      <c r="AH126" t="str">
        <f t="shared" si="26"/>
        <v/>
      </c>
      <c r="AI126" t="str">
        <f t="shared" si="27"/>
        <v/>
      </c>
      <c r="AJ126" t="str">
        <f t="shared" si="28"/>
        <v/>
      </c>
      <c r="AK126" t="str">
        <f t="shared" si="29"/>
        <v/>
      </c>
      <c r="AL126" t="str">
        <f t="shared" si="30"/>
        <v/>
      </c>
      <c r="AM126" t="str">
        <f t="shared" si="31"/>
        <v/>
      </c>
      <c r="AN126" t="str">
        <f t="shared" si="32"/>
        <v/>
      </c>
      <c r="AO126" t="str">
        <f>IF($A126="","",SUMIFS(Compta!$F$1:$F$675,Compta!$A$1:$A$675,"GRP",Compta!$B$1:$B$675,"6236",Compta!$C$1:$C$675,$A126))</f>
        <v/>
      </c>
      <c r="AP126" t="str">
        <f t="shared" si="33"/>
        <v/>
      </c>
      <c r="AQ126" t="str">
        <f t="shared" si="34"/>
        <v/>
      </c>
      <c r="AR126" t="str">
        <f t="shared" si="35"/>
        <v/>
      </c>
    </row>
    <row r="127" spans="1:44" x14ac:dyDescent="0.45">
      <c r="A127" t="str">
        <f>IF(Allocation!C127="","",Allocation!C127)</f>
        <v/>
      </c>
      <c r="B127" t="str">
        <f>IF(Allocation!D127="","",Allocation!D127)</f>
        <v/>
      </c>
      <c r="C127" t="str">
        <f>IF(Allocation!E127="","",Allocation!E127)</f>
        <v/>
      </c>
      <c r="D127" t="str">
        <f>IF(Allocation!F127="","",Allocation!F127)</f>
        <v/>
      </c>
      <c r="E127" t="str">
        <f>IF(Allocation!G127="","",Allocation!G127)</f>
        <v/>
      </c>
      <c r="F127" t="str">
        <f>IF(Allocation!H127="","",Allocation!H127)</f>
        <v/>
      </c>
      <c r="G127" t="str">
        <f>IF(Allocation!D127="","",Allocation!I127)</f>
        <v/>
      </c>
      <c r="H127" t="str">
        <f>IF(Allocation!D127="","",Allocation!J127)</f>
        <v/>
      </c>
      <c r="I127" t="str">
        <f>IF(Allocation!D127="","",Allocation!K127)</f>
        <v/>
      </c>
      <c r="J127" t="str">
        <f>IF($A127="","",SUMIFS(Socle!$K$1:$K$1000,Socle!$C$1:$C$1000,$B127,Socle!$D$1:$D$1000,$D127,Socle!$E$1:$E$1000,$E127,Socle!$F$1:$F$1000,$F127,Socle!$G$1:$G$1000,$A127))</f>
        <v/>
      </c>
      <c r="K127" t="str">
        <f t="shared" si="18"/>
        <v/>
      </c>
      <c r="L127" t="str">
        <f>IF($A127="","",SUMIFS(Allocation!$I$1:$I$175,Allocation!$C$1:$C$175,$A127,Allocation!$D$1:$D$175,$B127))</f>
        <v/>
      </c>
      <c r="M127" t="str">
        <f>IF($A127="","",SUMIFS(Allocation!$J$1:$J$175,Allocation!$C$1:$C$175,$A127,Allocation!$D$1:$D$175,$B127))</f>
        <v/>
      </c>
      <c r="N127" t="str">
        <f>IF($A127="","",SUMIFS(Allocation!$K$1:$K$175,Allocation!$C$1:$C$175,$A127,Allocation!$D$1:$D$175,$B127))</f>
        <v/>
      </c>
      <c r="O127" t="str">
        <f t="shared" si="19"/>
        <v/>
      </c>
      <c r="P127" t="str">
        <f t="shared" si="20"/>
        <v/>
      </c>
      <c r="Q127" t="str">
        <f>IF($A127="","",SUMIFS(Allocation!$I$1:$I$175,Allocation!$C$1:$C$175,$A127,Allocation!$E$1:$E$175,$C127))</f>
        <v/>
      </c>
      <c r="R127" t="str">
        <f>IF($A127="","",SUMIFS(Allocation!$J$1:$J$175,Allocation!$C$1:$C$175,$A127,Allocation!$E$1:$E$175,$C127))</f>
        <v/>
      </c>
      <c r="S127" t="str">
        <f>IF($A127="","",SUMIFS(Allocation!$K$1:$K$175,Allocation!$C$1:$C$175,$A127,Allocation!$E$1:$E$175,$C127))</f>
        <v/>
      </c>
      <c r="T127" t="str">
        <f>IF($A127="","",SUMIFS(Allocation!$I$1:$I$175,Allocation!$C$1:$C$175,$A127))</f>
        <v/>
      </c>
      <c r="U127" t="str">
        <f>IF($A127="","",SUMIFS(Allocation!$J$1:$J$175,Allocation!$C$1:$C$175,$A127))</f>
        <v/>
      </c>
      <c r="V127" t="str">
        <f>IF($A127="","",SUMIFS(Allocation!$K$1:$K$175,Allocation!$C$1:$C$175,$A127))</f>
        <v/>
      </c>
      <c r="W127" t="str">
        <f>IF($A127="","",SUMIFS(Compta!$F$1:$F$675,Compta!$A$1:$A$675,$B127,Compta!$B$1:$B$675,"621",Compta!$C$1:$C$675,$A127))</f>
        <v/>
      </c>
      <c r="X127" t="str">
        <f>IF($A127="","",SUMIFS(Compta!$F$1:$F$675,Compta!$A$1:$A$675,$B127,Compta!$B$1:$B$675,"6411",Compta!$C$1:$C$675,$A127))</f>
        <v/>
      </c>
      <c r="Y127" t="str">
        <f>IF($A127="","",SUMIFS(Compta!$F$1:$F$675,Compta!$A$1:$A$675,$B127,Compta!$B$1:$B$675,"604",Compta!$C$1:$C$675,$A127)+SUMIFS(Compta!$F$1:$F$675,Compta!$A$1:$A$675,$B127,Compta!$B$1:$B$675,"6063",Compta!$C$1:$C$675,$A127))</f>
        <v/>
      </c>
      <c r="Z127" t="str">
        <f>IF($A127="","",SUMIFS(Compta!$F$1:$F$675,Compta!$A$1:$A$675,$B127,Compta!$B$1:$B$675,"6231",Compta!$C$1:$C$675,$A127))</f>
        <v/>
      </c>
      <c r="AA127" t="str">
        <f>IF($A127="","",SUMIFS(Compta!$F$1:$F$675,Compta!$A$1:$A$675,$B127,Compta!$B$1:$B$675,"6413",Compta!$C$1:$C$675,$A127)+SUMIFS(Compta!$F$1:$F$675,Compta!$A$1:$A$675,$B127,Compta!$B$1:$B$675,"645",Compta!$C$1:$C$675,$A127)+SUMIFS(Compta!$F$1:$F$675,Compta!$A$1:$A$675,$B127,Compta!$B$1:$B$675,"613",Compta!$C$1:$C$675,$A127)+SUMIFS(Compta!$F$1:$F$675,Compta!$A$1:$A$675,$B127,Compta!$B$1:$B$675,"615",Compta!$C$1:$C$675,$A127)+SUMIFS(Compta!$F$1:$F$675,Compta!$A$1:$A$675,$B127,Compta!$B$1:$B$675,"616",Compta!$C$1:$C$675,$A127)+SUMIFS(Compta!$F$1:$F$675,Compta!$A$1:$A$675,$B127,Compta!$B$1:$B$675,"625",Compta!$C$1:$C$675,$A127)+SUMIFS(Compta!$F$1:$F$675,Compta!$A$1:$A$675,$B127,Compta!$B$1:$B$675,"63511",Compta!$C$1:$C$675,$A127))</f>
        <v/>
      </c>
      <c r="AB127" t="str">
        <f>IF($A127="","",SUMIFS(Compta!$F$1:$F$675,Compta!$A$1:$A$675,"GRP",Compta!$B$1:$B$675,"6414",Compta!$C$1:$C$675,$A127)+SUMIFS(Compta!$F$1:$F$675,Compta!$A$1:$A$675,"GRP",Compta!$B$1:$B$675,"6226",Compta!$C$1:$C$675,$A127)+SUMIFS(Compta!$F$1:$F$675,Compta!$A$1:$A$675,"GRP",Compta!$B$1:$B$675,"626",Compta!$C$1:$C$675,$A127)+SUMIFS(Compta!$F$1:$F$675,Compta!$A$1:$A$675,"GRP",Compta!$B$1:$B$675,"6281",Compta!$C$1:$C$675,$A127)+SUMIFS(Compta!$F$1:$F$675,Compta!$A$1:$A$675,"GRP",Compta!$B$1:$B$675,"6331",Compta!$C$1:$C$675,$A127)+SUMIFS(Compta!$F$1:$F$675,Compta!$A$1:$A$675,"GRP",Compta!$B$1:$B$675,"6333",Compta!$C$1:$C$675,$A127))</f>
        <v/>
      </c>
      <c r="AC127" t="str">
        <f t="shared" si="21"/>
        <v/>
      </c>
      <c r="AD127" t="str">
        <f t="shared" si="22"/>
        <v/>
      </c>
      <c r="AE127" t="str">
        <f t="shared" si="23"/>
        <v/>
      </c>
      <c r="AF127" t="str">
        <f t="shared" si="24"/>
        <v/>
      </c>
      <c r="AG127" t="str">
        <f t="shared" si="25"/>
        <v/>
      </c>
      <c r="AH127" t="str">
        <f t="shared" si="26"/>
        <v/>
      </c>
      <c r="AI127" t="str">
        <f t="shared" si="27"/>
        <v/>
      </c>
      <c r="AJ127" t="str">
        <f t="shared" si="28"/>
        <v/>
      </c>
      <c r="AK127" t="str">
        <f t="shared" si="29"/>
        <v/>
      </c>
      <c r="AL127" t="str">
        <f t="shared" si="30"/>
        <v/>
      </c>
      <c r="AM127" t="str">
        <f t="shared" si="31"/>
        <v/>
      </c>
      <c r="AN127" t="str">
        <f t="shared" si="32"/>
        <v/>
      </c>
      <c r="AO127" t="str">
        <f>IF($A127="","",SUMIFS(Compta!$F$1:$F$675,Compta!$A$1:$A$675,"GRP",Compta!$B$1:$B$675,"6236",Compta!$C$1:$C$675,$A127))</f>
        <v/>
      </c>
      <c r="AP127" t="str">
        <f t="shared" si="33"/>
        <v/>
      </c>
      <c r="AQ127" t="str">
        <f t="shared" si="34"/>
        <v/>
      </c>
      <c r="AR127" t="str">
        <f t="shared" si="35"/>
        <v/>
      </c>
    </row>
    <row r="128" spans="1:44" x14ac:dyDescent="0.45">
      <c r="A128" t="str">
        <f>IF(Allocation!C128="","",Allocation!C128)</f>
        <v/>
      </c>
      <c r="B128" t="str">
        <f>IF(Allocation!D128="","",Allocation!D128)</f>
        <v/>
      </c>
      <c r="C128" t="str">
        <f>IF(Allocation!E128="","",Allocation!E128)</f>
        <v/>
      </c>
      <c r="D128" t="str">
        <f>IF(Allocation!F128="","",Allocation!F128)</f>
        <v/>
      </c>
      <c r="E128" t="str">
        <f>IF(Allocation!G128="","",Allocation!G128)</f>
        <v/>
      </c>
      <c r="F128" t="str">
        <f>IF(Allocation!H128="","",Allocation!H128)</f>
        <v/>
      </c>
      <c r="G128" t="str">
        <f>IF(Allocation!D128="","",Allocation!I128)</f>
        <v/>
      </c>
      <c r="H128" t="str">
        <f>IF(Allocation!D128="","",Allocation!J128)</f>
        <v/>
      </c>
      <c r="I128" t="str">
        <f>IF(Allocation!D128="","",Allocation!K128)</f>
        <v/>
      </c>
      <c r="J128" t="str">
        <f>IF($A128="","",SUMIFS(Socle!$K$1:$K$1000,Socle!$C$1:$C$1000,$B128,Socle!$D$1:$D$1000,$D128,Socle!$E$1:$E$1000,$E128,Socle!$F$1:$F$1000,$F128,Socle!$G$1:$G$1000,$A128))</f>
        <v/>
      </c>
      <c r="K128" t="str">
        <f t="shared" si="18"/>
        <v/>
      </c>
      <c r="L128" t="str">
        <f>IF($A128="","",SUMIFS(Allocation!$I$1:$I$175,Allocation!$C$1:$C$175,$A128,Allocation!$D$1:$D$175,$B128))</f>
        <v/>
      </c>
      <c r="M128" t="str">
        <f>IF($A128="","",SUMIFS(Allocation!$J$1:$J$175,Allocation!$C$1:$C$175,$A128,Allocation!$D$1:$D$175,$B128))</f>
        <v/>
      </c>
      <c r="N128" t="str">
        <f>IF($A128="","",SUMIFS(Allocation!$K$1:$K$175,Allocation!$C$1:$C$175,$A128,Allocation!$D$1:$D$175,$B128))</f>
        <v/>
      </c>
      <c r="O128" t="str">
        <f t="shared" si="19"/>
        <v/>
      </c>
      <c r="P128" t="str">
        <f t="shared" si="20"/>
        <v/>
      </c>
      <c r="Q128" t="str">
        <f>IF($A128="","",SUMIFS(Allocation!$I$1:$I$175,Allocation!$C$1:$C$175,$A128,Allocation!$E$1:$E$175,$C128))</f>
        <v/>
      </c>
      <c r="R128" t="str">
        <f>IF($A128="","",SUMIFS(Allocation!$J$1:$J$175,Allocation!$C$1:$C$175,$A128,Allocation!$E$1:$E$175,$C128))</f>
        <v/>
      </c>
      <c r="S128" t="str">
        <f>IF($A128="","",SUMIFS(Allocation!$K$1:$K$175,Allocation!$C$1:$C$175,$A128,Allocation!$E$1:$E$175,$C128))</f>
        <v/>
      </c>
      <c r="T128" t="str">
        <f>IF($A128="","",SUMIFS(Allocation!$I$1:$I$175,Allocation!$C$1:$C$175,$A128))</f>
        <v/>
      </c>
      <c r="U128" t="str">
        <f>IF($A128="","",SUMIFS(Allocation!$J$1:$J$175,Allocation!$C$1:$C$175,$A128))</f>
        <v/>
      </c>
      <c r="V128" t="str">
        <f>IF($A128="","",SUMIFS(Allocation!$K$1:$K$175,Allocation!$C$1:$C$175,$A128))</f>
        <v/>
      </c>
      <c r="W128" t="str">
        <f>IF($A128="","",SUMIFS(Compta!$F$1:$F$675,Compta!$A$1:$A$675,$B128,Compta!$B$1:$B$675,"621",Compta!$C$1:$C$675,$A128))</f>
        <v/>
      </c>
      <c r="X128" t="str">
        <f>IF($A128="","",SUMIFS(Compta!$F$1:$F$675,Compta!$A$1:$A$675,$B128,Compta!$B$1:$B$675,"6411",Compta!$C$1:$C$675,$A128))</f>
        <v/>
      </c>
      <c r="Y128" t="str">
        <f>IF($A128="","",SUMIFS(Compta!$F$1:$F$675,Compta!$A$1:$A$675,$B128,Compta!$B$1:$B$675,"604",Compta!$C$1:$C$675,$A128)+SUMIFS(Compta!$F$1:$F$675,Compta!$A$1:$A$675,$B128,Compta!$B$1:$B$675,"6063",Compta!$C$1:$C$675,$A128))</f>
        <v/>
      </c>
      <c r="Z128" t="str">
        <f>IF($A128="","",SUMIFS(Compta!$F$1:$F$675,Compta!$A$1:$A$675,$B128,Compta!$B$1:$B$675,"6231",Compta!$C$1:$C$675,$A128))</f>
        <v/>
      </c>
      <c r="AA128" t="str">
        <f>IF($A128="","",SUMIFS(Compta!$F$1:$F$675,Compta!$A$1:$A$675,$B128,Compta!$B$1:$B$675,"6413",Compta!$C$1:$C$675,$A128)+SUMIFS(Compta!$F$1:$F$675,Compta!$A$1:$A$675,$B128,Compta!$B$1:$B$675,"645",Compta!$C$1:$C$675,$A128)+SUMIFS(Compta!$F$1:$F$675,Compta!$A$1:$A$675,$B128,Compta!$B$1:$B$675,"613",Compta!$C$1:$C$675,$A128)+SUMIFS(Compta!$F$1:$F$675,Compta!$A$1:$A$675,$B128,Compta!$B$1:$B$675,"615",Compta!$C$1:$C$675,$A128)+SUMIFS(Compta!$F$1:$F$675,Compta!$A$1:$A$675,$B128,Compta!$B$1:$B$675,"616",Compta!$C$1:$C$675,$A128)+SUMIFS(Compta!$F$1:$F$675,Compta!$A$1:$A$675,$B128,Compta!$B$1:$B$675,"625",Compta!$C$1:$C$675,$A128)+SUMIFS(Compta!$F$1:$F$675,Compta!$A$1:$A$675,$B128,Compta!$B$1:$B$675,"63511",Compta!$C$1:$C$675,$A128))</f>
        <v/>
      </c>
      <c r="AB128" t="str">
        <f>IF($A128="","",SUMIFS(Compta!$F$1:$F$675,Compta!$A$1:$A$675,"GRP",Compta!$B$1:$B$675,"6414",Compta!$C$1:$C$675,$A128)+SUMIFS(Compta!$F$1:$F$675,Compta!$A$1:$A$675,"GRP",Compta!$B$1:$B$675,"6226",Compta!$C$1:$C$675,$A128)+SUMIFS(Compta!$F$1:$F$675,Compta!$A$1:$A$675,"GRP",Compta!$B$1:$B$675,"626",Compta!$C$1:$C$675,$A128)+SUMIFS(Compta!$F$1:$F$675,Compta!$A$1:$A$675,"GRP",Compta!$B$1:$B$675,"6281",Compta!$C$1:$C$675,$A128)+SUMIFS(Compta!$F$1:$F$675,Compta!$A$1:$A$675,"GRP",Compta!$B$1:$B$675,"6331",Compta!$C$1:$C$675,$A128)+SUMIFS(Compta!$F$1:$F$675,Compta!$A$1:$A$675,"GRP",Compta!$B$1:$B$675,"6333",Compta!$C$1:$C$675,$A128))</f>
        <v/>
      </c>
      <c r="AC128" t="str">
        <f t="shared" si="21"/>
        <v/>
      </c>
      <c r="AD128" t="str">
        <f t="shared" si="22"/>
        <v/>
      </c>
      <c r="AE128" t="str">
        <f t="shared" si="23"/>
        <v/>
      </c>
      <c r="AF128" t="str">
        <f t="shared" si="24"/>
        <v/>
      </c>
      <c r="AG128" t="str">
        <f t="shared" si="25"/>
        <v/>
      </c>
      <c r="AH128" t="str">
        <f t="shared" si="26"/>
        <v/>
      </c>
      <c r="AI128" t="str">
        <f t="shared" si="27"/>
        <v/>
      </c>
      <c r="AJ128" t="str">
        <f t="shared" si="28"/>
        <v/>
      </c>
      <c r="AK128" t="str">
        <f t="shared" si="29"/>
        <v/>
      </c>
      <c r="AL128" t="str">
        <f t="shared" si="30"/>
        <v/>
      </c>
      <c r="AM128" t="str">
        <f t="shared" si="31"/>
        <v/>
      </c>
      <c r="AN128" t="str">
        <f t="shared" si="32"/>
        <v/>
      </c>
      <c r="AO128" t="str">
        <f>IF($A128="","",SUMIFS(Compta!$F$1:$F$675,Compta!$A$1:$A$675,"GRP",Compta!$B$1:$B$675,"6236",Compta!$C$1:$C$675,$A128))</f>
        <v/>
      </c>
      <c r="AP128" t="str">
        <f t="shared" si="33"/>
        <v/>
      </c>
      <c r="AQ128" t="str">
        <f t="shared" si="34"/>
        <v/>
      </c>
      <c r="AR128" t="str">
        <f t="shared" si="35"/>
        <v/>
      </c>
    </row>
    <row r="129" spans="1:44" x14ac:dyDescent="0.45">
      <c r="A129" t="str">
        <f>IF(Allocation!C129="","",Allocation!C129)</f>
        <v/>
      </c>
      <c r="B129" t="str">
        <f>IF(Allocation!D129="","",Allocation!D129)</f>
        <v/>
      </c>
      <c r="C129" t="str">
        <f>IF(Allocation!E129="","",Allocation!E129)</f>
        <v/>
      </c>
      <c r="D129" t="str">
        <f>IF(Allocation!F129="","",Allocation!F129)</f>
        <v/>
      </c>
      <c r="E129" t="str">
        <f>IF(Allocation!G129="","",Allocation!G129)</f>
        <v/>
      </c>
      <c r="F129" t="str">
        <f>IF(Allocation!H129="","",Allocation!H129)</f>
        <v/>
      </c>
      <c r="G129" t="str">
        <f>IF(Allocation!D129="","",Allocation!I129)</f>
        <v/>
      </c>
      <c r="H129" t="str">
        <f>IF(Allocation!D129="","",Allocation!J129)</f>
        <v/>
      </c>
      <c r="I129" t="str">
        <f>IF(Allocation!D129="","",Allocation!K129)</f>
        <v/>
      </c>
      <c r="J129" t="str">
        <f>IF($A129="","",SUMIFS(Socle!$K$1:$K$1000,Socle!$C$1:$C$1000,$B129,Socle!$D$1:$D$1000,$D129,Socle!$E$1:$E$1000,$E129,Socle!$F$1:$F$1000,$F129,Socle!$G$1:$G$1000,$A129))</f>
        <v/>
      </c>
      <c r="K129" t="str">
        <f t="shared" si="18"/>
        <v/>
      </c>
      <c r="L129" t="str">
        <f>IF($A129="","",SUMIFS(Allocation!$I$1:$I$175,Allocation!$C$1:$C$175,$A129,Allocation!$D$1:$D$175,$B129))</f>
        <v/>
      </c>
      <c r="M129" t="str">
        <f>IF($A129="","",SUMIFS(Allocation!$J$1:$J$175,Allocation!$C$1:$C$175,$A129,Allocation!$D$1:$D$175,$B129))</f>
        <v/>
      </c>
      <c r="N129" t="str">
        <f>IF($A129="","",SUMIFS(Allocation!$K$1:$K$175,Allocation!$C$1:$C$175,$A129,Allocation!$D$1:$D$175,$B129))</f>
        <v/>
      </c>
      <c r="O129" t="str">
        <f t="shared" si="19"/>
        <v/>
      </c>
      <c r="P129" t="str">
        <f t="shared" si="20"/>
        <v/>
      </c>
      <c r="Q129" t="str">
        <f>IF($A129="","",SUMIFS(Allocation!$I$1:$I$175,Allocation!$C$1:$C$175,$A129,Allocation!$E$1:$E$175,$C129))</f>
        <v/>
      </c>
      <c r="R129" t="str">
        <f>IF($A129="","",SUMIFS(Allocation!$J$1:$J$175,Allocation!$C$1:$C$175,$A129,Allocation!$E$1:$E$175,$C129))</f>
        <v/>
      </c>
      <c r="S129" t="str">
        <f>IF($A129="","",SUMIFS(Allocation!$K$1:$K$175,Allocation!$C$1:$C$175,$A129,Allocation!$E$1:$E$175,$C129))</f>
        <v/>
      </c>
      <c r="T129" t="str">
        <f>IF($A129="","",SUMIFS(Allocation!$I$1:$I$175,Allocation!$C$1:$C$175,$A129))</f>
        <v/>
      </c>
      <c r="U129" t="str">
        <f>IF($A129="","",SUMIFS(Allocation!$J$1:$J$175,Allocation!$C$1:$C$175,$A129))</f>
        <v/>
      </c>
      <c r="V129" t="str">
        <f>IF($A129="","",SUMIFS(Allocation!$K$1:$K$175,Allocation!$C$1:$C$175,$A129))</f>
        <v/>
      </c>
      <c r="W129" t="str">
        <f>IF($A129="","",SUMIFS(Compta!$F$1:$F$675,Compta!$A$1:$A$675,$B129,Compta!$B$1:$B$675,"621",Compta!$C$1:$C$675,$A129))</f>
        <v/>
      </c>
      <c r="X129" t="str">
        <f>IF($A129="","",SUMIFS(Compta!$F$1:$F$675,Compta!$A$1:$A$675,$B129,Compta!$B$1:$B$675,"6411",Compta!$C$1:$C$675,$A129))</f>
        <v/>
      </c>
      <c r="Y129" t="str">
        <f>IF($A129="","",SUMIFS(Compta!$F$1:$F$675,Compta!$A$1:$A$675,$B129,Compta!$B$1:$B$675,"604",Compta!$C$1:$C$675,$A129)+SUMIFS(Compta!$F$1:$F$675,Compta!$A$1:$A$675,$B129,Compta!$B$1:$B$675,"6063",Compta!$C$1:$C$675,$A129))</f>
        <v/>
      </c>
      <c r="Z129" t="str">
        <f>IF($A129="","",SUMIFS(Compta!$F$1:$F$675,Compta!$A$1:$A$675,$B129,Compta!$B$1:$B$675,"6231",Compta!$C$1:$C$675,$A129))</f>
        <v/>
      </c>
      <c r="AA129" t="str">
        <f>IF($A129="","",SUMIFS(Compta!$F$1:$F$675,Compta!$A$1:$A$675,$B129,Compta!$B$1:$B$675,"6413",Compta!$C$1:$C$675,$A129)+SUMIFS(Compta!$F$1:$F$675,Compta!$A$1:$A$675,$B129,Compta!$B$1:$B$675,"645",Compta!$C$1:$C$675,$A129)+SUMIFS(Compta!$F$1:$F$675,Compta!$A$1:$A$675,$B129,Compta!$B$1:$B$675,"613",Compta!$C$1:$C$675,$A129)+SUMIFS(Compta!$F$1:$F$675,Compta!$A$1:$A$675,$B129,Compta!$B$1:$B$675,"615",Compta!$C$1:$C$675,$A129)+SUMIFS(Compta!$F$1:$F$675,Compta!$A$1:$A$675,$B129,Compta!$B$1:$B$675,"616",Compta!$C$1:$C$675,$A129)+SUMIFS(Compta!$F$1:$F$675,Compta!$A$1:$A$675,$B129,Compta!$B$1:$B$675,"625",Compta!$C$1:$C$675,$A129)+SUMIFS(Compta!$F$1:$F$675,Compta!$A$1:$A$675,$B129,Compta!$B$1:$B$675,"63511",Compta!$C$1:$C$675,$A129))</f>
        <v/>
      </c>
      <c r="AB129" t="str">
        <f>IF($A129="","",SUMIFS(Compta!$F$1:$F$675,Compta!$A$1:$A$675,"GRP",Compta!$B$1:$B$675,"6414",Compta!$C$1:$C$675,$A129)+SUMIFS(Compta!$F$1:$F$675,Compta!$A$1:$A$675,"GRP",Compta!$B$1:$B$675,"6226",Compta!$C$1:$C$675,$A129)+SUMIFS(Compta!$F$1:$F$675,Compta!$A$1:$A$675,"GRP",Compta!$B$1:$B$675,"626",Compta!$C$1:$C$675,$A129)+SUMIFS(Compta!$F$1:$F$675,Compta!$A$1:$A$675,"GRP",Compta!$B$1:$B$675,"6281",Compta!$C$1:$C$675,$A129)+SUMIFS(Compta!$F$1:$F$675,Compta!$A$1:$A$675,"GRP",Compta!$B$1:$B$675,"6331",Compta!$C$1:$C$675,$A129)+SUMIFS(Compta!$F$1:$F$675,Compta!$A$1:$A$675,"GRP",Compta!$B$1:$B$675,"6333",Compta!$C$1:$C$675,$A129))</f>
        <v/>
      </c>
      <c r="AC129" t="str">
        <f t="shared" si="21"/>
        <v/>
      </c>
      <c r="AD129" t="str">
        <f t="shared" si="22"/>
        <v/>
      </c>
      <c r="AE129" t="str">
        <f t="shared" si="23"/>
        <v/>
      </c>
      <c r="AF129" t="str">
        <f t="shared" si="24"/>
        <v/>
      </c>
      <c r="AG129" t="str">
        <f t="shared" si="25"/>
        <v/>
      </c>
      <c r="AH129" t="str">
        <f t="shared" si="26"/>
        <v/>
      </c>
      <c r="AI129" t="str">
        <f t="shared" si="27"/>
        <v/>
      </c>
      <c r="AJ129" t="str">
        <f t="shared" si="28"/>
        <v/>
      </c>
      <c r="AK129" t="str">
        <f t="shared" si="29"/>
        <v/>
      </c>
      <c r="AL129" t="str">
        <f t="shared" si="30"/>
        <v/>
      </c>
      <c r="AM129" t="str">
        <f t="shared" si="31"/>
        <v/>
      </c>
      <c r="AN129" t="str">
        <f t="shared" si="32"/>
        <v/>
      </c>
      <c r="AO129" t="str">
        <f>IF($A129="","",SUMIFS(Compta!$F$1:$F$675,Compta!$A$1:$A$675,"GRP",Compta!$B$1:$B$675,"6236",Compta!$C$1:$C$675,$A129))</f>
        <v/>
      </c>
      <c r="AP129" t="str">
        <f t="shared" si="33"/>
        <v/>
      </c>
      <c r="AQ129" t="str">
        <f t="shared" si="34"/>
        <v/>
      </c>
      <c r="AR129" t="str">
        <f t="shared" si="35"/>
        <v/>
      </c>
    </row>
    <row r="130" spans="1:44" x14ac:dyDescent="0.45">
      <c r="A130" t="str">
        <f>IF(Allocation!C130="","",Allocation!C130)</f>
        <v/>
      </c>
      <c r="B130" t="str">
        <f>IF(Allocation!D130="","",Allocation!D130)</f>
        <v/>
      </c>
      <c r="C130" t="str">
        <f>IF(Allocation!E130="","",Allocation!E130)</f>
        <v/>
      </c>
      <c r="D130" t="str">
        <f>IF(Allocation!F130="","",Allocation!F130)</f>
        <v/>
      </c>
      <c r="E130" t="str">
        <f>IF(Allocation!G130="","",Allocation!G130)</f>
        <v/>
      </c>
      <c r="F130" t="str">
        <f>IF(Allocation!H130="","",Allocation!H130)</f>
        <v/>
      </c>
      <c r="G130" t="str">
        <f>IF(Allocation!D130="","",Allocation!I130)</f>
        <v/>
      </c>
      <c r="H130" t="str">
        <f>IF(Allocation!D130="","",Allocation!J130)</f>
        <v/>
      </c>
      <c r="I130" t="str">
        <f>IF(Allocation!D130="","",Allocation!K130)</f>
        <v/>
      </c>
      <c r="J130" t="str">
        <f>IF($A130="","",SUMIFS(Socle!$K$1:$K$1000,Socle!$C$1:$C$1000,$B130,Socle!$D$1:$D$1000,$D130,Socle!$E$1:$E$1000,$E130,Socle!$F$1:$F$1000,$F130,Socle!$G$1:$G$1000,$A130))</f>
        <v/>
      </c>
      <c r="K130" t="str">
        <f t="shared" ref="K130:K175" si="36">IF($A130="","",$H130*IF(AND(LEFT($D130,3)="BAC",$F130="INIT"),600,IF(LEFT($D130,3)="BAC",480,IF(AND(LEFT($D130,3)="MAS",$F130="INIT"),520,IF(LEFT($D130,3)="MAS",420,IF($F130="INIT",1000,700))))))</f>
        <v/>
      </c>
      <c r="L130" t="str">
        <f>IF($A130="","",SUMIFS(Allocation!$I$1:$I$175,Allocation!$C$1:$C$175,$A130,Allocation!$D$1:$D$175,$B130))</f>
        <v/>
      </c>
      <c r="M130" t="str">
        <f>IF($A130="","",SUMIFS(Allocation!$J$1:$J$175,Allocation!$C$1:$C$175,$A130,Allocation!$D$1:$D$175,$B130))</f>
        <v/>
      </c>
      <c r="N130" t="str">
        <f>IF($A130="","",SUMIFS(Allocation!$K$1:$K$175,Allocation!$C$1:$C$175,$A130,Allocation!$D$1:$D$175,$B130))</f>
        <v/>
      </c>
      <c r="O130" t="str">
        <f t="shared" ref="O130:O175" si="37">IF($A130="","",SUMIFS($K$1:$K$175,$A$1:$A$175,$A130,$B$1:$B$175,$B130))</f>
        <v/>
      </c>
      <c r="P130" t="str">
        <f t="shared" ref="P130:P175" si="38">IF($A130="","",SUMIFS($J$1:$J$175,$A$1:$A$175,$A130,$B$1:$B$175,$B130))</f>
        <v/>
      </c>
      <c r="Q130" t="str">
        <f>IF($A130="","",SUMIFS(Allocation!$I$1:$I$175,Allocation!$C$1:$C$175,$A130,Allocation!$E$1:$E$175,$C130))</f>
        <v/>
      </c>
      <c r="R130" t="str">
        <f>IF($A130="","",SUMIFS(Allocation!$J$1:$J$175,Allocation!$C$1:$C$175,$A130,Allocation!$E$1:$E$175,$C130))</f>
        <v/>
      </c>
      <c r="S130" t="str">
        <f>IF($A130="","",SUMIFS(Allocation!$K$1:$K$175,Allocation!$C$1:$C$175,$A130,Allocation!$E$1:$E$175,$C130))</f>
        <v/>
      </c>
      <c r="T130" t="str">
        <f>IF($A130="","",SUMIFS(Allocation!$I$1:$I$175,Allocation!$C$1:$C$175,$A130))</f>
        <v/>
      </c>
      <c r="U130" t="str">
        <f>IF($A130="","",SUMIFS(Allocation!$J$1:$J$175,Allocation!$C$1:$C$175,$A130))</f>
        <v/>
      </c>
      <c r="V130" t="str">
        <f>IF($A130="","",SUMIFS(Allocation!$K$1:$K$175,Allocation!$C$1:$C$175,$A130))</f>
        <v/>
      </c>
      <c r="W130" t="str">
        <f>IF($A130="","",SUMIFS(Compta!$F$1:$F$675,Compta!$A$1:$A$675,$B130,Compta!$B$1:$B$675,"621",Compta!$C$1:$C$675,$A130))</f>
        <v/>
      </c>
      <c r="X130" t="str">
        <f>IF($A130="","",SUMIFS(Compta!$F$1:$F$675,Compta!$A$1:$A$675,$B130,Compta!$B$1:$B$675,"6411",Compta!$C$1:$C$675,$A130))</f>
        <v/>
      </c>
      <c r="Y130" t="str">
        <f>IF($A130="","",SUMIFS(Compta!$F$1:$F$675,Compta!$A$1:$A$675,$B130,Compta!$B$1:$B$675,"604",Compta!$C$1:$C$675,$A130)+SUMIFS(Compta!$F$1:$F$675,Compta!$A$1:$A$675,$B130,Compta!$B$1:$B$675,"6063",Compta!$C$1:$C$675,$A130))</f>
        <v/>
      </c>
      <c r="Z130" t="str">
        <f>IF($A130="","",SUMIFS(Compta!$F$1:$F$675,Compta!$A$1:$A$675,$B130,Compta!$B$1:$B$675,"6231",Compta!$C$1:$C$675,$A130))</f>
        <v/>
      </c>
      <c r="AA130" t="str">
        <f>IF($A130="","",SUMIFS(Compta!$F$1:$F$675,Compta!$A$1:$A$675,$B130,Compta!$B$1:$B$675,"6413",Compta!$C$1:$C$675,$A130)+SUMIFS(Compta!$F$1:$F$675,Compta!$A$1:$A$675,$B130,Compta!$B$1:$B$675,"645",Compta!$C$1:$C$675,$A130)+SUMIFS(Compta!$F$1:$F$675,Compta!$A$1:$A$675,$B130,Compta!$B$1:$B$675,"613",Compta!$C$1:$C$675,$A130)+SUMIFS(Compta!$F$1:$F$675,Compta!$A$1:$A$675,$B130,Compta!$B$1:$B$675,"615",Compta!$C$1:$C$675,$A130)+SUMIFS(Compta!$F$1:$F$675,Compta!$A$1:$A$675,$B130,Compta!$B$1:$B$675,"616",Compta!$C$1:$C$675,$A130)+SUMIFS(Compta!$F$1:$F$675,Compta!$A$1:$A$675,$B130,Compta!$B$1:$B$675,"625",Compta!$C$1:$C$675,$A130)+SUMIFS(Compta!$F$1:$F$675,Compta!$A$1:$A$675,$B130,Compta!$B$1:$B$675,"63511",Compta!$C$1:$C$675,$A130))</f>
        <v/>
      </c>
      <c r="AB130" t="str">
        <f>IF($A130="","",SUMIFS(Compta!$F$1:$F$675,Compta!$A$1:$A$675,"GRP",Compta!$B$1:$B$675,"6414",Compta!$C$1:$C$675,$A130)+SUMIFS(Compta!$F$1:$F$675,Compta!$A$1:$A$675,"GRP",Compta!$B$1:$B$675,"6226",Compta!$C$1:$C$675,$A130)+SUMIFS(Compta!$F$1:$F$675,Compta!$A$1:$A$675,"GRP",Compta!$B$1:$B$675,"626",Compta!$C$1:$C$675,$A130)+SUMIFS(Compta!$F$1:$F$675,Compta!$A$1:$A$675,"GRP",Compta!$B$1:$B$675,"6281",Compta!$C$1:$C$675,$A130)+SUMIFS(Compta!$F$1:$F$675,Compta!$A$1:$A$675,"GRP",Compta!$B$1:$B$675,"6331",Compta!$C$1:$C$675,$A130)+SUMIFS(Compta!$F$1:$F$675,Compta!$A$1:$A$675,"GRP",Compta!$B$1:$B$675,"6333",Compta!$C$1:$C$675,$A130))</f>
        <v/>
      </c>
      <c r="AC130" t="str">
        <f t="shared" ref="AC130:AC175" si="39">IF($A130="","",IF(ALLOC!$C$9="Chiffre d'affaires",$I130,IF(ALLOC!$C$9="Effectif",$G130,$H130)))</f>
        <v/>
      </c>
      <c r="AD130" t="str">
        <f t="shared" ref="AD130:AD175" si="40">IF($A130="","",IF(ALLOC!$C$9="Chiffre d'affaires",$N130,IF(ALLOC!$C$9="Effectif",$L130,$M130)))</f>
        <v/>
      </c>
      <c r="AE130" t="str">
        <f t="shared" ref="AE130:AE175" si="41">IF($A130="","",IF(ALLOC!$C$8="Chiffre d'affaires",$N130,IF(ALLOC!$C$8="Effectif",$L130,$M130)))</f>
        <v/>
      </c>
      <c r="AF130" t="str">
        <f t="shared" ref="AF130:AF175" si="42">IF($A130="","",IF(ALLOC!$C$8="Chiffre d'affaires",$S130,IF(ALLOC!$C$8="Effectif",$Q130,$R130)))</f>
        <v/>
      </c>
      <c r="AG130" t="str">
        <f t="shared" ref="AG130:AG175" si="43">IF($A130="","",IF(ALLOC!$C$6="Chiffre d'affaires",$S130,IF(ALLOC!$C$6="Effectif",$Q130,$R130)))</f>
        <v/>
      </c>
      <c r="AH130" t="str">
        <f t="shared" ref="AH130:AH175" si="44">IF($A130="","",IF(ALLOC!$C$6="Chiffre d'affaires",$V130,IF(ALLOC!$C$6="Effectif",$T130,$U130)))</f>
        <v/>
      </c>
      <c r="AI130" t="str">
        <f t="shared" ref="AI130:AI175" si="45">IF($A130="","",$W130*IFERROR($K130/$O130,0))</f>
        <v/>
      </c>
      <c r="AJ130" t="str">
        <f t="shared" ref="AJ130:AJ175" si="46">IF($A130="","",$X130*IFERROR($K130/$O130,0))</f>
        <v/>
      </c>
      <c r="AK130" t="str">
        <f t="shared" ref="AK130:AK175" si="47">IF($A130="","",$Y130*IFERROR($G130/$L130,0)+$Z130*IFERROR($J130/$P130,0))</f>
        <v/>
      </c>
      <c r="AL130" t="str">
        <f t="shared" ref="AL130:AL175" si="48">IF($A130="","",$AA130*IFERROR($AC130/$AD130,0))</f>
        <v/>
      </c>
      <c r="AM130" t="str">
        <f t="shared" ref="AM130:AM175" si="49">IF($A130="","",$AB130*IFERROR($AG130/$AH130,0)*IFERROR($AE130/$AF130,0)*IFERROR($AC130/$AD130,0))</f>
        <v/>
      </c>
      <c r="AN130" t="str">
        <f t="shared" ref="AN130:AN175" si="50">IF($A130="","",$I130-($AI130+$AJ130+$AK130+$AL130+$AM130+$AR130))</f>
        <v/>
      </c>
      <c r="AO130" t="str">
        <f>IF($A130="","",SUMIFS(Compta!$F$1:$F$675,Compta!$A$1:$A$675,"GRP",Compta!$B$1:$B$675,"6236",Compta!$C$1:$C$675,$A130))</f>
        <v/>
      </c>
      <c r="AP130" t="str">
        <f t="shared" ref="AP130:AP175" si="51">IF($A130="","",IF(ALLOC!$C$7="Chiffre d'affaires",$S130,IF(ALLOC!$C$7="Effectif",$Q130,$R130)))</f>
        <v/>
      </c>
      <c r="AQ130" t="str">
        <f t="shared" ref="AQ130:AQ175" si="52">IF($A130="","",IF(ALLOC!$C$7="Chiffre d'affaires",$V130,IF(ALLOC!$C$7="Effectif",$T130,$U130)))</f>
        <v/>
      </c>
      <c r="AR130" t="str">
        <f t="shared" ref="AR130:AR175" si="53">IF($A130="","",$AO130*IFERROR($AP130/$AQ130,0)*IFERROR($AE130/$AF130,0)*IFERROR($AC130/$AD130,0))</f>
        <v/>
      </c>
    </row>
    <row r="131" spans="1:44" x14ac:dyDescent="0.45">
      <c r="A131" t="str">
        <f>IF(Allocation!C131="","",Allocation!C131)</f>
        <v/>
      </c>
      <c r="B131" t="str">
        <f>IF(Allocation!D131="","",Allocation!D131)</f>
        <v/>
      </c>
      <c r="C131" t="str">
        <f>IF(Allocation!E131="","",Allocation!E131)</f>
        <v/>
      </c>
      <c r="D131" t="str">
        <f>IF(Allocation!F131="","",Allocation!F131)</f>
        <v/>
      </c>
      <c r="E131" t="str">
        <f>IF(Allocation!G131="","",Allocation!G131)</f>
        <v/>
      </c>
      <c r="F131" t="str">
        <f>IF(Allocation!H131="","",Allocation!H131)</f>
        <v/>
      </c>
      <c r="G131" t="str">
        <f>IF(Allocation!D131="","",Allocation!I131)</f>
        <v/>
      </c>
      <c r="H131" t="str">
        <f>IF(Allocation!D131="","",Allocation!J131)</f>
        <v/>
      </c>
      <c r="I131" t="str">
        <f>IF(Allocation!D131="","",Allocation!K131)</f>
        <v/>
      </c>
      <c r="J131" t="str">
        <f>IF($A131="","",SUMIFS(Socle!$K$1:$K$1000,Socle!$C$1:$C$1000,$B131,Socle!$D$1:$D$1000,$D131,Socle!$E$1:$E$1000,$E131,Socle!$F$1:$F$1000,$F131,Socle!$G$1:$G$1000,$A131))</f>
        <v/>
      </c>
      <c r="K131" t="str">
        <f t="shared" si="36"/>
        <v/>
      </c>
      <c r="L131" t="str">
        <f>IF($A131="","",SUMIFS(Allocation!$I$1:$I$175,Allocation!$C$1:$C$175,$A131,Allocation!$D$1:$D$175,$B131))</f>
        <v/>
      </c>
      <c r="M131" t="str">
        <f>IF($A131="","",SUMIFS(Allocation!$J$1:$J$175,Allocation!$C$1:$C$175,$A131,Allocation!$D$1:$D$175,$B131))</f>
        <v/>
      </c>
      <c r="N131" t="str">
        <f>IF($A131="","",SUMIFS(Allocation!$K$1:$K$175,Allocation!$C$1:$C$175,$A131,Allocation!$D$1:$D$175,$B131))</f>
        <v/>
      </c>
      <c r="O131" t="str">
        <f t="shared" si="37"/>
        <v/>
      </c>
      <c r="P131" t="str">
        <f t="shared" si="38"/>
        <v/>
      </c>
      <c r="Q131" t="str">
        <f>IF($A131="","",SUMIFS(Allocation!$I$1:$I$175,Allocation!$C$1:$C$175,$A131,Allocation!$E$1:$E$175,$C131))</f>
        <v/>
      </c>
      <c r="R131" t="str">
        <f>IF($A131="","",SUMIFS(Allocation!$J$1:$J$175,Allocation!$C$1:$C$175,$A131,Allocation!$E$1:$E$175,$C131))</f>
        <v/>
      </c>
      <c r="S131" t="str">
        <f>IF($A131="","",SUMIFS(Allocation!$K$1:$K$175,Allocation!$C$1:$C$175,$A131,Allocation!$E$1:$E$175,$C131))</f>
        <v/>
      </c>
      <c r="T131" t="str">
        <f>IF($A131="","",SUMIFS(Allocation!$I$1:$I$175,Allocation!$C$1:$C$175,$A131))</f>
        <v/>
      </c>
      <c r="U131" t="str">
        <f>IF($A131="","",SUMIFS(Allocation!$J$1:$J$175,Allocation!$C$1:$C$175,$A131))</f>
        <v/>
      </c>
      <c r="V131" t="str">
        <f>IF($A131="","",SUMIFS(Allocation!$K$1:$K$175,Allocation!$C$1:$C$175,$A131))</f>
        <v/>
      </c>
      <c r="W131" t="str">
        <f>IF($A131="","",SUMIFS(Compta!$F$1:$F$675,Compta!$A$1:$A$675,$B131,Compta!$B$1:$B$675,"621",Compta!$C$1:$C$675,$A131))</f>
        <v/>
      </c>
      <c r="X131" t="str">
        <f>IF($A131="","",SUMIFS(Compta!$F$1:$F$675,Compta!$A$1:$A$675,$B131,Compta!$B$1:$B$675,"6411",Compta!$C$1:$C$675,$A131))</f>
        <v/>
      </c>
      <c r="Y131" t="str">
        <f>IF($A131="","",SUMIFS(Compta!$F$1:$F$675,Compta!$A$1:$A$675,$B131,Compta!$B$1:$B$675,"604",Compta!$C$1:$C$675,$A131)+SUMIFS(Compta!$F$1:$F$675,Compta!$A$1:$A$675,$B131,Compta!$B$1:$B$675,"6063",Compta!$C$1:$C$675,$A131))</f>
        <v/>
      </c>
      <c r="Z131" t="str">
        <f>IF($A131="","",SUMIFS(Compta!$F$1:$F$675,Compta!$A$1:$A$675,$B131,Compta!$B$1:$B$675,"6231",Compta!$C$1:$C$675,$A131))</f>
        <v/>
      </c>
      <c r="AA131" t="str">
        <f>IF($A131="","",SUMIFS(Compta!$F$1:$F$675,Compta!$A$1:$A$675,$B131,Compta!$B$1:$B$675,"6413",Compta!$C$1:$C$675,$A131)+SUMIFS(Compta!$F$1:$F$675,Compta!$A$1:$A$675,$B131,Compta!$B$1:$B$675,"645",Compta!$C$1:$C$675,$A131)+SUMIFS(Compta!$F$1:$F$675,Compta!$A$1:$A$675,$B131,Compta!$B$1:$B$675,"613",Compta!$C$1:$C$675,$A131)+SUMIFS(Compta!$F$1:$F$675,Compta!$A$1:$A$675,$B131,Compta!$B$1:$B$675,"615",Compta!$C$1:$C$675,$A131)+SUMIFS(Compta!$F$1:$F$675,Compta!$A$1:$A$675,$B131,Compta!$B$1:$B$675,"616",Compta!$C$1:$C$675,$A131)+SUMIFS(Compta!$F$1:$F$675,Compta!$A$1:$A$675,$B131,Compta!$B$1:$B$675,"625",Compta!$C$1:$C$675,$A131)+SUMIFS(Compta!$F$1:$F$675,Compta!$A$1:$A$675,$B131,Compta!$B$1:$B$675,"63511",Compta!$C$1:$C$675,$A131))</f>
        <v/>
      </c>
      <c r="AB131" t="str">
        <f>IF($A131="","",SUMIFS(Compta!$F$1:$F$675,Compta!$A$1:$A$675,"GRP",Compta!$B$1:$B$675,"6414",Compta!$C$1:$C$675,$A131)+SUMIFS(Compta!$F$1:$F$675,Compta!$A$1:$A$675,"GRP",Compta!$B$1:$B$675,"6226",Compta!$C$1:$C$675,$A131)+SUMIFS(Compta!$F$1:$F$675,Compta!$A$1:$A$675,"GRP",Compta!$B$1:$B$675,"626",Compta!$C$1:$C$675,$A131)+SUMIFS(Compta!$F$1:$F$675,Compta!$A$1:$A$675,"GRP",Compta!$B$1:$B$675,"6281",Compta!$C$1:$C$675,$A131)+SUMIFS(Compta!$F$1:$F$675,Compta!$A$1:$A$675,"GRP",Compta!$B$1:$B$675,"6331",Compta!$C$1:$C$675,$A131)+SUMIFS(Compta!$F$1:$F$675,Compta!$A$1:$A$675,"GRP",Compta!$B$1:$B$675,"6333",Compta!$C$1:$C$675,$A131))</f>
        <v/>
      </c>
      <c r="AC131" t="str">
        <f t="shared" si="39"/>
        <v/>
      </c>
      <c r="AD131" t="str">
        <f t="shared" si="40"/>
        <v/>
      </c>
      <c r="AE131" t="str">
        <f t="shared" si="41"/>
        <v/>
      </c>
      <c r="AF131" t="str">
        <f t="shared" si="42"/>
        <v/>
      </c>
      <c r="AG131" t="str">
        <f t="shared" si="43"/>
        <v/>
      </c>
      <c r="AH131" t="str">
        <f t="shared" si="44"/>
        <v/>
      </c>
      <c r="AI131" t="str">
        <f t="shared" si="45"/>
        <v/>
      </c>
      <c r="AJ131" t="str">
        <f t="shared" si="46"/>
        <v/>
      </c>
      <c r="AK131" t="str">
        <f t="shared" si="47"/>
        <v/>
      </c>
      <c r="AL131" t="str">
        <f t="shared" si="48"/>
        <v/>
      </c>
      <c r="AM131" t="str">
        <f t="shared" si="49"/>
        <v/>
      </c>
      <c r="AN131" t="str">
        <f t="shared" si="50"/>
        <v/>
      </c>
      <c r="AO131" t="str">
        <f>IF($A131="","",SUMIFS(Compta!$F$1:$F$675,Compta!$A$1:$A$675,"GRP",Compta!$B$1:$B$675,"6236",Compta!$C$1:$C$675,$A131))</f>
        <v/>
      </c>
      <c r="AP131" t="str">
        <f t="shared" si="51"/>
        <v/>
      </c>
      <c r="AQ131" t="str">
        <f t="shared" si="52"/>
        <v/>
      </c>
      <c r="AR131" t="str">
        <f t="shared" si="53"/>
        <v/>
      </c>
    </row>
    <row r="132" spans="1:44" x14ac:dyDescent="0.45">
      <c r="A132" t="str">
        <f>IF(Allocation!C132="","",Allocation!C132)</f>
        <v/>
      </c>
      <c r="B132" t="str">
        <f>IF(Allocation!D132="","",Allocation!D132)</f>
        <v/>
      </c>
      <c r="C132" t="str">
        <f>IF(Allocation!E132="","",Allocation!E132)</f>
        <v/>
      </c>
      <c r="D132" t="str">
        <f>IF(Allocation!F132="","",Allocation!F132)</f>
        <v/>
      </c>
      <c r="E132" t="str">
        <f>IF(Allocation!G132="","",Allocation!G132)</f>
        <v/>
      </c>
      <c r="F132" t="str">
        <f>IF(Allocation!H132="","",Allocation!H132)</f>
        <v/>
      </c>
      <c r="G132" t="str">
        <f>IF(Allocation!D132="","",Allocation!I132)</f>
        <v/>
      </c>
      <c r="H132" t="str">
        <f>IF(Allocation!D132="","",Allocation!J132)</f>
        <v/>
      </c>
      <c r="I132" t="str">
        <f>IF(Allocation!D132="","",Allocation!K132)</f>
        <v/>
      </c>
      <c r="J132" t="str">
        <f>IF($A132="","",SUMIFS(Socle!$K$1:$K$1000,Socle!$C$1:$C$1000,$B132,Socle!$D$1:$D$1000,$D132,Socle!$E$1:$E$1000,$E132,Socle!$F$1:$F$1000,$F132,Socle!$G$1:$G$1000,$A132))</f>
        <v/>
      </c>
      <c r="K132" t="str">
        <f t="shared" si="36"/>
        <v/>
      </c>
      <c r="L132" t="str">
        <f>IF($A132="","",SUMIFS(Allocation!$I$1:$I$175,Allocation!$C$1:$C$175,$A132,Allocation!$D$1:$D$175,$B132))</f>
        <v/>
      </c>
      <c r="M132" t="str">
        <f>IF($A132="","",SUMIFS(Allocation!$J$1:$J$175,Allocation!$C$1:$C$175,$A132,Allocation!$D$1:$D$175,$B132))</f>
        <v/>
      </c>
      <c r="N132" t="str">
        <f>IF($A132="","",SUMIFS(Allocation!$K$1:$K$175,Allocation!$C$1:$C$175,$A132,Allocation!$D$1:$D$175,$B132))</f>
        <v/>
      </c>
      <c r="O132" t="str">
        <f t="shared" si="37"/>
        <v/>
      </c>
      <c r="P132" t="str">
        <f t="shared" si="38"/>
        <v/>
      </c>
      <c r="Q132" t="str">
        <f>IF($A132="","",SUMIFS(Allocation!$I$1:$I$175,Allocation!$C$1:$C$175,$A132,Allocation!$E$1:$E$175,$C132))</f>
        <v/>
      </c>
      <c r="R132" t="str">
        <f>IF($A132="","",SUMIFS(Allocation!$J$1:$J$175,Allocation!$C$1:$C$175,$A132,Allocation!$E$1:$E$175,$C132))</f>
        <v/>
      </c>
      <c r="S132" t="str">
        <f>IF($A132="","",SUMIFS(Allocation!$K$1:$K$175,Allocation!$C$1:$C$175,$A132,Allocation!$E$1:$E$175,$C132))</f>
        <v/>
      </c>
      <c r="T132" t="str">
        <f>IF($A132="","",SUMIFS(Allocation!$I$1:$I$175,Allocation!$C$1:$C$175,$A132))</f>
        <v/>
      </c>
      <c r="U132" t="str">
        <f>IF($A132="","",SUMIFS(Allocation!$J$1:$J$175,Allocation!$C$1:$C$175,$A132))</f>
        <v/>
      </c>
      <c r="V132" t="str">
        <f>IF($A132="","",SUMIFS(Allocation!$K$1:$K$175,Allocation!$C$1:$C$175,$A132))</f>
        <v/>
      </c>
      <c r="W132" t="str">
        <f>IF($A132="","",SUMIFS(Compta!$F$1:$F$675,Compta!$A$1:$A$675,$B132,Compta!$B$1:$B$675,"621",Compta!$C$1:$C$675,$A132))</f>
        <v/>
      </c>
      <c r="X132" t="str">
        <f>IF($A132="","",SUMIFS(Compta!$F$1:$F$675,Compta!$A$1:$A$675,$B132,Compta!$B$1:$B$675,"6411",Compta!$C$1:$C$675,$A132))</f>
        <v/>
      </c>
      <c r="Y132" t="str">
        <f>IF($A132="","",SUMIFS(Compta!$F$1:$F$675,Compta!$A$1:$A$675,$B132,Compta!$B$1:$B$675,"604",Compta!$C$1:$C$675,$A132)+SUMIFS(Compta!$F$1:$F$675,Compta!$A$1:$A$675,$B132,Compta!$B$1:$B$675,"6063",Compta!$C$1:$C$675,$A132))</f>
        <v/>
      </c>
      <c r="Z132" t="str">
        <f>IF($A132="","",SUMIFS(Compta!$F$1:$F$675,Compta!$A$1:$A$675,$B132,Compta!$B$1:$B$675,"6231",Compta!$C$1:$C$675,$A132))</f>
        <v/>
      </c>
      <c r="AA132" t="str">
        <f>IF($A132="","",SUMIFS(Compta!$F$1:$F$675,Compta!$A$1:$A$675,$B132,Compta!$B$1:$B$675,"6413",Compta!$C$1:$C$675,$A132)+SUMIFS(Compta!$F$1:$F$675,Compta!$A$1:$A$675,$B132,Compta!$B$1:$B$675,"645",Compta!$C$1:$C$675,$A132)+SUMIFS(Compta!$F$1:$F$675,Compta!$A$1:$A$675,$B132,Compta!$B$1:$B$675,"613",Compta!$C$1:$C$675,$A132)+SUMIFS(Compta!$F$1:$F$675,Compta!$A$1:$A$675,$B132,Compta!$B$1:$B$675,"615",Compta!$C$1:$C$675,$A132)+SUMIFS(Compta!$F$1:$F$675,Compta!$A$1:$A$675,$B132,Compta!$B$1:$B$675,"616",Compta!$C$1:$C$675,$A132)+SUMIFS(Compta!$F$1:$F$675,Compta!$A$1:$A$675,$B132,Compta!$B$1:$B$675,"625",Compta!$C$1:$C$675,$A132)+SUMIFS(Compta!$F$1:$F$675,Compta!$A$1:$A$675,$B132,Compta!$B$1:$B$675,"63511",Compta!$C$1:$C$675,$A132))</f>
        <v/>
      </c>
      <c r="AB132" t="str">
        <f>IF($A132="","",SUMIFS(Compta!$F$1:$F$675,Compta!$A$1:$A$675,"GRP",Compta!$B$1:$B$675,"6414",Compta!$C$1:$C$675,$A132)+SUMIFS(Compta!$F$1:$F$675,Compta!$A$1:$A$675,"GRP",Compta!$B$1:$B$675,"6226",Compta!$C$1:$C$675,$A132)+SUMIFS(Compta!$F$1:$F$675,Compta!$A$1:$A$675,"GRP",Compta!$B$1:$B$675,"626",Compta!$C$1:$C$675,$A132)+SUMIFS(Compta!$F$1:$F$675,Compta!$A$1:$A$675,"GRP",Compta!$B$1:$B$675,"6281",Compta!$C$1:$C$675,$A132)+SUMIFS(Compta!$F$1:$F$675,Compta!$A$1:$A$675,"GRP",Compta!$B$1:$B$675,"6331",Compta!$C$1:$C$675,$A132)+SUMIFS(Compta!$F$1:$F$675,Compta!$A$1:$A$675,"GRP",Compta!$B$1:$B$675,"6333",Compta!$C$1:$C$675,$A132))</f>
        <v/>
      </c>
      <c r="AC132" t="str">
        <f t="shared" si="39"/>
        <v/>
      </c>
      <c r="AD132" t="str">
        <f t="shared" si="40"/>
        <v/>
      </c>
      <c r="AE132" t="str">
        <f t="shared" si="41"/>
        <v/>
      </c>
      <c r="AF132" t="str">
        <f t="shared" si="42"/>
        <v/>
      </c>
      <c r="AG132" t="str">
        <f t="shared" si="43"/>
        <v/>
      </c>
      <c r="AH132" t="str">
        <f t="shared" si="44"/>
        <v/>
      </c>
      <c r="AI132" t="str">
        <f t="shared" si="45"/>
        <v/>
      </c>
      <c r="AJ132" t="str">
        <f t="shared" si="46"/>
        <v/>
      </c>
      <c r="AK132" t="str">
        <f t="shared" si="47"/>
        <v/>
      </c>
      <c r="AL132" t="str">
        <f t="shared" si="48"/>
        <v/>
      </c>
      <c r="AM132" t="str">
        <f t="shared" si="49"/>
        <v/>
      </c>
      <c r="AN132" t="str">
        <f t="shared" si="50"/>
        <v/>
      </c>
      <c r="AO132" t="str">
        <f>IF($A132="","",SUMIFS(Compta!$F$1:$F$675,Compta!$A$1:$A$675,"GRP",Compta!$B$1:$B$675,"6236",Compta!$C$1:$C$675,$A132))</f>
        <v/>
      </c>
      <c r="AP132" t="str">
        <f t="shared" si="51"/>
        <v/>
      </c>
      <c r="AQ132" t="str">
        <f t="shared" si="52"/>
        <v/>
      </c>
      <c r="AR132" t="str">
        <f t="shared" si="53"/>
        <v/>
      </c>
    </row>
    <row r="133" spans="1:44" x14ac:dyDescent="0.45">
      <c r="A133" t="str">
        <f>IF(Allocation!C133="","",Allocation!C133)</f>
        <v/>
      </c>
      <c r="B133" t="str">
        <f>IF(Allocation!D133="","",Allocation!D133)</f>
        <v/>
      </c>
      <c r="C133" t="str">
        <f>IF(Allocation!E133="","",Allocation!E133)</f>
        <v/>
      </c>
      <c r="D133" t="str">
        <f>IF(Allocation!F133="","",Allocation!F133)</f>
        <v/>
      </c>
      <c r="E133" t="str">
        <f>IF(Allocation!G133="","",Allocation!G133)</f>
        <v/>
      </c>
      <c r="F133" t="str">
        <f>IF(Allocation!H133="","",Allocation!H133)</f>
        <v/>
      </c>
      <c r="G133" t="str">
        <f>IF(Allocation!D133="","",Allocation!I133)</f>
        <v/>
      </c>
      <c r="H133" t="str">
        <f>IF(Allocation!D133="","",Allocation!J133)</f>
        <v/>
      </c>
      <c r="I133" t="str">
        <f>IF(Allocation!D133="","",Allocation!K133)</f>
        <v/>
      </c>
      <c r="J133" t="str">
        <f>IF($A133="","",SUMIFS(Socle!$K$1:$K$1000,Socle!$C$1:$C$1000,$B133,Socle!$D$1:$D$1000,$D133,Socle!$E$1:$E$1000,$E133,Socle!$F$1:$F$1000,$F133,Socle!$G$1:$G$1000,$A133))</f>
        <v/>
      </c>
      <c r="K133" t="str">
        <f t="shared" si="36"/>
        <v/>
      </c>
      <c r="L133" t="str">
        <f>IF($A133="","",SUMIFS(Allocation!$I$1:$I$175,Allocation!$C$1:$C$175,$A133,Allocation!$D$1:$D$175,$B133))</f>
        <v/>
      </c>
      <c r="M133" t="str">
        <f>IF($A133="","",SUMIFS(Allocation!$J$1:$J$175,Allocation!$C$1:$C$175,$A133,Allocation!$D$1:$D$175,$B133))</f>
        <v/>
      </c>
      <c r="N133" t="str">
        <f>IF($A133="","",SUMIFS(Allocation!$K$1:$K$175,Allocation!$C$1:$C$175,$A133,Allocation!$D$1:$D$175,$B133))</f>
        <v/>
      </c>
      <c r="O133" t="str">
        <f t="shared" si="37"/>
        <v/>
      </c>
      <c r="P133" t="str">
        <f t="shared" si="38"/>
        <v/>
      </c>
      <c r="Q133" t="str">
        <f>IF($A133="","",SUMIFS(Allocation!$I$1:$I$175,Allocation!$C$1:$C$175,$A133,Allocation!$E$1:$E$175,$C133))</f>
        <v/>
      </c>
      <c r="R133" t="str">
        <f>IF($A133="","",SUMIFS(Allocation!$J$1:$J$175,Allocation!$C$1:$C$175,$A133,Allocation!$E$1:$E$175,$C133))</f>
        <v/>
      </c>
      <c r="S133" t="str">
        <f>IF($A133="","",SUMIFS(Allocation!$K$1:$K$175,Allocation!$C$1:$C$175,$A133,Allocation!$E$1:$E$175,$C133))</f>
        <v/>
      </c>
      <c r="T133" t="str">
        <f>IF($A133="","",SUMIFS(Allocation!$I$1:$I$175,Allocation!$C$1:$C$175,$A133))</f>
        <v/>
      </c>
      <c r="U133" t="str">
        <f>IF($A133="","",SUMIFS(Allocation!$J$1:$J$175,Allocation!$C$1:$C$175,$A133))</f>
        <v/>
      </c>
      <c r="V133" t="str">
        <f>IF($A133="","",SUMIFS(Allocation!$K$1:$K$175,Allocation!$C$1:$C$175,$A133))</f>
        <v/>
      </c>
      <c r="W133" t="str">
        <f>IF($A133="","",SUMIFS(Compta!$F$1:$F$675,Compta!$A$1:$A$675,$B133,Compta!$B$1:$B$675,"621",Compta!$C$1:$C$675,$A133))</f>
        <v/>
      </c>
      <c r="X133" t="str">
        <f>IF($A133="","",SUMIFS(Compta!$F$1:$F$675,Compta!$A$1:$A$675,$B133,Compta!$B$1:$B$675,"6411",Compta!$C$1:$C$675,$A133))</f>
        <v/>
      </c>
      <c r="Y133" t="str">
        <f>IF($A133="","",SUMIFS(Compta!$F$1:$F$675,Compta!$A$1:$A$675,$B133,Compta!$B$1:$B$675,"604",Compta!$C$1:$C$675,$A133)+SUMIFS(Compta!$F$1:$F$675,Compta!$A$1:$A$675,$B133,Compta!$B$1:$B$675,"6063",Compta!$C$1:$C$675,$A133))</f>
        <v/>
      </c>
      <c r="Z133" t="str">
        <f>IF($A133="","",SUMIFS(Compta!$F$1:$F$675,Compta!$A$1:$A$675,$B133,Compta!$B$1:$B$675,"6231",Compta!$C$1:$C$675,$A133))</f>
        <v/>
      </c>
      <c r="AA133" t="str">
        <f>IF($A133="","",SUMIFS(Compta!$F$1:$F$675,Compta!$A$1:$A$675,$B133,Compta!$B$1:$B$675,"6413",Compta!$C$1:$C$675,$A133)+SUMIFS(Compta!$F$1:$F$675,Compta!$A$1:$A$675,$B133,Compta!$B$1:$B$675,"645",Compta!$C$1:$C$675,$A133)+SUMIFS(Compta!$F$1:$F$675,Compta!$A$1:$A$675,$B133,Compta!$B$1:$B$675,"613",Compta!$C$1:$C$675,$A133)+SUMIFS(Compta!$F$1:$F$675,Compta!$A$1:$A$675,$B133,Compta!$B$1:$B$675,"615",Compta!$C$1:$C$675,$A133)+SUMIFS(Compta!$F$1:$F$675,Compta!$A$1:$A$675,$B133,Compta!$B$1:$B$675,"616",Compta!$C$1:$C$675,$A133)+SUMIFS(Compta!$F$1:$F$675,Compta!$A$1:$A$675,$B133,Compta!$B$1:$B$675,"625",Compta!$C$1:$C$675,$A133)+SUMIFS(Compta!$F$1:$F$675,Compta!$A$1:$A$675,$B133,Compta!$B$1:$B$675,"63511",Compta!$C$1:$C$675,$A133))</f>
        <v/>
      </c>
      <c r="AB133" t="str">
        <f>IF($A133="","",SUMIFS(Compta!$F$1:$F$675,Compta!$A$1:$A$675,"GRP",Compta!$B$1:$B$675,"6414",Compta!$C$1:$C$675,$A133)+SUMIFS(Compta!$F$1:$F$675,Compta!$A$1:$A$675,"GRP",Compta!$B$1:$B$675,"6226",Compta!$C$1:$C$675,$A133)+SUMIFS(Compta!$F$1:$F$675,Compta!$A$1:$A$675,"GRP",Compta!$B$1:$B$675,"626",Compta!$C$1:$C$675,$A133)+SUMIFS(Compta!$F$1:$F$675,Compta!$A$1:$A$675,"GRP",Compta!$B$1:$B$675,"6281",Compta!$C$1:$C$675,$A133)+SUMIFS(Compta!$F$1:$F$675,Compta!$A$1:$A$675,"GRP",Compta!$B$1:$B$675,"6331",Compta!$C$1:$C$675,$A133)+SUMIFS(Compta!$F$1:$F$675,Compta!$A$1:$A$675,"GRP",Compta!$B$1:$B$675,"6333",Compta!$C$1:$C$675,$A133))</f>
        <v/>
      </c>
      <c r="AC133" t="str">
        <f t="shared" si="39"/>
        <v/>
      </c>
      <c r="AD133" t="str">
        <f t="shared" si="40"/>
        <v/>
      </c>
      <c r="AE133" t="str">
        <f t="shared" si="41"/>
        <v/>
      </c>
      <c r="AF133" t="str">
        <f t="shared" si="42"/>
        <v/>
      </c>
      <c r="AG133" t="str">
        <f t="shared" si="43"/>
        <v/>
      </c>
      <c r="AH133" t="str">
        <f t="shared" si="44"/>
        <v/>
      </c>
      <c r="AI133" t="str">
        <f t="shared" si="45"/>
        <v/>
      </c>
      <c r="AJ133" t="str">
        <f t="shared" si="46"/>
        <v/>
      </c>
      <c r="AK133" t="str">
        <f t="shared" si="47"/>
        <v/>
      </c>
      <c r="AL133" t="str">
        <f t="shared" si="48"/>
        <v/>
      </c>
      <c r="AM133" t="str">
        <f t="shared" si="49"/>
        <v/>
      </c>
      <c r="AN133" t="str">
        <f t="shared" si="50"/>
        <v/>
      </c>
      <c r="AO133" t="str">
        <f>IF($A133="","",SUMIFS(Compta!$F$1:$F$675,Compta!$A$1:$A$675,"GRP",Compta!$B$1:$B$675,"6236",Compta!$C$1:$C$675,$A133))</f>
        <v/>
      </c>
      <c r="AP133" t="str">
        <f t="shared" si="51"/>
        <v/>
      </c>
      <c r="AQ133" t="str">
        <f t="shared" si="52"/>
        <v/>
      </c>
      <c r="AR133" t="str">
        <f t="shared" si="53"/>
        <v/>
      </c>
    </row>
    <row r="134" spans="1:44" x14ac:dyDescent="0.45">
      <c r="A134" t="str">
        <f>IF(Allocation!C134="","",Allocation!C134)</f>
        <v/>
      </c>
      <c r="B134" t="str">
        <f>IF(Allocation!D134="","",Allocation!D134)</f>
        <v/>
      </c>
      <c r="C134" t="str">
        <f>IF(Allocation!E134="","",Allocation!E134)</f>
        <v/>
      </c>
      <c r="D134" t="str">
        <f>IF(Allocation!F134="","",Allocation!F134)</f>
        <v/>
      </c>
      <c r="E134" t="str">
        <f>IF(Allocation!G134="","",Allocation!G134)</f>
        <v/>
      </c>
      <c r="F134" t="str">
        <f>IF(Allocation!H134="","",Allocation!H134)</f>
        <v/>
      </c>
      <c r="G134" t="str">
        <f>IF(Allocation!D134="","",Allocation!I134)</f>
        <v/>
      </c>
      <c r="H134" t="str">
        <f>IF(Allocation!D134="","",Allocation!J134)</f>
        <v/>
      </c>
      <c r="I134" t="str">
        <f>IF(Allocation!D134="","",Allocation!K134)</f>
        <v/>
      </c>
      <c r="J134" t="str">
        <f>IF($A134="","",SUMIFS(Socle!$K$1:$K$1000,Socle!$C$1:$C$1000,$B134,Socle!$D$1:$D$1000,$D134,Socle!$E$1:$E$1000,$E134,Socle!$F$1:$F$1000,$F134,Socle!$G$1:$G$1000,$A134))</f>
        <v/>
      </c>
      <c r="K134" t="str">
        <f t="shared" si="36"/>
        <v/>
      </c>
      <c r="L134" t="str">
        <f>IF($A134="","",SUMIFS(Allocation!$I$1:$I$175,Allocation!$C$1:$C$175,$A134,Allocation!$D$1:$D$175,$B134))</f>
        <v/>
      </c>
      <c r="M134" t="str">
        <f>IF($A134="","",SUMIFS(Allocation!$J$1:$J$175,Allocation!$C$1:$C$175,$A134,Allocation!$D$1:$D$175,$B134))</f>
        <v/>
      </c>
      <c r="N134" t="str">
        <f>IF($A134="","",SUMIFS(Allocation!$K$1:$K$175,Allocation!$C$1:$C$175,$A134,Allocation!$D$1:$D$175,$B134))</f>
        <v/>
      </c>
      <c r="O134" t="str">
        <f t="shared" si="37"/>
        <v/>
      </c>
      <c r="P134" t="str">
        <f t="shared" si="38"/>
        <v/>
      </c>
      <c r="Q134" t="str">
        <f>IF($A134="","",SUMIFS(Allocation!$I$1:$I$175,Allocation!$C$1:$C$175,$A134,Allocation!$E$1:$E$175,$C134))</f>
        <v/>
      </c>
      <c r="R134" t="str">
        <f>IF($A134="","",SUMIFS(Allocation!$J$1:$J$175,Allocation!$C$1:$C$175,$A134,Allocation!$E$1:$E$175,$C134))</f>
        <v/>
      </c>
      <c r="S134" t="str">
        <f>IF($A134="","",SUMIFS(Allocation!$K$1:$K$175,Allocation!$C$1:$C$175,$A134,Allocation!$E$1:$E$175,$C134))</f>
        <v/>
      </c>
      <c r="T134" t="str">
        <f>IF($A134="","",SUMIFS(Allocation!$I$1:$I$175,Allocation!$C$1:$C$175,$A134))</f>
        <v/>
      </c>
      <c r="U134" t="str">
        <f>IF($A134="","",SUMIFS(Allocation!$J$1:$J$175,Allocation!$C$1:$C$175,$A134))</f>
        <v/>
      </c>
      <c r="V134" t="str">
        <f>IF($A134="","",SUMIFS(Allocation!$K$1:$K$175,Allocation!$C$1:$C$175,$A134))</f>
        <v/>
      </c>
      <c r="W134" t="str">
        <f>IF($A134="","",SUMIFS(Compta!$F$1:$F$675,Compta!$A$1:$A$675,$B134,Compta!$B$1:$B$675,"621",Compta!$C$1:$C$675,$A134))</f>
        <v/>
      </c>
      <c r="X134" t="str">
        <f>IF($A134="","",SUMIFS(Compta!$F$1:$F$675,Compta!$A$1:$A$675,$B134,Compta!$B$1:$B$675,"6411",Compta!$C$1:$C$675,$A134))</f>
        <v/>
      </c>
      <c r="Y134" t="str">
        <f>IF($A134="","",SUMIFS(Compta!$F$1:$F$675,Compta!$A$1:$A$675,$B134,Compta!$B$1:$B$675,"604",Compta!$C$1:$C$675,$A134)+SUMIFS(Compta!$F$1:$F$675,Compta!$A$1:$A$675,$B134,Compta!$B$1:$B$675,"6063",Compta!$C$1:$C$675,$A134))</f>
        <v/>
      </c>
      <c r="Z134" t="str">
        <f>IF($A134="","",SUMIFS(Compta!$F$1:$F$675,Compta!$A$1:$A$675,$B134,Compta!$B$1:$B$675,"6231",Compta!$C$1:$C$675,$A134))</f>
        <v/>
      </c>
      <c r="AA134" t="str">
        <f>IF($A134="","",SUMIFS(Compta!$F$1:$F$675,Compta!$A$1:$A$675,$B134,Compta!$B$1:$B$675,"6413",Compta!$C$1:$C$675,$A134)+SUMIFS(Compta!$F$1:$F$675,Compta!$A$1:$A$675,$B134,Compta!$B$1:$B$675,"645",Compta!$C$1:$C$675,$A134)+SUMIFS(Compta!$F$1:$F$675,Compta!$A$1:$A$675,$B134,Compta!$B$1:$B$675,"613",Compta!$C$1:$C$675,$A134)+SUMIFS(Compta!$F$1:$F$675,Compta!$A$1:$A$675,$B134,Compta!$B$1:$B$675,"615",Compta!$C$1:$C$675,$A134)+SUMIFS(Compta!$F$1:$F$675,Compta!$A$1:$A$675,$B134,Compta!$B$1:$B$675,"616",Compta!$C$1:$C$675,$A134)+SUMIFS(Compta!$F$1:$F$675,Compta!$A$1:$A$675,$B134,Compta!$B$1:$B$675,"625",Compta!$C$1:$C$675,$A134)+SUMIFS(Compta!$F$1:$F$675,Compta!$A$1:$A$675,$B134,Compta!$B$1:$B$675,"63511",Compta!$C$1:$C$675,$A134))</f>
        <v/>
      </c>
      <c r="AB134" t="str">
        <f>IF($A134="","",SUMIFS(Compta!$F$1:$F$675,Compta!$A$1:$A$675,"GRP",Compta!$B$1:$B$675,"6414",Compta!$C$1:$C$675,$A134)+SUMIFS(Compta!$F$1:$F$675,Compta!$A$1:$A$675,"GRP",Compta!$B$1:$B$675,"6226",Compta!$C$1:$C$675,$A134)+SUMIFS(Compta!$F$1:$F$675,Compta!$A$1:$A$675,"GRP",Compta!$B$1:$B$675,"626",Compta!$C$1:$C$675,$A134)+SUMIFS(Compta!$F$1:$F$675,Compta!$A$1:$A$675,"GRP",Compta!$B$1:$B$675,"6281",Compta!$C$1:$C$675,$A134)+SUMIFS(Compta!$F$1:$F$675,Compta!$A$1:$A$675,"GRP",Compta!$B$1:$B$675,"6331",Compta!$C$1:$C$675,$A134)+SUMIFS(Compta!$F$1:$F$675,Compta!$A$1:$A$675,"GRP",Compta!$B$1:$B$675,"6333",Compta!$C$1:$C$675,$A134))</f>
        <v/>
      </c>
      <c r="AC134" t="str">
        <f t="shared" si="39"/>
        <v/>
      </c>
      <c r="AD134" t="str">
        <f t="shared" si="40"/>
        <v/>
      </c>
      <c r="AE134" t="str">
        <f t="shared" si="41"/>
        <v/>
      </c>
      <c r="AF134" t="str">
        <f t="shared" si="42"/>
        <v/>
      </c>
      <c r="AG134" t="str">
        <f t="shared" si="43"/>
        <v/>
      </c>
      <c r="AH134" t="str">
        <f t="shared" si="44"/>
        <v/>
      </c>
      <c r="AI134" t="str">
        <f t="shared" si="45"/>
        <v/>
      </c>
      <c r="AJ134" t="str">
        <f t="shared" si="46"/>
        <v/>
      </c>
      <c r="AK134" t="str">
        <f t="shared" si="47"/>
        <v/>
      </c>
      <c r="AL134" t="str">
        <f t="shared" si="48"/>
        <v/>
      </c>
      <c r="AM134" t="str">
        <f t="shared" si="49"/>
        <v/>
      </c>
      <c r="AN134" t="str">
        <f t="shared" si="50"/>
        <v/>
      </c>
      <c r="AO134" t="str">
        <f>IF($A134="","",SUMIFS(Compta!$F$1:$F$675,Compta!$A$1:$A$675,"GRP",Compta!$B$1:$B$675,"6236",Compta!$C$1:$C$675,$A134))</f>
        <v/>
      </c>
      <c r="AP134" t="str">
        <f t="shared" si="51"/>
        <v/>
      </c>
      <c r="AQ134" t="str">
        <f t="shared" si="52"/>
        <v/>
      </c>
      <c r="AR134" t="str">
        <f t="shared" si="53"/>
        <v/>
      </c>
    </row>
    <row r="135" spans="1:44" x14ac:dyDescent="0.45">
      <c r="A135" t="str">
        <f>IF(Allocation!C135="","",Allocation!C135)</f>
        <v/>
      </c>
      <c r="B135" t="str">
        <f>IF(Allocation!D135="","",Allocation!D135)</f>
        <v/>
      </c>
      <c r="C135" t="str">
        <f>IF(Allocation!E135="","",Allocation!E135)</f>
        <v/>
      </c>
      <c r="D135" t="str">
        <f>IF(Allocation!F135="","",Allocation!F135)</f>
        <v/>
      </c>
      <c r="E135" t="str">
        <f>IF(Allocation!G135="","",Allocation!G135)</f>
        <v/>
      </c>
      <c r="F135" t="str">
        <f>IF(Allocation!H135="","",Allocation!H135)</f>
        <v/>
      </c>
      <c r="G135" t="str">
        <f>IF(Allocation!D135="","",Allocation!I135)</f>
        <v/>
      </c>
      <c r="H135" t="str">
        <f>IF(Allocation!D135="","",Allocation!J135)</f>
        <v/>
      </c>
      <c r="I135" t="str">
        <f>IF(Allocation!D135="","",Allocation!K135)</f>
        <v/>
      </c>
      <c r="J135" t="str">
        <f>IF($A135="","",SUMIFS(Socle!$K$1:$K$1000,Socle!$C$1:$C$1000,$B135,Socle!$D$1:$D$1000,$D135,Socle!$E$1:$E$1000,$E135,Socle!$F$1:$F$1000,$F135,Socle!$G$1:$G$1000,$A135))</f>
        <v/>
      </c>
      <c r="K135" t="str">
        <f t="shared" si="36"/>
        <v/>
      </c>
      <c r="L135" t="str">
        <f>IF($A135="","",SUMIFS(Allocation!$I$1:$I$175,Allocation!$C$1:$C$175,$A135,Allocation!$D$1:$D$175,$B135))</f>
        <v/>
      </c>
      <c r="M135" t="str">
        <f>IF($A135="","",SUMIFS(Allocation!$J$1:$J$175,Allocation!$C$1:$C$175,$A135,Allocation!$D$1:$D$175,$B135))</f>
        <v/>
      </c>
      <c r="N135" t="str">
        <f>IF($A135="","",SUMIFS(Allocation!$K$1:$K$175,Allocation!$C$1:$C$175,$A135,Allocation!$D$1:$D$175,$B135))</f>
        <v/>
      </c>
      <c r="O135" t="str">
        <f t="shared" si="37"/>
        <v/>
      </c>
      <c r="P135" t="str">
        <f t="shared" si="38"/>
        <v/>
      </c>
      <c r="Q135" t="str">
        <f>IF($A135="","",SUMIFS(Allocation!$I$1:$I$175,Allocation!$C$1:$C$175,$A135,Allocation!$E$1:$E$175,$C135))</f>
        <v/>
      </c>
      <c r="R135" t="str">
        <f>IF($A135="","",SUMIFS(Allocation!$J$1:$J$175,Allocation!$C$1:$C$175,$A135,Allocation!$E$1:$E$175,$C135))</f>
        <v/>
      </c>
      <c r="S135" t="str">
        <f>IF($A135="","",SUMIFS(Allocation!$K$1:$K$175,Allocation!$C$1:$C$175,$A135,Allocation!$E$1:$E$175,$C135))</f>
        <v/>
      </c>
      <c r="T135" t="str">
        <f>IF($A135="","",SUMIFS(Allocation!$I$1:$I$175,Allocation!$C$1:$C$175,$A135))</f>
        <v/>
      </c>
      <c r="U135" t="str">
        <f>IF($A135="","",SUMIFS(Allocation!$J$1:$J$175,Allocation!$C$1:$C$175,$A135))</f>
        <v/>
      </c>
      <c r="V135" t="str">
        <f>IF($A135="","",SUMIFS(Allocation!$K$1:$K$175,Allocation!$C$1:$C$175,$A135))</f>
        <v/>
      </c>
      <c r="W135" t="str">
        <f>IF($A135="","",SUMIFS(Compta!$F$1:$F$675,Compta!$A$1:$A$675,$B135,Compta!$B$1:$B$675,"621",Compta!$C$1:$C$675,$A135))</f>
        <v/>
      </c>
      <c r="X135" t="str">
        <f>IF($A135="","",SUMIFS(Compta!$F$1:$F$675,Compta!$A$1:$A$675,$B135,Compta!$B$1:$B$675,"6411",Compta!$C$1:$C$675,$A135))</f>
        <v/>
      </c>
      <c r="Y135" t="str">
        <f>IF($A135="","",SUMIFS(Compta!$F$1:$F$675,Compta!$A$1:$A$675,$B135,Compta!$B$1:$B$675,"604",Compta!$C$1:$C$675,$A135)+SUMIFS(Compta!$F$1:$F$675,Compta!$A$1:$A$675,$B135,Compta!$B$1:$B$675,"6063",Compta!$C$1:$C$675,$A135))</f>
        <v/>
      </c>
      <c r="Z135" t="str">
        <f>IF($A135="","",SUMIFS(Compta!$F$1:$F$675,Compta!$A$1:$A$675,$B135,Compta!$B$1:$B$675,"6231",Compta!$C$1:$C$675,$A135))</f>
        <v/>
      </c>
      <c r="AA135" t="str">
        <f>IF($A135="","",SUMIFS(Compta!$F$1:$F$675,Compta!$A$1:$A$675,$B135,Compta!$B$1:$B$675,"6413",Compta!$C$1:$C$675,$A135)+SUMIFS(Compta!$F$1:$F$675,Compta!$A$1:$A$675,$B135,Compta!$B$1:$B$675,"645",Compta!$C$1:$C$675,$A135)+SUMIFS(Compta!$F$1:$F$675,Compta!$A$1:$A$675,$B135,Compta!$B$1:$B$675,"613",Compta!$C$1:$C$675,$A135)+SUMIFS(Compta!$F$1:$F$675,Compta!$A$1:$A$675,$B135,Compta!$B$1:$B$675,"615",Compta!$C$1:$C$675,$A135)+SUMIFS(Compta!$F$1:$F$675,Compta!$A$1:$A$675,$B135,Compta!$B$1:$B$675,"616",Compta!$C$1:$C$675,$A135)+SUMIFS(Compta!$F$1:$F$675,Compta!$A$1:$A$675,$B135,Compta!$B$1:$B$675,"625",Compta!$C$1:$C$675,$A135)+SUMIFS(Compta!$F$1:$F$675,Compta!$A$1:$A$675,$B135,Compta!$B$1:$B$675,"63511",Compta!$C$1:$C$675,$A135))</f>
        <v/>
      </c>
      <c r="AB135" t="str">
        <f>IF($A135="","",SUMIFS(Compta!$F$1:$F$675,Compta!$A$1:$A$675,"GRP",Compta!$B$1:$B$675,"6414",Compta!$C$1:$C$675,$A135)+SUMIFS(Compta!$F$1:$F$675,Compta!$A$1:$A$675,"GRP",Compta!$B$1:$B$675,"6226",Compta!$C$1:$C$675,$A135)+SUMIFS(Compta!$F$1:$F$675,Compta!$A$1:$A$675,"GRP",Compta!$B$1:$B$675,"626",Compta!$C$1:$C$675,$A135)+SUMIFS(Compta!$F$1:$F$675,Compta!$A$1:$A$675,"GRP",Compta!$B$1:$B$675,"6281",Compta!$C$1:$C$675,$A135)+SUMIFS(Compta!$F$1:$F$675,Compta!$A$1:$A$675,"GRP",Compta!$B$1:$B$675,"6331",Compta!$C$1:$C$675,$A135)+SUMIFS(Compta!$F$1:$F$675,Compta!$A$1:$A$675,"GRP",Compta!$B$1:$B$675,"6333",Compta!$C$1:$C$675,$A135))</f>
        <v/>
      </c>
      <c r="AC135" t="str">
        <f t="shared" si="39"/>
        <v/>
      </c>
      <c r="AD135" t="str">
        <f t="shared" si="40"/>
        <v/>
      </c>
      <c r="AE135" t="str">
        <f t="shared" si="41"/>
        <v/>
      </c>
      <c r="AF135" t="str">
        <f t="shared" si="42"/>
        <v/>
      </c>
      <c r="AG135" t="str">
        <f t="shared" si="43"/>
        <v/>
      </c>
      <c r="AH135" t="str">
        <f t="shared" si="44"/>
        <v/>
      </c>
      <c r="AI135" t="str">
        <f t="shared" si="45"/>
        <v/>
      </c>
      <c r="AJ135" t="str">
        <f t="shared" si="46"/>
        <v/>
      </c>
      <c r="AK135" t="str">
        <f t="shared" si="47"/>
        <v/>
      </c>
      <c r="AL135" t="str">
        <f t="shared" si="48"/>
        <v/>
      </c>
      <c r="AM135" t="str">
        <f t="shared" si="49"/>
        <v/>
      </c>
      <c r="AN135" t="str">
        <f t="shared" si="50"/>
        <v/>
      </c>
      <c r="AO135" t="str">
        <f>IF($A135="","",SUMIFS(Compta!$F$1:$F$675,Compta!$A$1:$A$675,"GRP",Compta!$B$1:$B$675,"6236",Compta!$C$1:$C$675,$A135))</f>
        <v/>
      </c>
      <c r="AP135" t="str">
        <f t="shared" si="51"/>
        <v/>
      </c>
      <c r="AQ135" t="str">
        <f t="shared" si="52"/>
        <v/>
      </c>
      <c r="AR135" t="str">
        <f t="shared" si="53"/>
        <v/>
      </c>
    </row>
    <row r="136" spans="1:44" x14ac:dyDescent="0.45">
      <c r="A136" t="str">
        <f>IF(Allocation!C136="","",Allocation!C136)</f>
        <v/>
      </c>
      <c r="B136" t="str">
        <f>IF(Allocation!D136="","",Allocation!D136)</f>
        <v/>
      </c>
      <c r="C136" t="str">
        <f>IF(Allocation!E136="","",Allocation!E136)</f>
        <v/>
      </c>
      <c r="D136" t="str">
        <f>IF(Allocation!F136="","",Allocation!F136)</f>
        <v/>
      </c>
      <c r="E136" t="str">
        <f>IF(Allocation!G136="","",Allocation!G136)</f>
        <v/>
      </c>
      <c r="F136" t="str">
        <f>IF(Allocation!H136="","",Allocation!H136)</f>
        <v/>
      </c>
      <c r="G136" t="str">
        <f>IF(Allocation!D136="","",Allocation!I136)</f>
        <v/>
      </c>
      <c r="H136" t="str">
        <f>IF(Allocation!D136="","",Allocation!J136)</f>
        <v/>
      </c>
      <c r="I136" t="str">
        <f>IF(Allocation!D136="","",Allocation!K136)</f>
        <v/>
      </c>
      <c r="J136" t="str">
        <f>IF($A136="","",SUMIFS(Socle!$K$1:$K$1000,Socle!$C$1:$C$1000,$B136,Socle!$D$1:$D$1000,$D136,Socle!$E$1:$E$1000,$E136,Socle!$F$1:$F$1000,$F136,Socle!$G$1:$G$1000,$A136))</f>
        <v/>
      </c>
      <c r="K136" t="str">
        <f t="shared" si="36"/>
        <v/>
      </c>
      <c r="L136" t="str">
        <f>IF($A136="","",SUMIFS(Allocation!$I$1:$I$175,Allocation!$C$1:$C$175,$A136,Allocation!$D$1:$D$175,$B136))</f>
        <v/>
      </c>
      <c r="M136" t="str">
        <f>IF($A136="","",SUMIFS(Allocation!$J$1:$J$175,Allocation!$C$1:$C$175,$A136,Allocation!$D$1:$D$175,$B136))</f>
        <v/>
      </c>
      <c r="N136" t="str">
        <f>IF($A136="","",SUMIFS(Allocation!$K$1:$K$175,Allocation!$C$1:$C$175,$A136,Allocation!$D$1:$D$175,$B136))</f>
        <v/>
      </c>
      <c r="O136" t="str">
        <f t="shared" si="37"/>
        <v/>
      </c>
      <c r="P136" t="str">
        <f t="shared" si="38"/>
        <v/>
      </c>
      <c r="Q136" t="str">
        <f>IF($A136="","",SUMIFS(Allocation!$I$1:$I$175,Allocation!$C$1:$C$175,$A136,Allocation!$E$1:$E$175,$C136))</f>
        <v/>
      </c>
      <c r="R136" t="str">
        <f>IF($A136="","",SUMIFS(Allocation!$J$1:$J$175,Allocation!$C$1:$C$175,$A136,Allocation!$E$1:$E$175,$C136))</f>
        <v/>
      </c>
      <c r="S136" t="str">
        <f>IF($A136="","",SUMIFS(Allocation!$K$1:$K$175,Allocation!$C$1:$C$175,$A136,Allocation!$E$1:$E$175,$C136))</f>
        <v/>
      </c>
      <c r="T136" t="str">
        <f>IF($A136="","",SUMIFS(Allocation!$I$1:$I$175,Allocation!$C$1:$C$175,$A136))</f>
        <v/>
      </c>
      <c r="U136" t="str">
        <f>IF($A136="","",SUMIFS(Allocation!$J$1:$J$175,Allocation!$C$1:$C$175,$A136))</f>
        <v/>
      </c>
      <c r="V136" t="str">
        <f>IF($A136="","",SUMIFS(Allocation!$K$1:$K$175,Allocation!$C$1:$C$175,$A136))</f>
        <v/>
      </c>
      <c r="W136" t="str">
        <f>IF($A136="","",SUMIFS(Compta!$F$1:$F$675,Compta!$A$1:$A$675,$B136,Compta!$B$1:$B$675,"621",Compta!$C$1:$C$675,$A136))</f>
        <v/>
      </c>
      <c r="X136" t="str">
        <f>IF($A136="","",SUMIFS(Compta!$F$1:$F$675,Compta!$A$1:$A$675,$B136,Compta!$B$1:$B$675,"6411",Compta!$C$1:$C$675,$A136))</f>
        <v/>
      </c>
      <c r="Y136" t="str">
        <f>IF($A136="","",SUMIFS(Compta!$F$1:$F$675,Compta!$A$1:$A$675,$B136,Compta!$B$1:$B$675,"604",Compta!$C$1:$C$675,$A136)+SUMIFS(Compta!$F$1:$F$675,Compta!$A$1:$A$675,$B136,Compta!$B$1:$B$675,"6063",Compta!$C$1:$C$675,$A136))</f>
        <v/>
      </c>
      <c r="Z136" t="str">
        <f>IF($A136="","",SUMIFS(Compta!$F$1:$F$675,Compta!$A$1:$A$675,$B136,Compta!$B$1:$B$675,"6231",Compta!$C$1:$C$675,$A136))</f>
        <v/>
      </c>
      <c r="AA136" t="str">
        <f>IF($A136="","",SUMIFS(Compta!$F$1:$F$675,Compta!$A$1:$A$675,$B136,Compta!$B$1:$B$675,"6413",Compta!$C$1:$C$675,$A136)+SUMIFS(Compta!$F$1:$F$675,Compta!$A$1:$A$675,$B136,Compta!$B$1:$B$675,"645",Compta!$C$1:$C$675,$A136)+SUMIFS(Compta!$F$1:$F$675,Compta!$A$1:$A$675,$B136,Compta!$B$1:$B$675,"613",Compta!$C$1:$C$675,$A136)+SUMIFS(Compta!$F$1:$F$675,Compta!$A$1:$A$675,$B136,Compta!$B$1:$B$675,"615",Compta!$C$1:$C$675,$A136)+SUMIFS(Compta!$F$1:$F$675,Compta!$A$1:$A$675,$B136,Compta!$B$1:$B$675,"616",Compta!$C$1:$C$675,$A136)+SUMIFS(Compta!$F$1:$F$675,Compta!$A$1:$A$675,$B136,Compta!$B$1:$B$675,"625",Compta!$C$1:$C$675,$A136)+SUMIFS(Compta!$F$1:$F$675,Compta!$A$1:$A$675,$B136,Compta!$B$1:$B$675,"63511",Compta!$C$1:$C$675,$A136))</f>
        <v/>
      </c>
      <c r="AB136" t="str">
        <f>IF($A136="","",SUMIFS(Compta!$F$1:$F$675,Compta!$A$1:$A$675,"GRP",Compta!$B$1:$B$675,"6414",Compta!$C$1:$C$675,$A136)+SUMIFS(Compta!$F$1:$F$675,Compta!$A$1:$A$675,"GRP",Compta!$B$1:$B$675,"6226",Compta!$C$1:$C$675,$A136)+SUMIFS(Compta!$F$1:$F$675,Compta!$A$1:$A$675,"GRP",Compta!$B$1:$B$675,"626",Compta!$C$1:$C$675,$A136)+SUMIFS(Compta!$F$1:$F$675,Compta!$A$1:$A$675,"GRP",Compta!$B$1:$B$675,"6281",Compta!$C$1:$C$675,$A136)+SUMIFS(Compta!$F$1:$F$675,Compta!$A$1:$A$675,"GRP",Compta!$B$1:$B$675,"6331",Compta!$C$1:$C$675,$A136)+SUMIFS(Compta!$F$1:$F$675,Compta!$A$1:$A$675,"GRP",Compta!$B$1:$B$675,"6333",Compta!$C$1:$C$675,$A136))</f>
        <v/>
      </c>
      <c r="AC136" t="str">
        <f t="shared" si="39"/>
        <v/>
      </c>
      <c r="AD136" t="str">
        <f t="shared" si="40"/>
        <v/>
      </c>
      <c r="AE136" t="str">
        <f t="shared" si="41"/>
        <v/>
      </c>
      <c r="AF136" t="str">
        <f t="shared" si="42"/>
        <v/>
      </c>
      <c r="AG136" t="str">
        <f t="shared" si="43"/>
        <v/>
      </c>
      <c r="AH136" t="str">
        <f t="shared" si="44"/>
        <v/>
      </c>
      <c r="AI136" t="str">
        <f t="shared" si="45"/>
        <v/>
      </c>
      <c r="AJ136" t="str">
        <f t="shared" si="46"/>
        <v/>
      </c>
      <c r="AK136" t="str">
        <f t="shared" si="47"/>
        <v/>
      </c>
      <c r="AL136" t="str">
        <f t="shared" si="48"/>
        <v/>
      </c>
      <c r="AM136" t="str">
        <f t="shared" si="49"/>
        <v/>
      </c>
      <c r="AN136" t="str">
        <f t="shared" si="50"/>
        <v/>
      </c>
      <c r="AO136" t="str">
        <f>IF($A136="","",SUMIFS(Compta!$F$1:$F$675,Compta!$A$1:$A$675,"GRP",Compta!$B$1:$B$675,"6236",Compta!$C$1:$C$675,$A136))</f>
        <v/>
      </c>
      <c r="AP136" t="str">
        <f t="shared" si="51"/>
        <v/>
      </c>
      <c r="AQ136" t="str">
        <f t="shared" si="52"/>
        <v/>
      </c>
      <c r="AR136" t="str">
        <f t="shared" si="53"/>
        <v/>
      </c>
    </row>
    <row r="137" spans="1:44" x14ac:dyDescent="0.45">
      <c r="A137" t="str">
        <f>IF(Allocation!C137="","",Allocation!C137)</f>
        <v/>
      </c>
      <c r="B137" t="str">
        <f>IF(Allocation!D137="","",Allocation!D137)</f>
        <v/>
      </c>
      <c r="C137" t="str">
        <f>IF(Allocation!E137="","",Allocation!E137)</f>
        <v/>
      </c>
      <c r="D137" t="str">
        <f>IF(Allocation!F137="","",Allocation!F137)</f>
        <v/>
      </c>
      <c r="E137" t="str">
        <f>IF(Allocation!G137="","",Allocation!G137)</f>
        <v/>
      </c>
      <c r="F137" t="str">
        <f>IF(Allocation!H137="","",Allocation!H137)</f>
        <v/>
      </c>
      <c r="G137" t="str">
        <f>IF(Allocation!D137="","",Allocation!I137)</f>
        <v/>
      </c>
      <c r="H137" t="str">
        <f>IF(Allocation!D137="","",Allocation!J137)</f>
        <v/>
      </c>
      <c r="I137" t="str">
        <f>IF(Allocation!D137="","",Allocation!K137)</f>
        <v/>
      </c>
      <c r="J137" t="str">
        <f>IF($A137="","",SUMIFS(Socle!$K$1:$K$1000,Socle!$C$1:$C$1000,$B137,Socle!$D$1:$D$1000,$D137,Socle!$E$1:$E$1000,$E137,Socle!$F$1:$F$1000,$F137,Socle!$G$1:$G$1000,$A137))</f>
        <v/>
      </c>
      <c r="K137" t="str">
        <f t="shared" si="36"/>
        <v/>
      </c>
      <c r="L137" t="str">
        <f>IF($A137="","",SUMIFS(Allocation!$I$1:$I$175,Allocation!$C$1:$C$175,$A137,Allocation!$D$1:$D$175,$B137))</f>
        <v/>
      </c>
      <c r="M137" t="str">
        <f>IF($A137="","",SUMIFS(Allocation!$J$1:$J$175,Allocation!$C$1:$C$175,$A137,Allocation!$D$1:$D$175,$B137))</f>
        <v/>
      </c>
      <c r="N137" t="str">
        <f>IF($A137="","",SUMIFS(Allocation!$K$1:$K$175,Allocation!$C$1:$C$175,$A137,Allocation!$D$1:$D$175,$B137))</f>
        <v/>
      </c>
      <c r="O137" t="str">
        <f t="shared" si="37"/>
        <v/>
      </c>
      <c r="P137" t="str">
        <f t="shared" si="38"/>
        <v/>
      </c>
      <c r="Q137" t="str">
        <f>IF($A137="","",SUMIFS(Allocation!$I$1:$I$175,Allocation!$C$1:$C$175,$A137,Allocation!$E$1:$E$175,$C137))</f>
        <v/>
      </c>
      <c r="R137" t="str">
        <f>IF($A137="","",SUMIFS(Allocation!$J$1:$J$175,Allocation!$C$1:$C$175,$A137,Allocation!$E$1:$E$175,$C137))</f>
        <v/>
      </c>
      <c r="S137" t="str">
        <f>IF($A137="","",SUMIFS(Allocation!$K$1:$K$175,Allocation!$C$1:$C$175,$A137,Allocation!$E$1:$E$175,$C137))</f>
        <v/>
      </c>
      <c r="T137" t="str">
        <f>IF($A137="","",SUMIFS(Allocation!$I$1:$I$175,Allocation!$C$1:$C$175,$A137))</f>
        <v/>
      </c>
      <c r="U137" t="str">
        <f>IF($A137="","",SUMIFS(Allocation!$J$1:$J$175,Allocation!$C$1:$C$175,$A137))</f>
        <v/>
      </c>
      <c r="V137" t="str">
        <f>IF($A137="","",SUMIFS(Allocation!$K$1:$K$175,Allocation!$C$1:$C$175,$A137))</f>
        <v/>
      </c>
      <c r="W137" t="str">
        <f>IF($A137="","",SUMIFS(Compta!$F$1:$F$675,Compta!$A$1:$A$675,$B137,Compta!$B$1:$B$675,"621",Compta!$C$1:$C$675,$A137))</f>
        <v/>
      </c>
      <c r="X137" t="str">
        <f>IF($A137="","",SUMIFS(Compta!$F$1:$F$675,Compta!$A$1:$A$675,$B137,Compta!$B$1:$B$675,"6411",Compta!$C$1:$C$675,$A137))</f>
        <v/>
      </c>
      <c r="Y137" t="str">
        <f>IF($A137="","",SUMIFS(Compta!$F$1:$F$675,Compta!$A$1:$A$675,$B137,Compta!$B$1:$B$675,"604",Compta!$C$1:$C$675,$A137)+SUMIFS(Compta!$F$1:$F$675,Compta!$A$1:$A$675,$B137,Compta!$B$1:$B$675,"6063",Compta!$C$1:$C$675,$A137))</f>
        <v/>
      </c>
      <c r="Z137" t="str">
        <f>IF($A137="","",SUMIFS(Compta!$F$1:$F$675,Compta!$A$1:$A$675,$B137,Compta!$B$1:$B$675,"6231",Compta!$C$1:$C$675,$A137))</f>
        <v/>
      </c>
      <c r="AA137" t="str">
        <f>IF($A137="","",SUMIFS(Compta!$F$1:$F$675,Compta!$A$1:$A$675,$B137,Compta!$B$1:$B$675,"6413",Compta!$C$1:$C$675,$A137)+SUMIFS(Compta!$F$1:$F$675,Compta!$A$1:$A$675,$B137,Compta!$B$1:$B$675,"645",Compta!$C$1:$C$675,$A137)+SUMIFS(Compta!$F$1:$F$675,Compta!$A$1:$A$675,$B137,Compta!$B$1:$B$675,"613",Compta!$C$1:$C$675,$A137)+SUMIFS(Compta!$F$1:$F$675,Compta!$A$1:$A$675,$B137,Compta!$B$1:$B$675,"615",Compta!$C$1:$C$675,$A137)+SUMIFS(Compta!$F$1:$F$675,Compta!$A$1:$A$675,$B137,Compta!$B$1:$B$675,"616",Compta!$C$1:$C$675,$A137)+SUMIFS(Compta!$F$1:$F$675,Compta!$A$1:$A$675,$B137,Compta!$B$1:$B$675,"625",Compta!$C$1:$C$675,$A137)+SUMIFS(Compta!$F$1:$F$675,Compta!$A$1:$A$675,$B137,Compta!$B$1:$B$675,"63511",Compta!$C$1:$C$675,$A137))</f>
        <v/>
      </c>
      <c r="AB137" t="str">
        <f>IF($A137="","",SUMIFS(Compta!$F$1:$F$675,Compta!$A$1:$A$675,"GRP",Compta!$B$1:$B$675,"6414",Compta!$C$1:$C$675,$A137)+SUMIFS(Compta!$F$1:$F$675,Compta!$A$1:$A$675,"GRP",Compta!$B$1:$B$675,"6226",Compta!$C$1:$C$675,$A137)+SUMIFS(Compta!$F$1:$F$675,Compta!$A$1:$A$675,"GRP",Compta!$B$1:$B$675,"626",Compta!$C$1:$C$675,$A137)+SUMIFS(Compta!$F$1:$F$675,Compta!$A$1:$A$675,"GRP",Compta!$B$1:$B$675,"6281",Compta!$C$1:$C$675,$A137)+SUMIFS(Compta!$F$1:$F$675,Compta!$A$1:$A$675,"GRP",Compta!$B$1:$B$675,"6331",Compta!$C$1:$C$675,$A137)+SUMIFS(Compta!$F$1:$F$675,Compta!$A$1:$A$675,"GRP",Compta!$B$1:$B$675,"6333",Compta!$C$1:$C$675,$A137))</f>
        <v/>
      </c>
      <c r="AC137" t="str">
        <f t="shared" si="39"/>
        <v/>
      </c>
      <c r="AD137" t="str">
        <f t="shared" si="40"/>
        <v/>
      </c>
      <c r="AE137" t="str">
        <f t="shared" si="41"/>
        <v/>
      </c>
      <c r="AF137" t="str">
        <f t="shared" si="42"/>
        <v/>
      </c>
      <c r="AG137" t="str">
        <f t="shared" si="43"/>
        <v/>
      </c>
      <c r="AH137" t="str">
        <f t="shared" si="44"/>
        <v/>
      </c>
      <c r="AI137" t="str">
        <f t="shared" si="45"/>
        <v/>
      </c>
      <c r="AJ137" t="str">
        <f t="shared" si="46"/>
        <v/>
      </c>
      <c r="AK137" t="str">
        <f t="shared" si="47"/>
        <v/>
      </c>
      <c r="AL137" t="str">
        <f t="shared" si="48"/>
        <v/>
      </c>
      <c r="AM137" t="str">
        <f t="shared" si="49"/>
        <v/>
      </c>
      <c r="AN137" t="str">
        <f t="shared" si="50"/>
        <v/>
      </c>
      <c r="AO137" t="str">
        <f>IF($A137="","",SUMIFS(Compta!$F$1:$F$675,Compta!$A$1:$A$675,"GRP",Compta!$B$1:$B$675,"6236",Compta!$C$1:$C$675,$A137))</f>
        <v/>
      </c>
      <c r="AP137" t="str">
        <f t="shared" si="51"/>
        <v/>
      </c>
      <c r="AQ137" t="str">
        <f t="shared" si="52"/>
        <v/>
      </c>
      <c r="AR137" t="str">
        <f t="shared" si="53"/>
        <v/>
      </c>
    </row>
    <row r="138" spans="1:44" x14ac:dyDescent="0.45">
      <c r="A138" t="str">
        <f>IF(Allocation!C138="","",Allocation!C138)</f>
        <v/>
      </c>
      <c r="B138" t="str">
        <f>IF(Allocation!D138="","",Allocation!D138)</f>
        <v/>
      </c>
      <c r="C138" t="str">
        <f>IF(Allocation!E138="","",Allocation!E138)</f>
        <v/>
      </c>
      <c r="D138" t="str">
        <f>IF(Allocation!F138="","",Allocation!F138)</f>
        <v/>
      </c>
      <c r="E138" t="str">
        <f>IF(Allocation!G138="","",Allocation!G138)</f>
        <v/>
      </c>
      <c r="F138" t="str">
        <f>IF(Allocation!H138="","",Allocation!H138)</f>
        <v/>
      </c>
      <c r="G138" t="str">
        <f>IF(Allocation!D138="","",Allocation!I138)</f>
        <v/>
      </c>
      <c r="H138" t="str">
        <f>IF(Allocation!D138="","",Allocation!J138)</f>
        <v/>
      </c>
      <c r="I138" t="str">
        <f>IF(Allocation!D138="","",Allocation!K138)</f>
        <v/>
      </c>
      <c r="J138" t="str">
        <f>IF($A138="","",SUMIFS(Socle!$K$1:$K$1000,Socle!$C$1:$C$1000,$B138,Socle!$D$1:$D$1000,$D138,Socle!$E$1:$E$1000,$E138,Socle!$F$1:$F$1000,$F138,Socle!$G$1:$G$1000,$A138))</f>
        <v/>
      </c>
      <c r="K138" t="str">
        <f t="shared" si="36"/>
        <v/>
      </c>
      <c r="L138" t="str">
        <f>IF($A138="","",SUMIFS(Allocation!$I$1:$I$175,Allocation!$C$1:$C$175,$A138,Allocation!$D$1:$D$175,$B138))</f>
        <v/>
      </c>
      <c r="M138" t="str">
        <f>IF($A138="","",SUMIFS(Allocation!$J$1:$J$175,Allocation!$C$1:$C$175,$A138,Allocation!$D$1:$D$175,$B138))</f>
        <v/>
      </c>
      <c r="N138" t="str">
        <f>IF($A138="","",SUMIFS(Allocation!$K$1:$K$175,Allocation!$C$1:$C$175,$A138,Allocation!$D$1:$D$175,$B138))</f>
        <v/>
      </c>
      <c r="O138" t="str">
        <f t="shared" si="37"/>
        <v/>
      </c>
      <c r="P138" t="str">
        <f t="shared" si="38"/>
        <v/>
      </c>
      <c r="Q138" t="str">
        <f>IF($A138="","",SUMIFS(Allocation!$I$1:$I$175,Allocation!$C$1:$C$175,$A138,Allocation!$E$1:$E$175,$C138))</f>
        <v/>
      </c>
      <c r="R138" t="str">
        <f>IF($A138="","",SUMIFS(Allocation!$J$1:$J$175,Allocation!$C$1:$C$175,$A138,Allocation!$E$1:$E$175,$C138))</f>
        <v/>
      </c>
      <c r="S138" t="str">
        <f>IF($A138="","",SUMIFS(Allocation!$K$1:$K$175,Allocation!$C$1:$C$175,$A138,Allocation!$E$1:$E$175,$C138))</f>
        <v/>
      </c>
      <c r="T138" t="str">
        <f>IF($A138="","",SUMIFS(Allocation!$I$1:$I$175,Allocation!$C$1:$C$175,$A138))</f>
        <v/>
      </c>
      <c r="U138" t="str">
        <f>IF($A138="","",SUMIFS(Allocation!$J$1:$J$175,Allocation!$C$1:$C$175,$A138))</f>
        <v/>
      </c>
      <c r="V138" t="str">
        <f>IF($A138="","",SUMIFS(Allocation!$K$1:$K$175,Allocation!$C$1:$C$175,$A138))</f>
        <v/>
      </c>
      <c r="W138" t="str">
        <f>IF($A138="","",SUMIFS(Compta!$F$1:$F$675,Compta!$A$1:$A$675,$B138,Compta!$B$1:$B$675,"621",Compta!$C$1:$C$675,$A138))</f>
        <v/>
      </c>
      <c r="X138" t="str">
        <f>IF($A138="","",SUMIFS(Compta!$F$1:$F$675,Compta!$A$1:$A$675,$B138,Compta!$B$1:$B$675,"6411",Compta!$C$1:$C$675,$A138))</f>
        <v/>
      </c>
      <c r="Y138" t="str">
        <f>IF($A138="","",SUMIFS(Compta!$F$1:$F$675,Compta!$A$1:$A$675,$B138,Compta!$B$1:$B$675,"604",Compta!$C$1:$C$675,$A138)+SUMIFS(Compta!$F$1:$F$675,Compta!$A$1:$A$675,$B138,Compta!$B$1:$B$675,"6063",Compta!$C$1:$C$675,$A138))</f>
        <v/>
      </c>
      <c r="Z138" t="str">
        <f>IF($A138="","",SUMIFS(Compta!$F$1:$F$675,Compta!$A$1:$A$675,$B138,Compta!$B$1:$B$675,"6231",Compta!$C$1:$C$675,$A138))</f>
        <v/>
      </c>
      <c r="AA138" t="str">
        <f>IF($A138="","",SUMIFS(Compta!$F$1:$F$675,Compta!$A$1:$A$675,$B138,Compta!$B$1:$B$675,"6413",Compta!$C$1:$C$675,$A138)+SUMIFS(Compta!$F$1:$F$675,Compta!$A$1:$A$675,$B138,Compta!$B$1:$B$675,"645",Compta!$C$1:$C$675,$A138)+SUMIFS(Compta!$F$1:$F$675,Compta!$A$1:$A$675,$B138,Compta!$B$1:$B$675,"613",Compta!$C$1:$C$675,$A138)+SUMIFS(Compta!$F$1:$F$675,Compta!$A$1:$A$675,$B138,Compta!$B$1:$B$675,"615",Compta!$C$1:$C$675,$A138)+SUMIFS(Compta!$F$1:$F$675,Compta!$A$1:$A$675,$B138,Compta!$B$1:$B$675,"616",Compta!$C$1:$C$675,$A138)+SUMIFS(Compta!$F$1:$F$675,Compta!$A$1:$A$675,$B138,Compta!$B$1:$B$675,"625",Compta!$C$1:$C$675,$A138)+SUMIFS(Compta!$F$1:$F$675,Compta!$A$1:$A$675,$B138,Compta!$B$1:$B$675,"63511",Compta!$C$1:$C$675,$A138))</f>
        <v/>
      </c>
      <c r="AB138" t="str">
        <f>IF($A138="","",SUMIFS(Compta!$F$1:$F$675,Compta!$A$1:$A$675,"GRP",Compta!$B$1:$B$675,"6414",Compta!$C$1:$C$675,$A138)+SUMIFS(Compta!$F$1:$F$675,Compta!$A$1:$A$675,"GRP",Compta!$B$1:$B$675,"6226",Compta!$C$1:$C$675,$A138)+SUMIFS(Compta!$F$1:$F$675,Compta!$A$1:$A$675,"GRP",Compta!$B$1:$B$675,"626",Compta!$C$1:$C$675,$A138)+SUMIFS(Compta!$F$1:$F$675,Compta!$A$1:$A$675,"GRP",Compta!$B$1:$B$675,"6281",Compta!$C$1:$C$675,$A138)+SUMIFS(Compta!$F$1:$F$675,Compta!$A$1:$A$675,"GRP",Compta!$B$1:$B$675,"6331",Compta!$C$1:$C$675,$A138)+SUMIFS(Compta!$F$1:$F$675,Compta!$A$1:$A$675,"GRP",Compta!$B$1:$B$675,"6333",Compta!$C$1:$C$675,$A138))</f>
        <v/>
      </c>
      <c r="AC138" t="str">
        <f t="shared" si="39"/>
        <v/>
      </c>
      <c r="AD138" t="str">
        <f t="shared" si="40"/>
        <v/>
      </c>
      <c r="AE138" t="str">
        <f t="shared" si="41"/>
        <v/>
      </c>
      <c r="AF138" t="str">
        <f t="shared" si="42"/>
        <v/>
      </c>
      <c r="AG138" t="str">
        <f t="shared" si="43"/>
        <v/>
      </c>
      <c r="AH138" t="str">
        <f t="shared" si="44"/>
        <v/>
      </c>
      <c r="AI138" t="str">
        <f t="shared" si="45"/>
        <v/>
      </c>
      <c r="AJ138" t="str">
        <f t="shared" si="46"/>
        <v/>
      </c>
      <c r="AK138" t="str">
        <f t="shared" si="47"/>
        <v/>
      </c>
      <c r="AL138" t="str">
        <f t="shared" si="48"/>
        <v/>
      </c>
      <c r="AM138" t="str">
        <f t="shared" si="49"/>
        <v/>
      </c>
      <c r="AN138" t="str">
        <f t="shared" si="50"/>
        <v/>
      </c>
      <c r="AO138" t="str">
        <f>IF($A138="","",SUMIFS(Compta!$F$1:$F$675,Compta!$A$1:$A$675,"GRP",Compta!$B$1:$B$675,"6236",Compta!$C$1:$C$675,$A138))</f>
        <v/>
      </c>
      <c r="AP138" t="str">
        <f t="shared" si="51"/>
        <v/>
      </c>
      <c r="AQ138" t="str">
        <f t="shared" si="52"/>
        <v/>
      </c>
      <c r="AR138" t="str">
        <f t="shared" si="53"/>
        <v/>
      </c>
    </row>
    <row r="139" spans="1:44" x14ac:dyDescent="0.45">
      <c r="A139" t="str">
        <f>IF(Allocation!C139="","",Allocation!C139)</f>
        <v/>
      </c>
      <c r="B139" t="str">
        <f>IF(Allocation!D139="","",Allocation!D139)</f>
        <v/>
      </c>
      <c r="C139" t="str">
        <f>IF(Allocation!E139="","",Allocation!E139)</f>
        <v/>
      </c>
      <c r="D139" t="str">
        <f>IF(Allocation!F139="","",Allocation!F139)</f>
        <v/>
      </c>
      <c r="E139" t="str">
        <f>IF(Allocation!G139="","",Allocation!G139)</f>
        <v/>
      </c>
      <c r="F139" t="str">
        <f>IF(Allocation!H139="","",Allocation!H139)</f>
        <v/>
      </c>
      <c r="G139" t="str">
        <f>IF(Allocation!D139="","",Allocation!I139)</f>
        <v/>
      </c>
      <c r="H139" t="str">
        <f>IF(Allocation!D139="","",Allocation!J139)</f>
        <v/>
      </c>
      <c r="I139" t="str">
        <f>IF(Allocation!D139="","",Allocation!K139)</f>
        <v/>
      </c>
      <c r="J139" t="str">
        <f>IF($A139="","",SUMIFS(Socle!$K$1:$K$1000,Socle!$C$1:$C$1000,$B139,Socle!$D$1:$D$1000,$D139,Socle!$E$1:$E$1000,$E139,Socle!$F$1:$F$1000,$F139,Socle!$G$1:$G$1000,$A139))</f>
        <v/>
      </c>
      <c r="K139" t="str">
        <f t="shared" si="36"/>
        <v/>
      </c>
      <c r="L139" t="str">
        <f>IF($A139="","",SUMIFS(Allocation!$I$1:$I$175,Allocation!$C$1:$C$175,$A139,Allocation!$D$1:$D$175,$B139))</f>
        <v/>
      </c>
      <c r="M139" t="str">
        <f>IF($A139="","",SUMIFS(Allocation!$J$1:$J$175,Allocation!$C$1:$C$175,$A139,Allocation!$D$1:$D$175,$B139))</f>
        <v/>
      </c>
      <c r="N139" t="str">
        <f>IF($A139="","",SUMIFS(Allocation!$K$1:$K$175,Allocation!$C$1:$C$175,$A139,Allocation!$D$1:$D$175,$B139))</f>
        <v/>
      </c>
      <c r="O139" t="str">
        <f t="shared" si="37"/>
        <v/>
      </c>
      <c r="P139" t="str">
        <f t="shared" si="38"/>
        <v/>
      </c>
      <c r="Q139" t="str">
        <f>IF($A139="","",SUMIFS(Allocation!$I$1:$I$175,Allocation!$C$1:$C$175,$A139,Allocation!$E$1:$E$175,$C139))</f>
        <v/>
      </c>
      <c r="R139" t="str">
        <f>IF($A139="","",SUMIFS(Allocation!$J$1:$J$175,Allocation!$C$1:$C$175,$A139,Allocation!$E$1:$E$175,$C139))</f>
        <v/>
      </c>
      <c r="S139" t="str">
        <f>IF($A139="","",SUMIFS(Allocation!$K$1:$K$175,Allocation!$C$1:$C$175,$A139,Allocation!$E$1:$E$175,$C139))</f>
        <v/>
      </c>
      <c r="T139" t="str">
        <f>IF($A139="","",SUMIFS(Allocation!$I$1:$I$175,Allocation!$C$1:$C$175,$A139))</f>
        <v/>
      </c>
      <c r="U139" t="str">
        <f>IF($A139="","",SUMIFS(Allocation!$J$1:$J$175,Allocation!$C$1:$C$175,$A139))</f>
        <v/>
      </c>
      <c r="V139" t="str">
        <f>IF($A139="","",SUMIFS(Allocation!$K$1:$K$175,Allocation!$C$1:$C$175,$A139))</f>
        <v/>
      </c>
      <c r="W139" t="str">
        <f>IF($A139="","",SUMIFS(Compta!$F$1:$F$675,Compta!$A$1:$A$675,$B139,Compta!$B$1:$B$675,"621",Compta!$C$1:$C$675,$A139))</f>
        <v/>
      </c>
      <c r="X139" t="str">
        <f>IF($A139="","",SUMIFS(Compta!$F$1:$F$675,Compta!$A$1:$A$675,$B139,Compta!$B$1:$B$675,"6411",Compta!$C$1:$C$675,$A139))</f>
        <v/>
      </c>
      <c r="Y139" t="str">
        <f>IF($A139="","",SUMIFS(Compta!$F$1:$F$675,Compta!$A$1:$A$675,$B139,Compta!$B$1:$B$675,"604",Compta!$C$1:$C$675,$A139)+SUMIFS(Compta!$F$1:$F$675,Compta!$A$1:$A$675,$B139,Compta!$B$1:$B$675,"6063",Compta!$C$1:$C$675,$A139))</f>
        <v/>
      </c>
      <c r="Z139" t="str">
        <f>IF($A139="","",SUMIFS(Compta!$F$1:$F$675,Compta!$A$1:$A$675,$B139,Compta!$B$1:$B$675,"6231",Compta!$C$1:$C$675,$A139))</f>
        <v/>
      </c>
      <c r="AA139" t="str">
        <f>IF($A139="","",SUMIFS(Compta!$F$1:$F$675,Compta!$A$1:$A$675,$B139,Compta!$B$1:$B$675,"6413",Compta!$C$1:$C$675,$A139)+SUMIFS(Compta!$F$1:$F$675,Compta!$A$1:$A$675,$B139,Compta!$B$1:$B$675,"645",Compta!$C$1:$C$675,$A139)+SUMIFS(Compta!$F$1:$F$675,Compta!$A$1:$A$675,$B139,Compta!$B$1:$B$675,"613",Compta!$C$1:$C$675,$A139)+SUMIFS(Compta!$F$1:$F$675,Compta!$A$1:$A$675,$B139,Compta!$B$1:$B$675,"615",Compta!$C$1:$C$675,$A139)+SUMIFS(Compta!$F$1:$F$675,Compta!$A$1:$A$675,$B139,Compta!$B$1:$B$675,"616",Compta!$C$1:$C$675,$A139)+SUMIFS(Compta!$F$1:$F$675,Compta!$A$1:$A$675,$B139,Compta!$B$1:$B$675,"625",Compta!$C$1:$C$675,$A139)+SUMIFS(Compta!$F$1:$F$675,Compta!$A$1:$A$675,$B139,Compta!$B$1:$B$675,"63511",Compta!$C$1:$C$675,$A139))</f>
        <v/>
      </c>
      <c r="AB139" t="str">
        <f>IF($A139="","",SUMIFS(Compta!$F$1:$F$675,Compta!$A$1:$A$675,"GRP",Compta!$B$1:$B$675,"6414",Compta!$C$1:$C$675,$A139)+SUMIFS(Compta!$F$1:$F$675,Compta!$A$1:$A$675,"GRP",Compta!$B$1:$B$675,"6226",Compta!$C$1:$C$675,$A139)+SUMIFS(Compta!$F$1:$F$675,Compta!$A$1:$A$675,"GRP",Compta!$B$1:$B$675,"626",Compta!$C$1:$C$675,$A139)+SUMIFS(Compta!$F$1:$F$675,Compta!$A$1:$A$675,"GRP",Compta!$B$1:$B$675,"6281",Compta!$C$1:$C$675,$A139)+SUMIFS(Compta!$F$1:$F$675,Compta!$A$1:$A$675,"GRP",Compta!$B$1:$B$675,"6331",Compta!$C$1:$C$675,$A139)+SUMIFS(Compta!$F$1:$F$675,Compta!$A$1:$A$675,"GRP",Compta!$B$1:$B$675,"6333",Compta!$C$1:$C$675,$A139))</f>
        <v/>
      </c>
      <c r="AC139" t="str">
        <f t="shared" si="39"/>
        <v/>
      </c>
      <c r="AD139" t="str">
        <f t="shared" si="40"/>
        <v/>
      </c>
      <c r="AE139" t="str">
        <f t="shared" si="41"/>
        <v/>
      </c>
      <c r="AF139" t="str">
        <f t="shared" si="42"/>
        <v/>
      </c>
      <c r="AG139" t="str">
        <f t="shared" si="43"/>
        <v/>
      </c>
      <c r="AH139" t="str">
        <f t="shared" si="44"/>
        <v/>
      </c>
      <c r="AI139" t="str">
        <f t="shared" si="45"/>
        <v/>
      </c>
      <c r="AJ139" t="str">
        <f t="shared" si="46"/>
        <v/>
      </c>
      <c r="AK139" t="str">
        <f t="shared" si="47"/>
        <v/>
      </c>
      <c r="AL139" t="str">
        <f t="shared" si="48"/>
        <v/>
      </c>
      <c r="AM139" t="str">
        <f t="shared" si="49"/>
        <v/>
      </c>
      <c r="AN139" t="str">
        <f t="shared" si="50"/>
        <v/>
      </c>
      <c r="AO139" t="str">
        <f>IF($A139="","",SUMIFS(Compta!$F$1:$F$675,Compta!$A$1:$A$675,"GRP",Compta!$B$1:$B$675,"6236",Compta!$C$1:$C$675,$A139))</f>
        <v/>
      </c>
      <c r="AP139" t="str">
        <f t="shared" si="51"/>
        <v/>
      </c>
      <c r="AQ139" t="str">
        <f t="shared" si="52"/>
        <v/>
      </c>
      <c r="AR139" t="str">
        <f t="shared" si="53"/>
        <v/>
      </c>
    </row>
    <row r="140" spans="1:44" x14ac:dyDescent="0.45">
      <c r="A140" t="str">
        <f>IF(Allocation!C140="","",Allocation!C140)</f>
        <v/>
      </c>
      <c r="B140" t="str">
        <f>IF(Allocation!D140="","",Allocation!D140)</f>
        <v/>
      </c>
      <c r="C140" t="str">
        <f>IF(Allocation!E140="","",Allocation!E140)</f>
        <v/>
      </c>
      <c r="D140" t="str">
        <f>IF(Allocation!F140="","",Allocation!F140)</f>
        <v/>
      </c>
      <c r="E140" t="str">
        <f>IF(Allocation!G140="","",Allocation!G140)</f>
        <v/>
      </c>
      <c r="F140" t="str">
        <f>IF(Allocation!H140="","",Allocation!H140)</f>
        <v/>
      </c>
      <c r="G140" t="str">
        <f>IF(Allocation!D140="","",Allocation!I140)</f>
        <v/>
      </c>
      <c r="H140" t="str">
        <f>IF(Allocation!D140="","",Allocation!J140)</f>
        <v/>
      </c>
      <c r="I140" t="str">
        <f>IF(Allocation!D140="","",Allocation!K140)</f>
        <v/>
      </c>
      <c r="J140" t="str">
        <f>IF($A140="","",SUMIFS(Socle!$K$1:$K$1000,Socle!$C$1:$C$1000,$B140,Socle!$D$1:$D$1000,$D140,Socle!$E$1:$E$1000,$E140,Socle!$F$1:$F$1000,$F140,Socle!$G$1:$G$1000,$A140))</f>
        <v/>
      </c>
      <c r="K140" t="str">
        <f t="shared" si="36"/>
        <v/>
      </c>
      <c r="L140" t="str">
        <f>IF($A140="","",SUMIFS(Allocation!$I$1:$I$175,Allocation!$C$1:$C$175,$A140,Allocation!$D$1:$D$175,$B140))</f>
        <v/>
      </c>
      <c r="M140" t="str">
        <f>IF($A140="","",SUMIFS(Allocation!$J$1:$J$175,Allocation!$C$1:$C$175,$A140,Allocation!$D$1:$D$175,$B140))</f>
        <v/>
      </c>
      <c r="N140" t="str">
        <f>IF($A140="","",SUMIFS(Allocation!$K$1:$K$175,Allocation!$C$1:$C$175,$A140,Allocation!$D$1:$D$175,$B140))</f>
        <v/>
      </c>
      <c r="O140" t="str">
        <f t="shared" si="37"/>
        <v/>
      </c>
      <c r="P140" t="str">
        <f t="shared" si="38"/>
        <v/>
      </c>
      <c r="Q140" t="str">
        <f>IF($A140="","",SUMIFS(Allocation!$I$1:$I$175,Allocation!$C$1:$C$175,$A140,Allocation!$E$1:$E$175,$C140))</f>
        <v/>
      </c>
      <c r="R140" t="str">
        <f>IF($A140="","",SUMIFS(Allocation!$J$1:$J$175,Allocation!$C$1:$C$175,$A140,Allocation!$E$1:$E$175,$C140))</f>
        <v/>
      </c>
      <c r="S140" t="str">
        <f>IF($A140="","",SUMIFS(Allocation!$K$1:$K$175,Allocation!$C$1:$C$175,$A140,Allocation!$E$1:$E$175,$C140))</f>
        <v/>
      </c>
      <c r="T140" t="str">
        <f>IF($A140="","",SUMIFS(Allocation!$I$1:$I$175,Allocation!$C$1:$C$175,$A140))</f>
        <v/>
      </c>
      <c r="U140" t="str">
        <f>IF($A140="","",SUMIFS(Allocation!$J$1:$J$175,Allocation!$C$1:$C$175,$A140))</f>
        <v/>
      </c>
      <c r="V140" t="str">
        <f>IF($A140="","",SUMIFS(Allocation!$K$1:$K$175,Allocation!$C$1:$C$175,$A140))</f>
        <v/>
      </c>
      <c r="W140" t="str">
        <f>IF($A140="","",SUMIFS(Compta!$F$1:$F$675,Compta!$A$1:$A$675,$B140,Compta!$B$1:$B$675,"621",Compta!$C$1:$C$675,$A140))</f>
        <v/>
      </c>
      <c r="X140" t="str">
        <f>IF($A140="","",SUMIFS(Compta!$F$1:$F$675,Compta!$A$1:$A$675,$B140,Compta!$B$1:$B$675,"6411",Compta!$C$1:$C$675,$A140))</f>
        <v/>
      </c>
      <c r="Y140" t="str">
        <f>IF($A140="","",SUMIFS(Compta!$F$1:$F$675,Compta!$A$1:$A$675,$B140,Compta!$B$1:$B$675,"604",Compta!$C$1:$C$675,$A140)+SUMIFS(Compta!$F$1:$F$675,Compta!$A$1:$A$675,$B140,Compta!$B$1:$B$675,"6063",Compta!$C$1:$C$675,$A140))</f>
        <v/>
      </c>
      <c r="Z140" t="str">
        <f>IF($A140="","",SUMIFS(Compta!$F$1:$F$675,Compta!$A$1:$A$675,$B140,Compta!$B$1:$B$675,"6231",Compta!$C$1:$C$675,$A140))</f>
        <v/>
      </c>
      <c r="AA140" t="str">
        <f>IF($A140="","",SUMIFS(Compta!$F$1:$F$675,Compta!$A$1:$A$675,$B140,Compta!$B$1:$B$675,"6413",Compta!$C$1:$C$675,$A140)+SUMIFS(Compta!$F$1:$F$675,Compta!$A$1:$A$675,$B140,Compta!$B$1:$B$675,"645",Compta!$C$1:$C$675,$A140)+SUMIFS(Compta!$F$1:$F$675,Compta!$A$1:$A$675,$B140,Compta!$B$1:$B$675,"613",Compta!$C$1:$C$675,$A140)+SUMIFS(Compta!$F$1:$F$675,Compta!$A$1:$A$675,$B140,Compta!$B$1:$B$675,"615",Compta!$C$1:$C$675,$A140)+SUMIFS(Compta!$F$1:$F$675,Compta!$A$1:$A$675,$B140,Compta!$B$1:$B$675,"616",Compta!$C$1:$C$675,$A140)+SUMIFS(Compta!$F$1:$F$675,Compta!$A$1:$A$675,$B140,Compta!$B$1:$B$675,"625",Compta!$C$1:$C$675,$A140)+SUMIFS(Compta!$F$1:$F$675,Compta!$A$1:$A$675,$B140,Compta!$B$1:$B$675,"63511",Compta!$C$1:$C$675,$A140))</f>
        <v/>
      </c>
      <c r="AB140" t="str">
        <f>IF($A140="","",SUMIFS(Compta!$F$1:$F$675,Compta!$A$1:$A$675,"GRP",Compta!$B$1:$B$675,"6414",Compta!$C$1:$C$675,$A140)+SUMIFS(Compta!$F$1:$F$675,Compta!$A$1:$A$675,"GRP",Compta!$B$1:$B$675,"6226",Compta!$C$1:$C$675,$A140)+SUMIFS(Compta!$F$1:$F$675,Compta!$A$1:$A$675,"GRP",Compta!$B$1:$B$675,"626",Compta!$C$1:$C$675,$A140)+SUMIFS(Compta!$F$1:$F$675,Compta!$A$1:$A$675,"GRP",Compta!$B$1:$B$675,"6281",Compta!$C$1:$C$675,$A140)+SUMIFS(Compta!$F$1:$F$675,Compta!$A$1:$A$675,"GRP",Compta!$B$1:$B$675,"6331",Compta!$C$1:$C$675,$A140)+SUMIFS(Compta!$F$1:$F$675,Compta!$A$1:$A$675,"GRP",Compta!$B$1:$B$675,"6333",Compta!$C$1:$C$675,$A140))</f>
        <v/>
      </c>
      <c r="AC140" t="str">
        <f t="shared" si="39"/>
        <v/>
      </c>
      <c r="AD140" t="str">
        <f t="shared" si="40"/>
        <v/>
      </c>
      <c r="AE140" t="str">
        <f t="shared" si="41"/>
        <v/>
      </c>
      <c r="AF140" t="str">
        <f t="shared" si="42"/>
        <v/>
      </c>
      <c r="AG140" t="str">
        <f t="shared" si="43"/>
        <v/>
      </c>
      <c r="AH140" t="str">
        <f t="shared" si="44"/>
        <v/>
      </c>
      <c r="AI140" t="str">
        <f t="shared" si="45"/>
        <v/>
      </c>
      <c r="AJ140" t="str">
        <f t="shared" si="46"/>
        <v/>
      </c>
      <c r="AK140" t="str">
        <f t="shared" si="47"/>
        <v/>
      </c>
      <c r="AL140" t="str">
        <f t="shared" si="48"/>
        <v/>
      </c>
      <c r="AM140" t="str">
        <f t="shared" si="49"/>
        <v/>
      </c>
      <c r="AN140" t="str">
        <f t="shared" si="50"/>
        <v/>
      </c>
      <c r="AO140" t="str">
        <f>IF($A140="","",SUMIFS(Compta!$F$1:$F$675,Compta!$A$1:$A$675,"GRP",Compta!$B$1:$B$675,"6236",Compta!$C$1:$C$675,$A140))</f>
        <v/>
      </c>
      <c r="AP140" t="str">
        <f t="shared" si="51"/>
        <v/>
      </c>
      <c r="AQ140" t="str">
        <f t="shared" si="52"/>
        <v/>
      </c>
      <c r="AR140" t="str">
        <f t="shared" si="53"/>
        <v/>
      </c>
    </row>
    <row r="141" spans="1:44" x14ac:dyDescent="0.45">
      <c r="A141" t="str">
        <f>IF(Allocation!C141="","",Allocation!C141)</f>
        <v/>
      </c>
      <c r="B141" t="str">
        <f>IF(Allocation!D141="","",Allocation!D141)</f>
        <v/>
      </c>
      <c r="C141" t="str">
        <f>IF(Allocation!E141="","",Allocation!E141)</f>
        <v/>
      </c>
      <c r="D141" t="str">
        <f>IF(Allocation!F141="","",Allocation!F141)</f>
        <v/>
      </c>
      <c r="E141" t="str">
        <f>IF(Allocation!G141="","",Allocation!G141)</f>
        <v/>
      </c>
      <c r="F141" t="str">
        <f>IF(Allocation!H141="","",Allocation!H141)</f>
        <v/>
      </c>
      <c r="G141" t="str">
        <f>IF(Allocation!D141="","",Allocation!I141)</f>
        <v/>
      </c>
      <c r="H141" t="str">
        <f>IF(Allocation!D141="","",Allocation!J141)</f>
        <v/>
      </c>
      <c r="I141" t="str">
        <f>IF(Allocation!D141="","",Allocation!K141)</f>
        <v/>
      </c>
      <c r="J141" t="str">
        <f>IF($A141="","",SUMIFS(Socle!$K$1:$K$1000,Socle!$C$1:$C$1000,$B141,Socle!$D$1:$D$1000,$D141,Socle!$E$1:$E$1000,$E141,Socle!$F$1:$F$1000,$F141,Socle!$G$1:$G$1000,$A141))</f>
        <v/>
      </c>
      <c r="K141" t="str">
        <f t="shared" si="36"/>
        <v/>
      </c>
      <c r="L141" t="str">
        <f>IF($A141="","",SUMIFS(Allocation!$I$1:$I$175,Allocation!$C$1:$C$175,$A141,Allocation!$D$1:$D$175,$B141))</f>
        <v/>
      </c>
      <c r="M141" t="str">
        <f>IF($A141="","",SUMIFS(Allocation!$J$1:$J$175,Allocation!$C$1:$C$175,$A141,Allocation!$D$1:$D$175,$B141))</f>
        <v/>
      </c>
      <c r="N141" t="str">
        <f>IF($A141="","",SUMIFS(Allocation!$K$1:$K$175,Allocation!$C$1:$C$175,$A141,Allocation!$D$1:$D$175,$B141))</f>
        <v/>
      </c>
      <c r="O141" t="str">
        <f t="shared" si="37"/>
        <v/>
      </c>
      <c r="P141" t="str">
        <f t="shared" si="38"/>
        <v/>
      </c>
      <c r="Q141" t="str">
        <f>IF($A141="","",SUMIFS(Allocation!$I$1:$I$175,Allocation!$C$1:$C$175,$A141,Allocation!$E$1:$E$175,$C141))</f>
        <v/>
      </c>
      <c r="R141" t="str">
        <f>IF($A141="","",SUMIFS(Allocation!$J$1:$J$175,Allocation!$C$1:$C$175,$A141,Allocation!$E$1:$E$175,$C141))</f>
        <v/>
      </c>
      <c r="S141" t="str">
        <f>IF($A141="","",SUMIFS(Allocation!$K$1:$K$175,Allocation!$C$1:$C$175,$A141,Allocation!$E$1:$E$175,$C141))</f>
        <v/>
      </c>
      <c r="T141" t="str">
        <f>IF($A141="","",SUMIFS(Allocation!$I$1:$I$175,Allocation!$C$1:$C$175,$A141))</f>
        <v/>
      </c>
      <c r="U141" t="str">
        <f>IF($A141="","",SUMIFS(Allocation!$J$1:$J$175,Allocation!$C$1:$C$175,$A141))</f>
        <v/>
      </c>
      <c r="V141" t="str">
        <f>IF($A141="","",SUMIFS(Allocation!$K$1:$K$175,Allocation!$C$1:$C$175,$A141))</f>
        <v/>
      </c>
      <c r="W141" t="str">
        <f>IF($A141="","",SUMIFS(Compta!$F$1:$F$675,Compta!$A$1:$A$675,$B141,Compta!$B$1:$B$675,"621",Compta!$C$1:$C$675,$A141))</f>
        <v/>
      </c>
      <c r="X141" t="str">
        <f>IF($A141="","",SUMIFS(Compta!$F$1:$F$675,Compta!$A$1:$A$675,$B141,Compta!$B$1:$B$675,"6411",Compta!$C$1:$C$675,$A141))</f>
        <v/>
      </c>
      <c r="Y141" t="str">
        <f>IF($A141="","",SUMIFS(Compta!$F$1:$F$675,Compta!$A$1:$A$675,$B141,Compta!$B$1:$B$675,"604",Compta!$C$1:$C$675,$A141)+SUMIFS(Compta!$F$1:$F$675,Compta!$A$1:$A$675,$B141,Compta!$B$1:$B$675,"6063",Compta!$C$1:$C$675,$A141))</f>
        <v/>
      </c>
      <c r="Z141" t="str">
        <f>IF($A141="","",SUMIFS(Compta!$F$1:$F$675,Compta!$A$1:$A$675,$B141,Compta!$B$1:$B$675,"6231",Compta!$C$1:$C$675,$A141))</f>
        <v/>
      </c>
      <c r="AA141" t="str">
        <f>IF($A141="","",SUMIFS(Compta!$F$1:$F$675,Compta!$A$1:$A$675,$B141,Compta!$B$1:$B$675,"6413",Compta!$C$1:$C$675,$A141)+SUMIFS(Compta!$F$1:$F$675,Compta!$A$1:$A$675,$B141,Compta!$B$1:$B$675,"645",Compta!$C$1:$C$675,$A141)+SUMIFS(Compta!$F$1:$F$675,Compta!$A$1:$A$675,$B141,Compta!$B$1:$B$675,"613",Compta!$C$1:$C$675,$A141)+SUMIFS(Compta!$F$1:$F$675,Compta!$A$1:$A$675,$B141,Compta!$B$1:$B$675,"615",Compta!$C$1:$C$675,$A141)+SUMIFS(Compta!$F$1:$F$675,Compta!$A$1:$A$675,$B141,Compta!$B$1:$B$675,"616",Compta!$C$1:$C$675,$A141)+SUMIFS(Compta!$F$1:$F$675,Compta!$A$1:$A$675,$B141,Compta!$B$1:$B$675,"625",Compta!$C$1:$C$675,$A141)+SUMIFS(Compta!$F$1:$F$675,Compta!$A$1:$A$675,$B141,Compta!$B$1:$B$675,"63511",Compta!$C$1:$C$675,$A141))</f>
        <v/>
      </c>
      <c r="AB141" t="str">
        <f>IF($A141="","",SUMIFS(Compta!$F$1:$F$675,Compta!$A$1:$A$675,"GRP",Compta!$B$1:$B$675,"6414",Compta!$C$1:$C$675,$A141)+SUMIFS(Compta!$F$1:$F$675,Compta!$A$1:$A$675,"GRP",Compta!$B$1:$B$675,"6226",Compta!$C$1:$C$675,$A141)+SUMIFS(Compta!$F$1:$F$675,Compta!$A$1:$A$675,"GRP",Compta!$B$1:$B$675,"626",Compta!$C$1:$C$675,$A141)+SUMIFS(Compta!$F$1:$F$675,Compta!$A$1:$A$675,"GRP",Compta!$B$1:$B$675,"6281",Compta!$C$1:$C$675,$A141)+SUMIFS(Compta!$F$1:$F$675,Compta!$A$1:$A$675,"GRP",Compta!$B$1:$B$675,"6331",Compta!$C$1:$C$675,$A141)+SUMIFS(Compta!$F$1:$F$675,Compta!$A$1:$A$675,"GRP",Compta!$B$1:$B$675,"6333",Compta!$C$1:$C$675,$A141))</f>
        <v/>
      </c>
      <c r="AC141" t="str">
        <f t="shared" si="39"/>
        <v/>
      </c>
      <c r="AD141" t="str">
        <f t="shared" si="40"/>
        <v/>
      </c>
      <c r="AE141" t="str">
        <f t="shared" si="41"/>
        <v/>
      </c>
      <c r="AF141" t="str">
        <f t="shared" si="42"/>
        <v/>
      </c>
      <c r="AG141" t="str">
        <f t="shared" si="43"/>
        <v/>
      </c>
      <c r="AH141" t="str">
        <f t="shared" si="44"/>
        <v/>
      </c>
      <c r="AI141" t="str">
        <f t="shared" si="45"/>
        <v/>
      </c>
      <c r="AJ141" t="str">
        <f t="shared" si="46"/>
        <v/>
      </c>
      <c r="AK141" t="str">
        <f t="shared" si="47"/>
        <v/>
      </c>
      <c r="AL141" t="str">
        <f t="shared" si="48"/>
        <v/>
      </c>
      <c r="AM141" t="str">
        <f t="shared" si="49"/>
        <v/>
      </c>
      <c r="AN141" t="str">
        <f t="shared" si="50"/>
        <v/>
      </c>
      <c r="AO141" t="str">
        <f>IF($A141="","",SUMIFS(Compta!$F$1:$F$675,Compta!$A$1:$A$675,"GRP",Compta!$B$1:$B$675,"6236",Compta!$C$1:$C$675,$A141))</f>
        <v/>
      </c>
      <c r="AP141" t="str">
        <f t="shared" si="51"/>
        <v/>
      </c>
      <c r="AQ141" t="str">
        <f t="shared" si="52"/>
        <v/>
      </c>
      <c r="AR141" t="str">
        <f t="shared" si="53"/>
        <v/>
      </c>
    </row>
    <row r="142" spans="1:44" x14ac:dyDescent="0.45">
      <c r="A142" t="str">
        <f>IF(Allocation!C142="","",Allocation!C142)</f>
        <v/>
      </c>
      <c r="B142" t="str">
        <f>IF(Allocation!D142="","",Allocation!D142)</f>
        <v/>
      </c>
      <c r="C142" t="str">
        <f>IF(Allocation!E142="","",Allocation!E142)</f>
        <v/>
      </c>
      <c r="D142" t="str">
        <f>IF(Allocation!F142="","",Allocation!F142)</f>
        <v/>
      </c>
      <c r="E142" t="str">
        <f>IF(Allocation!G142="","",Allocation!G142)</f>
        <v/>
      </c>
      <c r="F142" t="str">
        <f>IF(Allocation!H142="","",Allocation!H142)</f>
        <v/>
      </c>
      <c r="G142" t="str">
        <f>IF(Allocation!D142="","",Allocation!I142)</f>
        <v/>
      </c>
      <c r="H142" t="str">
        <f>IF(Allocation!D142="","",Allocation!J142)</f>
        <v/>
      </c>
      <c r="I142" t="str">
        <f>IF(Allocation!D142="","",Allocation!K142)</f>
        <v/>
      </c>
      <c r="J142" t="str">
        <f>IF($A142="","",SUMIFS(Socle!$K$1:$K$1000,Socle!$C$1:$C$1000,$B142,Socle!$D$1:$D$1000,$D142,Socle!$E$1:$E$1000,$E142,Socle!$F$1:$F$1000,$F142,Socle!$G$1:$G$1000,$A142))</f>
        <v/>
      </c>
      <c r="K142" t="str">
        <f t="shared" si="36"/>
        <v/>
      </c>
      <c r="L142" t="str">
        <f>IF($A142="","",SUMIFS(Allocation!$I$1:$I$175,Allocation!$C$1:$C$175,$A142,Allocation!$D$1:$D$175,$B142))</f>
        <v/>
      </c>
      <c r="M142" t="str">
        <f>IF($A142="","",SUMIFS(Allocation!$J$1:$J$175,Allocation!$C$1:$C$175,$A142,Allocation!$D$1:$D$175,$B142))</f>
        <v/>
      </c>
      <c r="N142" t="str">
        <f>IF($A142="","",SUMIFS(Allocation!$K$1:$K$175,Allocation!$C$1:$C$175,$A142,Allocation!$D$1:$D$175,$B142))</f>
        <v/>
      </c>
      <c r="O142" t="str">
        <f t="shared" si="37"/>
        <v/>
      </c>
      <c r="P142" t="str">
        <f t="shared" si="38"/>
        <v/>
      </c>
      <c r="Q142" t="str">
        <f>IF($A142="","",SUMIFS(Allocation!$I$1:$I$175,Allocation!$C$1:$C$175,$A142,Allocation!$E$1:$E$175,$C142))</f>
        <v/>
      </c>
      <c r="R142" t="str">
        <f>IF($A142="","",SUMIFS(Allocation!$J$1:$J$175,Allocation!$C$1:$C$175,$A142,Allocation!$E$1:$E$175,$C142))</f>
        <v/>
      </c>
      <c r="S142" t="str">
        <f>IF($A142="","",SUMIFS(Allocation!$K$1:$K$175,Allocation!$C$1:$C$175,$A142,Allocation!$E$1:$E$175,$C142))</f>
        <v/>
      </c>
      <c r="T142" t="str">
        <f>IF($A142="","",SUMIFS(Allocation!$I$1:$I$175,Allocation!$C$1:$C$175,$A142))</f>
        <v/>
      </c>
      <c r="U142" t="str">
        <f>IF($A142="","",SUMIFS(Allocation!$J$1:$J$175,Allocation!$C$1:$C$175,$A142))</f>
        <v/>
      </c>
      <c r="V142" t="str">
        <f>IF($A142="","",SUMIFS(Allocation!$K$1:$K$175,Allocation!$C$1:$C$175,$A142))</f>
        <v/>
      </c>
      <c r="W142" t="str">
        <f>IF($A142="","",SUMIFS(Compta!$F$1:$F$675,Compta!$A$1:$A$675,$B142,Compta!$B$1:$B$675,"621",Compta!$C$1:$C$675,$A142))</f>
        <v/>
      </c>
      <c r="X142" t="str">
        <f>IF($A142="","",SUMIFS(Compta!$F$1:$F$675,Compta!$A$1:$A$675,$B142,Compta!$B$1:$B$675,"6411",Compta!$C$1:$C$675,$A142))</f>
        <v/>
      </c>
      <c r="Y142" t="str">
        <f>IF($A142="","",SUMIFS(Compta!$F$1:$F$675,Compta!$A$1:$A$675,$B142,Compta!$B$1:$B$675,"604",Compta!$C$1:$C$675,$A142)+SUMIFS(Compta!$F$1:$F$675,Compta!$A$1:$A$675,$B142,Compta!$B$1:$B$675,"6063",Compta!$C$1:$C$675,$A142))</f>
        <v/>
      </c>
      <c r="Z142" t="str">
        <f>IF($A142="","",SUMIFS(Compta!$F$1:$F$675,Compta!$A$1:$A$675,$B142,Compta!$B$1:$B$675,"6231",Compta!$C$1:$C$675,$A142))</f>
        <v/>
      </c>
      <c r="AA142" t="str">
        <f>IF($A142="","",SUMIFS(Compta!$F$1:$F$675,Compta!$A$1:$A$675,$B142,Compta!$B$1:$B$675,"6413",Compta!$C$1:$C$675,$A142)+SUMIFS(Compta!$F$1:$F$675,Compta!$A$1:$A$675,$B142,Compta!$B$1:$B$675,"645",Compta!$C$1:$C$675,$A142)+SUMIFS(Compta!$F$1:$F$675,Compta!$A$1:$A$675,$B142,Compta!$B$1:$B$675,"613",Compta!$C$1:$C$675,$A142)+SUMIFS(Compta!$F$1:$F$675,Compta!$A$1:$A$675,$B142,Compta!$B$1:$B$675,"615",Compta!$C$1:$C$675,$A142)+SUMIFS(Compta!$F$1:$F$675,Compta!$A$1:$A$675,$B142,Compta!$B$1:$B$675,"616",Compta!$C$1:$C$675,$A142)+SUMIFS(Compta!$F$1:$F$675,Compta!$A$1:$A$675,$B142,Compta!$B$1:$B$675,"625",Compta!$C$1:$C$675,$A142)+SUMIFS(Compta!$F$1:$F$675,Compta!$A$1:$A$675,$B142,Compta!$B$1:$B$675,"63511",Compta!$C$1:$C$675,$A142))</f>
        <v/>
      </c>
      <c r="AB142" t="str">
        <f>IF($A142="","",SUMIFS(Compta!$F$1:$F$675,Compta!$A$1:$A$675,"GRP",Compta!$B$1:$B$675,"6414",Compta!$C$1:$C$675,$A142)+SUMIFS(Compta!$F$1:$F$675,Compta!$A$1:$A$675,"GRP",Compta!$B$1:$B$675,"6226",Compta!$C$1:$C$675,$A142)+SUMIFS(Compta!$F$1:$F$675,Compta!$A$1:$A$675,"GRP",Compta!$B$1:$B$675,"626",Compta!$C$1:$C$675,$A142)+SUMIFS(Compta!$F$1:$F$675,Compta!$A$1:$A$675,"GRP",Compta!$B$1:$B$675,"6281",Compta!$C$1:$C$675,$A142)+SUMIFS(Compta!$F$1:$F$675,Compta!$A$1:$A$675,"GRP",Compta!$B$1:$B$675,"6331",Compta!$C$1:$C$675,$A142)+SUMIFS(Compta!$F$1:$F$675,Compta!$A$1:$A$675,"GRP",Compta!$B$1:$B$675,"6333",Compta!$C$1:$C$675,$A142))</f>
        <v/>
      </c>
      <c r="AC142" t="str">
        <f t="shared" si="39"/>
        <v/>
      </c>
      <c r="AD142" t="str">
        <f t="shared" si="40"/>
        <v/>
      </c>
      <c r="AE142" t="str">
        <f t="shared" si="41"/>
        <v/>
      </c>
      <c r="AF142" t="str">
        <f t="shared" si="42"/>
        <v/>
      </c>
      <c r="AG142" t="str">
        <f t="shared" si="43"/>
        <v/>
      </c>
      <c r="AH142" t="str">
        <f t="shared" si="44"/>
        <v/>
      </c>
      <c r="AI142" t="str">
        <f t="shared" si="45"/>
        <v/>
      </c>
      <c r="AJ142" t="str">
        <f t="shared" si="46"/>
        <v/>
      </c>
      <c r="AK142" t="str">
        <f t="shared" si="47"/>
        <v/>
      </c>
      <c r="AL142" t="str">
        <f t="shared" si="48"/>
        <v/>
      </c>
      <c r="AM142" t="str">
        <f t="shared" si="49"/>
        <v/>
      </c>
      <c r="AN142" t="str">
        <f t="shared" si="50"/>
        <v/>
      </c>
      <c r="AO142" t="str">
        <f>IF($A142="","",SUMIFS(Compta!$F$1:$F$675,Compta!$A$1:$A$675,"GRP",Compta!$B$1:$B$675,"6236",Compta!$C$1:$C$675,$A142))</f>
        <v/>
      </c>
      <c r="AP142" t="str">
        <f t="shared" si="51"/>
        <v/>
      </c>
      <c r="AQ142" t="str">
        <f t="shared" si="52"/>
        <v/>
      </c>
      <c r="AR142" t="str">
        <f t="shared" si="53"/>
        <v/>
      </c>
    </row>
    <row r="143" spans="1:44" x14ac:dyDescent="0.45">
      <c r="A143" t="str">
        <f>IF(Allocation!C143="","",Allocation!C143)</f>
        <v/>
      </c>
      <c r="B143" t="str">
        <f>IF(Allocation!D143="","",Allocation!D143)</f>
        <v/>
      </c>
      <c r="C143" t="str">
        <f>IF(Allocation!E143="","",Allocation!E143)</f>
        <v/>
      </c>
      <c r="D143" t="str">
        <f>IF(Allocation!F143="","",Allocation!F143)</f>
        <v/>
      </c>
      <c r="E143" t="str">
        <f>IF(Allocation!G143="","",Allocation!G143)</f>
        <v/>
      </c>
      <c r="F143" t="str">
        <f>IF(Allocation!H143="","",Allocation!H143)</f>
        <v/>
      </c>
      <c r="G143" t="str">
        <f>IF(Allocation!D143="","",Allocation!I143)</f>
        <v/>
      </c>
      <c r="H143" t="str">
        <f>IF(Allocation!D143="","",Allocation!J143)</f>
        <v/>
      </c>
      <c r="I143" t="str">
        <f>IF(Allocation!D143="","",Allocation!K143)</f>
        <v/>
      </c>
      <c r="J143" t="str">
        <f>IF($A143="","",SUMIFS(Socle!$K$1:$K$1000,Socle!$C$1:$C$1000,$B143,Socle!$D$1:$D$1000,$D143,Socle!$E$1:$E$1000,$E143,Socle!$F$1:$F$1000,$F143,Socle!$G$1:$G$1000,$A143))</f>
        <v/>
      </c>
      <c r="K143" t="str">
        <f t="shared" si="36"/>
        <v/>
      </c>
      <c r="L143" t="str">
        <f>IF($A143="","",SUMIFS(Allocation!$I$1:$I$175,Allocation!$C$1:$C$175,$A143,Allocation!$D$1:$D$175,$B143))</f>
        <v/>
      </c>
      <c r="M143" t="str">
        <f>IF($A143="","",SUMIFS(Allocation!$J$1:$J$175,Allocation!$C$1:$C$175,$A143,Allocation!$D$1:$D$175,$B143))</f>
        <v/>
      </c>
      <c r="N143" t="str">
        <f>IF($A143="","",SUMIFS(Allocation!$K$1:$K$175,Allocation!$C$1:$C$175,$A143,Allocation!$D$1:$D$175,$B143))</f>
        <v/>
      </c>
      <c r="O143" t="str">
        <f t="shared" si="37"/>
        <v/>
      </c>
      <c r="P143" t="str">
        <f t="shared" si="38"/>
        <v/>
      </c>
      <c r="Q143" t="str">
        <f>IF($A143="","",SUMIFS(Allocation!$I$1:$I$175,Allocation!$C$1:$C$175,$A143,Allocation!$E$1:$E$175,$C143))</f>
        <v/>
      </c>
      <c r="R143" t="str">
        <f>IF($A143="","",SUMIFS(Allocation!$J$1:$J$175,Allocation!$C$1:$C$175,$A143,Allocation!$E$1:$E$175,$C143))</f>
        <v/>
      </c>
      <c r="S143" t="str">
        <f>IF($A143="","",SUMIFS(Allocation!$K$1:$K$175,Allocation!$C$1:$C$175,$A143,Allocation!$E$1:$E$175,$C143))</f>
        <v/>
      </c>
      <c r="T143" t="str">
        <f>IF($A143="","",SUMIFS(Allocation!$I$1:$I$175,Allocation!$C$1:$C$175,$A143))</f>
        <v/>
      </c>
      <c r="U143" t="str">
        <f>IF($A143="","",SUMIFS(Allocation!$J$1:$J$175,Allocation!$C$1:$C$175,$A143))</f>
        <v/>
      </c>
      <c r="V143" t="str">
        <f>IF($A143="","",SUMIFS(Allocation!$K$1:$K$175,Allocation!$C$1:$C$175,$A143))</f>
        <v/>
      </c>
      <c r="W143" t="str">
        <f>IF($A143="","",SUMIFS(Compta!$F$1:$F$675,Compta!$A$1:$A$675,$B143,Compta!$B$1:$B$675,"621",Compta!$C$1:$C$675,$A143))</f>
        <v/>
      </c>
      <c r="X143" t="str">
        <f>IF($A143="","",SUMIFS(Compta!$F$1:$F$675,Compta!$A$1:$A$675,$B143,Compta!$B$1:$B$675,"6411",Compta!$C$1:$C$675,$A143))</f>
        <v/>
      </c>
      <c r="Y143" t="str">
        <f>IF($A143="","",SUMIFS(Compta!$F$1:$F$675,Compta!$A$1:$A$675,$B143,Compta!$B$1:$B$675,"604",Compta!$C$1:$C$675,$A143)+SUMIFS(Compta!$F$1:$F$675,Compta!$A$1:$A$675,$B143,Compta!$B$1:$B$675,"6063",Compta!$C$1:$C$675,$A143))</f>
        <v/>
      </c>
      <c r="Z143" t="str">
        <f>IF($A143="","",SUMIFS(Compta!$F$1:$F$675,Compta!$A$1:$A$675,$B143,Compta!$B$1:$B$675,"6231",Compta!$C$1:$C$675,$A143))</f>
        <v/>
      </c>
      <c r="AA143" t="str">
        <f>IF($A143="","",SUMIFS(Compta!$F$1:$F$675,Compta!$A$1:$A$675,$B143,Compta!$B$1:$B$675,"6413",Compta!$C$1:$C$675,$A143)+SUMIFS(Compta!$F$1:$F$675,Compta!$A$1:$A$675,$B143,Compta!$B$1:$B$675,"645",Compta!$C$1:$C$675,$A143)+SUMIFS(Compta!$F$1:$F$675,Compta!$A$1:$A$675,$B143,Compta!$B$1:$B$675,"613",Compta!$C$1:$C$675,$A143)+SUMIFS(Compta!$F$1:$F$675,Compta!$A$1:$A$675,$B143,Compta!$B$1:$B$675,"615",Compta!$C$1:$C$675,$A143)+SUMIFS(Compta!$F$1:$F$675,Compta!$A$1:$A$675,$B143,Compta!$B$1:$B$675,"616",Compta!$C$1:$C$675,$A143)+SUMIFS(Compta!$F$1:$F$675,Compta!$A$1:$A$675,$B143,Compta!$B$1:$B$675,"625",Compta!$C$1:$C$675,$A143)+SUMIFS(Compta!$F$1:$F$675,Compta!$A$1:$A$675,$B143,Compta!$B$1:$B$675,"63511",Compta!$C$1:$C$675,$A143))</f>
        <v/>
      </c>
      <c r="AB143" t="str">
        <f>IF($A143="","",SUMIFS(Compta!$F$1:$F$675,Compta!$A$1:$A$675,"GRP",Compta!$B$1:$B$675,"6414",Compta!$C$1:$C$675,$A143)+SUMIFS(Compta!$F$1:$F$675,Compta!$A$1:$A$675,"GRP",Compta!$B$1:$B$675,"6226",Compta!$C$1:$C$675,$A143)+SUMIFS(Compta!$F$1:$F$675,Compta!$A$1:$A$675,"GRP",Compta!$B$1:$B$675,"626",Compta!$C$1:$C$675,$A143)+SUMIFS(Compta!$F$1:$F$675,Compta!$A$1:$A$675,"GRP",Compta!$B$1:$B$675,"6281",Compta!$C$1:$C$675,$A143)+SUMIFS(Compta!$F$1:$F$675,Compta!$A$1:$A$675,"GRP",Compta!$B$1:$B$675,"6331",Compta!$C$1:$C$675,$A143)+SUMIFS(Compta!$F$1:$F$675,Compta!$A$1:$A$675,"GRP",Compta!$B$1:$B$675,"6333",Compta!$C$1:$C$675,$A143))</f>
        <v/>
      </c>
      <c r="AC143" t="str">
        <f t="shared" si="39"/>
        <v/>
      </c>
      <c r="AD143" t="str">
        <f t="shared" si="40"/>
        <v/>
      </c>
      <c r="AE143" t="str">
        <f t="shared" si="41"/>
        <v/>
      </c>
      <c r="AF143" t="str">
        <f t="shared" si="42"/>
        <v/>
      </c>
      <c r="AG143" t="str">
        <f t="shared" si="43"/>
        <v/>
      </c>
      <c r="AH143" t="str">
        <f t="shared" si="44"/>
        <v/>
      </c>
      <c r="AI143" t="str">
        <f t="shared" si="45"/>
        <v/>
      </c>
      <c r="AJ143" t="str">
        <f t="shared" si="46"/>
        <v/>
      </c>
      <c r="AK143" t="str">
        <f t="shared" si="47"/>
        <v/>
      </c>
      <c r="AL143" t="str">
        <f t="shared" si="48"/>
        <v/>
      </c>
      <c r="AM143" t="str">
        <f t="shared" si="49"/>
        <v/>
      </c>
      <c r="AN143" t="str">
        <f t="shared" si="50"/>
        <v/>
      </c>
      <c r="AO143" t="str">
        <f>IF($A143="","",SUMIFS(Compta!$F$1:$F$675,Compta!$A$1:$A$675,"GRP",Compta!$B$1:$B$675,"6236",Compta!$C$1:$C$675,$A143))</f>
        <v/>
      </c>
      <c r="AP143" t="str">
        <f t="shared" si="51"/>
        <v/>
      </c>
      <c r="AQ143" t="str">
        <f t="shared" si="52"/>
        <v/>
      </c>
      <c r="AR143" t="str">
        <f t="shared" si="53"/>
        <v/>
      </c>
    </row>
    <row r="144" spans="1:44" x14ac:dyDescent="0.45">
      <c r="A144" t="str">
        <f>IF(Allocation!C144="","",Allocation!C144)</f>
        <v/>
      </c>
      <c r="B144" t="str">
        <f>IF(Allocation!D144="","",Allocation!D144)</f>
        <v/>
      </c>
      <c r="C144" t="str">
        <f>IF(Allocation!E144="","",Allocation!E144)</f>
        <v/>
      </c>
      <c r="D144" t="str">
        <f>IF(Allocation!F144="","",Allocation!F144)</f>
        <v/>
      </c>
      <c r="E144" t="str">
        <f>IF(Allocation!G144="","",Allocation!G144)</f>
        <v/>
      </c>
      <c r="F144" t="str">
        <f>IF(Allocation!H144="","",Allocation!H144)</f>
        <v/>
      </c>
      <c r="G144" t="str">
        <f>IF(Allocation!D144="","",Allocation!I144)</f>
        <v/>
      </c>
      <c r="H144" t="str">
        <f>IF(Allocation!D144="","",Allocation!J144)</f>
        <v/>
      </c>
      <c r="I144" t="str">
        <f>IF(Allocation!D144="","",Allocation!K144)</f>
        <v/>
      </c>
      <c r="J144" t="str">
        <f>IF($A144="","",SUMIFS(Socle!$K$1:$K$1000,Socle!$C$1:$C$1000,$B144,Socle!$D$1:$D$1000,$D144,Socle!$E$1:$E$1000,$E144,Socle!$F$1:$F$1000,$F144,Socle!$G$1:$G$1000,$A144))</f>
        <v/>
      </c>
      <c r="K144" t="str">
        <f t="shared" si="36"/>
        <v/>
      </c>
      <c r="L144" t="str">
        <f>IF($A144="","",SUMIFS(Allocation!$I$1:$I$175,Allocation!$C$1:$C$175,$A144,Allocation!$D$1:$D$175,$B144))</f>
        <v/>
      </c>
      <c r="M144" t="str">
        <f>IF($A144="","",SUMIFS(Allocation!$J$1:$J$175,Allocation!$C$1:$C$175,$A144,Allocation!$D$1:$D$175,$B144))</f>
        <v/>
      </c>
      <c r="N144" t="str">
        <f>IF($A144="","",SUMIFS(Allocation!$K$1:$K$175,Allocation!$C$1:$C$175,$A144,Allocation!$D$1:$D$175,$B144))</f>
        <v/>
      </c>
      <c r="O144" t="str">
        <f t="shared" si="37"/>
        <v/>
      </c>
      <c r="P144" t="str">
        <f t="shared" si="38"/>
        <v/>
      </c>
      <c r="Q144" t="str">
        <f>IF($A144="","",SUMIFS(Allocation!$I$1:$I$175,Allocation!$C$1:$C$175,$A144,Allocation!$E$1:$E$175,$C144))</f>
        <v/>
      </c>
      <c r="R144" t="str">
        <f>IF($A144="","",SUMIFS(Allocation!$J$1:$J$175,Allocation!$C$1:$C$175,$A144,Allocation!$E$1:$E$175,$C144))</f>
        <v/>
      </c>
      <c r="S144" t="str">
        <f>IF($A144="","",SUMIFS(Allocation!$K$1:$K$175,Allocation!$C$1:$C$175,$A144,Allocation!$E$1:$E$175,$C144))</f>
        <v/>
      </c>
      <c r="T144" t="str">
        <f>IF($A144="","",SUMIFS(Allocation!$I$1:$I$175,Allocation!$C$1:$C$175,$A144))</f>
        <v/>
      </c>
      <c r="U144" t="str">
        <f>IF($A144="","",SUMIFS(Allocation!$J$1:$J$175,Allocation!$C$1:$C$175,$A144))</f>
        <v/>
      </c>
      <c r="V144" t="str">
        <f>IF($A144="","",SUMIFS(Allocation!$K$1:$K$175,Allocation!$C$1:$C$175,$A144))</f>
        <v/>
      </c>
      <c r="W144" t="str">
        <f>IF($A144="","",SUMIFS(Compta!$F$1:$F$675,Compta!$A$1:$A$675,$B144,Compta!$B$1:$B$675,"621",Compta!$C$1:$C$675,$A144))</f>
        <v/>
      </c>
      <c r="X144" t="str">
        <f>IF($A144="","",SUMIFS(Compta!$F$1:$F$675,Compta!$A$1:$A$675,$B144,Compta!$B$1:$B$675,"6411",Compta!$C$1:$C$675,$A144))</f>
        <v/>
      </c>
      <c r="Y144" t="str">
        <f>IF($A144="","",SUMIFS(Compta!$F$1:$F$675,Compta!$A$1:$A$675,$B144,Compta!$B$1:$B$675,"604",Compta!$C$1:$C$675,$A144)+SUMIFS(Compta!$F$1:$F$675,Compta!$A$1:$A$675,$B144,Compta!$B$1:$B$675,"6063",Compta!$C$1:$C$675,$A144))</f>
        <v/>
      </c>
      <c r="Z144" t="str">
        <f>IF($A144="","",SUMIFS(Compta!$F$1:$F$675,Compta!$A$1:$A$675,$B144,Compta!$B$1:$B$675,"6231",Compta!$C$1:$C$675,$A144))</f>
        <v/>
      </c>
      <c r="AA144" t="str">
        <f>IF($A144="","",SUMIFS(Compta!$F$1:$F$675,Compta!$A$1:$A$675,$B144,Compta!$B$1:$B$675,"6413",Compta!$C$1:$C$675,$A144)+SUMIFS(Compta!$F$1:$F$675,Compta!$A$1:$A$675,$B144,Compta!$B$1:$B$675,"645",Compta!$C$1:$C$675,$A144)+SUMIFS(Compta!$F$1:$F$675,Compta!$A$1:$A$675,$B144,Compta!$B$1:$B$675,"613",Compta!$C$1:$C$675,$A144)+SUMIFS(Compta!$F$1:$F$675,Compta!$A$1:$A$675,$B144,Compta!$B$1:$B$675,"615",Compta!$C$1:$C$675,$A144)+SUMIFS(Compta!$F$1:$F$675,Compta!$A$1:$A$675,$B144,Compta!$B$1:$B$675,"616",Compta!$C$1:$C$675,$A144)+SUMIFS(Compta!$F$1:$F$675,Compta!$A$1:$A$675,$B144,Compta!$B$1:$B$675,"625",Compta!$C$1:$C$675,$A144)+SUMIFS(Compta!$F$1:$F$675,Compta!$A$1:$A$675,$B144,Compta!$B$1:$B$675,"63511",Compta!$C$1:$C$675,$A144))</f>
        <v/>
      </c>
      <c r="AB144" t="str">
        <f>IF($A144="","",SUMIFS(Compta!$F$1:$F$675,Compta!$A$1:$A$675,"GRP",Compta!$B$1:$B$675,"6414",Compta!$C$1:$C$675,$A144)+SUMIFS(Compta!$F$1:$F$675,Compta!$A$1:$A$675,"GRP",Compta!$B$1:$B$675,"6226",Compta!$C$1:$C$675,$A144)+SUMIFS(Compta!$F$1:$F$675,Compta!$A$1:$A$675,"GRP",Compta!$B$1:$B$675,"626",Compta!$C$1:$C$675,$A144)+SUMIFS(Compta!$F$1:$F$675,Compta!$A$1:$A$675,"GRP",Compta!$B$1:$B$675,"6281",Compta!$C$1:$C$675,$A144)+SUMIFS(Compta!$F$1:$F$675,Compta!$A$1:$A$675,"GRP",Compta!$B$1:$B$675,"6331",Compta!$C$1:$C$675,$A144)+SUMIFS(Compta!$F$1:$F$675,Compta!$A$1:$A$675,"GRP",Compta!$B$1:$B$675,"6333",Compta!$C$1:$C$675,$A144))</f>
        <v/>
      </c>
      <c r="AC144" t="str">
        <f t="shared" si="39"/>
        <v/>
      </c>
      <c r="AD144" t="str">
        <f t="shared" si="40"/>
        <v/>
      </c>
      <c r="AE144" t="str">
        <f t="shared" si="41"/>
        <v/>
      </c>
      <c r="AF144" t="str">
        <f t="shared" si="42"/>
        <v/>
      </c>
      <c r="AG144" t="str">
        <f t="shared" si="43"/>
        <v/>
      </c>
      <c r="AH144" t="str">
        <f t="shared" si="44"/>
        <v/>
      </c>
      <c r="AI144" t="str">
        <f t="shared" si="45"/>
        <v/>
      </c>
      <c r="AJ144" t="str">
        <f t="shared" si="46"/>
        <v/>
      </c>
      <c r="AK144" t="str">
        <f t="shared" si="47"/>
        <v/>
      </c>
      <c r="AL144" t="str">
        <f t="shared" si="48"/>
        <v/>
      </c>
      <c r="AM144" t="str">
        <f t="shared" si="49"/>
        <v/>
      </c>
      <c r="AN144" t="str">
        <f t="shared" si="50"/>
        <v/>
      </c>
      <c r="AO144" t="str">
        <f>IF($A144="","",SUMIFS(Compta!$F$1:$F$675,Compta!$A$1:$A$675,"GRP",Compta!$B$1:$B$675,"6236",Compta!$C$1:$C$675,$A144))</f>
        <v/>
      </c>
      <c r="AP144" t="str">
        <f t="shared" si="51"/>
        <v/>
      </c>
      <c r="AQ144" t="str">
        <f t="shared" si="52"/>
        <v/>
      </c>
      <c r="AR144" t="str">
        <f t="shared" si="53"/>
        <v/>
      </c>
    </row>
    <row r="145" spans="1:44" x14ac:dyDescent="0.45">
      <c r="A145" t="str">
        <f>IF(Allocation!C145="","",Allocation!C145)</f>
        <v/>
      </c>
      <c r="B145" t="str">
        <f>IF(Allocation!D145="","",Allocation!D145)</f>
        <v/>
      </c>
      <c r="C145" t="str">
        <f>IF(Allocation!E145="","",Allocation!E145)</f>
        <v/>
      </c>
      <c r="D145" t="str">
        <f>IF(Allocation!F145="","",Allocation!F145)</f>
        <v/>
      </c>
      <c r="E145" t="str">
        <f>IF(Allocation!G145="","",Allocation!G145)</f>
        <v/>
      </c>
      <c r="F145" t="str">
        <f>IF(Allocation!H145="","",Allocation!H145)</f>
        <v/>
      </c>
      <c r="G145" t="str">
        <f>IF(Allocation!D145="","",Allocation!I145)</f>
        <v/>
      </c>
      <c r="H145" t="str">
        <f>IF(Allocation!D145="","",Allocation!J145)</f>
        <v/>
      </c>
      <c r="I145" t="str">
        <f>IF(Allocation!D145="","",Allocation!K145)</f>
        <v/>
      </c>
      <c r="J145" t="str">
        <f>IF($A145="","",SUMIFS(Socle!$K$1:$K$1000,Socle!$C$1:$C$1000,$B145,Socle!$D$1:$D$1000,$D145,Socle!$E$1:$E$1000,$E145,Socle!$F$1:$F$1000,$F145,Socle!$G$1:$G$1000,$A145))</f>
        <v/>
      </c>
      <c r="K145" t="str">
        <f t="shared" si="36"/>
        <v/>
      </c>
      <c r="L145" t="str">
        <f>IF($A145="","",SUMIFS(Allocation!$I$1:$I$175,Allocation!$C$1:$C$175,$A145,Allocation!$D$1:$D$175,$B145))</f>
        <v/>
      </c>
      <c r="M145" t="str">
        <f>IF($A145="","",SUMIFS(Allocation!$J$1:$J$175,Allocation!$C$1:$C$175,$A145,Allocation!$D$1:$D$175,$B145))</f>
        <v/>
      </c>
      <c r="N145" t="str">
        <f>IF($A145="","",SUMIFS(Allocation!$K$1:$K$175,Allocation!$C$1:$C$175,$A145,Allocation!$D$1:$D$175,$B145))</f>
        <v/>
      </c>
      <c r="O145" t="str">
        <f t="shared" si="37"/>
        <v/>
      </c>
      <c r="P145" t="str">
        <f t="shared" si="38"/>
        <v/>
      </c>
      <c r="Q145" t="str">
        <f>IF($A145="","",SUMIFS(Allocation!$I$1:$I$175,Allocation!$C$1:$C$175,$A145,Allocation!$E$1:$E$175,$C145))</f>
        <v/>
      </c>
      <c r="R145" t="str">
        <f>IF($A145="","",SUMIFS(Allocation!$J$1:$J$175,Allocation!$C$1:$C$175,$A145,Allocation!$E$1:$E$175,$C145))</f>
        <v/>
      </c>
      <c r="S145" t="str">
        <f>IF($A145="","",SUMIFS(Allocation!$K$1:$K$175,Allocation!$C$1:$C$175,$A145,Allocation!$E$1:$E$175,$C145))</f>
        <v/>
      </c>
      <c r="T145" t="str">
        <f>IF($A145="","",SUMIFS(Allocation!$I$1:$I$175,Allocation!$C$1:$C$175,$A145))</f>
        <v/>
      </c>
      <c r="U145" t="str">
        <f>IF($A145="","",SUMIFS(Allocation!$J$1:$J$175,Allocation!$C$1:$C$175,$A145))</f>
        <v/>
      </c>
      <c r="V145" t="str">
        <f>IF($A145="","",SUMIFS(Allocation!$K$1:$K$175,Allocation!$C$1:$C$175,$A145))</f>
        <v/>
      </c>
      <c r="W145" t="str">
        <f>IF($A145="","",SUMIFS(Compta!$F$1:$F$675,Compta!$A$1:$A$675,$B145,Compta!$B$1:$B$675,"621",Compta!$C$1:$C$675,$A145))</f>
        <v/>
      </c>
      <c r="X145" t="str">
        <f>IF($A145="","",SUMIFS(Compta!$F$1:$F$675,Compta!$A$1:$A$675,$B145,Compta!$B$1:$B$675,"6411",Compta!$C$1:$C$675,$A145))</f>
        <v/>
      </c>
      <c r="Y145" t="str">
        <f>IF($A145="","",SUMIFS(Compta!$F$1:$F$675,Compta!$A$1:$A$675,$B145,Compta!$B$1:$B$675,"604",Compta!$C$1:$C$675,$A145)+SUMIFS(Compta!$F$1:$F$675,Compta!$A$1:$A$675,$B145,Compta!$B$1:$B$675,"6063",Compta!$C$1:$C$675,$A145))</f>
        <v/>
      </c>
      <c r="Z145" t="str">
        <f>IF($A145="","",SUMIFS(Compta!$F$1:$F$675,Compta!$A$1:$A$675,$B145,Compta!$B$1:$B$675,"6231",Compta!$C$1:$C$675,$A145))</f>
        <v/>
      </c>
      <c r="AA145" t="str">
        <f>IF($A145="","",SUMIFS(Compta!$F$1:$F$675,Compta!$A$1:$A$675,$B145,Compta!$B$1:$B$675,"6413",Compta!$C$1:$C$675,$A145)+SUMIFS(Compta!$F$1:$F$675,Compta!$A$1:$A$675,$B145,Compta!$B$1:$B$675,"645",Compta!$C$1:$C$675,$A145)+SUMIFS(Compta!$F$1:$F$675,Compta!$A$1:$A$675,$B145,Compta!$B$1:$B$675,"613",Compta!$C$1:$C$675,$A145)+SUMIFS(Compta!$F$1:$F$675,Compta!$A$1:$A$675,$B145,Compta!$B$1:$B$675,"615",Compta!$C$1:$C$675,$A145)+SUMIFS(Compta!$F$1:$F$675,Compta!$A$1:$A$675,$B145,Compta!$B$1:$B$675,"616",Compta!$C$1:$C$675,$A145)+SUMIFS(Compta!$F$1:$F$675,Compta!$A$1:$A$675,$B145,Compta!$B$1:$B$675,"625",Compta!$C$1:$C$675,$A145)+SUMIFS(Compta!$F$1:$F$675,Compta!$A$1:$A$675,$B145,Compta!$B$1:$B$675,"63511",Compta!$C$1:$C$675,$A145))</f>
        <v/>
      </c>
      <c r="AB145" t="str">
        <f>IF($A145="","",SUMIFS(Compta!$F$1:$F$675,Compta!$A$1:$A$675,"GRP",Compta!$B$1:$B$675,"6414",Compta!$C$1:$C$675,$A145)+SUMIFS(Compta!$F$1:$F$675,Compta!$A$1:$A$675,"GRP",Compta!$B$1:$B$675,"6226",Compta!$C$1:$C$675,$A145)+SUMIFS(Compta!$F$1:$F$675,Compta!$A$1:$A$675,"GRP",Compta!$B$1:$B$675,"626",Compta!$C$1:$C$675,$A145)+SUMIFS(Compta!$F$1:$F$675,Compta!$A$1:$A$675,"GRP",Compta!$B$1:$B$675,"6281",Compta!$C$1:$C$675,$A145)+SUMIFS(Compta!$F$1:$F$675,Compta!$A$1:$A$675,"GRP",Compta!$B$1:$B$675,"6331",Compta!$C$1:$C$675,$A145)+SUMIFS(Compta!$F$1:$F$675,Compta!$A$1:$A$675,"GRP",Compta!$B$1:$B$675,"6333",Compta!$C$1:$C$675,$A145))</f>
        <v/>
      </c>
      <c r="AC145" t="str">
        <f t="shared" si="39"/>
        <v/>
      </c>
      <c r="AD145" t="str">
        <f t="shared" si="40"/>
        <v/>
      </c>
      <c r="AE145" t="str">
        <f t="shared" si="41"/>
        <v/>
      </c>
      <c r="AF145" t="str">
        <f t="shared" si="42"/>
        <v/>
      </c>
      <c r="AG145" t="str">
        <f t="shared" si="43"/>
        <v/>
      </c>
      <c r="AH145" t="str">
        <f t="shared" si="44"/>
        <v/>
      </c>
      <c r="AI145" t="str">
        <f t="shared" si="45"/>
        <v/>
      </c>
      <c r="AJ145" t="str">
        <f t="shared" si="46"/>
        <v/>
      </c>
      <c r="AK145" t="str">
        <f t="shared" si="47"/>
        <v/>
      </c>
      <c r="AL145" t="str">
        <f t="shared" si="48"/>
        <v/>
      </c>
      <c r="AM145" t="str">
        <f t="shared" si="49"/>
        <v/>
      </c>
      <c r="AN145" t="str">
        <f t="shared" si="50"/>
        <v/>
      </c>
      <c r="AO145" t="str">
        <f>IF($A145="","",SUMIFS(Compta!$F$1:$F$675,Compta!$A$1:$A$675,"GRP",Compta!$B$1:$B$675,"6236",Compta!$C$1:$C$675,$A145))</f>
        <v/>
      </c>
      <c r="AP145" t="str">
        <f t="shared" si="51"/>
        <v/>
      </c>
      <c r="AQ145" t="str">
        <f t="shared" si="52"/>
        <v/>
      </c>
      <c r="AR145" t="str">
        <f t="shared" si="53"/>
        <v/>
      </c>
    </row>
    <row r="146" spans="1:44" x14ac:dyDescent="0.45">
      <c r="A146" t="str">
        <f>IF(Allocation!C146="","",Allocation!C146)</f>
        <v/>
      </c>
      <c r="B146" t="str">
        <f>IF(Allocation!D146="","",Allocation!D146)</f>
        <v/>
      </c>
      <c r="C146" t="str">
        <f>IF(Allocation!E146="","",Allocation!E146)</f>
        <v/>
      </c>
      <c r="D146" t="str">
        <f>IF(Allocation!F146="","",Allocation!F146)</f>
        <v/>
      </c>
      <c r="E146" t="str">
        <f>IF(Allocation!G146="","",Allocation!G146)</f>
        <v/>
      </c>
      <c r="F146" t="str">
        <f>IF(Allocation!H146="","",Allocation!H146)</f>
        <v/>
      </c>
      <c r="G146" t="str">
        <f>IF(Allocation!D146="","",Allocation!I146)</f>
        <v/>
      </c>
      <c r="H146" t="str">
        <f>IF(Allocation!D146="","",Allocation!J146)</f>
        <v/>
      </c>
      <c r="I146" t="str">
        <f>IF(Allocation!D146="","",Allocation!K146)</f>
        <v/>
      </c>
      <c r="J146" t="str">
        <f>IF($A146="","",SUMIFS(Socle!$K$1:$K$1000,Socle!$C$1:$C$1000,$B146,Socle!$D$1:$D$1000,$D146,Socle!$E$1:$E$1000,$E146,Socle!$F$1:$F$1000,$F146,Socle!$G$1:$G$1000,$A146))</f>
        <v/>
      </c>
      <c r="K146" t="str">
        <f t="shared" si="36"/>
        <v/>
      </c>
      <c r="L146" t="str">
        <f>IF($A146="","",SUMIFS(Allocation!$I$1:$I$175,Allocation!$C$1:$C$175,$A146,Allocation!$D$1:$D$175,$B146))</f>
        <v/>
      </c>
      <c r="M146" t="str">
        <f>IF($A146="","",SUMIFS(Allocation!$J$1:$J$175,Allocation!$C$1:$C$175,$A146,Allocation!$D$1:$D$175,$B146))</f>
        <v/>
      </c>
      <c r="N146" t="str">
        <f>IF($A146="","",SUMIFS(Allocation!$K$1:$K$175,Allocation!$C$1:$C$175,$A146,Allocation!$D$1:$D$175,$B146))</f>
        <v/>
      </c>
      <c r="O146" t="str">
        <f t="shared" si="37"/>
        <v/>
      </c>
      <c r="P146" t="str">
        <f t="shared" si="38"/>
        <v/>
      </c>
      <c r="Q146" t="str">
        <f>IF($A146="","",SUMIFS(Allocation!$I$1:$I$175,Allocation!$C$1:$C$175,$A146,Allocation!$E$1:$E$175,$C146))</f>
        <v/>
      </c>
      <c r="R146" t="str">
        <f>IF($A146="","",SUMIFS(Allocation!$J$1:$J$175,Allocation!$C$1:$C$175,$A146,Allocation!$E$1:$E$175,$C146))</f>
        <v/>
      </c>
      <c r="S146" t="str">
        <f>IF($A146="","",SUMIFS(Allocation!$K$1:$K$175,Allocation!$C$1:$C$175,$A146,Allocation!$E$1:$E$175,$C146))</f>
        <v/>
      </c>
      <c r="T146" t="str">
        <f>IF($A146="","",SUMIFS(Allocation!$I$1:$I$175,Allocation!$C$1:$C$175,$A146))</f>
        <v/>
      </c>
      <c r="U146" t="str">
        <f>IF($A146="","",SUMIFS(Allocation!$J$1:$J$175,Allocation!$C$1:$C$175,$A146))</f>
        <v/>
      </c>
      <c r="V146" t="str">
        <f>IF($A146="","",SUMIFS(Allocation!$K$1:$K$175,Allocation!$C$1:$C$175,$A146))</f>
        <v/>
      </c>
      <c r="W146" t="str">
        <f>IF($A146="","",SUMIFS(Compta!$F$1:$F$675,Compta!$A$1:$A$675,$B146,Compta!$B$1:$B$675,"621",Compta!$C$1:$C$675,$A146))</f>
        <v/>
      </c>
      <c r="X146" t="str">
        <f>IF($A146="","",SUMIFS(Compta!$F$1:$F$675,Compta!$A$1:$A$675,$B146,Compta!$B$1:$B$675,"6411",Compta!$C$1:$C$675,$A146))</f>
        <v/>
      </c>
      <c r="Y146" t="str">
        <f>IF($A146="","",SUMIFS(Compta!$F$1:$F$675,Compta!$A$1:$A$675,$B146,Compta!$B$1:$B$675,"604",Compta!$C$1:$C$675,$A146)+SUMIFS(Compta!$F$1:$F$675,Compta!$A$1:$A$675,$B146,Compta!$B$1:$B$675,"6063",Compta!$C$1:$C$675,$A146))</f>
        <v/>
      </c>
      <c r="Z146" t="str">
        <f>IF($A146="","",SUMIFS(Compta!$F$1:$F$675,Compta!$A$1:$A$675,$B146,Compta!$B$1:$B$675,"6231",Compta!$C$1:$C$675,$A146))</f>
        <v/>
      </c>
      <c r="AA146" t="str">
        <f>IF($A146="","",SUMIFS(Compta!$F$1:$F$675,Compta!$A$1:$A$675,$B146,Compta!$B$1:$B$675,"6413",Compta!$C$1:$C$675,$A146)+SUMIFS(Compta!$F$1:$F$675,Compta!$A$1:$A$675,$B146,Compta!$B$1:$B$675,"645",Compta!$C$1:$C$675,$A146)+SUMIFS(Compta!$F$1:$F$675,Compta!$A$1:$A$675,$B146,Compta!$B$1:$B$675,"613",Compta!$C$1:$C$675,$A146)+SUMIFS(Compta!$F$1:$F$675,Compta!$A$1:$A$675,$B146,Compta!$B$1:$B$675,"615",Compta!$C$1:$C$675,$A146)+SUMIFS(Compta!$F$1:$F$675,Compta!$A$1:$A$675,$B146,Compta!$B$1:$B$675,"616",Compta!$C$1:$C$675,$A146)+SUMIFS(Compta!$F$1:$F$675,Compta!$A$1:$A$675,$B146,Compta!$B$1:$B$675,"625",Compta!$C$1:$C$675,$A146)+SUMIFS(Compta!$F$1:$F$675,Compta!$A$1:$A$675,$B146,Compta!$B$1:$B$675,"63511",Compta!$C$1:$C$675,$A146))</f>
        <v/>
      </c>
      <c r="AB146" t="str">
        <f>IF($A146="","",SUMIFS(Compta!$F$1:$F$675,Compta!$A$1:$A$675,"GRP",Compta!$B$1:$B$675,"6414",Compta!$C$1:$C$675,$A146)+SUMIFS(Compta!$F$1:$F$675,Compta!$A$1:$A$675,"GRP",Compta!$B$1:$B$675,"6226",Compta!$C$1:$C$675,$A146)+SUMIFS(Compta!$F$1:$F$675,Compta!$A$1:$A$675,"GRP",Compta!$B$1:$B$675,"626",Compta!$C$1:$C$675,$A146)+SUMIFS(Compta!$F$1:$F$675,Compta!$A$1:$A$675,"GRP",Compta!$B$1:$B$675,"6281",Compta!$C$1:$C$675,$A146)+SUMIFS(Compta!$F$1:$F$675,Compta!$A$1:$A$675,"GRP",Compta!$B$1:$B$675,"6331",Compta!$C$1:$C$675,$A146)+SUMIFS(Compta!$F$1:$F$675,Compta!$A$1:$A$675,"GRP",Compta!$B$1:$B$675,"6333",Compta!$C$1:$C$675,$A146))</f>
        <v/>
      </c>
      <c r="AC146" t="str">
        <f t="shared" si="39"/>
        <v/>
      </c>
      <c r="AD146" t="str">
        <f t="shared" si="40"/>
        <v/>
      </c>
      <c r="AE146" t="str">
        <f t="shared" si="41"/>
        <v/>
      </c>
      <c r="AF146" t="str">
        <f t="shared" si="42"/>
        <v/>
      </c>
      <c r="AG146" t="str">
        <f t="shared" si="43"/>
        <v/>
      </c>
      <c r="AH146" t="str">
        <f t="shared" si="44"/>
        <v/>
      </c>
      <c r="AI146" t="str">
        <f t="shared" si="45"/>
        <v/>
      </c>
      <c r="AJ146" t="str">
        <f t="shared" si="46"/>
        <v/>
      </c>
      <c r="AK146" t="str">
        <f t="shared" si="47"/>
        <v/>
      </c>
      <c r="AL146" t="str">
        <f t="shared" si="48"/>
        <v/>
      </c>
      <c r="AM146" t="str">
        <f t="shared" si="49"/>
        <v/>
      </c>
      <c r="AN146" t="str">
        <f t="shared" si="50"/>
        <v/>
      </c>
      <c r="AO146" t="str">
        <f>IF($A146="","",SUMIFS(Compta!$F$1:$F$675,Compta!$A$1:$A$675,"GRP",Compta!$B$1:$B$675,"6236",Compta!$C$1:$C$675,$A146))</f>
        <v/>
      </c>
      <c r="AP146" t="str">
        <f t="shared" si="51"/>
        <v/>
      </c>
      <c r="AQ146" t="str">
        <f t="shared" si="52"/>
        <v/>
      </c>
      <c r="AR146" t="str">
        <f t="shared" si="53"/>
        <v/>
      </c>
    </row>
    <row r="147" spans="1:44" x14ac:dyDescent="0.45">
      <c r="A147" t="str">
        <f>IF(Allocation!C147="","",Allocation!C147)</f>
        <v/>
      </c>
      <c r="B147" t="str">
        <f>IF(Allocation!D147="","",Allocation!D147)</f>
        <v/>
      </c>
      <c r="C147" t="str">
        <f>IF(Allocation!E147="","",Allocation!E147)</f>
        <v/>
      </c>
      <c r="D147" t="str">
        <f>IF(Allocation!F147="","",Allocation!F147)</f>
        <v/>
      </c>
      <c r="E147" t="str">
        <f>IF(Allocation!G147="","",Allocation!G147)</f>
        <v/>
      </c>
      <c r="F147" t="str">
        <f>IF(Allocation!H147="","",Allocation!H147)</f>
        <v/>
      </c>
      <c r="G147" t="str">
        <f>IF(Allocation!D147="","",Allocation!I147)</f>
        <v/>
      </c>
      <c r="H147" t="str">
        <f>IF(Allocation!D147="","",Allocation!J147)</f>
        <v/>
      </c>
      <c r="I147" t="str">
        <f>IF(Allocation!D147="","",Allocation!K147)</f>
        <v/>
      </c>
      <c r="J147" t="str">
        <f>IF($A147="","",SUMIFS(Socle!$K$1:$K$1000,Socle!$C$1:$C$1000,$B147,Socle!$D$1:$D$1000,$D147,Socle!$E$1:$E$1000,$E147,Socle!$F$1:$F$1000,$F147,Socle!$G$1:$G$1000,$A147))</f>
        <v/>
      </c>
      <c r="K147" t="str">
        <f t="shared" si="36"/>
        <v/>
      </c>
      <c r="L147" t="str">
        <f>IF($A147="","",SUMIFS(Allocation!$I$1:$I$175,Allocation!$C$1:$C$175,$A147,Allocation!$D$1:$D$175,$B147))</f>
        <v/>
      </c>
      <c r="M147" t="str">
        <f>IF($A147="","",SUMIFS(Allocation!$J$1:$J$175,Allocation!$C$1:$C$175,$A147,Allocation!$D$1:$D$175,$B147))</f>
        <v/>
      </c>
      <c r="N147" t="str">
        <f>IF($A147="","",SUMIFS(Allocation!$K$1:$K$175,Allocation!$C$1:$C$175,$A147,Allocation!$D$1:$D$175,$B147))</f>
        <v/>
      </c>
      <c r="O147" t="str">
        <f t="shared" si="37"/>
        <v/>
      </c>
      <c r="P147" t="str">
        <f t="shared" si="38"/>
        <v/>
      </c>
      <c r="Q147" t="str">
        <f>IF($A147="","",SUMIFS(Allocation!$I$1:$I$175,Allocation!$C$1:$C$175,$A147,Allocation!$E$1:$E$175,$C147))</f>
        <v/>
      </c>
      <c r="R147" t="str">
        <f>IF($A147="","",SUMIFS(Allocation!$J$1:$J$175,Allocation!$C$1:$C$175,$A147,Allocation!$E$1:$E$175,$C147))</f>
        <v/>
      </c>
      <c r="S147" t="str">
        <f>IF($A147="","",SUMIFS(Allocation!$K$1:$K$175,Allocation!$C$1:$C$175,$A147,Allocation!$E$1:$E$175,$C147))</f>
        <v/>
      </c>
      <c r="T147" t="str">
        <f>IF($A147="","",SUMIFS(Allocation!$I$1:$I$175,Allocation!$C$1:$C$175,$A147))</f>
        <v/>
      </c>
      <c r="U147" t="str">
        <f>IF($A147="","",SUMIFS(Allocation!$J$1:$J$175,Allocation!$C$1:$C$175,$A147))</f>
        <v/>
      </c>
      <c r="V147" t="str">
        <f>IF($A147="","",SUMIFS(Allocation!$K$1:$K$175,Allocation!$C$1:$C$175,$A147))</f>
        <v/>
      </c>
      <c r="W147" t="str">
        <f>IF($A147="","",SUMIFS(Compta!$F$1:$F$675,Compta!$A$1:$A$675,$B147,Compta!$B$1:$B$675,"621",Compta!$C$1:$C$675,$A147))</f>
        <v/>
      </c>
      <c r="X147" t="str">
        <f>IF($A147="","",SUMIFS(Compta!$F$1:$F$675,Compta!$A$1:$A$675,$B147,Compta!$B$1:$B$675,"6411",Compta!$C$1:$C$675,$A147))</f>
        <v/>
      </c>
      <c r="Y147" t="str">
        <f>IF($A147="","",SUMIFS(Compta!$F$1:$F$675,Compta!$A$1:$A$675,$B147,Compta!$B$1:$B$675,"604",Compta!$C$1:$C$675,$A147)+SUMIFS(Compta!$F$1:$F$675,Compta!$A$1:$A$675,$B147,Compta!$B$1:$B$675,"6063",Compta!$C$1:$C$675,$A147))</f>
        <v/>
      </c>
      <c r="Z147" t="str">
        <f>IF($A147="","",SUMIFS(Compta!$F$1:$F$675,Compta!$A$1:$A$675,$B147,Compta!$B$1:$B$675,"6231",Compta!$C$1:$C$675,$A147))</f>
        <v/>
      </c>
      <c r="AA147" t="str">
        <f>IF($A147="","",SUMIFS(Compta!$F$1:$F$675,Compta!$A$1:$A$675,$B147,Compta!$B$1:$B$675,"6413",Compta!$C$1:$C$675,$A147)+SUMIFS(Compta!$F$1:$F$675,Compta!$A$1:$A$675,$B147,Compta!$B$1:$B$675,"645",Compta!$C$1:$C$675,$A147)+SUMIFS(Compta!$F$1:$F$675,Compta!$A$1:$A$675,$B147,Compta!$B$1:$B$675,"613",Compta!$C$1:$C$675,$A147)+SUMIFS(Compta!$F$1:$F$675,Compta!$A$1:$A$675,$B147,Compta!$B$1:$B$675,"615",Compta!$C$1:$C$675,$A147)+SUMIFS(Compta!$F$1:$F$675,Compta!$A$1:$A$675,$B147,Compta!$B$1:$B$675,"616",Compta!$C$1:$C$675,$A147)+SUMIFS(Compta!$F$1:$F$675,Compta!$A$1:$A$675,$B147,Compta!$B$1:$B$675,"625",Compta!$C$1:$C$675,$A147)+SUMIFS(Compta!$F$1:$F$675,Compta!$A$1:$A$675,$B147,Compta!$B$1:$B$675,"63511",Compta!$C$1:$C$675,$A147))</f>
        <v/>
      </c>
      <c r="AB147" t="str">
        <f>IF($A147="","",SUMIFS(Compta!$F$1:$F$675,Compta!$A$1:$A$675,"GRP",Compta!$B$1:$B$675,"6414",Compta!$C$1:$C$675,$A147)+SUMIFS(Compta!$F$1:$F$675,Compta!$A$1:$A$675,"GRP",Compta!$B$1:$B$675,"6226",Compta!$C$1:$C$675,$A147)+SUMIFS(Compta!$F$1:$F$675,Compta!$A$1:$A$675,"GRP",Compta!$B$1:$B$675,"626",Compta!$C$1:$C$675,$A147)+SUMIFS(Compta!$F$1:$F$675,Compta!$A$1:$A$675,"GRP",Compta!$B$1:$B$675,"6281",Compta!$C$1:$C$675,$A147)+SUMIFS(Compta!$F$1:$F$675,Compta!$A$1:$A$675,"GRP",Compta!$B$1:$B$675,"6331",Compta!$C$1:$C$675,$A147)+SUMIFS(Compta!$F$1:$F$675,Compta!$A$1:$A$675,"GRP",Compta!$B$1:$B$675,"6333",Compta!$C$1:$C$675,$A147))</f>
        <v/>
      </c>
      <c r="AC147" t="str">
        <f t="shared" si="39"/>
        <v/>
      </c>
      <c r="AD147" t="str">
        <f t="shared" si="40"/>
        <v/>
      </c>
      <c r="AE147" t="str">
        <f t="shared" si="41"/>
        <v/>
      </c>
      <c r="AF147" t="str">
        <f t="shared" si="42"/>
        <v/>
      </c>
      <c r="AG147" t="str">
        <f t="shared" si="43"/>
        <v/>
      </c>
      <c r="AH147" t="str">
        <f t="shared" si="44"/>
        <v/>
      </c>
      <c r="AI147" t="str">
        <f t="shared" si="45"/>
        <v/>
      </c>
      <c r="AJ147" t="str">
        <f t="shared" si="46"/>
        <v/>
      </c>
      <c r="AK147" t="str">
        <f t="shared" si="47"/>
        <v/>
      </c>
      <c r="AL147" t="str">
        <f t="shared" si="48"/>
        <v/>
      </c>
      <c r="AM147" t="str">
        <f t="shared" si="49"/>
        <v/>
      </c>
      <c r="AN147" t="str">
        <f t="shared" si="50"/>
        <v/>
      </c>
      <c r="AO147" t="str">
        <f>IF($A147="","",SUMIFS(Compta!$F$1:$F$675,Compta!$A$1:$A$675,"GRP",Compta!$B$1:$B$675,"6236",Compta!$C$1:$C$675,$A147))</f>
        <v/>
      </c>
      <c r="AP147" t="str">
        <f t="shared" si="51"/>
        <v/>
      </c>
      <c r="AQ147" t="str">
        <f t="shared" si="52"/>
        <v/>
      </c>
      <c r="AR147" t="str">
        <f t="shared" si="53"/>
        <v/>
      </c>
    </row>
    <row r="148" spans="1:44" x14ac:dyDescent="0.45">
      <c r="A148" t="str">
        <f>IF(Allocation!C148="","",Allocation!C148)</f>
        <v/>
      </c>
      <c r="B148" t="str">
        <f>IF(Allocation!D148="","",Allocation!D148)</f>
        <v/>
      </c>
      <c r="C148" t="str">
        <f>IF(Allocation!E148="","",Allocation!E148)</f>
        <v/>
      </c>
      <c r="D148" t="str">
        <f>IF(Allocation!F148="","",Allocation!F148)</f>
        <v/>
      </c>
      <c r="E148" t="str">
        <f>IF(Allocation!G148="","",Allocation!G148)</f>
        <v/>
      </c>
      <c r="F148" t="str">
        <f>IF(Allocation!H148="","",Allocation!H148)</f>
        <v/>
      </c>
      <c r="G148" t="str">
        <f>IF(Allocation!D148="","",Allocation!I148)</f>
        <v/>
      </c>
      <c r="H148" t="str">
        <f>IF(Allocation!D148="","",Allocation!J148)</f>
        <v/>
      </c>
      <c r="I148" t="str">
        <f>IF(Allocation!D148="","",Allocation!K148)</f>
        <v/>
      </c>
      <c r="J148" t="str">
        <f>IF($A148="","",SUMIFS(Socle!$K$1:$K$1000,Socle!$C$1:$C$1000,$B148,Socle!$D$1:$D$1000,$D148,Socle!$E$1:$E$1000,$E148,Socle!$F$1:$F$1000,$F148,Socle!$G$1:$G$1000,$A148))</f>
        <v/>
      </c>
      <c r="K148" t="str">
        <f t="shared" si="36"/>
        <v/>
      </c>
      <c r="L148" t="str">
        <f>IF($A148="","",SUMIFS(Allocation!$I$1:$I$175,Allocation!$C$1:$C$175,$A148,Allocation!$D$1:$D$175,$B148))</f>
        <v/>
      </c>
      <c r="M148" t="str">
        <f>IF($A148="","",SUMIFS(Allocation!$J$1:$J$175,Allocation!$C$1:$C$175,$A148,Allocation!$D$1:$D$175,$B148))</f>
        <v/>
      </c>
      <c r="N148" t="str">
        <f>IF($A148="","",SUMIFS(Allocation!$K$1:$K$175,Allocation!$C$1:$C$175,$A148,Allocation!$D$1:$D$175,$B148))</f>
        <v/>
      </c>
      <c r="O148" t="str">
        <f t="shared" si="37"/>
        <v/>
      </c>
      <c r="P148" t="str">
        <f t="shared" si="38"/>
        <v/>
      </c>
      <c r="Q148" t="str">
        <f>IF($A148="","",SUMIFS(Allocation!$I$1:$I$175,Allocation!$C$1:$C$175,$A148,Allocation!$E$1:$E$175,$C148))</f>
        <v/>
      </c>
      <c r="R148" t="str">
        <f>IF($A148="","",SUMIFS(Allocation!$J$1:$J$175,Allocation!$C$1:$C$175,$A148,Allocation!$E$1:$E$175,$C148))</f>
        <v/>
      </c>
      <c r="S148" t="str">
        <f>IF($A148="","",SUMIFS(Allocation!$K$1:$K$175,Allocation!$C$1:$C$175,$A148,Allocation!$E$1:$E$175,$C148))</f>
        <v/>
      </c>
      <c r="T148" t="str">
        <f>IF($A148="","",SUMIFS(Allocation!$I$1:$I$175,Allocation!$C$1:$C$175,$A148))</f>
        <v/>
      </c>
      <c r="U148" t="str">
        <f>IF($A148="","",SUMIFS(Allocation!$J$1:$J$175,Allocation!$C$1:$C$175,$A148))</f>
        <v/>
      </c>
      <c r="V148" t="str">
        <f>IF($A148="","",SUMIFS(Allocation!$K$1:$K$175,Allocation!$C$1:$C$175,$A148))</f>
        <v/>
      </c>
      <c r="W148" t="str">
        <f>IF($A148="","",SUMIFS(Compta!$F$1:$F$675,Compta!$A$1:$A$675,$B148,Compta!$B$1:$B$675,"621",Compta!$C$1:$C$675,$A148))</f>
        <v/>
      </c>
      <c r="X148" t="str">
        <f>IF($A148="","",SUMIFS(Compta!$F$1:$F$675,Compta!$A$1:$A$675,$B148,Compta!$B$1:$B$675,"6411",Compta!$C$1:$C$675,$A148))</f>
        <v/>
      </c>
      <c r="Y148" t="str">
        <f>IF($A148="","",SUMIFS(Compta!$F$1:$F$675,Compta!$A$1:$A$675,$B148,Compta!$B$1:$B$675,"604",Compta!$C$1:$C$675,$A148)+SUMIFS(Compta!$F$1:$F$675,Compta!$A$1:$A$675,$B148,Compta!$B$1:$B$675,"6063",Compta!$C$1:$C$675,$A148))</f>
        <v/>
      </c>
      <c r="Z148" t="str">
        <f>IF($A148="","",SUMIFS(Compta!$F$1:$F$675,Compta!$A$1:$A$675,$B148,Compta!$B$1:$B$675,"6231",Compta!$C$1:$C$675,$A148))</f>
        <v/>
      </c>
      <c r="AA148" t="str">
        <f>IF($A148="","",SUMIFS(Compta!$F$1:$F$675,Compta!$A$1:$A$675,$B148,Compta!$B$1:$B$675,"6413",Compta!$C$1:$C$675,$A148)+SUMIFS(Compta!$F$1:$F$675,Compta!$A$1:$A$675,$B148,Compta!$B$1:$B$675,"645",Compta!$C$1:$C$675,$A148)+SUMIFS(Compta!$F$1:$F$675,Compta!$A$1:$A$675,$B148,Compta!$B$1:$B$675,"613",Compta!$C$1:$C$675,$A148)+SUMIFS(Compta!$F$1:$F$675,Compta!$A$1:$A$675,$B148,Compta!$B$1:$B$675,"615",Compta!$C$1:$C$675,$A148)+SUMIFS(Compta!$F$1:$F$675,Compta!$A$1:$A$675,$B148,Compta!$B$1:$B$675,"616",Compta!$C$1:$C$675,$A148)+SUMIFS(Compta!$F$1:$F$675,Compta!$A$1:$A$675,$B148,Compta!$B$1:$B$675,"625",Compta!$C$1:$C$675,$A148)+SUMIFS(Compta!$F$1:$F$675,Compta!$A$1:$A$675,$B148,Compta!$B$1:$B$675,"63511",Compta!$C$1:$C$675,$A148))</f>
        <v/>
      </c>
      <c r="AB148" t="str">
        <f>IF($A148="","",SUMIFS(Compta!$F$1:$F$675,Compta!$A$1:$A$675,"GRP",Compta!$B$1:$B$675,"6414",Compta!$C$1:$C$675,$A148)+SUMIFS(Compta!$F$1:$F$675,Compta!$A$1:$A$675,"GRP",Compta!$B$1:$B$675,"6226",Compta!$C$1:$C$675,$A148)+SUMIFS(Compta!$F$1:$F$675,Compta!$A$1:$A$675,"GRP",Compta!$B$1:$B$675,"626",Compta!$C$1:$C$675,$A148)+SUMIFS(Compta!$F$1:$F$675,Compta!$A$1:$A$675,"GRP",Compta!$B$1:$B$675,"6281",Compta!$C$1:$C$675,$A148)+SUMIFS(Compta!$F$1:$F$675,Compta!$A$1:$A$675,"GRP",Compta!$B$1:$B$675,"6331",Compta!$C$1:$C$675,$A148)+SUMIFS(Compta!$F$1:$F$675,Compta!$A$1:$A$675,"GRP",Compta!$B$1:$B$675,"6333",Compta!$C$1:$C$675,$A148))</f>
        <v/>
      </c>
      <c r="AC148" t="str">
        <f t="shared" si="39"/>
        <v/>
      </c>
      <c r="AD148" t="str">
        <f t="shared" si="40"/>
        <v/>
      </c>
      <c r="AE148" t="str">
        <f t="shared" si="41"/>
        <v/>
      </c>
      <c r="AF148" t="str">
        <f t="shared" si="42"/>
        <v/>
      </c>
      <c r="AG148" t="str">
        <f t="shared" si="43"/>
        <v/>
      </c>
      <c r="AH148" t="str">
        <f t="shared" si="44"/>
        <v/>
      </c>
      <c r="AI148" t="str">
        <f t="shared" si="45"/>
        <v/>
      </c>
      <c r="AJ148" t="str">
        <f t="shared" si="46"/>
        <v/>
      </c>
      <c r="AK148" t="str">
        <f t="shared" si="47"/>
        <v/>
      </c>
      <c r="AL148" t="str">
        <f t="shared" si="48"/>
        <v/>
      </c>
      <c r="AM148" t="str">
        <f t="shared" si="49"/>
        <v/>
      </c>
      <c r="AN148" t="str">
        <f t="shared" si="50"/>
        <v/>
      </c>
      <c r="AO148" t="str">
        <f>IF($A148="","",SUMIFS(Compta!$F$1:$F$675,Compta!$A$1:$A$675,"GRP",Compta!$B$1:$B$675,"6236",Compta!$C$1:$C$675,$A148))</f>
        <v/>
      </c>
      <c r="AP148" t="str">
        <f t="shared" si="51"/>
        <v/>
      </c>
      <c r="AQ148" t="str">
        <f t="shared" si="52"/>
        <v/>
      </c>
      <c r="AR148" t="str">
        <f t="shared" si="53"/>
        <v/>
      </c>
    </row>
    <row r="149" spans="1:44" x14ac:dyDescent="0.45">
      <c r="A149" t="str">
        <f>IF(Allocation!C149="","",Allocation!C149)</f>
        <v/>
      </c>
      <c r="B149" t="str">
        <f>IF(Allocation!D149="","",Allocation!D149)</f>
        <v/>
      </c>
      <c r="C149" t="str">
        <f>IF(Allocation!E149="","",Allocation!E149)</f>
        <v/>
      </c>
      <c r="D149" t="str">
        <f>IF(Allocation!F149="","",Allocation!F149)</f>
        <v/>
      </c>
      <c r="E149" t="str">
        <f>IF(Allocation!G149="","",Allocation!G149)</f>
        <v/>
      </c>
      <c r="F149" t="str">
        <f>IF(Allocation!H149="","",Allocation!H149)</f>
        <v/>
      </c>
      <c r="G149" t="str">
        <f>IF(Allocation!D149="","",Allocation!I149)</f>
        <v/>
      </c>
      <c r="H149" t="str">
        <f>IF(Allocation!D149="","",Allocation!J149)</f>
        <v/>
      </c>
      <c r="I149" t="str">
        <f>IF(Allocation!D149="","",Allocation!K149)</f>
        <v/>
      </c>
      <c r="J149" t="str">
        <f>IF($A149="","",SUMIFS(Socle!$K$1:$K$1000,Socle!$C$1:$C$1000,$B149,Socle!$D$1:$D$1000,$D149,Socle!$E$1:$E$1000,$E149,Socle!$F$1:$F$1000,$F149,Socle!$G$1:$G$1000,$A149))</f>
        <v/>
      </c>
      <c r="K149" t="str">
        <f t="shared" si="36"/>
        <v/>
      </c>
      <c r="L149" t="str">
        <f>IF($A149="","",SUMIFS(Allocation!$I$1:$I$175,Allocation!$C$1:$C$175,$A149,Allocation!$D$1:$D$175,$B149))</f>
        <v/>
      </c>
      <c r="M149" t="str">
        <f>IF($A149="","",SUMIFS(Allocation!$J$1:$J$175,Allocation!$C$1:$C$175,$A149,Allocation!$D$1:$D$175,$B149))</f>
        <v/>
      </c>
      <c r="N149" t="str">
        <f>IF($A149="","",SUMIFS(Allocation!$K$1:$K$175,Allocation!$C$1:$C$175,$A149,Allocation!$D$1:$D$175,$B149))</f>
        <v/>
      </c>
      <c r="O149" t="str">
        <f t="shared" si="37"/>
        <v/>
      </c>
      <c r="P149" t="str">
        <f t="shared" si="38"/>
        <v/>
      </c>
      <c r="Q149" t="str">
        <f>IF($A149="","",SUMIFS(Allocation!$I$1:$I$175,Allocation!$C$1:$C$175,$A149,Allocation!$E$1:$E$175,$C149))</f>
        <v/>
      </c>
      <c r="R149" t="str">
        <f>IF($A149="","",SUMIFS(Allocation!$J$1:$J$175,Allocation!$C$1:$C$175,$A149,Allocation!$E$1:$E$175,$C149))</f>
        <v/>
      </c>
      <c r="S149" t="str">
        <f>IF($A149="","",SUMIFS(Allocation!$K$1:$K$175,Allocation!$C$1:$C$175,$A149,Allocation!$E$1:$E$175,$C149))</f>
        <v/>
      </c>
      <c r="T149" t="str">
        <f>IF($A149="","",SUMIFS(Allocation!$I$1:$I$175,Allocation!$C$1:$C$175,$A149))</f>
        <v/>
      </c>
      <c r="U149" t="str">
        <f>IF($A149="","",SUMIFS(Allocation!$J$1:$J$175,Allocation!$C$1:$C$175,$A149))</f>
        <v/>
      </c>
      <c r="V149" t="str">
        <f>IF($A149="","",SUMIFS(Allocation!$K$1:$K$175,Allocation!$C$1:$C$175,$A149))</f>
        <v/>
      </c>
      <c r="W149" t="str">
        <f>IF($A149="","",SUMIFS(Compta!$F$1:$F$675,Compta!$A$1:$A$675,$B149,Compta!$B$1:$B$675,"621",Compta!$C$1:$C$675,$A149))</f>
        <v/>
      </c>
      <c r="X149" t="str">
        <f>IF($A149="","",SUMIFS(Compta!$F$1:$F$675,Compta!$A$1:$A$675,$B149,Compta!$B$1:$B$675,"6411",Compta!$C$1:$C$675,$A149))</f>
        <v/>
      </c>
      <c r="Y149" t="str">
        <f>IF($A149="","",SUMIFS(Compta!$F$1:$F$675,Compta!$A$1:$A$675,$B149,Compta!$B$1:$B$675,"604",Compta!$C$1:$C$675,$A149)+SUMIFS(Compta!$F$1:$F$675,Compta!$A$1:$A$675,$B149,Compta!$B$1:$B$675,"6063",Compta!$C$1:$C$675,$A149))</f>
        <v/>
      </c>
      <c r="Z149" t="str">
        <f>IF($A149="","",SUMIFS(Compta!$F$1:$F$675,Compta!$A$1:$A$675,$B149,Compta!$B$1:$B$675,"6231",Compta!$C$1:$C$675,$A149))</f>
        <v/>
      </c>
      <c r="AA149" t="str">
        <f>IF($A149="","",SUMIFS(Compta!$F$1:$F$675,Compta!$A$1:$A$675,$B149,Compta!$B$1:$B$675,"6413",Compta!$C$1:$C$675,$A149)+SUMIFS(Compta!$F$1:$F$675,Compta!$A$1:$A$675,$B149,Compta!$B$1:$B$675,"645",Compta!$C$1:$C$675,$A149)+SUMIFS(Compta!$F$1:$F$675,Compta!$A$1:$A$675,$B149,Compta!$B$1:$B$675,"613",Compta!$C$1:$C$675,$A149)+SUMIFS(Compta!$F$1:$F$675,Compta!$A$1:$A$675,$B149,Compta!$B$1:$B$675,"615",Compta!$C$1:$C$675,$A149)+SUMIFS(Compta!$F$1:$F$675,Compta!$A$1:$A$675,$B149,Compta!$B$1:$B$675,"616",Compta!$C$1:$C$675,$A149)+SUMIFS(Compta!$F$1:$F$675,Compta!$A$1:$A$675,$B149,Compta!$B$1:$B$675,"625",Compta!$C$1:$C$675,$A149)+SUMIFS(Compta!$F$1:$F$675,Compta!$A$1:$A$675,$B149,Compta!$B$1:$B$675,"63511",Compta!$C$1:$C$675,$A149))</f>
        <v/>
      </c>
      <c r="AB149" t="str">
        <f>IF($A149="","",SUMIFS(Compta!$F$1:$F$675,Compta!$A$1:$A$675,"GRP",Compta!$B$1:$B$675,"6414",Compta!$C$1:$C$675,$A149)+SUMIFS(Compta!$F$1:$F$675,Compta!$A$1:$A$675,"GRP",Compta!$B$1:$B$675,"6226",Compta!$C$1:$C$675,$A149)+SUMIFS(Compta!$F$1:$F$675,Compta!$A$1:$A$675,"GRP",Compta!$B$1:$B$675,"626",Compta!$C$1:$C$675,$A149)+SUMIFS(Compta!$F$1:$F$675,Compta!$A$1:$A$675,"GRP",Compta!$B$1:$B$675,"6281",Compta!$C$1:$C$675,$A149)+SUMIFS(Compta!$F$1:$F$675,Compta!$A$1:$A$675,"GRP",Compta!$B$1:$B$675,"6331",Compta!$C$1:$C$675,$A149)+SUMIFS(Compta!$F$1:$F$675,Compta!$A$1:$A$675,"GRP",Compta!$B$1:$B$675,"6333",Compta!$C$1:$C$675,$A149))</f>
        <v/>
      </c>
      <c r="AC149" t="str">
        <f t="shared" si="39"/>
        <v/>
      </c>
      <c r="AD149" t="str">
        <f t="shared" si="40"/>
        <v/>
      </c>
      <c r="AE149" t="str">
        <f t="shared" si="41"/>
        <v/>
      </c>
      <c r="AF149" t="str">
        <f t="shared" si="42"/>
        <v/>
      </c>
      <c r="AG149" t="str">
        <f t="shared" si="43"/>
        <v/>
      </c>
      <c r="AH149" t="str">
        <f t="shared" si="44"/>
        <v/>
      </c>
      <c r="AI149" t="str">
        <f t="shared" si="45"/>
        <v/>
      </c>
      <c r="AJ149" t="str">
        <f t="shared" si="46"/>
        <v/>
      </c>
      <c r="AK149" t="str">
        <f t="shared" si="47"/>
        <v/>
      </c>
      <c r="AL149" t="str">
        <f t="shared" si="48"/>
        <v/>
      </c>
      <c r="AM149" t="str">
        <f t="shared" si="49"/>
        <v/>
      </c>
      <c r="AN149" t="str">
        <f t="shared" si="50"/>
        <v/>
      </c>
      <c r="AO149" t="str">
        <f>IF($A149="","",SUMIFS(Compta!$F$1:$F$675,Compta!$A$1:$A$675,"GRP",Compta!$B$1:$B$675,"6236",Compta!$C$1:$C$675,$A149))</f>
        <v/>
      </c>
      <c r="AP149" t="str">
        <f t="shared" si="51"/>
        <v/>
      </c>
      <c r="AQ149" t="str">
        <f t="shared" si="52"/>
        <v/>
      </c>
      <c r="AR149" t="str">
        <f t="shared" si="53"/>
        <v/>
      </c>
    </row>
    <row r="150" spans="1:44" x14ac:dyDescent="0.45">
      <c r="A150" t="str">
        <f>IF(Allocation!C150="","",Allocation!C150)</f>
        <v/>
      </c>
      <c r="B150" t="str">
        <f>IF(Allocation!D150="","",Allocation!D150)</f>
        <v/>
      </c>
      <c r="C150" t="str">
        <f>IF(Allocation!E150="","",Allocation!E150)</f>
        <v/>
      </c>
      <c r="D150" t="str">
        <f>IF(Allocation!F150="","",Allocation!F150)</f>
        <v/>
      </c>
      <c r="E150" t="str">
        <f>IF(Allocation!G150="","",Allocation!G150)</f>
        <v/>
      </c>
      <c r="F150" t="str">
        <f>IF(Allocation!H150="","",Allocation!H150)</f>
        <v/>
      </c>
      <c r="G150" t="str">
        <f>IF(Allocation!D150="","",Allocation!I150)</f>
        <v/>
      </c>
      <c r="H150" t="str">
        <f>IF(Allocation!D150="","",Allocation!J150)</f>
        <v/>
      </c>
      <c r="I150" t="str">
        <f>IF(Allocation!D150="","",Allocation!K150)</f>
        <v/>
      </c>
      <c r="J150" t="str">
        <f>IF($A150="","",SUMIFS(Socle!$K$1:$K$1000,Socle!$C$1:$C$1000,$B150,Socle!$D$1:$D$1000,$D150,Socle!$E$1:$E$1000,$E150,Socle!$F$1:$F$1000,$F150,Socle!$G$1:$G$1000,$A150))</f>
        <v/>
      </c>
      <c r="K150" t="str">
        <f t="shared" si="36"/>
        <v/>
      </c>
      <c r="L150" t="str">
        <f>IF($A150="","",SUMIFS(Allocation!$I$1:$I$175,Allocation!$C$1:$C$175,$A150,Allocation!$D$1:$D$175,$B150))</f>
        <v/>
      </c>
      <c r="M150" t="str">
        <f>IF($A150="","",SUMIFS(Allocation!$J$1:$J$175,Allocation!$C$1:$C$175,$A150,Allocation!$D$1:$D$175,$B150))</f>
        <v/>
      </c>
      <c r="N150" t="str">
        <f>IF($A150="","",SUMIFS(Allocation!$K$1:$K$175,Allocation!$C$1:$C$175,$A150,Allocation!$D$1:$D$175,$B150))</f>
        <v/>
      </c>
      <c r="O150" t="str">
        <f t="shared" si="37"/>
        <v/>
      </c>
      <c r="P150" t="str">
        <f t="shared" si="38"/>
        <v/>
      </c>
      <c r="Q150" t="str">
        <f>IF($A150="","",SUMIFS(Allocation!$I$1:$I$175,Allocation!$C$1:$C$175,$A150,Allocation!$E$1:$E$175,$C150))</f>
        <v/>
      </c>
      <c r="R150" t="str">
        <f>IF($A150="","",SUMIFS(Allocation!$J$1:$J$175,Allocation!$C$1:$C$175,$A150,Allocation!$E$1:$E$175,$C150))</f>
        <v/>
      </c>
      <c r="S150" t="str">
        <f>IF($A150="","",SUMIFS(Allocation!$K$1:$K$175,Allocation!$C$1:$C$175,$A150,Allocation!$E$1:$E$175,$C150))</f>
        <v/>
      </c>
      <c r="T150" t="str">
        <f>IF($A150="","",SUMIFS(Allocation!$I$1:$I$175,Allocation!$C$1:$C$175,$A150))</f>
        <v/>
      </c>
      <c r="U150" t="str">
        <f>IF($A150="","",SUMIFS(Allocation!$J$1:$J$175,Allocation!$C$1:$C$175,$A150))</f>
        <v/>
      </c>
      <c r="V150" t="str">
        <f>IF($A150="","",SUMIFS(Allocation!$K$1:$K$175,Allocation!$C$1:$C$175,$A150))</f>
        <v/>
      </c>
      <c r="W150" t="str">
        <f>IF($A150="","",SUMIFS(Compta!$F$1:$F$675,Compta!$A$1:$A$675,$B150,Compta!$B$1:$B$675,"621",Compta!$C$1:$C$675,$A150))</f>
        <v/>
      </c>
      <c r="X150" t="str">
        <f>IF($A150="","",SUMIFS(Compta!$F$1:$F$675,Compta!$A$1:$A$675,$B150,Compta!$B$1:$B$675,"6411",Compta!$C$1:$C$675,$A150))</f>
        <v/>
      </c>
      <c r="Y150" t="str">
        <f>IF($A150="","",SUMIFS(Compta!$F$1:$F$675,Compta!$A$1:$A$675,$B150,Compta!$B$1:$B$675,"604",Compta!$C$1:$C$675,$A150)+SUMIFS(Compta!$F$1:$F$675,Compta!$A$1:$A$675,$B150,Compta!$B$1:$B$675,"6063",Compta!$C$1:$C$675,$A150))</f>
        <v/>
      </c>
      <c r="Z150" t="str">
        <f>IF($A150="","",SUMIFS(Compta!$F$1:$F$675,Compta!$A$1:$A$675,$B150,Compta!$B$1:$B$675,"6231",Compta!$C$1:$C$675,$A150))</f>
        <v/>
      </c>
      <c r="AA150" t="str">
        <f>IF($A150="","",SUMIFS(Compta!$F$1:$F$675,Compta!$A$1:$A$675,$B150,Compta!$B$1:$B$675,"6413",Compta!$C$1:$C$675,$A150)+SUMIFS(Compta!$F$1:$F$675,Compta!$A$1:$A$675,$B150,Compta!$B$1:$B$675,"645",Compta!$C$1:$C$675,$A150)+SUMIFS(Compta!$F$1:$F$675,Compta!$A$1:$A$675,$B150,Compta!$B$1:$B$675,"613",Compta!$C$1:$C$675,$A150)+SUMIFS(Compta!$F$1:$F$675,Compta!$A$1:$A$675,$B150,Compta!$B$1:$B$675,"615",Compta!$C$1:$C$675,$A150)+SUMIFS(Compta!$F$1:$F$675,Compta!$A$1:$A$675,$B150,Compta!$B$1:$B$675,"616",Compta!$C$1:$C$675,$A150)+SUMIFS(Compta!$F$1:$F$675,Compta!$A$1:$A$675,$B150,Compta!$B$1:$B$675,"625",Compta!$C$1:$C$675,$A150)+SUMIFS(Compta!$F$1:$F$675,Compta!$A$1:$A$675,$B150,Compta!$B$1:$B$675,"63511",Compta!$C$1:$C$675,$A150))</f>
        <v/>
      </c>
      <c r="AB150" t="str">
        <f>IF($A150="","",SUMIFS(Compta!$F$1:$F$675,Compta!$A$1:$A$675,"GRP",Compta!$B$1:$B$675,"6414",Compta!$C$1:$C$675,$A150)+SUMIFS(Compta!$F$1:$F$675,Compta!$A$1:$A$675,"GRP",Compta!$B$1:$B$675,"6226",Compta!$C$1:$C$675,$A150)+SUMIFS(Compta!$F$1:$F$675,Compta!$A$1:$A$675,"GRP",Compta!$B$1:$B$675,"626",Compta!$C$1:$C$675,$A150)+SUMIFS(Compta!$F$1:$F$675,Compta!$A$1:$A$675,"GRP",Compta!$B$1:$B$675,"6281",Compta!$C$1:$C$675,$A150)+SUMIFS(Compta!$F$1:$F$675,Compta!$A$1:$A$675,"GRP",Compta!$B$1:$B$675,"6331",Compta!$C$1:$C$675,$A150)+SUMIFS(Compta!$F$1:$F$675,Compta!$A$1:$A$675,"GRP",Compta!$B$1:$B$675,"6333",Compta!$C$1:$C$675,$A150))</f>
        <v/>
      </c>
      <c r="AC150" t="str">
        <f t="shared" si="39"/>
        <v/>
      </c>
      <c r="AD150" t="str">
        <f t="shared" si="40"/>
        <v/>
      </c>
      <c r="AE150" t="str">
        <f t="shared" si="41"/>
        <v/>
      </c>
      <c r="AF150" t="str">
        <f t="shared" si="42"/>
        <v/>
      </c>
      <c r="AG150" t="str">
        <f t="shared" si="43"/>
        <v/>
      </c>
      <c r="AH150" t="str">
        <f t="shared" si="44"/>
        <v/>
      </c>
      <c r="AI150" t="str">
        <f t="shared" si="45"/>
        <v/>
      </c>
      <c r="AJ150" t="str">
        <f t="shared" si="46"/>
        <v/>
      </c>
      <c r="AK150" t="str">
        <f t="shared" si="47"/>
        <v/>
      </c>
      <c r="AL150" t="str">
        <f t="shared" si="48"/>
        <v/>
      </c>
      <c r="AM150" t="str">
        <f t="shared" si="49"/>
        <v/>
      </c>
      <c r="AN150" t="str">
        <f t="shared" si="50"/>
        <v/>
      </c>
      <c r="AO150" t="str">
        <f>IF($A150="","",SUMIFS(Compta!$F$1:$F$675,Compta!$A$1:$A$675,"GRP",Compta!$B$1:$B$675,"6236",Compta!$C$1:$C$675,$A150))</f>
        <v/>
      </c>
      <c r="AP150" t="str">
        <f t="shared" si="51"/>
        <v/>
      </c>
      <c r="AQ150" t="str">
        <f t="shared" si="52"/>
        <v/>
      </c>
      <c r="AR150" t="str">
        <f t="shared" si="53"/>
        <v/>
      </c>
    </row>
    <row r="151" spans="1:44" x14ac:dyDescent="0.45">
      <c r="A151" t="str">
        <f>IF(Allocation!C151="","",Allocation!C151)</f>
        <v/>
      </c>
      <c r="B151" t="str">
        <f>IF(Allocation!D151="","",Allocation!D151)</f>
        <v/>
      </c>
      <c r="C151" t="str">
        <f>IF(Allocation!E151="","",Allocation!E151)</f>
        <v/>
      </c>
      <c r="D151" t="str">
        <f>IF(Allocation!F151="","",Allocation!F151)</f>
        <v/>
      </c>
      <c r="E151" t="str">
        <f>IF(Allocation!G151="","",Allocation!G151)</f>
        <v/>
      </c>
      <c r="F151" t="str">
        <f>IF(Allocation!H151="","",Allocation!H151)</f>
        <v/>
      </c>
      <c r="G151" t="str">
        <f>IF(Allocation!D151="","",Allocation!I151)</f>
        <v/>
      </c>
      <c r="H151" t="str">
        <f>IF(Allocation!D151="","",Allocation!J151)</f>
        <v/>
      </c>
      <c r="I151" t="str">
        <f>IF(Allocation!D151="","",Allocation!K151)</f>
        <v/>
      </c>
      <c r="J151" t="str">
        <f>IF($A151="","",SUMIFS(Socle!$K$1:$K$1000,Socle!$C$1:$C$1000,$B151,Socle!$D$1:$D$1000,$D151,Socle!$E$1:$E$1000,$E151,Socle!$F$1:$F$1000,$F151,Socle!$G$1:$G$1000,$A151))</f>
        <v/>
      </c>
      <c r="K151" t="str">
        <f t="shared" si="36"/>
        <v/>
      </c>
      <c r="L151" t="str">
        <f>IF($A151="","",SUMIFS(Allocation!$I$1:$I$175,Allocation!$C$1:$C$175,$A151,Allocation!$D$1:$D$175,$B151))</f>
        <v/>
      </c>
      <c r="M151" t="str">
        <f>IF($A151="","",SUMIFS(Allocation!$J$1:$J$175,Allocation!$C$1:$C$175,$A151,Allocation!$D$1:$D$175,$B151))</f>
        <v/>
      </c>
      <c r="N151" t="str">
        <f>IF($A151="","",SUMIFS(Allocation!$K$1:$K$175,Allocation!$C$1:$C$175,$A151,Allocation!$D$1:$D$175,$B151))</f>
        <v/>
      </c>
      <c r="O151" t="str">
        <f t="shared" si="37"/>
        <v/>
      </c>
      <c r="P151" t="str">
        <f t="shared" si="38"/>
        <v/>
      </c>
      <c r="Q151" t="str">
        <f>IF($A151="","",SUMIFS(Allocation!$I$1:$I$175,Allocation!$C$1:$C$175,$A151,Allocation!$E$1:$E$175,$C151))</f>
        <v/>
      </c>
      <c r="R151" t="str">
        <f>IF($A151="","",SUMIFS(Allocation!$J$1:$J$175,Allocation!$C$1:$C$175,$A151,Allocation!$E$1:$E$175,$C151))</f>
        <v/>
      </c>
      <c r="S151" t="str">
        <f>IF($A151="","",SUMIFS(Allocation!$K$1:$K$175,Allocation!$C$1:$C$175,$A151,Allocation!$E$1:$E$175,$C151))</f>
        <v/>
      </c>
      <c r="T151" t="str">
        <f>IF($A151="","",SUMIFS(Allocation!$I$1:$I$175,Allocation!$C$1:$C$175,$A151))</f>
        <v/>
      </c>
      <c r="U151" t="str">
        <f>IF($A151="","",SUMIFS(Allocation!$J$1:$J$175,Allocation!$C$1:$C$175,$A151))</f>
        <v/>
      </c>
      <c r="V151" t="str">
        <f>IF($A151="","",SUMIFS(Allocation!$K$1:$K$175,Allocation!$C$1:$C$175,$A151))</f>
        <v/>
      </c>
      <c r="W151" t="str">
        <f>IF($A151="","",SUMIFS(Compta!$F$1:$F$675,Compta!$A$1:$A$675,$B151,Compta!$B$1:$B$675,"621",Compta!$C$1:$C$675,$A151))</f>
        <v/>
      </c>
      <c r="X151" t="str">
        <f>IF($A151="","",SUMIFS(Compta!$F$1:$F$675,Compta!$A$1:$A$675,$B151,Compta!$B$1:$B$675,"6411",Compta!$C$1:$C$675,$A151))</f>
        <v/>
      </c>
      <c r="Y151" t="str">
        <f>IF($A151="","",SUMIFS(Compta!$F$1:$F$675,Compta!$A$1:$A$675,$B151,Compta!$B$1:$B$675,"604",Compta!$C$1:$C$675,$A151)+SUMIFS(Compta!$F$1:$F$675,Compta!$A$1:$A$675,$B151,Compta!$B$1:$B$675,"6063",Compta!$C$1:$C$675,$A151))</f>
        <v/>
      </c>
      <c r="Z151" t="str">
        <f>IF($A151="","",SUMIFS(Compta!$F$1:$F$675,Compta!$A$1:$A$675,$B151,Compta!$B$1:$B$675,"6231",Compta!$C$1:$C$675,$A151))</f>
        <v/>
      </c>
      <c r="AA151" t="str">
        <f>IF($A151="","",SUMIFS(Compta!$F$1:$F$675,Compta!$A$1:$A$675,$B151,Compta!$B$1:$B$675,"6413",Compta!$C$1:$C$675,$A151)+SUMIFS(Compta!$F$1:$F$675,Compta!$A$1:$A$675,$B151,Compta!$B$1:$B$675,"645",Compta!$C$1:$C$675,$A151)+SUMIFS(Compta!$F$1:$F$675,Compta!$A$1:$A$675,$B151,Compta!$B$1:$B$675,"613",Compta!$C$1:$C$675,$A151)+SUMIFS(Compta!$F$1:$F$675,Compta!$A$1:$A$675,$B151,Compta!$B$1:$B$675,"615",Compta!$C$1:$C$675,$A151)+SUMIFS(Compta!$F$1:$F$675,Compta!$A$1:$A$675,$B151,Compta!$B$1:$B$675,"616",Compta!$C$1:$C$675,$A151)+SUMIFS(Compta!$F$1:$F$675,Compta!$A$1:$A$675,$B151,Compta!$B$1:$B$675,"625",Compta!$C$1:$C$675,$A151)+SUMIFS(Compta!$F$1:$F$675,Compta!$A$1:$A$675,$B151,Compta!$B$1:$B$675,"63511",Compta!$C$1:$C$675,$A151))</f>
        <v/>
      </c>
      <c r="AB151" t="str">
        <f>IF($A151="","",SUMIFS(Compta!$F$1:$F$675,Compta!$A$1:$A$675,"GRP",Compta!$B$1:$B$675,"6414",Compta!$C$1:$C$675,$A151)+SUMIFS(Compta!$F$1:$F$675,Compta!$A$1:$A$675,"GRP",Compta!$B$1:$B$675,"6226",Compta!$C$1:$C$675,$A151)+SUMIFS(Compta!$F$1:$F$675,Compta!$A$1:$A$675,"GRP",Compta!$B$1:$B$675,"626",Compta!$C$1:$C$675,$A151)+SUMIFS(Compta!$F$1:$F$675,Compta!$A$1:$A$675,"GRP",Compta!$B$1:$B$675,"6281",Compta!$C$1:$C$675,$A151)+SUMIFS(Compta!$F$1:$F$675,Compta!$A$1:$A$675,"GRP",Compta!$B$1:$B$675,"6331",Compta!$C$1:$C$675,$A151)+SUMIFS(Compta!$F$1:$F$675,Compta!$A$1:$A$675,"GRP",Compta!$B$1:$B$675,"6333",Compta!$C$1:$C$675,$A151))</f>
        <v/>
      </c>
      <c r="AC151" t="str">
        <f t="shared" si="39"/>
        <v/>
      </c>
      <c r="AD151" t="str">
        <f t="shared" si="40"/>
        <v/>
      </c>
      <c r="AE151" t="str">
        <f t="shared" si="41"/>
        <v/>
      </c>
      <c r="AF151" t="str">
        <f t="shared" si="42"/>
        <v/>
      </c>
      <c r="AG151" t="str">
        <f t="shared" si="43"/>
        <v/>
      </c>
      <c r="AH151" t="str">
        <f t="shared" si="44"/>
        <v/>
      </c>
      <c r="AI151" t="str">
        <f t="shared" si="45"/>
        <v/>
      </c>
      <c r="AJ151" t="str">
        <f t="shared" si="46"/>
        <v/>
      </c>
      <c r="AK151" t="str">
        <f t="shared" si="47"/>
        <v/>
      </c>
      <c r="AL151" t="str">
        <f t="shared" si="48"/>
        <v/>
      </c>
      <c r="AM151" t="str">
        <f t="shared" si="49"/>
        <v/>
      </c>
      <c r="AN151" t="str">
        <f t="shared" si="50"/>
        <v/>
      </c>
      <c r="AO151" t="str">
        <f>IF($A151="","",SUMIFS(Compta!$F$1:$F$675,Compta!$A$1:$A$675,"GRP",Compta!$B$1:$B$675,"6236",Compta!$C$1:$C$675,$A151))</f>
        <v/>
      </c>
      <c r="AP151" t="str">
        <f t="shared" si="51"/>
        <v/>
      </c>
      <c r="AQ151" t="str">
        <f t="shared" si="52"/>
        <v/>
      </c>
      <c r="AR151" t="str">
        <f t="shared" si="53"/>
        <v/>
      </c>
    </row>
    <row r="152" spans="1:44" x14ac:dyDescent="0.45">
      <c r="A152" t="str">
        <f>IF(Allocation!C152="","",Allocation!C152)</f>
        <v/>
      </c>
      <c r="B152" t="str">
        <f>IF(Allocation!D152="","",Allocation!D152)</f>
        <v/>
      </c>
      <c r="C152" t="str">
        <f>IF(Allocation!E152="","",Allocation!E152)</f>
        <v/>
      </c>
      <c r="D152" t="str">
        <f>IF(Allocation!F152="","",Allocation!F152)</f>
        <v/>
      </c>
      <c r="E152" t="str">
        <f>IF(Allocation!G152="","",Allocation!G152)</f>
        <v/>
      </c>
      <c r="F152" t="str">
        <f>IF(Allocation!H152="","",Allocation!H152)</f>
        <v/>
      </c>
      <c r="G152" t="str">
        <f>IF(Allocation!D152="","",Allocation!I152)</f>
        <v/>
      </c>
      <c r="H152" t="str">
        <f>IF(Allocation!D152="","",Allocation!J152)</f>
        <v/>
      </c>
      <c r="I152" t="str">
        <f>IF(Allocation!D152="","",Allocation!K152)</f>
        <v/>
      </c>
      <c r="J152" t="str">
        <f>IF($A152="","",SUMIFS(Socle!$K$1:$K$1000,Socle!$C$1:$C$1000,$B152,Socle!$D$1:$D$1000,$D152,Socle!$E$1:$E$1000,$E152,Socle!$F$1:$F$1000,$F152,Socle!$G$1:$G$1000,$A152))</f>
        <v/>
      </c>
      <c r="K152" t="str">
        <f t="shared" si="36"/>
        <v/>
      </c>
      <c r="L152" t="str">
        <f>IF($A152="","",SUMIFS(Allocation!$I$1:$I$175,Allocation!$C$1:$C$175,$A152,Allocation!$D$1:$D$175,$B152))</f>
        <v/>
      </c>
      <c r="M152" t="str">
        <f>IF($A152="","",SUMIFS(Allocation!$J$1:$J$175,Allocation!$C$1:$C$175,$A152,Allocation!$D$1:$D$175,$B152))</f>
        <v/>
      </c>
      <c r="N152" t="str">
        <f>IF($A152="","",SUMIFS(Allocation!$K$1:$K$175,Allocation!$C$1:$C$175,$A152,Allocation!$D$1:$D$175,$B152))</f>
        <v/>
      </c>
      <c r="O152" t="str">
        <f t="shared" si="37"/>
        <v/>
      </c>
      <c r="P152" t="str">
        <f t="shared" si="38"/>
        <v/>
      </c>
      <c r="Q152" t="str">
        <f>IF($A152="","",SUMIFS(Allocation!$I$1:$I$175,Allocation!$C$1:$C$175,$A152,Allocation!$E$1:$E$175,$C152))</f>
        <v/>
      </c>
      <c r="R152" t="str">
        <f>IF($A152="","",SUMIFS(Allocation!$J$1:$J$175,Allocation!$C$1:$C$175,$A152,Allocation!$E$1:$E$175,$C152))</f>
        <v/>
      </c>
      <c r="S152" t="str">
        <f>IF($A152="","",SUMIFS(Allocation!$K$1:$K$175,Allocation!$C$1:$C$175,$A152,Allocation!$E$1:$E$175,$C152))</f>
        <v/>
      </c>
      <c r="T152" t="str">
        <f>IF($A152="","",SUMIFS(Allocation!$I$1:$I$175,Allocation!$C$1:$C$175,$A152))</f>
        <v/>
      </c>
      <c r="U152" t="str">
        <f>IF($A152="","",SUMIFS(Allocation!$J$1:$J$175,Allocation!$C$1:$C$175,$A152))</f>
        <v/>
      </c>
      <c r="V152" t="str">
        <f>IF($A152="","",SUMIFS(Allocation!$K$1:$K$175,Allocation!$C$1:$C$175,$A152))</f>
        <v/>
      </c>
      <c r="W152" t="str">
        <f>IF($A152="","",SUMIFS(Compta!$F$1:$F$675,Compta!$A$1:$A$675,$B152,Compta!$B$1:$B$675,"621",Compta!$C$1:$C$675,$A152))</f>
        <v/>
      </c>
      <c r="X152" t="str">
        <f>IF($A152="","",SUMIFS(Compta!$F$1:$F$675,Compta!$A$1:$A$675,$B152,Compta!$B$1:$B$675,"6411",Compta!$C$1:$C$675,$A152))</f>
        <v/>
      </c>
      <c r="Y152" t="str">
        <f>IF($A152="","",SUMIFS(Compta!$F$1:$F$675,Compta!$A$1:$A$675,$B152,Compta!$B$1:$B$675,"604",Compta!$C$1:$C$675,$A152)+SUMIFS(Compta!$F$1:$F$675,Compta!$A$1:$A$675,$B152,Compta!$B$1:$B$675,"6063",Compta!$C$1:$C$675,$A152))</f>
        <v/>
      </c>
      <c r="Z152" t="str">
        <f>IF($A152="","",SUMIFS(Compta!$F$1:$F$675,Compta!$A$1:$A$675,$B152,Compta!$B$1:$B$675,"6231",Compta!$C$1:$C$675,$A152))</f>
        <v/>
      </c>
      <c r="AA152" t="str">
        <f>IF($A152="","",SUMIFS(Compta!$F$1:$F$675,Compta!$A$1:$A$675,$B152,Compta!$B$1:$B$675,"6413",Compta!$C$1:$C$675,$A152)+SUMIFS(Compta!$F$1:$F$675,Compta!$A$1:$A$675,$B152,Compta!$B$1:$B$675,"645",Compta!$C$1:$C$675,$A152)+SUMIFS(Compta!$F$1:$F$675,Compta!$A$1:$A$675,$B152,Compta!$B$1:$B$675,"613",Compta!$C$1:$C$675,$A152)+SUMIFS(Compta!$F$1:$F$675,Compta!$A$1:$A$675,$B152,Compta!$B$1:$B$675,"615",Compta!$C$1:$C$675,$A152)+SUMIFS(Compta!$F$1:$F$675,Compta!$A$1:$A$675,$B152,Compta!$B$1:$B$675,"616",Compta!$C$1:$C$675,$A152)+SUMIFS(Compta!$F$1:$F$675,Compta!$A$1:$A$675,$B152,Compta!$B$1:$B$675,"625",Compta!$C$1:$C$675,$A152)+SUMIFS(Compta!$F$1:$F$675,Compta!$A$1:$A$675,$B152,Compta!$B$1:$B$675,"63511",Compta!$C$1:$C$675,$A152))</f>
        <v/>
      </c>
      <c r="AB152" t="str">
        <f>IF($A152="","",SUMIFS(Compta!$F$1:$F$675,Compta!$A$1:$A$675,"GRP",Compta!$B$1:$B$675,"6414",Compta!$C$1:$C$675,$A152)+SUMIFS(Compta!$F$1:$F$675,Compta!$A$1:$A$675,"GRP",Compta!$B$1:$B$675,"6226",Compta!$C$1:$C$675,$A152)+SUMIFS(Compta!$F$1:$F$675,Compta!$A$1:$A$675,"GRP",Compta!$B$1:$B$675,"626",Compta!$C$1:$C$675,$A152)+SUMIFS(Compta!$F$1:$F$675,Compta!$A$1:$A$675,"GRP",Compta!$B$1:$B$675,"6281",Compta!$C$1:$C$675,$A152)+SUMIFS(Compta!$F$1:$F$675,Compta!$A$1:$A$675,"GRP",Compta!$B$1:$B$675,"6331",Compta!$C$1:$C$675,$A152)+SUMIFS(Compta!$F$1:$F$675,Compta!$A$1:$A$675,"GRP",Compta!$B$1:$B$675,"6333",Compta!$C$1:$C$675,$A152))</f>
        <v/>
      </c>
      <c r="AC152" t="str">
        <f t="shared" si="39"/>
        <v/>
      </c>
      <c r="AD152" t="str">
        <f t="shared" si="40"/>
        <v/>
      </c>
      <c r="AE152" t="str">
        <f t="shared" si="41"/>
        <v/>
      </c>
      <c r="AF152" t="str">
        <f t="shared" si="42"/>
        <v/>
      </c>
      <c r="AG152" t="str">
        <f t="shared" si="43"/>
        <v/>
      </c>
      <c r="AH152" t="str">
        <f t="shared" si="44"/>
        <v/>
      </c>
      <c r="AI152" t="str">
        <f t="shared" si="45"/>
        <v/>
      </c>
      <c r="AJ152" t="str">
        <f t="shared" si="46"/>
        <v/>
      </c>
      <c r="AK152" t="str">
        <f t="shared" si="47"/>
        <v/>
      </c>
      <c r="AL152" t="str">
        <f t="shared" si="48"/>
        <v/>
      </c>
      <c r="AM152" t="str">
        <f t="shared" si="49"/>
        <v/>
      </c>
      <c r="AN152" t="str">
        <f t="shared" si="50"/>
        <v/>
      </c>
      <c r="AO152" t="str">
        <f>IF($A152="","",SUMIFS(Compta!$F$1:$F$675,Compta!$A$1:$A$675,"GRP",Compta!$B$1:$B$675,"6236",Compta!$C$1:$C$675,$A152))</f>
        <v/>
      </c>
      <c r="AP152" t="str">
        <f t="shared" si="51"/>
        <v/>
      </c>
      <c r="AQ152" t="str">
        <f t="shared" si="52"/>
        <v/>
      </c>
      <c r="AR152" t="str">
        <f t="shared" si="53"/>
        <v/>
      </c>
    </row>
    <row r="153" spans="1:44" x14ac:dyDescent="0.45">
      <c r="A153" t="str">
        <f>IF(Allocation!C153="","",Allocation!C153)</f>
        <v/>
      </c>
      <c r="B153" t="str">
        <f>IF(Allocation!D153="","",Allocation!D153)</f>
        <v/>
      </c>
      <c r="C153" t="str">
        <f>IF(Allocation!E153="","",Allocation!E153)</f>
        <v/>
      </c>
      <c r="D153" t="str">
        <f>IF(Allocation!F153="","",Allocation!F153)</f>
        <v/>
      </c>
      <c r="E153" t="str">
        <f>IF(Allocation!G153="","",Allocation!G153)</f>
        <v/>
      </c>
      <c r="F153" t="str">
        <f>IF(Allocation!H153="","",Allocation!H153)</f>
        <v/>
      </c>
      <c r="G153" t="str">
        <f>IF(Allocation!D153="","",Allocation!I153)</f>
        <v/>
      </c>
      <c r="H153" t="str">
        <f>IF(Allocation!D153="","",Allocation!J153)</f>
        <v/>
      </c>
      <c r="I153" t="str">
        <f>IF(Allocation!D153="","",Allocation!K153)</f>
        <v/>
      </c>
      <c r="J153" t="str">
        <f>IF($A153="","",SUMIFS(Socle!$K$1:$K$1000,Socle!$C$1:$C$1000,$B153,Socle!$D$1:$D$1000,$D153,Socle!$E$1:$E$1000,$E153,Socle!$F$1:$F$1000,$F153,Socle!$G$1:$G$1000,$A153))</f>
        <v/>
      </c>
      <c r="K153" t="str">
        <f t="shared" si="36"/>
        <v/>
      </c>
      <c r="L153" t="str">
        <f>IF($A153="","",SUMIFS(Allocation!$I$1:$I$175,Allocation!$C$1:$C$175,$A153,Allocation!$D$1:$D$175,$B153))</f>
        <v/>
      </c>
      <c r="M153" t="str">
        <f>IF($A153="","",SUMIFS(Allocation!$J$1:$J$175,Allocation!$C$1:$C$175,$A153,Allocation!$D$1:$D$175,$B153))</f>
        <v/>
      </c>
      <c r="N153" t="str">
        <f>IF($A153="","",SUMIFS(Allocation!$K$1:$K$175,Allocation!$C$1:$C$175,$A153,Allocation!$D$1:$D$175,$B153))</f>
        <v/>
      </c>
      <c r="O153" t="str">
        <f t="shared" si="37"/>
        <v/>
      </c>
      <c r="P153" t="str">
        <f t="shared" si="38"/>
        <v/>
      </c>
      <c r="Q153" t="str">
        <f>IF($A153="","",SUMIFS(Allocation!$I$1:$I$175,Allocation!$C$1:$C$175,$A153,Allocation!$E$1:$E$175,$C153))</f>
        <v/>
      </c>
      <c r="R153" t="str">
        <f>IF($A153="","",SUMIFS(Allocation!$J$1:$J$175,Allocation!$C$1:$C$175,$A153,Allocation!$E$1:$E$175,$C153))</f>
        <v/>
      </c>
      <c r="S153" t="str">
        <f>IF($A153="","",SUMIFS(Allocation!$K$1:$K$175,Allocation!$C$1:$C$175,$A153,Allocation!$E$1:$E$175,$C153))</f>
        <v/>
      </c>
      <c r="T153" t="str">
        <f>IF($A153="","",SUMIFS(Allocation!$I$1:$I$175,Allocation!$C$1:$C$175,$A153))</f>
        <v/>
      </c>
      <c r="U153" t="str">
        <f>IF($A153="","",SUMIFS(Allocation!$J$1:$J$175,Allocation!$C$1:$C$175,$A153))</f>
        <v/>
      </c>
      <c r="V153" t="str">
        <f>IF($A153="","",SUMIFS(Allocation!$K$1:$K$175,Allocation!$C$1:$C$175,$A153))</f>
        <v/>
      </c>
      <c r="W153" t="str">
        <f>IF($A153="","",SUMIFS(Compta!$F$1:$F$675,Compta!$A$1:$A$675,$B153,Compta!$B$1:$B$675,"621",Compta!$C$1:$C$675,$A153))</f>
        <v/>
      </c>
      <c r="X153" t="str">
        <f>IF($A153="","",SUMIFS(Compta!$F$1:$F$675,Compta!$A$1:$A$675,$B153,Compta!$B$1:$B$675,"6411",Compta!$C$1:$C$675,$A153))</f>
        <v/>
      </c>
      <c r="Y153" t="str">
        <f>IF($A153="","",SUMIFS(Compta!$F$1:$F$675,Compta!$A$1:$A$675,$B153,Compta!$B$1:$B$675,"604",Compta!$C$1:$C$675,$A153)+SUMIFS(Compta!$F$1:$F$675,Compta!$A$1:$A$675,$B153,Compta!$B$1:$B$675,"6063",Compta!$C$1:$C$675,$A153))</f>
        <v/>
      </c>
      <c r="Z153" t="str">
        <f>IF($A153="","",SUMIFS(Compta!$F$1:$F$675,Compta!$A$1:$A$675,$B153,Compta!$B$1:$B$675,"6231",Compta!$C$1:$C$675,$A153))</f>
        <v/>
      </c>
      <c r="AA153" t="str">
        <f>IF($A153="","",SUMIFS(Compta!$F$1:$F$675,Compta!$A$1:$A$675,$B153,Compta!$B$1:$B$675,"6413",Compta!$C$1:$C$675,$A153)+SUMIFS(Compta!$F$1:$F$675,Compta!$A$1:$A$675,$B153,Compta!$B$1:$B$675,"645",Compta!$C$1:$C$675,$A153)+SUMIFS(Compta!$F$1:$F$675,Compta!$A$1:$A$675,$B153,Compta!$B$1:$B$675,"613",Compta!$C$1:$C$675,$A153)+SUMIFS(Compta!$F$1:$F$675,Compta!$A$1:$A$675,$B153,Compta!$B$1:$B$675,"615",Compta!$C$1:$C$675,$A153)+SUMIFS(Compta!$F$1:$F$675,Compta!$A$1:$A$675,$B153,Compta!$B$1:$B$675,"616",Compta!$C$1:$C$675,$A153)+SUMIFS(Compta!$F$1:$F$675,Compta!$A$1:$A$675,$B153,Compta!$B$1:$B$675,"625",Compta!$C$1:$C$675,$A153)+SUMIFS(Compta!$F$1:$F$675,Compta!$A$1:$A$675,$B153,Compta!$B$1:$B$675,"63511",Compta!$C$1:$C$675,$A153))</f>
        <v/>
      </c>
      <c r="AB153" t="str">
        <f>IF($A153="","",SUMIFS(Compta!$F$1:$F$675,Compta!$A$1:$A$675,"GRP",Compta!$B$1:$B$675,"6414",Compta!$C$1:$C$675,$A153)+SUMIFS(Compta!$F$1:$F$675,Compta!$A$1:$A$675,"GRP",Compta!$B$1:$B$675,"6226",Compta!$C$1:$C$675,$A153)+SUMIFS(Compta!$F$1:$F$675,Compta!$A$1:$A$675,"GRP",Compta!$B$1:$B$675,"626",Compta!$C$1:$C$675,$A153)+SUMIFS(Compta!$F$1:$F$675,Compta!$A$1:$A$675,"GRP",Compta!$B$1:$B$675,"6281",Compta!$C$1:$C$675,$A153)+SUMIFS(Compta!$F$1:$F$675,Compta!$A$1:$A$675,"GRP",Compta!$B$1:$B$675,"6331",Compta!$C$1:$C$675,$A153)+SUMIFS(Compta!$F$1:$F$675,Compta!$A$1:$A$675,"GRP",Compta!$B$1:$B$675,"6333",Compta!$C$1:$C$675,$A153))</f>
        <v/>
      </c>
      <c r="AC153" t="str">
        <f t="shared" si="39"/>
        <v/>
      </c>
      <c r="AD153" t="str">
        <f t="shared" si="40"/>
        <v/>
      </c>
      <c r="AE153" t="str">
        <f t="shared" si="41"/>
        <v/>
      </c>
      <c r="AF153" t="str">
        <f t="shared" si="42"/>
        <v/>
      </c>
      <c r="AG153" t="str">
        <f t="shared" si="43"/>
        <v/>
      </c>
      <c r="AH153" t="str">
        <f t="shared" si="44"/>
        <v/>
      </c>
      <c r="AI153" t="str">
        <f t="shared" si="45"/>
        <v/>
      </c>
      <c r="AJ153" t="str">
        <f t="shared" si="46"/>
        <v/>
      </c>
      <c r="AK153" t="str">
        <f t="shared" si="47"/>
        <v/>
      </c>
      <c r="AL153" t="str">
        <f t="shared" si="48"/>
        <v/>
      </c>
      <c r="AM153" t="str">
        <f t="shared" si="49"/>
        <v/>
      </c>
      <c r="AN153" t="str">
        <f t="shared" si="50"/>
        <v/>
      </c>
      <c r="AO153" t="str">
        <f>IF($A153="","",SUMIFS(Compta!$F$1:$F$675,Compta!$A$1:$A$675,"GRP",Compta!$B$1:$B$675,"6236",Compta!$C$1:$C$675,$A153))</f>
        <v/>
      </c>
      <c r="AP153" t="str">
        <f t="shared" si="51"/>
        <v/>
      </c>
      <c r="AQ153" t="str">
        <f t="shared" si="52"/>
        <v/>
      </c>
      <c r="AR153" t="str">
        <f t="shared" si="53"/>
        <v/>
      </c>
    </row>
    <row r="154" spans="1:44" x14ac:dyDescent="0.45">
      <c r="A154" t="str">
        <f>IF(Allocation!C154="","",Allocation!C154)</f>
        <v/>
      </c>
      <c r="B154" t="str">
        <f>IF(Allocation!D154="","",Allocation!D154)</f>
        <v/>
      </c>
      <c r="C154" t="str">
        <f>IF(Allocation!E154="","",Allocation!E154)</f>
        <v/>
      </c>
      <c r="D154" t="str">
        <f>IF(Allocation!F154="","",Allocation!F154)</f>
        <v/>
      </c>
      <c r="E154" t="str">
        <f>IF(Allocation!G154="","",Allocation!G154)</f>
        <v/>
      </c>
      <c r="F154" t="str">
        <f>IF(Allocation!H154="","",Allocation!H154)</f>
        <v/>
      </c>
      <c r="G154" t="str">
        <f>IF(Allocation!D154="","",Allocation!I154)</f>
        <v/>
      </c>
      <c r="H154" t="str">
        <f>IF(Allocation!D154="","",Allocation!J154)</f>
        <v/>
      </c>
      <c r="I154" t="str">
        <f>IF(Allocation!D154="","",Allocation!K154)</f>
        <v/>
      </c>
      <c r="J154" t="str">
        <f>IF($A154="","",SUMIFS(Socle!$K$1:$K$1000,Socle!$C$1:$C$1000,$B154,Socle!$D$1:$D$1000,$D154,Socle!$E$1:$E$1000,$E154,Socle!$F$1:$F$1000,$F154,Socle!$G$1:$G$1000,$A154))</f>
        <v/>
      </c>
      <c r="K154" t="str">
        <f t="shared" si="36"/>
        <v/>
      </c>
      <c r="L154" t="str">
        <f>IF($A154="","",SUMIFS(Allocation!$I$1:$I$175,Allocation!$C$1:$C$175,$A154,Allocation!$D$1:$D$175,$B154))</f>
        <v/>
      </c>
      <c r="M154" t="str">
        <f>IF($A154="","",SUMIFS(Allocation!$J$1:$J$175,Allocation!$C$1:$C$175,$A154,Allocation!$D$1:$D$175,$B154))</f>
        <v/>
      </c>
      <c r="N154" t="str">
        <f>IF($A154="","",SUMIFS(Allocation!$K$1:$K$175,Allocation!$C$1:$C$175,$A154,Allocation!$D$1:$D$175,$B154))</f>
        <v/>
      </c>
      <c r="O154" t="str">
        <f t="shared" si="37"/>
        <v/>
      </c>
      <c r="P154" t="str">
        <f t="shared" si="38"/>
        <v/>
      </c>
      <c r="Q154" t="str">
        <f>IF($A154="","",SUMIFS(Allocation!$I$1:$I$175,Allocation!$C$1:$C$175,$A154,Allocation!$E$1:$E$175,$C154))</f>
        <v/>
      </c>
      <c r="R154" t="str">
        <f>IF($A154="","",SUMIFS(Allocation!$J$1:$J$175,Allocation!$C$1:$C$175,$A154,Allocation!$E$1:$E$175,$C154))</f>
        <v/>
      </c>
      <c r="S154" t="str">
        <f>IF($A154="","",SUMIFS(Allocation!$K$1:$K$175,Allocation!$C$1:$C$175,$A154,Allocation!$E$1:$E$175,$C154))</f>
        <v/>
      </c>
      <c r="T154" t="str">
        <f>IF($A154="","",SUMIFS(Allocation!$I$1:$I$175,Allocation!$C$1:$C$175,$A154))</f>
        <v/>
      </c>
      <c r="U154" t="str">
        <f>IF($A154="","",SUMIFS(Allocation!$J$1:$J$175,Allocation!$C$1:$C$175,$A154))</f>
        <v/>
      </c>
      <c r="V154" t="str">
        <f>IF($A154="","",SUMIFS(Allocation!$K$1:$K$175,Allocation!$C$1:$C$175,$A154))</f>
        <v/>
      </c>
      <c r="W154" t="str">
        <f>IF($A154="","",SUMIFS(Compta!$F$1:$F$675,Compta!$A$1:$A$675,$B154,Compta!$B$1:$B$675,"621",Compta!$C$1:$C$675,$A154))</f>
        <v/>
      </c>
      <c r="X154" t="str">
        <f>IF($A154="","",SUMIFS(Compta!$F$1:$F$675,Compta!$A$1:$A$675,$B154,Compta!$B$1:$B$675,"6411",Compta!$C$1:$C$675,$A154))</f>
        <v/>
      </c>
      <c r="Y154" t="str">
        <f>IF($A154="","",SUMIFS(Compta!$F$1:$F$675,Compta!$A$1:$A$675,$B154,Compta!$B$1:$B$675,"604",Compta!$C$1:$C$675,$A154)+SUMIFS(Compta!$F$1:$F$675,Compta!$A$1:$A$675,$B154,Compta!$B$1:$B$675,"6063",Compta!$C$1:$C$675,$A154))</f>
        <v/>
      </c>
      <c r="Z154" t="str">
        <f>IF($A154="","",SUMIFS(Compta!$F$1:$F$675,Compta!$A$1:$A$675,$B154,Compta!$B$1:$B$675,"6231",Compta!$C$1:$C$675,$A154))</f>
        <v/>
      </c>
      <c r="AA154" t="str">
        <f>IF($A154="","",SUMIFS(Compta!$F$1:$F$675,Compta!$A$1:$A$675,$B154,Compta!$B$1:$B$675,"6413",Compta!$C$1:$C$675,$A154)+SUMIFS(Compta!$F$1:$F$675,Compta!$A$1:$A$675,$B154,Compta!$B$1:$B$675,"645",Compta!$C$1:$C$675,$A154)+SUMIFS(Compta!$F$1:$F$675,Compta!$A$1:$A$675,$B154,Compta!$B$1:$B$675,"613",Compta!$C$1:$C$675,$A154)+SUMIFS(Compta!$F$1:$F$675,Compta!$A$1:$A$675,$B154,Compta!$B$1:$B$675,"615",Compta!$C$1:$C$675,$A154)+SUMIFS(Compta!$F$1:$F$675,Compta!$A$1:$A$675,$B154,Compta!$B$1:$B$675,"616",Compta!$C$1:$C$675,$A154)+SUMIFS(Compta!$F$1:$F$675,Compta!$A$1:$A$675,$B154,Compta!$B$1:$B$675,"625",Compta!$C$1:$C$675,$A154)+SUMIFS(Compta!$F$1:$F$675,Compta!$A$1:$A$675,$B154,Compta!$B$1:$B$675,"63511",Compta!$C$1:$C$675,$A154))</f>
        <v/>
      </c>
      <c r="AB154" t="str">
        <f>IF($A154="","",SUMIFS(Compta!$F$1:$F$675,Compta!$A$1:$A$675,"GRP",Compta!$B$1:$B$675,"6414",Compta!$C$1:$C$675,$A154)+SUMIFS(Compta!$F$1:$F$675,Compta!$A$1:$A$675,"GRP",Compta!$B$1:$B$675,"6226",Compta!$C$1:$C$675,$A154)+SUMIFS(Compta!$F$1:$F$675,Compta!$A$1:$A$675,"GRP",Compta!$B$1:$B$675,"626",Compta!$C$1:$C$675,$A154)+SUMIFS(Compta!$F$1:$F$675,Compta!$A$1:$A$675,"GRP",Compta!$B$1:$B$675,"6281",Compta!$C$1:$C$675,$A154)+SUMIFS(Compta!$F$1:$F$675,Compta!$A$1:$A$675,"GRP",Compta!$B$1:$B$675,"6331",Compta!$C$1:$C$675,$A154)+SUMIFS(Compta!$F$1:$F$675,Compta!$A$1:$A$675,"GRP",Compta!$B$1:$B$675,"6333",Compta!$C$1:$C$675,$A154))</f>
        <v/>
      </c>
      <c r="AC154" t="str">
        <f t="shared" si="39"/>
        <v/>
      </c>
      <c r="AD154" t="str">
        <f t="shared" si="40"/>
        <v/>
      </c>
      <c r="AE154" t="str">
        <f t="shared" si="41"/>
        <v/>
      </c>
      <c r="AF154" t="str">
        <f t="shared" si="42"/>
        <v/>
      </c>
      <c r="AG154" t="str">
        <f t="shared" si="43"/>
        <v/>
      </c>
      <c r="AH154" t="str">
        <f t="shared" si="44"/>
        <v/>
      </c>
      <c r="AI154" t="str">
        <f t="shared" si="45"/>
        <v/>
      </c>
      <c r="AJ154" t="str">
        <f t="shared" si="46"/>
        <v/>
      </c>
      <c r="AK154" t="str">
        <f t="shared" si="47"/>
        <v/>
      </c>
      <c r="AL154" t="str">
        <f t="shared" si="48"/>
        <v/>
      </c>
      <c r="AM154" t="str">
        <f t="shared" si="49"/>
        <v/>
      </c>
      <c r="AN154" t="str">
        <f t="shared" si="50"/>
        <v/>
      </c>
      <c r="AO154" t="str">
        <f>IF($A154="","",SUMIFS(Compta!$F$1:$F$675,Compta!$A$1:$A$675,"GRP",Compta!$B$1:$B$675,"6236",Compta!$C$1:$C$675,$A154))</f>
        <v/>
      </c>
      <c r="AP154" t="str">
        <f t="shared" si="51"/>
        <v/>
      </c>
      <c r="AQ154" t="str">
        <f t="shared" si="52"/>
        <v/>
      </c>
      <c r="AR154" t="str">
        <f t="shared" si="53"/>
        <v/>
      </c>
    </row>
    <row r="155" spans="1:44" x14ac:dyDescent="0.45">
      <c r="A155" t="str">
        <f>IF(Allocation!C155="","",Allocation!C155)</f>
        <v/>
      </c>
      <c r="B155" t="str">
        <f>IF(Allocation!D155="","",Allocation!D155)</f>
        <v/>
      </c>
      <c r="C155" t="str">
        <f>IF(Allocation!E155="","",Allocation!E155)</f>
        <v/>
      </c>
      <c r="D155" t="str">
        <f>IF(Allocation!F155="","",Allocation!F155)</f>
        <v/>
      </c>
      <c r="E155" t="str">
        <f>IF(Allocation!G155="","",Allocation!G155)</f>
        <v/>
      </c>
      <c r="F155" t="str">
        <f>IF(Allocation!H155="","",Allocation!H155)</f>
        <v/>
      </c>
      <c r="G155" t="str">
        <f>IF(Allocation!D155="","",Allocation!I155)</f>
        <v/>
      </c>
      <c r="H155" t="str">
        <f>IF(Allocation!D155="","",Allocation!J155)</f>
        <v/>
      </c>
      <c r="I155" t="str">
        <f>IF(Allocation!D155="","",Allocation!K155)</f>
        <v/>
      </c>
      <c r="J155" t="str">
        <f>IF($A155="","",SUMIFS(Socle!$K$1:$K$1000,Socle!$C$1:$C$1000,$B155,Socle!$D$1:$D$1000,$D155,Socle!$E$1:$E$1000,$E155,Socle!$F$1:$F$1000,$F155,Socle!$G$1:$G$1000,$A155))</f>
        <v/>
      </c>
      <c r="K155" t="str">
        <f t="shared" si="36"/>
        <v/>
      </c>
      <c r="L155" t="str">
        <f>IF($A155="","",SUMIFS(Allocation!$I$1:$I$175,Allocation!$C$1:$C$175,$A155,Allocation!$D$1:$D$175,$B155))</f>
        <v/>
      </c>
      <c r="M155" t="str">
        <f>IF($A155="","",SUMIFS(Allocation!$J$1:$J$175,Allocation!$C$1:$C$175,$A155,Allocation!$D$1:$D$175,$B155))</f>
        <v/>
      </c>
      <c r="N155" t="str">
        <f>IF($A155="","",SUMIFS(Allocation!$K$1:$K$175,Allocation!$C$1:$C$175,$A155,Allocation!$D$1:$D$175,$B155))</f>
        <v/>
      </c>
      <c r="O155" t="str">
        <f t="shared" si="37"/>
        <v/>
      </c>
      <c r="P155" t="str">
        <f t="shared" si="38"/>
        <v/>
      </c>
      <c r="Q155" t="str">
        <f>IF($A155="","",SUMIFS(Allocation!$I$1:$I$175,Allocation!$C$1:$C$175,$A155,Allocation!$E$1:$E$175,$C155))</f>
        <v/>
      </c>
      <c r="R155" t="str">
        <f>IF($A155="","",SUMIFS(Allocation!$J$1:$J$175,Allocation!$C$1:$C$175,$A155,Allocation!$E$1:$E$175,$C155))</f>
        <v/>
      </c>
      <c r="S155" t="str">
        <f>IF($A155="","",SUMIFS(Allocation!$K$1:$K$175,Allocation!$C$1:$C$175,$A155,Allocation!$E$1:$E$175,$C155))</f>
        <v/>
      </c>
      <c r="T155" t="str">
        <f>IF($A155="","",SUMIFS(Allocation!$I$1:$I$175,Allocation!$C$1:$C$175,$A155))</f>
        <v/>
      </c>
      <c r="U155" t="str">
        <f>IF($A155="","",SUMIFS(Allocation!$J$1:$J$175,Allocation!$C$1:$C$175,$A155))</f>
        <v/>
      </c>
      <c r="V155" t="str">
        <f>IF($A155="","",SUMIFS(Allocation!$K$1:$K$175,Allocation!$C$1:$C$175,$A155))</f>
        <v/>
      </c>
      <c r="W155" t="str">
        <f>IF($A155="","",SUMIFS(Compta!$F$1:$F$675,Compta!$A$1:$A$675,$B155,Compta!$B$1:$B$675,"621",Compta!$C$1:$C$675,$A155))</f>
        <v/>
      </c>
      <c r="X155" t="str">
        <f>IF($A155="","",SUMIFS(Compta!$F$1:$F$675,Compta!$A$1:$A$675,$B155,Compta!$B$1:$B$675,"6411",Compta!$C$1:$C$675,$A155))</f>
        <v/>
      </c>
      <c r="Y155" t="str">
        <f>IF($A155="","",SUMIFS(Compta!$F$1:$F$675,Compta!$A$1:$A$675,$B155,Compta!$B$1:$B$675,"604",Compta!$C$1:$C$675,$A155)+SUMIFS(Compta!$F$1:$F$675,Compta!$A$1:$A$675,$B155,Compta!$B$1:$B$675,"6063",Compta!$C$1:$C$675,$A155))</f>
        <v/>
      </c>
      <c r="Z155" t="str">
        <f>IF($A155="","",SUMIFS(Compta!$F$1:$F$675,Compta!$A$1:$A$675,$B155,Compta!$B$1:$B$675,"6231",Compta!$C$1:$C$675,$A155))</f>
        <v/>
      </c>
      <c r="AA155" t="str">
        <f>IF($A155="","",SUMIFS(Compta!$F$1:$F$675,Compta!$A$1:$A$675,$B155,Compta!$B$1:$B$675,"6413",Compta!$C$1:$C$675,$A155)+SUMIFS(Compta!$F$1:$F$675,Compta!$A$1:$A$675,$B155,Compta!$B$1:$B$675,"645",Compta!$C$1:$C$675,$A155)+SUMIFS(Compta!$F$1:$F$675,Compta!$A$1:$A$675,$B155,Compta!$B$1:$B$675,"613",Compta!$C$1:$C$675,$A155)+SUMIFS(Compta!$F$1:$F$675,Compta!$A$1:$A$675,$B155,Compta!$B$1:$B$675,"615",Compta!$C$1:$C$675,$A155)+SUMIFS(Compta!$F$1:$F$675,Compta!$A$1:$A$675,$B155,Compta!$B$1:$B$675,"616",Compta!$C$1:$C$675,$A155)+SUMIFS(Compta!$F$1:$F$675,Compta!$A$1:$A$675,$B155,Compta!$B$1:$B$675,"625",Compta!$C$1:$C$675,$A155)+SUMIFS(Compta!$F$1:$F$675,Compta!$A$1:$A$675,$B155,Compta!$B$1:$B$675,"63511",Compta!$C$1:$C$675,$A155))</f>
        <v/>
      </c>
      <c r="AB155" t="str">
        <f>IF($A155="","",SUMIFS(Compta!$F$1:$F$675,Compta!$A$1:$A$675,"GRP",Compta!$B$1:$B$675,"6414",Compta!$C$1:$C$675,$A155)+SUMIFS(Compta!$F$1:$F$675,Compta!$A$1:$A$675,"GRP",Compta!$B$1:$B$675,"6226",Compta!$C$1:$C$675,$A155)+SUMIFS(Compta!$F$1:$F$675,Compta!$A$1:$A$675,"GRP",Compta!$B$1:$B$675,"626",Compta!$C$1:$C$675,$A155)+SUMIFS(Compta!$F$1:$F$675,Compta!$A$1:$A$675,"GRP",Compta!$B$1:$B$675,"6281",Compta!$C$1:$C$675,$A155)+SUMIFS(Compta!$F$1:$F$675,Compta!$A$1:$A$675,"GRP",Compta!$B$1:$B$675,"6331",Compta!$C$1:$C$675,$A155)+SUMIFS(Compta!$F$1:$F$675,Compta!$A$1:$A$675,"GRP",Compta!$B$1:$B$675,"6333",Compta!$C$1:$C$675,$A155))</f>
        <v/>
      </c>
      <c r="AC155" t="str">
        <f t="shared" si="39"/>
        <v/>
      </c>
      <c r="AD155" t="str">
        <f t="shared" si="40"/>
        <v/>
      </c>
      <c r="AE155" t="str">
        <f t="shared" si="41"/>
        <v/>
      </c>
      <c r="AF155" t="str">
        <f t="shared" si="42"/>
        <v/>
      </c>
      <c r="AG155" t="str">
        <f t="shared" si="43"/>
        <v/>
      </c>
      <c r="AH155" t="str">
        <f t="shared" si="44"/>
        <v/>
      </c>
      <c r="AI155" t="str">
        <f t="shared" si="45"/>
        <v/>
      </c>
      <c r="AJ155" t="str">
        <f t="shared" si="46"/>
        <v/>
      </c>
      <c r="AK155" t="str">
        <f t="shared" si="47"/>
        <v/>
      </c>
      <c r="AL155" t="str">
        <f t="shared" si="48"/>
        <v/>
      </c>
      <c r="AM155" t="str">
        <f t="shared" si="49"/>
        <v/>
      </c>
      <c r="AN155" t="str">
        <f t="shared" si="50"/>
        <v/>
      </c>
      <c r="AO155" t="str">
        <f>IF($A155="","",SUMIFS(Compta!$F$1:$F$675,Compta!$A$1:$A$675,"GRP",Compta!$B$1:$B$675,"6236",Compta!$C$1:$C$675,$A155))</f>
        <v/>
      </c>
      <c r="AP155" t="str">
        <f t="shared" si="51"/>
        <v/>
      </c>
      <c r="AQ155" t="str">
        <f t="shared" si="52"/>
        <v/>
      </c>
      <c r="AR155" t="str">
        <f t="shared" si="53"/>
        <v/>
      </c>
    </row>
    <row r="156" spans="1:44" x14ac:dyDescent="0.45">
      <c r="A156" t="str">
        <f>IF(Allocation!C156="","",Allocation!C156)</f>
        <v/>
      </c>
      <c r="B156" t="str">
        <f>IF(Allocation!D156="","",Allocation!D156)</f>
        <v/>
      </c>
      <c r="C156" t="str">
        <f>IF(Allocation!E156="","",Allocation!E156)</f>
        <v/>
      </c>
      <c r="D156" t="str">
        <f>IF(Allocation!F156="","",Allocation!F156)</f>
        <v/>
      </c>
      <c r="E156" t="str">
        <f>IF(Allocation!G156="","",Allocation!G156)</f>
        <v/>
      </c>
      <c r="F156" t="str">
        <f>IF(Allocation!H156="","",Allocation!H156)</f>
        <v/>
      </c>
      <c r="G156" t="str">
        <f>IF(Allocation!D156="","",Allocation!I156)</f>
        <v/>
      </c>
      <c r="H156" t="str">
        <f>IF(Allocation!D156="","",Allocation!J156)</f>
        <v/>
      </c>
      <c r="I156" t="str">
        <f>IF(Allocation!D156="","",Allocation!K156)</f>
        <v/>
      </c>
      <c r="J156" t="str">
        <f>IF($A156="","",SUMIFS(Socle!$K$1:$K$1000,Socle!$C$1:$C$1000,$B156,Socle!$D$1:$D$1000,$D156,Socle!$E$1:$E$1000,$E156,Socle!$F$1:$F$1000,$F156,Socle!$G$1:$G$1000,$A156))</f>
        <v/>
      </c>
      <c r="K156" t="str">
        <f t="shared" si="36"/>
        <v/>
      </c>
      <c r="L156" t="str">
        <f>IF($A156="","",SUMIFS(Allocation!$I$1:$I$175,Allocation!$C$1:$C$175,$A156,Allocation!$D$1:$D$175,$B156))</f>
        <v/>
      </c>
      <c r="M156" t="str">
        <f>IF($A156="","",SUMIFS(Allocation!$J$1:$J$175,Allocation!$C$1:$C$175,$A156,Allocation!$D$1:$D$175,$B156))</f>
        <v/>
      </c>
      <c r="N156" t="str">
        <f>IF($A156="","",SUMIFS(Allocation!$K$1:$K$175,Allocation!$C$1:$C$175,$A156,Allocation!$D$1:$D$175,$B156))</f>
        <v/>
      </c>
      <c r="O156" t="str">
        <f t="shared" si="37"/>
        <v/>
      </c>
      <c r="P156" t="str">
        <f t="shared" si="38"/>
        <v/>
      </c>
      <c r="Q156" t="str">
        <f>IF($A156="","",SUMIFS(Allocation!$I$1:$I$175,Allocation!$C$1:$C$175,$A156,Allocation!$E$1:$E$175,$C156))</f>
        <v/>
      </c>
      <c r="R156" t="str">
        <f>IF($A156="","",SUMIFS(Allocation!$J$1:$J$175,Allocation!$C$1:$C$175,$A156,Allocation!$E$1:$E$175,$C156))</f>
        <v/>
      </c>
      <c r="S156" t="str">
        <f>IF($A156="","",SUMIFS(Allocation!$K$1:$K$175,Allocation!$C$1:$C$175,$A156,Allocation!$E$1:$E$175,$C156))</f>
        <v/>
      </c>
      <c r="T156" t="str">
        <f>IF($A156="","",SUMIFS(Allocation!$I$1:$I$175,Allocation!$C$1:$C$175,$A156))</f>
        <v/>
      </c>
      <c r="U156" t="str">
        <f>IF($A156="","",SUMIFS(Allocation!$J$1:$J$175,Allocation!$C$1:$C$175,$A156))</f>
        <v/>
      </c>
      <c r="V156" t="str">
        <f>IF($A156="","",SUMIFS(Allocation!$K$1:$K$175,Allocation!$C$1:$C$175,$A156))</f>
        <v/>
      </c>
      <c r="W156" t="str">
        <f>IF($A156="","",SUMIFS(Compta!$F$1:$F$675,Compta!$A$1:$A$675,$B156,Compta!$B$1:$B$675,"621",Compta!$C$1:$C$675,$A156))</f>
        <v/>
      </c>
      <c r="X156" t="str">
        <f>IF($A156="","",SUMIFS(Compta!$F$1:$F$675,Compta!$A$1:$A$675,$B156,Compta!$B$1:$B$675,"6411",Compta!$C$1:$C$675,$A156))</f>
        <v/>
      </c>
      <c r="Y156" t="str">
        <f>IF($A156="","",SUMIFS(Compta!$F$1:$F$675,Compta!$A$1:$A$675,$B156,Compta!$B$1:$B$675,"604",Compta!$C$1:$C$675,$A156)+SUMIFS(Compta!$F$1:$F$675,Compta!$A$1:$A$675,$B156,Compta!$B$1:$B$675,"6063",Compta!$C$1:$C$675,$A156))</f>
        <v/>
      </c>
      <c r="Z156" t="str">
        <f>IF($A156="","",SUMIFS(Compta!$F$1:$F$675,Compta!$A$1:$A$675,$B156,Compta!$B$1:$B$675,"6231",Compta!$C$1:$C$675,$A156))</f>
        <v/>
      </c>
      <c r="AA156" t="str">
        <f>IF($A156="","",SUMIFS(Compta!$F$1:$F$675,Compta!$A$1:$A$675,$B156,Compta!$B$1:$B$675,"6413",Compta!$C$1:$C$675,$A156)+SUMIFS(Compta!$F$1:$F$675,Compta!$A$1:$A$675,$B156,Compta!$B$1:$B$675,"645",Compta!$C$1:$C$675,$A156)+SUMIFS(Compta!$F$1:$F$675,Compta!$A$1:$A$675,$B156,Compta!$B$1:$B$675,"613",Compta!$C$1:$C$675,$A156)+SUMIFS(Compta!$F$1:$F$675,Compta!$A$1:$A$675,$B156,Compta!$B$1:$B$675,"615",Compta!$C$1:$C$675,$A156)+SUMIFS(Compta!$F$1:$F$675,Compta!$A$1:$A$675,$B156,Compta!$B$1:$B$675,"616",Compta!$C$1:$C$675,$A156)+SUMIFS(Compta!$F$1:$F$675,Compta!$A$1:$A$675,$B156,Compta!$B$1:$B$675,"625",Compta!$C$1:$C$675,$A156)+SUMIFS(Compta!$F$1:$F$675,Compta!$A$1:$A$675,$B156,Compta!$B$1:$B$675,"63511",Compta!$C$1:$C$675,$A156))</f>
        <v/>
      </c>
      <c r="AB156" t="str">
        <f>IF($A156="","",SUMIFS(Compta!$F$1:$F$675,Compta!$A$1:$A$675,"GRP",Compta!$B$1:$B$675,"6414",Compta!$C$1:$C$675,$A156)+SUMIFS(Compta!$F$1:$F$675,Compta!$A$1:$A$675,"GRP",Compta!$B$1:$B$675,"6226",Compta!$C$1:$C$675,$A156)+SUMIFS(Compta!$F$1:$F$675,Compta!$A$1:$A$675,"GRP",Compta!$B$1:$B$675,"626",Compta!$C$1:$C$675,$A156)+SUMIFS(Compta!$F$1:$F$675,Compta!$A$1:$A$675,"GRP",Compta!$B$1:$B$675,"6281",Compta!$C$1:$C$675,$A156)+SUMIFS(Compta!$F$1:$F$675,Compta!$A$1:$A$675,"GRP",Compta!$B$1:$B$675,"6331",Compta!$C$1:$C$675,$A156)+SUMIFS(Compta!$F$1:$F$675,Compta!$A$1:$A$675,"GRP",Compta!$B$1:$B$675,"6333",Compta!$C$1:$C$675,$A156))</f>
        <v/>
      </c>
      <c r="AC156" t="str">
        <f t="shared" si="39"/>
        <v/>
      </c>
      <c r="AD156" t="str">
        <f t="shared" si="40"/>
        <v/>
      </c>
      <c r="AE156" t="str">
        <f t="shared" si="41"/>
        <v/>
      </c>
      <c r="AF156" t="str">
        <f t="shared" si="42"/>
        <v/>
      </c>
      <c r="AG156" t="str">
        <f t="shared" si="43"/>
        <v/>
      </c>
      <c r="AH156" t="str">
        <f t="shared" si="44"/>
        <v/>
      </c>
      <c r="AI156" t="str">
        <f t="shared" si="45"/>
        <v/>
      </c>
      <c r="AJ156" t="str">
        <f t="shared" si="46"/>
        <v/>
      </c>
      <c r="AK156" t="str">
        <f t="shared" si="47"/>
        <v/>
      </c>
      <c r="AL156" t="str">
        <f t="shared" si="48"/>
        <v/>
      </c>
      <c r="AM156" t="str">
        <f t="shared" si="49"/>
        <v/>
      </c>
      <c r="AN156" t="str">
        <f t="shared" si="50"/>
        <v/>
      </c>
      <c r="AO156" t="str">
        <f>IF($A156="","",SUMIFS(Compta!$F$1:$F$675,Compta!$A$1:$A$675,"GRP",Compta!$B$1:$B$675,"6236",Compta!$C$1:$C$675,$A156))</f>
        <v/>
      </c>
      <c r="AP156" t="str">
        <f t="shared" si="51"/>
        <v/>
      </c>
      <c r="AQ156" t="str">
        <f t="shared" si="52"/>
        <v/>
      </c>
      <c r="AR156" t="str">
        <f t="shared" si="53"/>
        <v/>
      </c>
    </row>
    <row r="157" spans="1:44" x14ac:dyDescent="0.45">
      <c r="A157" t="str">
        <f>IF(Allocation!C157="","",Allocation!C157)</f>
        <v/>
      </c>
      <c r="B157" t="str">
        <f>IF(Allocation!D157="","",Allocation!D157)</f>
        <v/>
      </c>
      <c r="C157" t="str">
        <f>IF(Allocation!E157="","",Allocation!E157)</f>
        <v/>
      </c>
      <c r="D157" t="str">
        <f>IF(Allocation!F157="","",Allocation!F157)</f>
        <v/>
      </c>
      <c r="E157" t="str">
        <f>IF(Allocation!G157="","",Allocation!G157)</f>
        <v/>
      </c>
      <c r="F157" t="str">
        <f>IF(Allocation!H157="","",Allocation!H157)</f>
        <v/>
      </c>
      <c r="G157" t="str">
        <f>IF(Allocation!D157="","",Allocation!I157)</f>
        <v/>
      </c>
      <c r="H157" t="str">
        <f>IF(Allocation!D157="","",Allocation!J157)</f>
        <v/>
      </c>
      <c r="I157" t="str">
        <f>IF(Allocation!D157="","",Allocation!K157)</f>
        <v/>
      </c>
      <c r="J157" t="str">
        <f>IF($A157="","",SUMIFS(Socle!$K$1:$K$1000,Socle!$C$1:$C$1000,$B157,Socle!$D$1:$D$1000,$D157,Socle!$E$1:$E$1000,$E157,Socle!$F$1:$F$1000,$F157,Socle!$G$1:$G$1000,$A157))</f>
        <v/>
      </c>
      <c r="K157" t="str">
        <f t="shared" si="36"/>
        <v/>
      </c>
      <c r="L157" t="str">
        <f>IF($A157="","",SUMIFS(Allocation!$I$1:$I$175,Allocation!$C$1:$C$175,$A157,Allocation!$D$1:$D$175,$B157))</f>
        <v/>
      </c>
      <c r="M157" t="str">
        <f>IF($A157="","",SUMIFS(Allocation!$J$1:$J$175,Allocation!$C$1:$C$175,$A157,Allocation!$D$1:$D$175,$B157))</f>
        <v/>
      </c>
      <c r="N157" t="str">
        <f>IF($A157="","",SUMIFS(Allocation!$K$1:$K$175,Allocation!$C$1:$C$175,$A157,Allocation!$D$1:$D$175,$B157))</f>
        <v/>
      </c>
      <c r="O157" t="str">
        <f t="shared" si="37"/>
        <v/>
      </c>
      <c r="P157" t="str">
        <f t="shared" si="38"/>
        <v/>
      </c>
      <c r="Q157" t="str">
        <f>IF($A157="","",SUMIFS(Allocation!$I$1:$I$175,Allocation!$C$1:$C$175,$A157,Allocation!$E$1:$E$175,$C157))</f>
        <v/>
      </c>
      <c r="R157" t="str">
        <f>IF($A157="","",SUMIFS(Allocation!$J$1:$J$175,Allocation!$C$1:$C$175,$A157,Allocation!$E$1:$E$175,$C157))</f>
        <v/>
      </c>
      <c r="S157" t="str">
        <f>IF($A157="","",SUMIFS(Allocation!$K$1:$K$175,Allocation!$C$1:$C$175,$A157,Allocation!$E$1:$E$175,$C157))</f>
        <v/>
      </c>
      <c r="T157" t="str">
        <f>IF($A157="","",SUMIFS(Allocation!$I$1:$I$175,Allocation!$C$1:$C$175,$A157))</f>
        <v/>
      </c>
      <c r="U157" t="str">
        <f>IF($A157="","",SUMIFS(Allocation!$J$1:$J$175,Allocation!$C$1:$C$175,$A157))</f>
        <v/>
      </c>
      <c r="V157" t="str">
        <f>IF($A157="","",SUMIFS(Allocation!$K$1:$K$175,Allocation!$C$1:$C$175,$A157))</f>
        <v/>
      </c>
      <c r="W157" t="str">
        <f>IF($A157="","",SUMIFS(Compta!$F$1:$F$675,Compta!$A$1:$A$675,$B157,Compta!$B$1:$B$675,"621",Compta!$C$1:$C$675,$A157))</f>
        <v/>
      </c>
      <c r="X157" t="str">
        <f>IF($A157="","",SUMIFS(Compta!$F$1:$F$675,Compta!$A$1:$A$675,$B157,Compta!$B$1:$B$675,"6411",Compta!$C$1:$C$675,$A157))</f>
        <v/>
      </c>
      <c r="Y157" t="str">
        <f>IF($A157="","",SUMIFS(Compta!$F$1:$F$675,Compta!$A$1:$A$675,$B157,Compta!$B$1:$B$675,"604",Compta!$C$1:$C$675,$A157)+SUMIFS(Compta!$F$1:$F$675,Compta!$A$1:$A$675,$B157,Compta!$B$1:$B$675,"6063",Compta!$C$1:$C$675,$A157))</f>
        <v/>
      </c>
      <c r="Z157" t="str">
        <f>IF($A157="","",SUMIFS(Compta!$F$1:$F$675,Compta!$A$1:$A$675,$B157,Compta!$B$1:$B$675,"6231",Compta!$C$1:$C$675,$A157))</f>
        <v/>
      </c>
      <c r="AA157" t="str">
        <f>IF($A157="","",SUMIFS(Compta!$F$1:$F$675,Compta!$A$1:$A$675,$B157,Compta!$B$1:$B$675,"6413",Compta!$C$1:$C$675,$A157)+SUMIFS(Compta!$F$1:$F$675,Compta!$A$1:$A$675,$B157,Compta!$B$1:$B$675,"645",Compta!$C$1:$C$675,$A157)+SUMIFS(Compta!$F$1:$F$675,Compta!$A$1:$A$675,$B157,Compta!$B$1:$B$675,"613",Compta!$C$1:$C$675,$A157)+SUMIFS(Compta!$F$1:$F$675,Compta!$A$1:$A$675,$B157,Compta!$B$1:$B$675,"615",Compta!$C$1:$C$675,$A157)+SUMIFS(Compta!$F$1:$F$675,Compta!$A$1:$A$675,$B157,Compta!$B$1:$B$675,"616",Compta!$C$1:$C$675,$A157)+SUMIFS(Compta!$F$1:$F$675,Compta!$A$1:$A$675,$B157,Compta!$B$1:$B$675,"625",Compta!$C$1:$C$675,$A157)+SUMIFS(Compta!$F$1:$F$675,Compta!$A$1:$A$675,$B157,Compta!$B$1:$B$675,"63511",Compta!$C$1:$C$675,$A157))</f>
        <v/>
      </c>
      <c r="AB157" t="str">
        <f>IF($A157="","",SUMIFS(Compta!$F$1:$F$675,Compta!$A$1:$A$675,"GRP",Compta!$B$1:$B$675,"6414",Compta!$C$1:$C$675,$A157)+SUMIFS(Compta!$F$1:$F$675,Compta!$A$1:$A$675,"GRP",Compta!$B$1:$B$675,"6226",Compta!$C$1:$C$675,$A157)+SUMIFS(Compta!$F$1:$F$675,Compta!$A$1:$A$675,"GRP",Compta!$B$1:$B$675,"626",Compta!$C$1:$C$675,$A157)+SUMIFS(Compta!$F$1:$F$675,Compta!$A$1:$A$675,"GRP",Compta!$B$1:$B$675,"6281",Compta!$C$1:$C$675,$A157)+SUMIFS(Compta!$F$1:$F$675,Compta!$A$1:$A$675,"GRP",Compta!$B$1:$B$675,"6331",Compta!$C$1:$C$675,$A157)+SUMIFS(Compta!$F$1:$F$675,Compta!$A$1:$A$675,"GRP",Compta!$B$1:$B$675,"6333",Compta!$C$1:$C$675,$A157))</f>
        <v/>
      </c>
      <c r="AC157" t="str">
        <f t="shared" si="39"/>
        <v/>
      </c>
      <c r="AD157" t="str">
        <f t="shared" si="40"/>
        <v/>
      </c>
      <c r="AE157" t="str">
        <f t="shared" si="41"/>
        <v/>
      </c>
      <c r="AF157" t="str">
        <f t="shared" si="42"/>
        <v/>
      </c>
      <c r="AG157" t="str">
        <f t="shared" si="43"/>
        <v/>
      </c>
      <c r="AH157" t="str">
        <f t="shared" si="44"/>
        <v/>
      </c>
      <c r="AI157" t="str">
        <f t="shared" si="45"/>
        <v/>
      </c>
      <c r="AJ157" t="str">
        <f t="shared" si="46"/>
        <v/>
      </c>
      <c r="AK157" t="str">
        <f t="shared" si="47"/>
        <v/>
      </c>
      <c r="AL157" t="str">
        <f t="shared" si="48"/>
        <v/>
      </c>
      <c r="AM157" t="str">
        <f t="shared" si="49"/>
        <v/>
      </c>
      <c r="AN157" t="str">
        <f t="shared" si="50"/>
        <v/>
      </c>
      <c r="AO157" t="str">
        <f>IF($A157="","",SUMIFS(Compta!$F$1:$F$675,Compta!$A$1:$A$675,"GRP",Compta!$B$1:$B$675,"6236",Compta!$C$1:$C$675,$A157))</f>
        <v/>
      </c>
      <c r="AP157" t="str">
        <f t="shared" si="51"/>
        <v/>
      </c>
      <c r="AQ157" t="str">
        <f t="shared" si="52"/>
        <v/>
      </c>
      <c r="AR157" t="str">
        <f t="shared" si="53"/>
        <v/>
      </c>
    </row>
    <row r="158" spans="1:44" x14ac:dyDescent="0.45">
      <c r="A158" t="str">
        <f>IF(Allocation!C158="","",Allocation!C158)</f>
        <v/>
      </c>
      <c r="B158" t="str">
        <f>IF(Allocation!D158="","",Allocation!D158)</f>
        <v/>
      </c>
      <c r="C158" t="str">
        <f>IF(Allocation!E158="","",Allocation!E158)</f>
        <v/>
      </c>
      <c r="D158" t="str">
        <f>IF(Allocation!F158="","",Allocation!F158)</f>
        <v/>
      </c>
      <c r="E158" t="str">
        <f>IF(Allocation!G158="","",Allocation!G158)</f>
        <v/>
      </c>
      <c r="F158" t="str">
        <f>IF(Allocation!H158="","",Allocation!H158)</f>
        <v/>
      </c>
      <c r="G158" t="str">
        <f>IF(Allocation!D158="","",Allocation!I158)</f>
        <v/>
      </c>
      <c r="H158" t="str">
        <f>IF(Allocation!D158="","",Allocation!J158)</f>
        <v/>
      </c>
      <c r="I158" t="str">
        <f>IF(Allocation!D158="","",Allocation!K158)</f>
        <v/>
      </c>
      <c r="J158" t="str">
        <f>IF($A158="","",SUMIFS(Socle!$K$1:$K$1000,Socle!$C$1:$C$1000,$B158,Socle!$D$1:$D$1000,$D158,Socle!$E$1:$E$1000,$E158,Socle!$F$1:$F$1000,$F158,Socle!$G$1:$G$1000,$A158))</f>
        <v/>
      </c>
      <c r="K158" t="str">
        <f t="shared" si="36"/>
        <v/>
      </c>
      <c r="L158" t="str">
        <f>IF($A158="","",SUMIFS(Allocation!$I$1:$I$175,Allocation!$C$1:$C$175,$A158,Allocation!$D$1:$D$175,$B158))</f>
        <v/>
      </c>
      <c r="M158" t="str">
        <f>IF($A158="","",SUMIFS(Allocation!$J$1:$J$175,Allocation!$C$1:$C$175,$A158,Allocation!$D$1:$D$175,$B158))</f>
        <v/>
      </c>
      <c r="N158" t="str">
        <f>IF($A158="","",SUMIFS(Allocation!$K$1:$K$175,Allocation!$C$1:$C$175,$A158,Allocation!$D$1:$D$175,$B158))</f>
        <v/>
      </c>
      <c r="O158" t="str">
        <f t="shared" si="37"/>
        <v/>
      </c>
      <c r="P158" t="str">
        <f t="shared" si="38"/>
        <v/>
      </c>
      <c r="Q158" t="str">
        <f>IF($A158="","",SUMIFS(Allocation!$I$1:$I$175,Allocation!$C$1:$C$175,$A158,Allocation!$E$1:$E$175,$C158))</f>
        <v/>
      </c>
      <c r="R158" t="str">
        <f>IF($A158="","",SUMIFS(Allocation!$J$1:$J$175,Allocation!$C$1:$C$175,$A158,Allocation!$E$1:$E$175,$C158))</f>
        <v/>
      </c>
      <c r="S158" t="str">
        <f>IF($A158="","",SUMIFS(Allocation!$K$1:$K$175,Allocation!$C$1:$C$175,$A158,Allocation!$E$1:$E$175,$C158))</f>
        <v/>
      </c>
      <c r="T158" t="str">
        <f>IF($A158="","",SUMIFS(Allocation!$I$1:$I$175,Allocation!$C$1:$C$175,$A158))</f>
        <v/>
      </c>
      <c r="U158" t="str">
        <f>IF($A158="","",SUMIFS(Allocation!$J$1:$J$175,Allocation!$C$1:$C$175,$A158))</f>
        <v/>
      </c>
      <c r="V158" t="str">
        <f>IF($A158="","",SUMIFS(Allocation!$K$1:$K$175,Allocation!$C$1:$C$175,$A158))</f>
        <v/>
      </c>
      <c r="W158" t="str">
        <f>IF($A158="","",SUMIFS(Compta!$F$1:$F$675,Compta!$A$1:$A$675,$B158,Compta!$B$1:$B$675,"621",Compta!$C$1:$C$675,$A158))</f>
        <v/>
      </c>
      <c r="X158" t="str">
        <f>IF($A158="","",SUMIFS(Compta!$F$1:$F$675,Compta!$A$1:$A$675,$B158,Compta!$B$1:$B$675,"6411",Compta!$C$1:$C$675,$A158))</f>
        <v/>
      </c>
      <c r="Y158" t="str">
        <f>IF($A158="","",SUMIFS(Compta!$F$1:$F$675,Compta!$A$1:$A$675,$B158,Compta!$B$1:$B$675,"604",Compta!$C$1:$C$675,$A158)+SUMIFS(Compta!$F$1:$F$675,Compta!$A$1:$A$675,$B158,Compta!$B$1:$B$675,"6063",Compta!$C$1:$C$675,$A158))</f>
        <v/>
      </c>
      <c r="Z158" t="str">
        <f>IF($A158="","",SUMIFS(Compta!$F$1:$F$675,Compta!$A$1:$A$675,$B158,Compta!$B$1:$B$675,"6231",Compta!$C$1:$C$675,$A158))</f>
        <v/>
      </c>
      <c r="AA158" t="str">
        <f>IF($A158="","",SUMIFS(Compta!$F$1:$F$675,Compta!$A$1:$A$675,$B158,Compta!$B$1:$B$675,"6413",Compta!$C$1:$C$675,$A158)+SUMIFS(Compta!$F$1:$F$675,Compta!$A$1:$A$675,$B158,Compta!$B$1:$B$675,"645",Compta!$C$1:$C$675,$A158)+SUMIFS(Compta!$F$1:$F$675,Compta!$A$1:$A$675,$B158,Compta!$B$1:$B$675,"613",Compta!$C$1:$C$675,$A158)+SUMIFS(Compta!$F$1:$F$675,Compta!$A$1:$A$675,$B158,Compta!$B$1:$B$675,"615",Compta!$C$1:$C$675,$A158)+SUMIFS(Compta!$F$1:$F$675,Compta!$A$1:$A$675,$B158,Compta!$B$1:$B$675,"616",Compta!$C$1:$C$675,$A158)+SUMIFS(Compta!$F$1:$F$675,Compta!$A$1:$A$675,$B158,Compta!$B$1:$B$675,"625",Compta!$C$1:$C$675,$A158)+SUMIFS(Compta!$F$1:$F$675,Compta!$A$1:$A$675,$B158,Compta!$B$1:$B$675,"63511",Compta!$C$1:$C$675,$A158))</f>
        <v/>
      </c>
      <c r="AB158" t="str">
        <f>IF($A158="","",SUMIFS(Compta!$F$1:$F$675,Compta!$A$1:$A$675,"GRP",Compta!$B$1:$B$675,"6414",Compta!$C$1:$C$675,$A158)+SUMIFS(Compta!$F$1:$F$675,Compta!$A$1:$A$675,"GRP",Compta!$B$1:$B$675,"6226",Compta!$C$1:$C$675,$A158)+SUMIFS(Compta!$F$1:$F$675,Compta!$A$1:$A$675,"GRP",Compta!$B$1:$B$675,"626",Compta!$C$1:$C$675,$A158)+SUMIFS(Compta!$F$1:$F$675,Compta!$A$1:$A$675,"GRP",Compta!$B$1:$B$675,"6281",Compta!$C$1:$C$675,$A158)+SUMIFS(Compta!$F$1:$F$675,Compta!$A$1:$A$675,"GRP",Compta!$B$1:$B$675,"6331",Compta!$C$1:$C$675,$A158)+SUMIFS(Compta!$F$1:$F$675,Compta!$A$1:$A$675,"GRP",Compta!$B$1:$B$675,"6333",Compta!$C$1:$C$675,$A158))</f>
        <v/>
      </c>
      <c r="AC158" t="str">
        <f t="shared" si="39"/>
        <v/>
      </c>
      <c r="AD158" t="str">
        <f t="shared" si="40"/>
        <v/>
      </c>
      <c r="AE158" t="str">
        <f t="shared" si="41"/>
        <v/>
      </c>
      <c r="AF158" t="str">
        <f t="shared" si="42"/>
        <v/>
      </c>
      <c r="AG158" t="str">
        <f t="shared" si="43"/>
        <v/>
      </c>
      <c r="AH158" t="str">
        <f t="shared" si="44"/>
        <v/>
      </c>
      <c r="AI158" t="str">
        <f t="shared" si="45"/>
        <v/>
      </c>
      <c r="AJ158" t="str">
        <f t="shared" si="46"/>
        <v/>
      </c>
      <c r="AK158" t="str">
        <f t="shared" si="47"/>
        <v/>
      </c>
      <c r="AL158" t="str">
        <f t="shared" si="48"/>
        <v/>
      </c>
      <c r="AM158" t="str">
        <f t="shared" si="49"/>
        <v/>
      </c>
      <c r="AN158" t="str">
        <f t="shared" si="50"/>
        <v/>
      </c>
      <c r="AO158" t="str">
        <f>IF($A158="","",SUMIFS(Compta!$F$1:$F$675,Compta!$A$1:$A$675,"GRP",Compta!$B$1:$B$675,"6236",Compta!$C$1:$C$675,$A158))</f>
        <v/>
      </c>
      <c r="AP158" t="str">
        <f t="shared" si="51"/>
        <v/>
      </c>
      <c r="AQ158" t="str">
        <f t="shared" si="52"/>
        <v/>
      </c>
      <c r="AR158" t="str">
        <f t="shared" si="53"/>
        <v/>
      </c>
    </row>
    <row r="159" spans="1:44" x14ac:dyDescent="0.45">
      <c r="A159" t="str">
        <f>IF(Allocation!C159="","",Allocation!C159)</f>
        <v/>
      </c>
      <c r="B159" t="str">
        <f>IF(Allocation!D159="","",Allocation!D159)</f>
        <v/>
      </c>
      <c r="C159" t="str">
        <f>IF(Allocation!E159="","",Allocation!E159)</f>
        <v/>
      </c>
      <c r="D159" t="str">
        <f>IF(Allocation!F159="","",Allocation!F159)</f>
        <v/>
      </c>
      <c r="E159" t="str">
        <f>IF(Allocation!G159="","",Allocation!G159)</f>
        <v/>
      </c>
      <c r="F159" t="str">
        <f>IF(Allocation!H159="","",Allocation!H159)</f>
        <v/>
      </c>
      <c r="G159" t="str">
        <f>IF(Allocation!D159="","",Allocation!I159)</f>
        <v/>
      </c>
      <c r="H159" t="str">
        <f>IF(Allocation!D159="","",Allocation!J159)</f>
        <v/>
      </c>
      <c r="I159" t="str">
        <f>IF(Allocation!D159="","",Allocation!K159)</f>
        <v/>
      </c>
      <c r="J159" t="str">
        <f>IF($A159="","",SUMIFS(Socle!$K$1:$K$1000,Socle!$C$1:$C$1000,$B159,Socle!$D$1:$D$1000,$D159,Socle!$E$1:$E$1000,$E159,Socle!$F$1:$F$1000,$F159,Socle!$G$1:$G$1000,$A159))</f>
        <v/>
      </c>
      <c r="K159" t="str">
        <f t="shared" si="36"/>
        <v/>
      </c>
      <c r="L159" t="str">
        <f>IF($A159="","",SUMIFS(Allocation!$I$1:$I$175,Allocation!$C$1:$C$175,$A159,Allocation!$D$1:$D$175,$B159))</f>
        <v/>
      </c>
      <c r="M159" t="str">
        <f>IF($A159="","",SUMIFS(Allocation!$J$1:$J$175,Allocation!$C$1:$C$175,$A159,Allocation!$D$1:$D$175,$B159))</f>
        <v/>
      </c>
      <c r="N159" t="str">
        <f>IF($A159="","",SUMIFS(Allocation!$K$1:$K$175,Allocation!$C$1:$C$175,$A159,Allocation!$D$1:$D$175,$B159))</f>
        <v/>
      </c>
      <c r="O159" t="str">
        <f t="shared" si="37"/>
        <v/>
      </c>
      <c r="P159" t="str">
        <f t="shared" si="38"/>
        <v/>
      </c>
      <c r="Q159" t="str">
        <f>IF($A159="","",SUMIFS(Allocation!$I$1:$I$175,Allocation!$C$1:$C$175,$A159,Allocation!$E$1:$E$175,$C159))</f>
        <v/>
      </c>
      <c r="R159" t="str">
        <f>IF($A159="","",SUMIFS(Allocation!$J$1:$J$175,Allocation!$C$1:$C$175,$A159,Allocation!$E$1:$E$175,$C159))</f>
        <v/>
      </c>
      <c r="S159" t="str">
        <f>IF($A159="","",SUMIFS(Allocation!$K$1:$K$175,Allocation!$C$1:$C$175,$A159,Allocation!$E$1:$E$175,$C159))</f>
        <v/>
      </c>
      <c r="T159" t="str">
        <f>IF($A159="","",SUMIFS(Allocation!$I$1:$I$175,Allocation!$C$1:$C$175,$A159))</f>
        <v/>
      </c>
      <c r="U159" t="str">
        <f>IF($A159="","",SUMIFS(Allocation!$J$1:$J$175,Allocation!$C$1:$C$175,$A159))</f>
        <v/>
      </c>
      <c r="V159" t="str">
        <f>IF($A159="","",SUMIFS(Allocation!$K$1:$K$175,Allocation!$C$1:$C$175,$A159))</f>
        <v/>
      </c>
      <c r="W159" t="str">
        <f>IF($A159="","",SUMIFS(Compta!$F$1:$F$675,Compta!$A$1:$A$675,$B159,Compta!$B$1:$B$675,"621",Compta!$C$1:$C$675,$A159))</f>
        <v/>
      </c>
      <c r="X159" t="str">
        <f>IF($A159="","",SUMIFS(Compta!$F$1:$F$675,Compta!$A$1:$A$675,$B159,Compta!$B$1:$B$675,"6411",Compta!$C$1:$C$675,$A159))</f>
        <v/>
      </c>
      <c r="Y159" t="str">
        <f>IF($A159="","",SUMIFS(Compta!$F$1:$F$675,Compta!$A$1:$A$675,$B159,Compta!$B$1:$B$675,"604",Compta!$C$1:$C$675,$A159)+SUMIFS(Compta!$F$1:$F$675,Compta!$A$1:$A$675,$B159,Compta!$B$1:$B$675,"6063",Compta!$C$1:$C$675,$A159))</f>
        <v/>
      </c>
      <c r="Z159" t="str">
        <f>IF($A159="","",SUMIFS(Compta!$F$1:$F$675,Compta!$A$1:$A$675,$B159,Compta!$B$1:$B$675,"6231",Compta!$C$1:$C$675,$A159))</f>
        <v/>
      </c>
      <c r="AA159" t="str">
        <f>IF($A159="","",SUMIFS(Compta!$F$1:$F$675,Compta!$A$1:$A$675,$B159,Compta!$B$1:$B$675,"6413",Compta!$C$1:$C$675,$A159)+SUMIFS(Compta!$F$1:$F$675,Compta!$A$1:$A$675,$B159,Compta!$B$1:$B$675,"645",Compta!$C$1:$C$675,$A159)+SUMIFS(Compta!$F$1:$F$675,Compta!$A$1:$A$675,$B159,Compta!$B$1:$B$675,"613",Compta!$C$1:$C$675,$A159)+SUMIFS(Compta!$F$1:$F$675,Compta!$A$1:$A$675,$B159,Compta!$B$1:$B$675,"615",Compta!$C$1:$C$675,$A159)+SUMIFS(Compta!$F$1:$F$675,Compta!$A$1:$A$675,$B159,Compta!$B$1:$B$675,"616",Compta!$C$1:$C$675,$A159)+SUMIFS(Compta!$F$1:$F$675,Compta!$A$1:$A$675,$B159,Compta!$B$1:$B$675,"625",Compta!$C$1:$C$675,$A159)+SUMIFS(Compta!$F$1:$F$675,Compta!$A$1:$A$675,$B159,Compta!$B$1:$B$675,"63511",Compta!$C$1:$C$675,$A159))</f>
        <v/>
      </c>
      <c r="AB159" t="str">
        <f>IF($A159="","",SUMIFS(Compta!$F$1:$F$675,Compta!$A$1:$A$675,"GRP",Compta!$B$1:$B$675,"6414",Compta!$C$1:$C$675,$A159)+SUMIFS(Compta!$F$1:$F$675,Compta!$A$1:$A$675,"GRP",Compta!$B$1:$B$675,"6226",Compta!$C$1:$C$675,$A159)+SUMIFS(Compta!$F$1:$F$675,Compta!$A$1:$A$675,"GRP",Compta!$B$1:$B$675,"626",Compta!$C$1:$C$675,$A159)+SUMIFS(Compta!$F$1:$F$675,Compta!$A$1:$A$675,"GRP",Compta!$B$1:$B$675,"6281",Compta!$C$1:$C$675,$A159)+SUMIFS(Compta!$F$1:$F$675,Compta!$A$1:$A$675,"GRP",Compta!$B$1:$B$675,"6331",Compta!$C$1:$C$675,$A159)+SUMIFS(Compta!$F$1:$F$675,Compta!$A$1:$A$675,"GRP",Compta!$B$1:$B$675,"6333",Compta!$C$1:$C$675,$A159))</f>
        <v/>
      </c>
      <c r="AC159" t="str">
        <f t="shared" si="39"/>
        <v/>
      </c>
      <c r="AD159" t="str">
        <f t="shared" si="40"/>
        <v/>
      </c>
      <c r="AE159" t="str">
        <f t="shared" si="41"/>
        <v/>
      </c>
      <c r="AF159" t="str">
        <f t="shared" si="42"/>
        <v/>
      </c>
      <c r="AG159" t="str">
        <f t="shared" si="43"/>
        <v/>
      </c>
      <c r="AH159" t="str">
        <f t="shared" si="44"/>
        <v/>
      </c>
      <c r="AI159" t="str">
        <f t="shared" si="45"/>
        <v/>
      </c>
      <c r="AJ159" t="str">
        <f t="shared" si="46"/>
        <v/>
      </c>
      <c r="AK159" t="str">
        <f t="shared" si="47"/>
        <v/>
      </c>
      <c r="AL159" t="str">
        <f t="shared" si="48"/>
        <v/>
      </c>
      <c r="AM159" t="str">
        <f t="shared" si="49"/>
        <v/>
      </c>
      <c r="AN159" t="str">
        <f t="shared" si="50"/>
        <v/>
      </c>
      <c r="AO159" t="str">
        <f>IF($A159="","",SUMIFS(Compta!$F$1:$F$675,Compta!$A$1:$A$675,"GRP",Compta!$B$1:$B$675,"6236",Compta!$C$1:$C$675,$A159))</f>
        <v/>
      </c>
      <c r="AP159" t="str">
        <f t="shared" si="51"/>
        <v/>
      </c>
      <c r="AQ159" t="str">
        <f t="shared" si="52"/>
        <v/>
      </c>
      <c r="AR159" t="str">
        <f t="shared" si="53"/>
        <v/>
      </c>
    </row>
    <row r="160" spans="1:44" x14ac:dyDescent="0.45">
      <c r="A160" t="str">
        <f>IF(Allocation!C160="","",Allocation!C160)</f>
        <v/>
      </c>
      <c r="B160" t="str">
        <f>IF(Allocation!D160="","",Allocation!D160)</f>
        <v/>
      </c>
      <c r="C160" t="str">
        <f>IF(Allocation!E160="","",Allocation!E160)</f>
        <v/>
      </c>
      <c r="D160" t="str">
        <f>IF(Allocation!F160="","",Allocation!F160)</f>
        <v/>
      </c>
      <c r="E160" t="str">
        <f>IF(Allocation!G160="","",Allocation!G160)</f>
        <v/>
      </c>
      <c r="F160" t="str">
        <f>IF(Allocation!H160="","",Allocation!H160)</f>
        <v/>
      </c>
      <c r="G160" t="str">
        <f>IF(Allocation!D160="","",Allocation!I160)</f>
        <v/>
      </c>
      <c r="H160" t="str">
        <f>IF(Allocation!D160="","",Allocation!J160)</f>
        <v/>
      </c>
      <c r="I160" t="str">
        <f>IF(Allocation!D160="","",Allocation!K160)</f>
        <v/>
      </c>
      <c r="J160" t="str">
        <f>IF($A160="","",SUMIFS(Socle!$K$1:$K$1000,Socle!$C$1:$C$1000,$B160,Socle!$D$1:$D$1000,$D160,Socle!$E$1:$E$1000,$E160,Socle!$F$1:$F$1000,$F160,Socle!$G$1:$G$1000,$A160))</f>
        <v/>
      </c>
      <c r="K160" t="str">
        <f t="shared" si="36"/>
        <v/>
      </c>
      <c r="L160" t="str">
        <f>IF($A160="","",SUMIFS(Allocation!$I$1:$I$175,Allocation!$C$1:$C$175,$A160,Allocation!$D$1:$D$175,$B160))</f>
        <v/>
      </c>
      <c r="M160" t="str">
        <f>IF($A160="","",SUMIFS(Allocation!$J$1:$J$175,Allocation!$C$1:$C$175,$A160,Allocation!$D$1:$D$175,$B160))</f>
        <v/>
      </c>
      <c r="N160" t="str">
        <f>IF($A160="","",SUMIFS(Allocation!$K$1:$K$175,Allocation!$C$1:$C$175,$A160,Allocation!$D$1:$D$175,$B160))</f>
        <v/>
      </c>
      <c r="O160" t="str">
        <f t="shared" si="37"/>
        <v/>
      </c>
      <c r="P160" t="str">
        <f t="shared" si="38"/>
        <v/>
      </c>
      <c r="Q160" t="str">
        <f>IF($A160="","",SUMIFS(Allocation!$I$1:$I$175,Allocation!$C$1:$C$175,$A160,Allocation!$E$1:$E$175,$C160))</f>
        <v/>
      </c>
      <c r="R160" t="str">
        <f>IF($A160="","",SUMIFS(Allocation!$J$1:$J$175,Allocation!$C$1:$C$175,$A160,Allocation!$E$1:$E$175,$C160))</f>
        <v/>
      </c>
      <c r="S160" t="str">
        <f>IF($A160="","",SUMIFS(Allocation!$K$1:$K$175,Allocation!$C$1:$C$175,$A160,Allocation!$E$1:$E$175,$C160))</f>
        <v/>
      </c>
      <c r="T160" t="str">
        <f>IF($A160="","",SUMIFS(Allocation!$I$1:$I$175,Allocation!$C$1:$C$175,$A160))</f>
        <v/>
      </c>
      <c r="U160" t="str">
        <f>IF($A160="","",SUMIFS(Allocation!$J$1:$J$175,Allocation!$C$1:$C$175,$A160))</f>
        <v/>
      </c>
      <c r="V160" t="str">
        <f>IF($A160="","",SUMIFS(Allocation!$K$1:$K$175,Allocation!$C$1:$C$175,$A160))</f>
        <v/>
      </c>
      <c r="W160" t="str">
        <f>IF($A160="","",SUMIFS(Compta!$F$1:$F$675,Compta!$A$1:$A$675,$B160,Compta!$B$1:$B$675,"621",Compta!$C$1:$C$675,$A160))</f>
        <v/>
      </c>
      <c r="X160" t="str">
        <f>IF($A160="","",SUMIFS(Compta!$F$1:$F$675,Compta!$A$1:$A$675,$B160,Compta!$B$1:$B$675,"6411",Compta!$C$1:$C$675,$A160))</f>
        <v/>
      </c>
      <c r="Y160" t="str">
        <f>IF($A160="","",SUMIFS(Compta!$F$1:$F$675,Compta!$A$1:$A$675,$B160,Compta!$B$1:$B$675,"604",Compta!$C$1:$C$675,$A160)+SUMIFS(Compta!$F$1:$F$675,Compta!$A$1:$A$675,$B160,Compta!$B$1:$B$675,"6063",Compta!$C$1:$C$675,$A160))</f>
        <v/>
      </c>
      <c r="Z160" t="str">
        <f>IF($A160="","",SUMIFS(Compta!$F$1:$F$675,Compta!$A$1:$A$675,$B160,Compta!$B$1:$B$675,"6231",Compta!$C$1:$C$675,$A160))</f>
        <v/>
      </c>
      <c r="AA160" t="str">
        <f>IF($A160="","",SUMIFS(Compta!$F$1:$F$675,Compta!$A$1:$A$675,$B160,Compta!$B$1:$B$675,"6413",Compta!$C$1:$C$675,$A160)+SUMIFS(Compta!$F$1:$F$675,Compta!$A$1:$A$675,$B160,Compta!$B$1:$B$675,"645",Compta!$C$1:$C$675,$A160)+SUMIFS(Compta!$F$1:$F$675,Compta!$A$1:$A$675,$B160,Compta!$B$1:$B$675,"613",Compta!$C$1:$C$675,$A160)+SUMIFS(Compta!$F$1:$F$675,Compta!$A$1:$A$675,$B160,Compta!$B$1:$B$675,"615",Compta!$C$1:$C$675,$A160)+SUMIFS(Compta!$F$1:$F$675,Compta!$A$1:$A$675,$B160,Compta!$B$1:$B$675,"616",Compta!$C$1:$C$675,$A160)+SUMIFS(Compta!$F$1:$F$675,Compta!$A$1:$A$675,$B160,Compta!$B$1:$B$675,"625",Compta!$C$1:$C$675,$A160)+SUMIFS(Compta!$F$1:$F$675,Compta!$A$1:$A$675,$B160,Compta!$B$1:$B$675,"63511",Compta!$C$1:$C$675,$A160))</f>
        <v/>
      </c>
      <c r="AB160" t="str">
        <f>IF($A160="","",SUMIFS(Compta!$F$1:$F$675,Compta!$A$1:$A$675,"GRP",Compta!$B$1:$B$675,"6414",Compta!$C$1:$C$675,$A160)+SUMIFS(Compta!$F$1:$F$675,Compta!$A$1:$A$675,"GRP",Compta!$B$1:$B$675,"6226",Compta!$C$1:$C$675,$A160)+SUMIFS(Compta!$F$1:$F$675,Compta!$A$1:$A$675,"GRP",Compta!$B$1:$B$675,"626",Compta!$C$1:$C$675,$A160)+SUMIFS(Compta!$F$1:$F$675,Compta!$A$1:$A$675,"GRP",Compta!$B$1:$B$675,"6281",Compta!$C$1:$C$675,$A160)+SUMIFS(Compta!$F$1:$F$675,Compta!$A$1:$A$675,"GRP",Compta!$B$1:$B$675,"6331",Compta!$C$1:$C$675,$A160)+SUMIFS(Compta!$F$1:$F$675,Compta!$A$1:$A$675,"GRP",Compta!$B$1:$B$675,"6333",Compta!$C$1:$C$675,$A160))</f>
        <v/>
      </c>
      <c r="AC160" t="str">
        <f t="shared" si="39"/>
        <v/>
      </c>
      <c r="AD160" t="str">
        <f t="shared" si="40"/>
        <v/>
      </c>
      <c r="AE160" t="str">
        <f t="shared" si="41"/>
        <v/>
      </c>
      <c r="AF160" t="str">
        <f t="shared" si="42"/>
        <v/>
      </c>
      <c r="AG160" t="str">
        <f t="shared" si="43"/>
        <v/>
      </c>
      <c r="AH160" t="str">
        <f t="shared" si="44"/>
        <v/>
      </c>
      <c r="AI160" t="str">
        <f t="shared" si="45"/>
        <v/>
      </c>
      <c r="AJ160" t="str">
        <f t="shared" si="46"/>
        <v/>
      </c>
      <c r="AK160" t="str">
        <f t="shared" si="47"/>
        <v/>
      </c>
      <c r="AL160" t="str">
        <f t="shared" si="48"/>
        <v/>
      </c>
      <c r="AM160" t="str">
        <f t="shared" si="49"/>
        <v/>
      </c>
      <c r="AN160" t="str">
        <f t="shared" si="50"/>
        <v/>
      </c>
      <c r="AO160" t="str">
        <f>IF($A160="","",SUMIFS(Compta!$F$1:$F$675,Compta!$A$1:$A$675,"GRP",Compta!$B$1:$B$675,"6236",Compta!$C$1:$C$675,$A160))</f>
        <v/>
      </c>
      <c r="AP160" t="str">
        <f t="shared" si="51"/>
        <v/>
      </c>
      <c r="AQ160" t="str">
        <f t="shared" si="52"/>
        <v/>
      </c>
      <c r="AR160" t="str">
        <f t="shared" si="53"/>
        <v/>
      </c>
    </row>
    <row r="161" spans="1:44" x14ac:dyDescent="0.45">
      <c r="A161" t="str">
        <f>IF(Allocation!C161="","",Allocation!C161)</f>
        <v/>
      </c>
      <c r="B161" t="str">
        <f>IF(Allocation!D161="","",Allocation!D161)</f>
        <v/>
      </c>
      <c r="C161" t="str">
        <f>IF(Allocation!E161="","",Allocation!E161)</f>
        <v/>
      </c>
      <c r="D161" t="str">
        <f>IF(Allocation!F161="","",Allocation!F161)</f>
        <v/>
      </c>
      <c r="E161" t="str">
        <f>IF(Allocation!G161="","",Allocation!G161)</f>
        <v/>
      </c>
      <c r="F161" t="str">
        <f>IF(Allocation!H161="","",Allocation!H161)</f>
        <v/>
      </c>
      <c r="G161" t="str">
        <f>IF(Allocation!D161="","",Allocation!I161)</f>
        <v/>
      </c>
      <c r="H161" t="str">
        <f>IF(Allocation!D161="","",Allocation!J161)</f>
        <v/>
      </c>
      <c r="I161" t="str">
        <f>IF(Allocation!D161="","",Allocation!K161)</f>
        <v/>
      </c>
      <c r="J161" t="str">
        <f>IF($A161="","",SUMIFS(Socle!$K$1:$K$1000,Socle!$C$1:$C$1000,$B161,Socle!$D$1:$D$1000,$D161,Socle!$E$1:$E$1000,$E161,Socle!$F$1:$F$1000,$F161,Socle!$G$1:$G$1000,$A161))</f>
        <v/>
      </c>
      <c r="K161" t="str">
        <f t="shared" si="36"/>
        <v/>
      </c>
      <c r="L161" t="str">
        <f>IF($A161="","",SUMIFS(Allocation!$I$1:$I$175,Allocation!$C$1:$C$175,$A161,Allocation!$D$1:$D$175,$B161))</f>
        <v/>
      </c>
      <c r="M161" t="str">
        <f>IF($A161="","",SUMIFS(Allocation!$J$1:$J$175,Allocation!$C$1:$C$175,$A161,Allocation!$D$1:$D$175,$B161))</f>
        <v/>
      </c>
      <c r="N161" t="str">
        <f>IF($A161="","",SUMIFS(Allocation!$K$1:$K$175,Allocation!$C$1:$C$175,$A161,Allocation!$D$1:$D$175,$B161))</f>
        <v/>
      </c>
      <c r="O161" t="str">
        <f t="shared" si="37"/>
        <v/>
      </c>
      <c r="P161" t="str">
        <f t="shared" si="38"/>
        <v/>
      </c>
      <c r="Q161" t="str">
        <f>IF($A161="","",SUMIFS(Allocation!$I$1:$I$175,Allocation!$C$1:$C$175,$A161,Allocation!$E$1:$E$175,$C161))</f>
        <v/>
      </c>
      <c r="R161" t="str">
        <f>IF($A161="","",SUMIFS(Allocation!$J$1:$J$175,Allocation!$C$1:$C$175,$A161,Allocation!$E$1:$E$175,$C161))</f>
        <v/>
      </c>
      <c r="S161" t="str">
        <f>IF($A161="","",SUMIFS(Allocation!$K$1:$K$175,Allocation!$C$1:$C$175,$A161,Allocation!$E$1:$E$175,$C161))</f>
        <v/>
      </c>
      <c r="T161" t="str">
        <f>IF($A161="","",SUMIFS(Allocation!$I$1:$I$175,Allocation!$C$1:$C$175,$A161))</f>
        <v/>
      </c>
      <c r="U161" t="str">
        <f>IF($A161="","",SUMIFS(Allocation!$J$1:$J$175,Allocation!$C$1:$C$175,$A161))</f>
        <v/>
      </c>
      <c r="V161" t="str">
        <f>IF($A161="","",SUMIFS(Allocation!$K$1:$K$175,Allocation!$C$1:$C$175,$A161))</f>
        <v/>
      </c>
      <c r="W161" t="str">
        <f>IF($A161="","",SUMIFS(Compta!$F$1:$F$675,Compta!$A$1:$A$675,$B161,Compta!$B$1:$B$675,"621",Compta!$C$1:$C$675,$A161))</f>
        <v/>
      </c>
      <c r="X161" t="str">
        <f>IF($A161="","",SUMIFS(Compta!$F$1:$F$675,Compta!$A$1:$A$675,$B161,Compta!$B$1:$B$675,"6411",Compta!$C$1:$C$675,$A161))</f>
        <v/>
      </c>
      <c r="Y161" t="str">
        <f>IF($A161="","",SUMIFS(Compta!$F$1:$F$675,Compta!$A$1:$A$675,$B161,Compta!$B$1:$B$675,"604",Compta!$C$1:$C$675,$A161)+SUMIFS(Compta!$F$1:$F$675,Compta!$A$1:$A$675,$B161,Compta!$B$1:$B$675,"6063",Compta!$C$1:$C$675,$A161))</f>
        <v/>
      </c>
      <c r="Z161" t="str">
        <f>IF($A161="","",SUMIFS(Compta!$F$1:$F$675,Compta!$A$1:$A$675,$B161,Compta!$B$1:$B$675,"6231",Compta!$C$1:$C$675,$A161))</f>
        <v/>
      </c>
      <c r="AA161" t="str">
        <f>IF($A161="","",SUMIFS(Compta!$F$1:$F$675,Compta!$A$1:$A$675,$B161,Compta!$B$1:$B$675,"6413",Compta!$C$1:$C$675,$A161)+SUMIFS(Compta!$F$1:$F$675,Compta!$A$1:$A$675,$B161,Compta!$B$1:$B$675,"645",Compta!$C$1:$C$675,$A161)+SUMIFS(Compta!$F$1:$F$675,Compta!$A$1:$A$675,$B161,Compta!$B$1:$B$675,"613",Compta!$C$1:$C$675,$A161)+SUMIFS(Compta!$F$1:$F$675,Compta!$A$1:$A$675,$B161,Compta!$B$1:$B$675,"615",Compta!$C$1:$C$675,$A161)+SUMIFS(Compta!$F$1:$F$675,Compta!$A$1:$A$675,$B161,Compta!$B$1:$B$675,"616",Compta!$C$1:$C$675,$A161)+SUMIFS(Compta!$F$1:$F$675,Compta!$A$1:$A$675,$B161,Compta!$B$1:$B$675,"625",Compta!$C$1:$C$675,$A161)+SUMIFS(Compta!$F$1:$F$675,Compta!$A$1:$A$675,$B161,Compta!$B$1:$B$675,"63511",Compta!$C$1:$C$675,$A161))</f>
        <v/>
      </c>
      <c r="AB161" t="str">
        <f>IF($A161="","",SUMIFS(Compta!$F$1:$F$675,Compta!$A$1:$A$675,"GRP",Compta!$B$1:$B$675,"6414",Compta!$C$1:$C$675,$A161)+SUMIFS(Compta!$F$1:$F$675,Compta!$A$1:$A$675,"GRP",Compta!$B$1:$B$675,"6226",Compta!$C$1:$C$675,$A161)+SUMIFS(Compta!$F$1:$F$675,Compta!$A$1:$A$675,"GRP",Compta!$B$1:$B$675,"626",Compta!$C$1:$C$675,$A161)+SUMIFS(Compta!$F$1:$F$675,Compta!$A$1:$A$675,"GRP",Compta!$B$1:$B$675,"6281",Compta!$C$1:$C$675,$A161)+SUMIFS(Compta!$F$1:$F$675,Compta!$A$1:$A$675,"GRP",Compta!$B$1:$B$675,"6331",Compta!$C$1:$C$675,$A161)+SUMIFS(Compta!$F$1:$F$675,Compta!$A$1:$A$675,"GRP",Compta!$B$1:$B$675,"6333",Compta!$C$1:$C$675,$A161))</f>
        <v/>
      </c>
      <c r="AC161" t="str">
        <f t="shared" si="39"/>
        <v/>
      </c>
      <c r="AD161" t="str">
        <f t="shared" si="40"/>
        <v/>
      </c>
      <c r="AE161" t="str">
        <f t="shared" si="41"/>
        <v/>
      </c>
      <c r="AF161" t="str">
        <f t="shared" si="42"/>
        <v/>
      </c>
      <c r="AG161" t="str">
        <f t="shared" si="43"/>
        <v/>
      </c>
      <c r="AH161" t="str">
        <f t="shared" si="44"/>
        <v/>
      </c>
      <c r="AI161" t="str">
        <f t="shared" si="45"/>
        <v/>
      </c>
      <c r="AJ161" t="str">
        <f t="shared" si="46"/>
        <v/>
      </c>
      <c r="AK161" t="str">
        <f t="shared" si="47"/>
        <v/>
      </c>
      <c r="AL161" t="str">
        <f t="shared" si="48"/>
        <v/>
      </c>
      <c r="AM161" t="str">
        <f t="shared" si="49"/>
        <v/>
      </c>
      <c r="AN161" t="str">
        <f t="shared" si="50"/>
        <v/>
      </c>
      <c r="AO161" t="str">
        <f>IF($A161="","",SUMIFS(Compta!$F$1:$F$675,Compta!$A$1:$A$675,"GRP",Compta!$B$1:$B$675,"6236",Compta!$C$1:$C$675,$A161))</f>
        <v/>
      </c>
      <c r="AP161" t="str">
        <f t="shared" si="51"/>
        <v/>
      </c>
      <c r="AQ161" t="str">
        <f t="shared" si="52"/>
        <v/>
      </c>
      <c r="AR161" t="str">
        <f t="shared" si="53"/>
        <v/>
      </c>
    </row>
    <row r="162" spans="1:44" x14ac:dyDescent="0.45">
      <c r="A162" t="str">
        <f>IF(Allocation!C162="","",Allocation!C162)</f>
        <v/>
      </c>
      <c r="B162" t="str">
        <f>IF(Allocation!D162="","",Allocation!D162)</f>
        <v/>
      </c>
      <c r="C162" t="str">
        <f>IF(Allocation!E162="","",Allocation!E162)</f>
        <v/>
      </c>
      <c r="D162" t="str">
        <f>IF(Allocation!F162="","",Allocation!F162)</f>
        <v/>
      </c>
      <c r="E162" t="str">
        <f>IF(Allocation!G162="","",Allocation!G162)</f>
        <v/>
      </c>
      <c r="F162" t="str">
        <f>IF(Allocation!H162="","",Allocation!H162)</f>
        <v/>
      </c>
      <c r="G162" t="str">
        <f>IF(Allocation!D162="","",Allocation!I162)</f>
        <v/>
      </c>
      <c r="H162" t="str">
        <f>IF(Allocation!D162="","",Allocation!J162)</f>
        <v/>
      </c>
      <c r="I162" t="str">
        <f>IF(Allocation!D162="","",Allocation!K162)</f>
        <v/>
      </c>
      <c r="J162" t="str">
        <f>IF($A162="","",SUMIFS(Socle!$K$1:$K$1000,Socle!$C$1:$C$1000,$B162,Socle!$D$1:$D$1000,$D162,Socle!$E$1:$E$1000,$E162,Socle!$F$1:$F$1000,$F162,Socle!$G$1:$G$1000,$A162))</f>
        <v/>
      </c>
      <c r="K162" t="str">
        <f t="shared" si="36"/>
        <v/>
      </c>
      <c r="L162" t="str">
        <f>IF($A162="","",SUMIFS(Allocation!$I$1:$I$175,Allocation!$C$1:$C$175,$A162,Allocation!$D$1:$D$175,$B162))</f>
        <v/>
      </c>
      <c r="M162" t="str">
        <f>IF($A162="","",SUMIFS(Allocation!$J$1:$J$175,Allocation!$C$1:$C$175,$A162,Allocation!$D$1:$D$175,$B162))</f>
        <v/>
      </c>
      <c r="N162" t="str">
        <f>IF($A162="","",SUMIFS(Allocation!$K$1:$K$175,Allocation!$C$1:$C$175,$A162,Allocation!$D$1:$D$175,$B162))</f>
        <v/>
      </c>
      <c r="O162" t="str">
        <f t="shared" si="37"/>
        <v/>
      </c>
      <c r="P162" t="str">
        <f t="shared" si="38"/>
        <v/>
      </c>
      <c r="Q162" t="str">
        <f>IF($A162="","",SUMIFS(Allocation!$I$1:$I$175,Allocation!$C$1:$C$175,$A162,Allocation!$E$1:$E$175,$C162))</f>
        <v/>
      </c>
      <c r="R162" t="str">
        <f>IF($A162="","",SUMIFS(Allocation!$J$1:$J$175,Allocation!$C$1:$C$175,$A162,Allocation!$E$1:$E$175,$C162))</f>
        <v/>
      </c>
      <c r="S162" t="str">
        <f>IF($A162="","",SUMIFS(Allocation!$K$1:$K$175,Allocation!$C$1:$C$175,$A162,Allocation!$E$1:$E$175,$C162))</f>
        <v/>
      </c>
      <c r="T162" t="str">
        <f>IF($A162="","",SUMIFS(Allocation!$I$1:$I$175,Allocation!$C$1:$C$175,$A162))</f>
        <v/>
      </c>
      <c r="U162" t="str">
        <f>IF($A162="","",SUMIFS(Allocation!$J$1:$J$175,Allocation!$C$1:$C$175,$A162))</f>
        <v/>
      </c>
      <c r="V162" t="str">
        <f>IF($A162="","",SUMIFS(Allocation!$K$1:$K$175,Allocation!$C$1:$C$175,$A162))</f>
        <v/>
      </c>
      <c r="W162" t="str">
        <f>IF($A162="","",SUMIFS(Compta!$F$1:$F$675,Compta!$A$1:$A$675,$B162,Compta!$B$1:$B$675,"621",Compta!$C$1:$C$675,$A162))</f>
        <v/>
      </c>
      <c r="X162" t="str">
        <f>IF($A162="","",SUMIFS(Compta!$F$1:$F$675,Compta!$A$1:$A$675,$B162,Compta!$B$1:$B$675,"6411",Compta!$C$1:$C$675,$A162))</f>
        <v/>
      </c>
      <c r="Y162" t="str">
        <f>IF($A162="","",SUMIFS(Compta!$F$1:$F$675,Compta!$A$1:$A$675,$B162,Compta!$B$1:$B$675,"604",Compta!$C$1:$C$675,$A162)+SUMIFS(Compta!$F$1:$F$675,Compta!$A$1:$A$675,$B162,Compta!$B$1:$B$675,"6063",Compta!$C$1:$C$675,$A162))</f>
        <v/>
      </c>
      <c r="Z162" t="str">
        <f>IF($A162="","",SUMIFS(Compta!$F$1:$F$675,Compta!$A$1:$A$675,$B162,Compta!$B$1:$B$675,"6231",Compta!$C$1:$C$675,$A162))</f>
        <v/>
      </c>
      <c r="AA162" t="str">
        <f>IF($A162="","",SUMIFS(Compta!$F$1:$F$675,Compta!$A$1:$A$675,$B162,Compta!$B$1:$B$675,"6413",Compta!$C$1:$C$675,$A162)+SUMIFS(Compta!$F$1:$F$675,Compta!$A$1:$A$675,$B162,Compta!$B$1:$B$675,"645",Compta!$C$1:$C$675,$A162)+SUMIFS(Compta!$F$1:$F$675,Compta!$A$1:$A$675,$B162,Compta!$B$1:$B$675,"613",Compta!$C$1:$C$675,$A162)+SUMIFS(Compta!$F$1:$F$675,Compta!$A$1:$A$675,$B162,Compta!$B$1:$B$675,"615",Compta!$C$1:$C$675,$A162)+SUMIFS(Compta!$F$1:$F$675,Compta!$A$1:$A$675,$B162,Compta!$B$1:$B$675,"616",Compta!$C$1:$C$675,$A162)+SUMIFS(Compta!$F$1:$F$675,Compta!$A$1:$A$675,$B162,Compta!$B$1:$B$675,"625",Compta!$C$1:$C$675,$A162)+SUMIFS(Compta!$F$1:$F$675,Compta!$A$1:$A$675,$B162,Compta!$B$1:$B$675,"63511",Compta!$C$1:$C$675,$A162))</f>
        <v/>
      </c>
      <c r="AB162" t="str">
        <f>IF($A162="","",SUMIFS(Compta!$F$1:$F$675,Compta!$A$1:$A$675,"GRP",Compta!$B$1:$B$675,"6414",Compta!$C$1:$C$675,$A162)+SUMIFS(Compta!$F$1:$F$675,Compta!$A$1:$A$675,"GRP",Compta!$B$1:$B$675,"6226",Compta!$C$1:$C$675,$A162)+SUMIFS(Compta!$F$1:$F$675,Compta!$A$1:$A$675,"GRP",Compta!$B$1:$B$675,"626",Compta!$C$1:$C$675,$A162)+SUMIFS(Compta!$F$1:$F$675,Compta!$A$1:$A$675,"GRP",Compta!$B$1:$B$675,"6281",Compta!$C$1:$C$675,$A162)+SUMIFS(Compta!$F$1:$F$675,Compta!$A$1:$A$675,"GRP",Compta!$B$1:$B$675,"6331",Compta!$C$1:$C$675,$A162)+SUMIFS(Compta!$F$1:$F$675,Compta!$A$1:$A$675,"GRP",Compta!$B$1:$B$675,"6333",Compta!$C$1:$C$675,$A162))</f>
        <v/>
      </c>
      <c r="AC162" t="str">
        <f t="shared" si="39"/>
        <v/>
      </c>
      <c r="AD162" t="str">
        <f t="shared" si="40"/>
        <v/>
      </c>
      <c r="AE162" t="str">
        <f t="shared" si="41"/>
        <v/>
      </c>
      <c r="AF162" t="str">
        <f t="shared" si="42"/>
        <v/>
      </c>
      <c r="AG162" t="str">
        <f t="shared" si="43"/>
        <v/>
      </c>
      <c r="AH162" t="str">
        <f t="shared" si="44"/>
        <v/>
      </c>
      <c r="AI162" t="str">
        <f t="shared" si="45"/>
        <v/>
      </c>
      <c r="AJ162" t="str">
        <f t="shared" si="46"/>
        <v/>
      </c>
      <c r="AK162" t="str">
        <f t="shared" si="47"/>
        <v/>
      </c>
      <c r="AL162" t="str">
        <f t="shared" si="48"/>
        <v/>
      </c>
      <c r="AM162" t="str">
        <f t="shared" si="49"/>
        <v/>
      </c>
      <c r="AN162" t="str">
        <f t="shared" si="50"/>
        <v/>
      </c>
      <c r="AO162" t="str">
        <f>IF($A162="","",SUMIFS(Compta!$F$1:$F$675,Compta!$A$1:$A$675,"GRP",Compta!$B$1:$B$675,"6236",Compta!$C$1:$C$675,$A162))</f>
        <v/>
      </c>
      <c r="AP162" t="str">
        <f t="shared" si="51"/>
        <v/>
      </c>
      <c r="AQ162" t="str">
        <f t="shared" si="52"/>
        <v/>
      </c>
      <c r="AR162" t="str">
        <f t="shared" si="53"/>
        <v/>
      </c>
    </row>
    <row r="163" spans="1:44" x14ac:dyDescent="0.45">
      <c r="A163" t="str">
        <f>IF(Allocation!C163="","",Allocation!C163)</f>
        <v/>
      </c>
      <c r="B163" t="str">
        <f>IF(Allocation!D163="","",Allocation!D163)</f>
        <v/>
      </c>
      <c r="C163" t="str">
        <f>IF(Allocation!E163="","",Allocation!E163)</f>
        <v/>
      </c>
      <c r="D163" t="str">
        <f>IF(Allocation!F163="","",Allocation!F163)</f>
        <v/>
      </c>
      <c r="E163" t="str">
        <f>IF(Allocation!G163="","",Allocation!G163)</f>
        <v/>
      </c>
      <c r="F163" t="str">
        <f>IF(Allocation!H163="","",Allocation!H163)</f>
        <v/>
      </c>
      <c r="G163" t="str">
        <f>IF(Allocation!D163="","",Allocation!I163)</f>
        <v/>
      </c>
      <c r="H163" t="str">
        <f>IF(Allocation!D163="","",Allocation!J163)</f>
        <v/>
      </c>
      <c r="I163" t="str">
        <f>IF(Allocation!D163="","",Allocation!K163)</f>
        <v/>
      </c>
      <c r="J163" t="str">
        <f>IF($A163="","",SUMIFS(Socle!$K$1:$K$1000,Socle!$C$1:$C$1000,$B163,Socle!$D$1:$D$1000,$D163,Socle!$E$1:$E$1000,$E163,Socle!$F$1:$F$1000,$F163,Socle!$G$1:$G$1000,$A163))</f>
        <v/>
      </c>
      <c r="K163" t="str">
        <f t="shared" si="36"/>
        <v/>
      </c>
      <c r="L163" t="str">
        <f>IF($A163="","",SUMIFS(Allocation!$I$1:$I$175,Allocation!$C$1:$C$175,$A163,Allocation!$D$1:$D$175,$B163))</f>
        <v/>
      </c>
      <c r="M163" t="str">
        <f>IF($A163="","",SUMIFS(Allocation!$J$1:$J$175,Allocation!$C$1:$C$175,$A163,Allocation!$D$1:$D$175,$B163))</f>
        <v/>
      </c>
      <c r="N163" t="str">
        <f>IF($A163="","",SUMIFS(Allocation!$K$1:$K$175,Allocation!$C$1:$C$175,$A163,Allocation!$D$1:$D$175,$B163))</f>
        <v/>
      </c>
      <c r="O163" t="str">
        <f t="shared" si="37"/>
        <v/>
      </c>
      <c r="P163" t="str">
        <f t="shared" si="38"/>
        <v/>
      </c>
      <c r="Q163" t="str">
        <f>IF($A163="","",SUMIFS(Allocation!$I$1:$I$175,Allocation!$C$1:$C$175,$A163,Allocation!$E$1:$E$175,$C163))</f>
        <v/>
      </c>
      <c r="R163" t="str">
        <f>IF($A163="","",SUMIFS(Allocation!$J$1:$J$175,Allocation!$C$1:$C$175,$A163,Allocation!$E$1:$E$175,$C163))</f>
        <v/>
      </c>
      <c r="S163" t="str">
        <f>IF($A163="","",SUMIFS(Allocation!$K$1:$K$175,Allocation!$C$1:$C$175,$A163,Allocation!$E$1:$E$175,$C163))</f>
        <v/>
      </c>
      <c r="T163" t="str">
        <f>IF($A163="","",SUMIFS(Allocation!$I$1:$I$175,Allocation!$C$1:$C$175,$A163))</f>
        <v/>
      </c>
      <c r="U163" t="str">
        <f>IF($A163="","",SUMIFS(Allocation!$J$1:$J$175,Allocation!$C$1:$C$175,$A163))</f>
        <v/>
      </c>
      <c r="V163" t="str">
        <f>IF($A163="","",SUMIFS(Allocation!$K$1:$K$175,Allocation!$C$1:$C$175,$A163))</f>
        <v/>
      </c>
      <c r="W163" t="str">
        <f>IF($A163="","",SUMIFS(Compta!$F$1:$F$675,Compta!$A$1:$A$675,$B163,Compta!$B$1:$B$675,"621",Compta!$C$1:$C$675,$A163))</f>
        <v/>
      </c>
      <c r="X163" t="str">
        <f>IF($A163="","",SUMIFS(Compta!$F$1:$F$675,Compta!$A$1:$A$675,$B163,Compta!$B$1:$B$675,"6411",Compta!$C$1:$C$675,$A163))</f>
        <v/>
      </c>
      <c r="Y163" t="str">
        <f>IF($A163="","",SUMIFS(Compta!$F$1:$F$675,Compta!$A$1:$A$675,$B163,Compta!$B$1:$B$675,"604",Compta!$C$1:$C$675,$A163)+SUMIFS(Compta!$F$1:$F$675,Compta!$A$1:$A$675,$B163,Compta!$B$1:$B$675,"6063",Compta!$C$1:$C$675,$A163))</f>
        <v/>
      </c>
      <c r="Z163" t="str">
        <f>IF($A163="","",SUMIFS(Compta!$F$1:$F$675,Compta!$A$1:$A$675,$B163,Compta!$B$1:$B$675,"6231",Compta!$C$1:$C$675,$A163))</f>
        <v/>
      </c>
      <c r="AA163" t="str">
        <f>IF($A163="","",SUMIFS(Compta!$F$1:$F$675,Compta!$A$1:$A$675,$B163,Compta!$B$1:$B$675,"6413",Compta!$C$1:$C$675,$A163)+SUMIFS(Compta!$F$1:$F$675,Compta!$A$1:$A$675,$B163,Compta!$B$1:$B$675,"645",Compta!$C$1:$C$675,$A163)+SUMIFS(Compta!$F$1:$F$675,Compta!$A$1:$A$675,$B163,Compta!$B$1:$B$675,"613",Compta!$C$1:$C$675,$A163)+SUMIFS(Compta!$F$1:$F$675,Compta!$A$1:$A$675,$B163,Compta!$B$1:$B$675,"615",Compta!$C$1:$C$675,$A163)+SUMIFS(Compta!$F$1:$F$675,Compta!$A$1:$A$675,$B163,Compta!$B$1:$B$675,"616",Compta!$C$1:$C$675,$A163)+SUMIFS(Compta!$F$1:$F$675,Compta!$A$1:$A$675,$B163,Compta!$B$1:$B$675,"625",Compta!$C$1:$C$675,$A163)+SUMIFS(Compta!$F$1:$F$675,Compta!$A$1:$A$675,$B163,Compta!$B$1:$B$675,"63511",Compta!$C$1:$C$675,$A163))</f>
        <v/>
      </c>
      <c r="AB163" t="str">
        <f>IF($A163="","",SUMIFS(Compta!$F$1:$F$675,Compta!$A$1:$A$675,"GRP",Compta!$B$1:$B$675,"6414",Compta!$C$1:$C$675,$A163)+SUMIFS(Compta!$F$1:$F$675,Compta!$A$1:$A$675,"GRP",Compta!$B$1:$B$675,"6226",Compta!$C$1:$C$675,$A163)+SUMIFS(Compta!$F$1:$F$675,Compta!$A$1:$A$675,"GRP",Compta!$B$1:$B$675,"626",Compta!$C$1:$C$675,$A163)+SUMIFS(Compta!$F$1:$F$675,Compta!$A$1:$A$675,"GRP",Compta!$B$1:$B$675,"6281",Compta!$C$1:$C$675,$A163)+SUMIFS(Compta!$F$1:$F$675,Compta!$A$1:$A$675,"GRP",Compta!$B$1:$B$675,"6331",Compta!$C$1:$C$675,$A163)+SUMIFS(Compta!$F$1:$F$675,Compta!$A$1:$A$675,"GRP",Compta!$B$1:$B$675,"6333",Compta!$C$1:$C$675,$A163))</f>
        <v/>
      </c>
      <c r="AC163" t="str">
        <f t="shared" si="39"/>
        <v/>
      </c>
      <c r="AD163" t="str">
        <f t="shared" si="40"/>
        <v/>
      </c>
      <c r="AE163" t="str">
        <f t="shared" si="41"/>
        <v/>
      </c>
      <c r="AF163" t="str">
        <f t="shared" si="42"/>
        <v/>
      </c>
      <c r="AG163" t="str">
        <f t="shared" si="43"/>
        <v/>
      </c>
      <c r="AH163" t="str">
        <f t="shared" si="44"/>
        <v/>
      </c>
      <c r="AI163" t="str">
        <f t="shared" si="45"/>
        <v/>
      </c>
      <c r="AJ163" t="str">
        <f t="shared" si="46"/>
        <v/>
      </c>
      <c r="AK163" t="str">
        <f t="shared" si="47"/>
        <v/>
      </c>
      <c r="AL163" t="str">
        <f t="shared" si="48"/>
        <v/>
      </c>
      <c r="AM163" t="str">
        <f t="shared" si="49"/>
        <v/>
      </c>
      <c r="AN163" t="str">
        <f t="shared" si="50"/>
        <v/>
      </c>
      <c r="AO163" t="str">
        <f>IF($A163="","",SUMIFS(Compta!$F$1:$F$675,Compta!$A$1:$A$675,"GRP",Compta!$B$1:$B$675,"6236",Compta!$C$1:$C$675,$A163))</f>
        <v/>
      </c>
      <c r="AP163" t="str">
        <f t="shared" si="51"/>
        <v/>
      </c>
      <c r="AQ163" t="str">
        <f t="shared" si="52"/>
        <v/>
      </c>
      <c r="AR163" t="str">
        <f t="shared" si="53"/>
        <v/>
      </c>
    </row>
    <row r="164" spans="1:44" x14ac:dyDescent="0.45">
      <c r="A164" t="str">
        <f>IF(Allocation!C164="","",Allocation!C164)</f>
        <v/>
      </c>
      <c r="B164" t="str">
        <f>IF(Allocation!D164="","",Allocation!D164)</f>
        <v/>
      </c>
      <c r="C164" t="str">
        <f>IF(Allocation!E164="","",Allocation!E164)</f>
        <v/>
      </c>
      <c r="D164" t="str">
        <f>IF(Allocation!F164="","",Allocation!F164)</f>
        <v/>
      </c>
      <c r="E164" t="str">
        <f>IF(Allocation!G164="","",Allocation!G164)</f>
        <v/>
      </c>
      <c r="F164" t="str">
        <f>IF(Allocation!H164="","",Allocation!H164)</f>
        <v/>
      </c>
      <c r="G164" t="str">
        <f>IF(Allocation!D164="","",Allocation!I164)</f>
        <v/>
      </c>
      <c r="H164" t="str">
        <f>IF(Allocation!D164="","",Allocation!J164)</f>
        <v/>
      </c>
      <c r="I164" t="str">
        <f>IF(Allocation!D164="","",Allocation!K164)</f>
        <v/>
      </c>
      <c r="J164" t="str">
        <f>IF($A164="","",SUMIFS(Socle!$K$1:$K$1000,Socle!$C$1:$C$1000,$B164,Socle!$D$1:$D$1000,$D164,Socle!$E$1:$E$1000,$E164,Socle!$F$1:$F$1000,$F164,Socle!$G$1:$G$1000,$A164))</f>
        <v/>
      </c>
      <c r="K164" t="str">
        <f t="shared" si="36"/>
        <v/>
      </c>
      <c r="L164" t="str">
        <f>IF($A164="","",SUMIFS(Allocation!$I$1:$I$175,Allocation!$C$1:$C$175,$A164,Allocation!$D$1:$D$175,$B164))</f>
        <v/>
      </c>
      <c r="M164" t="str">
        <f>IF($A164="","",SUMIFS(Allocation!$J$1:$J$175,Allocation!$C$1:$C$175,$A164,Allocation!$D$1:$D$175,$B164))</f>
        <v/>
      </c>
      <c r="N164" t="str">
        <f>IF($A164="","",SUMIFS(Allocation!$K$1:$K$175,Allocation!$C$1:$C$175,$A164,Allocation!$D$1:$D$175,$B164))</f>
        <v/>
      </c>
      <c r="O164" t="str">
        <f t="shared" si="37"/>
        <v/>
      </c>
      <c r="P164" t="str">
        <f t="shared" si="38"/>
        <v/>
      </c>
      <c r="Q164" t="str">
        <f>IF($A164="","",SUMIFS(Allocation!$I$1:$I$175,Allocation!$C$1:$C$175,$A164,Allocation!$E$1:$E$175,$C164))</f>
        <v/>
      </c>
      <c r="R164" t="str">
        <f>IF($A164="","",SUMIFS(Allocation!$J$1:$J$175,Allocation!$C$1:$C$175,$A164,Allocation!$E$1:$E$175,$C164))</f>
        <v/>
      </c>
      <c r="S164" t="str">
        <f>IF($A164="","",SUMIFS(Allocation!$K$1:$K$175,Allocation!$C$1:$C$175,$A164,Allocation!$E$1:$E$175,$C164))</f>
        <v/>
      </c>
      <c r="T164" t="str">
        <f>IF($A164="","",SUMIFS(Allocation!$I$1:$I$175,Allocation!$C$1:$C$175,$A164))</f>
        <v/>
      </c>
      <c r="U164" t="str">
        <f>IF($A164="","",SUMIFS(Allocation!$J$1:$J$175,Allocation!$C$1:$C$175,$A164))</f>
        <v/>
      </c>
      <c r="V164" t="str">
        <f>IF($A164="","",SUMIFS(Allocation!$K$1:$K$175,Allocation!$C$1:$C$175,$A164))</f>
        <v/>
      </c>
      <c r="W164" t="str">
        <f>IF($A164="","",SUMIFS(Compta!$F$1:$F$675,Compta!$A$1:$A$675,$B164,Compta!$B$1:$B$675,"621",Compta!$C$1:$C$675,$A164))</f>
        <v/>
      </c>
      <c r="X164" t="str">
        <f>IF($A164="","",SUMIFS(Compta!$F$1:$F$675,Compta!$A$1:$A$675,$B164,Compta!$B$1:$B$675,"6411",Compta!$C$1:$C$675,$A164))</f>
        <v/>
      </c>
      <c r="Y164" t="str">
        <f>IF($A164="","",SUMIFS(Compta!$F$1:$F$675,Compta!$A$1:$A$675,$B164,Compta!$B$1:$B$675,"604",Compta!$C$1:$C$675,$A164)+SUMIFS(Compta!$F$1:$F$675,Compta!$A$1:$A$675,$B164,Compta!$B$1:$B$675,"6063",Compta!$C$1:$C$675,$A164))</f>
        <v/>
      </c>
      <c r="Z164" t="str">
        <f>IF($A164="","",SUMIFS(Compta!$F$1:$F$675,Compta!$A$1:$A$675,$B164,Compta!$B$1:$B$675,"6231",Compta!$C$1:$C$675,$A164))</f>
        <v/>
      </c>
      <c r="AA164" t="str">
        <f>IF($A164="","",SUMIFS(Compta!$F$1:$F$675,Compta!$A$1:$A$675,$B164,Compta!$B$1:$B$675,"6413",Compta!$C$1:$C$675,$A164)+SUMIFS(Compta!$F$1:$F$675,Compta!$A$1:$A$675,$B164,Compta!$B$1:$B$675,"645",Compta!$C$1:$C$675,$A164)+SUMIFS(Compta!$F$1:$F$675,Compta!$A$1:$A$675,$B164,Compta!$B$1:$B$675,"613",Compta!$C$1:$C$675,$A164)+SUMIFS(Compta!$F$1:$F$675,Compta!$A$1:$A$675,$B164,Compta!$B$1:$B$675,"615",Compta!$C$1:$C$675,$A164)+SUMIFS(Compta!$F$1:$F$675,Compta!$A$1:$A$675,$B164,Compta!$B$1:$B$675,"616",Compta!$C$1:$C$675,$A164)+SUMIFS(Compta!$F$1:$F$675,Compta!$A$1:$A$675,$B164,Compta!$B$1:$B$675,"625",Compta!$C$1:$C$675,$A164)+SUMIFS(Compta!$F$1:$F$675,Compta!$A$1:$A$675,$B164,Compta!$B$1:$B$675,"63511",Compta!$C$1:$C$675,$A164))</f>
        <v/>
      </c>
      <c r="AB164" t="str">
        <f>IF($A164="","",SUMIFS(Compta!$F$1:$F$675,Compta!$A$1:$A$675,"GRP",Compta!$B$1:$B$675,"6414",Compta!$C$1:$C$675,$A164)+SUMIFS(Compta!$F$1:$F$675,Compta!$A$1:$A$675,"GRP",Compta!$B$1:$B$675,"6226",Compta!$C$1:$C$675,$A164)+SUMIFS(Compta!$F$1:$F$675,Compta!$A$1:$A$675,"GRP",Compta!$B$1:$B$675,"626",Compta!$C$1:$C$675,$A164)+SUMIFS(Compta!$F$1:$F$675,Compta!$A$1:$A$675,"GRP",Compta!$B$1:$B$675,"6281",Compta!$C$1:$C$675,$A164)+SUMIFS(Compta!$F$1:$F$675,Compta!$A$1:$A$675,"GRP",Compta!$B$1:$B$675,"6331",Compta!$C$1:$C$675,$A164)+SUMIFS(Compta!$F$1:$F$675,Compta!$A$1:$A$675,"GRP",Compta!$B$1:$B$675,"6333",Compta!$C$1:$C$675,$A164))</f>
        <v/>
      </c>
      <c r="AC164" t="str">
        <f t="shared" si="39"/>
        <v/>
      </c>
      <c r="AD164" t="str">
        <f t="shared" si="40"/>
        <v/>
      </c>
      <c r="AE164" t="str">
        <f t="shared" si="41"/>
        <v/>
      </c>
      <c r="AF164" t="str">
        <f t="shared" si="42"/>
        <v/>
      </c>
      <c r="AG164" t="str">
        <f t="shared" si="43"/>
        <v/>
      </c>
      <c r="AH164" t="str">
        <f t="shared" si="44"/>
        <v/>
      </c>
      <c r="AI164" t="str">
        <f t="shared" si="45"/>
        <v/>
      </c>
      <c r="AJ164" t="str">
        <f t="shared" si="46"/>
        <v/>
      </c>
      <c r="AK164" t="str">
        <f t="shared" si="47"/>
        <v/>
      </c>
      <c r="AL164" t="str">
        <f t="shared" si="48"/>
        <v/>
      </c>
      <c r="AM164" t="str">
        <f t="shared" si="49"/>
        <v/>
      </c>
      <c r="AN164" t="str">
        <f t="shared" si="50"/>
        <v/>
      </c>
      <c r="AO164" t="str">
        <f>IF($A164="","",SUMIFS(Compta!$F$1:$F$675,Compta!$A$1:$A$675,"GRP",Compta!$B$1:$B$675,"6236",Compta!$C$1:$C$675,$A164))</f>
        <v/>
      </c>
      <c r="AP164" t="str">
        <f t="shared" si="51"/>
        <v/>
      </c>
      <c r="AQ164" t="str">
        <f t="shared" si="52"/>
        <v/>
      </c>
      <c r="AR164" t="str">
        <f t="shared" si="53"/>
        <v/>
      </c>
    </row>
    <row r="165" spans="1:44" x14ac:dyDescent="0.45">
      <c r="A165" t="str">
        <f>IF(Allocation!C165="","",Allocation!C165)</f>
        <v/>
      </c>
      <c r="B165" t="str">
        <f>IF(Allocation!D165="","",Allocation!D165)</f>
        <v/>
      </c>
      <c r="C165" t="str">
        <f>IF(Allocation!E165="","",Allocation!E165)</f>
        <v/>
      </c>
      <c r="D165" t="str">
        <f>IF(Allocation!F165="","",Allocation!F165)</f>
        <v/>
      </c>
      <c r="E165" t="str">
        <f>IF(Allocation!G165="","",Allocation!G165)</f>
        <v/>
      </c>
      <c r="F165" t="str">
        <f>IF(Allocation!H165="","",Allocation!H165)</f>
        <v/>
      </c>
      <c r="G165" t="str">
        <f>IF(Allocation!D165="","",Allocation!I165)</f>
        <v/>
      </c>
      <c r="H165" t="str">
        <f>IF(Allocation!D165="","",Allocation!J165)</f>
        <v/>
      </c>
      <c r="I165" t="str">
        <f>IF(Allocation!D165="","",Allocation!K165)</f>
        <v/>
      </c>
      <c r="J165" t="str">
        <f>IF($A165="","",SUMIFS(Socle!$K$1:$K$1000,Socle!$C$1:$C$1000,$B165,Socle!$D$1:$D$1000,$D165,Socle!$E$1:$E$1000,$E165,Socle!$F$1:$F$1000,$F165,Socle!$G$1:$G$1000,$A165))</f>
        <v/>
      </c>
      <c r="K165" t="str">
        <f t="shared" si="36"/>
        <v/>
      </c>
      <c r="L165" t="str">
        <f>IF($A165="","",SUMIFS(Allocation!$I$1:$I$175,Allocation!$C$1:$C$175,$A165,Allocation!$D$1:$D$175,$B165))</f>
        <v/>
      </c>
      <c r="M165" t="str">
        <f>IF($A165="","",SUMIFS(Allocation!$J$1:$J$175,Allocation!$C$1:$C$175,$A165,Allocation!$D$1:$D$175,$B165))</f>
        <v/>
      </c>
      <c r="N165" t="str">
        <f>IF($A165="","",SUMIFS(Allocation!$K$1:$K$175,Allocation!$C$1:$C$175,$A165,Allocation!$D$1:$D$175,$B165))</f>
        <v/>
      </c>
      <c r="O165" t="str">
        <f t="shared" si="37"/>
        <v/>
      </c>
      <c r="P165" t="str">
        <f t="shared" si="38"/>
        <v/>
      </c>
      <c r="Q165" t="str">
        <f>IF($A165="","",SUMIFS(Allocation!$I$1:$I$175,Allocation!$C$1:$C$175,$A165,Allocation!$E$1:$E$175,$C165))</f>
        <v/>
      </c>
      <c r="R165" t="str">
        <f>IF($A165="","",SUMIFS(Allocation!$J$1:$J$175,Allocation!$C$1:$C$175,$A165,Allocation!$E$1:$E$175,$C165))</f>
        <v/>
      </c>
      <c r="S165" t="str">
        <f>IF($A165="","",SUMIFS(Allocation!$K$1:$K$175,Allocation!$C$1:$C$175,$A165,Allocation!$E$1:$E$175,$C165))</f>
        <v/>
      </c>
      <c r="T165" t="str">
        <f>IF($A165="","",SUMIFS(Allocation!$I$1:$I$175,Allocation!$C$1:$C$175,$A165))</f>
        <v/>
      </c>
      <c r="U165" t="str">
        <f>IF($A165="","",SUMIFS(Allocation!$J$1:$J$175,Allocation!$C$1:$C$175,$A165))</f>
        <v/>
      </c>
      <c r="V165" t="str">
        <f>IF($A165="","",SUMIFS(Allocation!$K$1:$K$175,Allocation!$C$1:$C$175,$A165))</f>
        <v/>
      </c>
      <c r="W165" t="str">
        <f>IF($A165="","",SUMIFS(Compta!$F$1:$F$675,Compta!$A$1:$A$675,$B165,Compta!$B$1:$B$675,"621",Compta!$C$1:$C$675,$A165))</f>
        <v/>
      </c>
      <c r="X165" t="str">
        <f>IF($A165="","",SUMIFS(Compta!$F$1:$F$675,Compta!$A$1:$A$675,$B165,Compta!$B$1:$B$675,"6411",Compta!$C$1:$C$675,$A165))</f>
        <v/>
      </c>
      <c r="Y165" t="str">
        <f>IF($A165="","",SUMIFS(Compta!$F$1:$F$675,Compta!$A$1:$A$675,$B165,Compta!$B$1:$B$675,"604",Compta!$C$1:$C$675,$A165)+SUMIFS(Compta!$F$1:$F$675,Compta!$A$1:$A$675,$B165,Compta!$B$1:$B$675,"6063",Compta!$C$1:$C$675,$A165))</f>
        <v/>
      </c>
      <c r="Z165" t="str">
        <f>IF($A165="","",SUMIFS(Compta!$F$1:$F$675,Compta!$A$1:$A$675,$B165,Compta!$B$1:$B$675,"6231",Compta!$C$1:$C$675,$A165))</f>
        <v/>
      </c>
      <c r="AA165" t="str">
        <f>IF($A165="","",SUMIFS(Compta!$F$1:$F$675,Compta!$A$1:$A$675,$B165,Compta!$B$1:$B$675,"6413",Compta!$C$1:$C$675,$A165)+SUMIFS(Compta!$F$1:$F$675,Compta!$A$1:$A$675,$B165,Compta!$B$1:$B$675,"645",Compta!$C$1:$C$675,$A165)+SUMIFS(Compta!$F$1:$F$675,Compta!$A$1:$A$675,$B165,Compta!$B$1:$B$675,"613",Compta!$C$1:$C$675,$A165)+SUMIFS(Compta!$F$1:$F$675,Compta!$A$1:$A$675,$B165,Compta!$B$1:$B$675,"615",Compta!$C$1:$C$675,$A165)+SUMIFS(Compta!$F$1:$F$675,Compta!$A$1:$A$675,$B165,Compta!$B$1:$B$675,"616",Compta!$C$1:$C$675,$A165)+SUMIFS(Compta!$F$1:$F$675,Compta!$A$1:$A$675,$B165,Compta!$B$1:$B$675,"625",Compta!$C$1:$C$675,$A165)+SUMIFS(Compta!$F$1:$F$675,Compta!$A$1:$A$675,$B165,Compta!$B$1:$B$675,"63511",Compta!$C$1:$C$675,$A165))</f>
        <v/>
      </c>
      <c r="AB165" t="str">
        <f>IF($A165="","",SUMIFS(Compta!$F$1:$F$675,Compta!$A$1:$A$675,"GRP",Compta!$B$1:$B$675,"6414",Compta!$C$1:$C$675,$A165)+SUMIFS(Compta!$F$1:$F$675,Compta!$A$1:$A$675,"GRP",Compta!$B$1:$B$675,"6226",Compta!$C$1:$C$675,$A165)+SUMIFS(Compta!$F$1:$F$675,Compta!$A$1:$A$675,"GRP",Compta!$B$1:$B$675,"626",Compta!$C$1:$C$675,$A165)+SUMIFS(Compta!$F$1:$F$675,Compta!$A$1:$A$675,"GRP",Compta!$B$1:$B$675,"6281",Compta!$C$1:$C$675,$A165)+SUMIFS(Compta!$F$1:$F$675,Compta!$A$1:$A$675,"GRP",Compta!$B$1:$B$675,"6331",Compta!$C$1:$C$675,$A165)+SUMIFS(Compta!$F$1:$F$675,Compta!$A$1:$A$675,"GRP",Compta!$B$1:$B$675,"6333",Compta!$C$1:$C$675,$A165))</f>
        <v/>
      </c>
      <c r="AC165" t="str">
        <f t="shared" si="39"/>
        <v/>
      </c>
      <c r="AD165" t="str">
        <f t="shared" si="40"/>
        <v/>
      </c>
      <c r="AE165" t="str">
        <f t="shared" si="41"/>
        <v/>
      </c>
      <c r="AF165" t="str">
        <f t="shared" si="42"/>
        <v/>
      </c>
      <c r="AG165" t="str">
        <f t="shared" si="43"/>
        <v/>
      </c>
      <c r="AH165" t="str">
        <f t="shared" si="44"/>
        <v/>
      </c>
      <c r="AI165" t="str">
        <f t="shared" si="45"/>
        <v/>
      </c>
      <c r="AJ165" t="str">
        <f t="shared" si="46"/>
        <v/>
      </c>
      <c r="AK165" t="str">
        <f t="shared" si="47"/>
        <v/>
      </c>
      <c r="AL165" t="str">
        <f t="shared" si="48"/>
        <v/>
      </c>
      <c r="AM165" t="str">
        <f t="shared" si="49"/>
        <v/>
      </c>
      <c r="AN165" t="str">
        <f t="shared" si="50"/>
        <v/>
      </c>
      <c r="AO165" t="str">
        <f>IF($A165="","",SUMIFS(Compta!$F$1:$F$675,Compta!$A$1:$A$675,"GRP",Compta!$B$1:$B$675,"6236",Compta!$C$1:$C$675,$A165))</f>
        <v/>
      </c>
      <c r="AP165" t="str">
        <f t="shared" si="51"/>
        <v/>
      </c>
      <c r="AQ165" t="str">
        <f t="shared" si="52"/>
        <v/>
      </c>
      <c r="AR165" t="str">
        <f t="shared" si="53"/>
        <v/>
      </c>
    </row>
    <row r="166" spans="1:44" x14ac:dyDescent="0.45">
      <c r="A166" t="str">
        <f>IF(Allocation!C166="","",Allocation!C166)</f>
        <v/>
      </c>
      <c r="B166" t="str">
        <f>IF(Allocation!D166="","",Allocation!D166)</f>
        <v/>
      </c>
      <c r="C166" t="str">
        <f>IF(Allocation!E166="","",Allocation!E166)</f>
        <v/>
      </c>
      <c r="D166" t="str">
        <f>IF(Allocation!F166="","",Allocation!F166)</f>
        <v/>
      </c>
      <c r="E166" t="str">
        <f>IF(Allocation!G166="","",Allocation!G166)</f>
        <v/>
      </c>
      <c r="F166" t="str">
        <f>IF(Allocation!H166="","",Allocation!H166)</f>
        <v/>
      </c>
      <c r="G166" t="str">
        <f>IF(Allocation!D166="","",Allocation!I166)</f>
        <v/>
      </c>
      <c r="H166" t="str">
        <f>IF(Allocation!D166="","",Allocation!J166)</f>
        <v/>
      </c>
      <c r="I166" t="str">
        <f>IF(Allocation!D166="","",Allocation!K166)</f>
        <v/>
      </c>
      <c r="J166" t="str">
        <f>IF($A166="","",SUMIFS(Socle!$K$1:$K$1000,Socle!$C$1:$C$1000,$B166,Socle!$D$1:$D$1000,$D166,Socle!$E$1:$E$1000,$E166,Socle!$F$1:$F$1000,$F166,Socle!$G$1:$G$1000,$A166))</f>
        <v/>
      </c>
      <c r="K166" t="str">
        <f t="shared" si="36"/>
        <v/>
      </c>
      <c r="L166" t="str">
        <f>IF($A166="","",SUMIFS(Allocation!$I$1:$I$175,Allocation!$C$1:$C$175,$A166,Allocation!$D$1:$D$175,$B166))</f>
        <v/>
      </c>
      <c r="M166" t="str">
        <f>IF($A166="","",SUMIFS(Allocation!$J$1:$J$175,Allocation!$C$1:$C$175,$A166,Allocation!$D$1:$D$175,$B166))</f>
        <v/>
      </c>
      <c r="N166" t="str">
        <f>IF($A166="","",SUMIFS(Allocation!$K$1:$K$175,Allocation!$C$1:$C$175,$A166,Allocation!$D$1:$D$175,$B166))</f>
        <v/>
      </c>
      <c r="O166" t="str">
        <f t="shared" si="37"/>
        <v/>
      </c>
      <c r="P166" t="str">
        <f t="shared" si="38"/>
        <v/>
      </c>
      <c r="Q166" t="str">
        <f>IF($A166="","",SUMIFS(Allocation!$I$1:$I$175,Allocation!$C$1:$C$175,$A166,Allocation!$E$1:$E$175,$C166))</f>
        <v/>
      </c>
      <c r="R166" t="str">
        <f>IF($A166="","",SUMIFS(Allocation!$J$1:$J$175,Allocation!$C$1:$C$175,$A166,Allocation!$E$1:$E$175,$C166))</f>
        <v/>
      </c>
      <c r="S166" t="str">
        <f>IF($A166="","",SUMIFS(Allocation!$K$1:$K$175,Allocation!$C$1:$C$175,$A166,Allocation!$E$1:$E$175,$C166))</f>
        <v/>
      </c>
      <c r="T166" t="str">
        <f>IF($A166="","",SUMIFS(Allocation!$I$1:$I$175,Allocation!$C$1:$C$175,$A166))</f>
        <v/>
      </c>
      <c r="U166" t="str">
        <f>IF($A166="","",SUMIFS(Allocation!$J$1:$J$175,Allocation!$C$1:$C$175,$A166))</f>
        <v/>
      </c>
      <c r="V166" t="str">
        <f>IF($A166="","",SUMIFS(Allocation!$K$1:$K$175,Allocation!$C$1:$C$175,$A166))</f>
        <v/>
      </c>
      <c r="W166" t="str">
        <f>IF($A166="","",SUMIFS(Compta!$F$1:$F$675,Compta!$A$1:$A$675,$B166,Compta!$B$1:$B$675,"621",Compta!$C$1:$C$675,$A166))</f>
        <v/>
      </c>
      <c r="X166" t="str">
        <f>IF($A166="","",SUMIFS(Compta!$F$1:$F$675,Compta!$A$1:$A$675,$B166,Compta!$B$1:$B$675,"6411",Compta!$C$1:$C$675,$A166))</f>
        <v/>
      </c>
      <c r="Y166" t="str">
        <f>IF($A166="","",SUMIFS(Compta!$F$1:$F$675,Compta!$A$1:$A$675,$B166,Compta!$B$1:$B$675,"604",Compta!$C$1:$C$675,$A166)+SUMIFS(Compta!$F$1:$F$675,Compta!$A$1:$A$675,$B166,Compta!$B$1:$B$675,"6063",Compta!$C$1:$C$675,$A166))</f>
        <v/>
      </c>
      <c r="Z166" t="str">
        <f>IF($A166="","",SUMIFS(Compta!$F$1:$F$675,Compta!$A$1:$A$675,$B166,Compta!$B$1:$B$675,"6231",Compta!$C$1:$C$675,$A166))</f>
        <v/>
      </c>
      <c r="AA166" t="str">
        <f>IF($A166="","",SUMIFS(Compta!$F$1:$F$675,Compta!$A$1:$A$675,$B166,Compta!$B$1:$B$675,"6413",Compta!$C$1:$C$675,$A166)+SUMIFS(Compta!$F$1:$F$675,Compta!$A$1:$A$675,$B166,Compta!$B$1:$B$675,"645",Compta!$C$1:$C$675,$A166)+SUMIFS(Compta!$F$1:$F$675,Compta!$A$1:$A$675,$B166,Compta!$B$1:$B$675,"613",Compta!$C$1:$C$675,$A166)+SUMIFS(Compta!$F$1:$F$675,Compta!$A$1:$A$675,$B166,Compta!$B$1:$B$675,"615",Compta!$C$1:$C$675,$A166)+SUMIFS(Compta!$F$1:$F$675,Compta!$A$1:$A$675,$B166,Compta!$B$1:$B$675,"616",Compta!$C$1:$C$675,$A166)+SUMIFS(Compta!$F$1:$F$675,Compta!$A$1:$A$675,$B166,Compta!$B$1:$B$675,"625",Compta!$C$1:$C$675,$A166)+SUMIFS(Compta!$F$1:$F$675,Compta!$A$1:$A$675,$B166,Compta!$B$1:$B$675,"63511",Compta!$C$1:$C$675,$A166))</f>
        <v/>
      </c>
      <c r="AB166" t="str">
        <f>IF($A166="","",SUMIFS(Compta!$F$1:$F$675,Compta!$A$1:$A$675,"GRP",Compta!$B$1:$B$675,"6414",Compta!$C$1:$C$675,$A166)+SUMIFS(Compta!$F$1:$F$675,Compta!$A$1:$A$675,"GRP",Compta!$B$1:$B$675,"6226",Compta!$C$1:$C$675,$A166)+SUMIFS(Compta!$F$1:$F$675,Compta!$A$1:$A$675,"GRP",Compta!$B$1:$B$675,"626",Compta!$C$1:$C$675,$A166)+SUMIFS(Compta!$F$1:$F$675,Compta!$A$1:$A$675,"GRP",Compta!$B$1:$B$675,"6281",Compta!$C$1:$C$675,$A166)+SUMIFS(Compta!$F$1:$F$675,Compta!$A$1:$A$675,"GRP",Compta!$B$1:$B$675,"6331",Compta!$C$1:$C$675,$A166)+SUMIFS(Compta!$F$1:$F$675,Compta!$A$1:$A$675,"GRP",Compta!$B$1:$B$675,"6333",Compta!$C$1:$C$675,$A166))</f>
        <v/>
      </c>
      <c r="AC166" t="str">
        <f t="shared" si="39"/>
        <v/>
      </c>
      <c r="AD166" t="str">
        <f t="shared" si="40"/>
        <v/>
      </c>
      <c r="AE166" t="str">
        <f t="shared" si="41"/>
        <v/>
      </c>
      <c r="AF166" t="str">
        <f t="shared" si="42"/>
        <v/>
      </c>
      <c r="AG166" t="str">
        <f t="shared" si="43"/>
        <v/>
      </c>
      <c r="AH166" t="str">
        <f t="shared" si="44"/>
        <v/>
      </c>
      <c r="AI166" t="str">
        <f t="shared" si="45"/>
        <v/>
      </c>
      <c r="AJ166" t="str">
        <f t="shared" si="46"/>
        <v/>
      </c>
      <c r="AK166" t="str">
        <f t="shared" si="47"/>
        <v/>
      </c>
      <c r="AL166" t="str">
        <f t="shared" si="48"/>
        <v/>
      </c>
      <c r="AM166" t="str">
        <f t="shared" si="49"/>
        <v/>
      </c>
      <c r="AN166" t="str">
        <f t="shared" si="50"/>
        <v/>
      </c>
      <c r="AO166" t="str">
        <f>IF($A166="","",SUMIFS(Compta!$F$1:$F$675,Compta!$A$1:$A$675,"GRP",Compta!$B$1:$B$675,"6236",Compta!$C$1:$C$675,$A166))</f>
        <v/>
      </c>
      <c r="AP166" t="str">
        <f t="shared" si="51"/>
        <v/>
      </c>
      <c r="AQ166" t="str">
        <f t="shared" si="52"/>
        <v/>
      </c>
      <c r="AR166" t="str">
        <f t="shared" si="53"/>
        <v/>
      </c>
    </row>
    <row r="167" spans="1:44" x14ac:dyDescent="0.45">
      <c r="A167" t="str">
        <f>IF(Allocation!C167="","",Allocation!C167)</f>
        <v/>
      </c>
      <c r="B167" t="str">
        <f>IF(Allocation!D167="","",Allocation!D167)</f>
        <v/>
      </c>
      <c r="C167" t="str">
        <f>IF(Allocation!E167="","",Allocation!E167)</f>
        <v/>
      </c>
      <c r="D167" t="str">
        <f>IF(Allocation!F167="","",Allocation!F167)</f>
        <v/>
      </c>
      <c r="E167" t="str">
        <f>IF(Allocation!G167="","",Allocation!G167)</f>
        <v/>
      </c>
      <c r="F167" t="str">
        <f>IF(Allocation!H167="","",Allocation!H167)</f>
        <v/>
      </c>
      <c r="G167" t="str">
        <f>IF(Allocation!D167="","",Allocation!I167)</f>
        <v/>
      </c>
      <c r="H167" t="str">
        <f>IF(Allocation!D167="","",Allocation!J167)</f>
        <v/>
      </c>
      <c r="I167" t="str">
        <f>IF(Allocation!D167="","",Allocation!K167)</f>
        <v/>
      </c>
      <c r="J167" t="str">
        <f>IF($A167="","",SUMIFS(Socle!$K$1:$K$1000,Socle!$C$1:$C$1000,$B167,Socle!$D$1:$D$1000,$D167,Socle!$E$1:$E$1000,$E167,Socle!$F$1:$F$1000,$F167,Socle!$G$1:$G$1000,$A167))</f>
        <v/>
      </c>
      <c r="K167" t="str">
        <f t="shared" si="36"/>
        <v/>
      </c>
      <c r="L167" t="str">
        <f>IF($A167="","",SUMIFS(Allocation!$I$1:$I$175,Allocation!$C$1:$C$175,$A167,Allocation!$D$1:$D$175,$B167))</f>
        <v/>
      </c>
      <c r="M167" t="str">
        <f>IF($A167="","",SUMIFS(Allocation!$J$1:$J$175,Allocation!$C$1:$C$175,$A167,Allocation!$D$1:$D$175,$B167))</f>
        <v/>
      </c>
      <c r="N167" t="str">
        <f>IF($A167="","",SUMIFS(Allocation!$K$1:$K$175,Allocation!$C$1:$C$175,$A167,Allocation!$D$1:$D$175,$B167))</f>
        <v/>
      </c>
      <c r="O167" t="str">
        <f t="shared" si="37"/>
        <v/>
      </c>
      <c r="P167" t="str">
        <f t="shared" si="38"/>
        <v/>
      </c>
      <c r="Q167" t="str">
        <f>IF($A167="","",SUMIFS(Allocation!$I$1:$I$175,Allocation!$C$1:$C$175,$A167,Allocation!$E$1:$E$175,$C167))</f>
        <v/>
      </c>
      <c r="R167" t="str">
        <f>IF($A167="","",SUMIFS(Allocation!$J$1:$J$175,Allocation!$C$1:$C$175,$A167,Allocation!$E$1:$E$175,$C167))</f>
        <v/>
      </c>
      <c r="S167" t="str">
        <f>IF($A167="","",SUMIFS(Allocation!$K$1:$K$175,Allocation!$C$1:$C$175,$A167,Allocation!$E$1:$E$175,$C167))</f>
        <v/>
      </c>
      <c r="T167" t="str">
        <f>IF($A167="","",SUMIFS(Allocation!$I$1:$I$175,Allocation!$C$1:$C$175,$A167))</f>
        <v/>
      </c>
      <c r="U167" t="str">
        <f>IF($A167="","",SUMIFS(Allocation!$J$1:$J$175,Allocation!$C$1:$C$175,$A167))</f>
        <v/>
      </c>
      <c r="V167" t="str">
        <f>IF($A167="","",SUMIFS(Allocation!$K$1:$K$175,Allocation!$C$1:$C$175,$A167))</f>
        <v/>
      </c>
      <c r="W167" t="str">
        <f>IF($A167="","",SUMIFS(Compta!$F$1:$F$675,Compta!$A$1:$A$675,$B167,Compta!$B$1:$B$675,"621",Compta!$C$1:$C$675,$A167))</f>
        <v/>
      </c>
      <c r="X167" t="str">
        <f>IF($A167="","",SUMIFS(Compta!$F$1:$F$675,Compta!$A$1:$A$675,$B167,Compta!$B$1:$B$675,"6411",Compta!$C$1:$C$675,$A167))</f>
        <v/>
      </c>
      <c r="Y167" t="str">
        <f>IF($A167="","",SUMIFS(Compta!$F$1:$F$675,Compta!$A$1:$A$675,$B167,Compta!$B$1:$B$675,"604",Compta!$C$1:$C$675,$A167)+SUMIFS(Compta!$F$1:$F$675,Compta!$A$1:$A$675,$B167,Compta!$B$1:$B$675,"6063",Compta!$C$1:$C$675,$A167))</f>
        <v/>
      </c>
      <c r="Z167" t="str">
        <f>IF($A167="","",SUMIFS(Compta!$F$1:$F$675,Compta!$A$1:$A$675,$B167,Compta!$B$1:$B$675,"6231",Compta!$C$1:$C$675,$A167))</f>
        <v/>
      </c>
      <c r="AA167" t="str">
        <f>IF($A167="","",SUMIFS(Compta!$F$1:$F$675,Compta!$A$1:$A$675,$B167,Compta!$B$1:$B$675,"6413",Compta!$C$1:$C$675,$A167)+SUMIFS(Compta!$F$1:$F$675,Compta!$A$1:$A$675,$B167,Compta!$B$1:$B$675,"645",Compta!$C$1:$C$675,$A167)+SUMIFS(Compta!$F$1:$F$675,Compta!$A$1:$A$675,$B167,Compta!$B$1:$B$675,"613",Compta!$C$1:$C$675,$A167)+SUMIFS(Compta!$F$1:$F$675,Compta!$A$1:$A$675,$B167,Compta!$B$1:$B$675,"615",Compta!$C$1:$C$675,$A167)+SUMIFS(Compta!$F$1:$F$675,Compta!$A$1:$A$675,$B167,Compta!$B$1:$B$675,"616",Compta!$C$1:$C$675,$A167)+SUMIFS(Compta!$F$1:$F$675,Compta!$A$1:$A$675,$B167,Compta!$B$1:$B$675,"625",Compta!$C$1:$C$675,$A167)+SUMIFS(Compta!$F$1:$F$675,Compta!$A$1:$A$675,$B167,Compta!$B$1:$B$675,"63511",Compta!$C$1:$C$675,$A167))</f>
        <v/>
      </c>
      <c r="AB167" t="str">
        <f>IF($A167="","",SUMIFS(Compta!$F$1:$F$675,Compta!$A$1:$A$675,"GRP",Compta!$B$1:$B$675,"6414",Compta!$C$1:$C$675,$A167)+SUMIFS(Compta!$F$1:$F$675,Compta!$A$1:$A$675,"GRP",Compta!$B$1:$B$675,"6226",Compta!$C$1:$C$675,$A167)+SUMIFS(Compta!$F$1:$F$675,Compta!$A$1:$A$675,"GRP",Compta!$B$1:$B$675,"626",Compta!$C$1:$C$675,$A167)+SUMIFS(Compta!$F$1:$F$675,Compta!$A$1:$A$675,"GRP",Compta!$B$1:$B$675,"6281",Compta!$C$1:$C$675,$A167)+SUMIFS(Compta!$F$1:$F$675,Compta!$A$1:$A$675,"GRP",Compta!$B$1:$B$675,"6331",Compta!$C$1:$C$675,$A167)+SUMIFS(Compta!$F$1:$F$675,Compta!$A$1:$A$675,"GRP",Compta!$B$1:$B$675,"6333",Compta!$C$1:$C$675,$A167))</f>
        <v/>
      </c>
      <c r="AC167" t="str">
        <f t="shared" si="39"/>
        <v/>
      </c>
      <c r="AD167" t="str">
        <f t="shared" si="40"/>
        <v/>
      </c>
      <c r="AE167" t="str">
        <f t="shared" si="41"/>
        <v/>
      </c>
      <c r="AF167" t="str">
        <f t="shared" si="42"/>
        <v/>
      </c>
      <c r="AG167" t="str">
        <f t="shared" si="43"/>
        <v/>
      </c>
      <c r="AH167" t="str">
        <f t="shared" si="44"/>
        <v/>
      </c>
      <c r="AI167" t="str">
        <f t="shared" si="45"/>
        <v/>
      </c>
      <c r="AJ167" t="str">
        <f t="shared" si="46"/>
        <v/>
      </c>
      <c r="AK167" t="str">
        <f t="shared" si="47"/>
        <v/>
      </c>
      <c r="AL167" t="str">
        <f t="shared" si="48"/>
        <v/>
      </c>
      <c r="AM167" t="str">
        <f t="shared" si="49"/>
        <v/>
      </c>
      <c r="AN167" t="str">
        <f t="shared" si="50"/>
        <v/>
      </c>
      <c r="AO167" t="str">
        <f>IF($A167="","",SUMIFS(Compta!$F$1:$F$675,Compta!$A$1:$A$675,"GRP",Compta!$B$1:$B$675,"6236",Compta!$C$1:$C$675,$A167))</f>
        <v/>
      </c>
      <c r="AP167" t="str">
        <f t="shared" si="51"/>
        <v/>
      </c>
      <c r="AQ167" t="str">
        <f t="shared" si="52"/>
        <v/>
      </c>
      <c r="AR167" t="str">
        <f t="shared" si="53"/>
        <v/>
      </c>
    </row>
    <row r="168" spans="1:44" x14ac:dyDescent="0.45">
      <c r="A168" t="str">
        <f>IF(Allocation!C168="","",Allocation!C168)</f>
        <v/>
      </c>
      <c r="B168" t="str">
        <f>IF(Allocation!D168="","",Allocation!D168)</f>
        <v/>
      </c>
      <c r="C168" t="str">
        <f>IF(Allocation!E168="","",Allocation!E168)</f>
        <v/>
      </c>
      <c r="D168" t="str">
        <f>IF(Allocation!F168="","",Allocation!F168)</f>
        <v/>
      </c>
      <c r="E168" t="str">
        <f>IF(Allocation!G168="","",Allocation!G168)</f>
        <v/>
      </c>
      <c r="F168" t="str">
        <f>IF(Allocation!H168="","",Allocation!H168)</f>
        <v/>
      </c>
      <c r="G168" t="str">
        <f>IF(Allocation!D168="","",Allocation!I168)</f>
        <v/>
      </c>
      <c r="H168" t="str">
        <f>IF(Allocation!D168="","",Allocation!J168)</f>
        <v/>
      </c>
      <c r="I168" t="str">
        <f>IF(Allocation!D168="","",Allocation!K168)</f>
        <v/>
      </c>
      <c r="J168" t="str">
        <f>IF($A168="","",SUMIFS(Socle!$K$1:$K$1000,Socle!$C$1:$C$1000,$B168,Socle!$D$1:$D$1000,$D168,Socle!$E$1:$E$1000,$E168,Socle!$F$1:$F$1000,$F168,Socle!$G$1:$G$1000,$A168))</f>
        <v/>
      </c>
      <c r="K168" t="str">
        <f t="shared" si="36"/>
        <v/>
      </c>
      <c r="L168" t="str">
        <f>IF($A168="","",SUMIFS(Allocation!$I$1:$I$175,Allocation!$C$1:$C$175,$A168,Allocation!$D$1:$D$175,$B168))</f>
        <v/>
      </c>
      <c r="M168" t="str">
        <f>IF($A168="","",SUMIFS(Allocation!$J$1:$J$175,Allocation!$C$1:$C$175,$A168,Allocation!$D$1:$D$175,$B168))</f>
        <v/>
      </c>
      <c r="N168" t="str">
        <f>IF($A168="","",SUMIFS(Allocation!$K$1:$K$175,Allocation!$C$1:$C$175,$A168,Allocation!$D$1:$D$175,$B168))</f>
        <v/>
      </c>
      <c r="O168" t="str">
        <f t="shared" si="37"/>
        <v/>
      </c>
      <c r="P168" t="str">
        <f t="shared" si="38"/>
        <v/>
      </c>
      <c r="Q168" t="str">
        <f>IF($A168="","",SUMIFS(Allocation!$I$1:$I$175,Allocation!$C$1:$C$175,$A168,Allocation!$E$1:$E$175,$C168))</f>
        <v/>
      </c>
      <c r="R168" t="str">
        <f>IF($A168="","",SUMIFS(Allocation!$J$1:$J$175,Allocation!$C$1:$C$175,$A168,Allocation!$E$1:$E$175,$C168))</f>
        <v/>
      </c>
      <c r="S168" t="str">
        <f>IF($A168="","",SUMIFS(Allocation!$K$1:$K$175,Allocation!$C$1:$C$175,$A168,Allocation!$E$1:$E$175,$C168))</f>
        <v/>
      </c>
      <c r="T168" t="str">
        <f>IF($A168="","",SUMIFS(Allocation!$I$1:$I$175,Allocation!$C$1:$C$175,$A168))</f>
        <v/>
      </c>
      <c r="U168" t="str">
        <f>IF($A168="","",SUMIFS(Allocation!$J$1:$J$175,Allocation!$C$1:$C$175,$A168))</f>
        <v/>
      </c>
      <c r="V168" t="str">
        <f>IF($A168="","",SUMIFS(Allocation!$K$1:$K$175,Allocation!$C$1:$C$175,$A168))</f>
        <v/>
      </c>
      <c r="W168" t="str">
        <f>IF($A168="","",SUMIFS(Compta!$F$1:$F$675,Compta!$A$1:$A$675,$B168,Compta!$B$1:$B$675,"621",Compta!$C$1:$C$675,$A168))</f>
        <v/>
      </c>
      <c r="X168" t="str">
        <f>IF($A168="","",SUMIFS(Compta!$F$1:$F$675,Compta!$A$1:$A$675,$B168,Compta!$B$1:$B$675,"6411",Compta!$C$1:$C$675,$A168))</f>
        <v/>
      </c>
      <c r="Y168" t="str">
        <f>IF($A168="","",SUMIFS(Compta!$F$1:$F$675,Compta!$A$1:$A$675,$B168,Compta!$B$1:$B$675,"604",Compta!$C$1:$C$675,$A168)+SUMIFS(Compta!$F$1:$F$675,Compta!$A$1:$A$675,$B168,Compta!$B$1:$B$675,"6063",Compta!$C$1:$C$675,$A168))</f>
        <v/>
      </c>
      <c r="Z168" t="str">
        <f>IF($A168="","",SUMIFS(Compta!$F$1:$F$675,Compta!$A$1:$A$675,$B168,Compta!$B$1:$B$675,"6231",Compta!$C$1:$C$675,$A168))</f>
        <v/>
      </c>
      <c r="AA168" t="str">
        <f>IF($A168="","",SUMIFS(Compta!$F$1:$F$675,Compta!$A$1:$A$675,$B168,Compta!$B$1:$B$675,"6413",Compta!$C$1:$C$675,$A168)+SUMIFS(Compta!$F$1:$F$675,Compta!$A$1:$A$675,$B168,Compta!$B$1:$B$675,"645",Compta!$C$1:$C$675,$A168)+SUMIFS(Compta!$F$1:$F$675,Compta!$A$1:$A$675,$B168,Compta!$B$1:$B$675,"613",Compta!$C$1:$C$675,$A168)+SUMIFS(Compta!$F$1:$F$675,Compta!$A$1:$A$675,$B168,Compta!$B$1:$B$675,"615",Compta!$C$1:$C$675,$A168)+SUMIFS(Compta!$F$1:$F$675,Compta!$A$1:$A$675,$B168,Compta!$B$1:$B$675,"616",Compta!$C$1:$C$675,$A168)+SUMIFS(Compta!$F$1:$F$675,Compta!$A$1:$A$675,$B168,Compta!$B$1:$B$675,"625",Compta!$C$1:$C$675,$A168)+SUMIFS(Compta!$F$1:$F$675,Compta!$A$1:$A$675,$B168,Compta!$B$1:$B$675,"63511",Compta!$C$1:$C$675,$A168))</f>
        <v/>
      </c>
      <c r="AB168" t="str">
        <f>IF($A168="","",SUMIFS(Compta!$F$1:$F$675,Compta!$A$1:$A$675,"GRP",Compta!$B$1:$B$675,"6414",Compta!$C$1:$C$675,$A168)+SUMIFS(Compta!$F$1:$F$675,Compta!$A$1:$A$675,"GRP",Compta!$B$1:$B$675,"6226",Compta!$C$1:$C$675,$A168)+SUMIFS(Compta!$F$1:$F$675,Compta!$A$1:$A$675,"GRP",Compta!$B$1:$B$675,"626",Compta!$C$1:$C$675,$A168)+SUMIFS(Compta!$F$1:$F$675,Compta!$A$1:$A$675,"GRP",Compta!$B$1:$B$675,"6281",Compta!$C$1:$C$675,$A168)+SUMIFS(Compta!$F$1:$F$675,Compta!$A$1:$A$675,"GRP",Compta!$B$1:$B$675,"6331",Compta!$C$1:$C$675,$A168)+SUMIFS(Compta!$F$1:$F$675,Compta!$A$1:$A$675,"GRP",Compta!$B$1:$B$675,"6333",Compta!$C$1:$C$675,$A168))</f>
        <v/>
      </c>
      <c r="AC168" t="str">
        <f t="shared" si="39"/>
        <v/>
      </c>
      <c r="AD168" t="str">
        <f t="shared" si="40"/>
        <v/>
      </c>
      <c r="AE168" t="str">
        <f t="shared" si="41"/>
        <v/>
      </c>
      <c r="AF168" t="str">
        <f t="shared" si="42"/>
        <v/>
      </c>
      <c r="AG168" t="str">
        <f t="shared" si="43"/>
        <v/>
      </c>
      <c r="AH168" t="str">
        <f t="shared" si="44"/>
        <v/>
      </c>
      <c r="AI168" t="str">
        <f t="shared" si="45"/>
        <v/>
      </c>
      <c r="AJ168" t="str">
        <f t="shared" si="46"/>
        <v/>
      </c>
      <c r="AK168" t="str">
        <f t="shared" si="47"/>
        <v/>
      </c>
      <c r="AL168" t="str">
        <f t="shared" si="48"/>
        <v/>
      </c>
      <c r="AM168" t="str">
        <f t="shared" si="49"/>
        <v/>
      </c>
      <c r="AN168" t="str">
        <f t="shared" si="50"/>
        <v/>
      </c>
      <c r="AO168" t="str">
        <f>IF($A168="","",SUMIFS(Compta!$F$1:$F$675,Compta!$A$1:$A$675,"GRP",Compta!$B$1:$B$675,"6236",Compta!$C$1:$C$675,$A168))</f>
        <v/>
      </c>
      <c r="AP168" t="str">
        <f t="shared" si="51"/>
        <v/>
      </c>
      <c r="AQ168" t="str">
        <f t="shared" si="52"/>
        <v/>
      </c>
      <c r="AR168" t="str">
        <f t="shared" si="53"/>
        <v/>
      </c>
    </row>
    <row r="169" spans="1:44" x14ac:dyDescent="0.45">
      <c r="A169" t="str">
        <f>IF(Allocation!C169="","",Allocation!C169)</f>
        <v/>
      </c>
      <c r="B169" t="str">
        <f>IF(Allocation!D169="","",Allocation!D169)</f>
        <v/>
      </c>
      <c r="C169" t="str">
        <f>IF(Allocation!E169="","",Allocation!E169)</f>
        <v/>
      </c>
      <c r="D169" t="str">
        <f>IF(Allocation!F169="","",Allocation!F169)</f>
        <v/>
      </c>
      <c r="E169" t="str">
        <f>IF(Allocation!G169="","",Allocation!G169)</f>
        <v/>
      </c>
      <c r="F169" t="str">
        <f>IF(Allocation!H169="","",Allocation!H169)</f>
        <v/>
      </c>
      <c r="G169" t="str">
        <f>IF(Allocation!D169="","",Allocation!I169)</f>
        <v/>
      </c>
      <c r="H169" t="str">
        <f>IF(Allocation!D169="","",Allocation!J169)</f>
        <v/>
      </c>
      <c r="I169" t="str">
        <f>IF(Allocation!D169="","",Allocation!K169)</f>
        <v/>
      </c>
      <c r="J169" t="str">
        <f>IF($A169="","",SUMIFS(Socle!$K$1:$K$1000,Socle!$C$1:$C$1000,$B169,Socle!$D$1:$D$1000,$D169,Socle!$E$1:$E$1000,$E169,Socle!$F$1:$F$1000,$F169,Socle!$G$1:$G$1000,$A169))</f>
        <v/>
      </c>
      <c r="K169" t="str">
        <f t="shared" si="36"/>
        <v/>
      </c>
      <c r="L169" t="str">
        <f>IF($A169="","",SUMIFS(Allocation!$I$1:$I$175,Allocation!$C$1:$C$175,$A169,Allocation!$D$1:$D$175,$B169))</f>
        <v/>
      </c>
      <c r="M169" t="str">
        <f>IF($A169="","",SUMIFS(Allocation!$J$1:$J$175,Allocation!$C$1:$C$175,$A169,Allocation!$D$1:$D$175,$B169))</f>
        <v/>
      </c>
      <c r="N169" t="str">
        <f>IF($A169="","",SUMIFS(Allocation!$K$1:$K$175,Allocation!$C$1:$C$175,$A169,Allocation!$D$1:$D$175,$B169))</f>
        <v/>
      </c>
      <c r="O169" t="str">
        <f t="shared" si="37"/>
        <v/>
      </c>
      <c r="P169" t="str">
        <f t="shared" si="38"/>
        <v/>
      </c>
      <c r="Q169" t="str">
        <f>IF($A169="","",SUMIFS(Allocation!$I$1:$I$175,Allocation!$C$1:$C$175,$A169,Allocation!$E$1:$E$175,$C169))</f>
        <v/>
      </c>
      <c r="R169" t="str">
        <f>IF($A169="","",SUMIFS(Allocation!$J$1:$J$175,Allocation!$C$1:$C$175,$A169,Allocation!$E$1:$E$175,$C169))</f>
        <v/>
      </c>
      <c r="S169" t="str">
        <f>IF($A169="","",SUMIFS(Allocation!$K$1:$K$175,Allocation!$C$1:$C$175,$A169,Allocation!$E$1:$E$175,$C169))</f>
        <v/>
      </c>
      <c r="T169" t="str">
        <f>IF($A169="","",SUMIFS(Allocation!$I$1:$I$175,Allocation!$C$1:$C$175,$A169))</f>
        <v/>
      </c>
      <c r="U169" t="str">
        <f>IF($A169="","",SUMIFS(Allocation!$J$1:$J$175,Allocation!$C$1:$C$175,$A169))</f>
        <v/>
      </c>
      <c r="V169" t="str">
        <f>IF($A169="","",SUMIFS(Allocation!$K$1:$K$175,Allocation!$C$1:$C$175,$A169))</f>
        <v/>
      </c>
      <c r="W169" t="str">
        <f>IF($A169="","",SUMIFS(Compta!$F$1:$F$675,Compta!$A$1:$A$675,$B169,Compta!$B$1:$B$675,"621",Compta!$C$1:$C$675,$A169))</f>
        <v/>
      </c>
      <c r="X169" t="str">
        <f>IF($A169="","",SUMIFS(Compta!$F$1:$F$675,Compta!$A$1:$A$675,$B169,Compta!$B$1:$B$675,"6411",Compta!$C$1:$C$675,$A169))</f>
        <v/>
      </c>
      <c r="Y169" t="str">
        <f>IF($A169="","",SUMIFS(Compta!$F$1:$F$675,Compta!$A$1:$A$675,$B169,Compta!$B$1:$B$675,"604",Compta!$C$1:$C$675,$A169)+SUMIFS(Compta!$F$1:$F$675,Compta!$A$1:$A$675,$B169,Compta!$B$1:$B$675,"6063",Compta!$C$1:$C$675,$A169))</f>
        <v/>
      </c>
      <c r="Z169" t="str">
        <f>IF($A169="","",SUMIFS(Compta!$F$1:$F$675,Compta!$A$1:$A$675,$B169,Compta!$B$1:$B$675,"6231",Compta!$C$1:$C$675,$A169))</f>
        <v/>
      </c>
      <c r="AA169" t="str">
        <f>IF($A169="","",SUMIFS(Compta!$F$1:$F$675,Compta!$A$1:$A$675,$B169,Compta!$B$1:$B$675,"6413",Compta!$C$1:$C$675,$A169)+SUMIFS(Compta!$F$1:$F$675,Compta!$A$1:$A$675,$B169,Compta!$B$1:$B$675,"645",Compta!$C$1:$C$675,$A169)+SUMIFS(Compta!$F$1:$F$675,Compta!$A$1:$A$675,$B169,Compta!$B$1:$B$675,"613",Compta!$C$1:$C$675,$A169)+SUMIFS(Compta!$F$1:$F$675,Compta!$A$1:$A$675,$B169,Compta!$B$1:$B$675,"615",Compta!$C$1:$C$675,$A169)+SUMIFS(Compta!$F$1:$F$675,Compta!$A$1:$A$675,$B169,Compta!$B$1:$B$675,"616",Compta!$C$1:$C$675,$A169)+SUMIFS(Compta!$F$1:$F$675,Compta!$A$1:$A$675,$B169,Compta!$B$1:$B$675,"625",Compta!$C$1:$C$675,$A169)+SUMIFS(Compta!$F$1:$F$675,Compta!$A$1:$A$675,$B169,Compta!$B$1:$B$675,"63511",Compta!$C$1:$C$675,$A169))</f>
        <v/>
      </c>
      <c r="AB169" t="str">
        <f>IF($A169="","",SUMIFS(Compta!$F$1:$F$675,Compta!$A$1:$A$675,"GRP",Compta!$B$1:$B$675,"6414",Compta!$C$1:$C$675,$A169)+SUMIFS(Compta!$F$1:$F$675,Compta!$A$1:$A$675,"GRP",Compta!$B$1:$B$675,"6226",Compta!$C$1:$C$675,$A169)+SUMIFS(Compta!$F$1:$F$675,Compta!$A$1:$A$675,"GRP",Compta!$B$1:$B$675,"626",Compta!$C$1:$C$675,$A169)+SUMIFS(Compta!$F$1:$F$675,Compta!$A$1:$A$675,"GRP",Compta!$B$1:$B$675,"6281",Compta!$C$1:$C$675,$A169)+SUMIFS(Compta!$F$1:$F$675,Compta!$A$1:$A$675,"GRP",Compta!$B$1:$B$675,"6331",Compta!$C$1:$C$675,$A169)+SUMIFS(Compta!$F$1:$F$675,Compta!$A$1:$A$675,"GRP",Compta!$B$1:$B$675,"6333",Compta!$C$1:$C$675,$A169))</f>
        <v/>
      </c>
      <c r="AC169" t="str">
        <f t="shared" si="39"/>
        <v/>
      </c>
      <c r="AD169" t="str">
        <f t="shared" si="40"/>
        <v/>
      </c>
      <c r="AE169" t="str">
        <f t="shared" si="41"/>
        <v/>
      </c>
      <c r="AF169" t="str">
        <f t="shared" si="42"/>
        <v/>
      </c>
      <c r="AG169" t="str">
        <f t="shared" si="43"/>
        <v/>
      </c>
      <c r="AH169" t="str">
        <f t="shared" si="44"/>
        <v/>
      </c>
      <c r="AI169" t="str">
        <f t="shared" si="45"/>
        <v/>
      </c>
      <c r="AJ169" t="str">
        <f t="shared" si="46"/>
        <v/>
      </c>
      <c r="AK169" t="str">
        <f t="shared" si="47"/>
        <v/>
      </c>
      <c r="AL169" t="str">
        <f t="shared" si="48"/>
        <v/>
      </c>
      <c r="AM169" t="str">
        <f t="shared" si="49"/>
        <v/>
      </c>
      <c r="AN169" t="str">
        <f t="shared" si="50"/>
        <v/>
      </c>
      <c r="AO169" t="str">
        <f>IF($A169="","",SUMIFS(Compta!$F$1:$F$675,Compta!$A$1:$A$675,"GRP",Compta!$B$1:$B$675,"6236",Compta!$C$1:$C$675,$A169))</f>
        <v/>
      </c>
      <c r="AP169" t="str">
        <f t="shared" si="51"/>
        <v/>
      </c>
      <c r="AQ169" t="str">
        <f t="shared" si="52"/>
        <v/>
      </c>
      <c r="AR169" t="str">
        <f t="shared" si="53"/>
        <v/>
      </c>
    </row>
    <row r="170" spans="1:44" x14ac:dyDescent="0.45">
      <c r="A170" t="str">
        <f>IF(Allocation!C170="","",Allocation!C170)</f>
        <v/>
      </c>
      <c r="B170" t="str">
        <f>IF(Allocation!D170="","",Allocation!D170)</f>
        <v/>
      </c>
      <c r="C170" t="str">
        <f>IF(Allocation!E170="","",Allocation!E170)</f>
        <v/>
      </c>
      <c r="D170" t="str">
        <f>IF(Allocation!F170="","",Allocation!F170)</f>
        <v/>
      </c>
      <c r="E170" t="str">
        <f>IF(Allocation!G170="","",Allocation!G170)</f>
        <v/>
      </c>
      <c r="F170" t="str">
        <f>IF(Allocation!H170="","",Allocation!H170)</f>
        <v/>
      </c>
      <c r="G170" t="str">
        <f>IF(Allocation!D170="","",Allocation!I170)</f>
        <v/>
      </c>
      <c r="H170" t="str">
        <f>IF(Allocation!D170="","",Allocation!J170)</f>
        <v/>
      </c>
      <c r="I170" t="str">
        <f>IF(Allocation!D170="","",Allocation!K170)</f>
        <v/>
      </c>
      <c r="J170" t="str">
        <f>IF($A170="","",SUMIFS(Socle!$K$1:$K$1000,Socle!$C$1:$C$1000,$B170,Socle!$D$1:$D$1000,$D170,Socle!$E$1:$E$1000,$E170,Socle!$F$1:$F$1000,$F170,Socle!$G$1:$G$1000,$A170))</f>
        <v/>
      </c>
      <c r="K170" t="str">
        <f t="shared" si="36"/>
        <v/>
      </c>
      <c r="L170" t="str">
        <f>IF($A170="","",SUMIFS(Allocation!$I$1:$I$175,Allocation!$C$1:$C$175,$A170,Allocation!$D$1:$D$175,$B170))</f>
        <v/>
      </c>
      <c r="M170" t="str">
        <f>IF($A170="","",SUMIFS(Allocation!$J$1:$J$175,Allocation!$C$1:$C$175,$A170,Allocation!$D$1:$D$175,$B170))</f>
        <v/>
      </c>
      <c r="N170" t="str">
        <f>IF($A170="","",SUMIFS(Allocation!$K$1:$K$175,Allocation!$C$1:$C$175,$A170,Allocation!$D$1:$D$175,$B170))</f>
        <v/>
      </c>
      <c r="O170" t="str">
        <f t="shared" si="37"/>
        <v/>
      </c>
      <c r="P170" t="str">
        <f t="shared" si="38"/>
        <v/>
      </c>
      <c r="Q170" t="str">
        <f>IF($A170="","",SUMIFS(Allocation!$I$1:$I$175,Allocation!$C$1:$C$175,$A170,Allocation!$E$1:$E$175,$C170))</f>
        <v/>
      </c>
      <c r="R170" t="str">
        <f>IF($A170="","",SUMIFS(Allocation!$J$1:$J$175,Allocation!$C$1:$C$175,$A170,Allocation!$E$1:$E$175,$C170))</f>
        <v/>
      </c>
      <c r="S170" t="str">
        <f>IF($A170="","",SUMIFS(Allocation!$K$1:$K$175,Allocation!$C$1:$C$175,$A170,Allocation!$E$1:$E$175,$C170))</f>
        <v/>
      </c>
      <c r="T170" t="str">
        <f>IF($A170="","",SUMIFS(Allocation!$I$1:$I$175,Allocation!$C$1:$C$175,$A170))</f>
        <v/>
      </c>
      <c r="U170" t="str">
        <f>IF($A170="","",SUMIFS(Allocation!$J$1:$J$175,Allocation!$C$1:$C$175,$A170))</f>
        <v/>
      </c>
      <c r="V170" t="str">
        <f>IF($A170="","",SUMIFS(Allocation!$K$1:$K$175,Allocation!$C$1:$C$175,$A170))</f>
        <v/>
      </c>
      <c r="W170" t="str">
        <f>IF($A170="","",SUMIFS(Compta!$F$1:$F$675,Compta!$A$1:$A$675,$B170,Compta!$B$1:$B$675,"621",Compta!$C$1:$C$675,$A170))</f>
        <v/>
      </c>
      <c r="X170" t="str">
        <f>IF($A170="","",SUMIFS(Compta!$F$1:$F$675,Compta!$A$1:$A$675,$B170,Compta!$B$1:$B$675,"6411",Compta!$C$1:$C$675,$A170))</f>
        <v/>
      </c>
      <c r="Y170" t="str">
        <f>IF($A170="","",SUMIFS(Compta!$F$1:$F$675,Compta!$A$1:$A$675,$B170,Compta!$B$1:$B$675,"604",Compta!$C$1:$C$675,$A170)+SUMIFS(Compta!$F$1:$F$675,Compta!$A$1:$A$675,$B170,Compta!$B$1:$B$675,"6063",Compta!$C$1:$C$675,$A170))</f>
        <v/>
      </c>
      <c r="Z170" t="str">
        <f>IF($A170="","",SUMIFS(Compta!$F$1:$F$675,Compta!$A$1:$A$675,$B170,Compta!$B$1:$B$675,"6231",Compta!$C$1:$C$675,$A170))</f>
        <v/>
      </c>
      <c r="AA170" t="str">
        <f>IF($A170="","",SUMIFS(Compta!$F$1:$F$675,Compta!$A$1:$A$675,$B170,Compta!$B$1:$B$675,"6413",Compta!$C$1:$C$675,$A170)+SUMIFS(Compta!$F$1:$F$675,Compta!$A$1:$A$675,$B170,Compta!$B$1:$B$675,"645",Compta!$C$1:$C$675,$A170)+SUMIFS(Compta!$F$1:$F$675,Compta!$A$1:$A$675,$B170,Compta!$B$1:$B$675,"613",Compta!$C$1:$C$675,$A170)+SUMIFS(Compta!$F$1:$F$675,Compta!$A$1:$A$675,$B170,Compta!$B$1:$B$675,"615",Compta!$C$1:$C$675,$A170)+SUMIFS(Compta!$F$1:$F$675,Compta!$A$1:$A$675,$B170,Compta!$B$1:$B$675,"616",Compta!$C$1:$C$675,$A170)+SUMIFS(Compta!$F$1:$F$675,Compta!$A$1:$A$675,$B170,Compta!$B$1:$B$675,"625",Compta!$C$1:$C$675,$A170)+SUMIFS(Compta!$F$1:$F$675,Compta!$A$1:$A$675,$B170,Compta!$B$1:$B$675,"63511",Compta!$C$1:$C$675,$A170))</f>
        <v/>
      </c>
      <c r="AB170" t="str">
        <f>IF($A170="","",SUMIFS(Compta!$F$1:$F$675,Compta!$A$1:$A$675,"GRP",Compta!$B$1:$B$675,"6414",Compta!$C$1:$C$675,$A170)+SUMIFS(Compta!$F$1:$F$675,Compta!$A$1:$A$675,"GRP",Compta!$B$1:$B$675,"6226",Compta!$C$1:$C$675,$A170)+SUMIFS(Compta!$F$1:$F$675,Compta!$A$1:$A$675,"GRP",Compta!$B$1:$B$675,"626",Compta!$C$1:$C$675,$A170)+SUMIFS(Compta!$F$1:$F$675,Compta!$A$1:$A$675,"GRP",Compta!$B$1:$B$675,"6281",Compta!$C$1:$C$675,$A170)+SUMIFS(Compta!$F$1:$F$675,Compta!$A$1:$A$675,"GRP",Compta!$B$1:$B$675,"6331",Compta!$C$1:$C$675,$A170)+SUMIFS(Compta!$F$1:$F$675,Compta!$A$1:$A$675,"GRP",Compta!$B$1:$B$675,"6333",Compta!$C$1:$C$675,$A170))</f>
        <v/>
      </c>
      <c r="AC170" t="str">
        <f t="shared" si="39"/>
        <v/>
      </c>
      <c r="AD170" t="str">
        <f t="shared" si="40"/>
        <v/>
      </c>
      <c r="AE170" t="str">
        <f t="shared" si="41"/>
        <v/>
      </c>
      <c r="AF170" t="str">
        <f t="shared" si="42"/>
        <v/>
      </c>
      <c r="AG170" t="str">
        <f t="shared" si="43"/>
        <v/>
      </c>
      <c r="AH170" t="str">
        <f t="shared" si="44"/>
        <v/>
      </c>
      <c r="AI170" t="str">
        <f t="shared" si="45"/>
        <v/>
      </c>
      <c r="AJ170" t="str">
        <f t="shared" si="46"/>
        <v/>
      </c>
      <c r="AK170" t="str">
        <f t="shared" si="47"/>
        <v/>
      </c>
      <c r="AL170" t="str">
        <f t="shared" si="48"/>
        <v/>
      </c>
      <c r="AM170" t="str">
        <f t="shared" si="49"/>
        <v/>
      </c>
      <c r="AN170" t="str">
        <f t="shared" si="50"/>
        <v/>
      </c>
      <c r="AO170" t="str">
        <f>IF($A170="","",SUMIFS(Compta!$F$1:$F$675,Compta!$A$1:$A$675,"GRP",Compta!$B$1:$B$675,"6236",Compta!$C$1:$C$675,$A170))</f>
        <v/>
      </c>
      <c r="AP170" t="str">
        <f t="shared" si="51"/>
        <v/>
      </c>
      <c r="AQ170" t="str">
        <f t="shared" si="52"/>
        <v/>
      </c>
      <c r="AR170" t="str">
        <f t="shared" si="53"/>
        <v/>
      </c>
    </row>
    <row r="171" spans="1:44" x14ac:dyDescent="0.45">
      <c r="A171" t="str">
        <f>IF(Allocation!C171="","",Allocation!C171)</f>
        <v/>
      </c>
      <c r="B171" t="str">
        <f>IF(Allocation!D171="","",Allocation!D171)</f>
        <v/>
      </c>
      <c r="C171" t="str">
        <f>IF(Allocation!E171="","",Allocation!E171)</f>
        <v/>
      </c>
      <c r="D171" t="str">
        <f>IF(Allocation!F171="","",Allocation!F171)</f>
        <v/>
      </c>
      <c r="E171" t="str">
        <f>IF(Allocation!G171="","",Allocation!G171)</f>
        <v/>
      </c>
      <c r="F171" t="str">
        <f>IF(Allocation!H171="","",Allocation!H171)</f>
        <v/>
      </c>
      <c r="G171" t="str">
        <f>IF(Allocation!D171="","",Allocation!I171)</f>
        <v/>
      </c>
      <c r="H171" t="str">
        <f>IF(Allocation!D171="","",Allocation!J171)</f>
        <v/>
      </c>
      <c r="I171" t="str">
        <f>IF(Allocation!D171="","",Allocation!K171)</f>
        <v/>
      </c>
      <c r="J171" t="str">
        <f>IF($A171="","",SUMIFS(Socle!$K$1:$K$1000,Socle!$C$1:$C$1000,$B171,Socle!$D$1:$D$1000,$D171,Socle!$E$1:$E$1000,$E171,Socle!$F$1:$F$1000,$F171,Socle!$G$1:$G$1000,$A171))</f>
        <v/>
      </c>
      <c r="K171" t="str">
        <f t="shared" si="36"/>
        <v/>
      </c>
      <c r="L171" t="str">
        <f>IF($A171="","",SUMIFS(Allocation!$I$1:$I$175,Allocation!$C$1:$C$175,$A171,Allocation!$D$1:$D$175,$B171))</f>
        <v/>
      </c>
      <c r="M171" t="str">
        <f>IF($A171="","",SUMIFS(Allocation!$J$1:$J$175,Allocation!$C$1:$C$175,$A171,Allocation!$D$1:$D$175,$B171))</f>
        <v/>
      </c>
      <c r="N171" t="str">
        <f>IF($A171="","",SUMIFS(Allocation!$K$1:$K$175,Allocation!$C$1:$C$175,$A171,Allocation!$D$1:$D$175,$B171))</f>
        <v/>
      </c>
      <c r="O171" t="str">
        <f t="shared" si="37"/>
        <v/>
      </c>
      <c r="P171" t="str">
        <f t="shared" si="38"/>
        <v/>
      </c>
      <c r="Q171" t="str">
        <f>IF($A171="","",SUMIFS(Allocation!$I$1:$I$175,Allocation!$C$1:$C$175,$A171,Allocation!$E$1:$E$175,$C171))</f>
        <v/>
      </c>
      <c r="R171" t="str">
        <f>IF($A171="","",SUMIFS(Allocation!$J$1:$J$175,Allocation!$C$1:$C$175,$A171,Allocation!$E$1:$E$175,$C171))</f>
        <v/>
      </c>
      <c r="S171" t="str">
        <f>IF($A171="","",SUMIFS(Allocation!$K$1:$K$175,Allocation!$C$1:$C$175,$A171,Allocation!$E$1:$E$175,$C171))</f>
        <v/>
      </c>
      <c r="T171" t="str">
        <f>IF($A171="","",SUMIFS(Allocation!$I$1:$I$175,Allocation!$C$1:$C$175,$A171))</f>
        <v/>
      </c>
      <c r="U171" t="str">
        <f>IF($A171="","",SUMIFS(Allocation!$J$1:$J$175,Allocation!$C$1:$C$175,$A171))</f>
        <v/>
      </c>
      <c r="V171" t="str">
        <f>IF($A171="","",SUMIFS(Allocation!$K$1:$K$175,Allocation!$C$1:$C$175,$A171))</f>
        <v/>
      </c>
      <c r="W171" t="str">
        <f>IF($A171="","",SUMIFS(Compta!$F$1:$F$675,Compta!$A$1:$A$675,$B171,Compta!$B$1:$B$675,"621",Compta!$C$1:$C$675,$A171))</f>
        <v/>
      </c>
      <c r="X171" t="str">
        <f>IF($A171="","",SUMIFS(Compta!$F$1:$F$675,Compta!$A$1:$A$675,$B171,Compta!$B$1:$B$675,"6411",Compta!$C$1:$C$675,$A171))</f>
        <v/>
      </c>
      <c r="Y171" t="str">
        <f>IF($A171="","",SUMIFS(Compta!$F$1:$F$675,Compta!$A$1:$A$675,$B171,Compta!$B$1:$B$675,"604",Compta!$C$1:$C$675,$A171)+SUMIFS(Compta!$F$1:$F$675,Compta!$A$1:$A$675,$B171,Compta!$B$1:$B$675,"6063",Compta!$C$1:$C$675,$A171))</f>
        <v/>
      </c>
      <c r="Z171" t="str">
        <f>IF($A171="","",SUMIFS(Compta!$F$1:$F$675,Compta!$A$1:$A$675,$B171,Compta!$B$1:$B$675,"6231",Compta!$C$1:$C$675,$A171))</f>
        <v/>
      </c>
      <c r="AA171" t="str">
        <f>IF($A171="","",SUMIFS(Compta!$F$1:$F$675,Compta!$A$1:$A$675,$B171,Compta!$B$1:$B$675,"6413",Compta!$C$1:$C$675,$A171)+SUMIFS(Compta!$F$1:$F$675,Compta!$A$1:$A$675,$B171,Compta!$B$1:$B$675,"645",Compta!$C$1:$C$675,$A171)+SUMIFS(Compta!$F$1:$F$675,Compta!$A$1:$A$675,$B171,Compta!$B$1:$B$675,"613",Compta!$C$1:$C$675,$A171)+SUMIFS(Compta!$F$1:$F$675,Compta!$A$1:$A$675,$B171,Compta!$B$1:$B$675,"615",Compta!$C$1:$C$675,$A171)+SUMIFS(Compta!$F$1:$F$675,Compta!$A$1:$A$675,$B171,Compta!$B$1:$B$675,"616",Compta!$C$1:$C$675,$A171)+SUMIFS(Compta!$F$1:$F$675,Compta!$A$1:$A$675,$B171,Compta!$B$1:$B$675,"625",Compta!$C$1:$C$675,$A171)+SUMIFS(Compta!$F$1:$F$675,Compta!$A$1:$A$675,$B171,Compta!$B$1:$B$675,"63511",Compta!$C$1:$C$675,$A171))</f>
        <v/>
      </c>
      <c r="AB171" t="str">
        <f>IF($A171="","",SUMIFS(Compta!$F$1:$F$675,Compta!$A$1:$A$675,"GRP",Compta!$B$1:$B$675,"6414",Compta!$C$1:$C$675,$A171)+SUMIFS(Compta!$F$1:$F$675,Compta!$A$1:$A$675,"GRP",Compta!$B$1:$B$675,"6226",Compta!$C$1:$C$675,$A171)+SUMIFS(Compta!$F$1:$F$675,Compta!$A$1:$A$675,"GRP",Compta!$B$1:$B$675,"626",Compta!$C$1:$C$675,$A171)+SUMIFS(Compta!$F$1:$F$675,Compta!$A$1:$A$675,"GRP",Compta!$B$1:$B$675,"6281",Compta!$C$1:$C$675,$A171)+SUMIFS(Compta!$F$1:$F$675,Compta!$A$1:$A$675,"GRP",Compta!$B$1:$B$675,"6331",Compta!$C$1:$C$675,$A171)+SUMIFS(Compta!$F$1:$F$675,Compta!$A$1:$A$675,"GRP",Compta!$B$1:$B$675,"6333",Compta!$C$1:$C$675,$A171))</f>
        <v/>
      </c>
      <c r="AC171" t="str">
        <f t="shared" si="39"/>
        <v/>
      </c>
      <c r="AD171" t="str">
        <f t="shared" si="40"/>
        <v/>
      </c>
      <c r="AE171" t="str">
        <f t="shared" si="41"/>
        <v/>
      </c>
      <c r="AF171" t="str">
        <f t="shared" si="42"/>
        <v/>
      </c>
      <c r="AG171" t="str">
        <f t="shared" si="43"/>
        <v/>
      </c>
      <c r="AH171" t="str">
        <f t="shared" si="44"/>
        <v/>
      </c>
      <c r="AI171" t="str">
        <f t="shared" si="45"/>
        <v/>
      </c>
      <c r="AJ171" t="str">
        <f t="shared" si="46"/>
        <v/>
      </c>
      <c r="AK171" t="str">
        <f t="shared" si="47"/>
        <v/>
      </c>
      <c r="AL171" t="str">
        <f t="shared" si="48"/>
        <v/>
      </c>
      <c r="AM171" t="str">
        <f t="shared" si="49"/>
        <v/>
      </c>
      <c r="AN171" t="str">
        <f t="shared" si="50"/>
        <v/>
      </c>
      <c r="AO171" t="str">
        <f>IF($A171="","",SUMIFS(Compta!$F$1:$F$675,Compta!$A$1:$A$675,"GRP",Compta!$B$1:$B$675,"6236",Compta!$C$1:$C$675,$A171))</f>
        <v/>
      </c>
      <c r="AP171" t="str">
        <f t="shared" si="51"/>
        <v/>
      </c>
      <c r="AQ171" t="str">
        <f t="shared" si="52"/>
        <v/>
      </c>
      <c r="AR171" t="str">
        <f t="shared" si="53"/>
        <v/>
      </c>
    </row>
    <row r="172" spans="1:44" x14ac:dyDescent="0.45">
      <c r="A172" t="str">
        <f>IF(Allocation!C172="","",Allocation!C172)</f>
        <v/>
      </c>
      <c r="B172" t="str">
        <f>IF(Allocation!D172="","",Allocation!D172)</f>
        <v/>
      </c>
      <c r="C172" t="str">
        <f>IF(Allocation!E172="","",Allocation!E172)</f>
        <v/>
      </c>
      <c r="D172" t="str">
        <f>IF(Allocation!F172="","",Allocation!F172)</f>
        <v/>
      </c>
      <c r="E172" t="str">
        <f>IF(Allocation!G172="","",Allocation!G172)</f>
        <v/>
      </c>
      <c r="F172" t="str">
        <f>IF(Allocation!H172="","",Allocation!H172)</f>
        <v/>
      </c>
      <c r="G172" t="str">
        <f>IF(Allocation!D172="","",Allocation!I172)</f>
        <v/>
      </c>
      <c r="H172" t="str">
        <f>IF(Allocation!D172="","",Allocation!J172)</f>
        <v/>
      </c>
      <c r="I172" t="str">
        <f>IF(Allocation!D172="","",Allocation!K172)</f>
        <v/>
      </c>
      <c r="J172" t="str">
        <f>IF($A172="","",SUMIFS(Socle!$K$1:$K$1000,Socle!$C$1:$C$1000,$B172,Socle!$D$1:$D$1000,$D172,Socle!$E$1:$E$1000,$E172,Socle!$F$1:$F$1000,$F172,Socle!$G$1:$G$1000,$A172))</f>
        <v/>
      </c>
      <c r="K172" t="str">
        <f t="shared" si="36"/>
        <v/>
      </c>
      <c r="L172" t="str">
        <f>IF($A172="","",SUMIFS(Allocation!$I$1:$I$175,Allocation!$C$1:$C$175,$A172,Allocation!$D$1:$D$175,$B172))</f>
        <v/>
      </c>
      <c r="M172" t="str">
        <f>IF($A172="","",SUMIFS(Allocation!$J$1:$J$175,Allocation!$C$1:$C$175,$A172,Allocation!$D$1:$D$175,$B172))</f>
        <v/>
      </c>
      <c r="N172" t="str">
        <f>IF($A172="","",SUMIFS(Allocation!$K$1:$K$175,Allocation!$C$1:$C$175,$A172,Allocation!$D$1:$D$175,$B172))</f>
        <v/>
      </c>
      <c r="O172" t="str">
        <f t="shared" si="37"/>
        <v/>
      </c>
      <c r="P172" t="str">
        <f t="shared" si="38"/>
        <v/>
      </c>
      <c r="Q172" t="str">
        <f>IF($A172="","",SUMIFS(Allocation!$I$1:$I$175,Allocation!$C$1:$C$175,$A172,Allocation!$E$1:$E$175,$C172))</f>
        <v/>
      </c>
      <c r="R172" t="str">
        <f>IF($A172="","",SUMIFS(Allocation!$J$1:$J$175,Allocation!$C$1:$C$175,$A172,Allocation!$E$1:$E$175,$C172))</f>
        <v/>
      </c>
      <c r="S172" t="str">
        <f>IF($A172="","",SUMIFS(Allocation!$K$1:$K$175,Allocation!$C$1:$C$175,$A172,Allocation!$E$1:$E$175,$C172))</f>
        <v/>
      </c>
      <c r="T172" t="str">
        <f>IF($A172="","",SUMIFS(Allocation!$I$1:$I$175,Allocation!$C$1:$C$175,$A172))</f>
        <v/>
      </c>
      <c r="U172" t="str">
        <f>IF($A172="","",SUMIFS(Allocation!$J$1:$J$175,Allocation!$C$1:$C$175,$A172))</f>
        <v/>
      </c>
      <c r="V172" t="str">
        <f>IF($A172="","",SUMIFS(Allocation!$K$1:$K$175,Allocation!$C$1:$C$175,$A172))</f>
        <v/>
      </c>
      <c r="W172" t="str">
        <f>IF($A172="","",SUMIFS(Compta!$F$1:$F$675,Compta!$A$1:$A$675,$B172,Compta!$B$1:$B$675,"621",Compta!$C$1:$C$675,$A172))</f>
        <v/>
      </c>
      <c r="X172" t="str">
        <f>IF($A172="","",SUMIFS(Compta!$F$1:$F$675,Compta!$A$1:$A$675,$B172,Compta!$B$1:$B$675,"6411",Compta!$C$1:$C$675,$A172))</f>
        <v/>
      </c>
      <c r="Y172" t="str">
        <f>IF($A172="","",SUMIFS(Compta!$F$1:$F$675,Compta!$A$1:$A$675,$B172,Compta!$B$1:$B$675,"604",Compta!$C$1:$C$675,$A172)+SUMIFS(Compta!$F$1:$F$675,Compta!$A$1:$A$675,$B172,Compta!$B$1:$B$675,"6063",Compta!$C$1:$C$675,$A172))</f>
        <v/>
      </c>
      <c r="Z172" t="str">
        <f>IF($A172="","",SUMIFS(Compta!$F$1:$F$675,Compta!$A$1:$A$675,$B172,Compta!$B$1:$B$675,"6231",Compta!$C$1:$C$675,$A172))</f>
        <v/>
      </c>
      <c r="AA172" t="str">
        <f>IF($A172="","",SUMIFS(Compta!$F$1:$F$675,Compta!$A$1:$A$675,$B172,Compta!$B$1:$B$675,"6413",Compta!$C$1:$C$675,$A172)+SUMIFS(Compta!$F$1:$F$675,Compta!$A$1:$A$675,$B172,Compta!$B$1:$B$675,"645",Compta!$C$1:$C$675,$A172)+SUMIFS(Compta!$F$1:$F$675,Compta!$A$1:$A$675,$B172,Compta!$B$1:$B$675,"613",Compta!$C$1:$C$675,$A172)+SUMIFS(Compta!$F$1:$F$675,Compta!$A$1:$A$675,$B172,Compta!$B$1:$B$675,"615",Compta!$C$1:$C$675,$A172)+SUMIFS(Compta!$F$1:$F$675,Compta!$A$1:$A$675,$B172,Compta!$B$1:$B$675,"616",Compta!$C$1:$C$675,$A172)+SUMIFS(Compta!$F$1:$F$675,Compta!$A$1:$A$675,$B172,Compta!$B$1:$B$675,"625",Compta!$C$1:$C$675,$A172)+SUMIFS(Compta!$F$1:$F$675,Compta!$A$1:$A$675,$B172,Compta!$B$1:$B$675,"63511",Compta!$C$1:$C$675,$A172))</f>
        <v/>
      </c>
      <c r="AB172" t="str">
        <f>IF($A172="","",SUMIFS(Compta!$F$1:$F$675,Compta!$A$1:$A$675,"GRP",Compta!$B$1:$B$675,"6414",Compta!$C$1:$C$675,$A172)+SUMIFS(Compta!$F$1:$F$675,Compta!$A$1:$A$675,"GRP",Compta!$B$1:$B$675,"6226",Compta!$C$1:$C$675,$A172)+SUMIFS(Compta!$F$1:$F$675,Compta!$A$1:$A$675,"GRP",Compta!$B$1:$B$675,"626",Compta!$C$1:$C$675,$A172)+SUMIFS(Compta!$F$1:$F$675,Compta!$A$1:$A$675,"GRP",Compta!$B$1:$B$675,"6281",Compta!$C$1:$C$675,$A172)+SUMIFS(Compta!$F$1:$F$675,Compta!$A$1:$A$675,"GRP",Compta!$B$1:$B$675,"6331",Compta!$C$1:$C$675,$A172)+SUMIFS(Compta!$F$1:$F$675,Compta!$A$1:$A$675,"GRP",Compta!$B$1:$B$675,"6333",Compta!$C$1:$C$675,$A172))</f>
        <v/>
      </c>
      <c r="AC172" t="str">
        <f t="shared" si="39"/>
        <v/>
      </c>
      <c r="AD172" t="str">
        <f t="shared" si="40"/>
        <v/>
      </c>
      <c r="AE172" t="str">
        <f t="shared" si="41"/>
        <v/>
      </c>
      <c r="AF172" t="str">
        <f t="shared" si="42"/>
        <v/>
      </c>
      <c r="AG172" t="str">
        <f t="shared" si="43"/>
        <v/>
      </c>
      <c r="AH172" t="str">
        <f t="shared" si="44"/>
        <v/>
      </c>
      <c r="AI172" t="str">
        <f t="shared" si="45"/>
        <v/>
      </c>
      <c r="AJ172" t="str">
        <f t="shared" si="46"/>
        <v/>
      </c>
      <c r="AK172" t="str">
        <f t="shared" si="47"/>
        <v/>
      </c>
      <c r="AL172" t="str">
        <f t="shared" si="48"/>
        <v/>
      </c>
      <c r="AM172" t="str">
        <f t="shared" si="49"/>
        <v/>
      </c>
      <c r="AN172" t="str">
        <f t="shared" si="50"/>
        <v/>
      </c>
      <c r="AO172" t="str">
        <f>IF($A172="","",SUMIFS(Compta!$F$1:$F$675,Compta!$A$1:$A$675,"GRP",Compta!$B$1:$B$675,"6236",Compta!$C$1:$C$675,$A172))</f>
        <v/>
      </c>
      <c r="AP172" t="str">
        <f t="shared" si="51"/>
        <v/>
      </c>
      <c r="AQ172" t="str">
        <f t="shared" si="52"/>
        <v/>
      </c>
      <c r="AR172" t="str">
        <f t="shared" si="53"/>
        <v/>
      </c>
    </row>
    <row r="173" spans="1:44" x14ac:dyDescent="0.45">
      <c r="A173" t="str">
        <f>IF(Allocation!C173="","",Allocation!C173)</f>
        <v/>
      </c>
      <c r="B173" t="str">
        <f>IF(Allocation!D173="","",Allocation!D173)</f>
        <v/>
      </c>
      <c r="C173" t="str">
        <f>IF(Allocation!E173="","",Allocation!E173)</f>
        <v/>
      </c>
      <c r="D173" t="str">
        <f>IF(Allocation!F173="","",Allocation!F173)</f>
        <v/>
      </c>
      <c r="E173" t="str">
        <f>IF(Allocation!G173="","",Allocation!G173)</f>
        <v/>
      </c>
      <c r="F173" t="str">
        <f>IF(Allocation!H173="","",Allocation!H173)</f>
        <v/>
      </c>
      <c r="G173" t="str">
        <f>IF(Allocation!D173="","",Allocation!I173)</f>
        <v/>
      </c>
      <c r="H173" t="str">
        <f>IF(Allocation!D173="","",Allocation!J173)</f>
        <v/>
      </c>
      <c r="I173" t="str">
        <f>IF(Allocation!D173="","",Allocation!K173)</f>
        <v/>
      </c>
      <c r="J173" t="str">
        <f>IF($A173="","",SUMIFS(Socle!$K$1:$K$1000,Socle!$C$1:$C$1000,$B173,Socle!$D$1:$D$1000,$D173,Socle!$E$1:$E$1000,$E173,Socle!$F$1:$F$1000,$F173,Socle!$G$1:$G$1000,$A173))</f>
        <v/>
      </c>
      <c r="K173" t="str">
        <f t="shared" si="36"/>
        <v/>
      </c>
      <c r="L173" t="str">
        <f>IF($A173="","",SUMIFS(Allocation!$I$1:$I$175,Allocation!$C$1:$C$175,$A173,Allocation!$D$1:$D$175,$B173))</f>
        <v/>
      </c>
      <c r="M173" t="str">
        <f>IF($A173="","",SUMIFS(Allocation!$J$1:$J$175,Allocation!$C$1:$C$175,$A173,Allocation!$D$1:$D$175,$B173))</f>
        <v/>
      </c>
      <c r="N173" t="str">
        <f>IF($A173="","",SUMIFS(Allocation!$K$1:$K$175,Allocation!$C$1:$C$175,$A173,Allocation!$D$1:$D$175,$B173))</f>
        <v/>
      </c>
      <c r="O173" t="str">
        <f t="shared" si="37"/>
        <v/>
      </c>
      <c r="P173" t="str">
        <f t="shared" si="38"/>
        <v/>
      </c>
      <c r="Q173" t="str">
        <f>IF($A173="","",SUMIFS(Allocation!$I$1:$I$175,Allocation!$C$1:$C$175,$A173,Allocation!$E$1:$E$175,$C173))</f>
        <v/>
      </c>
      <c r="R173" t="str">
        <f>IF($A173="","",SUMIFS(Allocation!$J$1:$J$175,Allocation!$C$1:$C$175,$A173,Allocation!$E$1:$E$175,$C173))</f>
        <v/>
      </c>
      <c r="S173" t="str">
        <f>IF($A173="","",SUMIFS(Allocation!$K$1:$K$175,Allocation!$C$1:$C$175,$A173,Allocation!$E$1:$E$175,$C173))</f>
        <v/>
      </c>
      <c r="T173" t="str">
        <f>IF($A173="","",SUMIFS(Allocation!$I$1:$I$175,Allocation!$C$1:$C$175,$A173))</f>
        <v/>
      </c>
      <c r="U173" t="str">
        <f>IF($A173="","",SUMIFS(Allocation!$J$1:$J$175,Allocation!$C$1:$C$175,$A173))</f>
        <v/>
      </c>
      <c r="V173" t="str">
        <f>IF($A173="","",SUMIFS(Allocation!$K$1:$K$175,Allocation!$C$1:$C$175,$A173))</f>
        <v/>
      </c>
      <c r="W173" t="str">
        <f>IF($A173="","",SUMIFS(Compta!$F$1:$F$675,Compta!$A$1:$A$675,$B173,Compta!$B$1:$B$675,"621",Compta!$C$1:$C$675,$A173))</f>
        <v/>
      </c>
      <c r="X173" t="str">
        <f>IF($A173="","",SUMIFS(Compta!$F$1:$F$675,Compta!$A$1:$A$675,$B173,Compta!$B$1:$B$675,"6411",Compta!$C$1:$C$675,$A173))</f>
        <v/>
      </c>
      <c r="Y173" t="str">
        <f>IF($A173="","",SUMIFS(Compta!$F$1:$F$675,Compta!$A$1:$A$675,$B173,Compta!$B$1:$B$675,"604",Compta!$C$1:$C$675,$A173)+SUMIFS(Compta!$F$1:$F$675,Compta!$A$1:$A$675,$B173,Compta!$B$1:$B$675,"6063",Compta!$C$1:$C$675,$A173))</f>
        <v/>
      </c>
      <c r="Z173" t="str">
        <f>IF($A173="","",SUMIFS(Compta!$F$1:$F$675,Compta!$A$1:$A$675,$B173,Compta!$B$1:$B$675,"6231",Compta!$C$1:$C$675,$A173))</f>
        <v/>
      </c>
      <c r="AA173" t="str">
        <f>IF($A173="","",SUMIFS(Compta!$F$1:$F$675,Compta!$A$1:$A$675,$B173,Compta!$B$1:$B$675,"6413",Compta!$C$1:$C$675,$A173)+SUMIFS(Compta!$F$1:$F$675,Compta!$A$1:$A$675,$B173,Compta!$B$1:$B$675,"645",Compta!$C$1:$C$675,$A173)+SUMIFS(Compta!$F$1:$F$675,Compta!$A$1:$A$675,$B173,Compta!$B$1:$B$675,"613",Compta!$C$1:$C$675,$A173)+SUMIFS(Compta!$F$1:$F$675,Compta!$A$1:$A$675,$B173,Compta!$B$1:$B$675,"615",Compta!$C$1:$C$675,$A173)+SUMIFS(Compta!$F$1:$F$675,Compta!$A$1:$A$675,$B173,Compta!$B$1:$B$675,"616",Compta!$C$1:$C$675,$A173)+SUMIFS(Compta!$F$1:$F$675,Compta!$A$1:$A$675,$B173,Compta!$B$1:$B$675,"625",Compta!$C$1:$C$675,$A173)+SUMIFS(Compta!$F$1:$F$675,Compta!$A$1:$A$675,$B173,Compta!$B$1:$B$675,"63511",Compta!$C$1:$C$675,$A173))</f>
        <v/>
      </c>
      <c r="AB173" t="str">
        <f>IF($A173="","",SUMIFS(Compta!$F$1:$F$675,Compta!$A$1:$A$675,"GRP",Compta!$B$1:$B$675,"6414",Compta!$C$1:$C$675,$A173)+SUMIFS(Compta!$F$1:$F$675,Compta!$A$1:$A$675,"GRP",Compta!$B$1:$B$675,"6226",Compta!$C$1:$C$675,$A173)+SUMIFS(Compta!$F$1:$F$675,Compta!$A$1:$A$675,"GRP",Compta!$B$1:$B$675,"626",Compta!$C$1:$C$675,$A173)+SUMIFS(Compta!$F$1:$F$675,Compta!$A$1:$A$675,"GRP",Compta!$B$1:$B$675,"6281",Compta!$C$1:$C$675,$A173)+SUMIFS(Compta!$F$1:$F$675,Compta!$A$1:$A$675,"GRP",Compta!$B$1:$B$675,"6331",Compta!$C$1:$C$675,$A173)+SUMIFS(Compta!$F$1:$F$675,Compta!$A$1:$A$675,"GRP",Compta!$B$1:$B$675,"6333",Compta!$C$1:$C$675,$A173))</f>
        <v/>
      </c>
      <c r="AC173" t="str">
        <f t="shared" si="39"/>
        <v/>
      </c>
      <c r="AD173" t="str">
        <f t="shared" si="40"/>
        <v/>
      </c>
      <c r="AE173" t="str">
        <f t="shared" si="41"/>
        <v/>
      </c>
      <c r="AF173" t="str">
        <f t="shared" si="42"/>
        <v/>
      </c>
      <c r="AG173" t="str">
        <f t="shared" si="43"/>
        <v/>
      </c>
      <c r="AH173" t="str">
        <f t="shared" si="44"/>
        <v/>
      </c>
      <c r="AI173" t="str">
        <f t="shared" si="45"/>
        <v/>
      </c>
      <c r="AJ173" t="str">
        <f t="shared" si="46"/>
        <v/>
      </c>
      <c r="AK173" t="str">
        <f t="shared" si="47"/>
        <v/>
      </c>
      <c r="AL173" t="str">
        <f t="shared" si="48"/>
        <v/>
      </c>
      <c r="AM173" t="str">
        <f t="shared" si="49"/>
        <v/>
      </c>
      <c r="AN173" t="str">
        <f t="shared" si="50"/>
        <v/>
      </c>
      <c r="AO173" t="str">
        <f>IF($A173="","",SUMIFS(Compta!$F$1:$F$675,Compta!$A$1:$A$675,"GRP",Compta!$B$1:$B$675,"6236",Compta!$C$1:$C$675,$A173))</f>
        <v/>
      </c>
      <c r="AP173" t="str">
        <f t="shared" si="51"/>
        <v/>
      </c>
      <c r="AQ173" t="str">
        <f t="shared" si="52"/>
        <v/>
      </c>
      <c r="AR173" t="str">
        <f t="shared" si="53"/>
        <v/>
      </c>
    </row>
    <row r="174" spans="1:44" x14ac:dyDescent="0.45">
      <c r="A174" t="str">
        <f>IF(Allocation!C174="","",Allocation!C174)</f>
        <v/>
      </c>
      <c r="B174" t="str">
        <f>IF(Allocation!D174="","",Allocation!D174)</f>
        <v/>
      </c>
      <c r="C174" t="str">
        <f>IF(Allocation!E174="","",Allocation!E174)</f>
        <v/>
      </c>
      <c r="D174" t="str">
        <f>IF(Allocation!F174="","",Allocation!F174)</f>
        <v/>
      </c>
      <c r="E174" t="str">
        <f>IF(Allocation!G174="","",Allocation!G174)</f>
        <v/>
      </c>
      <c r="F174" t="str">
        <f>IF(Allocation!H174="","",Allocation!H174)</f>
        <v/>
      </c>
      <c r="G174" t="str">
        <f>IF(Allocation!D174="","",Allocation!I174)</f>
        <v/>
      </c>
      <c r="H174" t="str">
        <f>IF(Allocation!D174="","",Allocation!J174)</f>
        <v/>
      </c>
      <c r="I174" t="str">
        <f>IF(Allocation!D174="","",Allocation!K174)</f>
        <v/>
      </c>
      <c r="J174" t="str">
        <f>IF($A174="","",SUMIFS(Socle!$K$1:$K$1000,Socle!$C$1:$C$1000,$B174,Socle!$D$1:$D$1000,$D174,Socle!$E$1:$E$1000,$E174,Socle!$F$1:$F$1000,$F174,Socle!$G$1:$G$1000,$A174))</f>
        <v/>
      </c>
      <c r="K174" t="str">
        <f t="shared" si="36"/>
        <v/>
      </c>
      <c r="L174" t="str">
        <f>IF($A174="","",SUMIFS(Allocation!$I$1:$I$175,Allocation!$C$1:$C$175,$A174,Allocation!$D$1:$D$175,$B174))</f>
        <v/>
      </c>
      <c r="M174" t="str">
        <f>IF($A174="","",SUMIFS(Allocation!$J$1:$J$175,Allocation!$C$1:$C$175,$A174,Allocation!$D$1:$D$175,$B174))</f>
        <v/>
      </c>
      <c r="N174" t="str">
        <f>IF($A174="","",SUMIFS(Allocation!$K$1:$K$175,Allocation!$C$1:$C$175,$A174,Allocation!$D$1:$D$175,$B174))</f>
        <v/>
      </c>
      <c r="O174" t="str">
        <f t="shared" si="37"/>
        <v/>
      </c>
      <c r="P174" t="str">
        <f t="shared" si="38"/>
        <v/>
      </c>
      <c r="Q174" t="str">
        <f>IF($A174="","",SUMIFS(Allocation!$I$1:$I$175,Allocation!$C$1:$C$175,$A174,Allocation!$E$1:$E$175,$C174))</f>
        <v/>
      </c>
      <c r="R174" t="str">
        <f>IF($A174="","",SUMIFS(Allocation!$J$1:$J$175,Allocation!$C$1:$C$175,$A174,Allocation!$E$1:$E$175,$C174))</f>
        <v/>
      </c>
      <c r="S174" t="str">
        <f>IF($A174="","",SUMIFS(Allocation!$K$1:$K$175,Allocation!$C$1:$C$175,$A174,Allocation!$E$1:$E$175,$C174))</f>
        <v/>
      </c>
      <c r="T174" t="str">
        <f>IF($A174="","",SUMIFS(Allocation!$I$1:$I$175,Allocation!$C$1:$C$175,$A174))</f>
        <v/>
      </c>
      <c r="U174" t="str">
        <f>IF($A174="","",SUMIFS(Allocation!$J$1:$J$175,Allocation!$C$1:$C$175,$A174))</f>
        <v/>
      </c>
      <c r="V174" t="str">
        <f>IF($A174="","",SUMIFS(Allocation!$K$1:$K$175,Allocation!$C$1:$C$175,$A174))</f>
        <v/>
      </c>
      <c r="W174" t="str">
        <f>IF($A174="","",SUMIFS(Compta!$F$1:$F$675,Compta!$A$1:$A$675,$B174,Compta!$B$1:$B$675,"621",Compta!$C$1:$C$675,$A174))</f>
        <v/>
      </c>
      <c r="X174" t="str">
        <f>IF($A174="","",SUMIFS(Compta!$F$1:$F$675,Compta!$A$1:$A$675,$B174,Compta!$B$1:$B$675,"6411",Compta!$C$1:$C$675,$A174))</f>
        <v/>
      </c>
      <c r="Y174" t="str">
        <f>IF($A174="","",SUMIFS(Compta!$F$1:$F$675,Compta!$A$1:$A$675,$B174,Compta!$B$1:$B$675,"604",Compta!$C$1:$C$675,$A174)+SUMIFS(Compta!$F$1:$F$675,Compta!$A$1:$A$675,$B174,Compta!$B$1:$B$675,"6063",Compta!$C$1:$C$675,$A174))</f>
        <v/>
      </c>
      <c r="Z174" t="str">
        <f>IF($A174="","",SUMIFS(Compta!$F$1:$F$675,Compta!$A$1:$A$675,$B174,Compta!$B$1:$B$675,"6231",Compta!$C$1:$C$675,$A174))</f>
        <v/>
      </c>
      <c r="AA174" t="str">
        <f>IF($A174="","",SUMIFS(Compta!$F$1:$F$675,Compta!$A$1:$A$675,$B174,Compta!$B$1:$B$675,"6413",Compta!$C$1:$C$675,$A174)+SUMIFS(Compta!$F$1:$F$675,Compta!$A$1:$A$675,$B174,Compta!$B$1:$B$675,"645",Compta!$C$1:$C$675,$A174)+SUMIFS(Compta!$F$1:$F$675,Compta!$A$1:$A$675,$B174,Compta!$B$1:$B$675,"613",Compta!$C$1:$C$675,$A174)+SUMIFS(Compta!$F$1:$F$675,Compta!$A$1:$A$675,$B174,Compta!$B$1:$B$675,"615",Compta!$C$1:$C$675,$A174)+SUMIFS(Compta!$F$1:$F$675,Compta!$A$1:$A$675,$B174,Compta!$B$1:$B$675,"616",Compta!$C$1:$C$675,$A174)+SUMIFS(Compta!$F$1:$F$675,Compta!$A$1:$A$675,$B174,Compta!$B$1:$B$675,"625",Compta!$C$1:$C$675,$A174)+SUMIFS(Compta!$F$1:$F$675,Compta!$A$1:$A$675,$B174,Compta!$B$1:$B$675,"63511",Compta!$C$1:$C$675,$A174))</f>
        <v/>
      </c>
      <c r="AB174" t="str">
        <f>IF($A174="","",SUMIFS(Compta!$F$1:$F$675,Compta!$A$1:$A$675,"GRP",Compta!$B$1:$B$675,"6414",Compta!$C$1:$C$675,$A174)+SUMIFS(Compta!$F$1:$F$675,Compta!$A$1:$A$675,"GRP",Compta!$B$1:$B$675,"6226",Compta!$C$1:$C$675,$A174)+SUMIFS(Compta!$F$1:$F$675,Compta!$A$1:$A$675,"GRP",Compta!$B$1:$B$675,"626",Compta!$C$1:$C$675,$A174)+SUMIFS(Compta!$F$1:$F$675,Compta!$A$1:$A$675,"GRP",Compta!$B$1:$B$675,"6281",Compta!$C$1:$C$675,$A174)+SUMIFS(Compta!$F$1:$F$675,Compta!$A$1:$A$675,"GRP",Compta!$B$1:$B$675,"6331",Compta!$C$1:$C$675,$A174)+SUMIFS(Compta!$F$1:$F$675,Compta!$A$1:$A$675,"GRP",Compta!$B$1:$B$675,"6333",Compta!$C$1:$C$675,$A174))</f>
        <v/>
      </c>
      <c r="AC174" t="str">
        <f t="shared" si="39"/>
        <v/>
      </c>
      <c r="AD174" t="str">
        <f t="shared" si="40"/>
        <v/>
      </c>
      <c r="AE174" t="str">
        <f t="shared" si="41"/>
        <v/>
      </c>
      <c r="AF174" t="str">
        <f t="shared" si="42"/>
        <v/>
      </c>
      <c r="AG174" t="str">
        <f t="shared" si="43"/>
        <v/>
      </c>
      <c r="AH174" t="str">
        <f t="shared" si="44"/>
        <v/>
      </c>
      <c r="AI174" t="str">
        <f t="shared" si="45"/>
        <v/>
      </c>
      <c r="AJ174" t="str">
        <f t="shared" si="46"/>
        <v/>
      </c>
      <c r="AK174" t="str">
        <f t="shared" si="47"/>
        <v/>
      </c>
      <c r="AL174" t="str">
        <f t="shared" si="48"/>
        <v/>
      </c>
      <c r="AM174" t="str">
        <f t="shared" si="49"/>
        <v/>
      </c>
      <c r="AN174" t="str">
        <f t="shared" si="50"/>
        <v/>
      </c>
      <c r="AO174" t="str">
        <f>IF($A174="","",SUMIFS(Compta!$F$1:$F$675,Compta!$A$1:$A$675,"GRP",Compta!$B$1:$B$675,"6236",Compta!$C$1:$C$675,$A174))</f>
        <v/>
      </c>
      <c r="AP174" t="str">
        <f t="shared" si="51"/>
        <v/>
      </c>
      <c r="AQ174" t="str">
        <f t="shared" si="52"/>
        <v/>
      </c>
      <c r="AR174" t="str">
        <f t="shared" si="53"/>
        <v/>
      </c>
    </row>
    <row r="175" spans="1:44" x14ac:dyDescent="0.45">
      <c r="A175" t="str">
        <f>IF(Allocation!C175="","",Allocation!C175)</f>
        <v/>
      </c>
      <c r="B175" t="str">
        <f>IF(Allocation!D175="","",Allocation!D175)</f>
        <v/>
      </c>
      <c r="C175" t="str">
        <f>IF(Allocation!E175="","",Allocation!E175)</f>
        <v/>
      </c>
      <c r="D175" t="str">
        <f>IF(Allocation!F175="","",Allocation!F175)</f>
        <v/>
      </c>
      <c r="E175" t="str">
        <f>IF(Allocation!G175="","",Allocation!G175)</f>
        <v/>
      </c>
      <c r="F175" t="str">
        <f>IF(Allocation!H175="","",Allocation!H175)</f>
        <v/>
      </c>
      <c r="G175" t="str">
        <f>IF(Allocation!D175="","",Allocation!I175)</f>
        <v/>
      </c>
      <c r="H175" t="str">
        <f>IF(Allocation!D175="","",Allocation!J175)</f>
        <v/>
      </c>
      <c r="I175" t="str">
        <f>IF(Allocation!D175="","",Allocation!K175)</f>
        <v/>
      </c>
      <c r="J175" t="str">
        <f>IF($A175="","",SUMIFS(Socle!$K$1:$K$1000,Socle!$C$1:$C$1000,$B175,Socle!$D$1:$D$1000,$D175,Socle!$E$1:$E$1000,$E175,Socle!$F$1:$F$1000,$F175,Socle!$G$1:$G$1000,$A175))</f>
        <v/>
      </c>
      <c r="K175" t="str">
        <f t="shared" si="36"/>
        <v/>
      </c>
      <c r="L175" t="str">
        <f>IF($A175="","",SUMIFS(Allocation!$I$1:$I$175,Allocation!$C$1:$C$175,$A175,Allocation!$D$1:$D$175,$B175))</f>
        <v/>
      </c>
      <c r="M175" t="str">
        <f>IF($A175="","",SUMIFS(Allocation!$J$1:$J$175,Allocation!$C$1:$C$175,$A175,Allocation!$D$1:$D$175,$B175))</f>
        <v/>
      </c>
      <c r="N175" t="str">
        <f>IF($A175="","",SUMIFS(Allocation!$K$1:$K$175,Allocation!$C$1:$C$175,$A175,Allocation!$D$1:$D$175,$B175))</f>
        <v/>
      </c>
      <c r="O175" t="str">
        <f t="shared" si="37"/>
        <v/>
      </c>
      <c r="P175" t="str">
        <f t="shared" si="38"/>
        <v/>
      </c>
      <c r="Q175" t="str">
        <f>IF($A175="","",SUMIFS(Allocation!$I$1:$I$175,Allocation!$C$1:$C$175,$A175,Allocation!$E$1:$E$175,$C175))</f>
        <v/>
      </c>
      <c r="R175" t="str">
        <f>IF($A175="","",SUMIFS(Allocation!$J$1:$J$175,Allocation!$C$1:$C$175,$A175,Allocation!$E$1:$E$175,$C175))</f>
        <v/>
      </c>
      <c r="S175" t="str">
        <f>IF($A175="","",SUMIFS(Allocation!$K$1:$K$175,Allocation!$C$1:$C$175,$A175,Allocation!$E$1:$E$175,$C175))</f>
        <v/>
      </c>
      <c r="T175" t="str">
        <f>IF($A175="","",SUMIFS(Allocation!$I$1:$I$175,Allocation!$C$1:$C$175,$A175))</f>
        <v/>
      </c>
      <c r="U175" t="str">
        <f>IF($A175="","",SUMIFS(Allocation!$J$1:$J$175,Allocation!$C$1:$C$175,$A175))</f>
        <v/>
      </c>
      <c r="V175" t="str">
        <f>IF($A175="","",SUMIFS(Allocation!$K$1:$K$175,Allocation!$C$1:$C$175,$A175))</f>
        <v/>
      </c>
      <c r="W175" t="str">
        <f>IF($A175="","",SUMIFS(Compta!$F$1:$F$675,Compta!$A$1:$A$675,$B175,Compta!$B$1:$B$675,"621",Compta!$C$1:$C$675,$A175))</f>
        <v/>
      </c>
      <c r="X175" t="str">
        <f>IF($A175="","",SUMIFS(Compta!$F$1:$F$675,Compta!$A$1:$A$675,$B175,Compta!$B$1:$B$675,"6411",Compta!$C$1:$C$675,$A175))</f>
        <v/>
      </c>
      <c r="Y175" t="str">
        <f>IF($A175="","",SUMIFS(Compta!$F$1:$F$675,Compta!$A$1:$A$675,$B175,Compta!$B$1:$B$675,"604",Compta!$C$1:$C$675,$A175)+SUMIFS(Compta!$F$1:$F$675,Compta!$A$1:$A$675,$B175,Compta!$B$1:$B$675,"6063",Compta!$C$1:$C$675,$A175))</f>
        <v/>
      </c>
      <c r="Z175" t="str">
        <f>IF($A175="","",SUMIFS(Compta!$F$1:$F$675,Compta!$A$1:$A$675,$B175,Compta!$B$1:$B$675,"6231",Compta!$C$1:$C$675,$A175))</f>
        <v/>
      </c>
      <c r="AA175" t="str">
        <f>IF($A175="","",SUMIFS(Compta!$F$1:$F$675,Compta!$A$1:$A$675,$B175,Compta!$B$1:$B$675,"6413",Compta!$C$1:$C$675,$A175)+SUMIFS(Compta!$F$1:$F$675,Compta!$A$1:$A$675,$B175,Compta!$B$1:$B$675,"645",Compta!$C$1:$C$675,$A175)+SUMIFS(Compta!$F$1:$F$675,Compta!$A$1:$A$675,$B175,Compta!$B$1:$B$675,"613",Compta!$C$1:$C$675,$A175)+SUMIFS(Compta!$F$1:$F$675,Compta!$A$1:$A$675,$B175,Compta!$B$1:$B$675,"615",Compta!$C$1:$C$675,$A175)+SUMIFS(Compta!$F$1:$F$675,Compta!$A$1:$A$675,$B175,Compta!$B$1:$B$675,"616",Compta!$C$1:$C$675,$A175)+SUMIFS(Compta!$F$1:$F$675,Compta!$A$1:$A$675,$B175,Compta!$B$1:$B$675,"625",Compta!$C$1:$C$675,$A175)+SUMIFS(Compta!$F$1:$F$675,Compta!$A$1:$A$675,$B175,Compta!$B$1:$B$675,"63511",Compta!$C$1:$C$675,$A175))</f>
        <v/>
      </c>
      <c r="AB175" t="str">
        <f>IF($A175="","",SUMIFS(Compta!$F$1:$F$675,Compta!$A$1:$A$675,"GRP",Compta!$B$1:$B$675,"6414",Compta!$C$1:$C$675,$A175)+SUMIFS(Compta!$F$1:$F$675,Compta!$A$1:$A$675,"GRP",Compta!$B$1:$B$675,"6226",Compta!$C$1:$C$675,$A175)+SUMIFS(Compta!$F$1:$F$675,Compta!$A$1:$A$675,"GRP",Compta!$B$1:$B$675,"626",Compta!$C$1:$C$675,$A175)+SUMIFS(Compta!$F$1:$F$675,Compta!$A$1:$A$675,"GRP",Compta!$B$1:$B$675,"6281",Compta!$C$1:$C$675,$A175)+SUMIFS(Compta!$F$1:$F$675,Compta!$A$1:$A$675,"GRP",Compta!$B$1:$B$675,"6331",Compta!$C$1:$C$675,$A175)+SUMIFS(Compta!$F$1:$F$675,Compta!$A$1:$A$675,"GRP",Compta!$B$1:$B$675,"6333",Compta!$C$1:$C$675,$A175))</f>
        <v/>
      </c>
      <c r="AC175" t="str">
        <f t="shared" si="39"/>
        <v/>
      </c>
      <c r="AD175" t="str">
        <f t="shared" si="40"/>
        <v/>
      </c>
      <c r="AE175" t="str">
        <f t="shared" si="41"/>
        <v/>
      </c>
      <c r="AF175" t="str">
        <f t="shared" si="42"/>
        <v/>
      </c>
      <c r="AG175" t="str">
        <f t="shared" si="43"/>
        <v/>
      </c>
      <c r="AH175" t="str">
        <f t="shared" si="44"/>
        <v/>
      </c>
      <c r="AI175" t="str">
        <f t="shared" si="45"/>
        <v/>
      </c>
      <c r="AJ175" t="str">
        <f t="shared" si="46"/>
        <v/>
      </c>
      <c r="AK175" t="str">
        <f t="shared" si="47"/>
        <v/>
      </c>
      <c r="AL175" t="str">
        <f t="shared" si="48"/>
        <v/>
      </c>
      <c r="AM175" t="str">
        <f t="shared" si="49"/>
        <v/>
      </c>
      <c r="AN175" t="str">
        <f t="shared" si="50"/>
        <v/>
      </c>
      <c r="AO175" t="str">
        <f>IF($A175="","",SUMIFS(Compta!$F$1:$F$675,Compta!$A$1:$A$675,"GRP",Compta!$B$1:$B$675,"6236",Compta!$C$1:$C$675,$A175))</f>
        <v/>
      </c>
      <c r="AP175" t="str">
        <f t="shared" si="51"/>
        <v/>
      </c>
      <c r="AQ175" t="str">
        <f t="shared" si="52"/>
        <v/>
      </c>
      <c r="AR175" t="str">
        <f t="shared" si="53"/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24"/>
  <sheetViews>
    <sheetView workbookViewId="0"/>
  </sheetViews>
  <sheetFormatPr baseColWidth="10" defaultColWidth="9.06640625" defaultRowHeight="14.25" x14ac:dyDescent="0.45"/>
  <sheetData>
    <row r="1" spans="1:8" x14ac:dyDescent="0.45">
      <c r="A1" t="s">
        <v>315</v>
      </c>
    </row>
    <row r="2" spans="1:8" x14ac:dyDescent="0.45">
      <c r="A2" t="s">
        <v>316</v>
      </c>
    </row>
    <row r="3" spans="1:8" x14ac:dyDescent="0.45">
      <c r="A3" t="s">
        <v>317</v>
      </c>
      <c r="B3" t="s">
        <v>318</v>
      </c>
      <c r="C3" t="s">
        <v>319</v>
      </c>
      <c r="D3" t="s">
        <v>320</v>
      </c>
      <c r="E3" t="s">
        <v>321</v>
      </c>
      <c r="F3" t="s">
        <v>322</v>
      </c>
      <c r="G3" t="s">
        <v>323</v>
      </c>
      <c r="H3" t="s">
        <v>324</v>
      </c>
    </row>
    <row r="4" spans="1:8" x14ac:dyDescent="0.45">
      <c r="A4" t="s">
        <v>325</v>
      </c>
      <c r="B4" t="s">
        <v>326</v>
      </c>
      <c r="C4" t="s">
        <v>327</v>
      </c>
      <c r="D4" t="s">
        <v>328</v>
      </c>
      <c r="E4" t="s">
        <v>329</v>
      </c>
      <c r="F4" t="s">
        <v>330</v>
      </c>
      <c r="G4" t="s">
        <v>331</v>
      </c>
      <c r="H4" t="s">
        <v>332</v>
      </c>
    </row>
    <row r="5" spans="1:8" x14ac:dyDescent="0.45">
      <c r="A5" t="s">
        <v>325</v>
      </c>
      <c r="B5" t="s">
        <v>333</v>
      </c>
      <c r="C5" t="s">
        <v>334</v>
      </c>
      <c r="D5" t="s">
        <v>335</v>
      </c>
      <c r="E5" t="s">
        <v>329</v>
      </c>
      <c r="F5" t="s">
        <v>336</v>
      </c>
      <c r="G5" t="s">
        <v>331</v>
      </c>
      <c r="H5" t="s">
        <v>337</v>
      </c>
    </row>
    <row r="6" spans="1:8" x14ac:dyDescent="0.45">
      <c r="A6" t="s">
        <v>325</v>
      </c>
      <c r="B6" t="s">
        <v>11</v>
      </c>
      <c r="C6" t="s">
        <v>338</v>
      </c>
      <c r="D6" t="s">
        <v>339</v>
      </c>
      <c r="E6" t="s">
        <v>329</v>
      </c>
      <c r="F6" t="s">
        <v>340</v>
      </c>
      <c r="G6" t="s">
        <v>341</v>
      </c>
      <c r="H6" t="s">
        <v>342</v>
      </c>
    </row>
    <row r="7" spans="1:8" x14ac:dyDescent="0.45">
      <c r="A7" t="s">
        <v>325</v>
      </c>
      <c r="B7" t="s">
        <v>343</v>
      </c>
      <c r="C7" t="s">
        <v>344</v>
      </c>
      <c r="D7" t="s">
        <v>345</v>
      </c>
      <c r="E7" t="s">
        <v>329</v>
      </c>
      <c r="F7" t="s">
        <v>346</v>
      </c>
      <c r="G7" t="s">
        <v>341</v>
      </c>
      <c r="H7" t="s">
        <v>347</v>
      </c>
    </row>
    <row r="8" spans="1:8" x14ac:dyDescent="0.45">
      <c r="A8" t="s">
        <v>325</v>
      </c>
      <c r="B8" t="s">
        <v>348</v>
      </c>
      <c r="C8" t="s">
        <v>349</v>
      </c>
      <c r="D8" t="s">
        <v>350</v>
      </c>
      <c r="E8" t="s">
        <v>329</v>
      </c>
      <c r="F8" t="s">
        <v>351</v>
      </c>
      <c r="G8" t="s">
        <v>341</v>
      </c>
      <c r="H8" t="s">
        <v>352</v>
      </c>
    </row>
    <row r="9" spans="1:8" x14ac:dyDescent="0.45">
      <c r="A9" t="s">
        <v>325</v>
      </c>
      <c r="B9" t="s">
        <v>14</v>
      </c>
      <c r="C9" t="s">
        <v>353</v>
      </c>
      <c r="D9" t="s">
        <v>354</v>
      </c>
      <c r="E9" t="s">
        <v>329</v>
      </c>
      <c r="F9" t="s">
        <v>355</v>
      </c>
      <c r="G9" t="s">
        <v>341</v>
      </c>
      <c r="H9" t="s">
        <v>356</v>
      </c>
    </row>
    <row r="10" spans="1:8" x14ac:dyDescent="0.45">
      <c r="A10" t="s">
        <v>325</v>
      </c>
      <c r="B10" t="s">
        <v>357</v>
      </c>
      <c r="C10" t="s">
        <v>358</v>
      </c>
      <c r="D10" t="s">
        <v>359</v>
      </c>
      <c r="E10" t="s">
        <v>329</v>
      </c>
      <c r="F10" t="s">
        <v>360</v>
      </c>
      <c r="G10" t="s">
        <v>341</v>
      </c>
      <c r="H10" t="s">
        <v>361</v>
      </c>
    </row>
    <row r="11" spans="1:8" x14ac:dyDescent="0.45">
      <c r="A11" t="s">
        <v>325</v>
      </c>
      <c r="B11" t="s">
        <v>362</v>
      </c>
      <c r="C11" t="s">
        <v>363</v>
      </c>
      <c r="D11" t="s">
        <v>364</v>
      </c>
      <c r="E11" t="s">
        <v>365</v>
      </c>
      <c r="F11" t="s">
        <v>366</v>
      </c>
      <c r="G11" t="s">
        <v>341</v>
      </c>
      <c r="H11" t="s">
        <v>367</v>
      </c>
    </row>
    <row r="12" spans="1:8" x14ac:dyDescent="0.45">
      <c r="A12" t="s">
        <v>368</v>
      </c>
      <c r="B12" t="s">
        <v>15</v>
      </c>
      <c r="C12" t="s">
        <v>369</v>
      </c>
      <c r="D12" t="s">
        <v>370</v>
      </c>
      <c r="E12" t="s">
        <v>329</v>
      </c>
      <c r="F12" t="s">
        <v>371</v>
      </c>
      <c r="G12" t="s">
        <v>372</v>
      </c>
      <c r="H12" t="s">
        <v>373</v>
      </c>
    </row>
    <row r="13" spans="1:8" x14ac:dyDescent="0.45">
      <c r="A13" t="s">
        <v>368</v>
      </c>
      <c r="B13" t="s">
        <v>374</v>
      </c>
      <c r="C13" t="s">
        <v>375</v>
      </c>
      <c r="D13" t="s">
        <v>376</v>
      </c>
      <c r="E13" t="s">
        <v>329</v>
      </c>
      <c r="F13" t="s">
        <v>377</v>
      </c>
      <c r="G13" t="s">
        <v>372</v>
      </c>
      <c r="H13" t="s">
        <v>378</v>
      </c>
    </row>
    <row r="14" spans="1:8" x14ac:dyDescent="0.45">
      <c r="A14" t="s">
        <v>368</v>
      </c>
      <c r="B14" t="s">
        <v>17</v>
      </c>
      <c r="C14" t="s">
        <v>379</v>
      </c>
      <c r="D14" t="s">
        <v>380</v>
      </c>
      <c r="E14" t="s">
        <v>329</v>
      </c>
      <c r="F14" t="s">
        <v>381</v>
      </c>
      <c r="G14" t="s">
        <v>372</v>
      </c>
      <c r="H14" t="s">
        <v>382</v>
      </c>
    </row>
    <row r="15" spans="1:8" x14ac:dyDescent="0.45">
      <c r="A15" t="s">
        <v>368</v>
      </c>
      <c r="B15" t="s">
        <v>383</v>
      </c>
      <c r="C15" t="s">
        <v>384</v>
      </c>
      <c r="D15" t="s">
        <v>385</v>
      </c>
      <c r="E15" t="s">
        <v>329</v>
      </c>
      <c r="F15" t="s">
        <v>386</v>
      </c>
      <c r="G15" t="s">
        <v>372</v>
      </c>
      <c r="H15" t="s">
        <v>387</v>
      </c>
    </row>
    <row r="16" spans="1:8" x14ac:dyDescent="0.45">
      <c r="A16" t="s">
        <v>368</v>
      </c>
      <c r="B16" t="s">
        <v>388</v>
      </c>
      <c r="C16" t="s">
        <v>389</v>
      </c>
      <c r="D16" t="s">
        <v>390</v>
      </c>
      <c r="E16" t="s">
        <v>329</v>
      </c>
      <c r="F16" t="s">
        <v>391</v>
      </c>
      <c r="G16" t="s">
        <v>372</v>
      </c>
      <c r="H16" t="s">
        <v>392</v>
      </c>
    </row>
    <row r="17" spans="1:8" x14ac:dyDescent="0.45">
      <c r="A17" t="s">
        <v>393</v>
      </c>
      <c r="B17" t="s">
        <v>394</v>
      </c>
      <c r="C17" t="s">
        <v>395</v>
      </c>
      <c r="D17" t="s">
        <v>396</v>
      </c>
      <c r="E17" t="s">
        <v>397</v>
      </c>
      <c r="F17" t="s">
        <v>398</v>
      </c>
      <c r="G17" t="s">
        <v>399</v>
      </c>
      <c r="H17" t="s">
        <v>400</v>
      </c>
    </row>
    <row r="18" spans="1:8" x14ac:dyDescent="0.45">
      <c r="A18" t="s">
        <v>401</v>
      </c>
      <c r="B18" t="s">
        <v>402</v>
      </c>
      <c r="C18" t="s">
        <v>403</v>
      </c>
      <c r="D18" t="s">
        <v>243</v>
      </c>
      <c r="E18" t="s">
        <v>404</v>
      </c>
      <c r="F18" t="s">
        <v>405</v>
      </c>
      <c r="G18" t="s">
        <v>406</v>
      </c>
      <c r="H18" t="s">
        <v>407</v>
      </c>
    </row>
    <row r="19" spans="1:8" x14ac:dyDescent="0.45">
      <c r="A19" t="s">
        <v>401</v>
      </c>
      <c r="B19" t="s">
        <v>408</v>
      </c>
      <c r="C19" t="s">
        <v>409</v>
      </c>
      <c r="D19" t="s">
        <v>244</v>
      </c>
      <c r="E19" t="s">
        <v>404</v>
      </c>
      <c r="F19" t="s">
        <v>410</v>
      </c>
      <c r="G19" t="s">
        <v>406</v>
      </c>
      <c r="H19" t="s">
        <v>411</v>
      </c>
    </row>
    <row r="20" spans="1:8" x14ac:dyDescent="0.45">
      <c r="A20" t="s">
        <v>412</v>
      </c>
      <c r="B20" t="s">
        <v>413</v>
      </c>
      <c r="C20" t="s">
        <v>414</v>
      </c>
      <c r="D20" t="s">
        <v>415</v>
      </c>
      <c r="E20" t="s">
        <v>416</v>
      </c>
      <c r="F20" t="s">
        <v>417</v>
      </c>
      <c r="G20" t="s">
        <v>418</v>
      </c>
      <c r="H20" t="s">
        <v>419</v>
      </c>
    </row>
    <row r="21" spans="1:8" x14ac:dyDescent="0.45">
      <c r="A21" t="s">
        <v>420</v>
      </c>
      <c r="B21" t="s">
        <v>421</v>
      </c>
      <c r="C21" t="s">
        <v>422</v>
      </c>
      <c r="D21" t="s">
        <v>423</v>
      </c>
      <c r="E21" t="s">
        <v>404</v>
      </c>
      <c r="F21" t="s">
        <v>424</v>
      </c>
      <c r="G21" t="s">
        <v>425</v>
      </c>
      <c r="H21" t="s">
        <v>426</v>
      </c>
    </row>
    <row r="22" spans="1:8" x14ac:dyDescent="0.45">
      <c r="A22" t="s">
        <v>420</v>
      </c>
      <c r="B22" t="s">
        <v>427</v>
      </c>
      <c r="C22" t="s">
        <v>428</v>
      </c>
      <c r="D22" t="s">
        <v>429</v>
      </c>
      <c r="E22" t="s">
        <v>404</v>
      </c>
      <c r="F22" t="s">
        <v>430</v>
      </c>
      <c r="G22" t="s">
        <v>425</v>
      </c>
      <c r="H22" t="s">
        <v>431</v>
      </c>
    </row>
    <row r="23" spans="1:8" x14ac:dyDescent="0.45">
      <c r="A23" t="s">
        <v>420</v>
      </c>
      <c r="B23" t="s">
        <v>432</v>
      </c>
      <c r="C23" t="s">
        <v>433</v>
      </c>
      <c r="D23" t="s">
        <v>434</v>
      </c>
      <c r="E23" t="s">
        <v>404</v>
      </c>
      <c r="F23" t="s">
        <v>435</v>
      </c>
      <c r="G23" t="s">
        <v>425</v>
      </c>
      <c r="H23" t="s">
        <v>436</v>
      </c>
    </row>
    <row r="24" spans="1:8" x14ac:dyDescent="0.45">
      <c r="A24" t="s">
        <v>420</v>
      </c>
      <c r="B24" t="s">
        <v>437</v>
      </c>
      <c r="C24" t="s">
        <v>438</v>
      </c>
      <c r="D24" t="s">
        <v>439</v>
      </c>
      <c r="E24" t="s">
        <v>404</v>
      </c>
      <c r="F24" t="s">
        <v>440</v>
      </c>
      <c r="G24" t="s">
        <v>425</v>
      </c>
      <c r="H24" t="s">
        <v>441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TEST3</s>
      <a key="desc" refId="1" ln="4" eid="SYS_STR">
        <s>TEST3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/>
                    <m key="headersDims" refId="101" keid="SYS_PR_I" veid="SYS_STR"/>
                  </be>
                  <e key="styleType" refId="102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3" id="RowColExpansionMode">1</e>
                  <i key="maxCols">0</i>
                  <ref key="colsExpansionMode" refId="103"/>
                  <e key="columnsAutofitMode" refId="104" id="ColumnsAutofitMode">0</e>
                  <b key="isEditabilityOnDemand">N</b>
                  <b key="useForcedBoundDims">N</b>
                  <e key="disableHints" refId="105" id="MatrixHintsPolicy">C</e>
                  <e key="enableOptimization" refId="106" id="EnableLaunchFormDEOptimization">C</e>
                  <e key="tipoAllineamentoLordiIC" refId="107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9" ln="0" eid="Reporting.com.tagetik.tables.IMatixCellLeafPositions,Reporting"/>
                  <m key="forcedEditModes" refId="110" keid="Reporting.com.tagetik.tables.IMatixCellLeafPositions,Reporting" veid="SYS_STR"/>
                  <b key="UseTxlDeFormEditor">N</b>
                  <be key="TxDeFormsEditorDescriptor" refId="111" clsId="TxDeFormsEditorDescriptor">
                    <l key="Tabs" refId="11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3" clsId="matrixWSInfo">
                    <b key="isT">N</b>
                    <s key="wsCode">002</s>
                    <s key="tableCode">000001</s>
                  </be>
                  <be key="customFilters" refId="114" clsId="ExpCustomFiltersProspetto"/>
                </be>
              </val>
              <key>
                <s>Matrix01</s>
              </key>
              <val>
                <be refId="115" clsId="MatrixPositionBlockVO">
                  <s key="positionID">Matrix01</s>
                  <be key="rows" refId="116" clsId="FilterNode">
                    <l key="dimensionOids" refId="117" ln="0" eid="DimensionOid"/>
                    <l key="AdHocParamDimensionOids" refId="118" ln="0" eid="DimensionOid"/>
                    <be key="data" refId="119" clsId="FilterNodeData">
                      <ref key="filterNode" refId="116"/>
                      <i key="segmentLevel">0</i>
                      <ref key="segment" refId="17"/>
                      <b key="placeHolder">N</b>
                      <ref key="weight" refId="18"/>
                      <be key="textMatchingCondition" refId="12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1" ln="14" eid="Framework.com.tagetik.trees.INode,framework">
                      <be refId="122" clsId="FilterNode">
                        <l key="dimensionOids" refId="123" ln="1" eid="DimensionOid">
                          <cust clsId="DimensionOid">564F435F303130-45-4859505F4143515F425544---</cust>
                        </l>
                        <l key="AdHocParamDimensionOids" refId="124" ln="0" eid="DimensionOid"/>
                        <be key="data" refId="125" clsId="FilterNodeData">
                          <ref key="filterNode" refId="12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6"/>
                      </be>
                      <be refId="128" clsId="FilterNode">
                        <l key="dimensionOids" refId="129" ln="1" eid="DimensionOid">
                          <cust clsId="DimensionOid">564F435F303130-45-4859505F4252414E445F425544---</cust>
                        </l>
                        <l key="AdHocParamDimensionOids" refId="130" ln="0" eid="DimensionOid"/>
                        <be key="data" refId="131" clsId="FilterNodeData">
                          <ref key="filterNode" refId="12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6"/>
                      </be>
                      <be refId="134" clsId="FilterNode">
                        <l key="dimensionOids" refId="135" ln="1" eid="DimensionOid">
                          <cust clsId="DimensionOid">564F435F303130-45-4859505F5052494345---</cust>
                        </l>
                        <l key="AdHocParamDimensionOids" refId="136" ln="0" eid="DimensionOid"/>
                        <be key="data" refId="137" clsId="FilterNodeData">
                          <ref key="filterNode" refId="13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6"/>
                      </be>
                      <be refId="140" clsId="FilterNode">
                        <l key="dimensionOids" refId="141" ln="1" eid="DimensionOid">
                          <cust clsId="DimensionOid">564F435F303130-45-4859505F434E565F4C4541445F43414E44---</cust>
                        </l>
                        <l key="AdHocParamDimensionOids" refId="142" ln="0" eid="DimensionOid"/>
                        <be key="data" refId="143" clsId="FilterNodeData">
                          <ref key="filterNode" refId="14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6"/>
                      </be>
                      <be refId="146" clsId="FilterNode">
                        <l key="dimensionOids" refId="147" ln="1" eid="DimensionOid">
                          <cust clsId="DimensionOid">564F435F303130-45-4859505F434E565F41444D5F494E53---</cust>
                        </l>
                        <l key="AdHocParamDimensionOids" refId="148" ln="0" eid="DimensionOid"/>
                        <be key="data" refId="149" clsId="FilterNodeData">
                          <ref key="filterNode" refId="14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6"/>
                      </be>
                      <be refId="152" clsId="FilterNode">
                        <l key="dimensionOids" refId="153" ln="1" eid="DimensionOid">
                          <cust clsId="DimensionOid">564F435F303130-45-4859505F504153535F52415445---</cust>
                        </l>
                        <l key="AdHocParamDimensionOids" refId="154" ln="0" eid="DimensionOid"/>
                        <be key="data" refId="155" clsId="FilterNodeData">
                          <ref key="filterNode" refId="15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6"/>
                      </be>
                      <be refId="158" clsId="FilterNode">
                        <l key="dimensionOids" refId="159" ln="0" eid="DimensionOid"/>
                        <l key="AdHocParamDimensionOids" refId="160" ln="0" eid="DimensionOid"/>
                        <be key="data" refId="161" clsId="FilterNodeData">
                          <ref key="filterNode" refId="158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6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3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15</cust>
                        <s key="cod">PH</s>
                        <s key="desc"/>
                        <i key="index">0</i>
                        <ref key="parent" refId="116"/>
                      </be>
                      <be refId="164" clsId="FilterNode">
                        <l key="dimensionOids" refId="165" ln="0" eid="DimensionOid"/>
                        <l key="AdHocParamDimensionOids" refId="166" ln="0" eid="DimensionOid"/>
                        <be key="data" refId="167" clsId="FilterNodeData">
                          <ref key="filterNode" refId="164"/>
                          <s key="dim">VOC_010</s>
                          <i key="segmentLevel">0</i>
                          <ref key="segment" refId="17"/>
                          <be key="dictionaryHeader" refId="168" clsId="MultiDesc">
                            <a key="desc" refId="169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1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6"/>
                      </be>
                      <be refId="172" clsId="FilterNode">
                        <l key="dimensionOids" refId="173" ln="0" eid="DimensionOid"/>
                        <l key="AdHocParamDimensionOids" refId="174" ln="0" eid="DimensionOid"/>
                        <be key="data" refId="175" clsId="FilterNodeData">
                          <ref key="filterNode" refId="172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7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7" keid="SYS_STR" veid="EFReportingNodeType">
                            <key>
                              <s>14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16</cust>
                        <s key="cod">PH</s>
                        <s key="desc"/>
                        <i key="index">0</i>
                        <ref key="parent" refId="116"/>
                      </be>
                      <be refId="178" clsId="FilterNode">
                        <l key="dimensionOids" refId="179" ln="1" eid="DimensionOid">
                          <cust clsId="DimensionOid">564F435F303130-45-4859505F494E464C5F455854---</cust>
                        </l>
                        <l key="AdHocParamDimensionOids" refId="180" ln="0" eid="DimensionOid"/>
                        <be key="data" refId="181" clsId="FilterNodeData">
                          <ref key="filterNode" refId="17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6"/>
                      </be>
                      <be refId="184" clsId="FilterNode">
                        <l key="dimensionOids" refId="185" ln="1" eid="DimensionOid">
                          <cust clsId="DimensionOid">564F435F303130-45-4859505F53414C415259---</cust>
                        </l>
                        <l key="AdHocParamDimensionOids" refId="186" ln="0" eid="DimensionOid"/>
                        <be key="data" refId="187" clsId="FilterNodeData">
                          <ref key="filterNode" refId="18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6"/>
                      </be>
                      <be refId="190" clsId="FilterNode">
                        <l key="dimensionOids" refId="191" ln="1" eid="DimensionOid">
                          <cust clsId="DimensionOid">564F435F303130-45-4859505F4654455F5045524D---</cust>
                        </l>
                        <l key="AdHocParamDimensionOids" refId="192" ln="0" eid="DimensionOid"/>
                        <be key="data" refId="193" clsId="FilterNodeData">
                          <ref key="filterNode" refId="19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6"/>
                      </be>
                      <be refId="196" clsId="FilterNode">
                        <l key="dimensionOids" refId="197" ln="1" eid="DimensionOid">
                          <cust clsId="DimensionOid">564F435F303130-45-4859505F50524F445543544956495459---</cust>
                        </l>
                        <l key="AdHocParamDimensionOids" refId="198" ln="0" eid="DimensionOid"/>
                        <be key="data" refId="199" clsId="FilterNodeData">
                          <ref key="filterNode" refId="19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6"/>
                      </be>
                      <be refId="202" clsId="FilterNode">
                        <l key="dimensionOids" refId="203" ln="1" eid="DimensionOid">
                          <cust clsId="DimensionOid">564F435F303130-45-4859505F5354525543545F434F5354---</cust>
                        </l>
                        <l key="AdHocParamDimensionOids" refId="204" ln="0" eid="DimensionOid"/>
                        <be key="data" refId="205" clsId="FilterNodeData">
                          <ref key="filterNode" refId="20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6"/>
                      </be>
                    </l>
                  </be>
                  <be key="columns" refId="208" clsId="FilterNode">
                    <l key="dimensionOids" refId="209" ln="0" eid="DimensionOid"/>
                    <l key="AdHocParamDimensionOids" refId="210" ln="0" eid="DimensionOid"/>
                    <be key="data" refId="211" clsId="FilterNodeData">
                      <ref key="filterNode" refId="208"/>
                      <i key="segmentLevel">0</i>
                      <ref key="segment" refId="17"/>
                      <b key="placeHolder">N</b>
                      <ref key="weight" refId="18"/>
                      <be key="textMatchingCondition" refId="2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13" ln="3" eid="Framework.com.tagetik.trees.INode,framework">
                      <be refId="214" clsId="FilterNode">
                        <l key="dimensionOids" refId="215" ln="1" eid="DimensionOid">
                          <cust clsId="DimensionOid">414E4C5F56455253494F4E-45-563031---</cust>
                        </l>
                        <l key="AdHocParamDimensionOids" refId="216" ln="0" eid="DimensionOid"/>
                        <be key="data" refId="217" clsId="FilterNodeData">
                          <ref key="filterNode" refId="214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9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08"/>
                      </be>
                      <be refId="220" clsId="FilterNode">
                        <l key="dimensionOids" refId="221" ln="1" eid="DimensionOid">
                          <cust clsId="DimensionOid">414E4C5F56455253494F4E-45-563032---</cust>
                        </l>
                        <l key="AdHocParamDimensionOids" refId="222" ln="0" eid="DimensionOid"/>
                        <be key="data" refId="223" clsId="FilterNodeData">
                          <ref key="filterNode" refId="220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5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08"/>
                      </be>
                      <be refId="226" clsId="FilterNode">
                        <l key="dimensionOids" refId="227" ln="1" eid="DimensionOid">
                          <cust clsId="DimensionOid">414E4C5F56455253494F4E-45-563033---</cust>
                        </l>
                        <l key="AdHocParamDimensionOids" refId="228" ln="0" eid="DimensionOid"/>
                        <be key="data" refId="229" clsId="FilterNodeData">
                          <ref key="filterNode" refId="22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31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08"/>
                      </be>
                    </l>
                  </be>
                  <be key="matrixFilters" refId="232" clsId="FilterNode">
                    <l key="dimensionOids" refId="233" ln="0" eid="DimensionOid"/>
                    <l key="AdHocParamDimensionOids" refId="234" ln="0" eid="DimensionOid"/>
                    <be key="data" refId="235" clsId="FilterNodeData">
                      <ref key="filterNode" refId="232"/>
                      <i key="segmentLevel">0</i>
                      <ref key="segment" refId="17"/>
                      <b key="placeHolder">N</b>
                      <ref key="weight" refId="18"/>
                      <be key="textMatchingCondition" refId="23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37" ln="1" eid="Framework.com.tagetik.trees.INode,framework">
                      <be refId="238" clsId="FilterNode">
                        <l key="dimensionOids" refId="239" ln="1" eid="DimensionOid">
                          <cust clsId="DimensionOid">415A495F454455-45-475250---</cust>
                        </l>
                        <l key="AdHocParamDimensionOids" refId="240" ln="0" eid="DimensionOid"/>
                        <be key="data" refId="241" clsId="FilterNodeData">
                          <ref key="filterNode" refId="23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4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43" ln="1" eid="Framework.com.tagetik.trees.INode,framework">
                          <be refId="244" clsId="FilterNode">
                            <l key="dimensionOids" refId="245" ln="1" eid="DimensionOid">
                              <cust clsId="DimensionOid">534345-45-323032374255445F5631---</cust>
                            </l>
                            <l key="AdHocParamDimensionOids" refId="246" ln="0" eid="DimensionOid"/>
                            <be key="data" refId="247" clsId="FilterNodeData">
                              <ref key="filterNode" refId="244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4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49" ln="1" eid="Framework.com.tagetik.trees.INode,framework">
                              <be refId="250" clsId="FilterNode">
                                <l key="dimensionOids" refId="251" ln="1" eid="DimensionOid">
                                  <cust clsId="DimensionOid">504552-45-3132---</cust>
                                </l>
                                <l key="AdHocParamDimensionOids" refId="252" ln="0" eid="DimensionOid"/>
                                <be key="data" refId="253" clsId="FilterNodeData">
                                  <ref key="filterNode" refId="250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5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55" ln="1" eid="Framework.com.tagetik.trees.INode,framework">
                                  <be refId="256" clsId="FilterNode">
                                    <l key="dimensionOids" refId="257" ln="1" eid="DimensionOid">
                                      <cust clsId="DimensionOid">4D455F3030325F303030303031-45-4D454153555245-32--</cust>
                                    </l>
                                    <l key="AdHocParamDimensionOids" refId="258" ln="0" eid="DimensionOid"/>
                                    <be key="data" refId="259" clsId="FilterNodeData">
                                      <ref key="filterNode" refId="256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6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50"/>
                                  </be>
                                </l>
                                <ref key="parent" refId="244"/>
                              </be>
                            </l>
                            <ref key="parent" refId="238"/>
                          </be>
                        </l>
                        <ref key="parent" refId="232"/>
                      </be>
                    </l>
                  </be>
                  <be key="rowHeaders" refId="261" clsId="ReportingHeaders">
                    <m key="headers" refId="262" keid="SYS_PR_I" veid="System.Collections.IList">
                      <key>
                        <i>-1</i>
                      </key>
                      <val>
                        <l refId="263" ln="1">
                          <s>$Account(HIERARCHY("010")).desc</s>
                        </l>
                      </val>
                    </m>
                    <m key="headersDims" refId="26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65" clsId="ReportingHeaders">
                    <m key="headers" refId="266" keid="SYS_PR_I" veid="System.Collections.IList">
                      <key>
                        <i>-1</i>
                      </key>
                      <val>
                        <l refId="267" ln="1">
                          <s>$ANL_VERSION.desc</s>
                        </l>
                      </val>
                    </m>
                    <m key="headersDims" refId="268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1</i>
                  <b key="excludeValuatingSheetsWithZeroValues">N</b>
                  <m key="addictionalStyleSheets" refId="26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70" ln="0" eid="Reporting.com.tagetik.tables.IMatixCellLeafPositions,Reporting"/>
                  <m key="forcedEditModes" refId="271" keid="Reporting.com.tagetik.tables.IMatixCellLeafPositions,Reporting" veid="SYS_STR"/>
                  <b key="UseTxlDeFormEditor">N</b>
                  <be key="TxDeFormsEditorDescriptor" refId="272" clsId="TxDeFormsEditorDescriptor">
                    <l key="Tabs" refId="27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74" clsId="matrixWSInfo">
                    <b key="isT">N</b>
                    <s key="wsCode">002</s>
                    <s key="tableCode">000001</s>
                  </be>
                  <be key="customFilters" refId="275" clsId="ExpCustomFiltersProspetto"/>
                </be>
              </val>
              <key>
                <s>Matrix02</s>
              </key>
              <val>
                <be refId="276" clsId="MatrixPositionBlockVO">
                  <s key="positionID">Matrix02</s>
                  <be key="rows" refId="277" clsId="FilterNode">
                    <l key="dimensionOids" refId="278" ln="0" eid="DimensionOid"/>
                    <l key="AdHocParamDimensionOids" refId="279" ln="0" eid="DimensionOid"/>
                    <be key="data" refId="280" clsId="FilterNodeData">
                      <ref key="filterNode" refId="277"/>
                      <i key="segmentLevel">0</i>
                      <ref key="segment" refId="17"/>
                      <b key="placeHolder">N</b>
                      <ref key="weight" refId="18"/>
                      <be key="textMatchingCondition" refId="28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82" ln="1" eid="Framework.com.tagetik.trees.INode,framework">
                      <be refId="283" clsId="FilterNode">
                        <l key="dimensionOids" refId="284" ln="1" eid="DimensionOid">
                          <cust clsId="DimensionOid">564F435F303130-45-4859505F46494C455F464545---</cust>
                        </l>
                        <l key="AdHocParamDimensionOids" refId="285" ln="0" eid="DimensionOid"/>
                        <be key="data" refId="286" clsId="FilterNodeData">
                          <ref key="filterNode" refId="28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8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7"/>
                      </be>
                    </l>
                  </be>
                  <be key="columns" refId="289" clsId="FilterNode">
                    <l key="dimensionOids" refId="290" ln="0" eid="DimensionOid"/>
                    <l key="AdHocParamDimensionOids" refId="291" ln="0" eid="DimensionOid"/>
                    <be key="data" refId="292" clsId="FilterNodeData">
                      <ref key="filterNode" refId="289"/>
                      <i key="segmentLevel">0</i>
                      <ref key="segment" refId="17"/>
                      <b key="placeHolder">N</b>
                      <ref key="weight" refId="18"/>
                      <be key="textMatchingCondition" refId="2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94" ln="3" eid="Framework.com.tagetik.trees.INode,framework">
                      <be refId="295" clsId="FilterNode">
                        <l key="dimensionOids" refId="296" ln="1" eid="DimensionOid">
                          <cust clsId="DimensionOid">414E4C5F56455253494F4E-45-563031---</cust>
                        </l>
                        <l key="AdHocParamDimensionOids" refId="297" ln="0" eid="DimensionOid"/>
                        <be key="data" refId="298" clsId="FilterNodeData">
                          <ref key="filterNode" refId="29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0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89"/>
                      </be>
                      <be refId="301" clsId="FilterNode">
                        <l key="dimensionOids" refId="302" ln="1" eid="DimensionOid">
                          <cust clsId="DimensionOid">414E4C5F56455253494F4E-45-563032---</cust>
                        </l>
                        <l key="AdHocParamDimensionOids" refId="303" ln="0" eid="DimensionOid"/>
                        <be key="data" refId="304" clsId="FilterNodeData">
                          <ref key="filterNode" refId="301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6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89"/>
                      </be>
                      <be refId="307" clsId="FilterNode">
                        <l key="dimensionOids" refId="308" ln="1" eid="DimensionOid">
                          <cust clsId="DimensionOid">414E4C5F56455253494F4E-45-563033---</cust>
                        </l>
                        <l key="AdHocParamDimensionOids" refId="309" ln="0" eid="DimensionOid"/>
                        <be key="data" refId="310" clsId="FilterNodeData">
                          <ref key="filterNode" refId="307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12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89"/>
                      </be>
                    </l>
                  </be>
                  <be key="matrixFilters" refId="313" clsId="FilterNode">
                    <l key="dimensionOids" refId="314" ln="0" eid="DimensionOid"/>
                    <l key="AdHocParamDimensionOids" refId="315" ln="0" eid="DimensionOid"/>
                    <be key="data" refId="316" clsId="FilterNodeData">
                      <ref key="filterNode" refId="313"/>
                      <i key="segmentLevel">0</i>
                      <ref key="segment" refId="17"/>
                      <b key="placeHolder">N</b>
                      <ref key="weight" refId="18"/>
                      <be key="textMatchingCondition" refId="3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18" ln="1" eid="Framework.com.tagetik.trees.INode,framework">
                      <be refId="319" clsId="FilterNode">
                        <l key="dimensionOids" refId="320" ln="1" eid="DimensionOid">
                          <cust clsId="DimensionOid">534345-45-323032374255445F5631---</cust>
                        </l>
                        <l key="AdHocParamDimensionOids" refId="321" ln="0" eid="DimensionOid"/>
                        <be key="data" refId="322" clsId="FilterNodeData">
                          <ref key="filterNode" refId="319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24" ln="1" eid="Framework.com.tagetik.trees.INode,framework">
                          <be refId="325" clsId="FilterNode">
                            <l key="dimensionOids" refId="326" ln="1" eid="DimensionOid">
                              <cust clsId="DimensionOid">504552-45-3132---</cust>
                            </l>
                            <l key="AdHocParamDimensionOids" refId="327" ln="0" eid="DimensionOid"/>
                            <be key="data" refId="328" clsId="FilterNodeData">
                              <ref key="filterNode" refId="325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29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30" ln="1" eid="Framework.com.tagetik.trees.INode,framework">
                              <be refId="331" clsId="FilterNode">
                                <l key="dimensionOids" refId="332" ln="1" eid="DimensionOid">
                                  <cust clsId="DimensionOid">4D455F3030325F303030303031-45-4D454153555245-32--</cust>
                                </l>
                                <l key="AdHocParamDimensionOids" refId="333" ln="0" eid="DimensionOid"/>
                                <be key="data" refId="334" clsId="FilterNodeData">
                                  <ref key="filterNode" refId="331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35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36" ln="1" eid="Framework.com.tagetik.trees.INode,framework">
                                  <be refId="337" clsId="FilterNode">
                                    <l key="dimensionOids" refId="338" ln="1" eid="DimensionOid">
                                      <cust clsId="DimensionOid">415A495F454455-45-475250---</cust>
                                    </l>
                                    <l key="AdHocParamDimensionOids" refId="339" ln="0" eid="DimensionOid"/>
                                    <be key="data" refId="340" clsId="FilterNodeData">
                                      <ref key="filterNode" refId="337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41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31"/>
                                  </be>
                                </l>
                                <ref key="parent" refId="325"/>
                              </be>
                            </l>
                            <ref key="parent" refId="319"/>
                          </be>
                        </l>
                        <ref key="parent" refId="313"/>
                      </be>
                    </l>
                  </be>
                  <be key="rowHeaders" refId="342" clsId="ReportingHeaders">
                    <m key="headers" refId="343" keid="SYS_PR_I" veid="System.Collections.IList">
                      <key>
                        <i>-1</i>
                      </key>
                      <val>
                        <l refId="344" ln="1">
                          <s>$Account(HIERARCHY("010")).desc</s>
                        </l>
                      </val>
                    </m>
                    <m key="headersDims" refId="345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46" clsId="ReportingHeaders">
                    <m key="headers" refId="347" keid="SYS_PR_I" veid="System.Collections.IList"/>
                    <m key="headersDims" refId="34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2</i>
                  <b key="excludeValuatingSheetsWithZeroValues">N</b>
                  <m key="addictionalStyleSheets" refId="34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50" ln="0" eid="Reporting.com.tagetik.tables.IMatixCellLeafPositions,Reporting"/>
                  <m key="forcedEditModes" refId="351" keid="Reporting.com.tagetik.tables.IMatixCellLeafPositions,Reporting" veid="SYS_STR"/>
                  <b key="UseTxlDeFormEditor">N</b>
                  <be key="TxDeFormsEditorDescriptor" refId="352" clsId="TxDeFormsEditorDescriptor">
                    <l key="Tabs" refId="35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54" clsId="matrixWSInfo">
                    <b key="isT">N</b>
                    <s key="wsCode">002</s>
                    <s key="tableCode">000001</s>
                  </be>
                  <be key="customFilters" refId="355" clsId="ExpCustomFiltersProspetto"/>
                </be>
              </val>
              <key>
                <s>Matrix06 copy00</s>
              </key>
              <val>
                <be refId="356" clsId="MatrixPositionBlockVO">
                  <s key="positionID">Matrix06 copy00</s>
                  <be key="rows" refId="357" clsId="FilterNode">
                    <l key="dimensionOids" refId="358" ln="0" eid="DimensionOid"/>
                    <l key="AdHocParamDimensionOids" refId="359" ln="0" eid="DimensionOid"/>
                    <be key="data" refId="360" clsId="FilterNodeData">
                      <ref key="filterNode" refId="357"/>
                      <i key="segmentLevel">0</i>
                      <ref key="segment" refId="17"/>
                      <b key="placeHolder">N</b>
                      <ref key="weight" refId="18"/>
                      <be key="textMatchingCondition" refId="3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62" ln="2" eid="Framework.com.tagetik.trees.INode,framework">
                      <be refId="363" clsId="FilterNode">
                        <l key="dimensionOids" refId="364" ln="1" eid="DimensionOid">
                          <cust clsId="DimensionOid">564F43-45-5445435F504C---</cust>
                        </l>
                        <l key="AdHocParamDimensionOids" refId="365" ln="0" eid="DimensionOid"/>
                        <be key="data" refId="366" clsId="FilterNodeData">
                          <ref key="filterNode" refId="363"/>
                          <s key="dim">VOC</s>
                          <i key="segmentLevel">0</i>
                          <ref key="segment" refId="17"/>
                          <be key="dictionaryHeader" refId="367" clsId="MultiDesc">
                            <a key="desc" refId="368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0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57"/>
                      </be>
                      <be refId="371" clsId="FilterNode">
                        <l key="dimensionOids" refId="372" ln="1" eid="DimensionOid">
                          <cust clsId="DimensionOid">564F43-45-5445435F454249544441---</cust>
                        </l>
                        <l key="AdHocParamDimensionOids" refId="373" ln="0" eid="DimensionOid"/>
                        <be key="data" refId="374" clsId="FilterNodeData">
                          <ref key="filterNode" refId="371"/>
                          <s key="dim">VOC</s>
                          <i key="segmentLevel">0</i>
                          <ref key="segment" refId="17"/>
                          <be key="dictionaryHeader" refId="375" clsId="MultiDesc">
                            <a key="desc" refId="376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8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57"/>
                      </be>
                    </l>
                  </be>
                  <be key="columns" refId="379" clsId="FilterNode">
                    <l key="dimensionOids" refId="380" ln="0" eid="DimensionOid"/>
                    <l key="AdHocParamDimensionOids" refId="381" ln="0" eid="DimensionOid"/>
                    <be key="data" refId="382" clsId="FilterNodeData">
                      <ref key="filterNode" refId="379"/>
                      <i key="segmentLevel">0</i>
                      <ref key="segment" refId="17"/>
                      <b key="placeHolder">N</b>
                      <ref key="weight" refId="18"/>
                      <be key="textMatchingCondition" refId="38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84" ln="1" eid="Framework.com.tagetik.trees.INode,framework">
                      <be refId="385" clsId="FilterNode">
                        <l key="dimensionOids" refId="386" ln="1" eid="DimensionOid">
                          <cust clsId="DimensionOid">414E4C5F4558455243494345-45-32303237---</cust>
                        </l>
                        <l key="AdHocParamDimensionOids" refId="387" ln="0" eid="DimensionOid"/>
                        <be key="data" refId="388" clsId="FilterNodeData">
                          <ref key="filterNode" refId="38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90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79"/>
                      </be>
                    </l>
                  </be>
                  <be key="matrixFilters" refId="391" clsId="FilterNode">
                    <l key="dimensionOids" refId="392" ln="0" eid="DimensionOid"/>
                    <l key="AdHocParamDimensionOids" refId="393" ln="0" eid="DimensionOid"/>
                    <be key="data" refId="394" clsId="FilterNodeData">
                      <ref key="filterNode" refId="391"/>
                      <i key="segmentLevel">0</i>
                      <ref key="segment" refId="17"/>
                      <b key="placeHolder">N</b>
                      <ref key="weight" refId="18"/>
                      <be key="textMatchingCondition" refId="3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96" ln="1" eid="Framework.com.tagetik.trees.INode,framework">
                      <be refId="397" clsId="FilterNode">
                        <l key="dimensionOids" refId="398" ln="1" eid="DimensionOid">
                          <cust clsId="DimensionOid">504552-45-3132---</cust>
                        </l>
                        <l key="AdHocParamDimensionOids" refId="399" ln="0" eid="DimensionOid"/>
                        <be key="data" refId="400" clsId="FilterNodeData">
                          <ref key="filterNode" refId="39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02" ln="1" eid="Framework.com.tagetik.trees.INode,framework">
                          <be refId="403" clsId="FilterNode">
                            <l key="dimensionOids" refId="404" ln="1" eid="DimensionOid">
                              <cust clsId="DimensionOid">534345-45-323032374255445F5631---</cust>
                            </l>
                            <l key="AdHocParamDimensionOids" refId="405" ln="0" eid="DimensionOid"/>
                            <be key="data" refId="406" clsId="FilterNodeData">
                              <ref key="filterNode" refId="403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08" ln="1" eid="Framework.com.tagetik.trees.INode,framework">
                              <be refId="409" clsId="FilterNode">
                                <l key="dimensionOids" refId="410" ln="1" eid="DimensionOid">
                                  <cust clsId="DimensionOid">4D455F3030325F303030303034-45-414D4F554E54-32--</cust>
                                </l>
                                <l key="AdHocParamDimensionOids" refId="411" ln="0" eid="DimensionOid"/>
                                <be key="data" refId="412" clsId="FilterNodeData">
                                  <ref key="filterNode" refId="409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1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14" ln="1" eid="Framework.com.tagetik.trees.INode,framework">
                                  <be refId="415" clsId="FilterNode">
                                    <l key="dimensionOids" refId="416" ln="1" eid="DimensionOid">
                                      <cust clsId="DimensionOid">415A495F454455-45-475250---</cust>
                                    </l>
                                    <l key="AdHocParamDimensionOids" refId="417" ln="0" eid="DimensionOid"/>
                                    <be key="data" refId="418" clsId="FilterNodeData">
                                      <ref key="filterNode" refId="415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19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409"/>
                                  </be>
                                </l>
                                <ref key="parent" refId="403"/>
                              </be>
                            </l>
                            <ref key="parent" refId="397"/>
                          </be>
                        </l>
                        <ref key="parent" refId="391"/>
                      </be>
                    </l>
                  </be>
                  <be key="rowHeaders" refId="420" clsId="ReportingHeaders">
                    <m key="headers" refId="421" keid="SYS_PR_I" veid="System.Collections.IList">
                      <key>
                        <i>-1</i>
                      </key>
                      <val>
                        <l refId="422" ln="1">
                          <s>$Account.desc</s>
                        </l>
                      </val>
                    </m>
                    <m key="headersDims" refId="423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24" clsId="ReportingHeaders">
                    <m key="headers" refId="425" keid="SYS_PR_I" veid="System.Collections.IList"/>
                    <m key="headersDims" refId="42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3</i>
                  <b key="excludeValuatingSheetsWithZeroValues">N</b>
                  <m key="addictionalStyleSheets" refId="42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28" ln="0" eid="Reporting.com.tagetik.tables.IMatixCellLeafPositions,Reporting"/>
                  <m key="forcedEditModes" refId="429" keid="Reporting.com.tagetik.tables.IMatixCellLeafPositions,Reporting" veid="SYS_STR"/>
                  <b key="UseTxlDeFormEditor">N</b>
                  <be key="TxDeFormsEditorDescriptor" refId="430" clsId="TxDeFormsEditorDescriptor">
                    <l key="Tabs" refId="43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32" clsId="matrixWSInfo">
                    <b key="isT">N</b>
                    <s key="wsCode">002</s>
                    <s key="tableCode">000004</s>
                  </be>
                  <be key="customFilters" refId="433" clsId="ExpCustomFiltersProspetto"/>
                </be>
              </val>
              <key>
                <s>Matrix05 copy00</s>
              </key>
              <val>
                <be refId="434" clsId="MatrixPositionBlockVO">
                  <s key="positionID">Matrix05 copy00</s>
                  <be key="rows" refId="435" clsId="FilterNode">
                    <l key="dimensionOids" refId="436" ln="0" eid="DimensionOid"/>
                    <l key="AdHocParamDimensionOids" refId="437" ln="0" eid="DimensionOid"/>
                    <be key="data" refId="438" clsId="FilterNodeData">
                      <ref key="filterNode" refId="435"/>
                      <i key="segmentLevel">0</i>
                      <ref key="segment" refId="17"/>
                      <b key="placeHolder">N</b>
                      <ref key="weight" refId="18"/>
                      <be key="textMatchingCondition" refId="43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40" ln="1" eid="Framework.com.tagetik.trees.INode,framework">
                      <be refId="441" clsId="FilterNode">
                        <l key="dimensionOids" refId="442" ln="1" eid="DimensionOid">
                          <cust clsId="DimensionOid">4D455F3030325F303030303032-45-564F4C5F454646-32--</cust>
                        </l>
                        <l key="AdHocParamDimensionOids" refId="443" ln="0" eid="DimensionOid"/>
                        <be key="data" refId="444" clsId="FilterNodeData">
                          <ref key="filterNode" refId="441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6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5"/>
                      </be>
                    </l>
                  </be>
                  <be key="columns" refId="447" clsId="FilterNode">
                    <l key="dimensionOids" refId="448" ln="0" eid="DimensionOid"/>
                    <l key="AdHocParamDimensionOids" refId="449" ln="0" eid="DimensionOid"/>
                    <be key="data" refId="450" clsId="FilterNodeData">
                      <ref key="filterNode" refId="447"/>
                      <i key="segmentLevel">0</i>
                      <ref key="segment" refId="17"/>
                      <b key="placeHolder">N</b>
                      <ref key="weight" refId="18"/>
                      <be key="textMatchingCondition" refId="4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52" ln="1" eid="Framework.com.tagetik.trees.INode,framework">
                      <be refId="453" clsId="FilterNode">
                        <l key="dimensionOids" refId="454" ln="1" eid="DimensionOid">
                          <cust clsId="DimensionOid">414E4C5F4558455243494345-45-32303236---</cust>
                        </l>
                        <l key="AdHocParamDimensionOids" refId="455" ln="0" eid="DimensionOid"/>
                        <be key="data" refId="456" clsId="FilterNodeData">
                          <ref key="filterNode" refId="453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58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47"/>
                      </be>
                    </l>
                  </be>
                  <be key="matrixFilters" refId="459" clsId="FilterNode">
                    <l key="dimensionOids" refId="460" ln="0" eid="DimensionOid"/>
                    <l key="AdHocParamDimensionOids" refId="461" ln="0" eid="DimensionOid"/>
                    <be key="data" refId="462" clsId="FilterNodeData">
                      <ref key="filterNode" refId="459"/>
                      <i key="segmentLevel">0</i>
                      <ref key="segment" refId="17"/>
                      <b key="placeHolder">N</b>
                      <ref key="weight" refId="18"/>
                      <be key="textMatchingCondition" refId="46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64" ln="1" eid="Framework.com.tagetik.trees.INode,framework">
                      <be refId="465" clsId="FilterNode">
                        <l key="dimensionOids" refId="466" ln="1" eid="DimensionOid">
                          <cust clsId="DimensionOid">534345-45-323032374255445F5631---</cust>
                        </l>
                        <l key="AdHocParamDimensionOids" refId="467" ln="0" eid="DimensionOid"/>
                        <be key="data" refId="468" clsId="FilterNodeData">
                          <ref key="filterNode" refId="465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70" ln="1" eid="Framework.com.tagetik.trees.INode,framework">
                          <be refId="471" clsId="FilterNode">
                            <l key="dimensionOids" refId="472" ln="1" eid="DimensionOid">
                              <cust clsId="DimensionOid">504552-45-3132---</cust>
                            </l>
                            <l key="AdHocParamDimensionOids" refId="473" ln="0" eid="DimensionOid"/>
                            <be key="data" refId="474" clsId="FilterNodeData">
                              <ref key="filterNode" refId="47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75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65"/>
                          </be>
                        </l>
                        <ref key="parent" refId="459"/>
                      </be>
                    </l>
                  </be>
                  <be key="rowHeaders" refId="476" clsId="ReportingHeaders">
                    <m key="headers" refId="477" keid="SYS_PR_I" veid="System.Collections.IList">
                      <key>
                        <i>-1</i>
                      </key>
                      <val>
                        <l refId="478" ln="1">
                          <s>$ME_002_000002.desc</s>
                        </l>
                      </val>
                    </m>
                    <m key="headersDims" refId="479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80" clsId="ReportingHeaders">
                    <m key="headers" refId="481" keid="SYS_PR_I" veid="System.Collections.IList"/>
                    <m key="headersDims" refId="482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4</i>
                  <b key="excludeValuatingSheetsWithZeroValues">N</b>
                  <m key="addictionalStyleSheets" refId="48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84" ln="0" eid="Reporting.com.tagetik.tables.IMatixCellLeafPositions,Reporting"/>
                  <m key="forcedEditModes" refId="485" keid="Reporting.com.tagetik.tables.IMatixCellLeafPositions,Reporting" veid="SYS_STR"/>
                  <b key="UseTxlDeFormEditor">N</b>
                  <be key="TxDeFormsEditorDescriptor" refId="486" clsId="TxDeFormsEditorDescriptor">
                    <l key="Tabs" refId="48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88" clsId="matrixWSInfo">
                    <b key="isT">N</b>
                    <s key="wsCode">002</s>
                    <s key="tableCode">000002</s>
                  </be>
                  <be key="customFilters" refId="489" clsId="ExpCustomFiltersProspetto"/>
                </be>
              </val>
              <key>
                <s>Matrix04</s>
              </key>
              <val>
                <be refId="490" clsId="MatrixPositionBlockVO">
                  <s key="positionID">Matrix04</s>
                  <be key="rows" refId="491" clsId="FilterNode">
                    <l key="dimensionOids" refId="492" ln="0" eid="DimensionOid"/>
                    <l key="AdHocParamDimensionOids" refId="493" ln="0" eid="DimensionOid"/>
                    <be key="data" refId="494" clsId="FilterNodeData">
                      <ref key="filterNode" refId="491"/>
                      <i key="segmentLevel">0</i>
                      <ref key="segment" refId="17"/>
                      <b key="placeHolder">N</b>
                      <ref key="weight" refId="18"/>
                      <be key="textMatchingCondition" refId="4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96" ln="3" eid="Framework.com.tagetik.trees.INode,framework">
                      <be refId="497" clsId="FilterNode">
                        <l key="dimensionOids" refId="498" ln="1" eid="DimensionOid">
                          <cust clsId="DimensionOid">564F43-4E-3031307C4341----53-45</cust>
                        </l>
                        <l key="AdHocParamDimensionOids" refId="499" ln="0" eid="DimensionOid"/>
                        <be key="data" refId="500" clsId="FilterNodeData">
                          <ref key="filterNode" refId="497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02" keid="SYS_STR" veid="EFReportingNodeType">
                            <key>
                              <s>564F43-4E-3031307C4341----53-45</s>
                            </key>
                            <val>
                              <e refId="503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504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91"/>
                      </be>
                      <be refId="505" clsId="FilterNode">
                        <l key="dimensionOids" refId="506" ln="1" eid="DimensionOid">
                          <cust clsId="DimensionOid">564F43-4E-3031307C454249544441----53-45</cust>
                        </l>
                        <l key="AdHocParamDimensionOids" refId="507" ln="0" eid="DimensionOid"/>
                        <be key="data" refId="508" clsId="FilterNodeData">
                          <ref key="filterNode" refId="505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502"/>
                          <b key="multiSelection">N</b>
                        </be>
                        <cust key="id" clsId="FilterOid">3</cust>
                        <i key="index">0</i>
                        <ref key="parent" refId="491"/>
                      </be>
                      <be refId="510" clsId="FilterNode">
                        <l key="dimensionOids" refId="511" ln="0" eid="DimensionOid"/>
                        <l key="AdHocParamDimensionOids" refId="512" ln="0" eid="DimensionOid"/>
                        <be key="data" refId="513" clsId="FilterNodeData">
                          <ref key="filterNode" refId="510"/>
                          <s key="dim">VOC</s>
                          <i key="segmentLevel">0</i>
                          <ref key="segment" refId="17"/>
                          <be key="reportingFormula" refId="514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15" clsId="MultiDesc">
                            <a key="desc" refId="516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1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18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91"/>
                      </be>
                    </l>
                  </be>
                  <be key="columns" refId="519" clsId="FilterNode">
                    <l key="dimensionOids" refId="520" ln="0" eid="DimensionOid"/>
                    <l key="AdHocParamDimensionOids" refId="521" ln="0" eid="DimensionOid"/>
                    <be key="data" refId="522" clsId="FilterNodeData">
                      <ref key="filterNode" refId="519"/>
                      <i key="segmentLevel">0</i>
                      <ref key="segment" refId="17"/>
                      <b key="placeHolder">N</b>
                      <ref key="weight" refId="18"/>
                      <be key="textMatchingCondition" refId="52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24" ln="1" eid="Framework.com.tagetik.trees.INode,framework">
                      <be refId="525" clsId="FilterNode">
                        <l key="dimensionOids" refId="526" ln="1" eid="DimensionOid">
                          <cust clsId="DimensionOid">414E4C5F4558455243494345-45-32303236---</cust>
                        </l>
                        <l key="AdHocParamDimensionOids" refId="527" ln="0" eid="DimensionOid"/>
                        <be key="data" refId="528" clsId="FilterNodeData">
                          <ref key="filterNode" refId="52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0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19"/>
                      </be>
                    </l>
                  </be>
                  <be key="matrixFilters" refId="531" clsId="FilterNode">
                    <l key="dimensionOids" refId="532" ln="0" eid="DimensionOid"/>
                    <l key="AdHocParamDimensionOids" refId="533" ln="0" eid="DimensionOid"/>
                    <be key="data" refId="534" clsId="FilterNodeData">
                      <ref key="filterNode" refId="531"/>
                      <i key="segmentLevel">0</i>
                      <ref key="segment" refId="17"/>
                      <b key="placeHolder">N</b>
                      <ref key="weight" refId="18"/>
                      <be key="textMatchingCondition" refId="53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36" ln="1" eid="Framework.com.tagetik.trees.INode,framework">
                      <be refId="537" clsId="FilterNode">
                        <l key="dimensionOids" refId="538" ln="1" eid="DimensionOid">
                          <cust clsId="DimensionOid">4D455F3030325F303030303034-45-414D4F554E54-32--</cust>
                        </l>
                        <l key="AdHocParamDimensionOids" refId="539" ln="0" eid="DimensionOid"/>
                        <be key="data" refId="540" clsId="FilterNodeData">
                          <ref key="filterNode" refId="537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4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42" ln="1" eid="Framework.com.tagetik.trees.INode,framework">
                          <be refId="543" clsId="FilterNode">
                            <l key="dimensionOids" refId="544" ln="1" eid="DimensionOid">
                              <cust clsId="DimensionOid">504552-45-3132---</cust>
                            </l>
                            <l key="AdHocParamDimensionOids" refId="545" ln="0" eid="DimensionOid"/>
                            <be key="data" refId="546" clsId="FilterNodeData">
                              <ref key="filterNode" refId="54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4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48" ln="1" eid="Framework.com.tagetik.trees.INode,framework">
                              <be refId="549" clsId="FilterNode">
                                <l key="dimensionOids" refId="550" ln="1" eid="DimensionOid">
                                  <cust clsId="DimensionOid">534345-45-323032374255445F5631---</cust>
                                </l>
                                <l key="AdHocParamDimensionOids" refId="551" ln="0" eid="DimensionOid"/>
                                <be key="data" refId="552" clsId="FilterNodeData">
                                  <ref key="filterNode" refId="549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5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43"/>
                              </be>
                            </l>
                            <ref key="parent" refId="537"/>
                          </be>
                        </l>
                        <ref key="parent" refId="531"/>
                      </be>
                    </l>
                  </be>
                  <be key="rowHeaders" refId="554" clsId="ReportingHeaders">
                    <m key="headers" refId="555" keid="SYS_PR_I" veid="System.Collections.IList">
                      <key>
                        <i>-1</i>
                      </key>
                      <val>
                        <l refId="556" ln="1">
                          <s>$Account.desc</s>
                        </l>
                      </val>
                    </m>
                    <m key="headersDims" refId="557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58" clsId="ReportingHeaders">
                    <m key="headers" refId="559" keid="SYS_PR_I" veid="System.Collections.IList">
                      <key>
                        <i>-1</i>
                      </key>
                      <val>
                        <l refId="560" ln="1">
                          <s>$ANL_EXERCICE.desc</s>
                        </l>
                      </val>
                    </m>
                    <m key="headersDims" refId="561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5</i>
                  <b key="excludeValuatingSheetsWithZeroValues">N</b>
                  <m key="addictionalStyleSheets" refId="56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63" ln="0" eid="Reporting.com.tagetik.tables.IMatixCellLeafPositions,Reporting"/>
                  <m key="forcedEditModes" refId="564" keid="Reporting.com.tagetik.tables.IMatixCellLeafPositions,Reporting" veid="SYS_STR"/>
                  <b key="UseTxlDeFormEditor">N</b>
                  <be key="TxDeFormsEditorDescriptor" refId="565" clsId="TxDeFormsEditorDescriptor">
                    <l key="Tabs" refId="56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67" clsId="matrixWSInfo">
                    <b key="isT">N</b>
                    <s key="wsCode">002</s>
                    <s key="tableCode">000004</s>
                  </be>
                  <be key="customFilters" refId="568" clsId="ExpCustomFiltersProspetto"/>
                </be>
              </val>
              <key>
                <s>Matrix03</s>
              </key>
              <val>
                <be refId="569" clsId="MatrixPositionBlockVO">
                  <s key="positionID">Matrix03</s>
                  <be key="rows" refId="570" clsId="FilterNode">
                    <l key="dimensionOids" refId="571" ln="0" eid="DimensionOid"/>
                    <l key="AdHocParamDimensionOids" refId="572" ln="0" eid="DimensionOid"/>
                    <be key="data" refId="573" clsId="FilterNodeData">
                      <ref key="filterNode" refId="570"/>
                      <i key="segmentLevel">0</i>
                      <ref key="segment" refId="17"/>
                      <b key="placeHolder">N</b>
                      <ref key="weight" refId="18"/>
                      <be key="textMatchingCondition" refId="5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75" ln="1" eid="Framework.com.tagetik.trees.INode,framework">
                      <be refId="576" clsId="FilterNode">
                        <l key="dimensionOids" refId="577" ln="1" eid="DimensionOid">
                          <cust clsId="DimensionOid">434F55-45-434F554E544552---</cust>
                        </l>
                        <l key="AdHocParamDimensionOids" refId="578" ln="0" eid="DimensionOid"/>
                        <be key="data" refId="579" clsId="FilterNodeData">
                          <ref key="filterNode" refId="57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80" clsId="ReportingDinamicita">
                            <e key="dynamicType" refId="581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582" id="PruningEnum">N</e>
                            <i key="addictionalRowsToOpen">0</i>
                            <b key="allowOpenNewElements">N</b>
                          </be>
                          <be key="textMatchingCondition" refId="5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584" id="PeriodicCalculationEnum">A</e>
                          <b key="breakLevelSubtotal">N</b>
                          <b key="alreadyDrilled">N</b>
                          <m key="nodeTypes" refId="58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70"/>
                      </be>
                    </l>
                  </be>
                  <be key="columns" refId="586" clsId="FilterNode">
                    <l key="dimensionOids" refId="587" ln="0" eid="DimensionOid"/>
                    <l key="AdHocParamDimensionOids" refId="588" ln="0" eid="DimensionOid"/>
                    <be key="data" refId="589" clsId="FilterNodeData">
                      <ref key="filterNode" refId="586"/>
                      <i key="segmentLevel">0</i>
                      <ref key="segment" refId="17"/>
                      <b key="placeHolder">N</b>
                      <ref key="weight" refId="18"/>
                      <be key="textMatchingCondition" refId="59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91" ln="1" eid="Framework.com.tagetik.trees.INode,framework">
                      <be refId="592" clsId="FilterNode">
                        <l key="dimensionOids" refId="593" ln="1" eid="DimensionOid">
                          <cust clsId="DimensionOid">41575F54454246534E45425443574E425052-45-53544148525646464C5141584A484B-47524445584B594655454543454744---7C4F57537C-303030303132</cust>
                        </l>
                        <l key="AdHocParamDimensionOids" refId="594" ln="0" eid="DimensionOid"/>
                        <be key="data" refId="595" clsId="FilterNodeData">
                          <ref key="filterNode" refId="5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597" keid="SYS_STR" veid="EFReportingNodeType">
                            <key>
                              <s>41575F54454246534E45425443574E425052-45-53544148525646464C5141584A484B-47524445584B594655454543454744---7C4F57537C-303030303132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86"/>
                      </be>
                    </l>
                  </be>
                  <be key="matrixFilters" refId="598" clsId="FilterNode">
                    <l key="dimensionOids" refId="599" ln="0" eid="DimensionOid"/>
                    <l key="AdHocParamDimensionOids" refId="600" ln="0" eid="DimensionOid"/>
                    <be key="data" refId="601" clsId="FilterNodeData">
                      <ref key="filterNode" refId="598"/>
                      <i key="segmentLevel">0</i>
                      <ref key="segment" refId="17"/>
                      <b key="placeHolder">N</b>
                      <ref key="weight" refId="18"/>
                      <be key="textMatchingCondition" refId="60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603" clsId="ReportingHeaders">
                    <m key="headers" refId="604" keid="SYS_PR_I" veid="System.Collections.IList"/>
                    <m key="headersDims" refId="605" keid="SYS_PR_I" veid="SYS_STR"/>
                  </be>
                  <be key="columnHeaders" refId="606" clsId="ReportingHeaders">
                    <m key="headers" refId="607" keid="SYS_PR_I" veid="System.Collections.IList"/>
                    <m key="headersDims" refId="60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6</i>
                  <b key="excludeValuatingSheetsWithZeroValues">N</b>
                  <m key="addictionalStyleSheets" refId="6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610" ln="0" eid="Reporting.com.tagetik.tables.IMatixCellLeafPositions,Reporting"/>
                  <m key="forcedEditModes" refId="611" keid="Reporting.com.tagetik.tables.IMatixCellLeafPositions,Reporting" veid="SYS_STR"/>
                  <b key="UseTxlDeFormEditor">N</b>
                  <be key="TxDeFormsEditorDescriptor" refId="612" clsId="TxDeFormsEditorDescriptor">
                    <l key="Tabs" refId="6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614" clsId="matrixWSInfo">
                    <b key="isT">S</b>
                    <s key="wsCode">002</s>
                    <s key="tableCode">000012</s>
                  </be>
                  <be key="customFilters" refId="615" clsId="ExpCustomFiltersProspetto"/>
                </be>
              </val>
            </m>
            <m key="cellFields" refId="616" keid="SYS_STR" veid="CodeCellField"/>
            <m key="dictionary" refId="617" keid="SYS_STR" veid="CodeMultiDescVO"/>
            <m key="controlExpressions" refId="618" keid="SYS_STR" veid="CodedExpControlloProspetto"/>
            <m key="inlineParameters" refId="619" keid="SYS_STR" veid="CodedInlineParameter"/>
            <m key="queries" refId="620" keid="SYS_STR" veid="Reporting.com.tagetik.query.IUserDefinedQueryVO,Reporting"/>
            <be key="sheets" refId="621" clsId="FilterNode">
              <l key="dimensionOids" refId="622" ln="0" eid="DimensionOid"/>
              <l key="AdHocParamDimensionOids" refId="623" ln="0" eid="DimensionOid"/>
              <be key="data" refId="624" clsId="FilterNodeData">
                <ref key="filterNode" refId="621"/>
                <i key="segmentLevel">0</i>
                <ref key="segment" refId="17"/>
                <b key="placeHolder">N</b>
                <ref key="weight" refId="18"/>
                <be key="textMatchingCondition" refId="62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626" keid="SYS_STR" veid="ElaborationsLauncher"/>
            <m key="actionLists" refId="627" keid="SYS_STR" veid="Reporting.com.tagetik.actionlist.ISnapshotActionList,Reporting"/>
            <l key="areas" refId="628" ln="45" eid="SYS_STR">
              <s>HYP_ACQ_BUD_V01</s>
              <s>HYP_ACQ_BUD_V02</s>
              <s>HYP_ACQ_BUD_V03</s>
              <s>HYP_BRAND_BUD_V01</s>
              <s>HYP_BRAND_BUD_V02</s>
              <s>HYP_BRAND_BUD_V03</s>
              <s>HYP_CONV_ADM_V01</s>
              <s>HYP_CONV_ADM_V02</s>
              <s>HYP_CONV_ADM_V03</s>
              <s>HYP_CONV_LEAD_V01</s>
              <s>HYP_CONV_LEAD_V02</s>
              <s>HYP_CONV_LEAD_V03</s>
              <s>HYP_FEE_V01</s>
              <s>HYP_FEE_V02</s>
              <s>HYP_FEE_V03</s>
              <s>HYP_FTE_PERM_V01</s>
              <s>HYP_FTE_PERM_V02</s>
              <s>HYP_FTE_PERM_V03</s>
              <s>HYP_INFL_EXT_V01</s>
              <s>HYP_INFL_EXT_V02</s>
              <s>HYP_INFL_EXT_V03</s>
              <s>HYP_PASSAGE_V01</s>
              <s>HYP_PASSAGE_V02</s>
              <s>HYP_PASSAGE_V03</s>
              <s>HYP_PRICE_COEF_IPAC</s>
              <s>HYP_PRICE_COEF_ISCOM</s>
              <s>HYP_PRICE_COEF_MBWAY</s>
              <s>HYP_PRICE_COEF_PIGIER</s>
              <s>HYP_PRICE_COEF_TUNON</s>
              <s>HYP_PRICE_V01</s>
              <s>HYP_PRICE_V02</s>
              <s>HYP_PRICE_V03</s>
              <s>HYP_PRODUCTIVITY_V01</s>
              <s>HYP_PRODUCTIVITY_V02</s>
              <s>HYP_PRODUCTIVITY_V03</s>
              <s>HYP_SALARY_V01</s>
              <s>HYP_SALARY_V02</s>
              <s>HYP_SALARY_V03</s>
              <s>HYP_STRUCT_COST_V01</s>
              <s>HYP_STRUCT_COST_V02</s>
              <s>HYP_STRUCT_COST_V03</s>
              <s>SCENARIO_ACTIF</s>
              <s>SCENARIO_CODE</s>
              <s>TEC_EBITDA</s>
              <s>TEC_PL</s>
            </l>
            <l key="charts" refId="629" ln="0" eid="SYS_STR"/>
            <l key="pivots" refId="630" ln="0" eid="SYS_STR"/>
          </be>
        </val>
        <key>
          <s>Template01</s>
        </key>
        <val>
          <be refId="631" clsId="ReportTemplateVO">
            <s key="code">Template01</s>
            <s key="desc">Socle</s>
            <m key="matrices" refId="632" keid="SYS_STR" veid="Reporting.com.tagetik.tables.IMatrixPositionBlockVO,Reporting">
              <key>
                <s>Matrix00</s>
              </key>
              <val>
                <be refId="633" clsId="MatrixPositionBlockVO">
                  <s key="positionID">Matrix00</s>
                  <be key="rows" refId="634" clsId="FilterNode">
                    <l key="dimensionOids" refId="635" ln="0" eid="DimensionOid"/>
                    <l key="AdHocParamDimensionOids" refId="636" ln="0" eid="DimensionOid"/>
                    <be key="data" refId="637" clsId="FilterNodeData">
                      <ref key="filterNode" refId="634"/>
                      <i key="segmentLevel">0</i>
                      <ref key="segment" refId="17"/>
                      <b key="placeHolder">N</b>
                      <ref key="weight" refId="18"/>
                      <be key="textMatchingCondition" refId="63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639" ln="1" eid="Framework.com.tagetik.trees.INode,framework">
                      <be refId="640" clsId="FilterNode">
                        <l key="dimensionOids" refId="641" ln="1" eid="DimensionOid">
                          <cust clsId="DimensionOid">434F55-45-434F554E544552---</cust>
                        </l>
                        <l key="AdHocParamDimensionOids" refId="642" ln="0" eid="DimensionOid"/>
                        <be key="data" refId="643" clsId="FilterNodeData">
                          <ref key="filterNode" refId="64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64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6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4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34"/>
                      </be>
                    </l>
                  </be>
                  <be key="columns" refId="647" clsId="FilterNode">
                    <l key="dimensionOids" refId="648" ln="0" eid="DimensionOid"/>
                    <l key="AdHocParamDimensionOids" refId="649" ln="0" eid="DimensionOid"/>
                    <be key="data" refId="650" clsId="FilterNodeData">
                      <ref key="filterNode" refId="647"/>
                      <i key="segmentLevel">0</i>
                      <ref key="segment" refId="17"/>
                      <b key="placeHolder">N</b>
                      <ref key="weight" refId="18"/>
                      <be key="textMatchingCondition" refId="6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2" ln="29" eid="Framework.com.tagetik.trees.INode,framework">
                      <be refId="653" clsId="FilterNode">
                        <l key="dimensionOids" refId="654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55" ln="0" eid="DimensionOid"/>
                        <be key="data" refId="656" clsId="FilterNodeData">
                          <ref key="filterNode" refId="65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58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47"/>
                      </be>
                      <be refId="659" clsId="FilterNode">
                        <l key="dimensionOids" refId="660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61" ln="0" eid="DimensionOid"/>
                        <be key="data" refId="662" clsId="FilterNodeData">
                          <ref key="filterNode" refId="6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</cust>
                        <i key="index">0</i>
                        <ref key="parent" refId="647"/>
                      </be>
                      <be refId="664" clsId="FilterNode">
                        <l key="dimensionOids" refId="665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66" ln="0" eid="DimensionOid"/>
                        <be key="data" refId="667" clsId="FilterNodeData">
                          <ref key="filterNode" refId="6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4</cust>
                        <i key="index">0</i>
                        <ref key="parent" refId="647"/>
                      </be>
                      <be refId="669" clsId="FilterNode">
                        <l key="dimensionOids" refId="670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71" ln="0" eid="DimensionOid"/>
                        <be key="data" refId="672" clsId="FilterNodeData">
                          <ref key="filterNode" refId="6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5</cust>
                        <i key="index">0</i>
                        <ref key="parent" refId="647"/>
                      </be>
                      <be refId="674" clsId="FilterNode">
                        <l key="dimensionOids" refId="675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76" ln="0" eid="DimensionOid"/>
                        <be key="data" refId="677" clsId="FilterNodeData">
                          <ref key="filterNode" refId="6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6</cust>
                        <i key="index">0</i>
                        <ref key="parent" refId="647"/>
                      </be>
                      <be refId="679" clsId="FilterNode">
                        <l key="dimensionOids" refId="680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81" ln="0" eid="DimensionOid"/>
                        <be key="data" refId="682" clsId="FilterNodeData">
                          <ref key="filterNode" refId="6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7</cust>
                        <i key="index">0</i>
                        <ref key="parent" refId="647"/>
                      </be>
                      <be refId="684" clsId="FilterNode">
                        <l key="dimensionOids" refId="685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86" ln="0" eid="DimensionOid"/>
                        <be key="data" refId="687" clsId="FilterNodeData">
                          <ref key="filterNode" refId="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8</cust>
                        <i key="index">0</i>
                        <ref key="parent" refId="647"/>
                      </be>
                      <be refId="689" clsId="FilterNode">
                        <l key="dimensionOids" refId="690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91" ln="0" eid="DimensionOid"/>
                        <be key="data" refId="692" clsId="FilterNodeData">
                          <ref key="filterNode" refId="6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9</cust>
                        <i key="index">0</i>
                        <ref key="parent" refId="647"/>
                      </be>
                      <be refId="694" clsId="FilterNode">
                        <l key="dimensionOids" refId="695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96" ln="0" eid="DimensionOid"/>
                        <be key="data" refId="697" clsId="FilterNodeData">
                          <ref key="filterNode" refId="6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10</cust>
                        <i key="index">0</i>
                        <ref key="parent" refId="647"/>
                      </be>
                      <be refId="699" clsId="FilterNode">
                        <l key="dimensionOids" refId="700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701" ln="0" eid="DimensionOid"/>
                        <be key="data" refId="702" clsId="FilterNodeData">
                          <ref key="filterNode" refId="6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11</cust>
                        <i key="index">0</i>
                        <ref key="parent" refId="647"/>
                      </be>
                      <be refId="704" clsId="FilterNode">
                        <l key="dimensionOids" refId="705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706" ln="0" eid="DimensionOid"/>
                        <be key="data" refId="707" clsId="FilterNodeData">
                          <ref key="filterNode" refId="7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12</cust>
                        <i key="index">0</i>
                        <ref key="parent" refId="647"/>
                      </be>
                      <be refId="709" clsId="FilterNode">
                        <l key="dimensionOids" refId="710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711" ln="0" eid="DimensionOid"/>
                        <be key="data" refId="712" clsId="FilterNodeData">
                          <ref key="filterNode" refId="7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13</cust>
                        <i key="index">0</i>
                        <ref key="parent" refId="647"/>
                      </be>
                      <be refId="714" clsId="FilterNode">
                        <l key="dimensionOids" refId="715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716" ln="0" eid="DimensionOid"/>
                        <be key="data" refId="717" clsId="FilterNodeData">
                          <ref key="filterNode" refId="7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14</cust>
                        <i key="index">0</i>
                        <ref key="parent" refId="647"/>
                      </be>
                      <be refId="719" clsId="FilterNode">
                        <l key="dimensionOids" refId="720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721" ln="0" eid="DimensionOid"/>
                        <be key="data" refId="722" clsId="FilterNodeData">
                          <ref key="filterNode" refId="7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15</cust>
                        <i key="index">0</i>
                        <ref key="parent" refId="647"/>
                      </be>
                      <be refId="724" clsId="FilterNode">
                        <l key="dimensionOids" refId="725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16</cust>
                        <i key="index">0</i>
                        <ref key="parent" refId="647"/>
                      </be>
                      <be refId="729" clsId="FilterNode">
                        <l key="dimensionOids" refId="730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731" ln="0" eid="DimensionOid"/>
                        <be key="data" refId="732" clsId="FilterNodeData">
                          <ref key="filterNode" refId="7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17</cust>
                        <i key="index">0</i>
                        <ref key="parent" refId="647"/>
                      </be>
                      <be refId="734" clsId="FilterNode">
                        <l key="dimensionOids" refId="735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736" ln="0" eid="DimensionOid"/>
                        <be key="data" refId="737" clsId="FilterNodeData">
                          <ref key="filterNode" refId="7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18</cust>
                        <i key="index">0</i>
                        <ref key="parent" refId="647"/>
                      </be>
                      <be refId="739" clsId="FilterNode">
                        <l key="dimensionOids" refId="740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741" ln="0" eid="DimensionOid"/>
                        <be key="data" refId="742" clsId="FilterNodeData">
                          <ref key="filterNode" refId="7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19</cust>
                        <i key="index">0</i>
                        <ref key="parent" refId="647"/>
                      </be>
                      <be refId="744" clsId="FilterNode">
                        <l key="dimensionOids" refId="745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746" ln="0" eid="DimensionOid"/>
                        <be key="data" refId="747" clsId="FilterNodeData">
                          <ref key="filterNode" refId="7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20</cust>
                        <i key="index">0</i>
                        <ref key="parent" refId="647"/>
                      </be>
                      <be refId="749" clsId="FilterNode">
                        <l key="dimensionOids" refId="750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751" ln="0" eid="DimensionOid"/>
                        <be key="data" refId="752" clsId="FilterNodeData">
                          <ref key="filterNode" refId="7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21</cust>
                        <i key="index">0</i>
                        <ref key="parent" refId="647"/>
                      </be>
                      <be refId="754" clsId="FilterNode">
                        <l key="dimensionOids" refId="755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56" ln="0" eid="DimensionOid"/>
                        <be key="data" refId="757" clsId="FilterNodeData">
                          <ref key="filterNode" refId="7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22</cust>
                        <i key="index">0</i>
                        <ref key="parent" refId="647"/>
                      </be>
                      <be refId="759" clsId="FilterNode">
                        <l key="dimensionOids" refId="760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61" ln="0" eid="DimensionOid"/>
                        <be key="data" refId="762" clsId="FilterNodeData">
                          <ref key="filterNode" refId="7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23</cust>
                        <i key="index">0</i>
                        <ref key="parent" refId="647"/>
                      </be>
                      <be refId="764" clsId="FilterNode">
                        <l key="dimensionOids" refId="765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66" ln="0" eid="DimensionOid"/>
                        <be key="data" refId="767" clsId="FilterNodeData">
                          <ref key="filterNode" refId="7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24</cust>
                        <i key="index">0</i>
                        <ref key="parent" refId="647"/>
                      </be>
                      <be refId="769" clsId="FilterNode">
                        <l key="dimensionOids" refId="770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71" ln="0" eid="DimensionOid"/>
                        <be key="data" refId="772" clsId="FilterNodeData">
                          <ref key="filterNode" refId="7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25</cust>
                        <i key="index">0</i>
                        <ref key="parent" refId="647"/>
                      </be>
                      <be refId="774" clsId="FilterNode">
                        <l key="dimensionOids" refId="775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76" ln="0" eid="DimensionOid"/>
                        <be key="data" refId="777" clsId="FilterNodeData">
                          <ref key="filterNode" refId="7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26</cust>
                        <i key="index">0</i>
                        <ref key="parent" refId="647"/>
                      </be>
                      <be refId="779" clsId="FilterNode">
                        <l key="dimensionOids" refId="780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81" ln="0" eid="DimensionOid"/>
                        <be key="data" refId="782" clsId="FilterNodeData">
                          <ref key="filterNode" refId="7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27</cust>
                        <i key="index">0</i>
                        <ref key="parent" refId="647"/>
                      </be>
                      <be refId="784" clsId="FilterNode">
                        <l key="dimensionOids" refId="785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86" ln="0" eid="DimensionOid"/>
                        <be key="data" refId="787" clsId="FilterNodeData">
                          <ref key="filterNode" refId="7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28</cust>
                        <i key="index">0</i>
                        <ref key="parent" refId="647"/>
                      </be>
                      <be refId="789" clsId="FilterNode">
                        <l key="dimensionOids" refId="790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91" ln="0" eid="DimensionOid"/>
                        <be key="data" refId="792" clsId="FilterNodeData">
                          <ref key="filterNode" refId="7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29</cust>
                        <i key="index">0</i>
                        <ref key="parent" refId="647"/>
                      </be>
                      <be refId="794" clsId="FilterNode">
                        <l key="dimensionOids" refId="795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96" ln="0" eid="DimensionOid"/>
                        <be key="data" refId="797" clsId="FilterNodeData">
                          <ref key="filterNode" refId="7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30</cust>
                        <i key="index">0</i>
                        <ref key="parent" refId="647"/>
                      </be>
                    </l>
                  </be>
                  <be key="matrixFilters" refId="799" clsId="FilterNode">
                    <l key="dimensionOids" refId="800" ln="0" eid="DimensionOid"/>
                    <l key="AdHocParamDimensionOids" refId="801" ln="0" eid="DimensionOid"/>
                    <be key="data" refId="802" clsId="FilterNodeData">
                      <ref key="filterNode" refId="799"/>
                      <i key="segmentLevel">0</i>
                      <ref key="segment" refId="17"/>
                      <b key="placeHolder">N</b>
                      <ref key="weight" refId="18"/>
                      <be key="textMatchingCondition" refId="8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04" ln="1" eid="Framework.com.tagetik.trees.INode,framework">
                      <be refId="805" clsId="FilterNode">
                        <l key="dimensionOids" refId="806" ln="1" eid="DimensionOid">
                          <cust clsId="DimensionOid">415A495F454455-45-24415A495F4544555F50--50-</cust>
                        </l>
                        <l key="AdHocParamDimensionOids" refId="807" ln="0" eid="DimensionOid"/>
                        <be key="data" refId="808" clsId="FilterNodeData">
                          <ref key="filterNode" refId="805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810" ln="1" eid="Framework.com.tagetik.trees.INode,framework">
                          <be refId="811" clsId="FilterNode">
                            <l key="dimensionOids" refId="812" ln="1" eid="DimensionOid">
                              <cust clsId="DimensionOid">5343455F24-45-245343455F245F50--50-</cust>
                            </l>
                            <l key="AdHocParamDimensionOids" refId="813" ln="0" eid="DimensionOid"/>
                            <be key="data" refId="814" clsId="FilterNodeData">
                              <ref key="filterNode" refId="811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1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816" ln="1" eid="Framework.com.tagetik.trees.INode,framework">
                              <be refId="817" clsId="FilterNode">
                                <l key="dimensionOids" refId="818" ln="1" eid="DimensionOid">
                                  <cust clsId="DimensionOid">504552-45-3132---</cust>
                                </l>
                                <l key="AdHocParamDimensionOids" refId="819" ln="0" eid="DimensionOid"/>
                                <be key="data" refId="820" clsId="FilterNodeData">
                                  <ref key="filterNode" refId="817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82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811"/>
                              </be>
                            </l>
                            <ref key="parent" refId="805"/>
                          </be>
                        </l>
                        <ref key="parent" refId="799"/>
                      </be>
                    </l>
                  </be>
                  <be key="rowHeaders" refId="822" clsId="ReportingHeaders">
                    <m key="headers" refId="823" keid="SYS_PR_I" veid="System.Collections.IList"/>
                    <m key="headersDims" refId="824" keid="SYS_PR_I" veid="SYS_STR"/>
                  </be>
                  <be key="columnHeaders" refId="825" clsId="ReportingHeaders">
                    <m key="headers" refId="826" keid="SYS_PR_I" veid="System.Collections.IList">
                      <key>
                        <i>-1</i>
                      </key>
                      <val>
                        <l refId="827" ln="1">
                          <s>$AW(HIERARCHY("TEBFSNEBTCWNBPR")).desc</s>
                        </l>
                      </val>
                    </m>
                    <m key="headersDims" refId="8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82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830" ln="0" eid="Reporting.com.tagetik.tables.IMatixCellLeafPositions,Reporting"/>
                  <m key="forcedEditModes" refId="831" keid="Reporting.com.tagetik.tables.IMatixCellLeafPositions,Reporting" veid="SYS_STR"/>
                  <b key="UseTxlDeFormEditor">N</b>
                  <be key="TxDeFormsEditorDescriptor" refId="832" clsId="TxDeFormsEditorDescriptor">
                    <l key="Tabs" refId="83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834" clsId="matrixWSInfo">
                    <b key="isT">S</b>
                    <s key="wsCode">002</s>
                    <s key="tableCode">000003</s>
                  </be>
                  <be key="customFilters" refId="835" clsId="ExpCustomFiltersProspetto"/>
                </be>
              </val>
            </m>
            <m key="cellFields" refId="836" keid="SYS_STR" veid="CodeCellField"/>
            <m key="dictionary" refId="837" keid="SYS_STR" veid="CodeMultiDescVO"/>
            <m key="controlExpressions" refId="838" keid="SYS_STR" veid="CodedExpControlloProspetto"/>
            <m key="inlineParameters" refId="839" keid="SYS_STR" veid="CodedInlineParameter"/>
            <m key="queries" refId="840" keid="SYS_STR" veid="Reporting.com.tagetik.query.IUserDefinedQueryVO,Reporting"/>
            <be key="sheets" refId="841" clsId="FilterNode">
              <l key="dimensionOids" refId="842" ln="0" eid="DimensionOid"/>
              <l key="AdHocParamDimensionOids" refId="843" ln="0" eid="DimensionOid"/>
              <be key="data" refId="844" clsId="FilterNodeData">
                <ref key="filterNode" refId="841"/>
                <i key="segmentLevel">0</i>
                <ref key="segment" refId="17"/>
                <b key="placeHolder">N</b>
                <ref key="weight" refId="18"/>
                <be key="textMatchingCondition" refId="84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846" keid="SYS_STR" veid="ElaborationsLauncher"/>
            <m key="actionLists" refId="847" keid="SYS_STR" veid="Reporting.com.tagetik.actionlist.ISnapshotActionList,Reporting"/>
            <l key="areas" refId="848" ln="0" eid="SYS_STR"/>
            <l key="charts" refId="849" ln="0" eid="SYS_STR"/>
            <l key="pivots" refId="850" ln="0" eid="SYS_STR"/>
          </be>
        </val>
        <key>
          <s>Template02</s>
        </key>
        <val>
          <be refId="851" clsId="ReportTemplateVO">
            <s key="code">Template02</s>
            <s key="desc">Campagne</s>
            <m key="matrices" refId="852" keid="SYS_STR" veid="Reporting.com.tagetik.tables.IMatrixPositionBlockVO,Reporting">
              <key>
                <s>Matrix00</s>
              </key>
              <val>
                <be refId="853" clsId="MatrixPositionBlockVO">
                  <s key="positionID">Matrix00</s>
                  <be key="rows" refId="854" clsId="FilterNode">
                    <l key="dimensionOids" refId="855" ln="0" eid="DimensionOid"/>
                    <l key="AdHocParamDimensionOids" refId="856" ln="0" eid="DimensionOid"/>
                    <be key="data" refId="857" clsId="FilterNodeData">
                      <ref key="filterNode" refId="854"/>
                      <i key="segmentLevel">0</i>
                      <ref key="segment" refId="17"/>
                      <b key="placeHolder">N</b>
                      <ref key="weight" refId="18"/>
                      <be key="textMatchingCondition" refId="8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59" ln="1" eid="Framework.com.tagetik.trees.INode,framework">
                      <be refId="860" clsId="FilterNode">
                        <l key="dimensionOids" refId="861" ln="1" eid="DimensionOid">
                          <cust clsId="DimensionOid">434F55-45-434F554E544552---</cust>
                        </l>
                        <l key="AdHocParamDimensionOids" refId="862" ln="0" eid="DimensionOid"/>
                        <be key="data" refId="863" clsId="FilterNodeData">
                          <ref key="filterNode" refId="86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6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8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6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54"/>
                      </be>
                    </l>
                  </be>
                  <be key="columns" refId="867" clsId="FilterNode">
                    <l key="dimensionOids" refId="868" ln="0" eid="DimensionOid"/>
                    <l key="AdHocParamDimensionOids" refId="869" ln="0" eid="DimensionOid"/>
                    <be key="data" refId="870" clsId="FilterNodeData">
                      <ref key="filterNode" refId="867"/>
                      <i key="segmentLevel">0</i>
                      <ref key="segment" refId="17"/>
                      <b key="placeHolder">N</b>
                      <ref key="weight" refId="18"/>
                      <be key="textMatchingCondition" refId="8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72" ln="14" eid="Framework.com.tagetik.trees.INode,framework">
                      <be refId="873" clsId="FilterNode">
                        <l key="dimensionOids" refId="874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75" ln="0" eid="DimensionOid"/>
                        <be key="data" refId="876" clsId="FilterNodeData">
                          <ref key="filterNode" refId="8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78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67"/>
                      </be>
                      <be refId="879" clsId="FilterNode">
                        <l key="dimensionOids" refId="880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81" ln="0" eid="DimensionOid"/>
                        <be key="data" refId="882" clsId="FilterNodeData">
                          <ref key="filterNode" refId="8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3</cust>
                        <i key="index">0</i>
                        <ref key="parent" refId="867"/>
                      </be>
                      <be refId="884" clsId="FilterNode">
                        <l key="dimensionOids" refId="885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86" ln="0" eid="DimensionOid"/>
                        <be key="data" refId="887" clsId="FilterNodeData">
                          <ref key="filterNode" refId="8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4</cust>
                        <i key="index">0</i>
                        <ref key="parent" refId="867"/>
                      </be>
                      <be refId="889" clsId="FilterNode">
                        <l key="dimensionOids" refId="890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91" ln="0" eid="DimensionOid"/>
                        <be key="data" refId="892" clsId="FilterNodeData">
                          <ref key="filterNode" refId="8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5</cust>
                        <i key="index">0</i>
                        <ref key="parent" refId="867"/>
                      </be>
                      <be refId="894" clsId="FilterNode">
                        <l key="dimensionOids" refId="895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96" ln="0" eid="DimensionOid"/>
                        <be key="data" refId="897" clsId="FilterNodeData">
                          <ref key="filterNode" refId="8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6</cust>
                        <i key="index">0</i>
                        <ref key="parent" refId="867"/>
                      </be>
                      <be refId="899" clsId="FilterNode">
                        <l key="dimensionOids" refId="900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901" ln="0" eid="DimensionOid"/>
                        <be key="data" refId="902" clsId="FilterNodeData">
                          <ref key="filterNode" refId="8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7</cust>
                        <i key="index">0</i>
                        <ref key="parent" refId="867"/>
                      </be>
                      <be refId="904" clsId="FilterNode">
                        <l key="dimensionOids" refId="905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906" ln="0" eid="DimensionOid"/>
                        <be key="data" refId="907" clsId="FilterNodeData">
                          <ref key="filterNode" refId="9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8</cust>
                        <i key="index">0</i>
                        <ref key="parent" refId="867"/>
                      </be>
                      <be refId="909" clsId="FilterNode">
                        <l key="dimensionOids" refId="910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911" ln="0" eid="DimensionOid"/>
                        <be key="data" refId="912" clsId="FilterNodeData">
                          <ref key="filterNode" refId="9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9</cust>
                        <i key="index">0</i>
                        <ref key="parent" refId="867"/>
                      </be>
                      <be refId="914" clsId="FilterNode">
                        <l key="dimensionOids" refId="915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916" ln="0" eid="DimensionOid"/>
                        <be key="data" refId="917" clsId="FilterNodeData">
                          <ref key="filterNode" refId="9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10</cust>
                        <i key="index">0</i>
                        <ref key="parent" refId="867"/>
                      </be>
                      <be refId="919" clsId="FilterNode">
                        <l key="dimensionOids" refId="920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921" ln="0" eid="DimensionOid"/>
                        <be key="data" refId="922" clsId="FilterNodeData">
                          <ref key="filterNode" refId="9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11</cust>
                        <i key="index">0</i>
                        <ref key="parent" refId="867"/>
                      </be>
                      <be refId="924" clsId="FilterNode">
                        <l key="dimensionOids" refId="925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926" ln="0" eid="DimensionOid"/>
                        <be key="data" refId="927" clsId="FilterNodeData">
                          <ref key="filterNode" refId="9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12</cust>
                        <i key="index">0</i>
                        <ref key="parent" refId="867"/>
                      </be>
                      <be refId="929" clsId="FilterNode">
                        <l key="dimensionOids" refId="930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931" ln="0" eid="DimensionOid"/>
                        <be key="data" refId="932" clsId="FilterNodeData">
                          <ref key="filterNode" refId="9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13</cust>
                        <i key="index">0</i>
                        <ref key="parent" refId="867"/>
                      </be>
                      <be refId="934" clsId="FilterNode">
                        <l key="dimensionOids" refId="935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936" ln="0" eid="DimensionOid"/>
                        <be key="data" refId="937" clsId="FilterNodeData">
                          <ref key="filterNode" refId="9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14</cust>
                        <i key="index">0</i>
                        <ref key="parent" refId="867"/>
                      </be>
                      <be refId="939" clsId="FilterNode">
                        <l key="dimensionOids" refId="940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941" ln="0" eid="DimensionOid"/>
                        <be key="data" refId="942" clsId="FilterNodeData">
                          <ref key="filterNode" refId="9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15</cust>
                        <i key="index">0</i>
                        <ref key="parent" refId="867"/>
                      </be>
                    </l>
                  </be>
                  <be key="matrixFilters" refId="944" clsId="FilterNode">
                    <l key="dimensionOids" refId="945" ln="0" eid="DimensionOid"/>
                    <l key="AdHocParamDimensionOids" refId="946" ln="0" eid="DimensionOid"/>
                    <be key="data" refId="947" clsId="FilterNodeData">
                      <ref key="filterNode" refId="944"/>
                      <i key="segmentLevel">0</i>
                      <ref key="segment" refId="17"/>
                      <b key="placeHolder">N</b>
                      <ref key="weight" refId="18"/>
                      <be key="textMatchingCondition" refId="9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949" ln="1" eid="Framework.com.tagetik.trees.INode,framework">
                      <be refId="950" clsId="FilterNode">
                        <l key="dimensionOids" refId="951" ln="1" eid="DimensionOid">
                          <cust clsId="DimensionOid">5343455F24-45-245343455F245F50--50-</cust>
                        </l>
                        <l key="AdHocParamDimensionOids" refId="952" ln="0" eid="DimensionOid"/>
                        <be key="data" refId="953" clsId="FilterNodeData">
                          <ref key="filterNode" refId="95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55" ln="1" eid="Framework.com.tagetik.trees.INode,framework">
                          <be refId="956" clsId="FilterNode">
                            <l key="dimensionOids" refId="957" ln="1" eid="DimensionOid">
                              <cust clsId="DimensionOid">504552-45-3132---</cust>
                            </l>
                            <l key="AdHocParamDimensionOids" refId="958" ln="0" eid="DimensionOid"/>
                            <be key="data" refId="959" clsId="FilterNodeData">
                              <ref key="filterNode" refId="95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61" ln="1" eid="Framework.com.tagetik.trees.INode,framework">
                              <be refId="962" clsId="FilterNode">
                                <l key="dimensionOids" refId="963" ln="1" eid="DimensionOid">
                                  <cust clsId="DimensionOid">415A495F454455-45-24415A495F4544555F50--50-</cust>
                                </l>
                                <l key="AdHocParamDimensionOids" refId="964" ln="0" eid="DimensionOid"/>
                                <be key="data" refId="965" clsId="FilterNodeData">
                                  <ref key="filterNode" refId="96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56"/>
                              </be>
                            </l>
                            <ref key="parent" refId="950"/>
                          </be>
                        </l>
                        <ref key="parent" refId="944"/>
                      </be>
                    </l>
                  </be>
                  <be key="rowHeaders" refId="967" clsId="ReportingHeaders">
                    <m key="headers" refId="968" keid="SYS_PR_I" veid="System.Collections.IList"/>
                    <m key="headersDims" refId="969" keid="SYS_PR_I" veid="SYS_STR"/>
                  </be>
                  <be key="columnHeaders" refId="970" clsId="ReportingHeaders">
                    <m key="headers" refId="971" keid="SYS_PR_I" veid="System.Collections.IList">
                      <key>
                        <i>-1</i>
                      </key>
                      <val>
                        <l refId="972" ln="1">
                          <s>$AW(HIERARCHY("TEBFSNEBTCWNBPR")).desc</s>
                        </l>
                      </val>
                    </m>
                    <m key="headersDims" refId="97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97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75" ln="0" eid="Reporting.com.tagetik.tables.IMatixCellLeafPositions,Reporting"/>
                  <m key="forcedEditModes" refId="976" keid="Reporting.com.tagetik.tables.IMatixCellLeafPositions,Reporting" veid="SYS_STR"/>
                  <b key="UseTxlDeFormEditor">N</b>
                  <be key="TxDeFormsEditorDescriptor" refId="977" clsId="TxDeFormsEditorDescriptor">
                    <l key="Tabs" refId="97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79" clsId="matrixWSInfo">
                    <b key="isT">S</b>
                    <s key="wsCode">002</s>
                    <s key="tableCode">000005</s>
                  </be>
                  <be key="customFilters" refId="980" clsId="ExpCustomFiltersProspetto"/>
                </be>
              </val>
            </m>
            <m key="cellFields" refId="981" keid="SYS_STR" veid="CodeCellField"/>
            <m key="dictionary" refId="982" keid="SYS_STR" veid="CodeMultiDescVO"/>
            <m key="controlExpressions" refId="983" keid="SYS_STR" veid="CodedExpControlloProspetto"/>
            <m key="inlineParameters" refId="984" keid="SYS_STR" veid="CodedInlineParameter"/>
            <m key="queries" refId="985" keid="SYS_STR" veid="Reporting.com.tagetik.query.IUserDefinedQueryVO,Reporting"/>
            <be key="sheets" refId="986" clsId="FilterNode">
              <l key="dimensionOids" refId="987" ln="0" eid="DimensionOid"/>
              <l key="AdHocParamDimensionOids" refId="988" ln="0" eid="DimensionOid"/>
              <be key="data" refId="989" clsId="FilterNodeData">
                <ref key="filterNode" refId="986"/>
                <i key="segmentLevel">0</i>
                <ref key="segment" refId="17"/>
                <b key="placeHolder">N</b>
                <ref key="weight" refId="18"/>
                <be key="textMatchingCondition" refId="99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91" keid="SYS_STR" veid="ElaborationsLauncher"/>
            <m key="actionLists" refId="992" keid="SYS_STR" veid="Reporting.com.tagetik.actionlist.ISnapshotActionList,Reporting"/>
            <l key="areas" refId="993" ln="0" eid="SYS_STR"/>
            <l key="charts" refId="994" ln="0" eid="SYS_STR"/>
            <l key="pivots" refId="995" ln="0" eid="SYS_STR"/>
          </be>
        </val>
        <key>
          <s>Template03</s>
        </key>
        <val>
          <be refId="996" clsId="ReportTemplateVO">
            <s key="code">Template03</s>
            <s key="desc">Moteur</s>
            <m key="matrices" refId="997" keid="SYS_STR" veid="Reporting.com.tagetik.tables.IMatrixPositionBlockVO,Reporting">
              <key>
                <s>Matrix00</s>
              </key>
              <val>
                <be refId="998" clsId="MatrixPositionBlockVO">
                  <s key="positionID">Matrix00</s>
                  <be key="rows" refId="999" clsId="FilterNode">
                    <l key="dimensionOids" refId="1000" ln="0" eid="DimensionOid"/>
                    <l key="AdHocParamDimensionOids" refId="1001" ln="0" eid="DimensionOid"/>
                    <be key="data" refId="1002" clsId="FilterNodeData">
                      <ref key="filterNode" refId="999"/>
                      <i key="segmentLevel">0</i>
                      <ref key="segment" refId="17"/>
                      <b key="placeHolder">N</b>
                      <ref key="weight" refId="18"/>
                      <be key="textMatchingCondition" refId="10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04" ln="1" eid="Framework.com.tagetik.trees.INode,framework">
                      <be refId="1005" clsId="FilterNode">
                        <l key="dimensionOids" refId="1006" ln="1" eid="DimensionOid">
                          <cust clsId="DimensionOid">434F55-45-434F554E544552---</cust>
                        </l>
                        <l key="AdHocParamDimensionOids" refId="1007" ln="0" eid="DimensionOid"/>
                        <be key="data" refId="1008" clsId="FilterNodeData">
                          <ref key="filterNode" refId="100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09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0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1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99"/>
                      </be>
                    </l>
                  </be>
                  <be key="columns" refId="1012" clsId="FilterNode">
                    <l key="dimensionOids" refId="1013" ln="0" eid="DimensionOid"/>
                    <l key="AdHocParamDimensionOids" refId="1014" ln="0" eid="DimensionOid"/>
                    <be key="data" refId="1015" clsId="FilterNodeData">
                      <ref key="filterNode" refId="1012"/>
                      <i key="segmentLevel">0</i>
                      <ref key="segment" refId="17"/>
                      <b key="placeHolder">N</b>
                      <ref key="weight" refId="18"/>
                      <be key="textMatchingCondition" refId="10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017" ln="13" eid="Framework.com.tagetik.trees.INode,framework">
                      <be refId="1018" clsId="FilterNode">
                        <l key="dimensionOids" refId="1019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1020" ln="0" eid="DimensionOid"/>
                        <be key="data" refId="1021" clsId="FilterNodeData">
                          <ref key="filterNode" refId="10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23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12"/>
                      </be>
                      <be refId="1024" clsId="FilterNode">
                        <l key="dimensionOids" refId="1025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1026" ln="0" eid="DimensionOid"/>
                        <be key="data" refId="1027" clsId="FilterNodeData">
                          <ref key="filterNode" refId="10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3</cust>
                        <i key="index">0</i>
                        <ref key="parent" refId="1012"/>
                      </be>
                      <be refId="1029" clsId="FilterNode">
                        <l key="dimensionOids" refId="1030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1031" ln="0" eid="DimensionOid"/>
                        <be key="data" refId="1032" clsId="FilterNodeData">
                          <ref key="filterNode" refId="10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4</cust>
                        <i key="index">0</i>
                        <ref key="parent" refId="1012"/>
                      </be>
                      <be refId="1034" clsId="FilterNode">
                        <l key="dimensionOids" refId="1035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1036" ln="0" eid="DimensionOid"/>
                        <be key="data" refId="1037" clsId="FilterNodeData">
                          <ref key="filterNode" refId="10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5</cust>
                        <i key="index">0</i>
                        <ref key="parent" refId="1012"/>
                      </be>
                      <be refId="1039" clsId="FilterNode">
                        <l key="dimensionOids" refId="1040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1041" ln="0" eid="DimensionOid"/>
                        <be key="data" refId="1042" clsId="FilterNodeData">
                          <ref key="filterNode" refId="10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6</cust>
                        <i key="index">0</i>
                        <ref key="parent" refId="1012"/>
                      </be>
                      <be refId="1044" clsId="FilterNode">
                        <l key="dimensionOids" refId="1045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1046" ln="0" eid="DimensionOid"/>
                        <be key="data" refId="1047" clsId="FilterNodeData">
                          <ref key="filterNode" refId="10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7</cust>
                        <i key="index">0</i>
                        <ref key="parent" refId="1012"/>
                      </be>
                      <be refId="1049" clsId="FilterNode">
                        <l key="dimensionOids" refId="1050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1051" ln="0" eid="DimensionOid"/>
                        <be key="data" refId="1052" clsId="FilterNodeData">
                          <ref key="filterNode" refId="10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8</cust>
                        <i key="index">0</i>
                        <ref key="parent" refId="1012"/>
                      </be>
                      <be refId="1054" clsId="FilterNode">
                        <l key="dimensionOids" refId="1055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56" ln="0" eid="DimensionOid"/>
                        <be key="data" refId="1057" clsId="FilterNodeData">
                          <ref key="filterNode" refId="10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9</cust>
                        <i key="index">0</i>
                        <ref key="parent" refId="1012"/>
                      </be>
                      <be refId="1059" clsId="FilterNode">
                        <l key="dimensionOids" refId="1060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61" ln="0" eid="DimensionOid"/>
                        <be key="data" refId="1062" clsId="FilterNodeData">
                          <ref key="filterNode" refId="10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10</cust>
                        <i key="index">0</i>
                        <ref key="parent" refId="1012"/>
                      </be>
                      <be refId="1064" clsId="FilterNode">
                        <l key="dimensionOids" refId="1065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66" ln="0" eid="DimensionOid"/>
                        <be key="data" refId="1067" clsId="FilterNodeData">
                          <ref key="filterNode" refId="10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11</cust>
                        <i key="index">0</i>
                        <ref key="parent" refId="1012"/>
                      </be>
                      <be refId="1069" clsId="FilterNode">
                        <l key="dimensionOids" refId="1070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71" ln="0" eid="DimensionOid"/>
                        <be key="data" refId="1072" clsId="FilterNodeData">
                          <ref key="filterNode" refId="10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12</cust>
                        <i key="index">0</i>
                        <ref key="parent" refId="1012"/>
                      </be>
                      <be refId="1074" clsId="FilterNode">
                        <l key="dimensionOids" refId="1075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76" ln="0" eid="DimensionOid"/>
                        <be key="data" refId="1077" clsId="FilterNodeData">
                          <ref key="filterNode" refId="10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13</cust>
                        <i key="index">0</i>
                        <ref key="parent" refId="1012"/>
                      </be>
                      <be refId="1079" clsId="FilterNode">
                        <l key="dimensionOids" refId="1080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81" ln="0" eid="DimensionOid"/>
                        <be key="data" refId="1082" clsId="FilterNodeData">
                          <ref key="filterNode" refId="10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14</cust>
                        <i key="index">0</i>
                        <ref key="parent" refId="1012"/>
                      </be>
                    </l>
                  </be>
                  <be key="matrixFilters" refId="1084" clsId="FilterNode">
                    <l key="dimensionOids" refId="1085" ln="0" eid="DimensionOid"/>
                    <l key="AdHocParamDimensionOids" refId="1086" ln="0" eid="DimensionOid"/>
                    <be key="data" refId="1087" clsId="FilterNodeData">
                      <ref key="filterNode" refId="1084"/>
                      <i key="segmentLevel">0</i>
                      <ref key="segment" refId="17"/>
                      <b key="placeHolder">N</b>
                      <ref key="weight" refId="18"/>
                      <be key="textMatchingCondition" refId="108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89" ln="1" eid="Framework.com.tagetik.trees.INode,framework">
                      <be refId="1090" clsId="FilterNode">
                        <l key="dimensionOids" refId="1091" ln="1" eid="DimensionOid">
                          <cust clsId="DimensionOid">5343455F24-45-245343455F245F50--50-</cust>
                        </l>
                        <l key="AdHocParamDimensionOids" refId="1092" ln="0" eid="DimensionOid"/>
                        <be key="data" refId="1093" clsId="FilterNodeData">
                          <ref key="filterNode" refId="109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95" ln="1" eid="Framework.com.tagetik.trees.INode,framework">
                          <be refId="1096" clsId="FilterNode">
                            <l key="dimensionOids" refId="1097" ln="1" eid="DimensionOid">
                              <cust clsId="DimensionOid">504552-45-3132---</cust>
                            </l>
                            <l key="AdHocParamDimensionOids" refId="1098" ln="0" eid="DimensionOid"/>
                            <be key="data" refId="1099" clsId="FilterNodeData">
                              <ref key="filterNode" refId="109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0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01" ln="1" eid="Framework.com.tagetik.trees.INode,framework">
                              <be refId="1102" clsId="FilterNode">
                                <l key="dimensionOids" refId="1103" ln="1" eid="DimensionOid">
                                  <cust clsId="DimensionOid">415A495F454455-45-24415A495F4544555F50--50-</cust>
                                </l>
                                <l key="AdHocParamDimensionOids" refId="1104" ln="0" eid="DimensionOid"/>
                                <be key="data" refId="1105" clsId="FilterNodeData">
                                  <ref key="filterNode" refId="110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0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96"/>
                              </be>
                            </l>
                            <ref key="parent" refId="1090"/>
                          </be>
                        </l>
                        <ref key="parent" refId="1084"/>
                      </be>
                    </l>
                  </be>
                  <be key="rowHeaders" refId="1107" clsId="ReportingHeaders">
                    <m key="headers" refId="1108" keid="SYS_PR_I" veid="System.Collections.IList"/>
                    <m key="headersDims" refId="1109" keid="SYS_PR_I" veid="SYS_STR"/>
                  </be>
                  <be key="columnHeaders" refId="1110" clsId="ReportingHeaders">
                    <m key="headers" refId="1111" keid="SYS_PR_I" veid="System.Collections.IList">
                      <key>
                        <i>-1</i>
                      </key>
                      <val>
                        <l refId="1112" ln="1">
                          <s>$AW(HIERARCHY("TEBFSNEBTCWNBPR")).desc</s>
                        </l>
                      </val>
                    </m>
                    <m key="headersDims" refId="111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114" id="RowColExpansionMode">0</e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115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16" ln="0" eid="Reporting.com.tagetik.tables.IMatixCellLeafPositions,Reporting"/>
                  <m key="forcedEditModes" refId="1117" keid="Reporting.com.tagetik.tables.IMatixCellLeafPositions,Reporting" veid="SYS_STR"/>
                  <b key="UseTxlDeFormEditor">N</b>
                  <be key="TxDeFormsEditorDescriptor" refId="1118" clsId="TxDeFormsEditorDescriptor">
                    <l key="Tabs" refId="1119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20" clsId="matrixWSInfo">
                    <b key="isT">S</b>
                    <s key="wsCode">002</s>
                    <s key="tableCode">000009</s>
                  </be>
                  <be key="customFilters" refId="1121" clsId="ExpCustomFiltersProspetto"/>
                </be>
              </val>
            </m>
            <m key="cellFields" refId="1122" keid="SYS_STR" veid="CodeCellField"/>
            <m key="dictionary" refId="1123" keid="SYS_STR" veid="CodeMultiDescVO"/>
            <m key="controlExpressions" refId="1124" keid="SYS_STR" veid="CodedExpControlloProspetto"/>
            <m key="inlineParameters" refId="1125" keid="SYS_STR" veid="CodedInlineParameter"/>
            <m key="queries" refId="1126" keid="SYS_STR" veid="Reporting.com.tagetik.query.IUserDefinedQueryVO,Reporting"/>
            <be key="sheets" refId="1127" clsId="FilterNode">
              <l key="dimensionOids" refId="1128" ln="0" eid="DimensionOid"/>
              <l key="AdHocParamDimensionOids" refId="1129" ln="0" eid="DimensionOid"/>
              <be key="data" refId="1130" clsId="FilterNodeData">
                <ref key="filterNode" refId="1127"/>
                <i key="segmentLevel">0</i>
                <ref key="segment" refId="17"/>
                <b key="placeHolder">N</b>
                <ref key="weight" refId="18"/>
                <be key="textMatchingCondition" refId="1131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32" keid="SYS_STR" veid="ElaborationsLauncher"/>
            <m key="actionLists" refId="1133" keid="SYS_STR" veid="Reporting.com.tagetik.actionlist.ISnapshotActionList,Reporting"/>
            <l key="areas" refId="1134" ln="0" eid="SYS_STR"/>
            <l key="charts" refId="1135" ln="0" eid="SYS_STR"/>
            <l key="pivots" refId="1136" ln="0" eid="SYS_STR"/>
          </be>
        </val>
        <key>
          <s>Template04</s>
        </key>
        <val>
          <be refId="1137" clsId="ReportTemplateVO">
            <s key="code">Template04</s>
            <s key="desc">Compta</s>
            <m key="matrices" refId="1138" keid="SYS_STR" veid="Reporting.com.tagetik.tables.IMatrixPositionBlockVO,Reporting">
              <key>
                <s>Matrix00</s>
              </key>
              <val>
                <be refId="1139" clsId="MatrixPositionBlockVO">
                  <s key="positionID">Matrix00</s>
                  <be key="rows" refId="1140" clsId="FilterNode">
                    <l key="dimensionOids" refId="1141" ln="0" eid="DimensionOid"/>
                    <l key="AdHocParamDimensionOids" refId="1142" ln="0" eid="DimensionOid"/>
                    <be key="data" refId="1143" clsId="FilterNodeData">
                      <ref key="filterNode" refId="1140"/>
                      <i key="segmentLevel">0</i>
                      <ref key="segment" refId="17"/>
                      <b key="placeHolder">N</b>
                      <ref key="weight" refId="18"/>
                      <be key="textMatchingCondition" refId="114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45" ln="1" eid="Framework.com.tagetik.trees.INode,framework">
                      <be refId="1146" clsId="FilterNode">
                        <l key="dimensionOids" refId="1147" ln="1" eid="DimensionOid">
                          <cust clsId="DimensionOid">434F55-45-434F554E544552---</cust>
                        </l>
                        <l key="AdHocParamDimensionOids" refId="1148" ln="0" eid="DimensionOid"/>
                        <be key="data" refId="1149" clsId="FilterNodeData">
                          <ref key="filterNode" refId="114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50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1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52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40"/>
                      </be>
                    </l>
                  </be>
                  <be key="columns" refId="1153" clsId="FilterNode">
                    <l key="dimensionOids" refId="1154" ln="0" eid="DimensionOid"/>
                    <l key="AdHocParamDimensionOids" refId="1155" ln="0" eid="DimensionOid"/>
                    <be key="data" refId="1156" clsId="FilterNodeData">
                      <ref key="filterNode" refId="1153"/>
                      <i key="segmentLevel">0</i>
                      <ref key="segment" refId="17"/>
                      <b key="placeHolder">N</b>
                      <ref key="weight" refId="18"/>
                      <be key="textMatchingCondition" refId="115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58" ln="6" eid="Framework.com.tagetik.trees.INode,framework">
                      <be refId="1159" clsId="FilterNode">
                        <l key="dimensionOids" refId="1160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61" ln="0" eid="DimensionOid"/>
                        <be key="data" refId="1162" clsId="FilterNodeData">
                          <ref key="filterNode" refId="11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64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53"/>
                      </be>
                      <be refId="1165" clsId="FilterNode">
                        <l key="dimensionOids" refId="1166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67" ln="0" eid="DimensionOid"/>
                        <be key="data" refId="1168" clsId="FilterNodeData">
                          <ref key="filterNode" refId="11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3</cust>
                        <i key="index">0</i>
                        <ref key="parent" refId="1153"/>
                      </be>
                      <be refId="1170" clsId="FilterNode">
                        <l key="dimensionOids" refId="1171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72" ln="0" eid="DimensionOid"/>
                        <be key="data" refId="1173" clsId="FilterNodeData">
                          <ref key="filterNode" refId="11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4</cust>
                        <i key="index">0</i>
                        <ref key="parent" refId="1153"/>
                      </be>
                      <be refId="1175" clsId="FilterNode">
                        <l key="dimensionOids" refId="1176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77" ln="0" eid="DimensionOid"/>
                        <be key="data" refId="1178" clsId="FilterNodeData">
                          <ref key="filterNode" refId="11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5</cust>
                        <i key="index">0</i>
                        <ref key="parent" refId="1153"/>
                      </be>
                      <be refId="1180" clsId="FilterNode">
                        <l key="dimensionOids" refId="1181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82" ln="0" eid="DimensionOid"/>
                        <be key="data" refId="1183" clsId="FilterNodeData">
                          <ref key="filterNode" refId="11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6</cust>
                        <i key="index">0</i>
                        <ref key="parent" refId="1153"/>
                      </be>
                      <be refId="1185" clsId="FilterNode">
                        <l key="dimensionOids" refId="1186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87" ln="0" eid="DimensionOid"/>
                        <be key="data" refId="1188" clsId="FilterNodeData">
                          <ref key="filterNode" refId="11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7</cust>
                        <i key="index">0</i>
                        <ref key="parent" refId="1153"/>
                      </be>
                    </l>
                  </be>
                  <be key="matrixFilters" refId="1190" clsId="FilterNode">
                    <l key="dimensionOids" refId="1191" ln="0" eid="DimensionOid"/>
                    <l key="AdHocParamDimensionOids" refId="1192" ln="0" eid="DimensionOid"/>
                    <be key="data" refId="1193" clsId="FilterNodeData">
                      <ref key="filterNode" refId="1190"/>
                      <i key="segmentLevel">0</i>
                      <ref key="segment" refId="17"/>
                      <b key="placeHolder">N</b>
                      <ref key="weight" refId="18"/>
                      <be key="textMatchingCondition" refId="11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95" ln="1" eid="Framework.com.tagetik.trees.INode,framework">
                      <be refId="1196" clsId="FilterNode">
                        <l key="dimensionOids" refId="1197" ln="1" eid="DimensionOid">
                          <cust clsId="DimensionOid">5343455F24-45-245343455F245F50--50-</cust>
                        </l>
                        <l key="AdHocParamDimensionOids" refId="1198" ln="0" eid="DimensionOid"/>
                        <be key="data" refId="1199" clsId="FilterNodeData">
                          <ref key="filterNode" refId="1196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201" ln="1" eid="Framework.com.tagetik.trees.INode,framework">
                          <be refId="1202" clsId="FilterNode">
                            <l key="dimensionOids" refId="1203" ln="1" eid="DimensionOid">
                              <cust clsId="DimensionOid">504552-45-3132---</cust>
                            </l>
                            <l key="AdHocParamDimensionOids" refId="1204" ln="0" eid="DimensionOid"/>
                            <be key="data" refId="1205" clsId="FilterNodeData">
                              <ref key="filterNode" refId="120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20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207" ln="1" eid="Framework.com.tagetik.trees.INode,framework">
                              <be refId="1208" clsId="FilterNode">
                                <l key="dimensionOids" refId="1209" ln="1" eid="DimensionOid">
                                  <cust clsId="DimensionOid">415A495F454455-45-24415A495F4544555F50--50-</cust>
                                </l>
                                <l key="AdHocParamDimensionOids" refId="1210" ln="0" eid="DimensionOid"/>
                                <be key="data" refId="1211" clsId="FilterNodeData">
                                  <ref key="filterNode" refId="1208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212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202"/>
                              </be>
                            </l>
                            <ref key="parent" refId="1196"/>
                          </be>
                        </l>
                        <ref key="parent" refId="1190"/>
                      </be>
                    </l>
                  </be>
                  <be key="rowHeaders" refId="1213" clsId="ReportingHeaders">
                    <m key="headers" refId="1214" keid="SYS_PR_I" veid="System.Collections.IList"/>
                    <m key="headersDims" refId="1215" keid="SYS_PR_I" veid="SYS_STR"/>
                  </be>
                  <be key="columnHeaders" refId="1216" clsId="ReportingHeaders">
                    <m key="headers" refId="1217" keid="SYS_PR_I" veid="System.Collections.IList">
                      <key>
                        <i>-1</i>
                      </key>
                      <val>
                        <l refId="1218" ln="1">
                          <s>$AW(HIERARCHY("TEBFSNEBTCWNBPR")).desc</s>
                        </l>
                      </val>
                    </m>
                    <m key="headersDims" refId="1219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22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21" ln="0" eid="Reporting.com.tagetik.tables.IMatixCellLeafPositions,Reporting"/>
                  <m key="forcedEditModes" refId="1222" keid="Reporting.com.tagetik.tables.IMatixCellLeafPositions,Reporting" veid="SYS_STR"/>
                  <b key="UseTxlDeFormEditor">N</b>
                  <be key="TxDeFormsEditorDescriptor" refId="1223" clsId="TxDeFormsEditorDescriptor">
                    <l key="Tabs" refId="122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25" clsId="matrixWSInfo">
                    <b key="isT">S</b>
                    <s key="wsCode">002</s>
                    <s key="tableCode">000004</s>
                  </be>
                  <be key="customFilters" refId="1226" clsId="ExpCustomFiltersProspetto"/>
                </be>
              </val>
            </m>
            <m key="cellFields" refId="1227" keid="SYS_STR" veid="CodeCellField"/>
            <m key="dictionary" refId="1228" keid="SYS_STR" veid="CodeMultiDescVO"/>
            <m key="controlExpressions" refId="1229" keid="SYS_STR" veid="CodedExpControlloProspetto"/>
            <m key="inlineParameters" refId="1230" keid="SYS_STR" veid="CodedInlineParameter"/>
            <m key="queries" refId="1231" keid="SYS_STR" veid="Reporting.com.tagetik.query.IUserDefinedQueryVO,Reporting"/>
            <be key="sheets" refId="1232" clsId="FilterNode">
              <l key="dimensionOids" refId="1233" ln="0" eid="DimensionOid"/>
              <l key="AdHocParamDimensionOids" refId="1234" ln="0" eid="DimensionOid"/>
              <be key="data" refId="1235" clsId="FilterNodeData">
                <ref key="filterNode" refId="1232"/>
                <i key="segmentLevel">0</i>
                <ref key="segment" refId="17"/>
                <b key="placeHolder">N</b>
                <ref key="weight" refId="18"/>
                <be key="textMatchingCondition" refId="123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37" keid="SYS_STR" veid="ElaborationsLauncher"/>
            <m key="actionLists" refId="1238" keid="SYS_STR" veid="Reporting.com.tagetik.actionlist.ISnapshotActionList,Reporting"/>
            <l key="areas" refId="1239" ln="0" eid="SYS_STR"/>
            <l key="charts" refId="1240" ln="0" eid="SYS_STR"/>
            <l key="pivots" refId="1241" ln="0" eid="SYS_STR"/>
          </be>
        </val>
        <key>
          <s>Template05</s>
        </key>
        <val>
          <be refId="1242" clsId="ReportTemplateVO">
            <s key="code">Template05</s>
            <s key="desc">PNL</s>
            <m key="matrices" refId="1243" keid="SYS_STR" veid="Reporting.com.tagetik.tables.IMatrixPositionBlockVO,Reporting">
              <key>
                <s>Matrix00</s>
              </key>
              <val>
                <be refId="1244" clsId="MatrixPositionBlockVO">
                  <s key="positionID">Matrix00</s>
                  <be key="rows" refId="1245" clsId="FilterNode">
                    <l key="dimensionOids" refId="1246" ln="0" eid="DimensionOid"/>
                    <l key="AdHocParamDimensionOids" refId="1247" ln="0" eid="DimensionOid"/>
                    <be key="data" refId="1248" clsId="FilterNodeData">
                      <ref key="filterNode" refId="1245"/>
                      <i key="segmentLevel">0</i>
                      <ref key="segment" refId="17"/>
                      <b key="placeHolder">N</b>
                      <ref key="weight" refId="18"/>
                      <be key="textMatchingCondition" refId="124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50" ln="1" eid="Framework.com.tagetik.trees.INode,framework">
                      <be refId="1251" clsId="FilterNode">
                        <l key="dimensionOids" refId="1252" ln="1" eid="DimensionOid">
                          <cust clsId="DimensionOid">434F55-45-434F554E544552---</cust>
                        </l>
                        <l key="AdHocParamDimensionOids" refId="1253" ln="0" eid="DimensionOid"/>
                        <be key="data" refId="1254" clsId="FilterNodeData">
                          <ref key="filterNode" refId="125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5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2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57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45"/>
                      </be>
                    </l>
                  </be>
                  <be key="columns" refId="1258" clsId="FilterNode">
                    <l key="dimensionOids" refId="1259" ln="0" eid="DimensionOid"/>
                    <l key="AdHocParamDimensionOids" refId="1260" ln="0" eid="DimensionOid"/>
                    <be key="data" refId="1261" clsId="FilterNodeData">
                      <ref key="filterNode" refId="1258"/>
                      <i key="segmentLevel">0</i>
                      <ref key="segment" refId="17"/>
                      <b key="placeHolder">N</b>
                      <ref key="weight" refId="18"/>
                      <be key="textMatchingCondition" refId="12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63" ln="7" eid="Framework.com.tagetik.trees.INode,framework">
                      <be refId="1264" clsId="FilterNode">
                        <l key="dimensionOids" refId="1265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66" ln="0" eid="DimensionOid"/>
                        <be key="data" refId="1267" clsId="FilterNodeData">
                          <ref key="filterNode" refId="12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69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58"/>
                      </be>
                      <be refId="1270" clsId="FilterNode">
                        <l key="dimensionOids" refId="1271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72" ln="0" eid="DimensionOid"/>
                        <be key="data" refId="1273" clsId="FilterNodeData">
                          <ref key="filterNode" refId="12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3</cust>
                        <i key="index">0</i>
                        <ref key="parent" refId="1258"/>
                      </be>
                      <be refId="1275" clsId="FilterNode">
                        <l key="dimensionOids" refId="1276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77" ln="0" eid="DimensionOid"/>
                        <be key="data" refId="1278" clsId="FilterNodeData">
                          <ref key="filterNode" refId="12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4</cust>
                        <i key="index">0</i>
                        <ref key="parent" refId="1258"/>
                      </be>
                      <be refId="1280" clsId="FilterNode">
                        <l key="dimensionOids" refId="1281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82" ln="0" eid="DimensionOid"/>
                        <be key="data" refId="1283" clsId="FilterNodeData">
                          <ref key="filterNode" refId="12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5</cust>
                        <i key="index">0</i>
                        <ref key="parent" refId="1258"/>
                      </be>
                      <be refId="1285" clsId="FilterNode">
                        <l key="dimensionOids" refId="1286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87" ln="0" eid="DimensionOid"/>
                        <be key="data" refId="1288" clsId="FilterNodeData">
                          <ref key="filterNode" refId="12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6</cust>
                        <i key="index">0</i>
                        <ref key="parent" refId="1258"/>
                      </be>
                      <be refId="1290" clsId="FilterNode">
                        <l key="dimensionOids" refId="1291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92" ln="0" eid="DimensionOid"/>
                        <be key="data" refId="1293" clsId="FilterNodeData">
                          <ref key="filterNode" refId="129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7</cust>
                        <i key="index">0</i>
                        <ref key="parent" refId="1258"/>
                      </be>
                      <be refId="1295" clsId="FilterNode">
                        <l key="dimensionOids" refId="1296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97" ln="0" eid="DimensionOid"/>
                        <be key="data" refId="1298" clsId="FilterNodeData">
                          <ref key="filterNode" refId="129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8</cust>
                        <i key="index">0</i>
                        <ref key="parent" refId="1258"/>
                      </be>
                    </l>
                  </be>
                  <be key="matrixFilters" refId="1300" clsId="FilterNode">
                    <l key="dimensionOids" refId="1301" ln="0" eid="DimensionOid"/>
                    <l key="AdHocParamDimensionOids" refId="1302" ln="0" eid="DimensionOid"/>
                    <be key="data" refId="1303" clsId="FilterNodeData">
                      <ref key="filterNode" refId="1300"/>
                      <i key="segmentLevel">0</i>
                      <ref key="segment" refId="17"/>
                      <b key="placeHolder">N</b>
                      <ref key="weight" refId="18"/>
                      <be key="textMatchingCondition" refId="130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305" clsId="ReportingHeaders">
                    <m key="headers" refId="1306" keid="SYS_PR_I" veid="System.Collections.IList"/>
                    <m key="headersDims" refId="1307" keid="SYS_PR_I" veid="SYS_STR"/>
                  </be>
                  <be key="columnHeaders" refId="1308" clsId="ReportingHeaders">
                    <m key="headers" refId="1309" keid="SYS_PR_I" veid="System.Collections.IList">
                      <key>
                        <i>-1</i>
                      </key>
                      <val>
                        <l refId="1310" ln="1">
                          <s>$AW(HIERARCHY("TEBFSNEBTCWNBPR")).desc</s>
                        </l>
                      </val>
                    </m>
                    <m key="headersDims" refId="131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31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313" ln="0" eid="Reporting.com.tagetik.tables.IMatixCellLeafPositions,Reporting"/>
                  <m key="forcedEditModes" refId="1314" keid="Reporting.com.tagetik.tables.IMatixCellLeafPositions,Reporting" veid="SYS_STR"/>
                  <b key="UseTxlDeFormEditor">N</b>
                  <be key="TxDeFormsEditorDescriptor" refId="1315" clsId="TxDeFormsEditorDescriptor">
                    <l key="Tabs" refId="131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317" clsId="matrixWSInfo">
                    <b key="isT">S</b>
                    <s key="wsCode">002</s>
                    <s key="tableCode">000007</s>
                  </be>
                  <be key="customFilters" refId="1318" clsId="ExpCustomFiltersProspetto"/>
                </be>
              </val>
            </m>
            <m key="cellFields" refId="1319" keid="SYS_STR" veid="CodeCellField"/>
            <m key="dictionary" refId="1320" keid="SYS_STR" veid="CodeMultiDescVO"/>
            <m key="controlExpressions" refId="1321" keid="SYS_STR" veid="CodedExpControlloProspetto"/>
            <m key="inlineParameters" refId="1322" keid="SYS_STR" veid="CodedInlineParameter"/>
            <m key="queries" refId="1323" keid="SYS_STR" veid="Reporting.com.tagetik.query.IUserDefinedQueryVO,Reporting"/>
            <be key="sheets" refId="1324" clsId="FilterNode">
              <l key="dimensionOids" refId="1325" ln="0" eid="DimensionOid"/>
              <l key="AdHocParamDimensionOids" refId="1326" ln="0" eid="DimensionOid"/>
              <be key="data" refId="1327" clsId="FilterNodeData">
                <ref key="filterNode" refId="1324"/>
                <i key="segmentLevel">0</i>
                <ref key="segment" refId="17"/>
                <b key="placeHolder">N</b>
                <ref key="weight" refId="18"/>
                <be key="textMatchingCondition" refId="132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329" keid="SYS_STR" veid="ElaborationsLauncher"/>
            <m key="actionLists" refId="1330" keid="SYS_STR" veid="Reporting.com.tagetik.actionlist.ISnapshotActionList,Reporting"/>
            <l key="areas" refId="1331" ln="0" eid="SYS_STR"/>
            <l key="charts" refId="1332" ln="0" eid="SYS_STR"/>
            <l key="pivots" refId="1333" ln="0" eid="SYS_STR"/>
          </be>
        </val>
        <key>
          <s>Template08</s>
        </key>
        <val>
          <be refId="1334" clsId="ReportTemplateVO">
            <s key="code">Template08</s>
            <s key="desc">Allocation</s>
            <m key="matrices" refId="1335" keid="SYS_STR" veid="Reporting.com.tagetik.tables.IMatrixPositionBlockVO,Reporting">
              <key>
                <s>Matrix00</s>
              </key>
              <val>
                <be refId="1336" clsId="MatrixPositionBlockVO">
                  <s key="positionID">Matrix00</s>
                  <be key="rows" refId="1337" clsId="FilterNode">
                    <l key="dimensionOids" refId="1338" ln="0" eid="DimensionOid"/>
                    <l key="AdHocParamDimensionOids" refId="1339" ln="0" eid="DimensionOid"/>
                    <be key="data" refId="1340" clsId="FilterNodeData">
                      <ref key="filterNode" refId="1337"/>
                      <i key="segmentLevel">0</i>
                      <ref key="segment" refId="17"/>
                      <b key="placeHolder">N</b>
                      <ref key="weight" refId="18"/>
                      <be key="textMatchingCondition" refId="134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342" ln="1" eid="Framework.com.tagetik.trees.INode,framework">
                      <be refId="1343" clsId="FilterNode">
                        <l key="dimensionOids" refId="1344" ln="1" eid="DimensionOid">
                          <cust clsId="DimensionOid">434F55-45-434F554E544552---</cust>
                        </l>
                        <l key="AdHocParamDimensionOids" refId="1345" ln="0" eid="DimensionOid"/>
                        <be key="data" refId="1346" clsId="FilterNodeData">
                          <ref key="filterNode" refId="134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47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3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4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37"/>
                      </be>
                    </l>
                  </be>
                  <be key="columns" refId="1350" clsId="FilterNode">
                    <l key="dimensionOids" refId="1351" ln="0" eid="DimensionOid"/>
                    <l key="AdHocParamDimensionOids" refId="1352" ln="0" eid="DimensionOid"/>
                    <be key="data" refId="1353" clsId="FilterNodeData">
                      <ref key="filterNode" refId="1350"/>
                      <i key="segmentLevel">0</i>
                      <ref key="segment" refId="17"/>
                      <b key="placeHolder">N</b>
                      <ref key="weight" refId="18"/>
                      <be key="textMatchingCondition" refId="135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355" ln="20" eid="Framework.com.tagetik.trees.INode,framework">
                      <be refId="1356" clsId="FilterNode">
                        <l key="dimensionOids" refId="1357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358" ln="0" eid="DimensionOid"/>
                        <be key="data" refId="1359" clsId="FilterNodeData">
                          <ref key="filterNode" refId="135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61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50"/>
                      </be>
                      <be refId="1362" clsId="FilterNode">
                        <l key="dimensionOids" refId="1363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364" ln="0" eid="DimensionOid"/>
                        <be key="data" refId="1365" clsId="FilterNodeData">
                          <ref key="filterNode" refId="13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3</cust>
                        <i key="index">0</i>
                        <ref key="parent" refId="1350"/>
                      </be>
                      <be refId="1367" clsId="FilterNode">
                        <l key="dimensionOids" refId="1368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369" ln="0" eid="DimensionOid"/>
                        <be key="data" refId="1370" clsId="FilterNodeData">
                          <ref key="filterNode" refId="13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4</cust>
                        <i key="index">0</i>
                        <ref key="parent" refId="1350"/>
                      </be>
                      <be refId="1372" clsId="FilterNode">
                        <l key="dimensionOids" refId="1373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374" ln="0" eid="DimensionOid"/>
                        <be key="data" refId="1375" clsId="FilterNodeData">
                          <ref key="filterNode" refId="13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5</cust>
                        <i key="index">0</i>
                        <ref key="parent" refId="1350"/>
                      </be>
                      <be refId="1377" clsId="FilterNode">
                        <l key="dimensionOids" refId="1378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379" ln="0" eid="DimensionOid"/>
                        <be key="data" refId="1380" clsId="FilterNodeData">
                          <ref key="filterNode" refId="13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6</cust>
                        <i key="index">0</i>
                        <ref key="parent" refId="1350"/>
                      </be>
                      <be refId="1382" clsId="FilterNode">
                        <l key="dimensionOids" refId="1383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384" ln="0" eid="DimensionOid"/>
                        <be key="data" refId="1385" clsId="FilterNodeData">
                          <ref key="filterNode" refId="13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7</cust>
                        <i key="index">0</i>
                        <ref key="parent" refId="1350"/>
                      </be>
                      <be refId="1387" clsId="FilterNode">
                        <l key="dimensionOids" refId="1388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389" ln="0" eid="DimensionOid"/>
                        <be key="data" refId="1390" clsId="FilterNodeData">
                          <ref key="filterNode" refId="13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8</cust>
                        <i key="index">0</i>
                        <ref key="parent" refId="1350"/>
                      </be>
                      <be refId="1392" clsId="FilterNode">
                        <l key="dimensionOids" refId="1393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394" ln="0" eid="DimensionOid"/>
                        <be key="data" refId="1395" clsId="FilterNodeData">
                          <ref key="filterNode" refId="13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9</cust>
                        <i key="index">0</i>
                        <ref key="parent" refId="1350"/>
                      </be>
                      <be refId="1397" clsId="FilterNode">
                        <l key="dimensionOids" refId="1398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399" ln="0" eid="DimensionOid"/>
                        <be key="data" refId="1400" clsId="FilterNodeData">
                          <ref key="filterNode" refId="13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10</cust>
                        <i key="index">0</i>
                        <ref key="parent" refId="1350"/>
                      </be>
                      <be refId="1402" clsId="FilterNode">
                        <l key="dimensionOids" refId="1403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404" ln="0" eid="DimensionOid"/>
                        <be key="data" refId="1405" clsId="FilterNodeData">
                          <ref key="filterNode" refId="14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11</cust>
                        <i key="index">0</i>
                        <ref key="parent" refId="1350"/>
                      </be>
                      <be refId="1407" clsId="FilterNode">
                        <l key="dimensionOids" refId="1408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409" ln="0" eid="DimensionOid"/>
                        <be key="data" refId="1410" clsId="FilterNodeData">
                          <ref key="filterNode" refId="14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12</cust>
                        <i key="index">0</i>
                        <ref key="parent" refId="1350"/>
                      </be>
                      <be refId="1412" clsId="FilterNode">
                        <l key="dimensionOids" refId="1413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414" ln="0" eid="DimensionOid"/>
                        <be key="data" refId="1415" clsId="FilterNodeData">
                          <ref key="filterNode" refId="14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13</cust>
                        <i key="index">0</i>
                        <ref key="parent" refId="1350"/>
                      </be>
                      <be refId="1417" clsId="FilterNode">
                        <l key="dimensionOids" refId="1418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419" ln="0" eid="DimensionOid"/>
                        <be key="data" refId="1420" clsId="FilterNodeData">
                          <ref key="filterNode" refId="14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14</cust>
                        <i key="index">0</i>
                        <ref key="parent" refId="1350"/>
                      </be>
                      <be refId="1422" clsId="FilterNode">
                        <l key="dimensionOids" refId="1423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424" ln="0" eid="DimensionOid"/>
                        <be key="data" refId="1425" clsId="FilterNodeData">
                          <ref key="filterNode" refId="14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15</cust>
                        <i key="index">0</i>
                        <ref key="parent" refId="1350"/>
                      </be>
                      <be refId="1427" clsId="FilterNode">
                        <l key="dimensionOids" refId="1428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429" ln="0" eid="DimensionOid"/>
                        <be key="data" refId="1430" clsId="FilterNodeData">
                          <ref key="filterNode" refId="14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16</cust>
                        <i key="index">0</i>
                        <ref key="parent" refId="1350"/>
                      </be>
                      <be refId="1432" clsId="FilterNode">
                        <l key="dimensionOids" refId="1433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434" ln="0" eid="DimensionOid"/>
                        <be key="data" refId="1435" clsId="FilterNodeData">
                          <ref key="filterNode" refId="14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17</cust>
                        <i key="index">0</i>
                        <ref key="parent" refId="1350"/>
                      </be>
                      <be refId="1437" clsId="FilterNode">
                        <l key="dimensionOids" refId="1438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439" ln="0" eid="DimensionOid"/>
                        <be key="data" refId="1440" clsId="FilterNodeData">
                          <ref key="filterNode" refId="14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18</cust>
                        <i key="index">0</i>
                        <ref key="parent" refId="1350"/>
                      </be>
                      <be refId="1442" clsId="FilterNode">
                        <l key="dimensionOids" refId="1443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444" ln="0" eid="DimensionOid"/>
                        <be key="data" refId="1445" clsId="FilterNodeData">
                          <ref key="filterNode" refId="14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19</cust>
                        <i key="index">0</i>
                        <ref key="parent" refId="1350"/>
                      </be>
                      <be refId="1447" clsId="FilterNode">
                        <l key="dimensionOids" refId="1448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449" ln="0" eid="DimensionOid"/>
                        <be key="data" refId="1450" clsId="FilterNodeData">
                          <ref key="filterNode" refId="14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20</cust>
                        <i key="index">0</i>
                        <ref key="parent" refId="1350"/>
                      </be>
                      <be refId="1452" clsId="FilterNode">
                        <l key="dimensionOids" refId="1453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454" ln="0" eid="DimensionOid"/>
                        <be key="data" refId="1455" clsId="FilterNodeData">
                          <ref key="filterNode" refId="14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21</cust>
                        <i key="index">0</i>
                        <ref key="parent" refId="1350"/>
                      </be>
                    </l>
                  </be>
                  <be key="matrixFilters" refId="1457" clsId="FilterNode">
                    <l key="dimensionOids" refId="1458" ln="0" eid="DimensionOid"/>
                    <l key="AdHocParamDimensionOids" refId="1459" ln="0" eid="DimensionOid"/>
                    <be key="data" refId="1460" clsId="FilterNodeData">
                      <ref key="filterNode" refId="1457"/>
                      <i key="segmentLevel">0</i>
                      <ref key="segment" refId="17"/>
                      <b key="placeHolder">N</b>
                      <ref key="weight" refId="18"/>
                      <be key="textMatchingCondition" refId="14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462" ln="1" eid="Framework.com.tagetik.trees.INode,framework">
                      <be refId="1463" clsId="FilterNode">
                        <l key="dimensionOids" refId="1464" ln="1" eid="DimensionOid">
                          <cust clsId="DimensionOid">5343455F24-45-245343455F245F50--50-</cust>
                        </l>
                        <l key="AdHocParamDimensionOids" refId="1465" ln="0" eid="DimensionOid"/>
                        <be key="data" refId="1466" clsId="FilterNodeData">
                          <ref key="filterNode" refId="1463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68" ln="1" eid="Framework.com.tagetik.trees.INode,framework">
                          <be refId="1469" clsId="FilterNode">
                            <l key="dimensionOids" refId="1470" ln="1" eid="DimensionOid">
                              <cust clsId="DimensionOid">504552-45-3132---</cust>
                            </l>
                            <l key="AdHocParamDimensionOids" refId="1471" ln="0" eid="DimensionOid"/>
                            <be key="data" refId="1472" clsId="FilterNodeData">
                              <ref key="filterNode" refId="1469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7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74" ln="1" eid="Framework.com.tagetik.trees.INode,framework">
                              <be refId="1475" clsId="FilterNode">
                                <l key="dimensionOids" refId="1476" ln="1" eid="DimensionOid">
                                  <cust clsId="DimensionOid">415A495F454455-45-24415A495F4544555F50--50-</cust>
                                </l>
                                <l key="AdHocParamDimensionOids" refId="1477" ln="0" eid="DimensionOid"/>
                                <be key="data" refId="1478" clsId="FilterNodeData">
                                  <ref key="filterNode" refId="1475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79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469"/>
                              </be>
                            </l>
                            <ref key="parent" refId="1463"/>
                          </be>
                        </l>
                        <ref key="parent" refId="1457"/>
                      </be>
                    </l>
                  </be>
                  <be key="rowHeaders" refId="1480" clsId="ReportingHeaders">
                    <m key="headers" refId="1481" keid="SYS_PR_I" veid="System.Collections.IList"/>
                    <m key="headersDims" refId="1482" keid="SYS_PR_I" veid="SYS_STR"/>
                  </be>
                  <be key="columnHeaders" refId="1483" clsId="ReportingHeaders">
                    <m key="headers" refId="1484" keid="SYS_PR_I" veid="System.Collections.IList">
                      <key>
                        <i>-1</i>
                      </key>
                      <val>
                        <l refId="1485" ln="1">
                          <s>$AW(HIERARCHY("TEBFSNEBTCWNBPR")).desc</s>
                        </l>
                      </val>
                    </m>
                    <m key="headersDims" refId="148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48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88" ln="0" eid="Reporting.com.tagetik.tables.IMatixCellLeafPositions,Reporting"/>
                  <m key="forcedEditModes" refId="1489" keid="Reporting.com.tagetik.tables.IMatixCellLeafPositions,Reporting" veid="SYS_STR"/>
                  <b key="UseTxlDeFormEditor">N</b>
                  <be key="TxDeFormsEditorDescriptor" refId="1490" clsId="TxDeFormsEditorDescriptor">
                    <l key="Tabs" refId="149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92" clsId="matrixWSInfo">
                    <b key="isT">S</b>
                    <s key="wsCode">002</s>
                    <s key="tableCode">000010</s>
                  </be>
                  <be key="customFilters" refId="1493" clsId="ExpCustomFiltersProspetto"/>
                </be>
              </val>
            </m>
            <m key="cellFields" refId="1494" keid="SYS_STR" veid="CodeCellField"/>
            <m key="dictionary" refId="1495" keid="SYS_STR" veid="CodeMultiDescVO"/>
            <m key="controlExpressions" refId="1496" keid="SYS_STR" veid="CodedExpControlloProspetto"/>
            <m key="inlineParameters" refId="1497" keid="SYS_STR" veid="CodedInlineParameter"/>
            <m key="queries" refId="1498" keid="SYS_STR" veid="Reporting.com.tagetik.query.IUserDefinedQueryVO,Reporting"/>
            <be key="sheets" refId="1499" clsId="FilterNode">
              <l key="dimensionOids" refId="1500" ln="0" eid="DimensionOid"/>
              <l key="AdHocParamDimensionOids" refId="1501" ln="0" eid="DimensionOid"/>
              <be key="data" refId="1502" clsId="FilterNodeData">
                <ref key="filterNode" refId="1499"/>
                <i key="segmentLevel">0</i>
                <ref key="segment" refId="17"/>
                <b key="placeHolder">N</b>
                <ref key="weight" refId="18"/>
                <be key="textMatchingCondition" refId="150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04" keid="SYS_STR" veid="ElaborationsLauncher"/>
            <m key="actionLists" refId="1505" keid="SYS_STR" veid="Reporting.com.tagetik.actionlist.ISnapshotActionList,Reporting"/>
            <l key="areas" refId="1506" ln="0" eid="SYS_STR"/>
            <l key="charts" refId="1507" ln="0" eid="SYS_STR"/>
            <l key="pivots" refId="1508" ln="0" eid="SYS_STR"/>
          </be>
        </val>
        <key>
          <s>Template06</s>
        </key>
        <val>
          <be refId="1509" clsId="ReportTemplateVO">
            <s key="code">Template06</s>
            <s key="desc">PIL</s>
            <m key="matrices" refId="1510" keid="SYS_STR" veid="Reporting.com.tagetik.tables.IMatrixPositionBlockVO,Reporting">
              <key>
                <s>Matrix01</s>
              </key>
              <val>
                <be refId="1511" clsId="MatrixPositionBlockVO">
                  <s key="positionID">Matrix01</s>
                  <be key="rows" refId="1512" clsId="FilterNode">
                    <l key="dimensionOids" refId="1513" ln="0" eid="DimensionOid"/>
                    <l key="AdHocParamDimensionOids" refId="1514" ln="0" eid="DimensionOid"/>
                    <be key="data" refId="1515" clsId="FilterNodeData">
                      <ref key="filterNode" refId="1512"/>
                      <i key="segmentLevel">0</i>
                      <ref key="segment" refId="17"/>
                      <b key="placeHolder">N</b>
                      <ref key="weight" refId="18"/>
                      <be key="textMatchingCondition" refId="15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517" ln="1" eid="Framework.com.tagetik.trees.INode,framework">
                      <be refId="1518" clsId="FilterNode">
                        <l key="dimensionOids" refId="1519" ln="1" eid="DimensionOid">
                          <cust clsId="DimensionOid">434F55-45-434F554E544552---</cust>
                        </l>
                        <l key="AdHocParamDimensionOids" refId="1520" ln="0" eid="DimensionOid"/>
                        <be key="data" refId="1521" clsId="FilterNodeData">
                          <ref key="filterNode" refId="151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522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5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2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526" ln="0" eid="Framework.com.tagetik.trees.INode,framework"/>
                        <ref key="parent" refId="1512"/>
                      </be>
                    </l>
                  </be>
                  <be key="columns" refId="1527" clsId="FilterNode">
                    <l key="dimensionOids" refId="1528" ln="0" eid="DimensionOid"/>
                    <l key="AdHocParamDimensionOids" refId="1529" ln="0" eid="DimensionOid"/>
                    <be key="data" refId="1530" clsId="FilterNodeData">
                      <ref key="filterNode" refId="1527"/>
                      <i key="segmentLevel">0</i>
                      <ref key="segment" refId="17"/>
                      <b key="placeHolder">N</b>
                      <ref key="weight" refId="18"/>
                      <be key="textMatchingCondition" refId="153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532" ln="9" eid="Framework.com.tagetik.trees.INode,framework">
                      <be refId="1533" clsId="FilterNode">
                        <l key="dimensionOids" refId="1534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535" ln="0" eid="DimensionOid"/>
                        <be key="data" refId="1536" clsId="FilterNodeData">
                          <ref key="filterNode" refId="15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3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540" ln="0" eid="Framework.com.tagetik.trees.INode,framework"/>
                        <ref key="parent" refId="1527"/>
                      </be>
                      <be refId="1541" clsId="FilterNode">
                        <l key="dimensionOids" refId="1542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543" ln="0" eid="DimensionOid"/>
                        <be key="data" refId="1544" clsId="FilterNodeData">
                          <ref key="filterNode" refId="15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4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548" ln="0" eid="Framework.com.tagetik.trees.INode,framework"/>
                        <ref key="parent" refId="1527"/>
                      </be>
                      <be refId="1549" clsId="FilterNode">
                        <l key="dimensionOids" refId="1550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551" ln="0" eid="DimensionOid"/>
                        <be key="data" refId="1552" clsId="FilterNodeData">
                          <ref key="filterNode" refId="15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5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5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556" ln="0" eid="Framework.com.tagetik.trees.INode,framework"/>
                        <ref key="parent" refId="1527"/>
                      </be>
                      <be refId="1557" clsId="FilterNode">
                        <l key="dimensionOids" refId="1558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559" ln="0" eid="DimensionOid"/>
                        <be key="data" refId="1560" clsId="FilterNodeData">
                          <ref key="filterNode" refId="15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6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564" ln="0" eid="Framework.com.tagetik.trees.INode,framework"/>
                        <ref key="parent" refId="1527"/>
                      </be>
                      <be refId="1565" clsId="FilterNode">
                        <l key="dimensionOids" refId="1566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567" ln="0" eid="DimensionOid"/>
                        <be key="data" refId="1568" clsId="FilterNodeData">
                          <ref key="filterNode" refId="15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572" ln="0" eid="Framework.com.tagetik.trees.INode,framework"/>
                        <ref key="parent" refId="1527"/>
                      </be>
                      <be refId="1573" clsId="FilterNode">
                        <l key="dimensionOids" refId="1574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575" ln="0" eid="DimensionOid"/>
                        <be key="data" refId="1576" clsId="FilterNodeData">
                          <ref key="filterNode" refId="15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580" ln="0" eid="Framework.com.tagetik.trees.INode,framework"/>
                        <ref key="parent" refId="1527"/>
                      </be>
                      <be refId="1581" clsId="FilterNode">
                        <l key="dimensionOids" refId="1582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583" ln="0" eid="DimensionOid"/>
                        <be key="data" refId="1584" clsId="FilterNodeData">
                          <ref key="filterNode" refId="15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58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8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588" ln="0" eid="Framework.com.tagetik.trees.INode,framework"/>
                        <ref key="parent" refId="1527"/>
                      </be>
                      <be refId="1589" clsId="FilterNode">
                        <l key="dimensionOids" refId="1590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591" ln="0" eid="DimensionOid"/>
                        <be key="data" refId="1592" clsId="FilterNodeData">
                          <ref key="filterNode" refId="15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9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596" ln="0" eid="Framework.com.tagetik.trees.INode,framework"/>
                        <ref key="parent" refId="1527"/>
                      </be>
                      <be refId="1597" clsId="FilterNode">
                        <l key="dimensionOids" refId="1598" ln="1" eid="DimensionOid">
                          <cust clsId="DimensionOid">41575F54454246534E45425443574E425052-45-415A44545A5951504B494953494A44-4B494D46534D42435A5950434B5152---7C4F57537C-303030303038</cust>
                        </l>
                        <l key="AdHocParamDimensionOids" refId="1599" ln="0" eid="DimensionOid"/>
                        <be key="data" refId="1600" clsId="FilterNodeData">
                          <ref key="filterNode" refId="1597"/>
                          <s key="dim">AW_TEBFSNEBTCWNBPR</s>
                          <i key="segmentLevel">0</i>
                          <ref key="segment" refId="17"/>
                          <be key="HideRC" refId="1601" clsId="HideRCBean">
                            <e key="HideMode" refId="1602" id="HideRCSEnum">HA</e>
                            <b key="ExcludeFormulas">N</b>
                            <b key="ExcludeTextCells">N</b>
                            <b key="ExcludeHeaders">S</b>
                            <b key="CheckAllMatrices">N</b>
                            <b key="hideEditableCells">N</b>
                          </be>
                          <b key="placeHolder">N</b>
                          <ref key="weight" refId="18"/>
                          <be key="textMatchingCondition" refId="16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04" keid="SYS_STR" veid="EFReportingNodeType"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13</cust>
                        <i key="index">0</i>
                        <ref key="parent" refId="1527"/>
                      </be>
                    </l>
                  </be>
                  <be key="matrixFilters" refId="1605" clsId="FilterNode">
                    <l key="dimensionOids" refId="1606" ln="0" eid="DimensionOid"/>
                    <l key="AdHocParamDimensionOids" refId="1607" ln="0" eid="DimensionOid"/>
                    <be key="data" refId="1608" clsId="FilterNodeData">
                      <ref key="filterNode" refId="1605"/>
                      <i key="segmentLevel">0</i>
                      <ref key="segment" refId="17"/>
                      <b key="placeHolder">N</b>
                      <ref key="weight" refId="18"/>
                      <be key="textMatchingCondition" refId="160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10" ln="1" eid="Framework.com.tagetik.trees.INode,framework">
                      <be refId="1611" clsId="FilterNode">
                        <l key="dimensionOids" refId="1612" ln="1" eid="DimensionOid">
                          <cust clsId="DimensionOid">5343455F24-45-323032374255445F5631-244F524947494E414C--</cust>
                        </l>
                        <l key="AdHocParamDimensionOids" refId="1613" ln="0" eid="DimensionOid"/>
                        <be key="data" refId="1614" clsId="FilterNodeData">
                          <ref key="filterNode" refId="1611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616" ln="1" eid="Framework.com.tagetik.trees.INode,framework">
                          <be refId="1617" clsId="FilterNode">
                            <l key="dimensionOids" refId="1618" ln="1" eid="DimensionOid">
                              <cust clsId="DimensionOid">504552-45-3132---</cust>
                            </l>
                            <l key="AdHocParamDimensionOids" refId="1619" ln="0" eid="DimensionOid"/>
                            <be key="data" refId="1620" clsId="FilterNodeData">
                              <ref key="filterNode" refId="161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2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1611"/>
                          </be>
                        </l>
                        <ref key="parent" refId="1605"/>
                      </be>
                    </l>
                  </be>
                  <be key="rowHeaders" refId="1622" clsId="ReportingHeaders">
                    <m key="headers" refId="1623" keid="SYS_PR_I" veid="System.Collections.IList"/>
                    <m key="headersDims" refId="1624" keid="SYS_PR_I" veid="SYS_STR"/>
                  </be>
                  <be key="columnHeaders" refId="1625" clsId="ReportingHeaders">
                    <m key="headers" refId="1626" keid="SYS_PR_I" veid="System.Collections.IList">
                      <key>
                        <i>-1</i>
                      </key>
                      <val>
                        <l refId="1627" ln="1">
                          <s>$AW(HIERARCHY("TEBFSNEBTCWNBPR")).desc</s>
                        </l>
                      </val>
                    </m>
                    <m key="headersDims" refId="16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629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63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631" ln="0" eid="Reporting.com.tagetik.tables.IMatixCellLeafPositions,Reporting"/>
                  <m key="forcedEditModes" refId="1632" keid="Reporting.com.tagetik.tables.IMatixCellLeafPositions,Reporting" veid="SYS_STR"/>
                  <b key="UseTxlDeFormEditor">N</b>
                  <be key="TxDeFormsEditorDescriptor" refId="1633" clsId="TxDeFormsEditorDescriptor">
                    <l key="Tabs" refId="163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635" clsId="matrixWSInfo">
                    <b key="isT">S</b>
                    <s key="wsCode">002</s>
                    <s key="tableCode">000008</s>
                  </be>
                  <be key="customFilters" refId="1636" clsId="ExpCustomFiltersProspetto"/>
                </be>
              </val>
            </m>
            <m key="cellFields" refId="1637" keid="SYS_STR" veid="CodeCellField"/>
            <m key="dictionary" refId="1638" keid="SYS_STR" veid="CodeMultiDescVO"/>
            <m key="controlExpressions" refId="1639" keid="SYS_STR" veid="CodedExpControlloProspetto"/>
            <m key="inlineParameters" refId="1640" keid="SYS_STR" veid="CodedInlineParameter"/>
            <m key="queries" refId="1641" keid="SYS_STR" veid="Reporting.com.tagetik.query.IUserDefinedQueryVO,Reporting"/>
            <be key="sheets" refId="1642" clsId="FilterNode">
              <l key="dimensionOids" refId="1643" ln="0" eid="DimensionOid"/>
              <l key="AdHocParamDimensionOids" refId="1644" ln="0" eid="DimensionOid"/>
              <be key="data" refId="1645" clsId="FilterNodeData">
                <ref key="filterNode" refId="1642"/>
                <i key="segmentLevel">0</i>
                <ref key="segment" refId="17"/>
                <b key="placeHolder">N</b>
                <ref key="weight" refId="18"/>
                <be key="textMatchingCondition" refId="164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647" keid="SYS_STR" veid="ElaborationsLauncher"/>
            <m key="actionLists" refId="1648" keid="SYS_STR" veid="Reporting.com.tagetik.actionlist.ISnapshotActionList,Reporting"/>
            <l key="areas" refId="1649" ln="2" eid="SYS_STR">
              <s>BUD_REF_CAP</s>
              <s>HYP_CAP_RETENU</s>
            </l>
            <l key="charts" refId="1650" ln="0" eid="SYS_STR"/>
            <l key="pivots" refId="1651" ln="0" eid="SYS_STR"/>
          </be>
        </val>
        <key>
          <s>Template09</s>
        </key>
        <val>
          <be refId="1652" clsId="ReportTemplateVO">
            <s key="code">Template09</s>
            <s key="desc">ALLOC</s>
            <m key="matrices" refId="1653" keid="SYS_STR" veid="Reporting.com.tagetik.tables.IMatrixPositionBlockVO,Reporting">
              <key>
                <s>Matrix00 copy00</s>
              </key>
              <val>
                <be refId="1654" clsId="MatrixPositionBlockVO">
                  <s key="positionID">Matrix00 copy00</s>
                  <be key="rows" refId="1655" clsId="FilterNode">
                    <l key="dimensionOids" refId="1656" ln="0" eid="DimensionOid"/>
                    <l key="AdHocParamDimensionOids" refId="1657" ln="0" eid="DimensionOid"/>
                    <be key="data" refId="1658" clsId="FilterNodeData">
                      <ref key="filterNode" refId="1655"/>
                      <i key="segmentLevel">0</i>
                      <ref key="segment" refId="17"/>
                      <b key="placeHolder">N</b>
                      <ref key="weight" refId="18"/>
                      <be key="textMatchingCondition" refId="165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660" ln="1" eid="Framework.com.tagetik.trees.INode,framework">
                      <be refId="1661" clsId="FilterNode">
                        <l key="dimensionOids" refId="1662" ln="1" eid="DimensionOid">
                          <cust clsId="DimensionOid">434F55-45-434F554E544552---</cust>
                        </l>
                        <l key="AdHocParamDimensionOids" refId="1663" ln="0" eid="DimensionOid"/>
                        <be key="data" refId="1664" clsId="FilterNodeData">
                          <ref key="filterNode" refId="166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66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6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66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68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69" ln="0" eid="Framework.com.tagetik.trees.INode,framework"/>
                        <ref key="parent" refId="1655"/>
                      </be>
                    </l>
                  </be>
                  <be key="columns" refId="1670" clsId="FilterNode">
                    <l key="dimensionOids" refId="1671" ln="0" eid="DimensionOid"/>
                    <l key="AdHocParamDimensionOids" refId="1672" ln="0" eid="DimensionOid"/>
                    <be key="data" refId="1673" clsId="FilterNodeData">
                      <ref key="filterNode" refId="1670"/>
                      <i key="segmentLevel">0</i>
                      <ref key="segment" refId="17"/>
                      <b key="placeHolder">N</b>
                      <ref key="weight" refId="18"/>
                      <be key="textMatchingCondition" refId="16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675" ln="2" eid="Framework.com.tagetik.trees.INode,framework">
                      <be refId="1676" clsId="FilterNode">
                        <l key="dimensionOids" refId="1677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678" ln="0" eid="DimensionOid"/>
                        <be key="data" refId="1679" clsId="FilterNodeData">
                          <ref key="filterNode" refId="16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82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83" ln="0" eid="Framework.com.tagetik.trees.INode,framework"/>
                        <ref key="parent" refId="1670"/>
                      </be>
                      <be refId="1684" clsId="FilterNode">
                        <l key="dimensionOids" refId="168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686" ln="0" eid="DimensionOid"/>
                        <be key="data" refId="1687" clsId="FilterNodeData">
                          <ref key="filterNode" refId="1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90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691" ln="0" eid="Framework.com.tagetik.trees.INode,framework"/>
                        <ref key="parent" refId="1670"/>
                      </be>
                    </l>
                  </be>
                  <be key="matrixFilters" refId="1692" clsId="FilterNode">
                    <l key="dimensionOids" refId="1693" ln="0" eid="DimensionOid"/>
                    <l key="AdHocParamDimensionOids" refId="1694" ln="0" eid="DimensionOid"/>
                    <be key="data" refId="1695" clsId="FilterNodeData">
                      <ref key="filterNode" refId="1692"/>
                      <i key="segmentLevel">0</i>
                      <ref key="segment" refId="17"/>
                      <b key="placeHolder">N</b>
                      <ref key="weight" refId="18"/>
                      <be key="textMatchingCondition" refId="16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97" ln="1" eid="Framework.com.tagetik.trees.INode,framework">
                      <be refId="1698" clsId="FilterNode">
                        <l key="dimensionOids" refId="1699" ln="1" eid="DimensionOid">
                          <cust clsId="DimensionOid">504552-45-3132---</cust>
                        </l>
                        <l key="AdHocParamDimensionOids" refId="1700" ln="0" eid="DimensionOid"/>
                        <be key="data" refId="1701" clsId="FilterNodeData">
                          <ref key="filterNode" refId="169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0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704" ln="1" eid="Framework.com.tagetik.trees.INode,framework">
                          <be refId="1705" clsId="FilterNode">
                            <l key="dimensionOids" refId="1706" ln="1" eid="DimensionOid">
                              <cust clsId="DimensionOid">534345-45-323032374255445F5631---</cust>
                            </l>
                            <l key="AdHocParamDimensionOids" refId="1707" ln="0" eid="DimensionOid"/>
                            <be key="data" refId="1708" clsId="FilterNodeData">
                              <ref key="filterNode" refId="170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70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71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1711" ln="1" eid="Framework.com.tagetik.trees.INode,framework">
                              <be refId="1712" clsId="FilterNode">
                                <l key="dimensionOids" refId="1713" ln="1" eid="DimensionOid">
                                  <cust clsId="DimensionOid">414E4C5F56455253494F4E-45-47454E---</cust>
                                </l>
                                <l key="AdHocParamDimensionOids" refId="1714" ln="0" eid="DimensionOid"/>
                                <be key="data" refId="1715" clsId="FilterNodeData">
                                  <ref key="filterNode" refId="1712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71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1717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1718" ln="1" eid="Framework.com.tagetik.trees.INode,framework">
                                  <be refId="1719" clsId="FilterNode">
                                    <l key="dimensionOids" refId="1720" ln="1" eid="DimensionOid">
                                      <cust clsId="DimensionOid">415A49-45-475250---</cust>
                                    </l>
                                    <l key="AdHocParamDimensionOids" refId="1721" ln="0" eid="DimensionOid"/>
                                    <be key="data" refId="1722" clsId="FilterNodeData">
                                      <ref key="filterNode" refId="1719"/>
                                      <s key="dim">AZI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723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172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584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6</cust>
                                    <s key="cod"/>
                                    <s key="desc"/>
                                    <i key="index">0</i>
                                    <l key="children" refId="1725" ln="1" eid="Framework.com.tagetik.trees.INode,framework">
                                      <be refId="1726" clsId="FilterNode">
                                        <l key="dimensionOids" refId="1727" ln="4" eid="DimensionOid">
                                          <cust clsId="DimensionOid">564F435F303130-45-414C4C4F435F4252414E445F43414D50---</cust>
                                          <cust clsId="DimensionOid">564F435F303130-45-414C4C4F435F43414D505F434C415353---</cust>
                                          <cust clsId="DimensionOid">564F435F303130-45-414C4C4F435F4752505F484F4C44494E47---</cust>
                                          <cust clsId="DimensionOid">564F435F303130-45-414C4C4F435F4752505F4D4152515545---</cust>
                                        </l>
                                        <l key="AdHocParamDimensionOids" refId="1728" ln="0" eid="DimensionOid"/>
                                        <be key="data" refId="1729" clsId="FilterNodeData">
                                          <ref key="filterNode" refId="1726"/>
                                          <s key="dim">VOC_010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730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584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7</cust>
                                        <i key="index">0</i>
                                        <ref key="parent" refId="1719"/>
                                      </be>
                                    </l>
                                    <ref key="parent" refId="1712"/>
                                  </be>
                                </l>
                                <ref key="parent" refId="1705"/>
                              </be>
                            </l>
                            <ref key="parent" refId="1698"/>
                          </be>
                        </l>
                        <ref key="parent" refId="1692"/>
                      </be>
                    </l>
                  </be>
                  <be key="rowHeaders" refId="1731" clsId="ReportingHeaders">
                    <m key="headers" refId="1732" keid="SYS_PR_I" veid="System.Collections.IList"/>
                    <m key="headersDims" refId="1733" keid="SYS_PR_I" veid="SYS_STR"/>
                  </be>
                  <be key="columnHeaders" refId="1734" clsId="ReportingHeaders">
                    <m key="headers" refId="1735" keid="SYS_PR_I" veid="System.Collections.IList"/>
                    <m key="headersDims" refId="173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737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173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739" ln="0" eid="Reporting.com.tagetik.tables.IMatixCellLeafPositions,Reporting"/>
                  <m key="forcedEditModes" refId="1740" keid="Reporting.com.tagetik.tables.IMatixCellLeafPositions,Reporting" veid="SYS_STR"/>
                  <b key="UseTxlDeFormEditor">N</b>
                  <be key="TxDeFormsEditorDescriptor" refId="1741" clsId="TxDeFormsEditorDescriptor">
                    <l key="Tabs" refId="174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743" clsId="matrixWSInfo">
                    <b key="isT">S</b>
                    <s key="wsCode">002</s>
                    <s key="tableCode">000001</s>
                  </be>
                  <be key="customFilters" refId="1744" clsId="ExpCustomFiltersProspetto"/>
                </be>
              </val>
            </m>
            <m key="cellFields" refId="1745" keid="SYS_STR" veid="CodeCellField"/>
            <m key="dictionary" refId="1746" keid="SYS_STR" veid="CodeMultiDescVO"/>
            <m key="controlExpressions" refId="1747" keid="SYS_STR" veid="CodedExpControlloProspetto"/>
            <m key="inlineParameters" refId="1748" keid="SYS_STR" veid="CodedInlineParameter"/>
            <m key="queries" refId="1749" keid="SYS_STR" veid="Reporting.com.tagetik.query.IUserDefinedQueryVO,Reporting"/>
            <be key="sheets" refId="1750" clsId="FilterNode">
              <l key="dimensionOids" refId="1751" ln="0" eid="DimensionOid"/>
              <l key="AdHocParamDimensionOids" refId="1752" ln="0" eid="DimensionOid"/>
              <be key="data" refId="1753" clsId="FilterNodeData">
                <ref key="filterNode" refId="1750"/>
                <i key="segmentLevel">0</i>
                <ref key="segment" refId="17"/>
                <b key="placeHolder">N</b>
                <ref key="weight" refId="18"/>
                <be key="textMatchingCondition" refId="1754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55" keid="SYS_STR" veid="ElaborationsLauncher"/>
            <m key="actionLists" refId="1756" keid="SYS_STR" veid="Reporting.com.tagetik.actionlist.ISnapshotActionList,Reporting"/>
            <l key="areas" refId="1757" ln="4" eid="SYS_STR">
              <s>ALLOC_BRAND_CAMP</s>
              <s>ALLOC_CAMP_CLASS</s>
              <s>ALLOC_GRP_BRAND</s>
              <s>ALLOC_GRP_MARQUE</s>
            </l>
            <l key="charts" refId="1758" ln="0" eid="SYS_STR"/>
            <l key="pivots" refId="1759" ln="0" eid="SYS_STR"/>
          </be>
        </val>
      </m>
      <m key="templateLayouts" refId="1760" keid="SYS_STR" veid="Reporting.com.tagetik.report.IReportTemplateLayoutVO,Reporting">
        <key>
          <s>Template00</s>
        </key>
        <val>
          <be refId="1761" clsId="ReportTemplateLayoutVO">
            <i key="index">0</i>
            <s key="code">Template00</s>
            <m key="cellFieldAddresses" refId="1762" keid="SYS_STR" veid="Reporting.com.tagetik.spreadsheet.gridwrappers.IGridReaderVO,Reporting"/>
            <m key="controlExpressionsAddresses" refId="1763" keid="SYS_STR" veid="Reporting.com.tagetik.spreadsheet.gridwrappers.IGridReaderVO,Reporting"/>
            <m key="inlineParameterAddresses" refId="1764" keid="SYS_STR" veid="Reporting.com.tagetik.spreadsheet.gridwrappers.IGridReaderVO,Reporting"/>
            <m key="dictionaryAddresses" refId="1765" keid="SYS_STR" veid="Reporting.com.tagetik.spreadsheet.gridwrappers.IGridReaderVO,Reporting"/>
            <m key="hyperlinkAddresses" refId="1766" keid="SYS_STR" veid="Reporting.com.tagetik.spreadsheet.gridwrappers.IGridReaderVO,Reporting"/>
            <m key="matrixGridReaders" refId="1767" keid="SYS_STR" veid="Reporting.com.tagetik.spreadsheet.gridwrappers.IGridReaderVO,Reporting">
              <key>
                <s>Matrix00</s>
              </key>
              <val>
                <be refId="1768" clsId="ExcelCompactGridReaderVO">
                  <be key="element" refId="1769" clsId="BasicLogicalElement">
                    <i key="columnHeadersCount">0</i>
                    <i key="rowHeadersCount">1</i>
                    <i key="valueColumns">1</i>
                    <i key="valueRows">5</i>
                  </be>
                  <s key="firstCell">I12</s>
                </be>
              </val>
              <key>
                <s>Matrix05 copy00</s>
              </key>
              <val>
                <be refId="1770" clsId="ExcelCompactGridReaderVO">
                  <be key="element" refId="1771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B16</s>
                </be>
              </val>
              <key>
                <s>Matrix02</s>
              </key>
              <val>
                <be refId="1772" clsId="ExcelCompactGridReaderVO">
                  <be key="element" refId="1773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B39</s>
                </be>
              </val>
              <key>
                <s>Matrix01</s>
              </key>
              <val>
                <be refId="1774" clsId="ExcelCompactGridReaderVO">
                  <be key="element" refId="1775" clsId="BasicLogicalElement">
                    <i key="columnHeadersCount">1</i>
                    <i key="rowHeadersCount">1</i>
                    <i key="valueColumns">3</i>
                    <i key="valueRows">14</i>
                  </be>
                  <s key="firstCell">B22</s>
                </be>
              </val>
              <key>
                <s>Matrix06 copy00</s>
              </key>
              <val>
                <be refId="1776" clsId="ExcelCompactGridReaderVO">
                  <be key="element" refId="1777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E5</s>
                </be>
              </val>
              <key>
                <s>Matrix04</s>
              </key>
              <val>
                <be refId="1778" clsId="ExcelCompactGridReaderVO">
                  <be key="element" refId="1779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B11</s>
                </be>
              </val>
              <key>
                <s>Matrix03</s>
              </key>
              <val>
                <be refId="1780" clsId="ExcelCompactGridReaderVO">
                  <be key="element" refId="1781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C5</s>
                </be>
              </val>
            </m>
            <m key="queryGridReaders" refId="1782" keid="SYS_STR" veid="Reporting.com.tagetik.spreadsheet.gridwrappers.IGridReaderVO,Reporting"/>
          </be>
        </val>
        <key>
          <s>Template01</s>
        </key>
        <val>
          <be refId="1783" clsId="ReportTemplateLayoutVO">
            <i key="index">3</i>
            <s key="code">Template01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Template02</s>
        </key>
        <val>
          <be refId="1793" clsId="ReportTemplateLayoutVO">
            <i key="index">4</i>
            <s key="code">Template02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Matrix00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802" keid="SYS_STR" veid="Reporting.com.tagetik.spreadsheet.gridwrappers.IGridReaderVO,Reporting"/>
          </be>
        </val>
        <key>
          <s>Template03</s>
        </key>
        <val>
          <be refId="1803" clsId="ReportTemplateLayoutVO">
            <i key="index">5</i>
            <s key="code">Template03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</s>
              </key>
              <val>
                <be refId="1810" clsId="ExcelCompactGridReaderVO">
                  <be key="element" refId="181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812" keid="SYS_STR" veid="Reporting.com.tagetik.spreadsheet.gridwrappers.IGridReaderVO,Reporting"/>
          </be>
        </val>
        <key>
          <s>Template04</s>
        </key>
        <val>
          <be refId="1813" clsId="ReportTemplateLayoutVO">
            <i key="index">6</i>
            <s key="code">Template04</s>
            <m key="cellFieldAddresses" refId="1814" keid="SYS_STR" veid="Reporting.com.tagetik.spreadsheet.gridwrappers.IGridReaderVO,Reporting"/>
            <m key="controlExpressionsAddresses" refId="1815" keid="SYS_STR" veid="Reporting.com.tagetik.spreadsheet.gridwrappers.IGridReaderVO,Reporting"/>
            <m key="inlineParameterAddresses" refId="1816" keid="SYS_STR" veid="Reporting.com.tagetik.spreadsheet.gridwrappers.IGridReaderVO,Reporting"/>
            <m key="dictionaryAddresses" refId="1817" keid="SYS_STR" veid="Reporting.com.tagetik.spreadsheet.gridwrappers.IGridReaderVO,Reporting"/>
            <m key="hyperlinkAddresses" refId="1818" keid="SYS_STR" veid="Reporting.com.tagetik.spreadsheet.gridwrappers.IGridReaderVO,Reporting"/>
            <m key="matrixGridReaders" refId="1819" keid="SYS_STR" veid="Reporting.com.tagetik.spreadsheet.gridwrappers.IGridReaderVO,Reporting">
              <key>
                <s>Matrix00</s>
              </key>
              <val>
                <be refId="1820" clsId="ExcelCompactGridReaderVO">
                  <be key="element" refId="182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822" keid="SYS_STR" veid="Reporting.com.tagetik.spreadsheet.gridwrappers.IGridReaderVO,Reporting"/>
          </be>
        </val>
        <key>
          <s>Template05</s>
        </key>
        <val>
          <be refId="1823" clsId="ReportTemplateLayoutVO">
            <i key="index">7</i>
            <s key="code">Template05</s>
            <m key="cellFieldAddresses" refId="1824" keid="SYS_STR" veid="Reporting.com.tagetik.spreadsheet.gridwrappers.IGridReaderVO,Reporting"/>
            <m key="controlExpressionsAddresses" refId="1825" keid="SYS_STR" veid="Reporting.com.tagetik.spreadsheet.gridwrappers.IGridReaderVO,Reporting"/>
            <m key="inlineParameterAddresses" refId="1826" keid="SYS_STR" veid="Reporting.com.tagetik.spreadsheet.gridwrappers.IGridReaderVO,Reporting"/>
            <m key="dictionaryAddresses" refId="1827" keid="SYS_STR" veid="Reporting.com.tagetik.spreadsheet.gridwrappers.IGridReaderVO,Reporting"/>
            <m key="hyperlinkAddresses" refId="1828" keid="SYS_STR" veid="Reporting.com.tagetik.spreadsheet.gridwrappers.IGridReaderVO,Reporting"/>
            <m key="matrixGridReaders" refId="1829" keid="SYS_STR" veid="Reporting.com.tagetik.spreadsheet.gridwrappers.IGridReaderVO,Reporting">
              <key>
                <s>Matrix00</s>
              </key>
              <val>
                <be refId="1830" clsId="ExcelCompactGridReaderVO">
                  <be key="element" refId="183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832" keid="SYS_STR" veid="Reporting.com.tagetik.spreadsheet.gridwrappers.IGridReaderVO,Reporting"/>
          </be>
        </val>
        <key>
          <s>Template08</s>
        </key>
        <val>
          <be refId="1833" clsId="ReportTemplateLayoutVO">
            <i key="index">8</i>
            <s key="code">Template08</s>
            <m key="cellFieldAddresses" refId="1834" keid="SYS_STR" veid="Reporting.com.tagetik.spreadsheet.gridwrappers.IGridReaderVO,Reporting"/>
            <m key="controlExpressionsAddresses" refId="1835" keid="SYS_STR" veid="Reporting.com.tagetik.spreadsheet.gridwrappers.IGridReaderVO,Reporting"/>
            <m key="inlineParameterAddresses" refId="1836" keid="SYS_STR" veid="Reporting.com.tagetik.spreadsheet.gridwrappers.IGridReaderVO,Reporting"/>
            <m key="dictionaryAddresses" refId="1837" keid="SYS_STR" veid="Reporting.com.tagetik.spreadsheet.gridwrappers.IGridReaderVO,Reporting"/>
            <m key="hyperlinkAddresses" refId="1838" keid="SYS_STR" veid="Reporting.com.tagetik.spreadsheet.gridwrappers.IGridReaderVO,Reporting"/>
            <m key="matrixGridReaders" refId="1839" keid="SYS_STR" veid="Reporting.com.tagetik.spreadsheet.gridwrappers.IGridReaderVO,Reporting">
              <key>
                <s>Matrix00</s>
              </key>
              <val>
                <be refId="1840" clsId="ExcelCompactGridReaderVO">
                  <be key="element" refId="1841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842" keid="SYS_STR" veid="Reporting.com.tagetik.spreadsheet.gridwrappers.IGridReaderVO,Reporting"/>
          </be>
        </val>
        <key>
          <s>Template06</s>
        </key>
        <val>
          <be refId="1843" clsId="ReportTemplateLayoutVO">
            <i key="index">1</i>
            <s key="code">Template06</s>
            <m key="cellFieldAddresses" refId="1844" keid="SYS_STR" veid="Reporting.com.tagetik.spreadsheet.gridwrappers.IGridReaderVO,Reporting"/>
            <m key="controlExpressionsAddresses" refId="1845" keid="SYS_STR" veid="Reporting.com.tagetik.spreadsheet.gridwrappers.IGridReaderVO,Reporting"/>
            <m key="inlineParameterAddresses" refId="1846" keid="SYS_STR" veid="Reporting.com.tagetik.spreadsheet.gridwrappers.IGridReaderVO,Reporting"/>
            <m key="dictionaryAddresses" refId="1847" keid="SYS_STR" veid="Reporting.com.tagetik.spreadsheet.gridwrappers.IGridReaderVO,Reporting"/>
            <m key="hyperlinkAddresses" refId="1848" keid="SYS_STR" veid="Reporting.com.tagetik.spreadsheet.gridwrappers.IGridReaderVO,Reporting"/>
            <m key="matrixGridReaders" refId="1849" keid="SYS_STR" veid="Reporting.com.tagetik.spreadsheet.gridwrappers.IGridReaderVO,Reporting">
              <key>
                <s>Matrix01</s>
              </key>
              <val>
                <be refId="1850" clsId="ExcelCompactGridReaderVO">
                  <be key="element" refId="1851" clsId="BasicLogicalElement">
                    <i key="columnHeadersCount">1</i>
                    <i key="rowHeadersCount">0</i>
                    <i key="valueColumns">9</i>
                    <i key="valueRows">1</i>
                  </be>
                  <s key="firstCell">D14</s>
                </be>
              </val>
            </m>
            <m key="queryGridReaders" refId="1852" keid="SYS_STR" veid="Reporting.com.tagetik.spreadsheet.gridwrappers.IGridReaderVO,Reporting"/>
          </be>
        </val>
        <key>
          <s>Template09</s>
        </key>
        <val>
          <be refId="1853" clsId="ReportTemplateLayoutVO">
            <i key="index">2</i>
            <s key="code">Template09</s>
            <m key="cellFieldAddresses" refId="1854" keid="SYS_STR" veid="Reporting.com.tagetik.spreadsheet.gridwrappers.IGridReaderVO,Reporting"/>
            <m key="controlExpressionsAddresses" refId="1855" keid="SYS_STR" veid="Reporting.com.tagetik.spreadsheet.gridwrappers.IGridReaderVO,Reporting"/>
            <m key="inlineParameterAddresses" refId="1856" keid="SYS_STR" veid="Reporting.com.tagetik.spreadsheet.gridwrappers.IGridReaderVO,Reporting"/>
            <m key="dictionaryAddresses" refId="1857" keid="SYS_STR" veid="Reporting.com.tagetik.spreadsheet.gridwrappers.IGridReaderVO,Reporting"/>
            <m key="hyperlinkAddresses" refId="1858" keid="SYS_STR" veid="Reporting.com.tagetik.spreadsheet.gridwrappers.IGridReaderVO,Reporting"/>
            <m key="matrixGridReaders" refId="1859" keid="SYS_STR" veid="Reporting.com.tagetik.spreadsheet.gridwrappers.IGridReaderVO,Reporting">
              <key>
                <s>Matrix00 copy00</s>
              </key>
              <val>
                <be refId="1860" clsId="ExcelCompactGridReaderVO">
                  <be key="element" refId="1861" clsId="BasicLogicalElement">
                    <i key="columnHeadersCount">0</i>
                    <i key="rowHeadersCount">0</i>
                    <i key="valueColumns">2</i>
                    <i key="valueRows">1</i>
                  </be>
                  <s key="firstCell">B6</s>
                </be>
              </val>
            </m>
            <m key="queryGridReaders" refId="1862" keid="SYS_STR" veid="Reporting.com.tagetik.spreadsheet.gridwrappers.IGridReaderVO,Reporting"/>
          </be>
        </val>
      </m>
      <m key="adHocParameters" refId="1863" keid="SYS_STR" veid="ProspParametro"/>
      <l key="parametersToBeRequested" refId="1864" ln="2" eid="ParameterInfo">
        <be refId="1865" clsId="ParameterInfo">
          <cust key="oid" clsId="DimensionOid">415A495F454455-45-24415A495F4544555F50--50-</cust>
          <b key="explicitlyUsed">S</b>
          <b key="forced">N</b>
          <b key="advanced">N</b>
        </be>
        <be refId="1866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00F94666-9279-4412-8628-5BE92326038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51</vt:i4>
      </vt:variant>
    </vt:vector>
  </HeadingPairs>
  <TitlesOfParts>
    <vt:vector size="64" baseType="lpstr">
      <vt:lpstr>cad</vt:lpstr>
      <vt:lpstr>PIL</vt:lpstr>
      <vt:lpstr>ALLOC</vt:lpstr>
      <vt:lpstr>Socle</vt:lpstr>
      <vt:lpstr>Campagne</vt:lpstr>
      <vt:lpstr>Moteur</vt:lpstr>
      <vt:lpstr>Compta</vt:lpstr>
      <vt:lpstr>PNL</vt:lpstr>
      <vt:lpstr>Allocation</vt:lpstr>
      <vt:lpstr>_CALC_MOTEUR</vt:lpstr>
      <vt:lpstr>_CALC_PNL</vt:lpstr>
      <vt:lpstr>_CALC_ALLOC</vt:lpstr>
      <vt:lpstr>00_Cartographie</vt:lpstr>
      <vt:lpstr>ALLOC_BRAND_CAMP</vt:lpstr>
      <vt:lpstr>ALLOC_CAMP_CLASS</vt:lpstr>
      <vt:lpstr>ALLOC_GRP_BRAND</vt:lpstr>
      <vt:lpstr>ALLOC_GRP_MARQUE</vt:lpstr>
      <vt:lpstr>BUD_REF_CAP</vt:lpstr>
      <vt:lpstr>HYP_ACQ_BUD_V01</vt:lpstr>
      <vt:lpstr>HYP_ACQ_BUD_V02</vt:lpstr>
      <vt:lpstr>HYP_ACQ_BUD_V03</vt:lpstr>
      <vt:lpstr>HYP_BRAND_BUD_V01</vt:lpstr>
      <vt:lpstr>HYP_BRAND_BUD_V02</vt:lpstr>
      <vt:lpstr>HYP_BRAND_BUD_V03</vt:lpstr>
      <vt:lpstr>HYP_CAP_RETENU</vt:lpstr>
      <vt:lpstr>HYP_CONV_ADM_V01</vt:lpstr>
      <vt:lpstr>HYP_CONV_ADM_V02</vt:lpstr>
      <vt:lpstr>HYP_CONV_ADM_V03</vt:lpstr>
      <vt:lpstr>HYP_CONV_LEAD_V01</vt:lpstr>
      <vt:lpstr>HYP_CONV_LEAD_V02</vt:lpstr>
      <vt:lpstr>HYP_CONV_LEAD_V03</vt:lpstr>
      <vt:lpstr>HYP_FEE_V01</vt:lpstr>
      <vt:lpstr>HYP_FEE_V02</vt:lpstr>
      <vt:lpstr>HYP_FEE_V03</vt:lpstr>
      <vt:lpstr>HYP_FTE_PERM_V01</vt:lpstr>
      <vt:lpstr>HYP_FTE_PERM_V02</vt:lpstr>
      <vt:lpstr>HYP_FTE_PERM_V03</vt:lpstr>
      <vt:lpstr>HYP_INFL_EXT_V01</vt:lpstr>
      <vt:lpstr>HYP_INFL_EXT_V02</vt:lpstr>
      <vt:lpstr>HYP_INFL_EXT_V03</vt:lpstr>
      <vt:lpstr>HYP_PASSAGE_V01</vt:lpstr>
      <vt:lpstr>HYP_PASSAGE_V02</vt:lpstr>
      <vt:lpstr>HYP_PASSAGE_V03</vt:lpstr>
      <vt:lpstr>HYP_PRICE_COEF_IPAC</vt:lpstr>
      <vt:lpstr>HYP_PRICE_COEF_ISCOM</vt:lpstr>
      <vt:lpstr>HYP_PRICE_COEF_MBWAY</vt:lpstr>
      <vt:lpstr>HYP_PRICE_COEF_PIGIER</vt:lpstr>
      <vt:lpstr>HYP_PRICE_COEF_TUNON</vt:lpstr>
      <vt:lpstr>HYP_PRICE_V01</vt:lpstr>
      <vt:lpstr>HYP_PRICE_V02</vt:lpstr>
      <vt:lpstr>HYP_PRICE_V03</vt:lpstr>
      <vt:lpstr>HYP_PRODUCTIVITY_V01</vt:lpstr>
      <vt:lpstr>HYP_PRODUCTIVITY_V02</vt:lpstr>
      <vt:lpstr>HYP_PRODUCTIVITY_V03</vt:lpstr>
      <vt:lpstr>HYP_SALARY_V01</vt:lpstr>
      <vt:lpstr>HYP_SALARY_V02</vt:lpstr>
      <vt:lpstr>HYP_SALARY_V03</vt:lpstr>
      <vt:lpstr>HYP_STRUCT_COST_V01</vt:lpstr>
      <vt:lpstr>HYP_STRUCT_COST_V02</vt:lpstr>
      <vt:lpstr>HYP_STRUCT_COST_V03</vt:lpstr>
      <vt:lpstr>SCENARIO_ACTIF</vt:lpstr>
      <vt:lpstr>SCENARIO_CODE</vt:lpstr>
      <vt:lpstr>TEC_EBITDA</vt:lpstr>
      <vt:lpstr>TEC_PL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2026-08-25T15:43:20Z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5a4de54e-c06f-4a62-8b20-e6433e0373fb</vt:lpwstr>
  </op:property>
  <op:property fmtid="{D5CDD505-2E9C-101B-9397-08002B2CF9AE}" pid="5" name="TGK_STATUS">
    <vt:lpstr>ADH_TPL</vt:lpstr>
  </op:property>
  <op:property fmtid="{D5CDD505-2E9C-101B-9397-08002B2CF9AE}" pid="6" name="TGK_CUSTOM_XML">
    <vt:lpwstr>{00F94666-9279-4412-8628-5BE92326038E}</vt:lpwstr>
  </op:property>
</op:Properties>
</file>